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autoCompressPictures="0" defaultThemeVersion="124226"/>
  <mc:AlternateContent xmlns:mc="http://schemas.openxmlformats.org/markup-compatibility/2006">
    <mc:Choice Requires="x15">
      <x15ac:absPath xmlns:x15ac="http://schemas.microsoft.com/office/spreadsheetml/2010/11/ac" url="https://quattrongmbh.sharepoint.com/sites/GB1-ProjekteIL/Freigegebene Dokumente/226-141_Increase_to_13tph/Bearbeitung/Rostering/"/>
    </mc:Choice>
  </mc:AlternateContent>
  <xr:revisionPtr revIDLastSave="175" documentId="8_{B9D5392F-13C1-4979-8D55-1ABB4F6194A5}" xr6:coauthVersionLast="47" xr6:coauthVersionMax="47" xr10:uidLastSave="{6292B37F-2419-4137-B2C1-F8B8ADD56F3C}"/>
  <bookViews>
    <workbookView xWindow="28680" yWindow="-120" windowWidth="29040" windowHeight="15720" xr2:uid="{00000000-000D-0000-FFFF-FFFF00000000}"/>
  </bookViews>
  <sheets>
    <sheet name="Anleitung" sheetId="16" r:id="rId1"/>
    <sheet name="IN_Stammdaten" sheetId="23" r:id="rId2"/>
    <sheet name="IN_Zugliste" sheetId="13" r:id="rId3"/>
    <sheet name="IN_Verknüpfungen" sheetId="20" r:id="rId4"/>
    <sheet name="Laufwege" sheetId="21" r:id="rId5"/>
    <sheet name="Daten_Verknüpfungen" sheetId="4" state="hidden" r:id="rId6"/>
    <sheet name="Berechnung" sheetId="9" state="hidden" r:id="rId7"/>
    <sheet name="Zugfahrten" sheetId="11" state="hidden" r:id="rId8"/>
    <sheet name="Br" sheetId="15" state="hidden" r:id="rId9"/>
    <sheet name="Distanz_Betriebsstellen-Paare" sheetId="19" state="hidden" r:id="rId10"/>
    <sheet name="Ergebnisse" sheetId="12" state="hidden" r:id="rId11"/>
    <sheet name="Distanzen" sheetId="17" state="hidden" r:id="rId12"/>
  </sheets>
  <definedNames>
    <definedName name="_xlnm._FilterDatabase" localSheetId="6" hidden="1">Berechnung!$D$1:$D$2000</definedName>
    <definedName name="_xlnm._FilterDatabase" localSheetId="8" hidden="1">Br!$A$228:$A$248</definedName>
    <definedName name="_xlnm._FilterDatabase" localSheetId="5" hidden="1">Daten_Verknüpfungen!$A$1:$K$1095</definedName>
    <definedName name="_xlnm._FilterDatabase" localSheetId="9" hidden="1">'Distanz_Betriebsstellen-Paare'!#REF!</definedName>
    <definedName name="_xlnm._FilterDatabase" localSheetId="10" hidden="1">Ergebnisse!$B$1:$B$209</definedName>
    <definedName name="_xlnm._FilterDatabase" localSheetId="3" hidden="1">IN_Verknüpfungen!$A$3:$O$394</definedName>
    <definedName name="_xlnm._FilterDatabase" localSheetId="2" hidden="1">IN_Zugliste!#REF!</definedName>
    <definedName name="_xlnm._FilterDatabase" localSheetId="7" hidden="1">Zugfahrten!$A$29:$DZ$48</definedName>
    <definedName name="_xleta.IF" hidden="1" xlm="1">#NAME?</definedName>
    <definedName name="_xleta.N" hidden="1" xlm="1">#NAME?</definedName>
    <definedName name="_xleta.NOT" hidden="1" xlm="1">#NAME?</definedName>
    <definedName name="_xleta.OR" hidden="1" xlm="1">#NAME?</definedName>
    <definedName name="_xlpm.a" hidden="1" xlm="1">#NAME?</definedName>
    <definedName name="_xlpm.acc" hidden="1" xlm="1">#NAME?</definedName>
    <definedName name="_xlpm.arr" hidden="1" xlm="1">#NAME?</definedName>
    <definedName name="_xlpm.base" hidden="1" xlm="1">#NAME?</definedName>
    <definedName name="_xlpm.Bblk" hidden="1" xlm="1">#NAME?</definedName>
    <definedName name="_xlpm.Br_g" hidden="1" xlm="1">#NAME?</definedName>
    <definedName name="_xlpm.Brng" hidden="1" xlm="1">#NAME?</definedName>
    <definedName name="_xlpm.Brow" hidden="1" xlm="1">#NAME?</definedName>
    <definedName name="_xlpm.Cblk" hidden="1" xlm="1">#NAME?</definedName>
    <definedName name="_xlpm.Cr_g" hidden="1" xlm="1">#NAME?</definedName>
    <definedName name="_xlpm.Crng" hidden="1" xlm="1">#NAME?</definedName>
    <definedName name="_xlpm.endLast" hidden="1" xlm="1">#NAME?</definedName>
    <definedName name="_xlpm.er" hidden="1" xlm="1">#NAME?</definedName>
    <definedName name="_xlpm.g" hidden="1" xlm="1">#NAME?</definedName>
    <definedName name="_xlpm.gCount" hidden="1" xlm="1">#NAME?</definedName>
    <definedName name="_xlpm.gefiltert" hidden="1" xlm="1">#NAME?</definedName>
    <definedName name="_xlpm.gids" hidden="1" xlm="1">#NAME?</definedName>
    <definedName name="_xlpm.grp" hidden="1" xlm="1">#NAME?</definedName>
    <definedName name="_xlpm.h" hidden="1" xlm="1">#NAME?</definedName>
    <definedName name="_xlpm.last" hidden="1" xlm="1">#NAME?</definedName>
    <definedName name="_xlpm.lastB" hidden="1" xlm="1">#NAME?</definedName>
    <definedName name="_xlpm.lastC" hidden="1" xlm="1">#NAME?</definedName>
    <definedName name="_xlpm.lastC2" hidden="1" xlm="1">#NAME?</definedName>
    <definedName name="_xlpm.lastL" hidden="1" xlm="1">#NAME?</definedName>
    <definedName name="_xlpm.Lrng" hidden="1" xlm="1">#NAME?</definedName>
    <definedName name="_xlpm.sortiert" hidden="1" xlm="1">#NAME?</definedName>
    <definedName name="_xlpm.sr" hidden="1" xlm="1">#NAME?</definedName>
    <definedName name="_xlpm.starts" hidden="1" xlm="1">#NAME?</definedName>
    <definedName name="_xlpm.x" hidden="1" xlm="1">#NAME?</definedName>
    <definedName name="_xlpm.Zrng" hidden="1" xlm="1">#NAME?</definedName>
    <definedName name="ixl_MEMID">OFFSET(#REF!,0,0,#REF!,1)</definedName>
    <definedName name="ixl_scID">OFFSET(#REF!,0,0,#REF!,1)</definedName>
    <definedName name="ixl_stNumber">OFFSET(#REF!,0,0,#REF!,1)</definedName>
    <definedName name="mems">OFFSET(#REF!,0,0,#REF!,7)</definedName>
    <definedName name="st_ID">OFFSET(#REF!,0,0,#REF!,1)</definedName>
    <definedName name="st_Name1">OFFSET(#REF!,0,0,#REF!,1)</definedName>
    <definedName name="st_Number">OFFSET(#REF!,0,0,#REF!,1)</definedName>
    <definedName name="stations">OFFSET(#REF!,0,0,#REF!,7)</definedName>
    <definedName name="stCnf_CnfName">OFFSET(#REF!,0,0,#REF!,1)</definedName>
    <definedName name="stCnf_ID">OFFSET(#REF!,0,0,#REF!,1)</definedName>
    <definedName name="stCnf_stID">OFFSET(#REF!,0,0,#REF!,1)</definedName>
    <definedName name="stCnf_stName">OFFSET(#REF!,0,0,#REF!,1)</definedName>
    <definedName name="_xlnm.Criteria" localSheetId="6">Berechnung!$M$1:$M$2</definedName>
    <definedName name="_xlnm.Extract" localSheetId="6">Berechnung!$G$1</definedName>
    <definedName name="_xlnm.Extract" localSheetId="9">'Distanz_Betriebsstellen-Paare'!$A$1:$E$1</definedName>
    <definedName name="_xlnm.Extract" localSheetId="10">Ergebnisse!$G$3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5" i="20" l="1"/>
  <c r="Q6" i="20"/>
  <c r="Q7" i="20"/>
  <c r="Q8" i="20"/>
  <c r="Q9" i="20"/>
  <c r="Q10" i="20"/>
  <c r="Q11" i="20"/>
  <c r="Q12" i="20"/>
  <c r="Q13" i="20"/>
  <c r="Q14" i="20"/>
  <c r="Q15" i="20"/>
  <c r="Q16" i="20"/>
  <c r="Q17" i="20"/>
  <c r="Q18" i="20"/>
  <c r="Q19" i="20"/>
  <c r="Q20" i="20"/>
  <c r="Q21" i="20"/>
  <c r="Q22" i="20"/>
  <c r="Q23" i="20"/>
  <c r="Q24" i="20"/>
  <c r="Q25" i="20"/>
  <c r="Q26" i="20"/>
  <c r="Q27" i="20"/>
  <c r="Q28" i="20"/>
  <c r="Q29" i="20"/>
  <c r="Q30" i="20"/>
  <c r="Q31" i="20"/>
  <c r="Q32" i="20"/>
  <c r="Q33" i="20"/>
  <c r="Q34" i="20"/>
  <c r="Q35" i="20"/>
  <c r="Q36" i="20"/>
  <c r="Q37" i="20"/>
  <c r="Q38" i="20"/>
  <c r="Q39" i="20"/>
  <c r="Q40" i="20"/>
  <c r="Q41" i="20"/>
  <c r="Q42" i="20"/>
  <c r="Q43" i="20"/>
  <c r="Q44" i="20"/>
  <c r="Q45" i="20"/>
  <c r="Q46" i="20"/>
  <c r="Q47" i="20"/>
  <c r="Q48" i="20"/>
  <c r="Q49" i="20"/>
  <c r="Q50" i="20"/>
  <c r="Q51" i="20"/>
  <c r="Q52" i="20"/>
  <c r="Q53" i="20"/>
  <c r="Q54" i="20"/>
  <c r="Q55" i="20"/>
  <c r="Q56" i="20"/>
  <c r="Q57" i="20"/>
  <c r="Q58" i="20"/>
  <c r="Q59" i="20"/>
  <c r="Q60" i="20"/>
  <c r="Q61" i="20"/>
  <c r="Q62" i="20"/>
  <c r="Q63" i="20"/>
  <c r="Q64" i="20"/>
  <c r="Q65" i="20"/>
  <c r="Q66" i="20"/>
  <c r="Q67" i="20"/>
  <c r="Q68" i="20"/>
  <c r="Q69" i="20"/>
  <c r="Q70" i="20"/>
  <c r="Q71" i="20"/>
  <c r="Q72" i="20"/>
  <c r="Q73" i="20"/>
  <c r="Q74" i="20"/>
  <c r="Q75" i="20"/>
  <c r="Q76" i="20"/>
  <c r="Q77" i="20"/>
  <c r="Q78" i="20"/>
  <c r="Q79" i="20"/>
  <c r="Q80" i="20"/>
  <c r="Q81" i="20"/>
  <c r="Q82" i="20"/>
  <c r="Q83" i="20"/>
  <c r="Q84" i="20"/>
  <c r="Q85" i="20"/>
  <c r="Q86" i="20"/>
  <c r="Q87" i="20"/>
  <c r="Q88" i="20"/>
  <c r="Q89" i="20"/>
  <c r="Q90" i="20"/>
  <c r="Q91" i="20"/>
  <c r="Q92" i="20"/>
  <c r="Q93" i="20"/>
  <c r="Q94" i="20"/>
  <c r="Q95" i="20"/>
  <c r="Q96" i="20"/>
  <c r="Q97" i="20"/>
  <c r="Q98" i="20"/>
  <c r="Q99" i="20"/>
  <c r="Q100" i="20"/>
  <c r="Q101" i="20"/>
  <c r="Q102" i="20"/>
  <c r="Q103" i="20"/>
  <c r="Q104" i="20"/>
  <c r="Q105" i="20"/>
  <c r="Q106" i="20"/>
  <c r="Q107" i="20"/>
  <c r="Q108" i="20"/>
  <c r="Q109" i="20"/>
  <c r="Q110" i="20"/>
  <c r="Q111" i="20"/>
  <c r="Q112" i="20"/>
  <c r="Q113" i="20"/>
  <c r="Q114" i="20"/>
  <c r="Q115" i="20"/>
  <c r="Q116" i="20"/>
  <c r="Q117" i="20"/>
  <c r="Q118" i="20"/>
  <c r="Q119" i="20"/>
  <c r="Q120" i="20"/>
  <c r="Q121" i="20"/>
  <c r="Q122" i="20"/>
  <c r="Q123" i="20"/>
  <c r="Q124" i="20"/>
  <c r="Q125" i="20"/>
  <c r="Q126" i="20"/>
  <c r="Q127" i="20"/>
  <c r="Q128" i="20"/>
  <c r="Q129" i="20"/>
  <c r="Q130" i="20"/>
  <c r="Q131" i="20"/>
  <c r="Q132" i="20"/>
  <c r="Q133" i="20"/>
  <c r="Q134" i="20"/>
  <c r="Q135" i="20"/>
  <c r="Q136" i="20"/>
  <c r="Q137" i="20"/>
  <c r="Q138" i="20"/>
  <c r="Q139" i="20"/>
  <c r="Q140" i="20"/>
  <c r="Q141" i="20"/>
  <c r="Q142" i="20"/>
  <c r="Q143" i="20"/>
  <c r="Q144" i="20"/>
  <c r="Q145" i="20"/>
  <c r="Q146" i="20"/>
  <c r="Q147" i="20"/>
  <c r="Q148" i="20"/>
  <c r="Q149" i="20"/>
  <c r="Q150" i="20"/>
  <c r="Q151" i="20"/>
  <c r="Q152" i="20"/>
  <c r="Q153" i="20"/>
  <c r="Q154" i="20"/>
  <c r="Q155" i="20"/>
  <c r="Q156" i="20"/>
  <c r="Q157" i="20"/>
  <c r="Q158" i="20"/>
  <c r="Q159" i="20"/>
  <c r="Q160" i="20"/>
  <c r="Q161" i="20"/>
  <c r="Q162" i="20"/>
  <c r="Q163" i="20"/>
  <c r="Q164" i="20"/>
  <c r="Q165" i="20"/>
  <c r="Q166" i="20"/>
  <c r="Q167" i="20"/>
  <c r="Q168" i="20"/>
  <c r="Q169" i="20"/>
  <c r="Q170" i="20"/>
  <c r="Q171" i="20"/>
  <c r="Q172" i="20"/>
  <c r="Q173" i="20"/>
  <c r="Q174" i="20"/>
  <c r="Q175" i="20"/>
  <c r="Q176" i="20"/>
  <c r="Q177" i="20"/>
  <c r="Q178" i="20"/>
  <c r="Q179" i="20"/>
  <c r="Q180" i="20"/>
  <c r="Q181" i="20"/>
  <c r="Q182" i="20"/>
  <c r="Q183" i="20"/>
  <c r="Q184" i="20"/>
  <c r="Q185" i="20"/>
  <c r="Q186" i="20"/>
  <c r="Q187" i="20"/>
  <c r="Q188" i="20"/>
  <c r="Q189" i="20"/>
  <c r="Q190" i="20"/>
  <c r="Q191" i="20"/>
  <c r="Q192" i="20"/>
  <c r="Q193" i="20"/>
  <c r="Q194" i="20"/>
  <c r="Q195" i="20"/>
  <c r="Q196" i="20"/>
  <c r="Q197" i="20"/>
  <c r="Q198" i="20"/>
  <c r="Q199" i="20"/>
  <c r="Q200" i="20"/>
  <c r="Q201" i="20"/>
  <c r="Q202" i="20"/>
  <c r="Q203" i="20"/>
  <c r="Q204" i="20"/>
  <c r="Q205" i="20"/>
  <c r="Q206" i="20"/>
  <c r="Q207" i="20"/>
  <c r="Q208" i="20"/>
  <c r="Q209" i="20"/>
  <c r="Q210" i="20"/>
  <c r="Q211" i="20"/>
  <c r="Q212" i="20"/>
  <c r="Q213" i="20"/>
  <c r="Q214" i="20"/>
  <c r="Q215" i="20"/>
  <c r="Q216" i="20"/>
  <c r="Q217" i="20"/>
  <c r="Q218" i="20"/>
  <c r="Q219" i="20"/>
  <c r="Q220" i="20"/>
  <c r="Q221" i="20"/>
  <c r="Q222" i="20"/>
  <c r="Q223" i="20"/>
  <c r="Q224" i="20"/>
  <c r="Q225" i="20"/>
  <c r="Q226" i="20"/>
  <c r="Q227" i="20"/>
  <c r="Q228" i="20"/>
  <c r="Q229" i="20"/>
  <c r="Q230" i="20"/>
  <c r="Q231" i="20"/>
  <c r="Q232" i="20"/>
  <c r="Q233" i="20"/>
  <c r="Q234" i="20"/>
  <c r="Q235" i="20"/>
  <c r="Q236" i="20"/>
  <c r="Q237" i="20"/>
  <c r="Q238" i="20"/>
  <c r="Q239" i="20"/>
  <c r="Q240" i="20"/>
  <c r="Q241" i="20"/>
  <c r="Q242" i="20"/>
  <c r="Q243" i="20"/>
  <c r="Q244" i="20"/>
  <c r="Q245" i="20"/>
  <c r="Q246" i="20"/>
  <c r="Q247" i="20"/>
  <c r="Q248" i="20"/>
  <c r="Q249" i="20"/>
  <c r="Q250" i="20"/>
  <c r="Q251" i="20"/>
  <c r="Q252" i="20"/>
  <c r="Q253" i="20"/>
  <c r="Q254" i="20"/>
  <c r="Q255" i="20"/>
  <c r="Q256" i="20"/>
  <c r="Q257" i="20"/>
  <c r="Q258" i="20"/>
  <c r="Q259" i="20"/>
  <c r="Q260" i="20"/>
  <c r="Q261" i="20"/>
  <c r="Q262" i="20"/>
  <c r="Q263" i="20"/>
  <c r="Q264" i="20"/>
  <c r="Q265" i="20"/>
  <c r="Q266" i="20"/>
  <c r="Q267" i="20"/>
  <c r="Q268" i="20"/>
  <c r="Q269" i="20"/>
  <c r="Q270" i="20"/>
  <c r="Q271" i="20"/>
  <c r="Q272" i="20"/>
  <c r="Q273" i="20"/>
  <c r="Q274" i="20"/>
  <c r="Q275" i="20"/>
  <c r="Q276" i="20"/>
  <c r="Q277" i="20"/>
  <c r="Q278" i="20"/>
  <c r="Q279" i="20"/>
  <c r="Q280" i="20"/>
  <c r="Q281" i="20"/>
  <c r="Q282" i="20"/>
  <c r="Q283" i="20"/>
  <c r="Q284" i="20"/>
  <c r="Q285" i="20"/>
  <c r="Q286" i="20"/>
  <c r="Q287" i="20"/>
  <c r="Q288" i="20"/>
  <c r="Q289" i="20"/>
  <c r="Q290" i="20"/>
  <c r="Q291" i="20"/>
  <c r="Q292" i="20"/>
  <c r="Q293" i="20"/>
  <c r="Q294" i="20"/>
  <c r="Q295" i="20"/>
  <c r="Q296" i="20"/>
  <c r="Q297" i="20"/>
  <c r="Q298" i="20"/>
  <c r="Q299" i="20"/>
  <c r="Q300" i="20"/>
  <c r="Q301" i="20"/>
  <c r="Q302" i="20"/>
  <c r="Q303" i="20"/>
  <c r="Q304" i="20"/>
  <c r="Q305" i="20"/>
  <c r="Q306" i="20"/>
  <c r="Q307" i="20"/>
  <c r="Q308" i="20"/>
  <c r="Q309" i="20"/>
  <c r="Q310" i="20"/>
  <c r="Q311" i="20"/>
  <c r="Q312" i="20"/>
  <c r="Q313" i="20"/>
  <c r="Q314" i="20"/>
  <c r="Q315" i="20"/>
  <c r="Q316" i="20"/>
  <c r="Q317" i="20"/>
  <c r="Q318" i="20"/>
  <c r="Q319" i="20"/>
  <c r="Q320" i="20"/>
  <c r="Q321" i="20"/>
  <c r="Q322" i="20"/>
  <c r="Q323" i="20"/>
  <c r="Q324" i="20"/>
  <c r="Q325" i="20"/>
  <c r="Q326" i="20"/>
  <c r="Q327" i="20"/>
  <c r="Q328" i="20"/>
  <c r="Q329" i="20"/>
  <c r="Q330" i="20"/>
  <c r="Q331" i="20"/>
  <c r="Q332" i="20"/>
  <c r="Q333" i="20"/>
  <c r="Q334" i="20"/>
  <c r="Q335" i="20"/>
  <c r="Q336" i="20"/>
  <c r="Q337" i="20"/>
  <c r="Q338" i="20"/>
  <c r="Q339" i="20"/>
  <c r="Q340" i="20"/>
  <c r="Q341" i="20"/>
  <c r="Q342" i="20"/>
  <c r="Q343" i="20"/>
  <c r="Q344" i="20"/>
  <c r="Q345" i="20"/>
  <c r="Q346" i="20"/>
  <c r="Q347" i="20"/>
  <c r="Q348" i="20"/>
  <c r="Q349" i="20"/>
  <c r="Q350" i="20"/>
  <c r="Q351" i="20"/>
  <c r="Q352" i="20"/>
  <c r="Q353" i="20"/>
  <c r="Q354" i="20"/>
  <c r="Q355" i="20"/>
  <c r="Q356" i="20"/>
  <c r="Q357" i="20"/>
  <c r="Q358" i="20"/>
  <c r="Q359" i="20"/>
  <c r="Q360" i="20"/>
  <c r="Q361" i="20"/>
  <c r="Q362" i="20"/>
  <c r="Q363" i="20"/>
  <c r="Q364" i="20"/>
  <c r="Q365" i="20"/>
  <c r="Q366" i="20"/>
  <c r="Q367" i="20"/>
  <c r="Q368" i="20"/>
  <c r="Q369" i="20"/>
  <c r="Q370" i="20"/>
  <c r="Q371" i="20"/>
  <c r="Q372" i="20"/>
  <c r="Q373" i="20"/>
  <c r="Q374" i="20"/>
  <c r="Q375" i="20"/>
  <c r="Q376" i="20"/>
  <c r="Q377" i="20"/>
  <c r="Q378" i="20"/>
  <c r="Q379" i="20"/>
  <c r="Q380" i="20"/>
  <c r="Q381" i="20"/>
  <c r="Q382" i="20"/>
  <c r="Q383" i="20"/>
  <c r="Q384" i="20"/>
  <c r="Q385" i="20"/>
  <c r="Q386" i="20"/>
  <c r="Q387" i="20"/>
  <c r="Q388" i="20"/>
  <c r="Q389" i="20"/>
  <c r="Q390" i="20"/>
  <c r="Q391" i="20"/>
  <c r="Q392" i="20"/>
  <c r="Q393" i="20"/>
  <c r="Q394" i="20"/>
  <c r="Q395" i="20"/>
  <c r="Q396" i="20"/>
  <c r="Q397" i="20"/>
  <c r="Q398" i="20"/>
  <c r="Q399" i="20"/>
  <c r="Q400" i="20"/>
  <c r="Q401" i="20"/>
  <c r="Q402" i="20"/>
  <c r="Q403" i="20"/>
  <c r="Q404" i="20"/>
  <c r="Q405" i="20"/>
  <c r="Q406" i="20"/>
  <c r="Q407" i="20"/>
  <c r="Q408" i="20"/>
  <c r="Q409" i="20"/>
  <c r="Q410" i="20"/>
  <c r="Q411" i="20"/>
  <c r="Q412" i="20"/>
  <c r="Q413" i="20"/>
  <c r="Q414" i="20"/>
  <c r="Q415" i="20"/>
  <c r="Q416" i="20"/>
  <c r="Q417" i="20"/>
  <c r="Q418" i="20"/>
  <c r="Q419" i="20"/>
  <c r="Q420" i="20"/>
  <c r="Q421" i="20"/>
  <c r="Q422" i="20"/>
  <c r="Q423" i="20"/>
  <c r="Q424" i="20"/>
  <c r="Q425" i="20"/>
  <c r="Q426" i="20"/>
  <c r="Q427" i="20"/>
  <c r="Q428" i="20"/>
  <c r="Q429" i="20"/>
  <c r="Q430" i="20"/>
  <c r="Q4" i="20"/>
  <c r="F9" i="12"/>
  <c r="A2" i="23"/>
  <c r="E29" i="12"/>
  <c r="J45" i="12"/>
  <c r="K45" i="12" s="1"/>
  <c r="J46" i="12"/>
  <c r="K46" i="12" s="1"/>
  <c r="J47" i="12"/>
  <c r="K47" i="12" s="1"/>
  <c r="J48" i="12"/>
  <c r="K48" i="12" s="1"/>
  <c r="J49" i="12"/>
  <c r="K49" i="12" s="1"/>
  <c r="J50" i="12"/>
  <c r="K50" i="12" s="1"/>
  <c r="J51" i="12"/>
  <c r="K51" i="12" s="1"/>
  <c r="J52" i="12"/>
  <c r="K52" i="12" s="1"/>
  <c r="J53" i="12"/>
  <c r="K53" i="12" s="1"/>
  <c r="J54" i="12"/>
  <c r="K54" i="12" s="1"/>
  <c r="J55" i="12"/>
  <c r="K55" i="12" s="1"/>
  <c r="J56" i="12"/>
  <c r="K56" i="12" s="1"/>
  <c r="J57" i="12"/>
  <c r="K57" i="12" s="1"/>
  <c r="J58" i="12"/>
  <c r="K58" i="12" s="1"/>
  <c r="J59" i="12"/>
  <c r="K59" i="12" s="1"/>
  <c r="J60" i="12"/>
  <c r="K60" i="12" s="1"/>
  <c r="J61" i="12"/>
  <c r="K61" i="12" s="1"/>
  <c r="J62" i="12"/>
  <c r="K62" i="12" s="1"/>
  <c r="J63" i="12"/>
  <c r="K63" i="12" s="1"/>
  <c r="J64" i="12"/>
  <c r="K64" i="12" s="1"/>
  <c r="J65" i="12"/>
  <c r="K65" i="12" s="1"/>
  <c r="A2" i="13"/>
  <c r="A2" i="20" l="1"/>
  <c r="I5" i="12"/>
  <c r="I6" i="12"/>
  <c r="I7" i="12"/>
  <c r="I8" i="12"/>
  <c r="I9" i="12"/>
  <c r="I10" i="12"/>
  <c r="I11" i="12"/>
  <c r="I12" i="12"/>
  <c r="I13" i="12"/>
  <c r="I14" i="12"/>
  <c r="I15" i="12"/>
  <c r="I16" i="12"/>
  <c r="H5" i="12"/>
  <c r="H6" i="12"/>
  <c r="H7" i="12"/>
  <c r="H8" i="12"/>
  <c r="H9" i="12"/>
  <c r="H10" i="12"/>
  <c r="H11" i="12"/>
  <c r="H12" i="12"/>
  <c r="H13" i="12"/>
  <c r="H14" i="12"/>
  <c r="H15" i="12"/>
  <c r="H16" i="12"/>
  <c r="J5" i="12"/>
  <c r="J6" i="12"/>
  <c r="J7" i="12"/>
  <c r="J8" i="12"/>
  <c r="J9" i="12"/>
  <c r="J10" i="12"/>
  <c r="J11" i="12"/>
  <c r="J12" i="12"/>
  <c r="J13" i="12"/>
  <c r="J14" i="12"/>
  <c r="J15" i="12"/>
  <c r="J16" i="12"/>
  <c r="F5" i="12"/>
  <c r="F6" i="12"/>
  <c r="F7" i="12"/>
  <c r="F8" i="12"/>
  <c r="F10" i="12"/>
  <c r="F11" i="12"/>
  <c r="F12" i="12"/>
  <c r="F13" i="12"/>
  <c r="F14" i="12"/>
  <c r="F15" i="12"/>
  <c r="F16" i="12"/>
  <c r="F4" i="12"/>
  <c r="J4" i="12"/>
  <c r="F135" i="19"/>
  <c r="F134" i="19"/>
  <c r="F133" i="19"/>
  <c r="F132" i="19"/>
  <c r="F131" i="19"/>
  <c r="F130" i="19"/>
  <c r="F129" i="19"/>
  <c r="F128" i="19"/>
  <c r="F127" i="19"/>
  <c r="F126" i="19"/>
  <c r="F125" i="19"/>
  <c r="F124" i="19"/>
  <c r="F123" i="19"/>
  <c r="F122" i="19"/>
  <c r="F121" i="19"/>
  <c r="F120" i="19"/>
  <c r="F119" i="19"/>
  <c r="F118" i="19"/>
  <c r="F117" i="19"/>
  <c r="F116" i="19"/>
  <c r="F115" i="19"/>
  <c r="F114" i="19"/>
  <c r="F113" i="19"/>
  <c r="F112" i="19"/>
  <c r="F111" i="19"/>
  <c r="F110" i="19"/>
  <c r="F109" i="19"/>
  <c r="F108" i="19"/>
  <c r="F107" i="19"/>
  <c r="F106" i="19"/>
  <c r="F105" i="19"/>
  <c r="F104" i="19"/>
  <c r="F103" i="19"/>
  <c r="F102" i="19"/>
  <c r="F101" i="19"/>
  <c r="F100" i="19"/>
  <c r="F99" i="19"/>
  <c r="F98" i="19"/>
  <c r="F97" i="19"/>
  <c r="F96" i="19"/>
  <c r="F95" i="19"/>
  <c r="F94" i="19"/>
  <c r="F93" i="19"/>
  <c r="F92" i="19"/>
  <c r="F91" i="19"/>
  <c r="F90" i="19"/>
  <c r="F89" i="19"/>
  <c r="F88" i="19"/>
  <c r="F87" i="19"/>
  <c r="F86" i="19"/>
  <c r="F85" i="19"/>
  <c r="F84" i="19"/>
  <c r="F83" i="19"/>
  <c r="F82" i="19"/>
  <c r="F81" i="19"/>
  <c r="F80" i="19"/>
  <c r="F79" i="19"/>
  <c r="F78" i="19"/>
  <c r="F77" i="19"/>
  <c r="F76" i="19"/>
  <c r="F75" i="19"/>
  <c r="F74" i="19"/>
  <c r="F73" i="19"/>
  <c r="F72" i="19"/>
  <c r="F71" i="19"/>
  <c r="F70" i="19"/>
  <c r="F69" i="19"/>
  <c r="F68" i="19"/>
  <c r="F67" i="19"/>
  <c r="F66" i="19"/>
  <c r="F65" i="19"/>
  <c r="F64" i="19"/>
  <c r="F63" i="19"/>
  <c r="F62" i="19"/>
  <c r="F61" i="19"/>
  <c r="F60" i="19"/>
  <c r="F59" i="19"/>
  <c r="F58" i="19"/>
  <c r="F57" i="19"/>
  <c r="F56" i="19"/>
  <c r="F55" i="19"/>
  <c r="F54" i="19"/>
  <c r="F53" i="19"/>
  <c r="F52" i="19"/>
  <c r="F51" i="19"/>
  <c r="F50" i="19"/>
  <c r="F49" i="19"/>
  <c r="F48" i="19"/>
  <c r="F47" i="19"/>
  <c r="F46" i="19"/>
  <c r="F45" i="19"/>
  <c r="F44" i="19"/>
  <c r="F43" i="19"/>
  <c r="F42" i="19"/>
  <c r="F41" i="19"/>
  <c r="F40" i="19"/>
  <c r="F39" i="19"/>
  <c r="F38" i="19"/>
  <c r="F37" i="19"/>
  <c r="F36" i="19"/>
  <c r="F35" i="19"/>
  <c r="F34" i="19"/>
  <c r="F33" i="19"/>
  <c r="F32" i="19"/>
  <c r="F31" i="19"/>
  <c r="F30" i="19"/>
  <c r="F29" i="19"/>
  <c r="F28" i="19"/>
  <c r="F27" i="19"/>
  <c r="F26" i="19"/>
  <c r="F25" i="19"/>
  <c r="F24" i="19"/>
  <c r="F23" i="19"/>
  <c r="F22" i="19"/>
  <c r="F21" i="19"/>
  <c r="F20" i="19"/>
  <c r="F19" i="19"/>
  <c r="F18" i="19"/>
  <c r="F17" i="19"/>
  <c r="F16" i="19"/>
  <c r="F15" i="19"/>
  <c r="F14" i="19"/>
  <c r="F13" i="19"/>
  <c r="F12" i="19"/>
  <c r="F11" i="19"/>
  <c r="F10" i="19"/>
  <c r="F9" i="19"/>
  <c r="F8" i="19"/>
  <c r="F7" i="19"/>
  <c r="F6" i="19"/>
  <c r="F5" i="19"/>
  <c r="F4" i="19"/>
  <c r="F3" i="19"/>
  <c r="F2" i="19"/>
  <c r="K12" i="20" l="1"/>
  <c r="K20" i="20"/>
  <c r="K28" i="20"/>
  <c r="K36" i="20"/>
  <c r="K44" i="20"/>
  <c r="K52" i="20"/>
  <c r="K60" i="20"/>
  <c r="K68" i="20"/>
  <c r="K76" i="20"/>
  <c r="K84" i="20"/>
  <c r="K92" i="20"/>
  <c r="K100" i="20"/>
  <c r="K108" i="20"/>
  <c r="K116" i="20"/>
  <c r="K124" i="20"/>
  <c r="K132" i="20"/>
  <c r="K140" i="20"/>
  <c r="K148" i="20"/>
  <c r="K156" i="20"/>
  <c r="K164" i="20"/>
  <c r="K172" i="20"/>
  <c r="K180" i="20"/>
  <c r="K188" i="20"/>
  <c r="K196" i="20"/>
  <c r="K204" i="20"/>
  <c r="K212" i="20"/>
  <c r="K220" i="20"/>
  <c r="K228" i="20"/>
  <c r="K236" i="20"/>
  <c r="K244" i="20"/>
  <c r="K252" i="20"/>
  <c r="K260" i="20"/>
  <c r="K268" i="20"/>
  <c r="K276" i="20"/>
  <c r="K284" i="20"/>
  <c r="K292" i="20"/>
  <c r="K300" i="20"/>
  <c r="K308" i="20"/>
  <c r="K316" i="20"/>
  <c r="K324" i="20"/>
  <c r="K332" i="20"/>
  <c r="K340" i="20"/>
  <c r="K348" i="20"/>
  <c r="K356" i="20"/>
  <c r="K364" i="20"/>
  <c r="K372" i="20"/>
  <c r="K380" i="20"/>
  <c r="K388" i="20"/>
  <c r="K396" i="20"/>
  <c r="K404" i="20"/>
  <c r="K412" i="20"/>
  <c r="K420" i="20"/>
  <c r="K428" i="20"/>
  <c r="K288" i="20"/>
  <c r="K376" i="20"/>
  <c r="K424" i="20"/>
  <c r="K5" i="20"/>
  <c r="K13" i="20"/>
  <c r="K21" i="20"/>
  <c r="K29" i="20"/>
  <c r="K37" i="20"/>
  <c r="K45" i="20"/>
  <c r="K53" i="20"/>
  <c r="K61" i="20"/>
  <c r="K69" i="20"/>
  <c r="K77" i="20"/>
  <c r="K85" i="20"/>
  <c r="K93" i="20"/>
  <c r="K101" i="20"/>
  <c r="K109" i="20"/>
  <c r="K117" i="20"/>
  <c r="K125" i="20"/>
  <c r="K133" i="20"/>
  <c r="K141" i="20"/>
  <c r="K149" i="20"/>
  <c r="K157" i="20"/>
  <c r="K165" i="20"/>
  <c r="K173" i="20"/>
  <c r="K181" i="20"/>
  <c r="K189" i="20"/>
  <c r="K197" i="20"/>
  <c r="K205" i="20"/>
  <c r="K213" i="20"/>
  <c r="K221" i="20"/>
  <c r="K229" i="20"/>
  <c r="K237" i="20"/>
  <c r="K245" i="20"/>
  <c r="K253" i="20"/>
  <c r="K261" i="20"/>
  <c r="K269" i="20"/>
  <c r="K277" i="20"/>
  <c r="K285" i="20"/>
  <c r="K293" i="20"/>
  <c r="K301" i="20"/>
  <c r="K309" i="20"/>
  <c r="K317" i="20"/>
  <c r="K325" i="20"/>
  <c r="K333" i="20"/>
  <c r="K341" i="20"/>
  <c r="K349" i="20"/>
  <c r="K357" i="20"/>
  <c r="K365" i="20"/>
  <c r="K373" i="20"/>
  <c r="K381" i="20"/>
  <c r="K389" i="20"/>
  <c r="K397" i="20"/>
  <c r="K405" i="20"/>
  <c r="K413" i="20"/>
  <c r="K421" i="20"/>
  <c r="K429" i="20"/>
  <c r="K264" i="20"/>
  <c r="K272" i="20"/>
  <c r="K296" i="20"/>
  <c r="K320" i="20"/>
  <c r="K336" i="20"/>
  <c r="K360" i="20"/>
  <c r="K392" i="20"/>
  <c r="K408" i="20"/>
  <c r="K6" i="20"/>
  <c r="K14" i="20"/>
  <c r="K22" i="20"/>
  <c r="K30" i="20"/>
  <c r="K38" i="20"/>
  <c r="K46" i="20"/>
  <c r="K54" i="20"/>
  <c r="K62" i="20"/>
  <c r="K70" i="20"/>
  <c r="K78" i="20"/>
  <c r="K86" i="20"/>
  <c r="K94" i="20"/>
  <c r="K102" i="20"/>
  <c r="K110" i="20"/>
  <c r="K118" i="20"/>
  <c r="K126" i="20"/>
  <c r="K134" i="20"/>
  <c r="K142" i="20"/>
  <c r="K150" i="20"/>
  <c r="K158" i="20"/>
  <c r="K166" i="20"/>
  <c r="K174" i="20"/>
  <c r="K182" i="20"/>
  <c r="K190" i="20"/>
  <c r="K198" i="20"/>
  <c r="K206" i="20"/>
  <c r="K214" i="20"/>
  <c r="K222" i="20"/>
  <c r="K230" i="20"/>
  <c r="K238" i="20"/>
  <c r="K246" i="20"/>
  <c r="K254" i="20"/>
  <c r="K262" i="20"/>
  <c r="K270" i="20"/>
  <c r="K278" i="20"/>
  <c r="K286" i="20"/>
  <c r="K294" i="20"/>
  <c r="K302" i="20"/>
  <c r="K310" i="20"/>
  <c r="K318" i="20"/>
  <c r="K326" i="20"/>
  <c r="K334" i="20"/>
  <c r="K342" i="20"/>
  <c r="K350" i="20"/>
  <c r="K358" i="20"/>
  <c r="K366" i="20"/>
  <c r="K374" i="20"/>
  <c r="K382" i="20"/>
  <c r="K390" i="20"/>
  <c r="K398" i="20"/>
  <c r="K406" i="20"/>
  <c r="K414" i="20"/>
  <c r="K422" i="20"/>
  <c r="K430" i="20"/>
  <c r="K248" i="20"/>
  <c r="K280" i="20"/>
  <c r="K304" i="20"/>
  <c r="K328" i="20"/>
  <c r="K344" i="20"/>
  <c r="K368" i="20"/>
  <c r="K400" i="20"/>
  <c r="K7" i="20"/>
  <c r="M7" i="20" s="1" a="1"/>
  <c r="M7" i="20" s="1"/>
  <c r="K15" i="20"/>
  <c r="K23" i="20"/>
  <c r="K31" i="20"/>
  <c r="K39" i="20"/>
  <c r="K47" i="20"/>
  <c r="K55" i="20"/>
  <c r="K63" i="20"/>
  <c r="K71" i="20"/>
  <c r="K79" i="20"/>
  <c r="K87" i="20"/>
  <c r="K95" i="20"/>
  <c r="K103" i="20"/>
  <c r="K111" i="20"/>
  <c r="K119" i="20"/>
  <c r="K127" i="20"/>
  <c r="K135" i="20"/>
  <c r="K143" i="20"/>
  <c r="K151" i="20"/>
  <c r="K159" i="20"/>
  <c r="K167" i="20"/>
  <c r="K175" i="20"/>
  <c r="K183" i="20"/>
  <c r="K191" i="20"/>
  <c r="K199" i="20"/>
  <c r="K207" i="20"/>
  <c r="K215" i="20"/>
  <c r="K223" i="20"/>
  <c r="K231" i="20"/>
  <c r="K239" i="20"/>
  <c r="K247" i="20"/>
  <c r="K255" i="20"/>
  <c r="K263" i="20"/>
  <c r="K271" i="20"/>
  <c r="K279" i="20"/>
  <c r="K287" i="20"/>
  <c r="K295" i="20"/>
  <c r="K303" i="20"/>
  <c r="K311" i="20"/>
  <c r="K319" i="20"/>
  <c r="K327" i="20"/>
  <c r="K335" i="20"/>
  <c r="K343" i="20"/>
  <c r="K351" i="20"/>
  <c r="K359" i="20"/>
  <c r="K367" i="20"/>
  <c r="K375" i="20"/>
  <c r="K383" i="20"/>
  <c r="K391" i="20"/>
  <c r="K399" i="20"/>
  <c r="K407" i="20"/>
  <c r="K415" i="20"/>
  <c r="K423" i="20"/>
  <c r="K4" i="20"/>
  <c r="K256" i="20"/>
  <c r="K312" i="20"/>
  <c r="K352" i="20"/>
  <c r="K384" i="20"/>
  <c r="K416" i="20"/>
  <c r="K8" i="20"/>
  <c r="K16" i="20"/>
  <c r="K24" i="20"/>
  <c r="K32" i="20"/>
  <c r="K40" i="20"/>
  <c r="K48" i="20"/>
  <c r="K56" i="20"/>
  <c r="K64" i="20"/>
  <c r="K72" i="20"/>
  <c r="K80" i="20"/>
  <c r="K88" i="20"/>
  <c r="K96" i="20"/>
  <c r="K104" i="20"/>
  <c r="K112" i="20"/>
  <c r="K120" i="20"/>
  <c r="K128" i="20"/>
  <c r="K136" i="20"/>
  <c r="K144" i="20"/>
  <c r="K152" i="20"/>
  <c r="K160" i="20"/>
  <c r="K168" i="20"/>
  <c r="K176" i="20"/>
  <c r="K184" i="20"/>
  <c r="K192" i="20"/>
  <c r="K200" i="20"/>
  <c r="K208" i="20"/>
  <c r="K216" i="20"/>
  <c r="K224" i="20"/>
  <c r="K232" i="20"/>
  <c r="K240" i="20"/>
  <c r="K9" i="20"/>
  <c r="K17" i="20"/>
  <c r="K25" i="20"/>
  <c r="K33" i="20"/>
  <c r="K41" i="20"/>
  <c r="K49" i="20"/>
  <c r="K57" i="20"/>
  <c r="K65" i="20"/>
  <c r="K73" i="20"/>
  <c r="K81" i="20"/>
  <c r="K89" i="20"/>
  <c r="K97" i="20"/>
  <c r="K105" i="20"/>
  <c r="K113" i="20"/>
  <c r="K121" i="20"/>
  <c r="K129" i="20"/>
  <c r="K137" i="20"/>
  <c r="K145" i="20"/>
  <c r="K153" i="20"/>
  <c r="K161" i="20"/>
  <c r="K169" i="20"/>
  <c r="K177" i="20"/>
  <c r="K185" i="20"/>
  <c r="K193" i="20"/>
  <c r="K201" i="20"/>
  <c r="K209" i="20"/>
  <c r="K217" i="20"/>
  <c r="K225" i="20"/>
  <c r="K233" i="20"/>
  <c r="K241" i="20"/>
  <c r="K249" i="20"/>
  <c r="K257" i="20"/>
  <c r="K265" i="20"/>
  <c r="K273" i="20"/>
  <c r="K281" i="20"/>
  <c r="K289" i="20"/>
  <c r="K297" i="20"/>
  <c r="K305" i="20"/>
  <c r="K313" i="20"/>
  <c r="K321" i="20"/>
  <c r="K329" i="20"/>
  <c r="K337" i="20"/>
  <c r="K345" i="20"/>
  <c r="K353" i="20"/>
  <c r="K361" i="20"/>
  <c r="K369" i="20"/>
  <c r="K377" i="20"/>
  <c r="K385" i="20"/>
  <c r="K393" i="20"/>
  <c r="K401" i="20"/>
  <c r="K409" i="20"/>
  <c r="K417" i="20"/>
  <c r="K425" i="20"/>
  <c r="K10" i="20"/>
  <c r="K18" i="20"/>
  <c r="K26" i="20"/>
  <c r="K34" i="20"/>
  <c r="K42" i="20"/>
  <c r="K50" i="20"/>
  <c r="K58" i="20"/>
  <c r="K66" i="20"/>
  <c r="K74" i="20"/>
  <c r="K82" i="20"/>
  <c r="K90" i="20"/>
  <c r="K98" i="20"/>
  <c r="K106" i="20"/>
  <c r="K114" i="20"/>
  <c r="K122" i="20"/>
  <c r="K130" i="20"/>
  <c r="K138" i="20"/>
  <c r="K146" i="20"/>
  <c r="K154" i="20"/>
  <c r="K162" i="20"/>
  <c r="K170" i="20"/>
  <c r="K178" i="20"/>
  <c r="K186" i="20"/>
  <c r="K194" i="20"/>
  <c r="K202" i="20"/>
  <c r="K210" i="20"/>
  <c r="K218" i="20"/>
  <c r="K226" i="20"/>
  <c r="K234" i="20"/>
  <c r="K242" i="20"/>
  <c r="K250" i="20"/>
  <c r="K258" i="20"/>
  <c r="K266" i="20"/>
  <c r="K274" i="20"/>
  <c r="K282" i="20"/>
  <c r="K290" i="20"/>
  <c r="K298" i="20"/>
  <c r="K306" i="20"/>
  <c r="K314" i="20"/>
  <c r="K322" i="20"/>
  <c r="K330" i="20"/>
  <c r="K338" i="20"/>
  <c r="K346" i="20"/>
  <c r="K354" i="20"/>
  <c r="K362" i="20"/>
  <c r="K370" i="20"/>
  <c r="K378" i="20"/>
  <c r="K386" i="20"/>
  <c r="K394" i="20"/>
  <c r="K402" i="20"/>
  <c r="K410" i="20"/>
  <c r="K418" i="20"/>
  <c r="K426" i="20"/>
  <c r="K11" i="20"/>
  <c r="K19" i="20"/>
  <c r="K27" i="20"/>
  <c r="K35" i="20"/>
  <c r="K43" i="20"/>
  <c r="K51" i="20"/>
  <c r="K59" i="20"/>
  <c r="K67" i="20"/>
  <c r="K75" i="20"/>
  <c r="K83" i="20"/>
  <c r="K91" i="20"/>
  <c r="K99" i="20"/>
  <c r="K107" i="20"/>
  <c r="K115" i="20"/>
  <c r="K123" i="20"/>
  <c r="K131" i="20"/>
  <c r="K139" i="20"/>
  <c r="K147" i="20"/>
  <c r="K155" i="20"/>
  <c r="K163" i="20"/>
  <c r="K171" i="20"/>
  <c r="K179" i="20"/>
  <c r="K187" i="20"/>
  <c r="K195" i="20"/>
  <c r="K203" i="20"/>
  <c r="K211" i="20"/>
  <c r="K219" i="20"/>
  <c r="K227" i="20"/>
  <c r="K235" i="20"/>
  <c r="K243" i="20"/>
  <c r="K251" i="20"/>
  <c r="K259" i="20"/>
  <c r="K267" i="20"/>
  <c r="K275" i="20"/>
  <c r="K283" i="20"/>
  <c r="K291" i="20"/>
  <c r="K299" i="20"/>
  <c r="K307" i="20"/>
  <c r="K315" i="20"/>
  <c r="K323" i="20"/>
  <c r="K331" i="20"/>
  <c r="K339" i="20"/>
  <c r="K347" i="20"/>
  <c r="K355" i="20"/>
  <c r="K363" i="20"/>
  <c r="K371" i="20"/>
  <c r="K379" i="20"/>
  <c r="K387" i="20"/>
  <c r="K395" i="20"/>
  <c r="K403" i="20"/>
  <c r="K411" i="20"/>
  <c r="K419" i="20"/>
  <c r="K427" i="20"/>
  <c r="B201" i="15"/>
  <c r="C201" i="15"/>
  <c r="D201" i="15"/>
  <c r="E201" i="15"/>
  <c r="F201" i="15"/>
  <c r="G201" i="15"/>
  <c r="H201" i="15"/>
  <c r="I201" i="15"/>
  <c r="J201" i="15"/>
  <c r="K201" i="15"/>
  <c r="L201" i="15"/>
  <c r="M201" i="15"/>
  <c r="N201" i="15"/>
  <c r="O201" i="15"/>
  <c r="P201" i="15"/>
  <c r="Q201" i="15"/>
  <c r="R201" i="15"/>
  <c r="S201" i="15"/>
  <c r="T201" i="15"/>
  <c r="U201" i="15"/>
  <c r="V201" i="15"/>
  <c r="W201" i="15"/>
  <c r="X201" i="15"/>
  <c r="Y201" i="15"/>
  <c r="Z201" i="15"/>
  <c r="AA201" i="15"/>
  <c r="AB201" i="15"/>
  <c r="AC201" i="15"/>
  <c r="AD201" i="15"/>
  <c r="AE201" i="15"/>
  <c r="AF201" i="15"/>
  <c r="AG201" i="15"/>
  <c r="AH201" i="15"/>
  <c r="AI201" i="15"/>
  <c r="AJ201" i="15"/>
  <c r="AK201" i="15"/>
  <c r="AL201" i="15"/>
  <c r="AM201" i="15"/>
  <c r="AN201" i="15"/>
  <c r="AO201" i="15"/>
  <c r="AP201" i="15"/>
  <c r="AQ201" i="15"/>
  <c r="AR201" i="15"/>
  <c r="AS201" i="15"/>
  <c r="AT201" i="15"/>
  <c r="AU201" i="15"/>
  <c r="AV201" i="15"/>
  <c r="AW201" i="15"/>
  <c r="AX201" i="15"/>
  <c r="AY201" i="15"/>
  <c r="AZ201" i="15"/>
  <c r="BA201" i="15"/>
  <c r="BB201" i="15"/>
  <c r="BC201" i="15"/>
  <c r="BD201" i="15"/>
  <c r="BE201" i="15"/>
  <c r="BF201" i="15"/>
  <c r="BG201" i="15"/>
  <c r="BH201" i="15"/>
  <c r="BI201" i="15"/>
  <c r="BJ201" i="15"/>
  <c r="BK201" i="15"/>
  <c r="BL201" i="15"/>
  <c r="BM201" i="15"/>
  <c r="BN201" i="15"/>
  <c r="BO201" i="15"/>
  <c r="BP201" i="15"/>
  <c r="BQ201" i="15"/>
  <c r="BR201" i="15"/>
  <c r="BS201" i="15"/>
  <c r="BT201" i="15"/>
  <c r="BU201" i="15"/>
  <c r="BV201" i="15"/>
  <c r="BW201" i="15"/>
  <c r="BX201" i="15"/>
  <c r="BY201" i="15"/>
  <c r="BZ201" i="15"/>
  <c r="CA201" i="15"/>
  <c r="CB201" i="15"/>
  <c r="CC201" i="15"/>
  <c r="CD201" i="15"/>
  <c r="CE201" i="15"/>
  <c r="CF201" i="15"/>
  <c r="CG201" i="15"/>
  <c r="CH201" i="15"/>
  <c r="CI201" i="15"/>
  <c r="CJ201" i="15"/>
  <c r="CK201" i="15"/>
  <c r="CL201" i="15"/>
  <c r="CM201" i="15"/>
  <c r="CN201" i="15"/>
  <c r="CO201" i="15"/>
  <c r="CP201" i="15"/>
  <c r="CQ201" i="15"/>
  <c r="CR201" i="15"/>
  <c r="CS201" i="15"/>
  <c r="CT201" i="15"/>
  <c r="CU201" i="15"/>
  <c r="CV201" i="15"/>
  <c r="CW201" i="15"/>
  <c r="CX201" i="15"/>
  <c r="CY201" i="15"/>
  <c r="CZ201" i="15"/>
  <c r="DA201" i="15"/>
  <c r="DB201" i="15"/>
  <c r="DC201" i="15"/>
  <c r="DD201" i="15"/>
  <c r="DE201" i="15"/>
  <c r="DF201" i="15"/>
  <c r="DG201" i="15"/>
  <c r="DH201" i="15"/>
  <c r="DI201" i="15"/>
  <c r="DJ201" i="15"/>
  <c r="DK201" i="15"/>
  <c r="DL201" i="15"/>
  <c r="DM201" i="15"/>
  <c r="DN201" i="15"/>
  <c r="DO201" i="15"/>
  <c r="DP201" i="15"/>
  <c r="DQ201" i="15"/>
  <c r="DR201" i="15"/>
  <c r="DS201" i="15"/>
  <c r="DT201" i="15"/>
  <c r="DU201" i="15"/>
  <c r="DV201" i="15"/>
  <c r="DW201" i="15"/>
  <c r="DX201" i="15"/>
  <c r="DY201" i="15"/>
  <c r="DZ201" i="15"/>
  <c r="EA201" i="15"/>
  <c r="EB201" i="15"/>
  <c r="EC201" i="15"/>
  <c r="ED201" i="15"/>
  <c r="EE201" i="15"/>
  <c r="EF201" i="15"/>
  <c r="EG201" i="15"/>
  <c r="EH201" i="15"/>
  <c r="EI201" i="15"/>
  <c r="EJ201" i="15"/>
  <c r="EK201" i="15"/>
  <c r="EL201" i="15"/>
  <c r="EM201" i="15"/>
  <c r="EN201" i="15"/>
  <c r="EO201" i="15"/>
  <c r="EP201" i="15"/>
  <c r="EQ201" i="15"/>
  <c r="ER201" i="15"/>
  <c r="ES201" i="15"/>
  <c r="ET201" i="15"/>
  <c r="EU201" i="15"/>
  <c r="EV201" i="15"/>
  <c r="EW201" i="15"/>
  <c r="EX201" i="15"/>
  <c r="EY201" i="15"/>
  <c r="EZ201" i="15"/>
  <c r="FA201" i="15"/>
  <c r="FB201" i="15"/>
  <c r="FC201" i="15"/>
  <c r="FD201" i="15"/>
  <c r="FE201" i="15"/>
  <c r="FF201" i="15"/>
  <c r="FG201" i="15"/>
  <c r="FH201" i="15"/>
  <c r="FI201" i="15"/>
  <c r="FJ201" i="15"/>
  <c r="FK201" i="15"/>
  <c r="FL201" i="15"/>
  <c r="B202" i="15"/>
  <c r="C202" i="15"/>
  <c r="D202" i="15"/>
  <c r="E202" i="15"/>
  <c r="F202" i="15"/>
  <c r="G202" i="15"/>
  <c r="H202" i="15"/>
  <c r="I202" i="15"/>
  <c r="J202" i="15"/>
  <c r="K202" i="15"/>
  <c r="L202" i="15"/>
  <c r="M202" i="15"/>
  <c r="N202" i="15"/>
  <c r="O202" i="15"/>
  <c r="P202" i="15"/>
  <c r="Q202" i="15"/>
  <c r="R202" i="15"/>
  <c r="S202" i="15"/>
  <c r="T202" i="15"/>
  <c r="U202" i="15"/>
  <c r="V202" i="15"/>
  <c r="W202" i="15"/>
  <c r="X202" i="15"/>
  <c r="Y202" i="15"/>
  <c r="Z202" i="15"/>
  <c r="AA202" i="15"/>
  <c r="AB202" i="15"/>
  <c r="AC202" i="15"/>
  <c r="AD202" i="15"/>
  <c r="AE202" i="15"/>
  <c r="AF202" i="15"/>
  <c r="AG202" i="15"/>
  <c r="AH202" i="15"/>
  <c r="AI202" i="15"/>
  <c r="AJ202" i="15"/>
  <c r="AK202" i="15"/>
  <c r="AL202" i="15"/>
  <c r="AM202" i="15"/>
  <c r="AN202" i="15"/>
  <c r="AO202" i="15"/>
  <c r="AP202" i="15"/>
  <c r="AQ202" i="15"/>
  <c r="AR202" i="15"/>
  <c r="AS202" i="15"/>
  <c r="AT202" i="15"/>
  <c r="AU202" i="15"/>
  <c r="AV202" i="15"/>
  <c r="AW202" i="15"/>
  <c r="AX202" i="15"/>
  <c r="AY202" i="15"/>
  <c r="AZ202" i="15"/>
  <c r="BA202" i="15"/>
  <c r="BB202" i="15"/>
  <c r="BC202" i="15"/>
  <c r="BD202" i="15"/>
  <c r="BE202" i="15"/>
  <c r="BF202" i="15"/>
  <c r="BG202" i="15"/>
  <c r="BH202" i="15"/>
  <c r="BI202" i="15"/>
  <c r="BJ202" i="15"/>
  <c r="BK202" i="15"/>
  <c r="BL202" i="15"/>
  <c r="BM202" i="15"/>
  <c r="BN202" i="15"/>
  <c r="BO202" i="15"/>
  <c r="BP202" i="15"/>
  <c r="BQ202" i="15"/>
  <c r="BR202" i="15"/>
  <c r="BS202" i="15"/>
  <c r="BT202" i="15"/>
  <c r="BU202" i="15"/>
  <c r="BV202" i="15"/>
  <c r="BW202" i="15"/>
  <c r="BX202" i="15"/>
  <c r="BY202" i="15"/>
  <c r="BZ202" i="15"/>
  <c r="CA202" i="15"/>
  <c r="CB202" i="15"/>
  <c r="CC202" i="15"/>
  <c r="CD202" i="15"/>
  <c r="CE202" i="15"/>
  <c r="CF202" i="15"/>
  <c r="CG202" i="15"/>
  <c r="CH202" i="15"/>
  <c r="CI202" i="15"/>
  <c r="CJ202" i="15"/>
  <c r="CK202" i="15"/>
  <c r="CL202" i="15"/>
  <c r="CM202" i="15"/>
  <c r="CN202" i="15"/>
  <c r="CO202" i="15"/>
  <c r="CP202" i="15"/>
  <c r="CQ202" i="15"/>
  <c r="CR202" i="15"/>
  <c r="CS202" i="15"/>
  <c r="CT202" i="15"/>
  <c r="CU202" i="15"/>
  <c r="CV202" i="15"/>
  <c r="CW202" i="15"/>
  <c r="CX202" i="15"/>
  <c r="CY202" i="15"/>
  <c r="CZ202" i="15"/>
  <c r="DA202" i="15"/>
  <c r="DB202" i="15"/>
  <c r="DC202" i="15"/>
  <c r="DD202" i="15"/>
  <c r="DE202" i="15"/>
  <c r="DF202" i="15"/>
  <c r="DG202" i="15"/>
  <c r="DH202" i="15"/>
  <c r="DI202" i="15"/>
  <c r="DJ202" i="15"/>
  <c r="DK202" i="15"/>
  <c r="DL202" i="15"/>
  <c r="DM202" i="15"/>
  <c r="DN202" i="15"/>
  <c r="DO202" i="15"/>
  <c r="DP202" i="15"/>
  <c r="DQ202" i="15"/>
  <c r="DR202" i="15"/>
  <c r="DS202" i="15"/>
  <c r="DT202" i="15"/>
  <c r="DU202" i="15"/>
  <c r="DV202" i="15"/>
  <c r="DW202" i="15"/>
  <c r="DX202" i="15"/>
  <c r="DY202" i="15"/>
  <c r="DZ202" i="15"/>
  <c r="EA202" i="15"/>
  <c r="EB202" i="15"/>
  <c r="EC202" i="15"/>
  <c r="ED202" i="15"/>
  <c r="EE202" i="15"/>
  <c r="EF202" i="15"/>
  <c r="EG202" i="15"/>
  <c r="EH202" i="15"/>
  <c r="EI202" i="15"/>
  <c r="EJ202" i="15"/>
  <c r="EK202" i="15"/>
  <c r="EL202" i="15"/>
  <c r="EM202" i="15"/>
  <c r="EN202" i="15"/>
  <c r="EO202" i="15"/>
  <c r="EP202" i="15"/>
  <c r="EQ202" i="15"/>
  <c r="ER202" i="15"/>
  <c r="ES202" i="15"/>
  <c r="ET202" i="15"/>
  <c r="EU202" i="15"/>
  <c r="EV202" i="15"/>
  <c r="EW202" i="15"/>
  <c r="EX202" i="15"/>
  <c r="EY202" i="15"/>
  <c r="EZ202" i="15"/>
  <c r="FA202" i="15"/>
  <c r="FB202" i="15"/>
  <c r="FC202" i="15"/>
  <c r="FD202" i="15"/>
  <c r="FE202" i="15"/>
  <c r="FF202" i="15"/>
  <c r="FG202" i="15"/>
  <c r="FH202" i="15"/>
  <c r="FI202" i="15"/>
  <c r="FJ202" i="15"/>
  <c r="FK202" i="15"/>
  <c r="FL202" i="15"/>
  <c r="B203" i="15"/>
  <c r="C203" i="15"/>
  <c r="D203" i="15"/>
  <c r="E203" i="15"/>
  <c r="F203" i="15"/>
  <c r="G203" i="15"/>
  <c r="H203" i="15"/>
  <c r="I203" i="15"/>
  <c r="J203" i="15"/>
  <c r="K203" i="15"/>
  <c r="L203" i="15"/>
  <c r="M203" i="15"/>
  <c r="N203" i="15"/>
  <c r="O203" i="15"/>
  <c r="P203" i="15"/>
  <c r="Q203" i="15"/>
  <c r="R203" i="15"/>
  <c r="S203" i="15"/>
  <c r="T203" i="15"/>
  <c r="U203" i="15"/>
  <c r="V203" i="15"/>
  <c r="W203" i="15"/>
  <c r="X203" i="15"/>
  <c r="Y203" i="15"/>
  <c r="Z203" i="15"/>
  <c r="AA203" i="15"/>
  <c r="AB203" i="15"/>
  <c r="AC203" i="15"/>
  <c r="AD203" i="15"/>
  <c r="AE203" i="15"/>
  <c r="AF203" i="15"/>
  <c r="AG203" i="15"/>
  <c r="AH203" i="15"/>
  <c r="AI203" i="15"/>
  <c r="AJ203" i="15"/>
  <c r="AK203" i="15"/>
  <c r="AL203" i="15"/>
  <c r="AM203" i="15"/>
  <c r="AN203" i="15"/>
  <c r="AO203" i="15"/>
  <c r="AP203" i="15"/>
  <c r="AQ203" i="15"/>
  <c r="AR203" i="15"/>
  <c r="AS203" i="15"/>
  <c r="AT203" i="15"/>
  <c r="AU203" i="15"/>
  <c r="AV203" i="15"/>
  <c r="AW203" i="15"/>
  <c r="AX203" i="15"/>
  <c r="AY203" i="15"/>
  <c r="AZ203" i="15"/>
  <c r="BA203" i="15"/>
  <c r="BB203" i="15"/>
  <c r="BC203" i="15"/>
  <c r="BD203" i="15"/>
  <c r="BE203" i="15"/>
  <c r="BF203" i="15"/>
  <c r="BG203" i="15"/>
  <c r="BH203" i="15"/>
  <c r="BI203" i="15"/>
  <c r="BJ203" i="15"/>
  <c r="BK203" i="15"/>
  <c r="BL203" i="15"/>
  <c r="BM203" i="15"/>
  <c r="BN203" i="15"/>
  <c r="BO203" i="15"/>
  <c r="BP203" i="15"/>
  <c r="BQ203" i="15"/>
  <c r="BR203" i="15"/>
  <c r="BS203" i="15"/>
  <c r="BT203" i="15"/>
  <c r="BU203" i="15"/>
  <c r="BV203" i="15"/>
  <c r="BW203" i="15"/>
  <c r="BX203" i="15"/>
  <c r="BY203" i="15"/>
  <c r="BZ203" i="15"/>
  <c r="CA203" i="15"/>
  <c r="CB203" i="15"/>
  <c r="CC203" i="15"/>
  <c r="CD203" i="15"/>
  <c r="CE203" i="15"/>
  <c r="CF203" i="15"/>
  <c r="CG203" i="15"/>
  <c r="CH203" i="15"/>
  <c r="CI203" i="15"/>
  <c r="CJ203" i="15"/>
  <c r="CK203" i="15"/>
  <c r="CL203" i="15"/>
  <c r="CM203" i="15"/>
  <c r="CN203" i="15"/>
  <c r="CO203" i="15"/>
  <c r="CP203" i="15"/>
  <c r="CQ203" i="15"/>
  <c r="CR203" i="15"/>
  <c r="CS203" i="15"/>
  <c r="CT203" i="15"/>
  <c r="CU203" i="15"/>
  <c r="CV203" i="15"/>
  <c r="CW203" i="15"/>
  <c r="CX203" i="15"/>
  <c r="CY203" i="15"/>
  <c r="CZ203" i="15"/>
  <c r="DA203" i="15"/>
  <c r="DB203" i="15"/>
  <c r="DC203" i="15"/>
  <c r="DD203" i="15"/>
  <c r="DE203" i="15"/>
  <c r="DF203" i="15"/>
  <c r="DG203" i="15"/>
  <c r="DH203" i="15"/>
  <c r="DI203" i="15"/>
  <c r="DJ203" i="15"/>
  <c r="DK203" i="15"/>
  <c r="DL203" i="15"/>
  <c r="DM203" i="15"/>
  <c r="DN203" i="15"/>
  <c r="DO203" i="15"/>
  <c r="DP203" i="15"/>
  <c r="DQ203" i="15"/>
  <c r="DR203" i="15"/>
  <c r="DS203" i="15"/>
  <c r="DT203" i="15"/>
  <c r="DU203" i="15"/>
  <c r="DV203" i="15"/>
  <c r="DW203" i="15"/>
  <c r="DX203" i="15"/>
  <c r="DY203" i="15"/>
  <c r="DZ203" i="15"/>
  <c r="EA203" i="15"/>
  <c r="EB203" i="15"/>
  <c r="EC203" i="15"/>
  <c r="ED203" i="15"/>
  <c r="EE203" i="15"/>
  <c r="EF203" i="15"/>
  <c r="EG203" i="15"/>
  <c r="EH203" i="15"/>
  <c r="EI203" i="15"/>
  <c r="EJ203" i="15"/>
  <c r="EK203" i="15"/>
  <c r="EL203" i="15"/>
  <c r="EM203" i="15"/>
  <c r="EN203" i="15"/>
  <c r="EO203" i="15"/>
  <c r="EP203" i="15"/>
  <c r="EQ203" i="15"/>
  <c r="ER203" i="15"/>
  <c r="ES203" i="15"/>
  <c r="ET203" i="15"/>
  <c r="EU203" i="15"/>
  <c r="EV203" i="15"/>
  <c r="EW203" i="15"/>
  <c r="EX203" i="15"/>
  <c r="EY203" i="15"/>
  <c r="EZ203" i="15"/>
  <c r="FA203" i="15"/>
  <c r="FB203" i="15"/>
  <c r="FC203" i="15"/>
  <c r="FD203" i="15"/>
  <c r="FE203" i="15"/>
  <c r="FF203" i="15"/>
  <c r="FG203" i="15"/>
  <c r="FH203" i="15"/>
  <c r="FI203" i="15"/>
  <c r="FJ203" i="15"/>
  <c r="FK203" i="15"/>
  <c r="FL203" i="15"/>
  <c r="B204" i="15"/>
  <c r="C204" i="15"/>
  <c r="D204" i="15"/>
  <c r="E204" i="15"/>
  <c r="F204" i="15"/>
  <c r="G204" i="15"/>
  <c r="H204" i="15"/>
  <c r="I204" i="15"/>
  <c r="J204" i="15"/>
  <c r="K204" i="15"/>
  <c r="L204" i="15"/>
  <c r="M204" i="15"/>
  <c r="N204" i="15"/>
  <c r="O204" i="15"/>
  <c r="P204" i="15"/>
  <c r="Q204" i="15"/>
  <c r="R204" i="15"/>
  <c r="S204" i="15"/>
  <c r="T204" i="15"/>
  <c r="U204" i="15"/>
  <c r="V204" i="15"/>
  <c r="W204" i="15"/>
  <c r="X204" i="15"/>
  <c r="Y204" i="15"/>
  <c r="Z204" i="15"/>
  <c r="AA204" i="15"/>
  <c r="AB204" i="15"/>
  <c r="AC204" i="15"/>
  <c r="AD204" i="15"/>
  <c r="AE204" i="15"/>
  <c r="AF204" i="15"/>
  <c r="AG204" i="15"/>
  <c r="AH204" i="15"/>
  <c r="AI204" i="15"/>
  <c r="AJ204" i="15"/>
  <c r="AK204" i="15"/>
  <c r="AL204" i="15"/>
  <c r="AM204" i="15"/>
  <c r="AN204" i="15"/>
  <c r="AO204" i="15"/>
  <c r="AP204" i="15"/>
  <c r="AQ204" i="15"/>
  <c r="AR204" i="15"/>
  <c r="AS204" i="15"/>
  <c r="AT204" i="15"/>
  <c r="AU204" i="15"/>
  <c r="AV204" i="15"/>
  <c r="AW204" i="15"/>
  <c r="AX204" i="15"/>
  <c r="AY204" i="15"/>
  <c r="AZ204" i="15"/>
  <c r="BA204" i="15"/>
  <c r="BB204" i="15"/>
  <c r="BC204" i="15"/>
  <c r="BD204" i="15"/>
  <c r="BE204" i="15"/>
  <c r="BF204" i="15"/>
  <c r="BG204" i="15"/>
  <c r="BH204" i="15"/>
  <c r="BI204" i="15"/>
  <c r="BJ204" i="15"/>
  <c r="BK204" i="15"/>
  <c r="BL204" i="15"/>
  <c r="BM204" i="15"/>
  <c r="BN204" i="15"/>
  <c r="BO204" i="15"/>
  <c r="BP204" i="15"/>
  <c r="BQ204" i="15"/>
  <c r="BR204" i="15"/>
  <c r="BS204" i="15"/>
  <c r="BT204" i="15"/>
  <c r="BU204" i="15"/>
  <c r="BV204" i="15"/>
  <c r="BW204" i="15"/>
  <c r="BX204" i="15"/>
  <c r="BY204" i="15"/>
  <c r="BZ204" i="15"/>
  <c r="CA204" i="15"/>
  <c r="CB204" i="15"/>
  <c r="CC204" i="15"/>
  <c r="CD204" i="15"/>
  <c r="CE204" i="15"/>
  <c r="CF204" i="15"/>
  <c r="CG204" i="15"/>
  <c r="CH204" i="15"/>
  <c r="CI204" i="15"/>
  <c r="CJ204" i="15"/>
  <c r="CK204" i="15"/>
  <c r="CL204" i="15"/>
  <c r="CM204" i="15"/>
  <c r="CN204" i="15"/>
  <c r="CO204" i="15"/>
  <c r="CP204" i="15"/>
  <c r="CQ204" i="15"/>
  <c r="CR204" i="15"/>
  <c r="CS204" i="15"/>
  <c r="CT204" i="15"/>
  <c r="CU204" i="15"/>
  <c r="CV204" i="15"/>
  <c r="CW204" i="15"/>
  <c r="CX204" i="15"/>
  <c r="CY204" i="15"/>
  <c r="CZ204" i="15"/>
  <c r="DA204" i="15"/>
  <c r="DB204" i="15"/>
  <c r="DC204" i="15"/>
  <c r="DD204" i="15"/>
  <c r="DE204" i="15"/>
  <c r="DF204" i="15"/>
  <c r="DG204" i="15"/>
  <c r="DH204" i="15"/>
  <c r="DI204" i="15"/>
  <c r="DJ204" i="15"/>
  <c r="DK204" i="15"/>
  <c r="DL204" i="15"/>
  <c r="DM204" i="15"/>
  <c r="DN204" i="15"/>
  <c r="DO204" i="15"/>
  <c r="DP204" i="15"/>
  <c r="DQ204" i="15"/>
  <c r="DR204" i="15"/>
  <c r="DS204" i="15"/>
  <c r="DT204" i="15"/>
  <c r="DU204" i="15"/>
  <c r="DV204" i="15"/>
  <c r="DW204" i="15"/>
  <c r="DX204" i="15"/>
  <c r="DY204" i="15"/>
  <c r="DZ204" i="15"/>
  <c r="EA204" i="15"/>
  <c r="EB204" i="15"/>
  <c r="EC204" i="15"/>
  <c r="ED204" i="15"/>
  <c r="EE204" i="15"/>
  <c r="EF204" i="15"/>
  <c r="EG204" i="15"/>
  <c r="EH204" i="15"/>
  <c r="EI204" i="15"/>
  <c r="EJ204" i="15"/>
  <c r="EK204" i="15"/>
  <c r="EL204" i="15"/>
  <c r="EM204" i="15"/>
  <c r="EN204" i="15"/>
  <c r="EO204" i="15"/>
  <c r="EP204" i="15"/>
  <c r="EQ204" i="15"/>
  <c r="ER204" i="15"/>
  <c r="ES204" i="15"/>
  <c r="ET204" i="15"/>
  <c r="EU204" i="15"/>
  <c r="EV204" i="15"/>
  <c r="EW204" i="15"/>
  <c r="EX204" i="15"/>
  <c r="EY204" i="15"/>
  <c r="EZ204" i="15"/>
  <c r="FA204" i="15"/>
  <c r="FB204" i="15"/>
  <c r="FC204" i="15"/>
  <c r="FD204" i="15"/>
  <c r="FE204" i="15"/>
  <c r="FF204" i="15"/>
  <c r="FG204" i="15"/>
  <c r="FH204" i="15"/>
  <c r="FI204" i="15"/>
  <c r="FJ204" i="15"/>
  <c r="FK204" i="15"/>
  <c r="FL204" i="15"/>
  <c r="B205" i="15"/>
  <c r="C205" i="15"/>
  <c r="D205" i="15"/>
  <c r="E205" i="15"/>
  <c r="F205" i="15"/>
  <c r="G205" i="15"/>
  <c r="H205" i="15"/>
  <c r="I205" i="15"/>
  <c r="J205" i="15"/>
  <c r="K205" i="15"/>
  <c r="L205" i="15"/>
  <c r="M205" i="15"/>
  <c r="N205" i="15"/>
  <c r="O205" i="15"/>
  <c r="P205" i="15"/>
  <c r="Q205" i="15"/>
  <c r="R205" i="15"/>
  <c r="S205" i="15"/>
  <c r="T205" i="15"/>
  <c r="U205" i="15"/>
  <c r="V205" i="15"/>
  <c r="W205" i="15"/>
  <c r="X205" i="15"/>
  <c r="Y205" i="15"/>
  <c r="Z205" i="15"/>
  <c r="AA205" i="15"/>
  <c r="AB205" i="15"/>
  <c r="AC205" i="15"/>
  <c r="AD205" i="15"/>
  <c r="AE205" i="15"/>
  <c r="AF205" i="15"/>
  <c r="AG205" i="15"/>
  <c r="AH205" i="15"/>
  <c r="AI205" i="15"/>
  <c r="AJ205" i="15"/>
  <c r="AK205" i="15"/>
  <c r="AL205" i="15"/>
  <c r="AM205" i="15"/>
  <c r="AN205" i="15"/>
  <c r="AO205" i="15"/>
  <c r="AP205" i="15"/>
  <c r="AQ205" i="15"/>
  <c r="AR205" i="15"/>
  <c r="AS205" i="15"/>
  <c r="AT205" i="15"/>
  <c r="AU205" i="15"/>
  <c r="AV205" i="15"/>
  <c r="AW205" i="15"/>
  <c r="AX205" i="15"/>
  <c r="AY205" i="15"/>
  <c r="AZ205" i="15"/>
  <c r="BA205" i="15"/>
  <c r="BB205" i="15"/>
  <c r="BC205" i="15"/>
  <c r="BD205" i="15"/>
  <c r="BE205" i="15"/>
  <c r="BF205" i="15"/>
  <c r="BG205" i="15"/>
  <c r="BH205" i="15"/>
  <c r="BI205" i="15"/>
  <c r="BJ205" i="15"/>
  <c r="BK205" i="15"/>
  <c r="BL205" i="15"/>
  <c r="BM205" i="15"/>
  <c r="BN205" i="15"/>
  <c r="BO205" i="15"/>
  <c r="BP205" i="15"/>
  <c r="BQ205" i="15"/>
  <c r="BR205" i="15"/>
  <c r="BS205" i="15"/>
  <c r="BT205" i="15"/>
  <c r="BU205" i="15"/>
  <c r="BV205" i="15"/>
  <c r="BW205" i="15"/>
  <c r="BX205" i="15"/>
  <c r="BY205" i="15"/>
  <c r="BZ205" i="15"/>
  <c r="CA205" i="15"/>
  <c r="CB205" i="15"/>
  <c r="CC205" i="15"/>
  <c r="CD205" i="15"/>
  <c r="CE205" i="15"/>
  <c r="CF205" i="15"/>
  <c r="CG205" i="15"/>
  <c r="CH205" i="15"/>
  <c r="CI205" i="15"/>
  <c r="CJ205" i="15"/>
  <c r="CK205" i="15"/>
  <c r="CL205" i="15"/>
  <c r="CM205" i="15"/>
  <c r="CN205" i="15"/>
  <c r="CO205" i="15"/>
  <c r="CP205" i="15"/>
  <c r="CQ205" i="15"/>
  <c r="CR205" i="15"/>
  <c r="CS205" i="15"/>
  <c r="CT205" i="15"/>
  <c r="CU205" i="15"/>
  <c r="CV205" i="15"/>
  <c r="CW205" i="15"/>
  <c r="CX205" i="15"/>
  <c r="CY205" i="15"/>
  <c r="CZ205" i="15"/>
  <c r="DA205" i="15"/>
  <c r="DB205" i="15"/>
  <c r="DC205" i="15"/>
  <c r="DD205" i="15"/>
  <c r="DE205" i="15"/>
  <c r="DF205" i="15"/>
  <c r="DG205" i="15"/>
  <c r="DH205" i="15"/>
  <c r="DI205" i="15"/>
  <c r="DJ205" i="15"/>
  <c r="DK205" i="15"/>
  <c r="DL205" i="15"/>
  <c r="DM205" i="15"/>
  <c r="DN205" i="15"/>
  <c r="DO205" i="15"/>
  <c r="DP205" i="15"/>
  <c r="DQ205" i="15"/>
  <c r="DR205" i="15"/>
  <c r="DS205" i="15"/>
  <c r="DT205" i="15"/>
  <c r="DU205" i="15"/>
  <c r="DV205" i="15"/>
  <c r="DW205" i="15"/>
  <c r="DX205" i="15"/>
  <c r="DY205" i="15"/>
  <c r="DZ205" i="15"/>
  <c r="EA205" i="15"/>
  <c r="EB205" i="15"/>
  <c r="EC205" i="15"/>
  <c r="ED205" i="15"/>
  <c r="EE205" i="15"/>
  <c r="EF205" i="15"/>
  <c r="EG205" i="15"/>
  <c r="EH205" i="15"/>
  <c r="EI205" i="15"/>
  <c r="EJ205" i="15"/>
  <c r="EK205" i="15"/>
  <c r="EL205" i="15"/>
  <c r="EM205" i="15"/>
  <c r="EN205" i="15"/>
  <c r="EO205" i="15"/>
  <c r="EP205" i="15"/>
  <c r="EQ205" i="15"/>
  <c r="ER205" i="15"/>
  <c r="ES205" i="15"/>
  <c r="ET205" i="15"/>
  <c r="EU205" i="15"/>
  <c r="EV205" i="15"/>
  <c r="EW205" i="15"/>
  <c r="EX205" i="15"/>
  <c r="EY205" i="15"/>
  <c r="EZ205" i="15"/>
  <c r="FA205" i="15"/>
  <c r="FB205" i="15"/>
  <c r="FC205" i="15"/>
  <c r="FD205" i="15"/>
  <c r="FE205" i="15"/>
  <c r="FF205" i="15"/>
  <c r="FG205" i="15"/>
  <c r="FH205" i="15"/>
  <c r="FI205" i="15"/>
  <c r="FJ205" i="15"/>
  <c r="FK205" i="15"/>
  <c r="FL205" i="15"/>
  <c r="B206" i="15"/>
  <c r="C206" i="15"/>
  <c r="D206" i="15"/>
  <c r="E206" i="15"/>
  <c r="F206" i="15"/>
  <c r="G206" i="15"/>
  <c r="H206" i="15"/>
  <c r="I206" i="15"/>
  <c r="J206" i="15"/>
  <c r="K206" i="15"/>
  <c r="L206" i="15"/>
  <c r="M206" i="15"/>
  <c r="N206" i="15"/>
  <c r="O206" i="15"/>
  <c r="P206" i="15"/>
  <c r="Q206" i="15"/>
  <c r="R206" i="15"/>
  <c r="S206" i="15"/>
  <c r="T206" i="15"/>
  <c r="U206" i="15"/>
  <c r="V206" i="15"/>
  <c r="W206" i="15"/>
  <c r="X206" i="15"/>
  <c r="Y206" i="15"/>
  <c r="Z206" i="15"/>
  <c r="AA206" i="15"/>
  <c r="AB206" i="15"/>
  <c r="AC206" i="15"/>
  <c r="AD206" i="15"/>
  <c r="AE206" i="15"/>
  <c r="AF206" i="15"/>
  <c r="AG206" i="15"/>
  <c r="AH206" i="15"/>
  <c r="AI206" i="15"/>
  <c r="AJ206" i="15"/>
  <c r="AK206" i="15"/>
  <c r="AL206" i="15"/>
  <c r="AM206" i="15"/>
  <c r="AN206" i="15"/>
  <c r="AO206" i="15"/>
  <c r="AP206" i="15"/>
  <c r="AQ206" i="15"/>
  <c r="AR206" i="15"/>
  <c r="AS206" i="15"/>
  <c r="AT206" i="15"/>
  <c r="AU206" i="15"/>
  <c r="AV206" i="15"/>
  <c r="AW206" i="15"/>
  <c r="AX206" i="15"/>
  <c r="AY206" i="15"/>
  <c r="AZ206" i="15"/>
  <c r="BA206" i="15"/>
  <c r="BB206" i="15"/>
  <c r="BC206" i="15"/>
  <c r="BD206" i="15"/>
  <c r="BE206" i="15"/>
  <c r="BF206" i="15"/>
  <c r="BG206" i="15"/>
  <c r="BH206" i="15"/>
  <c r="BI206" i="15"/>
  <c r="BJ206" i="15"/>
  <c r="BK206" i="15"/>
  <c r="BL206" i="15"/>
  <c r="BM206" i="15"/>
  <c r="BN206" i="15"/>
  <c r="BO206" i="15"/>
  <c r="BP206" i="15"/>
  <c r="BQ206" i="15"/>
  <c r="BR206" i="15"/>
  <c r="BS206" i="15"/>
  <c r="BT206" i="15"/>
  <c r="BU206" i="15"/>
  <c r="BV206" i="15"/>
  <c r="BW206" i="15"/>
  <c r="BX206" i="15"/>
  <c r="BY206" i="15"/>
  <c r="BZ206" i="15"/>
  <c r="CA206" i="15"/>
  <c r="CB206" i="15"/>
  <c r="CC206" i="15"/>
  <c r="CD206" i="15"/>
  <c r="CE206" i="15"/>
  <c r="CF206" i="15"/>
  <c r="CG206" i="15"/>
  <c r="CH206" i="15"/>
  <c r="CI206" i="15"/>
  <c r="CJ206" i="15"/>
  <c r="CK206" i="15"/>
  <c r="CL206" i="15"/>
  <c r="CM206" i="15"/>
  <c r="CN206" i="15"/>
  <c r="CO206" i="15"/>
  <c r="CP206" i="15"/>
  <c r="CQ206" i="15"/>
  <c r="CR206" i="15"/>
  <c r="CS206" i="15"/>
  <c r="CT206" i="15"/>
  <c r="CU206" i="15"/>
  <c r="CV206" i="15"/>
  <c r="CW206" i="15"/>
  <c r="CX206" i="15"/>
  <c r="CY206" i="15"/>
  <c r="CZ206" i="15"/>
  <c r="DA206" i="15"/>
  <c r="DB206" i="15"/>
  <c r="DC206" i="15"/>
  <c r="DD206" i="15"/>
  <c r="DE206" i="15"/>
  <c r="DF206" i="15"/>
  <c r="DG206" i="15"/>
  <c r="DH206" i="15"/>
  <c r="DI206" i="15"/>
  <c r="DJ206" i="15"/>
  <c r="DK206" i="15"/>
  <c r="DL206" i="15"/>
  <c r="DM206" i="15"/>
  <c r="DN206" i="15"/>
  <c r="DO206" i="15"/>
  <c r="DP206" i="15"/>
  <c r="DQ206" i="15"/>
  <c r="DR206" i="15"/>
  <c r="DS206" i="15"/>
  <c r="DT206" i="15"/>
  <c r="DU206" i="15"/>
  <c r="DV206" i="15"/>
  <c r="DW206" i="15"/>
  <c r="DX206" i="15"/>
  <c r="DY206" i="15"/>
  <c r="DZ206" i="15"/>
  <c r="EA206" i="15"/>
  <c r="EB206" i="15"/>
  <c r="EC206" i="15"/>
  <c r="ED206" i="15"/>
  <c r="EE206" i="15"/>
  <c r="EF206" i="15"/>
  <c r="EG206" i="15"/>
  <c r="EH206" i="15"/>
  <c r="EI206" i="15"/>
  <c r="EJ206" i="15"/>
  <c r="EK206" i="15"/>
  <c r="EL206" i="15"/>
  <c r="EM206" i="15"/>
  <c r="EN206" i="15"/>
  <c r="EO206" i="15"/>
  <c r="EP206" i="15"/>
  <c r="EQ206" i="15"/>
  <c r="ER206" i="15"/>
  <c r="ES206" i="15"/>
  <c r="ET206" i="15"/>
  <c r="EU206" i="15"/>
  <c r="EV206" i="15"/>
  <c r="EW206" i="15"/>
  <c r="EX206" i="15"/>
  <c r="EY206" i="15"/>
  <c r="EZ206" i="15"/>
  <c r="FA206" i="15"/>
  <c r="FB206" i="15"/>
  <c r="FC206" i="15"/>
  <c r="FD206" i="15"/>
  <c r="FE206" i="15"/>
  <c r="FF206" i="15"/>
  <c r="FG206" i="15"/>
  <c r="FH206" i="15"/>
  <c r="FI206" i="15"/>
  <c r="FJ206" i="15"/>
  <c r="FK206" i="15"/>
  <c r="FL206" i="15"/>
  <c r="B207" i="15"/>
  <c r="C207" i="15"/>
  <c r="D207" i="15"/>
  <c r="E207" i="15"/>
  <c r="F207" i="15"/>
  <c r="G207" i="15"/>
  <c r="H207" i="15"/>
  <c r="I207" i="15"/>
  <c r="J207" i="15"/>
  <c r="K207" i="15"/>
  <c r="L207" i="15"/>
  <c r="M207" i="15"/>
  <c r="N207" i="15"/>
  <c r="O207" i="15"/>
  <c r="P207" i="15"/>
  <c r="Q207" i="15"/>
  <c r="R207" i="15"/>
  <c r="S207" i="15"/>
  <c r="T207" i="15"/>
  <c r="U207" i="15"/>
  <c r="V207" i="15"/>
  <c r="W207" i="15"/>
  <c r="X207" i="15"/>
  <c r="Y207" i="15"/>
  <c r="Z207" i="15"/>
  <c r="AA207" i="15"/>
  <c r="AB207" i="15"/>
  <c r="AC207" i="15"/>
  <c r="AD207" i="15"/>
  <c r="AE207" i="15"/>
  <c r="AF207" i="15"/>
  <c r="AG207" i="15"/>
  <c r="AH207" i="15"/>
  <c r="AI207" i="15"/>
  <c r="AJ207" i="15"/>
  <c r="AK207" i="15"/>
  <c r="AL207" i="15"/>
  <c r="AM207" i="15"/>
  <c r="AN207" i="15"/>
  <c r="AO207" i="15"/>
  <c r="AP207" i="15"/>
  <c r="AQ207" i="15"/>
  <c r="AR207" i="15"/>
  <c r="AS207" i="15"/>
  <c r="AT207" i="15"/>
  <c r="AU207" i="15"/>
  <c r="AV207" i="15"/>
  <c r="AW207" i="15"/>
  <c r="AX207" i="15"/>
  <c r="AY207" i="15"/>
  <c r="AZ207" i="15"/>
  <c r="BA207" i="15"/>
  <c r="BB207" i="15"/>
  <c r="BC207" i="15"/>
  <c r="BD207" i="15"/>
  <c r="BE207" i="15"/>
  <c r="BF207" i="15"/>
  <c r="BG207" i="15"/>
  <c r="BH207" i="15"/>
  <c r="BI207" i="15"/>
  <c r="BJ207" i="15"/>
  <c r="BK207" i="15"/>
  <c r="BL207" i="15"/>
  <c r="BM207" i="15"/>
  <c r="BN207" i="15"/>
  <c r="BO207" i="15"/>
  <c r="BP207" i="15"/>
  <c r="BQ207" i="15"/>
  <c r="BR207" i="15"/>
  <c r="BS207" i="15"/>
  <c r="BT207" i="15"/>
  <c r="BU207" i="15"/>
  <c r="BV207" i="15"/>
  <c r="BW207" i="15"/>
  <c r="BX207" i="15"/>
  <c r="BY207" i="15"/>
  <c r="BZ207" i="15"/>
  <c r="CA207" i="15"/>
  <c r="CB207" i="15"/>
  <c r="CC207" i="15"/>
  <c r="CD207" i="15"/>
  <c r="CE207" i="15"/>
  <c r="CF207" i="15"/>
  <c r="CG207" i="15"/>
  <c r="CH207" i="15"/>
  <c r="CI207" i="15"/>
  <c r="CJ207" i="15"/>
  <c r="CK207" i="15"/>
  <c r="CL207" i="15"/>
  <c r="CM207" i="15"/>
  <c r="CN207" i="15"/>
  <c r="CO207" i="15"/>
  <c r="CP207" i="15"/>
  <c r="CQ207" i="15"/>
  <c r="CR207" i="15"/>
  <c r="CS207" i="15"/>
  <c r="CT207" i="15"/>
  <c r="CU207" i="15"/>
  <c r="CV207" i="15"/>
  <c r="CW207" i="15"/>
  <c r="CX207" i="15"/>
  <c r="CY207" i="15"/>
  <c r="CZ207" i="15"/>
  <c r="DA207" i="15"/>
  <c r="DB207" i="15"/>
  <c r="DC207" i="15"/>
  <c r="DD207" i="15"/>
  <c r="DE207" i="15"/>
  <c r="DF207" i="15"/>
  <c r="DG207" i="15"/>
  <c r="DH207" i="15"/>
  <c r="DI207" i="15"/>
  <c r="DJ207" i="15"/>
  <c r="DK207" i="15"/>
  <c r="DL207" i="15"/>
  <c r="DM207" i="15"/>
  <c r="DN207" i="15"/>
  <c r="DO207" i="15"/>
  <c r="DP207" i="15"/>
  <c r="DQ207" i="15"/>
  <c r="DR207" i="15"/>
  <c r="DS207" i="15"/>
  <c r="DT207" i="15"/>
  <c r="DU207" i="15"/>
  <c r="DV207" i="15"/>
  <c r="DW207" i="15"/>
  <c r="DX207" i="15"/>
  <c r="DY207" i="15"/>
  <c r="DZ207" i="15"/>
  <c r="EA207" i="15"/>
  <c r="EB207" i="15"/>
  <c r="EC207" i="15"/>
  <c r="ED207" i="15"/>
  <c r="EE207" i="15"/>
  <c r="EF207" i="15"/>
  <c r="EG207" i="15"/>
  <c r="EH207" i="15"/>
  <c r="EI207" i="15"/>
  <c r="EJ207" i="15"/>
  <c r="EK207" i="15"/>
  <c r="EL207" i="15"/>
  <c r="EM207" i="15"/>
  <c r="EN207" i="15"/>
  <c r="EO207" i="15"/>
  <c r="EP207" i="15"/>
  <c r="EQ207" i="15"/>
  <c r="ER207" i="15"/>
  <c r="ES207" i="15"/>
  <c r="ET207" i="15"/>
  <c r="EU207" i="15"/>
  <c r="EV207" i="15"/>
  <c r="EW207" i="15"/>
  <c r="EX207" i="15"/>
  <c r="EY207" i="15"/>
  <c r="EZ207" i="15"/>
  <c r="FA207" i="15"/>
  <c r="FB207" i="15"/>
  <c r="FC207" i="15"/>
  <c r="FD207" i="15"/>
  <c r="FE207" i="15"/>
  <c r="FF207" i="15"/>
  <c r="FG207" i="15"/>
  <c r="FH207" i="15"/>
  <c r="FI207" i="15"/>
  <c r="FJ207" i="15"/>
  <c r="FK207" i="15"/>
  <c r="FL207" i="15"/>
  <c r="B208" i="15"/>
  <c r="C208" i="15"/>
  <c r="D208" i="15"/>
  <c r="E208" i="15"/>
  <c r="F208" i="15"/>
  <c r="G208" i="15"/>
  <c r="H208" i="15"/>
  <c r="I208" i="15"/>
  <c r="J208" i="15"/>
  <c r="K208" i="15"/>
  <c r="L208" i="15"/>
  <c r="M208" i="15"/>
  <c r="N208" i="15"/>
  <c r="O208" i="15"/>
  <c r="P208" i="15"/>
  <c r="Q208" i="15"/>
  <c r="R208" i="15"/>
  <c r="S208" i="15"/>
  <c r="T208" i="15"/>
  <c r="U208" i="15"/>
  <c r="V208" i="15"/>
  <c r="W208" i="15"/>
  <c r="X208" i="15"/>
  <c r="Y208" i="15"/>
  <c r="Z208" i="15"/>
  <c r="AA208" i="15"/>
  <c r="AB208" i="15"/>
  <c r="AC208" i="15"/>
  <c r="AD208" i="15"/>
  <c r="AE208" i="15"/>
  <c r="AF208" i="15"/>
  <c r="AG208" i="15"/>
  <c r="AH208" i="15"/>
  <c r="AI208" i="15"/>
  <c r="AJ208" i="15"/>
  <c r="AK208" i="15"/>
  <c r="AL208" i="15"/>
  <c r="AM208" i="15"/>
  <c r="AN208" i="15"/>
  <c r="AO208" i="15"/>
  <c r="AP208" i="15"/>
  <c r="AQ208" i="15"/>
  <c r="AR208" i="15"/>
  <c r="AS208" i="15"/>
  <c r="AT208" i="15"/>
  <c r="AU208" i="15"/>
  <c r="AV208" i="15"/>
  <c r="AW208" i="15"/>
  <c r="AX208" i="15"/>
  <c r="AY208" i="15"/>
  <c r="AZ208" i="15"/>
  <c r="BA208" i="15"/>
  <c r="BB208" i="15"/>
  <c r="BC208" i="15"/>
  <c r="BD208" i="15"/>
  <c r="BE208" i="15"/>
  <c r="BF208" i="15"/>
  <c r="BG208" i="15"/>
  <c r="BH208" i="15"/>
  <c r="BI208" i="15"/>
  <c r="BJ208" i="15"/>
  <c r="BK208" i="15"/>
  <c r="BL208" i="15"/>
  <c r="BM208" i="15"/>
  <c r="BN208" i="15"/>
  <c r="BO208" i="15"/>
  <c r="BP208" i="15"/>
  <c r="BQ208" i="15"/>
  <c r="BR208" i="15"/>
  <c r="BS208" i="15"/>
  <c r="BT208" i="15"/>
  <c r="BU208" i="15"/>
  <c r="BV208" i="15"/>
  <c r="BW208" i="15"/>
  <c r="BX208" i="15"/>
  <c r="BY208" i="15"/>
  <c r="BZ208" i="15"/>
  <c r="CA208" i="15"/>
  <c r="CB208" i="15"/>
  <c r="CC208" i="15"/>
  <c r="CD208" i="15"/>
  <c r="CE208" i="15"/>
  <c r="CF208" i="15"/>
  <c r="CG208" i="15"/>
  <c r="CH208" i="15"/>
  <c r="CI208" i="15"/>
  <c r="CJ208" i="15"/>
  <c r="CK208" i="15"/>
  <c r="CL208" i="15"/>
  <c r="CM208" i="15"/>
  <c r="CN208" i="15"/>
  <c r="CO208" i="15"/>
  <c r="CP208" i="15"/>
  <c r="CQ208" i="15"/>
  <c r="CR208" i="15"/>
  <c r="CS208" i="15"/>
  <c r="CT208" i="15"/>
  <c r="CU208" i="15"/>
  <c r="CV208" i="15"/>
  <c r="CW208" i="15"/>
  <c r="CX208" i="15"/>
  <c r="CY208" i="15"/>
  <c r="CZ208" i="15"/>
  <c r="DA208" i="15"/>
  <c r="DB208" i="15"/>
  <c r="DC208" i="15"/>
  <c r="DD208" i="15"/>
  <c r="DE208" i="15"/>
  <c r="DF208" i="15"/>
  <c r="DG208" i="15"/>
  <c r="DH208" i="15"/>
  <c r="DI208" i="15"/>
  <c r="DJ208" i="15"/>
  <c r="DK208" i="15"/>
  <c r="DL208" i="15"/>
  <c r="DM208" i="15"/>
  <c r="DN208" i="15"/>
  <c r="DO208" i="15"/>
  <c r="DP208" i="15"/>
  <c r="DQ208" i="15"/>
  <c r="DR208" i="15"/>
  <c r="DS208" i="15"/>
  <c r="DT208" i="15"/>
  <c r="DU208" i="15"/>
  <c r="DV208" i="15"/>
  <c r="DW208" i="15"/>
  <c r="DX208" i="15"/>
  <c r="DY208" i="15"/>
  <c r="DZ208" i="15"/>
  <c r="EA208" i="15"/>
  <c r="EB208" i="15"/>
  <c r="EC208" i="15"/>
  <c r="ED208" i="15"/>
  <c r="EE208" i="15"/>
  <c r="EF208" i="15"/>
  <c r="EG208" i="15"/>
  <c r="EH208" i="15"/>
  <c r="EI208" i="15"/>
  <c r="EJ208" i="15"/>
  <c r="EK208" i="15"/>
  <c r="EL208" i="15"/>
  <c r="EM208" i="15"/>
  <c r="EN208" i="15"/>
  <c r="EO208" i="15"/>
  <c r="EP208" i="15"/>
  <c r="EQ208" i="15"/>
  <c r="ER208" i="15"/>
  <c r="ES208" i="15"/>
  <c r="ET208" i="15"/>
  <c r="EU208" i="15"/>
  <c r="EV208" i="15"/>
  <c r="EW208" i="15"/>
  <c r="EX208" i="15"/>
  <c r="EY208" i="15"/>
  <c r="EZ208" i="15"/>
  <c r="FA208" i="15"/>
  <c r="FB208" i="15"/>
  <c r="FC208" i="15"/>
  <c r="FD208" i="15"/>
  <c r="FE208" i="15"/>
  <c r="FF208" i="15"/>
  <c r="FG208" i="15"/>
  <c r="FH208" i="15"/>
  <c r="FI208" i="15"/>
  <c r="FJ208" i="15"/>
  <c r="FK208" i="15"/>
  <c r="FL208" i="15"/>
  <c r="B209" i="15"/>
  <c r="C209" i="15"/>
  <c r="D209" i="15"/>
  <c r="E209" i="15"/>
  <c r="F209" i="15"/>
  <c r="G209" i="15"/>
  <c r="H209" i="15"/>
  <c r="I209" i="15"/>
  <c r="J209" i="15"/>
  <c r="K209" i="15"/>
  <c r="L209" i="15"/>
  <c r="M209" i="15"/>
  <c r="N209" i="15"/>
  <c r="O209" i="15"/>
  <c r="P209" i="15"/>
  <c r="Q209" i="15"/>
  <c r="R209" i="15"/>
  <c r="S209" i="15"/>
  <c r="T209" i="15"/>
  <c r="U209" i="15"/>
  <c r="V209" i="15"/>
  <c r="W209" i="15"/>
  <c r="X209" i="15"/>
  <c r="Y209" i="15"/>
  <c r="Z209" i="15"/>
  <c r="AA209" i="15"/>
  <c r="AB209" i="15"/>
  <c r="AC209" i="15"/>
  <c r="AD209" i="15"/>
  <c r="AE209" i="15"/>
  <c r="AF209" i="15"/>
  <c r="AG209" i="15"/>
  <c r="AH209" i="15"/>
  <c r="AI209" i="15"/>
  <c r="AJ209" i="15"/>
  <c r="AK209" i="15"/>
  <c r="AL209" i="15"/>
  <c r="AM209" i="15"/>
  <c r="AN209" i="15"/>
  <c r="AO209" i="15"/>
  <c r="AP209" i="15"/>
  <c r="AQ209" i="15"/>
  <c r="AR209" i="15"/>
  <c r="AS209" i="15"/>
  <c r="AT209" i="15"/>
  <c r="AU209" i="15"/>
  <c r="AV209" i="15"/>
  <c r="AW209" i="15"/>
  <c r="AX209" i="15"/>
  <c r="AY209" i="15"/>
  <c r="AZ209" i="15"/>
  <c r="BA209" i="15"/>
  <c r="BB209" i="15"/>
  <c r="BC209" i="15"/>
  <c r="BD209" i="15"/>
  <c r="BE209" i="15"/>
  <c r="BF209" i="15"/>
  <c r="BG209" i="15"/>
  <c r="BH209" i="15"/>
  <c r="BI209" i="15"/>
  <c r="BJ209" i="15"/>
  <c r="BK209" i="15"/>
  <c r="BL209" i="15"/>
  <c r="BM209" i="15"/>
  <c r="BN209" i="15"/>
  <c r="BO209" i="15"/>
  <c r="BP209" i="15"/>
  <c r="BQ209" i="15"/>
  <c r="BR209" i="15"/>
  <c r="BS209" i="15"/>
  <c r="BT209" i="15"/>
  <c r="BU209" i="15"/>
  <c r="BV209" i="15"/>
  <c r="BW209" i="15"/>
  <c r="BX209" i="15"/>
  <c r="BY209" i="15"/>
  <c r="BZ209" i="15"/>
  <c r="CA209" i="15"/>
  <c r="CB209" i="15"/>
  <c r="CC209" i="15"/>
  <c r="CD209" i="15"/>
  <c r="CE209" i="15"/>
  <c r="CF209" i="15"/>
  <c r="CG209" i="15"/>
  <c r="CH209" i="15"/>
  <c r="CI209" i="15"/>
  <c r="CJ209" i="15"/>
  <c r="CK209" i="15"/>
  <c r="CL209" i="15"/>
  <c r="CM209" i="15"/>
  <c r="CN209" i="15"/>
  <c r="CO209" i="15"/>
  <c r="CP209" i="15"/>
  <c r="CQ209" i="15"/>
  <c r="CR209" i="15"/>
  <c r="CS209" i="15"/>
  <c r="CT209" i="15"/>
  <c r="CU209" i="15"/>
  <c r="CV209" i="15"/>
  <c r="CW209" i="15"/>
  <c r="CX209" i="15"/>
  <c r="CY209" i="15"/>
  <c r="CZ209" i="15"/>
  <c r="DA209" i="15"/>
  <c r="DB209" i="15"/>
  <c r="DC209" i="15"/>
  <c r="DD209" i="15"/>
  <c r="DE209" i="15"/>
  <c r="DF209" i="15"/>
  <c r="DG209" i="15"/>
  <c r="DH209" i="15"/>
  <c r="DI209" i="15"/>
  <c r="DJ209" i="15"/>
  <c r="DK209" i="15"/>
  <c r="DL209" i="15"/>
  <c r="DM209" i="15"/>
  <c r="DN209" i="15"/>
  <c r="DO209" i="15"/>
  <c r="DP209" i="15"/>
  <c r="DQ209" i="15"/>
  <c r="DR209" i="15"/>
  <c r="DS209" i="15"/>
  <c r="DT209" i="15"/>
  <c r="DU209" i="15"/>
  <c r="DV209" i="15"/>
  <c r="DW209" i="15"/>
  <c r="DX209" i="15"/>
  <c r="DY209" i="15"/>
  <c r="DZ209" i="15"/>
  <c r="EA209" i="15"/>
  <c r="EB209" i="15"/>
  <c r="EC209" i="15"/>
  <c r="ED209" i="15"/>
  <c r="EE209" i="15"/>
  <c r="EF209" i="15"/>
  <c r="EG209" i="15"/>
  <c r="EH209" i="15"/>
  <c r="EI209" i="15"/>
  <c r="EJ209" i="15"/>
  <c r="EK209" i="15"/>
  <c r="EL209" i="15"/>
  <c r="EM209" i="15"/>
  <c r="EN209" i="15"/>
  <c r="EO209" i="15"/>
  <c r="EP209" i="15"/>
  <c r="EQ209" i="15"/>
  <c r="ER209" i="15"/>
  <c r="ES209" i="15"/>
  <c r="ET209" i="15"/>
  <c r="EU209" i="15"/>
  <c r="EV209" i="15"/>
  <c r="EW209" i="15"/>
  <c r="EX209" i="15"/>
  <c r="EY209" i="15"/>
  <c r="EZ209" i="15"/>
  <c r="FA209" i="15"/>
  <c r="FB209" i="15"/>
  <c r="FC209" i="15"/>
  <c r="FD209" i="15"/>
  <c r="FE209" i="15"/>
  <c r="FF209" i="15"/>
  <c r="FG209" i="15"/>
  <c r="FH209" i="15"/>
  <c r="FI209" i="15"/>
  <c r="FJ209" i="15"/>
  <c r="FK209" i="15"/>
  <c r="FL209" i="15"/>
  <c r="B210" i="15"/>
  <c r="C210" i="15"/>
  <c r="D210" i="15"/>
  <c r="E210" i="15"/>
  <c r="F210" i="15"/>
  <c r="G210" i="15"/>
  <c r="H210" i="15"/>
  <c r="I210" i="15"/>
  <c r="J210" i="15"/>
  <c r="K210" i="15"/>
  <c r="L210" i="15"/>
  <c r="M210" i="15"/>
  <c r="N210" i="15"/>
  <c r="O210" i="15"/>
  <c r="P210" i="15"/>
  <c r="Q210" i="15"/>
  <c r="R210" i="15"/>
  <c r="S210" i="15"/>
  <c r="T210" i="15"/>
  <c r="U210" i="15"/>
  <c r="V210" i="15"/>
  <c r="W210" i="15"/>
  <c r="X210" i="15"/>
  <c r="Y210" i="15"/>
  <c r="Z210" i="15"/>
  <c r="AA210" i="15"/>
  <c r="AB210" i="15"/>
  <c r="AC210" i="15"/>
  <c r="AD210" i="15"/>
  <c r="AE210" i="15"/>
  <c r="AF210" i="15"/>
  <c r="AG210" i="15"/>
  <c r="AH210" i="15"/>
  <c r="AI210" i="15"/>
  <c r="AJ210" i="15"/>
  <c r="AK210" i="15"/>
  <c r="AL210" i="15"/>
  <c r="AM210" i="15"/>
  <c r="AN210" i="15"/>
  <c r="AO210" i="15"/>
  <c r="AP210" i="15"/>
  <c r="AQ210" i="15"/>
  <c r="AR210" i="15"/>
  <c r="AS210" i="15"/>
  <c r="AT210" i="15"/>
  <c r="AU210" i="15"/>
  <c r="AV210" i="15"/>
  <c r="AW210" i="15"/>
  <c r="AX210" i="15"/>
  <c r="AY210" i="15"/>
  <c r="AZ210" i="15"/>
  <c r="BA210" i="15"/>
  <c r="BB210" i="15"/>
  <c r="BC210" i="15"/>
  <c r="BD210" i="15"/>
  <c r="BE210" i="15"/>
  <c r="BF210" i="15"/>
  <c r="BG210" i="15"/>
  <c r="BH210" i="15"/>
  <c r="BI210" i="15"/>
  <c r="BJ210" i="15"/>
  <c r="BK210" i="15"/>
  <c r="BL210" i="15"/>
  <c r="BM210" i="15"/>
  <c r="BN210" i="15"/>
  <c r="BO210" i="15"/>
  <c r="BP210" i="15"/>
  <c r="BQ210" i="15"/>
  <c r="BR210" i="15"/>
  <c r="BS210" i="15"/>
  <c r="BT210" i="15"/>
  <c r="BU210" i="15"/>
  <c r="BV210" i="15"/>
  <c r="BW210" i="15"/>
  <c r="BX210" i="15"/>
  <c r="BY210" i="15"/>
  <c r="BZ210" i="15"/>
  <c r="CA210" i="15"/>
  <c r="CB210" i="15"/>
  <c r="CC210" i="15"/>
  <c r="CD210" i="15"/>
  <c r="CE210" i="15"/>
  <c r="CF210" i="15"/>
  <c r="CG210" i="15"/>
  <c r="CH210" i="15"/>
  <c r="CI210" i="15"/>
  <c r="CJ210" i="15"/>
  <c r="CK210" i="15"/>
  <c r="CL210" i="15"/>
  <c r="CM210" i="15"/>
  <c r="CN210" i="15"/>
  <c r="CO210" i="15"/>
  <c r="CP210" i="15"/>
  <c r="CQ210" i="15"/>
  <c r="CR210" i="15"/>
  <c r="CS210" i="15"/>
  <c r="CT210" i="15"/>
  <c r="CU210" i="15"/>
  <c r="CV210" i="15"/>
  <c r="CW210" i="15"/>
  <c r="CX210" i="15"/>
  <c r="CY210" i="15"/>
  <c r="CZ210" i="15"/>
  <c r="DA210" i="15"/>
  <c r="DB210" i="15"/>
  <c r="DC210" i="15"/>
  <c r="DD210" i="15"/>
  <c r="DE210" i="15"/>
  <c r="DF210" i="15"/>
  <c r="DG210" i="15"/>
  <c r="DH210" i="15"/>
  <c r="DI210" i="15"/>
  <c r="DJ210" i="15"/>
  <c r="DK210" i="15"/>
  <c r="DL210" i="15"/>
  <c r="DM210" i="15"/>
  <c r="DN210" i="15"/>
  <c r="DO210" i="15"/>
  <c r="DP210" i="15"/>
  <c r="DQ210" i="15"/>
  <c r="DR210" i="15"/>
  <c r="DS210" i="15"/>
  <c r="DT210" i="15"/>
  <c r="DU210" i="15"/>
  <c r="DV210" i="15"/>
  <c r="DW210" i="15"/>
  <c r="DX210" i="15"/>
  <c r="DY210" i="15"/>
  <c r="DZ210" i="15"/>
  <c r="EA210" i="15"/>
  <c r="EB210" i="15"/>
  <c r="EC210" i="15"/>
  <c r="ED210" i="15"/>
  <c r="EE210" i="15"/>
  <c r="EF210" i="15"/>
  <c r="EG210" i="15"/>
  <c r="EH210" i="15"/>
  <c r="EI210" i="15"/>
  <c r="EJ210" i="15"/>
  <c r="EK210" i="15"/>
  <c r="EL210" i="15"/>
  <c r="EM210" i="15"/>
  <c r="EN210" i="15"/>
  <c r="EO210" i="15"/>
  <c r="EP210" i="15"/>
  <c r="EQ210" i="15"/>
  <c r="ER210" i="15"/>
  <c r="ES210" i="15"/>
  <c r="ET210" i="15"/>
  <c r="EU210" i="15"/>
  <c r="EV210" i="15"/>
  <c r="EW210" i="15"/>
  <c r="EX210" i="15"/>
  <c r="EY210" i="15"/>
  <c r="EZ210" i="15"/>
  <c r="FA210" i="15"/>
  <c r="FB210" i="15"/>
  <c r="FC210" i="15"/>
  <c r="FD210" i="15"/>
  <c r="FE210" i="15"/>
  <c r="FF210" i="15"/>
  <c r="FG210" i="15"/>
  <c r="FH210" i="15"/>
  <c r="FI210" i="15"/>
  <c r="FJ210" i="15"/>
  <c r="FK210" i="15"/>
  <c r="FL210" i="15"/>
  <c r="B211" i="15"/>
  <c r="C211" i="15"/>
  <c r="D211" i="15"/>
  <c r="E211" i="15"/>
  <c r="F211" i="15"/>
  <c r="G211" i="15"/>
  <c r="H211" i="15"/>
  <c r="I211" i="15"/>
  <c r="J211" i="15"/>
  <c r="K211" i="15"/>
  <c r="L211" i="15"/>
  <c r="M211" i="15"/>
  <c r="N211" i="15"/>
  <c r="O211" i="15"/>
  <c r="P211" i="15"/>
  <c r="Q211" i="15"/>
  <c r="R211" i="15"/>
  <c r="S211" i="15"/>
  <c r="T211" i="15"/>
  <c r="U211" i="15"/>
  <c r="V211" i="15"/>
  <c r="W211" i="15"/>
  <c r="X211" i="15"/>
  <c r="Y211" i="15"/>
  <c r="Z211" i="15"/>
  <c r="AA211" i="15"/>
  <c r="AB211" i="15"/>
  <c r="AC211" i="15"/>
  <c r="AD211" i="15"/>
  <c r="AE211" i="15"/>
  <c r="AF211" i="15"/>
  <c r="AG211" i="15"/>
  <c r="AH211" i="15"/>
  <c r="AI211" i="15"/>
  <c r="AJ211" i="15"/>
  <c r="AK211" i="15"/>
  <c r="AL211" i="15"/>
  <c r="AM211" i="15"/>
  <c r="AN211" i="15"/>
  <c r="AO211" i="15"/>
  <c r="AP211" i="15"/>
  <c r="AQ211" i="15"/>
  <c r="AR211" i="15"/>
  <c r="AS211" i="15"/>
  <c r="AT211" i="15"/>
  <c r="AU211" i="15"/>
  <c r="AV211" i="15"/>
  <c r="AW211" i="15"/>
  <c r="AX211" i="15"/>
  <c r="AY211" i="15"/>
  <c r="AZ211" i="15"/>
  <c r="BA211" i="15"/>
  <c r="BB211" i="15"/>
  <c r="BC211" i="15"/>
  <c r="BD211" i="15"/>
  <c r="BE211" i="15"/>
  <c r="BF211" i="15"/>
  <c r="BG211" i="15"/>
  <c r="BH211" i="15"/>
  <c r="BI211" i="15"/>
  <c r="BJ211" i="15"/>
  <c r="BK211" i="15"/>
  <c r="BL211" i="15"/>
  <c r="BM211" i="15"/>
  <c r="BN211" i="15"/>
  <c r="BO211" i="15"/>
  <c r="BP211" i="15"/>
  <c r="BQ211" i="15"/>
  <c r="BR211" i="15"/>
  <c r="BS211" i="15"/>
  <c r="BT211" i="15"/>
  <c r="BU211" i="15"/>
  <c r="BV211" i="15"/>
  <c r="BW211" i="15"/>
  <c r="BX211" i="15"/>
  <c r="BY211" i="15"/>
  <c r="BZ211" i="15"/>
  <c r="CA211" i="15"/>
  <c r="CB211" i="15"/>
  <c r="CC211" i="15"/>
  <c r="CD211" i="15"/>
  <c r="CE211" i="15"/>
  <c r="CF211" i="15"/>
  <c r="CG211" i="15"/>
  <c r="CH211" i="15"/>
  <c r="CI211" i="15"/>
  <c r="CJ211" i="15"/>
  <c r="CK211" i="15"/>
  <c r="CL211" i="15"/>
  <c r="CM211" i="15"/>
  <c r="CN211" i="15"/>
  <c r="CO211" i="15"/>
  <c r="CP211" i="15"/>
  <c r="CQ211" i="15"/>
  <c r="CR211" i="15"/>
  <c r="CS211" i="15"/>
  <c r="CT211" i="15"/>
  <c r="CU211" i="15"/>
  <c r="CV211" i="15"/>
  <c r="CW211" i="15"/>
  <c r="CX211" i="15"/>
  <c r="CY211" i="15"/>
  <c r="CZ211" i="15"/>
  <c r="DA211" i="15"/>
  <c r="DB211" i="15"/>
  <c r="DC211" i="15"/>
  <c r="DD211" i="15"/>
  <c r="DE211" i="15"/>
  <c r="DF211" i="15"/>
  <c r="DG211" i="15"/>
  <c r="DH211" i="15"/>
  <c r="DI211" i="15"/>
  <c r="DJ211" i="15"/>
  <c r="DK211" i="15"/>
  <c r="DL211" i="15"/>
  <c r="DM211" i="15"/>
  <c r="DN211" i="15"/>
  <c r="DO211" i="15"/>
  <c r="DP211" i="15"/>
  <c r="DQ211" i="15"/>
  <c r="DR211" i="15"/>
  <c r="DS211" i="15"/>
  <c r="DT211" i="15"/>
  <c r="DU211" i="15"/>
  <c r="DV211" i="15"/>
  <c r="DW211" i="15"/>
  <c r="DX211" i="15"/>
  <c r="DY211" i="15"/>
  <c r="DZ211" i="15"/>
  <c r="EA211" i="15"/>
  <c r="EB211" i="15"/>
  <c r="EC211" i="15"/>
  <c r="ED211" i="15"/>
  <c r="EE211" i="15"/>
  <c r="EF211" i="15"/>
  <c r="EG211" i="15"/>
  <c r="EH211" i="15"/>
  <c r="EI211" i="15"/>
  <c r="EJ211" i="15"/>
  <c r="EK211" i="15"/>
  <c r="EL211" i="15"/>
  <c r="EM211" i="15"/>
  <c r="EN211" i="15"/>
  <c r="EO211" i="15"/>
  <c r="EP211" i="15"/>
  <c r="EQ211" i="15"/>
  <c r="ER211" i="15"/>
  <c r="ES211" i="15"/>
  <c r="ET211" i="15"/>
  <c r="EU211" i="15"/>
  <c r="EV211" i="15"/>
  <c r="EW211" i="15"/>
  <c r="EX211" i="15"/>
  <c r="EY211" i="15"/>
  <c r="EZ211" i="15"/>
  <c r="FA211" i="15"/>
  <c r="FB211" i="15"/>
  <c r="FC211" i="15"/>
  <c r="FD211" i="15"/>
  <c r="FE211" i="15"/>
  <c r="FF211" i="15"/>
  <c r="FG211" i="15"/>
  <c r="FH211" i="15"/>
  <c r="FI211" i="15"/>
  <c r="FJ211" i="15"/>
  <c r="FK211" i="15"/>
  <c r="FL211" i="15"/>
  <c r="B212" i="15"/>
  <c r="C212" i="15"/>
  <c r="D212" i="15"/>
  <c r="E212" i="15"/>
  <c r="F212" i="15"/>
  <c r="G212" i="15"/>
  <c r="H212" i="15"/>
  <c r="I212" i="15"/>
  <c r="J212" i="15"/>
  <c r="K212" i="15"/>
  <c r="L212" i="15"/>
  <c r="M212" i="15"/>
  <c r="N212" i="15"/>
  <c r="O212" i="15"/>
  <c r="P212" i="15"/>
  <c r="Q212" i="15"/>
  <c r="R212" i="15"/>
  <c r="S212" i="15"/>
  <c r="T212" i="15"/>
  <c r="U212" i="15"/>
  <c r="V212" i="15"/>
  <c r="W212" i="15"/>
  <c r="X212" i="15"/>
  <c r="Y212" i="15"/>
  <c r="Z212" i="15"/>
  <c r="AA212" i="15"/>
  <c r="AB212" i="15"/>
  <c r="AC212" i="15"/>
  <c r="AD212" i="15"/>
  <c r="AE212" i="15"/>
  <c r="AF212" i="15"/>
  <c r="AG212" i="15"/>
  <c r="AH212" i="15"/>
  <c r="AI212" i="15"/>
  <c r="AJ212" i="15"/>
  <c r="AK212" i="15"/>
  <c r="AL212" i="15"/>
  <c r="AM212" i="15"/>
  <c r="AN212" i="15"/>
  <c r="AO212" i="15"/>
  <c r="AP212" i="15"/>
  <c r="AQ212" i="15"/>
  <c r="AR212" i="15"/>
  <c r="AS212" i="15"/>
  <c r="AT212" i="15"/>
  <c r="AU212" i="15"/>
  <c r="AV212" i="15"/>
  <c r="AW212" i="15"/>
  <c r="AX212" i="15"/>
  <c r="AY212" i="15"/>
  <c r="AZ212" i="15"/>
  <c r="BA212" i="15"/>
  <c r="BB212" i="15"/>
  <c r="BC212" i="15"/>
  <c r="BD212" i="15"/>
  <c r="BE212" i="15"/>
  <c r="BF212" i="15"/>
  <c r="BG212" i="15"/>
  <c r="BH212" i="15"/>
  <c r="BI212" i="15"/>
  <c r="BJ212" i="15"/>
  <c r="BK212" i="15"/>
  <c r="BL212" i="15"/>
  <c r="BM212" i="15"/>
  <c r="BN212" i="15"/>
  <c r="BO212" i="15"/>
  <c r="BP212" i="15"/>
  <c r="BQ212" i="15"/>
  <c r="BR212" i="15"/>
  <c r="BS212" i="15"/>
  <c r="BT212" i="15"/>
  <c r="BU212" i="15"/>
  <c r="BV212" i="15"/>
  <c r="BW212" i="15"/>
  <c r="BX212" i="15"/>
  <c r="BY212" i="15"/>
  <c r="BZ212" i="15"/>
  <c r="CA212" i="15"/>
  <c r="CB212" i="15"/>
  <c r="CC212" i="15"/>
  <c r="CD212" i="15"/>
  <c r="CE212" i="15"/>
  <c r="CF212" i="15"/>
  <c r="CG212" i="15"/>
  <c r="CH212" i="15"/>
  <c r="CI212" i="15"/>
  <c r="CJ212" i="15"/>
  <c r="CK212" i="15"/>
  <c r="CL212" i="15"/>
  <c r="CM212" i="15"/>
  <c r="CN212" i="15"/>
  <c r="CO212" i="15"/>
  <c r="CP212" i="15"/>
  <c r="CQ212" i="15"/>
  <c r="CR212" i="15"/>
  <c r="CS212" i="15"/>
  <c r="CT212" i="15"/>
  <c r="CU212" i="15"/>
  <c r="CV212" i="15"/>
  <c r="CW212" i="15"/>
  <c r="CX212" i="15"/>
  <c r="CY212" i="15"/>
  <c r="CZ212" i="15"/>
  <c r="DA212" i="15"/>
  <c r="DB212" i="15"/>
  <c r="DC212" i="15"/>
  <c r="DD212" i="15"/>
  <c r="DE212" i="15"/>
  <c r="DF212" i="15"/>
  <c r="DG212" i="15"/>
  <c r="DH212" i="15"/>
  <c r="DI212" i="15"/>
  <c r="DJ212" i="15"/>
  <c r="DK212" i="15"/>
  <c r="DL212" i="15"/>
  <c r="DM212" i="15"/>
  <c r="DN212" i="15"/>
  <c r="DO212" i="15"/>
  <c r="DP212" i="15"/>
  <c r="DQ212" i="15"/>
  <c r="DR212" i="15"/>
  <c r="DS212" i="15"/>
  <c r="DT212" i="15"/>
  <c r="DU212" i="15"/>
  <c r="DV212" i="15"/>
  <c r="DW212" i="15"/>
  <c r="DX212" i="15"/>
  <c r="DY212" i="15"/>
  <c r="DZ212" i="15"/>
  <c r="EA212" i="15"/>
  <c r="EB212" i="15"/>
  <c r="EC212" i="15"/>
  <c r="ED212" i="15"/>
  <c r="EE212" i="15"/>
  <c r="EF212" i="15"/>
  <c r="EG212" i="15"/>
  <c r="EH212" i="15"/>
  <c r="EI212" i="15"/>
  <c r="EJ212" i="15"/>
  <c r="EK212" i="15"/>
  <c r="EL212" i="15"/>
  <c r="EM212" i="15"/>
  <c r="EN212" i="15"/>
  <c r="EO212" i="15"/>
  <c r="EP212" i="15"/>
  <c r="EQ212" i="15"/>
  <c r="ER212" i="15"/>
  <c r="ES212" i="15"/>
  <c r="ET212" i="15"/>
  <c r="EU212" i="15"/>
  <c r="EV212" i="15"/>
  <c r="EW212" i="15"/>
  <c r="EX212" i="15"/>
  <c r="EY212" i="15"/>
  <c r="EZ212" i="15"/>
  <c r="FA212" i="15"/>
  <c r="FB212" i="15"/>
  <c r="FC212" i="15"/>
  <c r="FD212" i="15"/>
  <c r="FE212" i="15"/>
  <c r="FF212" i="15"/>
  <c r="FG212" i="15"/>
  <c r="FH212" i="15"/>
  <c r="FI212" i="15"/>
  <c r="FJ212" i="15"/>
  <c r="FK212" i="15"/>
  <c r="FL212" i="15"/>
  <c r="B213" i="15"/>
  <c r="C213" i="15"/>
  <c r="D213" i="15"/>
  <c r="E213" i="15"/>
  <c r="F213" i="15"/>
  <c r="G213" i="15"/>
  <c r="H213" i="15"/>
  <c r="I213" i="15"/>
  <c r="J213" i="15"/>
  <c r="K213" i="15"/>
  <c r="L213" i="15"/>
  <c r="M213" i="15"/>
  <c r="N213" i="15"/>
  <c r="O213" i="15"/>
  <c r="P213" i="15"/>
  <c r="Q213" i="15"/>
  <c r="R213" i="15"/>
  <c r="S213" i="15"/>
  <c r="T213" i="15"/>
  <c r="U213" i="15"/>
  <c r="V213" i="15"/>
  <c r="W213" i="15"/>
  <c r="X213" i="15"/>
  <c r="Y213" i="15"/>
  <c r="Z213" i="15"/>
  <c r="AA213" i="15"/>
  <c r="AB213" i="15"/>
  <c r="AC213" i="15"/>
  <c r="AD213" i="15"/>
  <c r="AE213" i="15"/>
  <c r="AF213" i="15"/>
  <c r="AG213" i="15"/>
  <c r="AH213" i="15"/>
  <c r="AI213" i="15"/>
  <c r="AJ213" i="15"/>
  <c r="AK213" i="15"/>
  <c r="AL213" i="15"/>
  <c r="AM213" i="15"/>
  <c r="AN213" i="15"/>
  <c r="AO213" i="15"/>
  <c r="AP213" i="15"/>
  <c r="AQ213" i="15"/>
  <c r="AR213" i="15"/>
  <c r="AS213" i="15"/>
  <c r="AT213" i="15"/>
  <c r="AU213" i="15"/>
  <c r="AV213" i="15"/>
  <c r="AW213" i="15"/>
  <c r="AX213" i="15"/>
  <c r="AY213" i="15"/>
  <c r="AZ213" i="15"/>
  <c r="BA213" i="15"/>
  <c r="BB213" i="15"/>
  <c r="BC213" i="15"/>
  <c r="BD213" i="15"/>
  <c r="BE213" i="15"/>
  <c r="BF213" i="15"/>
  <c r="BG213" i="15"/>
  <c r="BH213" i="15"/>
  <c r="BI213" i="15"/>
  <c r="BJ213" i="15"/>
  <c r="BK213" i="15"/>
  <c r="BL213" i="15"/>
  <c r="BM213" i="15"/>
  <c r="BN213" i="15"/>
  <c r="BO213" i="15"/>
  <c r="BP213" i="15"/>
  <c r="BQ213" i="15"/>
  <c r="BR213" i="15"/>
  <c r="BS213" i="15"/>
  <c r="BT213" i="15"/>
  <c r="BU213" i="15"/>
  <c r="BV213" i="15"/>
  <c r="BW213" i="15"/>
  <c r="BX213" i="15"/>
  <c r="BY213" i="15"/>
  <c r="BZ213" i="15"/>
  <c r="CA213" i="15"/>
  <c r="CB213" i="15"/>
  <c r="CC213" i="15"/>
  <c r="CD213" i="15"/>
  <c r="CE213" i="15"/>
  <c r="CF213" i="15"/>
  <c r="CG213" i="15"/>
  <c r="CH213" i="15"/>
  <c r="CI213" i="15"/>
  <c r="CJ213" i="15"/>
  <c r="CK213" i="15"/>
  <c r="CL213" i="15"/>
  <c r="CM213" i="15"/>
  <c r="CN213" i="15"/>
  <c r="CO213" i="15"/>
  <c r="CP213" i="15"/>
  <c r="CQ213" i="15"/>
  <c r="CR213" i="15"/>
  <c r="CS213" i="15"/>
  <c r="CT213" i="15"/>
  <c r="CU213" i="15"/>
  <c r="CV213" i="15"/>
  <c r="CW213" i="15"/>
  <c r="CX213" i="15"/>
  <c r="CY213" i="15"/>
  <c r="CZ213" i="15"/>
  <c r="DA213" i="15"/>
  <c r="DB213" i="15"/>
  <c r="DC213" i="15"/>
  <c r="DD213" i="15"/>
  <c r="DE213" i="15"/>
  <c r="DF213" i="15"/>
  <c r="DG213" i="15"/>
  <c r="DH213" i="15"/>
  <c r="DI213" i="15"/>
  <c r="DJ213" i="15"/>
  <c r="DK213" i="15"/>
  <c r="DL213" i="15"/>
  <c r="DM213" i="15"/>
  <c r="DN213" i="15"/>
  <c r="DO213" i="15"/>
  <c r="DP213" i="15"/>
  <c r="DQ213" i="15"/>
  <c r="DR213" i="15"/>
  <c r="DS213" i="15"/>
  <c r="DT213" i="15"/>
  <c r="DU213" i="15"/>
  <c r="DV213" i="15"/>
  <c r="DW213" i="15"/>
  <c r="DX213" i="15"/>
  <c r="DY213" i="15"/>
  <c r="DZ213" i="15"/>
  <c r="EA213" i="15"/>
  <c r="EB213" i="15"/>
  <c r="EC213" i="15"/>
  <c r="ED213" i="15"/>
  <c r="EE213" i="15"/>
  <c r="EF213" i="15"/>
  <c r="EG213" i="15"/>
  <c r="EH213" i="15"/>
  <c r="EI213" i="15"/>
  <c r="EJ213" i="15"/>
  <c r="EK213" i="15"/>
  <c r="EL213" i="15"/>
  <c r="EM213" i="15"/>
  <c r="EN213" i="15"/>
  <c r="EO213" i="15"/>
  <c r="EP213" i="15"/>
  <c r="EQ213" i="15"/>
  <c r="ER213" i="15"/>
  <c r="ES213" i="15"/>
  <c r="ET213" i="15"/>
  <c r="EU213" i="15"/>
  <c r="EV213" i="15"/>
  <c r="EW213" i="15"/>
  <c r="EX213" i="15"/>
  <c r="EY213" i="15"/>
  <c r="EZ213" i="15"/>
  <c r="FA213" i="15"/>
  <c r="FB213" i="15"/>
  <c r="FC213" i="15"/>
  <c r="FD213" i="15"/>
  <c r="FE213" i="15"/>
  <c r="FF213" i="15"/>
  <c r="FG213" i="15"/>
  <c r="FH213" i="15"/>
  <c r="FI213" i="15"/>
  <c r="FJ213" i="15"/>
  <c r="FK213" i="15"/>
  <c r="FL213" i="15"/>
  <c r="B214" i="15"/>
  <c r="C214" i="15"/>
  <c r="D214" i="15"/>
  <c r="E214" i="15"/>
  <c r="F214" i="15"/>
  <c r="G214" i="15"/>
  <c r="H214" i="15"/>
  <c r="I214" i="15"/>
  <c r="J214" i="15"/>
  <c r="K214" i="15"/>
  <c r="L214" i="15"/>
  <c r="M214" i="15"/>
  <c r="N214" i="15"/>
  <c r="O214" i="15"/>
  <c r="P214" i="15"/>
  <c r="Q214" i="15"/>
  <c r="R214" i="15"/>
  <c r="S214" i="15"/>
  <c r="T214" i="15"/>
  <c r="U214" i="15"/>
  <c r="V214" i="15"/>
  <c r="W214" i="15"/>
  <c r="X214" i="15"/>
  <c r="Y214" i="15"/>
  <c r="Z214" i="15"/>
  <c r="AA214" i="15"/>
  <c r="AB214" i="15"/>
  <c r="AC214" i="15"/>
  <c r="AD214" i="15"/>
  <c r="AE214" i="15"/>
  <c r="AF214" i="15"/>
  <c r="AG214" i="15"/>
  <c r="AH214" i="15"/>
  <c r="AI214" i="15"/>
  <c r="AJ214" i="15"/>
  <c r="AK214" i="15"/>
  <c r="AL214" i="15"/>
  <c r="AM214" i="15"/>
  <c r="AN214" i="15"/>
  <c r="AO214" i="15"/>
  <c r="AP214" i="15"/>
  <c r="AQ214" i="15"/>
  <c r="AR214" i="15"/>
  <c r="AS214" i="15"/>
  <c r="AT214" i="15"/>
  <c r="AU214" i="15"/>
  <c r="AV214" i="15"/>
  <c r="AW214" i="15"/>
  <c r="AX214" i="15"/>
  <c r="AY214" i="15"/>
  <c r="AZ214" i="15"/>
  <c r="BA214" i="15"/>
  <c r="BB214" i="15"/>
  <c r="BC214" i="15"/>
  <c r="BD214" i="15"/>
  <c r="BE214" i="15"/>
  <c r="BF214" i="15"/>
  <c r="BG214" i="15"/>
  <c r="BH214" i="15"/>
  <c r="BI214" i="15"/>
  <c r="BJ214" i="15"/>
  <c r="BK214" i="15"/>
  <c r="BL214" i="15"/>
  <c r="BM214" i="15"/>
  <c r="BN214" i="15"/>
  <c r="BO214" i="15"/>
  <c r="BP214" i="15"/>
  <c r="BQ214" i="15"/>
  <c r="BR214" i="15"/>
  <c r="BS214" i="15"/>
  <c r="BT214" i="15"/>
  <c r="BU214" i="15"/>
  <c r="BV214" i="15"/>
  <c r="BW214" i="15"/>
  <c r="BX214" i="15"/>
  <c r="BY214" i="15"/>
  <c r="BZ214" i="15"/>
  <c r="CA214" i="15"/>
  <c r="CB214" i="15"/>
  <c r="CC214" i="15"/>
  <c r="CD214" i="15"/>
  <c r="CE214" i="15"/>
  <c r="CF214" i="15"/>
  <c r="CG214" i="15"/>
  <c r="CH214" i="15"/>
  <c r="CI214" i="15"/>
  <c r="CJ214" i="15"/>
  <c r="CK214" i="15"/>
  <c r="CL214" i="15"/>
  <c r="CM214" i="15"/>
  <c r="CN214" i="15"/>
  <c r="CO214" i="15"/>
  <c r="CP214" i="15"/>
  <c r="CQ214" i="15"/>
  <c r="CR214" i="15"/>
  <c r="CS214" i="15"/>
  <c r="CT214" i="15"/>
  <c r="CU214" i="15"/>
  <c r="CV214" i="15"/>
  <c r="CW214" i="15"/>
  <c r="CX214" i="15"/>
  <c r="CY214" i="15"/>
  <c r="CZ214" i="15"/>
  <c r="DA214" i="15"/>
  <c r="DB214" i="15"/>
  <c r="DC214" i="15"/>
  <c r="DD214" i="15"/>
  <c r="DE214" i="15"/>
  <c r="DF214" i="15"/>
  <c r="DG214" i="15"/>
  <c r="DH214" i="15"/>
  <c r="DI214" i="15"/>
  <c r="DJ214" i="15"/>
  <c r="DK214" i="15"/>
  <c r="DL214" i="15"/>
  <c r="DM214" i="15"/>
  <c r="DN214" i="15"/>
  <c r="DO214" i="15"/>
  <c r="DP214" i="15"/>
  <c r="DQ214" i="15"/>
  <c r="DR214" i="15"/>
  <c r="DS214" i="15"/>
  <c r="DT214" i="15"/>
  <c r="DU214" i="15"/>
  <c r="DV214" i="15"/>
  <c r="DW214" i="15"/>
  <c r="DX214" i="15"/>
  <c r="DY214" i="15"/>
  <c r="DZ214" i="15"/>
  <c r="EA214" i="15"/>
  <c r="EB214" i="15"/>
  <c r="EC214" i="15"/>
  <c r="ED214" i="15"/>
  <c r="EE214" i="15"/>
  <c r="EF214" i="15"/>
  <c r="EG214" i="15"/>
  <c r="EH214" i="15"/>
  <c r="EI214" i="15"/>
  <c r="EJ214" i="15"/>
  <c r="EK214" i="15"/>
  <c r="EL214" i="15"/>
  <c r="EM214" i="15"/>
  <c r="EN214" i="15"/>
  <c r="EO214" i="15"/>
  <c r="EP214" i="15"/>
  <c r="EQ214" i="15"/>
  <c r="ER214" i="15"/>
  <c r="ES214" i="15"/>
  <c r="ET214" i="15"/>
  <c r="EU214" i="15"/>
  <c r="EV214" i="15"/>
  <c r="EW214" i="15"/>
  <c r="EX214" i="15"/>
  <c r="EY214" i="15"/>
  <c r="EZ214" i="15"/>
  <c r="FA214" i="15"/>
  <c r="FB214" i="15"/>
  <c r="FC214" i="15"/>
  <c r="FD214" i="15"/>
  <c r="FE214" i="15"/>
  <c r="FF214" i="15"/>
  <c r="FG214" i="15"/>
  <c r="FH214" i="15"/>
  <c r="FI214" i="15"/>
  <c r="FJ214" i="15"/>
  <c r="FK214" i="15"/>
  <c r="FL214" i="15"/>
  <c r="B215" i="15"/>
  <c r="C215" i="15"/>
  <c r="D215" i="15"/>
  <c r="E215" i="15"/>
  <c r="F215" i="15"/>
  <c r="G215" i="15"/>
  <c r="H215" i="15"/>
  <c r="I215" i="15"/>
  <c r="J215" i="15"/>
  <c r="K215" i="15"/>
  <c r="L215" i="15"/>
  <c r="M215" i="15"/>
  <c r="N215" i="15"/>
  <c r="O215" i="15"/>
  <c r="P215" i="15"/>
  <c r="Q215" i="15"/>
  <c r="R215" i="15"/>
  <c r="S215" i="15"/>
  <c r="T215" i="15"/>
  <c r="U215" i="15"/>
  <c r="V215" i="15"/>
  <c r="W215" i="15"/>
  <c r="X215" i="15"/>
  <c r="Y215" i="15"/>
  <c r="Z215" i="15"/>
  <c r="AA215" i="15"/>
  <c r="AB215" i="15"/>
  <c r="AC215" i="15"/>
  <c r="AD215" i="15"/>
  <c r="AE215" i="15"/>
  <c r="AF215" i="15"/>
  <c r="AG215" i="15"/>
  <c r="AH215" i="15"/>
  <c r="AI215" i="15"/>
  <c r="AJ215" i="15"/>
  <c r="AK215" i="15"/>
  <c r="AL215" i="15"/>
  <c r="AM215" i="15"/>
  <c r="AN215" i="15"/>
  <c r="AO215" i="15"/>
  <c r="AP215" i="15"/>
  <c r="AQ215" i="15"/>
  <c r="AR215" i="15"/>
  <c r="AS215" i="15"/>
  <c r="AT215" i="15"/>
  <c r="AU215" i="15"/>
  <c r="AV215" i="15"/>
  <c r="AW215" i="15"/>
  <c r="AX215" i="15"/>
  <c r="AY215" i="15"/>
  <c r="AZ215" i="15"/>
  <c r="BA215" i="15"/>
  <c r="BB215" i="15"/>
  <c r="BC215" i="15"/>
  <c r="BD215" i="15"/>
  <c r="BE215" i="15"/>
  <c r="BF215" i="15"/>
  <c r="BG215" i="15"/>
  <c r="BH215" i="15"/>
  <c r="BI215" i="15"/>
  <c r="BJ215" i="15"/>
  <c r="BK215" i="15"/>
  <c r="BL215" i="15"/>
  <c r="BM215" i="15"/>
  <c r="BN215" i="15"/>
  <c r="BO215" i="15"/>
  <c r="BP215" i="15"/>
  <c r="BQ215" i="15"/>
  <c r="BR215" i="15"/>
  <c r="BS215" i="15"/>
  <c r="BT215" i="15"/>
  <c r="BU215" i="15"/>
  <c r="BV215" i="15"/>
  <c r="BW215" i="15"/>
  <c r="BX215" i="15"/>
  <c r="BY215" i="15"/>
  <c r="BZ215" i="15"/>
  <c r="CA215" i="15"/>
  <c r="CB215" i="15"/>
  <c r="CC215" i="15"/>
  <c r="CD215" i="15"/>
  <c r="CE215" i="15"/>
  <c r="CF215" i="15"/>
  <c r="CG215" i="15"/>
  <c r="CH215" i="15"/>
  <c r="CI215" i="15"/>
  <c r="CJ215" i="15"/>
  <c r="CK215" i="15"/>
  <c r="CL215" i="15"/>
  <c r="CM215" i="15"/>
  <c r="CN215" i="15"/>
  <c r="CO215" i="15"/>
  <c r="CP215" i="15"/>
  <c r="CQ215" i="15"/>
  <c r="CR215" i="15"/>
  <c r="CS215" i="15"/>
  <c r="CT215" i="15"/>
  <c r="CU215" i="15"/>
  <c r="CV215" i="15"/>
  <c r="CW215" i="15"/>
  <c r="CX215" i="15"/>
  <c r="CY215" i="15"/>
  <c r="CZ215" i="15"/>
  <c r="DA215" i="15"/>
  <c r="DB215" i="15"/>
  <c r="DC215" i="15"/>
  <c r="DD215" i="15"/>
  <c r="DE215" i="15"/>
  <c r="DF215" i="15"/>
  <c r="DG215" i="15"/>
  <c r="DH215" i="15"/>
  <c r="DI215" i="15"/>
  <c r="DJ215" i="15"/>
  <c r="DK215" i="15"/>
  <c r="DL215" i="15"/>
  <c r="DM215" i="15"/>
  <c r="DN215" i="15"/>
  <c r="DO215" i="15"/>
  <c r="DP215" i="15"/>
  <c r="DQ215" i="15"/>
  <c r="DR215" i="15"/>
  <c r="DS215" i="15"/>
  <c r="DT215" i="15"/>
  <c r="DU215" i="15"/>
  <c r="DV215" i="15"/>
  <c r="DW215" i="15"/>
  <c r="DX215" i="15"/>
  <c r="DY215" i="15"/>
  <c r="DZ215" i="15"/>
  <c r="EA215" i="15"/>
  <c r="EB215" i="15"/>
  <c r="EC215" i="15"/>
  <c r="ED215" i="15"/>
  <c r="EE215" i="15"/>
  <c r="EF215" i="15"/>
  <c r="EG215" i="15"/>
  <c r="EH215" i="15"/>
  <c r="EI215" i="15"/>
  <c r="EJ215" i="15"/>
  <c r="EK215" i="15"/>
  <c r="EL215" i="15"/>
  <c r="EM215" i="15"/>
  <c r="EN215" i="15"/>
  <c r="EO215" i="15"/>
  <c r="EP215" i="15"/>
  <c r="EQ215" i="15"/>
  <c r="ER215" i="15"/>
  <c r="ES215" i="15"/>
  <c r="ET215" i="15"/>
  <c r="EU215" i="15"/>
  <c r="EV215" i="15"/>
  <c r="EW215" i="15"/>
  <c r="EX215" i="15"/>
  <c r="EY215" i="15"/>
  <c r="EZ215" i="15"/>
  <c r="FA215" i="15"/>
  <c r="FB215" i="15"/>
  <c r="FC215" i="15"/>
  <c r="FD215" i="15"/>
  <c r="FE215" i="15"/>
  <c r="FF215" i="15"/>
  <c r="FG215" i="15"/>
  <c r="FH215" i="15"/>
  <c r="FI215" i="15"/>
  <c r="FJ215" i="15"/>
  <c r="FK215" i="15"/>
  <c r="FL215" i="15"/>
  <c r="B216" i="15"/>
  <c r="C216" i="15"/>
  <c r="D216" i="15"/>
  <c r="E216" i="15"/>
  <c r="F216" i="15"/>
  <c r="G216" i="15"/>
  <c r="H216" i="15"/>
  <c r="I216" i="15"/>
  <c r="J216" i="15"/>
  <c r="K216" i="15"/>
  <c r="L216" i="15"/>
  <c r="M216" i="15"/>
  <c r="N216" i="15"/>
  <c r="O216" i="15"/>
  <c r="P216" i="15"/>
  <c r="Q216" i="15"/>
  <c r="R216" i="15"/>
  <c r="S216" i="15"/>
  <c r="T216" i="15"/>
  <c r="U216" i="15"/>
  <c r="V216" i="15"/>
  <c r="W216" i="15"/>
  <c r="X216" i="15"/>
  <c r="Y216" i="15"/>
  <c r="Z216" i="15"/>
  <c r="AA216" i="15"/>
  <c r="AB216" i="15"/>
  <c r="AC216" i="15"/>
  <c r="AD216" i="15"/>
  <c r="AE216" i="15"/>
  <c r="AF216" i="15"/>
  <c r="AG216" i="15"/>
  <c r="AH216" i="15"/>
  <c r="AI216" i="15"/>
  <c r="AJ216" i="15"/>
  <c r="AK216" i="15"/>
  <c r="AL216" i="15"/>
  <c r="AM216" i="15"/>
  <c r="AN216" i="15"/>
  <c r="AO216" i="15"/>
  <c r="AP216" i="15"/>
  <c r="AQ216" i="15"/>
  <c r="AR216" i="15"/>
  <c r="AS216" i="15"/>
  <c r="AT216" i="15"/>
  <c r="AU216" i="15"/>
  <c r="AV216" i="15"/>
  <c r="AW216" i="15"/>
  <c r="AX216" i="15"/>
  <c r="AY216" i="15"/>
  <c r="AZ216" i="15"/>
  <c r="BA216" i="15"/>
  <c r="BB216" i="15"/>
  <c r="BC216" i="15"/>
  <c r="BD216" i="15"/>
  <c r="BE216" i="15"/>
  <c r="BF216" i="15"/>
  <c r="BG216" i="15"/>
  <c r="BH216" i="15"/>
  <c r="BI216" i="15"/>
  <c r="BJ216" i="15"/>
  <c r="BK216" i="15"/>
  <c r="BL216" i="15"/>
  <c r="BM216" i="15"/>
  <c r="BN216" i="15"/>
  <c r="BO216" i="15"/>
  <c r="BP216" i="15"/>
  <c r="BQ216" i="15"/>
  <c r="BR216" i="15"/>
  <c r="BS216" i="15"/>
  <c r="BT216" i="15"/>
  <c r="BU216" i="15"/>
  <c r="BV216" i="15"/>
  <c r="BW216" i="15"/>
  <c r="BX216" i="15"/>
  <c r="BY216" i="15"/>
  <c r="BZ216" i="15"/>
  <c r="CA216" i="15"/>
  <c r="CB216" i="15"/>
  <c r="CC216" i="15"/>
  <c r="CD216" i="15"/>
  <c r="CE216" i="15"/>
  <c r="CF216" i="15"/>
  <c r="CG216" i="15"/>
  <c r="CH216" i="15"/>
  <c r="CI216" i="15"/>
  <c r="CJ216" i="15"/>
  <c r="CK216" i="15"/>
  <c r="CL216" i="15"/>
  <c r="CM216" i="15"/>
  <c r="CN216" i="15"/>
  <c r="CO216" i="15"/>
  <c r="CP216" i="15"/>
  <c r="CQ216" i="15"/>
  <c r="CR216" i="15"/>
  <c r="CS216" i="15"/>
  <c r="CT216" i="15"/>
  <c r="CU216" i="15"/>
  <c r="CV216" i="15"/>
  <c r="CW216" i="15"/>
  <c r="CX216" i="15"/>
  <c r="CY216" i="15"/>
  <c r="CZ216" i="15"/>
  <c r="DA216" i="15"/>
  <c r="DB216" i="15"/>
  <c r="DC216" i="15"/>
  <c r="DD216" i="15"/>
  <c r="DE216" i="15"/>
  <c r="DF216" i="15"/>
  <c r="DG216" i="15"/>
  <c r="DH216" i="15"/>
  <c r="DI216" i="15"/>
  <c r="DJ216" i="15"/>
  <c r="DK216" i="15"/>
  <c r="DL216" i="15"/>
  <c r="DM216" i="15"/>
  <c r="DN216" i="15"/>
  <c r="DO216" i="15"/>
  <c r="DP216" i="15"/>
  <c r="DQ216" i="15"/>
  <c r="DR216" i="15"/>
  <c r="DS216" i="15"/>
  <c r="DT216" i="15"/>
  <c r="DU216" i="15"/>
  <c r="DV216" i="15"/>
  <c r="DW216" i="15"/>
  <c r="DX216" i="15"/>
  <c r="DY216" i="15"/>
  <c r="DZ216" i="15"/>
  <c r="EA216" i="15"/>
  <c r="EB216" i="15"/>
  <c r="EC216" i="15"/>
  <c r="ED216" i="15"/>
  <c r="EE216" i="15"/>
  <c r="EF216" i="15"/>
  <c r="EG216" i="15"/>
  <c r="EH216" i="15"/>
  <c r="EI216" i="15"/>
  <c r="EJ216" i="15"/>
  <c r="EK216" i="15"/>
  <c r="EL216" i="15"/>
  <c r="EM216" i="15"/>
  <c r="EN216" i="15"/>
  <c r="EO216" i="15"/>
  <c r="EP216" i="15"/>
  <c r="EQ216" i="15"/>
  <c r="ER216" i="15"/>
  <c r="ES216" i="15"/>
  <c r="ET216" i="15"/>
  <c r="EU216" i="15"/>
  <c r="EV216" i="15"/>
  <c r="EW216" i="15"/>
  <c r="EX216" i="15"/>
  <c r="EY216" i="15"/>
  <c r="EZ216" i="15"/>
  <c r="FA216" i="15"/>
  <c r="FB216" i="15"/>
  <c r="FC216" i="15"/>
  <c r="FD216" i="15"/>
  <c r="FE216" i="15"/>
  <c r="FF216" i="15"/>
  <c r="FG216" i="15"/>
  <c r="FH216" i="15"/>
  <c r="FI216" i="15"/>
  <c r="FJ216" i="15"/>
  <c r="FK216" i="15"/>
  <c r="FL216" i="15"/>
  <c r="B217" i="15"/>
  <c r="C217" i="15"/>
  <c r="D217" i="15"/>
  <c r="E217" i="15"/>
  <c r="F217" i="15"/>
  <c r="G217" i="15"/>
  <c r="H217" i="15"/>
  <c r="I217" i="15"/>
  <c r="J217" i="15"/>
  <c r="K217" i="15"/>
  <c r="L217" i="15"/>
  <c r="M217" i="15"/>
  <c r="N217" i="15"/>
  <c r="O217" i="15"/>
  <c r="P217" i="15"/>
  <c r="Q217" i="15"/>
  <c r="R217" i="15"/>
  <c r="S217" i="15"/>
  <c r="T217" i="15"/>
  <c r="U217" i="15"/>
  <c r="V217" i="15"/>
  <c r="W217" i="15"/>
  <c r="X217" i="15"/>
  <c r="Y217" i="15"/>
  <c r="Z217" i="15"/>
  <c r="AA217" i="15"/>
  <c r="AB217" i="15"/>
  <c r="AC217" i="15"/>
  <c r="AD217" i="15"/>
  <c r="AE217" i="15"/>
  <c r="AF217" i="15"/>
  <c r="AG217" i="15"/>
  <c r="AH217" i="15"/>
  <c r="AI217" i="15"/>
  <c r="AJ217" i="15"/>
  <c r="AK217" i="15"/>
  <c r="AL217" i="15"/>
  <c r="AM217" i="15"/>
  <c r="AN217" i="15"/>
  <c r="AO217" i="15"/>
  <c r="AP217" i="15"/>
  <c r="AQ217" i="15"/>
  <c r="AR217" i="15"/>
  <c r="AS217" i="15"/>
  <c r="AT217" i="15"/>
  <c r="AU217" i="15"/>
  <c r="AV217" i="15"/>
  <c r="AW217" i="15"/>
  <c r="AX217" i="15"/>
  <c r="AY217" i="15"/>
  <c r="AZ217" i="15"/>
  <c r="BA217" i="15"/>
  <c r="BB217" i="15"/>
  <c r="BC217" i="15"/>
  <c r="BD217" i="15"/>
  <c r="BE217" i="15"/>
  <c r="BF217" i="15"/>
  <c r="BG217" i="15"/>
  <c r="BH217" i="15"/>
  <c r="BI217" i="15"/>
  <c r="BJ217" i="15"/>
  <c r="BK217" i="15"/>
  <c r="BL217" i="15"/>
  <c r="BM217" i="15"/>
  <c r="BN217" i="15"/>
  <c r="BO217" i="15"/>
  <c r="BP217" i="15"/>
  <c r="BQ217" i="15"/>
  <c r="BR217" i="15"/>
  <c r="BS217" i="15"/>
  <c r="BT217" i="15"/>
  <c r="BU217" i="15"/>
  <c r="BV217" i="15"/>
  <c r="BW217" i="15"/>
  <c r="BX217" i="15"/>
  <c r="BY217" i="15"/>
  <c r="BZ217" i="15"/>
  <c r="CA217" i="15"/>
  <c r="CB217" i="15"/>
  <c r="CC217" i="15"/>
  <c r="CD217" i="15"/>
  <c r="CE217" i="15"/>
  <c r="CF217" i="15"/>
  <c r="CG217" i="15"/>
  <c r="CH217" i="15"/>
  <c r="CI217" i="15"/>
  <c r="CJ217" i="15"/>
  <c r="CK217" i="15"/>
  <c r="CL217" i="15"/>
  <c r="CM217" i="15"/>
  <c r="CN217" i="15"/>
  <c r="CO217" i="15"/>
  <c r="CP217" i="15"/>
  <c r="CQ217" i="15"/>
  <c r="CR217" i="15"/>
  <c r="CS217" i="15"/>
  <c r="CT217" i="15"/>
  <c r="CU217" i="15"/>
  <c r="CV217" i="15"/>
  <c r="CW217" i="15"/>
  <c r="CX217" i="15"/>
  <c r="CY217" i="15"/>
  <c r="CZ217" i="15"/>
  <c r="DA217" i="15"/>
  <c r="DB217" i="15"/>
  <c r="DC217" i="15"/>
  <c r="DD217" i="15"/>
  <c r="DE217" i="15"/>
  <c r="DF217" i="15"/>
  <c r="DG217" i="15"/>
  <c r="DH217" i="15"/>
  <c r="DI217" i="15"/>
  <c r="DJ217" i="15"/>
  <c r="DK217" i="15"/>
  <c r="DL217" i="15"/>
  <c r="DM217" i="15"/>
  <c r="DN217" i="15"/>
  <c r="DO217" i="15"/>
  <c r="DP217" i="15"/>
  <c r="DQ217" i="15"/>
  <c r="DR217" i="15"/>
  <c r="DS217" i="15"/>
  <c r="DT217" i="15"/>
  <c r="DU217" i="15"/>
  <c r="DV217" i="15"/>
  <c r="DW217" i="15"/>
  <c r="DX217" i="15"/>
  <c r="DY217" i="15"/>
  <c r="DZ217" i="15"/>
  <c r="EA217" i="15"/>
  <c r="EB217" i="15"/>
  <c r="EC217" i="15"/>
  <c r="ED217" i="15"/>
  <c r="EE217" i="15"/>
  <c r="EF217" i="15"/>
  <c r="EG217" i="15"/>
  <c r="EH217" i="15"/>
  <c r="EI217" i="15"/>
  <c r="EJ217" i="15"/>
  <c r="EK217" i="15"/>
  <c r="EL217" i="15"/>
  <c r="EM217" i="15"/>
  <c r="EN217" i="15"/>
  <c r="EO217" i="15"/>
  <c r="EP217" i="15"/>
  <c r="EQ217" i="15"/>
  <c r="ER217" i="15"/>
  <c r="ES217" i="15"/>
  <c r="ET217" i="15"/>
  <c r="EU217" i="15"/>
  <c r="EV217" i="15"/>
  <c r="EW217" i="15"/>
  <c r="EX217" i="15"/>
  <c r="EY217" i="15"/>
  <c r="EZ217" i="15"/>
  <c r="FA217" i="15"/>
  <c r="FB217" i="15"/>
  <c r="FC217" i="15"/>
  <c r="FD217" i="15"/>
  <c r="FE217" i="15"/>
  <c r="FF217" i="15"/>
  <c r="FG217" i="15"/>
  <c r="FH217" i="15"/>
  <c r="FI217" i="15"/>
  <c r="FJ217" i="15"/>
  <c r="FK217" i="15"/>
  <c r="FL217" i="15"/>
  <c r="B218" i="15"/>
  <c r="C218" i="15"/>
  <c r="D218" i="15"/>
  <c r="E218" i="15"/>
  <c r="F218" i="15"/>
  <c r="G218" i="15"/>
  <c r="H218" i="15"/>
  <c r="I218" i="15"/>
  <c r="J218" i="15"/>
  <c r="K218" i="15"/>
  <c r="L218" i="15"/>
  <c r="M218" i="15"/>
  <c r="N218" i="15"/>
  <c r="O218" i="15"/>
  <c r="P218" i="15"/>
  <c r="Q218" i="15"/>
  <c r="R218" i="15"/>
  <c r="S218" i="15"/>
  <c r="T218" i="15"/>
  <c r="U218" i="15"/>
  <c r="V218" i="15"/>
  <c r="W218" i="15"/>
  <c r="X218" i="15"/>
  <c r="Y218" i="15"/>
  <c r="Z218" i="15"/>
  <c r="AA218" i="15"/>
  <c r="AB218" i="15"/>
  <c r="AC218" i="15"/>
  <c r="AD218" i="15"/>
  <c r="AE218" i="15"/>
  <c r="AF218" i="15"/>
  <c r="AG218" i="15"/>
  <c r="AH218" i="15"/>
  <c r="AI218" i="15"/>
  <c r="AJ218" i="15"/>
  <c r="AK218" i="15"/>
  <c r="AL218" i="15"/>
  <c r="AM218" i="15"/>
  <c r="AN218" i="15"/>
  <c r="AO218" i="15"/>
  <c r="AP218" i="15"/>
  <c r="AQ218" i="15"/>
  <c r="AR218" i="15"/>
  <c r="AS218" i="15"/>
  <c r="AT218" i="15"/>
  <c r="AU218" i="15"/>
  <c r="AV218" i="15"/>
  <c r="AW218" i="15"/>
  <c r="AX218" i="15"/>
  <c r="AY218" i="15"/>
  <c r="AZ218" i="15"/>
  <c r="BA218" i="15"/>
  <c r="BB218" i="15"/>
  <c r="BC218" i="15"/>
  <c r="BD218" i="15"/>
  <c r="BE218" i="15"/>
  <c r="BF218" i="15"/>
  <c r="BG218" i="15"/>
  <c r="BH218" i="15"/>
  <c r="BI218" i="15"/>
  <c r="BJ218" i="15"/>
  <c r="BK218" i="15"/>
  <c r="BL218" i="15"/>
  <c r="BM218" i="15"/>
  <c r="BN218" i="15"/>
  <c r="BO218" i="15"/>
  <c r="BP218" i="15"/>
  <c r="BQ218" i="15"/>
  <c r="BR218" i="15"/>
  <c r="BS218" i="15"/>
  <c r="BT218" i="15"/>
  <c r="BU218" i="15"/>
  <c r="BV218" i="15"/>
  <c r="BW218" i="15"/>
  <c r="BX218" i="15"/>
  <c r="BY218" i="15"/>
  <c r="BZ218" i="15"/>
  <c r="CA218" i="15"/>
  <c r="CB218" i="15"/>
  <c r="CC218" i="15"/>
  <c r="CD218" i="15"/>
  <c r="CE218" i="15"/>
  <c r="CF218" i="15"/>
  <c r="CG218" i="15"/>
  <c r="CH218" i="15"/>
  <c r="CI218" i="15"/>
  <c r="CJ218" i="15"/>
  <c r="CK218" i="15"/>
  <c r="CL218" i="15"/>
  <c r="CM218" i="15"/>
  <c r="CN218" i="15"/>
  <c r="CO218" i="15"/>
  <c r="CP218" i="15"/>
  <c r="CQ218" i="15"/>
  <c r="CR218" i="15"/>
  <c r="CS218" i="15"/>
  <c r="CT218" i="15"/>
  <c r="CU218" i="15"/>
  <c r="CV218" i="15"/>
  <c r="CW218" i="15"/>
  <c r="CX218" i="15"/>
  <c r="CY218" i="15"/>
  <c r="CZ218" i="15"/>
  <c r="DA218" i="15"/>
  <c r="DB218" i="15"/>
  <c r="DC218" i="15"/>
  <c r="DD218" i="15"/>
  <c r="DE218" i="15"/>
  <c r="DF218" i="15"/>
  <c r="DG218" i="15"/>
  <c r="DH218" i="15"/>
  <c r="DI218" i="15"/>
  <c r="DJ218" i="15"/>
  <c r="DK218" i="15"/>
  <c r="DL218" i="15"/>
  <c r="DM218" i="15"/>
  <c r="DN218" i="15"/>
  <c r="DO218" i="15"/>
  <c r="DP218" i="15"/>
  <c r="DQ218" i="15"/>
  <c r="DR218" i="15"/>
  <c r="DS218" i="15"/>
  <c r="DT218" i="15"/>
  <c r="DU218" i="15"/>
  <c r="DV218" i="15"/>
  <c r="DW218" i="15"/>
  <c r="DX218" i="15"/>
  <c r="DY218" i="15"/>
  <c r="DZ218" i="15"/>
  <c r="EA218" i="15"/>
  <c r="EB218" i="15"/>
  <c r="EC218" i="15"/>
  <c r="ED218" i="15"/>
  <c r="EE218" i="15"/>
  <c r="EF218" i="15"/>
  <c r="EG218" i="15"/>
  <c r="EH218" i="15"/>
  <c r="EI218" i="15"/>
  <c r="EJ218" i="15"/>
  <c r="EK218" i="15"/>
  <c r="EL218" i="15"/>
  <c r="EM218" i="15"/>
  <c r="EN218" i="15"/>
  <c r="EO218" i="15"/>
  <c r="EP218" i="15"/>
  <c r="EQ218" i="15"/>
  <c r="ER218" i="15"/>
  <c r="ES218" i="15"/>
  <c r="ET218" i="15"/>
  <c r="EU218" i="15"/>
  <c r="EV218" i="15"/>
  <c r="EW218" i="15"/>
  <c r="EX218" i="15"/>
  <c r="EY218" i="15"/>
  <c r="EZ218" i="15"/>
  <c r="FA218" i="15"/>
  <c r="FB218" i="15"/>
  <c r="FC218" i="15"/>
  <c r="FD218" i="15"/>
  <c r="FE218" i="15"/>
  <c r="FF218" i="15"/>
  <c r="FG218" i="15"/>
  <c r="FH218" i="15"/>
  <c r="FI218" i="15"/>
  <c r="FJ218" i="15"/>
  <c r="FK218" i="15"/>
  <c r="FL218" i="15"/>
  <c r="B219" i="15"/>
  <c r="C219" i="15"/>
  <c r="D219" i="15"/>
  <c r="E219" i="15"/>
  <c r="F219" i="15"/>
  <c r="G219" i="15"/>
  <c r="H219" i="15"/>
  <c r="I219" i="15"/>
  <c r="J219" i="15"/>
  <c r="K219" i="15"/>
  <c r="L219" i="15"/>
  <c r="M219" i="15"/>
  <c r="N219" i="15"/>
  <c r="O219" i="15"/>
  <c r="P219" i="15"/>
  <c r="Q219" i="15"/>
  <c r="R219" i="15"/>
  <c r="S219" i="15"/>
  <c r="T219" i="15"/>
  <c r="U219" i="15"/>
  <c r="V219" i="15"/>
  <c r="W219" i="15"/>
  <c r="X219" i="15"/>
  <c r="Y219" i="15"/>
  <c r="Z219" i="15"/>
  <c r="AA219" i="15"/>
  <c r="AB219" i="15"/>
  <c r="AC219" i="15"/>
  <c r="AD219" i="15"/>
  <c r="AE219" i="15"/>
  <c r="AF219" i="15"/>
  <c r="AG219" i="15"/>
  <c r="AH219" i="15"/>
  <c r="AI219" i="15"/>
  <c r="AJ219" i="15"/>
  <c r="AK219" i="15"/>
  <c r="AL219" i="15"/>
  <c r="AM219" i="15"/>
  <c r="AN219" i="15"/>
  <c r="AO219" i="15"/>
  <c r="AP219" i="15"/>
  <c r="AQ219" i="15"/>
  <c r="AR219" i="15"/>
  <c r="AS219" i="15"/>
  <c r="AT219" i="15"/>
  <c r="AU219" i="15"/>
  <c r="AV219" i="15"/>
  <c r="AW219" i="15"/>
  <c r="AX219" i="15"/>
  <c r="AY219" i="15"/>
  <c r="AZ219" i="15"/>
  <c r="BA219" i="15"/>
  <c r="BB219" i="15"/>
  <c r="BC219" i="15"/>
  <c r="BD219" i="15"/>
  <c r="BE219" i="15"/>
  <c r="BF219" i="15"/>
  <c r="BG219" i="15"/>
  <c r="BH219" i="15"/>
  <c r="BI219" i="15"/>
  <c r="BJ219" i="15"/>
  <c r="BK219" i="15"/>
  <c r="BL219" i="15"/>
  <c r="BM219" i="15"/>
  <c r="BN219" i="15"/>
  <c r="BO219" i="15"/>
  <c r="BP219" i="15"/>
  <c r="BQ219" i="15"/>
  <c r="BR219" i="15"/>
  <c r="BS219" i="15"/>
  <c r="BT219" i="15"/>
  <c r="BU219" i="15"/>
  <c r="BV219" i="15"/>
  <c r="BW219" i="15"/>
  <c r="BX219" i="15"/>
  <c r="BY219" i="15"/>
  <c r="BZ219" i="15"/>
  <c r="CA219" i="15"/>
  <c r="CB219" i="15"/>
  <c r="CC219" i="15"/>
  <c r="CD219" i="15"/>
  <c r="CE219" i="15"/>
  <c r="CF219" i="15"/>
  <c r="CG219" i="15"/>
  <c r="CH219" i="15"/>
  <c r="CI219" i="15"/>
  <c r="CJ219" i="15"/>
  <c r="CK219" i="15"/>
  <c r="CL219" i="15"/>
  <c r="CM219" i="15"/>
  <c r="CN219" i="15"/>
  <c r="CO219" i="15"/>
  <c r="CP219" i="15"/>
  <c r="CQ219" i="15"/>
  <c r="CR219" i="15"/>
  <c r="CS219" i="15"/>
  <c r="CT219" i="15"/>
  <c r="CU219" i="15"/>
  <c r="CV219" i="15"/>
  <c r="CW219" i="15"/>
  <c r="CX219" i="15"/>
  <c r="CY219" i="15"/>
  <c r="CZ219" i="15"/>
  <c r="DA219" i="15"/>
  <c r="DB219" i="15"/>
  <c r="DC219" i="15"/>
  <c r="DD219" i="15"/>
  <c r="DE219" i="15"/>
  <c r="DF219" i="15"/>
  <c r="DG219" i="15"/>
  <c r="DH219" i="15"/>
  <c r="DI219" i="15"/>
  <c r="DJ219" i="15"/>
  <c r="DK219" i="15"/>
  <c r="DL219" i="15"/>
  <c r="DM219" i="15"/>
  <c r="DN219" i="15"/>
  <c r="DO219" i="15"/>
  <c r="DP219" i="15"/>
  <c r="DQ219" i="15"/>
  <c r="DR219" i="15"/>
  <c r="DS219" i="15"/>
  <c r="DT219" i="15"/>
  <c r="DU219" i="15"/>
  <c r="DV219" i="15"/>
  <c r="DW219" i="15"/>
  <c r="DX219" i="15"/>
  <c r="DY219" i="15"/>
  <c r="DZ219" i="15"/>
  <c r="EA219" i="15"/>
  <c r="EB219" i="15"/>
  <c r="EC219" i="15"/>
  <c r="ED219" i="15"/>
  <c r="EE219" i="15"/>
  <c r="EF219" i="15"/>
  <c r="EG219" i="15"/>
  <c r="EH219" i="15"/>
  <c r="EI219" i="15"/>
  <c r="EJ219" i="15"/>
  <c r="EK219" i="15"/>
  <c r="EL219" i="15"/>
  <c r="EM219" i="15"/>
  <c r="EN219" i="15"/>
  <c r="EO219" i="15"/>
  <c r="EP219" i="15"/>
  <c r="EQ219" i="15"/>
  <c r="ER219" i="15"/>
  <c r="ES219" i="15"/>
  <c r="ET219" i="15"/>
  <c r="EU219" i="15"/>
  <c r="EV219" i="15"/>
  <c r="EW219" i="15"/>
  <c r="EX219" i="15"/>
  <c r="EY219" i="15"/>
  <c r="EZ219" i="15"/>
  <c r="FA219" i="15"/>
  <c r="FB219" i="15"/>
  <c r="FC219" i="15"/>
  <c r="FD219" i="15"/>
  <c r="FE219" i="15"/>
  <c r="FF219" i="15"/>
  <c r="FG219" i="15"/>
  <c r="FH219" i="15"/>
  <c r="FI219" i="15"/>
  <c r="FJ219" i="15"/>
  <c r="FK219" i="15"/>
  <c r="FL219" i="15"/>
  <c r="B220" i="15"/>
  <c r="C220" i="15"/>
  <c r="D220" i="15"/>
  <c r="E220" i="15"/>
  <c r="F220" i="15"/>
  <c r="G220" i="15"/>
  <c r="H220" i="15"/>
  <c r="I220" i="15"/>
  <c r="J220" i="15"/>
  <c r="K220" i="15"/>
  <c r="L220" i="15"/>
  <c r="M220" i="15"/>
  <c r="N220" i="15"/>
  <c r="O220" i="15"/>
  <c r="P220" i="15"/>
  <c r="Q220" i="15"/>
  <c r="R220" i="15"/>
  <c r="S220" i="15"/>
  <c r="T220" i="15"/>
  <c r="U220" i="15"/>
  <c r="V220" i="15"/>
  <c r="W220" i="15"/>
  <c r="X220" i="15"/>
  <c r="Y220" i="15"/>
  <c r="Z220" i="15"/>
  <c r="AA220" i="15"/>
  <c r="AB220" i="15"/>
  <c r="AC220" i="15"/>
  <c r="AD220" i="15"/>
  <c r="AE220" i="15"/>
  <c r="AF220" i="15"/>
  <c r="AG220" i="15"/>
  <c r="AH220" i="15"/>
  <c r="AI220" i="15"/>
  <c r="AJ220" i="15"/>
  <c r="AK220" i="15"/>
  <c r="AL220" i="15"/>
  <c r="AM220" i="15"/>
  <c r="AN220" i="15"/>
  <c r="AO220" i="15"/>
  <c r="AP220" i="15"/>
  <c r="AQ220" i="15"/>
  <c r="AR220" i="15"/>
  <c r="AS220" i="15"/>
  <c r="AT220" i="15"/>
  <c r="AU220" i="15"/>
  <c r="AV220" i="15"/>
  <c r="AW220" i="15"/>
  <c r="AX220" i="15"/>
  <c r="AY220" i="15"/>
  <c r="AZ220" i="15"/>
  <c r="BA220" i="15"/>
  <c r="BB220" i="15"/>
  <c r="BC220" i="15"/>
  <c r="BD220" i="15"/>
  <c r="BE220" i="15"/>
  <c r="BF220" i="15"/>
  <c r="BG220" i="15"/>
  <c r="BH220" i="15"/>
  <c r="BI220" i="15"/>
  <c r="BJ220" i="15"/>
  <c r="BK220" i="15"/>
  <c r="BL220" i="15"/>
  <c r="BM220" i="15"/>
  <c r="BN220" i="15"/>
  <c r="BO220" i="15"/>
  <c r="BP220" i="15"/>
  <c r="BQ220" i="15"/>
  <c r="BR220" i="15"/>
  <c r="BS220" i="15"/>
  <c r="BT220" i="15"/>
  <c r="BU220" i="15"/>
  <c r="BV220" i="15"/>
  <c r="BW220" i="15"/>
  <c r="BX220" i="15"/>
  <c r="BY220" i="15"/>
  <c r="BZ220" i="15"/>
  <c r="CA220" i="15"/>
  <c r="CB220" i="15"/>
  <c r="CC220" i="15"/>
  <c r="CD220" i="15"/>
  <c r="CE220" i="15"/>
  <c r="CF220" i="15"/>
  <c r="CG220" i="15"/>
  <c r="CH220" i="15"/>
  <c r="CI220" i="15"/>
  <c r="CJ220" i="15"/>
  <c r="CK220" i="15"/>
  <c r="CL220" i="15"/>
  <c r="CM220" i="15"/>
  <c r="CN220" i="15"/>
  <c r="CO220" i="15"/>
  <c r="CP220" i="15"/>
  <c r="CQ220" i="15"/>
  <c r="CR220" i="15"/>
  <c r="CS220" i="15"/>
  <c r="CT220" i="15"/>
  <c r="CU220" i="15"/>
  <c r="CV220" i="15"/>
  <c r="CW220" i="15"/>
  <c r="CX220" i="15"/>
  <c r="CY220" i="15"/>
  <c r="CZ220" i="15"/>
  <c r="DA220" i="15"/>
  <c r="DB220" i="15"/>
  <c r="DC220" i="15"/>
  <c r="DD220" i="15"/>
  <c r="DE220" i="15"/>
  <c r="DF220" i="15"/>
  <c r="DG220" i="15"/>
  <c r="DH220" i="15"/>
  <c r="DI220" i="15"/>
  <c r="DJ220" i="15"/>
  <c r="DK220" i="15"/>
  <c r="DL220" i="15"/>
  <c r="DM220" i="15"/>
  <c r="DN220" i="15"/>
  <c r="DO220" i="15"/>
  <c r="DP220" i="15"/>
  <c r="DQ220" i="15"/>
  <c r="DR220" i="15"/>
  <c r="DS220" i="15"/>
  <c r="DT220" i="15"/>
  <c r="DU220" i="15"/>
  <c r="DV220" i="15"/>
  <c r="DW220" i="15"/>
  <c r="DX220" i="15"/>
  <c r="DY220" i="15"/>
  <c r="DZ220" i="15"/>
  <c r="EA220" i="15"/>
  <c r="EB220" i="15"/>
  <c r="EC220" i="15"/>
  <c r="ED220" i="15"/>
  <c r="EE220" i="15"/>
  <c r="EF220" i="15"/>
  <c r="EG220" i="15"/>
  <c r="EH220" i="15"/>
  <c r="EI220" i="15"/>
  <c r="EJ220" i="15"/>
  <c r="EK220" i="15"/>
  <c r="EL220" i="15"/>
  <c r="EM220" i="15"/>
  <c r="EN220" i="15"/>
  <c r="EO220" i="15"/>
  <c r="EP220" i="15"/>
  <c r="EQ220" i="15"/>
  <c r="ER220" i="15"/>
  <c r="ES220" i="15"/>
  <c r="ET220" i="15"/>
  <c r="EU220" i="15"/>
  <c r="EV220" i="15"/>
  <c r="EW220" i="15"/>
  <c r="EX220" i="15"/>
  <c r="EY220" i="15"/>
  <c r="EZ220" i="15"/>
  <c r="FA220" i="15"/>
  <c r="FB220" i="15"/>
  <c r="FC220" i="15"/>
  <c r="FD220" i="15"/>
  <c r="FE220" i="15"/>
  <c r="FF220" i="15"/>
  <c r="FG220" i="15"/>
  <c r="FH220" i="15"/>
  <c r="FI220" i="15"/>
  <c r="FJ220" i="15"/>
  <c r="FK220" i="15"/>
  <c r="FL220" i="15"/>
  <c r="B221" i="15"/>
  <c r="C221" i="15"/>
  <c r="D221" i="15"/>
  <c r="E221" i="15"/>
  <c r="F221" i="15"/>
  <c r="G221" i="15"/>
  <c r="H221" i="15"/>
  <c r="I221" i="15"/>
  <c r="J221" i="15"/>
  <c r="K221" i="15"/>
  <c r="L221" i="15"/>
  <c r="M221" i="15"/>
  <c r="N221" i="15"/>
  <c r="O221" i="15"/>
  <c r="P221" i="15"/>
  <c r="Q221" i="15"/>
  <c r="R221" i="15"/>
  <c r="S221" i="15"/>
  <c r="T221" i="15"/>
  <c r="U221" i="15"/>
  <c r="V221" i="15"/>
  <c r="W221" i="15"/>
  <c r="X221" i="15"/>
  <c r="Y221" i="15"/>
  <c r="Z221" i="15"/>
  <c r="AA221" i="15"/>
  <c r="AB221" i="15"/>
  <c r="AC221" i="15"/>
  <c r="AD221" i="15"/>
  <c r="AE221" i="15"/>
  <c r="AF221" i="15"/>
  <c r="AG221" i="15"/>
  <c r="AH221" i="15"/>
  <c r="AI221" i="15"/>
  <c r="AJ221" i="15"/>
  <c r="AK221" i="15"/>
  <c r="AL221" i="15"/>
  <c r="AM221" i="15"/>
  <c r="AN221" i="15"/>
  <c r="AO221" i="15"/>
  <c r="AP221" i="15"/>
  <c r="AQ221" i="15"/>
  <c r="AR221" i="15"/>
  <c r="AS221" i="15"/>
  <c r="AT221" i="15"/>
  <c r="AU221" i="15"/>
  <c r="AV221" i="15"/>
  <c r="AW221" i="15"/>
  <c r="AX221" i="15"/>
  <c r="AY221" i="15"/>
  <c r="AZ221" i="15"/>
  <c r="BA221" i="15"/>
  <c r="BB221" i="15"/>
  <c r="BC221" i="15"/>
  <c r="BD221" i="15"/>
  <c r="BE221" i="15"/>
  <c r="BF221" i="15"/>
  <c r="BG221" i="15"/>
  <c r="BH221" i="15"/>
  <c r="BI221" i="15"/>
  <c r="BJ221" i="15"/>
  <c r="BK221" i="15"/>
  <c r="BL221" i="15"/>
  <c r="BM221" i="15"/>
  <c r="BN221" i="15"/>
  <c r="BO221" i="15"/>
  <c r="BP221" i="15"/>
  <c r="BQ221" i="15"/>
  <c r="BR221" i="15"/>
  <c r="BS221" i="15"/>
  <c r="BT221" i="15"/>
  <c r="BU221" i="15"/>
  <c r="BV221" i="15"/>
  <c r="BW221" i="15"/>
  <c r="BX221" i="15"/>
  <c r="BY221" i="15"/>
  <c r="BZ221" i="15"/>
  <c r="CA221" i="15"/>
  <c r="CB221" i="15"/>
  <c r="CC221" i="15"/>
  <c r="CD221" i="15"/>
  <c r="CE221" i="15"/>
  <c r="CF221" i="15"/>
  <c r="CG221" i="15"/>
  <c r="CH221" i="15"/>
  <c r="CI221" i="15"/>
  <c r="CJ221" i="15"/>
  <c r="CK221" i="15"/>
  <c r="CL221" i="15"/>
  <c r="CM221" i="15"/>
  <c r="CN221" i="15"/>
  <c r="CO221" i="15"/>
  <c r="CP221" i="15"/>
  <c r="CQ221" i="15"/>
  <c r="CR221" i="15"/>
  <c r="CS221" i="15"/>
  <c r="CT221" i="15"/>
  <c r="CU221" i="15"/>
  <c r="CV221" i="15"/>
  <c r="CW221" i="15"/>
  <c r="CX221" i="15"/>
  <c r="CY221" i="15"/>
  <c r="CZ221" i="15"/>
  <c r="DA221" i="15"/>
  <c r="DB221" i="15"/>
  <c r="DC221" i="15"/>
  <c r="DD221" i="15"/>
  <c r="DE221" i="15"/>
  <c r="DF221" i="15"/>
  <c r="DG221" i="15"/>
  <c r="DH221" i="15"/>
  <c r="DI221" i="15"/>
  <c r="DJ221" i="15"/>
  <c r="DK221" i="15"/>
  <c r="DL221" i="15"/>
  <c r="DM221" i="15"/>
  <c r="DN221" i="15"/>
  <c r="DO221" i="15"/>
  <c r="DP221" i="15"/>
  <c r="DQ221" i="15"/>
  <c r="DR221" i="15"/>
  <c r="DS221" i="15"/>
  <c r="DT221" i="15"/>
  <c r="DU221" i="15"/>
  <c r="DV221" i="15"/>
  <c r="DW221" i="15"/>
  <c r="DX221" i="15"/>
  <c r="DY221" i="15"/>
  <c r="DZ221" i="15"/>
  <c r="EA221" i="15"/>
  <c r="EB221" i="15"/>
  <c r="EC221" i="15"/>
  <c r="ED221" i="15"/>
  <c r="EE221" i="15"/>
  <c r="EF221" i="15"/>
  <c r="EG221" i="15"/>
  <c r="EH221" i="15"/>
  <c r="EI221" i="15"/>
  <c r="EJ221" i="15"/>
  <c r="EK221" i="15"/>
  <c r="EL221" i="15"/>
  <c r="EM221" i="15"/>
  <c r="EN221" i="15"/>
  <c r="EO221" i="15"/>
  <c r="EP221" i="15"/>
  <c r="EQ221" i="15"/>
  <c r="ER221" i="15"/>
  <c r="ES221" i="15"/>
  <c r="ET221" i="15"/>
  <c r="EU221" i="15"/>
  <c r="EV221" i="15"/>
  <c r="EW221" i="15"/>
  <c r="EX221" i="15"/>
  <c r="EY221" i="15"/>
  <c r="EZ221" i="15"/>
  <c r="FA221" i="15"/>
  <c r="FB221" i="15"/>
  <c r="FC221" i="15"/>
  <c r="FD221" i="15"/>
  <c r="FE221" i="15"/>
  <c r="FF221" i="15"/>
  <c r="FG221" i="15"/>
  <c r="FH221" i="15"/>
  <c r="FI221" i="15"/>
  <c r="FJ221" i="15"/>
  <c r="FK221" i="15"/>
  <c r="FL221" i="15"/>
  <c r="B222" i="15"/>
  <c r="C222" i="15"/>
  <c r="D222" i="15"/>
  <c r="E222" i="15"/>
  <c r="F222" i="15"/>
  <c r="G222" i="15"/>
  <c r="H222" i="15"/>
  <c r="I222" i="15"/>
  <c r="J222" i="15"/>
  <c r="K222" i="15"/>
  <c r="L222" i="15"/>
  <c r="M222" i="15"/>
  <c r="N222" i="15"/>
  <c r="O222" i="15"/>
  <c r="P222" i="15"/>
  <c r="Q222" i="15"/>
  <c r="R222" i="15"/>
  <c r="S222" i="15"/>
  <c r="T222" i="15"/>
  <c r="U222" i="15"/>
  <c r="V222" i="15"/>
  <c r="W222" i="15"/>
  <c r="X222" i="15"/>
  <c r="Y222" i="15"/>
  <c r="Z222" i="15"/>
  <c r="AA222" i="15"/>
  <c r="AB222" i="15"/>
  <c r="AC222" i="15"/>
  <c r="AD222" i="15"/>
  <c r="AE222" i="15"/>
  <c r="AF222" i="15"/>
  <c r="AG222" i="15"/>
  <c r="AH222" i="15"/>
  <c r="AI222" i="15"/>
  <c r="AJ222" i="15"/>
  <c r="AK222" i="15"/>
  <c r="AL222" i="15"/>
  <c r="AM222" i="15"/>
  <c r="AN222" i="15"/>
  <c r="AO222" i="15"/>
  <c r="AP222" i="15"/>
  <c r="AQ222" i="15"/>
  <c r="AR222" i="15"/>
  <c r="AS222" i="15"/>
  <c r="AT222" i="15"/>
  <c r="AU222" i="15"/>
  <c r="AV222" i="15"/>
  <c r="AW222" i="15"/>
  <c r="AX222" i="15"/>
  <c r="AY222" i="15"/>
  <c r="AZ222" i="15"/>
  <c r="BA222" i="15"/>
  <c r="BB222" i="15"/>
  <c r="BC222" i="15"/>
  <c r="BD222" i="15"/>
  <c r="BE222" i="15"/>
  <c r="BF222" i="15"/>
  <c r="BG222" i="15"/>
  <c r="BH222" i="15"/>
  <c r="BI222" i="15"/>
  <c r="BJ222" i="15"/>
  <c r="BK222" i="15"/>
  <c r="BL222" i="15"/>
  <c r="BM222" i="15"/>
  <c r="BN222" i="15"/>
  <c r="BO222" i="15"/>
  <c r="BP222" i="15"/>
  <c r="BQ222" i="15"/>
  <c r="BR222" i="15"/>
  <c r="BS222" i="15"/>
  <c r="BT222" i="15"/>
  <c r="BU222" i="15"/>
  <c r="BV222" i="15"/>
  <c r="BW222" i="15"/>
  <c r="BX222" i="15"/>
  <c r="BY222" i="15"/>
  <c r="BZ222" i="15"/>
  <c r="CA222" i="15"/>
  <c r="CB222" i="15"/>
  <c r="CC222" i="15"/>
  <c r="CD222" i="15"/>
  <c r="CE222" i="15"/>
  <c r="CF222" i="15"/>
  <c r="CG222" i="15"/>
  <c r="CH222" i="15"/>
  <c r="CI222" i="15"/>
  <c r="CJ222" i="15"/>
  <c r="CK222" i="15"/>
  <c r="CL222" i="15"/>
  <c r="CM222" i="15"/>
  <c r="CN222" i="15"/>
  <c r="CO222" i="15"/>
  <c r="CP222" i="15"/>
  <c r="CQ222" i="15"/>
  <c r="CR222" i="15"/>
  <c r="CS222" i="15"/>
  <c r="CT222" i="15"/>
  <c r="CU222" i="15"/>
  <c r="CV222" i="15"/>
  <c r="CW222" i="15"/>
  <c r="CX222" i="15"/>
  <c r="CY222" i="15"/>
  <c r="CZ222" i="15"/>
  <c r="DA222" i="15"/>
  <c r="DB222" i="15"/>
  <c r="DC222" i="15"/>
  <c r="DD222" i="15"/>
  <c r="DE222" i="15"/>
  <c r="DF222" i="15"/>
  <c r="DG222" i="15"/>
  <c r="DH222" i="15"/>
  <c r="DI222" i="15"/>
  <c r="DJ222" i="15"/>
  <c r="DK222" i="15"/>
  <c r="DL222" i="15"/>
  <c r="DM222" i="15"/>
  <c r="DN222" i="15"/>
  <c r="DO222" i="15"/>
  <c r="DP222" i="15"/>
  <c r="DQ222" i="15"/>
  <c r="DR222" i="15"/>
  <c r="DS222" i="15"/>
  <c r="DT222" i="15"/>
  <c r="DU222" i="15"/>
  <c r="DV222" i="15"/>
  <c r="DW222" i="15"/>
  <c r="DX222" i="15"/>
  <c r="DY222" i="15"/>
  <c r="DZ222" i="15"/>
  <c r="EA222" i="15"/>
  <c r="EB222" i="15"/>
  <c r="EC222" i="15"/>
  <c r="ED222" i="15"/>
  <c r="EE222" i="15"/>
  <c r="EF222" i="15"/>
  <c r="EG222" i="15"/>
  <c r="EH222" i="15"/>
  <c r="EI222" i="15"/>
  <c r="EJ222" i="15"/>
  <c r="EK222" i="15"/>
  <c r="EL222" i="15"/>
  <c r="EM222" i="15"/>
  <c r="EN222" i="15"/>
  <c r="EO222" i="15"/>
  <c r="EP222" i="15"/>
  <c r="EQ222" i="15"/>
  <c r="ER222" i="15"/>
  <c r="ES222" i="15"/>
  <c r="ET222" i="15"/>
  <c r="EU222" i="15"/>
  <c r="EV222" i="15"/>
  <c r="EW222" i="15"/>
  <c r="EX222" i="15"/>
  <c r="EY222" i="15"/>
  <c r="EZ222" i="15"/>
  <c r="FA222" i="15"/>
  <c r="FB222" i="15"/>
  <c r="FC222" i="15"/>
  <c r="FD222" i="15"/>
  <c r="FE222" i="15"/>
  <c r="FF222" i="15"/>
  <c r="FG222" i="15"/>
  <c r="FH222" i="15"/>
  <c r="FI222" i="15"/>
  <c r="FJ222" i="15"/>
  <c r="FK222" i="15"/>
  <c r="FL222" i="15"/>
  <c r="B223" i="15"/>
  <c r="C223" i="15"/>
  <c r="D223" i="15"/>
  <c r="E223" i="15"/>
  <c r="F223" i="15"/>
  <c r="G223" i="15"/>
  <c r="H223" i="15"/>
  <c r="I223" i="15"/>
  <c r="J223" i="15"/>
  <c r="K223" i="15"/>
  <c r="L223" i="15"/>
  <c r="M223" i="15"/>
  <c r="N223" i="15"/>
  <c r="O223" i="15"/>
  <c r="P223" i="15"/>
  <c r="Q223" i="15"/>
  <c r="R223" i="15"/>
  <c r="S223" i="15"/>
  <c r="T223" i="15"/>
  <c r="U223" i="15"/>
  <c r="V223" i="15"/>
  <c r="W223" i="15"/>
  <c r="X223" i="15"/>
  <c r="Y223" i="15"/>
  <c r="Z223" i="15"/>
  <c r="AA223" i="15"/>
  <c r="AB223" i="15"/>
  <c r="AC223" i="15"/>
  <c r="AD223" i="15"/>
  <c r="AE223" i="15"/>
  <c r="AF223" i="15"/>
  <c r="AG223" i="15"/>
  <c r="AH223" i="15"/>
  <c r="AI223" i="15"/>
  <c r="AJ223" i="15"/>
  <c r="AK223" i="15"/>
  <c r="AL223" i="15"/>
  <c r="AM223" i="15"/>
  <c r="AN223" i="15"/>
  <c r="AO223" i="15"/>
  <c r="AP223" i="15"/>
  <c r="AQ223" i="15"/>
  <c r="AR223" i="15"/>
  <c r="AS223" i="15"/>
  <c r="AT223" i="15"/>
  <c r="AU223" i="15"/>
  <c r="AV223" i="15"/>
  <c r="AW223" i="15"/>
  <c r="AX223" i="15"/>
  <c r="AY223" i="15"/>
  <c r="AZ223" i="15"/>
  <c r="BA223" i="15"/>
  <c r="BB223" i="15"/>
  <c r="BC223" i="15"/>
  <c r="BD223" i="15"/>
  <c r="BE223" i="15"/>
  <c r="BF223" i="15"/>
  <c r="BG223" i="15"/>
  <c r="BH223" i="15"/>
  <c r="BI223" i="15"/>
  <c r="BJ223" i="15"/>
  <c r="BK223" i="15"/>
  <c r="BL223" i="15"/>
  <c r="BM223" i="15"/>
  <c r="BN223" i="15"/>
  <c r="BO223" i="15"/>
  <c r="BP223" i="15"/>
  <c r="BQ223" i="15"/>
  <c r="BR223" i="15"/>
  <c r="BS223" i="15"/>
  <c r="BT223" i="15"/>
  <c r="BU223" i="15"/>
  <c r="BV223" i="15"/>
  <c r="BW223" i="15"/>
  <c r="BX223" i="15"/>
  <c r="BY223" i="15"/>
  <c r="BZ223" i="15"/>
  <c r="CA223" i="15"/>
  <c r="CB223" i="15"/>
  <c r="CC223" i="15"/>
  <c r="CD223" i="15"/>
  <c r="CE223" i="15"/>
  <c r="CF223" i="15"/>
  <c r="CG223" i="15"/>
  <c r="CH223" i="15"/>
  <c r="CI223" i="15"/>
  <c r="CJ223" i="15"/>
  <c r="CK223" i="15"/>
  <c r="CL223" i="15"/>
  <c r="CM223" i="15"/>
  <c r="CN223" i="15"/>
  <c r="CO223" i="15"/>
  <c r="CP223" i="15"/>
  <c r="CQ223" i="15"/>
  <c r="CR223" i="15"/>
  <c r="CS223" i="15"/>
  <c r="CT223" i="15"/>
  <c r="CU223" i="15"/>
  <c r="CV223" i="15"/>
  <c r="CW223" i="15"/>
  <c r="CX223" i="15"/>
  <c r="CY223" i="15"/>
  <c r="CZ223" i="15"/>
  <c r="DA223" i="15"/>
  <c r="DB223" i="15"/>
  <c r="DC223" i="15"/>
  <c r="DD223" i="15"/>
  <c r="DE223" i="15"/>
  <c r="DF223" i="15"/>
  <c r="DG223" i="15"/>
  <c r="DH223" i="15"/>
  <c r="DI223" i="15"/>
  <c r="DJ223" i="15"/>
  <c r="DK223" i="15"/>
  <c r="DL223" i="15"/>
  <c r="DM223" i="15"/>
  <c r="DN223" i="15"/>
  <c r="DO223" i="15"/>
  <c r="DP223" i="15"/>
  <c r="DQ223" i="15"/>
  <c r="DR223" i="15"/>
  <c r="DS223" i="15"/>
  <c r="DT223" i="15"/>
  <c r="DU223" i="15"/>
  <c r="DV223" i="15"/>
  <c r="DW223" i="15"/>
  <c r="DX223" i="15"/>
  <c r="DY223" i="15"/>
  <c r="DZ223" i="15"/>
  <c r="EA223" i="15"/>
  <c r="EB223" i="15"/>
  <c r="EC223" i="15"/>
  <c r="ED223" i="15"/>
  <c r="EE223" i="15"/>
  <c r="EF223" i="15"/>
  <c r="EG223" i="15"/>
  <c r="EH223" i="15"/>
  <c r="EI223" i="15"/>
  <c r="EJ223" i="15"/>
  <c r="EK223" i="15"/>
  <c r="EL223" i="15"/>
  <c r="EM223" i="15"/>
  <c r="EN223" i="15"/>
  <c r="EO223" i="15"/>
  <c r="EP223" i="15"/>
  <c r="EQ223" i="15"/>
  <c r="ER223" i="15"/>
  <c r="ES223" i="15"/>
  <c r="ET223" i="15"/>
  <c r="EU223" i="15"/>
  <c r="EV223" i="15"/>
  <c r="EW223" i="15"/>
  <c r="EX223" i="15"/>
  <c r="EY223" i="15"/>
  <c r="EZ223" i="15"/>
  <c r="FA223" i="15"/>
  <c r="FB223" i="15"/>
  <c r="FC223" i="15"/>
  <c r="FD223" i="15"/>
  <c r="FE223" i="15"/>
  <c r="FF223" i="15"/>
  <c r="FG223" i="15"/>
  <c r="FH223" i="15"/>
  <c r="FI223" i="15"/>
  <c r="FJ223" i="15"/>
  <c r="FK223" i="15"/>
  <c r="FL223" i="15"/>
  <c r="B224" i="15"/>
  <c r="C224" i="15"/>
  <c r="D224" i="15"/>
  <c r="E224" i="15"/>
  <c r="F224" i="15"/>
  <c r="G224" i="15"/>
  <c r="H224" i="15"/>
  <c r="I224" i="15"/>
  <c r="J224" i="15"/>
  <c r="K224" i="15"/>
  <c r="L224" i="15"/>
  <c r="M224" i="15"/>
  <c r="N224" i="15"/>
  <c r="O224" i="15"/>
  <c r="P224" i="15"/>
  <c r="Q224" i="15"/>
  <c r="R224" i="15"/>
  <c r="S224" i="15"/>
  <c r="T224" i="15"/>
  <c r="U224" i="15"/>
  <c r="V224" i="15"/>
  <c r="W224" i="15"/>
  <c r="X224" i="15"/>
  <c r="Y224" i="15"/>
  <c r="Z224" i="15"/>
  <c r="AA224" i="15"/>
  <c r="AB224" i="15"/>
  <c r="AC224" i="15"/>
  <c r="AD224" i="15"/>
  <c r="AE224" i="15"/>
  <c r="AF224" i="15"/>
  <c r="AG224" i="15"/>
  <c r="AH224" i="15"/>
  <c r="AI224" i="15"/>
  <c r="AJ224" i="15"/>
  <c r="AK224" i="15"/>
  <c r="AL224" i="15"/>
  <c r="AM224" i="15"/>
  <c r="AN224" i="15"/>
  <c r="AO224" i="15"/>
  <c r="AP224" i="15"/>
  <c r="AQ224" i="15"/>
  <c r="AR224" i="15"/>
  <c r="AS224" i="15"/>
  <c r="AT224" i="15"/>
  <c r="AU224" i="15"/>
  <c r="AV224" i="15"/>
  <c r="AW224" i="15"/>
  <c r="AX224" i="15"/>
  <c r="AY224" i="15"/>
  <c r="AZ224" i="15"/>
  <c r="BA224" i="15"/>
  <c r="BB224" i="15"/>
  <c r="BC224" i="15"/>
  <c r="BD224" i="15"/>
  <c r="BE224" i="15"/>
  <c r="BF224" i="15"/>
  <c r="BG224" i="15"/>
  <c r="BH224" i="15"/>
  <c r="BI224" i="15"/>
  <c r="BJ224" i="15"/>
  <c r="BK224" i="15"/>
  <c r="BL224" i="15"/>
  <c r="BM224" i="15"/>
  <c r="BN224" i="15"/>
  <c r="BO224" i="15"/>
  <c r="BP224" i="15"/>
  <c r="BQ224" i="15"/>
  <c r="BR224" i="15"/>
  <c r="BS224" i="15"/>
  <c r="BT224" i="15"/>
  <c r="BU224" i="15"/>
  <c r="BV224" i="15"/>
  <c r="BW224" i="15"/>
  <c r="BX224" i="15"/>
  <c r="BY224" i="15"/>
  <c r="BZ224" i="15"/>
  <c r="CA224" i="15"/>
  <c r="CB224" i="15"/>
  <c r="CC224" i="15"/>
  <c r="CD224" i="15"/>
  <c r="CE224" i="15"/>
  <c r="CF224" i="15"/>
  <c r="CG224" i="15"/>
  <c r="CH224" i="15"/>
  <c r="CI224" i="15"/>
  <c r="CJ224" i="15"/>
  <c r="CK224" i="15"/>
  <c r="CL224" i="15"/>
  <c r="CM224" i="15"/>
  <c r="CN224" i="15"/>
  <c r="CO224" i="15"/>
  <c r="CP224" i="15"/>
  <c r="CQ224" i="15"/>
  <c r="CR224" i="15"/>
  <c r="CS224" i="15"/>
  <c r="CT224" i="15"/>
  <c r="CU224" i="15"/>
  <c r="CV224" i="15"/>
  <c r="CW224" i="15"/>
  <c r="CX224" i="15"/>
  <c r="CY224" i="15"/>
  <c r="CZ224" i="15"/>
  <c r="DA224" i="15"/>
  <c r="DB224" i="15"/>
  <c r="DC224" i="15"/>
  <c r="DD224" i="15"/>
  <c r="DE224" i="15"/>
  <c r="DF224" i="15"/>
  <c r="DG224" i="15"/>
  <c r="DH224" i="15"/>
  <c r="DI224" i="15"/>
  <c r="DJ224" i="15"/>
  <c r="DK224" i="15"/>
  <c r="DL224" i="15"/>
  <c r="DM224" i="15"/>
  <c r="DN224" i="15"/>
  <c r="DO224" i="15"/>
  <c r="DP224" i="15"/>
  <c r="DQ224" i="15"/>
  <c r="DR224" i="15"/>
  <c r="DS224" i="15"/>
  <c r="DT224" i="15"/>
  <c r="DU224" i="15"/>
  <c r="DV224" i="15"/>
  <c r="DW224" i="15"/>
  <c r="DX224" i="15"/>
  <c r="DY224" i="15"/>
  <c r="DZ224" i="15"/>
  <c r="EA224" i="15"/>
  <c r="EB224" i="15"/>
  <c r="EC224" i="15"/>
  <c r="ED224" i="15"/>
  <c r="EE224" i="15"/>
  <c r="EF224" i="15"/>
  <c r="EG224" i="15"/>
  <c r="EH224" i="15"/>
  <c r="EI224" i="15"/>
  <c r="EJ224" i="15"/>
  <c r="EK224" i="15"/>
  <c r="EL224" i="15"/>
  <c r="EM224" i="15"/>
  <c r="EN224" i="15"/>
  <c r="EO224" i="15"/>
  <c r="EP224" i="15"/>
  <c r="EQ224" i="15"/>
  <c r="ER224" i="15"/>
  <c r="ES224" i="15"/>
  <c r="ET224" i="15"/>
  <c r="EU224" i="15"/>
  <c r="EV224" i="15"/>
  <c r="EW224" i="15"/>
  <c r="EX224" i="15"/>
  <c r="EY224" i="15"/>
  <c r="EZ224" i="15"/>
  <c r="FA224" i="15"/>
  <c r="FB224" i="15"/>
  <c r="FC224" i="15"/>
  <c r="FD224" i="15"/>
  <c r="FE224" i="15"/>
  <c r="FF224" i="15"/>
  <c r="FG224" i="15"/>
  <c r="FH224" i="15"/>
  <c r="FI224" i="15"/>
  <c r="FJ224" i="15"/>
  <c r="FK224" i="15"/>
  <c r="FL224" i="15"/>
  <c r="B225" i="15"/>
  <c r="C225" i="15"/>
  <c r="D225" i="15"/>
  <c r="E225" i="15"/>
  <c r="F225" i="15"/>
  <c r="G225" i="15"/>
  <c r="H225" i="15"/>
  <c r="I225" i="15"/>
  <c r="J225" i="15"/>
  <c r="K225" i="15"/>
  <c r="L225" i="15"/>
  <c r="M225" i="15"/>
  <c r="N225" i="15"/>
  <c r="O225" i="15"/>
  <c r="P225" i="15"/>
  <c r="Q225" i="15"/>
  <c r="R225" i="15"/>
  <c r="S225" i="15"/>
  <c r="T225" i="15"/>
  <c r="U225" i="15"/>
  <c r="V225" i="15"/>
  <c r="W225" i="15"/>
  <c r="X225" i="15"/>
  <c r="Y225" i="15"/>
  <c r="Z225" i="15"/>
  <c r="AA225" i="15"/>
  <c r="AB225" i="15"/>
  <c r="AC225" i="15"/>
  <c r="AD225" i="15"/>
  <c r="AE225" i="15"/>
  <c r="AF225" i="15"/>
  <c r="AG225" i="15"/>
  <c r="AH225" i="15"/>
  <c r="AI225" i="15"/>
  <c r="AJ225" i="15"/>
  <c r="AK225" i="15"/>
  <c r="AL225" i="15"/>
  <c r="AM225" i="15"/>
  <c r="AN225" i="15"/>
  <c r="AO225" i="15"/>
  <c r="AP225" i="15"/>
  <c r="AQ225" i="15"/>
  <c r="AR225" i="15"/>
  <c r="AS225" i="15"/>
  <c r="AT225" i="15"/>
  <c r="AU225" i="15"/>
  <c r="AV225" i="15"/>
  <c r="AW225" i="15"/>
  <c r="AX225" i="15"/>
  <c r="AY225" i="15"/>
  <c r="AZ225" i="15"/>
  <c r="BA225" i="15"/>
  <c r="BB225" i="15"/>
  <c r="BC225" i="15"/>
  <c r="BD225" i="15"/>
  <c r="BE225" i="15"/>
  <c r="BF225" i="15"/>
  <c r="BG225" i="15"/>
  <c r="BH225" i="15"/>
  <c r="BI225" i="15"/>
  <c r="BJ225" i="15"/>
  <c r="BK225" i="15"/>
  <c r="BL225" i="15"/>
  <c r="BM225" i="15"/>
  <c r="BN225" i="15"/>
  <c r="BO225" i="15"/>
  <c r="BP225" i="15"/>
  <c r="BQ225" i="15"/>
  <c r="BR225" i="15"/>
  <c r="BS225" i="15"/>
  <c r="BT225" i="15"/>
  <c r="BU225" i="15"/>
  <c r="BV225" i="15"/>
  <c r="BW225" i="15"/>
  <c r="BX225" i="15"/>
  <c r="BY225" i="15"/>
  <c r="BZ225" i="15"/>
  <c r="CA225" i="15"/>
  <c r="CB225" i="15"/>
  <c r="CC225" i="15"/>
  <c r="CD225" i="15"/>
  <c r="CE225" i="15"/>
  <c r="CF225" i="15"/>
  <c r="CG225" i="15"/>
  <c r="CH225" i="15"/>
  <c r="CI225" i="15"/>
  <c r="CJ225" i="15"/>
  <c r="CK225" i="15"/>
  <c r="CL225" i="15"/>
  <c r="CM225" i="15"/>
  <c r="CN225" i="15"/>
  <c r="CO225" i="15"/>
  <c r="CP225" i="15"/>
  <c r="CQ225" i="15"/>
  <c r="CR225" i="15"/>
  <c r="CS225" i="15"/>
  <c r="CT225" i="15"/>
  <c r="CU225" i="15"/>
  <c r="CV225" i="15"/>
  <c r="CW225" i="15"/>
  <c r="CX225" i="15"/>
  <c r="CY225" i="15"/>
  <c r="CZ225" i="15"/>
  <c r="DA225" i="15"/>
  <c r="DB225" i="15"/>
  <c r="DC225" i="15"/>
  <c r="DD225" i="15"/>
  <c r="DE225" i="15"/>
  <c r="DF225" i="15"/>
  <c r="DG225" i="15"/>
  <c r="DH225" i="15"/>
  <c r="DI225" i="15"/>
  <c r="DJ225" i="15"/>
  <c r="DK225" i="15"/>
  <c r="DL225" i="15"/>
  <c r="DM225" i="15"/>
  <c r="DN225" i="15"/>
  <c r="DO225" i="15"/>
  <c r="DP225" i="15"/>
  <c r="DQ225" i="15"/>
  <c r="DR225" i="15"/>
  <c r="DS225" i="15"/>
  <c r="DT225" i="15"/>
  <c r="DU225" i="15"/>
  <c r="DV225" i="15"/>
  <c r="DW225" i="15"/>
  <c r="DX225" i="15"/>
  <c r="DY225" i="15"/>
  <c r="DZ225" i="15"/>
  <c r="EA225" i="15"/>
  <c r="EB225" i="15"/>
  <c r="EC225" i="15"/>
  <c r="ED225" i="15"/>
  <c r="EE225" i="15"/>
  <c r="EF225" i="15"/>
  <c r="EG225" i="15"/>
  <c r="EH225" i="15"/>
  <c r="EI225" i="15"/>
  <c r="EJ225" i="15"/>
  <c r="EK225" i="15"/>
  <c r="EL225" i="15"/>
  <c r="EM225" i="15"/>
  <c r="EN225" i="15"/>
  <c r="EO225" i="15"/>
  <c r="EP225" i="15"/>
  <c r="EQ225" i="15"/>
  <c r="ER225" i="15"/>
  <c r="ES225" i="15"/>
  <c r="ET225" i="15"/>
  <c r="EU225" i="15"/>
  <c r="EV225" i="15"/>
  <c r="EW225" i="15"/>
  <c r="EX225" i="15"/>
  <c r="EY225" i="15"/>
  <c r="EZ225" i="15"/>
  <c r="FA225" i="15"/>
  <c r="FB225" i="15"/>
  <c r="FC225" i="15"/>
  <c r="FD225" i="15"/>
  <c r="FE225" i="15"/>
  <c r="FF225" i="15"/>
  <c r="FG225" i="15"/>
  <c r="FH225" i="15"/>
  <c r="FI225" i="15"/>
  <c r="FJ225" i="15"/>
  <c r="FK225" i="15"/>
  <c r="FL225" i="15"/>
  <c r="B226" i="15"/>
  <c r="C226" i="15"/>
  <c r="D226" i="15"/>
  <c r="E226" i="15"/>
  <c r="F226" i="15"/>
  <c r="G226" i="15"/>
  <c r="H226" i="15"/>
  <c r="I226" i="15"/>
  <c r="J226" i="15"/>
  <c r="K226" i="15"/>
  <c r="L226" i="15"/>
  <c r="M226" i="15"/>
  <c r="N226" i="15"/>
  <c r="O226" i="15"/>
  <c r="P226" i="15"/>
  <c r="Q226" i="15"/>
  <c r="R226" i="15"/>
  <c r="S226" i="15"/>
  <c r="T226" i="15"/>
  <c r="U226" i="15"/>
  <c r="V226" i="15"/>
  <c r="W226" i="15"/>
  <c r="X226" i="15"/>
  <c r="Y226" i="15"/>
  <c r="Z226" i="15"/>
  <c r="AA226" i="15"/>
  <c r="AB226" i="15"/>
  <c r="AC226" i="15"/>
  <c r="AD226" i="15"/>
  <c r="AE226" i="15"/>
  <c r="AF226" i="15"/>
  <c r="AG226" i="15"/>
  <c r="AH226" i="15"/>
  <c r="AI226" i="15"/>
  <c r="AJ226" i="15"/>
  <c r="AK226" i="15"/>
  <c r="AL226" i="15"/>
  <c r="AM226" i="15"/>
  <c r="AN226" i="15"/>
  <c r="AO226" i="15"/>
  <c r="AP226" i="15"/>
  <c r="AQ226" i="15"/>
  <c r="AR226" i="15"/>
  <c r="AS226" i="15"/>
  <c r="AT226" i="15"/>
  <c r="AU226" i="15"/>
  <c r="AV226" i="15"/>
  <c r="AW226" i="15"/>
  <c r="AX226" i="15"/>
  <c r="AY226" i="15"/>
  <c r="AZ226" i="15"/>
  <c r="BA226" i="15"/>
  <c r="BB226" i="15"/>
  <c r="BC226" i="15"/>
  <c r="BD226" i="15"/>
  <c r="BE226" i="15"/>
  <c r="BF226" i="15"/>
  <c r="BG226" i="15"/>
  <c r="BH226" i="15"/>
  <c r="BI226" i="15"/>
  <c r="BJ226" i="15"/>
  <c r="BK226" i="15"/>
  <c r="BL226" i="15"/>
  <c r="BM226" i="15"/>
  <c r="BN226" i="15"/>
  <c r="BO226" i="15"/>
  <c r="BP226" i="15"/>
  <c r="BQ226" i="15"/>
  <c r="BR226" i="15"/>
  <c r="BS226" i="15"/>
  <c r="BT226" i="15"/>
  <c r="BU226" i="15"/>
  <c r="BV226" i="15"/>
  <c r="BW226" i="15"/>
  <c r="BX226" i="15"/>
  <c r="BY226" i="15"/>
  <c r="BZ226" i="15"/>
  <c r="CA226" i="15"/>
  <c r="CB226" i="15"/>
  <c r="CC226" i="15"/>
  <c r="CD226" i="15"/>
  <c r="CE226" i="15"/>
  <c r="CF226" i="15"/>
  <c r="CG226" i="15"/>
  <c r="CH226" i="15"/>
  <c r="CI226" i="15"/>
  <c r="CJ226" i="15"/>
  <c r="CK226" i="15"/>
  <c r="CL226" i="15"/>
  <c r="CM226" i="15"/>
  <c r="CN226" i="15"/>
  <c r="CO226" i="15"/>
  <c r="CP226" i="15"/>
  <c r="CQ226" i="15"/>
  <c r="CR226" i="15"/>
  <c r="CS226" i="15"/>
  <c r="CT226" i="15"/>
  <c r="CU226" i="15"/>
  <c r="CV226" i="15"/>
  <c r="CW226" i="15"/>
  <c r="CX226" i="15"/>
  <c r="CY226" i="15"/>
  <c r="CZ226" i="15"/>
  <c r="DA226" i="15"/>
  <c r="DB226" i="15"/>
  <c r="DC226" i="15"/>
  <c r="DD226" i="15"/>
  <c r="DE226" i="15"/>
  <c r="DF226" i="15"/>
  <c r="DG226" i="15"/>
  <c r="DH226" i="15"/>
  <c r="DI226" i="15"/>
  <c r="DJ226" i="15"/>
  <c r="DK226" i="15"/>
  <c r="DL226" i="15"/>
  <c r="DM226" i="15"/>
  <c r="DN226" i="15"/>
  <c r="DO226" i="15"/>
  <c r="DP226" i="15"/>
  <c r="DQ226" i="15"/>
  <c r="DR226" i="15"/>
  <c r="DS226" i="15"/>
  <c r="DT226" i="15"/>
  <c r="DU226" i="15"/>
  <c r="DV226" i="15"/>
  <c r="DW226" i="15"/>
  <c r="DX226" i="15"/>
  <c r="DY226" i="15"/>
  <c r="DZ226" i="15"/>
  <c r="EA226" i="15"/>
  <c r="EB226" i="15"/>
  <c r="EC226" i="15"/>
  <c r="ED226" i="15"/>
  <c r="EE226" i="15"/>
  <c r="EF226" i="15"/>
  <c r="EG226" i="15"/>
  <c r="EH226" i="15"/>
  <c r="EI226" i="15"/>
  <c r="EJ226" i="15"/>
  <c r="EK226" i="15"/>
  <c r="EL226" i="15"/>
  <c r="EM226" i="15"/>
  <c r="EN226" i="15"/>
  <c r="EO226" i="15"/>
  <c r="EP226" i="15"/>
  <c r="EQ226" i="15"/>
  <c r="ER226" i="15"/>
  <c r="ES226" i="15"/>
  <c r="ET226" i="15"/>
  <c r="EU226" i="15"/>
  <c r="EV226" i="15"/>
  <c r="EW226" i="15"/>
  <c r="EX226" i="15"/>
  <c r="EY226" i="15"/>
  <c r="EZ226" i="15"/>
  <c r="FA226" i="15"/>
  <c r="FB226" i="15"/>
  <c r="FC226" i="15"/>
  <c r="FD226" i="15"/>
  <c r="FE226" i="15"/>
  <c r="FF226" i="15"/>
  <c r="FG226" i="15"/>
  <c r="FH226" i="15"/>
  <c r="FI226" i="15"/>
  <c r="FJ226" i="15"/>
  <c r="FK226" i="15"/>
  <c r="FL226" i="15"/>
  <c r="B227" i="15"/>
  <c r="C227" i="15"/>
  <c r="D227" i="15"/>
  <c r="E227" i="15"/>
  <c r="F227" i="15"/>
  <c r="G227" i="15"/>
  <c r="H227" i="15"/>
  <c r="I227" i="15"/>
  <c r="J227" i="15"/>
  <c r="K227" i="15"/>
  <c r="L227" i="15"/>
  <c r="M227" i="15"/>
  <c r="N227" i="15"/>
  <c r="O227" i="15"/>
  <c r="P227" i="15"/>
  <c r="Q227" i="15"/>
  <c r="R227" i="15"/>
  <c r="S227" i="15"/>
  <c r="T227" i="15"/>
  <c r="U227" i="15"/>
  <c r="V227" i="15"/>
  <c r="W227" i="15"/>
  <c r="X227" i="15"/>
  <c r="Y227" i="15"/>
  <c r="Z227" i="15"/>
  <c r="AA227" i="15"/>
  <c r="AB227" i="15"/>
  <c r="AC227" i="15"/>
  <c r="AD227" i="15"/>
  <c r="AE227" i="15"/>
  <c r="AF227" i="15"/>
  <c r="AG227" i="15"/>
  <c r="AH227" i="15"/>
  <c r="AI227" i="15"/>
  <c r="AJ227" i="15"/>
  <c r="AK227" i="15"/>
  <c r="AL227" i="15"/>
  <c r="AM227" i="15"/>
  <c r="AN227" i="15"/>
  <c r="AO227" i="15"/>
  <c r="AP227" i="15"/>
  <c r="AQ227" i="15"/>
  <c r="AR227" i="15"/>
  <c r="AS227" i="15"/>
  <c r="AT227" i="15"/>
  <c r="AU227" i="15"/>
  <c r="AV227" i="15"/>
  <c r="AW227" i="15"/>
  <c r="AX227" i="15"/>
  <c r="AY227" i="15"/>
  <c r="AZ227" i="15"/>
  <c r="BA227" i="15"/>
  <c r="BB227" i="15"/>
  <c r="BC227" i="15"/>
  <c r="BD227" i="15"/>
  <c r="BE227" i="15"/>
  <c r="BF227" i="15"/>
  <c r="BG227" i="15"/>
  <c r="BH227" i="15"/>
  <c r="BI227" i="15"/>
  <c r="BJ227" i="15"/>
  <c r="BK227" i="15"/>
  <c r="BL227" i="15"/>
  <c r="BM227" i="15"/>
  <c r="BN227" i="15"/>
  <c r="BO227" i="15"/>
  <c r="BP227" i="15"/>
  <c r="BQ227" i="15"/>
  <c r="BR227" i="15"/>
  <c r="BS227" i="15"/>
  <c r="BT227" i="15"/>
  <c r="BU227" i="15"/>
  <c r="BV227" i="15"/>
  <c r="BW227" i="15"/>
  <c r="BX227" i="15"/>
  <c r="BY227" i="15"/>
  <c r="BZ227" i="15"/>
  <c r="CA227" i="15"/>
  <c r="CB227" i="15"/>
  <c r="CC227" i="15"/>
  <c r="CD227" i="15"/>
  <c r="CE227" i="15"/>
  <c r="CF227" i="15"/>
  <c r="CG227" i="15"/>
  <c r="CH227" i="15"/>
  <c r="CI227" i="15"/>
  <c r="CJ227" i="15"/>
  <c r="CK227" i="15"/>
  <c r="CL227" i="15"/>
  <c r="CM227" i="15"/>
  <c r="CN227" i="15"/>
  <c r="CO227" i="15"/>
  <c r="CP227" i="15"/>
  <c r="CQ227" i="15"/>
  <c r="CR227" i="15"/>
  <c r="CS227" i="15"/>
  <c r="CT227" i="15"/>
  <c r="CU227" i="15"/>
  <c r="CV227" i="15"/>
  <c r="CW227" i="15"/>
  <c r="CX227" i="15"/>
  <c r="CY227" i="15"/>
  <c r="CZ227" i="15"/>
  <c r="DA227" i="15"/>
  <c r="DB227" i="15"/>
  <c r="DC227" i="15"/>
  <c r="DD227" i="15"/>
  <c r="DE227" i="15"/>
  <c r="DF227" i="15"/>
  <c r="DG227" i="15"/>
  <c r="DH227" i="15"/>
  <c r="DI227" i="15"/>
  <c r="DJ227" i="15"/>
  <c r="DK227" i="15"/>
  <c r="DL227" i="15"/>
  <c r="DM227" i="15"/>
  <c r="DN227" i="15"/>
  <c r="DO227" i="15"/>
  <c r="DP227" i="15"/>
  <c r="DQ227" i="15"/>
  <c r="DR227" i="15"/>
  <c r="DS227" i="15"/>
  <c r="DT227" i="15"/>
  <c r="DU227" i="15"/>
  <c r="DV227" i="15"/>
  <c r="DW227" i="15"/>
  <c r="DX227" i="15"/>
  <c r="DY227" i="15"/>
  <c r="DZ227" i="15"/>
  <c r="EA227" i="15"/>
  <c r="EB227" i="15"/>
  <c r="EC227" i="15"/>
  <c r="ED227" i="15"/>
  <c r="EE227" i="15"/>
  <c r="EF227" i="15"/>
  <c r="EG227" i="15"/>
  <c r="EH227" i="15"/>
  <c r="EI227" i="15"/>
  <c r="EJ227" i="15"/>
  <c r="EK227" i="15"/>
  <c r="EL227" i="15"/>
  <c r="EM227" i="15"/>
  <c r="EN227" i="15"/>
  <c r="EO227" i="15"/>
  <c r="EP227" i="15"/>
  <c r="EQ227" i="15"/>
  <c r="ER227" i="15"/>
  <c r="ES227" i="15"/>
  <c r="ET227" i="15"/>
  <c r="EU227" i="15"/>
  <c r="EV227" i="15"/>
  <c r="EW227" i="15"/>
  <c r="EX227" i="15"/>
  <c r="EY227" i="15"/>
  <c r="EZ227" i="15"/>
  <c r="FA227" i="15"/>
  <c r="FB227" i="15"/>
  <c r="FC227" i="15"/>
  <c r="FD227" i="15"/>
  <c r="FE227" i="15"/>
  <c r="FF227" i="15"/>
  <c r="FG227" i="15"/>
  <c r="FH227" i="15"/>
  <c r="FI227" i="15"/>
  <c r="FJ227" i="15"/>
  <c r="FK227" i="15"/>
  <c r="FL227" i="15"/>
  <c r="B228" i="15"/>
  <c r="C228" i="15"/>
  <c r="D228" i="15"/>
  <c r="E228" i="15"/>
  <c r="F228" i="15"/>
  <c r="G228" i="15"/>
  <c r="H228" i="15"/>
  <c r="I228" i="15"/>
  <c r="J228" i="15"/>
  <c r="K228" i="15"/>
  <c r="L228" i="15"/>
  <c r="M228" i="15"/>
  <c r="N228" i="15"/>
  <c r="O228" i="15"/>
  <c r="P228" i="15"/>
  <c r="Q228" i="15"/>
  <c r="R228" i="15"/>
  <c r="S228" i="15"/>
  <c r="T228" i="15"/>
  <c r="U228" i="15"/>
  <c r="V228" i="15"/>
  <c r="W228" i="15"/>
  <c r="X228" i="15"/>
  <c r="Y228" i="15"/>
  <c r="Z228" i="15"/>
  <c r="AA228" i="15"/>
  <c r="AB228" i="15"/>
  <c r="AC228" i="15"/>
  <c r="AD228" i="15"/>
  <c r="AE228" i="15"/>
  <c r="AF228" i="15"/>
  <c r="AG228" i="15"/>
  <c r="AH228" i="15"/>
  <c r="AI228" i="15"/>
  <c r="AJ228" i="15"/>
  <c r="AK228" i="15"/>
  <c r="AL228" i="15"/>
  <c r="AM228" i="15"/>
  <c r="AN228" i="15"/>
  <c r="AO228" i="15"/>
  <c r="AP228" i="15"/>
  <c r="AQ228" i="15"/>
  <c r="AR228" i="15"/>
  <c r="AS228" i="15"/>
  <c r="AT228" i="15"/>
  <c r="AU228" i="15"/>
  <c r="AV228" i="15"/>
  <c r="AW228" i="15"/>
  <c r="AX228" i="15"/>
  <c r="AY228" i="15"/>
  <c r="AZ228" i="15"/>
  <c r="BA228" i="15"/>
  <c r="BB228" i="15"/>
  <c r="BC228" i="15"/>
  <c r="BD228" i="15"/>
  <c r="BE228" i="15"/>
  <c r="BF228" i="15"/>
  <c r="BG228" i="15"/>
  <c r="BH228" i="15"/>
  <c r="BI228" i="15"/>
  <c r="BJ228" i="15"/>
  <c r="BK228" i="15"/>
  <c r="BL228" i="15"/>
  <c r="BM228" i="15"/>
  <c r="BN228" i="15"/>
  <c r="BO228" i="15"/>
  <c r="BP228" i="15"/>
  <c r="BQ228" i="15"/>
  <c r="BR228" i="15"/>
  <c r="BS228" i="15"/>
  <c r="BT228" i="15"/>
  <c r="BU228" i="15"/>
  <c r="BV228" i="15"/>
  <c r="BW228" i="15"/>
  <c r="BX228" i="15"/>
  <c r="BY228" i="15"/>
  <c r="BZ228" i="15"/>
  <c r="CA228" i="15"/>
  <c r="CB228" i="15"/>
  <c r="CC228" i="15"/>
  <c r="CD228" i="15"/>
  <c r="CE228" i="15"/>
  <c r="CF228" i="15"/>
  <c r="CG228" i="15"/>
  <c r="CH228" i="15"/>
  <c r="CI228" i="15"/>
  <c r="CJ228" i="15"/>
  <c r="CK228" i="15"/>
  <c r="CL228" i="15"/>
  <c r="CM228" i="15"/>
  <c r="CN228" i="15"/>
  <c r="CO228" i="15"/>
  <c r="CP228" i="15"/>
  <c r="CQ228" i="15"/>
  <c r="CR228" i="15"/>
  <c r="CS228" i="15"/>
  <c r="CT228" i="15"/>
  <c r="CU228" i="15"/>
  <c r="CV228" i="15"/>
  <c r="CW228" i="15"/>
  <c r="CX228" i="15"/>
  <c r="CY228" i="15"/>
  <c r="CZ228" i="15"/>
  <c r="DA228" i="15"/>
  <c r="DB228" i="15"/>
  <c r="DC228" i="15"/>
  <c r="DD228" i="15"/>
  <c r="DE228" i="15"/>
  <c r="DF228" i="15"/>
  <c r="DG228" i="15"/>
  <c r="DH228" i="15"/>
  <c r="DI228" i="15"/>
  <c r="DJ228" i="15"/>
  <c r="DK228" i="15"/>
  <c r="DL228" i="15"/>
  <c r="DM228" i="15"/>
  <c r="DN228" i="15"/>
  <c r="DO228" i="15"/>
  <c r="DP228" i="15"/>
  <c r="DQ228" i="15"/>
  <c r="DR228" i="15"/>
  <c r="DS228" i="15"/>
  <c r="DT228" i="15"/>
  <c r="DU228" i="15"/>
  <c r="DV228" i="15"/>
  <c r="DW228" i="15"/>
  <c r="DX228" i="15"/>
  <c r="DY228" i="15"/>
  <c r="DZ228" i="15"/>
  <c r="EA228" i="15"/>
  <c r="EB228" i="15"/>
  <c r="EC228" i="15"/>
  <c r="ED228" i="15"/>
  <c r="EE228" i="15"/>
  <c r="EF228" i="15"/>
  <c r="EG228" i="15"/>
  <c r="EH228" i="15"/>
  <c r="EI228" i="15"/>
  <c r="EJ228" i="15"/>
  <c r="EK228" i="15"/>
  <c r="EL228" i="15"/>
  <c r="EM228" i="15"/>
  <c r="EN228" i="15"/>
  <c r="EO228" i="15"/>
  <c r="EP228" i="15"/>
  <c r="EQ228" i="15"/>
  <c r="ER228" i="15"/>
  <c r="ES228" i="15"/>
  <c r="ET228" i="15"/>
  <c r="EU228" i="15"/>
  <c r="EV228" i="15"/>
  <c r="EW228" i="15"/>
  <c r="EX228" i="15"/>
  <c r="EY228" i="15"/>
  <c r="EZ228" i="15"/>
  <c r="FA228" i="15"/>
  <c r="FB228" i="15"/>
  <c r="FC228" i="15"/>
  <c r="FD228" i="15"/>
  <c r="FE228" i="15"/>
  <c r="FF228" i="15"/>
  <c r="FG228" i="15"/>
  <c r="FH228" i="15"/>
  <c r="FI228" i="15"/>
  <c r="FJ228" i="15"/>
  <c r="FK228" i="15"/>
  <c r="FL228" i="15"/>
  <c r="B229" i="15"/>
  <c r="C229" i="15"/>
  <c r="D229" i="15"/>
  <c r="E229" i="15"/>
  <c r="F229" i="15"/>
  <c r="G229" i="15"/>
  <c r="H229" i="15"/>
  <c r="I229" i="15"/>
  <c r="J229" i="15"/>
  <c r="K229" i="15"/>
  <c r="L229" i="15"/>
  <c r="M229" i="15"/>
  <c r="N229" i="15"/>
  <c r="O229" i="15"/>
  <c r="P229" i="15"/>
  <c r="Q229" i="15"/>
  <c r="R229" i="15"/>
  <c r="S229" i="15"/>
  <c r="T229" i="15"/>
  <c r="U229" i="15"/>
  <c r="V229" i="15"/>
  <c r="W229" i="15"/>
  <c r="X229" i="15"/>
  <c r="Y229" i="15"/>
  <c r="Z229" i="15"/>
  <c r="AA229" i="15"/>
  <c r="AB229" i="15"/>
  <c r="AC229" i="15"/>
  <c r="AD229" i="15"/>
  <c r="AE229" i="15"/>
  <c r="AF229" i="15"/>
  <c r="AG229" i="15"/>
  <c r="AH229" i="15"/>
  <c r="AI229" i="15"/>
  <c r="AJ229" i="15"/>
  <c r="AK229" i="15"/>
  <c r="AL229" i="15"/>
  <c r="AM229" i="15"/>
  <c r="AN229" i="15"/>
  <c r="AO229" i="15"/>
  <c r="AP229" i="15"/>
  <c r="AQ229" i="15"/>
  <c r="AR229" i="15"/>
  <c r="AS229" i="15"/>
  <c r="AT229" i="15"/>
  <c r="AU229" i="15"/>
  <c r="AV229" i="15"/>
  <c r="AW229" i="15"/>
  <c r="AX229" i="15"/>
  <c r="AY229" i="15"/>
  <c r="AZ229" i="15"/>
  <c r="BA229" i="15"/>
  <c r="BB229" i="15"/>
  <c r="BC229" i="15"/>
  <c r="BD229" i="15"/>
  <c r="BE229" i="15"/>
  <c r="BF229" i="15"/>
  <c r="BG229" i="15"/>
  <c r="BH229" i="15"/>
  <c r="BI229" i="15"/>
  <c r="BJ229" i="15"/>
  <c r="BK229" i="15"/>
  <c r="BL229" i="15"/>
  <c r="BM229" i="15"/>
  <c r="BN229" i="15"/>
  <c r="BO229" i="15"/>
  <c r="BP229" i="15"/>
  <c r="BQ229" i="15"/>
  <c r="BR229" i="15"/>
  <c r="BS229" i="15"/>
  <c r="BT229" i="15"/>
  <c r="BU229" i="15"/>
  <c r="BV229" i="15"/>
  <c r="BW229" i="15"/>
  <c r="BX229" i="15"/>
  <c r="BY229" i="15"/>
  <c r="BZ229" i="15"/>
  <c r="CA229" i="15"/>
  <c r="CB229" i="15"/>
  <c r="CC229" i="15"/>
  <c r="CD229" i="15"/>
  <c r="CE229" i="15"/>
  <c r="CF229" i="15"/>
  <c r="CG229" i="15"/>
  <c r="CH229" i="15"/>
  <c r="CI229" i="15"/>
  <c r="CJ229" i="15"/>
  <c r="CK229" i="15"/>
  <c r="CL229" i="15"/>
  <c r="CM229" i="15"/>
  <c r="CN229" i="15"/>
  <c r="CO229" i="15"/>
  <c r="CP229" i="15"/>
  <c r="CQ229" i="15"/>
  <c r="CR229" i="15"/>
  <c r="CS229" i="15"/>
  <c r="CT229" i="15"/>
  <c r="CU229" i="15"/>
  <c r="CV229" i="15"/>
  <c r="CW229" i="15"/>
  <c r="CX229" i="15"/>
  <c r="CY229" i="15"/>
  <c r="CZ229" i="15"/>
  <c r="DA229" i="15"/>
  <c r="DB229" i="15"/>
  <c r="DC229" i="15"/>
  <c r="DD229" i="15"/>
  <c r="DE229" i="15"/>
  <c r="DF229" i="15"/>
  <c r="DG229" i="15"/>
  <c r="DH229" i="15"/>
  <c r="DI229" i="15"/>
  <c r="DJ229" i="15"/>
  <c r="DK229" i="15"/>
  <c r="DL229" i="15"/>
  <c r="DM229" i="15"/>
  <c r="DN229" i="15"/>
  <c r="DO229" i="15"/>
  <c r="DP229" i="15"/>
  <c r="DQ229" i="15"/>
  <c r="DR229" i="15"/>
  <c r="DS229" i="15"/>
  <c r="DT229" i="15"/>
  <c r="DU229" i="15"/>
  <c r="DV229" i="15"/>
  <c r="DW229" i="15"/>
  <c r="DX229" i="15"/>
  <c r="DY229" i="15"/>
  <c r="DZ229" i="15"/>
  <c r="EA229" i="15"/>
  <c r="EB229" i="15"/>
  <c r="EC229" i="15"/>
  <c r="ED229" i="15"/>
  <c r="EE229" i="15"/>
  <c r="EF229" i="15"/>
  <c r="EG229" i="15"/>
  <c r="EH229" i="15"/>
  <c r="EI229" i="15"/>
  <c r="EJ229" i="15"/>
  <c r="EK229" i="15"/>
  <c r="EL229" i="15"/>
  <c r="EM229" i="15"/>
  <c r="EN229" i="15"/>
  <c r="EO229" i="15"/>
  <c r="EP229" i="15"/>
  <c r="EQ229" i="15"/>
  <c r="ER229" i="15"/>
  <c r="ES229" i="15"/>
  <c r="ET229" i="15"/>
  <c r="EU229" i="15"/>
  <c r="EV229" i="15"/>
  <c r="EW229" i="15"/>
  <c r="EX229" i="15"/>
  <c r="EY229" i="15"/>
  <c r="EZ229" i="15"/>
  <c r="FA229" i="15"/>
  <c r="FB229" i="15"/>
  <c r="FC229" i="15"/>
  <c r="FD229" i="15"/>
  <c r="FE229" i="15"/>
  <c r="FF229" i="15"/>
  <c r="FG229" i="15"/>
  <c r="FH229" i="15"/>
  <c r="FI229" i="15"/>
  <c r="FJ229" i="15"/>
  <c r="FK229" i="15"/>
  <c r="FL229" i="15"/>
  <c r="B230" i="15"/>
  <c r="C230" i="15"/>
  <c r="D230" i="15"/>
  <c r="E230" i="15"/>
  <c r="F230" i="15"/>
  <c r="G230" i="15"/>
  <c r="H230" i="15"/>
  <c r="I230" i="15"/>
  <c r="J230" i="15"/>
  <c r="K230" i="15"/>
  <c r="L230" i="15"/>
  <c r="M230" i="15"/>
  <c r="N230" i="15"/>
  <c r="O230" i="15"/>
  <c r="P230" i="15"/>
  <c r="Q230" i="15"/>
  <c r="R230" i="15"/>
  <c r="S230" i="15"/>
  <c r="T230" i="15"/>
  <c r="U230" i="15"/>
  <c r="V230" i="15"/>
  <c r="W230" i="15"/>
  <c r="X230" i="15"/>
  <c r="Y230" i="15"/>
  <c r="Z230" i="15"/>
  <c r="AA230" i="15"/>
  <c r="AB230" i="15"/>
  <c r="AC230" i="15"/>
  <c r="AD230" i="15"/>
  <c r="AE230" i="15"/>
  <c r="AF230" i="15"/>
  <c r="AG230" i="15"/>
  <c r="AH230" i="15"/>
  <c r="AI230" i="15"/>
  <c r="AJ230" i="15"/>
  <c r="AK230" i="15"/>
  <c r="AL230" i="15"/>
  <c r="AM230" i="15"/>
  <c r="AN230" i="15"/>
  <c r="AO230" i="15"/>
  <c r="AP230" i="15"/>
  <c r="AQ230" i="15"/>
  <c r="AR230" i="15"/>
  <c r="AS230" i="15"/>
  <c r="AT230" i="15"/>
  <c r="AU230" i="15"/>
  <c r="AV230" i="15"/>
  <c r="AW230" i="15"/>
  <c r="AX230" i="15"/>
  <c r="AY230" i="15"/>
  <c r="AZ230" i="15"/>
  <c r="BA230" i="15"/>
  <c r="BB230" i="15"/>
  <c r="BC230" i="15"/>
  <c r="BD230" i="15"/>
  <c r="BE230" i="15"/>
  <c r="BF230" i="15"/>
  <c r="BG230" i="15"/>
  <c r="BH230" i="15"/>
  <c r="BI230" i="15"/>
  <c r="BJ230" i="15"/>
  <c r="BK230" i="15"/>
  <c r="BL230" i="15"/>
  <c r="BM230" i="15"/>
  <c r="BN230" i="15"/>
  <c r="BO230" i="15"/>
  <c r="BP230" i="15"/>
  <c r="BQ230" i="15"/>
  <c r="BR230" i="15"/>
  <c r="BS230" i="15"/>
  <c r="BT230" i="15"/>
  <c r="BU230" i="15"/>
  <c r="BV230" i="15"/>
  <c r="BW230" i="15"/>
  <c r="BX230" i="15"/>
  <c r="BY230" i="15"/>
  <c r="BZ230" i="15"/>
  <c r="CA230" i="15"/>
  <c r="CB230" i="15"/>
  <c r="CC230" i="15"/>
  <c r="CD230" i="15"/>
  <c r="CE230" i="15"/>
  <c r="CF230" i="15"/>
  <c r="CG230" i="15"/>
  <c r="CH230" i="15"/>
  <c r="CI230" i="15"/>
  <c r="CJ230" i="15"/>
  <c r="CK230" i="15"/>
  <c r="CL230" i="15"/>
  <c r="CM230" i="15"/>
  <c r="CN230" i="15"/>
  <c r="CO230" i="15"/>
  <c r="CP230" i="15"/>
  <c r="CQ230" i="15"/>
  <c r="CR230" i="15"/>
  <c r="CS230" i="15"/>
  <c r="CT230" i="15"/>
  <c r="CU230" i="15"/>
  <c r="CV230" i="15"/>
  <c r="CW230" i="15"/>
  <c r="CX230" i="15"/>
  <c r="CY230" i="15"/>
  <c r="CZ230" i="15"/>
  <c r="DA230" i="15"/>
  <c r="DB230" i="15"/>
  <c r="DC230" i="15"/>
  <c r="DD230" i="15"/>
  <c r="DE230" i="15"/>
  <c r="DF230" i="15"/>
  <c r="DG230" i="15"/>
  <c r="DH230" i="15"/>
  <c r="DI230" i="15"/>
  <c r="DJ230" i="15"/>
  <c r="DK230" i="15"/>
  <c r="DL230" i="15"/>
  <c r="DM230" i="15"/>
  <c r="DN230" i="15"/>
  <c r="DO230" i="15"/>
  <c r="DP230" i="15"/>
  <c r="DQ230" i="15"/>
  <c r="DR230" i="15"/>
  <c r="DS230" i="15"/>
  <c r="DT230" i="15"/>
  <c r="DU230" i="15"/>
  <c r="DV230" i="15"/>
  <c r="DW230" i="15"/>
  <c r="DX230" i="15"/>
  <c r="DY230" i="15"/>
  <c r="DZ230" i="15"/>
  <c r="EA230" i="15"/>
  <c r="EB230" i="15"/>
  <c r="EC230" i="15"/>
  <c r="ED230" i="15"/>
  <c r="EE230" i="15"/>
  <c r="EF230" i="15"/>
  <c r="EG230" i="15"/>
  <c r="EH230" i="15"/>
  <c r="EI230" i="15"/>
  <c r="EJ230" i="15"/>
  <c r="EK230" i="15"/>
  <c r="EL230" i="15"/>
  <c r="EM230" i="15"/>
  <c r="EN230" i="15"/>
  <c r="EO230" i="15"/>
  <c r="EP230" i="15"/>
  <c r="EQ230" i="15"/>
  <c r="ER230" i="15"/>
  <c r="ES230" i="15"/>
  <c r="ET230" i="15"/>
  <c r="EU230" i="15"/>
  <c r="EV230" i="15"/>
  <c r="EW230" i="15"/>
  <c r="EX230" i="15"/>
  <c r="EY230" i="15"/>
  <c r="EZ230" i="15"/>
  <c r="FA230" i="15"/>
  <c r="FB230" i="15"/>
  <c r="FC230" i="15"/>
  <c r="FD230" i="15"/>
  <c r="FE230" i="15"/>
  <c r="FF230" i="15"/>
  <c r="FG230" i="15"/>
  <c r="FH230" i="15"/>
  <c r="FI230" i="15"/>
  <c r="FJ230" i="15"/>
  <c r="FK230" i="15"/>
  <c r="FL230" i="15"/>
  <c r="B231" i="15"/>
  <c r="C231" i="15"/>
  <c r="D231" i="15"/>
  <c r="E231" i="15"/>
  <c r="F231" i="15"/>
  <c r="G231" i="15"/>
  <c r="H231" i="15"/>
  <c r="I231" i="15"/>
  <c r="J231" i="15"/>
  <c r="K231" i="15"/>
  <c r="L231" i="15"/>
  <c r="M231" i="15"/>
  <c r="N231" i="15"/>
  <c r="O231" i="15"/>
  <c r="P231" i="15"/>
  <c r="Q231" i="15"/>
  <c r="R231" i="15"/>
  <c r="S231" i="15"/>
  <c r="T231" i="15"/>
  <c r="U231" i="15"/>
  <c r="V231" i="15"/>
  <c r="W231" i="15"/>
  <c r="X231" i="15"/>
  <c r="Y231" i="15"/>
  <c r="Z231" i="15"/>
  <c r="AA231" i="15"/>
  <c r="AB231" i="15"/>
  <c r="AC231" i="15"/>
  <c r="AD231" i="15"/>
  <c r="AE231" i="15"/>
  <c r="AF231" i="15"/>
  <c r="AG231" i="15"/>
  <c r="AH231" i="15"/>
  <c r="AI231" i="15"/>
  <c r="AJ231" i="15"/>
  <c r="AK231" i="15"/>
  <c r="AL231" i="15"/>
  <c r="AM231" i="15"/>
  <c r="AN231" i="15"/>
  <c r="AO231" i="15"/>
  <c r="AP231" i="15"/>
  <c r="AQ231" i="15"/>
  <c r="AR231" i="15"/>
  <c r="AS231" i="15"/>
  <c r="AT231" i="15"/>
  <c r="AU231" i="15"/>
  <c r="AV231" i="15"/>
  <c r="AW231" i="15"/>
  <c r="AX231" i="15"/>
  <c r="AY231" i="15"/>
  <c r="AZ231" i="15"/>
  <c r="BA231" i="15"/>
  <c r="BB231" i="15"/>
  <c r="BC231" i="15"/>
  <c r="BD231" i="15"/>
  <c r="BE231" i="15"/>
  <c r="BF231" i="15"/>
  <c r="BG231" i="15"/>
  <c r="BH231" i="15"/>
  <c r="BI231" i="15"/>
  <c r="BJ231" i="15"/>
  <c r="BK231" i="15"/>
  <c r="BL231" i="15"/>
  <c r="BM231" i="15"/>
  <c r="BN231" i="15"/>
  <c r="BO231" i="15"/>
  <c r="BP231" i="15"/>
  <c r="BQ231" i="15"/>
  <c r="BR231" i="15"/>
  <c r="BS231" i="15"/>
  <c r="BT231" i="15"/>
  <c r="BU231" i="15"/>
  <c r="BV231" i="15"/>
  <c r="BW231" i="15"/>
  <c r="BX231" i="15"/>
  <c r="BY231" i="15"/>
  <c r="BZ231" i="15"/>
  <c r="CA231" i="15"/>
  <c r="CB231" i="15"/>
  <c r="CC231" i="15"/>
  <c r="CD231" i="15"/>
  <c r="CE231" i="15"/>
  <c r="CF231" i="15"/>
  <c r="CG231" i="15"/>
  <c r="CH231" i="15"/>
  <c r="CI231" i="15"/>
  <c r="CJ231" i="15"/>
  <c r="CK231" i="15"/>
  <c r="CL231" i="15"/>
  <c r="CM231" i="15"/>
  <c r="CN231" i="15"/>
  <c r="CO231" i="15"/>
  <c r="CP231" i="15"/>
  <c r="CQ231" i="15"/>
  <c r="CR231" i="15"/>
  <c r="CS231" i="15"/>
  <c r="CT231" i="15"/>
  <c r="CU231" i="15"/>
  <c r="CV231" i="15"/>
  <c r="CW231" i="15"/>
  <c r="CX231" i="15"/>
  <c r="CY231" i="15"/>
  <c r="CZ231" i="15"/>
  <c r="DA231" i="15"/>
  <c r="DB231" i="15"/>
  <c r="DC231" i="15"/>
  <c r="DD231" i="15"/>
  <c r="DE231" i="15"/>
  <c r="DF231" i="15"/>
  <c r="DG231" i="15"/>
  <c r="DH231" i="15"/>
  <c r="DI231" i="15"/>
  <c r="DJ231" i="15"/>
  <c r="DK231" i="15"/>
  <c r="DL231" i="15"/>
  <c r="DM231" i="15"/>
  <c r="DN231" i="15"/>
  <c r="DO231" i="15"/>
  <c r="DP231" i="15"/>
  <c r="DQ231" i="15"/>
  <c r="DR231" i="15"/>
  <c r="DS231" i="15"/>
  <c r="DT231" i="15"/>
  <c r="DU231" i="15"/>
  <c r="DV231" i="15"/>
  <c r="DW231" i="15"/>
  <c r="DX231" i="15"/>
  <c r="DY231" i="15"/>
  <c r="DZ231" i="15"/>
  <c r="EA231" i="15"/>
  <c r="EB231" i="15"/>
  <c r="EC231" i="15"/>
  <c r="ED231" i="15"/>
  <c r="EE231" i="15"/>
  <c r="EF231" i="15"/>
  <c r="EG231" i="15"/>
  <c r="EH231" i="15"/>
  <c r="EI231" i="15"/>
  <c r="EJ231" i="15"/>
  <c r="EK231" i="15"/>
  <c r="EL231" i="15"/>
  <c r="EM231" i="15"/>
  <c r="EN231" i="15"/>
  <c r="EO231" i="15"/>
  <c r="EP231" i="15"/>
  <c r="EQ231" i="15"/>
  <c r="ER231" i="15"/>
  <c r="ES231" i="15"/>
  <c r="ET231" i="15"/>
  <c r="EU231" i="15"/>
  <c r="EV231" i="15"/>
  <c r="EW231" i="15"/>
  <c r="EX231" i="15"/>
  <c r="EY231" i="15"/>
  <c r="EZ231" i="15"/>
  <c r="FA231" i="15"/>
  <c r="FB231" i="15"/>
  <c r="FC231" i="15"/>
  <c r="FD231" i="15"/>
  <c r="FE231" i="15"/>
  <c r="FF231" i="15"/>
  <c r="FG231" i="15"/>
  <c r="FH231" i="15"/>
  <c r="FI231" i="15"/>
  <c r="FJ231" i="15"/>
  <c r="FK231" i="15"/>
  <c r="FL231" i="15"/>
  <c r="B232" i="15"/>
  <c r="C232" i="15"/>
  <c r="D232" i="15"/>
  <c r="E232" i="15"/>
  <c r="F232" i="15"/>
  <c r="G232" i="15"/>
  <c r="H232" i="15"/>
  <c r="I232" i="15"/>
  <c r="J232" i="15"/>
  <c r="K232" i="15"/>
  <c r="L232" i="15"/>
  <c r="M232" i="15"/>
  <c r="N232" i="15"/>
  <c r="O232" i="15"/>
  <c r="P232" i="15"/>
  <c r="Q232" i="15"/>
  <c r="R232" i="15"/>
  <c r="S232" i="15"/>
  <c r="T232" i="15"/>
  <c r="U232" i="15"/>
  <c r="V232" i="15"/>
  <c r="W232" i="15"/>
  <c r="X232" i="15"/>
  <c r="Y232" i="15"/>
  <c r="Z232" i="15"/>
  <c r="AA232" i="15"/>
  <c r="AB232" i="15"/>
  <c r="AC232" i="15"/>
  <c r="AD232" i="15"/>
  <c r="AE232" i="15"/>
  <c r="AF232" i="15"/>
  <c r="AG232" i="15"/>
  <c r="AH232" i="15"/>
  <c r="AI232" i="15"/>
  <c r="AJ232" i="15"/>
  <c r="AK232" i="15"/>
  <c r="AL232" i="15"/>
  <c r="AM232" i="15"/>
  <c r="AN232" i="15"/>
  <c r="AO232" i="15"/>
  <c r="AP232" i="15"/>
  <c r="AQ232" i="15"/>
  <c r="AR232" i="15"/>
  <c r="AS232" i="15"/>
  <c r="AT232" i="15"/>
  <c r="AU232" i="15"/>
  <c r="AV232" i="15"/>
  <c r="AW232" i="15"/>
  <c r="AX232" i="15"/>
  <c r="AY232" i="15"/>
  <c r="AZ232" i="15"/>
  <c r="BA232" i="15"/>
  <c r="BB232" i="15"/>
  <c r="BC232" i="15"/>
  <c r="BD232" i="15"/>
  <c r="BE232" i="15"/>
  <c r="BF232" i="15"/>
  <c r="BG232" i="15"/>
  <c r="BH232" i="15"/>
  <c r="BI232" i="15"/>
  <c r="BJ232" i="15"/>
  <c r="BK232" i="15"/>
  <c r="BL232" i="15"/>
  <c r="BM232" i="15"/>
  <c r="BN232" i="15"/>
  <c r="BO232" i="15"/>
  <c r="BP232" i="15"/>
  <c r="BQ232" i="15"/>
  <c r="BR232" i="15"/>
  <c r="BS232" i="15"/>
  <c r="BT232" i="15"/>
  <c r="BU232" i="15"/>
  <c r="BV232" i="15"/>
  <c r="BW232" i="15"/>
  <c r="BX232" i="15"/>
  <c r="BY232" i="15"/>
  <c r="BZ232" i="15"/>
  <c r="CA232" i="15"/>
  <c r="CB232" i="15"/>
  <c r="CC232" i="15"/>
  <c r="CD232" i="15"/>
  <c r="CE232" i="15"/>
  <c r="CF232" i="15"/>
  <c r="CG232" i="15"/>
  <c r="CH232" i="15"/>
  <c r="CI232" i="15"/>
  <c r="CJ232" i="15"/>
  <c r="CK232" i="15"/>
  <c r="CL232" i="15"/>
  <c r="CM232" i="15"/>
  <c r="CN232" i="15"/>
  <c r="CO232" i="15"/>
  <c r="CP232" i="15"/>
  <c r="CQ232" i="15"/>
  <c r="CR232" i="15"/>
  <c r="CS232" i="15"/>
  <c r="CT232" i="15"/>
  <c r="CU232" i="15"/>
  <c r="CV232" i="15"/>
  <c r="CW232" i="15"/>
  <c r="CX232" i="15"/>
  <c r="CY232" i="15"/>
  <c r="CZ232" i="15"/>
  <c r="DA232" i="15"/>
  <c r="DB232" i="15"/>
  <c r="DC232" i="15"/>
  <c r="DD232" i="15"/>
  <c r="DE232" i="15"/>
  <c r="DF232" i="15"/>
  <c r="DG232" i="15"/>
  <c r="DH232" i="15"/>
  <c r="DI232" i="15"/>
  <c r="DJ232" i="15"/>
  <c r="DK232" i="15"/>
  <c r="DL232" i="15"/>
  <c r="DM232" i="15"/>
  <c r="DN232" i="15"/>
  <c r="DO232" i="15"/>
  <c r="DP232" i="15"/>
  <c r="DQ232" i="15"/>
  <c r="DR232" i="15"/>
  <c r="DS232" i="15"/>
  <c r="DT232" i="15"/>
  <c r="DU232" i="15"/>
  <c r="DV232" i="15"/>
  <c r="DW232" i="15"/>
  <c r="DX232" i="15"/>
  <c r="DY232" i="15"/>
  <c r="DZ232" i="15"/>
  <c r="EA232" i="15"/>
  <c r="EB232" i="15"/>
  <c r="EC232" i="15"/>
  <c r="ED232" i="15"/>
  <c r="EE232" i="15"/>
  <c r="EF232" i="15"/>
  <c r="EG232" i="15"/>
  <c r="EH232" i="15"/>
  <c r="EI232" i="15"/>
  <c r="EJ232" i="15"/>
  <c r="EK232" i="15"/>
  <c r="EL232" i="15"/>
  <c r="EM232" i="15"/>
  <c r="EN232" i="15"/>
  <c r="EO232" i="15"/>
  <c r="EP232" i="15"/>
  <c r="EQ232" i="15"/>
  <c r="ER232" i="15"/>
  <c r="ES232" i="15"/>
  <c r="ET232" i="15"/>
  <c r="EU232" i="15"/>
  <c r="EV232" i="15"/>
  <c r="EW232" i="15"/>
  <c r="EX232" i="15"/>
  <c r="EY232" i="15"/>
  <c r="EZ232" i="15"/>
  <c r="FA232" i="15"/>
  <c r="FB232" i="15"/>
  <c r="FC232" i="15"/>
  <c r="FD232" i="15"/>
  <c r="FE232" i="15"/>
  <c r="FF232" i="15"/>
  <c r="FG232" i="15"/>
  <c r="FH232" i="15"/>
  <c r="FI232" i="15"/>
  <c r="FJ232" i="15"/>
  <c r="FK232" i="15"/>
  <c r="FL232" i="15"/>
  <c r="B233" i="15"/>
  <c r="C233" i="15"/>
  <c r="D233" i="15"/>
  <c r="E233" i="15"/>
  <c r="F233" i="15"/>
  <c r="G233" i="15"/>
  <c r="H233" i="15"/>
  <c r="I233" i="15"/>
  <c r="J233" i="15"/>
  <c r="K233" i="15"/>
  <c r="L233" i="15"/>
  <c r="M233" i="15"/>
  <c r="N233" i="15"/>
  <c r="O233" i="15"/>
  <c r="P233" i="15"/>
  <c r="Q233" i="15"/>
  <c r="R233" i="15"/>
  <c r="S233" i="15"/>
  <c r="T233" i="15"/>
  <c r="U233" i="15"/>
  <c r="V233" i="15"/>
  <c r="W233" i="15"/>
  <c r="X233" i="15"/>
  <c r="Y233" i="15"/>
  <c r="Z233" i="15"/>
  <c r="AA233" i="15"/>
  <c r="AB233" i="15"/>
  <c r="AC233" i="15"/>
  <c r="AD233" i="15"/>
  <c r="AE233" i="15"/>
  <c r="AF233" i="15"/>
  <c r="AG233" i="15"/>
  <c r="AH233" i="15"/>
  <c r="AI233" i="15"/>
  <c r="AJ233" i="15"/>
  <c r="AK233" i="15"/>
  <c r="AL233" i="15"/>
  <c r="AM233" i="15"/>
  <c r="AN233" i="15"/>
  <c r="AO233" i="15"/>
  <c r="AP233" i="15"/>
  <c r="AQ233" i="15"/>
  <c r="AR233" i="15"/>
  <c r="AS233" i="15"/>
  <c r="AT233" i="15"/>
  <c r="AU233" i="15"/>
  <c r="AV233" i="15"/>
  <c r="AW233" i="15"/>
  <c r="AX233" i="15"/>
  <c r="AY233" i="15"/>
  <c r="AZ233" i="15"/>
  <c r="BA233" i="15"/>
  <c r="BB233" i="15"/>
  <c r="BC233" i="15"/>
  <c r="BD233" i="15"/>
  <c r="BE233" i="15"/>
  <c r="BF233" i="15"/>
  <c r="BG233" i="15"/>
  <c r="BH233" i="15"/>
  <c r="BI233" i="15"/>
  <c r="BJ233" i="15"/>
  <c r="BK233" i="15"/>
  <c r="BL233" i="15"/>
  <c r="BM233" i="15"/>
  <c r="BN233" i="15"/>
  <c r="BO233" i="15"/>
  <c r="BP233" i="15"/>
  <c r="BQ233" i="15"/>
  <c r="BR233" i="15"/>
  <c r="BS233" i="15"/>
  <c r="BT233" i="15"/>
  <c r="BU233" i="15"/>
  <c r="BV233" i="15"/>
  <c r="BW233" i="15"/>
  <c r="BX233" i="15"/>
  <c r="BY233" i="15"/>
  <c r="BZ233" i="15"/>
  <c r="CA233" i="15"/>
  <c r="CB233" i="15"/>
  <c r="CC233" i="15"/>
  <c r="CD233" i="15"/>
  <c r="CE233" i="15"/>
  <c r="CF233" i="15"/>
  <c r="CG233" i="15"/>
  <c r="CH233" i="15"/>
  <c r="CI233" i="15"/>
  <c r="CJ233" i="15"/>
  <c r="CK233" i="15"/>
  <c r="CL233" i="15"/>
  <c r="CM233" i="15"/>
  <c r="CN233" i="15"/>
  <c r="CO233" i="15"/>
  <c r="CP233" i="15"/>
  <c r="CQ233" i="15"/>
  <c r="CR233" i="15"/>
  <c r="CS233" i="15"/>
  <c r="CT233" i="15"/>
  <c r="CU233" i="15"/>
  <c r="CV233" i="15"/>
  <c r="CW233" i="15"/>
  <c r="CX233" i="15"/>
  <c r="CY233" i="15"/>
  <c r="CZ233" i="15"/>
  <c r="DA233" i="15"/>
  <c r="DB233" i="15"/>
  <c r="DC233" i="15"/>
  <c r="DD233" i="15"/>
  <c r="DE233" i="15"/>
  <c r="DF233" i="15"/>
  <c r="DG233" i="15"/>
  <c r="DH233" i="15"/>
  <c r="DI233" i="15"/>
  <c r="DJ233" i="15"/>
  <c r="DK233" i="15"/>
  <c r="DL233" i="15"/>
  <c r="DM233" i="15"/>
  <c r="DN233" i="15"/>
  <c r="DO233" i="15"/>
  <c r="DP233" i="15"/>
  <c r="DQ233" i="15"/>
  <c r="DR233" i="15"/>
  <c r="DS233" i="15"/>
  <c r="DT233" i="15"/>
  <c r="DU233" i="15"/>
  <c r="DV233" i="15"/>
  <c r="DW233" i="15"/>
  <c r="DX233" i="15"/>
  <c r="DY233" i="15"/>
  <c r="DZ233" i="15"/>
  <c r="EA233" i="15"/>
  <c r="EB233" i="15"/>
  <c r="EC233" i="15"/>
  <c r="ED233" i="15"/>
  <c r="EE233" i="15"/>
  <c r="EF233" i="15"/>
  <c r="EG233" i="15"/>
  <c r="EH233" i="15"/>
  <c r="EI233" i="15"/>
  <c r="EJ233" i="15"/>
  <c r="EK233" i="15"/>
  <c r="EL233" i="15"/>
  <c r="EM233" i="15"/>
  <c r="EN233" i="15"/>
  <c r="EO233" i="15"/>
  <c r="EP233" i="15"/>
  <c r="EQ233" i="15"/>
  <c r="ER233" i="15"/>
  <c r="ES233" i="15"/>
  <c r="ET233" i="15"/>
  <c r="EU233" i="15"/>
  <c r="EV233" i="15"/>
  <c r="EW233" i="15"/>
  <c r="EX233" i="15"/>
  <c r="EY233" i="15"/>
  <c r="EZ233" i="15"/>
  <c r="FA233" i="15"/>
  <c r="FB233" i="15"/>
  <c r="FC233" i="15"/>
  <c r="FD233" i="15"/>
  <c r="FE233" i="15"/>
  <c r="FF233" i="15"/>
  <c r="FG233" i="15"/>
  <c r="FH233" i="15"/>
  <c r="FI233" i="15"/>
  <c r="FJ233" i="15"/>
  <c r="FK233" i="15"/>
  <c r="FL233" i="15"/>
  <c r="B234" i="15"/>
  <c r="C234" i="15"/>
  <c r="D234" i="15"/>
  <c r="E234" i="15"/>
  <c r="F234" i="15"/>
  <c r="G234" i="15"/>
  <c r="H234" i="15"/>
  <c r="I234" i="15"/>
  <c r="J234" i="15"/>
  <c r="K234" i="15"/>
  <c r="L234" i="15"/>
  <c r="M234" i="15"/>
  <c r="N234" i="15"/>
  <c r="O234" i="15"/>
  <c r="P234" i="15"/>
  <c r="Q234" i="15"/>
  <c r="R234" i="15"/>
  <c r="S234" i="15"/>
  <c r="T234" i="15"/>
  <c r="U234" i="15"/>
  <c r="V234" i="15"/>
  <c r="W234" i="15"/>
  <c r="X234" i="15"/>
  <c r="Y234" i="15"/>
  <c r="Z234" i="15"/>
  <c r="AA234" i="15"/>
  <c r="AB234" i="15"/>
  <c r="AC234" i="15"/>
  <c r="AD234" i="15"/>
  <c r="AE234" i="15"/>
  <c r="AF234" i="15"/>
  <c r="AG234" i="15"/>
  <c r="AH234" i="15"/>
  <c r="AI234" i="15"/>
  <c r="AJ234" i="15"/>
  <c r="AK234" i="15"/>
  <c r="AL234" i="15"/>
  <c r="AM234" i="15"/>
  <c r="AN234" i="15"/>
  <c r="AO234" i="15"/>
  <c r="AP234" i="15"/>
  <c r="AQ234" i="15"/>
  <c r="AR234" i="15"/>
  <c r="AS234" i="15"/>
  <c r="AT234" i="15"/>
  <c r="AU234" i="15"/>
  <c r="AV234" i="15"/>
  <c r="AW234" i="15"/>
  <c r="AX234" i="15"/>
  <c r="AY234" i="15"/>
  <c r="AZ234" i="15"/>
  <c r="BA234" i="15"/>
  <c r="BB234" i="15"/>
  <c r="BC234" i="15"/>
  <c r="BD234" i="15"/>
  <c r="BE234" i="15"/>
  <c r="BF234" i="15"/>
  <c r="BG234" i="15"/>
  <c r="BH234" i="15"/>
  <c r="BI234" i="15"/>
  <c r="BJ234" i="15"/>
  <c r="BK234" i="15"/>
  <c r="BL234" i="15"/>
  <c r="BM234" i="15"/>
  <c r="BN234" i="15"/>
  <c r="BO234" i="15"/>
  <c r="BP234" i="15"/>
  <c r="BQ234" i="15"/>
  <c r="BR234" i="15"/>
  <c r="BS234" i="15"/>
  <c r="BT234" i="15"/>
  <c r="BU234" i="15"/>
  <c r="BV234" i="15"/>
  <c r="BW234" i="15"/>
  <c r="BX234" i="15"/>
  <c r="BY234" i="15"/>
  <c r="BZ234" i="15"/>
  <c r="CA234" i="15"/>
  <c r="CB234" i="15"/>
  <c r="CC234" i="15"/>
  <c r="CD234" i="15"/>
  <c r="CE234" i="15"/>
  <c r="CF234" i="15"/>
  <c r="CG234" i="15"/>
  <c r="CH234" i="15"/>
  <c r="CI234" i="15"/>
  <c r="CJ234" i="15"/>
  <c r="CK234" i="15"/>
  <c r="CL234" i="15"/>
  <c r="CM234" i="15"/>
  <c r="CN234" i="15"/>
  <c r="CO234" i="15"/>
  <c r="CP234" i="15"/>
  <c r="CQ234" i="15"/>
  <c r="CR234" i="15"/>
  <c r="CS234" i="15"/>
  <c r="CT234" i="15"/>
  <c r="CU234" i="15"/>
  <c r="CV234" i="15"/>
  <c r="CW234" i="15"/>
  <c r="CX234" i="15"/>
  <c r="CY234" i="15"/>
  <c r="CZ234" i="15"/>
  <c r="DA234" i="15"/>
  <c r="DB234" i="15"/>
  <c r="DC234" i="15"/>
  <c r="DD234" i="15"/>
  <c r="DE234" i="15"/>
  <c r="DF234" i="15"/>
  <c r="DG234" i="15"/>
  <c r="DH234" i="15"/>
  <c r="DI234" i="15"/>
  <c r="DJ234" i="15"/>
  <c r="DK234" i="15"/>
  <c r="DL234" i="15"/>
  <c r="DM234" i="15"/>
  <c r="DN234" i="15"/>
  <c r="DO234" i="15"/>
  <c r="DP234" i="15"/>
  <c r="DQ234" i="15"/>
  <c r="DR234" i="15"/>
  <c r="DS234" i="15"/>
  <c r="DT234" i="15"/>
  <c r="DU234" i="15"/>
  <c r="DV234" i="15"/>
  <c r="DW234" i="15"/>
  <c r="DX234" i="15"/>
  <c r="DY234" i="15"/>
  <c r="DZ234" i="15"/>
  <c r="EA234" i="15"/>
  <c r="EB234" i="15"/>
  <c r="EC234" i="15"/>
  <c r="ED234" i="15"/>
  <c r="EE234" i="15"/>
  <c r="EF234" i="15"/>
  <c r="EG234" i="15"/>
  <c r="EH234" i="15"/>
  <c r="EI234" i="15"/>
  <c r="EJ234" i="15"/>
  <c r="EK234" i="15"/>
  <c r="EL234" i="15"/>
  <c r="EM234" i="15"/>
  <c r="EN234" i="15"/>
  <c r="EO234" i="15"/>
  <c r="EP234" i="15"/>
  <c r="EQ234" i="15"/>
  <c r="ER234" i="15"/>
  <c r="ES234" i="15"/>
  <c r="ET234" i="15"/>
  <c r="EU234" i="15"/>
  <c r="EV234" i="15"/>
  <c r="EW234" i="15"/>
  <c r="EX234" i="15"/>
  <c r="EY234" i="15"/>
  <c r="EZ234" i="15"/>
  <c r="FA234" i="15"/>
  <c r="FB234" i="15"/>
  <c r="FC234" i="15"/>
  <c r="FD234" i="15"/>
  <c r="FE234" i="15"/>
  <c r="FF234" i="15"/>
  <c r="FG234" i="15"/>
  <c r="FH234" i="15"/>
  <c r="FI234" i="15"/>
  <c r="FJ234" i="15"/>
  <c r="FK234" i="15"/>
  <c r="FL234" i="15"/>
  <c r="B235" i="15"/>
  <c r="C235" i="15"/>
  <c r="D235" i="15"/>
  <c r="E235" i="15"/>
  <c r="F235" i="15"/>
  <c r="G235" i="15"/>
  <c r="H235" i="15"/>
  <c r="I235" i="15"/>
  <c r="J235" i="15"/>
  <c r="K235" i="15"/>
  <c r="L235" i="15"/>
  <c r="M235" i="15"/>
  <c r="N235" i="15"/>
  <c r="O235" i="15"/>
  <c r="P235" i="15"/>
  <c r="Q235" i="15"/>
  <c r="R235" i="15"/>
  <c r="S235" i="15"/>
  <c r="T235" i="15"/>
  <c r="U235" i="15"/>
  <c r="V235" i="15"/>
  <c r="W235" i="15"/>
  <c r="X235" i="15"/>
  <c r="Y235" i="15"/>
  <c r="Z235" i="15"/>
  <c r="AA235" i="15"/>
  <c r="AB235" i="15"/>
  <c r="AC235" i="15"/>
  <c r="AD235" i="15"/>
  <c r="AE235" i="15"/>
  <c r="AF235" i="15"/>
  <c r="AG235" i="15"/>
  <c r="AH235" i="15"/>
  <c r="AI235" i="15"/>
  <c r="AJ235" i="15"/>
  <c r="AK235" i="15"/>
  <c r="AL235" i="15"/>
  <c r="AM235" i="15"/>
  <c r="AN235" i="15"/>
  <c r="AO235" i="15"/>
  <c r="AP235" i="15"/>
  <c r="AQ235" i="15"/>
  <c r="AR235" i="15"/>
  <c r="AS235" i="15"/>
  <c r="AT235" i="15"/>
  <c r="AU235" i="15"/>
  <c r="AV235" i="15"/>
  <c r="AW235" i="15"/>
  <c r="AX235" i="15"/>
  <c r="AY235" i="15"/>
  <c r="AZ235" i="15"/>
  <c r="BA235" i="15"/>
  <c r="BB235" i="15"/>
  <c r="BC235" i="15"/>
  <c r="BD235" i="15"/>
  <c r="BE235" i="15"/>
  <c r="BF235" i="15"/>
  <c r="BG235" i="15"/>
  <c r="BH235" i="15"/>
  <c r="BI235" i="15"/>
  <c r="BJ235" i="15"/>
  <c r="BK235" i="15"/>
  <c r="BL235" i="15"/>
  <c r="BM235" i="15"/>
  <c r="BN235" i="15"/>
  <c r="BO235" i="15"/>
  <c r="BP235" i="15"/>
  <c r="BQ235" i="15"/>
  <c r="BR235" i="15"/>
  <c r="BS235" i="15"/>
  <c r="BT235" i="15"/>
  <c r="BU235" i="15"/>
  <c r="BV235" i="15"/>
  <c r="BW235" i="15"/>
  <c r="BX235" i="15"/>
  <c r="BY235" i="15"/>
  <c r="BZ235" i="15"/>
  <c r="CA235" i="15"/>
  <c r="CB235" i="15"/>
  <c r="CC235" i="15"/>
  <c r="CD235" i="15"/>
  <c r="CE235" i="15"/>
  <c r="CF235" i="15"/>
  <c r="CG235" i="15"/>
  <c r="CH235" i="15"/>
  <c r="CI235" i="15"/>
  <c r="CJ235" i="15"/>
  <c r="CK235" i="15"/>
  <c r="CL235" i="15"/>
  <c r="CM235" i="15"/>
  <c r="CN235" i="15"/>
  <c r="CO235" i="15"/>
  <c r="CP235" i="15"/>
  <c r="CQ235" i="15"/>
  <c r="CR235" i="15"/>
  <c r="CS235" i="15"/>
  <c r="CT235" i="15"/>
  <c r="CU235" i="15"/>
  <c r="CV235" i="15"/>
  <c r="CW235" i="15"/>
  <c r="CX235" i="15"/>
  <c r="CY235" i="15"/>
  <c r="CZ235" i="15"/>
  <c r="DA235" i="15"/>
  <c r="DB235" i="15"/>
  <c r="DC235" i="15"/>
  <c r="DD235" i="15"/>
  <c r="DE235" i="15"/>
  <c r="DF235" i="15"/>
  <c r="DG235" i="15"/>
  <c r="DH235" i="15"/>
  <c r="DI235" i="15"/>
  <c r="DJ235" i="15"/>
  <c r="DK235" i="15"/>
  <c r="DL235" i="15"/>
  <c r="DM235" i="15"/>
  <c r="DN235" i="15"/>
  <c r="DO235" i="15"/>
  <c r="DP235" i="15"/>
  <c r="DQ235" i="15"/>
  <c r="DR235" i="15"/>
  <c r="DS235" i="15"/>
  <c r="DT235" i="15"/>
  <c r="DU235" i="15"/>
  <c r="DV235" i="15"/>
  <c r="DW235" i="15"/>
  <c r="DX235" i="15"/>
  <c r="DY235" i="15"/>
  <c r="DZ235" i="15"/>
  <c r="EA235" i="15"/>
  <c r="EB235" i="15"/>
  <c r="EC235" i="15"/>
  <c r="ED235" i="15"/>
  <c r="EE235" i="15"/>
  <c r="EF235" i="15"/>
  <c r="EG235" i="15"/>
  <c r="EH235" i="15"/>
  <c r="EI235" i="15"/>
  <c r="EJ235" i="15"/>
  <c r="EK235" i="15"/>
  <c r="EL235" i="15"/>
  <c r="EM235" i="15"/>
  <c r="EN235" i="15"/>
  <c r="EO235" i="15"/>
  <c r="EP235" i="15"/>
  <c r="EQ235" i="15"/>
  <c r="ER235" i="15"/>
  <c r="ES235" i="15"/>
  <c r="ET235" i="15"/>
  <c r="EU235" i="15"/>
  <c r="EV235" i="15"/>
  <c r="EW235" i="15"/>
  <c r="EX235" i="15"/>
  <c r="EY235" i="15"/>
  <c r="EZ235" i="15"/>
  <c r="FA235" i="15"/>
  <c r="FB235" i="15"/>
  <c r="FC235" i="15"/>
  <c r="FD235" i="15"/>
  <c r="FE235" i="15"/>
  <c r="FF235" i="15"/>
  <c r="FG235" i="15"/>
  <c r="FH235" i="15"/>
  <c r="FI235" i="15"/>
  <c r="FJ235" i="15"/>
  <c r="FK235" i="15"/>
  <c r="FL235" i="15"/>
  <c r="B236" i="15"/>
  <c r="C236" i="15"/>
  <c r="D236" i="15"/>
  <c r="E236" i="15"/>
  <c r="F236" i="15"/>
  <c r="G236" i="15"/>
  <c r="H236" i="15"/>
  <c r="I236" i="15"/>
  <c r="J236" i="15"/>
  <c r="K236" i="15"/>
  <c r="L236" i="15"/>
  <c r="M236" i="15"/>
  <c r="N236" i="15"/>
  <c r="O236" i="15"/>
  <c r="P236" i="15"/>
  <c r="Q236" i="15"/>
  <c r="R236" i="15"/>
  <c r="S236" i="15"/>
  <c r="T236" i="15"/>
  <c r="U236" i="15"/>
  <c r="V236" i="15"/>
  <c r="W236" i="15"/>
  <c r="X236" i="15"/>
  <c r="Y236" i="15"/>
  <c r="Z236" i="15"/>
  <c r="AA236" i="15"/>
  <c r="AB236" i="15"/>
  <c r="AC236" i="15"/>
  <c r="AD236" i="15"/>
  <c r="AE236" i="15"/>
  <c r="AF236" i="15"/>
  <c r="AG236" i="15"/>
  <c r="AH236" i="15"/>
  <c r="AI236" i="15"/>
  <c r="AJ236" i="15"/>
  <c r="AK236" i="15"/>
  <c r="AL236" i="15"/>
  <c r="AM236" i="15"/>
  <c r="AN236" i="15"/>
  <c r="AO236" i="15"/>
  <c r="AP236" i="15"/>
  <c r="AQ236" i="15"/>
  <c r="AR236" i="15"/>
  <c r="AS236" i="15"/>
  <c r="AT236" i="15"/>
  <c r="AU236" i="15"/>
  <c r="AV236" i="15"/>
  <c r="AW236" i="15"/>
  <c r="AX236" i="15"/>
  <c r="AY236" i="15"/>
  <c r="AZ236" i="15"/>
  <c r="BA236" i="15"/>
  <c r="BB236" i="15"/>
  <c r="BC236" i="15"/>
  <c r="BD236" i="15"/>
  <c r="BE236" i="15"/>
  <c r="BF236" i="15"/>
  <c r="BG236" i="15"/>
  <c r="BH236" i="15"/>
  <c r="BI236" i="15"/>
  <c r="BJ236" i="15"/>
  <c r="BK236" i="15"/>
  <c r="BL236" i="15"/>
  <c r="BM236" i="15"/>
  <c r="BN236" i="15"/>
  <c r="BO236" i="15"/>
  <c r="BP236" i="15"/>
  <c r="BQ236" i="15"/>
  <c r="BR236" i="15"/>
  <c r="BS236" i="15"/>
  <c r="BT236" i="15"/>
  <c r="BU236" i="15"/>
  <c r="BV236" i="15"/>
  <c r="BW236" i="15"/>
  <c r="BX236" i="15"/>
  <c r="BY236" i="15"/>
  <c r="BZ236" i="15"/>
  <c r="CA236" i="15"/>
  <c r="CB236" i="15"/>
  <c r="CC236" i="15"/>
  <c r="CD236" i="15"/>
  <c r="CE236" i="15"/>
  <c r="CF236" i="15"/>
  <c r="CG236" i="15"/>
  <c r="CH236" i="15"/>
  <c r="CI236" i="15"/>
  <c r="CJ236" i="15"/>
  <c r="CK236" i="15"/>
  <c r="CL236" i="15"/>
  <c r="CM236" i="15"/>
  <c r="CN236" i="15"/>
  <c r="CO236" i="15"/>
  <c r="CP236" i="15"/>
  <c r="CQ236" i="15"/>
  <c r="CR236" i="15"/>
  <c r="CS236" i="15"/>
  <c r="CT236" i="15"/>
  <c r="CU236" i="15"/>
  <c r="CV236" i="15"/>
  <c r="CW236" i="15"/>
  <c r="CX236" i="15"/>
  <c r="CY236" i="15"/>
  <c r="CZ236" i="15"/>
  <c r="DA236" i="15"/>
  <c r="DB236" i="15"/>
  <c r="DC236" i="15"/>
  <c r="DD236" i="15"/>
  <c r="DE236" i="15"/>
  <c r="DF236" i="15"/>
  <c r="DG236" i="15"/>
  <c r="DH236" i="15"/>
  <c r="DI236" i="15"/>
  <c r="DJ236" i="15"/>
  <c r="DK236" i="15"/>
  <c r="DL236" i="15"/>
  <c r="DM236" i="15"/>
  <c r="DN236" i="15"/>
  <c r="DO236" i="15"/>
  <c r="DP236" i="15"/>
  <c r="DQ236" i="15"/>
  <c r="DR236" i="15"/>
  <c r="DS236" i="15"/>
  <c r="DT236" i="15"/>
  <c r="DU236" i="15"/>
  <c r="DV236" i="15"/>
  <c r="DW236" i="15"/>
  <c r="DX236" i="15"/>
  <c r="DY236" i="15"/>
  <c r="DZ236" i="15"/>
  <c r="EA236" i="15"/>
  <c r="EB236" i="15"/>
  <c r="EC236" i="15"/>
  <c r="ED236" i="15"/>
  <c r="EE236" i="15"/>
  <c r="EF236" i="15"/>
  <c r="EG236" i="15"/>
  <c r="EH236" i="15"/>
  <c r="EI236" i="15"/>
  <c r="EJ236" i="15"/>
  <c r="EK236" i="15"/>
  <c r="EL236" i="15"/>
  <c r="EM236" i="15"/>
  <c r="EN236" i="15"/>
  <c r="EO236" i="15"/>
  <c r="EP236" i="15"/>
  <c r="EQ236" i="15"/>
  <c r="ER236" i="15"/>
  <c r="ES236" i="15"/>
  <c r="ET236" i="15"/>
  <c r="EU236" i="15"/>
  <c r="EV236" i="15"/>
  <c r="EW236" i="15"/>
  <c r="EX236" i="15"/>
  <c r="EY236" i="15"/>
  <c r="EZ236" i="15"/>
  <c r="FA236" i="15"/>
  <c r="FB236" i="15"/>
  <c r="FC236" i="15"/>
  <c r="FD236" i="15"/>
  <c r="FE236" i="15"/>
  <c r="FF236" i="15"/>
  <c r="FG236" i="15"/>
  <c r="FH236" i="15"/>
  <c r="FI236" i="15"/>
  <c r="FJ236" i="15"/>
  <c r="FK236" i="15"/>
  <c r="FL236" i="15"/>
  <c r="B237" i="15"/>
  <c r="C237" i="15"/>
  <c r="D237" i="15"/>
  <c r="E237" i="15"/>
  <c r="F237" i="15"/>
  <c r="G237" i="15"/>
  <c r="H237" i="15"/>
  <c r="I237" i="15"/>
  <c r="J237" i="15"/>
  <c r="K237" i="15"/>
  <c r="L237" i="15"/>
  <c r="M237" i="15"/>
  <c r="N237" i="15"/>
  <c r="O237" i="15"/>
  <c r="P237" i="15"/>
  <c r="Q237" i="15"/>
  <c r="R237" i="15"/>
  <c r="S237" i="15"/>
  <c r="T237" i="15"/>
  <c r="U237" i="15"/>
  <c r="V237" i="15"/>
  <c r="W237" i="15"/>
  <c r="X237" i="15"/>
  <c r="Y237" i="15"/>
  <c r="Z237" i="15"/>
  <c r="AA237" i="15"/>
  <c r="AB237" i="15"/>
  <c r="AC237" i="15"/>
  <c r="AD237" i="15"/>
  <c r="AE237" i="15"/>
  <c r="AF237" i="15"/>
  <c r="AG237" i="15"/>
  <c r="AH237" i="15"/>
  <c r="AI237" i="15"/>
  <c r="AJ237" i="15"/>
  <c r="AK237" i="15"/>
  <c r="AL237" i="15"/>
  <c r="AM237" i="15"/>
  <c r="AN237" i="15"/>
  <c r="AO237" i="15"/>
  <c r="AP237" i="15"/>
  <c r="AQ237" i="15"/>
  <c r="AR237" i="15"/>
  <c r="AS237" i="15"/>
  <c r="AT237" i="15"/>
  <c r="AU237" i="15"/>
  <c r="AV237" i="15"/>
  <c r="AW237" i="15"/>
  <c r="AX237" i="15"/>
  <c r="AY237" i="15"/>
  <c r="AZ237" i="15"/>
  <c r="BA237" i="15"/>
  <c r="BB237" i="15"/>
  <c r="BC237" i="15"/>
  <c r="BD237" i="15"/>
  <c r="BE237" i="15"/>
  <c r="BF237" i="15"/>
  <c r="BG237" i="15"/>
  <c r="BH237" i="15"/>
  <c r="BI237" i="15"/>
  <c r="BJ237" i="15"/>
  <c r="BK237" i="15"/>
  <c r="BL237" i="15"/>
  <c r="BM237" i="15"/>
  <c r="BN237" i="15"/>
  <c r="BO237" i="15"/>
  <c r="BP237" i="15"/>
  <c r="BQ237" i="15"/>
  <c r="BR237" i="15"/>
  <c r="BS237" i="15"/>
  <c r="BT237" i="15"/>
  <c r="BU237" i="15"/>
  <c r="BV237" i="15"/>
  <c r="BW237" i="15"/>
  <c r="BX237" i="15"/>
  <c r="BY237" i="15"/>
  <c r="BZ237" i="15"/>
  <c r="CA237" i="15"/>
  <c r="CB237" i="15"/>
  <c r="CC237" i="15"/>
  <c r="CD237" i="15"/>
  <c r="CE237" i="15"/>
  <c r="CF237" i="15"/>
  <c r="CG237" i="15"/>
  <c r="CH237" i="15"/>
  <c r="CI237" i="15"/>
  <c r="CJ237" i="15"/>
  <c r="CK237" i="15"/>
  <c r="CL237" i="15"/>
  <c r="CM237" i="15"/>
  <c r="CN237" i="15"/>
  <c r="CO237" i="15"/>
  <c r="CP237" i="15"/>
  <c r="CQ237" i="15"/>
  <c r="CR237" i="15"/>
  <c r="CS237" i="15"/>
  <c r="CT237" i="15"/>
  <c r="CU237" i="15"/>
  <c r="CV237" i="15"/>
  <c r="CW237" i="15"/>
  <c r="CX237" i="15"/>
  <c r="CY237" i="15"/>
  <c r="CZ237" i="15"/>
  <c r="DA237" i="15"/>
  <c r="DB237" i="15"/>
  <c r="DC237" i="15"/>
  <c r="DD237" i="15"/>
  <c r="DE237" i="15"/>
  <c r="DF237" i="15"/>
  <c r="DG237" i="15"/>
  <c r="DH237" i="15"/>
  <c r="DI237" i="15"/>
  <c r="DJ237" i="15"/>
  <c r="DK237" i="15"/>
  <c r="DL237" i="15"/>
  <c r="DM237" i="15"/>
  <c r="DN237" i="15"/>
  <c r="DO237" i="15"/>
  <c r="DP237" i="15"/>
  <c r="DQ237" i="15"/>
  <c r="DR237" i="15"/>
  <c r="DS237" i="15"/>
  <c r="DT237" i="15"/>
  <c r="DU237" i="15"/>
  <c r="DV237" i="15"/>
  <c r="DW237" i="15"/>
  <c r="DX237" i="15"/>
  <c r="DY237" i="15"/>
  <c r="DZ237" i="15"/>
  <c r="EA237" i="15"/>
  <c r="EB237" i="15"/>
  <c r="EC237" i="15"/>
  <c r="ED237" i="15"/>
  <c r="EE237" i="15"/>
  <c r="EF237" i="15"/>
  <c r="EG237" i="15"/>
  <c r="EH237" i="15"/>
  <c r="EI237" i="15"/>
  <c r="EJ237" i="15"/>
  <c r="EK237" i="15"/>
  <c r="EL237" i="15"/>
  <c r="EM237" i="15"/>
  <c r="EN237" i="15"/>
  <c r="EO237" i="15"/>
  <c r="EP237" i="15"/>
  <c r="EQ237" i="15"/>
  <c r="ER237" i="15"/>
  <c r="ES237" i="15"/>
  <c r="ET237" i="15"/>
  <c r="EU237" i="15"/>
  <c r="EV237" i="15"/>
  <c r="EW237" i="15"/>
  <c r="EX237" i="15"/>
  <c r="EY237" i="15"/>
  <c r="EZ237" i="15"/>
  <c r="FA237" i="15"/>
  <c r="FB237" i="15"/>
  <c r="FC237" i="15"/>
  <c r="FD237" i="15"/>
  <c r="FE237" i="15"/>
  <c r="FF237" i="15"/>
  <c r="FG237" i="15"/>
  <c r="FH237" i="15"/>
  <c r="FI237" i="15"/>
  <c r="FJ237" i="15"/>
  <c r="FK237" i="15"/>
  <c r="FL237" i="15"/>
  <c r="B238" i="15"/>
  <c r="C238" i="15"/>
  <c r="D238" i="15"/>
  <c r="E238" i="15"/>
  <c r="F238" i="15"/>
  <c r="G238" i="15"/>
  <c r="H238" i="15"/>
  <c r="I238" i="15"/>
  <c r="J238" i="15"/>
  <c r="K238" i="15"/>
  <c r="L238" i="15"/>
  <c r="M238" i="15"/>
  <c r="N238" i="15"/>
  <c r="O238" i="15"/>
  <c r="P238" i="15"/>
  <c r="Q238" i="15"/>
  <c r="R238" i="15"/>
  <c r="S238" i="15"/>
  <c r="T238" i="15"/>
  <c r="U238" i="15"/>
  <c r="V238" i="15"/>
  <c r="W238" i="15"/>
  <c r="X238" i="15"/>
  <c r="Y238" i="15"/>
  <c r="Z238" i="15"/>
  <c r="AA238" i="15"/>
  <c r="AB238" i="15"/>
  <c r="AC238" i="15"/>
  <c r="AD238" i="15"/>
  <c r="AE238" i="15"/>
  <c r="AF238" i="15"/>
  <c r="AG238" i="15"/>
  <c r="AH238" i="15"/>
  <c r="AI238" i="15"/>
  <c r="AJ238" i="15"/>
  <c r="AK238" i="15"/>
  <c r="AL238" i="15"/>
  <c r="AM238" i="15"/>
  <c r="AN238" i="15"/>
  <c r="AO238" i="15"/>
  <c r="AP238" i="15"/>
  <c r="AQ238" i="15"/>
  <c r="AR238" i="15"/>
  <c r="AS238" i="15"/>
  <c r="AT238" i="15"/>
  <c r="AU238" i="15"/>
  <c r="AV238" i="15"/>
  <c r="AW238" i="15"/>
  <c r="AX238" i="15"/>
  <c r="AY238" i="15"/>
  <c r="AZ238" i="15"/>
  <c r="BA238" i="15"/>
  <c r="BB238" i="15"/>
  <c r="BC238" i="15"/>
  <c r="BD238" i="15"/>
  <c r="BE238" i="15"/>
  <c r="BF238" i="15"/>
  <c r="BG238" i="15"/>
  <c r="BH238" i="15"/>
  <c r="BI238" i="15"/>
  <c r="BJ238" i="15"/>
  <c r="BK238" i="15"/>
  <c r="BL238" i="15"/>
  <c r="BM238" i="15"/>
  <c r="BN238" i="15"/>
  <c r="BO238" i="15"/>
  <c r="BP238" i="15"/>
  <c r="BQ238" i="15"/>
  <c r="BR238" i="15"/>
  <c r="BS238" i="15"/>
  <c r="BT238" i="15"/>
  <c r="BU238" i="15"/>
  <c r="BV238" i="15"/>
  <c r="BW238" i="15"/>
  <c r="BX238" i="15"/>
  <c r="BY238" i="15"/>
  <c r="BZ238" i="15"/>
  <c r="CA238" i="15"/>
  <c r="CB238" i="15"/>
  <c r="CC238" i="15"/>
  <c r="CD238" i="15"/>
  <c r="CE238" i="15"/>
  <c r="CF238" i="15"/>
  <c r="CG238" i="15"/>
  <c r="CH238" i="15"/>
  <c r="CI238" i="15"/>
  <c r="CJ238" i="15"/>
  <c r="CK238" i="15"/>
  <c r="CL238" i="15"/>
  <c r="CM238" i="15"/>
  <c r="CN238" i="15"/>
  <c r="CO238" i="15"/>
  <c r="CP238" i="15"/>
  <c r="CQ238" i="15"/>
  <c r="CR238" i="15"/>
  <c r="CS238" i="15"/>
  <c r="CT238" i="15"/>
  <c r="CU238" i="15"/>
  <c r="CV238" i="15"/>
  <c r="CW238" i="15"/>
  <c r="CX238" i="15"/>
  <c r="CY238" i="15"/>
  <c r="CZ238" i="15"/>
  <c r="DA238" i="15"/>
  <c r="DB238" i="15"/>
  <c r="DC238" i="15"/>
  <c r="DD238" i="15"/>
  <c r="DE238" i="15"/>
  <c r="DF238" i="15"/>
  <c r="DG238" i="15"/>
  <c r="DH238" i="15"/>
  <c r="DI238" i="15"/>
  <c r="DJ238" i="15"/>
  <c r="DK238" i="15"/>
  <c r="DL238" i="15"/>
  <c r="DM238" i="15"/>
  <c r="DN238" i="15"/>
  <c r="DO238" i="15"/>
  <c r="DP238" i="15"/>
  <c r="DQ238" i="15"/>
  <c r="DR238" i="15"/>
  <c r="DS238" i="15"/>
  <c r="DT238" i="15"/>
  <c r="DU238" i="15"/>
  <c r="DV238" i="15"/>
  <c r="DW238" i="15"/>
  <c r="DX238" i="15"/>
  <c r="DY238" i="15"/>
  <c r="DZ238" i="15"/>
  <c r="EA238" i="15"/>
  <c r="EB238" i="15"/>
  <c r="EC238" i="15"/>
  <c r="ED238" i="15"/>
  <c r="EE238" i="15"/>
  <c r="EF238" i="15"/>
  <c r="EG238" i="15"/>
  <c r="EH238" i="15"/>
  <c r="EI238" i="15"/>
  <c r="EJ238" i="15"/>
  <c r="EK238" i="15"/>
  <c r="EL238" i="15"/>
  <c r="EM238" i="15"/>
  <c r="EN238" i="15"/>
  <c r="EO238" i="15"/>
  <c r="EP238" i="15"/>
  <c r="EQ238" i="15"/>
  <c r="ER238" i="15"/>
  <c r="ES238" i="15"/>
  <c r="ET238" i="15"/>
  <c r="EU238" i="15"/>
  <c r="EV238" i="15"/>
  <c r="EW238" i="15"/>
  <c r="EX238" i="15"/>
  <c r="EY238" i="15"/>
  <c r="EZ238" i="15"/>
  <c r="FA238" i="15"/>
  <c r="FB238" i="15"/>
  <c r="FC238" i="15"/>
  <c r="FD238" i="15"/>
  <c r="FE238" i="15"/>
  <c r="FF238" i="15"/>
  <c r="FG238" i="15"/>
  <c r="FH238" i="15"/>
  <c r="FI238" i="15"/>
  <c r="FJ238" i="15"/>
  <c r="FK238" i="15"/>
  <c r="FL238" i="15"/>
  <c r="B239" i="15"/>
  <c r="C239" i="15"/>
  <c r="D239" i="15"/>
  <c r="E239" i="15"/>
  <c r="F239" i="15"/>
  <c r="G239" i="15"/>
  <c r="H239" i="15"/>
  <c r="I239" i="15"/>
  <c r="J239" i="15"/>
  <c r="K239" i="15"/>
  <c r="L239" i="15"/>
  <c r="M239" i="15"/>
  <c r="N239" i="15"/>
  <c r="O239" i="15"/>
  <c r="P239" i="15"/>
  <c r="Q239" i="15"/>
  <c r="R239" i="15"/>
  <c r="S239" i="15"/>
  <c r="T239" i="15"/>
  <c r="U239" i="15"/>
  <c r="V239" i="15"/>
  <c r="W239" i="15"/>
  <c r="X239" i="15"/>
  <c r="Y239" i="15"/>
  <c r="Z239" i="15"/>
  <c r="AA239" i="15"/>
  <c r="AB239" i="15"/>
  <c r="AC239" i="15"/>
  <c r="AD239" i="15"/>
  <c r="AE239" i="15"/>
  <c r="AF239" i="15"/>
  <c r="AG239" i="15"/>
  <c r="AH239" i="15"/>
  <c r="AI239" i="15"/>
  <c r="AJ239" i="15"/>
  <c r="AK239" i="15"/>
  <c r="AL239" i="15"/>
  <c r="AM239" i="15"/>
  <c r="AN239" i="15"/>
  <c r="AO239" i="15"/>
  <c r="AP239" i="15"/>
  <c r="AQ239" i="15"/>
  <c r="AR239" i="15"/>
  <c r="AS239" i="15"/>
  <c r="AT239" i="15"/>
  <c r="AU239" i="15"/>
  <c r="AV239" i="15"/>
  <c r="AW239" i="15"/>
  <c r="AX239" i="15"/>
  <c r="AY239" i="15"/>
  <c r="AZ239" i="15"/>
  <c r="BA239" i="15"/>
  <c r="BB239" i="15"/>
  <c r="BC239" i="15"/>
  <c r="BD239" i="15"/>
  <c r="BE239" i="15"/>
  <c r="BF239" i="15"/>
  <c r="BG239" i="15"/>
  <c r="BH239" i="15"/>
  <c r="BI239" i="15"/>
  <c r="BJ239" i="15"/>
  <c r="BK239" i="15"/>
  <c r="BL239" i="15"/>
  <c r="BM239" i="15"/>
  <c r="BN239" i="15"/>
  <c r="BO239" i="15"/>
  <c r="BP239" i="15"/>
  <c r="BQ239" i="15"/>
  <c r="BR239" i="15"/>
  <c r="BS239" i="15"/>
  <c r="BT239" i="15"/>
  <c r="BU239" i="15"/>
  <c r="BV239" i="15"/>
  <c r="BW239" i="15"/>
  <c r="BX239" i="15"/>
  <c r="BY239" i="15"/>
  <c r="BZ239" i="15"/>
  <c r="CA239" i="15"/>
  <c r="CB239" i="15"/>
  <c r="CC239" i="15"/>
  <c r="CD239" i="15"/>
  <c r="CE239" i="15"/>
  <c r="CF239" i="15"/>
  <c r="CG239" i="15"/>
  <c r="CH239" i="15"/>
  <c r="CI239" i="15"/>
  <c r="CJ239" i="15"/>
  <c r="CK239" i="15"/>
  <c r="CL239" i="15"/>
  <c r="CM239" i="15"/>
  <c r="CN239" i="15"/>
  <c r="CO239" i="15"/>
  <c r="CP239" i="15"/>
  <c r="CQ239" i="15"/>
  <c r="CR239" i="15"/>
  <c r="CS239" i="15"/>
  <c r="CT239" i="15"/>
  <c r="CU239" i="15"/>
  <c r="CV239" i="15"/>
  <c r="CW239" i="15"/>
  <c r="CX239" i="15"/>
  <c r="CY239" i="15"/>
  <c r="CZ239" i="15"/>
  <c r="DA239" i="15"/>
  <c r="DB239" i="15"/>
  <c r="DC239" i="15"/>
  <c r="DD239" i="15"/>
  <c r="DE239" i="15"/>
  <c r="DF239" i="15"/>
  <c r="DG239" i="15"/>
  <c r="DH239" i="15"/>
  <c r="DI239" i="15"/>
  <c r="DJ239" i="15"/>
  <c r="DK239" i="15"/>
  <c r="DL239" i="15"/>
  <c r="DM239" i="15"/>
  <c r="DN239" i="15"/>
  <c r="DO239" i="15"/>
  <c r="DP239" i="15"/>
  <c r="DQ239" i="15"/>
  <c r="DR239" i="15"/>
  <c r="DS239" i="15"/>
  <c r="DT239" i="15"/>
  <c r="DU239" i="15"/>
  <c r="DV239" i="15"/>
  <c r="DW239" i="15"/>
  <c r="DX239" i="15"/>
  <c r="DY239" i="15"/>
  <c r="DZ239" i="15"/>
  <c r="EA239" i="15"/>
  <c r="EB239" i="15"/>
  <c r="EC239" i="15"/>
  <c r="ED239" i="15"/>
  <c r="EE239" i="15"/>
  <c r="EF239" i="15"/>
  <c r="EG239" i="15"/>
  <c r="EH239" i="15"/>
  <c r="EI239" i="15"/>
  <c r="EJ239" i="15"/>
  <c r="EK239" i="15"/>
  <c r="EL239" i="15"/>
  <c r="EM239" i="15"/>
  <c r="EN239" i="15"/>
  <c r="EO239" i="15"/>
  <c r="EP239" i="15"/>
  <c r="EQ239" i="15"/>
  <c r="ER239" i="15"/>
  <c r="ES239" i="15"/>
  <c r="ET239" i="15"/>
  <c r="EU239" i="15"/>
  <c r="EV239" i="15"/>
  <c r="EW239" i="15"/>
  <c r="EX239" i="15"/>
  <c r="EY239" i="15"/>
  <c r="EZ239" i="15"/>
  <c r="FA239" i="15"/>
  <c r="FB239" i="15"/>
  <c r="FC239" i="15"/>
  <c r="FD239" i="15"/>
  <c r="FE239" i="15"/>
  <c r="FF239" i="15"/>
  <c r="FG239" i="15"/>
  <c r="FH239" i="15"/>
  <c r="FI239" i="15"/>
  <c r="FJ239" i="15"/>
  <c r="FK239" i="15"/>
  <c r="FL239" i="15"/>
  <c r="B240" i="15"/>
  <c r="C240" i="15"/>
  <c r="D240" i="15"/>
  <c r="E240" i="15"/>
  <c r="F240" i="15"/>
  <c r="G240" i="15"/>
  <c r="H240" i="15"/>
  <c r="I240" i="15"/>
  <c r="J240" i="15"/>
  <c r="K240" i="15"/>
  <c r="L240" i="15"/>
  <c r="M240" i="15"/>
  <c r="N240" i="15"/>
  <c r="O240" i="15"/>
  <c r="P240" i="15"/>
  <c r="Q240" i="15"/>
  <c r="R240" i="15"/>
  <c r="S240" i="15"/>
  <c r="T240" i="15"/>
  <c r="U240" i="15"/>
  <c r="V240" i="15"/>
  <c r="W240" i="15"/>
  <c r="X240" i="15"/>
  <c r="Y240" i="15"/>
  <c r="Z240" i="15"/>
  <c r="AA240" i="15"/>
  <c r="AB240" i="15"/>
  <c r="AC240" i="15"/>
  <c r="AD240" i="15"/>
  <c r="AE240" i="15"/>
  <c r="AF240" i="15"/>
  <c r="AG240" i="15"/>
  <c r="AH240" i="15"/>
  <c r="AI240" i="15"/>
  <c r="AJ240" i="15"/>
  <c r="AK240" i="15"/>
  <c r="AL240" i="15"/>
  <c r="AM240" i="15"/>
  <c r="AN240" i="15"/>
  <c r="AO240" i="15"/>
  <c r="AP240" i="15"/>
  <c r="AQ240" i="15"/>
  <c r="AR240" i="15"/>
  <c r="AS240" i="15"/>
  <c r="AT240" i="15"/>
  <c r="AU240" i="15"/>
  <c r="AV240" i="15"/>
  <c r="AW240" i="15"/>
  <c r="AX240" i="15"/>
  <c r="AY240" i="15"/>
  <c r="AZ240" i="15"/>
  <c r="BA240" i="15"/>
  <c r="BB240" i="15"/>
  <c r="BC240" i="15"/>
  <c r="BD240" i="15"/>
  <c r="BE240" i="15"/>
  <c r="BF240" i="15"/>
  <c r="BG240" i="15"/>
  <c r="BH240" i="15"/>
  <c r="BI240" i="15"/>
  <c r="BJ240" i="15"/>
  <c r="BK240" i="15"/>
  <c r="BL240" i="15"/>
  <c r="BM240" i="15"/>
  <c r="BN240" i="15"/>
  <c r="BO240" i="15"/>
  <c r="BP240" i="15"/>
  <c r="BQ240" i="15"/>
  <c r="BR240" i="15"/>
  <c r="BS240" i="15"/>
  <c r="BT240" i="15"/>
  <c r="BU240" i="15"/>
  <c r="BV240" i="15"/>
  <c r="BW240" i="15"/>
  <c r="BX240" i="15"/>
  <c r="BY240" i="15"/>
  <c r="BZ240" i="15"/>
  <c r="CA240" i="15"/>
  <c r="CB240" i="15"/>
  <c r="CC240" i="15"/>
  <c r="CD240" i="15"/>
  <c r="CE240" i="15"/>
  <c r="CF240" i="15"/>
  <c r="CG240" i="15"/>
  <c r="CH240" i="15"/>
  <c r="CI240" i="15"/>
  <c r="CJ240" i="15"/>
  <c r="CK240" i="15"/>
  <c r="CL240" i="15"/>
  <c r="CM240" i="15"/>
  <c r="CN240" i="15"/>
  <c r="CO240" i="15"/>
  <c r="CP240" i="15"/>
  <c r="CQ240" i="15"/>
  <c r="CR240" i="15"/>
  <c r="CS240" i="15"/>
  <c r="CT240" i="15"/>
  <c r="CU240" i="15"/>
  <c r="CV240" i="15"/>
  <c r="CW240" i="15"/>
  <c r="CX240" i="15"/>
  <c r="CY240" i="15"/>
  <c r="CZ240" i="15"/>
  <c r="DA240" i="15"/>
  <c r="DB240" i="15"/>
  <c r="DC240" i="15"/>
  <c r="DD240" i="15"/>
  <c r="DE240" i="15"/>
  <c r="DF240" i="15"/>
  <c r="DG240" i="15"/>
  <c r="DH240" i="15"/>
  <c r="DI240" i="15"/>
  <c r="DJ240" i="15"/>
  <c r="DK240" i="15"/>
  <c r="DL240" i="15"/>
  <c r="DM240" i="15"/>
  <c r="DN240" i="15"/>
  <c r="DO240" i="15"/>
  <c r="DP240" i="15"/>
  <c r="DQ240" i="15"/>
  <c r="DR240" i="15"/>
  <c r="DS240" i="15"/>
  <c r="DT240" i="15"/>
  <c r="DU240" i="15"/>
  <c r="DV240" i="15"/>
  <c r="DW240" i="15"/>
  <c r="DX240" i="15"/>
  <c r="DY240" i="15"/>
  <c r="DZ240" i="15"/>
  <c r="EA240" i="15"/>
  <c r="EB240" i="15"/>
  <c r="EC240" i="15"/>
  <c r="ED240" i="15"/>
  <c r="EE240" i="15"/>
  <c r="EF240" i="15"/>
  <c r="EG240" i="15"/>
  <c r="EH240" i="15"/>
  <c r="EI240" i="15"/>
  <c r="EJ240" i="15"/>
  <c r="EK240" i="15"/>
  <c r="EL240" i="15"/>
  <c r="EM240" i="15"/>
  <c r="EN240" i="15"/>
  <c r="EO240" i="15"/>
  <c r="EP240" i="15"/>
  <c r="EQ240" i="15"/>
  <c r="ER240" i="15"/>
  <c r="ES240" i="15"/>
  <c r="ET240" i="15"/>
  <c r="EU240" i="15"/>
  <c r="EV240" i="15"/>
  <c r="EW240" i="15"/>
  <c r="EX240" i="15"/>
  <c r="EY240" i="15"/>
  <c r="EZ240" i="15"/>
  <c r="FA240" i="15"/>
  <c r="FB240" i="15"/>
  <c r="FC240" i="15"/>
  <c r="FD240" i="15"/>
  <c r="FE240" i="15"/>
  <c r="FF240" i="15"/>
  <c r="FG240" i="15"/>
  <c r="FH240" i="15"/>
  <c r="FI240" i="15"/>
  <c r="FJ240" i="15"/>
  <c r="FK240" i="15"/>
  <c r="FL240" i="15"/>
  <c r="B241" i="15"/>
  <c r="C241" i="15"/>
  <c r="D241" i="15"/>
  <c r="E241" i="15"/>
  <c r="F241" i="15"/>
  <c r="G241" i="15"/>
  <c r="H241" i="15"/>
  <c r="I241" i="15"/>
  <c r="J241" i="15"/>
  <c r="K241" i="15"/>
  <c r="L241" i="15"/>
  <c r="M241" i="15"/>
  <c r="N241" i="15"/>
  <c r="O241" i="15"/>
  <c r="P241" i="15"/>
  <c r="Q241" i="15"/>
  <c r="R241" i="15"/>
  <c r="S241" i="15"/>
  <c r="T241" i="15"/>
  <c r="U241" i="15"/>
  <c r="V241" i="15"/>
  <c r="W241" i="15"/>
  <c r="X241" i="15"/>
  <c r="Y241" i="15"/>
  <c r="Z241" i="15"/>
  <c r="AA241" i="15"/>
  <c r="AB241" i="15"/>
  <c r="AC241" i="15"/>
  <c r="AD241" i="15"/>
  <c r="AE241" i="15"/>
  <c r="AF241" i="15"/>
  <c r="AG241" i="15"/>
  <c r="AH241" i="15"/>
  <c r="AI241" i="15"/>
  <c r="AJ241" i="15"/>
  <c r="AK241" i="15"/>
  <c r="AL241" i="15"/>
  <c r="AM241" i="15"/>
  <c r="AN241" i="15"/>
  <c r="AO241" i="15"/>
  <c r="AP241" i="15"/>
  <c r="AQ241" i="15"/>
  <c r="AR241" i="15"/>
  <c r="AS241" i="15"/>
  <c r="AT241" i="15"/>
  <c r="AU241" i="15"/>
  <c r="AV241" i="15"/>
  <c r="AW241" i="15"/>
  <c r="AX241" i="15"/>
  <c r="AY241" i="15"/>
  <c r="AZ241" i="15"/>
  <c r="BA241" i="15"/>
  <c r="BB241" i="15"/>
  <c r="BC241" i="15"/>
  <c r="BD241" i="15"/>
  <c r="BE241" i="15"/>
  <c r="BF241" i="15"/>
  <c r="BG241" i="15"/>
  <c r="BH241" i="15"/>
  <c r="BI241" i="15"/>
  <c r="BJ241" i="15"/>
  <c r="BK241" i="15"/>
  <c r="BL241" i="15"/>
  <c r="BM241" i="15"/>
  <c r="BN241" i="15"/>
  <c r="BO241" i="15"/>
  <c r="BP241" i="15"/>
  <c r="BQ241" i="15"/>
  <c r="BR241" i="15"/>
  <c r="BS241" i="15"/>
  <c r="BT241" i="15"/>
  <c r="BU241" i="15"/>
  <c r="BV241" i="15"/>
  <c r="BW241" i="15"/>
  <c r="BX241" i="15"/>
  <c r="BY241" i="15"/>
  <c r="BZ241" i="15"/>
  <c r="CA241" i="15"/>
  <c r="CB241" i="15"/>
  <c r="CC241" i="15"/>
  <c r="CD241" i="15"/>
  <c r="CE241" i="15"/>
  <c r="CF241" i="15"/>
  <c r="CG241" i="15"/>
  <c r="CH241" i="15"/>
  <c r="CI241" i="15"/>
  <c r="CJ241" i="15"/>
  <c r="CK241" i="15"/>
  <c r="CL241" i="15"/>
  <c r="CM241" i="15"/>
  <c r="CN241" i="15"/>
  <c r="CO241" i="15"/>
  <c r="CP241" i="15"/>
  <c r="CQ241" i="15"/>
  <c r="CR241" i="15"/>
  <c r="CS241" i="15"/>
  <c r="CT241" i="15"/>
  <c r="CU241" i="15"/>
  <c r="CV241" i="15"/>
  <c r="CW241" i="15"/>
  <c r="CX241" i="15"/>
  <c r="CY241" i="15"/>
  <c r="CZ241" i="15"/>
  <c r="DA241" i="15"/>
  <c r="DB241" i="15"/>
  <c r="DC241" i="15"/>
  <c r="DD241" i="15"/>
  <c r="DE241" i="15"/>
  <c r="DF241" i="15"/>
  <c r="DG241" i="15"/>
  <c r="DH241" i="15"/>
  <c r="DI241" i="15"/>
  <c r="DJ241" i="15"/>
  <c r="DK241" i="15"/>
  <c r="DL241" i="15"/>
  <c r="DM241" i="15"/>
  <c r="DN241" i="15"/>
  <c r="DO241" i="15"/>
  <c r="DP241" i="15"/>
  <c r="DQ241" i="15"/>
  <c r="DR241" i="15"/>
  <c r="DS241" i="15"/>
  <c r="DT241" i="15"/>
  <c r="DU241" i="15"/>
  <c r="DV241" i="15"/>
  <c r="DW241" i="15"/>
  <c r="DX241" i="15"/>
  <c r="DY241" i="15"/>
  <c r="DZ241" i="15"/>
  <c r="EA241" i="15"/>
  <c r="EB241" i="15"/>
  <c r="EC241" i="15"/>
  <c r="ED241" i="15"/>
  <c r="EE241" i="15"/>
  <c r="EF241" i="15"/>
  <c r="EG241" i="15"/>
  <c r="EH241" i="15"/>
  <c r="EI241" i="15"/>
  <c r="EJ241" i="15"/>
  <c r="EK241" i="15"/>
  <c r="EL241" i="15"/>
  <c r="EM241" i="15"/>
  <c r="EN241" i="15"/>
  <c r="EO241" i="15"/>
  <c r="EP241" i="15"/>
  <c r="EQ241" i="15"/>
  <c r="ER241" i="15"/>
  <c r="ES241" i="15"/>
  <c r="ET241" i="15"/>
  <c r="EU241" i="15"/>
  <c r="EV241" i="15"/>
  <c r="EW241" i="15"/>
  <c r="EX241" i="15"/>
  <c r="EY241" i="15"/>
  <c r="EZ241" i="15"/>
  <c r="FA241" i="15"/>
  <c r="FB241" i="15"/>
  <c r="FC241" i="15"/>
  <c r="FD241" i="15"/>
  <c r="FE241" i="15"/>
  <c r="FF241" i="15"/>
  <c r="FG241" i="15"/>
  <c r="FH241" i="15"/>
  <c r="FI241" i="15"/>
  <c r="FJ241" i="15"/>
  <c r="FK241" i="15"/>
  <c r="FL241" i="15"/>
  <c r="B242" i="15"/>
  <c r="C242" i="15"/>
  <c r="D242" i="15"/>
  <c r="E242" i="15"/>
  <c r="F242" i="15"/>
  <c r="G242" i="15"/>
  <c r="H242" i="15"/>
  <c r="I242" i="15"/>
  <c r="J242" i="15"/>
  <c r="K242" i="15"/>
  <c r="L242" i="15"/>
  <c r="M242" i="15"/>
  <c r="N242" i="15"/>
  <c r="O242" i="15"/>
  <c r="P242" i="15"/>
  <c r="Q242" i="15"/>
  <c r="R242" i="15"/>
  <c r="S242" i="15"/>
  <c r="T242" i="15"/>
  <c r="U242" i="15"/>
  <c r="V242" i="15"/>
  <c r="W242" i="15"/>
  <c r="X242" i="15"/>
  <c r="Y242" i="15"/>
  <c r="Z242" i="15"/>
  <c r="AA242" i="15"/>
  <c r="AB242" i="15"/>
  <c r="AC242" i="15"/>
  <c r="AD242" i="15"/>
  <c r="AE242" i="15"/>
  <c r="AF242" i="15"/>
  <c r="AG242" i="15"/>
  <c r="AH242" i="15"/>
  <c r="AI242" i="15"/>
  <c r="AJ242" i="15"/>
  <c r="AK242" i="15"/>
  <c r="AL242" i="15"/>
  <c r="AM242" i="15"/>
  <c r="AN242" i="15"/>
  <c r="AO242" i="15"/>
  <c r="AP242" i="15"/>
  <c r="AQ242" i="15"/>
  <c r="AR242" i="15"/>
  <c r="AS242" i="15"/>
  <c r="AT242" i="15"/>
  <c r="AU242" i="15"/>
  <c r="AV242" i="15"/>
  <c r="AW242" i="15"/>
  <c r="AX242" i="15"/>
  <c r="AY242" i="15"/>
  <c r="AZ242" i="15"/>
  <c r="BA242" i="15"/>
  <c r="BB242" i="15"/>
  <c r="BC242" i="15"/>
  <c r="BD242" i="15"/>
  <c r="BE242" i="15"/>
  <c r="BF242" i="15"/>
  <c r="BG242" i="15"/>
  <c r="BH242" i="15"/>
  <c r="BI242" i="15"/>
  <c r="BJ242" i="15"/>
  <c r="BK242" i="15"/>
  <c r="BL242" i="15"/>
  <c r="BM242" i="15"/>
  <c r="BN242" i="15"/>
  <c r="BO242" i="15"/>
  <c r="BP242" i="15"/>
  <c r="BQ242" i="15"/>
  <c r="BR242" i="15"/>
  <c r="BS242" i="15"/>
  <c r="BT242" i="15"/>
  <c r="BU242" i="15"/>
  <c r="BV242" i="15"/>
  <c r="BW242" i="15"/>
  <c r="BX242" i="15"/>
  <c r="BY242" i="15"/>
  <c r="BZ242" i="15"/>
  <c r="CA242" i="15"/>
  <c r="CB242" i="15"/>
  <c r="CC242" i="15"/>
  <c r="CD242" i="15"/>
  <c r="CE242" i="15"/>
  <c r="CF242" i="15"/>
  <c r="CG242" i="15"/>
  <c r="CH242" i="15"/>
  <c r="CI242" i="15"/>
  <c r="CJ242" i="15"/>
  <c r="CK242" i="15"/>
  <c r="CL242" i="15"/>
  <c r="CM242" i="15"/>
  <c r="CN242" i="15"/>
  <c r="CO242" i="15"/>
  <c r="CP242" i="15"/>
  <c r="CQ242" i="15"/>
  <c r="CR242" i="15"/>
  <c r="CS242" i="15"/>
  <c r="CT242" i="15"/>
  <c r="CU242" i="15"/>
  <c r="CV242" i="15"/>
  <c r="CW242" i="15"/>
  <c r="CX242" i="15"/>
  <c r="CY242" i="15"/>
  <c r="CZ242" i="15"/>
  <c r="DA242" i="15"/>
  <c r="DB242" i="15"/>
  <c r="DC242" i="15"/>
  <c r="DD242" i="15"/>
  <c r="DE242" i="15"/>
  <c r="DF242" i="15"/>
  <c r="DG242" i="15"/>
  <c r="DH242" i="15"/>
  <c r="DI242" i="15"/>
  <c r="DJ242" i="15"/>
  <c r="DK242" i="15"/>
  <c r="DL242" i="15"/>
  <c r="DM242" i="15"/>
  <c r="DN242" i="15"/>
  <c r="DO242" i="15"/>
  <c r="DP242" i="15"/>
  <c r="DQ242" i="15"/>
  <c r="DR242" i="15"/>
  <c r="DS242" i="15"/>
  <c r="DT242" i="15"/>
  <c r="DU242" i="15"/>
  <c r="DV242" i="15"/>
  <c r="DW242" i="15"/>
  <c r="DX242" i="15"/>
  <c r="DY242" i="15"/>
  <c r="DZ242" i="15"/>
  <c r="EA242" i="15"/>
  <c r="EB242" i="15"/>
  <c r="EC242" i="15"/>
  <c r="ED242" i="15"/>
  <c r="EE242" i="15"/>
  <c r="EF242" i="15"/>
  <c r="EG242" i="15"/>
  <c r="EH242" i="15"/>
  <c r="EI242" i="15"/>
  <c r="EJ242" i="15"/>
  <c r="EK242" i="15"/>
  <c r="EL242" i="15"/>
  <c r="EM242" i="15"/>
  <c r="EN242" i="15"/>
  <c r="EO242" i="15"/>
  <c r="EP242" i="15"/>
  <c r="EQ242" i="15"/>
  <c r="ER242" i="15"/>
  <c r="ES242" i="15"/>
  <c r="ET242" i="15"/>
  <c r="EU242" i="15"/>
  <c r="EV242" i="15"/>
  <c r="EW242" i="15"/>
  <c r="EX242" i="15"/>
  <c r="EY242" i="15"/>
  <c r="EZ242" i="15"/>
  <c r="FA242" i="15"/>
  <c r="FB242" i="15"/>
  <c r="FC242" i="15"/>
  <c r="FD242" i="15"/>
  <c r="FE242" i="15"/>
  <c r="FF242" i="15"/>
  <c r="FG242" i="15"/>
  <c r="FH242" i="15"/>
  <c r="FI242" i="15"/>
  <c r="FJ242" i="15"/>
  <c r="FK242" i="15"/>
  <c r="FL242" i="15"/>
  <c r="B243" i="15"/>
  <c r="C243" i="15"/>
  <c r="D243" i="15"/>
  <c r="E243" i="15"/>
  <c r="F243" i="15"/>
  <c r="G243" i="15"/>
  <c r="H243" i="15"/>
  <c r="I243" i="15"/>
  <c r="J243" i="15"/>
  <c r="K243" i="15"/>
  <c r="L243" i="15"/>
  <c r="M243" i="15"/>
  <c r="N243" i="15"/>
  <c r="O243" i="15"/>
  <c r="P243" i="15"/>
  <c r="Q243" i="15"/>
  <c r="R243" i="15"/>
  <c r="S243" i="15"/>
  <c r="T243" i="15"/>
  <c r="U243" i="15"/>
  <c r="V243" i="15"/>
  <c r="W243" i="15"/>
  <c r="X243" i="15"/>
  <c r="Y243" i="15"/>
  <c r="Z243" i="15"/>
  <c r="AA243" i="15"/>
  <c r="AB243" i="15"/>
  <c r="AC243" i="15"/>
  <c r="AD243" i="15"/>
  <c r="AE243" i="15"/>
  <c r="AF243" i="15"/>
  <c r="AG243" i="15"/>
  <c r="AH243" i="15"/>
  <c r="AI243" i="15"/>
  <c r="AJ243" i="15"/>
  <c r="AK243" i="15"/>
  <c r="AL243" i="15"/>
  <c r="AM243" i="15"/>
  <c r="AN243" i="15"/>
  <c r="AO243" i="15"/>
  <c r="AP243" i="15"/>
  <c r="AQ243" i="15"/>
  <c r="AR243" i="15"/>
  <c r="AS243" i="15"/>
  <c r="AT243" i="15"/>
  <c r="AU243" i="15"/>
  <c r="AV243" i="15"/>
  <c r="AW243" i="15"/>
  <c r="AX243" i="15"/>
  <c r="AY243" i="15"/>
  <c r="AZ243" i="15"/>
  <c r="BA243" i="15"/>
  <c r="BB243" i="15"/>
  <c r="BC243" i="15"/>
  <c r="BD243" i="15"/>
  <c r="BE243" i="15"/>
  <c r="BF243" i="15"/>
  <c r="BG243" i="15"/>
  <c r="BH243" i="15"/>
  <c r="BI243" i="15"/>
  <c r="BJ243" i="15"/>
  <c r="BK243" i="15"/>
  <c r="BL243" i="15"/>
  <c r="BM243" i="15"/>
  <c r="BN243" i="15"/>
  <c r="BO243" i="15"/>
  <c r="BP243" i="15"/>
  <c r="BQ243" i="15"/>
  <c r="BR243" i="15"/>
  <c r="BS243" i="15"/>
  <c r="BT243" i="15"/>
  <c r="BU243" i="15"/>
  <c r="BV243" i="15"/>
  <c r="BW243" i="15"/>
  <c r="BX243" i="15"/>
  <c r="BY243" i="15"/>
  <c r="BZ243" i="15"/>
  <c r="CA243" i="15"/>
  <c r="CB243" i="15"/>
  <c r="CC243" i="15"/>
  <c r="CD243" i="15"/>
  <c r="CE243" i="15"/>
  <c r="CF243" i="15"/>
  <c r="CG243" i="15"/>
  <c r="CH243" i="15"/>
  <c r="CI243" i="15"/>
  <c r="CJ243" i="15"/>
  <c r="CK243" i="15"/>
  <c r="CL243" i="15"/>
  <c r="CM243" i="15"/>
  <c r="CN243" i="15"/>
  <c r="CO243" i="15"/>
  <c r="CP243" i="15"/>
  <c r="CQ243" i="15"/>
  <c r="CR243" i="15"/>
  <c r="CS243" i="15"/>
  <c r="CT243" i="15"/>
  <c r="CU243" i="15"/>
  <c r="CV243" i="15"/>
  <c r="CW243" i="15"/>
  <c r="CX243" i="15"/>
  <c r="CY243" i="15"/>
  <c r="CZ243" i="15"/>
  <c r="DA243" i="15"/>
  <c r="DB243" i="15"/>
  <c r="DC243" i="15"/>
  <c r="DD243" i="15"/>
  <c r="DE243" i="15"/>
  <c r="DF243" i="15"/>
  <c r="DG243" i="15"/>
  <c r="DH243" i="15"/>
  <c r="DI243" i="15"/>
  <c r="DJ243" i="15"/>
  <c r="DK243" i="15"/>
  <c r="DL243" i="15"/>
  <c r="DM243" i="15"/>
  <c r="DN243" i="15"/>
  <c r="DO243" i="15"/>
  <c r="DP243" i="15"/>
  <c r="DQ243" i="15"/>
  <c r="DR243" i="15"/>
  <c r="DS243" i="15"/>
  <c r="DT243" i="15"/>
  <c r="DU243" i="15"/>
  <c r="DV243" i="15"/>
  <c r="DW243" i="15"/>
  <c r="DX243" i="15"/>
  <c r="DY243" i="15"/>
  <c r="DZ243" i="15"/>
  <c r="EA243" i="15"/>
  <c r="EB243" i="15"/>
  <c r="EC243" i="15"/>
  <c r="ED243" i="15"/>
  <c r="EE243" i="15"/>
  <c r="EF243" i="15"/>
  <c r="EG243" i="15"/>
  <c r="EH243" i="15"/>
  <c r="EI243" i="15"/>
  <c r="EJ243" i="15"/>
  <c r="EK243" i="15"/>
  <c r="EL243" i="15"/>
  <c r="EM243" i="15"/>
  <c r="EN243" i="15"/>
  <c r="EO243" i="15"/>
  <c r="EP243" i="15"/>
  <c r="EQ243" i="15"/>
  <c r="ER243" i="15"/>
  <c r="ES243" i="15"/>
  <c r="ET243" i="15"/>
  <c r="EU243" i="15"/>
  <c r="EV243" i="15"/>
  <c r="EW243" i="15"/>
  <c r="EX243" i="15"/>
  <c r="EY243" i="15"/>
  <c r="EZ243" i="15"/>
  <c r="FA243" i="15"/>
  <c r="FB243" i="15"/>
  <c r="FC243" i="15"/>
  <c r="FD243" i="15"/>
  <c r="FE243" i="15"/>
  <c r="FF243" i="15"/>
  <c r="FG243" i="15"/>
  <c r="FH243" i="15"/>
  <c r="FI243" i="15"/>
  <c r="FJ243" i="15"/>
  <c r="FK243" i="15"/>
  <c r="FL243" i="15"/>
  <c r="B244" i="15"/>
  <c r="C244" i="15"/>
  <c r="D244" i="15"/>
  <c r="E244" i="15"/>
  <c r="F244" i="15"/>
  <c r="G244" i="15"/>
  <c r="H244" i="15"/>
  <c r="I244" i="15"/>
  <c r="J244" i="15"/>
  <c r="K244" i="15"/>
  <c r="L244" i="15"/>
  <c r="M244" i="15"/>
  <c r="N244" i="15"/>
  <c r="O244" i="15"/>
  <c r="P244" i="15"/>
  <c r="Q244" i="15"/>
  <c r="R244" i="15"/>
  <c r="S244" i="15"/>
  <c r="T244" i="15"/>
  <c r="U244" i="15"/>
  <c r="V244" i="15"/>
  <c r="W244" i="15"/>
  <c r="X244" i="15"/>
  <c r="Y244" i="15"/>
  <c r="Z244" i="15"/>
  <c r="AA244" i="15"/>
  <c r="AB244" i="15"/>
  <c r="AC244" i="15"/>
  <c r="AD244" i="15"/>
  <c r="AE244" i="15"/>
  <c r="AF244" i="15"/>
  <c r="AG244" i="15"/>
  <c r="AH244" i="15"/>
  <c r="AI244" i="15"/>
  <c r="AJ244" i="15"/>
  <c r="AK244" i="15"/>
  <c r="AL244" i="15"/>
  <c r="AM244" i="15"/>
  <c r="AN244" i="15"/>
  <c r="AO244" i="15"/>
  <c r="AP244" i="15"/>
  <c r="AQ244" i="15"/>
  <c r="AR244" i="15"/>
  <c r="AS244" i="15"/>
  <c r="AT244" i="15"/>
  <c r="AU244" i="15"/>
  <c r="AV244" i="15"/>
  <c r="AW244" i="15"/>
  <c r="AX244" i="15"/>
  <c r="AY244" i="15"/>
  <c r="AZ244" i="15"/>
  <c r="BA244" i="15"/>
  <c r="BB244" i="15"/>
  <c r="BC244" i="15"/>
  <c r="BD244" i="15"/>
  <c r="BE244" i="15"/>
  <c r="BF244" i="15"/>
  <c r="BG244" i="15"/>
  <c r="BH244" i="15"/>
  <c r="BI244" i="15"/>
  <c r="BJ244" i="15"/>
  <c r="BK244" i="15"/>
  <c r="BL244" i="15"/>
  <c r="BM244" i="15"/>
  <c r="BN244" i="15"/>
  <c r="BO244" i="15"/>
  <c r="BP244" i="15"/>
  <c r="BQ244" i="15"/>
  <c r="BR244" i="15"/>
  <c r="BS244" i="15"/>
  <c r="BT244" i="15"/>
  <c r="BU244" i="15"/>
  <c r="BV244" i="15"/>
  <c r="BW244" i="15"/>
  <c r="BX244" i="15"/>
  <c r="BY244" i="15"/>
  <c r="BZ244" i="15"/>
  <c r="CA244" i="15"/>
  <c r="CB244" i="15"/>
  <c r="CC244" i="15"/>
  <c r="CD244" i="15"/>
  <c r="CE244" i="15"/>
  <c r="CF244" i="15"/>
  <c r="CG244" i="15"/>
  <c r="CH244" i="15"/>
  <c r="CI244" i="15"/>
  <c r="CJ244" i="15"/>
  <c r="CK244" i="15"/>
  <c r="CL244" i="15"/>
  <c r="CM244" i="15"/>
  <c r="CN244" i="15"/>
  <c r="CO244" i="15"/>
  <c r="CP244" i="15"/>
  <c r="CQ244" i="15"/>
  <c r="CR244" i="15"/>
  <c r="CS244" i="15"/>
  <c r="CT244" i="15"/>
  <c r="CU244" i="15"/>
  <c r="CV244" i="15"/>
  <c r="CW244" i="15"/>
  <c r="CX244" i="15"/>
  <c r="CY244" i="15"/>
  <c r="CZ244" i="15"/>
  <c r="DA244" i="15"/>
  <c r="DB244" i="15"/>
  <c r="DC244" i="15"/>
  <c r="DD244" i="15"/>
  <c r="DE244" i="15"/>
  <c r="DF244" i="15"/>
  <c r="DG244" i="15"/>
  <c r="DH244" i="15"/>
  <c r="DI244" i="15"/>
  <c r="DJ244" i="15"/>
  <c r="DK244" i="15"/>
  <c r="DL244" i="15"/>
  <c r="DM244" i="15"/>
  <c r="DN244" i="15"/>
  <c r="DO244" i="15"/>
  <c r="DP244" i="15"/>
  <c r="DQ244" i="15"/>
  <c r="DR244" i="15"/>
  <c r="DS244" i="15"/>
  <c r="DT244" i="15"/>
  <c r="DU244" i="15"/>
  <c r="DV244" i="15"/>
  <c r="DW244" i="15"/>
  <c r="DX244" i="15"/>
  <c r="DY244" i="15"/>
  <c r="DZ244" i="15"/>
  <c r="EA244" i="15"/>
  <c r="EB244" i="15"/>
  <c r="EC244" i="15"/>
  <c r="ED244" i="15"/>
  <c r="EE244" i="15"/>
  <c r="EF244" i="15"/>
  <c r="EG244" i="15"/>
  <c r="EH244" i="15"/>
  <c r="EI244" i="15"/>
  <c r="EJ244" i="15"/>
  <c r="EK244" i="15"/>
  <c r="EL244" i="15"/>
  <c r="EM244" i="15"/>
  <c r="EN244" i="15"/>
  <c r="EO244" i="15"/>
  <c r="EP244" i="15"/>
  <c r="EQ244" i="15"/>
  <c r="ER244" i="15"/>
  <c r="ES244" i="15"/>
  <c r="ET244" i="15"/>
  <c r="EU244" i="15"/>
  <c r="EV244" i="15"/>
  <c r="EW244" i="15"/>
  <c r="EX244" i="15"/>
  <c r="EY244" i="15"/>
  <c r="EZ244" i="15"/>
  <c r="FA244" i="15"/>
  <c r="FB244" i="15"/>
  <c r="FC244" i="15"/>
  <c r="FD244" i="15"/>
  <c r="FE244" i="15"/>
  <c r="FF244" i="15"/>
  <c r="FG244" i="15"/>
  <c r="FH244" i="15"/>
  <c r="FI244" i="15"/>
  <c r="FJ244" i="15"/>
  <c r="FK244" i="15"/>
  <c r="FL244" i="15"/>
  <c r="B245" i="15"/>
  <c r="C245" i="15"/>
  <c r="D245" i="15"/>
  <c r="E245" i="15"/>
  <c r="F245" i="15"/>
  <c r="G245" i="15"/>
  <c r="H245" i="15"/>
  <c r="I245" i="15"/>
  <c r="J245" i="15"/>
  <c r="K245" i="15"/>
  <c r="L245" i="15"/>
  <c r="M245" i="15"/>
  <c r="N245" i="15"/>
  <c r="O245" i="15"/>
  <c r="P245" i="15"/>
  <c r="Q245" i="15"/>
  <c r="R245" i="15"/>
  <c r="S245" i="15"/>
  <c r="T245" i="15"/>
  <c r="U245" i="15"/>
  <c r="V245" i="15"/>
  <c r="W245" i="15"/>
  <c r="X245" i="15"/>
  <c r="Y245" i="15"/>
  <c r="Z245" i="15"/>
  <c r="AA245" i="15"/>
  <c r="AB245" i="15"/>
  <c r="AC245" i="15"/>
  <c r="AD245" i="15"/>
  <c r="AE245" i="15"/>
  <c r="AF245" i="15"/>
  <c r="AG245" i="15"/>
  <c r="AH245" i="15"/>
  <c r="AI245" i="15"/>
  <c r="AJ245" i="15"/>
  <c r="AK245" i="15"/>
  <c r="AL245" i="15"/>
  <c r="AM245" i="15"/>
  <c r="AN245" i="15"/>
  <c r="AO245" i="15"/>
  <c r="AP245" i="15"/>
  <c r="AQ245" i="15"/>
  <c r="AR245" i="15"/>
  <c r="AS245" i="15"/>
  <c r="AT245" i="15"/>
  <c r="AU245" i="15"/>
  <c r="AV245" i="15"/>
  <c r="AW245" i="15"/>
  <c r="AX245" i="15"/>
  <c r="AY245" i="15"/>
  <c r="AZ245" i="15"/>
  <c r="BA245" i="15"/>
  <c r="BB245" i="15"/>
  <c r="BC245" i="15"/>
  <c r="BD245" i="15"/>
  <c r="BE245" i="15"/>
  <c r="BF245" i="15"/>
  <c r="BG245" i="15"/>
  <c r="BH245" i="15"/>
  <c r="BI245" i="15"/>
  <c r="BJ245" i="15"/>
  <c r="BK245" i="15"/>
  <c r="BL245" i="15"/>
  <c r="BM245" i="15"/>
  <c r="BN245" i="15"/>
  <c r="BO245" i="15"/>
  <c r="BP245" i="15"/>
  <c r="BQ245" i="15"/>
  <c r="BR245" i="15"/>
  <c r="BS245" i="15"/>
  <c r="BT245" i="15"/>
  <c r="BU245" i="15"/>
  <c r="BV245" i="15"/>
  <c r="BW245" i="15"/>
  <c r="BX245" i="15"/>
  <c r="BY245" i="15"/>
  <c r="BZ245" i="15"/>
  <c r="CA245" i="15"/>
  <c r="CB245" i="15"/>
  <c r="CC245" i="15"/>
  <c r="CD245" i="15"/>
  <c r="CE245" i="15"/>
  <c r="CF245" i="15"/>
  <c r="CG245" i="15"/>
  <c r="CH245" i="15"/>
  <c r="CI245" i="15"/>
  <c r="CJ245" i="15"/>
  <c r="CK245" i="15"/>
  <c r="CL245" i="15"/>
  <c r="CM245" i="15"/>
  <c r="CN245" i="15"/>
  <c r="CO245" i="15"/>
  <c r="CP245" i="15"/>
  <c r="CQ245" i="15"/>
  <c r="CR245" i="15"/>
  <c r="CS245" i="15"/>
  <c r="CT245" i="15"/>
  <c r="CU245" i="15"/>
  <c r="CV245" i="15"/>
  <c r="CW245" i="15"/>
  <c r="CX245" i="15"/>
  <c r="CY245" i="15"/>
  <c r="CZ245" i="15"/>
  <c r="DA245" i="15"/>
  <c r="DB245" i="15"/>
  <c r="DC245" i="15"/>
  <c r="DD245" i="15"/>
  <c r="DE245" i="15"/>
  <c r="DF245" i="15"/>
  <c r="DG245" i="15"/>
  <c r="DH245" i="15"/>
  <c r="DI245" i="15"/>
  <c r="DJ245" i="15"/>
  <c r="DK245" i="15"/>
  <c r="DL245" i="15"/>
  <c r="DM245" i="15"/>
  <c r="DN245" i="15"/>
  <c r="DO245" i="15"/>
  <c r="DP245" i="15"/>
  <c r="DQ245" i="15"/>
  <c r="DR245" i="15"/>
  <c r="DS245" i="15"/>
  <c r="DT245" i="15"/>
  <c r="DU245" i="15"/>
  <c r="DV245" i="15"/>
  <c r="DW245" i="15"/>
  <c r="DX245" i="15"/>
  <c r="DY245" i="15"/>
  <c r="DZ245" i="15"/>
  <c r="EA245" i="15"/>
  <c r="EB245" i="15"/>
  <c r="EC245" i="15"/>
  <c r="ED245" i="15"/>
  <c r="EE245" i="15"/>
  <c r="EF245" i="15"/>
  <c r="EG245" i="15"/>
  <c r="EH245" i="15"/>
  <c r="EI245" i="15"/>
  <c r="EJ245" i="15"/>
  <c r="EK245" i="15"/>
  <c r="EL245" i="15"/>
  <c r="EM245" i="15"/>
  <c r="EN245" i="15"/>
  <c r="EO245" i="15"/>
  <c r="EP245" i="15"/>
  <c r="EQ245" i="15"/>
  <c r="ER245" i="15"/>
  <c r="ES245" i="15"/>
  <c r="ET245" i="15"/>
  <c r="EU245" i="15"/>
  <c r="EV245" i="15"/>
  <c r="EW245" i="15"/>
  <c r="EX245" i="15"/>
  <c r="EY245" i="15"/>
  <c r="EZ245" i="15"/>
  <c r="FA245" i="15"/>
  <c r="FB245" i="15"/>
  <c r="FC245" i="15"/>
  <c r="FD245" i="15"/>
  <c r="FE245" i="15"/>
  <c r="FF245" i="15"/>
  <c r="FG245" i="15"/>
  <c r="FH245" i="15"/>
  <c r="FI245" i="15"/>
  <c r="FJ245" i="15"/>
  <c r="FK245" i="15"/>
  <c r="FL245" i="15"/>
  <c r="B246" i="15"/>
  <c r="C246" i="15"/>
  <c r="D246" i="15"/>
  <c r="E246" i="15"/>
  <c r="F246" i="15"/>
  <c r="G246" i="15"/>
  <c r="H246" i="15"/>
  <c r="I246" i="15"/>
  <c r="J246" i="15"/>
  <c r="K246" i="15"/>
  <c r="L246" i="15"/>
  <c r="M246" i="15"/>
  <c r="N246" i="15"/>
  <c r="O246" i="15"/>
  <c r="P246" i="15"/>
  <c r="Q246" i="15"/>
  <c r="R246" i="15"/>
  <c r="S246" i="15"/>
  <c r="T246" i="15"/>
  <c r="U246" i="15"/>
  <c r="V246" i="15"/>
  <c r="W246" i="15"/>
  <c r="X246" i="15"/>
  <c r="Y246" i="15"/>
  <c r="Z246" i="15"/>
  <c r="AA246" i="15"/>
  <c r="AB246" i="15"/>
  <c r="AC246" i="15"/>
  <c r="AD246" i="15"/>
  <c r="AE246" i="15"/>
  <c r="AF246" i="15"/>
  <c r="AG246" i="15"/>
  <c r="AH246" i="15"/>
  <c r="AI246" i="15"/>
  <c r="AJ246" i="15"/>
  <c r="AK246" i="15"/>
  <c r="AL246" i="15"/>
  <c r="AM246" i="15"/>
  <c r="AN246" i="15"/>
  <c r="AO246" i="15"/>
  <c r="AP246" i="15"/>
  <c r="AQ246" i="15"/>
  <c r="AR246" i="15"/>
  <c r="AS246" i="15"/>
  <c r="AT246" i="15"/>
  <c r="AU246" i="15"/>
  <c r="AV246" i="15"/>
  <c r="AW246" i="15"/>
  <c r="AX246" i="15"/>
  <c r="AY246" i="15"/>
  <c r="AZ246" i="15"/>
  <c r="BA246" i="15"/>
  <c r="BB246" i="15"/>
  <c r="BC246" i="15"/>
  <c r="BD246" i="15"/>
  <c r="BE246" i="15"/>
  <c r="BF246" i="15"/>
  <c r="BG246" i="15"/>
  <c r="BH246" i="15"/>
  <c r="BI246" i="15"/>
  <c r="BJ246" i="15"/>
  <c r="BK246" i="15"/>
  <c r="BL246" i="15"/>
  <c r="BM246" i="15"/>
  <c r="BN246" i="15"/>
  <c r="BO246" i="15"/>
  <c r="BP246" i="15"/>
  <c r="BQ246" i="15"/>
  <c r="BR246" i="15"/>
  <c r="BS246" i="15"/>
  <c r="BT246" i="15"/>
  <c r="BU246" i="15"/>
  <c r="BV246" i="15"/>
  <c r="BW246" i="15"/>
  <c r="BX246" i="15"/>
  <c r="BY246" i="15"/>
  <c r="BZ246" i="15"/>
  <c r="CA246" i="15"/>
  <c r="CB246" i="15"/>
  <c r="CC246" i="15"/>
  <c r="CD246" i="15"/>
  <c r="CE246" i="15"/>
  <c r="CF246" i="15"/>
  <c r="CG246" i="15"/>
  <c r="CH246" i="15"/>
  <c r="CI246" i="15"/>
  <c r="CJ246" i="15"/>
  <c r="CK246" i="15"/>
  <c r="CL246" i="15"/>
  <c r="CM246" i="15"/>
  <c r="CN246" i="15"/>
  <c r="CO246" i="15"/>
  <c r="CP246" i="15"/>
  <c r="CQ246" i="15"/>
  <c r="CR246" i="15"/>
  <c r="CS246" i="15"/>
  <c r="CT246" i="15"/>
  <c r="CU246" i="15"/>
  <c r="CV246" i="15"/>
  <c r="CW246" i="15"/>
  <c r="CX246" i="15"/>
  <c r="CY246" i="15"/>
  <c r="CZ246" i="15"/>
  <c r="DA246" i="15"/>
  <c r="DB246" i="15"/>
  <c r="DC246" i="15"/>
  <c r="DD246" i="15"/>
  <c r="DE246" i="15"/>
  <c r="DF246" i="15"/>
  <c r="DG246" i="15"/>
  <c r="DH246" i="15"/>
  <c r="DI246" i="15"/>
  <c r="DJ246" i="15"/>
  <c r="DK246" i="15"/>
  <c r="DL246" i="15"/>
  <c r="DM246" i="15"/>
  <c r="DN246" i="15"/>
  <c r="DO246" i="15"/>
  <c r="DP246" i="15"/>
  <c r="DQ246" i="15"/>
  <c r="DR246" i="15"/>
  <c r="DS246" i="15"/>
  <c r="DT246" i="15"/>
  <c r="DU246" i="15"/>
  <c r="DV246" i="15"/>
  <c r="DW246" i="15"/>
  <c r="DX246" i="15"/>
  <c r="DY246" i="15"/>
  <c r="DZ246" i="15"/>
  <c r="EA246" i="15"/>
  <c r="EB246" i="15"/>
  <c r="EC246" i="15"/>
  <c r="ED246" i="15"/>
  <c r="EE246" i="15"/>
  <c r="EF246" i="15"/>
  <c r="EG246" i="15"/>
  <c r="EH246" i="15"/>
  <c r="EI246" i="15"/>
  <c r="EJ246" i="15"/>
  <c r="EK246" i="15"/>
  <c r="EL246" i="15"/>
  <c r="EM246" i="15"/>
  <c r="EN246" i="15"/>
  <c r="EO246" i="15"/>
  <c r="EP246" i="15"/>
  <c r="EQ246" i="15"/>
  <c r="ER246" i="15"/>
  <c r="ES246" i="15"/>
  <c r="ET246" i="15"/>
  <c r="EU246" i="15"/>
  <c r="EV246" i="15"/>
  <c r="EW246" i="15"/>
  <c r="EX246" i="15"/>
  <c r="EY246" i="15"/>
  <c r="EZ246" i="15"/>
  <c r="FA246" i="15"/>
  <c r="FB246" i="15"/>
  <c r="FC246" i="15"/>
  <c r="FD246" i="15"/>
  <c r="FE246" i="15"/>
  <c r="FF246" i="15"/>
  <c r="FG246" i="15"/>
  <c r="FH246" i="15"/>
  <c r="FI246" i="15"/>
  <c r="FJ246" i="15"/>
  <c r="FK246" i="15"/>
  <c r="FL246" i="15"/>
  <c r="B247" i="15"/>
  <c r="C247" i="15"/>
  <c r="D247" i="15"/>
  <c r="E247" i="15"/>
  <c r="F247" i="15"/>
  <c r="G247" i="15"/>
  <c r="H247" i="15"/>
  <c r="I247" i="15"/>
  <c r="J247" i="15"/>
  <c r="K247" i="15"/>
  <c r="L247" i="15"/>
  <c r="M247" i="15"/>
  <c r="N247" i="15"/>
  <c r="O247" i="15"/>
  <c r="P247" i="15"/>
  <c r="Q247" i="15"/>
  <c r="R247" i="15"/>
  <c r="S247" i="15"/>
  <c r="T247" i="15"/>
  <c r="U247" i="15"/>
  <c r="V247" i="15"/>
  <c r="W247" i="15"/>
  <c r="X247" i="15"/>
  <c r="Y247" i="15"/>
  <c r="Z247" i="15"/>
  <c r="AA247" i="15"/>
  <c r="AB247" i="15"/>
  <c r="AC247" i="15"/>
  <c r="AD247" i="15"/>
  <c r="AE247" i="15"/>
  <c r="AF247" i="15"/>
  <c r="AG247" i="15"/>
  <c r="AH247" i="15"/>
  <c r="AI247" i="15"/>
  <c r="AJ247" i="15"/>
  <c r="AK247" i="15"/>
  <c r="AL247" i="15"/>
  <c r="AM247" i="15"/>
  <c r="AN247" i="15"/>
  <c r="AO247" i="15"/>
  <c r="AP247" i="15"/>
  <c r="AQ247" i="15"/>
  <c r="AR247" i="15"/>
  <c r="AS247" i="15"/>
  <c r="AT247" i="15"/>
  <c r="AU247" i="15"/>
  <c r="AV247" i="15"/>
  <c r="AW247" i="15"/>
  <c r="AX247" i="15"/>
  <c r="AY247" i="15"/>
  <c r="AZ247" i="15"/>
  <c r="BA247" i="15"/>
  <c r="BB247" i="15"/>
  <c r="BC247" i="15"/>
  <c r="BD247" i="15"/>
  <c r="BE247" i="15"/>
  <c r="BF247" i="15"/>
  <c r="BG247" i="15"/>
  <c r="BH247" i="15"/>
  <c r="BI247" i="15"/>
  <c r="BJ247" i="15"/>
  <c r="BK247" i="15"/>
  <c r="BL247" i="15"/>
  <c r="BM247" i="15"/>
  <c r="BN247" i="15"/>
  <c r="BO247" i="15"/>
  <c r="BP247" i="15"/>
  <c r="BQ247" i="15"/>
  <c r="BR247" i="15"/>
  <c r="BS247" i="15"/>
  <c r="BT247" i="15"/>
  <c r="BU247" i="15"/>
  <c r="BV247" i="15"/>
  <c r="BW247" i="15"/>
  <c r="BX247" i="15"/>
  <c r="BY247" i="15"/>
  <c r="BZ247" i="15"/>
  <c r="CA247" i="15"/>
  <c r="CB247" i="15"/>
  <c r="CC247" i="15"/>
  <c r="CD247" i="15"/>
  <c r="CE247" i="15"/>
  <c r="CF247" i="15"/>
  <c r="CG247" i="15"/>
  <c r="CH247" i="15"/>
  <c r="CI247" i="15"/>
  <c r="CJ247" i="15"/>
  <c r="CK247" i="15"/>
  <c r="CL247" i="15"/>
  <c r="CM247" i="15"/>
  <c r="CN247" i="15"/>
  <c r="CO247" i="15"/>
  <c r="CP247" i="15"/>
  <c r="CQ247" i="15"/>
  <c r="CR247" i="15"/>
  <c r="CS247" i="15"/>
  <c r="CT247" i="15"/>
  <c r="CU247" i="15"/>
  <c r="CV247" i="15"/>
  <c r="CW247" i="15"/>
  <c r="CX247" i="15"/>
  <c r="CY247" i="15"/>
  <c r="CZ247" i="15"/>
  <c r="DA247" i="15"/>
  <c r="DB247" i="15"/>
  <c r="DC247" i="15"/>
  <c r="DD247" i="15"/>
  <c r="DE247" i="15"/>
  <c r="DF247" i="15"/>
  <c r="DG247" i="15"/>
  <c r="DH247" i="15"/>
  <c r="DI247" i="15"/>
  <c r="DJ247" i="15"/>
  <c r="DK247" i="15"/>
  <c r="DL247" i="15"/>
  <c r="DM247" i="15"/>
  <c r="DN247" i="15"/>
  <c r="DO247" i="15"/>
  <c r="DP247" i="15"/>
  <c r="DQ247" i="15"/>
  <c r="DR247" i="15"/>
  <c r="DS247" i="15"/>
  <c r="DT247" i="15"/>
  <c r="DU247" i="15"/>
  <c r="DV247" i="15"/>
  <c r="DW247" i="15"/>
  <c r="DX247" i="15"/>
  <c r="DY247" i="15"/>
  <c r="DZ247" i="15"/>
  <c r="EA247" i="15"/>
  <c r="EB247" i="15"/>
  <c r="EC247" i="15"/>
  <c r="ED247" i="15"/>
  <c r="EE247" i="15"/>
  <c r="EF247" i="15"/>
  <c r="EG247" i="15"/>
  <c r="EH247" i="15"/>
  <c r="EI247" i="15"/>
  <c r="EJ247" i="15"/>
  <c r="EK247" i="15"/>
  <c r="EL247" i="15"/>
  <c r="EM247" i="15"/>
  <c r="EN247" i="15"/>
  <c r="EO247" i="15"/>
  <c r="EP247" i="15"/>
  <c r="EQ247" i="15"/>
  <c r="ER247" i="15"/>
  <c r="ES247" i="15"/>
  <c r="ET247" i="15"/>
  <c r="EU247" i="15"/>
  <c r="EV247" i="15"/>
  <c r="EW247" i="15"/>
  <c r="EX247" i="15"/>
  <c r="EY247" i="15"/>
  <c r="EZ247" i="15"/>
  <c r="FA247" i="15"/>
  <c r="FB247" i="15"/>
  <c r="FC247" i="15"/>
  <c r="FD247" i="15"/>
  <c r="FE247" i="15"/>
  <c r="FF247" i="15"/>
  <c r="FG247" i="15"/>
  <c r="FH247" i="15"/>
  <c r="FI247" i="15"/>
  <c r="FJ247" i="15"/>
  <c r="FK247" i="15"/>
  <c r="FL247" i="15"/>
  <c r="B248" i="15"/>
  <c r="C248" i="15"/>
  <c r="D248" i="15"/>
  <c r="E248" i="15"/>
  <c r="F248" i="15"/>
  <c r="G248" i="15"/>
  <c r="H248" i="15"/>
  <c r="I248" i="15"/>
  <c r="J248" i="15"/>
  <c r="K248" i="15"/>
  <c r="L248" i="15"/>
  <c r="M248" i="15"/>
  <c r="N248" i="15"/>
  <c r="O248" i="15"/>
  <c r="P248" i="15"/>
  <c r="Q248" i="15"/>
  <c r="R248" i="15"/>
  <c r="S248" i="15"/>
  <c r="T248" i="15"/>
  <c r="U248" i="15"/>
  <c r="V248" i="15"/>
  <c r="W248" i="15"/>
  <c r="X248" i="15"/>
  <c r="Y248" i="15"/>
  <c r="Z248" i="15"/>
  <c r="AA248" i="15"/>
  <c r="AB248" i="15"/>
  <c r="AC248" i="15"/>
  <c r="AD248" i="15"/>
  <c r="AE248" i="15"/>
  <c r="AF248" i="15"/>
  <c r="AG248" i="15"/>
  <c r="AH248" i="15"/>
  <c r="AI248" i="15"/>
  <c r="AJ248" i="15"/>
  <c r="AK248" i="15"/>
  <c r="AL248" i="15"/>
  <c r="AM248" i="15"/>
  <c r="AN248" i="15"/>
  <c r="AO248" i="15"/>
  <c r="AP248" i="15"/>
  <c r="AQ248" i="15"/>
  <c r="AR248" i="15"/>
  <c r="AS248" i="15"/>
  <c r="AT248" i="15"/>
  <c r="AU248" i="15"/>
  <c r="AV248" i="15"/>
  <c r="AW248" i="15"/>
  <c r="AX248" i="15"/>
  <c r="AY248" i="15"/>
  <c r="AZ248" i="15"/>
  <c r="BA248" i="15"/>
  <c r="BB248" i="15"/>
  <c r="BC248" i="15"/>
  <c r="BD248" i="15"/>
  <c r="BE248" i="15"/>
  <c r="BF248" i="15"/>
  <c r="BG248" i="15"/>
  <c r="BH248" i="15"/>
  <c r="BI248" i="15"/>
  <c r="BJ248" i="15"/>
  <c r="BK248" i="15"/>
  <c r="BL248" i="15"/>
  <c r="BM248" i="15"/>
  <c r="BN248" i="15"/>
  <c r="BO248" i="15"/>
  <c r="BP248" i="15"/>
  <c r="BQ248" i="15"/>
  <c r="BR248" i="15"/>
  <c r="BS248" i="15"/>
  <c r="BT248" i="15"/>
  <c r="BU248" i="15"/>
  <c r="BV248" i="15"/>
  <c r="BW248" i="15"/>
  <c r="BX248" i="15"/>
  <c r="BY248" i="15"/>
  <c r="BZ248" i="15"/>
  <c r="CA248" i="15"/>
  <c r="CB248" i="15"/>
  <c r="CC248" i="15"/>
  <c r="CD248" i="15"/>
  <c r="CE248" i="15"/>
  <c r="CF248" i="15"/>
  <c r="CG248" i="15"/>
  <c r="CH248" i="15"/>
  <c r="CI248" i="15"/>
  <c r="CJ248" i="15"/>
  <c r="CK248" i="15"/>
  <c r="CL248" i="15"/>
  <c r="CM248" i="15"/>
  <c r="CN248" i="15"/>
  <c r="CO248" i="15"/>
  <c r="CP248" i="15"/>
  <c r="CQ248" i="15"/>
  <c r="CR248" i="15"/>
  <c r="CS248" i="15"/>
  <c r="CT248" i="15"/>
  <c r="CU248" i="15"/>
  <c r="CV248" i="15"/>
  <c r="CW248" i="15"/>
  <c r="CX248" i="15"/>
  <c r="CY248" i="15"/>
  <c r="CZ248" i="15"/>
  <c r="DA248" i="15"/>
  <c r="DB248" i="15"/>
  <c r="DC248" i="15"/>
  <c r="DD248" i="15"/>
  <c r="DE248" i="15"/>
  <c r="DF248" i="15"/>
  <c r="DG248" i="15"/>
  <c r="DH248" i="15"/>
  <c r="DI248" i="15"/>
  <c r="DJ248" i="15"/>
  <c r="DK248" i="15"/>
  <c r="DL248" i="15"/>
  <c r="DM248" i="15"/>
  <c r="DN248" i="15"/>
  <c r="DO248" i="15"/>
  <c r="DP248" i="15"/>
  <c r="DQ248" i="15"/>
  <c r="DR248" i="15"/>
  <c r="DS248" i="15"/>
  <c r="DT248" i="15"/>
  <c r="DU248" i="15"/>
  <c r="DV248" i="15"/>
  <c r="DW248" i="15"/>
  <c r="DX248" i="15"/>
  <c r="DY248" i="15"/>
  <c r="DZ248" i="15"/>
  <c r="EA248" i="15"/>
  <c r="EB248" i="15"/>
  <c r="EC248" i="15"/>
  <c r="ED248" i="15"/>
  <c r="EE248" i="15"/>
  <c r="EF248" i="15"/>
  <c r="EG248" i="15"/>
  <c r="EH248" i="15"/>
  <c r="EI248" i="15"/>
  <c r="EJ248" i="15"/>
  <c r="EK248" i="15"/>
  <c r="EL248" i="15"/>
  <c r="EM248" i="15"/>
  <c r="EN248" i="15"/>
  <c r="EO248" i="15"/>
  <c r="EP248" i="15"/>
  <c r="EQ248" i="15"/>
  <c r="ER248" i="15"/>
  <c r="ES248" i="15"/>
  <c r="ET248" i="15"/>
  <c r="EU248" i="15"/>
  <c r="EV248" i="15"/>
  <c r="EW248" i="15"/>
  <c r="EX248" i="15"/>
  <c r="EY248" i="15"/>
  <c r="EZ248" i="15"/>
  <c r="FA248" i="15"/>
  <c r="FB248" i="15"/>
  <c r="FC248" i="15"/>
  <c r="FD248" i="15"/>
  <c r="FE248" i="15"/>
  <c r="FF248" i="15"/>
  <c r="FG248" i="15"/>
  <c r="FH248" i="15"/>
  <c r="FI248" i="15"/>
  <c r="FJ248" i="15"/>
  <c r="FK248" i="15"/>
  <c r="FL248" i="15"/>
  <c r="B249" i="15"/>
  <c r="C249" i="15"/>
  <c r="D249" i="15"/>
  <c r="E249" i="15"/>
  <c r="F249" i="15"/>
  <c r="G249" i="15"/>
  <c r="H249" i="15"/>
  <c r="I249" i="15"/>
  <c r="J249" i="15"/>
  <c r="K249" i="15"/>
  <c r="L249" i="15"/>
  <c r="M249" i="15"/>
  <c r="N249" i="15"/>
  <c r="O249" i="15"/>
  <c r="P249" i="15"/>
  <c r="Q249" i="15"/>
  <c r="R249" i="15"/>
  <c r="S249" i="15"/>
  <c r="T249" i="15"/>
  <c r="U249" i="15"/>
  <c r="V249" i="15"/>
  <c r="W249" i="15"/>
  <c r="X249" i="15"/>
  <c r="Y249" i="15"/>
  <c r="Z249" i="15"/>
  <c r="AA249" i="15"/>
  <c r="AB249" i="15"/>
  <c r="AC249" i="15"/>
  <c r="AD249" i="15"/>
  <c r="AE249" i="15"/>
  <c r="AF249" i="15"/>
  <c r="AG249" i="15"/>
  <c r="AH249" i="15"/>
  <c r="AI249" i="15"/>
  <c r="AJ249" i="15"/>
  <c r="AK249" i="15"/>
  <c r="AL249" i="15"/>
  <c r="AM249" i="15"/>
  <c r="AN249" i="15"/>
  <c r="AO249" i="15"/>
  <c r="AP249" i="15"/>
  <c r="AQ249" i="15"/>
  <c r="AR249" i="15"/>
  <c r="AS249" i="15"/>
  <c r="AT249" i="15"/>
  <c r="AU249" i="15"/>
  <c r="AV249" i="15"/>
  <c r="AW249" i="15"/>
  <c r="AX249" i="15"/>
  <c r="AY249" i="15"/>
  <c r="AZ249" i="15"/>
  <c r="BA249" i="15"/>
  <c r="BB249" i="15"/>
  <c r="BC249" i="15"/>
  <c r="BD249" i="15"/>
  <c r="BE249" i="15"/>
  <c r="BF249" i="15"/>
  <c r="BG249" i="15"/>
  <c r="BH249" i="15"/>
  <c r="BI249" i="15"/>
  <c r="BJ249" i="15"/>
  <c r="BK249" i="15"/>
  <c r="BL249" i="15"/>
  <c r="BM249" i="15"/>
  <c r="BN249" i="15"/>
  <c r="BO249" i="15"/>
  <c r="BP249" i="15"/>
  <c r="BQ249" i="15"/>
  <c r="BR249" i="15"/>
  <c r="BS249" i="15"/>
  <c r="BT249" i="15"/>
  <c r="BU249" i="15"/>
  <c r="BV249" i="15"/>
  <c r="BW249" i="15"/>
  <c r="BX249" i="15"/>
  <c r="BY249" i="15"/>
  <c r="BZ249" i="15"/>
  <c r="CA249" i="15"/>
  <c r="CB249" i="15"/>
  <c r="CC249" i="15"/>
  <c r="CD249" i="15"/>
  <c r="CE249" i="15"/>
  <c r="CF249" i="15"/>
  <c r="CG249" i="15"/>
  <c r="CH249" i="15"/>
  <c r="CI249" i="15"/>
  <c r="CJ249" i="15"/>
  <c r="CK249" i="15"/>
  <c r="CL249" i="15"/>
  <c r="CM249" i="15"/>
  <c r="CN249" i="15"/>
  <c r="CO249" i="15"/>
  <c r="CP249" i="15"/>
  <c r="CQ249" i="15"/>
  <c r="CR249" i="15"/>
  <c r="CS249" i="15"/>
  <c r="CT249" i="15"/>
  <c r="CU249" i="15"/>
  <c r="CV249" i="15"/>
  <c r="CW249" i="15"/>
  <c r="CX249" i="15"/>
  <c r="CY249" i="15"/>
  <c r="CZ249" i="15"/>
  <c r="DA249" i="15"/>
  <c r="DB249" i="15"/>
  <c r="DC249" i="15"/>
  <c r="DD249" i="15"/>
  <c r="DE249" i="15"/>
  <c r="DF249" i="15"/>
  <c r="DG249" i="15"/>
  <c r="DH249" i="15"/>
  <c r="DI249" i="15"/>
  <c r="DJ249" i="15"/>
  <c r="DK249" i="15"/>
  <c r="DL249" i="15"/>
  <c r="DM249" i="15"/>
  <c r="DN249" i="15"/>
  <c r="DO249" i="15"/>
  <c r="DP249" i="15"/>
  <c r="DQ249" i="15"/>
  <c r="DR249" i="15"/>
  <c r="DS249" i="15"/>
  <c r="DT249" i="15"/>
  <c r="DU249" i="15"/>
  <c r="DV249" i="15"/>
  <c r="DW249" i="15"/>
  <c r="DX249" i="15"/>
  <c r="DY249" i="15"/>
  <c r="DZ249" i="15"/>
  <c r="EA249" i="15"/>
  <c r="EB249" i="15"/>
  <c r="EC249" i="15"/>
  <c r="ED249" i="15"/>
  <c r="EE249" i="15"/>
  <c r="EF249" i="15"/>
  <c r="EG249" i="15"/>
  <c r="EH249" i="15"/>
  <c r="EI249" i="15"/>
  <c r="EJ249" i="15"/>
  <c r="EK249" i="15"/>
  <c r="EL249" i="15"/>
  <c r="EM249" i="15"/>
  <c r="EN249" i="15"/>
  <c r="EO249" i="15"/>
  <c r="EP249" i="15"/>
  <c r="EQ249" i="15"/>
  <c r="ER249" i="15"/>
  <c r="ES249" i="15"/>
  <c r="ET249" i="15"/>
  <c r="EU249" i="15"/>
  <c r="EV249" i="15"/>
  <c r="EW249" i="15"/>
  <c r="EX249" i="15"/>
  <c r="EY249" i="15"/>
  <c r="EZ249" i="15"/>
  <c r="FA249" i="15"/>
  <c r="FB249" i="15"/>
  <c r="FC249" i="15"/>
  <c r="FD249" i="15"/>
  <c r="FE249" i="15"/>
  <c r="FF249" i="15"/>
  <c r="FG249" i="15"/>
  <c r="FH249" i="15"/>
  <c r="FI249" i="15"/>
  <c r="FJ249" i="15"/>
  <c r="FK249" i="15"/>
  <c r="FL249" i="15"/>
  <c r="B250" i="15"/>
  <c r="C250" i="15"/>
  <c r="D250" i="15"/>
  <c r="E250" i="15"/>
  <c r="F250" i="15"/>
  <c r="G250" i="15"/>
  <c r="H250" i="15"/>
  <c r="I250" i="15"/>
  <c r="J250" i="15"/>
  <c r="K250" i="15"/>
  <c r="L250" i="15"/>
  <c r="M250" i="15"/>
  <c r="N250" i="15"/>
  <c r="O250" i="15"/>
  <c r="P250" i="15"/>
  <c r="Q250" i="15"/>
  <c r="R250" i="15"/>
  <c r="S250" i="15"/>
  <c r="T250" i="15"/>
  <c r="U250" i="15"/>
  <c r="V250" i="15"/>
  <c r="W250" i="15"/>
  <c r="X250" i="15"/>
  <c r="Y250" i="15"/>
  <c r="Z250" i="15"/>
  <c r="AA250" i="15"/>
  <c r="AB250" i="15"/>
  <c r="AC250" i="15"/>
  <c r="AD250" i="15"/>
  <c r="AE250" i="15"/>
  <c r="AF250" i="15"/>
  <c r="AG250" i="15"/>
  <c r="AH250" i="15"/>
  <c r="AI250" i="15"/>
  <c r="AJ250" i="15"/>
  <c r="AK250" i="15"/>
  <c r="AL250" i="15"/>
  <c r="AM250" i="15"/>
  <c r="AN250" i="15"/>
  <c r="AO250" i="15"/>
  <c r="AP250" i="15"/>
  <c r="AQ250" i="15"/>
  <c r="AR250" i="15"/>
  <c r="AS250" i="15"/>
  <c r="AT250" i="15"/>
  <c r="AU250" i="15"/>
  <c r="AV250" i="15"/>
  <c r="AW250" i="15"/>
  <c r="AX250" i="15"/>
  <c r="AY250" i="15"/>
  <c r="AZ250" i="15"/>
  <c r="BA250" i="15"/>
  <c r="BB250" i="15"/>
  <c r="BC250" i="15"/>
  <c r="BD250" i="15"/>
  <c r="BE250" i="15"/>
  <c r="BF250" i="15"/>
  <c r="BG250" i="15"/>
  <c r="BH250" i="15"/>
  <c r="BI250" i="15"/>
  <c r="BJ250" i="15"/>
  <c r="BK250" i="15"/>
  <c r="BL250" i="15"/>
  <c r="BM250" i="15"/>
  <c r="BN250" i="15"/>
  <c r="BO250" i="15"/>
  <c r="BP250" i="15"/>
  <c r="BQ250" i="15"/>
  <c r="BR250" i="15"/>
  <c r="BS250" i="15"/>
  <c r="BT250" i="15"/>
  <c r="BU250" i="15"/>
  <c r="BV250" i="15"/>
  <c r="BW250" i="15"/>
  <c r="BX250" i="15"/>
  <c r="BY250" i="15"/>
  <c r="BZ250" i="15"/>
  <c r="CA250" i="15"/>
  <c r="CB250" i="15"/>
  <c r="CC250" i="15"/>
  <c r="CD250" i="15"/>
  <c r="CE250" i="15"/>
  <c r="CF250" i="15"/>
  <c r="CG250" i="15"/>
  <c r="CH250" i="15"/>
  <c r="CI250" i="15"/>
  <c r="CJ250" i="15"/>
  <c r="CK250" i="15"/>
  <c r="CL250" i="15"/>
  <c r="CM250" i="15"/>
  <c r="CN250" i="15"/>
  <c r="CO250" i="15"/>
  <c r="CP250" i="15"/>
  <c r="CQ250" i="15"/>
  <c r="CR250" i="15"/>
  <c r="CS250" i="15"/>
  <c r="CT250" i="15"/>
  <c r="CU250" i="15"/>
  <c r="CV250" i="15"/>
  <c r="CW250" i="15"/>
  <c r="CX250" i="15"/>
  <c r="CY250" i="15"/>
  <c r="CZ250" i="15"/>
  <c r="DA250" i="15"/>
  <c r="DB250" i="15"/>
  <c r="DC250" i="15"/>
  <c r="DD250" i="15"/>
  <c r="DE250" i="15"/>
  <c r="DF250" i="15"/>
  <c r="DG250" i="15"/>
  <c r="DH250" i="15"/>
  <c r="DI250" i="15"/>
  <c r="DJ250" i="15"/>
  <c r="DK250" i="15"/>
  <c r="DL250" i="15"/>
  <c r="DM250" i="15"/>
  <c r="DN250" i="15"/>
  <c r="DO250" i="15"/>
  <c r="DP250" i="15"/>
  <c r="DQ250" i="15"/>
  <c r="DR250" i="15"/>
  <c r="DS250" i="15"/>
  <c r="DT250" i="15"/>
  <c r="DU250" i="15"/>
  <c r="DV250" i="15"/>
  <c r="DW250" i="15"/>
  <c r="DX250" i="15"/>
  <c r="DY250" i="15"/>
  <c r="DZ250" i="15"/>
  <c r="EA250" i="15"/>
  <c r="EB250" i="15"/>
  <c r="EC250" i="15"/>
  <c r="ED250" i="15"/>
  <c r="EE250" i="15"/>
  <c r="EF250" i="15"/>
  <c r="EG250" i="15"/>
  <c r="EH250" i="15"/>
  <c r="EI250" i="15"/>
  <c r="EJ250" i="15"/>
  <c r="EK250" i="15"/>
  <c r="EL250" i="15"/>
  <c r="EM250" i="15"/>
  <c r="EN250" i="15"/>
  <c r="EO250" i="15"/>
  <c r="EP250" i="15"/>
  <c r="EQ250" i="15"/>
  <c r="ER250" i="15"/>
  <c r="ES250" i="15"/>
  <c r="ET250" i="15"/>
  <c r="EU250" i="15"/>
  <c r="EV250" i="15"/>
  <c r="EW250" i="15"/>
  <c r="EX250" i="15"/>
  <c r="EY250" i="15"/>
  <c r="EZ250" i="15"/>
  <c r="FA250" i="15"/>
  <c r="FB250" i="15"/>
  <c r="FC250" i="15"/>
  <c r="FD250" i="15"/>
  <c r="FE250" i="15"/>
  <c r="FF250" i="15"/>
  <c r="FG250" i="15"/>
  <c r="FH250" i="15"/>
  <c r="FI250" i="15"/>
  <c r="FJ250" i="15"/>
  <c r="FK250" i="15"/>
  <c r="FL250" i="15"/>
  <c r="A202" i="15"/>
  <c r="A203" i="15"/>
  <c r="A204" i="15"/>
  <c r="A205" i="15"/>
  <c r="A206" i="15"/>
  <c r="A207" i="15"/>
  <c r="A208" i="15"/>
  <c r="A209" i="15"/>
  <c r="A210" i="15"/>
  <c r="A211" i="15"/>
  <c r="A212" i="15"/>
  <c r="A213" i="15"/>
  <c r="A214" i="15"/>
  <c r="A215" i="15"/>
  <c r="A216" i="15"/>
  <c r="A217" i="15"/>
  <c r="A218" i="15"/>
  <c r="A219" i="15"/>
  <c r="A220" i="15"/>
  <c r="A221" i="15"/>
  <c r="A222" i="15"/>
  <c r="A223" i="15"/>
  <c r="A224" i="15"/>
  <c r="A225" i="15"/>
  <c r="A226" i="15"/>
  <c r="A227" i="15"/>
  <c r="A228" i="15"/>
  <c r="A229" i="15"/>
  <c r="A230" i="15"/>
  <c r="A231" i="15"/>
  <c r="A232" i="15"/>
  <c r="A233" i="15"/>
  <c r="A234" i="15"/>
  <c r="A235" i="15"/>
  <c r="A236" i="15"/>
  <c r="A237" i="15"/>
  <c r="A238" i="15"/>
  <c r="A239" i="15"/>
  <c r="A240" i="15"/>
  <c r="A241" i="15"/>
  <c r="A242" i="15"/>
  <c r="A243" i="15"/>
  <c r="A244" i="15"/>
  <c r="A245" i="15"/>
  <c r="A246" i="15"/>
  <c r="A247" i="15"/>
  <c r="A248" i="15"/>
  <c r="A249" i="15"/>
  <c r="A250" i="15"/>
  <c r="A201" i="15"/>
  <c r="B101" i="15"/>
  <c r="C101" i="15"/>
  <c r="D101" i="15"/>
  <c r="E101" i="15"/>
  <c r="F101" i="15"/>
  <c r="G101" i="15"/>
  <c r="H101" i="15"/>
  <c r="I101" i="15"/>
  <c r="J101" i="15"/>
  <c r="K101" i="15"/>
  <c r="L101" i="15"/>
  <c r="M101" i="15"/>
  <c r="N101" i="15"/>
  <c r="O101" i="15"/>
  <c r="P101" i="15"/>
  <c r="Q101" i="15"/>
  <c r="R101" i="15"/>
  <c r="S101" i="15"/>
  <c r="T101" i="15"/>
  <c r="U101" i="15"/>
  <c r="V101" i="15"/>
  <c r="W101" i="15"/>
  <c r="X101" i="15"/>
  <c r="Y101" i="15"/>
  <c r="Z101" i="15"/>
  <c r="AA101" i="15"/>
  <c r="AB101" i="15"/>
  <c r="AC101" i="15"/>
  <c r="AD101" i="15"/>
  <c r="AE101" i="15"/>
  <c r="AF101" i="15"/>
  <c r="AG101" i="15"/>
  <c r="AH101" i="15"/>
  <c r="AI101" i="15"/>
  <c r="AJ101" i="15"/>
  <c r="AK101" i="15"/>
  <c r="AL101" i="15"/>
  <c r="AM101" i="15"/>
  <c r="AN101" i="15"/>
  <c r="AO101" i="15"/>
  <c r="AP101" i="15"/>
  <c r="AQ101" i="15"/>
  <c r="AR101" i="15"/>
  <c r="AS101" i="15"/>
  <c r="AT101" i="15"/>
  <c r="AU101" i="15"/>
  <c r="AV101" i="15"/>
  <c r="AW101" i="15"/>
  <c r="AX101" i="15"/>
  <c r="AY101" i="15"/>
  <c r="AZ101" i="15"/>
  <c r="BA101" i="15"/>
  <c r="BB101" i="15"/>
  <c r="BC101" i="15"/>
  <c r="BD101" i="15"/>
  <c r="BE101" i="15"/>
  <c r="BF101" i="15"/>
  <c r="BG101" i="15"/>
  <c r="BH101" i="15"/>
  <c r="BI101" i="15"/>
  <c r="BJ101" i="15"/>
  <c r="BK101" i="15"/>
  <c r="BL101" i="15"/>
  <c r="BM101" i="15"/>
  <c r="BN101" i="15"/>
  <c r="BO101" i="15"/>
  <c r="BP101" i="15"/>
  <c r="BQ101" i="15"/>
  <c r="BR101" i="15"/>
  <c r="BS101" i="15"/>
  <c r="BT101" i="15"/>
  <c r="BU101" i="15"/>
  <c r="BV101" i="15"/>
  <c r="BW101" i="15"/>
  <c r="BX101" i="15"/>
  <c r="BY101" i="15"/>
  <c r="BZ101" i="15"/>
  <c r="CA101" i="15"/>
  <c r="CB101" i="15"/>
  <c r="CC101" i="15"/>
  <c r="CD101" i="15"/>
  <c r="CE101" i="15"/>
  <c r="CF101" i="15"/>
  <c r="CG101" i="15"/>
  <c r="CH101" i="15"/>
  <c r="CI101" i="15"/>
  <c r="CJ101" i="15"/>
  <c r="CK101" i="15"/>
  <c r="CL101" i="15"/>
  <c r="CM101" i="15"/>
  <c r="CN101" i="15"/>
  <c r="CO101" i="15"/>
  <c r="CP101" i="15"/>
  <c r="CQ101" i="15"/>
  <c r="CR101" i="15"/>
  <c r="CS101" i="15"/>
  <c r="CT101" i="15"/>
  <c r="CU101" i="15"/>
  <c r="CV101" i="15"/>
  <c r="CW101" i="15"/>
  <c r="CX101" i="15"/>
  <c r="CY101" i="15"/>
  <c r="CZ101" i="15"/>
  <c r="DA101" i="15"/>
  <c r="DB101" i="15"/>
  <c r="DC101" i="15"/>
  <c r="DD101" i="15"/>
  <c r="DE101" i="15"/>
  <c r="DF101" i="15"/>
  <c r="DG101" i="15"/>
  <c r="DH101" i="15"/>
  <c r="DI101" i="15"/>
  <c r="DJ101" i="15"/>
  <c r="DK101" i="15"/>
  <c r="DL101" i="15"/>
  <c r="DM101" i="15"/>
  <c r="DN101" i="15"/>
  <c r="DO101" i="15"/>
  <c r="DP101" i="15"/>
  <c r="DQ101" i="15"/>
  <c r="DR101" i="15"/>
  <c r="DS101" i="15"/>
  <c r="DT101" i="15"/>
  <c r="DU101" i="15"/>
  <c r="DV101" i="15"/>
  <c r="DW101" i="15"/>
  <c r="DX101" i="15"/>
  <c r="DY101" i="15"/>
  <c r="DZ101" i="15"/>
  <c r="EA101" i="15"/>
  <c r="EB101" i="15"/>
  <c r="EC101" i="15"/>
  <c r="ED101" i="15"/>
  <c r="EE101" i="15"/>
  <c r="EF101" i="15"/>
  <c r="EG101" i="15"/>
  <c r="EH101" i="15"/>
  <c r="EI101" i="15"/>
  <c r="EJ101" i="15"/>
  <c r="EK101" i="15"/>
  <c r="EL101" i="15"/>
  <c r="EM101" i="15"/>
  <c r="EN101" i="15"/>
  <c r="EO101" i="15"/>
  <c r="EP101" i="15"/>
  <c r="EQ101" i="15"/>
  <c r="ER101" i="15"/>
  <c r="ES101" i="15"/>
  <c r="ET101" i="15"/>
  <c r="EU101" i="15"/>
  <c r="EV101" i="15"/>
  <c r="EW101" i="15"/>
  <c r="EX101" i="15"/>
  <c r="EY101" i="15"/>
  <c r="EZ101" i="15"/>
  <c r="FA101" i="15"/>
  <c r="FB101" i="15"/>
  <c r="FC101" i="15"/>
  <c r="FD101" i="15"/>
  <c r="FE101" i="15"/>
  <c r="FF101" i="15"/>
  <c r="FG101" i="15"/>
  <c r="FH101" i="15"/>
  <c r="FI101" i="15"/>
  <c r="FJ101" i="15"/>
  <c r="FK101" i="15"/>
  <c r="FL101" i="15"/>
  <c r="B102" i="15"/>
  <c r="C102" i="15"/>
  <c r="D102" i="15"/>
  <c r="E102" i="15"/>
  <c r="F102" i="15"/>
  <c r="G102" i="15"/>
  <c r="H102" i="15"/>
  <c r="I102" i="15"/>
  <c r="J102" i="15"/>
  <c r="K102" i="15"/>
  <c r="L102" i="15"/>
  <c r="M102" i="15"/>
  <c r="N102" i="15"/>
  <c r="O102" i="15"/>
  <c r="P102" i="15"/>
  <c r="Q102" i="15"/>
  <c r="R102" i="15"/>
  <c r="S102" i="15"/>
  <c r="T102" i="15"/>
  <c r="U102" i="15"/>
  <c r="V102" i="15"/>
  <c r="W102" i="15"/>
  <c r="X102" i="15"/>
  <c r="Y102" i="15"/>
  <c r="Z102" i="15"/>
  <c r="AA102" i="15"/>
  <c r="AB102" i="15"/>
  <c r="AC102" i="15"/>
  <c r="AD102" i="15"/>
  <c r="AE102" i="15"/>
  <c r="AF102" i="15"/>
  <c r="AG102" i="15"/>
  <c r="AH102" i="15"/>
  <c r="AI102" i="15"/>
  <c r="AJ102" i="15"/>
  <c r="AK102" i="15"/>
  <c r="AL102" i="15"/>
  <c r="AM102" i="15"/>
  <c r="AN102" i="15"/>
  <c r="AO102" i="15"/>
  <c r="AP102" i="15"/>
  <c r="AQ102" i="15"/>
  <c r="AR102" i="15"/>
  <c r="AS102" i="15"/>
  <c r="AT102" i="15"/>
  <c r="AU102" i="15"/>
  <c r="AV102" i="15"/>
  <c r="AW102" i="15"/>
  <c r="AX102" i="15"/>
  <c r="AY102" i="15"/>
  <c r="AZ102" i="15"/>
  <c r="BA102" i="15"/>
  <c r="BB102" i="15"/>
  <c r="BC102" i="15"/>
  <c r="BD102" i="15"/>
  <c r="BE102" i="15"/>
  <c r="BF102" i="15"/>
  <c r="BG102" i="15"/>
  <c r="BH102" i="15"/>
  <c r="BI102" i="15"/>
  <c r="BJ102" i="15"/>
  <c r="BK102" i="15"/>
  <c r="BL102" i="15"/>
  <c r="BM102" i="15"/>
  <c r="BN102" i="15"/>
  <c r="BO102" i="15"/>
  <c r="BP102" i="15"/>
  <c r="BQ102" i="15"/>
  <c r="BR102" i="15"/>
  <c r="BS102" i="15"/>
  <c r="BT102" i="15"/>
  <c r="BU102" i="15"/>
  <c r="BV102" i="15"/>
  <c r="BW102" i="15"/>
  <c r="BX102" i="15"/>
  <c r="BY102" i="15"/>
  <c r="BZ102" i="15"/>
  <c r="CA102" i="15"/>
  <c r="CB102" i="15"/>
  <c r="CC102" i="15"/>
  <c r="CD102" i="15"/>
  <c r="CE102" i="15"/>
  <c r="CF102" i="15"/>
  <c r="CG102" i="15"/>
  <c r="CH102" i="15"/>
  <c r="CI102" i="15"/>
  <c r="CJ102" i="15"/>
  <c r="CK102" i="15"/>
  <c r="CL102" i="15"/>
  <c r="CM102" i="15"/>
  <c r="CN102" i="15"/>
  <c r="CO102" i="15"/>
  <c r="CP102" i="15"/>
  <c r="CQ102" i="15"/>
  <c r="CR102" i="15"/>
  <c r="CS102" i="15"/>
  <c r="CT102" i="15"/>
  <c r="CU102" i="15"/>
  <c r="CV102" i="15"/>
  <c r="CW102" i="15"/>
  <c r="CX102" i="15"/>
  <c r="CY102" i="15"/>
  <c r="CZ102" i="15"/>
  <c r="DA102" i="15"/>
  <c r="DB102" i="15"/>
  <c r="DC102" i="15"/>
  <c r="DD102" i="15"/>
  <c r="DE102" i="15"/>
  <c r="DF102" i="15"/>
  <c r="DG102" i="15"/>
  <c r="DH102" i="15"/>
  <c r="DI102" i="15"/>
  <c r="DJ102" i="15"/>
  <c r="DK102" i="15"/>
  <c r="DL102" i="15"/>
  <c r="DM102" i="15"/>
  <c r="DN102" i="15"/>
  <c r="DO102" i="15"/>
  <c r="DP102" i="15"/>
  <c r="DQ102" i="15"/>
  <c r="DR102" i="15"/>
  <c r="DS102" i="15"/>
  <c r="DT102" i="15"/>
  <c r="DU102" i="15"/>
  <c r="DV102" i="15"/>
  <c r="DW102" i="15"/>
  <c r="DX102" i="15"/>
  <c r="DY102" i="15"/>
  <c r="DZ102" i="15"/>
  <c r="EA102" i="15"/>
  <c r="EB102" i="15"/>
  <c r="EC102" i="15"/>
  <c r="ED102" i="15"/>
  <c r="EE102" i="15"/>
  <c r="EF102" i="15"/>
  <c r="EG102" i="15"/>
  <c r="EH102" i="15"/>
  <c r="EI102" i="15"/>
  <c r="EJ102" i="15"/>
  <c r="EK102" i="15"/>
  <c r="EL102" i="15"/>
  <c r="EM102" i="15"/>
  <c r="EN102" i="15"/>
  <c r="EO102" i="15"/>
  <c r="EP102" i="15"/>
  <c r="EQ102" i="15"/>
  <c r="ER102" i="15"/>
  <c r="ES102" i="15"/>
  <c r="ET102" i="15"/>
  <c r="EU102" i="15"/>
  <c r="EV102" i="15"/>
  <c r="EW102" i="15"/>
  <c r="EX102" i="15"/>
  <c r="EY102" i="15"/>
  <c r="EZ102" i="15"/>
  <c r="FA102" i="15"/>
  <c r="FB102" i="15"/>
  <c r="FC102" i="15"/>
  <c r="FD102" i="15"/>
  <c r="FE102" i="15"/>
  <c r="FF102" i="15"/>
  <c r="FG102" i="15"/>
  <c r="FH102" i="15"/>
  <c r="FI102" i="15"/>
  <c r="FJ102" i="15"/>
  <c r="FK102" i="15"/>
  <c r="FL102" i="15"/>
  <c r="B103" i="15"/>
  <c r="C103" i="15"/>
  <c r="D103" i="15"/>
  <c r="E103" i="15"/>
  <c r="F103" i="15"/>
  <c r="G103" i="15"/>
  <c r="H103" i="15"/>
  <c r="I103" i="15"/>
  <c r="J103" i="15"/>
  <c r="K103" i="15"/>
  <c r="L103" i="15"/>
  <c r="M103" i="15"/>
  <c r="N103" i="15"/>
  <c r="O103" i="15"/>
  <c r="P103" i="15"/>
  <c r="Q103" i="15"/>
  <c r="R103" i="15"/>
  <c r="S103" i="15"/>
  <c r="T103" i="15"/>
  <c r="U103" i="15"/>
  <c r="V103" i="15"/>
  <c r="W103" i="15"/>
  <c r="X103" i="15"/>
  <c r="Y103" i="15"/>
  <c r="Z103" i="15"/>
  <c r="AA103" i="15"/>
  <c r="AB103" i="15"/>
  <c r="AC103" i="15"/>
  <c r="AD103" i="15"/>
  <c r="AE103" i="15"/>
  <c r="AF103" i="15"/>
  <c r="AG103" i="15"/>
  <c r="AH103" i="15"/>
  <c r="AI103" i="15"/>
  <c r="AJ103" i="15"/>
  <c r="AK103" i="15"/>
  <c r="AL103" i="15"/>
  <c r="AM103" i="15"/>
  <c r="AN103" i="15"/>
  <c r="AO103" i="15"/>
  <c r="AP103" i="15"/>
  <c r="AQ103" i="15"/>
  <c r="AR103" i="15"/>
  <c r="AS103" i="15"/>
  <c r="AT103" i="15"/>
  <c r="AU103" i="15"/>
  <c r="AV103" i="15"/>
  <c r="AW103" i="15"/>
  <c r="AX103" i="15"/>
  <c r="AY103" i="15"/>
  <c r="AZ103" i="15"/>
  <c r="BA103" i="15"/>
  <c r="BB103" i="15"/>
  <c r="BC103" i="15"/>
  <c r="BD103" i="15"/>
  <c r="BE103" i="15"/>
  <c r="BF103" i="15"/>
  <c r="BG103" i="15"/>
  <c r="BH103" i="15"/>
  <c r="BI103" i="15"/>
  <c r="BJ103" i="15"/>
  <c r="BK103" i="15"/>
  <c r="BL103" i="15"/>
  <c r="BM103" i="15"/>
  <c r="BN103" i="15"/>
  <c r="BO103" i="15"/>
  <c r="BP103" i="15"/>
  <c r="BQ103" i="15"/>
  <c r="BR103" i="15"/>
  <c r="BS103" i="15"/>
  <c r="BT103" i="15"/>
  <c r="BU103" i="15"/>
  <c r="BV103" i="15"/>
  <c r="BW103" i="15"/>
  <c r="BX103" i="15"/>
  <c r="BY103" i="15"/>
  <c r="BZ103" i="15"/>
  <c r="CA103" i="15"/>
  <c r="CB103" i="15"/>
  <c r="CC103" i="15"/>
  <c r="CD103" i="15"/>
  <c r="CE103" i="15"/>
  <c r="CF103" i="15"/>
  <c r="CG103" i="15"/>
  <c r="CH103" i="15"/>
  <c r="CI103" i="15"/>
  <c r="CJ103" i="15"/>
  <c r="CK103" i="15"/>
  <c r="CL103" i="15"/>
  <c r="CM103" i="15"/>
  <c r="CN103" i="15"/>
  <c r="CO103" i="15"/>
  <c r="CP103" i="15"/>
  <c r="CQ103" i="15"/>
  <c r="CR103" i="15"/>
  <c r="CS103" i="15"/>
  <c r="CT103" i="15"/>
  <c r="CU103" i="15"/>
  <c r="CV103" i="15"/>
  <c r="CW103" i="15"/>
  <c r="CX103" i="15"/>
  <c r="CY103" i="15"/>
  <c r="CZ103" i="15"/>
  <c r="DA103" i="15"/>
  <c r="DB103" i="15"/>
  <c r="DC103" i="15"/>
  <c r="DD103" i="15"/>
  <c r="DE103" i="15"/>
  <c r="DF103" i="15"/>
  <c r="DG103" i="15"/>
  <c r="DH103" i="15"/>
  <c r="DI103" i="15"/>
  <c r="DJ103" i="15"/>
  <c r="DK103" i="15"/>
  <c r="DL103" i="15"/>
  <c r="DM103" i="15"/>
  <c r="DN103" i="15"/>
  <c r="DO103" i="15"/>
  <c r="DP103" i="15"/>
  <c r="DQ103" i="15"/>
  <c r="DR103" i="15"/>
  <c r="DS103" i="15"/>
  <c r="DT103" i="15"/>
  <c r="DU103" i="15"/>
  <c r="DV103" i="15"/>
  <c r="DW103" i="15"/>
  <c r="DX103" i="15"/>
  <c r="DY103" i="15"/>
  <c r="DZ103" i="15"/>
  <c r="EA103" i="15"/>
  <c r="EB103" i="15"/>
  <c r="EC103" i="15"/>
  <c r="ED103" i="15"/>
  <c r="EE103" i="15"/>
  <c r="EF103" i="15"/>
  <c r="EG103" i="15"/>
  <c r="EH103" i="15"/>
  <c r="EI103" i="15"/>
  <c r="EJ103" i="15"/>
  <c r="EK103" i="15"/>
  <c r="EL103" i="15"/>
  <c r="EM103" i="15"/>
  <c r="EN103" i="15"/>
  <c r="EO103" i="15"/>
  <c r="EP103" i="15"/>
  <c r="EQ103" i="15"/>
  <c r="ER103" i="15"/>
  <c r="ES103" i="15"/>
  <c r="ET103" i="15"/>
  <c r="EU103" i="15"/>
  <c r="EV103" i="15"/>
  <c r="EW103" i="15"/>
  <c r="EX103" i="15"/>
  <c r="EY103" i="15"/>
  <c r="EZ103" i="15"/>
  <c r="FA103" i="15"/>
  <c r="FB103" i="15"/>
  <c r="FC103" i="15"/>
  <c r="FD103" i="15"/>
  <c r="FE103" i="15"/>
  <c r="FF103" i="15"/>
  <c r="FG103" i="15"/>
  <c r="FH103" i="15"/>
  <c r="FI103" i="15"/>
  <c r="FJ103" i="15"/>
  <c r="FK103" i="15"/>
  <c r="FL103" i="15"/>
  <c r="B104" i="15"/>
  <c r="C104" i="15"/>
  <c r="D104" i="15"/>
  <c r="E104" i="15"/>
  <c r="F104" i="15"/>
  <c r="G104" i="15"/>
  <c r="H104" i="15"/>
  <c r="I104" i="15"/>
  <c r="J104" i="15"/>
  <c r="K104" i="15"/>
  <c r="L104" i="15"/>
  <c r="M104" i="15"/>
  <c r="N104" i="15"/>
  <c r="O104" i="15"/>
  <c r="P104" i="15"/>
  <c r="Q104" i="15"/>
  <c r="R104" i="15"/>
  <c r="S104" i="15"/>
  <c r="T104" i="15"/>
  <c r="U104" i="15"/>
  <c r="V104" i="15"/>
  <c r="W104" i="15"/>
  <c r="X104" i="15"/>
  <c r="Y104" i="15"/>
  <c r="Z104" i="15"/>
  <c r="AA104" i="15"/>
  <c r="AB104" i="15"/>
  <c r="AC104" i="15"/>
  <c r="AD104" i="15"/>
  <c r="AE104" i="15"/>
  <c r="AF104" i="15"/>
  <c r="AG104" i="15"/>
  <c r="AH104" i="15"/>
  <c r="AI104" i="15"/>
  <c r="AJ104" i="15"/>
  <c r="AK104" i="15"/>
  <c r="AL104" i="15"/>
  <c r="AM104" i="15"/>
  <c r="AN104" i="15"/>
  <c r="AO104" i="15"/>
  <c r="AP104" i="15"/>
  <c r="AQ104" i="15"/>
  <c r="AR104" i="15"/>
  <c r="AS104" i="15"/>
  <c r="AT104" i="15"/>
  <c r="AU104" i="15"/>
  <c r="AV104" i="15"/>
  <c r="AW104" i="15"/>
  <c r="AX104" i="15"/>
  <c r="AY104" i="15"/>
  <c r="AZ104" i="15"/>
  <c r="BA104" i="15"/>
  <c r="BB104" i="15"/>
  <c r="BC104" i="15"/>
  <c r="BD104" i="15"/>
  <c r="BE104" i="15"/>
  <c r="BF104" i="15"/>
  <c r="BG104" i="15"/>
  <c r="BH104" i="15"/>
  <c r="BI104" i="15"/>
  <c r="BJ104" i="15"/>
  <c r="BK104" i="15"/>
  <c r="BL104" i="15"/>
  <c r="BM104" i="15"/>
  <c r="BN104" i="15"/>
  <c r="BO104" i="15"/>
  <c r="BP104" i="15"/>
  <c r="BQ104" i="15"/>
  <c r="BR104" i="15"/>
  <c r="BS104" i="15"/>
  <c r="BT104" i="15"/>
  <c r="BU104" i="15"/>
  <c r="BV104" i="15"/>
  <c r="BW104" i="15"/>
  <c r="BX104" i="15"/>
  <c r="BY104" i="15"/>
  <c r="BZ104" i="15"/>
  <c r="CA104" i="15"/>
  <c r="CB104" i="15"/>
  <c r="CC104" i="15"/>
  <c r="CD104" i="15"/>
  <c r="CE104" i="15"/>
  <c r="CF104" i="15"/>
  <c r="CG104" i="15"/>
  <c r="CH104" i="15"/>
  <c r="CI104" i="15"/>
  <c r="CJ104" i="15"/>
  <c r="CK104" i="15"/>
  <c r="CL104" i="15"/>
  <c r="CM104" i="15"/>
  <c r="CN104" i="15"/>
  <c r="CO104" i="15"/>
  <c r="CP104" i="15"/>
  <c r="CQ104" i="15"/>
  <c r="CR104" i="15"/>
  <c r="CS104" i="15"/>
  <c r="CT104" i="15"/>
  <c r="CU104" i="15"/>
  <c r="CV104" i="15"/>
  <c r="CW104" i="15"/>
  <c r="CX104" i="15"/>
  <c r="CY104" i="15"/>
  <c r="CZ104" i="15"/>
  <c r="DA104" i="15"/>
  <c r="DB104" i="15"/>
  <c r="DC104" i="15"/>
  <c r="DD104" i="15"/>
  <c r="DE104" i="15"/>
  <c r="DF104" i="15"/>
  <c r="DG104" i="15"/>
  <c r="DH104" i="15"/>
  <c r="DI104" i="15"/>
  <c r="DJ104" i="15"/>
  <c r="DK104" i="15"/>
  <c r="DL104" i="15"/>
  <c r="DM104" i="15"/>
  <c r="DN104" i="15"/>
  <c r="DO104" i="15"/>
  <c r="DP104" i="15"/>
  <c r="DQ104" i="15"/>
  <c r="DR104" i="15"/>
  <c r="DS104" i="15"/>
  <c r="DT104" i="15"/>
  <c r="DU104" i="15"/>
  <c r="DV104" i="15"/>
  <c r="DW104" i="15"/>
  <c r="DX104" i="15"/>
  <c r="DY104" i="15"/>
  <c r="DZ104" i="15"/>
  <c r="EA104" i="15"/>
  <c r="EB104" i="15"/>
  <c r="EC104" i="15"/>
  <c r="ED104" i="15"/>
  <c r="EE104" i="15"/>
  <c r="EF104" i="15"/>
  <c r="EG104" i="15"/>
  <c r="EH104" i="15"/>
  <c r="EI104" i="15"/>
  <c r="EJ104" i="15"/>
  <c r="EK104" i="15"/>
  <c r="EL104" i="15"/>
  <c r="EM104" i="15"/>
  <c r="EN104" i="15"/>
  <c r="EO104" i="15"/>
  <c r="EP104" i="15"/>
  <c r="EQ104" i="15"/>
  <c r="ER104" i="15"/>
  <c r="ES104" i="15"/>
  <c r="ET104" i="15"/>
  <c r="EU104" i="15"/>
  <c r="EV104" i="15"/>
  <c r="EW104" i="15"/>
  <c r="EX104" i="15"/>
  <c r="EY104" i="15"/>
  <c r="EZ104" i="15"/>
  <c r="FA104" i="15"/>
  <c r="FB104" i="15"/>
  <c r="FC104" i="15"/>
  <c r="FD104" i="15"/>
  <c r="FE104" i="15"/>
  <c r="FF104" i="15"/>
  <c r="FG104" i="15"/>
  <c r="FH104" i="15"/>
  <c r="FI104" i="15"/>
  <c r="FJ104" i="15"/>
  <c r="FK104" i="15"/>
  <c r="FL104" i="15"/>
  <c r="B105" i="15"/>
  <c r="C105" i="15"/>
  <c r="D105" i="15"/>
  <c r="E105" i="15"/>
  <c r="F105" i="15"/>
  <c r="G105" i="15"/>
  <c r="H105" i="15"/>
  <c r="I105" i="15"/>
  <c r="J105" i="15"/>
  <c r="K105" i="15"/>
  <c r="L105" i="15"/>
  <c r="M105" i="15"/>
  <c r="N105" i="15"/>
  <c r="O105" i="15"/>
  <c r="P105" i="15"/>
  <c r="Q105" i="15"/>
  <c r="R105" i="15"/>
  <c r="S105" i="15"/>
  <c r="T105" i="15"/>
  <c r="U105" i="15"/>
  <c r="V105" i="15"/>
  <c r="W105" i="15"/>
  <c r="X105" i="15"/>
  <c r="Y105" i="15"/>
  <c r="Z105" i="15"/>
  <c r="AA105" i="15"/>
  <c r="AB105" i="15"/>
  <c r="AC105" i="15"/>
  <c r="AD105" i="15"/>
  <c r="AE105" i="15"/>
  <c r="AF105" i="15"/>
  <c r="AG105" i="15"/>
  <c r="AH105" i="15"/>
  <c r="AI105" i="15"/>
  <c r="AJ105" i="15"/>
  <c r="AK105" i="15"/>
  <c r="AL105" i="15"/>
  <c r="AM105" i="15"/>
  <c r="AN105" i="15"/>
  <c r="AO105" i="15"/>
  <c r="AP105" i="15"/>
  <c r="AQ105" i="15"/>
  <c r="AR105" i="15"/>
  <c r="AS105" i="15"/>
  <c r="AT105" i="15"/>
  <c r="AU105" i="15"/>
  <c r="AV105" i="15"/>
  <c r="AW105" i="15"/>
  <c r="AX105" i="15"/>
  <c r="AY105" i="15"/>
  <c r="AZ105" i="15"/>
  <c r="BA105" i="15"/>
  <c r="BB105" i="15"/>
  <c r="BC105" i="15"/>
  <c r="BD105" i="15"/>
  <c r="BE105" i="15"/>
  <c r="BF105" i="15"/>
  <c r="BG105" i="15"/>
  <c r="BH105" i="15"/>
  <c r="BI105" i="15"/>
  <c r="BJ105" i="15"/>
  <c r="BK105" i="15"/>
  <c r="BL105" i="15"/>
  <c r="BM105" i="15"/>
  <c r="BN105" i="15"/>
  <c r="BO105" i="15"/>
  <c r="BP105" i="15"/>
  <c r="BQ105" i="15"/>
  <c r="BR105" i="15"/>
  <c r="BS105" i="15"/>
  <c r="BT105" i="15"/>
  <c r="BU105" i="15"/>
  <c r="BV105" i="15"/>
  <c r="BW105" i="15"/>
  <c r="BX105" i="15"/>
  <c r="BY105" i="15"/>
  <c r="BZ105" i="15"/>
  <c r="CA105" i="15"/>
  <c r="CB105" i="15"/>
  <c r="CC105" i="15"/>
  <c r="CD105" i="15"/>
  <c r="CE105" i="15"/>
  <c r="CF105" i="15"/>
  <c r="CG105" i="15"/>
  <c r="CH105" i="15"/>
  <c r="CI105" i="15"/>
  <c r="CJ105" i="15"/>
  <c r="CK105" i="15"/>
  <c r="CL105" i="15"/>
  <c r="CM105" i="15"/>
  <c r="CN105" i="15"/>
  <c r="CO105" i="15"/>
  <c r="CP105" i="15"/>
  <c r="CQ105" i="15"/>
  <c r="CR105" i="15"/>
  <c r="CS105" i="15"/>
  <c r="CT105" i="15"/>
  <c r="CU105" i="15"/>
  <c r="CV105" i="15"/>
  <c r="CW105" i="15"/>
  <c r="CX105" i="15"/>
  <c r="CY105" i="15"/>
  <c r="CZ105" i="15"/>
  <c r="DA105" i="15"/>
  <c r="DB105" i="15"/>
  <c r="DC105" i="15"/>
  <c r="DD105" i="15"/>
  <c r="DE105" i="15"/>
  <c r="DF105" i="15"/>
  <c r="DG105" i="15"/>
  <c r="DH105" i="15"/>
  <c r="DI105" i="15"/>
  <c r="DJ105" i="15"/>
  <c r="DK105" i="15"/>
  <c r="DL105" i="15"/>
  <c r="DM105" i="15"/>
  <c r="DN105" i="15"/>
  <c r="DO105" i="15"/>
  <c r="DP105" i="15"/>
  <c r="DQ105" i="15"/>
  <c r="DR105" i="15"/>
  <c r="DS105" i="15"/>
  <c r="DT105" i="15"/>
  <c r="DU105" i="15"/>
  <c r="DV105" i="15"/>
  <c r="DW105" i="15"/>
  <c r="DX105" i="15"/>
  <c r="DY105" i="15"/>
  <c r="DZ105" i="15"/>
  <c r="EA105" i="15"/>
  <c r="EB105" i="15"/>
  <c r="EC105" i="15"/>
  <c r="ED105" i="15"/>
  <c r="EE105" i="15"/>
  <c r="EF105" i="15"/>
  <c r="EG105" i="15"/>
  <c r="EH105" i="15"/>
  <c r="EI105" i="15"/>
  <c r="EJ105" i="15"/>
  <c r="EK105" i="15"/>
  <c r="EL105" i="15"/>
  <c r="EM105" i="15"/>
  <c r="EN105" i="15"/>
  <c r="EO105" i="15"/>
  <c r="EP105" i="15"/>
  <c r="EQ105" i="15"/>
  <c r="ER105" i="15"/>
  <c r="ES105" i="15"/>
  <c r="ET105" i="15"/>
  <c r="EU105" i="15"/>
  <c r="EV105" i="15"/>
  <c r="EW105" i="15"/>
  <c r="EX105" i="15"/>
  <c r="EY105" i="15"/>
  <c r="EZ105" i="15"/>
  <c r="FA105" i="15"/>
  <c r="FB105" i="15"/>
  <c r="FC105" i="15"/>
  <c r="FD105" i="15"/>
  <c r="FE105" i="15"/>
  <c r="FF105" i="15"/>
  <c r="FG105" i="15"/>
  <c r="FH105" i="15"/>
  <c r="FI105" i="15"/>
  <c r="FJ105" i="15"/>
  <c r="FK105" i="15"/>
  <c r="FL105" i="15"/>
  <c r="B106" i="15"/>
  <c r="C106" i="15"/>
  <c r="D106" i="15"/>
  <c r="E106" i="15"/>
  <c r="F106" i="15"/>
  <c r="G106" i="15"/>
  <c r="H106" i="15"/>
  <c r="I106" i="15"/>
  <c r="J106" i="15"/>
  <c r="K106" i="15"/>
  <c r="L106" i="15"/>
  <c r="M106" i="15"/>
  <c r="N106" i="15"/>
  <c r="O106" i="15"/>
  <c r="P106" i="15"/>
  <c r="Q106" i="15"/>
  <c r="R106" i="15"/>
  <c r="S106" i="15"/>
  <c r="T106" i="15"/>
  <c r="U106" i="15"/>
  <c r="V106" i="15"/>
  <c r="W106" i="15"/>
  <c r="X106" i="15"/>
  <c r="Y106" i="15"/>
  <c r="Z106" i="15"/>
  <c r="AA106" i="15"/>
  <c r="AB106" i="15"/>
  <c r="AC106" i="15"/>
  <c r="AD106" i="15"/>
  <c r="AE106" i="15"/>
  <c r="AF106" i="15"/>
  <c r="AG106" i="15"/>
  <c r="AH106" i="15"/>
  <c r="AI106" i="15"/>
  <c r="AJ106" i="15"/>
  <c r="AK106" i="15"/>
  <c r="AL106" i="15"/>
  <c r="AM106" i="15"/>
  <c r="AN106" i="15"/>
  <c r="AO106" i="15"/>
  <c r="AP106" i="15"/>
  <c r="AQ106" i="15"/>
  <c r="AR106" i="15"/>
  <c r="AS106" i="15"/>
  <c r="AT106" i="15"/>
  <c r="AU106" i="15"/>
  <c r="AV106" i="15"/>
  <c r="AW106" i="15"/>
  <c r="AX106" i="15"/>
  <c r="AY106" i="15"/>
  <c r="AZ106" i="15"/>
  <c r="BA106" i="15"/>
  <c r="BB106" i="15"/>
  <c r="BC106" i="15"/>
  <c r="BD106" i="15"/>
  <c r="BE106" i="15"/>
  <c r="BF106" i="15"/>
  <c r="BG106" i="15"/>
  <c r="BH106" i="15"/>
  <c r="BI106" i="15"/>
  <c r="BJ106" i="15"/>
  <c r="BK106" i="15"/>
  <c r="BL106" i="15"/>
  <c r="BM106" i="15"/>
  <c r="BN106" i="15"/>
  <c r="BO106" i="15"/>
  <c r="BP106" i="15"/>
  <c r="BQ106" i="15"/>
  <c r="BR106" i="15"/>
  <c r="BS106" i="15"/>
  <c r="BT106" i="15"/>
  <c r="BU106" i="15"/>
  <c r="BV106" i="15"/>
  <c r="BW106" i="15"/>
  <c r="BX106" i="15"/>
  <c r="BY106" i="15"/>
  <c r="BZ106" i="15"/>
  <c r="CA106" i="15"/>
  <c r="CB106" i="15"/>
  <c r="CC106" i="15"/>
  <c r="CD106" i="15"/>
  <c r="CE106" i="15"/>
  <c r="CF106" i="15"/>
  <c r="CG106" i="15"/>
  <c r="CH106" i="15"/>
  <c r="CI106" i="15"/>
  <c r="CJ106" i="15"/>
  <c r="CK106" i="15"/>
  <c r="CL106" i="15"/>
  <c r="CM106" i="15"/>
  <c r="CN106" i="15"/>
  <c r="CO106" i="15"/>
  <c r="CP106" i="15"/>
  <c r="CQ106" i="15"/>
  <c r="CR106" i="15"/>
  <c r="CS106" i="15"/>
  <c r="CT106" i="15"/>
  <c r="CU106" i="15"/>
  <c r="CV106" i="15"/>
  <c r="CW106" i="15"/>
  <c r="CX106" i="15"/>
  <c r="CY106" i="15"/>
  <c r="CZ106" i="15"/>
  <c r="DA106" i="15"/>
  <c r="DB106" i="15"/>
  <c r="DC106" i="15"/>
  <c r="DD106" i="15"/>
  <c r="DE106" i="15"/>
  <c r="DF106" i="15"/>
  <c r="DG106" i="15"/>
  <c r="DH106" i="15"/>
  <c r="DI106" i="15"/>
  <c r="DJ106" i="15"/>
  <c r="DK106" i="15"/>
  <c r="DL106" i="15"/>
  <c r="DM106" i="15"/>
  <c r="DN106" i="15"/>
  <c r="DO106" i="15"/>
  <c r="DP106" i="15"/>
  <c r="DQ106" i="15"/>
  <c r="DR106" i="15"/>
  <c r="DS106" i="15"/>
  <c r="DT106" i="15"/>
  <c r="DU106" i="15"/>
  <c r="DV106" i="15"/>
  <c r="DW106" i="15"/>
  <c r="DX106" i="15"/>
  <c r="DY106" i="15"/>
  <c r="DZ106" i="15"/>
  <c r="EA106" i="15"/>
  <c r="EB106" i="15"/>
  <c r="EC106" i="15"/>
  <c r="ED106" i="15"/>
  <c r="EE106" i="15"/>
  <c r="EF106" i="15"/>
  <c r="EG106" i="15"/>
  <c r="EH106" i="15"/>
  <c r="EI106" i="15"/>
  <c r="EJ106" i="15"/>
  <c r="EK106" i="15"/>
  <c r="EL106" i="15"/>
  <c r="EM106" i="15"/>
  <c r="EN106" i="15"/>
  <c r="EO106" i="15"/>
  <c r="EP106" i="15"/>
  <c r="EQ106" i="15"/>
  <c r="ER106" i="15"/>
  <c r="ES106" i="15"/>
  <c r="ET106" i="15"/>
  <c r="EU106" i="15"/>
  <c r="EV106" i="15"/>
  <c r="EW106" i="15"/>
  <c r="EX106" i="15"/>
  <c r="EY106" i="15"/>
  <c r="EZ106" i="15"/>
  <c r="FA106" i="15"/>
  <c r="FB106" i="15"/>
  <c r="FC106" i="15"/>
  <c r="FD106" i="15"/>
  <c r="FE106" i="15"/>
  <c r="FF106" i="15"/>
  <c r="FG106" i="15"/>
  <c r="FH106" i="15"/>
  <c r="FI106" i="15"/>
  <c r="FJ106" i="15"/>
  <c r="FK106" i="15"/>
  <c r="FL106" i="15"/>
  <c r="B107" i="15"/>
  <c r="C107" i="15"/>
  <c r="D107" i="15"/>
  <c r="E107" i="15"/>
  <c r="F107" i="15"/>
  <c r="G107" i="15"/>
  <c r="H107" i="15"/>
  <c r="I107" i="15"/>
  <c r="J107" i="15"/>
  <c r="K107" i="15"/>
  <c r="L107" i="15"/>
  <c r="M107" i="15"/>
  <c r="N107" i="15"/>
  <c r="O107" i="15"/>
  <c r="P107" i="15"/>
  <c r="Q107" i="15"/>
  <c r="R107" i="15"/>
  <c r="S107" i="15"/>
  <c r="T107" i="15"/>
  <c r="U107" i="15"/>
  <c r="V107" i="15"/>
  <c r="W107" i="15"/>
  <c r="X107" i="15"/>
  <c r="Y107" i="15"/>
  <c r="Z107" i="15"/>
  <c r="AA107" i="15"/>
  <c r="AB107" i="15"/>
  <c r="AC107" i="15"/>
  <c r="AD107" i="15"/>
  <c r="AE107" i="15"/>
  <c r="AF107" i="15"/>
  <c r="AG107" i="15"/>
  <c r="AH107" i="15"/>
  <c r="AI107" i="15"/>
  <c r="AJ107" i="15"/>
  <c r="AK107" i="15"/>
  <c r="AL107" i="15"/>
  <c r="AM107" i="15"/>
  <c r="AN107" i="15"/>
  <c r="AO107" i="15"/>
  <c r="AP107" i="15"/>
  <c r="AQ107" i="15"/>
  <c r="AR107" i="15"/>
  <c r="AS107" i="15"/>
  <c r="AT107" i="15"/>
  <c r="AU107" i="15"/>
  <c r="AV107" i="15"/>
  <c r="AW107" i="15"/>
  <c r="AX107" i="15"/>
  <c r="AY107" i="15"/>
  <c r="AZ107" i="15"/>
  <c r="BA107" i="15"/>
  <c r="BB107" i="15"/>
  <c r="BC107" i="15"/>
  <c r="BD107" i="15"/>
  <c r="BE107" i="15"/>
  <c r="BF107" i="15"/>
  <c r="BG107" i="15"/>
  <c r="BH107" i="15"/>
  <c r="BI107" i="15"/>
  <c r="BJ107" i="15"/>
  <c r="BK107" i="15"/>
  <c r="BL107" i="15"/>
  <c r="BM107" i="15"/>
  <c r="BN107" i="15"/>
  <c r="BO107" i="15"/>
  <c r="BP107" i="15"/>
  <c r="BQ107" i="15"/>
  <c r="BR107" i="15"/>
  <c r="BS107" i="15"/>
  <c r="BT107" i="15"/>
  <c r="BU107" i="15"/>
  <c r="BV107" i="15"/>
  <c r="BW107" i="15"/>
  <c r="BX107" i="15"/>
  <c r="BY107" i="15"/>
  <c r="BZ107" i="15"/>
  <c r="CA107" i="15"/>
  <c r="CB107" i="15"/>
  <c r="CC107" i="15"/>
  <c r="CD107" i="15"/>
  <c r="CE107" i="15"/>
  <c r="CF107" i="15"/>
  <c r="CG107" i="15"/>
  <c r="CH107" i="15"/>
  <c r="CI107" i="15"/>
  <c r="CJ107" i="15"/>
  <c r="CK107" i="15"/>
  <c r="CL107" i="15"/>
  <c r="CM107" i="15"/>
  <c r="CN107" i="15"/>
  <c r="CO107" i="15"/>
  <c r="CP107" i="15"/>
  <c r="CQ107" i="15"/>
  <c r="CR107" i="15"/>
  <c r="CS107" i="15"/>
  <c r="CT107" i="15"/>
  <c r="CU107" i="15"/>
  <c r="CV107" i="15"/>
  <c r="CW107" i="15"/>
  <c r="CX107" i="15"/>
  <c r="CY107" i="15"/>
  <c r="CZ107" i="15"/>
  <c r="DA107" i="15"/>
  <c r="DB107" i="15"/>
  <c r="DC107" i="15"/>
  <c r="DD107" i="15"/>
  <c r="DE107" i="15"/>
  <c r="DF107" i="15"/>
  <c r="DG107" i="15"/>
  <c r="DH107" i="15"/>
  <c r="DI107" i="15"/>
  <c r="DJ107" i="15"/>
  <c r="DK107" i="15"/>
  <c r="DL107" i="15"/>
  <c r="DM107" i="15"/>
  <c r="DN107" i="15"/>
  <c r="DO107" i="15"/>
  <c r="DP107" i="15"/>
  <c r="DQ107" i="15"/>
  <c r="DR107" i="15"/>
  <c r="DS107" i="15"/>
  <c r="DT107" i="15"/>
  <c r="DU107" i="15"/>
  <c r="DV107" i="15"/>
  <c r="DW107" i="15"/>
  <c r="DX107" i="15"/>
  <c r="DY107" i="15"/>
  <c r="DZ107" i="15"/>
  <c r="EA107" i="15"/>
  <c r="EB107" i="15"/>
  <c r="EC107" i="15"/>
  <c r="ED107" i="15"/>
  <c r="EE107" i="15"/>
  <c r="EF107" i="15"/>
  <c r="EG107" i="15"/>
  <c r="EH107" i="15"/>
  <c r="EI107" i="15"/>
  <c r="EJ107" i="15"/>
  <c r="EK107" i="15"/>
  <c r="EL107" i="15"/>
  <c r="EM107" i="15"/>
  <c r="EN107" i="15"/>
  <c r="EO107" i="15"/>
  <c r="EP107" i="15"/>
  <c r="EQ107" i="15"/>
  <c r="ER107" i="15"/>
  <c r="ES107" i="15"/>
  <c r="ET107" i="15"/>
  <c r="EU107" i="15"/>
  <c r="EV107" i="15"/>
  <c r="EW107" i="15"/>
  <c r="EX107" i="15"/>
  <c r="EY107" i="15"/>
  <c r="EZ107" i="15"/>
  <c r="FA107" i="15"/>
  <c r="FB107" i="15"/>
  <c r="FC107" i="15"/>
  <c r="FD107" i="15"/>
  <c r="FE107" i="15"/>
  <c r="FF107" i="15"/>
  <c r="FG107" i="15"/>
  <c r="FH107" i="15"/>
  <c r="FI107" i="15"/>
  <c r="FJ107" i="15"/>
  <c r="FK107" i="15"/>
  <c r="FL107" i="15"/>
  <c r="B108" i="15"/>
  <c r="C108" i="15"/>
  <c r="D108" i="15"/>
  <c r="E108" i="15"/>
  <c r="F108" i="15"/>
  <c r="G108" i="15"/>
  <c r="H108" i="15"/>
  <c r="I108" i="15"/>
  <c r="J108" i="15"/>
  <c r="K108" i="15"/>
  <c r="L108" i="15"/>
  <c r="M108" i="15"/>
  <c r="N108" i="15"/>
  <c r="O108" i="15"/>
  <c r="P108" i="15"/>
  <c r="Q108" i="15"/>
  <c r="R108" i="15"/>
  <c r="S108" i="15"/>
  <c r="T108" i="15"/>
  <c r="U108" i="15"/>
  <c r="V108" i="15"/>
  <c r="W108" i="15"/>
  <c r="X108" i="15"/>
  <c r="Y108" i="15"/>
  <c r="Z108" i="15"/>
  <c r="AA108" i="15"/>
  <c r="AB108" i="15"/>
  <c r="AC108" i="15"/>
  <c r="AD108" i="15"/>
  <c r="AE108" i="15"/>
  <c r="AF108" i="15"/>
  <c r="AG108" i="15"/>
  <c r="AH108" i="15"/>
  <c r="AI108" i="15"/>
  <c r="AJ108" i="15"/>
  <c r="AK108" i="15"/>
  <c r="AL108" i="15"/>
  <c r="AM108" i="15"/>
  <c r="AN108" i="15"/>
  <c r="AO108" i="15"/>
  <c r="AP108" i="15"/>
  <c r="AQ108" i="15"/>
  <c r="AR108" i="15"/>
  <c r="AS108" i="15"/>
  <c r="AT108" i="15"/>
  <c r="AU108" i="15"/>
  <c r="AV108" i="15"/>
  <c r="AW108" i="15"/>
  <c r="AX108" i="15"/>
  <c r="AY108" i="15"/>
  <c r="AZ108" i="15"/>
  <c r="BA108" i="15"/>
  <c r="BB108" i="15"/>
  <c r="BC108" i="15"/>
  <c r="BD108" i="15"/>
  <c r="BE108" i="15"/>
  <c r="BF108" i="15"/>
  <c r="BG108" i="15"/>
  <c r="BH108" i="15"/>
  <c r="BI108" i="15"/>
  <c r="BJ108" i="15"/>
  <c r="BK108" i="15"/>
  <c r="BL108" i="15"/>
  <c r="BM108" i="15"/>
  <c r="BN108" i="15"/>
  <c r="BO108" i="15"/>
  <c r="BP108" i="15"/>
  <c r="BQ108" i="15"/>
  <c r="BR108" i="15"/>
  <c r="BS108" i="15"/>
  <c r="BT108" i="15"/>
  <c r="BU108" i="15"/>
  <c r="BV108" i="15"/>
  <c r="BW108" i="15"/>
  <c r="BX108" i="15"/>
  <c r="BY108" i="15"/>
  <c r="BZ108" i="15"/>
  <c r="CA108" i="15"/>
  <c r="CB108" i="15"/>
  <c r="CC108" i="15"/>
  <c r="CD108" i="15"/>
  <c r="CE108" i="15"/>
  <c r="CF108" i="15"/>
  <c r="CG108" i="15"/>
  <c r="CH108" i="15"/>
  <c r="CI108" i="15"/>
  <c r="CJ108" i="15"/>
  <c r="CK108" i="15"/>
  <c r="CL108" i="15"/>
  <c r="CM108" i="15"/>
  <c r="CN108" i="15"/>
  <c r="CO108" i="15"/>
  <c r="CP108" i="15"/>
  <c r="CQ108" i="15"/>
  <c r="CR108" i="15"/>
  <c r="CS108" i="15"/>
  <c r="CT108" i="15"/>
  <c r="CU108" i="15"/>
  <c r="CV108" i="15"/>
  <c r="CW108" i="15"/>
  <c r="CX108" i="15"/>
  <c r="CY108" i="15"/>
  <c r="CZ108" i="15"/>
  <c r="DA108" i="15"/>
  <c r="DB108" i="15"/>
  <c r="DC108" i="15"/>
  <c r="DD108" i="15"/>
  <c r="DE108" i="15"/>
  <c r="DF108" i="15"/>
  <c r="DG108" i="15"/>
  <c r="DH108" i="15"/>
  <c r="DI108" i="15"/>
  <c r="DJ108" i="15"/>
  <c r="DK108" i="15"/>
  <c r="DL108" i="15"/>
  <c r="DM108" i="15"/>
  <c r="DN108" i="15"/>
  <c r="DO108" i="15"/>
  <c r="DP108" i="15"/>
  <c r="DQ108" i="15"/>
  <c r="DR108" i="15"/>
  <c r="DS108" i="15"/>
  <c r="DT108" i="15"/>
  <c r="DU108" i="15"/>
  <c r="DV108" i="15"/>
  <c r="DW108" i="15"/>
  <c r="DX108" i="15"/>
  <c r="DY108" i="15"/>
  <c r="DZ108" i="15"/>
  <c r="EA108" i="15"/>
  <c r="EB108" i="15"/>
  <c r="EC108" i="15"/>
  <c r="ED108" i="15"/>
  <c r="EE108" i="15"/>
  <c r="EF108" i="15"/>
  <c r="EG108" i="15"/>
  <c r="EH108" i="15"/>
  <c r="EI108" i="15"/>
  <c r="EJ108" i="15"/>
  <c r="EK108" i="15"/>
  <c r="EL108" i="15"/>
  <c r="EM108" i="15"/>
  <c r="EN108" i="15"/>
  <c r="EO108" i="15"/>
  <c r="EP108" i="15"/>
  <c r="EQ108" i="15"/>
  <c r="ER108" i="15"/>
  <c r="ES108" i="15"/>
  <c r="ET108" i="15"/>
  <c r="EU108" i="15"/>
  <c r="EV108" i="15"/>
  <c r="EW108" i="15"/>
  <c r="EX108" i="15"/>
  <c r="EY108" i="15"/>
  <c r="EZ108" i="15"/>
  <c r="FA108" i="15"/>
  <c r="FB108" i="15"/>
  <c r="FC108" i="15"/>
  <c r="FD108" i="15"/>
  <c r="FE108" i="15"/>
  <c r="FF108" i="15"/>
  <c r="FG108" i="15"/>
  <c r="FH108" i="15"/>
  <c r="FI108" i="15"/>
  <c r="FJ108" i="15"/>
  <c r="FK108" i="15"/>
  <c r="FL108" i="15"/>
  <c r="B109" i="15"/>
  <c r="C109" i="15"/>
  <c r="D109" i="15"/>
  <c r="E109" i="15"/>
  <c r="F109" i="15"/>
  <c r="G109" i="15"/>
  <c r="H109" i="15"/>
  <c r="I109" i="15"/>
  <c r="J109" i="15"/>
  <c r="K109" i="15"/>
  <c r="L109" i="15"/>
  <c r="M109" i="15"/>
  <c r="N109" i="15"/>
  <c r="O109" i="15"/>
  <c r="P109" i="15"/>
  <c r="Q109" i="15"/>
  <c r="R109" i="15"/>
  <c r="S109" i="15"/>
  <c r="T109" i="15"/>
  <c r="U109" i="15"/>
  <c r="V109" i="15"/>
  <c r="W109" i="15"/>
  <c r="X109" i="15"/>
  <c r="Y109" i="15"/>
  <c r="Z109" i="15"/>
  <c r="AA109" i="15"/>
  <c r="AB109" i="15"/>
  <c r="AC109" i="15"/>
  <c r="AD109" i="15"/>
  <c r="AE109" i="15"/>
  <c r="AF109" i="15"/>
  <c r="AG109" i="15"/>
  <c r="AH109" i="15"/>
  <c r="AI109" i="15"/>
  <c r="AJ109" i="15"/>
  <c r="AK109" i="15"/>
  <c r="AL109" i="15"/>
  <c r="AM109" i="15"/>
  <c r="AN109" i="15"/>
  <c r="AO109" i="15"/>
  <c r="AP109" i="15"/>
  <c r="AQ109" i="15"/>
  <c r="AR109" i="15"/>
  <c r="AS109" i="15"/>
  <c r="AT109" i="15"/>
  <c r="AU109" i="15"/>
  <c r="AV109" i="15"/>
  <c r="AW109" i="15"/>
  <c r="AX109" i="15"/>
  <c r="AY109" i="15"/>
  <c r="AZ109" i="15"/>
  <c r="BA109" i="15"/>
  <c r="BB109" i="15"/>
  <c r="BC109" i="15"/>
  <c r="BD109" i="15"/>
  <c r="BE109" i="15"/>
  <c r="BF109" i="15"/>
  <c r="BG109" i="15"/>
  <c r="BH109" i="15"/>
  <c r="BI109" i="15"/>
  <c r="BJ109" i="15"/>
  <c r="BK109" i="15"/>
  <c r="BL109" i="15"/>
  <c r="BM109" i="15"/>
  <c r="BN109" i="15"/>
  <c r="BO109" i="15"/>
  <c r="BP109" i="15"/>
  <c r="BQ109" i="15"/>
  <c r="BR109" i="15"/>
  <c r="BS109" i="15"/>
  <c r="BT109" i="15"/>
  <c r="BU109" i="15"/>
  <c r="BV109" i="15"/>
  <c r="BW109" i="15"/>
  <c r="BX109" i="15"/>
  <c r="BY109" i="15"/>
  <c r="BZ109" i="15"/>
  <c r="CA109" i="15"/>
  <c r="CB109" i="15"/>
  <c r="CC109" i="15"/>
  <c r="CD109" i="15"/>
  <c r="CE109" i="15"/>
  <c r="CF109" i="15"/>
  <c r="CG109" i="15"/>
  <c r="CH109" i="15"/>
  <c r="CI109" i="15"/>
  <c r="CJ109" i="15"/>
  <c r="CK109" i="15"/>
  <c r="CL109" i="15"/>
  <c r="CM109" i="15"/>
  <c r="CN109" i="15"/>
  <c r="CO109" i="15"/>
  <c r="CP109" i="15"/>
  <c r="CQ109" i="15"/>
  <c r="CR109" i="15"/>
  <c r="CS109" i="15"/>
  <c r="CT109" i="15"/>
  <c r="CU109" i="15"/>
  <c r="CV109" i="15"/>
  <c r="CW109" i="15"/>
  <c r="CX109" i="15"/>
  <c r="CY109" i="15"/>
  <c r="CZ109" i="15"/>
  <c r="DA109" i="15"/>
  <c r="DB109" i="15"/>
  <c r="DC109" i="15"/>
  <c r="DD109" i="15"/>
  <c r="DE109" i="15"/>
  <c r="DF109" i="15"/>
  <c r="DG109" i="15"/>
  <c r="DH109" i="15"/>
  <c r="DI109" i="15"/>
  <c r="DJ109" i="15"/>
  <c r="DK109" i="15"/>
  <c r="DL109" i="15"/>
  <c r="DM109" i="15"/>
  <c r="DN109" i="15"/>
  <c r="DO109" i="15"/>
  <c r="DP109" i="15"/>
  <c r="DQ109" i="15"/>
  <c r="DR109" i="15"/>
  <c r="DS109" i="15"/>
  <c r="DT109" i="15"/>
  <c r="DU109" i="15"/>
  <c r="DV109" i="15"/>
  <c r="DW109" i="15"/>
  <c r="DX109" i="15"/>
  <c r="DY109" i="15"/>
  <c r="DZ109" i="15"/>
  <c r="EA109" i="15"/>
  <c r="EB109" i="15"/>
  <c r="EC109" i="15"/>
  <c r="ED109" i="15"/>
  <c r="EE109" i="15"/>
  <c r="EF109" i="15"/>
  <c r="EG109" i="15"/>
  <c r="EH109" i="15"/>
  <c r="EI109" i="15"/>
  <c r="EJ109" i="15"/>
  <c r="EK109" i="15"/>
  <c r="EL109" i="15"/>
  <c r="EM109" i="15"/>
  <c r="EN109" i="15"/>
  <c r="EO109" i="15"/>
  <c r="EP109" i="15"/>
  <c r="EQ109" i="15"/>
  <c r="ER109" i="15"/>
  <c r="ES109" i="15"/>
  <c r="ET109" i="15"/>
  <c r="EU109" i="15"/>
  <c r="EV109" i="15"/>
  <c r="EW109" i="15"/>
  <c r="EX109" i="15"/>
  <c r="EY109" i="15"/>
  <c r="EZ109" i="15"/>
  <c r="FA109" i="15"/>
  <c r="FB109" i="15"/>
  <c r="FC109" i="15"/>
  <c r="FD109" i="15"/>
  <c r="FE109" i="15"/>
  <c r="FF109" i="15"/>
  <c r="FG109" i="15"/>
  <c r="FH109" i="15"/>
  <c r="FI109" i="15"/>
  <c r="FJ109" i="15"/>
  <c r="FK109" i="15"/>
  <c r="FL109" i="15"/>
  <c r="B110" i="15"/>
  <c r="C110" i="15"/>
  <c r="D110" i="15"/>
  <c r="E110" i="15"/>
  <c r="F110" i="15"/>
  <c r="G110" i="15"/>
  <c r="H110" i="15"/>
  <c r="I110" i="15"/>
  <c r="J110" i="15"/>
  <c r="K110" i="15"/>
  <c r="L110" i="15"/>
  <c r="M110" i="15"/>
  <c r="N110" i="15"/>
  <c r="O110" i="15"/>
  <c r="P110" i="15"/>
  <c r="Q110" i="15"/>
  <c r="R110" i="15"/>
  <c r="S110" i="15"/>
  <c r="T110" i="15"/>
  <c r="U110" i="15"/>
  <c r="V110" i="15"/>
  <c r="W110" i="15"/>
  <c r="X110" i="15"/>
  <c r="Y110" i="15"/>
  <c r="Z110" i="15"/>
  <c r="AA110" i="15"/>
  <c r="AB110" i="15"/>
  <c r="AC110" i="15"/>
  <c r="AD110" i="15"/>
  <c r="AE110" i="15"/>
  <c r="AF110" i="15"/>
  <c r="AG110" i="15"/>
  <c r="AH110" i="15"/>
  <c r="AI110" i="15"/>
  <c r="AJ110" i="15"/>
  <c r="AK110" i="15"/>
  <c r="AL110" i="15"/>
  <c r="AM110" i="15"/>
  <c r="AN110" i="15"/>
  <c r="AO110" i="15"/>
  <c r="AP110" i="15"/>
  <c r="AQ110" i="15"/>
  <c r="AR110" i="15"/>
  <c r="AS110" i="15"/>
  <c r="AT110" i="15"/>
  <c r="AU110" i="15"/>
  <c r="AV110" i="15"/>
  <c r="AW110" i="15"/>
  <c r="AX110" i="15"/>
  <c r="AY110" i="15"/>
  <c r="AZ110" i="15"/>
  <c r="BA110" i="15"/>
  <c r="BB110" i="15"/>
  <c r="BC110" i="15"/>
  <c r="BD110" i="15"/>
  <c r="BE110" i="15"/>
  <c r="BF110" i="15"/>
  <c r="BG110" i="15"/>
  <c r="BH110" i="15"/>
  <c r="BI110" i="15"/>
  <c r="BJ110" i="15"/>
  <c r="BK110" i="15"/>
  <c r="BL110" i="15"/>
  <c r="BM110" i="15"/>
  <c r="BN110" i="15"/>
  <c r="BO110" i="15"/>
  <c r="BP110" i="15"/>
  <c r="BQ110" i="15"/>
  <c r="BR110" i="15"/>
  <c r="BS110" i="15"/>
  <c r="BT110" i="15"/>
  <c r="BU110" i="15"/>
  <c r="BV110" i="15"/>
  <c r="BW110" i="15"/>
  <c r="BX110" i="15"/>
  <c r="BY110" i="15"/>
  <c r="BZ110" i="15"/>
  <c r="CA110" i="15"/>
  <c r="CB110" i="15"/>
  <c r="CC110" i="15"/>
  <c r="CD110" i="15"/>
  <c r="CE110" i="15"/>
  <c r="CF110" i="15"/>
  <c r="CG110" i="15"/>
  <c r="CH110" i="15"/>
  <c r="CI110" i="15"/>
  <c r="CJ110" i="15"/>
  <c r="CK110" i="15"/>
  <c r="CL110" i="15"/>
  <c r="CM110" i="15"/>
  <c r="CN110" i="15"/>
  <c r="CO110" i="15"/>
  <c r="CP110" i="15"/>
  <c r="CQ110" i="15"/>
  <c r="CR110" i="15"/>
  <c r="CS110" i="15"/>
  <c r="CT110" i="15"/>
  <c r="CU110" i="15"/>
  <c r="CV110" i="15"/>
  <c r="CW110" i="15"/>
  <c r="CX110" i="15"/>
  <c r="CY110" i="15"/>
  <c r="CZ110" i="15"/>
  <c r="DA110" i="15"/>
  <c r="DB110" i="15"/>
  <c r="DC110" i="15"/>
  <c r="DD110" i="15"/>
  <c r="DE110" i="15"/>
  <c r="DF110" i="15"/>
  <c r="DG110" i="15"/>
  <c r="DH110" i="15"/>
  <c r="DI110" i="15"/>
  <c r="DJ110" i="15"/>
  <c r="DK110" i="15"/>
  <c r="DL110" i="15"/>
  <c r="DM110" i="15"/>
  <c r="DN110" i="15"/>
  <c r="DO110" i="15"/>
  <c r="DP110" i="15"/>
  <c r="DQ110" i="15"/>
  <c r="DR110" i="15"/>
  <c r="DS110" i="15"/>
  <c r="DT110" i="15"/>
  <c r="DU110" i="15"/>
  <c r="DV110" i="15"/>
  <c r="DW110" i="15"/>
  <c r="DX110" i="15"/>
  <c r="DY110" i="15"/>
  <c r="DZ110" i="15"/>
  <c r="EA110" i="15"/>
  <c r="EB110" i="15"/>
  <c r="EC110" i="15"/>
  <c r="ED110" i="15"/>
  <c r="EE110" i="15"/>
  <c r="EF110" i="15"/>
  <c r="EG110" i="15"/>
  <c r="EH110" i="15"/>
  <c r="EI110" i="15"/>
  <c r="EJ110" i="15"/>
  <c r="EK110" i="15"/>
  <c r="EL110" i="15"/>
  <c r="EM110" i="15"/>
  <c r="EN110" i="15"/>
  <c r="EO110" i="15"/>
  <c r="EP110" i="15"/>
  <c r="EQ110" i="15"/>
  <c r="ER110" i="15"/>
  <c r="ES110" i="15"/>
  <c r="ET110" i="15"/>
  <c r="EU110" i="15"/>
  <c r="EV110" i="15"/>
  <c r="EW110" i="15"/>
  <c r="EX110" i="15"/>
  <c r="EY110" i="15"/>
  <c r="EZ110" i="15"/>
  <c r="FA110" i="15"/>
  <c r="FB110" i="15"/>
  <c r="FC110" i="15"/>
  <c r="FD110" i="15"/>
  <c r="FE110" i="15"/>
  <c r="FF110" i="15"/>
  <c r="FG110" i="15"/>
  <c r="FH110" i="15"/>
  <c r="FI110" i="15"/>
  <c r="FJ110" i="15"/>
  <c r="FK110" i="15"/>
  <c r="FL110" i="15"/>
  <c r="B111" i="15"/>
  <c r="C111" i="15"/>
  <c r="D111" i="15"/>
  <c r="E111" i="15"/>
  <c r="F111" i="15"/>
  <c r="G111" i="15"/>
  <c r="H111" i="15"/>
  <c r="I111" i="15"/>
  <c r="J111" i="15"/>
  <c r="K111" i="15"/>
  <c r="L111" i="15"/>
  <c r="M111" i="15"/>
  <c r="N111" i="15"/>
  <c r="O111" i="15"/>
  <c r="P111" i="15"/>
  <c r="Q111" i="15"/>
  <c r="R111" i="15"/>
  <c r="S111" i="15"/>
  <c r="T111" i="15"/>
  <c r="U111" i="15"/>
  <c r="V111" i="15"/>
  <c r="W111" i="15"/>
  <c r="X111" i="15"/>
  <c r="Y111" i="15"/>
  <c r="Z111" i="15"/>
  <c r="AA111" i="15"/>
  <c r="AB111" i="15"/>
  <c r="AC111" i="15"/>
  <c r="AD111" i="15"/>
  <c r="AE111" i="15"/>
  <c r="AF111" i="15"/>
  <c r="AG111" i="15"/>
  <c r="AH111" i="15"/>
  <c r="AI111" i="15"/>
  <c r="AJ111" i="15"/>
  <c r="AK111" i="15"/>
  <c r="AL111" i="15"/>
  <c r="AM111" i="15"/>
  <c r="AN111" i="15"/>
  <c r="AO111" i="15"/>
  <c r="AP111" i="15"/>
  <c r="AQ111" i="15"/>
  <c r="AR111" i="15"/>
  <c r="AS111" i="15"/>
  <c r="AT111" i="15"/>
  <c r="AU111" i="15"/>
  <c r="AV111" i="15"/>
  <c r="AW111" i="15"/>
  <c r="AX111" i="15"/>
  <c r="AY111" i="15"/>
  <c r="AZ111" i="15"/>
  <c r="BA111" i="15"/>
  <c r="BB111" i="15"/>
  <c r="BC111" i="15"/>
  <c r="BD111" i="15"/>
  <c r="BE111" i="15"/>
  <c r="BF111" i="15"/>
  <c r="BG111" i="15"/>
  <c r="BH111" i="15"/>
  <c r="BI111" i="15"/>
  <c r="BJ111" i="15"/>
  <c r="BK111" i="15"/>
  <c r="BL111" i="15"/>
  <c r="BM111" i="15"/>
  <c r="BN111" i="15"/>
  <c r="BO111" i="15"/>
  <c r="BP111" i="15"/>
  <c r="BQ111" i="15"/>
  <c r="BR111" i="15"/>
  <c r="BS111" i="15"/>
  <c r="BT111" i="15"/>
  <c r="BU111" i="15"/>
  <c r="BV111" i="15"/>
  <c r="BW111" i="15"/>
  <c r="BX111" i="15"/>
  <c r="BY111" i="15"/>
  <c r="BZ111" i="15"/>
  <c r="CA111" i="15"/>
  <c r="CB111" i="15"/>
  <c r="CC111" i="15"/>
  <c r="CD111" i="15"/>
  <c r="CE111" i="15"/>
  <c r="CF111" i="15"/>
  <c r="CG111" i="15"/>
  <c r="CH111" i="15"/>
  <c r="CI111" i="15"/>
  <c r="CJ111" i="15"/>
  <c r="CK111" i="15"/>
  <c r="CL111" i="15"/>
  <c r="CM111" i="15"/>
  <c r="CN111" i="15"/>
  <c r="CO111" i="15"/>
  <c r="CP111" i="15"/>
  <c r="CQ111" i="15"/>
  <c r="CR111" i="15"/>
  <c r="CS111" i="15"/>
  <c r="CT111" i="15"/>
  <c r="CU111" i="15"/>
  <c r="CV111" i="15"/>
  <c r="CW111" i="15"/>
  <c r="CX111" i="15"/>
  <c r="CY111" i="15"/>
  <c r="CZ111" i="15"/>
  <c r="DA111" i="15"/>
  <c r="DB111" i="15"/>
  <c r="DC111" i="15"/>
  <c r="DD111" i="15"/>
  <c r="DE111" i="15"/>
  <c r="DF111" i="15"/>
  <c r="DG111" i="15"/>
  <c r="DH111" i="15"/>
  <c r="DI111" i="15"/>
  <c r="DJ111" i="15"/>
  <c r="DK111" i="15"/>
  <c r="DL111" i="15"/>
  <c r="DM111" i="15"/>
  <c r="DN111" i="15"/>
  <c r="DO111" i="15"/>
  <c r="DP111" i="15"/>
  <c r="DQ111" i="15"/>
  <c r="DR111" i="15"/>
  <c r="DS111" i="15"/>
  <c r="DT111" i="15"/>
  <c r="DU111" i="15"/>
  <c r="DV111" i="15"/>
  <c r="DW111" i="15"/>
  <c r="DX111" i="15"/>
  <c r="DY111" i="15"/>
  <c r="DZ111" i="15"/>
  <c r="EA111" i="15"/>
  <c r="EB111" i="15"/>
  <c r="EC111" i="15"/>
  <c r="ED111" i="15"/>
  <c r="EE111" i="15"/>
  <c r="EF111" i="15"/>
  <c r="EG111" i="15"/>
  <c r="EH111" i="15"/>
  <c r="EI111" i="15"/>
  <c r="EJ111" i="15"/>
  <c r="EK111" i="15"/>
  <c r="EL111" i="15"/>
  <c r="EM111" i="15"/>
  <c r="EN111" i="15"/>
  <c r="EO111" i="15"/>
  <c r="EP111" i="15"/>
  <c r="EQ111" i="15"/>
  <c r="ER111" i="15"/>
  <c r="ES111" i="15"/>
  <c r="ET111" i="15"/>
  <c r="EU111" i="15"/>
  <c r="EV111" i="15"/>
  <c r="EW111" i="15"/>
  <c r="EX111" i="15"/>
  <c r="EY111" i="15"/>
  <c r="EZ111" i="15"/>
  <c r="FA111" i="15"/>
  <c r="FB111" i="15"/>
  <c r="FC111" i="15"/>
  <c r="FD111" i="15"/>
  <c r="FE111" i="15"/>
  <c r="FF111" i="15"/>
  <c r="FG111" i="15"/>
  <c r="FH111" i="15"/>
  <c r="FI111" i="15"/>
  <c r="FJ111" i="15"/>
  <c r="FK111" i="15"/>
  <c r="FL111" i="15"/>
  <c r="B112" i="15"/>
  <c r="C112" i="15"/>
  <c r="D112" i="15"/>
  <c r="E112" i="15"/>
  <c r="F112" i="15"/>
  <c r="G112" i="15"/>
  <c r="H112" i="15"/>
  <c r="I112" i="15"/>
  <c r="J112" i="15"/>
  <c r="K112" i="15"/>
  <c r="L112" i="15"/>
  <c r="M112" i="15"/>
  <c r="N112" i="15"/>
  <c r="O112" i="15"/>
  <c r="P112" i="15"/>
  <c r="Q112" i="15"/>
  <c r="R112" i="15"/>
  <c r="S112" i="15"/>
  <c r="T112" i="15"/>
  <c r="U112" i="15"/>
  <c r="V112" i="15"/>
  <c r="W112" i="15"/>
  <c r="X112" i="15"/>
  <c r="Y112" i="15"/>
  <c r="Z112" i="15"/>
  <c r="AA112" i="15"/>
  <c r="AB112" i="15"/>
  <c r="AC112" i="15"/>
  <c r="AD112" i="15"/>
  <c r="AE112" i="15"/>
  <c r="AF112" i="15"/>
  <c r="AG112" i="15"/>
  <c r="AH112" i="15"/>
  <c r="AI112" i="15"/>
  <c r="AJ112" i="15"/>
  <c r="AK112" i="15"/>
  <c r="AL112" i="15"/>
  <c r="AM112" i="15"/>
  <c r="AN112" i="15"/>
  <c r="AO112" i="15"/>
  <c r="AP112" i="15"/>
  <c r="AQ112" i="15"/>
  <c r="AR112" i="15"/>
  <c r="AS112" i="15"/>
  <c r="AT112" i="15"/>
  <c r="AU112" i="15"/>
  <c r="AV112" i="15"/>
  <c r="AW112" i="15"/>
  <c r="AX112" i="15"/>
  <c r="AY112" i="15"/>
  <c r="AZ112" i="15"/>
  <c r="BA112" i="15"/>
  <c r="BB112" i="15"/>
  <c r="BC112" i="15"/>
  <c r="BD112" i="15"/>
  <c r="BE112" i="15"/>
  <c r="BF112" i="15"/>
  <c r="BG112" i="15"/>
  <c r="BH112" i="15"/>
  <c r="BI112" i="15"/>
  <c r="BJ112" i="15"/>
  <c r="BK112" i="15"/>
  <c r="BL112" i="15"/>
  <c r="BM112" i="15"/>
  <c r="BN112" i="15"/>
  <c r="BO112" i="15"/>
  <c r="BP112" i="15"/>
  <c r="BQ112" i="15"/>
  <c r="BR112" i="15"/>
  <c r="BS112" i="15"/>
  <c r="BT112" i="15"/>
  <c r="BU112" i="15"/>
  <c r="BV112" i="15"/>
  <c r="BW112" i="15"/>
  <c r="BX112" i="15"/>
  <c r="BY112" i="15"/>
  <c r="BZ112" i="15"/>
  <c r="CA112" i="15"/>
  <c r="CB112" i="15"/>
  <c r="CC112" i="15"/>
  <c r="CD112" i="15"/>
  <c r="CE112" i="15"/>
  <c r="CF112" i="15"/>
  <c r="CG112" i="15"/>
  <c r="CH112" i="15"/>
  <c r="CI112" i="15"/>
  <c r="CJ112" i="15"/>
  <c r="CK112" i="15"/>
  <c r="CL112" i="15"/>
  <c r="CM112" i="15"/>
  <c r="CN112" i="15"/>
  <c r="CO112" i="15"/>
  <c r="CP112" i="15"/>
  <c r="CQ112" i="15"/>
  <c r="CR112" i="15"/>
  <c r="CS112" i="15"/>
  <c r="CT112" i="15"/>
  <c r="CU112" i="15"/>
  <c r="CV112" i="15"/>
  <c r="CW112" i="15"/>
  <c r="CX112" i="15"/>
  <c r="CY112" i="15"/>
  <c r="CZ112" i="15"/>
  <c r="DA112" i="15"/>
  <c r="DB112" i="15"/>
  <c r="DC112" i="15"/>
  <c r="DD112" i="15"/>
  <c r="DE112" i="15"/>
  <c r="DF112" i="15"/>
  <c r="DG112" i="15"/>
  <c r="DH112" i="15"/>
  <c r="DI112" i="15"/>
  <c r="DJ112" i="15"/>
  <c r="DK112" i="15"/>
  <c r="DL112" i="15"/>
  <c r="DM112" i="15"/>
  <c r="DN112" i="15"/>
  <c r="DO112" i="15"/>
  <c r="DP112" i="15"/>
  <c r="DQ112" i="15"/>
  <c r="DR112" i="15"/>
  <c r="DS112" i="15"/>
  <c r="DT112" i="15"/>
  <c r="DU112" i="15"/>
  <c r="DV112" i="15"/>
  <c r="DW112" i="15"/>
  <c r="DX112" i="15"/>
  <c r="DY112" i="15"/>
  <c r="DZ112" i="15"/>
  <c r="EA112" i="15"/>
  <c r="EB112" i="15"/>
  <c r="EC112" i="15"/>
  <c r="ED112" i="15"/>
  <c r="EE112" i="15"/>
  <c r="EF112" i="15"/>
  <c r="EG112" i="15"/>
  <c r="EH112" i="15"/>
  <c r="EI112" i="15"/>
  <c r="EJ112" i="15"/>
  <c r="EK112" i="15"/>
  <c r="EL112" i="15"/>
  <c r="EM112" i="15"/>
  <c r="EN112" i="15"/>
  <c r="EO112" i="15"/>
  <c r="EP112" i="15"/>
  <c r="EQ112" i="15"/>
  <c r="ER112" i="15"/>
  <c r="ES112" i="15"/>
  <c r="ET112" i="15"/>
  <c r="EU112" i="15"/>
  <c r="EV112" i="15"/>
  <c r="EW112" i="15"/>
  <c r="EX112" i="15"/>
  <c r="EY112" i="15"/>
  <c r="EZ112" i="15"/>
  <c r="FA112" i="15"/>
  <c r="FB112" i="15"/>
  <c r="FC112" i="15"/>
  <c r="FD112" i="15"/>
  <c r="FE112" i="15"/>
  <c r="FF112" i="15"/>
  <c r="FG112" i="15"/>
  <c r="FH112" i="15"/>
  <c r="FI112" i="15"/>
  <c r="FJ112" i="15"/>
  <c r="FK112" i="15"/>
  <c r="FL112" i="15"/>
  <c r="B113" i="15"/>
  <c r="C113" i="15"/>
  <c r="D113" i="15"/>
  <c r="E113" i="15"/>
  <c r="F113" i="15"/>
  <c r="G113" i="15"/>
  <c r="H113" i="15"/>
  <c r="I113" i="15"/>
  <c r="J113" i="15"/>
  <c r="K113" i="15"/>
  <c r="L113" i="15"/>
  <c r="M113" i="15"/>
  <c r="N113" i="15"/>
  <c r="O113" i="15"/>
  <c r="P113" i="15"/>
  <c r="Q113" i="15"/>
  <c r="R113" i="15"/>
  <c r="S113" i="15"/>
  <c r="T113" i="15"/>
  <c r="U113" i="15"/>
  <c r="V113" i="15"/>
  <c r="W113" i="15"/>
  <c r="X113" i="15"/>
  <c r="Y113" i="15"/>
  <c r="Z113" i="15"/>
  <c r="AA113" i="15"/>
  <c r="AB113" i="15"/>
  <c r="AC113" i="15"/>
  <c r="AD113" i="15"/>
  <c r="AE113" i="15"/>
  <c r="AF113" i="15"/>
  <c r="AG113" i="15"/>
  <c r="AH113" i="15"/>
  <c r="AI113" i="15"/>
  <c r="AJ113" i="15"/>
  <c r="AK113" i="15"/>
  <c r="AL113" i="15"/>
  <c r="AM113" i="15"/>
  <c r="AN113" i="15"/>
  <c r="AO113" i="15"/>
  <c r="AP113" i="15"/>
  <c r="AQ113" i="15"/>
  <c r="AR113" i="15"/>
  <c r="AS113" i="15"/>
  <c r="AT113" i="15"/>
  <c r="AU113" i="15"/>
  <c r="AV113" i="15"/>
  <c r="AW113" i="15"/>
  <c r="AX113" i="15"/>
  <c r="AY113" i="15"/>
  <c r="AZ113" i="15"/>
  <c r="BA113" i="15"/>
  <c r="BB113" i="15"/>
  <c r="BC113" i="15"/>
  <c r="BD113" i="15"/>
  <c r="BE113" i="15"/>
  <c r="BF113" i="15"/>
  <c r="BG113" i="15"/>
  <c r="BH113" i="15"/>
  <c r="BI113" i="15"/>
  <c r="BJ113" i="15"/>
  <c r="BK113" i="15"/>
  <c r="BL113" i="15"/>
  <c r="BM113" i="15"/>
  <c r="BN113" i="15"/>
  <c r="BO113" i="15"/>
  <c r="BP113" i="15"/>
  <c r="BQ113" i="15"/>
  <c r="BR113" i="15"/>
  <c r="BS113" i="15"/>
  <c r="BT113" i="15"/>
  <c r="BU113" i="15"/>
  <c r="BV113" i="15"/>
  <c r="BW113" i="15"/>
  <c r="BX113" i="15"/>
  <c r="BY113" i="15"/>
  <c r="BZ113" i="15"/>
  <c r="CA113" i="15"/>
  <c r="CB113" i="15"/>
  <c r="CC113" i="15"/>
  <c r="CD113" i="15"/>
  <c r="CE113" i="15"/>
  <c r="CF113" i="15"/>
  <c r="CG113" i="15"/>
  <c r="CH113" i="15"/>
  <c r="CI113" i="15"/>
  <c r="CJ113" i="15"/>
  <c r="CK113" i="15"/>
  <c r="CL113" i="15"/>
  <c r="CM113" i="15"/>
  <c r="CN113" i="15"/>
  <c r="CO113" i="15"/>
  <c r="CP113" i="15"/>
  <c r="CQ113" i="15"/>
  <c r="CR113" i="15"/>
  <c r="CS113" i="15"/>
  <c r="CT113" i="15"/>
  <c r="CU113" i="15"/>
  <c r="CV113" i="15"/>
  <c r="CW113" i="15"/>
  <c r="CX113" i="15"/>
  <c r="CY113" i="15"/>
  <c r="CZ113" i="15"/>
  <c r="DA113" i="15"/>
  <c r="DB113" i="15"/>
  <c r="DC113" i="15"/>
  <c r="DD113" i="15"/>
  <c r="DE113" i="15"/>
  <c r="DF113" i="15"/>
  <c r="DG113" i="15"/>
  <c r="DH113" i="15"/>
  <c r="DI113" i="15"/>
  <c r="DJ113" i="15"/>
  <c r="DK113" i="15"/>
  <c r="DL113" i="15"/>
  <c r="DM113" i="15"/>
  <c r="DN113" i="15"/>
  <c r="DO113" i="15"/>
  <c r="DP113" i="15"/>
  <c r="DQ113" i="15"/>
  <c r="DR113" i="15"/>
  <c r="DS113" i="15"/>
  <c r="DT113" i="15"/>
  <c r="DU113" i="15"/>
  <c r="DV113" i="15"/>
  <c r="DW113" i="15"/>
  <c r="DX113" i="15"/>
  <c r="DY113" i="15"/>
  <c r="DZ113" i="15"/>
  <c r="EA113" i="15"/>
  <c r="EB113" i="15"/>
  <c r="EC113" i="15"/>
  <c r="ED113" i="15"/>
  <c r="EE113" i="15"/>
  <c r="EF113" i="15"/>
  <c r="EG113" i="15"/>
  <c r="EH113" i="15"/>
  <c r="EI113" i="15"/>
  <c r="EJ113" i="15"/>
  <c r="EK113" i="15"/>
  <c r="EL113" i="15"/>
  <c r="EM113" i="15"/>
  <c r="EN113" i="15"/>
  <c r="EO113" i="15"/>
  <c r="EP113" i="15"/>
  <c r="EQ113" i="15"/>
  <c r="ER113" i="15"/>
  <c r="ES113" i="15"/>
  <c r="ET113" i="15"/>
  <c r="EU113" i="15"/>
  <c r="EV113" i="15"/>
  <c r="EW113" i="15"/>
  <c r="EX113" i="15"/>
  <c r="EY113" i="15"/>
  <c r="EZ113" i="15"/>
  <c r="FA113" i="15"/>
  <c r="FB113" i="15"/>
  <c r="FC113" i="15"/>
  <c r="FD113" i="15"/>
  <c r="FE113" i="15"/>
  <c r="FF113" i="15"/>
  <c r="FG113" i="15"/>
  <c r="FH113" i="15"/>
  <c r="FI113" i="15"/>
  <c r="FJ113" i="15"/>
  <c r="FK113" i="15"/>
  <c r="FL113" i="15"/>
  <c r="B114" i="15"/>
  <c r="C114" i="15"/>
  <c r="D114" i="15"/>
  <c r="E114" i="15"/>
  <c r="F114" i="15"/>
  <c r="G114" i="15"/>
  <c r="H114" i="15"/>
  <c r="I114" i="15"/>
  <c r="J114" i="15"/>
  <c r="K114" i="15"/>
  <c r="L114" i="15"/>
  <c r="M114" i="15"/>
  <c r="N114" i="15"/>
  <c r="O114" i="15"/>
  <c r="P114" i="15"/>
  <c r="Q114" i="15"/>
  <c r="R114" i="15"/>
  <c r="S114" i="15"/>
  <c r="T114" i="15"/>
  <c r="U114" i="15"/>
  <c r="V114" i="15"/>
  <c r="W114" i="15"/>
  <c r="X114" i="15"/>
  <c r="Y114" i="15"/>
  <c r="Z114" i="15"/>
  <c r="AA114" i="15"/>
  <c r="AB114" i="15"/>
  <c r="AC114" i="15"/>
  <c r="AD114" i="15"/>
  <c r="AE114" i="15"/>
  <c r="AF114" i="15"/>
  <c r="AG114" i="15"/>
  <c r="AH114" i="15"/>
  <c r="AI114" i="15"/>
  <c r="AJ114" i="15"/>
  <c r="AK114" i="15"/>
  <c r="AL114" i="15"/>
  <c r="AM114" i="15"/>
  <c r="AN114" i="15"/>
  <c r="AO114" i="15"/>
  <c r="AP114" i="15"/>
  <c r="AQ114" i="15"/>
  <c r="AR114" i="15"/>
  <c r="AS114" i="15"/>
  <c r="AT114" i="15"/>
  <c r="AU114" i="15"/>
  <c r="AV114" i="15"/>
  <c r="AW114" i="15"/>
  <c r="AX114" i="15"/>
  <c r="AY114" i="15"/>
  <c r="AZ114" i="15"/>
  <c r="BA114" i="15"/>
  <c r="BB114" i="15"/>
  <c r="BC114" i="15"/>
  <c r="BD114" i="15"/>
  <c r="BE114" i="15"/>
  <c r="BF114" i="15"/>
  <c r="BG114" i="15"/>
  <c r="BH114" i="15"/>
  <c r="BI114" i="15"/>
  <c r="BJ114" i="15"/>
  <c r="BK114" i="15"/>
  <c r="BL114" i="15"/>
  <c r="BM114" i="15"/>
  <c r="BN114" i="15"/>
  <c r="BO114" i="15"/>
  <c r="BP114" i="15"/>
  <c r="BQ114" i="15"/>
  <c r="BR114" i="15"/>
  <c r="BS114" i="15"/>
  <c r="BT114" i="15"/>
  <c r="BU114" i="15"/>
  <c r="BV114" i="15"/>
  <c r="BW114" i="15"/>
  <c r="BX114" i="15"/>
  <c r="BY114" i="15"/>
  <c r="BZ114" i="15"/>
  <c r="CA114" i="15"/>
  <c r="CB114" i="15"/>
  <c r="CC114" i="15"/>
  <c r="CD114" i="15"/>
  <c r="CE114" i="15"/>
  <c r="CF114" i="15"/>
  <c r="CG114" i="15"/>
  <c r="CH114" i="15"/>
  <c r="CI114" i="15"/>
  <c r="CJ114" i="15"/>
  <c r="CK114" i="15"/>
  <c r="CL114" i="15"/>
  <c r="CM114" i="15"/>
  <c r="CN114" i="15"/>
  <c r="CO114" i="15"/>
  <c r="CP114" i="15"/>
  <c r="CQ114" i="15"/>
  <c r="CR114" i="15"/>
  <c r="CS114" i="15"/>
  <c r="CT114" i="15"/>
  <c r="CU114" i="15"/>
  <c r="CV114" i="15"/>
  <c r="CW114" i="15"/>
  <c r="CX114" i="15"/>
  <c r="CY114" i="15"/>
  <c r="CZ114" i="15"/>
  <c r="DA114" i="15"/>
  <c r="DB114" i="15"/>
  <c r="DC114" i="15"/>
  <c r="DD114" i="15"/>
  <c r="DE114" i="15"/>
  <c r="DF114" i="15"/>
  <c r="DG114" i="15"/>
  <c r="DH114" i="15"/>
  <c r="DI114" i="15"/>
  <c r="DJ114" i="15"/>
  <c r="DK114" i="15"/>
  <c r="DL114" i="15"/>
  <c r="DM114" i="15"/>
  <c r="DN114" i="15"/>
  <c r="DO114" i="15"/>
  <c r="DP114" i="15"/>
  <c r="DQ114" i="15"/>
  <c r="DR114" i="15"/>
  <c r="DS114" i="15"/>
  <c r="DT114" i="15"/>
  <c r="DU114" i="15"/>
  <c r="DV114" i="15"/>
  <c r="DW114" i="15"/>
  <c r="DX114" i="15"/>
  <c r="DY114" i="15"/>
  <c r="DZ114" i="15"/>
  <c r="EA114" i="15"/>
  <c r="EB114" i="15"/>
  <c r="EC114" i="15"/>
  <c r="ED114" i="15"/>
  <c r="EE114" i="15"/>
  <c r="EF114" i="15"/>
  <c r="EG114" i="15"/>
  <c r="EH114" i="15"/>
  <c r="EI114" i="15"/>
  <c r="EJ114" i="15"/>
  <c r="EK114" i="15"/>
  <c r="EL114" i="15"/>
  <c r="EM114" i="15"/>
  <c r="EN114" i="15"/>
  <c r="EO114" i="15"/>
  <c r="EP114" i="15"/>
  <c r="EQ114" i="15"/>
  <c r="ER114" i="15"/>
  <c r="ES114" i="15"/>
  <c r="ET114" i="15"/>
  <c r="EU114" i="15"/>
  <c r="EV114" i="15"/>
  <c r="EW114" i="15"/>
  <c r="EX114" i="15"/>
  <c r="EY114" i="15"/>
  <c r="EZ114" i="15"/>
  <c r="FA114" i="15"/>
  <c r="FB114" i="15"/>
  <c r="FC114" i="15"/>
  <c r="FD114" i="15"/>
  <c r="FE114" i="15"/>
  <c r="FF114" i="15"/>
  <c r="FG114" i="15"/>
  <c r="FH114" i="15"/>
  <c r="FI114" i="15"/>
  <c r="FJ114" i="15"/>
  <c r="FK114" i="15"/>
  <c r="FL114" i="15"/>
  <c r="B115" i="15"/>
  <c r="C115" i="15"/>
  <c r="D115" i="15"/>
  <c r="E115" i="15"/>
  <c r="F115" i="15"/>
  <c r="G115" i="15"/>
  <c r="H115" i="15"/>
  <c r="I115" i="15"/>
  <c r="J115" i="15"/>
  <c r="K115" i="15"/>
  <c r="L115" i="15"/>
  <c r="M115" i="15"/>
  <c r="N115" i="15"/>
  <c r="O115" i="15"/>
  <c r="P115" i="15"/>
  <c r="Q115" i="15"/>
  <c r="R115" i="15"/>
  <c r="S115" i="15"/>
  <c r="T115" i="15"/>
  <c r="U115" i="15"/>
  <c r="V115" i="15"/>
  <c r="W115" i="15"/>
  <c r="X115" i="15"/>
  <c r="Y115" i="15"/>
  <c r="Z115" i="15"/>
  <c r="AA115" i="15"/>
  <c r="AB115" i="15"/>
  <c r="AC115" i="15"/>
  <c r="AD115" i="15"/>
  <c r="AE115" i="15"/>
  <c r="AF115" i="15"/>
  <c r="AG115" i="15"/>
  <c r="AH115" i="15"/>
  <c r="AI115" i="15"/>
  <c r="AJ115" i="15"/>
  <c r="AK115" i="15"/>
  <c r="AL115" i="15"/>
  <c r="AM115" i="15"/>
  <c r="AN115" i="15"/>
  <c r="AO115" i="15"/>
  <c r="AP115" i="15"/>
  <c r="AQ115" i="15"/>
  <c r="AR115" i="15"/>
  <c r="AS115" i="15"/>
  <c r="AT115" i="15"/>
  <c r="AU115" i="15"/>
  <c r="AV115" i="15"/>
  <c r="AW115" i="15"/>
  <c r="AX115" i="15"/>
  <c r="AY115" i="15"/>
  <c r="AZ115" i="15"/>
  <c r="BA115" i="15"/>
  <c r="BB115" i="15"/>
  <c r="BC115" i="15"/>
  <c r="BD115" i="15"/>
  <c r="BE115" i="15"/>
  <c r="BF115" i="15"/>
  <c r="BG115" i="15"/>
  <c r="BH115" i="15"/>
  <c r="BI115" i="15"/>
  <c r="BJ115" i="15"/>
  <c r="BK115" i="15"/>
  <c r="BL115" i="15"/>
  <c r="BM115" i="15"/>
  <c r="BN115" i="15"/>
  <c r="BO115" i="15"/>
  <c r="BP115" i="15"/>
  <c r="BQ115" i="15"/>
  <c r="BR115" i="15"/>
  <c r="BS115" i="15"/>
  <c r="BT115" i="15"/>
  <c r="BU115" i="15"/>
  <c r="BV115" i="15"/>
  <c r="BW115" i="15"/>
  <c r="BX115" i="15"/>
  <c r="BY115" i="15"/>
  <c r="BZ115" i="15"/>
  <c r="CA115" i="15"/>
  <c r="CB115" i="15"/>
  <c r="CC115" i="15"/>
  <c r="CD115" i="15"/>
  <c r="CE115" i="15"/>
  <c r="CF115" i="15"/>
  <c r="CG115" i="15"/>
  <c r="CH115" i="15"/>
  <c r="CI115" i="15"/>
  <c r="CJ115" i="15"/>
  <c r="CK115" i="15"/>
  <c r="CL115" i="15"/>
  <c r="CM115" i="15"/>
  <c r="CN115" i="15"/>
  <c r="CO115" i="15"/>
  <c r="CP115" i="15"/>
  <c r="CQ115" i="15"/>
  <c r="CR115" i="15"/>
  <c r="CS115" i="15"/>
  <c r="CT115" i="15"/>
  <c r="CU115" i="15"/>
  <c r="CV115" i="15"/>
  <c r="CW115" i="15"/>
  <c r="CX115" i="15"/>
  <c r="CY115" i="15"/>
  <c r="CZ115" i="15"/>
  <c r="DA115" i="15"/>
  <c r="DB115" i="15"/>
  <c r="DC115" i="15"/>
  <c r="DD115" i="15"/>
  <c r="DE115" i="15"/>
  <c r="DF115" i="15"/>
  <c r="DG115" i="15"/>
  <c r="DH115" i="15"/>
  <c r="DI115" i="15"/>
  <c r="DJ115" i="15"/>
  <c r="DK115" i="15"/>
  <c r="DL115" i="15"/>
  <c r="DM115" i="15"/>
  <c r="DN115" i="15"/>
  <c r="DO115" i="15"/>
  <c r="DP115" i="15"/>
  <c r="DQ115" i="15"/>
  <c r="DR115" i="15"/>
  <c r="DS115" i="15"/>
  <c r="DT115" i="15"/>
  <c r="DU115" i="15"/>
  <c r="DV115" i="15"/>
  <c r="DW115" i="15"/>
  <c r="DX115" i="15"/>
  <c r="DY115" i="15"/>
  <c r="DZ115" i="15"/>
  <c r="EA115" i="15"/>
  <c r="EB115" i="15"/>
  <c r="EC115" i="15"/>
  <c r="ED115" i="15"/>
  <c r="EE115" i="15"/>
  <c r="EF115" i="15"/>
  <c r="EG115" i="15"/>
  <c r="EH115" i="15"/>
  <c r="EI115" i="15"/>
  <c r="EJ115" i="15"/>
  <c r="EK115" i="15"/>
  <c r="EL115" i="15"/>
  <c r="EM115" i="15"/>
  <c r="EN115" i="15"/>
  <c r="EO115" i="15"/>
  <c r="EP115" i="15"/>
  <c r="EQ115" i="15"/>
  <c r="ER115" i="15"/>
  <c r="ES115" i="15"/>
  <c r="ET115" i="15"/>
  <c r="EU115" i="15"/>
  <c r="EV115" i="15"/>
  <c r="EW115" i="15"/>
  <c r="EX115" i="15"/>
  <c r="EY115" i="15"/>
  <c r="EZ115" i="15"/>
  <c r="FA115" i="15"/>
  <c r="FB115" i="15"/>
  <c r="FC115" i="15"/>
  <c r="FD115" i="15"/>
  <c r="FE115" i="15"/>
  <c r="FF115" i="15"/>
  <c r="FG115" i="15"/>
  <c r="FH115" i="15"/>
  <c r="FI115" i="15"/>
  <c r="FJ115" i="15"/>
  <c r="FK115" i="15"/>
  <c r="FL115" i="15"/>
  <c r="B116" i="15"/>
  <c r="C116" i="15"/>
  <c r="D116" i="15"/>
  <c r="E116" i="15"/>
  <c r="F116" i="15"/>
  <c r="G116" i="15"/>
  <c r="H116" i="15"/>
  <c r="I116" i="15"/>
  <c r="J116" i="15"/>
  <c r="K116" i="15"/>
  <c r="L116" i="15"/>
  <c r="M116" i="15"/>
  <c r="N116" i="15"/>
  <c r="O116" i="15"/>
  <c r="P116" i="15"/>
  <c r="Q116" i="15"/>
  <c r="R116" i="15"/>
  <c r="S116" i="15"/>
  <c r="T116" i="15"/>
  <c r="U116" i="15"/>
  <c r="V116" i="15"/>
  <c r="W116" i="15"/>
  <c r="X116" i="15"/>
  <c r="Y116" i="15"/>
  <c r="Z116" i="15"/>
  <c r="AA116" i="15"/>
  <c r="AB116" i="15"/>
  <c r="AC116" i="15"/>
  <c r="AD116" i="15"/>
  <c r="AE116" i="15"/>
  <c r="AF116" i="15"/>
  <c r="AG116" i="15"/>
  <c r="AH116" i="15"/>
  <c r="AI116" i="15"/>
  <c r="AJ116" i="15"/>
  <c r="AK116" i="15"/>
  <c r="AL116" i="15"/>
  <c r="AM116" i="15"/>
  <c r="AN116" i="15"/>
  <c r="AO116" i="15"/>
  <c r="AP116" i="15"/>
  <c r="AQ116" i="15"/>
  <c r="AR116" i="15"/>
  <c r="AS116" i="15"/>
  <c r="AT116" i="15"/>
  <c r="AU116" i="15"/>
  <c r="AV116" i="15"/>
  <c r="AW116" i="15"/>
  <c r="AX116" i="15"/>
  <c r="AY116" i="15"/>
  <c r="AZ116" i="15"/>
  <c r="BA116" i="15"/>
  <c r="BB116" i="15"/>
  <c r="BC116" i="15"/>
  <c r="BD116" i="15"/>
  <c r="BE116" i="15"/>
  <c r="BF116" i="15"/>
  <c r="BG116" i="15"/>
  <c r="BH116" i="15"/>
  <c r="BI116" i="15"/>
  <c r="BJ116" i="15"/>
  <c r="BK116" i="15"/>
  <c r="BL116" i="15"/>
  <c r="BM116" i="15"/>
  <c r="BN116" i="15"/>
  <c r="BO116" i="15"/>
  <c r="BP116" i="15"/>
  <c r="BQ116" i="15"/>
  <c r="BR116" i="15"/>
  <c r="BS116" i="15"/>
  <c r="BT116" i="15"/>
  <c r="BU116" i="15"/>
  <c r="BV116" i="15"/>
  <c r="BW116" i="15"/>
  <c r="BX116" i="15"/>
  <c r="BY116" i="15"/>
  <c r="BZ116" i="15"/>
  <c r="CA116" i="15"/>
  <c r="CB116" i="15"/>
  <c r="CC116" i="15"/>
  <c r="CD116" i="15"/>
  <c r="CE116" i="15"/>
  <c r="CF116" i="15"/>
  <c r="CG116" i="15"/>
  <c r="CH116" i="15"/>
  <c r="CI116" i="15"/>
  <c r="CJ116" i="15"/>
  <c r="CK116" i="15"/>
  <c r="CL116" i="15"/>
  <c r="CM116" i="15"/>
  <c r="CN116" i="15"/>
  <c r="CO116" i="15"/>
  <c r="CP116" i="15"/>
  <c r="CQ116" i="15"/>
  <c r="CR116" i="15"/>
  <c r="CS116" i="15"/>
  <c r="CT116" i="15"/>
  <c r="CU116" i="15"/>
  <c r="CV116" i="15"/>
  <c r="CW116" i="15"/>
  <c r="CX116" i="15"/>
  <c r="CY116" i="15"/>
  <c r="CZ116" i="15"/>
  <c r="DA116" i="15"/>
  <c r="DB116" i="15"/>
  <c r="DC116" i="15"/>
  <c r="DD116" i="15"/>
  <c r="DE116" i="15"/>
  <c r="DF116" i="15"/>
  <c r="DG116" i="15"/>
  <c r="DH116" i="15"/>
  <c r="DI116" i="15"/>
  <c r="DJ116" i="15"/>
  <c r="DK116" i="15"/>
  <c r="DL116" i="15"/>
  <c r="DM116" i="15"/>
  <c r="DN116" i="15"/>
  <c r="DO116" i="15"/>
  <c r="DP116" i="15"/>
  <c r="DQ116" i="15"/>
  <c r="DR116" i="15"/>
  <c r="DS116" i="15"/>
  <c r="DT116" i="15"/>
  <c r="DU116" i="15"/>
  <c r="DV116" i="15"/>
  <c r="DW116" i="15"/>
  <c r="DX116" i="15"/>
  <c r="DY116" i="15"/>
  <c r="DZ116" i="15"/>
  <c r="EA116" i="15"/>
  <c r="EB116" i="15"/>
  <c r="EC116" i="15"/>
  <c r="ED116" i="15"/>
  <c r="EE116" i="15"/>
  <c r="EF116" i="15"/>
  <c r="EG116" i="15"/>
  <c r="EH116" i="15"/>
  <c r="EI116" i="15"/>
  <c r="EJ116" i="15"/>
  <c r="EK116" i="15"/>
  <c r="EL116" i="15"/>
  <c r="EM116" i="15"/>
  <c r="EN116" i="15"/>
  <c r="EO116" i="15"/>
  <c r="EP116" i="15"/>
  <c r="EQ116" i="15"/>
  <c r="ER116" i="15"/>
  <c r="ES116" i="15"/>
  <c r="ET116" i="15"/>
  <c r="EU116" i="15"/>
  <c r="EV116" i="15"/>
  <c r="EW116" i="15"/>
  <c r="EX116" i="15"/>
  <c r="EY116" i="15"/>
  <c r="EZ116" i="15"/>
  <c r="FA116" i="15"/>
  <c r="FB116" i="15"/>
  <c r="FC116" i="15"/>
  <c r="FD116" i="15"/>
  <c r="FE116" i="15"/>
  <c r="FF116" i="15"/>
  <c r="FG116" i="15"/>
  <c r="FH116" i="15"/>
  <c r="FI116" i="15"/>
  <c r="FJ116" i="15"/>
  <c r="FK116" i="15"/>
  <c r="FL116" i="15"/>
  <c r="B117" i="15"/>
  <c r="C117" i="15"/>
  <c r="D117" i="15"/>
  <c r="E117" i="15"/>
  <c r="F117" i="15"/>
  <c r="G117" i="15"/>
  <c r="H117" i="15"/>
  <c r="I117" i="15"/>
  <c r="J117" i="15"/>
  <c r="K117" i="15"/>
  <c r="L117" i="15"/>
  <c r="M117" i="15"/>
  <c r="N117" i="15"/>
  <c r="O117" i="15"/>
  <c r="P117" i="15"/>
  <c r="Q117" i="15"/>
  <c r="R117" i="15"/>
  <c r="S117" i="15"/>
  <c r="T117" i="15"/>
  <c r="U117" i="15"/>
  <c r="V117" i="15"/>
  <c r="W117" i="15"/>
  <c r="X117" i="15"/>
  <c r="Y117" i="15"/>
  <c r="Z117" i="15"/>
  <c r="AA117" i="15"/>
  <c r="AB117" i="15"/>
  <c r="AC117" i="15"/>
  <c r="AD117" i="15"/>
  <c r="AE117" i="15"/>
  <c r="AF117" i="15"/>
  <c r="AG117" i="15"/>
  <c r="AH117" i="15"/>
  <c r="AI117" i="15"/>
  <c r="AJ117" i="15"/>
  <c r="AK117" i="15"/>
  <c r="AL117" i="15"/>
  <c r="AM117" i="15"/>
  <c r="AN117" i="15"/>
  <c r="AO117" i="15"/>
  <c r="AP117" i="15"/>
  <c r="AQ117" i="15"/>
  <c r="AR117" i="15"/>
  <c r="AS117" i="15"/>
  <c r="AT117" i="15"/>
  <c r="AU117" i="15"/>
  <c r="AV117" i="15"/>
  <c r="AW117" i="15"/>
  <c r="AX117" i="15"/>
  <c r="AY117" i="15"/>
  <c r="AZ117" i="15"/>
  <c r="BA117" i="15"/>
  <c r="BB117" i="15"/>
  <c r="BC117" i="15"/>
  <c r="BD117" i="15"/>
  <c r="BE117" i="15"/>
  <c r="BF117" i="15"/>
  <c r="BG117" i="15"/>
  <c r="BH117" i="15"/>
  <c r="BI117" i="15"/>
  <c r="BJ117" i="15"/>
  <c r="BK117" i="15"/>
  <c r="BL117" i="15"/>
  <c r="BM117" i="15"/>
  <c r="BN117" i="15"/>
  <c r="BO117" i="15"/>
  <c r="BP117" i="15"/>
  <c r="BQ117" i="15"/>
  <c r="BR117" i="15"/>
  <c r="BS117" i="15"/>
  <c r="BT117" i="15"/>
  <c r="BU117" i="15"/>
  <c r="BV117" i="15"/>
  <c r="BW117" i="15"/>
  <c r="BX117" i="15"/>
  <c r="BY117" i="15"/>
  <c r="BZ117" i="15"/>
  <c r="CA117" i="15"/>
  <c r="CB117" i="15"/>
  <c r="CC117" i="15"/>
  <c r="CD117" i="15"/>
  <c r="CE117" i="15"/>
  <c r="CF117" i="15"/>
  <c r="CG117" i="15"/>
  <c r="CH117" i="15"/>
  <c r="CI117" i="15"/>
  <c r="CJ117" i="15"/>
  <c r="CK117" i="15"/>
  <c r="CL117" i="15"/>
  <c r="CM117" i="15"/>
  <c r="CN117" i="15"/>
  <c r="CO117" i="15"/>
  <c r="CP117" i="15"/>
  <c r="CQ117" i="15"/>
  <c r="CR117" i="15"/>
  <c r="CS117" i="15"/>
  <c r="CT117" i="15"/>
  <c r="CU117" i="15"/>
  <c r="CV117" i="15"/>
  <c r="CW117" i="15"/>
  <c r="CX117" i="15"/>
  <c r="CY117" i="15"/>
  <c r="CZ117" i="15"/>
  <c r="DA117" i="15"/>
  <c r="DB117" i="15"/>
  <c r="DC117" i="15"/>
  <c r="DD117" i="15"/>
  <c r="DE117" i="15"/>
  <c r="DF117" i="15"/>
  <c r="DG117" i="15"/>
  <c r="DH117" i="15"/>
  <c r="DI117" i="15"/>
  <c r="DJ117" i="15"/>
  <c r="DK117" i="15"/>
  <c r="DL117" i="15"/>
  <c r="DM117" i="15"/>
  <c r="DN117" i="15"/>
  <c r="DO117" i="15"/>
  <c r="DP117" i="15"/>
  <c r="DQ117" i="15"/>
  <c r="DR117" i="15"/>
  <c r="DS117" i="15"/>
  <c r="DT117" i="15"/>
  <c r="DU117" i="15"/>
  <c r="DV117" i="15"/>
  <c r="DW117" i="15"/>
  <c r="DX117" i="15"/>
  <c r="DY117" i="15"/>
  <c r="DZ117" i="15"/>
  <c r="EA117" i="15"/>
  <c r="EB117" i="15"/>
  <c r="EC117" i="15"/>
  <c r="ED117" i="15"/>
  <c r="EE117" i="15"/>
  <c r="EF117" i="15"/>
  <c r="EG117" i="15"/>
  <c r="EH117" i="15"/>
  <c r="EI117" i="15"/>
  <c r="EJ117" i="15"/>
  <c r="EK117" i="15"/>
  <c r="EL117" i="15"/>
  <c r="EM117" i="15"/>
  <c r="EN117" i="15"/>
  <c r="EO117" i="15"/>
  <c r="EP117" i="15"/>
  <c r="EQ117" i="15"/>
  <c r="ER117" i="15"/>
  <c r="ES117" i="15"/>
  <c r="ET117" i="15"/>
  <c r="EU117" i="15"/>
  <c r="EV117" i="15"/>
  <c r="EW117" i="15"/>
  <c r="EX117" i="15"/>
  <c r="EY117" i="15"/>
  <c r="EZ117" i="15"/>
  <c r="FA117" i="15"/>
  <c r="FB117" i="15"/>
  <c r="FC117" i="15"/>
  <c r="FD117" i="15"/>
  <c r="FE117" i="15"/>
  <c r="FF117" i="15"/>
  <c r="FG117" i="15"/>
  <c r="FH117" i="15"/>
  <c r="FI117" i="15"/>
  <c r="FJ117" i="15"/>
  <c r="FK117" i="15"/>
  <c r="FL117" i="15"/>
  <c r="B118" i="15"/>
  <c r="C118" i="15"/>
  <c r="D118" i="15"/>
  <c r="E118" i="15"/>
  <c r="F118" i="15"/>
  <c r="G118" i="15"/>
  <c r="H118" i="15"/>
  <c r="I118" i="15"/>
  <c r="J118" i="15"/>
  <c r="K118" i="15"/>
  <c r="L118" i="15"/>
  <c r="M118" i="15"/>
  <c r="N118" i="15"/>
  <c r="O118" i="15"/>
  <c r="P118" i="15"/>
  <c r="Q118" i="15"/>
  <c r="R118" i="15"/>
  <c r="S118" i="15"/>
  <c r="T118" i="15"/>
  <c r="U118" i="15"/>
  <c r="V118" i="15"/>
  <c r="W118" i="15"/>
  <c r="X118" i="15"/>
  <c r="Y118" i="15"/>
  <c r="Z118" i="15"/>
  <c r="AA118" i="15"/>
  <c r="AB118" i="15"/>
  <c r="AC118" i="15"/>
  <c r="AD118" i="15"/>
  <c r="AE118" i="15"/>
  <c r="AF118" i="15"/>
  <c r="AG118" i="15"/>
  <c r="AH118" i="15"/>
  <c r="AI118" i="15"/>
  <c r="AJ118" i="15"/>
  <c r="AK118" i="15"/>
  <c r="AL118" i="15"/>
  <c r="AM118" i="15"/>
  <c r="AN118" i="15"/>
  <c r="AO118" i="15"/>
  <c r="AP118" i="15"/>
  <c r="AQ118" i="15"/>
  <c r="AR118" i="15"/>
  <c r="AS118" i="15"/>
  <c r="AT118" i="15"/>
  <c r="AU118" i="15"/>
  <c r="AV118" i="15"/>
  <c r="AW118" i="15"/>
  <c r="AX118" i="15"/>
  <c r="AY118" i="15"/>
  <c r="AZ118" i="15"/>
  <c r="BA118" i="15"/>
  <c r="BB118" i="15"/>
  <c r="BC118" i="15"/>
  <c r="BD118" i="15"/>
  <c r="BE118" i="15"/>
  <c r="BF118" i="15"/>
  <c r="BG118" i="15"/>
  <c r="BH118" i="15"/>
  <c r="BI118" i="15"/>
  <c r="BJ118" i="15"/>
  <c r="BK118" i="15"/>
  <c r="BL118" i="15"/>
  <c r="BM118" i="15"/>
  <c r="BN118" i="15"/>
  <c r="BO118" i="15"/>
  <c r="BP118" i="15"/>
  <c r="BQ118" i="15"/>
  <c r="BR118" i="15"/>
  <c r="BS118" i="15"/>
  <c r="BT118" i="15"/>
  <c r="BU118" i="15"/>
  <c r="BV118" i="15"/>
  <c r="BW118" i="15"/>
  <c r="BX118" i="15"/>
  <c r="BY118" i="15"/>
  <c r="BZ118" i="15"/>
  <c r="CA118" i="15"/>
  <c r="CB118" i="15"/>
  <c r="CC118" i="15"/>
  <c r="CD118" i="15"/>
  <c r="CE118" i="15"/>
  <c r="CF118" i="15"/>
  <c r="CG118" i="15"/>
  <c r="CH118" i="15"/>
  <c r="CI118" i="15"/>
  <c r="CJ118" i="15"/>
  <c r="CK118" i="15"/>
  <c r="CL118" i="15"/>
  <c r="CM118" i="15"/>
  <c r="CN118" i="15"/>
  <c r="CO118" i="15"/>
  <c r="CP118" i="15"/>
  <c r="CQ118" i="15"/>
  <c r="CR118" i="15"/>
  <c r="CS118" i="15"/>
  <c r="CT118" i="15"/>
  <c r="CU118" i="15"/>
  <c r="CV118" i="15"/>
  <c r="CW118" i="15"/>
  <c r="CX118" i="15"/>
  <c r="CY118" i="15"/>
  <c r="CZ118" i="15"/>
  <c r="DA118" i="15"/>
  <c r="DB118" i="15"/>
  <c r="DC118" i="15"/>
  <c r="DD118" i="15"/>
  <c r="DE118" i="15"/>
  <c r="DF118" i="15"/>
  <c r="DG118" i="15"/>
  <c r="DH118" i="15"/>
  <c r="DI118" i="15"/>
  <c r="DJ118" i="15"/>
  <c r="DK118" i="15"/>
  <c r="DL118" i="15"/>
  <c r="DM118" i="15"/>
  <c r="DN118" i="15"/>
  <c r="DO118" i="15"/>
  <c r="DP118" i="15"/>
  <c r="DQ118" i="15"/>
  <c r="DR118" i="15"/>
  <c r="DS118" i="15"/>
  <c r="DT118" i="15"/>
  <c r="DU118" i="15"/>
  <c r="DV118" i="15"/>
  <c r="DW118" i="15"/>
  <c r="DX118" i="15"/>
  <c r="DY118" i="15"/>
  <c r="DZ118" i="15"/>
  <c r="EA118" i="15"/>
  <c r="EB118" i="15"/>
  <c r="EC118" i="15"/>
  <c r="ED118" i="15"/>
  <c r="EE118" i="15"/>
  <c r="EF118" i="15"/>
  <c r="EG118" i="15"/>
  <c r="EH118" i="15"/>
  <c r="EI118" i="15"/>
  <c r="EJ118" i="15"/>
  <c r="EK118" i="15"/>
  <c r="EL118" i="15"/>
  <c r="EM118" i="15"/>
  <c r="EN118" i="15"/>
  <c r="EO118" i="15"/>
  <c r="EP118" i="15"/>
  <c r="EQ118" i="15"/>
  <c r="ER118" i="15"/>
  <c r="ES118" i="15"/>
  <c r="ET118" i="15"/>
  <c r="EU118" i="15"/>
  <c r="EV118" i="15"/>
  <c r="EW118" i="15"/>
  <c r="EX118" i="15"/>
  <c r="EY118" i="15"/>
  <c r="EZ118" i="15"/>
  <c r="FA118" i="15"/>
  <c r="FB118" i="15"/>
  <c r="FC118" i="15"/>
  <c r="FD118" i="15"/>
  <c r="FE118" i="15"/>
  <c r="FF118" i="15"/>
  <c r="FG118" i="15"/>
  <c r="FH118" i="15"/>
  <c r="FI118" i="15"/>
  <c r="FJ118" i="15"/>
  <c r="FK118" i="15"/>
  <c r="FL118" i="15"/>
  <c r="B119" i="15"/>
  <c r="C119" i="15"/>
  <c r="D119" i="15"/>
  <c r="E119" i="15"/>
  <c r="F119" i="15"/>
  <c r="G119" i="15"/>
  <c r="H119" i="15"/>
  <c r="I119" i="15"/>
  <c r="J119" i="15"/>
  <c r="K119" i="15"/>
  <c r="L119" i="15"/>
  <c r="M119" i="15"/>
  <c r="N119" i="15"/>
  <c r="O119" i="15"/>
  <c r="P119" i="15"/>
  <c r="Q119" i="15"/>
  <c r="R119" i="15"/>
  <c r="S119" i="15"/>
  <c r="T119" i="15"/>
  <c r="U119" i="15"/>
  <c r="V119" i="15"/>
  <c r="W119" i="15"/>
  <c r="X119" i="15"/>
  <c r="Y119" i="15"/>
  <c r="Z119" i="15"/>
  <c r="AA119" i="15"/>
  <c r="AB119" i="15"/>
  <c r="AC119" i="15"/>
  <c r="AD119" i="15"/>
  <c r="AE119" i="15"/>
  <c r="AF119" i="15"/>
  <c r="AG119" i="15"/>
  <c r="AH119" i="15"/>
  <c r="AI119" i="15"/>
  <c r="AJ119" i="15"/>
  <c r="AK119" i="15"/>
  <c r="AL119" i="15"/>
  <c r="AM119" i="15"/>
  <c r="AN119" i="15"/>
  <c r="AO119" i="15"/>
  <c r="AP119" i="15"/>
  <c r="AQ119" i="15"/>
  <c r="AR119" i="15"/>
  <c r="AS119" i="15"/>
  <c r="AT119" i="15"/>
  <c r="AU119" i="15"/>
  <c r="AV119" i="15"/>
  <c r="AW119" i="15"/>
  <c r="AX119" i="15"/>
  <c r="AY119" i="15"/>
  <c r="AZ119" i="15"/>
  <c r="BA119" i="15"/>
  <c r="BB119" i="15"/>
  <c r="BC119" i="15"/>
  <c r="BD119" i="15"/>
  <c r="BE119" i="15"/>
  <c r="BF119" i="15"/>
  <c r="BG119" i="15"/>
  <c r="BH119" i="15"/>
  <c r="BI119" i="15"/>
  <c r="BJ119" i="15"/>
  <c r="BK119" i="15"/>
  <c r="BL119" i="15"/>
  <c r="BM119" i="15"/>
  <c r="BN119" i="15"/>
  <c r="BO119" i="15"/>
  <c r="BP119" i="15"/>
  <c r="BQ119" i="15"/>
  <c r="BR119" i="15"/>
  <c r="BS119" i="15"/>
  <c r="BT119" i="15"/>
  <c r="BU119" i="15"/>
  <c r="BV119" i="15"/>
  <c r="BW119" i="15"/>
  <c r="BX119" i="15"/>
  <c r="BY119" i="15"/>
  <c r="BZ119" i="15"/>
  <c r="CA119" i="15"/>
  <c r="CB119" i="15"/>
  <c r="CC119" i="15"/>
  <c r="CD119" i="15"/>
  <c r="CE119" i="15"/>
  <c r="CF119" i="15"/>
  <c r="CG119" i="15"/>
  <c r="CH119" i="15"/>
  <c r="CI119" i="15"/>
  <c r="CJ119" i="15"/>
  <c r="CK119" i="15"/>
  <c r="CL119" i="15"/>
  <c r="CM119" i="15"/>
  <c r="CN119" i="15"/>
  <c r="CO119" i="15"/>
  <c r="CP119" i="15"/>
  <c r="CQ119" i="15"/>
  <c r="CR119" i="15"/>
  <c r="CS119" i="15"/>
  <c r="CT119" i="15"/>
  <c r="CU119" i="15"/>
  <c r="CV119" i="15"/>
  <c r="CW119" i="15"/>
  <c r="CX119" i="15"/>
  <c r="CY119" i="15"/>
  <c r="CZ119" i="15"/>
  <c r="DA119" i="15"/>
  <c r="DB119" i="15"/>
  <c r="DC119" i="15"/>
  <c r="DD119" i="15"/>
  <c r="DE119" i="15"/>
  <c r="DF119" i="15"/>
  <c r="DG119" i="15"/>
  <c r="DH119" i="15"/>
  <c r="DI119" i="15"/>
  <c r="DJ119" i="15"/>
  <c r="DK119" i="15"/>
  <c r="DL119" i="15"/>
  <c r="DM119" i="15"/>
  <c r="DN119" i="15"/>
  <c r="DO119" i="15"/>
  <c r="DP119" i="15"/>
  <c r="DQ119" i="15"/>
  <c r="DR119" i="15"/>
  <c r="DS119" i="15"/>
  <c r="DT119" i="15"/>
  <c r="DU119" i="15"/>
  <c r="DV119" i="15"/>
  <c r="DW119" i="15"/>
  <c r="DX119" i="15"/>
  <c r="DY119" i="15"/>
  <c r="DZ119" i="15"/>
  <c r="EA119" i="15"/>
  <c r="EB119" i="15"/>
  <c r="EC119" i="15"/>
  <c r="ED119" i="15"/>
  <c r="EE119" i="15"/>
  <c r="EF119" i="15"/>
  <c r="EG119" i="15"/>
  <c r="EH119" i="15"/>
  <c r="EI119" i="15"/>
  <c r="EJ119" i="15"/>
  <c r="EK119" i="15"/>
  <c r="EL119" i="15"/>
  <c r="EM119" i="15"/>
  <c r="EN119" i="15"/>
  <c r="EO119" i="15"/>
  <c r="EP119" i="15"/>
  <c r="EQ119" i="15"/>
  <c r="ER119" i="15"/>
  <c r="ES119" i="15"/>
  <c r="ET119" i="15"/>
  <c r="EU119" i="15"/>
  <c r="EV119" i="15"/>
  <c r="EW119" i="15"/>
  <c r="EX119" i="15"/>
  <c r="EY119" i="15"/>
  <c r="EZ119" i="15"/>
  <c r="FA119" i="15"/>
  <c r="FB119" i="15"/>
  <c r="FC119" i="15"/>
  <c r="FD119" i="15"/>
  <c r="FE119" i="15"/>
  <c r="FF119" i="15"/>
  <c r="FG119" i="15"/>
  <c r="FH119" i="15"/>
  <c r="FI119" i="15"/>
  <c r="FJ119" i="15"/>
  <c r="FK119" i="15"/>
  <c r="FL119" i="15"/>
  <c r="B120" i="15"/>
  <c r="C120" i="15"/>
  <c r="D120" i="15"/>
  <c r="E120" i="15"/>
  <c r="F120" i="15"/>
  <c r="G120" i="15"/>
  <c r="H120" i="15"/>
  <c r="I120" i="15"/>
  <c r="J120" i="15"/>
  <c r="K120" i="15"/>
  <c r="L120" i="15"/>
  <c r="M120" i="15"/>
  <c r="N120" i="15"/>
  <c r="O120" i="15"/>
  <c r="P120" i="15"/>
  <c r="Q120" i="15"/>
  <c r="R120" i="15"/>
  <c r="S120" i="15"/>
  <c r="T120" i="15"/>
  <c r="U120" i="15"/>
  <c r="V120" i="15"/>
  <c r="W120" i="15"/>
  <c r="X120" i="15"/>
  <c r="Y120" i="15"/>
  <c r="Z120" i="15"/>
  <c r="AA120" i="15"/>
  <c r="AB120" i="15"/>
  <c r="AC120" i="15"/>
  <c r="AD120" i="15"/>
  <c r="AE120" i="15"/>
  <c r="AF120" i="15"/>
  <c r="AG120" i="15"/>
  <c r="AH120" i="15"/>
  <c r="AI120" i="15"/>
  <c r="AJ120" i="15"/>
  <c r="AK120" i="15"/>
  <c r="AL120" i="15"/>
  <c r="AM120" i="15"/>
  <c r="AN120" i="15"/>
  <c r="AO120" i="15"/>
  <c r="AP120" i="15"/>
  <c r="AQ120" i="15"/>
  <c r="AR120" i="15"/>
  <c r="AS120" i="15"/>
  <c r="AT120" i="15"/>
  <c r="AU120" i="15"/>
  <c r="AV120" i="15"/>
  <c r="AW120" i="15"/>
  <c r="AX120" i="15"/>
  <c r="AY120" i="15"/>
  <c r="AZ120" i="15"/>
  <c r="BA120" i="15"/>
  <c r="BB120" i="15"/>
  <c r="BC120" i="15"/>
  <c r="BD120" i="15"/>
  <c r="BE120" i="15"/>
  <c r="BF120" i="15"/>
  <c r="BG120" i="15"/>
  <c r="BH120" i="15"/>
  <c r="BI120" i="15"/>
  <c r="BJ120" i="15"/>
  <c r="BK120" i="15"/>
  <c r="BL120" i="15"/>
  <c r="BM120" i="15"/>
  <c r="BN120" i="15"/>
  <c r="BO120" i="15"/>
  <c r="BP120" i="15"/>
  <c r="BQ120" i="15"/>
  <c r="BR120" i="15"/>
  <c r="BS120" i="15"/>
  <c r="BT120" i="15"/>
  <c r="BU120" i="15"/>
  <c r="BV120" i="15"/>
  <c r="BW120" i="15"/>
  <c r="BX120" i="15"/>
  <c r="BY120" i="15"/>
  <c r="BZ120" i="15"/>
  <c r="CA120" i="15"/>
  <c r="CB120" i="15"/>
  <c r="CC120" i="15"/>
  <c r="CD120" i="15"/>
  <c r="CE120" i="15"/>
  <c r="CF120" i="15"/>
  <c r="CG120" i="15"/>
  <c r="CH120" i="15"/>
  <c r="CI120" i="15"/>
  <c r="CJ120" i="15"/>
  <c r="CK120" i="15"/>
  <c r="CL120" i="15"/>
  <c r="CM120" i="15"/>
  <c r="CN120" i="15"/>
  <c r="CO120" i="15"/>
  <c r="CP120" i="15"/>
  <c r="CQ120" i="15"/>
  <c r="CR120" i="15"/>
  <c r="CS120" i="15"/>
  <c r="CT120" i="15"/>
  <c r="CU120" i="15"/>
  <c r="CV120" i="15"/>
  <c r="CW120" i="15"/>
  <c r="CX120" i="15"/>
  <c r="CY120" i="15"/>
  <c r="CZ120" i="15"/>
  <c r="DA120" i="15"/>
  <c r="DB120" i="15"/>
  <c r="DC120" i="15"/>
  <c r="DD120" i="15"/>
  <c r="DE120" i="15"/>
  <c r="DF120" i="15"/>
  <c r="DG120" i="15"/>
  <c r="DH120" i="15"/>
  <c r="DI120" i="15"/>
  <c r="DJ120" i="15"/>
  <c r="DK120" i="15"/>
  <c r="DL120" i="15"/>
  <c r="DM120" i="15"/>
  <c r="DN120" i="15"/>
  <c r="DO120" i="15"/>
  <c r="DP120" i="15"/>
  <c r="DQ120" i="15"/>
  <c r="DR120" i="15"/>
  <c r="DS120" i="15"/>
  <c r="DT120" i="15"/>
  <c r="DU120" i="15"/>
  <c r="DV120" i="15"/>
  <c r="DW120" i="15"/>
  <c r="DX120" i="15"/>
  <c r="DY120" i="15"/>
  <c r="DZ120" i="15"/>
  <c r="EA120" i="15"/>
  <c r="EB120" i="15"/>
  <c r="EC120" i="15"/>
  <c r="ED120" i="15"/>
  <c r="EE120" i="15"/>
  <c r="EF120" i="15"/>
  <c r="EG120" i="15"/>
  <c r="EH120" i="15"/>
  <c r="EI120" i="15"/>
  <c r="EJ120" i="15"/>
  <c r="EK120" i="15"/>
  <c r="EL120" i="15"/>
  <c r="EM120" i="15"/>
  <c r="EN120" i="15"/>
  <c r="EO120" i="15"/>
  <c r="EP120" i="15"/>
  <c r="EQ120" i="15"/>
  <c r="ER120" i="15"/>
  <c r="ES120" i="15"/>
  <c r="ET120" i="15"/>
  <c r="EU120" i="15"/>
  <c r="EV120" i="15"/>
  <c r="EW120" i="15"/>
  <c r="EX120" i="15"/>
  <c r="EY120" i="15"/>
  <c r="EZ120" i="15"/>
  <c r="FA120" i="15"/>
  <c r="FB120" i="15"/>
  <c r="FC120" i="15"/>
  <c r="FD120" i="15"/>
  <c r="FE120" i="15"/>
  <c r="FF120" i="15"/>
  <c r="FG120" i="15"/>
  <c r="FH120" i="15"/>
  <c r="FI120" i="15"/>
  <c r="FJ120" i="15"/>
  <c r="FK120" i="15"/>
  <c r="FL120" i="15"/>
  <c r="B121" i="15"/>
  <c r="C121" i="15"/>
  <c r="D121" i="15"/>
  <c r="E121" i="15"/>
  <c r="F121" i="15"/>
  <c r="G121" i="15"/>
  <c r="H121" i="15"/>
  <c r="I121" i="15"/>
  <c r="J121" i="15"/>
  <c r="K121" i="15"/>
  <c r="L121" i="15"/>
  <c r="M121" i="15"/>
  <c r="N121" i="15"/>
  <c r="O121" i="15"/>
  <c r="P121" i="15"/>
  <c r="Q121" i="15"/>
  <c r="R121" i="15"/>
  <c r="S121" i="15"/>
  <c r="T121" i="15"/>
  <c r="U121" i="15"/>
  <c r="V121" i="15"/>
  <c r="W121" i="15"/>
  <c r="X121" i="15"/>
  <c r="Y121" i="15"/>
  <c r="Z121" i="15"/>
  <c r="AA121" i="15"/>
  <c r="AB121" i="15"/>
  <c r="AC121" i="15"/>
  <c r="AD121" i="15"/>
  <c r="AE121" i="15"/>
  <c r="AF121" i="15"/>
  <c r="AG121" i="15"/>
  <c r="AH121" i="15"/>
  <c r="AI121" i="15"/>
  <c r="AJ121" i="15"/>
  <c r="AK121" i="15"/>
  <c r="AL121" i="15"/>
  <c r="AM121" i="15"/>
  <c r="AN121" i="15"/>
  <c r="AO121" i="15"/>
  <c r="AP121" i="15"/>
  <c r="AQ121" i="15"/>
  <c r="AR121" i="15"/>
  <c r="AS121" i="15"/>
  <c r="AT121" i="15"/>
  <c r="AU121" i="15"/>
  <c r="AV121" i="15"/>
  <c r="AW121" i="15"/>
  <c r="AX121" i="15"/>
  <c r="AY121" i="15"/>
  <c r="AZ121" i="15"/>
  <c r="BA121" i="15"/>
  <c r="BB121" i="15"/>
  <c r="BC121" i="15"/>
  <c r="BD121" i="15"/>
  <c r="BE121" i="15"/>
  <c r="BF121" i="15"/>
  <c r="BG121" i="15"/>
  <c r="BH121" i="15"/>
  <c r="BI121" i="15"/>
  <c r="BJ121" i="15"/>
  <c r="BK121" i="15"/>
  <c r="BL121" i="15"/>
  <c r="BM121" i="15"/>
  <c r="BN121" i="15"/>
  <c r="BO121" i="15"/>
  <c r="BP121" i="15"/>
  <c r="BQ121" i="15"/>
  <c r="BR121" i="15"/>
  <c r="BS121" i="15"/>
  <c r="BT121" i="15"/>
  <c r="BU121" i="15"/>
  <c r="BV121" i="15"/>
  <c r="BW121" i="15"/>
  <c r="BX121" i="15"/>
  <c r="BY121" i="15"/>
  <c r="BZ121" i="15"/>
  <c r="CA121" i="15"/>
  <c r="CB121" i="15"/>
  <c r="CC121" i="15"/>
  <c r="CD121" i="15"/>
  <c r="CE121" i="15"/>
  <c r="CF121" i="15"/>
  <c r="CG121" i="15"/>
  <c r="CH121" i="15"/>
  <c r="CI121" i="15"/>
  <c r="CJ121" i="15"/>
  <c r="CK121" i="15"/>
  <c r="CL121" i="15"/>
  <c r="CM121" i="15"/>
  <c r="CN121" i="15"/>
  <c r="CO121" i="15"/>
  <c r="CP121" i="15"/>
  <c r="CQ121" i="15"/>
  <c r="CR121" i="15"/>
  <c r="CS121" i="15"/>
  <c r="CT121" i="15"/>
  <c r="CU121" i="15"/>
  <c r="CV121" i="15"/>
  <c r="CW121" i="15"/>
  <c r="CX121" i="15"/>
  <c r="CY121" i="15"/>
  <c r="CZ121" i="15"/>
  <c r="DA121" i="15"/>
  <c r="DB121" i="15"/>
  <c r="DC121" i="15"/>
  <c r="DD121" i="15"/>
  <c r="DE121" i="15"/>
  <c r="DF121" i="15"/>
  <c r="DG121" i="15"/>
  <c r="DH121" i="15"/>
  <c r="DI121" i="15"/>
  <c r="DJ121" i="15"/>
  <c r="DK121" i="15"/>
  <c r="DL121" i="15"/>
  <c r="DM121" i="15"/>
  <c r="DN121" i="15"/>
  <c r="DO121" i="15"/>
  <c r="DP121" i="15"/>
  <c r="DQ121" i="15"/>
  <c r="DR121" i="15"/>
  <c r="DS121" i="15"/>
  <c r="DT121" i="15"/>
  <c r="DU121" i="15"/>
  <c r="DV121" i="15"/>
  <c r="DW121" i="15"/>
  <c r="DX121" i="15"/>
  <c r="DY121" i="15"/>
  <c r="DZ121" i="15"/>
  <c r="EA121" i="15"/>
  <c r="EB121" i="15"/>
  <c r="EC121" i="15"/>
  <c r="ED121" i="15"/>
  <c r="EE121" i="15"/>
  <c r="EF121" i="15"/>
  <c r="EG121" i="15"/>
  <c r="EH121" i="15"/>
  <c r="EI121" i="15"/>
  <c r="EJ121" i="15"/>
  <c r="EK121" i="15"/>
  <c r="EL121" i="15"/>
  <c r="EM121" i="15"/>
  <c r="EN121" i="15"/>
  <c r="EO121" i="15"/>
  <c r="EP121" i="15"/>
  <c r="EQ121" i="15"/>
  <c r="ER121" i="15"/>
  <c r="ES121" i="15"/>
  <c r="ET121" i="15"/>
  <c r="EU121" i="15"/>
  <c r="EV121" i="15"/>
  <c r="EW121" i="15"/>
  <c r="EX121" i="15"/>
  <c r="EY121" i="15"/>
  <c r="EZ121" i="15"/>
  <c r="FA121" i="15"/>
  <c r="FB121" i="15"/>
  <c r="FC121" i="15"/>
  <c r="FD121" i="15"/>
  <c r="FE121" i="15"/>
  <c r="FF121" i="15"/>
  <c r="FG121" i="15"/>
  <c r="FH121" i="15"/>
  <c r="FI121" i="15"/>
  <c r="FJ121" i="15"/>
  <c r="FK121" i="15"/>
  <c r="FL121" i="15"/>
  <c r="B122" i="15"/>
  <c r="C122" i="15"/>
  <c r="D122" i="15"/>
  <c r="E122" i="15"/>
  <c r="F122" i="15"/>
  <c r="G122" i="15"/>
  <c r="H122" i="15"/>
  <c r="I122" i="15"/>
  <c r="J122" i="15"/>
  <c r="K122" i="15"/>
  <c r="L122" i="15"/>
  <c r="M122" i="15"/>
  <c r="N122" i="15"/>
  <c r="O122" i="15"/>
  <c r="P122" i="15"/>
  <c r="Q122" i="15"/>
  <c r="R122" i="15"/>
  <c r="S122" i="15"/>
  <c r="T122" i="15"/>
  <c r="U122" i="15"/>
  <c r="V122" i="15"/>
  <c r="W122" i="15"/>
  <c r="X122" i="15"/>
  <c r="Y122" i="15"/>
  <c r="Z122" i="15"/>
  <c r="AA122" i="15"/>
  <c r="AB122" i="15"/>
  <c r="AC122" i="15"/>
  <c r="AD122" i="15"/>
  <c r="AE122" i="15"/>
  <c r="AF122" i="15"/>
  <c r="AG122" i="15"/>
  <c r="AH122" i="15"/>
  <c r="AI122" i="15"/>
  <c r="AJ122" i="15"/>
  <c r="AK122" i="15"/>
  <c r="AL122" i="15"/>
  <c r="AM122" i="15"/>
  <c r="AN122" i="15"/>
  <c r="AO122" i="15"/>
  <c r="AP122" i="15"/>
  <c r="AQ122" i="15"/>
  <c r="AR122" i="15"/>
  <c r="AS122" i="15"/>
  <c r="AT122" i="15"/>
  <c r="AU122" i="15"/>
  <c r="AV122" i="15"/>
  <c r="AW122" i="15"/>
  <c r="AX122" i="15"/>
  <c r="AY122" i="15"/>
  <c r="AZ122" i="15"/>
  <c r="BA122" i="15"/>
  <c r="BB122" i="15"/>
  <c r="BC122" i="15"/>
  <c r="BD122" i="15"/>
  <c r="BE122" i="15"/>
  <c r="BF122" i="15"/>
  <c r="BG122" i="15"/>
  <c r="BH122" i="15"/>
  <c r="BI122" i="15"/>
  <c r="BJ122" i="15"/>
  <c r="BK122" i="15"/>
  <c r="BL122" i="15"/>
  <c r="BM122" i="15"/>
  <c r="BN122" i="15"/>
  <c r="BO122" i="15"/>
  <c r="BP122" i="15"/>
  <c r="BQ122" i="15"/>
  <c r="BR122" i="15"/>
  <c r="BS122" i="15"/>
  <c r="BT122" i="15"/>
  <c r="BU122" i="15"/>
  <c r="BV122" i="15"/>
  <c r="BW122" i="15"/>
  <c r="BX122" i="15"/>
  <c r="BY122" i="15"/>
  <c r="BZ122" i="15"/>
  <c r="CA122" i="15"/>
  <c r="CB122" i="15"/>
  <c r="CC122" i="15"/>
  <c r="CD122" i="15"/>
  <c r="CE122" i="15"/>
  <c r="CF122" i="15"/>
  <c r="CG122" i="15"/>
  <c r="CH122" i="15"/>
  <c r="CI122" i="15"/>
  <c r="CJ122" i="15"/>
  <c r="CK122" i="15"/>
  <c r="CL122" i="15"/>
  <c r="CM122" i="15"/>
  <c r="CN122" i="15"/>
  <c r="CO122" i="15"/>
  <c r="CP122" i="15"/>
  <c r="CQ122" i="15"/>
  <c r="CR122" i="15"/>
  <c r="CS122" i="15"/>
  <c r="CT122" i="15"/>
  <c r="CU122" i="15"/>
  <c r="CV122" i="15"/>
  <c r="CW122" i="15"/>
  <c r="CX122" i="15"/>
  <c r="CY122" i="15"/>
  <c r="CZ122" i="15"/>
  <c r="DA122" i="15"/>
  <c r="DB122" i="15"/>
  <c r="DC122" i="15"/>
  <c r="DD122" i="15"/>
  <c r="DE122" i="15"/>
  <c r="DF122" i="15"/>
  <c r="DG122" i="15"/>
  <c r="DH122" i="15"/>
  <c r="DI122" i="15"/>
  <c r="DJ122" i="15"/>
  <c r="DK122" i="15"/>
  <c r="DL122" i="15"/>
  <c r="DM122" i="15"/>
  <c r="DN122" i="15"/>
  <c r="DO122" i="15"/>
  <c r="DP122" i="15"/>
  <c r="DQ122" i="15"/>
  <c r="DR122" i="15"/>
  <c r="DS122" i="15"/>
  <c r="DT122" i="15"/>
  <c r="DU122" i="15"/>
  <c r="DV122" i="15"/>
  <c r="DW122" i="15"/>
  <c r="DX122" i="15"/>
  <c r="DY122" i="15"/>
  <c r="DZ122" i="15"/>
  <c r="EA122" i="15"/>
  <c r="EB122" i="15"/>
  <c r="EC122" i="15"/>
  <c r="ED122" i="15"/>
  <c r="EE122" i="15"/>
  <c r="EF122" i="15"/>
  <c r="EG122" i="15"/>
  <c r="EH122" i="15"/>
  <c r="EI122" i="15"/>
  <c r="EJ122" i="15"/>
  <c r="EK122" i="15"/>
  <c r="EL122" i="15"/>
  <c r="EM122" i="15"/>
  <c r="EN122" i="15"/>
  <c r="EO122" i="15"/>
  <c r="EP122" i="15"/>
  <c r="EQ122" i="15"/>
  <c r="ER122" i="15"/>
  <c r="ES122" i="15"/>
  <c r="ET122" i="15"/>
  <c r="EU122" i="15"/>
  <c r="EV122" i="15"/>
  <c r="EW122" i="15"/>
  <c r="EX122" i="15"/>
  <c r="EY122" i="15"/>
  <c r="EZ122" i="15"/>
  <c r="FA122" i="15"/>
  <c r="FB122" i="15"/>
  <c r="FC122" i="15"/>
  <c r="FD122" i="15"/>
  <c r="FE122" i="15"/>
  <c r="FF122" i="15"/>
  <c r="FG122" i="15"/>
  <c r="FH122" i="15"/>
  <c r="FI122" i="15"/>
  <c r="FJ122" i="15"/>
  <c r="FK122" i="15"/>
  <c r="FL122" i="15"/>
  <c r="B123" i="15"/>
  <c r="C123" i="15"/>
  <c r="D123" i="15"/>
  <c r="E123" i="15"/>
  <c r="F123" i="15"/>
  <c r="G123" i="15"/>
  <c r="H123" i="15"/>
  <c r="I123" i="15"/>
  <c r="J123" i="15"/>
  <c r="K123" i="15"/>
  <c r="L123" i="15"/>
  <c r="M123" i="15"/>
  <c r="N123" i="15"/>
  <c r="O123" i="15"/>
  <c r="P123" i="15"/>
  <c r="Q123" i="15"/>
  <c r="R123" i="15"/>
  <c r="S123" i="15"/>
  <c r="T123" i="15"/>
  <c r="U123" i="15"/>
  <c r="V123" i="15"/>
  <c r="W123" i="15"/>
  <c r="X123" i="15"/>
  <c r="Y123" i="15"/>
  <c r="Z123" i="15"/>
  <c r="AA123" i="15"/>
  <c r="AB123" i="15"/>
  <c r="AC123" i="15"/>
  <c r="AD123" i="15"/>
  <c r="AE123" i="15"/>
  <c r="AF123" i="15"/>
  <c r="AG123" i="15"/>
  <c r="AH123" i="15"/>
  <c r="AI123" i="15"/>
  <c r="AJ123" i="15"/>
  <c r="AK123" i="15"/>
  <c r="AL123" i="15"/>
  <c r="AM123" i="15"/>
  <c r="AN123" i="15"/>
  <c r="AO123" i="15"/>
  <c r="AP123" i="15"/>
  <c r="AQ123" i="15"/>
  <c r="AR123" i="15"/>
  <c r="AS123" i="15"/>
  <c r="AT123" i="15"/>
  <c r="AU123" i="15"/>
  <c r="AV123" i="15"/>
  <c r="AW123" i="15"/>
  <c r="AX123" i="15"/>
  <c r="AY123" i="15"/>
  <c r="AZ123" i="15"/>
  <c r="BA123" i="15"/>
  <c r="BB123" i="15"/>
  <c r="BC123" i="15"/>
  <c r="BD123" i="15"/>
  <c r="BE123" i="15"/>
  <c r="BF123" i="15"/>
  <c r="BG123" i="15"/>
  <c r="BH123" i="15"/>
  <c r="BI123" i="15"/>
  <c r="BJ123" i="15"/>
  <c r="BK123" i="15"/>
  <c r="BL123" i="15"/>
  <c r="BM123" i="15"/>
  <c r="BN123" i="15"/>
  <c r="BO123" i="15"/>
  <c r="BP123" i="15"/>
  <c r="BQ123" i="15"/>
  <c r="BR123" i="15"/>
  <c r="BS123" i="15"/>
  <c r="BT123" i="15"/>
  <c r="BU123" i="15"/>
  <c r="BV123" i="15"/>
  <c r="BW123" i="15"/>
  <c r="BX123" i="15"/>
  <c r="BY123" i="15"/>
  <c r="BZ123" i="15"/>
  <c r="CA123" i="15"/>
  <c r="CB123" i="15"/>
  <c r="CC123" i="15"/>
  <c r="CD123" i="15"/>
  <c r="CE123" i="15"/>
  <c r="CF123" i="15"/>
  <c r="CG123" i="15"/>
  <c r="CH123" i="15"/>
  <c r="CI123" i="15"/>
  <c r="CJ123" i="15"/>
  <c r="CK123" i="15"/>
  <c r="CL123" i="15"/>
  <c r="CM123" i="15"/>
  <c r="CN123" i="15"/>
  <c r="CO123" i="15"/>
  <c r="CP123" i="15"/>
  <c r="CQ123" i="15"/>
  <c r="CR123" i="15"/>
  <c r="CS123" i="15"/>
  <c r="CT123" i="15"/>
  <c r="CU123" i="15"/>
  <c r="CV123" i="15"/>
  <c r="CW123" i="15"/>
  <c r="CX123" i="15"/>
  <c r="CY123" i="15"/>
  <c r="CZ123" i="15"/>
  <c r="DA123" i="15"/>
  <c r="DB123" i="15"/>
  <c r="DC123" i="15"/>
  <c r="DD123" i="15"/>
  <c r="DE123" i="15"/>
  <c r="DF123" i="15"/>
  <c r="DG123" i="15"/>
  <c r="DH123" i="15"/>
  <c r="DI123" i="15"/>
  <c r="DJ123" i="15"/>
  <c r="DK123" i="15"/>
  <c r="DL123" i="15"/>
  <c r="DM123" i="15"/>
  <c r="DN123" i="15"/>
  <c r="DO123" i="15"/>
  <c r="DP123" i="15"/>
  <c r="DQ123" i="15"/>
  <c r="DR123" i="15"/>
  <c r="DS123" i="15"/>
  <c r="DT123" i="15"/>
  <c r="DU123" i="15"/>
  <c r="DV123" i="15"/>
  <c r="DW123" i="15"/>
  <c r="DX123" i="15"/>
  <c r="DY123" i="15"/>
  <c r="DZ123" i="15"/>
  <c r="EA123" i="15"/>
  <c r="EB123" i="15"/>
  <c r="EC123" i="15"/>
  <c r="ED123" i="15"/>
  <c r="EE123" i="15"/>
  <c r="EF123" i="15"/>
  <c r="EG123" i="15"/>
  <c r="EH123" i="15"/>
  <c r="EI123" i="15"/>
  <c r="EJ123" i="15"/>
  <c r="EK123" i="15"/>
  <c r="EL123" i="15"/>
  <c r="EM123" i="15"/>
  <c r="EN123" i="15"/>
  <c r="EO123" i="15"/>
  <c r="EP123" i="15"/>
  <c r="EQ123" i="15"/>
  <c r="ER123" i="15"/>
  <c r="ES123" i="15"/>
  <c r="ET123" i="15"/>
  <c r="EU123" i="15"/>
  <c r="EV123" i="15"/>
  <c r="EW123" i="15"/>
  <c r="EX123" i="15"/>
  <c r="EY123" i="15"/>
  <c r="EZ123" i="15"/>
  <c r="FA123" i="15"/>
  <c r="FB123" i="15"/>
  <c r="FC123" i="15"/>
  <c r="FD123" i="15"/>
  <c r="FE123" i="15"/>
  <c r="FF123" i="15"/>
  <c r="FG123" i="15"/>
  <c r="FH123" i="15"/>
  <c r="FI123" i="15"/>
  <c r="FJ123" i="15"/>
  <c r="FK123" i="15"/>
  <c r="FL123" i="15"/>
  <c r="B124" i="15"/>
  <c r="C124" i="15"/>
  <c r="D124" i="15"/>
  <c r="E124" i="15"/>
  <c r="F124" i="15"/>
  <c r="G124" i="15"/>
  <c r="H124" i="15"/>
  <c r="I124" i="15"/>
  <c r="J124" i="15"/>
  <c r="K124" i="15"/>
  <c r="L124" i="15"/>
  <c r="M124" i="15"/>
  <c r="N124" i="15"/>
  <c r="O124" i="15"/>
  <c r="P124" i="15"/>
  <c r="Q124" i="15"/>
  <c r="R124" i="15"/>
  <c r="S124" i="15"/>
  <c r="T124" i="15"/>
  <c r="U124" i="15"/>
  <c r="V124" i="15"/>
  <c r="W124" i="15"/>
  <c r="X124" i="15"/>
  <c r="Y124" i="15"/>
  <c r="Z124" i="15"/>
  <c r="AA124" i="15"/>
  <c r="AB124" i="15"/>
  <c r="AC124" i="15"/>
  <c r="AD124" i="15"/>
  <c r="AE124" i="15"/>
  <c r="AF124" i="15"/>
  <c r="AG124" i="15"/>
  <c r="AH124" i="15"/>
  <c r="AI124" i="15"/>
  <c r="AJ124" i="15"/>
  <c r="AK124" i="15"/>
  <c r="AL124" i="15"/>
  <c r="AM124" i="15"/>
  <c r="AN124" i="15"/>
  <c r="AO124" i="15"/>
  <c r="AP124" i="15"/>
  <c r="AQ124" i="15"/>
  <c r="AR124" i="15"/>
  <c r="AS124" i="15"/>
  <c r="AT124" i="15"/>
  <c r="AU124" i="15"/>
  <c r="AV124" i="15"/>
  <c r="AW124" i="15"/>
  <c r="AX124" i="15"/>
  <c r="AY124" i="15"/>
  <c r="AZ124" i="15"/>
  <c r="BA124" i="15"/>
  <c r="BB124" i="15"/>
  <c r="BC124" i="15"/>
  <c r="BD124" i="15"/>
  <c r="BE124" i="15"/>
  <c r="BF124" i="15"/>
  <c r="BG124" i="15"/>
  <c r="BH124" i="15"/>
  <c r="BI124" i="15"/>
  <c r="BJ124" i="15"/>
  <c r="BK124" i="15"/>
  <c r="BL124" i="15"/>
  <c r="BM124" i="15"/>
  <c r="BN124" i="15"/>
  <c r="BO124" i="15"/>
  <c r="BP124" i="15"/>
  <c r="BQ124" i="15"/>
  <c r="BR124" i="15"/>
  <c r="BS124" i="15"/>
  <c r="BT124" i="15"/>
  <c r="BU124" i="15"/>
  <c r="BV124" i="15"/>
  <c r="BW124" i="15"/>
  <c r="BX124" i="15"/>
  <c r="BY124" i="15"/>
  <c r="BZ124" i="15"/>
  <c r="CA124" i="15"/>
  <c r="CB124" i="15"/>
  <c r="CC124" i="15"/>
  <c r="CD124" i="15"/>
  <c r="CE124" i="15"/>
  <c r="CF124" i="15"/>
  <c r="CG124" i="15"/>
  <c r="CH124" i="15"/>
  <c r="CI124" i="15"/>
  <c r="CJ124" i="15"/>
  <c r="CK124" i="15"/>
  <c r="CL124" i="15"/>
  <c r="CM124" i="15"/>
  <c r="CN124" i="15"/>
  <c r="CO124" i="15"/>
  <c r="CP124" i="15"/>
  <c r="CQ124" i="15"/>
  <c r="CR124" i="15"/>
  <c r="CS124" i="15"/>
  <c r="CT124" i="15"/>
  <c r="CU124" i="15"/>
  <c r="CV124" i="15"/>
  <c r="CW124" i="15"/>
  <c r="CX124" i="15"/>
  <c r="CY124" i="15"/>
  <c r="CZ124" i="15"/>
  <c r="DA124" i="15"/>
  <c r="DB124" i="15"/>
  <c r="DC124" i="15"/>
  <c r="DD124" i="15"/>
  <c r="DE124" i="15"/>
  <c r="DF124" i="15"/>
  <c r="DG124" i="15"/>
  <c r="DH124" i="15"/>
  <c r="DI124" i="15"/>
  <c r="DJ124" i="15"/>
  <c r="DK124" i="15"/>
  <c r="DL124" i="15"/>
  <c r="DM124" i="15"/>
  <c r="DN124" i="15"/>
  <c r="DO124" i="15"/>
  <c r="DP124" i="15"/>
  <c r="DQ124" i="15"/>
  <c r="DR124" i="15"/>
  <c r="DS124" i="15"/>
  <c r="DT124" i="15"/>
  <c r="DU124" i="15"/>
  <c r="DV124" i="15"/>
  <c r="DW124" i="15"/>
  <c r="DX124" i="15"/>
  <c r="DY124" i="15"/>
  <c r="DZ124" i="15"/>
  <c r="EA124" i="15"/>
  <c r="EB124" i="15"/>
  <c r="EC124" i="15"/>
  <c r="ED124" i="15"/>
  <c r="EE124" i="15"/>
  <c r="EF124" i="15"/>
  <c r="EG124" i="15"/>
  <c r="EH124" i="15"/>
  <c r="EI124" i="15"/>
  <c r="EJ124" i="15"/>
  <c r="EK124" i="15"/>
  <c r="EL124" i="15"/>
  <c r="EM124" i="15"/>
  <c r="EN124" i="15"/>
  <c r="EO124" i="15"/>
  <c r="EP124" i="15"/>
  <c r="EQ124" i="15"/>
  <c r="ER124" i="15"/>
  <c r="ES124" i="15"/>
  <c r="ET124" i="15"/>
  <c r="EU124" i="15"/>
  <c r="EV124" i="15"/>
  <c r="EW124" i="15"/>
  <c r="EX124" i="15"/>
  <c r="EY124" i="15"/>
  <c r="EZ124" i="15"/>
  <c r="FA124" i="15"/>
  <c r="FB124" i="15"/>
  <c r="FC124" i="15"/>
  <c r="FD124" i="15"/>
  <c r="FE124" i="15"/>
  <c r="FF124" i="15"/>
  <c r="FG124" i="15"/>
  <c r="FH124" i="15"/>
  <c r="FI124" i="15"/>
  <c r="FJ124" i="15"/>
  <c r="FK124" i="15"/>
  <c r="FL124" i="15"/>
  <c r="B125" i="15"/>
  <c r="C125" i="15"/>
  <c r="D125" i="15"/>
  <c r="E125" i="15"/>
  <c r="F125" i="15"/>
  <c r="G125" i="15"/>
  <c r="H125" i="15"/>
  <c r="I125" i="15"/>
  <c r="J125" i="15"/>
  <c r="K125" i="15"/>
  <c r="L125" i="15"/>
  <c r="M125" i="15"/>
  <c r="N125" i="15"/>
  <c r="O125" i="15"/>
  <c r="P125" i="15"/>
  <c r="Q125" i="15"/>
  <c r="R125" i="15"/>
  <c r="S125" i="15"/>
  <c r="T125" i="15"/>
  <c r="U125" i="15"/>
  <c r="V125" i="15"/>
  <c r="W125" i="15"/>
  <c r="X125" i="15"/>
  <c r="Y125" i="15"/>
  <c r="Z125" i="15"/>
  <c r="AA125" i="15"/>
  <c r="AB125" i="15"/>
  <c r="AC125" i="15"/>
  <c r="AD125" i="15"/>
  <c r="AE125" i="15"/>
  <c r="AF125" i="15"/>
  <c r="AG125" i="15"/>
  <c r="AH125" i="15"/>
  <c r="AI125" i="15"/>
  <c r="AJ125" i="15"/>
  <c r="AK125" i="15"/>
  <c r="AL125" i="15"/>
  <c r="AM125" i="15"/>
  <c r="AN125" i="15"/>
  <c r="AO125" i="15"/>
  <c r="AP125" i="15"/>
  <c r="AQ125" i="15"/>
  <c r="AR125" i="15"/>
  <c r="AS125" i="15"/>
  <c r="AT125" i="15"/>
  <c r="AU125" i="15"/>
  <c r="AV125" i="15"/>
  <c r="AW125" i="15"/>
  <c r="AX125" i="15"/>
  <c r="AY125" i="15"/>
  <c r="AZ125" i="15"/>
  <c r="BA125" i="15"/>
  <c r="BB125" i="15"/>
  <c r="BC125" i="15"/>
  <c r="BD125" i="15"/>
  <c r="BE125" i="15"/>
  <c r="BF125" i="15"/>
  <c r="BG125" i="15"/>
  <c r="BH125" i="15"/>
  <c r="BI125" i="15"/>
  <c r="BJ125" i="15"/>
  <c r="BK125" i="15"/>
  <c r="BL125" i="15"/>
  <c r="BM125" i="15"/>
  <c r="BN125" i="15"/>
  <c r="BO125" i="15"/>
  <c r="BP125" i="15"/>
  <c r="BQ125" i="15"/>
  <c r="BR125" i="15"/>
  <c r="BS125" i="15"/>
  <c r="BT125" i="15"/>
  <c r="BU125" i="15"/>
  <c r="BV125" i="15"/>
  <c r="BW125" i="15"/>
  <c r="BX125" i="15"/>
  <c r="BY125" i="15"/>
  <c r="BZ125" i="15"/>
  <c r="CA125" i="15"/>
  <c r="CB125" i="15"/>
  <c r="CC125" i="15"/>
  <c r="CD125" i="15"/>
  <c r="CE125" i="15"/>
  <c r="CF125" i="15"/>
  <c r="CG125" i="15"/>
  <c r="CH125" i="15"/>
  <c r="CI125" i="15"/>
  <c r="CJ125" i="15"/>
  <c r="CK125" i="15"/>
  <c r="CL125" i="15"/>
  <c r="CM125" i="15"/>
  <c r="CN125" i="15"/>
  <c r="CO125" i="15"/>
  <c r="CP125" i="15"/>
  <c r="CQ125" i="15"/>
  <c r="CR125" i="15"/>
  <c r="CS125" i="15"/>
  <c r="CT125" i="15"/>
  <c r="CU125" i="15"/>
  <c r="CV125" i="15"/>
  <c r="CW125" i="15"/>
  <c r="CX125" i="15"/>
  <c r="CY125" i="15"/>
  <c r="CZ125" i="15"/>
  <c r="DA125" i="15"/>
  <c r="DB125" i="15"/>
  <c r="DC125" i="15"/>
  <c r="DD125" i="15"/>
  <c r="DE125" i="15"/>
  <c r="DF125" i="15"/>
  <c r="DG125" i="15"/>
  <c r="DH125" i="15"/>
  <c r="DI125" i="15"/>
  <c r="DJ125" i="15"/>
  <c r="DK125" i="15"/>
  <c r="DL125" i="15"/>
  <c r="DM125" i="15"/>
  <c r="DN125" i="15"/>
  <c r="DO125" i="15"/>
  <c r="DP125" i="15"/>
  <c r="DQ125" i="15"/>
  <c r="DR125" i="15"/>
  <c r="DS125" i="15"/>
  <c r="DT125" i="15"/>
  <c r="DU125" i="15"/>
  <c r="DV125" i="15"/>
  <c r="DW125" i="15"/>
  <c r="DX125" i="15"/>
  <c r="DY125" i="15"/>
  <c r="DZ125" i="15"/>
  <c r="EA125" i="15"/>
  <c r="EB125" i="15"/>
  <c r="EC125" i="15"/>
  <c r="ED125" i="15"/>
  <c r="EE125" i="15"/>
  <c r="EF125" i="15"/>
  <c r="EG125" i="15"/>
  <c r="EH125" i="15"/>
  <c r="EI125" i="15"/>
  <c r="EJ125" i="15"/>
  <c r="EK125" i="15"/>
  <c r="EL125" i="15"/>
  <c r="EM125" i="15"/>
  <c r="EN125" i="15"/>
  <c r="EO125" i="15"/>
  <c r="EP125" i="15"/>
  <c r="EQ125" i="15"/>
  <c r="ER125" i="15"/>
  <c r="ES125" i="15"/>
  <c r="ET125" i="15"/>
  <c r="EU125" i="15"/>
  <c r="EV125" i="15"/>
  <c r="EW125" i="15"/>
  <c r="EX125" i="15"/>
  <c r="EY125" i="15"/>
  <c r="EZ125" i="15"/>
  <c r="FA125" i="15"/>
  <c r="FB125" i="15"/>
  <c r="FC125" i="15"/>
  <c r="FD125" i="15"/>
  <c r="FE125" i="15"/>
  <c r="FF125" i="15"/>
  <c r="FG125" i="15"/>
  <c r="FH125" i="15"/>
  <c r="FI125" i="15"/>
  <c r="FJ125" i="15"/>
  <c r="FK125" i="15"/>
  <c r="FL125" i="15"/>
  <c r="B126" i="15"/>
  <c r="C126" i="15"/>
  <c r="D126" i="15"/>
  <c r="E126" i="15"/>
  <c r="F126" i="15"/>
  <c r="G126" i="15"/>
  <c r="H126" i="15"/>
  <c r="I126" i="15"/>
  <c r="J126" i="15"/>
  <c r="K126" i="15"/>
  <c r="L126" i="15"/>
  <c r="M126" i="15"/>
  <c r="N126" i="15"/>
  <c r="O126" i="15"/>
  <c r="P126" i="15"/>
  <c r="Q126" i="15"/>
  <c r="R126" i="15"/>
  <c r="S126" i="15"/>
  <c r="T126" i="15"/>
  <c r="U126" i="15"/>
  <c r="V126" i="15"/>
  <c r="W126" i="15"/>
  <c r="X126" i="15"/>
  <c r="Y126" i="15"/>
  <c r="Z126" i="15"/>
  <c r="AA126" i="15"/>
  <c r="AB126" i="15"/>
  <c r="AC126" i="15"/>
  <c r="AD126" i="15"/>
  <c r="AE126" i="15"/>
  <c r="AF126" i="15"/>
  <c r="AG126" i="15"/>
  <c r="AH126" i="15"/>
  <c r="AI126" i="15"/>
  <c r="AJ126" i="15"/>
  <c r="AK126" i="15"/>
  <c r="AL126" i="15"/>
  <c r="AM126" i="15"/>
  <c r="AN126" i="15"/>
  <c r="AO126" i="15"/>
  <c r="AP126" i="15"/>
  <c r="AQ126" i="15"/>
  <c r="AR126" i="15"/>
  <c r="AS126" i="15"/>
  <c r="AT126" i="15"/>
  <c r="AU126" i="15"/>
  <c r="AV126" i="15"/>
  <c r="AW126" i="15"/>
  <c r="AX126" i="15"/>
  <c r="AY126" i="15"/>
  <c r="AZ126" i="15"/>
  <c r="BA126" i="15"/>
  <c r="BB126" i="15"/>
  <c r="BC126" i="15"/>
  <c r="BD126" i="15"/>
  <c r="BE126" i="15"/>
  <c r="BF126" i="15"/>
  <c r="BG126" i="15"/>
  <c r="BH126" i="15"/>
  <c r="BI126" i="15"/>
  <c r="BJ126" i="15"/>
  <c r="BK126" i="15"/>
  <c r="BL126" i="15"/>
  <c r="BM126" i="15"/>
  <c r="BN126" i="15"/>
  <c r="BO126" i="15"/>
  <c r="BP126" i="15"/>
  <c r="BQ126" i="15"/>
  <c r="BR126" i="15"/>
  <c r="BS126" i="15"/>
  <c r="BT126" i="15"/>
  <c r="BU126" i="15"/>
  <c r="BV126" i="15"/>
  <c r="BW126" i="15"/>
  <c r="BX126" i="15"/>
  <c r="BY126" i="15"/>
  <c r="BZ126" i="15"/>
  <c r="CA126" i="15"/>
  <c r="CB126" i="15"/>
  <c r="CC126" i="15"/>
  <c r="CD126" i="15"/>
  <c r="CE126" i="15"/>
  <c r="CF126" i="15"/>
  <c r="CG126" i="15"/>
  <c r="CH126" i="15"/>
  <c r="CI126" i="15"/>
  <c r="CJ126" i="15"/>
  <c r="CK126" i="15"/>
  <c r="CL126" i="15"/>
  <c r="CM126" i="15"/>
  <c r="CN126" i="15"/>
  <c r="CO126" i="15"/>
  <c r="CP126" i="15"/>
  <c r="CQ126" i="15"/>
  <c r="CR126" i="15"/>
  <c r="CS126" i="15"/>
  <c r="CT126" i="15"/>
  <c r="CU126" i="15"/>
  <c r="CV126" i="15"/>
  <c r="CW126" i="15"/>
  <c r="CX126" i="15"/>
  <c r="CY126" i="15"/>
  <c r="CZ126" i="15"/>
  <c r="DA126" i="15"/>
  <c r="DB126" i="15"/>
  <c r="DC126" i="15"/>
  <c r="DD126" i="15"/>
  <c r="DE126" i="15"/>
  <c r="DF126" i="15"/>
  <c r="DG126" i="15"/>
  <c r="DH126" i="15"/>
  <c r="DI126" i="15"/>
  <c r="DJ126" i="15"/>
  <c r="DK126" i="15"/>
  <c r="DL126" i="15"/>
  <c r="DM126" i="15"/>
  <c r="DN126" i="15"/>
  <c r="DO126" i="15"/>
  <c r="DP126" i="15"/>
  <c r="DQ126" i="15"/>
  <c r="DR126" i="15"/>
  <c r="DS126" i="15"/>
  <c r="DT126" i="15"/>
  <c r="DU126" i="15"/>
  <c r="DV126" i="15"/>
  <c r="DW126" i="15"/>
  <c r="DX126" i="15"/>
  <c r="DY126" i="15"/>
  <c r="DZ126" i="15"/>
  <c r="EA126" i="15"/>
  <c r="EB126" i="15"/>
  <c r="EC126" i="15"/>
  <c r="ED126" i="15"/>
  <c r="EE126" i="15"/>
  <c r="EF126" i="15"/>
  <c r="EG126" i="15"/>
  <c r="EH126" i="15"/>
  <c r="EI126" i="15"/>
  <c r="EJ126" i="15"/>
  <c r="EK126" i="15"/>
  <c r="EL126" i="15"/>
  <c r="EM126" i="15"/>
  <c r="EN126" i="15"/>
  <c r="EO126" i="15"/>
  <c r="EP126" i="15"/>
  <c r="EQ126" i="15"/>
  <c r="ER126" i="15"/>
  <c r="ES126" i="15"/>
  <c r="ET126" i="15"/>
  <c r="EU126" i="15"/>
  <c r="EV126" i="15"/>
  <c r="EW126" i="15"/>
  <c r="EX126" i="15"/>
  <c r="EY126" i="15"/>
  <c r="EZ126" i="15"/>
  <c r="FA126" i="15"/>
  <c r="FB126" i="15"/>
  <c r="FC126" i="15"/>
  <c r="FD126" i="15"/>
  <c r="FE126" i="15"/>
  <c r="FF126" i="15"/>
  <c r="FG126" i="15"/>
  <c r="FH126" i="15"/>
  <c r="FI126" i="15"/>
  <c r="FJ126" i="15"/>
  <c r="FK126" i="15"/>
  <c r="FL126" i="15"/>
  <c r="B127" i="15"/>
  <c r="C127" i="15"/>
  <c r="D127" i="15"/>
  <c r="E127" i="15"/>
  <c r="F127" i="15"/>
  <c r="G127" i="15"/>
  <c r="H127" i="15"/>
  <c r="I127" i="15"/>
  <c r="J127" i="15"/>
  <c r="K127" i="15"/>
  <c r="L127" i="15"/>
  <c r="M127" i="15"/>
  <c r="N127" i="15"/>
  <c r="O127" i="15"/>
  <c r="P127" i="15"/>
  <c r="Q127" i="15"/>
  <c r="R127" i="15"/>
  <c r="S127" i="15"/>
  <c r="T127" i="15"/>
  <c r="U127" i="15"/>
  <c r="V127" i="15"/>
  <c r="W127" i="15"/>
  <c r="X127" i="15"/>
  <c r="Y127" i="15"/>
  <c r="Z127" i="15"/>
  <c r="AA127" i="15"/>
  <c r="AB127" i="15"/>
  <c r="AC127" i="15"/>
  <c r="AD127" i="15"/>
  <c r="AE127" i="15"/>
  <c r="AF127" i="15"/>
  <c r="AG127" i="15"/>
  <c r="AH127" i="15"/>
  <c r="AI127" i="15"/>
  <c r="AJ127" i="15"/>
  <c r="AK127" i="15"/>
  <c r="AL127" i="15"/>
  <c r="AM127" i="15"/>
  <c r="AN127" i="15"/>
  <c r="AO127" i="15"/>
  <c r="AP127" i="15"/>
  <c r="AQ127" i="15"/>
  <c r="AR127" i="15"/>
  <c r="AS127" i="15"/>
  <c r="AT127" i="15"/>
  <c r="AU127" i="15"/>
  <c r="AV127" i="15"/>
  <c r="AW127" i="15"/>
  <c r="AX127" i="15"/>
  <c r="AY127" i="15"/>
  <c r="AZ127" i="15"/>
  <c r="BA127" i="15"/>
  <c r="BB127" i="15"/>
  <c r="BC127" i="15"/>
  <c r="BD127" i="15"/>
  <c r="BE127" i="15"/>
  <c r="BF127" i="15"/>
  <c r="BG127" i="15"/>
  <c r="BH127" i="15"/>
  <c r="BI127" i="15"/>
  <c r="BJ127" i="15"/>
  <c r="BK127" i="15"/>
  <c r="BL127" i="15"/>
  <c r="BM127" i="15"/>
  <c r="BN127" i="15"/>
  <c r="BO127" i="15"/>
  <c r="BP127" i="15"/>
  <c r="BQ127" i="15"/>
  <c r="BR127" i="15"/>
  <c r="BS127" i="15"/>
  <c r="BT127" i="15"/>
  <c r="BU127" i="15"/>
  <c r="BV127" i="15"/>
  <c r="BW127" i="15"/>
  <c r="BX127" i="15"/>
  <c r="BY127" i="15"/>
  <c r="BZ127" i="15"/>
  <c r="CA127" i="15"/>
  <c r="CB127" i="15"/>
  <c r="CC127" i="15"/>
  <c r="CD127" i="15"/>
  <c r="CE127" i="15"/>
  <c r="CF127" i="15"/>
  <c r="CG127" i="15"/>
  <c r="CH127" i="15"/>
  <c r="CI127" i="15"/>
  <c r="CJ127" i="15"/>
  <c r="CK127" i="15"/>
  <c r="CL127" i="15"/>
  <c r="CM127" i="15"/>
  <c r="CN127" i="15"/>
  <c r="CO127" i="15"/>
  <c r="CP127" i="15"/>
  <c r="CQ127" i="15"/>
  <c r="CR127" i="15"/>
  <c r="CS127" i="15"/>
  <c r="CT127" i="15"/>
  <c r="CU127" i="15"/>
  <c r="CV127" i="15"/>
  <c r="CW127" i="15"/>
  <c r="CX127" i="15"/>
  <c r="CY127" i="15"/>
  <c r="CZ127" i="15"/>
  <c r="DA127" i="15"/>
  <c r="DB127" i="15"/>
  <c r="DC127" i="15"/>
  <c r="DD127" i="15"/>
  <c r="DE127" i="15"/>
  <c r="DF127" i="15"/>
  <c r="DG127" i="15"/>
  <c r="DH127" i="15"/>
  <c r="DI127" i="15"/>
  <c r="DJ127" i="15"/>
  <c r="DK127" i="15"/>
  <c r="DL127" i="15"/>
  <c r="DM127" i="15"/>
  <c r="DN127" i="15"/>
  <c r="DO127" i="15"/>
  <c r="DP127" i="15"/>
  <c r="DQ127" i="15"/>
  <c r="DR127" i="15"/>
  <c r="DS127" i="15"/>
  <c r="DT127" i="15"/>
  <c r="DU127" i="15"/>
  <c r="DV127" i="15"/>
  <c r="DW127" i="15"/>
  <c r="DX127" i="15"/>
  <c r="DY127" i="15"/>
  <c r="DZ127" i="15"/>
  <c r="EA127" i="15"/>
  <c r="EB127" i="15"/>
  <c r="EC127" i="15"/>
  <c r="ED127" i="15"/>
  <c r="EE127" i="15"/>
  <c r="EF127" i="15"/>
  <c r="EG127" i="15"/>
  <c r="EH127" i="15"/>
  <c r="EI127" i="15"/>
  <c r="EJ127" i="15"/>
  <c r="EK127" i="15"/>
  <c r="EL127" i="15"/>
  <c r="EM127" i="15"/>
  <c r="EN127" i="15"/>
  <c r="EO127" i="15"/>
  <c r="EP127" i="15"/>
  <c r="EQ127" i="15"/>
  <c r="ER127" i="15"/>
  <c r="ES127" i="15"/>
  <c r="ET127" i="15"/>
  <c r="EU127" i="15"/>
  <c r="EV127" i="15"/>
  <c r="EW127" i="15"/>
  <c r="EX127" i="15"/>
  <c r="EY127" i="15"/>
  <c r="EZ127" i="15"/>
  <c r="FA127" i="15"/>
  <c r="FB127" i="15"/>
  <c r="FC127" i="15"/>
  <c r="FD127" i="15"/>
  <c r="FE127" i="15"/>
  <c r="FF127" i="15"/>
  <c r="FG127" i="15"/>
  <c r="FH127" i="15"/>
  <c r="FI127" i="15"/>
  <c r="FJ127" i="15"/>
  <c r="FK127" i="15"/>
  <c r="FL127" i="15"/>
  <c r="B128" i="15"/>
  <c r="C128" i="15"/>
  <c r="D128" i="15"/>
  <c r="E128" i="15"/>
  <c r="F128" i="15"/>
  <c r="G128" i="15"/>
  <c r="H128" i="15"/>
  <c r="I128" i="15"/>
  <c r="J128" i="15"/>
  <c r="K128" i="15"/>
  <c r="L128" i="15"/>
  <c r="M128" i="15"/>
  <c r="N128" i="15"/>
  <c r="O128" i="15"/>
  <c r="P128" i="15"/>
  <c r="Q128" i="15"/>
  <c r="R128" i="15"/>
  <c r="S128" i="15"/>
  <c r="T128" i="15"/>
  <c r="U128" i="15"/>
  <c r="V128" i="15"/>
  <c r="W128" i="15"/>
  <c r="X128" i="15"/>
  <c r="Y128" i="15"/>
  <c r="Z128" i="15"/>
  <c r="AA128" i="15"/>
  <c r="AB128" i="15"/>
  <c r="AC128" i="15"/>
  <c r="AD128" i="15"/>
  <c r="AE128" i="15"/>
  <c r="AF128" i="15"/>
  <c r="AG128" i="15"/>
  <c r="AH128" i="15"/>
  <c r="AI128" i="15"/>
  <c r="AJ128" i="15"/>
  <c r="AK128" i="15"/>
  <c r="AL128" i="15"/>
  <c r="AM128" i="15"/>
  <c r="AN128" i="15"/>
  <c r="AO128" i="15"/>
  <c r="AP128" i="15"/>
  <c r="AQ128" i="15"/>
  <c r="AR128" i="15"/>
  <c r="AS128" i="15"/>
  <c r="AT128" i="15"/>
  <c r="AU128" i="15"/>
  <c r="AV128" i="15"/>
  <c r="AW128" i="15"/>
  <c r="AX128" i="15"/>
  <c r="AY128" i="15"/>
  <c r="AZ128" i="15"/>
  <c r="BA128" i="15"/>
  <c r="BB128" i="15"/>
  <c r="BC128" i="15"/>
  <c r="BD128" i="15"/>
  <c r="BE128" i="15"/>
  <c r="BF128" i="15"/>
  <c r="BG128" i="15"/>
  <c r="BH128" i="15"/>
  <c r="BI128" i="15"/>
  <c r="BJ128" i="15"/>
  <c r="BK128" i="15"/>
  <c r="BL128" i="15"/>
  <c r="BM128" i="15"/>
  <c r="BN128" i="15"/>
  <c r="BO128" i="15"/>
  <c r="BP128" i="15"/>
  <c r="BQ128" i="15"/>
  <c r="BR128" i="15"/>
  <c r="BS128" i="15"/>
  <c r="BT128" i="15"/>
  <c r="BU128" i="15"/>
  <c r="BV128" i="15"/>
  <c r="BW128" i="15"/>
  <c r="BX128" i="15"/>
  <c r="BY128" i="15"/>
  <c r="BZ128" i="15"/>
  <c r="CA128" i="15"/>
  <c r="CB128" i="15"/>
  <c r="CC128" i="15"/>
  <c r="CD128" i="15"/>
  <c r="CE128" i="15"/>
  <c r="CF128" i="15"/>
  <c r="CG128" i="15"/>
  <c r="CH128" i="15"/>
  <c r="CI128" i="15"/>
  <c r="CJ128" i="15"/>
  <c r="CK128" i="15"/>
  <c r="CL128" i="15"/>
  <c r="CM128" i="15"/>
  <c r="CN128" i="15"/>
  <c r="CO128" i="15"/>
  <c r="CP128" i="15"/>
  <c r="CQ128" i="15"/>
  <c r="CR128" i="15"/>
  <c r="CS128" i="15"/>
  <c r="CT128" i="15"/>
  <c r="CU128" i="15"/>
  <c r="CV128" i="15"/>
  <c r="CW128" i="15"/>
  <c r="CX128" i="15"/>
  <c r="CY128" i="15"/>
  <c r="CZ128" i="15"/>
  <c r="DA128" i="15"/>
  <c r="DB128" i="15"/>
  <c r="DC128" i="15"/>
  <c r="DD128" i="15"/>
  <c r="DE128" i="15"/>
  <c r="DF128" i="15"/>
  <c r="DG128" i="15"/>
  <c r="DH128" i="15"/>
  <c r="DI128" i="15"/>
  <c r="DJ128" i="15"/>
  <c r="DK128" i="15"/>
  <c r="DL128" i="15"/>
  <c r="DM128" i="15"/>
  <c r="DN128" i="15"/>
  <c r="DO128" i="15"/>
  <c r="DP128" i="15"/>
  <c r="DQ128" i="15"/>
  <c r="DR128" i="15"/>
  <c r="DS128" i="15"/>
  <c r="DT128" i="15"/>
  <c r="DU128" i="15"/>
  <c r="DV128" i="15"/>
  <c r="DW128" i="15"/>
  <c r="DX128" i="15"/>
  <c r="DY128" i="15"/>
  <c r="DZ128" i="15"/>
  <c r="EA128" i="15"/>
  <c r="EB128" i="15"/>
  <c r="EC128" i="15"/>
  <c r="ED128" i="15"/>
  <c r="EE128" i="15"/>
  <c r="EF128" i="15"/>
  <c r="EG128" i="15"/>
  <c r="EH128" i="15"/>
  <c r="EI128" i="15"/>
  <c r="EJ128" i="15"/>
  <c r="EK128" i="15"/>
  <c r="EL128" i="15"/>
  <c r="EM128" i="15"/>
  <c r="EN128" i="15"/>
  <c r="EO128" i="15"/>
  <c r="EP128" i="15"/>
  <c r="EQ128" i="15"/>
  <c r="ER128" i="15"/>
  <c r="ES128" i="15"/>
  <c r="ET128" i="15"/>
  <c r="EU128" i="15"/>
  <c r="EV128" i="15"/>
  <c r="EW128" i="15"/>
  <c r="EX128" i="15"/>
  <c r="EY128" i="15"/>
  <c r="EZ128" i="15"/>
  <c r="FA128" i="15"/>
  <c r="FB128" i="15"/>
  <c r="FC128" i="15"/>
  <c r="FD128" i="15"/>
  <c r="FE128" i="15"/>
  <c r="FF128" i="15"/>
  <c r="FG128" i="15"/>
  <c r="FH128" i="15"/>
  <c r="FI128" i="15"/>
  <c r="FJ128" i="15"/>
  <c r="FK128" i="15"/>
  <c r="FL128" i="15"/>
  <c r="B129" i="15"/>
  <c r="C129" i="15"/>
  <c r="D129" i="15"/>
  <c r="E129" i="15"/>
  <c r="F129" i="15"/>
  <c r="G129" i="15"/>
  <c r="H129" i="15"/>
  <c r="I129" i="15"/>
  <c r="J129" i="15"/>
  <c r="K129" i="15"/>
  <c r="L129" i="15"/>
  <c r="M129" i="15"/>
  <c r="N129" i="15"/>
  <c r="O129" i="15"/>
  <c r="P129" i="15"/>
  <c r="Q129" i="15"/>
  <c r="R129" i="15"/>
  <c r="S129" i="15"/>
  <c r="T129" i="15"/>
  <c r="U129" i="15"/>
  <c r="V129" i="15"/>
  <c r="W129" i="15"/>
  <c r="X129" i="15"/>
  <c r="Y129" i="15"/>
  <c r="Z129" i="15"/>
  <c r="AA129" i="15"/>
  <c r="AB129" i="15"/>
  <c r="AC129" i="15"/>
  <c r="AD129" i="15"/>
  <c r="AE129" i="15"/>
  <c r="AF129" i="15"/>
  <c r="AG129" i="15"/>
  <c r="AH129" i="15"/>
  <c r="AI129" i="15"/>
  <c r="AJ129" i="15"/>
  <c r="AK129" i="15"/>
  <c r="AL129" i="15"/>
  <c r="AM129" i="15"/>
  <c r="AN129" i="15"/>
  <c r="AO129" i="15"/>
  <c r="AP129" i="15"/>
  <c r="AQ129" i="15"/>
  <c r="AR129" i="15"/>
  <c r="AS129" i="15"/>
  <c r="AT129" i="15"/>
  <c r="AU129" i="15"/>
  <c r="AV129" i="15"/>
  <c r="AW129" i="15"/>
  <c r="AX129" i="15"/>
  <c r="AY129" i="15"/>
  <c r="AZ129" i="15"/>
  <c r="BA129" i="15"/>
  <c r="BB129" i="15"/>
  <c r="BC129" i="15"/>
  <c r="BD129" i="15"/>
  <c r="BE129" i="15"/>
  <c r="BF129" i="15"/>
  <c r="BG129" i="15"/>
  <c r="BH129" i="15"/>
  <c r="BI129" i="15"/>
  <c r="BJ129" i="15"/>
  <c r="BK129" i="15"/>
  <c r="BL129" i="15"/>
  <c r="BM129" i="15"/>
  <c r="BN129" i="15"/>
  <c r="BO129" i="15"/>
  <c r="BP129" i="15"/>
  <c r="BQ129" i="15"/>
  <c r="BR129" i="15"/>
  <c r="BS129" i="15"/>
  <c r="BT129" i="15"/>
  <c r="BU129" i="15"/>
  <c r="BV129" i="15"/>
  <c r="BW129" i="15"/>
  <c r="BX129" i="15"/>
  <c r="BY129" i="15"/>
  <c r="BZ129" i="15"/>
  <c r="CA129" i="15"/>
  <c r="CB129" i="15"/>
  <c r="CC129" i="15"/>
  <c r="CD129" i="15"/>
  <c r="CE129" i="15"/>
  <c r="CF129" i="15"/>
  <c r="CG129" i="15"/>
  <c r="CH129" i="15"/>
  <c r="CI129" i="15"/>
  <c r="CJ129" i="15"/>
  <c r="CK129" i="15"/>
  <c r="CL129" i="15"/>
  <c r="CM129" i="15"/>
  <c r="CN129" i="15"/>
  <c r="CO129" i="15"/>
  <c r="CP129" i="15"/>
  <c r="CQ129" i="15"/>
  <c r="CR129" i="15"/>
  <c r="CS129" i="15"/>
  <c r="CT129" i="15"/>
  <c r="CU129" i="15"/>
  <c r="CV129" i="15"/>
  <c r="CW129" i="15"/>
  <c r="CX129" i="15"/>
  <c r="CY129" i="15"/>
  <c r="CZ129" i="15"/>
  <c r="DA129" i="15"/>
  <c r="DB129" i="15"/>
  <c r="DC129" i="15"/>
  <c r="DD129" i="15"/>
  <c r="DE129" i="15"/>
  <c r="DF129" i="15"/>
  <c r="DG129" i="15"/>
  <c r="DH129" i="15"/>
  <c r="DI129" i="15"/>
  <c r="DJ129" i="15"/>
  <c r="DK129" i="15"/>
  <c r="DL129" i="15"/>
  <c r="DM129" i="15"/>
  <c r="DN129" i="15"/>
  <c r="DO129" i="15"/>
  <c r="DP129" i="15"/>
  <c r="DQ129" i="15"/>
  <c r="DR129" i="15"/>
  <c r="DS129" i="15"/>
  <c r="DT129" i="15"/>
  <c r="DU129" i="15"/>
  <c r="DV129" i="15"/>
  <c r="DW129" i="15"/>
  <c r="DX129" i="15"/>
  <c r="DY129" i="15"/>
  <c r="DZ129" i="15"/>
  <c r="EA129" i="15"/>
  <c r="EB129" i="15"/>
  <c r="EC129" i="15"/>
  <c r="ED129" i="15"/>
  <c r="EE129" i="15"/>
  <c r="EF129" i="15"/>
  <c r="EG129" i="15"/>
  <c r="EH129" i="15"/>
  <c r="EI129" i="15"/>
  <c r="EJ129" i="15"/>
  <c r="EK129" i="15"/>
  <c r="EL129" i="15"/>
  <c r="EM129" i="15"/>
  <c r="EN129" i="15"/>
  <c r="EO129" i="15"/>
  <c r="EP129" i="15"/>
  <c r="EQ129" i="15"/>
  <c r="ER129" i="15"/>
  <c r="ES129" i="15"/>
  <c r="ET129" i="15"/>
  <c r="EU129" i="15"/>
  <c r="EV129" i="15"/>
  <c r="EW129" i="15"/>
  <c r="EX129" i="15"/>
  <c r="EY129" i="15"/>
  <c r="EZ129" i="15"/>
  <c r="FA129" i="15"/>
  <c r="FB129" i="15"/>
  <c r="FC129" i="15"/>
  <c r="FD129" i="15"/>
  <c r="FE129" i="15"/>
  <c r="FF129" i="15"/>
  <c r="FG129" i="15"/>
  <c r="FH129" i="15"/>
  <c r="FI129" i="15"/>
  <c r="FJ129" i="15"/>
  <c r="FK129" i="15"/>
  <c r="FL129" i="15"/>
  <c r="B130" i="15"/>
  <c r="C130" i="15"/>
  <c r="D130" i="15"/>
  <c r="E130" i="15"/>
  <c r="F130" i="15"/>
  <c r="G130" i="15"/>
  <c r="H130" i="15"/>
  <c r="I130" i="15"/>
  <c r="J130" i="15"/>
  <c r="K130" i="15"/>
  <c r="L130" i="15"/>
  <c r="M130" i="15"/>
  <c r="N130" i="15"/>
  <c r="O130" i="15"/>
  <c r="P130" i="15"/>
  <c r="Q130" i="15"/>
  <c r="R130" i="15"/>
  <c r="S130" i="15"/>
  <c r="T130" i="15"/>
  <c r="U130" i="15"/>
  <c r="V130" i="15"/>
  <c r="W130" i="15"/>
  <c r="X130" i="15"/>
  <c r="Y130" i="15"/>
  <c r="Z130" i="15"/>
  <c r="AA130" i="15"/>
  <c r="AB130" i="15"/>
  <c r="AC130" i="15"/>
  <c r="AD130" i="15"/>
  <c r="AE130" i="15"/>
  <c r="AF130" i="15"/>
  <c r="AG130" i="15"/>
  <c r="AH130" i="15"/>
  <c r="AI130" i="15"/>
  <c r="AJ130" i="15"/>
  <c r="AK130" i="15"/>
  <c r="AL130" i="15"/>
  <c r="AM130" i="15"/>
  <c r="AN130" i="15"/>
  <c r="AO130" i="15"/>
  <c r="AP130" i="15"/>
  <c r="AQ130" i="15"/>
  <c r="AR130" i="15"/>
  <c r="AS130" i="15"/>
  <c r="AT130" i="15"/>
  <c r="AU130" i="15"/>
  <c r="AV130" i="15"/>
  <c r="AW130" i="15"/>
  <c r="AX130" i="15"/>
  <c r="AY130" i="15"/>
  <c r="AZ130" i="15"/>
  <c r="BA130" i="15"/>
  <c r="BB130" i="15"/>
  <c r="BC130" i="15"/>
  <c r="BD130" i="15"/>
  <c r="BE130" i="15"/>
  <c r="BF130" i="15"/>
  <c r="BG130" i="15"/>
  <c r="BH130" i="15"/>
  <c r="BI130" i="15"/>
  <c r="BJ130" i="15"/>
  <c r="BK130" i="15"/>
  <c r="BL130" i="15"/>
  <c r="BM130" i="15"/>
  <c r="BN130" i="15"/>
  <c r="BO130" i="15"/>
  <c r="BP130" i="15"/>
  <c r="BQ130" i="15"/>
  <c r="BR130" i="15"/>
  <c r="BS130" i="15"/>
  <c r="BT130" i="15"/>
  <c r="BU130" i="15"/>
  <c r="BV130" i="15"/>
  <c r="BW130" i="15"/>
  <c r="BX130" i="15"/>
  <c r="BY130" i="15"/>
  <c r="BZ130" i="15"/>
  <c r="CA130" i="15"/>
  <c r="CB130" i="15"/>
  <c r="CC130" i="15"/>
  <c r="CD130" i="15"/>
  <c r="CE130" i="15"/>
  <c r="CF130" i="15"/>
  <c r="CG130" i="15"/>
  <c r="CH130" i="15"/>
  <c r="CI130" i="15"/>
  <c r="CJ130" i="15"/>
  <c r="CK130" i="15"/>
  <c r="CL130" i="15"/>
  <c r="CM130" i="15"/>
  <c r="CN130" i="15"/>
  <c r="CO130" i="15"/>
  <c r="CP130" i="15"/>
  <c r="CQ130" i="15"/>
  <c r="CR130" i="15"/>
  <c r="CS130" i="15"/>
  <c r="CT130" i="15"/>
  <c r="CU130" i="15"/>
  <c r="CV130" i="15"/>
  <c r="CW130" i="15"/>
  <c r="CX130" i="15"/>
  <c r="CY130" i="15"/>
  <c r="CZ130" i="15"/>
  <c r="DA130" i="15"/>
  <c r="DB130" i="15"/>
  <c r="DC130" i="15"/>
  <c r="DD130" i="15"/>
  <c r="DE130" i="15"/>
  <c r="DF130" i="15"/>
  <c r="DG130" i="15"/>
  <c r="DH130" i="15"/>
  <c r="DI130" i="15"/>
  <c r="DJ130" i="15"/>
  <c r="DK130" i="15"/>
  <c r="DL130" i="15"/>
  <c r="DM130" i="15"/>
  <c r="DN130" i="15"/>
  <c r="DO130" i="15"/>
  <c r="DP130" i="15"/>
  <c r="DQ130" i="15"/>
  <c r="DR130" i="15"/>
  <c r="DS130" i="15"/>
  <c r="DT130" i="15"/>
  <c r="DU130" i="15"/>
  <c r="DV130" i="15"/>
  <c r="DW130" i="15"/>
  <c r="DX130" i="15"/>
  <c r="DY130" i="15"/>
  <c r="DZ130" i="15"/>
  <c r="EA130" i="15"/>
  <c r="EB130" i="15"/>
  <c r="EC130" i="15"/>
  <c r="ED130" i="15"/>
  <c r="EE130" i="15"/>
  <c r="EF130" i="15"/>
  <c r="EG130" i="15"/>
  <c r="EH130" i="15"/>
  <c r="EI130" i="15"/>
  <c r="EJ130" i="15"/>
  <c r="EK130" i="15"/>
  <c r="EL130" i="15"/>
  <c r="EM130" i="15"/>
  <c r="EN130" i="15"/>
  <c r="EO130" i="15"/>
  <c r="EP130" i="15"/>
  <c r="EQ130" i="15"/>
  <c r="ER130" i="15"/>
  <c r="ES130" i="15"/>
  <c r="ET130" i="15"/>
  <c r="EU130" i="15"/>
  <c r="EV130" i="15"/>
  <c r="EW130" i="15"/>
  <c r="EX130" i="15"/>
  <c r="EY130" i="15"/>
  <c r="EZ130" i="15"/>
  <c r="FA130" i="15"/>
  <c r="FB130" i="15"/>
  <c r="FC130" i="15"/>
  <c r="FD130" i="15"/>
  <c r="FE130" i="15"/>
  <c r="FF130" i="15"/>
  <c r="FG130" i="15"/>
  <c r="FH130" i="15"/>
  <c r="FI130" i="15"/>
  <c r="FJ130" i="15"/>
  <c r="FK130" i="15"/>
  <c r="FL130" i="15"/>
  <c r="B131" i="15"/>
  <c r="C131" i="15"/>
  <c r="D131" i="15"/>
  <c r="E131" i="15"/>
  <c r="F131" i="15"/>
  <c r="G131" i="15"/>
  <c r="H131" i="15"/>
  <c r="I131" i="15"/>
  <c r="J131" i="15"/>
  <c r="K131" i="15"/>
  <c r="L131" i="15"/>
  <c r="M131" i="15"/>
  <c r="N131" i="15"/>
  <c r="O131" i="15"/>
  <c r="P131" i="15"/>
  <c r="Q131" i="15"/>
  <c r="R131" i="15"/>
  <c r="S131" i="15"/>
  <c r="T131" i="15"/>
  <c r="U131" i="15"/>
  <c r="V131" i="15"/>
  <c r="W131" i="15"/>
  <c r="X131" i="15"/>
  <c r="Y131" i="15"/>
  <c r="Z131" i="15"/>
  <c r="AA131" i="15"/>
  <c r="AB131" i="15"/>
  <c r="AC131" i="15"/>
  <c r="AD131" i="15"/>
  <c r="AE131" i="15"/>
  <c r="AF131" i="15"/>
  <c r="AG131" i="15"/>
  <c r="AH131" i="15"/>
  <c r="AI131" i="15"/>
  <c r="AJ131" i="15"/>
  <c r="AK131" i="15"/>
  <c r="AL131" i="15"/>
  <c r="AM131" i="15"/>
  <c r="AN131" i="15"/>
  <c r="AO131" i="15"/>
  <c r="AP131" i="15"/>
  <c r="AQ131" i="15"/>
  <c r="AR131" i="15"/>
  <c r="AS131" i="15"/>
  <c r="AT131" i="15"/>
  <c r="AU131" i="15"/>
  <c r="AV131" i="15"/>
  <c r="AW131" i="15"/>
  <c r="AX131" i="15"/>
  <c r="AY131" i="15"/>
  <c r="AZ131" i="15"/>
  <c r="BA131" i="15"/>
  <c r="BB131" i="15"/>
  <c r="BC131" i="15"/>
  <c r="BD131" i="15"/>
  <c r="BE131" i="15"/>
  <c r="BF131" i="15"/>
  <c r="BG131" i="15"/>
  <c r="BH131" i="15"/>
  <c r="BI131" i="15"/>
  <c r="BJ131" i="15"/>
  <c r="BK131" i="15"/>
  <c r="BL131" i="15"/>
  <c r="BM131" i="15"/>
  <c r="BN131" i="15"/>
  <c r="BO131" i="15"/>
  <c r="BP131" i="15"/>
  <c r="BQ131" i="15"/>
  <c r="BR131" i="15"/>
  <c r="BS131" i="15"/>
  <c r="BT131" i="15"/>
  <c r="BU131" i="15"/>
  <c r="BV131" i="15"/>
  <c r="BW131" i="15"/>
  <c r="BX131" i="15"/>
  <c r="BY131" i="15"/>
  <c r="BZ131" i="15"/>
  <c r="CA131" i="15"/>
  <c r="CB131" i="15"/>
  <c r="CC131" i="15"/>
  <c r="CD131" i="15"/>
  <c r="CE131" i="15"/>
  <c r="CF131" i="15"/>
  <c r="CG131" i="15"/>
  <c r="CH131" i="15"/>
  <c r="CI131" i="15"/>
  <c r="CJ131" i="15"/>
  <c r="CK131" i="15"/>
  <c r="CL131" i="15"/>
  <c r="CM131" i="15"/>
  <c r="CN131" i="15"/>
  <c r="CO131" i="15"/>
  <c r="CP131" i="15"/>
  <c r="CQ131" i="15"/>
  <c r="CR131" i="15"/>
  <c r="CS131" i="15"/>
  <c r="CT131" i="15"/>
  <c r="CU131" i="15"/>
  <c r="CV131" i="15"/>
  <c r="CW131" i="15"/>
  <c r="CX131" i="15"/>
  <c r="CY131" i="15"/>
  <c r="CZ131" i="15"/>
  <c r="DA131" i="15"/>
  <c r="DB131" i="15"/>
  <c r="DC131" i="15"/>
  <c r="DD131" i="15"/>
  <c r="DE131" i="15"/>
  <c r="DF131" i="15"/>
  <c r="DG131" i="15"/>
  <c r="DH131" i="15"/>
  <c r="DI131" i="15"/>
  <c r="DJ131" i="15"/>
  <c r="DK131" i="15"/>
  <c r="DL131" i="15"/>
  <c r="DM131" i="15"/>
  <c r="DN131" i="15"/>
  <c r="DO131" i="15"/>
  <c r="DP131" i="15"/>
  <c r="DQ131" i="15"/>
  <c r="DR131" i="15"/>
  <c r="DS131" i="15"/>
  <c r="DT131" i="15"/>
  <c r="DU131" i="15"/>
  <c r="DV131" i="15"/>
  <c r="DW131" i="15"/>
  <c r="DX131" i="15"/>
  <c r="DY131" i="15"/>
  <c r="DZ131" i="15"/>
  <c r="EA131" i="15"/>
  <c r="EB131" i="15"/>
  <c r="EC131" i="15"/>
  <c r="ED131" i="15"/>
  <c r="EE131" i="15"/>
  <c r="EF131" i="15"/>
  <c r="EG131" i="15"/>
  <c r="EH131" i="15"/>
  <c r="EI131" i="15"/>
  <c r="EJ131" i="15"/>
  <c r="EK131" i="15"/>
  <c r="EL131" i="15"/>
  <c r="EM131" i="15"/>
  <c r="EN131" i="15"/>
  <c r="EO131" i="15"/>
  <c r="EP131" i="15"/>
  <c r="EQ131" i="15"/>
  <c r="ER131" i="15"/>
  <c r="ES131" i="15"/>
  <c r="ET131" i="15"/>
  <c r="EU131" i="15"/>
  <c r="EV131" i="15"/>
  <c r="EW131" i="15"/>
  <c r="EX131" i="15"/>
  <c r="EY131" i="15"/>
  <c r="EZ131" i="15"/>
  <c r="FA131" i="15"/>
  <c r="FB131" i="15"/>
  <c r="FC131" i="15"/>
  <c r="FD131" i="15"/>
  <c r="FE131" i="15"/>
  <c r="FF131" i="15"/>
  <c r="FG131" i="15"/>
  <c r="FH131" i="15"/>
  <c r="FI131" i="15"/>
  <c r="FJ131" i="15"/>
  <c r="FK131" i="15"/>
  <c r="FL131" i="15"/>
  <c r="B132" i="15"/>
  <c r="C132" i="15"/>
  <c r="D132" i="15"/>
  <c r="E132" i="15"/>
  <c r="F132" i="15"/>
  <c r="G132" i="15"/>
  <c r="H132" i="15"/>
  <c r="I132" i="15"/>
  <c r="J132" i="15"/>
  <c r="K132" i="15"/>
  <c r="L132" i="15"/>
  <c r="M132" i="15"/>
  <c r="N132" i="15"/>
  <c r="O132" i="15"/>
  <c r="P132" i="15"/>
  <c r="Q132" i="15"/>
  <c r="R132" i="15"/>
  <c r="S132" i="15"/>
  <c r="T132" i="15"/>
  <c r="U132" i="15"/>
  <c r="V132" i="15"/>
  <c r="W132" i="15"/>
  <c r="X132" i="15"/>
  <c r="Y132" i="15"/>
  <c r="Z132" i="15"/>
  <c r="AA132" i="15"/>
  <c r="AB132" i="15"/>
  <c r="AC132" i="15"/>
  <c r="AD132" i="15"/>
  <c r="AE132" i="15"/>
  <c r="AF132" i="15"/>
  <c r="AG132" i="15"/>
  <c r="AH132" i="15"/>
  <c r="AI132" i="15"/>
  <c r="AJ132" i="15"/>
  <c r="AK132" i="15"/>
  <c r="AL132" i="15"/>
  <c r="AM132" i="15"/>
  <c r="AN132" i="15"/>
  <c r="AO132" i="15"/>
  <c r="AP132" i="15"/>
  <c r="AQ132" i="15"/>
  <c r="AR132" i="15"/>
  <c r="AS132" i="15"/>
  <c r="AT132" i="15"/>
  <c r="AU132" i="15"/>
  <c r="AV132" i="15"/>
  <c r="AW132" i="15"/>
  <c r="AX132" i="15"/>
  <c r="AY132" i="15"/>
  <c r="AZ132" i="15"/>
  <c r="BA132" i="15"/>
  <c r="BB132" i="15"/>
  <c r="BC132" i="15"/>
  <c r="BD132" i="15"/>
  <c r="BE132" i="15"/>
  <c r="BF132" i="15"/>
  <c r="BG132" i="15"/>
  <c r="BH132" i="15"/>
  <c r="BI132" i="15"/>
  <c r="BJ132" i="15"/>
  <c r="BK132" i="15"/>
  <c r="BL132" i="15"/>
  <c r="BM132" i="15"/>
  <c r="BN132" i="15"/>
  <c r="BO132" i="15"/>
  <c r="BP132" i="15"/>
  <c r="BQ132" i="15"/>
  <c r="BR132" i="15"/>
  <c r="BS132" i="15"/>
  <c r="BT132" i="15"/>
  <c r="BU132" i="15"/>
  <c r="BV132" i="15"/>
  <c r="BW132" i="15"/>
  <c r="BX132" i="15"/>
  <c r="BY132" i="15"/>
  <c r="BZ132" i="15"/>
  <c r="CA132" i="15"/>
  <c r="CB132" i="15"/>
  <c r="CC132" i="15"/>
  <c r="CD132" i="15"/>
  <c r="CE132" i="15"/>
  <c r="CF132" i="15"/>
  <c r="CG132" i="15"/>
  <c r="CH132" i="15"/>
  <c r="CI132" i="15"/>
  <c r="CJ132" i="15"/>
  <c r="CK132" i="15"/>
  <c r="CL132" i="15"/>
  <c r="CM132" i="15"/>
  <c r="CN132" i="15"/>
  <c r="CO132" i="15"/>
  <c r="CP132" i="15"/>
  <c r="CQ132" i="15"/>
  <c r="CR132" i="15"/>
  <c r="CS132" i="15"/>
  <c r="CT132" i="15"/>
  <c r="CU132" i="15"/>
  <c r="CV132" i="15"/>
  <c r="CW132" i="15"/>
  <c r="CX132" i="15"/>
  <c r="CY132" i="15"/>
  <c r="CZ132" i="15"/>
  <c r="DA132" i="15"/>
  <c r="DB132" i="15"/>
  <c r="DC132" i="15"/>
  <c r="DD132" i="15"/>
  <c r="DE132" i="15"/>
  <c r="DF132" i="15"/>
  <c r="DG132" i="15"/>
  <c r="DH132" i="15"/>
  <c r="DI132" i="15"/>
  <c r="DJ132" i="15"/>
  <c r="DK132" i="15"/>
  <c r="DL132" i="15"/>
  <c r="DM132" i="15"/>
  <c r="DN132" i="15"/>
  <c r="DO132" i="15"/>
  <c r="DP132" i="15"/>
  <c r="DQ132" i="15"/>
  <c r="DR132" i="15"/>
  <c r="DS132" i="15"/>
  <c r="DT132" i="15"/>
  <c r="DU132" i="15"/>
  <c r="DV132" i="15"/>
  <c r="DW132" i="15"/>
  <c r="DX132" i="15"/>
  <c r="DY132" i="15"/>
  <c r="DZ132" i="15"/>
  <c r="EA132" i="15"/>
  <c r="EB132" i="15"/>
  <c r="EC132" i="15"/>
  <c r="ED132" i="15"/>
  <c r="EE132" i="15"/>
  <c r="EF132" i="15"/>
  <c r="EG132" i="15"/>
  <c r="EH132" i="15"/>
  <c r="EI132" i="15"/>
  <c r="EJ132" i="15"/>
  <c r="EK132" i="15"/>
  <c r="EL132" i="15"/>
  <c r="EM132" i="15"/>
  <c r="EN132" i="15"/>
  <c r="EO132" i="15"/>
  <c r="EP132" i="15"/>
  <c r="EQ132" i="15"/>
  <c r="ER132" i="15"/>
  <c r="ES132" i="15"/>
  <c r="ET132" i="15"/>
  <c r="EU132" i="15"/>
  <c r="EV132" i="15"/>
  <c r="EW132" i="15"/>
  <c r="EX132" i="15"/>
  <c r="EY132" i="15"/>
  <c r="EZ132" i="15"/>
  <c r="FA132" i="15"/>
  <c r="FB132" i="15"/>
  <c r="FC132" i="15"/>
  <c r="FD132" i="15"/>
  <c r="FE132" i="15"/>
  <c r="FF132" i="15"/>
  <c r="FG132" i="15"/>
  <c r="FH132" i="15"/>
  <c r="FI132" i="15"/>
  <c r="FJ132" i="15"/>
  <c r="FK132" i="15"/>
  <c r="FL132" i="15"/>
  <c r="B133" i="15"/>
  <c r="C133" i="15"/>
  <c r="D133" i="15"/>
  <c r="E133" i="15"/>
  <c r="F133" i="15"/>
  <c r="G133" i="15"/>
  <c r="H133" i="15"/>
  <c r="I133" i="15"/>
  <c r="J133" i="15"/>
  <c r="K133" i="15"/>
  <c r="L133" i="15"/>
  <c r="M133" i="15"/>
  <c r="N133" i="15"/>
  <c r="O133" i="15"/>
  <c r="P133" i="15"/>
  <c r="Q133" i="15"/>
  <c r="R133" i="15"/>
  <c r="S133" i="15"/>
  <c r="T133" i="15"/>
  <c r="U133" i="15"/>
  <c r="V133" i="15"/>
  <c r="W133" i="15"/>
  <c r="X133" i="15"/>
  <c r="Y133" i="15"/>
  <c r="Z133" i="15"/>
  <c r="AA133" i="15"/>
  <c r="AB133" i="15"/>
  <c r="AC133" i="15"/>
  <c r="AD133" i="15"/>
  <c r="AE133" i="15"/>
  <c r="AF133" i="15"/>
  <c r="AG133" i="15"/>
  <c r="AH133" i="15"/>
  <c r="AI133" i="15"/>
  <c r="AJ133" i="15"/>
  <c r="AK133" i="15"/>
  <c r="AL133" i="15"/>
  <c r="AM133" i="15"/>
  <c r="AN133" i="15"/>
  <c r="AO133" i="15"/>
  <c r="AP133" i="15"/>
  <c r="AQ133" i="15"/>
  <c r="AR133" i="15"/>
  <c r="AS133" i="15"/>
  <c r="AT133" i="15"/>
  <c r="AU133" i="15"/>
  <c r="AV133" i="15"/>
  <c r="AW133" i="15"/>
  <c r="AX133" i="15"/>
  <c r="AY133" i="15"/>
  <c r="AZ133" i="15"/>
  <c r="BA133" i="15"/>
  <c r="BB133" i="15"/>
  <c r="BC133" i="15"/>
  <c r="BD133" i="15"/>
  <c r="BE133" i="15"/>
  <c r="BF133" i="15"/>
  <c r="BG133" i="15"/>
  <c r="BH133" i="15"/>
  <c r="BI133" i="15"/>
  <c r="BJ133" i="15"/>
  <c r="BK133" i="15"/>
  <c r="BL133" i="15"/>
  <c r="BM133" i="15"/>
  <c r="BN133" i="15"/>
  <c r="BO133" i="15"/>
  <c r="BP133" i="15"/>
  <c r="BQ133" i="15"/>
  <c r="BR133" i="15"/>
  <c r="BS133" i="15"/>
  <c r="BT133" i="15"/>
  <c r="BU133" i="15"/>
  <c r="BV133" i="15"/>
  <c r="BW133" i="15"/>
  <c r="BX133" i="15"/>
  <c r="BY133" i="15"/>
  <c r="BZ133" i="15"/>
  <c r="CA133" i="15"/>
  <c r="CB133" i="15"/>
  <c r="CC133" i="15"/>
  <c r="CD133" i="15"/>
  <c r="CE133" i="15"/>
  <c r="CF133" i="15"/>
  <c r="CG133" i="15"/>
  <c r="CH133" i="15"/>
  <c r="CI133" i="15"/>
  <c r="CJ133" i="15"/>
  <c r="CK133" i="15"/>
  <c r="CL133" i="15"/>
  <c r="CM133" i="15"/>
  <c r="CN133" i="15"/>
  <c r="CO133" i="15"/>
  <c r="CP133" i="15"/>
  <c r="CQ133" i="15"/>
  <c r="CR133" i="15"/>
  <c r="CS133" i="15"/>
  <c r="CT133" i="15"/>
  <c r="CU133" i="15"/>
  <c r="CV133" i="15"/>
  <c r="CW133" i="15"/>
  <c r="CX133" i="15"/>
  <c r="CY133" i="15"/>
  <c r="CZ133" i="15"/>
  <c r="DA133" i="15"/>
  <c r="DB133" i="15"/>
  <c r="DC133" i="15"/>
  <c r="DD133" i="15"/>
  <c r="DE133" i="15"/>
  <c r="DF133" i="15"/>
  <c r="DG133" i="15"/>
  <c r="DH133" i="15"/>
  <c r="DI133" i="15"/>
  <c r="DJ133" i="15"/>
  <c r="DK133" i="15"/>
  <c r="DL133" i="15"/>
  <c r="DM133" i="15"/>
  <c r="DN133" i="15"/>
  <c r="DO133" i="15"/>
  <c r="DP133" i="15"/>
  <c r="DQ133" i="15"/>
  <c r="DR133" i="15"/>
  <c r="DS133" i="15"/>
  <c r="DT133" i="15"/>
  <c r="DU133" i="15"/>
  <c r="DV133" i="15"/>
  <c r="DW133" i="15"/>
  <c r="DX133" i="15"/>
  <c r="DY133" i="15"/>
  <c r="DZ133" i="15"/>
  <c r="EA133" i="15"/>
  <c r="EB133" i="15"/>
  <c r="EC133" i="15"/>
  <c r="ED133" i="15"/>
  <c r="EE133" i="15"/>
  <c r="EF133" i="15"/>
  <c r="EG133" i="15"/>
  <c r="EH133" i="15"/>
  <c r="EI133" i="15"/>
  <c r="EJ133" i="15"/>
  <c r="EK133" i="15"/>
  <c r="EL133" i="15"/>
  <c r="EM133" i="15"/>
  <c r="EN133" i="15"/>
  <c r="EO133" i="15"/>
  <c r="EP133" i="15"/>
  <c r="EQ133" i="15"/>
  <c r="ER133" i="15"/>
  <c r="ES133" i="15"/>
  <c r="ET133" i="15"/>
  <c r="EU133" i="15"/>
  <c r="EV133" i="15"/>
  <c r="EW133" i="15"/>
  <c r="EX133" i="15"/>
  <c r="EY133" i="15"/>
  <c r="EZ133" i="15"/>
  <c r="FA133" i="15"/>
  <c r="FB133" i="15"/>
  <c r="FC133" i="15"/>
  <c r="FD133" i="15"/>
  <c r="FE133" i="15"/>
  <c r="FF133" i="15"/>
  <c r="FG133" i="15"/>
  <c r="FH133" i="15"/>
  <c r="FI133" i="15"/>
  <c r="FJ133" i="15"/>
  <c r="FK133" i="15"/>
  <c r="FL133" i="15"/>
  <c r="B134" i="15"/>
  <c r="C134" i="15"/>
  <c r="D134" i="15"/>
  <c r="E134" i="15"/>
  <c r="F134" i="15"/>
  <c r="G134" i="15"/>
  <c r="H134" i="15"/>
  <c r="I134" i="15"/>
  <c r="J134" i="15"/>
  <c r="K134" i="15"/>
  <c r="L134" i="15"/>
  <c r="M134" i="15"/>
  <c r="N134" i="15"/>
  <c r="O134" i="15"/>
  <c r="P134" i="15"/>
  <c r="Q134" i="15"/>
  <c r="R134" i="15"/>
  <c r="S134" i="15"/>
  <c r="T134" i="15"/>
  <c r="U134" i="15"/>
  <c r="V134" i="15"/>
  <c r="W134" i="15"/>
  <c r="X134" i="15"/>
  <c r="Y134" i="15"/>
  <c r="Z134" i="15"/>
  <c r="AA134" i="15"/>
  <c r="AB134" i="15"/>
  <c r="AC134" i="15"/>
  <c r="AD134" i="15"/>
  <c r="AE134" i="15"/>
  <c r="AF134" i="15"/>
  <c r="AG134" i="15"/>
  <c r="AH134" i="15"/>
  <c r="AI134" i="15"/>
  <c r="AJ134" i="15"/>
  <c r="AK134" i="15"/>
  <c r="AL134" i="15"/>
  <c r="AM134" i="15"/>
  <c r="AN134" i="15"/>
  <c r="AO134" i="15"/>
  <c r="AP134" i="15"/>
  <c r="AQ134" i="15"/>
  <c r="AR134" i="15"/>
  <c r="AS134" i="15"/>
  <c r="AT134" i="15"/>
  <c r="AU134" i="15"/>
  <c r="AV134" i="15"/>
  <c r="AW134" i="15"/>
  <c r="AX134" i="15"/>
  <c r="AY134" i="15"/>
  <c r="AZ134" i="15"/>
  <c r="BA134" i="15"/>
  <c r="BB134" i="15"/>
  <c r="BC134" i="15"/>
  <c r="BD134" i="15"/>
  <c r="BE134" i="15"/>
  <c r="BF134" i="15"/>
  <c r="BG134" i="15"/>
  <c r="BH134" i="15"/>
  <c r="BI134" i="15"/>
  <c r="BJ134" i="15"/>
  <c r="BK134" i="15"/>
  <c r="BL134" i="15"/>
  <c r="BM134" i="15"/>
  <c r="BN134" i="15"/>
  <c r="BO134" i="15"/>
  <c r="BP134" i="15"/>
  <c r="BQ134" i="15"/>
  <c r="BR134" i="15"/>
  <c r="BS134" i="15"/>
  <c r="BT134" i="15"/>
  <c r="BU134" i="15"/>
  <c r="BV134" i="15"/>
  <c r="BW134" i="15"/>
  <c r="BX134" i="15"/>
  <c r="BY134" i="15"/>
  <c r="BZ134" i="15"/>
  <c r="CA134" i="15"/>
  <c r="CB134" i="15"/>
  <c r="CC134" i="15"/>
  <c r="CD134" i="15"/>
  <c r="CE134" i="15"/>
  <c r="CF134" i="15"/>
  <c r="CG134" i="15"/>
  <c r="CH134" i="15"/>
  <c r="CI134" i="15"/>
  <c r="CJ134" i="15"/>
  <c r="CK134" i="15"/>
  <c r="CL134" i="15"/>
  <c r="CM134" i="15"/>
  <c r="CN134" i="15"/>
  <c r="CO134" i="15"/>
  <c r="CP134" i="15"/>
  <c r="CQ134" i="15"/>
  <c r="CR134" i="15"/>
  <c r="CS134" i="15"/>
  <c r="CT134" i="15"/>
  <c r="CU134" i="15"/>
  <c r="CV134" i="15"/>
  <c r="CW134" i="15"/>
  <c r="CX134" i="15"/>
  <c r="CY134" i="15"/>
  <c r="CZ134" i="15"/>
  <c r="DA134" i="15"/>
  <c r="DB134" i="15"/>
  <c r="DC134" i="15"/>
  <c r="DD134" i="15"/>
  <c r="DE134" i="15"/>
  <c r="DF134" i="15"/>
  <c r="DG134" i="15"/>
  <c r="DH134" i="15"/>
  <c r="DI134" i="15"/>
  <c r="DJ134" i="15"/>
  <c r="DK134" i="15"/>
  <c r="DL134" i="15"/>
  <c r="DM134" i="15"/>
  <c r="DN134" i="15"/>
  <c r="DO134" i="15"/>
  <c r="DP134" i="15"/>
  <c r="DQ134" i="15"/>
  <c r="DR134" i="15"/>
  <c r="DS134" i="15"/>
  <c r="DT134" i="15"/>
  <c r="DU134" i="15"/>
  <c r="DV134" i="15"/>
  <c r="DW134" i="15"/>
  <c r="DX134" i="15"/>
  <c r="DY134" i="15"/>
  <c r="DZ134" i="15"/>
  <c r="EA134" i="15"/>
  <c r="EB134" i="15"/>
  <c r="EC134" i="15"/>
  <c r="ED134" i="15"/>
  <c r="EE134" i="15"/>
  <c r="EF134" i="15"/>
  <c r="EG134" i="15"/>
  <c r="EH134" i="15"/>
  <c r="EI134" i="15"/>
  <c r="EJ134" i="15"/>
  <c r="EK134" i="15"/>
  <c r="EL134" i="15"/>
  <c r="EM134" i="15"/>
  <c r="EN134" i="15"/>
  <c r="EO134" i="15"/>
  <c r="EP134" i="15"/>
  <c r="EQ134" i="15"/>
  <c r="ER134" i="15"/>
  <c r="ES134" i="15"/>
  <c r="ET134" i="15"/>
  <c r="EU134" i="15"/>
  <c r="EV134" i="15"/>
  <c r="EW134" i="15"/>
  <c r="EX134" i="15"/>
  <c r="EY134" i="15"/>
  <c r="EZ134" i="15"/>
  <c r="FA134" i="15"/>
  <c r="FB134" i="15"/>
  <c r="FC134" i="15"/>
  <c r="FD134" i="15"/>
  <c r="FE134" i="15"/>
  <c r="FF134" i="15"/>
  <c r="FG134" i="15"/>
  <c r="FH134" i="15"/>
  <c r="FI134" i="15"/>
  <c r="FJ134" i="15"/>
  <c r="FK134" i="15"/>
  <c r="FL134" i="15"/>
  <c r="B135" i="15"/>
  <c r="C135" i="15"/>
  <c r="D135" i="15"/>
  <c r="E135" i="15"/>
  <c r="F135" i="15"/>
  <c r="G135" i="15"/>
  <c r="H135" i="15"/>
  <c r="I135" i="15"/>
  <c r="J135" i="15"/>
  <c r="K135" i="15"/>
  <c r="L135" i="15"/>
  <c r="M135" i="15"/>
  <c r="N135" i="15"/>
  <c r="O135" i="15"/>
  <c r="P135" i="15"/>
  <c r="Q135" i="15"/>
  <c r="R135" i="15"/>
  <c r="S135" i="15"/>
  <c r="T135" i="15"/>
  <c r="U135" i="15"/>
  <c r="V135" i="15"/>
  <c r="W135" i="15"/>
  <c r="X135" i="15"/>
  <c r="Y135" i="15"/>
  <c r="Z135" i="15"/>
  <c r="AA135" i="15"/>
  <c r="AB135" i="15"/>
  <c r="AC135" i="15"/>
  <c r="AD135" i="15"/>
  <c r="AE135" i="15"/>
  <c r="AF135" i="15"/>
  <c r="AG135" i="15"/>
  <c r="AH135" i="15"/>
  <c r="AI135" i="15"/>
  <c r="AJ135" i="15"/>
  <c r="AK135" i="15"/>
  <c r="AL135" i="15"/>
  <c r="AM135" i="15"/>
  <c r="AN135" i="15"/>
  <c r="AO135" i="15"/>
  <c r="AP135" i="15"/>
  <c r="AQ135" i="15"/>
  <c r="AR135" i="15"/>
  <c r="AS135" i="15"/>
  <c r="AT135" i="15"/>
  <c r="AU135" i="15"/>
  <c r="AV135" i="15"/>
  <c r="AW135" i="15"/>
  <c r="AX135" i="15"/>
  <c r="AY135" i="15"/>
  <c r="AZ135" i="15"/>
  <c r="BA135" i="15"/>
  <c r="BB135" i="15"/>
  <c r="BC135" i="15"/>
  <c r="BD135" i="15"/>
  <c r="BE135" i="15"/>
  <c r="BF135" i="15"/>
  <c r="BG135" i="15"/>
  <c r="BH135" i="15"/>
  <c r="BI135" i="15"/>
  <c r="BJ135" i="15"/>
  <c r="BK135" i="15"/>
  <c r="BL135" i="15"/>
  <c r="BM135" i="15"/>
  <c r="BN135" i="15"/>
  <c r="BO135" i="15"/>
  <c r="BP135" i="15"/>
  <c r="BQ135" i="15"/>
  <c r="BR135" i="15"/>
  <c r="BS135" i="15"/>
  <c r="BT135" i="15"/>
  <c r="BU135" i="15"/>
  <c r="BV135" i="15"/>
  <c r="BW135" i="15"/>
  <c r="BX135" i="15"/>
  <c r="BY135" i="15"/>
  <c r="BZ135" i="15"/>
  <c r="CA135" i="15"/>
  <c r="CB135" i="15"/>
  <c r="CC135" i="15"/>
  <c r="CD135" i="15"/>
  <c r="CE135" i="15"/>
  <c r="CF135" i="15"/>
  <c r="CG135" i="15"/>
  <c r="CH135" i="15"/>
  <c r="CI135" i="15"/>
  <c r="CJ135" i="15"/>
  <c r="CK135" i="15"/>
  <c r="CL135" i="15"/>
  <c r="CM135" i="15"/>
  <c r="CN135" i="15"/>
  <c r="CO135" i="15"/>
  <c r="CP135" i="15"/>
  <c r="CQ135" i="15"/>
  <c r="CR135" i="15"/>
  <c r="CS135" i="15"/>
  <c r="CT135" i="15"/>
  <c r="CU135" i="15"/>
  <c r="CV135" i="15"/>
  <c r="CW135" i="15"/>
  <c r="CX135" i="15"/>
  <c r="CY135" i="15"/>
  <c r="CZ135" i="15"/>
  <c r="DA135" i="15"/>
  <c r="DB135" i="15"/>
  <c r="DC135" i="15"/>
  <c r="DD135" i="15"/>
  <c r="DE135" i="15"/>
  <c r="DF135" i="15"/>
  <c r="DG135" i="15"/>
  <c r="DH135" i="15"/>
  <c r="DI135" i="15"/>
  <c r="DJ135" i="15"/>
  <c r="DK135" i="15"/>
  <c r="DL135" i="15"/>
  <c r="DM135" i="15"/>
  <c r="DN135" i="15"/>
  <c r="DO135" i="15"/>
  <c r="DP135" i="15"/>
  <c r="DQ135" i="15"/>
  <c r="DR135" i="15"/>
  <c r="DS135" i="15"/>
  <c r="DT135" i="15"/>
  <c r="DU135" i="15"/>
  <c r="DV135" i="15"/>
  <c r="DW135" i="15"/>
  <c r="DX135" i="15"/>
  <c r="DY135" i="15"/>
  <c r="DZ135" i="15"/>
  <c r="EA135" i="15"/>
  <c r="EB135" i="15"/>
  <c r="EC135" i="15"/>
  <c r="ED135" i="15"/>
  <c r="EE135" i="15"/>
  <c r="EF135" i="15"/>
  <c r="EG135" i="15"/>
  <c r="EH135" i="15"/>
  <c r="EI135" i="15"/>
  <c r="EJ135" i="15"/>
  <c r="EK135" i="15"/>
  <c r="EL135" i="15"/>
  <c r="EM135" i="15"/>
  <c r="EN135" i="15"/>
  <c r="EO135" i="15"/>
  <c r="EP135" i="15"/>
  <c r="EQ135" i="15"/>
  <c r="ER135" i="15"/>
  <c r="ES135" i="15"/>
  <c r="ET135" i="15"/>
  <c r="EU135" i="15"/>
  <c r="EV135" i="15"/>
  <c r="EW135" i="15"/>
  <c r="EX135" i="15"/>
  <c r="EY135" i="15"/>
  <c r="EZ135" i="15"/>
  <c r="FA135" i="15"/>
  <c r="FB135" i="15"/>
  <c r="FC135" i="15"/>
  <c r="FD135" i="15"/>
  <c r="FE135" i="15"/>
  <c r="FF135" i="15"/>
  <c r="FG135" i="15"/>
  <c r="FH135" i="15"/>
  <c r="FI135" i="15"/>
  <c r="FJ135" i="15"/>
  <c r="FK135" i="15"/>
  <c r="FL135" i="15"/>
  <c r="B136" i="15"/>
  <c r="C136" i="15"/>
  <c r="D136" i="15"/>
  <c r="E136" i="15"/>
  <c r="F136" i="15"/>
  <c r="G136" i="15"/>
  <c r="H136" i="15"/>
  <c r="I136" i="15"/>
  <c r="J136" i="15"/>
  <c r="K136" i="15"/>
  <c r="L136" i="15"/>
  <c r="M136" i="15"/>
  <c r="N136" i="15"/>
  <c r="O136" i="15"/>
  <c r="P136" i="15"/>
  <c r="Q136" i="15"/>
  <c r="R136" i="15"/>
  <c r="S136" i="15"/>
  <c r="T136" i="15"/>
  <c r="U136" i="15"/>
  <c r="V136" i="15"/>
  <c r="W136" i="15"/>
  <c r="X136" i="15"/>
  <c r="Y136" i="15"/>
  <c r="Z136" i="15"/>
  <c r="AA136" i="15"/>
  <c r="AB136" i="15"/>
  <c r="AC136" i="15"/>
  <c r="AD136" i="15"/>
  <c r="AE136" i="15"/>
  <c r="AF136" i="15"/>
  <c r="AG136" i="15"/>
  <c r="AH136" i="15"/>
  <c r="AI136" i="15"/>
  <c r="AJ136" i="15"/>
  <c r="AK136" i="15"/>
  <c r="AL136" i="15"/>
  <c r="AM136" i="15"/>
  <c r="AN136" i="15"/>
  <c r="AO136" i="15"/>
  <c r="AP136" i="15"/>
  <c r="AQ136" i="15"/>
  <c r="AR136" i="15"/>
  <c r="AS136" i="15"/>
  <c r="AT136" i="15"/>
  <c r="AU136" i="15"/>
  <c r="AV136" i="15"/>
  <c r="AW136" i="15"/>
  <c r="AX136" i="15"/>
  <c r="AY136" i="15"/>
  <c r="AZ136" i="15"/>
  <c r="BA136" i="15"/>
  <c r="BB136" i="15"/>
  <c r="BC136" i="15"/>
  <c r="BD136" i="15"/>
  <c r="BE136" i="15"/>
  <c r="BF136" i="15"/>
  <c r="BG136" i="15"/>
  <c r="BH136" i="15"/>
  <c r="BI136" i="15"/>
  <c r="BJ136" i="15"/>
  <c r="BK136" i="15"/>
  <c r="BL136" i="15"/>
  <c r="BM136" i="15"/>
  <c r="BN136" i="15"/>
  <c r="BO136" i="15"/>
  <c r="BP136" i="15"/>
  <c r="BQ136" i="15"/>
  <c r="BR136" i="15"/>
  <c r="BS136" i="15"/>
  <c r="BT136" i="15"/>
  <c r="BU136" i="15"/>
  <c r="BV136" i="15"/>
  <c r="BW136" i="15"/>
  <c r="BX136" i="15"/>
  <c r="BY136" i="15"/>
  <c r="BZ136" i="15"/>
  <c r="CA136" i="15"/>
  <c r="CB136" i="15"/>
  <c r="CC136" i="15"/>
  <c r="CD136" i="15"/>
  <c r="CE136" i="15"/>
  <c r="CF136" i="15"/>
  <c r="CG136" i="15"/>
  <c r="CH136" i="15"/>
  <c r="CI136" i="15"/>
  <c r="CJ136" i="15"/>
  <c r="CK136" i="15"/>
  <c r="CL136" i="15"/>
  <c r="CM136" i="15"/>
  <c r="CN136" i="15"/>
  <c r="CO136" i="15"/>
  <c r="CP136" i="15"/>
  <c r="CQ136" i="15"/>
  <c r="CR136" i="15"/>
  <c r="CS136" i="15"/>
  <c r="CT136" i="15"/>
  <c r="CU136" i="15"/>
  <c r="CV136" i="15"/>
  <c r="CW136" i="15"/>
  <c r="CX136" i="15"/>
  <c r="CY136" i="15"/>
  <c r="CZ136" i="15"/>
  <c r="DA136" i="15"/>
  <c r="DB136" i="15"/>
  <c r="DC136" i="15"/>
  <c r="DD136" i="15"/>
  <c r="DE136" i="15"/>
  <c r="DF136" i="15"/>
  <c r="DG136" i="15"/>
  <c r="DH136" i="15"/>
  <c r="DI136" i="15"/>
  <c r="DJ136" i="15"/>
  <c r="DK136" i="15"/>
  <c r="DL136" i="15"/>
  <c r="DM136" i="15"/>
  <c r="DN136" i="15"/>
  <c r="DO136" i="15"/>
  <c r="DP136" i="15"/>
  <c r="DQ136" i="15"/>
  <c r="DR136" i="15"/>
  <c r="DS136" i="15"/>
  <c r="DT136" i="15"/>
  <c r="DU136" i="15"/>
  <c r="DV136" i="15"/>
  <c r="DW136" i="15"/>
  <c r="DX136" i="15"/>
  <c r="DY136" i="15"/>
  <c r="DZ136" i="15"/>
  <c r="EA136" i="15"/>
  <c r="EB136" i="15"/>
  <c r="EC136" i="15"/>
  <c r="ED136" i="15"/>
  <c r="EE136" i="15"/>
  <c r="EF136" i="15"/>
  <c r="EG136" i="15"/>
  <c r="EH136" i="15"/>
  <c r="EI136" i="15"/>
  <c r="EJ136" i="15"/>
  <c r="EK136" i="15"/>
  <c r="EL136" i="15"/>
  <c r="EM136" i="15"/>
  <c r="EN136" i="15"/>
  <c r="EO136" i="15"/>
  <c r="EP136" i="15"/>
  <c r="EQ136" i="15"/>
  <c r="ER136" i="15"/>
  <c r="ES136" i="15"/>
  <c r="ET136" i="15"/>
  <c r="EU136" i="15"/>
  <c r="EV136" i="15"/>
  <c r="EW136" i="15"/>
  <c r="EX136" i="15"/>
  <c r="EY136" i="15"/>
  <c r="EZ136" i="15"/>
  <c r="FA136" i="15"/>
  <c r="FB136" i="15"/>
  <c r="FC136" i="15"/>
  <c r="FD136" i="15"/>
  <c r="FE136" i="15"/>
  <c r="FF136" i="15"/>
  <c r="FG136" i="15"/>
  <c r="FH136" i="15"/>
  <c r="FI136" i="15"/>
  <c r="FJ136" i="15"/>
  <c r="FK136" i="15"/>
  <c r="FL136" i="15"/>
  <c r="B137" i="15"/>
  <c r="C137" i="15"/>
  <c r="D137" i="15"/>
  <c r="E137" i="15"/>
  <c r="F137" i="15"/>
  <c r="G137" i="15"/>
  <c r="H137" i="15"/>
  <c r="I137" i="15"/>
  <c r="J137" i="15"/>
  <c r="K137" i="15"/>
  <c r="L137" i="15"/>
  <c r="M137" i="15"/>
  <c r="N137" i="15"/>
  <c r="O137" i="15"/>
  <c r="P137" i="15"/>
  <c r="Q137" i="15"/>
  <c r="R137" i="15"/>
  <c r="S137" i="15"/>
  <c r="T137" i="15"/>
  <c r="U137" i="15"/>
  <c r="V137" i="15"/>
  <c r="W137" i="15"/>
  <c r="X137" i="15"/>
  <c r="Y137" i="15"/>
  <c r="Z137" i="15"/>
  <c r="AA137" i="15"/>
  <c r="AB137" i="15"/>
  <c r="AC137" i="15"/>
  <c r="AD137" i="15"/>
  <c r="AE137" i="15"/>
  <c r="AF137" i="15"/>
  <c r="AG137" i="15"/>
  <c r="AH137" i="15"/>
  <c r="AI137" i="15"/>
  <c r="AJ137" i="15"/>
  <c r="AK137" i="15"/>
  <c r="AL137" i="15"/>
  <c r="AM137" i="15"/>
  <c r="AN137" i="15"/>
  <c r="AO137" i="15"/>
  <c r="AP137" i="15"/>
  <c r="AQ137" i="15"/>
  <c r="AR137" i="15"/>
  <c r="AS137" i="15"/>
  <c r="AT137" i="15"/>
  <c r="AU137" i="15"/>
  <c r="AV137" i="15"/>
  <c r="AW137" i="15"/>
  <c r="AX137" i="15"/>
  <c r="AY137" i="15"/>
  <c r="AZ137" i="15"/>
  <c r="BA137" i="15"/>
  <c r="BB137" i="15"/>
  <c r="BC137" i="15"/>
  <c r="BD137" i="15"/>
  <c r="BE137" i="15"/>
  <c r="BF137" i="15"/>
  <c r="BG137" i="15"/>
  <c r="BH137" i="15"/>
  <c r="BI137" i="15"/>
  <c r="BJ137" i="15"/>
  <c r="BK137" i="15"/>
  <c r="BL137" i="15"/>
  <c r="BM137" i="15"/>
  <c r="BN137" i="15"/>
  <c r="BO137" i="15"/>
  <c r="BP137" i="15"/>
  <c r="BQ137" i="15"/>
  <c r="BR137" i="15"/>
  <c r="BS137" i="15"/>
  <c r="BT137" i="15"/>
  <c r="BU137" i="15"/>
  <c r="BV137" i="15"/>
  <c r="BW137" i="15"/>
  <c r="BX137" i="15"/>
  <c r="BY137" i="15"/>
  <c r="BZ137" i="15"/>
  <c r="CA137" i="15"/>
  <c r="CB137" i="15"/>
  <c r="CC137" i="15"/>
  <c r="CD137" i="15"/>
  <c r="CE137" i="15"/>
  <c r="CF137" i="15"/>
  <c r="CG137" i="15"/>
  <c r="CH137" i="15"/>
  <c r="CI137" i="15"/>
  <c r="CJ137" i="15"/>
  <c r="CK137" i="15"/>
  <c r="CL137" i="15"/>
  <c r="CM137" i="15"/>
  <c r="CN137" i="15"/>
  <c r="CO137" i="15"/>
  <c r="CP137" i="15"/>
  <c r="CQ137" i="15"/>
  <c r="CR137" i="15"/>
  <c r="CS137" i="15"/>
  <c r="CT137" i="15"/>
  <c r="CU137" i="15"/>
  <c r="CV137" i="15"/>
  <c r="CW137" i="15"/>
  <c r="CX137" i="15"/>
  <c r="CY137" i="15"/>
  <c r="CZ137" i="15"/>
  <c r="DA137" i="15"/>
  <c r="DB137" i="15"/>
  <c r="DC137" i="15"/>
  <c r="DD137" i="15"/>
  <c r="DE137" i="15"/>
  <c r="DF137" i="15"/>
  <c r="DG137" i="15"/>
  <c r="DH137" i="15"/>
  <c r="DI137" i="15"/>
  <c r="DJ137" i="15"/>
  <c r="DK137" i="15"/>
  <c r="DL137" i="15"/>
  <c r="DM137" i="15"/>
  <c r="DN137" i="15"/>
  <c r="DO137" i="15"/>
  <c r="DP137" i="15"/>
  <c r="DQ137" i="15"/>
  <c r="DR137" i="15"/>
  <c r="DS137" i="15"/>
  <c r="DT137" i="15"/>
  <c r="DU137" i="15"/>
  <c r="DV137" i="15"/>
  <c r="DW137" i="15"/>
  <c r="DX137" i="15"/>
  <c r="DY137" i="15"/>
  <c r="DZ137" i="15"/>
  <c r="EA137" i="15"/>
  <c r="EB137" i="15"/>
  <c r="EC137" i="15"/>
  <c r="ED137" i="15"/>
  <c r="EE137" i="15"/>
  <c r="EF137" i="15"/>
  <c r="EG137" i="15"/>
  <c r="EH137" i="15"/>
  <c r="EI137" i="15"/>
  <c r="EJ137" i="15"/>
  <c r="EK137" i="15"/>
  <c r="EL137" i="15"/>
  <c r="EM137" i="15"/>
  <c r="EN137" i="15"/>
  <c r="EO137" i="15"/>
  <c r="EP137" i="15"/>
  <c r="EQ137" i="15"/>
  <c r="ER137" i="15"/>
  <c r="ES137" i="15"/>
  <c r="ET137" i="15"/>
  <c r="EU137" i="15"/>
  <c r="EV137" i="15"/>
  <c r="EW137" i="15"/>
  <c r="EX137" i="15"/>
  <c r="EY137" i="15"/>
  <c r="EZ137" i="15"/>
  <c r="FA137" i="15"/>
  <c r="FB137" i="15"/>
  <c r="FC137" i="15"/>
  <c r="FD137" i="15"/>
  <c r="FE137" i="15"/>
  <c r="FF137" i="15"/>
  <c r="FG137" i="15"/>
  <c r="FH137" i="15"/>
  <c r="FI137" i="15"/>
  <c r="FJ137" i="15"/>
  <c r="FK137" i="15"/>
  <c r="FL137" i="15"/>
  <c r="B138" i="15"/>
  <c r="C138" i="15"/>
  <c r="D138" i="15"/>
  <c r="E138" i="15"/>
  <c r="F138" i="15"/>
  <c r="G138" i="15"/>
  <c r="H138" i="15"/>
  <c r="I138" i="15"/>
  <c r="J138" i="15"/>
  <c r="K138" i="15"/>
  <c r="L138" i="15"/>
  <c r="M138" i="15"/>
  <c r="N138" i="15"/>
  <c r="O138" i="15"/>
  <c r="P138" i="15"/>
  <c r="Q138" i="15"/>
  <c r="R138" i="15"/>
  <c r="S138" i="15"/>
  <c r="T138" i="15"/>
  <c r="U138" i="15"/>
  <c r="V138" i="15"/>
  <c r="W138" i="15"/>
  <c r="X138" i="15"/>
  <c r="Y138" i="15"/>
  <c r="Z138" i="15"/>
  <c r="AA138" i="15"/>
  <c r="AB138" i="15"/>
  <c r="AC138" i="15"/>
  <c r="AD138" i="15"/>
  <c r="AE138" i="15"/>
  <c r="AF138" i="15"/>
  <c r="AG138" i="15"/>
  <c r="AH138" i="15"/>
  <c r="AI138" i="15"/>
  <c r="AJ138" i="15"/>
  <c r="AK138" i="15"/>
  <c r="AL138" i="15"/>
  <c r="AM138" i="15"/>
  <c r="AN138" i="15"/>
  <c r="AO138" i="15"/>
  <c r="AP138" i="15"/>
  <c r="AQ138" i="15"/>
  <c r="AR138" i="15"/>
  <c r="AS138" i="15"/>
  <c r="AT138" i="15"/>
  <c r="AU138" i="15"/>
  <c r="AV138" i="15"/>
  <c r="AW138" i="15"/>
  <c r="AX138" i="15"/>
  <c r="AY138" i="15"/>
  <c r="AZ138" i="15"/>
  <c r="BA138" i="15"/>
  <c r="BB138" i="15"/>
  <c r="BC138" i="15"/>
  <c r="BD138" i="15"/>
  <c r="BE138" i="15"/>
  <c r="BF138" i="15"/>
  <c r="BG138" i="15"/>
  <c r="BH138" i="15"/>
  <c r="BI138" i="15"/>
  <c r="BJ138" i="15"/>
  <c r="BK138" i="15"/>
  <c r="BL138" i="15"/>
  <c r="BM138" i="15"/>
  <c r="BN138" i="15"/>
  <c r="BO138" i="15"/>
  <c r="BP138" i="15"/>
  <c r="BQ138" i="15"/>
  <c r="BR138" i="15"/>
  <c r="BS138" i="15"/>
  <c r="BT138" i="15"/>
  <c r="BU138" i="15"/>
  <c r="BV138" i="15"/>
  <c r="BW138" i="15"/>
  <c r="BX138" i="15"/>
  <c r="BY138" i="15"/>
  <c r="BZ138" i="15"/>
  <c r="CA138" i="15"/>
  <c r="CB138" i="15"/>
  <c r="CC138" i="15"/>
  <c r="CD138" i="15"/>
  <c r="CE138" i="15"/>
  <c r="CF138" i="15"/>
  <c r="CG138" i="15"/>
  <c r="CH138" i="15"/>
  <c r="CI138" i="15"/>
  <c r="CJ138" i="15"/>
  <c r="CK138" i="15"/>
  <c r="CL138" i="15"/>
  <c r="CM138" i="15"/>
  <c r="CN138" i="15"/>
  <c r="CO138" i="15"/>
  <c r="CP138" i="15"/>
  <c r="CQ138" i="15"/>
  <c r="CR138" i="15"/>
  <c r="CS138" i="15"/>
  <c r="CT138" i="15"/>
  <c r="CU138" i="15"/>
  <c r="CV138" i="15"/>
  <c r="CW138" i="15"/>
  <c r="CX138" i="15"/>
  <c r="CY138" i="15"/>
  <c r="CZ138" i="15"/>
  <c r="DA138" i="15"/>
  <c r="DB138" i="15"/>
  <c r="DC138" i="15"/>
  <c r="DD138" i="15"/>
  <c r="DE138" i="15"/>
  <c r="DF138" i="15"/>
  <c r="DG138" i="15"/>
  <c r="DH138" i="15"/>
  <c r="DI138" i="15"/>
  <c r="DJ138" i="15"/>
  <c r="DK138" i="15"/>
  <c r="DL138" i="15"/>
  <c r="DM138" i="15"/>
  <c r="DN138" i="15"/>
  <c r="DO138" i="15"/>
  <c r="DP138" i="15"/>
  <c r="DQ138" i="15"/>
  <c r="DR138" i="15"/>
  <c r="DS138" i="15"/>
  <c r="DT138" i="15"/>
  <c r="DU138" i="15"/>
  <c r="DV138" i="15"/>
  <c r="DW138" i="15"/>
  <c r="DX138" i="15"/>
  <c r="DY138" i="15"/>
  <c r="DZ138" i="15"/>
  <c r="EA138" i="15"/>
  <c r="EB138" i="15"/>
  <c r="EC138" i="15"/>
  <c r="ED138" i="15"/>
  <c r="EE138" i="15"/>
  <c r="EF138" i="15"/>
  <c r="EG138" i="15"/>
  <c r="EH138" i="15"/>
  <c r="EI138" i="15"/>
  <c r="EJ138" i="15"/>
  <c r="EK138" i="15"/>
  <c r="EL138" i="15"/>
  <c r="EM138" i="15"/>
  <c r="EN138" i="15"/>
  <c r="EO138" i="15"/>
  <c r="EP138" i="15"/>
  <c r="EQ138" i="15"/>
  <c r="ER138" i="15"/>
  <c r="ES138" i="15"/>
  <c r="ET138" i="15"/>
  <c r="EU138" i="15"/>
  <c r="EV138" i="15"/>
  <c r="EW138" i="15"/>
  <c r="EX138" i="15"/>
  <c r="EY138" i="15"/>
  <c r="EZ138" i="15"/>
  <c r="FA138" i="15"/>
  <c r="FB138" i="15"/>
  <c r="FC138" i="15"/>
  <c r="FD138" i="15"/>
  <c r="FE138" i="15"/>
  <c r="FF138" i="15"/>
  <c r="FG138" i="15"/>
  <c r="FH138" i="15"/>
  <c r="FI138" i="15"/>
  <c r="FJ138" i="15"/>
  <c r="FK138" i="15"/>
  <c r="FL138" i="15"/>
  <c r="B139" i="15"/>
  <c r="C139" i="15"/>
  <c r="D139" i="15"/>
  <c r="E139" i="15"/>
  <c r="F139" i="15"/>
  <c r="G139" i="15"/>
  <c r="H139" i="15"/>
  <c r="I139" i="15"/>
  <c r="J139" i="15"/>
  <c r="K139" i="15"/>
  <c r="L139" i="15"/>
  <c r="M139" i="15"/>
  <c r="N139" i="15"/>
  <c r="O139" i="15"/>
  <c r="P139" i="15"/>
  <c r="Q139" i="15"/>
  <c r="R139" i="15"/>
  <c r="S139" i="15"/>
  <c r="T139" i="15"/>
  <c r="U139" i="15"/>
  <c r="V139" i="15"/>
  <c r="W139" i="15"/>
  <c r="X139" i="15"/>
  <c r="Y139" i="15"/>
  <c r="Z139" i="15"/>
  <c r="AA139" i="15"/>
  <c r="AB139" i="15"/>
  <c r="AC139" i="15"/>
  <c r="AD139" i="15"/>
  <c r="AE139" i="15"/>
  <c r="AF139" i="15"/>
  <c r="AG139" i="15"/>
  <c r="AH139" i="15"/>
  <c r="AI139" i="15"/>
  <c r="AJ139" i="15"/>
  <c r="AK139" i="15"/>
  <c r="AL139" i="15"/>
  <c r="AM139" i="15"/>
  <c r="AN139" i="15"/>
  <c r="AO139" i="15"/>
  <c r="AP139" i="15"/>
  <c r="AQ139" i="15"/>
  <c r="AR139" i="15"/>
  <c r="AS139" i="15"/>
  <c r="AT139" i="15"/>
  <c r="AU139" i="15"/>
  <c r="AV139" i="15"/>
  <c r="AW139" i="15"/>
  <c r="AX139" i="15"/>
  <c r="AY139" i="15"/>
  <c r="AZ139" i="15"/>
  <c r="BA139" i="15"/>
  <c r="BB139" i="15"/>
  <c r="BC139" i="15"/>
  <c r="BD139" i="15"/>
  <c r="BE139" i="15"/>
  <c r="BF139" i="15"/>
  <c r="BG139" i="15"/>
  <c r="BH139" i="15"/>
  <c r="BI139" i="15"/>
  <c r="BJ139" i="15"/>
  <c r="BK139" i="15"/>
  <c r="BL139" i="15"/>
  <c r="BM139" i="15"/>
  <c r="BN139" i="15"/>
  <c r="BO139" i="15"/>
  <c r="BP139" i="15"/>
  <c r="BQ139" i="15"/>
  <c r="BR139" i="15"/>
  <c r="BS139" i="15"/>
  <c r="BT139" i="15"/>
  <c r="BU139" i="15"/>
  <c r="BV139" i="15"/>
  <c r="BW139" i="15"/>
  <c r="BX139" i="15"/>
  <c r="BY139" i="15"/>
  <c r="BZ139" i="15"/>
  <c r="CA139" i="15"/>
  <c r="CB139" i="15"/>
  <c r="CC139" i="15"/>
  <c r="CD139" i="15"/>
  <c r="CE139" i="15"/>
  <c r="CF139" i="15"/>
  <c r="CG139" i="15"/>
  <c r="CH139" i="15"/>
  <c r="CI139" i="15"/>
  <c r="CJ139" i="15"/>
  <c r="CK139" i="15"/>
  <c r="CL139" i="15"/>
  <c r="CM139" i="15"/>
  <c r="CN139" i="15"/>
  <c r="CO139" i="15"/>
  <c r="CP139" i="15"/>
  <c r="CQ139" i="15"/>
  <c r="CR139" i="15"/>
  <c r="CS139" i="15"/>
  <c r="CT139" i="15"/>
  <c r="CU139" i="15"/>
  <c r="CV139" i="15"/>
  <c r="CW139" i="15"/>
  <c r="CX139" i="15"/>
  <c r="CY139" i="15"/>
  <c r="CZ139" i="15"/>
  <c r="DA139" i="15"/>
  <c r="DB139" i="15"/>
  <c r="DC139" i="15"/>
  <c r="DD139" i="15"/>
  <c r="DE139" i="15"/>
  <c r="DF139" i="15"/>
  <c r="DG139" i="15"/>
  <c r="DH139" i="15"/>
  <c r="DI139" i="15"/>
  <c r="DJ139" i="15"/>
  <c r="DK139" i="15"/>
  <c r="DL139" i="15"/>
  <c r="DM139" i="15"/>
  <c r="DN139" i="15"/>
  <c r="DO139" i="15"/>
  <c r="DP139" i="15"/>
  <c r="DQ139" i="15"/>
  <c r="DR139" i="15"/>
  <c r="DS139" i="15"/>
  <c r="DT139" i="15"/>
  <c r="DU139" i="15"/>
  <c r="DV139" i="15"/>
  <c r="DW139" i="15"/>
  <c r="DX139" i="15"/>
  <c r="DY139" i="15"/>
  <c r="DZ139" i="15"/>
  <c r="EA139" i="15"/>
  <c r="EB139" i="15"/>
  <c r="EC139" i="15"/>
  <c r="ED139" i="15"/>
  <c r="EE139" i="15"/>
  <c r="EF139" i="15"/>
  <c r="EG139" i="15"/>
  <c r="EH139" i="15"/>
  <c r="EI139" i="15"/>
  <c r="EJ139" i="15"/>
  <c r="EK139" i="15"/>
  <c r="EL139" i="15"/>
  <c r="EM139" i="15"/>
  <c r="EN139" i="15"/>
  <c r="EO139" i="15"/>
  <c r="EP139" i="15"/>
  <c r="EQ139" i="15"/>
  <c r="ER139" i="15"/>
  <c r="ES139" i="15"/>
  <c r="ET139" i="15"/>
  <c r="EU139" i="15"/>
  <c r="EV139" i="15"/>
  <c r="EW139" i="15"/>
  <c r="EX139" i="15"/>
  <c r="EY139" i="15"/>
  <c r="EZ139" i="15"/>
  <c r="FA139" i="15"/>
  <c r="FB139" i="15"/>
  <c r="FC139" i="15"/>
  <c r="FD139" i="15"/>
  <c r="FE139" i="15"/>
  <c r="FF139" i="15"/>
  <c r="FG139" i="15"/>
  <c r="FH139" i="15"/>
  <c r="FI139" i="15"/>
  <c r="FJ139" i="15"/>
  <c r="FK139" i="15"/>
  <c r="FL139" i="15"/>
  <c r="B140" i="15"/>
  <c r="C140" i="15"/>
  <c r="D140" i="15"/>
  <c r="E140" i="15"/>
  <c r="F140" i="15"/>
  <c r="G140" i="15"/>
  <c r="H140" i="15"/>
  <c r="I140" i="15"/>
  <c r="J140" i="15"/>
  <c r="K140" i="15"/>
  <c r="L140" i="15"/>
  <c r="M140" i="15"/>
  <c r="N140" i="15"/>
  <c r="O140" i="15"/>
  <c r="P140" i="15"/>
  <c r="Q140" i="15"/>
  <c r="R140" i="15"/>
  <c r="S140" i="15"/>
  <c r="T140" i="15"/>
  <c r="U140" i="15"/>
  <c r="V140" i="15"/>
  <c r="W140" i="15"/>
  <c r="X140" i="15"/>
  <c r="Y140" i="15"/>
  <c r="Z140" i="15"/>
  <c r="AA140" i="15"/>
  <c r="AB140" i="15"/>
  <c r="AC140" i="15"/>
  <c r="AD140" i="15"/>
  <c r="AE140" i="15"/>
  <c r="AF140" i="15"/>
  <c r="AG140" i="15"/>
  <c r="AH140" i="15"/>
  <c r="AI140" i="15"/>
  <c r="AJ140" i="15"/>
  <c r="AK140" i="15"/>
  <c r="AL140" i="15"/>
  <c r="AM140" i="15"/>
  <c r="AN140" i="15"/>
  <c r="AO140" i="15"/>
  <c r="AP140" i="15"/>
  <c r="AQ140" i="15"/>
  <c r="AR140" i="15"/>
  <c r="AS140" i="15"/>
  <c r="AT140" i="15"/>
  <c r="AU140" i="15"/>
  <c r="AV140" i="15"/>
  <c r="AW140" i="15"/>
  <c r="AX140" i="15"/>
  <c r="AY140" i="15"/>
  <c r="AZ140" i="15"/>
  <c r="BA140" i="15"/>
  <c r="BB140" i="15"/>
  <c r="BC140" i="15"/>
  <c r="BD140" i="15"/>
  <c r="BE140" i="15"/>
  <c r="BF140" i="15"/>
  <c r="BG140" i="15"/>
  <c r="BH140" i="15"/>
  <c r="BI140" i="15"/>
  <c r="BJ140" i="15"/>
  <c r="BK140" i="15"/>
  <c r="BL140" i="15"/>
  <c r="BM140" i="15"/>
  <c r="BN140" i="15"/>
  <c r="BO140" i="15"/>
  <c r="BP140" i="15"/>
  <c r="BQ140" i="15"/>
  <c r="BR140" i="15"/>
  <c r="BS140" i="15"/>
  <c r="BT140" i="15"/>
  <c r="BU140" i="15"/>
  <c r="BV140" i="15"/>
  <c r="BW140" i="15"/>
  <c r="BX140" i="15"/>
  <c r="BY140" i="15"/>
  <c r="BZ140" i="15"/>
  <c r="CA140" i="15"/>
  <c r="CB140" i="15"/>
  <c r="CC140" i="15"/>
  <c r="CD140" i="15"/>
  <c r="CE140" i="15"/>
  <c r="CF140" i="15"/>
  <c r="CG140" i="15"/>
  <c r="CH140" i="15"/>
  <c r="CI140" i="15"/>
  <c r="CJ140" i="15"/>
  <c r="CK140" i="15"/>
  <c r="CL140" i="15"/>
  <c r="CM140" i="15"/>
  <c r="CN140" i="15"/>
  <c r="CO140" i="15"/>
  <c r="CP140" i="15"/>
  <c r="CQ140" i="15"/>
  <c r="CR140" i="15"/>
  <c r="CS140" i="15"/>
  <c r="CT140" i="15"/>
  <c r="CU140" i="15"/>
  <c r="CV140" i="15"/>
  <c r="CW140" i="15"/>
  <c r="CX140" i="15"/>
  <c r="CY140" i="15"/>
  <c r="CZ140" i="15"/>
  <c r="DA140" i="15"/>
  <c r="DB140" i="15"/>
  <c r="DC140" i="15"/>
  <c r="DD140" i="15"/>
  <c r="DE140" i="15"/>
  <c r="DF140" i="15"/>
  <c r="DG140" i="15"/>
  <c r="DH140" i="15"/>
  <c r="DI140" i="15"/>
  <c r="DJ140" i="15"/>
  <c r="DK140" i="15"/>
  <c r="DL140" i="15"/>
  <c r="DM140" i="15"/>
  <c r="DN140" i="15"/>
  <c r="DO140" i="15"/>
  <c r="DP140" i="15"/>
  <c r="DQ140" i="15"/>
  <c r="DR140" i="15"/>
  <c r="DS140" i="15"/>
  <c r="DT140" i="15"/>
  <c r="DU140" i="15"/>
  <c r="DV140" i="15"/>
  <c r="DW140" i="15"/>
  <c r="DX140" i="15"/>
  <c r="DY140" i="15"/>
  <c r="DZ140" i="15"/>
  <c r="EA140" i="15"/>
  <c r="EB140" i="15"/>
  <c r="EC140" i="15"/>
  <c r="ED140" i="15"/>
  <c r="EE140" i="15"/>
  <c r="EF140" i="15"/>
  <c r="EG140" i="15"/>
  <c r="EH140" i="15"/>
  <c r="EI140" i="15"/>
  <c r="EJ140" i="15"/>
  <c r="EK140" i="15"/>
  <c r="EL140" i="15"/>
  <c r="EM140" i="15"/>
  <c r="EN140" i="15"/>
  <c r="EO140" i="15"/>
  <c r="EP140" i="15"/>
  <c r="EQ140" i="15"/>
  <c r="ER140" i="15"/>
  <c r="ES140" i="15"/>
  <c r="ET140" i="15"/>
  <c r="EU140" i="15"/>
  <c r="EV140" i="15"/>
  <c r="EW140" i="15"/>
  <c r="EX140" i="15"/>
  <c r="EY140" i="15"/>
  <c r="EZ140" i="15"/>
  <c r="FA140" i="15"/>
  <c r="FB140" i="15"/>
  <c r="FC140" i="15"/>
  <c r="FD140" i="15"/>
  <c r="FE140" i="15"/>
  <c r="FF140" i="15"/>
  <c r="FG140" i="15"/>
  <c r="FH140" i="15"/>
  <c r="FI140" i="15"/>
  <c r="FJ140" i="15"/>
  <c r="FK140" i="15"/>
  <c r="FL140" i="15"/>
  <c r="B141" i="15"/>
  <c r="C141" i="15"/>
  <c r="D141" i="15"/>
  <c r="E141" i="15"/>
  <c r="F141" i="15"/>
  <c r="G141" i="15"/>
  <c r="H141" i="15"/>
  <c r="I141" i="15"/>
  <c r="J141" i="15"/>
  <c r="K141" i="15"/>
  <c r="L141" i="15"/>
  <c r="M141" i="15"/>
  <c r="N141" i="15"/>
  <c r="O141" i="15"/>
  <c r="P141" i="15"/>
  <c r="Q141" i="15"/>
  <c r="R141" i="15"/>
  <c r="S141" i="15"/>
  <c r="T141" i="15"/>
  <c r="U141" i="15"/>
  <c r="V141" i="15"/>
  <c r="W141" i="15"/>
  <c r="X141" i="15"/>
  <c r="Y141" i="15"/>
  <c r="Z141" i="15"/>
  <c r="AA141" i="15"/>
  <c r="AB141" i="15"/>
  <c r="AC141" i="15"/>
  <c r="AD141" i="15"/>
  <c r="AE141" i="15"/>
  <c r="AF141" i="15"/>
  <c r="AG141" i="15"/>
  <c r="AH141" i="15"/>
  <c r="AI141" i="15"/>
  <c r="AJ141" i="15"/>
  <c r="AK141" i="15"/>
  <c r="AL141" i="15"/>
  <c r="AM141" i="15"/>
  <c r="AN141" i="15"/>
  <c r="AO141" i="15"/>
  <c r="AP141" i="15"/>
  <c r="AQ141" i="15"/>
  <c r="AR141" i="15"/>
  <c r="AS141" i="15"/>
  <c r="AT141" i="15"/>
  <c r="AU141" i="15"/>
  <c r="AV141" i="15"/>
  <c r="AW141" i="15"/>
  <c r="AX141" i="15"/>
  <c r="AY141" i="15"/>
  <c r="AZ141" i="15"/>
  <c r="BA141" i="15"/>
  <c r="BB141" i="15"/>
  <c r="BC141" i="15"/>
  <c r="BD141" i="15"/>
  <c r="BE141" i="15"/>
  <c r="BF141" i="15"/>
  <c r="BG141" i="15"/>
  <c r="BH141" i="15"/>
  <c r="BI141" i="15"/>
  <c r="BJ141" i="15"/>
  <c r="BK141" i="15"/>
  <c r="BL141" i="15"/>
  <c r="BM141" i="15"/>
  <c r="BN141" i="15"/>
  <c r="BO141" i="15"/>
  <c r="BP141" i="15"/>
  <c r="BQ141" i="15"/>
  <c r="BR141" i="15"/>
  <c r="BS141" i="15"/>
  <c r="BT141" i="15"/>
  <c r="BU141" i="15"/>
  <c r="BV141" i="15"/>
  <c r="BW141" i="15"/>
  <c r="BX141" i="15"/>
  <c r="BY141" i="15"/>
  <c r="BZ141" i="15"/>
  <c r="CA141" i="15"/>
  <c r="CB141" i="15"/>
  <c r="CC141" i="15"/>
  <c r="CD141" i="15"/>
  <c r="CE141" i="15"/>
  <c r="CF141" i="15"/>
  <c r="CG141" i="15"/>
  <c r="CH141" i="15"/>
  <c r="CI141" i="15"/>
  <c r="CJ141" i="15"/>
  <c r="CK141" i="15"/>
  <c r="CL141" i="15"/>
  <c r="CM141" i="15"/>
  <c r="CN141" i="15"/>
  <c r="CO141" i="15"/>
  <c r="CP141" i="15"/>
  <c r="CQ141" i="15"/>
  <c r="CR141" i="15"/>
  <c r="CS141" i="15"/>
  <c r="CT141" i="15"/>
  <c r="CU141" i="15"/>
  <c r="CV141" i="15"/>
  <c r="CW141" i="15"/>
  <c r="CX141" i="15"/>
  <c r="CY141" i="15"/>
  <c r="CZ141" i="15"/>
  <c r="DA141" i="15"/>
  <c r="DB141" i="15"/>
  <c r="DC141" i="15"/>
  <c r="DD141" i="15"/>
  <c r="DE141" i="15"/>
  <c r="DF141" i="15"/>
  <c r="DG141" i="15"/>
  <c r="DH141" i="15"/>
  <c r="DI141" i="15"/>
  <c r="DJ141" i="15"/>
  <c r="DK141" i="15"/>
  <c r="DL141" i="15"/>
  <c r="DM141" i="15"/>
  <c r="DN141" i="15"/>
  <c r="DO141" i="15"/>
  <c r="DP141" i="15"/>
  <c r="DQ141" i="15"/>
  <c r="DR141" i="15"/>
  <c r="DS141" i="15"/>
  <c r="DT141" i="15"/>
  <c r="DU141" i="15"/>
  <c r="DV141" i="15"/>
  <c r="DW141" i="15"/>
  <c r="DX141" i="15"/>
  <c r="DY141" i="15"/>
  <c r="DZ141" i="15"/>
  <c r="EA141" i="15"/>
  <c r="EB141" i="15"/>
  <c r="EC141" i="15"/>
  <c r="ED141" i="15"/>
  <c r="EE141" i="15"/>
  <c r="EF141" i="15"/>
  <c r="EG141" i="15"/>
  <c r="EH141" i="15"/>
  <c r="EI141" i="15"/>
  <c r="EJ141" i="15"/>
  <c r="EK141" i="15"/>
  <c r="EL141" i="15"/>
  <c r="EM141" i="15"/>
  <c r="EN141" i="15"/>
  <c r="EO141" i="15"/>
  <c r="EP141" i="15"/>
  <c r="EQ141" i="15"/>
  <c r="ER141" i="15"/>
  <c r="ES141" i="15"/>
  <c r="ET141" i="15"/>
  <c r="EU141" i="15"/>
  <c r="EV141" i="15"/>
  <c r="EW141" i="15"/>
  <c r="EX141" i="15"/>
  <c r="EY141" i="15"/>
  <c r="EZ141" i="15"/>
  <c r="FA141" i="15"/>
  <c r="FB141" i="15"/>
  <c r="FC141" i="15"/>
  <c r="FD141" i="15"/>
  <c r="FE141" i="15"/>
  <c r="FF141" i="15"/>
  <c r="FG141" i="15"/>
  <c r="FH141" i="15"/>
  <c r="FI141" i="15"/>
  <c r="FJ141" i="15"/>
  <c r="FK141" i="15"/>
  <c r="FL141" i="15"/>
  <c r="B142" i="15"/>
  <c r="C142" i="15"/>
  <c r="D142" i="15"/>
  <c r="E142" i="15"/>
  <c r="F142" i="15"/>
  <c r="G142" i="15"/>
  <c r="H142" i="15"/>
  <c r="I142" i="15"/>
  <c r="J142" i="15"/>
  <c r="K142" i="15"/>
  <c r="L142" i="15"/>
  <c r="M142" i="15"/>
  <c r="N142" i="15"/>
  <c r="O142" i="15"/>
  <c r="P142" i="15"/>
  <c r="Q142" i="15"/>
  <c r="R142" i="15"/>
  <c r="S142" i="15"/>
  <c r="T142" i="15"/>
  <c r="U142" i="15"/>
  <c r="V142" i="15"/>
  <c r="W142" i="15"/>
  <c r="X142" i="15"/>
  <c r="Y142" i="15"/>
  <c r="Z142" i="15"/>
  <c r="AA142" i="15"/>
  <c r="AB142" i="15"/>
  <c r="AC142" i="15"/>
  <c r="AD142" i="15"/>
  <c r="AE142" i="15"/>
  <c r="AF142" i="15"/>
  <c r="AG142" i="15"/>
  <c r="AH142" i="15"/>
  <c r="AI142" i="15"/>
  <c r="AJ142" i="15"/>
  <c r="AK142" i="15"/>
  <c r="AL142" i="15"/>
  <c r="AM142" i="15"/>
  <c r="AN142" i="15"/>
  <c r="AO142" i="15"/>
  <c r="AP142" i="15"/>
  <c r="AQ142" i="15"/>
  <c r="AR142" i="15"/>
  <c r="AS142" i="15"/>
  <c r="AT142" i="15"/>
  <c r="AU142" i="15"/>
  <c r="AV142" i="15"/>
  <c r="AW142" i="15"/>
  <c r="AX142" i="15"/>
  <c r="AY142" i="15"/>
  <c r="AZ142" i="15"/>
  <c r="BA142" i="15"/>
  <c r="BB142" i="15"/>
  <c r="BC142" i="15"/>
  <c r="BD142" i="15"/>
  <c r="BE142" i="15"/>
  <c r="BF142" i="15"/>
  <c r="BG142" i="15"/>
  <c r="BH142" i="15"/>
  <c r="BI142" i="15"/>
  <c r="BJ142" i="15"/>
  <c r="BK142" i="15"/>
  <c r="BL142" i="15"/>
  <c r="BM142" i="15"/>
  <c r="BN142" i="15"/>
  <c r="BO142" i="15"/>
  <c r="BP142" i="15"/>
  <c r="BQ142" i="15"/>
  <c r="BR142" i="15"/>
  <c r="BS142" i="15"/>
  <c r="BT142" i="15"/>
  <c r="BU142" i="15"/>
  <c r="BV142" i="15"/>
  <c r="BW142" i="15"/>
  <c r="BX142" i="15"/>
  <c r="BY142" i="15"/>
  <c r="BZ142" i="15"/>
  <c r="CA142" i="15"/>
  <c r="CB142" i="15"/>
  <c r="CC142" i="15"/>
  <c r="CD142" i="15"/>
  <c r="CE142" i="15"/>
  <c r="CF142" i="15"/>
  <c r="CG142" i="15"/>
  <c r="CH142" i="15"/>
  <c r="CI142" i="15"/>
  <c r="CJ142" i="15"/>
  <c r="CK142" i="15"/>
  <c r="CL142" i="15"/>
  <c r="CM142" i="15"/>
  <c r="CN142" i="15"/>
  <c r="CO142" i="15"/>
  <c r="CP142" i="15"/>
  <c r="CQ142" i="15"/>
  <c r="CR142" i="15"/>
  <c r="CS142" i="15"/>
  <c r="CT142" i="15"/>
  <c r="CU142" i="15"/>
  <c r="CV142" i="15"/>
  <c r="CW142" i="15"/>
  <c r="CX142" i="15"/>
  <c r="CY142" i="15"/>
  <c r="CZ142" i="15"/>
  <c r="DA142" i="15"/>
  <c r="DB142" i="15"/>
  <c r="DC142" i="15"/>
  <c r="DD142" i="15"/>
  <c r="DE142" i="15"/>
  <c r="DF142" i="15"/>
  <c r="DG142" i="15"/>
  <c r="DH142" i="15"/>
  <c r="DI142" i="15"/>
  <c r="DJ142" i="15"/>
  <c r="DK142" i="15"/>
  <c r="DL142" i="15"/>
  <c r="DM142" i="15"/>
  <c r="DN142" i="15"/>
  <c r="DO142" i="15"/>
  <c r="DP142" i="15"/>
  <c r="DQ142" i="15"/>
  <c r="DR142" i="15"/>
  <c r="DS142" i="15"/>
  <c r="DT142" i="15"/>
  <c r="DU142" i="15"/>
  <c r="DV142" i="15"/>
  <c r="DW142" i="15"/>
  <c r="DX142" i="15"/>
  <c r="DY142" i="15"/>
  <c r="DZ142" i="15"/>
  <c r="EA142" i="15"/>
  <c r="EB142" i="15"/>
  <c r="EC142" i="15"/>
  <c r="ED142" i="15"/>
  <c r="EE142" i="15"/>
  <c r="EF142" i="15"/>
  <c r="EG142" i="15"/>
  <c r="EH142" i="15"/>
  <c r="EI142" i="15"/>
  <c r="EJ142" i="15"/>
  <c r="EK142" i="15"/>
  <c r="EL142" i="15"/>
  <c r="EM142" i="15"/>
  <c r="EN142" i="15"/>
  <c r="EO142" i="15"/>
  <c r="EP142" i="15"/>
  <c r="EQ142" i="15"/>
  <c r="ER142" i="15"/>
  <c r="ES142" i="15"/>
  <c r="ET142" i="15"/>
  <c r="EU142" i="15"/>
  <c r="EV142" i="15"/>
  <c r="EW142" i="15"/>
  <c r="EX142" i="15"/>
  <c r="EY142" i="15"/>
  <c r="EZ142" i="15"/>
  <c r="FA142" i="15"/>
  <c r="FB142" i="15"/>
  <c r="FC142" i="15"/>
  <c r="FD142" i="15"/>
  <c r="FE142" i="15"/>
  <c r="FF142" i="15"/>
  <c r="FG142" i="15"/>
  <c r="FH142" i="15"/>
  <c r="FI142" i="15"/>
  <c r="FJ142" i="15"/>
  <c r="FK142" i="15"/>
  <c r="FL142" i="15"/>
  <c r="B143" i="15"/>
  <c r="C143" i="15"/>
  <c r="D143" i="15"/>
  <c r="E143" i="15"/>
  <c r="F143" i="15"/>
  <c r="G143" i="15"/>
  <c r="H143" i="15"/>
  <c r="I143" i="15"/>
  <c r="J143" i="15"/>
  <c r="K143" i="15"/>
  <c r="L143" i="15"/>
  <c r="M143" i="15"/>
  <c r="N143" i="15"/>
  <c r="O143" i="15"/>
  <c r="P143" i="15"/>
  <c r="Q143" i="15"/>
  <c r="R143" i="15"/>
  <c r="S143" i="15"/>
  <c r="T143" i="15"/>
  <c r="U143" i="15"/>
  <c r="V143" i="15"/>
  <c r="W143" i="15"/>
  <c r="X143" i="15"/>
  <c r="Y143" i="15"/>
  <c r="Z143" i="15"/>
  <c r="AA143" i="15"/>
  <c r="AB143" i="15"/>
  <c r="AC143" i="15"/>
  <c r="AD143" i="15"/>
  <c r="AE143" i="15"/>
  <c r="AF143" i="15"/>
  <c r="AG143" i="15"/>
  <c r="AH143" i="15"/>
  <c r="AI143" i="15"/>
  <c r="AJ143" i="15"/>
  <c r="AK143" i="15"/>
  <c r="AL143" i="15"/>
  <c r="AM143" i="15"/>
  <c r="AN143" i="15"/>
  <c r="AO143" i="15"/>
  <c r="AP143" i="15"/>
  <c r="AQ143" i="15"/>
  <c r="AR143" i="15"/>
  <c r="AS143" i="15"/>
  <c r="AT143" i="15"/>
  <c r="AU143" i="15"/>
  <c r="AV143" i="15"/>
  <c r="AW143" i="15"/>
  <c r="AX143" i="15"/>
  <c r="AY143" i="15"/>
  <c r="AZ143" i="15"/>
  <c r="BA143" i="15"/>
  <c r="BB143" i="15"/>
  <c r="BC143" i="15"/>
  <c r="BD143" i="15"/>
  <c r="BE143" i="15"/>
  <c r="BF143" i="15"/>
  <c r="BG143" i="15"/>
  <c r="BH143" i="15"/>
  <c r="BI143" i="15"/>
  <c r="BJ143" i="15"/>
  <c r="BK143" i="15"/>
  <c r="BL143" i="15"/>
  <c r="BM143" i="15"/>
  <c r="BN143" i="15"/>
  <c r="BO143" i="15"/>
  <c r="BP143" i="15"/>
  <c r="BQ143" i="15"/>
  <c r="BR143" i="15"/>
  <c r="BS143" i="15"/>
  <c r="BT143" i="15"/>
  <c r="BU143" i="15"/>
  <c r="BV143" i="15"/>
  <c r="BW143" i="15"/>
  <c r="BX143" i="15"/>
  <c r="BY143" i="15"/>
  <c r="BZ143" i="15"/>
  <c r="CA143" i="15"/>
  <c r="CB143" i="15"/>
  <c r="CC143" i="15"/>
  <c r="CD143" i="15"/>
  <c r="CE143" i="15"/>
  <c r="CF143" i="15"/>
  <c r="CG143" i="15"/>
  <c r="CH143" i="15"/>
  <c r="CI143" i="15"/>
  <c r="CJ143" i="15"/>
  <c r="CK143" i="15"/>
  <c r="CL143" i="15"/>
  <c r="CM143" i="15"/>
  <c r="CN143" i="15"/>
  <c r="CO143" i="15"/>
  <c r="CP143" i="15"/>
  <c r="CQ143" i="15"/>
  <c r="CR143" i="15"/>
  <c r="CS143" i="15"/>
  <c r="CT143" i="15"/>
  <c r="CU143" i="15"/>
  <c r="CV143" i="15"/>
  <c r="CW143" i="15"/>
  <c r="CX143" i="15"/>
  <c r="CY143" i="15"/>
  <c r="CZ143" i="15"/>
  <c r="DA143" i="15"/>
  <c r="DB143" i="15"/>
  <c r="DC143" i="15"/>
  <c r="DD143" i="15"/>
  <c r="DE143" i="15"/>
  <c r="DF143" i="15"/>
  <c r="DG143" i="15"/>
  <c r="DH143" i="15"/>
  <c r="DI143" i="15"/>
  <c r="DJ143" i="15"/>
  <c r="DK143" i="15"/>
  <c r="DL143" i="15"/>
  <c r="DM143" i="15"/>
  <c r="DN143" i="15"/>
  <c r="DO143" i="15"/>
  <c r="DP143" i="15"/>
  <c r="DQ143" i="15"/>
  <c r="DR143" i="15"/>
  <c r="DS143" i="15"/>
  <c r="DT143" i="15"/>
  <c r="DU143" i="15"/>
  <c r="DV143" i="15"/>
  <c r="DW143" i="15"/>
  <c r="DX143" i="15"/>
  <c r="DY143" i="15"/>
  <c r="DZ143" i="15"/>
  <c r="EA143" i="15"/>
  <c r="EB143" i="15"/>
  <c r="EC143" i="15"/>
  <c r="ED143" i="15"/>
  <c r="EE143" i="15"/>
  <c r="EF143" i="15"/>
  <c r="EG143" i="15"/>
  <c r="EH143" i="15"/>
  <c r="EI143" i="15"/>
  <c r="EJ143" i="15"/>
  <c r="EK143" i="15"/>
  <c r="EL143" i="15"/>
  <c r="EM143" i="15"/>
  <c r="EN143" i="15"/>
  <c r="EO143" i="15"/>
  <c r="EP143" i="15"/>
  <c r="EQ143" i="15"/>
  <c r="ER143" i="15"/>
  <c r="ES143" i="15"/>
  <c r="ET143" i="15"/>
  <c r="EU143" i="15"/>
  <c r="EV143" i="15"/>
  <c r="EW143" i="15"/>
  <c r="EX143" i="15"/>
  <c r="EY143" i="15"/>
  <c r="EZ143" i="15"/>
  <c r="FA143" i="15"/>
  <c r="FB143" i="15"/>
  <c r="FC143" i="15"/>
  <c r="FD143" i="15"/>
  <c r="FE143" i="15"/>
  <c r="FF143" i="15"/>
  <c r="FG143" i="15"/>
  <c r="FH143" i="15"/>
  <c r="FI143" i="15"/>
  <c r="FJ143" i="15"/>
  <c r="FK143" i="15"/>
  <c r="FL143" i="15"/>
  <c r="B144" i="15"/>
  <c r="C144" i="15"/>
  <c r="D144" i="15"/>
  <c r="E144" i="15"/>
  <c r="F144" i="15"/>
  <c r="G144" i="15"/>
  <c r="H144" i="15"/>
  <c r="I144" i="15"/>
  <c r="J144" i="15"/>
  <c r="K144" i="15"/>
  <c r="L144" i="15"/>
  <c r="M144" i="15"/>
  <c r="N144" i="15"/>
  <c r="O144" i="15"/>
  <c r="P144" i="15"/>
  <c r="Q144" i="15"/>
  <c r="R144" i="15"/>
  <c r="S144" i="15"/>
  <c r="T144" i="15"/>
  <c r="U144" i="15"/>
  <c r="V144" i="15"/>
  <c r="W144" i="15"/>
  <c r="X144" i="15"/>
  <c r="Y144" i="15"/>
  <c r="Z144" i="15"/>
  <c r="AA144" i="15"/>
  <c r="AB144" i="15"/>
  <c r="AC144" i="15"/>
  <c r="AD144" i="15"/>
  <c r="AE144" i="15"/>
  <c r="AF144" i="15"/>
  <c r="AG144" i="15"/>
  <c r="AH144" i="15"/>
  <c r="AI144" i="15"/>
  <c r="AJ144" i="15"/>
  <c r="AK144" i="15"/>
  <c r="AL144" i="15"/>
  <c r="AM144" i="15"/>
  <c r="AN144" i="15"/>
  <c r="AO144" i="15"/>
  <c r="AP144" i="15"/>
  <c r="AQ144" i="15"/>
  <c r="AR144" i="15"/>
  <c r="AS144" i="15"/>
  <c r="AT144" i="15"/>
  <c r="AU144" i="15"/>
  <c r="AV144" i="15"/>
  <c r="AW144" i="15"/>
  <c r="AX144" i="15"/>
  <c r="AY144" i="15"/>
  <c r="AZ144" i="15"/>
  <c r="BA144" i="15"/>
  <c r="BB144" i="15"/>
  <c r="BC144" i="15"/>
  <c r="BD144" i="15"/>
  <c r="BE144" i="15"/>
  <c r="BF144" i="15"/>
  <c r="BG144" i="15"/>
  <c r="BH144" i="15"/>
  <c r="BI144" i="15"/>
  <c r="BJ144" i="15"/>
  <c r="BK144" i="15"/>
  <c r="BL144" i="15"/>
  <c r="BM144" i="15"/>
  <c r="BN144" i="15"/>
  <c r="BO144" i="15"/>
  <c r="BP144" i="15"/>
  <c r="BQ144" i="15"/>
  <c r="BR144" i="15"/>
  <c r="BS144" i="15"/>
  <c r="BT144" i="15"/>
  <c r="BU144" i="15"/>
  <c r="BV144" i="15"/>
  <c r="BW144" i="15"/>
  <c r="BX144" i="15"/>
  <c r="BY144" i="15"/>
  <c r="BZ144" i="15"/>
  <c r="CA144" i="15"/>
  <c r="CB144" i="15"/>
  <c r="CC144" i="15"/>
  <c r="CD144" i="15"/>
  <c r="CE144" i="15"/>
  <c r="CF144" i="15"/>
  <c r="CG144" i="15"/>
  <c r="CH144" i="15"/>
  <c r="CI144" i="15"/>
  <c r="CJ144" i="15"/>
  <c r="CK144" i="15"/>
  <c r="CL144" i="15"/>
  <c r="CM144" i="15"/>
  <c r="CN144" i="15"/>
  <c r="CO144" i="15"/>
  <c r="CP144" i="15"/>
  <c r="CQ144" i="15"/>
  <c r="CR144" i="15"/>
  <c r="CS144" i="15"/>
  <c r="CT144" i="15"/>
  <c r="CU144" i="15"/>
  <c r="CV144" i="15"/>
  <c r="CW144" i="15"/>
  <c r="CX144" i="15"/>
  <c r="CY144" i="15"/>
  <c r="CZ144" i="15"/>
  <c r="DA144" i="15"/>
  <c r="DB144" i="15"/>
  <c r="DC144" i="15"/>
  <c r="DD144" i="15"/>
  <c r="DE144" i="15"/>
  <c r="DF144" i="15"/>
  <c r="DG144" i="15"/>
  <c r="DH144" i="15"/>
  <c r="DI144" i="15"/>
  <c r="DJ144" i="15"/>
  <c r="DK144" i="15"/>
  <c r="DL144" i="15"/>
  <c r="DM144" i="15"/>
  <c r="DN144" i="15"/>
  <c r="DO144" i="15"/>
  <c r="DP144" i="15"/>
  <c r="DQ144" i="15"/>
  <c r="DR144" i="15"/>
  <c r="DS144" i="15"/>
  <c r="DT144" i="15"/>
  <c r="DU144" i="15"/>
  <c r="DV144" i="15"/>
  <c r="DW144" i="15"/>
  <c r="DX144" i="15"/>
  <c r="DY144" i="15"/>
  <c r="DZ144" i="15"/>
  <c r="EA144" i="15"/>
  <c r="EB144" i="15"/>
  <c r="EC144" i="15"/>
  <c r="ED144" i="15"/>
  <c r="EE144" i="15"/>
  <c r="EF144" i="15"/>
  <c r="EG144" i="15"/>
  <c r="EH144" i="15"/>
  <c r="EI144" i="15"/>
  <c r="EJ144" i="15"/>
  <c r="EK144" i="15"/>
  <c r="EL144" i="15"/>
  <c r="EM144" i="15"/>
  <c r="EN144" i="15"/>
  <c r="EO144" i="15"/>
  <c r="EP144" i="15"/>
  <c r="EQ144" i="15"/>
  <c r="ER144" i="15"/>
  <c r="ES144" i="15"/>
  <c r="ET144" i="15"/>
  <c r="EU144" i="15"/>
  <c r="EV144" i="15"/>
  <c r="EW144" i="15"/>
  <c r="EX144" i="15"/>
  <c r="EY144" i="15"/>
  <c r="EZ144" i="15"/>
  <c r="FA144" i="15"/>
  <c r="FB144" i="15"/>
  <c r="FC144" i="15"/>
  <c r="FD144" i="15"/>
  <c r="FE144" i="15"/>
  <c r="FF144" i="15"/>
  <c r="FG144" i="15"/>
  <c r="FH144" i="15"/>
  <c r="FI144" i="15"/>
  <c r="FJ144" i="15"/>
  <c r="FK144" i="15"/>
  <c r="FL144" i="15"/>
  <c r="B145" i="15"/>
  <c r="C145" i="15"/>
  <c r="D145" i="15"/>
  <c r="E145" i="15"/>
  <c r="F145" i="15"/>
  <c r="G145" i="15"/>
  <c r="H145" i="15"/>
  <c r="I145" i="15"/>
  <c r="J145" i="15"/>
  <c r="K145" i="15"/>
  <c r="L145" i="15"/>
  <c r="M145" i="15"/>
  <c r="N145" i="15"/>
  <c r="O145" i="15"/>
  <c r="P145" i="15"/>
  <c r="Q145" i="15"/>
  <c r="R145" i="15"/>
  <c r="S145" i="15"/>
  <c r="T145" i="15"/>
  <c r="U145" i="15"/>
  <c r="V145" i="15"/>
  <c r="W145" i="15"/>
  <c r="X145" i="15"/>
  <c r="Y145" i="15"/>
  <c r="Z145" i="15"/>
  <c r="AA145" i="15"/>
  <c r="AB145" i="15"/>
  <c r="AC145" i="15"/>
  <c r="AD145" i="15"/>
  <c r="AE145" i="15"/>
  <c r="AF145" i="15"/>
  <c r="AG145" i="15"/>
  <c r="AH145" i="15"/>
  <c r="AI145" i="15"/>
  <c r="AJ145" i="15"/>
  <c r="AK145" i="15"/>
  <c r="AL145" i="15"/>
  <c r="AM145" i="15"/>
  <c r="AN145" i="15"/>
  <c r="AO145" i="15"/>
  <c r="AP145" i="15"/>
  <c r="AQ145" i="15"/>
  <c r="AR145" i="15"/>
  <c r="AS145" i="15"/>
  <c r="AT145" i="15"/>
  <c r="AU145" i="15"/>
  <c r="AV145" i="15"/>
  <c r="AW145" i="15"/>
  <c r="AX145" i="15"/>
  <c r="AY145" i="15"/>
  <c r="AZ145" i="15"/>
  <c r="BA145" i="15"/>
  <c r="BB145" i="15"/>
  <c r="BC145" i="15"/>
  <c r="BD145" i="15"/>
  <c r="BE145" i="15"/>
  <c r="BF145" i="15"/>
  <c r="BG145" i="15"/>
  <c r="BH145" i="15"/>
  <c r="BI145" i="15"/>
  <c r="BJ145" i="15"/>
  <c r="BK145" i="15"/>
  <c r="BL145" i="15"/>
  <c r="BM145" i="15"/>
  <c r="BN145" i="15"/>
  <c r="BO145" i="15"/>
  <c r="BP145" i="15"/>
  <c r="BQ145" i="15"/>
  <c r="BR145" i="15"/>
  <c r="BS145" i="15"/>
  <c r="BT145" i="15"/>
  <c r="BU145" i="15"/>
  <c r="BV145" i="15"/>
  <c r="BW145" i="15"/>
  <c r="BX145" i="15"/>
  <c r="BY145" i="15"/>
  <c r="BZ145" i="15"/>
  <c r="CA145" i="15"/>
  <c r="CB145" i="15"/>
  <c r="CC145" i="15"/>
  <c r="CD145" i="15"/>
  <c r="CE145" i="15"/>
  <c r="CF145" i="15"/>
  <c r="CG145" i="15"/>
  <c r="CH145" i="15"/>
  <c r="CI145" i="15"/>
  <c r="CJ145" i="15"/>
  <c r="CK145" i="15"/>
  <c r="CL145" i="15"/>
  <c r="CM145" i="15"/>
  <c r="CN145" i="15"/>
  <c r="CO145" i="15"/>
  <c r="CP145" i="15"/>
  <c r="CQ145" i="15"/>
  <c r="CR145" i="15"/>
  <c r="CS145" i="15"/>
  <c r="CT145" i="15"/>
  <c r="CU145" i="15"/>
  <c r="CV145" i="15"/>
  <c r="CW145" i="15"/>
  <c r="CX145" i="15"/>
  <c r="CY145" i="15"/>
  <c r="CZ145" i="15"/>
  <c r="DA145" i="15"/>
  <c r="DB145" i="15"/>
  <c r="DC145" i="15"/>
  <c r="DD145" i="15"/>
  <c r="DE145" i="15"/>
  <c r="DF145" i="15"/>
  <c r="DG145" i="15"/>
  <c r="DH145" i="15"/>
  <c r="DI145" i="15"/>
  <c r="DJ145" i="15"/>
  <c r="DK145" i="15"/>
  <c r="DL145" i="15"/>
  <c r="DM145" i="15"/>
  <c r="DN145" i="15"/>
  <c r="DO145" i="15"/>
  <c r="DP145" i="15"/>
  <c r="DQ145" i="15"/>
  <c r="DR145" i="15"/>
  <c r="DS145" i="15"/>
  <c r="DT145" i="15"/>
  <c r="DU145" i="15"/>
  <c r="DV145" i="15"/>
  <c r="DW145" i="15"/>
  <c r="DX145" i="15"/>
  <c r="DY145" i="15"/>
  <c r="DZ145" i="15"/>
  <c r="EA145" i="15"/>
  <c r="EB145" i="15"/>
  <c r="EC145" i="15"/>
  <c r="ED145" i="15"/>
  <c r="EE145" i="15"/>
  <c r="EF145" i="15"/>
  <c r="EG145" i="15"/>
  <c r="EH145" i="15"/>
  <c r="EI145" i="15"/>
  <c r="EJ145" i="15"/>
  <c r="EK145" i="15"/>
  <c r="EL145" i="15"/>
  <c r="EM145" i="15"/>
  <c r="EN145" i="15"/>
  <c r="EO145" i="15"/>
  <c r="EP145" i="15"/>
  <c r="EQ145" i="15"/>
  <c r="ER145" i="15"/>
  <c r="ES145" i="15"/>
  <c r="ET145" i="15"/>
  <c r="EU145" i="15"/>
  <c r="EV145" i="15"/>
  <c r="EW145" i="15"/>
  <c r="EX145" i="15"/>
  <c r="EY145" i="15"/>
  <c r="EZ145" i="15"/>
  <c r="FA145" i="15"/>
  <c r="FB145" i="15"/>
  <c r="FC145" i="15"/>
  <c r="FD145" i="15"/>
  <c r="FE145" i="15"/>
  <c r="FF145" i="15"/>
  <c r="FG145" i="15"/>
  <c r="FH145" i="15"/>
  <c r="FI145" i="15"/>
  <c r="FJ145" i="15"/>
  <c r="FK145" i="15"/>
  <c r="FL145" i="15"/>
  <c r="B146" i="15"/>
  <c r="C146" i="15"/>
  <c r="D146" i="15"/>
  <c r="E146" i="15"/>
  <c r="F146" i="15"/>
  <c r="G146" i="15"/>
  <c r="H146" i="15"/>
  <c r="I146" i="15"/>
  <c r="J146" i="15"/>
  <c r="K146" i="15"/>
  <c r="L146" i="15"/>
  <c r="M146" i="15"/>
  <c r="N146" i="15"/>
  <c r="O146" i="15"/>
  <c r="P146" i="15"/>
  <c r="Q146" i="15"/>
  <c r="R146" i="15"/>
  <c r="S146" i="15"/>
  <c r="T146" i="15"/>
  <c r="U146" i="15"/>
  <c r="V146" i="15"/>
  <c r="W146" i="15"/>
  <c r="X146" i="15"/>
  <c r="Y146" i="15"/>
  <c r="Z146" i="15"/>
  <c r="AA146" i="15"/>
  <c r="AB146" i="15"/>
  <c r="AC146" i="15"/>
  <c r="AD146" i="15"/>
  <c r="AE146" i="15"/>
  <c r="AF146" i="15"/>
  <c r="AG146" i="15"/>
  <c r="AH146" i="15"/>
  <c r="AI146" i="15"/>
  <c r="AJ146" i="15"/>
  <c r="AK146" i="15"/>
  <c r="AL146" i="15"/>
  <c r="AM146" i="15"/>
  <c r="AN146" i="15"/>
  <c r="AO146" i="15"/>
  <c r="AP146" i="15"/>
  <c r="AQ146" i="15"/>
  <c r="AR146" i="15"/>
  <c r="AS146" i="15"/>
  <c r="AT146" i="15"/>
  <c r="AU146" i="15"/>
  <c r="AV146" i="15"/>
  <c r="AW146" i="15"/>
  <c r="AX146" i="15"/>
  <c r="AY146" i="15"/>
  <c r="AZ146" i="15"/>
  <c r="BA146" i="15"/>
  <c r="BB146" i="15"/>
  <c r="BC146" i="15"/>
  <c r="BD146" i="15"/>
  <c r="BE146" i="15"/>
  <c r="BF146" i="15"/>
  <c r="BG146" i="15"/>
  <c r="BH146" i="15"/>
  <c r="BI146" i="15"/>
  <c r="BJ146" i="15"/>
  <c r="BK146" i="15"/>
  <c r="BL146" i="15"/>
  <c r="BM146" i="15"/>
  <c r="BN146" i="15"/>
  <c r="BO146" i="15"/>
  <c r="BP146" i="15"/>
  <c r="BQ146" i="15"/>
  <c r="BR146" i="15"/>
  <c r="BS146" i="15"/>
  <c r="BT146" i="15"/>
  <c r="BU146" i="15"/>
  <c r="BV146" i="15"/>
  <c r="BW146" i="15"/>
  <c r="BX146" i="15"/>
  <c r="BY146" i="15"/>
  <c r="BZ146" i="15"/>
  <c r="CA146" i="15"/>
  <c r="CB146" i="15"/>
  <c r="CC146" i="15"/>
  <c r="CD146" i="15"/>
  <c r="CE146" i="15"/>
  <c r="CF146" i="15"/>
  <c r="CG146" i="15"/>
  <c r="CH146" i="15"/>
  <c r="CI146" i="15"/>
  <c r="CJ146" i="15"/>
  <c r="CK146" i="15"/>
  <c r="CL146" i="15"/>
  <c r="CM146" i="15"/>
  <c r="CN146" i="15"/>
  <c r="CO146" i="15"/>
  <c r="CP146" i="15"/>
  <c r="CQ146" i="15"/>
  <c r="CR146" i="15"/>
  <c r="CS146" i="15"/>
  <c r="CT146" i="15"/>
  <c r="CU146" i="15"/>
  <c r="CV146" i="15"/>
  <c r="CW146" i="15"/>
  <c r="CX146" i="15"/>
  <c r="CY146" i="15"/>
  <c r="CZ146" i="15"/>
  <c r="DA146" i="15"/>
  <c r="DB146" i="15"/>
  <c r="DC146" i="15"/>
  <c r="DD146" i="15"/>
  <c r="DE146" i="15"/>
  <c r="DF146" i="15"/>
  <c r="DG146" i="15"/>
  <c r="DH146" i="15"/>
  <c r="DI146" i="15"/>
  <c r="DJ146" i="15"/>
  <c r="DK146" i="15"/>
  <c r="DL146" i="15"/>
  <c r="DM146" i="15"/>
  <c r="DN146" i="15"/>
  <c r="DO146" i="15"/>
  <c r="DP146" i="15"/>
  <c r="DQ146" i="15"/>
  <c r="DR146" i="15"/>
  <c r="DS146" i="15"/>
  <c r="DT146" i="15"/>
  <c r="DU146" i="15"/>
  <c r="DV146" i="15"/>
  <c r="DW146" i="15"/>
  <c r="DX146" i="15"/>
  <c r="DY146" i="15"/>
  <c r="DZ146" i="15"/>
  <c r="EA146" i="15"/>
  <c r="EB146" i="15"/>
  <c r="EC146" i="15"/>
  <c r="ED146" i="15"/>
  <c r="EE146" i="15"/>
  <c r="EF146" i="15"/>
  <c r="EG146" i="15"/>
  <c r="EH146" i="15"/>
  <c r="EI146" i="15"/>
  <c r="EJ146" i="15"/>
  <c r="EK146" i="15"/>
  <c r="EL146" i="15"/>
  <c r="EM146" i="15"/>
  <c r="EN146" i="15"/>
  <c r="EO146" i="15"/>
  <c r="EP146" i="15"/>
  <c r="EQ146" i="15"/>
  <c r="ER146" i="15"/>
  <c r="ES146" i="15"/>
  <c r="ET146" i="15"/>
  <c r="EU146" i="15"/>
  <c r="EV146" i="15"/>
  <c r="EW146" i="15"/>
  <c r="EX146" i="15"/>
  <c r="EY146" i="15"/>
  <c r="EZ146" i="15"/>
  <c r="FA146" i="15"/>
  <c r="FB146" i="15"/>
  <c r="FC146" i="15"/>
  <c r="FD146" i="15"/>
  <c r="FE146" i="15"/>
  <c r="FF146" i="15"/>
  <c r="FG146" i="15"/>
  <c r="FH146" i="15"/>
  <c r="FI146" i="15"/>
  <c r="FJ146" i="15"/>
  <c r="FK146" i="15"/>
  <c r="FL146" i="15"/>
  <c r="B147" i="15"/>
  <c r="C147" i="15"/>
  <c r="D147" i="15"/>
  <c r="E147" i="15"/>
  <c r="F147" i="15"/>
  <c r="G147" i="15"/>
  <c r="H147" i="15"/>
  <c r="I147" i="15"/>
  <c r="J147" i="15"/>
  <c r="K147" i="15"/>
  <c r="L147" i="15"/>
  <c r="M147" i="15"/>
  <c r="N147" i="15"/>
  <c r="O147" i="15"/>
  <c r="P147" i="15"/>
  <c r="Q147" i="15"/>
  <c r="R147" i="15"/>
  <c r="S147" i="15"/>
  <c r="T147" i="15"/>
  <c r="U147" i="15"/>
  <c r="V147" i="15"/>
  <c r="W147" i="15"/>
  <c r="X147" i="15"/>
  <c r="Y147" i="15"/>
  <c r="Z147" i="15"/>
  <c r="AA147" i="15"/>
  <c r="AB147" i="15"/>
  <c r="AC147" i="15"/>
  <c r="AD147" i="15"/>
  <c r="AE147" i="15"/>
  <c r="AF147" i="15"/>
  <c r="AG147" i="15"/>
  <c r="AH147" i="15"/>
  <c r="AI147" i="15"/>
  <c r="AJ147" i="15"/>
  <c r="AK147" i="15"/>
  <c r="AL147" i="15"/>
  <c r="AM147" i="15"/>
  <c r="AN147" i="15"/>
  <c r="AO147" i="15"/>
  <c r="AP147" i="15"/>
  <c r="AQ147" i="15"/>
  <c r="AR147" i="15"/>
  <c r="AS147" i="15"/>
  <c r="AT147" i="15"/>
  <c r="AU147" i="15"/>
  <c r="AV147" i="15"/>
  <c r="AW147" i="15"/>
  <c r="AX147" i="15"/>
  <c r="AY147" i="15"/>
  <c r="AZ147" i="15"/>
  <c r="BA147" i="15"/>
  <c r="BB147" i="15"/>
  <c r="BC147" i="15"/>
  <c r="BD147" i="15"/>
  <c r="BE147" i="15"/>
  <c r="BF147" i="15"/>
  <c r="BG147" i="15"/>
  <c r="BH147" i="15"/>
  <c r="BI147" i="15"/>
  <c r="BJ147" i="15"/>
  <c r="BK147" i="15"/>
  <c r="BL147" i="15"/>
  <c r="BM147" i="15"/>
  <c r="BN147" i="15"/>
  <c r="BO147" i="15"/>
  <c r="BP147" i="15"/>
  <c r="BQ147" i="15"/>
  <c r="BR147" i="15"/>
  <c r="BS147" i="15"/>
  <c r="BT147" i="15"/>
  <c r="BU147" i="15"/>
  <c r="BV147" i="15"/>
  <c r="BW147" i="15"/>
  <c r="BX147" i="15"/>
  <c r="BY147" i="15"/>
  <c r="BZ147" i="15"/>
  <c r="CA147" i="15"/>
  <c r="CB147" i="15"/>
  <c r="CC147" i="15"/>
  <c r="CD147" i="15"/>
  <c r="CE147" i="15"/>
  <c r="CF147" i="15"/>
  <c r="CG147" i="15"/>
  <c r="CH147" i="15"/>
  <c r="CI147" i="15"/>
  <c r="CJ147" i="15"/>
  <c r="CK147" i="15"/>
  <c r="CL147" i="15"/>
  <c r="CM147" i="15"/>
  <c r="CN147" i="15"/>
  <c r="CO147" i="15"/>
  <c r="CP147" i="15"/>
  <c r="CQ147" i="15"/>
  <c r="CR147" i="15"/>
  <c r="CS147" i="15"/>
  <c r="CT147" i="15"/>
  <c r="CU147" i="15"/>
  <c r="CV147" i="15"/>
  <c r="CW147" i="15"/>
  <c r="CX147" i="15"/>
  <c r="CY147" i="15"/>
  <c r="CZ147" i="15"/>
  <c r="DA147" i="15"/>
  <c r="DB147" i="15"/>
  <c r="DC147" i="15"/>
  <c r="DD147" i="15"/>
  <c r="DE147" i="15"/>
  <c r="DF147" i="15"/>
  <c r="DG147" i="15"/>
  <c r="DH147" i="15"/>
  <c r="DI147" i="15"/>
  <c r="DJ147" i="15"/>
  <c r="DK147" i="15"/>
  <c r="DL147" i="15"/>
  <c r="DM147" i="15"/>
  <c r="DN147" i="15"/>
  <c r="DO147" i="15"/>
  <c r="DP147" i="15"/>
  <c r="DQ147" i="15"/>
  <c r="DR147" i="15"/>
  <c r="DS147" i="15"/>
  <c r="DT147" i="15"/>
  <c r="DU147" i="15"/>
  <c r="DV147" i="15"/>
  <c r="DW147" i="15"/>
  <c r="DX147" i="15"/>
  <c r="DY147" i="15"/>
  <c r="DZ147" i="15"/>
  <c r="EA147" i="15"/>
  <c r="EB147" i="15"/>
  <c r="EC147" i="15"/>
  <c r="ED147" i="15"/>
  <c r="EE147" i="15"/>
  <c r="EF147" i="15"/>
  <c r="EG147" i="15"/>
  <c r="EH147" i="15"/>
  <c r="EI147" i="15"/>
  <c r="EJ147" i="15"/>
  <c r="EK147" i="15"/>
  <c r="EL147" i="15"/>
  <c r="EM147" i="15"/>
  <c r="EN147" i="15"/>
  <c r="EO147" i="15"/>
  <c r="EP147" i="15"/>
  <c r="EQ147" i="15"/>
  <c r="ER147" i="15"/>
  <c r="ES147" i="15"/>
  <c r="ET147" i="15"/>
  <c r="EU147" i="15"/>
  <c r="EV147" i="15"/>
  <c r="EW147" i="15"/>
  <c r="EX147" i="15"/>
  <c r="EY147" i="15"/>
  <c r="EZ147" i="15"/>
  <c r="FA147" i="15"/>
  <c r="FB147" i="15"/>
  <c r="FC147" i="15"/>
  <c r="FD147" i="15"/>
  <c r="FE147" i="15"/>
  <c r="FF147" i="15"/>
  <c r="FG147" i="15"/>
  <c r="FH147" i="15"/>
  <c r="FI147" i="15"/>
  <c r="FJ147" i="15"/>
  <c r="FK147" i="15"/>
  <c r="FL147" i="15"/>
  <c r="B148" i="15"/>
  <c r="C148" i="15"/>
  <c r="D148" i="15"/>
  <c r="E148" i="15"/>
  <c r="F148" i="15"/>
  <c r="G148" i="15"/>
  <c r="H148" i="15"/>
  <c r="I148" i="15"/>
  <c r="J148" i="15"/>
  <c r="K148" i="15"/>
  <c r="L148" i="15"/>
  <c r="M148" i="15"/>
  <c r="N148" i="15"/>
  <c r="O148" i="15"/>
  <c r="P148" i="15"/>
  <c r="Q148" i="15"/>
  <c r="R148" i="15"/>
  <c r="S148" i="15"/>
  <c r="T148" i="15"/>
  <c r="U148" i="15"/>
  <c r="V148" i="15"/>
  <c r="W148" i="15"/>
  <c r="X148" i="15"/>
  <c r="Y148" i="15"/>
  <c r="Z148" i="15"/>
  <c r="AA148" i="15"/>
  <c r="AB148" i="15"/>
  <c r="AC148" i="15"/>
  <c r="AD148" i="15"/>
  <c r="AE148" i="15"/>
  <c r="AF148" i="15"/>
  <c r="AG148" i="15"/>
  <c r="AH148" i="15"/>
  <c r="AI148" i="15"/>
  <c r="AJ148" i="15"/>
  <c r="AK148" i="15"/>
  <c r="AL148" i="15"/>
  <c r="AM148" i="15"/>
  <c r="AN148" i="15"/>
  <c r="AO148" i="15"/>
  <c r="AP148" i="15"/>
  <c r="AQ148" i="15"/>
  <c r="AR148" i="15"/>
  <c r="AS148" i="15"/>
  <c r="AT148" i="15"/>
  <c r="AU148" i="15"/>
  <c r="AV148" i="15"/>
  <c r="AW148" i="15"/>
  <c r="AX148" i="15"/>
  <c r="AY148" i="15"/>
  <c r="AZ148" i="15"/>
  <c r="BA148" i="15"/>
  <c r="BB148" i="15"/>
  <c r="BC148" i="15"/>
  <c r="BD148" i="15"/>
  <c r="BE148" i="15"/>
  <c r="BF148" i="15"/>
  <c r="BG148" i="15"/>
  <c r="BH148" i="15"/>
  <c r="BI148" i="15"/>
  <c r="BJ148" i="15"/>
  <c r="BK148" i="15"/>
  <c r="BL148" i="15"/>
  <c r="BM148" i="15"/>
  <c r="BN148" i="15"/>
  <c r="BO148" i="15"/>
  <c r="BP148" i="15"/>
  <c r="BQ148" i="15"/>
  <c r="BR148" i="15"/>
  <c r="BS148" i="15"/>
  <c r="BT148" i="15"/>
  <c r="BU148" i="15"/>
  <c r="BV148" i="15"/>
  <c r="BW148" i="15"/>
  <c r="BX148" i="15"/>
  <c r="BY148" i="15"/>
  <c r="BZ148" i="15"/>
  <c r="CA148" i="15"/>
  <c r="CB148" i="15"/>
  <c r="CC148" i="15"/>
  <c r="CD148" i="15"/>
  <c r="CE148" i="15"/>
  <c r="CF148" i="15"/>
  <c r="CG148" i="15"/>
  <c r="CH148" i="15"/>
  <c r="CI148" i="15"/>
  <c r="CJ148" i="15"/>
  <c r="CK148" i="15"/>
  <c r="CL148" i="15"/>
  <c r="CM148" i="15"/>
  <c r="CN148" i="15"/>
  <c r="CO148" i="15"/>
  <c r="CP148" i="15"/>
  <c r="CQ148" i="15"/>
  <c r="CR148" i="15"/>
  <c r="CS148" i="15"/>
  <c r="CT148" i="15"/>
  <c r="CU148" i="15"/>
  <c r="CV148" i="15"/>
  <c r="CW148" i="15"/>
  <c r="CX148" i="15"/>
  <c r="CY148" i="15"/>
  <c r="CZ148" i="15"/>
  <c r="DA148" i="15"/>
  <c r="DB148" i="15"/>
  <c r="DC148" i="15"/>
  <c r="DD148" i="15"/>
  <c r="DE148" i="15"/>
  <c r="DF148" i="15"/>
  <c r="DG148" i="15"/>
  <c r="DH148" i="15"/>
  <c r="DI148" i="15"/>
  <c r="DJ148" i="15"/>
  <c r="DK148" i="15"/>
  <c r="DL148" i="15"/>
  <c r="DM148" i="15"/>
  <c r="DN148" i="15"/>
  <c r="DO148" i="15"/>
  <c r="DP148" i="15"/>
  <c r="DQ148" i="15"/>
  <c r="DR148" i="15"/>
  <c r="DS148" i="15"/>
  <c r="DT148" i="15"/>
  <c r="DU148" i="15"/>
  <c r="DV148" i="15"/>
  <c r="DW148" i="15"/>
  <c r="DX148" i="15"/>
  <c r="DY148" i="15"/>
  <c r="DZ148" i="15"/>
  <c r="EA148" i="15"/>
  <c r="EB148" i="15"/>
  <c r="EC148" i="15"/>
  <c r="ED148" i="15"/>
  <c r="EE148" i="15"/>
  <c r="EF148" i="15"/>
  <c r="EG148" i="15"/>
  <c r="EH148" i="15"/>
  <c r="EI148" i="15"/>
  <c r="EJ148" i="15"/>
  <c r="EK148" i="15"/>
  <c r="EL148" i="15"/>
  <c r="EM148" i="15"/>
  <c r="EN148" i="15"/>
  <c r="EO148" i="15"/>
  <c r="EP148" i="15"/>
  <c r="EQ148" i="15"/>
  <c r="ER148" i="15"/>
  <c r="ES148" i="15"/>
  <c r="ET148" i="15"/>
  <c r="EU148" i="15"/>
  <c r="EV148" i="15"/>
  <c r="EW148" i="15"/>
  <c r="EX148" i="15"/>
  <c r="EY148" i="15"/>
  <c r="EZ148" i="15"/>
  <c r="FA148" i="15"/>
  <c r="FB148" i="15"/>
  <c r="FC148" i="15"/>
  <c r="FD148" i="15"/>
  <c r="FE148" i="15"/>
  <c r="FF148" i="15"/>
  <c r="FG148" i="15"/>
  <c r="FH148" i="15"/>
  <c r="FI148" i="15"/>
  <c r="FJ148" i="15"/>
  <c r="FK148" i="15"/>
  <c r="FL148" i="15"/>
  <c r="B149" i="15"/>
  <c r="C149" i="15"/>
  <c r="D149" i="15"/>
  <c r="E149" i="15"/>
  <c r="F149" i="15"/>
  <c r="G149" i="15"/>
  <c r="H149" i="15"/>
  <c r="I149" i="15"/>
  <c r="J149" i="15"/>
  <c r="K149" i="15"/>
  <c r="L149" i="15"/>
  <c r="M149" i="15"/>
  <c r="N149" i="15"/>
  <c r="O149" i="15"/>
  <c r="P149" i="15"/>
  <c r="Q149" i="15"/>
  <c r="R149" i="15"/>
  <c r="S149" i="15"/>
  <c r="T149" i="15"/>
  <c r="U149" i="15"/>
  <c r="V149" i="15"/>
  <c r="W149" i="15"/>
  <c r="X149" i="15"/>
  <c r="Y149" i="15"/>
  <c r="Z149" i="15"/>
  <c r="AA149" i="15"/>
  <c r="AB149" i="15"/>
  <c r="AC149" i="15"/>
  <c r="AD149" i="15"/>
  <c r="AE149" i="15"/>
  <c r="AF149" i="15"/>
  <c r="AG149" i="15"/>
  <c r="AH149" i="15"/>
  <c r="AI149" i="15"/>
  <c r="AJ149" i="15"/>
  <c r="AK149" i="15"/>
  <c r="AL149" i="15"/>
  <c r="AM149" i="15"/>
  <c r="AN149" i="15"/>
  <c r="AO149" i="15"/>
  <c r="AP149" i="15"/>
  <c r="AQ149" i="15"/>
  <c r="AR149" i="15"/>
  <c r="AS149" i="15"/>
  <c r="AT149" i="15"/>
  <c r="AU149" i="15"/>
  <c r="AV149" i="15"/>
  <c r="AW149" i="15"/>
  <c r="AX149" i="15"/>
  <c r="AY149" i="15"/>
  <c r="AZ149" i="15"/>
  <c r="BA149" i="15"/>
  <c r="BB149" i="15"/>
  <c r="BC149" i="15"/>
  <c r="BD149" i="15"/>
  <c r="BE149" i="15"/>
  <c r="BF149" i="15"/>
  <c r="BG149" i="15"/>
  <c r="BH149" i="15"/>
  <c r="BI149" i="15"/>
  <c r="BJ149" i="15"/>
  <c r="BK149" i="15"/>
  <c r="BL149" i="15"/>
  <c r="BM149" i="15"/>
  <c r="BN149" i="15"/>
  <c r="BO149" i="15"/>
  <c r="BP149" i="15"/>
  <c r="BQ149" i="15"/>
  <c r="BR149" i="15"/>
  <c r="BS149" i="15"/>
  <c r="BT149" i="15"/>
  <c r="BU149" i="15"/>
  <c r="BV149" i="15"/>
  <c r="BW149" i="15"/>
  <c r="BX149" i="15"/>
  <c r="BY149" i="15"/>
  <c r="BZ149" i="15"/>
  <c r="CA149" i="15"/>
  <c r="CB149" i="15"/>
  <c r="CC149" i="15"/>
  <c r="CD149" i="15"/>
  <c r="CE149" i="15"/>
  <c r="CF149" i="15"/>
  <c r="CG149" i="15"/>
  <c r="CH149" i="15"/>
  <c r="CI149" i="15"/>
  <c r="CJ149" i="15"/>
  <c r="CK149" i="15"/>
  <c r="CL149" i="15"/>
  <c r="CM149" i="15"/>
  <c r="CN149" i="15"/>
  <c r="CO149" i="15"/>
  <c r="CP149" i="15"/>
  <c r="CQ149" i="15"/>
  <c r="CR149" i="15"/>
  <c r="CS149" i="15"/>
  <c r="CT149" i="15"/>
  <c r="CU149" i="15"/>
  <c r="CV149" i="15"/>
  <c r="CW149" i="15"/>
  <c r="CX149" i="15"/>
  <c r="CY149" i="15"/>
  <c r="CZ149" i="15"/>
  <c r="DA149" i="15"/>
  <c r="DB149" i="15"/>
  <c r="DC149" i="15"/>
  <c r="DD149" i="15"/>
  <c r="DE149" i="15"/>
  <c r="DF149" i="15"/>
  <c r="DG149" i="15"/>
  <c r="DH149" i="15"/>
  <c r="DI149" i="15"/>
  <c r="DJ149" i="15"/>
  <c r="DK149" i="15"/>
  <c r="DL149" i="15"/>
  <c r="DM149" i="15"/>
  <c r="DN149" i="15"/>
  <c r="DO149" i="15"/>
  <c r="DP149" i="15"/>
  <c r="DQ149" i="15"/>
  <c r="DR149" i="15"/>
  <c r="DS149" i="15"/>
  <c r="DT149" i="15"/>
  <c r="DU149" i="15"/>
  <c r="DV149" i="15"/>
  <c r="DW149" i="15"/>
  <c r="DX149" i="15"/>
  <c r="DY149" i="15"/>
  <c r="DZ149" i="15"/>
  <c r="EA149" i="15"/>
  <c r="EB149" i="15"/>
  <c r="EC149" i="15"/>
  <c r="ED149" i="15"/>
  <c r="EE149" i="15"/>
  <c r="EF149" i="15"/>
  <c r="EG149" i="15"/>
  <c r="EH149" i="15"/>
  <c r="EI149" i="15"/>
  <c r="EJ149" i="15"/>
  <c r="EK149" i="15"/>
  <c r="EL149" i="15"/>
  <c r="EM149" i="15"/>
  <c r="EN149" i="15"/>
  <c r="EO149" i="15"/>
  <c r="EP149" i="15"/>
  <c r="EQ149" i="15"/>
  <c r="ER149" i="15"/>
  <c r="ES149" i="15"/>
  <c r="ET149" i="15"/>
  <c r="EU149" i="15"/>
  <c r="EV149" i="15"/>
  <c r="EW149" i="15"/>
  <c r="EX149" i="15"/>
  <c r="EY149" i="15"/>
  <c r="EZ149" i="15"/>
  <c r="FA149" i="15"/>
  <c r="FB149" i="15"/>
  <c r="FC149" i="15"/>
  <c r="FD149" i="15"/>
  <c r="FE149" i="15"/>
  <c r="FF149" i="15"/>
  <c r="FG149" i="15"/>
  <c r="FH149" i="15"/>
  <c r="FI149" i="15"/>
  <c r="FJ149" i="15"/>
  <c r="FK149" i="15"/>
  <c r="FL149" i="15"/>
  <c r="B150" i="15"/>
  <c r="C150" i="15"/>
  <c r="D150" i="15"/>
  <c r="E150" i="15"/>
  <c r="F150" i="15"/>
  <c r="G150" i="15"/>
  <c r="H150" i="15"/>
  <c r="I150" i="15"/>
  <c r="J150" i="15"/>
  <c r="K150" i="15"/>
  <c r="L150" i="15"/>
  <c r="M150" i="15"/>
  <c r="N150" i="15"/>
  <c r="O150" i="15"/>
  <c r="P150" i="15"/>
  <c r="Q150" i="15"/>
  <c r="R150" i="15"/>
  <c r="S150" i="15"/>
  <c r="T150" i="15"/>
  <c r="U150" i="15"/>
  <c r="V150" i="15"/>
  <c r="W150" i="15"/>
  <c r="X150" i="15"/>
  <c r="Y150" i="15"/>
  <c r="Z150" i="15"/>
  <c r="AA150" i="15"/>
  <c r="AB150" i="15"/>
  <c r="AC150" i="15"/>
  <c r="AD150" i="15"/>
  <c r="AE150" i="15"/>
  <c r="AF150" i="15"/>
  <c r="AG150" i="15"/>
  <c r="AH150" i="15"/>
  <c r="AI150" i="15"/>
  <c r="AJ150" i="15"/>
  <c r="AK150" i="15"/>
  <c r="AL150" i="15"/>
  <c r="AM150" i="15"/>
  <c r="AN150" i="15"/>
  <c r="AO150" i="15"/>
  <c r="AP150" i="15"/>
  <c r="AQ150" i="15"/>
  <c r="AR150" i="15"/>
  <c r="AS150" i="15"/>
  <c r="AT150" i="15"/>
  <c r="AU150" i="15"/>
  <c r="AV150" i="15"/>
  <c r="AW150" i="15"/>
  <c r="AX150" i="15"/>
  <c r="AY150" i="15"/>
  <c r="AZ150" i="15"/>
  <c r="BA150" i="15"/>
  <c r="BB150" i="15"/>
  <c r="BC150" i="15"/>
  <c r="BD150" i="15"/>
  <c r="BE150" i="15"/>
  <c r="BF150" i="15"/>
  <c r="BG150" i="15"/>
  <c r="BH150" i="15"/>
  <c r="BI150" i="15"/>
  <c r="BJ150" i="15"/>
  <c r="BK150" i="15"/>
  <c r="BL150" i="15"/>
  <c r="BM150" i="15"/>
  <c r="BN150" i="15"/>
  <c r="BO150" i="15"/>
  <c r="BP150" i="15"/>
  <c r="BQ150" i="15"/>
  <c r="BR150" i="15"/>
  <c r="BS150" i="15"/>
  <c r="BT150" i="15"/>
  <c r="BU150" i="15"/>
  <c r="BV150" i="15"/>
  <c r="BW150" i="15"/>
  <c r="BX150" i="15"/>
  <c r="BY150" i="15"/>
  <c r="BZ150" i="15"/>
  <c r="CA150" i="15"/>
  <c r="CB150" i="15"/>
  <c r="CC150" i="15"/>
  <c r="CD150" i="15"/>
  <c r="CE150" i="15"/>
  <c r="CF150" i="15"/>
  <c r="CG150" i="15"/>
  <c r="CH150" i="15"/>
  <c r="CI150" i="15"/>
  <c r="CJ150" i="15"/>
  <c r="CK150" i="15"/>
  <c r="CL150" i="15"/>
  <c r="CM150" i="15"/>
  <c r="CN150" i="15"/>
  <c r="CO150" i="15"/>
  <c r="CP150" i="15"/>
  <c r="CQ150" i="15"/>
  <c r="CR150" i="15"/>
  <c r="CS150" i="15"/>
  <c r="CT150" i="15"/>
  <c r="CU150" i="15"/>
  <c r="CV150" i="15"/>
  <c r="CW150" i="15"/>
  <c r="CX150" i="15"/>
  <c r="CY150" i="15"/>
  <c r="CZ150" i="15"/>
  <c r="DA150" i="15"/>
  <c r="DB150" i="15"/>
  <c r="DC150" i="15"/>
  <c r="DD150" i="15"/>
  <c r="DE150" i="15"/>
  <c r="DF150" i="15"/>
  <c r="DG150" i="15"/>
  <c r="DH150" i="15"/>
  <c r="DI150" i="15"/>
  <c r="DJ150" i="15"/>
  <c r="DK150" i="15"/>
  <c r="DL150" i="15"/>
  <c r="DM150" i="15"/>
  <c r="DN150" i="15"/>
  <c r="DO150" i="15"/>
  <c r="DP150" i="15"/>
  <c r="DQ150" i="15"/>
  <c r="DR150" i="15"/>
  <c r="DS150" i="15"/>
  <c r="DT150" i="15"/>
  <c r="DU150" i="15"/>
  <c r="DV150" i="15"/>
  <c r="DW150" i="15"/>
  <c r="DX150" i="15"/>
  <c r="DY150" i="15"/>
  <c r="DZ150" i="15"/>
  <c r="EA150" i="15"/>
  <c r="EB150" i="15"/>
  <c r="EC150" i="15"/>
  <c r="ED150" i="15"/>
  <c r="EE150" i="15"/>
  <c r="EF150" i="15"/>
  <c r="EG150" i="15"/>
  <c r="EH150" i="15"/>
  <c r="EI150" i="15"/>
  <c r="EJ150" i="15"/>
  <c r="EK150" i="15"/>
  <c r="EL150" i="15"/>
  <c r="EM150" i="15"/>
  <c r="EN150" i="15"/>
  <c r="EO150" i="15"/>
  <c r="EP150" i="15"/>
  <c r="EQ150" i="15"/>
  <c r="ER150" i="15"/>
  <c r="ES150" i="15"/>
  <c r="ET150" i="15"/>
  <c r="EU150" i="15"/>
  <c r="EV150" i="15"/>
  <c r="EW150" i="15"/>
  <c r="EX150" i="15"/>
  <c r="EY150" i="15"/>
  <c r="EZ150" i="15"/>
  <c r="FA150" i="15"/>
  <c r="FB150" i="15"/>
  <c r="FC150" i="15"/>
  <c r="FD150" i="15"/>
  <c r="FE150" i="15"/>
  <c r="FF150" i="15"/>
  <c r="FG150" i="15"/>
  <c r="FH150" i="15"/>
  <c r="FI150" i="15"/>
  <c r="FJ150" i="15"/>
  <c r="FK150" i="15"/>
  <c r="FL150" i="15"/>
  <c r="B151" i="15"/>
  <c r="C151" i="15"/>
  <c r="D151" i="15"/>
  <c r="E151" i="15"/>
  <c r="F151" i="15"/>
  <c r="G151" i="15"/>
  <c r="H151" i="15"/>
  <c r="I151" i="15"/>
  <c r="J151" i="15"/>
  <c r="K151" i="15"/>
  <c r="L151" i="15"/>
  <c r="M151" i="15"/>
  <c r="N151" i="15"/>
  <c r="O151" i="15"/>
  <c r="P151" i="15"/>
  <c r="Q151" i="15"/>
  <c r="R151" i="15"/>
  <c r="S151" i="15"/>
  <c r="T151" i="15"/>
  <c r="U151" i="15"/>
  <c r="V151" i="15"/>
  <c r="W151" i="15"/>
  <c r="X151" i="15"/>
  <c r="Y151" i="15"/>
  <c r="Z151" i="15"/>
  <c r="AA151" i="15"/>
  <c r="AB151" i="15"/>
  <c r="AC151" i="15"/>
  <c r="AD151" i="15"/>
  <c r="AE151" i="15"/>
  <c r="AF151" i="15"/>
  <c r="AG151" i="15"/>
  <c r="AH151" i="15"/>
  <c r="AI151" i="15"/>
  <c r="AJ151" i="15"/>
  <c r="AK151" i="15"/>
  <c r="AL151" i="15"/>
  <c r="AM151" i="15"/>
  <c r="AN151" i="15"/>
  <c r="AO151" i="15"/>
  <c r="AP151" i="15"/>
  <c r="AQ151" i="15"/>
  <c r="AR151" i="15"/>
  <c r="AS151" i="15"/>
  <c r="AT151" i="15"/>
  <c r="AU151" i="15"/>
  <c r="AV151" i="15"/>
  <c r="AW151" i="15"/>
  <c r="AX151" i="15"/>
  <c r="AY151" i="15"/>
  <c r="AZ151" i="15"/>
  <c r="BA151" i="15"/>
  <c r="BB151" i="15"/>
  <c r="BC151" i="15"/>
  <c r="BD151" i="15"/>
  <c r="BE151" i="15"/>
  <c r="BF151" i="15"/>
  <c r="BG151" i="15"/>
  <c r="BH151" i="15"/>
  <c r="BI151" i="15"/>
  <c r="BJ151" i="15"/>
  <c r="BK151" i="15"/>
  <c r="BL151" i="15"/>
  <c r="BM151" i="15"/>
  <c r="BN151" i="15"/>
  <c r="BO151" i="15"/>
  <c r="BP151" i="15"/>
  <c r="BQ151" i="15"/>
  <c r="BR151" i="15"/>
  <c r="BS151" i="15"/>
  <c r="BT151" i="15"/>
  <c r="BU151" i="15"/>
  <c r="BV151" i="15"/>
  <c r="BW151" i="15"/>
  <c r="BX151" i="15"/>
  <c r="BY151" i="15"/>
  <c r="BZ151" i="15"/>
  <c r="CA151" i="15"/>
  <c r="CB151" i="15"/>
  <c r="CC151" i="15"/>
  <c r="CD151" i="15"/>
  <c r="CE151" i="15"/>
  <c r="CF151" i="15"/>
  <c r="CG151" i="15"/>
  <c r="CH151" i="15"/>
  <c r="CI151" i="15"/>
  <c r="CJ151" i="15"/>
  <c r="CK151" i="15"/>
  <c r="CL151" i="15"/>
  <c r="CM151" i="15"/>
  <c r="CN151" i="15"/>
  <c r="CO151" i="15"/>
  <c r="CP151" i="15"/>
  <c r="CQ151" i="15"/>
  <c r="CR151" i="15"/>
  <c r="CS151" i="15"/>
  <c r="CT151" i="15"/>
  <c r="CU151" i="15"/>
  <c r="CV151" i="15"/>
  <c r="CW151" i="15"/>
  <c r="CX151" i="15"/>
  <c r="CY151" i="15"/>
  <c r="CZ151" i="15"/>
  <c r="DA151" i="15"/>
  <c r="DB151" i="15"/>
  <c r="DC151" i="15"/>
  <c r="DD151" i="15"/>
  <c r="DE151" i="15"/>
  <c r="DF151" i="15"/>
  <c r="DG151" i="15"/>
  <c r="DH151" i="15"/>
  <c r="DI151" i="15"/>
  <c r="DJ151" i="15"/>
  <c r="DK151" i="15"/>
  <c r="DL151" i="15"/>
  <c r="DM151" i="15"/>
  <c r="DN151" i="15"/>
  <c r="DO151" i="15"/>
  <c r="DP151" i="15"/>
  <c r="DQ151" i="15"/>
  <c r="DR151" i="15"/>
  <c r="DS151" i="15"/>
  <c r="DT151" i="15"/>
  <c r="DU151" i="15"/>
  <c r="DV151" i="15"/>
  <c r="DW151" i="15"/>
  <c r="DX151" i="15"/>
  <c r="DY151" i="15"/>
  <c r="DZ151" i="15"/>
  <c r="EA151" i="15"/>
  <c r="EB151" i="15"/>
  <c r="EC151" i="15"/>
  <c r="ED151" i="15"/>
  <c r="EE151" i="15"/>
  <c r="EF151" i="15"/>
  <c r="EG151" i="15"/>
  <c r="EH151" i="15"/>
  <c r="EI151" i="15"/>
  <c r="EJ151" i="15"/>
  <c r="EK151" i="15"/>
  <c r="EL151" i="15"/>
  <c r="EM151" i="15"/>
  <c r="EN151" i="15"/>
  <c r="EO151" i="15"/>
  <c r="EP151" i="15"/>
  <c r="EQ151" i="15"/>
  <c r="ER151" i="15"/>
  <c r="ES151" i="15"/>
  <c r="ET151" i="15"/>
  <c r="EU151" i="15"/>
  <c r="EV151" i="15"/>
  <c r="EW151" i="15"/>
  <c r="EX151" i="15"/>
  <c r="EY151" i="15"/>
  <c r="EZ151" i="15"/>
  <c r="FA151" i="15"/>
  <c r="FB151" i="15"/>
  <c r="FC151" i="15"/>
  <c r="FD151" i="15"/>
  <c r="FE151" i="15"/>
  <c r="FF151" i="15"/>
  <c r="FG151" i="15"/>
  <c r="FH151" i="15"/>
  <c r="FI151" i="15"/>
  <c r="FJ151" i="15"/>
  <c r="FK151" i="15"/>
  <c r="FL151" i="15"/>
  <c r="B152" i="15"/>
  <c r="C152" i="15"/>
  <c r="D152" i="15"/>
  <c r="E152" i="15"/>
  <c r="F152" i="15"/>
  <c r="G152" i="15"/>
  <c r="H152" i="15"/>
  <c r="I152" i="15"/>
  <c r="J152" i="15"/>
  <c r="K152" i="15"/>
  <c r="L152" i="15"/>
  <c r="M152" i="15"/>
  <c r="N152" i="15"/>
  <c r="O152" i="15"/>
  <c r="P152" i="15"/>
  <c r="Q152" i="15"/>
  <c r="R152" i="15"/>
  <c r="S152" i="15"/>
  <c r="T152" i="15"/>
  <c r="U152" i="15"/>
  <c r="V152" i="15"/>
  <c r="W152" i="15"/>
  <c r="X152" i="15"/>
  <c r="Y152" i="15"/>
  <c r="Z152" i="15"/>
  <c r="AA152" i="15"/>
  <c r="AB152" i="15"/>
  <c r="AC152" i="15"/>
  <c r="AD152" i="15"/>
  <c r="AE152" i="15"/>
  <c r="AF152" i="15"/>
  <c r="AG152" i="15"/>
  <c r="AH152" i="15"/>
  <c r="AI152" i="15"/>
  <c r="AJ152" i="15"/>
  <c r="AK152" i="15"/>
  <c r="AL152" i="15"/>
  <c r="AM152" i="15"/>
  <c r="AN152" i="15"/>
  <c r="AO152" i="15"/>
  <c r="AP152" i="15"/>
  <c r="AQ152" i="15"/>
  <c r="AR152" i="15"/>
  <c r="AS152" i="15"/>
  <c r="AT152" i="15"/>
  <c r="AU152" i="15"/>
  <c r="AV152" i="15"/>
  <c r="AW152" i="15"/>
  <c r="AX152" i="15"/>
  <c r="AY152" i="15"/>
  <c r="AZ152" i="15"/>
  <c r="BA152" i="15"/>
  <c r="BB152" i="15"/>
  <c r="BC152" i="15"/>
  <c r="BD152" i="15"/>
  <c r="BE152" i="15"/>
  <c r="BF152" i="15"/>
  <c r="BG152" i="15"/>
  <c r="BH152" i="15"/>
  <c r="BI152" i="15"/>
  <c r="BJ152" i="15"/>
  <c r="BK152" i="15"/>
  <c r="BL152" i="15"/>
  <c r="BM152" i="15"/>
  <c r="BN152" i="15"/>
  <c r="BO152" i="15"/>
  <c r="BP152" i="15"/>
  <c r="BQ152" i="15"/>
  <c r="BR152" i="15"/>
  <c r="BS152" i="15"/>
  <c r="BT152" i="15"/>
  <c r="BU152" i="15"/>
  <c r="BV152" i="15"/>
  <c r="BW152" i="15"/>
  <c r="BX152" i="15"/>
  <c r="BY152" i="15"/>
  <c r="BZ152" i="15"/>
  <c r="CA152" i="15"/>
  <c r="CB152" i="15"/>
  <c r="CC152" i="15"/>
  <c r="CD152" i="15"/>
  <c r="CE152" i="15"/>
  <c r="CF152" i="15"/>
  <c r="CG152" i="15"/>
  <c r="CH152" i="15"/>
  <c r="CI152" i="15"/>
  <c r="CJ152" i="15"/>
  <c r="CK152" i="15"/>
  <c r="CL152" i="15"/>
  <c r="CM152" i="15"/>
  <c r="CN152" i="15"/>
  <c r="CO152" i="15"/>
  <c r="CP152" i="15"/>
  <c r="CQ152" i="15"/>
  <c r="CR152" i="15"/>
  <c r="CS152" i="15"/>
  <c r="CT152" i="15"/>
  <c r="CU152" i="15"/>
  <c r="CV152" i="15"/>
  <c r="CW152" i="15"/>
  <c r="CX152" i="15"/>
  <c r="CY152" i="15"/>
  <c r="CZ152" i="15"/>
  <c r="DA152" i="15"/>
  <c r="DB152" i="15"/>
  <c r="DC152" i="15"/>
  <c r="DD152" i="15"/>
  <c r="DE152" i="15"/>
  <c r="DF152" i="15"/>
  <c r="DG152" i="15"/>
  <c r="DH152" i="15"/>
  <c r="DI152" i="15"/>
  <c r="DJ152" i="15"/>
  <c r="DK152" i="15"/>
  <c r="DL152" i="15"/>
  <c r="DM152" i="15"/>
  <c r="DN152" i="15"/>
  <c r="DO152" i="15"/>
  <c r="DP152" i="15"/>
  <c r="DQ152" i="15"/>
  <c r="DR152" i="15"/>
  <c r="DS152" i="15"/>
  <c r="DT152" i="15"/>
  <c r="DU152" i="15"/>
  <c r="DV152" i="15"/>
  <c r="DW152" i="15"/>
  <c r="DX152" i="15"/>
  <c r="DY152" i="15"/>
  <c r="DZ152" i="15"/>
  <c r="EA152" i="15"/>
  <c r="EB152" i="15"/>
  <c r="EC152" i="15"/>
  <c r="ED152" i="15"/>
  <c r="EE152" i="15"/>
  <c r="EF152" i="15"/>
  <c r="EG152" i="15"/>
  <c r="EH152" i="15"/>
  <c r="EI152" i="15"/>
  <c r="EJ152" i="15"/>
  <c r="EK152" i="15"/>
  <c r="EL152" i="15"/>
  <c r="EM152" i="15"/>
  <c r="EN152" i="15"/>
  <c r="EO152" i="15"/>
  <c r="EP152" i="15"/>
  <c r="EQ152" i="15"/>
  <c r="ER152" i="15"/>
  <c r="ES152" i="15"/>
  <c r="ET152" i="15"/>
  <c r="EU152" i="15"/>
  <c r="EV152" i="15"/>
  <c r="EW152" i="15"/>
  <c r="EX152" i="15"/>
  <c r="EY152" i="15"/>
  <c r="EZ152" i="15"/>
  <c r="FA152" i="15"/>
  <c r="FB152" i="15"/>
  <c r="FC152" i="15"/>
  <c r="FD152" i="15"/>
  <c r="FE152" i="15"/>
  <c r="FF152" i="15"/>
  <c r="FG152" i="15"/>
  <c r="FH152" i="15"/>
  <c r="FI152" i="15"/>
  <c r="FJ152" i="15"/>
  <c r="FK152" i="15"/>
  <c r="FL152" i="15"/>
  <c r="B153" i="15"/>
  <c r="C153" i="15"/>
  <c r="D153" i="15"/>
  <c r="E153" i="15"/>
  <c r="F153" i="15"/>
  <c r="G153" i="15"/>
  <c r="H153" i="15"/>
  <c r="I153" i="15"/>
  <c r="J153" i="15"/>
  <c r="K153" i="15"/>
  <c r="L153" i="15"/>
  <c r="M153" i="15"/>
  <c r="N153" i="15"/>
  <c r="O153" i="15"/>
  <c r="P153" i="15"/>
  <c r="Q153" i="15"/>
  <c r="R153" i="15"/>
  <c r="S153" i="15"/>
  <c r="T153" i="15"/>
  <c r="U153" i="15"/>
  <c r="V153" i="15"/>
  <c r="W153" i="15"/>
  <c r="X153" i="15"/>
  <c r="Y153" i="15"/>
  <c r="Z153" i="15"/>
  <c r="AA153" i="15"/>
  <c r="AB153" i="15"/>
  <c r="AC153" i="15"/>
  <c r="AD153" i="15"/>
  <c r="AE153" i="15"/>
  <c r="AF153" i="15"/>
  <c r="AG153" i="15"/>
  <c r="AH153" i="15"/>
  <c r="AI153" i="15"/>
  <c r="AJ153" i="15"/>
  <c r="AK153" i="15"/>
  <c r="AL153" i="15"/>
  <c r="AM153" i="15"/>
  <c r="AN153" i="15"/>
  <c r="AO153" i="15"/>
  <c r="AP153" i="15"/>
  <c r="AQ153" i="15"/>
  <c r="AR153" i="15"/>
  <c r="AS153" i="15"/>
  <c r="AT153" i="15"/>
  <c r="AU153" i="15"/>
  <c r="AV153" i="15"/>
  <c r="AW153" i="15"/>
  <c r="AX153" i="15"/>
  <c r="AY153" i="15"/>
  <c r="AZ153" i="15"/>
  <c r="BA153" i="15"/>
  <c r="BB153" i="15"/>
  <c r="BC153" i="15"/>
  <c r="BD153" i="15"/>
  <c r="BE153" i="15"/>
  <c r="BF153" i="15"/>
  <c r="BG153" i="15"/>
  <c r="BH153" i="15"/>
  <c r="BI153" i="15"/>
  <c r="BJ153" i="15"/>
  <c r="BK153" i="15"/>
  <c r="BL153" i="15"/>
  <c r="BM153" i="15"/>
  <c r="BN153" i="15"/>
  <c r="BO153" i="15"/>
  <c r="BP153" i="15"/>
  <c r="BQ153" i="15"/>
  <c r="BR153" i="15"/>
  <c r="BS153" i="15"/>
  <c r="BT153" i="15"/>
  <c r="BU153" i="15"/>
  <c r="BV153" i="15"/>
  <c r="BW153" i="15"/>
  <c r="BX153" i="15"/>
  <c r="BY153" i="15"/>
  <c r="BZ153" i="15"/>
  <c r="CA153" i="15"/>
  <c r="CB153" i="15"/>
  <c r="CC153" i="15"/>
  <c r="CD153" i="15"/>
  <c r="CE153" i="15"/>
  <c r="CF153" i="15"/>
  <c r="CG153" i="15"/>
  <c r="CH153" i="15"/>
  <c r="CI153" i="15"/>
  <c r="CJ153" i="15"/>
  <c r="CK153" i="15"/>
  <c r="CL153" i="15"/>
  <c r="CM153" i="15"/>
  <c r="CN153" i="15"/>
  <c r="CO153" i="15"/>
  <c r="CP153" i="15"/>
  <c r="CQ153" i="15"/>
  <c r="CR153" i="15"/>
  <c r="CS153" i="15"/>
  <c r="CT153" i="15"/>
  <c r="CU153" i="15"/>
  <c r="CV153" i="15"/>
  <c r="CW153" i="15"/>
  <c r="CX153" i="15"/>
  <c r="CY153" i="15"/>
  <c r="CZ153" i="15"/>
  <c r="DA153" i="15"/>
  <c r="DB153" i="15"/>
  <c r="DC153" i="15"/>
  <c r="DD153" i="15"/>
  <c r="DE153" i="15"/>
  <c r="DF153" i="15"/>
  <c r="DG153" i="15"/>
  <c r="DH153" i="15"/>
  <c r="DI153" i="15"/>
  <c r="DJ153" i="15"/>
  <c r="DK153" i="15"/>
  <c r="DL153" i="15"/>
  <c r="DM153" i="15"/>
  <c r="DN153" i="15"/>
  <c r="DO153" i="15"/>
  <c r="DP153" i="15"/>
  <c r="DQ153" i="15"/>
  <c r="DR153" i="15"/>
  <c r="DS153" i="15"/>
  <c r="DT153" i="15"/>
  <c r="DU153" i="15"/>
  <c r="DV153" i="15"/>
  <c r="DW153" i="15"/>
  <c r="DX153" i="15"/>
  <c r="DY153" i="15"/>
  <c r="DZ153" i="15"/>
  <c r="EA153" i="15"/>
  <c r="EB153" i="15"/>
  <c r="EC153" i="15"/>
  <c r="ED153" i="15"/>
  <c r="EE153" i="15"/>
  <c r="EF153" i="15"/>
  <c r="EG153" i="15"/>
  <c r="EH153" i="15"/>
  <c r="EI153" i="15"/>
  <c r="EJ153" i="15"/>
  <c r="EK153" i="15"/>
  <c r="EL153" i="15"/>
  <c r="EM153" i="15"/>
  <c r="EN153" i="15"/>
  <c r="EO153" i="15"/>
  <c r="EP153" i="15"/>
  <c r="EQ153" i="15"/>
  <c r="ER153" i="15"/>
  <c r="ES153" i="15"/>
  <c r="ET153" i="15"/>
  <c r="EU153" i="15"/>
  <c r="EV153" i="15"/>
  <c r="EW153" i="15"/>
  <c r="EX153" i="15"/>
  <c r="EY153" i="15"/>
  <c r="EZ153" i="15"/>
  <c r="FA153" i="15"/>
  <c r="FB153" i="15"/>
  <c r="FC153" i="15"/>
  <c r="FD153" i="15"/>
  <c r="FE153" i="15"/>
  <c r="FF153" i="15"/>
  <c r="FG153" i="15"/>
  <c r="FH153" i="15"/>
  <c r="FI153" i="15"/>
  <c r="FJ153" i="15"/>
  <c r="FK153" i="15"/>
  <c r="FL153" i="15"/>
  <c r="B154" i="15"/>
  <c r="C154" i="15"/>
  <c r="D154" i="15"/>
  <c r="E154" i="15"/>
  <c r="F154" i="15"/>
  <c r="G154" i="15"/>
  <c r="H154" i="15"/>
  <c r="I154" i="15"/>
  <c r="J154" i="15"/>
  <c r="K154" i="15"/>
  <c r="L154" i="15"/>
  <c r="M154" i="15"/>
  <c r="N154" i="15"/>
  <c r="O154" i="15"/>
  <c r="P154" i="15"/>
  <c r="Q154" i="15"/>
  <c r="R154" i="15"/>
  <c r="S154" i="15"/>
  <c r="T154" i="15"/>
  <c r="U154" i="15"/>
  <c r="V154" i="15"/>
  <c r="W154" i="15"/>
  <c r="X154" i="15"/>
  <c r="Y154" i="15"/>
  <c r="Z154" i="15"/>
  <c r="AA154" i="15"/>
  <c r="AB154" i="15"/>
  <c r="AC154" i="15"/>
  <c r="AD154" i="15"/>
  <c r="AE154" i="15"/>
  <c r="AF154" i="15"/>
  <c r="AG154" i="15"/>
  <c r="AH154" i="15"/>
  <c r="AI154" i="15"/>
  <c r="AJ154" i="15"/>
  <c r="AK154" i="15"/>
  <c r="AL154" i="15"/>
  <c r="AM154" i="15"/>
  <c r="AN154" i="15"/>
  <c r="AO154" i="15"/>
  <c r="AP154" i="15"/>
  <c r="AQ154" i="15"/>
  <c r="AR154" i="15"/>
  <c r="AS154" i="15"/>
  <c r="AT154" i="15"/>
  <c r="AU154" i="15"/>
  <c r="AV154" i="15"/>
  <c r="AW154" i="15"/>
  <c r="AX154" i="15"/>
  <c r="AY154" i="15"/>
  <c r="AZ154" i="15"/>
  <c r="BA154" i="15"/>
  <c r="BB154" i="15"/>
  <c r="BC154" i="15"/>
  <c r="BD154" i="15"/>
  <c r="BE154" i="15"/>
  <c r="BF154" i="15"/>
  <c r="BG154" i="15"/>
  <c r="BH154" i="15"/>
  <c r="BI154" i="15"/>
  <c r="BJ154" i="15"/>
  <c r="BK154" i="15"/>
  <c r="BL154" i="15"/>
  <c r="BM154" i="15"/>
  <c r="BN154" i="15"/>
  <c r="BO154" i="15"/>
  <c r="BP154" i="15"/>
  <c r="BQ154" i="15"/>
  <c r="BR154" i="15"/>
  <c r="BS154" i="15"/>
  <c r="BT154" i="15"/>
  <c r="BU154" i="15"/>
  <c r="BV154" i="15"/>
  <c r="BW154" i="15"/>
  <c r="BX154" i="15"/>
  <c r="BY154" i="15"/>
  <c r="BZ154" i="15"/>
  <c r="CA154" i="15"/>
  <c r="CB154" i="15"/>
  <c r="CC154" i="15"/>
  <c r="CD154" i="15"/>
  <c r="CE154" i="15"/>
  <c r="CF154" i="15"/>
  <c r="CG154" i="15"/>
  <c r="CH154" i="15"/>
  <c r="CI154" i="15"/>
  <c r="CJ154" i="15"/>
  <c r="CK154" i="15"/>
  <c r="CL154" i="15"/>
  <c r="CM154" i="15"/>
  <c r="CN154" i="15"/>
  <c r="CO154" i="15"/>
  <c r="CP154" i="15"/>
  <c r="CQ154" i="15"/>
  <c r="CR154" i="15"/>
  <c r="CS154" i="15"/>
  <c r="CT154" i="15"/>
  <c r="CU154" i="15"/>
  <c r="CV154" i="15"/>
  <c r="CW154" i="15"/>
  <c r="CX154" i="15"/>
  <c r="CY154" i="15"/>
  <c r="CZ154" i="15"/>
  <c r="DA154" i="15"/>
  <c r="DB154" i="15"/>
  <c r="DC154" i="15"/>
  <c r="DD154" i="15"/>
  <c r="DE154" i="15"/>
  <c r="DF154" i="15"/>
  <c r="DG154" i="15"/>
  <c r="DH154" i="15"/>
  <c r="DI154" i="15"/>
  <c r="DJ154" i="15"/>
  <c r="DK154" i="15"/>
  <c r="DL154" i="15"/>
  <c r="DM154" i="15"/>
  <c r="DN154" i="15"/>
  <c r="DO154" i="15"/>
  <c r="DP154" i="15"/>
  <c r="DQ154" i="15"/>
  <c r="DR154" i="15"/>
  <c r="DS154" i="15"/>
  <c r="DT154" i="15"/>
  <c r="DU154" i="15"/>
  <c r="DV154" i="15"/>
  <c r="DW154" i="15"/>
  <c r="DX154" i="15"/>
  <c r="DY154" i="15"/>
  <c r="DZ154" i="15"/>
  <c r="EA154" i="15"/>
  <c r="EB154" i="15"/>
  <c r="EC154" i="15"/>
  <c r="ED154" i="15"/>
  <c r="EE154" i="15"/>
  <c r="EF154" i="15"/>
  <c r="EG154" i="15"/>
  <c r="EH154" i="15"/>
  <c r="EI154" i="15"/>
  <c r="EJ154" i="15"/>
  <c r="EK154" i="15"/>
  <c r="EL154" i="15"/>
  <c r="EM154" i="15"/>
  <c r="EN154" i="15"/>
  <c r="EO154" i="15"/>
  <c r="EP154" i="15"/>
  <c r="EQ154" i="15"/>
  <c r="ER154" i="15"/>
  <c r="ES154" i="15"/>
  <c r="ET154" i="15"/>
  <c r="EU154" i="15"/>
  <c r="EV154" i="15"/>
  <c r="EW154" i="15"/>
  <c r="EX154" i="15"/>
  <c r="EY154" i="15"/>
  <c r="EZ154" i="15"/>
  <c r="FA154" i="15"/>
  <c r="FB154" i="15"/>
  <c r="FC154" i="15"/>
  <c r="FD154" i="15"/>
  <c r="FE154" i="15"/>
  <c r="FF154" i="15"/>
  <c r="FG154" i="15"/>
  <c r="FH154" i="15"/>
  <c r="FI154" i="15"/>
  <c r="FJ154" i="15"/>
  <c r="FK154" i="15"/>
  <c r="FL154" i="15"/>
  <c r="B155" i="15"/>
  <c r="C155" i="15"/>
  <c r="D155" i="15"/>
  <c r="E155" i="15"/>
  <c r="F155" i="15"/>
  <c r="G155" i="15"/>
  <c r="H155" i="15"/>
  <c r="I155" i="15"/>
  <c r="J155" i="15"/>
  <c r="K155" i="15"/>
  <c r="L155" i="15"/>
  <c r="M155" i="15"/>
  <c r="N155" i="15"/>
  <c r="O155" i="15"/>
  <c r="P155" i="15"/>
  <c r="Q155" i="15"/>
  <c r="R155" i="15"/>
  <c r="S155" i="15"/>
  <c r="T155" i="15"/>
  <c r="U155" i="15"/>
  <c r="V155" i="15"/>
  <c r="W155" i="15"/>
  <c r="X155" i="15"/>
  <c r="Y155" i="15"/>
  <c r="Z155" i="15"/>
  <c r="AA155" i="15"/>
  <c r="AB155" i="15"/>
  <c r="AC155" i="15"/>
  <c r="AD155" i="15"/>
  <c r="AE155" i="15"/>
  <c r="AF155" i="15"/>
  <c r="AG155" i="15"/>
  <c r="AH155" i="15"/>
  <c r="AI155" i="15"/>
  <c r="AJ155" i="15"/>
  <c r="AK155" i="15"/>
  <c r="AL155" i="15"/>
  <c r="AM155" i="15"/>
  <c r="AN155" i="15"/>
  <c r="AO155" i="15"/>
  <c r="AP155" i="15"/>
  <c r="AQ155" i="15"/>
  <c r="AR155" i="15"/>
  <c r="AS155" i="15"/>
  <c r="AT155" i="15"/>
  <c r="AU155" i="15"/>
  <c r="AV155" i="15"/>
  <c r="AW155" i="15"/>
  <c r="AX155" i="15"/>
  <c r="AY155" i="15"/>
  <c r="AZ155" i="15"/>
  <c r="BA155" i="15"/>
  <c r="BB155" i="15"/>
  <c r="BC155" i="15"/>
  <c r="BD155" i="15"/>
  <c r="BE155" i="15"/>
  <c r="BF155" i="15"/>
  <c r="BG155" i="15"/>
  <c r="BH155" i="15"/>
  <c r="BI155" i="15"/>
  <c r="BJ155" i="15"/>
  <c r="BK155" i="15"/>
  <c r="BL155" i="15"/>
  <c r="BM155" i="15"/>
  <c r="BN155" i="15"/>
  <c r="BO155" i="15"/>
  <c r="BP155" i="15"/>
  <c r="BQ155" i="15"/>
  <c r="BR155" i="15"/>
  <c r="BS155" i="15"/>
  <c r="BT155" i="15"/>
  <c r="BU155" i="15"/>
  <c r="BV155" i="15"/>
  <c r="BW155" i="15"/>
  <c r="BX155" i="15"/>
  <c r="BY155" i="15"/>
  <c r="BZ155" i="15"/>
  <c r="CA155" i="15"/>
  <c r="CB155" i="15"/>
  <c r="CC155" i="15"/>
  <c r="CD155" i="15"/>
  <c r="CE155" i="15"/>
  <c r="CF155" i="15"/>
  <c r="CG155" i="15"/>
  <c r="CH155" i="15"/>
  <c r="CI155" i="15"/>
  <c r="CJ155" i="15"/>
  <c r="CK155" i="15"/>
  <c r="CL155" i="15"/>
  <c r="CM155" i="15"/>
  <c r="CN155" i="15"/>
  <c r="CO155" i="15"/>
  <c r="CP155" i="15"/>
  <c r="CQ155" i="15"/>
  <c r="CR155" i="15"/>
  <c r="CS155" i="15"/>
  <c r="CT155" i="15"/>
  <c r="CU155" i="15"/>
  <c r="CV155" i="15"/>
  <c r="CW155" i="15"/>
  <c r="CX155" i="15"/>
  <c r="CY155" i="15"/>
  <c r="CZ155" i="15"/>
  <c r="DA155" i="15"/>
  <c r="DB155" i="15"/>
  <c r="DC155" i="15"/>
  <c r="DD155" i="15"/>
  <c r="DE155" i="15"/>
  <c r="DF155" i="15"/>
  <c r="DG155" i="15"/>
  <c r="DH155" i="15"/>
  <c r="DI155" i="15"/>
  <c r="DJ155" i="15"/>
  <c r="DK155" i="15"/>
  <c r="DL155" i="15"/>
  <c r="DM155" i="15"/>
  <c r="DN155" i="15"/>
  <c r="DO155" i="15"/>
  <c r="DP155" i="15"/>
  <c r="DQ155" i="15"/>
  <c r="DR155" i="15"/>
  <c r="DS155" i="15"/>
  <c r="DT155" i="15"/>
  <c r="DU155" i="15"/>
  <c r="DV155" i="15"/>
  <c r="DW155" i="15"/>
  <c r="DX155" i="15"/>
  <c r="DY155" i="15"/>
  <c r="DZ155" i="15"/>
  <c r="EA155" i="15"/>
  <c r="EB155" i="15"/>
  <c r="EC155" i="15"/>
  <c r="ED155" i="15"/>
  <c r="EE155" i="15"/>
  <c r="EF155" i="15"/>
  <c r="EG155" i="15"/>
  <c r="EH155" i="15"/>
  <c r="EI155" i="15"/>
  <c r="EJ155" i="15"/>
  <c r="EK155" i="15"/>
  <c r="EL155" i="15"/>
  <c r="EM155" i="15"/>
  <c r="EN155" i="15"/>
  <c r="EO155" i="15"/>
  <c r="EP155" i="15"/>
  <c r="EQ155" i="15"/>
  <c r="ER155" i="15"/>
  <c r="ES155" i="15"/>
  <c r="ET155" i="15"/>
  <c r="EU155" i="15"/>
  <c r="EV155" i="15"/>
  <c r="EW155" i="15"/>
  <c r="EX155" i="15"/>
  <c r="EY155" i="15"/>
  <c r="EZ155" i="15"/>
  <c r="FA155" i="15"/>
  <c r="FB155" i="15"/>
  <c r="FC155" i="15"/>
  <c r="FD155" i="15"/>
  <c r="FE155" i="15"/>
  <c r="FF155" i="15"/>
  <c r="FG155" i="15"/>
  <c r="FH155" i="15"/>
  <c r="FI155" i="15"/>
  <c r="FJ155" i="15"/>
  <c r="FK155" i="15"/>
  <c r="FL155" i="15"/>
  <c r="B156" i="15"/>
  <c r="C156" i="15"/>
  <c r="D156" i="15"/>
  <c r="E156" i="15"/>
  <c r="F156" i="15"/>
  <c r="G156" i="15"/>
  <c r="H156" i="15"/>
  <c r="I156" i="15"/>
  <c r="J156" i="15"/>
  <c r="K156" i="15"/>
  <c r="L156" i="15"/>
  <c r="M156" i="15"/>
  <c r="N156" i="15"/>
  <c r="O156" i="15"/>
  <c r="P156" i="15"/>
  <c r="Q156" i="15"/>
  <c r="R156" i="15"/>
  <c r="S156" i="15"/>
  <c r="T156" i="15"/>
  <c r="U156" i="15"/>
  <c r="V156" i="15"/>
  <c r="W156" i="15"/>
  <c r="X156" i="15"/>
  <c r="Y156" i="15"/>
  <c r="Z156" i="15"/>
  <c r="AA156" i="15"/>
  <c r="AB156" i="15"/>
  <c r="AC156" i="15"/>
  <c r="AD156" i="15"/>
  <c r="AE156" i="15"/>
  <c r="AF156" i="15"/>
  <c r="AG156" i="15"/>
  <c r="AH156" i="15"/>
  <c r="AI156" i="15"/>
  <c r="AJ156" i="15"/>
  <c r="AK156" i="15"/>
  <c r="AL156" i="15"/>
  <c r="AM156" i="15"/>
  <c r="AN156" i="15"/>
  <c r="AO156" i="15"/>
  <c r="AP156" i="15"/>
  <c r="AQ156" i="15"/>
  <c r="AR156" i="15"/>
  <c r="AS156" i="15"/>
  <c r="AT156" i="15"/>
  <c r="AU156" i="15"/>
  <c r="AV156" i="15"/>
  <c r="AW156" i="15"/>
  <c r="AX156" i="15"/>
  <c r="AY156" i="15"/>
  <c r="AZ156" i="15"/>
  <c r="BA156" i="15"/>
  <c r="BB156" i="15"/>
  <c r="BC156" i="15"/>
  <c r="BD156" i="15"/>
  <c r="BE156" i="15"/>
  <c r="BF156" i="15"/>
  <c r="BG156" i="15"/>
  <c r="BH156" i="15"/>
  <c r="BI156" i="15"/>
  <c r="BJ156" i="15"/>
  <c r="BK156" i="15"/>
  <c r="BL156" i="15"/>
  <c r="BM156" i="15"/>
  <c r="BN156" i="15"/>
  <c r="BO156" i="15"/>
  <c r="BP156" i="15"/>
  <c r="BQ156" i="15"/>
  <c r="BR156" i="15"/>
  <c r="BS156" i="15"/>
  <c r="BT156" i="15"/>
  <c r="BU156" i="15"/>
  <c r="BV156" i="15"/>
  <c r="BW156" i="15"/>
  <c r="BX156" i="15"/>
  <c r="BY156" i="15"/>
  <c r="BZ156" i="15"/>
  <c r="CA156" i="15"/>
  <c r="CB156" i="15"/>
  <c r="CC156" i="15"/>
  <c r="CD156" i="15"/>
  <c r="CE156" i="15"/>
  <c r="CF156" i="15"/>
  <c r="CG156" i="15"/>
  <c r="CH156" i="15"/>
  <c r="CI156" i="15"/>
  <c r="CJ156" i="15"/>
  <c r="CK156" i="15"/>
  <c r="CL156" i="15"/>
  <c r="CM156" i="15"/>
  <c r="CN156" i="15"/>
  <c r="CO156" i="15"/>
  <c r="CP156" i="15"/>
  <c r="CQ156" i="15"/>
  <c r="CR156" i="15"/>
  <c r="CS156" i="15"/>
  <c r="CT156" i="15"/>
  <c r="CU156" i="15"/>
  <c r="CV156" i="15"/>
  <c r="CW156" i="15"/>
  <c r="CX156" i="15"/>
  <c r="CY156" i="15"/>
  <c r="CZ156" i="15"/>
  <c r="DA156" i="15"/>
  <c r="DB156" i="15"/>
  <c r="DC156" i="15"/>
  <c r="DD156" i="15"/>
  <c r="DE156" i="15"/>
  <c r="DF156" i="15"/>
  <c r="DG156" i="15"/>
  <c r="DH156" i="15"/>
  <c r="DI156" i="15"/>
  <c r="DJ156" i="15"/>
  <c r="DK156" i="15"/>
  <c r="DL156" i="15"/>
  <c r="DM156" i="15"/>
  <c r="DN156" i="15"/>
  <c r="DO156" i="15"/>
  <c r="DP156" i="15"/>
  <c r="DQ156" i="15"/>
  <c r="DR156" i="15"/>
  <c r="DS156" i="15"/>
  <c r="DT156" i="15"/>
  <c r="DU156" i="15"/>
  <c r="DV156" i="15"/>
  <c r="DW156" i="15"/>
  <c r="DX156" i="15"/>
  <c r="DY156" i="15"/>
  <c r="DZ156" i="15"/>
  <c r="EA156" i="15"/>
  <c r="EB156" i="15"/>
  <c r="EC156" i="15"/>
  <c r="ED156" i="15"/>
  <c r="EE156" i="15"/>
  <c r="EF156" i="15"/>
  <c r="EG156" i="15"/>
  <c r="EH156" i="15"/>
  <c r="EI156" i="15"/>
  <c r="EJ156" i="15"/>
  <c r="EK156" i="15"/>
  <c r="EL156" i="15"/>
  <c r="EM156" i="15"/>
  <c r="EN156" i="15"/>
  <c r="EO156" i="15"/>
  <c r="EP156" i="15"/>
  <c r="EQ156" i="15"/>
  <c r="ER156" i="15"/>
  <c r="ES156" i="15"/>
  <c r="ET156" i="15"/>
  <c r="EU156" i="15"/>
  <c r="EV156" i="15"/>
  <c r="EW156" i="15"/>
  <c r="EX156" i="15"/>
  <c r="EY156" i="15"/>
  <c r="EZ156" i="15"/>
  <c r="FA156" i="15"/>
  <c r="FB156" i="15"/>
  <c r="FC156" i="15"/>
  <c r="FD156" i="15"/>
  <c r="FE156" i="15"/>
  <c r="FF156" i="15"/>
  <c r="FG156" i="15"/>
  <c r="FH156" i="15"/>
  <c r="FI156" i="15"/>
  <c r="FJ156" i="15"/>
  <c r="FK156" i="15"/>
  <c r="FL156" i="15"/>
  <c r="B157" i="15"/>
  <c r="C157" i="15"/>
  <c r="D157" i="15"/>
  <c r="E157" i="15"/>
  <c r="F157" i="15"/>
  <c r="G157" i="15"/>
  <c r="H157" i="15"/>
  <c r="I157" i="15"/>
  <c r="J157" i="15"/>
  <c r="K157" i="15"/>
  <c r="L157" i="15"/>
  <c r="M157" i="15"/>
  <c r="N157" i="15"/>
  <c r="O157" i="15"/>
  <c r="P157" i="15"/>
  <c r="Q157" i="15"/>
  <c r="R157" i="15"/>
  <c r="S157" i="15"/>
  <c r="T157" i="15"/>
  <c r="U157" i="15"/>
  <c r="V157" i="15"/>
  <c r="W157" i="15"/>
  <c r="X157" i="15"/>
  <c r="Y157" i="15"/>
  <c r="Z157" i="15"/>
  <c r="AA157" i="15"/>
  <c r="AB157" i="15"/>
  <c r="AC157" i="15"/>
  <c r="AD157" i="15"/>
  <c r="AE157" i="15"/>
  <c r="AF157" i="15"/>
  <c r="AG157" i="15"/>
  <c r="AH157" i="15"/>
  <c r="AI157" i="15"/>
  <c r="AJ157" i="15"/>
  <c r="AK157" i="15"/>
  <c r="AL157" i="15"/>
  <c r="AM157" i="15"/>
  <c r="AN157" i="15"/>
  <c r="AO157" i="15"/>
  <c r="AP157" i="15"/>
  <c r="AQ157" i="15"/>
  <c r="AR157" i="15"/>
  <c r="AS157" i="15"/>
  <c r="AT157" i="15"/>
  <c r="AU157" i="15"/>
  <c r="AV157" i="15"/>
  <c r="AW157" i="15"/>
  <c r="AX157" i="15"/>
  <c r="AY157" i="15"/>
  <c r="AZ157" i="15"/>
  <c r="BA157" i="15"/>
  <c r="BB157" i="15"/>
  <c r="BC157" i="15"/>
  <c r="BD157" i="15"/>
  <c r="BE157" i="15"/>
  <c r="BF157" i="15"/>
  <c r="BG157" i="15"/>
  <c r="BH157" i="15"/>
  <c r="BI157" i="15"/>
  <c r="BJ157" i="15"/>
  <c r="BK157" i="15"/>
  <c r="BL157" i="15"/>
  <c r="BM157" i="15"/>
  <c r="BN157" i="15"/>
  <c r="BO157" i="15"/>
  <c r="BP157" i="15"/>
  <c r="BQ157" i="15"/>
  <c r="BR157" i="15"/>
  <c r="BS157" i="15"/>
  <c r="BT157" i="15"/>
  <c r="BU157" i="15"/>
  <c r="BV157" i="15"/>
  <c r="BW157" i="15"/>
  <c r="BX157" i="15"/>
  <c r="BY157" i="15"/>
  <c r="BZ157" i="15"/>
  <c r="CA157" i="15"/>
  <c r="CB157" i="15"/>
  <c r="CC157" i="15"/>
  <c r="CD157" i="15"/>
  <c r="CE157" i="15"/>
  <c r="CF157" i="15"/>
  <c r="CG157" i="15"/>
  <c r="CH157" i="15"/>
  <c r="CI157" i="15"/>
  <c r="CJ157" i="15"/>
  <c r="CK157" i="15"/>
  <c r="CL157" i="15"/>
  <c r="CM157" i="15"/>
  <c r="CN157" i="15"/>
  <c r="CO157" i="15"/>
  <c r="CP157" i="15"/>
  <c r="CQ157" i="15"/>
  <c r="CR157" i="15"/>
  <c r="CS157" i="15"/>
  <c r="CT157" i="15"/>
  <c r="CU157" i="15"/>
  <c r="CV157" i="15"/>
  <c r="CW157" i="15"/>
  <c r="CX157" i="15"/>
  <c r="CY157" i="15"/>
  <c r="CZ157" i="15"/>
  <c r="DA157" i="15"/>
  <c r="DB157" i="15"/>
  <c r="DC157" i="15"/>
  <c r="DD157" i="15"/>
  <c r="DE157" i="15"/>
  <c r="DF157" i="15"/>
  <c r="DG157" i="15"/>
  <c r="DH157" i="15"/>
  <c r="DI157" i="15"/>
  <c r="DJ157" i="15"/>
  <c r="DK157" i="15"/>
  <c r="DL157" i="15"/>
  <c r="DM157" i="15"/>
  <c r="DN157" i="15"/>
  <c r="DO157" i="15"/>
  <c r="DP157" i="15"/>
  <c r="DQ157" i="15"/>
  <c r="DR157" i="15"/>
  <c r="DS157" i="15"/>
  <c r="DT157" i="15"/>
  <c r="DU157" i="15"/>
  <c r="DV157" i="15"/>
  <c r="DW157" i="15"/>
  <c r="DX157" i="15"/>
  <c r="DY157" i="15"/>
  <c r="DZ157" i="15"/>
  <c r="EA157" i="15"/>
  <c r="EB157" i="15"/>
  <c r="EC157" i="15"/>
  <c r="ED157" i="15"/>
  <c r="EE157" i="15"/>
  <c r="EF157" i="15"/>
  <c r="EG157" i="15"/>
  <c r="EH157" i="15"/>
  <c r="EI157" i="15"/>
  <c r="EJ157" i="15"/>
  <c r="EK157" i="15"/>
  <c r="EL157" i="15"/>
  <c r="EM157" i="15"/>
  <c r="EN157" i="15"/>
  <c r="EO157" i="15"/>
  <c r="EP157" i="15"/>
  <c r="EQ157" i="15"/>
  <c r="ER157" i="15"/>
  <c r="ES157" i="15"/>
  <c r="ET157" i="15"/>
  <c r="EU157" i="15"/>
  <c r="EV157" i="15"/>
  <c r="EW157" i="15"/>
  <c r="EX157" i="15"/>
  <c r="EY157" i="15"/>
  <c r="EZ157" i="15"/>
  <c r="FA157" i="15"/>
  <c r="FB157" i="15"/>
  <c r="FC157" i="15"/>
  <c r="FD157" i="15"/>
  <c r="FE157" i="15"/>
  <c r="FF157" i="15"/>
  <c r="FG157" i="15"/>
  <c r="FH157" i="15"/>
  <c r="FI157" i="15"/>
  <c r="FJ157" i="15"/>
  <c r="FK157" i="15"/>
  <c r="FL157" i="15"/>
  <c r="B158" i="15"/>
  <c r="C158" i="15"/>
  <c r="D158" i="15"/>
  <c r="E158" i="15"/>
  <c r="F158" i="15"/>
  <c r="G158" i="15"/>
  <c r="H158" i="15"/>
  <c r="I158" i="15"/>
  <c r="J158" i="15"/>
  <c r="K158" i="15"/>
  <c r="L158" i="15"/>
  <c r="M158" i="15"/>
  <c r="N158" i="15"/>
  <c r="O158" i="15"/>
  <c r="P158" i="15"/>
  <c r="Q158" i="15"/>
  <c r="R158" i="15"/>
  <c r="S158" i="15"/>
  <c r="T158" i="15"/>
  <c r="U158" i="15"/>
  <c r="V158" i="15"/>
  <c r="W158" i="15"/>
  <c r="X158" i="15"/>
  <c r="Y158" i="15"/>
  <c r="Z158" i="15"/>
  <c r="AA158" i="15"/>
  <c r="AB158" i="15"/>
  <c r="AC158" i="15"/>
  <c r="AD158" i="15"/>
  <c r="AE158" i="15"/>
  <c r="AF158" i="15"/>
  <c r="AG158" i="15"/>
  <c r="AH158" i="15"/>
  <c r="AI158" i="15"/>
  <c r="AJ158" i="15"/>
  <c r="AK158" i="15"/>
  <c r="AL158" i="15"/>
  <c r="AM158" i="15"/>
  <c r="AN158" i="15"/>
  <c r="AO158" i="15"/>
  <c r="AP158" i="15"/>
  <c r="AQ158" i="15"/>
  <c r="AR158" i="15"/>
  <c r="AS158" i="15"/>
  <c r="AT158" i="15"/>
  <c r="AU158" i="15"/>
  <c r="AV158" i="15"/>
  <c r="AW158" i="15"/>
  <c r="AX158" i="15"/>
  <c r="AY158" i="15"/>
  <c r="AZ158" i="15"/>
  <c r="BA158" i="15"/>
  <c r="BB158" i="15"/>
  <c r="BC158" i="15"/>
  <c r="BD158" i="15"/>
  <c r="BE158" i="15"/>
  <c r="BF158" i="15"/>
  <c r="BG158" i="15"/>
  <c r="BH158" i="15"/>
  <c r="BI158" i="15"/>
  <c r="BJ158" i="15"/>
  <c r="BK158" i="15"/>
  <c r="BL158" i="15"/>
  <c r="BM158" i="15"/>
  <c r="BN158" i="15"/>
  <c r="BO158" i="15"/>
  <c r="BP158" i="15"/>
  <c r="BQ158" i="15"/>
  <c r="BR158" i="15"/>
  <c r="BS158" i="15"/>
  <c r="BT158" i="15"/>
  <c r="BU158" i="15"/>
  <c r="BV158" i="15"/>
  <c r="BW158" i="15"/>
  <c r="BX158" i="15"/>
  <c r="BY158" i="15"/>
  <c r="BZ158" i="15"/>
  <c r="CA158" i="15"/>
  <c r="CB158" i="15"/>
  <c r="CC158" i="15"/>
  <c r="CD158" i="15"/>
  <c r="CE158" i="15"/>
  <c r="CF158" i="15"/>
  <c r="CG158" i="15"/>
  <c r="CH158" i="15"/>
  <c r="CI158" i="15"/>
  <c r="CJ158" i="15"/>
  <c r="CK158" i="15"/>
  <c r="CL158" i="15"/>
  <c r="CM158" i="15"/>
  <c r="CN158" i="15"/>
  <c r="CO158" i="15"/>
  <c r="CP158" i="15"/>
  <c r="CQ158" i="15"/>
  <c r="CR158" i="15"/>
  <c r="CS158" i="15"/>
  <c r="CT158" i="15"/>
  <c r="CU158" i="15"/>
  <c r="CV158" i="15"/>
  <c r="CW158" i="15"/>
  <c r="CX158" i="15"/>
  <c r="CY158" i="15"/>
  <c r="CZ158" i="15"/>
  <c r="DA158" i="15"/>
  <c r="DB158" i="15"/>
  <c r="DC158" i="15"/>
  <c r="DD158" i="15"/>
  <c r="DE158" i="15"/>
  <c r="DF158" i="15"/>
  <c r="DG158" i="15"/>
  <c r="DH158" i="15"/>
  <c r="DI158" i="15"/>
  <c r="DJ158" i="15"/>
  <c r="DK158" i="15"/>
  <c r="DL158" i="15"/>
  <c r="DM158" i="15"/>
  <c r="DN158" i="15"/>
  <c r="DO158" i="15"/>
  <c r="DP158" i="15"/>
  <c r="DQ158" i="15"/>
  <c r="DR158" i="15"/>
  <c r="DS158" i="15"/>
  <c r="DT158" i="15"/>
  <c r="DU158" i="15"/>
  <c r="DV158" i="15"/>
  <c r="DW158" i="15"/>
  <c r="DX158" i="15"/>
  <c r="DY158" i="15"/>
  <c r="DZ158" i="15"/>
  <c r="EA158" i="15"/>
  <c r="EB158" i="15"/>
  <c r="EC158" i="15"/>
  <c r="ED158" i="15"/>
  <c r="EE158" i="15"/>
  <c r="EF158" i="15"/>
  <c r="EG158" i="15"/>
  <c r="EH158" i="15"/>
  <c r="EI158" i="15"/>
  <c r="EJ158" i="15"/>
  <c r="EK158" i="15"/>
  <c r="EL158" i="15"/>
  <c r="EM158" i="15"/>
  <c r="EN158" i="15"/>
  <c r="EO158" i="15"/>
  <c r="EP158" i="15"/>
  <c r="EQ158" i="15"/>
  <c r="ER158" i="15"/>
  <c r="ES158" i="15"/>
  <c r="ET158" i="15"/>
  <c r="EU158" i="15"/>
  <c r="EV158" i="15"/>
  <c r="EW158" i="15"/>
  <c r="EX158" i="15"/>
  <c r="EY158" i="15"/>
  <c r="EZ158" i="15"/>
  <c r="FA158" i="15"/>
  <c r="FB158" i="15"/>
  <c r="FC158" i="15"/>
  <c r="FD158" i="15"/>
  <c r="FE158" i="15"/>
  <c r="FF158" i="15"/>
  <c r="FG158" i="15"/>
  <c r="FH158" i="15"/>
  <c r="FI158" i="15"/>
  <c r="FJ158" i="15"/>
  <c r="FK158" i="15"/>
  <c r="FL158" i="15"/>
  <c r="B159" i="15"/>
  <c r="C159" i="15"/>
  <c r="D159" i="15"/>
  <c r="E159" i="15"/>
  <c r="F159" i="15"/>
  <c r="G159" i="15"/>
  <c r="H159" i="15"/>
  <c r="I159" i="15"/>
  <c r="J159" i="15"/>
  <c r="K159" i="15"/>
  <c r="L159" i="15"/>
  <c r="M159" i="15"/>
  <c r="N159" i="15"/>
  <c r="O159" i="15"/>
  <c r="P159" i="15"/>
  <c r="Q159" i="15"/>
  <c r="R159" i="15"/>
  <c r="S159" i="15"/>
  <c r="T159" i="15"/>
  <c r="U159" i="15"/>
  <c r="V159" i="15"/>
  <c r="W159" i="15"/>
  <c r="X159" i="15"/>
  <c r="Y159" i="15"/>
  <c r="Z159" i="15"/>
  <c r="AA159" i="15"/>
  <c r="AB159" i="15"/>
  <c r="AC159" i="15"/>
  <c r="AD159" i="15"/>
  <c r="AE159" i="15"/>
  <c r="AF159" i="15"/>
  <c r="AG159" i="15"/>
  <c r="AH159" i="15"/>
  <c r="AI159" i="15"/>
  <c r="AJ159" i="15"/>
  <c r="AK159" i="15"/>
  <c r="AL159" i="15"/>
  <c r="AM159" i="15"/>
  <c r="AN159" i="15"/>
  <c r="AO159" i="15"/>
  <c r="AP159" i="15"/>
  <c r="AQ159" i="15"/>
  <c r="AR159" i="15"/>
  <c r="AS159" i="15"/>
  <c r="AT159" i="15"/>
  <c r="AU159" i="15"/>
  <c r="AV159" i="15"/>
  <c r="AW159" i="15"/>
  <c r="AX159" i="15"/>
  <c r="AY159" i="15"/>
  <c r="AZ159" i="15"/>
  <c r="BA159" i="15"/>
  <c r="BB159" i="15"/>
  <c r="BC159" i="15"/>
  <c r="BD159" i="15"/>
  <c r="BE159" i="15"/>
  <c r="BF159" i="15"/>
  <c r="BG159" i="15"/>
  <c r="BH159" i="15"/>
  <c r="BI159" i="15"/>
  <c r="BJ159" i="15"/>
  <c r="BK159" i="15"/>
  <c r="BL159" i="15"/>
  <c r="BM159" i="15"/>
  <c r="BN159" i="15"/>
  <c r="BO159" i="15"/>
  <c r="BP159" i="15"/>
  <c r="BQ159" i="15"/>
  <c r="BR159" i="15"/>
  <c r="BS159" i="15"/>
  <c r="BT159" i="15"/>
  <c r="BU159" i="15"/>
  <c r="BV159" i="15"/>
  <c r="BW159" i="15"/>
  <c r="BX159" i="15"/>
  <c r="BY159" i="15"/>
  <c r="BZ159" i="15"/>
  <c r="CA159" i="15"/>
  <c r="CB159" i="15"/>
  <c r="CC159" i="15"/>
  <c r="CD159" i="15"/>
  <c r="CE159" i="15"/>
  <c r="CF159" i="15"/>
  <c r="CG159" i="15"/>
  <c r="CH159" i="15"/>
  <c r="CI159" i="15"/>
  <c r="CJ159" i="15"/>
  <c r="CK159" i="15"/>
  <c r="CL159" i="15"/>
  <c r="CM159" i="15"/>
  <c r="CN159" i="15"/>
  <c r="CO159" i="15"/>
  <c r="CP159" i="15"/>
  <c r="CQ159" i="15"/>
  <c r="CR159" i="15"/>
  <c r="CS159" i="15"/>
  <c r="CT159" i="15"/>
  <c r="CU159" i="15"/>
  <c r="CV159" i="15"/>
  <c r="CW159" i="15"/>
  <c r="CX159" i="15"/>
  <c r="CY159" i="15"/>
  <c r="CZ159" i="15"/>
  <c r="DA159" i="15"/>
  <c r="DB159" i="15"/>
  <c r="DC159" i="15"/>
  <c r="DD159" i="15"/>
  <c r="DE159" i="15"/>
  <c r="DF159" i="15"/>
  <c r="DG159" i="15"/>
  <c r="DH159" i="15"/>
  <c r="DI159" i="15"/>
  <c r="DJ159" i="15"/>
  <c r="DK159" i="15"/>
  <c r="DL159" i="15"/>
  <c r="DM159" i="15"/>
  <c r="DN159" i="15"/>
  <c r="DO159" i="15"/>
  <c r="DP159" i="15"/>
  <c r="DQ159" i="15"/>
  <c r="DR159" i="15"/>
  <c r="DS159" i="15"/>
  <c r="DT159" i="15"/>
  <c r="DU159" i="15"/>
  <c r="DV159" i="15"/>
  <c r="DW159" i="15"/>
  <c r="DX159" i="15"/>
  <c r="DY159" i="15"/>
  <c r="DZ159" i="15"/>
  <c r="EA159" i="15"/>
  <c r="EB159" i="15"/>
  <c r="EC159" i="15"/>
  <c r="ED159" i="15"/>
  <c r="EE159" i="15"/>
  <c r="EF159" i="15"/>
  <c r="EG159" i="15"/>
  <c r="EH159" i="15"/>
  <c r="EI159" i="15"/>
  <c r="EJ159" i="15"/>
  <c r="EK159" i="15"/>
  <c r="EL159" i="15"/>
  <c r="EM159" i="15"/>
  <c r="EN159" i="15"/>
  <c r="EO159" i="15"/>
  <c r="EP159" i="15"/>
  <c r="EQ159" i="15"/>
  <c r="ER159" i="15"/>
  <c r="ES159" i="15"/>
  <c r="ET159" i="15"/>
  <c r="EU159" i="15"/>
  <c r="EV159" i="15"/>
  <c r="EW159" i="15"/>
  <c r="EX159" i="15"/>
  <c r="EY159" i="15"/>
  <c r="EZ159" i="15"/>
  <c r="FA159" i="15"/>
  <c r="FB159" i="15"/>
  <c r="FC159" i="15"/>
  <c r="FD159" i="15"/>
  <c r="FE159" i="15"/>
  <c r="FF159" i="15"/>
  <c r="FG159" i="15"/>
  <c r="FH159" i="15"/>
  <c r="FI159" i="15"/>
  <c r="FJ159" i="15"/>
  <c r="FK159" i="15"/>
  <c r="FL159" i="15"/>
  <c r="B160" i="15"/>
  <c r="C160" i="15"/>
  <c r="D160" i="15"/>
  <c r="E160" i="15"/>
  <c r="F160" i="15"/>
  <c r="G160" i="15"/>
  <c r="H160" i="15"/>
  <c r="I160" i="15"/>
  <c r="J160" i="15"/>
  <c r="K160" i="15"/>
  <c r="L160" i="15"/>
  <c r="M160" i="15"/>
  <c r="N160" i="15"/>
  <c r="O160" i="15"/>
  <c r="P160" i="15"/>
  <c r="Q160" i="15"/>
  <c r="R160" i="15"/>
  <c r="S160" i="15"/>
  <c r="T160" i="15"/>
  <c r="U160" i="15"/>
  <c r="V160" i="15"/>
  <c r="W160" i="15"/>
  <c r="X160" i="15"/>
  <c r="Y160" i="15"/>
  <c r="Z160" i="15"/>
  <c r="AA160" i="15"/>
  <c r="AB160" i="15"/>
  <c r="AC160" i="15"/>
  <c r="AD160" i="15"/>
  <c r="AE160" i="15"/>
  <c r="AF160" i="15"/>
  <c r="AG160" i="15"/>
  <c r="AH160" i="15"/>
  <c r="AI160" i="15"/>
  <c r="AJ160" i="15"/>
  <c r="AK160" i="15"/>
  <c r="AL160" i="15"/>
  <c r="AM160" i="15"/>
  <c r="AN160" i="15"/>
  <c r="AO160" i="15"/>
  <c r="AP160" i="15"/>
  <c r="AQ160" i="15"/>
  <c r="AR160" i="15"/>
  <c r="AS160" i="15"/>
  <c r="AT160" i="15"/>
  <c r="AU160" i="15"/>
  <c r="AV160" i="15"/>
  <c r="AW160" i="15"/>
  <c r="AX160" i="15"/>
  <c r="AY160" i="15"/>
  <c r="AZ160" i="15"/>
  <c r="BA160" i="15"/>
  <c r="BB160" i="15"/>
  <c r="BC160" i="15"/>
  <c r="BD160" i="15"/>
  <c r="BE160" i="15"/>
  <c r="BF160" i="15"/>
  <c r="BG160" i="15"/>
  <c r="BH160" i="15"/>
  <c r="BI160" i="15"/>
  <c r="BJ160" i="15"/>
  <c r="BK160" i="15"/>
  <c r="BL160" i="15"/>
  <c r="BM160" i="15"/>
  <c r="BN160" i="15"/>
  <c r="BO160" i="15"/>
  <c r="BP160" i="15"/>
  <c r="BQ160" i="15"/>
  <c r="BR160" i="15"/>
  <c r="BS160" i="15"/>
  <c r="BT160" i="15"/>
  <c r="BU160" i="15"/>
  <c r="BV160" i="15"/>
  <c r="BW160" i="15"/>
  <c r="BX160" i="15"/>
  <c r="BY160" i="15"/>
  <c r="BZ160" i="15"/>
  <c r="CA160" i="15"/>
  <c r="CB160" i="15"/>
  <c r="CC160" i="15"/>
  <c r="CD160" i="15"/>
  <c r="CE160" i="15"/>
  <c r="CF160" i="15"/>
  <c r="CG160" i="15"/>
  <c r="CH160" i="15"/>
  <c r="CI160" i="15"/>
  <c r="CJ160" i="15"/>
  <c r="CK160" i="15"/>
  <c r="CL160" i="15"/>
  <c r="CM160" i="15"/>
  <c r="CN160" i="15"/>
  <c r="CO160" i="15"/>
  <c r="CP160" i="15"/>
  <c r="CQ160" i="15"/>
  <c r="CR160" i="15"/>
  <c r="CS160" i="15"/>
  <c r="CT160" i="15"/>
  <c r="CU160" i="15"/>
  <c r="CV160" i="15"/>
  <c r="CW160" i="15"/>
  <c r="CX160" i="15"/>
  <c r="CY160" i="15"/>
  <c r="CZ160" i="15"/>
  <c r="DA160" i="15"/>
  <c r="DB160" i="15"/>
  <c r="DC160" i="15"/>
  <c r="DD160" i="15"/>
  <c r="DE160" i="15"/>
  <c r="DF160" i="15"/>
  <c r="DG160" i="15"/>
  <c r="DH160" i="15"/>
  <c r="DI160" i="15"/>
  <c r="DJ160" i="15"/>
  <c r="DK160" i="15"/>
  <c r="DL160" i="15"/>
  <c r="DM160" i="15"/>
  <c r="DN160" i="15"/>
  <c r="DO160" i="15"/>
  <c r="DP160" i="15"/>
  <c r="DQ160" i="15"/>
  <c r="DR160" i="15"/>
  <c r="DS160" i="15"/>
  <c r="DT160" i="15"/>
  <c r="DU160" i="15"/>
  <c r="DV160" i="15"/>
  <c r="DW160" i="15"/>
  <c r="DX160" i="15"/>
  <c r="DY160" i="15"/>
  <c r="DZ160" i="15"/>
  <c r="EA160" i="15"/>
  <c r="EB160" i="15"/>
  <c r="EC160" i="15"/>
  <c r="ED160" i="15"/>
  <c r="EE160" i="15"/>
  <c r="EF160" i="15"/>
  <c r="EG160" i="15"/>
  <c r="EH160" i="15"/>
  <c r="EI160" i="15"/>
  <c r="EJ160" i="15"/>
  <c r="EK160" i="15"/>
  <c r="EL160" i="15"/>
  <c r="EM160" i="15"/>
  <c r="EN160" i="15"/>
  <c r="EO160" i="15"/>
  <c r="EP160" i="15"/>
  <c r="EQ160" i="15"/>
  <c r="ER160" i="15"/>
  <c r="ES160" i="15"/>
  <c r="ET160" i="15"/>
  <c r="EU160" i="15"/>
  <c r="EV160" i="15"/>
  <c r="EW160" i="15"/>
  <c r="EX160" i="15"/>
  <c r="EY160" i="15"/>
  <c r="EZ160" i="15"/>
  <c r="FA160" i="15"/>
  <c r="FB160" i="15"/>
  <c r="FC160" i="15"/>
  <c r="FD160" i="15"/>
  <c r="FE160" i="15"/>
  <c r="FF160" i="15"/>
  <c r="FG160" i="15"/>
  <c r="FH160" i="15"/>
  <c r="FI160" i="15"/>
  <c r="FJ160" i="15"/>
  <c r="FK160" i="15"/>
  <c r="FL160"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36" i="15"/>
  <c r="A137" i="15"/>
  <c r="A138" i="15"/>
  <c r="A139" i="15"/>
  <c r="A140" i="15"/>
  <c r="A141" i="15"/>
  <c r="A142" i="15"/>
  <c r="A143" i="15"/>
  <c r="A144" i="15"/>
  <c r="A145" i="15"/>
  <c r="A146" i="15"/>
  <c r="A147" i="15"/>
  <c r="A148" i="15"/>
  <c r="A149" i="15"/>
  <c r="A150" i="15"/>
  <c r="A151" i="15"/>
  <c r="A152" i="15"/>
  <c r="A153" i="15"/>
  <c r="A154" i="15"/>
  <c r="A155" i="15"/>
  <c r="A156" i="15"/>
  <c r="A157" i="15"/>
  <c r="A158" i="15"/>
  <c r="A159" i="15"/>
  <c r="A160" i="15"/>
  <c r="A101" i="15"/>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E186" i="9"/>
  <c r="E187" i="9"/>
  <c r="E188" i="9"/>
  <c r="E189" i="9"/>
  <c r="E190" i="9"/>
  <c r="E191" i="9"/>
  <c r="E192" i="9"/>
  <c r="E193" i="9"/>
  <c r="E194" i="9"/>
  <c r="E195" i="9"/>
  <c r="E196" i="9"/>
  <c r="E197" i="9"/>
  <c r="E198" i="9"/>
  <c r="E199" i="9"/>
  <c r="E200" i="9"/>
  <c r="E201" i="9"/>
  <c r="E202" i="9"/>
  <c r="E203" i="9"/>
  <c r="E204" i="9"/>
  <c r="E205" i="9"/>
  <c r="E206" i="9"/>
  <c r="E207" i="9"/>
  <c r="E208" i="9"/>
  <c r="E209" i="9"/>
  <c r="E210" i="9"/>
  <c r="E211" i="9"/>
  <c r="E212" i="9"/>
  <c r="E213" i="9"/>
  <c r="E214" i="9"/>
  <c r="E215" i="9"/>
  <c r="E216" i="9"/>
  <c r="E217" i="9"/>
  <c r="E218" i="9"/>
  <c r="E219" i="9"/>
  <c r="E220" i="9"/>
  <c r="E221" i="9"/>
  <c r="E222" i="9"/>
  <c r="E223" i="9"/>
  <c r="E224" i="9"/>
  <c r="E225" i="9"/>
  <c r="E226" i="9"/>
  <c r="E227" i="9"/>
  <c r="E228" i="9"/>
  <c r="E229" i="9"/>
  <c r="E230" i="9"/>
  <c r="E231" i="9"/>
  <c r="E232" i="9"/>
  <c r="E233" i="9"/>
  <c r="E234" i="9"/>
  <c r="E235" i="9"/>
  <c r="E236" i="9"/>
  <c r="E237" i="9"/>
  <c r="E238" i="9"/>
  <c r="E239" i="9"/>
  <c r="E240" i="9"/>
  <c r="E241" i="9"/>
  <c r="E242" i="9"/>
  <c r="E243" i="9"/>
  <c r="E244" i="9"/>
  <c r="E245" i="9"/>
  <c r="E246" i="9"/>
  <c r="E247" i="9"/>
  <c r="E248" i="9"/>
  <c r="E249" i="9"/>
  <c r="E250" i="9"/>
  <c r="E251" i="9"/>
  <c r="E252" i="9"/>
  <c r="E253" i="9"/>
  <c r="E254" i="9"/>
  <c r="E255" i="9"/>
  <c r="E256" i="9"/>
  <c r="E257" i="9"/>
  <c r="E258" i="9"/>
  <c r="E259" i="9"/>
  <c r="E260" i="9"/>
  <c r="E261" i="9"/>
  <c r="E262" i="9"/>
  <c r="E263" i="9"/>
  <c r="E264" i="9"/>
  <c r="E265" i="9"/>
  <c r="E266" i="9"/>
  <c r="E267" i="9"/>
  <c r="E268" i="9"/>
  <c r="E269" i="9"/>
  <c r="E270" i="9"/>
  <c r="E271" i="9"/>
  <c r="E272" i="9"/>
  <c r="E273" i="9"/>
  <c r="E274" i="9"/>
  <c r="E275" i="9"/>
  <c r="E276" i="9"/>
  <c r="E277" i="9"/>
  <c r="E278" i="9"/>
  <c r="E279" i="9"/>
  <c r="E280" i="9"/>
  <c r="E281" i="9"/>
  <c r="E282" i="9"/>
  <c r="E283" i="9"/>
  <c r="E284" i="9"/>
  <c r="E285" i="9"/>
  <c r="E286" i="9"/>
  <c r="E287" i="9"/>
  <c r="E288" i="9"/>
  <c r="E289" i="9"/>
  <c r="E290" i="9"/>
  <c r="E291" i="9"/>
  <c r="E292" i="9"/>
  <c r="E293" i="9"/>
  <c r="E294" i="9"/>
  <c r="E295" i="9"/>
  <c r="E296" i="9"/>
  <c r="E297" i="9"/>
  <c r="E298" i="9"/>
  <c r="E299" i="9"/>
  <c r="E300" i="9"/>
  <c r="E301" i="9"/>
  <c r="E302" i="9"/>
  <c r="E303" i="9"/>
  <c r="E304" i="9"/>
  <c r="E305" i="9"/>
  <c r="E306" i="9"/>
  <c r="E307" i="9"/>
  <c r="E308" i="9"/>
  <c r="E309" i="9"/>
  <c r="E310" i="9"/>
  <c r="E311" i="9"/>
  <c r="E312" i="9"/>
  <c r="E313" i="9"/>
  <c r="E314" i="9"/>
  <c r="E315" i="9"/>
  <c r="E316" i="9"/>
  <c r="E317" i="9"/>
  <c r="E318" i="9"/>
  <c r="E319" i="9"/>
  <c r="E320" i="9"/>
  <c r="E321" i="9"/>
  <c r="E322" i="9"/>
  <c r="E323" i="9"/>
  <c r="E324" i="9"/>
  <c r="E325" i="9"/>
  <c r="E326" i="9"/>
  <c r="E327" i="9"/>
  <c r="E328" i="9"/>
  <c r="E329" i="9"/>
  <c r="E330" i="9"/>
  <c r="E331" i="9"/>
  <c r="E332" i="9"/>
  <c r="E333" i="9"/>
  <c r="E334" i="9"/>
  <c r="E335" i="9"/>
  <c r="E336" i="9"/>
  <c r="E337" i="9"/>
  <c r="E338" i="9"/>
  <c r="E339" i="9"/>
  <c r="E340" i="9"/>
  <c r="E341" i="9"/>
  <c r="E342" i="9"/>
  <c r="E343" i="9"/>
  <c r="E344" i="9"/>
  <c r="E345" i="9"/>
  <c r="E346" i="9"/>
  <c r="E347" i="9"/>
  <c r="E348" i="9"/>
  <c r="E349" i="9"/>
  <c r="E350" i="9"/>
  <c r="E351" i="9"/>
  <c r="E352" i="9"/>
  <c r="E353" i="9"/>
  <c r="E354" i="9"/>
  <c r="E355" i="9"/>
  <c r="E356" i="9"/>
  <c r="E357" i="9"/>
  <c r="E358" i="9"/>
  <c r="E359" i="9"/>
  <c r="E360" i="9"/>
  <c r="E361" i="9"/>
  <c r="E362" i="9"/>
  <c r="E363" i="9"/>
  <c r="E364" i="9"/>
  <c r="E365" i="9"/>
  <c r="E366" i="9"/>
  <c r="E367" i="9"/>
  <c r="E368" i="9"/>
  <c r="E369" i="9"/>
  <c r="E370" i="9"/>
  <c r="E371" i="9"/>
  <c r="E372" i="9"/>
  <c r="E373" i="9"/>
  <c r="E374" i="9"/>
  <c r="E375" i="9"/>
  <c r="E376" i="9"/>
  <c r="E377" i="9"/>
  <c r="E378" i="9"/>
  <c r="E379" i="9"/>
  <c r="E380" i="9"/>
  <c r="E381" i="9"/>
  <c r="E382" i="9"/>
  <c r="E383" i="9"/>
  <c r="E384" i="9"/>
  <c r="E385" i="9"/>
  <c r="E386" i="9"/>
  <c r="E387" i="9"/>
  <c r="E388" i="9"/>
  <c r="E389" i="9"/>
  <c r="E390" i="9"/>
  <c r="E391" i="9"/>
  <c r="E392" i="9"/>
  <c r="E393" i="9"/>
  <c r="E394" i="9"/>
  <c r="E395" i="9"/>
  <c r="E396" i="9"/>
  <c r="E397" i="9"/>
  <c r="E398" i="9"/>
  <c r="E399" i="9"/>
  <c r="E400" i="9"/>
  <c r="E401" i="9"/>
  <c r="E402" i="9"/>
  <c r="E403" i="9"/>
  <c r="E404" i="9"/>
  <c r="E405" i="9"/>
  <c r="E406" i="9"/>
  <c r="E407" i="9"/>
  <c r="E408" i="9"/>
  <c r="E409" i="9"/>
  <c r="E410" i="9"/>
  <c r="E411" i="9"/>
  <c r="E412" i="9"/>
  <c r="E413" i="9"/>
  <c r="E414" i="9"/>
  <c r="E415" i="9"/>
  <c r="E416" i="9"/>
  <c r="E417" i="9"/>
  <c r="E418" i="9"/>
  <c r="E419" i="9"/>
  <c r="E420" i="9"/>
  <c r="E421" i="9"/>
  <c r="E422" i="9"/>
  <c r="E423" i="9"/>
  <c r="E424" i="9"/>
  <c r="E425" i="9"/>
  <c r="E426" i="9"/>
  <c r="E427" i="9"/>
  <c r="E428" i="9"/>
  <c r="E429" i="9"/>
  <c r="E430" i="9"/>
  <c r="E431" i="9"/>
  <c r="E432" i="9"/>
  <c r="E433" i="9"/>
  <c r="E434" i="9"/>
  <c r="E435" i="9"/>
  <c r="E436" i="9"/>
  <c r="E437" i="9"/>
  <c r="E438" i="9"/>
  <c r="E439" i="9"/>
  <c r="E440" i="9"/>
  <c r="E441" i="9"/>
  <c r="E442" i="9"/>
  <c r="E443" i="9"/>
  <c r="E444" i="9"/>
  <c r="E445" i="9"/>
  <c r="E446" i="9"/>
  <c r="E447" i="9"/>
  <c r="E448" i="9"/>
  <c r="E449" i="9"/>
  <c r="E450" i="9"/>
  <c r="E451" i="9"/>
  <c r="E452" i="9"/>
  <c r="E453" i="9"/>
  <c r="E454" i="9"/>
  <c r="E455" i="9"/>
  <c r="E456" i="9"/>
  <c r="E457" i="9"/>
  <c r="E458" i="9"/>
  <c r="E459" i="9"/>
  <c r="E460" i="9"/>
  <c r="E461" i="9"/>
  <c r="E462" i="9"/>
  <c r="E463" i="9"/>
  <c r="E464" i="9"/>
  <c r="E465" i="9"/>
  <c r="E466" i="9"/>
  <c r="E467" i="9"/>
  <c r="E468" i="9"/>
  <c r="E469" i="9"/>
  <c r="E470" i="9"/>
  <c r="E471" i="9"/>
  <c r="E472" i="9"/>
  <c r="E473" i="9"/>
  <c r="E474" i="9"/>
  <c r="E475" i="9"/>
  <c r="E476" i="9"/>
  <c r="E477" i="9"/>
  <c r="E478" i="9"/>
  <c r="E479" i="9"/>
  <c r="E480" i="9"/>
  <c r="E481" i="9"/>
  <c r="E482" i="9"/>
  <c r="E483" i="9"/>
  <c r="E484" i="9"/>
  <c r="E485" i="9"/>
  <c r="E486" i="9"/>
  <c r="E487" i="9"/>
  <c r="E488" i="9"/>
  <c r="E489" i="9"/>
  <c r="E490" i="9"/>
  <c r="E491" i="9"/>
  <c r="E492" i="9"/>
  <c r="E493" i="9"/>
  <c r="E494" i="9"/>
  <c r="E495" i="9"/>
  <c r="E496" i="9"/>
  <c r="E497" i="9"/>
  <c r="E498" i="9"/>
  <c r="E499" i="9"/>
  <c r="E500" i="9"/>
  <c r="E501" i="9"/>
  <c r="E502" i="9"/>
  <c r="E503" i="9"/>
  <c r="E504" i="9"/>
  <c r="E505" i="9"/>
  <c r="E506" i="9"/>
  <c r="E507" i="9"/>
  <c r="E508" i="9"/>
  <c r="E509" i="9"/>
  <c r="E510" i="9"/>
  <c r="E511" i="9"/>
  <c r="E512" i="9"/>
  <c r="E513" i="9"/>
  <c r="E514" i="9"/>
  <c r="E515" i="9"/>
  <c r="E516" i="9"/>
  <c r="E517" i="9"/>
  <c r="E518" i="9"/>
  <c r="E519" i="9"/>
  <c r="E520" i="9"/>
  <c r="E521" i="9"/>
  <c r="E522" i="9"/>
  <c r="E523" i="9"/>
  <c r="E524" i="9"/>
  <c r="E525" i="9"/>
  <c r="E526" i="9"/>
  <c r="E527" i="9"/>
  <c r="E528" i="9"/>
  <c r="E529" i="9"/>
  <c r="E530" i="9"/>
  <c r="E531" i="9"/>
  <c r="E532" i="9"/>
  <c r="E533" i="9"/>
  <c r="E534" i="9"/>
  <c r="E535" i="9"/>
  <c r="E536" i="9"/>
  <c r="E537" i="9"/>
  <c r="E538" i="9"/>
  <c r="E539" i="9"/>
  <c r="E540" i="9"/>
  <c r="E541" i="9"/>
  <c r="E542" i="9"/>
  <c r="E543" i="9"/>
  <c r="E544" i="9"/>
  <c r="E545" i="9"/>
  <c r="E546" i="9"/>
  <c r="E547" i="9"/>
  <c r="E548" i="9"/>
  <c r="E549" i="9"/>
  <c r="E550" i="9"/>
  <c r="E551" i="9"/>
  <c r="E552" i="9"/>
  <c r="E553" i="9"/>
  <c r="E554" i="9"/>
  <c r="E555" i="9"/>
  <c r="E556" i="9"/>
  <c r="E557" i="9"/>
  <c r="E558" i="9"/>
  <c r="E559" i="9"/>
  <c r="E560" i="9"/>
  <c r="E561" i="9"/>
  <c r="E562" i="9"/>
  <c r="E563" i="9"/>
  <c r="E564" i="9"/>
  <c r="E565" i="9"/>
  <c r="E566" i="9"/>
  <c r="E567" i="9"/>
  <c r="E568" i="9"/>
  <c r="E569" i="9"/>
  <c r="E570" i="9"/>
  <c r="E571" i="9"/>
  <c r="E572" i="9"/>
  <c r="E573" i="9"/>
  <c r="E574" i="9"/>
  <c r="E575" i="9"/>
  <c r="E576" i="9"/>
  <c r="E577" i="9"/>
  <c r="E578" i="9"/>
  <c r="E579" i="9"/>
  <c r="E580" i="9"/>
  <c r="E581" i="9"/>
  <c r="E582" i="9"/>
  <c r="E583" i="9"/>
  <c r="E584" i="9"/>
  <c r="E585" i="9"/>
  <c r="E586" i="9"/>
  <c r="E587" i="9"/>
  <c r="E588" i="9"/>
  <c r="E589" i="9"/>
  <c r="E590" i="9"/>
  <c r="E591" i="9"/>
  <c r="E592" i="9"/>
  <c r="E593" i="9"/>
  <c r="E594" i="9"/>
  <c r="E595" i="9"/>
  <c r="E596" i="9"/>
  <c r="E597" i="9"/>
  <c r="E598" i="9"/>
  <c r="E599" i="9"/>
  <c r="E600" i="9"/>
  <c r="E601" i="9"/>
  <c r="E602" i="9"/>
  <c r="E603" i="9"/>
  <c r="E604" i="9"/>
  <c r="E605" i="9"/>
  <c r="E606" i="9"/>
  <c r="E607" i="9"/>
  <c r="E608" i="9"/>
  <c r="E609" i="9"/>
  <c r="E610" i="9"/>
  <c r="E611" i="9"/>
  <c r="E612" i="9"/>
  <c r="E613" i="9"/>
  <c r="E614" i="9"/>
  <c r="E615" i="9"/>
  <c r="E616" i="9"/>
  <c r="E617" i="9"/>
  <c r="E618" i="9"/>
  <c r="E619" i="9"/>
  <c r="E620" i="9"/>
  <c r="E621" i="9"/>
  <c r="E622" i="9"/>
  <c r="E623" i="9"/>
  <c r="E624" i="9"/>
  <c r="E625" i="9"/>
  <c r="E626" i="9"/>
  <c r="E627" i="9"/>
  <c r="E628" i="9"/>
  <c r="E629" i="9"/>
  <c r="E630" i="9"/>
  <c r="E631" i="9"/>
  <c r="E632" i="9"/>
  <c r="E633" i="9"/>
  <c r="E634" i="9"/>
  <c r="E635" i="9"/>
  <c r="E636" i="9"/>
  <c r="E637" i="9"/>
  <c r="E638" i="9"/>
  <c r="E639" i="9"/>
  <c r="E640" i="9"/>
  <c r="E641" i="9"/>
  <c r="E642" i="9"/>
  <c r="E643" i="9"/>
  <c r="E644" i="9"/>
  <c r="E645" i="9"/>
  <c r="E646" i="9"/>
  <c r="E647" i="9"/>
  <c r="E648" i="9"/>
  <c r="E649" i="9"/>
  <c r="E650" i="9"/>
  <c r="E651" i="9"/>
  <c r="E652" i="9"/>
  <c r="E653" i="9"/>
  <c r="E654" i="9"/>
  <c r="E655" i="9"/>
  <c r="E656" i="9"/>
  <c r="E657" i="9"/>
  <c r="E658" i="9"/>
  <c r="E659" i="9"/>
  <c r="E660" i="9"/>
  <c r="E661" i="9"/>
  <c r="E662" i="9"/>
  <c r="E663" i="9"/>
  <c r="E664" i="9"/>
  <c r="E665" i="9"/>
  <c r="E666" i="9"/>
  <c r="E667" i="9"/>
  <c r="E668" i="9"/>
  <c r="E669" i="9"/>
  <c r="E670" i="9"/>
  <c r="E671" i="9"/>
  <c r="E672" i="9"/>
  <c r="E673" i="9"/>
  <c r="E674" i="9"/>
  <c r="E675" i="9"/>
  <c r="E676" i="9"/>
  <c r="E677" i="9"/>
  <c r="E678" i="9"/>
  <c r="E679" i="9"/>
  <c r="E680" i="9"/>
  <c r="E681" i="9"/>
  <c r="E682" i="9"/>
  <c r="E683" i="9"/>
  <c r="E684" i="9"/>
  <c r="E685" i="9"/>
  <c r="E686" i="9"/>
  <c r="E687" i="9"/>
  <c r="E688" i="9"/>
  <c r="E689" i="9"/>
  <c r="E690" i="9"/>
  <c r="E691" i="9"/>
  <c r="E692" i="9"/>
  <c r="E693" i="9"/>
  <c r="E694" i="9"/>
  <c r="E695" i="9"/>
  <c r="E696" i="9"/>
  <c r="E697" i="9"/>
  <c r="E698" i="9"/>
  <c r="E699" i="9"/>
  <c r="E700" i="9"/>
  <c r="E701" i="9"/>
  <c r="E702" i="9"/>
  <c r="E703" i="9"/>
  <c r="E704" i="9"/>
  <c r="E705" i="9"/>
  <c r="E706" i="9"/>
  <c r="E707" i="9"/>
  <c r="E708" i="9"/>
  <c r="E709" i="9"/>
  <c r="E710" i="9"/>
  <c r="E711" i="9"/>
  <c r="E712" i="9"/>
  <c r="E713" i="9"/>
  <c r="E714" i="9"/>
  <c r="E715" i="9"/>
  <c r="E716" i="9"/>
  <c r="E717" i="9"/>
  <c r="E718" i="9"/>
  <c r="E719" i="9"/>
  <c r="E720" i="9"/>
  <c r="E721" i="9"/>
  <c r="E722" i="9"/>
  <c r="E723" i="9"/>
  <c r="E724" i="9"/>
  <c r="E725" i="9"/>
  <c r="E726" i="9"/>
  <c r="E727" i="9"/>
  <c r="E728" i="9"/>
  <c r="E729" i="9"/>
  <c r="E730" i="9"/>
  <c r="E731" i="9"/>
  <c r="E732" i="9"/>
  <c r="E733" i="9"/>
  <c r="E734" i="9"/>
  <c r="E735" i="9"/>
  <c r="E736" i="9"/>
  <c r="E737" i="9"/>
  <c r="E738" i="9"/>
  <c r="E739" i="9"/>
  <c r="E740" i="9"/>
  <c r="E741" i="9"/>
  <c r="E742" i="9"/>
  <c r="E743" i="9"/>
  <c r="E744" i="9"/>
  <c r="E745" i="9"/>
  <c r="E746" i="9"/>
  <c r="E747" i="9"/>
  <c r="E748" i="9"/>
  <c r="E749" i="9"/>
  <c r="E750" i="9"/>
  <c r="E751" i="9"/>
  <c r="E752" i="9"/>
  <c r="E753" i="9"/>
  <c r="E754" i="9"/>
  <c r="E755" i="9"/>
  <c r="E756" i="9"/>
  <c r="E757" i="9"/>
  <c r="E758" i="9"/>
  <c r="E759" i="9"/>
  <c r="E760" i="9"/>
  <c r="E761" i="9"/>
  <c r="E762" i="9"/>
  <c r="E763" i="9"/>
  <c r="E764" i="9"/>
  <c r="E765" i="9"/>
  <c r="E766" i="9"/>
  <c r="E767" i="9"/>
  <c r="E768" i="9"/>
  <c r="E769" i="9"/>
  <c r="E770" i="9"/>
  <c r="E771" i="9"/>
  <c r="E772" i="9"/>
  <c r="E773" i="9"/>
  <c r="E774" i="9"/>
  <c r="E775" i="9"/>
  <c r="E776" i="9"/>
  <c r="E777" i="9"/>
  <c r="E778" i="9"/>
  <c r="E779" i="9"/>
  <c r="E780" i="9"/>
  <c r="E781" i="9"/>
  <c r="E782" i="9"/>
  <c r="E783" i="9"/>
  <c r="E784" i="9"/>
  <c r="E785" i="9"/>
  <c r="E786" i="9"/>
  <c r="E787" i="9"/>
  <c r="E788" i="9"/>
  <c r="E789" i="9"/>
  <c r="E790" i="9"/>
  <c r="E791" i="9"/>
  <c r="E792" i="9"/>
  <c r="E793" i="9"/>
  <c r="E794" i="9"/>
  <c r="E795" i="9"/>
  <c r="E796" i="9"/>
  <c r="E797" i="9"/>
  <c r="E798" i="9"/>
  <c r="E799" i="9"/>
  <c r="E800" i="9"/>
  <c r="E801" i="9"/>
  <c r="E802" i="9"/>
  <c r="E803" i="9"/>
  <c r="E804" i="9"/>
  <c r="E805" i="9"/>
  <c r="E806" i="9"/>
  <c r="E807" i="9"/>
  <c r="E808" i="9"/>
  <c r="E809" i="9"/>
  <c r="E810" i="9"/>
  <c r="E811" i="9"/>
  <c r="E812" i="9"/>
  <c r="E813" i="9"/>
  <c r="E814" i="9"/>
  <c r="E815" i="9"/>
  <c r="E816" i="9"/>
  <c r="E817" i="9"/>
  <c r="E818" i="9"/>
  <c r="E819" i="9"/>
  <c r="E820" i="9"/>
  <c r="E821" i="9"/>
  <c r="E822" i="9"/>
  <c r="E823" i="9"/>
  <c r="E824" i="9"/>
  <c r="E825" i="9"/>
  <c r="E826" i="9"/>
  <c r="E827" i="9"/>
  <c r="E828" i="9"/>
  <c r="E829" i="9"/>
  <c r="E830" i="9"/>
  <c r="E831" i="9"/>
  <c r="E832" i="9"/>
  <c r="E833" i="9"/>
  <c r="E834" i="9"/>
  <c r="E835" i="9"/>
  <c r="E836" i="9"/>
  <c r="E837" i="9"/>
  <c r="E838" i="9"/>
  <c r="E839" i="9"/>
  <c r="E840" i="9"/>
  <c r="E841" i="9"/>
  <c r="E842" i="9"/>
  <c r="E843" i="9"/>
  <c r="E844" i="9"/>
  <c r="E845" i="9"/>
  <c r="E846" i="9"/>
  <c r="E847" i="9"/>
  <c r="E848" i="9"/>
  <c r="E849" i="9"/>
  <c r="E850" i="9"/>
  <c r="E851" i="9"/>
  <c r="E852" i="9"/>
  <c r="E853" i="9"/>
  <c r="E854" i="9"/>
  <c r="E855" i="9"/>
  <c r="E856" i="9"/>
  <c r="E857" i="9"/>
  <c r="E858" i="9"/>
  <c r="E859" i="9"/>
  <c r="E860" i="9"/>
  <c r="E861" i="9"/>
  <c r="E862" i="9"/>
  <c r="E863" i="9"/>
  <c r="E864" i="9"/>
  <c r="E865" i="9"/>
  <c r="E866" i="9"/>
  <c r="E867" i="9"/>
  <c r="E868" i="9"/>
  <c r="E869" i="9"/>
  <c r="E870" i="9"/>
  <c r="E871" i="9"/>
  <c r="E872" i="9"/>
  <c r="E873" i="9"/>
  <c r="E874" i="9"/>
  <c r="E875" i="9"/>
  <c r="E876" i="9"/>
  <c r="E877" i="9"/>
  <c r="E878" i="9"/>
  <c r="E879" i="9"/>
  <c r="E880" i="9"/>
  <c r="E881" i="9"/>
  <c r="E882" i="9"/>
  <c r="E883" i="9"/>
  <c r="E884" i="9"/>
  <c r="E885" i="9"/>
  <c r="E886" i="9"/>
  <c r="E887" i="9"/>
  <c r="E888" i="9"/>
  <c r="E889" i="9"/>
  <c r="E890" i="9"/>
  <c r="E891" i="9"/>
  <c r="E892" i="9"/>
  <c r="E893" i="9"/>
  <c r="E894" i="9"/>
  <c r="E895" i="9"/>
  <c r="E896" i="9"/>
  <c r="E897" i="9"/>
  <c r="E898" i="9"/>
  <c r="E899" i="9"/>
  <c r="E900" i="9"/>
  <c r="E901" i="9"/>
  <c r="E902" i="9"/>
  <c r="E903" i="9"/>
  <c r="E904" i="9"/>
  <c r="E905" i="9"/>
  <c r="E906" i="9"/>
  <c r="E907" i="9"/>
  <c r="E908" i="9"/>
  <c r="E909" i="9"/>
  <c r="E910" i="9"/>
  <c r="E911" i="9"/>
  <c r="E912" i="9"/>
  <c r="E913" i="9"/>
  <c r="E914" i="9"/>
  <c r="E915" i="9"/>
  <c r="E916" i="9"/>
  <c r="E917" i="9"/>
  <c r="E918" i="9"/>
  <c r="E919" i="9"/>
  <c r="E920" i="9"/>
  <c r="E921" i="9"/>
  <c r="E922" i="9"/>
  <c r="E923" i="9"/>
  <c r="E924" i="9"/>
  <c r="E925" i="9"/>
  <c r="E926" i="9"/>
  <c r="E927" i="9"/>
  <c r="E928" i="9"/>
  <c r="E929" i="9"/>
  <c r="E930" i="9"/>
  <c r="E931" i="9"/>
  <c r="E932" i="9"/>
  <c r="E933" i="9"/>
  <c r="E934" i="9"/>
  <c r="E935" i="9"/>
  <c r="E936" i="9"/>
  <c r="E937" i="9"/>
  <c r="E938" i="9"/>
  <c r="E939" i="9"/>
  <c r="E940" i="9"/>
  <c r="E941" i="9"/>
  <c r="E942" i="9"/>
  <c r="E943" i="9"/>
  <c r="E944" i="9"/>
  <c r="E945" i="9"/>
  <c r="E946" i="9"/>
  <c r="E947" i="9"/>
  <c r="E948" i="9"/>
  <c r="E949" i="9"/>
  <c r="E950" i="9"/>
  <c r="E951" i="9"/>
  <c r="E952" i="9"/>
  <c r="E953" i="9"/>
  <c r="E954" i="9"/>
  <c r="E955" i="9"/>
  <c r="E956" i="9"/>
  <c r="E957" i="9"/>
  <c r="E958" i="9"/>
  <c r="E959" i="9"/>
  <c r="E960" i="9"/>
  <c r="E961" i="9"/>
  <c r="E962" i="9"/>
  <c r="E963" i="9"/>
  <c r="E964" i="9"/>
  <c r="E965" i="9"/>
  <c r="E966" i="9"/>
  <c r="E967" i="9"/>
  <c r="E968" i="9"/>
  <c r="E969" i="9"/>
  <c r="E970" i="9"/>
  <c r="E971" i="9"/>
  <c r="E972" i="9"/>
  <c r="E973" i="9"/>
  <c r="E974" i="9"/>
  <c r="E975" i="9"/>
  <c r="E976" i="9"/>
  <c r="E977" i="9"/>
  <c r="E978" i="9"/>
  <c r="E979" i="9"/>
  <c r="E980" i="9"/>
  <c r="E981" i="9"/>
  <c r="E982" i="9"/>
  <c r="E983" i="9"/>
  <c r="E984" i="9"/>
  <c r="E985" i="9"/>
  <c r="E986" i="9"/>
  <c r="E987" i="9"/>
  <c r="E988" i="9"/>
  <c r="E989" i="9"/>
  <c r="E990" i="9"/>
  <c r="E991" i="9"/>
  <c r="E992" i="9"/>
  <c r="E993" i="9"/>
  <c r="E994" i="9"/>
  <c r="E995" i="9"/>
  <c r="E996" i="9"/>
  <c r="E997" i="9"/>
  <c r="E998" i="9"/>
  <c r="E999" i="9"/>
  <c r="E1000" i="9"/>
  <c r="E1001" i="9"/>
  <c r="E1002" i="9"/>
  <c r="E1003" i="9"/>
  <c r="E1004" i="9"/>
  <c r="E1005" i="9"/>
  <c r="E1006" i="9"/>
  <c r="E1007" i="9"/>
  <c r="E1008" i="9"/>
  <c r="E1009" i="9"/>
  <c r="E1010" i="9"/>
  <c r="E1011" i="9"/>
  <c r="E1012" i="9"/>
  <c r="E1013" i="9"/>
  <c r="E1014" i="9"/>
  <c r="E1015" i="9"/>
  <c r="E1016" i="9"/>
  <c r="E1017" i="9"/>
  <c r="E1018" i="9"/>
  <c r="E1019" i="9"/>
  <c r="E1020" i="9"/>
  <c r="E1021" i="9"/>
  <c r="E1022" i="9"/>
  <c r="E1023" i="9"/>
  <c r="E1024" i="9"/>
  <c r="E1025" i="9"/>
  <c r="E1026" i="9"/>
  <c r="E1027" i="9"/>
  <c r="E1028" i="9"/>
  <c r="E1029" i="9"/>
  <c r="E1030" i="9"/>
  <c r="E1031" i="9"/>
  <c r="E1032" i="9"/>
  <c r="E1033" i="9"/>
  <c r="E1034" i="9"/>
  <c r="E1035" i="9"/>
  <c r="E1036" i="9"/>
  <c r="E1037" i="9"/>
  <c r="E1038" i="9"/>
  <c r="E1039" i="9"/>
  <c r="E1040" i="9"/>
  <c r="E1041" i="9"/>
  <c r="E1042" i="9"/>
  <c r="E1043" i="9"/>
  <c r="E1044" i="9"/>
  <c r="E1045" i="9"/>
  <c r="E1046" i="9"/>
  <c r="E1047" i="9"/>
  <c r="E1048" i="9"/>
  <c r="E1049" i="9"/>
  <c r="E1050" i="9"/>
  <c r="E1051" i="9"/>
  <c r="E1052" i="9"/>
  <c r="E1053" i="9"/>
  <c r="E1054" i="9"/>
  <c r="E1055" i="9"/>
  <c r="E1056" i="9"/>
  <c r="E1057" i="9"/>
  <c r="E1058" i="9"/>
  <c r="E1059" i="9"/>
  <c r="E1060" i="9"/>
  <c r="E1061" i="9"/>
  <c r="E1062" i="9"/>
  <c r="E1063" i="9"/>
  <c r="E1064" i="9"/>
  <c r="E1065" i="9"/>
  <c r="E1066" i="9"/>
  <c r="E1067" i="9"/>
  <c r="E1068" i="9"/>
  <c r="E1069" i="9"/>
  <c r="E1070" i="9"/>
  <c r="E1071" i="9"/>
  <c r="E1072" i="9"/>
  <c r="E1073" i="9"/>
  <c r="E1074" i="9"/>
  <c r="E1075" i="9"/>
  <c r="E1076" i="9"/>
  <c r="E1077" i="9"/>
  <c r="E1078" i="9"/>
  <c r="E1079" i="9"/>
  <c r="E1080" i="9"/>
  <c r="E1081" i="9"/>
  <c r="E1082" i="9"/>
  <c r="E1083" i="9"/>
  <c r="E1084" i="9"/>
  <c r="E1085" i="9"/>
  <c r="E1086" i="9"/>
  <c r="E1087" i="9"/>
  <c r="E1088" i="9"/>
  <c r="E1089" i="9"/>
  <c r="E1090" i="9"/>
  <c r="E1091" i="9"/>
  <c r="E1092" i="9"/>
  <c r="E1093" i="9"/>
  <c r="E1094" i="9"/>
  <c r="E1095" i="9"/>
  <c r="E1096" i="9"/>
  <c r="E1097" i="9"/>
  <c r="E1098" i="9"/>
  <c r="E1099" i="9"/>
  <c r="E1100" i="9"/>
  <c r="E1101" i="9"/>
  <c r="E1102" i="9"/>
  <c r="E1103" i="9"/>
  <c r="E1104" i="9"/>
  <c r="E1105" i="9"/>
  <c r="E1106" i="9"/>
  <c r="E1107" i="9"/>
  <c r="E1108" i="9"/>
  <c r="E1109" i="9"/>
  <c r="E1110" i="9"/>
  <c r="E1111" i="9"/>
  <c r="E1112" i="9"/>
  <c r="E1113" i="9"/>
  <c r="E1114" i="9"/>
  <c r="E1115" i="9"/>
  <c r="E1116" i="9"/>
  <c r="E1117" i="9"/>
  <c r="E1118" i="9"/>
  <c r="E1119" i="9"/>
  <c r="E1120" i="9"/>
  <c r="E1121" i="9"/>
  <c r="E1122" i="9"/>
  <c r="E1123" i="9"/>
  <c r="E1124" i="9"/>
  <c r="E1125" i="9"/>
  <c r="E1126" i="9"/>
  <c r="E1127" i="9"/>
  <c r="E1128" i="9"/>
  <c r="E1129" i="9"/>
  <c r="E1130" i="9"/>
  <c r="E1131" i="9"/>
  <c r="E1132" i="9"/>
  <c r="E1133" i="9"/>
  <c r="E1134" i="9"/>
  <c r="E1135" i="9"/>
  <c r="E1136" i="9"/>
  <c r="E1137" i="9"/>
  <c r="E1138" i="9"/>
  <c r="E1139" i="9"/>
  <c r="E1140" i="9"/>
  <c r="E1141" i="9"/>
  <c r="E1142" i="9"/>
  <c r="E1143" i="9"/>
  <c r="E1144" i="9"/>
  <c r="E1145" i="9"/>
  <c r="E1146" i="9"/>
  <c r="E1147" i="9"/>
  <c r="E1148" i="9"/>
  <c r="E1149" i="9"/>
  <c r="E1150" i="9"/>
  <c r="E1151" i="9"/>
  <c r="E1152" i="9"/>
  <c r="E1153" i="9"/>
  <c r="E1154" i="9"/>
  <c r="E1155" i="9"/>
  <c r="E1156" i="9"/>
  <c r="E1157" i="9"/>
  <c r="E1158" i="9"/>
  <c r="E1159" i="9"/>
  <c r="E1160" i="9"/>
  <c r="E1161" i="9"/>
  <c r="E1162" i="9"/>
  <c r="E1163" i="9"/>
  <c r="E1164" i="9"/>
  <c r="E1165" i="9"/>
  <c r="E1166" i="9"/>
  <c r="E1167" i="9"/>
  <c r="E1168" i="9"/>
  <c r="E1169" i="9"/>
  <c r="E1170" i="9"/>
  <c r="E1171" i="9"/>
  <c r="E1172" i="9"/>
  <c r="E1173" i="9"/>
  <c r="E1174" i="9"/>
  <c r="E1175" i="9"/>
  <c r="E1176" i="9"/>
  <c r="E1177" i="9"/>
  <c r="E1178" i="9"/>
  <c r="E1179" i="9"/>
  <c r="E1180" i="9"/>
  <c r="E1181" i="9"/>
  <c r="E1182" i="9"/>
  <c r="E1183" i="9"/>
  <c r="E1184" i="9"/>
  <c r="E1185" i="9"/>
  <c r="E1186" i="9"/>
  <c r="E1187" i="9"/>
  <c r="E1188" i="9"/>
  <c r="E1189" i="9"/>
  <c r="E1190" i="9"/>
  <c r="E1191" i="9"/>
  <c r="E1192" i="9"/>
  <c r="E1193" i="9"/>
  <c r="E1194" i="9"/>
  <c r="E1195" i="9"/>
  <c r="E1196" i="9"/>
  <c r="E1197" i="9"/>
  <c r="E1198" i="9"/>
  <c r="E1199" i="9"/>
  <c r="E1200" i="9"/>
  <c r="E1201" i="9"/>
  <c r="E1202" i="9"/>
  <c r="E1203" i="9"/>
  <c r="E1204" i="9"/>
  <c r="E1205" i="9"/>
  <c r="E1206" i="9"/>
  <c r="E1207" i="9"/>
  <c r="E1208" i="9"/>
  <c r="E1209" i="9"/>
  <c r="E1210" i="9"/>
  <c r="E1211" i="9"/>
  <c r="E1212" i="9"/>
  <c r="E1213" i="9"/>
  <c r="E1214" i="9"/>
  <c r="E1215" i="9"/>
  <c r="E1216" i="9"/>
  <c r="E1217" i="9"/>
  <c r="E1218" i="9"/>
  <c r="E1219" i="9"/>
  <c r="E1220" i="9"/>
  <c r="E1221" i="9"/>
  <c r="E1222" i="9"/>
  <c r="E1223" i="9"/>
  <c r="E1224" i="9"/>
  <c r="E1225" i="9"/>
  <c r="E1226" i="9"/>
  <c r="E1227" i="9"/>
  <c r="E1228" i="9"/>
  <c r="E1229" i="9"/>
  <c r="E1230" i="9"/>
  <c r="E1231" i="9"/>
  <c r="E1232" i="9"/>
  <c r="E1233" i="9"/>
  <c r="E1234" i="9"/>
  <c r="E1235" i="9"/>
  <c r="E1236" i="9"/>
  <c r="E1237" i="9"/>
  <c r="E1238" i="9"/>
  <c r="E1239" i="9"/>
  <c r="E1240" i="9"/>
  <c r="E1241" i="9"/>
  <c r="E1242" i="9"/>
  <c r="E1243" i="9"/>
  <c r="E1244" i="9"/>
  <c r="E1245" i="9"/>
  <c r="E1246" i="9"/>
  <c r="E1247" i="9"/>
  <c r="E1248" i="9"/>
  <c r="E1249" i="9"/>
  <c r="E1250" i="9"/>
  <c r="E1251" i="9"/>
  <c r="E1252" i="9"/>
  <c r="E1253" i="9"/>
  <c r="E1254" i="9"/>
  <c r="E1255" i="9"/>
  <c r="E1256" i="9"/>
  <c r="E1257" i="9"/>
  <c r="E1258" i="9"/>
  <c r="E1259" i="9"/>
  <c r="E1260" i="9"/>
  <c r="E1261" i="9"/>
  <c r="E1262" i="9"/>
  <c r="E1263" i="9"/>
  <c r="E1264" i="9"/>
  <c r="E1265" i="9"/>
  <c r="E1266" i="9"/>
  <c r="E1267" i="9"/>
  <c r="E1268" i="9"/>
  <c r="E1269" i="9"/>
  <c r="E1270" i="9"/>
  <c r="E1271" i="9"/>
  <c r="E1272" i="9"/>
  <c r="E1273" i="9"/>
  <c r="E1274" i="9"/>
  <c r="E1275" i="9"/>
  <c r="E1276" i="9"/>
  <c r="E1277" i="9"/>
  <c r="E1278" i="9"/>
  <c r="E1279" i="9"/>
  <c r="E1280" i="9"/>
  <c r="E1281" i="9"/>
  <c r="E1282" i="9"/>
  <c r="E1283" i="9"/>
  <c r="E1284" i="9"/>
  <c r="E1285" i="9"/>
  <c r="E1286" i="9"/>
  <c r="E1287" i="9"/>
  <c r="E1288" i="9"/>
  <c r="E1289" i="9"/>
  <c r="E1290" i="9"/>
  <c r="E1291" i="9"/>
  <c r="E1292" i="9"/>
  <c r="E1293" i="9"/>
  <c r="E1294" i="9"/>
  <c r="E1295" i="9"/>
  <c r="E1296" i="9"/>
  <c r="E1297" i="9"/>
  <c r="E1298" i="9"/>
  <c r="E1299" i="9"/>
  <c r="E1300" i="9"/>
  <c r="E1301" i="9"/>
  <c r="E1302" i="9"/>
  <c r="E1303" i="9"/>
  <c r="E1304" i="9"/>
  <c r="E1305" i="9"/>
  <c r="E1306" i="9"/>
  <c r="E1307" i="9"/>
  <c r="E1308" i="9"/>
  <c r="E1309" i="9"/>
  <c r="E1310" i="9"/>
  <c r="E1311" i="9"/>
  <c r="E1312" i="9"/>
  <c r="E1313" i="9"/>
  <c r="E1314" i="9"/>
  <c r="E1315" i="9"/>
  <c r="E1316" i="9"/>
  <c r="E1317" i="9"/>
  <c r="E1318" i="9"/>
  <c r="E1319" i="9"/>
  <c r="E1320" i="9"/>
  <c r="E1321" i="9"/>
  <c r="E1322" i="9"/>
  <c r="E1323" i="9"/>
  <c r="E1324" i="9"/>
  <c r="E1325" i="9"/>
  <c r="E1326" i="9"/>
  <c r="E1327" i="9"/>
  <c r="E1328" i="9"/>
  <c r="E1329" i="9"/>
  <c r="E1330" i="9"/>
  <c r="E1331" i="9"/>
  <c r="E1332" i="9"/>
  <c r="E1333" i="9"/>
  <c r="E1334" i="9"/>
  <c r="E1335" i="9"/>
  <c r="E1336" i="9"/>
  <c r="E1337" i="9"/>
  <c r="E1338" i="9"/>
  <c r="E1339" i="9"/>
  <c r="E1340" i="9"/>
  <c r="E1341" i="9"/>
  <c r="E1342" i="9"/>
  <c r="E1343" i="9"/>
  <c r="E1344" i="9"/>
  <c r="E1345" i="9"/>
  <c r="E1346" i="9"/>
  <c r="E1347" i="9"/>
  <c r="E1348" i="9"/>
  <c r="E1349" i="9"/>
  <c r="E1350" i="9"/>
  <c r="E1351" i="9"/>
  <c r="E1352" i="9"/>
  <c r="E1353" i="9"/>
  <c r="E1354" i="9"/>
  <c r="E1355" i="9"/>
  <c r="E1356" i="9"/>
  <c r="E1357" i="9"/>
  <c r="E1358" i="9"/>
  <c r="E1359" i="9"/>
  <c r="E1360" i="9"/>
  <c r="E1361" i="9"/>
  <c r="E1362" i="9"/>
  <c r="E1363" i="9"/>
  <c r="E1364" i="9"/>
  <c r="E1365" i="9"/>
  <c r="E1366" i="9"/>
  <c r="E1367" i="9"/>
  <c r="E1368" i="9"/>
  <c r="E1369" i="9"/>
  <c r="E1370" i="9"/>
  <c r="E1371" i="9"/>
  <c r="E1372" i="9"/>
  <c r="E1373" i="9"/>
  <c r="E1374" i="9"/>
  <c r="E1375" i="9"/>
  <c r="E1376" i="9"/>
  <c r="E1377" i="9"/>
  <c r="E1378" i="9"/>
  <c r="E1379" i="9"/>
  <c r="E1380" i="9"/>
  <c r="E1381" i="9"/>
  <c r="E1382" i="9"/>
  <c r="E1383" i="9"/>
  <c r="E1384" i="9"/>
  <c r="E1385" i="9"/>
  <c r="E1386" i="9"/>
  <c r="E1387" i="9"/>
  <c r="E1388" i="9"/>
  <c r="E1389" i="9"/>
  <c r="E1390" i="9"/>
  <c r="E1391" i="9"/>
  <c r="E1392" i="9"/>
  <c r="E1393" i="9"/>
  <c r="E1394" i="9"/>
  <c r="E1395" i="9"/>
  <c r="E1396" i="9"/>
  <c r="E1397" i="9"/>
  <c r="E1398" i="9"/>
  <c r="E1399" i="9"/>
  <c r="E1400" i="9"/>
  <c r="E1401" i="9"/>
  <c r="E1402" i="9"/>
  <c r="E1403" i="9"/>
  <c r="E1404" i="9"/>
  <c r="E1405" i="9"/>
  <c r="E1406" i="9"/>
  <c r="E1407" i="9"/>
  <c r="E1408" i="9"/>
  <c r="E1409" i="9"/>
  <c r="E1410" i="9"/>
  <c r="E1411" i="9"/>
  <c r="E1412" i="9"/>
  <c r="E1413" i="9"/>
  <c r="E1414" i="9"/>
  <c r="E1415" i="9"/>
  <c r="E1416" i="9"/>
  <c r="E1417" i="9"/>
  <c r="E1418" i="9"/>
  <c r="E1419" i="9"/>
  <c r="E1420" i="9"/>
  <c r="E1421" i="9"/>
  <c r="E1422" i="9"/>
  <c r="E1423" i="9"/>
  <c r="E1424" i="9"/>
  <c r="E1425" i="9"/>
  <c r="E1426" i="9"/>
  <c r="E1427" i="9"/>
  <c r="E1428" i="9"/>
  <c r="E1429" i="9"/>
  <c r="E1430" i="9"/>
  <c r="E1431" i="9"/>
  <c r="E1432" i="9"/>
  <c r="E1433" i="9"/>
  <c r="E1434" i="9"/>
  <c r="E1435" i="9"/>
  <c r="E1436" i="9"/>
  <c r="E1437" i="9"/>
  <c r="E1438" i="9"/>
  <c r="E1439" i="9"/>
  <c r="E1440" i="9"/>
  <c r="E1441" i="9"/>
  <c r="E1442" i="9"/>
  <c r="E1443" i="9"/>
  <c r="E1444" i="9"/>
  <c r="E1445" i="9"/>
  <c r="E1446" i="9"/>
  <c r="E1447" i="9"/>
  <c r="E1448" i="9"/>
  <c r="E1449" i="9"/>
  <c r="E1450" i="9"/>
  <c r="E1451" i="9"/>
  <c r="E1452" i="9"/>
  <c r="E1453" i="9"/>
  <c r="E1454" i="9"/>
  <c r="E1455" i="9"/>
  <c r="E1456" i="9"/>
  <c r="E1457" i="9"/>
  <c r="E1458" i="9"/>
  <c r="E1459" i="9"/>
  <c r="E1460" i="9"/>
  <c r="E1461" i="9"/>
  <c r="E1462" i="9"/>
  <c r="E1463" i="9"/>
  <c r="E1464" i="9"/>
  <c r="E1465" i="9"/>
  <c r="E1466" i="9"/>
  <c r="E1467" i="9"/>
  <c r="E1468" i="9"/>
  <c r="E1469" i="9"/>
  <c r="E1470" i="9"/>
  <c r="E1471" i="9"/>
  <c r="E1472" i="9"/>
  <c r="E1473" i="9"/>
  <c r="E1474" i="9"/>
  <c r="E1475" i="9"/>
  <c r="E1476" i="9"/>
  <c r="E1477" i="9"/>
  <c r="E1478" i="9"/>
  <c r="E1479" i="9"/>
  <c r="E1480" i="9"/>
  <c r="E1481" i="9"/>
  <c r="E1482" i="9"/>
  <c r="E1483" i="9"/>
  <c r="E1484" i="9"/>
  <c r="E1485" i="9"/>
  <c r="E1486" i="9"/>
  <c r="E1487" i="9"/>
  <c r="E1488" i="9"/>
  <c r="E1489" i="9"/>
  <c r="E1490" i="9"/>
  <c r="E1491" i="9"/>
  <c r="E1492" i="9"/>
  <c r="E1493" i="9"/>
  <c r="E1494" i="9"/>
  <c r="E1495" i="9"/>
  <c r="E1496" i="9"/>
  <c r="E1497" i="9"/>
  <c r="E1498" i="9"/>
  <c r="E1499" i="9"/>
  <c r="E1500" i="9"/>
  <c r="E1501" i="9"/>
  <c r="E1502" i="9"/>
  <c r="E1503" i="9"/>
  <c r="E1504" i="9"/>
  <c r="E1505" i="9"/>
  <c r="E1506" i="9"/>
  <c r="E1507" i="9"/>
  <c r="E1508" i="9"/>
  <c r="E1509" i="9"/>
  <c r="E1510" i="9"/>
  <c r="E1511" i="9"/>
  <c r="E1512" i="9"/>
  <c r="E1513" i="9"/>
  <c r="E1514" i="9"/>
  <c r="E1515" i="9"/>
  <c r="E1516" i="9"/>
  <c r="E1517" i="9"/>
  <c r="E1518" i="9"/>
  <c r="E1519" i="9"/>
  <c r="E1520" i="9"/>
  <c r="E1521" i="9"/>
  <c r="E1522" i="9"/>
  <c r="E1523" i="9"/>
  <c r="E1524" i="9"/>
  <c r="E1525" i="9"/>
  <c r="E1526" i="9"/>
  <c r="E1527" i="9"/>
  <c r="E1528" i="9"/>
  <c r="E1529" i="9"/>
  <c r="E1530" i="9"/>
  <c r="E1531" i="9"/>
  <c r="E1532" i="9"/>
  <c r="E1533" i="9"/>
  <c r="E1534" i="9"/>
  <c r="E1535" i="9"/>
  <c r="E1536" i="9"/>
  <c r="E1537" i="9"/>
  <c r="E1538" i="9"/>
  <c r="E1539" i="9"/>
  <c r="E1540" i="9"/>
  <c r="E1541" i="9"/>
  <c r="E1542" i="9"/>
  <c r="E1543" i="9"/>
  <c r="E1544" i="9"/>
  <c r="E1545" i="9"/>
  <c r="E1546" i="9"/>
  <c r="E1547" i="9"/>
  <c r="E1548" i="9"/>
  <c r="E1549" i="9"/>
  <c r="E1550" i="9"/>
  <c r="E1551" i="9"/>
  <c r="E1552" i="9"/>
  <c r="E1553" i="9"/>
  <c r="E1554" i="9"/>
  <c r="E1555" i="9"/>
  <c r="E1556" i="9"/>
  <c r="E1557" i="9"/>
  <c r="E1558" i="9"/>
  <c r="E1559" i="9"/>
  <c r="E1560" i="9"/>
  <c r="E1561" i="9"/>
  <c r="E1562" i="9"/>
  <c r="E1563" i="9"/>
  <c r="E1564" i="9"/>
  <c r="E1565" i="9"/>
  <c r="E1566" i="9"/>
  <c r="E1567" i="9"/>
  <c r="E1568" i="9"/>
  <c r="E1569" i="9"/>
  <c r="E1570" i="9"/>
  <c r="E1571" i="9"/>
  <c r="E1572" i="9"/>
  <c r="E1573" i="9"/>
  <c r="E1574" i="9"/>
  <c r="E1575" i="9"/>
  <c r="E1576" i="9"/>
  <c r="E1577" i="9"/>
  <c r="E1578" i="9"/>
  <c r="E1579" i="9"/>
  <c r="E1580" i="9"/>
  <c r="E1581" i="9"/>
  <c r="E1582" i="9"/>
  <c r="E1583" i="9"/>
  <c r="E1584" i="9"/>
  <c r="E1585" i="9"/>
  <c r="E1586" i="9"/>
  <c r="E1587" i="9"/>
  <c r="E1588" i="9"/>
  <c r="E1589" i="9"/>
  <c r="E1590" i="9"/>
  <c r="E1591" i="9"/>
  <c r="E1592" i="9"/>
  <c r="E1593" i="9"/>
  <c r="E1594" i="9"/>
  <c r="E1595" i="9"/>
  <c r="E1596" i="9"/>
  <c r="E1597" i="9"/>
  <c r="E1598" i="9"/>
  <c r="E1599" i="9"/>
  <c r="E1600" i="9"/>
  <c r="E1601" i="9"/>
  <c r="E1602" i="9"/>
  <c r="E1603" i="9"/>
  <c r="E1604" i="9"/>
  <c r="E1605" i="9"/>
  <c r="E1606" i="9"/>
  <c r="E1607" i="9"/>
  <c r="E1608" i="9"/>
  <c r="E1609" i="9"/>
  <c r="E1610" i="9"/>
  <c r="E1611" i="9"/>
  <c r="E1612" i="9"/>
  <c r="E1613" i="9"/>
  <c r="E1614" i="9"/>
  <c r="E1615" i="9"/>
  <c r="E1616" i="9"/>
  <c r="E1617" i="9"/>
  <c r="E1618" i="9"/>
  <c r="E1619" i="9"/>
  <c r="E1620" i="9"/>
  <c r="E1621" i="9"/>
  <c r="E1622" i="9"/>
  <c r="E1623" i="9"/>
  <c r="E1624" i="9"/>
  <c r="E1625" i="9"/>
  <c r="E1626" i="9"/>
  <c r="E1627" i="9"/>
  <c r="E1628" i="9"/>
  <c r="E1629" i="9"/>
  <c r="E1630" i="9"/>
  <c r="E1631" i="9"/>
  <c r="E1632" i="9"/>
  <c r="E1633" i="9"/>
  <c r="E1634" i="9"/>
  <c r="E1635" i="9"/>
  <c r="E1636" i="9"/>
  <c r="E1637" i="9"/>
  <c r="E1638" i="9"/>
  <c r="E1639" i="9"/>
  <c r="E1640" i="9"/>
  <c r="E1641" i="9"/>
  <c r="E1642" i="9"/>
  <c r="E1643" i="9"/>
  <c r="E1644" i="9"/>
  <c r="E1645" i="9"/>
  <c r="E1646" i="9"/>
  <c r="E1647" i="9"/>
  <c r="E1648" i="9"/>
  <c r="E1649" i="9"/>
  <c r="E1650" i="9"/>
  <c r="E1651" i="9"/>
  <c r="E1652" i="9"/>
  <c r="E1653" i="9"/>
  <c r="E1654" i="9"/>
  <c r="E1655" i="9"/>
  <c r="E1656" i="9"/>
  <c r="E1657" i="9"/>
  <c r="E1658" i="9"/>
  <c r="E1659" i="9"/>
  <c r="E1660" i="9"/>
  <c r="E1661" i="9"/>
  <c r="E1662" i="9"/>
  <c r="E1663" i="9"/>
  <c r="E1664" i="9"/>
  <c r="E1665" i="9"/>
  <c r="E1666" i="9"/>
  <c r="E1667" i="9"/>
  <c r="E1668" i="9"/>
  <c r="E1669" i="9"/>
  <c r="E1670" i="9"/>
  <c r="E1671" i="9"/>
  <c r="E1672" i="9"/>
  <c r="E1673" i="9"/>
  <c r="E1674" i="9"/>
  <c r="E1675" i="9"/>
  <c r="E1676" i="9"/>
  <c r="E1677" i="9"/>
  <c r="E1678" i="9"/>
  <c r="E1679" i="9"/>
  <c r="E1680" i="9"/>
  <c r="E1681" i="9"/>
  <c r="E1682" i="9"/>
  <c r="E1683" i="9"/>
  <c r="E1684" i="9"/>
  <c r="E1685" i="9"/>
  <c r="E1686" i="9"/>
  <c r="E1687" i="9"/>
  <c r="E1688" i="9"/>
  <c r="E1689" i="9"/>
  <c r="E1690" i="9"/>
  <c r="E1691" i="9"/>
  <c r="E1692" i="9"/>
  <c r="E1693" i="9"/>
  <c r="E1694" i="9"/>
  <c r="E1695" i="9"/>
  <c r="E1696" i="9"/>
  <c r="E1697" i="9"/>
  <c r="E1698" i="9"/>
  <c r="E1699" i="9"/>
  <c r="E1700" i="9"/>
  <c r="E1701" i="9"/>
  <c r="E1702" i="9"/>
  <c r="E1703" i="9"/>
  <c r="E1704" i="9"/>
  <c r="E1705" i="9"/>
  <c r="E1706" i="9"/>
  <c r="E1707" i="9"/>
  <c r="E1708" i="9"/>
  <c r="E1709" i="9"/>
  <c r="E1710" i="9"/>
  <c r="E1711" i="9"/>
  <c r="E1712" i="9"/>
  <c r="E1713" i="9"/>
  <c r="E1714" i="9"/>
  <c r="E1715" i="9"/>
  <c r="E1716" i="9"/>
  <c r="E1717" i="9"/>
  <c r="E1718" i="9"/>
  <c r="E1719" i="9"/>
  <c r="E1720" i="9"/>
  <c r="E1721" i="9"/>
  <c r="E1722" i="9"/>
  <c r="E1723" i="9"/>
  <c r="E1724" i="9"/>
  <c r="E1725" i="9"/>
  <c r="E1726" i="9"/>
  <c r="E1727" i="9"/>
  <c r="E1728" i="9"/>
  <c r="E1729" i="9"/>
  <c r="E1730" i="9"/>
  <c r="E1731" i="9"/>
  <c r="E1732" i="9"/>
  <c r="E1733" i="9"/>
  <c r="E1734" i="9"/>
  <c r="E1735" i="9"/>
  <c r="E1736" i="9"/>
  <c r="E1737" i="9"/>
  <c r="E1738" i="9"/>
  <c r="E1739" i="9"/>
  <c r="E1740" i="9"/>
  <c r="E1741" i="9"/>
  <c r="E1742" i="9"/>
  <c r="E1743" i="9"/>
  <c r="E1744" i="9"/>
  <c r="E1745" i="9"/>
  <c r="E1746" i="9"/>
  <c r="E1747" i="9"/>
  <c r="E1748" i="9"/>
  <c r="E1749" i="9"/>
  <c r="E1750" i="9"/>
  <c r="E1751" i="9"/>
  <c r="E1752" i="9"/>
  <c r="E1753" i="9"/>
  <c r="E1754" i="9"/>
  <c r="E1755" i="9"/>
  <c r="E1756" i="9"/>
  <c r="E1757" i="9"/>
  <c r="E1758" i="9"/>
  <c r="E1759" i="9"/>
  <c r="E1760" i="9"/>
  <c r="E1761" i="9"/>
  <c r="E1762" i="9"/>
  <c r="E1763" i="9"/>
  <c r="E1764" i="9"/>
  <c r="E1765" i="9"/>
  <c r="E1766" i="9"/>
  <c r="E1767" i="9"/>
  <c r="E1768" i="9"/>
  <c r="E1769" i="9"/>
  <c r="E1770" i="9"/>
  <c r="E1771" i="9"/>
  <c r="E1772" i="9"/>
  <c r="E1773" i="9"/>
  <c r="E1774" i="9"/>
  <c r="E1775" i="9"/>
  <c r="E1776" i="9"/>
  <c r="E1777" i="9"/>
  <c r="E1778" i="9"/>
  <c r="E1779" i="9"/>
  <c r="E1780" i="9"/>
  <c r="E1781" i="9"/>
  <c r="E1782" i="9"/>
  <c r="E1783" i="9"/>
  <c r="E1784" i="9"/>
  <c r="E1785" i="9"/>
  <c r="E1786" i="9"/>
  <c r="E1787" i="9"/>
  <c r="E1788" i="9"/>
  <c r="E1789" i="9"/>
  <c r="E1790" i="9"/>
  <c r="E1791" i="9"/>
  <c r="E1792" i="9"/>
  <c r="E1793" i="9"/>
  <c r="E1794" i="9"/>
  <c r="E1795" i="9"/>
  <c r="E1796" i="9"/>
  <c r="E1797" i="9"/>
  <c r="E1798" i="9"/>
  <c r="E1799" i="9"/>
  <c r="E1800" i="9"/>
  <c r="E1801" i="9"/>
  <c r="E1802" i="9"/>
  <c r="E1803" i="9"/>
  <c r="E1804" i="9"/>
  <c r="E1805" i="9"/>
  <c r="E1806" i="9"/>
  <c r="E1807" i="9"/>
  <c r="E1808" i="9"/>
  <c r="E1809" i="9"/>
  <c r="E1810" i="9"/>
  <c r="E1811" i="9"/>
  <c r="E1812" i="9"/>
  <c r="E1813" i="9"/>
  <c r="E1814" i="9"/>
  <c r="E1815" i="9"/>
  <c r="E1816" i="9"/>
  <c r="E1817" i="9"/>
  <c r="E1818" i="9"/>
  <c r="E1819" i="9"/>
  <c r="E1820" i="9"/>
  <c r="E1821" i="9"/>
  <c r="E1822" i="9"/>
  <c r="E1823" i="9"/>
  <c r="E1824" i="9"/>
  <c r="E1825" i="9"/>
  <c r="E1826" i="9"/>
  <c r="E1827" i="9"/>
  <c r="E1828" i="9"/>
  <c r="E1829" i="9"/>
  <c r="E1830" i="9"/>
  <c r="E1831" i="9"/>
  <c r="E1832" i="9"/>
  <c r="E1833" i="9"/>
  <c r="E1834" i="9"/>
  <c r="E1835" i="9"/>
  <c r="E1836" i="9"/>
  <c r="E1837" i="9"/>
  <c r="E1838" i="9"/>
  <c r="E1839" i="9"/>
  <c r="E1840" i="9"/>
  <c r="E1841" i="9"/>
  <c r="E1842" i="9"/>
  <c r="E1843" i="9"/>
  <c r="E1844" i="9"/>
  <c r="E1845" i="9"/>
  <c r="E1846" i="9"/>
  <c r="E1847" i="9"/>
  <c r="E1848" i="9"/>
  <c r="E1849" i="9"/>
  <c r="E1850" i="9"/>
  <c r="E1851" i="9"/>
  <c r="E1852" i="9"/>
  <c r="E1853" i="9"/>
  <c r="E1854" i="9"/>
  <c r="E1855" i="9"/>
  <c r="E1856" i="9"/>
  <c r="E1857" i="9"/>
  <c r="E1858" i="9"/>
  <c r="E1859" i="9"/>
  <c r="E1860" i="9"/>
  <c r="E1861" i="9"/>
  <c r="E1862" i="9"/>
  <c r="E1863" i="9"/>
  <c r="E1864" i="9"/>
  <c r="E1865" i="9"/>
  <c r="E1866" i="9"/>
  <c r="E1867" i="9"/>
  <c r="E1868" i="9"/>
  <c r="E1869" i="9"/>
  <c r="E1870" i="9"/>
  <c r="E1871" i="9"/>
  <c r="E1872" i="9"/>
  <c r="E1873" i="9"/>
  <c r="E1874" i="9"/>
  <c r="E1875" i="9"/>
  <c r="E1876" i="9"/>
  <c r="E1877" i="9"/>
  <c r="E1878" i="9"/>
  <c r="E1879" i="9"/>
  <c r="E1880" i="9"/>
  <c r="E1881" i="9"/>
  <c r="E1882" i="9"/>
  <c r="E1883" i="9"/>
  <c r="E1884" i="9"/>
  <c r="E1885" i="9"/>
  <c r="E1886" i="9"/>
  <c r="E1887" i="9"/>
  <c r="E1888" i="9"/>
  <c r="E1889" i="9"/>
  <c r="E1890" i="9"/>
  <c r="E1891" i="9"/>
  <c r="E1892" i="9"/>
  <c r="E1893" i="9"/>
  <c r="E1894" i="9"/>
  <c r="E1895" i="9"/>
  <c r="E1896" i="9"/>
  <c r="E1897" i="9"/>
  <c r="E1898" i="9"/>
  <c r="E1899" i="9"/>
  <c r="E1900" i="9"/>
  <c r="E1901" i="9"/>
  <c r="E1902" i="9"/>
  <c r="E1903" i="9"/>
  <c r="E1904" i="9"/>
  <c r="E1905" i="9"/>
  <c r="E1906" i="9"/>
  <c r="E1907" i="9"/>
  <c r="E1908" i="9"/>
  <c r="E1909" i="9"/>
  <c r="E1910" i="9"/>
  <c r="E1911" i="9"/>
  <c r="E1912" i="9"/>
  <c r="E1913" i="9"/>
  <c r="E1914" i="9"/>
  <c r="E1915" i="9"/>
  <c r="E1916" i="9"/>
  <c r="E1917" i="9"/>
  <c r="E1918" i="9"/>
  <c r="E1919" i="9"/>
  <c r="E1920" i="9"/>
  <c r="E1921" i="9"/>
  <c r="E1922" i="9"/>
  <c r="E1923" i="9"/>
  <c r="E1924" i="9"/>
  <c r="E1925" i="9"/>
  <c r="E1926" i="9"/>
  <c r="E1927" i="9"/>
  <c r="E1928" i="9"/>
  <c r="E1929" i="9"/>
  <c r="E1930" i="9"/>
  <c r="E1931" i="9"/>
  <c r="E1932" i="9"/>
  <c r="E1933" i="9"/>
  <c r="E1934" i="9"/>
  <c r="E1935" i="9"/>
  <c r="E1936" i="9"/>
  <c r="E1937" i="9"/>
  <c r="E1938" i="9"/>
  <c r="E1939" i="9"/>
  <c r="E1940" i="9"/>
  <c r="E1941" i="9"/>
  <c r="E1942" i="9"/>
  <c r="E1943" i="9"/>
  <c r="E1944" i="9"/>
  <c r="E1945" i="9"/>
  <c r="E1946" i="9"/>
  <c r="E1947" i="9"/>
  <c r="E1948" i="9"/>
  <c r="E1949" i="9"/>
  <c r="E1950" i="9"/>
  <c r="E1951" i="9"/>
  <c r="E1952" i="9"/>
  <c r="E1953" i="9"/>
  <c r="E1954" i="9"/>
  <c r="E1955" i="9"/>
  <c r="E1956" i="9"/>
  <c r="E1957" i="9"/>
  <c r="E1958" i="9"/>
  <c r="E1959" i="9"/>
  <c r="E1960" i="9"/>
  <c r="E1961" i="9"/>
  <c r="E1962" i="9"/>
  <c r="E1963" i="9"/>
  <c r="E1964" i="9"/>
  <c r="E1965" i="9"/>
  <c r="E1966" i="9"/>
  <c r="E1967" i="9"/>
  <c r="E1968" i="9"/>
  <c r="E1969" i="9"/>
  <c r="E1970" i="9"/>
  <c r="E1971" i="9"/>
  <c r="E1972" i="9"/>
  <c r="E1973" i="9"/>
  <c r="E1974" i="9"/>
  <c r="E1975" i="9"/>
  <c r="E1976" i="9"/>
  <c r="E1977" i="9"/>
  <c r="E1978" i="9"/>
  <c r="E1979" i="9"/>
  <c r="E1980" i="9"/>
  <c r="E1981" i="9"/>
  <c r="E1982" i="9"/>
  <c r="E1983" i="9"/>
  <c r="E1984" i="9"/>
  <c r="E1985" i="9"/>
  <c r="E1986" i="9"/>
  <c r="E1987" i="9"/>
  <c r="E1988" i="9"/>
  <c r="E1989" i="9"/>
  <c r="E1990" i="9"/>
  <c r="E1991" i="9"/>
  <c r="E1992" i="9"/>
  <c r="E1993" i="9"/>
  <c r="E1994" i="9"/>
  <c r="E1995" i="9"/>
  <c r="E1996" i="9"/>
  <c r="E1997" i="9"/>
  <c r="E1998" i="9"/>
  <c r="E1999" i="9"/>
  <c r="E2000" i="9"/>
  <c r="E2" i="9"/>
  <c r="J2" i="9"/>
  <c r="I2" i="9" s="1"/>
  <c r="E3" i="12"/>
  <c r="E4" i="12"/>
  <c r="E5" i="12"/>
  <c r="E6" i="12"/>
  <c r="E7" i="12"/>
  <c r="E8" i="12"/>
  <c r="E9" i="12"/>
  <c r="E10" i="12"/>
  <c r="E11" i="12"/>
  <c r="E12" i="12"/>
  <c r="E13" i="12"/>
  <c r="E14" i="12"/>
  <c r="E15" i="12"/>
  <c r="E16" i="12"/>
  <c r="E17" i="12"/>
  <c r="E18" i="12"/>
  <c r="E19" i="12"/>
  <c r="E20" i="12"/>
  <c r="E21" i="12"/>
  <c r="E22" i="12"/>
  <c r="E23" i="12"/>
  <c r="E24" i="12"/>
  <c r="E25" i="12"/>
  <c r="E26" i="12"/>
  <c r="E27" i="12"/>
  <c r="E28"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2" i="12"/>
  <c r="L3" i="12"/>
  <c r="H4" i="12"/>
  <c r="HI201" i="15"/>
  <c r="HJ201" i="15"/>
  <c r="HK201" i="15"/>
  <c r="HL201" i="15"/>
  <c r="HM201" i="15"/>
  <c r="HN201" i="15"/>
  <c r="HO201" i="15"/>
  <c r="HP201" i="15"/>
  <c r="HQ201" i="15"/>
  <c r="HR201" i="15"/>
  <c r="HS201" i="15"/>
  <c r="HT201" i="15"/>
  <c r="HU201" i="15"/>
  <c r="HV201" i="15"/>
  <c r="HW201" i="15"/>
  <c r="HX201" i="15"/>
  <c r="HY201" i="15"/>
  <c r="HZ201" i="15"/>
  <c r="IA201" i="15"/>
  <c r="IB201" i="15"/>
  <c r="IC201" i="15"/>
  <c r="ID201" i="15"/>
  <c r="IE201" i="15"/>
  <c r="IF201" i="15"/>
  <c r="IG201" i="15"/>
  <c r="IH201" i="15"/>
  <c r="II201" i="15"/>
  <c r="IJ201" i="15"/>
  <c r="IK201" i="15"/>
  <c r="IL201" i="15"/>
  <c r="IM201" i="15"/>
  <c r="IN201" i="15"/>
  <c r="HI202" i="15"/>
  <c r="HJ202" i="15"/>
  <c r="HK202" i="15"/>
  <c r="HL202" i="15"/>
  <c r="HM202" i="15"/>
  <c r="HN202" i="15"/>
  <c r="HO202" i="15"/>
  <c r="HP202" i="15"/>
  <c r="HQ202" i="15"/>
  <c r="HR202" i="15"/>
  <c r="HS202" i="15"/>
  <c r="HT202" i="15"/>
  <c r="HU202" i="15"/>
  <c r="HV202" i="15"/>
  <c r="HW202" i="15"/>
  <c r="HX202" i="15"/>
  <c r="HY202" i="15"/>
  <c r="HZ202" i="15"/>
  <c r="IA202" i="15"/>
  <c r="IB202" i="15"/>
  <c r="IC202" i="15"/>
  <c r="ID202" i="15"/>
  <c r="IE202" i="15"/>
  <c r="IF202" i="15"/>
  <c r="IG202" i="15"/>
  <c r="IH202" i="15"/>
  <c r="II202" i="15"/>
  <c r="IJ202" i="15"/>
  <c r="IK202" i="15"/>
  <c r="IL202" i="15"/>
  <c r="IM202" i="15"/>
  <c r="IN202" i="15"/>
  <c r="HI203" i="15"/>
  <c r="HJ203" i="15"/>
  <c r="HK203" i="15"/>
  <c r="HL203" i="15"/>
  <c r="HM203" i="15"/>
  <c r="HN203" i="15"/>
  <c r="HO203" i="15"/>
  <c r="HP203" i="15"/>
  <c r="HQ203" i="15"/>
  <c r="HR203" i="15"/>
  <c r="HS203" i="15"/>
  <c r="HT203" i="15"/>
  <c r="HU203" i="15"/>
  <c r="HV203" i="15"/>
  <c r="HW203" i="15"/>
  <c r="HX203" i="15"/>
  <c r="HY203" i="15"/>
  <c r="HZ203" i="15"/>
  <c r="IA203" i="15"/>
  <c r="IB203" i="15"/>
  <c r="IC203" i="15"/>
  <c r="ID203" i="15"/>
  <c r="IE203" i="15"/>
  <c r="IF203" i="15"/>
  <c r="IG203" i="15"/>
  <c r="IH203" i="15"/>
  <c r="II203" i="15"/>
  <c r="IJ203" i="15"/>
  <c r="IK203" i="15"/>
  <c r="IL203" i="15"/>
  <c r="IM203" i="15"/>
  <c r="IN203" i="15"/>
  <c r="HI204" i="15"/>
  <c r="HJ204" i="15"/>
  <c r="HK204" i="15"/>
  <c r="HL204" i="15"/>
  <c r="HM204" i="15"/>
  <c r="HN204" i="15"/>
  <c r="HO204" i="15"/>
  <c r="HP204" i="15"/>
  <c r="HQ204" i="15"/>
  <c r="HR204" i="15"/>
  <c r="HS204" i="15"/>
  <c r="HT204" i="15"/>
  <c r="HU204" i="15"/>
  <c r="HV204" i="15"/>
  <c r="HW204" i="15"/>
  <c r="HX204" i="15"/>
  <c r="HY204" i="15"/>
  <c r="HZ204" i="15"/>
  <c r="IA204" i="15"/>
  <c r="IB204" i="15"/>
  <c r="IC204" i="15"/>
  <c r="ID204" i="15"/>
  <c r="IE204" i="15"/>
  <c r="IF204" i="15"/>
  <c r="IG204" i="15"/>
  <c r="IH204" i="15"/>
  <c r="II204" i="15"/>
  <c r="IJ204" i="15"/>
  <c r="IK204" i="15"/>
  <c r="IL204" i="15"/>
  <c r="IM204" i="15"/>
  <c r="IN204" i="15"/>
  <c r="HI205" i="15"/>
  <c r="HJ205" i="15"/>
  <c r="HK205" i="15"/>
  <c r="HL205" i="15"/>
  <c r="HM205" i="15"/>
  <c r="HN205" i="15"/>
  <c r="HO205" i="15"/>
  <c r="HP205" i="15"/>
  <c r="HQ205" i="15"/>
  <c r="HR205" i="15"/>
  <c r="HS205" i="15"/>
  <c r="HT205" i="15"/>
  <c r="HU205" i="15"/>
  <c r="HV205" i="15"/>
  <c r="HW205" i="15"/>
  <c r="HX205" i="15"/>
  <c r="HY205" i="15"/>
  <c r="HZ205" i="15"/>
  <c r="IA205" i="15"/>
  <c r="IB205" i="15"/>
  <c r="IC205" i="15"/>
  <c r="ID205" i="15"/>
  <c r="IE205" i="15"/>
  <c r="IF205" i="15"/>
  <c r="IG205" i="15"/>
  <c r="IH205" i="15"/>
  <c r="II205" i="15"/>
  <c r="IJ205" i="15"/>
  <c r="IK205" i="15"/>
  <c r="IL205" i="15"/>
  <c r="IM205" i="15"/>
  <c r="IN205" i="15"/>
  <c r="L13" i="20" l="1"/>
  <c r="O13" i="20" s="1" a="1"/>
  <c r="O13" i="20" s="1"/>
  <c r="L2" i="20"/>
  <c r="N275" i="20" a="1"/>
  <c r="N275" i="20" s="1"/>
  <c r="L275" i="20"/>
  <c r="M275" i="20" a="1"/>
  <c r="M275" i="20" s="1"/>
  <c r="M147" i="20" a="1"/>
  <c r="M147" i="20" s="1"/>
  <c r="N147" i="20" a="1"/>
  <c r="N147" i="20" s="1"/>
  <c r="L147" i="20"/>
  <c r="L186" i="20"/>
  <c r="M186" i="20" a="1"/>
  <c r="M186" i="20" s="1"/>
  <c r="N186" i="20" a="1"/>
  <c r="N186" i="20" s="1"/>
  <c r="M122" i="20" a="1"/>
  <c r="M122" i="20" s="1"/>
  <c r="L122" i="20"/>
  <c r="N122" i="20" a="1"/>
  <c r="N122" i="20" s="1"/>
  <c r="M58" i="20" a="1"/>
  <c r="M58" i="20" s="1"/>
  <c r="L58" i="20"/>
  <c r="O58" i="20" s="1" a="1"/>
  <c r="O58" i="20" s="1"/>
  <c r="N58" i="20" a="1"/>
  <c r="N58" i="20" s="1"/>
  <c r="M417" i="20" a="1"/>
  <c r="M417" i="20" s="1"/>
  <c r="L417" i="20"/>
  <c r="N417" i="20" a="1"/>
  <c r="N417" i="20" s="1"/>
  <c r="L353" i="20"/>
  <c r="N353" i="20" a="1"/>
  <c r="N353" i="20" s="1"/>
  <c r="M353" i="20" a="1"/>
  <c r="M353" i="20" s="1"/>
  <c r="L289" i="20"/>
  <c r="M289" i="20" a="1"/>
  <c r="M289" i="20" s="1"/>
  <c r="N289" i="20" a="1"/>
  <c r="N289" i="20" s="1"/>
  <c r="L225" i="20"/>
  <c r="N225" i="20" a="1"/>
  <c r="N225" i="20" s="1"/>
  <c r="M225" i="20" a="1"/>
  <c r="M225" i="20" s="1"/>
  <c r="L161" i="20"/>
  <c r="N161" i="20" a="1"/>
  <c r="N161" i="20" s="1"/>
  <c r="M161" i="20" a="1"/>
  <c r="M161" i="20" s="1"/>
  <c r="N97" i="20" a="1"/>
  <c r="N97" i="20" s="1"/>
  <c r="L97" i="20"/>
  <c r="M97" i="20" a="1"/>
  <c r="M97" i="20" s="1"/>
  <c r="M33" i="20" a="1"/>
  <c r="M33" i="20" s="1"/>
  <c r="N33" i="20" a="1"/>
  <c r="N33" i="20" s="1"/>
  <c r="L33" i="20"/>
  <c r="N208" i="20" a="1"/>
  <c r="N208" i="20" s="1"/>
  <c r="L208" i="20"/>
  <c r="O208" i="20" s="1" a="1"/>
  <c r="O208" i="20" s="1"/>
  <c r="M208" i="20" a="1"/>
  <c r="M208" i="20" s="1"/>
  <c r="M144" i="20" a="1"/>
  <c r="M144" i="20" s="1"/>
  <c r="L144" i="20"/>
  <c r="N144" i="20" a="1"/>
  <c r="N144" i="20" s="1"/>
  <c r="M80" i="20" a="1"/>
  <c r="M80" i="20" s="1"/>
  <c r="L80" i="20"/>
  <c r="N80" i="20" a="1"/>
  <c r="N80" i="20" s="1"/>
  <c r="M16" i="20" a="1"/>
  <c r="M16" i="20" s="1"/>
  <c r="L16" i="20"/>
  <c r="N16" i="20" a="1"/>
  <c r="N16" i="20" s="1"/>
  <c r="L423" i="20"/>
  <c r="N423" i="20" a="1"/>
  <c r="N423" i="20" s="1"/>
  <c r="M423" i="20" a="1"/>
  <c r="M423" i="20" s="1"/>
  <c r="L359" i="20"/>
  <c r="M359" i="20" a="1"/>
  <c r="M359" i="20" s="1"/>
  <c r="N359" i="20" a="1"/>
  <c r="N359" i="20" s="1"/>
  <c r="L295" i="20"/>
  <c r="M295" i="20" a="1"/>
  <c r="M295" i="20" s="1"/>
  <c r="N295" i="20" a="1"/>
  <c r="N295" i="20" s="1"/>
  <c r="L231" i="20"/>
  <c r="M231" i="20" a="1"/>
  <c r="M231" i="20" s="1"/>
  <c r="N231" i="20" a="1"/>
  <c r="N231" i="20" s="1"/>
  <c r="N167" i="20" a="1"/>
  <c r="N167" i="20" s="1"/>
  <c r="L167" i="20"/>
  <c r="M167" i="20" a="1"/>
  <c r="M167" i="20" s="1"/>
  <c r="M103" i="20" a="1"/>
  <c r="M103" i="20" s="1"/>
  <c r="L103" i="20"/>
  <c r="O103" i="20" s="1" a="1"/>
  <c r="O103" i="20" s="1"/>
  <c r="N103" i="20" a="1"/>
  <c r="N103" i="20" s="1"/>
  <c r="L39" i="20"/>
  <c r="N39" i="20" a="1"/>
  <c r="N39" i="20" s="1"/>
  <c r="M39" i="20" a="1"/>
  <c r="M39" i="20" s="1"/>
  <c r="L328" i="20"/>
  <c r="M328" i="20" a="1"/>
  <c r="M328" i="20" s="1"/>
  <c r="N328" i="20" a="1"/>
  <c r="N328" i="20" s="1"/>
  <c r="L398" i="20"/>
  <c r="N398" i="20" a="1"/>
  <c r="N398" i="20" s="1"/>
  <c r="M398" i="20" a="1"/>
  <c r="M398" i="20" s="1"/>
  <c r="L334" i="20"/>
  <c r="N334" i="20" a="1"/>
  <c r="N334" i="20" s="1"/>
  <c r="M334" i="20" a="1"/>
  <c r="M334" i="20" s="1"/>
  <c r="M270" i="20" a="1"/>
  <c r="M270" i="20" s="1"/>
  <c r="L270" i="20"/>
  <c r="O270" i="20" s="1" a="1"/>
  <c r="O270" i="20" s="1"/>
  <c r="N270" i="20" a="1"/>
  <c r="N270" i="20" s="1"/>
  <c r="M206" i="20" a="1"/>
  <c r="M206" i="20" s="1"/>
  <c r="L206" i="20"/>
  <c r="N206" i="20" a="1"/>
  <c r="N206" i="20" s="1"/>
  <c r="N142" i="20" a="1"/>
  <c r="N142" i="20" s="1"/>
  <c r="L142" i="20"/>
  <c r="M142" i="20" a="1"/>
  <c r="M142" i="20" s="1"/>
  <c r="M78" i="20" a="1"/>
  <c r="M78" i="20" s="1"/>
  <c r="L78" i="20"/>
  <c r="N78" i="20" a="1"/>
  <c r="N78" i="20" s="1"/>
  <c r="L14" i="20"/>
  <c r="M14" i="20" a="1"/>
  <c r="M14" i="20" s="1"/>
  <c r="N14" i="20" a="1"/>
  <c r="N14" i="20" s="1"/>
  <c r="L272" i="20"/>
  <c r="M272" i="20" a="1"/>
  <c r="M272" i="20" s="1"/>
  <c r="N272" i="20" a="1"/>
  <c r="N272" i="20" s="1"/>
  <c r="N381" i="20" a="1"/>
  <c r="N381" i="20" s="1"/>
  <c r="L381" i="20"/>
  <c r="M381" i="20" a="1"/>
  <c r="M381" i="20" s="1"/>
  <c r="M317" i="20" a="1"/>
  <c r="M317" i="20" s="1"/>
  <c r="N317" i="20" a="1"/>
  <c r="N317" i="20" s="1"/>
  <c r="L317" i="20"/>
  <c r="O317" i="20" s="1" a="1"/>
  <c r="O317" i="20" s="1"/>
  <c r="L253" i="20"/>
  <c r="N253" i="20" a="1"/>
  <c r="N253" i="20" s="1"/>
  <c r="M253" i="20" a="1"/>
  <c r="M253" i="20" s="1"/>
  <c r="L189" i="20"/>
  <c r="N189" i="20" a="1"/>
  <c r="N189" i="20" s="1"/>
  <c r="M189" i="20" a="1"/>
  <c r="M189" i="20" s="1"/>
  <c r="N125" i="20" a="1"/>
  <c r="N125" i="20" s="1"/>
  <c r="L125" i="20"/>
  <c r="M125" i="20" a="1"/>
  <c r="M125" i="20" s="1"/>
  <c r="L61" i="20"/>
  <c r="M61" i="20" a="1"/>
  <c r="M61" i="20" s="1"/>
  <c r="N61" i="20" a="1"/>
  <c r="N61" i="20" s="1"/>
  <c r="M424" i="20" a="1"/>
  <c r="M424" i="20" s="1"/>
  <c r="L424" i="20"/>
  <c r="O424" i="20" s="1" a="1"/>
  <c r="O424" i="20" s="1"/>
  <c r="N424" i="20" a="1"/>
  <c r="N424" i="20" s="1"/>
  <c r="N388" i="20" a="1"/>
  <c r="N388" i="20" s="1"/>
  <c r="L388" i="20"/>
  <c r="O388" i="20" s="1" a="1"/>
  <c r="O388" i="20" s="1"/>
  <c r="M388" i="20" a="1"/>
  <c r="M388" i="20" s="1"/>
  <c r="N324" i="20" a="1"/>
  <c r="N324" i="20" s="1"/>
  <c r="L324" i="20"/>
  <c r="M324" i="20" a="1"/>
  <c r="M324" i="20" s="1"/>
  <c r="M260" i="20" a="1"/>
  <c r="M260" i="20" s="1"/>
  <c r="L260" i="20"/>
  <c r="O260" i="20" s="1" a="1"/>
  <c r="O260" i="20" s="1"/>
  <c r="N260" i="20" a="1"/>
  <c r="N260" i="20" s="1"/>
  <c r="N196" i="20" a="1"/>
  <c r="N196" i="20" s="1"/>
  <c r="L196" i="20"/>
  <c r="M196" i="20" a="1"/>
  <c r="M196" i="20" s="1"/>
  <c r="N132" i="20" a="1"/>
  <c r="N132" i="20" s="1"/>
  <c r="M132" i="20" a="1"/>
  <c r="M132" i="20" s="1"/>
  <c r="L132" i="20"/>
  <c r="N68" i="20" a="1"/>
  <c r="N68" i="20" s="1"/>
  <c r="L68" i="20"/>
  <c r="M68" i="20" a="1"/>
  <c r="M68" i="20" s="1"/>
  <c r="M403" i="20" a="1"/>
  <c r="M403" i="20" s="1"/>
  <c r="L403" i="20"/>
  <c r="O403" i="20" s="1" a="1"/>
  <c r="O403" i="20" s="1"/>
  <c r="N403" i="20" a="1"/>
  <c r="N403" i="20" s="1"/>
  <c r="N250" i="20" a="1"/>
  <c r="N250" i="20" s="1"/>
  <c r="M250" i="20" a="1"/>
  <c r="M250" i="20" s="1"/>
  <c r="L250" i="20"/>
  <c r="N395" i="20" a="1"/>
  <c r="N395" i="20" s="1"/>
  <c r="M395" i="20" a="1"/>
  <c r="M395" i="20" s="1"/>
  <c r="L395" i="20"/>
  <c r="O395" i="20" s="1" a="1"/>
  <c r="O395" i="20" s="1"/>
  <c r="M331" i="20" a="1"/>
  <c r="M331" i="20" s="1"/>
  <c r="L331" i="20"/>
  <c r="N331" i="20" a="1"/>
  <c r="N331" i="20" s="1"/>
  <c r="M267" i="20" a="1"/>
  <c r="M267" i="20" s="1"/>
  <c r="L267" i="20"/>
  <c r="O267" i="20" s="1" a="1"/>
  <c r="O267" i="20" s="1"/>
  <c r="N267" i="20" a="1"/>
  <c r="N267" i="20" s="1"/>
  <c r="M203" i="20" a="1"/>
  <c r="M203" i="20" s="1"/>
  <c r="L203" i="20"/>
  <c r="O203" i="20" s="1" a="1"/>
  <c r="O203" i="20" s="1"/>
  <c r="N203" i="20" a="1"/>
  <c r="N203" i="20" s="1"/>
  <c r="N139" i="20" a="1"/>
  <c r="N139" i="20" s="1"/>
  <c r="L139" i="20"/>
  <c r="O139" i="20" s="1" a="1"/>
  <c r="O139" i="20" s="1"/>
  <c r="M139" i="20" a="1"/>
  <c r="M139" i="20" s="1"/>
  <c r="L75" i="20"/>
  <c r="N75" i="20" a="1"/>
  <c r="N75" i="20" s="1"/>
  <c r="M75" i="20" a="1"/>
  <c r="M75" i="20" s="1"/>
  <c r="M11" i="20" a="1"/>
  <c r="M11" i="20" s="1"/>
  <c r="L11" i="20"/>
  <c r="N11" i="20" a="1"/>
  <c r="N11" i="20" s="1"/>
  <c r="M370" i="20" a="1"/>
  <c r="M370" i="20" s="1"/>
  <c r="L370" i="20"/>
  <c r="N370" i="20" a="1"/>
  <c r="N370" i="20" s="1"/>
  <c r="N306" i="20" a="1"/>
  <c r="N306" i="20" s="1"/>
  <c r="L306" i="20"/>
  <c r="M306" i="20" a="1"/>
  <c r="M306" i="20" s="1"/>
  <c r="M242" i="20" a="1"/>
  <c r="M242" i="20" s="1"/>
  <c r="L242" i="20"/>
  <c r="N242" i="20" a="1"/>
  <c r="N242" i="20" s="1"/>
  <c r="M178" i="20" a="1"/>
  <c r="M178" i="20" s="1"/>
  <c r="N178" i="20" a="1"/>
  <c r="N178" i="20" s="1"/>
  <c r="L178" i="20"/>
  <c r="N114" i="20" a="1"/>
  <c r="N114" i="20" s="1"/>
  <c r="L114" i="20"/>
  <c r="M114" i="20" a="1"/>
  <c r="M114" i="20" s="1"/>
  <c r="M50" i="20" a="1"/>
  <c r="M50" i="20" s="1"/>
  <c r="N50" i="20" a="1"/>
  <c r="N50" i="20" s="1"/>
  <c r="L50" i="20"/>
  <c r="M409" i="20" a="1"/>
  <c r="M409" i="20" s="1"/>
  <c r="L409" i="20"/>
  <c r="O409" i="20" s="1" a="1"/>
  <c r="O409" i="20" s="1"/>
  <c r="N409" i="20" a="1"/>
  <c r="N409" i="20" s="1"/>
  <c r="L345" i="20"/>
  <c r="M345" i="20" a="1"/>
  <c r="M345" i="20" s="1"/>
  <c r="N345" i="20" a="1"/>
  <c r="N345" i="20" s="1"/>
  <c r="M281" i="20" a="1"/>
  <c r="M281" i="20" s="1"/>
  <c r="L281" i="20"/>
  <c r="N281" i="20" a="1"/>
  <c r="N281" i="20" s="1"/>
  <c r="L217" i="20"/>
  <c r="N217" i="20" a="1"/>
  <c r="N217" i="20" s="1"/>
  <c r="M217" i="20" a="1"/>
  <c r="M217" i="20" s="1"/>
  <c r="N153" i="20" a="1"/>
  <c r="N153" i="20" s="1"/>
  <c r="L153" i="20"/>
  <c r="M153" i="20" a="1"/>
  <c r="M153" i="20" s="1"/>
  <c r="M89" i="20" a="1"/>
  <c r="M89" i="20" s="1"/>
  <c r="L89" i="20"/>
  <c r="O89" i="20" s="1" a="1"/>
  <c r="O89" i="20" s="1"/>
  <c r="N89" i="20" a="1"/>
  <c r="N89" i="20" s="1"/>
  <c r="M25" i="20" a="1"/>
  <c r="M25" i="20" s="1"/>
  <c r="N25" i="20" a="1"/>
  <c r="N25" i="20" s="1"/>
  <c r="L25" i="20"/>
  <c r="M200" i="20" a="1"/>
  <c r="M200" i="20" s="1"/>
  <c r="L200" i="20"/>
  <c r="N200" i="20" a="1"/>
  <c r="N200" i="20" s="1"/>
  <c r="L136" i="20"/>
  <c r="M136" i="20" a="1"/>
  <c r="M136" i="20" s="1"/>
  <c r="N136" i="20" a="1"/>
  <c r="N136" i="20" s="1"/>
  <c r="N72" i="20" a="1"/>
  <c r="N72" i="20" s="1"/>
  <c r="L72" i="20"/>
  <c r="O72" i="20" s="1" a="1"/>
  <c r="O72" i="20" s="1"/>
  <c r="M72" i="20" a="1"/>
  <c r="M72" i="20" s="1"/>
  <c r="N8" i="20" a="1"/>
  <c r="N8" i="20" s="1"/>
  <c r="L8" i="20"/>
  <c r="M8" i="20" a="1"/>
  <c r="M8" i="20" s="1"/>
  <c r="N415" i="20" a="1"/>
  <c r="N415" i="20" s="1"/>
  <c r="L415" i="20"/>
  <c r="M415" i="20" a="1"/>
  <c r="M415" i="20" s="1"/>
  <c r="L351" i="20"/>
  <c r="N351" i="20" a="1"/>
  <c r="N351" i="20" s="1"/>
  <c r="M351" i="20" a="1"/>
  <c r="M351" i="20" s="1"/>
  <c r="N287" i="20" a="1"/>
  <c r="N287" i="20" s="1"/>
  <c r="L287" i="20"/>
  <c r="O287" i="20" s="1" a="1"/>
  <c r="O287" i="20" s="1"/>
  <c r="M287" i="20" a="1"/>
  <c r="M287" i="20" s="1"/>
  <c r="N223" i="20" a="1"/>
  <c r="N223" i="20" s="1"/>
  <c r="L223" i="20"/>
  <c r="M223" i="20" a="1"/>
  <c r="M223" i="20" s="1"/>
  <c r="M159" i="20" a="1"/>
  <c r="M159" i="20" s="1"/>
  <c r="N159" i="20" a="1"/>
  <c r="N159" i="20" s="1"/>
  <c r="L159" i="20"/>
  <c r="M95" i="20" a="1"/>
  <c r="M95" i="20" s="1"/>
  <c r="L95" i="20"/>
  <c r="O95" i="20" s="1" a="1"/>
  <c r="O95" i="20" s="1"/>
  <c r="N95" i="20" a="1"/>
  <c r="N95" i="20" s="1"/>
  <c r="L31" i="20"/>
  <c r="O31" i="20" s="1" a="1"/>
  <c r="O31" i="20" s="1"/>
  <c r="N31" i="20" a="1"/>
  <c r="N31" i="20" s="1"/>
  <c r="M31" i="20" a="1"/>
  <c r="M31" i="20" s="1"/>
  <c r="N304" i="20" a="1"/>
  <c r="N304" i="20" s="1"/>
  <c r="L304" i="20"/>
  <c r="M304" i="20" a="1"/>
  <c r="M304" i="20" s="1"/>
  <c r="N390" i="20" a="1"/>
  <c r="N390" i="20" s="1"/>
  <c r="L390" i="20"/>
  <c r="M390" i="20" a="1"/>
  <c r="M390" i="20" s="1"/>
  <c r="M326" i="20" a="1"/>
  <c r="M326" i="20" s="1"/>
  <c r="L326" i="20"/>
  <c r="N326" i="20" a="1"/>
  <c r="N326" i="20" s="1"/>
  <c r="L262" i="20"/>
  <c r="M262" i="20" a="1"/>
  <c r="M262" i="20" s="1"/>
  <c r="N262" i="20" a="1"/>
  <c r="N262" i="20" s="1"/>
  <c r="N198" i="20" a="1"/>
  <c r="N198" i="20" s="1"/>
  <c r="M198" i="20" a="1"/>
  <c r="M198" i="20" s="1"/>
  <c r="L198" i="20"/>
  <c r="O198" i="20" s="1" a="1"/>
  <c r="O198" i="20" s="1"/>
  <c r="L134" i="20"/>
  <c r="M134" i="20" a="1"/>
  <c r="M134" i="20" s="1"/>
  <c r="N134" i="20" a="1"/>
  <c r="N134" i="20" s="1"/>
  <c r="N70" i="20" a="1"/>
  <c r="N70" i="20" s="1"/>
  <c r="L70" i="20"/>
  <c r="M70" i="20" a="1"/>
  <c r="M70" i="20" s="1"/>
  <c r="L6" i="20"/>
  <c r="M6" i="20" a="1"/>
  <c r="M6" i="20" s="1"/>
  <c r="N6" i="20" a="1"/>
  <c r="N6" i="20" s="1"/>
  <c r="N264" i="20" a="1"/>
  <c r="N264" i="20" s="1"/>
  <c r="M264" i="20" a="1"/>
  <c r="M264" i="20" s="1"/>
  <c r="L264" i="20"/>
  <c r="L373" i="20"/>
  <c r="M373" i="20" a="1"/>
  <c r="M373" i="20" s="1"/>
  <c r="N373" i="20" a="1"/>
  <c r="N373" i="20" s="1"/>
  <c r="M309" i="20" a="1"/>
  <c r="M309" i="20" s="1"/>
  <c r="L309" i="20"/>
  <c r="N309" i="20" a="1"/>
  <c r="N309" i="20" s="1"/>
  <c r="M245" i="20" a="1"/>
  <c r="M245" i="20" s="1"/>
  <c r="N245" i="20" a="1"/>
  <c r="N245" i="20" s="1"/>
  <c r="L245" i="20"/>
  <c r="N181" i="20" a="1"/>
  <c r="N181" i="20" s="1"/>
  <c r="L181" i="20"/>
  <c r="M181" i="20" a="1"/>
  <c r="M181" i="20" s="1"/>
  <c r="L117" i="20"/>
  <c r="N117" i="20" a="1"/>
  <c r="N117" i="20" s="1"/>
  <c r="M117" i="20" a="1"/>
  <c r="M117" i="20" s="1"/>
  <c r="M53" i="20" a="1"/>
  <c r="M53" i="20" s="1"/>
  <c r="N53" i="20" a="1"/>
  <c r="N53" i="20" s="1"/>
  <c r="L53" i="20"/>
  <c r="N376" i="20" a="1"/>
  <c r="N376" i="20" s="1"/>
  <c r="L376" i="20"/>
  <c r="M376" i="20" a="1"/>
  <c r="M376" i="20" s="1"/>
  <c r="N380" i="20" a="1"/>
  <c r="N380" i="20" s="1"/>
  <c r="L380" i="20"/>
  <c r="O380" i="20" s="1" a="1"/>
  <c r="O380" i="20" s="1"/>
  <c r="M380" i="20" a="1"/>
  <c r="M380" i="20" s="1"/>
  <c r="L316" i="20"/>
  <c r="N316" i="20" a="1"/>
  <c r="N316" i="20" s="1"/>
  <c r="M316" i="20" a="1"/>
  <c r="M316" i="20" s="1"/>
  <c r="L252" i="20"/>
  <c r="N252" i="20" a="1"/>
  <c r="N252" i="20" s="1"/>
  <c r="M252" i="20" a="1"/>
  <c r="M252" i="20" s="1"/>
  <c r="N188" i="20" a="1"/>
  <c r="N188" i="20" s="1"/>
  <c r="M188" i="20" a="1"/>
  <c r="M188" i="20" s="1"/>
  <c r="L188" i="20"/>
  <c r="O188" i="20" s="1" a="1"/>
  <c r="O188" i="20" s="1"/>
  <c r="N124" i="20" a="1"/>
  <c r="N124" i="20" s="1"/>
  <c r="M124" i="20" a="1"/>
  <c r="M124" i="20" s="1"/>
  <c r="L124" i="20"/>
  <c r="M60" i="20" a="1"/>
  <c r="M60" i="20" s="1"/>
  <c r="L60" i="20"/>
  <c r="N60" i="20" a="1"/>
  <c r="N60" i="20" s="1"/>
  <c r="L339" i="20"/>
  <c r="M339" i="20" a="1"/>
  <c r="M339" i="20" s="1"/>
  <c r="N339" i="20" a="1"/>
  <c r="N339" i="20" s="1"/>
  <c r="N314" i="20" a="1"/>
  <c r="N314" i="20" s="1"/>
  <c r="L314" i="20"/>
  <c r="O314" i="20" s="1" a="1"/>
  <c r="O314" i="20" s="1"/>
  <c r="M314" i="20" a="1"/>
  <c r="M314" i="20" s="1"/>
  <c r="M387" i="20" a="1"/>
  <c r="M387" i="20" s="1"/>
  <c r="N387" i="20" a="1"/>
  <c r="N387" i="20" s="1"/>
  <c r="L387" i="20"/>
  <c r="M323" i="20" a="1"/>
  <c r="M323" i="20" s="1"/>
  <c r="L323" i="20"/>
  <c r="O323" i="20" s="1" a="1"/>
  <c r="O323" i="20" s="1"/>
  <c r="N323" i="20" a="1"/>
  <c r="N323" i="20" s="1"/>
  <c r="L259" i="20"/>
  <c r="N259" i="20" a="1"/>
  <c r="N259" i="20" s="1"/>
  <c r="M259" i="20" a="1"/>
  <c r="M259" i="20" s="1"/>
  <c r="N195" i="20" a="1"/>
  <c r="N195" i="20" s="1"/>
  <c r="L195" i="20"/>
  <c r="M195" i="20" a="1"/>
  <c r="M195" i="20" s="1"/>
  <c r="M131" i="20" a="1"/>
  <c r="M131" i="20" s="1"/>
  <c r="L131" i="20"/>
  <c r="N131" i="20" a="1"/>
  <c r="N131" i="20" s="1"/>
  <c r="L67" i="20"/>
  <c r="M67" i="20" a="1"/>
  <c r="M67" i="20" s="1"/>
  <c r="N67" i="20" a="1"/>
  <c r="N67" i="20" s="1"/>
  <c r="N426" i="20" a="1"/>
  <c r="N426" i="20" s="1"/>
  <c r="L426" i="20"/>
  <c r="O426" i="20" s="1" a="1"/>
  <c r="O426" i="20" s="1"/>
  <c r="M426" i="20" a="1"/>
  <c r="M426" i="20" s="1"/>
  <c r="N362" i="20" a="1"/>
  <c r="N362" i="20" s="1"/>
  <c r="L362" i="20"/>
  <c r="M362" i="20" a="1"/>
  <c r="M362" i="20" s="1"/>
  <c r="M298" i="20" a="1"/>
  <c r="M298" i="20" s="1"/>
  <c r="L298" i="20"/>
  <c r="N298" i="20" a="1"/>
  <c r="N298" i="20" s="1"/>
  <c r="M234" i="20" a="1"/>
  <c r="M234" i="20" s="1"/>
  <c r="L234" i="20"/>
  <c r="N234" i="20" a="1"/>
  <c r="N234" i="20" s="1"/>
  <c r="L170" i="20"/>
  <c r="N170" i="20" a="1"/>
  <c r="N170" i="20" s="1"/>
  <c r="M170" i="20" a="1"/>
  <c r="M170" i="20" s="1"/>
  <c r="L106" i="20"/>
  <c r="M106" i="20" a="1"/>
  <c r="M106" i="20" s="1"/>
  <c r="N106" i="20" a="1"/>
  <c r="N106" i="20" s="1"/>
  <c r="L42" i="20"/>
  <c r="N42" i="20" a="1"/>
  <c r="N42" i="20" s="1"/>
  <c r="M42" i="20" a="1"/>
  <c r="M42" i="20" s="1"/>
  <c r="N401" i="20" a="1"/>
  <c r="N401" i="20" s="1"/>
  <c r="M401" i="20" a="1"/>
  <c r="M401" i="20" s="1"/>
  <c r="L401" i="20"/>
  <c r="O401" i="20" s="1" a="1"/>
  <c r="O401" i="20" s="1"/>
  <c r="L337" i="20"/>
  <c r="M337" i="20" a="1"/>
  <c r="M337" i="20" s="1"/>
  <c r="N337" i="20" a="1"/>
  <c r="N337" i="20" s="1"/>
  <c r="N273" i="20" a="1"/>
  <c r="N273" i="20" s="1"/>
  <c r="L273" i="20"/>
  <c r="O273" i="20" s="1" a="1"/>
  <c r="O273" i="20" s="1"/>
  <c r="M273" i="20" a="1"/>
  <c r="M273" i="20" s="1"/>
  <c r="N209" i="20" a="1"/>
  <c r="N209" i="20" s="1"/>
  <c r="L209" i="20"/>
  <c r="M209" i="20" a="1"/>
  <c r="M209" i="20" s="1"/>
  <c r="M145" i="20" a="1"/>
  <c r="M145" i="20" s="1"/>
  <c r="N145" i="20" a="1"/>
  <c r="N145" i="20" s="1"/>
  <c r="L145" i="20"/>
  <c r="O145" i="20" s="1" a="1"/>
  <c r="O145" i="20" s="1"/>
  <c r="L81" i="20"/>
  <c r="M81" i="20" a="1"/>
  <c r="M81" i="20" s="1"/>
  <c r="N81" i="20" a="1"/>
  <c r="N81" i="20" s="1"/>
  <c r="L17" i="20"/>
  <c r="M17" i="20" a="1"/>
  <c r="M17" i="20" s="1"/>
  <c r="N17" i="20" a="1"/>
  <c r="N17" i="20" s="1"/>
  <c r="N192" i="20" a="1"/>
  <c r="N192" i="20" s="1"/>
  <c r="M192" i="20" a="1"/>
  <c r="M192" i="20" s="1"/>
  <c r="L192" i="20"/>
  <c r="N128" i="20" a="1"/>
  <c r="N128" i="20" s="1"/>
  <c r="L128" i="20"/>
  <c r="M128" i="20" a="1"/>
  <c r="M128" i="20" s="1"/>
  <c r="N64" i="20" a="1"/>
  <c r="N64" i="20" s="1"/>
  <c r="L64" i="20"/>
  <c r="M64" i="20" a="1"/>
  <c r="M64" i="20" s="1"/>
  <c r="M416" i="20" a="1"/>
  <c r="M416" i="20" s="1"/>
  <c r="L416" i="20"/>
  <c r="O416" i="20" s="1" a="1"/>
  <c r="O416" i="20" s="1"/>
  <c r="N416" i="20" a="1"/>
  <c r="N416" i="20" s="1"/>
  <c r="N407" i="20" a="1"/>
  <c r="N407" i="20" s="1"/>
  <c r="L407" i="20"/>
  <c r="O407" i="20" s="1" a="1"/>
  <c r="O407" i="20" s="1"/>
  <c r="M407" i="20" a="1"/>
  <c r="M407" i="20" s="1"/>
  <c r="L343" i="20"/>
  <c r="N343" i="20" a="1"/>
  <c r="N343" i="20" s="1"/>
  <c r="M343" i="20" a="1"/>
  <c r="M343" i="20" s="1"/>
  <c r="N279" i="20" a="1"/>
  <c r="N279" i="20" s="1"/>
  <c r="L279" i="20"/>
  <c r="M279" i="20" a="1"/>
  <c r="M279" i="20" s="1"/>
  <c r="N215" i="20" a="1"/>
  <c r="N215" i="20" s="1"/>
  <c r="L215" i="20"/>
  <c r="M215" i="20" a="1"/>
  <c r="M215" i="20" s="1"/>
  <c r="M151" i="20" a="1"/>
  <c r="M151" i="20" s="1"/>
  <c r="L151" i="20"/>
  <c r="N151" i="20" a="1"/>
  <c r="N151" i="20" s="1"/>
  <c r="N87" i="20" a="1"/>
  <c r="N87" i="20" s="1"/>
  <c r="L87" i="20"/>
  <c r="M87" i="20" a="1"/>
  <c r="M87" i="20" s="1"/>
  <c r="L23" i="20"/>
  <c r="N23" i="20" a="1"/>
  <c r="N23" i="20" s="1"/>
  <c r="M23" i="20" a="1"/>
  <c r="M23" i="20" s="1"/>
  <c r="N280" i="20" a="1"/>
  <c r="N280" i="20" s="1"/>
  <c r="M280" i="20" a="1"/>
  <c r="M280" i="20" s="1"/>
  <c r="L280" i="20"/>
  <c r="O280" i="20" s="1" a="1"/>
  <c r="O280" i="20" s="1"/>
  <c r="M382" i="20" a="1"/>
  <c r="M382" i="20" s="1"/>
  <c r="L382" i="20"/>
  <c r="O382" i="20" s="1" a="1"/>
  <c r="O382" i="20" s="1"/>
  <c r="N382" i="20" a="1"/>
  <c r="N382" i="20" s="1"/>
  <c r="L318" i="20"/>
  <c r="M318" i="20" a="1"/>
  <c r="M318" i="20" s="1"/>
  <c r="N318" i="20" a="1"/>
  <c r="N318" i="20" s="1"/>
  <c r="N254" i="20" a="1"/>
  <c r="N254" i="20" s="1"/>
  <c r="M254" i="20" a="1"/>
  <c r="M254" i="20" s="1"/>
  <c r="L254" i="20"/>
  <c r="M190" i="20" a="1"/>
  <c r="M190" i="20" s="1"/>
  <c r="N190" i="20" a="1"/>
  <c r="N190" i="20" s="1"/>
  <c r="L190" i="20"/>
  <c r="M126" i="20" a="1"/>
  <c r="M126" i="20" s="1"/>
  <c r="L126" i="20"/>
  <c r="O126" i="20" s="1" a="1"/>
  <c r="O126" i="20" s="1"/>
  <c r="N126" i="20" a="1"/>
  <c r="N126" i="20" s="1"/>
  <c r="L62" i="20"/>
  <c r="M62" i="20" a="1"/>
  <c r="M62" i="20" s="1"/>
  <c r="N62" i="20" a="1"/>
  <c r="N62" i="20" s="1"/>
  <c r="N408" i="20" a="1"/>
  <c r="N408" i="20" s="1"/>
  <c r="L408" i="20"/>
  <c r="M408" i="20" a="1"/>
  <c r="M408" i="20" s="1"/>
  <c r="M429" i="20" a="1"/>
  <c r="M429" i="20" s="1"/>
  <c r="L429" i="20"/>
  <c r="N429" i="20" a="1"/>
  <c r="N429" i="20" s="1"/>
  <c r="M365" i="20" a="1"/>
  <c r="M365" i="20" s="1"/>
  <c r="L365" i="20"/>
  <c r="N365" i="20" a="1"/>
  <c r="N365" i="20" s="1"/>
  <c r="M301" i="20" a="1"/>
  <c r="M301" i="20" s="1"/>
  <c r="N301" i="20" a="1"/>
  <c r="N301" i="20" s="1"/>
  <c r="L301" i="20"/>
  <c r="O301" i="20" s="1" a="1"/>
  <c r="O301" i="20" s="1"/>
  <c r="L237" i="20"/>
  <c r="N237" i="20" a="1"/>
  <c r="N237" i="20" s="1"/>
  <c r="M237" i="20" a="1"/>
  <c r="M237" i="20" s="1"/>
  <c r="M173" i="20" a="1"/>
  <c r="M173" i="20" s="1"/>
  <c r="L173" i="20"/>
  <c r="O173" i="20" s="1" a="1"/>
  <c r="O173" i="20" s="1"/>
  <c r="N173" i="20" a="1"/>
  <c r="N173" i="20" s="1"/>
  <c r="L109" i="20"/>
  <c r="N109" i="20" a="1"/>
  <c r="N109" i="20" s="1"/>
  <c r="M109" i="20" a="1"/>
  <c r="M109" i="20" s="1"/>
  <c r="L45" i="20"/>
  <c r="N45" i="20" a="1"/>
  <c r="N45" i="20" s="1"/>
  <c r="M45" i="20" a="1"/>
  <c r="M45" i="20" s="1"/>
  <c r="N288" i="20" a="1"/>
  <c r="N288" i="20" s="1"/>
  <c r="M288" i="20" a="1"/>
  <c r="M288" i="20" s="1"/>
  <c r="L288" i="20"/>
  <c r="M372" i="20" a="1"/>
  <c r="M372" i="20" s="1"/>
  <c r="L372" i="20"/>
  <c r="O372" i="20" s="1" a="1"/>
  <c r="O372" i="20" s="1"/>
  <c r="N372" i="20" a="1"/>
  <c r="N372" i="20" s="1"/>
  <c r="N308" i="20" a="1"/>
  <c r="N308" i="20" s="1"/>
  <c r="M308" i="20" a="1"/>
  <c r="M308" i="20" s="1"/>
  <c r="L308" i="20"/>
  <c r="O308" i="20" s="1" a="1"/>
  <c r="O308" i="20" s="1"/>
  <c r="M244" i="20" a="1"/>
  <c r="M244" i="20" s="1"/>
  <c r="L244" i="20"/>
  <c r="O244" i="20" s="1" a="1"/>
  <c r="O244" i="20" s="1"/>
  <c r="N244" i="20" a="1"/>
  <c r="N244" i="20" s="1"/>
  <c r="N180" i="20" a="1"/>
  <c r="N180" i="20" s="1"/>
  <c r="L180" i="20"/>
  <c r="O180" i="20" s="1" a="1"/>
  <c r="O180" i="20" s="1"/>
  <c r="M180" i="20" a="1"/>
  <c r="M180" i="20" s="1"/>
  <c r="M116" i="20" a="1"/>
  <c r="M116" i="20" s="1"/>
  <c r="L116" i="20"/>
  <c r="O116" i="20" s="1" a="1"/>
  <c r="O116" i="20" s="1"/>
  <c r="N116" i="20" a="1"/>
  <c r="N116" i="20" s="1"/>
  <c r="M52" i="20" a="1"/>
  <c r="M52" i="20" s="1"/>
  <c r="N52" i="20" a="1"/>
  <c r="N52" i="20" s="1"/>
  <c r="L52" i="20"/>
  <c r="N19" i="20" a="1"/>
  <c r="N19" i="20" s="1"/>
  <c r="M19" i="20" a="1"/>
  <c r="M19" i="20" s="1"/>
  <c r="L19" i="20"/>
  <c r="L379" i="20"/>
  <c r="N379" i="20" a="1"/>
  <c r="N379" i="20" s="1"/>
  <c r="M379" i="20" a="1"/>
  <c r="M379" i="20" s="1"/>
  <c r="M315" i="20" a="1"/>
  <c r="M315" i="20" s="1"/>
  <c r="N315" i="20" a="1"/>
  <c r="N315" i="20" s="1"/>
  <c r="L315" i="20"/>
  <c r="N251" i="20" a="1"/>
  <c r="N251" i="20" s="1"/>
  <c r="L251" i="20"/>
  <c r="O251" i="20" s="1" a="1"/>
  <c r="O251" i="20" s="1"/>
  <c r="M251" i="20" a="1"/>
  <c r="M251" i="20" s="1"/>
  <c r="L187" i="20"/>
  <c r="M187" i="20" a="1"/>
  <c r="M187" i="20" s="1"/>
  <c r="N187" i="20" a="1"/>
  <c r="N187" i="20" s="1"/>
  <c r="N123" i="20" a="1"/>
  <c r="N123" i="20" s="1"/>
  <c r="L123" i="20"/>
  <c r="M123" i="20" a="1"/>
  <c r="M123" i="20" s="1"/>
  <c r="L59" i="20"/>
  <c r="M59" i="20" a="1"/>
  <c r="M59" i="20" s="1"/>
  <c r="N59" i="20" a="1"/>
  <c r="N59" i="20" s="1"/>
  <c r="N418" i="20" a="1"/>
  <c r="N418" i="20" s="1"/>
  <c r="L418" i="20"/>
  <c r="O418" i="20" s="1" a="1"/>
  <c r="O418" i="20" s="1"/>
  <c r="M418" i="20" a="1"/>
  <c r="M418" i="20" s="1"/>
  <c r="M354" i="20" a="1"/>
  <c r="M354" i="20" s="1"/>
  <c r="L354" i="20"/>
  <c r="O354" i="20" s="1" a="1"/>
  <c r="O354" i="20" s="1"/>
  <c r="N354" i="20" a="1"/>
  <c r="N354" i="20" s="1"/>
  <c r="N290" i="20" a="1"/>
  <c r="N290" i="20" s="1"/>
  <c r="L290" i="20"/>
  <c r="O290" i="20" s="1" a="1"/>
  <c r="O290" i="20" s="1"/>
  <c r="M290" i="20" a="1"/>
  <c r="M290" i="20" s="1"/>
  <c r="N226" i="20" a="1"/>
  <c r="N226" i="20" s="1"/>
  <c r="L226" i="20"/>
  <c r="O226" i="20" s="1" a="1"/>
  <c r="O226" i="20" s="1"/>
  <c r="M226" i="20" a="1"/>
  <c r="M226" i="20" s="1"/>
  <c r="M162" i="20" a="1"/>
  <c r="M162" i="20" s="1"/>
  <c r="N162" i="20" a="1"/>
  <c r="N162" i="20" s="1"/>
  <c r="L162" i="20"/>
  <c r="O162" i="20" s="1" a="1"/>
  <c r="O162" i="20" s="1"/>
  <c r="M98" i="20" a="1"/>
  <c r="M98" i="20" s="1"/>
  <c r="L98" i="20"/>
  <c r="O98" i="20" s="1" a="1"/>
  <c r="O98" i="20" s="1"/>
  <c r="N98" i="20" a="1"/>
  <c r="N98" i="20" s="1"/>
  <c r="N34" i="20" a="1"/>
  <c r="N34" i="20" s="1"/>
  <c r="L34" i="20"/>
  <c r="M34" i="20" a="1"/>
  <c r="M34" i="20" s="1"/>
  <c r="N393" i="20" a="1"/>
  <c r="N393" i="20" s="1"/>
  <c r="M393" i="20" a="1"/>
  <c r="M393" i="20" s="1"/>
  <c r="L393" i="20"/>
  <c r="O393" i="20" s="1" a="1"/>
  <c r="O393" i="20" s="1"/>
  <c r="L329" i="20"/>
  <c r="M329" i="20" a="1"/>
  <c r="M329" i="20" s="1"/>
  <c r="N329" i="20" a="1"/>
  <c r="N329" i="20" s="1"/>
  <c r="N265" i="20" a="1"/>
  <c r="N265" i="20" s="1"/>
  <c r="L265" i="20"/>
  <c r="M265" i="20" a="1"/>
  <c r="M265" i="20" s="1"/>
  <c r="L201" i="20"/>
  <c r="N201" i="20" a="1"/>
  <c r="N201" i="20" s="1"/>
  <c r="M201" i="20" a="1"/>
  <c r="M201" i="20" s="1"/>
  <c r="M137" i="20" a="1"/>
  <c r="M137" i="20" s="1"/>
  <c r="N137" i="20" a="1"/>
  <c r="N137" i="20" s="1"/>
  <c r="L137" i="20"/>
  <c r="L73" i="20"/>
  <c r="M73" i="20" a="1"/>
  <c r="M73" i="20" s="1"/>
  <c r="N73" i="20" a="1"/>
  <c r="N73" i="20" s="1"/>
  <c r="M9" i="20" a="1"/>
  <c r="M9" i="20" s="1"/>
  <c r="L9" i="20"/>
  <c r="N9" i="20" a="1"/>
  <c r="N9" i="20" s="1"/>
  <c r="N184" i="20" a="1"/>
  <c r="N184" i="20" s="1"/>
  <c r="L184" i="20"/>
  <c r="M184" i="20" a="1"/>
  <c r="M184" i="20" s="1"/>
  <c r="N120" i="20" a="1"/>
  <c r="N120" i="20" s="1"/>
  <c r="L120" i="20"/>
  <c r="M120" i="20" a="1"/>
  <c r="M120" i="20" s="1"/>
  <c r="M56" i="20" a="1"/>
  <c r="M56" i="20" s="1"/>
  <c r="N56" i="20" a="1"/>
  <c r="N56" i="20" s="1"/>
  <c r="L56" i="20"/>
  <c r="L384" i="20"/>
  <c r="M384" i="20" a="1"/>
  <c r="M384" i="20" s="1"/>
  <c r="N384" i="20" a="1"/>
  <c r="N384" i="20" s="1"/>
  <c r="N399" i="20" a="1"/>
  <c r="N399" i="20" s="1"/>
  <c r="L399" i="20"/>
  <c r="O399" i="20" s="1" a="1"/>
  <c r="O399" i="20" s="1"/>
  <c r="M399" i="20" a="1"/>
  <c r="M399" i="20" s="1"/>
  <c r="L335" i="20"/>
  <c r="N335" i="20" a="1"/>
  <c r="N335" i="20" s="1"/>
  <c r="M335" i="20" a="1"/>
  <c r="M335" i="20" s="1"/>
  <c r="M271" i="20" a="1"/>
  <c r="M271" i="20" s="1"/>
  <c r="N271" i="20" a="1"/>
  <c r="N271" i="20" s="1"/>
  <c r="L271" i="20"/>
  <c r="M207" i="20" a="1"/>
  <c r="M207" i="20" s="1"/>
  <c r="N207" i="20" a="1"/>
  <c r="N207" i="20" s="1"/>
  <c r="L207" i="20"/>
  <c r="L143" i="20"/>
  <c r="N143" i="20" a="1"/>
  <c r="N143" i="20" s="1"/>
  <c r="M143" i="20" a="1"/>
  <c r="M143" i="20" s="1"/>
  <c r="L79" i="20"/>
  <c r="M79" i="20" a="1"/>
  <c r="M79" i="20" s="1"/>
  <c r="N79" i="20" a="1"/>
  <c r="N79" i="20" s="1"/>
  <c r="L15" i="20"/>
  <c r="N15" i="20" a="1"/>
  <c r="N15" i="20" s="1"/>
  <c r="M15" i="20" a="1"/>
  <c r="M15" i="20" s="1"/>
  <c r="N248" i="20" a="1"/>
  <c r="N248" i="20" s="1"/>
  <c r="L248" i="20"/>
  <c r="O248" i="20" s="1" a="1"/>
  <c r="O248" i="20" s="1"/>
  <c r="M248" i="20" a="1"/>
  <c r="M248" i="20" s="1"/>
  <c r="L374" i="20"/>
  <c r="M374" i="20" a="1"/>
  <c r="M374" i="20" s="1"/>
  <c r="N374" i="20" a="1"/>
  <c r="N374" i="20" s="1"/>
  <c r="N310" i="20" a="1"/>
  <c r="N310" i="20" s="1"/>
  <c r="L310" i="20"/>
  <c r="M310" i="20" a="1"/>
  <c r="M310" i="20" s="1"/>
  <c r="N246" i="20" a="1"/>
  <c r="N246" i="20" s="1"/>
  <c r="L246" i="20"/>
  <c r="M246" i="20" a="1"/>
  <c r="M246" i="20" s="1"/>
  <c r="L182" i="20"/>
  <c r="N182" i="20" a="1"/>
  <c r="N182" i="20" s="1"/>
  <c r="M182" i="20" a="1"/>
  <c r="M182" i="20" s="1"/>
  <c r="M118" i="20" a="1"/>
  <c r="M118" i="20" s="1"/>
  <c r="L118" i="20"/>
  <c r="N118" i="20" a="1"/>
  <c r="N118" i="20" s="1"/>
  <c r="N54" i="20" a="1"/>
  <c r="N54" i="20" s="1"/>
  <c r="L54" i="20"/>
  <c r="M54" i="20" a="1"/>
  <c r="M54" i="20" s="1"/>
  <c r="L392" i="20"/>
  <c r="N392" i="20" a="1"/>
  <c r="N392" i="20" s="1"/>
  <c r="M392" i="20" a="1"/>
  <c r="M392" i="20" s="1"/>
  <c r="L421" i="20"/>
  <c r="N421" i="20" a="1"/>
  <c r="N421" i="20" s="1"/>
  <c r="M421" i="20" a="1"/>
  <c r="M421" i="20" s="1"/>
  <c r="N357" i="20" a="1"/>
  <c r="N357" i="20" s="1"/>
  <c r="L357" i="20"/>
  <c r="O357" i="20" s="1" a="1"/>
  <c r="O357" i="20" s="1"/>
  <c r="M357" i="20" a="1"/>
  <c r="M357" i="20" s="1"/>
  <c r="N293" i="20" a="1"/>
  <c r="N293" i="20" s="1"/>
  <c r="L293" i="20"/>
  <c r="O293" i="20" s="1" a="1"/>
  <c r="O293" i="20" s="1"/>
  <c r="M293" i="20" a="1"/>
  <c r="M293" i="20" s="1"/>
  <c r="N229" i="20" a="1"/>
  <c r="N229" i="20" s="1"/>
  <c r="M229" i="20" a="1"/>
  <c r="M229" i="20" s="1"/>
  <c r="L229" i="20"/>
  <c r="L165" i="20"/>
  <c r="N165" i="20" a="1"/>
  <c r="N165" i="20" s="1"/>
  <c r="M165" i="20" a="1"/>
  <c r="M165" i="20" s="1"/>
  <c r="N101" i="20" a="1"/>
  <c r="N101" i="20" s="1"/>
  <c r="L101" i="20"/>
  <c r="M101" i="20" a="1"/>
  <c r="M101" i="20" s="1"/>
  <c r="L37" i="20"/>
  <c r="N37" i="20" a="1"/>
  <c r="N37" i="20" s="1"/>
  <c r="M37" i="20" a="1"/>
  <c r="M37" i="20" s="1"/>
  <c r="N428" i="20" a="1"/>
  <c r="N428" i="20" s="1"/>
  <c r="L428" i="20"/>
  <c r="O428" i="20" s="1" a="1"/>
  <c r="O428" i="20" s="1"/>
  <c r="M428" i="20" a="1"/>
  <c r="M428" i="20" s="1"/>
  <c r="M364" i="20" a="1"/>
  <c r="M364" i="20" s="1"/>
  <c r="L364" i="20"/>
  <c r="N364" i="20" a="1"/>
  <c r="N364" i="20" s="1"/>
  <c r="L300" i="20"/>
  <c r="M300" i="20" a="1"/>
  <c r="M300" i="20" s="1"/>
  <c r="N300" i="20" a="1"/>
  <c r="N300" i="20" s="1"/>
  <c r="L236" i="20"/>
  <c r="N236" i="20" a="1"/>
  <c r="N236" i="20" s="1"/>
  <c r="M236" i="20" a="1"/>
  <c r="M236" i="20" s="1"/>
  <c r="M172" i="20" a="1"/>
  <c r="M172" i="20" s="1"/>
  <c r="L172" i="20"/>
  <c r="N172" i="20" a="1"/>
  <c r="N172" i="20" s="1"/>
  <c r="L108" i="20"/>
  <c r="M108" i="20" a="1"/>
  <c r="M108" i="20" s="1"/>
  <c r="N108" i="20" a="1"/>
  <c r="N108" i="20" s="1"/>
  <c r="L44" i="20"/>
  <c r="M44" i="20" a="1"/>
  <c r="M44" i="20" s="1"/>
  <c r="N44" i="20" a="1"/>
  <c r="N44" i="20" s="1"/>
  <c r="N378" i="20" a="1"/>
  <c r="N378" i="20" s="1"/>
  <c r="L378" i="20"/>
  <c r="O378" i="20" s="1" a="1"/>
  <c r="O378" i="20" s="1"/>
  <c r="O379" i="20" s="1" a="1"/>
  <c r="O379" i="20" s="1"/>
  <c r="M378" i="20" a="1"/>
  <c r="M378" i="20" s="1"/>
  <c r="M371" i="20" a="1"/>
  <c r="M371" i="20" s="1"/>
  <c r="L371" i="20"/>
  <c r="N371" i="20" a="1"/>
  <c r="N371" i="20" s="1"/>
  <c r="N307" i="20" a="1"/>
  <c r="N307" i="20" s="1"/>
  <c r="L307" i="20"/>
  <c r="M307" i="20" a="1"/>
  <c r="M307" i="20" s="1"/>
  <c r="L243" i="20"/>
  <c r="N243" i="20" a="1"/>
  <c r="N243" i="20" s="1"/>
  <c r="M243" i="20" a="1"/>
  <c r="M243" i="20" s="1"/>
  <c r="M179" i="20" a="1"/>
  <c r="M179" i="20" s="1"/>
  <c r="L179" i="20"/>
  <c r="N179" i="20" a="1"/>
  <c r="N179" i="20" s="1"/>
  <c r="N115" i="20" a="1"/>
  <c r="N115" i="20" s="1"/>
  <c r="L115" i="20"/>
  <c r="M115" i="20" a="1"/>
  <c r="M115" i="20" s="1"/>
  <c r="M51" i="20" a="1"/>
  <c r="M51" i="20" s="1"/>
  <c r="N51" i="20" a="1"/>
  <c r="N51" i="20" s="1"/>
  <c r="L51" i="20"/>
  <c r="M410" i="20" a="1"/>
  <c r="M410" i="20" s="1"/>
  <c r="L410" i="20"/>
  <c r="N410" i="20" a="1"/>
  <c r="N410" i="20" s="1"/>
  <c r="M346" i="20" a="1"/>
  <c r="M346" i="20" s="1"/>
  <c r="L346" i="20"/>
  <c r="N346" i="20" a="1"/>
  <c r="N346" i="20" s="1"/>
  <c r="N282" i="20" a="1"/>
  <c r="N282" i="20" s="1"/>
  <c r="L282" i="20"/>
  <c r="M282" i="20" a="1"/>
  <c r="M282" i="20" s="1"/>
  <c r="L218" i="20"/>
  <c r="M218" i="20" a="1"/>
  <c r="M218" i="20" s="1"/>
  <c r="N218" i="20" a="1"/>
  <c r="N218" i="20" s="1"/>
  <c r="L154" i="20"/>
  <c r="N154" i="20" a="1"/>
  <c r="N154" i="20" s="1"/>
  <c r="M154" i="20" a="1"/>
  <c r="M154" i="20" s="1"/>
  <c r="L90" i="20"/>
  <c r="N90" i="20" a="1"/>
  <c r="N90" i="20" s="1"/>
  <c r="M90" i="20" a="1"/>
  <c r="M90" i="20" s="1"/>
  <c r="M26" i="20" a="1"/>
  <c r="M26" i="20" s="1"/>
  <c r="L26" i="20"/>
  <c r="N26" i="20" a="1"/>
  <c r="N26" i="20" s="1"/>
  <c r="M385" i="20" a="1"/>
  <c r="M385" i="20" s="1"/>
  <c r="L385" i="20"/>
  <c r="O385" i="20" s="1" a="1"/>
  <c r="O385" i="20" s="1"/>
  <c r="N385" i="20" a="1"/>
  <c r="N385" i="20" s="1"/>
  <c r="N321" i="20" a="1"/>
  <c r="N321" i="20" s="1"/>
  <c r="L321" i="20"/>
  <c r="M321" i="20" a="1"/>
  <c r="M321" i="20" s="1"/>
  <c r="N257" i="20" a="1"/>
  <c r="N257" i="20" s="1"/>
  <c r="L257" i="20"/>
  <c r="O257" i="20" s="1" a="1"/>
  <c r="O257" i="20" s="1"/>
  <c r="M257" i="20" a="1"/>
  <c r="M257" i="20" s="1"/>
  <c r="N193" i="20" a="1"/>
  <c r="N193" i="20" s="1"/>
  <c r="M193" i="20" a="1"/>
  <c r="M193" i="20" s="1"/>
  <c r="L193" i="20"/>
  <c r="O193" i="20" s="1" a="1"/>
  <c r="O193" i="20" s="1"/>
  <c r="L129" i="20"/>
  <c r="O129" i="20" s="1" a="1"/>
  <c r="O129" i="20" s="1"/>
  <c r="M129" i="20" a="1"/>
  <c r="M129" i="20" s="1"/>
  <c r="N129" i="20" a="1"/>
  <c r="N129" i="20" s="1"/>
  <c r="M65" i="20" a="1"/>
  <c r="M65" i="20" s="1"/>
  <c r="L65" i="20"/>
  <c r="O65" i="20" s="1" a="1"/>
  <c r="O65" i="20" s="1"/>
  <c r="N65" i="20" a="1"/>
  <c r="N65" i="20" s="1"/>
  <c r="N240" i="20" a="1"/>
  <c r="N240" i="20" s="1"/>
  <c r="L240" i="20"/>
  <c r="M240" i="20" a="1"/>
  <c r="M240" i="20" s="1"/>
  <c r="L176" i="20"/>
  <c r="N176" i="20" a="1"/>
  <c r="N176" i="20" s="1"/>
  <c r="M176" i="20" a="1"/>
  <c r="M176" i="20" s="1"/>
  <c r="M112" i="20" a="1"/>
  <c r="M112" i="20" s="1"/>
  <c r="N112" i="20" a="1"/>
  <c r="N112" i="20" s="1"/>
  <c r="L112" i="20"/>
  <c r="L48" i="20"/>
  <c r="M48" i="20" a="1"/>
  <c r="M48" i="20" s="1"/>
  <c r="N48" i="20" a="1"/>
  <c r="N48" i="20" s="1"/>
  <c r="L352" i="20"/>
  <c r="O352" i="20" s="1" a="1"/>
  <c r="O352" i="20" s="1"/>
  <c r="N352" i="20" a="1"/>
  <c r="N352" i="20" s="1"/>
  <c r="M352" i="20" a="1"/>
  <c r="M352" i="20" s="1"/>
  <c r="N391" i="20" a="1"/>
  <c r="N391" i="20" s="1"/>
  <c r="L391" i="20"/>
  <c r="O391" i="20" s="1" a="1"/>
  <c r="O391" i="20" s="1"/>
  <c r="M391" i="20" a="1"/>
  <c r="M391" i="20" s="1"/>
  <c r="N327" i="20" a="1"/>
  <c r="N327" i="20" s="1"/>
  <c r="L327" i="20"/>
  <c r="O327" i="20" s="1" a="1"/>
  <c r="O327" i="20" s="1"/>
  <c r="M327" i="20" a="1"/>
  <c r="M327" i="20" s="1"/>
  <c r="N263" i="20" a="1"/>
  <c r="N263" i="20" s="1"/>
  <c r="M263" i="20" a="1"/>
  <c r="M263" i="20" s="1"/>
  <c r="L263" i="20"/>
  <c r="O263" i="20" s="1" a="1"/>
  <c r="O263" i="20" s="1"/>
  <c r="N199" i="20" a="1"/>
  <c r="N199" i="20" s="1"/>
  <c r="L199" i="20"/>
  <c r="O199" i="20" s="1" a="1"/>
  <c r="O199" i="20" s="1"/>
  <c r="M199" i="20" a="1"/>
  <c r="M199" i="20" s="1"/>
  <c r="L135" i="20"/>
  <c r="M135" i="20" a="1"/>
  <c r="M135" i="20" s="1"/>
  <c r="N135" i="20" a="1"/>
  <c r="N135" i="20" s="1"/>
  <c r="M71" i="20" a="1"/>
  <c r="M71" i="20" s="1"/>
  <c r="N71" i="20" a="1"/>
  <c r="N71" i="20" s="1"/>
  <c r="L71" i="20"/>
  <c r="L7" i="20"/>
  <c r="N7" i="20" a="1"/>
  <c r="N7" i="20" s="1"/>
  <c r="M430" i="20" a="1"/>
  <c r="M430" i="20" s="1"/>
  <c r="L430" i="20"/>
  <c r="N430" i="20" a="1"/>
  <c r="N430" i="20" s="1"/>
  <c r="N366" i="20" a="1"/>
  <c r="N366" i="20" s="1"/>
  <c r="L366" i="20"/>
  <c r="O366" i="20" s="1" a="1"/>
  <c r="O366" i="20" s="1"/>
  <c r="M366" i="20" a="1"/>
  <c r="M366" i="20" s="1"/>
  <c r="N302" i="20" a="1"/>
  <c r="N302" i="20" s="1"/>
  <c r="M302" i="20" a="1"/>
  <c r="M302" i="20" s="1"/>
  <c r="L302" i="20"/>
  <c r="N238" i="20" a="1"/>
  <c r="N238" i="20" s="1"/>
  <c r="L238" i="20"/>
  <c r="O238" i="20" s="1" a="1"/>
  <c r="O238" i="20" s="1"/>
  <c r="M238" i="20" a="1"/>
  <c r="M238" i="20" s="1"/>
  <c r="N174" i="20" a="1"/>
  <c r="N174" i="20" s="1"/>
  <c r="L174" i="20"/>
  <c r="M174" i="20" a="1"/>
  <c r="M174" i="20" s="1"/>
  <c r="N110" i="20" a="1"/>
  <c r="N110" i="20" s="1"/>
  <c r="L110" i="20"/>
  <c r="O110" i="20" s="1" a="1"/>
  <c r="O110" i="20" s="1"/>
  <c r="M110" i="20" a="1"/>
  <c r="M110" i="20" s="1"/>
  <c r="M46" i="20" a="1"/>
  <c r="M46" i="20" s="1"/>
  <c r="L46" i="20"/>
  <c r="N46" i="20" a="1"/>
  <c r="N46" i="20" s="1"/>
  <c r="N360" i="20" a="1"/>
  <c r="N360" i="20" s="1"/>
  <c r="L360" i="20"/>
  <c r="O360" i="20" s="1" a="1"/>
  <c r="O360" i="20" s="1"/>
  <c r="M360" i="20" a="1"/>
  <c r="M360" i="20" s="1"/>
  <c r="M413" i="20" a="1"/>
  <c r="M413" i="20" s="1"/>
  <c r="L413" i="20"/>
  <c r="N413" i="20" a="1"/>
  <c r="N413" i="20" s="1"/>
  <c r="N349" i="20" a="1"/>
  <c r="N349" i="20" s="1"/>
  <c r="L349" i="20"/>
  <c r="O349" i="20" s="1" a="1"/>
  <c r="O349" i="20" s="1"/>
  <c r="M349" i="20" a="1"/>
  <c r="M349" i="20" s="1"/>
  <c r="L285" i="20"/>
  <c r="N285" i="20" a="1"/>
  <c r="N285" i="20" s="1"/>
  <c r="M285" i="20" a="1"/>
  <c r="M285" i="20" s="1"/>
  <c r="M221" i="20" a="1"/>
  <c r="M221" i="20" s="1"/>
  <c r="L221" i="20"/>
  <c r="N221" i="20" a="1"/>
  <c r="N221" i="20" s="1"/>
  <c r="L157" i="20"/>
  <c r="O157" i="20" s="1" a="1"/>
  <c r="O157" i="20" s="1"/>
  <c r="M157" i="20" a="1"/>
  <c r="M157" i="20" s="1"/>
  <c r="N157" i="20" a="1"/>
  <c r="N157" i="20" s="1"/>
  <c r="M93" i="20" a="1"/>
  <c r="M93" i="20" s="1"/>
  <c r="N93" i="20" a="1"/>
  <c r="N93" i="20" s="1"/>
  <c r="L93" i="20"/>
  <c r="L29" i="20"/>
  <c r="M29" i="20" a="1"/>
  <c r="M29" i="20" s="1"/>
  <c r="N29" i="20" a="1"/>
  <c r="N29" i="20" s="1"/>
  <c r="N420" i="20" a="1"/>
  <c r="N420" i="20" s="1"/>
  <c r="L420" i="20"/>
  <c r="O420" i="20" s="1" a="1"/>
  <c r="O420" i="20" s="1"/>
  <c r="M420" i="20" a="1"/>
  <c r="M420" i="20" s="1"/>
  <c r="M356" i="20" a="1"/>
  <c r="M356" i="20" s="1"/>
  <c r="L356" i="20"/>
  <c r="N356" i="20" a="1"/>
  <c r="N356" i="20" s="1"/>
  <c r="N292" i="20" a="1"/>
  <c r="N292" i="20" s="1"/>
  <c r="M292" i="20" a="1"/>
  <c r="M292" i="20" s="1"/>
  <c r="L292" i="20"/>
  <c r="M228" i="20" a="1"/>
  <c r="M228" i="20" s="1"/>
  <c r="L228" i="20"/>
  <c r="N228" i="20" a="1"/>
  <c r="N228" i="20" s="1"/>
  <c r="N164" i="20" a="1"/>
  <c r="N164" i="20" s="1"/>
  <c r="M164" i="20" a="1"/>
  <c r="M164" i="20" s="1"/>
  <c r="L164" i="20"/>
  <c r="N100" i="20" a="1"/>
  <c r="N100" i="20" s="1"/>
  <c r="L100" i="20"/>
  <c r="M100" i="20" a="1"/>
  <c r="M100" i="20" s="1"/>
  <c r="N36" i="20" a="1"/>
  <c r="N36" i="20" s="1"/>
  <c r="L36" i="20"/>
  <c r="M36" i="20" a="1"/>
  <c r="M36" i="20" s="1"/>
  <c r="N83" i="20" a="1"/>
  <c r="N83" i="20" s="1"/>
  <c r="L83" i="20"/>
  <c r="O83" i="20" s="1" a="1"/>
  <c r="O83" i="20" s="1"/>
  <c r="M83" i="20" a="1"/>
  <c r="M83" i="20" s="1"/>
  <c r="L427" i="20"/>
  <c r="N427" i="20" a="1"/>
  <c r="N427" i="20" s="1"/>
  <c r="M427" i="20" a="1"/>
  <c r="M427" i="20" s="1"/>
  <c r="N363" i="20" a="1"/>
  <c r="N363" i="20" s="1"/>
  <c r="L363" i="20"/>
  <c r="O363" i="20" s="1" a="1"/>
  <c r="O363" i="20" s="1"/>
  <c r="M363" i="20" a="1"/>
  <c r="M363" i="20" s="1"/>
  <c r="M299" i="20" a="1"/>
  <c r="M299" i="20" s="1"/>
  <c r="L299" i="20"/>
  <c r="O299" i="20" s="1" a="1"/>
  <c r="O299" i="20" s="1"/>
  <c r="N299" i="20" a="1"/>
  <c r="N299" i="20" s="1"/>
  <c r="M235" i="20" a="1"/>
  <c r="M235" i="20" s="1"/>
  <c r="L235" i="20"/>
  <c r="N235" i="20" a="1"/>
  <c r="N235" i="20" s="1"/>
  <c r="L171" i="20"/>
  <c r="N171" i="20" a="1"/>
  <c r="N171" i="20" s="1"/>
  <c r="M171" i="20" a="1"/>
  <c r="M171" i="20" s="1"/>
  <c r="L107" i="20"/>
  <c r="M107" i="20" a="1"/>
  <c r="M107" i="20" s="1"/>
  <c r="N107" i="20" a="1"/>
  <c r="N107" i="20" s="1"/>
  <c r="L43" i="20"/>
  <c r="M43" i="20" a="1"/>
  <c r="M43" i="20" s="1"/>
  <c r="N43" i="20" a="1"/>
  <c r="N43" i="20" s="1"/>
  <c r="L402" i="20"/>
  <c r="M402" i="20" a="1"/>
  <c r="M402" i="20" s="1"/>
  <c r="N402" i="20" a="1"/>
  <c r="N402" i="20" s="1"/>
  <c r="N338" i="20" a="1"/>
  <c r="N338" i="20" s="1"/>
  <c r="M338" i="20" a="1"/>
  <c r="M338" i="20" s="1"/>
  <c r="L338" i="20"/>
  <c r="O338" i="20" s="1" a="1"/>
  <c r="O338" i="20" s="1"/>
  <c r="N274" i="20" a="1"/>
  <c r="N274" i="20" s="1"/>
  <c r="M274" i="20" a="1"/>
  <c r="M274" i="20" s="1"/>
  <c r="L274" i="20"/>
  <c r="L210" i="20"/>
  <c r="M210" i="20" a="1"/>
  <c r="M210" i="20" s="1"/>
  <c r="N210" i="20" a="1"/>
  <c r="N210" i="20" s="1"/>
  <c r="L146" i="20"/>
  <c r="M146" i="20" a="1"/>
  <c r="M146" i="20" s="1"/>
  <c r="N146" i="20" a="1"/>
  <c r="N146" i="20" s="1"/>
  <c r="N82" i="20" a="1"/>
  <c r="N82" i="20" s="1"/>
  <c r="L82" i="20"/>
  <c r="M82" i="20" a="1"/>
  <c r="M82" i="20" s="1"/>
  <c r="M18" i="20" a="1"/>
  <c r="M18" i="20" s="1"/>
  <c r="L18" i="20"/>
  <c r="N18" i="20" a="1"/>
  <c r="N18" i="20" s="1"/>
  <c r="N377" i="20" a="1"/>
  <c r="N377" i="20" s="1"/>
  <c r="L377" i="20"/>
  <c r="M377" i="20" a="1"/>
  <c r="M377" i="20" s="1"/>
  <c r="L313" i="20"/>
  <c r="M313" i="20" a="1"/>
  <c r="M313" i="20" s="1"/>
  <c r="N313" i="20" a="1"/>
  <c r="N313" i="20" s="1"/>
  <c r="M249" i="20" a="1"/>
  <c r="M249" i="20" s="1"/>
  <c r="L249" i="20"/>
  <c r="N249" i="20" a="1"/>
  <c r="N249" i="20" s="1"/>
  <c r="N185" i="20" a="1"/>
  <c r="N185" i="20" s="1"/>
  <c r="L185" i="20"/>
  <c r="O185" i="20" s="1" a="1"/>
  <c r="O185" i="20" s="1"/>
  <c r="M185" i="20" a="1"/>
  <c r="M185" i="20" s="1"/>
  <c r="M121" i="20" a="1"/>
  <c r="M121" i="20" s="1"/>
  <c r="N121" i="20" a="1"/>
  <c r="N121" i="20" s="1"/>
  <c r="L121" i="20"/>
  <c r="O121" i="20" s="1" a="1"/>
  <c r="O121" i="20" s="1"/>
  <c r="M57" i="20" a="1"/>
  <c r="M57" i="20" s="1"/>
  <c r="L57" i="20"/>
  <c r="N57" i="20" a="1"/>
  <c r="N57" i="20" s="1"/>
  <c r="L232" i="20"/>
  <c r="M232" i="20" a="1"/>
  <c r="M232" i="20" s="1"/>
  <c r="N232" i="20" a="1"/>
  <c r="N232" i="20" s="1"/>
  <c r="M168" i="20" a="1"/>
  <c r="M168" i="20" s="1"/>
  <c r="L168" i="20"/>
  <c r="N168" i="20" a="1"/>
  <c r="N168" i="20" s="1"/>
  <c r="M104" i="20" a="1"/>
  <c r="M104" i="20" s="1"/>
  <c r="N104" i="20" a="1"/>
  <c r="N104" i="20" s="1"/>
  <c r="L104" i="20"/>
  <c r="N40" i="20" a="1"/>
  <c r="N40" i="20" s="1"/>
  <c r="L40" i="20"/>
  <c r="O40" i="20" s="1" a="1"/>
  <c r="O40" i="20" s="1"/>
  <c r="M40" i="20" a="1"/>
  <c r="M40" i="20" s="1"/>
  <c r="M312" i="20" a="1"/>
  <c r="M312" i="20" s="1"/>
  <c r="L312" i="20"/>
  <c r="N312" i="20" a="1"/>
  <c r="N312" i="20" s="1"/>
  <c r="L383" i="20"/>
  <c r="N383" i="20" a="1"/>
  <c r="N383" i="20" s="1"/>
  <c r="M383" i="20" a="1"/>
  <c r="M383" i="20" s="1"/>
  <c r="N319" i="20" a="1"/>
  <c r="N319" i="20" s="1"/>
  <c r="L319" i="20"/>
  <c r="M319" i="20" a="1"/>
  <c r="M319" i="20" s="1"/>
  <c r="L255" i="20"/>
  <c r="O255" i="20" s="1" a="1"/>
  <c r="O255" i="20" s="1"/>
  <c r="M255" i="20" a="1"/>
  <c r="M255" i="20" s="1"/>
  <c r="N255" i="20" a="1"/>
  <c r="N255" i="20" s="1"/>
  <c r="N191" i="20" a="1"/>
  <c r="N191" i="20" s="1"/>
  <c r="M191" i="20" a="1"/>
  <c r="M191" i="20" s="1"/>
  <c r="L191" i="20"/>
  <c r="L127" i="20"/>
  <c r="M127" i="20" a="1"/>
  <c r="M127" i="20" s="1"/>
  <c r="N127" i="20" a="1"/>
  <c r="N127" i="20" s="1"/>
  <c r="L63" i="20"/>
  <c r="N63" i="20" a="1"/>
  <c r="N63" i="20" s="1"/>
  <c r="M63" i="20" a="1"/>
  <c r="M63" i="20" s="1"/>
  <c r="L400" i="20"/>
  <c r="N400" i="20" a="1"/>
  <c r="N400" i="20" s="1"/>
  <c r="M400" i="20" a="1"/>
  <c r="M400" i="20" s="1"/>
  <c r="N422" i="20" a="1"/>
  <c r="N422" i="20" s="1"/>
  <c r="L422" i="20"/>
  <c r="O422" i="20" s="1" a="1"/>
  <c r="O422" i="20" s="1"/>
  <c r="O423" i="20" s="1" a="1"/>
  <c r="O423" i="20" s="1"/>
  <c r="M422" i="20" a="1"/>
  <c r="M422" i="20" s="1"/>
  <c r="L358" i="20"/>
  <c r="M358" i="20" a="1"/>
  <c r="M358" i="20" s="1"/>
  <c r="N358" i="20" a="1"/>
  <c r="N358" i="20" s="1"/>
  <c r="L294" i="20"/>
  <c r="M294" i="20" a="1"/>
  <c r="M294" i="20" s="1"/>
  <c r="N294" i="20" a="1"/>
  <c r="N294" i="20" s="1"/>
  <c r="M230" i="20" a="1"/>
  <c r="M230" i="20" s="1"/>
  <c r="L230" i="20"/>
  <c r="O230" i="20" s="1" a="1"/>
  <c r="O230" i="20" s="1"/>
  <c r="O231" i="20" s="1" a="1"/>
  <c r="O231" i="20" s="1"/>
  <c r="N230" i="20" a="1"/>
  <c r="N230" i="20" s="1"/>
  <c r="N166" i="20" a="1"/>
  <c r="N166" i="20" s="1"/>
  <c r="L166" i="20"/>
  <c r="O166" i="20" s="1" a="1"/>
  <c r="O166" i="20" s="1"/>
  <c r="M166" i="20" a="1"/>
  <c r="M166" i="20" s="1"/>
  <c r="M102" i="20" a="1"/>
  <c r="M102" i="20" s="1"/>
  <c r="L102" i="20"/>
  <c r="N102" i="20" a="1"/>
  <c r="N102" i="20" s="1"/>
  <c r="L38" i="20"/>
  <c r="M38" i="20" a="1"/>
  <c r="M38" i="20" s="1"/>
  <c r="N38" i="20" a="1"/>
  <c r="N38" i="20" s="1"/>
  <c r="M336" i="20" a="1"/>
  <c r="M336" i="20" s="1"/>
  <c r="L336" i="20"/>
  <c r="O336" i="20" s="1" a="1"/>
  <c r="O336" i="20" s="1"/>
  <c r="N336" i="20" a="1"/>
  <c r="N336" i="20" s="1"/>
  <c r="N405" i="20" a="1"/>
  <c r="N405" i="20" s="1"/>
  <c r="L405" i="20"/>
  <c r="O405" i="20" s="1" a="1"/>
  <c r="O405" i="20" s="1"/>
  <c r="M405" i="20" a="1"/>
  <c r="M405" i="20" s="1"/>
  <c r="M341" i="20" a="1"/>
  <c r="M341" i="20" s="1"/>
  <c r="N341" i="20" a="1"/>
  <c r="N341" i="20" s="1"/>
  <c r="L341" i="20"/>
  <c r="O341" i="20" s="1" a="1"/>
  <c r="O341" i="20" s="1"/>
  <c r="N277" i="20" a="1"/>
  <c r="N277" i="20" s="1"/>
  <c r="L277" i="20"/>
  <c r="M277" i="20" a="1"/>
  <c r="M277" i="20" s="1"/>
  <c r="N213" i="20" a="1"/>
  <c r="N213" i="20" s="1"/>
  <c r="M213" i="20" a="1"/>
  <c r="M213" i="20" s="1"/>
  <c r="L213" i="20"/>
  <c r="M149" i="20" a="1"/>
  <c r="M149" i="20" s="1"/>
  <c r="N149" i="20" a="1"/>
  <c r="N149" i="20" s="1"/>
  <c r="L149" i="20"/>
  <c r="O149" i="20" s="1" a="1"/>
  <c r="O149" i="20" s="1"/>
  <c r="L85" i="20"/>
  <c r="M85" i="20" a="1"/>
  <c r="M85" i="20" s="1"/>
  <c r="N85" i="20" a="1"/>
  <c r="N85" i="20" s="1"/>
  <c r="M21" i="20" a="1"/>
  <c r="M21" i="20" s="1"/>
  <c r="N21" i="20" a="1"/>
  <c r="N21" i="20" s="1"/>
  <c r="L21" i="20"/>
  <c r="L412" i="20"/>
  <c r="N412" i="20" a="1"/>
  <c r="N412" i="20" s="1"/>
  <c r="M412" i="20" a="1"/>
  <c r="M412" i="20" s="1"/>
  <c r="N348" i="20" a="1"/>
  <c r="N348" i="20" s="1"/>
  <c r="L348" i="20"/>
  <c r="M348" i="20" a="1"/>
  <c r="M348" i="20" s="1"/>
  <c r="M284" i="20" a="1"/>
  <c r="M284" i="20" s="1"/>
  <c r="L284" i="20"/>
  <c r="N284" i="20" a="1"/>
  <c r="N284" i="20" s="1"/>
  <c r="N220" i="20" a="1"/>
  <c r="N220" i="20" s="1"/>
  <c r="L220" i="20"/>
  <c r="M220" i="20" a="1"/>
  <c r="M220" i="20" s="1"/>
  <c r="N156" i="20" a="1"/>
  <c r="N156" i="20" s="1"/>
  <c r="L156" i="20"/>
  <c r="M156" i="20" a="1"/>
  <c r="M156" i="20" s="1"/>
  <c r="N92" i="20" a="1"/>
  <c r="N92" i="20" s="1"/>
  <c r="M92" i="20" a="1"/>
  <c r="M92" i="20" s="1"/>
  <c r="L92" i="20"/>
  <c r="M28" i="20" a="1"/>
  <c r="M28" i="20" s="1"/>
  <c r="L28" i="20"/>
  <c r="N28" i="20" a="1"/>
  <c r="N28" i="20" s="1"/>
  <c r="N211" i="20" a="1"/>
  <c r="N211" i="20" s="1"/>
  <c r="M211" i="20" a="1"/>
  <c r="M211" i="20" s="1"/>
  <c r="L211" i="20"/>
  <c r="O211" i="20" s="1" a="1"/>
  <c r="O211" i="20" s="1"/>
  <c r="N419" i="20" a="1"/>
  <c r="N419" i="20" s="1"/>
  <c r="L419" i="20"/>
  <c r="M419" i="20" a="1"/>
  <c r="M419" i="20" s="1"/>
  <c r="L355" i="20"/>
  <c r="N355" i="20" a="1"/>
  <c r="N355" i="20" s="1"/>
  <c r="M355" i="20" a="1"/>
  <c r="M355" i="20" s="1"/>
  <c r="L291" i="20"/>
  <c r="N291" i="20" a="1"/>
  <c r="N291" i="20" s="1"/>
  <c r="M291" i="20" a="1"/>
  <c r="M291" i="20" s="1"/>
  <c r="L227" i="20"/>
  <c r="M227" i="20" a="1"/>
  <c r="M227" i="20" s="1"/>
  <c r="N227" i="20" a="1"/>
  <c r="N227" i="20" s="1"/>
  <c r="M163" i="20" a="1"/>
  <c r="M163" i="20" s="1"/>
  <c r="N163" i="20" a="1"/>
  <c r="N163" i="20" s="1"/>
  <c r="L163" i="20"/>
  <c r="L99" i="20"/>
  <c r="M99" i="20" a="1"/>
  <c r="M99" i="20" s="1"/>
  <c r="N99" i="20" a="1"/>
  <c r="N99" i="20" s="1"/>
  <c r="N35" i="20" a="1"/>
  <c r="N35" i="20" s="1"/>
  <c r="M35" i="20" a="1"/>
  <c r="M35" i="20" s="1"/>
  <c r="L35" i="20"/>
  <c r="N394" i="20" a="1"/>
  <c r="N394" i="20" s="1"/>
  <c r="L394" i="20"/>
  <c r="M394" i="20" a="1"/>
  <c r="M394" i="20" s="1"/>
  <c r="N330" i="20" a="1"/>
  <c r="N330" i="20" s="1"/>
  <c r="M330" i="20" a="1"/>
  <c r="M330" i="20" s="1"/>
  <c r="L330" i="20"/>
  <c r="O330" i="20" s="1" a="1"/>
  <c r="O330" i="20" s="1"/>
  <c r="M266" i="20" a="1"/>
  <c r="M266" i="20" s="1"/>
  <c r="N266" i="20" a="1"/>
  <c r="N266" i="20" s="1"/>
  <c r="L266" i="20"/>
  <c r="M202" i="20" a="1"/>
  <c r="M202" i="20" s="1"/>
  <c r="L202" i="20"/>
  <c r="N202" i="20" a="1"/>
  <c r="N202" i="20" s="1"/>
  <c r="N138" i="20" a="1"/>
  <c r="N138" i="20" s="1"/>
  <c r="L138" i="20"/>
  <c r="M138" i="20" a="1"/>
  <c r="M138" i="20" s="1"/>
  <c r="M74" i="20" a="1"/>
  <c r="M74" i="20" s="1"/>
  <c r="L74" i="20"/>
  <c r="N74" i="20" a="1"/>
  <c r="N74" i="20" s="1"/>
  <c r="M10" i="20" a="1"/>
  <c r="M10" i="20" s="1"/>
  <c r="L10" i="20"/>
  <c r="N10" i="20" a="1"/>
  <c r="N10" i="20" s="1"/>
  <c r="M369" i="20" a="1"/>
  <c r="M369" i="20" s="1"/>
  <c r="L369" i="20"/>
  <c r="O369" i="20" s="1" a="1"/>
  <c r="O369" i="20" s="1"/>
  <c r="N369" i="20" a="1"/>
  <c r="N369" i="20" s="1"/>
  <c r="N305" i="20" a="1"/>
  <c r="N305" i="20" s="1"/>
  <c r="M305" i="20" a="1"/>
  <c r="M305" i="20" s="1"/>
  <c r="L305" i="20"/>
  <c r="O305" i="20" s="1" a="1"/>
  <c r="O305" i="20" s="1"/>
  <c r="M241" i="20" a="1"/>
  <c r="M241" i="20" s="1"/>
  <c r="L241" i="20"/>
  <c r="O241" i="20" s="1" a="1"/>
  <c r="O241" i="20" s="1"/>
  <c r="N241" i="20" a="1"/>
  <c r="N241" i="20" s="1"/>
  <c r="N177" i="20" a="1"/>
  <c r="N177" i="20" s="1"/>
  <c r="L177" i="20"/>
  <c r="M177" i="20" a="1"/>
  <c r="M177" i="20" s="1"/>
  <c r="N113" i="20" a="1"/>
  <c r="N113" i="20" s="1"/>
  <c r="M113" i="20" a="1"/>
  <c r="M113" i="20" s="1"/>
  <c r="L113" i="20"/>
  <c r="M49" i="20" a="1"/>
  <c r="M49" i="20" s="1"/>
  <c r="L49" i="20"/>
  <c r="O49" i="20" s="1" a="1"/>
  <c r="O49" i="20" s="1"/>
  <c r="N49" i="20" a="1"/>
  <c r="N49" i="20" s="1"/>
  <c r="M224" i="20" a="1"/>
  <c r="M224" i="20" s="1"/>
  <c r="L224" i="20"/>
  <c r="N224" i="20" a="1"/>
  <c r="N224" i="20" s="1"/>
  <c r="L160" i="20"/>
  <c r="M160" i="20" a="1"/>
  <c r="M160" i="20" s="1"/>
  <c r="N160" i="20" a="1"/>
  <c r="N160" i="20" s="1"/>
  <c r="N96" i="20" a="1"/>
  <c r="N96" i="20" s="1"/>
  <c r="L96" i="20"/>
  <c r="M96" i="20" a="1"/>
  <c r="M96" i="20" s="1"/>
  <c r="M32" i="20" a="1"/>
  <c r="M32" i="20" s="1"/>
  <c r="L32" i="20"/>
  <c r="N32" i="20" a="1"/>
  <c r="N32" i="20" s="1"/>
  <c r="M256" i="20" a="1"/>
  <c r="M256" i="20" s="1"/>
  <c r="L256" i="20"/>
  <c r="N256" i="20" a="1"/>
  <c r="N256" i="20" s="1"/>
  <c r="M375" i="20" a="1"/>
  <c r="M375" i="20" s="1"/>
  <c r="L375" i="20"/>
  <c r="O375" i="20" s="1" a="1"/>
  <c r="O375" i="20" s="1"/>
  <c r="N375" i="20" a="1"/>
  <c r="N375" i="20" s="1"/>
  <c r="N311" i="20" a="1"/>
  <c r="N311" i="20" s="1"/>
  <c r="L311" i="20"/>
  <c r="O311" i="20" s="1" a="1"/>
  <c r="O311" i="20" s="1"/>
  <c r="M311" i="20" a="1"/>
  <c r="M311" i="20" s="1"/>
  <c r="M247" i="20" a="1"/>
  <c r="M247" i="20" s="1"/>
  <c r="N247" i="20" a="1"/>
  <c r="N247" i="20" s="1"/>
  <c r="L247" i="20"/>
  <c r="M183" i="20" a="1"/>
  <c r="M183" i="20" s="1"/>
  <c r="L183" i="20"/>
  <c r="N183" i="20" a="1"/>
  <c r="N183" i="20" s="1"/>
  <c r="L119" i="20"/>
  <c r="M119" i="20" a="1"/>
  <c r="M119" i="20" s="1"/>
  <c r="N119" i="20" a="1"/>
  <c r="N119" i="20" s="1"/>
  <c r="N55" i="20" a="1"/>
  <c r="N55" i="20" s="1"/>
  <c r="L55" i="20"/>
  <c r="M55" i="20" a="1"/>
  <c r="M55" i="20" s="1"/>
  <c r="M368" i="20" a="1"/>
  <c r="M368" i="20" s="1"/>
  <c r="L368" i="20"/>
  <c r="N368" i="20" a="1"/>
  <c r="N368" i="20" s="1"/>
  <c r="M414" i="20" a="1"/>
  <c r="M414" i="20" s="1"/>
  <c r="L414" i="20"/>
  <c r="O414" i="20" s="1" a="1"/>
  <c r="O414" i="20" s="1"/>
  <c r="N414" i="20" a="1"/>
  <c r="N414" i="20" s="1"/>
  <c r="L350" i="20"/>
  <c r="N350" i="20" a="1"/>
  <c r="N350" i="20" s="1"/>
  <c r="M350" i="20" a="1"/>
  <c r="M350" i="20" s="1"/>
  <c r="M286" i="20" a="1"/>
  <c r="M286" i="20" s="1"/>
  <c r="L286" i="20"/>
  <c r="N286" i="20" a="1"/>
  <c r="N286" i="20" s="1"/>
  <c r="N222" i="20" a="1"/>
  <c r="N222" i="20" s="1"/>
  <c r="L222" i="20"/>
  <c r="O222" i="20" s="1" a="1"/>
  <c r="O222" i="20" s="1"/>
  <c r="M222" i="20" a="1"/>
  <c r="M222" i="20" s="1"/>
  <c r="M158" i="20" a="1"/>
  <c r="M158" i="20" s="1"/>
  <c r="L158" i="20"/>
  <c r="N158" i="20" a="1"/>
  <c r="N158" i="20" s="1"/>
  <c r="N94" i="20" a="1"/>
  <c r="N94" i="20" s="1"/>
  <c r="L94" i="20"/>
  <c r="M94" i="20" a="1"/>
  <c r="M94" i="20" s="1"/>
  <c r="N30" i="20" a="1"/>
  <c r="N30" i="20" s="1"/>
  <c r="L30" i="20"/>
  <c r="M30" i="20" a="1"/>
  <c r="M30" i="20" s="1"/>
  <c r="N320" i="20" a="1"/>
  <c r="N320" i="20" s="1"/>
  <c r="L320" i="20"/>
  <c r="O320" i="20" s="1" a="1"/>
  <c r="O320" i="20" s="1"/>
  <c r="M320" i="20" a="1"/>
  <c r="M320" i="20" s="1"/>
  <c r="M397" i="20" a="1"/>
  <c r="M397" i="20" s="1"/>
  <c r="L397" i="20"/>
  <c r="O397" i="20" s="1" a="1"/>
  <c r="O397" i="20" s="1"/>
  <c r="O398" i="20" s="1" a="1"/>
  <c r="O398" i="20" s="1"/>
  <c r="N397" i="20" a="1"/>
  <c r="N397" i="20" s="1"/>
  <c r="M333" i="20" a="1"/>
  <c r="M333" i="20" s="1"/>
  <c r="L333" i="20"/>
  <c r="O333" i="20" s="1" a="1"/>
  <c r="O333" i="20" s="1"/>
  <c r="N333" i="20" a="1"/>
  <c r="N333" i="20" s="1"/>
  <c r="L269" i="20"/>
  <c r="M269" i="20" a="1"/>
  <c r="M269" i="20" s="1"/>
  <c r="N269" i="20" a="1"/>
  <c r="N269" i="20" s="1"/>
  <c r="M205" i="20" a="1"/>
  <c r="M205" i="20" s="1"/>
  <c r="N205" i="20" a="1"/>
  <c r="N205" i="20" s="1"/>
  <c r="L205" i="20"/>
  <c r="L141" i="20"/>
  <c r="M141" i="20" a="1"/>
  <c r="M141" i="20" s="1"/>
  <c r="N141" i="20" a="1"/>
  <c r="N141" i="20" s="1"/>
  <c r="M77" i="20" a="1"/>
  <c r="M77" i="20" s="1"/>
  <c r="L77" i="20"/>
  <c r="O77" i="20" s="1" a="1"/>
  <c r="O77" i="20" s="1"/>
  <c r="N77" i="20" a="1"/>
  <c r="N77" i="20" s="1"/>
  <c r="N13" i="20" a="1"/>
  <c r="N13" i="20" s="1"/>
  <c r="M13" i="20" a="1"/>
  <c r="M13" i="20" s="1"/>
  <c r="N404" i="20" a="1"/>
  <c r="N404" i="20" s="1"/>
  <c r="L404" i="20"/>
  <c r="M404" i="20" a="1"/>
  <c r="M404" i="20" s="1"/>
  <c r="M340" i="20" a="1"/>
  <c r="M340" i="20" s="1"/>
  <c r="L340" i="20"/>
  <c r="N340" i="20" a="1"/>
  <c r="N340" i="20" s="1"/>
  <c r="N276" i="20" a="1"/>
  <c r="N276" i="20" s="1"/>
  <c r="L276" i="20"/>
  <c r="O276" i="20" s="1" a="1"/>
  <c r="O276" i="20" s="1"/>
  <c r="M276" i="20" a="1"/>
  <c r="M276" i="20" s="1"/>
  <c r="N212" i="20" a="1"/>
  <c r="N212" i="20" s="1"/>
  <c r="L212" i="20"/>
  <c r="M212" i="20" a="1"/>
  <c r="M212" i="20" s="1"/>
  <c r="L148" i="20"/>
  <c r="M148" i="20" a="1"/>
  <c r="M148" i="20" s="1"/>
  <c r="N148" i="20" a="1"/>
  <c r="N148" i="20" s="1"/>
  <c r="M84" i="20" a="1"/>
  <c r="M84" i="20" s="1"/>
  <c r="L84" i="20"/>
  <c r="N84" i="20" a="1"/>
  <c r="N84" i="20" s="1"/>
  <c r="L20" i="20"/>
  <c r="M20" i="20" a="1"/>
  <c r="M20" i="20" s="1"/>
  <c r="N20" i="20" a="1"/>
  <c r="N20" i="20" s="1"/>
  <c r="N411" i="20" a="1"/>
  <c r="N411" i="20" s="1"/>
  <c r="L411" i="20"/>
  <c r="O411" i="20" s="1" a="1"/>
  <c r="O411" i="20" s="1"/>
  <c r="M411" i="20" a="1"/>
  <c r="M411" i="20" s="1"/>
  <c r="M347" i="20" a="1"/>
  <c r="M347" i="20" s="1"/>
  <c r="L347" i="20"/>
  <c r="O347" i="20" s="1" a="1"/>
  <c r="O347" i="20" s="1"/>
  <c r="N347" i="20" a="1"/>
  <c r="N347" i="20" s="1"/>
  <c r="L283" i="20"/>
  <c r="O283" i="20" s="1" a="1"/>
  <c r="O283" i="20" s="1"/>
  <c r="M283" i="20" a="1"/>
  <c r="M283" i="20" s="1"/>
  <c r="N283" i="20" a="1"/>
  <c r="N283" i="20" s="1"/>
  <c r="N219" i="20" a="1"/>
  <c r="N219" i="20" s="1"/>
  <c r="M219" i="20" a="1"/>
  <c r="M219" i="20" s="1"/>
  <c r="L219" i="20"/>
  <c r="O219" i="20" s="1" a="1"/>
  <c r="O219" i="20" s="1"/>
  <c r="L155" i="20"/>
  <c r="N155" i="20" a="1"/>
  <c r="N155" i="20" s="1"/>
  <c r="M155" i="20" a="1"/>
  <c r="M155" i="20" s="1"/>
  <c r="N91" i="20" a="1"/>
  <c r="N91" i="20" s="1"/>
  <c r="M91" i="20" a="1"/>
  <c r="M91" i="20" s="1"/>
  <c r="L91" i="20"/>
  <c r="N27" i="20" a="1"/>
  <c r="N27" i="20" s="1"/>
  <c r="L27" i="20"/>
  <c r="M27" i="20" a="1"/>
  <c r="M27" i="20" s="1"/>
  <c r="N386" i="20" a="1"/>
  <c r="N386" i="20" s="1"/>
  <c r="L386" i="20"/>
  <c r="M386" i="20" a="1"/>
  <c r="M386" i="20" s="1"/>
  <c r="N322" i="20" a="1"/>
  <c r="N322" i="20" s="1"/>
  <c r="M322" i="20" a="1"/>
  <c r="M322" i="20" s="1"/>
  <c r="L322" i="20"/>
  <c r="L258" i="20"/>
  <c r="N258" i="20" a="1"/>
  <c r="N258" i="20" s="1"/>
  <c r="M258" i="20" a="1"/>
  <c r="M258" i="20" s="1"/>
  <c r="N194" i="20" a="1"/>
  <c r="N194" i="20" s="1"/>
  <c r="M194" i="20" a="1"/>
  <c r="M194" i="20" s="1"/>
  <c r="L194" i="20"/>
  <c r="M130" i="20" a="1"/>
  <c r="M130" i="20" s="1"/>
  <c r="L130" i="20"/>
  <c r="N130" i="20" a="1"/>
  <c r="N130" i="20" s="1"/>
  <c r="L66" i="20"/>
  <c r="M66" i="20" a="1"/>
  <c r="M66" i="20" s="1"/>
  <c r="N66" i="20" a="1"/>
  <c r="N66" i="20" s="1"/>
  <c r="L425" i="20"/>
  <c r="M425" i="20" a="1"/>
  <c r="M425" i="20" s="1"/>
  <c r="N425" i="20" a="1"/>
  <c r="N425" i="20" s="1"/>
  <c r="M361" i="20" a="1"/>
  <c r="M361" i="20" s="1"/>
  <c r="L361" i="20"/>
  <c r="N361" i="20" a="1"/>
  <c r="N361" i="20" s="1"/>
  <c r="N297" i="20" a="1"/>
  <c r="N297" i="20" s="1"/>
  <c r="L297" i="20"/>
  <c r="M297" i="20" a="1"/>
  <c r="M297" i="20" s="1"/>
  <c r="N233" i="20" a="1"/>
  <c r="N233" i="20" s="1"/>
  <c r="M233" i="20" a="1"/>
  <c r="M233" i="20" s="1"/>
  <c r="L233" i="20"/>
  <c r="O233" i="20" s="1" a="1"/>
  <c r="O233" i="20" s="1"/>
  <c r="M169" i="20" a="1"/>
  <c r="M169" i="20" s="1"/>
  <c r="L169" i="20"/>
  <c r="N169" i="20" a="1"/>
  <c r="N169" i="20" s="1"/>
  <c r="L105" i="20"/>
  <c r="N105" i="20" a="1"/>
  <c r="N105" i="20" s="1"/>
  <c r="M105" i="20" a="1"/>
  <c r="M105" i="20" s="1"/>
  <c r="N41" i="20" a="1"/>
  <c r="N41" i="20" s="1"/>
  <c r="L41" i="20"/>
  <c r="M41" i="20" a="1"/>
  <c r="M41" i="20" s="1"/>
  <c r="M216" i="20" a="1"/>
  <c r="M216" i="20" s="1"/>
  <c r="N216" i="20" a="1"/>
  <c r="N216" i="20" s="1"/>
  <c r="L216" i="20"/>
  <c r="O216" i="20" s="1" a="1"/>
  <c r="O216" i="20" s="1"/>
  <c r="N152" i="20" a="1"/>
  <c r="N152" i="20" s="1"/>
  <c r="L152" i="20"/>
  <c r="O152" i="20" s="1" a="1"/>
  <c r="O152" i="20" s="1"/>
  <c r="M152" i="20" a="1"/>
  <c r="M152" i="20" s="1"/>
  <c r="M88" i="20" a="1"/>
  <c r="M88" i="20" s="1"/>
  <c r="L88" i="20"/>
  <c r="N88" i="20" a="1"/>
  <c r="N88" i="20" s="1"/>
  <c r="L24" i="20"/>
  <c r="N24" i="20" a="1"/>
  <c r="N24" i="20" s="1"/>
  <c r="M24" i="20" a="1"/>
  <c r="M24" i="20" s="1"/>
  <c r="L4" i="20"/>
  <c r="N4" i="20" a="1"/>
  <c r="N4" i="20" s="1"/>
  <c r="M4" i="20" a="1"/>
  <c r="M4" i="20" s="1"/>
  <c r="L367" i="20"/>
  <c r="N367" i="20" a="1"/>
  <c r="N367" i="20" s="1"/>
  <c r="M367" i="20" a="1"/>
  <c r="M367" i="20" s="1"/>
  <c r="N303" i="20" a="1"/>
  <c r="N303" i="20" s="1"/>
  <c r="M303" i="20" a="1"/>
  <c r="M303" i="20" s="1"/>
  <c r="L303" i="20"/>
  <c r="L239" i="20"/>
  <c r="M239" i="20" a="1"/>
  <c r="M239" i="20" s="1"/>
  <c r="N239" i="20" a="1"/>
  <c r="N239" i="20" s="1"/>
  <c r="L175" i="20"/>
  <c r="M175" i="20" a="1"/>
  <c r="M175" i="20" s="1"/>
  <c r="N175" i="20" a="1"/>
  <c r="N175" i="20" s="1"/>
  <c r="N111" i="20" a="1"/>
  <c r="N111" i="20" s="1"/>
  <c r="L111" i="20"/>
  <c r="M111" i="20" a="1"/>
  <c r="M111" i="20" s="1"/>
  <c r="M47" i="20" a="1"/>
  <c r="M47" i="20" s="1"/>
  <c r="N47" i="20" a="1"/>
  <c r="N47" i="20" s="1"/>
  <c r="L47" i="20"/>
  <c r="N344" i="20" a="1"/>
  <c r="N344" i="20" s="1"/>
  <c r="M344" i="20" a="1"/>
  <c r="M344" i="20" s="1"/>
  <c r="L344" i="20"/>
  <c r="O344" i="20" s="1" a="1"/>
  <c r="O344" i="20" s="1"/>
  <c r="M406" i="20" a="1"/>
  <c r="M406" i="20" s="1"/>
  <c r="L406" i="20"/>
  <c r="N406" i="20" a="1"/>
  <c r="N406" i="20" s="1"/>
  <c r="M342" i="20" a="1"/>
  <c r="M342" i="20" s="1"/>
  <c r="L342" i="20"/>
  <c r="N342" i="20" a="1"/>
  <c r="N342" i="20" s="1"/>
  <c r="N278" i="20" a="1"/>
  <c r="N278" i="20" s="1"/>
  <c r="L278" i="20"/>
  <c r="M278" i="20" a="1"/>
  <c r="M278" i="20" s="1"/>
  <c r="M214" i="20" a="1"/>
  <c r="M214" i="20" s="1"/>
  <c r="L214" i="20"/>
  <c r="N214" i="20" a="1"/>
  <c r="N214" i="20" s="1"/>
  <c r="M150" i="20" a="1"/>
  <c r="M150" i="20" s="1"/>
  <c r="L150" i="20"/>
  <c r="N150" i="20" a="1"/>
  <c r="N150" i="20" s="1"/>
  <c r="N86" i="20" a="1"/>
  <c r="N86" i="20" s="1"/>
  <c r="L86" i="20"/>
  <c r="M86" i="20" a="1"/>
  <c r="M86" i="20" s="1"/>
  <c r="M22" i="20" a="1"/>
  <c r="M22" i="20" s="1"/>
  <c r="L22" i="20"/>
  <c r="O22" i="20" s="1" a="1"/>
  <c r="O22" i="20" s="1"/>
  <c r="N22" i="20" a="1"/>
  <c r="N22" i="20" s="1"/>
  <c r="N296" i="20" a="1"/>
  <c r="N296" i="20" s="1"/>
  <c r="L296" i="20"/>
  <c r="O296" i="20" s="1" a="1"/>
  <c r="O296" i="20" s="1"/>
  <c r="M296" i="20" a="1"/>
  <c r="M296" i="20" s="1"/>
  <c r="N389" i="20" a="1"/>
  <c r="N389" i="20" s="1"/>
  <c r="M389" i="20" a="1"/>
  <c r="M389" i="20" s="1"/>
  <c r="L389" i="20"/>
  <c r="N325" i="20" a="1"/>
  <c r="N325" i="20" s="1"/>
  <c r="L325" i="20"/>
  <c r="M325" i="20" a="1"/>
  <c r="M325" i="20" s="1"/>
  <c r="N261" i="20" a="1"/>
  <c r="N261" i="20" s="1"/>
  <c r="M261" i="20" a="1"/>
  <c r="M261" i="20" s="1"/>
  <c r="L261" i="20"/>
  <c r="N197" i="20" a="1"/>
  <c r="N197" i="20" s="1"/>
  <c r="L197" i="20"/>
  <c r="M197" i="20" a="1"/>
  <c r="M197" i="20" s="1"/>
  <c r="M133" i="20" a="1"/>
  <c r="M133" i="20" s="1"/>
  <c r="N133" i="20" a="1"/>
  <c r="N133" i="20" s="1"/>
  <c r="L133" i="20"/>
  <c r="O133" i="20" s="1" a="1"/>
  <c r="O133" i="20" s="1"/>
  <c r="O134" i="20" s="1" a="1"/>
  <c r="O134" i="20" s="1"/>
  <c r="N69" i="20" a="1"/>
  <c r="N69" i="20" s="1"/>
  <c r="L69" i="20"/>
  <c r="M69" i="20" a="1"/>
  <c r="M69" i="20" s="1"/>
  <c r="L5" i="20"/>
  <c r="N5" i="20" a="1"/>
  <c r="N5" i="20" s="1"/>
  <c r="M5" i="20" a="1"/>
  <c r="M5" i="20" s="1"/>
  <c r="M396" i="20" a="1"/>
  <c r="M396" i="20" s="1"/>
  <c r="L396" i="20"/>
  <c r="N396" i="20" a="1"/>
  <c r="N396" i="20" s="1"/>
  <c r="M332" i="20" a="1"/>
  <c r="M332" i="20" s="1"/>
  <c r="L332" i="20"/>
  <c r="N332" i="20" a="1"/>
  <c r="N332" i="20" s="1"/>
  <c r="L268" i="20"/>
  <c r="N268" i="20" a="1"/>
  <c r="N268" i="20" s="1"/>
  <c r="M268" i="20" a="1"/>
  <c r="M268" i="20" s="1"/>
  <c r="M204" i="20" a="1"/>
  <c r="M204" i="20" s="1"/>
  <c r="N204" i="20" a="1"/>
  <c r="N204" i="20" s="1"/>
  <c r="L204" i="20"/>
  <c r="O204" i="20" s="1" a="1"/>
  <c r="O204" i="20" s="1"/>
  <c r="L140" i="20"/>
  <c r="N140" i="20" a="1"/>
  <c r="N140" i="20" s="1"/>
  <c r="M140" i="20" a="1"/>
  <c r="M140" i="20" s="1"/>
  <c r="M76" i="20" a="1"/>
  <c r="M76" i="20" s="1"/>
  <c r="N76" i="20" a="1"/>
  <c r="N76" i="20" s="1"/>
  <c r="L76" i="20"/>
  <c r="L12" i="20"/>
  <c r="N12" i="20" a="1"/>
  <c r="N12" i="20" s="1"/>
  <c r="M12" i="20" a="1"/>
  <c r="M12" i="20" s="1"/>
  <c r="J38" i="12"/>
  <c r="K38" i="12" s="1"/>
  <c r="J35" i="12"/>
  <c r="K35" i="12" s="1"/>
  <c r="J36" i="12"/>
  <c r="K36" i="12" s="1"/>
  <c r="J34" i="12"/>
  <c r="K34" i="12" s="1"/>
  <c r="J33" i="12"/>
  <c r="K33" i="12" s="1"/>
  <c r="J37" i="12"/>
  <c r="K37" i="12" s="1"/>
  <c r="K2" i="9"/>
  <c r="J3" i="9" s="1"/>
  <c r="I3" i="9" s="1"/>
  <c r="I20" i="12" a="1"/>
  <c r="IH198" i="15"/>
  <c r="IK198" i="15"/>
  <c r="IJ198" i="15"/>
  <c r="II198" i="15"/>
  <c r="IG198" i="15"/>
  <c r="IN198" i="15"/>
  <c r="IF198" i="15"/>
  <c r="IM198" i="15"/>
  <c r="IL198" i="15"/>
  <c r="IE198" i="15"/>
  <c r="HW198" i="15"/>
  <c r="HO198" i="15"/>
  <c r="HV198" i="15"/>
  <c r="HN198" i="15"/>
  <c r="IC198" i="15"/>
  <c r="HU198" i="15"/>
  <c r="HM198" i="15"/>
  <c r="ID198" i="15"/>
  <c r="IB198" i="15"/>
  <c r="HT198" i="15"/>
  <c r="HL198" i="15"/>
  <c r="IA198" i="15"/>
  <c r="HS198" i="15"/>
  <c r="HK198" i="15"/>
  <c r="HZ198" i="15"/>
  <c r="HR198" i="15"/>
  <c r="HJ198" i="15"/>
  <c r="HY198" i="15"/>
  <c r="HQ198" i="15"/>
  <c r="HI198" i="15"/>
  <c r="HX198" i="15"/>
  <c r="HP198" i="15"/>
  <c r="O117" i="20" l="1" a="1"/>
  <c r="O117" i="20" s="1"/>
  <c r="O189" i="20" a="1"/>
  <c r="O189" i="20" s="1"/>
  <c r="O190" i="20" s="1" a="1"/>
  <c r="O190" i="20" s="1"/>
  <c r="O191" i="20" s="1" a="1"/>
  <c r="O191" i="20" s="1"/>
  <c r="O192" i="20" s="1" a="1"/>
  <c r="O192" i="20" s="1"/>
  <c r="O212" i="20" a="1"/>
  <c r="O212" i="20" s="1"/>
  <c r="O334" i="20" a="1"/>
  <c r="O334" i="20" s="1"/>
  <c r="O335" i="20" s="1" a="1"/>
  <c r="O335" i="20" s="1"/>
  <c r="O135" i="20" a="1"/>
  <c r="O135" i="20" s="1"/>
  <c r="O136" i="20" s="1" a="1"/>
  <c r="O136" i="20" s="1"/>
  <c r="O137" i="20" s="1" a="1"/>
  <c r="O137" i="20" s="1"/>
  <c r="O138" i="20" s="1" a="1"/>
  <c r="O138" i="20" s="1"/>
  <c r="O111" i="20" a="1"/>
  <c r="O111" i="20" s="1"/>
  <c r="O112" i="20" s="1" a="1"/>
  <c r="O112" i="20" s="1"/>
  <c r="O113" i="20" s="1" a="1"/>
  <c r="O113" i="20" s="1"/>
  <c r="O114" i="20" s="1" a="1"/>
  <c r="O114" i="20" s="1"/>
  <c r="O115" i="20" s="1" a="1"/>
  <c r="O115" i="20" s="1"/>
  <c r="O274" i="20" a="1"/>
  <c r="O274" i="20" s="1"/>
  <c r="O275" i="20" s="1" a="1"/>
  <c r="O275" i="20" s="1"/>
  <c r="O194" i="20" a="1"/>
  <c r="O194" i="20" s="1"/>
  <c r="O195" i="20" s="1" a="1"/>
  <c r="O195" i="20" s="1"/>
  <c r="O196" i="20" s="1" a="1"/>
  <c r="O196" i="20" s="1"/>
  <c r="O197" i="20" s="1" a="1"/>
  <c r="O197" i="20" s="1"/>
  <c r="O181" i="20" a="1"/>
  <c r="O181" i="20" s="1"/>
  <c r="O182" i="20" s="1" a="1"/>
  <c r="O182" i="20" s="1"/>
  <c r="O183" i="20" s="1" a="1"/>
  <c r="O183" i="20" s="1"/>
  <c r="O184" i="20" s="1" a="1"/>
  <c r="O184" i="20" s="1"/>
  <c r="O345" i="20" a="1"/>
  <c r="O345" i="20" s="1"/>
  <c r="O346" i="20" s="1" a="1"/>
  <c r="O346" i="20" s="1"/>
  <c r="O130" i="20" a="1"/>
  <c r="O130" i="20" s="1"/>
  <c r="O131" i="20" s="1" a="1"/>
  <c r="O131" i="20" s="1"/>
  <c r="O132" i="20" s="1" a="1"/>
  <c r="O132" i="20" s="1"/>
  <c r="O104" i="20" a="1"/>
  <c r="O104" i="20" s="1"/>
  <c r="O105" i="20" s="1" a="1"/>
  <c r="O105" i="20" s="1"/>
  <c r="O106" i="20" s="1" a="1"/>
  <c r="O106" i="20" s="1"/>
  <c r="O107" i="20" s="1" a="1"/>
  <c r="O107" i="20" s="1"/>
  <c r="O108" i="20" s="1" a="1"/>
  <c r="O108" i="20" s="1"/>
  <c r="O109" i="20" s="1" a="1"/>
  <c r="O109" i="20" s="1"/>
  <c r="O252" i="20" a="1"/>
  <c r="O252" i="20" s="1"/>
  <c r="O253" i="20" s="1" a="1"/>
  <c r="O253" i="20" s="1"/>
  <c r="O254" i="20" s="1" a="1"/>
  <c r="O254" i="20" s="1"/>
  <c r="O404" i="20" a="1"/>
  <c r="O404" i="20" s="1"/>
  <c r="O315" i="20" a="1"/>
  <c r="O315" i="20" s="1"/>
  <c r="O316" i="20" s="1" a="1"/>
  <c r="O316" i="20" s="1"/>
  <c r="O337" i="20" a="1"/>
  <c r="O337" i="20" s="1"/>
  <c r="O261" i="20" a="1"/>
  <c r="O261" i="20" s="1"/>
  <c r="O262" i="20" s="1" a="1"/>
  <c r="O262" i="20" s="1"/>
  <c r="O288" i="20" a="1"/>
  <c r="O288" i="20" s="1"/>
  <c r="O289" i="20" s="1" a="1"/>
  <c r="O289" i="20" s="1"/>
  <c r="O217" i="20" a="1"/>
  <c r="O217" i="20" s="1"/>
  <c r="O213" i="20" a="1"/>
  <c r="O213" i="20" s="1"/>
  <c r="O214" i="20" s="1" a="1"/>
  <c r="O214" i="20" s="1"/>
  <c r="O215" i="20" s="1" a="1"/>
  <c r="O215" i="20" s="1"/>
  <c r="O353" i="20" a="1"/>
  <c r="O353" i="20" s="1"/>
  <c r="O421" i="20" a="1"/>
  <c r="O421" i="20" s="1"/>
  <c r="O200" i="20" a="1"/>
  <c r="O200" i="20" s="1"/>
  <c r="O201" i="20" s="1" a="1"/>
  <c r="O201" i="20" s="1"/>
  <c r="O202" i="20" s="1" a="1"/>
  <c r="O202" i="20" s="1"/>
  <c r="O348" i="20" a="1"/>
  <c r="O348" i="20" s="1"/>
  <c r="O406" i="20" a="1"/>
  <c r="O406" i="20" s="1"/>
  <c r="O14" i="20" a="1"/>
  <c r="O14" i="20" s="1"/>
  <c r="O15" i="20" s="1" a="1"/>
  <c r="O15" i="20" s="1"/>
  <c r="O16" i="20" s="1" a="1"/>
  <c r="O16" i="20" s="1"/>
  <c r="O17" i="20" s="1" a="1"/>
  <c r="O17" i="20" s="1"/>
  <c r="O18" i="20" s="1" a="1"/>
  <c r="O18" i="20" s="1"/>
  <c r="O19" i="20" s="1" a="1"/>
  <c r="O19" i="20" s="1"/>
  <c r="O20" i="20" s="1" a="1"/>
  <c r="O20" i="20" s="1"/>
  <c r="O21" i="20" s="1" a="1"/>
  <c r="O21" i="20" s="1"/>
  <c r="O218" i="20" a="1"/>
  <c r="O218" i="20" s="1"/>
  <c r="O342" i="20" a="1"/>
  <c r="O342" i="20" s="1"/>
  <c r="O343" i="20" s="1" a="1"/>
  <c r="O343" i="20" s="1"/>
  <c r="O394" i="20" a="1"/>
  <c r="O394" i="20" s="1"/>
  <c r="O209" i="20" a="1"/>
  <c r="O209" i="20" s="1"/>
  <c r="O210" i="20" s="1" a="1"/>
  <c r="O210" i="20" s="1"/>
  <c r="O328" i="20" a="1"/>
  <c r="O328" i="20" s="1"/>
  <c r="O329" i="20" s="1" a="1"/>
  <c r="O329" i="20" s="1"/>
  <c r="O410" i="20" a="1"/>
  <c r="O410" i="20" s="1"/>
  <c r="O373" i="20" a="1"/>
  <c r="O373" i="20" s="1"/>
  <c r="O374" i="20" s="1" a="1"/>
  <c r="O374" i="20" s="1"/>
  <c r="O96" i="20" a="1"/>
  <c r="O96" i="20" s="1"/>
  <c r="O97" i="20" s="1" a="1"/>
  <c r="O97" i="20" s="1"/>
  <c r="O205" i="20" a="1"/>
  <c r="O205" i="20" s="1"/>
  <c r="O206" i="20" s="1" a="1"/>
  <c r="O206" i="20" s="1"/>
  <c r="O207" i="20" s="1" a="1"/>
  <c r="O207" i="20" s="1"/>
  <c r="O23" i="20" a="1"/>
  <c r="O23" i="20" s="1"/>
  <c r="O24" i="20" s="1" a="1"/>
  <c r="O24" i="20" s="1"/>
  <c r="O25" i="20" s="1" a="1"/>
  <c r="O25" i="20" s="1"/>
  <c r="O26" i="20" s="1" a="1"/>
  <c r="O26" i="20" s="1"/>
  <c r="O27" i="20" s="1" a="1"/>
  <c r="O27" i="20" s="1"/>
  <c r="O28" i="20" s="1" a="1"/>
  <c r="O28" i="20" s="1"/>
  <c r="O29" i="20" s="1" a="1"/>
  <c r="O29" i="20" s="1"/>
  <c r="O30" i="20" s="1" a="1"/>
  <c r="O30" i="20" s="1"/>
  <c r="O41" i="20" a="1"/>
  <c r="O41" i="20" s="1"/>
  <c r="O42" i="20" s="1" a="1"/>
  <c r="O42" i="20" s="1"/>
  <c r="O43" i="20" s="1" a="1"/>
  <c r="O43" i="20" s="1"/>
  <c r="O44" i="20" s="1" a="1"/>
  <c r="O44" i="20" s="1"/>
  <c r="O45" i="20" s="1" a="1"/>
  <c r="O45" i="20" s="1"/>
  <c r="O46" i="20" s="1" a="1"/>
  <c r="O46" i="20" s="1"/>
  <c r="O47" i="20" s="1" a="1"/>
  <c r="O47" i="20" s="1"/>
  <c r="O48" i="20" s="1" a="1"/>
  <c r="O48" i="20" s="1"/>
  <c r="O284" i="20" a="1"/>
  <c r="O284" i="20" s="1"/>
  <c r="O285" i="20" s="1" a="1"/>
  <c r="O285" i="20" s="1"/>
  <c r="O286" i="20" s="1" a="1"/>
  <c r="O286" i="20" s="1"/>
  <c r="O186" i="20" a="1"/>
  <c r="O186" i="20" s="1"/>
  <c r="O187" i="20" s="1" a="1"/>
  <c r="O187" i="20" s="1"/>
  <c r="O389" i="20" a="1"/>
  <c r="O389" i="20" s="1"/>
  <c r="O390" i="20" s="1" a="1"/>
  <c r="O390" i="20" s="1"/>
  <c r="O150" i="20" a="1"/>
  <c r="O150" i="20" s="1"/>
  <c r="O151" i="20" s="1" a="1"/>
  <c r="O151" i="20" s="1"/>
  <c r="O386" i="20" a="1"/>
  <c r="O386" i="20" s="1"/>
  <c r="O387" i="20" s="1" a="1"/>
  <c r="O387" i="20" s="1"/>
  <c r="O412" i="20" a="1"/>
  <c r="O412" i="20" s="1"/>
  <c r="O413" i="20" s="1" a="1"/>
  <c r="O413" i="20" s="1"/>
  <c r="O258" i="20" a="1"/>
  <c r="O258" i="20" s="1"/>
  <c r="O259" i="20" s="1" a="1"/>
  <c r="O259" i="20" s="1"/>
  <c r="O249" i="20" a="1"/>
  <c r="O249" i="20" s="1"/>
  <c r="O250" i="20" s="1" a="1"/>
  <c r="O250" i="20" s="1"/>
  <c r="O419" i="20" a="1"/>
  <c r="O419" i="20" s="1"/>
  <c r="O396" i="20" a="1"/>
  <c r="O396" i="20" s="1"/>
  <c r="O408" i="20" a="1"/>
  <c r="O408" i="20" s="1"/>
  <c r="O271" i="20" a="1"/>
  <c r="O271" i="20" s="1"/>
  <c r="O272" i="20" s="1" a="1"/>
  <c r="O272" i="20" s="1"/>
  <c r="O32" i="20" a="1"/>
  <c r="O32" i="20" s="1"/>
  <c r="O33" i="20" s="1" a="1"/>
  <c r="O33" i="20" s="1"/>
  <c r="O34" i="20" s="1" a="1"/>
  <c r="O34" i="20" s="1"/>
  <c r="O35" i="20" s="1" a="1"/>
  <c r="O35" i="20" s="1"/>
  <c r="O36" i="20" s="1" a="1"/>
  <c r="O36" i="20" s="1"/>
  <c r="O37" i="20" s="1" a="1"/>
  <c r="O37" i="20" s="1"/>
  <c r="O38" i="20" s="1" a="1"/>
  <c r="O38" i="20" s="1"/>
  <c r="O39" i="20" s="1" a="1"/>
  <c r="O39" i="20" s="1"/>
  <c r="O163" i="20" a="1"/>
  <c r="O163" i="20" s="1"/>
  <c r="O164" i="20" s="1" a="1"/>
  <c r="O164" i="20" s="1"/>
  <c r="O165" i="20" s="1" a="1"/>
  <c r="O165" i="20" s="1"/>
  <c r="O302" i="20" a="1"/>
  <c r="O302" i="20" s="1"/>
  <c r="O303" i="20" s="1" a="1"/>
  <c r="O303" i="20" s="1"/>
  <c r="O304" i="20" s="1" a="1"/>
  <c r="O304" i="20" s="1"/>
  <c r="O158" i="20" a="1"/>
  <c r="O158" i="20" s="1"/>
  <c r="O159" i="20" s="1" a="1"/>
  <c r="O159" i="20" s="1"/>
  <c r="O160" i="20" s="1" a="1"/>
  <c r="O160" i="20" s="1"/>
  <c r="O161" i="20" s="1" a="1"/>
  <c r="O161" i="20" s="1"/>
  <c r="O339" i="20" a="1"/>
  <c r="O339" i="20" s="1"/>
  <c r="O340" i="20" s="1" a="1"/>
  <c r="O340" i="20" s="1"/>
  <c r="O312" i="20" a="1"/>
  <c r="O312" i="20" s="1"/>
  <c r="O313" i="20" s="1" a="1"/>
  <c r="O313" i="20" s="1"/>
  <c r="O321" i="20" a="1"/>
  <c r="O321" i="20" s="1"/>
  <c r="O322" i="20" s="1" a="1"/>
  <c r="O322" i="20" s="1"/>
  <c r="O118" i="20" a="1"/>
  <c r="O118" i="20" s="1"/>
  <c r="O119" i="20" s="1" a="1"/>
  <c r="O119" i="20" s="1"/>
  <c r="O120" i="20" s="1" a="1"/>
  <c r="O120" i="20" s="1"/>
  <c r="O174" i="20" a="1"/>
  <c r="O174" i="20" s="1"/>
  <c r="O175" i="20" s="1" a="1"/>
  <c r="O175" i="20" s="1"/>
  <c r="O176" i="20" s="1" a="1"/>
  <c r="O176" i="20" s="1"/>
  <c r="O177" i="20" s="1" a="1"/>
  <c r="O177" i="20" s="1"/>
  <c r="O178" i="20" s="1" a="1"/>
  <c r="O178" i="20" s="1"/>
  <c r="O179" i="20" s="1" a="1"/>
  <c r="O179" i="20" s="1"/>
  <c r="O4" i="20" a="1"/>
  <c r="O4" i="20" s="1"/>
  <c r="O5" i="20" s="1" a="1"/>
  <c r="O5" i="20" s="1"/>
  <c r="O6" i="20" s="1" a="1"/>
  <c r="O6" i="20" s="1"/>
  <c r="O7" i="20" s="1" a="1"/>
  <c r="O7" i="20" s="1"/>
  <c r="O8" i="20" s="1" a="1"/>
  <c r="O8" i="20" s="1"/>
  <c r="O9" i="20" s="1" a="1"/>
  <c r="O9" i="20" s="1"/>
  <c r="O10" i="20" s="1" a="1"/>
  <c r="O10" i="20" s="1"/>
  <c r="O11" i="20" s="1" a="1"/>
  <c r="O11" i="20" s="1"/>
  <c r="O12" i="20" s="1" a="1"/>
  <c r="O12" i="20" s="1"/>
  <c r="A4" i="21" a="1"/>
  <c r="O220" i="20" a="1"/>
  <c r="O220" i="20" s="1"/>
  <c r="O221" i="20" s="1" a="1"/>
  <c r="O221" i="20" s="1"/>
  <c r="O277" i="20" a="1"/>
  <c r="O277" i="20" s="1"/>
  <c r="O278" i="20" s="1" a="1"/>
  <c r="O278" i="20" s="1"/>
  <c r="O279" i="20" s="1" a="1"/>
  <c r="O279" i="20" s="1"/>
  <c r="O300" i="20" a="1"/>
  <c r="O300" i="20" s="1"/>
  <c r="O350" i="20" a="1"/>
  <c r="O350" i="20" s="1"/>
  <c r="O351" i="20" s="1" a="1"/>
  <c r="O351" i="20" s="1"/>
  <c r="O367" i="20" a="1"/>
  <c r="O367" i="20" s="1"/>
  <c r="O368" i="20" s="1" a="1"/>
  <c r="O368" i="20" s="1"/>
  <c r="O392" i="20" a="1"/>
  <c r="O392" i="20" s="1"/>
  <c r="O127" i="20" a="1"/>
  <c r="O127" i="20" s="1"/>
  <c r="O128" i="20" s="1" a="1"/>
  <c r="O128" i="20" s="1"/>
  <c r="O146" i="20" a="1"/>
  <c r="O146" i="20" s="1"/>
  <c r="O147" i="20" s="1" a="1"/>
  <c r="O147" i="20" s="1"/>
  <c r="O148" i="20" s="1" a="1"/>
  <c r="O148" i="20" s="1"/>
  <c r="O223" i="20" a="1"/>
  <c r="O223" i="20" s="1"/>
  <c r="O224" i="20" s="1" a="1"/>
  <c r="O224" i="20" s="1"/>
  <c r="O225" i="20" s="1" a="1"/>
  <c r="O225" i="20" s="1"/>
  <c r="O256" i="20" a="1"/>
  <c r="O256" i="20" s="1"/>
  <c r="O99" i="20" a="1"/>
  <c r="O99" i="20" s="1"/>
  <c r="O100" i="20" s="1" a="1"/>
  <c r="O100" i="20" s="1"/>
  <c r="O101" i="20" s="1" a="1"/>
  <c r="O101" i="20" s="1"/>
  <c r="O102" i="20" s="1" a="1"/>
  <c r="O102" i="20" s="1"/>
  <c r="O234" i="20" a="1"/>
  <c r="O234" i="20" s="1"/>
  <c r="O235" i="20" s="1" a="1"/>
  <c r="O235" i="20" s="1"/>
  <c r="O236" i="20" s="1" a="1"/>
  <c r="O236" i="20" s="1"/>
  <c r="O237" i="20" s="1" a="1"/>
  <c r="O237" i="20" s="1"/>
  <c r="O415" i="20" a="1"/>
  <c r="O415" i="20" s="1"/>
  <c r="O306" i="20" a="1"/>
  <c r="O306" i="20" s="1"/>
  <c r="O307" i="20" s="1" a="1"/>
  <c r="O307" i="20" s="1"/>
  <c r="O297" i="20" a="1"/>
  <c r="O297" i="20" s="1"/>
  <c r="O298" i="20" s="1" a="1"/>
  <c r="O298" i="20" s="1"/>
  <c r="O239" i="20" a="1"/>
  <c r="O239" i="20" s="1"/>
  <c r="O240" i="20" s="1" a="1"/>
  <c r="O240" i="20" s="1"/>
  <c r="O66" i="20" a="1"/>
  <c r="O66" i="20" s="1"/>
  <c r="O67" i="20" s="1" a="1"/>
  <c r="O67" i="20" s="1"/>
  <c r="O68" i="20" s="1" a="1"/>
  <c r="O68" i="20" s="1"/>
  <c r="O69" i="20" s="1" a="1"/>
  <c r="O69" i="20" s="1"/>
  <c r="O70" i="20" s="1" a="1"/>
  <c r="O70" i="20" s="1"/>
  <c r="O71" i="20" s="1" a="1"/>
  <c r="O71" i="20" s="1"/>
  <c r="O358" i="20" a="1"/>
  <c r="O358" i="20" s="1"/>
  <c r="O359" i="20" s="1" a="1"/>
  <c r="O359" i="20" s="1"/>
  <c r="O400" i="20" a="1"/>
  <c r="O400" i="20" s="1"/>
  <c r="O291" i="20" a="1"/>
  <c r="O291" i="20" s="1"/>
  <c r="O292" i="20" s="1" a="1"/>
  <c r="O292" i="20" s="1"/>
  <c r="O427" i="20" a="1"/>
  <c r="O427" i="20" s="1"/>
  <c r="O245" i="20" a="1"/>
  <c r="O245" i="20" s="1"/>
  <c r="O246" i="20" s="1" a="1"/>
  <c r="O246" i="20" s="1"/>
  <c r="O247" i="20" s="1" a="1"/>
  <c r="O247" i="20" s="1"/>
  <c r="O318" i="20" a="1"/>
  <c r="O318" i="20" s="1"/>
  <c r="O319" i="20" s="1" a="1"/>
  <c r="O319" i="20" s="1"/>
  <c r="O167" i="20" a="1"/>
  <c r="O167" i="20" s="1"/>
  <c r="O168" i="20" s="1" a="1"/>
  <c r="O168" i="20" s="1"/>
  <c r="O169" i="20" s="1" a="1"/>
  <c r="O169" i="20" s="1"/>
  <c r="O170" i="20" s="1" a="1"/>
  <c r="O170" i="20" s="1"/>
  <c r="O171" i="20" s="1" a="1"/>
  <c r="O171" i="20" s="1"/>
  <c r="O172" i="20" s="1" a="1"/>
  <c r="O172" i="20" s="1"/>
  <c r="O59" i="20" a="1"/>
  <c r="O59" i="20" s="1"/>
  <c r="O60" i="20" s="1" a="1"/>
  <c r="O60" i="20" s="1"/>
  <c r="O61" i="20" s="1" a="1"/>
  <c r="O61" i="20" s="1"/>
  <c r="O62" i="20" s="1" a="1"/>
  <c r="O62" i="20" s="1"/>
  <c r="O63" i="20" s="1" a="1"/>
  <c r="O63" i="20" s="1"/>
  <c r="O64" i="20" s="1" a="1"/>
  <c r="O64" i="20" s="1"/>
  <c r="O264" i="20" a="1"/>
  <c r="O264" i="20" s="1"/>
  <c r="O265" i="20" s="1" a="1"/>
  <c r="O265" i="20" s="1"/>
  <c r="O266" i="20" s="1" a="1"/>
  <c r="O266" i="20" s="1"/>
  <c r="O90" i="20" a="1"/>
  <c r="O90" i="20" s="1"/>
  <c r="O91" i="20" s="1" a="1"/>
  <c r="O91" i="20" s="1"/>
  <c r="O92" i="20" s="1" a="1"/>
  <c r="O92" i="20" s="1"/>
  <c r="O93" i="20" s="1" a="1"/>
  <c r="O93" i="20" s="1"/>
  <c r="O94" i="20" s="1" a="1"/>
  <c r="O94" i="20" s="1"/>
  <c r="O268" i="20" a="1"/>
  <c r="O268" i="20" s="1"/>
  <c r="O269" i="20" s="1" a="1"/>
  <c r="O269" i="20" s="1"/>
  <c r="O383" i="20" a="1"/>
  <c r="O383" i="20" s="1"/>
  <c r="O384" i="20" s="1" a="1"/>
  <c r="O384" i="20" s="1"/>
  <c r="O402" i="20" a="1"/>
  <c r="O402" i="20" s="1"/>
  <c r="O281" i="20" a="1"/>
  <c r="O281" i="20" s="1"/>
  <c r="O282" i="20" s="1" a="1"/>
  <c r="O282" i="20" s="1"/>
  <c r="O50" i="20" a="1"/>
  <c r="O50" i="20" s="1"/>
  <c r="O51" i="20" s="1" a="1"/>
  <c r="O51" i="20" s="1"/>
  <c r="O52" i="20" s="1" a="1"/>
  <c r="O52" i="20" s="1"/>
  <c r="O53" i="20" s="1" a="1"/>
  <c r="O53" i="20" s="1"/>
  <c r="O54" i="20" s="1" a="1"/>
  <c r="O54" i="20" s="1"/>
  <c r="O55" i="20" s="1" a="1"/>
  <c r="O55" i="20" s="1"/>
  <c r="O56" i="20" s="1" a="1"/>
  <c r="O56" i="20" s="1"/>
  <c r="O57" i="20" s="1" a="1"/>
  <c r="O57" i="20" s="1"/>
  <c r="O370" i="20" a="1"/>
  <c r="O370" i="20" s="1"/>
  <c r="O371" i="20" s="1" a="1"/>
  <c r="O371" i="20" s="1"/>
  <c r="O425" i="20" a="1"/>
  <c r="O425" i="20" s="1"/>
  <c r="O361" i="20" a="1"/>
  <c r="O361" i="20" s="1"/>
  <c r="O362" i="20" s="1" a="1"/>
  <c r="O362" i="20" s="1"/>
  <c r="O84" i="20" a="1"/>
  <c r="O84" i="20" s="1"/>
  <c r="O85" i="20" s="1" a="1"/>
  <c r="O85" i="20" s="1"/>
  <c r="O86" i="20" s="1" a="1"/>
  <c r="O86" i="20" s="1"/>
  <c r="O87" i="20" s="1" a="1"/>
  <c r="O87" i="20" s="1"/>
  <c r="O88" i="20" s="1" a="1"/>
  <c r="O88" i="20" s="1"/>
  <c r="O232" i="20" a="1"/>
  <c r="O232" i="20" s="1"/>
  <c r="O364" i="20" a="1"/>
  <c r="O364" i="20" s="1"/>
  <c r="O365" i="20" s="1" a="1"/>
  <c r="O365" i="20" s="1"/>
  <c r="O355" i="20" a="1"/>
  <c r="O355" i="20" s="1"/>
  <c r="O356" i="20" s="1" a="1"/>
  <c r="O356" i="20" s="1"/>
  <c r="O140" i="20" a="1"/>
  <c r="O140" i="20" s="1"/>
  <c r="O141" i="20" s="1" a="1"/>
  <c r="O141" i="20" s="1"/>
  <c r="O142" i="20" s="1" a="1"/>
  <c r="O142" i="20" s="1"/>
  <c r="O122" i="20" a="1"/>
  <c r="O122" i="20" s="1"/>
  <c r="O123" i="20" s="1" a="1"/>
  <c r="O123" i="20" s="1"/>
  <c r="O124" i="20" s="1" a="1"/>
  <c r="O124" i="20" s="1"/>
  <c r="O125" i="20" s="1" a="1"/>
  <c r="O125" i="20" s="1"/>
  <c r="O309" i="20" a="1"/>
  <c r="O309" i="20" s="1"/>
  <c r="O310" i="20" s="1" a="1"/>
  <c r="O310" i="20" s="1"/>
  <c r="O153" i="20" a="1"/>
  <c r="O153" i="20" s="1"/>
  <c r="O154" i="20" s="1" a="1"/>
  <c r="O154" i="20" s="1"/>
  <c r="O155" i="20" s="1" a="1"/>
  <c r="O155" i="20" s="1"/>
  <c r="O156" i="20" s="1" a="1"/>
  <c r="O156" i="20" s="1"/>
  <c r="O242" i="20" a="1"/>
  <c r="O242" i="20" s="1"/>
  <c r="O243" i="20" s="1" a="1"/>
  <c r="O243" i="20" s="1"/>
  <c r="O331" i="20" a="1"/>
  <c r="O331" i="20" s="1"/>
  <c r="O332" i="20" s="1" a="1"/>
  <c r="O332" i="20" s="1"/>
  <c r="O324" i="20" a="1"/>
  <c r="O324" i="20" s="1"/>
  <c r="O325" i="20" s="1" a="1"/>
  <c r="O325" i="20" s="1"/>
  <c r="O326" i="20" s="1" a="1"/>
  <c r="O326" i="20" s="1"/>
  <c r="O381" i="20" a="1"/>
  <c r="O381" i="20" s="1"/>
  <c r="O294" i="20" a="1"/>
  <c r="O294" i="20" s="1"/>
  <c r="O295" i="20" s="1" a="1"/>
  <c r="O295" i="20" s="1"/>
  <c r="O227" i="20" a="1"/>
  <c r="O227" i="20" s="1"/>
  <c r="O228" i="20" s="1" a="1"/>
  <c r="O228" i="20" s="1"/>
  <c r="O229" i="20" s="1" a="1"/>
  <c r="O229" i="20" s="1"/>
  <c r="O429" i="20" a="1"/>
  <c r="O429" i="20" s="1"/>
  <c r="O430" i="20" s="1" a="1"/>
  <c r="O430" i="20" s="1"/>
  <c r="O376" i="20" a="1"/>
  <c r="O376" i="20" s="1"/>
  <c r="O377" i="20" s="1" a="1"/>
  <c r="O377" i="20" s="1"/>
  <c r="O73" i="20" a="1"/>
  <c r="O73" i="20" s="1"/>
  <c r="O74" i="20" s="1" a="1"/>
  <c r="O74" i="20" s="1"/>
  <c r="O78" i="20" a="1"/>
  <c r="O78" i="20" s="1"/>
  <c r="O79" i="20" s="1" a="1"/>
  <c r="O79" i="20" s="1"/>
  <c r="O80" i="20" s="1" a="1"/>
  <c r="O80" i="20" s="1"/>
  <c r="O81" i="20" s="1" a="1"/>
  <c r="O81" i="20" s="1"/>
  <c r="O82" i="20" s="1" a="1"/>
  <c r="O82" i="20" s="1"/>
  <c r="O417" i="20" a="1"/>
  <c r="O417" i="20" s="1"/>
  <c r="J42" i="12"/>
  <c r="K42" i="12" s="1"/>
  <c r="J43" i="12"/>
  <c r="K43" i="12" s="1"/>
  <c r="J44" i="12"/>
  <c r="K44" i="12" s="1"/>
  <c r="I20" i="12"/>
  <c r="K3" i="9"/>
  <c r="J4" i="9" s="1"/>
  <c r="K4" i="9" s="1"/>
  <c r="J5" i="9" s="1"/>
  <c r="A302" i="15"/>
  <c r="B302" i="15"/>
  <c r="C302" i="15"/>
  <c r="D302" i="15"/>
  <c r="E302" i="15"/>
  <c r="F302" i="15"/>
  <c r="G302" i="15"/>
  <c r="H302" i="15"/>
  <c r="I302" i="15"/>
  <c r="J302" i="15"/>
  <c r="K302" i="15"/>
  <c r="L302" i="15"/>
  <c r="M302" i="15"/>
  <c r="N302" i="15"/>
  <c r="O302" i="15"/>
  <c r="P302" i="15"/>
  <c r="Q302" i="15"/>
  <c r="R302" i="15"/>
  <c r="S302" i="15"/>
  <c r="T302" i="15"/>
  <c r="U302" i="15"/>
  <c r="V302" i="15"/>
  <c r="W302" i="15"/>
  <c r="X302" i="15"/>
  <c r="Y302" i="15"/>
  <c r="Z302" i="15"/>
  <c r="AA302" i="15"/>
  <c r="AB302" i="15"/>
  <c r="AC302" i="15"/>
  <c r="AD302" i="15"/>
  <c r="AE302" i="15"/>
  <c r="AF302" i="15"/>
  <c r="AG302" i="15"/>
  <c r="AH302" i="15"/>
  <c r="AI302" i="15"/>
  <c r="AJ302" i="15"/>
  <c r="AK302" i="15"/>
  <c r="AL302" i="15"/>
  <c r="AM302" i="15"/>
  <c r="AN302" i="15"/>
  <c r="AO302" i="15"/>
  <c r="AP302" i="15"/>
  <c r="AQ302" i="15"/>
  <c r="AR302" i="15"/>
  <c r="AS302" i="15"/>
  <c r="AT302" i="15"/>
  <c r="AU302" i="15"/>
  <c r="AV302" i="15"/>
  <c r="AW302" i="15"/>
  <c r="AX302" i="15"/>
  <c r="AY302" i="15"/>
  <c r="AZ302" i="15"/>
  <c r="BA302" i="15"/>
  <c r="BB302" i="15"/>
  <c r="BC302" i="15"/>
  <c r="BD302" i="15"/>
  <c r="BE302" i="15"/>
  <c r="BF302" i="15"/>
  <c r="BG302" i="15"/>
  <c r="BH302" i="15"/>
  <c r="BI302" i="15"/>
  <c r="BJ302" i="15"/>
  <c r="BK302" i="15"/>
  <c r="BL302" i="15"/>
  <c r="BM302" i="15"/>
  <c r="BN302" i="15"/>
  <c r="BO302" i="15"/>
  <c r="BP302" i="15"/>
  <c r="BQ302" i="15"/>
  <c r="BR302" i="15"/>
  <c r="BS302" i="15"/>
  <c r="BT302" i="15"/>
  <c r="BU302" i="15"/>
  <c r="BV302" i="15"/>
  <c r="BW302" i="15"/>
  <c r="BX302" i="15"/>
  <c r="BY302" i="15"/>
  <c r="BZ302" i="15"/>
  <c r="CA302" i="15"/>
  <c r="CB302" i="15"/>
  <c r="CC302" i="15"/>
  <c r="CD302" i="15"/>
  <c r="CE302" i="15"/>
  <c r="CF302" i="15"/>
  <c r="CG302" i="15"/>
  <c r="CH302" i="15"/>
  <c r="CI302" i="15"/>
  <c r="CJ302" i="15"/>
  <c r="CK302" i="15"/>
  <c r="CL302" i="15"/>
  <c r="CM302" i="15"/>
  <c r="CN302" i="15"/>
  <c r="CO302" i="15"/>
  <c r="CP302" i="15"/>
  <c r="CQ302" i="15"/>
  <c r="CR302" i="15"/>
  <c r="CS302" i="15"/>
  <c r="CT302" i="15"/>
  <c r="CU302" i="15"/>
  <c r="CV302" i="15"/>
  <c r="CW302" i="15"/>
  <c r="CX302" i="15"/>
  <c r="CY302" i="15"/>
  <c r="CZ302" i="15"/>
  <c r="DA302" i="15"/>
  <c r="DB302" i="15"/>
  <c r="DC302" i="15"/>
  <c r="DD302" i="15"/>
  <c r="DE302" i="15"/>
  <c r="DF302" i="15"/>
  <c r="DG302" i="15"/>
  <c r="DH302" i="15"/>
  <c r="DI302" i="15"/>
  <c r="DJ302" i="15"/>
  <c r="DK302" i="15"/>
  <c r="DL302" i="15"/>
  <c r="DM302" i="15"/>
  <c r="DN302" i="15"/>
  <c r="DO302" i="15"/>
  <c r="DP302" i="15"/>
  <c r="DQ302" i="15"/>
  <c r="DR302" i="15"/>
  <c r="DS302" i="15"/>
  <c r="DT302" i="15"/>
  <c r="DU302" i="15"/>
  <c r="DV302" i="15"/>
  <c r="DW302" i="15"/>
  <c r="DX302" i="15"/>
  <c r="DY302" i="15"/>
  <c r="DZ302" i="15"/>
  <c r="EA302" i="15"/>
  <c r="EB302" i="15"/>
  <c r="EC302" i="15"/>
  <c r="ED302" i="15"/>
  <c r="EE302" i="15"/>
  <c r="EF302" i="15"/>
  <c r="EG302" i="15"/>
  <c r="EH302" i="15"/>
  <c r="EI302" i="15"/>
  <c r="EJ302" i="15"/>
  <c r="EK302" i="15"/>
  <c r="EL302" i="15"/>
  <c r="EM302" i="15"/>
  <c r="EN302" i="15"/>
  <c r="EO302" i="15"/>
  <c r="EP302" i="15"/>
  <c r="EQ302" i="15"/>
  <c r="ER302" i="15"/>
  <c r="ES302" i="15"/>
  <c r="ET302" i="15"/>
  <c r="EU302" i="15"/>
  <c r="EV302" i="15"/>
  <c r="EW302" i="15"/>
  <c r="EX302" i="15"/>
  <c r="EY302" i="15"/>
  <c r="EZ302" i="15"/>
  <c r="FA302" i="15"/>
  <c r="FB302" i="15"/>
  <c r="FC302" i="15"/>
  <c r="FD302" i="15"/>
  <c r="FE302" i="15"/>
  <c r="FF302" i="15"/>
  <c r="FG302" i="15"/>
  <c r="FH302" i="15"/>
  <c r="FI302" i="15"/>
  <c r="FJ302" i="15"/>
  <c r="FK302" i="15"/>
  <c r="FL302" i="15"/>
  <c r="FM302" i="15"/>
  <c r="FN302" i="15"/>
  <c r="FO302" i="15"/>
  <c r="FP302" i="15"/>
  <c r="FQ302" i="15"/>
  <c r="FR302" i="15"/>
  <c r="FS302" i="15"/>
  <c r="FT302" i="15"/>
  <c r="FU302" i="15"/>
  <c r="FV302" i="15"/>
  <c r="FW302" i="15"/>
  <c r="FX302" i="15"/>
  <c r="FY302" i="15"/>
  <c r="FZ302" i="15"/>
  <c r="GA302" i="15"/>
  <c r="GB302" i="15"/>
  <c r="GC302" i="15"/>
  <c r="GD302" i="15"/>
  <c r="GE302" i="15"/>
  <c r="GF302" i="15"/>
  <c r="GG302" i="15"/>
  <c r="GH302" i="15"/>
  <c r="GI302" i="15"/>
  <c r="GJ302" i="15"/>
  <c r="GK302" i="15"/>
  <c r="GL302" i="15"/>
  <c r="GM302" i="15"/>
  <c r="GN302" i="15"/>
  <c r="GO302" i="15"/>
  <c r="GP302" i="15"/>
  <c r="GQ302" i="15"/>
  <c r="GR302" i="15"/>
  <c r="GS302" i="15"/>
  <c r="GT302" i="15"/>
  <c r="GU302" i="15"/>
  <c r="GV302" i="15"/>
  <c r="GW302" i="15"/>
  <c r="GX302" i="15"/>
  <c r="GY302" i="15"/>
  <c r="GZ302" i="15"/>
  <c r="HA302" i="15"/>
  <c r="HB302" i="15"/>
  <c r="HC302" i="15"/>
  <c r="HD302" i="15"/>
  <c r="HE302" i="15"/>
  <c r="HF302" i="15"/>
  <c r="HG302" i="15"/>
  <c r="HH302" i="15"/>
  <c r="HI302" i="15"/>
  <c r="HJ302" i="15"/>
  <c r="HK302" i="15"/>
  <c r="HL302" i="15"/>
  <c r="HM302" i="15"/>
  <c r="HN302" i="15"/>
  <c r="HO302" i="15"/>
  <c r="HP302" i="15"/>
  <c r="HQ302" i="15"/>
  <c r="HR302" i="15"/>
  <c r="HS302" i="15"/>
  <c r="HT302" i="15"/>
  <c r="HU302" i="15"/>
  <c r="HV302" i="15"/>
  <c r="HW302" i="15"/>
  <c r="HX302" i="15"/>
  <c r="HY302" i="15"/>
  <c r="HZ302" i="15"/>
  <c r="IA302" i="15"/>
  <c r="IB302" i="15"/>
  <c r="IC302" i="15"/>
  <c r="ID302" i="15"/>
  <c r="IE302" i="15"/>
  <c r="IF302" i="15"/>
  <c r="IG302" i="15"/>
  <c r="IH302" i="15"/>
  <c r="II302" i="15"/>
  <c r="IJ302" i="15"/>
  <c r="IK302" i="15"/>
  <c r="IL302" i="15"/>
  <c r="IM302" i="15"/>
  <c r="IN302" i="15"/>
  <c r="IO302" i="15"/>
  <c r="IP302" i="15"/>
  <c r="IQ302" i="15"/>
  <c r="IR302" i="15"/>
  <c r="IS302" i="15"/>
  <c r="IT302" i="15"/>
  <c r="IU302" i="15"/>
  <c r="IV302" i="15"/>
  <c r="IW302" i="15"/>
  <c r="IX302" i="15"/>
  <c r="IY302" i="15"/>
  <c r="IZ302" i="15"/>
  <c r="JA302" i="15"/>
  <c r="JB302" i="15"/>
  <c r="JC302" i="15"/>
  <c r="JD302" i="15"/>
  <c r="JE302" i="15"/>
  <c r="JF302" i="15"/>
  <c r="JG302" i="15"/>
  <c r="JH302" i="15"/>
  <c r="JI302" i="15"/>
  <c r="JJ302" i="15"/>
  <c r="A303" i="15"/>
  <c r="B303" i="15"/>
  <c r="C303" i="15"/>
  <c r="D303" i="15"/>
  <c r="E303" i="15"/>
  <c r="F303" i="15"/>
  <c r="G303" i="15"/>
  <c r="H303" i="15"/>
  <c r="I303" i="15"/>
  <c r="J303" i="15"/>
  <c r="K303" i="15"/>
  <c r="L303" i="15"/>
  <c r="M303" i="15"/>
  <c r="N303" i="15"/>
  <c r="O303" i="15"/>
  <c r="P303" i="15"/>
  <c r="Q303" i="15"/>
  <c r="R303" i="15"/>
  <c r="S303" i="15"/>
  <c r="T303" i="15"/>
  <c r="U303" i="15"/>
  <c r="V303" i="15"/>
  <c r="W303" i="15"/>
  <c r="X303" i="15"/>
  <c r="Y303" i="15"/>
  <c r="Z303" i="15"/>
  <c r="AA303" i="15"/>
  <c r="AB303" i="15"/>
  <c r="AC303" i="15"/>
  <c r="AD303" i="15"/>
  <c r="AE303" i="15"/>
  <c r="AF303" i="15"/>
  <c r="AG303" i="15"/>
  <c r="AH303" i="15"/>
  <c r="AI303" i="15"/>
  <c r="AJ303" i="15"/>
  <c r="AK303" i="15"/>
  <c r="AL303" i="15"/>
  <c r="AM303" i="15"/>
  <c r="AN303" i="15"/>
  <c r="AO303" i="15"/>
  <c r="AP303" i="15"/>
  <c r="AQ303" i="15"/>
  <c r="AR303" i="15"/>
  <c r="AS303" i="15"/>
  <c r="AT303" i="15"/>
  <c r="AU303" i="15"/>
  <c r="AV303" i="15"/>
  <c r="AW303" i="15"/>
  <c r="AX303" i="15"/>
  <c r="AY303" i="15"/>
  <c r="AZ303" i="15"/>
  <c r="BA303" i="15"/>
  <c r="BB303" i="15"/>
  <c r="BC303" i="15"/>
  <c r="BD303" i="15"/>
  <c r="BE303" i="15"/>
  <c r="BF303" i="15"/>
  <c r="BG303" i="15"/>
  <c r="BH303" i="15"/>
  <c r="BI303" i="15"/>
  <c r="BJ303" i="15"/>
  <c r="BK303" i="15"/>
  <c r="BL303" i="15"/>
  <c r="BM303" i="15"/>
  <c r="BN303" i="15"/>
  <c r="BO303" i="15"/>
  <c r="BP303" i="15"/>
  <c r="BQ303" i="15"/>
  <c r="BR303" i="15"/>
  <c r="BS303" i="15"/>
  <c r="BT303" i="15"/>
  <c r="BU303" i="15"/>
  <c r="BV303" i="15"/>
  <c r="BW303" i="15"/>
  <c r="BX303" i="15"/>
  <c r="BY303" i="15"/>
  <c r="BZ303" i="15"/>
  <c r="CA303" i="15"/>
  <c r="CB303" i="15"/>
  <c r="CC303" i="15"/>
  <c r="CD303" i="15"/>
  <c r="CE303" i="15"/>
  <c r="CF303" i="15"/>
  <c r="CG303" i="15"/>
  <c r="CH303" i="15"/>
  <c r="CI303" i="15"/>
  <c r="CJ303" i="15"/>
  <c r="CK303" i="15"/>
  <c r="CL303" i="15"/>
  <c r="CM303" i="15"/>
  <c r="CN303" i="15"/>
  <c r="CO303" i="15"/>
  <c r="CP303" i="15"/>
  <c r="CQ303" i="15"/>
  <c r="CR303" i="15"/>
  <c r="CS303" i="15"/>
  <c r="CT303" i="15"/>
  <c r="CU303" i="15"/>
  <c r="CV303" i="15"/>
  <c r="CW303" i="15"/>
  <c r="CX303" i="15"/>
  <c r="CY303" i="15"/>
  <c r="CZ303" i="15"/>
  <c r="DA303" i="15"/>
  <c r="DB303" i="15"/>
  <c r="DC303" i="15"/>
  <c r="DD303" i="15"/>
  <c r="DE303" i="15"/>
  <c r="DF303" i="15"/>
  <c r="DG303" i="15"/>
  <c r="DH303" i="15"/>
  <c r="DI303" i="15"/>
  <c r="DJ303" i="15"/>
  <c r="DK303" i="15"/>
  <c r="DL303" i="15"/>
  <c r="DM303" i="15"/>
  <c r="DN303" i="15"/>
  <c r="DO303" i="15"/>
  <c r="DP303" i="15"/>
  <c r="DQ303" i="15"/>
  <c r="DR303" i="15"/>
  <c r="DS303" i="15"/>
  <c r="DT303" i="15"/>
  <c r="DU303" i="15"/>
  <c r="DV303" i="15"/>
  <c r="DW303" i="15"/>
  <c r="DX303" i="15"/>
  <c r="DY303" i="15"/>
  <c r="DZ303" i="15"/>
  <c r="EA303" i="15"/>
  <c r="EB303" i="15"/>
  <c r="EC303" i="15"/>
  <c r="ED303" i="15"/>
  <c r="EE303" i="15"/>
  <c r="EF303" i="15"/>
  <c r="EG303" i="15"/>
  <c r="EH303" i="15"/>
  <c r="EI303" i="15"/>
  <c r="EJ303" i="15"/>
  <c r="EK303" i="15"/>
  <c r="EL303" i="15"/>
  <c r="EM303" i="15"/>
  <c r="EN303" i="15"/>
  <c r="EO303" i="15"/>
  <c r="EP303" i="15"/>
  <c r="EQ303" i="15"/>
  <c r="ER303" i="15"/>
  <c r="ES303" i="15"/>
  <c r="ET303" i="15"/>
  <c r="EU303" i="15"/>
  <c r="EV303" i="15"/>
  <c r="EW303" i="15"/>
  <c r="EX303" i="15"/>
  <c r="EY303" i="15"/>
  <c r="EZ303" i="15"/>
  <c r="FA303" i="15"/>
  <c r="FB303" i="15"/>
  <c r="FC303" i="15"/>
  <c r="FD303" i="15"/>
  <c r="FE303" i="15"/>
  <c r="FF303" i="15"/>
  <c r="FG303" i="15"/>
  <c r="FH303" i="15"/>
  <c r="FI303" i="15"/>
  <c r="FJ303" i="15"/>
  <c r="FK303" i="15"/>
  <c r="FL303" i="15"/>
  <c r="FM303" i="15"/>
  <c r="FN303" i="15"/>
  <c r="FO303" i="15"/>
  <c r="FP303" i="15"/>
  <c r="FQ303" i="15"/>
  <c r="FR303" i="15"/>
  <c r="FS303" i="15"/>
  <c r="FT303" i="15"/>
  <c r="FU303" i="15"/>
  <c r="FV303" i="15"/>
  <c r="FW303" i="15"/>
  <c r="FX303" i="15"/>
  <c r="FY303" i="15"/>
  <c r="FZ303" i="15"/>
  <c r="GA303" i="15"/>
  <c r="GB303" i="15"/>
  <c r="GC303" i="15"/>
  <c r="GD303" i="15"/>
  <c r="GE303" i="15"/>
  <c r="GF303" i="15"/>
  <c r="GG303" i="15"/>
  <c r="GH303" i="15"/>
  <c r="GI303" i="15"/>
  <c r="GJ303" i="15"/>
  <c r="GK303" i="15"/>
  <c r="GL303" i="15"/>
  <c r="GM303" i="15"/>
  <c r="GN303" i="15"/>
  <c r="GO303" i="15"/>
  <c r="GP303" i="15"/>
  <c r="GQ303" i="15"/>
  <c r="GR303" i="15"/>
  <c r="GS303" i="15"/>
  <c r="GT303" i="15"/>
  <c r="GU303" i="15"/>
  <c r="GV303" i="15"/>
  <c r="GW303" i="15"/>
  <c r="GX303" i="15"/>
  <c r="GY303" i="15"/>
  <c r="GZ303" i="15"/>
  <c r="HA303" i="15"/>
  <c r="HB303" i="15"/>
  <c r="HC303" i="15"/>
  <c r="HD303" i="15"/>
  <c r="HE303" i="15"/>
  <c r="HF303" i="15"/>
  <c r="HG303" i="15"/>
  <c r="HH303" i="15"/>
  <c r="HI303" i="15"/>
  <c r="HJ303" i="15"/>
  <c r="HK303" i="15"/>
  <c r="HL303" i="15"/>
  <c r="HM303" i="15"/>
  <c r="HN303" i="15"/>
  <c r="HO303" i="15"/>
  <c r="HP303" i="15"/>
  <c r="HQ303" i="15"/>
  <c r="HR303" i="15"/>
  <c r="HS303" i="15"/>
  <c r="HT303" i="15"/>
  <c r="HU303" i="15"/>
  <c r="HV303" i="15"/>
  <c r="HW303" i="15"/>
  <c r="HX303" i="15"/>
  <c r="HY303" i="15"/>
  <c r="HZ303" i="15"/>
  <c r="IA303" i="15"/>
  <c r="IB303" i="15"/>
  <c r="IC303" i="15"/>
  <c r="ID303" i="15"/>
  <c r="IE303" i="15"/>
  <c r="IF303" i="15"/>
  <c r="IG303" i="15"/>
  <c r="IH303" i="15"/>
  <c r="II303" i="15"/>
  <c r="IJ303" i="15"/>
  <c r="IK303" i="15"/>
  <c r="IL303" i="15"/>
  <c r="IM303" i="15"/>
  <c r="IN303" i="15"/>
  <c r="IO303" i="15"/>
  <c r="IP303" i="15"/>
  <c r="IQ303" i="15"/>
  <c r="IR303" i="15"/>
  <c r="IS303" i="15"/>
  <c r="IT303" i="15"/>
  <c r="IU303" i="15"/>
  <c r="IV303" i="15"/>
  <c r="IW303" i="15"/>
  <c r="IX303" i="15"/>
  <c r="IY303" i="15"/>
  <c r="IZ303" i="15"/>
  <c r="JA303" i="15"/>
  <c r="JB303" i="15"/>
  <c r="JC303" i="15"/>
  <c r="JD303" i="15"/>
  <c r="JE303" i="15"/>
  <c r="JF303" i="15"/>
  <c r="JG303" i="15"/>
  <c r="JH303" i="15"/>
  <c r="JI303" i="15"/>
  <c r="JJ303" i="15"/>
  <c r="A304" i="15"/>
  <c r="B304" i="15"/>
  <c r="C304" i="15"/>
  <c r="D304" i="15"/>
  <c r="E304" i="15"/>
  <c r="F304" i="15"/>
  <c r="G304" i="15"/>
  <c r="H304" i="15"/>
  <c r="I304" i="15"/>
  <c r="J304" i="15"/>
  <c r="K304" i="15"/>
  <c r="L304" i="15"/>
  <c r="M304" i="15"/>
  <c r="N304" i="15"/>
  <c r="O304" i="15"/>
  <c r="P304" i="15"/>
  <c r="Q304" i="15"/>
  <c r="R304" i="15"/>
  <c r="S304" i="15"/>
  <c r="T304" i="15"/>
  <c r="U304" i="15"/>
  <c r="V304" i="15"/>
  <c r="W304" i="15"/>
  <c r="X304" i="15"/>
  <c r="Y304" i="15"/>
  <c r="Z304" i="15"/>
  <c r="AA304" i="15"/>
  <c r="AB304" i="15"/>
  <c r="AC304" i="15"/>
  <c r="AD304" i="15"/>
  <c r="AE304" i="15"/>
  <c r="AF304" i="15"/>
  <c r="AG304" i="15"/>
  <c r="AH304" i="15"/>
  <c r="AI304" i="15"/>
  <c r="AJ304" i="15"/>
  <c r="AK304" i="15"/>
  <c r="AL304" i="15"/>
  <c r="AM304" i="15"/>
  <c r="AN304" i="15"/>
  <c r="AO304" i="15"/>
  <c r="AP304" i="15"/>
  <c r="AQ304" i="15"/>
  <c r="AR304" i="15"/>
  <c r="AS304" i="15"/>
  <c r="AT304" i="15"/>
  <c r="AU304" i="15"/>
  <c r="AV304" i="15"/>
  <c r="AW304" i="15"/>
  <c r="AX304" i="15"/>
  <c r="AY304" i="15"/>
  <c r="AZ304" i="15"/>
  <c r="BA304" i="15"/>
  <c r="BB304" i="15"/>
  <c r="BC304" i="15"/>
  <c r="BD304" i="15"/>
  <c r="BE304" i="15"/>
  <c r="BF304" i="15"/>
  <c r="BG304" i="15"/>
  <c r="BH304" i="15"/>
  <c r="BI304" i="15"/>
  <c r="BJ304" i="15"/>
  <c r="BK304" i="15"/>
  <c r="BL304" i="15"/>
  <c r="BM304" i="15"/>
  <c r="BN304" i="15"/>
  <c r="BO304" i="15"/>
  <c r="BP304" i="15"/>
  <c r="BQ304" i="15"/>
  <c r="BR304" i="15"/>
  <c r="BS304" i="15"/>
  <c r="BT304" i="15"/>
  <c r="BU304" i="15"/>
  <c r="BV304" i="15"/>
  <c r="BW304" i="15"/>
  <c r="BX304" i="15"/>
  <c r="BY304" i="15"/>
  <c r="BZ304" i="15"/>
  <c r="CA304" i="15"/>
  <c r="CB304" i="15"/>
  <c r="CC304" i="15"/>
  <c r="CD304" i="15"/>
  <c r="CE304" i="15"/>
  <c r="CF304" i="15"/>
  <c r="CG304" i="15"/>
  <c r="CH304" i="15"/>
  <c r="CI304" i="15"/>
  <c r="CJ304" i="15"/>
  <c r="CK304" i="15"/>
  <c r="CL304" i="15"/>
  <c r="CM304" i="15"/>
  <c r="CN304" i="15"/>
  <c r="CO304" i="15"/>
  <c r="CP304" i="15"/>
  <c r="CQ304" i="15"/>
  <c r="CR304" i="15"/>
  <c r="CS304" i="15"/>
  <c r="CT304" i="15"/>
  <c r="CU304" i="15"/>
  <c r="CV304" i="15"/>
  <c r="CW304" i="15"/>
  <c r="CX304" i="15"/>
  <c r="CY304" i="15"/>
  <c r="CZ304" i="15"/>
  <c r="DA304" i="15"/>
  <c r="DB304" i="15"/>
  <c r="DC304" i="15"/>
  <c r="DD304" i="15"/>
  <c r="DE304" i="15"/>
  <c r="DF304" i="15"/>
  <c r="DG304" i="15"/>
  <c r="DH304" i="15"/>
  <c r="DI304" i="15"/>
  <c r="DJ304" i="15"/>
  <c r="DK304" i="15"/>
  <c r="DL304" i="15"/>
  <c r="DM304" i="15"/>
  <c r="DN304" i="15"/>
  <c r="DO304" i="15"/>
  <c r="DP304" i="15"/>
  <c r="DQ304" i="15"/>
  <c r="DR304" i="15"/>
  <c r="DS304" i="15"/>
  <c r="DT304" i="15"/>
  <c r="DU304" i="15"/>
  <c r="DV304" i="15"/>
  <c r="DW304" i="15"/>
  <c r="DX304" i="15"/>
  <c r="DY304" i="15"/>
  <c r="DZ304" i="15"/>
  <c r="EA304" i="15"/>
  <c r="EB304" i="15"/>
  <c r="EC304" i="15"/>
  <c r="ED304" i="15"/>
  <c r="EE304" i="15"/>
  <c r="EF304" i="15"/>
  <c r="EG304" i="15"/>
  <c r="EH304" i="15"/>
  <c r="EI304" i="15"/>
  <c r="EJ304" i="15"/>
  <c r="EK304" i="15"/>
  <c r="EL304" i="15"/>
  <c r="EM304" i="15"/>
  <c r="EN304" i="15"/>
  <c r="EO304" i="15"/>
  <c r="EP304" i="15"/>
  <c r="EQ304" i="15"/>
  <c r="ER304" i="15"/>
  <c r="ES304" i="15"/>
  <c r="ET304" i="15"/>
  <c r="EU304" i="15"/>
  <c r="EV304" i="15"/>
  <c r="EW304" i="15"/>
  <c r="EX304" i="15"/>
  <c r="EY304" i="15"/>
  <c r="EZ304" i="15"/>
  <c r="FA304" i="15"/>
  <c r="FB304" i="15"/>
  <c r="FC304" i="15"/>
  <c r="FD304" i="15"/>
  <c r="FE304" i="15"/>
  <c r="FF304" i="15"/>
  <c r="FG304" i="15"/>
  <c r="FH304" i="15"/>
  <c r="FI304" i="15"/>
  <c r="FJ304" i="15"/>
  <c r="FK304" i="15"/>
  <c r="FL304" i="15"/>
  <c r="FM304" i="15"/>
  <c r="FN304" i="15"/>
  <c r="FO304" i="15"/>
  <c r="FP304" i="15"/>
  <c r="FQ304" i="15"/>
  <c r="FR304" i="15"/>
  <c r="FS304" i="15"/>
  <c r="FT304" i="15"/>
  <c r="FU304" i="15"/>
  <c r="FV304" i="15"/>
  <c r="FW304" i="15"/>
  <c r="FX304" i="15"/>
  <c r="FY304" i="15"/>
  <c r="FZ304" i="15"/>
  <c r="GA304" i="15"/>
  <c r="GB304" i="15"/>
  <c r="GC304" i="15"/>
  <c r="GD304" i="15"/>
  <c r="GE304" i="15"/>
  <c r="GF304" i="15"/>
  <c r="GG304" i="15"/>
  <c r="GH304" i="15"/>
  <c r="GI304" i="15"/>
  <c r="GJ304" i="15"/>
  <c r="GK304" i="15"/>
  <c r="GL304" i="15"/>
  <c r="GM304" i="15"/>
  <c r="GN304" i="15"/>
  <c r="GO304" i="15"/>
  <c r="GP304" i="15"/>
  <c r="GQ304" i="15"/>
  <c r="GR304" i="15"/>
  <c r="GS304" i="15"/>
  <c r="GT304" i="15"/>
  <c r="GU304" i="15"/>
  <c r="GV304" i="15"/>
  <c r="GW304" i="15"/>
  <c r="GX304" i="15"/>
  <c r="GY304" i="15"/>
  <c r="GZ304" i="15"/>
  <c r="HA304" i="15"/>
  <c r="HB304" i="15"/>
  <c r="HC304" i="15"/>
  <c r="HD304" i="15"/>
  <c r="HE304" i="15"/>
  <c r="HF304" i="15"/>
  <c r="HG304" i="15"/>
  <c r="HH304" i="15"/>
  <c r="HI304" i="15"/>
  <c r="HJ304" i="15"/>
  <c r="HK304" i="15"/>
  <c r="HL304" i="15"/>
  <c r="HM304" i="15"/>
  <c r="HN304" i="15"/>
  <c r="HO304" i="15"/>
  <c r="HP304" i="15"/>
  <c r="HQ304" i="15"/>
  <c r="HR304" i="15"/>
  <c r="HS304" i="15"/>
  <c r="HT304" i="15"/>
  <c r="HU304" i="15"/>
  <c r="HV304" i="15"/>
  <c r="HW304" i="15"/>
  <c r="HX304" i="15"/>
  <c r="HY304" i="15"/>
  <c r="HZ304" i="15"/>
  <c r="IA304" i="15"/>
  <c r="IB304" i="15"/>
  <c r="IC304" i="15"/>
  <c r="ID304" i="15"/>
  <c r="IE304" i="15"/>
  <c r="IF304" i="15"/>
  <c r="IG304" i="15"/>
  <c r="IH304" i="15"/>
  <c r="II304" i="15"/>
  <c r="IJ304" i="15"/>
  <c r="IK304" i="15"/>
  <c r="IL304" i="15"/>
  <c r="IM304" i="15"/>
  <c r="IN304" i="15"/>
  <c r="IO304" i="15"/>
  <c r="IP304" i="15"/>
  <c r="IQ304" i="15"/>
  <c r="IR304" i="15"/>
  <c r="IS304" i="15"/>
  <c r="IT304" i="15"/>
  <c r="IU304" i="15"/>
  <c r="IV304" i="15"/>
  <c r="IW304" i="15"/>
  <c r="IX304" i="15"/>
  <c r="IY304" i="15"/>
  <c r="IZ304" i="15"/>
  <c r="JA304" i="15"/>
  <c r="JB304" i="15"/>
  <c r="JC304" i="15"/>
  <c r="JD304" i="15"/>
  <c r="JE304" i="15"/>
  <c r="JF304" i="15"/>
  <c r="JG304" i="15"/>
  <c r="JH304" i="15"/>
  <c r="JI304" i="15"/>
  <c r="JJ304" i="15"/>
  <c r="A305" i="15"/>
  <c r="B305" i="15"/>
  <c r="C305" i="15"/>
  <c r="D305" i="15"/>
  <c r="E305" i="15"/>
  <c r="F305" i="15"/>
  <c r="G305" i="15"/>
  <c r="H305" i="15"/>
  <c r="I305" i="15"/>
  <c r="J305" i="15"/>
  <c r="K305" i="15"/>
  <c r="L305" i="15"/>
  <c r="M305" i="15"/>
  <c r="N305" i="15"/>
  <c r="O305" i="15"/>
  <c r="P305" i="15"/>
  <c r="Q305" i="15"/>
  <c r="R305" i="15"/>
  <c r="S305" i="15"/>
  <c r="T305" i="15"/>
  <c r="U305" i="15"/>
  <c r="V305" i="15"/>
  <c r="W305" i="15"/>
  <c r="X305" i="15"/>
  <c r="Y305" i="15"/>
  <c r="Z305" i="15"/>
  <c r="AA305" i="15"/>
  <c r="AB305" i="15"/>
  <c r="AC305" i="15"/>
  <c r="AD305" i="15"/>
  <c r="AE305" i="15"/>
  <c r="AF305" i="15"/>
  <c r="AG305" i="15"/>
  <c r="AH305" i="15"/>
  <c r="AI305" i="15"/>
  <c r="AJ305" i="15"/>
  <c r="AK305" i="15"/>
  <c r="AL305" i="15"/>
  <c r="AM305" i="15"/>
  <c r="AN305" i="15"/>
  <c r="AO305" i="15"/>
  <c r="AP305" i="15"/>
  <c r="AQ305" i="15"/>
  <c r="AR305" i="15"/>
  <c r="AS305" i="15"/>
  <c r="AT305" i="15"/>
  <c r="AU305" i="15"/>
  <c r="AV305" i="15"/>
  <c r="AW305" i="15"/>
  <c r="AX305" i="15"/>
  <c r="AY305" i="15"/>
  <c r="AZ305" i="15"/>
  <c r="BA305" i="15"/>
  <c r="BB305" i="15"/>
  <c r="BC305" i="15"/>
  <c r="BD305" i="15"/>
  <c r="BE305" i="15"/>
  <c r="BF305" i="15"/>
  <c r="BG305" i="15"/>
  <c r="BH305" i="15"/>
  <c r="BI305" i="15"/>
  <c r="BJ305" i="15"/>
  <c r="BK305" i="15"/>
  <c r="BL305" i="15"/>
  <c r="BM305" i="15"/>
  <c r="BN305" i="15"/>
  <c r="BO305" i="15"/>
  <c r="BP305" i="15"/>
  <c r="BQ305" i="15"/>
  <c r="BR305" i="15"/>
  <c r="BS305" i="15"/>
  <c r="BT305" i="15"/>
  <c r="BU305" i="15"/>
  <c r="BV305" i="15"/>
  <c r="BW305" i="15"/>
  <c r="BX305" i="15"/>
  <c r="BY305" i="15"/>
  <c r="BZ305" i="15"/>
  <c r="CA305" i="15"/>
  <c r="CB305" i="15"/>
  <c r="CC305" i="15"/>
  <c r="CD305" i="15"/>
  <c r="CE305" i="15"/>
  <c r="CF305" i="15"/>
  <c r="CG305" i="15"/>
  <c r="CH305" i="15"/>
  <c r="CI305" i="15"/>
  <c r="CJ305" i="15"/>
  <c r="CK305" i="15"/>
  <c r="CL305" i="15"/>
  <c r="CM305" i="15"/>
  <c r="CN305" i="15"/>
  <c r="CO305" i="15"/>
  <c r="CP305" i="15"/>
  <c r="CQ305" i="15"/>
  <c r="CR305" i="15"/>
  <c r="CS305" i="15"/>
  <c r="CT305" i="15"/>
  <c r="CU305" i="15"/>
  <c r="CV305" i="15"/>
  <c r="CW305" i="15"/>
  <c r="CX305" i="15"/>
  <c r="CY305" i="15"/>
  <c r="CZ305" i="15"/>
  <c r="DA305" i="15"/>
  <c r="DB305" i="15"/>
  <c r="DC305" i="15"/>
  <c r="DD305" i="15"/>
  <c r="DE305" i="15"/>
  <c r="DF305" i="15"/>
  <c r="DG305" i="15"/>
  <c r="DH305" i="15"/>
  <c r="DI305" i="15"/>
  <c r="DJ305" i="15"/>
  <c r="DK305" i="15"/>
  <c r="DL305" i="15"/>
  <c r="DM305" i="15"/>
  <c r="DN305" i="15"/>
  <c r="DO305" i="15"/>
  <c r="DP305" i="15"/>
  <c r="DQ305" i="15"/>
  <c r="DR305" i="15"/>
  <c r="DS305" i="15"/>
  <c r="DT305" i="15"/>
  <c r="DU305" i="15"/>
  <c r="DV305" i="15"/>
  <c r="DW305" i="15"/>
  <c r="DX305" i="15"/>
  <c r="DY305" i="15"/>
  <c r="DZ305" i="15"/>
  <c r="EA305" i="15"/>
  <c r="EB305" i="15"/>
  <c r="EC305" i="15"/>
  <c r="ED305" i="15"/>
  <c r="EE305" i="15"/>
  <c r="EF305" i="15"/>
  <c r="EG305" i="15"/>
  <c r="EH305" i="15"/>
  <c r="EI305" i="15"/>
  <c r="EJ305" i="15"/>
  <c r="EK305" i="15"/>
  <c r="EL305" i="15"/>
  <c r="EM305" i="15"/>
  <c r="EN305" i="15"/>
  <c r="EO305" i="15"/>
  <c r="EP305" i="15"/>
  <c r="EQ305" i="15"/>
  <c r="ER305" i="15"/>
  <c r="ES305" i="15"/>
  <c r="ET305" i="15"/>
  <c r="EU305" i="15"/>
  <c r="EV305" i="15"/>
  <c r="EW305" i="15"/>
  <c r="EX305" i="15"/>
  <c r="EY305" i="15"/>
  <c r="EZ305" i="15"/>
  <c r="FA305" i="15"/>
  <c r="FB305" i="15"/>
  <c r="FC305" i="15"/>
  <c r="FD305" i="15"/>
  <c r="FE305" i="15"/>
  <c r="FF305" i="15"/>
  <c r="FG305" i="15"/>
  <c r="FH305" i="15"/>
  <c r="FI305" i="15"/>
  <c r="FJ305" i="15"/>
  <c r="FK305" i="15"/>
  <c r="FL305" i="15"/>
  <c r="FM305" i="15"/>
  <c r="FN305" i="15"/>
  <c r="FO305" i="15"/>
  <c r="FP305" i="15"/>
  <c r="FQ305" i="15"/>
  <c r="FR305" i="15"/>
  <c r="FS305" i="15"/>
  <c r="FT305" i="15"/>
  <c r="FU305" i="15"/>
  <c r="FV305" i="15"/>
  <c r="FW305" i="15"/>
  <c r="FX305" i="15"/>
  <c r="FY305" i="15"/>
  <c r="FZ305" i="15"/>
  <c r="GA305" i="15"/>
  <c r="GB305" i="15"/>
  <c r="GC305" i="15"/>
  <c r="GD305" i="15"/>
  <c r="GE305" i="15"/>
  <c r="GF305" i="15"/>
  <c r="GG305" i="15"/>
  <c r="GH305" i="15"/>
  <c r="GI305" i="15"/>
  <c r="GJ305" i="15"/>
  <c r="GK305" i="15"/>
  <c r="GL305" i="15"/>
  <c r="GM305" i="15"/>
  <c r="GN305" i="15"/>
  <c r="GO305" i="15"/>
  <c r="GP305" i="15"/>
  <c r="GQ305" i="15"/>
  <c r="GR305" i="15"/>
  <c r="GS305" i="15"/>
  <c r="GT305" i="15"/>
  <c r="GU305" i="15"/>
  <c r="GV305" i="15"/>
  <c r="GW305" i="15"/>
  <c r="GX305" i="15"/>
  <c r="GY305" i="15"/>
  <c r="GZ305" i="15"/>
  <c r="HA305" i="15"/>
  <c r="HB305" i="15"/>
  <c r="HC305" i="15"/>
  <c r="HD305" i="15"/>
  <c r="HE305" i="15"/>
  <c r="HF305" i="15"/>
  <c r="HG305" i="15"/>
  <c r="HH305" i="15"/>
  <c r="HI305" i="15"/>
  <c r="HJ305" i="15"/>
  <c r="HK305" i="15"/>
  <c r="HL305" i="15"/>
  <c r="HM305" i="15"/>
  <c r="HN305" i="15"/>
  <c r="HO305" i="15"/>
  <c r="HP305" i="15"/>
  <c r="HQ305" i="15"/>
  <c r="HR305" i="15"/>
  <c r="HS305" i="15"/>
  <c r="HT305" i="15"/>
  <c r="HU305" i="15"/>
  <c r="HV305" i="15"/>
  <c r="HW305" i="15"/>
  <c r="HX305" i="15"/>
  <c r="HY305" i="15"/>
  <c r="HZ305" i="15"/>
  <c r="IA305" i="15"/>
  <c r="IB305" i="15"/>
  <c r="IC305" i="15"/>
  <c r="ID305" i="15"/>
  <c r="IE305" i="15"/>
  <c r="IF305" i="15"/>
  <c r="IG305" i="15"/>
  <c r="IH305" i="15"/>
  <c r="II305" i="15"/>
  <c r="IJ305" i="15"/>
  <c r="IK305" i="15"/>
  <c r="IL305" i="15"/>
  <c r="IM305" i="15"/>
  <c r="IN305" i="15"/>
  <c r="IO305" i="15"/>
  <c r="IP305" i="15"/>
  <c r="IQ305" i="15"/>
  <c r="IR305" i="15"/>
  <c r="IS305" i="15"/>
  <c r="IT305" i="15"/>
  <c r="IU305" i="15"/>
  <c r="IV305" i="15"/>
  <c r="IW305" i="15"/>
  <c r="IX305" i="15"/>
  <c r="IY305" i="15"/>
  <c r="IZ305" i="15"/>
  <c r="JA305" i="15"/>
  <c r="JB305" i="15"/>
  <c r="JC305" i="15"/>
  <c r="JD305" i="15"/>
  <c r="JE305" i="15"/>
  <c r="JF305" i="15"/>
  <c r="JG305" i="15"/>
  <c r="JH305" i="15"/>
  <c r="JI305" i="15"/>
  <c r="JJ305" i="15"/>
  <c r="A306" i="15"/>
  <c r="B306" i="15"/>
  <c r="C306" i="15"/>
  <c r="D306" i="15"/>
  <c r="E306" i="15"/>
  <c r="F306" i="15"/>
  <c r="G306" i="15"/>
  <c r="H306" i="15"/>
  <c r="I306" i="15"/>
  <c r="J306" i="15"/>
  <c r="K306" i="15"/>
  <c r="L306" i="15"/>
  <c r="M306" i="15"/>
  <c r="N306" i="15"/>
  <c r="O306" i="15"/>
  <c r="P306" i="15"/>
  <c r="Q306" i="15"/>
  <c r="R306" i="15"/>
  <c r="S306" i="15"/>
  <c r="T306" i="15"/>
  <c r="U306" i="15"/>
  <c r="V306" i="15"/>
  <c r="W306" i="15"/>
  <c r="X306" i="15"/>
  <c r="Y306" i="15"/>
  <c r="Z306" i="15"/>
  <c r="AA306" i="15"/>
  <c r="AB306" i="15"/>
  <c r="AC306" i="15"/>
  <c r="AD306" i="15"/>
  <c r="AE306" i="15"/>
  <c r="AF306" i="15"/>
  <c r="AG306" i="15"/>
  <c r="AH306" i="15"/>
  <c r="AI306" i="15"/>
  <c r="AJ306" i="15"/>
  <c r="AK306" i="15"/>
  <c r="AL306" i="15"/>
  <c r="AM306" i="15"/>
  <c r="AN306" i="15"/>
  <c r="AO306" i="15"/>
  <c r="AP306" i="15"/>
  <c r="AQ306" i="15"/>
  <c r="AR306" i="15"/>
  <c r="AS306" i="15"/>
  <c r="AT306" i="15"/>
  <c r="AU306" i="15"/>
  <c r="AV306" i="15"/>
  <c r="AW306" i="15"/>
  <c r="AX306" i="15"/>
  <c r="AY306" i="15"/>
  <c r="AZ306" i="15"/>
  <c r="BA306" i="15"/>
  <c r="BB306" i="15"/>
  <c r="BC306" i="15"/>
  <c r="BD306" i="15"/>
  <c r="BE306" i="15"/>
  <c r="BF306" i="15"/>
  <c r="BG306" i="15"/>
  <c r="BH306" i="15"/>
  <c r="BI306" i="15"/>
  <c r="BJ306" i="15"/>
  <c r="BK306" i="15"/>
  <c r="BL306" i="15"/>
  <c r="BM306" i="15"/>
  <c r="BN306" i="15"/>
  <c r="BO306" i="15"/>
  <c r="BP306" i="15"/>
  <c r="BQ306" i="15"/>
  <c r="BR306" i="15"/>
  <c r="BS306" i="15"/>
  <c r="BT306" i="15"/>
  <c r="BU306" i="15"/>
  <c r="BV306" i="15"/>
  <c r="BW306" i="15"/>
  <c r="BX306" i="15"/>
  <c r="BY306" i="15"/>
  <c r="BZ306" i="15"/>
  <c r="CA306" i="15"/>
  <c r="CB306" i="15"/>
  <c r="CC306" i="15"/>
  <c r="CD306" i="15"/>
  <c r="CE306" i="15"/>
  <c r="CF306" i="15"/>
  <c r="CG306" i="15"/>
  <c r="CH306" i="15"/>
  <c r="CI306" i="15"/>
  <c r="CJ306" i="15"/>
  <c r="CK306" i="15"/>
  <c r="CL306" i="15"/>
  <c r="CM306" i="15"/>
  <c r="CN306" i="15"/>
  <c r="CO306" i="15"/>
  <c r="CP306" i="15"/>
  <c r="CQ306" i="15"/>
  <c r="CR306" i="15"/>
  <c r="CS306" i="15"/>
  <c r="CT306" i="15"/>
  <c r="CU306" i="15"/>
  <c r="CV306" i="15"/>
  <c r="CW306" i="15"/>
  <c r="CX306" i="15"/>
  <c r="CY306" i="15"/>
  <c r="CZ306" i="15"/>
  <c r="DA306" i="15"/>
  <c r="DB306" i="15"/>
  <c r="DC306" i="15"/>
  <c r="DD306" i="15"/>
  <c r="DE306" i="15"/>
  <c r="DF306" i="15"/>
  <c r="DG306" i="15"/>
  <c r="DH306" i="15"/>
  <c r="DI306" i="15"/>
  <c r="DJ306" i="15"/>
  <c r="DK306" i="15"/>
  <c r="DL306" i="15"/>
  <c r="DM306" i="15"/>
  <c r="DN306" i="15"/>
  <c r="DO306" i="15"/>
  <c r="DP306" i="15"/>
  <c r="DQ306" i="15"/>
  <c r="DR306" i="15"/>
  <c r="DS306" i="15"/>
  <c r="DT306" i="15"/>
  <c r="DU306" i="15"/>
  <c r="DV306" i="15"/>
  <c r="DW306" i="15"/>
  <c r="DX306" i="15"/>
  <c r="DY306" i="15"/>
  <c r="DZ306" i="15"/>
  <c r="EA306" i="15"/>
  <c r="EB306" i="15"/>
  <c r="EC306" i="15"/>
  <c r="ED306" i="15"/>
  <c r="EE306" i="15"/>
  <c r="EF306" i="15"/>
  <c r="EG306" i="15"/>
  <c r="EH306" i="15"/>
  <c r="EI306" i="15"/>
  <c r="EJ306" i="15"/>
  <c r="EK306" i="15"/>
  <c r="EL306" i="15"/>
  <c r="EM306" i="15"/>
  <c r="EN306" i="15"/>
  <c r="EO306" i="15"/>
  <c r="EP306" i="15"/>
  <c r="EQ306" i="15"/>
  <c r="ER306" i="15"/>
  <c r="ES306" i="15"/>
  <c r="ET306" i="15"/>
  <c r="EU306" i="15"/>
  <c r="EV306" i="15"/>
  <c r="EW306" i="15"/>
  <c r="EX306" i="15"/>
  <c r="EY306" i="15"/>
  <c r="EZ306" i="15"/>
  <c r="FA306" i="15"/>
  <c r="FB306" i="15"/>
  <c r="FC306" i="15"/>
  <c r="FD306" i="15"/>
  <c r="FE306" i="15"/>
  <c r="FF306" i="15"/>
  <c r="FG306" i="15"/>
  <c r="FH306" i="15"/>
  <c r="FI306" i="15"/>
  <c r="FJ306" i="15"/>
  <c r="FK306" i="15"/>
  <c r="FL306" i="15"/>
  <c r="FM306" i="15"/>
  <c r="FN306" i="15"/>
  <c r="FO306" i="15"/>
  <c r="FP306" i="15"/>
  <c r="FQ306" i="15"/>
  <c r="FR306" i="15"/>
  <c r="FS306" i="15"/>
  <c r="FT306" i="15"/>
  <c r="FU306" i="15"/>
  <c r="FV306" i="15"/>
  <c r="FW306" i="15"/>
  <c r="FX306" i="15"/>
  <c r="FY306" i="15"/>
  <c r="FZ306" i="15"/>
  <c r="GA306" i="15"/>
  <c r="GB306" i="15"/>
  <c r="GC306" i="15"/>
  <c r="GD306" i="15"/>
  <c r="GE306" i="15"/>
  <c r="GF306" i="15"/>
  <c r="GG306" i="15"/>
  <c r="GH306" i="15"/>
  <c r="GI306" i="15"/>
  <c r="GJ306" i="15"/>
  <c r="GK306" i="15"/>
  <c r="GL306" i="15"/>
  <c r="GM306" i="15"/>
  <c r="GN306" i="15"/>
  <c r="GO306" i="15"/>
  <c r="GP306" i="15"/>
  <c r="GQ306" i="15"/>
  <c r="GR306" i="15"/>
  <c r="GS306" i="15"/>
  <c r="GT306" i="15"/>
  <c r="GU306" i="15"/>
  <c r="GV306" i="15"/>
  <c r="GW306" i="15"/>
  <c r="GX306" i="15"/>
  <c r="GY306" i="15"/>
  <c r="GZ306" i="15"/>
  <c r="HA306" i="15"/>
  <c r="HB306" i="15"/>
  <c r="HC306" i="15"/>
  <c r="HD306" i="15"/>
  <c r="HE306" i="15"/>
  <c r="HF306" i="15"/>
  <c r="HG306" i="15"/>
  <c r="HH306" i="15"/>
  <c r="HI306" i="15"/>
  <c r="HJ306" i="15"/>
  <c r="HK306" i="15"/>
  <c r="HL306" i="15"/>
  <c r="HM306" i="15"/>
  <c r="HN306" i="15"/>
  <c r="HO306" i="15"/>
  <c r="HP306" i="15"/>
  <c r="HQ306" i="15"/>
  <c r="HR306" i="15"/>
  <c r="HS306" i="15"/>
  <c r="HT306" i="15"/>
  <c r="HU306" i="15"/>
  <c r="HV306" i="15"/>
  <c r="HW306" i="15"/>
  <c r="HX306" i="15"/>
  <c r="HY306" i="15"/>
  <c r="HZ306" i="15"/>
  <c r="IA306" i="15"/>
  <c r="IB306" i="15"/>
  <c r="IC306" i="15"/>
  <c r="ID306" i="15"/>
  <c r="IE306" i="15"/>
  <c r="IF306" i="15"/>
  <c r="IG306" i="15"/>
  <c r="IH306" i="15"/>
  <c r="II306" i="15"/>
  <c r="IJ306" i="15"/>
  <c r="IK306" i="15"/>
  <c r="IL306" i="15"/>
  <c r="IM306" i="15"/>
  <c r="IN306" i="15"/>
  <c r="IO306" i="15"/>
  <c r="IP306" i="15"/>
  <c r="IQ306" i="15"/>
  <c r="IR306" i="15"/>
  <c r="IS306" i="15"/>
  <c r="IT306" i="15"/>
  <c r="IU306" i="15"/>
  <c r="IV306" i="15"/>
  <c r="IW306" i="15"/>
  <c r="IX306" i="15"/>
  <c r="IY306" i="15"/>
  <c r="IZ306" i="15"/>
  <c r="JA306" i="15"/>
  <c r="JB306" i="15"/>
  <c r="JC306" i="15"/>
  <c r="JD306" i="15"/>
  <c r="JE306" i="15"/>
  <c r="JF306" i="15"/>
  <c r="JG306" i="15"/>
  <c r="JH306" i="15"/>
  <c r="JI306" i="15"/>
  <c r="JJ306" i="15"/>
  <c r="A307" i="15"/>
  <c r="B307" i="15"/>
  <c r="C307" i="15"/>
  <c r="D307" i="15"/>
  <c r="E307" i="15"/>
  <c r="F307" i="15"/>
  <c r="G307" i="15"/>
  <c r="H307" i="15"/>
  <c r="I307" i="15"/>
  <c r="J307" i="15"/>
  <c r="K307" i="15"/>
  <c r="L307" i="15"/>
  <c r="M307" i="15"/>
  <c r="N307" i="15"/>
  <c r="O307" i="15"/>
  <c r="P307" i="15"/>
  <c r="Q307" i="15"/>
  <c r="R307" i="15"/>
  <c r="S307" i="15"/>
  <c r="T307" i="15"/>
  <c r="U307" i="15"/>
  <c r="V307" i="15"/>
  <c r="W307" i="15"/>
  <c r="X307" i="15"/>
  <c r="Y307" i="15"/>
  <c r="Z307" i="15"/>
  <c r="AA307" i="15"/>
  <c r="AB307" i="15"/>
  <c r="AC307" i="15"/>
  <c r="AD307" i="15"/>
  <c r="AE307" i="15"/>
  <c r="AF307" i="15"/>
  <c r="AG307" i="15"/>
  <c r="AH307" i="15"/>
  <c r="AI307" i="15"/>
  <c r="AJ307" i="15"/>
  <c r="AK307" i="15"/>
  <c r="AL307" i="15"/>
  <c r="AM307" i="15"/>
  <c r="AN307" i="15"/>
  <c r="AO307" i="15"/>
  <c r="AP307" i="15"/>
  <c r="AQ307" i="15"/>
  <c r="AR307" i="15"/>
  <c r="AS307" i="15"/>
  <c r="AT307" i="15"/>
  <c r="AU307" i="15"/>
  <c r="AV307" i="15"/>
  <c r="AW307" i="15"/>
  <c r="AX307" i="15"/>
  <c r="AY307" i="15"/>
  <c r="AZ307" i="15"/>
  <c r="BA307" i="15"/>
  <c r="BB307" i="15"/>
  <c r="BC307" i="15"/>
  <c r="BD307" i="15"/>
  <c r="BE307" i="15"/>
  <c r="BF307" i="15"/>
  <c r="BG307" i="15"/>
  <c r="BH307" i="15"/>
  <c r="BI307" i="15"/>
  <c r="BJ307" i="15"/>
  <c r="BK307" i="15"/>
  <c r="BL307" i="15"/>
  <c r="BM307" i="15"/>
  <c r="BN307" i="15"/>
  <c r="BO307" i="15"/>
  <c r="BP307" i="15"/>
  <c r="BQ307" i="15"/>
  <c r="BR307" i="15"/>
  <c r="BS307" i="15"/>
  <c r="BT307" i="15"/>
  <c r="BU307" i="15"/>
  <c r="BV307" i="15"/>
  <c r="BW307" i="15"/>
  <c r="BX307" i="15"/>
  <c r="BY307" i="15"/>
  <c r="BZ307" i="15"/>
  <c r="CA307" i="15"/>
  <c r="CB307" i="15"/>
  <c r="CC307" i="15"/>
  <c r="CD307" i="15"/>
  <c r="CE307" i="15"/>
  <c r="CF307" i="15"/>
  <c r="CG307" i="15"/>
  <c r="CH307" i="15"/>
  <c r="CI307" i="15"/>
  <c r="CJ307" i="15"/>
  <c r="CK307" i="15"/>
  <c r="CL307" i="15"/>
  <c r="CM307" i="15"/>
  <c r="CN307" i="15"/>
  <c r="CO307" i="15"/>
  <c r="CP307" i="15"/>
  <c r="CQ307" i="15"/>
  <c r="CR307" i="15"/>
  <c r="CS307" i="15"/>
  <c r="CT307" i="15"/>
  <c r="CU307" i="15"/>
  <c r="CV307" i="15"/>
  <c r="CW307" i="15"/>
  <c r="CX307" i="15"/>
  <c r="CY307" i="15"/>
  <c r="CZ307" i="15"/>
  <c r="DA307" i="15"/>
  <c r="DB307" i="15"/>
  <c r="DC307" i="15"/>
  <c r="DD307" i="15"/>
  <c r="DE307" i="15"/>
  <c r="DF307" i="15"/>
  <c r="DG307" i="15"/>
  <c r="DH307" i="15"/>
  <c r="DI307" i="15"/>
  <c r="DJ307" i="15"/>
  <c r="DK307" i="15"/>
  <c r="DL307" i="15"/>
  <c r="DM307" i="15"/>
  <c r="DN307" i="15"/>
  <c r="DO307" i="15"/>
  <c r="DP307" i="15"/>
  <c r="DQ307" i="15"/>
  <c r="DR307" i="15"/>
  <c r="DS307" i="15"/>
  <c r="DT307" i="15"/>
  <c r="DU307" i="15"/>
  <c r="DV307" i="15"/>
  <c r="DW307" i="15"/>
  <c r="DX307" i="15"/>
  <c r="DY307" i="15"/>
  <c r="DZ307" i="15"/>
  <c r="EA307" i="15"/>
  <c r="EB307" i="15"/>
  <c r="EC307" i="15"/>
  <c r="ED307" i="15"/>
  <c r="EE307" i="15"/>
  <c r="EF307" i="15"/>
  <c r="EG307" i="15"/>
  <c r="EH307" i="15"/>
  <c r="EI307" i="15"/>
  <c r="EJ307" i="15"/>
  <c r="EK307" i="15"/>
  <c r="EL307" i="15"/>
  <c r="EM307" i="15"/>
  <c r="EN307" i="15"/>
  <c r="EO307" i="15"/>
  <c r="EP307" i="15"/>
  <c r="EQ307" i="15"/>
  <c r="ER307" i="15"/>
  <c r="ES307" i="15"/>
  <c r="ET307" i="15"/>
  <c r="EU307" i="15"/>
  <c r="EV307" i="15"/>
  <c r="EW307" i="15"/>
  <c r="EX307" i="15"/>
  <c r="EY307" i="15"/>
  <c r="EZ307" i="15"/>
  <c r="FA307" i="15"/>
  <c r="FB307" i="15"/>
  <c r="FC307" i="15"/>
  <c r="FD307" i="15"/>
  <c r="FE307" i="15"/>
  <c r="FF307" i="15"/>
  <c r="FG307" i="15"/>
  <c r="FH307" i="15"/>
  <c r="FI307" i="15"/>
  <c r="FJ307" i="15"/>
  <c r="FK307" i="15"/>
  <c r="FL307" i="15"/>
  <c r="FM307" i="15"/>
  <c r="FN307" i="15"/>
  <c r="FO307" i="15"/>
  <c r="FP307" i="15"/>
  <c r="FQ307" i="15"/>
  <c r="FR307" i="15"/>
  <c r="FS307" i="15"/>
  <c r="FT307" i="15"/>
  <c r="FU307" i="15"/>
  <c r="FV307" i="15"/>
  <c r="FW307" i="15"/>
  <c r="FX307" i="15"/>
  <c r="FY307" i="15"/>
  <c r="FZ307" i="15"/>
  <c r="GA307" i="15"/>
  <c r="GB307" i="15"/>
  <c r="GC307" i="15"/>
  <c r="GD307" i="15"/>
  <c r="GE307" i="15"/>
  <c r="GF307" i="15"/>
  <c r="GG307" i="15"/>
  <c r="GH307" i="15"/>
  <c r="GI307" i="15"/>
  <c r="GJ307" i="15"/>
  <c r="GK307" i="15"/>
  <c r="GL307" i="15"/>
  <c r="GM307" i="15"/>
  <c r="GN307" i="15"/>
  <c r="GO307" i="15"/>
  <c r="GP307" i="15"/>
  <c r="GQ307" i="15"/>
  <c r="GR307" i="15"/>
  <c r="GS307" i="15"/>
  <c r="GT307" i="15"/>
  <c r="GU307" i="15"/>
  <c r="GV307" i="15"/>
  <c r="GW307" i="15"/>
  <c r="GX307" i="15"/>
  <c r="GY307" i="15"/>
  <c r="GZ307" i="15"/>
  <c r="HA307" i="15"/>
  <c r="HB307" i="15"/>
  <c r="HC307" i="15"/>
  <c r="HD307" i="15"/>
  <c r="HE307" i="15"/>
  <c r="HF307" i="15"/>
  <c r="HG307" i="15"/>
  <c r="HH307" i="15"/>
  <c r="HI307" i="15"/>
  <c r="HJ307" i="15"/>
  <c r="HK307" i="15"/>
  <c r="HL307" i="15"/>
  <c r="HM307" i="15"/>
  <c r="HN307" i="15"/>
  <c r="HO307" i="15"/>
  <c r="HP307" i="15"/>
  <c r="HQ307" i="15"/>
  <c r="HR307" i="15"/>
  <c r="HS307" i="15"/>
  <c r="HT307" i="15"/>
  <c r="HU307" i="15"/>
  <c r="HV307" i="15"/>
  <c r="HW307" i="15"/>
  <c r="HX307" i="15"/>
  <c r="HY307" i="15"/>
  <c r="HZ307" i="15"/>
  <c r="IA307" i="15"/>
  <c r="IB307" i="15"/>
  <c r="IC307" i="15"/>
  <c r="ID307" i="15"/>
  <c r="IE307" i="15"/>
  <c r="IF307" i="15"/>
  <c r="IG307" i="15"/>
  <c r="IH307" i="15"/>
  <c r="II307" i="15"/>
  <c r="IJ307" i="15"/>
  <c r="IK307" i="15"/>
  <c r="IL307" i="15"/>
  <c r="IM307" i="15"/>
  <c r="IN307" i="15"/>
  <c r="IO307" i="15"/>
  <c r="IP307" i="15"/>
  <c r="IQ307" i="15"/>
  <c r="IR307" i="15"/>
  <c r="IS307" i="15"/>
  <c r="IT307" i="15"/>
  <c r="IU307" i="15"/>
  <c r="IV307" i="15"/>
  <c r="IW307" i="15"/>
  <c r="IX307" i="15"/>
  <c r="IY307" i="15"/>
  <c r="IZ307" i="15"/>
  <c r="JA307" i="15"/>
  <c r="JB307" i="15"/>
  <c r="JC307" i="15"/>
  <c r="JD307" i="15"/>
  <c r="JE307" i="15"/>
  <c r="JF307" i="15"/>
  <c r="JG307" i="15"/>
  <c r="JH307" i="15"/>
  <c r="JI307" i="15"/>
  <c r="JJ307" i="15"/>
  <c r="A308" i="15"/>
  <c r="B308" i="15"/>
  <c r="C308" i="15"/>
  <c r="D308" i="15"/>
  <c r="E308" i="15"/>
  <c r="F308" i="15"/>
  <c r="G308" i="15"/>
  <c r="H308" i="15"/>
  <c r="I308" i="15"/>
  <c r="J308" i="15"/>
  <c r="K308" i="15"/>
  <c r="L308" i="15"/>
  <c r="M308" i="15"/>
  <c r="N308" i="15"/>
  <c r="O308" i="15"/>
  <c r="P308" i="15"/>
  <c r="Q308" i="15"/>
  <c r="R308" i="15"/>
  <c r="S308" i="15"/>
  <c r="T308" i="15"/>
  <c r="U308" i="15"/>
  <c r="V308" i="15"/>
  <c r="W308" i="15"/>
  <c r="X308" i="15"/>
  <c r="Y308" i="15"/>
  <c r="Z308" i="15"/>
  <c r="AA308" i="15"/>
  <c r="AB308" i="15"/>
  <c r="AC308" i="15"/>
  <c r="AD308" i="15"/>
  <c r="AE308" i="15"/>
  <c r="AF308" i="15"/>
  <c r="AG308" i="15"/>
  <c r="AH308" i="15"/>
  <c r="AI308" i="15"/>
  <c r="AJ308" i="15"/>
  <c r="AK308" i="15"/>
  <c r="AL308" i="15"/>
  <c r="AM308" i="15"/>
  <c r="AN308" i="15"/>
  <c r="AO308" i="15"/>
  <c r="AP308" i="15"/>
  <c r="AQ308" i="15"/>
  <c r="AR308" i="15"/>
  <c r="AS308" i="15"/>
  <c r="AT308" i="15"/>
  <c r="AU308" i="15"/>
  <c r="AV308" i="15"/>
  <c r="AW308" i="15"/>
  <c r="AX308" i="15"/>
  <c r="AY308" i="15"/>
  <c r="AZ308" i="15"/>
  <c r="BA308" i="15"/>
  <c r="BB308" i="15"/>
  <c r="BC308" i="15"/>
  <c r="BD308" i="15"/>
  <c r="BE308" i="15"/>
  <c r="BF308" i="15"/>
  <c r="BG308" i="15"/>
  <c r="BH308" i="15"/>
  <c r="BI308" i="15"/>
  <c r="BJ308" i="15"/>
  <c r="BK308" i="15"/>
  <c r="BL308" i="15"/>
  <c r="BM308" i="15"/>
  <c r="BN308" i="15"/>
  <c r="BO308" i="15"/>
  <c r="BP308" i="15"/>
  <c r="BQ308" i="15"/>
  <c r="BR308" i="15"/>
  <c r="BS308" i="15"/>
  <c r="BT308" i="15"/>
  <c r="BU308" i="15"/>
  <c r="BV308" i="15"/>
  <c r="BW308" i="15"/>
  <c r="BX308" i="15"/>
  <c r="BY308" i="15"/>
  <c r="BZ308" i="15"/>
  <c r="CA308" i="15"/>
  <c r="CB308" i="15"/>
  <c r="CC308" i="15"/>
  <c r="CD308" i="15"/>
  <c r="CE308" i="15"/>
  <c r="CF308" i="15"/>
  <c r="CG308" i="15"/>
  <c r="CH308" i="15"/>
  <c r="CI308" i="15"/>
  <c r="CJ308" i="15"/>
  <c r="CK308" i="15"/>
  <c r="CL308" i="15"/>
  <c r="CM308" i="15"/>
  <c r="CN308" i="15"/>
  <c r="CO308" i="15"/>
  <c r="CP308" i="15"/>
  <c r="CQ308" i="15"/>
  <c r="CR308" i="15"/>
  <c r="CS308" i="15"/>
  <c r="CT308" i="15"/>
  <c r="CU308" i="15"/>
  <c r="CV308" i="15"/>
  <c r="CW308" i="15"/>
  <c r="CX308" i="15"/>
  <c r="CY308" i="15"/>
  <c r="CZ308" i="15"/>
  <c r="DA308" i="15"/>
  <c r="DB308" i="15"/>
  <c r="DC308" i="15"/>
  <c r="DD308" i="15"/>
  <c r="DE308" i="15"/>
  <c r="DF308" i="15"/>
  <c r="DG308" i="15"/>
  <c r="DH308" i="15"/>
  <c r="DI308" i="15"/>
  <c r="DJ308" i="15"/>
  <c r="DK308" i="15"/>
  <c r="DL308" i="15"/>
  <c r="DM308" i="15"/>
  <c r="DN308" i="15"/>
  <c r="DO308" i="15"/>
  <c r="DP308" i="15"/>
  <c r="DQ308" i="15"/>
  <c r="DR308" i="15"/>
  <c r="DS308" i="15"/>
  <c r="DT308" i="15"/>
  <c r="DU308" i="15"/>
  <c r="DV308" i="15"/>
  <c r="DW308" i="15"/>
  <c r="DX308" i="15"/>
  <c r="DY308" i="15"/>
  <c r="DZ308" i="15"/>
  <c r="EA308" i="15"/>
  <c r="EB308" i="15"/>
  <c r="EC308" i="15"/>
  <c r="ED308" i="15"/>
  <c r="EE308" i="15"/>
  <c r="EF308" i="15"/>
  <c r="EG308" i="15"/>
  <c r="EH308" i="15"/>
  <c r="EI308" i="15"/>
  <c r="EJ308" i="15"/>
  <c r="EK308" i="15"/>
  <c r="EL308" i="15"/>
  <c r="EM308" i="15"/>
  <c r="EN308" i="15"/>
  <c r="EO308" i="15"/>
  <c r="EP308" i="15"/>
  <c r="EQ308" i="15"/>
  <c r="ER308" i="15"/>
  <c r="ES308" i="15"/>
  <c r="ET308" i="15"/>
  <c r="EU308" i="15"/>
  <c r="EV308" i="15"/>
  <c r="EW308" i="15"/>
  <c r="EX308" i="15"/>
  <c r="EY308" i="15"/>
  <c r="EZ308" i="15"/>
  <c r="FA308" i="15"/>
  <c r="FB308" i="15"/>
  <c r="FC308" i="15"/>
  <c r="FD308" i="15"/>
  <c r="FE308" i="15"/>
  <c r="FF308" i="15"/>
  <c r="FG308" i="15"/>
  <c r="FH308" i="15"/>
  <c r="FI308" i="15"/>
  <c r="FJ308" i="15"/>
  <c r="FK308" i="15"/>
  <c r="FL308" i="15"/>
  <c r="FM308" i="15"/>
  <c r="FN308" i="15"/>
  <c r="FO308" i="15"/>
  <c r="FP308" i="15"/>
  <c r="FQ308" i="15"/>
  <c r="FR308" i="15"/>
  <c r="FS308" i="15"/>
  <c r="FT308" i="15"/>
  <c r="FU308" i="15"/>
  <c r="FV308" i="15"/>
  <c r="FW308" i="15"/>
  <c r="FX308" i="15"/>
  <c r="FY308" i="15"/>
  <c r="FZ308" i="15"/>
  <c r="GA308" i="15"/>
  <c r="GB308" i="15"/>
  <c r="GC308" i="15"/>
  <c r="GD308" i="15"/>
  <c r="GE308" i="15"/>
  <c r="GF308" i="15"/>
  <c r="GG308" i="15"/>
  <c r="GH308" i="15"/>
  <c r="GI308" i="15"/>
  <c r="GJ308" i="15"/>
  <c r="GK308" i="15"/>
  <c r="GL308" i="15"/>
  <c r="GM308" i="15"/>
  <c r="GN308" i="15"/>
  <c r="GO308" i="15"/>
  <c r="GP308" i="15"/>
  <c r="GQ308" i="15"/>
  <c r="GR308" i="15"/>
  <c r="GS308" i="15"/>
  <c r="GT308" i="15"/>
  <c r="GU308" i="15"/>
  <c r="GV308" i="15"/>
  <c r="GW308" i="15"/>
  <c r="GX308" i="15"/>
  <c r="GY308" i="15"/>
  <c r="GZ308" i="15"/>
  <c r="HA308" i="15"/>
  <c r="HB308" i="15"/>
  <c r="HC308" i="15"/>
  <c r="HD308" i="15"/>
  <c r="HE308" i="15"/>
  <c r="HF308" i="15"/>
  <c r="HG308" i="15"/>
  <c r="HH308" i="15"/>
  <c r="HI308" i="15"/>
  <c r="HJ308" i="15"/>
  <c r="HK308" i="15"/>
  <c r="HL308" i="15"/>
  <c r="HM308" i="15"/>
  <c r="HN308" i="15"/>
  <c r="HO308" i="15"/>
  <c r="HP308" i="15"/>
  <c r="HQ308" i="15"/>
  <c r="HR308" i="15"/>
  <c r="HS308" i="15"/>
  <c r="HT308" i="15"/>
  <c r="HU308" i="15"/>
  <c r="HV308" i="15"/>
  <c r="HW308" i="15"/>
  <c r="HX308" i="15"/>
  <c r="HY308" i="15"/>
  <c r="HZ308" i="15"/>
  <c r="IA308" i="15"/>
  <c r="IB308" i="15"/>
  <c r="IC308" i="15"/>
  <c r="ID308" i="15"/>
  <c r="IE308" i="15"/>
  <c r="IF308" i="15"/>
  <c r="IG308" i="15"/>
  <c r="IH308" i="15"/>
  <c r="II308" i="15"/>
  <c r="IJ308" i="15"/>
  <c r="IK308" i="15"/>
  <c r="IL308" i="15"/>
  <c r="IM308" i="15"/>
  <c r="IN308" i="15"/>
  <c r="IO308" i="15"/>
  <c r="IP308" i="15"/>
  <c r="IQ308" i="15"/>
  <c r="IR308" i="15"/>
  <c r="IS308" i="15"/>
  <c r="IT308" i="15"/>
  <c r="IU308" i="15"/>
  <c r="IV308" i="15"/>
  <c r="IW308" i="15"/>
  <c r="IX308" i="15"/>
  <c r="IY308" i="15"/>
  <c r="IZ308" i="15"/>
  <c r="JA308" i="15"/>
  <c r="JB308" i="15"/>
  <c r="JC308" i="15"/>
  <c r="JD308" i="15"/>
  <c r="JE308" i="15"/>
  <c r="JF308" i="15"/>
  <c r="JG308" i="15"/>
  <c r="JH308" i="15"/>
  <c r="JI308" i="15"/>
  <c r="JJ308" i="15"/>
  <c r="A309" i="15"/>
  <c r="B309" i="15"/>
  <c r="C309" i="15"/>
  <c r="D309" i="15"/>
  <c r="E309" i="15"/>
  <c r="F309" i="15"/>
  <c r="G309" i="15"/>
  <c r="H309" i="15"/>
  <c r="I309" i="15"/>
  <c r="J309" i="15"/>
  <c r="K309" i="15"/>
  <c r="L309" i="15"/>
  <c r="M309" i="15"/>
  <c r="N309" i="15"/>
  <c r="O309" i="15"/>
  <c r="P309" i="15"/>
  <c r="Q309" i="15"/>
  <c r="R309" i="15"/>
  <c r="S309" i="15"/>
  <c r="T309" i="15"/>
  <c r="U309" i="15"/>
  <c r="V309" i="15"/>
  <c r="W309" i="15"/>
  <c r="X309" i="15"/>
  <c r="Y309" i="15"/>
  <c r="Z309" i="15"/>
  <c r="AA309" i="15"/>
  <c r="AB309" i="15"/>
  <c r="AC309" i="15"/>
  <c r="AD309" i="15"/>
  <c r="AE309" i="15"/>
  <c r="AF309" i="15"/>
  <c r="AG309" i="15"/>
  <c r="AH309" i="15"/>
  <c r="AI309" i="15"/>
  <c r="AJ309" i="15"/>
  <c r="AK309" i="15"/>
  <c r="AL309" i="15"/>
  <c r="AM309" i="15"/>
  <c r="AN309" i="15"/>
  <c r="AO309" i="15"/>
  <c r="AP309" i="15"/>
  <c r="AQ309" i="15"/>
  <c r="AR309" i="15"/>
  <c r="AS309" i="15"/>
  <c r="AT309" i="15"/>
  <c r="AU309" i="15"/>
  <c r="AV309" i="15"/>
  <c r="AW309" i="15"/>
  <c r="AX309" i="15"/>
  <c r="AY309" i="15"/>
  <c r="AZ309" i="15"/>
  <c r="BA309" i="15"/>
  <c r="BB309" i="15"/>
  <c r="BC309" i="15"/>
  <c r="BD309" i="15"/>
  <c r="BE309" i="15"/>
  <c r="BF309" i="15"/>
  <c r="BG309" i="15"/>
  <c r="BH309" i="15"/>
  <c r="BI309" i="15"/>
  <c r="BJ309" i="15"/>
  <c r="BK309" i="15"/>
  <c r="BL309" i="15"/>
  <c r="BM309" i="15"/>
  <c r="BN309" i="15"/>
  <c r="BO309" i="15"/>
  <c r="BP309" i="15"/>
  <c r="BQ309" i="15"/>
  <c r="BR309" i="15"/>
  <c r="BS309" i="15"/>
  <c r="BT309" i="15"/>
  <c r="BU309" i="15"/>
  <c r="BV309" i="15"/>
  <c r="BW309" i="15"/>
  <c r="BX309" i="15"/>
  <c r="BY309" i="15"/>
  <c r="BZ309" i="15"/>
  <c r="CA309" i="15"/>
  <c r="CB309" i="15"/>
  <c r="CC309" i="15"/>
  <c r="CD309" i="15"/>
  <c r="CE309" i="15"/>
  <c r="CF309" i="15"/>
  <c r="CG309" i="15"/>
  <c r="CH309" i="15"/>
  <c r="CI309" i="15"/>
  <c r="CJ309" i="15"/>
  <c r="CK309" i="15"/>
  <c r="CL309" i="15"/>
  <c r="CM309" i="15"/>
  <c r="CN309" i="15"/>
  <c r="CO309" i="15"/>
  <c r="CP309" i="15"/>
  <c r="CQ309" i="15"/>
  <c r="CR309" i="15"/>
  <c r="CS309" i="15"/>
  <c r="CT309" i="15"/>
  <c r="CU309" i="15"/>
  <c r="CV309" i="15"/>
  <c r="CW309" i="15"/>
  <c r="CX309" i="15"/>
  <c r="CY309" i="15"/>
  <c r="CZ309" i="15"/>
  <c r="DA309" i="15"/>
  <c r="DB309" i="15"/>
  <c r="DC309" i="15"/>
  <c r="DD309" i="15"/>
  <c r="DE309" i="15"/>
  <c r="DF309" i="15"/>
  <c r="DG309" i="15"/>
  <c r="DH309" i="15"/>
  <c r="DI309" i="15"/>
  <c r="DJ309" i="15"/>
  <c r="DK309" i="15"/>
  <c r="DL309" i="15"/>
  <c r="DM309" i="15"/>
  <c r="DN309" i="15"/>
  <c r="DO309" i="15"/>
  <c r="DP309" i="15"/>
  <c r="DQ309" i="15"/>
  <c r="DR309" i="15"/>
  <c r="DS309" i="15"/>
  <c r="DT309" i="15"/>
  <c r="DU309" i="15"/>
  <c r="DV309" i="15"/>
  <c r="DW309" i="15"/>
  <c r="DX309" i="15"/>
  <c r="DY309" i="15"/>
  <c r="DZ309" i="15"/>
  <c r="EA309" i="15"/>
  <c r="EB309" i="15"/>
  <c r="EC309" i="15"/>
  <c r="ED309" i="15"/>
  <c r="EE309" i="15"/>
  <c r="EF309" i="15"/>
  <c r="EG309" i="15"/>
  <c r="EH309" i="15"/>
  <c r="EI309" i="15"/>
  <c r="EJ309" i="15"/>
  <c r="EK309" i="15"/>
  <c r="EL309" i="15"/>
  <c r="EM309" i="15"/>
  <c r="EN309" i="15"/>
  <c r="EO309" i="15"/>
  <c r="EP309" i="15"/>
  <c r="EQ309" i="15"/>
  <c r="ER309" i="15"/>
  <c r="ES309" i="15"/>
  <c r="ET309" i="15"/>
  <c r="EU309" i="15"/>
  <c r="EV309" i="15"/>
  <c r="EW309" i="15"/>
  <c r="EX309" i="15"/>
  <c r="EY309" i="15"/>
  <c r="EZ309" i="15"/>
  <c r="FA309" i="15"/>
  <c r="FB309" i="15"/>
  <c r="FC309" i="15"/>
  <c r="FD309" i="15"/>
  <c r="FE309" i="15"/>
  <c r="FF309" i="15"/>
  <c r="FG309" i="15"/>
  <c r="FH309" i="15"/>
  <c r="FI309" i="15"/>
  <c r="FJ309" i="15"/>
  <c r="FK309" i="15"/>
  <c r="FL309" i="15"/>
  <c r="FM309" i="15"/>
  <c r="FN309" i="15"/>
  <c r="FO309" i="15"/>
  <c r="FP309" i="15"/>
  <c r="FQ309" i="15"/>
  <c r="FR309" i="15"/>
  <c r="FS309" i="15"/>
  <c r="FT309" i="15"/>
  <c r="FU309" i="15"/>
  <c r="FV309" i="15"/>
  <c r="FW309" i="15"/>
  <c r="FX309" i="15"/>
  <c r="FY309" i="15"/>
  <c r="FZ309" i="15"/>
  <c r="GA309" i="15"/>
  <c r="GB309" i="15"/>
  <c r="GC309" i="15"/>
  <c r="GD309" i="15"/>
  <c r="GE309" i="15"/>
  <c r="GF309" i="15"/>
  <c r="GG309" i="15"/>
  <c r="GH309" i="15"/>
  <c r="GI309" i="15"/>
  <c r="GJ309" i="15"/>
  <c r="GK309" i="15"/>
  <c r="GL309" i="15"/>
  <c r="GM309" i="15"/>
  <c r="GN309" i="15"/>
  <c r="GO309" i="15"/>
  <c r="GP309" i="15"/>
  <c r="GQ309" i="15"/>
  <c r="GR309" i="15"/>
  <c r="GS309" i="15"/>
  <c r="GT309" i="15"/>
  <c r="GU309" i="15"/>
  <c r="GV309" i="15"/>
  <c r="GW309" i="15"/>
  <c r="GX309" i="15"/>
  <c r="GY309" i="15"/>
  <c r="GZ309" i="15"/>
  <c r="HA309" i="15"/>
  <c r="HB309" i="15"/>
  <c r="HC309" i="15"/>
  <c r="HD309" i="15"/>
  <c r="HE309" i="15"/>
  <c r="HF309" i="15"/>
  <c r="HG309" i="15"/>
  <c r="HH309" i="15"/>
  <c r="HI309" i="15"/>
  <c r="HJ309" i="15"/>
  <c r="HK309" i="15"/>
  <c r="HL309" i="15"/>
  <c r="HM309" i="15"/>
  <c r="HN309" i="15"/>
  <c r="HO309" i="15"/>
  <c r="HP309" i="15"/>
  <c r="HQ309" i="15"/>
  <c r="HR309" i="15"/>
  <c r="HS309" i="15"/>
  <c r="HT309" i="15"/>
  <c r="HU309" i="15"/>
  <c r="HV309" i="15"/>
  <c r="HW309" i="15"/>
  <c r="HX309" i="15"/>
  <c r="HY309" i="15"/>
  <c r="HZ309" i="15"/>
  <c r="IA309" i="15"/>
  <c r="IB309" i="15"/>
  <c r="IC309" i="15"/>
  <c r="ID309" i="15"/>
  <c r="IE309" i="15"/>
  <c r="IF309" i="15"/>
  <c r="IG309" i="15"/>
  <c r="IH309" i="15"/>
  <c r="II309" i="15"/>
  <c r="IJ309" i="15"/>
  <c r="IK309" i="15"/>
  <c r="IL309" i="15"/>
  <c r="IM309" i="15"/>
  <c r="IN309" i="15"/>
  <c r="IO309" i="15"/>
  <c r="IP309" i="15"/>
  <c r="IQ309" i="15"/>
  <c r="IR309" i="15"/>
  <c r="IS309" i="15"/>
  <c r="IT309" i="15"/>
  <c r="IU309" i="15"/>
  <c r="IV309" i="15"/>
  <c r="IW309" i="15"/>
  <c r="IX309" i="15"/>
  <c r="IY309" i="15"/>
  <c r="IZ309" i="15"/>
  <c r="JA309" i="15"/>
  <c r="JB309" i="15"/>
  <c r="JC309" i="15"/>
  <c r="JD309" i="15"/>
  <c r="JE309" i="15"/>
  <c r="JF309" i="15"/>
  <c r="JG309" i="15"/>
  <c r="JH309" i="15"/>
  <c r="JI309" i="15"/>
  <c r="JJ309" i="15"/>
  <c r="A310" i="15"/>
  <c r="B310" i="15"/>
  <c r="C310" i="15"/>
  <c r="D310" i="15"/>
  <c r="E310" i="15"/>
  <c r="F310" i="15"/>
  <c r="G310" i="15"/>
  <c r="H310" i="15"/>
  <c r="I310" i="15"/>
  <c r="J310" i="15"/>
  <c r="K310" i="15"/>
  <c r="L310" i="15"/>
  <c r="M310" i="15"/>
  <c r="N310" i="15"/>
  <c r="O310" i="15"/>
  <c r="P310" i="15"/>
  <c r="Q310" i="15"/>
  <c r="R310" i="15"/>
  <c r="S310" i="15"/>
  <c r="T310" i="15"/>
  <c r="U310" i="15"/>
  <c r="V310" i="15"/>
  <c r="W310" i="15"/>
  <c r="X310" i="15"/>
  <c r="Y310" i="15"/>
  <c r="Z310" i="15"/>
  <c r="AA310" i="15"/>
  <c r="AB310" i="15"/>
  <c r="AC310" i="15"/>
  <c r="AD310" i="15"/>
  <c r="AE310" i="15"/>
  <c r="AF310" i="15"/>
  <c r="AG310" i="15"/>
  <c r="AH310" i="15"/>
  <c r="AI310" i="15"/>
  <c r="AJ310" i="15"/>
  <c r="AK310" i="15"/>
  <c r="AL310" i="15"/>
  <c r="AM310" i="15"/>
  <c r="AN310" i="15"/>
  <c r="AO310" i="15"/>
  <c r="AP310" i="15"/>
  <c r="AQ310" i="15"/>
  <c r="AR310" i="15"/>
  <c r="AS310" i="15"/>
  <c r="AT310" i="15"/>
  <c r="AU310" i="15"/>
  <c r="AV310" i="15"/>
  <c r="AW310" i="15"/>
  <c r="AX310" i="15"/>
  <c r="AY310" i="15"/>
  <c r="AZ310" i="15"/>
  <c r="BA310" i="15"/>
  <c r="BB310" i="15"/>
  <c r="BC310" i="15"/>
  <c r="BD310" i="15"/>
  <c r="BE310" i="15"/>
  <c r="BF310" i="15"/>
  <c r="BG310" i="15"/>
  <c r="BH310" i="15"/>
  <c r="BI310" i="15"/>
  <c r="BJ310" i="15"/>
  <c r="BK310" i="15"/>
  <c r="BL310" i="15"/>
  <c r="BM310" i="15"/>
  <c r="BN310" i="15"/>
  <c r="BO310" i="15"/>
  <c r="BP310" i="15"/>
  <c r="BQ310" i="15"/>
  <c r="BR310" i="15"/>
  <c r="BS310" i="15"/>
  <c r="BT310" i="15"/>
  <c r="BU310" i="15"/>
  <c r="BV310" i="15"/>
  <c r="BW310" i="15"/>
  <c r="BX310" i="15"/>
  <c r="BY310" i="15"/>
  <c r="BZ310" i="15"/>
  <c r="CA310" i="15"/>
  <c r="CB310" i="15"/>
  <c r="CC310" i="15"/>
  <c r="CD310" i="15"/>
  <c r="CE310" i="15"/>
  <c r="CF310" i="15"/>
  <c r="CG310" i="15"/>
  <c r="CH310" i="15"/>
  <c r="CI310" i="15"/>
  <c r="CJ310" i="15"/>
  <c r="CK310" i="15"/>
  <c r="CL310" i="15"/>
  <c r="CM310" i="15"/>
  <c r="CN310" i="15"/>
  <c r="CO310" i="15"/>
  <c r="CP310" i="15"/>
  <c r="CQ310" i="15"/>
  <c r="CR310" i="15"/>
  <c r="CS310" i="15"/>
  <c r="CT310" i="15"/>
  <c r="CU310" i="15"/>
  <c r="CV310" i="15"/>
  <c r="CW310" i="15"/>
  <c r="CX310" i="15"/>
  <c r="CY310" i="15"/>
  <c r="CZ310" i="15"/>
  <c r="DA310" i="15"/>
  <c r="DB310" i="15"/>
  <c r="DC310" i="15"/>
  <c r="DD310" i="15"/>
  <c r="DE310" i="15"/>
  <c r="DF310" i="15"/>
  <c r="DG310" i="15"/>
  <c r="DH310" i="15"/>
  <c r="DI310" i="15"/>
  <c r="DJ310" i="15"/>
  <c r="DK310" i="15"/>
  <c r="DL310" i="15"/>
  <c r="DM310" i="15"/>
  <c r="DN310" i="15"/>
  <c r="DO310" i="15"/>
  <c r="DP310" i="15"/>
  <c r="DQ310" i="15"/>
  <c r="DR310" i="15"/>
  <c r="DS310" i="15"/>
  <c r="DT310" i="15"/>
  <c r="DU310" i="15"/>
  <c r="DV310" i="15"/>
  <c r="DW310" i="15"/>
  <c r="DX310" i="15"/>
  <c r="DY310" i="15"/>
  <c r="DZ310" i="15"/>
  <c r="EA310" i="15"/>
  <c r="EB310" i="15"/>
  <c r="EC310" i="15"/>
  <c r="ED310" i="15"/>
  <c r="EE310" i="15"/>
  <c r="EF310" i="15"/>
  <c r="EG310" i="15"/>
  <c r="EH310" i="15"/>
  <c r="EI310" i="15"/>
  <c r="EJ310" i="15"/>
  <c r="EK310" i="15"/>
  <c r="EL310" i="15"/>
  <c r="EM310" i="15"/>
  <c r="EN310" i="15"/>
  <c r="EO310" i="15"/>
  <c r="EP310" i="15"/>
  <c r="EQ310" i="15"/>
  <c r="ER310" i="15"/>
  <c r="ES310" i="15"/>
  <c r="ET310" i="15"/>
  <c r="EU310" i="15"/>
  <c r="EV310" i="15"/>
  <c r="EW310" i="15"/>
  <c r="EX310" i="15"/>
  <c r="EY310" i="15"/>
  <c r="EZ310" i="15"/>
  <c r="FA310" i="15"/>
  <c r="FB310" i="15"/>
  <c r="FC310" i="15"/>
  <c r="FD310" i="15"/>
  <c r="FE310" i="15"/>
  <c r="FF310" i="15"/>
  <c r="FG310" i="15"/>
  <c r="FH310" i="15"/>
  <c r="FI310" i="15"/>
  <c r="FJ310" i="15"/>
  <c r="FK310" i="15"/>
  <c r="FL310" i="15"/>
  <c r="FM310" i="15"/>
  <c r="FN310" i="15"/>
  <c r="FO310" i="15"/>
  <c r="FP310" i="15"/>
  <c r="FQ310" i="15"/>
  <c r="FR310" i="15"/>
  <c r="FS310" i="15"/>
  <c r="FT310" i="15"/>
  <c r="FU310" i="15"/>
  <c r="FV310" i="15"/>
  <c r="FW310" i="15"/>
  <c r="FX310" i="15"/>
  <c r="FY310" i="15"/>
  <c r="FZ310" i="15"/>
  <c r="GA310" i="15"/>
  <c r="GB310" i="15"/>
  <c r="GC310" i="15"/>
  <c r="GD310" i="15"/>
  <c r="GE310" i="15"/>
  <c r="GF310" i="15"/>
  <c r="GG310" i="15"/>
  <c r="GH310" i="15"/>
  <c r="GI310" i="15"/>
  <c r="GJ310" i="15"/>
  <c r="GK310" i="15"/>
  <c r="GL310" i="15"/>
  <c r="GM310" i="15"/>
  <c r="GN310" i="15"/>
  <c r="GO310" i="15"/>
  <c r="GP310" i="15"/>
  <c r="GQ310" i="15"/>
  <c r="GR310" i="15"/>
  <c r="GS310" i="15"/>
  <c r="GT310" i="15"/>
  <c r="GU310" i="15"/>
  <c r="GV310" i="15"/>
  <c r="GW310" i="15"/>
  <c r="GX310" i="15"/>
  <c r="GY310" i="15"/>
  <c r="GZ310" i="15"/>
  <c r="HA310" i="15"/>
  <c r="HB310" i="15"/>
  <c r="HC310" i="15"/>
  <c r="HD310" i="15"/>
  <c r="HE310" i="15"/>
  <c r="HF310" i="15"/>
  <c r="HG310" i="15"/>
  <c r="HH310" i="15"/>
  <c r="HI310" i="15"/>
  <c r="HJ310" i="15"/>
  <c r="HK310" i="15"/>
  <c r="HL310" i="15"/>
  <c r="HM310" i="15"/>
  <c r="HN310" i="15"/>
  <c r="HO310" i="15"/>
  <c r="HP310" i="15"/>
  <c r="HQ310" i="15"/>
  <c r="HR310" i="15"/>
  <c r="HS310" i="15"/>
  <c r="HT310" i="15"/>
  <c r="HU310" i="15"/>
  <c r="HV310" i="15"/>
  <c r="HW310" i="15"/>
  <c r="HX310" i="15"/>
  <c r="HY310" i="15"/>
  <c r="HZ310" i="15"/>
  <c r="IA310" i="15"/>
  <c r="IB310" i="15"/>
  <c r="IC310" i="15"/>
  <c r="ID310" i="15"/>
  <c r="IE310" i="15"/>
  <c r="IF310" i="15"/>
  <c r="IG310" i="15"/>
  <c r="IH310" i="15"/>
  <c r="II310" i="15"/>
  <c r="IJ310" i="15"/>
  <c r="IK310" i="15"/>
  <c r="IL310" i="15"/>
  <c r="IM310" i="15"/>
  <c r="IN310" i="15"/>
  <c r="IO310" i="15"/>
  <c r="IP310" i="15"/>
  <c r="IQ310" i="15"/>
  <c r="IR310" i="15"/>
  <c r="IS310" i="15"/>
  <c r="IT310" i="15"/>
  <c r="IU310" i="15"/>
  <c r="IV310" i="15"/>
  <c r="IW310" i="15"/>
  <c r="IX310" i="15"/>
  <c r="IY310" i="15"/>
  <c r="IZ310" i="15"/>
  <c r="JA310" i="15"/>
  <c r="JB310" i="15"/>
  <c r="JC310" i="15"/>
  <c r="JD310" i="15"/>
  <c r="JE310" i="15"/>
  <c r="JF310" i="15"/>
  <c r="JG310" i="15"/>
  <c r="JH310" i="15"/>
  <c r="JI310" i="15"/>
  <c r="JJ310" i="15"/>
  <c r="A311" i="15"/>
  <c r="B311" i="15"/>
  <c r="C311" i="15"/>
  <c r="D311" i="15"/>
  <c r="E311" i="15"/>
  <c r="F311" i="15"/>
  <c r="G311" i="15"/>
  <c r="H311" i="15"/>
  <c r="I311" i="15"/>
  <c r="J311" i="15"/>
  <c r="K311" i="15"/>
  <c r="L311" i="15"/>
  <c r="M311" i="15"/>
  <c r="N311" i="15"/>
  <c r="O311" i="15"/>
  <c r="P311" i="15"/>
  <c r="Q311" i="15"/>
  <c r="R311" i="15"/>
  <c r="S311" i="15"/>
  <c r="T311" i="15"/>
  <c r="U311" i="15"/>
  <c r="V311" i="15"/>
  <c r="W311" i="15"/>
  <c r="X311" i="15"/>
  <c r="Y311" i="15"/>
  <c r="Z311" i="15"/>
  <c r="AA311" i="15"/>
  <c r="AB311" i="15"/>
  <c r="AC311" i="15"/>
  <c r="AD311" i="15"/>
  <c r="AE311" i="15"/>
  <c r="AF311" i="15"/>
  <c r="AG311" i="15"/>
  <c r="AH311" i="15"/>
  <c r="AI311" i="15"/>
  <c r="AJ311" i="15"/>
  <c r="AK311" i="15"/>
  <c r="AL311" i="15"/>
  <c r="AM311" i="15"/>
  <c r="AN311" i="15"/>
  <c r="AO311" i="15"/>
  <c r="AP311" i="15"/>
  <c r="AQ311" i="15"/>
  <c r="AR311" i="15"/>
  <c r="AS311" i="15"/>
  <c r="AT311" i="15"/>
  <c r="AU311" i="15"/>
  <c r="AV311" i="15"/>
  <c r="AW311" i="15"/>
  <c r="AX311" i="15"/>
  <c r="AY311" i="15"/>
  <c r="AZ311" i="15"/>
  <c r="BA311" i="15"/>
  <c r="BB311" i="15"/>
  <c r="BC311" i="15"/>
  <c r="BD311" i="15"/>
  <c r="BE311" i="15"/>
  <c r="BF311" i="15"/>
  <c r="BG311" i="15"/>
  <c r="BH311" i="15"/>
  <c r="BI311" i="15"/>
  <c r="BJ311" i="15"/>
  <c r="BK311" i="15"/>
  <c r="BL311" i="15"/>
  <c r="BM311" i="15"/>
  <c r="BN311" i="15"/>
  <c r="BO311" i="15"/>
  <c r="BP311" i="15"/>
  <c r="BQ311" i="15"/>
  <c r="BR311" i="15"/>
  <c r="BS311" i="15"/>
  <c r="BT311" i="15"/>
  <c r="BU311" i="15"/>
  <c r="BV311" i="15"/>
  <c r="BW311" i="15"/>
  <c r="BX311" i="15"/>
  <c r="BY311" i="15"/>
  <c r="BZ311" i="15"/>
  <c r="CA311" i="15"/>
  <c r="CB311" i="15"/>
  <c r="CC311" i="15"/>
  <c r="CD311" i="15"/>
  <c r="CE311" i="15"/>
  <c r="CF311" i="15"/>
  <c r="CG311" i="15"/>
  <c r="CH311" i="15"/>
  <c r="CI311" i="15"/>
  <c r="CJ311" i="15"/>
  <c r="CK311" i="15"/>
  <c r="CL311" i="15"/>
  <c r="CM311" i="15"/>
  <c r="CN311" i="15"/>
  <c r="CO311" i="15"/>
  <c r="CP311" i="15"/>
  <c r="CQ311" i="15"/>
  <c r="CR311" i="15"/>
  <c r="CS311" i="15"/>
  <c r="CT311" i="15"/>
  <c r="CU311" i="15"/>
  <c r="CV311" i="15"/>
  <c r="CW311" i="15"/>
  <c r="CX311" i="15"/>
  <c r="CY311" i="15"/>
  <c r="CZ311" i="15"/>
  <c r="DA311" i="15"/>
  <c r="DB311" i="15"/>
  <c r="DC311" i="15"/>
  <c r="DD311" i="15"/>
  <c r="DE311" i="15"/>
  <c r="DF311" i="15"/>
  <c r="DG311" i="15"/>
  <c r="DH311" i="15"/>
  <c r="DI311" i="15"/>
  <c r="DJ311" i="15"/>
  <c r="DK311" i="15"/>
  <c r="DL311" i="15"/>
  <c r="DM311" i="15"/>
  <c r="DN311" i="15"/>
  <c r="DO311" i="15"/>
  <c r="DP311" i="15"/>
  <c r="DQ311" i="15"/>
  <c r="DR311" i="15"/>
  <c r="DS311" i="15"/>
  <c r="DT311" i="15"/>
  <c r="DU311" i="15"/>
  <c r="DV311" i="15"/>
  <c r="DW311" i="15"/>
  <c r="DX311" i="15"/>
  <c r="DY311" i="15"/>
  <c r="DZ311" i="15"/>
  <c r="EA311" i="15"/>
  <c r="EB311" i="15"/>
  <c r="EC311" i="15"/>
  <c r="ED311" i="15"/>
  <c r="EE311" i="15"/>
  <c r="EF311" i="15"/>
  <c r="EG311" i="15"/>
  <c r="EH311" i="15"/>
  <c r="EI311" i="15"/>
  <c r="EJ311" i="15"/>
  <c r="EK311" i="15"/>
  <c r="EL311" i="15"/>
  <c r="EM311" i="15"/>
  <c r="EN311" i="15"/>
  <c r="EO311" i="15"/>
  <c r="EP311" i="15"/>
  <c r="EQ311" i="15"/>
  <c r="ER311" i="15"/>
  <c r="ES311" i="15"/>
  <c r="ET311" i="15"/>
  <c r="EU311" i="15"/>
  <c r="EV311" i="15"/>
  <c r="EW311" i="15"/>
  <c r="EX311" i="15"/>
  <c r="EY311" i="15"/>
  <c r="EZ311" i="15"/>
  <c r="FA311" i="15"/>
  <c r="FB311" i="15"/>
  <c r="FC311" i="15"/>
  <c r="FD311" i="15"/>
  <c r="FE311" i="15"/>
  <c r="FF311" i="15"/>
  <c r="FG311" i="15"/>
  <c r="FH311" i="15"/>
  <c r="FI311" i="15"/>
  <c r="FJ311" i="15"/>
  <c r="FK311" i="15"/>
  <c r="FL311" i="15"/>
  <c r="FM311" i="15"/>
  <c r="FN311" i="15"/>
  <c r="FO311" i="15"/>
  <c r="FP311" i="15"/>
  <c r="FQ311" i="15"/>
  <c r="FR311" i="15"/>
  <c r="FS311" i="15"/>
  <c r="FT311" i="15"/>
  <c r="FU311" i="15"/>
  <c r="FV311" i="15"/>
  <c r="FW311" i="15"/>
  <c r="FX311" i="15"/>
  <c r="FY311" i="15"/>
  <c r="FZ311" i="15"/>
  <c r="GA311" i="15"/>
  <c r="GB311" i="15"/>
  <c r="GC311" i="15"/>
  <c r="GD311" i="15"/>
  <c r="GE311" i="15"/>
  <c r="GF311" i="15"/>
  <c r="GG311" i="15"/>
  <c r="GH311" i="15"/>
  <c r="GI311" i="15"/>
  <c r="GJ311" i="15"/>
  <c r="GK311" i="15"/>
  <c r="GL311" i="15"/>
  <c r="GM311" i="15"/>
  <c r="GN311" i="15"/>
  <c r="GO311" i="15"/>
  <c r="GP311" i="15"/>
  <c r="GQ311" i="15"/>
  <c r="GR311" i="15"/>
  <c r="GS311" i="15"/>
  <c r="GT311" i="15"/>
  <c r="GU311" i="15"/>
  <c r="GV311" i="15"/>
  <c r="GW311" i="15"/>
  <c r="GX311" i="15"/>
  <c r="GY311" i="15"/>
  <c r="GZ311" i="15"/>
  <c r="HA311" i="15"/>
  <c r="HB311" i="15"/>
  <c r="HC311" i="15"/>
  <c r="HD311" i="15"/>
  <c r="HE311" i="15"/>
  <c r="HF311" i="15"/>
  <c r="HG311" i="15"/>
  <c r="HH311" i="15"/>
  <c r="HI311" i="15"/>
  <c r="HJ311" i="15"/>
  <c r="HK311" i="15"/>
  <c r="HL311" i="15"/>
  <c r="HM311" i="15"/>
  <c r="HN311" i="15"/>
  <c r="HO311" i="15"/>
  <c r="HP311" i="15"/>
  <c r="HQ311" i="15"/>
  <c r="HR311" i="15"/>
  <c r="HS311" i="15"/>
  <c r="HT311" i="15"/>
  <c r="HU311" i="15"/>
  <c r="HV311" i="15"/>
  <c r="HW311" i="15"/>
  <c r="HX311" i="15"/>
  <c r="HY311" i="15"/>
  <c r="HZ311" i="15"/>
  <c r="IA311" i="15"/>
  <c r="IB311" i="15"/>
  <c r="IC311" i="15"/>
  <c r="ID311" i="15"/>
  <c r="IE311" i="15"/>
  <c r="IF311" i="15"/>
  <c r="IG311" i="15"/>
  <c r="IH311" i="15"/>
  <c r="II311" i="15"/>
  <c r="IJ311" i="15"/>
  <c r="IK311" i="15"/>
  <c r="IL311" i="15"/>
  <c r="IM311" i="15"/>
  <c r="IN311" i="15"/>
  <c r="IO311" i="15"/>
  <c r="IP311" i="15"/>
  <c r="IQ311" i="15"/>
  <c r="IR311" i="15"/>
  <c r="IS311" i="15"/>
  <c r="IT311" i="15"/>
  <c r="IU311" i="15"/>
  <c r="IV311" i="15"/>
  <c r="IW311" i="15"/>
  <c r="IX311" i="15"/>
  <c r="IY311" i="15"/>
  <c r="IZ311" i="15"/>
  <c r="JA311" i="15"/>
  <c r="JB311" i="15"/>
  <c r="JC311" i="15"/>
  <c r="JD311" i="15"/>
  <c r="JE311" i="15"/>
  <c r="JF311" i="15"/>
  <c r="JG311" i="15"/>
  <c r="JH311" i="15"/>
  <c r="JI311" i="15"/>
  <c r="JJ311" i="15"/>
  <c r="A312" i="15"/>
  <c r="B312" i="15"/>
  <c r="C312" i="15"/>
  <c r="D312" i="15"/>
  <c r="E312" i="15"/>
  <c r="F312" i="15"/>
  <c r="G312" i="15"/>
  <c r="H312" i="15"/>
  <c r="I312" i="15"/>
  <c r="J312" i="15"/>
  <c r="K312" i="15"/>
  <c r="L312" i="15"/>
  <c r="M312" i="15"/>
  <c r="N312" i="15"/>
  <c r="O312" i="15"/>
  <c r="P312" i="15"/>
  <c r="Q312" i="15"/>
  <c r="R312" i="15"/>
  <c r="S312" i="15"/>
  <c r="T312" i="15"/>
  <c r="U312" i="15"/>
  <c r="V312" i="15"/>
  <c r="W312" i="15"/>
  <c r="X312" i="15"/>
  <c r="Y312" i="15"/>
  <c r="Z312" i="15"/>
  <c r="AA312" i="15"/>
  <c r="AB312" i="15"/>
  <c r="AC312" i="15"/>
  <c r="AD312" i="15"/>
  <c r="AE312" i="15"/>
  <c r="AF312" i="15"/>
  <c r="AG312" i="15"/>
  <c r="AH312" i="15"/>
  <c r="AI312" i="15"/>
  <c r="AJ312" i="15"/>
  <c r="AK312" i="15"/>
  <c r="AL312" i="15"/>
  <c r="AM312" i="15"/>
  <c r="AN312" i="15"/>
  <c r="AO312" i="15"/>
  <c r="AP312" i="15"/>
  <c r="AQ312" i="15"/>
  <c r="AR312" i="15"/>
  <c r="AS312" i="15"/>
  <c r="AT312" i="15"/>
  <c r="AU312" i="15"/>
  <c r="AV312" i="15"/>
  <c r="AW312" i="15"/>
  <c r="AX312" i="15"/>
  <c r="AY312" i="15"/>
  <c r="AZ312" i="15"/>
  <c r="BA312" i="15"/>
  <c r="BB312" i="15"/>
  <c r="BC312" i="15"/>
  <c r="BD312" i="15"/>
  <c r="BE312" i="15"/>
  <c r="BF312" i="15"/>
  <c r="BG312" i="15"/>
  <c r="BH312" i="15"/>
  <c r="BI312" i="15"/>
  <c r="BJ312" i="15"/>
  <c r="BK312" i="15"/>
  <c r="BL312" i="15"/>
  <c r="BM312" i="15"/>
  <c r="BN312" i="15"/>
  <c r="BO312" i="15"/>
  <c r="BP312" i="15"/>
  <c r="BQ312" i="15"/>
  <c r="BR312" i="15"/>
  <c r="BS312" i="15"/>
  <c r="BT312" i="15"/>
  <c r="BU312" i="15"/>
  <c r="BV312" i="15"/>
  <c r="BW312" i="15"/>
  <c r="BX312" i="15"/>
  <c r="BY312" i="15"/>
  <c r="BZ312" i="15"/>
  <c r="CA312" i="15"/>
  <c r="CB312" i="15"/>
  <c r="CC312" i="15"/>
  <c r="CD312" i="15"/>
  <c r="CE312" i="15"/>
  <c r="CF312" i="15"/>
  <c r="CG312" i="15"/>
  <c r="CH312" i="15"/>
  <c r="CI312" i="15"/>
  <c r="CJ312" i="15"/>
  <c r="CK312" i="15"/>
  <c r="CL312" i="15"/>
  <c r="CM312" i="15"/>
  <c r="CN312" i="15"/>
  <c r="CO312" i="15"/>
  <c r="CP312" i="15"/>
  <c r="CQ312" i="15"/>
  <c r="CR312" i="15"/>
  <c r="CS312" i="15"/>
  <c r="CT312" i="15"/>
  <c r="CU312" i="15"/>
  <c r="CV312" i="15"/>
  <c r="CW312" i="15"/>
  <c r="CX312" i="15"/>
  <c r="CY312" i="15"/>
  <c r="CZ312" i="15"/>
  <c r="DA312" i="15"/>
  <c r="DB312" i="15"/>
  <c r="DC312" i="15"/>
  <c r="DD312" i="15"/>
  <c r="DE312" i="15"/>
  <c r="DF312" i="15"/>
  <c r="DG312" i="15"/>
  <c r="DH312" i="15"/>
  <c r="DI312" i="15"/>
  <c r="DJ312" i="15"/>
  <c r="DK312" i="15"/>
  <c r="DL312" i="15"/>
  <c r="DM312" i="15"/>
  <c r="DN312" i="15"/>
  <c r="DO312" i="15"/>
  <c r="DP312" i="15"/>
  <c r="DQ312" i="15"/>
  <c r="DR312" i="15"/>
  <c r="DS312" i="15"/>
  <c r="DT312" i="15"/>
  <c r="DU312" i="15"/>
  <c r="DV312" i="15"/>
  <c r="DW312" i="15"/>
  <c r="DX312" i="15"/>
  <c r="DY312" i="15"/>
  <c r="DZ312" i="15"/>
  <c r="EA312" i="15"/>
  <c r="EB312" i="15"/>
  <c r="EC312" i="15"/>
  <c r="ED312" i="15"/>
  <c r="EE312" i="15"/>
  <c r="EF312" i="15"/>
  <c r="EG312" i="15"/>
  <c r="EH312" i="15"/>
  <c r="EI312" i="15"/>
  <c r="EJ312" i="15"/>
  <c r="EK312" i="15"/>
  <c r="EL312" i="15"/>
  <c r="EM312" i="15"/>
  <c r="EN312" i="15"/>
  <c r="EO312" i="15"/>
  <c r="EP312" i="15"/>
  <c r="EQ312" i="15"/>
  <c r="ER312" i="15"/>
  <c r="ES312" i="15"/>
  <c r="ET312" i="15"/>
  <c r="EU312" i="15"/>
  <c r="EV312" i="15"/>
  <c r="EW312" i="15"/>
  <c r="EX312" i="15"/>
  <c r="EY312" i="15"/>
  <c r="EZ312" i="15"/>
  <c r="FA312" i="15"/>
  <c r="FB312" i="15"/>
  <c r="FC312" i="15"/>
  <c r="FD312" i="15"/>
  <c r="FE312" i="15"/>
  <c r="FF312" i="15"/>
  <c r="FG312" i="15"/>
  <c r="FH312" i="15"/>
  <c r="FI312" i="15"/>
  <c r="FJ312" i="15"/>
  <c r="FK312" i="15"/>
  <c r="FL312" i="15"/>
  <c r="FM312" i="15"/>
  <c r="FN312" i="15"/>
  <c r="FO312" i="15"/>
  <c r="FP312" i="15"/>
  <c r="FQ312" i="15"/>
  <c r="FR312" i="15"/>
  <c r="FS312" i="15"/>
  <c r="FT312" i="15"/>
  <c r="FU312" i="15"/>
  <c r="FV312" i="15"/>
  <c r="FW312" i="15"/>
  <c r="FX312" i="15"/>
  <c r="FY312" i="15"/>
  <c r="FZ312" i="15"/>
  <c r="GA312" i="15"/>
  <c r="GB312" i="15"/>
  <c r="GC312" i="15"/>
  <c r="GD312" i="15"/>
  <c r="GE312" i="15"/>
  <c r="GF312" i="15"/>
  <c r="GG312" i="15"/>
  <c r="GH312" i="15"/>
  <c r="GI312" i="15"/>
  <c r="GJ312" i="15"/>
  <c r="GK312" i="15"/>
  <c r="GL312" i="15"/>
  <c r="GM312" i="15"/>
  <c r="GN312" i="15"/>
  <c r="GO312" i="15"/>
  <c r="GP312" i="15"/>
  <c r="GQ312" i="15"/>
  <c r="GR312" i="15"/>
  <c r="GS312" i="15"/>
  <c r="GT312" i="15"/>
  <c r="GU312" i="15"/>
  <c r="GV312" i="15"/>
  <c r="GW312" i="15"/>
  <c r="GX312" i="15"/>
  <c r="GY312" i="15"/>
  <c r="GZ312" i="15"/>
  <c r="HA312" i="15"/>
  <c r="HB312" i="15"/>
  <c r="HC312" i="15"/>
  <c r="HD312" i="15"/>
  <c r="HE312" i="15"/>
  <c r="HF312" i="15"/>
  <c r="HG312" i="15"/>
  <c r="HH312" i="15"/>
  <c r="HI312" i="15"/>
  <c r="HJ312" i="15"/>
  <c r="HK312" i="15"/>
  <c r="HL312" i="15"/>
  <c r="HM312" i="15"/>
  <c r="HN312" i="15"/>
  <c r="HO312" i="15"/>
  <c r="HP312" i="15"/>
  <c r="HQ312" i="15"/>
  <c r="HR312" i="15"/>
  <c r="HS312" i="15"/>
  <c r="HT312" i="15"/>
  <c r="HU312" i="15"/>
  <c r="HV312" i="15"/>
  <c r="HW312" i="15"/>
  <c r="HX312" i="15"/>
  <c r="HY312" i="15"/>
  <c r="HZ312" i="15"/>
  <c r="IA312" i="15"/>
  <c r="IB312" i="15"/>
  <c r="IC312" i="15"/>
  <c r="ID312" i="15"/>
  <c r="IE312" i="15"/>
  <c r="IF312" i="15"/>
  <c r="IG312" i="15"/>
  <c r="IH312" i="15"/>
  <c r="II312" i="15"/>
  <c r="IJ312" i="15"/>
  <c r="IK312" i="15"/>
  <c r="IL312" i="15"/>
  <c r="IM312" i="15"/>
  <c r="IN312" i="15"/>
  <c r="IO312" i="15"/>
  <c r="IP312" i="15"/>
  <c r="IQ312" i="15"/>
  <c r="IR312" i="15"/>
  <c r="IS312" i="15"/>
  <c r="IT312" i="15"/>
  <c r="IU312" i="15"/>
  <c r="IV312" i="15"/>
  <c r="IW312" i="15"/>
  <c r="IX312" i="15"/>
  <c r="IY312" i="15"/>
  <c r="IZ312" i="15"/>
  <c r="JA312" i="15"/>
  <c r="JB312" i="15"/>
  <c r="JC312" i="15"/>
  <c r="JD312" i="15"/>
  <c r="JE312" i="15"/>
  <c r="JF312" i="15"/>
  <c r="JG312" i="15"/>
  <c r="JH312" i="15"/>
  <c r="JI312" i="15"/>
  <c r="JJ312" i="15"/>
  <c r="A313" i="15"/>
  <c r="B313" i="15"/>
  <c r="C313" i="15"/>
  <c r="D313" i="15"/>
  <c r="E313" i="15"/>
  <c r="F313" i="15"/>
  <c r="G313" i="15"/>
  <c r="H313" i="15"/>
  <c r="I313" i="15"/>
  <c r="J313" i="15"/>
  <c r="K313" i="15"/>
  <c r="L313" i="15"/>
  <c r="M313" i="15"/>
  <c r="N313" i="15"/>
  <c r="O313" i="15"/>
  <c r="P313" i="15"/>
  <c r="Q313" i="15"/>
  <c r="R313" i="15"/>
  <c r="S313" i="15"/>
  <c r="T313" i="15"/>
  <c r="U313" i="15"/>
  <c r="V313" i="15"/>
  <c r="W313" i="15"/>
  <c r="X313" i="15"/>
  <c r="Y313" i="15"/>
  <c r="Z313" i="15"/>
  <c r="AA313" i="15"/>
  <c r="AB313" i="15"/>
  <c r="AC313" i="15"/>
  <c r="AD313" i="15"/>
  <c r="AE313" i="15"/>
  <c r="AF313" i="15"/>
  <c r="AG313" i="15"/>
  <c r="AH313" i="15"/>
  <c r="AI313" i="15"/>
  <c r="AJ313" i="15"/>
  <c r="AK313" i="15"/>
  <c r="AL313" i="15"/>
  <c r="AM313" i="15"/>
  <c r="AN313" i="15"/>
  <c r="AO313" i="15"/>
  <c r="AP313" i="15"/>
  <c r="AQ313" i="15"/>
  <c r="AR313" i="15"/>
  <c r="AS313" i="15"/>
  <c r="AT313" i="15"/>
  <c r="AU313" i="15"/>
  <c r="AV313" i="15"/>
  <c r="AW313" i="15"/>
  <c r="AX313" i="15"/>
  <c r="AY313" i="15"/>
  <c r="AZ313" i="15"/>
  <c r="BA313" i="15"/>
  <c r="BB313" i="15"/>
  <c r="BC313" i="15"/>
  <c r="BD313" i="15"/>
  <c r="BE313" i="15"/>
  <c r="BF313" i="15"/>
  <c r="BG313" i="15"/>
  <c r="BH313" i="15"/>
  <c r="BI313" i="15"/>
  <c r="BJ313" i="15"/>
  <c r="BK313" i="15"/>
  <c r="BL313" i="15"/>
  <c r="BM313" i="15"/>
  <c r="BN313" i="15"/>
  <c r="BO313" i="15"/>
  <c r="BP313" i="15"/>
  <c r="BQ313" i="15"/>
  <c r="BR313" i="15"/>
  <c r="BS313" i="15"/>
  <c r="BT313" i="15"/>
  <c r="BU313" i="15"/>
  <c r="BV313" i="15"/>
  <c r="BW313" i="15"/>
  <c r="BX313" i="15"/>
  <c r="BY313" i="15"/>
  <c r="BZ313" i="15"/>
  <c r="CA313" i="15"/>
  <c r="CB313" i="15"/>
  <c r="CC313" i="15"/>
  <c r="CD313" i="15"/>
  <c r="CE313" i="15"/>
  <c r="CF313" i="15"/>
  <c r="CG313" i="15"/>
  <c r="CH313" i="15"/>
  <c r="CI313" i="15"/>
  <c r="CJ313" i="15"/>
  <c r="CK313" i="15"/>
  <c r="CL313" i="15"/>
  <c r="CM313" i="15"/>
  <c r="CN313" i="15"/>
  <c r="CO313" i="15"/>
  <c r="CP313" i="15"/>
  <c r="CQ313" i="15"/>
  <c r="CR313" i="15"/>
  <c r="CS313" i="15"/>
  <c r="CT313" i="15"/>
  <c r="CU313" i="15"/>
  <c r="CV313" i="15"/>
  <c r="CW313" i="15"/>
  <c r="CX313" i="15"/>
  <c r="CY313" i="15"/>
  <c r="CZ313" i="15"/>
  <c r="DA313" i="15"/>
  <c r="DB313" i="15"/>
  <c r="DC313" i="15"/>
  <c r="DD313" i="15"/>
  <c r="DE313" i="15"/>
  <c r="DF313" i="15"/>
  <c r="DG313" i="15"/>
  <c r="DH313" i="15"/>
  <c r="DI313" i="15"/>
  <c r="DJ313" i="15"/>
  <c r="DK313" i="15"/>
  <c r="DL313" i="15"/>
  <c r="DM313" i="15"/>
  <c r="DN313" i="15"/>
  <c r="DO313" i="15"/>
  <c r="DP313" i="15"/>
  <c r="DQ313" i="15"/>
  <c r="DR313" i="15"/>
  <c r="DS313" i="15"/>
  <c r="DT313" i="15"/>
  <c r="DU313" i="15"/>
  <c r="DV313" i="15"/>
  <c r="DW313" i="15"/>
  <c r="DX313" i="15"/>
  <c r="DY313" i="15"/>
  <c r="DZ313" i="15"/>
  <c r="EA313" i="15"/>
  <c r="EB313" i="15"/>
  <c r="EC313" i="15"/>
  <c r="ED313" i="15"/>
  <c r="EE313" i="15"/>
  <c r="EF313" i="15"/>
  <c r="EG313" i="15"/>
  <c r="EH313" i="15"/>
  <c r="EI313" i="15"/>
  <c r="EJ313" i="15"/>
  <c r="EK313" i="15"/>
  <c r="EL313" i="15"/>
  <c r="EM313" i="15"/>
  <c r="EN313" i="15"/>
  <c r="EO313" i="15"/>
  <c r="EP313" i="15"/>
  <c r="EQ313" i="15"/>
  <c r="ER313" i="15"/>
  <c r="ES313" i="15"/>
  <c r="ET313" i="15"/>
  <c r="EU313" i="15"/>
  <c r="EV313" i="15"/>
  <c r="EW313" i="15"/>
  <c r="EX313" i="15"/>
  <c r="EY313" i="15"/>
  <c r="EZ313" i="15"/>
  <c r="FA313" i="15"/>
  <c r="FB313" i="15"/>
  <c r="FC313" i="15"/>
  <c r="FD313" i="15"/>
  <c r="FE313" i="15"/>
  <c r="FF313" i="15"/>
  <c r="FG313" i="15"/>
  <c r="FH313" i="15"/>
  <c r="FI313" i="15"/>
  <c r="FJ313" i="15"/>
  <c r="FK313" i="15"/>
  <c r="FL313" i="15"/>
  <c r="FM313" i="15"/>
  <c r="FN313" i="15"/>
  <c r="FO313" i="15"/>
  <c r="FP313" i="15"/>
  <c r="FQ313" i="15"/>
  <c r="FR313" i="15"/>
  <c r="FS313" i="15"/>
  <c r="FT313" i="15"/>
  <c r="FU313" i="15"/>
  <c r="FV313" i="15"/>
  <c r="FW313" i="15"/>
  <c r="FX313" i="15"/>
  <c r="FY313" i="15"/>
  <c r="FZ313" i="15"/>
  <c r="GA313" i="15"/>
  <c r="GB313" i="15"/>
  <c r="GC313" i="15"/>
  <c r="GD313" i="15"/>
  <c r="GE313" i="15"/>
  <c r="GF313" i="15"/>
  <c r="GG313" i="15"/>
  <c r="GH313" i="15"/>
  <c r="GI313" i="15"/>
  <c r="GJ313" i="15"/>
  <c r="GK313" i="15"/>
  <c r="GL313" i="15"/>
  <c r="GM313" i="15"/>
  <c r="GN313" i="15"/>
  <c r="GO313" i="15"/>
  <c r="GP313" i="15"/>
  <c r="GQ313" i="15"/>
  <c r="GR313" i="15"/>
  <c r="GS313" i="15"/>
  <c r="GT313" i="15"/>
  <c r="GU313" i="15"/>
  <c r="GV313" i="15"/>
  <c r="GW313" i="15"/>
  <c r="GX313" i="15"/>
  <c r="GY313" i="15"/>
  <c r="GZ313" i="15"/>
  <c r="HA313" i="15"/>
  <c r="HB313" i="15"/>
  <c r="HC313" i="15"/>
  <c r="HD313" i="15"/>
  <c r="HE313" i="15"/>
  <c r="HF313" i="15"/>
  <c r="HG313" i="15"/>
  <c r="HH313" i="15"/>
  <c r="HI313" i="15"/>
  <c r="HJ313" i="15"/>
  <c r="HK313" i="15"/>
  <c r="HL313" i="15"/>
  <c r="HM313" i="15"/>
  <c r="HN313" i="15"/>
  <c r="HO313" i="15"/>
  <c r="HP313" i="15"/>
  <c r="HQ313" i="15"/>
  <c r="HR313" i="15"/>
  <c r="HS313" i="15"/>
  <c r="HT313" i="15"/>
  <c r="HU313" i="15"/>
  <c r="HV313" i="15"/>
  <c r="HW313" i="15"/>
  <c r="HX313" i="15"/>
  <c r="HY313" i="15"/>
  <c r="HZ313" i="15"/>
  <c r="IA313" i="15"/>
  <c r="IB313" i="15"/>
  <c r="IC313" i="15"/>
  <c r="ID313" i="15"/>
  <c r="IE313" i="15"/>
  <c r="IF313" i="15"/>
  <c r="IG313" i="15"/>
  <c r="IH313" i="15"/>
  <c r="II313" i="15"/>
  <c r="IJ313" i="15"/>
  <c r="IK313" i="15"/>
  <c r="IL313" i="15"/>
  <c r="IM313" i="15"/>
  <c r="IN313" i="15"/>
  <c r="IO313" i="15"/>
  <c r="IP313" i="15"/>
  <c r="IQ313" i="15"/>
  <c r="IR313" i="15"/>
  <c r="IS313" i="15"/>
  <c r="IT313" i="15"/>
  <c r="IU313" i="15"/>
  <c r="IV313" i="15"/>
  <c r="IW313" i="15"/>
  <c r="IX313" i="15"/>
  <c r="IY313" i="15"/>
  <c r="IZ313" i="15"/>
  <c r="JA313" i="15"/>
  <c r="JB313" i="15"/>
  <c r="JC313" i="15"/>
  <c r="JD313" i="15"/>
  <c r="JE313" i="15"/>
  <c r="JF313" i="15"/>
  <c r="JG313" i="15"/>
  <c r="JH313" i="15"/>
  <c r="JI313" i="15"/>
  <c r="JJ313" i="15"/>
  <c r="A314" i="15"/>
  <c r="B314" i="15"/>
  <c r="C314" i="15"/>
  <c r="D314" i="15"/>
  <c r="E314" i="15"/>
  <c r="F314" i="15"/>
  <c r="G314" i="15"/>
  <c r="H314" i="15"/>
  <c r="I314" i="15"/>
  <c r="J314" i="15"/>
  <c r="K314" i="15"/>
  <c r="L314" i="15"/>
  <c r="M314" i="15"/>
  <c r="N314" i="15"/>
  <c r="O314" i="15"/>
  <c r="P314" i="15"/>
  <c r="Q314" i="15"/>
  <c r="R314" i="15"/>
  <c r="S314" i="15"/>
  <c r="T314" i="15"/>
  <c r="U314" i="15"/>
  <c r="V314" i="15"/>
  <c r="W314" i="15"/>
  <c r="X314" i="15"/>
  <c r="Y314" i="15"/>
  <c r="Z314" i="15"/>
  <c r="AA314" i="15"/>
  <c r="AB314" i="15"/>
  <c r="AC314" i="15"/>
  <c r="AD314" i="15"/>
  <c r="AE314" i="15"/>
  <c r="AF314" i="15"/>
  <c r="AG314" i="15"/>
  <c r="AH314" i="15"/>
  <c r="AI314" i="15"/>
  <c r="AJ314" i="15"/>
  <c r="AK314" i="15"/>
  <c r="AL314" i="15"/>
  <c r="AM314" i="15"/>
  <c r="AN314" i="15"/>
  <c r="AO314" i="15"/>
  <c r="AP314" i="15"/>
  <c r="AQ314" i="15"/>
  <c r="AR314" i="15"/>
  <c r="AS314" i="15"/>
  <c r="AT314" i="15"/>
  <c r="AU314" i="15"/>
  <c r="AV314" i="15"/>
  <c r="AW314" i="15"/>
  <c r="AX314" i="15"/>
  <c r="AY314" i="15"/>
  <c r="AZ314" i="15"/>
  <c r="BA314" i="15"/>
  <c r="BB314" i="15"/>
  <c r="BC314" i="15"/>
  <c r="BD314" i="15"/>
  <c r="BE314" i="15"/>
  <c r="BF314" i="15"/>
  <c r="BG314" i="15"/>
  <c r="BH314" i="15"/>
  <c r="BI314" i="15"/>
  <c r="BJ314" i="15"/>
  <c r="BK314" i="15"/>
  <c r="BL314" i="15"/>
  <c r="BM314" i="15"/>
  <c r="BN314" i="15"/>
  <c r="BO314" i="15"/>
  <c r="BP314" i="15"/>
  <c r="BQ314" i="15"/>
  <c r="BR314" i="15"/>
  <c r="BS314" i="15"/>
  <c r="BT314" i="15"/>
  <c r="BU314" i="15"/>
  <c r="BV314" i="15"/>
  <c r="BW314" i="15"/>
  <c r="BX314" i="15"/>
  <c r="BY314" i="15"/>
  <c r="BZ314" i="15"/>
  <c r="CA314" i="15"/>
  <c r="CB314" i="15"/>
  <c r="CC314" i="15"/>
  <c r="CD314" i="15"/>
  <c r="CE314" i="15"/>
  <c r="CF314" i="15"/>
  <c r="CG314" i="15"/>
  <c r="CH314" i="15"/>
  <c r="CI314" i="15"/>
  <c r="CJ314" i="15"/>
  <c r="CK314" i="15"/>
  <c r="CL314" i="15"/>
  <c r="CM314" i="15"/>
  <c r="CN314" i="15"/>
  <c r="CO314" i="15"/>
  <c r="CP314" i="15"/>
  <c r="CQ314" i="15"/>
  <c r="CR314" i="15"/>
  <c r="CS314" i="15"/>
  <c r="CT314" i="15"/>
  <c r="CU314" i="15"/>
  <c r="CV314" i="15"/>
  <c r="CW314" i="15"/>
  <c r="CX314" i="15"/>
  <c r="CY314" i="15"/>
  <c r="CZ314" i="15"/>
  <c r="DA314" i="15"/>
  <c r="DB314" i="15"/>
  <c r="DC314" i="15"/>
  <c r="DD314" i="15"/>
  <c r="DE314" i="15"/>
  <c r="DF314" i="15"/>
  <c r="DG314" i="15"/>
  <c r="DH314" i="15"/>
  <c r="DI314" i="15"/>
  <c r="DJ314" i="15"/>
  <c r="DK314" i="15"/>
  <c r="DL314" i="15"/>
  <c r="DM314" i="15"/>
  <c r="DN314" i="15"/>
  <c r="DO314" i="15"/>
  <c r="DP314" i="15"/>
  <c r="DQ314" i="15"/>
  <c r="DR314" i="15"/>
  <c r="DS314" i="15"/>
  <c r="DT314" i="15"/>
  <c r="DU314" i="15"/>
  <c r="DV314" i="15"/>
  <c r="DW314" i="15"/>
  <c r="DX314" i="15"/>
  <c r="DY314" i="15"/>
  <c r="DZ314" i="15"/>
  <c r="EA314" i="15"/>
  <c r="EB314" i="15"/>
  <c r="EC314" i="15"/>
  <c r="ED314" i="15"/>
  <c r="EE314" i="15"/>
  <c r="EF314" i="15"/>
  <c r="EG314" i="15"/>
  <c r="EH314" i="15"/>
  <c r="EI314" i="15"/>
  <c r="EJ314" i="15"/>
  <c r="EK314" i="15"/>
  <c r="EL314" i="15"/>
  <c r="EM314" i="15"/>
  <c r="EN314" i="15"/>
  <c r="EO314" i="15"/>
  <c r="EP314" i="15"/>
  <c r="EQ314" i="15"/>
  <c r="ER314" i="15"/>
  <c r="ES314" i="15"/>
  <c r="ET314" i="15"/>
  <c r="EU314" i="15"/>
  <c r="EV314" i="15"/>
  <c r="EW314" i="15"/>
  <c r="EX314" i="15"/>
  <c r="EY314" i="15"/>
  <c r="EZ314" i="15"/>
  <c r="FA314" i="15"/>
  <c r="FB314" i="15"/>
  <c r="FC314" i="15"/>
  <c r="FD314" i="15"/>
  <c r="FE314" i="15"/>
  <c r="FF314" i="15"/>
  <c r="FG314" i="15"/>
  <c r="FH314" i="15"/>
  <c r="FI314" i="15"/>
  <c r="FJ314" i="15"/>
  <c r="FK314" i="15"/>
  <c r="FL314" i="15"/>
  <c r="FM314" i="15"/>
  <c r="FN314" i="15"/>
  <c r="FO314" i="15"/>
  <c r="FP314" i="15"/>
  <c r="FQ314" i="15"/>
  <c r="FR314" i="15"/>
  <c r="FS314" i="15"/>
  <c r="FT314" i="15"/>
  <c r="FU314" i="15"/>
  <c r="FV314" i="15"/>
  <c r="FW314" i="15"/>
  <c r="FX314" i="15"/>
  <c r="FY314" i="15"/>
  <c r="FZ314" i="15"/>
  <c r="GA314" i="15"/>
  <c r="GB314" i="15"/>
  <c r="GC314" i="15"/>
  <c r="GD314" i="15"/>
  <c r="GE314" i="15"/>
  <c r="GF314" i="15"/>
  <c r="GG314" i="15"/>
  <c r="GH314" i="15"/>
  <c r="GI314" i="15"/>
  <c r="GJ314" i="15"/>
  <c r="GK314" i="15"/>
  <c r="GL314" i="15"/>
  <c r="GM314" i="15"/>
  <c r="GN314" i="15"/>
  <c r="GO314" i="15"/>
  <c r="GP314" i="15"/>
  <c r="GQ314" i="15"/>
  <c r="GR314" i="15"/>
  <c r="GS314" i="15"/>
  <c r="GT314" i="15"/>
  <c r="GU314" i="15"/>
  <c r="GV314" i="15"/>
  <c r="GW314" i="15"/>
  <c r="GX314" i="15"/>
  <c r="GY314" i="15"/>
  <c r="GZ314" i="15"/>
  <c r="HA314" i="15"/>
  <c r="HB314" i="15"/>
  <c r="HC314" i="15"/>
  <c r="HD314" i="15"/>
  <c r="HE314" i="15"/>
  <c r="HF314" i="15"/>
  <c r="HG314" i="15"/>
  <c r="HH314" i="15"/>
  <c r="HI314" i="15"/>
  <c r="HJ314" i="15"/>
  <c r="HK314" i="15"/>
  <c r="HL314" i="15"/>
  <c r="HM314" i="15"/>
  <c r="HN314" i="15"/>
  <c r="HO314" i="15"/>
  <c r="HP314" i="15"/>
  <c r="HQ314" i="15"/>
  <c r="HR314" i="15"/>
  <c r="HS314" i="15"/>
  <c r="HT314" i="15"/>
  <c r="HU314" i="15"/>
  <c r="HV314" i="15"/>
  <c r="HW314" i="15"/>
  <c r="HX314" i="15"/>
  <c r="HY314" i="15"/>
  <c r="HZ314" i="15"/>
  <c r="IA314" i="15"/>
  <c r="IB314" i="15"/>
  <c r="IC314" i="15"/>
  <c r="ID314" i="15"/>
  <c r="IE314" i="15"/>
  <c r="IF314" i="15"/>
  <c r="IG314" i="15"/>
  <c r="IH314" i="15"/>
  <c r="II314" i="15"/>
  <c r="IJ314" i="15"/>
  <c r="IK314" i="15"/>
  <c r="IL314" i="15"/>
  <c r="IM314" i="15"/>
  <c r="IN314" i="15"/>
  <c r="IO314" i="15"/>
  <c r="IP314" i="15"/>
  <c r="IQ314" i="15"/>
  <c r="IR314" i="15"/>
  <c r="IS314" i="15"/>
  <c r="IT314" i="15"/>
  <c r="IU314" i="15"/>
  <c r="IV314" i="15"/>
  <c r="IW314" i="15"/>
  <c r="IX314" i="15"/>
  <c r="IY314" i="15"/>
  <c r="IZ314" i="15"/>
  <c r="JA314" i="15"/>
  <c r="JB314" i="15"/>
  <c r="JC314" i="15"/>
  <c r="JD314" i="15"/>
  <c r="JE314" i="15"/>
  <c r="JF314" i="15"/>
  <c r="JG314" i="15"/>
  <c r="JH314" i="15"/>
  <c r="JI314" i="15"/>
  <c r="JJ314" i="15"/>
  <c r="A315" i="15"/>
  <c r="B315" i="15"/>
  <c r="C315" i="15"/>
  <c r="D315" i="15"/>
  <c r="E315" i="15"/>
  <c r="F315" i="15"/>
  <c r="G315" i="15"/>
  <c r="H315" i="15"/>
  <c r="I315" i="15"/>
  <c r="J315" i="15"/>
  <c r="K315" i="15"/>
  <c r="L315" i="15"/>
  <c r="M315" i="15"/>
  <c r="N315" i="15"/>
  <c r="O315" i="15"/>
  <c r="P315" i="15"/>
  <c r="Q315" i="15"/>
  <c r="R315" i="15"/>
  <c r="S315" i="15"/>
  <c r="T315" i="15"/>
  <c r="U315" i="15"/>
  <c r="V315" i="15"/>
  <c r="W315" i="15"/>
  <c r="X315" i="15"/>
  <c r="Y315" i="15"/>
  <c r="Z315" i="15"/>
  <c r="AA315" i="15"/>
  <c r="AB315" i="15"/>
  <c r="AC315" i="15"/>
  <c r="AD315" i="15"/>
  <c r="AE315" i="15"/>
  <c r="AF315" i="15"/>
  <c r="AG315" i="15"/>
  <c r="AH315" i="15"/>
  <c r="AI315" i="15"/>
  <c r="AJ315" i="15"/>
  <c r="AK315" i="15"/>
  <c r="AL315" i="15"/>
  <c r="AM315" i="15"/>
  <c r="AN315" i="15"/>
  <c r="AO315" i="15"/>
  <c r="AP315" i="15"/>
  <c r="AQ315" i="15"/>
  <c r="AR315" i="15"/>
  <c r="AS315" i="15"/>
  <c r="AT315" i="15"/>
  <c r="AU315" i="15"/>
  <c r="AV315" i="15"/>
  <c r="AW315" i="15"/>
  <c r="AX315" i="15"/>
  <c r="AY315" i="15"/>
  <c r="AZ315" i="15"/>
  <c r="BA315" i="15"/>
  <c r="BB315" i="15"/>
  <c r="BC315" i="15"/>
  <c r="BD315" i="15"/>
  <c r="BE315" i="15"/>
  <c r="BF315" i="15"/>
  <c r="BG315" i="15"/>
  <c r="BH315" i="15"/>
  <c r="BI315" i="15"/>
  <c r="BJ315" i="15"/>
  <c r="BK315" i="15"/>
  <c r="BL315" i="15"/>
  <c r="BM315" i="15"/>
  <c r="BN315" i="15"/>
  <c r="BO315" i="15"/>
  <c r="BP315" i="15"/>
  <c r="BQ315" i="15"/>
  <c r="BR315" i="15"/>
  <c r="BS315" i="15"/>
  <c r="BT315" i="15"/>
  <c r="BU315" i="15"/>
  <c r="BV315" i="15"/>
  <c r="BW315" i="15"/>
  <c r="BX315" i="15"/>
  <c r="BY315" i="15"/>
  <c r="BZ315" i="15"/>
  <c r="CA315" i="15"/>
  <c r="CB315" i="15"/>
  <c r="CC315" i="15"/>
  <c r="CD315" i="15"/>
  <c r="CE315" i="15"/>
  <c r="CF315" i="15"/>
  <c r="CG315" i="15"/>
  <c r="CH315" i="15"/>
  <c r="CI315" i="15"/>
  <c r="CJ315" i="15"/>
  <c r="CK315" i="15"/>
  <c r="CL315" i="15"/>
  <c r="CM315" i="15"/>
  <c r="CN315" i="15"/>
  <c r="CO315" i="15"/>
  <c r="CP315" i="15"/>
  <c r="CQ315" i="15"/>
  <c r="CR315" i="15"/>
  <c r="CS315" i="15"/>
  <c r="CT315" i="15"/>
  <c r="CU315" i="15"/>
  <c r="CV315" i="15"/>
  <c r="CW315" i="15"/>
  <c r="CX315" i="15"/>
  <c r="CY315" i="15"/>
  <c r="CZ315" i="15"/>
  <c r="DA315" i="15"/>
  <c r="DB315" i="15"/>
  <c r="DC315" i="15"/>
  <c r="DD315" i="15"/>
  <c r="DE315" i="15"/>
  <c r="DF315" i="15"/>
  <c r="DG315" i="15"/>
  <c r="DH315" i="15"/>
  <c r="DI315" i="15"/>
  <c r="DJ315" i="15"/>
  <c r="DK315" i="15"/>
  <c r="DL315" i="15"/>
  <c r="DM315" i="15"/>
  <c r="DN315" i="15"/>
  <c r="DO315" i="15"/>
  <c r="DP315" i="15"/>
  <c r="DQ315" i="15"/>
  <c r="DR315" i="15"/>
  <c r="DS315" i="15"/>
  <c r="DT315" i="15"/>
  <c r="DU315" i="15"/>
  <c r="DV315" i="15"/>
  <c r="DW315" i="15"/>
  <c r="DX315" i="15"/>
  <c r="DY315" i="15"/>
  <c r="DZ315" i="15"/>
  <c r="EA315" i="15"/>
  <c r="EB315" i="15"/>
  <c r="EC315" i="15"/>
  <c r="ED315" i="15"/>
  <c r="EE315" i="15"/>
  <c r="EF315" i="15"/>
  <c r="EG315" i="15"/>
  <c r="EH315" i="15"/>
  <c r="EI315" i="15"/>
  <c r="EJ315" i="15"/>
  <c r="EK315" i="15"/>
  <c r="EL315" i="15"/>
  <c r="EM315" i="15"/>
  <c r="EN315" i="15"/>
  <c r="EO315" i="15"/>
  <c r="EP315" i="15"/>
  <c r="EQ315" i="15"/>
  <c r="ER315" i="15"/>
  <c r="ES315" i="15"/>
  <c r="ET315" i="15"/>
  <c r="EU315" i="15"/>
  <c r="EV315" i="15"/>
  <c r="EW315" i="15"/>
  <c r="EX315" i="15"/>
  <c r="EY315" i="15"/>
  <c r="EZ315" i="15"/>
  <c r="FA315" i="15"/>
  <c r="FB315" i="15"/>
  <c r="FC315" i="15"/>
  <c r="FD315" i="15"/>
  <c r="FE315" i="15"/>
  <c r="FF315" i="15"/>
  <c r="FG315" i="15"/>
  <c r="FH315" i="15"/>
  <c r="FI315" i="15"/>
  <c r="FJ315" i="15"/>
  <c r="FK315" i="15"/>
  <c r="FL315" i="15"/>
  <c r="FM315" i="15"/>
  <c r="FN315" i="15"/>
  <c r="FO315" i="15"/>
  <c r="FP315" i="15"/>
  <c r="FQ315" i="15"/>
  <c r="FR315" i="15"/>
  <c r="FS315" i="15"/>
  <c r="FT315" i="15"/>
  <c r="FU315" i="15"/>
  <c r="FV315" i="15"/>
  <c r="FW315" i="15"/>
  <c r="FX315" i="15"/>
  <c r="FY315" i="15"/>
  <c r="FZ315" i="15"/>
  <c r="GA315" i="15"/>
  <c r="GB315" i="15"/>
  <c r="GC315" i="15"/>
  <c r="GD315" i="15"/>
  <c r="GE315" i="15"/>
  <c r="GF315" i="15"/>
  <c r="GG315" i="15"/>
  <c r="GH315" i="15"/>
  <c r="GI315" i="15"/>
  <c r="GJ315" i="15"/>
  <c r="GK315" i="15"/>
  <c r="GL315" i="15"/>
  <c r="GM315" i="15"/>
  <c r="GN315" i="15"/>
  <c r="GO315" i="15"/>
  <c r="GP315" i="15"/>
  <c r="GQ315" i="15"/>
  <c r="GR315" i="15"/>
  <c r="GS315" i="15"/>
  <c r="GT315" i="15"/>
  <c r="GU315" i="15"/>
  <c r="GV315" i="15"/>
  <c r="GW315" i="15"/>
  <c r="GX315" i="15"/>
  <c r="GY315" i="15"/>
  <c r="GZ315" i="15"/>
  <c r="HA315" i="15"/>
  <c r="HB315" i="15"/>
  <c r="HC315" i="15"/>
  <c r="HD315" i="15"/>
  <c r="HE315" i="15"/>
  <c r="HF315" i="15"/>
  <c r="HG315" i="15"/>
  <c r="HH315" i="15"/>
  <c r="HI315" i="15"/>
  <c r="HJ315" i="15"/>
  <c r="HK315" i="15"/>
  <c r="HL315" i="15"/>
  <c r="HM315" i="15"/>
  <c r="HN315" i="15"/>
  <c r="HO315" i="15"/>
  <c r="HP315" i="15"/>
  <c r="HQ315" i="15"/>
  <c r="HR315" i="15"/>
  <c r="HS315" i="15"/>
  <c r="HT315" i="15"/>
  <c r="HU315" i="15"/>
  <c r="HV315" i="15"/>
  <c r="HW315" i="15"/>
  <c r="HX315" i="15"/>
  <c r="HY315" i="15"/>
  <c r="HZ315" i="15"/>
  <c r="IA315" i="15"/>
  <c r="IB315" i="15"/>
  <c r="IC315" i="15"/>
  <c r="ID315" i="15"/>
  <c r="IE315" i="15"/>
  <c r="IF315" i="15"/>
  <c r="IG315" i="15"/>
  <c r="IH315" i="15"/>
  <c r="II315" i="15"/>
  <c r="IJ315" i="15"/>
  <c r="IK315" i="15"/>
  <c r="IL315" i="15"/>
  <c r="IM315" i="15"/>
  <c r="IN315" i="15"/>
  <c r="IO315" i="15"/>
  <c r="IP315" i="15"/>
  <c r="IQ315" i="15"/>
  <c r="IR315" i="15"/>
  <c r="IS315" i="15"/>
  <c r="IT315" i="15"/>
  <c r="IU315" i="15"/>
  <c r="IV315" i="15"/>
  <c r="IW315" i="15"/>
  <c r="IX315" i="15"/>
  <c r="IY315" i="15"/>
  <c r="IZ315" i="15"/>
  <c r="JA315" i="15"/>
  <c r="JB315" i="15"/>
  <c r="JC315" i="15"/>
  <c r="JD315" i="15"/>
  <c r="JE315" i="15"/>
  <c r="JF315" i="15"/>
  <c r="JG315" i="15"/>
  <c r="JH315" i="15"/>
  <c r="JI315" i="15"/>
  <c r="JJ315" i="15"/>
  <c r="A316" i="15"/>
  <c r="B316" i="15"/>
  <c r="C316" i="15"/>
  <c r="D316" i="15"/>
  <c r="E316" i="15"/>
  <c r="F316" i="15"/>
  <c r="G316" i="15"/>
  <c r="H316" i="15"/>
  <c r="I316" i="15"/>
  <c r="J316" i="15"/>
  <c r="K316" i="15"/>
  <c r="L316" i="15"/>
  <c r="M316" i="15"/>
  <c r="N316" i="15"/>
  <c r="O316" i="15"/>
  <c r="P316" i="15"/>
  <c r="Q316" i="15"/>
  <c r="R316" i="15"/>
  <c r="S316" i="15"/>
  <c r="T316" i="15"/>
  <c r="U316" i="15"/>
  <c r="V316" i="15"/>
  <c r="W316" i="15"/>
  <c r="X316" i="15"/>
  <c r="Y316" i="15"/>
  <c r="Z316" i="15"/>
  <c r="AA316" i="15"/>
  <c r="AB316" i="15"/>
  <c r="AC316" i="15"/>
  <c r="AD316" i="15"/>
  <c r="AE316" i="15"/>
  <c r="AF316" i="15"/>
  <c r="AG316" i="15"/>
  <c r="AH316" i="15"/>
  <c r="AI316" i="15"/>
  <c r="AJ316" i="15"/>
  <c r="AK316" i="15"/>
  <c r="AL316" i="15"/>
  <c r="AM316" i="15"/>
  <c r="AN316" i="15"/>
  <c r="AO316" i="15"/>
  <c r="AP316" i="15"/>
  <c r="AQ316" i="15"/>
  <c r="AR316" i="15"/>
  <c r="AS316" i="15"/>
  <c r="AT316" i="15"/>
  <c r="AU316" i="15"/>
  <c r="AV316" i="15"/>
  <c r="AW316" i="15"/>
  <c r="AX316" i="15"/>
  <c r="AY316" i="15"/>
  <c r="AZ316" i="15"/>
  <c r="BA316" i="15"/>
  <c r="BB316" i="15"/>
  <c r="BC316" i="15"/>
  <c r="BD316" i="15"/>
  <c r="BE316" i="15"/>
  <c r="BF316" i="15"/>
  <c r="BG316" i="15"/>
  <c r="BH316" i="15"/>
  <c r="BI316" i="15"/>
  <c r="BJ316" i="15"/>
  <c r="BK316" i="15"/>
  <c r="BL316" i="15"/>
  <c r="BM316" i="15"/>
  <c r="BN316" i="15"/>
  <c r="BO316" i="15"/>
  <c r="BP316" i="15"/>
  <c r="BQ316" i="15"/>
  <c r="BR316" i="15"/>
  <c r="BS316" i="15"/>
  <c r="BT316" i="15"/>
  <c r="BU316" i="15"/>
  <c r="BV316" i="15"/>
  <c r="BW316" i="15"/>
  <c r="BX316" i="15"/>
  <c r="BY316" i="15"/>
  <c r="BZ316" i="15"/>
  <c r="CA316" i="15"/>
  <c r="CB316" i="15"/>
  <c r="CC316" i="15"/>
  <c r="CD316" i="15"/>
  <c r="CE316" i="15"/>
  <c r="CF316" i="15"/>
  <c r="CG316" i="15"/>
  <c r="CH316" i="15"/>
  <c r="CI316" i="15"/>
  <c r="CJ316" i="15"/>
  <c r="CK316" i="15"/>
  <c r="CL316" i="15"/>
  <c r="CM316" i="15"/>
  <c r="CN316" i="15"/>
  <c r="CO316" i="15"/>
  <c r="CP316" i="15"/>
  <c r="CQ316" i="15"/>
  <c r="CR316" i="15"/>
  <c r="CS316" i="15"/>
  <c r="CT316" i="15"/>
  <c r="CU316" i="15"/>
  <c r="CV316" i="15"/>
  <c r="CW316" i="15"/>
  <c r="CX316" i="15"/>
  <c r="CY316" i="15"/>
  <c r="CZ316" i="15"/>
  <c r="DA316" i="15"/>
  <c r="DB316" i="15"/>
  <c r="DC316" i="15"/>
  <c r="DD316" i="15"/>
  <c r="DE316" i="15"/>
  <c r="DF316" i="15"/>
  <c r="DG316" i="15"/>
  <c r="DH316" i="15"/>
  <c r="DI316" i="15"/>
  <c r="DJ316" i="15"/>
  <c r="DK316" i="15"/>
  <c r="DL316" i="15"/>
  <c r="DM316" i="15"/>
  <c r="DN316" i="15"/>
  <c r="DO316" i="15"/>
  <c r="DP316" i="15"/>
  <c r="DQ316" i="15"/>
  <c r="DR316" i="15"/>
  <c r="DS316" i="15"/>
  <c r="DT316" i="15"/>
  <c r="DU316" i="15"/>
  <c r="DV316" i="15"/>
  <c r="DW316" i="15"/>
  <c r="DX316" i="15"/>
  <c r="DY316" i="15"/>
  <c r="DZ316" i="15"/>
  <c r="EA316" i="15"/>
  <c r="EB316" i="15"/>
  <c r="EC316" i="15"/>
  <c r="ED316" i="15"/>
  <c r="EE316" i="15"/>
  <c r="EF316" i="15"/>
  <c r="EG316" i="15"/>
  <c r="EH316" i="15"/>
  <c r="EI316" i="15"/>
  <c r="EJ316" i="15"/>
  <c r="EK316" i="15"/>
  <c r="EL316" i="15"/>
  <c r="EM316" i="15"/>
  <c r="EN316" i="15"/>
  <c r="EO316" i="15"/>
  <c r="EP316" i="15"/>
  <c r="EQ316" i="15"/>
  <c r="ER316" i="15"/>
  <c r="ES316" i="15"/>
  <c r="ET316" i="15"/>
  <c r="EU316" i="15"/>
  <c r="EV316" i="15"/>
  <c r="EW316" i="15"/>
  <c r="EX316" i="15"/>
  <c r="EY316" i="15"/>
  <c r="EZ316" i="15"/>
  <c r="FA316" i="15"/>
  <c r="FB316" i="15"/>
  <c r="FC316" i="15"/>
  <c r="FD316" i="15"/>
  <c r="FE316" i="15"/>
  <c r="FF316" i="15"/>
  <c r="FG316" i="15"/>
  <c r="FH316" i="15"/>
  <c r="FI316" i="15"/>
  <c r="FJ316" i="15"/>
  <c r="FK316" i="15"/>
  <c r="FL316" i="15"/>
  <c r="FM316" i="15"/>
  <c r="FN316" i="15"/>
  <c r="FO316" i="15"/>
  <c r="FP316" i="15"/>
  <c r="FQ316" i="15"/>
  <c r="FR316" i="15"/>
  <c r="FS316" i="15"/>
  <c r="FT316" i="15"/>
  <c r="FU316" i="15"/>
  <c r="FV316" i="15"/>
  <c r="FW316" i="15"/>
  <c r="FX316" i="15"/>
  <c r="FY316" i="15"/>
  <c r="FZ316" i="15"/>
  <c r="GA316" i="15"/>
  <c r="GB316" i="15"/>
  <c r="GC316" i="15"/>
  <c r="GD316" i="15"/>
  <c r="GE316" i="15"/>
  <c r="GF316" i="15"/>
  <c r="GG316" i="15"/>
  <c r="GH316" i="15"/>
  <c r="GI316" i="15"/>
  <c r="GJ316" i="15"/>
  <c r="GK316" i="15"/>
  <c r="GL316" i="15"/>
  <c r="GM316" i="15"/>
  <c r="GN316" i="15"/>
  <c r="GO316" i="15"/>
  <c r="GP316" i="15"/>
  <c r="GQ316" i="15"/>
  <c r="GR316" i="15"/>
  <c r="GS316" i="15"/>
  <c r="GT316" i="15"/>
  <c r="GU316" i="15"/>
  <c r="GV316" i="15"/>
  <c r="GW316" i="15"/>
  <c r="GX316" i="15"/>
  <c r="GY316" i="15"/>
  <c r="GZ316" i="15"/>
  <c r="HA316" i="15"/>
  <c r="HB316" i="15"/>
  <c r="HC316" i="15"/>
  <c r="HD316" i="15"/>
  <c r="HE316" i="15"/>
  <c r="HF316" i="15"/>
  <c r="HG316" i="15"/>
  <c r="HH316" i="15"/>
  <c r="HI316" i="15"/>
  <c r="HJ316" i="15"/>
  <c r="HK316" i="15"/>
  <c r="HL316" i="15"/>
  <c r="HM316" i="15"/>
  <c r="HN316" i="15"/>
  <c r="HO316" i="15"/>
  <c r="HP316" i="15"/>
  <c r="HQ316" i="15"/>
  <c r="HR316" i="15"/>
  <c r="HS316" i="15"/>
  <c r="HT316" i="15"/>
  <c r="HU316" i="15"/>
  <c r="HV316" i="15"/>
  <c r="HW316" i="15"/>
  <c r="HX316" i="15"/>
  <c r="HY316" i="15"/>
  <c r="HZ316" i="15"/>
  <c r="IA316" i="15"/>
  <c r="IB316" i="15"/>
  <c r="IC316" i="15"/>
  <c r="ID316" i="15"/>
  <c r="IE316" i="15"/>
  <c r="IF316" i="15"/>
  <c r="IG316" i="15"/>
  <c r="IH316" i="15"/>
  <c r="II316" i="15"/>
  <c r="IJ316" i="15"/>
  <c r="IK316" i="15"/>
  <c r="IL316" i="15"/>
  <c r="IM316" i="15"/>
  <c r="IN316" i="15"/>
  <c r="IO316" i="15"/>
  <c r="IP316" i="15"/>
  <c r="IQ316" i="15"/>
  <c r="IR316" i="15"/>
  <c r="IS316" i="15"/>
  <c r="IT316" i="15"/>
  <c r="IU316" i="15"/>
  <c r="IV316" i="15"/>
  <c r="IW316" i="15"/>
  <c r="IX316" i="15"/>
  <c r="IY316" i="15"/>
  <c r="IZ316" i="15"/>
  <c r="JA316" i="15"/>
  <c r="JB316" i="15"/>
  <c r="JC316" i="15"/>
  <c r="JD316" i="15"/>
  <c r="JE316" i="15"/>
  <c r="JF316" i="15"/>
  <c r="JG316" i="15"/>
  <c r="JH316" i="15"/>
  <c r="JI316" i="15"/>
  <c r="JJ316" i="15"/>
  <c r="A317" i="15"/>
  <c r="B317" i="15"/>
  <c r="C317" i="15"/>
  <c r="D317" i="15"/>
  <c r="E317" i="15"/>
  <c r="F317" i="15"/>
  <c r="G317" i="15"/>
  <c r="H317" i="15"/>
  <c r="I317" i="15"/>
  <c r="J317" i="15"/>
  <c r="K317" i="15"/>
  <c r="L317" i="15"/>
  <c r="M317" i="15"/>
  <c r="N317" i="15"/>
  <c r="O317" i="15"/>
  <c r="P317" i="15"/>
  <c r="Q317" i="15"/>
  <c r="R317" i="15"/>
  <c r="S317" i="15"/>
  <c r="T317" i="15"/>
  <c r="U317" i="15"/>
  <c r="V317" i="15"/>
  <c r="W317" i="15"/>
  <c r="X317" i="15"/>
  <c r="Y317" i="15"/>
  <c r="Z317" i="15"/>
  <c r="AA317" i="15"/>
  <c r="AB317" i="15"/>
  <c r="AC317" i="15"/>
  <c r="AD317" i="15"/>
  <c r="AE317" i="15"/>
  <c r="AF317" i="15"/>
  <c r="AG317" i="15"/>
  <c r="AH317" i="15"/>
  <c r="AI317" i="15"/>
  <c r="AJ317" i="15"/>
  <c r="AK317" i="15"/>
  <c r="AL317" i="15"/>
  <c r="AM317" i="15"/>
  <c r="AN317" i="15"/>
  <c r="AO317" i="15"/>
  <c r="AP317" i="15"/>
  <c r="AQ317" i="15"/>
  <c r="AR317" i="15"/>
  <c r="AS317" i="15"/>
  <c r="AT317" i="15"/>
  <c r="AU317" i="15"/>
  <c r="AV317" i="15"/>
  <c r="AW317" i="15"/>
  <c r="AX317" i="15"/>
  <c r="AY317" i="15"/>
  <c r="AZ317" i="15"/>
  <c r="BA317" i="15"/>
  <c r="BB317" i="15"/>
  <c r="BC317" i="15"/>
  <c r="BD317" i="15"/>
  <c r="BE317" i="15"/>
  <c r="BF317" i="15"/>
  <c r="BG317" i="15"/>
  <c r="BH317" i="15"/>
  <c r="BI317" i="15"/>
  <c r="BJ317" i="15"/>
  <c r="BK317" i="15"/>
  <c r="BL317" i="15"/>
  <c r="BM317" i="15"/>
  <c r="BN317" i="15"/>
  <c r="BO317" i="15"/>
  <c r="BP317" i="15"/>
  <c r="BQ317" i="15"/>
  <c r="BR317" i="15"/>
  <c r="BS317" i="15"/>
  <c r="BT317" i="15"/>
  <c r="BU317" i="15"/>
  <c r="BV317" i="15"/>
  <c r="BW317" i="15"/>
  <c r="BX317" i="15"/>
  <c r="BY317" i="15"/>
  <c r="BZ317" i="15"/>
  <c r="CA317" i="15"/>
  <c r="CB317" i="15"/>
  <c r="CC317" i="15"/>
  <c r="CD317" i="15"/>
  <c r="CE317" i="15"/>
  <c r="CF317" i="15"/>
  <c r="CG317" i="15"/>
  <c r="CH317" i="15"/>
  <c r="CI317" i="15"/>
  <c r="CJ317" i="15"/>
  <c r="CK317" i="15"/>
  <c r="CL317" i="15"/>
  <c r="CM317" i="15"/>
  <c r="CN317" i="15"/>
  <c r="CO317" i="15"/>
  <c r="CP317" i="15"/>
  <c r="CQ317" i="15"/>
  <c r="CR317" i="15"/>
  <c r="CS317" i="15"/>
  <c r="CT317" i="15"/>
  <c r="CU317" i="15"/>
  <c r="CV317" i="15"/>
  <c r="CW317" i="15"/>
  <c r="CX317" i="15"/>
  <c r="CY317" i="15"/>
  <c r="CZ317" i="15"/>
  <c r="DA317" i="15"/>
  <c r="DB317" i="15"/>
  <c r="DC317" i="15"/>
  <c r="DD317" i="15"/>
  <c r="DE317" i="15"/>
  <c r="DF317" i="15"/>
  <c r="DG317" i="15"/>
  <c r="DH317" i="15"/>
  <c r="DI317" i="15"/>
  <c r="DJ317" i="15"/>
  <c r="DK317" i="15"/>
  <c r="DL317" i="15"/>
  <c r="DM317" i="15"/>
  <c r="DN317" i="15"/>
  <c r="DO317" i="15"/>
  <c r="DP317" i="15"/>
  <c r="DQ317" i="15"/>
  <c r="DR317" i="15"/>
  <c r="DS317" i="15"/>
  <c r="DT317" i="15"/>
  <c r="DU317" i="15"/>
  <c r="DV317" i="15"/>
  <c r="DW317" i="15"/>
  <c r="DX317" i="15"/>
  <c r="DY317" i="15"/>
  <c r="DZ317" i="15"/>
  <c r="EA317" i="15"/>
  <c r="EB317" i="15"/>
  <c r="EC317" i="15"/>
  <c r="ED317" i="15"/>
  <c r="EE317" i="15"/>
  <c r="EF317" i="15"/>
  <c r="EG317" i="15"/>
  <c r="EH317" i="15"/>
  <c r="EI317" i="15"/>
  <c r="EJ317" i="15"/>
  <c r="EK317" i="15"/>
  <c r="EL317" i="15"/>
  <c r="EM317" i="15"/>
  <c r="EN317" i="15"/>
  <c r="EO317" i="15"/>
  <c r="EP317" i="15"/>
  <c r="EQ317" i="15"/>
  <c r="ER317" i="15"/>
  <c r="ES317" i="15"/>
  <c r="ET317" i="15"/>
  <c r="EU317" i="15"/>
  <c r="EV317" i="15"/>
  <c r="EW317" i="15"/>
  <c r="EX317" i="15"/>
  <c r="EY317" i="15"/>
  <c r="EZ317" i="15"/>
  <c r="FA317" i="15"/>
  <c r="FB317" i="15"/>
  <c r="FC317" i="15"/>
  <c r="FD317" i="15"/>
  <c r="FE317" i="15"/>
  <c r="FF317" i="15"/>
  <c r="FG317" i="15"/>
  <c r="FH317" i="15"/>
  <c r="FI317" i="15"/>
  <c r="FJ317" i="15"/>
  <c r="FK317" i="15"/>
  <c r="FL317" i="15"/>
  <c r="FM317" i="15"/>
  <c r="FN317" i="15"/>
  <c r="FO317" i="15"/>
  <c r="FP317" i="15"/>
  <c r="FQ317" i="15"/>
  <c r="FR317" i="15"/>
  <c r="FS317" i="15"/>
  <c r="FT317" i="15"/>
  <c r="FU317" i="15"/>
  <c r="FV317" i="15"/>
  <c r="FW317" i="15"/>
  <c r="FX317" i="15"/>
  <c r="FY317" i="15"/>
  <c r="FZ317" i="15"/>
  <c r="GA317" i="15"/>
  <c r="GB317" i="15"/>
  <c r="GC317" i="15"/>
  <c r="GD317" i="15"/>
  <c r="GE317" i="15"/>
  <c r="GF317" i="15"/>
  <c r="GG317" i="15"/>
  <c r="GH317" i="15"/>
  <c r="GI317" i="15"/>
  <c r="GJ317" i="15"/>
  <c r="GK317" i="15"/>
  <c r="GL317" i="15"/>
  <c r="GM317" i="15"/>
  <c r="GN317" i="15"/>
  <c r="GO317" i="15"/>
  <c r="GP317" i="15"/>
  <c r="GQ317" i="15"/>
  <c r="GR317" i="15"/>
  <c r="GS317" i="15"/>
  <c r="GT317" i="15"/>
  <c r="GU317" i="15"/>
  <c r="GV317" i="15"/>
  <c r="GW317" i="15"/>
  <c r="GX317" i="15"/>
  <c r="GY317" i="15"/>
  <c r="GZ317" i="15"/>
  <c r="HA317" i="15"/>
  <c r="HB317" i="15"/>
  <c r="HC317" i="15"/>
  <c r="HD317" i="15"/>
  <c r="HE317" i="15"/>
  <c r="HF317" i="15"/>
  <c r="HG317" i="15"/>
  <c r="HH317" i="15"/>
  <c r="HI317" i="15"/>
  <c r="HJ317" i="15"/>
  <c r="HK317" i="15"/>
  <c r="HL317" i="15"/>
  <c r="HM317" i="15"/>
  <c r="HN317" i="15"/>
  <c r="HO317" i="15"/>
  <c r="HP317" i="15"/>
  <c r="HQ317" i="15"/>
  <c r="HR317" i="15"/>
  <c r="HS317" i="15"/>
  <c r="HT317" i="15"/>
  <c r="HU317" i="15"/>
  <c r="HV317" i="15"/>
  <c r="HW317" i="15"/>
  <c r="HX317" i="15"/>
  <c r="HY317" i="15"/>
  <c r="HZ317" i="15"/>
  <c r="IA317" i="15"/>
  <c r="IB317" i="15"/>
  <c r="IC317" i="15"/>
  <c r="ID317" i="15"/>
  <c r="IE317" i="15"/>
  <c r="IF317" i="15"/>
  <c r="IG317" i="15"/>
  <c r="IH317" i="15"/>
  <c r="II317" i="15"/>
  <c r="IJ317" i="15"/>
  <c r="IK317" i="15"/>
  <c r="IL317" i="15"/>
  <c r="IM317" i="15"/>
  <c r="IN317" i="15"/>
  <c r="IO317" i="15"/>
  <c r="IP317" i="15"/>
  <c r="IQ317" i="15"/>
  <c r="IR317" i="15"/>
  <c r="IS317" i="15"/>
  <c r="IT317" i="15"/>
  <c r="IU317" i="15"/>
  <c r="IV317" i="15"/>
  <c r="IW317" i="15"/>
  <c r="IX317" i="15"/>
  <c r="IY317" i="15"/>
  <c r="IZ317" i="15"/>
  <c r="JA317" i="15"/>
  <c r="JB317" i="15"/>
  <c r="JC317" i="15"/>
  <c r="JD317" i="15"/>
  <c r="JE317" i="15"/>
  <c r="JF317" i="15"/>
  <c r="JG317" i="15"/>
  <c r="JH317" i="15"/>
  <c r="JI317" i="15"/>
  <c r="JJ317" i="15"/>
  <c r="A318" i="15"/>
  <c r="B318" i="15"/>
  <c r="C318" i="15"/>
  <c r="D318" i="15"/>
  <c r="E318" i="15"/>
  <c r="F318" i="15"/>
  <c r="G318" i="15"/>
  <c r="H318" i="15"/>
  <c r="I318" i="15"/>
  <c r="J318" i="15"/>
  <c r="K318" i="15"/>
  <c r="L318" i="15"/>
  <c r="M318" i="15"/>
  <c r="N318" i="15"/>
  <c r="O318" i="15"/>
  <c r="P318" i="15"/>
  <c r="Q318" i="15"/>
  <c r="R318" i="15"/>
  <c r="S318" i="15"/>
  <c r="T318" i="15"/>
  <c r="U318" i="15"/>
  <c r="V318" i="15"/>
  <c r="W318" i="15"/>
  <c r="X318" i="15"/>
  <c r="Y318" i="15"/>
  <c r="Z318" i="15"/>
  <c r="AA318" i="15"/>
  <c r="AB318" i="15"/>
  <c r="AC318" i="15"/>
  <c r="AD318" i="15"/>
  <c r="AE318" i="15"/>
  <c r="AF318" i="15"/>
  <c r="AG318" i="15"/>
  <c r="AH318" i="15"/>
  <c r="AI318" i="15"/>
  <c r="AJ318" i="15"/>
  <c r="AK318" i="15"/>
  <c r="AL318" i="15"/>
  <c r="AM318" i="15"/>
  <c r="AN318" i="15"/>
  <c r="AO318" i="15"/>
  <c r="AP318" i="15"/>
  <c r="AQ318" i="15"/>
  <c r="AR318" i="15"/>
  <c r="AS318" i="15"/>
  <c r="AT318" i="15"/>
  <c r="AU318" i="15"/>
  <c r="AV318" i="15"/>
  <c r="AW318" i="15"/>
  <c r="AX318" i="15"/>
  <c r="AY318" i="15"/>
  <c r="AZ318" i="15"/>
  <c r="BA318" i="15"/>
  <c r="BB318" i="15"/>
  <c r="BC318" i="15"/>
  <c r="BD318" i="15"/>
  <c r="BE318" i="15"/>
  <c r="BF318" i="15"/>
  <c r="BG318" i="15"/>
  <c r="BH318" i="15"/>
  <c r="BI318" i="15"/>
  <c r="BJ318" i="15"/>
  <c r="BK318" i="15"/>
  <c r="BL318" i="15"/>
  <c r="BM318" i="15"/>
  <c r="BN318" i="15"/>
  <c r="BO318" i="15"/>
  <c r="BP318" i="15"/>
  <c r="BQ318" i="15"/>
  <c r="BR318" i="15"/>
  <c r="BS318" i="15"/>
  <c r="BT318" i="15"/>
  <c r="BU318" i="15"/>
  <c r="BV318" i="15"/>
  <c r="BW318" i="15"/>
  <c r="BX318" i="15"/>
  <c r="BY318" i="15"/>
  <c r="BZ318" i="15"/>
  <c r="CA318" i="15"/>
  <c r="CB318" i="15"/>
  <c r="CC318" i="15"/>
  <c r="CD318" i="15"/>
  <c r="CE318" i="15"/>
  <c r="CF318" i="15"/>
  <c r="CG318" i="15"/>
  <c r="CH318" i="15"/>
  <c r="CI318" i="15"/>
  <c r="CJ318" i="15"/>
  <c r="CK318" i="15"/>
  <c r="CL318" i="15"/>
  <c r="CM318" i="15"/>
  <c r="CN318" i="15"/>
  <c r="CO318" i="15"/>
  <c r="CP318" i="15"/>
  <c r="CQ318" i="15"/>
  <c r="CR318" i="15"/>
  <c r="CS318" i="15"/>
  <c r="CT318" i="15"/>
  <c r="CU318" i="15"/>
  <c r="CV318" i="15"/>
  <c r="CW318" i="15"/>
  <c r="CX318" i="15"/>
  <c r="CY318" i="15"/>
  <c r="CZ318" i="15"/>
  <c r="DA318" i="15"/>
  <c r="DB318" i="15"/>
  <c r="DC318" i="15"/>
  <c r="DD318" i="15"/>
  <c r="DE318" i="15"/>
  <c r="DF318" i="15"/>
  <c r="DG318" i="15"/>
  <c r="DH318" i="15"/>
  <c r="DI318" i="15"/>
  <c r="DJ318" i="15"/>
  <c r="DK318" i="15"/>
  <c r="DL318" i="15"/>
  <c r="DM318" i="15"/>
  <c r="DN318" i="15"/>
  <c r="DO318" i="15"/>
  <c r="DP318" i="15"/>
  <c r="DQ318" i="15"/>
  <c r="DR318" i="15"/>
  <c r="DS318" i="15"/>
  <c r="DT318" i="15"/>
  <c r="DU318" i="15"/>
  <c r="DV318" i="15"/>
  <c r="DW318" i="15"/>
  <c r="DX318" i="15"/>
  <c r="DY318" i="15"/>
  <c r="DZ318" i="15"/>
  <c r="EA318" i="15"/>
  <c r="EB318" i="15"/>
  <c r="EC318" i="15"/>
  <c r="ED318" i="15"/>
  <c r="EE318" i="15"/>
  <c r="EF318" i="15"/>
  <c r="EG318" i="15"/>
  <c r="EH318" i="15"/>
  <c r="EI318" i="15"/>
  <c r="EJ318" i="15"/>
  <c r="EK318" i="15"/>
  <c r="EL318" i="15"/>
  <c r="EM318" i="15"/>
  <c r="EN318" i="15"/>
  <c r="EO318" i="15"/>
  <c r="EP318" i="15"/>
  <c r="EQ318" i="15"/>
  <c r="ER318" i="15"/>
  <c r="ES318" i="15"/>
  <c r="ET318" i="15"/>
  <c r="EU318" i="15"/>
  <c r="EV318" i="15"/>
  <c r="EW318" i="15"/>
  <c r="EX318" i="15"/>
  <c r="EY318" i="15"/>
  <c r="EZ318" i="15"/>
  <c r="FA318" i="15"/>
  <c r="FB318" i="15"/>
  <c r="FC318" i="15"/>
  <c r="FD318" i="15"/>
  <c r="FE318" i="15"/>
  <c r="FF318" i="15"/>
  <c r="FG318" i="15"/>
  <c r="FH318" i="15"/>
  <c r="FI318" i="15"/>
  <c r="FJ318" i="15"/>
  <c r="FK318" i="15"/>
  <c r="FL318" i="15"/>
  <c r="FM318" i="15"/>
  <c r="FN318" i="15"/>
  <c r="FO318" i="15"/>
  <c r="FP318" i="15"/>
  <c r="FQ318" i="15"/>
  <c r="FR318" i="15"/>
  <c r="FS318" i="15"/>
  <c r="FT318" i="15"/>
  <c r="FU318" i="15"/>
  <c r="FV318" i="15"/>
  <c r="FW318" i="15"/>
  <c r="FX318" i="15"/>
  <c r="FY318" i="15"/>
  <c r="FZ318" i="15"/>
  <c r="GA318" i="15"/>
  <c r="GB318" i="15"/>
  <c r="GC318" i="15"/>
  <c r="GD318" i="15"/>
  <c r="GE318" i="15"/>
  <c r="GF318" i="15"/>
  <c r="GG318" i="15"/>
  <c r="GH318" i="15"/>
  <c r="GI318" i="15"/>
  <c r="GJ318" i="15"/>
  <c r="GK318" i="15"/>
  <c r="GL318" i="15"/>
  <c r="GM318" i="15"/>
  <c r="GN318" i="15"/>
  <c r="GO318" i="15"/>
  <c r="GP318" i="15"/>
  <c r="GQ318" i="15"/>
  <c r="GR318" i="15"/>
  <c r="GS318" i="15"/>
  <c r="GT318" i="15"/>
  <c r="GU318" i="15"/>
  <c r="GV318" i="15"/>
  <c r="GW318" i="15"/>
  <c r="GX318" i="15"/>
  <c r="GY318" i="15"/>
  <c r="GZ318" i="15"/>
  <c r="HA318" i="15"/>
  <c r="HB318" i="15"/>
  <c r="HC318" i="15"/>
  <c r="HD318" i="15"/>
  <c r="HE318" i="15"/>
  <c r="HF318" i="15"/>
  <c r="HG318" i="15"/>
  <c r="HH318" i="15"/>
  <c r="HI318" i="15"/>
  <c r="HJ318" i="15"/>
  <c r="HK318" i="15"/>
  <c r="HL318" i="15"/>
  <c r="HM318" i="15"/>
  <c r="HN318" i="15"/>
  <c r="HO318" i="15"/>
  <c r="HP318" i="15"/>
  <c r="HQ318" i="15"/>
  <c r="HR318" i="15"/>
  <c r="HS318" i="15"/>
  <c r="HT318" i="15"/>
  <c r="HU318" i="15"/>
  <c r="HV318" i="15"/>
  <c r="HW318" i="15"/>
  <c r="HX318" i="15"/>
  <c r="HY318" i="15"/>
  <c r="HZ318" i="15"/>
  <c r="IA318" i="15"/>
  <c r="IB318" i="15"/>
  <c r="IC318" i="15"/>
  <c r="ID318" i="15"/>
  <c r="IE318" i="15"/>
  <c r="IF318" i="15"/>
  <c r="IG318" i="15"/>
  <c r="IH318" i="15"/>
  <c r="II318" i="15"/>
  <c r="IJ318" i="15"/>
  <c r="IK318" i="15"/>
  <c r="IL318" i="15"/>
  <c r="IM318" i="15"/>
  <c r="IN318" i="15"/>
  <c r="IO318" i="15"/>
  <c r="IP318" i="15"/>
  <c r="IQ318" i="15"/>
  <c r="IR318" i="15"/>
  <c r="IS318" i="15"/>
  <c r="IT318" i="15"/>
  <c r="IU318" i="15"/>
  <c r="IV318" i="15"/>
  <c r="IW318" i="15"/>
  <c r="IX318" i="15"/>
  <c r="IY318" i="15"/>
  <c r="IZ318" i="15"/>
  <c r="JA318" i="15"/>
  <c r="JB318" i="15"/>
  <c r="JC318" i="15"/>
  <c r="JD318" i="15"/>
  <c r="JE318" i="15"/>
  <c r="JF318" i="15"/>
  <c r="JG318" i="15"/>
  <c r="JH318" i="15"/>
  <c r="JI318" i="15"/>
  <c r="JJ318" i="15"/>
  <c r="A319" i="15"/>
  <c r="B319" i="15"/>
  <c r="C319" i="15"/>
  <c r="D319" i="15"/>
  <c r="E319" i="15"/>
  <c r="F319" i="15"/>
  <c r="G319" i="15"/>
  <c r="H319" i="15"/>
  <c r="I319" i="15"/>
  <c r="J319" i="15"/>
  <c r="K319" i="15"/>
  <c r="L319" i="15"/>
  <c r="M319" i="15"/>
  <c r="N319" i="15"/>
  <c r="O319" i="15"/>
  <c r="P319" i="15"/>
  <c r="Q319" i="15"/>
  <c r="R319" i="15"/>
  <c r="S319" i="15"/>
  <c r="T319" i="15"/>
  <c r="U319" i="15"/>
  <c r="V319" i="15"/>
  <c r="W319" i="15"/>
  <c r="X319" i="15"/>
  <c r="Y319" i="15"/>
  <c r="Z319" i="15"/>
  <c r="AA319" i="15"/>
  <c r="AB319" i="15"/>
  <c r="AC319" i="15"/>
  <c r="AD319" i="15"/>
  <c r="AE319" i="15"/>
  <c r="AF319" i="15"/>
  <c r="AG319" i="15"/>
  <c r="AH319" i="15"/>
  <c r="AI319" i="15"/>
  <c r="AJ319" i="15"/>
  <c r="AK319" i="15"/>
  <c r="AL319" i="15"/>
  <c r="AM319" i="15"/>
  <c r="AN319" i="15"/>
  <c r="AO319" i="15"/>
  <c r="AP319" i="15"/>
  <c r="AQ319" i="15"/>
  <c r="AR319" i="15"/>
  <c r="AS319" i="15"/>
  <c r="AT319" i="15"/>
  <c r="AU319" i="15"/>
  <c r="AV319" i="15"/>
  <c r="AW319" i="15"/>
  <c r="AX319" i="15"/>
  <c r="AY319" i="15"/>
  <c r="AZ319" i="15"/>
  <c r="BA319" i="15"/>
  <c r="BB319" i="15"/>
  <c r="BC319" i="15"/>
  <c r="BD319" i="15"/>
  <c r="BE319" i="15"/>
  <c r="BF319" i="15"/>
  <c r="BG319" i="15"/>
  <c r="BH319" i="15"/>
  <c r="BI319" i="15"/>
  <c r="BJ319" i="15"/>
  <c r="BK319" i="15"/>
  <c r="BL319" i="15"/>
  <c r="BM319" i="15"/>
  <c r="BN319" i="15"/>
  <c r="BO319" i="15"/>
  <c r="BP319" i="15"/>
  <c r="BQ319" i="15"/>
  <c r="BR319" i="15"/>
  <c r="BS319" i="15"/>
  <c r="BT319" i="15"/>
  <c r="BU319" i="15"/>
  <c r="BV319" i="15"/>
  <c r="BW319" i="15"/>
  <c r="BX319" i="15"/>
  <c r="BY319" i="15"/>
  <c r="BZ319" i="15"/>
  <c r="CA319" i="15"/>
  <c r="CB319" i="15"/>
  <c r="CC319" i="15"/>
  <c r="CD319" i="15"/>
  <c r="CE319" i="15"/>
  <c r="CF319" i="15"/>
  <c r="CG319" i="15"/>
  <c r="CH319" i="15"/>
  <c r="CI319" i="15"/>
  <c r="CJ319" i="15"/>
  <c r="CK319" i="15"/>
  <c r="CL319" i="15"/>
  <c r="CM319" i="15"/>
  <c r="CN319" i="15"/>
  <c r="CO319" i="15"/>
  <c r="CP319" i="15"/>
  <c r="CQ319" i="15"/>
  <c r="CR319" i="15"/>
  <c r="CS319" i="15"/>
  <c r="CT319" i="15"/>
  <c r="CU319" i="15"/>
  <c r="CV319" i="15"/>
  <c r="CW319" i="15"/>
  <c r="CX319" i="15"/>
  <c r="CY319" i="15"/>
  <c r="CZ319" i="15"/>
  <c r="DA319" i="15"/>
  <c r="DB319" i="15"/>
  <c r="DC319" i="15"/>
  <c r="DD319" i="15"/>
  <c r="DE319" i="15"/>
  <c r="DF319" i="15"/>
  <c r="DG319" i="15"/>
  <c r="DH319" i="15"/>
  <c r="DI319" i="15"/>
  <c r="DJ319" i="15"/>
  <c r="DK319" i="15"/>
  <c r="DL319" i="15"/>
  <c r="DM319" i="15"/>
  <c r="DN319" i="15"/>
  <c r="DO319" i="15"/>
  <c r="DP319" i="15"/>
  <c r="DQ319" i="15"/>
  <c r="DR319" i="15"/>
  <c r="DS319" i="15"/>
  <c r="DT319" i="15"/>
  <c r="DU319" i="15"/>
  <c r="DV319" i="15"/>
  <c r="DW319" i="15"/>
  <c r="DX319" i="15"/>
  <c r="DY319" i="15"/>
  <c r="DZ319" i="15"/>
  <c r="EA319" i="15"/>
  <c r="EB319" i="15"/>
  <c r="EC319" i="15"/>
  <c r="ED319" i="15"/>
  <c r="EE319" i="15"/>
  <c r="EF319" i="15"/>
  <c r="EG319" i="15"/>
  <c r="EH319" i="15"/>
  <c r="EI319" i="15"/>
  <c r="EJ319" i="15"/>
  <c r="EK319" i="15"/>
  <c r="EL319" i="15"/>
  <c r="EM319" i="15"/>
  <c r="EN319" i="15"/>
  <c r="EO319" i="15"/>
  <c r="EP319" i="15"/>
  <c r="EQ319" i="15"/>
  <c r="ER319" i="15"/>
  <c r="ES319" i="15"/>
  <c r="ET319" i="15"/>
  <c r="EU319" i="15"/>
  <c r="EV319" i="15"/>
  <c r="EW319" i="15"/>
  <c r="EX319" i="15"/>
  <c r="EY319" i="15"/>
  <c r="EZ319" i="15"/>
  <c r="FA319" i="15"/>
  <c r="FB319" i="15"/>
  <c r="FC319" i="15"/>
  <c r="FD319" i="15"/>
  <c r="FE319" i="15"/>
  <c r="FF319" i="15"/>
  <c r="FG319" i="15"/>
  <c r="FH319" i="15"/>
  <c r="FI319" i="15"/>
  <c r="FJ319" i="15"/>
  <c r="FK319" i="15"/>
  <c r="FL319" i="15"/>
  <c r="FM319" i="15"/>
  <c r="FN319" i="15"/>
  <c r="FO319" i="15"/>
  <c r="FP319" i="15"/>
  <c r="FQ319" i="15"/>
  <c r="FR319" i="15"/>
  <c r="FS319" i="15"/>
  <c r="FT319" i="15"/>
  <c r="FU319" i="15"/>
  <c r="FV319" i="15"/>
  <c r="FW319" i="15"/>
  <c r="FX319" i="15"/>
  <c r="FY319" i="15"/>
  <c r="FZ319" i="15"/>
  <c r="GA319" i="15"/>
  <c r="GB319" i="15"/>
  <c r="GC319" i="15"/>
  <c r="GD319" i="15"/>
  <c r="GE319" i="15"/>
  <c r="GF319" i="15"/>
  <c r="GG319" i="15"/>
  <c r="GH319" i="15"/>
  <c r="GI319" i="15"/>
  <c r="GJ319" i="15"/>
  <c r="GK319" i="15"/>
  <c r="GL319" i="15"/>
  <c r="GM319" i="15"/>
  <c r="GN319" i="15"/>
  <c r="GO319" i="15"/>
  <c r="GP319" i="15"/>
  <c r="GQ319" i="15"/>
  <c r="GR319" i="15"/>
  <c r="GS319" i="15"/>
  <c r="GT319" i="15"/>
  <c r="GU319" i="15"/>
  <c r="GV319" i="15"/>
  <c r="GW319" i="15"/>
  <c r="GX319" i="15"/>
  <c r="GY319" i="15"/>
  <c r="GZ319" i="15"/>
  <c r="HA319" i="15"/>
  <c r="HB319" i="15"/>
  <c r="HC319" i="15"/>
  <c r="HD319" i="15"/>
  <c r="HE319" i="15"/>
  <c r="HF319" i="15"/>
  <c r="HG319" i="15"/>
  <c r="HH319" i="15"/>
  <c r="HI319" i="15"/>
  <c r="HJ319" i="15"/>
  <c r="HK319" i="15"/>
  <c r="HL319" i="15"/>
  <c r="HM319" i="15"/>
  <c r="HN319" i="15"/>
  <c r="HO319" i="15"/>
  <c r="HP319" i="15"/>
  <c r="HQ319" i="15"/>
  <c r="HR319" i="15"/>
  <c r="HS319" i="15"/>
  <c r="HT319" i="15"/>
  <c r="HU319" i="15"/>
  <c r="HV319" i="15"/>
  <c r="HW319" i="15"/>
  <c r="HX319" i="15"/>
  <c r="HY319" i="15"/>
  <c r="HZ319" i="15"/>
  <c r="IA319" i="15"/>
  <c r="IB319" i="15"/>
  <c r="IC319" i="15"/>
  <c r="ID319" i="15"/>
  <c r="IE319" i="15"/>
  <c r="IF319" i="15"/>
  <c r="IG319" i="15"/>
  <c r="IH319" i="15"/>
  <c r="II319" i="15"/>
  <c r="IJ319" i="15"/>
  <c r="IK319" i="15"/>
  <c r="IL319" i="15"/>
  <c r="IM319" i="15"/>
  <c r="IN319" i="15"/>
  <c r="IO319" i="15"/>
  <c r="IP319" i="15"/>
  <c r="IQ319" i="15"/>
  <c r="IR319" i="15"/>
  <c r="IS319" i="15"/>
  <c r="IT319" i="15"/>
  <c r="IU319" i="15"/>
  <c r="IV319" i="15"/>
  <c r="IW319" i="15"/>
  <c r="IX319" i="15"/>
  <c r="IY319" i="15"/>
  <c r="IZ319" i="15"/>
  <c r="JA319" i="15"/>
  <c r="JB319" i="15"/>
  <c r="JC319" i="15"/>
  <c r="JD319" i="15"/>
  <c r="JE319" i="15"/>
  <c r="JF319" i="15"/>
  <c r="JG319" i="15"/>
  <c r="JH319" i="15"/>
  <c r="JI319" i="15"/>
  <c r="JJ319" i="15"/>
  <c r="A320" i="15"/>
  <c r="B320" i="15"/>
  <c r="C320" i="15"/>
  <c r="D320" i="15"/>
  <c r="E320" i="15"/>
  <c r="F320" i="15"/>
  <c r="G320" i="15"/>
  <c r="H320" i="15"/>
  <c r="I320" i="15"/>
  <c r="J320" i="15"/>
  <c r="K320" i="15"/>
  <c r="L320" i="15"/>
  <c r="M320" i="15"/>
  <c r="N320" i="15"/>
  <c r="O320" i="15"/>
  <c r="P320" i="15"/>
  <c r="Q320" i="15"/>
  <c r="R320" i="15"/>
  <c r="S320" i="15"/>
  <c r="T320" i="15"/>
  <c r="U320" i="15"/>
  <c r="V320" i="15"/>
  <c r="W320" i="15"/>
  <c r="X320" i="15"/>
  <c r="Y320" i="15"/>
  <c r="Z320" i="15"/>
  <c r="AA320" i="15"/>
  <c r="AB320" i="15"/>
  <c r="AC320" i="15"/>
  <c r="AD320" i="15"/>
  <c r="AE320" i="15"/>
  <c r="AF320" i="15"/>
  <c r="AG320" i="15"/>
  <c r="AH320" i="15"/>
  <c r="AI320" i="15"/>
  <c r="AJ320" i="15"/>
  <c r="AK320" i="15"/>
  <c r="AL320" i="15"/>
  <c r="AM320" i="15"/>
  <c r="AN320" i="15"/>
  <c r="AO320" i="15"/>
  <c r="AP320" i="15"/>
  <c r="AQ320" i="15"/>
  <c r="AR320" i="15"/>
  <c r="AS320" i="15"/>
  <c r="AT320" i="15"/>
  <c r="AU320" i="15"/>
  <c r="AV320" i="15"/>
  <c r="AW320" i="15"/>
  <c r="AX320" i="15"/>
  <c r="AY320" i="15"/>
  <c r="AZ320" i="15"/>
  <c r="BA320" i="15"/>
  <c r="BB320" i="15"/>
  <c r="BC320" i="15"/>
  <c r="BD320" i="15"/>
  <c r="BE320" i="15"/>
  <c r="BF320" i="15"/>
  <c r="BG320" i="15"/>
  <c r="BH320" i="15"/>
  <c r="BI320" i="15"/>
  <c r="BJ320" i="15"/>
  <c r="BK320" i="15"/>
  <c r="BL320" i="15"/>
  <c r="BM320" i="15"/>
  <c r="BN320" i="15"/>
  <c r="BO320" i="15"/>
  <c r="BP320" i="15"/>
  <c r="BQ320" i="15"/>
  <c r="BR320" i="15"/>
  <c r="BS320" i="15"/>
  <c r="BT320" i="15"/>
  <c r="BU320" i="15"/>
  <c r="BV320" i="15"/>
  <c r="BW320" i="15"/>
  <c r="BX320" i="15"/>
  <c r="BY320" i="15"/>
  <c r="BZ320" i="15"/>
  <c r="CA320" i="15"/>
  <c r="CB320" i="15"/>
  <c r="CC320" i="15"/>
  <c r="CD320" i="15"/>
  <c r="CE320" i="15"/>
  <c r="CF320" i="15"/>
  <c r="CG320" i="15"/>
  <c r="CH320" i="15"/>
  <c r="CI320" i="15"/>
  <c r="CJ320" i="15"/>
  <c r="CK320" i="15"/>
  <c r="CL320" i="15"/>
  <c r="CM320" i="15"/>
  <c r="CN320" i="15"/>
  <c r="CO320" i="15"/>
  <c r="CP320" i="15"/>
  <c r="CQ320" i="15"/>
  <c r="CR320" i="15"/>
  <c r="CS320" i="15"/>
  <c r="CT320" i="15"/>
  <c r="CU320" i="15"/>
  <c r="CV320" i="15"/>
  <c r="CW320" i="15"/>
  <c r="CX320" i="15"/>
  <c r="CY320" i="15"/>
  <c r="CZ320" i="15"/>
  <c r="DA320" i="15"/>
  <c r="DB320" i="15"/>
  <c r="DC320" i="15"/>
  <c r="DD320" i="15"/>
  <c r="DE320" i="15"/>
  <c r="DF320" i="15"/>
  <c r="DG320" i="15"/>
  <c r="DH320" i="15"/>
  <c r="DI320" i="15"/>
  <c r="DJ320" i="15"/>
  <c r="DK320" i="15"/>
  <c r="DL320" i="15"/>
  <c r="DM320" i="15"/>
  <c r="DN320" i="15"/>
  <c r="DO320" i="15"/>
  <c r="DP320" i="15"/>
  <c r="DQ320" i="15"/>
  <c r="DR320" i="15"/>
  <c r="DS320" i="15"/>
  <c r="DT320" i="15"/>
  <c r="DU320" i="15"/>
  <c r="DV320" i="15"/>
  <c r="DW320" i="15"/>
  <c r="DX320" i="15"/>
  <c r="DY320" i="15"/>
  <c r="DZ320" i="15"/>
  <c r="EA320" i="15"/>
  <c r="EB320" i="15"/>
  <c r="EC320" i="15"/>
  <c r="ED320" i="15"/>
  <c r="EE320" i="15"/>
  <c r="EF320" i="15"/>
  <c r="EG320" i="15"/>
  <c r="EH320" i="15"/>
  <c r="EI320" i="15"/>
  <c r="EJ320" i="15"/>
  <c r="EK320" i="15"/>
  <c r="EL320" i="15"/>
  <c r="EM320" i="15"/>
  <c r="EN320" i="15"/>
  <c r="EO320" i="15"/>
  <c r="EP320" i="15"/>
  <c r="EQ320" i="15"/>
  <c r="ER320" i="15"/>
  <c r="ES320" i="15"/>
  <c r="ET320" i="15"/>
  <c r="EU320" i="15"/>
  <c r="EV320" i="15"/>
  <c r="EW320" i="15"/>
  <c r="EX320" i="15"/>
  <c r="EY320" i="15"/>
  <c r="EZ320" i="15"/>
  <c r="FA320" i="15"/>
  <c r="FB320" i="15"/>
  <c r="FC320" i="15"/>
  <c r="FD320" i="15"/>
  <c r="FE320" i="15"/>
  <c r="FF320" i="15"/>
  <c r="FG320" i="15"/>
  <c r="FH320" i="15"/>
  <c r="FI320" i="15"/>
  <c r="FJ320" i="15"/>
  <c r="FK320" i="15"/>
  <c r="FL320" i="15"/>
  <c r="FM320" i="15"/>
  <c r="FN320" i="15"/>
  <c r="FO320" i="15"/>
  <c r="FP320" i="15"/>
  <c r="FQ320" i="15"/>
  <c r="FR320" i="15"/>
  <c r="FS320" i="15"/>
  <c r="FT320" i="15"/>
  <c r="FU320" i="15"/>
  <c r="FV320" i="15"/>
  <c r="FW320" i="15"/>
  <c r="FX320" i="15"/>
  <c r="FY320" i="15"/>
  <c r="FZ320" i="15"/>
  <c r="GA320" i="15"/>
  <c r="GB320" i="15"/>
  <c r="GC320" i="15"/>
  <c r="GD320" i="15"/>
  <c r="GE320" i="15"/>
  <c r="GF320" i="15"/>
  <c r="GG320" i="15"/>
  <c r="GH320" i="15"/>
  <c r="GI320" i="15"/>
  <c r="GJ320" i="15"/>
  <c r="GK320" i="15"/>
  <c r="GL320" i="15"/>
  <c r="GM320" i="15"/>
  <c r="GN320" i="15"/>
  <c r="GO320" i="15"/>
  <c r="GP320" i="15"/>
  <c r="GQ320" i="15"/>
  <c r="GR320" i="15"/>
  <c r="GS320" i="15"/>
  <c r="GT320" i="15"/>
  <c r="GU320" i="15"/>
  <c r="GV320" i="15"/>
  <c r="GW320" i="15"/>
  <c r="GX320" i="15"/>
  <c r="GY320" i="15"/>
  <c r="GZ320" i="15"/>
  <c r="HA320" i="15"/>
  <c r="HB320" i="15"/>
  <c r="HC320" i="15"/>
  <c r="HD320" i="15"/>
  <c r="HE320" i="15"/>
  <c r="HF320" i="15"/>
  <c r="HG320" i="15"/>
  <c r="HH320" i="15"/>
  <c r="HI320" i="15"/>
  <c r="HJ320" i="15"/>
  <c r="HK320" i="15"/>
  <c r="HL320" i="15"/>
  <c r="HM320" i="15"/>
  <c r="HN320" i="15"/>
  <c r="HO320" i="15"/>
  <c r="HP320" i="15"/>
  <c r="HQ320" i="15"/>
  <c r="HR320" i="15"/>
  <c r="HS320" i="15"/>
  <c r="HT320" i="15"/>
  <c r="HU320" i="15"/>
  <c r="HV320" i="15"/>
  <c r="HW320" i="15"/>
  <c r="HX320" i="15"/>
  <c r="HY320" i="15"/>
  <c r="HZ320" i="15"/>
  <c r="IA320" i="15"/>
  <c r="IB320" i="15"/>
  <c r="IC320" i="15"/>
  <c r="ID320" i="15"/>
  <c r="IE320" i="15"/>
  <c r="IF320" i="15"/>
  <c r="IG320" i="15"/>
  <c r="IH320" i="15"/>
  <c r="II320" i="15"/>
  <c r="IJ320" i="15"/>
  <c r="IK320" i="15"/>
  <c r="IL320" i="15"/>
  <c r="IM320" i="15"/>
  <c r="IN320" i="15"/>
  <c r="IO320" i="15"/>
  <c r="IP320" i="15"/>
  <c r="IQ320" i="15"/>
  <c r="IR320" i="15"/>
  <c r="IS320" i="15"/>
  <c r="IT320" i="15"/>
  <c r="IU320" i="15"/>
  <c r="IV320" i="15"/>
  <c r="IW320" i="15"/>
  <c r="IX320" i="15"/>
  <c r="IY320" i="15"/>
  <c r="IZ320" i="15"/>
  <c r="JA320" i="15"/>
  <c r="JB320" i="15"/>
  <c r="JC320" i="15"/>
  <c r="JD320" i="15"/>
  <c r="JE320" i="15"/>
  <c r="JF320" i="15"/>
  <c r="JG320" i="15"/>
  <c r="JH320" i="15"/>
  <c r="JI320" i="15"/>
  <c r="JJ320" i="15"/>
  <c r="A321" i="15"/>
  <c r="B321" i="15"/>
  <c r="C321" i="15"/>
  <c r="D321" i="15"/>
  <c r="E321" i="15"/>
  <c r="F321" i="15"/>
  <c r="G321" i="15"/>
  <c r="H321" i="15"/>
  <c r="I321" i="15"/>
  <c r="J321" i="15"/>
  <c r="K321" i="15"/>
  <c r="L321" i="15"/>
  <c r="M321" i="15"/>
  <c r="N321" i="15"/>
  <c r="O321" i="15"/>
  <c r="P321" i="15"/>
  <c r="Q321" i="15"/>
  <c r="R321" i="15"/>
  <c r="S321" i="15"/>
  <c r="T321" i="15"/>
  <c r="U321" i="15"/>
  <c r="V321" i="15"/>
  <c r="W321" i="15"/>
  <c r="X321" i="15"/>
  <c r="Y321" i="15"/>
  <c r="Z321" i="15"/>
  <c r="AA321" i="15"/>
  <c r="AB321" i="15"/>
  <c r="AC321" i="15"/>
  <c r="AD321" i="15"/>
  <c r="AE321" i="15"/>
  <c r="AF321" i="15"/>
  <c r="AG321" i="15"/>
  <c r="AH321" i="15"/>
  <c r="AI321" i="15"/>
  <c r="AJ321" i="15"/>
  <c r="AK321" i="15"/>
  <c r="AL321" i="15"/>
  <c r="AM321" i="15"/>
  <c r="AN321" i="15"/>
  <c r="AO321" i="15"/>
  <c r="AP321" i="15"/>
  <c r="AQ321" i="15"/>
  <c r="AR321" i="15"/>
  <c r="AS321" i="15"/>
  <c r="AT321" i="15"/>
  <c r="AU321" i="15"/>
  <c r="AV321" i="15"/>
  <c r="AW321" i="15"/>
  <c r="AX321" i="15"/>
  <c r="AY321" i="15"/>
  <c r="AZ321" i="15"/>
  <c r="BA321" i="15"/>
  <c r="BB321" i="15"/>
  <c r="BC321" i="15"/>
  <c r="BD321" i="15"/>
  <c r="BE321" i="15"/>
  <c r="BF321" i="15"/>
  <c r="BG321" i="15"/>
  <c r="BH321" i="15"/>
  <c r="BI321" i="15"/>
  <c r="BJ321" i="15"/>
  <c r="BK321" i="15"/>
  <c r="BL321" i="15"/>
  <c r="BM321" i="15"/>
  <c r="BN321" i="15"/>
  <c r="BO321" i="15"/>
  <c r="BP321" i="15"/>
  <c r="BQ321" i="15"/>
  <c r="BR321" i="15"/>
  <c r="BS321" i="15"/>
  <c r="BT321" i="15"/>
  <c r="BU321" i="15"/>
  <c r="BV321" i="15"/>
  <c r="BW321" i="15"/>
  <c r="BX321" i="15"/>
  <c r="BY321" i="15"/>
  <c r="BZ321" i="15"/>
  <c r="CA321" i="15"/>
  <c r="CB321" i="15"/>
  <c r="CC321" i="15"/>
  <c r="CD321" i="15"/>
  <c r="CE321" i="15"/>
  <c r="CF321" i="15"/>
  <c r="CG321" i="15"/>
  <c r="CH321" i="15"/>
  <c r="CI321" i="15"/>
  <c r="CJ321" i="15"/>
  <c r="CK321" i="15"/>
  <c r="CL321" i="15"/>
  <c r="CM321" i="15"/>
  <c r="CN321" i="15"/>
  <c r="CO321" i="15"/>
  <c r="CP321" i="15"/>
  <c r="CQ321" i="15"/>
  <c r="CR321" i="15"/>
  <c r="CS321" i="15"/>
  <c r="CT321" i="15"/>
  <c r="CU321" i="15"/>
  <c r="CV321" i="15"/>
  <c r="CW321" i="15"/>
  <c r="CX321" i="15"/>
  <c r="CY321" i="15"/>
  <c r="CZ321" i="15"/>
  <c r="DA321" i="15"/>
  <c r="DB321" i="15"/>
  <c r="DC321" i="15"/>
  <c r="DD321" i="15"/>
  <c r="DE321" i="15"/>
  <c r="DF321" i="15"/>
  <c r="DG321" i="15"/>
  <c r="DH321" i="15"/>
  <c r="DI321" i="15"/>
  <c r="DJ321" i="15"/>
  <c r="DK321" i="15"/>
  <c r="DL321" i="15"/>
  <c r="DM321" i="15"/>
  <c r="DN321" i="15"/>
  <c r="DO321" i="15"/>
  <c r="DP321" i="15"/>
  <c r="DQ321" i="15"/>
  <c r="DR321" i="15"/>
  <c r="DS321" i="15"/>
  <c r="DT321" i="15"/>
  <c r="DU321" i="15"/>
  <c r="DV321" i="15"/>
  <c r="DW321" i="15"/>
  <c r="DX321" i="15"/>
  <c r="DY321" i="15"/>
  <c r="DZ321" i="15"/>
  <c r="EA321" i="15"/>
  <c r="EB321" i="15"/>
  <c r="EC321" i="15"/>
  <c r="ED321" i="15"/>
  <c r="EE321" i="15"/>
  <c r="EF321" i="15"/>
  <c r="EG321" i="15"/>
  <c r="EH321" i="15"/>
  <c r="EI321" i="15"/>
  <c r="EJ321" i="15"/>
  <c r="EK321" i="15"/>
  <c r="EL321" i="15"/>
  <c r="EM321" i="15"/>
  <c r="EN321" i="15"/>
  <c r="EO321" i="15"/>
  <c r="EP321" i="15"/>
  <c r="EQ321" i="15"/>
  <c r="ER321" i="15"/>
  <c r="ES321" i="15"/>
  <c r="ET321" i="15"/>
  <c r="EU321" i="15"/>
  <c r="EV321" i="15"/>
  <c r="EW321" i="15"/>
  <c r="EX321" i="15"/>
  <c r="EY321" i="15"/>
  <c r="EZ321" i="15"/>
  <c r="FA321" i="15"/>
  <c r="FB321" i="15"/>
  <c r="FC321" i="15"/>
  <c r="FD321" i="15"/>
  <c r="FE321" i="15"/>
  <c r="FF321" i="15"/>
  <c r="FG321" i="15"/>
  <c r="FH321" i="15"/>
  <c r="FI321" i="15"/>
  <c r="FJ321" i="15"/>
  <c r="FK321" i="15"/>
  <c r="FL321" i="15"/>
  <c r="FM321" i="15"/>
  <c r="FN321" i="15"/>
  <c r="FO321" i="15"/>
  <c r="FP321" i="15"/>
  <c r="FQ321" i="15"/>
  <c r="FR321" i="15"/>
  <c r="FS321" i="15"/>
  <c r="FT321" i="15"/>
  <c r="FU321" i="15"/>
  <c r="FV321" i="15"/>
  <c r="FW321" i="15"/>
  <c r="FX321" i="15"/>
  <c r="FY321" i="15"/>
  <c r="FZ321" i="15"/>
  <c r="GA321" i="15"/>
  <c r="GB321" i="15"/>
  <c r="GC321" i="15"/>
  <c r="GD321" i="15"/>
  <c r="GE321" i="15"/>
  <c r="GF321" i="15"/>
  <c r="GG321" i="15"/>
  <c r="GH321" i="15"/>
  <c r="GI321" i="15"/>
  <c r="GJ321" i="15"/>
  <c r="GK321" i="15"/>
  <c r="GL321" i="15"/>
  <c r="GM321" i="15"/>
  <c r="GN321" i="15"/>
  <c r="GO321" i="15"/>
  <c r="GP321" i="15"/>
  <c r="GQ321" i="15"/>
  <c r="GR321" i="15"/>
  <c r="GS321" i="15"/>
  <c r="GT321" i="15"/>
  <c r="GU321" i="15"/>
  <c r="GV321" i="15"/>
  <c r="GW321" i="15"/>
  <c r="GX321" i="15"/>
  <c r="GY321" i="15"/>
  <c r="GZ321" i="15"/>
  <c r="HA321" i="15"/>
  <c r="HB321" i="15"/>
  <c r="HC321" i="15"/>
  <c r="HD321" i="15"/>
  <c r="HE321" i="15"/>
  <c r="HF321" i="15"/>
  <c r="HG321" i="15"/>
  <c r="HH321" i="15"/>
  <c r="HI321" i="15"/>
  <c r="HJ321" i="15"/>
  <c r="HK321" i="15"/>
  <c r="HL321" i="15"/>
  <c r="HM321" i="15"/>
  <c r="HN321" i="15"/>
  <c r="HO321" i="15"/>
  <c r="HP321" i="15"/>
  <c r="HQ321" i="15"/>
  <c r="HR321" i="15"/>
  <c r="HS321" i="15"/>
  <c r="HT321" i="15"/>
  <c r="HU321" i="15"/>
  <c r="HV321" i="15"/>
  <c r="HW321" i="15"/>
  <c r="HX321" i="15"/>
  <c r="HY321" i="15"/>
  <c r="HZ321" i="15"/>
  <c r="IA321" i="15"/>
  <c r="IB321" i="15"/>
  <c r="IC321" i="15"/>
  <c r="ID321" i="15"/>
  <c r="IE321" i="15"/>
  <c r="IF321" i="15"/>
  <c r="IG321" i="15"/>
  <c r="IH321" i="15"/>
  <c r="II321" i="15"/>
  <c r="IJ321" i="15"/>
  <c r="IK321" i="15"/>
  <c r="IL321" i="15"/>
  <c r="IM321" i="15"/>
  <c r="IN321" i="15"/>
  <c r="IO321" i="15"/>
  <c r="IP321" i="15"/>
  <c r="IQ321" i="15"/>
  <c r="IR321" i="15"/>
  <c r="IS321" i="15"/>
  <c r="IT321" i="15"/>
  <c r="IU321" i="15"/>
  <c r="IV321" i="15"/>
  <c r="IW321" i="15"/>
  <c r="IX321" i="15"/>
  <c r="IY321" i="15"/>
  <c r="IZ321" i="15"/>
  <c r="JA321" i="15"/>
  <c r="JB321" i="15"/>
  <c r="JC321" i="15"/>
  <c r="JD321" i="15"/>
  <c r="JE321" i="15"/>
  <c r="JF321" i="15"/>
  <c r="JG321" i="15"/>
  <c r="JH321" i="15"/>
  <c r="JI321" i="15"/>
  <c r="JJ321" i="15"/>
  <c r="A322" i="15"/>
  <c r="B322" i="15"/>
  <c r="C322" i="15"/>
  <c r="D322" i="15"/>
  <c r="E322" i="15"/>
  <c r="F322" i="15"/>
  <c r="G322" i="15"/>
  <c r="H322" i="15"/>
  <c r="I322" i="15"/>
  <c r="J322" i="15"/>
  <c r="K322" i="15"/>
  <c r="L322" i="15"/>
  <c r="M322" i="15"/>
  <c r="N322" i="15"/>
  <c r="O322" i="15"/>
  <c r="P322" i="15"/>
  <c r="Q322" i="15"/>
  <c r="R322" i="15"/>
  <c r="S322" i="15"/>
  <c r="T322" i="15"/>
  <c r="U322" i="15"/>
  <c r="V322" i="15"/>
  <c r="W322" i="15"/>
  <c r="X322" i="15"/>
  <c r="Y322" i="15"/>
  <c r="Z322" i="15"/>
  <c r="AA322" i="15"/>
  <c r="AB322" i="15"/>
  <c r="AC322" i="15"/>
  <c r="AD322" i="15"/>
  <c r="AE322" i="15"/>
  <c r="AF322" i="15"/>
  <c r="AG322" i="15"/>
  <c r="AH322" i="15"/>
  <c r="AI322" i="15"/>
  <c r="AJ322" i="15"/>
  <c r="AK322" i="15"/>
  <c r="AL322" i="15"/>
  <c r="AM322" i="15"/>
  <c r="AN322" i="15"/>
  <c r="AO322" i="15"/>
  <c r="AP322" i="15"/>
  <c r="AQ322" i="15"/>
  <c r="AR322" i="15"/>
  <c r="AS322" i="15"/>
  <c r="AT322" i="15"/>
  <c r="AU322" i="15"/>
  <c r="AV322" i="15"/>
  <c r="AW322" i="15"/>
  <c r="AX322" i="15"/>
  <c r="AY322" i="15"/>
  <c r="AZ322" i="15"/>
  <c r="BA322" i="15"/>
  <c r="BB322" i="15"/>
  <c r="BC322" i="15"/>
  <c r="BD322" i="15"/>
  <c r="BE322" i="15"/>
  <c r="BF322" i="15"/>
  <c r="BG322" i="15"/>
  <c r="BH322" i="15"/>
  <c r="BI322" i="15"/>
  <c r="BJ322" i="15"/>
  <c r="BK322" i="15"/>
  <c r="BL322" i="15"/>
  <c r="BM322" i="15"/>
  <c r="BN322" i="15"/>
  <c r="BO322" i="15"/>
  <c r="BP322" i="15"/>
  <c r="BQ322" i="15"/>
  <c r="BR322" i="15"/>
  <c r="BS322" i="15"/>
  <c r="BT322" i="15"/>
  <c r="BU322" i="15"/>
  <c r="BV322" i="15"/>
  <c r="BW322" i="15"/>
  <c r="BX322" i="15"/>
  <c r="BY322" i="15"/>
  <c r="BZ322" i="15"/>
  <c r="CA322" i="15"/>
  <c r="CB322" i="15"/>
  <c r="CC322" i="15"/>
  <c r="CD322" i="15"/>
  <c r="CE322" i="15"/>
  <c r="CF322" i="15"/>
  <c r="CG322" i="15"/>
  <c r="CH322" i="15"/>
  <c r="CI322" i="15"/>
  <c r="CJ322" i="15"/>
  <c r="CK322" i="15"/>
  <c r="CL322" i="15"/>
  <c r="CM322" i="15"/>
  <c r="CN322" i="15"/>
  <c r="CO322" i="15"/>
  <c r="CP322" i="15"/>
  <c r="CQ322" i="15"/>
  <c r="CR322" i="15"/>
  <c r="CS322" i="15"/>
  <c r="CT322" i="15"/>
  <c r="CU322" i="15"/>
  <c r="CV322" i="15"/>
  <c r="CW322" i="15"/>
  <c r="CX322" i="15"/>
  <c r="CY322" i="15"/>
  <c r="CZ322" i="15"/>
  <c r="DA322" i="15"/>
  <c r="DB322" i="15"/>
  <c r="DC322" i="15"/>
  <c r="DD322" i="15"/>
  <c r="DE322" i="15"/>
  <c r="DF322" i="15"/>
  <c r="DG322" i="15"/>
  <c r="DH322" i="15"/>
  <c r="DI322" i="15"/>
  <c r="DJ322" i="15"/>
  <c r="DK322" i="15"/>
  <c r="DL322" i="15"/>
  <c r="DM322" i="15"/>
  <c r="DN322" i="15"/>
  <c r="DO322" i="15"/>
  <c r="DP322" i="15"/>
  <c r="DQ322" i="15"/>
  <c r="DR322" i="15"/>
  <c r="DS322" i="15"/>
  <c r="DT322" i="15"/>
  <c r="DU322" i="15"/>
  <c r="DV322" i="15"/>
  <c r="DW322" i="15"/>
  <c r="DX322" i="15"/>
  <c r="DY322" i="15"/>
  <c r="DZ322" i="15"/>
  <c r="EA322" i="15"/>
  <c r="EB322" i="15"/>
  <c r="EC322" i="15"/>
  <c r="ED322" i="15"/>
  <c r="EE322" i="15"/>
  <c r="EF322" i="15"/>
  <c r="EG322" i="15"/>
  <c r="EH322" i="15"/>
  <c r="EI322" i="15"/>
  <c r="EJ322" i="15"/>
  <c r="EK322" i="15"/>
  <c r="EL322" i="15"/>
  <c r="EM322" i="15"/>
  <c r="EN322" i="15"/>
  <c r="EO322" i="15"/>
  <c r="EP322" i="15"/>
  <c r="EQ322" i="15"/>
  <c r="ER322" i="15"/>
  <c r="ES322" i="15"/>
  <c r="ET322" i="15"/>
  <c r="EU322" i="15"/>
  <c r="EV322" i="15"/>
  <c r="EW322" i="15"/>
  <c r="EX322" i="15"/>
  <c r="EY322" i="15"/>
  <c r="EZ322" i="15"/>
  <c r="FA322" i="15"/>
  <c r="FB322" i="15"/>
  <c r="FC322" i="15"/>
  <c r="FD322" i="15"/>
  <c r="FE322" i="15"/>
  <c r="FF322" i="15"/>
  <c r="FG322" i="15"/>
  <c r="FH322" i="15"/>
  <c r="FI322" i="15"/>
  <c r="FJ322" i="15"/>
  <c r="FK322" i="15"/>
  <c r="FL322" i="15"/>
  <c r="FM322" i="15"/>
  <c r="FN322" i="15"/>
  <c r="FO322" i="15"/>
  <c r="FP322" i="15"/>
  <c r="FQ322" i="15"/>
  <c r="FR322" i="15"/>
  <c r="FS322" i="15"/>
  <c r="FT322" i="15"/>
  <c r="FU322" i="15"/>
  <c r="FV322" i="15"/>
  <c r="FW322" i="15"/>
  <c r="FX322" i="15"/>
  <c r="FY322" i="15"/>
  <c r="FZ322" i="15"/>
  <c r="GA322" i="15"/>
  <c r="GB322" i="15"/>
  <c r="GC322" i="15"/>
  <c r="GD322" i="15"/>
  <c r="GE322" i="15"/>
  <c r="GF322" i="15"/>
  <c r="GG322" i="15"/>
  <c r="GH322" i="15"/>
  <c r="GI322" i="15"/>
  <c r="GJ322" i="15"/>
  <c r="GK322" i="15"/>
  <c r="GL322" i="15"/>
  <c r="GM322" i="15"/>
  <c r="GN322" i="15"/>
  <c r="GO322" i="15"/>
  <c r="GP322" i="15"/>
  <c r="GQ322" i="15"/>
  <c r="GR322" i="15"/>
  <c r="GS322" i="15"/>
  <c r="GT322" i="15"/>
  <c r="GU322" i="15"/>
  <c r="GV322" i="15"/>
  <c r="GW322" i="15"/>
  <c r="GX322" i="15"/>
  <c r="GY322" i="15"/>
  <c r="GZ322" i="15"/>
  <c r="HA322" i="15"/>
  <c r="HB322" i="15"/>
  <c r="HC322" i="15"/>
  <c r="HD322" i="15"/>
  <c r="HE322" i="15"/>
  <c r="HF322" i="15"/>
  <c r="HG322" i="15"/>
  <c r="HH322" i="15"/>
  <c r="HI322" i="15"/>
  <c r="HJ322" i="15"/>
  <c r="HK322" i="15"/>
  <c r="HL322" i="15"/>
  <c r="HM322" i="15"/>
  <c r="HN322" i="15"/>
  <c r="HO322" i="15"/>
  <c r="HP322" i="15"/>
  <c r="HQ322" i="15"/>
  <c r="HR322" i="15"/>
  <c r="HS322" i="15"/>
  <c r="HT322" i="15"/>
  <c r="HU322" i="15"/>
  <c r="HV322" i="15"/>
  <c r="HW322" i="15"/>
  <c r="HX322" i="15"/>
  <c r="HY322" i="15"/>
  <c r="HZ322" i="15"/>
  <c r="IA322" i="15"/>
  <c r="IB322" i="15"/>
  <c r="IC322" i="15"/>
  <c r="ID322" i="15"/>
  <c r="IE322" i="15"/>
  <c r="IF322" i="15"/>
  <c r="IG322" i="15"/>
  <c r="IH322" i="15"/>
  <c r="II322" i="15"/>
  <c r="IJ322" i="15"/>
  <c r="IK322" i="15"/>
  <c r="IL322" i="15"/>
  <c r="IM322" i="15"/>
  <c r="IN322" i="15"/>
  <c r="IO322" i="15"/>
  <c r="IP322" i="15"/>
  <c r="IQ322" i="15"/>
  <c r="IR322" i="15"/>
  <c r="IS322" i="15"/>
  <c r="IT322" i="15"/>
  <c r="IU322" i="15"/>
  <c r="IV322" i="15"/>
  <c r="IW322" i="15"/>
  <c r="IX322" i="15"/>
  <c r="IY322" i="15"/>
  <c r="IZ322" i="15"/>
  <c r="JA322" i="15"/>
  <c r="JB322" i="15"/>
  <c r="JC322" i="15"/>
  <c r="JD322" i="15"/>
  <c r="JE322" i="15"/>
  <c r="JF322" i="15"/>
  <c r="JG322" i="15"/>
  <c r="JH322" i="15"/>
  <c r="JI322" i="15"/>
  <c r="JJ322" i="15"/>
  <c r="A323" i="15"/>
  <c r="B323" i="15"/>
  <c r="C323" i="15"/>
  <c r="D323" i="15"/>
  <c r="E323" i="15"/>
  <c r="F323" i="15"/>
  <c r="G323" i="15"/>
  <c r="H323" i="15"/>
  <c r="I323" i="15"/>
  <c r="J323" i="15"/>
  <c r="K323" i="15"/>
  <c r="L323" i="15"/>
  <c r="M323" i="15"/>
  <c r="N323" i="15"/>
  <c r="O323" i="15"/>
  <c r="P323" i="15"/>
  <c r="Q323" i="15"/>
  <c r="R323" i="15"/>
  <c r="S323" i="15"/>
  <c r="T323" i="15"/>
  <c r="U323" i="15"/>
  <c r="V323" i="15"/>
  <c r="W323" i="15"/>
  <c r="X323" i="15"/>
  <c r="Y323" i="15"/>
  <c r="Z323" i="15"/>
  <c r="AA323" i="15"/>
  <c r="AB323" i="15"/>
  <c r="AC323" i="15"/>
  <c r="AD323" i="15"/>
  <c r="AE323" i="15"/>
  <c r="AF323" i="15"/>
  <c r="AG323" i="15"/>
  <c r="AH323" i="15"/>
  <c r="AI323" i="15"/>
  <c r="AJ323" i="15"/>
  <c r="AK323" i="15"/>
  <c r="AL323" i="15"/>
  <c r="AM323" i="15"/>
  <c r="AN323" i="15"/>
  <c r="AO323" i="15"/>
  <c r="AP323" i="15"/>
  <c r="AQ323" i="15"/>
  <c r="AR323" i="15"/>
  <c r="AS323" i="15"/>
  <c r="AT323" i="15"/>
  <c r="AU323" i="15"/>
  <c r="AV323" i="15"/>
  <c r="AW323" i="15"/>
  <c r="AX323" i="15"/>
  <c r="AY323" i="15"/>
  <c r="AZ323" i="15"/>
  <c r="BA323" i="15"/>
  <c r="BB323" i="15"/>
  <c r="BC323" i="15"/>
  <c r="BD323" i="15"/>
  <c r="BE323" i="15"/>
  <c r="BF323" i="15"/>
  <c r="BG323" i="15"/>
  <c r="BH323" i="15"/>
  <c r="BI323" i="15"/>
  <c r="BJ323" i="15"/>
  <c r="BK323" i="15"/>
  <c r="BL323" i="15"/>
  <c r="BM323" i="15"/>
  <c r="BN323" i="15"/>
  <c r="BO323" i="15"/>
  <c r="BP323" i="15"/>
  <c r="BQ323" i="15"/>
  <c r="BR323" i="15"/>
  <c r="BS323" i="15"/>
  <c r="BT323" i="15"/>
  <c r="BU323" i="15"/>
  <c r="BV323" i="15"/>
  <c r="BW323" i="15"/>
  <c r="BX323" i="15"/>
  <c r="BY323" i="15"/>
  <c r="BZ323" i="15"/>
  <c r="CA323" i="15"/>
  <c r="CB323" i="15"/>
  <c r="CC323" i="15"/>
  <c r="CD323" i="15"/>
  <c r="CE323" i="15"/>
  <c r="CF323" i="15"/>
  <c r="CG323" i="15"/>
  <c r="CH323" i="15"/>
  <c r="CI323" i="15"/>
  <c r="CJ323" i="15"/>
  <c r="CK323" i="15"/>
  <c r="CL323" i="15"/>
  <c r="CM323" i="15"/>
  <c r="CN323" i="15"/>
  <c r="CO323" i="15"/>
  <c r="CP323" i="15"/>
  <c r="CQ323" i="15"/>
  <c r="CR323" i="15"/>
  <c r="CS323" i="15"/>
  <c r="CT323" i="15"/>
  <c r="CU323" i="15"/>
  <c r="CV323" i="15"/>
  <c r="CW323" i="15"/>
  <c r="CX323" i="15"/>
  <c r="CY323" i="15"/>
  <c r="CZ323" i="15"/>
  <c r="DA323" i="15"/>
  <c r="DB323" i="15"/>
  <c r="DC323" i="15"/>
  <c r="DD323" i="15"/>
  <c r="DE323" i="15"/>
  <c r="DF323" i="15"/>
  <c r="DG323" i="15"/>
  <c r="DH323" i="15"/>
  <c r="DI323" i="15"/>
  <c r="DJ323" i="15"/>
  <c r="DK323" i="15"/>
  <c r="DL323" i="15"/>
  <c r="DM323" i="15"/>
  <c r="DN323" i="15"/>
  <c r="DO323" i="15"/>
  <c r="DP323" i="15"/>
  <c r="DQ323" i="15"/>
  <c r="DR323" i="15"/>
  <c r="DS323" i="15"/>
  <c r="DT323" i="15"/>
  <c r="DU323" i="15"/>
  <c r="DV323" i="15"/>
  <c r="DW323" i="15"/>
  <c r="DX323" i="15"/>
  <c r="DY323" i="15"/>
  <c r="DZ323" i="15"/>
  <c r="EA323" i="15"/>
  <c r="EB323" i="15"/>
  <c r="EC323" i="15"/>
  <c r="ED323" i="15"/>
  <c r="EE323" i="15"/>
  <c r="EF323" i="15"/>
  <c r="EG323" i="15"/>
  <c r="EH323" i="15"/>
  <c r="EI323" i="15"/>
  <c r="EJ323" i="15"/>
  <c r="EK323" i="15"/>
  <c r="EL323" i="15"/>
  <c r="EM323" i="15"/>
  <c r="EN323" i="15"/>
  <c r="EO323" i="15"/>
  <c r="EP323" i="15"/>
  <c r="EQ323" i="15"/>
  <c r="ER323" i="15"/>
  <c r="ES323" i="15"/>
  <c r="ET323" i="15"/>
  <c r="EU323" i="15"/>
  <c r="EV323" i="15"/>
  <c r="EW323" i="15"/>
  <c r="EX323" i="15"/>
  <c r="EY323" i="15"/>
  <c r="EZ323" i="15"/>
  <c r="FA323" i="15"/>
  <c r="FB323" i="15"/>
  <c r="FC323" i="15"/>
  <c r="FD323" i="15"/>
  <c r="FE323" i="15"/>
  <c r="FF323" i="15"/>
  <c r="FG323" i="15"/>
  <c r="FH323" i="15"/>
  <c r="FI323" i="15"/>
  <c r="FJ323" i="15"/>
  <c r="FK323" i="15"/>
  <c r="FL323" i="15"/>
  <c r="FM323" i="15"/>
  <c r="FN323" i="15"/>
  <c r="FO323" i="15"/>
  <c r="FP323" i="15"/>
  <c r="FQ323" i="15"/>
  <c r="FR323" i="15"/>
  <c r="FS323" i="15"/>
  <c r="FT323" i="15"/>
  <c r="FU323" i="15"/>
  <c r="FV323" i="15"/>
  <c r="FW323" i="15"/>
  <c r="FX323" i="15"/>
  <c r="FY323" i="15"/>
  <c r="FZ323" i="15"/>
  <c r="GA323" i="15"/>
  <c r="GB323" i="15"/>
  <c r="GC323" i="15"/>
  <c r="GD323" i="15"/>
  <c r="GE323" i="15"/>
  <c r="GF323" i="15"/>
  <c r="GG323" i="15"/>
  <c r="GH323" i="15"/>
  <c r="GI323" i="15"/>
  <c r="GJ323" i="15"/>
  <c r="GK323" i="15"/>
  <c r="GL323" i="15"/>
  <c r="GM323" i="15"/>
  <c r="GN323" i="15"/>
  <c r="GO323" i="15"/>
  <c r="GP323" i="15"/>
  <c r="GQ323" i="15"/>
  <c r="GR323" i="15"/>
  <c r="GS323" i="15"/>
  <c r="GT323" i="15"/>
  <c r="GU323" i="15"/>
  <c r="GV323" i="15"/>
  <c r="GW323" i="15"/>
  <c r="GX323" i="15"/>
  <c r="GY323" i="15"/>
  <c r="GZ323" i="15"/>
  <c r="HA323" i="15"/>
  <c r="HB323" i="15"/>
  <c r="HC323" i="15"/>
  <c r="HD323" i="15"/>
  <c r="HE323" i="15"/>
  <c r="HF323" i="15"/>
  <c r="HG323" i="15"/>
  <c r="HH323" i="15"/>
  <c r="HI323" i="15"/>
  <c r="HJ323" i="15"/>
  <c r="HK323" i="15"/>
  <c r="HL323" i="15"/>
  <c r="HM323" i="15"/>
  <c r="HN323" i="15"/>
  <c r="HO323" i="15"/>
  <c r="HP323" i="15"/>
  <c r="HQ323" i="15"/>
  <c r="HR323" i="15"/>
  <c r="HS323" i="15"/>
  <c r="HT323" i="15"/>
  <c r="HU323" i="15"/>
  <c r="HV323" i="15"/>
  <c r="HW323" i="15"/>
  <c r="HX323" i="15"/>
  <c r="HY323" i="15"/>
  <c r="HZ323" i="15"/>
  <c r="IA323" i="15"/>
  <c r="IB323" i="15"/>
  <c r="IC323" i="15"/>
  <c r="ID323" i="15"/>
  <c r="IE323" i="15"/>
  <c r="IF323" i="15"/>
  <c r="IG323" i="15"/>
  <c r="IH323" i="15"/>
  <c r="II323" i="15"/>
  <c r="IJ323" i="15"/>
  <c r="IK323" i="15"/>
  <c r="IL323" i="15"/>
  <c r="IM323" i="15"/>
  <c r="IN323" i="15"/>
  <c r="IO323" i="15"/>
  <c r="IP323" i="15"/>
  <c r="IQ323" i="15"/>
  <c r="IR323" i="15"/>
  <c r="IS323" i="15"/>
  <c r="IT323" i="15"/>
  <c r="IU323" i="15"/>
  <c r="IV323" i="15"/>
  <c r="IW323" i="15"/>
  <c r="IX323" i="15"/>
  <c r="IY323" i="15"/>
  <c r="IZ323" i="15"/>
  <c r="JA323" i="15"/>
  <c r="JB323" i="15"/>
  <c r="JC323" i="15"/>
  <c r="JD323" i="15"/>
  <c r="JE323" i="15"/>
  <c r="JF323" i="15"/>
  <c r="JG323" i="15"/>
  <c r="JH323" i="15"/>
  <c r="JI323" i="15"/>
  <c r="JJ323" i="15"/>
  <c r="A324" i="15"/>
  <c r="B324" i="15"/>
  <c r="C324" i="15"/>
  <c r="D324" i="15"/>
  <c r="E324" i="15"/>
  <c r="F324" i="15"/>
  <c r="G324" i="15"/>
  <c r="H324" i="15"/>
  <c r="I324" i="15"/>
  <c r="J324" i="15"/>
  <c r="K324" i="15"/>
  <c r="L324" i="15"/>
  <c r="M324" i="15"/>
  <c r="N324" i="15"/>
  <c r="O324" i="15"/>
  <c r="P324" i="15"/>
  <c r="Q324" i="15"/>
  <c r="R324" i="15"/>
  <c r="S324" i="15"/>
  <c r="T324" i="15"/>
  <c r="U324" i="15"/>
  <c r="V324" i="15"/>
  <c r="W324" i="15"/>
  <c r="X324" i="15"/>
  <c r="Y324" i="15"/>
  <c r="Z324" i="15"/>
  <c r="AA324" i="15"/>
  <c r="AB324" i="15"/>
  <c r="AC324" i="15"/>
  <c r="AD324" i="15"/>
  <c r="AE324" i="15"/>
  <c r="AF324" i="15"/>
  <c r="AG324" i="15"/>
  <c r="AH324" i="15"/>
  <c r="AI324" i="15"/>
  <c r="AJ324" i="15"/>
  <c r="AK324" i="15"/>
  <c r="AL324" i="15"/>
  <c r="AM324" i="15"/>
  <c r="AN324" i="15"/>
  <c r="AO324" i="15"/>
  <c r="AP324" i="15"/>
  <c r="AQ324" i="15"/>
  <c r="AR324" i="15"/>
  <c r="AS324" i="15"/>
  <c r="AT324" i="15"/>
  <c r="AU324" i="15"/>
  <c r="AV324" i="15"/>
  <c r="AW324" i="15"/>
  <c r="AX324" i="15"/>
  <c r="AY324" i="15"/>
  <c r="AZ324" i="15"/>
  <c r="BA324" i="15"/>
  <c r="BB324" i="15"/>
  <c r="BC324" i="15"/>
  <c r="BD324" i="15"/>
  <c r="BE324" i="15"/>
  <c r="BF324" i="15"/>
  <c r="BG324" i="15"/>
  <c r="BH324" i="15"/>
  <c r="BI324" i="15"/>
  <c r="BJ324" i="15"/>
  <c r="BK324" i="15"/>
  <c r="BL324" i="15"/>
  <c r="BM324" i="15"/>
  <c r="BN324" i="15"/>
  <c r="BO324" i="15"/>
  <c r="BP324" i="15"/>
  <c r="BQ324" i="15"/>
  <c r="BR324" i="15"/>
  <c r="BS324" i="15"/>
  <c r="BT324" i="15"/>
  <c r="BU324" i="15"/>
  <c r="BV324" i="15"/>
  <c r="BW324" i="15"/>
  <c r="BX324" i="15"/>
  <c r="BY324" i="15"/>
  <c r="BZ324" i="15"/>
  <c r="CA324" i="15"/>
  <c r="CB324" i="15"/>
  <c r="CC324" i="15"/>
  <c r="CD324" i="15"/>
  <c r="CE324" i="15"/>
  <c r="CF324" i="15"/>
  <c r="CG324" i="15"/>
  <c r="CH324" i="15"/>
  <c r="CI324" i="15"/>
  <c r="CJ324" i="15"/>
  <c r="CK324" i="15"/>
  <c r="CL324" i="15"/>
  <c r="CM324" i="15"/>
  <c r="CN324" i="15"/>
  <c r="CO324" i="15"/>
  <c r="CP324" i="15"/>
  <c r="CQ324" i="15"/>
  <c r="CR324" i="15"/>
  <c r="CS324" i="15"/>
  <c r="CT324" i="15"/>
  <c r="CU324" i="15"/>
  <c r="CV324" i="15"/>
  <c r="CW324" i="15"/>
  <c r="CX324" i="15"/>
  <c r="CY324" i="15"/>
  <c r="CZ324" i="15"/>
  <c r="DA324" i="15"/>
  <c r="DB324" i="15"/>
  <c r="DC324" i="15"/>
  <c r="DD324" i="15"/>
  <c r="DE324" i="15"/>
  <c r="DF324" i="15"/>
  <c r="DG324" i="15"/>
  <c r="DH324" i="15"/>
  <c r="DI324" i="15"/>
  <c r="DJ324" i="15"/>
  <c r="DK324" i="15"/>
  <c r="DL324" i="15"/>
  <c r="DM324" i="15"/>
  <c r="DN324" i="15"/>
  <c r="DO324" i="15"/>
  <c r="DP324" i="15"/>
  <c r="DQ324" i="15"/>
  <c r="DR324" i="15"/>
  <c r="DS324" i="15"/>
  <c r="DT324" i="15"/>
  <c r="DU324" i="15"/>
  <c r="DV324" i="15"/>
  <c r="DW324" i="15"/>
  <c r="DX324" i="15"/>
  <c r="DY324" i="15"/>
  <c r="DZ324" i="15"/>
  <c r="EA324" i="15"/>
  <c r="EB324" i="15"/>
  <c r="EC324" i="15"/>
  <c r="ED324" i="15"/>
  <c r="EE324" i="15"/>
  <c r="EF324" i="15"/>
  <c r="EG324" i="15"/>
  <c r="EH324" i="15"/>
  <c r="EI324" i="15"/>
  <c r="EJ324" i="15"/>
  <c r="EK324" i="15"/>
  <c r="EL324" i="15"/>
  <c r="EM324" i="15"/>
  <c r="EN324" i="15"/>
  <c r="EO324" i="15"/>
  <c r="EP324" i="15"/>
  <c r="EQ324" i="15"/>
  <c r="ER324" i="15"/>
  <c r="ES324" i="15"/>
  <c r="ET324" i="15"/>
  <c r="EU324" i="15"/>
  <c r="EV324" i="15"/>
  <c r="EW324" i="15"/>
  <c r="EX324" i="15"/>
  <c r="EY324" i="15"/>
  <c r="EZ324" i="15"/>
  <c r="FA324" i="15"/>
  <c r="FB324" i="15"/>
  <c r="FC324" i="15"/>
  <c r="FD324" i="15"/>
  <c r="FE324" i="15"/>
  <c r="FF324" i="15"/>
  <c r="FG324" i="15"/>
  <c r="FH324" i="15"/>
  <c r="FI324" i="15"/>
  <c r="FJ324" i="15"/>
  <c r="FK324" i="15"/>
  <c r="FL324" i="15"/>
  <c r="FM324" i="15"/>
  <c r="FN324" i="15"/>
  <c r="FO324" i="15"/>
  <c r="FP324" i="15"/>
  <c r="FQ324" i="15"/>
  <c r="FR324" i="15"/>
  <c r="FS324" i="15"/>
  <c r="FT324" i="15"/>
  <c r="FU324" i="15"/>
  <c r="FV324" i="15"/>
  <c r="FW324" i="15"/>
  <c r="FX324" i="15"/>
  <c r="FY324" i="15"/>
  <c r="FZ324" i="15"/>
  <c r="GA324" i="15"/>
  <c r="GB324" i="15"/>
  <c r="GC324" i="15"/>
  <c r="GD324" i="15"/>
  <c r="GE324" i="15"/>
  <c r="GF324" i="15"/>
  <c r="GG324" i="15"/>
  <c r="GH324" i="15"/>
  <c r="GI324" i="15"/>
  <c r="GJ324" i="15"/>
  <c r="GK324" i="15"/>
  <c r="GL324" i="15"/>
  <c r="GM324" i="15"/>
  <c r="GN324" i="15"/>
  <c r="GO324" i="15"/>
  <c r="GP324" i="15"/>
  <c r="GQ324" i="15"/>
  <c r="GR324" i="15"/>
  <c r="GS324" i="15"/>
  <c r="GT324" i="15"/>
  <c r="GU324" i="15"/>
  <c r="GV324" i="15"/>
  <c r="GW324" i="15"/>
  <c r="GX324" i="15"/>
  <c r="GY324" i="15"/>
  <c r="GZ324" i="15"/>
  <c r="HA324" i="15"/>
  <c r="HB324" i="15"/>
  <c r="HC324" i="15"/>
  <c r="HD324" i="15"/>
  <c r="HE324" i="15"/>
  <c r="HF324" i="15"/>
  <c r="HG324" i="15"/>
  <c r="HH324" i="15"/>
  <c r="HI324" i="15"/>
  <c r="HJ324" i="15"/>
  <c r="HK324" i="15"/>
  <c r="HL324" i="15"/>
  <c r="HM324" i="15"/>
  <c r="HN324" i="15"/>
  <c r="HO324" i="15"/>
  <c r="HP324" i="15"/>
  <c r="HQ324" i="15"/>
  <c r="HR324" i="15"/>
  <c r="HS324" i="15"/>
  <c r="HT324" i="15"/>
  <c r="HU324" i="15"/>
  <c r="HV324" i="15"/>
  <c r="HW324" i="15"/>
  <c r="HX324" i="15"/>
  <c r="HY324" i="15"/>
  <c r="HZ324" i="15"/>
  <c r="IA324" i="15"/>
  <c r="IB324" i="15"/>
  <c r="IC324" i="15"/>
  <c r="ID324" i="15"/>
  <c r="IE324" i="15"/>
  <c r="IF324" i="15"/>
  <c r="IG324" i="15"/>
  <c r="IH324" i="15"/>
  <c r="II324" i="15"/>
  <c r="IJ324" i="15"/>
  <c r="IK324" i="15"/>
  <c r="IL324" i="15"/>
  <c r="IM324" i="15"/>
  <c r="IN324" i="15"/>
  <c r="IO324" i="15"/>
  <c r="IP324" i="15"/>
  <c r="IQ324" i="15"/>
  <c r="IR324" i="15"/>
  <c r="IS324" i="15"/>
  <c r="IT324" i="15"/>
  <c r="IU324" i="15"/>
  <c r="IV324" i="15"/>
  <c r="IW324" i="15"/>
  <c r="IX324" i="15"/>
  <c r="IY324" i="15"/>
  <c r="IZ324" i="15"/>
  <c r="JA324" i="15"/>
  <c r="JB324" i="15"/>
  <c r="JC324" i="15"/>
  <c r="JD324" i="15"/>
  <c r="JE324" i="15"/>
  <c r="JF324" i="15"/>
  <c r="JG324" i="15"/>
  <c r="JH324" i="15"/>
  <c r="JI324" i="15"/>
  <c r="JJ324" i="15"/>
  <c r="A325" i="15"/>
  <c r="B325" i="15"/>
  <c r="C325" i="15"/>
  <c r="D325" i="15"/>
  <c r="E325" i="15"/>
  <c r="F325" i="15"/>
  <c r="G325" i="15"/>
  <c r="H325" i="15"/>
  <c r="I325" i="15"/>
  <c r="J325" i="15"/>
  <c r="K325" i="15"/>
  <c r="L325" i="15"/>
  <c r="M325" i="15"/>
  <c r="N325" i="15"/>
  <c r="O325" i="15"/>
  <c r="P325" i="15"/>
  <c r="Q325" i="15"/>
  <c r="R325" i="15"/>
  <c r="S325" i="15"/>
  <c r="T325" i="15"/>
  <c r="U325" i="15"/>
  <c r="V325" i="15"/>
  <c r="W325" i="15"/>
  <c r="X325" i="15"/>
  <c r="Y325" i="15"/>
  <c r="Z325" i="15"/>
  <c r="AA325" i="15"/>
  <c r="AB325" i="15"/>
  <c r="AC325" i="15"/>
  <c r="AD325" i="15"/>
  <c r="AE325" i="15"/>
  <c r="AF325" i="15"/>
  <c r="AG325" i="15"/>
  <c r="AH325" i="15"/>
  <c r="AI325" i="15"/>
  <c r="AJ325" i="15"/>
  <c r="AK325" i="15"/>
  <c r="AL325" i="15"/>
  <c r="AM325" i="15"/>
  <c r="AN325" i="15"/>
  <c r="AO325" i="15"/>
  <c r="AP325" i="15"/>
  <c r="AQ325" i="15"/>
  <c r="AR325" i="15"/>
  <c r="AS325" i="15"/>
  <c r="AT325" i="15"/>
  <c r="AU325" i="15"/>
  <c r="AV325" i="15"/>
  <c r="AW325" i="15"/>
  <c r="AX325" i="15"/>
  <c r="AY325" i="15"/>
  <c r="AZ325" i="15"/>
  <c r="BA325" i="15"/>
  <c r="BB325" i="15"/>
  <c r="BC325" i="15"/>
  <c r="BD325" i="15"/>
  <c r="BE325" i="15"/>
  <c r="BF325" i="15"/>
  <c r="BG325" i="15"/>
  <c r="BH325" i="15"/>
  <c r="BI325" i="15"/>
  <c r="BJ325" i="15"/>
  <c r="BK325" i="15"/>
  <c r="BL325" i="15"/>
  <c r="BM325" i="15"/>
  <c r="BN325" i="15"/>
  <c r="BO325" i="15"/>
  <c r="BP325" i="15"/>
  <c r="BQ325" i="15"/>
  <c r="BR325" i="15"/>
  <c r="BS325" i="15"/>
  <c r="BT325" i="15"/>
  <c r="BU325" i="15"/>
  <c r="BV325" i="15"/>
  <c r="BW325" i="15"/>
  <c r="BX325" i="15"/>
  <c r="BY325" i="15"/>
  <c r="BZ325" i="15"/>
  <c r="CA325" i="15"/>
  <c r="CB325" i="15"/>
  <c r="CC325" i="15"/>
  <c r="CD325" i="15"/>
  <c r="CE325" i="15"/>
  <c r="CF325" i="15"/>
  <c r="CG325" i="15"/>
  <c r="CH325" i="15"/>
  <c r="CI325" i="15"/>
  <c r="CJ325" i="15"/>
  <c r="CK325" i="15"/>
  <c r="CL325" i="15"/>
  <c r="CM325" i="15"/>
  <c r="CN325" i="15"/>
  <c r="CO325" i="15"/>
  <c r="CP325" i="15"/>
  <c r="CQ325" i="15"/>
  <c r="CR325" i="15"/>
  <c r="CS325" i="15"/>
  <c r="CT325" i="15"/>
  <c r="CU325" i="15"/>
  <c r="CV325" i="15"/>
  <c r="CW325" i="15"/>
  <c r="CX325" i="15"/>
  <c r="CY325" i="15"/>
  <c r="CZ325" i="15"/>
  <c r="DA325" i="15"/>
  <c r="DB325" i="15"/>
  <c r="DC325" i="15"/>
  <c r="DD325" i="15"/>
  <c r="DE325" i="15"/>
  <c r="DF325" i="15"/>
  <c r="DG325" i="15"/>
  <c r="DH325" i="15"/>
  <c r="DI325" i="15"/>
  <c r="DJ325" i="15"/>
  <c r="DK325" i="15"/>
  <c r="DL325" i="15"/>
  <c r="DM325" i="15"/>
  <c r="DN325" i="15"/>
  <c r="DO325" i="15"/>
  <c r="DP325" i="15"/>
  <c r="DQ325" i="15"/>
  <c r="DR325" i="15"/>
  <c r="DS325" i="15"/>
  <c r="DT325" i="15"/>
  <c r="DU325" i="15"/>
  <c r="DV325" i="15"/>
  <c r="DW325" i="15"/>
  <c r="DX325" i="15"/>
  <c r="DY325" i="15"/>
  <c r="DZ325" i="15"/>
  <c r="EA325" i="15"/>
  <c r="EB325" i="15"/>
  <c r="EC325" i="15"/>
  <c r="ED325" i="15"/>
  <c r="EE325" i="15"/>
  <c r="EF325" i="15"/>
  <c r="EG325" i="15"/>
  <c r="EH325" i="15"/>
  <c r="EI325" i="15"/>
  <c r="EJ325" i="15"/>
  <c r="EK325" i="15"/>
  <c r="EL325" i="15"/>
  <c r="EM325" i="15"/>
  <c r="EN325" i="15"/>
  <c r="EO325" i="15"/>
  <c r="EP325" i="15"/>
  <c r="EQ325" i="15"/>
  <c r="ER325" i="15"/>
  <c r="ES325" i="15"/>
  <c r="ET325" i="15"/>
  <c r="EU325" i="15"/>
  <c r="EV325" i="15"/>
  <c r="EW325" i="15"/>
  <c r="EX325" i="15"/>
  <c r="EY325" i="15"/>
  <c r="EZ325" i="15"/>
  <c r="FA325" i="15"/>
  <c r="FB325" i="15"/>
  <c r="FC325" i="15"/>
  <c r="FD325" i="15"/>
  <c r="FE325" i="15"/>
  <c r="FF325" i="15"/>
  <c r="FG325" i="15"/>
  <c r="FH325" i="15"/>
  <c r="FI325" i="15"/>
  <c r="FJ325" i="15"/>
  <c r="FK325" i="15"/>
  <c r="FL325" i="15"/>
  <c r="FM325" i="15"/>
  <c r="FN325" i="15"/>
  <c r="FO325" i="15"/>
  <c r="FP325" i="15"/>
  <c r="FQ325" i="15"/>
  <c r="FR325" i="15"/>
  <c r="FS325" i="15"/>
  <c r="FT325" i="15"/>
  <c r="FU325" i="15"/>
  <c r="FV325" i="15"/>
  <c r="FW325" i="15"/>
  <c r="FX325" i="15"/>
  <c r="FY325" i="15"/>
  <c r="FZ325" i="15"/>
  <c r="GA325" i="15"/>
  <c r="GB325" i="15"/>
  <c r="GC325" i="15"/>
  <c r="GD325" i="15"/>
  <c r="GE325" i="15"/>
  <c r="GF325" i="15"/>
  <c r="GG325" i="15"/>
  <c r="GH325" i="15"/>
  <c r="GI325" i="15"/>
  <c r="GJ325" i="15"/>
  <c r="GK325" i="15"/>
  <c r="GL325" i="15"/>
  <c r="GM325" i="15"/>
  <c r="GN325" i="15"/>
  <c r="GO325" i="15"/>
  <c r="GP325" i="15"/>
  <c r="GQ325" i="15"/>
  <c r="GR325" i="15"/>
  <c r="GS325" i="15"/>
  <c r="GT325" i="15"/>
  <c r="GU325" i="15"/>
  <c r="GV325" i="15"/>
  <c r="GW325" i="15"/>
  <c r="GX325" i="15"/>
  <c r="GY325" i="15"/>
  <c r="GZ325" i="15"/>
  <c r="HA325" i="15"/>
  <c r="HB325" i="15"/>
  <c r="HC325" i="15"/>
  <c r="HD325" i="15"/>
  <c r="HE325" i="15"/>
  <c r="HF325" i="15"/>
  <c r="HG325" i="15"/>
  <c r="HH325" i="15"/>
  <c r="HI325" i="15"/>
  <c r="HJ325" i="15"/>
  <c r="HK325" i="15"/>
  <c r="HL325" i="15"/>
  <c r="HM325" i="15"/>
  <c r="HN325" i="15"/>
  <c r="HO325" i="15"/>
  <c r="HP325" i="15"/>
  <c r="HQ325" i="15"/>
  <c r="HR325" i="15"/>
  <c r="HS325" i="15"/>
  <c r="HT325" i="15"/>
  <c r="HU325" i="15"/>
  <c r="HV325" i="15"/>
  <c r="HW325" i="15"/>
  <c r="HX325" i="15"/>
  <c r="HY325" i="15"/>
  <c r="HZ325" i="15"/>
  <c r="IA325" i="15"/>
  <c r="IB325" i="15"/>
  <c r="IC325" i="15"/>
  <c r="ID325" i="15"/>
  <c r="IE325" i="15"/>
  <c r="IF325" i="15"/>
  <c r="IG325" i="15"/>
  <c r="IH325" i="15"/>
  <c r="II325" i="15"/>
  <c r="IJ325" i="15"/>
  <c r="IK325" i="15"/>
  <c r="IL325" i="15"/>
  <c r="IM325" i="15"/>
  <c r="IN325" i="15"/>
  <c r="IO325" i="15"/>
  <c r="IP325" i="15"/>
  <c r="IQ325" i="15"/>
  <c r="IR325" i="15"/>
  <c r="IS325" i="15"/>
  <c r="IT325" i="15"/>
  <c r="IU325" i="15"/>
  <c r="IV325" i="15"/>
  <c r="IW325" i="15"/>
  <c r="IX325" i="15"/>
  <c r="IY325" i="15"/>
  <c r="IZ325" i="15"/>
  <c r="JA325" i="15"/>
  <c r="JB325" i="15"/>
  <c r="JC325" i="15"/>
  <c r="JD325" i="15"/>
  <c r="JE325" i="15"/>
  <c r="JF325" i="15"/>
  <c r="JG325" i="15"/>
  <c r="JH325" i="15"/>
  <c r="JI325" i="15"/>
  <c r="JJ325" i="15"/>
  <c r="A326" i="15"/>
  <c r="B326" i="15"/>
  <c r="C326" i="15"/>
  <c r="D326" i="15"/>
  <c r="E326" i="15"/>
  <c r="F326" i="15"/>
  <c r="G326" i="15"/>
  <c r="H326" i="15"/>
  <c r="I326" i="15"/>
  <c r="J326" i="15"/>
  <c r="K326" i="15"/>
  <c r="L326" i="15"/>
  <c r="M326" i="15"/>
  <c r="N326" i="15"/>
  <c r="O326" i="15"/>
  <c r="P326" i="15"/>
  <c r="Q326" i="15"/>
  <c r="R326" i="15"/>
  <c r="S326" i="15"/>
  <c r="T326" i="15"/>
  <c r="U326" i="15"/>
  <c r="V326" i="15"/>
  <c r="W326" i="15"/>
  <c r="X326" i="15"/>
  <c r="Y326" i="15"/>
  <c r="Z326" i="15"/>
  <c r="AA326" i="15"/>
  <c r="AB326" i="15"/>
  <c r="AC326" i="15"/>
  <c r="AD326" i="15"/>
  <c r="AE326" i="15"/>
  <c r="AF326" i="15"/>
  <c r="AG326" i="15"/>
  <c r="AH326" i="15"/>
  <c r="AI326" i="15"/>
  <c r="AJ326" i="15"/>
  <c r="AK326" i="15"/>
  <c r="AL326" i="15"/>
  <c r="AM326" i="15"/>
  <c r="AN326" i="15"/>
  <c r="AO326" i="15"/>
  <c r="AP326" i="15"/>
  <c r="AQ326" i="15"/>
  <c r="AR326" i="15"/>
  <c r="AS326" i="15"/>
  <c r="AT326" i="15"/>
  <c r="AU326" i="15"/>
  <c r="AV326" i="15"/>
  <c r="AW326" i="15"/>
  <c r="AX326" i="15"/>
  <c r="AY326" i="15"/>
  <c r="AZ326" i="15"/>
  <c r="BA326" i="15"/>
  <c r="BB326" i="15"/>
  <c r="BC326" i="15"/>
  <c r="BD326" i="15"/>
  <c r="BE326" i="15"/>
  <c r="BF326" i="15"/>
  <c r="BG326" i="15"/>
  <c r="BH326" i="15"/>
  <c r="BI326" i="15"/>
  <c r="BJ326" i="15"/>
  <c r="BK326" i="15"/>
  <c r="BL326" i="15"/>
  <c r="BM326" i="15"/>
  <c r="BN326" i="15"/>
  <c r="BO326" i="15"/>
  <c r="BP326" i="15"/>
  <c r="BQ326" i="15"/>
  <c r="BR326" i="15"/>
  <c r="BS326" i="15"/>
  <c r="BT326" i="15"/>
  <c r="BU326" i="15"/>
  <c r="BV326" i="15"/>
  <c r="BW326" i="15"/>
  <c r="BX326" i="15"/>
  <c r="BY326" i="15"/>
  <c r="BZ326" i="15"/>
  <c r="CA326" i="15"/>
  <c r="CB326" i="15"/>
  <c r="CC326" i="15"/>
  <c r="CD326" i="15"/>
  <c r="CE326" i="15"/>
  <c r="CF326" i="15"/>
  <c r="CG326" i="15"/>
  <c r="CH326" i="15"/>
  <c r="CI326" i="15"/>
  <c r="CJ326" i="15"/>
  <c r="CK326" i="15"/>
  <c r="CL326" i="15"/>
  <c r="CM326" i="15"/>
  <c r="CN326" i="15"/>
  <c r="CO326" i="15"/>
  <c r="CP326" i="15"/>
  <c r="CQ326" i="15"/>
  <c r="CR326" i="15"/>
  <c r="CS326" i="15"/>
  <c r="CT326" i="15"/>
  <c r="CU326" i="15"/>
  <c r="CV326" i="15"/>
  <c r="CW326" i="15"/>
  <c r="CX326" i="15"/>
  <c r="CY326" i="15"/>
  <c r="CZ326" i="15"/>
  <c r="DA326" i="15"/>
  <c r="DB326" i="15"/>
  <c r="DC326" i="15"/>
  <c r="DD326" i="15"/>
  <c r="DE326" i="15"/>
  <c r="DF326" i="15"/>
  <c r="DG326" i="15"/>
  <c r="DH326" i="15"/>
  <c r="DI326" i="15"/>
  <c r="DJ326" i="15"/>
  <c r="DK326" i="15"/>
  <c r="DL326" i="15"/>
  <c r="DM326" i="15"/>
  <c r="DN326" i="15"/>
  <c r="DO326" i="15"/>
  <c r="DP326" i="15"/>
  <c r="DQ326" i="15"/>
  <c r="DR326" i="15"/>
  <c r="DS326" i="15"/>
  <c r="DT326" i="15"/>
  <c r="DU326" i="15"/>
  <c r="DV326" i="15"/>
  <c r="DW326" i="15"/>
  <c r="DX326" i="15"/>
  <c r="DY326" i="15"/>
  <c r="DZ326" i="15"/>
  <c r="EA326" i="15"/>
  <c r="EB326" i="15"/>
  <c r="EC326" i="15"/>
  <c r="ED326" i="15"/>
  <c r="EE326" i="15"/>
  <c r="EF326" i="15"/>
  <c r="EG326" i="15"/>
  <c r="EH326" i="15"/>
  <c r="EI326" i="15"/>
  <c r="EJ326" i="15"/>
  <c r="EK326" i="15"/>
  <c r="EL326" i="15"/>
  <c r="EM326" i="15"/>
  <c r="EN326" i="15"/>
  <c r="EO326" i="15"/>
  <c r="EP326" i="15"/>
  <c r="EQ326" i="15"/>
  <c r="ER326" i="15"/>
  <c r="ES326" i="15"/>
  <c r="ET326" i="15"/>
  <c r="EU326" i="15"/>
  <c r="EV326" i="15"/>
  <c r="EW326" i="15"/>
  <c r="EX326" i="15"/>
  <c r="EY326" i="15"/>
  <c r="EZ326" i="15"/>
  <c r="FA326" i="15"/>
  <c r="FB326" i="15"/>
  <c r="FC326" i="15"/>
  <c r="FD326" i="15"/>
  <c r="FE326" i="15"/>
  <c r="FF326" i="15"/>
  <c r="FG326" i="15"/>
  <c r="FH326" i="15"/>
  <c r="FI326" i="15"/>
  <c r="FJ326" i="15"/>
  <c r="FK326" i="15"/>
  <c r="FL326" i="15"/>
  <c r="FM326" i="15"/>
  <c r="FN326" i="15"/>
  <c r="FO326" i="15"/>
  <c r="FP326" i="15"/>
  <c r="FQ326" i="15"/>
  <c r="FR326" i="15"/>
  <c r="FS326" i="15"/>
  <c r="FT326" i="15"/>
  <c r="FU326" i="15"/>
  <c r="FV326" i="15"/>
  <c r="FW326" i="15"/>
  <c r="FX326" i="15"/>
  <c r="FY326" i="15"/>
  <c r="FZ326" i="15"/>
  <c r="GA326" i="15"/>
  <c r="GB326" i="15"/>
  <c r="GC326" i="15"/>
  <c r="GD326" i="15"/>
  <c r="GE326" i="15"/>
  <c r="GF326" i="15"/>
  <c r="GG326" i="15"/>
  <c r="GH326" i="15"/>
  <c r="GI326" i="15"/>
  <c r="GJ326" i="15"/>
  <c r="GK326" i="15"/>
  <c r="GL326" i="15"/>
  <c r="GM326" i="15"/>
  <c r="GN326" i="15"/>
  <c r="GO326" i="15"/>
  <c r="GP326" i="15"/>
  <c r="GQ326" i="15"/>
  <c r="GR326" i="15"/>
  <c r="GS326" i="15"/>
  <c r="GT326" i="15"/>
  <c r="GU326" i="15"/>
  <c r="GV326" i="15"/>
  <c r="GW326" i="15"/>
  <c r="GX326" i="15"/>
  <c r="GY326" i="15"/>
  <c r="GZ326" i="15"/>
  <c r="HA326" i="15"/>
  <c r="HB326" i="15"/>
  <c r="HC326" i="15"/>
  <c r="HD326" i="15"/>
  <c r="HE326" i="15"/>
  <c r="HF326" i="15"/>
  <c r="HG326" i="15"/>
  <c r="HH326" i="15"/>
  <c r="HI326" i="15"/>
  <c r="HJ326" i="15"/>
  <c r="HK326" i="15"/>
  <c r="HL326" i="15"/>
  <c r="HM326" i="15"/>
  <c r="HN326" i="15"/>
  <c r="HO326" i="15"/>
  <c r="HP326" i="15"/>
  <c r="HQ326" i="15"/>
  <c r="HR326" i="15"/>
  <c r="HS326" i="15"/>
  <c r="HT326" i="15"/>
  <c r="HU326" i="15"/>
  <c r="HV326" i="15"/>
  <c r="HW326" i="15"/>
  <c r="HX326" i="15"/>
  <c r="HY326" i="15"/>
  <c r="HZ326" i="15"/>
  <c r="IA326" i="15"/>
  <c r="IB326" i="15"/>
  <c r="IC326" i="15"/>
  <c r="ID326" i="15"/>
  <c r="IE326" i="15"/>
  <c r="IF326" i="15"/>
  <c r="IG326" i="15"/>
  <c r="IH326" i="15"/>
  <c r="II326" i="15"/>
  <c r="IJ326" i="15"/>
  <c r="IK326" i="15"/>
  <c r="IL326" i="15"/>
  <c r="IM326" i="15"/>
  <c r="IN326" i="15"/>
  <c r="IO326" i="15"/>
  <c r="IP326" i="15"/>
  <c r="IQ326" i="15"/>
  <c r="IR326" i="15"/>
  <c r="IS326" i="15"/>
  <c r="IT326" i="15"/>
  <c r="IU326" i="15"/>
  <c r="IV326" i="15"/>
  <c r="IW326" i="15"/>
  <c r="IX326" i="15"/>
  <c r="IY326" i="15"/>
  <c r="IZ326" i="15"/>
  <c r="JA326" i="15"/>
  <c r="JB326" i="15"/>
  <c r="JC326" i="15"/>
  <c r="JD326" i="15"/>
  <c r="JE326" i="15"/>
  <c r="JF326" i="15"/>
  <c r="JG326" i="15"/>
  <c r="JH326" i="15"/>
  <c r="JI326" i="15"/>
  <c r="JJ326" i="15"/>
  <c r="A327" i="15"/>
  <c r="B327" i="15"/>
  <c r="C327" i="15"/>
  <c r="D327" i="15"/>
  <c r="E327" i="15"/>
  <c r="F327" i="15"/>
  <c r="G327" i="15"/>
  <c r="H327" i="15"/>
  <c r="I327" i="15"/>
  <c r="J327" i="15"/>
  <c r="K327" i="15"/>
  <c r="L327" i="15"/>
  <c r="M327" i="15"/>
  <c r="N327" i="15"/>
  <c r="O327" i="15"/>
  <c r="P327" i="15"/>
  <c r="Q327" i="15"/>
  <c r="R327" i="15"/>
  <c r="S327" i="15"/>
  <c r="T327" i="15"/>
  <c r="U327" i="15"/>
  <c r="V327" i="15"/>
  <c r="W327" i="15"/>
  <c r="X327" i="15"/>
  <c r="Y327" i="15"/>
  <c r="Z327" i="15"/>
  <c r="AA327" i="15"/>
  <c r="AB327" i="15"/>
  <c r="AC327" i="15"/>
  <c r="AD327" i="15"/>
  <c r="AE327" i="15"/>
  <c r="AF327" i="15"/>
  <c r="AG327" i="15"/>
  <c r="AH327" i="15"/>
  <c r="AI327" i="15"/>
  <c r="AJ327" i="15"/>
  <c r="AK327" i="15"/>
  <c r="AL327" i="15"/>
  <c r="AM327" i="15"/>
  <c r="AN327" i="15"/>
  <c r="AO327" i="15"/>
  <c r="AP327" i="15"/>
  <c r="AQ327" i="15"/>
  <c r="AR327" i="15"/>
  <c r="AS327" i="15"/>
  <c r="AT327" i="15"/>
  <c r="AU327" i="15"/>
  <c r="AV327" i="15"/>
  <c r="AW327" i="15"/>
  <c r="AX327" i="15"/>
  <c r="AY327" i="15"/>
  <c r="AZ327" i="15"/>
  <c r="BA327" i="15"/>
  <c r="BB327" i="15"/>
  <c r="BC327" i="15"/>
  <c r="BD327" i="15"/>
  <c r="BE327" i="15"/>
  <c r="BF327" i="15"/>
  <c r="BG327" i="15"/>
  <c r="BH327" i="15"/>
  <c r="BI327" i="15"/>
  <c r="BJ327" i="15"/>
  <c r="BK327" i="15"/>
  <c r="BL327" i="15"/>
  <c r="BM327" i="15"/>
  <c r="BN327" i="15"/>
  <c r="BO327" i="15"/>
  <c r="BP327" i="15"/>
  <c r="BQ327" i="15"/>
  <c r="BR327" i="15"/>
  <c r="BS327" i="15"/>
  <c r="BT327" i="15"/>
  <c r="BU327" i="15"/>
  <c r="BV327" i="15"/>
  <c r="BW327" i="15"/>
  <c r="BX327" i="15"/>
  <c r="BY327" i="15"/>
  <c r="BZ327" i="15"/>
  <c r="CA327" i="15"/>
  <c r="CB327" i="15"/>
  <c r="CC327" i="15"/>
  <c r="CD327" i="15"/>
  <c r="CE327" i="15"/>
  <c r="CF327" i="15"/>
  <c r="CG327" i="15"/>
  <c r="CH327" i="15"/>
  <c r="CI327" i="15"/>
  <c r="CJ327" i="15"/>
  <c r="CK327" i="15"/>
  <c r="CL327" i="15"/>
  <c r="CM327" i="15"/>
  <c r="CN327" i="15"/>
  <c r="CO327" i="15"/>
  <c r="CP327" i="15"/>
  <c r="CQ327" i="15"/>
  <c r="CR327" i="15"/>
  <c r="CS327" i="15"/>
  <c r="CT327" i="15"/>
  <c r="CU327" i="15"/>
  <c r="CV327" i="15"/>
  <c r="CW327" i="15"/>
  <c r="CX327" i="15"/>
  <c r="CY327" i="15"/>
  <c r="CZ327" i="15"/>
  <c r="DA327" i="15"/>
  <c r="DB327" i="15"/>
  <c r="DC327" i="15"/>
  <c r="DD327" i="15"/>
  <c r="DE327" i="15"/>
  <c r="DF327" i="15"/>
  <c r="DG327" i="15"/>
  <c r="DH327" i="15"/>
  <c r="DI327" i="15"/>
  <c r="DJ327" i="15"/>
  <c r="DK327" i="15"/>
  <c r="DL327" i="15"/>
  <c r="DM327" i="15"/>
  <c r="DN327" i="15"/>
  <c r="DO327" i="15"/>
  <c r="DP327" i="15"/>
  <c r="DQ327" i="15"/>
  <c r="DR327" i="15"/>
  <c r="DS327" i="15"/>
  <c r="DT327" i="15"/>
  <c r="DU327" i="15"/>
  <c r="DV327" i="15"/>
  <c r="DW327" i="15"/>
  <c r="DX327" i="15"/>
  <c r="DY327" i="15"/>
  <c r="DZ327" i="15"/>
  <c r="EA327" i="15"/>
  <c r="EB327" i="15"/>
  <c r="EC327" i="15"/>
  <c r="ED327" i="15"/>
  <c r="EE327" i="15"/>
  <c r="EF327" i="15"/>
  <c r="EG327" i="15"/>
  <c r="EH327" i="15"/>
  <c r="EI327" i="15"/>
  <c r="EJ327" i="15"/>
  <c r="EK327" i="15"/>
  <c r="EL327" i="15"/>
  <c r="EM327" i="15"/>
  <c r="EN327" i="15"/>
  <c r="EO327" i="15"/>
  <c r="EP327" i="15"/>
  <c r="EQ327" i="15"/>
  <c r="ER327" i="15"/>
  <c r="ES327" i="15"/>
  <c r="ET327" i="15"/>
  <c r="EU327" i="15"/>
  <c r="EV327" i="15"/>
  <c r="EW327" i="15"/>
  <c r="EX327" i="15"/>
  <c r="EY327" i="15"/>
  <c r="EZ327" i="15"/>
  <c r="FA327" i="15"/>
  <c r="FB327" i="15"/>
  <c r="FC327" i="15"/>
  <c r="FD327" i="15"/>
  <c r="FE327" i="15"/>
  <c r="FF327" i="15"/>
  <c r="FG327" i="15"/>
  <c r="FH327" i="15"/>
  <c r="FI327" i="15"/>
  <c r="FJ327" i="15"/>
  <c r="FK327" i="15"/>
  <c r="FL327" i="15"/>
  <c r="FM327" i="15"/>
  <c r="FN327" i="15"/>
  <c r="FO327" i="15"/>
  <c r="FP327" i="15"/>
  <c r="FQ327" i="15"/>
  <c r="FR327" i="15"/>
  <c r="FS327" i="15"/>
  <c r="FT327" i="15"/>
  <c r="FU327" i="15"/>
  <c r="FV327" i="15"/>
  <c r="FW327" i="15"/>
  <c r="FX327" i="15"/>
  <c r="FY327" i="15"/>
  <c r="FZ327" i="15"/>
  <c r="GA327" i="15"/>
  <c r="GB327" i="15"/>
  <c r="GC327" i="15"/>
  <c r="GD327" i="15"/>
  <c r="GE327" i="15"/>
  <c r="GF327" i="15"/>
  <c r="GG327" i="15"/>
  <c r="GH327" i="15"/>
  <c r="GI327" i="15"/>
  <c r="GJ327" i="15"/>
  <c r="GK327" i="15"/>
  <c r="GL327" i="15"/>
  <c r="GM327" i="15"/>
  <c r="GN327" i="15"/>
  <c r="GO327" i="15"/>
  <c r="GP327" i="15"/>
  <c r="GQ327" i="15"/>
  <c r="GR327" i="15"/>
  <c r="GS327" i="15"/>
  <c r="GT327" i="15"/>
  <c r="GU327" i="15"/>
  <c r="GV327" i="15"/>
  <c r="GW327" i="15"/>
  <c r="GX327" i="15"/>
  <c r="GY327" i="15"/>
  <c r="GZ327" i="15"/>
  <c r="HA327" i="15"/>
  <c r="HB327" i="15"/>
  <c r="HC327" i="15"/>
  <c r="HD327" i="15"/>
  <c r="HE327" i="15"/>
  <c r="HF327" i="15"/>
  <c r="HG327" i="15"/>
  <c r="HH327" i="15"/>
  <c r="HI327" i="15"/>
  <c r="HJ327" i="15"/>
  <c r="HK327" i="15"/>
  <c r="HL327" i="15"/>
  <c r="HM327" i="15"/>
  <c r="HN327" i="15"/>
  <c r="HO327" i="15"/>
  <c r="HP327" i="15"/>
  <c r="HQ327" i="15"/>
  <c r="HR327" i="15"/>
  <c r="HS327" i="15"/>
  <c r="HT327" i="15"/>
  <c r="HU327" i="15"/>
  <c r="HV327" i="15"/>
  <c r="HW327" i="15"/>
  <c r="HX327" i="15"/>
  <c r="HY327" i="15"/>
  <c r="HZ327" i="15"/>
  <c r="IA327" i="15"/>
  <c r="IB327" i="15"/>
  <c r="IC327" i="15"/>
  <c r="ID327" i="15"/>
  <c r="IE327" i="15"/>
  <c r="IF327" i="15"/>
  <c r="IG327" i="15"/>
  <c r="IH327" i="15"/>
  <c r="II327" i="15"/>
  <c r="IJ327" i="15"/>
  <c r="IK327" i="15"/>
  <c r="IL327" i="15"/>
  <c r="IM327" i="15"/>
  <c r="IN327" i="15"/>
  <c r="IO327" i="15"/>
  <c r="IP327" i="15"/>
  <c r="IQ327" i="15"/>
  <c r="IR327" i="15"/>
  <c r="IS327" i="15"/>
  <c r="IT327" i="15"/>
  <c r="IU327" i="15"/>
  <c r="IV327" i="15"/>
  <c r="IW327" i="15"/>
  <c r="IX327" i="15"/>
  <c r="IY327" i="15"/>
  <c r="IZ327" i="15"/>
  <c r="JA327" i="15"/>
  <c r="JB327" i="15"/>
  <c r="JC327" i="15"/>
  <c r="JD327" i="15"/>
  <c r="JE327" i="15"/>
  <c r="JF327" i="15"/>
  <c r="JG327" i="15"/>
  <c r="JH327" i="15"/>
  <c r="JI327" i="15"/>
  <c r="JJ327" i="15"/>
  <c r="A328" i="15"/>
  <c r="B328" i="15"/>
  <c r="C328" i="15"/>
  <c r="D328" i="15"/>
  <c r="E328" i="15"/>
  <c r="F328" i="15"/>
  <c r="G328" i="15"/>
  <c r="H328" i="15"/>
  <c r="I328" i="15"/>
  <c r="J328" i="15"/>
  <c r="K328" i="15"/>
  <c r="L328" i="15"/>
  <c r="M328" i="15"/>
  <c r="N328" i="15"/>
  <c r="O328" i="15"/>
  <c r="P328" i="15"/>
  <c r="Q328" i="15"/>
  <c r="R328" i="15"/>
  <c r="S328" i="15"/>
  <c r="T328" i="15"/>
  <c r="U328" i="15"/>
  <c r="V328" i="15"/>
  <c r="W328" i="15"/>
  <c r="X328" i="15"/>
  <c r="Y328" i="15"/>
  <c r="Z328" i="15"/>
  <c r="AA328" i="15"/>
  <c r="AB328" i="15"/>
  <c r="AC328" i="15"/>
  <c r="AD328" i="15"/>
  <c r="AE328" i="15"/>
  <c r="AF328" i="15"/>
  <c r="AG328" i="15"/>
  <c r="AH328" i="15"/>
  <c r="AI328" i="15"/>
  <c r="AJ328" i="15"/>
  <c r="AK328" i="15"/>
  <c r="AL328" i="15"/>
  <c r="AM328" i="15"/>
  <c r="AN328" i="15"/>
  <c r="AO328" i="15"/>
  <c r="AP328" i="15"/>
  <c r="AQ328" i="15"/>
  <c r="AR328" i="15"/>
  <c r="AS328" i="15"/>
  <c r="AT328" i="15"/>
  <c r="AU328" i="15"/>
  <c r="AV328" i="15"/>
  <c r="AW328" i="15"/>
  <c r="AX328" i="15"/>
  <c r="AY328" i="15"/>
  <c r="AZ328" i="15"/>
  <c r="BA328" i="15"/>
  <c r="BB328" i="15"/>
  <c r="BC328" i="15"/>
  <c r="BD328" i="15"/>
  <c r="BE328" i="15"/>
  <c r="BF328" i="15"/>
  <c r="BG328" i="15"/>
  <c r="BH328" i="15"/>
  <c r="BI328" i="15"/>
  <c r="BJ328" i="15"/>
  <c r="BK328" i="15"/>
  <c r="BL328" i="15"/>
  <c r="BM328" i="15"/>
  <c r="BN328" i="15"/>
  <c r="BO328" i="15"/>
  <c r="BP328" i="15"/>
  <c r="BQ328" i="15"/>
  <c r="BR328" i="15"/>
  <c r="BS328" i="15"/>
  <c r="BT328" i="15"/>
  <c r="BU328" i="15"/>
  <c r="BV328" i="15"/>
  <c r="BW328" i="15"/>
  <c r="BX328" i="15"/>
  <c r="BY328" i="15"/>
  <c r="BZ328" i="15"/>
  <c r="CA328" i="15"/>
  <c r="CB328" i="15"/>
  <c r="CC328" i="15"/>
  <c r="CD328" i="15"/>
  <c r="CE328" i="15"/>
  <c r="CF328" i="15"/>
  <c r="CG328" i="15"/>
  <c r="CH328" i="15"/>
  <c r="CI328" i="15"/>
  <c r="CJ328" i="15"/>
  <c r="CK328" i="15"/>
  <c r="CL328" i="15"/>
  <c r="CM328" i="15"/>
  <c r="CN328" i="15"/>
  <c r="CO328" i="15"/>
  <c r="CP328" i="15"/>
  <c r="CQ328" i="15"/>
  <c r="CR328" i="15"/>
  <c r="CS328" i="15"/>
  <c r="CT328" i="15"/>
  <c r="CU328" i="15"/>
  <c r="CV328" i="15"/>
  <c r="CW328" i="15"/>
  <c r="CX328" i="15"/>
  <c r="CY328" i="15"/>
  <c r="CZ328" i="15"/>
  <c r="DA328" i="15"/>
  <c r="DB328" i="15"/>
  <c r="DC328" i="15"/>
  <c r="DD328" i="15"/>
  <c r="DE328" i="15"/>
  <c r="DF328" i="15"/>
  <c r="DG328" i="15"/>
  <c r="DH328" i="15"/>
  <c r="DI328" i="15"/>
  <c r="DJ328" i="15"/>
  <c r="DK328" i="15"/>
  <c r="DL328" i="15"/>
  <c r="DM328" i="15"/>
  <c r="DN328" i="15"/>
  <c r="DO328" i="15"/>
  <c r="DP328" i="15"/>
  <c r="DQ328" i="15"/>
  <c r="DR328" i="15"/>
  <c r="DS328" i="15"/>
  <c r="DT328" i="15"/>
  <c r="DU328" i="15"/>
  <c r="DV328" i="15"/>
  <c r="DW328" i="15"/>
  <c r="DX328" i="15"/>
  <c r="DY328" i="15"/>
  <c r="DZ328" i="15"/>
  <c r="EA328" i="15"/>
  <c r="EB328" i="15"/>
  <c r="EC328" i="15"/>
  <c r="ED328" i="15"/>
  <c r="EE328" i="15"/>
  <c r="EF328" i="15"/>
  <c r="EG328" i="15"/>
  <c r="EH328" i="15"/>
  <c r="EI328" i="15"/>
  <c r="EJ328" i="15"/>
  <c r="EK328" i="15"/>
  <c r="EL328" i="15"/>
  <c r="EM328" i="15"/>
  <c r="EN328" i="15"/>
  <c r="EO328" i="15"/>
  <c r="EP328" i="15"/>
  <c r="EQ328" i="15"/>
  <c r="ER328" i="15"/>
  <c r="ES328" i="15"/>
  <c r="ET328" i="15"/>
  <c r="EU328" i="15"/>
  <c r="EV328" i="15"/>
  <c r="EW328" i="15"/>
  <c r="EX328" i="15"/>
  <c r="EY328" i="15"/>
  <c r="EZ328" i="15"/>
  <c r="FA328" i="15"/>
  <c r="FB328" i="15"/>
  <c r="FC328" i="15"/>
  <c r="FD328" i="15"/>
  <c r="FE328" i="15"/>
  <c r="FF328" i="15"/>
  <c r="FG328" i="15"/>
  <c r="FH328" i="15"/>
  <c r="FI328" i="15"/>
  <c r="FJ328" i="15"/>
  <c r="FK328" i="15"/>
  <c r="FL328" i="15"/>
  <c r="FM328" i="15"/>
  <c r="FN328" i="15"/>
  <c r="FO328" i="15"/>
  <c r="FP328" i="15"/>
  <c r="FQ328" i="15"/>
  <c r="FR328" i="15"/>
  <c r="FS328" i="15"/>
  <c r="FT328" i="15"/>
  <c r="FU328" i="15"/>
  <c r="FV328" i="15"/>
  <c r="FW328" i="15"/>
  <c r="FX328" i="15"/>
  <c r="FY328" i="15"/>
  <c r="FZ328" i="15"/>
  <c r="GA328" i="15"/>
  <c r="GB328" i="15"/>
  <c r="GC328" i="15"/>
  <c r="GD328" i="15"/>
  <c r="GE328" i="15"/>
  <c r="GF328" i="15"/>
  <c r="GG328" i="15"/>
  <c r="GH328" i="15"/>
  <c r="GI328" i="15"/>
  <c r="GJ328" i="15"/>
  <c r="GK328" i="15"/>
  <c r="GL328" i="15"/>
  <c r="GM328" i="15"/>
  <c r="GN328" i="15"/>
  <c r="GO328" i="15"/>
  <c r="GP328" i="15"/>
  <c r="GQ328" i="15"/>
  <c r="GR328" i="15"/>
  <c r="GS328" i="15"/>
  <c r="GT328" i="15"/>
  <c r="GU328" i="15"/>
  <c r="GV328" i="15"/>
  <c r="GW328" i="15"/>
  <c r="GX328" i="15"/>
  <c r="GY328" i="15"/>
  <c r="GZ328" i="15"/>
  <c r="HA328" i="15"/>
  <c r="HB328" i="15"/>
  <c r="HC328" i="15"/>
  <c r="HD328" i="15"/>
  <c r="HE328" i="15"/>
  <c r="HF328" i="15"/>
  <c r="HG328" i="15"/>
  <c r="HH328" i="15"/>
  <c r="HI328" i="15"/>
  <c r="HJ328" i="15"/>
  <c r="HK328" i="15"/>
  <c r="HL328" i="15"/>
  <c r="HM328" i="15"/>
  <c r="HN328" i="15"/>
  <c r="HO328" i="15"/>
  <c r="HP328" i="15"/>
  <c r="HQ328" i="15"/>
  <c r="HR328" i="15"/>
  <c r="HS328" i="15"/>
  <c r="HT328" i="15"/>
  <c r="HU328" i="15"/>
  <c r="HV328" i="15"/>
  <c r="HW328" i="15"/>
  <c r="HX328" i="15"/>
  <c r="HY328" i="15"/>
  <c r="HZ328" i="15"/>
  <c r="IA328" i="15"/>
  <c r="IB328" i="15"/>
  <c r="IC328" i="15"/>
  <c r="ID328" i="15"/>
  <c r="IE328" i="15"/>
  <c r="IF328" i="15"/>
  <c r="IG328" i="15"/>
  <c r="IH328" i="15"/>
  <c r="II328" i="15"/>
  <c r="IJ328" i="15"/>
  <c r="IK328" i="15"/>
  <c r="IL328" i="15"/>
  <c r="IM328" i="15"/>
  <c r="IN328" i="15"/>
  <c r="IO328" i="15"/>
  <c r="IP328" i="15"/>
  <c r="IQ328" i="15"/>
  <c r="IR328" i="15"/>
  <c r="IS328" i="15"/>
  <c r="IT328" i="15"/>
  <c r="IU328" i="15"/>
  <c r="IV328" i="15"/>
  <c r="IW328" i="15"/>
  <c r="IX328" i="15"/>
  <c r="IY328" i="15"/>
  <c r="IZ328" i="15"/>
  <c r="JA328" i="15"/>
  <c r="JB328" i="15"/>
  <c r="JC328" i="15"/>
  <c r="JD328" i="15"/>
  <c r="JE328" i="15"/>
  <c r="JF328" i="15"/>
  <c r="JG328" i="15"/>
  <c r="JH328" i="15"/>
  <c r="JI328" i="15"/>
  <c r="JJ328" i="15"/>
  <c r="A329" i="15"/>
  <c r="B329" i="15"/>
  <c r="C329" i="15"/>
  <c r="D329" i="15"/>
  <c r="E329" i="15"/>
  <c r="F329" i="15"/>
  <c r="G329" i="15"/>
  <c r="H329" i="15"/>
  <c r="I329" i="15"/>
  <c r="J329" i="15"/>
  <c r="K329" i="15"/>
  <c r="L329" i="15"/>
  <c r="M329" i="15"/>
  <c r="N329" i="15"/>
  <c r="O329" i="15"/>
  <c r="P329" i="15"/>
  <c r="Q329" i="15"/>
  <c r="R329" i="15"/>
  <c r="S329" i="15"/>
  <c r="T329" i="15"/>
  <c r="U329" i="15"/>
  <c r="V329" i="15"/>
  <c r="W329" i="15"/>
  <c r="X329" i="15"/>
  <c r="Y329" i="15"/>
  <c r="Z329" i="15"/>
  <c r="AA329" i="15"/>
  <c r="AB329" i="15"/>
  <c r="AC329" i="15"/>
  <c r="AD329" i="15"/>
  <c r="AE329" i="15"/>
  <c r="AF329" i="15"/>
  <c r="AG329" i="15"/>
  <c r="AH329" i="15"/>
  <c r="AI329" i="15"/>
  <c r="AJ329" i="15"/>
  <c r="AK329" i="15"/>
  <c r="AL329" i="15"/>
  <c r="AM329" i="15"/>
  <c r="AN329" i="15"/>
  <c r="AO329" i="15"/>
  <c r="AP329" i="15"/>
  <c r="AQ329" i="15"/>
  <c r="AR329" i="15"/>
  <c r="AS329" i="15"/>
  <c r="AT329" i="15"/>
  <c r="AU329" i="15"/>
  <c r="AV329" i="15"/>
  <c r="AW329" i="15"/>
  <c r="AX329" i="15"/>
  <c r="AY329" i="15"/>
  <c r="AZ329" i="15"/>
  <c r="BA329" i="15"/>
  <c r="BB329" i="15"/>
  <c r="BC329" i="15"/>
  <c r="BD329" i="15"/>
  <c r="BE329" i="15"/>
  <c r="BF329" i="15"/>
  <c r="BG329" i="15"/>
  <c r="BH329" i="15"/>
  <c r="BI329" i="15"/>
  <c r="BJ329" i="15"/>
  <c r="BK329" i="15"/>
  <c r="BL329" i="15"/>
  <c r="BM329" i="15"/>
  <c r="BN329" i="15"/>
  <c r="BO329" i="15"/>
  <c r="BP329" i="15"/>
  <c r="BQ329" i="15"/>
  <c r="BR329" i="15"/>
  <c r="BS329" i="15"/>
  <c r="BT329" i="15"/>
  <c r="BU329" i="15"/>
  <c r="BV329" i="15"/>
  <c r="BW329" i="15"/>
  <c r="BX329" i="15"/>
  <c r="BY329" i="15"/>
  <c r="BZ329" i="15"/>
  <c r="CA329" i="15"/>
  <c r="CB329" i="15"/>
  <c r="CC329" i="15"/>
  <c r="CD329" i="15"/>
  <c r="CE329" i="15"/>
  <c r="CF329" i="15"/>
  <c r="CG329" i="15"/>
  <c r="CH329" i="15"/>
  <c r="CI329" i="15"/>
  <c r="CJ329" i="15"/>
  <c r="CK329" i="15"/>
  <c r="CL329" i="15"/>
  <c r="CM329" i="15"/>
  <c r="CN329" i="15"/>
  <c r="CO329" i="15"/>
  <c r="CP329" i="15"/>
  <c r="CQ329" i="15"/>
  <c r="CR329" i="15"/>
  <c r="CS329" i="15"/>
  <c r="CT329" i="15"/>
  <c r="CU329" i="15"/>
  <c r="CV329" i="15"/>
  <c r="CW329" i="15"/>
  <c r="CX329" i="15"/>
  <c r="CY329" i="15"/>
  <c r="CZ329" i="15"/>
  <c r="DA329" i="15"/>
  <c r="DB329" i="15"/>
  <c r="DC329" i="15"/>
  <c r="DD329" i="15"/>
  <c r="DE329" i="15"/>
  <c r="DF329" i="15"/>
  <c r="DG329" i="15"/>
  <c r="DH329" i="15"/>
  <c r="DI329" i="15"/>
  <c r="DJ329" i="15"/>
  <c r="DK329" i="15"/>
  <c r="DL329" i="15"/>
  <c r="DM329" i="15"/>
  <c r="DN329" i="15"/>
  <c r="DO329" i="15"/>
  <c r="DP329" i="15"/>
  <c r="DQ329" i="15"/>
  <c r="DR329" i="15"/>
  <c r="DS329" i="15"/>
  <c r="DT329" i="15"/>
  <c r="DU329" i="15"/>
  <c r="DV329" i="15"/>
  <c r="DW329" i="15"/>
  <c r="DX329" i="15"/>
  <c r="DY329" i="15"/>
  <c r="DZ329" i="15"/>
  <c r="EA329" i="15"/>
  <c r="EB329" i="15"/>
  <c r="EC329" i="15"/>
  <c r="ED329" i="15"/>
  <c r="EE329" i="15"/>
  <c r="EF329" i="15"/>
  <c r="EG329" i="15"/>
  <c r="EH329" i="15"/>
  <c r="EI329" i="15"/>
  <c r="EJ329" i="15"/>
  <c r="EK329" i="15"/>
  <c r="EL329" i="15"/>
  <c r="EM329" i="15"/>
  <c r="EN329" i="15"/>
  <c r="EO329" i="15"/>
  <c r="EP329" i="15"/>
  <c r="EQ329" i="15"/>
  <c r="ER329" i="15"/>
  <c r="ES329" i="15"/>
  <c r="ET329" i="15"/>
  <c r="EU329" i="15"/>
  <c r="EV329" i="15"/>
  <c r="EW329" i="15"/>
  <c r="EX329" i="15"/>
  <c r="EY329" i="15"/>
  <c r="EZ329" i="15"/>
  <c r="FA329" i="15"/>
  <c r="FB329" i="15"/>
  <c r="FC329" i="15"/>
  <c r="FD329" i="15"/>
  <c r="FE329" i="15"/>
  <c r="FF329" i="15"/>
  <c r="FG329" i="15"/>
  <c r="FH329" i="15"/>
  <c r="FI329" i="15"/>
  <c r="FJ329" i="15"/>
  <c r="FK329" i="15"/>
  <c r="FL329" i="15"/>
  <c r="FM329" i="15"/>
  <c r="FN329" i="15"/>
  <c r="FO329" i="15"/>
  <c r="FP329" i="15"/>
  <c r="FQ329" i="15"/>
  <c r="FR329" i="15"/>
  <c r="FS329" i="15"/>
  <c r="FT329" i="15"/>
  <c r="FU329" i="15"/>
  <c r="FV329" i="15"/>
  <c r="FW329" i="15"/>
  <c r="FX329" i="15"/>
  <c r="FY329" i="15"/>
  <c r="FZ329" i="15"/>
  <c r="GA329" i="15"/>
  <c r="GB329" i="15"/>
  <c r="GC329" i="15"/>
  <c r="GD329" i="15"/>
  <c r="GE329" i="15"/>
  <c r="GF329" i="15"/>
  <c r="GG329" i="15"/>
  <c r="GH329" i="15"/>
  <c r="GI329" i="15"/>
  <c r="GJ329" i="15"/>
  <c r="GK329" i="15"/>
  <c r="GL329" i="15"/>
  <c r="GM329" i="15"/>
  <c r="GN329" i="15"/>
  <c r="GO329" i="15"/>
  <c r="GP329" i="15"/>
  <c r="GQ329" i="15"/>
  <c r="GR329" i="15"/>
  <c r="GS329" i="15"/>
  <c r="GT329" i="15"/>
  <c r="GU329" i="15"/>
  <c r="GV329" i="15"/>
  <c r="GW329" i="15"/>
  <c r="GX329" i="15"/>
  <c r="GY329" i="15"/>
  <c r="GZ329" i="15"/>
  <c r="HA329" i="15"/>
  <c r="HB329" i="15"/>
  <c r="HC329" i="15"/>
  <c r="HD329" i="15"/>
  <c r="HE329" i="15"/>
  <c r="HF329" i="15"/>
  <c r="HG329" i="15"/>
  <c r="HH329" i="15"/>
  <c r="HI329" i="15"/>
  <c r="HJ329" i="15"/>
  <c r="HK329" i="15"/>
  <c r="HL329" i="15"/>
  <c r="HM329" i="15"/>
  <c r="HN329" i="15"/>
  <c r="HO329" i="15"/>
  <c r="HP329" i="15"/>
  <c r="HQ329" i="15"/>
  <c r="HR329" i="15"/>
  <c r="HS329" i="15"/>
  <c r="HT329" i="15"/>
  <c r="HU329" i="15"/>
  <c r="HV329" i="15"/>
  <c r="HW329" i="15"/>
  <c r="HX329" i="15"/>
  <c r="HY329" i="15"/>
  <c r="HZ329" i="15"/>
  <c r="IA329" i="15"/>
  <c r="IB329" i="15"/>
  <c r="IC329" i="15"/>
  <c r="ID329" i="15"/>
  <c r="IE329" i="15"/>
  <c r="IF329" i="15"/>
  <c r="IG329" i="15"/>
  <c r="IH329" i="15"/>
  <c r="II329" i="15"/>
  <c r="IJ329" i="15"/>
  <c r="IK329" i="15"/>
  <c r="IL329" i="15"/>
  <c r="IM329" i="15"/>
  <c r="IN329" i="15"/>
  <c r="IO329" i="15"/>
  <c r="IP329" i="15"/>
  <c r="IQ329" i="15"/>
  <c r="IR329" i="15"/>
  <c r="IS329" i="15"/>
  <c r="IT329" i="15"/>
  <c r="IU329" i="15"/>
  <c r="IV329" i="15"/>
  <c r="IW329" i="15"/>
  <c r="IX329" i="15"/>
  <c r="IY329" i="15"/>
  <c r="IZ329" i="15"/>
  <c r="JA329" i="15"/>
  <c r="JB329" i="15"/>
  <c r="JC329" i="15"/>
  <c r="JD329" i="15"/>
  <c r="JE329" i="15"/>
  <c r="JF329" i="15"/>
  <c r="JG329" i="15"/>
  <c r="JH329" i="15"/>
  <c r="JI329" i="15"/>
  <c r="JJ329" i="15"/>
  <c r="A330" i="15"/>
  <c r="B330" i="15"/>
  <c r="C330" i="15"/>
  <c r="D330" i="15"/>
  <c r="E330" i="15"/>
  <c r="F330" i="15"/>
  <c r="G330" i="15"/>
  <c r="H330" i="15"/>
  <c r="I330" i="15"/>
  <c r="J330" i="15"/>
  <c r="K330" i="15"/>
  <c r="L330" i="15"/>
  <c r="M330" i="15"/>
  <c r="N330" i="15"/>
  <c r="O330" i="15"/>
  <c r="P330" i="15"/>
  <c r="Q330" i="15"/>
  <c r="R330" i="15"/>
  <c r="S330" i="15"/>
  <c r="T330" i="15"/>
  <c r="U330" i="15"/>
  <c r="V330" i="15"/>
  <c r="W330" i="15"/>
  <c r="X330" i="15"/>
  <c r="Y330" i="15"/>
  <c r="Z330" i="15"/>
  <c r="AA330" i="15"/>
  <c r="AB330" i="15"/>
  <c r="AC330" i="15"/>
  <c r="AD330" i="15"/>
  <c r="AE330" i="15"/>
  <c r="AF330" i="15"/>
  <c r="AG330" i="15"/>
  <c r="AH330" i="15"/>
  <c r="AI330" i="15"/>
  <c r="AJ330" i="15"/>
  <c r="AK330" i="15"/>
  <c r="AL330" i="15"/>
  <c r="AM330" i="15"/>
  <c r="AN330" i="15"/>
  <c r="AO330" i="15"/>
  <c r="AP330" i="15"/>
  <c r="AQ330" i="15"/>
  <c r="AR330" i="15"/>
  <c r="AS330" i="15"/>
  <c r="AT330" i="15"/>
  <c r="AU330" i="15"/>
  <c r="AV330" i="15"/>
  <c r="AW330" i="15"/>
  <c r="AX330" i="15"/>
  <c r="AY330" i="15"/>
  <c r="AZ330" i="15"/>
  <c r="BA330" i="15"/>
  <c r="BB330" i="15"/>
  <c r="BC330" i="15"/>
  <c r="BD330" i="15"/>
  <c r="BE330" i="15"/>
  <c r="BF330" i="15"/>
  <c r="BG330" i="15"/>
  <c r="BH330" i="15"/>
  <c r="BI330" i="15"/>
  <c r="BJ330" i="15"/>
  <c r="BK330" i="15"/>
  <c r="BL330" i="15"/>
  <c r="BM330" i="15"/>
  <c r="BN330" i="15"/>
  <c r="BO330" i="15"/>
  <c r="BP330" i="15"/>
  <c r="BQ330" i="15"/>
  <c r="BR330" i="15"/>
  <c r="BS330" i="15"/>
  <c r="BT330" i="15"/>
  <c r="BU330" i="15"/>
  <c r="BV330" i="15"/>
  <c r="BW330" i="15"/>
  <c r="BX330" i="15"/>
  <c r="BY330" i="15"/>
  <c r="BZ330" i="15"/>
  <c r="CA330" i="15"/>
  <c r="CB330" i="15"/>
  <c r="CC330" i="15"/>
  <c r="CD330" i="15"/>
  <c r="CE330" i="15"/>
  <c r="CF330" i="15"/>
  <c r="CG330" i="15"/>
  <c r="CH330" i="15"/>
  <c r="CI330" i="15"/>
  <c r="CJ330" i="15"/>
  <c r="CK330" i="15"/>
  <c r="CL330" i="15"/>
  <c r="CM330" i="15"/>
  <c r="CN330" i="15"/>
  <c r="CO330" i="15"/>
  <c r="CP330" i="15"/>
  <c r="CQ330" i="15"/>
  <c r="CR330" i="15"/>
  <c r="CS330" i="15"/>
  <c r="CT330" i="15"/>
  <c r="CU330" i="15"/>
  <c r="CV330" i="15"/>
  <c r="CW330" i="15"/>
  <c r="CX330" i="15"/>
  <c r="CY330" i="15"/>
  <c r="CZ330" i="15"/>
  <c r="DA330" i="15"/>
  <c r="DB330" i="15"/>
  <c r="DC330" i="15"/>
  <c r="DD330" i="15"/>
  <c r="DE330" i="15"/>
  <c r="DF330" i="15"/>
  <c r="DG330" i="15"/>
  <c r="DH330" i="15"/>
  <c r="DI330" i="15"/>
  <c r="DJ330" i="15"/>
  <c r="DK330" i="15"/>
  <c r="DL330" i="15"/>
  <c r="DM330" i="15"/>
  <c r="DN330" i="15"/>
  <c r="DO330" i="15"/>
  <c r="DP330" i="15"/>
  <c r="DQ330" i="15"/>
  <c r="DR330" i="15"/>
  <c r="DS330" i="15"/>
  <c r="DT330" i="15"/>
  <c r="DU330" i="15"/>
  <c r="DV330" i="15"/>
  <c r="DW330" i="15"/>
  <c r="DX330" i="15"/>
  <c r="DY330" i="15"/>
  <c r="DZ330" i="15"/>
  <c r="EA330" i="15"/>
  <c r="EB330" i="15"/>
  <c r="EC330" i="15"/>
  <c r="ED330" i="15"/>
  <c r="EE330" i="15"/>
  <c r="EF330" i="15"/>
  <c r="EG330" i="15"/>
  <c r="EH330" i="15"/>
  <c r="EI330" i="15"/>
  <c r="EJ330" i="15"/>
  <c r="EK330" i="15"/>
  <c r="EL330" i="15"/>
  <c r="EM330" i="15"/>
  <c r="EN330" i="15"/>
  <c r="EO330" i="15"/>
  <c r="EP330" i="15"/>
  <c r="EQ330" i="15"/>
  <c r="ER330" i="15"/>
  <c r="ES330" i="15"/>
  <c r="ET330" i="15"/>
  <c r="EU330" i="15"/>
  <c r="EV330" i="15"/>
  <c r="EW330" i="15"/>
  <c r="EX330" i="15"/>
  <c r="EY330" i="15"/>
  <c r="EZ330" i="15"/>
  <c r="FA330" i="15"/>
  <c r="FB330" i="15"/>
  <c r="FC330" i="15"/>
  <c r="FD330" i="15"/>
  <c r="FE330" i="15"/>
  <c r="FF330" i="15"/>
  <c r="FG330" i="15"/>
  <c r="FH330" i="15"/>
  <c r="FI330" i="15"/>
  <c r="FJ330" i="15"/>
  <c r="FK330" i="15"/>
  <c r="FL330" i="15"/>
  <c r="FM330" i="15"/>
  <c r="FN330" i="15"/>
  <c r="FO330" i="15"/>
  <c r="FP330" i="15"/>
  <c r="FQ330" i="15"/>
  <c r="FR330" i="15"/>
  <c r="FS330" i="15"/>
  <c r="FT330" i="15"/>
  <c r="FU330" i="15"/>
  <c r="FV330" i="15"/>
  <c r="FW330" i="15"/>
  <c r="FX330" i="15"/>
  <c r="FY330" i="15"/>
  <c r="FZ330" i="15"/>
  <c r="GA330" i="15"/>
  <c r="GB330" i="15"/>
  <c r="GC330" i="15"/>
  <c r="GD330" i="15"/>
  <c r="GE330" i="15"/>
  <c r="GF330" i="15"/>
  <c r="GG330" i="15"/>
  <c r="GH330" i="15"/>
  <c r="GI330" i="15"/>
  <c r="GJ330" i="15"/>
  <c r="GK330" i="15"/>
  <c r="GL330" i="15"/>
  <c r="GM330" i="15"/>
  <c r="GN330" i="15"/>
  <c r="GO330" i="15"/>
  <c r="GP330" i="15"/>
  <c r="GQ330" i="15"/>
  <c r="GR330" i="15"/>
  <c r="GS330" i="15"/>
  <c r="GT330" i="15"/>
  <c r="GU330" i="15"/>
  <c r="GV330" i="15"/>
  <c r="GW330" i="15"/>
  <c r="GX330" i="15"/>
  <c r="GY330" i="15"/>
  <c r="GZ330" i="15"/>
  <c r="HA330" i="15"/>
  <c r="HB330" i="15"/>
  <c r="HC330" i="15"/>
  <c r="HD330" i="15"/>
  <c r="HE330" i="15"/>
  <c r="HF330" i="15"/>
  <c r="HG330" i="15"/>
  <c r="HH330" i="15"/>
  <c r="HI330" i="15"/>
  <c r="HJ330" i="15"/>
  <c r="HK330" i="15"/>
  <c r="HL330" i="15"/>
  <c r="HM330" i="15"/>
  <c r="HN330" i="15"/>
  <c r="HO330" i="15"/>
  <c r="HP330" i="15"/>
  <c r="HQ330" i="15"/>
  <c r="HR330" i="15"/>
  <c r="HS330" i="15"/>
  <c r="HT330" i="15"/>
  <c r="HU330" i="15"/>
  <c r="HV330" i="15"/>
  <c r="HW330" i="15"/>
  <c r="HX330" i="15"/>
  <c r="HY330" i="15"/>
  <c r="HZ330" i="15"/>
  <c r="IA330" i="15"/>
  <c r="IB330" i="15"/>
  <c r="IC330" i="15"/>
  <c r="ID330" i="15"/>
  <c r="IE330" i="15"/>
  <c r="IF330" i="15"/>
  <c r="IG330" i="15"/>
  <c r="IH330" i="15"/>
  <c r="II330" i="15"/>
  <c r="IJ330" i="15"/>
  <c r="IK330" i="15"/>
  <c r="IL330" i="15"/>
  <c r="IM330" i="15"/>
  <c r="IN330" i="15"/>
  <c r="IO330" i="15"/>
  <c r="IP330" i="15"/>
  <c r="IQ330" i="15"/>
  <c r="IR330" i="15"/>
  <c r="IS330" i="15"/>
  <c r="IT330" i="15"/>
  <c r="IU330" i="15"/>
  <c r="IV330" i="15"/>
  <c r="IW330" i="15"/>
  <c r="IX330" i="15"/>
  <c r="IY330" i="15"/>
  <c r="IZ330" i="15"/>
  <c r="JA330" i="15"/>
  <c r="JB330" i="15"/>
  <c r="JC330" i="15"/>
  <c r="JD330" i="15"/>
  <c r="JE330" i="15"/>
  <c r="JF330" i="15"/>
  <c r="JG330" i="15"/>
  <c r="JH330" i="15"/>
  <c r="JI330" i="15"/>
  <c r="JJ330" i="15"/>
  <c r="A331" i="15"/>
  <c r="B331" i="15"/>
  <c r="C331" i="15"/>
  <c r="D331" i="15"/>
  <c r="E331" i="15"/>
  <c r="F331" i="15"/>
  <c r="G331" i="15"/>
  <c r="H331" i="15"/>
  <c r="I331" i="15"/>
  <c r="J331" i="15"/>
  <c r="K331" i="15"/>
  <c r="L331" i="15"/>
  <c r="M331" i="15"/>
  <c r="N331" i="15"/>
  <c r="O331" i="15"/>
  <c r="P331" i="15"/>
  <c r="Q331" i="15"/>
  <c r="R331" i="15"/>
  <c r="S331" i="15"/>
  <c r="T331" i="15"/>
  <c r="U331" i="15"/>
  <c r="V331" i="15"/>
  <c r="W331" i="15"/>
  <c r="X331" i="15"/>
  <c r="Y331" i="15"/>
  <c r="Z331" i="15"/>
  <c r="AA331" i="15"/>
  <c r="AB331" i="15"/>
  <c r="AC331" i="15"/>
  <c r="AD331" i="15"/>
  <c r="AE331" i="15"/>
  <c r="AF331" i="15"/>
  <c r="AG331" i="15"/>
  <c r="AH331" i="15"/>
  <c r="AI331" i="15"/>
  <c r="AJ331" i="15"/>
  <c r="AK331" i="15"/>
  <c r="AL331" i="15"/>
  <c r="AM331" i="15"/>
  <c r="AN331" i="15"/>
  <c r="AO331" i="15"/>
  <c r="AP331" i="15"/>
  <c r="AQ331" i="15"/>
  <c r="AR331" i="15"/>
  <c r="AS331" i="15"/>
  <c r="AT331" i="15"/>
  <c r="AU331" i="15"/>
  <c r="AV331" i="15"/>
  <c r="AW331" i="15"/>
  <c r="AX331" i="15"/>
  <c r="AY331" i="15"/>
  <c r="AZ331" i="15"/>
  <c r="BA331" i="15"/>
  <c r="BB331" i="15"/>
  <c r="BC331" i="15"/>
  <c r="BD331" i="15"/>
  <c r="BE331" i="15"/>
  <c r="BF331" i="15"/>
  <c r="BG331" i="15"/>
  <c r="BH331" i="15"/>
  <c r="BI331" i="15"/>
  <c r="BJ331" i="15"/>
  <c r="BK331" i="15"/>
  <c r="BL331" i="15"/>
  <c r="BM331" i="15"/>
  <c r="BN331" i="15"/>
  <c r="BO331" i="15"/>
  <c r="BP331" i="15"/>
  <c r="BQ331" i="15"/>
  <c r="BR331" i="15"/>
  <c r="BS331" i="15"/>
  <c r="BT331" i="15"/>
  <c r="BU331" i="15"/>
  <c r="BV331" i="15"/>
  <c r="BW331" i="15"/>
  <c r="BX331" i="15"/>
  <c r="BY331" i="15"/>
  <c r="BZ331" i="15"/>
  <c r="CA331" i="15"/>
  <c r="CB331" i="15"/>
  <c r="CC331" i="15"/>
  <c r="CD331" i="15"/>
  <c r="CE331" i="15"/>
  <c r="CF331" i="15"/>
  <c r="CG331" i="15"/>
  <c r="CH331" i="15"/>
  <c r="CI331" i="15"/>
  <c r="CJ331" i="15"/>
  <c r="CK331" i="15"/>
  <c r="CL331" i="15"/>
  <c r="CM331" i="15"/>
  <c r="CN331" i="15"/>
  <c r="CO331" i="15"/>
  <c r="CP331" i="15"/>
  <c r="CQ331" i="15"/>
  <c r="CR331" i="15"/>
  <c r="CS331" i="15"/>
  <c r="CT331" i="15"/>
  <c r="CU331" i="15"/>
  <c r="CV331" i="15"/>
  <c r="CW331" i="15"/>
  <c r="CX331" i="15"/>
  <c r="CY331" i="15"/>
  <c r="CZ331" i="15"/>
  <c r="DA331" i="15"/>
  <c r="DB331" i="15"/>
  <c r="DC331" i="15"/>
  <c r="DD331" i="15"/>
  <c r="DE331" i="15"/>
  <c r="DF331" i="15"/>
  <c r="DG331" i="15"/>
  <c r="DH331" i="15"/>
  <c r="DI331" i="15"/>
  <c r="DJ331" i="15"/>
  <c r="DK331" i="15"/>
  <c r="DL331" i="15"/>
  <c r="DM331" i="15"/>
  <c r="DN331" i="15"/>
  <c r="DO331" i="15"/>
  <c r="DP331" i="15"/>
  <c r="DQ331" i="15"/>
  <c r="DR331" i="15"/>
  <c r="DS331" i="15"/>
  <c r="DT331" i="15"/>
  <c r="DU331" i="15"/>
  <c r="DV331" i="15"/>
  <c r="DW331" i="15"/>
  <c r="DX331" i="15"/>
  <c r="DY331" i="15"/>
  <c r="DZ331" i="15"/>
  <c r="EA331" i="15"/>
  <c r="EB331" i="15"/>
  <c r="EC331" i="15"/>
  <c r="ED331" i="15"/>
  <c r="EE331" i="15"/>
  <c r="EF331" i="15"/>
  <c r="EG331" i="15"/>
  <c r="EH331" i="15"/>
  <c r="EI331" i="15"/>
  <c r="EJ331" i="15"/>
  <c r="EK331" i="15"/>
  <c r="EL331" i="15"/>
  <c r="EM331" i="15"/>
  <c r="EN331" i="15"/>
  <c r="EO331" i="15"/>
  <c r="EP331" i="15"/>
  <c r="EQ331" i="15"/>
  <c r="ER331" i="15"/>
  <c r="ES331" i="15"/>
  <c r="ET331" i="15"/>
  <c r="EU331" i="15"/>
  <c r="EV331" i="15"/>
  <c r="EW331" i="15"/>
  <c r="EX331" i="15"/>
  <c r="EY331" i="15"/>
  <c r="EZ331" i="15"/>
  <c r="FA331" i="15"/>
  <c r="FB331" i="15"/>
  <c r="FC331" i="15"/>
  <c r="FD331" i="15"/>
  <c r="FE331" i="15"/>
  <c r="FF331" i="15"/>
  <c r="FG331" i="15"/>
  <c r="FH331" i="15"/>
  <c r="FI331" i="15"/>
  <c r="FJ331" i="15"/>
  <c r="FK331" i="15"/>
  <c r="FL331" i="15"/>
  <c r="FM331" i="15"/>
  <c r="FN331" i="15"/>
  <c r="FO331" i="15"/>
  <c r="FP331" i="15"/>
  <c r="FQ331" i="15"/>
  <c r="FR331" i="15"/>
  <c r="FS331" i="15"/>
  <c r="FT331" i="15"/>
  <c r="FU331" i="15"/>
  <c r="FV331" i="15"/>
  <c r="FW331" i="15"/>
  <c r="FX331" i="15"/>
  <c r="FY331" i="15"/>
  <c r="FZ331" i="15"/>
  <c r="GA331" i="15"/>
  <c r="GB331" i="15"/>
  <c r="GC331" i="15"/>
  <c r="GD331" i="15"/>
  <c r="GE331" i="15"/>
  <c r="GF331" i="15"/>
  <c r="GG331" i="15"/>
  <c r="GH331" i="15"/>
  <c r="GI331" i="15"/>
  <c r="GJ331" i="15"/>
  <c r="GK331" i="15"/>
  <c r="GL331" i="15"/>
  <c r="GM331" i="15"/>
  <c r="GN331" i="15"/>
  <c r="GO331" i="15"/>
  <c r="GP331" i="15"/>
  <c r="GQ331" i="15"/>
  <c r="GR331" i="15"/>
  <c r="GS331" i="15"/>
  <c r="GT331" i="15"/>
  <c r="GU331" i="15"/>
  <c r="GV331" i="15"/>
  <c r="GW331" i="15"/>
  <c r="GX331" i="15"/>
  <c r="GY331" i="15"/>
  <c r="GZ331" i="15"/>
  <c r="HA331" i="15"/>
  <c r="HB331" i="15"/>
  <c r="HC331" i="15"/>
  <c r="HD331" i="15"/>
  <c r="HE331" i="15"/>
  <c r="HF331" i="15"/>
  <c r="HG331" i="15"/>
  <c r="HH331" i="15"/>
  <c r="HI331" i="15"/>
  <c r="HJ331" i="15"/>
  <c r="HK331" i="15"/>
  <c r="HL331" i="15"/>
  <c r="HM331" i="15"/>
  <c r="HN331" i="15"/>
  <c r="HO331" i="15"/>
  <c r="HP331" i="15"/>
  <c r="HQ331" i="15"/>
  <c r="HR331" i="15"/>
  <c r="HS331" i="15"/>
  <c r="HT331" i="15"/>
  <c r="HU331" i="15"/>
  <c r="HV331" i="15"/>
  <c r="HW331" i="15"/>
  <c r="HX331" i="15"/>
  <c r="HY331" i="15"/>
  <c r="HZ331" i="15"/>
  <c r="IA331" i="15"/>
  <c r="IB331" i="15"/>
  <c r="IC331" i="15"/>
  <c r="ID331" i="15"/>
  <c r="IE331" i="15"/>
  <c r="IF331" i="15"/>
  <c r="IG331" i="15"/>
  <c r="IH331" i="15"/>
  <c r="II331" i="15"/>
  <c r="IJ331" i="15"/>
  <c r="IK331" i="15"/>
  <c r="IL331" i="15"/>
  <c r="IM331" i="15"/>
  <c r="IN331" i="15"/>
  <c r="IO331" i="15"/>
  <c r="IP331" i="15"/>
  <c r="IQ331" i="15"/>
  <c r="IR331" i="15"/>
  <c r="IS331" i="15"/>
  <c r="IT331" i="15"/>
  <c r="IU331" i="15"/>
  <c r="IV331" i="15"/>
  <c r="IW331" i="15"/>
  <c r="IX331" i="15"/>
  <c r="IY331" i="15"/>
  <c r="IZ331" i="15"/>
  <c r="JA331" i="15"/>
  <c r="JB331" i="15"/>
  <c r="JC331" i="15"/>
  <c r="JD331" i="15"/>
  <c r="JE331" i="15"/>
  <c r="JF331" i="15"/>
  <c r="JG331" i="15"/>
  <c r="JH331" i="15"/>
  <c r="JI331" i="15"/>
  <c r="JJ331" i="15"/>
  <c r="B301" i="15"/>
  <c r="C301" i="15"/>
  <c r="D301" i="15"/>
  <c r="E301" i="15"/>
  <c r="F301" i="15"/>
  <c r="G301" i="15"/>
  <c r="H301" i="15"/>
  <c r="I301" i="15"/>
  <c r="J301" i="15"/>
  <c r="K301" i="15"/>
  <c r="L301" i="15"/>
  <c r="M301" i="15"/>
  <c r="N301" i="15"/>
  <c r="O301" i="15"/>
  <c r="P301" i="15"/>
  <c r="Q301" i="15"/>
  <c r="R301" i="15"/>
  <c r="S301" i="15"/>
  <c r="T301" i="15"/>
  <c r="U301" i="15"/>
  <c r="V301" i="15"/>
  <c r="W301" i="15"/>
  <c r="X301" i="15"/>
  <c r="Y301" i="15"/>
  <c r="Z301" i="15"/>
  <c r="AA301" i="15"/>
  <c r="AB301" i="15"/>
  <c r="AC301" i="15"/>
  <c r="AD301" i="15"/>
  <c r="AE301" i="15"/>
  <c r="AF301" i="15"/>
  <c r="AG301" i="15"/>
  <c r="AH301" i="15"/>
  <c r="AI301" i="15"/>
  <c r="AJ301" i="15"/>
  <c r="AK301" i="15"/>
  <c r="AL301" i="15"/>
  <c r="AM301" i="15"/>
  <c r="AN301" i="15"/>
  <c r="AO301" i="15"/>
  <c r="AP301" i="15"/>
  <c r="AQ301" i="15"/>
  <c r="AR301" i="15"/>
  <c r="AS301" i="15"/>
  <c r="AT301" i="15"/>
  <c r="AU301" i="15"/>
  <c r="AV301" i="15"/>
  <c r="AW301" i="15"/>
  <c r="AX301" i="15"/>
  <c r="AY301" i="15"/>
  <c r="AZ301" i="15"/>
  <c r="BA301" i="15"/>
  <c r="BB301" i="15"/>
  <c r="BC301" i="15"/>
  <c r="BD301" i="15"/>
  <c r="BE301" i="15"/>
  <c r="BF301" i="15"/>
  <c r="BG301" i="15"/>
  <c r="BH301" i="15"/>
  <c r="BI301" i="15"/>
  <c r="BJ301" i="15"/>
  <c r="BK301" i="15"/>
  <c r="BL301" i="15"/>
  <c r="BM301" i="15"/>
  <c r="BN301" i="15"/>
  <c r="BO301" i="15"/>
  <c r="BP301" i="15"/>
  <c r="BQ301" i="15"/>
  <c r="BR301" i="15"/>
  <c r="BS301" i="15"/>
  <c r="BT301" i="15"/>
  <c r="BU301" i="15"/>
  <c r="BV301" i="15"/>
  <c r="BW301" i="15"/>
  <c r="BX301" i="15"/>
  <c r="BY301" i="15"/>
  <c r="BZ301" i="15"/>
  <c r="CA301" i="15"/>
  <c r="CB301" i="15"/>
  <c r="CC301" i="15"/>
  <c r="CD301" i="15"/>
  <c r="CE301" i="15"/>
  <c r="CF301" i="15"/>
  <c r="CG301" i="15"/>
  <c r="CH301" i="15"/>
  <c r="CI301" i="15"/>
  <c r="CJ301" i="15"/>
  <c r="CK301" i="15"/>
  <c r="CL301" i="15"/>
  <c r="CM301" i="15"/>
  <c r="CN301" i="15"/>
  <c r="CO301" i="15"/>
  <c r="CP301" i="15"/>
  <c r="CQ301" i="15"/>
  <c r="CR301" i="15"/>
  <c r="CS301" i="15"/>
  <c r="CT301" i="15"/>
  <c r="CU301" i="15"/>
  <c r="CV301" i="15"/>
  <c r="CW301" i="15"/>
  <c r="CX301" i="15"/>
  <c r="CY301" i="15"/>
  <c r="CZ301" i="15"/>
  <c r="DA301" i="15"/>
  <c r="DB301" i="15"/>
  <c r="DC301" i="15"/>
  <c r="DD301" i="15"/>
  <c r="DE301" i="15"/>
  <c r="DF301" i="15"/>
  <c r="DG301" i="15"/>
  <c r="DH301" i="15"/>
  <c r="DI301" i="15"/>
  <c r="DJ301" i="15"/>
  <c r="DK301" i="15"/>
  <c r="DL301" i="15"/>
  <c r="DM301" i="15"/>
  <c r="DN301" i="15"/>
  <c r="DO301" i="15"/>
  <c r="DP301" i="15"/>
  <c r="DQ301" i="15"/>
  <c r="DR301" i="15"/>
  <c r="DS301" i="15"/>
  <c r="DT301" i="15"/>
  <c r="DU301" i="15"/>
  <c r="DV301" i="15"/>
  <c r="DW301" i="15"/>
  <c r="DX301" i="15"/>
  <c r="DY301" i="15"/>
  <c r="DZ301" i="15"/>
  <c r="EA301" i="15"/>
  <c r="EB301" i="15"/>
  <c r="EC301" i="15"/>
  <c r="ED301" i="15"/>
  <c r="EE301" i="15"/>
  <c r="EF301" i="15"/>
  <c r="EG301" i="15"/>
  <c r="EH301" i="15"/>
  <c r="EI301" i="15"/>
  <c r="EJ301" i="15"/>
  <c r="EK301" i="15"/>
  <c r="EL301" i="15"/>
  <c r="EM301" i="15"/>
  <c r="EN301" i="15"/>
  <c r="EO301" i="15"/>
  <c r="EP301" i="15"/>
  <c r="EQ301" i="15"/>
  <c r="ER301" i="15"/>
  <c r="ES301" i="15"/>
  <c r="ET301" i="15"/>
  <c r="EU301" i="15"/>
  <c r="EV301" i="15"/>
  <c r="EW301" i="15"/>
  <c r="EX301" i="15"/>
  <c r="EY301" i="15"/>
  <c r="EZ301" i="15"/>
  <c r="FA301" i="15"/>
  <c r="FB301" i="15"/>
  <c r="FC301" i="15"/>
  <c r="FD301" i="15"/>
  <c r="FE301" i="15"/>
  <c r="FF301" i="15"/>
  <c r="FG301" i="15"/>
  <c r="FH301" i="15"/>
  <c r="FI301" i="15"/>
  <c r="FJ301" i="15"/>
  <c r="FK301" i="15"/>
  <c r="FL301" i="15"/>
  <c r="FM301" i="15"/>
  <c r="FN301" i="15"/>
  <c r="FO301" i="15"/>
  <c r="FP301" i="15"/>
  <c r="FQ301" i="15"/>
  <c r="FR301" i="15"/>
  <c r="FS301" i="15"/>
  <c r="FT301" i="15"/>
  <c r="FU301" i="15"/>
  <c r="FV301" i="15"/>
  <c r="FW301" i="15"/>
  <c r="FX301" i="15"/>
  <c r="FY301" i="15"/>
  <c r="FZ301" i="15"/>
  <c r="GA301" i="15"/>
  <c r="GB301" i="15"/>
  <c r="GC301" i="15"/>
  <c r="GD301" i="15"/>
  <c r="GE301" i="15"/>
  <c r="GF301" i="15"/>
  <c r="GG301" i="15"/>
  <c r="GH301" i="15"/>
  <c r="GI301" i="15"/>
  <c r="GJ301" i="15"/>
  <c r="GK301" i="15"/>
  <c r="GL301" i="15"/>
  <c r="GM301" i="15"/>
  <c r="GN301" i="15"/>
  <c r="GO301" i="15"/>
  <c r="GP301" i="15"/>
  <c r="GQ301" i="15"/>
  <c r="GR301" i="15"/>
  <c r="GS301" i="15"/>
  <c r="GT301" i="15"/>
  <c r="GU301" i="15"/>
  <c r="GV301" i="15"/>
  <c r="GW301" i="15"/>
  <c r="GX301" i="15"/>
  <c r="GY301" i="15"/>
  <c r="GZ301" i="15"/>
  <c r="HA301" i="15"/>
  <c r="HB301" i="15"/>
  <c r="HC301" i="15"/>
  <c r="HD301" i="15"/>
  <c r="HE301" i="15"/>
  <c r="HF301" i="15"/>
  <c r="HG301" i="15"/>
  <c r="HH301" i="15"/>
  <c r="HI301" i="15"/>
  <c r="HJ301" i="15"/>
  <c r="HK301" i="15"/>
  <c r="HL301" i="15"/>
  <c r="HM301" i="15"/>
  <c r="HN301" i="15"/>
  <c r="HO301" i="15"/>
  <c r="HP301" i="15"/>
  <c r="HQ301" i="15"/>
  <c r="HR301" i="15"/>
  <c r="HS301" i="15"/>
  <c r="HT301" i="15"/>
  <c r="HU301" i="15"/>
  <c r="HV301" i="15"/>
  <c r="HW301" i="15"/>
  <c r="HX301" i="15"/>
  <c r="HY301" i="15"/>
  <c r="HZ301" i="15"/>
  <c r="IA301" i="15"/>
  <c r="IB301" i="15"/>
  <c r="IC301" i="15"/>
  <c r="ID301" i="15"/>
  <c r="IE301" i="15"/>
  <c r="IF301" i="15"/>
  <c r="IG301" i="15"/>
  <c r="IH301" i="15"/>
  <c r="II301" i="15"/>
  <c r="IJ301" i="15"/>
  <c r="IK301" i="15"/>
  <c r="IL301" i="15"/>
  <c r="IM301" i="15"/>
  <c r="IN301" i="15"/>
  <c r="IO301" i="15"/>
  <c r="IP301" i="15"/>
  <c r="IQ301" i="15"/>
  <c r="IR301" i="15"/>
  <c r="IS301" i="15"/>
  <c r="IT301" i="15"/>
  <c r="IU301" i="15"/>
  <c r="IV301" i="15"/>
  <c r="IW301" i="15"/>
  <c r="IX301" i="15"/>
  <c r="IY301" i="15"/>
  <c r="IZ301" i="15"/>
  <c r="JA301" i="15"/>
  <c r="JB301" i="15"/>
  <c r="JC301" i="15"/>
  <c r="JD301" i="15"/>
  <c r="JE301" i="15"/>
  <c r="JF301" i="15"/>
  <c r="JG301" i="15"/>
  <c r="JH301" i="15"/>
  <c r="JI301" i="15"/>
  <c r="JJ301" i="15"/>
  <c r="A301" i="15"/>
  <c r="FM202" i="15"/>
  <c r="FN202" i="15"/>
  <c r="FO202" i="15"/>
  <c r="FP202" i="15"/>
  <c r="FQ202" i="15"/>
  <c r="FR202" i="15"/>
  <c r="FS202" i="15"/>
  <c r="FT202" i="15"/>
  <c r="FU202" i="15"/>
  <c r="FV202" i="15"/>
  <c r="FW202" i="15"/>
  <c r="FX202" i="15"/>
  <c r="FY202" i="15"/>
  <c r="FZ202" i="15"/>
  <c r="GA202" i="15"/>
  <c r="GB202" i="15"/>
  <c r="GC202" i="15"/>
  <c r="GD202" i="15"/>
  <c r="GE202" i="15"/>
  <c r="GF202" i="15"/>
  <c r="GG202" i="15"/>
  <c r="GH202" i="15"/>
  <c r="GI202" i="15"/>
  <c r="GJ202" i="15"/>
  <c r="GK202" i="15"/>
  <c r="GL202" i="15"/>
  <c r="GM202" i="15"/>
  <c r="GN202" i="15"/>
  <c r="GO202" i="15"/>
  <c r="GP202" i="15"/>
  <c r="GQ202" i="15"/>
  <c r="GR202" i="15"/>
  <c r="GS202" i="15"/>
  <c r="GT202" i="15"/>
  <c r="GU202" i="15"/>
  <c r="GV202" i="15"/>
  <c r="GW202" i="15"/>
  <c r="GX202" i="15"/>
  <c r="GY202" i="15"/>
  <c r="GZ202" i="15"/>
  <c r="HA202" i="15"/>
  <c r="HB202" i="15"/>
  <c r="HC202" i="15"/>
  <c r="HD202" i="15"/>
  <c r="HE202" i="15"/>
  <c r="HF202" i="15"/>
  <c r="HG202" i="15"/>
  <c r="HH202" i="15"/>
  <c r="FM203" i="15"/>
  <c r="FN203" i="15"/>
  <c r="FO203" i="15"/>
  <c r="FP203" i="15"/>
  <c r="FQ203" i="15"/>
  <c r="FR203" i="15"/>
  <c r="FS203" i="15"/>
  <c r="FT203" i="15"/>
  <c r="FU203" i="15"/>
  <c r="FV203" i="15"/>
  <c r="FW203" i="15"/>
  <c r="FX203" i="15"/>
  <c r="FY203" i="15"/>
  <c r="FZ203" i="15"/>
  <c r="GA203" i="15"/>
  <c r="GB203" i="15"/>
  <c r="GC203" i="15"/>
  <c r="GD203" i="15"/>
  <c r="GE203" i="15"/>
  <c r="GF203" i="15"/>
  <c r="GG203" i="15"/>
  <c r="GH203" i="15"/>
  <c r="GI203" i="15"/>
  <c r="GJ203" i="15"/>
  <c r="GK203" i="15"/>
  <c r="GL203" i="15"/>
  <c r="GM203" i="15"/>
  <c r="GN203" i="15"/>
  <c r="GO203" i="15"/>
  <c r="GP203" i="15"/>
  <c r="GQ203" i="15"/>
  <c r="GR203" i="15"/>
  <c r="GS203" i="15"/>
  <c r="GT203" i="15"/>
  <c r="GU203" i="15"/>
  <c r="GV203" i="15"/>
  <c r="GW203" i="15"/>
  <c r="GX203" i="15"/>
  <c r="GY203" i="15"/>
  <c r="GZ203" i="15"/>
  <c r="HA203" i="15"/>
  <c r="HB203" i="15"/>
  <c r="HC203" i="15"/>
  <c r="HD203" i="15"/>
  <c r="HE203" i="15"/>
  <c r="HF203" i="15"/>
  <c r="HG203" i="15"/>
  <c r="HH203" i="15"/>
  <c r="FM204" i="15"/>
  <c r="FN204" i="15"/>
  <c r="FO204" i="15"/>
  <c r="FP204" i="15"/>
  <c r="FQ204" i="15"/>
  <c r="FR204" i="15"/>
  <c r="FS204" i="15"/>
  <c r="FT204" i="15"/>
  <c r="FU204" i="15"/>
  <c r="FV204" i="15"/>
  <c r="FW204" i="15"/>
  <c r="FX204" i="15"/>
  <c r="FY204" i="15"/>
  <c r="FZ204" i="15"/>
  <c r="GA204" i="15"/>
  <c r="GB204" i="15"/>
  <c r="GC204" i="15"/>
  <c r="GD204" i="15"/>
  <c r="GE204" i="15"/>
  <c r="GF204" i="15"/>
  <c r="GG204" i="15"/>
  <c r="GH204" i="15"/>
  <c r="GI204" i="15"/>
  <c r="GJ204" i="15"/>
  <c r="GK204" i="15"/>
  <c r="GL204" i="15"/>
  <c r="GM204" i="15"/>
  <c r="GN204" i="15"/>
  <c r="GO204" i="15"/>
  <c r="GP204" i="15"/>
  <c r="GQ204" i="15"/>
  <c r="GR204" i="15"/>
  <c r="GS204" i="15"/>
  <c r="GT204" i="15"/>
  <c r="GU204" i="15"/>
  <c r="GV204" i="15"/>
  <c r="GW204" i="15"/>
  <c r="GX204" i="15"/>
  <c r="GY204" i="15"/>
  <c r="GZ204" i="15"/>
  <c r="HA204" i="15"/>
  <c r="HB204" i="15"/>
  <c r="HC204" i="15"/>
  <c r="HD204" i="15"/>
  <c r="HE204" i="15"/>
  <c r="HF204" i="15"/>
  <c r="HG204" i="15"/>
  <c r="HH204" i="15"/>
  <c r="FM205" i="15"/>
  <c r="FN205" i="15"/>
  <c r="FO205" i="15"/>
  <c r="FP205" i="15"/>
  <c r="FQ205" i="15"/>
  <c r="FR205" i="15"/>
  <c r="FS205" i="15"/>
  <c r="FT205" i="15"/>
  <c r="FU205" i="15"/>
  <c r="FV205" i="15"/>
  <c r="FW205" i="15"/>
  <c r="FX205" i="15"/>
  <c r="FY205" i="15"/>
  <c r="FZ205" i="15"/>
  <c r="GA205" i="15"/>
  <c r="GB205" i="15"/>
  <c r="GC205" i="15"/>
  <c r="GD205" i="15"/>
  <c r="GE205" i="15"/>
  <c r="GF205" i="15"/>
  <c r="GG205" i="15"/>
  <c r="GH205" i="15"/>
  <c r="GI205" i="15"/>
  <c r="GJ205" i="15"/>
  <c r="GK205" i="15"/>
  <c r="GL205" i="15"/>
  <c r="GM205" i="15"/>
  <c r="GN205" i="15"/>
  <c r="GO205" i="15"/>
  <c r="GP205" i="15"/>
  <c r="GQ205" i="15"/>
  <c r="GR205" i="15"/>
  <c r="GS205" i="15"/>
  <c r="GT205" i="15"/>
  <c r="GU205" i="15"/>
  <c r="GV205" i="15"/>
  <c r="GW205" i="15"/>
  <c r="GX205" i="15"/>
  <c r="GY205" i="15"/>
  <c r="GZ205" i="15"/>
  <c r="HA205" i="15"/>
  <c r="HB205" i="15"/>
  <c r="HC205" i="15"/>
  <c r="HD205" i="15"/>
  <c r="HE205" i="15"/>
  <c r="HF205" i="15"/>
  <c r="HG205" i="15"/>
  <c r="HH205" i="15"/>
  <c r="FM206" i="15"/>
  <c r="FN206" i="15"/>
  <c r="FO206" i="15"/>
  <c r="FP206" i="15"/>
  <c r="FQ206" i="15"/>
  <c r="FR206" i="15"/>
  <c r="FS206" i="15"/>
  <c r="FT206" i="15"/>
  <c r="FU206" i="15"/>
  <c r="FV206" i="15"/>
  <c r="FW206" i="15"/>
  <c r="FX206" i="15"/>
  <c r="FY206" i="15"/>
  <c r="FZ206" i="15"/>
  <c r="GA206" i="15"/>
  <c r="GB206" i="15"/>
  <c r="GC206" i="15"/>
  <c r="GD206" i="15"/>
  <c r="GE206" i="15"/>
  <c r="GF206" i="15"/>
  <c r="GG206" i="15"/>
  <c r="GH206" i="15"/>
  <c r="GI206" i="15"/>
  <c r="GJ206" i="15"/>
  <c r="GK206" i="15"/>
  <c r="GL206" i="15"/>
  <c r="GM206" i="15"/>
  <c r="GN206" i="15"/>
  <c r="GO206" i="15"/>
  <c r="GP206" i="15"/>
  <c r="GQ206" i="15"/>
  <c r="GR206" i="15"/>
  <c r="GS206" i="15"/>
  <c r="GT206" i="15"/>
  <c r="GU206" i="15"/>
  <c r="GV206" i="15"/>
  <c r="GW206" i="15"/>
  <c r="GX206" i="15"/>
  <c r="GY206" i="15"/>
  <c r="GZ206" i="15"/>
  <c r="HA206" i="15"/>
  <c r="HB206" i="15"/>
  <c r="HC206" i="15"/>
  <c r="HD206" i="15"/>
  <c r="HE206" i="15"/>
  <c r="HF206" i="15"/>
  <c r="HG206" i="15"/>
  <c r="HH206" i="15"/>
  <c r="FM207" i="15"/>
  <c r="FN207" i="15"/>
  <c r="FO207" i="15"/>
  <c r="FP207" i="15"/>
  <c r="FQ207" i="15"/>
  <c r="FR207" i="15"/>
  <c r="FS207" i="15"/>
  <c r="FT207" i="15"/>
  <c r="FU207" i="15"/>
  <c r="FV207" i="15"/>
  <c r="FW207" i="15"/>
  <c r="FX207" i="15"/>
  <c r="FY207" i="15"/>
  <c r="FZ207" i="15"/>
  <c r="GA207" i="15"/>
  <c r="GB207" i="15"/>
  <c r="GC207" i="15"/>
  <c r="GD207" i="15"/>
  <c r="GE207" i="15"/>
  <c r="GF207" i="15"/>
  <c r="GG207" i="15"/>
  <c r="GH207" i="15"/>
  <c r="GI207" i="15"/>
  <c r="GJ207" i="15"/>
  <c r="GK207" i="15"/>
  <c r="GL207" i="15"/>
  <c r="GM207" i="15"/>
  <c r="GN207" i="15"/>
  <c r="GO207" i="15"/>
  <c r="GP207" i="15"/>
  <c r="GQ207" i="15"/>
  <c r="GR207" i="15"/>
  <c r="GS207" i="15"/>
  <c r="GT207" i="15"/>
  <c r="GU207" i="15"/>
  <c r="GV207" i="15"/>
  <c r="GW207" i="15"/>
  <c r="GX207" i="15"/>
  <c r="GY207" i="15"/>
  <c r="GZ207" i="15"/>
  <c r="HA207" i="15"/>
  <c r="HB207" i="15"/>
  <c r="HC207" i="15"/>
  <c r="HD207" i="15"/>
  <c r="HE207" i="15"/>
  <c r="HF207" i="15"/>
  <c r="HG207" i="15"/>
  <c r="HH207" i="15"/>
  <c r="FM208" i="15"/>
  <c r="FN208" i="15"/>
  <c r="FO208" i="15"/>
  <c r="FP208" i="15"/>
  <c r="FQ208" i="15"/>
  <c r="FR208" i="15"/>
  <c r="FS208" i="15"/>
  <c r="FT208" i="15"/>
  <c r="FU208" i="15"/>
  <c r="FV208" i="15"/>
  <c r="FW208" i="15"/>
  <c r="FX208" i="15"/>
  <c r="FY208" i="15"/>
  <c r="FZ208" i="15"/>
  <c r="GA208" i="15"/>
  <c r="GB208" i="15"/>
  <c r="GC208" i="15"/>
  <c r="GD208" i="15"/>
  <c r="GE208" i="15"/>
  <c r="GF208" i="15"/>
  <c r="GG208" i="15"/>
  <c r="GH208" i="15"/>
  <c r="GI208" i="15"/>
  <c r="GJ208" i="15"/>
  <c r="GK208" i="15"/>
  <c r="GL208" i="15"/>
  <c r="GM208" i="15"/>
  <c r="GN208" i="15"/>
  <c r="GO208" i="15"/>
  <c r="GP208" i="15"/>
  <c r="GQ208" i="15"/>
  <c r="GR208" i="15"/>
  <c r="GS208" i="15"/>
  <c r="GT208" i="15"/>
  <c r="GU208" i="15"/>
  <c r="GV208" i="15"/>
  <c r="GW208" i="15"/>
  <c r="GX208" i="15"/>
  <c r="GY208" i="15"/>
  <c r="GZ208" i="15"/>
  <c r="HA208" i="15"/>
  <c r="HB208" i="15"/>
  <c r="HC208" i="15"/>
  <c r="HD208" i="15"/>
  <c r="HE208" i="15"/>
  <c r="HF208" i="15"/>
  <c r="HG208" i="15"/>
  <c r="HH208" i="15"/>
  <c r="FM209" i="15"/>
  <c r="FN209" i="15"/>
  <c r="FO209" i="15"/>
  <c r="FP209" i="15"/>
  <c r="FQ209" i="15"/>
  <c r="FR209" i="15"/>
  <c r="FS209" i="15"/>
  <c r="FT209" i="15"/>
  <c r="FU209" i="15"/>
  <c r="FV209" i="15"/>
  <c r="FW209" i="15"/>
  <c r="FX209" i="15"/>
  <c r="FY209" i="15"/>
  <c r="FZ209" i="15"/>
  <c r="GA209" i="15"/>
  <c r="GB209" i="15"/>
  <c r="GC209" i="15"/>
  <c r="GD209" i="15"/>
  <c r="GE209" i="15"/>
  <c r="GF209" i="15"/>
  <c r="GG209" i="15"/>
  <c r="GH209" i="15"/>
  <c r="GI209" i="15"/>
  <c r="GJ209" i="15"/>
  <c r="GK209" i="15"/>
  <c r="GL209" i="15"/>
  <c r="GM209" i="15"/>
  <c r="GN209" i="15"/>
  <c r="GO209" i="15"/>
  <c r="GP209" i="15"/>
  <c r="GQ209" i="15"/>
  <c r="GR209" i="15"/>
  <c r="GS209" i="15"/>
  <c r="GT209" i="15"/>
  <c r="GU209" i="15"/>
  <c r="GV209" i="15"/>
  <c r="GW209" i="15"/>
  <c r="GX209" i="15"/>
  <c r="GY209" i="15"/>
  <c r="GZ209" i="15"/>
  <c r="HA209" i="15"/>
  <c r="HB209" i="15"/>
  <c r="HC209" i="15"/>
  <c r="HD209" i="15"/>
  <c r="HE209" i="15"/>
  <c r="HF209" i="15"/>
  <c r="HG209" i="15"/>
  <c r="HH209" i="15"/>
  <c r="FM210" i="15"/>
  <c r="FN210" i="15"/>
  <c r="FO210" i="15"/>
  <c r="FP210" i="15"/>
  <c r="FQ210" i="15"/>
  <c r="FR210" i="15"/>
  <c r="FS210" i="15"/>
  <c r="FT210" i="15"/>
  <c r="FU210" i="15"/>
  <c r="FV210" i="15"/>
  <c r="FW210" i="15"/>
  <c r="FX210" i="15"/>
  <c r="FY210" i="15"/>
  <c r="FZ210" i="15"/>
  <c r="GA210" i="15"/>
  <c r="GB210" i="15"/>
  <c r="GC210" i="15"/>
  <c r="GD210" i="15"/>
  <c r="GE210" i="15"/>
  <c r="GF210" i="15"/>
  <c r="GG210" i="15"/>
  <c r="GH210" i="15"/>
  <c r="GI210" i="15"/>
  <c r="GJ210" i="15"/>
  <c r="GK210" i="15"/>
  <c r="GL210" i="15"/>
  <c r="GM210" i="15"/>
  <c r="GN210" i="15"/>
  <c r="GO210" i="15"/>
  <c r="GP210" i="15"/>
  <c r="GQ210" i="15"/>
  <c r="GR210" i="15"/>
  <c r="GS210" i="15"/>
  <c r="GT210" i="15"/>
  <c r="GU210" i="15"/>
  <c r="GV210" i="15"/>
  <c r="GW210" i="15"/>
  <c r="GX210" i="15"/>
  <c r="GY210" i="15"/>
  <c r="GZ210" i="15"/>
  <c r="HA210" i="15"/>
  <c r="HB210" i="15"/>
  <c r="HC210" i="15"/>
  <c r="HD210" i="15"/>
  <c r="HE210" i="15"/>
  <c r="HF210" i="15"/>
  <c r="HG210" i="15"/>
  <c r="HH210" i="15"/>
  <c r="FM211" i="15"/>
  <c r="FN211" i="15"/>
  <c r="FO211" i="15"/>
  <c r="FP211" i="15"/>
  <c r="FQ211" i="15"/>
  <c r="FR211" i="15"/>
  <c r="FS211" i="15"/>
  <c r="FT211" i="15"/>
  <c r="FU211" i="15"/>
  <c r="FV211" i="15"/>
  <c r="FW211" i="15"/>
  <c r="FX211" i="15"/>
  <c r="FY211" i="15"/>
  <c r="FZ211" i="15"/>
  <c r="GA211" i="15"/>
  <c r="GB211" i="15"/>
  <c r="GC211" i="15"/>
  <c r="GD211" i="15"/>
  <c r="GE211" i="15"/>
  <c r="GF211" i="15"/>
  <c r="GG211" i="15"/>
  <c r="GH211" i="15"/>
  <c r="GI211" i="15"/>
  <c r="GJ211" i="15"/>
  <c r="GK211" i="15"/>
  <c r="GL211" i="15"/>
  <c r="GM211" i="15"/>
  <c r="GN211" i="15"/>
  <c r="GO211" i="15"/>
  <c r="GP211" i="15"/>
  <c r="GQ211" i="15"/>
  <c r="GR211" i="15"/>
  <c r="GS211" i="15"/>
  <c r="GT211" i="15"/>
  <c r="GU211" i="15"/>
  <c r="GV211" i="15"/>
  <c r="GW211" i="15"/>
  <c r="GX211" i="15"/>
  <c r="GY211" i="15"/>
  <c r="GZ211" i="15"/>
  <c r="HA211" i="15"/>
  <c r="HB211" i="15"/>
  <c r="HC211" i="15"/>
  <c r="HD211" i="15"/>
  <c r="HE211" i="15"/>
  <c r="HF211" i="15"/>
  <c r="HG211" i="15"/>
  <c r="HH211" i="15"/>
  <c r="FM212" i="15"/>
  <c r="FN212" i="15"/>
  <c r="FO212" i="15"/>
  <c r="FP212" i="15"/>
  <c r="FQ212" i="15"/>
  <c r="FR212" i="15"/>
  <c r="FS212" i="15"/>
  <c r="FT212" i="15"/>
  <c r="FU212" i="15"/>
  <c r="FV212" i="15"/>
  <c r="FW212" i="15"/>
  <c r="FX212" i="15"/>
  <c r="FY212" i="15"/>
  <c r="FZ212" i="15"/>
  <c r="GA212" i="15"/>
  <c r="GB212" i="15"/>
  <c r="GC212" i="15"/>
  <c r="GD212" i="15"/>
  <c r="GE212" i="15"/>
  <c r="GF212" i="15"/>
  <c r="GG212" i="15"/>
  <c r="GH212" i="15"/>
  <c r="GI212" i="15"/>
  <c r="GJ212" i="15"/>
  <c r="GK212" i="15"/>
  <c r="GL212" i="15"/>
  <c r="GM212" i="15"/>
  <c r="GN212" i="15"/>
  <c r="GO212" i="15"/>
  <c r="GP212" i="15"/>
  <c r="GQ212" i="15"/>
  <c r="GR212" i="15"/>
  <c r="GS212" i="15"/>
  <c r="GT212" i="15"/>
  <c r="GU212" i="15"/>
  <c r="GV212" i="15"/>
  <c r="GW212" i="15"/>
  <c r="GX212" i="15"/>
  <c r="GY212" i="15"/>
  <c r="GZ212" i="15"/>
  <c r="HA212" i="15"/>
  <c r="HB212" i="15"/>
  <c r="HC212" i="15"/>
  <c r="HD212" i="15"/>
  <c r="HE212" i="15"/>
  <c r="HF212" i="15"/>
  <c r="HG212" i="15"/>
  <c r="HH212" i="15"/>
  <c r="FM213" i="15"/>
  <c r="FN213" i="15"/>
  <c r="FO213" i="15"/>
  <c r="FP213" i="15"/>
  <c r="FQ213" i="15"/>
  <c r="FR213" i="15"/>
  <c r="FS213" i="15"/>
  <c r="FT213" i="15"/>
  <c r="FU213" i="15"/>
  <c r="FV213" i="15"/>
  <c r="FW213" i="15"/>
  <c r="FX213" i="15"/>
  <c r="FY213" i="15"/>
  <c r="FZ213" i="15"/>
  <c r="GA213" i="15"/>
  <c r="GB213" i="15"/>
  <c r="GC213" i="15"/>
  <c r="GD213" i="15"/>
  <c r="GE213" i="15"/>
  <c r="GF213" i="15"/>
  <c r="GG213" i="15"/>
  <c r="GH213" i="15"/>
  <c r="GI213" i="15"/>
  <c r="GJ213" i="15"/>
  <c r="GK213" i="15"/>
  <c r="GL213" i="15"/>
  <c r="GM213" i="15"/>
  <c r="GN213" i="15"/>
  <c r="GO213" i="15"/>
  <c r="GP213" i="15"/>
  <c r="GQ213" i="15"/>
  <c r="GR213" i="15"/>
  <c r="GS213" i="15"/>
  <c r="GT213" i="15"/>
  <c r="GU213" i="15"/>
  <c r="GV213" i="15"/>
  <c r="GW213" i="15"/>
  <c r="GX213" i="15"/>
  <c r="GY213" i="15"/>
  <c r="GZ213" i="15"/>
  <c r="HA213" i="15"/>
  <c r="HB213" i="15"/>
  <c r="HC213" i="15"/>
  <c r="HD213" i="15"/>
  <c r="HE213" i="15"/>
  <c r="HF213" i="15"/>
  <c r="HG213" i="15"/>
  <c r="HH213" i="15"/>
  <c r="FM214" i="15"/>
  <c r="FN214" i="15"/>
  <c r="FO214" i="15"/>
  <c r="FP214" i="15"/>
  <c r="FQ214" i="15"/>
  <c r="FR214" i="15"/>
  <c r="FS214" i="15"/>
  <c r="FT214" i="15"/>
  <c r="FU214" i="15"/>
  <c r="FV214" i="15"/>
  <c r="FW214" i="15"/>
  <c r="FX214" i="15"/>
  <c r="FY214" i="15"/>
  <c r="FZ214" i="15"/>
  <c r="GA214" i="15"/>
  <c r="GB214" i="15"/>
  <c r="GC214" i="15"/>
  <c r="GD214" i="15"/>
  <c r="GE214" i="15"/>
  <c r="GF214" i="15"/>
  <c r="GG214" i="15"/>
  <c r="GH214" i="15"/>
  <c r="GI214" i="15"/>
  <c r="GJ214" i="15"/>
  <c r="GK214" i="15"/>
  <c r="GL214" i="15"/>
  <c r="GM214" i="15"/>
  <c r="GN214" i="15"/>
  <c r="GO214" i="15"/>
  <c r="GP214" i="15"/>
  <c r="GQ214" i="15"/>
  <c r="GR214" i="15"/>
  <c r="GS214" i="15"/>
  <c r="GT214" i="15"/>
  <c r="GU214" i="15"/>
  <c r="GV214" i="15"/>
  <c r="GW214" i="15"/>
  <c r="GX214" i="15"/>
  <c r="GY214" i="15"/>
  <c r="GZ214" i="15"/>
  <c r="HA214" i="15"/>
  <c r="HB214" i="15"/>
  <c r="HC214" i="15"/>
  <c r="HD214" i="15"/>
  <c r="HE214" i="15"/>
  <c r="HF214" i="15"/>
  <c r="HG214" i="15"/>
  <c r="HH214" i="15"/>
  <c r="FM215" i="15"/>
  <c r="FN215" i="15"/>
  <c r="FO215" i="15"/>
  <c r="FP215" i="15"/>
  <c r="FQ215" i="15"/>
  <c r="FR215" i="15"/>
  <c r="FS215" i="15"/>
  <c r="FT215" i="15"/>
  <c r="FU215" i="15"/>
  <c r="FV215" i="15"/>
  <c r="FW215" i="15"/>
  <c r="FX215" i="15"/>
  <c r="FY215" i="15"/>
  <c r="FZ215" i="15"/>
  <c r="GA215" i="15"/>
  <c r="GB215" i="15"/>
  <c r="GC215" i="15"/>
  <c r="GD215" i="15"/>
  <c r="GE215" i="15"/>
  <c r="GF215" i="15"/>
  <c r="GG215" i="15"/>
  <c r="GH215" i="15"/>
  <c r="GI215" i="15"/>
  <c r="GJ215" i="15"/>
  <c r="GK215" i="15"/>
  <c r="GL215" i="15"/>
  <c r="GM215" i="15"/>
  <c r="GN215" i="15"/>
  <c r="GO215" i="15"/>
  <c r="GP215" i="15"/>
  <c r="GQ215" i="15"/>
  <c r="GR215" i="15"/>
  <c r="GS215" i="15"/>
  <c r="GT215" i="15"/>
  <c r="GU215" i="15"/>
  <c r="GV215" i="15"/>
  <c r="GW215" i="15"/>
  <c r="GX215" i="15"/>
  <c r="GY215" i="15"/>
  <c r="GZ215" i="15"/>
  <c r="HA215" i="15"/>
  <c r="HB215" i="15"/>
  <c r="HC215" i="15"/>
  <c r="HD215" i="15"/>
  <c r="HE215" i="15"/>
  <c r="HF215" i="15"/>
  <c r="HG215" i="15"/>
  <c r="HH215" i="15"/>
  <c r="FM216" i="15"/>
  <c r="FN216" i="15"/>
  <c r="FO216" i="15"/>
  <c r="FP216" i="15"/>
  <c r="FQ216" i="15"/>
  <c r="FR216" i="15"/>
  <c r="FS216" i="15"/>
  <c r="FT216" i="15"/>
  <c r="FU216" i="15"/>
  <c r="FV216" i="15"/>
  <c r="FW216" i="15"/>
  <c r="FX216" i="15"/>
  <c r="FY216" i="15"/>
  <c r="FZ216" i="15"/>
  <c r="GA216" i="15"/>
  <c r="GB216" i="15"/>
  <c r="GC216" i="15"/>
  <c r="GD216" i="15"/>
  <c r="GE216" i="15"/>
  <c r="GF216" i="15"/>
  <c r="GG216" i="15"/>
  <c r="GH216" i="15"/>
  <c r="GI216" i="15"/>
  <c r="GJ216" i="15"/>
  <c r="GK216" i="15"/>
  <c r="GL216" i="15"/>
  <c r="GM216" i="15"/>
  <c r="GN216" i="15"/>
  <c r="GO216" i="15"/>
  <c r="GP216" i="15"/>
  <c r="GQ216" i="15"/>
  <c r="GR216" i="15"/>
  <c r="GS216" i="15"/>
  <c r="GT216" i="15"/>
  <c r="GU216" i="15"/>
  <c r="GV216" i="15"/>
  <c r="GW216" i="15"/>
  <c r="GX216" i="15"/>
  <c r="GY216" i="15"/>
  <c r="GZ216" i="15"/>
  <c r="HA216" i="15"/>
  <c r="HB216" i="15"/>
  <c r="HC216" i="15"/>
  <c r="HD216" i="15"/>
  <c r="HE216" i="15"/>
  <c r="HF216" i="15"/>
  <c r="HG216" i="15"/>
  <c r="HH216" i="15"/>
  <c r="FM217" i="15"/>
  <c r="FN217" i="15"/>
  <c r="FO217" i="15"/>
  <c r="FP217" i="15"/>
  <c r="FQ217" i="15"/>
  <c r="FR217" i="15"/>
  <c r="FS217" i="15"/>
  <c r="FT217" i="15"/>
  <c r="FU217" i="15"/>
  <c r="FV217" i="15"/>
  <c r="FW217" i="15"/>
  <c r="FX217" i="15"/>
  <c r="FY217" i="15"/>
  <c r="FZ217" i="15"/>
  <c r="GA217" i="15"/>
  <c r="GB217" i="15"/>
  <c r="GC217" i="15"/>
  <c r="GD217" i="15"/>
  <c r="GE217" i="15"/>
  <c r="GF217" i="15"/>
  <c r="GG217" i="15"/>
  <c r="GH217" i="15"/>
  <c r="GI217" i="15"/>
  <c r="GJ217" i="15"/>
  <c r="GK217" i="15"/>
  <c r="GL217" i="15"/>
  <c r="GM217" i="15"/>
  <c r="GN217" i="15"/>
  <c r="GO217" i="15"/>
  <c r="GP217" i="15"/>
  <c r="GQ217" i="15"/>
  <c r="GR217" i="15"/>
  <c r="GS217" i="15"/>
  <c r="GT217" i="15"/>
  <c r="GU217" i="15"/>
  <c r="GV217" i="15"/>
  <c r="GW217" i="15"/>
  <c r="GX217" i="15"/>
  <c r="GY217" i="15"/>
  <c r="GZ217" i="15"/>
  <c r="HA217" i="15"/>
  <c r="HB217" i="15"/>
  <c r="HC217" i="15"/>
  <c r="HD217" i="15"/>
  <c r="HE217" i="15"/>
  <c r="HF217" i="15"/>
  <c r="HG217" i="15"/>
  <c r="HH217" i="15"/>
  <c r="FM218" i="15"/>
  <c r="FN218" i="15"/>
  <c r="FO218" i="15"/>
  <c r="FP218" i="15"/>
  <c r="FQ218" i="15"/>
  <c r="FR218" i="15"/>
  <c r="FS218" i="15"/>
  <c r="FT218" i="15"/>
  <c r="FU218" i="15"/>
  <c r="FV218" i="15"/>
  <c r="FW218" i="15"/>
  <c r="FX218" i="15"/>
  <c r="FY218" i="15"/>
  <c r="FZ218" i="15"/>
  <c r="GA218" i="15"/>
  <c r="GB218" i="15"/>
  <c r="GC218" i="15"/>
  <c r="GD218" i="15"/>
  <c r="GE218" i="15"/>
  <c r="GF218" i="15"/>
  <c r="GG218" i="15"/>
  <c r="GH218" i="15"/>
  <c r="GI218" i="15"/>
  <c r="GJ218" i="15"/>
  <c r="GK218" i="15"/>
  <c r="GL218" i="15"/>
  <c r="GM218" i="15"/>
  <c r="GN218" i="15"/>
  <c r="GO218" i="15"/>
  <c r="GP218" i="15"/>
  <c r="GQ218" i="15"/>
  <c r="GR218" i="15"/>
  <c r="GS218" i="15"/>
  <c r="GT218" i="15"/>
  <c r="GU218" i="15"/>
  <c r="GV218" i="15"/>
  <c r="GW218" i="15"/>
  <c r="GX218" i="15"/>
  <c r="GY218" i="15"/>
  <c r="GZ218" i="15"/>
  <c r="HA218" i="15"/>
  <c r="HB218" i="15"/>
  <c r="HC218" i="15"/>
  <c r="HD218" i="15"/>
  <c r="HE218" i="15"/>
  <c r="HF218" i="15"/>
  <c r="HG218" i="15"/>
  <c r="HH218" i="15"/>
  <c r="FM219" i="15"/>
  <c r="FN219" i="15"/>
  <c r="FO219" i="15"/>
  <c r="FP219" i="15"/>
  <c r="FQ219" i="15"/>
  <c r="FR219" i="15"/>
  <c r="FS219" i="15"/>
  <c r="FT219" i="15"/>
  <c r="FU219" i="15"/>
  <c r="FV219" i="15"/>
  <c r="FW219" i="15"/>
  <c r="FX219" i="15"/>
  <c r="FY219" i="15"/>
  <c r="FZ219" i="15"/>
  <c r="GA219" i="15"/>
  <c r="GB219" i="15"/>
  <c r="GC219" i="15"/>
  <c r="GD219" i="15"/>
  <c r="GE219" i="15"/>
  <c r="GF219" i="15"/>
  <c r="GG219" i="15"/>
  <c r="GH219" i="15"/>
  <c r="GI219" i="15"/>
  <c r="GJ219" i="15"/>
  <c r="GK219" i="15"/>
  <c r="GL219" i="15"/>
  <c r="GM219" i="15"/>
  <c r="GN219" i="15"/>
  <c r="GO219" i="15"/>
  <c r="GP219" i="15"/>
  <c r="GQ219" i="15"/>
  <c r="GR219" i="15"/>
  <c r="GS219" i="15"/>
  <c r="GT219" i="15"/>
  <c r="GU219" i="15"/>
  <c r="GV219" i="15"/>
  <c r="GW219" i="15"/>
  <c r="GX219" i="15"/>
  <c r="GY219" i="15"/>
  <c r="GZ219" i="15"/>
  <c r="HA219" i="15"/>
  <c r="HB219" i="15"/>
  <c r="HC219" i="15"/>
  <c r="HD219" i="15"/>
  <c r="HE219" i="15"/>
  <c r="HF219" i="15"/>
  <c r="HG219" i="15"/>
  <c r="HH219" i="15"/>
  <c r="FM220" i="15"/>
  <c r="FN220" i="15"/>
  <c r="FO220" i="15"/>
  <c r="FP220" i="15"/>
  <c r="FQ220" i="15"/>
  <c r="FR220" i="15"/>
  <c r="FS220" i="15"/>
  <c r="FT220" i="15"/>
  <c r="FU220" i="15"/>
  <c r="FV220" i="15"/>
  <c r="FW220" i="15"/>
  <c r="FX220" i="15"/>
  <c r="FY220" i="15"/>
  <c r="FZ220" i="15"/>
  <c r="GA220" i="15"/>
  <c r="GB220" i="15"/>
  <c r="GC220" i="15"/>
  <c r="GD220" i="15"/>
  <c r="GE220" i="15"/>
  <c r="GF220" i="15"/>
  <c r="GG220" i="15"/>
  <c r="GH220" i="15"/>
  <c r="GI220" i="15"/>
  <c r="GJ220" i="15"/>
  <c r="GK220" i="15"/>
  <c r="GL220" i="15"/>
  <c r="GM220" i="15"/>
  <c r="GN220" i="15"/>
  <c r="GO220" i="15"/>
  <c r="GP220" i="15"/>
  <c r="GQ220" i="15"/>
  <c r="GR220" i="15"/>
  <c r="GS220" i="15"/>
  <c r="GT220" i="15"/>
  <c r="GU220" i="15"/>
  <c r="GV220" i="15"/>
  <c r="GW220" i="15"/>
  <c r="GX220" i="15"/>
  <c r="GY220" i="15"/>
  <c r="GZ220" i="15"/>
  <c r="HA220" i="15"/>
  <c r="HB220" i="15"/>
  <c r="HC220" i="15"/>
  <c r="HD220" i="15"/>
  <c r="HE220" i="15"/>
  <c r="HF220" i="15"/>
  <c r="HG220" i="15"/>
  <c r="HH220" i="15"/>
  <c r="FM221" i="15"/>
  <c r="FN221" i="15"/>
  <c r="FO221" i="15"/>
  <c r="FP221" i="15"/>
  <c r="FQ221" i="15"/>
  <c r="FR221" i="15"/>
  <c r="FS221" i="15"/>
  <c r="FT221" i="15"/>
  <c r="FU221" i="15"/>
  <c r="FV221" i="15"/>
  <c r="FW221" i="15"/>
  <c r="FX221" i="15"/>
  <c r="FY221" i="15"/>
  <c r="FZ221" i="15"/>
  <c r="GA221" i="15"/>
  <c r="GB221" i="15"/>
  <c r="GC221" i="15"/>
  <c r="GD221" i="15"/>
  <c r="GE221" i="15"/>
  <c r="GF221" i="15"/>
  <c r="GG221" i="15"/>
  <c r="GH221" i="15"/>
  <c r="GI221" i="15"/>
  <c r="GJ221" i="15"/>
  <c r="GK221" i="15"/>
  <c r="GL221" i="15"/>
  <c r="GM221" i="15"/>
  <c r="GN221" i="15"/>
  <c r="GO221" i="15"/>
  <c r="GP221" i="15"/>
  <c r="GQ221" i="15"/>
  <c r="GR221" i="15"/>
  <c r="GS221" i="15"/>
  <c r="GT221" i="15"/>
  <c r="GU221" i="15"/>
  <c r="GV221" i="15"/>
  <c r="GW221" i="15"/>
  <c r="GX221" i="15"/>
  <c r="GY221" i="15"/>
  <c r="GZ221" i="15"/>
  <c r="HA221" i="15"/>
  <c r="HB221" i="15"/>
  <c r="HC221" i="15"/>
  <c r="HD221" i="15"/>
  <c r="HE221" i="15"/>
  <c r="HF221" i="15"/>
  <c r="HG221" i="15"/>
  <c r="HH221" i="15"/>
  <c r="FM222" i="15"/>
  <c r="FN222" i="15"/>
  <c r="FO222" i="15"/>
  <c r="FP222" i="15"/>
  <c r="FQ222" i="15"/>
  <c r="FR222" i="15"/>
  <c r="FS222" i="15"/>
  <c r="FT222" i="15"/>
  <c r="FU222" i="15"/>
  <c r="FV222" i="15"/>
  <c r="FW222" i="15"/>
  <c r="FX222" i="15"/>
  <c r="FY222" i="15"/>
  <c r="FZ222" i="15"/>
  <c r="GA222" i="15"/>
  <c r="GB222" i="15"/>
  <c r="GC222" i="15"/>
  <c r="GD222" i="15"/>
  <c r="GE222" i="15"/>
  <c r="GF222" i="15"/>
  <c r="GG222" i="15"/>
  <c r="GH222" i="15"/>
  <c r="GI222" i="15"/>
  <c r="GJ222" i="15"/>
  <c r="GK222" i="15"/>
  <c r="GL222" i="15"/>
  <c r="GM222" i="15"/>
  <c r="GN222" i="15"/>
  <c r="GO222" i="15"/>
  <c r="GP222" i="15"/>
  <c r="GQ222" i="15"/>
  <c r="GR222" i="15"/>
  <c r="GS222" i="15"/>
  <c r="GT222" i="15"/>
  <c r="GU222" i="15"/>
  <c r="GV222" i="15"/>
  <c r="GW222" i="15"/>
  <c r="GX222" i="15"/>
  <c r="GY222" i="15"/>
  <c r="GZ222" i="15"/>
  <c r="HA222" i="15"/>
  <c r="HB222" i="15"/>
  <c r="HC222" i="15"/>
  <c r="HD222" i="15"/>
  <c r="HE222" i="15"/>
  <c r="HF222" i="15"/>
  <c r="HG222" i="15"/>
  <c r="HH222" i="15"/>
  <c r="FM223" i="15"/>
  <c r="FN223" i="15"/>
  <c r="FO223" i="15"/>
  <c r="FP223" i="15"/>
  <c r="FQ223" i="15"/>
  <c r="FR223" i="15"/>
  <c r="FS223" i="15"/>
  <c r="FT223" i="15"/>
  <c r="FU223" i="15"/>
  <c r="FV223" i="15"/>
  <c r="FW223" i="15"/>
  <c r="FX223" i="15"/>
  <c r="FY223" i="15"/>
  <c r="FZ223" i="15"/>
  <c r="GA223" i="15"/>
  <c r="GB223" i="15"/>
  <c r="GC223" i="15"/>
  <c r="GD223" i="15"/>
  <c r="GE223" i="15"/>
  <c r="GF223" i="15"/>
  <c r="GG223" i="15"/>
  <c r="GH223" i="15"/>
  <c r="GI223" i="15"/>
  <c r="GJ223" i="15"/>
  <c r="GK223" i="15"/>
  <c r="GL223" i="15"/>
  <c r="GM223" i="15"/>
  <c r="GN223" i="15"/>
  <c r="GO223" i="15"/>
  <c r="GP223" i="15"/>
  <c r="GQ223" i="15"/>
  <c r="GR223" i="15"/>
  <c r="GS223" i="15"/>
  <c r="GT223" i="15"/>
  <c r="GU223" i="15"/>
  <c r="GV223" i="15"/>
  <c r="GW223" i="15"/>
  <c r="GX223" i="15"/>
  <c r="GY223" i="15"/>
  <c r="GZ223" i="15"/>
  <c r="HA223" i="15"/>
  <c r="HB223" i="15"/>
  <c r="HC223" i="15"/>
  <c r="HD223" i="15"/>
  <c r="HE223" i="15"/>
  <c r="HF223" i="15"/>
  <c r="HG223" i="15"/>
  <c r="HH223" i="15"/>
  <c r="FM224" i="15"/>
  <c r="FN224" i="15"/>
  <c r="FO224" i="15"/>
  <c r="FP224" i="15"/>
  <c r="FQ224" i="15"/>
  <c r="FR224" i="15"/>
  <c r="FS224" i="15"/>
  <c r="FT224" i="15"/>
  <c r="FU224" i="15"/>
  <c r="FV224" i="15"/>
  <c r="FW224" i="15"/>
  <c r="FX224" i="15"/>
  <c r="FY224" i="15"/>
  <c r="FZ224" i="15"/>
  <c r="GA224" i="15"/>
  <c r="GB224" i="15"/>
  <c r="GC224" i="15"/>
  <c r="GD224" i="15"/>
  <c r="GE224" i="15"/>
  <c r="GF224" i="15"/>
  <c r="GG224" i="15"/>
  <c r="GH224" i="15"/>
  <c r="GI224" i="15"/>
  <c r="GJ224" i="15"/>
  <c r="GK224" i="15"/>
  <c r="GL224" i="15"/>
  <c r="GM224" i="15"/>
  <c r="GN224" i="15"/>
  <c r="GO224" i="15"/>
  <c r="GP224" i="15"/>
  <c r="GQ224" i="15"/>
  <c r="GR224" i="15"/>
  <c r="GS224" i="15"/>
  <c r="GT224" i="15"/>
  <c r="GU224" i="15"/>
  <c r="GV224" i="15"/>
  <c r="GW224" i="15"/>
  <c r="GX224" i="15"/>
  <c r="GY224" i="15"/>
  <c r="GZ224" i="15"/>
  <c r="HA224" i="15"/>
  <c r="HB224" i="15"/>
  <c r="HC224" i="15"/>
  <c r="HD224" i="15"/>
  <c r="HE224" i="15"/>
  <c r="HF224" i="15"/>
  <c r="HG224" i="15"/>
  <c r="HH224" i="15"/>
  <c r="FM225" i="15"/>
  <c r="FN225" i="15"/>
  <c r="FO225" i="15"/>
  <c r="FP225" i="15"/>
  <c r="FQ225" i="15"/>
  <c r="FR225" i="15"/>
  <c r="FS225" i="15"/>
  <c r="FT225" i="15"/>
  <c r="FU225" i="15"/>
  <c r="FV225" i="15"/>
  <c r="FW225" i="15"/>
  <c r="FX225" i="15"/>
  <c r="FY225" i="15"/>
  <c r="FZ225" i="15"/>
  <c r="GA225" i="15"/>
  <c r="GB225" i="15"/>
  <c r="GC225" i="15"/>
  <c r="GD225" i="15"/>
  <c r="GE225" i="15"/>
  <c r="GF225" i="15"/>
  <c r="GG225" i="15"/>
  <c r="GH225" i="15"/>
  <c r="GI225" i="15"/>
  <c r="GJ225" i="15"/>
  <c r="GK225" i="15"/>
  <c r="GL225" i="15"/>
  <c r="GM225" i="15"/>
  <c r="GN225" i="15"/>
  <c r="GO225" i="15"/>
  <c r="GP225" i="15"/>
  <c r="GQ225" i="15"/>
  <c r="GR225" i="15"/>
  <c r="GS225" i="15"/>
  <c r="GT225" i="15"/>
  <c r="GU225" i="15"/>
  <c r="GV225" i="15"/>
  <c r="GW225" i="15"/>
  <c r="GX225" i="15"/>
  <c r="GY225" i="15"/>
  <c r="GZ225" i="15"/>
  <c r="HA225" i="15"/>
  <c r="HB225" i="15"/>
  <c r="HC225" i="15"/>
  <c r="HD225" i="15"/>
  <c r="HE225" i="15"/>
  <c r="HF225" i="15"/>
  <c r="HG225" i="15"/>
  <c r="HH225" i="15"/>
  <c r="FM226" i="15"/>
  <c r="FN226" i="15"/>
  <c r="FO226" i="15"/>
  <c r="FP226" i="15"/>
  <c r="FQ226" i="15"/>
  <c r="FR226" i="15"/>
  <c r="FS226" i="15"/>
  <c r="FT226" i="15"/>
  <c r="FU226" i="15"/>
  <c r="FV226" i="15"/>
  <c r="FW226" i="15"/>
  <c r="FX226" i="15"/>
  <c r="FY226" i="15"/>
  <c r="FZ226" i="15"/>
  <c r="GA226" i="15"/>
  <c r="GB226" i="15"/>
  <c r="GC226" i="15"/>
  <c r="GD226" i="15"/>
  <c r="GE226" i="15"/>
  <c r="GF226" i="15"/>
  <c r="GG226" i="15"/>
  <c r="GH226" i="15"/>
  <c r="GI226" i="15"/>
  <c r="GJ226" i="15"/>
  <c r="GK226" i="15"/>
  <c r="GL226" i="15"/>
  <c r="GM226" i="15"/>
  <c r="GN226" i="15"/>
  <c r="GO226" i="15"/>
  <c r="GP226" i="15"/>
  <c r="GQ226" i="15"/>
  <c r="GR226" i="15"/>
  <c r="GS226" i="15"/>
  <c r="GT226" i="15"/>
  <c r="GU226" i="15"/>
  <c r="GV226" i="15"/>
  <c r="GW226" i="15"/>
  <c r="GX226" i="15"/>
  <c r="GY226" i="15"/>
  <c r="GZ226" i="15"/>
  <c r="HA226" i="15"/>
  <c r="HB226" i="15"/>
  <c r="HC226" i="15"/>
  <c r="HD226" i="15"/>
  <c r="HE226" i="15"/>
  <c r="HF226" i="15"/>
  <c r="HG226" i="15"/>
  <c r="HH226" i="15"/>
  <c r="FM227" i="15"/>
  <c r="FN227" i="15"/>
  <c r="FO227" i="15"/>
  <c r="FP227" i="15"/>
  <c r="FQ227" i="15"/>
  <c r="FR227" i="15"/>
  <c r="FS227" i="15"/>
  <c r="FT227" i="15"/>
  <c r="FU227" i="15"/>
  <c r="FV227" i="15"/>
  <c r="FW227" i="15"/>
  <c r="FX227" i="15"/>
  <c r="FY227" i="15"/>
  <c r="FZ227" i="15"/>
  <c r="GA227" i="15"/>
  <c r="GB227" i="15"/>
  <c r="GC227" i="15"/>
  <c r="GD227" i="15"/>
  <c r="GE227" i="15"/>
  <c r="GF227" i="15"/>
  <c r="GG227" i="15"/>
  <c r="GH227" i="15"/>
  <c r="GI227" i="15"/>
  <c r="GJ227" i="15"/>
  <c r="GK227" i="15"/>
  <c r="GL227" i="15"/>
  <c r="GM227" i="15"/>
  <c r="GN227" i="15"/>
  <c r="GO227" i="15"/>
  <c r="GP227" i="15"/>
  <c r="GQ227" i="15"/>
  <c r="GR227" i="15"/>
  <c r="GS227" i="15"/>
  <c r="GT227" i="15"/>
  <c r="GU227" i="15"/>
  <c r="GV227" i="15"/>
  <c r="GW227" i="15"/>
  <c r="GX227" i="15"/>
  <c r="GY227" i="15"/>
  <c r="GZ227" i="15"/>
  <c r="HA227" i="15"/>
  <c r="HB227" i="15"/>
  <c r="HC227" i="15"/>
  <c r="HD227" i="15"/>
  <c r="HE227" i="15"/>
  <c r="HF227" i="15"/>
  <c r="HG227" i="15"/>
  <c r="HH227" i="15"/>
  <c r="FM228" i="15"/>
  <c r="FN228" i="15"/>
  <c r="FO228" i="15"/>
  <c r="FP228" i="15"/>
  <c r="FQ228" i="15"/>
  <c r="FR228" i="15"/>
  <c r="FS228" i="15"/>
  <c r="FT228" i="15"/>
  <c r="FU228" i="15"/>
  <c r="FV228" i="15"/>
  <c r="FW228" i="15"/>
  <c r="FX228" i="15"/>
  <c r="FY228" i="15"/>
  <c r="FZ228" i="15"/>
  <c r="GA228" i="15"/>
  <c r="GB228" i="15"/>
  <c r="GC228" i="15"/>
  <c r="GD228" i="15"/>
  <c r="GE228" i="15"/>
  <c r="GF228" i="15"/>
  <c r="GG228" i="15"/>
  <c r="GH228" i="15"/>
  <c r="GI228" i="15"/>
  <c r="GJ228" i="15"/>
  <c r="GK228" i="15"/>
  <c r="GL228" i="15"/>
  <c r="GM228" i="15"/>
  <c r="GN228" i="15"/>
  <c r="GO228" i="15"/>
  <c r="GP228" i="15"/>
  <c r="GQ228" i="15"/>
  <c r="GR228" i="15"/>
  <c r="GS228" i="15"/>
  <c r="GT228" i="15"/>
  <c r="GU228" i="15"/>
  <c r="GV228" i="15"/>
  <c r="GW228" i="15"/>
  <c r="GX228" i="15"/>
  <c r="GY228" i="15"/>
  <c r="GZ228" i="15"/>
  <c r="HA228" i="15"/>
  <c r="HB228" i="15"/>
  <c r="HC228" i="15"/>
  <c r="HD228" i="15"/>
  <c r="HE228" i="15"/>
  <c r="HF228" i="15"/>
  <c r="HG228" i="15"/>
  <c r="HH228" i="15"/>
  <c r="FM229" i="15"/>
  <c r="FN229" i="15"/>
  <c r="FO229" i="15"/>
  <c r="FP229" i="15"/>
  <c r="FQ229" i="15"/>
  <c r="FR229" i="15"/>
  <c r="FS229" i="15"/>
  <c r="FT229" i="15"/>
  <c r="FU229" i="15"/>
  <c r="FV229" i="15"/>
  <c r="FW229" i="15"/>
  <c r="FX229" i="15"/>
  <c r="FY229" i="15"/>
  <c r="FZ229" i="15"/>
  <c r="GA229" i="15"/>
  <c r="GB229" i="15"/>
  <c r="GC229" i="15"/>
  <c r="GD229" i="15"/>
  <c r="GE229" i="15"/>
  <c r="GF229" i="15"/>
  <c r="GG229" i="15"/>
  <c r="GH229" i="15"/>
  <c r="GI229" i="15"/>
  <c r="GJ229" i="15"/>
  <c r="GK229" i="15"/>
  <c r="GL229" i="15"/>
  <c r="GM229" i="15"/>
  <c r="GN229" i="15"/>
  <c r="GO229" i="15"/>
  <c r="GP229" i="15"/>
  <c r="GQ229" i="15"/>
  <c r="GR229" i="15"/>
  <c r="GS229" i="15"/>
  <c r="GT229" i="15"/>
  <c r="GU229" i="15"/>
  <c r="GV229" i="15"/>
  <c r="GW229" i="15"/>
  <c r="GX229" i="15"/>
  <c r="GY229" i="15"/>
  <c r="GZ229" i="15"/>
  <c r="HA229" i="15"/>
  <c r="HB229" i="15"/>
  <c r="HC229" i="15"/>
  <c r="HD229" i="15"/>
  <c r="HE229" i="15"/>
  <c r="HF229" i="15"/>
  <c r="HG229" i="15"/>
  <c r="HH229" i="15"/>
  <c r="FM230" i="15"/>
  <c r="FN230" i="15"/>
  <c r="FO230" i="15"/>
  <c r="FP230" i="15"/>
  <c r="FQ230" i="15"/>
  <c r="FR230" i="15"/>
  <c r="FS230" i="15"/>
  <c r="FT230" i="15"/>
  <c r="FU230" i="15"/>
  <c r="FV230" i="15"/>
  <c r="FW230" i="15"/>
  <c r="FX230" i="15"/>
  <c r="FY230" i="15"/>
  <c r="FZ230" i="15"/>
  <c r="GA230" i="15"/>
  <c r="GB230" i="15"/>
  <c r="GC230" i="15"/>
  <c r="GD230" i="15"/>
  <c r="GE230" i="15"/>
  <c r="GF230" i="15"/>
  <c r="GG230" i="15"/>
  <c r="GH230" i="15"/>
  <c r="GI230" i="15"/>
  <c r="GJ230" i="15"/>
  <c r="GK230" i="15"/>
  <c r="GL230" i="15"/>
  <c r="GM230" i="15"/>
  <c r="GN230" i="15"/>
  <c r="GO230" i="15"/>
  <c r="GP230" i="15"/>
  <c r="GQ230" i="15"/>
  <c r="GR230" i="15"/>
  <c r="GS230" i="15"/>
  <c r="GT230" i="15"/>
  <c r="GU230" i="15"/>
  <c r="GV230" i="15"/>
  <c r="GW230" i="15"/>
  <c r="GX230" i="15"/>
  <c r="GY230" i="15"/>
  <c r="GZ230" i="15"/>
  <c r="HA230" i="15"/>
  <c r="HB230" i="15"/>
  <c r="HC230" i="15"/>
  <c r="HD230" i="15"/>
  <c r="HE230" i="15"/>
  <c r="HF230" i="15"/>
  <c r="HG230" i="15"/>
  <c r="HH230" i="15"/>
  <c r="FM231" i="15"/>
  <c r="FN231" i="15"/>
  <c r="FO231" i="15"/>
  <c r="FP231" i="15"/>
  <c r="FQ231" i="15"/>
  <c r="FR231" i="15"/>
  <c r="FS231" i="15"/>
  <c r="FT231" i="15"/>
  <c r="FU231" i="15"/>
  <c r="FV231" i="15"/>
  <c r="FW231" i="15"/>
  <c r="FX231" i="15"/>
  <c r="FY231" i="15"/>
  <c r="FZ231" i="15"/>
  <c r="GA231" i="15"/>
  <c r="GB231" i="15"/>
  <c r="GC231" i="15"/>
  <c r="GD231" i="15"/>
  <c r="GE231" i="15"/>
  <c r="GF231" i="15"/>
  <c r="GG231" i="15"/>
  <c r="GH231" i="15"/>
  <c r="GI231" i="15"/>
  <c r="GJ231" i="15"/>
  <c r="GK231" i="15"/>
  <c r="GL231" i="15"/>
  <c r="GM231" i="15"/>
  <c r="GN231" i="15"/>
  <c r="GO231" i="15"/>
  <c r="GP231" i="15"/>
  <c r="GQ231" i="15"/>
  <c r="GR231" i="15"/>
  <c r="GS231" i="15"/>
  <c r="GT231" i="15"/>
  <c r="GU231" i="15"/>
  <c r="GV231" i="15"/>
  <c r="GW231" i="15"/>
  <c r="GX231" i="15"/>
  <c r="GY231" i="15"/>
  <c r="GZ231" i="15"/>
  <c r="HA231" i="15"/>
  <c r="HB231" i="15"/>
  <c r="HC231" i="15"/>
  <c r="HD231" i="15"/>
  <c r="HE231" i="15"/>
  <c r="HF231" i="15"/>
  <c r="HG231" i="15"/>
  <c r="HH231" i="15"/>
  <c r="FM232" i="15"/>
  <c r="FN232" i="15"/>
  <c r="FO232" i="15"/>
  <c r="FP232" i="15"/>
  <c r="FQ232" i="15"/>
  <c r="FR232" i="15"/>
  <c r="FS232" i="15"/>
  <c r="FT232" i="15"/>
  <c r="FU232" i="15"/>
  <c r="FV232" i="15"/>
  <c r="FW232" i="15"/>
  <c r="FX232" i="15"/>
  <c r="FY232" i="15"/>
  <c r="FZ232" i="15"/>
  <c r="GA232" i="15"/>
  <c r="GB232" i="15"/>
  <c r="GC232" i="15"/>
  <c r="GD232" i="15"/>
  <c r="GE232" i="15"/>
  <c r="GF232" i="15"/>
  <c r="GG232" i="15"/>
  <c r="GH232" i="15"/>
  <c r="GI232" i="15"/>
  <c r="GJ232" i="15"/>
  <c r="GK232" i="15"/>
  <c r="GL232" i="15"/>
  <c r="GM232" i="15"/>
  <c r="GN232" i="15"/>
  <c r="GO232" i="15"/>
  <c r="GP232" i="15"/>
  <c r="GQ232" i="15"/>
  <c r="GR232" i="15"/>
  <c r="GS232" i="15"/>
  <c r="GT232" i="15"/>
  <c r="GU232" i="15"/>
  <c r="GV232" i="15"/>
  <c r="GW232" i="15"/>
  <c r="GX232" i="15"/>
  <c r="GY232" i="15"/>
  <c r="GZ232" i="15"/>
  <c r="HA232" i="15"/>
  <c r="HB232" i="15"/>
  <c r="HC232" i="15"/>
  <c r="HD232" i="15"/>
  <c r="HE232" i="15"/>
  <c r="HF232" i="15"/>
  <c r="HG232" i="15"/>
  <c r="HH232" i="15"/>
  <c r="FM233" i="15"/>
  <c r="FN233" i="15"/>
  <c r="FO233" i="15"/>
  <c r="FP233" i="15"/>
  <c r="FQ233" i="15"/>
  <c r="FR233" i="15"/>
  <c r="FS233" i="15"/>
  <c r="FT233" i="15"/>
  <c r="FU233" i="15"/>
  <c r="FV233" i="15"/>
  <c r="FW233" i="15"/>
  <c r="FX233" i="15"/>
  <c r="FY233" i="15"/>
  <c r="FZ233" i="15"/>
  <c r="GA233" i="15"/>
  <c r="GB233" i="15"/>
  <c r="GC233" i="15"/>
  <c r="GD233" i="15"/>
  <c r="GE233" i="15"/>
  <c r="GF233" i="15"/>
  <c r="GG233" i="15"/>
  <c r="GH233" i="15"/>
  <c r="GI233" i="15"/>
  <c r="GJ233" i="15"/>
  <c r="GK233" i="15"/>
  <c r="GL233" i="15"/>
  <c r="GM233" i="15"/>
  <c r="GN233" i="15"/>
  <c r="GO233" i="15"/>
  <c r="GP233" i="15"/>
  <c r="GQ233" i="15"/>
  <c r="GR233" i="15"/>
  <c r="GS233" i="15"/>
  <c r="GT233" i="15"/>
  <c r="GU233" i="15"/>
  <c r="GV233" i="15"/>
  <c r="GW233" i="15"/>
  <c r="GX233" i="15"/>
  <c r="GY233" i="15"/>
  <c r="GZ233" i="15"/>
  <c r="HA233" i="15"/>
  <c r="HB233" i="15"/>
  <c r="HC233" i="15"/>
  <c r="HD233" i="15"/>
  <c r="HE233" i="15"/>
  <c r="HF233" i="15"/>
  <c r="HG233" i="15"/>
  <c r="HH233" i="15"/>
  <c r="FM234" i="15"/>
  <c r="FN234" i="15"/>
  <c r="FO234" i="15"/>
  <c r="FP234" i="15"/>
  <c r="FQ234" i="15"/>
  <c r="FR234" i="15"/>
  <c r="FS234" i="15"/>
  <c r="FT234" i="15"/>
  <c r="FU234" i="15"/>
  <c r="FV234" i="15"/>
  <c r="FW234" i="15"/>
  <c r="FX234" i="15"/>
  <c r="FY234" i="15"/>
  <c r="FZ234" i="15"/>
  <c r="GA234" i="15"/>
  <c r="GB234" i="15"/>
  <c r="GC234" i="15"/>
  <c r="GD234" i="15"/>
  <c r="GE234" i="15"/>
  <c r="GF234" i="15"/>
  <c r="GG234" i="15"/>
  <c r="GH234" i="15"/>
  <c r="GI234" i="15"/>
  <c r="GJ234" i="15"/>
  <c r="GK234" i="15"/>
  <c r="GL234" i="15"/>
  <c r="GM234" i="15"/>
  <c r="GN234" i="15"/>
  <c r="GO234" i="15"/>
  <c r="GP234" i="15"/>
  <c r="GQ234" i="15"/>
  <c r="GR234" i="15"/>
  <c r="GS234" i="15"/>
  <c r="GT234" i="15"/>
  <c r="GU234" i="15"/>
  <c r="GV234" i="15"/>
  <c r="GW234" i="15"/>
  <c r="GX234" i="15"/>
  <c r="GY234" i="15"/>
  <c r="GZ234" i="15"/>
  <c r="HA234" i="15"/>
  <c r="HB234" i="15"/>
  <c r="HC234" i="15"/>
  <c r="HD234" i="15"/>
  <c r="HE234" i="15"/>
  <c r="HF234" i="15"/>
  <c r="HG234" i="15"/>
  <c r="HH234" i="15"/>
  <c r="FM235" i="15"/>
  <c r="FN235" i="15"/>
  <c r="FO235" i="15"/>
  <c r="FP235" i="15"/>
  <c r="FQ235" i="15"/>
  <c r="FR235" i="15"/>
  <c r="FS235" i="15"/>
  <c r="FT235" i="15"/>
  <c r="FU235" i="15"/>
  <c r="FV235" i="15"/>
  <c r="FW235" i="15"/>
  <c r="FX235" i="15"/>
  <c r="FY235" i="15"/>
  <c r="FZ235" i="15"/>
  <c r="GA235" i="15"/>
  <c r="GB235" i="15"/>
  <c r="GC235" i="15"/>
  <c r="GD235" i="15"/>
  <c r="GE235" i="15"/>
  <c r="GF235" i="15"/>
  <c r="GG235" i="15"/>
  <c r="GH235" i="15"/>
  <c r="GI235" i="15"/>
  <c r="GJ235" i="15"/>
  <c r="GK235" i="15"/>
  <c r="GL235" i="15"/>
  <c r="GM235" i="15"/>
  <c r="GN235" i="15"/>
  <c r="GO235" i="15"/>
  <c r="GP235" i="15"/>
  <c r="GQ235" i="15"/>
  <c r="GR235" i="15"/>
  <c r="GS235" i="15"/>
  <c r="GT235" i="15"/>
  <c r="GU235" i="15"/>
  <c r="GV235" i="15"/>
  <c r="GW235" i="15"/>
  <c r="GX235" i="15"/>
  <c r="GY235" i="15"/>
  <c r="GZ235" i="15"/>
  <c r="HA235" i="15"/>
  <c r="HB235" i="15"/>
  <c r="HC235" i="15"/>
  <c r="HD235" i="15"/>
  <c r="HE235" i="15"/>
  <c r="HF235" i="15"/>
  <c r="HG235" i="15"/>
  <c r="HH235" i="15"/>
  <c r="FM236" i="15"/>
  <c r="FN236" i="15"/>
  <c r="FO236" i="15"/>
  <c r="FP236" i="15"/>
  <c r="FQ236" i="15"/>
  <c r="FR236" i="15"/>
  <c r="FS236" i="15"/>
  <c r="FT236" i="15"/>
  <c r="FU236" i="15"/>
  <c r="FV236" i="15"/>
  <c r="FW236" i="15"/>
  <c r="FX236" i="15"/>
  <c r="FY236" i="15"/>
  <c r="FZ236" i="15"/>
  <c r="GA236" i="15"/>
  <c r="GB236" i="15"/>
  <c r="GC236" i="15"/>
  <c r="GD236" i="15"/>
  <c r="GE236" i="15"/>
  <c r="GF236" i="15"/>
  <c r="GG236" i="15"/>
  <c r="GH236" i="15"/>
  <c r="GI236" i="15"/>
  <c r="GJ236" i="15"/>
  <c r="GK236" i="15"/>
  <c r="GL236" i="15"/>
  <c r="GM236" i="15"/>
  <c r="GN236" i="15"/>
  <c r="GO236" i="15"/>
  <c r="GP236" i="15"/>
  <c r="GQ236" i="15"/>
  <c r="GR236" i="15"/>
  <c r="GS236" i="15"/>
  <c r="GT236" i="15"/>
  <c r="GU236" i="15"/>
  <c r="GV236" i="15"/>
  <c r="GW236" i="15"/>
  <c r="GX236" i="15"/>
  <c r="GY236" i="15"/>
  <c r="GZ236" i="15"/>
  <c r="HA236" i="15"/>
  <c r="HB236" i="15"/>
  <c r="HC236" i="15"/>
  <c r="HD236" i="15"/>
  <c r="HE236" i="15"/>
  <c r="HF236" i="15"/>
  <c r="HG236" i="15"/>
  <c r="HH236" i="15"/>
  <c r="FM237" i="15"/>
  <c r="FN237" i="15"/>
  <c r="FO237" i="15"/>
  <c r="FP237" i="15"/>
  <c r="FQ237" i="15"/>
  <c r="FR237" i="15"/>
  <c r="FS237" i="15"/>
  <c r="FT237" i="15"/>
  <c r="FU237" i="15"/>
  <c r="FV237" i="15"/>
  <c r="FW237" i="15"/>
  <c r="FX237" i="15"/>
  <c r="FY237" i="15"/>
  <c r="FZ237" i="15"/>
  <c r="GA237" i="15"/>
  <c r="GB237" i="15"/>
  <c r="GC237" i="15"/>
  <c r="GD237" i="15"/>
  <c r="GE237" i="15"/>
  <c r="GF237" i="15"/>
  <c r="GG237" i="15"/>
  <c r="GH237" i="15"/>
  <c r="GI237" i="15"/>
  <c r="GJ237" i="15"/>
  <c r="GK237" i="15"/>
  <c r="GL237" i="15"/>
  <c r="GM237" i="15"/>
  <c r="GN237" i="15"/>
  <c r="GO237" i="15"/>
  <c r="GP237" i="15"/>
  <c r="GQ237" i="15"/>
  <c r="GR237" i="15"/>
  <c r="GS237" i="15"/>
  <c r="GT237" i="15"/>
  <c r="GU237" i="15"/>
  <c r="GV237" i="15"/>
  <c r="GW237" i="15"/>
  <c r="GX237" i="15"/>
  <c r="GY237" i="15"/>
  <c r="GZ237" i="15"/>
  <c r="HA237" i="15"/>
  <c r="HB237" i="15"/>
  <c r="HC237" i="15"/>
  <c r="HD237" i="15"/>
  <c r="HE237" i="15"/>
  <c r="HF237" i="15"/>
  <c r="HG237" i="15"/>
  <c r="HH237" i="15"/>
  <c r="FM238" i="15"/>
  <c r="FN238" i="15"/>
  <c r="FO238" i="15"/>
  <c r="FP238" i="15"/>
  <c r="FQ238" i="15"/>
  <c r="FR238" i="15"/>
  <c r="FS238" i="15"/>
  <c r="FT238" i="15"/>
  <c r="FU238" i="15"/>
  <c r="FV238" i="15"/>
  <c r="FW238" i="15"/>
  <c r="FX238" i="15"/>
  <c r="FY238" i="15"/>
  <c r="FZ238" i="15"/>
  <c r="GA238" i="15"/>
  <c r="GB238" i="15"/>
  <c r="GC238" i="15"/>
  <c r="GD238" i="15"/>
  <c r="GE238" i="15"/>
  <c r="GF238" i="15"/>
  <c r="GG238" i="15"/>
  <c r="GH238" i="15"/>
  <c r="GI238" i="15"/>
  <c r="GJ238" i="15"/>
  <c r="GK238" i="15"/>
  <c r="GL238" i="15"/>
  <c r="GM238" i="15"/>
  <c r="GN238" i="15"/>
  <c r="GO238" i="15"/>
  <c r="GP238" i="15"/>
  <c r="GQ238" i="15"/>
  <c r="GR238" i="15"/>
  <c r="GS238" i="15"/>
  <c r="GT238" i="15"/>
  <c r="GU238" i="15"/>
  <c r="GV238" i="15"/>
  <c r="GW238" i="15"/>
  <c r="GX238" i="15"/>
  <c r="GY238" i="15"/>
  <c r="GZ238" i="15"/>
  <c r="HA238" i="15"/>
  <c r="HB238" i="15"/>
  <c r="HC238" i="15"/>
  <c r="HD238" i="15"/>
  <c r="HE238" i="15"/>
  <c r="HF238" i="15"/>
  <c r="HG238" i="15"/>
  <c r="HH238" i="15"/>
  <c r="FM239" i="15"/>
  <c r="FN239" i="15"/>
  <c r="FO239" i="15"/>
  <c r="FP239" i="15"/>
  <c r="FQ239" i="15"/>
  <c r="FR239" i="15"/>
  <c r="FS239" i="15"/>
  <c r="FT239" i="15"/>
  <c r="FU239" i="15"/>
  <c r="FV239" i="15"/>
  <c r="FW239" i="15"/>
  <c r="FX239" i="15"/>
  <c r="FY239" i="15"/>
  <c r="FZ239" i="15"/>
  <c r="GA239" i="15"/>
  <c r="GB239" i="15"/>
  <c r="GC239" i="15"/>
  <c r="GD239" i="15"/>
  <c r="GE239" i="15"/>
  <c r="GF239" i="15"/>
  <c r="GG239" i="15"/>
  <c r="GH239" i="15"/>
  <c r="GI239" i="15"/>
  <c r="GJ239" i="15"/>
  <c r="GK239" i="15"/>
  <c r="GL239" i="15"/>
  <c r="GM239" i="15"/>
  <c r="GN239" i="15"/>
  <c r="GO239" i="15"/>
  <c r="GP239" i="15"/>
  <c r="GQ239" i="15"/>
  <c r="GR239" i="15"/>
  <c r="GS239" i="15"/>
  <c r="GT239" i="15"/>
  <c r="GU239" i="15"/>
  <c r="GV239" i="15"/>
  <c r="GW239" i="15"/>
  <c r="GX239" i="15"/>
  <c r="GY239" i="15"/>
  <c r="GZ239" i="15"/>
  <c r="HA239" i="15"/>
  <c r="HB239" i="15"/>
  <c r="HC239" i="15"/>
  <c r="HD239" i="15"/>
  <c r="HE239" i="15"/>
  <c r="HF239" i="15"/>
  <c r="HG239" i="15"/>
  <c r="HH239" i="15"/>
  <c r="FM240" i="15"/>
  <c r="FN240" i="15"/>
  <c r="FO240" i="15"/>
  <c r="FP240" i="15"/>
  <c r="FQ240" i="15"/>
  <c r="FR240" i="15"/>
  <c r="FS240" i="15"/>
  <c r="FT240" i="15"/>
  <c r="FU240" i="15"/>
  <c r="FV240" i="15"/>
  <c r="FW240" i="15"/>
  <c r="FX240" i="15"/>
  <c r="FY240" i="15"/>
  <c r="FZ240" i="15"/>
  <c r="GA240" i="15"/>
  <c r="GB240" i="15"/>
  <c r="GC240" i="15"/>
  <c r="GD240" i="15"/>
  <c r="GE240" i="15"/>
  <c r="GF240" i="15"/>
  <c r="GG240" i="15"/>
  <c r="GH240" i="15"/>
  <c r="GI240" i="15"/>
  <c r="GJ240" i="15"/>
  <c r="GK240" i="15"/>
  <c r="GL240" i="15"/>
  <c r="GM240" i="15"/>
  <c r="GN240" i="15"/>
  <c r="GO240" i="15"/>
  <c r="GP240" i="15"/>
  <c r="GQ240" i="15"/>
  <c r="GR240" i="15"/>
  <c r="GS240" i="15"/>
  <c r="GT240" i="15"/>
  <c r="GU240" i="15"/>
  <c r="GV240" i="15"/>
  <c r="GW240" i="15"/>
  <c r="GX240" i="15"/>
  <c r="GY240" i="15"/>
  <c r="GZ240" i="15"/>
  <c r="HA240" i="15"/>
  <c r="HB240" i="15"/>
  <c r="HC240" i="15"/>
  <c r="HD240" i="15"/>
  <c r="HE240" i="15"/>
  <c r="HF240" i="15"/>
  <c r="HG240" i="15"/>
  <c r="HH240" i="15"/>
  <c r="FM241" i="15"/>
  <c r="FN241" i="15"/>
  <c r="FO241" i="15"/>
  <c r="FP241" i="15"/>
  <c r="FQ241" i="15"/>
  <c r="FR241" i="15"/>
  <c r="FS241" i="15"/>
  <c r="FT241" i="15"/>
  <c r="FU241" i="15"/>
  <c r="FV241" i="15"/>
  <c r="FW241" i="15"/>
  <c r="FX241" i="15"/>
  <c r="FY241" i="15"/>
  <c r="FZ241" i="15"/>
  <c r="GA241" i="15"/>
  <c r="GB241" i="15"/>
  <c r="GC241" i="15"/>
  <c r="GD241" i="15"/>
  <c r="GE241" i="15"/>
  <c r="GF241" i="15"/>
  <c r="GG241" i="15"/>
  <c r="GH241" i="15"/>
  <c r="GI241" i="15"/>
  <c r="GJ241" i="15"/>
  <c r="GK241" i="15"/>
  <c r="GL241" i="15"/>
  <c r="GM241" i="15"/>
  <c r="GN241" i="15"/>
  <c r="GO241" i="15"/>
  <c r="GP241" i="15"/>
  <c r="GQ241" i="15"/>
  <c r="GR241" i="15"/>
  <c r="GS241" i="15"/>
  <c r="GT241" i="15"/>
  <c r="GU241" i="15"/>
  <c r="GV241" i="15"/>
  <c r="GW241" i="15"/>
  <c r="GX241" i="15"/>
  <c r="GY241" i="15"/>
  <c r="GZ241" i="15"/>
  <c r="HA241" i="15"/>
  <c r="HB241" i="15"/>
  <c r="HC241" i="15"/>
  <c r="HD241" i="15"/>
  <c r="HE241" i="15"/>
  <c r="HF241" i="15"/>
  <c r="HG241" i="15"/>
  <c r="HH241" i="15"/>
  <c r="FM242" i="15"/>
  <c r="FN242" i="15"/>
  <c r="FO242" i="15"/>
  <c r="FP242" i="15"/>
  <c r="FQ242" i="15"/>
  <c r="FR242" i="15"/>
  <c r="FS242" i="15"/>
  <c r="FT242" i="15"/>
  <c r="FU242" i="15"/>
  <c r="FV242" i="15"/>
  <c r="FW242" i="15"/>
  <c r="FX242" i="15"/>
  <c r="FY242" i="15"/>
  <c r="FZ242" i="15"/>
  <c r="GA242" i="15"/>
  <c r="GB242" i="15"/>
  <c r="GC242" i="15"/>
  <c r="GD242" i="15"/>
  <c r="GE242" i="15"/>
  <c r="GF242" i="15"/>
  <c r="GG242" i="15"/>
  <c r="GH242" i="15"/>
  <c r="GI242" i="15"/>
  <c r="GJ242" i="15"/>
  <c r="GK242" i="15"/>
  <c r="GL242" i="15"/>
  <c r="GM242" i="15"/>
  <c r="GN242" i="15"/>
  <c r="GO242" i="15"/>
  <c r="GP242" i="15"/>
  <c r="GQ242" i="15"/>
  <c r="GR242" i="15"/>
  <c r="GS242" i="15"/>
  <c r="GT242" i="15"/>
  <c r="GU242" i="15"/>
  <c r="GV242" i="15"/>
  <c r="GW242" i="15"/>
  <c r="GX242" i="15"/>
  <c r="GY242" i="15"/>
  <c r="GZ242" i="15"/>
  <c r="HA242" i="15"/>
  <c r="HB242" i="15"/>
  <c r="HC242" i="15"/>
  <c r="HD242" i="15"/>
  <c r="HE242" i="15"/>
  <c r="HF242" i="15"/>
  <c r="HG242" i="15"/>
  <c r="HH242" i="15"/>
  <c r="FM243" i="15"/>
  <c r="FN243" i="15"/>
  <c r="FO243" i="15"/>
  <c r="FP243" i="15"/>
  <c r="FQ243" i="15"/>
  <c r="FR243" i="15"/>
  <c r="FS243" i="15"/>
  <c r="FT243" i="15"/>
  <c r="FU243" i="15"/>
  <c r="FV243" i="15"/>
  <c r="FW243" i="15"/>
  <c r="FX243" i="15"/>
  <c r="FY243" i="15"/>
  <c r="FZ243" i="15"/>
  <c r="GA243" i="15"/>
  <c r="GB243" i="15"/>
  <c r="GC243" i="15"/>
  <c r="GD243" i="15"/>
  <c r="GE243" i="15"/>
  <c r="GF243" i="15"/>
  <c r="GG243" i="15"/>
  <c r="GH243" i="15"/>
  <c r="GI243" i="15"/>
  <c r="GJ243" i="15"/>
  <c r="GK243" i="15"/>
  <c r="GL243" i="15"/>
  <c r="GM243" i="15"/>
  <c r="GN243" i="15"/>
  <c r="GO243" i="15"/>
  <c r="GP243" i="15"/>
  <c r="GQ243" i="15"/>
  <c r="GR243" i="15"/>
  <c r="GS243" i="15"/>
  <c r="GT243" i="15"/>
  <c r="GU243" i="15"/>
  <c r="GV243" i="15"/>
  <c r="GW243" i="15"/>
  <c r="GX243" i="15"/>
  <c r="GY243" i="15"/>
  <c r="GZ243" i="15"/>
  <c r="HA243" i="15"/>
  <c r="HB243" i="15"/>
  <c r="HC243" i="15"/>
  <c r="HD243" i="15"/>
  <c r="HE243" i="15"/>
  <c r="HF243" i="15"/>
  <c r="HG243" i="15"/>
  <c r="HH243" i="15"/>
  <c r="FM244" i="15"/>
  <c r="FN244" i="15"/>
  <c r="FO244" i="15"/>
  <c r="FP244" i="15"/>
  <c r="FQ244" i="15"/>
  <c r="FR244" i="15"/>
  <c r="FS244" i="15"/>
  <c r="FT244" i="15"/>
  <c r="FU244" i="15"/>
  <c r="FV244" i="15"/>
  <c r="FW244" i="15"/>
  <c r="FX244" i="15"/>
  <c r="FY244" i="15"/>
  <c r="FZ244" i="15"/>
  <c r="GA244" i="15"/>
  <c r="GB244" i="15"/>
  <c r="GC244" i="15"/>
  <c r="GD244" i="15"/>
  <c r="GE244" i="15"/>
  <c r="GF244" i="15"/>
  <c r="GG244" i="15"/>
  <c r="GH244" i="15"/>
  <c r="GI244" i="15"/>
  <c r="GJ244" i="15"/>
  <c r="GK244" i="15"/>
  <c r="GL244" i="15"/>
  <c r="GM244" i="15"/>
  <c r="GN244" i="15"/>
  <c r="GO244" i="15"/>
  <c r="GP244" i="15"/>
  <c r="GQ244" i="15"/>
  <c r="GR244" i="15"/>
  <c r="GS244" i="15"/>
  <c r="GT244" i="15"/>
  <c r="GU244" i="15"/>
  <c r="GV244" i="15"/>
  <c r="GW244" i="15"/>
  <c r="GX244" i="15"/>
  <c r="GY244" i="15"/>
  <c r="GZ244" i="15"/>
  <c r="HA244" i="15"/>
  <c r="HB244" i="15"/>
  <c r="HC244" i="15"/>
  <c r="HD244" i="15"/>
  <c r="HE244" i="15"/>
  <c r="HF244" i="15"/>
  <c r="HG244" i="15"/>
  <c r="HH244" i="15"/>
  <c r="FM245" i="15"/>
  <c r="FN245" i="15"/>
  <c r="FO245" i="15"/>
  <c r="FP245" i="15"/>
  <c r="FQ245" i="15"/>
  <c r="FR245" i="15"/>
  <c r="FS245" i="15"/>
  <c r="FT245" i="15"/>
  <c r="FU245" i="15"/>
  <c r="FV245" i="15"/>
  <c r="FW245" i="15"/>
  <c r="FX245" i="15"/>
  <c r="FY245" i="15"/>
  <c r="FZ245" i="15"/>
  <c r="GA245" i="15"/>
  <c r="GB245" i="15"/>
  <c r="GC245" i="15"/>
  <c r="GD245" i="15"/>
  <c r="GE245" i="15"/>
  <c r="GF245" i="15"/>
  <c r="GG245" i="15"/>
  <c r="GH245" i="15"/>
  <c r="GI245" i="15"/>
  <c r="GJ245" i="15"/>
  <c r="GK245" i="15"/>
  <c r="GL245" i="15"/>
  <c r="GM245" i="15"/>
  <c r="GN245" i="15"/>
  <c r="GO245" i="15"/>
  <c r="GP245" i="15"/>
  <c r="GQ245" i="15"/>
  <c r="GR245" i="15"/>
  <c r="GS245" i="15"/>
  <c r="GT245" i="15"/>
  <c r="GU245" i="15"/>
  <c r="GV245" i="15"/>
  <c r="GW245" i="15"/>
  <c r="GX245" i="15"/>
  <c r="GY245" i="15"/>
  <c r="GZ245" i="15"/>
  <c r="HA245" i="15"/>
  <c r="HB245" i="15"/>
  <c r="HC245" i="15"/>
  <c r="HD245" i="15"/>
  <c r="HE245" i="15"/>
  <c r="HF245" i="15"/>
  <c r="HG245" i="15"/>
  <c r="HH245" i="15"/>
  <c r="FM246" i="15"/>
  <c r="FN246" i="15"/>
  <c r="FO246" i="15"/>
  <c r="FP246" i="15"/>
  <c r="FQ246" i="15"/>
  <c r="FR246" i="15"/>
  <c r="FS246" i="15"/>
  <c r="FT246" i="15"/>
  <c r="FU246" i="15"/>
  <c r="FV246" i="15"/>
  <c r="FW246" i="15"/>
  <c r="FX246" i="15"/>
  <c r="FY246" i="15"/>
  <c r="FZ246" i="15"/>
  <c r="GA246" i="15"/>
  <c r="GB246" i="15"/>
  <c r="GC246" i="15"/>
  <c r="GD246" i="15"/>
  <c r="GE246" i="15"/>
  <c r="GF246" i="15"/>
  <c r="GG246" i="15"/>
  <c r="GH246" i="15"/>
  <c r="GI246" i="15"/>
  <c r="GJ246" i="15"/>
  <c r="GK246" i="15"/>
  <c r="GL246" i="15"/>
  <c r="GM246" i="15"/>
  <c r="GN246" i="15"/>
  <c r="GO246" i="15"/>
  <c r="GP246" i="15"/>
  <c r="GQ246" i="15"/>
  <c r="GR246" i="15"/>
  <c r="GS246" i="15"/>
  <c r="GT246" i="15"/>
  <c r="GU246" i="15"/>
  <c r="GV246" i="15"/>
  <c r="GW246" i="15"/>
  <c r="GX246" i="15"/>
  <c r="GY246" i="15"/>
  <c r="GZ246" i="15"/>
  <c r="HA246" i="15"/>
  <c r="HB246" i="15"/>
  <c r="HC246" i="15"/>
  <c r="HD246" i="15"/>
  <c r="HE246" i="15"/>
  <c r="HF246" i="15"/>
  <c r="HG246" i="15"/>
  <c r="HH246" i="15"/>
  <c r="FM247" i="15"/>
  <c r="FN247" i="15"/>
  <c r="FO247" i="15"/>
  <c r="FP247" i="15"/>
  <c r="FQ247" i="15"/>
  <c r="FR247" i="15"/>
  <c r="FS247" i="15"/>
  <c r="FT247" i="15"/>
  <c r="FU247" i="15"/>
  <c r="FV247" i="15"/>
  <c r="FW247" i="15"/>
  <c r="FX247" i="15"/>
  <c r="FY247" i="15"/>
  <c r="FZ247" i="15"/>
  <c r="GA247" i="15"/>
  <c r="GB247" i="15"/>
  <c r="GC247" i="15"/>
  <c r="GD247" i="15"/>
  <c r="GE247" i="15"/>
  <c r="GF247" i="15"/>
  <c r="GG247" i="15"/>
  <c r="GH247" i="15"/>
  <c r="GI247" i="15"/>
  <c r="GJ247" i="15"/>
  <c r="GK247" i="15"/>
  <c r="GL247" i="15"/>
  <c r="GM247" i="15"/>
  <c r="GN247" i="15"/>
  <c r="GO247" i="15"/>
  <c r="GP247" i="15"/>
  <c r="GQ247" i="15"/>
  <c r="GR247" i="15"/>
  <c r="GS247" i="15"/>
  <c r="GT247" i="15"/>
  <c r="GU247" i="15"/>
  <c r="GV247" i="15"/>
  <c r="GW247" i="15"/>
  <c r="GX247" i="15"/>
  <c r="GY247" i="15"/>
  <c r="GZ247" i="15"/>
  <c r="HA247" i="15"/>
  <c r="HB247" i="15"/>
  <c r="HC247" i="15"/>
  <c r="HD247" i="15"/>
  <c r="HE247" i="15"/>
  <c r="HF247" i="15"/>
  <c r="HG247" i="15"/>
  <c r="HH247" i="15"/>
  <c r="FM248" i="15"/>
  <c r="FN248" i="15"/>
  <c r="FO248" i="15"/>
  <c r="FP248" i="15"/>
  <c r="FQ248" i="15"/>
  <c r="FR248" i="15"/>
  <c r="FS248" i="15"/>
  <c r="FT248" i="15"/>
  <c r="FU248" i="15"/>
  <c r="FV248" i="15"/>
  <c r="FW248" i="15"/>
  <c r="FX248" i="15"/>
  <c r="FY248" i="15"/>
  <c r="FZ248" i="15"/>
  <c r="GA248" i="15"/>
  <c r="GB248" i="15"/>
  <c r="GC248" i="15"/>
  <c r="GD248" i="15"/>
  <c r="GE248" i="15"/>
  <c r="GF248" i="15"/>
  <c r="GG248" i="15"/>
  <c r="GH248" i="15"/>
  <c r="GI248" i="15"/>
  <c r="GJ248" i="15"/>
  <c r="GK248" i="15"/>
  <c r="GL248" i="15"/>
  <c r="GM248" i="15"/>
  <c r="GN248" i="15"/>
  <c r="GO248" i="15"/>
  <c r="GP248" i="15"/>
  <c r="GQ248" i="15"/>
  <c r="GR248" i="15"/>
  <c r="GS248" i="15"/>
  <c r="GT248" i="15"/>
  <c r="GU248" i="15"/>
  <c r="GV248" i="15"/>
  <c r="GW248" i="15"/>
  <c r="GX248" i="15"/>
  <c r="GY248" i="15"/>
  <c r="GZ248" i="15"/>
  <c r="HA248" i="15"/>
  <c r="HB248" i="15"/>
  <c r="HC248" i="15"/>
  <c r="HD248" i="15"/>
  <c r="HE248" i="15"/>
  <c r="HF248" i="15"/>
  <c r="HG248" i="15"/>
  <c r="HH248" i="15"/>
  <c r="FM249" i="15"/>
  <c r="FN249" i="15"/>
  <c r="FO249" i="15"/>
  <c r="FP249" i="15"/>
  <c r="FQ249" i="15"/>
  <c r="FR249" i="15"/>
  <c r="FS249" i="15"/>
  <c r="FT249" i="15"/>
  <c r="FU249" i="15"/>
  <c r="FV249" i="15"/>
  <c r="FW249" i="15"/>
  <c r="FX249" i="15"/>
  <c r="FY249" i="15"/>
  <c r="FZ249" i="15"/>
  <c r="GA249" i="15"/>
  <c r="GB249" i="15"/>
  <c r="GC249" i="15"/>
  <c r="GD249" i="15"/>
  <c r="GE249" i="15"/>
  <c r="GF249" i="15"/>
  <c r="GG249" i="15"/>
  <c r="GH249" i="15"/>
  <c r="GI249" i="15"/>
  <c r="GJ249" i="15"/>
  <c r="GK249" i="15"/>
  <c r="GL249" i="15"/>
  <c r="GM249" i="15"/>
  <c r="GN249" i="15"/>
  <c r="GO249" i="15"/>
  <c r="GP249" i="15"/>
  <c r="GQ249" i="15"/>
  <c r="GR249" i="15"/>
  <c r="GS249" i="15"/>
  <c r="GT249" i="15"/>
  <c r="GU249" i="15"/>
  <c r="GV249" i="15"/>
  <c r="GW249" i="15"/>
  <c r="GX249" i="15"/>
  <c r="GY249" i="15"/>
  <c r="GZ249" i="15"/>
  <c r="HA249" i="15"/>
  <c r="HB249" i="15"/>
  <c r="HC249" i="15"/>
  <c r="HD249" i="15"/>
  <c r="HE249" i="15"/>
  <c r="HF249" i="15"/>
  <c r="HG249" i="15"/>
  <c r="HH249" i="15"/>
  <c r="FM250" i="15"/>
  <c r="FN250" i="15"/>
  <c r="FO250" i="15"/>
  <c r="FP250" i="15"/>
  <c r="FQ250" i="15"/>
  <c r="FR250" i="15"/>
  <c r="FS250" i="15"/>
  <c r="FT250" i="15"/>
  <c r="FU250" i="15"/>
  <c r="FV250" i="15"/>
  <c r="FW250" i="15"/>
  <c r="FX250" i="15"/>
  <c r="FY250" i="15"/>
  <c r="FZ250" i="15"/>
  <c r="GA250" i="15"/>
  <c r="GB250" i="15"/>
  <c r="GC250" i="15"/>
  <c r="GD250" i="15"/>
  <c r="GE250" i="15"/>
  <c r="GF250" i="15"/>
  <c r="GG250" i="15"/>
  <c r="GH250" i="15"/>
  <c r="GI250" i="15"/>
  <c r="GJ250" i="15"/>
  <c r="GK250" i="15"/>
  <c r="GL250" i="15"/>
  <c r="GM250" i="15"/>
  <c r="GN250" i="15"/>
  <c r="GO250" i="15"/>
  <c r="GP250" i="15"/>
  <c r="GQ250" i="15"/>
  <c r="GR250" i="15"/>
  <c r="GS250" i="15"/>
  <c r="GT250" i="15"/>
  <c r="GU250" i="15"/>
  <c r="GV250" i="15"/>
  <c r="GW250" i="15"/>
  <c r="GX250" i="15"/>
  <c r="GY250" i="15"/>
  <c r="GZ250" i="15"/>
  <c r="HA250" i="15"/>
  <c r="HB250" i="15"/>
  <c r="HC250" i="15"/>
  <c r="HD250" i="15"/>
  <c r="HE250" i="15"/>
  <c r="HF250" i="15"/>
  <c r="HG250" i="15"/>
  <c r="HH250" i="15"/>
  <c r="FM201" i="15"/>
  <c r="FN201" i="15"/>
  <c r="FO201" i="15"/>
  <c r="FP201" i="15"/>
  <c r="FQ201" i="15"/>
  <c r="FR201" i="15"/>
  <c r="FS201" i="15"/>
  <c r="FT201" i="15"/>
  <c r="FU201" i="15"/>
  <c r="FV201" i="15"/>
  <c r="FW201" i="15"/>
  <c r="FX201" i="15"/>
  <c r="FY201" i="15"/>
  <c r="FZ201" i="15"/>
  <c r="GA201" i="15"/>
  <c r="GB201" i="15"/>
  <c r="GC201" i="15"/>
  <c r="GD201" i="15"/>
  <c r="GE201" i="15"/>
  <c r="GF201" i="15"/>
  <c r="GG201" i="15"/>
  <c r="GH201" i="15"/>
  <c r="GI201" i="15"/>
  <c r="GJ201" i="15"/>
  <c r="GK201" i="15"/>
  <c r="GL201" i="15"/>
  <c r="GM201" i="15"/>
  <c r="GN201" i="15"/>
  <c r="GO201" i="15"/>
  <c r="GP201" i="15"/>
  <c r="GQ201" i="15"/>
  <c r="GR201" i="15"/>
  <c r="GS201" i="15"/>
  <c r="GT201" i="15"/>
  <c r="GU201" i="15"/>
  <c r="GV201" i="15"/>
  <c r="GW201" i="15"/>
  <c r="GX201" i="15"/>
  <c r="GY201" i="15"/>
  <c r="GZ201" i="15"/>
  <c r="HA201" i="15"/>
  <c r="HB201" i="15"/>
  <c r="HC201" i="15"/>
  <c r="HD201" i="15"/>
  <c r="HE201" i="15"/>
  <c r="HF201" i="15"/>
  <c r="HG201" i="15"/>
  <c r="HH201" i="15"/>
  <c r="FM102" i="15"/>
  <c r="FN102" i="15"/>
  <c r="FO102" i="15"/>
  <c r="FP102" i="15"/>
  <c r="FQ102" i="15"/>
  <c r="FR102" i="15"/>
  <c r="FS102" i="15"/>
  <c r="FT102" i="15"/>
  <c r="FU102" i="15"/>
  <c r="FV102" i="15"/>
  <c r="FW102" i="15"/>
  <c r="FX102" i="15"/>
  <c r="FY102" i="15"/>
  <c r="FZ102" i="15"/>
  <c r="GA102" i="15"/>
  <c r="GB102" i="15"/>
  <c r="GC102" i="15"/>
  <c r="GD102" i="15"/>
  <c r="GE102" i="15"/>
  <c r="GF102" i="15"/>
  <c r="GG102" i="15"/>
  <c r="GH102" i="15"/>
  <c r="GI102" i="15"/>
  <c r="GJ102" i="15"/>
  <c r="GK102" i="15"/>
  <c r="GL102" i="15"/>
  <c r="GM102" i="15"/>
  <c r="GN102" i="15"/>
  <c r="GO102" i="15"/>
  <c r="GP102" i="15"/>
  <c r="GQ102" i="15"/>
  <c r="GR102" i="15"/>
  <c r="GS102" i="15"/>
  <c r="GT102" i="15"/>
  <c r="GU102" i="15"/>
  <c r="GV102" i="15"/>
  <c r="GW102" i="15"/>
  <c r="GX102" i="15"/>
  <c r="GY102" i="15"/>
  <c r="GZ102" i="15"/>
  <c r="HA102" i="15"/>
  <c r="HB102" i="15"/>
  <c r="HC102" i="15"/>
  <c r="HD102" i="15"/>
  <c r="HE102" i="15"/>
  <c r="HF102" i="15"/>
  <c r="HG102" i="15"/>
  <c r="HH102" i="15"/>
  <c r="HI102" i="15"/>
  <c r="HJ102" i="15"/>
  <c r="HK102" i="15"/>
  <c r="HL102" i="15"/>
  <c r="HM102" i="15"/>
  <c r="HN102" i="15"/>
  <c r="HO102" i="15"/>
  <c r="HP102" i="15"/>
  <c r="HQ102" i="15"/>
  <c r="HR102" i="15"/>
  <c r="HS102" i="15"/>
  <c r="HT102" i="15"/>
  <c r="HU102" i="15"/>
  <c r="HV102" i="15"/>
  <c r="HW102" i="15"/>
  <c r="HX102" i="15"/>
  <c r="HY102" i="15"/>
  <c r="HZ102" i="15"/>
  <c r="IA102" i="15"/>
  <c r="IB102" i="15"/>
  <c r="IC102" i="15"/>
  <c r="ID102" i="15"/>
  <c r="IE102" i="15"/>
  <c r="IF102" i="15"/>
  <c r="IG102" i="15"/>
  <c r="IH102" i="15"/>
  <c r="II102" i="15"/>
  <c r="IJ102" i="15"/>
  <c r="IK102" i="15"/>
  <c r="IL102" i="15"/>
  <c r="IM102" i="15"/>
  <c r="IN102" i="15"/>
  <c r="IO102" i="15"/>
  <c r="IP102" i="15"/>
  <c r="IQ102" i="15"/>
  <c r="IR102" i="15"/>
  <c r="IS102" i="15"/>
  <c r="IT102" i="15"/>
  <c r="IU102" i="15"/>
  <c r="IV102" i="15"/>
  <c r="IW102" i="15"/>
  <c r="IX102" i="15"/>
  <c r="IY102" i="15"/>
  <c r="IZ102" i="15"/>
  <c r="JA102" i="15"/>
  <c r="JB102" i="15"/>
  <c r="JC102" i="15"/>
  <c r="JD102" i="15"/>
  <c r="JE102" i="15"/>
  <c r="JF102" i="15"/>
  <c r="JG102" i="15"/>
  <c r="JH102" i="15"/>
  <c r="JI102" i="15"/>
  <c r="JJ102" i="15"/>
  <c r="JK102" i="15"/>
  <c r="JL102" i="15"/>
  <c r="FM103" i="15"/>
  <c r="FN103" i="15"/>
  <c r="FO103" i="15"/>
  <c r="FP103" i="15"/>
  <c r="FQ103" i="15"/>
  <c r="FR103" i="15"/>
  <c r="FS103" i="15"/>
  <c r="FT103" i="15"/>
  <c r="FU103" i="15"/>
  <c r="FV103" i="15"/>
  <c r="FW103" i="15"/>
  <c r="FX103" i="15"/>
  <c r="FY103" i="15"/>
  <c r="FZ103" i="15"/>
  <c r="GA103" i="15"/>
  <c r="GB103" i="15"/>
  <c r="GC103" i="15"/>
  <c r="GD103" i="15"/>
  <c r="GE103" i="15"/>
  <c r="GF103" i="15"/>
  <c r="GG103" i="15"/>
  <c r="GH103" i="15"/>
  <c r="GI103" i="15"/>
  <c r="GJ103" i="15"/>
  <c r="GK103" i="15"/>
  <c r="GL103" i="15"/>
  <c r="GM103" i="15"/>
  <c r="GN103" i="15"/>
  <c r="GO103" i="15"/>
  <c r="GP103" i="15"/>
  <c r="GQ103" i="15"/>
  <c r="GR103" i="15"/>
  <c r="GS103" i="15"/>
  <c r="GT103" i="15"/>
  <c r="GU103" i="15"/>
  <c r="GV103" i="15"/>
  <c r="GW103" i="15"/>
  <c r="GX103" i="15"/>
  <c r="GY103" i="15"/>
  <c r="GZ103" i="15"/>
  <c r="HA103" i="15"/>
  <c r="HB103" i="15"/>
  <c r="HC103" i="15"/>
  <c r="HD103" i="15"/>
  <c r="HE103" i="15"/>
  <c r="HF103" i="15"/>
  <c r="HG103" i="15"/>
  <c r="HH103" i="15"/>
  <c r="HI103" i="15"/>
  <c r="HJ103" i="15"/>
  <c r="HK103" i="15"/>
  <c r="HL103" i="15"/>
  <c r="HM103" i="15"/>
  <c r="HN103" i="15"/>
  <c r="HO103" i="15"/>
  <c r="HP103" i="15"/>
  <c r="HQ103" i="15"/>
  <c r="HR103" i="15"/>
  <c r="HS103" i="15"/>
  <c r="HT103" i="15"/>
  <c r="HU103" i="15"/>
  <c r="HV103" i="15"/>
  <c r="HW103" i="15"/>
  <c r="HX103" i="15"/>
  <c r="HY103" i="15"/>
  <c r="HZ103" i="15"/>
  <c r="IA103" i="15"/>
  <c r="IB103" i="15"/>
  <c r="IC103" i="15"/>
  <c r="ID103" i="15"/>
  <c r="IE103" i="15"/>
  <c r="IF103" i="15"/>
  <c r="IG103" i="15"/>
  <c r="IH103" i="15"/>
  <c r="II103" i="15"/>
  <c r="IJ103" i="15"/>
  <c r="IK103" i="15"/>
  <c r="IL103" i="15"/>
  <c r="IM103" i="15"/>
  <c r="IN103" i="15"/>
  <c r="IO103" i="15"/>
  <c r="IP103" i="15"/>
  <c r="IQ103" i="15"/>
  <c r="IR103" i="15"/>
  <c r="IS103" i="15"/>
  <c r="IT103" i="15"/>
  <c r="IU103" i="15"/>
  <c r="IV103" i="15"/>
  <c r="IW103" i="15"/>
  <c r="IX103" i="15"/>
  <c r="IY103" i="15"/>
  <c r="IZ103" i="15"/>
  <c r="JA103" i="15"/>
  <c r="JB103" i="15"/>
  <c r="JC103" i="15"/>
  <c r="JD103" i="15"/>
  <c r="JE103" i="15"/>
  <c r="JF103" i="15"/>
  <c r="JG103" i="15"/>
  <c r="JH103" i="15"/>
  <c r="JI103" i="15"/>
  <c r="JJ103" i="15"/>
  <c r="JK103" i="15"/>
  <c r="JL103" i="15"/>
  <c r="FM104" i="15"/>
  <c r="FN104" i="15"/>
  <c r="FO104" i="15"/>
  <c r="FP104" i="15"/>
  <c r="FQ104" i="15"/>
  <c r="FR104" i="15"/>
  <c r="FS104" i="15"/>
  <c r="FT104" i="15"/>
  <c r="FU104" i="15"/>
  <c r="FV104" i="15"/>
  <c r="FW104" i="15"/>
  <c r="FX104" i="15"/>
  <c r="FY104" i="15"/>
  <c r="FZ104" i="15"/>
  <c r="GA104" i="15"/>
  <c r="GB104" i="15"/>
  <c r="GC104" i="15"/>
  <c r="GD104" i="15"/>
  <c r="GE104" i="15"/>
  <c r="GF104" i="15"/>
  <c r="GG104" i="15"/>
  <c r="GH104" i="15"/>
  <c r="GI104" i="15"/>
  <c r="GJ104" i="15"/>
  <c r="GK104" i="15"/>
  <c r="GL104" i="15"/>
  <c r="GM104" i="15"/>
  <c r="GN104" i="15"/>
  <c r="GO104" i="15"/>
  <c r="GP104" i="15"/>
  <c r="GQ104" i="15"/>
  <c r="GR104" i="15"/>
  <c r="GS104" i="15"/>
  <c r="GT104" i="15"/>
  <c r="GU104" i="15"/>
  <c r="GV104" i="15"/>
  <c r="GW104" i="15"/>
  <c r="GX104" i="15"/>
  <c r="GY104" i="15"/>
  <c r="GZ104" i="15"/>
  <c r="HA104" i="15"/>
  <c r="HB104" i="15"/>
  <c r="HC104" i="15"/>
  <c r="HD104" i="15"/>
  <c r="HE104" i="15"/>
  <c r="HF104" i="15"/>
  <c r="HG104" i="15"/>
  <c r="HH104" i="15"/>
  <c r="HI104" i="15"/>
  <c r="HJ104" i="15"/>
  <c r="HK104" i="15"/>
  <c r="HL104" i="15"/>
  <c r="HM104" i="15"/>
  <c r="HN104" i="15"/>
  <c r="HO104" i="15"/>
  <c r="HP104" i="15"/>
  <c r="HQ104" i="15"/>
  <c r="HR104" i="15"/>
  <c r="HS104" i="15"/>
  <c r="HT104" i="15"/>
  <c r="HU104" i="15"/>
  <c r="HV104" i="15"/>
  <c r="HW104" i="15"/>
  <c r="HX104" i="15"/>
  <c r="HY104" i="15"/>
  <c r="HZ104" i="15"/>
  <c r="IA104" i="15"/>
  <c r="IB104" i="15"/>
  <c r="IC104" i="15"/>
  <c r="ID104" i="15"/>
  <c r="IE104" i="15"/>
  <c r="IF104" i="15"/>
  <c r="IG104" i="15"/>
  <c r="IH104" i="15"/>
  <c r="II104" i="15"/>
  <c r="IJ104" i="15"/>
  <c r="IK104" i="15"/>
  <c r="IL104" i="15"/>
  <c r="IM104" i="15"/>
  <c r="IN104" i="15"/>
  <c r="IO104" i="15"/>
  <c r="IP104" i="15"/>
  <c r="IQ104" i="15"/>
  <c r="IR104" i="15"/>
  <c r="IS104" i="15"/>
  <c r="IT104" i="15"/>
  <c r="IU104" i="15"/>
  <c r="IV104" i="15"/>
  <c r="IW104" i="15"/>
  <c r="IX104" i="15"/>
  <c r="IY104" i="15"/>
  <c r="IZ104" i="15"/>
  <c r="JA104" i="15"/>
  <c r="JB104" i="15"/>
  <c r="JC104" i="15"/>
  <c r="JD104" i="15"/>
  <c r="JE104" i="15"/>
  <c r="JF104" i="15"/>
  <c r="JG104" i="15"/>
  <c r="JH104" i="15"/>
  <c r="JI104" i="15"/>
  <c r="JJ104" i="15"/>
  <c r="JK104" i="15"/>
  <c r="JL104" i="15"/>
  <c r="FM105" i="15"/>
  <c r="FN105" i="15"/>
  <c r="FO105" i="15"/>
  <c r="FP105" i="15"/>
  <c r="FQ105" i="15"/>
  <c r="FR105" i="15"/>
  <c r="FS105" i="15"/>
  <c r="FT105" i="15"/>
  <c r="FU105" i="15"/>
  <c r="FV105" i="15"/>
  <c r="FW105" i="15"/>
  <c r="FX105" i="15"/>
  <c r="FY105" i="15"/>
  <c r="FZ105" i="15"/>
  <c r="GA105" i="15"/>
  <c r="GB105" i="15"/>
  <c r="GC105" i="15"/>
  <c r="GD105" i="15"/>
  <c r="GE105" i="15"/>
  <c r="GF105" i="15"/>
  <c r="GG105" i="15"/>
  <c r="GH105" i="15"/>
  <c r="GI105" i="15"/>
  <c r="GJ105" i="15"/>
  <c r="GK105" i="15"/>
  <c r="GL105" i="15"/>
  <c r="GM105" i="15"/>
  <c r="GN105" i="15"/>
  <c r="GO105" i="15"/>
  <c r="GP105" i="15"/>
  <c r="GQ105" i="15"/>
  <c r="GR105" i="15"/>
  <c r="GS105" i="15"/>
  <c r="GT105" i="15"/>
  <c r="GU105" i="15"/>
  <c r="GV105" i="15"/>
  <c r="GW105" i="15"/>
  <c r="GX105" i="15"/>
  <c r="GY105" i="15"/>
  <c r="GZ105" i="15"/>
  <c r="HA105" i="15"/>
  <c r="HB105" i="15"/>
  <c r="HC105" i="15"/>
  <c r="HD105" i="15"/>
  <c r="HE105" i="15"/>
  <c r="HF105" i="15"/>
  <c r="HG105" i="15"/>
  <c r="HH105" i="15"/>
  <c r="HI105" i="15"/>
  <c r="HJ105" i="15"/>
  <c r="HK105" i="15"/>
  <c r="HL105" i="15"/>
  <c r="HM105" i="15"/>
  <c r="HN105" i="15"/>
  <c r="HO105" i="15"/>
  <c r="HP105" i="15"/>
  <c r="HQ105" i="15"/>
  <c r="HR105" i="15"/>
  <c r="HS105" i="15"/>
  <c r="HT105" i="15"/>
  <c r="HU105" i="15"/>
  <c r="HV105" i="15"/>
  <c r="HW105" i="15"/>
  <c r="HX105" i="15"/>
  <c r="HY105" i="15"/>
  <c r="HZ105" i="15"/>
  <c r="IA105" i="15"/>
  <c r="IB105" i="15"/>
  <c r="IC105" i="15"/>
  <c r="ID105" i="15"/>
  <c r="IE105" i="15"/>
  <c r="IF105" i="15"/>
  <c r="IG105" i="15"/>
  <c r="IH105" i="15"/>
  <c r="II105" i="15"/>
  <c r="IJ105" i="15"/>
  <c r="IK105" i="15"/>
  <c r="IL105" i="15"/>
  <c r="IM105" i="15"/>
  <c r="IN105" i="15"/>
  <c r="IO105" i="15"/>
  <c r="IP105" i="15"/>
  <c r="IQ105" i="15"/>
  <c r="IR105" i="15"/>
  <c r="IS105" i="15"/>
  <c r="IT105" i="15"/>
  <c r="IU105" i="15"/>
  <c r="IV105" i="15"/>
  <c r="IW105" i="15"/>
  <c r="IX105" i="15"/>
  <c r="IY105" i="15"/>
  <c r="IZ105" i="15"/>
  <c r="JA105" i="15"/>
  <c r="JB105" i="15"/>
  <c r="JC105" i="15"/>
  <c r="JD105" i="15"/>
  <c r="JE105" i="15"/>
  <c r="JF105" i="15"/>
  <c r="JG105" i="15"/>
  <c r="JH105" i="15"/>
  <c r="JI105" i="15"/>
  <c r="JJ105" i="15"/>
  <c r="JK105" i="15"/>
  <c r="JL105" i="15"/>
  <c r="FM106" i="15"/>
  <c r="FN106" i="15"/>
  <c r="FO106" i="15"/>
  <c r="FP106" i="15"/>
  <c r="FQ106" i="15"/>
  <c r="FR106" i="15"/>
  <c r="FS106" i="15"/>
  <c r="FT106" i="15"/>
  <c r="FU106" i="15"/>
  <c r="FV106" i="15"/>
  <c r="FW106" i="15"/>
  <c r="FX106" i="15"/>
  <c r="FY106" i="15"/>
  <c r="FZ106" i="15"/>
  <c r="GA106" i="15"/>
  <c r="GB106" i="15"/>
  <c r="GC106" i="15"/>
  <c r="GD106" i="15"/>
  <c r="GE106" i="15"/>
  <c r="GF106" i="15"/>
  <c r="GG106" i="15"/>
  <c r="GH106" i="15"/>
  <c r="GI106" i="15"/>
  <c r="GJ106" i="15"/>
  <c r="GK106" i="15"/>
  <c r="GL106" i="15"/>
  <c r="GM106" i="15"/>
  <c r="GN106" i="15"/>
  <c r="GO106" i="15"/>
  <c r="GP106" i="15"/>
  <c r="GQ106" i="15"/>
  <c r="GR106" i="15"/>
  <c r="GS106" i="15"/>
  <c r="GT106" i="15"/>
  <c r="GU106" i="15"/>
  <c r="GV106" i="15"/>
  <c r="GW106" i="15"/>
  <c r="GX106" i="15"/>
  <c r="GY106" i="15"/>
  <c r="GZ106" i="15"/>
  <c r="HA106" i="15"/>
  <c r="HB106" i="15"/>
  <c r="HC106" i="15"/>
  <c r="HD106" i="15"/>
  <c r="HE106" i="15"/>
  <c r="HF106" i="15"/>
  <c r="HG106" i="15"/>
  <c r="HH106" i="15"/>
  <c r="HI106" i="15"/>
  <c r="HJ106" i="15"/>
  <c r="HK106" i="15"/>
  <c r="HL106" i="15"/>
  <c r="HM106" i="15"/>
  <c r="HN106" i="15"/>
  <c r="HO106" i="15"/>
  <c r="HP106" i="15"/>
  <c r="HQ106" i="15"/>
  <c r="HR106" i="15"/>
  <c r="HS106" i="15"/>
  <c r="HT106" i="15"/>
  <c r="HU106" i="15"/>
  <c r="HV106" i="15"/>
  <c r="HW106" i="15"/>
  <c r="HX106" i="15"/>
  <c r="HY106" i="15"/>
  <c r="HZ106" i="15"/>
  <c r="IA106" i="15"/>
  <c r="IB106" i="15"/>
  <c r="IC106" i="15"/>
  <c r="ID106" i="15"/>
  <c r="IE106" i="15"/>
  <c r="IF106" i="15"/>
  <c r="IG106" i="15"/>
  <c r="IH106" i="15"/>
  <c r="II106" i="15"/>
  <c r="IJ106" i="15"/>
  <c r="IK106" i="15"/>
  <c r="IL106" i="15"/>
  <c r="IM106" i="15"/>
  <c r="IN106" i="15"/>
  <c r="IO106" i="15"/>
  <c r="IP106" i="15"/>
  <c r="IQ106" i="15"/>
  <c r="IR106" i="15"/>
  <c r="IS106" i="15"/>
  <c r="IT106" i="15"/>
  <c r="IU106" i="15"/>
  <c r="IV106" i="15"/>
  <c r="IW106" i="15"/>
  <c r="IX106" i="15"/>
  <c r="IY106" i="15"/>
  <c r="IZ106" i="15"/>
  <c r="JA106" i="15"/>
  <c r="JB106" i="15"/>
  <c r="JC106" i="15"/>
  <c r="JD106" i="15"/>
  <c r="JE106" i="15"/>
  <c r="JF106" i="15"/>
  <c r="JG106" i="15"/>
  <c r="JH106" i="15"/>
  <c r="JI106" i="15"/>
  <c r="JJ106" i="15"/>
  <c r="JK106" i="15"/>
  <c r="JL106" i="15"/>
  <c r="FM107" i="15"/>
  <c r="FN107" i="15"/>
  <c r="FO107" i="15"/>
  <c r="FP107" i="15"/>
  <c r="FQ107" i="15"/>
  <c r="FR107" i="15"/>
  <c r="FS107" i="15"/>
  <c r="FT107" i="15"/>
  <c r="FU107" i="15"/>
  <c r="FV107" i="15"/>
  <c r="FW107" i="15"/>
  <c r="FX107" i="15"/>
  <c r="FY107" i="15"/>
  <c r="FZ107" i="15"/>
  <c r="GA107" i="15"/>
  <c r="GB107" i="15"/>
  <c r="GC107" i="15"/>
  <c r="GD107" i="15"/>
  <c r="GE107" i="15"/>
  <c r="GF107" i="15"/>
  <c r="GG107" i="15"/>
  <c r="GH107" i="15"/>
  <c r="GI107" i="15"/>
  <c r="GJ107" i="15"/>
  <c r="GK107" i="15"/>
  <c r="GL107" i="15"/>
  <c r="GM107" i="15"/>
  <c r="GN107" i="15"/>
  <c r="GO107" i="15"/>
  <c r="GP107" i="15"/>
  <c r="GQ107" i="15"/>
  <c r="GR107" i="15"/>
  <c r="GS107" i="15"/>
  <c r="GT107" i="15"/>
  <c r="GU107" i="15"/>
  <c r="GV107" i="15"/>
  <c r="GW107" i="15"/>
  <c r="GX107" i="15"/>
  <c r="GY107" i="15"/>
  <c r="GZ107" i="15"/>
  <c r="HA107" i="15"/>
  <c r="HB107" i="15"/>
  <c r="HC107" i="15"/>
  <c r="HD107" i="15"/>
  <c r="HE107" i="15"/>
  <c r="HF107" i="15"/>
  <c r="HG107" i="15"/>
  <c r="HH107" i="15"/>
  <c r="HI107" i="15"/>
  <c r="HJ107" i="15"/>
  <c r="HK107" i="15"/>
  <c r="HL107" i="15"/>
  <c r="HM107" i="15"/>
  <c r="HN107" i="15"/>
  <c r="HO107" i="15"/>
  <c r="HP107" i="15"/>
  <c r="HQ107" i="15"/>
  <c r="HR107" i="15"/>
  <c r="HS107" i="15"/>
  <c r="HT107" i="15"/>
  <c r="HU107" i="15"/>
  <c r="HV107" i="15"/>
  <c r="HW107" i="15"/>
  <c r="HX107" i="15"/>
  <c r="HY107" i="15"/>
  <c r="HZ107" i="15"/>
  <c r="IA107" i="15"/>
  <c r="IB107" i="15"/>
  <c r="IC107" i="15"/>
  <c r="ID107" i="15"/>
  <c r="IE107" i="15"/>
  <c r="IF107" i="15"/>
  <c r="IG107" i="15"/>
  <c r="IH107" i="15"/>
  <c r="II107" i="15"/>
  <c r="IJ107" i="15"/>
  <c r="IK107" i="15"/>
  <c r="IL107" i="15"/>
  <c r="IM107" i="15"/>
  <c r="IN107" i="15"/>
  <c r="IO107" i="15"/>
  <c r="IP107" i="15"/>
  <c r="IQ107" i="15"/>
  <c r="IR107" i="15"/>
  <c r="IS107" i="15"/>
  <c r="IT107" i="15"/>
  <c r="IU107" i="15"/>
  <c r="IV107" i="15"/>
  <c r="IW107" i="15"/>
  <c r="IX107" i="15"/>
  <c r="IY107" i="15"/>
  <c r="IZ107" i="15"/>
  <c r="JA107" i="15"/>
  <c r="JB107" i="15"/>
  <c r="JC107" i="15"/>
  <c r="JD107" i="15"/>
  <c r="JE107" i="15"/>
  <c r="JF107" i="15"/>
  <c r="JG107" i="15"/>
  <c r="JH107" i="15"/>
  <c r="JI107" i="15"/>
  <c r="JJ107" i="15"/>
  <c r="JK107" i="15"/>
  <c r="JL107" i="15"/>
  <c r="FM108" i="15"/>
  <c r="FN108" i="15"/>
  <c r="FO108" i="15"/>
  <c r="FP108" i="15"/>
  <c r="FQ108" i="15"/>
  <c r="FR108" i="15"/>
  <c r="FS108" i="15"/>
  <c r="FT108" i="15"/>
  <c r="FU108" i="15"/>
  <c r="FV108" i="15"/>
  <c r="FW108" i="15"/>
  <c r="FX108" i="15"/>
  <c r="FY108" i="15"/>
  <c r="FZ108" i="15"/>
  <c r="GA108" i="15"/>
  <c r="GB108" i="15"/>
  <c r="GC108" i="15"/>
  <c r="GD108" i="15"/>
  <c r="GE108" i="15"/>
  <c r="GF108" i="15"/>
  <c r="GG108" i="15"/>
  <c r="GH108" i="15"/>
  <c r="GI108" i="15"/>
  <c r="GJ108" i="15"/>
  <c r="GK108" i="15"/>
  <c r="GL108" i="15"/>
  <c r="GM108" i="15"/>
  <c r="GN108" i="15"/>
  <c r="GO108" i="15"/>
  <c r="GP108" i="15"/>
  <c r="GQ108" i="15"/>
  <c r="GR108" i="15"/>
  <c r="GS108" i="15"/>
  <c r="GT108" i="15"/>
  <c r="GU108" i="15"/>
  <c r="GV108" i="15"/>
  <c r="GW108" i="15"/>
  <c r="GX108" i="15"/>
  <c r="GY108" i="15"/>
  <c r="GZ108" i="15"/>
  <c r="HA108" i="15"/>
  <c r="HB108" i="15"/>
  <c r="HC108" i="15"/>
  <c r="HD108" i="15"/>
  <c r="HE108" i="15"/>
  <c r="HF108" i="15"/>
  <c r="HG108" i="15"/>
  <c r="HH108" i="15"/>
  <c r="HI108" i="15"/>
  <c r="HJ108" i="15"/>
  <c r="HK108" i="15"/>
  <c r="HL108" i="15"/>
  <c r="HM108" i="15"/>
  <c r="HN108" i="15"/>
  <c r="HO108" i="15"/>
  <c r="HP108" i="15"/>
  <c r="HQ108" i="15"/>
  <c r="HR108" i="15"/>
  <c r="HS108" i="15"/>
  <c r="HT108" i="15"/>
  <c r="HU108" i="15"/>
  <c r="HV108" i="15"/>
  <c r="HW108" i="15"/>
  <c r="HX108" i="15"/>
  <c r="HY108" i="15"/>
  <c r="HZ108" i="15"/>
  <c r="IA108" i="15"/>
  <c r="IB108" i="15"/>
  <c r="IC108" i="15"/>
  <c r="ID108" i="15"/>
  <c r="IE108" i="15"/>
  <c r="IF108" i="15"/>
  <c r="IG108" i="15"/>
  <c r="IH108" i="15"/>
  <c r="II108" i="15"/>
  <c r="IJ108" i="15"/>
  <c r="IK108" i="15"/>
  <c r="IL108" i="15"/>
  <c r="IM108" i="15"/>
  <c r="IN108" i="15"/>
  <c r="IO108" i="15"/>
  <c r="IP108" i="15"/>
  <c r="IQ108" i="15"/>
  <c r="IR108" i="15"/>
  <c r="IS108" i="15"/>
  <c r="IT108" i="15"/>
  <c r="IU108" i="15"/>
  <c r="IV108" i="15"/>
  <c r="IW108" i="15"/>
  <c r="IX108" i="15"/>
  <c r="IY108" i="15"/>
  <c r="IZ108" i="15"/>
  <c r="JA108" i="15"/>
  <c r="JB108" i="15"/>
  <c r="JC108" i="15"/>
  <c r="JD108" i="15"/>
  <c r="JE108" i="15"/>
  <c r="JF108" i="15"/>
  <c r="JG108" i="15"/>
  <c r="JH108" i="15"/>
  <c r="JI108" i="15"/>
  <c r="JJ108" i="15"/>
  <c r="JK108" i="15"/>
  <c r="JL108" i="15"/>
  <c r="FM109" i="15"/>
  <c r="FN109" i="15"/>
  <c r="FO109" i="15"/>
  <c r="FP109" i="15"/>
  <c r="FQ109" i="15"/>
  <c r="FR109" i="15"/>
  <c r="FS109" i="15"/>
  <c r="FT109" i="15"/>
  <c r="FU109" i="15"/>
  <c r="FV109" i="15"/>
  <c r="FW109" i="15"/>
  <c r="FX109" i="15"/>
  <c r="FY109" i="15"/>
  <c r="FZ109" i="15"/>
  <c r="GA109" i="15"/>
  <c r="GB109" i="15"/>
  <c r="GC109" i="15"/>
  <c r="GD109" i="15"/>
  <c r="GE109" i="15"/>
  <c r="GF109" i="15"/>
  <c r="GG109" i="15"/>
  <c r="GH109" i="15"/>
  <c r="GI109" i="15"/>
  <c r="GJ109" i="15"/>
  <c r="GK109" i="15"/>
  <c r="GL109" i="15"/>
  <c r="GM109" i="15"/>
  <c r="GN109" i="15"/>
  <c r="GO109" i="15"/>
  <c r="GP109" i="15"/>
  <c r="GQ109" i="15"/>
  <c r="GR109" i="15"/>
  <c r="GS109" i="15"/>
  <c r="GT109" i="15"/>
  <c r="GU109" i="15"/>
  <c r="GV109" i="15"/>
  <c r="GW109" i="15"/>
  <c r="GX109" i="15"/>
  <c r="GY109" i="15"/>
  <c r="GZ109" i="15"/>
  <c r="HA109" i="15"/>
  <c r="HB109" i="15"/>
  <c r="HC109" i="15"/>
  <c r="HD109" i="15"/>
  <c r="HE109" i="15"/>
  <c r="HF109" i="15"/>
  <c r="HG109" i="15"/>
  <c r="HH109" i="15"/>
  <c r="HI109" i="15"/>
  <c r="HJ109" i="15"/>
  <c r="HK109" i="15"/>
  <c r="HL109" i="15"/>
  <c r="HM109" i="15"/>
  <c r="HN109" i="15"/>
  <c r="HO109" i="15"/>
  <c r="HP109" i="15"/>
  <c r="HQ109" i="15"/>
  <c r="HR109" i="15"/>
  <c r="HS109" i="15"/>
  <c r="HT109" i="15"/>
  <c r="HU109" i="15"/>
  <c r="HV109" i="15"/>
  <c r="HW109" i="15"/>
  <c r="HX109" i="15"/>
  <c r="HY109" i="15"/>
  <c r="HZ109" i="15"/>
  <c r="IA109" i="15"/>
  <c r="IB109" i="15"/>
  <c r="IC109" i="15"/>
  <c r="ID109" i="15"/>
  <c r="IE109" i="15"/>
  <c r="IF109" i="15"/>
  <c r="IG109" i="15"/>
  <c r="IH109" i="15"/>
  <c r="II109" i="15"/>
  <c r="IJ109" i="15"/>
  <c r="IK109" i="15"/>
  <c r="IL109" i="15"/>
  <c r="IM109" i="15"/>
  <c r="IN109" i="15"/>
  <c r="IO109" i="15"/>
  <c r="IP109" i="15"/>
  <c r="IQ109" i="15"/>
  <c r="IR109" i="15"/>
  <c r="IS109" i="15"/>
  <c r="IT109" i="15"/>
  <c r="IU109" i="15"/>
  <c r="IV109" i="15"/>
  <c r="IW109" i="15"/>
  <c r="IX109" i="15"/>
  <c r="IY109" i="15"/>
  <c r="IZ109" i="15"/>
  <c r="JA109" i="15"/>
  <c r="JB109" i="15"/>
  <c r="JC109" i="15"/>
  <c r="JD109" i="15"/>
  <c r="JE109" i="15"/>
  <c r="JF109" i="15"/>
  <c r="JG109" i="15"/>
  <c r="JH109" i="15"/>
  <c r="JI109" i="15"/>
  <c r="JJ109" i="15"/>
  <c r="JK109" i="15"/>
  <c r="JL109" i="15"/>
  <c r="FM110" i="15"/>
  <c r="FN110" i="15"/>
  <c r="FO110" i="15"/>
  <c r="FP110" i="15"/>
  <c r="FQ110" i="15"/>
  <c r="FR110" i="15"/>
  <c r="FS110" i="15"/>
  <c r="FT110" i="15"/>
  <c r="FU110" i="15"/>
  <c r="FV110" i="15"/>
  <c r="FW110" i="15"/>
  <c r="FX110" i="15"/>
  <c r="FY110" i="15"/>
  <c r="FZ110" i="15"/>
  <c r="GA110" i="15"/>
  <c r="GB110" i="15"/>
  <c r="GC110" i="15"/>
  <c r="GD110" i="15"/>
  <c r="GE110" i="15"/>
  <c r="GF110" i="15"/>
  <c r="GG110" i="15"/>
  <c r="GH110" i="15"/>
  <c r="GI110" i="15"/>
  <c r="GJ110" i="15"/>
  <c r="GK110" i="15"/>
  <c r="GL110" i="15"/>
  <c r="GM110" i="15"/>
  <c r="GN110" i="15"/>
  <c r="GO110" i="15"/>
  <c r="GP110" i="15"/>
  <c r="GQ110" i="15"/>
  <c r="GR110" i="15"/>
  <c r="GS110" i="15"/>
  <c r="GT110" i="15"/>
  <c r="GU110" i="15"/>
  <c r="GV110" i="15"/>
  <c r="GW110" i="15"/>
  <c r="GX110" i="15"/>
  <c r="GY110" i="15"/>
  <c r="GZ110" i="15"/>
  <c r="HA110" i="15"/>
  <c r="HB110" i="15"/>
  <c r="HC110" i="15"/>
  <c r="HD110" i="15"/>
  <c r="HE110" i="15"/>
  <c r="HF110" i="15"/>
  <c r="HG110" i="15"/>
  <c r="HH110" i="15"/>
  <c r="HI110" i="15"/>
  <c r="HJ110" i="15"/>
  <c r="HK110" i="15"/>
  <c r="HL110" i="15"/>
  <c r="HM110" i="15"/>
  <c r="HN110" i="15"/>
  <c r="HO110" i="15"/>
  <c r="HP110" i="15"/>
  <c r="HQ110" i="15"/>
  <c r="HR110" i="15"/>
  <c r="HS110" i="15"/>
  <c r="HT110" i="15"/>
  <c r="HU110" i="15"/>
  <c r="HV110" i="15"/>
  <c r="HW110" i="15"/>
  <c r="HX110" i="15"/>
  <c r="HY110" i="15"/>
  <c r="HZ110" i="15"/>
  <c r="IA110" i="15"/>
  <c r="IB110" i="15"/>
  <c r="IC110" i="15"/>
  <c r="ID110" i="15"/>
  <c r="IE110" i="15"/>
  <c r="IF110" i="15"/>
  <c r="IG110" i="15"/>
  <c r="IH110" i="15"/>
  <c r="II110" i="15"/>
  <c r="IJ110" i="15"/>
  <c r="IK110" i="15"/>
  <c r="IL110" i="15"/>
  <c r="IM110" i="15"/>
  <c r="IN110" i="15"/>
  <c r="IO110" i="15"/>
  <c r="IP110" i="15"/>
  <c r="IQ110" i="15"/>
  <c r="IR110" i="15"/>
  <c r="IS110" i="15"/>
  <c r="IT110" i="15"/>
  <c r="IU110" i="15"/>
  <c r="IV110" i="15"/>
  <c r="IW110" i="15"/>
  <c r="IX110" i="15"/>
  <c r="IY110" i="15"/>
  <c r="IZ110" i="15"/>
  <c r="JA110" i="15"/>
  <c r="JB110" i="15"/>
  <c r="JC110" i="15"/>
  <c r="JD110" i="15"/>
  <c r="JE110" i="15"/>
  <c r="JF110" i="15"/>
  <c r="JG110" i="15"/>
  <c r="JH110" i="15"/>
  <c r="JI110" i="15"/>
  <c r="JJ110" i="15"/>
  <c r="JK110" i="15"/>
  <c r="JL110" i="15"/>
  <c r="FM111" i="15"/>
  <c r="FN111" i="15"/>
  <c r="FO111" i="15"/>
  <c r="FP111" i="15"/>
  <c r="FQ111" i="15"/>
  <c r="FR111" i="15"/>
  <c r="FS111" i="15"/>
  <c r="FT111" i="15"/>
  <c r="FU111" i="15"/>
  <c r="FV111" i="15"/>
  <c r="FW111" i="15"/>
  <c r="FX111" i="15"/>
  <c r="FY111" i="15"/>
  <c r="FZ111" i="15"/>
  <c r="GA111" i="15"/>
  <c r="GB111" i="15"/>
  <c r="GC111" i="15"/>
  <c r="GD111" i="15"/>
  <c r="GE111" i="15"/>
  <c r="GF111" i="15"/>
  <c r="GG111" i="15"/>
  <c r="GH111" i="15"/>
  <c r="GI111" i="15"/>
  <c r="GJ111" i="15"/>
  <c r="GK111" i="15"/>
  <c r="GL111" i="15"/>
  <c r="GM111" i="15"/>
  <c r="GN111" i="15"/>
  <c r="GO111" i="15"/>
  <c r="GP111" i="15"/>
  <c r="GQ111" i="15"/>
  <c r="GR111" i="15"/>
  <c r="GS111" i="15"/>
  <c r="GT111" i="15"/>
  <c r="GU111" i="15"/>
  <c r="GV111" i="15"/>
  <c r="GW111" i="15"/>
  <c r="GX111" i="15"/>
  <c r="GY111" i="15"/>
  <c r="GZ111" i="15"/>
  <c r="HA111" i="15"/>
  <c r="HB111" i="15"/>
  <c r="HC111" i="15"/>
  <c r="HD111" i="15"/>
  <c r="HE111" i="15"/>
  <c r="HF111" i="15"/>
  <c r="HG111" i="15"/>
  <c r="HH111" i="15"/>
  <c r="HI111" i="15"/>
  <c r="HJ111" i="15"/>
  <c r="HK111" i="15"/>
  <c r="HL111" i="15"/>
  <c r="HM111" i="15"/>
  <c r="HN111" i="15"/>
  <c r="HO111" i="15"/>
  <c r="HP111" i="15"/>
  <c r="HQ111" i="15"/>
  <c r="HR111" i="15"/>
  <c r="HS111" i="15"/>
  <c r="HT111" i="15"/>
  <c r="HU111" i="15"/>
  <c r="HV111" i="15"/>
  <c r="HW111" i="15"/>
  <c r="HX111" i="15"/>
  <c r="HY111" i="15"/>
  <c r="HZ111" i="15"/>
  <c r="IA111" i="15"/>
  <c r="IB111" i="15"/>
  <c r="IC111" i="15"/>
  <c r="ID111" i="15"/>
  <c r="IE111" i="15"/>
  <c r="IF111" i="15"/>
  <c r="IG111" i="15"/>
  <c r="IH111" i="15"/>
  <c r="II111" i="15"/>
  <c r="IJ111" i="15"/>
  <c r="IK111" i="15"/>
  <c r="IL111" i="15"/>
  <c r="IM111" i="15"/>
  <c r="IN111" i="15"/>
  <c r="IO111" i="15"/>
  <c r="IP111" i="15"/>
  <c r="IQ111" i="15"/>
  <c r="IR111" i="15"/>
  <c r="IS111" i="15"/>
  <c r="IT111" i="15"/>
  <c r="IU111" i="15"/>
  <c r="IV111" i="15"/>
  <c r="IW111" i="15"/>
  <c r="IX111" i="15"/>
  <c r="IY111" i="15"/>
  <c r="IZ111" i="15"/>
  <c r="JA111" i="15"/>
  <c r="JB111" i="15"/>
  <c r="JC111" i="15"/>
  <c r="JD111" i="15"/>
  <c r="JE111" i="15"/>
  <c r="JF111" i="15"/>
  <c r="JG111" i="15"/>
  <c r="JH111" i="15"/>
  <c r="JI111" i="15"/>
  <c r="JJ111" i="15"/>
  <c r="JK111" i="15"/>
  <c r="JL111" i="15"/>
  <c r="FM112" i="15"/>
  <c r="FN112" i="15"/>
  <c r="FO112" i="15"/>
  <c r="FP112" i="15"/>
  <c r="FQ112" i="15"/>
  <c r="FR112" i="15"/>
  <c r="FS112" i="15"/>
  <c r="FT112" i="15"/>
  <c r="FU112" i="15"/>
  <c r="FV112" i="15"/>
  <c r="FW112" i="15"/>
  <c r="FX112" i="15"/>
  <c r="FY112" i="15"/>
  <c r="FZ112" i="15"/>
  <c r="GA112" i="15"/>
  <c r="GB112" i="15"/>
  <c r="GC112" i="15"/>
  <c r="GD112" i="15"/>
  <c r="GE112" i="15"/>
  <c r="GF112" i="15"/>
  <c r="GG112" i="15"/>
  <c r="GH112" i="15"/>
  <c r="GI112" i="15"/>
  <c r="GJ112" i="15"/>
  <c r="GK112" i="15"/>
  <c r="GL112" i="15"/>
  <c r="GM112" i="15"/>
  <c r="GN112" i="15"/>
  <c r="GO112" i="15"/>
  <c r="GP112" i="15"/>
  <c r="GQ112" i="15"/>
  <c r="GR112" i="15"/>
  <c r="GS112" i="15"/>
  <c r="GT112" i="15"/>
  <c r="GU112" i="15"/>
  <c r="GV112" i="15"/>
  <c r="GW112" i="15"/>
  <c r="GX112" i="15"/>
  <c r="GY112" i="15"/>
  <c r="GZ112" i="15"/>
  <c r="HA112" i="15"/>
  <c r="HB112" i="15"/>
  <c r="HC112" i="15"/>
  <c r="HD112" i="15"/>
  <c r="HE112" i="15"/>
  <c r="HF112" i="15"/>
  <c r="HG112" i="15"/>
  <c r="HH112" i="15"/>
  <c r="HI112" i="15"/>
  <c r="HJ112" i="15"/>
  <c r="HK112" i="15"/>
  <c r="HL112" i="15"/>
  <c r="HM112" i="15"/>
  <c r="HN112" i="15"/>
  <c r="HO112" i="15"/>
  <c r="HP112" i="15"/>
  <c r="HQ112" i="15"/>
  <c r="HR112" i="15"/>
  <c r="HS112" i="15"/>
  <c r="HT112" i="15"/>
  <c r="HU112" i="15"/>
  <c r="HV112" i="15"/>
  <c r="HW112" i="15"/>
  <c r="HX112" i="15"/>
  <c r="HY112" i="15"/>
  <c r="HZ112" i="15"/>
  <c r="IA112" i="15"/>
  <c r="IB112" i="15"/>
  <c r="IC112" i="15"/>
  <c r="ID112" i="15"/>
  <c r="IE112" i="15"/>
  <c r="IF112" i="15"/>
  <c r="IG112" i="15"/>
  <c r="IH112" i="15"/>
  <c r="II112" i="15"/>
  <c r="IJ112" i="15"/>
  <c r="IK112" i="15"/>
  <c r="IL112" i="15"/>
  <c r="IM112" i="15"/>
  <c r="IN112" i="15"/>
  <c r="IO112" i="15"/>
  <c r="IP112" i="15"/>
  <c r="IQ112" i="15"/>
  <c r="IR112" i="15"/>
  <c r="IS112" i="15"/>
  <c r="IT112" i="15"/>
  <c r="IU112" i="15"/>
  <c r="IV112" i="15"/>
  <c r="IW112" i="15"/>
  <c r="IX112" i="15"/>
  <c r="IY112" i="15"/>
  <c r="IZ112" i="15"/>
  <c r="JA112" i="15"/>
  <c r="JB112" i="15"/>
  <c r="JC112" i="15"/>
  <c r="JD112" i="15"/>
  <c r="JE112" i="15"/>
  <c r="JF112" i="15"/>
  <c r="JG112" i="15"/>
  <c r="JH112" i="15"/>
  <c r="JI112" i="15"/>
  <c r="JJ112" i="15"/>
  <c r="JK112" i="15"/>
  <c r="JL112" i="15"/>
  <c r="FM113" i="15"/>
  <c r="FN113" i="15"/>
  <c r="FO113" i="15"/>
  <c r="FP113" i="15"/>
  <c r="FQ113" i="15"/>
  <c r="FR113" i="15"/>
  <c r="FS113" i="15"/>
  <c r="FT113" i="15"/>
  <c r="FU113" i="15"/>
  <c r="FV113" i="15"/>
  <c r="FW113" i="15"/>
  <c r="FX113" i="15"/>
  <c r="FY113" i="15"/>
  <c r="FZ113" i="15"/>
  <c r="GA113" i="15"/>
  <c r="GB113" i="15"/>
  <c r="GC113" i="15"/>
  <c r="GD113" i="15"/>
  <c r="GE113" i="15"/>
  <c r="GF113" i="15"/>
  <c r="GG113" i="15"/>
  <c r="GH113" i="15"/>
  <c r="GI113" i="15"/>
  <c r="GJ113" i="15"/>
  <c r="GK113" i="15"/>
  <c r="GL113" i="15"/>
  <c r="GM113" i="15"/>
  <c r="GN113" i="15"/>
  <c r="GO113" i="15"/>
  <c r="GP113" i="15"/>
  <c r="GQ113" i="15"/>
  <c r="GR113" i="15"/>
  <c r="GS113" i="15"/>
  <c r="GT113" i="15"/>
  <c r="GU113" i="15"/>
  <c r="GV113" i="15"/>
  <c r="GW113" i="15"/>
  <c r="GX113" i="15"/>
  <c r="GY113" i="15"/>
  <c r="GZ113" i="15"/>
  <c r="HA113" i="15"/>
  <c r="HB113" i="15"/>
  <c r="HC113" i="15"/>
  <c r="HD113" i="15"/>
  <c r="HE113" i="15"/>
  <c r="HF113" i="15"/>
  <c r="HG113" i="15"/>
  <c r="HH113" i="15"/>
  <c r="HI113" i="15"/>
  <c r="HJ113" i="15"/>
  <c r="HK113" i="15"/>
  <c r="HL113" i="15"/>
  <c r="HM113" i="15"/>
  <c r="HN113" i="15"/>
  <c r="HO113" i="15"/>
  <c r="HP113" i="15"/>
  <c r="HQ113" i="15"/>
  <c r="HR113" i="15"/>
  <c r="HS113" i="15"/>
  <c r="HT113" i="15"/>
  <c r="HU113" i="15"/>
  <c r="HV113" i="15"/>
  <c r="HW113" i="15"/>
  <c r="HX113" i="15"/>
  <c r="HY113" i="15"/>
  <c r="HZ113" i="15"/>
  <c r="IA113" i="15"/>
  <c r="IB113" i="15"/>
  <c r="IC113" i="15"/>
  <c r="ID113" i="15"/>
  <c r="IE113" i="15"/>
  <c r="IF113" i="15"/>
  <c r="IG113" i="15"/>
  <c r="IH113" i="15"/>
  <c r="II113" i="15"/>
  <c r="IJ113" i="15"/>
  <c r="IK113" i="15"/>
  <c r="IL113" i="15"/>
  <c r="IM113" i="15"/>
  <c r="IN113" i="15"/>
  <c r="IO113" i="15"/>
  <c r="IP113" i="15"/>
  <c r="IQ113" i="15"/>
  <c r="IR113" i="15"/>
  <c r="IS113" i="15"/>
  <c r="IT113" i="15"/>
  <c r="IU113" i="15"/>
  <c r="IV113" i="15"/>
  <c r="IW113" i="15"/>
  <c r="IX113" i="15"/>
  <c r="IY113" i="15"/>
  <c r="IZ113" i="15"/>
  <c r="JA113" i="15"/>
  <c r="JB113" i="15"/>
  <c r="JC113" i="15"/>
  <c r="JD113" i="15"/>
  <c r="JE113" i="15"/>
  <c r="JF113" i="15"/>
  <c r="JG113" i="15"/>
  <c r="JH113" i="15"/>
  <c r="JI113" i="15"/>
  <c r="JJ113" i="15"/>
  <c r="JK113" i="15"/>
  <c r="JL113" i="15"/>
  <c r="FM114" i="15"/>
  <c r="FN114" i="15"/>
  <c r="FO114" i="15"/>
  <c r="FP114" i="15"/>
  <c r="FQ114" i="15"/>
  <c r="FR114" i="15"/>
  <c r="FS114" i="15"/>
  <c r="FT114" i="15"/>
  <c r="FU114" i="15"/>
  <c r="FV114" i="15"/>
  <c r="FW114" i="15"/>
  <c r="FX114" i="15"/>
  <c r="FY114" i="15"/>
  <c r="FZ114" i="15"/>
  <c r="GA114" i="15"/>
  <c r="GB114" i="15"/>
  <c r="GC114" i="15"/>
  <c r="GD114" i="15"/>
  <c r="GE114" i="15"/>
  <c r="GF114" i="15"/>
  <c r="GG114" i="15"/>
  <c r="GH114" i="15"/>
  <c r="GI114" i="15"/>
  <c r="GJ114" i="15"/>
  <c r="GK114" i="15"/>
  <c r="GL114" i="15"/>
  <c r="GM114" i="15"/>
  <c r="GN114" i="15"/>
  <c r="GO114" i="15"/>
  <c r="GP114" i="15"/>
  <c r="GQ114" i="15"/>
  <c r="GR114" i="15"/>
  <c r="GS114" i="15"/>
  <c r="GT114" i="15"/>
  <c r="GU114" i="15"/>
  <c r="GV114" i="15"/>
  <c r="GW114" i="15"/>
  <c r="GX114" i="15"/>
  <c r="GY114" i="15"/>
  <c r="GZ114" i="15"/>
  <c r="HA114" i="15"/>
  <c r="HB114" i="15"/>
  <c r="HC114" i="15"/>
  <c r="HD114" i="15"/>
  <c r="HE114" i="15"/>
  <c r="HF114" i="15"/>
  <c r="HG114" i="15"/>
  <c r="HH114" i="15"/>
  <c r="HI114" i="15"/>
  <c r="HJ114" i="15"/>
  <c r="HK114" i="15"/>
  <c r="HL114" i="15"/>
  <c r="HM114" i="15"/>
  <c r="HN114" i="15"/>
  <c r="HO114" i="15"/>
  <c r="HP114" i="15"/>
  <c r="HQ114" i="15"/>
  <c r="HR114" i="15"/>
  <c r="HS114" i="15"/>
  <c r="HT114" i="15"/>
  <c r="HU114" i="15"/>
  <c r="HV114" i="15"/>
  <c r="HW114" i="15"/>
  <c r="HX114" i="15"/>
  <c r="HY114" i="15"/>
  <c r="HZ114" i="15"/>
  <c r="IA114" i="15"/>
  <c r="IB114" i="15"/>
  <c r="IC114" i="15"/>
  <c r="ID114" i="15"/>
  <c r="IE114" i="15"/>
  <c r="IF114" i="15"/>
  <c r="IG114" i="15"/>
  <c r="IH114" i="15"/>
  <c r="II114" i="15"/>
  <c r="IJ114" i="15"/>
  <c r="IK114" i="15"/>
  <c r="IL114" i="15"/>
  <c r="IM114" i="15"/>
  <c r="IN114" i="15"/>
  <c r="IO114" i="15"/>
  <c r="IP114" i="15"/>
  <c r="IQ114" i="15"/>
  <c r="IR114" i="15"/>
  <c r="IS114" i="15"/>
  <c r="IT114" i="15"/>
  <c r="IU114" i="15"/>
  <c r="IV114" i="15"/>
  <c r="IW114" i="15"/>
  <c r="IX114" i="15"/>
  <c r="IY114" i="15"/>
  <c r="IZ114" i="15"/>
  <c r="JA114" i="15"/>
  <c r="JB114" i="15"/>
  <c r="JC114" i="15"/>
  <c r="JD114" i="15"/>
  <c r="JE114" i="15"/>
  <c r="JF114" i="15"/>
  <c r="JG114" i="15"/>
  <c r="JH114" i="15"/>
  <c r="JI114" i="15"/>
  <c r="JJ114" i="15"/>
  <c r="JK114" i="15"/>
  <c r="JL114" i="15"/>
  <c r="FM115" i="15"/>
  <c r="FN115" i="15"/>
  <c r="FO115" i="15"/>
  <c r="FP115" i="15"/>
  <c r="FQ115" i="15"/>
  <c r="FR115" i="15"/>
  <c r="FS115" i="15"/>
  <c r="FT115" i="15"/>
  <c r="FU115" i="15"/>
  <c r="FV115" i="15"/>
  <c r="FW115" i="15"/>
  <c r="FX115" i="15"/>
  <c r="FY115" i="15"/>
  <c r="FZ115" i="15"/>
  <c r="GA115" i="15"/>
  <c r="GB115" i="15"/>
  <c r="GC115" i="15"/>
  <c r="GD115" i="15"/>
  <c r="GE115" i="15"/>
  <c r="GF115" i="15"/>
  <c r="GG115" i="15"/>
  <c r="GH115" i="15"/>
  <c r="GI115" i="15"/>
  <c r="GJ115" i="15"/>
  <c r="GK115" i="15"/>
  <c r="GL115" i="15"/>
  <c r="GM115" i="15"/>
  <c r="GN115" i="15"/>
  <c r="GO115" i="15"/>
  <c r="GP115" i="15"/>
  <c r="GQ115" i="15"/>
  <c r="GR115" i="15"/>
  <c r="GS115" i="15"/>
  <c r="GT115" i="15"/>
  <c r="GU115" i="15"/>
  <c r="GV115" i="15"/>
  <c r="GW115" i="15"/>
  <c r="GX115" i="15"/>
  <c r="GY115" i="15"/>
  <c r="GZ115" i="15"/>
  <c r="HA115" i="15"/>
  <c r="HB115" i="15"/>
  <c r="HC115" i="15"/>
  <c r="HD115" i="15"/>
  <c r="HE115" i="15"/>
  <c r="HF115" i="15"/>
  <c r="HG115" i="15"/>
  <c r="HH115" i="15"/>
  <c r="HI115" i="15"/>
  <c r="HJ115" i="15"/>
  <c r="HK115" i="15"/>
  <c r="HL115" i="15"/>
  <c r="HM115" i="15"/>
  <c r="HN115" i="15"/>
  <c r="HO115" i="15"/>
  <c r="HP115" i="15"/>
  <c r="HQ115" i="15"/>
  <c r="HR115" i="15"/>
  <c r="HS115" i="15"/>
  <c r="HT115" i="15"/>
  <c r="HU115" i="15"/>
  <c r="HV115" i="15"/>
  <c r="HW115" i="15"/>
  <c r="HX115" i="15"/>
  <c r="HY115" i="15"/>
  <c r="HZ115" i="15"/>
  <c r="IA115" i="15"/>
  <c r="IB115" i="15"/>
  <c r="IC115" i="15"/>
  <c r="ID115" i="15"/>
  <c r="IE115" i="15"/>
  <c r="IF115" i="15"/>
  <c r="IG115" i="15"/>
  <c r="IH115" i="15"/>
  <c r="II115" i="15"/>
  <c r="IJ115" i="15"/>
  <c r="IK115" i="15"/>
  <c r="IL115" i="15"/>
  <c r="IM115" i="15"/>
  <c r="IN115" i="15"/>
  <c r="IO115" i="15"/>
  <c r="IP115" i="15"/>
  <c r="IQ115" i="15"/>
  <c r="IR115" i="15"/>
  <c r="IS115" i="15"/>
  <c r="IT115" i="15"/>
  <c r="IU115" i="15"/>
  <c r="IV115" i="15"/>
  <c r="IW115" i="15"/>
  <c r="IX115" i="15"/>
  <c r="IY115" i="15"/>
  <c r="IZ115" i="15"/>
  <c r="JA115" i="15"/>
  <c r="JB115" i="15"/>
  <c r="JC115" i="15"/>
  <c r="JD115" i="15"/>
  <c r="JE115" i="15"/>
  <c r="JF115" i="15"/>
  <c r="JG115" i="15"/>
  <c r="JH115" i="15"/>
  <c r="JI115" i="15"/>
  <c r="JJ115" i="15"/>
  <c r="JK115" i="15"/>
  <c r="JL115" i="15"/>
  <c r="FM116" i="15"/>
  <c r="FN116" i="15"/>
  <c r="FO116" i="15"/>
  <c r="FP116" i="15"/>
  <c r="FQ116" i="15"/>
  <c r="FR116" i="15"/>
  <c r="FS116" i="15"/>
  <c r="FT116" i="15"/>
  <c r="FU116" i="15"/>
  <c r="FV116" i="15"/>
  <c r="FW116" i="15"/>
  <c r="FX116" i="15"/>
  <c r="FY116" i="15"/>
  <c r="FZ116" i="15"/>
  <c r="GA116" i="15"/>
  <c r="GB116" i="15"/>
  <c r="GC116" i="15"/>
  <c r="GD116" i="15"/>
  <c r="GE116" i="15"/>
  <c r="GF116" i="15"/>
  <c r="GG116" i="15"/>
  <c r="GH116" i="15"/>
  <c r="GI116" i="15"/>
  <c r="GJ116" i="15"/>
  <c r="GK116" i="15"/>
  <c r="GL116" i="15"/>
  <c r="GM116" i="15"/>
  <c r="GN116" i="15"/>
  <c r="GO116" i="15"/>
  <c r="GP116" i="15"/>
  <c r="GQ116" i="15"/>
  <c r="GR116" i="15"/>
  <c r="GS116" i="15"/>
  <c r="GT116" i="15"/>
  <c r="GU116" i="15"/>
  <c r="GV116" i="15"/>
  <c r="GW116" i="15"/>
  <c r="GX116" i="15"/>
  <c r="GY116" i="15"/>
  <c r="GZ116" i="15"/>
  <c r="HA116" i="15"/>
  <c r="HB116" i="15"/>
  <c r="HC116" i="15"/>
  <c r="HD116" i="15"/>
  <c r="HE116" i="15"/>
  <c r="HF116" i="15"/>
  <c r="HG116" i="15"/>
  <c r="HH116" i="15"/>
  <c r="HI116" i="15"/>
  <c r="HJ116" i="15"/>
  <c r="HK116" i="15"/>
  <c r="HL116" i="15"/>
  <c r="HM116" i="15"/>
  <c r="HN116" i="15"/>
  <c r="HO116" i="15"/>
  <c r="HP116" i="15"/>
  <c r="HQ116" i="15"/>
  <c r="HR116" i="15"/>
  <c r="HS116" i="15"/>
  <c r="HT116" i="15"/>
  <c r="HU116" i="15"/>
  <c r="HV116" i="15"/>
  <c r="HW116" i="15"/>
  <c r="HX116" i="15"/>
  <c r="HY116" i="15"/>
  <c r="HZ116" i="15"/>
  <c r="IA116" i="15"/>
  <c r="IB116" i="15"/>
  <c r="IC116" i="15"/>
  <c r="ID116" i="15"/>
  <c r="IE116" i="15"/>
  <c r="IF116" i="15"/>
  <c r="IG116" i="15"/>
  <c r="IH116" i="15"/>
  <c r="II116" i="15"/>
  <c r="IJ116" i="15"/>
  <c r="IK116" i="15"/>
  <c r="IL116" i="15"/>
  <c r="IM116" i="15"/>
  <c r="IN116" i="15"/>
  <c r="IO116" i="15"/>
  <c r="IP116" i="15"/>
  <c r="IQ116" i="15"/>
  <c r="IR116" i="15"/>
  <c r="IS116" i="15"/>
  <c r="IT116" i="15"/>
  <c r="IU116" i="15"/>
  <c r="IV116" i="15"/>
  <c r="IW116" i="15"/>
  <c r="IX116" i="15"/>
  <c r="IY116" i="15"/>
  <c r="IZ116" i="15"/>
  <c r="JA116" i="15"/>
  <c r="JB116" i="15"/>
  <c r="JC116" i="15"/>
  <c r="JD116" i="15"/>
  <c r="JE116" i="15"/>
  <c r="JF116" i="15"/>
  <c r="JG116" i="15"/>
  <c r="JH116" i="15"/>
  <c r="JI116" i="15"/>
  <c r="JJ116" i="15"/>
  <c r="JK116" i="15"/>
  <c r="JL116" i="15"/>
  <c r="FM117" i="15"/>
  <c r="FN117" i="15"/>
  <c r="FO117" i="15"/>
  <c r="FP117" i="15"/>
  <c r="FQ117" i="15"/>
  <c r="FR117" i="15"/>
  <c r="FS117" i="15"/>
  <c r="FT117" i="15"/>
  <c r="FU117" i="15"/>
  <c r="FV117" i="15"/>
  <c r="FW117" i="15"/>
  <c r="FX117" i="15"/>
  <c r="FY117" i="15"/>
  <c r="FZ117" i="15"/>
  <c r="GA117" i="15"/>
  <c r="GB117" i="15"/>
  <c r="GC117" i="15"/>
  <c r="GD117" i="15"/>
  <c r="GE117" i="15"/>
  <c r="GF117" i="15"/>
  <c r="GG117" i="15"/>
  <c r="GH117" i="15"/>
  <c r="GI117" i="15"/>
  <c r="GJ117" i="15"/>
  <c r="GK117" i="15"/>
  <c r="GL117" i="15"/>
  <c r="GM117" i="15"/>
  <c r="GN117" i="15"/>
  <c r="GO117" i="15"/>
  <c r="GP117" i="15"/>
  <c r="GQ117" i="15"/>
  <c r="GR117" i="15"/>
  <c r="GS117" i="15"/>
  <c r="GT117" i="15"/>
  <c r="GU117" i="15"/>
  <c r="GV117" i="15"/>
  <c r="GW117" i="15"/>
  <c r="GX117" i="15"/>
  <c r="GY117" i="15"/>
  <c r="GZ117" i="15"/>
  <c r="HA117" i="15"/>
  <c r="HB117" i="15"/>
  <c r="HC117" i="15"/>
  <c r="HD117" i="15"/>
  <c r="HE117" i="15"/>
  <c r="HF117" i="15"/>
  <c r="HG117" i="15"/>
  <c r="HH117" i="15"/>
  <c r="HI117" i="15"/>
  <c r="HJ117" i="15"/>
  <c r="HK117" i="15"/>
  <c r="HL117" i="15"/>
  <c r="HM117" i="15"/>
  <c r="HN117" i="15"/>
  <c r="HO117" i="15"/>
  <c r="HP117" i="15"/>
  <c r="HQ117" i="15"/>
  <c r="HR117" i="15"/>
  <c r="HS117" i="15"/>
  <c r="HT117" i="15"/>
  <c r="HU117" i="15"/>
  <c r="HV117" i="15"/>
  <c r="HW117" i="15"/>
  <c r="HX117" i="15"/>
  <c r="HY117" i="15"/>
  <c r="HZ117" i="15"/>
  <c r="IA117" i="15"/>
  <c r="IB117" i="15"/>
  <c r="IC117" i="15"/>
  <c r="ID117" i="15"/>
  <c r="IE117" i="15"/>
  <c r="IF117" i="15"/>
  <c r="IG117" i="15"/>
  <c r="IH117" i="15"/>
  <c r="II117" i="15"/>
  <c r="IJ117" i="15"/>
  <c r="IK117" i="15"/>
  <c r="IL117" i="15"/>
  <c r="IM117" i="15"/>
  <c r="IN117" i="15"/>
  <c r="IO117" i="15"/>
  <c r="IP117" i="15"/>
  <c r="IQ117" i="15"/>
  <c r="IR117" i="15"/>
  <c r="IS117" i="15"/>
  <c r="IT117" i="15"/>
  <c r="IU117" i="15"/>
  <c r="IV117" i="15"/>
  <c r="IW117" i="15"/>
  <c r="IX117" i="15"/>
  <c r="IY117" i="15"/>
  <c r="IZ117" i="15"/>
  <c r="JA117" i="15"/>
  <c r="JB117" i="15"/>
  <c r="JC117" i="15"/>
  <c r="JD117" i="15"/>
  <c r="JE117" i="15"/>
  <c r="JF117" i="15"/>
  <c r="JG117" i="15"/>
  <c r="JH117" i="15"/>
  <c r="JI117" i="15"/>
  <c r="JJ117" i="15"/>
  <c r="JK117" i="15"/>
  <c r="JL117" i="15"/>
  <c r="FM118" i="15"/>
  <c r="FN118" i="15"/>
  <c r="FO118" i="15"/>
  <c r="FP118" i="15"/>
  <c r="FQ118" i="15"/>
  <c r="FR118" i="15"/>
  <c r="FS118" i="15"/>
  <c r="FT118" i="15"/>
  <c r="FU118" i="15"/>
  <c r="FV118" i="15"/>
  <c r="FW118" i="15"/>
  <c r="FX118" i="15"/>
  <c r="FY118" i="15"/>
  <c r="FZ118" i="15"/>
  <c r="GA118" i="15"/>
  <c r="GB118" i="15"/>
  <c r="GC118" i="15"/>
  <c r="GD118" i="15"/>
  <c r="GE118" i="15"/>
  <c r="GF118" i="15"/>
  <c r="GG118" i="15"/>
  <c r="GH118" i="15"/>
  <c r="GI118" i="15"/>
  <c r="GJ118" i="15"/>
  <c r="GK118" i="15"/>
  <c r="GL118" i="15"/>
  <c r="GM118" i="15"/>
  <c r="GN118" i="15"/>
  <c r="GO118" i="15"/>
  <c r="GP118" i="15"/>
  <c r="GQ118" i="15"/>
  <c r="GR118" i="15"/>
  <c r="GS118" i="15"/>
  <c r="GT118" i="15"/>
  <c r="GU118" i="15"/>
  <c r="GV118" i="15"/>
  <c r="GW118" i="15"/>
  <c r="GX118" i="15"/>
  <c r="GY118" i="15"/>
  <c r="GZ118" i="15"/>
  <c r="HA118" i="15"/>
  <c r="HB118" i="15"/>
  <c r="HC118" i="15"/>
  <c r="HD118" i="15"/>
  <c r="HE118" i="15"/>
  <c r="HF118" i="15"/>
  <c r="HG118" i="15"/>
  <c r="HH118" i="15"/>
  <c r="HI118" i="15"/>
  <c r="HJ118" i="15"/>
  <c r="HK118" i="15"/>
  <c r="HL118" i="15"/>
  <c r="HM118" i="15"/>
  <c r="HN118" i="15"/>
  <c r="HO118" i="15"/>
  <c r="HP118" i="15"/>
  <c r="HQ118" i="15"/>
  <c r="HR118" i="15"/>
  <c r="HS118" i="15"/>
  <c r="HT118" i="15"/>
  <c r="HU118" i="15"/>
  <c r="HV118" i="15"/>
  <c r="HW118" i="15"/>
  <c r="HX118" i="15"/>
  <c r="HY118" i="15"/>
  <c r="HZ118" i="15"/>
  <c r="IA118" i="15"/>
  <c r="IB118" i="15"/>
  <c r="IC118" i="15"/>
  <c r="ID118" i="15"/>
  <c r="IE118" i="15"/>
  <c r="IF118" i="15"/>
  <c r="IG118" i="15"/>
  <c r="IH118" i="15"/>
  <c r="II118" i="15"/>
  <c r="IJ118" i="15"/>
  <c r="IK118" i="15"/>
  <c r="IL118" i="15"/>
  <c r="IM118" i="15"/>
  <c r="IN118" i="15"/>
  <c r="IO118" i="15"/>
  <c r="IP118" i="15"/>
  <c r="IQ118" i="15"/>
  <c r="IR118" i="15"/>
  <c r="IS118" i="15"/>
  <c r="IT118" i="15"/>
  <c r="IU118" i="15"/>
  <c r="IV118" i="15"/>
  <c r="IW118" i="15"/>
  <c r="IX118" i="15"/>
  <c r="IY118" i="15"/>
  <c r="IZ118" i="15"/>
  <c r="JA118" i="15"/>
  <c r="JB118" i="15"/>
  <c r="JC118" i="15"/>
  <c r="JD118" i="15"/>
  <c r="JE118" i="15"/>
  <c r="JF118" i="15"/>
  <c r="JG118" i="15"/>
  <c r="JH118" i="15"/>
  <c r="JI118" i="15"/>
  <c r="JJ118" i="15"/>
  <c r="JK118" i="15"/>
  <c r="JL118" i="15"/>
  <c r="FM119" i="15"/>
  <c r="FN119" i="15"/>
  <c r="FO119" i="15"/>
  <c r="FP119" i="15"/>
  <c r="FQ119" i="15"/>
  <c r="FR119" i="15"/>
  <c r="FS119" i="15"/>
  <c r="FT119" i="15"/>
  <c r="FU119" i="15"/>
  <c r="FV119" i="15"/>
  <c r="FW119" i="15"/>
  <c r="FX119" i="15"/>
  <c r="FY119" i="15"/>
  <c r="FZ119" i="15"/>
  <c r="GA119" i="15"/>
  <c r="GB119" i="15"/>
  <c r="GC119" i="15"/>
  <c r="GD119" i="15"/>
  <c r="GE119" i="15"/>
  <c r="GF119" i="15"/>
  <c r="GG119" i="15"/>
  <c r="GH119" i="15"/>
  <c r="GI119" i="15"/>
  <c r="GJ119" i="15"/>
  <c r="GK119" i="15"/>
  <c r="GL119" i="15"/>
  <c r="GM119" i="15"/>
  <c r="GN119" i="15"/>
  <c r="GO119" i="15"/>
  <c r="GP119" i="15"/>
  <c r="GQ119" i="15"/>
  <c r="GR119" i="15"/>
  <c r="GS119" i="15"/>
  <c r="GT119" i="15"/>
  <c r="GU119" i="15"/>
  <c r="GV119" i="15"/>
  <c r="GW119" i="15"/>
  <c r="GX119" i="15"/>
  <c r="GY119" i="15"/>
  <c r="GZ119" i="15"/>
  <c r="HA119" i="15"/>
  <c r="HB119" i="15"/>
  <c r="HC119" i="15"/>
  <c r="HD119" i="15"/>
  <c r="HE119" i="15"/>
  <c r="HF119" i="15"/>
  <c r="HG119" i="15"/>
  <c r="HH119" i="15"/>
  <c r="HI119" i="15"/>
  <c r="HJ119" i="15"/>
  <c r="HK119" i="15"/>
  <c r="HL119" i="15"/>
  <c r="HM119" i="15"/>
  <c r="HN119" i="15"/>
  <c r="HO119" i="15"/>
  <c r="HP119" i="15"/>
  <c r="HQ119" i="15"/>
  <c r="HR119" i="15"/>
  <c r="HS119" i="15"/>
  <c r="HT119" i="15"/>
  <c r="HU119" i="15"/>
  <c r="HV119" i="15"/>
  <c r="HW119" i="15"/>
  <c r="HX119" i="15"/>
  <c r="HY119" i="15"/>
  <c r="HZ119" i="15"/>
  <c r="IA119" i="15"/>
  <c r="IB119" i="15"/>
  <c r="IC119" i="15"/>
  <c r="ID119" i="15"/>
  <c r="IE119" i="15"/>
  <c r="IF119" i="15"/>
  <c r="IG119" i="15"/>
  <c r="IH119" i="15"/>
  <c r="II119" i="15"/>
  <c r="IJ119" i="15"/>
  <c r="IK119" i="15"/>
  <c r="IL119" i="15"/>
  <c r="IM119" i="15"/>
  <c r="IN119" i="15"/>
  <c r="IO119" i="15"/>
  <c r="IP119" i="15"/>
  <c r="IQ119" i="15"/>
  <c r="IR119" i="15"/>
  <c r="IS119" i="15"/>
  <c r="IT119" i="15"/>
  <c r="IU119" i="15"/>
  <c r="IV119" i="15"/>
  <c r="IW119" i="15"/>
  <c r="IX119" i="15"/>
  <c r="IY119" i="15"/>
  <c r="IZ119" i="15"/>
  <c r="JA119" i="15"/>
  <c r="JB119" i="15"/>
  <c r="JC119" i="15"/>
  <c r="JD119" i="15"/>
  <c r="JE119" i="15"/>
  <c r="JF119" i="15"/>
  <c r="JG119" i="15"/>
  <c r="JH119" i="15"/>
  <c r="JI119" i="15"/>
  <c r="JJ119" i="15"/>
  <c r="JK119" i="15"/>
  <c r="JL119" i="15"/>
  <c r="FM120" i="15"/>
  <c r="FN120" i="15"/>
  <c r="FO120" i="15"/>
  <c r="FP120" i="15"/>
  <c r="FQ120" i="15"/>
  <c r="FR120" i="15"/>
  <c r="FS120" i="15"/>
  <c r="FT120" i="15"/>
  <c r="FU120" i="15"/>
  <c r="FV120" i="15"/>
  <c r="FW120" i="15"/>
  <c r="FX120" i="15"/>
  <c r="FY120" i="15"/>
  <c r="FZ120" i="15"/>
  <c r="GA120" i="15"/>
  <c r="GB120" i="15"/>
  <c r="GC120" i="15"/>
  <c r="GD120" i="15"/>
  <c r="GE120" i="15"/>
  <c r="GF120" i="15"/>
  <c r="GG120" i="15"/>
  <c r="GH120" i="15"/>
  <c r="GI120" i="15"/>
  <c r="GJ120" i="15"/>
  <c r="GK120" i="15"/>
  <c r="GL120" i="15"/>
  <c r="GM120" i="15"/>
  <c r="GN120" i="15"/>
  <c r="GO120" i="15"/>
  <c r="GP120" i="15"/>
  <c r="GQ120" i="15"/>
  <c r="GR120" i="15"/>
  <c r="GS120" i="15"/>
  <c r="GT120" i="15"/>
  <c r="GU120" i="15"/>
  <c r="GV120" i="15"/>
  <c r="GW120" i="15"/>
  <c r="GX120" i="15"/>
  <c r="GY120" i="15"/>
  <c r="GZ120" i="15"/>
  <c r="HA120" i="15"/>
  <c r="HB120" i="15"/>
  <c r="HC120" i="15"/>
  <c r="HD120" i="15"/>
  <c r="HE120" i="15"/>
  <c r="HF120" i="15"/>
  <c r="HG120" i="15"/>
  <c r="HH120" i="15"/>
  <c r="HI120" i="15"/>
  <c r="HJ120" i="15"/>
  <c r="HK120" i="15"/>
  <c r="HL120" i="15"/>
  <c r="HM120" i="15"/>
  <c r="HN120" i="15"/>
  <c r="HO120" i="15"/>
  <c r="HP120" i="15"/>
  <c r="HQ120" i="15"/>
  <c r="HR120" i="15"/>
  <c r="HS120" i="15"/>
  <c r="HT120" i="15"/>
  <c r="HU120" i="15"/>
  <c r="HV120" i="15"/>
  <c r="HW120" i="15"/>
  <c r="HX120" i="15"/>
  <c r="HY120" i="15"/>
  <c r="HZ120" i="15"/>
  <c r="IA120" i="15"/>
  <c r="IB120" i="15"/>
  <c r="IC120" i="15"/>
  <c r="ID120" i="15"/>
  <c r="IE120" i="15"/>
  <c r="IF120" i="15"/>
  <c r="IG120" i="15"/>
  <c r="IH120" i="15"/>
  <c r="II120" i="15"/>
  <c r="IJ120" i="15"/>
  <c r="IK120" i="15"/>
  <c r="IL120" i="15"/>
  <c r="IM120" i="15"/>
  <c r="IN120" i="15"/>
  <c r="IO120" i="15"/>
  <c r="IP120" i="15"/>
  <c r="IQ120" i="15"/>
  <c r="IR120" i="15"/>
  <c r="IS120" i="15"/>
  <c r="IT120" i="15"/>
  <c r="IU120" i="15"/>
  <c r="IV120" i="15"/>
  <c r="IW120" i="15"/>
  <c r="IX120" i="15"/>
  <c r="IY120" i="15"/>
  <c r="IZ120" i="15"/>
  <c r="JA120" i="15"/>
  <c r="JB120" i="15"/>
  <c r="JC120" i="15"/>
  <c r="JD120" i="15"/>
  <c r="JE120" i="15"/>
  <c r="JF120" i="15"/>
  <c r="JG120" i="15"/>
  <c r="JH120" i="15"/>
  <c r="JI120" i="15"/>
  <c r="JJ120" i="15"/>
  <c r="JK120" i="15"/>
  <c r="JL120" i="15"/>
  <c r="FM121" i="15"/>
  <c r="FN121" i="15"/>
  <c r="FO121" i="15"/>
  <c r="FP121" i="15"/>
  <c r="FQ121" i="15"/>
  <c r="FR121" i="15"/>
  <c r="FS121" i="15"/>
  <c r="FT121" i="15"/>
  <c r="FU121" i="15"/>
  <c r="FV121" i="15"/>
  <c r="FW121" i="15"/>
  <c r="FX121" i="15"/>
  <c r="FY121" i="15"/>
  <c r="FZ121" i="15"/>
  <c r="GA121" i="15"/>
  <c r="GB121" i="15"/>
  <c r="GC121" i="15"/>
  <c r="GD121" i="15"/>
  <c r="GE121" i="15"/>
  <c r="GF121" i="15"/>
  <c r="GG121" i="15"/>
  <c r="GH121" i="15"/>
  <c r="GI121" i="15"/>
  <c r="GJ121" i="15"/>
  <c r="GK121" i="15"/>
  <c r="GL121" i="15"/>
  <c r="GM121" i="15"/>
  <c r="GN121" i="15"/>
  <c r="GO121" i="15"/>
  <c r="GP121" i="15"/>
  <c r="GQ121" i="15"/>
  <c r="GR121" i="15"/>
  <c r="GS121" i="15"/>
  <c r="GT121" i="15"/>
  <c r="GU121" i="15"/>
  <c r="GV121" i="15"/>
  <c r="GW121" i="15"/>
  <c r="GX121" i="15"/>
  <c r="GY121" i="15"/>
  <c r="GZ121" i="15"/>
  <c r="HA121" i="15"/>
  <c r="HB121" i="15"/>
  <c r="HC121" i="15"/>
  <c r="HD121" i="15"/>
  <c r="HE121" i="15"/>
  <c r="HF121" i="15"/>
  <c r="HG121" i="15"/>
  <c r="HH121" i="15"/>
  <c r="HI121" i="15"/>
  <c r="HJ121" i="15"/>
  <c r="HK121" i="15"/>
  <c r="HL121" i="15"/>
  <c r="HM121" i="15"/>
  <c r="HN121" i="15"/>
  <c r="HO121" i="15"/>
  <c r="HP121" i="15"/>
  <c r="HQ121" i="15"/>
  <c r="HR121" i="15"/>
  <c r="HS121" i="15"/>
  <c r="HT121" i="15"/>
  <c r="HU121" i="15"/>
  <c r="HV121" i="15"/>
  <c r="HW121" i="15"/>
  <c r="HX121" i="15"/>
  <c r="HY121" i="15"/>
  <c r="HZ121" i="15"/>
  <c r="IA121" i="15"/>
  <c r="IB121" i="15"/>
  <c r="IC121" i="15"/>
  <c r="ID121" i="15"/>
  <c r="IE121" i="15"/>
  <c r="IF121" i="15"/>
  <c r="IG121" i="15"/>
  <c r="IH121" i="15"/>
  <c r="II121" i="15"/>
  <c r="IJ121" i="15"/>
  <c r="IK121" i="15"/>
  <c r="IL121" i="15"/>
  <c r="IM121" i="15"/>
  <c r="IN121" i="15"/>
  <c r="IO121" i="15"/>
  <c r="IP121" i="15"/>
  <c r="IQ121" i="15"/>
  <c r="IR121" i="15"/>
  <c r="IS121" i="15"/>
  <c r="IT121" i="15"/>
  <c r="IU121" i="15"/>
  <c r="IV121" i="15"/>
  <c r="IW121" i="15"/>
  <c r="IX121" i="15"/>
  <c r="IY121" i="15"/>
  <c r="IZ121" i="15"/>
  <c r="JA121" i="15"/>
  <c r="JB121" i="15"/>
  <c r="JC121" i="15"/>
  <c r="JD121" i="15"/>
  <c r="JE121" i="15"/>
  <c r="JF121" i="15"/>
  <c r="JG121" i="15"/>
  <c r="JH121" i="15"/>
  <c r="JI121" i="15"/>
  <c r="JJ121" i="15"/>
  <c r="JK121" i="15"/>
  <c r="JL121" i="15"/>
  <c r="FM122" i="15"/>
  <c r="FN122" i="15"/>
  <c r="FO122" i="15"/>
  <c r="FP122" i="15"/>
  <c r="FQ122" i="15"/>
  <c r="FR122" i="15"/>
  <c r="FS122" i="15"/>
  <c r="FT122" i="15"/>
  <c r="FU122" i="15"/>
  <c r="FV122" i="15"/>
  <c r="FW122" i="15"/>
  <c r="FX122" i="15"/>
  <c r="FY122" i="15"/>
  <c r="FZ122" i="15"/>
  <c r="GA122" i="15"/>
  <c r="GB122" i="15"/>
  <c r="GC122" i="15"/>
  <c r="GD122" i="15"/>
  <c r="GE122" i="15"/>
  <c r="GF122" i="15"/>
  <c r="GG122" i="15"/>
  <c r="GH122" i="15"/>
  <c r="GI122" i="15"/>
  <c r="GJ122" i="15"/>
  <c r="GK122" i="15"/>
  <c r="GL122" i="15"/>
  <c r="GM122" i="15"/>
  <c r="GN122" i="15"/>
  <c r="GO122" i="15"/>
  <c r="GP122" i="15"/>
  <c r="GQ122" i="15"/>
  <c r="GR122" i="15"/>
  <c r="GS122" i="15"/>
  <c r="GT122" i="15"/>
  <c r="GU122" i="15"/>
  <c r="GV122" i="15"/>
  <c r="GW122" i="15"/>
  <c r="GX122" i="15"/>
  <c r="GY122" i="15"/>
  <c r="GZ122" i="15"/>
  <c r="HA122" i="15"/>
  <c r="HB122" i="15"/>
  <c r="HC122" i="15"/>
  <c r="HD122" i="15"/>
  <c r="HE122" i="15"/>
  <c r="HF122" i="15"/>
  <c r="HG122" i="15"/>
  <c r="HH122" i="15"/>
  <c r="HI122" i="15"/>
  <c r="HJ122" i="15"/>
  <c r="HK122" i="15"/>
  <c r="HL122" i="15"/>
  <c r="HM122" i="15"/>
  <c r="HN122" i="15"/>
  <c r="HO122" i="15"/>
  <c r="HP122" i="15"/>
  <c r="HQ122" i="15"/>
  <c r="HR122" i="15"/>
  <c r="HS122" i="15"/>
  <c r="HT122" i="15"/>
  <c r="HU122" i="15"/>
  <c r="HV122" i="15"/>
  <c r="HW122" i="15"/>
  <c r="HX122" i="15"/>
  <c r="HY122" i="15"/>
  <c r="HZ122" i="15"/>
  <c r="IA122" i="15"/>
  <c r="IB122" i="15"/>
  <c r="IC122" i="15"/>
  <c r="ID122" i="15"/>
  <c r="IE122" i="15"/>
  <c r="IF122" i="15"/>
  <c r="IG122" i="15"/>
  <c r="IH122" i="15"/>
  <c r="II122" i="15"/>
  <c r="IJ122" i="15"/>
  <c r="IK122" i="15"/>
  <c r="IL122" i="15"/>
  <c r="IM122" i="15"/>
  <c r="IN122" i="15"/>
  <c r="IO122" i="15"/>
  <c r="IP122" i="15"/>
  <c r="IQ122" i="15"/>
  <c r="IR122" i="15"/>
  <c r="IS122" i="15"/>
  <c r="IT122" i="15"/>
  <c r="IU122" i="15"/>
  <c r="IV122" i="15"/>
  <c r="IW122" i="15"/>
  <c r="IX122" i="15"/>
  <c r="IY122" i="15"/>
  <c r="IZ122" i="15"/>
  <c r="JA122" i="15"/>
  <c r="JB122" i="15"/>
  <c r="JC122" i="15"/>
  <c r="JD122" i="15"/>
  <c r="JE122" i="15"/>
  <c r="JF122" i="15"/>
  <c r="JG122" i="15"/>
  <c r="JH122" i="15"/>
  <c r="JI122" i="15"/>
  <c r="JJ122" i="15"/>
  <c r="JK122" i="15"/>
  <c r="JL122" i="15"/>
  <c r="FM123" i="15"/>
  <c r="FN123" i="15"/>
  <c r="FO123" i="15"/>
  <c r="FP123" i="15"/>
  <c r="FQ123" i="15"/>
  <c r="FR123" i="15"/>
  <c r="FS123" i="15"/>
  <c r="FT123" i="15"/>
  <c r="FU123" i="15"/>
  <c r="FV123" i="15"/>
  <c r="FW123" i="15"/>
  <c r="FX123" i="15"/>
  <c r="FY123" i="15"/>
  <c r="FZ123" i="15"/>
  <c r="GA123" i="15"/>
  <c r="GB123" i="15"/>
  <c r="GC123" i="15"/>
  <c r="GD123" i="15"/>
  <c r="GE123" i="15"/>
  <c r="GF123" i="15"/>
  <c r="GG123" i="15"/>
  <c r="GH123" i="15"/>
  <c r="GI123" i="15"/>
  <c r="GJ123" i="15"/>
  <c r="GK123" i="15"/>
  <c r="GL123" i="15"/>
  <c r="GM123" i="15"/>
  <c r="GN123" i="15"/>
  <c r="GO123" i="15"/>
  <c r="GP123" i="15"/>
  <c r="GQ123" i="15"/>
  <c r="GR123" i="15"/>
  <c r="GS123" i="15"/>
  <c r="GT123" i="15"/>
  <c r="GU123" i="15"/>
  <c r="GV123" i="15"/>
  <c r="GW123" i="15"/>
  <c r="GX123" i="15"/>
  <c r="GY123" i="15"/>
  <c r="GZ123" i="15"/>
  <c r="HA123" i="15"/>
  <c r="HB123" i="15"/>
  <c r="HC123" i="15"/>
  <c r="HD123" i="15"/>
  <c r="HE123" i="15"/>
  <c r="HF123" i="15"/>
  <c r="HG123" i="15"/>
  <c r="HH123" i="15"/>
  <c r="HI123" i="15"/>
  <c r="HJ123" i="15"/>
  <c r="HK123" i="15"/>
  <c r="HL123" i="15"/>
  <c r="HM123" i="15"/>
  <c r="HN123" i="15"/>
  <c r="HO123" i="15"/>
  <c r="HP123" i="15"/>
  <c r="HQ123" i="15"/>
  <c r="HR123" i="15"/>
  <c r="HS123" i="15"/>
  <c r="HT123" i="15"/>
  <c r="HU123" i="15"/>
  <c r="HV123" i="15"/>
  <c r="HW123" i="15"/>
  <c r="HX123" i="15"/>
  <c r="HY123" i="15"/>
  <c r="HZ123" i="15"/>
  <c r="IA123" i="15"/>
  <c r="IB123" i="15"/>
  <c r="IC123" i="15"/>
  <c r="ID123" i="15"/>
  <c r="IE123" i="15"/>
  <c r="IF123" i="15"/>
  <c r="IG123" i="15"/>
  <c r="IH123" i="15"/>
  <c r="II123" i="15"/>
  <c r="IJ123" i="15"/>
  <c r="IK123" i="15"/>
  <c r="IL123" i="15"/>
  <c r="IM123" i="15"/>
  <c r="IN123" i="15"/>
  <c r="IO123" i="15"/>
  <c r="IP123" i="15"/>
  <c r="IQ123" i="15"/>
  <c r="IR123" i="15"/>
  <c r="IS123" i="15"/>
  <c r="IT123" i="15"/>
  <c r="IU123" i="15"/>
  <c r="IV123" i="15"/>
  <c r="IW123" i="15"/>
  <c r="IX123" i="15"/>
  <c r="IY123" i="15"/>
  <c r="IZ123" i="15"/>
  <c r="JA123" i="15"/>
  <c r="JB123" i="15"/>
  <c r="JC123" i="15"/>
  <c r="JD123" i="15"/>
  <c r="JE123" i="15"/>
  <c r="JF123" i="15"/>
  <c r="JG123" i="15"/>
  <c r="JH123" i="15"/>
  <c r="JI123" i="15"/>
  <c r="JJ123" i="15"/>
  <c r="JK123" i="15"/>
  <c r="JL123" i="15"/>
  <c r="FM124" i="15"/>
  <c r="FN124" i="15"/>
  <c r="FO124" i="15"/>
  <c r="FP124" i="15"/>
  <c r="FQ124" i="15"/>
  <c r="FR124" i="15"/>
  <c r="FS124" i="15"/>
  <c r="FT124" i="15"/>
  <c r="FU124" i="15"/>
  <c r="FV124" i="15"/>
  <c r="FW124" i="15"/>
  <c r="FX124" i="15"/>
  <c r="FY124" i="15"/>
  <c r="FZ124" i="15"/>
  <c r="GA124" i="15"/>
  <c r="GB124" i="15"/>
  <c r="GC124" i="15"/>
  <c r="GD124" i="15"/>
  <c r="GE124" i="15"/>
  <c r="GF124" i="15"/>
  <c r="GG124" i="15"/>
  <c r="GH124" i="15"/>
  <c r="GI124" i="15"/>
  <c r="GJ124" i="15"/>
  <c r="GK124" i="15"/>
  <c r="GL124" i="15"/>
  <c r="GM124" i="15"/>
  <c r="GN124" i="15"/>
  <c r="GO124" i="15"/>
  <c r="GP124" i="15"/>
  <c r="GQ124" i="15"/>
  <c r="GR124" i="15"/>
  <c r="GS124" i="15"/>
  <c r="GT124" i="15"/>
  <c r="GU124" i="15"/>
  <c r="GV124" i="15"/>
  <c r="GW124" i="15"/>
  <c r="GX124" i="15"/>
  <c r="GY124" i="15"/>
  <c r="GZ124" i="15"/>
  <c r="HA124" i="15"/>
  <c r="HB124" i="15"/>
  <c r="HC124" i="15"/>
  <c r="HD124" i="15"/>
  <c r="HE124" i="15"/>
  <c r="HF124" i="15"/>
  <c r="HG124" i="15"/>
  <c r="HH124" i="15"/>
  <c r="HI124" i="15"/>
  <c r="HJ124" i="15"/>
  <c r="HK124" i="15"/>
  <c r="HL124" i="15"/>
  <c r="HM124" i="15"/>
  <c r="HN124" i="15"/>
  <c r="HO124" i="15"/>
  <c r="HP124" i="15"/>
  <c r="HQ124" i="15"/>
  <c r="HR124" i="15"/>
  <c r="HS124" i="15"/>
  <c r="HT124" i="15"/>
  <c r="HU124" i="15"/>
  <c r="HV124" i="15"/>
  <c r="HW124" i="15"/>
  <c r="HX124" i="15"/>
  <c r="HY124" i="15"/>
  <c r="HZ124" i="15"/>
  <c r="IA124" i="15"/>
  <c r="IB124" i="15"/>
  <c r="IC124" i="15"/>
  <c r="ID124" i="15"/>
  <c r="IE124" i="15"/>
  <c r="IF124" i="15"/>
  <c r="IG124" i="15"/>
  <c r="IH124" i="15"/>
  <c r="II124" i="15"/>
  <c r="IJ124" i="15"/>
  <c r="IK124" i="15"/>
  <c r="IL124" i="15"/>
  <c r="IM124" i="15"/>
  <c r="IN124" i="15"/>
  <c r="IO124" i="15"/>
  <c r="IP124" i="15"/>
  <c r="IQ124" i="15"/>
  <c r="IR124" i="15"/>
  <c r="IS124" i="15"/>
  <c r="IT124" i="15"/>
  <c r="IU124" i="15"/>
  <c r="IV124" i="15"/>
  <c r="IW124" i="15"/>
  <c r="IX124" i="15"/>
  <c r="IY124" i="15"/>
  <c r="IZ124" i="15"/>
  <c r="JA124" i="15"/>
  <c r="JB124" i="15"/>
  <c r="JC124" i="15"/>
  <c r="JD124" i="15"/>
  <c r="JE124" i="15"/>
  <c r="JF124" i="15"/>
  <c r="JG124" i="15"/>
  <c r="JH124" i="15"/>
  <c r="JI124" i="15"/>
  <c r="JJ124" i="15"/>
  <c r="JK124" i="15"/>
  <c r="JL124" i="15"/>
  <c r="FM125" i="15"/>
  <c r="FN125" i="15"/>
  <c r="FO125" i="15"/>
  <c r="FP125" i="15"/>
  <c r="FQ125" i="15"/>
  <c r="FR125" i="15"/>
  <c r="FS125" i="15"/>
  <c r="FT125" i="15"/>
  <c r="FU125" i="15"/>
  <c r="FV125" i="15"/>
  <c r="FW125" i="15"/>
  <c r="FX125" i="15"/>
  <c r="FY125" i="15"/>
  <c r="FZ125" i="15"/>
  <c r="GA125" i="15"/>
  <c r="GB125" i="15"/>
  <c r="GC125" i="15"/>
  <c r="GD125" i="15"/>
  <c r="GE125" i="15"/>
  <c r="GF125" i="15"/>
  <c r="GG125" i="15"/>
  <c r="GH125" i="15"/>
  <c r="GI125" i="15"/>
  <c r="GJ125" i="15"/>
  <c r="GK125" i="15"/>
  <c r="GL125" i="15"/>
  <c r="GM125" i="15"/>
  <c r="GN125" i="15"/>
  <c r="GO125" i="15"/>
  <c r="GP125" i="15"/>
  <c r="GQ125" i="15"/>
  <c r="GR125" i="15"/>
  <c r="GS125" i="15"/>
  <c r="GT125" i="15"/>
  <c r="GU125" i="15"/>
  <c r="GV125" i="15"/>
  <c r="GW125" i="15"/>
  <c r="GX125" i="15"/>
  <c r="GY125" i="15"/>
  <c r="GZ125" i="15"/>
  <c r="HA125" i="15"/>
  <c r="HB125" i="15"/>
  <c r="HC125" i="15"/>
  <c r="HD125" i="15"/>
  <c r="HE125" i="15"/>
  <c r="HF125" i="15"/>
  <c r="HG125" i="15"/>
  <c r="HH125" i="15"/>
  <c r="HI125" i="15"/>
  <c r="HJ125" i="15"/>
  <c r="HK125" i="15"/>
  <c r="HL125" i="15"/>
  <c r="HM125" i="15"/>
  <c r="HN125" i="15"/>
  <c r="HO125" i="15"/>
  <c r="HP125" i="15"/>
  <c r="HQ125" i="15"/>
  <c r="HR125" i="15"/>
  <c r="HS125" i="15"/>
  <c r="HT125" i="15"/>
  <c r="HU125" i="15"/>
  <c r="HV125" i="15"/>
  <c r="HW125" i="15"/>
  <c r="HX125" i="15"/>
  <c r="HY125" i="15"/>
  <c r="HZ125" i="15"/>
  <c r="IA125" i="15"/>
  <c r="IB125" i="15"/>
  <c r="IC125" i="15"/>
  <c r="ID125" i="15"/>
  <c r="IE125" i="15"/>
  <c r="IF125" i="15"/>
  <c r="IG125" i="15"/>
  <c r="IH125" i="15"/>
  <c r="II125" i="15"/>
  <c r="IJ125" i="15"/>
  <c r="IK125" i="15"/>
  <c r="IL125" i="15"/>
  <c r="IM125" i="15"/>
  <c r="IN125" i="15"/>
  <c r="IO125" i="15"/>
  <c r="IP125" i="15"/>
  <c r="IQ125" i="15"/>
  <c r="IR125" i="15"/>
  <c r="IS125" i="15"/>
  <c r="IT125" i="15"/>
  <c r="IU125" i="15"/>
  <c r="IV125" i="15"/>
  <c r="IW125" i="15"/>
  <c r="IX125" i="15"/>
  <c r="IY125" i="15"/>
  <c r="IZ125" i="15"/>
  <c r="JA125" i="15"/>
  <c r="JB125" i="15"/>
  <c r="JC125" i="15"/>
  <c r="JD125" i="15"/>
  <c r="JE125" i="15"/>
  <c r="JF125" i="15"/>
  <c r="JG125" i="15"/>
  <c r="JH125" i="15"/>
  <c r="JI125" i="15"/>
  <c r="JJ125" i="15"/>
  <c r="JK125" i="15"/>
  <c r="JL125" i="15"/>
  <c r="FM126" i="15"/>
  <c r="FN126" i="15"/>
  <c r="FO126" i="15"/>
  <c r="FP126" i="15"/>
  <c r="FQ126" i="15"/>
  <c r="FR126" i="15"/>
  <c r="FS126" i="15"/>
  <c r="FT126" i="15"/>
  <c r="FU126" i="15"/>
  <c r="FV126" i="15"/>
  <c r="FW126" i="15"/>
  <c r="FX126" i="15"/>
  <c r="FY126" i="15"/>
  <c r="FZ126" i="15"/>
  <c r="GA126" i="15"/>
  <c r="GB126" i="15"/>
  <c r="GC126" i="15"/>
  <c r="GD126" i="15"/>
  <c r="GE126" i="15"/>
  <c r="GF126" i="15"/>
  <c r="GG126" i="15"/>
  <c r="GH126" i="15"/>
  <c r="GI126" i="15"/>
  <c r="GJ126" i="15"/>
  <c r="GK126" i="15"/>
  <c r="GL126" i="15"/>
  <c r="GM126" i="15"/>
  <c r="GN126" i="15"/>
  <c r="GO126" i="15"/>
  <c r="GP126" i="15"/>
  <c r="GQ126" i="15"/>
  <c r="GR126" i="15"/>
  <c r="GS126" i="15"/>
  <c r="GT126" i="15"/>
  <c r="GU126" i="15"/>
  <c r="GV126" i="15"/>
  <c r="GW126" i="15"/>
  <c r="GX126" i="15"/>
  <c r="GY126" i="15"/>
  <c r="GZ126" i="15"/>
  <c r="HA126" i="15"/>
  <c r="HB126" i="15"/>
  <c r="HC126" i="15"/>
  <c r="HD126" i="15"/>
  <c r="HE126" i="15"/>
  <c r="HF126" i="15"/>
  <c r="HG126" i="15"/>
  <c r="HH126" i="15"/>
  <c r="HI126" i="15"/>
  <c r="HJ126" i="15"/>
  <c r="HK126" i="15"/>
  <c r="HL126" i="15"/>
  <c r="HM126" i="15"/>
  <c r="HN126" i="15"/>
  <c r="HO126" i="15"/>
  <c r="HP126" i="15"/>
  <c r="HQ126" i="15"/>
  <c r="HR126" i="15"/>
  <c r="HS126" i="15"/>
  <c r="HT126" i="15"/>
  <c r="HU126" i="15"/>
  <c r="HV126" i="15"/>
  <c r="HW126" i="15"/>
  <c r="HX126" i="15"/>
  <c r="HY126" i="15"/>
  <c r="HZ126" i="15"/>
  <c r="IA126" i="15"/>
  <c r="IB126" i="15"/>
  <c r="IC126" i="15"/>
  <c r="ID126" i="15"/>
  <c r="IE126" i="15"/>
  <c r="IF126" i="15"/>
  <c r="IG126" i="15"/>
  <c r="IH126" i="15"/>
  <c r="II126" i="15"/>
  <c r="IJ126" i="15"/>
  <c r="IK126" i="15"/>
  <c r="IL126" i="15"/>
  <c r="IM126" i="15"/>
  <c r="IN126" i="15"/>
  <c r="IO126" i="15"/>
  <c r="IP126" i="15"/>
  <c r="IQ126" i="15"/>
  <c r="IR126" i="15"/>
  <c r="IS126" i="15"/>
  <c r="IT126" i="15"/>
  <c r="IU126" i="15"/>
  <c r="IV126" i="15"/>
  <c r="IW126" i="15"/>
  <c r="IX126" i="15"/>
  <c r="IY126" i="15"/>
  <c r="IZ126" i="15"/>
  <c r="JA126" i="15"/>
  <c r="JB126" i="15"/>
  <c r="JC126" i="15"/>
  <c r="JD126" i="15"/>
  <c r="JE126" i="15"/>
  <c r="JF126" i="15"/>
  <c r="JG126" i="15"/>
  <c r="JH126" i="15"/>
  <c r="JI126" i="15"/>
  <c r="JJ126" i="15"/>
  <c r="JK126" i="15"/>
  <c r="JL126" i="15"/>
  <c r="FM101" i="15"/>
  <c r="FN101" i="15"/>
  <c r="FO101" i="15"/>
  <c r="FP101" i="15"/>
  <c r="FQ101" i="15"/>
  <c r="FR101" i="15"/>
  <c r="FS101" i="15"/>
  <c r="FT101" i="15"/>
  <c r="FU101" i="15"/>
  <c r="FV101" i="15"/>
  <c r="FW101" i="15"/>
  <c r="FX101" i="15"/>
  <c r="FY101" i="15"/>
  <c r="FZ101" i="15"/>
  <c r="GA101" i="15"/>
  <c r="GB101" i="15"/>
  <c r="GC101" i="15"/>
  <c r="GD101" i="15"/>
  <c r="GE101" i="15"/>
  <c r="GF101" i="15"/>
  <c r="GG101" i="15"/>
  <c r="GH101" i="15"/>
  <c r="GI101" i="15"/>
  <c r="GJ101" i="15"/>
  <c r="GK101" i="15"/>
  <c r="GL101" i="15"/>
  <c r="GM101" i="15"/>
  <c r="GN101" i="15"/>
  <c r="GO101" i="15"/>
  <c r="GP101" i="15"/>
  <c r="GQ101" i="15"/>
  <c r="GR101" i="15"/>
  <c r="GS101" i="15"/>
  <c r="GT101" i="15"/>
  <c r="GU101" i="15"/>
  <c r="GV101" i="15"/>
  <c r="GW101" i="15"/>
  <c r="GX101" i="15"/>
  <c r="GY101" i="15"/>
  <c r="GZ101" i="15"/>
  <c r="HA101" i="15"/>
  <c r="HB101" i="15"/>
  <c r="HC101" i="15"/>
  <c r="HD101" i="15"/>
  <c r="HE101" i="15"/>
  <c r="HF101" i="15"/>
  <c r="HG101" i="15"/>
  <c r="HH101" i="15"/>
  <c r="HI101" i="15"/>
  <c r="HJ101" i="15"/>
  <c r="HK101" i="15"/>
  <c r="HL101" i="15"/>
  <c r="HM101" i="15"/>
  <c r="HN101" i="15"/>
  <c r="HO101" i="15"/>
  <c r="HP101" i="15"/>
  <c r="HQ101" i="15"/>
  <c r="HR101" i="15"/>
  <c r="HS101" i="15"/>
  <c r="HT101" i="15"/>
  <c r="HU101" i="15"/>
  <c r="HV101" i="15"/>
  <c r="HW101" i="15"/>
  <c r="HX101" i="15"/>
  <c r="HY101" i="15"/>
  <c r="HZ101" i="15"/>
  <c r="IA101" i="15"/>
  <c r="IB101" i="15"/>
  <c r="IC101" i="15"/>
  <c r="ID101" i="15"/>
  <c r="IE101" i="15"/>
  <c r="IF101" i="15"/>
  <c r="IG101" i="15"/>
  <c r="IH101" i="15"/>
  <c r="II101" i="15"/>
  <c r="IJ101" i="15"/>
  <c r="IK101" i="15"/>
  <c r="IL101" i="15"/>
  <c r="IM101" i="15"/>
  <c r="IN101" i="15"/>
  <c r="IO101" i="15"/>
  <c r="IP101" i="15"/>
  <c r="IQ101" i="15"/>
  <c r="IR101" i="15"/>
  <c r="IS101" i="15"/>
  <c r="IT101" i="15"/>
  <c r="IU101" i="15"/>
  <c r="IV101" i="15"/>
  <c r="IW101" i="15"/>
  <c r="IX101" i="15"/>
  <c r="IY101" i="15"/>
  <c r="IZ101" i="15"/>
  <c r="JA101" i="15"/>
  <c r="JB101" i="15"/>
  <c r="JC101" i="15"/>
  <c r="JD101" i="15"/>
  <c r="JE101" i="15"/>
  <c r="JF101" i="15"/>
  <c r="JG101" i="15"/>
  <c r="JH101" i="15"/>
  <c r="JI101" i="15"/>
  <c r="JJ101" i="15"/>
  <c r="JK101" i="15"/>
  <c r="JL101" i="15"/>
  <c r="B100" i="15"/>
  <c r="C100" i="15"/>
  <c r="D100" i="15"/>
  <c r="E100" i="15"/>
  <c r="F100" i="15"/>
  <c r="G100" i="15"/>
  <c r="H100" i="15"/>
  <c r="I100" i="15"/>
  <c r="J100" i="15"/>
  <c r="K100" i="15"/>
  <c r="L100" i="15"/>
  <c r="M100" i="15"/>
  <c r="N100" i="15"/>
  <c r="O100" i="15"/>
  <c r="P100" i="15"/>
  <c r="Q100" i="15"/>
  <c r="R100" i="15"/>
  <c r="S100" i="15"/>
  <c r="T100" i="15"/>
  <c r="U100" i="15"/>
  <c r="V100" i="15"/>
  <c r="W100" i="15"/>
  <c r="X100" i="15"/>
  <c r="Y100" i="15"/>
  <c r="Z100" i="15"/>
  <c r="AA100" i="15"/>
  <c r="AB100" i="15"/>
  <c r="AC100" i="15"/>
  <c r="AD100" i="15"/>
  <c r="AE100" i="15"/>
  <c r="AF100" i="15"/>
  <c r="AG100" i="15"/>
  <c r="AH100" i="15"/>
  <c r="AI100" i="15"/>
  <c r="AJ100" i="15"/>
  <c r="AK100" i="15"/>
  <c r="AL100" i="15"/>
  <c r="AM100" i="15"/>
  <c r="AN100" i="15"/>
  <c r="AO100" i="15"/>
  <c r="AP100" i="15"/>
  <c r="AQ100" i="15"/>
  <c r="AR100" i="15"/>
  <c r="AS100" i="15"/>
  <c r="AT100" i="15"/>
  <c r="AU100" i="15"/>
  <c r="AV100" i="15"/>
  <c r="AW100" i="15"/>
  <c r="AX100" i="15"/>
  <c r="AY100" i="15"/>
  <c r="AZ100" i="15"/>
  <c r="BA100" i="15"/>
  <c r="BB100" i="15"/>
  <c r="BC100" i="15"/>
  <c r="BD100" i="15"/>
  <c r="BE100" i="15"/>
  <c r="BF100" i="15"/>
  <c r="BG100" i="15"/>
  <c r="BH100" i="15"/>
  <c r="BI100" i="15"/>
  <c r="BJ100" i="15"/>
  <c r="BK100" i="15"/>
  <c r="BL100" i="15"/>
  <c r="BM100" i="15"/>
  <c r="BN100" i="15"/>
  <c r="BO100" i="15"/>
  <c r="BP100" i="15"/>
  <c r="BQ100" i="15"/>
  <c r="BR100" i="15"/>
  <c r="BS100" i="15"/>
  <c r="BT100" i="15"/>
  <c r="BU100" i="15"/>
  <c r="BV100" i="15"/>
  <c r="BW100" i="15"/>
  <c r="BX100" i="15"/>
  <c r="BY100" i="15"/>
  <c r="BZ100" i="15"/>
  <c r="CA100" i="15"/>
  <c r="CB100" i="15"/>
  <c r="CC100" i="15"/>
  <c r="CD100" i="15"/>
  <c r="CE100" i="15"/>
  <c r="CF100" i="15"/>
  <c r="CG100" i="15"/>
  <c r="CH100" i="15"/>
  <c r="CI100" i="15"/>
  <c r="CJ100" i="15"/>
  <c r="CK100" i="15"/>
  <c r="CL100" i="15"/>
  <c r="CM100" i="15"/>
  <c r="CN100" i="15"/>
  <c r="CO100" i="15"/>
  <c r="CP100" i="15"/>
  <c r="CQ100" i="15"/>
  <c r="CR100" i="15"/>
  <c r="CS100" i="15"/>
  <c r="CT100" i="15"/>
  <c r="CU100" i="15"/>
  <c r="CV100" i="15"/>
  <c r="CW100" i="15"/>
  <c r="CX100" i="15"/>
  <c r="CY100" i="15"/>
  <c r="CZ100" i="15"/>
  <c r="DA100" i="15"/>
  <c r="DB100" i="15"/>
  <c r="DC100" i="15"/>
  <c r="DD100" i="15"/>
  <c r="DE100" i="15"/>
  <c r="DF100" i="15"/>
  <c r="DG100" i="15"/>
  <c r="DH100" i="15"/>
  <c r="DI100" i="15"/>
  <c r="DJ100" i="15"/>
  <c r="DK100" i="15"/>
  <c r="DL100" i="15"/>
  <c r="DM100" i="15"/>
  <c r="DN100" i="15"/>
  <c r="DO100" i="15"/>
  <c r="DP100" i="15"/>
  <c r="DQ100" i="15"/>
  <c r="DR100" i="15"/>
  <c r="DS100" i="15"/>
  <c r="DT100" i="15"/>
  <c r="DU100" i="15"/>
  <c r="DV100" i="15"/>
  <c r="DW100" i="15"/>
  <c r="DX100" i="15"/>
  <c r="DY100" i="15"/>
  <c r="DZ100" i="15"/>
  <c r="EA100" i="15"/>
  <c r="EB100" i="15"/>
  <c r="EC100" i="15"/>
  <c r="ED100" i="15"/>
  <c r="EE100" i="15"/>
  <c r="EF100" i="15"/>
  <c r="EG100" i="15"/>
  <c r="EH100" i="15"/>
  <c r="EI100" i="15"/>
  <c r="EJ100" i="15"/>
  <c r="EK100" i="15"/>
  <c r="EL100" i="15"/>
  <c r="EM100" i="15"/>
  <c r="EN100" i="15"/>
  <c r="EO100" i="15"/>
  <c r="EP100" i="15"/>
  <c r="EQ100" i="15"/>
  <c r="ER100" i="15"/>
  <c r="ES100" i="15"/>
  <c r="ET100" i="15"/>
  <c r="EU100" i="15"/>
  <c r="EV100" i="15"/>
  <c r="EW100" i="15"/>
  <c r="EX100" i="15"/>
  <c r="EY100" i="15"/>
  <c r="EZ100" i="15"/>
  <c r="FA100" i="15"/>
  <c r="FB100" i="15"/>
  <c r="FC100" i="15"/>
  <c r="FD100" i="15"/>
  <c r="FE100" i="15"/>
  <c r="FF100" i="15"/>
  <c r="FG100" i="15"/>
  <c r="FH100" i="15"/>
  <c r="FI100" i="15"/>
  <c r="FJ100" i="15"/>
  <c r="FK100" i="15"/>
  <c r="FL100" i="15"/>
  <c r="FM100" i="15"/>
  <c r="FN100" i="15"/>
  <c r="FO100" i="15"/>
  <c r="FP100" i="15"/>
  <c r="FQ100" i="15"/>
  <c r="FR100" i="15"/>
  <c r="FS100" i="15"/>
  <c r="FT100" i="15"/>
  <c r="FU100" i="15"/>
  <c r="FV100" i="15"/>
  <c r="FW100" i="15"/>
  <c r="FX100" i="15"/>
  <c r="FY100" i="15"/>
  <c r="FZ100" i="15"/>
  <c r="GA100" i="15"/>
  <c r="GB100" i="15"/>
  <c r="GC100" i="15"/>
  <c r="GD100" i="15"/>
  <c r="GE100" i="15"/>
  <c r="GF100" i="15"/>
  <c r="GG100" i="15"/>
  <c r="GH100" i="15"/>
  <c r="GI100" i="15"/>
  <c r="GJ100" i="15"/>
  <c r="GK100" i="15"/>
  <c r="GL100" i="15"/>
  <c r="GM100" i="15"/>
  <c r="GN100" i="15"/>
  <c r="GO100" i="15"/>
  <c r="GP100" i="15"/>
  <c r="GQ100" i="15"/>
  <c r="GR100" i="15"/>
  <c r="GS100" i="15"/>
  <c r="GT100" i="15"/>
  <c r="GU100" i="15"/>
  <c r="GV100" i="15"/>
  <c r="GW100" i="15"/>
  <c r="GX100" i="15"/>
  <c r="GY100" i="15"/>
  <c r="GZ100" i="15"/>
  <c r="HA100" i="15"/>
  <c r="HB100" i="15"/>
  <c r="HC100" i="15"/>
  <c r="HD100" i="15"/>
  <c r="HE100" i="15"/>
  <c r="HF100" i="15"/>
  <c r="HG100" i="15"/>
  <c r="HH100" i="15"/>
  <c r="A100" i="15"/>
  <c r="I4" i="12"/>
  <c r="GL300" i="15"/>
  <c r="GM300" i="15"/>
  <c r="GN300" i="15"/>
  <c r="GO300" i="15"/>
  <c r="GP300" i="15"/>
  <c r="GQ300" i="15"/>
  <c r="GR300" i="15"/>
  <c r="GS300" i="15"/>
  <c r="GT300" i="15"/>
  <c r="GU300" i="15"/>
  <c r="GV300" i="15"/>
  <c r="GW300" i="15"/>
  <c r="GX300" i="15"/>
  <c r="GY300" i="15"/>
  <c r="GZ300" i="15"/>
  <c r="HA300" i="15"/>
  <c r="HB300" i="15"/>
  <c r="HC300" i="15"/>
  <c r="HD300" i="15"/>
  <c r="HE300" i="15"/>
  <c r="HF300" i="15"/>
  <c r="HG300" i="15"/>
  <c r="HH300" i="15"/>
  <c r="B332" i="15"/>
  <c r="C332" i="15"/>
  <c r="D332" i="15"/>
  <c r="E332" i="15"/>
  <c r="F332" i="15"/>
  <c r="G332" i="15"/>
  <c r="H332" i="15"/>
  <c r="I332" i="15"/>
  <c r="J332" i="15"/>
  <c r="K332" i="15"/>
  <c r="L332" i="15"/>
  <c r="M332" i="15"/>
  <c r="N332" i="15"/>
  <c r="O332" i="15"/>
  <c r="P332" i="15"/>
  <c r="Q332" i="15"/>
  <c r="R332" i="15"/>
  <c r="S332" i="15"/>
  <c r="T332" i="15"/>
  <c r="U332" i="15"/>
  <c r="V332" i="15"/>
  <c r="W332" i="15"/>
  <c r="X332" i="15"/>
  <c r="Y332" i="15"/>
  <c r="Z332" i="15"/>
  <c r="AA332" i="15"/>
  <c r="AB332" i="15"/>
  <c r="AC332" i="15"/>
  <c r="AD332" i="15"/>
  <c r="AE332" i="15"/>
  <c r="AF332" i="15"/>
  <c r="AG332" i="15"/>
  <c r="AH332" i="15"/>
  <c r="AI332" i="15"/>
  <c r="AJ332" i="15"/>
  <c r="AK332" i="15"/>
  <c r="AL332" i="15"/>
  <c r="AM332" i="15"/>
  <c r="AN332" i="15"/>
  <c r="AO332" i="15"/>
  <c r="AP332" i="15"/>
  <c r="AQ332" i="15"/>
  <c r="AR332" i="15"/>
  <c r="AS332" i="15"/>
  <c r="AT332" i="15"/>
  <c r="AU332" i="15"/>
  <c r="AV332" i="15"/>
  <c r="AW332" i="15"/>
  <c r="AX332" i="15"/>
  <c r="AY332" i="15"/>
  <c r="AZ332" i="15"/>
  <c r="BA332" i="15"/>
  <c r="BB332" i="15"/>
  <c r="BC332" i="15"/>
  <c r="BD332" i="15"/>
  <c r="BE332" i="15"/>
  <c r="BF332" i="15"/>
  <c r="BG332" i="15"/>
  <c r="BH332" i="15"/>
  <c r="BI332" i="15"/>
  <c r="BJ332" i="15"/>
  <c r="BK332" i="15"/>
  <c r="BL332" i="15"/>
  <c r="BM332" i="15"/>
  <c r="BN332" i="15"/>
  <c r="BO332" i="15"/>
  <c r="BP332" i="15"/>
  <c r="BQ332" i="15"/>
  <c r="BR332" i="15"/>
  <c r="BS332" i="15"/>
  <c r="BT332" i="15"/>
  <c r="BU332" i="15"/>
  <c r="BV332" i="15"/>
  <c r="BW332" i="15"/>
  <c r="BX332" i="15"/>
  <c r="BY332" i="15"/>
  <c r="BZ332" i="15"/>
  <c r="CA332" i="15"/>
  <c r="CB332" i="15"/>
  <c r="CC332" i="15"/>
  <c r="CD332" i="15"/>
  <c r="CE332" i="15"/>
  <c r="CF332" i="15"/>
  <c r="CG332" i="15"/>
  <c r="CH332" i="15"/>
  <c r="CI332" i="15"/>
  <c r="CJ332" i="15"/>
  <c r="CK332" i="15"/>
  <c r="CL332" i="15"/>
  <c r="CM332" i="15"/>
  <c r="CN332" i="15"/>
  <c r="CO332" i="15"/>
  <c r="CP332" i="15"/>
  <c r="CQ332" i="15"/>
  <c r="CR332" i="15"/>
  <c r="CS332" i="15"/>
  <c r="CT332" i="15"/>
  <c r="CU332" i="15"/>
  <c r="CV332" i="15"/>
  <c r="CW332" i="15"/>
  <c r="CX332" i="15"/>
  <c r="CY332" i="15"/>
  <c r="CZ332" i="15"/>
  <c r="DA332" i="15"/>
  <c r="DB332" i="15"/>
  <c r="DC332" i="15"/>
  <c r="DD332" i="15"/>
  <c r="DE332" i="15"/>
  <c r="DF332" i="15"/>
  <c r="DG332" i="15"/>
  <c r="DH332" i="15"/>
  <c r="DI332" i="15"/>
  <c r="DJ332" i="15"/>
  <c r="DK332" i="15"/>
  <c r="DL332" i="15"/>
  <c r="DM332" i="15"/>
  <c r="DN332" i="15"/>
  <c r="DO332" i="15"/>
  <c r="DP332" i="15"/>
  <c r="DQ332" i="15"/>
  <c r="DR332" i="15"/>
  <c r="DS332" i="15"/>
  <c r="DT332" i="15"/>
  <c r="DU332" i="15"/>
  <c r="DV332" i="15"/>
  <c r="DW332" i="15"/>
  <c r="DX332" i="15"/>
  <c r="DY332" i="15"/>
  <c r="DZ332" i="15"/>
  <c r="EA332" i="15"/>
  <c r="EB332" i="15"/>
  <c r="EC332" i="15"/>
  <c r="ED332" i="15"/>
  <c r="EE332" i="15"/>
  <c r="EF332" i="15"/>
  <c r="EG332" i="15"/>
  <c r="EH332" i="15"/>
  <c r="EI332" i="15"/>
  <c r="EJ332" i="15"/>
  <c r="EK332" i="15"/>
  <c r="EL332" i="15"/>
  <c r="EM332" i="15"/>
  <c r="EN332" i="15"/>
  <c r="EO332" i="15"/>
  <c r="EP332" i="15"/>
  <c r="EQ332" i="15"/>
  <c r="ER332" i="15"/>
  <c r="ES332" i="15"/>
  <c r="ET332" i="15"/>
  <c r="EU332" i="15"/>
  <c r="EV332" i="15"/>
  <c r="EW332" i="15"/>
  <c r="EX332" i="15"/>
  <c r="EY332" i="15"/>
  <c r="EZ332" i="15"/>
  <c r="FA332" i="15"/>
  <c r="FB332" i="15"/>
  <c r="FC332" i="15"/>
  <c r="FD332" i="15"/>
  <c r="FE332" i="15"/>
  <c r="FF332" i="15"/>
  <c r="FG332" i="15"/>
  <c r="FH332" i="15"/>
  <c r="FI332" i="15"/>
  <c r="FJ332" i="15"/>
  <c r="FK332" i="15"/>
  <c r="FL332" i="15"/>
  <c r="FM332" i="15"/>
  <c r="FN332" i="15"/>
  <c r="FO332" i="15"/>
  <c r="FP332" i="15"/>
  <c r="FQ332" i="15"/>
  <c r="FR332" i="15"/>
  <c r="FS332" i="15"/>
  <c r="FT332" i="15"/>
  <c r="FU332" i="15"/>
  <c r="FV332" i="15"/>
  <c r="FW332" i="15"/>
  <c r="FX332" i="15"/>
  <c r="FY332" i="15"/>
  <c r="FZ332" i="15"/>
  <c r="GA332" i="15"/>
  <c r="GB332" i="15"/>
  <c r="GC332" i="15"/>
  <c r="GD332" i="15"/>
  <c r="GE332" i="15"/>
  <c r="GF332" i="15"/>
  <c r="GG332" i="15"/>
  <c r="GH332" i="15"/>
  <c r="GI332" i="15"/>
  <c r="GJ332" i="15"/>
  <c r="GK332" i="15"/>
  <c r="GL332" i="15"/>
  <c r="GM332" i="15"/>
  <c r="GN332" i="15"/>
  <c r="GO332" i="15"/>
  <c r="GP332" i="15"/>
  <c r="GQ332" i="15"/>
  <c r="GR332" i="15"/>
  <c r="GS332" i="15"/>
  <c r="GT332" i="15"/>
  <c r="GU332" i="15"/>
  <c r="GV332" i="15"/>
  <c r="GW332" i="15"/>
  <c r="GX332" i="15"/>
  <c r="GY332" i="15"/>
  <c r="GZ332" i="15"/>
  <c r="HA332" i="15"/>
  <c r="HB332" i="15"/>
  <c r="HC332" i="15"/>
  <c r="HD332" i="15"/>
  <c r="HE332" i="15"/>
  <c r="HF332" i="15"/>
  <c r="HG332" i="15"/>
  <c r="HH332" i="15"/>
  <c r="B333" i="15"/>
  <c r="C333" i="15"/>
  <c r="D333" i="15"/>
  <c r="E333" i="15"/>
  <c r="F333" i="15"/>
  <c r="G333" i="15"/>
  <c r="H333" i="15"/>
  <c r="I333" i="15"/>
  <c r="J333" i="15"/>
  <c r="K333" i="15"/>
  <c r="L333" i="15"/>
  <c r="M333" i="15"/>
  <c r="N333" i="15"/>
  <c r="O333" i="15"/>
  <c r="P333" i="15"/>
  <c r="Q333" i="15"/>
  <c r="R333" i="15"/>
  <c r="S333" i="15"/>
  <c r="T333" i="15"/>
  <c r="U333" i="15"/>
  <c r="V333" i="15"/>
  <c r="W333" i="15"/>
  <c r="X333" i="15"/>
  <c r="Y333" i="15"/>
  <c r="Z333" i="15"/>
  <c r="AA333" i="15"/>
  <c r="AB333" i="15"/>
  <c r="AC333" i="15"/>
  <c r="AD333" i="15"/>
  <c r="AE333" i="15"/>
  <c r="AF333" i="15"/>
  <c r="AG333" i="15"/>
  <c r="AH333" i="15"/>
  <c r="AI333" i="15"/>
  <c r="AJ333" i="15"/>
  <c r="AK333" i="15"/>
  <c r="AL333" i="15"/>
  <c r="AM333" i="15"/>
  <c r="AN333" i="15"/>
  <c r="AO333" i="15"/>
  <c r="AP333" i="15"/>
  <c r="AQ333" i="15"/>
  <c r="AR333" i="15"/>
  <c r="AS333" i="15"/>
  <c r="AT333" i="15"/>
  <c r="AU333" i="15"/>
  <c r="AV333" i="15"/>
  <c r="AW333" i="15"/>
  <c r="AX333" i="15"/>
  <c r="AY333" i="15"/>
  <c r="AZ333" i="15"/>
  <c r="BA333" i="15"/>
  <c r="BB333" i="15"/>
  <c r="BC333" i="15"/>
  <c r="BD333" i="15"/>
  <c r="BE333" i="15"/>
  <c r="BF333" i="15"/>
  <c r="BG333" i="15"/>
  <c r="BH333" i="15"/>
  <c r="BI333" i="15"/>
  <c r="BJ333" i="15"/>
  <c r="BK333" i="15"/>
  <c r="BL333" i="15"/>
  <c r="BM333" i="15"/>
  <c r="BN333" i="15"/>
  <c r="BO333" i="15"/>
  <c r="BP333" i="15"/>
  <c r="BQ333" i="15"/>
  <c r="BR333" i="15"/>
  <c r="BS333" i="15"/>
  <c r="BT333" i="15"/>
  <c r="BU333" i="15"/>
  <c r="BV333" i="15"/>
  <c r="BW333" i="15"/>
  <c r="BX333" i="15"/>
  <c r="BY333" i="15"/>
  <c r="BZ333" i="15"/>
  <c r="CA333" i="15"/>
  <c r="CB333" i="15"/>
  <c r="CC333" i="15"/>
  <c r="CD333" i="15"/>
  <c r="CE333" i="15"/>
  <c r="CF333" i="15"/>
  <c r="CG333" i="15"/>
  <c r="CH333" i="15"/>
  <c r="CI333" i="15"/>
  <c r="CJ333" i="15"/>
  <c r="CK333" i="15"/>
  <c r="CL333" i="15"/>
  <c r="CM333" i="15"/>
  <c r="CN333" i="15"/>
  <c r="CO333" i="15"/>
  <c r="CP333" i="15"/>
  <c r="CQ333" i="15"/>
  <c r="CR333" i="15"/>
  <c r="CS333" i="15"/>
  <c r="CT333" i="15"/>
  <c r="CU333" i="15"/>
  <c r="CV333" i="15"/>
  <c r="CW333" i="15"/>
  <c r="CX333" i="15"/>
  <c r="CY333" i="15"/>
  <c r="CZ333" i="15"/>
  <c r="DA333" i="15"/>
  <c r="DB333" i="15"/>
  <c r="DC333" i="15"/>
  <c r="DD333" i="15"/>
  <c r="DE333" i="15"/>
  <c r="DF333" i="15"/>
  <c r="DG333" i="15"/>
  <c r="DH333" i="15"/>
  <c r="DI333" i="15"/>
  <c r="DJ333" i="15"/>
  <c r="DK333" i="15"/>
  <c r="DL333" i="15"/>
  <c r="DM333" i="15"/>
  <c r="DN333" i="15"/>
  <c r="DO333" i="15"/>
  <c r="DP333" i="15"/>
  <c r="DQ333" i="15"/>
  <c r="DR333" i="15"/>
  <c r="DS333" i="15"/>
  <c r="DT333" i="15"/>
  <c r="DU333" i="15"/>
  <c r="DV333" i="15"/>
  <c r="DW333" i="15"/>
  <c r="DX333" i="15"/>
  <c r="DY333" i="15"/>
  <c r="DZ333" i="15"/>
  <c r="EA333" i="15"/>
  <c r="EB333" i="15"/>
  <c r="EC333" i="15"/>
  <c r="ED333" i="15"/>
  <c r="EE333" i="15"/>
  <c r="EF333" i="15"/>
  <c r="EG333" i="15"/>
  <c r="EH333" i="15"/>
  <c r="EI333" i="15"/>
  <c r="EJ333" i="15"/>
  <c r="EK333" i="15"/>
  <c r="EL333" i="15"/>
  <c r="EM333" i="15"/>
  <c r="EN333" i="15"/>
  <c r="EO333" i="15"/>
  <c r="EP333" i="15"/>
  <c r="EQ333" i="15"/>
  <c r="ER333" i="15"/>
  <c r="ES333" i="15"/>
  <c r="ET333" i="15"/>
  <c r="EU333" i="15"/>
  <c r="EV333" i="15"/>
  <c r="EW333" i="15"/>
  <c r="EX333" i="15"/>
  <c r="EY333" i="15"/>
  <c r="EZ333" i="15"/>
  <c r="FA333" i="15"/>
  <c r="FB333" i="15"/>
  <c r="FC333" i="15"/>
  <c r="FD333" i="15"/>
  <c r="FE333" i="15"/>
  <c r="FF333" i="15"/>
  <c r="FG333" i="15"/>
  <c r="FH333" i="15"/>
  <c r="FI333" i="15"/>
  <c r="FJ333" i="15"/>
  <c r="FK333" i="15"/>
  <c r="FL333" i="15"/>
  <c r="FM333" i="15"/>
  <c r="FN333" i="15"/>
  <c r="FO333" i="15"/>
  <c r="FP333" i="15"/>
  <c r="FQ333" i="15"/>
  <c r="FR333" i="15"/>
  <c r="FS333" i="15"/>
  <c r="FT333" i="15"/>
  <c r="FU333" i="15"/>
  <c r="FV333" i="15"/>
  <c r="FW333" i="15"/>
  <c r="FX333" i="15"/>
  <c r="FY333" i="15"/>
  <c r="FZ333" i="15"/>
  <c r="GA333" i="15"/>
  <c r="GB333" i="15"/>
  <c r="GC333" i="15"/>
  <c r="GD333" i="15"/>
  <c r="GE333" i="15"/>
  <c r="GF333" i="15"/>
  <c r="GG333" i="15"/>
  <c r="GH333" i="15"/>
  <c r="GI333" i="15"/>
  <c r="GJ333" i="15"/>
  <c r="GK333" i="15"/>
  <c r="GL333" i="15"/>
  <c r="GM333" i="15"/>
  <c r="GN333" i="15"/>
  <c r="GO333" i="15"/>
  <c r="GP333" i="15"/>
  <c r="GQ333" i="15"/>
  <c r="GR333" i="15"/>
  <c r="GS333" i="15"/>
  <c r="GT333" i="15"/>
  <c r="GU333" i="15"/>
  <c r="GV333" i="15"/>
  <c r="GW333" i="15"/>
  <c r="GX333" i="15"/>
  <c r="GY333" i="15"/>
  <c r="GZ333" i="15"/>
  <c r="HA333" i="15"/>
  <c r="HB333" i="15"/>
  <c r="HC333" i="15"/>
  <c r="HD333" i="15"/>
  <c r="HE333" i="15"/>
  <c r="HF333" i="15"/>
  <c r="HG333" i="15"/>
  <c r="HH333" i="15"/>
  <c r="B334" i="15"/>
  <c r="C334" i="15"/>
  <c r="D334" i="15"/>
  <c r="E334" i="15"/>
  <c r="F334" i="15"/>
  <c r="G334" i="15"/>
  <c r="H334" i="15"/>
  <c r="I334" i="15"/>
  <c r="J334" i="15"/>
  <c r="K334" i="15"/>
  <c r="L334" i="15"/>
  <c r="M334" i="15"/>
  <c r="N334" i="15"/>
  <c r="O334" i="15"/>
  <c r="P334" i="15"/>
  <c r="Q334" i="15"/>
  <c r="R334" i="15"/>
  <c r="S334" i="15"/>
  <c r="T334" i="15"/>
  <c r="U334" i="15"/>
  <c r="V334" i="15"/>
  <c r="W334" i="15"/>
  <c r="X334" i="15"/>
  <c r="Y334" i="15"/>
  <c r="Z334" i="15"/>
  <c r="AA334" i="15"/>
  <c r="AB334" i="15"/>
  <c r="AC334" i="15"/>
  <c r="AD334" i="15"/>
  <c r="AE334" i="15"/>
  <c r="AF334" i="15"/>
  <c r="AG334" i="15"/>
  <c r="AH334" i="15"/>
  <c r="AI334" i="15"/>
  <c r="AJ334" i="15"/>
  <c r="AK334" i="15"/>
  <c r="AL334" i="15"/>
  <c r="AM334" i="15"/>
  <c r="AN334" i="15"/>
  <c r="AO334" i="15"/>
  <c r="AP334" i="15"/>
  <c r="AQ334" i="15"/>
  <c r="AR334" i="15"/>
  <c r="AS334" i="15"/>
  <c r="AT334" i="15"/>
  <c r="AU334" i="15"/>
  <c r="AV334" i="15"/>
  <c r="AW334" i="15"/>
  <c r="AX334" i="15"/>
  <c r="AY334" i="15"/>
  <c r="AZ334" i="15"/>
  <c r="BA334" i="15"/>
  <c r="BB334" i="15"/>
  <c r="BC334" i="15"/>
  <c r="BD334" i="15"/>
  <c r="BE334" i="15"/>
  <c r="BF334" i="15"/>
  <c r="BG334" i="15"/>
  <c r="BH334" i="15"/>
  <c r="BI334" i="15"/>
  <c r="BJ334" i="15"/>
  <c r="BK334" i="15"/>
  <c r="BL334" i="15"/>
  <c r="BM334" i="15"/>
  <c r="BN334" i="15"/>
  <c r="BO334" i="15"/>
  <c r="BP334" i="15"/>
  <c r="BQ334" i="15"/>
  <c r="BR334" i="15"/>
  <c r="BS334" i="15"/>
  <c r="BT334" i="15"/>
  <c r="BU334" i="15"/>
  <c r="BV334" i="15"/>
  <c r="BW334" i="15"/>
  <c r="BX334" i="15"/>
  <c r="BY334" i="15"/>
  <c r="BZ334" i="15"/>
  <c r="CA334" i="15"/>
  <c r="CB334" i="15"/>
  <c r="CC334" i="15"/>
  <c r="CD334" i="15"/>
  <c r="CE334" i="15"/>
  <c r="CF334" i="15"/>
  <c r="CG334" i="15"/>
  <c r="CH334" i="15"/>
  <c r="CI334" i="15"/>
  <c r="CJ334" i="15"/>
  <c r="CK334" i="15"/>
  <c r="CL334" i="15"/>
  <c r="CM334" i="15"/>
  <c r="CN334" i="15"/>
  <c r="CO334" i="15"/>
  <c r="CP334" i="15"/>
  <c r="CQ334" i="15"/>
  <c r="CR334" i="15"/>
  <c r="CS334" i="15"/>
  <c r="CT334" i="15"/>
  <c r="CU334" i="15"/>
  <c r="CV334" i="15"/>
  <c r="CW334" i="15"/>
  <c r="CX334" i="15"/>
  <c r="CY334" i="15"/>
  <c r="CZ334" i="15"/>
  <c r="DA334" i="15"/>
  <c r="DB334" i="15"/>
  <c r="DC334" i="15"/>
  <c r="DD334" i="15"/>
  <c r="DE334" i="15"/>
  <c r="DF334" i="15"/>
  <c r="DG334" i="15"/>
  <c r="DH334" i="15"/>
  <c r="DI334" i="15"/>
  <c r="DJ334" i="15"/>
  <c r="DK334" i="15"/>
  <c r="DL334" i="15"/>
  <c r="DM334" i="15"/>
  <c r="DN334" i="15"/>
  <c r="DO334" i="15"/>
  <c r="DP334" i="15"/>
  <c r="DQ334" i="15"/>
  <c r="DR334" i="15"/>
  <c r="DS334" i="15"/>
  <c r="DT334" i="15"/>
  <c r="DU334" i="15"/>
  <c r="DV334" i="15"/>
  <c r="DW334" i="15"/>
  <c r="DX334" i="15"/>
  <c r="DY334" i="15"/>
  <c r="DZ334" i="15"/>
  <c r="EA334" i="15"/>
  <c r="EB334" i="15"/>
  <c r="EC334" i="15"/>
  <c r="ED334" i="15"/>
  <c r="EE334" i="15"/>
  <c r="EF334" i="15"/>
  <c r="EG334" i="15"/>
  <c r="EH334" i="15"/>
  <c r="EI334" i="15"/>
  <c r="EJ334" i="15"/>
  <c r="EK334" i="15"/>
  <c r="EL334" i="15"/>
  <c r="EM334" i="15"/>
  <c r="EN334" i="15"/>
  <c r="EO334" i="15"/>
  <c r="EP334" i="15"/>
  <c r="EQ334" i="15"/>
  <c r="ER334" i="15"/>
  <c r="ES334" i="15"/>
  <c r="ET334" i="15"/>
  <c r="EU334" i="15"/>
  <c r="EV334" i="15"/>
  <c r="EW334" i="15"/>
  <c r="EX334" i="15"/>
  <c r="EY334" i="15"/>
  <c r="EZ334" i="15"/>
  <c r="FA334" i="15"/>
  <c r="FB334" i="15"/>
  <c r="FC334" i="15"/>
  <c r="FD334" i="15"/>
  <c r="FE334" i="15"/>
  <c r="FF334" i="15"/>
  <c r="FG334" i="15"/>
  <c r="FH334" i="15"/>
  <c r="FI334" i="15"/>
  <c r="FJ334" i="15"/>
  <c r="FK334" i="15"/>
  <c r="FL334" i="15"/>
  <c r="FM334" i="15"/>
  <c r="FN334" i="15"/>
  <c r="FO334" i="15"/>
  <c r="FP334" i="15"/>
  <c r="FQ334" i="15"/>
  <c r="FR334" i="15"/>
  <c r="FS334" i="15"/>
  <c r="FT334" i="15"/>
  <c r="FU334" i="15"/>
  <c r="FV334" i="15"/>
  <c r="FW334" i="15"/>
  <c r="FX334" i="15"/>
  <c r="FY334" i="15"/>
  <c r="FZ334" i="15"/>
  <c r="GA334" i="15"/>
  <c r="GB334" i="15"/>
  <c r="GC334" i="15"/>
  <c r="GD334" i="15"/>
  <c r="GE334" i="15"/>
  <c r="GF334" i="15"/>
  <c r="GG334" i="15"/>
  <c r="GH334" i="15"/>
  <c r="GI334" i="15"/>
  <c r="GJ334" i="15"/>
  <c r="GK334" i="15"/>
  <c r="GL334" i="15"/>
  <c r="GM334" i="15"/>
  <c r="GN334" i="15"/>
  <c r="GO334" i="15"/>
  <c r="GP334" i="15"/>
  <c r="GQ334" i="15"/>
  <c r="GR334" i="15"/>
  <c r="GS334" i="15"/>
  <c r="GT334" i="15"/>
  <c r="GU334" i="15"/>
  <c r="GV334" i="15"/>
  <c r="GW334" i="15"/>
  <c r="GX334" i="15"/>
  <c r="GY334" i="15"/>
  <c r="GZ334" i="15"/>
  <c r="HA334" i="15"/>
  <c r="HB334" i="15"/>
  <c r="HC334" i="15"/>
  <c r="HD334" i="15"/>
  <c r="HE334" i="15"/>
  <c r="HF334" i="15"/>
  <c r="HG334" i="15"/>
  <c r="HH334" i="15"/>
  <c r="B335" i="15"/>
  <c r="C335" i="15"/>
  <c r="D335" i="15"/>
  <c r="E335" i="15"/>
  <c r="F335" i="15"/>
  <c r="G335" i="15"/>
  <c r="H335" i="15"/>
  <c r="I335" i="15"/>
  <c r="J335" i="15"/>
  <c r="K335" i="15"/>
  <c r="L335" i="15"/>
  <c r="M335" i="15"/>
  <c r="N335" i="15"/>
  <c r="O335" i="15"/>
  <c r="P335" i="15"/>
  <c r="Q335" i="15"/>
  <c r="R335" i="15"/>
  <c r="S335" i="15"/>
  <c r="T335" i="15"/>
  <c r="U335" i="15"/>
  <c r="V335" i="15"/>
  <c r="W335" i="15"/>
  <c r="X335" i="15"/>
  <c r="Y335" i="15"/>
  <c r="Z335" i="15"/>
  <c r="AA335" i="15"/>
  <c r="AB335" i="15"/>
  <c r="AC335" i="15"/>
  <c r="AD335" i="15"/>
  <c r="AE335" i="15"/>
  <c r="AF335" i="15"/>
  <c r="AG335" i="15"/>
  <c r="AH335" i="15"/>
  <c r="AI335" i="15"/>
  <c r="AJ335" i="15"/>
  <c r="AK335" i="15"/>
  <c r="AL335" i="15"/>
  <c r="AM335" i="15"/>
  <c r="AN335" i="15"/>
  <c r="AO335" i="15"/>
  <c r="AP335" i="15"/>
  <c r="AQ335" i="15"/>
  <c r="AR335" i="15"/>
  <c r="AS335" i="15"/>
  <c r="AT335" i="15"/>
  <c r="AU335" i="15"/>
  <c r="AV335" i="15"/>
  <c r="AW335" i="15"/>
  <c r="AX335" i="15"/>
  <c r="AY335" i="15"/>
  <c r="AZ335" i="15"/>
  <c r="BA335" i="15"/>
  <c r="BB335" i="15"/>
  <c r="BC335" i="15"/>
  <c r="BD335" i="15"/>
  <c r="BE335" i="15"/>
  <c r="BF335" i="15"/>
  <c r="BG335" i="15"/>
  <c r="BH335" i="15"/>
  <c r="BI335" i="15"/>
  <c r="BJ335" i="15"/>
  <c r="BK335" i="15"/>
  <c r="BL335" i="15"/>
  <c r="BM335" i="15"/>
  <c r="BN335" i="15"/>
  <c r="BO335" i="15"/>
  <c r="BP335" i="15"/>
  <c r="BQ335" i="15"/>
  <c r="BR335" i="15"/>
  <c r="BS335" i="15"/>
  <c r="BT335" i="15"/>
  <c r="BU335" i="15"/>
  <c r="BV335" i="15"/>
  <c r="BW335" i="15"/>
  <c r="BX335" i="15"/>
  <c r="BY335" i="15"/>
  <c r="BZ335" i="15"/>
  <c r="CA335" i="15"/>
  <c r="CB335" i="15"/>
  <c r="CC335" i="15"/>
  <c r="CD335" i="15"/>
  <c r="CE335" i="15"/>
  <c r="CF335" i="15"/>
  <c r="CG335" i="15"/>
  <c r="CH335" i="15"/>
  <c r="CI335" i="15"/>
  <c r="CJ335" i="15"/>
  <c r="CK335" i="15"/>
  <c r="CL335" i="15"/>
  <c r="CM335" i="15"/>
  <c r="CN335" i="15"/>
  <c r="CO335" i="15"/>
  <c r="CP335" i="15"/>
  <c r="CQ335" i="15"/>
  <c r="CR335" i="15"/>
  <c r="CS335" i="15"/>
  <c r="CT335" i="15"/>
  <c r="CU335" i="15"/>
  <c r="CV335" i="15"/>
  <c r="CW335" i="15"/>
  <c r="CX335" i="15"/>
  <c r="CY335" i="15"/>
  <c r="CZ335" i="15"/>
  <c r="DA335" i="15"/>
  <c r="DB335" i="15"/>
  <c r="DC335" i="15"/>
  <c r="DD335" i="15"/>
  <c r="DE335" i="15"/>
  <c r="DF335" i="15"/>
  <c r="DG335" i="15"/>
  <c r="DH335" i="15"/>
  <c r="DI335" i="15"/>
  <c r="DJ335" i="15"/>
  <c r="DK335" i="15"/>
  <c r="DL335" i="15"/>
  <c r="DM335" i="15"/>
  <c r="DN335" i="15"/>
  <c r="DO335" i="15"/>
  <c r="DP335" i="15"/>
  <c r="DQ335" i="15"/>
  <c r="DR335" i="15"/>
  <c r="DS335" i="15"/>
  <c r="DT335" i="15"/>
  <c r="DU335" i="15"/>
  <c r="DV335" i="15"/>
  <c r="DW335" i="15"/>
  <c r="DX335" i="15"/>
  <c r="DY335" i="15"/>
  <c r="DZ335" i="15"/>
  <c r="EA335" i="15"/>
  <c r="EB335" i="15"/>
  <c r="EC335" i="15"/>
  <c r="ED335" i="15"/>
  <c r="EE335" i="15"/>
  <c r="EF335" i="15"/>
  <c r="EG335" i="15"/>
  <c r="EH335" i="15"/>
  <c r="EI335" i="15"/>
  <c r="EJ335" i="15"/>
  <c r="EK335" i="15"/>
  <c r="EL335" i="15"/>
  <c r="EM335" i="15"/>
  <c r="EN335" i="15"/>
  <c r="EO335" i="15"/>
  <c r="EP335" i="15"/>
  <c r="EQ335" i="15"/>
  <c r="ER335" i="15"/>
  <c r="ES335" i="15"/>
  <c r="ET335" i="15"/>
  <c r="EU335" i="15"/>
  <c r="EV335" i="15"/>
  <c r="EW335" i="15"/>
  <c r="EX335" i="15"/>
  <c r="EY335" i="15"/>
  <c r="EZ335" i="15"/>
  <c r="FA335" i="15"/>
  <c r="FB335" i="15"/>
  <c r="FC335" i="15"/>
  <c r="FD335" i="15"/>
  <c r="FE335" i="15"/>
  <c r="FF335" i="15"/>
  <c r="FG335" i="15"/>
  <c r="FH335" i="15"/>
  <c r="FI335" i="15"/>
  <c r="FJ335" i="15"/>
  <c r="FK335" i="15"/>
  <c r="FL335" i="15"/>
  <c r="FM335" i="15"/>
  <c r="FN335" i="15"/>
  <c r="FO335" i="15"/>
  <c r="FP335" i="15"/>
  <c r="FQ335" i="15"/>
  <c r="FR335" i="15"/>
  <c r="FS335" i="15"/>
  <c r="FT335" i="15"/>
  <c r="FU335" i="15"/>
  <c r="FV335" i="15"/>
  <c r="FW335" i="15"/>
  <c r="FX335" i="15"/>
  <c r="FY335" i="15"/>
  <c r="FZ335" i="15"/>
  <c r="GA335" i="15"/>
  <c r="GB335" i="15"/>
  <c r="GC335" i="15"/>
  <c r="GD335" i="15"/>
  <c r="GE335" i="15"/>
  <c r="GF335" i="15"/>
  <c r="GG335" i="15"/>
  <c r="GH335" i="15"/>
  <c r="GI335" i="15"/>
  <c r="GJ335" i="15"/>
  <c r="GK335" i="15"/>
  <c r="GL335" i="15"/>
  <c r="GM335" i="15"/>
  <c r="GN335" i="15"/>
  <c r="GO335" i="15"/>
  <c r="GP335" i="15"/>
  <c r="GQ335" i="15"/>
  <c r="GR335" i="15"/>
  <c r="GS335" i="15"/>
  <c r="GT335" i="15"/>
  <c r="GU335" i="15"/>
  <c r="GV335" i="15"/>
  <c r="GW335" i="15"/>
  <c r="GX335" i="15"/>
  <c r="GY335" i="15"/>
  <c r="GZ335" i="15"/>
  <c r="HA335" i="15"/>
  <c r="HB335" i="15"/>
  <c r="HC335" i="15"/>
  <c r="HD335" i="15"/>
  <c r="HE335" i="15"/>
  <c r="HF335" i="15"/>
  <c r="HG335" i="15"/>
  <c r="HH335" i="15"/>
  <c r="B336" i="15"/>
  <c r="C336" i="15"/>
  <c r="D336" i="15"/>
  <c r="E336" i="15"/>
  <c r="F336" i="15"/>
  <c r="G336" i="15"/>
  <c r="H336" i="15"/>
  <c r="I336" i="15"/>
  <c r="J336" i="15"/>
  <c r="K336" i="15"/>
  <c r="L336" i="15"/>
  <c r="M336" i="15"/>
  <c r="N336" i="15"/>
  <c r="O336" i="15"/>
  <c r="P336" i="15"/>
  <c r="Q336" i="15"/>
  <c r="R336" i="15"/>
  <c r="S336" i="15"/>
  <c r="T336" i="15"/>
  <c r="U336" i="15"/>
  <c r="V336" i="15"/>
  <c r="W336" i="15"/>
  <c r="X336" i="15"/>
  <c r="Y336" i="15"/>
  <c r="Z336" i="15"/>
  <c r="AA336" i="15"/>
  <c r="AB336" i="15"/>
  <c r="AC336" i="15"/>
  <c r="AD336" i="15"/>
  <c r="AE336" i="15"/>
  <c r="AF336" i="15"/>
  <c r="AG336" i="15"/>
  <c r="AH336" i="15"/>
  <c r="AI336" i="15"/>
  <c r="AJ336" i="15"/>
  <c r="AK336" i="15"/>
  <c r="AL336" i="15"/>
  <c r="AM336" i="15"/>
  <c r="AN336" i="15"/>
  <c r="AO336" i="15"/>
  <c r="AP336" i="15"/>
  <c r="AQ336" i="15"/>
  <c r="AR336" i="15"/>
  <c r="AS336" i="15"/>
  <c r="AT336" i="15"/>
  <c r="AU336" i="15"/>
  <c r="AV336" i="15"/>
  <c r="AW336" i="15"/>
  <c r="AX336" i="15"/>
  <c r="AY336" i="15"/>
  <c r="AZ336" i="15"/>
  <c r="BA336" i="15"/>
  <c r="BB336" i="15"/>
  <c r="BC336" i="15"/>
  <c r="BD336" i="15"/>
  <c r="BE336" i="15"/>
  <c r="BF336" i="15"/>
  <c r="BG336" i="15"/>
  <c r="BH336" i="15"/>
  <c r="BI336" i="15"/>
  <c r="BJ336" i="15"/>
  <c r="BK336" i="15"/>
  <c r="BL336" i="15"/>
  <c r="BM336" i="15"/>
  <c r="BN336" i="15"/>
  <c r="BO336" i="15"/>
  <c r="BP336" i="15"/>
  <c r="BQ336" i="15"/>
  <c r="BR336" i="15"/>
  <c r="BS336" i="15"/>
  <c r="BT336" i="15"/>
  <c r="BU336" i="15"/>
  <c r="BV336" i="15"/>
  <c r="BW336" i="15"/>
  <c r="BX336" i="15"/>
  <c r="BY336" i="15"/>
  <c r="BZ336" i="15"/>
  <c r="CA336" i="15"/>
  <c r="CB336" i="15"/>
  <c r="CC336" i="15"/>
  <c r="CD336" i="15"/>
  <c r="CE336" i="15"/>
  <c r="CF336" i="15"/>
  <c r="CG336" i="15"/>
  <c r="CH336" i="15"/>
  <c r="CI336" i="15"/>
  <c r="CJ336" i="15"/>
  <c r="CK336" i="15"/>
  <c r="CL336" i="15"/>
  <c r="CM336" i="15"/>
  <c r="CN336" i="15"/>
  <c r="CO336" i="15"/>
  <c r="CP336" i="15"/>
  <c r="CQ336" i="15"/>
  <c r="CR336" i="15"/>
  <c r="CS336" i="15"/>
  <c r="CT336" i="15"/>
  <c r="CU336" i="15"/>
  <c r="CV336" i="15"/>
  <c r="CW336" i="15"/>
  <c r="CX336" i="15"/>
  <c r="CY336" i="15"/>
  <c r="CZ336" i="15"/>
  <c r="DA336" i="15"/>
  <c r="DB336" i="15"/>
  <c r="DC336" i="15"/>
  <c r="DD336" i="15"/>
  <c r="DE336" i="15"/>
  <c r="DF336" i="15"/>
  <c r="DG336" i="15"/>
  <c r="DH336" i="15"/>
  <c r="DI336" i="15"/>
  <c r="DJ336" i="15"/>
  <c r="DK336" i="15"/>
  <c r="DL336" i="15"/>
  <c r="DM336" i="15"/>
  <c r="DN336" i="15"/>
  <c r="DO336" i="15"/>
  <c r="DP336" i="15"/>
  <c r="DQ336" i="15"/>
  <c r="DR336" i="15"/>
  <c r="DS336" i="15"/>
  <c r="DT336" i="15"/>
  <c r="DU336" i="15"/>
  <c r="DV336" i="15"/>
  <c r="DW336" i="15"/>
  <c r="DX336" i="15"/>
  <c r="DY336" i="15"/>
  <c r="DZ336" i="15"/>
  <c r="EA336" i="15"/>
  <c r="EB336" i="15"/>
  <c r="EC336" i="15"/>
  <c r="ED336" i="15"/>
  <c r="EE336" i="15"/>
  <c r="EF336" i="15"/>
  <c r="EG336" i="15"/>
  <c r="EH336" i="15"/>
  <c r="EI336" i="15"/>
  <c r="EJ336" i="15"/>
  <c r="EK336" i="15"/>
  <c r="EL336" i="15"/>
  <c r="EM336" i="15"/>
  <c r="EN336" i="15"/>
  <c r="EO336" i="15"/>
  <c r="EP336" i="15"/>
  <c r="EQ336" i="15"/>
  <c r="ER336" i="15"/>
  <c r="ES336" i="15"/>
  <c r="ET336" i="15"/>
  <c r="EU336" i="15"/>
  <c r="EV336" i="15"/>
  <c r="EW336" i="15"/>
  <c r="EX336" i="15"/>
  <c r="EY336" i="15"/>
  <c r="EZ336" i="15"/>
  <c r="FA336" i="15"/>
  <c r="FB336" i="15"/>
  <c r="FC336" i="15"/>
  <c r="FD336" i="15"/>
  <c r="FE336" i="15"/>
  <c r="FF336" i="15"/>
  <c r="FG336" i="15"/>
  <c r="FH336" i="15"/>
  <c r="FI336" i="15"/>
  <c r="FJ336" i="15"/>
  <c r="FK336" i="15"/>
  <c r="FL336" i="15"/>
  <c r="FM336" i="15"/>
  <c r="FN336" i="15"/>
  <c r="FO336" i="15"/>
  <c r="FP336" i="15"/>
  <c r="FQ336" i="15"/>
  <c r="FR336" i="15"/>
  <c r="FS336" i="15"/>
  <c r="FT336" i="15"/>
  <c r="FU336" i="15"/>
  <c r="FV336" i="15"/>
  <c r="FW336" i="15"/>
  <c r="FX336" i="15"/>
  <c r="FY336" i="15"/>
  <c r="FZ336" i="15"/>
  <c r="GA336" i="15"/>
  <c r="GB336" i="15"/>
  <c r="GC336" i="15"/>
  <c r="GD336" i="15"/>
  <c r="GE336" i="15"/>
  <c r="GF336" i="15"/>
  <c r="GG336" i="15"/>
  <c r="GH336" i="15"/>
  <c r="GI336" i="15"/>
  <c r="GJ336" i="15"/>
  <c r="GK336" i="15"/>
  <c r="GL336" i="15"/>
  <c r="GM336" i="15"/>
  <c r="GN336" i="15"/>
  <c r="GO336" i="15"/>
  <c r="GP336" i="15"/>
  <c r="GQ336" i="15"/>
  <c r="GR336" i="15"/>
  <c r="GS336" i="15"/>
  <c r="GT336" i="15"/>
  <c r="GU336" i="15"/>
  <c r="GV336" i="15"/>
  <c r="GW336" i="15"/>
  <c r="GX336" i="15"/>
  <c r="GY336" i="15"/>
  <c r="GZ336" i="15"/>
  <c r="HA336" i="15"/>
  <c r="HB336" i="15"/>
  <c r="HC336" i="15"/>
  <c r="HD336" i="15"/>
  <c r="HE336" i="15"/>
  <c r="HF336" i="15"/>
  <c r="HG336" i="15"/>
  <c r="HH336" i="15"/>
  <c r="B337" i="15"/>
  <c r="C337" i="15"/>
  <c r="D337" i="15"/>
  <c r="E337" i="15"/>
  <c r="F337" i="15"/>
  <c r="G337" i="15"/>
  <c r="H337" i="15"/>
  <c r="I337" i="15"/>
  <c r="J337" i="15"/>
  <c r="K337" i="15"/>
  <c r="L337" i="15"/>
  <c r="M337" i="15"/>
  <c r="N337" i="15"/>
  <c r="O337" i="15"/>
  <c r="P337" i="15"/>
  <c r="Q337" i="15"/>
  <c r="R337" i="15"/>
  <c r="S337" i="15"/>
  <c r="T337" i="15"/>
  <c r="U337" i="15"/>
  <c r="V337" i="15"/>
  <c r="W337" i="15"/>
  <c r="X337" i="15"/>
  <c r="Y337" i="15"/>
  <c r="Z337" i="15"/>
  <c r="AA337" i="15"/>
  <c r="AB337" i="15"/>
  <c r="AC337" i="15"/>
  <c r="AD337" i="15"/>
  <c r="AE337" i="15"/>
  <c r="AF337" i="15"/>
  <c r="AG337" i="15"/>
  <c r="AH337" i="15"/>
  <c r="AI337" i="15"/>
  <c r="AJ337" i="15"/>
  <c r="AK337" i="15"/>
  <c r="AL337" i="15"/>
  <c r="AM337" i="15"/>
  <c r="AN337" i="15"/>
  <c r="AO337" i="15"/>
  <c r="AP337" i="15"/>
  <c r="AQ337" i="15"/>
  <c r="AR337" i="15"/>
  <c r="AS337" i="15"/>
  <c r="AT337" i="15"/>
  <c r="AU337" i="15"/>
  <c r="AV337" i="15"/>
  <c r="AW337" i="15"/>
  <c r="AX337" i="15"/>
  <c r="AY337" i="15"/>
  <c r="AZ337" i="15"/>
  <c r="BA337" i="15"/>
  <c r="BB337" i="15"/>
  <c r="BC337" i="15"/>
  <c r="BD337" i="15"/>
  <c r="BE337" i="15"/>
  <c r="BF337" i="15"/>
  <c r="BG337" i="15"/>
  <c r="BH337" i="15"/>
  <c r="BI337" i="15"/>
  <c r="BJ337" i="15"/>
  <c r="BK337" i="15"/>
  <c r="BL337" i="15"/>
  <c r="BM337" i="15"/>
  <c r="BN337" i="15"/>
  <c r="BO337" i="15"/>
  <c r="BP337" i="15"/>
  <c r="BQ337" i="15"/>
  <c r="BR337" i="15"/>
  <c r="BS337" i="15"/>
  <c r="BT337" i="15"/>
  <c r="BU337" i="15"/>
  <c r="BV337" i="15"/>
  <c r="BW337" i="15"/>
  <c r="BX337" i="15"/>
  <c r="BY337" i="15"/>
  <c r="BZ337" i="15"/>
  <c r="CA337" i="15"/>
  <c r="CB337" i="15"/>
  <c r="CC337" i="15"/>
  <c r="CD337" i="15"/>
  <c r="CE337" i="15"/>
  <c r="CF337" i="15"/>
  <c r="CG337" i="15"/>
  <c r="CH337" i="15"/>
  <c r="CI337" i="15"/>
  <c r="CJ337" i="15"/>
  <c r="CK337" i="15"/>
  <c r="CL337" i="15"/>
  <c r="CM337" i="15"/>
  <c r="CN337" i="15"/>
  <c r="CO337" i="15"/>
  <c r="CP337" i="15"/>
  <c r="CQ337" i="15"/>
  <c r="CR337" i="15"/>
  <c r="CS337" i="15"/>
  <c r="CT337" i="15"/>
  <c r="CU337" i="15"/>
  <c r="CV337" i="15"/>
  <c r="CW337" i="15"/>
  <c r="CX337" i="15"/>
  <c r="CY337" i="15"/>
  <c r="CZ337" i="15"/>
  <c r="DA337" i="15"/>
  <c r="DB337" i="15"/>
  <c r="DC337" i="15"/>
  <c r="DD337" i="15"/>
  <c r="DE337" i="15"/>
  <c r="DF337" i="15"/>
  <c r="DG337" i="15"/>
  <c r="DH337" i="15"/>
  <c r="DI337" i="15"/>
  <c r="DJ337" i="15"/>
  <c r="DK337" i="15"/>
  <c r="DL337" i="15"/>
  <c r="DM337" i="15"/>
  <c r="DN337" i="15"/>
  <c r="DO337" i="15"/>
  <c r="DP337" i="15"/>
  <c r="DQ337" i="15"/>
  <c r="DR337" i="15"/>
  <c r="DS337" i="15"/>
  <c r="DT337" i="15"/>
  <c r="DU337" i="15"/>
  <c r="DV337" i="15"/>
  <c r="DW337" i="15"/>
  <c r="DX337" i="15"/>
  <c r="DY337" i="15"/>
  <c r="DZ337" i="15"/>
  <c r="EA337" i="15"/>
  <c r="EB337" i="15"/>
  <c r="EC337" i="15"/>
  <c r="ED337" i="15"/>
  <c r="EE337" i="15"/>
  <c r="EF337" i="15"/>
  <c r="EG337" i="15"/>
  <c r="EH337" i="15"/>
  <c r="EI337" i="15"/>
  <c r="EJ337" i="15"/>
  <c r="EK337" i="15"/>
  <c r="EL337" i="15"/>
  <c r="EM337" i="15"/>
  <c r="EN337" i="15"/>
  <c r="EO337" i="15"/>
  <c r="EP337" i="15"/>
  <c r="EQ337" i="15"/>
  <c r="ER337" i="15"/>
  <c r="ES337" i="15"/>
  <c r="ET337" i="15"/>
  <c r="EU337" i="15"/>
  <c r="EV337" i="15"/>
  <c r="EW337" i="15"/>
  <c r="EX337" i="15"/>
  <c r="EY337" i="15"/>
  <c r="EZ337" i="15"/>
  <c r="FA337" i="15"/>
  <c r="FB337" i="15"/>
  <c r="FC337" i="15"/>
  <c r="FD337" i="15"/>
  <c r="FE337" i="15"/>
  <c r="FF337" i="15"/>
  <c r="FG337" i="15"/>
  <c r="FH337" i="15"/>
  <c r="FI337" i="15"/>
  <c r="FJ337" i="15"/>
  <c r="FK337" i="15"/>
  <c r="FL337" i="15"/>
  <c r="FM337" i="15"/>
  <c r="FN337" i="15"/>
  <c r="FO337" i="15"/>
  <c r="FP337" i="15"/>
  <c r="FQ337" i="15"/>
  <c r="FR337" i="15"/>
  <c r="FS337" i="15"/>
  <c r="FT337" i="15"/>
  <c r="FU337" i="15"/>
  <c r="FV337" i="15"/>
  <c r="FW337" i="15"/>
  <c r="FX337" i="15"/>
  <c r="FY337" i="15"/>
  <c r="FZ337" i="15"/>
  <c r="GA337" i="15"/>
  <c r="GB337" i="15"/>
  <c r="GC337" i="15"/>
  <c r="GD337" i="15"/>
  <c r="GE337" i="15"/>
  <c r="GF337" i="15"/>
  <c r="GG337" i="15"/>
  <c r="GH337" i="15"/>
  <c r="GI337" i="15"/>
  <c r="GJ337" i="15"/>
  <c r="GK337" i="15"/>
  <c r="GL337" i="15"/>
  <c r="GM337" i="15"/>
  <c r="GN337" i="15"/>
  <c r="GO337" i="15"/>
  <c r="GP337" i="15"/>
  <c r="GQ337" i="15"/>
  <c r="GR337" i="15"/>
  <c r="GS337" i="15"/>
  <c r="GT337" i="15"/>
  <c r="GU337" i="15"/>
  <c r="GV337" i="15"/>
  <c r="GW337" i="15"/>
  <c r="GX337" i="15"/>
  <c r="GY337" i="15"/>
  <c r="GZ337" i="15"/>
  <c r="HA337" i="15"/>
  <c r="HB337" i="15"/>
  <c r="HC337" i="15"/>
  <c r="HD337" i="15"/>
  <c r="HE337" i="15"/>
  <c r="HF337" i="15"/>
  <c r="HG337" i="15"/>
  <c r="HH337" i="15"/>
  <c r="B338" i="15"/>
  <c r="C338" i="15"/>
  <c r="D338" i="15"/>
  <c r="E338" i="15"/>
  <c r="F338" i="15"/>
  <c r="G338" i="15"/>
  <c r="H338" i="15"/>
  <c r="I338" i="15"/>
  <c r="J338" i="15"/>
  <c r="K338" i="15"/>
  <c r="L338" i="15"/>
  <c r="M338" i="15"/>
  <c r="N338" i="15"/>
  <c r="O338" i="15"/>
  <c r="P338" i="15"/>
  <c r="Q338" i="15"/>
  <c r="R338" i="15"/>
  <c r="S338" i="15"/>
  <c r="T338" i="15"/>
  <c r="U338" i="15"/>
  <c r="V338" i="15"/>
  <c r="W338" i="15"/>
  <c r="X338" i="15"/>
  <c r="Y338" i="15"/>
  <c r="Z338" i="15"/>
  <c r="AA338" i="15"/>
  <c r="AB338" i="15"/>
  <c r="AC338" i="15"/>
  <c r="AD338" i="15"/>
  <c r="AE338" i="15"/>
  <c r="AF338" i="15"/>
  <c r="AG338" i="15"/>
  <c r="AH338" i="15"/>
  <c r="AI338" i="15"/>
  <c r="AJ338" i="15"/>
  <c r="AK338" i="15"/>
  <c r="AL338" i="15"/>
  <c r="AM338" i="15"/>
  <c r="AN338" i="15"/>
  <c r="AO338" i="15"/>
  <c r="AP338" i="15"/>
  <c r="AQ338" i="15"/>
  <c r="AR338" i="15"/>
  <c r="AS338" i="15"/>
  <c r="AT338" i="15"/>
  <c r="AU338" i="15"/>
  <c r="AV338" i="15"/>
  <c r="AW338" i="15"/>
  <c r="AX338" i="15"/>
  <c r="AY338" i="15"/>
  <c r="AZ338" i="15"/>
  <c r="BA338" i="15"/>
  <c r="BB338" i="15"/>
  <c r="BC338" i="15"/>
  <c r="BD338" i="15"/>
  <c r="BE338" i="15"/>
  <c r="BF338" i="15"/>
  <c r="BG338" i="15"/>
  <c r="BH338" i="15"/>
  <c r="BI338" i="15"/>
  <c r="BJ338" i="15"/>
  <c r="BK338" i="15"/>
  <c r="BL338" i="15"/>
  <c r="BM338" i="15"/>
  <c r="BN338" i="15"/>
  <c r="BO338" i="15"/>
  <c r="BP338" i="15"/>
  <c r="BQ338" i="15"/>
  <c r="BR338" i="15"/>
  <c r="BS338" i="15"/>
  <c r="BT338" i="15"/>
  <c r="BU338" i="15"/>
  <c r="BV338" i="15"/>
  <c r="BW338" i="15"/>
  <c r="BX338" i="15"/>
  <c r="BY338" i="15"/>
  <c r="BZ338" i="15"/>
  <c r="CA338" i="15"/>
  <c r="CB338" i="15"/>
  <c r="CC338" i="15"/>
  <c r="CD338" i="15"/>
  <c r="CE338" i="15"/>
  <c r="CF338" i="15"/>
  <c r="CG338" i="15"/>
  <c r="CH338" i="15"/>
  <c r="CI338" i="15"/>
  <c r="CJ338" i="15"/>
  <c r="CK338" i="15"/>
  <c r="CL338" i="15"/>
  <c r="CM338" i="15"/>
  <c r="CN338" i="15"/>
  <c r="CO338" i="15"/>
  <c r="CP338" i="15"/>
  <c r="CQ338" i="15"/>
  <c r="CR338" i="15"/>
  <c r="CS338" i="15"/>
  <c r="CT338" i="15"/>
  <c r="CU338" i="15"/>
  <c r="CV338" i="15"/>
  <c r="CW338" i="15"/>
  <c r="CX338" i="15"/>
  <c r="CY338" i="15"/>
  <c r="CZ338" i="15"/>
  <c r="DA338" i="15"/>
  <c r="DB338" i="15"/>
  <c r="DC338" i="15"/>
  <c r="DD338" i="15"/>
  <c r="DE338" i="15"/>
  <c r="DF338" i="15"/>
  <c r="DG338" i="15"/>
  <c r="DH338" i="15"/>
  <c r="DI338" i="15"/>
  <c r="DJ338" i="15"/>
  <c r="DK338" i="15"/>
  <c r="DL338" i="15"/>
  <c r="DM338" i="15"/>
  <c r="DN338" i="15"/>
  <c r="DO338" i="15"/>
  <c r="DP338" i="15"/>
  <c r="DQ338" i="15"/>
  <c r="DR338" i="15"/>
  <c r="DS338" i="15"/>
  <c r="DT338" i="15"/>
  <c r="DU338" i="15"/>
  <c r="DV338" i="15"/>
  <c r="DW338" i="15"/>
  <c r="DX338" i="15"/>
  <c r="DY338" i="15"/>
  <c r="DZ338" i="15"/>
  <c r="EA338" i="15"/>
  <c r="EB338" i="15"/>
  <c r="EC338" i="15"/>
  <c r="ED338" i="15"/>
  <c r="EE338" i="15"/>
  <c r="EF338" i="15"/>
  <c r="EG338" i="15"/>
  <c r="EH338" i="15"/>
  <c r="EI338" i="15"/>
  <c r="EJ338" i="15"/>
  <c r="EK338" i="15"/>
  <c r="EL338" i="15"/>
  <c r="EM338" i="15"/>
  <c r="EN338" i="15"/>
  <c r="EO338" i="15"/>
  <c r="EP338" i="15"/>
  <c r="EQ338" i="15"/>
  <c r="ER338" i="15"/>
  <c r="ES338" i="15"/>
  <c r="ET338" i="15"/>
  <c r="EU338" i="15"/>
  <c r="EV338" i="15"/>
  <c r="EW338" i="15"/>
  <c r="EX338" i="15"/>
  <c r="EY338" i="15"/>
  <c r="EZ338" i="15"/>
  <c r="FA338" i="15"/>
  <c r="FB338" i="15"/>
  <c r="FC338" i="15"/>
  <c r="FD338" i="15"/>
  <c r="FE338" i="15"/>
  <c r="FF338" i="15"/>
  <c r="FG338" i="15"/>
  <c r="FH338" i="15"/>
  <c r="FI338" i="15"/>
  <c r="FJ338" i="15"/>
  <c r="FK338" i="15"/>
  <c r="FL338" i="15"/>
  <c r="FM338" i="15"/>
  <c r="FN338" i="15"/>
  <c r="FO338" i="15"/>
  <c r="FP338" i="15"/>
  <c r="FQ338" i="15"/>
  <c r="FR338" i="15"/>
  <c r="FS338" i="15"/>
  <c r="FT338" i="15"/>
  <c r="FU338" i="15"/>
  <c r="FV338" i="15"/>
  <c r="FW338" i="15"/>
  <c r="FX338" i="15"/>
  <c r="FY338" i="15"/>
  <c r="FZ338" i="15"/>
  <c r="GA338" i="15"/>
  <c r="GB338" i="15"/>
  <c r="GC338" i="15"/>
  <c r="GD338" i="15"/>
  <c r="GE338" i="15"/>
  <c r="GF338" i="15"/>
  <c r="GG338" i="15"/>
  <c r="GH338" i="15"/>
  <c r="GI338" i="15"/>
  <c r="GJ338" i="15"/>
  <c r="GK338" i="15"/>
  <c r="GL338" i="15"/>
  <c r="GM338" i="15"/>
  <c r="GN338" i="15"/>
  <c r="GO338" i="15"/>
  <c r="GP338" i="15"/>
  <c r="GQ338" i="15"/>
  <c r="GR338" i="15"/>
  <c r="GS338" i="15"/>
  <c r="GT338" i="15"/>
  <c r="GU338" i="15"/>
  <c r="GV338" i="15"/>
  <c r="GW338" i="15"/>
  <c r="GX338" i="15"/>
  <c r="GY338" i="15"/>
  <c r="GZ338" i="15"/>
  <c r="HA338" i="15"/>
  <c r="HB338" i="15"/>
  <c r="HC338" i="15"/>
  <c r="HD338" i="15"/>
  <c r="HE338" i="15"/>
  <c r="HF338" i="15"/>
  <c r="HG338" i="15"/>
  <c r="HH338" i="15"/>
  <c r="B339" i="15"/>
  <c r="C339" i="15"/>
  <c r="D339" i="15"/>
  <c r="E339" i="15"/>
  <c r="F339" i="15"/>
  <c r="G339" i="15"/>
  <c r="H339" i="15"/>
  <c r="I339" i="15"/>
  <c r="J339" i="15"/>
  <c r="K339" i="15"/>
  <c r="L339" i="15"/>
  <c r="M339" i="15"/>
  <c r="N339" i="15"/>
  <c r="O339" i="15"/>
  <c r="P339" i="15"/>
  <c r="Q339" i="15"/>
  <c r="R339" i="15"/>
  <c r="S339" i="15"/>
  <c r="T339" i="15"/>
  <c r="U339" i="15"/>
  <c r="V339" i="15"/>
  <c r="W339" i="15"/>
  <c r="X339" i="15"/>
  <c r="Y339" i="15"/>
  <c r="Z339" i="15"/>
  <c r="AA339" i="15"/>
  <c r="AB339" i="15"/>
  <c r="AC339" i="15"/>
  <c r="AD339" i="15"/>
  <c r="AE339" i="15"/>
  <c r="AF339" i="15"/>
  <c r="AG339" i="15"/>
  <c r="AH339" i="15"/>
  <c r="AI339" i="15"/>
  <c r="AJ339" i="15"/>
  <c r="AK339" i="15"/>
  <c r="AL339" i="15"/>
  <c r="AM339" i="15"/>
  <c r="AN339" i="15"/>
  <c r="AO339" i="15"/>
  <c r="AP339" i="15"/>
  <c r="AQ339" i="15"/>
  <c r="AR339" i="15"/>
  <c r="AS339" i="15"/>
  <c r="AT339" i="15"/>
  <c r="AU339" i="15"/>
  <c r="AV339" i="15"/>
  <c r="AW339" i="15"/>
  <c r="AX339" i="15"/>
  <c r="AY339" i="15"/>
  <c r="AZ339" i="15"/>
  <c r="BA339" i="15"/>
  <c r="BB339" i="15"/>
  <c r="BC339" i="15"/>
  <c r="BD339" i="15"/>
  <c r="BE339" i="15"/>
  <c r="BF339" i="15"/>
  <c r="BG339" i="15"/>
  <c r="BH339" i="15"/>
  <c r="BI339" i="15"/>
  <c r="BJ339" i="15"/>
  <c r="BK339" i="15"/>
  <c r="BL339" i="15"/>
  <c r="BM339" i="15"/>
  <c r="BN339" i="15"/>
  <c r="BO339" i="15"/>
  <c r="BP339" i="15"/>
  <c r="BQ339" i="15"/>
  <c r="BR339" i="15"/>
  <c r="BS339" i="15"/>
  <c r="BT339" i="15"/>
  <c r="BU339" i="15"/>
  <c r="BV339" i="15"/>
  <c r="BW339" i="15"/>
  <c r="BX339" i="15"/>
  <c r="BY339" i="15"/>
  <c r="BZ339" i="15"/>
  <c r="CA339" i="15"/>
  <c r="CB339" i="15"/>
  <c r="CC339" i="15"/>
  <c r="CD339" i="15"/>
  <c r="CE339" i="15"/>
  <c r="CF339" i="15"/>
  <c r="CG339" i="15"/>
  <c r="CH339" i="15"/>
  <c r="CI339" i="15"/>
  <c r="CJ339" i="15"/>
  <c r="CK339" i="15"/>
  <c r="CL339" i="15"/>
  <c r="CM339" i="15"/>
  <c r="CN339" i="15"/>
  <c r="CO339" i="15"/>
  <c r="CP339" i="15"/>
  <c r="CQ339" i="15"/>
  <c r="CR339" i="15"/>
  <c r="CS339" i="15"/>
  <c r="CT339" i="15"/>
  <c r="CU339" i="15"/>
  <c r="CV339" i="15"/>
  <c r="CW339" i="15"/>
  <c r="CX339" i="15"/>
  <c r="CY339" i="15"/>
  <c r="CZ339" i="15"/>
  <c r="DA339" i="15"/>
  <c r="DB339" i="15"/>
  <c r="DC339" i="15"/>
  <c r="DD339" i="15"/>
  <c r="DE339" i="15"/>
  <c r="DF339" i="15"/>
  <c r="DG339" i="15"/>
  <c r="DH339" i="15"/>
  <c r="DI339" i="15"/>
  <c r="DJ339" i="15"/>
  <c r="DK339" i="15"/>
  <c r="DL339" i="15"/>
  <c r="DM339" i="15"/>
  <c r="DN339" i="15"/>
  <c r="DO339" i="15"/>
  <c r="DP339" i="15"/>
  <c r="DQ339" i="15"/>
  <c r="DR339" i="15"/>
  <c r="DS339" i="15"/>
  <c r="DT339" i="15"/>
  <c r="DU339" i="15"/>
  <c r="DV339" i="15"/>
  <c r="DW339" i="15"/>
  <c r="DX339" i="15"/>
  <c r="DY339" i="15"/>
  <c r="DZ339" i="15"/>
  <c r="EA339" i="15"/>
  <c r="EB339" i="15"/>
  <c r="EC339" i="15"/>
  <c r="ED339" i="15"/>
  <c r="EE339" i="15"/>
  <c r="EF339" i="15"/>
  <c r="EG339" i="15"/>
  <c r="EH339" i="15"/>
  <c r="EI339" i="15"/>
  <c r="EJ339" i="15"/>
  <c r="EK339" i="15"/>
  <c r="EL339" i="15"/>
  <c r="EM339" i="15"/>
  <c r="EN339" i="15"/>
  <c r="EO339" i="15"/>
  <c r="EP339" i="15"/>
  <c r="EQ339" i="15"/>
  <c r="ER339" i="15"/>
  <c r="ES339" i="15"/>
  <c r="ET339" i="15"/>
  <c r="EU339" i="15"/>
  <c r="EV339" i="15"/>
  <c r="EW339" i="15"/>
  <c r="EX339" i="15"/>
  <c r="EY339" i="15"/>
  <c r="EZ339" i="15"/>
  <c r="FA339" i="15"/>
  <c r="FB339" i="15"/>
  <c r="FC339" i="15"/>
  <c r="FD339" i="15"/>
  <c r="FE339" i="15"/>
  <c r="FF339" i="15"/>
  <c r="FG339" i="15"/>
  <c r="FH339" i="15"/>
  <c r="FI339" i="15"/>
  <c r="FJ339" i="15"/>
  <c r="FK339" i="15"/>
  <c r="FL339" i="15"/>
  <c r="FM339" i="15"/>
  <c r="FN339" i="15"/>
  <c r="FO339" i="15"/>
  <c r="FP339" i="15"/>
  <c r="FQ339" i="15"/>
  <c r="FR339" i="15"/>
  <c r="FS339" i="15"/>
  <c r="FT339" i="15"/>
  <c r="FU339" i="15"/>
  <c r="FV339" i="15"/>
  <c r="FW339" i="15"/>
  <c r="FX339" i="15"/>
  <c r="FY339" i="15"/>
  <c r="FZ339" i="15"/>
  <c r="GA339" i="15"/>
  <c r="GB339" i="15"/>
  <c r="GC339" i="15"/>
  <c r="GD339" i="15"/>
  <c r="GE339" i="15"/>
  <c r="GF339" i="15"/>
  <c r="GG339" i="15"/>
  <c r="GH339" i="15"/>
  <c r="GI339" i="15"/>
  <c r="GJ339" i="15"/>
  <c r="GK339" i="15"/>
  <c r="GL339" i="15"/>
  <c r="GM339" i="15"/>
  <c r="GN339" i="15"/>
  <c r="GO339" i="15"/>
  <c r="GP339" i="15"/>
  <c r="GQ339" i="15"/>
  <c r="GR339" i="15"/>
  <c r="GS339" i="15"/>
  <c r="GT339" i="15"/>
  <c r="GU339" i="15"/>
  <c r="GV339" i="15"/>
  <c r="GW339" i="15"/>
  <c r="GX339" i="15"/>
  <c r="GY339" i="15"/>
  <c r="GZ339" i="15"/>
  <c r="HA339" i="15"/>
  <c r="HB339" i="15"/>
  <c r="HC339" i="15"/>
  <c r="HD339" i="15"/>
  <c r="HE339" i="15"/>
  <c r="HF339" i="15"/>
  <c r="HG339" i="15"/>
  <c r="HH339" i="15"/>
  <c r="B340" i="15"/>
  <c r="C340" i="15"/>
  <c r="D340" i="15"/>
  <c r="E340" i="15"/>
  <c r="F340" i="15"/>
  <c r="G340" i="15"/>
  <c r="H340" i="15"/>
  <c r="I340" i="15"/>
  <c r="J340" i="15"/>
  <c r="K340" i="15"/>
  <c r="L340" i="15"/>
  <c r="M340" i="15"/>
  <c r="N340" i="15"/>
  <c r="O340" i="15"/>
  <c r="P340" i="15"/>
  <c r="Q340" i="15"/>
  <c r="R340" i="15"/>
  <c r="S340" i="15"/>
  <c r="T340" i="15"/>
  <c r="U340" i="15"/>
  <c r="V340" i="15"/>
  <c r="W340" i="15"/>
  <c r="X340" i="15"/>
  <c r="Y340" i="15"/>
  <c r="Z340" i="15"/>
  <c r="AA340" i="15"/>
  <c r="AB340" i="15"/>
  <c r="AC340" i="15"/>
  <c r="AD340" i="15"/>
  <c r="AE340" i="15"/>
  <c r="AF340" i="15"/>
  <c r="AG340" i="15"/>
  <c r="AH340" i="15"/>
  <c r="AI340" i="15"/>
  <c r="AJ340" i="15"/>
  <c r="AK340" i="15"/>
  <c r="AL340" i="15"/>
  <c r="AM340" i="15"/>
  <c r="AN340" i="15"/>
  <c r="AO340" i="15"/>
  <c r="AP340" i="15"/>
  <c r="AQ340" i="15"/>
  <c r="AR340" i="15"/>
  <c r="AS340" i="15"/>
  <c r="AT340" i="15"/>
  <c r="AU340" i="15"/>
  <c r="AV340" i="15"/>
  <c r="AW340" i="15"/>
  <c r="AX340" i="15"/>
  <c r="AY340" i="15"/>
  <c r="AZ340" i="15"/>
  <c r="BA340" i="15"/>
  <c r="BB340" i="15"/>
  <c r="BC340" i="15"/>
  <c r="BD340" i="15"/>
  <c r="BE340" i="15"/>
  <c r="BF340" i="15"/>
  <c r="BG340" i="15"/>
  <c r="BH340" i="15"/>
  <c r="BI340" i="15"/>
  <c r="BJ340" i="15"/>
  <c r="BK340" i="15"/>
  <c r="BL340" i="15"/>
  <c r="BM340" i="15"/>
  <c r="BN340" i="15"/>
  <c r="BO340" i="15"/>
  <c r="BP340" i="15"/>
  <c r="BQ340" i="15"/>
  <c r="BR340" i="15"/>
  <c r="BS340" i="15"/>
  <c r="BT340" i="15"/>
  <c r="BU340" i="15"/>
  <c r="BV340" i="15"/>
  <c r="BW340" i="15"/>
  <c r="BX340" i="15"/>
  <c r="BY340" i="15"/>
  <c r="BZ340" i="15"/>
  <c r="CA340" i="15"/>
  <c r="CB340" i="15"/>
  <c r="CC340" i="15"/>
  <c r="CD340" i="15"/>
  <c r="CE340" i="15"/>
  <c r="CF340" i="15"/>
  <c r="CG340" i="15"/>
  <c r="CH340" i="15"/>
  <c r="CI340" i="15"/>
  <c r="CJ340" i="15"/>
  <c r="CK340" i="15"/>
  <c r="CL340" i="15"/>
  <c r="CM340" i="15"/>
  <c r="CN340" i="15"/>
  <c r="CO340" i="15"/>
  <c r="CP340" i="15"/>
  <c r="CQ340" i="15"/>
  <c r="CR340" i="15"/>
  <c r="CS340" i="15"/>
  <c r="CT340" i="15"/>
  <c r="CU340" i="15"/>
  <c r="CV340" i="15"/>
  <c r="CW340" i="15"/>
  <c r="CX340" i="15"/>
  <c r="CY340" i="15"/>
  <c r="CZ340" i="15"/>
  <c r="DA340" i="15"/>
  <c r="DB340" i="15"/>
  <c r="DC340" i="15"/>
  <c r="DD340" i="15"/>
  <c r="DE340" i="15"/>
  <c r="DF340" i="15"/>
  <c r="DG340" i="15"/>
  <c r="DH340" i="15"/>
  <c r="DI340" i="15"/>
  <c r="DJ340" i="15"/>
  <c r="DK340" i="15"/>
  <c r="DL340" i="15"/>
  <c r="DM340" i="15"/>
  <c r="DN340" i="15"/>
  <c r="DO340" i="15"/>
  <c r="DP340" i="15"/>
  <c r="DQ340" i="15"/>
  <c r="DR340" i="15"/>
  <c r="DS340" i="15"/>
  <c r="DT340" i="15"/>
  <c r="DU340" i="15"/>
  <c r="DV340" i="15"/>
  <c r="DW340" i="15"/>
  <c r="DX340" i="15"/>
  <c r="DY340" i="15"/>
  <c r="DZ340" i="15"/>
  <c r="EA340" i="15"/>
  <c r="EB340" i="15"/>
  <c r="EC340" i="15"/>
  <c r="ED340" i="15"/>
  <c r="EE340" i="15"/>
  <c r="EF340" i="15"/>
  <c r="EG340" i="15"/>
  <c r="EH340" i="15"/>
  <c r="EI340" i="15"/>
  <c r="EJ340" i="15"/>
  <c r="EK340" i="15"/>
  <c r="EL340" i="15"/>
  <c r="EM340" i="15"/>
  <c r="EN340" i="15"/>
  <c r="EO340" i="15"/>
  <c r="EP340" i="15"/>
  <c r="EQ340" i="15"/>
  <c r="ER340" i="15"/>
  <c r="ES340" i="15"/>
  <c r="ET340" i="15"/>
  <c r="EU340" i="15"/>
  <c r="EV340" i="15"/>
  <c r="EW340" i="15"/>
  <c r="EX340" i="15"/>
  <c r="EY340" i="15"/>
  <c r="EZ340" i="15"/>
  <c r="FA340" i="15"/>
  <c r="FB340" i="15"/>
  <c r="FC340" i="15"/>
  <c r="FD340" i="15"/>
  <c r="FE340" i="15"/>
  <c r="FF340" i="15"/>
  <c r="FG340" i="15"/>
  <c r="FH340" i="15"/>
  <c r="FI340" i="15"/>
  <c r="FJ340" i="15"/>
  <c r="FK340" i="15"/>
  <c r="FL340" i="15"/>
  <c r="FM340" i="15"/>
  <c r="FN340" i="15"/>
  <c r="FO340" i="15"/>
  <c r="FP340" i="15"/>
  <c r="FQ340" i="15"/>
  <c r="FR340" i="15"/>
  <c r="FS340" i="15"/>
  <c r="FT340" i="15"/>
  <c r="FU340" i="15"/>
  <c r="FV340" i="15"/>
  <c r="FW340" i="15"/>
  <c r="FX340" i="15"/>
  <c r="FY340" i="15"/>
  <c r="FZ340" i="15"/>
  <c r="GA340" i="15"/>
  <c r="GB340" i="15"/>
  <c r="GC340" i="15"/>
  <c r="GD340" i="15"/>
  <c r="GE340" i="15"/>
  <c r="GF340" i="15"/>
  <c r="GG340" i="15"/>
  <c r="GH340" i="15"/>
  <c r="GI340" i="15"/>
  <c r="GJ340" i="15"/>
  <c r="GK340" i="15"/>
  <c r="GL340" i="15"/>
  <c r="GM340" i="15"/>
  <c r="GN340" i="15"/>
  <c r="GO340" i="15"/>
  <c r="GP340" i="15"/>
  <c r="GQ340" i="15"/>
  <c r="GR340" i="15"/>
  <c r="GS340" i="15"/>
  <c r="GT340" i="15"/>
  <c r="GU340" i="15"/>
  <c r="GV340" i="15"/>
  <c r="GW340" i="15"/>
  <c r="GX340" i="15"/>
  <c r="GY340" i="15"/>
  <c r="GZ340" i="15"/>
  <c r="HA340" i="15"/>
  <c r="HB340" i="15"/>
  <c r="HC340" i="15"/>
  <c r="HD340" i="15"/>
  <c r="HE340" i="15"/>
  <c r="HF340" i="15"/>
  <c r="HG340" i="15"/>
  <c r="HH340" i="15"/>
  <c r="B341" i="15"/>
  <c r="C341" i="15"/>
  <c r="D341" i="15"/>
  <c r="E341" i="15"/>
  <c r="F341" i="15"/>
  <c r="G341" i="15"/>
  <c r="H341" i="15"/>
  <c r="I341" i="15"/>
  <c r="J341" i="15"/>
  <c r="K341" i="15"/>
  <c r="L341" i="15"/>
  <c r="M341" i="15"/>
  <c r="N341" i="15"/>
  <c r="O341" i="15"/>
  <c r="P341" i="15"/>
  <c r="Q341" i="15"/>
  <c r="R341" i="15"/>
  <c r="S341" i="15"/>
  <c r="T341" i="15"/>
  <c r="U341" i="15"/>
  <c r="V341" i="15"/>
  <c r="W341" i="15"/>
  <c r="X341" i="15"/>
  <c r="Y341" i="15"/>
  <c r="Z341" i="15"/>
  <c r="AA341" i="15"/>
  <c r="AB341" i="15"/>
  <c r="AC341" i="15"/>
  <c r="AD341" i="15"/>
  <c r="AE341" i="15"/>
  <c r="AF341" i="15"/>
  <c r="AG341" i="15"/>
  <c r="AH341" i="15"/>
  <c r="AI341" i="15"/>
  <c r="AJ341" i="15"/>
  <c r="AK341" i="15"/>
  <c r="AL341" i="15"/>
  <c r="AM341" i="15"/>
  <c r="AN341" i="15"/>
  <c r="AO341" i="15"/>
  <c r="AP341" i="15"/>
  <c r="AQ341" i="15"/>
  <c r="AR341" i="15"/>
  <c r="AS341" i="15"/>
  <c r="AT341" i="15"/>
  <c r="AU341" i="15"/>
  <c r="AV341" i="15"/>
  <c r="AW341" i="15"/>
  <c r="AX341" i="15"/>
  <c r="AY341" i="15"/>
  <c r="AZ341" i="15"/>
  <c r="BA341" i="15"/>
  <c r="BB341" i="15"/>
  <c r="BC341" i="15"/>
  <c r="BD341" i="15"/>
  <c r="BE341" i="15"/>
  <c r="BF341" i="15"/>
  <c r="BG341" i="15"/>
  <c r="BH341" i="15"/>
  <c r="BI341" i="15"/>
  <c r="BJ341" i="15"/>
  <c r="BK341" i="15"/>
  <c r="BL341" i="15"/>
  <c r="BM341" i="15"/>
  <c r="BN341" i="15"/>
  <c r="BO341" i="15"/>
  <c r="BP341" i="15"/>
  <c r="BQ341" i="15"/>
  <c r="BR341" i="15"/>
  <c r="BS341" i="15"/>
  <c r="BT341" i="15"/>
  <c r="BU341" i="15"/>
  <c r="BV341" i="15"/>
  <c r="BW341" i="15"/>
  <c r="BX341" i="15"/>
  <c r="BY341" i="15"/>
  <c r="BZ341" i="15"/>
  <c r="CA341" i="15"/>
  <c r="CB341" i="15"/>
  <c r="CC341" i="15"/>
  <c r="CD341" i="15"/>
  <c r="CE341" i="15"/>
  <c r="CF341" i="15"/>
  <c r="CG341" i="15"/>
  <c r="CH341" i="15"/>
  <c r="CI341" i="15"/>
  <c r="CJ341" i="15"/>
  <c r="CK341" i="15"/>
  <c r="CL341" i="15"/>
  <c r="CM341" i="15"/>
  <c r="CN341" i="15"/>
  <c r="CO341" i="15"/>
  <c r="CP341" i="15"/>
  <c r="CQ341" i="15"/>
  <c r="CR341" i="15"/>
  <c r="CS341" i="15"/>
  <c r="CT341" i="15"/>
  <c r="CU341" i="15"/>
  <c r="CV341" i="15"/>
  <c r="CW341" i="15"/>
  <c r="CX341" i="15"/>
  <c r="CY341" i="15"/>
  <c r="CZ341" i="15"/>
  <c r="DA341" i="15"/>
  <c r="DB341" i="15"/>
  <c r="DC341" i="15"/>
  <c r="DD341" i="15"/>
  <c r="DE341" i="15"/>
  <c r="DF341" i="15"/>
  <c r="DG341" i="15"/>
  <c r="DH341" i="15"/>
  <c r="DI341" i="15"/>
  <c r="DJ341" i="15"/>
  <c r="DK341" i="15"/>
  <c r="DL341" i="15"/>
  <c r="DM341" i="15"/>
  <c r="DN341" i="15"/>
  <c r="DO341" i="15"/>
  <c r="DP341" i="15"/>
  <c r="DQ341" i="15"/>
  <c r="DR341" i="15"/>
  <c r="DS341" i="15"/>
  <c r="DT341" i="15"/>
  <c r="DU341" i="15"/>
  <c r="DV341" i="15"/>
  <c r="DW341" i="15"/>
  <c r="DX341" i="15"/>
  <c r="DY341" i="15"/>
  <c r="DZ341" i="15"/>
  <c r="EA341" i="15"/>
  <c r="EB341" i="15"/>
  <c r="EC341" i="15"/>
  <c r="ED341" i="15"/>
  <c r="EE341" i="15"/>
  <c r="EF341" i="15"/>
  <c r="EG341" i="15"/>
  <c r="EH341" i="15"/>
  <c r="EI341" i="15"/>
  <c r="EJ341" i="15"/>
  <c r="EK341" i="15"/>
  <c r="EL341" i="15"/>
  <c r="EM341" i="15"/>
  <c r="EN341" i="15"/>
  <c r="EO341" i="15"/>
  <c r="EP341" i="15"/>
  <c r="EQ341" i="15"/>
  <c r="ER341" i="15"/>
  <c r="ES341" i="15"/>
  <c r="ET341" i="15"/>
  <c r="EU341" i="15"/>
  <c r="EV341" i="15"/>
  <c r="EW341" i="15"/>
  <c r="EX341" i="15"/>
  <c r="EY341" i="15"/>
  <c r="EZ341" i="15"/>
  <c r="FA341" i="15"/>
  <c r="FB341" i="15"/>
  <c r="FC341" i="15"/>
  <c r="FD341" i="15"/>
  <c r="FE341" i="15"/>
  <c r="FF341" i="15"/>
  <c r="FG341" i="15"/>
  <c r="FH341" i="15"/>
  <c r="FI341" i="15"/>
  <c r="FJ341" i="15"/>
  <c r="FK341" i="15"/>
  <c r="FL341" i="15"/>
  <c r="FM341" i="15"/>
  <c r="FN341" i="15"/>
  <c r="FO341" i="15"/>
  <c r="FP341" i="15"/>
  <c r="FQ341" i="15"/>
  <c r="FR341" i="15"/>
  <c r="FS341" i="15"/>
  <c r="FT341" i="15"/>
  <c r="FU341" i="15"/>
  <c r="FV341" i="15"/>
  <c r="FW341" i="15"/>
  <c r="FX341" i="15"/>
  <c r="FY341" i="15"/>
  <c r="FZ341" i="15"/>
  <c r="GA341" i="15"/>
  <c r="GB341" i="15"/>
  <c r="GC341" i="15"/>
  <c r="GD341" i="15"/>
  <c r="GE341" i="15"/>
  <c r="GF341" i="15"/>
  <c r="GG341" i="15"/>
  <c r="GH341" i="15"/>
  <c r="GI341" i="15"/>
  <c r="GJ341" i="15"/>
  <c r="GK341" i="15"/>
  <c r="GL341" i="15"/>
  <c r="GM341" i="15"/>
  <c r="GN341" i="15"/>
  <c r="GO341" i="15"/>
  <c r="GP341" i="15"/>
  <c r="GQ341" i="15"/>
  <c r="GR341" i="15"/>
  <c r="GS341" i="15"/>
  <c r="GT341" i="15"/>
  <c r="GU341" i="15"/>
  <c r="GV341" i="15"/>
  <c r="GW341" i="15"/>
  <c r="GX341" i="15"/>
  <c r="GY341" i="15"/>
  <c r="GZ341" i="15"/>
  <c r="HA341" i="15"/>
  <c r="HB341" i="15"/>
  <c r="HC341" i="15"/>
  <c r="HD341" i="15"/>
  <c r="HE341" i="15"/>
  <c r="HF341" i="15"/>
  <c r="HG341" i="15"/>
  <c r="HH341" i="15"/>
  <c r="B342" i="15"/>
  <c r="C342" i="15"/>
  <c r="D342" i="15"/>
  <c r="E342" i="15"/>
  <c r="F342" i="15"/>
  <c r="G342" i="15"/>
  <c r="H342" i="15"/>
  <c r="I342" i="15"/>
  <c r="J342" i="15"/>
  <c r="K342" i="15"/>
  <c r="L342" i="15"/>
  <c r="M342" i="15"/>
  <c r="N342" i="15"/>
  <c r="O342" i="15"/>
  <c r="P342" i="15"/>
  <c r="Q342" i="15"/>
  <c r="R342" i="15"/>
  <c r="S342" i="15"/>
  <c r="T342" i="15"/>
  <c r="U342" i="15"/>
  <c r="V342" i="15"/>
  <c r="W342" i="15"/>
  <c r="X342" i="15"/>
  <c r="Y342" i="15"/>
  <c r="Z342" i="15"/>
  <c r="AA342" i="15"/>
  <c r="AB342" i="15"/>
  <c r="AC342" i="15"/>
  <c r="AD342" i="15"/>
  <c r="AE342" i="15"/>
  <c r="AF342" i="15"/>
  <c r="AG342" i="15"/>
  <c r="AH342" i="15"/>
  <c r="AI342" i="15"/>
  <c r="AJ342" i="15"/>
  <c r="AK342" i="15"/>
  <c r="AL342" i="15"/>
  <c r="AM342" i="15"/>
  <c r="AN342" i="15"/>
  <c r="AO342" i="15"/>
  <c r="AP342" i="15"/>
  <c r="AQ342" i="15"/>
  <c r="AR342" i="15"/>
  <c r="AS342" i="15"/>
  <c r="AT342" i="15"/>
  <c r="AU342" i="15"/>
  <c r="AV342" i="15"/>
  <c r="AW342" i="15"/>
  <c r="AX342" i="15"/>
  <c r="AY342" i="15"/>
  <c r="AZ342" i="15"/>
  <c r="BA342" i="15"/>
  <c r="BB342" i="15"/>
  <c r="BC342" i="15"/>
  <c r="BD342" i="15"/>
  <c r="BE342" i="15"/>
  <c r="BF342" i="15"/>
  <c r="BG342" i="15"/>
  <c r="BH342" i="15"/>
  <c r="BI342" i="15"/>
  <c r="BJ342" i="15"/>
  <c r="BK342" i="15"/>
  <c r="BL342" i="15"/>
  <c r="BM342" i="15"/>
  <c r="BN342" i="15"/>
  <c r="BO342" i="15"/>
  <c r="BP342" i="15"/>
  <c r="BQ342" i="15"/>
  <c r="BR342" i="15"/>
  <c r="BS342" i="15"/>
  <c r="BT342" i="15"/>
  <c r="BU342" i="15"/>
  <c r="BV342" i="15"/>
  <c r="BW342" i="15"/>
  <c r="BX342" i="15"/>
  <c r="BY342" i="15"/>
  <c r="BZ342" i="15"/>
  <c r="CA342" i="15"/>
  <c r="CB342" i="15"/>
  <c r="CC342" i="15"/>
  <c r="CD342" i="15"/>
  <c r="CE342" i="15"/>
  <c r="CF342" i="15"/>
  <c r="CG342" i="15"/>
  <c r="CH342" i="15"/>
  <c r="CI342" i="15"/>
  <c r="CJ342" i="15"/>
  <c r="CK342" i="15"/>
  <c r="CL342" i="15"/>
  <c r="CM342" i="15"/>
  <c r="CN342" i="15"/>
  <c r="CO342" i="15"/>
  <c r="CP342" i="15"/>
  <c r="CQ342" i="15"/>
  <c r="CR342" i="15"/>
  <c r="CS342" i="15"/>
  <c r="CT342" i="15"/>
  <c r="CU342" i="15"/>
  <c r="CV342" i="15"/>
  <c r="CW342" i="15"/>
  <c r="CX342" i="15"/>
  <c r="CY342" i="15"/>
  <c r="CZ342" i="15"/>
  <c r="DA342" i="15"/>
  <c r="DB342" i="15"/>
  <c r="DC342" i="15"/>
  <c r="DD342" i="15"/>
  <c r="DE342" i="15"/>
  <c r="DF342" i="15"/>
  <c r="DG342" i="15"/>
  <c r="DH342" i="15"/>
  <c r="DI342" i="15"/>
  <c r="DJ342" i="15"/>
  <c r="DK342" i="15"/>
  <c r="DL342" i="15"/>
  <c r="DM342" i="15"/>
  <c r="DN342" i="15"/>
  <c r="DO342" i="15"/>
  <c r="DP342" i="15"/>
  <c r="DQ342" i="15"/>
  <c r="DR342" i="15"/>
  <c r="DS342" i="15"/>
  <c r="DT342" i="15"/>
  <c r="DU342" i="15"/>
  <c r="DV342" i="15"/>
  <c r="DW342" i="15"/>
  <c r="DX342" i="15"/>
  <c r="DY342" i="15"/>
  <c r="DZ342" i="15"/>
  <c r="EA342" i="15"/>
  <c r="EB342" i="15"/>
  <c r="EC342" i="15"/>
  <c r="ED342" i="15"/>
  <c r="EE342" i="15"/>
  <c r="EF342" i="15"/>
  <c r="EG342" i="15"/>
  <c r="EH342" i="15"/>
  <c r="EI342" i="15"/>
  <c r="EJ342" i="15"/>
  <c r="EK342" i="15"/>
  <c r="EL342" i="15"/>
  <c r="EM342" i="15"/>
  <c r="EN342" i="15"/>
  <c r="EO342" i="15"/>
  <c r="EP342" i="15"/>
  <c r="EQ342" i="15"/>
  <c r="ER342" i="15"/>
  <c r="ES342" i="15"/>
  <c r="ET342" i="15"/>
  <c r="EU342" i="15"/>
  <c r="EV342" i="15"/>
  <c r="EW342" i="15"/>
  <c r="EX342" i="15"/>
  <c r="EY342" i="15"/>
  <c r="EZ342" i="15"/>
  <c r="FA342" i="15"/>
  <c r="FB342" i="15"/>
  <c r="FC342" i="15"/>
  <c r="FD342" i="15"/>
  <c r="FE342" i="15"/>
  <c r="FF342" i="15"/>
  <c r="FG342" i="15"/>
  <c r="FH342" i="15"/>
  <c r="FI342" i="15"/>
  <c r="FJ342" i="15"/>
  <c r="FK342" i="15"/>
  <c r="FL342" i="15"/>
  <c r="FM342" i="15"/>
  <c r="FN342" i="15"/>
  <c r="FO342" i="15"/>
  <c r="FP342" i="15"/>
  <c r="FQ342" i="15"/>
  <c r="FR342" i="15"/>
  <c r="FS342" i="15"/>
  <c r="FT342" i="15"/>
  <c r="FU342" i="15"/>
  <c r="FV342" i="15"/>
  <c r="FW342" i="15"/>
  <c r="FX342" i="15"/>
  <c r="FY342" i="15"/>
  <c r="FZ342" i="15"/>
  <c r="GA342" i="15"/>
  <c r="GB342" i="15"/>
  <c r="GC342" i="15"/>
  <c r="GD342" i="15"/>
  <c r="GE342" i="15"/>
  <c r="GF342" i="15"/>
  <c r="GG342" i="15"/>
  <c r="GH342" i="15"/>
  <c r="GI342" i="15"/>
  <c r="GJ342" i="15"/>
  <c r="GK342" i="15"/>
  <c r="GL342" i="15"/>
  <c r="GM342" i="15"/>
  <c r="GN342" i="15"/>
  <c r="GO342" i="15"/>
  <c r="GP342" i="15"/>
  <c r="GQ342" i="15"/>
  <c r="GR342" i="15"/>
  <c r="GS342" i="15"/>
  <c r="GT342" i="15"/>
  <c r="GU342" i="15"/>
  <c r="GV342" i="15"/>
  <c r="GW342" i="15"/>
  <c r="GX342" i="15"/>
  <c r="GY342" i="15"/>
  <c r="GZ342" i="15"/>
  <c r="HA342" i="15"/>
  <c r="HB342" i="15"/>
  <c r="HC342" i="15"/>
  <c r="HD342" i="15"/>
  <c r="HE342" i="15"/>
  <c r="HF342" i="15"/>
  <c r="HG342" i="15"/>
  <c r="HH342" i="15"/>
  <c r="B343" i="15"/>
  <c r="C343" i="15"/>
  <c r="D343" i="15"/>
  <c r="E343" i="15"/>
  <c r="F343" i="15"/>
  <c r="G343" i="15"/>
  <c r="H343" i="15"/>
  <c r="I343" i="15"/>
  <c r="J343" i="15"/>
  <c r="K343" i="15"/>
  <c r="L343" i="15"/>
  <c r="M343" i="15"/>
  <c r="N343" i="15"/>
  <c r="O343" i="15"/>
  <c r="P343" i="15"/>
  <c r="Q343" i="15"/>
  <c r="R343" i="15"/>
  <c r="S343" i="15"/>
  <c r="T343" i="15"/>
  <c r="U343" i="15"/>
  <c r="V343" i="15"/>
  <c r="W343" i="15"/>
  <c r="X343" i="15"/>
  <c r="Y343" i="15"/>
  <c r="Z343" i="15"/>
  <c r="AA343" i="15"/>
  <c r="AB343" i="15"/>
  <c r="AC343" i="15"/>
  <c r="AD343" i="15"/>
  <c r="AE343" i="15"/>
  <c r="AF343" i="15"/>
  <c r="AG343" i="15"/>
  <c r="AH343" i="15"/>
  <c r="AI343" i="15"/>
  <c r="AJ343" i="15"/>
  <c r="AK343" i="15"/>
  <c r="AL343" i="15"/>
  <c r="AM343" i="15"/>
  <c r="AN343" i="15"/>
  <c r="AO343" i="15"/>
  <c r="AP343" i="15"/>
  <c r="AQ343" i="15"/>
  <c r="AR343" i="15"/>
  <c r="AS343" i="15"/>
  <c r="AT343" i="15"/>
  <c r="AU343" i="15"/>
  <c r="AV343" i="15"/>
  <c r="AW343" i="15"/>
  <c r="AX343" i="15"/>
  <c r="AY343" i="15"/>
  <c r="AZ343" i="15"/>
  <c r="BA343" i="15"/>
  <c r="BB343" i="15"/>
  <c r="BC343" i="15"/>
  <c r="BD343" i="15"/>
  <c r="BE343" i="15"/>
  <c r="BF343" i="15"/>
  <c r="BG343" i="15"/>
  <c r="BH343" i="15"/>
  <c r="BI343" i="15"/>
  <c r="BJ343" i="15"/>
  <c r="BK343" i="15"/>
  <c r="BL343" i="15"/>
  <c r="BM343" i="15"/>
  <c r="BN343" i="15"/>
  <c r="BO343" i="15"/>
  <c r="BP343" i="15"/>
  <c r="BQ343" i="15"/>
  <c r="BR343" i="15"/>
  <c r="BS343" i="15"/>
  <c r="BT343" i="15"/>
  <c r="BU343" i="15"/>
  <c r="BV343" i="15"/>
  <c r="BW343" i="15"/>
  <c r="BX343" i="15"/>
  <c r="BY343" i="15"/>
  <c r="BZ343" i="15"/>
  <c r="CA343" i="15"/>
  <c r="CB343" i="15"/>
  <c r="CC343" i="15"/>
  <c r="CD343" i="15"/>
  <c r="CE343" i="15"/>
  <c r="CF343" i="15"/>
  <c r="CG343" i="15"/>
  <c r="CH343" i="15"/>
  <c r="CI343" i="15"/>
  <c r="CJ343" i="15"/>
  <c r="CK343" i="15"/>
  <c r="CL343" i="15"/>
  <c r="CM343" i="15"/>
  <c r="CN343" i="15"/>
  <c r="CO343" i="15"/>
  <c r="CP343" i="15"/>
  <c r="CQ343" i="15"/>
  <c r="CR343" i="15"/>
  <c r="CS343" i="15"/>
  <c r="CT343" i="15"/>
  <c r="CU343" i="15"/>
  <c r="CV343" i="15"/>
  <c r="CW343" i="15"/>
  <c r="CX343" i="15"/>
  <c r="CY343" i="15"/>
  <c r="CZ343" i="15"/>
  <c r="DA343" i="15"/>
  <c r="DB343" i="15"/>
  <c r="DC343" i="15"/>
  <c r="DD343" i="15"/>
  <c r="DE343" i="15"/>
  <c r="DF343" i="15"/>
  <c r="DG343" i="15"/>
  <c r="DH343" i="15"/>
  <c r="DI343" i="15"/>
  <c r="DJ343" i="15"/>
  <c r="DK343" i="15"/>
  <c r="DL343" i="15"/>
  <c r="DM343" i="15"/>
  <c r="DN343" i="15"/>
  <c r="DO343" i="15"/>
  <c r="DP343" i="15"/>
  <c r="DQ343" i="15"/>
  <c r="DR343" i="15"/>
  <c r="DS343" i="15"/>
  <c r="DT343" i="15"/>
  <c r="DU343" i="15"/>
  <c r="DV343" i="15"/>
  <c r="DW343" i="15"/>
  <c r="DX343" i="15"/>
  <c r="DY343" i="15"/>
  <c r="DZ343" i="15"/>
  <c r="EA343" i="15"/>
  <c r="EB343" i="15"/>
  <c r="EC343" i="15"/>
  <c r="ED343" i="15"/>
  <c r="EE343" i="15"/>
  <c r="EF343" i="15"/>
  <c r="EG343" i="15"/>
  <c r="EH343" i="15"/>
  <c r="EI343" i="15"/>
  <c r="EJ343" i="15"/>
  <c r="EK343" i="15"/>
  <c r="EL343" i="15"/>
  <c r="EM343" i="15"/>
  <c r="EN343" i="15"/>
  <c r="EO343" i="15"/>
  <c r="EP343" i="15"/>
  <c r="EQ343" i="15"/>
  <c r="ER343" i="15"/>
  <c r="ES343" i="15"/>
  <c r="ET343" i="15"/>
  <c r="EU343" i="15"/>
  <c r="EV343" i="15"/>
  <c r="EW343" i="15"/>
  <c r="EX343" i="15"/>
  <c r="EY343" i="15"/>
  <c r="EZ343" i="15"/>
  <c r="FA343" i="15"/>
  <c r="FB343" i="15"/>
  <c r="FC343" i="15"/>
  <c r="FD343" i="15"/>
  <c r="FE343" i="15"/>
  <c r="FF343" i="15"/>
  <c r="FG343" i="15"/>
  <c r="FH343" i="15"/>
  <c r="FI343" i="15"/>
  <c r="FJ343" i="15"/>
  <c r="FK343" i="15"/>
  <c r="FL343" i="15"/>
  <c r="FM343" i="15"/>
  <c r="FN343" i="15"/>
  <c r="FO343" i="15"/>
  <c r="FP343" i="15"/>
  <c r="FQ343" i="15"/>
  <c r="FR343" i="15"/>
  <c r="FS343" i="15"/>
  <c r="FT343" i="15"/>
  <c r="FU343" i="15"/>
  <c r="FV343" i="15"/>
  <c r="FW343" i="15"/>
  <c r="FX343" i="15"/>
  <c r="FY343" i="15"/>
  <c r="FZ343" i="15"/>
  <c r="GA343" i="15"/>
  <c r="GB343" i="15"/>
  <c r="GC343" i="15"/>
  <c r="GD343" i="15"/>
  <c r="GE343" i="15"/>
  <c r="GF343" i="15"/>
  <c r="GG343" i="15"/>
  <c r="GH343" i="15"/>
  <c r="GI343" i="15"/>
  <c r="GJ343" i="15"/>
  <c r="GK343" i="15"/>
  <c r="GL343" i="15"/>
  <c r="GM343" i="15"/>
  <c r="GN343" i="15"/>
  <c r="GO343" i="15"/>
  <c r="GP343" i="15"/>
  <c r="GQ343" i="15"/>
  <c r="GR343" i="15"/>
  <c r="GS343" i="15"/>
  <c r="GT343" i="15"/>
  <c r="GU343" i="15"/>
  <c r="GV343" i="15"/>
  <c r="GW343" i="15"/>
  <c r="GX343" i="15"/>
  <c r="GY343" i="15"/>
  <c r="GZ343" i="15"/>
  <c r="HA343" i="15"/>
  <c r="HB343" i="15"/>
  <c r="HC343" i="15"/>
  <c r="HD343" i="15"/>
  <c r="HE343" i="15"/>
  <c r="HF343" i="15"/>
  <c r="HG343" i="15"/>
  <c r="HH343" i="15"/>
  <c r="B344" i="15"/>
  <c r="C344" i="15"/>
  <c r="D344" i="15"/>
  <c r="E344" i="15"/>
  <c r="F344" i="15"/>
  <c r="G344" i="15"/>
  <c r="H344" i="15"/>
  <c r="I344" i="15"/>
  <c r="J344" i="15"/>
  <c r="K344" i="15"/>
  <c r="L344" i="15"/>
  <c r="M344" i="15"/>
  <c r="N344" i="15"/>
  <c r="O344" i="15"/>
  <c r="P344" i="15"/>
  <c r="Q344" i="15"/>
  <c r="R344" i="15"/>
  <c r="S344" i="15"/>
  <c r="T344" i="15"/>
  <c r="U344" i="15"/>
  <c r="V344" i="15"/>
  <c r="W344" i="15"/>
  <c r="X344" i="15"/>
  <c r="Y344" i="15"/>
  <c r="Z344" i="15"/>
  <c r="AA344" i="15"/>
  <c r="AB344" i="15"/>
  <c r="AC344" i="15"/>
  <c r="AD344" i="15"/>
  <c r="AE344" i="15"/>
  <c r="AF344" i="15"/>
  <c r="AG344" i="15"/>
  <c r="AH344" i="15"/>
  <c r="AI344" i="15"/>
  <c r="AJ344" i="15"/>
  <c r="AK344" i="15"/>
  <c r="AL344" i="15"/>
  <c r="AM344" i="15"/>
  <c r="AN344" i="15"/>
  <c r="AO344" i="15"/>
  <c r="AP344" i="15"/>
  <c r="AQ344" i="15"/>
  <c r="AR344" i="15"/>
  <c r="AS344" i="15"/>
  <c r="AT344" i="15"/>
  <c r="AU344" i="15"/>
  <c r="AV344" i="15"/>
  <c r="AW344" i="15"/>
  <c r="AX344" i="15"/>
  <c r="AY344" i="15"/>
  <c r="AZ344" i="15"/>
  <c r="BA344" i="15"/>
  <c r="BB344" i="15"/>
  <c r="BC344" i="15"/>
  <c r="BD344" i="15"/>
  <c r="BE344" i="15"/>
  <c r="BF344" i="15"/>
  <c r="BG344" i="15"/>
  <c r="BH344" i="15"/>
  <c r="BI344" i="15"/>
  <c r="BJ344" i="15"/>
  <c r="BK344" i="15"/>
  <c r="BL344" i="15"/>
  <c r="BM344" i="15"/>
  <c r="BN344" i="15"/>
  <c r="BO344" i="15"/>
  <c r="BP344" i="15"/>
  <c r="BQ344" i="15"/>
  <c r="BR344" i="15"/>
  <c r="BS344" i="15"/>
  <c r="BT344" i="15"/>
  <c r="BU344" i="15"/>
  <c r="BV344" i="15"/>
  <c r="BW344" i="15"/>
  <c r="BX344" i="15"/>
  <c r="BY344" i="15"/>
  <c r="BZ344" i="15"/>
  <c r="CA344" i="15"/>
  <c r="CB344" i="15"/>
  <c r="CC344" i="15"/>
  <c r="CD344" i="15"/>
  <c r="CE344" i="15"/>
  <c r="CF344" i="15"/>
  <c r="CG344" i="15"/>
  <c r="CH344" i="15"/>
  <c r="CI344" i="15"/>
  <c r="CJ344" i="15"/>
  <c r="CK344" i="15"/>
  <c r="CL344" i="15"/>
  <c r="CM344" i="15"/>
  <c r="CN344" i="15"/>
  <c r="CO344" i="15"/>
  <c r="CP344" i="15"/>
  <c r="CQ344" i="15"/>
  <c r="CR344" i="15"/>
  <c r="CS344" i="15"/>
  <c r="CT344" i="15"/>
  <c r="CU344" i="15"/>
  <c r="CV344" i="15"/>
  <c r="CW344" i="15"/>
  <c r="CX344" i="15"/>
  <c r="CY344" i="15"/>
  <c r="CZ344" i="15"/>
  <c r="DA344" i="15"/>
  <c r="DB344" i="15"/>
  <c r="DC344" i="15"/>
  <c r="DD344" i="15"/>
  <c r="DE344" i="15"/>
  <c r="DF344" i="15"/>
  <c r="DG344" i="15"/>
  <c r="DH344" i="15"/>
  <c r="DI344" i="15"/>
  <c r="DJ344" i="15"/>
  <c r="DK344" i="15"/>
  <c r="DL344" i="15"/>
  <c r="DM344" i="15"/>
  <c r="DN344" i="15"/>
  <c r="DO344" i="15"/>
  <c r="DP344" i="15"/>
  <c r="DQ344" i="15"/>
  <c r="DR344" i="15"/>
  <c r="DS344" i="15"/>
  <c r="DT344" i="15"/>
  <c r="DU344" i="15"/>
  <c r="DV344" i="15"/>
  <c r="DW344" i="15"/>
  <c r="DX344" i="15"/>
  <c r="DY344" i="15"/>
  <c r="DZ344" i="15"/>
  <c r="EA344" i="15"/>
  <c r="EB344" i="15"/>
  <c r="EC344" i="15"/>
  <c r="ED344" i="15"/>
  <c r="EE344" i="15"/>
  <c r="EF344" i="15"/>
  <c r="EG344" i="15"/>
  <c r="EH344" i="15"/>
  <c r="EI344" i="15"/>
  <c r="EJ344" i="15"/>
  <c r="EK344" i="15"/>
  <c r="EL344" i="15"/>
  <c r="EM344" i="15"/>
  <c r="EN344" i="15"/>
  <c r="EO344" i="15"/>
  <c r="EP344" i="15"/>
  <c r="EQ344" i="15"/>
  <c r="ER344" i="15"/>
  <c r="ES344" i="15"/>
  <c r="ET344" i="15"/>
  <c r="EU344" i="15"/>
  <c r="EV344" i="15"/>
  <c r="EW344" i="15"/>
  <c r="EX344" i="15"/>
  <c r="EY344" i="15"/>
  <c r="EZ344" i="15"/>
  <c r="FA344" i="15"/>
  <c r="FB344" i="15"/>
  <c r="FC344" i="15"/>
  <c r="FD344" i="15"/>
  <c r="FE344" i="15"/>
  <c r="FF344" i="15"/>
  <c r="FG344" i="15"/>
  <c r="FH344" i="15"/>
  <c r="FI344" i="15"/>
  <c r="FJ344" i="15"/>
  <c r="FK344" i="15"/>
  <c r="FL344" i="15"/>
  <c r="FM344" i="15"/>
  <c r="FN344" i="15"/>
  <c r="FO344" i="15"/>
  <c r="FP344" i="15"/>
  <c r="FQ344" i="15"/>
  <c r="FR344" i="15"/>
  <c r="FS344" i="15"/>
  <c r="FT344" i="15"/>
  <c r="FU344" i="15"/>
  <c r="FV344" i="15"/>
  <c r="FW344" i="15"/>
  <c r="FX344" i="15"/>
  <c r="FY344" i="15"/>
  <c r="FZ344" i="15"/>
  <c r="GA344" i="15"/>
  <c r="GB344" i="15"/>
  <c r="GC344" i="15"/>
  <c r="GD344" i="15"/>
  <c r="GE344" i="15"/>
  <c r="GF344" i="15"/>
  <c r="GG344" i="15"/>
  <c r="GH344" i="15"/>
  <c r="GI344" i="15"/>
  <c r="GJ344" i="15"/>
  <c r="GK344" i="15"/>
  <c r="GL344" i="15"/>
  <c r="GM344" i="15"/>
  <c r="GN344" i="15"/>
  <c r="GO344" i="15"/>
  <c r="GP344" i="15"/>
  <c r="GQ344" i="15"/>
  <c r="GR344" i="15"/>
  <c r="GS344" i="15"/>
  <c r="GT344" i="15"/>
  <c r="GU344" i="15"/>
  <c r="GV344" i="15"/>
  <c r="GW344" i="15"/>
  <c r="GX344" i="15"/>
  <c r="GY344" i="15"/>
  <c r="GZ344" i="15"/>
  <c r="HA344" i="15"/>
  <c r="HB344" i="15"/>
  <c r="HC344" i="15"/>
  <c r="HD344" i="15"/>
  <c r="HE344" i="15"/>
  <c r="HF344" i="15"/>
  <c r="HG344" i="15"/>
  <c r="HH344" i="15"/>
  <c r="B345" i="15"/>
  <c r="C345" i="15"/>
  <c r="D345" i="15"/>
  <c r="E345" i="15"/>
  <c r="F345" i="15"/>
  <c r="G345" i="15"/>
  <c r="H345" i="15"/>
  <c r="I345" i="15"/>
  <c r="J345" i="15"/>
  <c r="K345" i="15"/>
  <c r="L345" i="15"/>
  <c r="M345" i="15"/>
  <c r="N345" i="15"/>
  <c r="O345" i="15"/>
  <c r="P345" i="15"/>
  <c r="Q345" i="15"/>
  <c r="R345" i="15"/>
  <c r="S345" i="15"/>
  <c r="T345" i="15"/>
  <c r="U345" i="15"/>
  <c r="V345" i="15"/>
  <c r="W345" i="15"/>
  <c r="X345" i="15"/>
  <c r="Y345" i="15"/>
  <c r="Z345" i="15"/>
  <c r="AA345" i="15"/>
  <c r="AB345" i="15"/>
  <c r="AC345" i="15"/>
  <c r="AD345" i="15"/>
  <c r="AE345" i="15"/>
  <c r="AF345" i="15"/>
  <c r="AG345" i="15"/>
  <c r="AH345" i="15"/>
  <c r="AI345" i="15"/>
  <c r="AJ345" i="15"/>
  <c r="AK345" i="15"/>
  <c r="AL345" i="15"/>
  <c r="AM345" i="15"/>
  <c r="AN345" i="15"/>
  <c r="AO345" i="15"/>
  <c r="AP345" i="15"/>
  <c r="AQ345" i="15"/>
  <c r="AR345" i="15"/>
  <c r="AS345" i="15"/>
  <c r="AT345" i="15"/>
  <c r="AU345" i="15"/>
  <c r="AV345" i="15"/>
  <c r="AW345" i="15"/>
  <c r="AX345" i="15"/>
  <c r="AY345" i="15"/>
  <c r="AZ345" i="15"/>
  <c r="BA345" i="15"/>
  <c r="BB345" i="15"/>
  <c r="BC345" i="15"/>
  <c r="BD345" i="15"/>
  <c r="BE345" i="15"/>
  <c r="BF345" i="15"/>
  <c r="BG345" i="15"/>
  <c r="BH345" i="15"/>
  <c r="BI345" i="15"/>
  <c r="BJ345" i="15"/>
  <c r="BK345" i="15"/>
  <c r="BL345" i="15"/>
  <c r="BM345" i="15"/>
  <c r="BN345" i="15"/>
  <c r="BO345" i="15"/>
  <c r="BP345" i="15"/>
  <c r="BQ345" i="15"/>
  <c r="BR345" i="15"/>
  <c r="BS345" i="15"/>
  <c r="BT345" i="15"/>
  <c r="BU345" i="15"/>
  <c r="BV345" i="15"/>
  <c r="BW345" i="15"/>
  <c r="BX345" i="15"/>
  <c r="BY345" i="15"/>
  <c r="BZ345" i="15"/>
  <c r="CA345" i="15"/>
  <c r="CB345" i="15"/>
  <c r="CC345" i="15"/>
  <c r="CD345" i="15"/>
  <c r="CE345" i="15"/>
  <c r="CF345" i="15"/>
  <c r="CG345" i="15"/>
  <c r="CH345" i="15"/>
  <c r="CI345" i="15"/>
  <c r="CJ345" i="15"/>
  <c r="CK345" i="15"/>
  <c r="CL345" i="15"/>
  <c r="CM345" i="15"/>
  <c r="CN345" i="15"/>
  <c r="CO345" i="15"/>
  <c r="CP345" i="15"/>
  <c r="CQ345" i="15"/>
  <c r="CR345" i="15"/>
  <c r="CS345" i="15"/>
  <c r="CT345" i="15"/>
  <c r="CU345" i="15"/>
  <c r="CV345" i="15"/>
  <c r="CW345" i="15"/>
  <c r="CX345" i="15"/>
  <c r="CY345" i="15"/>
  <c r="CZ345" i="15"/>
  <c r="DA345" i="15"/>
  <c r="DB345" i="15"/>
  <c r="DC345" i="15"/>
  <c r="DD345" i="15"/>
  <c r="DE345" i="15"/>
  <c r="DF345" i="15"/>
  <c r="DG345" i="15"/>
  <c r="DH345" i="15"/>
  <c r="DI345" i="15"/>
  <c r="DJ345" i="15"/>
  <c r="DK345" i="15"/>
  <c r="DL345" i="15"/>
  <c r="DM345" i="15"/>
  <c r="DN345" i="15"/>
  <c r="DO345" i="15"/>
  <c r="DP345" i="15"/>
  <c r="DQ345" i="15"/>
  <c r="DR345" i="15"/>
  <c r="DS345" i="15"/>
  <c r="DT345" i="15"/>
  <c r="DU345" i="15"/>
  <c r="DV345" i="15"/>
  <c r="DW345" i="15"/>
  <c r="DX345" i="15"/>
  <c r="DY345" i="15"/>
  <c r="DZ345" i="15"/>
  <c r="EA345" i="15"/>
  <c r="EB345" i="15"/>
  <c r="EC345" i="15"/>
  <c r="ED345" i="15"/>
  <c r="EE345" i="15"/>
  <c r="EF345" i="15"/>
  <c r="EG345" i="15"/>
  <c r="EH345" i="15"/>
  <c r="EI345" i="15"/>
  <c r="EJ345" i="15"/>
  <c r="EK345" i="15"/>
  <c r="EL345" i="15"/>
  <c r="EM345" i="15"/>
  <c r="EN345" i="15"/>
  <c r="EO345" i="15"/>
  <c r="EP345" i="15"/>
  <c r="EQ345" i="15"/>
  <c r="ER345" i="15"/>
  <c r="ES345" i="15"/>
  <c r="ET345" i="15"/>
  <c r="EU345" i="15"/>
  <c r="EV345" i="15"/>
  <c r="EW345" i="15"/>
  <c r="EX345" i="15"/>
  <c r="EY345" i="15"/>
  <c r="EZ345" i="15"/>
  <c r="FA345" i="15"/>
  <c r="FB345" i="15"/>
  <c r="FC345" i="15"/>
  <c r="FD345" i="15"/>
  <c r="FE345" i="15"/>
  <c r="FF345" i="15"/>
  <c r="FG345" i="15"/>
  <c r="FH345" i="15"/>
  <c r="FI345" i="15"/>
  <c r="FJ345" i="15"/>
  <c r="FK345" i="15"/>
  <c r="FL345" i="15"/>
  <c r="FM345" i="15"/>
  <c r="FN345" i="15"/>
  <c r="FO345" i="15"/>
  <c r="FP345" i="15"/>
  <c r="FQ345" i="15"/>
  <c r="FR345" i="15"/>
  <c r="FS345" i="15"/>
  <c r="FT345" i="15"/>
  <c r="FU345" i="15"/>
  <c r="FV345" i="15"/>
  <c r="FW345" i="15"/>
  <c r="FX345" i="15"/>
  <c r="FY345" i="15"/>
  <c r="FZ345" i="15"/>
  <c r="GA345" i="15"/>
  <c r="GB345" i="15"/>
  <c r="GC345" i="15"/>
  <c r="GD345" i="15"/>
  <c r="GE345" i="15"/>
  <c r="GF345" i="15"/>
  <c r="GG345" i="15"/>
  <c r="GH345" i="15"/>
  <c r="GI345" i="15"/>
  <c r="GJ345" i="15"/>
  <c r="GK345" i="15"/>
  <c r="GL345" i="15"/>
  <c r="GM345" i="15"/>
  <c r="GN345" i="15"/>
  <c r="GO345" i="15"/>
  <c r="GP345" i="15"/>
  <c r="GQ345" i="15"/>
  <c r="GR345" i="15"/>
  <c r="GS345" i="15"/>
  <c r="GT345" i="15"/>
  <c r="GU345" i="15"/>
  <c r="GV345" i="15"/>
  <c r="GW345" i="15"/>
  <c r="GX345" i="15"/>
  <c r="GY345" i="15"/>
  <c r="GZ345" i="15"/>
  <c r="HA345" i="15"/>
  <c r="HB345" i="15"/>
  <c r="HC345" i="15"/>
  <c r="HD345" i="15"/>
  <c r="HE345" i="15"/>
  <c r="HF345" i="15"/>
  <c r="HG345" i="15"/>
  <c r="HH345" i="15"/>
  <c r="B346" i="15"/>
  <c r="C346" i="15"/>
  <c r="D346" i="15"/>
  <c r="E346" i="15"/>
  <c r="F346" i="15"/>
  <c r="G346" i="15"/>
  <c r="H346" i="15"/>
  <c r="I346" i="15"/>
  <c r="J346" i="15"/>
  <c r="K346" i="15"/>
  <c r="L346" i="15"/>
  <c r="M346" i="15"/>
  <c r="N346" i="15"/>
  <c r="O346" i="15"/>
  <c r="P346" i="15"/>
  <c r="Q346" i="15"/>
  <c r="R346" i="15"/>
  <c r="S346" i="15"/>
  <c r="T346" i="15"/>
  <c r="U346" i="15"/>
  <c r="V346" i="15"/>
  <c r="W346" i="15"/>
  <c r="X346" i="15"/>
  <c r="Y346" i="15"/>
  <c r="Z346" i="15"/>
  <c r="AA346" i="15"/>
  <c r="AB346" i="15"/>
  <c r="AC346" i="15"/>
  <c r="AD346" i="15"/>
  <c r="AE346" i="15"/>
  <c r="AF346" i="15"/>
  <c r="AG346" i="15"/>
  <c r="AH346" i="15"/>
  <c r="AI346" i="15"/>
  <c r="AJ346" i="15"/>
  <c r="AK346" i="15"/>
  <c r="AL346" i="15"/>
  <c r="AM346" i="15"/>
  <c r="AN346" i="15"/>
  <c r="AO346" i="15"/>
  <c r="AP346" i="15"/>
  <c r="AQ346" i="15"/>
  <c r="AR346" i="15"/>
  <c r="AS346" i="15"/>
  <c r="AT346" i="15"/>
  <c r="AU346" i="15"/>
  <c r="AV346" i="15"/>
  <c r="AW346" i="15"/>
  <c r="AX346" i="15"/>
  <c r="AY346" i="15"/>
  <c r="AZ346" i="15"/>
  <c r="BA346" i="15"/>
  <c r="BB346" i="15"/>
  <c r="BC346" i="15"/>
  <c r="BD346" i="15"/>
  <c r="BE346" i="15"/>
  <c r="BF346" i="15"/>
  <c r="BG346" i="15"/>
  <c r="BH346" i="15"/>
  <c r="BI346" i="15"/>
  <c r="BJ346" i="15"/>
  <c r="BK346" i="15"/>
  <c r="BL346" i="15"/>
  <c r="BM346" i="15"/>
  <c r="BN346" i="15"/>
  <c r="BO346" i="15"/>
  <c r="BP346" i="15"/>
  <c r="BQ346" i="15"/>
  <c r="BR346" i="15"/>
  <c r="BS346" i="15"/>
  <c r="BT346" i="15"/>
  <c r="BU346" i="15"/>
  <c r="BV346" i="15"/>
  <c r="BW346" i="15"/>
  <c r="BX346" i="15"/>
  <c r="BY346" i="15"/>
  <c r="BZ346" i="15"/>
  <c r="CA346" i="15"/>
  <c r="CB346" i="15"/>
  <c r="CC346" i="15"/>
  <c r="CD346" i="15"/>
  <c r="CE346" i="15"/>
  <c r="CF346" i="15"/>
  <c r="CG346" i="15"/>
  <c r="CH346" i="15"/>
  <c r="CI346" i="15"/>
  <c r="CJ346" i="15"/>
  <c r="CK346" i="15"/>
  <c r="CL346" i="15"/>
  <c r="CM346" i="15"/>
  <c r="CN346" i="15"/>
  <c r="CO346" i="15"/>
  <c r="CP346" i="15"/>
  <c r="CQ346" i="15"/>
  <c r="CR346" i="15"/>
  <c r="CS346" i="15"/>
  <c r="CT346" i="15"/>
  <c r="CU346" i="15"/>
  <c r="CV346" i="15"/>
  <c r="CW346" i="15"/>
  <c r="CX346" i="15"/>
  <c r="CY346" i="15"/>
  <c r="CZ346" i="15"/>
  <c r="DA346" i="15"/>
  <c r="DB346" i="15"/>
  <c r="DC346" i="15"/>
  <c r="DD346" i="15"/>
  <c r="DE346" i="15"/>
  <c r="DF346" i="15"/>
  <c r="DG346" i="15"/>
  <c r="DH346" i="15"/>
  <c r="DI346" i="15"/>
  <c r="DJ346" i="15"/>
  <c r="DK346" i="15"/>
  <c r="DL346" i="15"/>
  <c r="DM346" i="15"/>
  <c r="DN346" i="15"/>
  <c r="DO346" i="15"/>
  <c r="DP346" i="15"/>
  <c r="DQ346" i="15"/>
  <c r="DR346" i="15"/>
  <c r="DS346" i="15"/>
  <c r="DT346" i="15"/>
  <c r="DU346" i="15"/>
  <c r="DV346" i="15"/>
  <c r="DW346" i="15"/>
  <c r="DX346" i="15"/>
  <c r="DY346" i="15"/>
  <c r="DZ346" i="15"/>
  <c r="EA346" i="15"/>
  <c r="EB346" i="15"/>
  <c r="EC346" i="15"/>
  <c r="ED346" i="15"/>
  <c r="EE346" i="15"/>
  <c r="EF346" i="15"/>
  <c r="EG346" i="15"/>
  <c r="EH346" i="15"/>
  <c r="EI346" i="15"/>
  <c r="EJ346" i="15"/>
  <c r="EK346" i="15"/>
  <c r="EL346" i="15"/>
  <c r="EM346" i="15"/>
  <c r="EN346" i="15"/>
  <c r="EO346" i="15"/>
  <c r="EP346" i="15"/>
  <c r="EQ346" i="15"/>
  <c r="ER346" i="15"/>
  <c r="ES346" i="15"/>
  <c r="ET346" i="15"/>
  <c r="EU346" i="15"/>
  <c r="EV346" i="15"/>
  <c r="EW346" i="15"/>
  <c r="EX346" i="15"/>
  <c r="EY346" i="15"/>
  <c r="EZ346" i="15"/>
  <c r="FA346" i="15"/>
  <c r="FB346" i="15"/>
  <c r="FC346" i="15"/>
  <c r="FD346" i="15"/>
  <c r="FE346" i="15"/>
  <c r="FF346" i="15"/>
  <c r="FG346" i="15"/>
  <c r="FH346" i="15"/>
  <c r="FI346" i="15"/>
  <c r="FJ346" i="15"/>
  <c r="FK346" i="15"/>
  <c r="FL346" i="15"/>
  <c r="FM346" i="15"/>
  <c r="FN346" i="15"/>
  <c r="FO346" i="15"/>
  <c r="FP346" i="15"/>
  <c r="FQ346" i="15"/>
  <c r="FR346" i="15"/>
  <c r="FS346" i="15"/>
  <c r="FT346" i="15"/>
  <c r="FU346" i="15"/>
  <c r="FV346" i="15"/>
  <c r="FW346" i="15"/>
  <c r="FX346" i="15"/>
  <c r="FY346" i="15"/>
  <c r="FZ346" i="15"/>
  <c r="GA346" i="15"/>
  <c r="GB346" i="15"/>
  <c r="GC346" i="15"/>
  <c r="GD346" i="15"/>
  <c r="GE346" i="15"/>
  <c r="GF346" i="15"/>
  <c r="GG346" i="15"/>
  <c r="GH346" i="15"/>
  <c r="GI346" i="15"/>
  <c r="GJ346" i="15"/>
  <c r="GK346" i="15"/>
  <c r="GL346" i="15"/>
  <c r="GM346" i="15"/>
  <c r="GN346" i="15"/>
  <c r="GO346" i="15"/>
  <c r="GP346" i="15"/>
  <c r="GQ346" i="15"/>
  <c r="GR346" i="15"/>
  <c r="GS346" i="15"/>
  <c r="GT346" i="15"/>
  <c r="GU346" i="15"/>
  <c r="GV346" i="15"/>
  <c r="GW346" i="15"/>
  <c r="GX346" i="15"/>
  <c r="GY346" i="15"/>
  <c r="GZ346" i="15"/>
  <c r="HA346" i="15"/>
  <c r="HB346" i="15"/>
  <c r="HC346" i="15"/>
  <c r="HD346" i="15"/>
  <c r="HE346" i="15"/>
  <c r="HF346" i="15"/>
  <c r="HG346" i="15"/>
  <c r="HH346" i="15"/>
  <c r="B347" i="15"/>
  <c r="C347" i="15"/>
  <c r="D347" i="15"/>
  <c r="E347" i="15"/>
  <c r="F347" i="15"/>
  <c r="G347" i="15"/>
  <c r="H347" i="15"/>
  <c r="I347" i="15"/>
  <c r="J347" i="15"/>
  <c r="K347" i="15"/>
  <c r="L347" i="15"/>
  <c r="M347" i="15"/>
  <c r="N347" i="15"/>
  <c r="O347" i="15"/>
  <c r="P347" i="15"/>
  <c r="Q347" i="15"/>
  <c r="R347" i="15"/>
  <c r="S347" i="15"/>
  <c r="T347" i="15"/>
  <c r="U347" i="15"/>
  <c r="V347" i="15"/>
  <c r="W347" i="15"/>
  <c r="X347" i="15"/>
  <c r="Y347" i="15"/>
  <c r="Z347" i="15"/>
  <c r="AA347" i="15"/>
  <c r="AB347" i="15"/>
  <c r="AC347" i="15"/>
  <c r="AD347" i="15"/>
  <c r="AE347" i="15"/>
  <c r="AF347" i="15"/>
  <c r="AG347" i="15"/>
  <c r="AH347" i="15"/>
  <c r="AI347" i="15"/>
  <c r="AJ347" i="15"/>
  <c r="AK347" i="15"/>
  <c r="AL347" i="15"/>
  <c r="AM347" i="15"/>
  <c r="AN347" i="15"/>
  <c r="AO347" i="15"/>
  <c r="AP347" i="15"/>
  <c r="AQ347" i="15"/>
  <c r="AR347" i="15"/>
  <c r="AS347" i="15"/>
  <c r="AT347" i="15"/>
  <c r="AU347" i="15"/>
  <c r="AV347" i="15"/>
  <c r="AW347" i="15"/>
  <c r="AX347" i="15"/>
  <c r="AY347" i="15"/>
  <c r="AZ347" i="15"/>
  <c r="BA347" i="15"/>
  <c r="BB347" i="15"/>
  <c r="BC347" i="15"/>
  <c r="BD347" i="15"/>
  <c r="BE347" i="15"/>
  <c r="BF347" i="15"/>
  <c r="BG347" i="15"/>
  <c r="BH347" i="15"/>
  <c r="BI347" i="15"/>
  <c r="BJ347" i="15"/>
  <c r="BK347" i="15"/>
  <c r="BL347" i="15"/>
  <c r="BM347" i="15"/>
  <c r="BN347" i="15"/>
  <c r="BO347" i="15"/>
  <c r="BP347" i="15"/>
  <c r="BQ347" i="15"/>
  <c r="BR347" i="15"/>
  <c r="BS347" i="15"/>
  <c r="BT347" i="15"/>
  <c r="BU347" i="15"/>
  <c r="BV347" i="15"/>
  <c r="BW347" i="15"/>
  <c r="BX347" i="15"/>
  <c r="BY347" i="15"/>
  <c r="BZ347" i="15"/>
  <c r="CA347" i="15"/>
  <c r="CB347" i="15"/>
  <c r="CC347" i="15"/>
  <c r="CD347" i="15"/>
  <c r="CE347" i="15"/>
  <c r="CF347" i="15"/>
  <c r="CG347" i="15"/>
  <c r="CH347" i="15"/>
  <c r="CI347" i="15"/>
  <c r="CJ347" i="15"/>
  <c r="CK347" i="15"/>
  <c r="CL347" i="15"/>
  <c r="CM347" i="15"/>
  <c r="CN347" i="15"/>
  <c r="CO347" i="15"/>
  <c r="CP347" i="15"/>
  <c r="CQ347" i="15"/>
  <c r="CR347" i="15"/>
  <c r="CS347" i="15"/>
  <c r="CT347" i="15"/>
  <c r="CU347" i="15"/>
  <c r="CV347" i="15"/>
  <c r="CW347" i="15"/>
  <c r="CX347" i="15"/>
  <c r="CY347" i="15"/>
  <c r="CZ347" i="15"/>
  <c r="DA347" i="15"/>
  <c r="DB347" i="15"/>
  <c r="DC347" i="15"/>
  <c r="DD347" i="15"/>
  <c r="DE347" i="15"/>
  <c r="DF347" i="15"/>
  <c r="DG347" i="15"/>
  <c r="DH347" i="15"/>
  <c r="DI347" i="15"/>
  <c r="DJ347" i="15"/>
  <c r="DK347" i="15"/>
  <c r="DL347" i="15"/>
  <c r="DM347" i="15"/>
  <c r="DN347" i="15"/>
  <c r="DO347" i="15"/>
  <c r="DP347" i="15"/>
  <c r="DQ347" i="15"/>
  <c r="DR347" i="15"/>
  <c r="DS347" i="15"/>
  <c r="DT347" i="15"/>
  <c r="DU347" i="15"/>
  <c r="DV347" i="15"/>
  <c r="DW347" i="15"/>
  <c r="DX347" i="15"/>
  <c r="DY347" i="15"/>
  <c r="DZ347" i="15"/>
  <c r="EA347" i="15"/>
  <c r="EB347" i="15"/>
  <c r="EC347" i="15"/>
  <c r="ED347" i="15"/>
  <c r="EE347" i="15"/>
  <c r="EF347" i="15"/>
  <c r="EG347" i="15"/>
  <c r="EH347" i="15"/>
  <c r="EI347" i="15"/>
  <c r="EJ347" i="15"/>
  <c r="EK347" i="15"/>
  <c r="EL347" i="15"/>
  <c r="EM347" i="15"/>
  <c r="EN347" i="15"/>
  <c r="EO347" i="15"/>
  <c r="EP347" i="15"/>
  <c r="EQ347" i="15"/>
  <c r="ER347" i="15"/>
  <c r="ES347" i="15"/>
  <c r="ET347" i="15"/>
  <c r="EU347" i="15"/>
  <c r="EV347" i="15"/>
  <c r="EW347" i="15"/>
  <c r="EX347" i="15"/>
  <c r="EY347" i="15"/>
  <c r="EZ347" i="15"/>
  <c r="FA347" i="15"/>
  <c r="FB347" i="15"/>
  <c r="FC347" i="15"/>
  <c r="FD347" i="15"/>
  <c r="FE347" i="15"/>
  <c r="FF347" i="15"/>
  <c r="FG347" i="15"/>
  <c r="FH347" i="15"/>
  <c r="FI347" i="15"/>
  <c r="FJ347" i="15"/>
  <c r="FK347" i="15"/>
  <c r="FL347" i="15"/>
  <c r="FM347" i="15"/>
  <c r="FN347" i="15"/>
  <c r="FO347" i="15"/>
  <c r="FP347" i="15"/>
  <c r="FQ347" i="15"/>
  <c r="FR347" i="15"/>
  <c r="FS347" i="15"/>
  <c r="FT347" i="15"/>
  <c r="FU347" i="15"/>
  <c r="FV347" i="15"/>
  <c r="FW347" i="15"/>
  <c r="FX347" i="15"/>
  <c r="FY347" i="15"/>
  <c r="FZ347" i="15"/>
  <c r="GA347" i="15"/>
  <c r="GB347" i="15"/>
  <c r="GC347" i="15"/>
  <c r="GD347" i="15"/>
  <c r="GE347" i="15"/>
  <c r="GF347" i="15"/>
  <c r="GG347" i="15"/>
  <c r="GH347" i="15"/>
  <c r="GI347" i="15"/>
  <c r="GJ347" i="15"/>
  <c r="GK347" i="15"/>
  <c r="GL347" i="15"/>
  <c r="GM347" i="15"/>
  <c r="GN347" i="15"/>
  <c r="GO347" i="15"/>
  <c r="GP347" i="15"/>
  <c r="GQ347" i="15"/>
  <c r="GR347" i="15"/>
  <c r="GS347" i="15"/>
  <c r="GT347" i="15"/>
  <c r="GU347" i="15"/>
  <c r="GV347" i="15"/>
  <c r="GW347" i="15"/>
  <c r="GX347" i="15"/>
  <c r="GY347" i="15"/>
  <c r="GZ347" i="15"/>
  <c r="HA347" i="15"/>
  <c r="HB347" i="15"/>
  <c r="HC347" i="15"/>
  <c r="HD347" i="15"/>
  <c r="HE347" i="15"/>
  <c r="HF347" i="15"/>
  <c r="HG347" i="15"/>
  <c r="HH347" i="15"/>
  <c r="B348" i="15"/>
  <c r="C348" i="15"/>
  <c r="D348" i="15"/>
  <c r="E348" i="15"/>
  <c r="F348" i="15"/>
  <c r="G348" i="15"/>
  <c r="H348" i="15"/>
  <c r="I348" i="15"/>
  <c r="J348" i="15"/>
  <c r="K348" i="15"/>
  <c r="L348" i="15"/>
  <c r="M348" i="15"/>
  <c r="N348" i="15"/>
  <c r="O348" i="15"/>
  <c r="P348" i="15"/>
  <c r="Q348" i="15"/>
  <c r="R348" i="15"/>
  <c r="S348" i="15"/>
  <c r="T348" i="15"/>
  <c r="U348" i="15"/>
  <c r="V348" i="15"/>
  <c r="W348" i="15"/>
  <c r="X348" i="15"/>
  <c r="Y348" i="15"/>
  <c r="Z348" i="15"/>
  <c r="AA348" i="15"/>
  <c r="AB348" i="15"/>
  <c r="AC348" i="15"/>
  <c r="AD348" i="15"/>
  <c r="AE348" i="15"/>
  <c r="AF348" i="15"/>
  <c r="AG348" i="15"/>
  <c r="AH348" i="15"/>
  <c r="AI348" i="15"/>
  <c r="AJ348" i="15"/>
  <c r="AK348" i="15"/>
  <c r="AL348" i="15"/>
  <c r="AM348" i="15"/>
  <c r="AN348" i="15"/>
  <c r="AO348" i="15"/>
  <c r="AP348" i="15"/>
  <c r="AQ348" i="15"/>
  <c r="AR348" i="15"/>
  <c r="AS348" i="15"/>
  <c r="AT348" i="15"/>
  <c r="AU348" i="15"/>
  <c r="AV348" i="15"/>
  <c r="AW348" i="15"/>
  <c r="AX348" i="15"/>
  <c r="AY348" i="15"/>
  <c r="AZ348" i="15"/>
  <c r="BA348" i="15"/>
  <c r="BB348" i="15"/>
  <c r="BC348" i="15"/>
  <c r="BD348" i="15"/>
  <c r="BE348" i="15"/>
  <c r="BF348" i="15"/>
  <c r="BG348" i="15"/>
  <c r="BH348" i="15"/>
  <c r="BI348" i="15"/>
  <c r="BJ348" i="15"/>
  <c r="BK348" i="15"/>
  <c r="BL348" i="15"/>
  <c r="BM348" i="15"/>
  <c r="BN348" i="15"/>
  <c r="BO348" i="15"/>
  <c r="BP348" i="15"/>
  <c r="BQ348" i="15"/>
  <c r="BR348" i="15"/>
  <c r="BS348" i="15"/>
  <c r="BT348" i="15"/>
  <c r="BU348" i="15"/>
  <c r="BV348" i="15"/>
  <c r="BW348" i="15"/>
  <c r="BX348" i="15"/>
  <c r="BY348" i="15"/>
  <c r="BZ348" i="15"/>
  <c r="CA348" i="15"/>
  <c r="CB348" i="15"/>
  <c r="CC348" i="15"/>
  <c r="CD348" i="15"/>
  <c r="CE348" i="15"/>
  <c r="CF348" i="15"/>
  <c r="CG348" i="15"/>
  <c r="CH348" i="15"/>
  <c r="CI348" i="15"/>
  <c r="CJ348" i="15"/>
  <c r="CK348" i="15"/>
  <c r="CL348" i="15"/>
  <c r="CM348" i="15"/>
  <c r="CN348" i="15"/>
  <c r="CO348" i="15"/>
  <c r="CP348" i="15"/>
  <c r="CQ348" i="15"/>
  <c r="CR348" i="15"/>
  <c r="CS348" i="15"/>
  <c r="CT348" i="15"/>
  <c r="CU348" i="15"/>
  <c r="CV348" i="15"/>
  <c r="CW348" i="15"/>
  <c r="CX348" i="15"/>
  <c r="CY348" i="15"/>
  <c r="CZ348" i="15"/>
  <c r="DA348" i="15"/>
  <c r="DB348" i="15"/>
  <c r="DC348" i="15"/>
  <c r="DD348" i="15"/>
  <c r="DE348" i="15"/>
  <c r="DF348" i="15"/>
  <c r="DG348" i="15"/>
  <c r="DH348" i="15"/>
  <c r="DI348" i="15"/>
  <c r="DJ348" i="15"/>
  <c r="DK348" i="15"/>
  <c r="DL348" i="15"/>
  <c r="DM348" i="15"/>
  <c r="DN348" i="15"/>
  <c r="DO348" i="15"/>
  <c r="DP348" i="15"/>
  <c r="DQ348" i="15"/>
  <c r="DR348" i="15"/>
  <c r="DS348" i="15"/>
  <c r="DT348" i="15"/>
  <c r="DU348" i="15"/>
  <c r="DV348" i="15"/>
  <c r="DW348" i="15"/>
  <c r="DX348" i="15"/>
  <c r="DY348" i="15"/>
  <c r="DZ348" i="15"/>
  <c r="EA348" i="15"/>
  <c r="EB348" i="15"/>
  <c r="EC348" i="15"/>
  <c r="ED348" i="15"/>
  <c r="EE348" i="15"/>
  <c r="EF348" i="15"/>
  <c r="EG348" i="15"/>
  <c r="EH348" i="15"/>
  <c r="EI348" i="15"/>
  <c r="EJ348" i="15"/>
  <c r="EK348" i="15"/>
  <c r="EL348" i="15"/>
  <c r="EM348" i="15"/>
  <c r="EN348" i="15"/>
  <c r="EO348" i="15"/>
  <c r="EP348" i="15"/>
  <c r="EQ348" i="15"/>
  <c r="ER348" i="15"/>
  <c r="ES348" i="15"/>
  <c r="ET348" i="15"/>
  <c r="EU348" i="15"/>
  <c r="EV348" i="15"/>
  <c r="EW348" i="15"/>
  <c r="EX348" i="15"/>
  <c r="EY348" i="15"/>
  <c r="EZ348" i="15"/>
  <c r="FA348" i="15"/>
  <c r="FB348" i="15"/>
  <c r="FC348" i="15"/>
  <c r="FD348" i="15"/>
  <c r="FE348" i="15"/>
  <c r="FF348" i="15"/>
  <c r="FG348" i="15"/>
  <c r="FH348" i="15"/>
  <c r="FI348" i="15"/>
  <c r="FJ348" i="15"/>
  <c r="FK348" i="15"/>
  <c r="FL348" i="15"/>
  <c r="FM348" i="15"/>
  <c r="FN348" i="15"/>
  <c r="FO348" i="15"/>
  <c r="FP348" i="15"/>
  <c r="FQ348" i="15"/>
  <c r="FR348" i="15"/>
  <c r="FS348" i="15"/>
  <c r="FT348" i="15"/>
  <c r="FU348" i="15"/>
  <c r="FV348" i="15"/>
  <c r="FW348" i="15"/>
  <c r="FX348" i="15"/>
  <c r="FY348" i="15"/>
  <c r="FZ348" i="15"/>
  <c r="GA348" i="15"/>
  <c r="GB348" i="15"/>
  <c r="GC348" i="15"/>
  <c r="GD348" i="15"/>
  <c r="GE348" i="15"/>
  <c r="GF348" i="15"/>
  <c r="GG348" i="15"/>
  <c r="GH348" i="15"/>
  <c r="GI348" i="15"/>
  <c r="GJ348" i="15"/>
  <c r="GK348" i="15"/>
  <c r="GL348" i="15"/>
  <c r="GM348" i="15"/>
  <c r="GN348" i="15"/>
  <c r="GO348" i="15"/>
  <c r="GP348" i="15"/>
  <c r="GQ348" i="15"/>
  <c r="GR348" i="15"/>
  <c r="GS348" i="15"/>
  <c r="GT348" i="15"/>
  <c r="GU348" i="15"/>
  <c r="GV348" i="15"/>
  <c r="GW348" i="15"/>
  <c r="GX348" i="15"/>
  <c r="GY348" i="15"/>
  <c r="GZ348" i="15"/>
  <c r="HA348" i="15"/>
  <c r="HB348" i="15"/>
  <c r="HC348" i="15"/>
  <c r="HD348" i="15"/>
  <c r="HE348" i="15"/>
  <c r="HF348" i="15"/>
  <c r="HG348" i="15"/>
  <c r="HH348" i="15"/>
  <c r="B349" i="15"/>
  <c r="C349" i="15"/>
  <c r="D349" i="15"/>
  <c r="E349" i="15"/>
  <c r="F349" i="15"/>
  <c r="G349" i="15"/>
  <c r="H349" i="15"/>
  <c r="I349" i="15"/>
  <c r="J349" i="15"/>
  <c r="K349" i="15"/>
  <c r="L349" i="15"/>
  <c r="M349" i="15"/>
  <c r="N349" i="15"/>
  <c r="O349" i="15"/>
  <c r="P349" i="15"/>
  <c r="Q349" i="15"/>
  <c r="R349" i="15"/>
  <c r="S349" i="15"/>
  <c r="T349" i="15"/>
  <c r="U349" i="15"/>
  <c r="V349" i="15"/>
  <c r="W349" i="15"/>
  <c r="X349" i="15"/>
  <c r="Y349" i="15"/>
  <c r="Z349" i="15"/>
  <c r="AA349" i="15"/>
  <c r="AB349" i="15"/>
  <c r="AC349" i="15"/>
  <c r="AD349" i="15"/>
  <c r="AE349" i="15"/>
  <c r="AF349" i="15"/>
  <c r="AG349" i="15"/>
  <c r="AH349" i="15"/>
  <c r="AI349" i="15"/>
  <c r="AJ349" i="15"/>
  <c r="AK349" i="15"/>
  <c r="AL349" i="15"/>
  <c r="AM349" i="15"/>
  <c r="AN349" i="15"/>
  <c r="AO349" i="15"/>
  <c r="AP349" i="15"/>
  <c r="AQ349" i="15"/>
  <c r="AR349" i="15"/>
  <c r="AS349" i="15"/>
  <c r="AT349" i="15"/>
  <c r="AU349" i="15"/>
  <c r="AV349" i="15"/>
  <c r="AW349" i="15"/>
  <c r="AX349" i="15"/>
  <c r="AY349" i="15"/>
  <c r="AZ349" i="15"/>
  <c r="BA349" i="15"/>
  <c r="BB349" i="15"/>
  <c r="BC349" i="15"/>
  <c r="BD349" i="15"/>
  <c r="BE349" i="15"/>
  <c r="BF349" i="15"/>
  <c r="BG349" i="15"/>
  <c r="BH349" i="15"/>
  <c r="BI349" i="15"/>
  <c r="BJ349" i="15"/>
  <c r="BK349" i="15"/>
  <c r="BL349" i="15"/>
  <c r="BM349" i="15"/>
  <c r="BN349" i="15"/>
  <c r="BO349" i="15"/>
  <c r="BP349" i="15"/>
  <c r="BQ349" i="15"/>
  <c r="BR349" i="15"/>
  <c r="BS349" i="15"/>
  <c r="BT349" i="15"/>
  <c r="BU349" i="15"/>
  <c r="BV349" i="15"/>
  <c r="BW349" i="15"/>
  <c r="BX349" i="15"/>
  <c r="BY349" i="15"/>
  <c r="BZ349" i="15"/>
  <c r="CA349" i="15"/>
  <c r="CB349" i="15"/>
  <c r="CC349" i="15"/>
  <c r="CD349" i="15"/>
  <c r="CE349" i="15"/>
  <c r="CF349" i="15"/>
  <c r="CG349" i="15"/>
  <c r="CH349" i="15"/>
  <c r="CI349" i="15"/>
  <c r="CJ349" i="15"/>
  <c r="CK349" i="15"/>
  <c r="CL349" i="15"/>
  <c r="CM349" i="15"/>
  <c r="CN349" i="15"/>
  <c r="CO349" i="15"/>
  <c r="CP349" i="15"/>
  <c r="CQ349" i="15"/>
  <c r="CR349" i="15"/>
  <c r="CS349" i="15"/>
  <c r="CT349" i="15"/>
  <c r="CU349" i="15"/>
  <c r="CV349" i="15"/>
  <c r="CW349" i="15"/>
  <c r="CX349" i="15"/>
  <c r="CY349" i="15"/>
  <c r="CZ349" i="15"/>
  <c r="DA349" i="15"/>
  <c r="DB349" i="15"/>
  <c r="DC349" i="15"/>
  <c r="DD349" i="15"/>
  <c r="DE349" i="15"/>
  <c r="DF349" i="15"/>
  <c r="DG349" i="15"/>
  <c r="DH349" i="15"/>
  <c r="DI349" i="15"/>
  <c r="DJ349" i="15"/>
  <c r="DK349" i="15"/>
  <c r="DL349" i="15"/>
  <c r="DM349" i="15"/>
  <c r="DN349" i="15"/>
  <c r="DO349" i="15"/>
  <c r="DP349" i="15"/>
  <c r="DQ349" i="15"/>
  <c r="DR349" i="15"/>
  <c r="DS349" i="15"/>
  <c r="DT349" i="15"/>
  <c r="DU349" i="15"/>
  <c r="DV349" i="15"/>
  <c r="DW349" i="15"/>
  <c r="DX349" i="15"/>
  <c r="DY349" i="15"/>
  <c r="DZ349" i="15"/>
  <c r="EA349" i="15"/>
  <c r="EB349" i="15"/>
  <c r="EC349" i="15"/>
  <c r="ED349" i="15"/>
  <c r="EE349" i="15"/>
  <c r="EF349" i="15"/>
  <c r="EG349" i="15"/>
  <c r="EH349" i="15"/>
  <c r="EI349" i="15"/>
  <c r="EJ349" i="15"/>
  <c r="EK349" i="15"/>
  <c r="EL349" i="15"/>
  <c r="EM349" i="15"/>
  <c r="EN349" i="15"/>
  <c r="EO349" i="15"/>
  <c r="EP349" i="15"/>
  <c r="EQ349" i="15"/>
  <c r="ER349" i="15"/>
  <c r="ES349" i="15"/>
  <c r="ET349" i="15"/>
  <c r="EU349" i="15"/>
  <c r="EV349" i="15"/>
  <c r="EW349" i="15"/>
  <c r="EX349" i="15"/>
  <c r="EY349" i="15"/>
  <c r="EZ349" i="15"/>
  <c r="FA349" i="15"/>
  <c r="FB349" i="15"/>
  <c r="FC349" i="15"/>
  <c r="FD349" i="15"/>
  <c r="FE349" i="15"/>
  <c r="FF349" i="15"/>
  <c r="FG349" i="15"/>
  <c r="FH349" i="15"/>
  <c r="FI349" i="15"/>
  <c r="FJ349" i="15"/>
  <c r="FK349" i="15"/>
  <c r="FL349" i="15"/>
  <c r="FM349" i="15"/>
  <c r="FN349" i="15"/>
  <c r="FO349" i="15"/>
  <c r="FP349" i="15"/>
  <c r="FQ349" i="15"/>
  <c r="FR349" i="15"/>
  <c r="FS349" i="15"/>
  <c r="FT349" i="15"/>
  <c r="FU349" i="15"/>
  <c r="FV349" i="15"/>
  <c r="FW349" i="15"/>
  <c r="FX349" i="15"/>
  <c r="FY349" i="15"/>
  <c r="FZ349" i="15"/>
  <c r="GA349" i="15"/>
  <c r="GB349" i="15"/>
  <c r="GC349" i="15"/>
  <c r="GD349" i="15"/>
  <c r="GE349" i="15"/>
  <c r="GF349" i="15"/>
  <c r="GG349" i="15"/>
  <c r="GH349" i="15"/>
  <c r="GI349" i="15"/>
  <c r="GJ349" i="15"/>
  <c r="GK349" i="15"/>
  <c r="GL349" i="15"/>
  <c r="GM349" i="15"/>
  <c r="GN349" i="15"/>
  <c r="GO349" i="15"/>
  <c r="GP349" i="15"/>
  <c r="GQ349" i="15"/>
  <c r="GR349" i="15"/>
  <c r="GS349" i="15"/>
  <c r="GT349" i="15"/>
  <c r="GU349" i="15"/>
  <c r="GV349" i="15"/>
  <c r="GW349" i="15"/>
  <c r="GX349" i="15"/>
  <c r="GY349" i="15"/>
  <c r="GZ349" i="15"/>
  <c r="HA349" i="15"/>
  <c r="HB349" i="15"/>
  <c r="HC349" i="15"/>
  <c r="HD349" i="15"/>
  <c r="HE349" i="15"/>
  <c r="HF349" i="15"/>
  <c r="HG349" i="15"/>
  <c r="HH349" i="15"/>
  <c r="B350" i="15"/>
  <c r="C350" i="15"/>
  <c r="D350" i="15"/>
  <c r="E350" i="15"/>
  <c r="F350" i="15"/>
  <c r="G350" i="15"/>
  <c r="H350" i="15"/>
  <c r="I350" i="15"/>
  <c r="J350" i="15"/>
  <c r="K350" i="15"/>
  <c r="L350" i="15"/>
  <c r="M350" i="15"/>
  <c r="N350" i="15"/>
  <c r="O350" i="15"/>
  <c r="P350" i="15"/>
  <c r="Q350" i="15"/>
  <c r="R350" i="15"/>
  <c r="S350" i="15"/>
  <c r="T350" i="15"/>
  <c r="U350" i="15"/>
  <c r="V350" i="15"/>
  <c r="W350" i="15"/>
  <c r="X350" i="15"/>
  <c r="Y350" i="15"/>
  <c r="Z350" i="15"/>
  <c r="AA350" i="15"/>
  <c r="AB350" i="15"/>
  <c r="AC350" i="15"/>
  <c r="AD350" i="15"/>
  <c r="AE350" i="15"/>
  <c r="AF350" i="15"/>
  <c r="AG350" i="15"/>
  <c r="AH350" i="15"/>
  <c r="AI350" i="15"/>
  <c r="AJ350" i="15"/>
  <c r="AK350" i="15"/>
  <c r="AL350" i="15"/>
  <c r="AM350" i="15"/>
  <c r="AN350" i="15"/>
  <c r="AO350" i="15"/>
  <c r="AP350" i="15"/>
  <c r="AQ350" i="15"/>
  <c r="AR350" i="15"/>
  <c r="AS350" i="15"/>
  <c r="AT350" i="15"/>
  <c r="AU350" i="15"/>
  <c r="AV350" i="15"/>
  <c r="AW350" i="15"/>
  <c r="AX350" i="15"/>
  <c r="AY350" i="15"/>
  <c r="AZ350" i="15"/>
  <c r="BA350" i="15"/>
  <c r="BB350" i="15"/>
  <c r="BC350" i="15"/>
  <c r="BD350" i="15"/>
  <c r="BE350" i="15"/>
  <c r="BF350" i="15"/>
  <c r="BG350" i="15"/>
  <c r="BH350" i="15"/>
  <c r="BI350" i="15"/>
  <c r="BJ350" i="15"/>
  <c r="BK350" i="15"/>
  <c r="BL350" i="15"/>
  <c r="BM350" i="15"/>
  <c r="BN350" i="15"/>
  <c r="BO350" i="15"/>
  <c r="BP350" i="15"/>
  <c r="BQ350" i="15"/>
  <c r="BR350" i="15"/>
  <c r="BS350" i="15"/>
  <c r="BT350" i="15"/>
  <c r="BU350" i="15"/>
  <c r="BV350" i="15"/>
  <c r="BW350" i="15"/>
  <c r="BX350" i="15"/>
  <c r="BY350" i="15"/>
  <c r="BZ350" i="15"/>
  <c r="CA350" i="15"/>
  <c r="CB350" i="15"/>
  <c r="CC350" i="15"/>
  <c r="CD350" i="15"/>
  <c r="CE350" i="15"/>
  <c r="CF350" i="15"/>
  <c r="CG350" i="15"/>
  <c r="CH350" i="15"/>
  <c r="CI350" i="15"/>
  <c r="CJ350" i="15"/>
  <c r="CK350" i="15"/>
  <c r="CL350" i="15"/>
  <c r="CM350" i="15"/>
  <c r="CN350" i="15"/>
  <c r="CO350" i="15"/>
  <c r="CP350" i="15"/>
  <c r="CQ350" i="15"/>
  <c r="CR350" i="15"/>
  <c r="CS350" i="15"/>
  <c r="CT350" i="15"/>
  <c r="CU350" i="15"/>
  <c r="CV350" i="15"/>
  <c r="CW350" i="15"/>
  <c r="CX350" i="15"/>
  <c r="CY350" i="15"/>
  <c r="CZ350" i="15"/>
  <c r="DA350" i="15"/>
  <c r="DB350" i="15"/>
  <c r="DC350" i="15"/>
  <c r="DD350" i="15"/>
  <c r="DE350" i="15"/>
  <c r="DF350" i="15"/>
  <c r="DG350" i="15"/>
  <c r="DH350" i="15"/>
  <c r="DI350" i="15"/>
  <c r="DJ350" i="15"/>
  <c r="DK350" i="15"/>
  <c r="DL350" i="15"/>
  <c r="DM350" i="15"/>
  <c r="DN350" i="15"/>
  <c r="DO350" i="15"/>
  <c r="DP350" i="15"/>
  <c r="DQ350" i="15"/>
  <c r="DR350" i="15"/>
  <c r="DS350" i="15"/>
  <c r="DT350" i="15"/>
  <c r="DU350" i="15"/>
  <c r="DV350" i="15"/>
  <c r="DW350" i="15"/>
  <c r="DX350" i="15"/>
  <c r="DY350" i="15"/>
  <c r="DZ350" i="15"/>
  <c r="EA350" i="15"/>
  <c r="EB350" i="15"/>
  <c r="EC350" i="15"/>
  <c r="ED350" i="15"/>
  <c r="EE350" i="15"/>
  <c r="EF350" i="15"/>
  <c r="EG350" i="15"/>
  <c r="EH350" i="15"/>
  <c r="EI350" i="15"/>
  <c r="EJ350" i="15"/>
  <c r="EK350" i="15"/>
  <c r="EL350" i="15"/>
  <c r="EM350" i="15"/>
  <c r="EN350" i="15"/>
  <c r="EO350" i="15"/>
  <c r="EP350" i="15"/>
  <c r="EQ350" i="15"/>
  <c r="ER350" i="15"/>
  <c r="ES350" i="15"/>
  <c r="ET350" i="15"/>
  <c r="EU350" i="15"/>
  <c r="EV350" i="15"/>
  <c r="EW350" i="15"/>
  <c r="EX350" i="15"/>
  <c r="EY350" i="15"/>
  <c r="EZ350" i="15"/>
  <c r="FA350" i="15"/>
  <c r="FB350" i="15"/>
  <c r="FC350" i="15"/>
  <c r="FD350" i="15"/>
  <c r="FE350" i="15"/>
  <c r="FF350" i="15"/>
  <c r="FG350" i="15"/>
  <c r="FH350" i="15"/>
  <c r="FI350" i="15"/>
  <c r="FJ350" i="15"/>
  <c r="FK350" i="15"/>
  <c r="FL350" i="15"/>
  <c r="FM350" i="15"/>
  <c r="FN350" i="15"/>
  <c r="FO350" i="15"/>
  <c r="FP350" i="15"/>
  <c r="FQ350" i="15"/>
  <c r="FR350" i="15"/>
  <c r="FS350" i="15"/>
  <c r="FT350" i="15"/>
  <c r="FU350" i="15"/>
  <c r="FV350" i="15"/>
  <c r="FW350" i="15"/>
  <c r="FX350" i="15"/>
  <c r="FY350" i="15"/>
  <c r="FZ350" i="15"/>
  <c r="GA350" i="15"/>
  <c r="GB350" i="15"/>
  <c r="GC350" i="15"/>
  <c r="GD350" i="15"/>
  <c r="GE350" i="15"/>
  <c r="GF350" i="15"/>
  <c r="GG350" i="15"/>
  <c r="GH350" i="15"/>
  <c r="GI350" i="15"/>
  <c r="GJ350" i="15"/>
  <c r="GK350" i="15"/>
  <c r="GL350" i="15"/>
  <c r="GM350" i="15"/>
  <c r="GN350" i="15"/>
  <c r="GO350" i="15"/>
  <c r="GP350" i="15"/>
  <c r="GQ350" i="15"/>
  <c r="GR350" i="15"/>
  <c r="GS350" i="15"/>
  <c r="GT350" i="15"/>
  <c r="GU350" i="15"/>
  <c r="GV350" i="15"/>
  <c r="GW350" i="15"/>
  <c r="GX350" i="15"/>
  <c r="GY350" i="15"/>
  <c r="GZ350" i="15"/>
  <c r="HA350" i="15"/>
  <c r="HB350" i="15"/>
  <c r="HC350" i="15"/>
  <c r="HD350" i="15"/>
  <c r="HE350" i="15"/>
  <c r="HF350" i="15"/>
  <c r="HG350" i="15"/>
  <c r="HH350" i="15"/>
  <c r="A332" i="15"/>
  <c r="A333" i="15"/>
  <c r="A334" i="15"/>
  <c r="A335" i="15"/>
  <c r="A336" i="15"/>
  <c r="A337" i="15"/>
  <c r="A338" i="15"/>
  <c r="A339" i="15"/>
  <c r="A340" i="15"/>
  <c r="A341" i="15"/>
  <c r="A342" i="15"/>
  <c r="A343" i="15"/>
  <c r="A344" i="15"/>
  <c r="A345" i="15"/>
  <c r="A346" i="15"/>
  <c r="A347" i="15"/>
  <c r="A348" i="15"/>
  <c r="A349" i="15"/>
  <c r="A350" i="15"/>
  <c r="FM127" i="15"/>
  <c r="FN127" i="15"/>
  <c r="FO127" i="15"/>
  <c r="FP127" i="15"/>
  <c r="FQ127" i="15"/>
  <c r="FR127" i="15"/>
  <c r="FS127" i="15"/>
  <c r="FT127" i="15"/>
  <c r="FU127" i="15"/>
  <c r="FV127" i="15"/>
  <c r="FW127" i="15"/>
  <c r="FX127" i="15"/>
  <c r="FY127" i="15"/>
  <c r="FZ127" i="15"/>
  <c r="GA127" i="15"/>
  <c r="GB127" i="15"/>
  <c r="GC127" i="15"/>
  <c r="GD127" i="15"/>
  <c r="GE127" i="15"/>
  <c r="GF127" i="15"/>
  <c r="GG127" i="15"/>
  <c r="GH127" i="15"/>
  <c r="GI127" i="15"/>
  <c r="GJ127" i="15"/>
  <c r="GK127" i="15"/>
  <c r="GL127" i="15"/>
  <c r="GM127" i="15"/>
  <c r="GN127" i="15"/>
  <c r="GO127" i="15"/>
  <c r="GP127" i="15"/>
  <c r="GQ127" i="15"/>
  <c r="GR127" i="15"/>
  <c r="GS127" i="15"/>
  <c r="GT127" i="15"/>
  <c r="GU127" i="15"/>
  <c r="GV127" i="15"/>
  <c r="GW127" i="15"/>
  <c r="GX127" i="15"/>
  <c r="GY127" i="15"/>
  <c r="GZ127" i="15"/>
  <c r="HA127" i="15"/>
  <c r="HB127" i="15"/>
  <c r="HC127" i="15"/>
  <c r="HD127" i="15"/>
  <c r="HE127" i="15"/>
  <c r="HF127" i="15"/>
  <c r="HG127" i="15"/>
  <c r="HH127" i="15"/>
  <c r="FM128" i="15"/>
  <c r="FN128" i="15"/>
  <c r="FO128" i="15"/>
  <c r="FP128" i="15"/>
  <c r="FQ128" i="15"/>
  <c r="FR128" i="15"/>
  <c r="FS128" i="15"/>
  <c r="FT128" i="15"/>
  <c r="FU128" i="15"/>
  <c r="FV128" i="15"/>
  <c r="FW128" i="15"/>
  <c r="FX128" i="15"/>
  <c r="FY128" i="15"/>
  <c r="FZ128" i="15"/>
  <c r="GA128" i="15"/>
  <c r="GB128" i="15"/>
  <c r="GC128" i="15"/>
  <c r="GD128" i="15"/>
  <c r="GE128" i="15"/>
  <c r="GF128" i="15"/>
  <c r="GG128" i="15"/>
  <c r="GH128" i="15"/>
  <c r="GI128" i="15"/>
  <c r="GJ128" i="15"/>
  <c r="GK128" i="15"/>
  <c r="GL128" i="15"/>
  <c r="GM128" i="15"/>
  <c r="GN128" i="15"/>
  <c r="GO128" i="15"/>
  <c r="GP128" i="15"/>
  <c r="GQ128" i="15"/>
  <c r="GR128" i="15"/>
  <c r="GS128" i="15"/>
  <c r="GT128" i="15"/>
  <c r="GU128" i="15"/>
  <c r="GV128" i="15"/>
  <c r="GW128" i="15"/>
  <c r="GX128" i="15"/>
  <c r="GY128" i="15"/>
  <c r="GZ128" i="15"/>
  <c r="HA128" i="15"/>
  <c r="HB128" i="15"/>
  <c r="HC128" i="15"/>
  <c r="HD128" i="15"/>
  <c r="HE128" i="15"/>
  <c r="HF128" i="15"/>
  <c r="HG128" i="15"/>
  <c r="HH128" i="15"/>
  <c r="FM129" i="15"/>
  <c r="FN129" i="15"/>
  <c r="FO129" i="15"/>
  <c r="FP129" i="15"/>
  <c r="FQ129" i="15"/>
  <c r="FR129" i="15"/>
  <c r="FS129" i="15"/>
  <c r="FT129" i="15"/>
  <c r="FU129" i="15"/>
  <c r="FV129" i="15"/>
  <c r="FW129" i="15"/>
  <c r="FX129" i="15"/>
  <c r="FY129" i="15"/>
  <c r="FZ129" i="15"/>
  <c r="GA129" i="15"/>
  <c r="GB129" i="15"/>
  <c r="GC129" i="15"/>
  <c r="GD129" i="15"/>
  <c r="GE129" i="15"/>
  <c r="GF129" i="15"/>
  <c r="GG129" i="15"/>
  <c r="GH129" i="15"/>
  <c r="GI129" i="15"/>
  <c r="GJ129" i="15"/>
  <c r="GK129" i="15"/>
  <c r="GL129" i="15"/>
  <c r="GM129" i="15"/>
  <c r="GN129" i="15"/>
  <c r="GO129" i="15"/>
  <c r="GP129" i="15"/>
  <c r="GQ129" i="15"/>
  <c r="GR129" i="15"/>
  <c r="GS129" i="15"/>
  <c r="GT129" i="15"/>
  <c r="GU129" i="15"/>
  <c r="GV129" i="15"/>
  <c r="GW129" i="15"/>
  <c r="GX129" i="15"/>
  <c r="GY129" i="15"/>
  <c r="GZ129" i="15"/>
  <c r="HA129" i="15"/>
  <c r="HB129" i="15"/>
  <c r="HC129" i="15"/>
  <c r="HD129" i="15"/>
  <c r="HE129" i="15"/>
  <c r="HF129" i="15"/>
  <c r="HG129" i="15"/>
  <c r="HH129" i="15"/>
  <c r="FM130" i="15"/>
  <c r="FN130" i="15"/>
  <c r="FO130" i="15"/>
  <c r="FP130" i="15"/>
  <c r="FQ130" i="15"/>
  <c r="FR130" i="15"/>
  <c r="FS130" i="15"/>
  <c r="FT130" i="15"/>
  <c r="FU130" i="15"/>
  <c r="FV130" i="15"/>
  <c r="FW130" i="15"/>
  <c r="FX130" i="15"/>
  <c r="FY130" i="15"/>
  <c r="FZ130" i="15"/>
  <c r="GA130" i="15"/>
  <c r="GB130" i="15"/>
  <c r="GC130" i="15"/>
  <c r="GD130" i="15"/>
  <c r="GE130" i="15"/>
  <c r="GF130" i="15"/>
  <c r="GG130" i="15"/>
  <c r="GH130" i="15"/>
  <c r="GI130" i="15"/>
  <c r="GJ130" i="15"/>
  <c r="GK130" i="15"/>
  <c r="GL130" i="15"/>
  <c r="GM130" i="15"/>
  <c r="GN130" i="15"/>
  <c r="GO130" i="15"/>
  <c r="GP130" i="15"/>
  <c r="GQ130" i="15"/>
  <c r="GR130" i="15"/>
  <c r="GS130" i="15"/>
  <c r="GT130" i="15"/>
  <c r="GU130" i="15"/>
  <c r="GV130" i="15"/>
  <c r="GW130" i="15"/>
  <c r="GX130" i="15"/>
  <c r="GY130" i="15"/>
  <c r="GZ130" i="15"/>
  <c r="HA130" i="15"/>
  <c r="HB130" i="15"/>
  <c r="HC130" i="15"/>
  <c r="HD130" i="15"/>
  <c r="HE130" i="15"/>
  <c r="HF130" i="15"/>
  <c r="HG130" i="15"/>
  <c r="HH130" i="15"/>
  <c r="FM131" i="15"/>
  <c r="FN131" i="15"/>
  <c r="FO131" i="15"/>
  <c r="FP131" i="15"/>
  <c r="FQ131" i="15"/>
  <c r="FR131" i="15"/>
  <c r="FS131" i="15"/>
  <c r="FT131" i="15"/>
  <c r="FU131" i="15"/>
  <c r="FV131" i="15"/>
  <c r="FW131" i="15"/>
  <c r="FX131" i="15"/>
  <c r="FY131" i="15"/>
  <c r="FZ131" i="15"/>
  <c r="GA131" i="15"/>
  <c r="GB131" i="15"/>
  <c r="GC131" i="15"/>
  <c r="GD131" i="15"/>
  <c r="GE131" i="15"/>
  <c r="GF131" i="15"/>
  <c r="GG131" i="15"/>
  <c r="GH131" i="15"/>
  <c r="GI131" i="15"/>
  <c r="GJ131" i="15"/>
  <c r="GK131" i="15"/>
  <c r="GL131" i="15"/>
  <c r="GM131" i="15"/>
  <c r="GN131" i="15"/>
  <c r="GO131" i="15"/>
  <c r="GP131" i="15"/>
  <c r="GQ131" i="15"/>
  <c r="GR131" i="15"/>
  <c r="GS131" i="15"/>
  <c r="GT131" i="15"/>
  <c r="GU131" i="15"/>
  <c r="GV131" i="15"/>
  <c r="GW131" i="15"/>
  <c r="GX131" i="15"/>
  <c r="GY131" i="15"/>
  <c r="GZ131" i="15"/>
  <c r="HA131" i="15"/>
  <c r="HB131" i="15"/>
  <c r="HC131" i="15"/>
  <c r="HD131" i="15"/>
  <c r="HE131" i="15"/>
  <c r="HF131" i="15"/>
  <c r="HG131" i="15"/>
  <c r="HH131" i="15"/>
  <c r="FM132" i="15"/>
  <c r="FN132" i="15"/>
  <c r="FO132" i="15"/>
  <c r="FP132" i="15"/>
  <c r="FQ132" i="15"/>
  <c r="FR132" i="15"/>
  <c r="FS132" i="15"/>
  <c r="FT132" i="15"/>
  <c r="FU132" i="15"/>
  <c r="FV132" i="15"/>
  <c r="FW132" i="15"/>
  <c r="FX132" i="15"/>
  <c r="FY132" i="15"/>
  <c r="FZ132" i="15"/>
  <c r="GA132" i="15"/>
  <c r="GB132" i="15"/>
  <c r="GC132" i="15"/>
  <c r="GD132" i="15"/>
  <c r="GE132" i="15"/>
  <c r="GF132" i="15"/>
  <c r="GG132" i="15"/>
  <c r="GH132" i="15"/>
  <c r="GI132" i="15"/>
  <c r="GJ132" i="15"/>
  <c r="GK132" i="15"/>
  <c r="GL132" i="15"/>
  <c r="GM132" i="15"/>
  <c r="GN132" i="15"/>
  <c r="GO132" i="15"/>
  <c r="GP132" i="15"/>
  <c r="GQ132" i="15"/>
  <c r="GR132" i="15"/>
  <c r="GS132" i="15"/>
  <c r="GT132" i="15"/>
  <c r="GU132" i="15"/>
  <c r="GV132" i="15"/>
  <c r="GW132" i="15"/>
  <c r="GX132" i="15"/>
  <c r="GY132" i="15"/>
  <c r="GZ132" i="15"/>
  <c r="HA132" i="15"/>
  <c r="HB132" i="15"/>
  <c r="HC132" i="15"/>
  <c r="HD132" i="15"/>
  <c r="HE132" i="15"/>
  <c r="HF132" i="15"/>
  <c r="HG132" i="15"/>
  <c r="HH132" i="15"/>
  <c r="FM133" i="15"/>
  <c r="FN133" i="15"/>
  <c r="FO133" i="15"/>
  <c r="FP133" i="15"/>
  <c r="FQ133" i="15"/>
  <c r="FR133" i="15"/>
  <c r="FS133" i="15"/>
  <c r="FT133" i="15"/>
  <c r="FU133" i="15"/>
  <c r="FV133" i="15"/>
  <c r="FW133" i="15"/>
  <c r="FX133" i="15"/>
  <c r="FY133" i="15"/>
  <c r="FZ133" i="15"/>
  <c r="GA133" i="15"/>
  <c r="GB133" i="15"/>
  <c r="GC133" i="15"/>
  <c r="GD133" i="15"/>
  <c r="GE133" i="15"/>
  <c r="GF133" i="15"/>
  <c r="GG133" i="15"/>
  <c r="GH133" i="15"/>
  <c r="GI133" i="15"/>
  <c r="GJ133" i="15"/>
  <c r="GK133" i="15"/>
  <c r="GL133" i="15"/>
  <c r="GM133" i="15"/>
  <c r="GN133" i="15"/>
  <c r="GO133" i="15"/>
  <c r="GP133" i="15"/>
  <c r="GQ133" i="15"/>
  <c r="GR133" i="15"/>
  <c r="GS133" i="15"/>
  <c r="GT133" i="15"/>
  <c r="GU133" i="15"/>
  <c r="GV133" i="15"/>
  <c r="GW133" i="15"/>
  <c r="GX133" i="15"/>
  <c r="GY133" i="15"/>
  <c r="GZ133" i="15"/>
  <c r="HA133" i="15"/>
  <c r="HB133" i="15"/>
  <c r="HC133" i="15"/>
  <c r="HD133" i="15"/>
  <c r="HE133" i="15"/>
  <c r="HF133" i="15"/>
  <c r="HG133" i="15"/>
  <c r="HH133" i="15"/>
  <c r="FM134" i="15"/>
  <c r="FN134" i="15"/>
  <c r="FO134" i="15"/>
  <c r="FP134" i="15"/>
  <c r="FQ134" i="15"/>
  <c r="FR134" i="15"/>
  <c r="FS134" i="15"/>
  <c r="FT134" i="15"/>
  <c r="FU134" i="15"/>
  <c r="FV134" i="15"/>
  <c r="FW134" i="15"/>
  <c r="FX134" i="15"/>
  <c r="FY134" i="15"/>
  <c r="FZ134" i="15"/>
  <c r="GA134" i="15"/>
  <c r="GB134" i="15"/>
  <c r="GC134" i="15"/>
  <c r="GD134" i="15"/>
  <c r="GE134" i="15"/>
  <c r="GF134" i="15"/>
  <c r="GG134" i="15"/>
  <c r="GH134" i="15"/>
  <c r="GI134" i="15"/>
  <c r="GJ134" i="15"/>
  <c r="GK134" i="15"/>
  <c r="GL134" i="15"/>
  <c r="GM134" i="15"/>
  <c r="GN134" i="15"/>
  <c r="GO134" i="15"/>
  <c r="GP134" i="15"/>
  <c r="GQ134" i="15"/>
  <c r="GR134" i="15"/>
  <c r="GS134" i="15"/>
  <c r="GT134" i="15"/>
  <c r="GU134" i="15"/>
  <c r="GV134" i="15"/>
  <c r="GW134" i="15"/>
  <c r="GX134" i="15"/>
  <c r="GY134" i="15"/>
  <c r="GZ134" i="15"/>
  <c r="HA134" i="15"/>
  <c r="HB134" i="15"/>
  <c r="HC134" i="15"/>
  <c r="HD134" i="15"/>
  <c r="HE134" i="15"/>
  <c r="HF134" i="15"/>
  <c r="HG134" i="15"/>
  <c r="HH134" i="15"/>
  <c r="FM135" i="15"/>
  <c r="FN135" i="15"/>
  <c r="FO135" i="15"/>
  <c r="FP135" i="15"/>
  <c r="FQ135" i="15"/>
  <c r="FR135" i="15"/>
  <c r="FS135" i="15"/>
  <c r="FT135" i="15"/>
  <c r="FU135" i="15"/>
  <c r="FV135" i="15"/>
  <c r="FW135" i="15"/>
  <c r="FX135" i="15"/>
  <c r="FY135" i="15"/>
  <c r="FZ135" i="15"/>
  <c r="GA135" i="15"/>
  <c r="GB135" i="15"/>
  <c r="GC135" i="15"/>
  <c r="GD135" i="15"/>
  <c r="GE135" i="15"/>
  <c r="GF135" i="15"/>
  <c r="GG135" i="15"/>
  <c r="GH135" i="15"/>
  <c r="GI135" i="15"/>
  <c r="GJ135" i="15"/>
  <c r="GK135" i="15"/>
  <c r="GL135" i="15"/>
  <c r="GM135" i="15"/>
  <c r="GN135" i="15"/>
  <c r="GO135" i="15"/>
  <c r="GP135" i="15"/>
  <c r="GQ135" i="15"/>
  <c r="GR135" i="15"/>
  <c r="GS135" i="15"/>
  <c r="GT135" i="15"/>
  <c r="GU135" i="15"/>
  <c r="GV135" i="15"/>
  <c r="GW135" i="15"/>
  <c r="GX135" i="15"/>
  <c r="GY135" i="15"/>
  <c r="GZ135" i="15"/>
  <c r="HA135" i="15"/>
  <c r="HB135" i="15"/>
  <c r="HC135" i="15"/>
  <c r="HD135" i="15"/>
  <c r="HE135" i="15"/>
  <c r="HF135" i="15"/>
  <c r="HG135" i="15"/>
  <c r="HH135" i="15"/>
  <c r="FM136" i="15"/>
  <c r="FN136" i="15"/>
  <c r="FO136" i="15"/>
  <c r="FP136" i="15"/>
  <c r="FQ136" i="15"/>
  <c r="FR136" i="15"/>
  <c r="FS136" i="15"/>
  <c r="FT136" i="15"/>
  <c r="FU136" i="15"/>
  <c r="FV136" i="15"/>
  <c r="FW136" i="15"/>
  <c r="FX136" i="15"/>
  <c r="FY136" i="15"/>
  <c r="FZ136" i="15"/>
  <c r="GA136" i="15"/>
  <c r="GB136" i="15"/>
  <c r="GC136" i="15"/>
  <c r="GD136" i="15"/>
  <c r="GE136" i="15"/>
  <c r="GF136" i="15"/>
  <c r="GG136" i="15"/>
  <c r="GH136" i="15"/>
  <c r="GI136" i="15"/>
  <c r="GJ136" i="15"/>
  <c r="GK136" i="15"/>
  <c r="GL136" i="15"/>
  <c r="GM136" i="15"/>
  <c r="GN136" i="15"/>
  <c r="GO136" i="15"/>
  <c r="GP136" i="15"/>
  <c r="GQ136" i="15"/>
  <c r="GR136" i="15"/>
  <c r="GS136" i="15"/>
  <c r="GT136" i="15"/>
  <c r="GU136" i="15"/>
  <c r="GV136" i="15"/>
  <c r="GW136" i="15"/>
  <c r="GX136" i="15"/>
  <c r="GY136" i="15"/>
  <c r="GZ136" i="15"/>
  <c r="HA136" i="15"/>
  <c r="HB136" i="15"/>
  <c r="HC136" i="15"/>
  <c r="HD136" i="15"/>
  <c r="HE136" i="15"/>
  <c r="HF136" i="15"/>
  <c r="HG136" i="15"/>
  <c r="HH136" i="15"/>
  <c r="FM137" i="15"/>
  <c r="FN137" i="15"/>
  <c r="FO137" i="15"/>
  <c r="FP137" i="15"/>
  <c r="FQ137" i="15"/>
  <c r="FR137" i="15"/>
  <c r="FS137" i="15"/>
  <c r="FT137" i="15"/>
  <c r="FU137" i="15"/>
  <c r="FV137" i="15"/>
  <c r="FW137" i="15"/>
  <c r="FX137" i="15"/>
  <c r="FY137" i="15"/>
  <c r="FZ137" i="15"/>
  <c r="GA137" i="15"/>
  <c r="GB137" i="15"/>
  <c r="GC137" i="15"/>
  <c r="GD137" i="15"/>
  <c r="GE137" i="15"/>
  <c r="GF137" i="15"/>
  <c r="GG137" i="15"/>
  <c r="GH137" i="15"/>
  <c r="GI137" i="15"/>
  <c r="GJ137" i="15"/>
  <c r="GK137" i="15"/>
  <c r="GL137" i="15"/>
  <c r="GM137" i="15"/>
  <c r="GN137" i="15"/>
  <c r="GO137" i="15"/>
  <c r="GP137" i="15"/>
  <c r="GQ137" i="15"/>
  <c r="GR137" i="15"/>
  <c r="GS137" i="15"/>
  <c r="GT137" i="15"/>
  <c r="GU137" i="15"/>
  <c r="GV137" i="15"/>
  <c r="GW137" i="15"/>
  <c r="GX137" i="15"/>
  <c r="GY137" i="15"/>
  <c r="GZ137" i="15"/>
  <c r="HA137" i="15"/>
  <c r="HB137" i="15"/>
  <c r="HC137" i="15"/>
  <c r="HD137" i="15"/>
  <c r="HE137" i="15"/>
  <c r="HF137" i="15"/>
  <c r="HG137" i="15"/>
  <c r="HH137" i="15"/>
  <c r="FM138" i="15"/>
  <c r="FN138" i="15"/>
  <c r="FO138" i="15"/>
  <c r="FP138" i="15"/>
  <c r="FQ138" i="15"/>
  <c r="FR138" i="15"/>
  <c r="FS138" i="15"/>
  <c r="FT138" i="15"/>
  <c r="FU138" i="15"/>
  <c r="FV138" i="15"/>
  <c r="FW138" i="15"/>
  <c r="FX138" i="15"/>
  <c r="FY138" i="15"/>
  <c r="FZ138" i="15"/>
  <c r="GA138" i="15"/>
  <c r="GB138" i="15"/>
  <c r="GC138" i="15"/>
  <c r="GD138" i="15"/>
  <c r="GE138" i="15"/>
  <c r="GF138" i="15"/>
  <c r="GG138" i="15"/>
  <c r="GH138" i="15"/>
  <c r="GI138" i="15"/>
  <c r="GJ138" i="15"/>
  <c r="GK138" i="15"/>
  <c r="GL138" i="15"/>
  <c r="GM138" i="15"/>
  <c r="GN138" i="15"/>
  <c r="GO138" i="15"/>
  <c r="GP138" i="15"/>
  <c r="GQ138" i="15"/>
  <c r="GR138" i="15"/>
  <c r="GS138" i="15"/>
  <c r="GT138" i="15"/>
  <c r="GU138" i="15"/>
  <c r="GV138" i="15"/>
  <c r="GW138" i="15"/>
  <c r="GX138" i="15"/>
  <c r="GY138" i="15"/>
  <c r="GZ138" i="15"/>
  <c r="HA138" i="15"/>
  <c r="HB138" i="15"/>
  <c r="HC138" i="15"/>
  <c r="HD138" i="15"/>
  <c r="HE138" i="15"/>
  <c r="HF138" i="15"/>
  <c r="HG138" i="15"/>
  <c r="HH138" i="15"/>
  <c r="FM139" i="15"/>
  <c r="FN139" i="15"/>
  <c r="FO139" i="15"/>
  <c r="FP139" i="15"/>
  <c r="FQ139" i="15"/>
  <c r="FR139" i="15"/>
  <c r="FS139" i="15"/>
  <c r="FT139" i="15"/>
  <c r="FU139" i="15"/>
  <c r="FV139" i="15"/>
  <c r="FW139" i="15"/>
  <c r="FX139" i="15"/>
  <c r="FY139" i="15"/>
  <c r="FZ139" i="15"/>
  <c r="GA139" i="15"/>
  <c r="GB139" i="15"/>
  <c r="GC139" i="15"/>
  <c r="GD139" i="15"/>
  <c r="GE139" i="15"/>
  <c r="GF139" i="15"/>
  <c r="GG139" i="15"/>
  <c r="GH139" i="15"/>
  <c r="GI139" i="15"/>
  <c r="GJ139" i="15"/>
  <c r="GK139" i="15"/>
  <c r="GL139" i="15"/>
  <c r="GM139" i="15"/>
  <c r="GN139" i="15"/>
  <c r="GO139" i="15"/>
  <c r="GP139" i="15"/>
  <c r="GQ139" i="15"/>
  <c r="GR139" i="15"/>
  <c r="GS139" i="15"/>
  <c r="GT139" i="15"/>
  <c r="GU139" i="15"/>
  <c r="GV139" i="15"/>
  <c r="GW139" i="15"/>
  <c r="GX139" i="15"/>
  <c r="GY139" i="15"/>
  <c r="GZ139" i="15"/>
  <c r="HA139" i="15"/>
  <c r="HB139" i="15"/>
  <c r="HC139" i="15"/>
  <c r="HD139" i="15"/>
  <c r="HE139" i="15"/>
  <c r="HF139" i="15"/>
  <c r="HG139" i="15"/>
  <c r="HH139" i="15"/>
  <c r="FM140" i="15"/>
  <c r="FN140" i="15"/>
  <c r="FO140" i="15"/>
  <c r="FP140" i="15"/>
  <c r="FQ140" i="15"/>
  <c r="FR140" i="15"/>
  <c r="FS140" i="15"/>
  <c r="FT140" i="15"/>
  <c r="FU140" i="15"/>
  <c r="FV140" i="15"/>
  <c r="FW140" i="15"/>
  <c r="FX140" i="15"/>
  <c r="FY140" i="15"/>
  <c r="FZ140" i="15"/>
  <c r="GA140" i="15"/>
  <c r="GB140" i="15"/>
  <c r="GC140" i="15"/>
  <c r="GD140" i="15"/>
  <c r="GE140" i="15"/>
  <c r="GF140" i="15"/>
  <c r="GG140" i="15"/>
  <c r="GH140" i="15"/>
  <c r="GI140" i="15"/>
  <c r="GJ140" i="15"/>
  <c r="GK140" i="15"/>
  <c r="GL140" i="15"/>
  <c r="GM140" i="15"/>
  <c r="GN140" i="15"/>
  <c r="GO140" i="15"/>
  <c r="GP140" i="15"/>
  <c r="GQ140" i="15"/>
  <c r="GR140" i="15"/>
  <c r="GS140" i="15"/>
  <c r="GT140" i="15"/>
  <c r="GU140" i="15"/>
  <c r="GV140" i="15"/>
  <c r="GW140" i="15"/>
  <c r="GX140" i="15"/>
  <c r="GY140" i="15"/>
  <c r="GZ140" i="15"/>
  <c r="HA140" i="15"/>
  <c r="HB140" i="15"/>
  <c r="HC140" i="15"/>
  <c r="HD140" i="15"/>
  <c r="HE140" i="15"/>
  <c r="HF140" i="15"/>
  <c r="HG140" i="15"/>
  <c r="HH140" i="15"/>
  <c r="FM141" i="15"/>
  <c r="FN141" i="15"/>
  <c r="FO141" i="15"/>
  <c r="FP141" i="15"/>
  <c r="FQ141" i="15"/>
  <c r="FR141" i="15"/>
  <c r="FS141" i="15"/>
  <c r="FT141" i="15"/>
  <c r="FU141" i="15"/>
  <c r="FV141" i="15"/>
  <c r="FW141" i="15"/>
  <c r="FX141" i="15"/>
  <c r="FY141" i="15"/>
  <c r="FZ141" i="15"/>
  <c r="GA141" i="15"/>
  <c r="GB141" i="15"/>
  <c r="GC141" i="15"/>
  <c r="GD141" i="15"/>
  <c r="GE141" i="15"/>
  <c r="GF141" i="15"/>
  <c r="GG141" i="15"/>
  <c r="GH141" i="15"/>
  <c r="GI141" i="15"/>
  <c r="GJ141" i="15"/>
  <c r="GK141" i="15"/>
  <c r="GL141" i="15"/>
  <c r="GM141" i="15"/>
  <c r="GN141" i="15"/>
  <c r="GO141" i="15"/>
  <c r="GP141" i="15"/>
  <c r="GQ141" i="15"/>
  <c r="GR141" i="15"/>
  <c r="GS141" i="15"/>
  <c r="GT141" i="15"/>
  <c r="GU141" i="15"/>
  <c r="GV141" i="15"/>
  <c r="GW141" i="15"/>
  <c r="GX141" i="15"/>
  <c r="GY141" i="15"/>
  <c r="GZ141" i="15"/>
  <c r="HA141" i="15"/>
  <c r="HB141" i="15"/>
  <c r="HC141" i="15"/>
  <c r="HD141" i="15"/>
  <c r="HE141" i="15"/>
  <c r="HF141" i="15"/>
  <c r="HG141" i="15"/>
  <c r="HH141" i="15"/>
  <c r="FM142" i="15"/>
  <c r="FN142" i="15"/>
  <c r="FO142" i="15"/>
  <c r="FP142" i="15"/>
  <c r="FQ142" i="15"/>
  <c r="FR142" i="15"/>
  <c r="FS142" i="15"/>
  <c r="FT142" i="15"/>
  <c r="FU142" i="15"/>
  <c r="FV142" i="15"/>
  <c r="FW142" i="15"/>
  <c r="FX142" i="15"/>
  <c r="FY142" i="15"/>
  <c r="FZ142" i="15"/>
  <c r="GA142" i="15"/>
  <c r="GB142" i="15"/>
  <c r="GC142" i="15"/>
  <c r="GD142" i="15"/>
  <c r="GE142" i="15"/>
  <c r="GF142" i="15"/>
  <c r="GG142" i="15"/>
  <c r="GH142" i="15"/>
  <c r="GI142" i="15"/>
  <c r="GJ142" i="15"/>
  <c r="GK142" i="15"/>
  <c r="GL142" i="15"/>
  <c r="GM142" i="15"/>
  <c r="GN142" i="15"/>
  <c r="GO142" i="15"/>
  <c r="GP142" i="15"/>
  <c r="GQ142" i="15"/>
  <c r="GR142" i="15"/>
  <c r="GS142" i="15"/>
  <c r="GT142" i="15"/>
  <c r="GU142" i="15"/>
  <c r="GV142" i="15"/>
  <c r="GW142" i="15"/>
  <c r="GX142" i="15"/>
  <c r="GY142" i="15"/>
  <c r="GZ142" i="15"/>
  <c r="HA142" i="15"/>
  <c r="HB142" i="15"/>
  <c r="HC142" i="15"/>
  <c r="HD142" i="15"/>
  <c r="HE142" i="15"/>
  <c r="HF142" i="15"/>
  <c r="HG142" i="15"/>
  <c r="HH142" i="15"/>
  <c r="FM143" i="15"/>
  <c r="FN143" i="15"/>
  <c r="FO143" i="15"/>
  <c r="FP143" i="15"/>
  <c r="FQ143" i="15"/>
  <c r="FR143" i="15"/>
  <c r="FS143" i="15"/>
  <c r="FT143" i="15"/>
  <c r="FU143" i="15"/>
  <c r="FV143" i="15"/>
  <c r="FW143" i="15"/>
  <c r="FX143" i="15"/>
  <c r="FY143" i="15"/>
  <c r="FZ143" i="15"/>
  <c r="GA143" i="15"/>
  <c r="GB143" i="15"/>
  <c r="GC143" i="15"/>
  <c r="GD143" i="15"/>
  <c r="GE143" i="15"/>
  <c r="GF143" i="15"/>
  <c r="GG143" i="15"/>
  <c r="GH143" i="15"/>
  <c r="GI143" i="15"/>
  <c r="GJ143" i="15"/>
  <c r="GK143" i="15"/>
  <c r="GL143" i="15"/>
  <c r="GM143" i="15"/>
  <c r="GN143" i="15"/>
  <c r="GO143" i="15"/>
  <c r="GP143" i="15"/>
  <c r="GQ143" i="15"/>
  <c r="GR143" i="15"/>
  <c r="GS143" i="15"/>
  <c r="GT143" i="15"/>
  <c r="GU143" i="15"/>
  <c r="GV143" i="15"/>
  <c r="GW143" i="15"/>
  <c r="GX143" i="15"/>
  <c r="GY143" i="15"/>
  <c r="GZ143" i="15"/>
  <c r="HA143" i="15"/>
  <c r="HB143" i="15"/>
  <c r="HC143" i="15"/>
  <c r="HD143" i="15"/>
  <c r="HE143" i="15"/>
  <c r="HF143" i="15"/>
  <c r="HG143" i="15"/>
  <c r="HH143" i="15"/>
  <c r="FM144" i="15"/>
  <c r="FN144" i="15"/>
  <c r="FO144" i="15"/>
  <c r="FP144" i="15"/>
  <c r="FQ144" i="15"/>
  <c r="FR144" i="15"/>
  <c r="FS144" i="15"/>
  <c r="FT144" i="15"/>
  <c r="FU144" i="15"/>
  <c r="FV144" i="15"/>
  <c r="FW144" i="15"/>
  <c r="FX144" i="15"/>
  <c r="FY144" i="15"/>
  <c r="FZ144" i="15"/>
  <c r="GA144" i="15"/>
  <c r="GB144" i="15"/>
  <c r="GC144" i="15"/>
  <c r="GD144" i="15"/>
  <c r="GE144" i="15"/>
  <c r="GF144" i="15"/>
  <c r="GG144" i="15"/>
  <c r="GH144" i="15"/>
  <c r="GI144" i="15"/>
  <c r="GJ144" i="15"/>
  <c r="GK144" i="15"/>
  <c r="GL144" i="15"/>
  <c r="GM144" i="15"/>
  <c r="GN144" i="15"/>
  <c r="GO144" i="15"/>
  <c r="GP144" i="15"/>
  <c r="GQ144" i="15"/>
  <c r="GR144" i="15"/>
  <c r="GS144" i="15"/>
  <c r="GT144" i="15"/>
  <c r="GU144" i="15"/>
  <c r="GV144" i="15"/>
  <c r="GW144" i="15"/>
  <c r="GX144" i="15"/>
  <c r="GY144" i="15"/>
  <c r="GZ144" i="15"/>
  <c r="HA144" i="15"/>
  <c r="HB144" i="15"/>
  <c r="HC144" i="15"/>
  <c r="HD144" i="15"/>
  <c r="HE144" i="15"/>
  <c r="HF144" i="15"/>
  <c r="HG144" i="15"/>
  <c r="HH144" i="15"/>
  <c r="FM145" i="15"/>
  <c r="FN145" i="15"/>
  <c r="FO145" i="15"/>
  <c r="FP145" i="15"/>
  <c r="FQ145" i="15"/>
  <c r="FR145" i="15"/>
  <c r="FS145" i="15"/>
  <c r="FT145" i="15"/>
  <c r="FU145" i="15"/>
  <c r="FV145" i="15"/>
  <c r="FW145" i="15"/>
  <c r="FX145" i="15"/>
  <c r="FY145" i="15"/>
  <c r="FZ145" i="15"/>
  <c r="GA145" i="15"/>
  <c r="GB145" i="15"/>
  <c r="GC145" i="15"/>
  <c r="GD145" i="15"/>
  <c r="GE145" i="15"/>
  <c r="GF145" i="15"/>
  <c r="GG145" i="15"/>
  <c r="GH145" i="15"/>
  <c r="GI145" i="15"/>
  <c r="GJ145" i="15"/>
  <c r="GK145" i="15"/>
  <c r="GL145" i="15"/>
  <c r="GM145" i="15"/>
  <c r="GN145" i="15"/>
  <c r="GO145" i="15"/>
  <c r="GP145" i="15"/>
  <c r="GQ145" i="15"/>
  <c r="GR145" i="15"/>
  <c r="GS145" i="15"/>
  <c r="GT145" i="15"/>
  <c r="GU145" i="15"/>
  <c r="GV145" i="15"/>
  <c r="GW145" i="15"/>
  <c r="GX145" i="15"/>
  <c r="GY145" i="15"/>
  <c r="GZ145" i="15"/>
  <c r="HA145" i="15"/>
  <c r="HB145" i="15"/>
  <c r="HC145" i="15"/>
  <c r="HD145" i="15"/>
  <c r="HE145" i="15"/>
  <c r="HF145" i="15"/>
  <c r="HG145" i="15"/>
  <c r="HH145" i="15"/>
  <c r="FM146" i="15"/>
  <c r="FN146" i="15"/>
  <c r="FO146" i="15"/>
  <c r="FP146" i="15"/>
  <c r="FQ146" i="15"/>
  <c r="FR146" i="15"/>
  <c r="FS146" i="15"/>
  <c r="FT146" i="15"/>
  <c r="FU146" i="15"/>
  <c r="FV146" i="15"/>
  <c r="FW146" i="15"/>
  <c r="FX146" i="15"/>
  <c r="FY146" i="15"/>
  <c r="FZ146" i="15"/>
  <c r="GA146" i="15"/>
  <c r="GB146" i="15"/>
  <c r="GC146" i="15"/>
  <c r="GD146" i="15"/>
  <c r="GE146" i="15"/>
  <c r="GF146" i="15"/>
  <c r="GG146" i="15"/>
  <c r="GH146" i="15"/>
  <c r="GI146" i="15"/>
  <c r="GJ146" i="15"/>
  <c r="GK146" i="15"/>
  <c r="GL146" i="15"/>
  <c r="GM146" i="15"/>
  <c r="GN146" i="15"/>
  <c r="GO146" i="15"/>
  <c r="GP146" i="15"/>
  <c r="GQ146" i="15"/>
  <c r="GR146" i="15"/>
  <c r="GS146" i="15"/>
  <c r="GT146" i="15"/>
  <c r="GU146" i="15"/>
  <c r="GV146" i="15"/>
  <c r="GW146" i="15"/>
  <c r="GX146" i="15"/>
  <c r="GY146" i="15"/>
  <c r="GZ146" i="15"/>
  <c r="HA146" i="15"/>
  <c r="HB146" i="15"/>
  <c r="HC146" i="15"/>
  <c r="HD146" i="15"/>
  <c r="HE146" i="15"/>
  <c r="HF146" i="15"/>
  <c r="HG146" i="15"/>
  <c r="HH146" i="15"/>
  <c r="FM147" i="15"/>
  <c r="FN147" i="15"/>
  <c r="FO147" i="15"/>
  <c r="FP147" i="15"/>
  <c r="FQ147" i="15"/>
  <c r="FR147" i="15"/>
  <c r="FS147" i="15"/>
  <c r="FT147" i="15"/>
  <c r="FU147" i="15"/>
  <c r="FV147" i="15"/>
  <c r="FW147" i="15"/>
  <c r="FX147" i="15"/>
  <c r="FY147" i="15"/>
  <c r="FZ147" i="15"/>
  <c r="GA147" i="15"/>
  <c r="GB147" i="15"/>
  <c r="GC147" i="15"/>
  <c r="GD147" i="15"/>
  <c r="GE147" i="15"/>
  <c r="GF147" i="15"/>
  <c r="GG147" i="15"/>
  <c r="GH147" i="15"/>
  <c r="GI147" i="15"/>
  <c r="GJ147" i="15"/>
  <c r="GK147" i="15"/>
  <c r="GL147" i="15"/>
  <c r="GM147" i="15"/>
  <c r="GN147" i="15"/>
  <c r="GO147" i="15"/>
  <c r="GP147" i="15"/>
  <c r="GQ147" i="15"/>
  <c r="GR147" i="15"/>
  <c r="GS147" i="15"/>
  <c r="GT147" i="15"/>
  <c r="GU147" i="15"/>
  <c r="GV147" i="15"/>
  <c r="GW147" i="15"/>
  <c r="GX147" i="15"/>
  <c r="GY147" i="15"/>
  <c r="GZ147" i="15"/>
  <c r="HA147" i="15"/>
  <c r="HB147" i="15"/>
  <c r="HC147" i="15"/>
  <c r="HD147" i="15"/>
  <c r="HE147" i="15"/>
  <c r="HF147" i="15"/>
  <c r="HG147" i="15"/>
  <c r="HH147" i="15"/>
  <c r="FM148" i="15"/>
  <c r="FN148" i="15"/>
  <c r="FO148" i="15"/>
  <c r="FP148" i="15"/>
  <c r="FQ148" i="15"/>
  <c r="FR148" i="15"/>
  <c r="FS148" i="15"/>
  <c r="FT148" i="15"/>
  <c r="FU148" i="15"/>
  <c r="FV148" i="15"/>
  <c r="FW148" i="15"/>
  <c r="FX148" i="15"/>
  <c r="FY148" i="15"/>
  <c r="FZ148" i="15"/>
  <c r="GA148" i="15"/>
  <c r="GB148" i="15"/>
  <c r="GC148" i="15"/>
  <c r="GD148" i="15"/>
  <c r="GE148" i="15"/>
  <c r="GF148" i="15"/>
  <c r="GG148" i="15"/>
  <c r="GH148" i="15"/>
  <c r="GI148" i="15"/>
  <c r="GJ148" i="15"/>
  <c r="GK148" i="15"/>
  <c r="GL148" i="15"/>
  <c r="GM148" i="15"/>
  <c r="GN148" i="15"/>
  <c r="GO148" i="15"/>
  <c r="GP148" i="15"/>
  <c r="GQ148" i="15"/>
  <c r="GR148" i="15"/>
  <c r="GS148" i="15"/>
  <c r="GT148" i="15"/>
  <c r="GU148" i="15"/>
  <c r="GV148" i="15"/>
  <c r="GW148" i="15"/>
  <c r="GX148" i="15"/>
  <c r="GY148" i="15"/>
  <c r="GZ148" i="15"/>
  <c r="HA148" i="15"/>
  <c r="HB148" i="15"/>
  <c r="HC148" i="15"/>
  <c r="HD148" i="15"/>
  <c r="HE148" i="15"/>
  <c r="HF148" i="15"/>
  <c r="HG148" i="15"/>
  <c r="HH148" i="15"/>
  <c r="FM149" i="15"/>
  <c r="FN149" i="15"/>
  <c r="FO149" i="15"/>
  <c r="FP149" i="15"/>
  <c r="FQ149" i="15"/>
  <c r="FR149" i="15"/>
  <c r="FS149" i="15"/>
  <c r="FT149" i="15"/>
  <c r="FU149" i="15"/>
  <c r="FV149" i="15"/>
  <c r="FW149" i="15"/>
  <c r="FX149" i="15"/>
  <c r="FY149" i="15"/>
  <c r="FZ149" i="15"/>
  <c r="GA149" i="15"/>
  <c r="GB149" i="15"/>
  <c r="GC149" i="15"/>
  <c r="GD149" i="15"/>
  <c r="GE149" i="15"/>
  <c r="GF149" i="15"/>
  <c r="GG149" i="15"/>
  <c r="GH149" i="15"/>
  <c r="GI149" i="15"/>
  <c r="GJ149" i="15"/>
  <c r="GK149" i="15"/>
  <c r="GL149" i="15"/>
  <c r="GM149" i="15"/>
  <c r="GN149" i="15"/>
  <c r="GO149" i="15"/>
  <c r="GP149" i="15"/>
  <c r="GQ149" i="15"/>
  <c r="GR149" i="15"/>
  <c r="GS149" i="15"/>
  <c r="GT149" i="15"/>
  <c r="GU149" i="15"/>
  <c r="GV149" i="15"/>
  <c r="GW149" i="15"/>
  <c r="GX149" i="15"/>
  <c r="GY149" i="15"/>
  <c r="GZ149" i="15"/>
  <c r="HA149" i="15"/>
  <c r="HB149" i="15"/>
  <c r="HC149" i="15"/>
  <c r="HD149" i="15"/>
  <c r="HE149" i="15"/>
  <c r="HF149" i="15"/>
  <c r="HG149" i="15"/>
  <c r="HH149" i="15"/>
  <c r="FM150" i="15"/>
  <c r="FN150" i="15"/>
  <c r="FO150" i="15"/>
  <c r="FP150" i="15"/>
  <c r="FQ150" i="15"/>
  <c r="FR150" i="15"/>
  <c r="FS150" i="15"/>
  <c r="FT150" i="15"/>
  <c r="FU150" i="15"/>
  <c r="FV150" i="15"/>
  <c r="FW150" i="15"/>
  <c r="FX150" i="15"/>
  <c r="FY150" i="15"/>
  <c r="FZ150" i="15"/>
  <c r="GA150" i="15"/>
  <c r="GB150" i="15"/>
  <c r="GC150" i="15"/>
  <c r="GD150" i="15"/>
  <c r="GE150" i="15"/>
  <c r="GF150" i="15"/>
  <c r="GG150" i="15"/>
  <c r="GH150" i="15"/>
  <c r="GI150" i="15"/>
  <c r="GJ150" i="15"/>
  <c r="GK150" i="15"/>
  <c r="GL150" i="15"/>
  <c r="GM150" i="15"/>
  <c r="GN150" i="15"/>
  <c r="GO150" i="15"/>
  <c r="GP150" i="15"/>
  <c r="GQ150" i="15"/>
  <c r="GR150" i="15"/>
  <c r="GS150" i="15"/>
  <c r="GT150" i="15"/>
  <c r="GU150" i="15"/>
  <c r="GV150" i="15"/>
  <c r="GW150" i="15"/>
  <c r="GX150" i="15"/>
  <c r="GY150" i="15"/>
  <c r="GZ150" i="15"/>
  <c r="HA150" i="15"/>
  <c r="HB150" i="15"/>
  <c r="HC150" i="15"/>
  <c r="HD150" i="15"/>
  <c r="HE150" i="15"/>
  <c r="HF150" i="15"/>
  <c r="HG150" i="15"/>
  <c r="HH150" i="15"/>
  <c r="FM151" i="15"/>
  <c r="FN151" i="15"/>
  <c r="FO151" i="15"/>
  <c r="FP151" i="15"/>
  <c r="FQ151" i="15"/>
  <c r="FR151" i="15"/>
  <c r="FS151" i="15"/>
  <c r="FT151" i="15"/>
  <c r="FU151" i="15"/>
  <c r="FV151" i="15"/>
  <c r="FW151" i="15"/>
  <c r="FX151" i="15"/>
  <c r="FY151" i="15"/>
  <c r="FZ151" i="15"/>
  <c r="GA151" i="15"/>
  <c r="GB151" i="15"/>
  <c r="GC151" i="15"/>
  <c r="GD151" i="15"/>
  <c r="GE151" i="15"/>
  <c r="GF151" i="15"/>
  <c r="GG151" i="15"/>
  <c r="GH151" i="15"/>
  <c r="GI151" i="15"/>
  <c r="GJ151" i="15"/>
  <c r="GK151" i="15"/>
  <c r="GL151" i="15"/>
  <c r="GM151" i="15"/>
  <c r="GN151" i="15"/>
  <c r="GO151" i="15"/>
  <c r="GP151" i="15"/>
  <c r="GQ151" i="15"/>
  <c r="GR151" i="15"/>
  <c r="GS151" i="15"/>
  <c r="GT151" i="15"/>
  <c r="GU151" i="15"/>
  <c r="GV151" i="15"/>
  <c r="GW151" i="15"/>
  <c r="GX151" i="15"/>
  <c r="GY151" i="15"/>
  <c r="GZ151" i="15"/>
  <c r="HA151" i="15"/>
  <c r="HB151" i="15"/>
  <c r="HC151" i="15"/>
  <c r="HD151" i="15"/>
  <c r="HE151" i="15"/>
  <c r="HF151" i="15"/>
  <c r="HG151" i="15"/>
  <c r="HH151" i="15"/>
  <c r="FM152" i="15"/>
  <c r="FN152" i="15"/>
  <c r="FO152" i="15"/>
  <c r="FP152" i="15"/>
  <c r="FQ152" i="15"/>
  <c r="FR152" i="15"/>
  <c r="FS152" i="15"/>
  <c r="FT152" i="15"/>
  <c r="FU152" i="15"/>
  <c r="FV152" i="15"/>
  <c r="FW152" i="15"/>
  <c r="FX152" i="15"/>
  <c r="FY152" i="15"/>
  <c r="FZ152" i="15"/>
  <c r="GA152" i="15"/>
  <c r="GB152" i="15"/>
  <c r="GC152" i="15"/>
  <c r="GD152" i="15"/>
  <c r="GE152" i="15"/>
  <c r="GF152" i="15"/>
  <c r="GG152" i="15"/>
  <c r="GH152" i="15"/>
  <c r="GI152" i="15"/>
  <c r="GJ152" i="15"/>
  <c r="GK152" i="15"/>
  <c r="GL152" i="15"/>
  <c r="GM152" i="15"/>
  <c r="GN152" i="15"/>
  <c r="GO152" i="15"/>
  <c r="GP152" i="15"/>
  <c r="GQ152" i="15"/>
  <c r="GR152" i="15"/>
  <c r="GS152" i="15"/>
  <c r="GT152" i="15"/>
  <c r="GU152" i="15"/>
  <c r="GV152" i="15"/>
  <c r="GW152" i="15"/>
  <c r="GX152" i="15"/>
  <c r="GY152" i="15"/>
  <c r="GZ152" i="15"/>
  <c r="HA152" i="15"/>
  <c r="HB152" i="15"/>
  <c r="HC152" i="15"/>
  <c r="HD152" i="15"/>
  <c r="HE152" i="15"/>
  <c r="HF152" i="15"/>
  <c r="HG152" i="15"/>
  <c r="HH152" i="15"/>
  <c r="FM153" i="15"/>
  <c r="FN153" i="15"/>
  <c r="FO153" i="15"/>
  <c r="FP153" i="15"/>
  <c r="FQ153" i="15"/>
  <c r="FR153" i="15"/>
  <c r="FS153" i="15"/>
  <c r="FT153" i="15"/>
  <c r="FU153" i="15"/>
  <c r="FV153" i="15"/>
  <c r="FW153" i="15"/>
  <c r="FX153" i="15"/>
  <c r="FY153" i="15"/>
  <c r="FZ153" i="15"/>
  <c r="GA153" i="15"/>
  <c r="GB153" i="15"/>
  <c r="GC153" i="15"/>
  <c r="GD153" i="15"/>
  <c r="GE153" i="15"/>
  <c r="GF153" i="15"/>
  <c r="GG153" i="15"/>
  <c r="GH153" i="15"/>
  <c r="GI153" i="15"/>
  <c r="GJ153" i="15"/>
  <c r="GK153" i="15"/>
  <c r="GL153" i="15"/>
  <c r="GM153" i="15"/>
  <c r="GN153" i="15"/>
  <c r="GO153" i="15"/>
  <c r="GP153" i="15"/>
  <c r="GQ153" i="15"/>
  <c r="GR153" i="15"/>
  <c r="GS153" i="15"/>
  <c r="GT153" i="15"/>
  <c r="GU153" i="15"/>
  <c r="GV153" i="15"/>
  <c r="GW153" i="15"/>
  <c r="GX153" i="15"/>
  <c r="GY153" i="15"/>
  <c r="GZ153" i="15"/>
  <c r="HA153" i="15"/>
  <c r="HB153" i="15"/>
  <c r="HC153" i="15"/>
  <c r="HD153" i="15"/>
  <c r="HE153" i="15"/>
  <c r="HF153" i="15"/>
  <c r="HG153" i="15"/>
  <c r="HH153" i="15"/>
  <c r="FM154" i="15"/>
  <c r="FN154" i="15"/>
  <c r="FO154" i="15"/>
  <c r="FP154" i="15"/>
  <c r="FQ154" i="15"/>
  <c r="FR154" i="15"/>
  <c r="FS154" i="15"/>
  <c r="FT154" i="15"/>
  <c r="FU154" i="15"/>
  <c r="FV154" i="15"/>
  <c r="FW154" i="15"/>
  <c r="FX154" i="15"/>
  <c r="FY154" i="15"/>
  <c r="FZ154" i="15"/>
  <c r="GA154" i="15"/>
  <c r="GB154" i="15"/>
  <c r="GC154" i="15"/>
  <c r="GD154" i="15"/>
  <c r="GE154" i="15"/>
  <c r="GF154" i="15"/>
  <c r="GG154" i="15"/>
  <c r="GH154" i="15"/>
  <c r="GI154" i="15"/>
  <c r="GJ154" i="15"/>
  <c r="GK154" i="15"/>
  <c r="GL154" i="15"/>
  <c r="GM154" i="15"/>
  <c r="GN154" i="15"/>
  <c r="GO154" i="15"/>
  <c r="GP154" i="15"/>
  <c r="GQ154" i="15"/>
  <c r="GR154" i="15"/>
  <c r="GS154" i="15"/>
  <c r="GT154" i="15"/>
  <c r="GU154" i="15"/>
  <c r="GV154" i="15"/>
  <c r="GW154" i="15"/>
  <c r="GX154" i="15"/>
  <c r="GY154" i="15"/>
  <c r="GZ154" i="15"/>
  <c r="HA154" i="15"/>
  <c r="HB154" i="15"/>
  <c r="HC154" i="15"/>
  <c r="HD154" i="15"/>
  <c r="HE154" i="15"/>
  <c r="HF154" i="15"/>
  <c r="HG154" i="15"/>
  <c r="HH154" i="15"/>
  <c r="FM155" i="15"/>
  <c r="FN155" i="15"/>
  <c r="FO155" i="15"/>
  <c r="FP155" i="15"/>
  <c r="FQ155" i="15"/>
  <c r="FR155" i="15"/>
  <c r="FS155" i="15"/>
  <c r="FT155" i="15"/>
  <c r="FU155" i="15"/>
  <c r="FV155" i="15"/>
  <c r="FW155" i="15"/>
  <c r="FX155" i="15"/>
  <c r="FY155" i="15"/>
  <c r="FZ155" i="15"/>
  <c r="GA155" i="15"/>
  <c r="GB155" i="15"/>
  <c r="GC155" i="15"/>
  <c r="GD155" i="15"/>
  <c r="GE155" i="15"/>
  <c r="GF155" i="15"/>
  <c r="GG155" i="15"/>
  <c r="GH155" i="15"/>
  <c r="GI155" i="15"/>
  <c r="GJ155" i="15"/>
  <c r="GK155" i="15"/>
  <c r="GL155" i="15"/>
  <c r="GM155" i="15"/>
  <c r="GN155" i="15"/>
  <c r="GO155" i="15"/>
  <c r="GP155" i="15"/>
  <c r="GQ155" i="15"/>
  <c r="GR155" i="15"/>
  <c r="GS155" i="15"/>
  <c r="GT155" i="15"/>
  <c r="GU155" i="15"/>
  <c r="GV155" i="15"/>
  <c r="GW155" i="15"/>
  <c r="GX155" i="15"/>
  <c r="GY155" i="15"/>
  <c r="GZ155" i="15"/>
  <c r="HA155" i="15"/>
  <c r="HB155" i="15"/>
  <c r="HC155" i="15"/>
  <c r="HD155" i="15"/>
  <c r="HE155" i="15"/>
  <c r="HF155" i="15"/>
  <c r="HG155" i="15"/>
  <c r="HH155" i="15"/>
  <c r="FM156" i="15"/>
  <c r="FN156" i="15"/>
  <c r="FO156" i="15"/>
  <c r="FP156" i="15"/>
  <c r="FQ156" i="15"/>
  <c r="FR156" i="15"/>
  <c r="FS156" i="15"/>
  <c r="FT156" i="15"/>
  <c r="FU156" i="15"/>
  <c r="FV156" i="15"/>
  <c r="FW156" i="15"/>
  <c r="FX156" i="15"/>
  <c r="FY156" i="15"/>
  <c r="FZ156" i="15"/>
  <c r="GA156" i="15"/>
  <c r="GB156" i="15"/>
  <c r="GC156" i="15"/>
  <c r="GD156" i="15"/>
  <c r="GE156" i="15"/>
  <c r="GF156" i="15"/>
  <c r="GG156" i="15"/>
  <c r="GH156" i="15"/>
  <c r="GI156" i="15"/>
  <c r="GJ156" i="15"/>
  <c r="GK156" i="15"/>
  <c r="GL156" i="15"/>
  <c r="GM156" i="15"/>
  <c r="GN156" i="15"/>
  <c r="GO156" i="15"/>
  <c r="GP156" i="15"/>
  <c r="GQ156" i="15"/>
  <c r="GR156" i="15"/>
  <c r="GS156" i="15"/>
  <c r="GT156" i="15"/>
  <c r="GU156" i="15"/>
  <c r="GV156" i="15"/>
  <c r="GW156" i="15"/>
  <c r="GX156" i="15"/>
  <c r="GY156" i="15"/>
  <c r="GZ156" i="15"/>
  <c r="HA156" i="15"/>
  <c r="HB156" i="15"/>
  <c r="HC156" i="15"/>
  <c r="HD156" i="15"/>
  <c r="HE156" i="15"/>
  <c r="HF156" i="15"/>
  <c r="HG156" i="15"/>
  <c r="HH156" i="15"/>
  <c r="FM157" i="15"/>
  <c r="FN157" i="15"/>
  <c r="FO157" i="15"/>
  <c r="FP157" i="15"/>
  <c r="FQ157" i="15"/>
  <c r="FR157" i="15"/>
  <c r="FS157" i="15"/>
  <c r="FT157" i="15"/>
  <c r="FU157" i="15"/>
  <c r="FV157" i="15"/>
  <c r="FW157" i="15"/>
  <c r="FX157" i="15"/>
  <c r="FY157" i="15"/>
  <c r="FZ157" i="15"/>
  <c r="GA157" i="15"/>
  <c r="GB157" i="15"/>
  <c r="GC157" i="15"/>
  <c r="GD157" i="15"/>
  <c r="GE157" i="15"/>
  <c r="GF157" i="15"/>
  <c r="GG157" i="15"/>
  <c r="GH157" i="15"/>
  <c r="GI157" i="15"/>
  <c r="GJ157" i="15"/>
  <c r="GK157" i="15"/>
  <c r="GL157" i="15"/>
  <c r="GM157" i="15"/>
  <c r="GN157" i="15"/>
  <c r="GO157" i="15"/>
  <c r="GP157" i="15"/>
  <c r="GQ157" i="15"/>
  <c r="GR157" i="15"/>
  <c r="GS157" i="15"/>
  <c r="GT157" i="15"/>
  <c r="GU157" i="15"/>
  <c r="GV157" i="15"/>
  <c r="GW157" i="15"/>
  <c r="GX157" i="15"/>
  <c r="GY157" i="15"/>
  <c r="GZ157" i="15"/>
  <c r="HA157" i="15"/>
  <c r="HB157" i="15"/>
  <c r="HC157" i="15"/>
  <c r="HD157" i="15"/>
  <c r="HE157" i="15"/>
  <c r="HF157" i="15"/>
  <c r="HG157" i="15"/>
  <c r="HH157" i="15"/>
  <c r="FM158" i="15"/>
  <c r="FN158" i="15"/>
  <c r="FO158" i="15"/>
  <c r="FP158" i="15"/>
  <c r="FQ158" i="15"/>
  <c r="FR158" i="15"/>
  <c r="FS158" i="15"/>
  <c r="FT158" i="15"/>
  <c r="FU158" i="15"/>
  <c r="FV158" i="15"/>
  <c r="FW158" i="15"/>
  <c r="FX158" i="15"/>
  <c r="FY158" i="15"/>
  <c r="FZ158" i="15"/>
  <c r="GA158" i="15"/>
  <c r="GB158" i="15"/>
  <c r="GC158" i="15"/>
  <c r="GD158" i="15"/>
  <c r="GE158" i="15"/>
  <c r="GF158" i="15"/>
  <c r="GG158" i="15"/>
  <c r="GH158" i="15"/>
  <c r="GI158" i="15"/>
  <c r="GJ158" i="15"/>
  <c r="GK158" i="15"/>
  <c r="GL158" i="15"/>
  <c r="GM158" i="15"/>
  <c r="GN158" i="15"/>
  <c r="GO158" i="15"/>
  <c r="GP158" i="15"/>
  <c r="GQ158" i="15"/>
  <c r="GR158" i="15"/>
  <c r="GS158" i="15"/>
  <c r="GT158" i="15"/>
  <c r="GU158" i="15"/>
  <c r="GV158" i="15"/>
  <c r="GW158" i="15"/>
  <c r="GX158" i="15"/>
  <c r="GY158" i="15"/>
  <c r="GZ158" i="15"/>
  <c r="HA158" i="15"/>
  <c r="HB158" i="15"/>
  <c r="HC158" i="15"/>
  <c r="HD158" i="15"/>
  <c r="HE158" i="15"/>
  <c r="HF158" i="15"/>
  <c r="HG158" i="15"/>
  <c r="HH158" i="15"/>
  <c r="FM159" i="15"/>
  <c r="FN159" i="15"/>
  <c r="FO159" i="15"/>
  <c r="FP159" i="15"/>
  <c r="FQ159" i="15"/>
  <c r="FR159" i="15"/>
  <c r="FS159" i="15"/>
  <c r="FT159" i="15"/>
  <c r="FU159" i="15"/>
  <c r="FV159" i="15"/>
  <c r="FW159" i="15"/>
  <c r="FX159" i="15"/>
  <c r="FY159" i="15"/>
  <c r="FZ159" i="15"/>
  <c r="GA159" i="15"/>
  <c r="GB159" i="15"/>
  <c r="GC159" i="15"/>
  <c r="GD159" i="15"/>
  <c r="GE159" i="15"/>
  <c r="GF159" i="15"/>
  <c r="GG159" i="15"/>
  <c r="GH159" i="15"/>
  <c r="GI159" i="15"/>
  <c r="GJ159" i="15"/>
  <c r="GK159" i="15"/>
  <c r="GL159" i="15"/>
  <c r="GM159" i="15"/>
  <c r="GN159" i="15"/>
  <c r="GO159" i="15"/>
  <c r="GP159" i="15"/>
  <c r="GQ159" i="15"/>
  <c r="GR159" i="15"/>
  <c r="GS159" i="15"/>
  <c r="GT159" i="15"/>
  <c r="GU159" i="15"/>
  <c r="GV159" i="15"/>
  <c r="GW159" i="15"/>
  <c r="GX159" i="15"/>
  <c r="GY159" i="15"/>
  <c r="GZ159" i="15"/>
  <c r="HA159" i="15"/>
  <c r="HB159" i="15"/>
  <c r="HC159" i="15"/>
  <c r="HD159" i="15"/>
  <c r="HE159" i="15"/>
  <c r="HF159" i="15"/>
  <c r="HG159" i="15"/>
  <c r="HH159" i="15"/>
  <c r="FM160" i="15"/>
  <c r="FN160" i="15"/>
  <c r="FO160" i="15"/>
  <c r="FP160" i="15"/>
  <c r="FQ160" i="15"/>
  <c r="FR160" i="15"/>
  <c r="FS160" i="15"/>
  <c r="FT160" i="15"/>
  <c r="FU160" i="15"/>
  <c r="FV160" i="15"/>
  <c r="FW160" i="15"/>
  <c r="FX160" i="15"/>
  <c r="FY160" i="15"/>
  <c r="FZ160" i="15"/>
  <c r="GA160" i="15"/>
  <c r="GB160" i="15"/>
  <c r="GC160" i="15"/>
  <c r="GD160" i="15"/>
  <c r="GE160" i="15"/>
  <c r="GF160" i="15"/>
  <c r="GG160" i="15"/>
  <c r="GH160" i="15"/>
  <c r="GI160" i="15"/>
  <c r="GJ160" i="15"/>
  <c r="GK160" i="15"/>
  <c r="GL160" i="15"/>
  <c r="GM160" i="15"/>
  <c r="GN160" i="15"/>
  <c r="GO160" i="15"/>
  <c r="GP160" i="15"/>
  <c r="GQ160" i="15"/>
  <c r="GR160" i="15"/>
  <c r="GS160" i="15"/>
  <c r="GT160" i="15"/>
  <c r="GU160" i="15"/>
  <c r="GV160" i="15"/>
  <c r="GW160" i="15"/>
  <c r="GX160" i="15"/>
  <c r="GY160" i="15"/>
  <c r="GZ160" i="15"/>
  <c r="HA160" i="15"/>
  <c r="HB160" i="15"/>
  <c r="HC160" i="15"/>
  <c r="HD160" i="15"/>
  <c r="HE160" i="15"/>
  <c r="HF160" i="15"/>
  <c r="HG160" i="15"/>
  <c r="HH160" i="15"/>
  <c r="D300" i="15"/>
  <c r="E300" i="15"/>
  <c r="F300" i="15"/>
  <c r="G300" i="15"/>
  <c r="H300" i="15"/>
  <c r="I300" i="15"/>
  <c r="J300" i="15"/>
  <c r="K300" i="15"/>
  <c r="L300" i="15"/>
  <c r="M300" i="15"/>
  <c r="N300" i="15"/>
  <c r="O300" i="15"/>
  <c r="P300" i="15"/>
  <c r="Q300" i="15"/>
  <c r="R300" i="15"/>
  <c r="S300" i="15"/>
  <c r="T300" i="15"/>
  <c r="U300" i="15"/>
  <c r="V300" i="15"/>
  <c r="W300" i="15"/>
  <c r="X300" i="15"/>
  <c r="Y300" i="15"/>
  <c r="Z300" i="15"/>
  <c r="AA300" i="15"/>
  <c r="AB300" i="15"/>
  <c r="AC300" i="15"/>
  <c r="AD300" i="15"/>
  <c r="AE300" i="15"/>
  <c r="AF300" i="15"/>
  <c r="AG300" i="15"/>
  <c r="AH300" i="15"/>
  <c r="AI300" i="15"/>
  <c r="AJ300" i="15"/>
  <c r="AK300" i="15"/>
  <c r="AL300" i="15"/>
  <c r="AM300" i="15"/>
  <c r="AN300" i="15"/>
  <c r="AO300" i="15"/>
  <c r="AP300" i="15"/>
  <c r="AQ300" i="15"/>
  <c r="AR300" i="15"/>
  <c r="AS300" i="15"/>
  <c r="AT300" i="15"/>
  <c r="AU300" i="15"/>
  <c r="AV300" i="15"/>
  <c r="AW300" i="15"/>
  <c r="AX300" i="15"/>
  <c r="AY300" i="15"/>
  <c r="AZ300" i="15"/>
  <c r="BA300" i="15"/>
  <c r="BB300" i="15"/>
  <c r="BC300" i="15"/>
  <c r="BD300" i="15"/>
  <c r="BE300" i="15"/>
  <c r="BF300" i="15"/>
  <c r="BG300" i="15"/>
  <c r="BH300" i="15"/>
  <c r="BI300" i="15"/>
  <c r="BJ300" i="15"/>
  <c r="BK300" i="15"/>
  <c r="BL300" i="15"/>
  <c r="BM300" i="15"/>
  <c r="BN300" i="15"/>
  <c r="BO300" i="15"/>
  <c r="BP300" i="15"/>
  <c r="BQ300" i="15"/>
  <c r="BR300" i="15"/>
  <c r="BS300" i="15"/>
  <c r="BT300" i="15"/>
  <c r="BU300" i="15"/>
  <c r="BV300" i="15"/>
  <c r="BW300" i="15"/>
  <c r="BX300" i="15"/>
  <c r="BY300" i="15"/>
  <c r="BZ300" i="15"/>
  <c r="CA300" i="15"/>
  <c r="CB300" i="15"/>
  <c r="CC300" i="15"/>
  <c r="CD300" i="15"/>
  <c r="CE300" i="15"/>
  <c r="CF300" i="15"/>
  <c r="CG300" i="15"/>
  <c r="CH300" i="15"/>
  <c r="CI300" i="15"/>
  <c r="CJ300" i="15"/>
  <c r="CK300" i="15"/>
  <c r="CL300" i="15"/>
  <c r="CM300" i="15"/>
  <c r="CN300" i="15"/>
  <c r="CO300" i="15"/>
  <c r="CP300" i="15"/>
  <c r="CQ300" i="15"/>
  <c r="CR300" i="15"/>
  <c r="CS300" i="15"/>
  <c r="CT300" i="15"/>
  <c r="CU300" i="15"/>
  <c r="CV300" i="15"/>
  <c r="CW300" i="15"/>
  <c r="CX300" i="15"/>
  <c r="CY300" i="15"/>
  <c r="CZ300" i="15"/>
  <c r="DA300" i="15"/>
  <c r="DB300" i="15"/>
  <c r="DC300" i="15"/>
  <c r="DD300" i="15"/>
  <c r="DE300" i="15"/>
  <c r="DF300" i="15"/>
  <c r="DG300" i="15"/>
  <c r="DH300" i="15"/>
  <c r="DI300" i="15"/>
  <c r="DJ300" i="15"/>
  <c r="DK300" i="15"/>
  <c r="DL300" i="15"/>
  <c r="DM300" i="15"/>
  <c r="DN300" i="15"/>
  <c r="DO300" i="15"/>
  <c r="DP300" i="15"/>
  <c r="DQ300" i="15"/>
  <c r="DR300" i="15"/>
  <c r="DS300" i="15"/>
  <c r="DT300" i="15"/>
  <c r="DU300" i="15"/>
  <c r="DV300" i="15"/>
  <c r="DW300" i="15"/>
  <c r="DX300" i="15"/>
  <c r="DY300" i="15"/>
  <c r="DZ300" i="15"/>
  <c r="EA300" i="15"/>
  <c r="EB300" i="15"/>
  <c r="EC300" i="15"/>
  <c r="ED300" i="15"/>
  <c r="EE300" i="15"/>
  <c r="EF300" i="15"/>
  <c r="EG300" i="15"/>
  <c r="EH300" i="15"/>
  <c r="EI300" i="15"/>
  <c r="EJ300" i="15"/>
  <c r="EK300" i="15"/>
  <c r="EL300" i="15"/>
  <c r="EM300" i="15"/>
  <c r="EN300" i="15"/>
  <c r="EO300" i="15"/>
  <c r="EP300" i="15"/>
  <c r="EQ300" i="15"/>
  <c r="ER300" i="15"/>
  <c r="ES300" i="15"/>
  <c r="ET300" i="15"/>
  <c r="EU300" i="15"/>
  <c r="EV300" i="15"/>
  <c r="EW300" i="15"/>
  <c r="EX300" i="15"/>
  <c r="EY300" i="15"/>
  <c r="EZ300" i="15"/>
  <c r="FA300" i="15"/>
  <c r="FB300" i="15"/>
  <c r="FC300" i="15"/>
  <c r="FD300" i="15"/>
  <c r="FE300" i="15"/>
  <c r="FF300" i="15"/>
  <c r="FG300" i="15"/>
  <c r="FH300" i="15"/>
  <c r="FI300" i="15"/>
  <c r="FJ300" i="15"/>
  <c r="FK300" i="15"/>
  <c r="FL300" i="15"/>
  <c r="FM300" i="15"/>
  <c r="FN300" i="15"/>
  <c r="FO300" i="15"/>
  <c r="FP300" i="15"/>
  <c r="FQ300" i="15"/>
  <c r="FR300" i="15"/>
  <c r="FS300" i="15"/>
  <c r="FT300" i="15"/>
  <c r="FU300" i="15"/>
  <c r="FV300" i="15"/>
  <c r="FW300" i="15"/>
  <c r="FX300" i="15"/>
  <c r="FY300" i="15"/>
  <c r="FZ300" i="15"/>
  <c r="GA300" i="15"/>
  <c r="GB300" i="15"/>
  <c r="GC300" i="15"/>
  <c r="GD300" i="15"/>
  <c r="GE300" i="15"/>
  <c r="GF300" i="15"/>
  <c r="GG300" i="15"/>
  <c r="GH300" i="15"/>
  <c r="GI300" i="15"/>
  <c r="GJ300" i="15"/>
  <c r="GK300" i="15"/>
  <c r="B300" i="15"/>
  <c r="C300" i="15"/>
  <c r="FK200" i="15"/>
  <c r="B200" i="15"/>
  <c r="C200" i="15"/>
  <c r="D200" i="15"/>
  <c r="E200" i="15"/>
  <c r="F200" i="15"/>
  <c r="G200" i="15"/>
  <c r="H200" i="15"/>
  <c r="I200" i="15"/>
  <c r="J200" i="15"/>
  <c r="K200" i="15"/>
  <c r="L200" i="15"/>
  <c r="M200" i="15"/>
  <c r="N200" i="15"/>
  <c r="O200" i="15"/>
  <c r="P200" i="15"/>
  <c r="Q200" i="15"/>
  <c r="R200" i="15"/>
  <c r="S200" i="15"/>
  <c r="T200" i="15"/>
  <c r="U200" i="15"/>
  <c r="V200" i="15"/>
  <c r="W200" i="15"/>
  <c r="X200" i="15"/>
  <c r="Y200" i="15"/>
  <c r="Z200" i="15"/>
  <c r="AA200" i="15"/>
  <c r="AB200" i="15"/>
  <c r="AC200" i="15"/>
  <c r="AD200" i="15"/>
  <c r="AE200" i="15"/>
  <c r="AF200" i="15"/>
  <c r="AG200" i="15"/>
  <c r="AH200" i="15"/>
  <c r="AI200" i="15"/>
  <c r="AJ200" i="15"/>
  <c r="AK200" i="15"/>
  <c r="AL200" i="15"/>
  <c r="AM200" i="15"/>
  <c r="AN200" i="15"/>
  <c r="AO200" i="15"/>
  <c r="AP200" i="15"/>
  <c r="AQ200" i="15"/>
  <c r="AR200" i="15"/>
  <c r="AS200" i="15"/>
  <c r="AT200" i="15"/>
  <c r="AU200" i="15"/>
  <c r="AV200" i="15"/>
  <c r="AW200" i="15"/>
  <c r="AX200" i="15"/>
  <c r="AY200" i="15"/>
  <c r="AZ200" i="15"/>
  <c r="BA200" i="15"/>
  <c r="BB200" i="15"/>
  <c r="BC200" i="15"/>
  <c r="BD200" i="15"/>
  <c r="BE200" i="15"/>
  <c r="BF200" i="15"/>
  <c r="BG200" i="15"/>
  <c r="BH200" i="15"/>
  <c r="BI200" i="15"/>
  <c r="BJ200" i="15"/>
  <c r="BK200" i="15"/>
  <c r="BL200" i="15"/>
  <c r="BM200" i="15"/>
  <c r="BN200" i="15"/>
  <c r="BO200" i="15"/>
  <c r="BP200" i="15"/>
  <c r="BQ200" i="15"/>
  <c r="BR200" i="15"/>
  <c r="BS200" i="15"/>
  <c r="BT200" i="15"/>
  <c r="BU200" i="15"/>
  <c r="BV200" i="15"/>
  <c r="BW200" i="15"/>
  <c r="BX200" i="15"/>
  <c r="BY200" i="15"/>
  <c r="BZ200" i="15"/>
  <c r="CA200" i="15"/>
  <c r="CB200" i="15"/>
  <c r="CC200" i="15"/>
  <c r="CD200" i="15"/>
  <c r="CE200" i="15"/>
  <c r="CF200" i="15"/>
  <c r="CG200" i="15"/>
  <c r="CH200" i="15"/>
  <c r="CI200" i="15"/>
  <c r="CJ200" i="15"/>
  <c r="CK200" i="15"/>
  <c r="CL200" i="15"/>
  <c r="CM200" i="15"/>
  <c r="CN200" i="15"/>
  <c r="CO200" i="15"/>
  <c r="CP200" i="15"/>
  <c r="CQ200" i="15"/>
  <c r="CR200" i="15"/>
  <c r="CS200" i="15"/>
  <c r="CT200" i="15"/>
  <c r="CU200" i="15"/>
  <c r="CV200" i="15"/>
  <c r="CW200" i="15"/>
  <c r="CX200" i="15"/>
  <c r="CY200" i="15"/>
  <c r="CZ200" i="15"/>
  <c r="DA200" i="15"/>
  <c r="DB200" i="15"/>
  <c r="DC200" i="15"/>
  <c r="DD200" i="15"/>
  <c r="DE200" i="15"/>
  <c r="DF200" i="15"/>
  <c r="DG200" i="15"/>
  <c r="DH200" i="15"/>
  <c r="DI200" i="15"/>
  <c r="DJ200" i="15"/>
  <c r="DK200" i="15"/>
  <c r="DL200" i="15"/>
  <c r="DM200" i="15"/>
  <c r="DN200" i="15"/>
  <c r="DO200" i="15"/>
  <c r="DP200" i="15"/>
  <c r="DQ200" i="15"/>
  <c r="DR200" i="15"/>
  <c r="DS200" i="15"/>
  <c r="DT200" i="15"/>
  <c r="DU200" i="15"/>
  <c r="DV200" i="15"/>
  <c r="DW200" i="15"/>
  <c r="DX200" i="15"/>
  <c r="DY200" i="15"/>
  <c r="DZ200" i="15"/>
  <c r="EA200" i="15"/>
  <c r="EB200" i="15"/>
  <c r="EC200" i="15"/>
  <c r="ED200" i="15"/>
  <c r="EE200" i="15"/>
  <c r="EF200" i="15"/>
  <c r="EG200" i="15"/>
  <c r="EH200" i="15"/>
  <c r="EI200" i="15"/>
  <c r="EJ200" i="15"/>
  <c r="EK200" i="15"/>
  <c r="EL200" i="15"/>
  <c r="EM200" i="15"/>
  <c r="EN200" i="15"/>
  <c r="EO200" i="15"/>
  <c r="EP200" i="15"/>
  <c r="EQ200" i="15"/>
  <c r="ER200" i="15"/>
  <c r="ES200" i="15"/>
  <c r="ET200" i="15"/>
  <c r="EU200" i="15"/>
  <c r="EV200" i="15"/>
  <c r="EW200" i="15"/>
  <c r="EX200" i="15"/>
  <c r="EY200" i="15"/>
  <c r="EZ200" i="15"/>
  <c r="FA200" i="15"/>
  <c r="FB200" i="15"/>
  <c r="FC200" i="15"/>
  <c r="FD200" i="15"/>
  <c r="FE200" i="15"/>
  <c r="FF200" i="15"/>
  <c r="FG200" i="15"/>
  <c r="FH200" i="15"/>
  <c r="FI200" i="15"/>
  <c r="FJ200" i="15"/>
  <c r="A200" i="15"/>
  <c r="A300" i="15"/>
  <c r="O143" i="20" l="1" a="1"/>
  <c r="O143" i="20" s="1"/>
  <c r="O75" i="20" a="1"/>
  <c r="O75" i="20" s="1"/>
  <c r="G77" i="21" a="1"/>
  <c r="G77" i="21" s="1"/>
  <c r="H77" i="21" s="1" a="1"/>
  <c r="H77" i="21" s="1"/>
  <c r="B81" i="21" a="1"/>
  <c r="B81" i="21" s="1"/>
  <c r="A4" i="21"/>
  <c r="G76" i="21" a="1"/>
  <c r="G76" i="21" s="1"/>
  <c r="H76" i="21" s="1" a="1"/>
  <c r="H76" i="21" s="1"/>
  <c r="G7" i="21" a="1"/>
  <c r="G7" i="21" s="1"/>
  <c r="H7" i="21" s="1" a="1"/>
  <c r="H7" i="21" s="1"/>
  <c r="G29" i="21" a="1"/>
  <c r="G29" i="21" s="1"/>
  <c r="H29" i="21" s="1" a="1"/>
  <c r="H29" i="21" s="1"/>
  <c r="G43" i="21" a="1"/>
  <c r="G43" i="21" s="1"/>
  <c r="H43" i="21" s="1" a="1"/>
  <c r="H43" i="21" s="1"/>
  <c r="G16" i="21" a="1"/>
  <c r="G16" i="21" s="1"/>
  <c r="H16" i="21" s="1" a="1"/>
  <c r="H16" i="21" s="1"/>
  <c r="G69" i="21" a="1"/>
  <c r="G69" i="21" s="1"/>
  <c r="H69" i="21" s="1" a="1"/>
  <c r="H69" i="21" s="1"/>
  <c r="G112" i="21" a="1"/>
  <c r="G112" i="21" s="1"/>
  <c r="H112" i="21" s="1" a="1"/>
  <c r="H112" i="21" s="1"/>
  <c r="G25" i="21" a="1"/>
  <c r="G25" i="21" s="1"/>
  <c r="H25" i="21" s="1" a="1"/>
  <c r="H25" i="21" s="1"/>
  <c r="G109" i="21" a="1"/>
  <c r="G109" i="21" s="1"/>
  <c r="H109" i="21" s="1" a="1"/>
  <c r="H109" i="21" s="1"/>
  <c r="G98" i="21" a="1"/>
  <c r="G98" i="21" s="1"/>
  <c r="H98" i="21" s="1" a="1"/>
  <c r="H98" i="21" s="1"/>
  <c r="G28" i="21" a="1"/>
  <c r="G28" i="21" s="1"/>
  <c r="H28" i="21" s="1" a="1"/>
  <c r="H28" i="21" s="1"/>
  <c r="G94" i="21" a="1"/>
  <c r="G94" i="21" s="1"/>
  <c r="H94" i="21" s="1" a="1"/>
  <c r="H94" i="21" s="1"/>
  <c r="G89" i="21" a="1"/>
  <c r="G89" i="21" s="1"/>
  <c r="H89" i="21" s="1" a="1"/>
  <c r="H89" i="21" s="1"/>
  <c r="G48" i="21" a="1"/>
  <c r="G48" i="21" s="1"/>
  <c r="H48" i="21" s="1" a="1"/>
  <c r="H48" i="21" s="1"/>
  <c r="B49" i="21" a="1"/>
  <c r="B49" i="21" s="1"/>
  <c r="B11" i="21" a="1"/>
  <c r="B11" i="21" s="1"/>
  <c r="B99" i="21" a="1"/>
  <c r="B99" i="21" s="1"/>
  <c r="B90" i="21" a="1"/>
  <c r="B90" i="21" s="1"/>
  <c r="B80" i="21" a="1"/>
  <c r="B80" i="21" s="1"/>
  <c r="B107" i="21" a="1"/>
  <c r="B107" i="21" s="1"/>
  <c r="B93" i="21" a="1"/>
  <c r="B93" i="21" s="1"/>
  <c r="B51" i="21" a="1"/>
  <c r="B51" i="21" s="1"/>
  <c r="B108" i="21" a="1"/>
  <c r="B108" i="21" s="1"/>
  <c r="B79" i="21" a="1"/>
  <c r="B79" i="21" s="1"/>
  <c r="B113" i="21" a="1"/>
  <c r="B113" i="21" s="1"/>
  <c r="B66" i="21" a="1"/>
  <c r="B66" i="21" s="1"/>
  <c r="B102" i="21" a="1"/>
  <c r="B102" i="21" s="1"/>
  <c r="B56" i="21" a="1"/>
  <c r="B56" i="21" s="1"/>
  <c r="G5" i="21" a="1"/>
  <c r="G5" i="21" s="1"/>
  <c r="H5" i="21" s="1" a="1"/>
  <c r="H5" i="21" s="1"/>
  <c r="G56" i="21" a="1"/>
  <c r="G56" i="21" s="1"/>
  <c r="H56" i="21" s="1" a="1"/>
  <c r="H56" i="21" s="1"/>
  <c r="G6" i="21" a="1"/>
  <c r="G6" i="21" s="1"/>
  <c r="H6" i="21" s="1" a="1"/>
  <c r="H6" i="21" s="1"/>
  <c r="G15" i="21" a="1"/>
  <c r="G15" i="21" s="1"/>
  <c r="H15" i="21" s="1" a="1"/>
  <c r="H15" i="21" s="1"/>
  <c r="G30" i="21" a="1"/>
  <c r="G30" i="21" s="1"/>
  <c r="H30" i="21" s="1" a="1"/>
  <c r="H30" i="21" s="1"/>
  <c r="G73" i="21" a="1"/>
  <c r="G73" i="21" s="1"/>
  <c r="H73" i="21" s="1" a="1"/>
  <c r="H73" i="21" s="1"/>
  <c r="G113" i="21" a="1"/>
  <c r="G113" i="21" s="1"/>
  <c r="H113" i="21" s="1" a="1"/>
  <c r="H113" i="21" s="1"/>
  <c r="G49" i="21" a="1"/>
  <c r="G49" i="21" s="1"/>
  <c r="H49" i="21" s="1" a="1"/>
  <c r="H49" i="21" s="1"/>
  <c r="G99" i="21" a="1"/>
  <c r="G99" i="21" s="1"/>
  <c r="H99" i="21" s="1" a="1"/>
  <c r="H99" i="21" s="1"/>
  <c r="G52" i="21" a="1"/>
  <c r="G52" i="21" s="1"/>
  <c r="H52" i="21" s="1" a="1"/>
  <c r="H52" i="21" s="1"/>
  <c r="G95" i="21" a="1"/>
  <c r="G95" i="21" s="1"/>
  <c r="H95" i="21" s="1" a="1"/>
  <c r="H95" i="21" s="1"/>
  <c r="G53" i="21" a="1"/>
  <c r="G53" i="21" s="1"/>
  <c r="H53" i="21" s="1" a="1"/>
  <c r="H53" i="21" s="1"/>
  <c r="B34" i="21" a="1"/>
  <c r="B34" i="21" s="1"/>
  <c r="B41" i="21" a="1"/>
  <c r="B41" i="21" s="1"/>
  <c r="B83" i="21" a="1"/>
  <c r="B83" i="21" s="1"/>
  <c r="B82" i="21" a="1"/>
  <c r="B82" i="21" s="1"/>
  <c r="G85" i="21" a="1"/>
  <c r="G85" i="21" s="1"/>
  <c r="H85" i="21" s="1" a="1"/>
  <c r="H85" i="21" s="1"/>
  <c r="G19" i="21" a="1"/>
  <c r="G19" i="21" s="1"/>
  <c r="H19" i="21" s="1" a="1"/>
  <c r="H19" i="21" s="1"/>
  <c r="B68" i="21" a="1"/>
  <c r="B68" i="21" s="1"/>
  <c r="B42" i="21" a="1"/>
  <c r="B42" i="21" s="1"/>
  <c r="B35" i="21" a="1"/>
  <c r="B35" i="21" s="1"/>
  <c r="B44" i="21" a="1"/>
  <c r="B44" i="21" s="1"/>
  <c r="B29" i="21" a="1"/>
  <c r="B29" i="21" s="1"/>
  <c r="B9" i="21" a="1"/>
  <c r="B9" i="21" s="1"/>
  <c r="B38" i="21" a="1"/>
  <c r="B38" i="21" s="1"/>
  <c r="B69" i="21" a="1"/>
  <c r="B69" i="21" s="1"/>
  <c r="B94" i="21" a="1"/>
  <c r="B94" i="21" s="1"/>
  <c r="B75" i="21" a="1"/>
  <c r="B75" i="21" s="1"/>
  <c r="G42" i="21" a="1"/>
  <c r="G42" i="21" s="1"/>
  <c r="H42" i="21" s="1" a="1"/>
  <c r="H42" i="21" s="1"/>
  <c r="G8" i="21" a="1"/>
  <c r="G8" i="21" s="1"/>
  <c r="H8" i="21" s="1" a="1"/>
  <c r="H8" i="21" s="1"/>
  <c r="G79" i="21" a="1"/>
  <c r="G79" i="21" s="1"/>
  <c r="H79" i="21" s="1" a="1"/>
  <c r="H79" i="21" s="1"/>
  <c r="G22" i="21" a="1"/>
  <c r="G22" i="21" s="1"/>
  <c r="H22" i="21" s="1" a="1"/>
  <c r="H22" i="21" s="1"/>
  <c r="G20" i="21" a="1"/>
  <c r="G20" i="21" s="1"/>
  <c r="H20" i="21" s="1" a="1"/>
  <c r="H20" i="21" s="1"/>
  <c r="G45" i="21" a="1"/>
  <c r="G45" i="21" s="1"/>
  <c r="H45" i="21" s="1" a="1"/>
  <c r="H45" i="21" s="1"/>
  <c r="G33" i="21" a="1"/>
  <c r="G33" i="21" s="1"/>
  <c r="H33" i="21" s="1" a="1"/>
  <c r="H33" i="21" s="1"/>
  <c r="G114" i="21" a="1"/>
  <c r="G114" i="21" s="1"/>
  <c r="H114" i="21" s="1" a="1"/>
  <c r="H114" i="21" s="1"/>
  <c r="G75" i="21" a="1"/>
  <c r="G75" i="21" s="1"/>
  <c r="H75" i="21" s="1" a="1"/>
  <c r="H75" i="21" s="1"/>
  <c r="G72" i="21" a="1"/>
  <c r="G72" i="21" s="1"/>
  <c r="H72" i="21" s="1" a="1"/>
  <c r="H72" i="21" s="1"/>
  <c r="G100" i="21" a="1"/>
  <c r="G100" i="21" s="1"/>
  <c r="H100" i="21" s="1" a="1"/>
  <c r="H100" i="21" s="1"/>
  <c r="G62" i="21" a="1"/>
  <c r="G62" i="21" s="1"/>
  <c r="H62" i="21" s="1" a="1"/>
  <c r="H62" i="21" s="1"/>
  <c r="G68" i="21" a="1"/>
  <c r="G68" i="21" s="1"/>
  <c r="H68" i="21" s="1" a="1"/>
  <c r="H68" i="21" s="1"/>
  <c r="G61" i="21" a="1"/>
  <c r="G61" i="21" s="1"/>
  <c r="H61" i="21" s="1" a="1"/>
  <c r="H61" i="21" s="1"/>
  <c r="B55" i="21" a="1"/>
  <c r="B55" i="21" s="1"/>
  <c r="B13" i="21" a="1"/>
  <c r="B13" i="21" s="1"/>
  <c r="B61" i="21" a="1"/>
  <c r="B61" i="21" s="1"/>
  <c r="B54" i="21" a="1"/>
  <c r="B54" i="21" s="1"/>
  <c r="B16" i="21" a="1"/>
  <c r="B16" i="21" s="1"/>
  <c r="B8" i="21" a="1"/>
  <c r="B8" i="21" s="1"/>
  <c r="B92" i="21" a="1"/>
  <c r="B92" i="21" s="1"/>
  <c r="B106" i="21" a="1"/>
  <c r="B106" i="21" s="1"/>
  <c r="B32" i="21" a="1"/>
  <c r="B32" i="21" s="1"/>
  <c r="B20" i="21" a="1"/>
  <c r="B20" i="21" s="1"/>
  <c r="B15" i="21" a="1"/>
  <c r="B15" i="21" s="1"/>
  <c r="B85" i="21" a="1"/>
  <c r="B85" i="21" s="1"/>
  <c r="B78" i="21" a="1"/>
  <c r="B78" i="21" s="1"/>
  <c r="B22" i="21" a="1"/>
  <c r="B22" i="21" s="1"/>
  <c r="G63" i="21" a="1"/>
  <c r="G63" i="21" s="1"/>
  <c r="H63" i="21" s="1" a="1"/>
  <c r="H63" i="21" s="1"/>
  <c r="G13" i="21" a="1"/>
  <c r="G13" i="21" s="1"/>
  <c r="H13" i="21" s="1" a="1"/>
  <c r="H13" i="21" s="1"/>
  <c r="G27" i="21" a="1"/>
  <c r="G27" i="21" s="1"/>
  <c r="H27" i="21" s="1" a="1"/>
  <c r="H27" i="21" s="1"/>
  <c r="G34" i="21" a="1"/>
  <c r="G34" i="21" s="1"/>
  <c r="H34" i="21" s="1" a="1"/>
  <c r="H34" i="21" s="1"/>
  <c r="G18" i="21" a="1"/>
  <c r="G18" i="21" s="1"/>
  <c r="H18" i="21" s="1" a="1"/>
  <c r="H18" i="21" s="1"/>
  <c r="G58" i="21" a="1"/>
  <c r="G58" i="21" s="1"/>
  <c r="H58" i="21" s="1" a="1"/>
  <c r="H58" i="21" s="1"/>
  <c r="G111" i="21" a="1"/>
  <c r="G111" i="21" s="1"/>
  <c r="H111" i="21" s="1" a="1"/>
  <c r="H111" i="21" s="1"/>
  <c r="G116" i="21" a="1"/>
  <c r="G116" i="21" s="1"/>
  <c r="H116" i="21" s="1" a="1"/>
  <c r="H116" i="21" s="1"/>
  <c r="G108" i="21" a="1"/>
  <c r="G108" i="21" s="1"/>
  <c r="H108" i="21" s="1" a="1"/>
  <c r="H108" i="21" s="1"/>
  <c r="G97" i="21" a="1"/>
  <c r="G97" i="21" s="1"/>
  <c r="H97" i="21" s="1" a="1"/>
  <c r="H97" i="21" s="1"/>
  <c r="G96" i="21" a="1"/>
  <c r="G96" i="21" s="1"/>
  <c r="H96" i="21" s="1" a="1"/>
  <c r="H96" i="21" s="1"/>
  <c r="G93" i="21" a="1"/>
  <c r="G93" i="21" s="1"/>
  <c r="H93" i="21" s="1" a="1"/>
  <c r="H93" i="21" s="1"/>
  <c r="G59" i="21" a="1"/>
  <c r="G59" i="21" s="1"/>
  <c r="H59" i="21" s="1" a="1"/>
  <c r="H59" i="21" s="1"/>
  <c r="B53" i="21" a="1"/>
  <c r="B53" i="21" s="1"/>
  <c r="B30" i="21" a="1"/>
  <c r="B30" i="21" s="1"/>
  <c r="B23" i="21" a="1"/>
  <c r="B23" i="21" s="1"/>
  <c r="B64" i="21" a="1"/>
  <c r="B64" i="21" s="1"/>
  <c r="B60" i="21" a="1"/>
  <c r="B60" i="21" s="1"/>
  <c r="B86" i="21" a="1"/>
  <c r="B86" i="21" s="1"/>
  <c r="B24" i="21" a="1"/>
  <c r="B24" i="21" s="1"/>
  <c r="B33" i="21" a="1"/>
  <c r="B33" i="21" s="1"/>
  <c r="B10" i="21" a="1"/>
  <c r="B10" i="21" s="1"/>
  <c r="B45" i="21" a="1"/>
  <c r="B45" i="21" s="1"/>
  <c r="B50" i="21" a="1"/>
  <c r="B50" i="21" s="1"/>
  <c r="B48" i="21" a="1"/>
  <c r="B48" i="21" s="1"/>
  <c r="G81" i="21" a="1"/>
  <c r="G81" i="21" s="1"/>
  <c r="H81" i="21" s="1" a="1"/>
  <c r="H81" i="21" s="1"/>
  <c r="G9" i="21" a="1"/>
  <c r="G9" i="21" s="1"/>
  <c r="H9" i="21" s="1" a="1"/>
  <c r="H9" i="21" s="1"/>
  <c r="G32" i="21" a="1"/>
  <c r="G32" i="21" s="1"/>
  <c r="H32" i="21" s="1" a="1"/>
  <c r="H32" i="21" s="1"/>
  <c r="G40" i="21" a="1"/>
  <c r="G40" i="21" s="1"/>
  <c r="H40" i="21" s="1" a="1"/>
  <c r="H40" i="21" s="1"/>
  <c r="G24" i="21" a="1"/>
  <c r="G24" i="21" s="1"/>
  <c r="H24" i="21" s="1" a="1"/>
  <c r="H24" i="21" s="1"/>
  <c r="G55" i="21" a="1"/>
  <c r="G55" i="21" s="1"/>
  <c r="H55" i="21" s="1" a="1"/>
  <c r="H55" i="21" s="1"/>
  <c r="G46" i="21" a="1"/>
  <c r="G46" i="21" s="1"/>
  <c r="H46" i="21" s="1" a="1"/>
  <c r="H46" i="21" s="1"/>
  <c r="G115" i="21" a="1"/>
  <c r="G115" i="21" s="1"/>
  <c r="H115" i="21" s="1" a="1"/>
  <c r="H115" i="21" s="1"/>
  <c r="G104" i="21" a="1"/>
  <c r="G104" i="21" s="1"/>
  <c r="H104" i="21" s="1" a="1"/>
  <c r="H104" i="21" s="1"/>
  <c r="G103" i="21" a="1"/>
  <c r="G103" i="21" s="1"/>
  <c r="H103" i="21" s="1" a="1"/>
  <c r="H103" i="21" s="1"/>
  <c r="G101" i="21" a="1"/>
  <c r="G101" i="21" s="1"/>
  <c r="H101" i="21" s="1" a="1"/>
  <c r="H101" i="21" s="1"/>
  <c r="G80" i="21" a="1"/>
  <c r="G80" i="21" s="1"/>
  <c r="H80" i="21" s="1" a="1"/>
  <c r="H80" i="21" s="1"/>
  <c r="G39" i="21" a="1"/>
  <c r="G39" i="21" s="1"/>
  <c r="H39" i="21" s="1" a="1"/>
  <c r="H39" i="21" s="1"/>
  <c r="G66" i="21" a="1"/>
  <c r="G66" i="21" s="1"/>
  <c r="H66" i="21" s="1" a="1"/>
  <c r="H66" i="21" s="1"/>
  <c r="B27" i="21" a="1"/>
  <c r="B27" i="21" s="1"/>
  <c r="B31" i="21" a="1"/>
  <c r="B31" i="21" s="1"/>
  <c r="B97" i="21" a="1"/>
  <c r="B97" i="21" s="1"/>
  <c r="B36" i="21" a="1"/>
  <c r="B36" i="21" s="1"/>
  <c r="B37" i="21" a="1"/>
  <c r="B37" i="21" s="1"/>
  <c r="B6" i="21" a="1"/>
  <c r="B6" i="21" s="1"/>
  <c r="B105" i="21" a="1"/>
  <c r="B105" i="21" s="1"/>
  <c r="B91" i="21" a="1"/>
  <c r="B91" i="21" s="1"/>
  <c r="B109" i="21" a="1"/>
  <c r="B109" i="21" s="1"/>
  <c r="B65" i="21" a="1"/>
  <c r="B65" i="21" s="1"/>
  <c r="B70" i="21" a="1"/>
  <c r="B70" i="21" s="1"/>
  <c r="B84" i="21" a="1"/>
  <c r="B84" i="21" s="1"/>
  <c r="B57" i="21" a="1"/>
  <c r="B57" i="21" s="1"/>
  <c r="B76" i="21" a="1"/>
  <c r="B76" i="21" s="1"/>
  <c r="G10" i="21" a="1"/>
  <c r="G10" i="21" s="1"/>
  <c r="H10" i="21" s="1" a="1"/>
  <c r="H10" i="21" s="1"/>
  <c r="G60" i="21" a="1"/>
  <c r="G60" i="21" s="1"/>
  <c r="H60" i="21" s="1" a="1"/>
  <c r="H60" i="21" s="1"/>
  <c r="G21" i="21" a="1"/>
  <c r="G21" i="21" s="1"/>
  <c r="H21" i="21" s="1" a="1"/>
  <c r="H21" i="21" s="1"/>
  <c r="G65" i="21" a="1"/>
  <c r="G65" i="21" s="1"/>
  <c r="H65" i="21" s="1" a="1"/>
  <c r="H65" i="21" s="1"/>
  <c r="G82" i="21" a="1"/>
  <c r="G82" i="21" s="1"/>
  <c r="H82" i="21" s="1" a="1"/>
  <c r="H82" i="21" s="1"/>
  <c r="G90" i="21" a="1"/>
  <c r="G90" i="21" s="1"/>
  <c r="H90" i="21" s="1" a="1"/>
  <c r="H90" i="21" s="1"/>
  <c r="G83" i="21" a="1"/>
  <c r="G83" i="21" s="1"/>
  <c r="H83" i="21" s="1" a="1"/>
  <c r="H83" i="21" s="1"/>
  <c r="B111" i="21" a="1"/>
  <c r="B111" i="21" s="1"/>
  <c r="B17" i="21" a="1"/>
  <c r="B17" i="21" s="1"/>
  <c r="B21" i="21" a="1"/>
  <c r="B21" i="21" s="1"/>
  <c r="B110" i="21" a="1"/>
  <c r="B110" i="21" s="1"/>
  <c r="B98" i="21" a="1"/>
  <c r="B98" i="21" s="1"/>
  <c r="B103" i="21" a="1"/>
  <c r="B103" i="21" s="1"/>
  <c r="B100" i="21" a="1"/>
  <c r="B100" i="21" s="1"/>
  <c r="G88" i="21" a="1"/>
  <c r="G88" i="21" s="1"/>
  <c r="H88" i="21" s="1" a="1"/>
  <c r="H88" i="21" s="1"/>
  <c r="G44" i="21" a="1"/>
  <c r="G44" i="21" s="1"/>
  <c r="H44" i="21" s="1" a="1"/>
  <c r="H44" i="21" s="1"/>
  <c r="G31" i="21" a="1"/>
  <c r="G31" i="21" s="1"/>
  <c r="H31" i="21" s="1" a="1"/>
  <c r="H31" i="21" s="1"/>
  <c r="G51" i="21" a="1"/>
  <c r="G51" i="21" s="1"/>
  <c r="H51" i="21" s="1" a="1"/>
  <c r="H51" i="21" s="1"/>
  <c r="G105" i="21" a="1"/>
  <c r="G105" i="21" s="1"/>
  <c r="H105" i="21" s="1" a="1"/>
  <c r="H105" i="21" s="1"/>
  <c r="G102" i="21" a="1"/>
  <c r="G102" i="21" s="1"/>
  <c r="H102" i="21" s="1" a="1"/>
  <c r="H102" i="21" s="1"/>
  <c r="G50" i="21" a="1"/>
  <c r="G50" i="21" s="1"/>
  <c r="H50" i="21" s="1" a="1"/>
  <c r="H50" i="21" s="1"/>
  <c r="B101" i="21" a="1"/>
  <c r="B101" i="21" s="1"/>
  <c r="B88" i="21" a="1"/>
  <c r="B88" i="21" s="1"/>
  <c r="B28" i="21" a="1"/>
  <c r="B28" i="21" s="1"/>
  <c r="B7" i="21" a="1"/>
  <c r="B7" i="21" s="1"/>
  <c r="B112" i="21" a="1"/>
  <c r="B112" i="21" s="1"/>
  <c r="B89" i="21" a="1"/>
  <c r="B89" i="21" s="1"/>
  <c r="B77" i="21" a="1"/>
  <c r="B77" i="21" s="1"/>
  <c r="B95" i="21" a="1"/>
  <c r="B95" i="21" s="1"/>
  <c r="G35" i="21" a="1"/>
  <c r="G35" i="21" s="1"/>
  <c r="H35" i="21" s="1" a="1"/>
  <c r="H35" i="21" s="1"/>
  <c r="G11" i="21" a="1"/>
  <c r="G11" i="21" s="1"/>
  <c r="H11" i="21" s="1" a="1"/>
  <c r="H11" i="21" s="1"/>
  <c r="G54" i="21" a="1"/>
  <c r="G54" i="21" s="1"/>
  <c r="H54" i="21" s="1" a="1"/>
  <c r="H54" i="21" s="1"/>
  <c r="G67" i="21" a="1"/>
  <c r="G67" i="21" s="1"/>
  <c r="H67" i="21" s="1" a="1"/>
  <c r="H67" i="21" s="1"/>
  <c r="G86" i="21" a="1"/>
  <c r="G86" i="21" s="1"/>
  <c r="H86" i="21" s="1" a="1"/>
  <c r="H86" i="21" s="1"/>
  <c r="G23" i="21" a="1"/>
  <c r="G23" i="21" s="1"/>
  <c r="H23" i="21" s="1" a="1"/>
  <c r="H23" i="21" s="1"/>
  <c r="G37" i="21" a="1"/>
  <c r="G37" i="21" s="1"/>
  <c r="H37" i="21" s="1" a="1"/>
  <c r="H37" i="21" s="1"/>
  <c r="G78" i="21" a="1"/>
  <c r="G78" i="21" s="1"/>
  <c r="H78" i="21" s="1" a="1"/>
  <c r="H78" i="21" s="1"/>
  <c r="G106" i="21" a="1"/>
  <c r="G106" i="21" s="1"/>
  <c r="H106" i="21" s="1" a="1"/>
  <c r="H106" i="21" s="1"/>
  <c r="G26" i="21" a="1"/>
  <c r="G26" i="21" s="1"/>
  <c r="H26" i="21" s="1" a="1"/>
  <c r="H26" i="21" s="1"/>
  <c r="G47" i="21" a="1"/>
  <c r="G47" i="21" s="1"/>
  <c r="H47" i="21" s="1" a="1"/>
  <c r="H47" i="21" s="1"/>
  <c r="G91" i="21" a="1"/>
  <c r="G91" i="21" s="1"/>
  <c r="H91" i="21" s="1" a="1"/>
  <c r="H91" i="21" s="1"/>
  <c r="G64" i="21" a="1"/>
  <c r="G64" i="21" s="1"/>
  <c r="H64" i="21" s="1" a="1"/>
  <c r="H64" i="21" s="1"/>
  <c r="G36" i="21" a="1"/>
  <c r="G36" i="21" s="1"/>
  <c r="H36" i="21" s="1" a="1"/>
  <c r="H36" i="21" s="1"/>
  <c r="B52" i="21" a="1"/>
  <c r="B52" i="21" s="1"/>
  <c r="B62" i="21" a="1"/>
  <c r="B62" i="21" s="1"/>
  <c r="B114" i="21" a="1"/>
  <c r="B114" i="21" s="1"/>
  <c r="B63" i="21" a="1"/>
  <c r="B63" i="21" s="1"/>
  <c r="B47" i="21" a="1"/>
  <c r="B47" i="21" s="1"/>
  <c r="B40" i="21" a="1"/>
  <c r="B40" i="21" s="1"/>
  <c r="B26" i="21" a="1"/>
  <c r="B26" i="21" s="1"/>
  <c r="B12" i="21" a="1"/>
  <c r="B12" i="21" s="1"/>
  <c r="B14" i="21" a="1"/>
  <c r="B14" i="21" s="1"/>
  <c r="B19" i="21" a="1"/>
  <c r="B19" i="21" s="1"/>
  <c r="B115" i="21" a="1"/>
  <c r="B115" i="21" s="1"/>
  <c r="B5" i="21" a="1"/>
  <c r="B5" i="21" s="1"/>
  <c r="B96" i="21" a="1"/>
  <c r="B96" i="21" s="1"/>
  <c r="B18" i="21" a="1"/>
  <c r="B18" i="21" s="1"/>
  <c r="G14" i="21" a="1"/>
  <c r="G14" i="21" s="1"/>
  <c r="H14" i="21" s="1" a="1"/>
  <c r="H14" i="21" s="1"/>
  <c r="G12" i="21" a="1"/>
  <c r="G12" i="21" s="1"/>
  <c r="H12" i="21" s="1" a="1"/>
  <c r="H12" i="21" s="1"/>
  <c r="G17" i="21" a="1"/>
  <c r="G17" i="21" s="1"/>
  <c r="H17" i="21" s="1" a="1"/>
  <c r="H17" i="21" s="1"/>
  <c r="G71" i="21" a="1"/>
  <c r="G71" i="21" s="1"/>
  <c r="H71" i="21" s="1" a="1"/>
  <c r="H71" i="21" s="1"/>
  <c r="G87" i="21" a="1"/>
  <c r="G87" i="21" s="1"/>
  <c r="H87" i="21" s="1" a="1"/>
  <c r="H87" i="21" s="1"/>
  <c r="G38" i="21" a="1"/>
  <c r="G38" i="21" s="1"/>
  <c r="H38" i="21" s="1" a="1"/>
  <c r="H38" i="21" s="1"/>
  <c r="G70" i="21" a="1"/>
  <c r="G70" i="21" s="1"/>
  <c r="H70" i="21" s="1" a="1"/>
  <c r="H70" i="21" s="1"/>
  <c r="G110" i="21" a="1"/>
  <c r="G110" i="21" s="1"/>
  <c r="H110" i="21" s="1" a="1"/>
  <c r="H110" i="21" s="1"/>
  <c r="G107" i="21" a="1"/>
  <c r="G107" i="21" s="1"/>
  <c r="H107" i="21" s="1" a="1"/>
  <c r="H107" i="21" s="1"/>
  <c r="G41" i="21" a="1"/>
  <c r="G41" i="21" s="1"/>
  <c r="H41" i="21" s="1" a="1"/>
  <c r="H41" i="21" s="1"/>
  <c r="G84" i="21" a="1"/>
  <c r="G84" i="21" s="1"/>
  <c r="H84" i="21" s="1" a="1"/>
  <c r="H84" i="21" s="1"/>
  <c r="G92" i="21" a="1"/>
  <c r="G92" i="21" s="1"/>
  <c r="H92" i="21" s="1" a="1"/>
  <c r="H92" i="21" s="1"/>
  <c r="G74" i="21" a="1"/>
  <c r="G74" i="21" s="1"/>
  <c r="H74" i="21" s="1" a="1"/>
  <c r="H74" i="21" s="1"/>
  <c r="G57" i="21" a="1"/>
  <c r="G57" i="21" s="1"/>
  <c r="H57" i="21" s="1" a="1"/>
  <c r="H57" i="21" s="1"/>
  <c r="B58" i="21" a="1"/>
  <c r="B58" i="21" s="1"/>
  <c r="B71" i="21" a="1"/>
  <c r="B71" i="21" s="1"/>
  <c r="B74" i="21" a="1"/>
  <c r="B74" i="21" s="1"/>
  <c r="B87" i="21" a="1"/>
  <c r="B87" i="21" s="1"/>
  <c r="B59" i="21" a="1"/>
  <c r="B59" i="21" s="1"/>
  <c r="B25" i="21" a="1"/>
  <c r="B25" i="21" s="1"/>
  <c r="B116" i="21" a="1"/>
  <c r="B116" i="21" s="1"/>
  <c r="B39" i="21" a="1"/>
  <c r="B39" i="21" s="1"/>
  <c r="B46" i="21" a="1"/>
  <c r="B46" i="21" s="1"/>
  <c r="B73" i="21" a="1"/>
  <c r="B73" i="21" s="1"/>
  <c r="B72" i="21" a="1"/>
  <c r="B72" i="21" s="1"/>
  <c r="B104" i="21" a="1"/>
  <c r="B104" i="21" s="1"/>
  <c r="B43" i="21" a="1"/>
  <c r="B43" i="21" s="1"/>
  <c r="B67" i="21" a="1"/>
  <c r="B67" i="21" s="1"/>
  <c r="J41" i="12"/>
  <c r="K41" i="12" s="1"/>
  <c r="J40" i="12"/>
  <c r="K40" i="12" s="1"/>
  <c r="J39" i="12"/>
  <c r="K39" i="12" s="1"/>
  <c r="I4" i="9"/>
  <c r="K5" i="9"/>
  <c r="J6" i="9" s="1"/>
  <c r="I5" i="9"/>
  <c r="L10" i="12"/>
  <c r="EW198" i="15"/>
  <c r="FH198" i="15"/>
  <c r="FG198" i="15"/>
  <c r="FI198" i="15"/>
  <c r="HB198" i="15"/>
  <c r="GT198" i="15"/>
  <c r="GL198" i="15"/>
  <c r="FV198" i="15"/>
  <c r="FN198" i="15"/>
  <c r="HH198" i="15"/>
  <c r="GZ198" i="15"/>
  <c r="GR198" i="15"/>
  <c r="GJ198" i="15"/>
  <c r="GB198" i="15"/>
  <c r="HG198" i="15"/>
  <c r="GY198" i="15"/>
  <c r="GQ198" i="15"/>
  <c r="GA198" i="15"/>
  <c r="HD198" i="15"/>
  <c r="GV198" i="15"/>
  <c r="GN198" i="15"/>
  <c r="FX198" i="15"/>
  <c r="FP198" i="15"/>
  <c r="HF198" i="15"/>
  <c r="GX198" i="15"/>
  <c r="FZ198" i="15"/>
  <c r="HE198" i="15"/>
  <c r="GW198" i="15"/>
  <c r="GO198" i="15"/>
  <c r="FY198" i="15"/>
  <c r="FQ198" i="15"/>
  <c r="HC198" i="15"/>
  <c r="GU198" i="15"/>
  <c r="GM198" i="15"/>
  <c r="FW198" i="15"/>
  <c r="FO198" i="15"/>
  <c r="GE198" i="15"/>
  <c r="GD198" i="15"/>
  <c r="EP198" i="15"/>
  <c r="EO198" i="15"/>
  <c r="FT198" i="15"/>
  <c r="FL198" i="15"/>
  <c r="GI198" i="15"/>
  <c r="FS198" i="15"/>
  <c r="FK198" i="15"/>
  <c r="EU198" i="15"/>
  <c r="EM198" i="15"/>
  <c r="GP198" i="15"/>
  <c r="GH198" i="15"/>
  <c r="FR198" i="15"/>
  <c r="FJ198" i="15"/>
  <c r="ET198" i="15"/>
  <c r="EL198" i="15"/>
  <c r="GF198" i="15"/>
  <c r="EQ198" i="15"/>
  <c r="EI198" i="15"/>
  <c r="HA198" i="15"/>
  <c r="GS198" i="15"/>
  <c r="GK198" i="15"/>
  <c r="GC198" i="15"/>
  <c r="FU198" i="15"/>
  <c r="FM198" i="15"/>
  <c r="EV198" i="15"/>
  <c r="EN198" i="15"/>
  <c r="GG198" i="15"/>
  <c r="ES198" i="15"/>
  <c r="EK198" i="15"/>
  <c r="ER198" i="15"/>
  <c r="EJ198" i="15"/>
  <c r="DW198" i="15"/>
  <c r="DU198" i="15"/>
  <c r="DL198" i="15"/>
  <c r="CF198" i="15"/>
  <c r="AZ198" i="15"/>
  <c r="DS198" i="15"/>
  <c r="DZ198" i="15"/>
  <c r="DY198" i="15"/>
  <c r="FF198" i="15"/>
  <c r="EX198" i="15"/>
  <c r="DQ198" i="15"/>
  <c r="DI198" i="15"/>
  <c r="DG198" i="15"/>
  <c r="FA198" i="15"/>
  <c r="DE198" i="15"/>
  <c r="EB198" i="15"/>
  <c r="DT198" i="15"/>
  <c r="EY198" i="15"/>
  <c r="EA198" i="15"/>
  <c r="DK198" i="15"/>
  <c r="EH198" i="15"/>
  <c r="DR198" i="15"/>
  <c r="DJ198" i="15"/>
  <c r="FE198" i="15"/>
  <c r="EG198" i="15"/>
  <c r="FD198" i="15"/>
  <c r="EF198" i="15"/>
  <c r="DX198" i="15"/>
  <c r="DP198" i="15"/>
  <c r="DH198" i="15"/>
  <c r="FC198" i="15"/>
  <c r="EE198" i="15"/>
  <c r="DO198" i="15"/>
  <c r="FB198" i="15"/>
  <c r="ED198" i="15"/>
  <c r="DV198" i="15"/>
  <c r="DN198" i="15"/>
  <c r="DF198" i="15"/>
  <c r="EC198" i="15"/>
  <c r="DM198" i="15"/>
  <c r="EZ198" i="15"/>
  <c r="BP198" i="15"/>
  <c r="A198" i="15"/>
  <c r="DA198" i="15"/>
  <c r="CS198" i="15"/>
  <c r="CK198" i="15"/>
  <c r="CC198" i="15"/>
  <c r="BU198" i="15"/>
  <c r="BM198" i="15"/>
  <c r="BE198" i="15"/>
  <c r="AW198" i="15"/>
  <c r="AO198" i="15"/>
  <c r="AG198" i="15"/>
  <c r="Y198" i="15"/>
  <c r="Q198" i="15"/>
  <c r="I198" i="15"/>
  <c r="CZ198" i="15"/>
  <c r="CR198" i="15"/>
  <c r="CJ198" i="15"/>
  <c r="CB198" i="15"/>
  <c r="BT198" i="15"/>
  <c r="BL198" i="15"/>
  <c r="BD198" i="15"/>
  <c r="AV198" i="15"/>
  <c r="AN198" i="15"/>
  <c r="AF198" i="15"/>
  <c r="X198" i="15"/>
  <c r="P198" i="15"/>
  <c r="H198" i="15"/>
  <c r="CY198" i="15"/>
  <c r="CQ198" i="15"/>
  <c r="CI198" i="15"/>
  <c r="CA198" i="15"/>
  <c r="BS198" i="15"/>
  <c r="BK198" i="15"/>
  <c r="BC198" i="15"/>
  <c r="AU198" i="15"/>
  <c r="AM198" i="15"/>
  <c r="AE198" i="15"/>
  <c r="W198" i="15"/>
  <c r="O198" i="15"/>
  <c r="G198" i="15"/>
  <c r="CX198" i="15"/>
  <c r="CP198" i="15"/>
  <c r="CH198" i="15"/>
  <c r="BZ198" i="15"/>
  <c r="BR198" i="15"/>
  <c r="BJ198" i="15"/>
  <c r="BB198" i="15"/>
  <c r="AT198" i="15"/>
  <c r="AL198" i="15"/>
  <c r="AD198" i="15"/>
  <c r="V198" i="15"/>
  <c r="N198" i="15"/>
  <c r="F198" i="15"/>
  <c r="CW198" i="15"/>
  <c r="CO198" i="15"/>
  <c r="CG198" i="15"/>
  <c r="BY198" i="15"/>
  <c r="BQ198" i="15"/>
  <c r="BI198" i="15"/>
  <c r="BA198" i="15"/>
  <c r="AS198" i="15"/>
  <c r="AK198" i="15"/>
  <c r="AC198" i="15"/>
  <c r="U198" i="15"/>
  <c r="M198" i="15"/>
  <c r="E198" i="15"/>
  <c r="DC198" i="15"/>
  <c r="CU198" i="15"/>
  <c r="CM198" i="15"/>
  <c r="CE198" i="15"/>
  <c r="BW198" i="15"/>
  <c r="BO198" i="15"/>
  <c r="BG198" i="15"/>
  <c r="AY198" i="15"/>
  <c r="AQ198" i="15"/>
  <c r="AI198" i="15"/>
  <c r="AA198" i="15"/>
  <c r="S198" i="15"/>
  <c r="K198" i="15"/>
  <c r="C198" i="15"/>
  <c r="DD198" i="15"/>
  <c r="CV198" i="15"/>
  <c r="CN198" i="15"/>
  <c r="BX198" i="15"/>
  <c r="BH198" i="15"/>
  <c r="AR198" i="15"/>
  <c r="AJ198" i="15"/>
  <c r="AB198" i="15"/>
  <c r="T198" i="15"/>
  <c r="L198" i="15"/>
  <c r="D198" i="15"/>
  <c r="DB198" i="15"/>
  <c r="CT198" i="15"/>
  <c r="CL198" i="15"/>
  <c r="CD198" i="15"/>
  <c r="BV198" i="15"/>
  <c r="BN198" i="15"/>
  <c r="BF198" i="15"/>
  <c r="AX198" i="15"/>
  <c r="AP198" i="15"/>
  <c r="AH198" i="15"/>
  <c r="Z198" i="15"/>
  <c r="R198" i="15"/>
  <c r="J198" i="15"/>
  <c r="B198" i="15"/>
  <c r="M2" i="9"/>
  <c r="D62" i="21" l="1" a="1"/>
  <c r="D62" i="21" s="1"/>
  <c r="F62" i="21"/>
  <c r="D103" i="21" a="1"/>
  <c r="D103" i="21" s="1"/>
  <c r="F103" i="21"/>
  <c r="D25" i="21" a="1"/>
  <c r="D25" i="21" s="1"/>
  <c r="F25" i="21"/>
  <c r="D19" i="21" a="1"/>
  <c r="D19" i="21" s="1"/>
  <c r="F19" i="21"/>
  <c r="D69" i="21" a="1"/>
  <c r="D69" i="21" s="1"/>
  <c r="F69" i="21"/>
  <c r="D51" i="21" a="1"/>
  <c r="D51" i="21" s="1"/>
  <c r="F51" i="21"/>
  <c r="D67" i="21" a="1"/>
  <c r="D67" i="21" s="1"/>
  <c r="F67" i="21"/>
  <c r="D97" i="21" a="1"/>
  <c r="D97" i="21" s="1"/>
  <c r="F97" i="21"/>
  <c r="D95" i="21" a="1"/>
  <c r="D95" i="21" s="1"/>
  <c r="F95" i="21"/>
  <c r="D70" i="21" a="1"/>
  <c r="D70" i="21" s="1"/>
  <c r="F70" i="21"/>
  <c r="D60" i="21" a="1"/>
  <c r="D60" i="21" s="1"/>
  <c r="F60" i="21"/>
  <c r="D106" i="21" a="1"/>
  <c r="D106" i="21" s="1"/>
  <c r="F106" i="21"/>
  <c r="D116" i="21" a="1"/>
  <c r="D116" i="21" s="1"/>
  <c r="F116" i="21"/>
  <c r="D115" i="21" a="1"/>
  <c r="D115" i="21" s="1"/>
  <c r="F115" i="21"/>
  <c r="D114" i="21" a="1"/>
  <c r="D114" i="21" s="1"/>
  <c r="F114" i="21"/>
  <c r="D101" i="21" a="1"/>
  <c r="D101" i="21" s="1"/>
  <c r="F101" i="21"/>
  <c r="D100" i="21" a="1"/>
  <c r="D100" i="21" s="1"/>
  <c r="F100" i="21"/>
  <c r="D84" i="21" a="1"/>
  <c r="D84" i="21" s="1"/>
  <c r="F84" i="21"/>
  <c r="D36" i="21" a="1"/>
  <c r="D36" i="21" s="1"/>
  <c r="F36" i="21"/>
  <c r="D86" i="21" a="1"/>
  <c r="D86" i="21" s="1"/>
  <c r="F86" i="21"/>
  <c r="D32" i="21" a="1"/>
  <c r="D32" i="21" s="1"/>
  <c r="F32" i="21"/>
  <c r="D55" i="21" a="1"/>
  <c r="D55" i="21" s="1"/>
  <c r="F55" i="21"/>
  <c r="D94" i="21" a="1"/>
  <c r="D94" i="21" s="1"/>
  <c r="F94" i="21"/>
  <c r="D68" i="21" a="1"/>
  <c r="D68" i="21" s="1"/>
  <c r="F68" i="21"/>
  <c r="D108" i="21" a="1"/>
  <c r="D108" i="21" s="1"/>
  <c r="F108" i="21"/>
  <c r="D49" i="21" a="1"/>
  <c r="D49" i="21" s="1"/>
  <c r="F49" i="21"/>
  <c r="D81" i="21" a="1"/>
  <c r="D81" i="21" s="1"/>
  <c r="F81" i="21"/>
  <c r="O76" i="20" a="1"/>
  <c r="O76" i="20" s="1"/>
  <c r="D43" i="21" a="1"/>
  <c r="D43" i="21" s="1"/>
  <c r="F43" i="21"/>
  <c r="D59" i="21" a="1"/>
  <c r="D59" i="21" s="1"/>
  <c r="F59" i="21"/>
  <c r="D14" i="21" a="1"/>
  <c r="D14" i="21" s="1"/>
  <c r="F14" i="21"/>
  <c r="D52" i="21" a="1"/>
  <c r="D52" i="21" s="1"/>
  <c r="F52" i="21"/>
  <c r="D77" i="21" a="1"/>
  <c r="D77" i="21" s="1"/>
  <c r="F77" i="21"/>
  <c r="D98" i="21" a="1"/>
  <c r="D98" i="21" s="1"/>
  <c r="F98" i="21"/>
  <c r="D65" i="21" a="1"/>
  <c r="D65" i="21" s="1"/>
  <c r="F65" i="21"/>
  <c r="D31" i="21" a="1"/>
  <c r="D31" i="21" s="1"/>
  <c r="F31" i="21"/>
  <c r="D48" i="21" a="1"/>
  <c r="D48" i="21" s="1"/>
  <c r="F48" i="21"/>
  <c r="D64" i="21" a="1"/>
  <c r="D64" i="21" s="1"/>
  <c r="F64" i="21"/>
  <c r="D92" i="21" a="1"/>
  <c r="D92" i="21" s="1"/>
  <c r="F92" i="21"/>
  <c r="D38" i="21" a="1"/>
  <c r="D38" i="21" s="1"/>
  <c r="F38" i="21"/>
  <c r="D93" i="21" a="1"/>
  <c r="D93" i="21" s="1"/>
  <c r="F93" i="21"/>
  <c r="D104" i="21" a="1"/>
  <c r="D104" i="21" s="1"/>
  <c r="F104" i="21"/>
  <c r="D87" i="21" a="1"/>
  <c r="D87" i="21" s="1"/>
  <c r="F87" i="21"/>
  <c r="D12" i="21" a="1"/>
  <c r="D12" i="21" s="1"/>
  <c r="F12" i="21"/>
  <c r="D89" i="21" a="1"/>
  <c r="D89" i="21" s="1"/>
  <c r="F89" i="21"/>
  <c r="D110" i="21" a="1"/>
  <c r="D110" i="21" s="1"/>
  <c r="F110" i="21"/>
  <c r="D109" i="21" a="1"/>
  <c r="D109" i="21" s="1"/>
  <c r="F109" i="21"/>
  <c r="D27" i="21" a="1"/>
  <c r="D27" i="21" s="1"/>
  <c r="F27" i="21"/>
  <c r="D50" i="21" a="1"/>
  <c r="D50" i="21" s="1"/>
  <c r="F50" i="21"/>
  <c r="D23" i="21" a="1"/>
  <c r="D23" i="21" s="1"/>
  <c r="F23" i="21"/>
  <c r="D22" i="21" a="1"/>
  <c r="D22" i="21" s="1"/>
  <c r="F22" i="21"/>
  <c r="D8" i="21" a="1"/>
  <c r="D8" i="21" s="1"/>
  <c r="F8" i="21"/>
  <c r="D9" i="21" a="1"/>
  <c r="D9" i="21" s="1"/>
  <c r="F9" i="21"/>
  <c r="D82" i="21" a="1"/>
  <c r="D82" i="21" s="1"/>
  <c r="F82" i="21"/>
  <c r="D56" i="21" a="1"/>
  <c r="D56" i="21" s="1"/>
  <c r="F56" i="21"/>
  <c r="D107" i="21" a="1"/>
  <c r="D107" i="21" s="1"/>
  <c r="F107" i="21"/>
  <c r="D72" i="21" a="1"/>
  <c r="D72" i="21" s="1"/>
  <c r="F72" i="21"/>
  <c r="D74" i="21" a="1"/>
  <c r="D74" i="21" s="1"/>
  <c r="F74" i="21"/>
  <c r="D26" i="21" a="1"/>
  <c r="D26" i="21" s="1"/>
  <c r="F26" i="21"/>
  <c r="D112" i="21" a="1"/>
  <c r="D112" i="21" s="1"/>
  <c r="F112" i="21"/>
  <c r="D21" i="21" a="1"/>
  <c r="D21" i="21" s="1"/>
  <c r="F21" i="21"/>
  <c r="D91" i="21" a="1"/>
  <c r="D91" i="21" s="1"/>
  <c r="F91" i="21"/>
  <c r="D45" i="21" a="1"/>
  <c r="D45" i="21" s="1"/>
  <c r="F45" i="21"/>
  <c r="D30" i="21" a="1"/>
  <c r="D30" i="21" s="1"/>
  <c r="F30" i="21"/>
  <c r="D78" i="21" a="1"/>
  <c r="D78" i="21" s="1"/>
  <c r="F78" i="21"/>
  <c r="D16" i="21" a="1"/>
  <c r="D16" i="21" s="1"/>
  <c r="F16" i="21"/>
  <c r="D29" i="21" a="1"/>
  <c r="D29" i="21" s="1"/>
  <c r="F29" i="21"/>
  <c r="D83" i="21" a="1"/>
  <c r="D83" i="21" s="1"/>
  <c r="F83" i="21"/>
  <c r="D102" i="21" a="1"/>
  <c r="D102" i="21" s="1"/>
  <c r="F102" i="21"/>
  <c r="D80" i="21" a="1"/>
  <c r="D80" i="21" s="1"/>
  <c r="F80" i="21"/>
  <c r="O144" i="20" a="1"/>
  <c r="O144" i="20" s="1"/>
  <c r="D73" i="21" a="1"/>
  <c r="D73" i="21" s="1"/>
  <c r="F73" i="21"/>
  <c r="D71" i="21" a="1"/>
  <c r="D71" i="21" s="1"/>
  <c r="F71" i="21"/>
  <c r="D18" i="21" a="1"/>
  <c r="D18" i="21" s="1"/>
  <c r="F18" i="21"/>
  <c r="D40" i="21" a="1"/>
  <c r="D40" i="21" s="1"/>
  <c r="F40" i="21"/>
  <c r="D7" i="21" a="1"/>
  <c r="D7" i="21" s="1"/>
  <c r="F7" i="21"/>
  <c r="D17" i="21" a="1"/>
  <c r="D17" i="21" s="1"/>
  <c r="F17" i="21"/>
  <c r="D105" i="21" a="1"/>
  <c r="D105" i="21" s="1"/>
  <c r="F105" i="21"/>
  <c r="D10" i="21" a="1"/>
  <c r="D10" i="21" s="1"/>
  <c r="F10" i="21"/>
  <c r="D53" i="21" a="1"/>
  <c r="D53" i="21" s="1"/>
  <c r="F53" i="21"/>
  <c r="D85" i="21" a="1"/>
  <c r="D85" i="21" s="1"/>
  <c r="F85" i="21"/>
  <c r="D54" i="21" a="1"/>
  <c r="D54" i="21" s="1"/>
  <c r="F54" i="21"/>
  <c r="D44" i="21" a="1"/>
  <c r="D44" i="21" s="1"/>
  <c r="F44" i="21"/>
  <c r="D41" i="21" a="1"/>
  <c r="D41" i="21" s="1"/>
  <c r="F41" i="21"/>
  <c r="D66" i="21" a="1"/>
  <c r="D66" i="21" s="1"/>
  <c r="F66" i="21"/>
  <c r="D90" i="21" a="1"/>
  <c r="D90" i="21" s="1"/>
  <c r="F90" i="21"/>
  <c r="D46" i="21" a="1"/>
  <c r="D46" i="21" s="1"/>
  <c r="F46" i="21"/>
  <c r="D58" i="21" a="1"/>
  <c r="D58" i="21" s="1"/>
  <c r="F58" i="21"/>
  <c r="D96" i="21" a="1"/>
  <c r="D96" i="21" s="1"/>
  <c r="F96" i="21"/>
  <c r="D47" i="21" a="1"/>
  <c r="D47" i="21" s="1"/>
  <c r="F47" i="21"/>
  <c r="D28" i="21" a="1"/>
  <c r="D28" i="21" s="1"/>
  <c r="F28" i="21"/>
  <c r="D111" i="21" a="1"/>
  <c r="D111" i="21" s="1"/>
  <c r="F111" i="21"/>
  <c r="D76" i="21" a="1"/>
  <c r="D76" i="21" s="1"/>
  <c r="F76" i="21"/>
  <c r="D6" i="21" a="1"/>
  <c r="D6" i="21" s="1"/>
  <c r="F6" i="21"/>
  <c r="D33" i="21" a="1"/>
  <c r="D33" i="21" s="1"/>
  <c r="F33" i="21"/>
  <c r="D15" i="21" a="1"/>
  <c r="D15" i="21" s="1"/>
  <c r="F15" i="21"/>
  <c r="D61" i="21" a="1"/>
  <c r="D61" i="21" s="1"/>
  <c r="F61" i="21"/>
  <c r="D35" i="21" a="1"/>
  <c r="D35" i="21" s="1"/>
  <c r="F35" i="21"/>
  <c r="D34" i="21" a="1"/>
  <c r="D34" i="21" s="1"/>
  <c r="F34" i="21"/>
  <c r="D113" i="21" a="1"/>
  <c r="D113" i="21" s="1"/>
  <c r="F113" i="21"/>
  <c r="D99" i="21" a="1"/>
  <c r="D99" i="21" s="1"/>
  <c r="F99" i="21"/>
  <c r="D39" i="21" a="1"/>
  <c r="D39" i="21" s="1"/>
  <c r="F39" i="21"/>
  <c r="D5" i="21" a="1"/>
  <c r="D5" i="21" s="1"/>
  <c r="F5" i="21"/>
  <c r="D63" i="21" a="1"/>
  <c r="D63" i="21" s="1"/>
  <c r="F63" i="21"/>
  <c r="D88" i="21" a="1"/>
  <c r="D88" i="21" s="1"/>
  <c r="F88" i="21"/>
  <c r="D57" i="21" a="1"/>
  <c r="D57" i="21" s="1"/>
  <c r="F57" i="21"/>
  <c r="D37" i="21" a="1"/>
  <c r="D37" i="21" s="1"/>
  <c r="F37" i="21"/>
  <c r="D24" i="21" a="1"/>
  <c r="D24" i="21" s="1"/>
  <c r="F24" i="21"/>
  <c r="D20" i="21" a="1"/>
  <c r="D20" i="21" s="1"/>
  <c r="F20" i="21"/>
  <c r="D13" i="21" a="1"/>
  <c r="D13" i="21" s="1"/>
  <c r="F13" i="21"/>
  <c r="D75" i="21" a="1"/>
  <c r="D75" i="21" s="1"/>
  <c r="F75" i="21"/>
  <c r="D42" i="21" a="1"/>
  <c r="D42" i="21" s="1"/>
  <c r="F42" i="21"/>
  <c r="D79" i="21" a="1"/>
  <c r="D79" i="21" s="1"/>
  <c r="F79" i="21"/>
  <c r="D11" i="21" a="1"/>
  <c r="D11" i="21" s="1"/>
  <c r="F11" i="21"/>
  <c r="G4" i="21" a="1"/>
  <c r="G4" i="21" s="1"/>
  <c r="H4" i="21" s="1" a="1"/>
  <c r="H4" i="21" s="1"/>
  <c r="B4" i="21" a="1"/>
  <c r="B4" i="21" s="1"/>
  <c r="K6" i="9"/>
  <c r="J7" i="9" s="1"/>
  <c r="I6" i="9"/>
  <c r="P75" i="20" l="1" a="1"/>
  <c r="P75" i="20" s="1"/>
  <c r="P144" i="20" a="1"/>
  <c r="P144" i="20" s="1"/>
  <c r="P194" i="20" a="1"/>
  <c r="P194" i="20" s="1"/>
  <c r="P143" i="20" a="1"/>
  <c r="P143" i="20" s="1"/>
  <c r="P76" i="20" a="1"/>
  <c r="P76" i="20" s="1"/>
  <c r="P406" i="20" a="1"/>
  <c r="P406" i="20" s="1"/>
  <c r="P106" i="20" a="1"/>
  <c r="P106" i="20" s="1"/>
  <c r="P386" i="20" a="1"/>
  <c r="P386" i="20" s="1"/>
  <c r="P310" i="20" a="1"/>
  <c r="P310" i="20" s="1"/>
  <c r="P266" i="20" a="1"/>
  <c r="P266" i="20" s="1"/>
  <c r="P384" i="20" a="1"/>
  <c r="P384" i="20" s="1"/>
  <c r="P179" i="20" a="1"/>
  <c r="P179" i="20" s="1"/>
  <c r="P85" i="20" a="1"/>
  <c r="P85" i="20" s="1"/>
  <c r="P273" i="20" a="1"/>
  <c r="P273" i="20" s="1"/>
  <c r="P63" i="20" a="1"/>
  <c r="P63" i="20" s="1"/>
  <c r="P181" i="20" a="1"/>
  <c r="P181" i="20" s="1"/>
  <c r="C5" i="21"/>
  <c r="E5" i="21" s="1"/>
  <c r="P41" i="20" a="1"/>
  <c r="P41" i="20" s="1"/>
  <c r="P318" i="20" a="1"/>
  <c r="P318" i="20" s="1"/>
  <c r="P388" i="20" a="1"/>
  <c r="P388" i="20" s="1"/>
  <c r="P353" i="20" a="1"/>
  <c r="P353" i="20" s="1"/>
  <c r="P366" i="20" a="1"/>
  <c r="P366" i="20" s="1"/>
  <c r="P363" i="20" a="1"/>
  <c r="P363" i="20" s="1"/>
  <c r="P92" i="20" a="1"/>
  <c r="P92" i="20" s="1"/>
  <c r="P280" i="20" a="1"/>
  <c r="P280" i="20" s="1"/>
  <c r="P398" i="20" a="1"/>
  <c r="P398" i="20" s="1"/>
  <c r="P90" i="20" a="1"/>
  <c r="P90" i="20" s="1"/>
  <c r="P306" i="20" a="1"/>
  <c r="P306" i="20" s="1"/>
  <c r="P112" i="20" a="1"/>
  <c r="P112" i="20" s="1"/>
  <c r="P429" i="20" a="1"/>
  <c r="P429" i="20" s="1"/>
  <c r="P345" i="20" a="1"/>
  <c r="P345" i="20" s="1"/>
  <c r="P182" i="20" a="1"/>
  <c r="P182" i="20" s="1"/>
  <c r="P300" i="20" a="1"/>
  <c r="P300" i="20" s="1"/>
  <c r="P418" i="20" a="1"/>
  <c r="P418" i="20" s="1"/>
  <c r="P53" i="20" a="1"/>
  <c r="P53" i="20" s="1"/>
  <c r="P100" i="20" a="1"/>
  <c r="P100" i="20" s="1"/>
  <c r="P152" i="20" a="1"/>
  <c r="P152" i="20" s="1"/>
  <c r="P52" i="20" a="1"/>
  <c r="P52" i="20" s="1"/>
  <c r="P415" i="20" a="1"/>
  <c r="P415" i="20" s="1"/>
  <c r="P417" i="20" a="1"/>
  <c r="P417" i="20" s="1"/>
  <c r="P186" i="20" a="1"/>
  <c r="P186" i="20" s="1"/>
  <c r="P189" i="20" a="1"/>
  <c r="P189" i="20" s="1"/>
  <c r="P209" i="20" a="1"/>
  <c r="P209" i="20" s="1"/>
  <c r="P425" i="20" a="1"/>
  <c r="P425" i="20" s="1"/>
  <c r="P117" i="20" a="1"/>
  <c r="P117" i="20" s="1"/>
  <c r="P327" i="20" a="1"/>
  <c r="P327" i="20" s="1"/>
  <c r="P283" i="20" a="1"/>
  <c r="P283" i="20" s="1"/>
  <c r="P22" i="20" a="1"/>
  <c r="P22" i="20" s="1"/>
  <c r="P294" i="20" a="1"/>
  <c r="P294" i="20" s="1"/>
  <c r="P314" i="20" a="1"/>
  <c r="P314" i="20" s="1"/>
  <c r="P193" i="20" a="1"/>
  <c r="P193" i="20" s="1"/>
  <c r="P338" i="20" a="1"/>
  <c r="P338" i="20" s="1"/>
  <c r="P309" i="20" a="1"/>
  <c r="P309" i="20" s="1"/>
  <c r="P285" i="20" a="1"/>
  <c r="P285" i="20" s="1"/>
  <c r="P255" i="20" a="1"/>
  <c r="P255" i="20" s="1"/>
  <c r="P120" i="20" a="1"/>
  <c r="P120" i="20" s="1"/>
  <c r="P217" i="20" a="1"/>
  <c r="P217" i="20" s="1"/>
  <c r="P241" i="20" a="1"/>
  <c r="P241" i="20" s="1"/>
  <c r="C70" i="21"/>
  <c r="E70" i="21" s="1"/>
  <c r="C80" i="21"/>
  <c r="E80" i="21" s="1"/>
  <c r="C89" i="21"/>
  <c r="E89" i="21" s="1"/>
  <c r="C109" i="21"/>
  <c r="E109" i="21" s="1"/>
  <c r="C46" i="21"/>
  <c r="E46" i="21" s="1"/>
  <c r="C98" i="21"/>
  <c r="E98" i="21" s="1"/>
  <c r="C50" i="21"/>
  <c r="E50" i="21" s="1"/>
  <c r="C25" i="21"/>
  <c r="C31" i="21"/>
  <c r="C52" i="21"/>
  <c r="E52" i="21" s="1"/>
  <c r="C38" i="21"/>
  <c r="E38" i="21" s="1"/>
  <c r="C33" i="21"/>
  <c r="E33" i="21" s="1"/>
  <c r="P349" i="20" a="1"/>
  <c r="P349" i="20" s="1"/>
  <c r="P210" i="20" a="1"/>
  <c r="P210" i="20" s="1"/>
  <c r="P196" i="20" a="1"/>
  <c r="P196" i="20" s="1"/>
  <c r="P216" i="20" a="1"/>
  <c r="P216" i="20" s="1"/>
  <c r="P334" i="20" a="1"/>
  <c r="P334" i="20" s="1"/>
  <c r="P26" i="20" a="1"/>
  <c r="P26" i="20" s="1"/>
  <c r="P121" i="20" a="1"/>
  <c r="P121" i="20" s="1"/>
  <c r="P321" i="20" a="1"/>
  <c r="P321" i="20" s="1"/>
  <c r="P341" i="20" a="1"/>
  <c r="P341" i="20" s="1"/>
  <c r="P131" i="20" a="1"/>
  <c r="P131" i="20" s="1"/>
  <c r="P298" i="20" a="1"/>
  <c r="P298" i="20" s="1"/>
  <c r="P330" i="20" a="1"/>
  <c r="P330" i="20" s="1"/>
  <c r="P164" i="20" a="1"/>
  <c r="P164" i="20" s="1"/>
  <c r="P212" i="20" a="1"/>
  <c r="P212" i="20" s="1"/>
  <c r="P260" i="20" a="1"/>
  <c r="P260" i="20" s="1"/>
  <c r="P233" i="20" a="1"/>
  <c r="P233" i="20" s="1"/>
  <c r="P336" i="20" a="1"/>
  <c r="P336" i="20" s="1"/>
  <c r="P339" i="20" a="1"/>
  <c r="P339" i="20" s="1"/>
  <c r="P328" i="20" a="1"/>
  <c r="P328" i="20" s="1"/>
  <c r="P348" i="20" a="1"/>
  <c r="P348" i="20" s="1"/>
  <c r="P40" i="20" a="1"/>
  <c r="P40" i="20" s="1"/>
  <c r="P424" i="20" a="1"/>
  <c r="P424" i="20" s="1"/>
  <c r="P360" i="20" a="1"/>
  <c r="P360" i="20" s="1"/>
  <c r="P228" i="20" a="1"/>
  <c r="P228" i="20" s="1"/>
  <c r="P380" i="20" a="1"/>
  <c r="P380" i="20" s="1"/>
  <c r="P230" i="20" a="1"/>
  <c r="P230" i="20" s="1"/>
  <c r="P250" i="20" a="1"/>
  <c r="P250" i="20" s="1"/>
  <c r="P389" i="20" a="1"/>
  <c r="P389" i="20" s="1"/>
  <c r="P73" i="20" a="1"/>
  <c r="P73" i="20" s="1"/>
  <c r="P213" i="20" a="1"/>
  <c r="P213" i="20" s="1"/>
  <c r="P132" i="20" a="1"/>
  <c r="P132" i="20" s="1"/>
  <c r="P38" i="20" a="1"/>
  <c r="P38" i="20" s="1"/>
  <c r="P32" i="20" a="1"/>
  <c r="P32" i="20" s="1"/>
  <c r="P337" i="20" a="1"/>
  <c r="P337" i="20" s="1"/>
  <c r="P29" i="20" a="1"/>
  <c r="P29" i="20" s="1"/>
  <c r="P197" i="20" a="1"/>
  <c r="P197" i="20" s="1"/>
  <c r="P257" i="20" a="1"/>
  <c r="P257" i="20" s="1"/>
  <c r="P74" i="20" a="1"/>
  <c r="P74" i="20" s="1"/>
  <c r="P382" i="20" a="1"/>
  <c r="P382" i="20" s="1"/>
  <c r="P381" i="20" a="1"/>
  <c r="P381" i="20" s="1"/>
  <c r="P56" i="20" a="1"/>
  <c r="P56" i="20" s="1"/>
  <c r="P48" i="20" a="1"/>
  <c r="P48" i="20" s="1"/>
  <c r="P126" i="20" a="1"/>
  <c r="P126" i="20" s="1"/>
  <c r="P362" i="20" a="1"/>
  <c r="P362" i="20" s="1"/>
  <c r="P101" i="20" a="1"/>
  <c r="P101" i="20" s="1"/>
  <c r="P51" i="20" a="1"/>
  <c r="P51" i="20" s="1"/>
  <c r="P69" i="20" a="1"/>
  <c r="P69" i="20" s="1"/>
  <c r="P192" i="20" a="1"/>
  <c r="P192" i="20" s="1"/>
  <c r="P55" i="20" a="1"/>
  <c r="P55" i="20" s="1"/>
  <c r="P390" i="20" a="1"/>
  <c r="P390" i="20" s="1"/>
  <c r="P317" i="20" a="1"/>
  <c r="P317" i="20" s="1"/>
  <c r="P113" i="20" a="1"/>
  <c r="P113" i="20" s="1"/>
  <c r="P4" i="20" a="1"/>
  <c r="P4" i="20" s="1"/>
  <c r="C15" i="21"/>
  <c r="C113" i="21"/>
  <c r="E113" i="21" s="1"/>
  <c r="C11" i="21"/>
  <c r="C12" i="21"/>
  <c r="E12" i="21" s="1"/>
  <c r="C74" i="21"/>
  <c r="E74" i="21" s="1"/>
  <c r="C43" i="21"/>
  <c r="E43" i="21" s="1"/>
  <c r="P163" i="20" a="1"/>
  <c r="P163" i="20" s="1"/>
  <c r="P146" i="20" a="1"/>
  <c r="P146" i="20" s="1"/>
  <c r="P264" i="20" a="1"/>
  <c r="P264" i="20" s="1"/>
  <c r="P220" i="20" a="1"/>
  <c r="P220" i="20" s="1"/>
  <c r="P423" i="20" a="1"/>
  <c r="P423" i="20" s="1"/>
  <c r="P80" i="20" a="1"/>
  <c r="P80" i="20" s="1"/>
  <c r="P139" i="20" a="1"/>
  <c r="P139" i="20" s="1"/>
  <c r="P123" i="20" a="1"/>
  <c r="P123" i="20" s="1"/>
  <c r="P18" i="20" a="1"/>
  <c r="P18" i="20" s="1"/>
  <c r="P249" i="20" a="1"/>
  <c r="P249" i="20" s="1"/>
  <c r="P352" i="20" a="1"/>
  <c r="P352" i="20" s="1"/>
  <c r="P5" i="20" a="1"/>
  <c r="P5" i="20" s="1"/>
  <c r="P190" i="20" a="1"/>
  <c r="P190" i="20" s="1"/>
  <c r="P378" i="20" a="1"/>
  <c r="P378" i="20" s="1"/>
  <c r="P70" i="20" a="1"/>
  <c r="P70" i="20" s="1"/>
  <c r="P188" i="20" a="1"/>
  <c r="P188" i="20" s="1"/>
  <c r="P404" i="20" a="1"/>
  <c r="P404" i="20" s="1"/>
  <c r="P180" i="20" a="1"/>
  <c r="P180" i="20" s="1"/>
  <c r="P150" i="20" a="1"/>
  <c r="P150" i="20" s="1"/>
  <c r="P31" i="20" a="1"/>
  <c r="P31" i="20" s="1"/>
  <c r="P347" i="20" a="1"/>
  <c r="P347" i="20" s="1"/>
  <c r="P114" i="20" a="1"/>
  <c r="P114" i="20" s="1"/>
  <c r="P225" i="20" a="1"/>
  <c r="P225" i="20" s="1"/>
  <c r="P400" i="20" a="1"/>
  <c r="P400" i="20" s="1"/>
  <c r="P414" i="20" a="1"/>
  <c r="P414" i="20" s="1"/>
  <c r="P408" i="20" a="1"/>
  <c r="P408" i="20" s="1"/>
  <c r="P88" i="20" a="1"/>
  <c r="P88" i="20" s="1"/>
  <c r="P375" i="20" a="1"/>
  <c r="P375" i="20" s="1"/>
  <c r="P9" i="20" a="1"/>
  <c r="P9" i="20" s="1"/>
  <c r="P8" i="20" a="1"/>
  <c r="P8" i="20" s="1"/>
  <c r="P325" i="20" a="1"/>
  <c r="P325" i="20" s="1"/>
  <c r="P71" i="20" a="1"/>
  <c r="P71" i="20" s="1"/>
  <c r="P44" i="20" a="1"/>
  <c r="P44" i="20" s="1"/>
  <c r="P147" i="20" a="1"/>
  <c r="P147" i="20" s="1"/>
  <c r="P265" i="20" a="1"/>
  <c r="P265" i="20" s="1"/>
  <c r="P7" i="20" a="1"/>
  <c r="P7" i="20" s="1"/>
  <c r="P115" i="20" a="1"/>
  <c r="P115" i="20" s="1"/>
  <c r="P59" i="20" a="1"/>
  <c r="P59" i="20" s="1"/>
  <c r="P344" i="20" a="1"/>
  <c r="P344" i="20" s="1"/>
  <c r="P134" i="20" a="1"/>
  <c r="P134" i="20" s="1"/>
  <c r="P141" i="20" a="1"/>
  <c r="P141" i="20" s="1"/>
  <c r="P305" i="20" a="1"/>
  <c r="P305" i="20" s="1"/>
  <c r="P62" i="20" a="1"/>
  <c r="P62" i="20" s="1"/>
  <c r="P178" i="20" a="1"/>
  <c r="P178" i="20" s="1"/>
  <c r="P81" i="20" a="1"/>
  <c r="P81" i="20" s="1"/>
  <c r="P259" i="20" a="1"/>
  <c r="P259" i="20" s="1"/>
  <c r="P292" i="20" a="1"/>
  <c r="P292" i="20" s="1"/>
  <c r="P206" i="20" a="1"/>
  <c r="P206" i="20" s="1"/>
  <c r="P422" i="20" a="1"/>
  <c r="P422" i="20" s="1"/>
  <c r="P211" i="20" a="1"/>
  <c r="P211" i="20" s="1"/>
  <c r="P312" i="20" a="1"/>
  <c r="P312" i="20" s="1"/>
  <c r="P303" i="20" a="1"/>
  <c r="P303" i="20" s="1"/>
  <c r="P12" i="20" a="1"/>
  <c r="P12" i="20" s="1"/>
  <c r="C29" i="21"/>
  <c r="E29" i="21" s="1"/>
  <c r="C57" i="21"/>
  <c r="E57" i="21" s="1"/>
  <c r="C102" i="21"/>
  <c r="E102" i="21" s="1"/>
  <c r="C66" i="21"/>
  <c r="E66" i="21" s="1"/>
  <c r="C48" i="21"/>
  <c r="E48" i="21" s="1"/>
  <c r="C37" i="21"/>
  <c r="E37" i="21" s="1"/>
  <c r="C111" i="21"/>
  <c r="E111" i="21" s="1"/>
  <c r="C27" i="21"/>
  <c r="E27" i="21" s="1"/>
  <c r="C97" i="21"/>
  <c r="E97" i="21" s="1"/>
  <c r="C85" i="21"/>
  <c r="E85" i="21" s="1"/>
  <c r="C23" i="21"/>
  <c r="E23" i="21" s="1"/>
  <c r="C34" i="21"/>
  <c r="E34" i="21" s="1"/>
  <c r="P316" i="20" a="1"/>
  <c r="P316" i="20" s="1"/>
  <c r="P82" i="20" a="1"/>
  <c r="P82" i="20" s="1"/>
  <c r="P137" i="20" a="1"/>
  <c r="P137" i="20" s="1"/>
  <c r="P191" i="20" a="1"/>
  <c r="P191" i="20" s="1"/>
  <c r="P351" i="20" a="1"/>
  <c r="P351" i="20" s="1"/>
  <c r="P43" i="20" a="1"/>
  <c r="P43" i="20" s="1"/>
  <c r="P276" i="20" a="1"/>
  <c r="P276" i="20" s="1"/>
  <c r="P108" i="20" a="1"/>
  <c r="P108" i="20" s="1"/>
  <c r="P358" i="20" a="1"/>
  <c r="P358" i="20" s="1"/>
  <c r="P50" i="20" a="1"/>
  <c r="P50" i="20" s="1"/>
  <c r="P16" i="20" a="1"/>
  <c r="P16" i="20" s="1"/>
  <c r="P331" i="20" a="1"/>
  <c r="P331" i="20" s="1"/>
  <c r="P426" i="20" a="1"/>
  <c r="P426" i="20" s="1"/>
  <c r="P20" i="20" a="1"/>
  <c r="P20" i="20" s="1"/>
  <c r="P138" i="20" a="1"/>
  <c r="P138" i="20" s="1"/>
  <c r="P395" i="20" a="1"/>
  <c r="P395" i="20" s="1"/>
  <c r="P227" i="20" a="1"/>
  <c r="P227" i="20" s="1"/>
  <c r="P409" i="20" a="1"/>
  <c r="P409" i="20" s="1"/>
  <c r="P130" i="20" a="1"/>
  <c r="P130" i="20" s="1"/>
  <c r="P267" i="20" a="1"/>
  <c r="P267" i="20" s="1"/>
  <c r="P57" i="20" a="1"/>
  <c r="P57" i="20" s="1"/>
  <c r="P343" i="20" a="1"/>
  <c r="P343" i="20" s="1"/>
  <c r="P35" i="20" a="1"/>
  <c r="P35" i="20" s="1"/>
  <c r="P361" i="20" a="1"/>
  <c r="P361" i="20" s="1"/>
  <c r="P214" i="20" a="1"/>
  <c r="P214" i="20" s="1"/>
  <c r="P226" i="20" a="1"/>
  <c r="P226" i="20" s="1"/>
  <c r="P169" i="20" a="1"/>
  <c r="P169" i="20" s="1"/>
  <c r="P254" i="20" a="1"/>
  <c r="P254" i="20" s="1"/>
  <c r="P245" i="20" a="1"/>
  <c r="P245" i="20" s="1"/>
  <c r="P235" i="20" a="1"/>
  <c r="P235" i="20" s="1"/>
  <c r="P287" i="20" a="1"/>
  <c r="P287" i="20" s="1"/>
  <c r="P307" i="20" a="1"/>
  <c r="P307" i="20" s="1"/>
  <c r="P97" i="20" a="1"/>
  <c r="P97" i="20" s="1"/>
  <c r="P215" i="20" a="1"/>
  <c r="P215" i="20" s="1"/>
  <c r="P124" i="20" a="1"/>
  <c r="P124" i="20" s="1"/>
  <c r="P247" i="20" a="1"/>
  <c r="P247" i="20" s="1"/>
  <c r="P176" i="20" a="1"/>
  <c r="P176" i="20" s="1"/>
  <c r="P58" i="20" a="1"/>
  <c r="P58" i="20" s="1"/>
  <c r="P154" i="20" a="1"/>
  <c r="P154" i="20" s="1"/>
  <c r="P370" i="20" a="1"/>
  <c r="P370" i="20" s="1"/>
  <c r="P19" i="20" a="1"/>
  <c r="P19" i="20" s="1"/>
  <c r="P420" i="20" a="1"/>
  <c r="P420" i="20" s="1"/>
  <c r="P234" i="20" a="1"/>
  <c r="P234" i="20" s="1"/>
  <c r="P281" i="20" a="1"/>
  <c r="P281" i="20" s="1"/>
  <c r="P65" i="20" a="1"/>
  <c r="P65" i="20" s="1"/>
  <c r="P242" i="20" a="1"/>
  <c r="P242" i="20" s="1"/>
  <c r="P15" i="20" a="1"/>
  <c r="P15" i="20" s="1"/>
  <c r="P28" i="20" a="1"/>
  <c r="P28" i="20" s="1"/>
  <c r="P270" i="20" a="1"/>
  <c r="P270" i="20" s="1"/>
  <c r="P342" i="20" a="1"/>
  <c r="P342" i="20" s="1"/>
  <c r="P21" i="20" a="1"/>
  <c r="P21" i="20" s="1"/>
  <c r="P333" i="20" a="1"/>
  <c r="P333" i="20" s="1"/>
  <c r="C56" i="21"/>
  <c r="E56" i="21" s="1"/>
  <c r="C84" i="21"/>
  <c r="E84" i="21" s="1"/>
  <c r="C24" i="21"/>
  <c r="C73" i="21"/>
  <c r="E73" i="21" s="1"/>
  <c r="C30" i="21"/>
  <c r="E30" i="21" s="1"/>
  <c r="C28" i="21"/>
  <c r="E28" i="21" s="1"/>
  <c r="C82" i="21"/>
  <c r="E82" i="21" s="1"/>
  <c r="C10" i="21"/>
  <c r="C21" i="21"/>
  <c r="E21" i="21" s="1"/>
  <c r="C42" i="21"/>
  <c r="E42" i="21" s="1"/>
  <c r="C99" i="21"/>
  <c r="E99" i="21" s="1"/>
  <c r="C77" i="21"/>
  <c r="E77" i="21" s="1"/>
  <c r="C60" i="21"/>
  <c r="E60" i="21" s="1"/>
  <c r="C92" i="21"/>
  <c r="E92" i="21" s="1"/>
  <c r="C87" i="21"/>
  <c r="E87" i="21" s="1"/>
  <c r="C55" i="21"/>
  <c r="E55" i="21" s="1"/>
  <c r="C114" i="21"/>
  <c r="E114" i="21" s="1"/>
  <c r="C39" i="21"/>
  <c r="E39" i="21" s="1"/>
  <c r="C6" i="21"/>
  <c r="C81" i="21"/>
  <c r="E81" i="21" s="1"/>
  <c r="P14" i="20" a="1"/>
  <c r="P14" i="20" s="1"/>
  <c r="P207" i="20" a="1"/>
  <c r="P207" i="20" s="1"/>
  <c r="P183" i="20" a="1"/>
  <c r="P183" i="20" s="1"/>
  <c r="P371" i="20" a="1"/>
  <c r="P371" i="20" s="1"/>
  <c r="P161" i="20" a="1"/>
  <c r="P161" i="20" s="1"/>
  <c r="P279" i="20" a="1"/>
  <c r="P279" i="20" s="1"/>
  <c r="P288" i="20" a="1"/>
  <c r="P288" i="20" s="1"/>
  <c r="P79" i="20" a="1"/>
  <c r="P79" i="20" s="1"/>
  <c r="P168" i="20" a="1"/>
  <c r="P168" i="20" s="1"/>
  <c r="P286" i="20" a="1"/>
  <c r="P286" i="20" s="1"/>
  <c r="P387" i="20" a="1"/>
  <c r="P387" i="20" s="1"/>
  <c r="P200" i="20" a="1"/>
  <c r="P200" i="20" s="1"/>
  <c r="P68" i="20" a="1"/>
  <c r="P68" i="20" s="1"/>
  <c r="P45" i="20" a="1"/>
  <c r="P45" i="20" s="1"/>
  <c r="P39" i="20" a="1"/>
  <c r="P39" i="20" s="1"/>
  <c r="P373" i="20" a="1"/>
  <c r="P373" i="20" s="1"/>
  <c r="P323" i="20" a="1"/>
  <c r="P323" i="20" s="1"/>
  <c r="P205" i="20" a="1"/>
  <c r="P205" i="20" s="1"/>
  <c r="P86" i="20" a="1"/>
  <c r="P86" i="20" s="1"/>
  <c r="P77" i="20" a="1"/>
  <c r="P77" i="20" s="1"/>
  <c r="P293" i="20" a="1"/>
  <c r="P293" i="20" s="1"/>
  <c r="P411" i="20" a="1"/>
  <c r="P411" i="20" s="1"/>
  <c r="P103" i="20" a="1"/>
  <c r="P103" i="20" s="1"/>
  <c r="P302" i="20" a="1"/>
  <c r="P302" i="20" s="1"/>
  <c r="P393" i="20" a="1"/>
  <c r="P393" i="20" s="1"/>
  <c r="P385" i="20" a="1"/>
  <c r="P385" i="20" s="1"/>
  <c r="P405" i="20" a="1"/>
  <c r="P405" i="20" s="1"/>
  <c r="P195" i="20" a="1"/>
  <c r="P195" i="20" s="1"/>
  <c r="P313" i="20" a="1"/>
  <c r="P313" i="20" s="1"/>
  <c r="P295" i="20" a="1"/>
  <c r="P295" i="20" s="1"/>
  <c r="P355" i="20" a="1"/>
  <c r="P355" i="20" s="1"/>
  <c r="P430" i="20" a="1"/>
  <c r="P430" i="20" s="1"/>
  <c r="P122" i="20" a="1"/>
  <c r="P122" i="20" s="1"/>
  <c r="P402" i="20" a="1"/>
  <c r="P402" i="20" s="1"/>
  <c r="P340" i="20" a="1"/>
  <c r="P340" i="20" s="1"/>
  <c r="P392" i="20" a="1"/>
  <c r="P392" i="20" s="1"/>
  <c r="P412" i="20" a="1"/>
  <c r="P412" i="20" s="1"/>
  <c r="P104" i="20" a="1"/>
  <c r="P104" i="20" s="1"/>
  <c r="P222" i="20" a="1"/>
  <c r="P222" i="20" s="1"/>
  <c r="P297" i="20" a="1"/>
  <c r="P297" i="20" s="1"/>
  <c r="P272" i="20" a="1"/>
  <c r="P272" i="20" s="1"/>
  <c r="P376" i="20" a="1"/>
  <c r="P376" i="20" s="1"/>
  <c r="P99" i="20" a="1"/>
  <c r="P99" i="20" s="1"/>
  <c r="P91" i="20" a="1"/>
  <c r="P91" i="20" s="1"/>
  <c r="P111" i="20" a="1"/>
  <c r="P111" i="20" s="1"/>
  <c r="P246" i="20" a="1"/>
  <c r="P246" i="20" s="1"/>
  <c r="P268" i="20" a="1"/>
  <c r="P268" i="20" s="1"/>
  <c r="P149" i="20" a="1"/>
  <c r="P149" i="20" s="1"/>
  <c r="P218" i="20" a="1"/>
  <c r="P218" i="20" s="1"/>
  <c r="P263" i="20" a="1"/>
  <c r="P263" i="20" s="1"/>
  <c r="P354" i="20" a="1"/>
  <c r="P354" i="20" s="1"/>
  <c r="P383" i="20" a="1"/>
  <c r="P383" i="20" s="1"/>
  <c r="C35" i="21"/>
  <c r="E35" i="21" s="1"/>
  <c r="C18" i="21"/>
  <c r="C16" i="21"/>
  <c r="E16" i="21" s="1"/>
  <c r="C32" i="21"/>
  <c r="C47" i="21"/>
  <c r="E47" i="21" s="1"/>
  <c r="C96" i="21"/>
  <c r="E96" i="21" s="1"/>
  <c r="C58" i="21"/>
  <c r="E58" i="21" s="1"/>
  <c r="C36" i="21"/>
  <c r="C76" i="21"/>
  <c r="E76" i="21" s="1"/>
  <c r="C112" i="21"/>
  <c r="E112" i="21" s="1"/>
  <c r="C110" i="21"/>
  <c r="E110" i="21" s="1"/>
  <c r="P248" i="20" a="1"/>
  <c r="P248" i="20" s="1"/>
  <c r="P359" i="20" a="1"/>
  <c r="P359" i="20" s="1"/>
  <c r="P419" i="20" a="1"/>
  <c r="P419" i="20" s="1"/>
  <c r="P13" i="20" a="1"/>
  <c r="P13" i="20" s="1"/>
  <c r="P229" i="20" a="1"/>
  <c r="P229" i="20" s="1"/>
  <c r="P304" i="20" a="1"/>
  <c r="P304" i="20" s="1"/>
  <c r="P98" i="20" a="1"/>
  <c r="P98" i="20" s="1"/>
  <c r="P118" i="20" a="1"/>
  <c r="P118" i="20" s="1"/>
  <c r="P236" i="20" a="1"/>
  <c r="P236" i="20" s="1"/>
  <c r="P346" i="20" a="1"/>
  <c r="P346" i="20" s="1"/>
  <c r="P421" i="20" a="1"/>
  <c r="P421" i="20" s="1"/>
  <c r="P374" i="20" a="1"/>
  <c r="P374" i="20" s="1"/>
  <c r="P109" i="20" a="1"/>
  <c r="P109" i="20" s="1"/>
  <c r="P365" i="20" a="1"/>
  <c r="P365" i="20" s="1"/>
  <c r="P155" i="20" a="1"/>
  <c r="P155" i="20" s="1"/>
  <c r="P23" i="20" a="1"/>
  <c r="P23" i="20" s="1"/>
  <c r="P133" i="20" a="1"/>
  <c r="P133" i="20" s="1"/>
  <c r="P301" i="20" a="1"/>
  <c r="P301" i="20" s="1"/>
  <c r="P125" i="20" a="1"/>
  <c r="P125" i="20" s="1"/>
  <c r="P145" i="20" a="1"/>
  <c r="P145" i="20" s="1"/>
  <c r="P25" i="20" a="1"/>
  <c r="P25" i="20" s="1"/>
  <c r="P24" i="20" a="1"/>
  <c r="P24" i="20" s="1"/>
  <c r="P394" i="20" a="1"/>
  <c r="P394" i="20" s="1"/>
  <c r="P315" i="20" a="1"/>
  <c r="P315" i="20" s="1"/>
  <c r="P203" i="20" a="1"/>
  <c r="P203" i="20" s="1"/>
  <c r="P27" i="20" a="1"/>
  <c r="P27" i="20" s="1"/>
  <c r="P47" i="20" a="1"/>
  <c r="P47" i="20" s="1"/>
  <c r="P46" i="20" a="1"/>
  <c r="P46" i="20" s="1"/>
  <c r="P208" i="20" a="1"/>
  <c r="P208" i="20" s="1"/>
  <c r="P105" i="20" a="1"/>
  <c r="P105" i="20" s="1"/>
  <c r="P102" i="20" a="1"/>
  <c r="P102" i="20" s="1"/>
  <c r="P416" i="20" a="1"/>
  <c r="P416" i="20" s="1"/>
  <c r="P30" i="20" a="1"/>
  <c r="P30" i="20" s="1"/>
  <c r="P232" i="20" a="1"/>
  <c r="P232" i="20" s="1"/>
  <c r="P151" i="20" a="1"/>
  <c r="P151" i="20" s="1"/>
  <c r="P34" i="20" a="1"/>
  <c r="P34" i="20" s="1"/>
  <c r="P54" i="20" a="1"/>
  <c r="P54" i="20" s="1"/>
  <c r="P95" i="20" a="1"/>
  <c r="P95" i="20" s="1"/>
  <c r="P171" i="20" a="1"/>
  <c r="P171" i="20" s="1"/>
  <c r="P277" i="20" a="1"/>
  <c r="P277" i="20" s="1"/>
  <c r="P427" i="20" a="1"/>
  <c r="P427" i="20" s="1"/>
  <c r="P221" i="20" a="1"/>
  <c r="P221" i="20" s="1"/>
  <c r="P335" i="20" a="1"/>
  <c r="P335" i="20" s="1"/>
  <c r="P159" i="20" a="1"/>
  <c r="P159" i="20" s="1"/>
  <c r="P177" i="20" a="1"/>
  <c r="P177" i="20" s="1"/>
  <c r="P401" i="20" a="1"/>
  <c r="P401" i="20" s="1"/>
  <c r="P262" i="20" a="1"/>
  <c r="P262" i="20" s="1"/>
  <c r="P258" i="20" a="1"/>
  <c r="P258" i="20" s="1"/>
  <c r="P244" i="20" a="1"/>
  <c r="P244" i="20" s="1"/>
  <c r="P96" i="20" a="1"/>
  <c r="P96" i="20" s="1"/>
  <c r="P322" i="20" a="1"/>
  <c r="P322" i="20" s="1"/>
  <c r="P128" i="20" a="1"/>
  <c r="P128" i="20" s="1"/>
  <c r="C93" i="21"/>
  <c r="E93" i="21" s="1"/>
  <c r="C106" i="21"/>
  <c r="E106" i="21" s="1"/>
  <c r="C20" i="21"/>
  <c r="E20" i="21" s="1"/>
  <c r="P240" i="20" a="1"/>
  <c r="P240" i="20" s="1"/>
  <c r="P284" i="20" a="1"/>
  <c r="P284" i="20" s="1"/>
  <c r="P237" i="20" a="1"/>
  <c r="P237" i="20" s="1"/>
  <c r="P61" i="20" a="1"/>
  <c r="P61" i="20" s="1"/>
  <c r="P269" i="20" a="1"/>
  <c r="P269" i="20" s="1"/>
  <c r="P17" i="20" a="1"/>
  <c r="P17" i="20" s="1"/>
  <c r="P89" i="20" a="1"/>
  <c r="P89" i="20" s="1"/>
  <c r="P166" i="20" a="1"/>
  <c r="P166" i="20" s="1"/>
  <c r="P367" i="20" a="1"/>
  <c r="P367" i="20" s="1"/>
  <c r="P291" i="20" a="1"/>
  <c r="P291" i="20" s="1"/>
  <c r="P326" i="20" a="1"/>
  <c r="P326" i="20" s="1"/>
  <c r="P231" i="20" a="1"/>
  <c r="P231" i="20" s="1"/>
  <c r="P261" i="20" a="1"/>
  <c r="P261" i="20" s="1"/>
  <c r="P324" i="20" a="1"/>
  <c r="P324" i="20" s="1"/>
  <c r="P175" i="20" a="1"/>
  <c r="P175" i="20" s="1"/>
  <c r="P391" i="20" a="1"/>
  <c r="P391" i="20" s="1"/>
  <c r="P83" i="20" a="1"/>
  <c r="P83" i="20" s="1"/>
  <c r="P201" i="20" a="1"/>
  <c r="P201" i="20" s="1"/>
  <c r="P369" i="20" a="1"/>
  <c r="P369" i="20" s="1"/>
  <c r="P129" i="20" a="1"/>
  <c r="P129" i="20" s="1"/>
  <c r="P66" i="20" a="1"/>
  <c r="P66" i="20" s="1"/>
  <c r="P10" i="20" a="1"/>
  <c r="P10" i="20" s="1"/>
  <c r="P428" i="20" a="1"/>
  <c r="P428" i="20" s="1"/>
  <c r="P127" i="20" a="1"/>
  <c r="P127" i="20" s="1"/>
  <c r="P251" i="20" a="1"/>
  <c r="P251" i="20" s="1"/>
  <c r="P271" i="20" a="1"/>
  <c r="P271" i="20" s="1"/>
  <c r="P67" i="20" a="1"/>
  <c r="P67" i="20" s="1"/>
  <c r="P11" i="20" a="1"/>
  <c r="P11" i="20" s="1"/>
  <c r="P135" i="20" a="1"/>
  <c r="P135" i="20" s="1"/>
  <c r="P410" i="20" a="1"/>
  <c r="P410" i="20" s="1"/>
  <c r="P173" i="20" a="1"/>
  <c r="P173" i="20" s="1"/>
  <c r="P274" i="20" a="1"/>
  <c r="P274" i="20" s="1"/>
  <c r="P275" i="20" a="1"/>
  <c r="P275" i="20" s="1"/>
  <c r="P252" i="20" a="1"/>
  <c r="P252" i="20" s="1"/>
  <c r="P42" i="20" a="1"/>
  <c r="P42" i="20" s="1"/>
  <c r="P198" i="20" a="1"/>
  <c r="P198" i="20" s="1"/>
  <c r="P116" i="20" a="1"/>
  <c r="P116" i="20" s="1"/>
  <c r="P396" i="20" a="1"/>
  <c r="P396" i="20" s="1"/>
  <c r="P156" i="20" a="1"/>
  <c r="P156" i="20" s="1"/>
  <c r="P239" i="20" a="1"/>
  <c r="P239" i="20" s="1"/>
  <c r="P184" i="20" a="1"/>
  <c r="P184" i="20" s="1"/>
  <c r="P174" i="20" a="1"/>
  <c r="P174" i="20" s="1"/>
  <c r="P311" i="20" a="1"/>
  <c r="P311" i="20" s="1"/>
  <c r="P94" i="20" a="1"/>
  <c r="P94" i="20" s="1"/>
  <c r="P87" i="20" a="1"/>
  <c r="P87" i="20" s="1"/>
  <c r="P364" i="20" a="1"/>
  <c r="P364" i="20" s="1"/>
  <c r="P377" i="20" a="1"/>
  <c r="P377" i="20" s="1"/>
  <c r="P172" i="20" a="1"/>
  <c r="P172" i="20" s="1"/>
  <c r="P413" i="20" a="1"/>
  <c r="P413" i="20" s="1"/>
  <c r="P308" i="20" a="1"/>
  <c r="P308" i="20" s="1"/>
  <c r="P160" i="20" a="1"/>
  <c r="P160" i="20" s="1"/>
  <c r="P282" i="20" a="1"/>
  <c r="P282" i="20" s="1"/>
  <c r="P165" i="20" a="1"/>
  <c r="P165" i="20" s="1"/>
  <c r="P60" i="20" a="1"/>
  <c r="P60" i="20" s="1"/>
  <c r="P72" i="20" a="1"/>
  <c r="P72" i="20" s="1"/>
  <c r="P148" i="20" a="1"/>
  <c r="P148" i="20" s="1"/>
  <c r="P199" i="20" a="1"/>
  <c r="P199" i="20" s="1"/>
  <c r="P136" i="20" a="1"/>
  <c r="P136" i="20" s="1"/>
  <c r="P93" i="20" a="1"/>
  <c r="P93" i="20" s="1"/>
  <c r="P253" i="20" a="1"/>
  <c r="P253" i="20" s="1"/>
  <c r="P219" i="20" a="1"/>
  <c r="P219" i="20" s="1"/>
  <c r="P299" i="20" a="1"/>
  <c r="P299" i="20" s="1"/>
  <c r="P399" i="20" a="1"/>
  <c r="P399" i="20" s="1"/>
  <c r="P223" i="20" a="1"/>
  <c r="P223" i="20" s="1"/>
  <c r="P243" i="20" a="1"/>
  <c r="P243" i="20" s="1"/>
  <c r="P33" i="20" a="1"/>
  <c r="P33" i="20" s="1"/>
  <c r="P403" i="20" a="1"/>
  <c r="P403" i="20" s="1"/>
  <c r="P140" i="20" a="1"/>
  <c r="P140" i="20" s="1"/>
  <c r="P185" i="20" a="1"/>
  <c r="P185" i="20" s="1"/>
  <c r="P107" i="20" a="1"/>
  <c r="P107" i="20" s="1"/>
  <c r="P162" i="20" a="1"/>
  <c r="P162" i="20" s="1"/>
  <c r="P37" i="20" a="1"/>
  <c r="P37" i="20" s="1"/>
  <c r="P238" i="20" a="1"/>
  <c r="P238" i="20" s="1"/>
  <c r="P329" i="20" a="1"/>
  <c r="P329" i="20" s="1"/>
  <c r="P187" i="20" a="1"/>
  <c r="P187" i="20" s="1"/>
  <c r="P158" i="20" a="1"/>
  <c r="P158" i="20" s="1"/>
  <c r="P372" i="20" a="1"/>
  <c r="P372" i="20" s="1"/>
  <c r="P64" i="20" a="1"/>
  <c r="P64" i="20" s="1"/>
  <c r="P350" i="20" a="1"/>
  <c r="P350" i="20" s="1"/>
  <c r="P397" i="20" a="1"/>
  <c r="P397" i="20" s="1"/>
  <c r="P157" i="20" a="1"/>
  <c r="P157" i="20" s="1"/>
  <c r="P84" i="20" a="1"/>
  <c r="P84" i="20" s="1"/>
  <c r="P202" i="20" a="1"/>
  <c r="P202" i="20" s="1"/>
  <c r="P320" i="20" a="1"/>
  <c r="P320" i="20" s="1"/>
  <c r="P110" i="20" a="1"/>
  <c r="P110" i="20" s="1"/>
  <c r="P119" i="20" a="1"/>
  <c r="P119" i="20" s="1"/>
  <c r="P379" i="20" a="1"/>
  <c r="P379" i="20" s="1"/>
  <c r="P289" i="20" a="1"/>
  <c r="P289" i="20" s="1"/>
  <c r="P357" i="20" a="1"/>
  <c r="P357" i="20" s="1"/>
  <c r="P49" i="20" a="1"/>
  <c r="P49" i="20" s="1"/>
  <c r="P167" i="20" a="1"/>
  <c r="P167" i="20" s="1"/>
  <c r="P290" i="20" a="1"/>
  <c r="P290" i="20" s="1"/>
  <c r="P296" i="20" a="1"/>
  <c r="P296" i="20" s="1"/>
  <c r="P170" i="20" a="1"/>
  <c r="P170" i="20" s="1"/>
  <c r="P78" i="20" a="1"/>
  <c r="P78" i="20" s="1"/>
  <c r="P6" i="20" a="1"/>
  <c r="P6" i="20" s="1"/>
  <c r="P36" i="20" a="1"/>
  <c r="P36" i="20" s="1"/>
  <c r="P278" i="20" a="1"/>
  <c r="P278" i="20" s="1"/>
  <c r="P256" i="20" a="1"/>
  <c r="P256" i="20" s="1"/>
  <c r="P204" i="20" a="1"/>
  <c r="P204" i="20" s="1"/>
  <c r="P224" i="20" a="1"/>
  <c r="P224" i="20" s="1"/>
  <c r="P153" i="20" a="1"/>
  <c r="P153" i="20" s="1"/>
  <c r="P368" i="20" a="1"/>
  <c r="P368" i="20" s="1"/>
  <c r="C7" i="21"/>
  <c r="E7" i="21" s="1"/>
  <c r="C65" i="21"/>
  <c r="E65" i="21" s="1"/>
  <c r="C75" i="21"/>
  <c r="E75" i="21" s="1"/>
  <c r="C79" i="21"/>
  <c r="E79" i="21" s="1"/>
  <c r="C8" i="21"/>
  <c r="E8" i="21" s="1"/>
  <c r="C13" i="21"/>
  <c r="C100" i="21"/>
  <c r="E100" i="21" s="1"/>
  <c r="C59" i="21"/>
  <c r="E59" i="21" s="1"/>
  <c r="C91" i="21"/>
  <c r="E91" i="21" s="1"/>
  <c r="C17" i="21"/>
  <c r="E17" i="21" s="1"/>
  <c r="C104" i="21"/>
  <c r="E104" i="21" s="1"/>
  <c r="C67" i="21"/>
  <c r="E67" i="21" s="1"/>
  <c r="C83" i="21"/>
  <c r="E83" i="21" s="1"/>
  <c r="C54" i="21"/>
  <c r="E54" i="21" s="1"/>
  <c r="C90" i="21"/>
  <c r="E90" i="21" s="1"/>
  <c r="C40" i="21"/>
  <c r="P407" i="20" a="1"/>
  <c r="P407" i="20" s="1"/>
  <c r="C108" i="21"/>
  <c r="E108" i="21" s="1"/>
  <c r="C49" i="21"/>
  <c r="E49" i="21" s="1"/>
  <c r="C107" i="21"/>
  <c r="E107" i="21" s="1"/>
  <c r="C4" i="21"/>
  <c r="C22" i="21"/>
  <c r="E22" i="21" s="1"/>
  <c r="C101" i="21"/>
  <c r="E101" i="21" s="1"/>
  <c r="C62" i="21"/>
  <c r="E62" i="21" s="1"/>
  <c r="C69" i="21"/>
  <c r="E69" i="21" s="1"/>
  <c r="C103" i="21"/>
  <c r="E103" i="21" s="1"/>
  <c r="C9" i="21"/>
  <c r="E9" i="21" s="1"/>
  <c r="C61" i="21"/>
  <c r="E61" i="21" s="1"/>
  <c r="C86" i="21"/>
  <c r="E86" i="21" s="1"/>
  <c r="C63" i="21"/>
  <c r="E63" i="21" s="1"/>
  <c r="C115" i="21"/>
  <c r="E115" i="21" s="1"/>
  <c r="C64" i="21"/>
  <c r="E64" i="21" s="1"/>
  <c r="C45" i="21"/>
  <c r="E45" i="21" s="1"/>
  <c r="C19" i="21"/>
  <c r="E19" i="21" s="1"/>
  <c r="C116" i="21"/>
  <c r="E116" i="21" s="1"/>
  <c r="C95" i="21"/>
  <c r="E95" i="21" s="1"/>
  <c r="C72" i="21"/>
  <c r="E72" i="21" s="1"/>
  <c r="C41" i="21"/>
  <c r="E41" i="21" s="1"/>
  <c r="C44" i="21"/>
  <c r="E44" i="21" s="1"/>
  <c r="C68" i="21"/>
  <c r="E68" i="21" s="1"/>
  <c r="C51" i="21"/>
  <c r="E51" i="21" s="1"/>
  <c r="C26" i="21"/>
  <c r="E26" i="21" s="1"/>
  <c r="C88" i="21"/>
  <c r="E88" i="21" s="1"/>
  <c r="C94" i="21"/>
  <c r="E94" i="21" s="1"/>
  <c r="C78" i="21"/>
  <c r="E78" i="21" s="1"/>
  <c r="C14" i="21"/>
  <c r="E14" i="21" s="1"/>
  <c r="C71" i="21"/>
  <c r="E71" i="21" s="1"/>
  <c r="C105" i="21"/>
  <c r="E105" i="21" s="1"/>
  <c r="C53" i="21"/>
  <c r="E53" i="21" s="1"/>
  <c r="P319" i="20" a="1"/>
  <c r="P319" i="20" s="1"/>
  <c r="P356" i="20" a="1"/>
  <c r="P356" i="20" s="1"/>
  <c r="P332" i="20" a="1"/>
  <c r="P332" i="20" s="1"/>
  <c r="D4" i="21" a="1"/>
  <c r="D4" i="21" s="1"/>
  <c r="F4" i="21"/>
  <c r="P142" i="20" a="1"/>
  <c r="P142" i="20" s="1"/>
  <c r="K7" i="9"/>
  <c r="J8" i="9" s="1"/>
  <c r="I7" i="9"/>
  <c r="I78" i="21" l="1" a="1"/>
  <c r="I78" i="21" s="1"/>
  <c r="I63" i="21" a="1"/>
  <c r="I63" i="21" s="1"/>
  <c r="I45" i="21" a="1"/>
  <c r="I45" i="21" s="1"/>
  <c r="I114" i="21" a="1"/>
  <c r="I114" i="21" s="1"/>
  <c r="J114" i="21" s="1" a="1"/>
  <c r="J114" i="21" s="1"/>
  <c r="I8" i="21" a="1"/>
  <c r="I8" i="21" s="1"/>
  <c r="I25" i="21" a="1"/>
  <c r="I25" i="21" s="1"/>
  <c r="I93" i="21" a="1"/>
  <c r="I93" i="21" s="1"/>
  <c r="J93" i="21" s="1" a="1"/>
  <c r="J93" i="21" s="1"/>
  <c r="I17" i="21" a="1"/>
  <c r="I17" i="21" s="1"/>
  <c r="I85" i="21" a="1"/>
  <c r="I85" i="21" s="1"/>
  <c r="I18" i="21" a="1"/>
  <c r="I18" i="21" s="1"/>
  <c r="I36" i="21" a="1"/>
  <c r="I36" i="21" s="1"/>
  <c r="I38" i="21" a="1"/>
  <c r="I38" i="21" s="1"/>
  <c r="J38" i="21" s="1" a="1"/>
  <c r="J38" i="21" s="1"/>
  <c r="K38" i="21" s="1" a="1"/>
  <c r="K38" i="21" s="1"/>
  <c r="L38" i="21" s="1" a="1"/>
  <c r="L38" i="21" s="1"/>
  <c r="I31" i="21" a="1"/>
  <c r="I31" i="21" s="1"/>
  <c r="J31" i="21" s="1" a="1"/>
  <c r="J31" i="21" s="1"/>
  <c r="I75" i="21" a="1"/>
  <c r="I75" i="21" s="1"/>
  <c r="I112" i="21" a="1"/>
  <c r="I112" i="21" s="1"/>
  <c r="J112" i="21" s="1" a="1"/>
  <c r="J112" i="21" s="1"/>
  <c r="I44" i="21" a="1"/>
  <c r="I44" i="21" s="1"/>
  <c r="J44" i="21" s="1" a="1"/>
  <c r="J44" i="21" s="1"/>
  <c r="K44" i="21" s="1" a="1"/>
  <c r="K44" i="21" s="1"/>
  <c r="I104" i="21" a="1"/>
  <c r="I104" i="21" s="1"/>
  <c r="I66" i="21" a="1"/>
  <c r="I66" i="21" s="1"/>
  <c r="I20" i="21" a="1"/>
  <c r="I20" i="21" s="1"/>
  <c r="I9" i="21" a="1"/>
  <c r="I9" i="21" s="1"/>
  <c r="I107" i="21" a="1"/>
  <c r="I107" i="21" s="1"/>
  <c r="J107" i="21" s="1" a="1"/>
  <c r="J107" i="21" s="1"/>
  <c r="K107" i="21" s="1" a="1"/>
  <c r="K107" i="21" s="1"/>
  <c r="I12" i="21" a="1"/>
  <c r="I12" i="21" s="1"/>
  <c r="J12" i="21" s="1" a="1"/>
  <c r="J12" i="21" s="1"/>
  <c r="I99" i="21" a="1"/>
  <c r="I99" i="21" s="1"/>
  <c r="J99" i="21" s="1" a="1"/>
  <c r="J99" i="21" s="1"/>
  <c r="I65" i="21" a="1"/>
  <c r="I65" i="21" s="1"/>
  <c r="J65" i="21" s="1" a="1"/>
  <c r="J65" i="21" s="1"/>
  <c r="I28" i="21" a="1"/>
  <c r="I28" i="21" s="1"/>
  <c r="I27" i="21" a="1"/>
  <c r="I27" i="21" s="1"/>
  <c r="J27" i="21" s="1" a="1"/>
  <c r="J27" i="21" s="1"/>
  <c r="K27" i="21" s="1" a="1"/>
  <c r="K27" i="21" s="1"/>
  <c r="L27" i="21" s="1" a="1"/>
  <c r="L27" i="21" s="1"/>
  <c r="I97" i="21" a="1"/>
  <c r="I97" i="21" s="1"/>
  <c r="I110" i="21" a="1"/>
  <c r="I110" i="21" s="1"/>
  <c r="J110" i="21" s="1" a="1"/>
  <c r="J110" i="21" s="1"/>
  <c r="K110" i="21" s="1" a="1"/>
  <c r="K110" i="21" s="1"/>
  <c r="I103" i="21" a="1"/>
  <c r="I103" i="21" s="1"/>
  <c r="J103" i="21" s="1" a="1"/>
  <c r="J103" i="21" s="1"/>
  <c r="I6" i="21" a="1"/>
  <c r="I6" i="21" s="1"/>
  <c r="J6" i="21" s="1" a="1"/>
  <c r="J6" i="21" s="1"/>
  <c r="I24" i="21" a="1"/>
  <c r="I24" i="21" s="1"/>
  <c r="J24" i="21" s="1" a="1"/>
  <c r="J24" i="21" s="1"/>
  <c r="K24" i="21" s="1" a="1"/>
  <c r="K24" i="21" s="1"/>
  <c r="L24" i="21" s="1" a="1"/>
  <c r="L24" i="21" s="1"/>
  <c r="M24" i="21" s="1" a="1"/>
  <c r="M24" i="21" s="1"/>
  <c r="N24" i="21" s="1" a="1"/>
  <c r="N24" i="21" s="1"/>
  <c r="I105" i="21" a="1"/>
  <c r="I105" i="21" s="1"/>
  <c r="J105" i="21" s="1" a="1"/>
  <c r="J105" i="21" s="1"/>
  <c r="K105" i="21" s="1" a="1"/>
  <c r="K105" i="21" s="1"/>
  <c r="I37" i="21" a="1"/>
  <c r="I37" i="21" s="1"/>
  <c r="I21" i="21" a="1"/>
  <c r="I21" i="21" s="1"/>
  <c r="I62" i="21" a="1"/>
  <c r="I62" i="21" s="1"/>
  <c r="I13" i="21" a="1"/>
  <c r="I13" i="21" s="1"/>
  <c r="J13" i="21" s="1" a="1"/>
  <c r="J13" i="21" s="1"/>
  <c r="K13" i="21" s="1" a="1"/>
  <c r="K13" i="21" s="1"/>
  <c r="I11" i="21" a="1"/>
  <c r="I11" i="21" s="1"/>
  <c r="J11" i="21" s="1" a="1"/>
  <c r="J11" i="21" s="1"/>
  <c r="K11" i="21" s="1" a="1"/>
  <c r="K11" i="21" s="1"/>
  <c r="L11" i="21" s="1" a="1"/>
  <c r="L11" i="21" s="1"/>
  <c r="M11" i="21" s="1" a="1"/>
  <c r="M11" i="21" s="1"/>
  <c r="I95" i="21" a="1"/>
  <c r="I95" i="21" s="1"/>
  <c r="I96" i="21" a="1"/>
  <c r="I96" i="21" s="1"/>
  <c r="J96" i="21" s="1" a="1"/>
  <c r="J96" i="21" s="1"/>
  <c r="I34" i="21" a="1"/>
  <c r="I34" i="21" s="1"/>
  <c r="J34" i="21" s="1" a="1"/>
  <c r="J34" i="21" s="1"/>
  <c r="K34" i="21" s="1" a="1"/>
  <c r="K34" i="21" s="1"/>
  <c r="I91" i="21" a="1"/>
  <c r="I91" i="21" s="1"/>
  <c r="I58" i="21" a="1"/>
  <c r="I58" i="21" s="1"/>
  <c r="J58" i="21" s="1" a="1"/>
  <c r="J58" i="21" s="1"/>
  <c r="K58" i="21" s="1" a="1"/>
  <c r="K58" i="21" s="1"/>
  <c r="I101" i="21" a="1"/>
  <c r="I101" i="21" s="1"/>
  <c r="I54" i="21" a="1"/>
  <c r="I54" i="21" s="1"/>
  <c r="I50" i="21" a="1"/>
  <c r="I50" i="21" s="1"/>
  <c r="J50" i="21" s="1" a="1"/>
  <c r="J50" i="21" s="1"/>
  <c r="I90" i="21" a="1"/>
  <c r="I90" i="21" s="1"/>
  <c r="J90" i="21" s="1" a="1"/>
  <c r="J90" i="21" s="1"/>
  <c r="I89" i="21" a="1"/>
  <c r="I89" i="21" s="1"/>
  <c r="J89" i="21" s="1" a="1"/>
  <c r="J89" i="21" s="1"/>
  <c r="K89" i="21" s="1" a="1"/>
  <c r="K89" i="21" s="1"/>
  <c r="I40" i="21" a="1"/>
  <c r="I40" i="21" s="1"/>
  <c r="J40" i="21" s="1" a="1"/>
  <c r="J40" i="21" s="1"/>
  <c r="I77" i="21" a="1"/>
  <c r="I77" i="21" s="1"/>
  <c r="I49" i="21" a="1"/>
  <c r="I49" i="21" s="1"/>
  <c r="J49" i="21" s="1" a="1"/>
  <c r="J49" i="21" s="1"/>
  <c r="K49" i="21" s="1" a="1"/>
  <c r="K49" i="21" s="1"/>
  <c r="I23" i="21" a="1"/>
  <c r="I23" i="21" s="1"/>
  <c r="I68" i="21" a="1"/>
  <c r="I68" i="21" s="1"/>
  <c r="J68" i="21" s="1" a="1"/>
  <c r="J68" i="21" s="1"/>
  <c r="K68" i="21" s="1" a="1"/>
  <c r="K68" i="21" s="1"/>
  <c r="I26" i="21" a="1"/>
  <c r="I26" i="21" s="1"/>
  <c r="J26" i="21" s="1" a="1"/>
  <c r="J26" i="21" s="1"/>
  <c r="I76" i="21" a="1"/>
  <c r="I76" i="21" s="1"/>
  <c r="J76" i="21" s="1" a="1"/>
  <c r="J76" i="21" s="1"/>
  <c r="J78" i="21" a="1"/>
  <c r="J78" i="21" s="1"/>
  <c r="K78" i="21" s="1" a="1"/>
  <c r="K78" i="21" s="1"/>
  <c r="I98" i="21" a="1"/>
  <c r="I98" i="21" s="1"/>
  <c r="J98" i="21" s="1" a="1"/>
  <c r="J98" i="21" s="1"/>
  <c r="I4" i="21" a="1"/>
  <c r="I4" i="21" s="1"/>
  <c r="I100" i="21" a="1"/>
  <c r="I100" i="21" s="1"/>
  <c r="I29" i="21" a="1"/>
  <c r="I29" i="21" s="1"/>
  <c r="I7" i="21" a="1"/>
  <c r="I7" i="21" s="1"/>
  <c r="J7" i="21" s="1" a="1"/>
  <c r="J7" i="21" s="1"/>
  <c r="K7" i="21" s="1" a="1"/>
  <c r="K7" i="21" s="1"/>
  <c r="L7" i="21" s="1" a="1"/>
  <c r="L7" i="21" s="1"/>
  <c r="M7" i="21" s="1" a="1"/>
  <c r="M7" i="21" s="1"/>
  <c r="N7" i="21" s="1" a="1"/>
  <c r="N7" i="21" s="1"/>
  <c r="I57" i="21" a="1"/>
  <c r="I57" i="21" s="1"/>
  <c r="J57" i="21" s="1" a="1"/>
  <c r="J57" i="21" s="1"/>
  <c r="I51" i="21" a="1"/>
  <c r="I51" i="21" s="1"/>
  <c r="I53" i="21" a="1"/>
  <c r="I53" i="21" s="1"/>
  <c r="J53" i="21" s="1" a="1"/>
  <c r="J53" i="21" s="1"/>
  <c r="K53" i="21" s="1" a="1"/>
  <c r="K53" i="21" s="1"/>
  <c r="I69" i="21" a="1"/>
  <c r="I69" i="21" s="1"/>
  <c r="J69" i="21" s="1" a="1"/>
  <c r="J69" i="21" s="1"/>
  <c r="K69" i="21" s="1" a="1"/>
  <c r="K69" i="21" s="1"/>
  <c r="I60" i="21" a="1"/>
  <c r="I60" i="21" s="1"/>
  <c r="I15" i="21" a="1"/>
  <c r="I15" i="21" s="1"/>
  <c r="I48" i="21" a="1"/>
  <c r="I48" i="21" s="1"/>
  <c r="I41" i="21" a="1"/>
  <c r="I41" i="21" s="1"/>
  <c r="J41" i="21" s="1" a="1"/>
  <c r="J41" i="21" s="1"/>
  <c r="I70" i="21" a="1"/>
  <c r="I70" i="21" s="1"/>
  <c r="J70" i="21" s="1" a="1"/>
  <c r="J70" i="21" s="1"/>
  <c r="I67" i="21" a="1"/>
  <c r="I67" i="21" s="1"/>
  <c r="J67" i="21" s="1" a="1"/>
  <c r="J67" i="21" s="1"/>
  <c r="K67" i="21" s="1" a="1"/>
  <c r="K67" i="21" s="1"/>
  <c r="I35" i="21" a="1"/>
  <c r="I35" i="21" s="1"/>
  <c r="J35" i="21" s="1" a="1"/>
  <c r="J35" i="21" s="1"/>
  <c r="K35" i="21" s="1" a="1"/>
  <c r="K35" i="21" s="1"/>
  <c r="I86" i="21" a="1"/>
  <c r="I86" i="21" s="1"/>
  <c r="I88" i="21" a="1"/>
  <c r="I88" i="21" s="1"/>
  <c r="I52" i="21" a="1"/>
  <c r="I52" i="21" s="1"/>
  <c r="I5" i="21" a="1"/>
  <c r="I5" i="21" s="1"/>
  <c r="I94" i="21" a="1"/>
  <c r="I94" i="21" s="1"/>
  <c r="J94" i="21" s="1" a="1"/>
  <c r="J94" i="21" s="1"/>
  <c r="I115" i="21" a="1"/>
  <c r="I115" i="21" s="1"/>
  <c r="J115" i="21" s="1" a="1"/>
  <c r="J115" i="21" s="1"/>
  <c r="I87" i="21" a="1"/>
  <c r="I87" i="21" s="1"/>
  <c r="J87" i="21" s="1" a="1"/>
  <c r="J87" i="21" s="1"/>
  <c r="K87" i="21" s="1" a="1"/>
  <c r="K87" i="21" s="1"/>
  <c r="L87" i="21" s="1" a="1"/>
  <c r="L87" i="21" s="1"/>
  <c r="M87" i="21" s="1" a="1"/>
  <c r="M87" i="21" s="1"/>
  <c r="N87" i="21" s="1" a="1"/>
  <c r="N87" i="21" s="1"/>
  <c r="I30" i="21" a="1"/>
  <c r="I30" i="21" s="1"/>
  <c r="J30" i="21" s="1" a="1"/>
  <c r="J30" i="21" s="1"/>
  <c r="K30" i="21" s="1" a="1"/>
  <c r="K30" i="21" s="1"/>
  <c r="I80" i="21" a="1"/>
  <c r="I80" i="21" s="1"/>
  <c r="J80" i="21" s="1" a="1"/>
  <c r="J80" i="21" s="1"/>
  <c r="I84" i="21" a="1"/>
  <c r="I84" i="21" s="1"/>
  <c r="I92" i="21" a="1"/>
  <c r="I92" i="21" s="1"/>
  <c r="J92" i="21" s="1" a="1"/>
  <c r="J92" i="21" s="1"/>
  <c r="K92" i="21" s="1" a="1"/>
  <c r="K92" i="21" s="1"/>
  <c r="L92" i="21" s="1" a="1"/>
  <c r="L92" i="21" s="1"/>
  <c r="M92" i="21" s="1" a="1"/>
  <c r="M92" i="21" s="1"/>
  <c r="I55" i="21" a="1"/>
  <c r="I55" i="21" s="1"/>
  <c r="I109" i="21" a="1"/>
  <c r="I109" i="21" s="1"/>
  <c r="J109" i="21" s="1" a="1"/>
  <c r="J109" i="21" s="1"/>
  <c r="I39" i="21" a="1"/>
  <c r="I39" i="21" s="1"/>
  <c r="J39" i="21" s="1" a="1"/>
  <c r="J39" i="21" s="1"/>
  <c r="K39" i="21" s="1" a="1"/>
  <c r="K39" i="21" s="1"/>
  <c r="I43" i="21" a="1"/>
  <c r="I43" i="21" s="1"/>
  <c r="J43" i="21" s="1" a="1"/>
  <c r="J43" i="21" s="1"/>
  <c r="I42" i="21" a="1"/>
  <c r="I42" i="21" s="1"/>
  <c r="J42" i="21" s="1" a="1"/>
  <c r="J42" i="21" s="1"/>
  <c r="I32" i="21" a="1"/>
  <c r="I32" i="21" s="1"/>
  <c r="J32" i="21" s="1" a="1"/>
  <c r="J32" i="21" s="1"/>
  <c r="K32" i="21" s="1" a="1"/>
  <c r="K32" i="21" s="1"/>
  <c r="L32" i="21" s="1" a="1"/>
  <c r="L32" i="21" s="1"/>
  <c r="I113" i="21" a="1"/>
  <c r="I113" i="21" s="1"/>
  <c r="J113" i="21" s="1" a="1"/>
  <c r="J113" i="21" s="1"/>
  <c r="K113" i="21" s="1" a="1"/>
  <c r="K113" i="21" s="1"/>
  <c r="I33" i="21" a="1"/>
  <c r="I33" i="21" s="1"/>
  <c r="J33" i="21" s="1" a="1"/>
  <c r="J33" i="21" s="1"/>
  <c r="K33" i="21" s="1" a="1"/>
  <c r="K33" i="21" s="1"/>
  <c r="I102" i="21" a="1"/>
  <c r="I102" i="21" s="1"/>
  <c r="I81" i="21" a="1"/>
  <c r="I81" i="21" s="1"/>
  <c r="J81" i="21" s="1" a="1"/>
  <c r="J81" i="21" s="1"/>
  <c r="I116" i="21" a="1"/>
  <c r="I116" i="21" s="1"/>
  <c r="J116" i="21" s="1" a="1"/>
  <c r="J116" i="21" s="1"/>
  <c r="K116" i="21" s="1" a="1"/>
  <c r="K116" i="21" s="1"/>
  <c r="I22" i="21" a="1"/>
  <c r="I22" i="21" s="1"/>
  <c r="J22" i="21" s="1" a="1"/>
  <c r="J22" i="21" s="1"/>
  <c r="I72" i="21" a="1"/>
  <c r="I72" i="21" s="1"/>
  <c r="J72" i="21" s="1" a="1"/>
  <c r="J72" i="21" s="1"/>
  <c r="I14" i="21" a="1"/>
  <c r="I14" i="21" s="1"/>
  <c r="J14" i="21" s="1" a="1"/>
  <c r="J14" i="21" s="1"/>
  <c r="I47" i="21" a="1"/>
  <c r="I47" i="21" s="1"/>
  <c r="I83" i="21" a="1"/>
  <c r="I83" i="21" s="1"/>
  <c r="J83" i="21" s="1" a="1"/>
  <c r="J83" i="21" s="1"/>
  <c r="K83" i="21" s="1" a="1"/>
  <c r="K83" i="21" s="1"/>
  <c r="I108" i="21" a="1"/>
  <c r="I108" i="21" s="1"/>
  <c r="I82" i="21" a="1"/>
  <c r="I82" i="21" s="1"/>
  <c r="J82" i="21" s="1" a="1"/>
  <c r="J82" i="21" s="1"/>
  <c r="I16" i="21" a="1"/>
  <c r="I16" i="21" s="1"/>
  <c r="I56" i="21" a="1"/>
  <c r="I56" i="21" s="1"/>
  <c r="J56" i="21" s="1" a="1"/>
  <c r="J56" i="21" s="1"/>
  <c r="K56" i="21" s="1" a="1"/>
  <c r="K56" i="21" s="1"/>
  <c r="I106" i="21" a="1"/>
  <c r="I106" i="21" s="1"/>
  <c r="J106" i="21" s="1" a="1"/>
  <c r="J106" i="21" s="1"/>
  <c r="K106" i="21" s="1" a="1"/>
  <c r="K106" i="21" s="1"/>
  <c r="I73" i="21" a="1"/>
  <c r="I73" i="21" s="1"/>
  <c r="J73" i="21" s="1" a="1"/>
  <c r="J73" i="21" s="1"/>
  <c r="K73" i="21" s="1" a="1"/>
  <c r="K73" i="21" s="1"/>
  <c r="L73" i="21" s="1" a="1"/>
  <c r="L73" i="21" s="1"/>
  <c r="I71" i="21" a="1"/>
  <c r="I71" i="21" s="1"/>
  <c r="J71" i="21" s="1" a="1"/>
  <c r="J71" i="21" s="1"/>
  <c r="K71" i="21" s="1" a="1"/>
  <c r="K71" i="21" s="1"/>
  <c r="I10" i="21" a="1"/>
  <c r="I10" i="21" s="1"/>
  <c r="J10" i="21" s="1" a="1"/>
  <c r="J10" i="21" s="1"/>
  <c r="I64" i="21" a="1"/>
  <c r="I64" i="21" s="1"/>
  <c r="J64" i="21" s="1" a="1"/>
  <c r="J64" i="21" s="1"/>
  <c r="I74" i="21" a="1"/>
  <c r="I74" i="21" s="1"/>
  <c r="I19" i="21" a="1"/>
  <c r="I19" i="21" s="1"/>
  <c r="J19" i="21" s="1" a="1"/>
  <c r="J19" i="21" s="1"/>
  <c r="I61" i="21" a="1"/>
  <c r="I61" i="21" s="1"/>
  <c r="J61" i="21" s="1" a="1"/>
  <c r="J61" i="21" s="1"/>
  <c r="I79" i="21" a="1"/>
  <c r="I79" i="21" s="1"/>
  <c r="J79" i="21" s="1" a="1"/>
  <c r="J79" i="21" s="1"/>
  <c r="K79" i="21" s="1" a="1"/>
  <c r="K79" i="21" s="1"/>
  <c r="I59" i="21" a="1"/>
  <c r="I59" i="21" s="1"/>
  <c r="J59" i="21" s="1" a="1"/>
  <c r="J59" i="21" s="1"/>
  <c r="K59" i="21" s="1" a="1"/>
  <c r="K59" i="21" s="1"/>
  <c r="I46" i="21" a="1"/>
  <c r="I46" i="21" s="1"/>
  <c r="J46" i="21" s="1" a="1"/>
  <c r="J46" i="21" s="1"/>
  <c r="I111" i="21" a="1"/>
  <c r="I111" i="21" s="1"/>
  <c r="J111" i="21" s="1" a="1"/>
  <c r="J111" i="21" s="1"/>
  <c r="J108" i="21" a="1"/>
  <c r="J108" i="21" s="1"/>
  <c r="K108" i="21" s="1" a="1"/>
  <c r="K108" i="21" s="1"/>
  <c r="L108" i="21" s="1" a="1"/>
  <c r="L108" i="21" s="1"/>
  <c r="M108" i="21" s="1" a="1"/>
  <c r="M108" i="21" s="1"/>
  <c r="J91" i="21" a="1"/>
  <c r="J91" i="21" s="1"/>
  <c r="J47" i="21" a="1"/>
  <c r="J47" i="21" s="1"/>
  <c r="J15" i="21" a="1"/>
  <c r="J15" i="21" s="1"/>
  <c r="J55" i="21" a="1"/>
  <c r="J55" i="21" s="1"/>
  <c r="J23" i="21" a="1"/>
  <c r="J23" i="21" s="1"/>
  <c r="K23" i="21" s="1" a="1"/>
  <c r="K23" i="21" s="1"/>
  <c r="J45" i="21" a="1"/>
  <c r="J45" i="21" s="1"/>
  <c r="K45" i="21" s="1" a="1"/>
  <c r="K45" i="21" s="1"/>
  <c r="J20" i="21" a="1"/>
  <c r="J20" i="21" s="1"/>
  <c r="J95" i="21" a="1"/>
  <c r="J95" i="21" s="1"/>
  <c r="J97" i="21" a="1"/>
  <c r="J97" i="21" s="1"/>
  <c r="J62" i="21" a="1"/>
  <c r="J62" i="21" s="1"/>
  <c r="K62" i="21" s="1" a="1"/>
  <c r="K62" i="21" s="1"/>
  <c r="L62" i="21" s="1" a="1"/>
  <c r="L62" i="21" s="1"/>
  <c r="J36" i="21" a="1"/>
  <c r="J36" i="21" s="1"/>
  <c r="K36" i="21" s="1" a="1"/>
  <c r="K36" i="21" s="1"/>
  <c r="J60" i="21" a="1"/>
  <c r="J60" i="21" s="1"/>
  <c r="J51" i="21" a="1"/>
  <c r="J51" i="21" s="1"/>
  <c r="J101" i="21" a="1"/>
  <c r="J101" i="21" s="1"/>
  <c r="K101" i="21" s="1" a="1"/>
  <c r="K101" i="21" s="1"/>
  <c r="J85" i="21" a="1"/>
  <c r="J85" i="21" s="1"/>
  <c r="J104" i="21" a="1"/>
  <c r="J104" i="21" s="1"/>
  <c r="J63" i="21" a="1"/>
  <c r="J63" i="21" s="1"/>
  <c r="J28" i="21" a="1"/>
  <c r="J28" i="21" s="1"/>
  <c r="K28" i="21" s="1" a="1"/>
  <c r="K28" i="21" s="1"/>
  <c r="L28" i="21" s="1" a="1"/>
  <c r="L28" i="21" s="1"/>
  <c r="J102" i="21" a="1"/>
  <c r="J102" i="21" s="1"/>
  <c r="K102" i="21" s="1" a="1"/>
  <c r="K102" i="21" s="1"/>
  <c r="J84" i="21" a="1"/>
  <c r="J84" i="21" s="1"/>
  <c r="J9" i="21" a="1"/>
  <c r="J9" i="21" s="1"/>
  <c r="K9" i="21" s="1" a="1"/>
  <c r="K9" i="21" s="1"/>
  <c r="L9" i="21" s="1" a="1"/>
  <c r="L9" i="21" s="1"/>
  <c r="M9" i="21" s="1" a="1"/>
  <c r="M9" i="21" s="1"/>
  <c r="J48" i="21" a="1"/>
  <c r="J48" i="21" s="1"/>
  <c r="J18" i="21" a="1"/>
  <c r="J18" i="21" s="1"/>
  <c r="J21" i="21" a="1"/>
  <c r="J21" i="21" s="1"/>
  <c r="J5" i="21" a="1"/>
  <c r="J5" i="21" s="1"/>
  <c r="J37" i="21" a="1"/>
  <c r="J37" i="21" s="1"/>
  <c r="J77" i="21" a="1"/>
  <c r="J77" i="21" s="1"/>
  <c r="J75" i="21" a="1"/>
  <c r="J75" i="21" s="1"/>
  <c r="E31" i="21"/>
  <c r="J29" i="12"/>
  <c r="K29" i="12" s="1"/>
  <c r="E32" i="21"/>
  <c r="J30" i="12"/>
  <c r="K30" i="12" s="1"/>
  <c r="E25" i="21"/>
  <c r="J28" i="12"/>
  <c r="K28" i="12" s="1"/>
  <c r="E6" i="21"/>
  <c r="J21" i="12"/>
  <c r="K21" i="12" s="1"/>
  <c r="E24" i="21"/>
  <c r="J27" i="12"/>
  <c r="K27" i="12" s="1"/>
  <c r="E18" i="21"/>
  <c r="J26" i="12"/>
  <c r="K26" i="12" s="1"/>
  <c r="E40" i="21"/>
  <c r="J32" i="12"/>
  <c r="K32" i="12" s="1"/>
  <c r="E36" i="21"/>
  <c r="J31" i="12"/>
  <c r="K31" i="12" s="1"/>
  <c r="E10" i="21"/>
  <c r="J22" i="12"/>
  <c r="K22" i="12" s="1"/>
  <c r="E11" i="21"/>
  <c r="J23" i="12"/>
  <c r="K23" i="12" s="1"/>
  <c r="E13" i="21"/>
  <c r="J24" i="12"/>
  <c r="K24" i="12" s="1"/>
  <c r="E4" i="21"/>
  <c r="J20" i="12"/>
  <c r="K20" i="12" s="1"/>
  <c r="E15" i="21"/>
  <c r="J25" i="12"/>
  <c r="K25" i="12" s="1"/>
  <c r="K8" i="9"/>
  <c r="J9" i="9" s="1"/>
  <c r="I8" i="9"/>
  <c r="L78" i="21" l="1" a="1"/>
  <c r="L78" i="21" s="1"/>
  <c r="L13" i="21" a="1"/>
  <c r="L13" i="21" s="1"/>
  <c r="M13" i="21" s="1" a="1"/>
  <c r="M13" i="21" s="1"/>
  <c r="L33" i="21" a="1"/>
  <c r="L33" i="21" s="1"/>
  <c r="M33" i="21" s="1" a="1"/>
  <c r="M33" i="21" s="1"/>
  <c r="N33" i="21" s="1" a="1"/>
  <c r="N33" i="21" s="1"/>
  <c r="K19" i="21" a="1"/>
  <c r="K19" i="21" s="1"/>
  <c r="J16" i="21" a="1"/>
  <c r="J16" i="21" s="1"/>
  <c r="L116" i="21" a="1"/>
  <c r="L116" i="21" s="1"/>
  <c r="L39" i="21" a="1"/>
  <c r="L39" i="21" s="1"/>
  <c r="M39" i="21" s="1" a="1"/>
  <c r="M39" i="21" s="1"/>
  <c r="N39" i="21" s="1" a="1"/>
  <c r="N39" i="21" s="1"/>
  <c r="O39" i="21" s="1" a="1"/>
  <c r="O39" i="21" s="1"/>
  <c r="K115" i="21" a="1"/>
  <c r="K115" i="21" s="1"/>
  <c r="L115" i="21" s="1" a="1"/>
  <c r="L115" i="21" s="1"/>
  <c r="AB115" i="21" s="1" a="1"/>
  <c r="AB115" i="21" s="1"/>
  <c r="K70" i="21" a="1"/>
  <c r="K70" i="21" s="1"/>
  <c r="L70" i="21" s="1" a="1"/>
  <c r="L70" i="21" s="1"/>
  <c r="K57" i="21" a="1"/>
  <c r="K57" i="21" s="1"/>
  <c r="K26" i="21" a="1"/>
  <c r="K26" i="21" s="1"/>
  <c r="L26" i="21" s="1" a="1"/>
  <c r="L26" i="21" s="1"/>
  <c r="M26" i="21" s="1" a="1"/>
  <c r="M26" i="21" s="1"/>
  <c r="N26" i="21" s="1" a="1"/>
  <c r="N26" i="21" s="1"/>
  <c r="O26" i="21" s="1" a="1"/>
  <c r="O26" i="21" s="1"/>
  <c r="P26" i="21" s="1" a="1"/>
  <c r="P26" i="21" s="1"/>
  <c r="Q26" i="21" s="1" a="1"/>
  <c r="Q26" i="21" s="1"/>
  <c r="R26" i="21" s="1" a="1"/>
  <c r="R26" i="21" s="1"/>
  <c r="S26" i="21" s="1" a="1"/>
  <c r="S26" i="21" s="1"/>
  <c r="T26" i="21" s="1" a="1"/>
  <c r="T26" i="21" s="1"/>
  <c r="U26" i="21" s="1" a="1"/>
  <c r="U26" i="21" s="1"/>
  <c r="V26" i="21" s="1" a="1"/>
  <c r="V26" i="21" s="1"/>
  <c r="W26" i="21" s="1" a="1"/>
  <c r="W26" i="21" s="1"/>
  <c r="X26" i="21" s="1" a="1"/>
  <c r="X26" i="21" s="1"/>
  <c r="Y26" i="21" s="1" a="1"/>
  <c r="Y26" i="21" s="1"/>
  <c r="Z26" i="21" s="1" a="1"/>
  <c r="Z26" i="21" s="1"/>
  <c r="AA26" i="21" s="1" a="1"/>
  <c r="AA26" i="21" s="1"/>
  <c r="AB26" i="21" s="1" a="1"/>
  <c r="AB26" i="21" s="1"/>
  <c r="K50" i="21" a="1"/>
  <c r="K50" i="21" s="1"/>
  <c r="N11" i="21" a="1"/>
  <c r="N11" i="21" s="1"/>
  <c r="O11" i="21" s="1" a="1"/>
  <c r="O11" i="21" s="1"/>
  <c r="P11" i="21" s="1" a="1"/>
  <c r="P11" i="21" s="1"/>
  <c r="Q11" i="21" s="1" a="1"/>
  <c r="Q11" i="21" s="1"/>
  <c r="R11" i="21" s="1" a="1"/>
  <c r="R11" i="21" s="1"/>
  <c r="S11" i="21" s="1" a="1"/>
  <c r="S11" i="21" s="1"/>
  <c r="T11" i="21" s="1" a="1"/>
  <c r="T11" i="21" s="1"/>
  <c r="U11" i="21" s="1" a="1"/>
  <c r="U11" i="21" s="1"/>
  <c r="K103" i="21" a="1"/>
  <c r="K103" i="21" s="1"/>
  <c r="L107" i="21" a="1"/>
  <c r="L107" i="21" s="1"/>
  <c r="K31" i="21" a="1"/>
  <c r="K31" i="21" s="1"/>
  <c r="J8" i="21" a="1"/>
  <c r="J8" i="21" s="1"/>
  <c r="J74" i="21" a="1"/>
  <c r="J74" i="21" s="1"/>
  <c r="K82" i="21" a="1"/>
  <c r="K82" i="21" s="1"/>
  <c r="K81" i="21" a="1"/>
  <c r="K81" i="21" s="1"/>
  <c r="L81" i="21" s="1" a="1"/>
  <c r="L81" i="21" s="1"/>
  <c r="K109" i="21" a="1"/>
  <c r="K109" i="21" s="1"/>
  <c r="L109" i="21" s="1" a="1"/>
  <c r="L109" i="21" s="1"/>
  <c r="M109" i="21" s="1" a="1"/>
  <c r="M109" i="21" s="1"/>
  <c r="K94" i="21" a="1"/>
  <c r="K94" i="21" s="1"/>
  <c r="L94" i="21" s="1" a="1"/>
  <c r="L94" i="21" s="1"/>
  <c r="P94" i="21" s="1" a="1"/>
  <c r="P94" i="21" s="1"/>
  <c r="K41" i="21" a="1"/>
  <c r="K41" i="21" s="1"/>
  <c r="O7" i="21" a="1"/>
  <c r="O7" i="21" s="1"/>
  <c r="L68" i="21" a="1"/>
  <c r="L68" i="21" s="1"/>
  <c r="M68" i="21" s="1" a="1"/>
  <c r="M68" i="21" s="1"/>
  <c r="N68" i="21" s="1" a="1"/>
  <c r="N68" i="21" s="1"/>
  <c r="S68" i="21" s="1" a="1"/>
  <c r="S68" i="21" s="1"/>
  <c r="T68" i="21" s="1" a="1"/>
  <c r="T68" i="21" s="1"/>
  <c r="J54" i="21" a="1"/>
  <c r="J54" i="21" s="1"/>
  <c r="N13" i="21" a="1"/>
  <c r="N13" i="21" s="1"/>
  <c r="L110" i="21" a="1"/>
  <c r="L110" i="21" s="1"/>
  <c r="N9" i="21" a="1"/>
  <c r="N9" i="21" s="1"/>
  <c r="O9" i="21" s="1" a="1"/>
  <c r="O9" i="21" s="1"/>
  <c r="P9" i="21" s="1" a="1"/>
  <c r="P9" i="21" s="1"/>
  <c r="Q9" i="21" s="1" a="1"/>
  <c r="Q9" i="21" s="1"/>
  <c r="R9" i="21" s="1" a="1"/>
  <c r="R9" i="21" s="1"/>
  <c r="S9" i="21" s="1" a="1"/>
  <c r="S9" i="21" s="1"/>
  <c r="T9" i="21" s="1" a="1"/>
  <c r="T9" i="21" s="1"/>
  <c r="U9" i="21" s="1" a="1"/>
  <c r="U9" i="21" s="1"/>
  <c r="V9" i="21" s="1" a="1"/>
  <c r="V9" i="21" s="1"/>
  <c r="W9" i="21" s="1" a="1"/>
  <c r="W9" i="21" s="1"/>
  <c r="X9" i="21" s="1" a="1"/>
  <c r="X9" i="21" s="1"/>
  <c r="Y9" i="21" s="1" a="1"/>
  <c r="Y9" i="21" s="1"/>
  <c r="Z9" i="21" s="1" a="1"/>
  <c r="Z9" i="21" s="1"/>
  <c r="AA9" i="21" s="1" a="1"/>
  <c r="AA9" i="21" s="1"/>
  <c r="AB9" i="21" s="1" a="1"/>
  <c r="AB9" i="21" s="1"/>
  <c r="M38" i="21" a="1"/>
  <c r="M38" i="21" s="1"/>
  <c r="N38" i="21" s="1" a="1"/>
  <c r="N38" i="21" s="1"/>
  <c r="O38" i="21" s="1" a="1"/>
  <c r="O38" i="21" s="1"/>
  <c r="K114" i="21" a="1"/>
  <c r="K114" i="21" s="1"/>
  <c r="L114" i="21" s="1" a="1"/>
  <c r="L114" i="21" s="1"/>
  <c r="AA114" i="21" s="1" a="1"/>
  <c r="AA114" i="21" s="1"/>
  <c r="AB114" i="21" s="1" a="1"/>
  <c r="AB114" i="21" s="1"/>
  <c r="K64" i="21" a="1"/>
  <c r="K64" i="21" s="1"/>
  <c r="L64" i="21" s="1" a="1"/>
  <c r="L64" i="21" s="1"/>
  <c r="N108" i="21" a="1"/>
  <c r="N108" i="21" s="1"/>
  <c r="L102" i="21" a="1"/>
  <c r="L102" i="21" s="1"/>
  <c r="K55" i="21" a="1"/>
  <c r="K55" i="21" s="1"/>
  <c r="K5" i="21" a="1"/>
  <c r="K5" i="21" s="1"/>
  <c r="L5" i="21" s="1" a="1"/>
  <c r="L5" i="21" s="1"/>
  <c r="M5" i="21" s="1" a="1"/>
  <c r="M5" i="21" s="1"/>
  <c r="K48" i="21" a="1"/>
  <c r="K48" i="21" s="1"/>
  <c r="L48" i="21" s="1" a="1"/>
  <c r="L48" i="21" s="1"/>
  <c r="J29" i="21" a="1"/>
  <c r="J29" i="21" s="1"/>
  <c r="L23" i="21" a="1"/>
  <c r="L23" i="21" s="1"/>
  <c r="L101" i="21" a="1"/>
  <c r="L101" i="21" s="1"/>
  <c r="M62" i="21" a="1"/>
  <c r="M62" i="21" s="1"/>
  <c r="N62" i="21" s="1" a="1"/>
  <c r="N62" i="21" s="1"/>
  <c r="K97" i="21" a="1"/>
  <c r="K97" i="21" s="1"/>
  <c r="L97" i="21" a="1"/>
  <c r="L97" i="21" s="1"/>
  <c r="M97" i="21" s="1" a="1"/>
  <c r="M97" i="21" s="1"/>
  <c r="N97" i="21" s="1" a="1"/>
  <c r="N97" i="21" s="1"/>
  <c r="K20" i="21" a="1"/>
  <c r="K20" i="21" s="1"/>
  <c r="L36" i="21" a="1"/>
  <c r="L36" i="21" s="1"/>
  <c r="M36" i="21" s="1" a="1"/>
  <c r="M36" i="21" s="1"/>
  <c r="L45" i="21" a="1"/>
  <c r="L45" i="21" s="1"/>
  <c r="K111" i="21" a="1"/>
  <c r="K111" i="21" s="1"/>
  <c r="K10" i="21" a="1"/>
  <c r="K10" i="21" s="1"/>
  <c r="L10" i="21" s="1" a="1"/>
  <c r="L10" i="21" s="1"/>
  <c r="M10" i="21" s="1" a="1"/>
  <c r="M10" i="21" s="1"/>
  <c r="L83" i="21" a="1"/>
  <c r="L83" i="21" s="1"/>
  <c r="N92" i="21" a="1"/>
  <c r="N92" i="21" s="1"/>
  <c r="J52" i="21" a="1"/>
  <c r="J52" i="21" s="1"/>
  <c r="K15" i="21" a="1"/>
  <c r="K15" i="21" s="1"/>
  <c r="L15" i="21" s="1" a="1"/>
  <c r="L15" i="21" s="1"/>
  <c r="J100" i="21" a="1"/>
  <c r="J100" i="21" s="1"/>
  <c r="L49" i="21" a="1"/>
  <c r="L49" i="21" s="1"/>
  <c r="L58" i="21" a="1"/>
  <c r="L58" i="21" s="1"/>
  <c r="K21" i="21" a="1"/>
  <c r="K21" i="21" s="1"/>
  <c r="M27" i="21" a="1"/>
  <c r="M27" i="21" s="1"/>
  <c r="N27" i="21" s="1" a="1"/>
  <c r="N27" i="21" s="1"/>
  <c r="O27" i="21" s="1" a="1"/>
  <c r="O27" i="21" s="1"/>
  <c r="J66" i="21" a="1"/>
  <c r="J66" i="21" s="1"/>
  <c r="K18" i="21" a="1"/>
  <c r="K18" i="21" s="1"/>
  <c r="K63" i="21" a="1"/>
  <c r="K63" i="21" s="1"/>
  <c r="K46" i="21" a="1"/>
  <c r="K46" i="21" s="1"/>
  <c r="L46" i="21" s="1" a="1"/>
  <c r="L46" i="21" s="1"/>
  <c r="L71" i="21" a="1"/>
  <c r="L71" i="21" s="1"/>
  <c r="M71" i="21" s="1" a="1"/>
  <c r="M71" i="21" s="1"/>
  <c r="K47" i="21" a="1"/>
  <c r="K47" i="21" s="1"/>
  <c r="L47" i="21" s="1" a="1"/>
  <c r="L47" i="21" s="1"/>
  <c r="L113" i="21" a="1"/>
  <c r="L113" i="21" s="1"/>
  <c r="K84" i="21" a="1"/>
  <c r="K84" i="21" s="1"/>
  <c r="L84" i="21" s="1" a="1"/>
  <c r="L84" i="21" s="1"/>
  <c r="J88" i="21" a="1"/>
  <c r="J88" i="21" s="1"/>
  <c r="K60" i="21" a="1"/>
  <c r="K60" i="21" s="1"/>
  <c r="J4" i="21" a="1"/>
  <c r="J4" i="21" s="1"/>
  <c r="K77" i="21" a="1"/>
  <c r="K77" i="21" s="1"/>
  <c r="L77" i="21" s="1" a="1"/>
  <c r="L77" i="21" s="1"/>
  <c r="K91" i="21" a="1"/>
  <c r="K91" i="21" s="1"/>
  <c r="K37" i="21" a="1"/>
  <c r="K37" i="21" s="1"/>
  <c r="L37" i="21" s="1" a="1"/>
  <c r="L37" i="21" s="1"/>
  <c r="M28" i="21" a="1"/>
  <c r="M28" i="21" s="1"/>
  <c r="K104" i="21" a="1"/>
  <c r="K104" i="21" s="1"/>
  <c r="L104" i="21" s="1" a="1"/>
  <c r="L104" i="21" s="1"/>
  <c r="K85" i="21" a="1"/>
  <c r="K85" i="21" s="1"/>
  <c r="L85" i="21" s="1" a="1"/>
  <c r="L85" i="21" s="1"/>
  <c r="M78" i="21" a="1"/>
  <c r="M78" i="21" s="1"/>
  <c r="N78" i="21" s="1" a="1"/>
  <c r="N78" i="21" s="1"/>
  <c r="L59" i="21" a="1"/>
  <c r="L59" i="21" s="1"/>
  <c r="M73" i="21" a="1"/>
  <c r="M73" i="21" s="1"/>
  <c r="K14" i="21" a="1"/>
  <c r="K14" i="21" s="1"/>
  <c r="L14" i="21" s="1" a="1"/>
  <c r="L14" i="21" s="1"/>
  <c r="M32" i="21" a="1"/>
  <c r="M32" i="21" s="1"/>
  <c r="N32" i="21" s="1" a="1"/>
  <c r="N32" i="21" s="1"/>
  <c r="O32" i="21" s="1" a="1"/>
  <c r="O32" i="21" s="1"/>
  <c r="P32" i="21" s="1" a="1"/>
  <c r="P32" i="21" s="1"/>
  <c r="Q32" i="21" s="1" a="1"/>
  <c r="Q32" i="21" s="1"/>
  <c r="R32" i="21" s="1" a="1"/>
  <c r="R32" i="21" s="1"/>
  <c r="S32" i="21" s="1" a="1"/>
  <c r="S32" i="21" s="1"/>
  <c r="T32" i="21" s="1" a="1"/>
  <c r="T32" i="21" s="1"/>
  <c r="U32" i="21" s="1" a="1"/>
  <c r="U32" i="21" s="1"/>
  <c r="V32" i="21" s="1" a="1"/>
  <c r="V32" i="21" s="1"/>
  <c r="W32" i="21" s="1" a="1"/>
  <c r="W32" i="21" s="1"/>
  <c r="X32" i="21" s="1" a="1"/>
  <c r="X32" i="21" s="1"/>
  <c r="Y32" i="21" s="1" a="1"/>
  <c r="Y32" i="21" s="1"/>
  <c r="K80" i="21" a="1"/>
  <c r="K80" i="21" s="1"/>
  <c r="J86" i="21" a="1"/>
  <c r="J86" i="21" s="1"/>
  <c r="L69" i="21" a="1"/>
  <c r="L69" i="21" s="1"/>
  <c r="K98" i="21" a="1"/>
  <c r="K98" i="21" s="1"/>
  <c r="K40" i="21" a="1"/>
  <c r="K40" i="21" s="1"/>
  <c r="L40" i="21" s="1" a="1"/>
  <c r="L40" i="21" s="1"/>
  <c r="M40" i="21" s="1" a="1"/>
  <c r="M40" i="21" s="1"/>
  <c r="N40" i="21" s="1" a="1"/>
  <c r="N40" i="21" s="1"/>
  <c r="O40" i="21" s="1" a="1"/>
  <c r="O40" i="21" s="1"/>
  <c r="P40" i="21" s="1" a="1"/>
  <c r="P40" i="21" s="1"/>
  <c r="Q40" i="21" s="1" a="1"/>
  <c r="Q40" i="21" s="1"/>
  <c r="R40" i="21" s="1" a="1"/>
  <c r="R40" i="21" s="1"/>
  <c r="S40" i="21" s="1" a="1"/>
  <c r="S40" i="21" s="1"/>
  <c r="T40" i="21" s="1" a="1"/>
  <c r="T40" i="21" s="1"/>
  <c r="U40" i="21" s="1" a="1"/>
  <c r="U40" i="21" s="1"/>
  <c r="V40" i="21" s="1" a="1"/>
  <c r="V40" i="21" s="1"/>
  <c r="W40" i="21" s="1" a="1"/>
  <c r="W40" i="21" s="1"/>
  <c r="X40" i="21" s="1" a="1"/>
  <c r="X40" i="21" s="1"/>
  <c r="L34" i="21" a="1"/>
  <c r="L34" i="21" s="1"/>
  <c r="M34" i="21" s="1" a="1"/>
  <c r="M34" i="21" s="1"/>
  <c r="N34" i="21" s="1" a="1"/>
  <c r="N34" i="21" s="1"/>
  <c r="L105" i="21" a="1"/>
  <c r="L105" i="21" s="1"/>
  <c r="K65" i="21" a="1"/>
  <c r="K65" i="21" s="1"/>
  <c r="L44" i="21" a="1"/>
  <c r="L44" i="21" s="1"/>
  <c r="M44" i="21" s="1" a="1"/>
  <c r="M44" i="21" s="1"/>
  <c r="J17" i="21" a="1"/>
  <c r="J17" i="21" s="1"/>
  <c r="L79" i="21" a="1"/>
  <c r="L79" i="21" s="1"/>
  <c r="M79" i="21" s="1" a="1"/>
  <c r="M79" i="21" s="1"/>
  <c r="N79" i="21" s="1" a="1"/>
  <c r="N79" i="21" s="1"/>
  <c r="L106" i="21" a="1"/>
  <c r="L106" i="21" s="1"/>
  <c r="K72" i="21" a="1"/>
  <c r="K72" i="21" s="1"/>
  <c r="L72" i="21" s="1" a="1"/>
  <c r="L72" i="21" s="1"/>
  <c r="M72" i="21" s="1" a="1"/>
  <c r="M72" i="21" s="1"/>
  <c r="N72" i="21" s="1" a="1"/>
  <c r="N72" i="21" s="1"/>
  <c r="O72" i="21" s="1" a="1"/>
  <c r="O72" i="21" s="1"/>
  <c r="P72" i="21" s="1" a="1"/>
  <c r="P72" i="21" s="1"/>
  <c r="Q72" i="21" s="1" a="1"/>
  <c r="Q72" i="21" s="1"/>
  <c r="R72" i="21" s="1" a="1"/>
  <c r="R72" i="21" s="1"/>
  <c r="S72" i="21" s="1" a="1"/>
  <c r="S72" i="21" s="1"/>
  <c r="T72" i="21" s="1" a="1"/>
  <c r="T72" i="21" s="1"/>
  <c r="U72" i="21" s="1" a="1"/>
  <c r="U72" i="21" s="1"/>
  <c r="V72" i="21" s="1" a="1"/>
  <c r="V72" i="21" s="1"/>
  <c r="W72" i="21" s="1" a="1"/>
  <c r="W72" i="21" s="1"/>
  <c r="K42" i="21" a="1"/>
  <c r="K42" i="21" s="1"/>
  <c r="L42" i="21" s="1" a="1"/>
  <c r="L42" i="21" s="1"/>
  <c r="M42" i="21" s="1" a="1"/>
  <c r="M42" i="21" s="1"/>
  <c r="N42" i="21" s="1" a="1"/>
  <c r="N42" i="21" s="1"/>
  <c r="O42" i="21" s="1" a="1"/>
  <c r="O42" i="21" s="1"/>
  <c r="P42" i="21" s="1" a="1"/>
  <c r="P42" i="21" s="1"/>
  <c r="Q42" i="21" s="1" a="1"/>
  <c r="Q42" i="21" s="1"/>
  <c r="R42" i="21" s="1" a="1"/>
  <c r="R42" i="21" s="1"/>
  <c r="S42" i="21" s="1" a="1"/>
  <c r="S42" i="21" s="1"/>
  <c r="T42" i="21" s="1" a="1"/>
  <c r="T42" i="21" s="1"/>
  <c r="U42" i="21" s="1" a="1"/>
  <c r="U42" i="21" s="1"/>
  <c r="V42" i="21" s="1" a="1"/>
  <c r="V42" i="21" s="1"/>
  <c r="L30" i="21" a="1"/>
  <c r="L30" i="21" s="1"/>
  <c r="M30" i="21" s="1" a="1"/>
  <c r="M30" i="21" s="1"/>
  <c r="N30" i="21" s="1" a="1"/>
  <c r="N30" i="21" s="1"/>
  <c r="O30" i="21" s="1" a="1"/>
  <c r="O30" i="21" s="1"/>
  <c r="L35" i="21" a="1"/>
  <c r="L35" i="21" s="1"/>
  <c r="L53" i="21" a="1"/>
  <c r="L53" i="21" s="1"/>
  <c r="M53" i="21" s="1" a="1"/>
  <c r="M53" i="21" s="1"/>
  <c r="N53" i="21" s="1" a="1"/>
  <c r="N53" i="21" s="1"/>
  <c r="L89" i="21" a="1"/>
  <c r="L89" i="21" s="1"/>
  <c r="M89" i="21" s="1" a="1"/>
  <c r="M89" i="21" s="1"/>
  <c r="K96" i="21" a="1"/>
  <c r="K96" i="21" s="1"/>
  <c r="O24" i="21" a="1"/>
  <c r="O24" i="21" s="1"/>
  <c r="K99" i="21" a="1"/>
  <c r="K99" i="21" s="1"/>
  <c r="L99" i="21" s="1" a="1"/>
  <c r="L99" i="21" s="1"/>
  <c r="K112" i="21" a="1"/>
  <c r="K112" i="21" s="1"/>
  <c r="L112" i="21" s="1" a="1"/>
  <c r="L112" i="21" s="1"/>
  <c r="P112" i="21" s="1" a="1"/>
  <c r="P112" i="21" s="1"/>
  <c r="Q112" i="21" s="1" a="1"/>
  <c r="Q112" i="21" s="1"/>
  <c r="K93" i="21" a="1"/>
  <c r="K93" i="21" s="1"/>
  <c r="L93" i="21" s="1" a="1"/>
  <c r="L93" i="21" s="1"/>
  <c r="K61" i="21" a="1"/>
  <c r="K61" i="21" s="1"/>
  <c r="L61" i="21" s="1" a="1"/>
  <c r="L61" i="21" s="1"/>
  <c r="L56" i="21" a="1"/>
  <c r="L56" i="21" s="1"/>
  <c r="M56" i="21" s="1" a="1"/>
  <c r="M56" i="21" s="1"/>
  <c r="K22" i="21" a="1"/>
  <c r="K22" i="21" s="1"/>
  <c r="K43" i="21" a="1"/>
  <c r="K43" i="21" s="1"/>
  <c r="L43" i="21" s="1" a="1"/>
  <c r="L43" i="21" s="1"/>
  <c r="M43" i="21" s="1" a="1"/>
  <c r="M43" i="21" s="1"/>
  <c r="R87" i="21" a="1"/>
  <c r="R87" i="21" s="1"/>
  <c r="W87" i="21" a="1"/>
  <c r="W87" i="21" s="1"/>
  <c r="T87" i="21" a="1"/>
  <c r="T87" i="21" s="1"/>
  <c r="Q87" i="21" a="1"/>
  <c r="Q87" i="21" s="1"/>
  <c r="AA87" i="21" a="1"/>
  <c r="AA87" i="21" s="1"/>
  <c r="AB87" i="21" a="1"/>
  <c r="AB87" i="21" s="1"/>
  <c r="O87" i="21" a="1"/>
  <c r="O87" i="21" s="1"/>
  <c r="P87" i="21" a="1"/>
  <c r="P87" i="21" s="1"/>
  <c r="X87" i="21" a="1"/>
  <c r="X87" i="21" s="1"/>
  <c r="S87" i="21" a="1"/>
  <c r="S87" i="21" s="1"/>
  <c r="U87" i="21" a="1"/>
  <c r="U87" i="21" s="1"/>
  <c r="V87" i="21" a="1"/>
  <c r="V87" i="21" s="1"/>
  <c r="Z87" i="21" a="1"/>
  <c r="Z87" i="21" s="1"/>
  <c r="Y87" i="21" a="1"/>
  <c r="Y87" i="21" s="1"/>
  <c r="L67" i="21" a="1"/>
  <c r="L67" i="21" s="1"/>
  <c r="M67" i="21" s="1" a="1"/>
  <c r="M67" i="21" s="1"/>
  <c r="N67" i="21" s="1" a="1"/>
  <c r="N67" i="21" s="1"/>
  <c r="K51" i="21" a="1"/>
  <c r="K51" i="21" s="1"/>
  <c r="L51" i="21" s="1" a="1"/>
  <c r="L51" i="21" s="1"/>
  <c r="M51" i="21" s="1" a="1"/>
  <c r="M51" i="21" s="1"/>
  <c r="N51" i="21" s="1" a="1"/>
  <c r="N51" i="21" s="1"/>
  <c r="O51" i="21" s="1" a="1"/>
  <c r="O51" i="21" s="1"/>
  <c r="P51" i="21" s="1" a="1"/>
  <c r="P51" i="21" s="1"/>
  <c r="Q51" i="21" s="1" a="1"/>
  <c r="Q51" i="21" s="1"/>
  <c r="R51" i="21" s="1" a="1"/>
  <c r="R51" i="21" s="1"/>
  <c r="S51" i="21" s="1" a="1"/>
  <c r="S51" i="21" s="1"/>
  <c r="T51" i="21" s="1" a="1"/>
  <c r="T51" i="21" s="1"/>
  <c r="U51" i="21" s="1" a="1"/>
  <c r="U51" i="21" s="1"/>
  <c r="V51" i="21" s="1" a="1"/>
  <c r="V51" i="21" s="1"/>
  <c r="W51" i="21" s="1" a="1"/>
  <c r="W51" i="21" s="1"/>
  <c r="X51" i="21" s="1" a="1"/>
  <c r="X51" i="21" s="1"/>
  <c r="Y51" i="21" s="1" a="1"/>
  <c r="Y51" i="21" s="1"/>
  <c r="Z51" i="21" s="1" a="1"/>
  <c r="Z51" i="21" s="1"/>
  <c r="AA51" i="21" s="1" a="1"/>
  <c r="AA51" i="21" s="1"/>
  <c r="AB51" i="21" s="1" a="1"/>
  <c r="AB51" i="21" s="1"/>
  <c r="K76" i="21" a="1"/>
  <c r="K76" i="21" s="1"/>
  <c r="L76" i="21" s="1" a="1"/>
  <c r="L76" i="21" s="1"/>
  <c r="K90" i="21" a="1"/>
  <c r="K90" i="21" s="1"/>
  <c r="L90" i="21" s="1" a="1"/>
  <c r="L90" i="21" s="1"/>
  <c r="M90" i="21" s="1" a="1"/>
  <c r="M90" i="21" s="1"/>
  <c r="K95" i="21" a="1"/>
  <c r="K95" i="21" s="1"/>
  <c r="K6" i="21" a="1"/>
  <c r="K6" i="21" s="1"/>
  <c r="L6" i="21" s="1" a="1"/>
  <c r="L6" i="21" s="1"/>
  <c r="K12" i="21" a="1"/>
  <c r="K12" i="21" s="1"/>
  <c r="L12" i="21" s="1" a="1"/>
  <c r="L12" i="21" s="1"/>
  <c r="M12" i="21" s="1" a="1"/>
  <c r="M12" i="21" s="1"/>
  <c r="K75" i="21" a="1"/>
  <c r="K75" i="21" s="1"/>
  <c r="J25" i="21" a="1"/>
  <c r="J25" i="21" s="1"/>
  <c r="P38" i="21" a="1"/>
  <c r="P38" i="21" s="1"/>
  <c r="Q38" i="21" s="1" a="1"/>
  <c r="Q38" i="21" s="1"/>
  <c r="R38" i="21" s="1" a="1"/>
  <c r="R38" i="21" s="1"/>
  <c r="S38" i="21" s="1" a="1"/>
  <c r="S38" i="21" s="1"/>
  <c r="T38" i="21" s="1" a="1"/>
  <c r="T38" i="21" s="1"/>
  <c r="U38" i="21" s="1" a="1"/>
  <c r="U38" i="21" s="1"/>
  <c r="V38" i="21" s="1" a="1"/>
  <c r="V38" i="21" s="1"/>
  <c r="W38" i="21" s="1" a="1"/>
  <c r="W38" i="21" s="1"/>
  <c r="X38" i="21" s="1" a="1"/>
  <c r="X38" i="21" s="1"/>
  <c r="Y94" i="21" a="1"/>
  <c r="Y94" i="21" s="1"/>
  <c r="Z94" i="21" s="1" a="1"/>
  <c r="Z94" i="21" s="1"/>
  <c r="Y68" i="21" a="1"/>
  <c r="Y68" i="21" s="1"/>
  <c r="P68" i="21" a="1"/>
  <c r="P68" i="21" s="1"/>
  <c r="Q68" i="21" s="1" a="1"/>
  <c r="Q68" i="21" s="1"/>
  <c r="U68" i="21" a="1"/>
  <c r="U68" i="21" s="1"/>
  <c r="V68" i="21" a="1"/>
  <c r="V68" i="21" s="1"/>
  <c r="X68" i="21" a="1"/>
  <c r="X68" i="21" s="1"/>
  <c r="AB68" i="21" a="1"/>
  <c r="AB68" i="21" s="1"/>
  <c r="W68" i="21" a="1"/>
  <c r="W68" i="21" s="1"/>
  <c r="P27" i="21" a="1"/>
  <c r="P27" i="21" s="1"/>
  <c r="Q27" i="21" s="1" a="1"/>
  <c r="Q27" i="21" s="1"/>
  <c r="R27" i="21" s="1" a="1"/>
  <c r="R27" i="21" s="1"/>
  <c r="S27" i="21" s="1" a="1"/>
  <c r="S27" i="21" s="1"/>
  <c r="T27" i="21" s="1" a="1"/>
  <c r="T27" i="21" s="1"/>
  <c r="U27" i="21" s="1" a="1"/>
  <c r="U27" i="21" s="1"/>
  <c r="Q94" i="21" a="1"/>
  <c r="Q94" i="21" s="1"/>
  <c r="AA68" i="21" a="1"/>
  <c r="AA68" i="21" s="1"/>
  <c r="W94" i="21" a="1"/>
  <c r="W94" i="21" s="1"/>
  <c r="N94" i="21" a="1"/>
  <c r="N94" i="21" s="1"/>
  <c r="O68" i="21" a="1"/>
  <c r="O68" i="21" s="1"/>
  <c r="Z68" i="21" a="1"/>
  <c r="Z68" i="21" s="1"/>
  <c r="U94" i="21" a="1"/>
  <c r="U94" i="21" s="1"/>
  <c r="AB94" i="21" a="1"/>
  <c r="AB94" i="21" s="1"/>
  <c r="M115" i="21" a="1"/>
  <c r="M115" i="21" s="1"/>
  <c r="M94" i="21" a="1"/>
  <c r="M94" i="21" s="1"/>
  <c r="S94" i="21" a="1"/>
  <c r="S94" i="21" s="1"/>
  <c r="R68" i="21" a="1"/>
  <c r="R68" i="21" s="1"/>
  <c r="X94" i="21" a="1"/>
  <c r="X94" i="21" s="1"/>
  <c r="V93" i="21" a="1"/>
  <c r="V93" i="21" s="1"/>
  <c r="O94" i="21" a="1"/>
  <c r="O94" i="21" s="1"/>
  <c r="AB27" i="21" a="1"/>
  <c r="AB27" i="21" s="1"/>
  <c r="M81" i="21" a="1"/>
  <c r="M81" i="21" s="1"/>
  <c r="N81" i="21" s="1" a="1"/>
  <c r="N81" i="21" s="1"/>
  <c r="O81" i="21" s="1" a="1"/>
  <c r="O81" i="21" s="1"/>
  <c r="P81" i="21" s="1" a="1"/>
  <c r="P81" i="21" s="1"/>
  <c r="M70" i="21" a="1"/>
  <c r="M70" i="21" s="1"/>
  <c r="V94" i="21" a="1"/>
  <c r="V94" i="21" s="1"/>
  <c r="M104" i="21" a="1"/>
  <c r="M104" i="21" s="1"/>
  <c r="V11" i="21" a="1"/>
  <c r="V11" i="21" s="1"/>
  <c r="W11" i="21" s="1" a="1"/>
  <c r="W11" i="21" s="1"/>
  <c r="X11" i="21" s="1" a="1"/>
  <c r="X11" i="21" s="1"/>
  <c r="Y11" i="21" s="1" a="1"/>
  <c r="Y11" i="21" s="1"/>
  <c r="Z11" i="21" s="1" a="1"/>
  <c r="Z11" i="21" s="1"/>
  <c r="AA11" i="21" s="1" a="1"/>
  <c r="AA11" i="21" s="1"/>
  <c r="AB11" i="21" s="1" a="1"/>
  <c r="AB11" i="21" s="1"/>
  <c r="M84" i="21" a="1"/>
  <c r="M84" i="21" s="1"/>
  <c r="T94" i="21" a="1"/>
  <c r="T94" i="21" s="1"/>
  <c r="R94" i="21" a="1"/>
  <c r="R94" i="21" s="1"/>
  <c r="AA94" i="21" a="1"/>
  <c r="AA94" i="21" s="1"/>
  <c r="N5" i="21" a="1"/>
  <c r="N5" i="21" s="1"/>
  <c r="O5" i="21" s="1" a="1"/>
  <c r="O5" i="21" s="1"/>
  <c r="P5" i="21" s="1" a="1"/>
  <c r="P5" i="21" s="1"/>
  <c r="Q5" i="21" s="1" a="1"/>
  <c r="Q5" i="21" s="1"/>
  <c r="R5" i="21" s="1" a="1"/>
  <c r="R5" i="21" s="1"/>
  <c r="S5" i="21" s="1" a="1"/>
  <c r="S5" i="21" s="1"/>
  <c r="T5" i="21" s="1" a="1"/>
  <c r="T5" i="21" s="1"/>
  <c r="U5" i="21" s="1" a="1"/>
  <c r="U5" i="21" s="1"/>
  <c r="V5" i="21" s="1" a="1"/>
  <c r="V5" i="21" s="1"/>
  <c r="W5" i="21" s="1" a="1"/>
  <c r="W5" i="21" s="1"/>
  <c r="X5" i="21" s="1" a="1"/>
  <c r="X5" i="21" s="1"/>
  <c r="Y5" i="21" s="1" a="1"/>
  <c r="Y5" i="21" s="1"/>
  <c r="Z5" i="21" s="1" a="1"/>
  <c r="Z5" i="21" s="1"/>
  <c r="AA5" i="21" s="1" a="1"/>
  <c r="AA5" i="21" s="1"/>
  <c r="AB5" i="21" s="1" a="1"/>
  <c r="AB5" i="21" s="1"/>
  <c r="K9" i="9"/>
  <c r="J10" i="9" s="1"/>
  <c r="I9" i="9"/>
  <c r="O62" i="21" l="1" a="1"/>
  <c r="O62" i="21" s="1"/>
  <c r="P62" i="21" s="1" a="1"/>
  <c r="P62" i="21" s="1"/>
  <c r="N104" i="21" a="1"/>
  <c r="N104" i="21" s="1"/>
  <c r="N109" i="21" a="1"/>
  <c r="N109" i="21" s="1"/>
  <c r="Y109" i="21" s="1" a="1"/>
  <c r="Y109" i="21" s="1"/>
  <c r="Z109" i="21" s="1" a="1"/>
  <c r="Z109" i="21" s="1"/>
  <c r="AA109" i="21" s="1" a="1"/>
  <c r="AA109" i="21" s="1"/>
  <c r="AB109" i="21" s="1" a="1"/>
  <c r="AB109" i="21" s="1"/>
  <c r="N115" i="21" a="1"/>
  <c r="N115" i="21" s="1"/>
  <c r="O115" i="21" s="1" a="1"/>
  <c r="O115" i="21" s="1"/>
  <c r="P115" i="21" s="1" a="1"/>
  <c r="P115" i="21" s="1"/>
  <c r="Q115" i="21" a="1"/>
  <c r="Q115" i="21" s="1"/>
  <c r="R115" i="21" s="1" a="1"/>
  <c r="R115" i="21" s="1"/>
  <c r="S115" i="21" s="1" a="1"/>
  <c r="S115" i="21" s="1"/>
  <c r="T115" i="21" s="1" a="1"/>
  <c r="T115" i="21" s="1"/>
  <c r="W115" i="21" a="1"/>
  <c r="W115" i="21" s="1"/>
  <c r="X115" i="21" s="1" a="1"/>
  <c r="X115" i="21" s="1"/>
  <c r="N84" i="21" a="1"/>
  <c r="N84" i="21" s="1"/>
  <c r="M37" i="21" a="1"/>
  <c r="M37" i="21" s="1"/>
  <c r="U114" i="21" a="1"/>
  <c r="U114" i="21" s="1"/>
  <c r="T114" i="21" a="1"/>
  <c r="T114" i="21" s="1"/>
  <c r="N44" i="21" a="1"/>
  <c r="N44" i="21" s="1"/>
  <c r="O44" i="21" s="1" a="1"/>
  <c r="O44" i="21" s="1"/>
  <c r="P44" i="21" s="1" a="1"/>
  <c r="P44" i="21" s="1"/>
  <c r="Q44" i="21" s="1" a="1"/>
  <c r="Q44" i="21" s="1"/>
  <c r="R44" i="21" s="1" a="1"/>
  <c r="R44" i="21" s="1"/>
  <c r="S44" i="21" s="1" a="1"/>
  <c r="S44" i="21" s="1"/>
  <c r="T44" i="21" s="1" a="1"/>
  <c r="T44" i="21" s="1"/>
  <c r="U44" i="21" s="1" a="1"/>
  <c r="U44" i="21" s="1"/>
  <c r="V44" i="21" s="1" a="1"/>
  <c r="V44" i="21" s="1"/>
  <c r="W44" i="21" s="1" a="1"/>
  <c r="W44" i="21" s="1"/>
  <c r="X44" i="21" s="1" a="1"/>
  <c r="X44" i="21" s="1"/>
  <c r="Y44" i="21" s="1" a="1"/>
  <c r="Y44" i="21" s="1"/>
  <c r="Z44" i="21" s="1" a="1"/>
  <c r="Z44" i="21" s="1"/>
  <c r="AA44" i="21" s="1" a="1"/>
  <c r="AA44" i="21" s="1"/>
  <c r="AB44" i="21" s="1" a="1"/>
  <c r="AB44" i="21" s="1"/>
  <c r="Y115" i="21" a="1"/>
  <c r="Y115" i="21" s="1"/>
  <c r="Z115" i="21" s="1" a="1"/>
  <c r="Z115" i="21" s="1"/>
  <c r="AA115" i="21" s="1" a="1"/>
  <c r="AA115" i="21" s="1"/>
  <c r="M85" i="21" a="1"/>
  <c r="M85" i="21" s="1"/>
  <c r="O33" i="21" a="1"/>
  <c r="O33" i="21" s="1"/>
  <c r="P33" i="21" s="1" a="1"/>
  <c r="P33" i="21" s="1"/>
  <c r="W93" i="21" a="1"/>
  <c r="W93" i="21" s="1"/>
  <c r="M93" i="21" a="1"/>
  <c r="M93" i="21" s="1"/>
  <c r="N93" i="21" s="1" a="1"/>
  <c r="N93" i="21" s="1"/>
  <c r="O93" i="21" s="1" a="1"/>
  <c r="O93" i="21" s="1"/>
  <c r="P93" i="21" s="1" a="1"/>
  <c r="P93" i="21" s="1"/>
  <c r="Q93" i="21" s="1" a="1"/>
  <c r="Q93" i="21" s="1"/>
  <c r="R93" i="21" s="1" a="1"/>
  <c r="R93" i="21" s="1"/>
  <c r="Z114" i="21" a="1"/>
  <c r="Z114" i="21" s="1"/>
  <c r="W114" i="21" a="1"/>
  <c r="W114" i="21" s="1"/>
  <c r="P30" i="21" a="1"/>
  <c r="P30" i="21" s="1"/>
  <c r="Q30" i="21" s="1" a="1"/>
  <c r="Q30" i="21" s="1"/>
  <c r="M14" i="21" a="1"/>
  <c r="M14" i="21" s="1"/>
  <c r="N114" i="21" a="1"/>
  <c r="N114" i="21" s="1"/>
  <c r="O114" i="21" s="1" a="1"/>
  <c r="O114" i="21" s="1"/>
  <c r="Y114" i="21" a="1"/>
  <c r="Y114" i="21" s="1"/>
  <c r="Y40" i="21" a="1"/>
  <c r="Y40" i="21" s="1"/>
  <c r="Z40" i="21" s="1" a="1"/>
  <c r="Z40" i="21" s="1"/>
  <c r="AA40" i="21" s="1" a="1"/>
  <c r="AA40" i="21" s="1"/>
  <c r="AB40" i="21" s="1" a="1"/>
  <c r="AB40" i="21" s="1"/>
  <c r="X79" i="21" a="1"/>
  <c r="X79" i="21" s="1"/>
  <c r="V79" i="21" a="1"/>
  <c r="V79" i="21" s="1"/>
  <c r="Y79" i="21" a="1"/>
  <c r="Y79" i="21" s="1"/>
  <c r="S79" i="21" a="1"/>
  <c r="S79" i="21" s="1"/>
  <c r="P79" i="21" a="1"/>
  <c r="P79" i="21" s="1"/>
  <c r="Q79" i="21" s="1" a="1"/>
  <c r="Q79" i="21" s="1"/>
  <c r="O79" i="21" a="1"/>
  <c r="O79" i="21" s="1"/>
  <c r="W79" i="21" a="1"/>
  <c r="W79" i="21" s="1"/>
  <c r="AB79" i="21" a="1"/>
  <c r="AB79" i="21" s="1"/>
  <c r="T79" i="21" a="1"/>
  <c r="T79" i="21" s="1"/>
  <c r="Z79" i="21" a="1"/>
  <c r="Z79" i="21" s="1"/>
  <c r="AA79" i="21" s="1" a="1"/>
  <c r="AA79" i="21" s="1"/>
  <c r="X104" i="21" a="1"/>
  <c r="X104" i="21" s="1"/>
  <c r="U109" i="21" a="1"/>
  <c r="U109" i="21" s="1"/>
  <c r="V109" i="21" s="1" a="1"/>
  <c r="V109" i="21" s="1"/>
  <c r="W109" i="21" s="1" a="1"/>
  <c r="W109" i="21" s="1"/>
  <c r="X109" i="21" s="1" a="1"/>
  <c r="X109" i="21" s="1"/>
  <c r="M15" i="21" a="1"/>
  <c r="M15" i="21" s="1"/>
  <c r="N15" i="21" s="1" a="1"/>
  <c r="N15" i="21" s="1"/>
  <c r="O15" i="21" s="1" a="1"/>
  <c r="O15" i="21" s="1"/>
  <c r="P15" i="21" s="1" a="1"/>
  <c r="P15" i="21" s="1"/>
  <c r="Q15" i="21" s="1" a="1"/>
  <c r="Q15" i="21" s="1"/>
  <c r="R15" i="21" s="1" a="1"/>
  <c r="R15" i="21" s="1"/>
  <c r="S15" i="21" s="1" a="1"/>
  <c r="S15" i="21" s="1"/>
  <c r="S109" i="21" a="1"/>
  <c r="S109" i="21" s="1"/>
  <c r="T109" i="21" s="1" a="1"/>
  <c r="T109" i="21" s="1"/>
  <c r="S93" i="21" a="1"/>
  <c r="S93" i="21" s="1"/>
  <c r="T93" i="21" s="1" a="1"/>
  <c r="T93" i="21" s="1"/>
  <c r="U93" i="21" s="1" a="1"/>
  <c r="U93" i="21" s="1"/>
  <c r="Q62" i="21" a="1"/>
  <c r="Q62" i="21" s="1"/>
  <c r="X93" i="21" a="1"/>
  <c r="X93" i="21" s="1"/>
  <c r="Y93" i="21" s="1" a="1"/>
  <c r="Y93" i="21" s="1"/>
  <c r="Z93" i="21" s="1" a="1"/>
  <c r="Z93" i="21" s="1"/>
  <c r="AA93" i="21" s="1" a="1"/>
  <c r="AA93" i="21" s="1"/>
  <c r="AB93" i="21" s="1" a="1"/>
  <c r="AB93" i="21" s="1"/>
  <c r="Q104" i="21" a="1"/>
  <c r="Q104" i="21" s="1"/>
  <c r="V27" i="21" a="1"/>
  <c r="V27" i="21" s="1"/>
  <c r="W27" i="21" s="1" a="1"/>
  <c r="W27" i="21" s="1"/>
  <c r="O78" i="21" a="1"/>
  <c r="O78" i="21" s="1"/>
  <c r="V104" i="21" a="1"/>
  <c r="V104" i="21" s="1"/>
  <c r="O84" i="21" a="1"/>
  <c r="O84" i="21" s="1"/>
  <c r="U115" i="21" a="1"/>
  <c r="U115" i="21" s="1"/>
  <c r="V115" i="21" s="1" a="1"/>
  <c r="V115" i="21" s="1"/>
  <c r="M64" i="21" a="1"/>
  <c r="M64" i="21" s="1"/>
  <c r="N64" i="21" s="1" a="1"/>
  <c r="N64" i="21" s="1"/>
  <c r="Z64" i="21" s="1" a="1"/>
  <c r="Z64" i="21" s="1"/>
  <c r="S104" i="21" a="1"/>
  <c r="S104" i="21" s="1"/>
  <c r="M77" i="21" a="1"/>
  <c r="M77" i="21" s="1"/>
  <c r="X114" i="21" a="1"/>
  <c r="X114" i="21" s="1"/>
  <c r="R114" i="21" a="1"/>
  <c r="R114" i="21" s="1"/>
  <c r="S114" i="21" s="1" a="1"/>
  <c r="S114" i="21" s="1"/>
  <c r="M46" i="21" a="1"/>
  <c r="M46" i="21" s="1"/>
  <c r="N46" i="21" s="1" a="1"/>
  <c r="N46" i="21" s="1"/>
  <c r="O46" i="21" s="1" a="1"/>
  <c r="O46" i="21" s="1"/>
  <c r="P46" i="21" s="1" a="1"/>
  <c r="P46" i="21" s="1"/>
  <c r="Q46" i="21" s="1" a="1"/>
  <c r="Q46" i="21" s="1"/>
  <c r="R46" i="21" s="1" a="1"/>
  <c r="R46" i="21" s="1"/>
  <c r="S46" i="21" s="1" a="1"/>
  <c r="S46" i="21" s="1"/>
  <c r="T46" i="21" s="1" a="1"/>
  <c r="T46" i="21" s="1"/>
  <c r="U46" i="21" s="1" a="1"/>
  <c r="U46" i="21" s="1"/>
  <c r="V46" i="21" s="1" a="1"/>
  <c r="V46" i="21" s="1"/>
  <c r="W46" i="21" s="1" a="1"/>
  <c r="W46" i="21" s="1"/>
  <c r="X46" i="21" s="1" a="1"/>
  <c r="X46" i="21" s="1"/>
  <c r="Y46" i="21" s="1" a="1"/>
  <c r="Y46" i="21" s="1"/>
  <c r="Z46" i="21" s="1" a="1"/>
  <c r="Z46" i="21" s="1"/>
  <c r="AA46" i="21" s="1" a="1"/>
  <c r="AA46" i="21" s="1"/>
  <c r="AB46" i="21" s="1" a="1"/>
  <c r="AB46" i="21" s="1"/>
  <c r="M114" i="21" a="1"/>
  <c r="M114" i="21" s="1"/>
  <c r="P114" i="21" a="1"/>
  <c r="P114" i="21" s="1"/>
  <c r="Q114" i="21" s="1" a="1"/>
  <c r="Q114" i="21" s="1"/>
  <c r="P39" i="21" a="1"/>
  <c r="P39" i="21" s="1"/>
  <c r="Q39" i="21" s="1" a="1"/>
  <c r="Q39" i="21" s="1"/>
  <c r="R39" i="21" s="1" a="1"/>
  <c r="R39" i="21" s="1"/>
  <c r="S39" i="21" s="1" a="1"/>
  <c r="S39" i="21" s="1"/>
  <c r="T39" i="21" s="1" a="1"/>
  <c r="T39" i="21" s="1"/>
  <c r="U39" i="21" s="1" a="1"/>
  <c r="U39" i="21" s="1"/>
  <c r="V39" i="21" s="1" a="1"/>
  <c r="V39" i="21" s="1"/>
  <c r="W39" i="21" s="1" a="1"/>
  <c r="W39" i="21" s="1"/>
  <c r="X39" i="21" s="1" a="1"/>
  <c r="X39" i="21" s="1"/>
  <c r="Y39" i="21" s="1" a="1"/>
  <c r="Y39" i="21" s="1"/>
  <c r="Z39" i="21" s="1" a="1"/>
  <c r="Z39" i="21" s="1"/>
  <c r="AA39" i="21" s="1" a="1"/>
  <c r="AA39" i="21" s="1"/>
  <c r="AB39" i="21" s="1" a="1"/>
  <c r="AB39" i="21" s="1"/>
  <c r="V114" i="21" a="1"/>
  <c r="V114" i="21" s="1"/>
  <c r="N71" i="21" a="1"/>
  <c r="N71" i="21" s="1"/>
  <c r="O71" i="21" s="1" a="1"/>
  <c r="O71" i="21" s="1"/>
  <c r="P71" i="21" s="1" a="1"/>
  <c r="P71" i="21" s="1"/>
  <c r="Q71" i="21" s="1" a="1"/>
  <c r="Q71" i="21" s="1"/>
  <c r="R71" i="21" s="1" a="1"/>
  <c r="R71" i="21" s="1"/>
  <c r="S71" i="21" s="1" a="1"/>
  <c r="S71" i="21" s="1"/>
  <c r="T71" i="21" s="1" a="1"/>
  <c r="T71" i="21" s="1"/>
  <c r="U71" i="21" s="1" a="1"/>
  <c r="U71" i="21" s="1"/>
  <c r="V71" i="21" s="1" a="1"/>
  <c r="V71" i="21" s="1"/>
  <c r="W71" i="21" s="1" a="1"/>
  <c r="W71" i="21" s="1"/>
  <c r="X71" i="21" s="1" a="1"/>
  <c r="X71" i="21" s="1"/>
  <c r="W104" i="21" a="1"/>
  <c r="W104" i="21" s="1"/>
  <c r="O109" i="21" a="1"/>
  <c r="O109" i="21" s="1"/>
  <c r="P109" i="21" s="1" a="1"/>
  <c r="P109" i="21" s="1"/>
  <c r="Q109" i="21" s="1" a="1"/>
  <c r="Q109" i="21" s="1"/>
  <c r="R109" i="21" s="1" a="1"/>
  <c r="R109" i="21" s="1"/>
  <c r="M48" i="21" a="1"/>
  <c r="M48" i="21" s="1"/>
  <c r="N48" i="21" s="1" a="1"/>
  <c r="N48" i="21" s="1"/>
  <c r="N36" i="21" a="1"/>
  <c r="N36" i="21" s="1"/>
  <c r="M61" i="21" a="1"/>
  <c r="M61" i="21" s="1"/>
  <c r="N61" i="21" s="1" a="1"/>
  <c r="N61" i="21" s="1"/>
  <c r="Z32" i="21" a="1"/>
  <c r="Z32" i="21" s="1"/>
  <c r="AA32" i="21" s="1" a="1"/>
  <c r="AA32" i="21" s="1"/>
  <c r="AB32" i="21" s="1" a="1"/>
  <c r="AB32" i="21" s="1"/>
  <c r="AB34" i="21" a="1"/>
  <c r="AB34" i="21" s="1"/>
  <c r="R104" i="21" a="1"/>
  <c r="R104" i="21" s="1"/>
  <c r="Q34" i="21" a="1"/>
  <c r="Q34" i="21" s="1"/>
  <c r="R34" i="21" s="1" a="1"/>
  <c r="R34" i="21" s="1"/>
  <c r="S34" i="21" s="1" a="1"/>
  <c r="S34" i="21" s="1"/>
  <c r="AB72" i="21" a="1"/>
  <c r="AB72" i="21" s="1"/>
  <c r="X72" i="21" a="1"/>
  <c r="X72" i="21" s="1"/>
  <c r="M99" i="21" a="1"/>
  <c r="M99" i="21" s="1"/>
  <c r="AA112" i="21" a="1"/>
  <c r="AA112" i="21" s="1"/>
  <c r="AA42" i="21" a="1"/>
  <c r="AA42" i="21" s="1"/>
  <c r="AB42" i="21" s="1" a="1"/>
  <c r="AB42" i="21" s="1"/>
  <c r="N112" i="21" a="1"/>
  <c r="N112" i="21" s="1"/>
  <c r="O112" i="21" s="1" a="1"/>
  <c r="O112" i="21" s="1"/>
  <c r="N99" i="21" a="1"/>
  <c r="N99" i="21" s="1"/>
  <c r="Y99" i="21" s="1" a="1"/>
  <c r="Y99" i="21" s="1"/>
  <c r="W42" i="21" a="1"/>
  <c r="W42" i="21" s="1"/>
  <c r="X42" i="21" s="1" a="1"/>
  <c r="X42" i="21" s="1"/>
  <c r="Y42" i="21" s="1" a="1"/>
  <c r="Y42" i="21" s="1"/>
  <c r="Z42" i="21" s="1" a="1"/>
  <c r="Z42" i="21" s="1"/>
  <c r="U104" i="21" a="1"/>
  <c r="U104" i="21" s="1"/>
  <c r="Z34" i="21" a="1"/>
  <c r="Z34" i="21" s="1"/>
  <c r="T34" i="21" a="1"/>
  <c r="T34" i="21" s="1"/>
  <c r="U34" i="21" s="1" a="1"/>
  <c r="U34" i="21" s="1"/>
  <c r="Z104" i="21" a="1"/>
  <c r="Z104" i="21" s="1"/>
  <c r="V34" i="21" a="1"/>
  <c r="V34" i="21" s="1"/>
  <c r="W34" i="21" s="1" a="1"/>
  <c r="W34" i="21" s="1"/>
  <c r="X34" i="21" s="1" a="1"/>
  <c r="X34" i="21" s="1"/>
  <c r="Y34" i="21" s="1" a="1"/>
  <c r="Y34" i="21" s="1"/>
  <c r="AA104" i="21" a="1"/>
  <c r="AA104" i="21" s="1"/>
  <c r="M112" i="21" a="1"/>
  <c r="M112" i="21" s="1"/>
  <c r="R112" i="21" a="1"/>
  <c r="R112" i="21" s="1"/>
  <c r="S112" i="21" s="1" a="1"/>
  <c r="S112" i="21" s="1"/>
  <c r="T112" i="21" s="1" a="1"/>
  <c r="T112" i="21" s="1"/>
  <c r="AB104" i="21" a="1"/>
  <c r="AB104" i="21" s="1"/>
  <c r="O34" i="21" a="1"/>
  <c r="O34" i="21" s="1"/>
  <c r="P34" i="21" s="1" a="1"/>
  <c r="P34" i="21" s="1"/>
  <c r="X27" i="21" a="1"/>
  <c r="X27" i="21" s="1"/>
  <c r="Y27" i="21" s="1" a="1"/>
  <c r="Y27" i="21" s="1"/>
  <c r="Z27" i="21" s="1" a="1"/>
  <c r="Z27" i="21" s="1"/>
  <c r="AA27" i="21" s="1" a="1"/>
  <c r="AA27" i="21" s="1"/>
  <c r="Z112" i="21" a="1"/>
  <c r="Z112" i="21" s="1"/>
  <c r="U112" i="21" a="1"/>
  <c r="U112" i="21" s="1"/>
  <c r="M6" i="21" a="1"/>
  <c r="M6" i="21" s="1"/>
  <c r="N6" i="21" s="1" a="1"/>
  <c r="N6" i="21" s="1"/>
  <c r="O6" i="21" s="1" a="1"/>
  <c r="O6" i="21" s="1"/>
  <c r="P6" i="21" s="1" a="1"/>
  <c r="P6" i="21" s="1"/>
  <c r="Q6" i="21" s="1" a="1"/>
  <c r="Q6" i="21" s="1"/>
  <c r="R6" i="21" s="1" a="1"/>
  <c r="R6" i="21" s="1"/>
  <c r="S6" i="21" s="1" a="1"/>
  <c r="S6" i="21" s="1"/>
  <c r="T6" i="21" s="1" a="1"/>
  <c r="T6" i="21" s="1"/>
  <c r="U6" i="21" s="1" a="1"/>
  <c r="U6" i="21" s="1"/>
  <c r="V6" i="21" s="1" a="1"/>
  <c r="V6" i="21" s="1"/>
  <c r="W6" i="21" s="1" a="1"/>
  <c r="W6" i="21" s="1"/>
  <c r="X6" i="21" s="1" a="1"/>
  <c r="X6" i="21" s="1"/>
  <c r="Y6" i="21" s="1" a="1"/>
  <c r="Y6" i="21" s="1"/>
  <c r="Z6" i="21" s="1" a="1"/>
  <c r="Z6" i="21" s="1"/>
  <c r="AA6" i="21" s="1" a="1"/>
  <c r="AA6" i="21" s="1"/>
  <c r="AB6" i="21" s="1" a="1"/>
  <c r="AB6" i="21" s="1"/>
  <c r="T104" i="21" a="1"/>
  <c r="T104" i="21" s="1"/>
  <c r="Y104" i="21" a="1"/>
  <c r="Y104" i="21" s="1"/>
  <c r="O104" i="21" a="1"/>
  <c r="O104" i="21" s="1"/>
  <c r="P104" i="21" s="1" a="1"/>
  <c r="P104" i="21" s="1"/>
  <c r="W112" i="21" a="1"/>
  <c r="W112" i="21" s="1"/>
  <c r="X112" i="21" s="1" a="1"/>
  <c r="X112" i="21" s="1"/>
  <c r="AA34" i="21" a="1"/>
  <c r="AA34" i="21" s="1"/>
  <c r="M76" i="21" a="1"/>
  <c r="M76" i="21" s="1"/>
  <c r="Y112" i="21" a="1"/>
  <c r="Y112" i="21" s="1"/>
  <c r="Y72" i="21" a="1"/>
  <c r="Y72" i="21" s="1"/>
  <c r="Z72" i="21" s="1" a="1"/>
  <c r="Z72" i="21" s="1"/>
  <c r="AA72" i="21" s="1" a="1"/>
  <c r="AA72" i="21" s="1"/>
  <c r="AB112" i="21" a="1"/>
  <c r="AB112" i="21" s="1"/>
  <c r="V112" i="21" a="1"/>
  <c r="V112" i="21" s="1"/>
  <c r="O13" i="21" a="1"/>
  <c r="O13" i="21" s="1"/>
  <c r="P13" i="21" s="1" a="1"/>
  <c r="P13" i="21" s="1"/>
  <c r="N89" i="21" a="1"/>
  <c r="N89" i="21" s="1"/>
  <c r="P89" i="21" s="1" a="1"/>
  <c r="P89" i="21" s="1"/>
  <c r="Y105" i="21" a="1"/>
  <c r="Y105" i="21" s="1"/>
  <c r="Q105" i="21" a="1"/>
  <c r="Q105" i="21" s="1"/>
  <c r="V105" i="21" a="1"/>
  <c r="V105" i="21" s="1"/>
  <c r="M105" i="21" a="1"/>
  <c r="M105" i="21" s="1"/>
  <c r="N105" i="21" s="1" a="1"/>
  <c r="N105" i="21" s="1"/>
  <c r="S105" i="21" s="1" a="1"/>
  <c r="S105" i="21" s="1"/>
  <c r="Z105" i="21" a="1"/>
  <c r="Z105" i="21" s="1"/>
  <c r="T105" i="21" a="1"/>
  <c r="T105" i="21" s="1"/>
  <c r="U105" i="21" s="1" a="1"/>
  <c r="U105" i="21" s="1"/>
  <c r="O105" i="21" a="1"/>
  <c r="O105" i="21" s="1"/>
  <c r="P105" i="21" s="1" a="1"/>
  <c r="P105" i="21" s="1"/>
  <c r="X105" i="21" a="1"/>
  <c r="X105" i="21" s="1"/>
  <c r="W105" i="21" a="1"/>
  <c r="W105" i="21" s="1"/>
  <c r="AA105" i="21" a="1"/>
  <c r="AA105" i="21" s="1"/>
  <c r="R105" i="21" a="1"/>
  <c r="R105" i="21" s="1"/>
  <c r="K52" i="21" a="1"/>
  <c r="K52" i="21" s="1"/>
  <c r="L52" i="21" s="1" a="1"/>
  <c r="L52" i="21" s="1"/>
  <c r="K29" i="21" a="1"/>
  <c r="K29" i="21" s="1"/>
  <c r="L41" i="21" a="1"/>
  <c r="L41" i="21" s="1"/>
  <c r="M41" i="21" s="1" a="1"/>
  <c r="M41" i="21" s="1"/>
  <c r="N41" i="21" s="1" a="1"/>
  <c r="N41" i="21" s="1"/>
  <c r="O41" i="21" s="1" a="1"/>
  <c r="O41" i="21" s="1"/>
  <c r="K8" i="21" a="1"/>
  <c r="K8" i="21" s="1"/>
  <c r="N56" i="21" a="1"/>
  <c r="N56" i="21" s="1"/>
  <c r="P24" i="21" a="1"/>
  <c r="P24" i="21" s="1"/>
  <c r="Q24" i="21" s="1" a="1"/>
  <c r="Q24" i="21" s="1"/>
  <c r="M106" i="21" a="1"/>
  <c r="M106" i="21" s="1"/>
  <c r="M47" i="21" a="1"/>
  <c r="M47" i="21" s="1"/>
  <c r="N47" i="21" s="1" a="1"/>
  <c r="N47" i="21" s="1"/>
  <c r="O47" i="21" s="1" a="1"/>
  <c r="O47" i="21" s="1"/>
  <c r="P47" i="21" s="1" a="1"/>
  <c r="P47" i="21" s="1"/>
  <c r="Q47" i="21" s="1" a="1"/>
  <c r="Q47" i="21" s="1"/>
  <c r="R47" i="21" s="1" a="1"/>
  <c r="R47" i="21" s="1"/>
  <c r="S47" i="21" s="1" a="1"/>
  <c r="S47" i="21" s="1"/>
  <c r="T47" i="21" s="1" a="1"/>
  <c r="T47" i="21" s="1"/>
  <c r="U47" i="21" s="1" a="1"/>
  <c r="U47" i="21" s="1"/>
  <c r="V47" i="21" s="1" a="1"/>
  <c r="V47" i="21" s="1"/>
  <c r="W47" i="21" s="1" a="1"/>
  <c r="W47" i="21" s="1"/>
  <c r="K66" i="21" a="1"/>
  <c r="K66" i="21" s="1"/>
  <c r="L66" i="21" s="1" a="1"/>
  <c r="L66" i="21" s="1"/>
  <c r="O92" i="21" a="1"/>
  <c r="O92" i="21" s="1"/>
  <c r="Y92" i="21" a="1"/>
  <c r="Y92" i="21" s="1"/>
  <c r="Z92" i="21" s="1" a="1"/>
  <c r="Z92" i="21" s="1"/>
  <c r="AB92" i="21" a="1"/>
  <c r="AB92" i="21" s="1"/>
  <c r="R92" i="21" a="1"/>
  <c r="R92" i="21" s="1"/>
  <c r="Q92" i="21" a="1"/>
  <c r="Q92" i="21" s="1"/>
  <c r="S92" i="21" a="1"/>
  <c r="S92" i="21" s="1"/>
  <c r="X92" i="21" a="1"/>
  <c r="X92" i="21" s="1"/>
  <c r="T92" i="21" a="1"/>
  <c r="T92" i="21" s="1"/>
  <c r="W92" i="21" a="1"/>
  <c r="W92" i="21" s="1"/>
  <c r="AA92" i="21" a="1"/>
  <c r="AA92" i="21" s="1"/>
  <c r="V92" i="21" a="1"/>
  <c r="V92" i="21" s="1"/>
  <c r="P92" i="21" a="1"/>
  <c r="P92" i="21" s="1"/>
  <c r="U92" i="21" a="1"/>
  <c r="U92" i="21" s="1"/>
  <c r="L20" i="21" a="1"/>
  <c r="L20" i="21" s="1"/>
  <c r="M20" i="21" s="1" a="1"/>
  <c r="M20" i="21" s="1"/>
  <c r="N20" i="21" s="1" a="1"/>
  <c r="N20" i="21" s="1"/>
  <c r="O20" i="21" s="1" a="1"/>
  <c r="O20" i="21" s="1"/>
  <c r="P20" i="21" s="1" a="1"/>
  <c r="P20" i="21" s="1"/>
  <c r="Q20" i="21" s="1" a="1"/>
  <c r="Q20" i="21" s="1"/>
  <c r="R20" i="21" s="1" a="1"/>
  <c r="R20" i="21" s="1"/>
  <c r="S20" i="21" s="1" a="1"/>
  <c r="S20" i="21" s="1"/>
  <c r="T20" i="21" s="1" a="1"/>
  <c r="T20" i="21" s="1"/>
  <c r="U20" i="21" s="1" a="1"/>
  <c r="U20" i="21" s="1"/>
  <c r="V20" i="21" s="1" a="1"/>
  <c r="V20" i="21" s="1"/>
  <c r="W20" i="21" s="1" a="1"/>
  <c r="W20" i="21" s="1"/>
  <c r="L31" i="21" a="1"/>
  <c r="L31" i="21" s="1"/>
  <c r="K25" i="21" a="1"/>
  <c r="K25" i="21" s="1"/>
  <c r="L22" i="21" a="1"/>
  <c r="L22" i="21" s="1"/>
  <c r="M22" i="21" s="1" a="1"/>
  <c r="M22" i="21" s="1"/>
  <c r="N22" i="21" s="1" a="1"/>
  <c r="N22" i="21" s="1"/>
  <c r="O22" i="21" s="1" a="1"/>
  <c r="O22" i="21" s="1"/>
  <c r="L96" i="21" a="1"/>
  <c r="L96" i="21" s="1"/>
  <c r="M96" i="21" s="1" a="1"/>
  <c r="M96" i="21" s="1"/>
  <c r="N73" i="21" a="1"/>
  <c r="N73" i="21" s="1"/>
  <c r="K4" i="21" a="1"/>
  <c r="K4" i="21" s="1"/>
  <c r="O110" i="21" a="1"/>
  <c r="O110" i="21" s="1"/>
  <c r="R110" i="21" a="1"/>
  <c r="R110" i="21" s="1"/>
  <c r="V110" i="21" a="1"/>
  <c r="V110" i="21" s="1"/>
  <c r="P110" i="21" a="1"/>
  <c r="P110" i="21" s="1"/>
  <c r="T110" i="21" a="1"/>
  <c r="T110" i="21" s="1"/>
  <c r="AB110" i="21" a="1"/>
  <c r="AB110" i="21" s="1"/>
  <c r="M110" i="21" a="1"/>
  <c r="M110" i="21" s="1"/>
  <c r="N110" i="21" s="1" a="1"/>
  <c r="N110" i="21" s="1"/>
  <c r="Y110" i="21" a="1"/>
  <c r="Y110" i="21" s="1"/>
  <c r="Z110" i="21" s="1" a="1"/>
  <c r="Z110" i="21" s="1"/>
  <c r="X110" i="21" a="1"/>
  <c r="X110" i="21" s="1"/>
  <c r="U110" i="21" a="1"/>
  <c r="U110" i="21" s="1"/>
  <c r="S110" i="21" a="1"/>
  <c r="S110" i="21" s="1"/>
  <c r="AA110" i="21" a="1"/>
  <c r="AA110" i="21" s="1"/>
  <c r="Z107" i="21" a="1"/>
  <c r="Z107" i="21" s="1"/>
  <c r="M107" i="21" a="1"/>
  <c r="M107" i="21" s="1"/>
  <c r="U107" i="21" a="1"/>
  <c r="U107" i="21" s="1"/>
  <c r="Q107" i="21" a="1"/>
  <c r="Q107" i="21" s="1"/>
  <c r="Y107" i="21" a="1"/>
  <c r="Y107" i="21" s="1"/>
  <c r="X107" i="21" a="1"/>
  <c r="X107" i="21" s="1"/>
  <c r="AB107" i="21" a="1"/>
  <c r="AB107" i="21" s="1"/>
  <c r="V107" i="21" a="1"/>
  <c r="V107" i="21" s="1"/>
  <c r="T107" i="21" a="1"/>
  <c r="T107" i="21" s="1"/>
  <c r="W107" i="21" a="1"/>
  <c r="W107" i="21" s="1"/>
  <c r="AA107" i="21" a="1"/>
  <c r="AA107" i="21" s="1"/>
  <c r="N107" i="21" a="1"/>
  <c r="N107" i="21" s="1"/>
  <c r="O107" i="21" s="1" a="1"/>
  <c r="O107" i="21" s="1"/>
  <c r="P107" i="21" s="1" a="1"/>
  <c r="P107" i="21" s="1"/>
  <c r="R107" i="21" a="1"/>
  <c r="R107" i="21" s="1"/>
  <c r="S107" i="21" s="1" a="1"/>
  <c r="S107" i="21" s="1"/>
  <c r="Q33" i="21" a="1"/>
  <c r="Q33" i="21" s="1"/>
  <c r="R79" i="21" a="1"/>
  <c r="R79" i="21" s="1"/>
  <c r="N12" i="21" a="1"/>
  <c r="N12" i="21" s="1"/>
  <c r="L75" i="21" a="1"/>
  <c r="L75" i="21" s="1"/>
  <c r="M75" i="21" s="1" a="1"/>
  <c r="M75" i="21" s="1"/>
  <c r="N75" i="21" s="1" a="1"/>
  <c r="N75" i="21" s="1"/>
  <c r="L98" i="21" a="1"/>
  <c r="L98" i="21" s="1"/>
  <c r="M59" i="21" a="1"/>
  <c r="M59" i="21" s="1"/>
  <c r="L60" i="21" a="1"/>
  <c r="L60" i="21" s="1"/>
  <c r="M60" i="21" s="1" a="1"/>
  <c r="M60" i="21" s="1"/>
  <c r="L21" i="21" a="1"/>
  <c r="L21" i="21" s="1"/>
  <c r="M21" i="21" s="1" a="1"/>
  <c r="M21" i="21" s="1"/>
  <c r="N21" i="21" s="1" a="1"/>
  <c r="N21" i="21" s="1"/>
  <c r="M83" i="21" a="1"/>
  <c r="M83" i="21" s="1"/>
  <c r="N83" i="21" s="1" a="1"/>
  <c r="N83" i="21" s="1"/>
  <c r="Y83" i="21" s="1" a="1"/>
  <c r="Y83" i="21" s="1"/>
  <c r="Z83" i="21" s="1" a="1"/>
  <c r="Z83" i="21" s="1"/>
  <c r="U97" i="21" a="1"/>
  <c r="U97" i="21" s="1"/>
  <c r="V97" i="21" s="1" a="1"/>
  <c r="V97" i="21" s="1"/>
  <c r="Z97" i="21" a="1"/>
  <c r="Z97" i="21" s="1"/>
  <c r="W97" i="21" a="1"/>
  <c r="W97" i="21" s="1"/>
  <c r="X97" i="21" a="1"/>
  <c r="X97" i="21" s="1"/>
  <c r="Q97" i="21" a="1"/>
  <c r="Q97" i="21" s="1"/>
  <c r="Y97" i="21" a="1"/>
  <c r="Y97" i="21" s="1"/>
  <c r="AA97" i="21" a="1"/>
  <c r="AA97" i="21" s="1"/>
  <c r="AB97" i="21" s="1" a="1"/>
  <c r="AB97" i="21" s="1"/>
  <c r="T97" i="21" a="1"/>
  <c r="T97" i="21" s="1"/>
  <c r="R97" i="21" a="1"/>
  <c r="R97" i="21" s="1"/>
  <c r="S97" i="21" a="1"/>
  <c r="S97" i="21" s="1"/>
  <c r="O97" i="21" a="1"/>
  <c r="O97" i="21" s="1"/>
  <c r="P97" i="21" a="1"/>
  <c r="P97" i="21" s="1"/>
  <c r="L55" i="21" a="1"/>
  <c r="L55" i="21" s="1"/>
  <c r="M55" i="21" s="1" a="1"/>
  <c r="M55" i="21" s="1"/>
  <c r="N55" i="21" s="1" a="1"/>
  <c r="N55" i="21" s="1"/>
  <c r="O55" i="21" s="1" a="1"/>
  <c r="O55" i="21" s="1"/>
  <c r="P55" i="21" s="1" a="1"/>
  <c r="P55" i="21" s="1"/>
  <c r="Q55" i="21" s="1" a="1"/>
  <c r="Q55" i="21" s="1"/>
  <c r="R55" i="21" s="1" a="1"/>
  <c r="R55" i="21" s="1"/>
  <c r="L103" i="21" a="1"/>
  <c r="L103" i="21" s="1"/>
  <c r="M116" i="21" a="1"/>
  <c r="M116" i="21" s="1"/>
  <c r="N116" i="21" s="1" a="1"/>
  <c r="N116" i="21" s="1"/>
  <c r="T116" i="21" s="1" a="1"/>
  <c r="T116" i="21" s="1"/>
  <c r="U116" i="21" s="1" a="1"/>
  <c r="U116" i="21" s="1"/>
  <c r="M69" i="21" a="1"/>
  <c r="M69" i="21" s="1"/>
  <c r="N69" i="21" s="1" a="1"/>
  <c r="N69" i="21" s="1"/>
  <c r="L63" i="21" a="1"/>
  <c r="L63" i="21" s="1"/>
  <c r="M58" i="21" a="1"/>
  <c r="M58" i="21" s="1"/>
  <c r="O102" i="21" a="1"/>
  <c r="O102" i="21" s="1"/>
  <c r="M102" i="21" a="1"/>
  <c r="M102" i="21" s="1"/>
  <c r="N102" i="21" s="1" a="1"/>
  <c r="N102" i="21" s="1"/>
  <c r="L82" i="21" a="1"/>
  <c r="L82" i="21" s="1"/>
  <c r="M82" i="21" s="1" a="1"/>
  <c r="M82" i="21" s="1"/>
  <c r="N82" i="21" s="1" a="1"/>
  <c r="N82" i="21" s="1"/>
  <c r="X30" i="21" a="1"/>
  <c r="X30" i="21" s="1"/>
  <c r="Y30" i="21" s="1" a="1"/>
  <c r="Y30" i="21" s="1"/>
  <c r="Z30" i="21" s="1" a="1"/>
  <c r="Z30" i="21" s="1"/>
  <c r="AA30" i="21" s="1" a="1"/>
  <c r="AA30" i="21" s="1"/>
  <c r="U79" i="21" a="1"/>
  <c r="U79" i="21" s="1"/>
  <c r="M35" i="21" a="1"/>
  <c r="M35" i="21" s="1"/>
  <c r="K17" i="21" a="1"/>
  <c r="K17" i="21" s="1"/>
  <c r="N28" i="21" a="1"/>
  <c r="N28" i="21" s="1"/>
  <c r="O28" i="21" s="1" a="1"/>
  <c r="O28" i="21" s="1"/>
  <c r="K88" i="21" a="1"/>
  <c r="K88" i="21" s="1"/>
  <c r="L18" i="21" a="1"/>
  <c r="L18" i="21" s="1"/>
  <c r="M49" i="21" a="1"/>
  <c r="M49" i="21" s="1"/>
  <c r="N49" i="21" s="1" a="1"/>
  <c r="N49" i="21" s="1"/>
  <c r="O49" i="21" s="1" a="1"/>
  <c r="O49" i="21" s="1"/>
  <c r="P49" i="21" s="1" a="1"/>
  <c r="P49" i="21" s="1"/>
  <c r="Q49" i="21" s="1" a="1"/>
  <c r="Q49" i="21" s="1"/>
  <c r="R49" i="21" s="1" a="1"/>
  <c r="R49" i="21" s="1"/>
  <c r="S49" i="21" s="1" a="1"/>
  <c r="S49" i="21" s="1"/>
  <c r="T49" i="21" s="1" a="1"/>
  <c r="T49" i="21" s="1"/>
  <c r="U49" i="21" s="1" a="1"/>
  <c r="U49" i="21" s="1"/>
  <c r="V49" i="21" s="1" a="1"/>
  <c r="V49" i="21" s="1"/>
  <c r="W49" i="21" s="1" a="1"/>
  <c r="W49" i="21" s="1"/>
  <c r="X49" i="21" s="1" a="1"/>
  <c r="X49" i="21" s="1"/>
  <c r="Y49" i="21" s="1" a="1"/>
  <c r="Y49" i="21" s="1"/>
  <c r="Z49" i="21" s="1" a="1"/>
  <c r="Z49" i="21" s="1"/>
  <c r="AA49" i="21" s="1" a="1"/>
  <c r="AA49" i="21" s="1"/>
  <c r="AB49" i="21" s="1" a="1"/>
  <c r="AB49" i="21" s="1"/>
  <c r="K100" i="21" a="1"/>
  <c r="K100" i="21" s="1"/>
  <c r="L100" i="21" s="1" a="1"/>
  <c r="L100" i="21" s="1"/>
  <c r="L111" i="21" a="1"/>
  <c r="L111" i="21" s="1"/>
  <c r="M101" i="21" a="1"/>
  <c r="M101" i="21" s="1"/>
  <c r="S108" i="21" a="1"/>
  <c r="S108" i="21" s="1"/>
  <c r="Z108" i="21" a="1"/>
  <c r="Z108" i="21" s="1"/>
  <c r="W108" i="21" a="1"/>
  <c r="W108" i="21" s="1"/>
  <c r="X108" i="21" a="1"/>
  <c r="X108" i="21" s="1"/>
  <c r="Y108" i="21" a="1"/>
  <c r="Y108" i="21" s="1"/>
  <c r="R108" i="21" a="1"/>
  <c r="R108" i="21" s="1"/>
  <c r="O108" i="21" a="1"/>
  <c r="O108" i="21" s="1"/>
  <c r="V108" i="21" a="1"/>
  <c r="V108" i="21" s="1"/>
  <c r="AA108" i="21" a="1"/>
  <c r="AA108" i="21" s="1"/>
  <c r="AB108" i="21" s="1" a="1"/>
  <c r="AB108" i="21" s="1"/>
  <c r="Q108" i="21" a="1"/>
  <c r="Q108" i="21" s="1"/>
  <c r="T108" i="21" a="1"/>
  <c r="T108" i="21" s="1"/>
  <c r="U108" i="21" a="1"/>
  <c r="U108" i="21" s="1"/>
  <c r="P108" i="21" a="1"/>
  <c r="P108" i="21" s="1"/>
  <c r="K54" i="21" a="1"/>
  <c r="K54" i="21" s="1"/>
  <c r="L50" i="21" a="1"/>
  <c r="L50" i="21" s="1"/>
  <c r="M50" i="21" s="1" a="1"/>
  <c r="M50" i="21" s="1"/>
  <c r="N50" i="21" s="1" a="1"/>
  <c r="N50" i="21" s="1"/>
  <c r="O50" i="21" s="1" a="1"/>
  <c r="O50" i="21" s="1"/>
  <c r="P50" i="21" s="1" a="1"/>
  <c r="P50" i="21" s="1"/>
  <c r="Q50" i="21" s="1" a="1"/>
  <c r="Q50" i="21" s="1"/>
  <c r="R50" i="21" s="1" a="1"/>
  <c r="R50" i="21" s="1"/>
  <c r="S50" i="21" s="1" a="1"/>
  <c r="S50" i="21" s="1"/>
  <c r="K16" i="21" a="1"/>
  <c r="K16" i="21" s="1"/>
  <c r="L95" i="21" a="1"/>
  <c r="L95" i="21" s="1"/>
  <c r="K86" i="21" a="1"/>
  <c r="K86" i="21" s="1"/>
  <c r="M23" i="21" a="1"/>
  <c r="M23" i="21" s="1"/>
  <c r="N23" i="21" s="1" a="1"/>
  <c r="N23" i="21" s="1"/>
  <c r="K74" i="21" a="1"/>
  <c r="K74" i="21" s="1"/>
  <c r="L19" i="21" a="1"/>
  <c r="L19" i="21" s="1"/>
  <c r="M19" i="21" s="1" a="1"/>
  <c r="M19" i="21" s="1"/>
  <c r="N19" i="21" s="1" a="1"/>
  <c r="N19" i="21" s="1"/>
  <c r="O19" i="21" s="1" a="1"/>
  <c r="O19" i="21" s="1"/>
  <c r="O67" i="21" a="1"/>
  <c r="O67" i="21" s="1"/>
  <c r="P67" i="21" s="1" a="1"/>
  <c r="P67" i="21" s="1"/>
  <c r="Q67" i="21" s="1" a="1"/>
  <c r="Q67" i="21" s="1"/>
  <c r="R67" i="21" s="1" a="1"/>
  <c r="R67" i="21" s="1"/>
  <c r="S67" i="21" s="1" a="1"/>
  <c r="S67" i="21" s="1"/>
  <c r="T67" i="21" s="1" a="1"/>
  <c r="T67" i="21" s="1"/>
  <c r="U67" i="21" s="1" a="1"/>
  <c r="U67" i="21" s="1"/>
  <c r="V67" i="21" s="1" a="1"/>
  <c r="V67" i="21" s="1"/>
  <c r="W67" i="21" s="1" a="1"/>
  <c r="W67" i="21" s="1"/>
  <c r="X67" i="21" s="1" a="1"/>
  <c r="X67" i="21" s="1"/>
  <c r="Y67" i="21" s="1" a="1"/>
  <c r="Y67" i="21" s="1"/>
  <c r="Z67" i="21" s="1" a="1"/>
  <c r="Z67" i="21" s="1"/>
  <c r="AA67" i="21" s="1" a="1"/>
  <c r="AA67" i="21" s="1"/>
  <c r="AB67" i="21" s="1" a="1"/>
  <c r="AB67" i="21" s="1"/>
  <c r="L65" i="21" a="1"/>
  <c r="L65" i="21" s="1"/>
  <c r="M65" i="21" s="1" a="1"/>
  <c r="M65" i="21" s="1"/>
  <c r="L80" i="21" a="1"/>
  <c r="L80" i="21" s="1"/>
  <c r="L91" i="21" a="1"/>
  <c r="L91" i="21" s="1"/>
  <c r="M91" i="21" s="1" a="1"/>
  <c r="M91" i="21" s="1"/>
  <c r="N91" i="21" s="1" a="1"/>
  <c r="N91" i="21" s="1"/>
  <c r="V91" i="21" s="1" a="1"/>
  <c r="V91" i="21" s="1"/>
  <c r="AB113" i="21" a="1"/>
  <c r="AB113" i="21" s="1"/>
  <c r="U113" i="21" a="1"/>
  <c r="U113" i="21" s="1"/>
  <c r="M113" i="21" a="1"/>
  <c r="M113" i="21" s="1"/>
  <c r="O113" i="21" a="1"/>
  <c r="O113" i="21" s="1"/>
  <c r="Z113" i="21" a="1"/>
  <c r="Z113" i="21" s="1"/>
  <c r="X113" i="21" a="1"/>
  <c r="X113" i="21" s="1"/>
  <c r="N113" i="21" a="1"/>
  <c r="N113" i="21" s="1"/>
  <c r="AA113" i="21" a="1"/>
  <c r="AA113" i="21" s="1"/>
  <c r="R113" i="21" a="1"/>
  <c r="R113" i="21" s="1"/>
  <c r="S113" i="21" s="1" a="1"/>
  <c r="S113" i="21" s="1"/>
  <c r="T113" i="21" s="1" a="1"/>
  <c r="T113" i="21" s="1"/>
  <c r="V113" i="21" a="1"/>
  <c r="V113" i="21" s="1"/>
  <c r="Q113" i="21" a="1"/>
  <c r="Q113" i="21" s="1"/>
  <c r="W113" i="21" a="1"/>
  <c r="W113" i="21" s="1"/>
  <c r="P113" i="21" a="1"/>
  <c r="P113" i="21" s="1"/>
  <c r="Y113" i="21" a="1"/>
  <c r="Y113" i="21" s="1"/>
  <c r="M45" i="21" a="1"/>
  <c r="M45" i="21" s="1"/>
  <c r="N45" i="21" s="1" a="1"/>
  <c r="N45" i="21" s="1"/>
  <c r="P7" i="21" a="1"/>
  <c r="P7" i="21" s="1"/>
  <c r="Q7" i="21" s="1" a="1"/>
  <c r="Q7" i="21" s="1"/>
  <c r="L57" i="21" a="1"/>
  <c r="L57" i="21" s="1"/>
  <c r="M57" i="21" s="1" a="1"/>
  <c r="M57" i="21" s="1"/>
  <c r="N57" i="21" s="1" a="1"/>
  <c r="N57" i="21" s="1"/>
  <c r="V57" i="21" s="1" a="1"/>
  <c r="V57" i="21" s="1"/>
  <c r="W57" i="21" s="1" a="1"/>
  <c r="W57" i="21" s="1"/>
  <c r="X57" i="21" s="1" a="1"/>
  <c r="X57" i="21" s="1"/>
  <c r="Y57" i="21" s="1" a="1"/>
  <c r="Y57" i="21" s="1"/>
  <c r="Z57" i="21" s="1" a="1"/>
  <c r="Z57" i="21" s="1"/>
  <c r="AA57" i="21" s="1" a="1"/>
  <c r="AA57" i="21" s="1"/>
  <c r="AB57" i="21" s="1" a="1"/>
  <c r="AB57" i="21" s="1"/>
  <c r="Z71" i="21" a="1"/>
  <c r="Z71" i="21" s="1"/>
  <c r="Q81" i="21" a="1"/>
  <c r="Q81" i="21" s="1"/>
  <c r="R81" i="21" s="1" a="1"/>
  <c r="R81" i="21" s="1"/>
  <c r="T81" i="21" a="1"/>
  <c r="T81" i="21" s="1"/>
  <c r="U81" i="21" s="1" a="1"/>
  <c r="U81" i="21" s="1"/>
  <c r="V81" i="21" s="1" a="1"/>
  <c r="V81" i="21" s="1"/>
  <c r="W81" i="21" s="1" a="1"/>
  <c r="W81" i="21" s="1"/>
  <c r="X81" i="21" s="1" a="1"/>
  <c r="X81" i="21" s="1"/>
  <c r="Y81" i="21" s="1" a="1"/>
  <c r="Y81" i="21" s="1"/>
  <c r="Z81" i="21" s="1" a="1"/>
  <c r="Z81" i="21" s="1"/>
  <c r="AA81" i="21" s="1" a="1"/>
  <c r="AA81" i="21" s="1"/>
  <c r="AB81" i="21" s="1" a="1"/>
  <c r="AB81" i="21" s="1"/>
  <c r="Y71" i="21" a="1"/>
  <c r="Y71" i="21" s="1"/>
  <c r="Y38" i="21" a="1"/>
  <c r="Y38" i="21" s="1"/>
  <c r="Z38" i="21" s="1" a="1"/>
  <c r="Z38" i="21" s="1"/>
  <c r="AA38" i="21" s="1" a="1"/>
  <c r="AA38" i="21" s="1"/>
  <c r="AB38" i="21" s="1" a="1"/>
  <c r="AB38" i="21" s="1"/>
  <c r="T15" i="21" a="1"/>
  <c r="T15" i="21" s="1"/>
  <c r="S81" i="21" a="1"/>
  <c r="S81" i="21" s="1"/>
  <c r="N70" i="21" a="1"/>
  <c r="N70" i="21" s="1"/>
  <c r="O70" i="21" s="1" a="1"/>
  <c r="O70" i="21" s="1"/>
  <c r="P70" i="21" s="1" a="1"/>
  <c r="P70" i="21" s="1"/>
  <c r="O36" i="21" a="1"/>
  <c r="O36" i="21" s="1"/>
  <c r="P36" i="21" s="1" a="1"/>
  <c r="P36" i="21" s="1"/>
  <c r="Q36" i="21" s="1" a="1"/>
  <c r="Q36" i="21" s="1"/>
  <c r="R36" i="21" s="1" a="1"/>
  <c r="R36" i="21" s="1"/>
  <c r="S36" i="21" s="1" a="1"/>
  <c r="S36" i="21" s="1"/>
  <c r="T36" i="21" s="1" a="1"/>
  <c r="T36" i="21" s="1"/>
  <c r="U36" i="21" s="1" a="1"/>
  <c r="U36" i="21" s="1"/>
  <c r="V36" i="21" s="1" a="1"/>
  <c r="V36" i="21" s="1"/>
  <c r="W36" i="21" s="1" a="1"/>
  <c r="W36" i="21" s="1"/>
  <c r="X36" i="21" s="1" a="1"/>
  <c r="X36" i="21" s="1"/>
  <c r="Y36" i="21" s="1" a="1"/>
  <c r="Y36" i="21" s="1"/>
  <c r="Z36" i="21" s="1" a="1"/>
  <c r="Z36" i="21" s="1"/>
  <c r="AA36" i="21" s="1" a="1"/>
  <c r="AA36" i="21" s="1"/>
  <c r="AB36" i="21" s="1" a="1"/>
  <c r="AB36" i="21" s="1"/>
  <c r="N76" i="21" a="1"/>
  <c r="N76" i="21" s="1"/>
  <c r="O76" i="21" s="1" a="1"/>
  <c r="O76" i="21" s="1"/>
  <c r="P76" i="21" s="1" a="1"/>
  <c r="P76" i="21" s="1"/>
  <c r="Q76" i="21" s="1" a="1"/>
  <c r="Q76" i="21" s="1"/>
  <c r="R76" i="21" s="1" a="1"/>
  <c r="R76" i="21" s="1"/>
  <c r="N10" i="21" a="1"/>
  <c r="N10" i="21" s="1"/>
  <c r="O10" i="21" s="1" a="1"/>
  <c r="O10" i="21" s="1"/>
  <c r="P10" i="21" s="1" a="1"/>
  <c r="P10" i="21" s="1"/>
  <c r="Q10" i="21" s="1" a="1"/>
  <c r="Q10" i="21" s="1"/>
  <c r="R10" i="21" s="1" a="1"/>
  <c r="R10" i="21" s="1"/>
  <c r="S10" i="21" s="1" a="1"/>
  <c r="S10" i="21" s="1"/>
  <c r="T10" i="21" s="1" a="1"/>
  <c r="T10" i="21" s="1"/>
  <c r="U10" i="21" s="1" a="1"/>
  <c r="U10" i="21" s="1"/>
  <c r="V10" i="21" s="1" a="1"/>
  <c r="V10" i="21" s="1"/>
  <c r="W10" i="21" s="1" a="1"/>
  <c r="W10" i="21" s="1"/>
  <c r="X10" i="21" s="1" a="1"/>
  <c r="X10" i="21" s="1"/>
  <c r="Y10" i="21" s="1" a="1"/>
  <c r="Y10" i="21" s="1"/>
  <c r="Z10" i="21" s="1" a="1"/>
  <c r="Z10" i="21" s="1"/>
  <c r="AA10" i="21" s="1" a="1"/>
  <c r="AA10" i="21" s="1"/>
  <c r="AB10" i="21" s="1" a="1"/>
  <c r="AB10" i="21" s="1"/>
  <c r="AA71" i="21" a="1"/>
  <c r="AA71" i="21" s="1"/>
  <c r="AB71" i="21" s="1" a="1"/>
  <c r="AB71" i="21" s="1"/>
  <c r="N43" i="21" a="1"/>
  <c r="N43" i="21" s="1"/>
  <c r="O43" i="21" s="1" a="1"/>
  <c r="O43" i="21" s="1"/>
  <c r="P43" i="21" s="1" a="1"/>
  <c r="P43" i="21" s="1"/>
  <c r="Q43" i="21" s="1" a="1"/>
  <c r="Q43" i="21" s="1"/>
  <c r="R43" i="21" s="1" a="1"/>
  <c r="R43" i="21" s="1"/>
  <c r="S43" i="21" s="1" a="1"/>
  <c r="S43" i="21" s="1"/>
  <c r="T43" i="21" s="1" a="1"/>
  <c r="T43" i="21" s="1"/>
  <c r="U43" i="21" s="1" a="1"/>
  <c r="U43" i="21" s="1"/>
  <c r="V43" i="21" s="1" a="1"/>
  <c r="V43" i="21" s="1"/>
  <c r="W43" i="21" s="1" a="1"/>
  <c r="W43" i="21" s="1"/>
  <c r="X43" i="21" s="1" a="1"/>
  <c r="X43" i="21" s="1"/>
  <c r="Y43" i="21" s="1" a="1"/>
  <c r="Y43" i="21" s="1"/>
  <c r="Z43" i="21" s="1" a="1"/>
  <c r="Z43" i="21" s="1"/>
  <c r="AA43" i="21" s="1" a="1"/>
  <c r="AA43" i="21" s="1"/>
  <c r="AB43" i="21" s="1" a="1"/>
  <c r="AB43" i="21" s="1"/>
  <c r="O64" i="21" a="1"/>
  <c r="O64" i="21" s="1"/>
  <c r="P64" i="21" a="1"/>
  <c r="P64" i="21" s="1"/>
  <c r="Q64" i="21" s="1" a="1"/>
  <c r="Q64" i="21" s="1"/>
  <c r="O53" i="21" a="1"/>
  <c r="O53" i="21" s="1"/>
  <c r="P53" i="21" s="1" a="1"/>
  <c r="P53" i="21" s="1"/>
  <c r="Q53" i="21" s="1" a="1"/>
  <c r="Q53" i="21" s="1"/>
  <c r="R53" i="21" s="1" a="1"/>
  <c r="R53" i="21" s="1"/>
  <c r="N37" i="21" a="1"/>
  <c r="N37" i="21" s="1"/>
  <c r="N77" i="21" a="1"/>
  <c r="N77" i="21" s="1"/>
  <c r="O77" i="21" s="1" a="1"/>
  <c r="O77" i="21" s="1"/>
  <c r="P77" i="21" s="1" a="1"/>
  <c r="P77" i="21" s="1"/>
  <c r="Q77" i="21" s="1" a="1"/>
  <c r="Q77" i="21" s="1"/>
  <c r="R77" i="21" s="1" a="1"/>
  <c r="R77" i="21" s="1"/>
  <c r="S77" i="21" s="1" a="1"/>
  <c r="S77" i="21" s="1"/>
  <c r="T77" i="21" s="1" a="1"/>
  <c r="T77" i="21" s="1"/>
  <c r="U77" i="21" s="1" a="1"/>
  <c r="U77" i="21" s="1"/>
  <c r="V77" i="21" s="1" a="1"/>
  <c r="V77" i="21" s="1"/>
  <c r="W77" i="21" s="1" a="1"/>
  <c r="W77" i="21" s="1"/>
  <c r="X77" i="21" s="1" a="1"/>
  <c r="X77" i="21" s="1"/>
  <c r="Y77" i="21" s="1" a="1"/>
  <c r="Y77" i="21" s="1"/>
  <c r="Z77" i="21" s="1" a="1"/>
  <c r="Z77" i="21" s="1"/>
  <c r="AA77" i="21" s="1" a="1"/>
  <c r="AA77" i="21" s="1"/>
  <c r="AB77" i="21" s="1" a="1"/>
  <c r="AB77" i="21" s="1"/>
  <c r="N85" i="21" a="1"/>
  <c r="N85" i="21" s="1"/>
  <c r="O85" i="21" s="1" a="1"/>
  <c r="O85" i="21" s="1"/>
  <c r="P85" i="21" s="1" a="1"/>
  <c r="P85" i="21" s="1"/>
  <c r="N90" i="21" a="1"/>
  <c r="N90" i="21" s="1"/>
  <c r="O90" i="21" s="1" a="1"/>
  <c r="O90" i="21" s="1"/>
  <c r="P90" i="21" s="1" a="1"/>
  <c r="P90" i="21" s="1"/>
  <c r="Q90" i="21" s="1" a="1"/>
  <c r="Q90" i="21" s="1"/>
  <c r="R90" i="21" s="1" a="1"/>
  <c r="R90" i="21" s="1"/>
  <c r="S90" i="21" s="1" a="1"/>
  <c r="S90" i="21" s="1"/>
  <c r="T90" i="21" s="1" a="1"/>
  <c r="T90" i="21" s="1"/>
  <c r="U90" i="21" s="1" a="1"/>
  <c r="U90" i="21" s="1"/>
  <c r="V90" i="21" s="1" a="1"/>
  <c r="V90" i="21" s="1"/>
  <c r="W90" i="21" s="1" a="1"/>
  <c r="W90" i="21" s="1"/>
  <c r="X90" i="21" s="1" a="1"/>
  <c r="X90" i="21" s="1"/>
  <c r="Y90" i="21" s="1" a="1"/>
  <c r="Y90" i="21" s="1"/>
  <c r="Z90" i="21" s="1" a="1"/>
  <c r="Z90" i="21" s="1"/>
  <c r="AA90" i="21" s="1" a="1"/>
  <c r="AA90" i="21" s="1"/>
  <c r="AB90" i="21" s="1" a="1"/>
  <c r="AB90" i="21" s="1"/>
  <c r="N14" i="21" a="1"/>
  <c r="N14" i="21" s="1"/>
  <c r="O14" i="21" s="1" a="1"/>
  <c r="O14" i="21" s="1"/>
  <c r="P14" i="21" s="1" a="1"/>
  <c r="P14" i="21" s="1"/>
  <c r="Q14" i="21" s="1" a="1"/>
  <c r="Q14" i="21" s="1"/>
  <c r="R14" i="21" s="1" a="1"/>
  <c r="R14" i="21" s="1"/>
  <c r="S14" i="21" s="1" a="1"/>
  <c r="S14" i="21" s="1"/>
  <c r="T14" i="21" s="1" a="1"/>
  <c r="T14" i="21" s="1"/>
  <c r="U14" i="21" s="1" a="1"/>
  <c r="U14" i="21" s="1"/>
  <c r="V14" i="21" s="1" a="1"/>
  <c r="V14" i="21" s="1"/>
  <c r="W14" i="21" s="1" a="1"/>
  <c r="W14" i="21" s="1"/>
  <c r="X14" i="21" s="1" a="1"/>
  <c r="X14" i="21" s="1"/>
  <c r="Y14" i="21" s="1" a="1"/>
  <c r="Y14" i="21" s="1"/>
  <c r="Z14" i="21" s="1" a="1"/>
  <c r="Z14" i="21" s="1"/>
  <c r="AA14" i="21" s="1" a="1"/>
  <c r="AA14" i="21" s="1"/>
  <c r="AB14" i="21" s="1" a="1"/>
  <c r="AB14" i="21" s="1"/>
  <c r="K10" i="9"/>
  <c r="J11" i="9" s="1"/>
  <c r="I10" i="9"/>
  <c r="R30" i="21" l="1" a="1"/>
  <c r="R30" i="21" s="1"/>
  <c r="O48" i="21" a="1"/>
  <c r="O48" i="21" s="1"/>
  <c r="P48" i="21" s="1" a="1"/>
  <c r="P48" i="21" s="1"/>
  <c r="S30" i="21" a="1"/>
  <c r="S30" i="21" s="1"/>
  <c r="T30" i="21" s="1" a="1"/>
  <c r="T30" i="21" s="1"/>
  <c r="U30" i="21" s="1" a="1"/>
  <c r="U30" i="21" s="1"/>
  <c r="V30" i="21" s="1" a="1"/>
  <c r="V30" i="21" s="1"/>
  <c r="W30" i="21" s="1" a="1"/>
  <c r="W30" i="21" s="1"/>
  <c r="AB30" i="21" a="1"/>
  <c r="AB30" i="21" s="1"/>
  <c r="AA64" i="21" a="1"/>
  <c r="AA64" i="21" s="1"/>
  <c r="AB64" i="21" s="1" a="1"/>
  <c r="AB64" i="21" s="1"/>
  <c r="S64" i="21" a="1"/>
  <c r="S64" i="21" s="1"/>
  <c r="T64" i="21" s="1" a="1"/>
  <c r="T64" i="21" s="1"/>
  <c r="V64" i="21" a="1"/>
  <c r="V64" i="21" s="1"/>
  <c r="W64" i="21" s="1" a="1"/>
  <c r="W64" i="21" s="1"/>
  <c r="X64" i="21" s="1" a="1"/>
  <c r="X64" i="21" s="1"/>
  <c r="Y64" i="21" s="1" a="1"/>
  <c r="Y64" i="21" s="1"/>
  <c r="R64" i="21" a="1"/>
  <c r="R64" i="21" s="1"/>
  <c r="U64" i="21" a="1"/>
  <c r="U64" i="21" s="1"/>
  <c r="W99" i="21" a="1"/>
  <c r="W99" i="21" s="1"/>
  <c r="N101" i="21" a="1"/>
  <c r="N101" i="21" s="1"/>
  <c r="Z101" i="21" s="1" a="1"/>
  <c r="Z101" i="21" s="1"/>
  <c r="W110" i="21" a="1"/>
  <c r="W110" i="21" s="1"/>
  <c r="Q110" i="21" a="1"/>
  <c r="Q110" i="21" s="1"/>
  <c r="T99" i="21" a="1"/>
  <c r="T99" i="21" s="1"/>
  <c r="R62" i="21" a="1"/>
  <c r="R62" i="21" s="1"/>
  <c r="S62" i="21" s="1" a="1"/>
  <c r="S62" i="21" s="1"/>
  <c r="P78" i="21" a="1"/>
  <c r="P78" i="21" s="1"/>
  <c r="Z78" i="21" s="1" a="1"/>
  <c r="Z78" i="21" s="1"/>
  <c r="Q48" i="21" a="1"/>
  <c r="Q48" i="21" s="1"/>
  <c r="X101" i="21" a="1"/>
  <c r="X101" i="21" s="1"/>
  <c r="R101" i="21" a="1"/>
  <c r="R101" i="21" s="1"/>
  <c r="O101" i="21" a="1"/>
  <c r="O101" i="21" s="1"/>
  <c r="Z102" i="21" a="1"/>
  <c r="Z102" i="21" s="1"/>
  <c r="U99" i="21" a="1"/>
  <c r="U99" i="21" s="1"/>
  <c r="V99" i="21" s="1" a="1"/>
  <c r="V99" i="21" s="1"/>
  <c r="Y78" i="21" a="1"/>
  <c r="Y78" i="21" s="1"/>
  <c r="T78" i="21" a="1"/>
  <c r="T78" i="21" s="1"/>
  <c r="X78" i="21" a="1"/>
  <c r="X78" i="21" s="1"/>
  <c r="AA78" i="21" a="1"/>
  <c r="AA78" i="21" s="1"/>
  <c r="V78" i="21" a="1"/>
  <c r="V78" i="21" s="1"/>
  <c r="P84" i="21" a="1"/>
  <c r="P84" i="21" s="1"/>
  <c r="Q84" i="21" s="1" a="1"/>
  <c r="Q84" i="21" s="1"/>
  <c r="P101" i="21" a="1"/>
  <c r="P101" i="21" s="1"/>
  <c r="T101" i="21" a="1"/>
  <c r="T101" i="21" s="1"/>
  <c r="P102" i="21" a="1"/>
  <c r="P102" i="21" s="1"/>
  <c r="Q102" i="21" s="1" a="1"/>
  <c r="Q102" i="21" s="1"/>
  <c r="R102" i="21" a="1"/>
  <c r="R102" i="21" s="1"/>
  <c r="AA99" i="21" a="1"/>
  <c r="AA99" i="21" s="1"/>
  <c r="AB99" i="21" s="1" a="1"/>
  <c r="AB99" i="21" s="1"/>
  <c r="AA101" i="21" a="1"/>
  <c r="AA101" i="21" s="1"/>
  <c r="AB101" i="21" s="1" a="1"/>
  <c r="AB101" i="21" s="1"/>
  <c r="Y101" i="21" a="1"/>
  <c r="Y101" i="21" s="1"/>
  <c r="AA102" i="21" a="1"/>
  <c r="AA102" i="21" s="1"/>
  <c r="S102" i="21" a="1"/>
  <c r="S102" i="21" s="1"/>
  <c r="N106" i="21" a="1"/>
  <c r="N106" i="21" s="1"/>
  <c r="Z99" i="21" a="1"/>
  <c r="Z99" i="21" s="1"/>
  <c r="U101" i="21" a="1"/>
  <c r="U101" i="21" s="1"/>
  <c r="V101" i="21" s="1" a="1"/>
  <c r="V101" i="21" s="1"/>
  <c r="W101" i="21" a="1"/>
  <c r="W101" i="21" s="1"/>
  <c r="U102" i="21" a="1"/>
  <c r="U102" i="21" s="1"/>
  <c r="V102" i="21" a="1"/>
  <c r="V102" i="21" s="1"/>
  <c r="W102" i="21" s="1" a="1"/>
  <c r="W102" i="21" s="1"/>
  <c r="AB105" i="21" a="1"/>
  <c r="AB105" i="21" s="1"/>
  <c r="P99" i="21" a="1"/>
  <c r="P99" i="21" s="1"/>
  <c r="R99" i="21" a="1"/>
  <c r="R99" i="21" s="1"/>
  <c r="Q99" i="21" a="1"/>
  <c r="Q99" i="21" s="1"/>
  <c r="Q78" i="21" a="1"/>
  <c r="Q78" i="21" s="1"/>
  <c r="W78" i="21" a="1"/>
  <c r="W78" i="21" s="1"/>
  <c r="T102" i="21" a="1"/>
  <c r="T102" i="21" s="1"/>
  <c r="AB102" i="21" a="1"/>
  <c r="AB102" i="21" s="1"/>
  <c r="O106" i="21" a="1"/>
  <c r="O106" i="21" s="1"/>
  <c r="X99" i="21" a="1"/>
  <c r="X99" i="21" s="1"/>
  <c r="O99" i="21" a="1"/>
  <c r="O99" i="21" s="1"/>
  <c r="S53" i="21" a="1"/>
  <c r="S53" i="21" s="1"/>
  <c r="T53" i="21" s="1" a="1"/>
  <c r="T53" i="21" s="1"/>
  <c r="U53" i="21" s="1" a="1"/>
  <c r="U53" i="21" s="1"/>
  <c r="V53" i="21" s="1" a="1"/>
  <c r="V53" i="21" s="1"/>
  <c r="W53" i="21" s="1" a="1"/>
  <c r="W53" i="21" s="1"/>
  <c r="X53" i="21" s="1" a="1"/>
  <c r="X53" i="21" s="1"/>
  <c r="Y53" i="21" s="1" a="1"/>
  <c r="Y53" i="21" s="1"/>
  <c r="Z53" i="21" s="1" a="1"/>
  <c r="Z53" i="21" s="1"/>
  <c r="AA53" i="21" s="1" a="1"/>
  <c r="AA53" i="21" s="1"/>
  <c r="AB53" i="21" s="1" a="1"/>
  <c r="AB53" i="21" s="1"/>
  <c r="U78" i="21" a="1"/>
  <c r="U78" i="21" s="1"/>
  <c r="Q101" i="21" a="1"/>
  <c r="Q101" i="21" s="1"/>
  <c r="X102" i="21" a="1"/>
  <c r="X102" i="21" s="1"/>
  <c r="S99" i="21" a="1"/>
  <c r="S99" i="21" s="1"/>
  <c r="AB78" i="21" a="1"/>
  <c r="AB78" i="21" s="1"/>
  <c r="S78" i="21" a="1"/>
  <c r="S78" i="21" s="1"/>
  <c r="Y102" i="21" a="1"/>
  <c r="Y102" i="21" s="1"/>
  <c r="R89" i="21" a="1"/>
  <c r="R89" i="21" s="1"/>
  <c r="S89" i="21" a="1"/>
  <c r="S89" i="21" s="1"/>
  <c r="M52" i="21" a="1"/>
  <c r="M52" i="21" s="1"/>
  <c r="N52" i="21" s="1" a="1"/>
  <c r="N52" i="21" s="1"/>
  <c r="N58" i="21" a="1"/>
  <c r="N58" i="21" s="1"/>
  <c r="R24" i="21" a="1"/>
  <c r="R24" i="21" s="1"/>
  <c r="S24" i="21" s="1" a="1"/>
  <c r="S24" i="21" s="1"/>
  <c r="T24" i="21" s="1" a="1"/>
  <c r="T24" i="21" s="1"/>
  <c r="U24" i="21" s="1" a="1"/>
  <c r="U24" i="21" s="1"/>
  <c r="V24" i="21" s="1" a="1"/>
  <c r="V24" i="21" s="1"/>
  <c r="W24" i="21" s="1" a="1"/>
  <c r="W24" i="21" s="1"/>
  <c r="X24" i="21" s="1" a="1"/>
  <c r="X24" i="21" s="1"/>
  <c r="Y24" i="21" s="1" a="1"/>
  <c r="Y24" i="21" s="1"/>
  <c r="Z24" i="21" s="1" a="1"/>
  <c r="Z24" i="21" s="1"/>
  <c r="AA24" i="21" s="1" a="1"/>
  <c r="AA24" i="21" s="1"/>
  <c r="AB24" i="21" s="1" a="1"/>
  <c r="AB24" i="21" s="1"/>
  <c r="R66" i="21" a="1"/>
  <c r="R66" i="21" s="1"/>
  <c r="M66" i="21" a="1"/>
  <c r="M66" i="21" s="1"/>
  <c r="N66" i="21" s="1" a="1"/>
  <c r="N66" i="21" s="1"/>
  <c r="T66" i="21" s="1" a="1"/>
  <c r="T66" i="21" s="1"/>
  <c r="AB66" i="21" a="1"/>
  <c r="AB66" i="21" s="1"/>
  <c r="V66" i="21" a="1"/>
  <c r="V66" i="21" s="1"/>
  <c r="Y66" i="21" a="1"/>
  <c r="Y66" i="21" s="1"/>
  <c r="X89" i="21" a="1"/>
  <c r="X89" i="21" s="1"/>
  <c r="Y89" i="21" s="1" a="1"/>
  <c r="Y89" i="21" s="1"/>
  <c r="Q89" i="21" a="1"/>
  <c r="Q89" i="21" s="1"/>
  <c r="Q13" i="21" a="1"/>
  <c r="Q13" i="21" s="1"/>
  <c r="R13" i="21" s="1" a="1"/>
  <c r="R13" i="21" s="1"/>
  <c r="S13" i="21" s="1" a="1"/>
  <c r="S13" i="21" s="1"/>
  <c r="T13" i="21" s="1" a="1"/>
  <c r="T13" i="21" s="1"/>
  <c r="Z89" i="21" a="1"/>
  <c r="Z89" i="21" s="1"/>
  <c r="AA89" i="21" s="1" a="1"/>
  <c r="AA89" i="21" s="1"/>
  <c r="AB89" i="21" s="1" a="1"/>
  <c r="AB89" i="21" s="1"/>
  <c r="W89" i="21" a="1"/>
  <c r="W89" i="21" s="1"/>
  <c r="O89" i="21" a="1"/>
  <c r="O89" i="21" s="1"/>
  <c r="M98" i="21" a="1"/>
  <c r="M98" i="21" s="1"/>
  <c r="V89" i="21" a="1"/>
  <c r="V89" i="21" s="1"/>
  <c r="N96" i="21" a="1"/>
  <c r="N96" i="21" s="1"/>
  <c r="AB96" i="21" s="1" a="1"/>
  <c r="AB96" i="21" s="1"/>
  <c r="L54" i="21" a="1"/>
  <c r="L54" i="21" s="1"/>
  <c r="M63" i="21" a="1"/>
  <c r="M63" i="21" s="1"/>
  <c r="M103" i="21" a="1"/>
  <c r="M103" i="21" s="1"/>
  <c r="Q103" i="21" s="1" a="1"/>
  <c r="Q103" i="21" s="1"/>
  <c r="N103" i="21" a="1"/>
  <c r="N103" i="21" s="1"/>
  <c r="U103" i="21" s="1" a="1"/>
  <c r="U103" i="21" s="1"/>
  <c r="R33" i="21" a="1"/>
  <c r="R33" i="21" s="1"/>
  <c r="S33" i="21" s="1" a="1"/>
  <c r="S33" i="21" s="1"/>
  <c r="O73" i="21" a="1"/>
  <c r="O73" i="21" s="1"/>
  <c r="Z66" i="21" a="1"/>
  <c r="Z66" i="21" s="1"/>
  <c r="Q66" i="21" a="1"/>
  <c r="Q66" i="21" s="1"/>
  <c r="T89" i="21" a="1"/>
  <c r="T89" i="21" s="1"/>
  <c r="L86" i="21" a="1"/>
  <c r="L86" i="21" s="1"/>
  <c r="M18" i="21" a="1"/>
  <c r="M18" i="21" s="1"/>
  <c r="N60" i="21" a="1"/>
  <c r="N60" i="21" s="1"/>
  <c r="O60" i="21" s="1" a="1"/>
  <c r="O60" i="21" s="1"/>
  <c r="P60" i="21" s="1" a="1"/>
  <c r="P60" i="21" s="1"/>
  <c r="Q60" i="21" s="1" a="1"/>
  <c r="Q60" i="21" s="1"/>
  <c r="R60" i="21" s="1" a="1"/>
  <c r="R60" i="21" s="1"/>
  <c r="S60" i="21" s="1" a="1"/>
  <c r="S60" i="21" s="1"/>
  <c r="T60" i="21" s="1" a="1"/>
  <c r="T60" i="21" s="1"/>
  <c r="U60" i="21" s="1" a="1"/>
  <c r="U60" i="21" s="1"/>
  <c r="V60" i="21" s="1" a="1"/>
  <c r="V60" i="21" s="1"/>
  <c r="W60" i="21" s="1" a="1"/>
  <c r="W60" i="21" s="1"/>
  <c r="X60" i="21" s="1" a="1"/>
  <c r="X60" i="21" s="1"/>
  <c r="Y60" i="21" s="1" a="1"/>
  <c r="Y60" i="21" s="1"/>
  <c r="Z60" i="21" s="1" a="1"/>
  <c r="Z60" i="21" s="1"/>
  <c r="AA60" i="21" s="1" a="1"/>
  <c r="AA60" i="21" s="1"/>
  <c r="AB60" i="21" s="1" a="1"/>
  <c r="AB60" i="21" s="1"/>
  <c r="W56" i="21" a="1"/>
  <c r="W56" i="21" s="1"/>
  <c r="Y56" i="21" a="1"/>
  <c r="Y56" i="21" s="1"/>
  <c r="V56" i="21" a="1"/>
  <c r="V56" i="21" s="1"/>
  <c r="X56" i="21" a="1"/>
  <c r="X56" i="21" s="1"/>
  <c r="U56" i="21" a="1"/>
  <c r="U56" i="21" s="1"/>
  <c r="AB56" i="21" a="1"/>
  <c r="AB56" i="21" s="1"/>
  <c r="R56" i="21" a="1"/>
  <c r="R56" i="21" s="1"/>
  <c r="S56" i="21" s="1" a="1"/>
  <c r="S56" i="21" s="1"/>
  <c r="T56" i="21" s="1" a="1"/>
  <c r="T56" i="21" s="1"/>
  <c r="AA56" i="21" a="1"/>
  <c r="AA56" i="21" s="1"/>
  <c r="P56" i="21" a="1"/>
  <c r="P56" i="21" s="1"/>
  <c r="Q56" i="21" s="1" a="1"/>
  <c r="Q56" i="21" s="1"/>
  <c r="Z56" i="21" a="1"/>
  <c r="Z56" i="21" s="1"/>
  <c r="O56" i="21" a="1"/>
  <c r="O56" i="21" s="1"/>
  <c r="R7" i="21" a="1"/>
  <c r="R7" i="21" s="1"/>
  <c r="S7" i="21" s="1" a="1"/>
  <c r="S7" i="21" s="1"/>
  <c r="N65" i="21" a="1"/>
  <c r="N65" i="21" s="1"/>
  <c r="L16" i="21" a="1"/>
  <c r="L16" i="21" s="1"/>
  <c r="M16" i="21" s="1" a="1"/>
  <c r="M16" i="21" s="1"/>
  <c r="L88" i="21" a="1"/>
  <c r="L88" i="21" s="1"/>
  <c r="M88" i="21" s="1" a="1"/>
  <c r="M88" i="21" s="1"/>
  <c r="N35" i="21" a="1"/>
  <c r="N35" i="21" s="1"/>
  <c r="O35" i="21" s="1" a="1"/>
  <c r="O35" i="21" s="1"/>
  <c r="P35" i="21" s="1" a="1"/>
  <c r="P35" i="21" s="1"/>
  <c r="Q35" i="21" s="1" a="1"/>
  <c r="Q35" i="21" s="1"/>
  <c r="R35" i="21" s="1" a="1"/>
  <c r="R35" i="21" s="1"/>
  <c r="S35" i="21" s="1" a="1"/>
  <c r="S35" i="21" s="1"/>
  <c r="T35" i="21" s="1" a="1"/>
  <c r="T35" i="21" s="1"/>
  <c r="U35" i="21" s="1" a="1"/>
  <c r="U35" i="21" s="1"/>
  <c r="V35" i="21" s="1" a="1"/>
  <c r="V35" i="21" s="1"/>
  <c r="W35" i="21" s="1" a="1"/>
  <c r="W35" i="21" s="1"/>
  <c r="X35" i="21" s="1" a="1"/>
  <c r="X35" i="21" s="1"/>
  <c r="Y35" i="21" s="1" a="1"/>
  <c r="Y35" i="21" s="1"/>
  <c r="Z35" i="21" s="1" a="1"/>
  <c r="Z35" i="21" s="1"/>
  <c r="AA35" i="21" s="1" a="1"/>
  <c r="AA35" i="21" s="1"/>
  <c r="AB35" i="21" s="1" a="1"/>
  <c r="AB35" i="21" s="1"/>
  <c r="L25" i="21" a="1"/>
  <c r="L25" i="21" s="1"/>
  <c r="L8" i="21" a="1"/>
  <c r="L8" i="21" s="1"/>
  <c r="M8" i="21" s="1" a="1"/>
  <c r="M8" i="21" s="1"/>
  <c r="U89" i="21" a="1"/>
  <c r="U89" i="21" s="1"/>
  <c r="M95" i="21" a="1"/>
  <c r="M95" i="21" s="1"/>
  <c r="N95" i="21" s="1" a="1"/>
  <c r="N95" i="21" s="1"/>
  <c r="O95" i="21" s="1" a="1"/>
  <c r="O95" i="21" s="1"/>
  <c r="P95" i="21" s="1" a="1"/>
  <c r="P95" i="21" s="1"/>
  <c r="O82" i="21" a="1"/>
  <c r="O82" i="21" s="1"/>
  <c r="P82" i="21" s="1" a="1"/>
  <c r="P82" i="21" s="1"/>
  <c r="S82" i="21" a="1"/>
  <c r="S82" i="21" s="1"/>
  <c r="Y82" i="21" a="1"/>
  <c r="Y82" i="21" s="1"/>
  <c r="Z82" i="21" s="1" a="1"/>
  <c r="Z82" i="21" s="1"/>
  <c r="T82" i="21" a="1"/>
  <c r="T82" i="21" s="1"/>
  <c r="U82" i="21" s="1" a="1"/>
  <c r="U82" i="21" s="1"/>
  <c r="V82" i="21" s="1" a="1"/>
  <c r="V82" i="21" s="1"/>
  <c r="R82" i="21" a="1"/>
  <c r="R82" i="21" s="1"/>
  <c r="AA82" i="21" a="1"/>
  <c r="AA82" i="21" s="1"/>
  <c r="W82" i="21" a="1"/>
  <c r="W82" i="21" s="1"/>
  <c r="X82" i="21" a="1"/>
  <c r="X82" i="21" s="1"/>
  <c r="AB82" i="21" a="1"/>
  <c r="AB82" i="21" s="1"/>
  <c r="Q82" i="21" a="1"/>
  <c r="Q82" i="21" s="1"/>
  <c r="O69" i="21" a="1"/>
  <c r="O69" i="21" s="1"/>
  <c r="P69" i="21" s="1" a="1"/>
  <c r="P69" i="21" s="1"/>
  <c r="Q69" i="21" s="1" a="1"/>
  <c r="Q69" i="21" s="1"/>
  <c r="R69" i="21" s="1" a="1"/>
  <c r="R69" i="21" s="1"/>
  <c r="S69" i="21" s="1" a="1"/>
  <c r="S69" i="21" s="1"/>
  <c r="T69" i="21" s="1" a="1"/>
  <c r="T69" i="21" s="1"/>
  <c r="U69" i="21" s="1" a="1"/>
  <c r="U69" i="21" s="1"/>
  <c r="V69" i="21" s="1" a="1"/>
  <c r="V69" i="21" s="1"/>
  <c r="W69" i="21" s="1" a="1"/>
  <c r="W69" i="21" s="1"/>
  <c r="AA103" i="21" a="1"/>
  <c r="AA103" i="21" s="1"/>
  <c r="N59" i="21" a="1"/>
  <c r="N59" i="21" s="1"/>
  <c r="O59" i="21" s="1" a="1"/>
  <c r="O59" i="21" s="1"/>
  <c r="P59" i="21" s="1" a="1"/>
  <c r="P59" i="21" s="1"/>
  <c r="O45" i="21" a="1"/>
  <c r="O45" i="21" s="1"/>
  <c r="O23" i="21" a="1"/>
  <c r="O23" i="21" s="1"/>
  <c r="P23" i="21" s="1" a="1"/>
  <c r="P23" i="21" s="1"/>
  <c r="Q23" i="21" s="1" a="1"/>
  <c r="Q23" i="21" s="1"/>
  <c r="R23" i="21" s="1" a="1"/>
  <c r="R23" i="21" s="1"/>
  <c r="S23" i="21" s="1" a="1"/>
  <c r="S23" i="21" s="1"/>
  <c r="T23" i="21" s="1" a="1"/>
  <c r="T23" i="21" s="1"/>
  <c r="U23" i="21" s="1" a="1"/>
  <c r="U23" i="21" s="1"/>
  <c r="V23" i="21" s="1" a="1"/>
  <c r="V23" i="21" s="1"/>
  <c r="W23" i="21" s="1" a="1"/>
  <c r="W23" i="21" s="1"/>
  <c r="X23" i="21" s="1" a="1"/>
  <c r="X23" i="21" s="1"/>
  <c r="Y23" i="21" s="1" a="1"/>
  <c r="Y23" i="21" s="1"/>
  <c r="Z23" i="21" s="1" a="1"/>
  <c r="Z23" i="21" s="1"/>
  <c r="AA23" i="21" s="1" a="1"/>
  <c r="AA23" i="21" s="1"/>
  <c r="AB23" i="21" s="1" a="1"/>
  <c r="AB23" i="21" s="1"/>
  <c r="M100" i="21" a="1"/>
  <c r="M100" i="21" s="1"/>
  <c r="V100" i="21" s="1" a="1"/>
  <c r="V100" i="21" s="1"/>
  <c r="N100" i="21" a="1"/>
  <c r="N100" i="21" s="1"/>
  <c r="AB100" i="21" s="1" a="1"/>
  <c r="AB100" i="21" s="1"/>
  <c r="P83" i="21" a="1"/>
  <c r="P83" i="21" s="1"/>
  <c r="O83" i="21" a="1"/>
  <c r="O83" i="21" s="1"/>
  <c r="T83" i="21" a="1"/>
  <c r="T83" i="21" s="1"/>
  <c r="V83" i="21" a="1"/>
  <c r="V83" i="21" s="1"/>
  <c r="S83" i="21" a="1"/>
  <c r="S83" i="21" s="1"/>
  <c r="W83" i="21" a="1"/>
  <c r="W83" i="21" s="1"/>
  <c r="X83" i="21" s="1" a="1"/>
  <c r="X83" i="21" s="1"/>
  <c r="AA83" i="21" a="1"/>
  <c r="AA83" i="21" s="1"/>
  <c r="AB83" i="21" s="1" a="1"/>
  <c r="AB83" i="21" s="1"/>
  <c r="Q83" i="21" a="1"/>
  <c r="Q83" i="21" s="1"/>
  <c r="R83" i="21" s="1" a="1"/>
  <c r="R83" i="21" s="1"/>
  <c r="U83" i="21" a="1"/>
  <c r="U83" i="21" s="1"/>
  <c r="M31" i="21" a="1"/>
  <c r="M31" i="21" s="1"/>
  <c r="P28" i="21" a="1"/>
  <c r="P28" i="21" s="1"/>
  <c r="X103" i="21" a="1"/>
  <c r="X103" i="21" s="1"/>
  <c r="V75" i="21" a="1"/>
  <c r="V75" i="21" s="1"/>
  <c r="W75" i="21" s="1" a="1"/>
  <c r="W75" i="21" s="1"/>
  <c r="X75" i="21" s="1" a="1"/>
  <c r="X75" i="21" s="1"/>
  <c r="Y75" i="21" s="1" a="1"/>
  <c r="Y75" i="21" s="1"/>
  <c r="AA75" i="21" a="1"/>
  <c r="AA75" i="21" s="1"/>
  <c r="Z75" i="21" a="1"/>
  <c r="Z75" i="21" s="1"/>
  <c r="O75" i="21" a="1"/>
  <c r="O75" i="21" s="1"/>
  <c r="R75" i="21" a="1"/>
  <c r="R75" i="21" s="1"/>
  <c r="S75" i="21" s="1" a="1"/>
  <c r="S75" i="21" s="1"/>
  <c r="T75" i="21" s="1" a="1"/>
  <c r="T75" i="21" s="1"/>
  <c r="U75" i="21" s="1" a="1"/>
  <c r="U75" i="21" s="1"/>
  <c r="AB75" i="21" a="1"/>
  <c r="AB75" i="21" s="1"/>
  <c r="P75" i="21" a="1"/>
  <c r="P75" i="21" s="1"/>
  <c r="Q75" i="21" s="1" a="1"/>
  <c r="Q75" i="21" s="1"/>
  <c r="U66" i="21" a="1"/>
  <c r="U66" i="21" s="1"/>
  <c r="P41" i="21" a="1"/>
  <c r="P41" i="21" s="1"/>
  <c r="Q41" i="21" a="1"/>
  <c r="Q41" i="21" s="1"/>
  <c r="R41" i="21" s="1" a="1"/>
  <c r="R41" i="21" s="1"/>
  <c r="AA66" i="21" a="1"/>
  <c r="AA66" i="21" s="1"/>
  <c r="AA47" i="21" a="1"/>
  <c r="AA47" i="21" s="1"/>
  <c r="AB47" i="21" s="1" a="1"/>
  <c r="AB47" i="21" s="1"/>
  <c r="P91" i="21" a="1"/>
  <c r="P91" i="21" s="1"/>
  <c r="Q91" i="21" s="1" a="1"/>
  <c r="Q91" i="21" s="1"/>
  <c r="R91" i="21" a="1"/>
  <c r="R91" i="21" s="1"/>
  <c r="AA91" i="21" a="1"/>
  <c r="AA91" i="21" s="1"/>
  <c r="AB91" i="21" s="1" a="1"/>
  <c r="AB91" i="21" s="1"/>
  <c r="S91" i="21" a="1"/>
  <c r="S91" i="21" s="1"/>
  <c r="T91" i="21" s="1" a="1"/>
  <c r="T91" i="21" s="1"/>
  <c r="U91" i="21" s="1" a="1"/>
  <c r="U91" i="21" s="1"/>
  <c r="Y91" i="21" a="1"/>
  <c r="Y91" i="21" s="1"/>
  <c r="Z91" i="21" s="1" a="1"/>
  <c r="Z91" i="21" s="1"/>
  <c r="W91" i="21" a="1"/>
  <c r="W91" i="21" s="1"/>
  <c r="X91" i="21" s="1" a="1"/>
  <c r="X91" i="21" s="1"/>
  <c r="O91" i="21" a="1"/>
  <c r="O91" i="21" s="1"/>
  <c r="X50" i="21" a="1"/>
  <c r="X50" i="21" s="1"/>
  <c r="Y50" i="21" s="1" a="1"/>
  <c r="Y50" i="21" s="1"/>
  <c r="Z50" i="21" s="1" a="1"/>
  <c r="Z50" i="21" s="1"/>
  <c r="AB50" i="21" a="1"/>
  <c r="AB50" i="21" s="1"/>
  <c r="AA50" i="21" a="1"/>
  <c r="AA50" i="21" s="1"/>
  <c r="T50" i="21" a="1"/>
  <c r="T50" i="21" s="1"/>
  <c r="U50" i="21" s="1" a="1"/>
  <c r="U50" i="21" s="1"/>
  <c r="V50" i="21" s="1" a="1"/>
  <c r="V50" i="21" s="1"/>
  <c r="W50" i="21" s="1" a="1"/>
  <c r="W50" i="21" s="1"/>
  <c r="V116" i="21" a="1"/>
  <c r="V116" i="21" s="1"/>
  <c r="W116" i="21" s="1" a="1"/>
  <c r="W116" i="21" s="1"/>
  <c r="O116" i="21" a="1"/>
  <c r="O116" i="21" s="1"/>
  <c r="P116" i="21" a="1"/>
  <c r="P116" i="21" s="1"/>
  <c r="Q116" i="21" s="1" a="1"/>
  <c r="Q116" i="21" s="1"/>
  <c r="R116" i="21" s="1" a="1"/>
  <c r="R116" i="21" s="1"/>
  <c r="X116" i="21" a="1"/>
  <c r="X116" i="21" s="1"/>
  <c r="Y116" i="21" s="1" a="1"/>
  <c r="Y116" i="21" s="1"/>
  <c r="Z116" i="21" s="1" a="1"/>
  <c r="Z116" i="21" s="1"/>
  <c r="AA116" i="21" s="1" a="1"/>
  <c r="AA116" i="21" s="1"/>
  <c r="AB116" i="21" a="1"/>
  <c r="AB116" i="21" s="1"/>
  <c r="S116" i="21" a="1"/>
  <c r="S116" i="21" s="1"/>
  <c r="AB103" i="21" a="1"/>
  <c r="AB103" i="21" s="1"/>
  <c r="AA55" i="21" a="1"/>
  <c r="AA55" i="21" s="1"/>
  <c r="AB55" i="21" s="1" a="1"/>
  <c r="AB55" i="21" s="1"/>
  <c r="S55" i="21" a="1"/>
  <c r="S55" i="21" s="1"/>
  <c r="T55" i="21" s="1" a="1"/>
  <c r="T55" i="21" s="1"/>
  <c r="U55" i="21" s="1" a="1"/>
  <c r="U55" i="21" s="1"/>
  <c r="V55" i="21" s="1" a="1"/>
  <c r="V55" i="21" s="1"/>
  <c r="W55" i="21" s="1" a="1"/>
  <c r="W55" i="21" s="1"/>
  <c r="X55" i="21" a="1"/>
  <c r="X55" i="21" s="1"/>
  <c r="Y55" i="21" s="1" a="1"/>
  <c r="Y55" i="21" s="1"/>
  <c r="Z55" i="21" s="1" a="1"/>
  <c r="Z55" i="21" s="1"/>
  <c r="O21" i="21" a="1"/>
  <c r="O21" i="21" s="1"/>
  <c r="P21" i="21" s="1" a="1"/>
  <c r="P21" i="21" s="1"/>
  <c r="Q21" i="21" s="1" a="1"/>
  <c r="Q21" i="21" s="1"/>
  <c r="R21" i="21" s="1" a="1"/>
  <c r="R21" i="21" s="1"/>
  <c r="S21" i="21" s="1" a="1"/>
  <c r="S21" i="21" s="1"/>
  <c r="T21" i="21" s="1" a="1"/>
  <c r="T21" i="21" s="1"/>
  <c r="U21" i="21" s="1" a="1"/>
  <c r="U21" i="21" s="1"/>
  <c r="V21" i="21" s="1" a="1"/>
  <c r="V21" i="21" s="1"/>
  <c r="W21" i="21" s="1" a="1"/>
  <c r="W21" i="21" s="1"/>
  <c r="X21" i="21" s="1" a="1"/>
  <c r="X21" i="21" s="1"/>
  <c r="Y21" i="21" s="1" a="1"/>
  <c r="Y21" i="21" s="1"/>
  <c r="Z21" i="21" s="1" a="1"/>
  <c r="Z21" i="21" s="1"/>
  <c r="AA21" i="21" s="1" a="1"/>
  <c r="AA21" i="21" s="1"/>
  <c r="AB21" i="21" s="1" a="1"/>
  <c r="AB21" i="21" s="1"/>
  <c r="O12" i="21" a="1"/>
  <c r="O12" i="21" s="1"/>
  <c r="L4" i="21" a="1"/>
  <c r="L4" i="21" s="1"/>
  <c r="M4" i="21" s="1" a="1"/>
  <c r="M4" i="21" s="1"/>
  <c r="N4" i="21" s="1" a="1"/>
  <c r="N4" i="21" s="1"/>
  <c r="O4" i="21" s="1" a="1"/>
  <c r="O4" i="21" s="1"/>
  <c r="P4" i="21" s="1" a="1"/>
  <c r="P4" i="21" s="1"/>
  <c r="X20" i="21" a="1"/>
  <c r="X20" i="21" s="1"/>
  <c r="Y20" i="21" s="1" a="1"/>
  <c r="Y20" i="21" s="1"/>
  <c r="Z20" i="21" s="1" a="1"/>
  <c r="Z20" i="21" s="1"/>
  <c r="AA20" i="21" s="1" a="1"/>
  <c r="AA20" i="21" s="1"/>
  <c r="AB20" i="21" s="1" a="1"/>
  <c r="AB20" i="21" s="1"/>
  <c r="L29" i="21" a="1"/>
  <c r="L29" i="21" s="1"/>
  <c r="L74" i="21" a="1"/>
  <c r="L74" i="21" s="1"/>
  <c r="X47" i="21" a="1"/>
  <c r="X47" i="21" s="1"/>
  <c r="Y47" i="21" s="1" a="1"/>
  <c r="Y47" i="21" s="1"/>
  <c r="Z47" i="21" s="1" a="1"/>
  <c r="Z47" i="21" s="1"/>
  <c r="P57" i="21" a="1"/>
  <c r="P57" i="21" s="1"/>
  <c r="Q57" i="21" s="1" a="1"/>
  <c r="Q57" i="21" s="1"/>
  <c r="R57" i="21" s="1" a="1"/>
  <c r="R57" i="21" s="1"/>
  <c r="O57" i="21" a="1"/>
  <c r="O57" i="21" s="1"/>
  <c r="U57" i="21" a="1"/>
  <c r="U57" i="21" s="1"/>
  <c r="S57" i="21" a="1"/>
  <c r="S57" i="21" s="1"/>
  <c r="T57" i="21" s="1" a="1"/>
  <c r="T57" i="21" s="1"/>
  <c r="M80" i="21" a="1"/>
  <c r="M80" i="21" s="1"/>
  <c r="N80" i="21" s="1" a="1"/>
  <c r="N80" i="21" s="1"/>
  <c r="X80" i="21" s="1" a="1"/>
  <c r="X80" i="21" s="1"/>
  <c r="Y80" i="21" s="1" a="1"/>
  <c r="Y80" i="21" s="1"/>
  <c r="P19" i="21" a="1"/>
  <c r="P19" i="21" s="1"/>
  <c r="M54" i="21" a="1"/>
  <c r="M54" i="21" s="1"/>
  <c r="M111" i="21" a="1"/>
  <c r="M111" i="21" s="1"/>
  <c r="L17" i="21" a="1"/>
  <c r="L17" i="21" s="1"/>
  <c r="N63" i="21" a="1"/>
  <c r="N63" i="21" s="1"/>
  <c r="O63" i="21" s="1" a="1"/>
  <c r="O63" i="21" s="1"/>
  <c r="S103" i="21" a="1"/>
  <c r="S103" i="21" s="1"/>
  <c r="T103" i="21" s="1" a="1"/>
  <c r="T103" i="21" s="1"/>
  <c r="V103" i="21" a="1"/>
  <c r="V103" i="21" s="1"/>
  <c r="W103" i="21" s="1" a="1"/>
  <c r="W103" i="21" s="1"/>
  <c r="N98" i="21" a="1"/>
  <c r="N98" i="21" s="1"/>
  <c r="AA98" i="21" s="1" a="1"/>
  <c r="AA98" i="21" s="1"/>
  <c r="W22" i="21" a="1"/>
  <c r="W22" i="21" s="1"/>
  <c r="X22" i="21" s="1" a="1"/>
  <c r="X22" i="21" s="1"/>
  <c r="Y22" i="21" s="1" a="1"/>
  <c r="Y22" i="21" s="1"/>
  <c r="Z22" i="21" s="1" a="1"/>
  <c r="Z22" i="21" s="1"/>
  <c r="AA22" i="21" s="1" a="1"/>
  <c r="AA22" i="21" s="1"/>
  <c r="AB22" i="21" s="1" a="1"/>
  <c r="AB22" i="21" s="1"/>
  <c r="P22" i="21" a="1"/>
  <c r="P22" i="21" s="1"/>
  <c r="Q22" i="21" s="1" a="1"/>
  <c r="Q22" i="21" s="1"/>
  <c r="R22" i="21" a="1"/>
  <c r="R22" i="21" s="1"/>
  <c r="S22" i="21" a="1"/>
  <c r="S22" i="21" s="1"/>
  <c r="T22" i="21" s="1" a="1"/>
  <c r="T22" i="21" s="1"/>
  <c r="U22" i="21" s="1" a="1"/>
  <c r="U22" i="21" s="1"/>
  <c r="V22" i="21" a="1"/>
  <c r="V22" i="21" s="1"/>
  <c r="W66" i="21" a="1"/>
  <c r="W66" i="21" s="1"/>
  <c r="Q70" i="21" a="1"/>
  <c r="Q70" i="21" s="1"/>
  <c r="R70" i="21" s="1" a="1"/>
  <c r="R70" i="21" s="1"/>
  <c r="S70" i="21" s="1" a="1"/>
  <c r="S70" i="21" s="1"/>
  <c r="W70" i="21" a="1"/>
  <c r="W70" i="21" s="1"/>
  <c r="X70" i="21" s="1" a="1"/>
  <c r="X70" i="21" s="1"/>
  <c r="Y70" i="21" s="1" a="1"/>
  <c r="Y70" i="21" s="1"/>
  <c r="Z70" i="21" s="1" a="1"/>
  <c r="Z70" i="21" s="1"/>
  <c r="AA70" i="21" s="1" a="1"/>
  <c r="AA70" i="21" s="1"/>
  <c r="AB70" i="21" s="1" a="1"/>
  <c r="AB70" i="21" s="1"/>
  <c r="O61" i="21" a="1"/>
  <c r="O61" i="21" s="1"/>
  <c r="P61" i="21" s="1" a="1"/>
  <c r="P61" i="21" s="1"/>
  <c r="X85" i="21" a="1"/>
  <c r="X85" i="21" s="1"/>
  <c r="Y85" i="21" s="1" a="1"/>
  <c r="Y85" i="21" s="1"/>
  <c r="R85" i="21" a="1"/>
  <c r="R85" i="21" s="1"/>
  <c r="S85" i="21" a="1"/>
  <c r="S85" i="21" s="1"/>
  <c r="AA85" i="21" a="1"/>
  <c r="AA85" i="21" s="1"/>
  <c r="AB85" i="21" s="1" a="1"/>
  <c r="AB85" i="21" s="1"/>
  <c r="U85" i="21" a="1"/>
  <c r="U85" i="21" s="1"/>
  <c r="V85" i="21" s="1" a="1"/>
  <c r="V85" i="21" s="1"/>
  <c r="Q85" i="21" a="1"/>
  <c r="Q85" i="21" s="1"/>
  <c r="T85" i="21" a="1"/>
  <c r="T85" i="21" s="1"/>
  <c r="U15" i="21" a="1"/>
  <c r="U15" i="21" s="1"/>
  <c r="V15" i="21" s="1" a="1"/>
  <c r="V15" i="21" s="1"/>
  <c r="W15" i="21" s="1" a="1"/>
  <c r="W15" i="21" s="1"/>
  <c r="X15" i="21" s="1" a="1"/>
  <c r="X15" i="21" s="1"/>
  <c r="Y15" i="21" a="1"/>
  <c r="Y15" i="21" s="1"/>
  <c r="Z15" i="21" s="1" a="1"/>
  <c r="Z15" i="21" s="1"/>
  <c r="AA15" i="21" s="1" a="1"/>
  <c r="AA15" i="21" s="1"/>
  <c r="AB15" i="21" s="1" a="1"/>
  <c r="AB15" i="21" s="1"/>
  <c r="W85" i="21" a="1"/>
  <c r="W85" i="21" s="1"/>
  <c r="Z85" i="21" a="1"/>
  <c r="Z85" i="21" s="1"/>
  <c r="T70" i="21" a="1"/>
  <c r="T70" i="21" s="1"/>
  <c r="U70" i="21" s="1" a="1"/>
  <c r="U70" i="21" s="1"/>
  <c r="V70" i="21" s="1" a="1"/>
  <c r="V70" i="21" s="1"/>
  <c r="S76" i="21" a="1"/>
  <c r="S76" i="21" s="1"/>
  <c r="T76" i="21" s="1" a="1"/>
  <c r="T76" i="21" s="1"/>
  <c r="U76" i="21" s="1" a="1"/>
  <c r="U76" i="21" s="1"/>
  <c r="V76" i="21" s="1" a="1"/>
  <c r="V76" i="21" s="1"/>
  <c r="W76" i="21" s="1" a="1"/>
  <c r="W76" i="21" s="1"/>
  <c r="X76" i="21" s="1" a="1"/>
  <c r="X76" i="21" s="1"/>
  <c r="Y76" i="21" s="1" a="1"/>
  <c r="Y76" i="21" s="1"/>
  <c r="Z76" i="21" s="1" a="1"/>
  <c r="Z76" i="21" s="1"/>
  <c r="AA76" i="21" s="1" a="1"/>
  <c r="AA76" i="21" s="1"/>
  <c r="AB76" i="21" s="1" a="1"/>
  <c r="AB76" i="21" s="1"/>
  <c r="O37" i="21" a="1"/>
  <c r="O37" i="21" s="1"/>
  <c r="P37" i="21" s="1" a="1"/>
  <c r="P37" i="21" s="1"/>
  <c r="Q37" i="21" s="1" a="1"/>
  <c r="Q37" i="21" s="1"/>
  <c r="R37" i="21" s="1" a="1"/>
  <c r="R37" i="21" s="1"/>
  <c r="S37" i="21" s="1" a="1"/>
  <c r="S37" i="21" s="1"/>
  <c r="T37" i="21" s="1" a="1"/>
  <c r="T37" i="21" s="1"/>
  <c r="U37" i="21" s="1" a="1"/>
  <c r="U37" i="21" s="1"/>
  <c r="V37" i="21" s="1" a="1"/>
  <c r="V37" i="21" s="1"/>
  <c r="W37" i="21" s="1" a="1"/>
  <c r="W37" i="21" s="1"/>
  <c r="X37" i="21" s="1" a="1"/>
  <c r="X37" i="21" s="1"/>
  <c r="Y37" i="21" s="1" a="1"/>
  <c r="Y37" i="21" s="1"/>
  <c r="Z37" i="21" s="1" a="1"/>
  <c r="Z37" i="21" s="1"/>
  <c r="AA37" i="21" s="1" a="1"/>
  <c r="AA37" i="21" s="1"/>
  <c r="AB37" i="21" s="1" a="1"/>
  <c r="AB37" i="21" s="1"/>
  <c r="K11" i="9"/>
  <c r="J12" i="9" s="1"/>
  <c r="I11" i="9"/>
  <c r="Y96" i="21" l="1" a="1"/>
  <c r="Y96" i="21" s="1"/>
  <c r="AA96" i="21" a="1"/>
  <c r="AA96" i="21" s="1"/>
  <c r="P96" i="21" a="1"/>
  <c r="P96" i="21" s="1"/>
  <c r="R96" i="21" a="1"/>
  <c r="R96" i="21" s="1"/>
  <c r="S96" i="21" s="1" a="1"/>
  <c r="S96" i="21" s="1"/>
  <c r="T96" i="21" s="1" a="1"/>
  <c r="T96" i="21" s="1"/>
  <c r="U96" i="21" s="1" a="1"/>
  <c r="U96" i="21" s="1"/>
  <c r="V96" i="21" s="1" a="1"/>
  <c r="V96" i="21" s="1"/>
  <c r="W96" i="21" s="1" a="1"/>
  <c r="W96" i="21" s="1"/>
  <c r="X96" i="21" s="1" a="1"/>
  <c r="X96" i="21" s="1"/>
  <c r="T62" i="21" a="1"/>
  <c r="T62" i="21" s="1"/>
  <c r="U62" i="21" a="1"/>
  <c r="U62" i="21" s="1"/>
  <c r="V62" i="21" s="1" a="1"/>
  <c r="V62" i="21" s="1"/>
  <c r="W100" i="21" a="1"/>
  <c r="W100" i="21" s="1"/>
  <c r="U41" i="21" a="1"/>
  <c r="U41" i="21" s="1"/>
  <c r="U100" i="21" a="1"/>
  <c r="U100" i="21" s="1"/>
  <c r="O100" i="21" a="1"/>
  <c r="O100" i="21" s="1"/>
  <c r="R103" i="21" a="1"/>
  <c r="R103" i="21" s="1"/>
  <c r="S66" i="21" a="1"/>
  <c r="S66" i="21" s="1"/>
  <c r="Q100" i="21" a="1"/>
  <c r="Q100" i="21" s="1"/>
  <c r="X100" i="21" a="1"/>
  <c r="X100" i="21" s="1"/>
  <c r="Y103" i="21" a="1"/>
  <c r="Y103" i="21" s="1"/>
  <c r="P98" i="21" a="1"/>
  <c r="P98" i="21" s="1"/>
  <c r="O52" i="21" a="1"/>
  <c r="O52" i="21" s="1"/>
  <c r="P66" i="21" a="1"/>
  <c r="P66" i="21" s="1"/>
  <c r="T100" i="21" a="1"/>
  <c r="T100" i="21" s="1"/>
  <c r="Z100" i="21" a="1"/>
  <c r="Z100" i="21" s="1"/>
  <c r="AA100" i="21" a="1"/>
  <c r="AA100" i="21" s="1"/>
  <c r="Y69" i="21" a="1"/>
  <c r="Y69" i="21" s="1"/>
  <c r="Z69" i="21" s="1" a="1"/>
  <c r="Z69" i="21" s="1"/>
  <c r="AA69" i="21" s="1" a="1"/>
  <c r="AA69" i="21" s="1"/>
  <c r="AB69" i="21" s="1" a="1"/>
  <c r="AB69" i="21" s="1"/>
  <c r="X66" i="21" a="1"/>
  <c r="X66" i="21" s="1"/>
  <c r="R48" i="21" a="1"/>
  <c r="R48" i="21" s="1"/>
  <c r="T48" i="21" s="1" a="1"/>
  <c r="T48" i="21" s="1"/>
  <c r="U48" i="21" s="1" a="1"/>
  <c r="U48" i="21" s="1"/>
  <c r="S48" i="21" a="1"/>
  <c r="S48" i="21" s="1"/>
  <c r="R100" i="21" a="1"/>
  <c r="R100" i="21" s="1"/>
  <c r="Z103" i="21" a="1"/>
  <c r="Z103" i="21" s="1"/>
  <c r="S101" i="21" a="1"/>
  <c r="S101" i="21" s="1"/>
  <c r="Y100" i="21" a="1"/>
  <c r="Y100" i="21" s="1"/>
  <c r="S100" i="21" a="1"/>
  <c r="S100" i="21" s="1"/>
  <c r="R78" i="21" a="1"/>
  <c r="R78" i="21" s="1"/>
  <c r="R84" i="21" a="1"/>
  <c r="R84" i="21" s="1"/>
  <c r="S84" i="21" s="1" a="1"/>
  <c r="S84" i="21" s="1"/>
  <c r="V98" i="21" a="1"/>
  <c r="V98" i="21" s="1"/>
  <c r="W98" i="21" s="1" a="1"/>
  <c r="W98" i="21" s="1"/>
  <c r="Z98" i="21" a="1"/>
  <c r="Z98" i="21" s="1"/>
  <c r="U98" i="21" a="1"/>
  <c r="U98" i="21" s="1"/>
  <c r="AA41" i="21" a="1"/>
  <c r="AA41" i="21" s="1"/>
  <c r="P73" i="21" a="1"/>
  <c r="P73" i="21" s="1"/>
  <c r="Q73" i="21" s="1" a="1"/>
  <c r="Q73" i="21" s="1"/>
  <c r="R73" i="21" s="1" a="1"/>
  <c r="R73" i="21" s="1"/>
  <c r="N111" i="21" a="1"/>
  <c r="N111" i="21" s="1"/>
  <c r="P111" i="21" s="1" a="1"/>
  <c r="P111" i="21" s="1"/>
  <c r="P100" i="21" a="1"/>
  <c r="P100" i="21" s="1"/>
  <c r="S41" i="21" a="1"/>
  <c r="S41" i="21" s="1"/>
  <c r="T41" i="21" s="1" a="1"/>
  <c r="T41" i="21" s="1"/>
  <c r="X98" i="21" a="1"/>
  <c r="X98" i="21" s="1"/>
  <c r="Y98" i="21" a="1"/>
  <c r="Y98" i="21" s="1"/>
  <c r="Q98" i="21" a="1"/>
  <c r="Q98" i="21" s="1"/>
  <c r="R98" i="21" s="1" a="1"/>
  <c r="R98" i="21" s="1"/>
  <c r="W111" i="21" a="1"/>
  <c r="W111" i="21" s="1"/>
  <c r="T98" i="21" a="1"/>
  <c r="T98" i="21" s="1"/>
  <c r="Y41" i="21" a="1"/>
  <c r="Y41" i="21" s="1"/>
  <c r="O98" i="21" a="1"/>
  <c r="O98" i="21" s="1"/>
  <c r="S98" i="21" a="1"/>
  <c r="S98" i="21" s="1"/>
  <c r="Y111" i="21" a="1"/>
  <c r="Y111" i="21" s="1"/>
  <c r="AB41" i="21" a="1"/>
  <c r="AB41" i="21" s="1"/>
  <c r="P103" i="21" a="1"/>
  <c r="P103" i="21" s="1"/>
  <c r="O66" i="21" a="1"/>
  <c r="O66" i="21" s="1"/>
  <c r="R111" i="21" a="1"/>
  <c r="R111" i="21" s="1"/>
  <c r="P106" i="21" a="1"/>
  <c r="P106" i="21" s="1"/>
  <c r="Q111" i="21" a="1"/>
  <c r="Q111" i="21" s="1"/>
  <c r="P45" i="21" a="1"/>
  <c r="P45" i="21" s="1"/>
  <c r="S111" i="21" a="1"/>
  <c r="S111" i="21" s="1"/>
  <c r="X111" i="21" a="1"/>
  <c r="X111" i="21" s="1"/>
  <c r="X69" i="21" a="1"/>
  <c r="X69" i="21" s="1"/>
  <c r="Z41" i="21" a="1"/>
  <c r="Z41" i="21" s="1"/>
  <c r="V41" i="21" a="1"/>
  <c r="V41" i="21" s="1"/>
  <c r="W41" i="21" s="1" a="1"/>
  <c r="W41" i="21" s="1"/>
  <c r="X41" i="21" s="1" a="1"/>
  <c r="X41" i="21" s="1"/>
  <c r="AB111" i="21" a="1"/>
  <c r="AB111" i="21" s="1"/>
  <c r="Z111" i="21" a="1"/>
  <c r="Z111" i="21" s="1"/>
  <c r="AB98" i="21" a="1"/>
  <c r="AB98" i="21" s="1"/>
  <c r="O103" i="21" a="1"/>
  <c r="O103" i="21" s="1"/>
  <c r="V111" i="21" a="1"/>
  <c r="V111" i="21" s="1"/>
  <c r="P52" i="21" a="1"/>
  <c r="P52" i="21" s="1"/>
  <c r="Y52" i="21" s="1" a="1"/>
  <c r="Y52" i="21" s="1"/>
  <c r="O65" i="21" a="1"/>
  <c r="O65" i="21" s="1"/>
  <c r="O96" i="21" a="1"/>
  <c r="O96" i="21" s="1"/>
  <c r="Q96" i="21" a="1"/>
  <c r="Q96" i="21" s="1"/>
  <c r="O58" i="21" a="1"/>
  <c r="O58" i="21" s="1"/>
  <c r="P58" i="21" s="1" a="1"/>
  <c r="P58" i="21" s="1"/>
  <c r="S58" i="21" s="1" a="1"/>
  <c r="S58" i="21" s="1"/>
  <c r="T63" i="21" a="1"/>
  <c r="T63" i="21" s="1"/>
  <c r="U33" i="21" a="1"/>
  <c r="U33" i="21" s="1"/>
  <c r="V33" i="21" s="1" a="1"/>
  <c r="V33" i="21" s="1"/>
  <c r="Z96" i="21" a="1"/>
  <c r="Z96" i="21" s="1"/>
  <c r="N88" i="21" a="1"/>
  <c r="N88" i="21" s="1"/>
  <c r="O88" i="21" s="1" a="1"/>
  <c r="O88" i="21" s="1"/>
  <c r="P88" i="21" s="1" a="1"/>
  <c r="P88" i="21" s="1"/>
  <c r="Q88" i="21" s="1" a="1"/>
  <c r="Q88" i="21" s="1"/>
  <c r="R88" i="21" s="1" a="1"/>
  <c r="R88" i="21" s="1"/>
  <c r="W33" i="21" a="1"/>
  <c r="W33" i="21" s="1"/>
  <c r="X33" i="21" s="1" a="1"/>
  <c r="X33" i="21" s="1"/>
  <c r="Y33" i="21" s="1" a="1"/>
  <c r="Y33" i="21" s="1"/>
  <c r="Z33" i="21" s="1" a="1"/>
  <c r="Z33" i="21" s="1"/>
  <c r="AA13" i="21" a="1"/>
  <c r="AA13" i="21" s="1"/>
  <c r="AB13" i="21" s="1" a="1"/>
  <c r="AB13" i="21" s="1"/>
  <c r="AA33" i="21" a="1"/>
  <c r="AA33" i="21" s="1"/>
  <c r="AB33" i="21" s="1" a="1"/>
  <c r="AB33" i="21" s="1"/>
  <c r="U13" i="21" a="1"/>
  <c r="U13" i="21" s="1"/>
  <c r="V13" i="21" s="1" a="1"/>
  <c r="V13" i="21" s="1"/>
  <c r="W13" i="21" s="1" a="1"/>
  <c r="W13" i="21" s="1"/>
  <c r="X13" i="21" s="1" a="1"/>
  <c r="X13" i="21" s="1"/>
  <c r="Y13" i="21" s="1" a="1"/>
  <c r="Y13" i="21" s="1"/>
  <c r="Z13" i="21" s="1" a="1"/>
  <c r="Z13" i="21" s="1"/>
  <c r="M29" i="21" a="1"/>
  <c r="M29" i="21" s="1"/>
  <c r="N29" i="21" s="1" a="1"/>
  <c r="N29" i="21" s="1"/>
  <c r="Q59" i="21" a="1"/>
  <c r="Q59" i="21" s="1"/>
  <c r="M25" i="21" a="1"/>
  <c r="M25" i="21" s="1"/>
  <c r="N25" i="21" s="1" a="1"/>
  <c r="N25" i="21" s="1"/>
  <c r="P63" i="21" a="1"/>
  <c r="P63" i="21" s="1"/>
  <c r="Z59" i="21" a="1"/>
  <c r="Z59" i="21" s="1"/>
  <c r="AA59" i="21" s="1" a="1"/>
  <c r="AA59" i="21" s="1"/>
  <c r="AB59" i="21" s="1" a="1"/>
  <c r="AB59" i="21" s="1"/>
  <c r="V63" i="21" a="1"/>
  <c r="V63" i="21" s="1"/>
  <c r="W63" i="21" s="1" a="1"/>
  <c r="W63" i="21" s="1"/>
  <c r="N31" i="21" a="1"/>
  <c r="N31" i="21" s="1"/>
  <c r="O31" i="21" s="1" a="1"/>
  <c r="O31" i="21" s="1"/>
  <c r="U59" i="21" a="1"/>
  <c r="U59" i="21" s="1"/>
  <c r="V59" i="21" s="1" a="1"/>
  <c r="V59" i="21" s="1"/>
  <c r="W59" i="21" s="1" a="1"/>
  <c r="W59" i="21" s="1"/>
  <c r="X59" i="21" s="1" a="1"/>
  <c r="X59" i="21" s="1"/>
  <c r="Y59" i="21" s="1" a="1"/>
  <c r="Y59" i="21" s="1"/>
  <c r="T33" i="21" a="1"/>
  <c r="T33" i="21" s="1"/>
  <c r="Q63" i="21" a="1"/>
  <c r="Q63" i="21" s="1"/>
  <c r="N54" i="21" a="1"/>
  <c r="N54" i="21" s="1"/>
  <c r="P54" i="21" s="1" a="1"/>
  <c r="P54" i="21" s="1"/>
  <c r="N18" i="21" a="1"/>
  <c r="N18" i="21" s="1"/>
  <c r="M74" i="21" a="1"/>
  <c r="M74" i="21" s="1"/>
  <c r="N74" i="21" s="1" a="1"/>
  <c r="N74" i="21" s="1"/>
  <c r="Q19" i="21" a="1"/>
  <c r="Q19" i="21" s="1"/>
  <c r="R19" i="21" s="1" a="1"/>
  <c r="R19" i="21" s="1"/>
  <c r="S19" i="21" s="1" a="1"/>
  <c r="S19" i="21" s="1"/>
  <c r="T19" i="21" s="1" a="1"/>
  <c r="T19" i="21" s="1"/>
  <c r="U19" i="21" s="1" a="1"/>
  <c r="U19" i="21" s="1"/>
  <c r="V19" i="21" s="1" a="1"/>
  <c r="V19" i="21" s="1"/>
  <c r="W19" i="21" s="1" a="1"/>
  <c r="W19" i="21" s="1"/>
  <c r="X19" i="21" s="1" a="1"/>
  <c r="X19" i="21" s="1"/>
  <c r="Y19" i="21" s="1" a="1"/>
  <c r="Y19" i="21" s="1"/>
  <c r="Z19" i="21" s="1" a="1"/>
  <c r="Z19" i="21" s="1"/>
  <c r="AA19" i="21" s="1" a="1"/>
  <c r="AA19" i="21" s="1"/>
  <c r="AB19" i="21" s="1" a="1"/>
  <c r="AB19" i="21" s="1"/>
  <c r="P12" i="21" a="1"/>
  <c r="P12" i="21" s="1"/>
  <c r="Q12" i="21" s="1" a="1"/>
  <c r="Q12" i="21" s="1"/>
  <c r="R12" i="21" s="1" a="1"/>
  <c r="R12" i="21" s="1"/>
  <c r="S12" i="21" s="1" a="1"/>
  <c r="S12" i="21" s="1"/>
  <c r="T12" i="21" s="1" a="1"/>
  <c r="T12" i="21" s="1"/>
  <c r="U12" i="21" s="1" a="1"/>
  <c r="U12" i="21" s="1"/>
  <c r="V12" i="21" s="1" a="1"/>
  <c r="V12" i="21" s="1"/>
  <c r="W12" i="21" s="1" a="1"/>
  <c r="W12" i="21" s="1"/>
  <c r="X12" i="21" s="1" a="1"/>
  <c r="X12" i="21" s="1"/>
  <c r="Y12" i="21" s="1" a="1"/>
  <c r="Y12" i="21" s="1"/>
  <c r="Z12" i="21" s="1" a="1"/>
  <c r="Z12" i="21" s="1"/>
  <c r="AA12" i="21" s="1" a="1"/>
  <c r="AA12" i="21" s="1"/>
  <c r="R59" i="21" a="1"/>
  <c r="R59" i="21" s="1"/>
  <c r="S59" i="21" s="1" a="1"/>
  <c r="S59" i="21" s="1"/>
  <c r="T59" i="21" s="1" a="1"/>
  <c r="T59" i="21" s="1"/>
  <c r="Q95" i="21" a="1"/>
  <c r="Q95" i="21" s="1"/>
  <c r="Y63" i="21" a="1"/>
  <c r="Y63" i="21" s="1"/>
  <c r="Z80" i="21" a="1"/>
  <c r="Z80" i="21" s="1"/>
  <c r="AA80" i="21" s="1" a="1"/>
  <c r="AA80" i="21" s="1"/>
  <c r="AB80" i="21" s="1" a="1"/>
  <c r="AB80" i="21" s="1"/>
  <c r="R63" i="21" a="1"/>
  <c r="R63" i="21" s="1"/>
  <c r="S63" i="21" s="1" a="1"/>
  <c r="S63" i="21" s="1"/>
  <c r="W80" i="21" a="1"/>
  <c r="W80" i="21" s="1"/>
  <c r="N16" i="21" a="1"/>
  <c r="N16" i="21" s="1"/>
  <c r="N8" i="21" a="1"/>
  <c r="N8" i="21" s="1"/>
  <c r="O8" i="21" s="1" a="1"/>
  <c r="O8" i="21" s="1"/>
  <c r="P8" i="21" s="1" a="1"/>
  <c r="P8" i="21" s="1"/>
  <c r="Q8" i="21" s="1" a="1"/>
  <c r="Q8" i="21" s="1"/>
  <c r="R8" i="21" s="1" a="1"/>
  <c r="R8" i="21" s="1"/>
  <c r="S8" i="21" s="1" a="1"/>
  <c r="S8" i="21" s="1"/>
  <c r="T8" i="21" s="1" a="1"/>
  <c r="T8" i="21" s="1"/>
  <c r="U8" i="21" s="1" a="1"/>
  <c r="U8" i="21" s="1"/>
  <c r="V8" i="21" s="1" a="1"/>
  <c r="V8" i="21" s="1"/>
  <c r="W8" i="21" s="1" a="1"/>
  <c r="W8" i="21" s="1"/>
  <c r="X8" i="21" s="1" a="1"/>
  <c r="X8" i="21" s="1"/>
  <c r="Y8" i="21" s="1" a="1"/>
  <c r="Y8" i="21" s="1"/>
  <c r="Z8" i="21" s="1" a="1"/>
  <c r="Z8" i="21" s="1"/>
  <c r="AA8" i="21" s="1" a="1"/>
  <c r="AA8" i="21" s="1"/>
  <c r="AB8" i="21" s="1" a="1"/>
  <c r="AB8" i="21" s="1"/>
  <c r="T7" i="21" a="1"/>
  <c r="T7" i="21" s="1"/>
  <c r="Z63" i="21" a="1"/>
  <c r="Z63" i="21" s="1"/>
  <c r="O80" i="21" a="1"/>
  <c r="O80" i="21" s="1"/>
  <c r="P80" i="21" s="1" a="1"/>
  <c r="P80" i="21" s="1"/>
  <c r="Q80" i="21" s="1" a="1"/>
  <c r="Q80" i="21" s="1"/>
  <c r="R80" i="21" s="1" a="1"/>
  <c r="R80" i="21" s="1"/>
  <c r="S80" i="21" s="1" a="1"/>
  <c r="S80" i="21" s="1"/>
  <c r="T80" i="21" s="1" a="1"/>
  <c r="T80" i="21" s="1"/>
  <c r="U80" i="21" s="1" a="1"/>
  <c r="U80" i="21" s="1"/>
  <c r="V80" i="21" s="1" a="1"/>
  <c r="V80" i="21" s="1"/>
  <c r="Q28" i="21" a="1"/>
  <c r="Q28" i="21" s="1"/>
  <c r="R28" i="21" s="1" a="1"/>
  <c r="R28" i="21" s="1"/>
  <c r="S28" i="21" s="1" a="1"/>
  <c r="S28" i="21" s="1"/>
  <c r="M17" i="21" a="1"/>
  <c r="M17" i="21" s="1"/>
  <c r="N17" i="21" s="1" a="1"/>
  <c r="N17" i="21" s="1"/>
  <c r="O17" i="21" s="1" a="1"/>
  <c r="O17" i="21" s="1"/>
  <c r="P17" i="21" s="1" a="1"/>
  <c r="P17" i="21" s="1"/>
  <c r="U63" i="21" a="1"/>
  <c r="U63" i="21" s="1"/>
  <c r="Q4" i="21" a="1"/>
  <c r="Q4" i="21" s="1"/>
  <c r="R4" i="21" s="1" a="1"/>
  <c r="R4" i="21" s="1"/>
  <c r="S4" i="21" s="1" a="1"/>
  <c r="S4" i="21" s="1"/>
  <c r="M86" i="21" a="1"/>
  <c r="M86" i="21" s="1"/>
  <c r="AA63" i="21" a="1"/>
  <c r="AA63" i="21" s="1"/>
  <c r="AB63" i="21" s="1" a="1"/>
  <c r="AB63" i="21" s="1"/>
  <c r="X63" i="21" a="1"/>
  <c r="X63" i="21" s="1"/>
  <c r="Q61" i="21" a="1"/>
  <c r="Q61" i="21" s="1"/>
  <c r="R61" i="21" s="1" a="1"/>
  <c r="R61" i="21" s="1"/>
  <c r="S61" i="21" s="1" a="1"/>
  <c r="S61" i="21" s="1"/>
  <c r="T61" i="21" s="1" a="1"/>
  <c r="T61" i="21" s="1"/>
  <c r="U61" i="21" s="1" a="1"/>
  <c r="U61" i="21" s="1"/>
  <c r="V61" i="21" a="1"/>
  <c r="V61" i="21" s="1"/>
  <c r="W61" i="21" a="1"/>
  <c r="W61" i="21" s="1"/>
  <c r="X61" i="21" s="1" a="1"/>
  <c r="X61" i="21" s="1"/>
  <c r="Y61" i="21" s="1" a="1"/>
  <c r="Y61" i="21" s="1"/>
  <c r="Z61" i="21" a="1"/>
  <c r="Z61" i="21" s="1"/>
  <c r="AA61" i="21" s="1" a="1"/>
  <c r="AA61" i="21" s="1"/>
  <c r="AB61" i="21" s="1" a="1"/>
  <c r="AB61" i="21" s="1"/>
  <c r="K12" i="9"/>
  <c r="J13" i="9" s="1"/>
  <c r="I12" i="9"/>
  <c r="W62" i="21" l="1" a="1"/>
  <c r="W62" i="21" s="1"/>
  <c r="Y62" i="21" a="1"/>
  <c r="Y62" i="21" s="1"/>
  <c r="X62" i="21" a="1"/>
  <c r="X62" i="21" s="1"/>
  <c r="Z62" i="21" s="1" a="1"/>
  <c r="Z62" i="21" s="1"/>
  <c r="AA62" i="21" s="1" a="1"/>
  <c r="AA62" i="21" s="1"/>
  <c r="T111" i="21" a="1"/>
  <c r="T111" i="21" s="1"/>
  <c r="U111" i="21" s="1" a="1"/>
  <c r="U111" i="21" s="1"/>
  <c r="W48" i="21" a="1"/>
  <c r="W48" i="21" s="1"/>
  <c r="X48" i="21" s="1" a="1"/>
  <c r="X48" i="21" s="1"/>
  <c r="Y48" i="21" s="1" a="1"/>
  <c r="Y48" i="21" s="1"/>
  <c r="V48" i="21" a="1"/>
  <c r="V48" i="21" s="1"/>
  <c r="Z48" i="21" a="1"/>
  <c r="Z48" i="21" s="1"/>
  <c r="AA48" i="21" s="1" a="1"/>
  <c r="AA48" i="21" s="1"/>
  <c r="AB48" i="21" s="1" a="1"/>
  <c r="AB48" i="21" s="1"/>
  <c r="T84" i="21" a="1"/>
  <c r="T84" i="21" s="1"/>
  <c r="U84" i="21" s="1" a="1"/>
  <c r="U84" i="21" s="1"/>
  <c r="AA58" i="21" a="1"/>
  <c r="AA58" i="21" s="1"/>
  <c r="Z58" i="21" a="1"/>
  <c r="Z58" i="21" s="1"/>
  <c r="S73" i="21" a="1"/>
  <c r="S73" i="21" s="1"/>
  <c r="T73" i="21" s="1" a="1"/>
  <c r="T73" i="21" s="1"/>
  <c r="U73" i="21" s="1" a="1"/>
  <c r="U73" i="21" s="1"/>
  <c r="W58" i="21" a="1"/>
  <c r="W58" i="21" s="1"/>
  <c r="Y58" i="21" a="1"/>
  <c r="Y58" i="21" s="1"/>
  <c r="AB58" i="21" a="1"/>
  <c r="AB58" i="21" s="1"/>
  <c r="O111" i="21" a="1"/>
  <c r="O111" i="21" s="1"/>
  <c r="R95" i="21" a="1"/>
  <c r="R95" i="21" s="1"/>
  <c r="R58" i="21" a="1"/>
  <c r="R58" i="21" s="1"/>
  <c r="Q58" i="21" a="1"/>
  <c r="Q58" i="21" s="1"/>
  <c r="T58" i="21" a="1"/>
  <c r="T58" i="21" s="1"/>
  <c r="T52" i="21" a="1"/>
  <c r="T52" i="21" s="1"/>
  <c r="R52" i="21" a="1"/>
  <c r="R52" i="21" s="1"/>
  <c r="V52" i="21" a="1"/>
  <c r="V52" i="21" s="1"/>
  <c r="W52" i="21" s="1" a="1"/>
  <c r="W52" i="21" s="1"/>
  <c r="X52" i="21" s="1" a="1"/>
  <c r="X52" i="21" s="1"/>
  <c r="S52" i="21" a="1"/>
  <c r="S52" i="21" s="1"/>
  <c r="AB52" i="21" a="1"/>
  <c r="AB52" i="21" s="1"/>
  <c r="AA52" i="21" a="1"/>
  <c r="AA52" i="21" s="1"/>
  <c r="Q52" i="21" a="1"/>
  <c r="Q52" i="21" s="1"/>
  <c r="U52" i="21" a="1"/>
  <c r="U52" i="21" s="1"/>
  <c r="Q106" i="21" a="1"/>
  <c r="Q106" i="21" s="1"/>
  <c r="U58" i="21" a="1"/>
  <c r="U58" i="21" s="1"/>
  <c r="V58" i="21" s="1" a="1"/>
  <c r="V58" i="21" s="1"/>
  <c r="P65" i="21" a="1"/>
  <c r="P65" i="21" s="1"/>
  <c r="V65" i="21" s="1" a="1"/>
  <c r="V65" i="21" s="1"/>
  <c r="X58" i="21" a="1"/>
  <c r="X58" i="21" s="1"/>
  <c r="AA111" i="21" a="1"/>
  <c r="AA111" i="21" s="1"/>
  <c r="Z52" i="21" a="1"/>
  <c r="Z52" i="21" s="1"/>
  <c r="Z65" i="21" a="1"/>
  <c r="Z65" i="21" s="1"/>
  <c r="AA65" i="21" s="1" a="1"/>
  <c r="AA65" i="21" s="1"/>
  <c r="Q45" i="21" a="1"/>
  <c r="Q45" i="21" s="1"/>
  <c r="S88" i="21" a="1"/>
  <c r="S88" i="21" s="1"/>
  <c r="T88" i="21" s="1" a="1"/>
  <c r="T88" i="21" s="1"/>
  <c r="U88" i="21" s="1" a="1"/>
  <c r="U88" i="21" s="1"/>
  <c r="V88" i="21" s="1" a="1"/>
  <c r="V88" i="21" s="1"/>
  <c r="W88" i="21" s="1" a="1"/>
  <c r="W88" i="21" s="1"/>
  <c r="X88" i="21" s="1" a="1"/>
  <c r="X88" i="21" s="1"/>
  <c r="Y88" i="21" s="1" a="1"/>
  <c r="Y88" i="21" s="1"/>
  <c r="Z88" i="21" a="1"/>
  <c r="Z88" i="21" s="1"/>
  <c r="AA88" i="21" s="1" a="1"/>
  <c r="AA88" i="21" s="1"/>
  <c r="AB88" i="21" s="1" a="1"/>
  <c r="AB88" i="21" s="1"/>
  <c r="AB12" i="21" a="1"/>
  <c r="AB12" i="21" s="1"/>
  <c r="O54" i="21" a="1"/>
  <c r="O54" i="21" s="1"/>
  <c r="O29" i="21" a="1"/>
  <c r="O29" i="21" s="1"/>
  <c r="P29" i="21" s="1" a="1"/>
  <c r="P29" i="21" s="1"/>
  <c r="Q29" i="21" s="1" a="1"/>
  <c r="Q29" i="21" s="1"/>
  <c r="R29" i="21" s="1" a="1"/>
  <c r="R29" i="21" s="1"/>
  <c r="S29" i="21" s="1" a="1"/>
  <c r="S29" i="21" s="1"/>
  <c r="T29" i="21" s="1" a="1"/>
  <c r="T29" i="21" s="1"/>
  <c r="U29" i="21" s="1" a="1"/>
  <c r="U29" i="21" s="1"/>
  <c r="V29" i="21" s="1" a="1"/>
  <c r="V29" i="21" s="1"/>
  <c r="W29" i="21" s="1" a="1"/>
  <c r="W29" i="21" s="1"/>
  <c r="X29" i="21" s="1" a="1"/>
  <c r="X29" i="21" s="1"/>
  <c r="Y29" i="21" s="1" a="1"/>
  <c r="Y29" i="21" s="1"/>
  <c r="Z29" i="21" s="1" a="1"/>
  <c r="Z29" i="21" s="1"/>
  <c r="AA29" i="21" s="1" a="1"/>
  <c r="AA29" i="21" s="1"/>
  <c r="AB29" i="21" s="1" a="1"/>
  <c r="AB29" i="21" s="1"/>
  <c r="Y54" i="21" a="1"/>
  <c r="Y54" i="21" s="1"/>
  <c r="Z54" i="21" s="1" a="1"/>
  <c r="Z54" i="21" s="1"/>
  <c r="T4" i="21" a="1"/>
  <c r="T4" i="21" s="1"/>
  <c r="U4" i="21" s="1" a="1"/>
  <c r="U4" i="21" s="1"/>
  <c r="V4" i="21" s="1" a="1"/>
  <c r="V4" i="21" s="1"/>
  <c r="W4" i="21" s="1" a="1"/>
  <c r="W4" i="21" s="1"/>
  <c r="X4" i="21" s="1" a="1"/>
  <c r="X4" i="21" s="1"/>
  <c r="Y4" i="21" s="1" a="1"/>
  <c r="Y4" i="21" s="1"/>
  <c r="Z4" i="21" s="1" a="1"/>
  <c r="Z4" i="21" s="1"/>
  <c r="AA4" i="21" s="1" a="1"/>
  <c r="AA4" i="21" s="1"/>
  <c r="AB4" i="21" s="1" a="1"/>
  <c r="AB4" i="21" s="1"/>
  <c r="P31" i="21" a="1"/>
  <c r="P31" i="21" s="1"/>
  <c r="Q31" i="21" s="1" a="1"/>
  <c r="Q31" i="21" s="1"/>
  <c r="R31" i="21" s="1" a="1"/>
  <c r="R31" i="21" s="1"/>
  <c r="S31" i="21" s="1" a="1"/>
  <c r="S31" i="21" s="1"/>
  <c r="T31" i="21" s="1" a="1"/>
  <c r="T31" i="21" s="1"/>
  <c r="U31" i="21" s="1" a="1"/>
  <c r="U31" i="21" s="1"/>
  <c r="V31" i="21" s="1" a="1"/>
  <c r="V31" i="21" s="1"/>
  <c r="W31" i="21" s="1" a="1"/>
  <c r="W31" i="21" s="1"/>
  <c r="X31" i="21" s="1" a="1"/>
  <c r="X31" i="21" s="1"/>
  <c r="Y31" i="21" s="1" a="1"/>
  <c r="Y31" i="21" s="1"/>
  <c r="Z31" i="21" s="1" a="1"/>
  <c r="Z31" i="21" s="1"/>
  <c r="AA31" i="21" s="1" a="1"/>
  <c r="AA31" i="21" s="1"/>
  <c r="AB31" i="21" s="1" a="1"/>
  <c r="AB31" i="21" s="1"/>
  <c r="T54" i="21" a="1"/>
  <c r="T54" i="21" s="1"/>
  <c r="O74" i="21" a="1"/>
  <c r="O74" i="21" s="1"/>
  <c r="N86" i="21" a="1"/>
  <c r="N86" i="21" s="1"/>
  <c r="U7" i="21" a="1"/>
  <c r="U7" i="21" s="1"/>
  <c r="V7" i="21" s="1" a="1"/>
  <c r="V7" i="21" s="1"/>
  <c r="W7" i="21" s="1" a="1"/>
  <c r="W7" i="21" s="1"/>
  <c r="X7" i="21" s="1" a="1"/>
  <c r="X7" i="21" s="1"/>
  <c r="Y7" i="21" s="1" a="1"/>
  <c r="Y7" i="21" s="1"/>
  <c r="Z7" i="21" s="1" a="1"/>
  <c r="Z7" i="21" s="1"/>
  <c r="AA7" i="21" s="1" a="1"/>
  <c r="AA7" i="21" s="1"/>
  <c r="AB7" i="21" s="1" a="1"/>
  <c r="AB7" i="21" s="1"/>
  <c r="V54" i="21" a="1"/>
  <c r="V54" i="21" s="1"/>
  <c r="W54" i="21" s="1" a="1"/>
  <c r="W54" i="21" s="1"/>
  <c r="X54" i="21" s="1" a="1"/>
  <c r="X54" i="21" s="1"/>
  <c r="AA54" i="21" a="1"/>
  <c r="AA54" i="21" s="1"/>
  <c r="AB54" i="21" s="1" a="1"/>
  <c r="AB54" i="21" s="1"/>
  <c r="O25" i="21" a="1"/>
  <c r="O25" i="21" s="1"/>
  <c r="P25" i="21" s="1" a="1"/>
  <c r="P25" i="21" s="1"/>
  <c r="Q25" i="21" s="1" a="1"/>
  <c r="Q25" i="21" s="1"/>
  <c r="Q17" i="21" a="1"/>
  <c r="Q17" i="21" s="1"/>
  <c r="R17" i="21" s="1" a="1"/>
  <c r="R17" i="21" s="1"/>
  <c r="S17" i="21" s="1" a="1"/>
  <c r="S17" i="21" s="1"/>
  <c r="T17" i="21" s="1" a="1"/>
  <c r="T17" i="21" s="1"/>
  <c r="U17" i="21" s="1" a="1"/>
  <c r="U17" i="21" s="1"/>
  <c r="V17" i="21" s="1" a="1"/>
  <c r="V17" i="21" s="1"/>
  <c r="W17" i="21" s="1" a="1"/>
  <c r="W17" i="21" s="1"/>
  <c r="X17" i="21" s="1" a="1"/>
  <c r="X17" i="21" s="1"/>
  <c r="Y17" i="21" s="1" a="1"/>
  <c r="Y17" i="21" s="1"/>
  <c r="Z17" i="21" s="1" a="1"/>
  <c r="Z17" i="21" s="1"/>
  <c r="AA17" i="21" s="1" a="1"/>
  <c r="AA17" i="21" s="1"/>
  <c r="AB17" i="21" s="1" a="1"/>
  <c r="AB17" i="21" s="1"/>
  <c r="X28" i="21" a="1"/>
  <c r="X28" i="21" s="1"/>
  <c r="Y28" i="21" s="1" a="1"/>
  <c r="Y28" i="21" s="1"/>
  <c r="Z28" i="21" a="1"/>
  <c r="Z28" i="21" s="1"/>
  <c r="AA28" i="21" s="1" a="1"/>
  <c r="AA28" i="21" s="1"/>
  <c r="AB28" i="21" s="1" a="1"/>
  <c r="AB28" i="21" s="1"/>
  <c r="T28" i="21" a="1"/>
  <c r="T28" i="21" s="1"/>
  <c r="U28" i="21" s="1" a="1"/>
  <c r="U28" i="21" s="1"/>
  <c r="V28" i="21" s="1" a="1"/>
  <c r="V28" i="21" s="1"/>
  <c r="W28" i="21" s="1" a="1"/>
  <c r="W28" i="21" s="1"/>
  <c r="R54" i="21" a="1"/>
  <c r="R54" i="21" s="1"/>
  <c r="S54" i="21" s="1" a="1"/>
  <c r="S54" i="21" s="1"/>
  <c r="O18" i="21" a="1"/>
  <c r="O18" i="21" s="1"/>
  <c r="P18" i="21" s="1" a="1"/>
  <c r="P18" i="21" s="1"/>
  <c r="Q54" i="21" a="1"/>
  <c r="Q54" i="21" s="1"/>
  <c r="U54" i="21" a="1"/>
  <c r="U54" i="21" s="1"/>
  <c r="O16" i="21" a="1"/>
  <c r="O16" i="21" s="1"/>
  <c r="P16" i="21" s="1" a="1"/>
  <c r="P16" i="21" s="1"/>
  <c r="K13" i="9"/>
  <c r="J14" i="9" s="1"/>
  <c r="I13" i="9"/>
  <c r="AB62" i="21" l="1" a="1"/>
  <c r="AB62" i="21" s="1"/>
  <c r="R45" i="21" a="1"/>
  <c r="R45" i="21" s="1"/>
  <c r="Y45" i="21" s="1" a="1"/>
  <c r="Y45" i="21" s="1"/>
  <c r="T65" i="21" a="1"/>
  <c r="T65" i="21" s="1"/>
  <c r="V84" i="21" a="1"/>
  <c r="V84" i="21" s="1"/>
  <c r="W84" i="21" s="1" a="1"/>
  <c r="W84" i="21" s="1"/>
  <c r="X84" i="21" s="1" a="1"/>
  <c r="X84" i="21" s="1"/>
  <c r="Y84" i="21" s="1" a="1"/>
  <c r="Y84" i="21" s="1"/>
  <c r="Z84" i="21" s="1" a="1"/>
  <c r="Z84" i="21" s="1"/>
  <c r="AA84" i="21" s="1" a="1"/>
  <c r="AA84" i="21" s="1"/>
  <c r="S95" i="21" a="1"/>
  <c r="S95" i="21" s="1"/>
  <c r="T95" i="21" s="1" a="1"/>
  <c r="T95" i="21" s="1"/>
  <c r="Q65" i="21" a="1"/>
  <c r="Q65" i="21" s="1"/>
  <c r="R65" i="21" s="1" a="1"/>
  <c r="R65" i="21" s="1"/>
  <c r="S65" i="21" s="1" a="1"/>
  <c r="S65" i="21" s="1"/>
  <c r="W45" i="21" a="1"/>
  <c r="W45" i="21" s="1"/>
  <c r="W65" i="21" a="1"/>
  <c r="W65" i="21" s="1"/>
  <c r="U45" i="21" a="1"/>
  <c r="U45" i="21" s="1"/>
  <c r="Y65" i="21" a="1"/>
  <c r="Y65" i="21" s="1"/>
  <c r="AB65" i="21" a="1"/>
  <c r="AB65" i="21" s="1"/>
  <c r="R106" i="21" a="1"/>
  <c r="R106" i="21" s="1"/>
  <c r="Z45" i="21" a="1"/>
  <c r="Z45" i="21" s="1"/>
  <c r="AA45" i="21" s="1" a="1"/>
  <c r="AA45" i="21" s="1"/>
  <c r="AB45" i="21" s="1" a="1"/>
  <c r="AB45" i="21" s="1"/>
  <c r="Q16" i="21" a="1"/>
  <c r="Q16" i="21" s="1"/>
  <c r="S45" i="21" a="1"/>
  <c r="S45" i="21" s="1"/>
  <c r="T45" i="21" s="1" a="1"/>
  <c r="T45" i="21" s="1"/>
  <c r="V73" i="21" a="1"/>
  <c r="V73" i="21" s="1"/>
  <c r="X45" i="21" a="1"/>
  <c r="X45" i="21" s="1"/>
  <c r="X65" i="21" a="1"/>
  <c r="X65" i="21" s="1"/>
  <c r="U65" i="21" a="1"/>
  <c r="U65" i="21" s="1"/>
  <c r="P74" i="21" a="1"/>
  <c r="P74" i="21" s="1"/>
  <c r="Q74" i="21" s="1" a="1"/>
  <c r="Q74" i="21" s="1"/>
  <c r="R74" i="21" s="1" a="1"/>
  <c r="R74" i="21" s="1"/>
  <c r="S74" i="21" s="1" a="1"/>
  <c r="S74" i="21" s="1"/>
  <c r="R25" i="21" a="1"/>
  <c r="R25" i="21" s="1"/>
  <c r="O86" i="21" a="1"/>
  <c r="O86" i="21" s="1"/>
  <c r="Q18" i="21" a="1"/>
  <c r="Q18" i="21" s="1"/>
  <c r="R18" i="21" s="1" a="1"/>
  <c r="R18" i="21" s="1"/>
  <c r="K14" i="9"/>
  <c r="J15" i="9" s="1"/>
  <c r="I14" i="9"/>
  <c r="U95" i="21" l="1" a="1"/>
  <c r="U95" i="21" s="1"/>
  <c r="V45" i="21" a="1"/>
  <c r="V45" i="21" s="1"/>
  <c r="P86" i="21" a="1"/>
  <c r="P86" i="21" s="1"/>
  <c r="S106" i="21" a="1"/>
  <c r="S106" i="21" s="1"/>
  <c r="R16" i="21" a="1"/>
  <c r="R16" i="21" s="1"/>
  <c r="R86" i="21" a="1"/>
  <c r="R86" i="21" s="1"/>
  <c r="Q86" i="21" a="1"/>
  <c r="Q86" i="21" s="1"/>
  <c r="V95" i="21" a="1"/>
  <c r="V95" i="21" s="1"/>
  <c r="Z95" i="21" s="1" a="1"/>
  <c r="Z95" i="21" s="1"/>
  <c r="T106" i="21" a="1"/>
  <c r="T106" i="21" s="1"/>
  <c r="U106" i="21" s="1" a="1"/>
  <c r="U106" i="21" s="1"/>
  <c r="V106" i="21" s="1" a="1"/>
  <c r="V106" i="21" s="1"/>
  <c r="W106" i="21" s="1" a="1"/>
  <c r="W106" i="21" s="1"/>
  <c r="X106" i="21" s="1" a="1"/>
  <c r="X106" i="21" s="1"/>
  <c r="Y106" i="21" s="1" a="1"/>
  <c r="Y106" i="21" s="1"/>
  <c r="X86" i="21" a="1"/>
  <c r="X86" i="21" s="1"/>
  <c r="Y86" i="21" s="1" a="1"/>
  <c r="Y86" i="21" s="1"/>
  <c r="S16" i="21" a="1"/>
  <c r="S16" i="21" s="1"/>
  <c r="T16" i="21" s="1" a="1"/>
  <c r="T16" i="21" s="1"/>
  <c r="AB84" i="21" a="1"/>
  <c r="AB84" i="21" s="1"/>
  <c r="S86" i="21" a="1"/>
  <c r="S86" i="21" s="1"/>
  <c r="T86" i="21" s="1" a="1"/>
  <c r="T86" i="21" s="1"/>
  <c r="U86" i="21" s="1" a="1"/>
  <c r="U86" i="21" s="1"/>
  <c r="W73" i="21" a="1"/>
  <c r="W73" i="21" s="1"/>
  <c r="T74" i="21" a="1"/>
  <c r="T74" i="21" s="1"/>
  <c r="U74" i="21" s="1" a="1"/>
  <c r="U74" i="21" s="1"/>
  <c r="V74" i="21" s="1" a="1"/>
  <c r="V74" i="21" s="1"/>
  <c r="W74" i="21" s="1" a="1"/>
  <c r="W74" i="21" s="1"/>
  <c r="X74" i="21" s="1" a="1"/>
  <c r="X74" i="21" s="1"/>
  <c r="Y74" i="21" s="1" a="1"/>
  <c r="Y74" i="21" s="1"/>
  <c r="Z74" i="21" s="1" a="1"/>
  <c r="Z74" i="21" s="1"/>
  <c r="AA74" i="21" a="1"/>
  <c r="AA74" i="21" s="1"/>
  <c r="AB74" i="21" s="1" a="1"/>
  <c r="AB74" i="21" s="1"/>
  <c r="S25" i="21" a="1"/>
  <c r="S25" i="21" s="1"/>
  <c r="T25" i="21" s="1" a="1"/>
  <c r="T25" i="21" s="1"/>
  <c r="U25" i="21" s="1" a="1"/>
  <c r="U25" i="21" s="1"/>
  <c r="V25" i="21" s="1" a="1"/>
  <c r="V25" i="21" s="1"/>
  <c r="W25" i="21" s="1" a="1"/>
  <c r="W25" i="21" s="1"/>
  <c r="X25" i="21" s="1" a="1"/>
  <c r="X25" i="21" s="1"/>
  <c r="S18" i="21" a="1"/>
  <c r="S18" i="21" s="1"/>
  <c r="T18" i="21" s="1" a="1"/>
  <c r="T18" i="21" s="1"/>
  <c r="U18" i="21" s="1" a="1"/>
  <c r="U18" i="21" s="1"/>
  <c r="V18" i="21" s="1" a="1"/>
  <c r="V18" i="21" s="1"/>
  <c r="W18" i="21" s="1" a="1"/>
  <c r="W18" i="21" s="1"/>
  <c r="X18" i="21" s="1" a="1"/>
  <c r="X18" i="21" s="1"/>
  <c r="Y18" i="21" s="1" a="1"/>
  <c r="Y18" i="21" s="1"/>
  <c r="Z18" i="21" s="1" a="1"/>
  <c r="Z18" i="21" s="1"/>
  <c r="AA18" i="21" s="1" a="1"/>
  <c r="AA18" i="21" s="1"/>
  <c r="AB18" i="21" s="1" a="1"/>
  <c r="AB18" i="21" s="1"/>
  <c r="K15" i="9"/>
  <c r="J16" i="9" s="1"/>
  <c r="I15" i="9"/>
  <c r="AA95" i="21" l="1" a="1"/>
  <c r="AA95" i="21" s="1"/>
  <c r="Y95" i="21" a="1"/>
  <c r="Y95" i="21" s="1"/>
  <c r="V16" i="21" a="1"/>
  <c r="V16" i="21" s="1"/>
  <c r="X73" i="21" a="1"/>
  <c r="X73" i="21" s="1"/>
  <c r="Y73" i="21" s="1" a="1"/>
  <c r="Y73" i="21" s="1"/>
  <c r="Z73" i="21" s="1" a="1"/>
  <c r="Z73" i="21" s="1"/>
  <c r="U16" i="21" a="1"/>
  <c r="U16" i="21" s="1"/>
  <c r="AA86" i="21" a="1"/>
  <c r="AA86" i="21" s="1"/>
  <c r="AB86" i="21" a="1"/>
  <c r="AB86" i="21" s="1"/>
  <c r="V86" i="21" a="1"/>
  <c r="V86" i="21" s="1"/>
  <c r="W86" i="21" s="1" a="1"/>
  <c r="W86" i="21" s="1"/>
  <c r="W16" i="21" a="1"/>
  <c r="W16" i="21" s="1"/>
  <c r="W95" i="21" a="1"/>
  <c r="W95" i="21" s="1"/>
  <c r="X95" i="21" s="1" a="1"/>
  <c r="X95" i="21" s="1"/>
  <c r="X16" i="21" a="1"/>
  <c r="X16" i="21" s="1"/>
  <c r="AB95" i="21" a="1"/>
  <c r="AB95" i="21" s="1"/>
  <c r="AA16" i="21" a="1"/>
  <c r="AA16" i="21" s="1"/>
  <c r="AB16" i="21" s="1" a="1"/>
  <c r="AB16" i="21" s="1"/>
  <c r="Z86" i="21" a="1"/>
  <c r="Z86" i="21" s="1"/>
  <c r="Z106" i="21" a="1"/>
  <c r="Z106" i="21" s="1"/>
  <c r="AA106" i="21" s="1" a="1"/>
  <c r="AA106" i="21" s="1"/>
  <c r="AB106" i="21" s="1" a="1"/>
  <c r="AB106" i="21" s="1"/>
  <c r="Y16" i="21" a="1"/>
  <c r="Y16" i="21" s="1"/>
  <c r="Z16" i="21" s="1" a="1"/>
  <c r="Z16" i="21" s="1"/>
  <c r="Z25" i="21" a="1"/>
  <c r="Z25" i="21" s="1"/>
  <c r="AA25" i="21" s="1" a="1"/>
  <c r="AA25" i="21" s="1"/>
  <c r="AB25" i="21" s="1" a="1"/>
  <c r="AB25" i="21" s="1"/>
  <c r="Y25" i="21" a="1"/>
  <c r="Y25" i="21" s="1"/>
  <c r="K16" i="9"/>
  <c r="J17" i="9" s="1"/>
  <c r="I16" i="9"/>
  <c r="AA73" i="21" l="1" a="1"/>
  <c r="AA73" i="21" s="1"/>
  <c r="AB73" i="21" s="1" a="1"/>
  <c r="AB73" i="21" s="1"/>
  <c r="K17" i="9"/>
  <c r="J18" i="9" s="1"/>
  <c r="I17" i="9"/>
  <c r="K18" i="9" l="1"/>
  <c r="J19" i="9" s="1"/>
  <c r="I18" i="9"/>
  <c r="K19" i="9" l="1"/>
  <c r="J20" i="9" s="1"/>
  <c r="I19" i="9"/>
  <c r="K20" i="9" l="1"/>
  <c r="J21" i="9" s="1"/>
  <c r="I20" i="9"/>
  <c r="K21" i="9" l="1"/>
  <c r="J22" i="9" s="1"/>
  <c r="I21" i="9"/>
  <c r="K22" i="9" l="1"/>
  <c r="J23" i="9" s="1"/>
  <c r="I22" i="9"/>
  <c r="K23" i="9" l="1"/>
  <c r="J24" i="9" s="1"/>
  <c r="I23" i="9"/>
  <c r="K24" i="9" l="1"/>
  <c r="J25" i="9" s="1"/>
  <c r="I24" i="9"/>
  <c r="K25" i="9" l="1"/>
  <c r="J26" i="9" s="1"/>
  <c r="I25" i="9"/>
  <c r="K26" i="9" l="1"/>
  <c r="J27" i="9" s="1"/>
  <c r="I26" i="9"/>
  <c r="K27" i="9" l="1"/>
  <c r="J28" i="9" s="1"/>
  <c r="I27" i="9"/>
  <c r="K28" i="9" l="1"/>
  <c r="J29" i="9" s="1"/>
  <c r="I28" i="9"/>
  <c r="K29" i="9" l="1"/>
  <c r="J30" i="9" s="1"/>
  <c r="I29" i="9"/>
  <c r="K30" i="9" l="1"/>
  <c r="J31" i="9" s="1"/>
  <c r="I30" i="9"/>
  <c r="K31" i="9" l="1"/>
  <c r="J32" i="9" s="1"/>
  <c r="I31" i="9"/>
  <c r="K32" i="9" l="1"/>
  <c r="J33" i="9" s="1"/>
  <c r="I32" i="9"/>
  <c r="K33" i="9" l="1"/>
  <c r="J34" i="9" s="1"/>
  <c r="I33" i="9"/>
  <c r="K34" i="9" l="1"/>
  <c r="J35" i="9" s="1"/>
  <c r="I34" i="9"/>
  <c r="K35" i="9" l="1"/>
  <c r="J36" i="9" s="1"/>
  <c r="I35" i="9"/>
  <c r="K36" i="9" l="1"/>
  <c r="J37" i="9" s="1"/>
  <c r="I36" i="9"/>
  <c r="K37" i="9" l="1"/>
  <c r="J38" i="9" s="1"/>
  <c r="I37" i="9"/>
  <c r="K38" i="9" l="1"/>
  <c r="J39" i="9" s="1"/>
  <c r="I38" i="9"/>
  <c r="K39" i="9" l="1"/>
  <c r="J40" i="9" s="1"/>
  <c r="I39" i="9"/>
  <c r="K40" i="9" l="1"/>
  <c r="J41" i="9" s="1"/>
  <c r="I40" i="9"/>
  <c r="K41" i="9" l="1"/>
  <c r="J42" i="9" s="1"/>
  <c r="I41" i="9"/>
  <c r="K42" i="9" l="1"/>
  <c r="J43" i="9" s="1"/>
  <c r="I42" i="9"/>
  <c r="K43" i="9" l="1"/>
  <c r="J44" i="9" s="1"/>
  <c r="I43" i="9"/>
  <c r="K44" i="9" l="1"/>
  <c r="J45" i="9" s="1"/>
  <c r="I44" i="9"/>
  <c r="K45" i="9" l="1"/>
  <c r="J46" i="9" s="1"/>
  <c r="I45" i="9"/>
  <c r="K46" i="9" l="1"/>
  <c r="J47" i="9" s="1"/>
  <c r="I46" i="9"/>
  <c r="K47" i="9" l="1"/>
  <c r="J48" i="9" s="1"/>
  <c r="I47" i="9"/>
  <c r="K48" i="9" l="1"/>
  <c r="J49" i="9" s="1"/>
  <c r="I48" i="9"/>
  <c r="K49" i="9" l="1"/>
  <c r="J50" i="9" s="1"/>
  <c r="I49" i="9"/>
  <c r="K50" i="9" l="1"/>
  <c r="J51" i="9" s="1"/>
  <c r="I50" i="9"/>
  <c r="K51" i="9" l="1"/>
  <c r="J52" i="9" s="1"/>
  <c r="I51" i="9"/>
  <c r="K52" i="9" l="1"/>
  <c r="J53" i="9" s="1"/>
  <c r="I52" i="9"/>
  <c r="K53" i="9" l="1"/>
  <c r="I5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<sst xmlns="http://schemas.openxmlformats.org/spreadsheetml/2006/main" count="26557" uniqueCount="2571">
  <si>
    <t>Wichtige Informationen zur Nutzung dieses Tools</t>
  </si>
  <si>
    <t>Schritte</t>
  </si>
  <si>
    <t>Als Eingangsdaten werden die Daten der Zugliste und der Forsetzungsverknüpfungsliste benötigt (Export aus LUKS*)</t>
  </si>
  <si>
    <t>1.1</t>
  </si>
  <si>
    <t>1.2</t>
  </si>
  <si>
    <t xml:space="preserve">Damit das Tool immer mit der ersten Zugfahrt beginnt, ist es notwendig, die Spalte "Abfahrt erster Zug" des Blattes Daten_Verknüfungen nach Zeit zu sortieren, von der frühesten bis zur spätesten Uhrzeit. </t>
  </si>
  <si>
    <r>
      <rPr>
        <b/>
        <sz val="11"/>
        <color rgb="FF000000"/>
        <rFont val="Arial"/>
        <family val="2"/>
      </rPr>
      <t xml:space="preserve">Achtung_1: </t>
    </r>
    <r>
      <rPr>
        <sz val="11"/>
        <color rgb="FF000000"/>
        <rFont val="Arial"/>
        <family val="2"/>
      </rPr>
      <t>Wie in der Abbildung 1 zu sehen ist, geht das Tool bei fehlender Verknüpfung davon aus, dass zwei verschiedene Fahrzeuge beteiligt sind.  (Fahrzeug 3 und Fahrzeug 4). Deshalb ist es wichtig, dass alle Forsetzungsverknüpfungen vorhanden sind!</t>
    </r>
  </si>
  <si>
    <r>
      <rPr>
        <b/>
        <sz val="11"/>
        <rFont val="Arial"/>
        <family val="2"/>
      </rPr>
      <t>Achtung_2</t>
    </r>
    <r>
      <rPr>
        <sz val="11"/>
        <rFont val="Arial"/>
        <family val="2"/>
      </rPr>
      <t>: Bevor Export nur nach Forsetzungsvergnüpfungen filtern.</t>
    </r>
  </si>
  <si>
    <r>
      <rPr>
        <b/>
        <sz val="10"/>
        <rFont val="Arial"/>
        <family val="2"/>
      </rPr>
      <t xml:space="preserve">* </t>
    </r>
    <r>
      <rPr>
        <sz val="10"/>
        <rFont val="Arial"/>
        <family val="2"/>
      </rPr>
      <t>Export aus LUKS erfolgt:</t>
    </r>
  </si>
  <si>
    <t>Zugliste:</t>
  </si>
  <si>
    <t xml:space="preserve">1. </t>
  </si>
  <si>
    <t>Bearbeiten (im Menüband)</t>
  </si>
  <si>
    <t>2.</t>
  </si>
  <si>
    <t>Zugliste</t>
  </si>
  <si>
    <t>Falls erforderlich, die Reihenfolge der Spalten so anpassen, dass sie mit der Reihenfolge in der "Daten_Zugliste" übereinstimmt.</t>
  </si>
  <si>
    <t>3.</t>
  </si>
  <si>
    <t>Export Excel</t>
  </si>
  <si>
    <t>Verknüpfungenliste:</t>
  </si>
  <si>
    <t>1.</t>
  </si>
  <si>
    <t>Verknüpfungenmanagement</t>
  </si>
  <si>
    <t xml:space="preserve">3. </t>
  </si>
  <si>
    <t>Art: Forsetzungverknüpfungen</t>
  </si>
  <si>
    <t>Falls erforderlich, die Reihenfolge der Spalten so anpassen, dass sie mit der Reihenfolge in der "Daten_Verknüpfungen" übereinstimmt.</t>
  </si>
  <si>
    <t>4.</t>
  </si>
  <si>
    <t>Export nach Excel</t>
  </si>
  <si>
    <t>Baureihe LUKS</t>
  </si>
  <si>
    <t>BR Namen</t>
  </si>
  <si>
    <t>max Laufweg</t>
  </si>
  <si>
    <t>Elektro?</t>
  </si>
  <si>
    <t>101-3.0</t>
  </si>
  <si>
    <t>Euro3200</t>
  </si>
  <si>
    <t>Nicht</t>
  </si>
  <si>
    <t>146-3.2</t>
  </si>
  <si>
    <t>146.1/146.2</t>
  </si>
  <si>
    <t>Elektro</t>
  </si>
  <si>
    <t>462-1.0</t>
  </si>
  <si>
    <t>Desiro HC 4-Teilig [ISR]</t>
  </si>
  <si>
    <t>242-1.1</t>
  </si>
  <si>
    <t>JT42BW</t>
  </si>
  <si>
    <t>6188-1.2</t>
  </si>
  <si>
    <t>Traxx</t>
  </si>
  <si>
    <t>245-2.0</t>
  </si>
  <si>
    <t>G26B</t>
  </si>
  <si>
    <t>101-2.0</t>
  </si>
  <si>
    <t>Europ 4000 F</t>
  </si>
  <si>
    <t>462-4.0</t>
  </si>
  <si>
    <t>DDEMU 6</t>
  </si>
  <si>
    <t>101-1.0</t>
  </si>
  <si>
    <t>Euro 3200</t>
  </si>
  <si>
    <t>600-1.1</t>
  </si>
  <si>
    <t>IC3 B</t>
  </si>
  <si>
    <t>462-5.0</t>
  </si>
  <si>
    <t>DDEMU 4</t>
  </si>
  <si>
    <t>Zugnummer</t>
  </si>
  <si>
    <t>Zugart</t>
  </si>
  <si>
    <t>Zugfamilie</t>
  </si>
  <si>
    <t>(Haupt-)Triebfahrzeug</t>
  </si>
  <si>
    <t>weitere Triebfahrzeuge</t>
  </si>
  <si>
    <t>Zuglänge [m]</t>
  </si>
  <si>
    <t>Wagenanzahl</t>
  </si>
  <si>
    <t>Masse Wagenzug [t]</t>
  </si>
  <si>
    <t>Betriebsrang</t>
  </si>
  <si>
    <t>Planrang</t>
  </si>
  <si>
    <t>Laufweglänge [m]</t>
  </si>
  <si>
    <t>L9_RZL_BUMA_S/1</t>
  </si>
  <si>
    <t>Einzelzug</t>
  </si>
  <si>
    <t>L9_RZL_BUMA_S</t>
  </si>
  <si>
    <t>Nein</t>
  </si>
  <si>
    <t>L9_RZL_BUMA_S/10</t>
  </si>
  <si>
    <t>L9_RZL_BUMA_S/2</t>
  </si>
  <si>
    <t>L9_RZL_BUMA_S/3</t>
  </si>
  <si>
    <t>L9_RZL_BUMA_S/4</t>
  </si>
  <si>
    <t>L9_RZL_BUMA_S/5</t>
  </si>
  <si>
    <t>L9_RZL_BUMA_S/6</t>
  </si>
  <si>
    <t>L9_RZL_BUMA_S/7</t>
  </si>
  <si>
    <t>L9_RZL_BUMA_S/8</t>
  </si>
  <si>
    <t>L9_RZL_BUMA_S/9</t>
  </si>
  <si>
    <t>L9_BUMA_RZL_N/1</t>
  </si>
  <si>
    <t>L9_BUMA_RZL_N</t>
  </si>
  <si>
    <t>L9_BUMA_RZL_N/10</t>
  </si>
  <si>
    <t>L9_BUMA_RZL_N/2</t>
  </si>
  <si>
    <t>L9_BUMA_RZL_N/3</t>
  </si>
  <si>
    <t>L9_BUMA_RZL_N/4</t>
  </si>
  <si>
    <t>L9_BUMA_RZL_N/5</t>
  </si>
  <si>
    <t>L9_BUMA_RZL_N/6</t>
  </si>
  <si>
    <t>L9_BUMA_RZL_N/7</t>
  </si>
  <si>
    <t>L9_BUMA_RZL_N/8</t>
  </si>
  <si>
    <t>L9_BUMA_RZL_N/9</t>
  </si>
  <si>
    <t>L9a_RZL_BUMA_S/1</t>
  </si>
  <si>
    <t>L9a_RZL_BUMA_S</t>
  </si>
  <si>
    <t>L9a_RZL_BUMA_S/10</t>
  </si>
  <si>
    <t>L9a_RZL_BUMA_S/2</t>
  </si>
  <si>
    <t>L9a_RZL_BUMA_S/3</t>
  </si>
  <si>
    <t>L9a_RZL_BUMA_S/4</t>
  </si>
  <si>
    <t>L9a_RZL_BUMA_S/5</t>
  </si>
  <si>
    <t>L9a_RZL_BUMA_S/6</t>
  </si>
  <si>
    <t>L9a_RZL_BUMA_S/7</t>
  </si>
  <si>
    <t>L9a_RZL_BUMA_S/8</t>
  </si>
  <si>
    <t>L9a_RZL_BUMA_S/9</t>
  </si>
  <si>
    <t>L9a_BUMA_RZL_N/1</t>
  </si>
  <si>
    <t>L9a_BUMA_RZL_N</t>
  </si>
  <si>
    <t>L9a_BUMA_RZL_N/10</t>
  </si>
  <si>
    <t>L9a_BUMA_RZL_N/2</t>
  </si>
  <si>
    <t>L9a_BUMA_RZL_N/3</t>
  </si>
  <si>
    <t>L9a_BUMA_RZL_N/4</t>
  </si>
  <si>
    <t>L9a_BUMA_RZL_N/5</t>
  </si>
  <si>
    <t>L9a_BUMA_RZL_N/6</t>
  </si>
  <si>
    <t>L9a_BUMA_RZL_N/7</t>
  </si>
  <si>
    <t>L9a_BUMA_RZL_N/8</t>
  </si>
  <si>
    <t>L9a_BUMA_RZL_N/9</t>
  </si>
  <si>
    <t>L8b_NAR_BUMA_S/1</t>
  </si>
  <si>
    <t>L8b_NAR_BUMA_S</t>
  </si>
  <si>
    <t>Ja</t>
  </si>
  <si>
    <t>L8b_NAR_BUMA_S/10</t>
  </si>
  <si>
    <t>L8b_NAR_BUMA_S/2</t>
  </si>
  <si>
    <t>L8b_NAR_BUMA_S/3</t>
  </si>
  <si>
    <t>L8b_NAR_BUMA_S/4</t>
  </si>
  <si>
    <t>L8b_NAR_BUMA_S/5</t>
  </si>
  <si>
    <t>L8b_NAR_BUMA_S/6</t>
  </si>
  <si>
    <t>L8b_NAR_BUMA_S/7</t>
  </si>
  <si>
    <t>L8b_NAR_BUMA_S/8</t>
  </si>
  <si>
    <t>L8b_NAR_BUMA_S/9</t>
  </si>
  <si>
    <t>L8b_BUMA_NAR_N/1</t>
  </si>
  <si>
    <t>L8b_BUMA_NAR_N</t>
  </si>
  <si>
    <t>L8b_BUMA_NAR_N/10</t>
  </si>
  <si>
    <t>L8b_BUMA_NAR_N/2</t>
  </si>
  <si>
    <t>L8b_BUMA_NAR_N/3</t>
  </si>
  <si>
    <t>L8b_BUMA_NAR_N/4</t>
  </si>
  <si>
    <t>L8b_BUMA_NAR_N/5</t>
  </si>
  <si>
    <t>L8b_BUMA_NAR_N/6</t>
  </si>
  <si>
    <t>L8b_BUMA_NAR_N/7</t>
  </si>
  <si>
    <t>L8b_BUMA_NAR_N/8</t>
  </si>
  <si>
    <t>L8b_BUMA_NAR_N/9</t>
  </si>
  <si>
    <t>L8a_NAR_BUMA_S/1</t>
  </si>
  <si>
    <t>L8a_NAR_BUMA_S</t>
  </si>
  <si>
    <t>L8a_NAR_BUMA_S/10</t>
  </si>
  <si>
    <t>L8a_NAR_BUMA_S/2</t>
  </si>
  <si>
    <t>L8a_NAR_BUMA_S/3</t>
  </si>
  <si>
    <t>L8a_NAR_BUMA_S/4</t>
  </si>
  <si>
    <t>L8a_NAR_BUMA_S/5</t>
  </si>
  <si>
    <t>L8a_NAR_BUMA_S/6</t>
  </si>
  <si>
    <t>L8a_NAR_BUMA_S/7</t>
  </si>
  <si>
    <t>L8a_NAR_BUMA_S/8</t>
  </si>
  <si>
    <t>L8a_NAR_BUMA_S/9</t>
  </si>
  <si>
    <t>L8a_BUMA_NAR_N/1</t>
  </si>
  <si>
    <t>L8a_BUMA_NAR_N</t>
  </si>
  <si>
    <t>L8a_BUMA_NAR_N/10</t>
  </si>
  <si>
    <t>L8a_BUMA_NAR_N/2</t>
  </si>
  <si>
    <t>L8a_BUMA_NAR_N/3</t>
  </si>
  <si>
    <t>L8a_BUMA_NAR_N/4</t>
  </si>
  <si>
    <t>L8a_BUMA_NAR_N/5</t>
  </si>
  <si>
    <t>L8a_BUMA_NAR_N/6</t>
  </si>
  <si>
    <t>L8a_BUMA_NAR_N/7</t>
  </si>
  <si>
    <t>L8a_BUMA_NAR_N/8</t>
  </si>
  <si>
    <t>L8a_BUMA_NAR_N/9</t>
  </si>
  <si>
    <t>L7d_RZL_BSM_S/1</t>
  </si>
  <si>
    <t>L7d_RZL_BSM_S</t>
  </si>
  <si>
    <t>L7d_RZL_BSM_S/10</t>
  </si>
  <si>
    <t>L7d_RZL_BSM_S/2</t>
  </si>
  <si>
    <t>L7d_RZL_BSM_S/3</t>
  </si>
  <si>
    <t>L7d_RZL_BSM_S/4</t>
  </si>
  <si>
    <t>L7d_RZL_BSM_S/5</t>
  </si>
  <si>
    <t>L7d_RZL_BSM_S/6</t>
  </si>
  <si>
    <t>L7d_RZL_BSM_S/7</t>
  </si>
  <si>
    <t>L7d_RZL_BSM_S/8</t>
  </si>
  <si>
    <t>L7d_RZL_BSM_S/9</t>
  </si>
  <si>
    <t>L7d_BSM_RZL_N/1</t>
  </si>
  <si>
    <t>L7d_BSM_RZL_N</t>
  </si>
  <si>
    <t>L7d_BSM_RZL_N/10</t>
  </si>
  <si>
    <t>L7d_BSM_RZL_N/2</t>
  </si>
  <si>
    <t>L7d_BSM_RZL_N/3</t>
  </si>
  <si>
    <t>L7d_BSM_RZL_N/4</t>
  </si>
  <si>
    <t>L7d_BSM_RZL_N/5</t>
  </si>
  <si>
    <t>L7d_BSM_RZL_N/6</t>
  </si>
  <si>
    <t>L7d_BSM_RZL_N/7</t>
  </si>
  <si>
    <t>L7d_BSM_RZL_N/8</t>
  </si>
  <si>
    <t>L7d_BSM_RZL_N/9</t>
  </si>
  <si>
    <t>L7c_SHK_RZL_N/1</t>
  </si>
  <si>
    <t>L7c_SHK_RZL_N</t>
  </si>
  <si>
    <t>L7c_SHK_RZL_N/10</t>
  </si>
  <si>
    <t>L7c_SHK_RZL_N/2</t>
  </si>
  <si>
    <t>L7c_SHK_RZL_N/3</t>
  </si>
  <si>
    <t>L7c_SHK_RZL_N/4</t>
  </si>
  <si>
    <t>L7c_SHK_RZL_N/5</t>
  </si>
  <si>
    <t>L7c_SHK_RZL_N/6</t>
  </si>
  <si>
    <t>L7c_SHK_RZL_N/7</t>
  </si>
  <si>
    <t>L7c_SHK_RZL_N/8</t>
  </si>
  <si>
    <t>L7c_SHK_RZL_N/9</t>
  </si>
  <si>
    <t>L7c_RZL_SHK_S/1</t>
  </si>
  <si>
    <t>L7c_RZL_SHK_S</t>
  </si>
  <si>
    <t>L7c_RZL_SHK_S/10</t>
  </si>
  <si>
    <t>L7c_RZL_SHK_S/2</t>
  </si>
  <si>
    <t>L7c_RZL_SHK_S/3</t>
  </si>
  <si>
    <t>L7c_RZL_SHK_S/4</t>
  </si>
  <si>
    <t>L7c_RZL_SHK_S/5</t>
  </si>
  <si>
    <t>L7c_RZL_SHK_S/6</t>
  </si>
  <si>
    <t>L7c_RZL_SHK_S/7</t>
  </si>
  <si>
    <t>L7c_RZL_SHK_S/8</t>
  </si>
  <si>
    <t>L7c_RZL_SHK_S/9</t>
  </si>
  <si>
    <t>L7b_SHK_RZL_N/1</t>
  </si>
  <si>
    <t>L7b_SHK_RZL_N</t>
  </si>
  <si>
    <t>L7b_SHK_RZL_N/10</t>
  </si>
  <si>
    <t>L7b_SHK_RZL_N/2</t>
  </si>
  <si>
    <t>L7b_SHK_RZL_N/3</t>
  </si>
  <si>
    <t>L7b_SHK_RZL_N/4</t>
  </si>
  <si>
    <t>L7b_SHK_RZL_N/5</t>
  </si>
  <si>
    <t>L7b_SHK_RZL_N/6</t>
  </si>
  <si>
    <t>L7b_SHK_RZL_N/7</t>
  </si>
  <si>
    <t>L7b_SHK_RZL_N/8</t>
  </si>
  <si>
    <t>L7b_SHK_RZL_N/9</t>
  </si>
  <si>
    <t>L7b_RZL_SHK_S/1</t>
  </si>
  <si>
    <t>L7b_RZL_SHK_S</t>
  </si>
  <si>
    <t>L7b_RZL_SHK_S/10</t>
  </si>
  <si>
    <t>L7b_RZL_SHK_S/2</t>
  </si>
  <si>
    <t>L7b_RZL_SHK_S/3</t>
  </si>
  <si>
    <t>L7b_RZL_SHK_S/4</t>
  </si>
  <si>
    <t>L7b_RZL_SHK_S/5</t>
  </si>
  <si>
    <t>L7b_RZL_SHK_S/6</t>
  </si>
  <si>
    <t>L7b_RZL_SHK_S/7</t>
  </si>
  <si>
    <t>L7b_RZL_SHK_S/8</t>
  </si>
  <si>
    <t>L7b_RZL_SHK_S/9</t>
  </si>
  <si>
    <t>L7a_RZL_BSM_S/1</t>
  </si>
  <si>
    <t>L7a_RZL_BSM_S</t>
  </si>
  <si>
    <t>L7a_RZL_BSM_S/10</t>
  </si>
  <si>
    <t>L7a_RZL_BSM_S/2</t>
  </si>
  <si>
    <t>L7a_RZL_BSM_S/3</t>
  </si>
  <si>
    <t>L7a_RZL_BSM_S/4</t>
  </si>
  <si>
    <t>L7a_RZL_BSM_S/5</t>
  </si>
  <si>
    <t>L7a_RZL_BSM_S/6</t>
  </si>
  <si>
    <t>L7a_RZL_BSM_S/7</t>
  </si>
  <si>
    <t>L7a_RZL_BSM_S/8</t>
  </si>
  <si>
    <t>L7a_RZL_BSM_S/9</t>
  </si>
  <si>
    <t>L7a_BSM_RZL_N/1</t>
  </si>
  <si>
    <t>L7a_BSM_RZL_N</t>
  </si>
  <si>
    <t>L7a_BSM_RZL_N/10</t>
  </si>
  <si>
    <t>L7a_BSM_RZL_N/2</t>
  </si>
  <si>
    <t>L7a_BSM_RZL_N/3</t>
  </si>
  <si>
    <t>L7a_BSM_RZL_N/4</t>
  </si>
  <si>
    <t>L7a_BSM_RZL_N/5</t>
  </si>
  <si>
    <t>L7a_BSM_RZL_N/6</t>
  </si>
  <si>
    <t>L7a_BSM_RZL_N/7</t>
  </si>
  <si>
    <t>L7a_BSM_RZL_N/8</t>
  </si>
  <si>
    <t>L7a_BSM_RZL_N/9</t>
  </si>
  <si>
    <t>L6_SHF_RH_S/1</t>
  </si>
  <si>
    <t>L6_SHF_RH_S</t>
  </si>
  <si>
    <t>L6_SHF_RH_S/10</t>
  </si>
  <si>
    <t>L6_SHF_RH_S/2</t>
  </si>
  <si>
    <t>L6_SHF_RH_S/3</t>
  </si>
  <si>
    <t>L6_SHF_RH_S/4</t>
  </si>
  <si>
    <t>L6_SHF_RH_S/5</t>
  </si>
  <si>
    <t>L6_SHF_RH_S/6</t>
  </si>
  <si>
    <t>L6_SHF_RH_S/7</t>
  </si>
  <si>
    <t>L6_SHF_RH_S/8</t>
  </si>
  <si>
    <t>L6_SHF_RH_S/9</t>
  </si>
  <si>
    <t>L6_RH_SHF_N/1</t>
  </si>
  <si>
    <t>L6_RH_SHF_N</t>
  </si>
  <si>
    <t>L6_RH_SHF_N/10</t>
  </si>
  <si>
    <t>L6_RH_SHF_N/2</t>
  </si>
  <si>
    <t>L6_RH_SHF_N/3</t>
  </si>
  <si>
    <t>L6_RH_SHF_N/4</t>
  </si>
  <si>
    <t>L6_RH_SHF_N/5</t>
  </si>
  <si>
    <t>L6_RH_SHF_N/6</t>
  </si>
  <si>
    <t>L6_RH_SHF_N/7</t>
  </si>
  <si>
    <t>L6_RH_SHF_N/8</t>
  </si>
  <si>
    <t>L6_RH_SHF_N/9</t>
  </si>
  <si>
    <t>L6b_SHF_HY_S/1</t>
  </si>
  <si>
    <t>L6b_SHF_HY_S</t>
  </si>
  <si>
    <t>L6b_HY_SHF_N/1</t>
  </si>
  <si>
    <t>L6b_HY_SHF_N</t>
  </si>
  <si>
    <t>L6a_SHF_HY_S/1</t>
  </si>
  <si>
    <t>L6a_SHF_HY_S</t>
  </si>
  <si>
    <t>L6a_SHF_HY_S/10</t>
  </si>
  <si>
    <t>L6a_SHF_HY_S/2</t>
  </si>
  <si>
    <t>L6a_SHF_HY_S/3</t>
  </si>
  <si>
    <t>L6a_SHF_HY_S/4</t>
  </si>
  <si>
    <t>L6a_SHF_HY_S/5</t>
  </si>
  <si>
    <t>L6a_SHF_HY_S/6</t>
  </si>
  <si>
    <t>L6a_SHF_HY_S/7</t>
  </si>
  <si>
    <t>L6a_SHF_HY_S/8</t>
  </si>
  <si>
    <t>L6a_SHF_HY_S/9</t>
  </si>
  <si>
    <t>L6a_HY_SHF_N/1</t>
  </si>
  <si>
    <t>L6a_HY_SHF_N</t>
  </si>
  <si>
    <t>L6a_HY_SHF_N/10</t>
  </si>
  <si>
    <t>L6a_HY_SHF_N/2</t>
  </si>
  <si>
    <t>L6a_HY_SHF_N/3</t>
  </si>
  <si>
    <t>L6a_HY_SHF_N/4</t>
  </si>
  <si>
    <t>L6a_HY_SHF_N/5</t>
  </si>
  <si>
    <t>L6a_HY_SHF_N/6</t>
  </si>
  <si>
    <t>L6a_HY_SHF_N/7</t>
  </si>
  <si>
    <t>L6a_HY_SHF_N/8</t>
  </si>
  <si>
    <t>L6a_HY_SHF_N/9</t>
  </si>
  <si>
    <t>L5b_MOD_NET_HAD_N/1</t>
  </si>
  <si>
    <t>L5b_MOD_NET_HAD_N</t>
  </si>
  <si>
    <t>L5b_MOD_NET_HAD_N/10</t>
  </si>
  <si>
    <t>L5b_MOD_NET_HAD_N/2</t>
  </si>
  <si>
    <t>L5b_MOD_NET_HAD_N/3</t>
  </si>
  <si>
    <t>L5b_MOD_NET_HAD_N/4</t>
  </si>
  <si>
    <t>L5b_MOD_NET_HAD_N/5</t>
  </si>
  <si>
    <t>L5b_MOD_NET_HAD_N/6</t>
  </si>
  <si>
    <t>L5b_MOD_NET_HAD_N/7</t>
  </si>
  <si>
    <t>L5b_MOD_NET_HAD_N/8</t>
  </si>
  <si>
    <t>L5b_MOD_NET_HAD_N/9</t>
  </si>
  <si>
    <t>L5b_HAD_NET_MOD_S/1</t>
  </si>
  <si>
    <t>L5b_HAD_NET_MOD_S</t>
  </si>
  <si>
    <t>L5b_HAD_NET_MOD_S/10</t>
  </si>
  <si>
    <t>L5b_HAD_NET_MOD_S/2</t>
  </si>
  <si>
    <t>L5b_HAD_NET_MOD_S/3</t>
  </si>
  <si>
    <t>L5b_HAD_NET_MOD_S/4</t>
  </si>
  <si>
    <t>L5b_HAD_NET_MOD_S/5</t>
  </si>
  <si>
    <t>L5b_HAD_NET_MOD_S/6</t>
  </si>
  <si>
    <t>L5b_HAD_NET_MOD_S/7</t>
  </si>
  <si>
    <t>L5b_HAD_NET_MOD_S/8</t>
  </si>
  <si>
    <t>L5b_HAD_NET_MOD_S/9</t>
  </si>
  <si>
    <t>L5a_NET_MOD_S/1</t>
  </si>
  <si>
    <t>L5a_NET_MOD_S</t>
  </si>
  <si>
    <t>L5a_NET_MOD_S/10</t>
  </si>
  <si>
    <t>L5a_NET_MOD_S/2</t>
  </si>
  <si>
    <t>L5a_NET_MOD_S/3</t>
  </si>
  <si>
    <t>L5a_NET_MOD_S/4</t>
  </si>
  <si>
    <t>L5a_NET_MOD_S/5</t>
  </si>
  <si>
    <t>L5a_NET_MOD_S/6</t>
  </si>
  <si>
    <t>L5a_NET_MOD_S/7</t>
  </si>
  <si>
    <t>L5a_NET_MOD_S/8</t>
  </si>
  <si>
    <t>L5a_NET_MOD_S/9</t>
  </si>
  <si>
    <t>L5a_MOD_NET_N/1</t>
  </si>
  <si>
    <t>L5a_MOD_NET_N</t>
  </si>
  <si>
    <t>L5a_MOD_NET_N/10</t>
  </si>
  <si>
    <t>L5a_MOD_NET_N/2</t>
  </si>
  <si>
    <t>L5a_MOD_NET_N/3</t>
  </si>
  <si>
    <t>L5a_MOD_NET_N/4</t>
  </si>
  <si>
    <t>L5a_MOD_NET_N/5</t>
  </si>
  <si>
    <t>L5a_MOD_NET_N/6</t>
  </si>
  <si>
    <t>L5a_MOD_NET_N/7</t>
  </si>
  <si>
    <t>L5a_MOD_NET_N/8</t>
  </si>
  <si>
    <t>L5a_MOD_NET_N/9</t>
  </si>
  <si>
    <t>L4b_HMK_ASK_S/1</t>
  </si>
  <si>
    <t>L4b_HMK_ASK_S</t>
  </si>
  <si>
    <t>L4b_HMK_ASK_S/10</t>
  </si>
  <si>
    <t>L4b_HMK_ASK_S/2</t>
  </si>
  <si>
    <t>L4b_HMK_ASK_S/3</t>
  </si>
  <si>
    <t>L4b_HMK_ASK_S/4</t>
  </si>
  <si>
    <t>L4b_HMK_ASK_S/5</t>
  </si>
  <si>
    <t>L4b_HMK_ASK_S/6</t>
  </si>
  <si>
    <t>L4b_HMK_ASK_S/7</t>
  </si>
  <si>
    <t>L4b_HMK_ASK_S/8</t>
  </si>
  <si>
    <t>L4b_HMK_ASK_S/9</t>
  </si>
  <si>
    <t>L4b_ASK_HMK_N/1</t>
  </si>
  <si>
    <t>L4b_ASK_HMK_N</t>
  </si>
  <si>
    <t>L4b_ASK_HMK_N/10</t>
  </si>
  <si>
    <t>L4b_ASK_HMK_N/2</t>
  </si>
  <si>
    <t>L4b_ASK_HMK_N/3</t>
  </si>
  <si>
    <t>L4b_ASK_HMK_N/4</t>
  </si>
  <si>
    <t>L4b_ASK_HMK_N/5</t>
  </si>
  <si>
    <t>L4b_ASK_HMK_N/6</t>
  </si>
  <si>
    <t>L4b_ASK_HMK_N/7</t>
  </si>
  <si>
    <t>L4b_ASK_HMK_N/8</t>
  </si>
  <si>
    <t>L4b_ASK_HMK_N/9</t>
  </si>
  <si>
    <t>L4a_BIN_ASK_S/1</t>
  </si>
  <si>
    <t>L4a_BIN_ASK_S</t>
  </si>
  <si>
    <t>L4a_BIN_ASK_S/10</t>
  </si>
  <si>
    <t>L4a_BIN_ASK_S/2</t>
  </si>
  <si>
    <t>L4a_BIN_ASK_S/3</t>
  </si>
  <si>
    <t>L4a_BIN_ASK_S/4</t>
  </si>
  <si>
    <t>L4a_BIN_ASK_S/5</t>
  </si>
  <si>
    <t>L4a_BIN_ASK_S/6</t>
  </si>
  <si>
    <t>L4a_BIN_ASK_S/7</t>
  </si>
  <si>
    <t>L4a_BIN_ASK_S/8</t>
  </si>
  <si>
    <t>L4a_BIN_ASK_S/9</t>
  </si>
  <si>
    <t>L4a_ASK_BIN_N/1</t>
  </si>
  <si>
    <t>L4a_ASK_BIN_N</t>
  </si>
  <si>
    <t>L4a_ASK_BIN_N/10</t>
  </si>
  <si>
    <t>L4a_ASK_BIN_N/2</t>
  </si>
  <si>
    <t>L4a_ASK_BIN_N/3</t>
  </si>
  <si>
    <t>L4a_ASK_BIN_N/4</t>
  </si>
  <si>
    <t>L4a_ASK_BIN_N/5</t>
  </si>
  <si>
    <t>L4a_ASK_BIN_N/6</t>
  </si>
  <si>
    <t>L4a_ASK_BIN_N/7</t>
  </si>
  <si>
    <t>L4a_ASK_BIN_N/8</t>
  </si>
  <si>
    <t>L4a_ASK_BIN_N/9</t>
  </si>
  <si>
    <t>L3_NET_BSM_S/1</t>
  </si>
  <si>
    <t>L3_NET_BSM_S</t>
  </si>
  <si>
    <t>L3_NET_BSM_S/10</t>
  </si>
  <si>
    <t>L3_NET_BSM_S/2</t>
  </si>
  <si>
    <t>L3_NET_BSM_S/3</t>
  </si>
  <si>
    <t>L3_NET_BSM_S/4</t>
  </si>
  <si>
    <t>L3_NET_BSM_S/5</t>
  </si>
  <si>
    <t>L3_NET_BSM_S/6</t>
  </si>
  <si>
    <t>L3_NET_BSM_S/7</t>
  </si>
  <si>
    <t>L3_NET_BSM_S/8</t>
  </si>
  <si>
    <t>L3_NET_BSM_S/9</t>
  </si>
  <si>
    <t>L3_BSM_NET_N/1</t>
  </si>
  <si>
    <t>L3_BSM_NET_N</t>
  </si>
  <si>
    <t>L3_BSM_NET_N/10</t>
  </si>
  <si>
    <t>L3_BSM_NET_N/2</t>
  </si>
  <si>
    <t>L3_BSM_NET_N/3</t>
  </si>
  <si>
    <t>L3_BSM_NET_N/4</t>
  </si>
  <si>
    <t>L3_BSM_NET_N/5</t>
  </si>
  <si>
    <t>L3_BSM_NET_N/6</t>
  </si>
  <si>
    <t>L3_BSM_NET_N/7</t>
  </si>
  <si>
    <t>L3_BSM_NET_N/8</t>
  </si>
  <si>
    <t>L3_BSM_NET_N/9</t>
  </si>
  <si>
    <t>L2_KRML_HBD_BSM_S/1</t>
  </si>
  <si>
    <t>L2_KRML_HBD_BSM_S</t>
  </si>
  <si>
    <t>L2_KRML_HBD_BSM_S/10</t>
  </si>
  <si>
    <t>L2_KRML_HBD_BSM_S/2</t>
  </si>
  <si>
    <t>L2_KRML_HBD_BSM_S/3</t>
  </si>
  <si>
    <t>L2_KRML_HBD_BSM_S/4</t>
  </si>
  <si>
    <t>L2_KRML_HBD_BSM_S/5</t>
  </si>
  <si>
    <t>L2_KRML_HBD_BSM_S/6</t>
  </si>
  <si>
    <t>L2_KRML_HBD_BSM_S/7</t>
  </si>
  <si>
    <t>L2_KRML_HBD_BSM_S/8</t>
  </si>
  <si>
    <t>L2_KRML_HBD_BSM_S/9</t>
  </si>
  <si>
    <t>L2_BSM_HBD_KRML_N/1</t>
  </si>
  <si>
    <t>L2_BSM_HBD_KRML_N</t>
  </si>
  <si>
    <t>L2_BSM_HBD_KRML_N/10</t>
  </si>
  <si>
    <t>L2_BSM_HBD_KRML_N/2</t>
  </si>
  <si>
    <t>L2_BSM_HBD_KRML_N/3</t>
  </si>
  <si>
    <t>L2_BSM_HBD_KRML_N/4</t>
  </si>
  <si>
    <t>L2_BSM_HBD_KRML_N/5</t>
  </si>
  <si>
    <t>L2_BSM_HBD_KRML_N/6</t>
  </si>
  <si>
    <t>L2_BSM_HBD_KRML_N/7</t>
  </si>
  <si>
    <t>L2_BSM_HBD_KRML_N/8</t>
  </si>
  <si>
    <t>L2_BSM_HBD_KRML_N/9</t>
  </si>
  <si>
    <t>L20_MON_BS_N/1</t>
  </si>
  <si>
    <t>L20_MON_BS_N</t>
  </si>
  <si>
    <t>L20_MON_BS_N/10</t>
  </si>
  <si>
    <t>L20_MON_BS_N/2</t>
  </si>
  <si>
    <t>L20_MON_BS_N/3</t>
  </si>
  <si>
    <t>L20_MON_BS_N/4</t>
  </si>
  <si>
    <t>L20_MON_BS_N/5</t>
  </si>
  <si>
    <t>L20_MON_BS_N/6</t>
  </si>
  <si>
    <t>L20_MON_BS_N/7</t>
  </si>
  <si>
    <t>L20_MON_BS_N/8</t>
  </si>
  <si>
    <t>L20_MON_BS_N/9</t>
  </si>
  <si>
    <t>L20_BS_MON_S/1</t>
  </si>
  <si>
    <t>L20_BS_MON_S</t>
  </si>
  <si>
    <t>L20_BS_MON_S/10</t>
  </si>
  <si>
    <t>L20_BS_MON_S/2</t>
  </si>
  <si>
    <t>L20_BS_MON_S/3</t>
  </si>
  <si>
    <t>L20_BS_MON_S/4</t>
  </si>
  <si>
    <t>L20_BS_MON_S/5</t>
  </si>
  <si>
    <t>L20_BS_MON_S/6</t>
  </si>
  <si>
    <t>L20_BS_MON_S/7</t>
  </si>
  <si>
    <t>L20_BS_MON_S/8</t>
  </si>
  <si>
    <t>L20_BS_MON_S/9</t>
  </si>
  <si>
    <t>L1_KRML_NTBG_BSM_S/1</t>
  </si>
  <si>
    <t>L1_KRML_NTBG_BSM_S</t>
  </si>
  <si>
    <t>L1_KRML_NTBG_BSM_S/10</t>
  </si>
  <si>
    <t>L1_KRML_NTBG_BSM_S/2</t>
  </si>
  <si>
    <t>L1_KRML_NTBG_BSM_S/3</t>
  </si>
  <si>
    <t>L1_KRML_NTBG_BSM_S/4</t>
  </si>
  <si>
    <t>L1_KRML_NTBG_BSM_S/5</t>
  </si>
  <si>
    <t>L1_KRML_NTBG_BSM_S/6</t>
  </si>
  <si>
    <t>L1_KRML_NTBG_BSM_S/7</t>
  </si>
  <si>
    <t>L1_KRML_NTBG_BSM_S/8</t>
  </si>
  <si>
    <t>L1_KRML_NTBG_BSM_S/9</t>
  </si>
  <si>
    <t>L1_BSM_NTBG_KRML_N/1</t>
  </si>
  <si>
    <t>L1_BSM_NTBG_KRML_N</t>
  </si>
  <si>
    <t>L1_BSM_NTBG_KRML_N/10</t>
  </si>
  <si>
    <t>L1_BSM_NTBG_KRML_N/2</t>
  </si>
  <si>
    <t>L1_BSM_NTBG_KRML_N/3</t>
  </si>
  <si>
    <t>L1_BSM_NTBG_KRML_N/4</t>
  </si>
  <si>
    <t>L1_BSM_NTBG_KRML_N/5</t>
  </si>
  <si>
    <t>L1_BSM_NTBG_KRML_N/6</t>
  </si>
  <si>
    <t>L1_BSM_NTBG_KRML_N/7</t>
  </si>
  <si>
    <t>L1_BSM_NTBG_KRML_N/8</t>
  </si>
  <si>
    <t>L1_BSM_NTBG_KRML_N/9</t>
  </si>
  <si>
    <t>L19_SMS_ELAD_N/1</t>
  </si>
  <si>
    <t>L19_SMS_ELAD_N</t>
  </si>
  <si>
    <t>L19_SMS_ELAD_N/10</t>
  </si>
  <si>
    <t>L19_SMS_ELAD_N/2</t>
  </si>
  <si>
    <t>L19_SMS_ELAD_N/3</t>
  </si>
  <si>
    <t>L19_SMS_ELAD_N/4</t>
  </si>
  <si>
    <t>L19_SMS_ELAD_N/5</t>
  </si>
  <si>
    <t>L19_SMS_ELAD_N/6</t>
  </si>
  <si>
    <t>L19_SMS_ELAD_N/7</t>
  </si>
  <si>
    <t>L19_SMS_ELAD_N/8</t>
  </si>
  <si>
    <t>L19_SMS_ELAD_N/9</t>
  </si>
  <si>
    <t>L19_ELAD_SMS_S/1</t>
  </si>
  <si>
    <t>L19_ELAD_SMS_S</t>
  </si>
  <si>
    <t>L19_ELAD_SMS_S/10</t>
  </si>
  <si>
    <t>L19_ELAD_SMS_S/2</t>
  </si>
  <si>
    <t>L19_ELAD_SMS_S/3</t>
  </si>
  <si>
    <t>L19_ELAD_SMS_S/4</t>
  </si>
  <si>
    <t>L19_ELAD_SMS_S/5</t>
  </si>
  <si>
    <t>L19_ELAD_SMS_S/6</t>
  </si>
  <si>
    <t>L19_ELAD_SMS_S/7</t>
  </si>
  <si>
    <t>L19_ELAD_SMS_S/8</t>
  </si>
  <si>
    <t>L19_ELAD_SMS_S/9</t>
  </si>
  <si>
    <t>L17_SMS_SHF_N/1</t>
  </si>
  <si>
    <t>L17_SMS_SHF_N</t>
  </si>
  <si>
    <t>L17_SHF_SMS_S/1</t>
  </si>
  <si>
    <t>L17_SHF_SMS_S</t>
  </si>
  <si>
    <t>L17x_SMS_SHF_N/1</t>
  </si>
  <si>
    <t>L17x_SMS_SHF_N</t>
  </si>
  <si>
    <t>L17x_SMS_SHF_N/10</t>
  </si>
  <si>
    <t>L17x_SMS_SHF_N/2</t>
  </si>
  <si>
    <t>L17x_SMS_SHF_N/3</t>
  </si>
  <si>
    <t>L17x_SMS_SHF_N/4</t>
  </si>
  <si>
    <t>L17x_SMS_SHF_N/5</t>
  </si>
  <si>
    <t>L17x_SMS_SHF_N/6</t>
  </si>
  <si>
    <t>L17x_SMS_SHF_N/7</t>
  </si>
  <si>
    <t>L17x_SMS_SHF_N/8</t>
  </si>
  <si>
    <t>L17x_SMS_SHF_N/9</t>
  </si>
  <si>
    <t>L17x_SHF_SMS_S/1</t>
  </si>
  <si>
    <t>L17x_SHF_SMS_S</t>
  </si>
  <si>
    <t>L17x_SHF_SMS_S/10</t>
  </si>
  <si>
    <t>L17x_SHF_SMS_S/2</t>
  </si>
  <si>
    <t>L17x_SHF_SMS_S/3</t>
  </si>
  <si>
    <t>L17x_SHF_SMS_S/4</t>
  </si>
  <si>
    <t>L17x_SHF_SMS_S/5</t>
  </si>
  <si>
    <t>L17x_SHF_SMS_S/6</t>
  </si>
  <si>
    <t>L17x_SHF_SMS_S/7</t>
  </si>
  <si>
    <t>L17x_SHF_SMS_S/8</t>
  </si>
  <si>
    <t>L17x_SHF_SMS_S/9</t>
  </si>
  <si>
    <t>L16b_CRM_BHN_N/1</t>
  </si>
  <si>
    <t>L16b_CRM_BHN_N</t>
  </si>
  <si>
    <t>L16b_CRM_BHN_N/10</t>
  </si>
  <si>
    <t>L16b_CRM_BHN_N/2</t>
  </si>
  <si>
    <t>L16b_CRM_BHN_N/3</t>
  </si>
  <si>
    <t>L16b_CRM_BHN_N/4</t>
  </si>
  <si>
    <t>L16b_CRM_BHN_N/5</t>
  </si>
  <si>
    <t>L16b_CRM_BHN_N/6</t>
  </si>
  <si>
    <t>L16b_CRM_BHN_N/7</t>
  </si>
  <si>
    <t>L16b_CRM_BHN_N/8</t>
  </si>
  <si>
    <t>L16b_CRM_BHN_N/9</t>
  </si>
  <si>
    <t>L16b_BHN_CRM_S/1</t>
  </si>
  <si>
    <t>L16b_BHN_CRM_S</t>
  </si>
  <si>
    <t>L16b_BHN_CRM_S/10</t>
  </si>
  <si>
    <t>L16b_BHN_CRM_S/2</t>
  </si>
  <si>
    <t>L16b_BHN_CRM_S/3</t>
  </si>
  <si>
    <t>L16b_BHN_CRM_S/4</t>
  </si>
  <si>
    <t>L16b_BHN_CRM_S/5</t>
  </si>
  <si>
    <t>L16b_BHN_CRM_S/6</t>
  </si>
  <si>
    <t>L16b_BHN_CRM_S/7</t>
  </si>
  <si>
    <t>L16b_BHN_CRM_S/8</t>
  </si>
  <si>
    <t>L16b_BHN_CRM_S/9</t>
  </si>
  <si>
    <t>L16a_BHN_ATL_S/1</t>
  </si>
  <si>
    <t>L16a_BHN_ATL_S</t>
  </si>
  <si>
    <t>L16a_BHN_ATL_S/10</t>
  </si>
  <si>
    <t>L16a_BHN_ATL_S/2</t>
  </si>
  <si>
    <t>L16a_BHN_ATL_S/3</t>
  </si>
  <si>
    <t>L16a_BHN_ATL_S/4</t>
  </si>
  <si>
    <t>L16a_BHN_ATL_S/5</t>
  </si>
  <si>
    <t>L16a_BHN_ATL_S/6</t>
  </si>
  <si>
    <t>L16a_BHN_ATL_S/7</t>
  </si>
  <si>
    <t>L16a_BHN_ATL_S/8</t>
  </si>
  <si>
    <t>L16a_BHN_ATL_S/9</t>
  </si>
  <si>
    <t>L16a_ATL_BHN_N/1</t>
  </si>
  <si>
    <t>L16a_ATL_BHN_N</t>
  </si>
  <si>
    <t>L16a_ATL_BHN_N/10</t>
  </si>
  <si>
    <t>L16a_ATL_BHN_N/2</t>
  </si>
  <si>
    <t>L16a_ATL_BHN_N/3</t>
  </si>
  <si>
    <t>L16a_ATL_BHN_N/4</t>
  </si>
  <si>
    <t>L16a_ATL_BHN_N/5</t>
  </si>
  <si>
    <t>L16a_ATL_BHN_N/6</t>
  </si>
  <si>
    <t>L16a_ATL_BHN_N/7</t>
  </si>
  <si>
    <t>L16a_ATL_BHN_N/8</t>
  </si>
  <si>
    <t>L16a_ATL_BHN_N/9</t>
  </si>
  <si>
    <t>L13b_SHK_ELAD_N/1</t>
  </si>
  <si>
    <t>L13b_SHK_ELAD_N</t>
  </si>
  <si>
    <t>L13b_SHK_ELAD_N/10</t>
  </si>
  <si>
    <t>L13b_SHK_ELAD_N/2</t>
  </si>
  <si>
    <t>L13b_SHK_ELAD_N/3</t>
  </si>
  <si>
    <t>L13b_SHK_ELAD_N/4</t>
  </si>
  <si>
    <t>L13b_SHK_ELAD_N/5</t>
  </si>
  <si>
    <t>L13b_SHK_ELAD_N/6</t>
  </si>
  <si>
    <t>L13b_SHK_ELAD_N/7</t>
  </si>
  <si>
    <t>L13b_SHK_ELAD_N/8</t>
  </si>
  <si>
    <t>L13b_SHK_ELAD_N/9</t>
  </si>
  <si>
    <t>L13b_ELAD_SHK_S/1</t>
  </si>
  <si>
    <t>L13b_ELAD_SHK_S</t>
  </si>
  <si>
    <t>L13b_ELAD_SHK_S/10</t>
  </si>
  <si>
    <t>L13b_ELAD_SHK_S/2</t>
  </si>
  <si>
    <t>L13b_ELAD_SHK_S/3</t>
  </si>
  <si>
    <t>L13b_ELAD_SHK_S/4</t>
  </si>
  <si>
    <t>L13b_ELAD_SHK_S/5</t>
  </si>
  <si>
    <t>L13b_ELAD_SHK_S/6</t>
  </si>
  <si>
    <t>L13b_ELAD_SHK_S/7</t>
  </si>
  <si>
    <t>L13b_ELAD_SHK_S/8</t>
  </si>
  <si>
    <t>L13b_ELAD_SHK_S/9</t>
  </si>
  <si>
    <t>L13a_SHK_NAR_N/1</t>
  </si>
  <si>
    <t>L13a_SHK_NAR_N</t>
  </si>
  <si>
    <t>L13a_SHK_NAR_N/10</t>
  </si>
  <si>
    <t>L13a_SHK_NAR_N/2</t>
  </si>
  <si>
    <t>L13a_SHK_NAR_N/3</t>
  </si>
  <si>
    <t>L13a_SHK_NAR_N/4</t>
  </si>
  <si>
    <t>L13a_SHK_NAR_N/5</t>
  </si>
  <si>
    <t>L13a_SHK_NAR_N/6</t>
  </si>
  <si>
    <t>L13a_SHK_NAR_N/7</t>
  </si>
  <si>
    <t>L13a_SHK_NAR_N/8</t>
  </si>
  <si>
    <t>L13a_SHK_NAR_N/9</t>
  </si>
  <si>
    <t>L13a_NAR_SHK_S/1</t>
  </si>
  <si>
    <t>L13a_NAR_SHK/KIM_S</t>
  </si>
  <si>
    <t>L13a_NAR_SHK_S/10</t>
  </si>
  <si>
    <t>L13a_NAR_SHK_S/2</t>
  </si>
  <si>
    <t>L13a_NAR_SHK_S/3</t>
  </si>
  <si>
    <t>L13a_NAR_SHK_S/4</t>
  </si>
  <si>
    <t>L13a_NAR_SHK_S/5</t>
  </si>
  <si>
    <t>L13a_NAR_SHK_S/6</t>
  </si>
  <si>
    <t>L13a_NAR_SHK_S/7</t>
  </si>
  <si>
    <t>L13a_NAR_SHK_S/8</t>
  </si>
  <si>
    <t>L13a_NAR_SHK_S/9</t>
  </si>
  <si>
    <t>L11_MOD_BUMA_S/1</t>
  </si>
  <si>
    <t>L11_MOD_BUMA_S</t>
  </si>
  <si>
    <t>L11_MOD_BUMA_S/10</t>
  </si>
  <si>
    <t>L11_MOD_BUMA_S/2</t>
  </si>
  <si>
    <t>L11_MOD_BUMA_S/3</t>
  </si>
  <si>
    <t>L11_MOD_BUMA_S/4</t>
  </si>
  <si>
    <t>L11_MOD_BUMA_S/5</t>
  </si>
  <si>
    <t>L11_MOD_BUMA_S/6</t>
  </si>
  <si>
    <t>L11_MOD_BUMA_S/7</t>
  </si>
  <si>
    <t>L11_MOD_BUMA_S/8</t>
  </si>
  <si>
    <t>L11_MOD_BUMA_S/9</t>
  </si>
  <si>
    <t>L11_BUMA_MOD_N/1</t>
  </si>
  <si>
    <t>L11_BUMA_MOD_N</t>
  </si>
  <si>
    <t>L11_BUMA_MOD_N/10</t>
  </si>
  <si>
    <t>L11_BUMA_MOD_N/2</t>
  </si>
  <si>
    <t>L11_BUMA_MOD_N/3</t>
  </si>
  <si>
    <t>L11_BUMA_MOD_N/4</t>
  </si>
  <si>
    <t>L11_BUMA_MOD_N/5</t>
  </si>
  <si>
    <t>L11_BUMA_MOD_N/6</t>
  </si>
  <si>
    <t>L11_BUMA_MOD_N/7</t>
  </si>
  <si>
    <t>L11_BUMA_MOD_N/8</t>
  </si>
  <si>
    <t>L11_BUMA_MOD_N/9</t>
  </si>
  <si>
    <t>L10b_MOD_HADEAST_N/1</t>
  </si>
  <si>
    <t>L10b_MOD_HADEAST_N</t>
  </si>
  <si>
    <t>L10b_MOD_HADEAST_N/10</t>
  </si>
  <si>
    <t>L10b_MOD_HADEAST_N/2</t>
  </si>
  <si>
    <t>L10b_MOD_HADEAST_N/3</t>
  </si>
  <si>
    <t>L10b_MOD_HADEAST_N/4</t>
  </si>
  <si>
    <t>L10b_MOD_HADEAST_N/5</t>
  </si>
  <si>
    <t>L10b_MOD_HADEAST_N/6</t>
  </si>
  <si>
    <t>L10b_MOD_HADEAST_N/7</t>
  </si>
  <si>
    <t>L10b_MOD_HADEAST_N/8</t>
  </si>
  <si>
    <t>L10b_MOD_HADEAST_N/9</t>
  </si>
  <si>
    <t>L10b_HADEAST_MOD_S/1</t>
  </si>
  <si>
    <t>L10b_HADEAST_MOD_S</t>
  </si>
  <si>
    <t>L10b_HADEAST_MOD_S/10</t>
  </si>
  <si>
    <t>L10b_HADEAST_MOD_S/2</t>
  </si>
  <si>
    <t>L10b_HADEAST_MOD_S/3</t>
  </si>
  <si>
    <t>L10b_HADEAST_MOD_S/4</t>
  </si>
  <si>
    <t>L10b_HADEAST_MOD_S/5</t>
  </si>
  <si>
    <t>L10b_HADEAST_MOD_S/6</t>
  </si>
  <si>
    <t>L10b_HADEAST_MOD_S/7</t>
  </si>
  <si>
    <t>L10b_HADEAST_MOD_S/8</t>
  </si>
  <si>
    <t>L10b_HADEAST_MOD_S/9</t>
  </si>
  <si>
    <t>L10a_HADEAST_BUMA_S/1</t>
  </si>
  <si>
    <t>L10a_HADEAST_BUMA_S</t>
  </si>
  <si>
    <t>L10a_HADEAST_BUMA_S/10</t>
  </si>
  <si>
    <t>L10a_HADEAST_BUMA_S/2</t>
  </si>
  <si>
    <t>L10a_HADEAST_BUMA_S/3</t>
  </si>
  <si>
    <t>L10a_HADEAST_BUMA_S/4</t>
  </si>
  <si>
    <t>L10a_HADEAST_BUMA_S/5</t>
  </si>
  <si>
    <t>L10a_HADEAST_BUMA_S/6</t>
  </si>
  <si>
    <t>L10a_HADEAST_BUMA_S/7</t>
  </si>
  <si>
    <t>L10a_HADEAST_BUMA_S/8</t>
  </si>
  <si>
    <t>L10a_HADEAST_BUMA_S/9</t>
  </si>
  <si>
    <t>L10a_BUMA_HADEAST_N/1</t>
  </si>
  <si>
    <t>L10a_BUMA_HADEAST_N</t>
  </si>
  <si>
    <t>L10a_BUMA_HADEAST_N/10</t>
  </si>
  <si>
    <t>L10a_BUMA_HADEAST_N/2</t>
  </si>
  <si>
    <t>L10a_BUMA_HADEAST_N/3</t>
  </si>
  <si>
    <t>L10a_BUMA_HADEAST_N/4</t>
  </si>
  <si>
    <t>L10a_BUMA_HADEAST_N/5</t>
  </si>
  <si>
    <t>L10a_BUMA_HADEAST_N/6</t>
  </si>
  <si>
    <t>L10a_BUMA_HADEAST_N/7</t>
  </si>
  <si>
    <t>L10a_BUMA_HADEAST_N/8</t>
  </si>
  <si>
    <t>L10a_BUMA_HADEAST_N/9</t>
  </si>
  <si>
    <t>Art</t>
  </si>
  <si>
    <t>Erste Zugfahrt</t>
  </si>
  <si>
    <t>Zweite Zugfahrt</t>
  </si>
  <si>
    <t>Start-Abfahrtzeit</t>
  </si>
  <si>
    <t>Betriebsstelle</t>
  </si>
  <si>
    <t>Status</t>
  </si>
  <si>
    <t>Ankunft erster Zug</t>
  </si>
  <si>
    <t>Abfahrt erster Zug</t>
  </si>
  <si>
    <t>Mindesthalt erster Zug</t>
  </si>
  <si>
    <t>Ankunft zweiter Zug</t>
  </si>
  <si>
    <t>Abfahrt zweiter Zug</t>
  </si>
  <si>
    <t>Erste Leistung auf Linie</t>
  </si>
  <si>
    <t>Fzg_Index_Start</t>
  </si>
  <si>
    <t>Laufweg</t>
  </si>
  <si>
    <t>Fzg_Baureihe</t>
  </si>
  <si>
    <t>Fzg_Index</t>
  </si>
  <si>
    <t>n-te Fahrt</t>
  </si>
  <si>
    <t>Fortsetzung</t>
  </si>
  <si>
    <t>BS (_Be'er Sheva North / University__7300__2019)</t>
  </si>
  <si>
    <t>Erfüllt</t>
  </si>
  <si>
    <t>05:28:40</t>
  </si>
  <si>
    <t>05:45:41</t>
  </si>
  <si>
    <t>03:30</t>
  </si>
  <si>
    <t>05:45:42</t>
  </si>
  <si>
    <t>06:02:43</t>
  </si>
  <si>
    <t>MON (_Dimona__7500__2019)</t>
  </si>
  <si>
    <t>06:31:18</t>
  </si>
  <si>
    <t>06:45:49</t>
  </si>
  <si>
    <t>07:00:20</t>
  </si>
  <si>
    <t>07:28:40</t>
  </si>
  <si>
    <t>07:45:41</t>
  </si>
  <si>
    <t>07:45:42</t>
  </si>
  <si>
    <t>08:02:43</t>
  </si>
  <si>
    <t>08:31:18</t>
  </si>
  <si>
    <t>08:45:49</t>
  </si>
  <si>
    <t>09:00:20</t>
  </si>
  <si>
    <t>09:28:40</t>
  </si>
  <si>
    <t>09:45:41</t>
  </si>
  <si>
    <t>09:45:42</t>
  </si>
  <si>
    <t>10:02:43</t>
  </si>
  <si>
    <t>10:31:18</t>
  </si>
  <si>
    <t>10:45:49</t>
  </si>
  <si>
    <t>11:00:20</t>
  </si>
  <si>
    <t>11:28:40</t>
  </si>
  <si>
    <t>11:45:41</t>
  </si>
  <si>
    <t>11:45:42</t>
  </si>
  <si>
    <t>12:02:43</t>
  </si>
  <si>
    <t>12:31:18</t>
  </si>
  <si>
    <t>12:45:49</t>
  </si>
  <si>
    <t>13:00:20</t>
  </si>
  <si>
    <t>13:28:40</t>
  </si>
  <si>
    <t>13:45:41</t>
  </si>
  <si>
    <t>13:45:42</t>
  </si>
  <si>
    <t>14:02:43</t>
  </si>
  <si>
    <t>BUMA (_Binyanei Ha-Uma__0680__2019)</t>
  </si>
  <si>
    <t>05:29:22</t>
  </si>
  <si>
    <t>05:50:51</t>
  </si>
  <si>
    <t>06:12:20</t>
  </si>
  <si>
    <t>MOD (_Modi'in Center__0400__2019)</t>
  </si>
  <si>
    <t>06:36:02</t>
  </si>
  <si>
    <t>06:51:00</t>
  </si>
  <si>
    <t>07:05:58</t>
  </si>
  <si>
    <t>07:29:22</t>
  </si>
  <si>
    <t>07:50:51</t>
  </si>
  <si>
    <t>08:12:20</t>
  </si>
  <si>
    <t>08:36:02</t>
  </si>
  <si>
    <t>08:51:00</t>
  </si>
  <si>
    <t>09:05:58</t>
  </si>
  <si>
    <t>09:29:22</t>
  </si>
  <si>
    <t>09:50:51</t>
  </si>
  <si>
    <t>10:12:20</t>
  </si>
  <si>
    <t>10:36:02</t>
  </si>
  <si>
    <t>10:51:00</t>
  </si>
  <si>
    <t>11:05:58</t>
  </si>
  <si>
    <t>11:29:21</t>
  </si>
  <si>
    <t>11:50:50</t>
  </si>
  <si>
    <t>11:50:51</t>
  </si>
  <si>
    <t>12:12:20</t>
  </si>
  <si>
    <t>12:36:02</t>
  </si>
  <si>
    <t>12:51:00</t>
  </si>
  <si>
    <t>13:05:58</t>
  </si>
  <si>
    <t>13:29:22</t>
  </si>
  <si>
    <t>13:50:51</t>
  </si>
  <si>
    <t>14:12:20</t>
  </si>
  <si>
    <t>05:31:18</t>
  </si>
  <si>
    <t>05:45:49</t>
  </si>
  <si>
    <t>06:00:20</t>
  </si>
  <si>
    <t>06:28:40</t>
  </si>
  <si>
    <t>06:45:41</t>
  </si>
  <si>
    <t>06:45:42</t>
  </si>
  <si>
    <t>07:02:43</t>
  </si>
  <si>
    <t>07:31:18</t>
  </si>
  <si>
    <t>07:45:49</t>
  </si>
  <si>
    <t>08:00:20</t>
  </si>
  <si>
    <t>08:28:40</t>
  </si>
  <si>
    <t>08:45:41</t>
  </si>
  <si>
    <t>08:45:42</t>
  </si>
  <si>
    <t>09:02:43</t>
  </si>
  <si>
    <t>09:31:18</t>
  </si>
  <si>
    <t>09:45:49</t>
  </si>
  <si>
    <t>10:00:20</t>
  </si>
  <si>
    <t>10:28:40</t>
  </si>
  <si>
    <t>10:45:41</t>
  </si>
  <si>
    <t>10:45:42</t>
  </si>
  <si>
    <t>11:02:43</t>
  </si>
  <si>
    <t>11:31:18</t>
  </si>
  <si>
    <t>11:45:49</t>
  </si>
  <si>
    <t>12:00:20</t>
  </si>
  <si>
    <t>12:28:40</t>
  </si>
  <si>
    <t>12:45:41</t>
  </si>
  <si>
    <t>12:45:42</t>
  </si>
  <si>
    <t>13:02:43</t>
  </si>
  <si>
    <t>13:31:18</t>
  </si>
  <si>
    <t>13:45:49</t>
  </si>
  <si>
    <t>14:00:20</t>
  </si>
  <si>
    <t>05:36:02</t>
  </si>
  <si>
    <t>05:51:00</t>
  </si>
  <si>
    <t>06:05:58</t>
  </si>
  <si>
    <t>06:29:22</t>
  </si>
  <si>
    <t>06:50:51</t>
  </si>
  <si>
    <t>07:12:20</t>
  </si>
  <si>
    <t>07:36:02</t>
  </si>
  <si>
    <t>07:51:00</t>
  </si>
  <si>
    <t>08:05:58</t>
  </si>
  <si>
    <t>08:29:22</t>
  </si>
  <si>
    <t>08:50:51</t>
  </si>
  <si>
    <t>09:12:20</t>
  </si>
  <si>
    <t>09:36:02</t>
  </si>
  <si>
    <t>09:51:00</t>
  </si>
  <si>
    <t>10:05:58</t>
  </si>
  <si>
    <t>10:29:22</t>
  </si>
  <si>
    <t>10:50:51</t>
  </si>
  <si>
    <t>11:12:20</t>
  </si>
  <si>
    <t>11:36:02</t>
  </si>
  <si>
    <t>11:51:00</t>
  </si>
  <si>
    <t>12:05:58</t>
  </si>
  <si>
    <t>12:29:22</t>
  </si>
  <si>
    <t>12:50:51</t>
  </si>
  <si>
    <t>13:12:20</t>
  </si>
  <si>
    <t>13:36:02</t>
  </si>
  <si>
    <t>13:51:00</t>
  </si>
  <si>
    <t>14:05:58</t>
  </si>
  <si>
    <t>RZL (_Hertsliyya__3500__2019)</t>
  </si>
  <si>
    <t>05:45:19</t>
  </si>
  <si>
    <t>05:50:23</t>
  </si>
  <si>
    <t>05:55:27</t>
  </si>
  <si>
    <t>06:50:06</t>
  </si>
  <si>
    <t>06:52:38</t>
  </si>
  <si>
    <t>02:30</t>
  </si>
  <si>
    <t>06:55:10</t>
  </si>
  <si>
    <t>07:45:19</t>
  </si>
  <si>
    <t>07:50:23</t>
  </si>
  <si>
    <t>07:55:27</t>
  </si>
  <si>
    <t>08:50:06</t>
  </si>
  <si>
    <t>08:52:38</t>
  </si>
  <si>
    <t>08:55:10</t>
  </si>
  <si>
    <t>09:45:19</t>
  </si>
  <si>
    <t>09:50:23</t>
  </si>
  <si>
    <t>09:55:27</t>
  </si>
  <si>
    <t>10:50:06</t>
  </si>
  <si>
    <t>10:52:38</t>
  </si>
  <si>
    <t>10:55:10</t>
  </si>
  <si>
    <t>11:45:19</t>
  </si>
  <si>
    <t>11:50:23</t>
  </si>
  <si>
    <t>11:55:27</t>
  </si>
  <si>
    <t>12:50:06</t>
  </si>
  <si>
    <t>12:52:38</t>
  </si>
  <si>
    <t>12:55:10</t>
  </si>
  <si>
    <t>13:45:19</t>
  </si>
  <si>
    <t>13:50:23</t>
  </si>
  <si>
    <t>13:55:27</t>
  </si>
  <si>
    <t>05:50:06</t>
  </si>
  <si>
    <t>05:52:38</t>
  </si>
  <si>
    <t>05:55:10</t>
  </si>
  <si>
    <t>06:45:19</t>
  </si>
  <si>
    <t>06:50:23</t>
  </si>
  <si>
    <t>06:55:27</t>
  </si>
  <si>
    <t>07:50:06</t>
  </si>
  <si>
    <t>07:52:38</t>
  </si>
  <si>
    <t>07:55:10</t>
  </si>
  <si>
    <t>08:45:19</t>
  </si>
  <si>
    <t>08:50:23</t>
  </si>
  <si>
    <t>08:55:27</t>
  </si>
  <si>
    <t>09:50:06</t>
  </si>
  <si>
    <t>09:52:38</t>
  </si>
  <si>
    <t>09:55:10</t>
  </si>
  <si>
    <t>10:45:19</t>
  </si>
  <si>
    <t>10:50:23</t>
  </si>
  <si>
    <t>10:55:27</t>
  </si>
  <si>
    <t>11:50:06</t>
  </si>
  <si>
    <t>11:52:38</t>
  </si>
  <si>
    <t>11:55:10</t>
  </si>
  <si>
    <t>12:45:19</t>
  </si>
  <si>
    <t>12:50:23</t>
  </si>
  <si>
    <t>12:55:27</t>
  </si>
  <si>
    <t>13:50:06</t>
  </si>
  <si>
    <t>13:52:38</t>
  </si>
  <si>
    <t>13:55:10</t>
  </si>
  <si>
    <t>RS (_Rosh Ha-Ayin Darom__4500__2030)</t>
  </si>
  <si>
    <t>05:55:12</t>
  </si>
  <si>
    <t>06:06:06</t>
  </si>
  <si>
    <t>06:17:00</t>
  </si>
  <si>
    <t>SMS (_Bet Shemesh__6300__2019)</t>
  </si>
  <si>
    <t>07:03:46</t>
  </si>
  <si>
    <t>07:09:13</t>
  </si>
  <si>
    <t>07:14:40</t>
  </si>
  <si>
    <t>SHF (_Shfaim__2900__2019)</t>
  </si>
  <si>
    <t>08:21:50</t>
  </si>
  <si>
    <t>08:32:48</t>
  </si>
  <si>
    <t>08:43:46</t>
  </si>
  <si>
    <t>09:55:07</t>
  </si>
  <si>
    <t>10:00:27</t>
  </si>
  <si>
    <t>10:05:48</t>
  </si>
  <si>
    <t>10:55:12</t>
  </si>
  <si>
    <t>11:06:06</t>
  </si>
  <si>
    <t>11:17:00</t>
  </si>
  <si>
    <t>12:03:46</t>
  </si>
  <si>
    <t>12:09:13</t>
  </si>
  <si>
    <t>12:14:40</t>
  </si>
  <si>
    <t>13:21:50</t>
  </si>
  <si>
    <t>13:32:48</t>
  </si>
  <si>
    <t>13:43:46</t>
  </si>
  <si>
    <t>06:03:46</t>
  </si>
  <si>
    <t>06:09:13</t>
  </si>
  <si>
    <t>06:14:40</t>
  </si>
  <si>
    <t>07:21:50</t>
  </si>
  <si>
    <t>07:32:48</t>
  </si>
  <si>
    <t>07:43:46</t>
  </si>
  <si>
    <t>08:55:07</t>
  </si>
  <si>
    <t>09:00:27</t>
  </si>
  <si>
    <t>09:05:48</t>
  </si>
  <si>
    <t>09:55:12</t>
  </si>
  <si>
    <t>10:06:06</t>
  </si>
  <si>
    <t>10:17:00</t>
  </si>
  <si>
    <t>11:03:46</t>
  </si>
  <si>
    <t>11:09:13</t>
  </si>
  <si>
    <t>11:14:40</t>
  </si>
  <si>
    <t>12:21:50</t>
  </si>
  <si>
    <t>12:32:48</t>
  </si>
  <si>
    <t>12:43:46</t>
  </si>
  <si>
    <t>13:55:07</t>
  </si>
  <si>
    <t>14:00:27</t>
  </si>
  <si>
    <t>14:05:48</t>
  </si>
  <si>
    <t>06:04:59</t>
  </si>
  <si>
    <t>06:26:43</t>
  </si>
  <si>
    <t>06:48:27</t>
  </si>
  <si>
    <t>HY (_Yavne East__5410__2019)</t>
  </si>
  <si>
    <t>07:55:25</t>
  </si>
  <si>
    <t>08:19:03</t>
  </si>
  <si>
    <t>08:19:04</t>
  </si>
  <si>
    <t>08:42:42</t>
  </si>
  <si>
    <t>09:48:28</t>
  </si>
  <si>
    <t>10:02:24</t>
  </si>
  <si>
    <t>10:16:20</t>
  </si>
  <si>
    <t>11:21:43</t>
  </si>
  <si>
    <t>11:41:12</t>
  </si>
  <si>
    <t>12:00:41</t>
  </si>
  <si>
    <t>13:04:59</t>
  </si>
  <si>
    <t>13:26:43</t>
  </si>
  <si>
    <t>13:48:27</t>
  </si>
  <si>
    <t>BHN (_Bet She'an__1280__2019)</t>
  </si>
  <si>
    <t>06:23:02</t>
  </si>
  <si>
    <t>06:38:00</t>
  </si>
  <si>
    <t>CRM (_Hefa Hof HaKarmel __2300__2020)</t>
  </si>
  <si>
    <t>07:37:39</t>
  </si>
  <si>
    <t>07:53:57</t>
  </si>
  <si>
    <t>08:10:16</t>
  </si>
  <si>
    <t>09:08:05</t>
  </si>
  <si>
    <t>09:23:02</t>
  </si>
  <si>
    <t>09:38:00</t>
  </si>
  <si>
    <t>10:37:39</t>
  </si>
  <si>
    <t>10:53:57</t>
  </si>
  <si>
    <t>11:10:16</t>
  </si>
  <si>
    <t>12:08:05</t>
  </si>
  <si>
    <t>12:23:02</t>
  </si>
  <si>
    <t>12:38:00</t>
  </si>
  <si>
    <t>13:37:39</t>
  </si>
  <si>
    <t>13:53:57</t>
  </si>
  <si>
    <t>14:10:16</t>
  </si>
  <si>
    <t>Nicht erfüllt</t>
  </si>
  <si>
    <t>06:15:10</t>
  </si>
  <si>
    <t>06:21:13</t>
  </si>
  <si>
    <t>06:22:02</t>
  </si>
  <si>
    <t>06:28:05</t>
  </si>
  <si>
    <t>HERZ_P (Herzliyya Park)</t>
  </si>
  <si>
    <t>07:24:13</t>
  </si>
  <si>
    <t>07:50:28</t>
  </si>
  <si>
    <t>08:16:43</t>
  </si>
  <si>
    <t>09:15:10</t>
  </si>
  <si>
    <t>09:21:13</t>
  </si>
  <si>
    <t>09:22:02</t>
  </si>
  <si>
    <t>09:28:05</t>
  </si>
  <si>
    <t>10:24:13</t>
  </si>
  <si>
    <t>10:50:28</t>
  </si>
  <si>
    <t>11:16:43</t>
  </si>
  <si>
    <t>12:15:10</t>
  </si>
  <si>
    <t>12:21:13</t>
  </si>
  <si>
    <t>12:22:02</t>
  </si>
  <si>
    <t>12:28:05</t>
  </si>
  <si>
    <t>13:24:13</t>
  </si>
  <si>
    <t>13:50:28</t>
  </si>
  <si>
    <t>14:16:43</t>
  </si>
  <si>
    <t>ATL (_Atlit__2500__2019)</t>
  </si>
  <si>
    <t>06:16:26</t>
  </si>
  <si>
    <t>06:24:33</t>
  </si>
  <si>
    <t>06:32:40</t>
  </si>
  <si>
    <t>07:38:08</t>
  </si>
  <si>
    <t>07:54:04</t>
  </si>
  <si>
    <t>08:10:00</t>
  </si>
  <si>
    <t>09:16:26</t>
  </si>
  <si>
    <t>09:24:33</t>
  </si>
  <si>
    <t>09:32:40</t>
  </si>
  <si>
    <t>10:38:08</t>
  </si>
  <si>
    <t>10:54:04</t>
  </si>
  <si>
    <t>11:10:00</t>
  </si>
  <si>
    <t>12:16:26</t>
  </si>
  <si>
    <t>12:24:33</t>
  </si>
  <si>
    <t>12:32:40</t>
  </si>
  <si>
    <t>13:38:08</t>
  </si>
  <si>
    <t>13:54:04</t>
  </si>
  <si>
    <t>14:10:00</t>
  </si>
  <si>
    <t>SHK (_Shokket_2027)</t>
  </si>
  <si>
    <t>06:17:40</t>
  </si>
  <si>
    <t>06:25:20</t>
  </si>
  <si>
    <t>06:33:00</t>
  </si>
  <si>
    <t>NAR (_Nahariyya__1600__)</t>
  </si>
  <si>
    <t>09:29:34</t>
  </si>
  <si>
    <t>09:49:22</t>
  </si>
  <si>
    <t>10:09:10</t>
  </si>
  <si>
    <t>12:54:53</t>
  </si>
  <si>
    <t>13:10:14</t>
  </si>
  <si>
    <t>13:10:15</t>
  </si>
  <si>
    <t>13:25:36</t>
  </si>
  <si>
    <t>06:21:43</t>
  </si>
  <si>
    <t>06:41:12</t>
  </si>
  <si>
    <t>07:00:41</t>
  </si>
  <si>
    <t>08:04:59</t>
  </si>
  <si>
    <t>08:26:43</t>
  </si>
  <si>
    <t>08:48:27</t>
  </si>
  <si>
    <t>09:55:25</t>
  </si>
  <si>
    <t>10:19:03</t>
  </si>
  <si>
    <t>10:19:04</t>
  </si>
  <si>
    <t>10:42:42</t>
  </si>
  <si>
    <t>11:48:28</t>
  </si>
  <si>
    <t>12:02:24</t>
  </si>
  <si>
    <t>12:16:20</t>
  </si>
  <si>
    <t>13:21:43</t>
  </si>
  <si>
    <t>13:41:12</t>
  </si>
  <si>
    <t>14:00:41</t>
  </si>
  <si>
    <t>06:21:50</t>
  </si>
  <si>
    <t>06:32:48</t>
  </si>
  <si>
    <t>06:43:46</t>
  </si>
  <si>
    <t>07:55:07</t>
  </si>
  <si>
    <t>08:00:27</t>
  </si>
  <si>
    <t>08:05:48</t>
  </si>
  <si>
    <t>08:55:12</t>
  </si>
  <si>
    <t>09:06:06</t>
  </si>
  <si>
    <t>09:17:00</t>
  </si>
  <si>
    <t>10:03:46</t>
  </si>
  <si>
    <t>10:09:13</t>
  </si>
  <si>
    <t>10:14:40</t>
  </si>
  <si>
    <t>11:21:50</t>
  </si>
  <si>
    <t>11:32:48</t>
  </si>
  <si>
    <t>11:43:46</t>
  </si>
  <si>
    <t>12:55:07</t>
  </si>
  <si>
    <t>13:00:27</t>
  </si>
  <si>
    <t>13:05:48</t>
  </si>
  <si>
    <t>13:55:12</t>
  </si>
  <si>
    <t>14:06:06</t>
  </si>
  <si>
    <t>14:17:00</t>
  </si>
  <si>
    <t>06:24:13</t>
  </si>
  <si>
    <t>06:50:28</t>
  </si>
  <si>
    <t>07:16:43</t>
  </si>
  <si>
    <t>08:15:10</t>
  </si>
  <si>
    <t>08:21:13</t>
  </si>
  <si>
    <t>08:22:02</t>
  </si>
  <si>
    <t>08:28:05</t>
  </si>
  <si>
    <t>09:24:12</t>
  </si>
  <si>
    <t>09:50:27</t>
  </si>
  <si>
    <t>09:50:28</t>
  </si>
  <si>
    <t>10:16:43</t>
  </si>
  <si>
    <t>11:15:10</t>
  </si>
  <si>
    <t>11:21:13</t>
  </si>
  <si>
    <t>11:22:02</t>
  </si>
  <si>
    <t>11:28:05</t>
  </si>
  <si>
    <t>12:24:13</t>
  </si>
  <si>
    <t>12:50:28</t>
  </si>
  <si>
    <t>13:16:43</t>
  </si>
  <si>
    <t>14:15:10</t>
  </si>
  <si>
    <t>14:21:13</t>
  </si>
  <si>
    <t>14:22:02</t>
  </si>
  <si>
    <t>14:28:05</t>
  </si>
  <si>
    <t>06:24:58</t>
  </si>
  <si>
    <t>06:36:59</t>
  </si>
  <si>
    <t>06:49:01</t>
  </si>
  <si>
    <t>NET (_Netanya__3300__2019)</t>
  </si>
  <si>
    <t>07:54:11</t>
  </si>
  <si>
    <t>08:02:08</t>
  </si>
  <si>
    <t>08:10:05</t>
  </si>
  <si>
    <t>BSM (_Be’er Sheva Center__7320__2019)</t>
  </si>
  <si>
    <t>10:11:25</t>
  </si>
  <si>
    <t>10:23:11</t>
  </si>
  <si>
    <t>10:23:12</t>
  </si>
  <si>
    <t>10:34:58</t>
  </si>
  <si>
    <t>12:26:54</t>
  </si>
  <si>
    <t>12:35:32</t>
  </si>
  <si>
    <t>12:35:33</t>
  </si>
  <si>
    <t>12:44:11</t>
  </si>
  <si>
    <t>13:49:56</t>
  </si>
  <si>
    <t>14:03:46</t>
  </si>
  <si>
    <t>14:17:36</t>
  </si>
  <si>
    <t>HDM (_Hadera West__3100__2019)</t>
  </si>
  <si>
    <t>06:30:37</t>
  </si>
  <si>
    <t>06:48:18</t>
  </si>
  <si>
    <t>08:24:58</t>
  </si>
  <si>
    <t>08:36:59</t>
  </si>
  <si>
    <t>08:49:01</t>
  </si>
  <si>
    <t>09:54:11</t>
  </si>
  <si>
    <t>10:02:08</t>
  </si>
  <si>
    <t>10:10:05</t>
  </si>
  <si>
    <t>12:11:25</t>
  </si>
  <si>
    <t>12:23:11</t>
  </si>
  <si>
    <t>12:23:12</t>
  </si>
  <si>
    <t>12:34:58</t>
  </si>
  <si>
    <t>14:26:54</t>
  </si>
  <si>
    <t>14:35:32</t>
  </si>
  <si>
    <t>14:35:33</t>
  </si>
  <si>
    <t>14:44:11</t>
  </si>
  <si>
    <t>ELD (_Elad__0900__2040)</t>
  </si>
  <si>
    <t>06:33:41</t>
  </si>
  <si>
    <t>06:50:55</t>
  </si>
  <si>
    <t>07:08:10</t>
  </si>
  <si>
    <t>08:17:40</t>
  </si>
  <si>
    <t>08:25:20</t>
  </si>
  <si>
    <t>08:33:00</t>
  </si>
  <si>
    <t>11:29:34</t>
  </si>
  <si>
    <t>11:49:22</t>
  </si>
  <si>
    <t>12:09:10</t>
  </si>
  <si>
    <t>BIN (_Binyamina__2800__2019)</t>
  </si>
  <si>
    <t>06:35:28</t>
  </si>
  <si>
    <t>06:48:24</t>
  </si>
  <si>
    <t>07:01:19</t>
  </si>
  <si>
    <t>ASK (_Ashkelon__5900__2019)</t>
  </si>
  <si>
    <t>08:42:13</t>
  </si>
  <si>
    <t>08:49:43</t>
  </si>
  <si>
    <t>08:48:49</t>
  </si>
  <si>
    <t>08:56:19</t>
  </si>
  <si>
    <t>10:35:28</t>
  </si>
  <si>
    <t>10:48:24</t>
  </si>
  <si>
    <t>11:01:19</t>
  </si>
  <si>
    <t>12:42:13</t>
  </si>
  <si>
    <t>12:49:43</t>
  </si>
  <si>
    <t>12:48:49</t>
  </si>
  <si>
    <t>12:56:19</t>
  </si>
  <si>
    <t>06:37:39</t>
  </si>
  <si>
    <t>06:53:57</t>
  </si>
  <si>
    <t>07:10:16</t>
  </si>
  <si>
    <t>08:08:05</t>
  </si>
  <si>
    <t>08:23:02</t>
  </si>
  <si>
    <t>08:38:00</t>
  </si>
  <si>
    <t>09:37:39</t>
  </si>
  <si>
    <t>09:53:57</t>
  </si>
  <si>
    <t>10:10:16</t>
  </si>
  <si>
    <t>11:08:05</t>
  </si>
  <si>
    <t>11:23:02</t>
  </si>
  <si>
    <t>11:38:00</t>
  </si>
  <si>
    <t>12:37:39</t>
  </si>
  <si>
    <t>12:53:57</t>
  </si>
  <si>
    <t>13:10:16</t>
  </si>
  <si>
    <t>14:08:05</t>
  </si>
  <si>
    <t>14:23:02</t>
  </si>
  <si>
    <t>14:38:00</t>
  </si>
  <si>
    <t>06:38:08</t>
  </si>
  <si>
    <t>06:54:04</t>
  </si>
  <si>
    <t>07:10:00</t>
  </si>
  <si>
    <t>08:16:26</t>
  </si>
  <si>
    <t>08:24:33</t>
  </si>
  <si>
    <t>08:32:40</t>
  </si>
  <si>
    <t>09:38:08</t>
  </si>
  <si>
    <t>09:54:04</t>
  </si>
  <si>
    <t>10:10:00</t>
  </si>
  <si>
    <t>11:16:26</t>
  </si>
  <si>
    <t>11:24:33</t>
  </si>
  <si>
    <t>11:32:40</t>
  </si>
  <si>
    <t>12:38:08</t>
  </si>
  <si>
    <t>12:54:04</t>
  </si>
  <si>
    <t>13:10:00</t>
  </si>
  <si>
    <t>14:16:26</t>
  </si>
  <si>
    <t>14:24:33</t>
  </si>
  <si>
    <t>14:32:40</t>
  </si>
  <si>
    <t>06:42:13</t>
  </si>
  <si>
    <t>06:49:43</t>
  </si>
  <si>
    <t>06:48:49</t>
  </si>
  <si>
    <t>06:56:19</t>
  </si>
  <si>
    <t>08:35:28</t>
  </si>
  <si>
    <t>08:48:24</t>
  </si>
  <si>
    <t>09:01:19</t>
  </si>
  <si>
    <t>10:42:12</t>
  </si>
  <si>
    <t>10:49:42</t>
  </si>
  <si>
    <t>10:48:49</t>
  </si>
  <si>
    <t>10:56:19</t>
  </si>
  <si>
    <t>12:35:28</t>
  </si>
  <si>
    <t>12:48:24</t>
  </si>
  <si>
    <t>13:01:19</t>
  </si>
  <si>
    <t>06:42:29</t>
  </si>
  <si>
    <t>07:08:57</t>
  </si>
  <si>
    <t>07:35:25</t>
  </si>
  <si>
    <t>HADEAST (Hadera-Mizrah__3900__2030)</t>
  </si>
  <si>
    <t>09:29:45</t>
  </si>
  <si>
    <t>09:40:42</t>
  </si>
  <si>
    <t>09:51:39</t>
  </si>
  <si>
    <t>11:42:29</t>
  </si>
  <si>
    <t>12:08:57</t>
  </si>
  <si>
    <t>12:35:25</t>
  </si>
  <si>
    <t>06:48:28</t>
  </si>
  <si>
    <t>07:02:24</t>
  </si>
  <si>
    <t>07:16:20</t>
  </si>
  <si>
    <t>08:21:43</t>
  </si>
  <si>
    <t>08:41:12</t>
  </si>
  <si>
    <t>09:00:41</t>
  </si>
  <si>
    <t>10:04:59</t>
  </si>
  <si>
    <t>10:26:43</t>
  </si>
  <si>
    <t>10:48:27</t>
  </si>
  <si>
    <t>11:55:25</t>
  </si>
  <si>
    <t>12:19:03</t>
  </si>
  <si>
    <t>12:19:04</t>
  </si>
  <si>
    <t>12:42:42</t>
  </si>
  <si>
    <t>13:48:28</t>
  </si>
  <si>
    <t>14:02:24</t>
  </si>
  <si>
    <t>14:16:20</t>
  </si>
  <si>
    <t>06:49:56</t>
  </si>
  <si>
    <t>07:17:36</t>
  </si>
  <si>
    <t>08:30:37</t>
  </si>
  <si>
    <t>08:48:18</t>
  </si>
  <si>
    <t>10:24:58</t>
  </si>
  <si>
    <t>10:36:59</t>
  </si>
  <si>
    <t>10:49:01</t>
  </si>
  <si>
    <t>11:54:11</t>
  </si>
  <si>
    <t>12:02:08</t>
  </si>
  <si>
    <t>12:10:05</t>
  </si>
  <si>
    <t>14:11:25</t>
  </si>
  <si>
    <t>14:23:11</t>
  </si>
  <si>
    <t>14:23:12</t>
  </si>
  <si>
    <t>14:34:58</t>
  </si>
  <si>
    <t>06:54:10</t>
  </si>
  <si>
    <t>07:02:07</t>
  </si>
  <si>
    <t>07:02:08</t>
  </si>
  <si>
    <t>07:10:05</t>
  </si>
  <si>
    <t>09:11:25</t>
  </si>
  <si>
    <t>09:23:11</t>
  </si>
  <si>
    <t>09:23:12</t>
  </si>
  <si>
    <t>09:34:58</t>
  </si>
  <si>
    <t>11:26:54</t>
  </si>
  <si>
    <t>11:35:32</t>
  </si>
  <si>
    <t>11:35:33</t>
  </si>
  <si>
    <t>11:44:11</t>
  </si>
  <si>
    <t>12:49:55</t>
  </si>
  <si>
    <t>13:03:45</t>
  </si>
  <si>
    <t>13:03:46</t>
  </si>
  <si>
    <t>13:17:36</t>
  </si>
  <si>
    <t>06:55:07</t>
  </si>
  <si>
    <t>07:00:27</t>
  </si>
  <si>
    <t>07:05:48</t>
  </si>
  <si>
    <t>07:55:12</t>
  </si>
  <si>
    <t>08:06:06</t>
  </si>
  <si>
    <t>08:17:00</t>
  </si>
  <si>
    <t>09:03:46</t>
  </si>
  <si>
    <t>09:09:13</t>
  </si>
  <si>
    <t>09:14:40</t>
  </si>
  <si>
    <t>10:21:50</t>
  </si>
  <si>
    <t>10:32:48</t>
  </si>
  <si>
    <t>10:43:46</t>
  </si>
  <si>
    <t>11:55:07</t>
  </si>
  <si>
    <t>12:00:27</t>
  </si>
  <si>
    <t>12:05:48</t>
  </si>
  <si>
    <t>12:55:12</t>
  </si>
  <si>
    <t>13:06:06</t>
  </si>
  <si>
    <t>13:17:00</t>
  </si>
  <si>
    <t>14:09:13</t>
  </si>
  <si>
    <t>14:14:40</t>
  </si>
  <si>
    <t>06:55:12</t>
  </si>
  <si>
    <t>07:06:06</t>
  </si>
  <si>
    <t>07:17:00</t>
  </si>
  <si>
    <t>08:03:46</t>
  </si>
  <si>
    <t>08:09:13</t>
  </si>
  <si>
    <t>08:14:40</t>
  </si>
  <si>
    <t>09:21:50</t>
  </si>
  <si>
    <t>09:32:48</t>
  </si>
  <si>
    <t>09:43:46</t>
  </si>
  <si>
    <t>10:55:07</t>
  </si>
  <si>
    <t>11:00:27</t>
  </si>
  <si>
    <t>11:05:48</t>
  </si>
  <si>
    <t>11:55:12</t>
  </si>
  <si>
    <t>12:06:06</t>
  </si>
  <si>
    <t>12:17:00</t>
  </si>
  <si>
    <t>13:09:13</t>
  </si>
  <si>
    <t>13:14:40</t>
  </si>
  <si>
    <t>14:21:50</t>
  </si>
  <si>
    <t>14:32:48</t>
  </si>
  <si>
    <t>14:43:46</t>
  </si>
  <si>
    <t>06:55:25</t>
  </si>
  <si>
    <t>07:19:03</t>
  </si>
  <si>
    <t>07:19:04</t>
  </si>
  <si>
    <t>07:42:42</t>
  </si>
  <si>
    <t>08:48:28</t>
  </si>
  <si>
    <t>09:02:24</t>
  </si>
  <si>
    <t>09:16:20</t>
  </si>
  <si>
    <t>10:21:43</t>
  </si>
  <si>
    <t>10:41:12</t>
  </si>
  <si>
    <t>11:00:41</t>
  </si>
  <si>
    <t>12:04:59</t>
  </si>
  <si>
    <t>12:26:43</t>
  </si>
  <si>
    <t>12:48:27</t>
  </si>
  <si>
    <t>13:55:25</t>
  </si>
  <si>
    <t>14:19:03</t>
  </si>
  <si>
    <t>14:19:04</t>
  </si>
  <si>
    <t>14:42:42</t>
  </si>
  <si>
    <t>06:56:30</t>
  </si>
  <si>
    <t>07:10:41</t>
  </si>
  <si>
    <t>07:24:52</t>
  </si>
  <si>
    <t>09:24:59</t>
  </si>
  <si>
    <t>09:41:59</t>
  </si>
  <si>
    <t>09:42:00</t>
  </si>
  <si>
    <t>09:59:00</t>
  </si>
  <si>
    <t>11:56:30</t>
  </si>
  <si>
    <t>12:10:41</t>
  </si>
  <si>
    <t>12:24:52</t>
  </si>
  <si>
    <t>07:04:59</t>
  </si>
  <si>
    <t>07:26:43</t>
  </si>
  <si>
    <t>07:48:27</t>
  </si>
  <si>
    <t>08:55:25</t>
  </si>
  <si>
    <t>09:19:03</t>
  </si>
  <si>
    <t>09:19:04</t>
  </si>
  <si>
    <t>09:42:42</t>
  </si>
  <si>
    <t>10:48:28</t>
  </si>
  <si>
    <t>11:02:24</t>
  </si>
  <si>
    <t>11:16:20</t>
  </si>
  <si>
    <t>12:21:43</t>
  </si>
  <si>
    <t>12:41:12</t>
  </si>
  <si>
    <t>13:00:41</t>
  </si>
  <si>
    <t>14:04:59</t>
  </si>
  <si>
    <t>14:26:43</t>
  </si>
  <si>
    <t>14:48:27</t>
  </si>
  <si>
    <t>07:08:05</t>
  </si>
  <si>
    <t>07:23:02</t>
  </si>
  <si>
    <t>07:38:00</t>
  </si>
  <si>
    <t>08:37:39</t>
  </si>
  <si>
    <t>08:53:57</t>
  </si>
  <si>
    <t>09:10:16</t>
  </si>
  <si>
    <t>10:08:05</t>
  </si>
  <si>
    <t>10:23:02</t>
  </si>
  <si>
    <t>10:38:00</t>
  </si>
  <si>
    <t>11:37:39</t>
  </si>
  <si>
    <t>11:53:57</t>
  </si>
  <si>
    <t>12:10:16</t>
  </si>
  <si>
    <t>13:08:05</t>
  </si>
  <si>
    <t>13:23:02</t>
  </si>
  <si>
    <t>13:38:00</t>
  </si>
  <si>
    <t>07:11:25</t>
  </si>
  <si>
    <t>07:23:11</t>
  </si>
  <si>
    <t>07:23:12</t>
  </si>
  <si>
    <t>07:34:58</t>
  </si>
  <si>
    <t>09:26:54</t>
  </si>
  <si>
    <t>09:35:32</t>
  </si>
  <si>
    <t>09:35:33</t>
  </si>
  <si>
    <t>09:44:11</t>
  </si>
  <si>
    <t>10:49:56</t>
  </si>
  <si>
    <t>11:17:36</t>
  </si>
  <si>
    <t>12:30:37</t>
  </si>
  <si>
    <t>12:48:18</t>
  </si>
  <si>
    <t>14:24:58</t>
  </si>
  <si>
    <t>14:36:59</t>
  </si>
  <si>
    <t>14:49:01</t>
  </si>
  <si>
    <t>07:15:10</t>
  </si>
  <si>
    <t>07:21:13</t>
  </si>
  <si>
    <t>07:22:02</t>
  </si>
  <si>
    <t>07:28:05</t>
  </si>
  <si>
    <t>08:24:13</t>
  </si>
  <si>
    <t>08:50:28</t>
  </si>
  <si>
    <t>09:16:43</t>
  </si>
  <si>
    <t>10:15:10</t>
  </si>
  <si>
    <t>10:21:13</t>
  </si>
  <si>
    <t>10:22:02</t>
  </si>
  <si>
    <t>10:28:05</t>
  </si>
  <si>
    <t>11:24:12</t>
  </si>
  <si>
    <t>11:50:27</t>
  </si>
  <si>
    <t>11:50:28</t>
  </si>
  <si>
    <t>12:16:43</t>
  </si>
  <si>
    <t>13:15:10</t>
  </si>
  <si>
    <t>13:21:13</t>
  </si>
  <si>
    <t>13:22:02</t>
  </si>
  <si>
    <t>13:28:05</t>
  </si>
  <si>
    <t>07:15:36</t>
  </si>
  <si>
    <t>07:23:06</t>
  </si>
  <si>
    <t>07:14:33</t>
  </si>
  <si>
    <t>07:22:03</t>
  </si>
  <si>
    <t>HMK (_Hefa Center - HaShmona__2100__2019)</t>
  </si>
  <si>
    <t>09:28:42</t>
  </si>
  <si>
    <t>09:48:25</t>
  </si>
  <si>
    <t>10:08:09</t>
  </si>
  <si>
    <t>12:15:36</t>
  </si>
  <si>
    <t>12:23:06</t>
  </si>
  <si>
    <t>12:14:33</t>
  </si>
  <si>
    <t>12:22:03</t>
  </si>
  <si>
    <t>07:16:26</t>
  </si>
  <si>
    <t>07:24:33</t>
  </si>
  <si>
    <t>07:32:40</t>
  </si>
  <si>
    <t>08:38:08</t>
  </si>
  <si>
    <t>08:54:04</t>
  </si>
  <si>
    <t>09:10:00</t>
  </si>
  <si>
    <t>10:16:26</t>
  </si>
  <si>
    <t>10:24:33</t>
  </si>
  <si>
    <t>10:32:40</t>
  </si>
  <si>
    <t>11:38:08</t>
  </si>
  <si>
    <t>11:54:04</t>
  </si>
  <si>
    <t>12:10:00</t>
  </si>
  <si>
    <t>13:16:26</t>
  </si>
  <si>
    <t>13:24:33</t>
  </si>
  <si>
    <t>13:32:40</t>
  </si>
  <si>
    <t>07:17:40</t>
  </si>
  <si>
    <t>07:25:20</t>
  </si>
  <si>
    <t>07:33:00</t>
  </si>
  <si>
    <t>10:29:34</t>
  </si>
  <si>
    <t>10:49:22</t>
  </si>
  <si>
    <t>11:09:10</t>
  </si>
  <si>
    <t>13:54:53</t>
  </si>
  <si>
    <t>14:10:14</t>
  </si>
  <si>
    <t>14:10:15</t>
  </si>
  <si>
    <t>14:25:36</t>
  </si>
  <si>
    <t>07:21:06</t>
  </si>
  <si>
    <t>07:34:27</t>
  </si>
  <si>
    <t>07:48:50</t>
  </si>
  <si>
    <t>10:11:32</t>
  </si>
  <si>
    <t>10:22:31</t>
  </si>
  <si>
    <t>10:33:30</t>
  </si>
  <si>
    <t>12:49:13</t>
  </si>
  <si>
    <t>13:04:18</t>
  </si>
  <si>
    <t>13:19:24</t>
  </si>
  <si>
    <t>07:21:43</t>
  </si>
  <si>
    <t>07:41:12</t>
  </si>
  <si>
    <t>08:00:41</t>
  </si>
  <si>
    <t>09:04:59</t>
  </si>
  <si>
    <t>09:26:43</t>
  </si>
  <si>
    <t>09:48:27</t>
  </si>
  <si>
    <t>10:55:25</t>
  </si>
  <si>
    <t>11:19:03</t>
  </si>
  <si>
    <t>11:19:04</t>
  </si>
  <si>
    <t>11:42:42</t>
  </si>
  <si>
    <t>12:48:28</t>
  </si>
  <si>
    <t>13:02:24</t>
  </si>
  <si>
    <t>13:16:20</t>
  </si>
  <si>
    <t>07:24:58</t>
  </si>
  <si>
    <t>07:36:59</t>
  </si>
  <si>
    <t>07:49:01</t>
  </si>
  <si>
    <t>08:54:11</t>
  </si>
  <si>
    <t>09:02:08</t>
  </si>
  <si>
    <t>09:10:05</t>
  </si>
  <si>
    <t>11:11:25</t>
  </si>
  <si>
    <t>11:23:11</t>
  </si>
  <si>
    <t>11:23:12</t>
  </si>
  <si>
    <t>11:34:58</t>
  </si>
  <si>
    <t>13:26:54</t>
  </si>
  <si>
    <t>13:35:32</t>
  </si>
  <si>
    <t>13:35:33</t>
  </si>
  <si>
    <t>13:44:11</t>
  </si>
  <si>
    <t>07:24:59</t>
  </si>
  <si>
    <t>07:41:59</t>
  </si>
  <si>
    <t>07:42:00</t>
  </si>
  <si>
    <t>07:59:00</t>
  </si>
  <si>
    <t>09:56:30</t>
  </si>
  <si>
    <t>10:10:41</t>
  </si>
  <si>
    <t>10:24:52</t>
  </si>
  <si>
    <t>12:24:59</t>
  </si>
  <si>
    <t>12:41:59</t>
  </si>
  <si>
    <t>12:42:00</t>
  </si>
  <si>
    <t>12:59:00</t>
  </si>
  <si>
    <t>07:26:54</t>
  </si>
  <si>
    <t>07:35:32</t>
  </si>
  <si>
    <t>07:35:33</t>
  </si>
  <si>
    <t>07:44:11</t>
  </si>
  <si>
    <t>08:49:56</t>
  </si>
  <si>
    <t>09:17:36</t>
  </si>
  <si>
    <t>10:30:37</t>
  </si>
  <si>
    <t>10:48:18</t>
  </si>
  <si>
    <t>12:24:58</t>
  </si>
  <si>
    <t>12:36:59</t>
  </si>
  <si>
    <t>12:49:01</t>
  </si>
  <si>
    <t>13:54:10</t>
  </si>
  <si>
    <t>14:02:07</t>
  </si>
  <si>
    <t>14:02:08</t>
  </si>
  <si>
    <t>14:10:05</t>
  </si>
  <si>
    <t>07:28:42</t>
  </si>
  <si>
    <t>07:48:25</t>
  </si>
  <si>
    <t>08:08:09</t>
  </si>
  <si>
    <t>10:15:36</t>
  </si>
  <si>
    <t>10:23:06</t>
  </si>
  <si>
    <t>10:14:33</t>
  </si>
  <si>
    <t>10:22:03</t>
  </si>
  <si>
    <t>12:28:42</t>
  </si>
  <si>
    <t>12:48:25</t>
  </si>
  <si>
    <t>13:08:09</t>
  </si>
  <si>
    <t>07:29:45</t>
  </si>
  <si>
    <t>07:40:42</t>
  </si>
  <si>
    <t>07:51:39</t>
  </si>
  <si>
    <t>09:42:29</t>
  </si>
  <si>
    <t>10:08:57</t>
  </si>
  <si>
    <t>10:35:25</t>
  </si>
  <si>
    <t>12:29:45</t>
  </si>
  <si>
    <t>12:40:42</t>
  </si>
  <si>
    <t>12:51:39</t>
  </si>
  <si>
    <t>07:30:37</t>
  </si>
  <si>
    <t>07:48:18</t>
  </si>
  <si>
    <t>09:24:58</t>
  </si>
  <si>
    <t>09:36:59</t>
  </si>
  <si>
    <t>09:49:01</t>
  </si>
  <si>
    <t>10:54:11</t>
  </si>
  <si>
    <t>11:02:08</t>
  </si>
  <si>
    <t>11:10:05</t>
  </si>
  <si>
    <t>13:11:25</t>
  </si>
  <si>
    <t>13:23:11</t>
  </si>
  <si>
    <t>13:23:12</t>
  </si>
  <si>
    <t>13:34:58</t>
  </si>
  <si>
    <t>07:33:41</t>
  </si>
  <si>
    <t>07:50:55</t>
  </si>
  <si>
    <t>08:08:10</t>
  </si>
  <si>
    <t>09:17:40</t>
  </si>
  <si>
    <t>09:25:20</t>
  </si>
  <si>
    <t>09:33:00</t>
  </si>
  <si>
    <t>12:29:34</t>
  </si>
  <si>
    <t>12:49:22</t>
  </si>
  <si>
    <t>13:09:10</t>
  </si>
  <si>
    <t>07:35:28</t>
  </si>
  <si>
    <t>07:48:24</t>
  </si>
  <si>
    <t>08:01:19</t>
  </si>
  <si>
    <t>09:42:13</t>
  </si>
  <si>
    <t>09:49:43</t>
  </si>
  <si>
    <t>09:48:49</t>
  </si>
  <si>
    <t>09:56:19</t>
  </si>
  <si>
    <t>11:35:28</t>
  </si>
  <si>
    <t>11:48:24</t>
  </si>
  <si>
    <t>12:01:19</t>
  </si>
  <si>
    <t>13:42:13</t>
  </si>
  <si>
    <t>13:49:43</t>
  </si>
  <si>
    <t>13:48:49</t>
  </si>
  <si>
    <t>13:56:19</t>
  </si>
  <si>
    <t>07:37:38</t>
  </si>
  <si>
    <t>07:54:09</t>
  </si>
  <si>
    <t>08:10:40</t>
  </si>
  <si>
    <t>KRML (_Karmi'el__1840__2019)</t>
  </si>
  <si>
    <t>11:07:36</t>
  </si>
  <si>
    <t>11:19:36</t>
  </si>
  <si>
    <t>11:31:36</t>
  </si>
  <si>
    <t>07:39:02</t>
  </si>
  <si>
    <t>07:51:38</t>
  </si>
  <si>
    <t>08:04:14</t>
  </si>
  <si>
    <t>10:21:06</t>
  </si>
  <si>
    <t>10:34:27</t>
  </si>
  <si>
    <t>10:48:50</t>
  </si>
  <si>
    <t>13:11:32</t>
  </si>
  <si>
    <t>13:22:31</t>
  </si>
  <si>
    <t>13:33:30</t>
  </si>
  <si>
    <t>07:39:58</t>
  </si>
  <si>
    <t>07:49:42</t>
  </si>
  <si>
    <t>07:59:26</t>
  </si>
  <si>
    <t>10:37:37</t>
  </si>
  <si>
    <t>10:54:08</t>
  </si>
  <si>
    <t>10:54:09</t>
  </si>
  <si>
    <t>11:10:40</t>
  </si>
  <si>
    <t>14:07:36</t>
  </si>
  <si>
    <t>14:19:36</t>
  </si>
  <si>
    <t>14:31:36</t>
  </si>
  <si>
    <t>07:42:13</t>
  </si>
  <si>
    <t>07:49:43</t>
  </si>
  <si>
    <t>07:48:49</t>
  </si>
  <si>
    <t>07:56:19</t>
  </si>
  <si>
    <t>09:35:28</t>
  </si>
  <si>
    <t>09:48:24</t>
  </si>
  <si>
    <t>10:01:19</t>
  </si>
  <si>
    <t>11:42:13</t>
  </si>
  <si>
    <t>11:49:43</t>
  </si>
  <si>
    <t>11:48:49</t>
  </si>
  <si>
    <t>11:56:19</t>
  </si>
  <si>
    <t>13:35:28</t>
  </si>
  <si>
    <t>13:48:24</t>
  </si>
  <si>
    <t>14:01:19</t>
  </si>
  <si>
    <t>07:42:29</t>
  </si>
  <si>
    <t>08:08:57</t>
  </si>
  <si>
    <t>08:35:25</t>
  </si>
  <si>
    <t>10:29:45</t>
  </si>
  <si>
    <t>10:40:42</t>
  </si>
  <si>
    <t>10:51:39</t>
  </si>
  <si>
    <t>12:42:29</t>
  </si>
  <si>
    <t>13:08:57</t>
  </si>
  <si>
    <t>13:35:25</t>
  </si>
  <si>
    <t>07:44:08</t>
  </si>
  <si>
    <t>07:53:24</t>
  </si>
  <si>
    <t>08:02:38</t>
  </si>
  <si>
    <t>10:32:23</t>
  </si>
  <si>
    <t>10:40:57</t>
  </si>
  <si>
    <t>10:49:30</t>
  </si>
  <si>
    <t>13:14:09</t>
  </si>
  <si>
    <t>13:22:50</t>
  </si>
  <si>
    <t>13:31:31</t>
  </si>
  <si>
    <t>07:48:07</t>
  </si>
  <si>
    <t>07:55:42</t>
  </si>
  <si>
    <t>07:58:12</t>
  </si>
  <si>
    <t>10:42:31</t>
  </si>
  <si>
    <t>10:50:01</t>
  </si>
  <si>
    <t>13:18:36</t>
  </si>
  <si>
    <t>13:23:38</t>
  </si>
  <si>
    <t>07:48:28</t>
  </si>
  <si>
    <t>08:02:24</t>
  </si>
  <si>
    <t>08:16:20</t>
  </si>
  <si>
    <t>09:21:43</t>
  </si>
  <si>
    <t>09:41:12</t>
  </si>
  <si>
    <t>10:00:41</t>
  </si>
  <si>
    <t>11:04:59</t>
  </si>
  <si>
    <t>11:26:43</t>
  </si>
  <si>
    <t>11:48:27</t>
  </si>
  <si>
    <t>12:55:25</t>
  </si>
  <si>
    <t>13:19:03</t>
  </si>
  <si>
    <t>13:19:04</t>
  </si>
  <si>
    <t>13:42:42</t>
  </si>
  <si>
    <t>07:49:13</t>
  </si>
  <si>
    <t>08:04:18</t>
  </si>
  <si>
    <t>08:19:24</t>
  </si>
  <si>
    <t>10:39:02</t>
  </si>
  <si>
    <t>10:51:38</t>
  </si>
  <si>
    <t>11:04:14</t>
  </si>
  <si>
    <t>13:21:06</t>
  </si>
  <si>
    <t>13:34:27</t>
  </si>
  <si>
    <t>13:48:50</t>
  </si>
  <si>
    <t>07:49:56</t>
  </si>
  <si>
    <t>08:17:36</t>
  </si>
  <si>
    <t>09:30:37</t>
  </si>
  <si>
    <t>09:48:18</t>
  </si>
  <si>
    <t>11:24:58</t>
  </si>
  <si>
    <t>11:36:59</t>
  </si>
  <si>
    <t>11:49:01</t>
  </si>
  <si>
    <t>12:54:11</t>
  </si>
  <si>
    <t>13:02:08</t>
  </si>
  <si>
    <t>13:10:05</t>
  </si>
  <si>
    <t>07:54:53</t>
  </si>
  <si>
    <t>08:10:14</t>
  </si>
  <si>
    <t>08:10:15</t>
  </si>
  <si>
    <t>08:25:36</t>
  </si>
  <si>
    <t>09:33:41</t>
  </si>
  <si>
    <t>09:50:55</t>
  </si>
  <si>
    <t>10:08:10</t>
  </si>
  <si>
    <t>11:17:40</t>
  </si>
  <si>
    <t>11:25:20</t>
  </si>
  <si>
    <t>11:33:00</t>
  </si>
  <si>
    <t>07:56:30</t>
  </si>
  <si>
    <t>08:10:41</t>
  </si>
  <si>
    <t>08:24:52</t>
  </si>
  <si>
    <t>10:24:59</t>
  </si>
  <si>
    <t>10:41:59</t>
  </si>
  <si>
    <t>10:42:00</t>
  </si>
  <si>
    <t>10:59:00</t>
  </si>
  <si>
    <t>12:56:30</t>
  </si>
  <si>
    <t>13:10:41</t>
  </si>
  <si>
    <t>13:24:52</t>
  </si>
  <si>
    <t>08:11:52</t>
  </si>
  <si>
    <t>08:19:30</t>
  </si>
  <si>
    <t>10:44:08</t>
  </si>
  <si>
    <t>10:53:24</t>
  </si>
  <si>
    <t>11:02:38</t>
  </si>
  <si>
    <t>13:32:23</t>
  </si>
  <si>
    <t>13:40:57</t>
  </si>
  <si>
    <t>13:49:30</t>
  </si>
  <si>
    <t>08:05:28</t>
  </si>
  <si>
    <t>08:12:58</t>
  </si>
  <si>
    <t>08:20:31</t>
  </si>
  <si>
    <t>10:48:07</t>
  </si>
  <si>
    <t>10:55:42</t>
  </si>
  <si>
    <t>10:58:12</t>
  </si>
  <si>
    <t>13:42:31</t>
  </si>
  <si>
    <t>13:50:01</t>
  </si>
  <si>
    <t>08:07:36</t>
  </si>
  <si>
    <t>08:19:36</t>
  </si>
  <si>
    <t>08:31:36</t>
  </si>
  <si>
    <t>11:29:45</t>
  </si>
  <si>
    <t>11:47:07</t>
  </si>
  <si>
    <t>12:04:30</t>
  </si>
  <si>
    <t>08:11:25</t>
  </si>
  <si>
    <t>08:23:11</t>
  </si>
  <si>
    <t>08:23:12</t>
  </si>
  <si>
    <t>08:34:58</t>
  </si>
  <si>
    <t>10:26:54</t>
  </si>
  <si>
    <t>10:35:32</t>
  </si>
  <si>
    <t>10:35:33</t>
  </si>
  <si>
    <t>10:44:11</t>
  </si>
  <si>
    <t>11:49:56</t>
  </si>
  <si>
    <t>12:17:36</t>
  </si>
  <si>
    <t>13:30:37</t>
  </si>
  <si>
    <t>13:48:18</t>
  </si>
  <si>
    <t>08:11:32</t>
  </si>
  <si>
    <t>08:22:31</t>
  </si>
  <si>
    <t>08:33:30</t>
  </si>
  <si>
    <t>10:49:13</t>
  </si>
  <si>
    <t>11:04:18</t>
  </si>
  <si>
    <t>11:19:24</t>
  </si>
  <si>
    <t>13:39:02</t>
  </si>
  <si>
    <t>13:51:38</t>
  </si>
  <si>
    <t>14:04:14</t>
  </si>
  <si>
    <t>08:14:09</t>
  </si>
  <si>
    <t>08:22:50</t>
  </si>
  <si>
    <t>08:31:31</t>
  </si>
  <si>
    <t>11:11:52</t>
  </si>
  <si>
    <t>11:19:30</t>
  </si>
  <si>
    <t>13:44:08</t>
  </si>
  <si>
    <t>13:53:24</t>
  </si>
  <si>
    <t>14:02:38</t>
  </si>
  <si>
    <t>08:15:36</t>
  </si>
  <si>
    <t>08:23:06</t>
  </si>
  <si>
    <t>08:14:33</t>
  </si>
  <si>
    <t>08:22:03</t>
  </si>
  <si>
    <t>10:28:42</t>
  </si>
  <si>
    <t>10:48:25</t>
  </si>
  <si>
    <t>11:08:09</t>
  </si>
  <si>
    <t>13:15:36</t>
  </si>
  <si>
    <t>13:23:06</t>
  </si>
  <si>
    <t>13:14:33</t>
  </si>
  <si>
    <t>13:22:03</t>
  </si>
  <si>
    <t>08:18:35</t>
  </si>
  <si>
    <t>08:23:37</t>
  </si>
  <si>
    <t>08:23:38</t>
  </si>
  <si>
    <t>11:05:28</t>
  </si>
  <si>
    <t>11:12:58</t>
  </si>
  <si>
    <t>11:20:31</t>
  </si>
  <si>
    <t>13:48:07</t>
  </si>
  <si>
    <t>13:55:42</t>
  </si>
  <si>
    <t>13:58:12</t>
  </si>
  <si>
    <t>08:21:06</t>
  </si>
  <si>
    <t>08:34:27</t>
  </si>
  <si>
    <t>08:48:50</t>
  </si>
  <si>
    <t>11:11:32</t>
  </si>
  <si>
    <t>11:22:31</t>
  </si>
  <si>
    <t>11:33:30</t>
  </si>
  <si>
    <t>13:49:13</t>
  </si>
  <si>
    <t>14:04:18</t>
  </si>
  <si>
    <t>14:19:24</t>
  </si>
  <si>
    <t>08:24:59</t>
  </si>
  <si>
    <t>08:41:59</t>
  </si>
  <si>
    <t>08:42:00</t>
  </si>
  <si>
    <t>08:59:00</t>
  </si>
  <si>
    <t>10:56:30</t>
  </si>
  <si>
    <t>11:10:41</t>
  </si>
  <si>
    <t>11:24:52</t>
  </si>
  <si>
    <t>13:24:59</t>
  </si>
  <si>
    <t>13:41:59</t>
  </si>
  <si>
    <t>13:42:00</t>
  </si>
  <si>
    <t>13:59:00</t>
  </si>
  <si>
    <t>08:26:54</t>
  </si>
  <si>
    <t>08:35:32</t>
  </si>
  <si>
    <t>08:35:33</t>
  </si>
  <si>
    <t>08:44:11</t>
  </si>
  <si>
    <t>09:49:56</t>
  </si>
  <si>
    <t>10:17:36</t>
  </si>
  <si>
    <t>11:30:37</t>
  </si>
  <si>
    <t>11:48:18</t>
  </si>
  <si>
    <t>13:24:58</t>
  </si>
  <si>
    <t>13:36:59</t>
  </si>
  <si>
    <t>13:49:01</t>
  </si>
  <si>
    <t>08:28:42</t>
  </si>
  <si>
    <t>08:48:25</t>
  </si>
  <si>
    <t>09:08:09</t>
  </si>
  <si>
    <t>11:15:36</t>
  </si>
  <si>
    <t>11:23:06</t>
  </si>
  <si>
    <t>11:14:33</t>
  </si>
  <si>
    <t>11:22:03</t>
  </si>
  <si>
    <t>13:28:42</t>
  </si>
  <si>
    <t>13:48:25</t>
  </si>
  <si>
    <t>14:08:09</t>
  </si>
  <si>
    <t>08:29:34</t>
  </si>
  <si>
    <t>08:49:22</t>
  </si>
  <si>
    <t>09:09:10</t>
  </si>
  <si>
    <t>11:54:53</t>
  </si>
  <si>
    <t>12:10:14</t>
  </si>
  <si>
    <t>12:10:15</t>
  </si>
  <si>
    <t>12:25:36</t>
  </si>
  <si>
    <t>13:33:41</t>
  </si>
  <si>
    <t>13:50:55</t>
  </si>
  <si>
    <t>14:08:10</t>
  </si>
  <si>
    <t>08:29:45</t>
  </si>
  <si>
    <t>08:40:42</t>
  </si>
  <si>
    <t>08:51:39</t>
  </si>
  <si>
    <t>10:42:29</t>
  </si>
  <si>
    <t>11:08:57</t>
  </si>
  <si>
    <t>11:35:25</t>
  </si>
  <si>
    <t>13:29:45</t>
  </si>
  <si>
    <t>13:40:42</t>
  </si>
  <si>
    <t>13:51:39</t>
  </si>
  <si>
    <t>08:47:07</t>
  </si>
  <si>
    <t>09:04:30</t>
  </si>
  <si>
    <t>11:39:58</t>
  </si>
  <si>
    <t>11:49:42</t>
  </si>
  <si>
    <t>11:59:26</t>
  </si>
  <si>
    <t>08:32:23</t>
  </si>
  <si>
    <t>08:40:57</t>
  </si>
  <si>
    <t>08:49:30</t>
  </si>
  <si>
    <t>11:14:09</t>
  </si>
  <si>
    <t>11:22:50</t>
  </si>
  <si>
    <t>11:31:31</t>
  </si>
  <si>
    <t>14:11:52</t>
  </si>
  <si>
    <t>14:19:30</t>
  </si>
  <si>
    <t>08:33:41</t>
  </si>
  <si>
    <t>08:50:55</t>
  </si>
  <si>
    <t>09:08:10</t>
  </si>
  <si>
    <t>10:17:40</t>
  </si>
  <si>
    <t>10:25:20</t>
  </si>
  <si>
    <t>10:33:00</t>
  </si>
  <si>
    <t>13:29:34</t>
  </si>
  <si>
    <t>13:49:22</t>
  </si>
  <si>
    <t>14:09:10</t>
  </si>
  <si>
    <t>08:42:31</t>
  </si>
  <si>
    <t>08:50:01</t>
  </si>
  <si>
    <t>11:18:36</t>
  </si>
  <si>
    <t>11:23:38</t>
  </si>
  <si>
    <t>14:05:28</t>
  </si>
  <si>
    <t>14:12:58</t>
  </si>
  <si>
    <t>14:20:31</t>
  </si>
  <si>
    <t>08:37:37</t>
  </si>
  <si>
    <t>08:54:08</t>
  </si>
  <si>
    <t>08:54:09</t>
  </si>
  <si>
    <t>09:10:40</t>
  </si>
  <si>
    <t>12:07:36</t>
  </si>
  <si>
    <t>12:19:36</t>
  </si>
  <si>
    <t>12:31:36</t>
  </si>
  <si>
    <t>08:39:02</t>
  </si>
  <si>
    <t>08:51:38</t>
  </si>
  <si>
    <t>09:04:14</t>
  </si>
  <si>
    <t>11:21:06</t>
  </si>
  <si>
    <t>11:34:27</t>
  </si>
  <si>
    <t>11:48:50</t>
  </si>
  <si>
    <t>14:11:32</t>
  </si>
  <si>
    <t>14:22:31</t>
  </si>
  <si>
    <t>14:33:30</t>
  </si>
  <si>
    <t>08:39:58</t>
  </si>
  <si>
    <t>08:49:42</t>
  </si>
  <si>
    <t>08:59:26</t>
  </si>
  <si>
    <t>11:37:38</t>
  </si>
  <si>
    <t>11:54:09</t>
  </si>
  <si>
    <t>12:10:40</t>
  </si>
  <si>
    <t>08:42:29</t>
  </si>
  <si>
    <t>09:08:57</t>
  </si>
  <si>
    <t>09:35:25</t>
  </si>
  <si>
    <t>11:40:42</t>
  </si>
  <si>
    <t>11:51:39</t>
  </si>
  <si>
    <t>13:42:29</t>
  </si>
  <si>
    <t>14:08:57</t>
  </si>
  <si>
    <t>14:35:25</t>
  </si>
  <si>
    <t>08:44:08</t>
  </si>
  <si>
    <t>08:53:24</t>
  </si>
  <si>
    <t>09:02:38</t>
  </si>
  <si>
    <t>11:32:23</t>
  </si>
  <si>
    <t>11:40:57</t>
  </si>
  <si>
    <t>11:49:30</t>
  </si>
  <si>
    <t>14:14:09</t>
  </si>
  <si>
    <t>14:22:50</t>
  </si>
  <si>
    <t>14:31:31</t>
  </si>
  <si>
    <t>08:48:07</t>
  </si>
  <si>
    <t>08:55:42</t>
  </si>
  <si>
    <t>08:58:12</t>
  </si>
  <si>
    <t>11:42:31</t>
  </si>
  <si>
    <t>11:50:01</t>
  </si>
  <si>
    <t>14:18:36</t>
  </si>
  <si>
    <t>14:23:38</t>
  </si>
  <si>
    <t>14:28:40</t>
  </si>
  <si>
    <t>08:49:13</t>
  </si>
  <si>
    <t>09:04:18</t>
  </si>
  <si>
    <t>09:19:24</t>
  </si>
  <si>
    <t>11:39:01</t>
  </si>
  <si>
    <t>11:51:37</t>
  </si>
  <si>
    <t>11:51:38</t>
  </si>
  <si>
    <t>12:04:14</t>
  </si>
  <si>
    <t>14:21:06</t>
  </si>
  <si>
    <t>14:34:27</t>
  </si>
  <si>
    <t>14:48:50</t>
  </si>
  <si>
    <t>08:54:53</t>
  </si>
  <si>
    <t>09:10:14</t>
  </si>
  <si>
    <t>09:10:15</t>
  </si>
  <si>
    <t>09:25:36</t>
  </si>
  <si>
    <t>10:33:41</t>
  </si>
  <si>
    <t>10:50:55</t>
  </si>
  <si>
    <t>11:08:10</t>
  </si>
  <si>
    <t>12:17:40</t>
  </si>
  <si>
    <t>12:25:20</t>
  </si>
  <si>
    <t>12:33:00</t>
  </si>
  <si>
    <t>08:56:30</t>
  </si>
  <si>
    <t>09:10:41</t>
  </si>
  <si>
    <t>09:24:52</t>
  </si>
  <si>
    <t>11:24:59</t>
  </si>
  <si>
    <t>11:41:59</t>
  </si>
  <si>
    <t>11:42:00</t>
  </si>
  <si>
    <t>11:59:00</t>
  </si>
  <si>
    <t>13:56:30</t>
  </si>
  <si>
    <t>14:10:41</t>
  </si>
  <si>
    <t>14:24:52</t>
  </si>
  <si>
    <t>09:11:52</t>
  </si>
  <si>
    <t>09:19:30</t>
  </si>
  <si>
    <t>11:44:08</t>
  </si>
  <si>
    <t>11:53:24</t>
  </si>
  <si>
    <t>12:02:38</t>
  </si>
  <si>
    <t>14:32:23</t>
  </si>
  <si>
    <t>14:40:57</t>
  </si>
  <si>
    <t>14:49:30</t>
  </si>
  <si>
    <t>09:05:28</t>
  </si>
  <si>
    <t>09:12:58</t>
  </si>
  <si>
    <t>09:20:31</t>
  </si>
  <si>
    <t>11:48:07</t>
  </si>
  <si>
    <t>11:55:42</t>
  </si>
  <si>
    <t>11:58:12</t>
  </si>
  <si>
    <t>14:42:31</t>
  </si>
  <si>
    <t>14:50:01</t>
  </si>
  <si>
    <t>09:07:36</t>
  </si>
  <si>
    <t>09:19:36</t>
  </si>
  <si>
    <t>09:31:36</t>
  </si>
  <si>
    <t>12:47:07</t>
  </si>
  <si>
    <t>13:04:30</t>
  </si>
  <si>
    <t>09:11:32</t>
  </si>
  <si>
    <t>09:22:31</t>
  </si>
  <si>
    <t>09:33:30</t>
  </si>
  <si>
    <t>11:49:13</t>
  </si>
  <si>
    <t>12:04:18</t>
  </si>
  <si>
    <t>12:19:24</t>
  </si>
  <si>
    <t>09:14:09</t>
  </si>
  <si>
    <t>09:22:50</t>
  </si>
  <si>
    <t>09:31:31</t>
  </si>
  <si>
    <t>12:11:52</t>
  </si>
  <si>
    <t>12:19:30</t>
  </si>
  <si>
    <t>14:44:08</t>
  </si>
  <si>
    <t>14:53:24</t>
  </si>
  <si>
    <t>15:02:38</t>
  </si>
  <si>
    <t>09:15:36</t>
  </si>
  <si>
    <t>09:23:06</t>
  </si>
  <si>
    <t>09:14:33</t>
  </si>
  <si>
    <t>09:22:03</t>
  </si>
  <si>
    <t>11:28:42</t>
  </si>
  <si>
    <t>11:48:25</t>
  </si>
  <si>
    <t>12:08:09</t>
  </si>
  <si>
    <t>14:15:36</t>
  </si>
  <si>
    <t>14:23:06</t>
  </si>
  <si>
    <t>14:14:33</t>
  </si>
  <si>
    <t>14:22:03</t>
  </si>
  <si>
    <t>09:18:36</t>
  </si>
  <si>
    <t>09:23:38</t>
  </si>
  <si>
    <t>12:05:28</t>
  </si>
  <si>
    <t>12:12:58</t>
  </si>
  <si>
    <t>12:20:31</t>
  </si>
  <si>
    <t>14:48:07</t>
  </si>
  <si>
    <t>14:55:42</t>
  </si>
  <si>
    <t>14:58:12</t>
  </si>
  <si>
    <t>09:21:06</t>
  </si>
  <si>
    <t>09:34:27</t>
  </si>
  <si>
    <t>09:48:50</t>
  </si>
  <si>
    <t>12:11:32</t>
  </si>
  <si>
    <t>12:22:31</t>
  </si>
  <si>
    <t>12:33:30</t>
  </si>
  <si>
    <t>09:47:07</t>
  </si>
  <si>
    <t>10:04:30</t>
  </si>
  <si>
    <t>12:39:58</t>
  </si>
  <si>
    <t>12:49:42</t>
  </si>
  <si>
    <t>12:59:26</t>
  </si>
  <si>
    <t>09:32:23</t>
  </si>
  <si>
    <t>09:40:57</t>
  </si>
  <si>
    <t>09:49:30</t>
  </si>
  <si>
    <t>12:14:09</t>
  </si>
  <si>
    <t>12:22:50</t>
  </si>
  <si>
    <t>12:31:31</t>
  </si>
  <si>
    <t>09:42:31</t>
  </si>
  <si>
    <t>09:50:01</t>
  </si>
  <si>
    <t>12:18:36</t>
  </si>
  <si>
    <t>12:23:38</t>
  </si>
  <si>
    <t>09:37:38</t>
  </si>
  <si>
    <t>09:54:09</t>
  </si>
  <si>
    <t>10:10:40</t>
  </si>
  <si>
    <t>13:07:36</t>
  </si>
  <si>
    <t>13:19:36</t>
  </si>
  <si>
    <t>13:31:36</t>
  </si>
  <si>
    <t>09:39:01</t>
  </si>
  <si>
    <t>09:51:37</t>
  </si>
  <si>
    <t>09:51:38</t>
  </si>
  <si>
    <t>10:04:14</t>
  </si>
  <si>
    <t>12:21:06</t>
  </si>
  <si>
    <t>12:34:27</t>
  </si>
  <si>
    <t>12:48:50</t>
  </si>
  <si>
    <t>09:39:58</t>
  </si>
  <si>
    <t>09:49:42</t>
  </si>
  <si>
    <t>09:59:26</t>
  </si>
  <si>
    <t>12:37:38</t>
  </si>
  <si>
    <t>12:54:09</t>
  </si>
  <si>
    <t>13:10:40</t>
  </si>
  <si>
    <t>09:44:08</t>
  </si>
  <si>
    <t>09:53:24</t>
  </si>
  <si>
    <t>10:02:38</t>
  </si>
  <si>
    <t>12:32:23</t>
  </si>
  <si>
    <t>12:40:57</t>
  </si>
  <si>
    <t>12:49:30</t>
  </si>
  <si>
    <t>09:48:07</t>
  </si>
  <si>
    <t>09:55:42</t>
  </si>
  <si>
    <t>09:58:12</t>
  </si>
  <si>
    <t>12:42:31</t>
  </si>
  <si>
    <t>12:50:01</t>
  </si>
  <si>
    <t>09:49:13</t>
  </si>
  <si>
    <t>10:04:18</t>
  </si>
  <si>
    <t>10:19:24</t>
  </si>
  <si>
    <t>12:39:02</t>
  </si>
  <si>
    <t>12:51:38</t>
  </si>
  <si>
    <t>13:04:14</t>
  </si>
  <si>
    <t>09:54:53</t>
  </si>
  <si>
    <t>10:10:14</t>
  </si>
  <si>
    <t>10:10:15</t>
  </si>
  <si>
    <t>10:25:36</t>
  </si>
  <si>
    <t>11:33:41</t>
  </si>
  <si>
    <t>11:50:55</t>
  </si>
  <si>
    <t>12:08:10</t>
  </si>
  <si>
    <t>13:17:40</t>
  </si>
  <si>
    <t>13:25:20</t>
  </si>
  <si>
    <t>13:33:00</t>
  </si>
  <si>
    <t>10:11:52</t>
  </si>
  <si>
    <t>10:19:30</t>
  </si>
  <si>
    <t>12:44:08</t>
  </si>
  <si>
    <t>12:53:24</t>
  </si>
  <si>
    <t>13:02:38</t>
  </si>
  <si>
    <t>10:05:28</t>
  </si>
  <si>
    <t>10:12:58</t>
  </si>
  <si>
    <t>10:20:31</t>
  </si>
  <si>
    <t>12:48:07</t>
  </si>
  <si>
    <t>12:55:42</t>
  </si>
  <si>
    <t>12:58:12</t>
  </si>
  <si>
    <t>10:07:36</t>
  </si>
  <si>
    <t>10:19:36</t>
  </si>
  <si>
    <t>10:31:36</t>
  </si>
  <si>
    <t>13:47:07</t>
  </si>
  <si>
    <t>14:04:30</t>
  </si>
  <si>
    <t>10:14:09</t>
  </si>
  <si>
    <t>10:22:50</t>
  </si>
  <si>
    <t>10:31:31</t>
  </si>
  <si>
    <t>13:11:52</t>
  </si>
  <si>
    <t>13:19:30</t>
  </si>
  <si>
    <t>10:18:36</t>
  </si>
  <si>
    <t>10:23:38</t>
  </si>
  <si>
    <t>13:05:28</t>
  </si>
  <si>
    <t>13:12:58</t>
  </si>
  <si>
    <t>13:20:31</t>
  </si>
  <si>
    <t>10:47:07</t>
  </si>
  <si>
    <t>11:04:30</t>
  </si>
  <si>
    <t>13:39:58</t>
  </si>
  <si>
    <t>13:49:42</t>
  </si>
  <si>
    <t>13:59:26</t>
  </si>
  <si>
    <t>10:39:58</t>
  </si>
  <si>
    <t>10:59:26</t>
  </si>
  <si>
    <t>13:37:38</t>
  </si>
  <si>
    <t>13:54:09</t>
  </si>
  <si>
    <t>14:10:40</t>
  </si>
  <si>
    <t>10:54:53</t>
  </si>
  <si>
    <t>11:10:14</t>
  </si>
  <si>
    <t>11:10:15</t>
  </si>
  <si>
    <t>11:25:36</t>
  </si>
  <si>
    <t>12:33:41</t>
  </si>
  <si>
    <t>12:50:55</t>
  </si>
  <si>
    <t>13:08:10</t>
  </si>
  <si>
    <t>14:17:40</t>
  </si>
  <si>
    <t>14:25:20</t>
  </si>
  <si>
    <t>14:33:00</t>
  </si>
  <si>
    <t>Baureihe</t>
  </si>
  <si>
    <t>Laufweg zu lang?</t>
  </si>
  <si>
    <t>x</t>
  </si>
  <si>
    <t>Zeit</t>
  </si>
  <si>
    <t>06:15:59</t>
  </si>
  <si>
    <t>06:08:05</t>
  </si>
  <si>
    <t>00:00</t>
  </si>
  <si>
    <t>07:15:59</t>
  </si>
  <si>
    <t>08:15:59</t>
  </si>
  <si>
    <t>09:15:59</t>
  </si>
  <si>
    <t>10:15:58</t>
  </si>
  <si>
    <t>10:22:01</t>
  </si>
  <si>
    <t>11:15:58</t>
  </si>
  <si>
    <t>11:22:01</t>
  </si>
  <si>
    <t>12:15:59</t>
  </si>
  <si>
    <t>13:15:59</t>
  </si>
  <si>
    <t>14:15:59</t>
  </si>
  <si>
    <t>Criterio</t>
  </si>
  <si>
    <t>Fahrzeug 1</t>
  </si>
  <si>
    <t>Fahrzeug 2</t>
  </si>
  <si>
    <t>Fahrzeug 3</t>
  </si>
  <si>
    <t>Fahrzeug 4</t>
  </si>
  <si>
    <t>Fahrzeug 5</t>
  </si>
  <si>
    <t>Fahrzeug 6</t>
  </si>
  <si>
    <t>Fahrzeug 7</t>
  </si>
  <si>
    <t>Fahrzeug 8</t>
  </si>
  <si>
    <t>Fahrzeug 9</t>
  </si>
  <si>
    <t>Fahrzeug 10</t>
  </si>
  <si>
    <t>Fahrzeug 11</t>
  </si>
  <si>
    <t>Fahrzeug 12</t>
  </si>
  <si>
    <t>Fahrzeug 13</t>
  </si>
  <si>
    <t>Fahrzeug 14</t>
  </si>
  <si>
    <t>Fahrzeug 15</t>
  </si>
  <si>
    <t>Fahrzeug 16</t>
  </si>
  <si>
    <t>Fahrzeug 17</t>
  </si>
  <si>
    <t>Fahrzeug 18</t>
  </si>
  <si>
    <t>Fahrzeug 19</t>
  </si>
  <si>
    <t>Fahrzeug 20</t>
  </si>
  <si>
    <t>Fahrzeug 21</t>
  </si>
  <si>
    <t>Fahrzeug 22</t>
  </si>
  <si>
    <t>Fahrzeug 23</t>
  </si>
  <si>
    <t>Fahrzeug 24</t>
  </si>
  <si>
    <t>Fahrzeug 25</t>
  </si>
  <si>
    <t>Fahrzeug 26</t>
  </si>
  <si>
    <t>Fahrzeug 27</t>
  </si>
  <si>
    <t>Fahrzeug 28</t>
  </si>
  <si>
    <t>Fahrzeug 29</t>
  </si>
  <si>
    <t>Fahrzeug 30</t>
  </si>
  <si>
    <t>Fahrzeug 31</t>
  </si>
  <si>
    <t>Fahrzeug 32</t>
  </si>
  <si>
    <t>Fahrzeug 33</t>
  </si>
  <si>
    <t>Fahrzeug 34</t>
  </si>
  <si>
    <t>Fahrzeug 35</t>
  </si>
  <si>
    <t>Fahrzeug 36</t>
  </si>
  <si>
    <t>Fahrzeug 37</t>
  </si>
  <si>
    <t>Fahrzeug 38</t>
  </si>
  <si>
    <t>Fahrzeug 39</t>
  </si>
  <si>
    <t>Fahrzeug 40</t>
  </si>
  <si>
    <t>Fahrzeug 41</t>
  </si>
  <si>
    <t>Fahrzeug 42</t>
  </si>
  <si>
    <t>Fahrzeug 43</t>
  </si>
  <si>
    <t>Fahrzeug 44</t>
  </si>
  <si>
    <t>Fahrzeug 45</t>
  </si>
  <si>
    <t>Fahrzeug 46</t>
  </si>
  <si>
    <t>Fahrzeug 47</t>
  </si>
  <si>
    <t>Fahrzeug 48</t>
  </si>
  <si>
    <t>Fahrzeug 49</t>
  </si>
  <si>
    <t>Fahrzeug 50</t>
  </si>
  <si>
    <t>Fahrzeug 51</t>
  </si>
  <si>
    <t>Fahrzeug 52</t>
  </si>
  <si>
    <t>Fahrzeug 53</t>
  </si>
  <si>
    <t>Fahrzeug 54</t>
  </si>
  <si>
    <t>Fahrzeug 55</t>
  </si>
  <si>
    <t>Fahrzeug 56</t>
  </si>
  <si>
    <t>Fahrzeug 57</t>
  </si>
  <si>
    <t>Fahrzeug 58</t>
  </si>
  <si>
    <t>Fahrzeug 59</t>
  </si>
  <si>
    <t>Fahrzeug 60</t>
  </si>
  <si>
    <t>Fahrzeug 61</t>
  </si>
  <si>
    <t>Fahrzeug 62</t>
  </si>
  <si>
    <t>Fahrzeug 63</t>
  </si>
  <si>
    <t>Fahrzeug 64</t>
  </si>
  <si>
    <t>Fahrzeug 65</t>
  </si>
  <si>
    <t>Fahrzeug 66</t>
  </si>
  <si>
    <t>Fahrzeug 67</t>
  </si>
  <si>
    <t>Fahrzeug 68</t>
  </si>
  <si>
    <t>Fahrzeug 69</t>
  </si>
  <si>
    <t>Fahrzeug 70</t>
  </si>
  <si>
    <t>Fahrzeug 71</t>
  </si>
  <si>
    <t>Fahrzeug 72</t>
  </si>
  <si>
    <t>Fahrzeug 73</t>
  </si>
  <si>
    <t>Fahrzeug 74</t>
  </si>
  <si>
    <t>Fahrzeug 75</t>
  </si>
  <si>
    <t>Fahrzeug 76</t>
  </si>
  <si>
    <t>Fahrzeug 77</t>
  </si>
  <si>
    <t>Fahrzeug 78</t>
  </si>
  <si>
    <t>Fahrzeug 79</t>
  </si>
  <si>
    <t>Fahrzeug 80</t>
  </si>
  <si>
    <t>Fahrzeug 81</t>
  </si>
  <si>
    <t>Fahrzeug 82</t>
  </si>
  <si>
    <t>Fahrzeug 83</t>
  </si>
  <si>
    <t>Fahrzeug 84</t>
  </si>
  <si>
    <t>Fahrzeug 85</t>
  </si>
  <si>
    <t>Fahrzeug 86</t>
  </si>
  <si>
    <t>Fahrzeug 87</t>
  </si>
  <si>
    <t>Fahrzeug 88</t>
  </si>
  <si>
    <t>Fahrzeug 89</t>
  </si>
  <si>
    <t>Fahrzeug 90</t>
  </si>
  <si>
    <t>Fahrzeug 91</t>
  </si>
  <si>
    <t>Fahrzeug 92</t>
  </si>
  <si>
    <t>Fahrzeug 93</t>
  </si>
  <si>
    <t>Fahrzeug 94</t>
  </si>
  <si>
    <t>Fahrzeug 95</t>
  </si>
  <si>
    <t>Fahrzeug 96</t>
  </si>
  <si>
    <t>Fahrzeug 97</t>
  </si>
  <si>
    <t>Fahrzeug 98</t>
  </si>
  <si>
    <t>Fahrzeug 99</t>
  </si>
  <si>
    <t>Fahrzeug 100</t>
  </si>
  <si>
    <t>Fahrzeug 101</t>
  </si>
  <si>
    <t>Fahrzeug 102</t>
  </si>
  <si>
    <t>Fahrzeug 103</t>
  </si>
  <si>
    <t>Fahrzeug 104</t>
  </si>
  <si>
    <t>Fahrzeug 105</t>
  </si>
  <si>
    <t>Fahrzeug 106</t>
  </si>
  <si>
    <t>Fahrzeug 107</t>
  </si>
  <si>
    <t>Fahrzeug 108</t>
  </si>
  <si>
    <t>Fahrzeug 109</t>
  </si>
  <si>
    <t>Fahrzeug 110</t>
  </si>
  <si>
    <t>Fahrzeug 111</t>
  </si>
  <si>
    <t>Fahrzeug 112</t>
  </si>
  <si>
    <t>Fahrzeug 113</t>
  </si>
  <si>
    <t/>
  </si>
  <si>
    <t>Zweite Br</t>
  </si>
  <si>
    <t>Wagen Anzahr</t>
  </si>
  <si>
    <t>st_Name1_LUKS</t>
  </si>
  <si>
    <t>st_Name1</t>
  </si>
  <si>
    <t>st_Name2_LUKS</t>
  </si>
  <si>
    <t>st_Name2</t>
  </si>
  <si>
    <t>Distance [m]</t>
  </si>
  <si>
    <t>NAR</t>
  </si>
  <si>
    <t>AKO</t>
  </si>
  <si>
    <t>NAM</t>
  </si>
  <si>
    <t>KMZ</t>
  </si>
  <si>
    <t>KMH</t>
  </si>
  <si>
    <t>KH</t>
  </si>
  <si>
    <t>HUZ</t>
  </si>
  <si>
    <t>LEV</t>
  </si>
  <si>
    <t>ZVU</t>
  </si>
  <si>
    <t>HRH</t>
  </si>
  <si>
    <t>HMK</t>
  </si>
  <si>
    <t>HBG</t>
  </si>
  <si>
    <t>CRM</t>
  </si>
  <si>
    <t>HOT</t>
  </si>
  <si>
    <t>ATL</t>
  </si>
  <si>
    <t>DOR</t>
  </si>
  <si>
    <t>ZKB</t>
  </si>
  <si>
    <t>BIN</t>
  </si>
  <si>
    <t>CSR</t>
  </si>
  <si>
    <t>RMZ</t>
  </si>
  <si>
    <t>HADEAST</t>
  </si>
  <si>
    <t>AHIT</t>
  </si>
  <si>
    <t>TAY</t>
  </si>
  <si>
    <t>TIRA</t>
  </si>
  <si>
    <t>EYAL</t>
  </si>
  <si>
    <t>KSE</t>
  </si>
  <si>
    <t>THE</t>
  </si>
  <si>
    <t>RST</t>
  </si>
  <si>
    <t>RSM</t>
  </si>
  <si>
    <t>RS</t>
  </si>
  <si>
    <t>ELAD</t>
  </si>
  <si>
    <t>TF</t>
  </si>
  <si>
    <t>TAD</t>
  </si>
  <si>
    <t>LOD</t>
  </si>
  <si>
    <t>RM</t>
  </si>
  <si>
    <t>RHV</t>
  </si>
  <si>
    <t>NAN</t>
  </si>
  <si>
    <t>MZB</t>
  </si>
  <si>
    <t>NCM</t>
  </si>
  <si>
    <t>QMLA</t>
  </si>
  <si>
    <t>GT</t>
  </si>
  <si>
    <t>CZM</t>
  </si>
  <si>
    <t>NGL</t>
  </si>
  <si>
    <t>VIR</t>
  </si>
  <si>
    <t>LHVR</t>
  </si>
  <si>
    <t>ZGD</t>
  </si>
  <si>
    <t>SHK</t>
  </si>
  <si>
    <t>KRML</t>
  </si>
  <si>
    <t>AHI</t>
  </si>
  <si>
    <t>HDM</t>
  </si>
  <si>
    <t>VTK</t>
  </si>
  <si>
    <t>NET</t>
  </si>
  <si>
    <t>SPR</t>
  </si>
  <si>
    <t>YSA</t>
  </si>
  <si>
    <t>SHF</t>
  </si>
  <si>
    <t>ZOSHF</t>
  </si>
  <si>
    <t>RZL</t>
  </si>
  <si>
    <t>BRUH</t>
  </si>
  <si>
    <t>UN</t>
  </si>
  <si>
    <t>TM</t>
  </si>
  <si>
    <t>HSM</t>
  </si>
  <si>
    <t>SAD</t>
  </si>
  <si>
    <t>HGA</t>
  </si>
  <si>
    <t>GNT</t>
  </si>
  <si>
    <t>NTBG</t>
  </si>
  <si>
    <t>BGTF</t>
  </si>
  <si>
    <t>TAM</t>
  </si>
  <si>
    <t>LHV</t>
  </si>
  <si>
    <t>BS</t>
  </si>
  <si>
    <t>BSM</t>
  </si>
  <si>
    <t>SFR</t>
  </si>
  <si>
    <t>HBD</t>
  </si>
  <si>
    <t>GAV</t>
  </si>
  <si>
    <t>BHN</t>
  </si>
  <si>
    <t>TYO</t>
  </si>
  <si>
    <t>AFA</t>
  </si>
  <si>
    <t>KBH</t>
  </si>
  <si>
    <t>KYA</t>
  </si>
  <si>
    <t>NES</t>
  </si>
  <si>
    <t>LVM</t>
  </si>
  <si>
    <t>SGL</t>
  </si>
  <si>
    <t>ARIE</t>
  </si>
  <si>
    <t>BB</t>
  </si>
  <si>
    <t>RKH</t>
  </si>
  <si>
    <t>HOL</t>
  </si>
  <si>
    <t>VOLF</t>
  </si>
  <si>
    <t>TYSF</t>
  </si>
  <si>
    <t>YOST</t>
  </si>
  <si>
    <t>KOM</t>
  </si>
  <si>
    <t>RISM</t>
  </si>
  <si>
    <t>RIMS</t>
  </si>
  <si>
    <t>RSON</t>
  </si>
  <si>
    <t>RAMD</t>
  </si>
  <si>
    <t>GEZ</t>
  </si>
  <si>
    <t>PAM</t>
  </si>
  <si>
    <t>MOD</t>
  </si>
  <si>
    <t>RAMV</t>
  </si>
  <si>
    <t>RAMZ</t>
  </si>
  <si>
    <t>HOD</t>
  </si>
  <si>
    <t>SAN</t>
  </si>
  <si>
    <t>RISD</t>
  </si>
  <si>
    <t>YVM</t>
  </si>
  <si>
    <t>PLS</t>
  </si>
  <si>
    <t>ADA</t>
  </si>
  <si>
    <t>NZN</t>
  </si>
  <si>
    <t>ASK</t>
  </si>
  <si>
    <t>SKMA</t>
  </si>
  <si>
    <t>SDR</t>
  </si>
  <si>
    <t>NTIV</t>
  </si>
  <si>
    <t>OFAQ</t>
  </si>
  <si>
    <t>ZGM</t>
  </si>
  <si>
    <t>BQV</t>
  </si>
  <si>
    <t>RH</t>
  </si>
  <si>
    <t>EB</t>
  </si>
  <si>
    <t>HY</t>
  </si>
  <si>
    <t>NVT</t>
  </si>
  <si>
    <t>AR</t>
  </si>
  <si>
    <t>MON</t>
  </si>
  <si>
    <t>NHL</t>
  </si>
  <si>
    <t>SMS</t>
  </si>
  <si>
    <t>DNI</t>
  </si>
  <si>
    <t>ANB</t>
  </si>
  <si>
    <t>MSMR</t>
  </si>
  <si>
    <t>BUMA</t>
  </si>
  <si>
    <t>Fahrzeuge</t>
  </si>
  <si>
    <t>Erste Br</t>
  </si>
  <si>
    <t>Anzahl Wagen</t>
  </si>
  <si>
    <t>Tanken/Nicht</t>
  </si>
  <si>
    <t>Erforderliche Baureihen</t>
  </si>
  <si>
    <t>Erforderliche Wagen</t>
  </si>
  <si>
    <t>Anzahr Br</t>
  </si>
  <si>
    <t>Anzahl zweite Br</t>
  </si>
  <si>
    <r>
      <rPr>
        <b/>
        <sz val="10"/>
        <rFont val="Arial"/>
        <family val="2"/>
      </rPr>
      <t>Achtung</t>
    </r>
    <r>
      <rPr>
        <sz val="10"/>
        <rFont val="Arial"/>
        <family val="2"/>
      </rPr>
      <t xml:space="preserve">: </t>
    </r>
  </si>
  <si>
    <t>dieser Wert entspricht der Gesamtzahl der Wagen, die Einzel- und Doppeldecker umfasst.</t>
  </si>
  <si>
    <t xml:space="preserve">Aufgrund fehlender Informationen ist eine Unterscheidung dieser Daten nicht möglich. </t>
  </si>
  <si>
    <t>Total Anzahl Br</t>
  </si>
  <si>
    <t>Nicht Elektro</t>
  </si>
  <si>
    <t>Distanz</t>
  </si>
  <si>
    <t>Muss tanken?</t>
  </si>
  <si>
    <t>Total Distance Fahrzeug 1</t>
  </si>
  <si>
    <t>Total Distance Fahrzeug 2</t>
  </si>
  <si>
    <t>Total Distance Fahrzeug 3</t>
  </si>
  <si>
    <t>Total Distance Fahrzeug 4</t>
  </si>
  <si>
    <t>Total Distance Fahrzeug 5</t>
  </si>
  <si>
    <t>St1</t>
  </si>
  <si>
    <t>St 2</t>
  </si>
  <si>
    <t>Distance</t>
  </si>
  <si>
    <t>Sum</t>
  </si>
  <si>
    <t>St2</t>
  </si>
  <si>
    <t>St3</t>
  </si>
  <si>
    <t>St4</t>
  </si>
  <si>
    <t>Zugklasse</t>
  </si>
  <si>
    <t>NRz</t>
  </si>
  <si>
    <t>04:42:00</t>
  </si>
  <si>
    <t>05:42:00</t>
  </si>
  <si>
    <t>06:42:00</t>
  </si>
  <si>
    <t>05:10:41</t>
  </si>
  <si>
    <t>06:10:41</t>
  </si>
  <si>
    <t>04:40:42</t>
  </si>
  <si>
    <t>05:40:42</t>
  </si>
  <si>
    <t>06:40:42</t>
  </si>
  <si>
    <t>05:08:57</t>
  </si>
  <si>
    <t>06:08:57</t>
  </si>
  <si>
    <t>04:50:51</t>
  </si>
  <si>
    <t>04:51:00</t>
  </si>
  <si>
    <t>04:49:22</t>
  </si>
  <si>
    <t>05:49:22</t>
  </si>
  <si>
    <t>06:49:22</t>
  </si>
  <si>
    <t>07:49:22</t>
  </si>
  <si>
    <t>05:25:20</t>
  </si>
  <si>
    <t>04:50:55</t>
  </si>
  <si>
    <t>05:50:55</t>
  </si>
  <si>
    <t>05:10:15</t>
  </si>
  <si>
    <t>06:10:15</t>
  </si>
  <si>
    <t>07:10:15</t>
  </si>
  <si>
    <t>05:24:33</t>
  </si>
  <si>
    <t>04:54:04</t>
  </si>
  <si>
    <t>05:54:04</t>
  </si>
  <si>
    <t>05:23:02</t>
  </si>
  <si>
    <t>04:53:57</t>
  </si>
  <si>
    <t>05:53:57</t>
  </si>
  <si>
    <t>05:32:48</t>
  </si>
  <si>
    <t>05:09:13</t>
  </si>
  <si>
    <t>05:35:58</t>
  </si>
  <si>
    <t>05:05:29</t>
  </si>
  <si>
    <t>05:06:06</t>
  </si>
  <si>
    <t>05:00:27</t>
  </si>
  <si>
    <t>06:00:27</t>
  </si>
  <si>
    <t>04:54:09</t>
  </si>
  <si>
    <t>05:54:09</t>
  </si>
  <si>
    <t>06:54:09</t>
  </si>
  <si>
    <t>05:19:36</t>
  </si>
  <si>
    <t>06:19:36</t>
  </si>
  <si>
    <t>07:19:36</t>
  </si>
  <si>
    <t>04:45:42</t>
  </si>
  <si>
    <t>04:45:49</t>
  </si>
  <si>
    <t>04:47:07</t>
  </si>
  <si>
    <t>05:47:07</t>
  </si>
  <si>
    <t>06:47:07</t>
  </si>
  <si>
    <t>07:47:07</t>
  </si>
  <si>
    <t>04:49:42</t>
  </si>
  <si>
    <t>05:49:42</t>
  </si>
  <si>
    <t>06:49:42</t>
  </si>
  <si>
    <t>05:23:12</t>
  </si>
  <si>
    <t>06:23:12</t>
  </si>
  <si>
    <t>05:02:08</t>
  </si>
  <si>
    <t>06:02:08</t>
  </si>
  <si>
    <t>04:48:49</t>
  </si>
  <si>
    <t>05:48:49</t>
  </si>
  <si>
    <t>04:48:24</t>
  </si>
  <si>
    <t>05:48:24</t>
  </si>
  <si>
    <t>05:14:33</t>
  </si>
  <si>
    <t>06:14:33</t>
  </si>
  <si>
    <t>04:48:25</t>
  </si>
  <si>
    <t>05:48:25</t>
  </si>
  <si>
    <t>06:48:25</t>
  </si>
  <si>
    <t>05:36:59</t>
  </si>
  <si>
    <t>05:35:33</t>
  </si>
  <si>
    <t>06:35:33</t>
  </si>
  <si>
    <t>04:48:18</t>
  </si>
  <si>
    <t>05:48:18</t>
  </si>
  <si>
    <t>05:03:46</t>
  </si>
  <si>
    <t>04:41:12</t>
  </si>
  <si>
    <t>05:41:12</t>
  </si>
  <si>
    <t>05:26:43</t>
  </si>
  <si>
    <t>04:51:47</t>
  </si>
  <si>
    <t>05:40:48</t>
  </si>
  <si>
    <t>05:19:04</t>
  </si>
  <si>
    <t>06:19:04</t>
  </si>
  <si>
    <t>05:02:24</t>
  </si>
  <si>
    <t>06:02:24</t>
  </si>
  <si>
    <t>05:23:38</t>
  </si>
  <si>
    <t>06:23:38</t>
  </si>
  <si>
    <t>07:23:38</t>
  </si>
  <si>
    <t>05:12:58</t>
  </si>
  <si>
    <t>06:12:58</t>
  </si>
  <si>
    <t>07:12:58</t>
  </si>
  <si>
    <t>05:22:50</t>
  </si>
  <si>
    <t>06:22:50</t>
  </si>
  <si>
    <t>07:22:50</t>
  </si>
  <si>
    <t>05:11:52</t>
  </si>
  <si>
    <t>06:11:52</t>
  </si>
  <si>
    <t>07:11:52</t>
  </si>
  <si>
    <t>05:53:24</t>
  </si>
  <si>
    <t>06:53:24</t>
  </si>
  <si>
    <t>05:40:57</t>
  </si>
  <si>
    <t>06:40:57</t>
  </si>
  <si>
    <t>07:40:57</t>
  </si>
  <si>
    <t>05:55:42</t>
  </si>
  <si>
    <t>06:55:42</t>
  </si>
  <si>
    <t>05:42:31</t>
  </si>
  <si>
    <t>06:42:31</t>
  </si>
  <si>
    <t>07:42:31</t>
  </si>
  <si>
    <t>04:51:38</t>
  </si>
  <si>
    <t>05:51:38</t>
  </si>
  <si>
    <t>06:51:38</t>
  </si>
  <si>
    <t>05:04:18</t>
  </si>
  <si>
    <t>06:04:18</t>
  </si>
  <si>
    <t>07:04:18</t>
  </si>
  <si>
    <t>05:22:31</t>
  </si>
  <si>
    <t>06:22:31</t>
  </si>
  <si>
    <t>07:22:31</t>
  </si>
  <si>
    <t>05:34:27</t>
  </si>
  <si>
    <t>06:34:27</t>
  </si>
  <si>
    <t>05:22:02</t>
  </si>
  <si>
    <t>04:50:28</t>
  </si>
  <si>
    <t>05:50:28</t>
  </si>
  <si>
    <t>04:52:38</t>
  </si>
  <si>
    <t>04:50:23</t>
  </si>
  <si>
    <t>Startzeit</t>
  </si>
  <si>
    <t>Nahariyya</t>
  </si>
  <si>
    <t>Akko</t>
  </si>
  <si>
    <t>Naaman</t>
  </si>
  <si>
    <t>Kiryat Gat Tifoulit</t>
  </si>
  <si>
    <t>Kiryat Motzkin</t>
  </si>
  <si>
    <t>Kiryat Hayyim</t>
  </si>
  <si>
    <t>Hutsot HaMifrats</t>
  </si>
  <si>
    <t>Tzomet Zvulun</t>
  </si>
  <si>
    <t>Haifa Mizrah (East)</t>
  </si>
  <si>
    <t>Haifa HaShmona / Merkaz</t>
  </si>
  <si>
    <t>Haifa Bat Gallim</t>
  </si>
  <si>
    <t xml:space="preserve">Haifa Hof HaKarmel </t>
  </si>
  <si>
    <t>Hotrim</t>
  </si>
  <si>
    <t>Atlit</t>
  </si>
  <si>
    <t>Dor</t>
  </si>
  <si>
    <t>Zihron Yaacov</t>
  </si>
  <si>
    <t>Or Akiva/Binyamina</t>
  </si>
  <si>
    <t>Kesariyya - Pardes Hanna</t>
  </si>
  <si>
    <t>Tzomet Remez</t>
  </si>
  <si>
    <t>Hadera Mizrah (East)</t>
  </si>
  <si>
    <t>Achitov</t>
  </si>
  <si>
    <t>Taibe</t>
  </si>
  <si>
    <t>Tira-Cochav Yair</t>
  </si>
  <si>
    <t>Eyall</t>
  </si>
  <si>
    <t>Kfar Sava</t>
  </si>
  <si>
    <t>Rosh HaAyin Tzafon (North)</t>
  </si>
  <si>
    <t>Rosh Haayin Maarav (West)</t>
  </si>
  <si>
    <t>Rosh Ha-Ayin Darom (South)</t>
  </si>
  <si>
    <t>Shoam/Teufa</t>
  </si>
  <si>
    <t>Teufa Darom (South)</t>
  </si>
  <si>
    <t>Lod</t>
  </si>
  <si>
    <t>Ramla</t>
  </si>
  <si>
    <t>Rehavam</t>
  </si>
  <si>
    <t>Naan</t>
  </si>
  <si>
    <t>Mazkeret Batia</t>
  </si>
  <si>
    <t>Kfar Menachem</t>
  </si>
  <si>
    <t>Kiryat Malachi</t>
  </si>
  <si>
    <t>Kiryat Gat</t>
  </si>
  <si>
    <t>Achuzam</t>
  </si>
  <si>
    <t>Tel Nagila</t>
  </si>
  <si>
    <t>Dvira</t>
  </si>
  <si>
    <t>Lehavim - Rahat</t>
  </si>
  <si>
    <t>Tzomet Goral Darom (South)</t>
  </si>
  <si>
    <t>Karmiel</t>
  </si>
  <si>
    <t>Achihod</t>
  </si>
  <si>
    <t>Hadera Maarav (West)</t>
  </si>
  <si>
    <t>Kfar Vitkin</t>
  </si>
  <si>
    <t>Netanya</t>
  </si>
  <si>
    <t>Sapir</t>
  </si>
  <si>
    <t>Bet Yehoshua</t>
  </si>
  <si>
    <t>Shfaim</t>
  </si>
  <si>
    <t>Hertsliyya</t>
  </si>
  <si>
    <t>Tel Baruch</t>
  </si>
  <si>
    <t>TelAviv University</t>
  </si>
  <si>
    <t>TelAviv Savidor Merkaz</t>
  </si>
  <si>
    <t>TelAviv HaShalom</t>
  </si>
  <si>
    <t>Tel Aviv HaHagana</t>
  </si>
  <si>
    <t>Tzomet Gannot</t>
  </si>
  <si>
    <t>Ben Gurion Airport</t>
  </si>
  <si>
    <t>Ben Gurion Tefulit</t>
  </si>
  <si>
    <t>Teufa Maarav (West)</t>
  </si>
  <si>
    <t>Lehavim Darom (South)</t>
  </si>
  <si>
    <t>Beer Sheva Tzafon (North) / University</t>
  </si>
  <si>
    <t>Beer Sheva Merkaz</t>
  </si>
  <si>
    <t>Shafirim</t>
  </si>
  <si>
    <t>Kfar Habbad</t>
  </si>
  <si>
    <t>Lod - Ganne Aviv</t>
  </si>
  <si>
    <t>Beit-Shean</t>
  </si>
  <si>
    <t xml:space="preserve">Tel Yossef </t>
  </si>
  <si>
    <t>Afula</t>
  </si>
  <si>
    <t>Kfar Baruch</t>
  </si>
  <si>
    <t>Kfar Yehoshua</t>
  </si>
  <si>
    <t>Nesher</t>
  </si>
  <si>
    <t>Petah Tikva - Sgulla</t>
  </si>
  <si>
    <t>Petah Tikva - Kiryat Arye</t>
  </si>
  <si>
    <t>Bne Brak</t>
  </si>
  <si>
    <t>Gesher Rokach</t>
  </si>
  <si>
    <t>Holon Wolfson</t>
  </si>
  <si>
    <t>Tzomet Yoseftal</t>
  </si>
  <si>
    <t>Bat Yam - Yoseftal</t>
  </si>
  <si>
    <t>Bat Yam - Komemiyyut</t>
  </si>
  <si>
    <t>Rishon LeTsiyyon - Moshe Dayan</t>
  </si>
  <si>
    <t>Ramla Darom (South)</t>
  </si>
  <si>
    <t>Gezer</t>
  </si>
  <si>
    <t>Paate Modiin</t>
  </si>
  <si>
    <t>Modiin Centre</t>
  </si>
  <si>
    <t>Raanana Maarav (West)</t>
  </si>
  <si>
    <t>Hod HaSharon</t>
  </si>
  <si>
    <t>Kfar Sava Tzafon (North)</t>
  </si>
  <si>
    <t>Rishon Leziyyon Darom (South)</t>
  </si>
  <si>
    <t>Yavne Maarav (West)</t>
  </si>
  <si>
    <t>Pleshet</t>
  </si>
  <si>
    <t xml:space="preserve">Ashdod Ad Halom </t>
  </si>
  <si>
    <t>Nitzanim</t>
  </si>
  <si>
    <t>Ashkelon</t>
  </si>
  <si>
    <t>Sikma</t>
  </si>
  <si>
    <t>Sderot</t>
  </si>
  <si>
    <t>Netivot</t>
  </si>
  <si>
    <t>Ofakim</t>
  </si>
  <si>
    <t>Tzomet Goral Maarav (West)</t>
  </si>
  <si>
    <t>Beer Yaakov</t>
  </si>
  <si>
    <t>Rehovot</t>
  </si>
  <si>
    <t>Eben Gvirol</t>
  </si>
  <si>
    <t>Yavne Mizrah (East)</t>
  </si>
  <si>
    <t>Nevatim</t>
  </si>
  <si>
    <t>Aroer</t>
  </si>
  <si>
    <t>Dimona</t>
  </si>
  <si>
    <t>Nachal Soreq</t>
  </si>
  <si>
    <t>Bet Shemesh</t>
  </si>
  <si>
    <t>Tzomet Daniel</t>
  </si>
  <si>
    <t>Mahlev Anabe</t>
  </si>
  <si>
    <t>Mishmar Ayalon</t>
  </si>
  <si>
    <t xml:space="preserve">Blatt "IN_Verknüpfungen": die Daten müssen in der gleichen Reihenfolge wie die Spalten kopiert werden. Wichtige Spalten sind: B (Erste Zugfahrt), C (Zweite Zugfahrt), F (Ankunft erster Zug), G (Abfahrt erster Zug), I (Ankunft zweiter Zug), J (Abfahrt zweiter Zug) Hier ist die Status "Erfüllt" irrelevant. </t>
  </si>
  <si>
    <t>Diese müssen in "IN_Verknüpfungen" und "IN_Zugliste" kopiert werden.</t>
  </si>
  <si>
    <t>Das Tool gibt das GANTT Diagramm für einen angegebenen Fahrplan und zeigt auch, welche Fahrzeuge getankt werden müssen.</t>
  </si>
  <si>
    <t>Blatt "IN_Zugliste": die Daten müssen in der gleichen Reihenfolge wie die Spalten kopiert werden. Wichtige Spalten sind: A (Zugnummer), C (Zugfamilie), D ((Haupt-)Triebfahrzeug), G (Anzahl der Wagons), K (Laufweglänge), M (Startzeiten)</t>
  </si>
  <si>
    <t>Wenn die Daten kopiert sind, muss erstens die Spalte Abfahrt erster Zug von A bis Z sortiert und dann die Spalte Fzg_Index von A bis Z sortiert. Jetzt bekommt man die Compositions von den Fahrzeugen bzgl. der Verknüpfungen. In Spalte O ist die Liste für die Compositions und in Spalte L sieht man welche Fahrt die erste ist und man bekommt die Reihenfolgen.</t>
  </si>
  <si>
    <t>Im Blatt "Laufwege" findet man die Compositions links in Spalte A und in Spalte E sieht man ob eine Composition getankent werden muss. Wenn es bei "Laufweg zu lang?"  'ja' steht, dann muss die Composition getankent werden. Elektrofahrzeuge müssen nicht getankt werden.</t>
  </si>
  <si>
    <t>Im gleichen Blatt sieht man ein primäres GANTT Diagramm. Das Diagramm wird aber nicht benutzt.</t>
  </si>
  <si>
    <t>Im gleichen Ordner wie diese Excel Tabelle, gibt es die Dokumentation für das GANTT Diagramm-Jupyter Notebook (GANTT.ipynb).</t>
  </si>
  <si>
    <t>Falls man den Code laufen lassen muss, den ersten Code von den drei nur laufen lassen. Dann kommt eine Datei raus (time_schedule_gantt_colored.html). Diese Datei befindet sich im gleichen Ordner.</t>
  </si>
  <si>
    <t>Wenn die Datei geöffnet wird, bekommt man 'Schedule of the Trains'. Da ist der Zeitplan von allen Compositions zu sehen, mit den Distanzen und Compositions auf der Y Achse und die Zeiten auf der X Achse. Die Balken selbst enthalten die erste und die letzte Haltestellen in der Fahrt. Die Lücken dazwischen sind die Wendezeiten. Oben rechts gibt es Tools, wie Zoom, Pan (für Bewegung im Diagramm), Zoom In, Zoom Out, Autoscale usw. Unter dem Diagramm sind die Compositions detailliert zu bekommen. Da sieht man welche Fahrten in den Compositions inklusiv sind.</t>
  </si>
  <si>
    <t xml:space="preserve">Die Python Jupyter Notebook in einem Jupyter Notebook Environment öffnen. Das kann man von einem Terminal machen indem man Jupyter notebook einstellt und 'jupyter notebook' im Terminal schreibt, Dann öffnet sich ein Jupyter Notebook. Man kann jetzt die Datei wählen (quattron GmbH-&gt;Increase to 13 tph-&gt;Bearbeitung-&gt;Rostering-&gt;GANTT.ipynb). </t>
  </si>
  <si>
    <t>Wenn man neue Daten hast, muss man auch den code laufen lassen</t>
  </si>
  <si>
    <t>Für tanken kann man nur dieses Tool nutzen-klarer schreiben und die zwei outputs trennen</t>
  </si>
  <si>
    <t>Schreib dass mehr als 1010km muss getankt werde</t>
  </si>
  <si>
    <t>Vielleicht einen Knopf erstellen für den Code-&gt; direkt klicken und dann das GANTT Diagramm bekommen, und schreib das Python gebraucht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</si>
</sst>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4" x14ac:knownFonts="1">
    <font>
      <sz val="10"/>
      <name val="Arial"/>
    </font>
    <font>
      <sz val="11"/>
      <color theme="1"/>
      <name val="Calibri"/>
      <family val="2"/>
      <scheme val="minor"/>
    </font>
    <font>
      <sz val="9"/>
      <color rgb="FF000000"/>
      <name val="Segoe UI"/>
      <family val="2"/>
    </font>
    <font>
      <b/>
      <sz val="8.25"/>
      <color rgb="FF000000"/>
      <name val="Segoe UI"/>
      <family val="2"/>
    </font>
    <font>
      <sz val="10"/>
      <name val="Arial"/>
      <family val="2"/>
    </font>
    <font>
      <sz val="8"/>
      <name val="Arial"/>
      <family val="2"/>
    </font>
    <font>
      <sz val="8"/>
      <name val="Arial"/>
      <family val="2"/>
    </font>
    <font>
      <b/>
      <sz val="10"/>
      <name val="Arial"/>
      <family val="2"/>
    </font>
    <font>
      <b/>
      <sz val="11"/>
      <name val="Arial"/>
      <family val="2"/>
    </font>
    <font>
      <sz val="11"/>
      <name val="Arial"/>
      <family val="2"/>
    </font>
    <font>
      <sz val="8"/>
      <name val="Arial"/>
      <family val="2"/>
    </font>
    <font>
      <b/>
      <sz val="11"/>
      <color rgb="FF000000"/>
      <name val="Arial"/>
      <family val="2"/>
    </font>
    <font>
      <sz val="11"/>
      <color rgb="FF000000"/>
      <name val="Arial"/>
      <family val="2"/>
    </font>
    <font>
      <sz val="11"/>
      <color rgb="FF444444"/>
      <name val="Calibri"/>
      <family val="2"/>
      <charset val="1"/>
    </font>
    <font>
      <b/>
      <sz val="10"/>
      <color theme="1"/>
      <name val="Arial"/>
      <family val="2"/>
    </font>
    <font>
      <b/>
      <sz val="10"/>
      <name val="Arial"/>
      <family val="2"/>
    </font>
    <font>
      <sz val="8"/>
      <name val="Arial"/>
      <family val="2"/>
    </font>
    <font>
      <sz val="10"/>
      <color theme="0" tint="-0.249977111117893"/>
      <name val="Calibri"/>
      <family val="2"/>
      <scheme val="minor"/>
    </font>
    <font>
      <sz val="10"/>
      <name val="Calibri"/>
      <family val="2"/>
      <scheme val="minor"/>
    </font>
    <font>
      <sz val="10"/>
      <color theme="0" tint="-0.34998626667073579"/>
      <name val="Calibri"/>
      <family val="2"/>
      <scheme val="minor"/>
    </font>
    <font>
      <sz val="10"/>
      <color rgb="FF000000"/>
      <name val="Calibri"/>
      <family val="2"/>
      <scheme val="minor"/>
    </font>
    <font>
      <sz val="8.25"/>
      <color rgb="FF000000"/>
      <name val="Calibri"/>
      <family val="2"/>
      <scheme val="minor"/>
    </font>
    <font>
      <sz val="10"/>
      <color theme="8"/>
      <name val="Calibri"/>
      <family val="2"/>
      <scheme val="minor"/>
    </font>
    <font>
      <sz val="8.25"/>
      <color rgb="FF000000"/>
      <name val="Tahoma"/>
      <family val="2"/>
    </font>
  </fonts>
  <fills count="9">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00"/>
        <bgColor rgb="FF000000"/>
      </patternFill>
    </fill>
    <fill>
      <patternFill patternType="solid">
        <fgColor theme="8"/>
        <bgColor indexed="64"/>
      </patternFill>
    </fill>
    <fill>
      <patternFill patternType="solid">
        <fgColor theme="9"/>
        <bgColor indexed="64"/>
      </patternFill>
    </fill>
    <fill>
      <patternFill patternType="solid">
        <fgColor theme="0" tint="-0.14999847407452621"/>
        <bgColor indexed="64"/>
      </patternFill>
    </fill>
    <fill>
      <patternFill patternType="solid">
        <fgColor theme="0"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rgb="FF000000"/>
      </left>
      <right/>
      <top style="thin">
        <color rgb="FF000000"/>
      </top>
      <bottom style="thin">
        <color rgb="FF000000"/>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diagonal/>
    </border>
  </borders>
  <cellStyleXfs count="3">
    <xf numFmtId="0" fontId="0" fillId="0" borderId="0"/>
    <xf numFmtId="0" fontId="4" fillId="0" borderId="0"/>
    <xf numFmtId="0" fontId="1" fillId="0" borderId="0"/>
  </cellStyleXfs>
  <cellXfs count="79">
    <xf numFmtId="0" fontId="0" fillId="0" borderId="0" xfId="0"/>
    <xf numFmtId="0" fontId="4" fillId="0" borderId="0" xfId="0" applyFont="1"/>
    <xf numFmtId="0" fontId="4" fillId="0" borderId="0" xfId="1"/>
    <xf numFmtId="0" fontId="4" fillId="2" borderId="0" xfId="1" applyFill="1"/>
    <xf numFmtId="0" fontId="4" fillId="2" borderId="0" xfId="0" applyFont="1" applyFill="1"/>
    <xf numFmtId="0" fontId="3" fillId="3" borderId="0" xfId="1" applyFont="1" applyFill="1" applyAlignment="1" applyProtection="1">
      <alignment horizontal="left" vertical="top" wrapText="1"/>
      <protection locked="0"/>
    </xf>
    <xf numFmtId="0" fontId="4" fillId="3" borderId="0" xfId="1" applyFill="1"/>
    <xf numFmtId="0" fontId="7" fillId="0" borderId="0" xfId="0" applyFont="1"/>
    <xf numFmtId="0" fontId="0" fillId="0" borderId="0" xfId="0" applyAlignment="1">
      <alignment horizontal="center"/>
    </xf>
    <xf numFmtId="0" fontId="7"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7" fillId="0" borderId="0" xfId="0" applyFont="1" applyAlignment="1">
      <alignment horizontal="left"/>
    </xf>
    <xf numFmtId="0" fontId="4" fillId="0" borderId="0" xfId="0" applyFont="1" applyAlignment="1">
      <alignment horizontal="left"/>
    </xf>
    <xf numFmtId="0" fontId="0" fillId="0" borderId="0" xfId="0" applyAlignment="1">
      <alignment vertical="top"/>
    </xf>
    <xf numFmtId="0" fontId="4" fillId="0" borderId="1" xfId="0" applyFont="1" applyBorder="1" applyAlignment="1">
      <alignment horizontal="center"/>
    </xf>
    <xf numFmtId="0" fontId="8" fillId="0" borderId="0" xfId="0" applyFont="1"/>
    <xf numFmtId="0" fontId="9" fillId="0" borderId="0" xfId="0" applyFont="1"/>
    <xf numFmtId="0" fontId="9" fillId="0" borderId="0" xfId="0" applyFont="1" applyAlignment="1">
      <alignment horizontal="left" vertical="top" wrapText="1"/>
    </xf>
    <xf numFmtId="0" fontId="9" fillId="0" borderId="0" xfId="0" applyFont="1" applyAlignment="1">
      <alignment horizontal="center"/>
    </xf>
    <xf numFmtId="49" fontId="9" fillId="0" borderId="0" xfId="0" applyNumberFormat="1" applyFont="1" applyAlignment="1">
      <alignment horizontal="center" vertical="top"/>
    </xf>
    <xf numFmtId="0" fontId="9" fillId="0" borderId="0" xfId="0" applyFont="1" applyAlignment="1">
      <alignment horizontal="center" vertical="top"/>
    </xf>
    <xf numFmtId="0" fontId="4" fillId="0" borderId="0" xfId="0" applyFont="1" applyAlignment="1">
      <alignment vertical="top"/>
    </xf>
    <xf numFmtId="0" fontId="4" fillId="0" borderId="0" xfId="0" applyFont="1" applyAlignment="1">
      <alignment horizontal="left" vertical="top"/>
    </xf>
    <xf numFmtId="0" fontId="13" fillId="0" borderId="0" xfId="0" applyFont="1" applyAlignment="1">
      <alignment horizontal="left" vertical="top"/>
    </xf>
    <xf numFmtId="0" fontId="2" fillId="4" borderId="0" xfId="0" applyFont="1" applyFill="1" applyAlignment="1">
      <alignment horizontal="left" vertical="top" wrapText="1"/>
    </xf>
    <xf numFmtId="21" fontId="2" fillId="4" borderId="0" xfId="0" applyNumberFormat="1" applyFont="1" applyFill="1" applyAlignment="1">
      <alignment horizontal="left" vertical="top" wrapText="1"/>
    </xf>
    <xf numFmtId="20" fontId="2" fillId="4" borderId="0" xfId="0" applyNumberFormat="1" applyFont="1" applyFill="1" applyAlignment="1">
      <alignment horizontal="left" vertical="top" wrapText="1"/>
    </xf>
    <xf numFmtId="0" fontId="0" fillId="0" borderId="8" xfId="0" applyBorder="1"/>
    <xf numFmtId="0" fontId="0" fillId="0" borderId="9" xfId="0" applyBorder="1"/>
    <xf numFmtId="0" fontId="13" fillId="0" borderId="0" xfId="0" applyFont="1" applyAlignment="1">
      <alignment vertical="top" wrapText="1"/>
    </xf>
    <xf numFmtId="0" fontId="0" fillId="0" borderId="3" xfId="0" applyBorder="1"/>
    <xf numFmtId="0" fontId="0" fillId="0" borderId="5" xfId="0" applyBorder="1"/>
    <xf numFmtId="0" fontId="2" fillId="2" borderId="0" xfId="0" applyFont="1" applyFill="1" applyAlignment="1" applyProtection="1">
      <alignment horizontal="left" vertical="top" wrapText="1"/>
      <protection locked="0"/>
    </xf>
    <xf numFmtId="0" fontId="0" fillId="2" borderId="0" xfId="0" applyFill="1" applyAlignment="1">
      <alignment vertical="top"/>
    </xf>
    <xf numFmtId="0" fontId="0" fillId="5" borderId="0" xfId="0" applyFill="1" applyAlignment="1">
      <alignment vertical="top"/>
    </xf>
    <xf numFmtId="0" fontId="0" fillId="6" borderId="0" xfId="0" applyFill="1" applyAlignment="1">
      <alignment vertical="top"/>
    </xf>
    <xf numFmtId="0" fontId="7" fillId="0" borderId="10" xfId="0" applyFont="1" applyBorder="1" applyAlignment="1">
      <alignment horizontal="center"/>
    </xf>
    <xf numFmtId="0" fontId="14" fillId="0" borderId="0" xfId="0" applyFont="1"/>
    <xf numFmtId="49" fontId="4" fillId="0" borderId="0" xfId="0" applyNumberFormat="1" applyFont="1" applyAlignment="1">
      <alignment horizontal="left"/>
    </xf>
    <xf numFmtId="0" fontId="7" fillId="0" borderId="11" xfId="0" applyFont="1" applyBorder="1"/>
    <xf numFmtId="0" fontId="14" fillId="0" borderId="12" xfId="0" applyFont="1" applyBorder="1" applyAlignment="1">
      <alignment horizontal="center"/>
    </xf>
    <xf numFmtId="0" fontId="0" fillId="0" borderId="0" xfId="0" applyAlignment="1">
      <alignment horizontal="left"/>
    </xf>
    <xf numFmtId="0" fontId="0" fillId="0" borderId="1" xfId="0" applyBorder="1"/>
    <xf numFmtId="0" fontId="15" fillId="0" borderId="11" xfId="0" applyFont="1" applyBorder="1" applyAlignment="1">
      <alignment horizontal="center"/>
    </xf>
    <xf numFmtId="0" fontId="1" fillId="0" borderId="0" xfId="2"/>
    <xf numFmtId="0" fontId="1" fillId="0" borderId="0" xfId="2" applyAlignment="1">
      <alignment horizontal="right"/>
    </xf>
    <xf numFmtId="0" fontId="0" fillId="0" borderId="13" xfId="0" applyBorder="1" applyAlignment="1">
      <alignment horizontal="center"/>
    </xf>
    <xf numFmtId="0" fontId="17" fillId="0" borderId="0" xfId="0" applyFont="1"/>
    <xf numFmtId="0" fontId="18" fillId="0" borderId="0" xfId="0" applyFont="1"/>
    <xf numFmtId="1" fontId="18" fillId="0" borderId="0" xfId="0" applyNumberFormat="1" applyFont="1"/>
    <xf numFmtId="0" fontId="19" fillId="0" borderId="0" xfId="0" applyFont="1"/>
    <xf numFmtId="0" fontId="20" fillId="7" borderId="0" xfId="0" applyFont="1" applyFill="1" applyAlignment="1">
      <alignment wrapText="1"/>
    </xf>
    <xf numFmtId="0" fontId="20" fillId="2" borderId="0" xfId="0" applyFont="1" applyFill="1" applyAlignment="1">
      <alignment wrapText="1"/>
    </xf>
    <xf numFmtId="0" fontId="21" fillId="2" borderId="0" xfId="0" applyFont="1" applyFill="1" applyAlignment="1">
      <alignment horizontal="left" vertical="top" wrapText="1"/>
    </xf>
    <xf numFmtId="0" fontId="21" fillId="4" borderId="0" xfId="0" applyFont="1" applyFill="1" applyAlignment="1">
      <alignment horizontal="left" vertical="top" wrapText="1"/>
    </xf>
    <xf numFmtId="0" fontId="20" fillId="7" borderId="0" xfId="0" applyFont="1" applyFill="1" applyAlignment="1" applyProtection="1">
      <alignment horizontal="left" vertical="top" wrapText="1"/>
      <protection locked="0"/>
    </xf>
    <xf numFmtId="0" fontId="20" fillId="2" borderId="0" xfId="0" applyFont="1" applyFill="1" applyAlignment="1" applyProtection="1">
      <alignment horizontal="left" vertical="top" wrapText="1"/>
      <protection locked="0"/>
    </xf>
    <xf numFmtId="21" fontId="20" fillId="2" borderId="0" xfId="0" applyNumberFormat="1" applyFont="1" applyFill="1" applyAlignment="1" applyProtection="1">
      <alignment horizontal="left" vertical="top" wrapText="1"/>
      <protection locked="0"/>
    </xf>
    <xf numFmtId="1" fontId="20" fillId="7" borderId="0" xfId="0" applyNumberFormat="1" applyFont="1" applyFill="1" applyAlignment="1" applyProtection="1">
      <alignment horizontal="left" vertical="top" wrapText="1"/>
      <protection locked="0"/>
    </xf>
    <xf numFmtId="0" fontId="18" fillId="2" borderId="0" xfId="0" applyFont="1" applyFill="1"/>
    <xf numFmtId="0" fontId="22" fillId="0" borderId="0" xfId="0" applyFont="1" applyAlignment="1">
      <alignment wrapText="1"/>
    </xf>
    <xf numFmtId="0" fontId="22" fillId="0" borderId="0" xfId="0" applyFont="1"/>
    <xf numFmtId="1" fontId="22" fillId="0" borderId="0" xfId="0" applyNumberFormat="1" applyFont="1"/>
    <xf numFmtId="164" fontId="22" fillId="0" borderId="0" xfId="0" applyNumberFormat="1" applyFont="1"/>
    <xf numFmtId="0" fontId="23" fillId="8" borderId="0" xfId="0" applyFont="1" applyFill="1" applyAlignment="1" applyProtection="1">
      <alignment horizontal="left" vertical="top" wrapText="1"/>
      <protection locked="0"/>
    </xf>
    <xf numFmtId="0" fontId="23" fillId="2" borderId="0" xfId="0" applyFont="1" applyFill="1" applyAlignment="1" applyProtection="1">
      <alignment horizontal="left" vertical="top" wrapText="1"/>
      <protection locked="0"/>
    </xf>
    <xf numFmtId="0" fontId="18" fillId="8" borderId="0" xfId="0" applyFont="1" applyFill="1"/>
    <xf numFmtId="0" fontId="9" fillId="0" borderId="0" xfId="0" applyFont="1" applyAlignment="1">
      <alignment vertical="top"/>
    </xf>
    <xf numFmtId="0" fontId="4" fillId="0" borderId="0" xfId="0" applyFont="1" applyAlignment="1">
      <alignment horizontal="left" vertical="top" wrapText="1"/>
    </xf>
    <xf numFmtId="0" fontId="9" fillId="0" borderId="0" xfId="0" applyFont="1" applyAlignment="1">
      <alignment horizontal="left" vertical="top" wrapText="1"/>
    </xf>
    <xf numFmtId="0" fontId="9" fillId="0" borderId="0" xfId="0" applyFont="1" applyAlignment="1">
      <alignment horizontal="left" vertical="top"/>
    </xf>
    <xf numFmtId="0" fontId="12" fillId="0" borderId="0" xfId="0" applyFont="1" applyAlignment="1">
      <alignment horizontal="left" vertical="top" wrapText="1"/>
    </xf>
  </cellXfs>
  <cellStyles count="3">
    <cellStyle name="Standard" xfId="0" builtinId="0"/>
    <cellStyle name="Standard 2" xfId="1" xr:uid="{6890D08C-725D-4875-AC42-7C72684B1FD2}"/>
    <cellStyle name="Standard 3" xfId="2" xr:uid="{09D45D2A-9CF8-4E3E-8310-1B2772671056}"/>
  </cellStyles>
  <dxfs count="3">
    <dxf>
      <fill>
        <patternFill>
          <bgColor rgb="FF00B0F0"/>
        </patternFill>
      </fill>
    </dxf>
    <dxf>
      <fill>
        <patternFill>
          <fgColor indexed="64"/>
          <bgColor rgb="FFFFFF00"/>
        </patternFill>
      </fill>
    </dxf>
    <dxf>
      <fill>
        <patternFill>
          <fgColor indexed="64"/>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Time Schedule-GANTT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bar"/>
        <c:grouping val="stacked"/>
        <c:varyColors val="0"/>
        <c:ser>
          <c:idx val="0"/>
          <c:order val="0"/>
          <c:tx>
            <c:strRef>
              <c:f>Laufwege!$G$3</c:f>
              <c:strCache>
                <c:ptCount val="1"/>
                <c:pt idx="0">
                  <c:v>x</c:v>
                </c:pt>
              </c:strCache>
            </c:strRef>
          </c:tx>
          <c:spPr>
            <a:no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Laufwege!$G$4:$G$116</c:f>
              <c:numCache>
                <c:formatCode>[$-F400]h:mm:ss\ AM/PM</c:formatCode>
                <c:ptCount val="113"/>
                <c:pt idx="0">
                  <c:v>0.19848379629629628</c:v>
                </c:pt>
                <c:pt idx="1">
                  <c:v>0.20208333333333334</c:v>
                </c:pt>
                <c:pt idx="2">
                  <c:v>0.19840277777777779</c:v>
                </c:pt>
                <c:pt idx="3">
                  <c:v>0.20197916666666665</c:v>
                </c:pt>
                <c:pt idx="4">
                  <c:v>0.20321759259259259</c:v>
                </c:pt>
                <c:pt idx="5">
                  <c:v>0.20165509259259259</c:v>
                </c:pt>
                <c:pt idx="6">
                  <c:v>0.20864583333333334</c:v>
                </c:pt>
                <c:pt idx="7">
                  <c:v>0.21256944444444445</c:v>
                </c:pt>
                <c:pt idx="8">
                  <c:v>0.19527777777777777</c:v>
                </c:pt>
                <c:pt idx="9">
                  <c:v>0.20413194444444444</c:v>
                </c:pt>
                <c:pt idx="10">
                  <c:v>0.20171296296296296</c:v>
                </c:pt>
                <c:pt idx="11">
                  <c:v>0.20421296296296296</c:v>
                </c:pt>
                <c:pt idx="12">
                  <c:v>0.20202546296296298</c:v>
                </c:pt>
                <c:pt idx="13">
                  <c:v>0.21</c:v>
                </c:pt>
                <c:pt idx="14">
                  <c:v>0.2147337962962963</c:v>
                </c:pt>
                <c:pt idx="15">
                  <c:v>0.22363425925925925</c:v>
                </c:pt>
                <c:pt idx="16">
                  <c:v>0.20020833333333332</c:v>
                </c:pt>
                <c:pt idx="17">
                  <c:v>0.21094907407407407</c:v>
                </c:pt>
                <c:pt idx="18">
                  <c:v>0.2154513888888889</c:v>
                </c:pt>
                <c:pt idx="19">
                  <c:v>0.20056712962962964</c:v>
                </c:pt>
                <c:pt idx="20">
                  <c:v>0.2243287037037037</c:v>
                </c:pt>
                <c:pt idx="21">
                  <c:v>0.22538194444444445</c:v>
                </c:pt>
                <c:pt idx="22">
                  <c:v>0.20027777777777778</c:v>
                </c:pt>
                <c:pt idx="23">
                  <c:v>0.19493055555555555</c:v>
                </c:pt>
                <c:pt idx="24">
                  <c:v>0.22157407407407406</c:v>
                </c:pt>
                <c:pt idx="25">
                  <c:v>0.23302083333333334</c:v>
                </c:pt>
                <c:pt idx="26">
                  <c:v>0.23401620370370371</c:v>
                </c:pt>
                <c:pt idx="27">
                  <c:v>0.2311111111111111</c:v>
                </c:pt>
                <c:pt idx="28">
                  <c:v>0.25031249999999999</c:v>
                </c:pt>
                <c:pt idx="29">
                  <c:v>0.22688657407407409</c:v>
                </c:pt>
                <c:pt idx="30">
                  <c:v>0.19583333333333333</c:v>
                </c:pt>
                <c:pt idx="31">
                  <c:v>0.23694444444444446</c:v>
                </c:pt>
                <c:pt idx="32">
                  <c:v>0.24579861111111112</c:v>
                </c:pt>
                <c:pt idx="33">
                  <c:v>0.20981481481481482</c:v>
                </c:pt>
                <c:pt idx="34">
                  <c:v>0.24337962962962964</c:v>
                </c:pt>
                <c:pt idx="35">
                  <c:v>0.20028935185185184</c:v>
                </c:pt>
                <c:pt idx="36">
                  <c:v>0.24587962962962964</c:v>
                </c:pt>
                <c:pt idx="37">
                  <c:v>0.24369212962962963</c:v>
                </c:pt>
                <c:pt idx="38">
                  <c:v>0.20252314814814815</c:v>
                </c:pt>
                <c:pt idx="39">
                  <c:v>0.25166666666666665</c:v>
                </c:pt>
                <c:pt idx="40">
                  <c:v>0.24187500000000001</c:v>
                </c:pt>
                <c:pt idx="41">
                  <c:v>0.21575231481481483</c:v>
                </c:pt>
                <c:pt idx="42">
                  <c:v>0.22444444444444445</c:v>
                </c:pt>
                <c:pt idx="43">
                  <c:v>0.21843750000000001</c:v>
                </c:pt>
                <c:pt idx="44">
                  <c:v>0.21454861111111112</c:v>
                </c:pt>
                <c:pt idx="45">
                  <c:v>0.25261574074074072</c:v>
                </c:pt>
                <c:pt idx="46">
                  <c:v>0.25711805555555556</c:v>
                </c:pt>
                <c:pt idx="47">
                  <c:v>0.24223379629629629</c:v>
                </c:pt>
                <c:pt idx="48">
                  <c:v>0.20118055555555556</c:v>
                </c:pt>
                <c:pt idx="49">
                  <c:v>0.21131944444444445</c:v>
                </c:pt>
                <c:pt idx="50">
                  <c:v>0.19938657407407406</c:v>
                </c:pt>
                <c:pt idx="51">
                  <c:v>0.24194444444444443</c:v>
                </c:pt>
                <c:pt idx="52">
                  <c:v>0.23659722222222221</c:v>
                </c:pt>
                <c:pt idx="53">
                  <c:v>0.21657407407407409</c:v>
                </c:pt>
                <c:pt idx="54">
                  <c:v>0.21733796296296296</c:v>
                </c:pt>
                <c:pt idx="55">
                  <c:v>0.26324074074074072</c:v>
                </c:pt>
                <c:pt idx="56">
                  <c:v>0.22396990740740741</c:v>
                </c:pt>
                <c:pt idx="57">
                  <c:v>0.27468749999999997</c:v>
                </c:pt>
                <c:pt idx="58">
                  <c:v>0.20094907407407409</c:v>
                </c:pt>
                <c:pt idx="59">
                  <c:v>0.23749999999999999</c:v>
                </c:pt>
                <c:pt idx="60">
                  <c:v>0.22418981481481481</c:v>
                </c:pt>
                <c:pt idx="61">
                  <c:v>0.22474537037037037</c:v>
                </c:pt>
                <c:pt idx="62">
                  <c:v>0.20427083333333335</c:v>
                </c:pt>
                <c:pt idx="63">
                  <c:v>0.25148148148148147</c:v>
                </c:pt>
                <c:pt idx="64">
                  <c:v>0.23225694444444445</c:v>
                </c:pt>
                <c:pt idx="65">
                  <c:v>0.23677083333333335</c:v>
                </c:pt>
                <c:pt idx="66">
                  <c:v>0.24195601851851853</c:v>
                </c:pt>
                <c:pt idx="67">
                  <c:v>0.2378587962962963</c:v>
                </c:pt>
                <c:pt idx="68">
                  <c:v>0.2441898148148148</c:v>
                </c:pt>
                <c:pt idx="69">
                  <c:v>0.25741898148148146</c:v>
                </c:pt>
                <c:pt idx="70">
                  <c:v>0.26611111111111113</c:v>
                </c:pt>
                <c:pt idx="71">
                  <c:v>0.26010416666666669</c:v>
                </c:pt>
                <c:pt idx="72">
                  <c:v>0.22592592592592592</c:v>
                </c:pt>
                <c:pt idx="73">
                  <c:v>0.25621527777777775</c:v>
                </c:pt>
                <c:pt idx="74">
                  <c:v>0.22194444444444444</c:v>
                </c:pt>
                <c:pt idx="75">
                  <c:v>0.24541666666666667</c:v>
                </c:pt>
                <c:pt idx="76">
                  <c:v>0.29878472222222224</c:v>
                </c:pt>
                <c:pt idx="77">
                  <c:v>0.24701388888888889</c:v>
                </c:pt>
                <c:pt idx="78">
                  <c:v>0.24284722222222221</c:v>
                </c:pt>
                <c:pt idx="79">
                  <c:v>0.25298611111111113</c:v>
                </c:pt>
                <c:pt idx="80">
                  <c:v>0.24105324074074075</c:v>
                </c:pt>
                <c:pt idx="81">
                  <c:v>0.27826388888888887</c:v>
                </c:pt>
                <c:pt idx="82">
                  <c:v>0.25824074074074072</c:v>
                </c:pt>
                <c:pt idx="83">
                  <c:v>0.25900462962962961</c:v>
                </c:pt>
                <c:pt idx="84">
                  <c:v>0.26563657407407409</c:v>
                </c:pt>
                <c:pt idx="85">
                  <c:v>0.24261574074074074</c:v>
                </c:pt>
                <c:pt idx="86">
                  <c:v>0.27916666666666667</c:v>
                </c:pt>
                <c:pt idx="87">
                  <c:v>0.2658564814814815</c:v>
                </c:pt>
                <c:pt idx="88">
                  <c:v>0.26641203703703703</c:v>
                </c:pt>
                <c:pt idx="89">
                  <c:v>0.2459375</c:v>
                </c:pt>
                <c:pt idx="90">
                  <c:v>0.27392361111111113</c:v>
                </c:pt>
                <c:pt idx="91">
                  <c:v>0.2784375</c:v>
                </c:pt>
                <c:pt idx="92">
                  <c:v>0.28362268518518519</c:v>
                </c:pt>
                <c:pt idx="93">
                  <c:v>0.27952546296296299</c:v>
                </c:pt>
                <c:pt idx="94">
                  <c:v>0.28585648148148146</c:v>
                </c:pt>
                <c:pt idx="95">
                  <c:v>0.26361111111111113</c:v>
                </c:pt>
                <c:pt idx="96">
                  <c:v>0.28708333333333336</c:v>
                </c:pt>
                <c:pt idx="97">
                  <c:v>0.28868055555555555</c:v>
                </c:pt>
                <c:pt idx="98">
                  <c:v>0.2845138888888889</c:v>
                </c:pt>
                <c:pt idx="99">
                  <c:v>0.29465277777777776</c:v>
                </c:pt>
                <c:pt idx="100">
                  <c:v>0.28271990740740743</c:v>
                </c:pt>
                <c:pt idx="101">
                  <c:v>0.2999074074074074</c:v>
                </c:pt>
                <c:pt idx="102">
                  <c:v>0.3006712962962963</c:v>
                </c:pt>
                <c:pt idx="103">
                  <c:v>0.30730324074074072</c:v>
                </c:pt>
                <c:pt idx="104">
                  <c:v>0.2842824074074074</c:v>
                </c:pt>
                <c:pt idx="105">
                  <c:v>0.30752314814814813</c:v>
                </c:pt>
                <c:pt idx="106">
                  <c:v>0.30807870370370372</c:v>
                </c:pt>
                <c:pt idx="107">
                  <c:v>0.28760416666666666</c:v>
                </c:pt>
                <c:pt idx="108">
                  <c:v>0.32010416666666669</c:v>
                </c:pt>
                <c:pt idx="109">
                  <c:v>0.32119212962962962</c:v>
                </c:pt>
                <c:pt idx="110">
                  <c:v>0.30527777777777776</c:v>
                </c:pt>
                <c:pt idx="111">
                  <c:v>0.32438657407407406</c:v>
                </c:pt>
                <c:pt idx="112">
                  <c:v>0.32594907407407409</c:v>
                </c:pt>
              </c:numCache>
            </c:numRef>
          </c:val>
          <c:extLst>
            <c:ext xmlns:c16="http://schemas.microsoft.com/office/drawing/2014/chart" uri="{C3380CC4-5D6E-409C-BE32-E72D297353CC}">
              <c16:uniqueId val="{00000000-9635-4692-911C-48EF8CBB889F}"/>
            </c:ext>
          </c:extLst>
        </c:ser>
        <c:ser>
          <c:idx val="1"/>
          <c:order val="1"/>
          <c:tx>
            <c:strRef>
              <c:f>Laufwege!$H$3</c:f>
              <c:strCache>
                <c:ptCount val="1"/>
                <c:pt idx="0">
                  <c:v>1</c:v>
                </c:pt>
              </c:strCache>
            </c:strRef>
          </c:tx>
          <c:spPr>
            <a:solidFill>
              <a:schemeClr val="accent2"/>
            </a:solid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Laufwege!$H$4:$H$116</c:f>
              <c:numCache>
                <c:formatCode>[$-F400]h:mm:ss\ AM/PM</c:formatCode>
                <c:ptCount val="113"/>
                <c:pt idx="0">
                  <c:v>2.9756944444444461E-2</c:v>
                </c:pt>
                <c:pt idx="1">
                  <c:v>2.6643518518518511E-2</c:v>
                </c:pt>
                <c:pt idx="2">
                  <c:v>3.1666666666666649E-2</c:v>
                </c:pt>
                <c:pt idx="3">
                  <c:v>3.1377314814814816E-2</c:v>
                </c:pt>
                <c:pt idx="4">
                  <c:v>3.6585648148148159E-2</c:v>
                </c:pt>
                <c:pt idx="5">
                  <c:v>4.1469907407407414E-2</c:v>
                </c:pt>
                <c:pt idx="6">
                  <c:v>3.8020833333333337E-2</c:v>
                </c:pt>
                <c:pt idx="7">
                  <c:v>4.0046296296296274E-2</c:v>
                </c:pt>
                <c:pt idx="8">
                  <c:v>5.8182870370370399E-2</c:v>
                </c:pt>
                <c:pt idx="9">
                  <c:v>5.1481481481481572E-2</c:v>
                </c:pt>
                <c:pt idx="10">
                  <c:v>5.8819444444444452E-2</c:v>
                </c:pt>
                <c:pt idx="11">
                  <c:v>5.7199074074074069E-2</c:v>
                </c:pt>
                <c:pt idx="12">
                  <c:v>6.0243055555555536E-2</c:v>
                </c:pt>
                <c:pt idx="13">
                  <c:v>5.5081018518518515E-2</c:v>
                </c:pt>
                <c:pt idx="14">
                  <c:v>5.042824074074076E-2</c:v>
                </c:pt>
                <c:pt idx="15">
                  <c:v>4.3182870370370358E-2</c:v>
                </c:pt>
                <c:pt idx="16">
                  <c:v>6.712962962962965E-2</c:v>
                </c:pt>
                <c:pt idx="17">
                  <c:v>6.0312500000000019E-2</c:v>
                </c:pt>
                <c:pt idx="18">
                  <c:v>5.7939814814814777E-2</c:v>
                </c:pt>
                <c:pt idx="19">
                  <c:v>7.4062499999999976E-2</c:v>
                </c:pt>
                <c:pt idx="20">
                  <c:v>5.1817129629629616E-2</c:v>
                </c:pt>
                <c:pt idx="21">
                  <c:v>5.1099537037037041E-2</c:v>
                </c:pt>
                <c:pt idx="22">
                  <c:v>7.9039351851851847E-2</c:v>
                </c:pt>
                <c:pt idx="23">
                  <c:v>8.4571759259259249E-2</c:v>
                </c:pt>
                <c:pt idx="24">
                  <c:v>6.2083333333333351E-2</c:v>
                </c:pt>
                <c:pt idx="25">
                  <c:v>5.16550925925926E-2</c:v>
                </c:pt>
                <c:pt idx="26">
                  <c:v>5.3599537037037043E-2</c:v>
                </c:pt>
                <c:pt idx="27">
                  <c:v>5.7164351851851869E-2</c:v>
                </c:pt>
                <c:pt idx="28">
                  <c:v>3.8020833333333337E-2</c:v>
                </c:pt>
                <c:pt idx="29">
                  <c:v>6.1597222222222192E-2</c:v>
                </c:pt>
                <c:pt idx="30">
                  <c:v>9.3402777777777807E-2</c:v>
                </c:pt>
                <c:pt idx="31">
                  <c:v>5.8182870370370343E-2</c:v>
                </c:pt>
                <c:pt idx="32">
                  <c:v>5.1481481481481461E-2</c:v>
                </c:pt>
                <c:pt idx="33">
                  <c:v>8.9780092592592592E-2</c:v>
                </c:pt>
                <c:pt idx="34">
                  <c:v>5.8819444444444452E-2</c:v>
                </c:pt>
                <c:pt idx="35">
                  <c:v>0.10221064814814815</c:v>
                </c:pt>
                <c:pt idx="36">
                  <c:v>5.7199074074074069E-2</c:v>
                </c:pt>
                <c:pt idx="37">
                  <c:v>6.0243055555555564E-2</c:v>
                </c:pt>
                <c:pt idx="38">
                  <c:v>0.10379629629629628</c:v>
                </c:pt>
                <c:pt idx="39">
                  <c:v>5.5081018518518543E-2</c:v>
                </c:pt>
                <c:pt idx="40">
                  <c:v>6.712962962962965E-2</c:v>
                </c:pt>
                <c:pt idx="41">
                  <c:v>9.3263888888888868E-2</c:v>
                </c:pt>
                <c:pt idx="42">
                  <c:v>8.5902777777777772E-2</c:v>
                </c:pt>
                <c:pt idx="43">
                  <c:v>9.3159722222222241E-2</c:v>
                </c:pt>
                <c:pt idx="44">
                  <c:v>9.7777777777777741E-2</c:v>
                </c:pt>
                <c:pt idx="45">
                  <c:v>6.0312499999999991E-2</c:v>
                </c:pt>
                <c:pt idx="46">
                  <c:v>5.7939814814814805E-2</c:v>
                </c:pt>
                <c:pt idx="47">
                  <c:v>7.4062500000000003E-2</c:v>
                </c:pt>
                <c:pt idx="48">
                  <c:v>0.11662037037037035</c:v>
                </c:pt>
                <c:pt idx="49">
                  <c:v>0.10745370370370372</c:v>
                </c:pt>
                <c:pt idx="50">
                  <c:v>0.12003472222222222</c:v>
                </c:pt>
                <c:pt idx="51">
                  <c:v>7.9039351851851875E-2</c:v>
                </c:pt>
                <c:pt idx="52">
                  <c:v>8.4571759259259277E-2</c:v>
                </c:pt>
                <c:pt idx="53">
                  <c:v>0.10574074074074075</c:v>
                </c:pt>
                <c:pt idx="54">
                  <c:v>0.10774305555555555</c:v>
                </c:pt>
                <c:pt idx="55">
                  <c:v>6.2083333333333379E-2</c:v>
                </c:pt>
                <c:pt idx="56">
                  <c:v>0.10187499999999999</c:v>
                </c:pt>
                <c:pt idx="57">
                  <c:v>5.16550925925926E-2</c:v>
                </c:pt>
                <c:pt idx="58">
                  <c:v>0.12883101851851853</c:v>
                </c:pt>
                <c:pt idx="59">
                  <c:v>9.3402777777777779E-2</c:v>
                </c:pt>
                <c:pt idx="60">
                  <c:v>0.11208333333333331</c:v>
                </c:pt>
                <c:pt idx="61">
                  <c:v>0.11238425925925924</c:v>
                </c:pt>
                <c:pt idx="62">
                  <c:v>0.13434027777777774</c:v>
                </c:pt>
                <c:pt idx="63">
                  <c:v>8.978009259259262E-2</c:v>
                </c:pt>
                <c:pt idx="64">
                  <c:v>0.10908564814814814</c:v>
                </c:pt>
                <c:pt idx="65">
                  <c:v>0.10638888888888889</c:v>
                </c:pt>
                <c:pt idx="66">
                  <c:v>0.10221064814814815</c:v>
                </c:pt>
                <c:pt idx="67">
                  <c:v>0.1083796296296296</c:v>
                </c:pt>
                <c:pt idx="68">
                  <c:v>0.1037962962962963</c:v>
                </c:pt>
                <c:pt idx="69">
                  <c:v>9.3263888888888924E-2</c:v>
                </c:pt>
                <c:pt idx="70">
                  <c:v>8.5902777777777772E-2</c:v>
                </c:pt>
                <c:pt idx="71">
                  <c:v>9.3159722222222185E-2</c:v>
                </c:pt>
                <c:pt idx="72">
                  <c:v>0.12793981481481481</c:v>
                </c:pt>
                <c:pt idx="73">
                  <c:v>9.7777777777777797E-2</c:v>
                </c:pt>
                <c:pt idx="74">
                  <c:v>0.1320486111111111</c:v>
                </c:pt>
                <c:pt idx="75">
                  <c:v>0.11040509259259257</c:v>
                </c:pt>
                <c:pt idx="76">
                  <c:v>5.7939814814814805E-2</c:v>
                </c:pt>
                <c:pt idx="77">
                  <c:v>0.11060185185185187</c:v>
                </c:pt>
                <c:pt idx="78">
                  <c:v>0.11660879629629628</c:v>
                </c:pt>
                <c:pt idx="79">
                  <c:v>0.10745370370370366</c:v>
                </c:pt>
                <c:pt idx="80">
                  <c:v>0.12003472222222222</c:v>
                </c:pt>
                <c:pt idx="81">
                  <c:v>8.4571759259259305E-2</c:v>
                </c:pt>
                <c:pt idx="82">
                  <c:v>0.10574074074074075</c:v>
                </c:pt>
                <c:pt idx="83">
                  <c:v>0.10774305555555558</c:v>
                </c:pt>
                <c:pt idx="84">
                  <c:v>0.10187499999999999</c:v>
                </c:pt>
                <c:pt idx="85">
                  <c:v>0.1288310185185185</c:v>
                </c:pt>
                <c:pt idx="86">
                  <c:v>9.3402777777777779E-2</c:v>
                </c:pt>
                <c:pt idx="87">
                  <c:v>0.11208333333333331</c:v>
                </c:pt>
                <c:pt idx="88">
                  <c:v>0.11238425925925927</c:v>
                </c:pt>
                <c:pt idx="89">
                  <c:v>0.13434027777777777</c:v>
                </c:pt>
                <c:pt idx="90">
                  <c:v>0.10908564814814814</c:v>
                </c:pt>
                <c:pt idx="91">
                  <c:v>0.10638888888888887</c:v>
                </c:pt>
                <c:pt idx="92">
                  <c:v>0.10221064814814812</c:v>
                </c:pt>
                <c:pt idx="93">
                  <c:v>0.1083912037037037</c:v>
                </c:pt>
                <c:pt idx="94">
                  <c:v>0.10379629629629633</c:v>
                </c:pt>
                <c:pt idx="95">
                  <c:v>0.1320486111111111</c:v>
                </c:pt>
                <c:pt idx="96">
                  <c:v>0.11040509259259257</c:v>
                </c:pt>
                <c:pt idx="97">
                  <c:v>0.11060185185185184</c:v>
                </c:pt>
                <c:pt idx="98">
                  <c:v>0.11662037037037037</c:v>
                </c:pt>
                <c:pt idx="99">
                  <c:v>0.10744212962962962</c:v>
                </c:pt>
                <c:pt idx="100">
                  <c:v>0.12003472222222222</c:v>
                </c:pt>
                <c:pt idx="101">
                  <c:v>0.10574074074074075</c:v>
                </c:pt>
                <c:pt idx="102">
                  <c:v>0.10774305555555558</c:v>
                </c:pt>
                <c:pt idx="103">
                  <c:v>0.10187499999999999</c:v>
                </c:pt>
                <c:pt idx="104">
                  <c:v>0.12883101851851853</c:v>
                </c:pt>
                <c:pt idx="105">
                  <c:v>0.11208333333333337</c:v>
                </c:pt>
                <c:pt idx="106">
                  <c:v>0.11238425925925927</c:v>
                </c:pt>
                <c:pt idx="107">
                  <c:v>0.13434027777777779</c:v>
                </c:pt>
                <c:pt idx="108">
                  <c:v>0.10638888888888887</c:v>
                </c:pt>
                <c:pt idx="109">
                  <c:v>0.1083912037037037</c:v>
                </c:pt>
                <c:pt idx="110">
                  <c:v>0.1320486111111111</c:v>
                </c:pt>
                <c:pt idx="111">
                  <c:v>0.12003472222222222</c:v>
                </c:pt>
                <c:pt idx="112">
                  <c:v>0.12883101851851853</c:v>
                </c:pt>
              </c:numCache>
            </c:numRef>
          </c:val>
          <c:extLst>
            <c:ext xmlns:c16="http://schemas.microsoft.com/office/drawing/2014/chart" uri="{C3380CC4-5D6E-409C-BE32-E72D297353CC}">
              <c16:uniqueId val="{00000001-9635-4692-911C-48EF8CBB889F}"/>
            </c:ext>
          </c:extLst>
        </c:ser>
        <c:ser>
          <c:idx val="2"/>
          <c:order val="2"/>
          <c:tx>
            <c:strRef>
              <c:f>Laufwege!$I$3</c:f>
              <c:strCache>
                <c:ptCount val="1"/>
                <c:pt idx="0">
                  <c:v>x</c:v>
                </c:pt>
              </c:strCache>
            </c:strRef>
          </c:tx>
          <c:spPr>
            <a:no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Laufwege!$I$4:$I$116</c:f>
              <c:numCache>
                <c:formatCode>[$-F400]h:mm:ss\ AM/PM</c:formatCode>
                <c:ptCount val="113"/>
                <c:pt idx="0">
                  <c:v>2.364583333333331E-2</c:v>
                </c:pt>
                <c:pt idx="1">
                  <c:v>2.9837962962962955E-2</c:v>
                </c:pt>
                <c:pt idx="2">
                  <c:v>2.0162037037037062E-2</c:v>
                </c:pt>
                <c:pt idx="3">
                  <c:v>2.0787037037037048E-2</c:v>
                </c:pt>
                <c:pt idx="4">
                  <c:v>7.0370370370370361E-3</c:v>
                </c:pt>
                <c:pt idx="5">
                  <c:v>3.5185185185185042E-3</c:v>
                </c:pt>
                <c:pt idx="6">
                  <c:v>1.5138888888888896E-2</c:v>
                </c:pt>
                <c:pt idx="7">
                  <c:v>7.569444444444462E-3</c:v>
                </c:pt>
                <c:pt idx="8">
                  <c:v>3.0185185185185148E-2</c:v>
                </c:pt>
                <c:pt idx="9">
                  <c:v>2.0775462962962898E-2</c:v>
                </c:pt>
                <c:pt idx="10">
                  <c:v>8.9699074074073848E-3</c:v>
                </c:pt>
                <c:pt idx="11">
                  <c:v>1.1273148148148171E-2</c:v>
                </c:pt>
                <c:pt idx="12">
                  <c:v>1.0648148148148129E-2</c:v>
                </c:pt>
                <c:pt idx="13">
                  <c:v>2.7060185185185215E-2</c:v>
                </c:pt>
                <c:pt idx="14">
                  <c:v>1.5231481481481457E-2</c:v>
                </c:pt>
                <c:pt idx="15">
                  <c:v>3.645833333333337E-2</c:v>
                </c:pt>
                <c:pt idx="16">
                  <c:v>1.6701388888888891E-2</c:v>
                </c:pt>
                <c:pt idx="17">
                  <c:v>2.4548611111111118E-2</c:v>
                </c:pt>
                <c:pt idx="18">
                  <c:v>2.3946759259259265E-2</c:v>
                </c:pt>
                <c:pt idx="19">
                  <c:v>1.7951388888888919E-2</c:v>
                </c:pt>
                <c:pt idx="20">
                  <c:v>2.2650462962962969E-2</c:v>
                </c:pt>
                <c:pt idx="21">
                  <c:v>2.212962962962961E-2</c:v>
                </c:pt>
                <c:pt idx="22">
                  <c:v>9.7916666666666985E-3</c:v>
                </c:pt>
                <c:pt idx="23">
                  <c:v>3.6759259259259269E-2</c:v>
                </c:pt>
                <c:pt idx="24">
                  <c:v>1.9351851851851842E-2</c:v>
                </c:pt>
                <c:pt idx="25">
                  <c:v>1.9212962962962932E-2</c:v>
                </c:pt>
                <c:pt idx="26">
                  <c:v>1.1053240740740711E-2</c:v>
                </c:pt>
                <c:pt idx="27">
                  <c:v>7.418981481481457E-3</c:v>
                </c:pt>
                <c:pt idx="28">
                  <c:v>1.5138888888888868E-2</c:v>
                </c:pt>
                <c:pt idx="29">
                  <c:v>3.2835648148148155E-2</c:v>
                </c:pt>
                <c:pt idx="30">
                  <c:v>1.9699074074074063E-2</c:v>
                </c:pt>
                <c:pt idx="31">
                  <c:v>3.0185185185185204E-2</c:v>
                </c:pt>
                <c:pt idx="32">
                  <c:v>2.0775462962962954E-2</c:v>
                </c:pt>
                <c:pt idx="33">
                  <c:v>1.635416666666667E-2</c:v>
                </c:pt>
                <c:pt idx="34">
                  <c:v>8.9699074074073848E-3</c:v>
                </c:pt>
                <c:pt idx="35">
                  <c:v>4.4791666666667007E-3</c:v>
                </c:pt>
                <c:pt idx="36">
                  <c:v>1.1273148148148115E-2</c:v>
                </c:pt>
                <c:pt idx="37">
                  <c:v>1.0648148148148129E-2</c:v>
                </c:pt>
                <c:pt idx="38">
                  <c:v>1.9259259259259309E-2</c:v>
                </c:pt>
                <c:pt idx="39">
                  <c:v>2.7060185185185159E-2</c:v>
                </c:pt>
                <c:pt idx="40">
                  <c:v>1.6701388888888835E-2</c:v>
                </c:pt>
                <c:pt idx="41">
                  <c:v>2.3622685185185177E-2</c:v>
                </c:pt>
                <c:pt idx="42">
                  <c:v>1.2002314814814841E-2</c:v>
                </c:pt>
                <c:pt idx="43">
                  <c:v>2.7395833333333286E-2</c:v>
                </c:pt>
                <c:pt idx="44">
                  <c:v>1.5208333333333379E-2</c:v>
                </c:pt>
                <c:pt idx="45">
                  <c:v>2.4548611111111118E-2</c:v>
                </c:pt>
                <c:pt idx="46">
                  <c:v>2.3946759259259265E-2</c:v>
                </c:pt>
                <c:pt idx="47">
                  <c:v>1.7951388888888864E-2</c:v>
                </c:pt>
                <c:pt idx="48">
                  <c:v>2.293981481481483E-2</c:v>
                </c:pt>
                <c:pt idx="49">
                  <c:v>1.749999999999996E-2</c:v>
                </c:pt>
                <c:pt idx="50">
                  <c:v>1.3518518518518541E-2</c:v>
                </c:pt>
                <c:pt idx="51">
                  <c:v>9.791666666666643E-3</c:v>
                </c:pt>
                <c:pt idx="52">
                  <c:v>3.6759259259259269E-2</c:v>
                </c:pt>
                <c:pt idx="53">
                  <c:v>1.2847222222222232E-2</c:v>
                </c:pt>
                <c:pt idx="54">
                  <c:v>7.0023148148148362E-3</c:v>
                </c:pt>
                <c:pt idx="55">
                  <c:v>1.9351851851851842E-2</c:v>
                </c:pt>
                <c:pt idx="56">
                  <c:v>2.0960648148148131E-2</c:v>
                </c:pt>
                <c:pt idx="57">
                  <c:v>1.9212962962962987E-2</c:v>
                </c:pt>
                <c:pt idx="58">
                  <c:v>2.1331018518518485E-2</c:v>
                </c:pt>
                <c:pt idx="59">
                  <c:v>1.9699074074074063E-2</c:v>
                </c:pt>
                <c:pt idx="60">
                  <c:v>1.0601851851851862E-2</c:v>
                </c:pt>
                <c:pt idx="61">
                  <c:v>1.0451388888888913E-2</c:v>
                </c:pt>
                <c:pt idx="62">
                  <c:v>1.6666666666666718E-2</c:v>
                </c:pt>
                <c:pt idx="63">
                  <c:v>1.635416666666667E-2</c:v>
                </c:pt>
                <c:pt idx="64">
                  <c:v>1.5254629629629646E-2</c:v>
                </c:pt>
                <c:pt idx="65">
                  <c:v>1.2060185185185146E-2</c:v>
                </c:pt>
                <c:pt idx="66">
                  <c:v>4.4791666666666452E-3</c:v>
                </c:pt>
                <c:pt idx="67">
                  <c:v>7.0023148148148362E-3</c:v>
                </c:pt>
                <c:pt idx="68">
                  <c:v>1.9259259259259254E-2</c:v>
                </c:pt>
                <c:pt idx="69">
                  <c:v>2.3622685185185177E-2</c:v>
                </c:pt>
                <c:pt idx="70">
                  <c:v>1.2002314814814785E-2</c:v>
                </c:pt>
                <c:pt idx="71">
                  <c:v>2.7395833333333341E-2</c:v>
                </c:pt>
                <c:pt idx="72">
                  <c:v>2.7500000000000024E-2</c:v>
                </c:pt>
                <c:pt idx="73">
                  <c:v>1.5208333333333324E-2</c:v>
                </c:pt>
                <c:pt idx="74">
                  <c:v>2.4131944444444442E-2</c:v>
                </c:pt>
                <c:pt idx="75">
                  <c:v>1.1886574074074119E-2</c:v>
                </c:pt>
                <c:pt idx="76">
                  <c:v>2.3946759259259265E-2</c:v>
                </c:pt>
                <c:pt idx="77">
                  <c:v>1.0451388888888857E-2</c:v>
                </c:pt>
                <c:pt idx="78">
                  <c:v>2.2951388888888924E-2</c:v>
                </c:pt>
                <c:pt idx="79">
                  <c:v>1.7500000000000016E-2</c:v>
                </c:pt>
                <c:pt idx="80">
                  <c:v>1.3518518518518485E-2</c:v>
                </c:pt>
                <c:pt idx="81">
                  <c:v>3.6759259259259214E-2</c:v>
                </c:pt>
                <c:pt idx="82">
                  <c:v>1.2847222222222232E-2</c:v>
                </c:pt>
                <c:pt idx="83">
                  <c:v>7.0023148148148362E-3</c:v>
                </c:pt>
                <c:pt idx="84">
                  <c:v>2.0960648148148131E-2</c:v>
                </c:pt>
                <c:pt idx="85">
                  <c:v>2.1331018518518541E-2</c:v>
                </c:pt>
                <c:pt idx="86">
                  <c:v>1.9699074074074063E-2</c:v>
                </c:pt>
                <c:pt idx="87">
                  <c:v>1.0601851851851862E-2</c:v>
                </c:pt>
                <c:pt idx="88">
                  <c:v>1.0451388888888913E-2</c:v>
                </c:pt>
                <c:pt idx="89">
                  <c:v>1.6666666666666663E-2</c:v>
                </c:pt>
                <c:pt idx="90">
                  <c:v>1.525462962962959E-2</c:v>
                </c:pt>
                <c:pt idx="91">
                  <c:v>1.2060185185185202E-2</c:v>
                </c:pt>
                <c:pt idx="92">
                  <c:v>4.4791666666667007E-3</c:v>
                </c:pt>
                <c:pt idx="93">
                  <c:v>6.9907407407407418E-3</c:v>
                </c:pt>
                <c:pt idx="94">
                  <c:v>1.9259259259259254E-2</c:v>
                </c:pt>
                <c:pt idx="95">
                  <c:v>2.4131944444444442E-2</c:v>
                </c:pt>
                <c:pt idx="96">
                  <c:v>1.1886574074074063E-2</c:v>
                </c:pt>
                <c:pt idx="97">
                  <c:v>1.0451388888888913E-2</c:v>
                </c:pt>
                <c:pt idx="98">
                  <c:v>2.2939814814814774E-2</c:v>
                </c:pt>
                <c:pt idx="99">
                  <c:v>1.751157407407411E-2</c:v>
                </c:pt>
                <c:pt idx="100">
                  <c:v>1.3518518518518485E-2</c:v>
                </c:pt>
                <c:pt idx="101">
                  <c:v>1.2847222222222232E-2</c:v>
                </c:pt>
                <c:pt idx="102">
                  <c:v>7.0023148148147807E-3</c:v>
                </c:pt>
                <c:pt idx="103">
                  <c:v>2.0960648148148187E-2</c:v>
                </c:pt>
                <c:pt idx="104">
                  <c:v>2.1331018518518541E-2</c:v>
                </c:pt>
                <c:pt idx="105">
                  <c:v>1.0601851851851862E-2</c:v>
                </c:pt>
                <c:pt idx="106">
                  <c:v>1.0451388888888857E-2</c:v>
                </c:pt>
                <c:pt idx="107">
                  <c:v>1.6666666666666663E-2</c:v>
                </c:pt>
                <c:pt idx="108">
                  <c:v>1.2060185185185202E-2</c:v>
                </c:pt>
                <c:pt idx="109">
                  <c:v>6.9907407407407418E-3</c:v>
                </c:pt>
                <c:pt idx="110">
                  <c:v>2.4131944444444497E-2</c:v>
                </c:pt>
                <c:pt idx="111">
                  <c:v>1.3518518518518541E-2</c:v>
                </c:pt>
                <c:pt idx="112">
                  <c:v>2.1331018518518485E-2</c:v>
                </c:pt>
              </c:numCache>
            </c:numRef>
          </c:val>
          <c:extLst>
            <c:ext xmlns:c16="http://schemas.microsoft.com/office/drawing/2014/chart" uri="{C3380CC4-5D6E-409C-BE32-E72D297353CC}">
              <c16:uniqueId val="{00000002-9635-4692-911C-48EF8CBB889F}"/>
            </c:ext>
          </c:extLst>
        </c:ser>
        <c:ser>
          <c:idx val="3"/>
          <c:order val="3"/>
          <c:tx>
            <c:strRef>
              <c:f>Laufwege!$J$3</c:f>
              <c:strCache>
                <c:ptCount val="1"/>
                <c:pt idx="0">
                  <c:v>2</c:v>
                </c:pt>
              </c:strCache>
            </c:strRef>
          </c:tx>
          <c:spPr>
            <a:solidFill>
              <a:schemeClr val="accent4"/>
            </a:solid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Laufwege!$J$4:$J$116</c:f>
              <c:numCache>
                <c:formatCode>[$-F400]h:mm:ss\ AM/PM</c:formatCode>
                <c:ptCount val="113"/>
                <c:pt idx="0">
                  <c:v>1.9849537037037068E-2</c:v>
                </c:pt>
                <c:pt idx="1">
                  <c:v>1.6458333333333353E-2</c:v>
                </c:pt>
                <c:pt idx="2">
                  <c:v>1.967592592592593E-2</c:v>
                </c:pt>
                <c:pt idx="3">
                  <c:v>1.6249999999999987E-2</c:v>
                </c:pt>
                <c:pt idx="4">
                  <c:v>3.7951388888888882E-2</c:v>
                </c:pt>
                <c:pt idx="5">
                  <c:v>3.4826388888888893E-2</c:v>
                </c:pt>
                <c:pt idx="6">
                  <c:v>3.247685185185184E-2</c:v>
                </c:pt>
                <c:pt idx="7">
                  <c:v>4.6643518518518501E-2</c:v>
                </c:pt>
                <c:pt idx="8">
                  <c:v>4.6504629629629646E-2</c:v>
                </c:pt>
                <c:pt idx="9">
                  <c:v>4.1423611111111092E-2</c:v>
                </c:pt>
                <c:pt idx="10">
                  <c:v>3.8981481481481506E-2</c:v>
                </c:pt>
                <c:pt idx="11">
                  <c:v>4.5462962962962927E-2</c:v>
                </c:pt>
                <c:pt idx="12">
                  <c:v>0.12261574074074078</c:v>
                </c:pt>
                <c:pt idx="13">
                  <c:v>4.4652777777777763E-2</c:v>
                </c:pt>
                <c:pt idx="14">
                  <c:v>4.954861111111114E-2</c:v>
                </c:pt>
                <c:pt idx="15">
                  <c:v>4.0590277777777739E-2</c:v>
                </c:pt>
                <c:pt idx="16">
                  <c:v>4.5254629629629617E-2</c:v>
                </c:pt>
                <c:pt idx="17">
                  <c:v>5.4861111111111083E-2</c:v>
                </c:pt>
                <c:pt idx="18">
                  <c:v>4.8263888888888884E-2</c:v>
                </c:pt>
                <c:pt idx="19">
                  <c:v>7.0069444444444406E-2</c:v>
                </c:pt>
                <c:pt idx="20">
                  <c:v>4.0150462962962985E-2</c:v>
                </c:pt>
                <c:pt idx="21">
                  <c:v>4.6134259259259291E-2</c:v>
                </c:pt>
                <c:pt idx="22">
                  <c:v>6.8854166666666661E-2</c:v>
                </c:pt>
                <c:pt idx="23">
                  <c:v>7.9398148148148162E-2</c:v>
                </c:pt>
                <c:pt idx="24">
                  <c:v>4.5405092592592622E-2</c:v>
                </c:pt>
                <c:pt idx="25">
                  <c:v>5.0706018518518525E-2</c:v>
                </c:pt>
                <c:pt idx="26">
                  <c:v>8.4259259259259256E-2</c:v>
                </c:pt>
                <c:pt idx="27">
                  <c:v>3.4305555555555589E-2</c:v>
                </c:pt>
                <c:pt idx="28">
                  <c:v>3.2476851851851896E-2</c:v>
                </c:pt>
                <c:pt idx="29">
                  <c:v>4.5671296296296293E-2</c:v>
                </c:pt>
                <c:pt idx="30">
                  <c:v>8.3414351851851809E-2</c:v>
                </c:pt>
                <c:pt idx="31">
                  <c:v>4.6504629629629646E-2</c:v>
                </c:pt>
                <c:pt idx="32">
                  <c:v>4.1423611111111147E-2</c:v>
                </c:pt>
                <c:pt idx="33">
                  <c:v>7.7731481481481457E-2</c:v>
                </c:pt>
                <c:pt idx="34">
                  <c:v>3.8981481481481506E-2</c:v>
                </c:pt>
                <c:pt idx="35">
                  <c:v>8.7951388888888871E-2</c:v>
                </c:pt>
                <c:pt idx="36">
                  <c:v>4.5462962962962983E-2</c:v>
                </c:pt>
                <c:pt idx="37">
                  <c:v>0.12261574074074078</c:v>
                </c:pt>
                <c:pt idx="38">
                  <c:v>9.909722222222217E-2</c:v>
                </c:pt>
                <c:pt idx="39">
                  <c:v>4.4652777777777819E-2</c:v>
                </c:pt>
                <c:pt idx="40">
                  <c:v>4.5254629629629672E-2</c:v>
                </c:pt>
                <c:pt idx="41">
                  <c:v>8.1597222222222265E-2</c:v>
                </c:pt>
                <c:pt idx="42">
                  <c:v>4.5659722222222199E-2</c:v>
                </c:pt>
                <c:pt idx="43">
                  <c:v>8.8506944444444458E-2</c:v>
                </c:pt>
                <c:pt idx="44">
                  <c:v>7.696759259259256E-2</c:v>
                </c:pt>
                <c:pt idx="45">
                  <c:v>5.4861111111111138E-2</c:v>
                </c:pt>
                <c:pt idx="46">
                  <c:v>4.8263888888888884E-2</c:v>
                </c:pt>
                <c:pt idx="47">
                  <c:v>7.0069444444444462E-2</c:v>
                </c:pt>
                <c:pt idx="48">
                  <c:v>0.12287037037037035</c:v>
                </c:pt>
                <c:pt idx="49">
                  <c:v>9.5046296296296295E-2</c:v>
                </c:pt>
                <c:pt idx="50">
                  <c:v>0.10984953703703704</c:v>
                </c:pt>
                <c:pt idx="51">
                  <c:v>6.8854166666666661E-2</c:v>
                </c:pt>
                <c:pt idx="52">
                  <c:v>7.9398148148148107E-2</c:v>
                </c:pt>
                <c:pt idx="53">
                  <c:v>0.10399305555555555</c:v>
                </c:pt>
                <c:pt idx="54">
                  <c:v>0.10886574074074074</c:v>
                </c:pt>
                <c:pt idx="55">
                  <c:v>4.5405092592592566E-2</c:v>
                </c:pt>
                <c:pt idx="56">
                  <c:v>9.6967592592592633E-2</c:v>
                </c:pt>
                <c:pt idx="57">
                  <c:v>5.0706018518518525E-2</c:v>
                </c:pt>
                <c:pt idx="58">
                  <c:v>4.7280092592592582E-2</c:v>
                </c:pt>
                <c:pt idx="59">
                  <c:v>8.3414351851851865E-2</c:v>
                </c:pt>
                <c:pt idx="60">
                  <c:v>0.10043981481481484</c:v>
                </c:pt>
                <c:pt idx="61">
                  <c:v>0.10249999999999998</c:v>
                </c:pt>
                <c:pt idx="62">
                  <c:v>0.12371527777777774</c:v>
                </c:pt>
                <c:pt idx="63">
                  <c:v>7.7731481481481457E-2</c:v>
                </c:pt>
                <c:pt idx="64">
                  <c:v>9.424768518518517E-2</c:v>
                </c:pt>
                <c:pt idx="65">
                  <c:v>0.10605324074074074</c:v>
                </c:pt>
                <c:pt idx="66">
                  <c:v>8.7951388888888926E-2</c:v>
                </c:pt>
                <c:pt idx="67">
                  <c:v>0.10888888888888887</c:v>
                </c:pt>
                <c:pt idx="68">
                  <c:v>9.9097222222222225E-2</c:v>
                </c:pt>
                <c:pt idx="69">
                  <c:v>8.159722222222221E-2</c:v>
                </c:pt>
                <c:pt idx="70">
                  <c:v>4.5659722222222254E-2</c:v>
                </c:pt>
                <c:pt idx="71">
                  <c:v>8.8506944444444458E-2</c:v>
                </c:pt>
                <c:pt idx="72">
                  <c:v>0.11508101851851849</c:v>
                </c:pt>
                <c:pt idx="73">
                  <c:v>7.6967592592592615E-2</c:v>
                </c:pt>
                <c:pt idx="74">
                  <c:v>0.10796296296296298</c:v>
                </c:pt>
                <c:pt idx="75">
                  <c:v>0.10045138888888888</c:v>
                </c:pt>
                <c:pt idx="76">
                  <c:v>4.8263888888888884E-2</c:v>
                </c:pt>
                <c:pt idx="77">
                  <c:v>0.10318287037037038</c:v>
                </c:pt>
                <c:pt idx="78">
                  <c:v>0.12287037037037041</c:v>
                </c:pt>
                <c:pt idx="79">
                  <c:v>9.5046296296296295E-2</c:v>
                </c:pt>
                <c:pt idx="80">
                  <c:v>0.10986111111111113</c:v>
                </c:pt>
                <c:pt idx="81">
                  <c:v>7.9398148148148162E-2</c:v>
                </c:pt>
                <c:pt idx="82">
                  <c:v>0.10399305555555555</c:v>
                </c:pt>
                <c:pt idx="83">
                  <c:v>0.10886574074074074</c:v>
                </c:pt>
                <c:pt idx="84">
                  <c:v>9.6956018518518539E-2</c:v>
                </c:pt>
                <c:pt idx="85">
                  <c:v>4.7280092592592582E-2</c:v>
                </c:pt>
                <c:pt idx="86">
                  <c:v>8.3414351851851865E-2</c:v>
                </c:pt>
                <c:pt idx="87">
                  <c:v>0.10043981481481479</c:v>
                </c:pt>
                <c:pt idx="88">
                  <c:v>0.10249999999999998</c:v>
                </c:pt>
                <c:pt idx="89">
                  <c:v>0.1237152777777778</c:v>
                </c:pt>
                <c:pt idx="90">
                  <c:v>9.4247685185185226E-2</c:v>
                </c:pt>
                <c:pt idx="91">
                  <c:v>0.1060532407407408</c:v>
                </c:pt>
                <c:pt idx="92">
                  <c:v>8.7951388888888871E-2</c:v>
                </c:pt>
                <c:pt idx="93">
                  <c:v>0.10888888888888887</c:v>
                </c:pt>
                <c:pt idx="94">
                  <c:v>9.909722222222217E-2</c:v>
                </c:pt>
                <c:pt idx="95">
                  <c:v>0.10796296296296293</c:v>
                </c:pt>
                <c:pt idx="96">
                  <c:v>0.10045138888888888</c:v>
                </c:pt>
                <c:pt idx="97">
                  <c:v>0.10318287037037038</c:v>
                </c:pt>
                <c:pt idx="98">
                  <c:v>0.12287037037037041</c:v>
                </c:pt>
                <c:pt idx="99">
                  <c:v>9.504629629629624E-2</c:v>
                </c:pt>
                <c:pt idx="100">
                  <c:v>0.10986111111111113</c:v>
                </c:pt>
                <c:pt idx="101">
                  <c:v>0.10399305555555555</c:v>
                </c:pt>
                <c:pt idx="102">
                  <c:v>0.10886574074074074</c:v>
                </c:pt>
                <c:pt idx="103">
                  <c:v>9.6967592592592633E-2</c:v>
                </c:pt>
                <c:pt idx="104">
                  <c:v>4.7280092592592582E-2</c:v>
                </c:pt>
                <c:pt idx="105">
                  <c:v>0.10043981481481484</c:v>
                </c:pt>
                <c:pt idx="106">
                  <c:v>0.10249999999999998</c:v>
                </c:pt>
                <c:pt idx="107">
                  <c:v>0.12371527777777774</c:v>
                </c:pt>
                <c:pt idx="108">
                  <c:v>0.10605324074074074</c:v>
                </c:pt>
                <c:pt idx="109">
                  <c:v>0.10888888888888887</c:v>
                </c:pt>
                <c:pt idx="110">
                  <c:v>0.10796296296296298</c:v>
                </c:pt>
                <c:pt idx="111">
                  <c:v>0.10986111111111108</c:v>
                </c:pt>
                <c:pt idx="112">
                  <c:v>4.7280092592592637E-2</c:v>
                </c:pt>
              </c:numCache>
            </c:numRef>
          </c:val>
          <c:extLst>
            <c:ext xmlns:c16="http://schemas.microsoft.com/office/drawing/2014/chart" uri="{C3380CC4-5D6E-409C-BE32-E72D297353CC}">
              <c16:uniqueId val="{00000003-9635-4692-911C-48EF8CBB889F}"/>
            </c:ext>
          </c:extLst>
        </c:ser>
        <c:ser>
          <c:idx val="4"/>
          <c:order val="4"/>
          <c:tx>
            <c:strRef>
              <c:f>Laufwege!$K$3</c:f>
              <c:strCache>
                <c:ptCount val="1"/>
                <c:pt idx="0">
                  <c:v>x</c:v>
                </c:pt>
              </c:strCache>
            </c:strRef>
          </c:tx>
          <c:spPr>
            <a:no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Laufwege!$K$4:$K$116</c:f>
              <c:numCache>
                <c:formatCode>[$-F400]h:mm:ss\ AM/PM</c:formatCode>
                <c:ptCount val="113"/>
                <c:pt idx="0">
                  <c:v>2.0162037037037006E-2</c:v>
                </c:pt>
                <c:pt idx="1">
                  <c:v>2.0787037037037048E-2</c:v>
                </c:pt>
                <c:pt idx="2">
                  <c:v>2.364583333333331E-2</c:v>
                </c:pt>
                <c:pt idx="3">
                  <c:v>2.9837962962962983E-2</c:v>
                </c:pt>
                <c:pt idx="4">
                  <c:v>3.5185185185185319E-3</c:v>
                </c:pt>
                <c:pt idx="5">
                  <c:v>7.0370370370370638E-3</c:v>
                </c:pt>
                <c:pt idx="6">
                  <c:v>7.569444444444462E-3</c:v>
                </c:pt>
                <c:pt idx="7">
                  <c:v>1.5231481481481512E-2</c:v>
                </c:pt>
                <c:pt idx="8">
                  <c:v>3.2835648148148155E-2</c:v>
                </c:pt>
                <c:pt idx="9">
                  <c:v>2.2650462962962969E-2</c:v>
                </c:pt>
                <c:pt idx="10">
                  <c:v>3.6458333333333315E-2</c:v>
                </c:pt>
                <c:pt idx="11">
                  <c:v>2.2129629629629666E-2</c:v>
                </c:pt>
                <c:pt idx="12">
                  <c:v>2.7499999999999969E-2</c:v>
                </c:pt>
                <c:pt idx="13">
                  <c:v>3.0185185185185204E-2</c:v>
                </c:pt>
                <c:pt idx="14">
                  <c:v>7.418981481481457E-3</c:v>
                </c:pt>
                <c:pt idx="15">
                  <c:v>8.9699074074074403E-3</c:v>
                </c:pt>
                <c:pt idx="16">
                  <c:v>1.1041666666666672E-2</c:v>
                </c:pt>
                <c:pt idx="17">
                  <c:v>1.6701388888888891E-2</c:v>
                </c:pt>
                <c:pt idx="18">
                  <c:v>1.0648148148148184E-2</c:v>
                </c:pt>
                <c:pt idx="19">
                  <c:v>9.7916666666666985E-3</c:v>
                </c:pt>
                <c:pt idx="20">
                  <c:v>2.0775462962962954E-2</c:v>
                </c:pt>
                <c:pt idx="21">
                  <c:v>1.1273148148148115E-2</c:v>
                </c:pt>
                <c:pt idx="22">
                  <c:v>1.7951388888888864E-2</c:v>
                </c:pt>
                <c:pt idx="23">
                  <c:v>1.5208333333333324E-2</c:v>
                </c:pt>
                <c:pt idx="24">
                  <c:v>2.7060185185185159E-2</c:v>
                </c:pt>
                <c:pt idx="25">
                  <c:v>2.4548611111111118E-2</c:v>
                </c:pt>
                <c:pt idx="26">
                  <c:v>1.635416666666667E-2</c:v>
                </c:pt>
                <c:pt idx="27">
                  <c:v>1.5138888888888868E-2</c:v>
                </c:pt>
                <c:pt idx="28">
                  <c:v>7.5694444444444065E-3</c:v>
                </c:pt>
                <c:pt idx="29">
                  <c:v>1.9351851851851842E-2</c:v>
                </c:pt>
                <c:pt idx="30">
                  <c:v>2.3622685185185233E-2</c:v>
                </c:pt>
                <c:pt idx="31">
                  <c:v>3.28356481481481E-2</c:v>
                </c:pt>
                <c:pt idx="32">
                  <c:v>2.2650462962962969E-2</c:v>
                </c:pt>
                <c:pt idx="33">
                  <c:v>1.2002314814814841E-2</c:v>
                </c:pt>
                <c:pt idx="34">
                  <c:v>3.6458333333333315E-2</c:v>
                </c:pt>
                <c:pt idx="35">
                  <c:v>2.7395833333333341E-2</c:v>
                </c:pt>
                <c:pt idx="36">
                  <c:v>2.212962962962961E-2</c:v>
                </c:pt>
                <c:pt idx="37">
                  <c:v>2.7499999999999969E-2</c:v>
                </c:pt>
                <c:pt idx="38">
                  <c:v>1.5254629629629646E-2</c:v>
                </c:pt>
                <c:pt idx="39">
                  <c:v>3.0185185185185148E-2</c:v>
                </c:pt>
                <c:pt idx="40">
                  <c:v>1.1041666666666672E-2</c:v>
                </c:pt>
                <c:pt idx="41">
                  <c:v>1.9699074074074063E-2</c:v>
                </c:pt>
                <c:pt idx="42">
                  <c:v>1.9212962962962987E-2</c:v>
                </c:pt>
                <c:pt idx="43">
                  <c:v>4.4791666666667007E-3</c:v>
                </c:pt>
                <c:pt idx="44">
                  <c:v>3.6759259259259269E-2</c:v>
                </c:pt>
                <c:pt idx="45">
                  <c:v>1.6701388888888891E-2</c:v>
                </c:pt>
                <c:pt idx="46">
                  <c:v>1.0648148148148129E-2</c:v>
                </c:pt>
                <c:pt idx="47">
                  <c:v>9.7916666666666985E-3</c:v>
                </c:pt>
                <c:pt idx="48">
                  <c:v>1.6666666666666718E-2</c:v>
                </c:pt>
                <c:pt idx="49">
                  <c:v>1.9259259259259309E-2</c:v>
                </c:pt>
                <c:pt idx="50">
                  <c:v>2.2951388888888868E-2</c:v>
                </c:pt>
                <c:pt idx="51">
                  <c:v>1.7951388888888919E-2</c:v>
                </c:pt>
                <c:pt idx="52">
                  <c:v>1.5208333333333379E-2</c:v>
                </c:pt>
                <c:pt idx="53">
                  <c:v>1.1886574074074063E-2</c:v>
                </c:pt>
                <c:pt idx="54">
                  <c:v>1.0451388888888913E-2</c:v>
                </c:pt>
                <c:pt idx="55">
                  <c:v>2.7060185185185215E-2</c:v>
                </c:pt>
                <c:pt idx="56">
                  <c:v>1.749999999999996E-2</c:v>
                </c:pt>
                <c:pt idx="57">
                  <c:v>2.4548611111111118E-2</c:v>
                </c:pt>
                <c:pt idx="58">
                  <c:v>2.3946759259259265E-2</c:v>
                </c:pt>
                <c:pt idx="59">
                  <c:v>2.3622685185185177E-2</c:v>
                </c:pt>
                <c:pt idx="60">
                  <c:v>1.2847222222222232E-2</c:v>
                </c:pt>
                <c:pt idx="61">
                  <c:v>7.0023148148148362E-3</c:v>
                </c:pt>
                <c:pt idx="62">
                  <c:v>2.4131944444444497E-2</c:v>
                </c:pt>
                <c:pt idx="63">
                  <c:v>1.2002314814814841E-2</c:v>
                </c:pt>
                <c:pt idx="64">
                  <c:v>2.0960648148148131E-2</c:v>
                </c:pt>
                <c:pt idx="65">
                  <c:v>1.0601851851851862E-2</c:v>
                </c:pt>
                <c:pt idx="66">
                  <c:v>2.7395833333333286E-2</c:v>
                </c:pt>
                <c:pt idx="67">
                  <c:v>1.0451388888888913E-2</c:v>
                </c:pt>
                <c:pt idx="68">
                  <c:v>1.5254629629629646E-2</c:v>
                </c:pt>
                <c:pt idx="69">
                  <c:v>1.9699074074074063E-2</c:v>
                </c:pt>
                <c:pt idx="70">
                  <c:v>1.9212962962962932E-2</c:v>
                </c:pt>
                <c:pt idx="71">
                  <c:v>4.4791666666666452E-3</c:v>
                </c:pt>
                <c:pt idx="72">
                  <c:v>2.1331018518518541E-2</c:v>
                </c:pt>
                <c:pt idx="73">
                  <c:v>3.6759259259259269E-2</c:v>
                </c:pt>
                <c:pt idx="74">
                  <c:v>1.3518518518518485E-2</c:v>
                </c:pt>
                <c:pt idx="75">
                  <c:v>1.2060185185185146E-2</c:v>
                </c:pt>
                <c:pt idx="76">
                  <c:v>1.0648148148148129E-2</c:v>
                </c:pt>
                <c:pt idx="77">
                  <c:v>6.9907407407407418E-3</c:v>
                </c:pt>
                <c:pt idx="78">
                  <c:v>1.6666666666666607E-2</c:v>
                </c:pt>
                <c:pt idx="79">
                  <c:v>1.9259259259259254E-2</c:v>
                </c:pt>
                <c:pt idx="80">
                  <c:v>2.293981481481483E-2</c:v>
                </c:pt>
                <c:pt idx="81">
                  <c:v>1.5208333333333324E-2</c:v>
                </c:pt>
                <c:pt idx="82">
                  <c:v>1.1886574074074119E-2</c:v>
                </c:pt>
                <c:pt idx="83">
                  <c:v>1.0451388888888857E-2</c:v>
                </c:pt>
                <c:pt idx="84">
                  <c:v>1.751157407407411E-2</c:v>
                </c:pt>
                <c:pt idx="85">
                  <c:v>2.3946759259259265E-2</c:v>
                </c:pt>
                <c:pt idx="86">
                  <c:v>2.3622685185185177E-2</c:v>
                </c:pt>
                <c:pt idx="87">
                  <c:v>1.2847222222222232E-2</c:v>
                </c:pt>
                <c:pt idx="88">
                  <c:v>7.0023148148148362E-3</c:v>
                </c:pt>
                <c:pt idx="89">
                  <c:v>2.4131944444444442E-2</c:v>
                </c:pt>
                <c:pt idx="90">
                  <c:v>2.0960648148148131E-2</c:v>
                </c:pt>
                <c:pt idx="91">
                  <c:v>1.0601851851851807E-2</c:v>
                </c:pt>
                <c:pt idx="92">
                  <c:v>2.7395833333333341E-2</c:v>
                </c:pt>
                <c:pt idx="93">
                  <c:v>1.0451388888888857E-2</c:v>
                </c:pt>
                <c:pt idx="94">
                  <c:v>1.5254629629629646E-2</c:v>
                </c:pt>
                <c:pt idx="95">
                  <c:v>1.3518518518518596E-2</c:v>
                </c:pt>
                <c:pt idx="96">
                  <c:v>1.2060185185185257E-2</c:v>
                </c:pt>
                <c:pt idx="97">
                  <c:v>6.9907407407406863E-3</c:v>
                </c:pt>
                <c:pt idx="98">
                  <c:v>1.6666666666666607E-2</c:v>
                </c:pt>
                <c:pt idx="99">
                  <c:v>1.9259259259259309E-2</c:v>
                </c:pt>
                <c:pt idx="100">
                  <c:v>2.2939814814814774E-2</c:v>
                </c:pt>
                <c:pt idx="101">
                  <c:v>1.1886574074074119E-2</c:v>
                </c:pt>
                <c:pt idx="102">
                  <c:v>1.0451388888888857E-2</c:v>
                </c:pt>
                <c:pt idx="103">
                  <c:v>1.749999999999996E-2</c:v>
                </c:pt>
                <c:pt idx="104">
                  <c:v>2.3946759259259209E-2</c:v>
                </c:pt>
                <c:pt idx="105">
                  <c:v>1.2847222222222121E-2</c:v>
                </c:pt>
                <c:pt idx="106">
                  <c:v>7.0023148148148362E-3</c:v>
                </c:pt>
                <c:pt idx="107">
                  <c:v>2.4131944444444442E-2</c:v>
                </c:pt>
                <c:pt idx="108">
                  <c:v>1.0601851851851807E-2</c:v>
                </c:pt>
                <c:pt idx="109">
                  <c:v>1.0451388888888968E-2</c:v>
                </c:pt>
                <c:pt idx="110">
                  <c:v>1.3518518518518485E-2</c:v>
                </c:pt>
                <c:pt idx="111">
                  <c:v>2.2939814814814885E-2</c:v>
                </c:pt>
                <c:pt idx="112">
                  <c:v>2.3946759259259265E-2</c:v>
                </c:pt>
              </c:numCache>
            </c:numRef>
          </c:val>
          <c:extLst>
            <c:ext xmlns:c16="http://schemas.microsoft.com/office/drawing/2014/chart" uri="{C3380CC4-5D6E-409C-BE32-E72D297353CC}">
              <c16:uniqueId val="{00000004-9635-4692-911C-48EF8CBB889F}"/>
            </c:ext>
          </c:extLst>
        </c:ser>
        <c:ser>
          <c:idx val="5"/>
          <c:order val="5"/>
          <c:tx>
            <c:strRef>
              <c:f>Laufwege!$L$3</c:f>
              <c:strCache>
                <c:ptCount val="1"/>
                <c:pt idx="0">
                  <c:v>3</c:v>
                </c:pt>
              </c:strCache>
            </c:strRef>
          </c:tx>
          <c:spPr>
            <a:solidFill>
              <a:schemeClr val="accent6"/>
            </a:solid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Laufwege!$L$4:$L$116</c:f>
              <c:numCache>
                <c:formatCode>[$-F400]h:mm:ss\ AM/PM</c:formatCode>
                <c:ptCount val="113"/>
                <c:pt idx="0">
                  <c:v>1.967592592592593E-2</c:v>
                </c:pt>
                <c:pt idx="1">
                  <c:v>1.6249999999999987E-2</c:v>
                </c:pt>
                <c:pt idx="2">
                  <c:v>1.9849537037037013E-2</c:v>
                </c:pt>
                <c:pt idx="3">
                  <c:v>1.6458333333333353E-2</c:v>
                </c:pt>
                <c:pt idx="4">
                  <c:v>3.4826388888888893E-2</c:v>
                </c:pt>
                <c:pt idx="5">
                  <c:v>3.7951388888888882E-2</c:v>
                </c:pt>
                <c:pt idx="6">
                  <c:v>4.6643518518518501E-2</c:v>
                </c:pt>
                <c:pt idx="7">
                  <c:v>4.9548611111111085E-2</c:v>
                </c:pt>
                <c:pt idx="8">
                  <c:v>4.5671296296296293E-2</c:v>
                </c:pt>
                <c:pt idx="9">
                  <c:v>4.0150462962962985E-2</c:v>
                </c:pt>
                <c:pt idx="10">
                  <c:v>4.0590277777777795E-2</c:v>
                </c:pt>
                <c:pt idx="11">
                  <c:v>4.6134259259259236E-2</c:v>
                </c:pt>
                <c:pt idx="12">
                  <c:v>0.11508101851851854</c:v>
                </c:pt>
                <c:pt idx="13">
                  <c:v>4.650462962962959E-2</c:v>
                </c:pt>
                <c:pt idx="14">
                  <c:v>3.4305555555555534E-2</c:v>
                </c:pt>
                <c:pt idx="15">
                  <c:v>3.8969907407407411E-2</c:v>
                </c:pt>
                <c:pt idx="16">
                  <c:v>8.4259259259259256E-2</c:v>
                </c:pt>
                <c:pt idx="17">
                  <c:v>4.5254629629629617E-2</c:v>
                </c:pt>
                <c:pt idx="18">
                  <c:v>0.12261574074074072</c:v>
                </c:pt>
                <c:pt idx="19">
                  <c:v>6.8854166666666661E-2</c:v>
                </c:pt>
                <c:pt idx="20">
                  <c:v>4.1423611111111092E-2</c:v>
                </c:pt>
                <c:pt idx="21">
                  <c:v>4.5462962962962983E-2</c:v>
                </c:pt>
                <c:pt idx="22">
                  <c:v>7.0057870370370368E-2</c:v>
                </c:pt>
                <c:pt idx="23">
                  <c:v>7.6967592592592615E-2</c:v>
                </c:pt>
                <c:pt idx="24">
                  <c:v>4.4652777777777763E-2</c:v>
                </c:pt>
                <c:pt idx="25">
                  <c:v>5.4861111111111138E-2</c:v>
                </c:pt>
                <c:pt idx="26">
                  <c:v>7.7731481481481512E-2</c:v>
                </c:pt>
                <c:pt idx="27">
                  <c:v>3.247685185185184E-2</c:v>
                </c:pt>
                <c:pt idx="28">
                  <c:v>4.6643518518518556E-2</c:v>
                </c:pt>
                <c:pt idx="29">
                  <c:v>4.5405092592592622E-2</c:v>
                </c:pt>
                <c:pt idx="30">
                  <c:v>8.159722222222221E-2</c:v>
                </c:pt>
                <c:pt idx="31">
                  <c:v>4.5671296296296349E-2</c:v>
                </c:pt>
                <c:pt idx="32">
                  <c:v>4.0150462962962929E-2</c:v>
                </c:pt>
                <c:pt idx="33">
                  <c:v>4.5659722222222199E-2</c:v>
                </c:pt>
                <c:pt idx="34">
                  <c:v>4.0590277777777795E-2</c:v>
                </c:pt>
                <c:pt idx="35">
                  <c:v>8.8506944444444458E-2</c:v>
                </c:pt>
                <c:pt idx="36">
                  <c:v>4.6134259259259291E-2</c:v>
                </c:pt>
                <c:pt idx="37">
                  <c:v>0.11508101851851849</c:v>
                </c:pt>
                <c:pt idx="38">
                  <c:v>9.424768518518517E-2</c:v>
                </c:pt>
                <c:pt idx="39">
                  <c:v>4.6504629629629646E-2</c:v>
                </c:pt>
                <c:pt idx="40">
                  <c:v>8.4259259259259256E-2</c:v>
                </c:pt>
                <c:pt idx="41">
                  <c:v>8.3414351851851809E-2</c:v>
                </c:pt>
                <c:pt idx="42">
                  <c:v>5.070601851851847E-2</c:v>
                </c:pt>
                <c:pt idx="43">
                  <c:v>8.7951388888888871E-2</c:v>
                </c:pt>
                <c:pt idx="44">
                  <c:v>7.9398148148148162E-2</c:v>
                </c:pt>
                <c:pt idx="45">
                  <c:v>4.5254629629629617E-2</c:v>
                </c:pt>
                <c:pt idx="46">
                  <c:v>0.12261574074074072</c:v>
                </c:pt>
                <c:pt idx="47">
                  <c:v>6.8854166666666661E-2</c:v>
                </c:pt>
                <c:pt idx="48">
                  <c:v>#N/A</c:v>
                </c:pt>
                <c:pt idx="49">
                  <c:v>9.9097222222222225E-2</c:v>
                </c:pt>
                <c:pt idx="50">
                  <c:v>0.12287037037037035</c:v>
                </c:pt>
                <c:pt idx="51">
                  <c:v>7.0069444444444406E-2</c:v>
                </c:pt>
                <c:pt idx="52">
                  <c:v>7.696759259259256E-2</c:v>
                </c:pt>
                <c:pt idx="53">
                  <c:v>0.10045138888888883</c:v>
                </c:pt>
                <c:pt idx="54">
                  <c:v>0.10318287037037033</c:v>
                </c:pt>
                <c:pt idx="55">
                  <c:v>4.4652777777777763E-2</c:v>
                </c:pt>
                <c:pt idx="56">
                  <c:v>9.5046296296296351E-2</c:v>
                </c:pt>
                <c:pt idx="57">
                  <c:v>5.4861111111111083E-2</c:v>
                </c:pt>
                <c:pt idx="58">
                  <c:v>4.8263888888888884E-2</c:v>
                </c:pt>
                <c:pt idx="59">
                  <c:v>8.1597222222222265E-2</c:v>
                </c:pt>
                <c:pt idx="60">
                  <c:v>0.10399305555555549</c:v>
                </c:pt>
                <c:pt idx="61">
                  <c:v>0.10886574074074068</c:v>
                </c:pt>
                <c:pt idx="62">
                  <c:v>#N/A</c:v>
                </c:pt>
                <c:pt idx="63">
                  <c:v>4.5659722222222199E-2</c:v>
                </c:pt>
                <c:pt idx="64">
                  <c:v>9.6967592592592633E-2</c:v>
                </c:pt>
                <c:pt idx="65">
                  <c:v>0.10043981481481484</c:v>
                </c:pt>
                <c:pt idx="66">
                  <c:v>8.8506944444444458E-2</c:v>
                </c:pt>
                <c:pt idx="67">
                  <c:v>0.10250000000000004</c:v>
                </c:pt>
                <c:pt idx="68">
                  <c:v>9.4247685185185226E-2</c:v>
                </c:pt>
                <c:pt idx="69">
                  <c:v>8.341435185185192E-2</c:v>
                </c:pt>
                <c:pt idx="70">
                  <c:v>5.0706018518518525E-2</c:v>
                </c:pt>
                <c:pt idx="71">
                  <c:v>8.7951388888888871E-2</c:v>
                </c:pt>
                <c:pt idx="72">
                  <c:v>4.7280092592592582E-2</c:v>
                </c:pt>
                <c:pt idx="73">
                  <c:v>7.9398148148148107E-2</c:v>
                </c:pt>
                <c:pt idx="74">
                  <c:v>#N/A</c:v>
                </c:pt>
                <c:pt idx="75">
                  <c:v>0.10605324074074074</c:v>
                </c:pt>
                <c:pt idx="76">
                  <c:v>0.12261574074074078</c:v>
                </c:pt>
                <c:pt idx="77">
                  <c:v>0.10888888888888892</c:v>
                </c:pt>
                <c:pt idx="78">
                  <c:v>#N/A</c:v>
                </c:pt>
                <c:pt idx="79">
                  <c:v>9.9097222222222225E-2</c:v>
                </c:pt>
                <c:pt idx="80">
                  <c:v>#N/A</c:v>
                </c:pt>
                <c:pt idx="81">
                  <c:v>7.696759259259256E-2</c:v>
                </c:pt>
                <c:pt idx="82">
                  <c:v>0.10045138888888888</c:v>
                </c:pt>
                <c:pt idx="83">
                  <c:v>0.10318287037037033</c:v>
                </c:pt>
                <c:pt idx="84">
                  <c:v>9.504629629629624E-2</c:v>
                </c:pt>
                <c:pt idx="85">
                  <c:v>4.8263888888888884E-2</c:v>
                </c:pt>
                <c:pt idx="86">
                  <c:v>8.159722222222221E-2</c:v>
                </c:pt>
                <c:pt idx="87">
                  <c:v>0.1039930555555556</c:v>
                </c:pt>
                <c:pt idx="88">
                  <c:v>0.10886574074074074</c:v>
                </c:pt>
                <c:pt idx="89">
                  <c:v>#N/A</c:v>
                </c:pt>
                <c:pt idx="90">
                  <c:v>#N/A</c:v>
                </c:pt>
                <c:pt idx="91">
                  <c:v>0.10043981481481479</c:v>
                </c:pt>
                <c:pt idx="92">
                  <c:v>8.8506944444444402E-2</c:v>
                </c:pt>
                <c:pt idx="93">
                  <c:v>0.10250000000000004</c:v>
                </c:pt>
                <c:pt idx="94">
                  <c:v>#N/A</c:v>
                </c:pt>
                <c:pt idx="95">
                  <c:v>#N/A</c:v>
                </c:pt>
                <c:pt idx="96">
                  <c:v>#N/A</c:v>
                </c:pt>
                <c:pt idx="97">
                  <c:v>#N/A</c:v>
                </c:pt>
                <c:pt idx="98">
                  <c:v>#N/A</c:v>
                </c:pt>
                <c:pt idx="99">
                  <c:v>#N/A</c:v>
                </c:pt>
                <c:pt idx="100">
                  <c:v>#N/A</c:v>
                </c:pt>
                <c:pt idx="101">
                  <c:v>#N/A</c:v>
                </c:pt>
                <c:pt idx="102">
                  <c:v>#N/A</c:v>
                </c:pt>
                <c:pt idx="103">
                  <c:v>#N/A</c:v>
                </c:pt>
                <c:pt idx="104">
                  <c:v>4.8263888888888884E-2</c:v>
                </c:pt>
                <c:pt idx="105">
                  <c:v>#N/A</c:v>
                </c:pt>
                <c:pt idx="106">
                  <c:v>#N/A</c:v>
                </c:pt>
                <c:pt idx="107">
                  <c:v>#N/A</c:v>
                </c:pt>
                <c:pt idx="108">
                  <c:v>#N/A</c:v>
                </c:pt>
                <c:pt idx="109">
                  <c:v>#N/A</c:v>
                </c:pt>
                <c:pt idx="110">
                  <c:v>#N/A</c:v>
                </c:pt>
                <c:pt idx="111">
                  <c:v>#N/A</c:v>
                </c:pt>
                <c:pt idx="112">
                  <c:v>4.8263888888888884E-2</c:v>
                </c:pt>
              </c:numCache>
            </c:numRef>
          </c:val>
          <c:extLst>
            <c:ext xmlns:c16="http://schemas.microsoft.com/office/drawing/2014/chart" uri="{C3380CC4-5D6E-409C-BE32-E72D297353CC}">
              <c16:uniqueId val="{00000005-9635-4692-911C-48EF8CBB889F}"/>
            </c:ext>
          </c:extLst>
        </c:ser>
        <c:ser>
          <c:idx val="6"/>
          <c:order val="6"/>
          <c:tx>
            <c:strRef>
              <c:f>Laufwege!$M$3</c:f>
              <c:strCache>
                <c:ptCount val="1"/>
                <c:pt idx="0">
                  <c:v>x</c:v>
                </c:pt>
              </c:strCache>
            </c:strRef>
          </c:tx>
          <c:spPr>
            <a:no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Laufwege!$M$4:$M$116</c:f>
              <c:numCache>
                <c:formatCode>[$-F400]h:mm:ss\ AM/PM</c:formatCode>
                <c:ptCount val="113"/>
                <c:pt idx="0">
                  <c:v>2.3645833333333366E-2</c:v>
                </c:pt>
                <c:pt idx="1">
                  <c:v>2.9837962962962983E-2</c:v>
                </c:pt>
                <c:pt idx="2">
                  <c:v>2.0162037037037062E-2</c:v>
                </c:pt>
                <c:pt idx="3">
                  <c:v>2.0787037037036993E-2</c:v>
                </c:pt>
                <c:pt idx="4">
                  <c:v>7.0370370370370083E-3</c:v>
                </c:pt>
                <c:pt idx="5">
                  <c:v>3.5185185185184764E-3</c:v>
                </c:pt>
                <c:pt idx="6">
                  <c:v>1.5231481481481457E-2</c:v>
                </c:pt>
                <c:pt idx="7">
                  <c:v>7.4189814814815125E-3</c:v>
                </c:pt>
                <c:pt idx="8">
                  <c:v>1.9351851851851842E-2</c:v>
                </c:pt>
                <c:pt idx="9">
                  <c:v>2.0775462962962954E-2</c:v>
                </c:pt>
                <c:pt idx="10">
                  <c:v>8.9699074074073848E-3</c:v>
                </c:pt>
                <c:pt idx="11">
                  <c:v>1.1273148148148171E-2</c:v>
                </c:pt>
                <c:pt idx="12">
                  <c:v>2.1331018518518485E-2</c:v>
                </c:pt>
                <c:pt idx="13">
                  <c:v>3.2835648148148155E-2</c:v>
                </c:pt>
                <c:pt idx="14">
                  <c:v>1.5138888888888924E-2</c:v>
                </c:pt>
                <c:pt idx="15">
                  <c:v>3.6469907407407409E-2</c:v>
                </c:pt>
                <c:pt idx="16">
                  <c:v>1.635416666666667E-2</c:v>
                </c:pt>
                <c:pt idx="17">
                  <c:v>1.1041666666666672E-2</c:v>
                </c:pt>
                <c:pt idx="18">
                  <c:v>2.7499999999999969E-2</c:v>
                </c:pt>
                <c:pt idx="19">
                  <c:v>1.7951388888888864E-2</c:v>
                </c:pt>
                <c:pt idx="20">
                  <c:v>2.2650462962962969E-2</c:v>
                </c:pt>
                <c:pt idx="21">
                  <c:v>2.212962962962961E-2</c:v>
                </c:pt>
                <c:pt idx="22">
                  <c:v>9.8032407407407374E-3</c:v>
                </c:pt>
                <c:pt idx="23">
                  <c:v>3.6759259259259269E-2</c:v>
                </c:pt>
                <c:pt idx="24">
                  <c:v>3.0185185185185204E-2</c:v>
                </c:pt>
                <c:pt idx="25">
                  <c:v>1.6701388888888835E-2</c:v>
                </c:pt>
                <c:pt idx="26">
                  <c:v>1.2002314814814785E-2</c:v>
                </c:pt>
                <c:pt idx="27">
                  <c:v>7.569444444444462E-3</c:v>
                </c:pt>
                <c:pt idx="28">
                  <c:v>1.5231481481481457E-2</c:v>
                </c:pt>
                <c:pt idx="29">
                  <c:v>2.7060185185185159E-2</c:v>
                </c:pt>
                <c:pt idx="30">
                  <c:v>1.9699074074074063E-2</c:v>
                </c:pt>
                <c:pt idx="31">
                  <c:v>1.9351851851851842E-2</c:v>
                </c:pt>
                <c:pt idx="32">
                  <c:v>2.0775462962962954E-2</c:v>
                </c:pt>
                <c:pt idx="33">
                  <c:v>1.9212962962962987E-2</c:v>
                </c:pt>
                <c:pt idx="34">
                  <c:v>8.9699074074073848E-3</c:v>
                </c:pt>
                <c:pt idx="35">
                  <c:v>4.4791666666665897E-3</c:v>
                </c:pt>
                <c:pt idx="36">
                  <c:v>1.1273148148148115E-2</c:v>
                </c:pt>
                <c:pt idx="37">
                  <c:v>2.1331018518518596E-2</c:v>
                </c:pt>
                <c:pt idx="38">
                  <c:v>2.0960648148148131E-2</c:v>
                </c:pt>
                <c:pt idx="39">
                  <c:v>3.2835648148148155E-2</c:v>
                </c:pt>
                <c:pt idx="40">
                  <c:v>1.635416666666667E-2</c:v>
                </c:pt>
                <c:pt idx="41">
                  <c:v>2.3622685185185177E-2</c:v>
                </c:pt>
                <c:pt idx="42">
                  <c:v>2.4548611111111118E-2</c:v>
                </c:pt>
                <c:pt idx="43">
                  <c:v>2.7395833333333286E-2</c:v>
                </c:pt>
                <c:pt idx="44">
                  <c:v>1.5208333333333268E-2</c:v>
                </c:pt>
                <c:pt idx="45">
                  <c:v>1.1041666666666672E-2</c:v>
                </c:pt>
                <c:pt idx="46">
                  <c:v>2.750000000000008E-2</c:v>
                </c:pt>
                <c:pt idx="47">
                  <c:v>1.7951388888888864E-2</c:v>
                </c:pt>
                <c:pt idx="48">
                  <c:v>#N/A</c:v>
                </c:pt>
                <c:pt idx="49">
                  <c:v>1.5254629629629646E-2</c:v>
                </c:pt>
                <c:pt idx="50">
                  <c:v>1.6666666666666718E-2</c:v>
                </c:pt>
                <c:pt idx="51">
                  <c:v>9.7916666666666985E-3</c:v>
                </c:pt>
                <c:pt idx="52">
                  <c:v>3.6759259259259269E-2</c:v>
                </c:pt>
                <c:pt idx="53">
                  <c:v>1.2060185185185257E-2</c:v>
                </c:pt>
                <c:pt idx="54">
                  <c:v>6.9907407407407973E-3</c:v>
                </c:pt>
                <c:pt idx="55">
                  <c:v>3.0185185185185204E-2</c:v>
                </c:pt>
                <c:pt idx="56">
                  <c:v>1.9259259259259198E-2</c:v>
                </c:pt>
                <c:pt idx="57">
                  <c:v>1.6701388888888891E-2</c:v>
                </c:pt>
                <c:pt idx="58">
                  <c:v>1.0648148148148184E-2</c:v>
                </c:pt>
                <c:pt idx="59">
                  <c:v>1.9699074074074008E-2</c:v>
                </c:pt>
                <c:pt idx="60">
                  <c:v>1.1886574074074119E-2</c:v>
                </c:pt>
                <c:pt idx="61">
                  <c:v>1.0451388888888968E-2</c:v>
                </c:pt>
                <c:pt idx="62">
                  <c:v>#N/A</c:v>
                </c:pt>
                <c:pt idx="63">
                  <c:v>1.9212962962962987E-2</c:v>
                </c:pt>
                <c:pt idx="64">
                  <c:v>1.749999999999996E-2</c:v>
                </c:pt>
                <c:pt idx="65">
                  <c:v>1.2847222222222232E-2</c:v>
                </c:pt>
                <c:pt idx="66">
                  <c:v>4.4791666666667007E-3</c:v>
                </c:pt>
                <c:pt idx="67">
                  <c:v>7.0023148148147252E-3</c:v>
                </c:pt>
                <c:pt idx="68">
                  <c:v>2.0960648148148131E-2</c:v>
                </c:pt>
                <c:pt idx="69">
                  <c:v>2.3622685185185177E-2</c:v>
                </c:pt>
                <c:pt idx="70">
                  <c:v>2.4548611111111063E-2</c:v>
                </c:pt>
                <c:pt idx="71">
                  <c:v>2.7395833333333397E-2</c:v>
                </c:pt>
                <c:pt idx="72">
                  <c:v>2.3946759259259265E-2</c:v>
                </c:pt>
                <c:pt idx="73">
                  <c:v>1.5208333333333379E-2</c:v>
                </c:pt>
                <c:pt idx="74">
                  <c:v>#N/A</c:v>
                </c:pt>
                <c:pt idx="75">
                  <c:v>1.0601851851851918E-2</c:v>
                </c:pt>
                <c:pt idx="76">
                  <c:v>2.7499999999999969E-2</c:v>
                </c:pt>
                <c:pt idx="77">
                  <c:v>1.0451388888888857E-2</c:v>
                </c:pt>
                <c:pt idx="78">
                  <c:v>#N/A</c:v>
                </c:pt>
                <c:pt idx="79">
                  <c:v>1.5254629629629646E-2</c:v>
                </c:pt>
                <c:pt idx="80">
                  <c:v>#N/A</c:v>
                </c:pt>
                <c:pt idx="81">
                  <c:v>3.6759259259259269E-2</c:v>
                </c:pt>
                <c:pt idx="82">
                  <c:v>1.2060185185185146E-2</c:v>
                </c:pt>
                <c:pt idx="83">
                  <c:v>6.9907407407407973E-3</c:v>
                </c:pt>
                <c:pt idx="84">
                  <c:v>1.9259259259259309E-2</c:v>
                </c:pt>
                <c:pt idx="85">
                  <c:v>1.0648148148148184E-2</c:v>
                </c:pt>
                <c:pt idx="86">
                  <c:v>1.9699074074074119E-2</c:v>
                </c:pt>
                <c:pt idx="87">
                  <c:v>1.1886574074074008E-2</c:v>
                </c:pt>
                <c:pt idx="88">
                  <c:v>1.0451388888888857E-2</c:v>
                </c:pt>
                <c:pt idx="89">
                  <c:v>#N/A</c:v>
                </c:pt>
                <c:pt idx="90">
                  <c:v>#N/A</c:v>
                </c:pt>
                <c:pt idx="91">
                  <c:v>1.2847222222222232E-2</c:v>
                </c:pt>
                <c:pt idx="92">
                  <c:v>4.4791666666667007E-3</c:v>
                </c:pt>
                <c:pt idx="93">
                  <c:v>7.0023148148148362E-3</c:v>
                </c:pt>
                <c:pt idx="94">
                  <c:v>#N/A</c:v>
                </c:pt>
                <c:pt idx="95">
                  <c:v>#N/A</c:v>
                </c:pt>
                <c:pt idx="96">
                  <c:v>#N/A</c:v>
                </c:pt>
                <c:pt idx="97">
                  <c:v>#N/A</c:v>
                </c:pt>
                <c:pt idx="98">
                  <c:v>#N/A</c:v>
                </c:pt>
                <c:pt idx="99">
                  <c:v>#N/A</c:v>
                </c:pt>
                <c:pt idx="100">
                  <c:v>#N/A</c:v>
                </c:pt>
                <c:pt idx="101">
                  <c:v>#N/A</c:v>
                </c:pt>
                <c:pt idx="102">
                  <c:v>#N/A</c:v>
                </c:pt>
                <c:pt idx="103">
                  <c:v>#N/A</c:v>
                </c:pt>
                <c:pt idx="104">
                  <c:v>1.0648148148148184E-2</c:v>
                </c:pt>
                <c:pt idx="105">
                  <c:v>#N/A</c:v>
                </c:pt>
                <c:pt idx="106">
                  <c:v>#N/A</c:v>
                </c:pt>
                <c:pt idx="107">
                  <c:v>#N/A</c:v>
                </c:pt>
                <c:pt idx="108">
                  <c:v>#N/A</c:v>
                </c:pt>
                <c:pt idx="109">
                  <c:v>#N/A</c:v>
                </c:pt>
                <c:pt idx="110">
                  <c:v>#N/A</c:v>
                </c:pt>
                <c:pt idx="111">
                  <c:v>#N/A</c:v>
                </c:pt>
                <c:pt idx="112">
                  <c:v>1.0648148148148073E-2</c:v>
                </c:pt>
              </c:numCache>
            </c:numRef>
          </c:val>
          <c:extLst>
            <c:ext xmlns:c16="http://schemas.microsoft.com/office/drawing/2014/chart" uri="{C3380CC4-5D6E-409C-BE32-E72D297353CC}">
              <c16:uniqueId val="{00000006-9635-4692-911C-48EF8CBB889F}"/>
            </c:ext>
          </c:extLst>
        </c:ser>
        <c:ser>
          <c:idx val="7"/>
          <c:order val="7"/>
          <c:tx>
            <c:strRef>
              <c:f>Laufwege!$N$3</c:f>
              <c:strCache>
                <c:ptCount val="1"/>
                <c:pt idx="0">
                  <c:v>4</c:v>
                </c:pt>
              </c:strCache>
            </c:strRef>
          </c:tx>
          <c:spPr>
            <a:solidFill>
              <a:schemeClr val="accent2">
                <a:lumMod val="60000"/>
              </a:schemeClr>
            </a:solid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Laufwege!$N$4:$N$116</c:f>
              <c:numCache>
                <c:formatCode>[$-F400]h:mm:ss\ AM/PM</c:formatCode>
                <c:ptCount val="113"/>
                <c:pt idx="0">
                  <c:v>1.9849537037037013E-2</c:v>
                </c:pt>
                <c:pt idx="1">
                  <c:v>1.6458333333333297E-2</c:v>
                </c:pt>
                <c:pt idx="2">
                  <c:v>1.967592592592593E-2</c:v>
                </c:pt>
                <c:pt idx="3">
                  <c:v>1.6250000000000042E-2</c:v>
                </c:pt>
                <c:pt idx="4">
                  <c:v>3.7951388888888882E-2</c:v>
                </c:pt>
                <c:pt idx="5">
                  <c:v>3.4826388888888893E-2</c:v>
                </c:pt>
                <c:pt idx="6">
                  <c:v>4.954861111111114E-2</c:v>
                </c:pt>
                <c:pt idx="7">
                  <c:v>3.4305555555555534E-2</c:v>
                </c:pt>
                <c:pt idx="8">
                  <c:v>4.5405092592592622E-2</c:v>
                </c:pt>
                <c:pt idx="9">
                  <c:v>4.1423611111111092E-2</c:v>
                </c:pt>
                <c:pt idx="10">
                  <c:v>3.8981481481481506E-2</c:v>
                </c:pt>
                <c:pt idx="11">
                  <c:v>4.5462962962962927E-2</c:v>
                </c:pt>
                <c:pt idx="12">
                  <c:v>#N/A</c:v>
                </c:pt>
                <c:pt idx="13">
                  <c:v>4.5671296296296293E-2</c:v>
                </c:pt>
                <c:pt idx="14">
                  <c:v>3.247685185185184E-2</c:v>
                </c:pt>
                <c:pt idx="15">
                  <c:v>4.0590277777777739E-2</c:v>
                </c:pt>
                <c:pt idx="16">
                  <c:v>7.7731481481481512E-2</c:v>
                </c:pt>
                <c:pt idx="17">
                  <c:v>8.4259259259259256E-2</c:v>
                </c:pt>
                <c:pt idx="18">
                  <c:v>#N/A</c:v>
                </c:pt>
                <c:pt idx="19">
                  <c:v>7.0069444444444462E-2</c:v>
                </c:pt>
                <c:pt idx="20">
                  <c:v>4.0150462962962985E-2</c:v>
                </c:pt>
                <c:pt idx="21">
                  <c:v>4.6134259259259291E-2</c:v>
                </c:pt>
                <c:pt idx="22">
                  <c:v>6.8854166666666716E-2</c:v>
                </c:pt>
                <c:pt idx="23">
                  <c:v>#N/A</c:v>
                </c:pt>
                <c:pt idx="24">
                  <c:v>4.6504629629629646E-2</c:v>
                </c:pt>
                <c:pt idx="25">
                  <c:v>4.5254629629629672E-2</c:v>
                </c:pt>
                <c:pt idx="26">
                  <c:v>4.5648148148148215E-2</c:v>
                </c:pt>
                <c:pt idx="27">
                  <c:v>4.6643518518518501E-2</c:v>
                </c:pt>
                <c:pt idx="28">
                  <c:v>4.954861111111114E-2</c:v>
                </c:pt>
                <c:pt idx="29">
                  <c:v>4.4652777777777819E-2</c:v>
                </c:pt>
                <c:pt idx="30">
                  <c:v>#N/A</c:v>
                </c:pt>
                <c:pt idx="31">
                  <c:v>4.5405092592592566E-2</c:v>
                </c:pt>
                <c:pt idx="32">
                  <c:v>4.1423611111111147E-2</c:v>
                </c:pt>
                <c:pt idx="33">
                  <c:v>5.070601851851847E-2</c:v>
                </c:pt>
                <c:pt idx="34">
                  <c:v>3.8969907407407411E-2</c:v>
                </c:pt>
                <c:pt idx="35">
                  <c:v>#N/A</c:v>
                </c:pt>
                <c:pt idx="36">
                  <c:v>4.5462962962962983E-2</c:v>
                </c:pt>
                <c:pt idx="37">
                  <c:v>#N/A</c:v>
                </c:pt>
                <c:pt idx="38">
                  <c:v>#N/A</c:v>
                </c:pt>
                <c:pt idx="39">
                  <c:v>4.5671296296296293E-2</c:v>
                </c:pt>
                <c:pt idx="40">
                  <c:v>7.7731481481481457E-2</c:v>
                </c:pt>
                <c:pt idx="41">
                  <c:v>#N/A</c:v>
                </c:pt>
                <c:pt idx="42">
                  <c:v>5.4861111111111138E-2</c:v>
                </c:pt>
                <c:pt idx="43">
                  <c:v>#N/A</c:v>
                </c:pt>
                <c:pt idx="44">
                  <c:v>#N/A</c:v>
                </c:pt>
                <c:pt idx="45">
                  <c:v>8.4259259259259311E-2</c:v>
                </c:pt>
                <c:pt idx="46">
                  <c:v>#N/A</c:v>
                </c:pt>
                <c:pt idx="47">
                  <c:v>7.0069444444444406E-2</c:v>
                </c:pt>
                <c:pt idx="48">
                  <c:v>#N/A</c:v>
                </c:pt>
                <c:pt idx="49">
                  <c:v>#N/A</c:v>
                </c:pt>
                <c:pt idx="50">
                  <c:v>#N/A</c:v>
                </c:pt>
                <c:pt idx="51">
                  <c:v>6.8854166666666661E-2</c:v>
                </c:pt>
                <c:pt idx="52">
                  <c:v>#N/A</c:v>
                </c:pt>
                <c:pt idx="53">
                  <c:v>#N/A</c:v>
                </c:pt>
                <c:pt idx="54">
                  <c:v>#N/A</c:v>
                </c:pt>
                <c:pt idx="55">
                  <c:v>4.650462962962959E-2</c:v>
                </c:pt>
                <c:pt idx="56">
                  <c:v>#N/A</c:v>
                </c:pt>
                <c:pt idx="57">
                  <c:v>4.5254629629629672E-2</c:v>
                </c:pt>
                <c:pt idx="58">
                  <c:v>#N/A</c:v>
                </c:pt>
                <c:pt idx="59">
                  <c:v>#N/A</c:v>
                </c:pt>
                <c:pt idx="60">
                  <c:v>#N/A</c:v>
                </c:pt>
                <c:pt idx="61">
                  <c:v>#N/A</c:v>
                </c:pt>
                <c:pt idx="62">
                  <c:v>#N/A</c:v>
                </c:pt>
                <c:pt idx="63">
                  <c:v>5.0706018518518525E-2</c:v>
                </c:pt>
                <c:pt idx="64">
                  <c:v>#N/A</c:v>
                </c:pt>
                <c:pt idx="65">
                  <c:v>#N/A</c:v>
                </c:pt>
                <c:pt idx="66">
                  <c:v>#N/A</c:v>
                </c:pt>
                <c:pt idx="67">
                  <c:v>#N/A</c:v>
                </c:pt>
                <c:pt idx="68">
                  <c:v>#N/A</c:v>
                </c:pt>
                <c:pt idx="69">
                  <c:v>#N/A</c:v>
                </c:pt>
                <c:pt idx="70">
                  <c:v>5.4861111111111138E-2</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07-9635-4692-911C-48EF8CBB889F}"/>
            </c:ext>
          </c:extLst>
        </c:ser>
        <c:ser>
          <c:idx val="8"/>
          <c:order val="8"/>
          <c:tx>
            <c:strRef>
              <c:f>Laufwege!$O$3</c:f>
              <c:strCache>
                <c:ptCount val="1"/>
                <c:pt idx="0">
                  <c:v>x</c:v>
                </c:pt>
              </c:strCache>
            </c:strRef>
          </c:tx>
          <c:spPr>
            <a:no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Laufwege!$O$4:$O$116</c:f>
              <c:numCache>
                <c:formatCode>[$-F400]h:mm:ss\ AM/PM</c:formatCode>
                <c:ptCount val="113"/>
                <c:pt idx="0">
                  <c:v>2.0162037037037062E-2</c:v>
                </c:pt>
                <c:pt idx="1">
                  <c:v>2.0787037037037048E-2</c:v>
                </c:pt>
                <c:pt idx="2">
                  <c:v>2.364583333333331E-2</c:v>
                </c:pt>
                <c:pt idx="3">
                  <c:v>2.9837962962962927E-2</c:v>
                </c:pt>
                <c:pt idx="4">
                  <c:v>3.5185185185185319E-3</c:v>
                </c:pt>
                <c:pt idx="5">
                  <c:v>7.0370370370370638E-3</c:v>
                </c:pt>
                <c:pt idx="6">
                  <c:v>7.418981481481457E-3</c:v>
                </c:pt>
                <c:pt idx="7">
                  <c:v>1.5138888888888868E-2</c:v>
                </c:pt>
                <c:pt idx="8">
                  <c:v>2.7060185185185159E-2</c:v>
                </c:pt>
                <c:pt idx="9">
                  <c:v>2.2650462962962969E-2</c:v>
                </c:pt>
                <c:pt idx="10">
                  <c:v>3.6458333333333315E-2</c:v>
                </c:pt>
                <c:pt idx="11">
                  <c:v>2.2129629629629666E-2</c:v>
                </c:pt>
                <c:pt idx="12">
                  <c:v>#N/A</c:v>
                </c:pt>
                <c:pt idx="13">
                  <c:v>1.9351851851851898E-2</c:v>
                </c:pt>
                <c:pt idx="14">
                  <c:v>7.569444444444462E-3</c:v>
                </c:pt>
                <c:pt idx="15">
                  <c:v>8.9699074074074403E-3</c:v>
                </c:pt>
                <c:pt idx="16">
                  <c:v>1.200231481481473E-2</c:v>
                </c:pt>
                <c:pt idx="17">
                  <c:v>1.635416666666667E-2</c:v>
                </c:pt>
                <c:pt idx="18">
                  <c:v>#N/A</c:v>
                </c:pt>
                <c:pt idx="19">
                  <c:v>9.791666666666643E-3</c:v>
                </c:pt>
                <c:pt idx="20">
                  <c:v>2.0775462962962954E-2</c:v>
                </c:pt>
                <c:pt idx="21">
                  <c:v>1.1273148148148115E-2</c:v>
                </c:pt>
                <c:pt idx="22">
                  <c:v>1.7951388888888808E-2</c:v>
                </c:pt>
                <c:pt idx="23">
                  <c:v>#N/A</c:v>
                </c:pt>
                <c:pt idx="24">
                  <c:v>3.28356481481481E-2</c:v>
                </c:pt>
                <c:pt idx="25">
                  <c:v>1.1041666666666672E-2</c:v>
                </c:pt>
                <c:pt idx="26">
                  <c:v>1.9224537037036971E-2</c:v>
                </c:pt>
                <c:pt idx="27">
                  <c:v>1.5231481481481512E-2</c:v>
                </c:pt>
                <c:pt idx="28">
                  <c:v>7.418981481481457E-3</c:v>
                </c:pt>
                <c:pt idx="29">
                  <c:v>3.0185185185185204E-2</c:v>
                </c:pt>
                <c:pt idx="30">
                  <c:v>#N/A</c:v>
                </c:pt>
                <c:pt idx="31">
                  <c:v>2.7060185185185159E-2</c:v>
                </c:pt>
                <c:pt idx="32">
                  <c:v>2.2650462962962914E-2</c:v>
                </c:pt>
                <c:pt idx="33">
                  <c:v>2.4548611111111174E-2</c:v>
                </c:pt>
                <c:pt idx="34">
                  <c:v>3.6469907407407409E-2</c:v>
                </c:pt>
                <c:pt idx="35">
                  <c:v>#N/A</c:v>
                </c:pt>
                <c:pt idx="36">
                  <c:v>2.212962962962961E-2</c:v>
                </c:pt>
                <c:pt idx="37">
                  <c:v>#N/A</c:v>
                </c:pt>
                <c:pt idx="38">
                  <c:v>#N/A</c:v>
                </c:pt>
                <c:pt idx="39">
                  <c:v>1.9351851851851842E-2</c:v>
                </c:pt>
                <c:pt idx="40">
                  <c:v>1.2002314814814841E-2</c:v>
                </c:pt>
                <c:pt idx="41">
                  <c:v>#N/A</c:v>
                </c:pt>
                <c:pt idx="42">
                  <c:v>1.6701388888888835E-2</c:v>
                </c:pt>
                <c:pt idx="43">
                  <c:v>#N/A</c:v>
                </c:pt>
                <c:pt idx="44">
                  <c:v>#N/A</c:v>
                </c:pt>
                <c:pt idx="45">
                  <c:v>1.6354166666666559E-2</c:v>
                </c:pt>
                <c:pt idx="46">
                  <c:v>#N/A</c:v>
                </c:pt>
                <c:pt idx="47">
                  <c:v>9.791666666666754E-3</c:v>
                </c:pt>
                <c:pt idx="48">
                  <c:v>#N/A</c:v>
                </c:pt>
                <c:pt idx="49">
                  <c:v>#N/A</c:v>
                </c:pt>
                <c:pt idx="50">
                  <c:v>#N/A</c:v>
                </c:pt>
                <c:pt idx="51">
                  <c:v>1.7951388888888919E-2</c:v>
                </c:pt>
                <c:pt idx="52">
                  <c:v>#N/A</c:v>
                </c:pt>
                <c:pt idx="53">
                  <c:v>#N/A</c:v>
                </c:pt>
                <c:pt idx="54">
                  <c:v>#N/A</c:v>
                </c:pt>
                <c:pt idx="55">
                  <c:v>3.2835648148148211E-2</c:v>
                </c:pt>
                <c:pt idx="56">
                  <c:v>#N/A</c:v>
                </c:pt>
                <c:pt idx="57">
                  <c:v>1.1041666666666616E-2</c:v>
                </c:pt>
                <c:pt idx="58">
                  <c:v>#N/A</c:v>
                </c:pt>
                <c:pt idx="59">
                  <c:v>#N/A</c:v>
                </c:pt>
                <c:pt idx="60">
                  <c:v>#N/A</c:v>
                </c:pt>
                <c:pt idx="61">
                  <c:v>#N/A</c:v>
                </c:pt>
                <c:pt idx="62">
                  <c:v>#N/A</c:v>
                </c:pt>
                <c:pt idx="63">
                  <c:v>2.4548611111111063E-2</c:v>
                </c:pt>
                <c:pt idx="64">
                  <c:v>#N/A</c:v>
                </c:pt>
                <c:pt idx="65">
                  <c:v>#N/A</c:v>
                </c:pt>
                <c:pt idx="66">
                  <c:v>#N/A</c:v>
                </c:pt>
                <c:pt idx="67">
                  <c:v>#N/A</c:v>
                </c:pt>
                <c:pt idx="68">
                  <c:v>#N/A</c:v>
                </c:pt>
                <c:pt idx="69">
                  <c:v>#N/A</c:v>
                </c:pt>
                <c:pt idx="70">
                  <c:v>1.6701388888888946E-2</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08-9635-4692-911C-48EF8CBB889F}"/>
            </c:ext>
          </c:extLst>
        </c:ser>
        <c:ser>
          <c:idx val="9"/>
          <c:order val="9"/>
          <c:tx>
            <c:strRef>
              <c:f>Laufwege!$P$3</c:f>
              <c:strCache>
                <c:ptCount val="1"/>
                <c:pt idx="0">
                  <c:v>5</c:v>
                </c:pt>
              </c:strCache>
            </c:strRef>
          </c:tx>
          <c:spPr>
            <a:solidFill>
              <a:schemeClr val="accent4">
                <a:lumMod val="60000"/>
              </a:schemeClr>
            </a:solid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Laufwege!$P$4:$P$116</c:f>
              <c:numCache>
                <c:formatCode>[$-F400]h:mm:ss\ AM/PM</c:formatCode>
                <c:ptCount val="113"/>
                <c:pt idx="0">
                  <c:v>1.967592592592593E-2</c:v>
                </c:pt>
                <c:pt idx="1">
                  <c:v>1.6249999999999987E-2</c:v>
                </c:pt>
                <c:pt idx="2">
                  <c:v>1.9849537037037068E-2</c:v>
                </c:pt>
                <c:pt idx="3">
                  <c:v>1.6458333333333353E-2</c:v>
                </c:pt>
                <c:pt idx="4">
                  <c:v>3.4826388888888893E-2</c:v>
                </c:pt>
                <c:pt idx="5">
                  <c:v>3.7951388888888882E-2</c:v>
                </c:pt>
                <c:pt idx="6">
                  <c:v>3.4305555555555589E-2</c:v>
                </c:pt>
                <c:pt idx="7">
                  <c:v>3.2476851851851896E-2</c:v>
                </c:pt>
                <c:pt idx="8">
                  <c:v>4.4652777777777763E-2</c:v>
                </c:pt>
                <c:pt idx="9">
                  <c:v>4.0150462962962985E-2</c:v>
                </c:pt>
                <c:pt idx="10">
                  <c:v>4.059027777777785E-2</c:v>
                </c:pt>
                <c:pt idx="11">
                  <c:v>4.6134259259259291E-2</c:v>
                </c:pt>
                <c:pt idx="12">
                  <c:v>#N/A</c:v>
                </c:pt>
                <c:pt idx="13">
                  <c:v>4.5405092592592511E-2</c:v>
                </c:pt>
                <c:pt idx="14">
                  <c:v>4.6643518518518501E-2</c:v>
                </c:pt>
                <c:pt idx="15">
                  <c:v>3.8981481481481506E-2</c:v>
                </c:pt>
                <c:pt idx="16">
                  <c:v>4.5659722222222254E-2</c:v>
                </c:pt>
                <c:pt idx="17">
                  <c:v>7.7731481481481457E-2</c:v>
                </c:pt>
                <c:pt idx="18">
                  <c:v>#N/A</c:v>
                </c:pt>
                <c:pt idx="19">
                  <c:v>#N/A</c:v>
                </c:pt>
                <c:pt idx="20">
                  <c:v>4.1423611111111092E-2</c:v>
                </c:pt>
                <c:pt idx="21">
                  <c:v>4.5462962962962927E-2</c:v>
                </c:pt>
                <c:pt idx="22">
                  <c:v>#N/A</c:v>
                </c:pt>
                <c:pt idx="23">
                  <c:v>#N/A</c:v>
                </c:pt>
                <c:pt idx="24">
                  <c:v>4.5671296296296293E-2</c:v>
                </c:pt>
                <c:pt idx="25">
                  <c:v>8.4259259259259256E-2</c:v>
                </c:pt>
                <c:pt idx="26">
                  <c:v>#N/A</c:v>
                </c:pt>
                <c:pt idx="27">
                  <c:v>4.9548611111111085E-2</c:v>
                </c:pt>
                <c:pt idx="28">
                  <c:v>3.4305555555555534E-2</c:v>
                </c:pt>
                <c:pt idx="29">
                  <c:v>4.6504629629629535E-2</c:v>
                </c:pt>
                <c:pt idx="30">
                  <c:v>#N/A</c:v>
                </c:pt>
                <c:pt idx="31">
                  <c:v>4.4652777777777763E-2</c:v>
                </c:pt>
                <c:pt idx="32">
                  <c:v>4.0150462962962985E-2</c:v>
                </c:pt>
                <c:pt idx="33">
                  <c:v>5.4861111111111138E-2</c:v>
                </c:pt>
                <c:pt idx="34">
                  <c:v>4.0590277777777795E-2</c:v>
                </c:pt>
                <c:pt idx="35">
                  <c:v>#N/A</c:v>
                </c:pt>
                <c:pt idx="36">
                  <c:v>4.6134259259259291E-2</c:v>
                </c:pt>
                <c:pt idx="37">
                  <c:v>#N/A</c:v>
                </c:pt>
                <c:pt idx="38">
                  <c:v>#N/A</c:v>
                </c:pt>
                <c:pt idx="39">
                  <c:v>#N/A</c:v>
                </c:pt>
                <c:pt idx="40">
                  <c:v>#N/A</c:v>
                </c:pt>
                <c:pt idx="41">
                  <c:v>#N/A</c:v>
                </c:pt>
                <c:pt idx="42">
                  <c:v>4.5243055555555634E-2</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09-9635-4692-911C-48EF8CBB889F}"/>
            </c:ext>
          </c:extLst>
        </c:ser>
        <c:ser>
          <c:idx val="10"/>
          <c:order val="10"/>
          <c:tx>
            <c:strRef>
              <c:f>Laufwege!$Q$3</c:f>
              <c:strCache>
                <c:ptCount val="1"/>
                <c:pt idx="0">
                  <c:v>x</c:v>
                </c:pt>
              </c:strCache>
            </c:strRef>
          </c:tx>
          <c:spPr>
            <a:no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Laufwege!$Q$4:$Q$116</c:f>
              <c:numCache>
                <c:formatCode>[$-F400]h:mm:ss\ AM/PM</c:formatCode>
                <c:ptCount val="113"/>
                <c:pt idx="0">
                  <c:v>2.364583333333331E-2</c:v>
                </c:pt>
                <c:pt idx="1">
                  <c:v>2.9837962962962983E-2</c:v>
                </c:pt>
                <c:pt idx="2">
                  <c:v>2.0162037037037006E-2</c:v>
                </c:pt>
                <c:pt idx="3">
                  <c:v>2.0787037037037048E-2</c:v>
                </c:pt>
                <c:pt idx="4">
                  <c:v>7.0370370370370638E-3</c:v>
                </c:pt>
                <c:pt idx="5">
                  <c:v>3.5185185185185319E-3</c:v>
                </c:pt>
                <c:pt idx="6">
                  <c:v>1.5138888888888868E-2</c:v>
                </c:pt>
                <c:pt idx="7">
                  <c:v>7.5694444444444065E-3</c:v>
                </c:pt>
                <c:pt idx="8">
                  <c:v>3.0185185185185204E-2</c:v>
                </c:pt>
                <c:pt idx="9">
                  <c:v>2.0775462962962954E-2</c:v>
                </c:pt>
                <c:pt idx="10">
                  <c:v>8.9699074074073293E-3</c:v>
                </c:pt>
                <c:pt idx="11">
                  <c:v>1.127314814814806E-2</c:v>
                </c:pt>
                <c:pt idx="12">
                  <c:v>#N/A</c:v>
                </c:pt>
                <c:pt idx="13">
                  <c:v>2.706018518518527E-2</c:v>
                </c:pt>
                <c:pt idx="14">
                  <c:v>1.5231481481481457E-2</c:v>
                </c:pt>
                <c:pt idx="15">
                  <c:v>3.6458333333333259E-2</c:v>
                </c:pt>
                <c:pt idx="16">
                  <c:v>1.9212962962962932E-2</c:v>
                </c:pt>
                <c:pt idx="17">
                  <c:v>1.2002314814814841E-2</c:v>
                </c:pt>
                <c:pt idx="18">
                  <c:v>#N/A</c:v>
                </c:pt>
                <c:pt idx="19">
                  <c:v>#N/A</c:v>
                </c:pt>
                <c:pt idx="20">
                  <c:v>2.2650462962963025E-2</c:v>
                </c:pt>
                <c:pt idx="21">
                  <c:v>2.2129629629629721E-2</c:v>
                </c:pt>
                <c:pt idx="22">
                  <c:v>#N/A</c:v>
                </c:pt>
                <c:pt idx="23">
                  <c:v>#N/A</c:v>
                </c:pt>
                <c:pt idx="24">
                  <c:v>1.9351851851851842E-2</c:v>
                </c:pt>
                <c:pt idx="25">
                  <c:v>1.635416666666667E-2</c:v>
                </c:pt>
                <c:pt idx="26">
                  <c:v>#N/A</c:v>
                </c:pt>
                <c:pt idx="27">
                  <c:v>7.418981481481457E-3</c:v>
                </c:pt>
                <c:pt idx="28">
                  <c:v>1.5138888888888868E-2</c:v>
                </c:pt>
                <c:pt idx="29">
                  <c:v>3.2835648148148211E-2</c:v>
                </c:pt>
                <c:pt idx="30">
                  <c:v>#N/A</c:v>
                </c:pt>
                <c:pt idx="31">
                  <c:v>3.0185185185185204E-2</c:v>
                </c:pt>
                <c:pt idx="32">
                  <c:v>2.0775462962962954E-2</c:v>
                </c:pt>
                <c:pt idx="33">
                  <c:v>1.6701388888888835E-2</c:v>
                </c:pt>
                <c:pt idx="34">
                  <c:v>8.9699074074074403E-3</c:v>
                </c:pt>
                <c:pt idx="35">
                  <c:v>#N/A</c:v>
                </c:pt>
                <c:pt idx="36">
                  <c:v>1.1273148148148171E-2</c:v>
                </c:pt>
                <c:pt idx="37">
                  <c:v>#N/A</c:v>
                </c:pt>
                <c:pt idx="38">
                  <c:v>#N/A</c:v>
                </c:pt>
                <c:pt idx="39">
                  <c:v>#N/A</c:v>
                </c:pt>
                <c:pt idx="40">
                  <c:v>#N/A</c:v>
                </c:pt>
                <c:pt idx="41">
                  <c:v>#N/A</c:v>
                </c:pt>
                <c:pt idx="42">
                  <c:v>1.1053240740740655E-2</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0A-9635-4692-911C-48EF8CBB889F}"/>
            </c:ext>
          </c:extLst>
        </c:ser>
        <c:ser>
          <c:idx val="11"/>
          <c:order val="11"/>
          <c:tx>
            <c:strRef>
              <c:f>Laufwege!$R$3</c:f>
              <c:strCache>
                <c:ptCount val="1"/>
                <c:pt idx="0">
                  <c:v>6</c:v>
                </c:pt>
              </c:strCache>
            </c:strRef>
          </c:tx>
          <c:spPr>
            <a:solidFill>
              <a:schemeClr val="accent6">
                <a:lumMod val="60000"/>
              </a:schemeClr>
            </a:solid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Laufwege!$R$4:$R$116</c:f>
              <c:numCache>
                <c:formatCode>[$-F400]h:mm:ss\ AM/PM</c:formatCode>
                <c:ptCount val="113"/>
                <c:pt idx="0">
                  <c:v>1.9849537037037013E-2</c:v>
                </c:pt>
                <c:pt idx="1">
                  <c:v>1.6458333333333353E-2</c:v>
                </c:pt>
                <c:pt idx="2">
                  <c:v>1.967592592592593E-2</c:v>
                </c:pt>
                <c:pt idx="3">
                  <c:v>1.6249999999999987E-2</c:v>
                </c:pt>
                <c:pt idx="4">
                  <c:v>3.7951388888888882E-2</c:v>
                </c:pt>
                <c:pt idx="5">
                  <c:v>3.4826388888888893E-2</c:v>
                </c:pt>
                <c:pt idx="6">
                  <c:v>3.2476851851851896E-2</c:v>
                </c:pt>
                <c:pt idx="7">
                  <c:v>4.6643518518518501E-2</c:v>
                </c:pt>
                <c:pt idx="8">
                  <c:v>#N/A</c:v>
                </c:pt>
                <c:pt idx="9">
                  <c:v>4.1423611111111147E-2</c:v>
                </c:pt>
                <c:pt idx="10">
                  <c:v>3.8981481481481506E-2</c:v>
                </c:pt>
                <c:pt idx="11">
                  <c:v>4.5462962962963038E-2</c:v>
                </c:pt>
                <c:pt idx="12">
                  <c:v>#N/A</c:v>
                </c:pt>
                <c:pt idx="13">
                  <c:v>#N/A</c:v>
                </c:pt>
                <c:pt idx="14">
                  <c:v>4.9548611111111085E-2</c:v>
                </c:pt>
                <c:pt idx="15">
                  <c:v>4.0590277777777795E-2</c:v>
                </c:pt>
                <c:pt idx="16">
                  <c:v>#N/A</c:v>
                </c:pt>
                <c:pt idx="17">
                  <c:v>#N/A</c:v>
                </c:pt>
                <c:pt idx="18">
                  <c:v>#N/A</c:v>
                </c:pt>
                <c:pt idx="19">
                  <c:v>#N/A</c:v>
                </c:pt>
                <c:pt idx="20">
                  <c:v>4.0150462962962874E-2</c:v>
                </c:pt>
                <c:pt idx="21">
                  <c:v>4.613425925925918E-2</c:v>
                </c:pt>
                <c:pt idx="22">
                  <c:v>#N/A</c:v>
                </c:pt>
                <c:pt idx="23">
                  <c:v>#N/A</c:v>
                </c:pt>
                <c:pt idx="24">
                  <c:v>#N/A</c:v>
                </c:pt>
                <c:pt idx="25">
                  <c:v>#N/A</c:v>
                </c:pt>
                <c:pt idx="26">
                  <c:v>#N/A</c:v>
                </c:pt>
                <c:pt idx="27">
                  <c:v>3.4305555555555589E-2</c:v>
                </c:pt>
                <c:pt idx="28">
                  <c:v>3.2476851851851896E-2</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0B-9635-4692-911C-48EF8CBB889F}"/>
            </c:ext>
          </c:extLst>
        </c:ser>
        <c:ser>
          <c:idx val="12"/>
          <c:order val="12"/>
          <c:tx>
            <c:strRef>
              <c:f>Laufwege!$S$3</c:f>
              <c:strCache>
                <c:ptCount val="1"/>
                <c:pt idx="0">
                  <c:v>x</c:v>
                </c:pt>
              </c:strCache>
            </c:strRef>
          </c:tx>
          <c:spPr>
            <a:no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Laufwege!$S$4:$S$116</c:f>
              <c:numCache>
                <c:formatCode>[$-F400]h:mm:ss\ AM/PM</c:formatCode>
                <c:ptCount val="113"/>
                <c:pt idx="0">
                  <c:v>2.0162037037037062E-2</c:v>
                </c:pt>
                <c:pt idx="1">
                  <c:v>2.0787037037036993E-2</c:v>
                </c:pt>
                <c:pt idx="2">
                  <c:v>2.3645833333333366E-2</c:v>
                </c:pt>
                <c:pt idx="3">
                  <c:v>2.9837962962962983E-2</c:v>
                </c:pt>
                <c:pt idx="4">
                  <c:v>3.5185185185184764E-3</c:v>
                </c:pt>
                <c:pt idx="5">
                  <c:v>7.0370370370370083E-3</c:v>
                </c:pt>
                <c:pt idx="6">
                  <c:v>7.5694444444444065E-3</c:v>
                </c:pt>
                <c:pt idx="7">
                  <c:v>1.5231481481481568E-2</c:v>
                </c:pt>
                <c:pt idx="8">
                  <c:v>#N/A</c:v>
                </c:pt>
                <c:pt idx="9">
                  <c:v>2.2650462962962914E-2</c:v>
                </c:pt>
                <c:pt idx="10">
                  <c:v>3.645833333333337E-2</c:v>
                </c:pt>
                <c:pt idx="11">
                  <c:v>2.212962962962961E-2</c:v>
                </c:pt>
                <c:pt idx="12">
                  <c:v>#N/A</c:v>
                </c:pt>
                <c:pt idx="13">
                  <c:v>#N/A</c:v>
                </c:pt>
                <c:pt idx="14">
                  <c:v>7.418981481481568E-3</c:v>
                </c:pt>
                <c:pt idx="15">
                  <c:v>8.9699074074074403E-3</c:v>
                </c:pt>
                <c:pt idx="16">
                  <c:v>#N/A</c:v>
                </c:pt>
                <c:pt idx="17">
                  <c:v>#N/A</c:v>
                </c:pt>
                <c:pt idx="18">
                  <c:v>#N/A</c:v>
                </c:pt>
                <c:pt idx="19">
                  <c:v>#N/A</c:v>
                </c:pt>
                <c:pt idx="20">
                  <c:v>2.0775462962963065E-2</c:v>
                </c:pt>
                <c:pt idx="21">
                  <c:v>1.1273148148148171E-2</c:v>
                </c:pt>
                <c:pt idx="22">
                  <c:v>#N/A</c:v>
                </c:pt>
                <c:pt idx="23">
                  <c:v>#N/A</c:v>
                </c:pt>
                <c:pt idx="24">
                  <c:v>#N/A</c:v>
                </c:pt>
                <c:pt idx="25">
                  <c:v>#N/A</c:v>
                </c:pt>
                <c:pt idx="26">
                  <c:v>#N/A</c:v>
                </c:pt>
                <c:pt idx="27">
                  <c:v>1.5138888888888924E-2</c:v>
                </c:pt>
                <c:pt idx="28">
                  <c:v>7.5694444444444065E-3</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0C-9635-4692-911C-48EF8CBB889F}"/>
            </c:ext>
          </c:extLst>
        </c:ser>
        <c:ser>
          <c:idx val="13"/>
          <c:order val="13"/>
          <c:tx>
            <c:strRef>
              <c:f>Laufwege!$T$3</c:f>
              <c:strCache>
                <c:ptCount val="1"/>
                <c:pt idx="0">
                  <c:v>7</c:v>
                </c:pt>
              </c:strCache>
            </c:strRef>
          </c:tx>
          <c:spPr>
            <a:solidFill>
              <a:schemeClr val="accent2">
                <a:lumMod val="80000"/>
                <a:lumOff val="20000"/>
              </a:schemeClr>
            </a:solid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Laufwege!$T$4:$T$116</c:f>
              <c:numCache>
                <c:formatCode>[$-F400]h:mm:ss\ AM/PM</c:formatCode>
                <c:ptCount val="113"/>
                <c:pt idx="0">
                  <c:v>1.967592592592593E-2</c:v>
                </c:pt>
                <c:pt idx="1">
                  <c:v>1.6238425925925948E-2</c:v>
                </c:pt>
                <c:pt idx="2">
                  <c:v>1.9849537037037013E-2</c:v>
                </c:pt>
                <c:pt idx="3">
                  <c:v>1.6458333333333297E-2</c:v>
                </c:pt>
                <c:pt idx="4">
                  <c:v>3.4826388888888893E-2</c:v>
                </c:pt>
                <c:pt idx="5">
                  <c:v>3.7951388888888882E-2</c:v>
                </c:pt>
                <c:pt idx="6">
                  <c:v>4.6643518518518556E-2</c:v>
                </c:pt>
                <c:pt idx="7">
                  <c:v>4.9548611111111085E-2</c:v>
                </c:pt>
                <c:pt idx="8">
                  <c:v>#N/A</c:v>
                </c:pt>
                <c:pt idx="9">
                  <c:v>#N/A</c:v>
                </c:pt>
                <c:pt idx="10">
                  <c:v>#N/A</c:v>
                </c:pt>
                <c:pt idx="11">
                  <c:v>#N/A</c:v>
                </c:pt>
                <c:pt idx="12">
                  <c:v>#N/A</c:v>
                </c:pt>
                <c:pt idx="13">
                  <c:v>#N/A</c:v>
                </c:pt>
                <c:pt idx="14">
                  <c:v>3.4305555555555478E-2</c:v>
                </c:pt>
                <c:pt idx="15">
                  <c:v>#N/A</c:v>
                </c:pt>
                <c:pt idx="16">
                  <c:v>#N/A</c:v>
                </c:pt>
                <c:pt idx="17">
                  <c:v>#N/A</c:v>
                </c:pt>
                <c:pt idx="18">
                  <c:v>#N/A</c:v>
                </c:pt>
                <c:pt idx="19">
                  <c:v>#N/A</c:v>
                </c:pt>
                <c:pt idx="20">
                  <c:v>#N/A</c:v>
                </c:pt>
                <c:pt idx="21">
                  <c:v>#N/A</c:v>
                </c:pt>
                <c:pt idx="22">
                  <c:v>#N/A</c:v>
                </c:pt>
                <c:pt idx="23">
                  <c:v>#N/A</c:v>
                </c:pt>
                <c:pt idx="24">
                  <c:v>#N/A</c:v>
                </c:pt>
                <c:pt idx="25">
                  <c:v>#N/A</c:v>
                </c:pt>
                <c:pt idx="26">
                  <c:v>#N/A</c:v>
                </c:pt>
                <c:pt idx="27">
                  <c:v>3.2476851851851785E-2</c:v>
                </c:pt>
                <c:pt idx="28">
                  <c:v>4.6643518518518556E-2</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0D-9635-4692-911C-48EF8CBB889F}"/>
            </c:ext>
          </c:extLst>
        </c:ser>
        <c:ser>
          <c:idx val="14"/>
          <c:order val="14"/>
          <c:tx>
            <c:strRef>
              <c:f>Laufwege!$U$3</c:f>
              <c:strCache>
                <c:ptCount val="1"/>
                <c:pt idx="0">
                  <c:v>x</c:v>
                </c:pt>
              </c:strCache>
            </c:strRef>
          </c:tx>
          <c:spPr>
            <a:no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Laufwege!$U$4:$U$116</c:f>
              <c:numCache>
                <c:formatCode>[$-F400]h:mm:ss\ AM/PM</c:formatCode>
                <c:ptCount val="113"/>
                <c:pt idx="0">
                  <c:v>2.3645833333333366E-2</c:v>
                </c:pt>
                <c:pt idx="1">
                  <c:v>2.9849537037037077E-2</c:v>
                </c:pt>
                <c:pt idx="2">
                  <c:v>2.0162037037037006E-2</c:v>
                </c:pt>
                <c:pt idx="3">
                  <c:v>2.0787037037036993E-2</c:v>
                </c:pt>
                <c:pt idx="4">
                  <c:v>7.0370370370370638E-3</c:v>
                </c:pt>
                <c:pt idx="5">
                  <c:v>3.5185185185185319E-3</c:v>
                </c:pt>
                <c:pt idx="6">
                  <c:v>1.5231481481481457E-2</c:v>
                </c:pt>
                <c:pt idx="7">
                  <c:v>7.418981481481457E-3</c:v>
                </c:pt>
                <c:pt idx="8">
                  <c:v>#N/A</c:v>
                </c:pt>
                <c:pt idx="9">
                  <c:v>#N/A</c:v>
                </c:pt>
                <c:pt idx="10">
                  <c:v>#N/A</c:v>
                </c:pt>
                <c:pt idx="11">
                  <c:v>#N/A</c:v>
                </c:pt>
                <c:pt idx="12">
                  <c:v>#N/A</c:v>
                </c:pt>
                <c:pt idx="13">
                  <c:v>#N/A</c:v>
                </c:pt>
                <c:pt idx="14">
                  <c:v>1.5138888888888924E-2</c:v>
                </c:pt>
                <c:pt idx="15">
                  <c:v>#N/A</c:v>
                </c:pt>
                <c:pt idx="16">
                  <c:v>#N/A</c:v>
                </c:pt>
                <c:pt idx="17">
                  <c:v>#N/A</c:v>
                </c:pt>
                <c:pt idx="18">
                  <c:v>#N/A</c:v>
                </c:pt>
                <c:pt idx="19">
                  <c:v>#N/A</c:v>
                </c:pt>
                <c:pt idx="20">
                  <c:v>#N/A</c:v>
                </c:pt>
                <c:pt idx="21">
                  <c:v>#N/A</c:v>
                </c:pt>
                <c:pt idx="22">
                  <c:v>#N/A</c:v>
                </c:pt>
                <c:pt idx="23">
                  <c:v>#N/A</c:v>
                </c:pt>
                <c:pt idx="24">
                  <c:v>#N/A</c:v>
                </c:pt>
                <c:pt idx="25">
                  <c:v>#N/A</c:v>
                </c:pt>
                <c:pt idx="26">
                  <c:v>#N/A</c:v>
                </c:pt>
                <c:pt idx="27">
                  <c:v>7.5694444444445175E-3</c:v>
                </c:pt>
                <c:pt idx="28">
                  <c:v>1.5231481481481457E-2</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0E-9635-4692-911C-48EF8CBB889F}"/>
            </c:ext>
          </c:extLst>
        </c:ser>
        <c:ser>
          <c:idx val="15"/>
          <c:order val="15"/>
          <c:tx>
            <c:strRef>
              <c:f>Laufwege!$V$3</c:f>
              <c:strCache>
                <c:ptCount val="1"/>
                <c:pt idx="0">
                  <c:v>8</c:v>
                </c:pt>
              </c:strCache>
            </c:strRef>
          </c:tx>
          <c:spPr>
            <a:solidFill>
              <a:schemeClr val="accent4">
                <a:lumMod val="80000"/>
                <a:lumOff val="20000"/>
              </a:schemeClr>
            </a:solid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Laufwege!$V$4:$V$116</c:f>
              <c:numCache>
                <c:formatCode>[$-F400]h:mm:ss\ AM/PM</c:formatCode>
                <c:ptCount val="113"/>
                <c:pt idx="0">
                  <c:v>1.9849537037036957E-2</c:v>
                </c:pt>
                <c:pt idx="1">
                  <c:v>1.6458333333333242E-2</c:v>
                </c:pt>
                <c:pt idx="2">
                  <c:v>1.967592592592593E-2</c:v>
                </c:pt>
                <c:pt idx="3">
                  <c:v>1.6250000000000098E-2</c:v>
                </c:pt>
                <c:pt idx="4">
                  <c:v>3.7951388888888882E-2</c:v>
                </c:pt>
                <c:pt idx="5">
                  <c:v>3.4826388888888893E-2</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0F-9635-4692-911C-48EF8CBB889F}"/>
            </c:ext>
          </c:extLst>
        </c:ser>
        <c:ser>
          <c:idx val="16"/>
          <c:order val="16"/>
          <c:tx>
            <c:strRef>
              <c:f>Laufwege!$W$3</c:f>
              <c:strCache>
                <c:ptCount val="1"/>
                <c:pt idx="0">
                  <c:v>x</c:v>
                </c:pt>
              </c:strCache>
            </c:strRef>
          </c:tx>
          <c:spPr>
            <a:no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Laufwege!$W$4:$W$116</c:f>
              <c:numCache>
                <c:formatCode>[$-F400]h:mm:ss\ AM/PM</c:formatCode>
                <c:ptCount val="113"/>
                <c:pt idx="0">
                  <c:v>2.0162037037037117E-2</c:v>
                </c:pt>
                <c:pt idx="1">
                  <c:v>2.0787037037037104E-2</c:v>
                </c:pt>
                <c:pt idx="2">
                  <c:v>2.3645833333333366E-2</c:v>
                </c:pt>
                <c:pt idx="3">
                  <c:v>2.9837962962962927E-2</c:v>
                </c:pt>
                <c:pt idx="4">
                  <c:v>3.5185185185184764E-3</c:v>
                </c:pt>
                <c:pt idx="5">
                  <c:v>7.0370370370370638E-3</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10-9635-4692-911C-48EF8CBB889F}"/>
            </c:ext>
          </c:extLst>
        </c:ser>
        <c:ser>
          <c:idx val="17"/>
          <c:order val="17"/>
          <c:tx>
            <c:strRef>
              <c:f>Laufwege!$X$3</c:f>
              <c:strCache>
                <c:ptCount val="1"/>
                <c:pt idx="0">
                  <c:v>9</c:v>
                </c:pt>
              </c:strCache>
            </c:strRef>
          </c:tx>
          <c:spPr>
            <a:solidFill>
              <a:schemeClr val="accent6">
                <a:lumMod val="80000"/>
                <a:lumOff val="20000"/>
              </a:schemeClr>
            </a:solid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Laufwege!$X$4:$X$116</c:f>
              <c:numCache>
                <c:formatCode>[$-F400]h:mm:ss\ AM/PM</c:formatCode>
                <c:ptCount val="113"/>
                <c:pt idx="0">
                  <c:v>1.967592592592593E-2</c:v>
                </c:pt>
                <c:pt idx="1">
                  <c:v>1.6249999999999987E-2</c:v>
                </c:pt>
                <c:pt idx="2">
                  <c:v>1.9849537037037068E-2</c:v>
                </c:pt>
                <c:pt idx="3">
                  <c:v>1.6458333333333353E-2</c:v>
                </c:pt>
                <c:pt idx="4">
                  <c:v>3.4826388888888893E-2</c:v>
                </c:pt>
                <c:pt idx="5">
                  <c:v>3.7951388888888826E-2</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11-9635-4692-911C-48EF8CBB889F}"/>
            </c:ext>
          </c:extLst>
        </c:ser>
        <c:ser>
          <c:idx val="18"/>
          <c:order val="18"/>
          <c:tx>
            <c:strRef>
              <c:f>Laufwege!$Y$3</c:f>
              <c:strCache>
                <c:ptCount val="1"/>
                <c:pt idx="0">
                  <c:v>x</c:v>
                </c:pt>
              </c:strCache>
            </c:strRef>
          </c:tx>
          <c:spPr>
            <a:no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Laufwege!$Y$4:$Y$116</c:f>
              <c:numCache>
                <c:formatCode>[$-F400]h:mm:ss\ AM/PM</c:formatCode>
                <c:ptCount val="113"/>
                <c:pt idx="0">
                  <c:v>2.3645833333333255E-2</c:v>
                </c:pt>
                <c:pt idx="1">
                  <c:v>2.9837962962962927E-2</c:v>
                </c:pt>
                <c:pt idx="2">
                  <c:v>2.0162037037037006E-2</c:v>
                </c:pt>
                <c:pt idx="3">
                  <c:v>2.0787037037036993E-2</c:v>
                </c:pt>
                <c:pt idx="4">
                  <c:v>7.0370370370370638E-3</c:v>
                </c:pt>
                <c:pt idx="5">
                  <c:v>3.5185185185185874E-3</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12-9635-4692-911C-48EF8CBB889F}"/>
            </c:ext>
          </c:extLst>
        </c:ser>
        <c:ser>
          <c:idx val="19"/>
          <c:order val="19"/>
          <c:tx>
            <c:strRef>
              <c:f>Laufwege!$Z$3</c:f>
              <c:strCache>
                <c:ptCount val="1"/>
                <c:pt idx="0">
                  <c:v>10</c:v>
                </c:pt>
              </c:strCache>
            </c:strRef>
          </c:tx>
          <c:spPr>
            <a:solidFill>
              <a:schemeClr val="accent2">
                <a:lumMod val="80000"/>
              </a:schemeClr>
            </a:solid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Laufwege!$Z$4:$Z$116</c:f>
              <c:numCache>
                <c:formatCode>[$-F400]h:mm:ss\ AM/PM</c:formatCode>
                <c:ptCount val="11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13-9635-4692-911C-48EF8CBB889F}"/>
            </c:ext>
          </c:extLst>
        </c:ser>
        <c:ser>
          <c:idx val="20"/>
          <c:order val="20"/>
          <c:tx>
            <c:strRef>
              <c:f>Laufwege!$AA$3</c:f>
              <c:strCache>
                <c:ptCount val="1"/>
                <c:pt idx="0">
                  <c:v>x</c:v>
                </c:pt>
              </c:strCache>
            </c:strRef>
          </c:tx>
          <c:spPr>
            <a:solidFill>
              <a:schemeClr val="accent3">
                <a:lumMod val="80000"/>
              </a:schemeClr>
            </a:solid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Laufwege!$AA$4:$AA$116</c:f>
              <c:numCache>
                <c:formatCode>[$-F400]h:mm:ss\ AM/PM</c:formatCode>
                <c:ptCount val="11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14-9635-4692-911C-48EF8CBB889F}"/>
            </c:ext>
          </c:extLst>
        </c:ser>
        <c:ser>
          <c:idx val="21"/>
          <c:order val="21"/>
          <c:tx>
            <c:strRef>
              <c:f>Laufwege!$AB$3</c:f>
              <c:strCache>
                <c:ptCount val="1"/>
                <c:pt idx="0">
                  <c:v>11</c:v>
                </c:pt>
              </c:strCache>
            </c:strRef>
          </c:tx>
          <c:spPr>
            <a:solidFill>
              <a:schemeClr val="accent4">
                <a:lumMod val="80000"/>
              </a:schemeClr>
            </a:solidFill>
            <a:ln>
              <a:noFill/>
            </a:ln>
            <a:effectLst/>
          </c:spPr>
          <c:invertIfNegative val="0"/>
          <c:cat>
            <c:strRef>
              <c:f>Laufwege!$F$4:$F$116</c:f>
              <c:strCache>
                <c:ptCount val="113"/>
                <c:pt idx="0">
                  <c:v>Composition 1 (101-3.0)</c:v>
                </c:pt>
                <c:pt idx="1">
                  <c:v>Composition 2 (462-1.0)</c:v>
                </c:pt>
                <c:pt idx="2">
                  <c:v>Composition 3 (101-3.0)</c:v>
                </c:pt>
                <c:pt idx="3">
                  <c:v>Composition 4 (462-1.0)</c:v>
                </c:pt>
                <c:pt idx="4">
                  <c:v>Composition 5 (146-3.2)</c:v>
                </c:pt>
                <c:pt idx="5">
                  <c:v>Composition 6 (146-3.2)</c:v>
                </c:pt>
                <c:pt idx="6">
                  <c:v>Composition 7 (101-3.0)</c:v>
                </c:pt>
                <c:pt idx="7">
                  <c:v>Composition 8 (101-3.0)</c:v>
                </c:pt>
                <c:pt idx="8">
                  <c:v>Composition 9 (146-3.2)</c:v>
                </c:pt>
                <c:pt idx="9">
                  <c:v>Composition 10 (101-3.0)</c:v>
                </c:pt>
                <c:pt idx="10">
                  <c:v>Composition 11 (146-3.2)</c:v>
                </c:pt>
                <c:pt idx="11">
                  <c:v>Composition 12 (101-3.0)</c:v>
                </c:pt>
                <c:pt idx="12">
                  <c:v>Composition 13 (146-3.2)</c:v>
                </c:pt>
                <c:pt idx="13">
                  <c:v>Composition 14 (146-3.2)</c:v>
                </c:pt>
                <c:pt idx="14">
                  <c:v>Composition 15 (101-3.0)</c:v>
                </c:pt>
                <c:pt idx="15">
                  <c:v>Composition 16 (146-3.2)</c:v>
                </c:pt>
                <c:pt idx="16">
                  <c:v>Composition 17 (146-3.2)</c:v>
                </c:pt>
                <c:pt idx="17">
                  <c:v>Composition 18 (146-3.2)</c:v>
                </c:pt>
                <c:pt idx="18">
                  <c:v>Composition 19 (146-3.2)</c:v>
                </c:pt>
                <c:pt idx="19">
                  <c:v>Composition 20 (462-1.0)</c:v>
                </c:pt>
                <c:pt idx="20">
                  <c:v>Composition 21 (101-3.0)</c:v>
                </c:pt>
                <c:pt idx="21">
                  <c:v>Composition 22 (101-3.0)</c:v>
                </c:pt>
                <c:pt idx="22">
                  <c:v>Composition 23 (462-1.0)</c:v>
                </c:pt>
                <c:pt idx="23">
                  <c:v>Composition 24 (462-1.0)</c:v>
                </c:pt>
                <c:pt idx="24">
                  <c:v>Composition 25 (146-3.2)</c:v>
                </c:pt>
                <c:pt idx="25">
                  <c:v>Composition 26 (146-3.2)</c:v>
                </c:pt>
                <c:pt idx="26">
                  <c:v>Composition 27 (146-3.2)</c:v>
                </c:pt>
                <c:pt idx="27">
                  <c:v>Composition 28 (101-3.0)</c:v>
                </c:pt>
                <c:pt idx="28">
                  <c:v>Composition 29 (101-3.0)</c:v>
                </c:pt>
                <c:pt idx="29">
                  <c:v>Composition 30 (146-3.2)</c:v>
                </c:pt>
                <c:pt idx="30">
                  <c:v>Composition 31 (462-1.0)</c:v>
                </c:pt>
                <c:pt idx="31">
                  <c:v>Composition 32 (146-3.2)</c:v>
                </c:pt>
                <c:pt idx="32">
                  <c:v>Composition 33 (101-3.0)</c:v>
                </c:pt>
                <c:pt idx="33">
                  <c:v>Composition 34 (146-3.2)</c:v>
                </c:pt>
                <c:pt idx="34">
                  <c:v>Composition 35 (146-3.2)</c:v>
                </c:pt>
                <c:pt idx="35">
                  <c:v>Composition 36 (462-1.0)</c:v>
                </c:pt>
                <c:pt idx="36">
                  <c:v>Composition 37 (101-3.0)</c:v>
                </c:pt>
                <c:pt idx="37">
                  <c:v>Composition 38 (146-3.2)</c:v>
                </c:pt>
                <c:pt idx="38">
                  <c:v>Composition 39 (462-1.0)</c:v>
                </c:pt>
                <c:pt idx="39">
                  <c:v>Composition 40 (146-3.2)</c:v>
                </c:pt>
                <c:pt idx="40">
                  <c:v>Composition 41 (146-3.2)</c:v>
                </c:pt>
                <c:pt idx="41">
                  <c:v>Composition 42 (462-1.0)</c:v>
                </c:pt>
                <c:pt idx="42">
                  <c:v>Composition 43 (146-3.2)</c:v>
                </c:pt>
                <c:pt idx="43">
                  <c:v>Composition 44 (462-1.0)</c:v>
                </c:pt>
                <c:pt idx="44">
                  <c:v>Composition 45 (462-1.0)</c:v>
                </c:pt>
                <c:pt idx="45">
                  <c:v>Composition 46 (146-3.2)</c:v>
                </c:pt>
                <c:pt idx="46">
                  <c:v>Composition 47 (146-3.2)</c:v>
                </c:pt>
                <c:pt idx="47">
                  <c:v>Composition 48 (462-1.0)</c:v>
                </c:pt>
                <c:pt idx="48">
                  <c:v>Composition 49 (462-1.0)</c:v>
                </c:pt>
                <c:pt idx="49">
                  <c:v>Composition 50 (462-1.0)</c:v>
                </c:pt>
                <c:pt idx="50">
                  <c:v>Composition 51 (462-1.0)</c:v>
                </c:pt>
                <c:pt idx="51">
                  <c:v>Composition 52 (462-1.0)</c:v>
                </c:pt>
                <c:pt idx="52">
                  <c:v>Composition 53 (462-1.0)</c:v>
                </c:pt>
                <c:pt idx="53">
                  <c:v>Composition 54 (462-1.0)</c:v>
                </c:pt>
                <c:pt idx="54">
                  <c:v>Composition 55 (462-1.0)</c:v>
                </c:pt>
                <c:pt idx="55">
                  <c:v>Composition 56 (146-3.2)</c:v>
                </c:pt>
                <c:pt idx="56">
                  <c:v>Composition 57 (462-1.0)</c:v>
                </c:pt>
                <c:pt idx="57">
                  <c:v>Composition 58 (146-3.2)</c:v>
                </c:pt>
                <c:pt idx="58">
                  <c:v>Composition 59 (146-3.2)</c:v>
                </c:pt>
                <c:pt idx="59">
                  <c:v>Composition 60 (462-1.0)</c:v>
                </c:pt>
                <c:pt idx="60">
                  <c:v>Composition 61 (462-1.0)</c:v>
                </c:pt>
                <c:pt idx="61">
                  <c:v>Composition 62 (462-1.0)</c:v>
                </c:pt>
                <c:pt idx="62">
                  <c:v>Composition 63 (462-1.0)</c:v>
                </c:pt>
                <c:pt idx="63">
                  <c:v>Composition 64 (146-3.2)</c:v>
                </c:pt>
                <c:pt idx="64">
                  <c:v>Composition 65 (462-1.0)</c:v>
                </c:pt>
                <c:pt idx="65">
                  <c:v>Composition 66 (462-1.0)</c:v>
                </c:pt>
                <c:pt idx="66">
                  <c:v>Composition 67 (462-1.0)</c:v>
                </c:pt>
                <c:pt idx="67">
                  <c:v>Composition 68 (462-1.0)</c:v>
                </c:pt>
                <c:pt idx="68">
                  <c:v>Composition 69 (462-1.0)</c:v>
                </c:pt>
                <c:pt idx="69">
                  <c:v>Composition 70 (462-1.0)</c:v>
                </c:pt>
                <c:pt idx="70">
                  <c:v>Composition 71 (146-3.2)</c:v>
                </c:pt>
                <c:pt idx="71">
                  <c:v>Composition 72 (462-1.0)</c:v>
                </c:pt>
                <c:pt idx="72">
                  <c:v>Composition 73 (146-3.2)</c:v>
                </c:pt>
                <c:pt idx="73">
                  <c:v>Composition 74 (462-1.0)</c:v>
                </c:pt>
                <c:pt idx="74">
                  <c:v>Composition 75 (462-1.0)</c:v>
                </c:pt>
                <c:pt idx="75">
                  <c:v>Composition 76 (462-1.0)</c:v>
                </c:pt>
                <c:pt idx="76">
                  <c:v>Composition 77 (146-3.2)</c:v>
                </c:pt>
                <c:pt idx="77">
                  <c:v>Composition 78 (462-1.0)</c:v>
                </c:pt>
                <c:pt idx="78">
                  <c:v>Composition 79 (462-1.0)</c:v>
                </c:pt>
                <c:pt idx="79">
                  <c:v>Composition 80 (462-1.0)</c:v>
                </c:pt>
                <c:pt idx="80">
                  <c:v>Composition 81 (462-1.0)</c:v>
                </c:pt>
                <c:pt idx="81">
                  <c:v>Composition 82 (462-1.0)</c:v>
                </c:pt>
                <c:pt idx="82">
                  <c:v>Composition 83 (462-1.0)</c:v>
                </c:pt>
                <c:pt idx="83">
                  <c:v>Composition 84 (462-1.0)</c:v>
                </c:pt>
                <c:pt idx="84">
                  <c:v>Composition 85 (462-1.0)</c:v>
                </c:pt>
                <c:pt idx="85">
                  <c:v>Composition 86 (146-3.2)</c:v>
                </c:pt>
                <c:pt idx="86">
                  <c:v>Composition 87 (462-1.0)</c:v>
                </c:pt>
                <c:pt idx="87">
                  <c:v>Composition 88 (462-1.0)</c:v>
                </c:pt>
                <c:pt idx="88">
                  <c:v>Composition 89 (462-1.0)</c:v>
                </c:pt>
                <c:pt idx="89">
                  <c:v>Composition 90 (462-1.0)</c:v>
                </c:pt>
                <c:pt idx="90">
                  <c:v>Composition 91 (462-1.0)</c:v>
                </c:pt>
                <c:pt idx="91">
                  <c:v>Composition 92 (462-1.0)</c:v>
                </c:pt>
                <c:pt idx="92">
                  <c:v>Composition 93 (462-1.0)</c:v>
                </c:pt>
                <c:pt idx="93">
                  <c:v>Composition 94 (462-1.0)</c:v>
                </c:pt>
                <c:pt idx="94">
                  <c:v>Composition 95 (462-1.0)</c:v>
                </c:pt>
                <c:pt idx="95">
                  <c:v>Composition 96 (462-1.0)</c:v>
                </c:pt>
                <c:pt idx="96">
                  <c:v>Composition 97 (462-1.0)</c:v>
                </c:pt>
                <c:pt idx="97">
                  <c:v>Composition 98 (462-1.0)</c:v>
                </c:pt>
                <c:pt idx="98">
                  <c:v>Composition 99 (462-1.0)</c:v>
                </c:pt>
                <c:pt idx="99">
                  <c:v>Composition 100 (462-1.0)</c:v>
                </c:pt>
                <c:pt idx="100">
                  <c:v>Composition 101 (462-1.0)</c:v>
                </c:pt>
                <c:pt idx="101">
                  <c:v>Composition 102 (462-1.0)</c:v>
                </c:pt>
                <c:pt idx="102">
                  <c:v>Composition 103 (462-1.0)</c:v>
                </c:pt>
                <c:pt idx="103">
                  <c:v>Composition 104 (462-1.0)</c:v>
                </c:pt>
                <c:pt idx="104">
                  <c:v>Composition 105 (146-3.2)</c:v>
                </c:pt>
                <c:pt idx="105">
                  <c:v>Composition 106 (462-1.0)</c:v>
                </c:pt>
                <c:pt idx="106">
                  <c:v>Composition 107 (462-1.0)</c:v>
                </c:pt>
                <c:pt idx="107">
                  <c:v>Composition 108 (462-1.0)</c:v>
                </c:pt>
                <c:pt idx="108">
                  <c:v>Composition 109 (462-1.0)</c:v>
                </c:pt>
                <c:pt idx="109">
                  <c:v>Composition 110 (462-1.0)</c:v>
                </c:pt>
                <c:pt idx="110">
                  <c:v>Composition 111 (462-1.0)</c:v>
                </c:pt>
                <c:pt idx="111">
                  <c:v>Composition 112 (462-1.0)</c:v>
                </c:pt>
                <c:pt idx="112">
                  <c:v>Composition 113 (146-3.2)</c:v>
                </c:pt>
              </c:strCache>
            </c:strRef>
          </c:cat>
          <c:val>
            <c:numRef>
              <c:f>Laufwege!$AB$4:$AB$116</c:f>
              <c:numCache>
                <c:formatCode>[$-F400]h:mm:ss\ AM/PM</c:formatCode>
                <c:ptCount val="11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val>
          <c:extLst>
            <c:ext xmlns:c16="http://schemas.microsoft.com/office/drawing/2014/chart" uri="{C3380CC4-5D6E-409C-BE32-E72D297353CC}">
              <c16:uniqueId val="{00000015-9635-4692-911C-48EF8CBB889F}"/>
            </c:ext>
          </c:extLst>
        </c:ser>
        <c:dLbls>
          <c:showLegendKey val="0"/>
          <c:showVal val="0"/>
          <c:showCatName val="0"/>
          <c:showSerName val="0"/>
          <c:showPercent val="0"/>
          <c:showBubbleSize val="0"/>
        </c:dLbls>
        <c:gapWidth val="150"/>
        <c:overlap val="100"/>
        <c:axId val="177914176"/>
        <c:axId val="177910336"/>
      </c:barChart>
      <c:catAx>
        <c:axId val="17791417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7910336"/>
        <c:crosses val="autoZero"/>
        <c:auto val="1"/>
        <c:lblAlgn val="ctr"/>
        <c:lblOffset val="100"/>
        <c:noMultiLvlLbl val="0"/>
      </c:catAx>
      <c:valAx>
        <c:axId val="177910336"/>
        <c:scaling>
          <c:orientation val="minMax"/>
        </c:scaling>
        <c:delete val="0"/>
        <c:axPos val="t"/>
        <c:majorGridlines>
          <c:spPr>
            <a:ln w="9525" cap="flat" cmpd="sng" algn="ctr">
              <a:solidFill>
                <a:schemeClr val="tx1">
                  <a:lumMod val="15000"/>
                  <a:lumOff val="85000"/>
                </a:schemeClr>
              </a:solidFill>
              <a:round/>
            </a:ln>
            <a:effectLst/>
          </c:spPr>
        </c:majorGridlines>
        <c:numFmt formatCode="[$-F400]h:mm:ss\ AM/PM"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7914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347090</xdr:colOff>
      <xdr:row>5</xdr:row>
      <xdr:rowOff>7965</xdr:rowOff>
    </xdr:from>
    <xdr:to>
      <xdr:col>24</xdr:col>
      <xdr:colOff>304745</xdr:colOff>
      <xdr:row>110</xdr:row>
      <xdr:rowOff>92915</xdr:rowOff>
    </xdr:to>
    <xdr:graphicFrame macro="">
      <xdr:nvGraphicFramePr>
        <xdr:cNvPr id="4" name="Diagramm 3">
          <a:extLst>
            <a:ext uri="{FF2B5EF4-FFF2-40B4-BE49-F238E27FC236}">
              <a16:creationId xmlns:a16="http://schemas.microsoft.com/office/drawing/2014/main" id="{2713F431-E11B-C175-9F76-2E58A63BCC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1933575</xdr:colOff>
      <xdr:row>5</xdr:row>
      <xdr:rowOff>95250</xdr:rowOff>
    </xdr:from>
    <xdr:to>
      <xdr:col>1</xdr:col>
      <xdr:colOff>552450</xdr:colOff>
      <xdr:row>10</xdr:row>
      <xdr:rowOff>9525</xdr:rowOff>
    </xdr:to>
    <xdr:sp macro="[0]!Rechnen" textlink="">
      <xdr:nvSpPr>
        <xdr:cNvPr id="2" name="Rechteck: abgerundete Ecken 1">
          <a:extLst>
            <a:ext uri="{FF2B5EF4-FFF2-40B4-BE49-F238E27FC236}">
              <a16:creationId xmlns:a16="http://schemas.microsoft.com/office/drawing/2014/main" id="{1C19E3B0-B07D-1BDF-07D0-D882DF9F29D8}"/>
            </a:ext>
          </a:extLst>
        </xdr:cNvPr>
        <xdr:cNvSpPr/>
      </xdr:nvSpPr>
      <xdr:spPr>
        <a:xfrm>
          <a:off x="1933575" y="904875"/>
          <a:ext cx="1409700" cy="723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Berechnen</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58F25-7C6B-47D9-997F-D52B67CF2AA9}">
  <sheetPr codeName="Tabelle7"/>
  <dimension ref="A1:Y28"/>
  <sheetViews>
    <sheetView showGridLines="0" tabSelected="1" topLeftCell="A23" zoomScale="95" zoomScaleNormal="95" workbookViewId="0">
      <selection activeCell="B9" sqref="B9:J9"/>
    </sheetView>
  </sheetViews>
  <sheetFormatPr baseColWidth="10" defaultColWidth="11.42578125" defaultRowHeight="14.25" x14ac:dyDescent="0.2"/>
  <cols>
    <col min="1" max="1" width="11.42578125" style="25"/>
    <col min="10" max="10" width="32.5703125" customWidth="1"/>
    <col min="11" max="11" width="15.5703125" customWidth="1"/>
    <col min="12" max="12" width="19" customWidth="1"/>
    <col min="13" max="13" width="4.28515625" customWidth="1"/>
    <col min="15" max="15" width="28.7109375" customWidth="1"/>
    <col min="16" max="16" width="78.42578125" customWidth="1"/>
  </cols>
  <sheetData>
    <row r="1" spans="1:15" ht="15" x14ac:dyDescent="0.25">
      <c r="B1" s="22" t="s">
        <v>0</v>
      </c>
      <c r="C1" s="23"/>
      <c r="D1" s="23"/>
      <c r="E1" s="23"/>
      <c r="F1" s="23"/>
      <c r="G1" s="23"/>
      <c r="H1" s="23"/>
      <c r="I1" s="23"/>
      <c r="J1" s="23"/>
      <c r="L1" s="7"/>
    </row>
    <row r="2" spans="1:15" ht="48.75" customHeight="1" x14ac:dyDescent="0.2">
      <c r="B2" s="76" t="s">
        <v>2558</v>
      </c>
      <c r="C2" s="76"/>
      <c r="D2" s="76"/>
      <c r="E2" s="76"/>
      <c r="F2" s="76"/>
      <c r="G2" s="76"/>
      <c r="H2" s="76"/>
      <c r="I2" s="76"/>
      <c r="J2" s="76"/>
      <c r="L2" s="23"/>
    </row>
    <row r="3" spans="1:15" x14ac:dyDescent="0.2">
      <c r="A3" s="25" t="s">
        <v>1</v>
      </c>
      <c r="B3" s="23"/>
      <c r="C3" s="23"/>
      <c r="D3" s="23"/>
      <c r="E3" s="23"/>
      <c r="F3" s="23"/>
      <c r="G3" s="23"/>
      <c r="H3" s="23"/>
      <c r="I3" s="23"/>
      <c r="J3" s="23"/>
    </row>
    <row r="4" spans="1:15" x14ac:dyDescent="0.2">
      <c r="A4" s="27">
        <v>1</v>
      </c>
      <c r="B4" s="77" t="s">
        <v>2</v>
      </c>
      <c r="C4" s="77"/>
      <c r="D4" s="77"/>
      <c r="E4" s="77"/>
      <c r="F4" s="77"/>
      <c r="G4" s="77"/>
      <c r="H4" s="77"/>
      <c r="I4" s="77"/>
      <c r="J4" s="77"/>
    </row>
    <row r="5" spans="1:15" x14ac:dyDescent="0.2">
      <c r="A5" s="27"/>
      <c r="B5" s="20"/>
      <c r="C5" s="20"/>
      <c r="D5" s="20"/>
      <c r="E5" s="20"/>
      <c r="F5" s="20"/>
      <c r="G5" s="20"/>
      <c r="H5" s="20"/>
      <c r="I5" s="20"/>
      <c r="J5" s="20"/>
    </row>
    <row r="6" spans="1:15" x14ac:dyDescent="0.2">
      <c r="A6" s="27"/>
      <c r="B6" s="77" t="s">
        <v>2557</v>
      </c>
      <c r="C6" s="77"/>
      <c r="D6" s="77"/>
      <c r="E6" s="77"/>
      <c r="F6" s="77"/>
      <c r="G6" s="77"/>
      <c r="H6" s="77"/>
      <c r="I6" s="77"/>
      <c r="J6" s="77"/>
    </row>
    <row r="7" spans="1:15" ht="52.5" customHeight="1" x14ac:dyDescent="0.2">
      <c r="A7" s="26" t="s">
        <v>3</v>
      </c>
      <c r="B7" s="76" t="s">
        <v>2559</v>
      </c>
      <c r="C7" s="76"/>
      <c r="D7" s="76"/>
      <c r="E7" s="76"/>
      <c r="F7" s="76"/>
      <c r="G7" s="76"/>
      <c r="H7" s="76"/>
      <c r="I7" s="76"/>
      <c r="J7" s="76"/>
    </row>
    <row r="8" spans="1:15" ht="12" customHeight="1" x14ac:dyDescent="0.2">
      <c r="A8" s="27"/>
      <c r="B8" s="24"/>
      <c r="C8" s="24"/>
      <c r="D8" s="24"/>
      <c r="E8" s="24"/>
      <c r="F8" s="24"/>
      <c r="G8" s="24"/>
      <c r="H8" s="24"/>
      <c r="I8" s="24"/>
      <c r="J8" s="24"/>
    </row>
    <row r="9" spans="1:15" ht="63" customHeight="1" x14ac:dyDescent="0.2">
      <c r="A9" s="26" t="s">
        <v>4</v>
      </c>
      <c r="B9" s="76" t="s">
        <v>2556</v>
      </c>
      <c r="C9" s="76"/>
      <c r="D9" s="76"/>
      <c r="E9" s="76"/>
      <c r="F9" s="76"/>
      <c r="G9" s="76"/>
      <c r="H9" s="76"/>
      <c r="I9" s="76"/>
      <c r="J9" s="76"/>
    </row>
    <row r="10" spans="1:15" ht="30" customHeight="1" x14ac:dyDescent="0.2">
      <c r="A10" s="26"/>
      <c r="B10" s="76" t="s">
        <v>5</v>
      </c>
      <c r="C10" s="76"/>
      <c r="D10" s="76"/>
      <c r="E10" s="76"/>
      <c r="F10" s="76"/>
      <c r="G10" s="76"/>
      <c r="H10" s="76"/>
      <c r="I10" s="76"/>
      <c r="J10" s="76"/>
    </row>
    <row r="11" spans="1:15" ht="48.75" customHeight="1" x14ac:dyDescent="0.2">
      <c r="A11" s="27"/>
      <c r="B11" s="78" t="s">
        <v>6</v>
      </c>
      <c r="C11" s="76"/>
      <c r="D11" s="76"/>
      <c r="E11" s="76"/>
      <c r="F11" s="76"/>
      <c r="G11" s="76"/>
      <c r="H11" s="76"/>
      <c r="I11" s="76"/>
      <c r="J11" s="76"/>
    </row>
    <row r="12" spans="1:15" ht="15" x14ac:dyDescent="0.2">
      <c r="A12" s="27"/>
      <c r="B12" s="77" t="s">
        <v>7</v>
      </c>
      <c r="C12" s="77"/>
      <c r="D12" s="77"/>
      <c r="E12" s="77"/>
      <c r="F12" s="77"/>
      <c r="G12" s="77"/>
      <c r="H12" s="77"/>
      <c r="I12" s="77"/>
      <c r="J12" s="77"/>
    </row>
    <row r="13" spans="1:15" ht="19.5" customHeight="1" x14ac:dyDescent="0.2">
      <c r="A13" s="27"/>
      <c r="B13" s="74"/>
      <c r="C13" s="74"/>
      <c r="D13" s="74"/>
      <c r="E13" s="74"/>
      <c r="F13" s="74"/>
      <c r="G13" s="74"/>
      <c r="H13" s="74"/>
      <c r="I13" s="74"/>
      <c r="J13" s="74"/>
    </row>
    <row r="14" spans="1:15" ht="66.75" customHeight="1" x14ac:dyDescent="0.2">
      <c r="A14" s="27">
        <v>2</v>
      </c>
      <c r="B14" s="76" t="s">
        <v>2560</v>
      </c>
      <c r="C14" s="76"/>
      <c r="D14" s="76"/>
      <c r="E14" s="76"/>
      <c r="F14" s="76"/>
      <c r="G14" s="76"/>
      <c r="H14" s="76"/>
      <c r="I14" s="76"/>
      <c r="J14" s="76"/>
      <c r="O14" s="1" t="s">
        <v>2567</v>
      </c>
    </row>
    <row r="15" spans="1:15" x14ac:dyDescent="0.2">
      <c r="A15" s="27">
        <v>3</v>
      </c>
      <c r="B15" s="76" t="s">
        <v>2561</v>
      </c>
      <c r="C15" s="76"/>
      <c r="D15" s="76"/>
      <c r="E15" s="76"/>
      <c r="F15" s="76"/>
      <c r="G15" s="76"/>
      <c r="H15" s="76"/>
      <c r="I15" s="76"/>
      <c r="J15" s="76"/>
    </row>
    <row r="16" spans="1:15" hidden="1" x14ac:dyDescent="0.2">
      <c r="A16" s="27"/>
      <c r="B16" s="76"/>
      <c r="C16" s="76"/>
      <c r="D16" s="76"/>
      <c r="E16" s="76"/>
      <c r="F16" s="76"/>
      <c r="G16" s="76"/>
      <c r="H16" s="76"/>
      <c r="I16" s="76"/>
      <c r="J16" s="76"/>
    </row>
    <row r="17" spans="1:25" ht="37.5" customHeight="1" x14ac:dyDescent="0.2">
      <c r="A17" s="27"/>
      <c r="B17" s="76"/>
      <c r="C17" s="76"/>
      <c r="D17" s="76"/>
      <c r="E17" s="76"/>
      <c r="F17" s="76"/>
      <c r="G17" s="76"/>
      <c r="H17" s="76"/>
      <c r="I17" s="76"/>
      <c r="J17" s="76"/>
      <c r="O17" s="1" t="s">
        <v>2568</v>
      </c>
    </row>
    <row r="18" spans="1:25" ht="37.5" customHeight="1" x14ac:dyDescent="0.2">
      <c r="A18" s="27"/>
      <c r="B18" s="76" t="s">
        <v>2562</v>
      </c>
      <c r="C18" s="76"/>
      <c r="D18" s="76"/>
      <c r="E18" s="76"/>
      <c r="F18" s="76"/>
      <c r="G18" s="76"/>
      <c r="H18" s="76"/>
      <c r="I18" s="76"/>
      <c r="J18" s="76"/>
      <c r="O18" s="1" t="s">
        <v>2569</v>
      </c>
    </row>
    <row r="19" spans="1:25" ht="30" customHeight="1" x14ac:dyDescent="0.2">
      <c r="A19" s="27">
        <v>4</v>
      </c>
      <c r="B19" s="76" t="s">
        <v>2563</v>
      </c>
      <c r="C19" s="76"/>
      <c r="D19" s="76"/>
      <c r="E19" s="76"/>
      <c r="F19" s="76"/>
      <c r="G19" s="76"/>
      <c r="H19" s="76"/>
      <c r="I19" s="76"/>
      <c r="J19" s="76"/>
      <c r="L19" s="1" t="s">
        <v>8</v>
      </c>
      <c r="M19" s="1"/>
      <c r="N19" s="1"/>
      <c r="O19" s="1" t="s">
        <v>2570</v>
      </c>
    </row>
    <row r="20" spans="1:25" ht="72" customHeight="1" x14ac:dyDescent="0.2">
      <c r="A20" s="27"/>
      <c r="B20" s="76" t="s">
        <v>2566</v>
      </c>
      <c r="C20" s="76"/>
      <c r="D20" s="76"/>
      <c r="E20" s="76"/>
      <c r="F20" s="76"/>
      <c r="G20" s="76"/>
      <c r="H20" s="76"/>
      <c r="I20" s="76"/>
      <c r="J20" s="76"/>
      <c r="L20" s="1" t="s">
        <v>9</v>
      </c>
      <c r="M20" s="19" t="s">
        <v>10</v>
      </c>
      <c r="N20" s="1" t="s">
        <v>11</v>
      </c>
    </row>
    <row r="21" spans="1:25" ht="30.75" customHeight="1" x14ac:dyDescent="0.2">
      <c r="A21" s="27"/>
      <c r="B21" s="76" t="s">
        <v>2564</v>
      </c>
      <c r="C21" s="76"/>
      <c r="D21" s="76"/>
      <c r="E21" s="76"/>
      <c r="F21" s="76"/>
      <c r="G21" s="76"/>
      <c r="H21" s="76"/>
      <c r="I21" s="76"/>
      <c r="J21" s="76"/>
      <c r="L21" s="1"/>
      <c r="M21" s="29" t="s">
        <v>12</v>
      </c>
      <c r="N21" s="28" t="s">
        <v>13</v>
      </c>
      <c r="O21" s="30" t="s">
        <v>14</v>
      </c>
      <c r="P21" s="1"/>
      <c r="Q21" s="1"/>
      <c r="R21" s="1"/>
      <c r="S21" s="1"/>
      <c r="T21" s="1"/>
      <c r="U21" s="1"/>
      <c r="V21" s="1"/>
      <c r="W21" s="1"/>
      <c r="X21" s="1"/>
      <c r="Y21" s="1"/>
    </row>
    <row r="22" spans="1:25" ht="16.5" customHeight="1" x14ac:dyDescent="0.2">
      <c r="B22" s="23"/>
      <c r="C22" s="23"/>
      <c r="D22" s="23"/>
      <c r="E22" s="23"/>
      <c r="F22" s="23"/>
      <c r="G22" s="23"/>
      <c r="H22" s="23"/>
      <c r="I22" s="23"/>
      <c r="J22" s="23"/>
      <c r="L22" s="1"/>
      <c r="M22" s="19" t="s">
        <v>15</v>
      </c>
      <c r="N22" s="1" t="s">
        <v>16</v>
      </c>
      <c r="O22" s="1"/>
      <c r="P22" s="1"/>
      <c r="Q22" s="1"/>
      <c r="R22" s="1"/>
      <c r="S22" s="1"/>
      <c r="T22" s="1"/>
      <c r="U22" s="1"/>
      <c r="V22" s="1"/>
      <c r="W22" s="1"/>
      <c r="X22" s="1"/>
      <c r="Y22" s="1"/>
    </row>
    <row r="23" spans="1:25" ht="38.25" customHeight="1" x14ac:dyDescent="0.2">
      <c r="A23" s="27">
        <v>5</v>
      </c>
      <c r="B23" s="76" t="s">
        <v>2565</v>
      </c>
      <c r="C23" s="76"/>
      <c r="D23" s="76"/>
      <c r="E23" s="76"/>
      <c r="F23" s="76"/>
      <c r="G23" s="76"/>
      <c r="H23" s="76"/>
      <c r="I23" s="76"/>
      <c r="J23" s="76"/>
      <c r="L23" s="1"/>
      <c r="M23" s="1"/>
      <c r="N23" s="1"/>
      <c r="O23" s="75"/>
      <c r="P23" s="75"/>
      <c r="Q23" s="75"/>
      <c r="R23" s="75"/>
      <c r="S23" s="75"/>
      <c r="T23" s="75"/>
      <c r="U23" s="75"/>
      <c r="V23" s="75"/>
      <c r="W23" s="75"/>
      <c r="X23" s="1"/>
      <c r="Y23" s="1"/>
    </row>
    <row r="24" spans="1:25" ht="52.5" customHeight="1" x14ac:dyDescent="0.2">
      <c r="B24" s="76"/>
      <c r="C24" s="76"/>
      <c r="D24" s="76"/>
      <c r="E24" s="76"/>
      <c r="F24" s="76"/>
      <c r="G24" s="76"/>
      <c r="H24" s="76"/>
      <c r="I24" s="76"/>
      <c r="J24" s="76"/>
      <c r="L24" s="1" t="s">
        <v>17</v>
      </c>
      <c r="M24" s="1" t="s">
        <v>18</v>
      </c>
      <c r="N24" s="1" t="s">
        <v>11</v>
      </c>
      <c r="O24" s="1"/>
      <c r="P24" s="1"/>
      <c r="Q24" s="1"/>
      <c r="R24" s="1"/>
      <c r="S24" s="1"/>
      <c r="T24" s="1"/>
      <c r="U24" s="1"/>
      <c r="V24" s="1"/>
      <c r="W24" s="1"/>
      <c r="X24" s="1"/>
      <c r="Y24" s="1"/>
    </row>
    <row r="25" spans="1:25" ht="34.5" customHeight="1" x14ac:dyDescent="0.2">
      <c r="B25" s="76"/>
      <c r="C25" s="76"/>
      <c r="D25" s="76"/>
      <c r="E25" s="76"/>
      <c r="F25" s="76"/>
      <c r="G25" s="76"/>
      <c r="H25" s="76"/>
      <c r="I25" s="76"/>
      <c r="J25" s="76"/>
      <c r="L25" s="1"/>
      <c r="M25" s="1" t="s">
        <v>12</v>
      </c>
      <c r="N25" s="1" t="s">
        <v>19</v>
      </c>
      <c r="O25" s="1"/>
      <c r="P25" s="1"/>
      <c r="Q25" s="1"/>
      <c r="R25" s="1"/>
      <c r="S25" s="1"/>
      <c r="T25" s="1"/>
      <c r="U25" s="1"/>
      <c r="V25" s="1"/>
      <c r="W25" s="1"/>
      <c r="X25" s="1"/>
      <c r="Y25" s="1"/>
    </row>
    <row r="26" spans="1:25" ht="29.25" customHeight="1" x14ac:dyDescent="0.2">
      <c r="B26" s="23"/>
      <c r="C26" s="23"/>
      <c r="D26" s="23"/>
      <c r="E26" s="23"/>
      <c r="F26" s="23"/>
      <c r="G26" s="23"/>
      <c r="H26" s="23"/>
      <c r="I26" s="23"/>
      <c r="J26" s="23"/>
      <c r="L26" s="1"/>
      <c r="M26" s="28" t="s">
        <v>20</v>
      </c>
      <c r="N26" s="28" t="s">
        <v>21</v>
      </c>
      <c r="O26" s="1"/>
      <c r="P26" s="36" t="s">
        <v>22</v>
      </c>
      <c r="Q26" s="75"/>
      <c r="R26" s="75"/>
      <c r="S26" s="75"/>
      <c r="T26" s="75"/>
      <c r="U26" s="75"/>
      <c r="V26" s="75"/>
      <c r="W26" s="75"/>
      <c r="X26" s="75"/>
      <c r="Y26" s="75"/>
    </row>
    <row r="27" spans="1:25" x14ac:dyDescent="0.2">
      <c r="L27" s="1"/>
      <c r="M27" s="1" t="s">
        <v>23</v>
      </c>
      <c r="N27" s="1" t="s">
        <v>24</v>
      </c>
      <c r="O27" s="1"/>
      <c r="P27" s="1"/>
    </row>
    <row r="28" spans="1:25" x14ac:dyDescent="0.2">
      <c r="P28" s="1"/>
      <c r="Q28" s="1"/>
      <c r="R28" s="1"/>
      <c r="S28" s="1"/>
      <c r="T28" s="1"/>
      <c r="U28" s="1"/>
      <c r="V28" s="1"/>
      <c r="W28" s="1"/>
      <c r="X28" s="1"/>
      <c r="Y28" s="1"/>
    </row>
  </sheetData>
  <mergeCells count="17">
    <mergeCell ref="B20:J20"/>
    <mergeCell ref="B23:J25"/>
    <mergeCell ref="Q26:Y26"/>
    <mergeCell ref="O23:W23"/>
    <mergeCell ref="B2:J2"/>
    <mergeCell ref="B4:J4"/>
    <mergeCell ref="B6:J6"/>
    <mergeCell ref="B12:J12"/>
    <mergeCell ref="B7:J7"/>
    <mergeCell ref="B9:J9"/>
    <mergeCell ref="B11:J11"/>
    <mergeCell ref="B19:J19"/>
    <mergeCell ref="B14:J14"/>
    <mergeCell ref="B21:J21"/>
    <mergeCell ref="B10:J10"/>
    <mergeCell ref="B15:J17"/>
    <mergeCell ref="B18:J18"/>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1610-4E6B-477C-94E8-A1B992B06CAA}">
  <sheetPr codeName="Tabelle8"/>
  <dimension ref="A2:D15"/>
  <sheetViews>
    <sheetView workbookViewId="0">
      <selection activeCell="F21" sqref="F21"/>
    </sheetView>
  </sheetViews>
  <sheetFormatPr baseColWidth="10" defaultColWidth="10.85546875" defaultRowHeight="12.75" x14ac:dyDescent="0.2"/>
  <cols>
    <col min="1" max="1" width="14.7109375" style="55" customWidth="1"/>
    <col min="2" max="3" width="19.7109375" style="55" customWidth="1"/>
    <col min="4" max="16384" width="10.85546875" style="55"/>
  </cols>
  <sheetData>
    <row r="2" spans="1:4" x14ac:dyDescent="0.2">
      <c r="A2" s="57">
        <f>COUNTA(A4:A1048576)</f>
        <v>11</v>
      </c>
    </row>
    <row r="3" spans="1:4" x14ac:dyDescent="0.2">
      <c r="A3" s="58" t="s">
        <v>25</v>
      </c>
      <c r="B3" s="58" t="s">
        <v>26</v>
      </c>
      <c r="C3" s="58" t="s">
        <v>27</v>
      </c>
      <c r="D3" s="58" t="s">
        <v>28</v>
      </c>
    </row>
    <row r="4" spans="1:4" x14ac:dyDescent="0.2">
      <c r="A4" s="59" t="s">
        <v>29</v>
      </c>
      <c r="B4" s="59" t="s">
        <v>30</v>
      </c>
      <c r="C4" s="66">
        <v>1010000</v>
      </c>
      <c r="D4" s="59" t="s">
        <v>31</v>
      </c>
    </row>
    <row r="5" spans="1:4" x14ac:dyDescent="0.2">
      <c r="A5" s="59" t="s">
        <v>32</v>
      </c>
      <c r="B5" s="59" t="s">
        <v>33</v>
      </c>
      <c r="C5" s="59"/>
      <c r="D5" s="59" t="s">
        <v>34</v>
      </c>
    </row>
    <row r="6" spans="1:4" x14ac:dyDescent="0.2">
      <c r="A6" s="59" t="s">
        <v>35</v>
      </c>
      <c r="B6" s="59" t="s">
        <v>36</v>
      </c>
      <c r="C6" s="59"/>
      <c r="D6" s="59" t="s">
        <v>34</v>
      </c>
    </row>
    <row r="7" spans="1:4" x14ac:dyDescent="0.2">
      <c r="A7" s="59" t="s">
        <v>37</v>
      </c>
      <c r="B7" s="59" t="s">
        <v>38</v>
      </c>
      <c r="C7" s="66">
        <v>1010000</v>
      </c>
      <c r="D7" s="59" t="s">
        <v>31</v>
      </c>
    </row>
    <row r="8" spans="1:4" x14ac:dyDescent="0.2">
      <c r="A8" s="59" t="s">
        <v>39</v>
      </c>
      <c r="B8" s="59" t="s">
        <v>40</v>
      </c>
      <c r="C8" s="59"/>
      <c r="D8" s="59" t="s">
        <v>34</v>
      </c>
    </row>
    <row r="9" spans="1:4" x14ac:dyDescent="0.2">
      <c r="A9" s="66" t="s">
        <v>41</v>
      </c>
      <c r="B9" s="66" t="s">
        <v>42</v>
      </c>
      <c r="C9" s="66"/>
      <c r="D9" s="66" t="s">
        <v>34</v>
      </c>
    </row>
    <row r="10" spans="1:4" x14ac:dyDescent="0.2">
      <c r="A10" s="66" t="s">
        <v>43</v>
      </c>
      <c r="B10" s="66" t="s">
        <v>44</v>
      </c>
      <c r="C10" s="66"/>
      <c r="D10" s="66" t="s">
        <v>34</v>
      </c>
    </row>
    <row r="11" spans="1:4" x14ac:dyDescent="0.2">
      <c r="A11" s="66" t="s">
        <v>45</v>
      </c>
      <c r="B11" s="66" t="s">
        <v>46</v>
      </c>
      <c r="C11" s="66"/>
      <c r="D11" s="66" t="s">
        <v>34</v>
      </c>
    </row>
    <row r="12" spans="1:4" x14ac:dyDescent="0.2">
      <c r="A12" s="66" t="s">
        <v>47</v>
      </c>
      <c r="B12" s="66" t="s">
        <v>48</v>
      </c>
      <c r="C12" s="66"/>
      <c r="D12" s="66" t="s">
        <v>34</v>
      </c>
    </row>
    <row r="13" spans="1:4" x14ac:dyDescent="0.2">
      <c r="A13" s="66" t="s">
        <v>49</v>
      </c>
      <c r="B13" s="66" t="s">
        <v>50</v>
      </c>
      <c r="C13" s="66"/>
      <c r="D13" s="66" t="s">
        <v>34</v>
      </c>
    </row>
    <row r="14" spans="1:4" x14ac:dyDescent="0.2">
      <c r="A14" s="66" t="s">
        <v>51</v>
      </c>
      <c r="B14" s="66" t="s">
        <v>52</v>
      </c>
      <c r="C14" s="66"/>
      <c r="D14" s="66" t="s">
        <v>34</v>
      </c>
    </row>
    <row r="15" spans="1:4" x14ac:dyDescent="0.2">
      <c r="A15" s="66"/>
      <c r="B15" s="66"/>
      <c r="C15" s="66"/>
      <c r="D15" s="66"/>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C86AD-EF2D-49AE-B3AC-2D1FF8549BDE}">
  <sheetPr codeName="Tabelle4"/>
  <dimension ref="A2:M1297"/>
  <sheetViews>
    <sheetView workbookViewId="0">
      <selection activeCell="P5" sqref="P5"/>
    </sheetView>
  </sheetViews>
  <sheetFormatPr baseColWidth="10" defaultColWidth="11.42578125" defaultRowHeight="12.75" x14ac:dyDescent="0.2"/>
  <cols>
    <col min="1" max="1" width="20.7109375" style="55" bestFit="1" customWidth="1"/>
    <col min="2" max="2" width="12.7109375" style="55" customWidth="1"/>
    <col min="3" max="3" width="18.28515625" style="55" bestFit="1" customWidth="1"/>
    <col min="4" max="4" width="19.5703125" style="55" bestFit="1" customWidth="1"/>
    <col min="5" max="5" width="19.7109375" style="55" customWidth="1"/>
    <col min="6" max="6" width="12.28515625" style="55" bestFit="1" customWidth="1"/>
    <col min="7" max="7" width="18.42578125" style="55" bestFit="1" customWidth="1"/>
    <col min="8" max="8" width="18" style="55" customWidth="1"/>
    <col min="9" max="9" width="13.28515625" style="55" customWidth="1"/>
    <col min="10" max="10" width="11.42578125" style="55"/>
    <col min="11" max="11" width="15.7109375" style="55" customWidth="1"/>
    <col min="12" max="16384" width="11.42578125" style="55"/>
  </cols>
  <sheetData>
    <row r="2" spans="1:13" x14ac:dyDescent="0.2">
      <c r="A2" s="57">
        <f>COUNTA(A4:A1048576)</f>
        <v>544</v>
      </c>
    </row>
    <row r="3" spans="1:13" x14ac:dyDescent="0.2">
      <c r="A3" s="71" t="s">
        <v>53</v>
      </c>
      <c r="B3" s="71" t="s">
        <v>54</v>
      </c>
      <c r="C3" s="71" t="s">
        <v>55</v>
      </c>
      <c r="D3" s="71" t="s">
        <v>56</v>
      </c>
      <c r="E3" s="71" t="s">
        <v>57</v>
      </c>
      <c r="F3" s="71" t="s">
        <v>58</v>
      </c>
      <c r="G3" s="71" t="s">
        <v>59</v>
      </c>
      <c r="H3" s="71" t="s">
        <v>60</v>
      </c>
      <c r="I3" s="71" t="s">
        <v>61</v>
      </c>
      <c r="J3" s="71" t="s">
        <v>62</v>
      </c>
      <c r="K3" s="71" t="s">
        <v>63</v>
      </c>
      <c r="L3" s="71" t="s">
        <v>2325</v>
      </c>
      <c r="M3" s="73" t="s">
        <v>2443</v>
      </c>
    </row>
    <row r="4" spans="1:13" ht="21" x14ac:dyDescent="0.2">
      <c r="A4" s="72" t="s">
        <v>658</v>
      </c>
      <c r="B4" s="72" t="s">
        <v>65</v>
      </c>
      <c r="C4" s="72" t="s">
        <v>659</v>
      </c>
      <c r="D4" s="72" t="s">
        <v>35</v>
      </c>
      <c r="E4" s="72" t="s">
        <v>112</v>
      </c>
      <c r="F4" s="72">
        <v>262</v>
      </c>
      <c r="G4" s="72">
        <v>0</v>
      </c>
      <c r="H4" s="72">
        <v>0</v>
      </c>
      <c r="I4" s="72">
        <v>1</v>
      </c>
      <c r="J4" s="72">
        <v>1</v>
      </c>
      <c r="K4" s="72">
        <v>120806</v>
      </c>
      <c r="L4" s="72" t="s">
        <v>2326</v>
      </c>
      <c r="M4" s="72" t="s">
        <v>2327</v>
      </c>
    </row>
    <row r="5" spans="1:13" ht="21" x14ac:dyDescent="0.2">
      <c r="A5" s="72" t="s">
        <v>660</v>
      </c>
      <c r="B5" s="72" t="s">
        <v>65</v>
      </c>
      <c r="C5" s="72" t="s">
        <v>659</v>
      </c>
      <c r="D5" s="72" t="s">
        <v>35</v>
      </c>
      <c r="E5" s="72" t="s">
        <v>112</v>
      </c>
      <c r="F5" s="72">
        <v>262</v>
      </c>
      <c r="G5" s="72">
        <v>0</v>
      </c>
      <c r="H5" s="72">
        <v>0</v>
      </c>
      <c r="I5" s="72">
        <v>1</v>
      </c>
      <c r="J5" s="72">
        <v>1</v>
      </c>
      <c r="K5" s="72">
        <v>120806</v>
      </c>
      <c r="L5" s="72" t="s">
        <v>2326</v>
      </c>
      <c r="M5" s="72" t="s">
        <v>1720</v>
      </c>
    </row>
    <row r="6" spans="1:13" ht="21" x14ac:dyDescent="0.2">
      <c r="A6" s="72" t="s">
        <v>661</v>
      </c>
      <c r="B6" s="72" t="s">
        <v>65</v>
      </c>
      <c r="C6" s="72" t="s">
        <v>659</v>
      </c>
      <c r="D6" s="72" t="s">
        <v>35</v>
      </c>
      <c r="E6" s="72" t="s">
        <v>112</v>
      </c>
      <c r="F6" s="72">
        <v>262</v>
      </c>
      <c r="G6" s="72">
        <v>0</v>
      </c>
      <c r="H6" s="72">
        <v>0</v>
      </c>
      <c r="I6" s="72">
        <v>1</v>
      </c>
      <c r="J6" s="72">
        <v>1</v>
      </c>
      <c r="K6" s="72">
        <v>120806</v>
      </c>
      <c r="L6" s="72" t="s">
        <v>2326</v>
      </c>
      <c r="M6" s="72" t="s">
        <v>2328</v>
      </c>
    </row>
    <row r="7" spans="1:13" ht="21" x14ac:dyDescent="0.2">
      <c r="A7" s="72" t="s">
        <v>662</v>
      </c>
      <c r="B7" s="72" t="s">
        <v>65</v>
      </c>
      <c r="C7" s="72" t="s">
        <v>659</v>
      </c>
      <c r="D7" s="72" t="s">
        <v>35</v>
      </c>
      <c r="E7" s="72" t="s">
        <v>112</v>
      </c>
      <c r="F7" s="72">
        <v>262</v>
      </c>
      <c r="G7" s="72">
        <v>0</v>
      </c>
      <c r="H7" s="72">
        <v>0</v>
      </c>
      <c r="I7" s="72">
        <v>1</v>
      </c>
      <c r="J7" s="72">
        <v>1</v>
      </c>
      <c r="K7" s="72">
        <v>120806</v>
      </c>
      <c r="L7" s="72" t="s">
        <v>2326</v>
      </c>
      <c r="M7" s="72" t="s">
        <v>2329</v>
      </c>
    </row>
    <row r="8" spans="1:13" ht="21" x14ac:dyDescent="0.2">
      <c r="A8" s="72" t="s">
        <v>663</v>
      </c>
      <c r="B8" s="72" t="s">
        <v>65</v>
      </c>
      <c r="C8" s="72" t="s">
        <v>659</v>
      </c>
      <c r="D8" s="72" t="s">
        <v>35</v>
      </c>
      <c r="E8" s="72" t="s">
        <v>112</v>
      </c>
      <c r="F8" s="72">
        <v>262</v>
      </c>
      <c r="G8" s="72">
        <v>0</v>
      </c>
      <c r="H8" s="72">
        <v>0</v>
      </c>
      <c r="I8" s="72">
        <v>1</v>
      </c>
      <c r="J8" s="72">
        <v>1</v>
      </c>
      <c r="K8" s="72">
        <v>120806</v>
      </c>
      <c r="L8" s="72" t="s">
        <v>2326</v>
      </c>
      <c r="M8" s="72" t="s">
        <v>1436</v>
      </c>
    </row>
    <row r="9" spans="1:13" ht="21" x14ac:dyDescent="0.2">
      <c r="A9" s="72" t="s">
        <v>664</v>
      </c>
      <c r="B9" s="72" t="s">
        <v>65</v>
      </c>
      <c r="C9" s="72" t="s">
        <v>659</v>
      </c>
      <c r="D9" s="72" t="s">
        <v>35</v>
      </c>
      <c r="E9" s="72" t="s">
        <v>112</v>
      </c>
      <c r="F9" s="72">
        <v>262</v>
      </c>
      <c r="G9" s="72">
        <v>0</v>
      </c>
      <c r="H9" s="72">
        <v>0</v>
      </c>
      <c r="I9" s="72">
        <v>1</v>
      </c>
      <c r="J9" s="72">
        <v>1</v>
      </c>
      <c r="K9" s="72">
        <v>120806</v>
      </c>
      <c r="L9" s="72" t="s">
        <v>2326</v>
      </c>
      <c r="M9" s="72" t="s">
        <v>1713</v>
      </c>
    </row>
    <row r="10" spans="1:13" ht="21" x14ac:dyDescent="0.2">
      <c r="A10" s="72" t="s">
        <v>665</v>
      </c>
      <c r="B10" s="72" t="s">
        <v>65</v>
      </c>
      <c r="C10" s="72" t="s">
        <v>659</v>
      </c>
      <c r="D10" s="72" t="s">
        <v>35</v>
      </c>
      <c r="E10" s="72" t="s">
        <v>112</v>
      </c>
      <c r="F10" s="72">
        <v>262</v>
      </c>
      <c r="G10" s="72">
        <v>0</v>
      </c>
      <c r="H10" s="72">
        <v>0</v>
      </c>
      <c r="I10" s="72">
        <v>1</v>
      </c>
      <c r="J10" s="72">
        <v>1</v>
      </c>
      <c r="K10" s="72">
        <v>120806</v>
      </c>
      <c r="L10" s="72" t="s">
        <v>2326</v>
      </c>
      <c r="M10" s="72" t="s">
        <v>1291</v>
      </c>
    </row>
    <row r="11" spans="1:13" ht="21" x14ac:dyDescent="0.2">
      <c r="A11" s="72" t="s">
        <v>666</v>
      </c>
      <c r="B11" s="72" t="s">
        <v>65</v>
      </c>
      <c r="C11" s="72" t="s">
        <v>659</v>
      </c>
      <c r="D11" s="72" t="s">
        <v>35</v>
      </c>
      <c r="E11" s="72" t="s">
        <v>112</v>
      </c>
      <c r="F11" s="72">
        <v>262</v>
      </c>
      <c r="G11" s="72">
        <v>0</v>
      </c>
      <c r="H11" s="72">
        <v>0</v>
      </c>
      <c r="I11" s="72">
        <v>1</v>
      </c>
      <c r="J11" s="72">
        <v>1</v>
      </c>
      <c r="K11" s="72">
        <v>120806</v>
      </c>
      <c r="L11" s="72" t="s">
        <v>2326</v>
      </c>
      <c r="M11" s="72" t="s">
        <v>1626</v>
      </c>
    </row>
    <row r="12" spans="1:13" ht="21" x14ac:dyDescent="0.2">
      <c r="A12" s="72" t="s">
        <v>667</v>
      </c>
      <c r="B12" s="72" t="s">
        <v>65</v>
      </c>
      <c r="C12" s="72" t="s">
        <v>659</v>
      </c>
      <c r="D12" s="72" t="s">
        <v>35</v>
      </c>
      <c r="E12" s="72" t="s">
        <v>112</v>
      </c>
      <c r="F12" s="72">
        <v>262</v>
      </c>
      <c r="G12" s="72">
        <v>0</v>
      </c>
      <c r="H12" s="72">
        <v>0</v>
      </c>
      <c r="I12" s="72">
        <v>1</v>
      </c>
      <c r="J12" s="72">
        <v>1</v>
      </c>
      <c r="K12" s="72">
        <v>120806</v>
      </c>
      <c r="L12" s="72" t="s">
        <v>2326</v>
      </c>
      <c r="M12" s="72" t="s">
        <v>1863</v>
      </c>
    </row>
    <row r="13" spans="1:13" ht="21" x14ac:dyDescent="0.2">
      <c r="A13" s="72" t="s">
        <v>668</v>
      </c>
      <c r="B13" s="72" t="s">
        <v>65</v>
      </c>
      <c r="C13" s="72" t="s">
        <v>659</v>
      </c>
      <c r="D13" s="72" t="s">
        <v>35</v>
      </c>
      <c r="E13" s="72" t="s">
        <v>112</v>
      </c>
      <c r="F13" s="72">
        <v>262</v>
      </c>
      <c r="G13" s="72">
        <v>0</v>
      </c>
      <c r="H13" s="72">
        <v>0</v>
      </c>
      <c r="I13" s="72">
        <v>1</v>
      </c>
      <c r="J13" s="72">
        <v>1</v>
      </c>
      <c r="K13" s="72">
        <v>120806</v>
      </c>
      <c r="L13" s="72" t="s">
        <v>2326</v>
      </c>
      <c r="M13" s="72" t="s">
        <v>1443</v>
      </c>
    </row>
    <row r="14" spans="1:13" ht="21" x14ac:dyDescent="0.2">
      <c r="A14" s="72" t="s">
        <v>647</v>
      </c>
      <c r="B14" s="72" t="s">
        <v>65</v>
      </c>
      <c r="C14" s="72" t="s">
        <v>648</v>
      </c>
      <c r="D14" s="72" t="s">
        <v>35</v>
      </c>
      <c r="E14" s="72" t="s">
        <v>112</v>
      </c>
      <c r="F14" s="72">
        <v>262</v>
      </c>
      <c r="G14" s="72">
        <v>0</v>
      </c>
      <c r="H14" s="72">
        <v>0</v>
      </c>
      <c r="I14" s="72">
        <v>1</v>
      </c>
      <c r="J14" s="72">
        <v>1</v>
      </c>
      <c r="K14" s="72">
        <v>120778</v>
      </c>
      <c r="L14" s="72" t="s">
        <v>2326</v>
      </c>
      <c r="M14" s="72" t="s">
        <v>2330</v>
      </c>
    </row>
    <row r="15" spans="1:13" ht="21" x14ac:dyDescent="0.2">
      <c r="A15" s="72" t="s">
        <v>649</v>
      </c>
      <c r="B15" s="72" t="s">
        <v>65</v>
      </c>
      <c r="C15" s="72" t="s">
        <v>648</v>
      </c>
      <c r="D15" s="72" t="s">
        <v>35</v>
      </c>
      <c r="E15" s="72" t="s">
        <v>112</v>
      </c>
      <c r="F15" s="72">
        <v>262</v>
      </c>
      <c r="G15" s="72">
        <v>0</v>
      </c>
      <c r="H15" s="72">
        <v>0</v>
      </c>
      <c r="I15" s="72">
        <v>1</v>
      </c>
      <c r="J15" s="72">
        <v>1</v>
      </c>
      <c r="K15" s="72">
        <v>120778</v>
      </c>
      <c r="L15" s="72" t="s">
        <v>2326</v>
      </c>
      <c r="M15" s="72" t="s">
        <v>1866</v>
      </c>
    </row>
    <row r="16" spans="1:13" ht="21" x14ac:dyDescent="0.2">
      <c r="A16" s="72" t="s">
        <v>650</v>
      </c>
      <c r="B16" s="72" t="s">
        <v>65</v>
      </c>
      <c r="C16" s="72" t="s">
        <v>648</v>
      </c>
      <c r="D16" s="72" t="s">
        <v>35</v>
      </c>
      <c r="E16" s="72" t="s">
        <v>112</v>
      </c>
      <c r="F16" s="72">
        <v>262</v>
      </c>
      <c r="G16" s="72">
        <v>0</v>
      </c>
      <c r="H16" s="72">
        <v>0</v>
      </c>
      <c r="I16" s="72">
        <v>1</v>
      </c>
      <c r="J16" s="72">
        <v>1</v>
      </c>
      <c r="K16" s="72">
        <v>120778</v>
      </c>
      <c r="L16" s="72" t="s">
        <v>2326</v>
      </c>
      <c r="M16" s="72" t="s">
        <v>2331</v>
      </c>
    </row>
    <row r="17" spans="1:13" ht="21" x14ac:dyDescent="0.2">
      <c r="A17" s="72" t="s">
        <v>651</v>
      </c>
      <c r="B17" s="72" t="s">
        <v>65</v>
      </c>
      <c r="C17" s="72" t="s">
        <v>648</v>
      </c>
      <c r="D17" s="72" t="s">
        <v>35</v>
      </c>
      <c r="E17" s="72" t="s">
        <v>112</v>
      </c>
      <c r="F17" s="72">
        <v>262</v>
      </c>
      <c r="G17" s="72">
        <v>0</v>
      </c>
      <c r="H17" s="72">
        <v>0</v>
      </c>
      <c r="I17" s="72">
        <v>1</v>
      </c>
      <c r="J17" s="72">
        <v>1</v>
      </c>
      <c r="K17" s="72">
        <v>120778</v>
      </c>
      <c r="L17" s="72" t="s">
        <v>2326</v>
      </c>
      <c r="M17" s="72" t="s">
        <v>1287</v>
      </c>
    </row>
    <row r="18" spans="1:13" ht="21" x14ac:dyDescent="0.2">
      <c r="A18" s="72" t="s">
        <v>652</v>
      </c>
      <c r="B18" s="72" t="s">
        <v>65</v>
      </c>
      <c r="C18" s="72" t="s">
        <v>648</v>
      </c>
      <c r="D18" s="72" t="s">
        <v>35</v>
      </c>
      <c r="E18" s="72" t="s">
        <v>112</v>
      </c>
      <c r="F18" s="72">
        <v>262</v>
      </c>
      <c r="G18" s="72">
        <v>0</v>
      </c>
      <c r="H18" s="72">
        <v>0</v>
      </c>
      <c r="I18" s="72">
        <v>1</v>
      </c>
      <c r="J18" s="72">
        <v>1</v>
      </c>
      <c r="K18" s="72">
        <v>120778</v>
      </c>
      <c r="L18" s="72" t="s">
        <v>2326</v>
      </c>
      <c r="M18" s="72" t="s">
        <v>1622</v>
      </c>
    </row>
    <row r="19" spans="1:13" ht="21" x14ac:dyDescent="0.2">
      <c r="A19" s="72" t="s">
        <v>653</v>
      </c>
      <c r="B19" s="72" t="s">
        <v>65</v>
      </c>
      <c r="C19" s="72" t="s">
        <v>648</v>
      </c>
      <c r="D19" s="72" t="s">
        <v>35</v>
      </c>
      <c r="E19" s="72" t="s">
        <v>112</v>
      </c>
      <c r="F19" s="72">
        <v>262</v>
      </c>
      <c r="G19" s="72">
        <v>0</v>
      </c>
      <c r="H19" s="72">
        <v>0</v>
      </c>
      <c r="I19" s="72">
        <v>1</v>
      </c>
      <c r="J19" s="72">
        <v>1</v>
      </c>
      <c r="K19" s="72">
        <v>120778</v>
      </c>
      <c r="L19" s="72" t="s">
        <v>2326</v>
      </c>
      <c r="M19" s="72" t="s">
        <v>1859</v>
      </c>
    </row>
    <row r="20" spans="1:13" ht="21" x14ac:dyDescent="0.2">
      <c r="A20" s="72" t="s">
        <v>654</v>
      </c>
      <c r="B20" s="72" t="s">
        <v>65</v>
      </c>
      <c r="C20" s="72" t="s">
        <v>648</v>
      </c>
      <c r="D20" s="72" t="s">
        <v>35</v>
      </c>
      <c r="E20" s="72" t="s">
        <v>112</v>
      </c>
      <c r="F20" s="72">
        <v>262</v>
      </c>
      <c r="G20" s="72">
        <v>0</v>
      </c>
      <c r="H20" s="72">
        <v>0</v>
      </c>
      <c r="I20" s="72">
        <v>1</v>
      </c>
      <c r="J20" s="72">
        <v>1</v>
      </c>
      <c r="K20" s="72">
        <v>120778</v>
      </c>
      <c r="L20" s="72" t="s">
        <v>2326</v>
      </c>
      <c r="M20" s="72" t="s">
        <v>1439</v>
      </c>
    </row>
    <row r="21" spans="1:13" ht="21" x14ac:dyDescent="0.2">
      <c r="A21" s="72" t="s">
        <v>655</v>
      </c>
      <c r="B21" s="72" t="s">
        <v>65</v>
      </c>
      <c r="C21" s="72" t="s">
        <v>648</v>
      </c>
      <c r="D21" s="72" t="s">
        <v>35</v>
      </c>
      <c r="E21" s="72" t="s">
        <v>112</v>
      </c>
      <c r="F21" s="72">
        <v>262</v>
      </c>
      <c r="G21" s="72">
        <v>0</v>
      </c>
      <c r="H21" s="72">
        <v>0</v>
      </c>
      <c r="I21" s="72">
        <v>1</v>
      </c>
      <c r="J21" s="72">
        <v>1</v>
      </c>
      <c r="K21" s="72">
        <v>120778</v>
      </c>
      <c r="L21" s="72" t="s">
        <v>2326</v>
      </c>
      <c r="M21" s="72" t="s">
        <v>1716</v>
      </c>
    </row>
    <row r="22" spans="1:13" ht="21" x14ac:dyDescent="0.2">
      <c r="A22" s="72" t="s">
        <v>656</v>
      </c>
      <c r="B22" s="72" t="s">
        <v>65</v>
      </c>
      <c r="C22" s="72" t="s">
        <v>648</v>
      </c>
      <c r="D22" s="72" t="s">
        <v>35</v>
      </c>
      <c r="E22" s="72" t="s">
        <v>112</v>
      </c>
      <c r="F22" s="72">
        <v>262</v>
      </c>
      <c r="G22" s="72">
        <v>0</v>
      </c>
      <c r="H22" s="72">
        <v>0</v>
      </c>
      <c r="I22" s="72">
        <v>1</v>
      </c>
      <c r="J22" s="72">
        <v>1</v>
      </c>
      <c r="K22" s="72">
        <v>120778</v>
      </c>
      <c r="L22" s="72" t="s">
        <v>2326</v>
      </c>
      <c r="M22" s="72" t="s">
        <v>1294</v>
      </c>
    </row>
    <row r="23" spans="1:13" ht="21" x14ac:dyDescent="0.2">
      <c r="A23" s="72" t="s">
        <v>657</v>
      </c>
      <c r="B23" s="72" t="s">
        <v>65</v>
      </c>
      <c r="C23" s="72" t="s">
        <v>648</v>
      </c>
      <c r="D23" s="72" t="s">
        <v>35</v>
      </c>
      <c r="E23" s="72" t="s">
        <v>112</v>
      </c>
      <c r="F23" s="72">
        <v>262</v>
      </c>
      <c r="G23" s="72">
        <v>0</v>
      </c>
      <c r="H23" s="72">
        <v>0</v>
      </c>
      <c r="I23" s="72">
        <v>1</v>
      </c>
      <c r="J23" s="72">
        <v>1</v>
      </c>
      <c r="K23" s="72">
        <v>120778</v>
      </c>
      <c r="L23" s="72" t="s">
        <v>2326</v>
      </c>
      <c r="M23" s="72" t="s">
        <v>1629</v>
      </c>
    </row>
    <row r="24" spans="1:13" x14ac:dyDescent="0.2">
      <c r="A24" s="72" t="s">
        <v>636</v>
      </c>
      <c r="B24" s="72" t="s">
        <v>65</v>
      </c>
      <c r="C24" s="72" t="s">
        <v>637</v>
      </c>
      <c r="D24" s="72" t="s">
        <v>35</v>
      </c>
      <c r="E24" s="72" t="s">
        <v>112</v>
      </c>
      <c r="F24" s="72">
        <v>262</v>
      </c>
      <c r="G24" s="72">
        <v>0</v>
      </c>
      <c r="H24" s="72">
        <v>0</v>
      </c>
      <c r="I24" s="72">
        <v>1</v>
      </c>
      <c r="J24" s="72">
        <v>1</v>
      </c>
      <c r="K24" s="72">
        <v>97192</v>
      </c>
      <c r="L24" s="72" t="s">
        <v>2326</v>
      </c>
      <c r="M24" s="72" t="s">
        <v>2332</v>
      </c>
    </row>
    <row r="25" spans="1:13" x14ac:dyDescent="0.2">
      <c r="A25" s="72" t="s">
        <v>638</v>
      </c>
      <c r="B25" s="72" t="s">
        <v>65</v>
      </c>
      <c r="C25" s="72" t="s">
        <v>637</v>
      </c>
      <c r="D25" s="72" t="s">
        <v>35</v>
      </c>
      <c r="E25" s="72" t="s">
        <v>112</v>
      </c>
      <c r="F25" s="72">
        <v>262</v>
      </c>
      <c r="G25" s="72">
        <v>0</v>
      </c>
      <c r="H25" s="72">
        <v>0</v>
      </c>
      <c r="I25" s="72">
        <v>1</v>
      </c>
      <c r="J25" s="72">
        <v>1</v>
      </c>
      <c r="K25" s="72">
        <v>97192</v>
      </c>
      <c r="L25" s="72" t="s">
        <v>2326</v>
      </c>
      <c r="M25" s="72" t="s">
        <v>1760</v>
      </c>
    </row>
    <row r="26" spans="1:13" x14ac:dyDescent="0.2">
      <c r="A26" s="72" t="s">
        <v>639</v>
      </c>
      <c r="B26" s="72" t="s">
        <v>65</v>
      </c>
      <c r="C26" s="72" t="s">
        <v>637</v>
      </c>
      <c r="D26" s="72" t="s">
        <v>35</v>
      </c>
      <c r="E26" s="72" t="s">
        <v>112</v>
      </c>
      <c r="F26" s="72">
        <v>262</v>
      </c>
      <c r="G26" s="72">
        <v>0</v>
      </c>
      <c r="H26" s="72">
        <v>0</v>
      </c>
      <c r="I26" s="72">
        <v>1</v>
      </c>
      <c r="J26" s="72">
        <v>1</v>
      </c>
      <c r="K26" s="72">
        <v>97192</v>
      </c>
      <c r="L26" s="72" t="s">
        <v>2326</v>
      </c>
      <c r="M26" s="72" t="s">
        <v>2333</v>
      </c>
    </row>
    <row r="27" spans="1:13" x14ac:dyDescent="0.2">
      <c r="A27" s="72" t="s">
        <v>640</v>
      </c>
      <c r="B27" s="72" t="s">
        <v>65</v>
      </c>
      <c r="C27" s="72" t="s">
        <v>637</v>
      </c>
      <c r="D27" s="72" t="s">
        <v>35</v>
      </c>
      <c r="E27" s="72" t="s">
        <v>112</v>
      </c>
      <c r="F27" s="72">
        <v>262</v>
      </c>
      <c r="G27" s="72">
        <v>0</v>
      </c>
      <c r="H27" s="72">
        <v>0</v>
      </c>
      <c r="I27" s="72">
        <v>1</v>
      </c>
      <c r="J27" s="72">
        <v>1</v>
      </c>
      <c r="K27" s="72">
        <v>97192</v>
      </c>
      <c r="L27" s="72" t="s">
        <v>2326</v>
      </c>
      <c r="M27" s="72" t="s">
        <v>2334</v>
      </c>
    </row>
    <row r="28" spans="1:13" x14ac:dyDescent="0.2">
      <c r="A28" s="72" t="s">
        <v>641</v>
      </c>
      <c r="B28" s="72" t="s">
        <v>65</v>
      </c>
      <c r="C28" s="72" t="s">
        <v>637</v>
      </c>
      <c r="D28" s="72" t="s">
        <v>35</v>
      </c>
      <c r="E28" s="72" t="s">
        <v>112</v>
      </c>
      <c r="F28" s="72">
        <v>262</v>
      </c>
      <c r="G28" s="72">
        <v>0</v>
      </c>
      <c r="H28" s="72">
        <v>0</v>
      </c>
      <c r="I28" s="72">
        <v>1</v>
      </c>
      <c r="J28" s="72">
        <v>1</v>
      </c>
      <c r="K28" s="72">
        <v>97192</v>
      </c>
      <c r="L28" s="72" t="s">
        <v>2326</v>
      </c>
      <c r="M28" s="72" t="s">
        <v>1471</v>
      </c>
    </row>
    <row r="29" spans="1:13" x14ac:dyDescent="0.2">
      <c r="A29" s="72" t="s">
        <v>642</v>
      </c>
      <c r="B29" s="72" t="s">
        <v>65</v>
      </c>
      <c r="C29" s="72" t="s">
        <v>637</v>
      </c>
      <c r="D29" s="72" t="s">
        <v>35</v>
      </c>
      <c r="E29" s="72" t="s">
        <v>112</v>
      </c>
      <c r="F29" s="72">
        <v>262</v>
      </c>
      <c r="G29" s="72">
        <v>0</v>
      </c>
      <c r="H29" s="72">
        <v>0</v>
      </c>
      <c r="I29" s="72">
        <v>1</v>
      </c>
      <c r="J29" s="72">
        <v>1</v>
      </c>
      <c r="K29" s="72">
        <v>97192</v>
      </c>
      <c r="L29" s="72" t="s">
        <v>2326</v>
      </c>
      <c r="M29" s="72" t="s">
        <v>1754</v>
      </c>
    </row>
    <row r="30" spans="1:13" x14ac:dyDescent="0.2">
      <c r="A30" s="72" t="s">
        <v>643</v>
      </c>
      <c r="B30" s="72" t="s">
        <v>65</v>
      </c>
      <c r="C30" s="72" t="s">
        <v>637</v>
      </c>
      <c r="D30" s="72" t="s">
        <v>35</v>
      </c>
      <c r="E30" s="72" t="s">
        <v>112</v>
      </c>
      <c r="F30" s="72">
        <v>262</v>
      </c>
      <c r="G30" s="72">
        <v>0</v>
      </c>
      <c r="H30" s="72">
        <v>0</v>
      </c>
      <c r="I30" s="72">
        <v>1</v>
      </c>
      <c r="J30" s="72">
        <v>1</v>
      </c>
      <c r="K30" s="72">
        <v>97192</v>
      </c>
      <c r="L30" s="72" t="s">
        <v>2326</v>
      </c>
      <c r="M30" s="72" t="s">
        <v>1178</v>
      </c>
    </row>
    <row r="31" spans="1:13" x14ac:dyDescent="0.2">
      <c r="A31" s="72" t="s">
        <v>644</v>
      </c>
      <c r="B31" s="72" t="s">
        <v>65</v>
      </c>
      <c r="C31" s="72" t="s">
        <v>637</v>
      </c>
      <c r="D31" s="72" t="s">
        <v>35</v>
      </c>
      <c r="E31" s="72" t="s">
        <v>112</v>
      </c>
      <c r="F31" s="72">
        <v>262</v>
      </c>
      <c r="G31" s="72">
        <v>0</v>
      </c>
      <c r="H31" s="72">
        <v>0</v>
      </c>
      <c r="I31" s="72">
        <v>1</v>
      </c>
      <c r="J31" s="72">
        <v>1</v>
      </c>
      <c r="K31" s="72">
        <v>97192</v>
      </c>
      <c r="L31" s="72" t="s">
        <v>2326</v>
      </c>
      <c r="M31" s="72" t="s">
        <v>1558</v>
      </c>
    </row>
    <row r="32" spans="1:13" x14ac:dyDescent="0.2">
      <c r="A32" s="72" t="s">
        <v>645</v>
      </c>
      <c r="B32" s="72" t="s">
        <v>65</v>
      </c>
      <c r="C32" s="72" t="s">
        <v>637</v>
      </c>
      <c r="D32" s="72" t="s">
        <v>35</v>
      </c>
      <c r="E32" s="72" t="s">
        <v>112</v>
      </c>
      <c r="F32" s="72">
        <v>262</v>
      </c>
      <c r="G32" s="72">
        <v>0</v>
      </c>
      <c r="H32" s="72">
        <v>0</v>
      </c>
      <c r="I32" s="72">
        <v>1</v>
      </c>
      <c r="J32" s="72">
        <v>1</v>
      </c>
      <c r="K32" s="72">
        <v>97192</v>
      </c>
      <c r="L32" s="72" t="s">
        <v>2326</v>
      </c>
      <c r="M32" s="72" t="s">
        <v>1816</v>
      </c>
    </row>
    <row r="33" spans="1:13" x14ac:dyDescent="0.2">
      <c r="A33" s="72" t="s">
        <v>646</v>
      </c>
      <c r="B33" s="72" t="s">
        <v>65</v>
      </c>
      <c r="C33" s="72" t="s">
        <v>637</v>
      </c>
      <c r="D33" s="72" t="s">
        <v>35</v>
      </c>
      <c r="E33" s="72" t="s">
        <v>112</v>
      </c>
      <c r="F33" s="72">
        <v>262</v>
      </c>
      <c r="G33" s="72">
        <v>0</v>
      </c>
      <c r="H33" s="72">
        <v>0</v>
      </c>
      <c r="I33" s="72">
        <v>1</v>
      </c>
      <c r="J33" s="72">
        <v>1</v>
      </c>
      <c r="K33" s="72">
        <v>97192</v>
      </c>
      <c r="L33" s="72" t="s">
        <v>2326</v>
      </c>
      <c r="M33" s="72" t="s">
        <v>1477</v>
      </c>
    </row>
    <row r="34" spans="1:13" x14ac:dyDescent="0.2">
      <c r="A34" s="72" t="s">
        <v>625</v>
      </c>
      <c r="B34" s="72" t="s">
        <v>65</v>
      </c>
      <c r="C34" s="72" t="s">
        <v>626</v>
      </c>
      <c r="D34" s="72" t="s">
        <v>35</v>
      </c>
      <c r="E34" s="72" t="s">
        <v>112</v>
      </c>
      <c r="F34" s="72">
        <v>262</v>
      </c>
      <c r="G34" s="72">
        <v>0</v>
      </c>
      <c r="H34" s="72">
        <v>0</v>
      </c>
      <c r="I34" s="72">
        <v>1</v>
      </c>
      <c r="J34" s="72">
        <v>1</v>
      </c>
      <c r="K34" s="72">
        <v>97293</v>
      </c>
      <c r="L34" s="72" t="s">
        <v>2326</v>
      </c>
      <c r="M34" s="72" t="s">
        <v>2335</v>
      </c>
    </row>
    <row r="35" spans="1:13" x14ac:dyDescent="0.2">
      <c r="A35" s="72" t="s">
        <v>627</v>
      </c>
      <c r="B35" s="72" t="s">
        <v>65</v>
      </c>
      <c r="C35" s="72" t="s">
        <v>626</v>
      </c>
      <c r="D35" s="72" t="s">
        <v>35</v>
      </c>
      <c r="E35" s="72" t="s">
        <v>112</v>
      </c>
      <c r="F35" s="72">
        <v>262</v>
      </c>
      <c r="G35" s="72">
        <v>0</v>
      </c>
      <c r="H35" s="72">
        <v>0</v>
      </c>
      <c r="I35" s="72">
        <v>1</v>
      </c>
      <c r="J35" s="72">
        <v>1</v>
      </c>
      <c r="K35" s="72">
        <v>97293</v>
      </c>
      <c r="L35" s="72" t="s">
        <v>2326</v>
      </c>
      <c r="M35" s="72" t="s">
        <v>1819</v>
      </c>
    </row>
    <row r="36" spans="1:13" x14ac:dyDescent="0.2">
      <c r="A36" s="72" t="s">
        <v>628</v>
      </c>
      <c r="B36" s="72" t="s">
        <v>65</v>
      </c>
      <c r="C36" s="72" t="s">
        <v>626</v>
      </c>
      <c r="D36" s="72" t="s">
        <v>35</v>
      </c>
      <c r="E36" s="72" t="s">
        <v>112</v>
      </c>
      <c r="F36" s="72">
        <v>262</v>
      </c>
      <c r="G36" s="72">
        <v>0</v>
      </c>
      <c r="H36" s="72">
        <v>0</v>
      </c>
      <c r="I36" s="72">
        <v>1</v>
      </c>
      <c r="J36" s="72">
        <v>1</v>
      </c>
      <c r="K36" s="72">
        <v>97293</v>
      </c>
      <c r="L36" s="72" t="s">
        <v>2326</v>
      </c>
      <c r="M36" s="72" t="s">
        <v>2336</v>
      </c>
    </row>
    <row r="37" spans="1:13" x14ac:dyDescent="0.2">
      <c r="A37" s="72" t="s">
        <v>629</v>
      </c>
      <c r="B37" s="72" t="s">
        <v>65</v>
      </c>
      <c r="C37" s="72" t="s">
        <v>626</v>
      </c>
      <c r="D37" s="72" t="s">
        <v>35</v>
      </c>
      <c r="E37" s="72" t="s">
        <v>112</v>
      </c>
      <c r="F37" s="72">
        <v>262</v>
      </c>
      <c r="G37" s="72">
        <v>0</v>
      </c>
      <c r="H37" s="72">
        <v>0</v>
      </c>
      <c r="I37" s="72">
        <v>1</v>
      </c>
      <c r="J37" s="72">
        <v>1</v>
      </c>
      <c r="K37" s="72">
        <v>97293</v>
      </c>
      <c r="L37" s="72" t="s">
        <v>2326</v>
      </c>
      <c r="M37" s="72" t="s">
        <v>1174</v>
      </c>
    </row>
    <row r="38" spans="1:13" x14ac:dyDescent="0.2">
      <c r="A38" s="72" t="s">
        <v>630</v>
      </c>
      <c r="B38" s="72" t="s">
        <v>65</v>
      </c>
      <c r="C38" s="72" t="s">
        <v>626</v>
      </c>
      <c r="D38" s="72" t="s">
        <v>35</v>
      </c>
      <c r="E38" s="72" t="s">
        <v>112</v>
      </c>
      <c r="F38" s="72">
        <v>262</v>
      </c>
      <c r="G38" s="72">
        <v>0</v>
      </c>
      <c r="H38" s="72">
        <v>0</v>
      </c>
      <c r="I38" s="72">
        <v>1</v>
      </c>
      <c r="J38" s="72">
        <v>1</v>
      </c>
      <c r="K38" s="72">
        <v>97293</v>
      </c>
      <c r="L38" s="72" t="s">
        <v>2326</v>
      </c>
      <c r="M38" s="72" t="s">
        <v>1555</v>
      </c>
    </row>
    <row r="39" spans="1:13" x14ac:dyDescent="0.2">
      <c r="A39" s="72" t="s">
        <v>631</v>
      </c>
      <c r="B39" s="72" t="s">
        <v>65</v>
      </c>
      <c r="C39" s="72" t="s">
        <v>626</v>
      </c>
      <c r="D39" s="72" t="s">
        <v>35</v>
      </c>
      <c r="E39" s="72" t="s">
        <v>112</v>
      </c>
      <c r="F39" s="72">
        <v>262</v>
      </c>
      <c r="G39" s="72">
        <v>0</v>
      </c>
      <c r="H39" s="72">
        <v>0</v>
      </c>
      <c r="I39" s="72">
        <v>1</v>
      </c>
      <c r="J39" s="72">
        <v>1</v>
      </c>
      <c r="K39" s="72">
        <v>97293</v>
      </c>
      <c r="L39" s="72" t="s">
        <v>2326</v>
      </c>
      <c r="M39" s="72" t="s">
        <v>1814</v>
      </c>
    </row>
    <row r="40" spans="1:13" x14ac:dyDescent="0.2">
      <c r="A40" s="72" t="s">
        <v>632</v>
      </c>
      <c r="B40" s="72" t="s">
        <v>65</v>
      </c>
      <c r="C40" s="72" t="s">
        <v>626</v>
      </c>
      <c r="D40" s="72" t="s">
        <v>35</v>
      </c>
      <c r="E40" s="72" t="s">
        <v>112</v>
      </c>
      <c r="F40" s="72">
        <v>262</v>
      </c>
      <c r="G40" s="72">
        <v>0</v>
      </c>
      <c r="H40" s="72">
        <v>0</v>
      </c>
      <c r="I40" s="72">
        <v>1</v>
      </c>
      <c r="J40" s="72">
        <v>1</v>
      </c>
      <c r="K40" s="72">
        <v>97293</v>
      </c>
      <c r="L40" s="72" t="s">
        <v>2326</v>
      </c>
      <c r="M40" s="72" t="s">
        <v>1474</v>
      </c>
    </row>
    <row r="41" spans="1:13" x14ac:dyDescent="0.2">
      <c r="A41" s="72" t="s">
        <v>633</v>
      </c>
      <c r="B41" s="72" t="s">
        <v>65</v>
      </c>
      <c r="C41" s="72" t="s">
        <v>626</v>
      </c>
      <c r="D41" s="72" t="s">
        <v>35</v>
      </c>
      <c r="E41" s="72" t="s">
        <v>112</v>
      </c>
      <c r="F41" s="72">
        <v>262</v>
      </c>
      <c r="G41" s="72">
        <v>0</v>
      </c>
      <c r="H41" s="72">
        <v>0</v>
      </c>
      <c r="I41" s="72">
        <v>1</v>
      </c>
      <c r="J41" s="72">
        <v>1</v>
      </c>
      <c r="K41" s="72">
        <v>97293</v>
      </c>
      <c r="L41" s="72" t="s">
        <v>2326</v>
      </c>
      <c r="M41" s="72" t="s">
        <v>1757</v>
      </c>
    </row>
    <row r="42" spans="1:13" x14ac:dyDescent="0.2">
      <c r="A42" s="72" t="s">
        <v>634</v>
      </c>
      <c r="B42" s="72" t="s">
        <v>65</v>
      </c>
      <c r="C42" s="72" t="s">
        <v>626</v>
      </c>
      <c r="D42" s="72" t="s">
        <v>35</v>
      </c>
      <c r="E42" s="72" t="s">
        <v>112</v>
      </c>
      <c r="F42" s="72">
        <v>262</v>
      </c>
      <c r="G42" s="72">
        <v>0</v>
      </c>
      <c r="H42" s="72">
        <v>0</v>
      </c>
      <c r="I42" s="72">
        <v>1</v>
      </c>
      <c r="J42" s="72">
        <v>1</v>
      </c>
      <c r="K42" s="72">
        <v>97293</v>
      </c>
      <c r="L42" s="72" t="s">
        <v>2326</v>
      </c>
      <c r="M42" s="72" t="s">
        <v>1181</v>
      </c>
    </row>
    <row r="43" spans="1:13" x14ac:dyDescent="0.2">
      <c r="A43" s="72" t="s">
        <v>635</v>
      </c>
      <c r="B43" s="72" t="s">
        <v>65</v>
      </c>
      <c r="C43" s="72" t="s">
        <v>626</v>
      </c>
      <c r="D43" s="72" t="s">
        <v>35</v>
      </c>
      <c r="E43" s="72" t="s">
        <v>112</v>
      </c>
      <c r="F43" s="72">
        <v>262</v>
      </c>
      <c r="G43" s="72">
        <v>0</v>
      </c>
      <c r="H43" s="72">
        <v>0</v>
      </c>
      <c r="I43" s="72">
        <v>1</v>
      </c>
      <c r="J43" s="72">
        <v>1</v>
      </c>
      <c r="K43" s="72">
        <v>97293</v>
      </c>
      <c r="L43" s="72" t="s">
        <v>2326</v>
      </c>
      <c r="M43" s="72" t="s">
        <v>1561</v>
      </c>
    </row>
    <row r="44" spans="1:13" x14ac:dyDescent="0.2">
      <c r="A44" s="72" t="s">
        <v>614</v>
      </c>
      <c r="B44" s="72" t="s">
        <v>65</v>
      </c>
      <c r="C44" s="72" t="s">
        <v>615</v>
      </c>
      <c r="D44" s="72" t="s">
        <v>35</v>
      </c>
      <c r="E44" s="72" t="s">
        <v>67</v>
      </c>
      <c r="F44" s="72">
        <v>105</v>
      </c>
      <c r="G44" s="72">
        <v>0</v>
      </c>
      <c r="H44" s="72">
        <v>0</v>
      </c>
      <c r="I44" s="72">
        <v>1</v>
      </c>
      <c r="J44" s="72">
        <v>1</v>
      </c>
      <c r="K44" s="72">
        <v>34997</v>
      </c>
      <c r="L44" s="72" t="s">
        <v>2326</v>
      </c>
      <c r="M44" s="72" t="s">
        <v>2337</v>
      </c>
    </row>
    <row r="45" spans="1:13" x14ac:dyDescent="0.2">
      <c r="A45" s="72" t="s">
        <v>616</v>
      </c>
      <c r="B45" s="72" t="s">
        <v>65</v>
      </c>
      <c r="C45" s="72" t="s">
        <v>615</v>
      </c>
      <c r="D45" s="72" t="s">
        <v>35</v>
      </c>
      <c r="E45" s="72" t="s">
        <v>67</v>
      </c>
      <c r="F45" s="72">
        <v>105</v>
      </c>
      <c r="G45" s="72">
        <v>0</v>
      </c>
      <c r="H45" s="72">
        <v>0</v>
      </c>
      <c r="I45" s="72">
        <v>1</v>
      </c>
      <c r="J45" s="72">
        <v>1</v>
      </c>
      <c r="K45" s="72">
        <v>34997</v>
      </c>
      <c r="L45" s="72" t="s">
        <v>2326</v>
      </c>
      <c r="M45" s="72" t="s">
        <v>751</v>
      </c>
    </row>
    <row r="46" spans="1:13" x14ac:dyDescent="0.2">
      <c r="A46" s="72" t="s">
        <v>617</v>
      </c>
      <c r="B46" s="72" t="s">
        <v>65</v>
      </c>
      <c r="C46" s="72" t="s">
        <v>615</v>
      </c>
      <c r="D46" s="72" t="s">
        <v>35</v>
      </c>
      <c r="E46" s="72" t="s">
        <v>67</v>
      </c>
      <c r="F46" s="72">
        <v>105</v>
      </c>
      <c r="G46" s="72">
        <v>0</v>
      </c>
      <c r="H46" s="72">
        <v>0</v>
      </c>
      <c r="I46" s="72">
        <v>1</v>
      </c>
      <c r="J46" s="72">
        <v>1</v>
      </c>
      <c r="K46" s="72">
        <v>34997</v>
      </c>
      <c r="L46" s="72" t="s">
        <v>2326</v>
      </c>
      <c r="M46" s="72" t="s">
        <v>725</v>
      </c>
    </row>
    <row r="47" spans="1:13" x14ac:dyDescent="0.2">
      <c r="A47" s="72" t="s">
        <v>618</v>
      </c>
      <c r="B47" s="72" t="s">
        <v>65</v>
      </c>
      <c r="C47" s="72" t="s">
        <v>615</v>
      </c>
      <c r="D47" s="72" t="s">
        <v>35</v>
      </c>
      <c r="E47" s="72" t="s">
        <v>67</v>
      </c>
      <c r="F47" s="72">
        <v>105</v>
      </c>
      <c r="G47" s="72">
        <v>0</v>
      </c>
      <c r="H47" s="72">
        <v>0</v>
      </c>
      <c r="I47" s="72">
        <v>1</v>
      </c>
      <c r="J47" s="72">
        <v>1</v>
      </c>
      <c r="K47" s="72">
        <v>34997</v>
      </c>
      <c r="L47" s="72" t="s">
        <v>2326</v>
      </c>
      <c r="M47" s="72" t="s">
        <v>788</v>
      </c>
    </row>
    <row r="48" spans="1:13" x14ac:dyDescent="0.2">
      <c r="A48" s="72" t="s">
        <v>619</v>
      </c>
      <c r="B48" s="72" t="s">
        <v>65</v>
      </c>
      <c r="C48" s="72" t="s">
        <v>615</v>
      </c>
      <c r="D48" s="72" t="s">
        <v>35</v>
      </c>
      <c r="E48" s="72" t="s">
        <v>67</v>
      </c>
      <c r="F48" s="72">
        <v>105</v>
      </c>
      <c r="G48" s="72">
        <v>0</v>
      </c>
      <c r="H48" s="72">
        <v>0</v>
      </c>
      <c r="I48" s="72">
        <v>1</v>
      </c>
      <c r="J48" s="72">
        <v>1</v>
      </c>
      <c r="K48" s="72">
        <v>34997</v>
      </c>
      <c r="L48" s="72" t="s">
        <v>2326</v>
      </c>
      <c r="M48" s="72" t="s">
        <v>732</v>
      </c>
    </row>
    <row r="49" spans="1:13" x14ac:dyDescent="0.2">
      <c r="A49" s="72" t="s">
        <v>620</v>
      </c>
      <c r="B49" s="72" t="s">
        <v>65</v>
      </c>
      <c r="C49" s="72" t="s">
        <v>615</v>
      </c>
      <c r="D49" s="72" t="s">
        <v>35</v>
      </c>
      <c r="E49" s="72" t="s">
        <v>67</v>
      </c>
      <c r="F49" s="72">
        <v>105</v>
      </c>
      <c r="G49" s="72">
        <v>0</v>
      </c>
      <c r="H49" s="72">
        <v>0</v>
      </c>
      <c r="I49" s="72">
        <v>1</v>
      </c>
      <c r="J49" s="72">
        <v>1</v>
      </c>
      <c r="K49" s="72">
        <v>34997</v>
      </c>
      <c r="L49" s="72" t="s">
        <v>2326</v>
      </c>
      <c r="M49" s="72" t="s">
        <v>794</v>
      </c>
    </row>
    <row r="50" spans="1:13" x14ac:dyDescent="0.2">
      <c r="A50" s="72" t="s">
        <v>621</v>
      </c>
      <c r="B50" s="72" t="s">
        <v>65</v>
      </c>
      <c r="C50" s="72" t="s">
        <v>615</v>
      </c>
      <c r="D50" s="72" t="s">
        <v>35</v>
      </c>
      <c r="E50" s="72" t="s">
        <v>67</v>
      </c>
      <c r="F50" s="72">
        <v>105</v>
      </c>
      <c r="G50" s="72">
        <v>0</v>
      </c>
      <c r="H50" s="72">
        <v>0</v>
      </c>
      <c r="I50" s="72">
        <v>1</v>
      </c>
      <c r="J50" s="72">
        <v>1</v>
      </c>
      <c r="K50" s="72">
        <v>34997</v>
      </c>
      <c r="L50" s="72" t="s">
        <v>2326</v>
      </c>
      <c r="M50" s="72" t="s">
        <v>738</v>
      </c>
    </row>
    <row r="51" spans="1:13" x14ac:dyDescent="0.2">
      <c r="A51" s="72" t="s">
        <v>622</v>
      </c>
      <c r="B51" s="72" t="s">
        <v>65</v>
      </c>
      <c r="C51" s="72" t="s">
        <v>615</v>
      </c>
      <c r="D51" s="72" t="s">
        <v>35</v>
      </c>
      <c r="E51" s="72" t="s">
        <v>67</v>
      </c>
      <c r="F51" s="72">
        <v>105</v>
      </c>
      <c r="G51" s="72">
        <v>0</v>
      </c>
      <c r="H51" s="72">
        <v>0</v>
      </c>
      <c r="I51" s="72">
        <v>1</v>
      </c>
      <c r="J51" s="72">
        <v>1</v>
      </c>
      <c r="K51" s="72">
        <v>34997</v>
      </c>
      <c r="L51" s="72" t="s">
        <v>2326</v>
      </c>
      <c r="M51" s="72" t="s">
        <v>800</v>
      </c>
    </row>
    <row r="52" spans="1:13" x14ac:dyDescent="0.2">
      <c r="A52" s="72" t="s">
        <v>623</v>
      </c>
      <c r="B52" s="72" t="s">
        <v>65</v>
      </c>
      <c r="C52" s="72" t="s">
        <v>615</v>
      </c>
      <c r="D52" s="72" t="s">
        <v>35</v>
      </c>
      <c r="E52" s="72" t="s">
        <v>67</v>
      </c>
      <c r="F52" s="72">
        <v>105</v>
      </c>
      <c r="G52" s="72">
        <v>0</v>
      </c>
      <c r="H52" s="72">
        <v>0</v>
      </c>
      <c r="I52" s="72">
        <v>1</v>
      </c>
      <c r="J52" s="72">
        <v>1</v>
      </c>
      <c r="K52" s="72">
        <v>34997</v>
      </c>
      <c r="L52" s="72" t="s">
        <v>2326</v>
      </c>
      <c r="M52" s="72" t="s">
        <v>745</v>
      </c>
    </row>
    <row r="53" spans="1:13" x14ac:dyDescent="0.2">
      <c r="A53" s="72" t="s">
        <v>624</v>
      </c>
      <c r="B53" s="72" t="s">
        <v>65</v>
      </c>
      <c r="C53" s="72" t="s">
        <v>615</v>
      </c>
      <c r="D53" s="72" t="s">
        <v>35</v>
      </c>
      <c r="E53" s="72" t="s">
        <v>67</v>
      </c>
      <c r="F53" s="72">
        <v>105</v>
      </c>
      <c r="G53" s="72">
        <v>0</v>
      </c>
      <c r="H53" s="72">
        <v>0</v>
      </c>
      <c r="I53" s="72">
        <v>1</v>
      </c>
      <c r="J53" s="72">
        <v>1</v>
      </c>
      <c r="K53" s="72">
        <v>34997</v>
      </c>
      <c r="L53" s="72" t="s">
        <v>2326</v>
      </c>
      <c r="M53" s="72" t="s">
        <v>806</v>
      </c>
    </row>
    <row r="54" spans="1:13" x14ac:dyDescent="0.2">
      <c r="A54" s="72" t="s">
        <v>603</v>
      </c>
      <c r="B54" s="72" t="s">
        <v>65</v>
      </c>
      <c r="C54" s="72" t="s">
        <v>604</v>
      </c>
      <c r="D54" s="72" t="s">
        <v>35</v>
      </c>
      <c r="E54" s="72" t="s">
        <v>67</v>
      </c>
      <c r="F54" s="72">
        <v>105</v>
      </c>
      <c r="G54" s="72">
        <v>0</v>
      </c>
      <c r="H54" s="72">
        <v>0</v>
      </c>
      <c r="I54" s="72">
        <v>1</v>
      </c>
      <c r="J54" s="72">
        <v>1</v>
      </c>
      <c r="K54" s="72">
        <v>35039</v>
      </c>
      <c r="L54" s="72" t="s">
        <v>2326</v>
      </c>
      <c r="M54" s="72" t="s">
        <v>2338</v>
      </c>
    </row>
    <row r="55" spans="1:13" x14ac:dyDescent="0.2">
      <c r="A55" s="72" t="s">
        <v>605</v>
      </c>
      <c r="B55" s="72" t="s">
        <v>65</v>
      </c>
      <c r="C55" s="72" t="s">
        <v>604</v>
      </c>
      <c r="D55" s="72" t="s">
        <v>35</v>
      </c>
      <c r="E55" s="72" t="s">
        <v>67</v>
      </c>
      <c r="F55" s="72">
        <v>105</v>
      </c>
      <c r="G55" s="72">
        <v>0</v>
      </c>
      <c r="H55" s="72">
        <v>0</v>
      </c>
      <c r="I55" s="72">
        <v>1</v>
      </c>
      <c r="J55" s="72">
        <v>1</v>
      </c>
      <c r="K55" s="72">
        <v>35039</v>
      </c>
      <c r="L55" s="72" t="s">
        <v>2326</v>
      </c>
      <c r="M55" s="72" t="s">
        <v>809</v>
      </c>
    </row>
    <row r="56" spans="1:13" x14ac:dyDescent="0.2">
      <c r="A56" s="72" t="s">
        <v>606</v>
      </c>
      <c r="B56" s="72" t="s">
        <v>65</v>
      </c>
      <c r="C56" s="72" t="s">
        <v>604</v>
      </c>
      <c r="D56" s="72" t="s">
        <v>35</v>
      </c>
      <c r="E56" s="72" t="s">
        <v>67</v>
      </c>
      <c r="F56" s="72">
        <v>105</v>
      </c>
      <c r="G56" s="72">
        <v>0</v>
      </c>
      <c r="H56" s="72">
        <v>0</v>
      </c>
      <c r="I56" s="72">
        <v>1</v>
      </c>
      <c r="J56" s="72">
        <v>1</v>
      </c>
      <c r="K56" s="72">
        <v>35039</v>
      </c>
      <c r="L56" s="72" t="s">
        <v>2326</v>
      </c>
      <c r="M56" s="72" t="s">
        <v>785</v>
      </c>
    </row>
    <row r="57" spans="1:13" x14ac:dyDescent="0.2">
      <c r="A57" s="72" t="s">
        <v>607</v>
      </c>
      <c r="B57" s="72" t="s">
        <v>65</v>
      </c>
      <c r="C57" s="72" t="s">
        <v>604</v>
      </c>
      <c r="D57" s="72" t="s">
        <v>35</v>
      </c>
      <c r="E57" s="72" t="s">
        <v>67</v>
      </c>
      <c r="F57" s="72">
        <v>105</v>
      </c>
      <c r="G57" s="72">
        <v>0</v>
      </c>
      <c r="H57" s="72">
        <v>0</v>
      </c>
      <c r="I57" s="72">
        <v>1</v>
      </c>
      <c r="J57" s="72">
        <v>1</v>
      </c>
      <c r="K57" s="72">
        <v>35039</v>
      </c>
      <c r="L57" s="72" t="s">
        <v>2326</v>
      </c>
      <c r="M57" s="72" t="s">
        <v>729</v>
      </c>
    </row>
    <row r="58" spans="1:13" x14ac:dyDescent="0.2">
      <c r="A58" s="72" t="s">
        <v>608</v>
      </c>
      <c r="B58" s="72" t="s">
        <v>65</v>
      </c>
      <c r="C58" s="72" t="s">
        <v>604</v>
      </c>
      <c r="D58" s="72" t="s">
        <v>35</v>
      </c>
      <c r="E58" s="72" t="s">
        <v>67</v>
      </c>
      <c r="F58" s="72">
        <v>105</v>
      </c>
      <c r="G58" s="72">
        <v>0</v>
      </c>
      <c r="H58" s="72">
        <v>0</v>
      </c>
      <c r="I58" s="72">
        <v>1</v>
      </c>
      <c r="J58" s="72">
        <v>1</v>
      </c>
      <c r="K58" s="72">
        <v>35039</v>
      </c>
      <c r="L58" s="72" t="s">
        <v>2326</v>
      </c>
      <c r="M58" s="72" t="s">
        <v>791</v>
      </c>
    </row>
    <row r="59" spans="1:13" x14ac:dyDescent="0.2">
      <c r="A59" s="72" t="s">
        <v>609</v>
      </c>
      <c r="B59" s="72" t="s">
        <v>65</v>
      </c>
      <c r="C59" s="72" t="s">
        <v>604</v>
      </c>
      <c r="D59" s="72" t="s">
        <v>35</v>
      </c>
      <c r="E59" s="72" t="s">
        <v>67</v>
      </c>
      <c r="F59" s="72">
        <v>105</v>
      </c>
      <c r="G59" s="72">
        <v>0</v>
      </c>
      <c r="H59" s="72">
        <v>0</v>
      </c>
      <c r="I59" s="72">
        <v>1</v>
      </c>
      <c r="J59" s="72">
        <v>1</v>
      </c>
      <c r="K59" s="72">
        <v>35039</v>
      </c>
      <c r="L59" s="72" t="s">
        <v>2326</v>
      </c>
      <c r="M59" s="72" t="s">
        <v>735</v>
      </c>
    </row>
    <row r="60" spans="1:13" x14ac:dyDescent="0.2">
      <c r="A60" s="72" t="s">
        <v>610</v>
      </c>
      <c r="B60" s="72" t="s">
        <v>65</v>
      </c>
      <c r="C60" s="72" t="s">
        <v>604</v>
      </c>
      <c r="D60" s="72" t="s">
        <v>35</v>
      </c>
      <c r="E60" s="72" t="s">
        <v>67</v>
      </c>
      <c r="F60" s="72">
        <v>105</v>
      </c>
      <c r="G60" s="72">
        <v>0</v>
      </c>
      <c r="H60" s="72">
        <v>0</v>
      </c>
      <c r="I60" s="72">
        <v>1</v>
      </c>
      <c r="J60" s="72">
        <v>1</v>
      </c>
      <c r="K60" s="72">
        <v>35039</v>
      </c>
      <c r="L60" s="72" t="s">
        <v>2326</v>
      </c>
      <c r="M60" s="72" t="s">
        <v>797</v>
      </c>
    </row>
    <row r="61" spans="1:13" x14ac:dyDescent="0.2">
      <c r="A61" s="72" t="s">
        <v>611</v>
      </c>
      <c r="B61" s="72" t="s">
        <v>65</v>
      </c>
      <c r="C61" s="72" t="s">
        <v>604</v>
      </c>
      <c r="D61" s="72" t="s">
        <v>35</v>
      </c>
      <c r="E61" s="72" t="s">
        <v>67</v>
      </c>
      <c r="F61" s="72">
        <v>105</v>
      </c>
      <c r="G61" s="72">
        <v>0</v>
      </c>
      <c r="H61" s="72">
        <v>0</v>
      </c>
      <c r="I61" s="72">
        <v>1</v>
      </c>
      <c r="J61" s="72">
        <v>1</v>
      </c>
      <c r="K61" s="72">
        <v>35039</v>
      </c>
      <c r="L61" s="72" t="s">
        <v>2326</v>
      </c>
      <c r="M61" s="72" t="s">
        <v>741</v>
      </c>
    </row>
    <row r="62" spans="1:13" x14ac:dyDescent="0.2">
      <c r="A62" s="72" t="s">
        <v>612</v>
      </c>
      <c r="B62" s="72" t="s">
        <v>65</v>
      </c>
      <c r="C62" s="72" t="s">
        <v>604</v>
      </c>
      <c r="D62" s="72" t="s">
        <v>35</v>
      </c>
      <c r="E62" s="72" t="s">
        <v>67</v>
      </c>
      <c r="F62" s="72">
        <v>105</v>
      </c>
      <c r="G62" s="72">
        <v>0</v>
      </c>
      <c r="H62" s="72">
        <v>0</v>
      </c>
      <c r="I62" s="72">
        <v>1</v>
      </c>
      <c r="J62" s="72">
        <v>1</v>
      </c>
      <c r="K62" s="72">
        <v>35039</v>
      </c>
      <c r="L62" s="72" t="s">
        <v>2326</v>
      </c>
      <c r="M62" s="72" t="s">
        <v>803</v>
      </c>
    </row>
    <row r="63" spans="1:13" x14ac:dyDescent="0.2">
      <c r="A63" s="72" t="s">
        <v>613</v>
      </c>
      <c r="B63" s="72" t="s">
        <v>65</v>
      </c>
      <c r="C63" s="72" t="s">
        <v>604</v>
      </c>
      <c r="D63" s="72" t="s">
        <v>35</v>
      </c>
      <c r="E63" s="72" t="s">
        <v>67</v>
      </c>
      <c r="F63" s="72">
        <v>105</v>
      </c>
      <c r="G63" s="72">
        <v>0</v>
      </c>
      <c r="H63" s="72">
        <v>0</v>
      </c>
      <c r="I63" s="72">
        <v>1</v>
      </c>
      <c r="J63" s="72">
        <v>1</v>
      </c>
      <c r="K63" s="72">
        <v>35039</v>
      </c>
      <c r="L63" s="72" t="s">
        <v>2326</v>
      </c>
      <c r="M63" s="72" t="s">
        <v>748</v>
      </c>
    </row>
    <row r="64" spans="1:13" x14ac:dyDescent="0.2">
      <c r="A64" s="72" t="s">
        <v>592</v>
      </c>
      <c r="B64" s="72" t="s">
        <v>65</v>
      </c>
      <c r="C64" s="72" t="s">
        <v>593</v>
      </c>
      <c r="D64" s="72" t="s">
        <v>32</v>
      </c>
      <c r="E64" s="72" t="s">
        <v>67</v>
      </c>
      <c r="F64" s="72">
        <v>231</v>
      </c>
      <c r="G64" s="72">
        <v>8</v>
      </c>
      <c r="H64" s="72">
        <v>480</v>
      </c>
      <c r="I64" s="72">
        <v>1</v>
      </c>
      <c r="J64" s="72">
        <v>1</v>
      </c>
      <c r="K64" s="72">
        <v>224131</v>
      </c>
      <c r="L64" s="72" t="s">
        <v>2326</v>
      </c>
      <c r="M64" s="72" t="s">
        <v>2339</v>
      </c>
    </row>
    <row r="65" spans="1:13" x14ac:dyDescent="0.2">
      <c r="A65" s="72" t="s">
        <v>594</v>
      </c>
      <c r="B65" s="72" t="s">
        <v>65</v>
      </c>
      <c r="C65" s="72" t="s">
        <v>593</v>
      </c>
      <c r="D65" s="72" t="s">
        <v>32</v>
      </c>
      <c r="E65" s="72" t="s">
        <v>67</v>
      </c>
      <c r="F65" s="72">
        <v>231</v>
      </c>
      <c r="G65" s="72">
        <v>8</v>
      </c>
      <c r="H65" s="72">
        <v>480</v>
      </c>
      <c r="I65" s="72">
        <v>1</v>
      </c>
      <c r="J65" s="72">
        <v>1</v>
      </c>
      <c r="K65" s="72">
        <v>224131</v>
      </c>
      <c r="L65" s="72" t="s">
        <v>2326</v>
      </c>
      <c r="M65" s="72" t="s">
        <v>1782</v>
      </c>
    </row>
    <row r="66" spans="1:13" x14ac:dyDescent="0.2">
      <c r="A66" s="72" t="s">
        <v>595</v>
      </c>
      <c r="B66" s="72" t="s">
        <v>65</v>
      </c>
      <c r="C66" s="72" t="s">
        <v>593</v>
      </c>
      <c r="D66" s="72" t="s">
        <v>32</v>
      </c>
      <c r="E66" s="72" t="s">
        <v>67</v>
      </c>
      <c r="F66" s="72">
        <v>231</v>
      </c>
      <c r="G66" s="72">
        <v>8</v>
      </c>
      <c r="H66" s="72">
        <v>480</v>
      </c>
      <c r="I66" s="72">
        <v>1</v>
      </c>
      <c r="J66" s="72">
        <v>1</v>
      </c>
      <c r="K66" s="72">
        <v>224131</v>
      </c>
      <c r="L66" s="72" t="s">
        <v>2326</v>
      </c>
      <c r="M66" s="72" t="s">
        <v>2340</v>
      </c>
    </row>
    <row r="67" spans="1:13" x14ac:dyDescent="0.2">
      <c r="A67" s="72" t="s">
        <v>596</v>
      </c>
      <c r="B67" s="72" t="s">
        <v>65</v>
      </c>
      <c r="C67" s="72" t="s">
        <v>593</v>
      </c>
      <c r="D67" s="72" t="s">
        <v>32</v>
      </c>
      <c r="E67" s="72" t="s">
        <v>67</v>
      </c>
      <c r="F67" s="72">
        <v>231</v>
      </c>
      <c r="G67" s="72">
        <v>8</v>
      </c>
      <c r="H67" s="72">
        <v>480</v>
      </c>
      <c r="I67" s="72">
        <v>1</v>
      </c>
      <c r="J67" s="72">
        <v>1</v>
      </c>
      <c r="K67" s="72">
        <v>224131</v>
      </c>
      <c r="L67" s="72" t="s">
        <v>2326</v>
      </c>
      <c r="M67" s="72" t="s">
        <v>2341</v>
      </c>
    </row>
    <row r="68" spans="1:13" x14ac:dyDescent="0.2">
      <c r="A68" s="72" t="s">
        <v>597</v>
      </c>
      <c r="B68" s="72" t="s">
        <v>65</v>
      </c>
      <c r="C68" s="72" t="s">
        <v>593</v>
      </c>
      <c r="D68" s="72" t="s">
        <v>32</v>
      </c>
      <c r="E68" s="72" t="s">
        <v>67</v>
      </c>
      <c r="F68" s="72">
        <v>231</v>
      </c>
      <c r="G68" s="72">
        <v>8</v>
      </c>
      <c r="H68" s="72">
        <v>480</v>
      </c>
      <c r="I68" s="72">
        <v>1</v>
      </c>
      <c r="J68" s="72">
        <v>1</v>
      </c>
      <c r="K68" s="72">
        <v>224131</v>
      </c>
      <c r="L68" s="72" t="s">
        <v>2326</v>
      </c>
      <c r="M68" s="72" t="s">
        <v>2342</v>
      </c>
    </row>
    <row r="69" spans="1:13" x14ac:dyDescent="0.2">
      <c r="A69" s="72" t="s">
        <v>598</v>
      </c>
      <c r="B69" s="72" t="s">
        <v>65</v>
      </c>
      <c r="C69" s="72" t="s">
        <v>593</v>
      </c>
      <c r="D69" s="72" t="s">
        <v>32</v>
      </c>
      <c r="E69" s="72" t="s">
        <v>67</v>
      </c>
      <c r="F69" s="72">
        <v>231</v>
      </c>
      <c r="G69" s="72">
        <v>8</v>
      </c>
      <c r="H69" s="72">
        <v>480</v>
      </c>
      <c r="I69" s="72">
        <v>1</v>
      </c>
      <c r="J69" s="72">
        <v>1</v>
      </c>
      <c r="K69" s="72">
        <v>224131</v>
      </c>
      <c r="L69" s="72" t="s">
        <v>2326</v>
      </c>
      <c r="M69" s="72" t="s">
        <v>1744</v>
      </c>
    </row>
    <row r="70" spans="1:13" x14ac:dyDescent="0.2">
      <c r="A70" s="72" t="s">
        <v>599</v>
      </c>
      <c r="B70" s="72" t="s">
        <v>65</v>
      </c>
      <c r="C70" s="72" t="s">
        <v>593</v>
      </c>
      <c r="D70" s="72" t="s">
        <v>32</v>
      </c>
      <c r="E70" s="72" t="s">
        <v>67</v>
      </c>
      <c r="F70" s="72">
        <v>231</v>
      </c>
      <c r="G70" s="72">
        <v>8</v>
      </c>
      <c r="H70" s="72">
        <v>480</v>
      </c>
      <c r="I70" s="72">
        <v>1</v>
      </c>
      <c r="J70" s="72">
        <v>1</v>
      </c>
      <c r="K70" s="72">
        <v>224131</v>
      </c>
      <c r="L70" s="72" t="s">
        <v>2326</v>
      </c>
      <c r="M70" s="72" t="s">
        <v>996</v>
      </c>
    </row>
    <row r="71" spans="1:13" x14ac:dyDescent="0.2">
      <c r="A71" s="72" t="s">
        <v>600</v>
      </c>
      <c r="B71" s="72" t="s">
        <v>65</v>
      </c>
      <c r="C71" s="72" t="s">
        <v>593</v>
      </c>
      <c r="D71" s="72" t="s">
        <v>32</v>
      </c>
      <c r="E71" s="72" t="s">
        <v>67</v>
      </c>
      <c r="F71" s="72">
        <v>231</v>
      </c>
      <c r="G71" s="72">
        <v>8</v>
      </c>
      <c r="H71" s="72">
        <v>480</v>
      </c>
      <c r="I71" s="72">
        <v>1</v>
      </c>
      <c r="J71" s="72">
        <v>1</v>
      </c>
      <c r="K71" s="72">
        <v>224131</v>
      </c>
      <c r="L71" s="72" t="s">
        <v>2326</v>
      </c>
      <c r="M71" s="72" t="s">
        <v>1392</v>
      </c>
    </row>
    <row r="72" spans="1:13" x14ac:dyDescent="0.2">
      <c r="A72" s="72" t="s">
        <v>601</v>
      </c>
      <c r="B72" s="72" t="s">
        <v>65</v>
      </c>
      <c r="C72" s="72" t="s">
        <v>593</v>
      </c>
      <c r="D72" s="72" t="s">
        <v>32</v>
      </c>
      <c r="E72" s="72" t="s">
        <v>67</v>
      </c>
      <c r="F72" s="72">
        <v>231</v>
      </c>
      <c r="G72" s="72">
        <v>8</v>
      </c>
      <c r="H72" s="72">
        <v>480</v>
      </c>
      <c r="I72" s="72">
        <v>1</v>
      </c>
      <c r="J72" s="72">
        <v>1</v>
      </c>
      <c r="K72" s="72">
        <v>224131</v>
      </c>
      <c r="L72" s="72" t="s">
        <v>2326</v>
      </c>
      <c r="M72" s="72" t="s">
        <v>1105</v>
      </c>
    </row>
    <row r="73" spans="1:13" x14ac:dyDescent="0.2">
      <c r="A73" s="72" t="s">
        <v>602</v>
      </c>
      <c r="B73" s="72" t="s">
        <v>65</v>
      </c>
      <c r="C73" s="72" t="s">
        <v>593</v>
      </c>
      <c r="D73" s="72" t="s">
        <v>32</v>
      </c>
      <c r="E73" s="72" t="s">
        <v>67</v>
      </c>
      <c r="F73" s="72">
        <v>231</v>
      </c>
      <c r="G73" s="72">
        <v>8</v>
      </c>
      <c r="H73" s="72">
        <v>480</v>
      </c>
      <c r="I73" s="72">
        <v>1</v>
      </c>
      <c r="J73" s="72">
        <v>1</v>
      </c>
      <c r="K73" s="72">
        <v>224131</v>
      </c>
      <c r="L73" s="72" t="s">
        <v>2326</v>
      </c>
      <c r="M73" s="72" t="s">
        <v>1498</v>
      </c>
    </row>
    <row r="74" spans="1:13" x14ac:dyDescent="0.2">
      <c r="A74" s="72" t="s">
        <v>581</v>
      </c>
      <c r="B74" s="72" t="s">
        <v>65</v>
      </c>
      <c r="C74" s="72" t="s">
        <v>582</v>
      </c>
      <c r="D74" s="72" t="s">
        <v>32</v>
      </c>
      <c r="E74" s="72" t="s">
        <v>67</v>
      </c>
      <c r="F74" s="72">
        <v>231</v>
      </c>
      <c r="G74" s="72">
        <v>8</v>
      </c>
      <c r="H74" s="72">
        <v>480</v>
      </c>
      <c r="I74" s="72">
        <v>1</v>
      </c>
      <c r="J74" s="72">
        <v>1</v>
      </c>
      <c r="K74" s="72">
        <v>224120</v>
      </c>
      <c r="L74" s="72" t="s">
        <v>2326</v>
      </c>
      <c r="M74" s="72" t="s">
        <v>2343</v>
      </c>
    </row>
    <row r="75" spans="1:13" x14ac:dyDescent="0.2">
      <c r="A75" s="72" t="s">
        <v>583</v>
      </c>
      <c r="B75" s="72" t="s">
        <v>65</v>
      </c>
      <c r="C75" s="72" t="s">
        <v>582</v>
      </c>
      <c r="D75" s="72" t="s">
        <v>32</v>
      </c>
      <c r="E75" s="72" t="s">
        <v>67</v>
      </c>
      <c r="F75" s="72">
        <v>231</v>
      </c>
      <c r="G75" s="72">
        <v>8</v>
      </c>
      <c r="H75" s="72">
        <v>480</v>
      </c>
      <c r="I75" s="72">
        <v>1</v>
      </c>
      <c r="J75" s="72">
        <v>1</v>
      </c>
      <c r="K75" s="72">
        <v>224120</v>
      </c>
      <c r="L75" s="72" t="s">
        <v>2326</v>
      </c>
      <c r="M75" s="72" t="s">
        <v>2033</v>
      </c>
    </row>
    <row r="76" spans="1:13" x14ac:dyDescent="0.2">
      <c r="A76" s="72" t="s">
        <v>584</v>
      </c>
      <c r="B76" s="72" t="s">
        <v>65</v>
      </c>
      <c r="C76" s="72" t="s">
        <v>582</v>
      </c>
      <c r="D76" s="72" t="s">
        <v>32</v>
      </c>
      <c r="E76" s="72" t="s">
        <v>67</v>
      </c>
      <c r="F76" s="72">
        <v>231</v>
      </c>
      <c r="G76" s="72">
        <v>8</v>
      </c>
      <c r="H76" s="72">
        <v>480</v>
      </c>
      <c r="I76" s="72">
        <v>1</v>
      </c>
      <c r="J76" s="72">
        <v>1</v>
      </c>
      <c r="K76" s="72">
        <v>224120</v>
      </c>
      <c r="L76" s="72" t="s">
        <v>2326</v>
      </c>
      <c r="M76" s="72" t="s">
        <v>992</v>
      </c>
    </row>
    <row r="77" spans="1:13" x14ac:dyDescent="0.2">
      <c r="A77" s="72" t="s">
        <v>585</v>
      </c>
      <c r="B77" s="72" t="s">
        <v>65</v>
      </c>
      <c r="C77" s="72" t="s">
        <v>582</v>
      </c>
      <c r="D77" s="72" t="s">
        <v>32</v>
      </c>
      <c r="E77" s="72" t="s">
        <v>67</v>
      </c>
      <c r="F77" s="72">
        <v>231</v>
      </c>
      <c r="G77" s="72">
        <v>8</v>
      </c>
      <c r="H77" s="72">
        <v>480</v>
      </c>
      <c r="I77" s="72">
        <v>1</v>
      </c>
      <c r="J77" s="72">
        <v>1</v>
      </c>
      <c r="K77" s="72">
        <v>224120</v>
      </c>
      <c r="L77" s="72" t="s">
        <v>2326</v>
      </c>
      <c r="M77" s="72" t="s">
        <v>1389</v>
      </c>
    </row>
    <row r="78" spans="1:13" x14ac:dyDescent="0.2">
      <c r="A78" s="72" t="s">
        <v>586</v>
      </c>
      <c r="B78" s="72" t="s">
        <v>65</v>
      </c>
      <c r="C78" s="72" t="s">
        <v>582</v>
      </c>
      <c r="D78" s="72" t="s">
        <v>32</v>
      </c>
      <c r="E78" s="72" t="s">
        <v>67</v>
      </c>
      <c r="F78" s="72">
        <v>231</v>
      </c>
      <c r="G78" s="72">
        <v>8</v>
      </c>
      <c r="H78" s="72">
        <v>480</v>
      </c>
      <c r="I78" s="72">
        <v>1</v>
      </c>
      <c r="J78" s="72">
        <v>1</v>
      </c>
      <c r="K78" s="72">
        <v>224120</v>
      </c>
      <c r="L78" s="72" t="s">
        <v>2326</v>
      </c>
      <c r="M78" s="72" t="s">
        <v>1102</v>
      </c>
    </row>
    <row r="79" spans="1:13" x14ac:dyDescent="0.2">
      <c r="A79" s="72" t="s">
        <v>587</v>
      </c>
      <c r="B79" s="72" t="s">
        <v>65</v>
      </c>
      <c r="C79" s="72" t="s">
        <v>582</v>
      </c>
      <c r="D79" s="72" t="s">
        <v>32</v>
      </c>
      <c r="E79" s="72" t="s">
        <v>67</v>
      </c>
      <c r="F79" s="72">
        <v>231</v>
      </c>
      <c r="G79" s="72">
        <v>8</v>
      </c>
      <c r="H79" s="72">
        <v>480</v>
      </c>
      <c r="I79" s="72">
        <v>1</v>
      </c>
      <c r="J79" s="72">
        <v>1</v>
      </c>
      <c r="K79" s="72">
        <v>224120</v>
      </c>
      <c r="L79" s="72" t="s">
        <v>2326</v>
      </c>
      <c r="M79" s="72" t="s">
        <v>1495</v>
      </c>
    </row>
    <row r="80" spans="1:13" x14ac:dyDescent="0.2">
      <c r="A80" s="72" t="s">
        <v>588</v>
      </c>
      <c r="B80" s="72" t="s">
        <v>65</v>
      </c>
      <c r="C80" s="72" t="s">
        <v>582</v>
      </c>
      <c r="D80" s="72" t="s">
        <v>32</v>
      </c>
      <c r="E80" s="72" t="s">
        <v>67</v>
      </c>
      <c r="F80" s="72">
        <v>231</v>
      </c>
      <c r="G80" s="72">
        <v>8</v>
      </c>
      <c r="H80" s="72">
        <v>480</v>
      </c>
      <c r="I80" s="72">
        <v>1</v>
      </c>
      <c r="J80" s="72">
        <v>1</v>
      </c>
      <c r="K80" s="72">
        <v>224120</v>
      </c>
      <c r="L80" s="72" t="s">
        <v>2326</v>
      </c>
      <c r="M80" s="72" t="s">
        <v>1779</v>
      </c>
    </row>
    <row r="81" spans="1:13" x14ac:dyDescent="0.2">
      <c r="A81" s="72" t="s">
        <v>589</v>
      </c>
      <c r="B81" s="72" t="s">
        <v>65</v>
      </c>
      <c r="C81" s="72" t="s">
        <v>582</v>
      </c>
      <c r="D81" s="72" t="s">
        <v>32</v>
      </c>
      <c r="E81" s="72" t="s">
        <v>67</v>
      </c>
      <c r="F81" s="72">
        <v>231</v>
      </c>
      <c r="G81" s="72">
        <v>8</v>
      </c>
      <c r="H81" s="72">
        <v>480</v>
      </c>
      <c r="I81" s="72">
        <v>1</v>
      </c>
      <c r="J81" s="72">
        <v>1</v>
      </c>
      <c r="K81" s="72">
        <v>224120</v>
      </c>
      <c r="L81" s="72" t="s">
        <v>2326</v>
      </c>
      <c r="M81" s="72" t="s">
        <v>1619</v>
      </c>
    </row>
    <row r="82" spans="1:13" x14ac:dyDescent="0.2">
      <c r="A82" s="72" t="s">
        <v>590</v>
      </c>
      <c r="B82" s="72" t="s">
        <v>65</v>
      </c>
      <c r="C82" s="72" t="s">
        <v>582</v>
      </c>
      <c r="D82" s="72" t="s">
        <v>32</v>
      </c>
      <c r="E82" s="72" t="s">
        <v>67</v>
      </c>
      <c r="F82" s="72">
        <v>231</v>
      </c>
      <c r="G82" s="72">
        <v>8</v>
      </c>
      <c r="H82" s="72">
        <v>480</v>
      </c>
      <c r="I82" s="72">
        <v>1</v>
      </c>
      <c r="J82" s="72">
        <v>1</v>
      </c>
      <c r="K82" s="72">
        <v>224120</v>
      </c>
      <c r="L82" s="72" t="s">
        <v>2326</v>
      </c>
      <c r="M82" s="72" t="s">
        <v>1856</v>
      </c>
    </row>
    <row r="83" spans="1:13" x14ac:dyDescent="0.2">
      <c r="A83" s="72" t="s">
        <v>591</v>
      </c>
      <c r="B83" s="72" t="s">
        <v>65</v>
      </c>
      <c r="C83" s="72" t="s">
        <v>582</v>
      </c>
      <c r="D83" s="72" t="s">
        <v>32</v>
      </c>
      <c r="E83" s="72" t="s">
        <v>67</v>
      </c>
      <c r="F83" s="72">
        <v>231</v>
      </c>
      <c r="G83" s="72">
        <v>8</v>
      </c>
      <c r="H83" s="72">
        <v>480</v>
      </c>
      <c r="I83" s="72">
        <v>1</v>
      </c>
      <c r="J83" s="72">
        <v>1</v>
      </c>
      <c r="K83" s="72">
        <v>224120</v>
      </c>
      <c r="L83" s="72" t="s">
        <v>2326</v>
      </c>
      <c r="M83" s="72" t="s">
        <v>1987</v>
      </c>
    </row>
    <row r="84" spans="1:13" x14ac:dyDescent="0.2">
      <c r="A84" s="72" t="s">
        <v>570</v>
      </c>
      <c r="B84" s="72" t="s">
        <v>65</v>
      </c>
      <c r="C84" s="72" t="s">
        <v>571</v>
      </c>
      <c r="D84" s="72" t="s">
        <v>32</v>
      </c>
      <c r="E84" s="72" t="s">
        <v>67</v>
      </c>
      <c r="F84" s="72">
        <v>227</v>
      </c>
      <c r="G84" s="72">
        <v>8</v>
      </c>
      <c r="H84" s="72">
        <v>480</v>
      </c>
      <c r="I84" s="72">
        <v>1</v>
      </c>
      <c r="J84" s="72">
        <v>1</v>
      </c>
      <c r="K84" s="72">
        <v>98831</v>
      </c>
      <c r="L84" s="72" t="s">
        <v>2326</v>
      </c>
      <c r="M84" s="72" t="s">
        <v>2344</v>
      </c>
    </row>
    <row r="85" spans="1:13" x14ac:dyDescent="0.2">
      <c r="A85" s="72" t="s">
        <v>572</v>
      </c>
      <c r="B85" s="72" t="s">
        <v>65</v>
      </c>
      <c r="C85" s="72" t="s">
        <v>571</v>
      </c>
      <c r="D85" s="72" t="s">
        <v>32</v>
      </c>
      <c r="E85" s="72" t="s">
        <v>67</v>
      </c>
      <c r="F85" s="72">
        <v>227</v>
      </c>
      <c r="G85" s="72">
        <v>8</v>
      </c>
      <c r="H85" s="72">
        <v>480</v>
      </c>
      <c r="I85" s="72">
        <v>1</v>
      </c>
      <c r="J85" s="72">
        <v>1</v>
      </c>
      <c r="K85" s="72">
        <v>98831</v>
      </c>
      <c r="L85" s="72" t="s">
        <v>2326</v>
      </c>
      <c r="M85" s="72" t="s">
        <v>1751</v>
      </c>
    </row>
    <row r="86" spans="1:13" x14ac:dyDescent="0.2">
      <c r="A86" s="72" t="s">
        <v>573</v>
      </c>
      <c r="B86" s="72" t="s">
        <v>65</v>
      </c>
      <c r="C86" s="72" t="s">
        <v>571</v>
      </c>
      <c r="D86" s="72" t="s">
        <v>32</v>
      </c>
      <c r="E86" s="72" t="s">
        <v>67</v>
      </c>
      <c r="F86" s="72">
        <v>227</v>
      </c>
      <c r="G86" s="72">
        <v>8</v>
      </c>
      <c r="H86" s="72">
        <v>480</v>
      </c>
      <c r="I86" s="72">
        <v>1</v>
      </c>
      <c r="J86" s="72">
        <v>1</v>
      </c>
      <c r="K86" s="72">
        <v>98831</v>
      </c>
      <c r="L86" s="72" t="s">
        <v>2326</v>
      </c>
      <c r="M86" s="72" t="s">
        <v>2345</v>
      </c>
    </row>
    <row r="87" spans="1:13" x14ac:dyDescent="0.2">
      <c r="A87" s="72" t="s">
        <v>574</v>
      </c>
      <c r="B87" s="72" t="s">
        <v>65</v>
      </c>
      <c r="C87" s="72" t="s">
        <v>571</v>
      </c>
      <c r="D87" s="72" t="s">
        <v>32</v>
      </c>
      <c r="E87" s="72" t="s">
        <v>67</v>
      </c>
      <c r="F87" s="72">
        <v>227</v>
      </c>
      <c r="G87" s="72">
        <v>8</v>
      </c>
      <c r="H87" s="72">
        <v>480</v>
      </c>
      <c r="I87" s="72">
        <v>1</v>
      </c>
      <c r="J87" s="72">
        <v>1</v>
      </c>
      <c r="K87" s="72">
        <v>98831</v>
      </c>
      <c r="L87" s="72" t="s">
        <v>2326</v>
      </c>
      <c r="M87" s="72" t="s">
        <v>1099</v>
      </c>
    </row>
    <row r="88" spans="1:13" x14ac:dyDescent="0.2">
      <c r="A88" s="72" t="s">
        <v>575</v>
      </c>
      <c r="B88" s="72" t="s">
        <v>65</v>
      </c>
      <c r="C88" s="72" t="s">
        <v>571</v>
      </c>
      <c r="D88" s="72" t="s">
        <v>32</v>
      </c>
      <c r="E88" s="72" t="s">
        <v>67</v>
      </c>
      <c r="F88" s="72">
        <v>227</v>
      </c>
      <c r="G88" s="72">
        <v>8</v>
      </c>
      <c r="H88" s="72">
        <v>480</v>
      </c>
      <c r="I88" s="72">
        <v>1</v>
      </c>
      <c r="J88" s="72">
        <v>1</v>
      </c>
      <c r="K88" s="72">
        <v>98831</v>
      </c>
      <c r="L88" s="72" t="s">
        <v>2326</v>
      </c>
      <c r="M88" s="72" t="s">
        <v>1492</v>
      </c>
    </row>
    <row r="89" spans="1:13" x14ac:dyDescent="0.2">
      <c r="A89" s="72" t="s">
        <v>576</v>
      </c>
      <c r="B89" s="72" t="s">
        <v>65</v>
      </c>
      <c r="C89" s="72" t="s">
        <v>571</v>
      </c>
      <c r="D89" s="72" t="s">
        <v>32</v>
      </c>
      <c r="E89" s="72" t="s">
        <v>67</v>
      </c>
      <c r="F89" s="72">
        <v>227</v>
      </c>
      <c r="G89" s="72">
        <v>8</v>
      </c>
      <c r="H89" s="72">
        <v>480</v>
      </c>
      <c r="I89" s="72">
        <v>1</v>
      </c>
      <c r="J89" s="72">
        <v>1</v>
      </c>
      <c r="K89" s="72">
        <v>98831</v>
      </c>
      <c r="L89" s="72" t="s">
        <v>2326</v>
      </c>
      <c r="M89" s="72" t="s">
        <v>1776</v>
      </c>
    </row>
    <row r="90" spans="1:13" x14ac:dyDescent="0.2">
      <c r="A90" s="72" t="s">
        <v>577</v>
      </c>
      <c r="B90" s="72" t="s">
        <v>65</v>
      </c>
      <c r="C90" s="72" t="s">
        <v>571</v>
      </c>
      <c r="D90" s="72" t="s">
        <v>32</v>
      </c>
      <c r="E90" s="72" t="s">
        <v>67</v>
      </c>
      <c r="F90" s="72">
        <v>227</v>
      </c>
      <c r="G90" s="72">
        <v>8</v>
      </c>
      <c r="H90" s="72">
        <v>480</v>
      </c>
      <c r="I90" s="72">
        <v>1</v>
      </c>
      <c r="J90" s="72">
        <v>1</v>
      </c>
      <c r="K90" s="72">
        <v>98831</v>
      </c>
      <c r="L90" s="72" t="s">
        <v>2326</v>
      </c>
      <c r="M90" s="72" t="s">
        <v>1616</v>
      </c>
    </row>
    <row r="91" spans="1:13" x14ac:dyDescent="0.2">
      <c r="A91" s="72" t="s">
        <v>578</v>
      </c>
      <c r="B91" s="72" t="s">
        <v>65</v>
      </c>
      <c r="C91" s="72" t="s">
        <v>571</v>
      </c>
      <c r="D91" s="72" t="s">
        <v>32</v>
      </c>
      <c r="E91" s="72" t="s">
        <v>67</v>
      </c>
      <c r="F91" s="72">
        <v>227</v>
      </c>
      <c r="G91" s="72">
        <v>8</v>
      </c>
      <c r="H91" s="72">
        <v>480</v>
      </c>
      <c r="I91" s="72">
        <v>1</v>
      </c>
      <c r="J91" s="72">
        <v>1</v>
      </c>
      <c r="K91" s="72">
        <v>98831</v>
      </c>
      <c r="L91" s="72" t="s">
        <v>2326</v>
      </c>
      <c r="M91" s="72" t="s">
        <v>1853</v>
      </c>
    </row>
    <row r="92" spans="1:13" x14ac:dyDescent="0.2">
      <c r="A92" s="72" t="s">
        <v>579</v>
      </c>
      <c r="B92" s="72" t="s">
        <v>65</v>
      </c>
      <c r="C92" s="72" t="s">
        <v>571</v>
      </c>
      <c r="D92" s="72" t="s">
        <v>32</v>
      </c>
      <c r="E92" s="72" t="s">
        <v>67</v>
      </c>
      <c r="F92" s="72">
        <v>227</v>
      </c>
      <c r="G92" s="72">
        <v>8</v>
      </c>
      <c r="H92" s="72">
        <v>480</v>
      </c>
      <c r="I92" s="72">
        <v>1</v>
      </c>
      <c r="J92" s="72">
        <v>1</v>
      </c>
      <c r="K92" s="72">
        <v>98831</v>
      </c>
      <c r="L92" s="72" t="s">
        <v>2326</v>
      </c>
      <c r="M92" s="72" t="s">
        <v>1984</v>
      </c>
    </row>
    <row r="93" spans="1:13" x14ac:dyDescent="0.2">
      <c r="A93" s="72" t="s">
        <v>580</v>
      </c>
      <c r="B93" s="72" t="s">
        <v>65</v>
      </c>
      <c r="C93" s="72" t="s">
        <v>571</v>
      </c>
      <c r="D93" s="72" t="s">
        <v>32</v>
      </c>
      <c r="E93" s="72" t="s">
        <v>67</v>
      </c>
      <c r="F93" s="72">
        <v>227</v>
      </c>
      <c r="G93" s="72">
        <v>8</v>
      </c>
      <c r="H93" s="72">
        <v>480</v>
      </c>
      <c r="I93" s="72">
        <v>1</v>
      </c>
      <c r="J93" s="72">
        <v>1</v>
      </c>
      <c r="K93" s="72">
        <v>98831</v>
      </c>
      <c r="L93" s="72" t="s">
        <v>2326</v>
      </c>
      <c r="M93" s="72" t="s">
        <v>2030</v>
      </c>
    </row>
    <row r="94" spans="1:13" x14ac:dyDescent="0.2">
      <c r="A94" s="72" t="s">
        <v>559</v>
      </c>
      <c r="B94" s="72" t="s">
        <v>65</v>
      </c>
      <c r="C94" s="72" t="s">
        <v>560</v>
      </c>
      <c r="D94" s="72" t="s">
        <v>32</v>
      </c>
      <c r="E94" s="72" t="s">
        <v>67</v>
      </c>
      <c r="F94" s="72">
        <v>227</v>
      </c>
      <c r="G94" s="72">
        <v>8</v>
      </c>
      <c r="H94" s="72">
        <v>480</v>
      </c>
      <c r="I94" s="72">
        <v>1</v>
      </c>
      <c r="J94" s="72">
        <v>1</v>
      </c>
      <c r="K94" s="72">
        <v>98831</v>
      </c>
      <c r="L94" s="72" t="s">
        <v>2326</v>
      </c>
      <c r="M94" s="72" t="s">
        <v>2346</v>
      </c>
    </row>
    <row r="95" spans="1:13" x14ac:dyDescent="0.2">
      <c r="A95" s="72" t="s">
        <v>561</v>
      </c>
      <c r="B95" s="72" t="s">
        <v>65</v>
      </c>
      <c r="C95" s="72" t="s">
        <v>560</v>
      </c>
      <c r="D95" s="72" t="s">
        <v>32</v>
      </c>
      <c r="E95" s="72" t="s">
        <v>67</v>
      </c>
      <c r="F95" s="72">
        <v>227</v>
      </c>
      <c r="G95" s="72">
        <v>8</v>
      </c>
      <c r="H95" s="72">
        <v>480</v>
      </c>
      <c r="I95" s="72">
        <v>1</v>
      </c>
      <c r="J95" s="72">
        <v>1</v>
      </c>
      <c r="K95" s="72">
        <v>98831</v>
      </c>
      <c r="L95" s="72" t="s">
        <v>2326</v>
      </c>
      <c r="M95" s="72" t="s">
        <v>1396</v>
      </c>
    </row>
    <row r="96" spans="1:13" x14ac:dyDescent="0.2">
      <c r="A96" s="72" t="s">
        <v>562</v>
      </c>
      <c r="B96" s="72" t="s">
        <v>65</v>
      </c>
      <c r="C96" s="72" t="s">
        <v>560</v>
      </c>
      <c r="D96" s="72" t="s">
        <v>32</v>
      </c>
      <c r="E96" s="72" t="s">
        <v>67</v>
      </c>
      <c r="F96" s="72">
        <v>227</v>
      </c>
      <c r="G96" s="72">
        <v>8</v>
      </c>
      <c r="H96" s="72">
        <v>480</v>
      </c>
      <c r="I96" s="72">
        <v>1</v>
      </c>
      <c r="J96" s="72">
        <v>1</v>
      </c>
      <c r="K96" s="72">
        <v>98831</v>
      </c>
      <c r="L96" s="72" t="s">
        <v>2326</v>
      </c>
      <c r="M96" s="72" t="s">
        <v>2347</v>
      </c>
    </row>
    <row r="97" spans="1:13" x14ac:dyDescent="0.2">
      <c r="A97" s="72" t="s">
        <v>563</v>
      </c>
      <c r="B97" s="72" t="s">
        <v>65</v>
      </c>
      <c r="C97" s="72" t="s">
        <v>560</v>
      </c>
      <c r="D97" s="72" t="s">
        <v>32</v>
      </c>
      <c r="E97" s="72" t="s">
        <v>67</v>
      </c>
      <c r="F97" s="72">
        <v>227</v>
      </c>
      <c r="G97" s="72">
        <v>8</v>
      </c>
      <c r="H97" s="72">
        <v>480</v>
      </c>
      <c r="I97" s="72">
        <v>1</v>
      </c>
      <c r="J97" s="72">
        <v>1</v>
      </c>
      <c r="K97" s="72">
        <v>98831</v>
      </c>
      <c r="L97" s="72" t="s">
        <v>2326</v>
      </c>
      <c r="M97" s="72" t="s">
        <v>2348</v>
      </c>
    </row>
    <row r="98" spans="1:13" x14ac:dyDescent="0.2">
      <c r="A98" s="72" t="s">
        <v>564</v>
      </c>
      <c r="B98" s="72" t="s">
        <v>65</v>
      </c>
      <c r="C98" s="72" t="s">
        <v>560</v>
      </c>
      <c r="D98" s="72" t="s">
        <v>32</v>
      </c>
      <c r="E98" s="72" t="s">
        <v>67</v>
      </c>
      <c r="F98" s="72">
        <v>227</v>
      </c>
      <c r="G98" s="72">
        <v>8</v>
      </c>
      <c r="H98" s="72">
        <v>480</v>
      </c>
      <c r="I98" s="72">
        <v>1</v>
      </c>
      <c r="J98" s="72">
        <v>1</v>
      </c>
      <c r="K98" s="72">
        <v>98831</v>
      </c>
      <c r="L98" s="72" t="s">
        <v>2326</v>
      </c>
      <c r="M98" s="72" t="s">
        <v>1613</v>
      </c>
    </row>
    <row r="99" spans="1:13" x14ac:dyDescent="0.2">
      <c r="A99" s="72" t="s">
        <v>565</v>
      </c>
      <c r="B99" s="72" t="s">
        <v>65</v>
      </c>
      <c r="C99" s="72" t="s">
        <v>560</v>
      </c>
      <c r="D99" s="72" t="s">
        <v>32</v>
      </c>
      <c r="E99" s="72" t="s">
        <v>67</v>
      </c>
      <c r="F99" s="72">
        <v>227</v>
      </c>
      <c r="G99" s="72">
        <v>8</v>
      </c>
      <c r="H99" s="72">
        <v>480</v>
      </c>
      <c r="I99" s="72">
        <v>1</v>
      </c>
      <c r="J99" s="72">
        <v>1</v>
      </c>
      <c r="K99" s="72">
        <v>98831</v>
      </c>
      <c r="L99" s="72" t="s">
        <v>2326</v>
      </c>
      <c r="M99" s="72" t="s">
        <v>1850</v>
      </c>
    </row>
    <row r="100" spans="1:13" x14ac:dyDescent="0.2">
      <c r="A100" s="72" t="s">
        <v>566</v>
      </c>
      <c r="B100" s="72" t="s">
        <v>65</v>
      </c>
      <c r="C100" s="72" t="s">
        <v>560</v>
      </c>
      <c r="D100" s="72" t="s">
        <v>32</v>
      </c>
      <c r="E100" s="72" t="s">
        <v>67</v>
      </c>
      <c r="F100" s="72">
        <v>227</v>
      </c>
      <c r="G100" s="72">
        <v>8</v>
      </c>
      <c r="H100" s="72">
        <v>480</v>
      </c>
      <c r="I100" s="72">
        <v>1</v>
      </c>
      <c r="J100" s="72">
        <v>1</v>
      </c>
      <c r="K100" s="72">
        <v>98831</v>
      </c>
      <c r="L100" s="72" t="s">
        <v>2326</v>
      </c>
      <c r="M100" s="72" t="s">
        <v>1981</v>
      </c>
    </row>
    <row r="101" spans="1:13" x14ac:dyDescent="0.2">
      <c r="A101" s="72" t="s">
        <v>567</v>
      </c>
      <c r="B101" s="72" t="s">
        <v>65</v>
      </c>
      <c r="C101" s="72" t="s">
        <v>560</v>
      </c>
      <c r="D101" s="72" t="s">
        <v>32</v>
      </c>
      <c r="E101" s="72" t="s">
        <v>67</v>
      </c>
      <c r="F101" s="72">
        <v>227</v>
      </c>
      <c r="G101" s="72">
        <v>8</v>
      </c>
      <c r="H101" s="72">
        <v>480</v>
      </c>
      <c r="I101" s="72">
        <v>1</v>
      </c>
      <c r="J101" s="72">
        <v>1</v>
      </c>
      <c r="K101" s="72">
        <v>98831</v>
      </c>
      <c r="L101" s="72" t="s">
        <v>2326</v>
      </c>
      <c r="M101" s="72" t="s">
        <v>2027</v>
      </c>
    </row>
    <row r="102" spans="1:13" x14ac:dyDescent="0.2">
      <c r="A102" s="72" t="s">
        <v>568</v>
      </c>
      <c r="B102" s="72" t="s">
        <v>65</v>
      </c>
      <c r="C102" s="72" t="s">
        <v>560</v>
      </c>
      <c r="D102" s="72" t="s">
        <v>32</v>
      </c>
      <c r="E102" s="72" t="s">
        <v>67</v>
      </c>
      <c r="F102" s="72">
        <v>227</v>
      </c>
      <c r="G102" s="72">
        <v>8</v>
      </c>
      <c r="H102" s="72">
        <v>480</v>
      </c>
      <c r="I102" s="72">
        <v>1</v>
      </c>
      <c r="J102" s="72">
        <v>1</v>
      </c>
      <c r="K102" s="72">
        <v>98831</v>
      </c>
      <c r="L102" s="72" t="s">
        <v>2326</v>
      </c>
      <c r="M102" s="72" t="s">
        <v>1748</v>
      </c>
    </row>
    <row r="103" spans="1:13" x14ac:dyDescent="0.2">
      <c r="A103" s="72" t="s">
        <v>569</v>
      </c>
      <c r="B103" s="72" t="s">
        <v>65</v>
      </c>
      <c r="C103" s="72" t="s">
        <v>560</v>
      </c>
      <c r="D103" s="72" t="s">
        <v>32</v>
      </c>
      <c r="E103" s="72" t="s">
        <v>67</v>
      </c>
      <c r="F103" s="72">
        <v>227</v>
      </c>
      <c r="G103" s="72">
        <v>8</v>
      </c>
      <c r="H103" s="72">
        <v>480</v>
      </c>
      <c r="I103" s="72">
        <v>1</v>
      </c>
      <c r="J103" s="72">
        <v>1</v>
      </c>
      <c r="K103" s="72">
        <v>98831</v>
      </c>
      <c r="L103" s="72" t="s">
        <v>2326</v>
      </c>
      <c r="M103" s="72" t="s">
        <v>1000</v>
      </c>
    </row>
    <row r="104" spans="1:13" x14ac:dyDescent="0.2">
      <c r="A104" s="72" t="s">
        <v>548</v>
      </c>
      <c r="B104" s="72" t="s">
        <v>65</v>
      </c>
      <c r="C104" s="72" t="s">
        <v>549</v>
      </c>
      <c r="D104" s="72" t="s">
        <v>29</v>
      </c>
      <c r="E104" s="72" t="s">
        <v>67</v>
      </c>
      <c r="F104" s="72">
        <v>177</v>
      </c>
      <c r="G104" s="72">
        <v>6</v>
      </c>
      <c r="H104" s="72">
        <v>360</v>
      </c>
      <c r="I104" s="72">
        <v>1</v>
      </c>
      <c r="J104" s="72">
        <v>1</v>
      </c>
      <c r="K104" s="72">
        <v>80911</v>
      </c>
      <c r="L104" s="72" t="s">
        <v>2326</v>
      </c>
      <c r="M104" s="72" t="s">
        <v>2349</v>
      </c>
    </row>
    <row r="105" spans="1:13" x14ac:dyDescent="0.2">
      <c r="A105" s="72" t="s">
        <v>550</v>
      </c>
      <c r="B105" s="72" t="s">
        <v>65</v>
      </c>
      <c r="C105" s="72" t="s">
        <v>549</v>
      </c>
      <c r="D105" s="72" t="s">
        <v>29</v>
      </c>
      <c r="E105" s="72" t="s">
        <v>67</v>
      </c>
      <c r="F105" s="72">
        <v>177</v>
      </c>
      <c r="G105" s="72">
        <v>6</v>
      </c>
      <c r="H105" s="72">
        <v>360</v>
      </c>
      <c r="I105" s="72">
        <v>1</v>
      </c>
      <c r="J105" s="72">
        <v>1</v>
      </c>
      <c r="K105" s="72">
        <v>80911</v>
      </c>
      <c r="L105" s="72" t="s">
        <v>2326</v>
      </c>
      <c r="M105" s="72" t="s">
        <v>1157</v>
      </c>
    </row>
    <row r="106" spans="1:13" x14ac:dyDescent="0.2">
      <c r="A106" s="72" t="s">
        <v>551</v>
      </c>
      <c r="B106" s="72" t="s">
        <v>65</v>
      </c>
      <c r="C106" s="72" t="s">
        <v>549</v>
      </c>
      <c r="D106" s="72" t="s">
        <v>29</v>
      </c>
      <c r="E106" s="72" t="s">
        <v>67</v>
      </c>
      <c r="F106" s="72">
        <v>177</v>
      </c>
      <c r="G106" s="72">
        <v>6</v>
      </c>
      <c r="H106" s="72">
        <v>360</v>
      </c>
      <c r="I106" s="72">
        <v>1</v>
      </c>
      <c r="J106" s="72">
        <v>1</v>
      </c>
      <c r="K106" s="72">
        <v>80911</v>
      </c>
      <c r="L106" s="72" t="s">
        <v>2326</v>
      </c>
      <c r="M106" s="72" t="s">
        <v>973</v>
      </c>
    </row>
    <row r="107" spans="1:13" x14ac:dyDescent="0.2">
      <c r="A107" s="72" t="s">
        <v>552</v>
      </c>
      <c r="B107" s="72" t="s">
        <v>65</v>
      </c>
      <c r="C107" s="72" t="s">
        <v>549</v>
      </c>
      <c r="D107" s="72" t="s">
        <v>29</v>
      </c>
      <c r="E107" s="72" t="s">
        <v>67</v>
      </c>
      <c r="F107" s="72">
        <v>177</v>
      </c>
      <c r="G107" s="72">
        <v>6</v>
      </c>
      <c r="H107" s="72">
        <v>360</v>
      </c>
      <c r="I107" s="72">
        <v>1</v>
      </c>
      <c r="J107" s="72">
        <v>1</v>
      </c>
      <c r="K107" s="72">
        <v>80911</v>
      </c>
      <c r="L107" s="72" t="s">
        <v>2326</v>
      </c>
      <c r="M107" s="72" t="s">
        <v>1374</v>
      </c>
    </row>
    <row r="108" spans="1:13" x14ac:dyDescent="0.2">
      <c r="A108" s="72" t="s">
        <v>553</v>
      </c>
      <c r="B108" s="72" t="s">
        <v>65</v>
      </c>
      <c r="C108" s="72" t="s">
        <v>549</v>
      </c>
      <c r="D108" s="72" t="s">
        <v>29</v>
      </c>
      <c r="E108" s="72" t="s">
        <v>67</v>
      </c>
      <c r="F108" s="72">
        <v>177</v>
      </c>
      <c r="G108" s="72">
        <v>6</v>
      </c>
      <c r="H108" s="72">
        <v>360</v>
      </c>
      <c r="I108" s="72">
        <v>1</v>
      </c>
      <c r="J108" s="72">
        <v>1</v>
      </c>
      <c r="K108" s="72">
        <v>80911</v>
      </c>
      <c r="L108" s="72" t="s">
        <v>2326</v>
      </c>
      <c r="M108" s="72" t="s">
        <v>1145</v>
      </c>
    </row>
    <row r="109" spans="1:13" x14ac:dyDescent="0.2">
      <c r="A109" s="72" t="s">
        <v>554</v>
      </c>
      <c r="B109" s="72" t="s">
        <v>65</v>
      </c>
      <c r="C109" s="72" t="s">
        <v>549</v>
      </c>
      <c r="D109" s="72" t="s">
        <v>29</v>
      </c>
      <c r="E109" s="72" t="s">
        <v>67</v>
      </c>
      <c r="F109" s="72">
        <v>177</v>
      </c>
      <c r="G109" s="72">
        <v>6</v>
      </c>
      <c r="H109" s="72">
        <v>360</v>
      </c>
      <c r="I109" s="72">
        <v>1</v>
      </c>
      <c r="J109" s="72">
        <v>1</v>
      </c>
      <c r="K109" s="72">
        <v>80911</v>
      </c>
      <c r="L109" s="72" t="s">
        <v>2326</v>
      </c>
      <c r="M109" s="72" t="s">
        <v>979</v>
      </c>
    </row>
    <row r="110" spans="1:13" x14ac:dyDescent="0.2">
      <c r="A110" s="72" t="s">
        <v>555</v>
      </c>
      <c r="B110" s="72" t="s">
        <v>65</v>
      </c>
      <c r="C110" s="72" t="s">
        <v>549</v>
      </c>
      <c r="D110" s="72" t="s">
        <v>29</v>
      </c>
      <c r="E110" s="72" t="s">
        <v>67</v>
      </c>
      <c r="F110" s="72">
        <v>177</v>
      </c>
      <c r="G110" s="72">
        <v>6</v>
      </c>
      <c r="H110" s="72">
        <v>360</v>
      </c>
      <c r="I110" s="72">
        <v>1</v>
      </c>
      <c r="J110" s="72">
        <v>1</v>
      </c>
      <c r="K110" s="72">
        <v>80911</v>
      </c>
      <c r="L110" s="72" t="s">
        <v>2326</v>
      </c>
      <c r="M110" s="72" t="s">
        <v>1380</v>
      </c>
    </row>
    <row r="111" spans="1:13" x14ac:dyDescent="0.2">
      <c r="A111" s="72" t="s">
        <v>556</v>
      </c>
      <c r="B111" s="72" t="s">
        <v>65</v>
      </c>
      <c r="C111" s="72" t="s">
        <v>549</v>
      </c>
      <c r="D111" s="72" t="s">
        <v>29</v>
      </c>
      <c r="E111" s="72" t="s">
        <v>67</v>
      </c>
      <c r="F111" s="72">
        <v>177</v>
      </c>
      <c r="G111" s="72">
        <v>6</v>
      </c>
      <c r="H111" s="72">
        <v>360</v>
      </c>
      <c r="I111" s="72">
        <v>1</v>
      </c>
      <c r="J111" s="72">
        <v>1</v>
      </c>
      <c r="K111" s="72">
        <v>80911</v>
      </c>
      <c r="L111" s="72" t="s">
        <v>2326</v>
      </c>
      <c r="M111" s="72" t="s">
        <v>1151</v>
      </c>
    </row>
    <row r="112" spans="1:13" x14ac:dyDescent="0.2">
      <c r="A112" s="72" t="s">
        <v>557</v>
      </c>
      <c r="B112" s="72" t="s">
        <v>65</v>
      </c>
      <c r="C112" s="72" t="s">
        <v>549</v>
      </c>
      <c r="D112" s="72" t="s">
        <v>29</v>
      </c>
      <c r="E112" s="72" t="s">
        <v>67</v>
      </c>
      <c r="F112" s="72">
        <v>177</v>
      </c>
      <c r="G112" s="72">
        <v>6</v>
      </c>
      <c r="H112" s="72">
        <v>360</v>
      </c>
      <c r="I112" s="72">
        <v>1</v>
      </c>
      <c r="J112" s="72">
        <v>1</v>
      </c>
      <c r="K112" s="72">
        <v>80911</v>
      </c>
      <c r="L112" s="72" t="s">
        <v>2326</v>
      </c>
      <c r="M112" s="72" t="s">
        <v>985</v>
      </c>
    </row>
    <row r="113" spans="1:13" x14ac:dyDescent="0.2">
      <c r="A113" s="72" t="s">
        <v>558</v>
      </c>
      <c r="B113" s="72" t="s">
        <v>65</v>
      </c>
      <c r="C113" s="72" t="s">
        <v>549</v>
      </c>
      <c r="D113" s="72" t="s">
        <v>29</v>
      </c>
      <c r="E113" s="72" t="s">
        <v>67</v>
      </c>
      <c r="F113" s="72">
        <v>177</v>
      </c>
      <c r="G113" s="72">
        <v>6</v>
      </c>
      <c r="H113" s="72">
        <v>360</v>
      </c>
      <c r="I113" s="72">
        <v>1</v>
      </c>
      <c r="J113" s="72">
        <v>1</v>
      </c>
      <c r="K113" s="72">
        <v>80911</v>
      </c>
      <c r="L113" s="72" t="s">
        <v>2326</v>
      </c>
      <c r="M113" s="72" t="s">
        <v>1386</v>
      </c>
    </row>
    <row r="114" spans="1:13" x14ac:dyDescent="0.2">
      <c r="A114" s="72" t="s">
        <v>537</v>
      </c>
      <c r="B114" s="72" t="s">
        <v>65</v>
      </c>
      <c r="C114" s="72" t="s">
        <v>538</v>
      </c>
      <c r="D114" s="72" t="s">
        <v>29</v>
      </c>
      <c r="E114" s="72" t="s">
        <v>67</v>
      </c>
      <c r="F114" s="72">
        <v>177</v>
      </c>
      <c r="G114" s="72">
        <v>6</v>
      </c>
      <c r="H114" s="72">
        <v>360</v>
      </c>
      <c r="I114" s="72">
        <v>1</v>
      </c>
      <c r="J114" s="72">
        <v>1</v>
      </c>
      <c r="K114" s="72">
        <v>80866</v>
      </c>
      <c r="L114" s="72" t="s">
        <v>2326</v>
      </c>
      <c r="M114" s="72" t="s">
        <v>2350</v>
      </c>
    </row>
    <row r="115" spans="1:13" x14ac:dyDescent="0.2">
      <c r="A115" s="72" t="s">
        <v>539</v>
      </c>
      <c r="B115" s="72" t="s">
        <v>65</v>
      </c>
      <c r="C115" s="72" t="s">
        <v>538</v>
      </c>
      <c r="D115" s="72" t="s">
        <v>29</v>
      </c>
      <c r="E115" s="72" t="s">
        <v>67</v>
      </c>
      <c r="F115" s="72">
        <v>177</v>
      </c>
      <c r="G115" s="72">
        <v>6</v>
      </c>
      <c r="H115" s="72">
        <v>360</v>
      </c>
      <c r="I115" s="72">
        <v>1</v>
      </c>
      <c r="J115" s="72">
        <v>1</v>
      </c>
      <c r="K115" s="72">
        <v>80866</v>
      </c>
      <c r="L115" s="72" t="s">
        <v>2326</v>
      </c>
      <c r="M115" s="72" t="s">
        <v>988</v>
      </c>
    </row>
    <row r="116" spans="1:13" x14ac:dyDescent="0.2">
      <c r="A116" s="72" t="s">
        <v>540</v>
      </c>
      <c r="B116" s="72" t="s">
        <v>65</v>
      </c>
      <c r="C116" s="72" t="s">
        <v>538</v>
      </c>
      <c r="D116" s="72" t="s">
        <v>29</v>
      </c>
      <c r="E116" s="72" t="s">
        <v>67</v>
      </c>
      <c r="F116" s="72">
        <v>177</v>
      </c>
      <c r="G116" s="72">
        <v>6</v>
      </c>
      <c r="H116" s="72">
        <v>360</v>
      </c>
      <c r="I116" s="72">
        <v>1</v>
      </c>
      <c r="J116" s="72">
        <v>1</v>
      </c>
      <c r="K116" s="72">
        <v>80866</v>
      </c>
      <c r="L116" s="72" t="s">
        <v>2326</v>
      </c>
      <c r="M116" s="72" t="s">
        <v>2351</v>
      </c>
    </row>
    <row r="117" spans="1:13" x14ac:dyDescent="0.2">
      <c r="A117" s="72" t="s">
        <v>541</v>
      </c>
      <c r="B117" s="72" t="s">
        <v>65</v>
      </c>
      <c r="C117" s="72" t="s">
        <v>538</v>
      </c>
      <c r="D117" s="72" t="s">
        <v>29</v>
      </c>
      <c r="E117" s="72" t="s">
        <v>67</v>
      </c>
      <c r="F117" s="72">
        <v>177</v>
      </c>
      <c r="G117" s="72">
        <v>6</v>
      </c>
      <c r="H117" s="72">
        <v>360</v>
      </c>
      <c r="I117" s="72">
        <v>1</v>
      </c>
      <c r="J117" s="72">
        <v>1</v>
      </c>
      <c r="K117" s="72">
        <v>80866</v>
      </c>
      <c r="L117" s="72" t="s">
        <v>2326</v>
      </c>
      <c r="M117" s="72" t="s">
        <v>1142</v>
      </c>
    </row>
    <row r="118" spans="1:13" x14ac:dyDescent="0.2">
      <c r="A118" s="72" t="s">
        <v>542</v>
      </c>
      <c r="B118" s="72" t="s">
        <v>65</v>
      </c>
      <c r="C118" s="72" t="s">
        <v>538</v>
      </c>
      <c r="D118" s="72" t="s">
        <v>29</v>
      </c>
      <c r="E118" s="72" t="s">
        <v>67</v>
      </c>
      <c r="F118" s="72">
        <v>177</v>
      </c>
      <c r="G118" s="72">
        <v>6</v>
      </c>
      <c r="H118" s="72">
        <v>360</v>
      </c>
      <c r="I118" s="72">
        <v>1</v>
      </c>
      <c r="J118" s="72">
        <v>1</v>
      </c>
      <c r="K118" s="72">
        <v>80866</v>
      </c>
      <c r="L118" s="72" t="s">
        <v>2326</v>
      </c>
      <c r="M118" s="72" t="s">
        <v>976</v>
      </c>
    </row>
    <row r="119" spans="1:13" x14ac:dyDescent="0.2">
      <c r="A119" s="72" t="s">
        <v>543</v>
      </c>
      <c r="B119" s="72" t="s">
        <v>65</v>
      </c>
      <c r="C119" s="72" t="s">
        <v>538</v>
      </c>
      <c r="D119" s="72" t="s">
        <v>29</v>
      </c>
      <c r="E119" s="72" t="s">
        <v>67</v>
      </c>
      <c r="F119" s="72">
        <v>177</v>
      </c>
      <c r="G119" s="72">
        <v>6</v>
      </c>
      <c r="H119" s="72">
        <v>360</v>
      </c>
      <c r="I119" s="72">
        <v>1</v>
      </c>
      <c r="J119" s="72">
        <v>1</v>
      </c>
      <c r="K119" s="72">
        <v>80866</v>
      </c>
      <c r="L119" s="72" t="s">
        <v>2326</v>
      </c>
      <c r="M119" s="72" t="s">
        <v>1377</v>
      </c>
    </row>
    <row r="120" spans="1:13" x14ac:dyDescent="0.2">
      <c r="A120" s="72" t="s">
        <v>544</v>
      </c>
      <c r="B120" s="72" t="s">
        <v>65</v>
      </c>
      <c r="C120" s="72" t="s">
        <v>538</v>
      </c>
      <c r="D120" s="72" t="s">
        <v>29</v>
      </c>
      <c r="E120" s="72" t="s">
        <v>67</v>
      </c>
      <c r="F120" s="72">
        <v>177</v>
      </c>
      <c r="G120" s="72">
        <v>6</v>
      </c>
      <c r="H120" s="72">
        <v>360</v>
      </c>
      <c r="I120" s="72">
        <v>1</v>
      </c>
      <c r="J120" s="72">
        <v>1</v>
      </c>
      <c r="K120" s="72">
        <v>80866</v>
      </c>
      <c r="L120" s="72" t="s">
        <v>2326</v>
      </c>
      <c r="M120" s="72" t="s">
        <v>1148</v>
      </c>
    </row>
    <row r="121" spans="1:13" x14ac:dyDescent="0.2">
      <c r="A121" s="72" t="s">
        <v>545</v>
      </c>
      <c r="B121" s="72" t="s">
        <v>65</v>
      </c>
      <c r="C121" s="72" t="s">
        <v>538</v>
      </c>
      <c r="D121" s="72" t="s">
        <v>29</v>
      </c>
      <c r="E121" s="72" t="s">
        <v>67</v>
      </c>
      <c r="F121" s="72">
        <v>177</v>
      </c>
      <c r="G121" s="72">
        <v>6</v>
      </c>
      <c r="H121" s="72">
        <v>360</v>
      </c>
      <c r="I121" s="72">
        <v>1</v>
      </c>
      <c r="J121" s="72">
        <v>1</v>
      </c>
      <c r="K121" s="72">
        <v>80866</v>
      </c>
      <c r="L121" s="72" t="s">
        <v>2326</v>
      </c>
      <c r="M121" s="72" t="s">
        <v>982</v>
      </c>
    </row>
    <row r="122" spans="1:13" x14ac:dyDescent="0.2">
      <c r="A122" s="72" t="s">
        <v>546</v>
      </c>
      <c r="B122" s="72" t="s">
        <v>65</v>
      </c>
      <c r="C122" s="72" t="s">
        <v>538</v>
      </c>
      <c r="D122" s="72" t="s">
        <v>29</v>
      </c>
      <c r="E122" s="72" t="s">
        <v>67</v>
      </c>
      <c r="F122" s="72">
        <v>177</v>
      </c>
      <c r="G122" s="72">
        <v>6</v>
      </c>
      <c r="H122" s="72">
        <v>360</v>
      </c>
      <c r="I122" s="72">
        <v>1</v>
      </c>
      <c r="J122" s="72">
        <v>1</v>
      </c>
      <c r="K122" s="72">
        <v>80866</v>
      </c>
      <c r="L122" s="72" t="s">
        <v>2326</v>
      </c>
      <c r="M122" s="72" t="s">
        <v>1383</v>
      </c>
    </row>
    <row r="123" spans="1:13" x14ac:dyDescent="0.2">
      <c r="A123" s="72" t="s">
        <v>547</v>
      </c>
      <c r="B123" s="72" t="s">
        <v>65</v>
      </c>
      <c r="C123" s="72" t="s">
        <v>538</v>
      </c>
      <c r="D123" s="72" t="s">
        <v>29</v>
      </c>
      <c r="E123" s="72" t="s">
        <v>67</v>
      </c>
      <c r="F123" s="72">
        <v>177</v>
      </c>
      <c r="G123" s="72">
        <v>6</v>
      </c>
      <c r="H123" s="72">
        <v>360</v>
      </c>
      <c r="I123" s="72">
        <v>1</v>
      </c>
      <c r="J123" s="72">
        <v>1</v>
      </c>
      <c r="K123" s="72">
        <v>80866</v>
      </c>
      <c r="L123" s="72" t="s">
        <v>2326</v>
      </c>
      <c r="M123" s="72" t="s">
        <v>1154</v>
      </c>
    </row>
    <row r="124" spans="1:13" x14ac:dyDescent="0.2">
      <c r="A124" s="72" t="s">
        <v>526</v>
      </c>
      <c r="B124" s="72" t="s">
        <v>65</v>
      </c>
      <c r="C124" s="72" t="s">
        <v>527</v>
      </c>
      <c r="D124" s="72" t="s">
        <v>29</v>
      </c>
      <c r="E124" s="72" t="s">
        <v>67</v>
      </c>
      <c r="F124" s="72">
        <v>177</v>
      </c>
      <c r="G124" s="72">
        <v>6</v>
      </c>
      <c r="H124" s="72">
        <v>360</v>
      </c>
      <c r="I124" s="72">
        <v>1</v>
      </c>
      <c r="J124" s="72">
        <v>1</v>
      </c>
      <c r="K124" s="72">
        <v>69671</v>
      </c>
      <c r="L124" s="72" t="s">
        <v>2326</v>
      </c>
      <c r="M124" s="72" t="s">
        <v>2352</v>
      </c>
    </row>
    <row r="125" spans="1:13" x14ac:dyDescent="0.2">
      <c r="A125" s="72" t="s">
        <v>528</v>
      </c>
      <c r="B125" s="72" t="s">
        <v>65</v>
      </c>
      <c r="C125" s="72" t="s">
        <v>527</v>
      </c>
      <c r="D125" s="72" t="s">
        <v>29</v>
      </c>
      <c r="E125" s="72" t="s">
        <v>67</v>
      </c>
      <c r="F125" s="72">
        <v>177</v>
      </c>
      <c r="G125" s="72">
        <v>6</v>
      </c>
      <c r="H125" s="72">
        <v>360</v>
      </c>
      <c r="I125" s="72">
        <v>1</v>
      </c>
      <c r="J125" s="72">
        <v>1</v>
      </c>
      <c r="K125" s="72">
        <v>69671</v>
      </c>
      <c r="L125" s="72" t="s">
        <v>2326</v>
      </c>
      <c r="M125" s="72" t="s">
        <v>1139</v>
      </c>
    </row>
    <row r="126" spans="1:13" x14ac:dyDescent="0.2">
      <c r="A126" s="72" t="s">
        <v>529</v>
      </c>
      <c r="B126" s="72" t="s">
        <v>65</v>
      </c>
      <c r="C126" s="72" t="s">
        <v>527</v>
      </c>
      <c r="D126" s="72" t="s">
        <v>29</v>
      </c>
      <c r="E126" s="72" t="s">
        <v>67</v>
      </c>
      <c r="F126" s="72">
        <v>177</v>
      </c>
      <c r="G126" s="72">
        <v>6</v>
      </c>
      <c r="H126" s="72">
        <v>360</v>
      </c>
      <c r="I126" s="72">
        <v>1</v>
      </c>
      <c r="J126" s="72">
        <v>1</v>
      </c>
      <c r="K126" s="72">
        <v>69671</v>
      </c>
      <c r="L126" s="72" t="s">
        <v>2326</v>
      </c>
      <c r="M126" s="72" t="s">
        <v>930</v>
      </c>
    </row>
    <row r="127" spans="1:13" x14ac:dyDescent="0.2">
      <c r="A127" s="72" t="s">
        <v>530</v>
      </c>
      <c r="B127" s="72" t="s">
        <v>65</v>
      </c>
      <c r="C127" s="72" t="s">
        <v>527</v>
      </c>
      <c r="D127" s="72" t="s">
        <v>29</v>
      </c>
      <c r="E127" s="72" t="s">
        <v>67</v>
      </c>
      <c r="F127" s="72">
        <v>177</v>
      </c>
      <c r="G127" s="72">
        <v>6</v>
      </c>
      <c r="H127" s="72">
        <v>360</v>
      </c>
      <c r="I127" s="72">
        <v>1</v>
      </c>
      <c r="J127" s="72">
        <v>1</v>
      </c>
      <c r="K127" s="72">
        <v>69671</v>
      </c>
      <c r="L127" s="72" t="s">
        <v>2326</v>
      </c>
      <c r="M127" s="72" t="s">
        <v>1313</v>
      </c>
    </row>
    <row r="128" spans="1:13" x14ac:dyDescent="0.2">
      <c r="A128" s="72" t="s">
        <v>531</v>
      </c>
      <c r="B128" s="72" t="s">
        <v>65</v>
      </c>
      <c r="C128" s="72" t="s">
        <v>527</v>
      </c>
      <c r="D128" s="72" t="s">
        <v>29</v>
      </c>
      <c r="E128" s="72" t="s">
        <v>67</v>
      </c>
      <c r="F128" s="72">
        <v>177</v>
      </c>
      <c r="G128" s="72">
        <v>6</v>
      </c>
      <c r="H128" s="72">
        <v>360</v>
      </c>
      <c r="I128" s="72">
        <v>1</v>
      </c>
      <c r="J128" s="72">
        <v>1</v>
      </c>
      <c r="K128" s="72">
        <v>69671</v>
      </c>
      <c r="L128" s="72" t="s">
        <v>2326</v>
      </c>
      <c r="M128" s="72" t="s">
        <v>1127</v>
      </c>
    </row>
    <row r="129" spans="1:13" x14ac:dyDescent="0.2">
      <c r="A129" s="72" t="s">
        <v>532</v>
      </c>
      <c r="B129" s="72" t="s">
        <v>65</v>
      </c>
      <c r="C129" s="72" t="s">
        <v>527</v>
      </c>
      <c r="D129" s="72" t="s">
        <v>29</v>
      </c>
      <c r="E129" s="72" t="s">
        <v>67</v>
      </c>
      <c r="F129" s="72">
        <v>177</v>
      </c>
      <c r="G129" s="72">
        <v>6</v>
      </c>
      <c r="H129" s="72">
        <v>360</v>
      </c>
      <c r="I129" s="72">
        <v>1</v>
      </c>
      <c r="J129" s="72">
        <v>1</v>
      </c>
      <c r="K129" s="72">
        <v>69671</v>
      </c>
      <c r="L129" s="72" t="s">
        <v>2326</v>
      </c>
      <c r="M129" s="72" t="s">
        <v>937</v>
      </c>
    </row>
    <row r="130" spans="1:13" x14ac:dyDescent="0.2">
      <c r="A130" s="72" t="s">
        <v>533</v>
      </c>
      <c r="B130" s="72" t="s">
        <v>65</v>
      </c>
      <c r="C130" s="72" t="s">
        <v>527</v>
      </c>
      <c r="D130" s="72" t="s">
        <v>29</v>
      </c>
      <c r="E130" s="72" t="s">
        <v>67</v>
      </c>
      <c r="F130" s="72">
        <v>177</v>
      </c>
      <c r="G130" s="72">
        <v>6</v>
      </c>
      <c r="H130" s="72">
        <v>360</v>
      </c>
      <c r="I130" s="72">
        <v>1</v>
      </c>
      <c r="J130" s="72">
        <v>1</v>
      </c>
      <c r="K130" s="72">
        <v>69671</v>
      </c>
      <c r="L130" s="72" t="s">
        <v>2326</v>
      </c>
      <c r="M130" s="72" t="s">
        <v>1319</v>
      </c>
    </row>
    <row r="131" spans="1:13" x14ac:dyDescent="0.2">
      <c r="A131" s="72" t="s">
        <v>534</v>
      </c>
      <c r="B131" s="72" t="s">
        <v>65</v>
      </c>
      <c r="C131" s="72" t="s">
        <v>527</v>
      </c>
      <c r="D131" s="72" t="s">
        <v>29</v>
      </c>
      <c r="E131" s="72" t="s">
        <v>67</v>
      </c>
      <c r="F131" s="72">
        <v>177</v>
      </c>
      <c r="G131" s="72">
        <v>6</v>
      </c>
      <c r="H131" s="72">
        <v>360</v>
      </c>
      <c r="I131" s="72">
        <v>1</v>
      </c>
      <c r="J131" s="72">
        <v>1</v>
      </c>
      <c r="K131" s="72">
        <v>69671</v>
      </c>
      <c r="L131" s="72" t="s">
        <v>2326</v>
      </c>
      <c r="M131" s="72" t="s">
        <v>1133</v>
      </c>
    </row>
    <row r="132" spans="1:13" x14ac:dyDescent="0.2">
      <c r="A132" s="72" t="s">
        <v>535</v>
      </c>
      <c r="B132" s="72" t="s">
        <v>65</v>
      </c>
      <c r="C132" s="72" t="s">
        <v>527</v>
      </c>
      <c r="D132" s="72" t="s">
        <v>29</v>
      </c>
      <c r="E132" s="72" t="s">
        <v>67</v>
      </c>
      <c r="F132" s="72">
        <v>177</v>
      </c>
      <c r="G132" s="72">
        <v>6</v>
      </c>
      <c r="H132" s="72">
        <v>360</v>
      </c>
      <c r="I132" s="72">
        <v>1</v>
      </c>
      <c r="J132" s="72">
        <v>1</v>
      </c>
      <c r="K132" s="72">
        <v>69671</v>
      </c>
      <c r="L132" s="72" t="s">
        <v>2326</v>
      </c>
      <c r="M132" s="72" t="s">
        <v>943</v>
      </c>
    </row>
    <row r="133" spans="1:13" x14ac:dyDescent="0.2">
      <c r="A133" s="72" t="s">
        <v>536</v>
      </c>
      <c r="B133" s="72" t="s">
        <v>65</v>
      </c>
      <c r="C133" s="72" t="s">
        <v>527</v>
      </c>
      <c r="D133" s="72" t="s">
        <v>29</v>
      </c>
      <c r="E133" s="72" t="s">
        <v>67</v>
      </c>
      <c r="F133" s="72">
        <v>177</v>
      </c>
      <c r="G133" s="72">
        <v>6</v>
      </c>
      <c r="H133" s="72">
        <v>360</v>
      </c>
      <c r="I133" s="72">
        <v>1</v>
      </c>
      <c r="J133" s="72">
        <v>1</v>
      </c>
      <c r="K133" s="72">
        <v>69671</v>
      </c>
      <c r="L133" s="72" t="s">
        <v>2326</v>
      </c>
      <c r="M133" s="72" t="s">
        <v>1325</v>
      </c>
    </row>
    <row r="134" spans="1:13" x14ac:dyDescent="0.2">
      <c r="A134" s="72" t="s">
        <v>515</v>
      </c>
      <c r="B134" s="72" t="s">
        <v>65</v>
      </c>
      <c r="C134" s="72" t="s">
        <v>516</v>
      </c>
      <c r="D134" s="72" t="s">
        <v>29</v>
      </c>
      <c r="E134" s="72" t="s">
        <v>67</v>
      </c>
      <c r="F134" s="72">
        <v>177</v>
      </c>
      <c r="G134" s="72">
        <v>6</v>
      </c>
      <c r="H134" s="72">
        <v>360</v>
      </c>
      <c r="I134" s="72">
        <v>1</v>
      </c>
      <c r="J134" s="72">
        <v>1</v>
      </c>
      <c r="K134" s="72">
        <v>69712</v>
      </c>
      <c r="L134" s="72" t="s">
        <v>2326</v>
      </c>
      <c r="M134" s="72" t="s">
        <v>2353</v>
      </c>
    </row>
    <row r="135" spans="1:13" x14ac:dyDescent="0.2">
      <c r="A135" s="72" t="s">
        <v>517</v>
      </c>
      <c r="B135" s="72" t="s">
        <v>65</v>
      </c>
      <c r="C135" s="72" t="s">
        <v>516</v>
      </c>
      <c r="D135" s="72" t="s">
        <v>29</v>
      </c>
      <c r="E135" s="72" t="s">
        <v>67</v>
      </c>
      <c r="F135" s="72">
        <v>177</v>
      </c>
      <c r="G135" s="72">
        <v>6</v>
      </c>
      <c r="H135" s="72">
        <v>360</v>
      </c>
      <c r="I135" s="72">
        <v>1</v>
      </c>
      <c r="J135" s="72">
        <v>1</v>
      </c>
      <c r="K135" s="72">
        <v>69712</v>
      </c>
      <c r="L135" s="72" t="s">
        <v>2326</v>
      </c>
      <c r="M135" s="72" t="s">
        <v>946</v>
      </c>
    </row>
    <row r="136" spans="1:13" x14ac:dyDescent="0.2">
      <c r="A136" s="72" t="s">
        <v>518</v>
      </c>
      <c r="B136" s="72" t="s">
        <v>65</v>
      </c>
      <c r="C136" s="72" t="s">
        <v>516</v>
      </c>
      <c r="D136" s="72" t="s">
        <v>29</v>
      </c>
      <c r="E136" s="72" t="s">
        <v>67</v>
      </c>
      <c r="F136" s="72">
        <v>177</v>
      </c>
      <c r="G136" s="72">
        <v>6</v>
      </c>
      <c r="H136" s="72">
        <v>360</v>
      </c>
      <c r="I136" s="72">
        <v>1</v>
      </c>
      <c r="J136" s="72">
        <v>1</v>
      </c>
      <c r="K136" s="72">
        <v>69712</v>
      </c>
      <c r="L136" s="72" t="s">
        <v>2326</v>
      </c>
      <c r="M136" s="72" t="s">
        <v>2354</v>
      </c>
    </row>
    <row r="137" spans="1:13" x14ac:dyDescent="0.2">
      <c r="A137" s="72" t="s">
        <v>519</v>
      </c>
      <c r="B137" s="72" t="s">
        <v>65</v>
      </c>
      <c r="C137" s="72" t="s">
        <v>516</v>
      </c>
      <c r="D137" s="72" t="s">
        <v>29</v>
      </c>
      <c r="E137" s="72" t="s">
        <v>67</v>
      </c>
      <c r="F137" s="72">
        <v>177</v>
      </c>
      <c r="G137" s="72">
        <v>6</v>
      </c>
      <c r="H137" s="72">
        <v>360</v>
      </c>
      <c r="I137" s="72">
        <v>1</v>
      </c>
      <c r="J137" s="72">
        <v>1</v>
      </c>
      <c r="K137" s="72">
        <v>69712</v>
      </c>
      <c r="L137" s="72" t="s">
        <v>2326</v>
      </c>
      <c r="M137" s="72" t="s">
        <v>1124</v>
      </c>
    </row>
    <row r="138" spans="1:13" x14ac:dyDescent="0.2">
      <c r="A138" s="72" t="s">
        <v>520</v>
      </c>
      <c r="B138" s="72" t="s">
        <v>65</v>
      </c>
      <c r="C138" s="72" t="s">
        <v>516</v>
      </c>
      <c r="D138" s="72" t="s">
        <v>29</v>
      </c>
      <c r="E138" s="72" t="s">
        <v>67</v>
      </c>
      <c r="F138" s="72">
        <v>177</v>
      </c>
      <c r="G138" s="72">
        <v>6</v>
      </c>
      <c r="H138" s="72">
        <v>360</v>
      </c>
      <c r="I138" s="72">
        <v>1</v>
      </c>
      <c r="J138" s="72">
        <v>1</v>
      </c>
      <c r="K138" s="72">
        <v>69712</v>
      </c>
      <c r="L138" s="72" t="s">
        <v>2326</v>
      </c>
      <c r="M138" s="72" t="s">
        <v>934</v>
      </c>
    </row>
    <row r="139" spans="1:13" x14ac:dyDescent="0.2">
      <c r="A139" s="72" t="s">
        <v>521</v>
      </c>
      <c r="B139" s="72" t="s">
        <v>65</v>
      </c>
      <c r="C139" s="72" t="s">
        <v>516</v>
      </c>
      <c r="D139" s="72" t="s">
        <v>29</v>
      </c>
      <c r="E139" s="72" t="s">
        <v>67</v>
      </c>
      <c r="F139" s="72">
        <v>177</v>
      </c>
      <c r="G139" s="72">
        <v>6</v>
      </c>
      <c r="H139" s="72">
        <v>360</v>
      </c>
      <c r="I139" s="72">
        <v>1</v>
      </c>
      <c r="J139" s="72">
        <v>1</v>
      </c>
      <c r="K139" s="72">
        <v>69712</v>
      </c>
      <c r="L139" s="72" t="s">
        <v>2326</v>
      </c>
      <c r="M139" s="72" t="s">
        <v>1316</v>
      </c>
    </row>
    <row r="140" spans="1:13" x14ac:dyDescent="0.2">
      <c r="A140" s="72" t="s">
        <v>522</v>
      </c>
      <c r="B140" s="72" t="s">
        <v>65</v>
      </c>
      <c r="C140" s="72" t="s">
        <v>516</v>
      </c>
      <c r="D140" s="72" t="s">
        <v>29</v>
      </c>
      <c r="E140" s="72" t="s">
        <v>67</v>
      </c>
      <c r="F140" s="72">
        <v>177</v>
      </c>
      <c r="G140" s="72">
        <v>6</v>
      </c>
      <c r="H140" s="72">
        <v>360</v>
      </c>
      <c r="I140" s="72">
        <v>1</v>
      </c>
      <c r="J140" s="72">
        <v>1</v>
      </c>
      <c r="K140" s="72">
        <v>69712</v>
      </c>
      <c r="L140" s="72" t="s">
        <v>2326</v>
      </c>
      <c r="M140" s="72" t="s">
        <v>1130</v>
      </c>
    </row>
    <row r="141" spans="1:13" x14ac:dyDescent="0.2">
      <c r="A141" s="72" t="s">
        <v>523</v>
      </c>
      <c r="B141" s="72" t="s">
        <v>65</v>
      </c>
      <c r="C141" s="72" t="s">
        <v>516</v>
      </c>
      <c r="D141" s="72" t="s">
        <v>29</v>
      </c>
      <c r="E141" s="72" t="s">
        <v>67</v>
      </c>
      <c r="F141" s="72">
        <v>177</v>
      </c>
      <c r="G141" s="72">
        <v>6</v>
      </c>
      <c r="H141" s="72">
        <v>360</v>
      </c>
      <c r="I141" s="72">
        <v>1</v>
      </c>
      <c r="J141" s="72">
        <v>1</v>
      </c>
      <c r="K141" s="72">
        <v>69712</v>
      </c>
      <c r="L141" s="72" t="s">
        <v>2326</v>
      </c>
      <c r="M141" s="72" t="s">
        <v>940</v>
      </c>
    </row>
    <row r="142" spans="1:13" x14ac:dyDescent="0.2">
      <c r="A142" s="72" t="s">
        <v>524</v>
      </c>
      <c r="B142" s="72" t="s">
        <v>65</v>
      </c>
      <c r="C142" s="72" t="s">
        <v>516</v>
      </c>
      <c r="D142" s="72" t="s">
        <v>29</v>
      </c>
      <c r="E142" s="72" t="s">
        <v>67</v>
      </c>
      <c r="F142" s="72">
        <v>177</v>
      </c>
      <c r="G142" s="72">
        <v>6</v>
      </c>
      <c r="H142" s="72">
        <v>360</v>
      </c>
      <c r="I142" s="72">
        <v>1</v>
      </c>
      <c r="J142" s="72">
        <v>1</v>
      </c>
      <c r="K142" s="72">
        <v>69712</v>
      </c>
      <c r="L142" s="72" t="s">
        <v>2326</v>
      </c>
      <c r="M142" s="72" t="s">
        <v>1322</v>
      </c>
    </row>
    <row r="143" spans="1:13" x14ac:dyDescent="0.2">
      <c r="A143" s="72" t="s">
        <v>525</v>
      </c>
      <c r="B143" s="72" t="s">
        <v>65</v>
      </c>
      <c r="C143" s="72" t="s">
        <v>516</v>
      </c>
      <c r="D143" s="72" t="s">
        <v>29</v>
      </c>
      <c r="E143" s="72" t="s">
        <v>67</v>
      </c>
      <c r="F143" s="72">
        <v>177</v>
      </c>
      <c r="G143" s="72">
        <v>6</v>
      </c>
      <c r="H143" s="72">
        <v>360</v>
      </c>
      <c r="I143" s="72">
        <v>1</v>
      </c>
      <c r="J143" s="72">
        <v>1</v>
      </c>
      <c r="K143" s="72">
        <v>69712</v>
      </c>
      <c r="L143" s="72" t="s">
        <v>2326</v>
      </c>
      <c r="M143" s="72" t="s">
        <v>1136</v>
      </c>
    </row>
    <row r="144" spans="1:13" x14ac:dyDescent="0.2">
      <c r="A144" s="72" t="s">
        <v>504</v>
      </c>
      <c r="B144" s="72" t="s">
        <v>65</v>
      </c>
      <c r="C144" s="72" t="s">
        <v>505</v>
      </c>
      <c r="D144" s="72" t="s">
        <v>29</v>
      </c>
      <c r="E144" s="72" t="s">
        <v>67</v>
      </c>
      <c r="F144" s="72">
        <v>177</v>
      </c>
      <c r="G144" s="72">
        <v>6</v>
      </c>
      <c r="H144" s="72">
        <v>360</v>
      </c>
      <c r="I144" s="72">
        <v>1</v>
      </c>
      <c r="J144" s="72">
        <v>1</v>
      </c>
      <c r="K144" s="72">
        <v>65091</v>
      </c>
      <c r="L144" s="72" t="s">
        <v>2326</v>
      </c>
      <c r="M144" s="72" t="s">
        <v>2355</v>
      </c>
    </row>
    <row r="145" spans="1:13" x14ac:dyDescent="0.2">
      <c r="A145" s="72" t="s">
        <v>506</v>
      </c>
      <c r="B145" s="72" t="s">
        <v>65</v>
      </c>
      <c r="C145" s="72" t="s">
        <v>505</v>
      </c>
      <c r="D145" s="72" t="s">
        <v>29</v>
      </c>
      <c r="E145" s="72" t="s">
        <v>67</v>
      </c>
      <c r="F145" s="72">
        <v>177</v>
      </c>
      <c r="G145" s="72">
        <v>6</v>
      </c>
      <c r="H145" s="72">
        <v>360</v>
      </c>
      <c r="I145" s="72">
        <v>1</v>
      </c>
      <c r="J145" s="72">
        <v>1</v>
      </c>
      <c r="K145" s="72">
        <v>65091</v>
      </c>
      <c r="L145" s="72" t="s">
        <v>2326</v>
      </c>
      <c r="M145" s="72" t="s">
        <v>1267</v>
      </c>
    </row>
    <row r="146" spans="1:13" x14ac:dyDescent="0.2">
      <c r="A146" s="72" t="s">
        <v>507</v>
      </c>
      <c r="B146" s="72" t="s">
        <v>65</v>
      </c>
      <c r="C146" s="72" t="s">
        <v>505</v>
      </c>
      <c r="D146" s="72" t="s">
        <v>29</v>
      </c>
      <c r="E146" s="72" t="s">
        <v>67</v>
      </c>
      <c r="F146" s="72">
        <v>177</v>
      </c>
      <c r="G146" s="72">
        <v>6</v>
      </c>
      <c r="H146" s="72">
        <v>360</v>
      </c>
      <c r="I146" s="72">
        <v>1</v>
      </c>
      <c r="J146" s="72">
        <v>1</v>
      </c>
      <c r="K146" s="72">
        <v>65091</v>
      </c>
      <c r="L146" s="72" t="s">
        <v>2326</v>
      </c>
      <c r="M146" s="72" t="s">
        <v>1019</v>
      </c>
    </row>
    <row r="147" spans="1:13" x14ac:dyDescent="0.2">
      <c r="A147" s="72" t="s">
        <v>508</v>
      </c>
      <c r="B147" s="72" t="s">
        <v>65</v>
      </c>
      <c r="C147" s="72" t="s">
        <v>505</v>
      </c>
      <c r="D147" s="72" t="s">
        <v>29</v>
      </c>
      <c r="E147" s="72" t="s">
        <v>67</v>
      </c>
      <c r="F147" s="72">
        <v>177</v>
      </c>
      <c r="G147" s="72">
        <v>6</v>
      </c>
      <c r="H147" s="72">
        <v>360</v>
      </c>
      <c r="I147" s="72">
        <v>1</v>
      </c>
      <c r="J147" s="72">
        <v>1</v>
      </c>
      <c r="K147" s="72">
        <v>65091</v>
      </c>
      <c r="L147" s="72" t="s">
        <v>2326</v>
      </c>
      <c r="M147" s="72" t="s">
        <v>895</v>
      </c>
    </row>
    <row r="148" spans="1:13" x14ac:dyDescent="0.2">
      <c r="A148" s="72" t="s">
        <v>509</v>
      </c>
      <c r="B148" s="72" t="s">
        <v>65</v>
      </c>
      <c r="C148" s="72" t="s">
        <v>505</v>
      </c>
      <c r="D148" s="72" t="s">
        <v>29</v>
      </c>
      <c r="E148" s="72" t="s">
        <v>67</v>
      </c>
      <c r="F148" s="72">
        <v>177</v>
      </c>
      <c r="G148" s="72">
        <v>6</v>
      </c>
      <c r="H148" s="72">
        <v>360</v>
      </c>
      <c r="I148" s="72">
        <v>1</v>
      </c>
      <c r="J148" s="72">
        <v>1</v>
      </c>
      <c r="K148" s="72">
        <v>65091</v>
      </c>
      <c r="L148" s="72" t="s">
        <v>2326</v>
      </c>
      <c r="M148" s="72" t="s">
        <v>877</v>
      </c>
    </row>
    <row r="149" spans="1:13" x14ac:dyDescent="0.2">
      <c r="A149" s="72" t="s">
        <v>510</v>
      </c>
      <c r="B149" s="72" t="s">
        <v>65</v>
      </c>
      <c r="C149" s="72" t="s">
        <v>505</v>
      </c>
      <c r="D149" s="72" t="s">
        <v>29</v>
      </c>
      <c r="E149" s="72" t="s">
        <v>67</v>
      </c>
      <c r="F149" s="72">
        <v>177</v>
      </c>
      <c r="G149" s="72">
        <v>6</v>
      </c>
      <c r="H149" s="72">
        <v>360</v>
      </c>
      <c r="I149" s="72">
        <v>1</v>
      </c>
      <c r="J149" s="72">
        <v>1</v>
      </c>
      <c r="K149" s="72">
        <v>65091</v>
      </c>
      <c r="L149" s="72" t="s">
        <v>2326</v>
      </c>
      <c r="M149" s="72" t="s">
        <v>1256</v>
      </c>
    </row>
    <row r="150" spans="1:13" x14ac:dyDescent="0.2">
      <c r="A150" s="72" t="s">
        <v>511</v>
      </c>
      <c r="B150" s="72" t="s">
        <v>65</v>
      </c>
      <c r="C150" s="72" t="s">
        <v>505</v>
      </c>
      <c r="D150" s="72" t="s">
        <v>29</v>
      </c>
      <c r="E150" s="72" t="s">
        <v>67</v>
      </c>
      <c r="F150" s="72">
        <v>177</v>
      </c>
      <c r="G150" s="72">
        <v>6</v>
      </c>
      <c r="H150" s="72">
        <v>360</v>
      </c>
      <c r="I150" s="72">
        <v>1</v>
      </c>
      <c r="J150" s="72">
        <v>1</v>
      </c>
      <c r="K150" s="72">
        <v>65091</v>
      </c>
      <c r="L150" s="72" t="s">
        <v>2326</v>
      </c>
      <c r="M150" s="72" t="s">
        <v>1239</v>
      </c>
    </row>
    <row r="151" spans="1:13" x14ac:dyDescent="0.2">
      <c r="A151" s="72" t="s">
        <v>512</v>
      </c>
      <c r="B151" s="72" t="s">
        <v>65</v>
      </c>
      <c r="C151" s="72" t="s">
        <v>505</v>
      </c>
      <c r="D151" s="72" t="s">
        <v>29</v>
      </c>
      <c r="E151" s="72" t="s">
        <v>67</v>
      </c>
      <c r="F151" s="72">
        <v>177</v>
      </c>
      <c r="G151" s="72">
        <v>6</v>
      </c>
      <c r="H151" s="72">
        <v>360</v>
      </c>
      <c r="I151" s="72">
        <v>1</v>
      </c>
      <c r="J151" s="72">
        <v>1</v>
      </c>
      <c r="K151" s="72">
        <v>65091</v>
      </c>
      <c r="L151" s="72" t="s">
        <v>2326</v>
      </c>
      <c r="M151" s="72" t="s">
        <v>1031</v>
      </c>
    </row>
    <row r="152" spans="1:13" x14ac:dyDescent="0.2">
      <c r="A152" s="72" t="s">
        <v>513</v>
      </c>
      <c r="B152" s="72" t="s">
        <v>65</v>
      </c>
      <c r="C152" s="72" t="s">
        <v>505</v>
      </c>
      <c r="D152" s="72" t="s">
        <v>29</v>
      </c>
      <c r="E152" s="72" t="s">
        <v>67</v>
      </c>
      <c r="F152" s="72">
        <v>177</v>
      </c>
      <c r="G152" s="72">
        <v>6</v>
      </c>
      <c r="H152" s="72">
        <v>360</v>
      </c>
      <c r="I152" s="72">
        <v>1</v>
      </c>
      <c r="J152" s="72">
        <v>1</v>
      </c>
      <c r="K152" s="72">
        <v>65091</v>
      </c>
      <c r="L152" s="72" t="s">
        <v>2326</v>
      </c>
      <c r="M152" s="72" t="s">
        <v>907</v>
      </c>
    </row>
    <row r="153" spans="1:13" x14ac:dyDescent="0.2">
      <c r="A153" s="72" t="s">
        <v>514</v>
      </c>
      <c r="B153" s="72" t="s">
        <v>65</v>
      </c>
      <c r="C153" s="72" t="s">
        <v>505</v>
      </c>
      <c r="D153" s="72" t="s">
        <v>29</v>
      </c>
      <c r="E153" s="72" t="s">
        <v>67</v>
      </c>
      <c r="F153" s="72">
        <v>177</v>
      </c>
      <c r="G153" s="72">
        <v>6</v>
      </c>
      <c r="H153" s="72">
        <v>360</v>
      </c>
      <c r="I153" s="72">
        <v>1</v>
      </c>
      <c r="J153" s="72">
        <v>1</v>
      </c>
      <c r="K153" s="72">
        <v>65091</v>
      </c>
      <c r="L153" s="72" t="s">
        <v>2326</v>
      </c>
      <c r="M153" s="72" t="s">
        <v>889</v>
      </c>
    </row>
    <row r="154" spans="1:13" x14ac:dyDescent="0.2">
      <c r="A154" s="72" t="s">
        <v>493</v>
      </c>
      <c r="B154" s="72" t="s">
        <v>65</v>
      </c>
      <c r="C154" s="72" t="s">
        <v>494</v>
      </c>
      <c r="D154" s="72" t="s">
        <v>29</v>
      </c>
      <c r="E154" s="72" t="s">
        <v>67</v>
      </c>
      <c r="F154" s="72">
        <v>177</v>
      </c>
      <c r="G154" s="72">
        <v>6</v>
      </c>
      <c r="H154" s="72">
        <v>360</v>
      </c>
      <c r="I154" s="72">
        <v>1</v>
      </c>
      <c r="J154" s="72">
        <v>1</v>
      </c>
      <c r="K154" s="72">
        <v>65256</v>
      </c>
      <c r="L154" s="72" t="s">
        <v>2326</v>
      </c>
      <c r="M154" s="72" t="s">
        <v>2356</v>
      </c>
    </row>
    <row r="155" spans="1:13" x14ac:dyDescent="0.2">
      <c r="A155" s="72" t="s">
        <v>495</v>
      </c>
      <c r="B155" s="72" t="s">
        <v>65</v>
      </c>
      <c r="C155" s="72" t="s">
        <v>494</v>
      </c>
      <c r="D155" s="72" t="s">
        <v>29</v>
      </c>
      <c r="E155" s="72" t="s">
        <v>67</v>
      </c>
      <c r="F155" s="72">
        <v>177</v>
      </c>
      <c r="G155" s="72">
        <v>6</v>
      </c>
      <c r="H155" s="72">
        <v>360</v>
      </c>
      <c r="I155" s="72">
        <v>1</v>
      </c>
      <c r="J155" s="72">
        <v>1</v>
      </c>
      <c r="K155" s="72">
        <v>65256</v>
      </c>
      <c r="L155" s="72" t="s">
        <v>2326</v>
      </c>
      <c r="M155" s="72" t="s">
        <v>1247</v>
      </c>
    </row>
    <row r="156" spans="1:13" x14ac:dyDescent="0.2">
      <c r="A156" s="72" t="s">
        <v>496</v>
      </c>
      <c r="B156" s="72" t="s">
        <v>65</v>
      </c>
      <c r="C156" s="72" t="s">
        <v>494</v>
      </c>
      <c r="D156" s="72" t="s">
        <v>29</v>
      </c>
      <c r="E156" s="72" t="s">
        <v>67</v>
      </c>
      <c r="F156" s="72">
        <v>177</v>
      </c>
      <c r="G156" s="72">
        <v>6</v>
      </c>
      <c r="H156" s="72">
        <v>360</v>
      </c>
      <c r="I156" s="72">
        <v>1</v>
      </c>
      <c r="J156" s="72">
        <v>1</v>
      </c>
      <c r="K156" s="72">
        <v>65256</v>
      </c>
      <c r="L156" s="72" t="s">
        <v>2326</v>
      </c>
      <c r="M156" s="72" t="s">
        <v>892</v>
      </c>
    </row>
    <row r="157" spans="1:13" x14ac:dyDescent="0.2">
      <c r="A157" s="72" t="s">
        <v>497</v>
      </c>
      <c r="B157" s="72" t="s">
        <v>65</v>
      </c>
      <c r="C157" s="72" t="s">
        <v>494</v>
      </c>
      <c r="D157" s="72" t="s">
        <v>29</v>
      </c>
      <c r="E157" s="72" t="s">
        <v>67</v>
      </c>
      <c r="F157" s="72">
        <v>177</v>
      </c>
      <c r="G157" s="72">
        <v>6</v>
      </c>
      <c r="H157" s="72">
        <v>360</v>
      </c>
      <c r="I157" s="72">
        <v>1</v>
      </c>
      <c r="J157" s="72">
        <v>1</v>
      </c>
      <c r="K157" s="72">
        <v>65256</v>
      </c>
      <c r="L157" s="72" t="s">
        <v>2326</v>
      </c>
      <c r="M157" s="72" t="s">
        <v>873</v>
      </c>
    </row>
    <row r="158" spans="1:13" x14ac:dyDescent="0.2">
      <c r="A158" s="72" t="s">
        <v>498</v>
      </c>
      <c r="B158" s="72" t="s">
        <v>65</v>
      </c>
      <c r="C158" s="72" t="s">
        <v>494</v>
      </c>
      <c r="D158" s="72" t="s">
        <v>29</v>
      </c>
      <c r="E158" s="72" t="s">
        <v>67</v>
      </c>
      <c r="F158" s="72">
        <v>177</v>
      </c>
      <c r="G158" s="72">
        <v>6</v>
      </c>
      <c r="H158" s="72">
        <v>360</v>
      </c>
      <c r="I158" s="72">
        <v>1</v>
      </c>
      <c r="J158" s="72">
        <v>1</v>
      </c>
      <c r="K158" s="72">
        <v>65256</v>
      </c>
      <c r="L158" s="72" t="s">
        <v>2326</v>
      </c>
      <c r="M158" s="72" t="s">
        <v>1253</v>
      </c>
    </row>
    <row r="159" spans="1:13" x14ac:dyDescent="0.2">
      <c r="A159" s="72" t="s">
        <v>499</v>
      </c>
      <c r="B159" s="72" t="s">
        <v>65</v>
      </c>
      <c r="C159" s="72" t="s">
        <v>494</v>
      </c>
      <c r="D159" s="72" t="s">
        <v>29</v>
      </c>
      <c r="E159" s="72" t="s">
        <v>67</v>
      </c>
      <c r="F159" s="72">
        <v>177</v>
      </c>
      <c r="G159" s="72">
        <v>6</v>
      </c>
      <c r="H159" s="72">
        <v>360</v>
      </c>
      <c r="I159" s="72">
        <v>1</v>
      </c>
      <c r="J159" s="72">
        <v>1</v>
      </c>
      <c r="K159" s="72">
        <v>65256</v>
      </c>
      <c r="L159" s="72" t="s">
        <v>2326</v>
      </c>
      <c r="M159" s="72" t="s">
        <v>1236</v>
      </c>
    </row>
    <row r="160" spans="1:13" x14ac:dyDescent="0.2">
      <c r="A160" s="72" t="s">
        <v>500</v>
      </c>
      <c r="B160" s="72" t="s">
        <v>65</v>
      </c>
      <c r="C160" s="72" t="s">
        <v>494</v>
      </c>
      <c r="D160" s="72" t="s">
        <v>29</v>
      </c>
      <c r="E160" s="72" t="s">
        <v>67</v>
      </c>
      <c r="F160" s="72">
        <v>177</v>
      </c>
      <c r="G160" s="72">
        <v>6</v>
      </c>
      <c r="H160" s="72">
        <v>360</v>
      </c>
      <c r="I160" s="72">
        <v>1</v>
      </c>
      <c r="J160" s="72">
        <v>1</v>
      </c>
      <c r="K160" s="72">
        <v>65256</v>
      </c>
      <c r="L160" s="72" t="s">
        <v>2326</v>
      </c>
      <c r="M160" s="72" t="s">
        <v>1028</v>
      </c>
    </row>
    <row r="161" spans="1:13" x14ac:dyDescent="0.2">
      <c r="A161" s="72" t="s">
        <v>501</v>
      </c>
      <c r="B161" s="72" t="s">
        <v>65</v>
      </c>
      <c r="C161" s="72" t="s">
        <v>494</v>
      </c>
      <c r="D161" s="72" t="s">
        <v>29</v>
      </c>
      <c r="E161" s="72" t="s">
        <v>67</v>
      </c>
      <c r="F161" s="72">
        <v>177</v>
      </c>
      <c r="G161" s="72">
        <v>6</v>
      </c>
      <c r="H161" s="72">
        <v>360</v>
      </c>
      <c r="I161" s="72">
        <v>1</v>
      </c>
      <c r="J161" s="72">
        <v>1</v>
      </c>
      <c r="K161" s="72">
        <v>65256</v>
      </c>
      <c r="L161" s="72" t="s">
        <v>2326</v>
      </c>
      <c r="M161" s="72" t="s">
        <v>904</v>
      </c>
    </row>
    <row r="162" spans="1:13" x14ac:dyDescent="0.2">
      <c r="A162" s="72" t="s">
        <v>502</v>
      </c>
      <c r="B162" s="72" t="s">
        <v>65</v>
      </c>
      <c r="C162" s="72" t="s">
        <v>494</v>
      </c>
      <c r="D162" s="72" t="s">
        <v>29</v>
      </c>
      <c r="E162" s="72" t="s">
        <v>67</v>
      </c>
      <c r="F162" s="72">
        <v>177</v>
      </c>
      <c r="G162" s="72">
        <v>6</v>
      </c>
      <c r="H162" s="72">
        <v>360</v>
      </c>
      <c r="I162" s="72">
        <v>1</v>
      </c>
      <c r="J162" s="72">
        <v>1</v>
      </c>
      <c r="K162" s="72">
        <v>65256</v>
      </c>
      <c r="L162" s="72" t="s">
        <v>2326</v>
      </c>
      <c r="M162" s="72" t="s">
        <v>886</v>
      </c>
    </row>
    <row r="163" spans="1:13" x14ac:dyDescent="0.2">
      <c r="A163" s="72" t="s">
        <v>503</v>
      </c>
      <c r="B163" s="72" t="s">
        <v>65</v>
      </c>
      <c r="C163" s="72" t="s">
        <v>494</v>
      </c>
      <c r="D163" s="72" t="s">
        <v>29</v>
      </c>
      <c r="E163" s="72" t="s">
        <v>67</v>
      </c>
      <c r="F163" s="72">
        <v>177</v>
      </c>
      <c r="G163" s="72">
        <v>6</v>
      </c>
      <c r="H163" s="72">
        <v>360</v>
      </c>
      <c r="I163" s="72">
        <v>1</v>
      </c>
      <c r="J163" s="72">
        <v>1</v>
      </c>
      <c r="K163" s="72">
        <v>65256</v>
      </c>
      <c r="L163" s="72" t="s">
        <v>2326</v>
      </c>
      <c r="M163" s="72" t="s">
        <v>1264</v>
      </c>
    </row>
    <row r="164" spans="1:13" x14ac:dyDescent="0.2">
      <c r="A164" s="72" t="s">
        <v>491</v>
      </c>
      <c r="B164" s="72" t="s">
        <v>65</v>
      </c>
      <c r="C164" s="72" t="s">
        <v>492</v>
      </c>
      <c r="D164" s="72" t="s">
        <v>29</v>
      </c>
      <c r="E164" s="72" t="s">
        <v>67</v>
      </c>
      <c r="F164" s="72">
        <v>177</v>
      </c>
      <c r="G164" s="72">
        <v>6</v>
      </c>
      <c r="H164" s="72">
        <v>360</v>
      </c>
      <c r="I164" s="72">
        <v>1</v>
      </c>
      <c r="J164" s="72">
        <v>1</v>
      </c>
      <c r="K164" s="72">
        <v>65074</v>
      </c>
      <c r="L164" s="72" t="s">
        <v>2326</v>
      </c>
      <c r="M164" s="72" t="s">
        <v>2357</v>
      </c>
    </row>
    <row r="165" spans="1:13" x14ac:dyDescent="0.2">
      <c r="A165" s="72" t="s">
        <v>489</v>
      </c>
      <c r="B165" s="72" t="s">
        <v>65</v>
      </c>
      <c r="C165" s="72" t="s">
        <v>490</v>
      </c>
      <c r="D165" s="72" t="s">
        <v>29</v>
      </c>
      <c r="E165" s="72" t="s">
        <v>67</v>
      </c>
      <c r="F165" s="72">
        <v>177</v>
      </c>
      <c r="G165" s="72">
        <v>6</v>
      </c>
      <c r="H165" s="72">
        <v>360</v>
      </c>
      <c r="I165" s="72">
        <v>1</v>
      </c>
      <c r="J165" s="72">
        <v>1</v>
      </c>
      <c r="K165" s="72">
        <v>66227</v>
      </c>
      <c r="L165" s="72" t="s">
        <v>2326</v>
      </c>
      <c r="M165" s="72" t="s">
        <v>2358</v>
      </c>
    </row>
    <row r="166" spans="1:13" x14ac:dyDescent="0.2">
      <c r="A166" s="72" t="s">
        <v>478</v>
      </c>
      <c r="B166" s="72" t="s">
        <v>65</v>
      </c>
      <c r="C166" s="72" t="s">
        <v>479</v>
      </c>
      <c r="D166" s="72" t="s">
        <v>29</v>
      </c>
      <c r="E166" s="72" t="s">
        <v>67</v>
      </c>
      <c r="F166" s="72">
        <v>177</v>
      </c>
      <c r="G166" s="72">
        <v>6</v>
      </c>
      <c r="H166" s="72">
        <v>360</v>
      </c>
      <c r="I166" s="72">
        <v>1</v>
      </c>
      <c r="J166" s="72">
        <v>1</v>
      </c>
      <c r="K166" s="72">
        <v>49508</v>
      </c>
      <c r="L166" s="72" t="s">
        <v>2326</v>
      </c>
      <c r="M166" s="72" t="s">
        <v>2359</v>
      </c>
    </row>
    <row r="167" spans="1:13" x14ac:dyDescent="0.2">
      <c r="A167" s="72" t="s">
        <v>480</v>
      </c>
      <c r="B167" s="72" t="s">
        <v>65</v>
      </c>
      <c r="C167" s="72" t="s">
        <v>479</v>
      </c>
      <c r="D167" s="72" t="s">
        <v>29</v>
      </c>
      <c r="E167" s="72" t="s">
        <v>67</v>
      </c>
      <c r="F167" s="72">
        <v>177</v>
      </c>
      <c r="G167" s="72">
        <v>6</v>
      </c>
      <c r="H167" s="72">
        <v>360</v>
      </c>
      <c r="I167" s="72">
        <v>1</v>
      </c>
      <c r="J167" s="72">
        <v>1</v>
      </c>
      <c r="K167" s="72">
        <v>49508</v>
      </c>
      <c r="L167" s="72" t="s">
        <v>2326</v>
      </c>
      <c r="M167" s="72" t="s">
        <v>1037</v>
      </c>
    </row>
    <row r="168" spans="1:13" x14ac:dyDescent="0.2">
      <c r="A168" s="72" t="s">
        <v>481</v>
      </c>
      <c r="B168" s="72" t="s">
        <v>65</v>
      </c>
      <c r="C168" s="72" t="s">
        <v>479</v>
      </c>
      <c r="D168" s="72" t="s">
        <v>29</v>
      </c>
      <c r="E168" s="72" t="s">
        <v>67</v>
      </c>
      <c r="F168" s="72">
        <v>177</v>
      </c>
      <c r="G168" s="72">
        <v>6</v>
      </c>
      <c r="H168" s="72">
        <v>360</v>
      </c>
      <c r="I168" s="72">
        <v>1</v>
      </c>
      <c r="J168" s="72">
        <v>1</v>
      </c>
      <c r="K168" s="72">
        <v>49508</v>
      </c>
      <c r="L168" s="72" t="s">
        <v>2326</v>
      </c>
      <c r="M168" s="72" t="s">
        <v>869</v>
      </c>
    </row>
    <row r="169" spans="1:13" x14ac:dyDescent="0.2">
      <c r="A169" s="72" t="s">
        <v>482</v>
      </c>
      <c r="B169" s="72" t="s">
        <v>65</v>
      </c>
      <c r="C169" s="72" t="s">
        <v>479</v>
      </c>
      <c r="D169" s="72" t="s">
        <v>29</v>
      </c>
      <c r="E169" s="72" t="s">
        <v>67</v>
      </c>
      <c r="F169" s="72">
        <v>177</v>
      </c>
      <c r="G169" s="72">
        <v>6</v>
      </c>
      <c r="H169" s="72">
        <v>360</v>
      </c>
      <c r="I169" s="72">
        <v>1</v>
      </c>
      <c r="J169" s="72">
        <v>1</v>
      </c>
      <c r="K169" s="72">
        <v>49508</v>
      </c>
      <c r="L169" s="72" t="s">
        <v>2326</v>
      </c>
      <c r="M169" s="72" t="s">
        <v>1250</v>
      </c>
    </row>
    <row r="170" spans="1:13" x14ac:dyDescent="0.2">
      <c r="A170" s="72" t="s">
        <v>483</v>
      </c>
      <c r="B170" s="72" t="s">
        <v>65</v>
      </c>
      <c r="C170" s="72" t="s">
        <v>479</v>
      </c>
      <c r="D170" s="72" t="s">
        <v>29</v>
      </c>
      <c r="E170" s="72" t="s">
        <v>67</v>
      </c>
      <c r="F170" s="72">
        <v>177</v>
      </c>
      <c r="G170" s="72">
        <v>6</v>
      </c>
      <c r="H170" s="72">
        <v>360</v>
      </c>
      <c r="I170" s="72">
        <v>1</v>
      </c>
      <c r="J170" s="72">
        <v>1</v>
      </c>
      <c r="K170" s="72">
        <v>49508</v>
      </c>
      <c r="L170" s="72" t="s">
        <v>2326</v>
      </c>
      <c r="M170" s="72" t="s">
        <v>1233</v>
      </c>
    </row>
    <row r="171" spans="1:13" x14ac:dyDescent="0.2">
      <c r="A171" s="72" t="s">
        <v>484</v>
      </c>
      <c r="B171" s="72" t="s">
        <v>65</v>
      </c>
      <c r="C171" s="72" t="s">
        <v>479</v>
      </c>
      <c r="D171" s="72" t="s">
        <v>29</v>
      </c>
      <c r="E171" s="72" t="s">
        <v>67</v>
      </c>
      <c r="F171" s="72">
        <v>177</v>
      </c>
      <c r="G171" s="72">
        <v>6</v>
      </c>
      <c r="H171" s="72">
        <v>360</v>
      </c>
      <c r="I171" s="72">
        <v>1</v>
      </c>
      <c r="J171" s="72">
        <v>1</v>
      </c>
      <c r="K171" s="72">
        <v>49508</v>
      </c>
      <c r="L171" s="72" t="s">
        <v>2326</v>
      </c>
      <c r="M171" s="72" t="s">
        <v>1025</v>
      </c>
    </row>
    <row r="172" spans="1:13" x14ac:dyDescent="0.2">
      <c r="A172" s="72" t="s">
        <v>485</v>
      </c>
      <c r="B172" s="72" t="s">
        <v>65</v>
      </c>
      <c r="C172" s="72" t="s">
        <v>479</v>
      </c>
      <c r="D172" s="72" t="s">
        <v>29</v>
      </c>
      <c r="E172" s="72" t="s">
        <v>67</v>
      </c>
      <c r="F172" s="72">
        <v>177</v>
      </c>
      <c r="G172" s="72">
        <v>6</v>
      </c>
      <c r="H172" s="72">
        <v>360</v>
      </c>
      <c r="I172" s="72">
        <v>1</v>
      </c>
      <c r="J172" s="72">
        <v>1</v>
      </c>
      <c r="K172" s="72">
        <v>49508</v>
      </c>
      <c r="L172" s="72" t="s">
        <v>2326</v>
      </c>
      <c r="M172" s="72" t="s">
        <v>901</v>
      </c>
    </row>
    <row r="173" spans="1:13" x14ac:dyDescent="0.2">
      <c r="A173" s="72" t="s">
        <v>486</v>
      </c>
      <c r="B173" s="72" t="s">
        <v>65</v>
      </c>
      <c r="C173" s="72" t="s">
        <v>479</v>
      </c>
      <c r="D173" s="72" t="s">
        <v>29</v>
      </c>
      <c r="E173" s="72" t="s">
        <v>67</v>
      </c>
      <c r="F173" s="72">
        <v>177</v>
      </c>
      <c r="G173" s="72">
        <v>6</v>
      </c>
      <c r="H173" s="72">
        <v>360</v>
      </c>
      <c r="I173" s="72">
        <v>1</v>
      </c>
      <c r="J173" s="72">
        <v>1</v>
      </c>
      <c r="K173" s="72">
        <v>49508</v>
      </c>
      <c r="L173" s="72" t="s">
        <v>2326</v>
      </c>
      <c r="M173" s="72" t="s">
        <v>883</v>
      </c>
    </row>
    <row r="174" spans="1:13" x14ac:dyDescent="0.2">
      <c r="A174" s="72" t="s">
        <v>487</v>
      </c>
      <c r="B174" s="72" t="s">
        <v>65</v>
      </c>
      <c r="C174" s="72" t="s">
        <v>479</v>
      </c>
      <c r="D174" s="72" t="s">
        <v>29</v>
      </c>
      <c r="E174" s="72" t="s">
        <v>67</v>
      </c>
      <c r="F174" s="72">
        <v>177</v>
      </c>
      <c r="G174" s="72">
        <v>6</v>
      </c>
      <c r="H174" s="72">
        <v>360</v>
      </c>
      <c r="I174" s="72">
        <v>1</v>
      </c>
      <c r="J174" s="72">
        <v>1</v>
      </c>
      <c r="K174" s="72">
        <v>49508</v>
      </c>
      <c r="L174" s="72" t="s">
        <v>2326</v>
      </c>
      <c r="M174" s="72" t="s">
        <v>1262</v>
      </c>
    </row>
    <row r="175" spans="1:13" x14ac:dyDescent="0.2">
      <c r="A175" s="72" t="s">
        <v>488</v>
      </c>
      <c r="B175" s="72" t="s">
        <v>65</v>
      </c>
      <c r="C175" s="72" t="s">
        <v>479</v>
      </c>
      <c r="D175" s="72" t="s">
        <v>29</v>
      </c>
      <c r="E175" s="72" t="s">
        <v>67</v>
      </c>
      <c r="F175" s="72">
        <v>177</v>
      </c>
      <c r="G175" s="72">
        <v>6</v>
      </c>
      <c r="H175" s="72">
        <v>360</v>
      </c>
      <c r="I175" s="72">
        <v>1</v>
      </c>
      <c r="J175" s="72">
        <v>1</v>
      </c>
      <c r="K175" s="72">
        <v>49508</v>
      </c>
      <c r="L175" s="72" t="s">
        <v>2326</v>
      </c>
      <c r="M175" s="72" t="s">
        <v>1245</v>
      </c>
    </row>
    <row r="176" spans="1:13" x14ac:dyDescent="0.2">
      <c r="A176" s="72" t="s">
        <v>467</v>
      </c>
      <c r="B176" s="72" t="s">
        <v>65</v>
      </c>
      <c r="C176" s="72" t="s">
        <v>468</v>
      </c>
      <c r="D176" s="72" t="s">
        <v>29</v>
      </c>
      <c r="E176" s="72" t="s">
        <v>67</v>
      </c>
      <c r="F176" s="72">
        <v>177</v>
      </c>
      <c r="G176" s="72">
        <v>6</v>
      </c>
      <c r="H176" s="72">
        <v>360</v>
      </c>
      <c r="I176" s="72">
        <v>1</v>
      </c>
      <c r="J176" s="72">
        <v>1</v>
      </c>
      <c r="K176" s="72">
        <v>49677</v>
      </c>
      <c r="L176" s="72" t="s">
        <v>2326</v>
      </c>
      <c r="M176" s="72" t="s">
        <v>2360</v>
      </c>
    </row>
    <row r="177" spans="1:13" x14ac:dyDescent="0.2">
      <c r="A177" s="72" t="s">
        <v>469</v>
      </c>
      <c r="B177" s="72" t="s">
        <v>65</v>
      </c>
      <c r="C177" s="72" t="s">
        <v>468</v>
      </c>
      <c r="D177" s="72" t="s">
        <v>29</v>
      </c>
      <c r="E177" s="72" t="s">
        <v>67</v>
      </c>
      <c r="F177" s="72">
        <v>177</v>
      </c>
      <c r="G177" s="72">
        <v>6</v>
      </c>
      <c r="H177" s="72">
        <v>360</v>
      </c>
      <c r="I177" s="72">
        <v>1</v>
      </c>
      <c r="J177" s="72">
        <v>1</v>
      </c>
      <c r="K177" s="72">
        <v>49677</v>
      </c>
      <c r="L177" s="72" t="s">
        <v>2326</v>
      </c>
      <c r="M177" s="72" t="s">
        <v>910</v>
      </c>
    </row>
    <row r="178" spans="1:13" x14ac:dyDescent="0.2">
      <c r="A178" s="72" t="s">
        <v>470</v>
      </c>
      <c r="B178" s="72" t="s">
        <v>65</v>
      </c>
      <c r="C178" s="72" t="s">
        <v>468</v>
      </c>
      <c r="D178" s="72" t="s">
        <v>29</v>
      </c>
      <c r="E178" s="72" t="s">
        <v>67</v>
      </c>
      <c r="F178" s="72">
        <v>177</v>
      </c>
      <c r="G178" s="72">
        <v>6</v>
      </c>
      <c r="H178" s="72">
        <v>360</v>
      </c>
      <c r="I178" s="72">
        <v>1</v>
      </c>
      <c r="J178" s="72">
        <v>1</v>
      </c>
      <c r="K178" s="72">
        <v>49677</v>
      </c>
      <c r="L178" s="72" t="s">
        <v>2326</v>
      </c>
      <c r="M178" s="72" t="s">
        <v>2361</v>
      </c>
    </row>
    <row r="179" spans="1:13" x14ac:dyDescent="0.2">
      <c r="A179" s="72" t="s">
        <v>471</v>
      </c>
      <c r="B179" s="72" t="s">
        <v>65</v>
      </c>
      <c r="C179" s="72" t="s">
        <v>468</v>
      </c>
      <c r="D179" s="72" t="s">
        <v>29</v>
      </c>
      <c r="E179" s="72" t="s">
        <v>67</v>
      </c>
      <c r="F179" s="72">
        <v>177</v>
      </c>
      <c r="G179" s="72">
        <v>6</v>
      </c>
      <c r="H179" s="72">
        <v>360</v>
      </c>
      <c r="I179" s="72">
        <v>1</v>
      </c>
      <c r="J179" s="72">
        <v>1</v>
      </c>
      <c r="K179" s="72">
        <v>49677</v>
      </c>
      <c r="L179" s="72" t="s">
        <v>2326</v>
      </c>
      <c r="M179" s="72" t="s">
        <v>1230</v>
      </c>
    </row>
    <row r="180" spans="1:13" x14ac:dyDescent="0.2">
      <c r="A180" s="72" t="s">
        <v>472</v>
      </c>
      <c r="B180" s="72" t="s">
        <v>65</v>
      </c>
      <c r="C180" s="72" t="s">
        <v>468</v>
      </c>
      <c r="D180" s="72" t="s">
        <v>29</v>
      </c>
      <c r="E180" s="72" t="s">
        <v>67</v>
      </c>
      <c r="F180" s="72">
        <v>177</v>
      </c>
      <c r="G180" s="72">
        <v>6</v>
      </c>
      <c r="H180" s="72">
        <v>360</v>
      </c>
      <c r="I180" s="72">
        <v>1</v>
      </c>
      <c r="J180" s="72">
        <v>1</v>
      </c>
      <c r="K180" s="72">
        <v>49677</v>
      </c>
      <c r="L180" s="72" t="s">
        <v>2326</v>
      </c>
      <c r="M180" s="72" t="s">
        <v>1022</v>
      </c>
    </row>
    <row r="181" spans="1:13" x14ac:dyDescent="0.2">
      <c r="A181" s="72" t="s">
        <v>473</v>
      </c>
      <c r="B181" s="72" t="s">
        <v>65</v>
      </c>
      <c r="C181" s="72" t="s">
        <v>468</v>
      </c>
      <c r="D181" s="72" t="s">
        <v>29</v>
      </c>
      <c r="E181" s="72" t="s">
        <v>67</v>
      </c>
      <c r="F181" s="72">
        <v>177</v>
      </c>
      <c r="G181" s="72">
        <v>6</v>
      </c>
      <c r="H181" s="72">
        <v>360</v>
      </c>
      <c r="I181" s="72">
        <v>1</v>
      </c>
      <c r="J181" s="72">
        <v>1</v>
      </c>
      <c r="K181" s="72">
        <v>49677</v>
      </c>
      <c r="L181" s="72" t="s">
        <v>2326</v>
      </c>
      <c r="M181" s="72" t="s">
        <v>898</v>
      </c>
    </row>
    <row r="182" spans="1:13" x14ac:dyDescent="0.2">
      <c r="A182" s="72" t="s">
        <v>474</v>
      </c>
      <c r="B182" s="72" t="s">
        <v>65</v>
      </c>
      <c r="C182" s="72" t="s">
        <v>468</v>
      </c>
      <c r="D182" s="72" t="s">
        <v>29</v>
      </c>
      <c r="E182" s="72" t="s">
        <v>67</v>
      </c>
      <c r="F182" s="72">
        <v>177</v>
      </c>
      <c r="G182" s="72">
        <v>6</v>
      </c>
      <c r="H182" s="72">
        <v>360</v>
      </c>
      <c r="I182" s="72">
        <v>1</v>
      </c>
      <c r="J182" s="72">
        <v>1</v>
      </c>
      <c r="K182" s="72">
        <v>49677</v>
      </c>
      <c r="L182" s="72" t="s">
        <v>2326</v>
      </c>
      <c r="M182" s="72" t="s">
        <v>880</v>
      </c>
    </row>
    <row r="183" spans="1:13" x14ac:dyDescent="0.2">
      <c r="A183" s="72" t="s">
        <v>475</v>
      </c>
      <c r="B183" s="72" t="s">
        <v>65</v>
      </c>
      <c r="C183" s="72" t="s">
        <v>468</v>
      </c>
      <c r="D183" s="72" t="s">
        <v>29</v>
      </c>
      <c r="E183" s="72" t="s">
        <v>67</v>
      </c>
      <c r="F183" s="72">
        <v>177</v>
      </c>
      <c r="G183" s="72">
        <v>6</v>
      </c>
      <c r="H183" s="72">
        <v>360</v>
      </c>
      <c r="I183" s="72">
        <v>1</v>
      </c>
      <c r="J183" s="72">
        <v>1</v>
      </c>
      <c r="K183" s="72">
        <v>49677</v>
      </c>
      <c r="L183" s="72" t="s">
        <v>2326</v>
      </c>
      <c r="M183" s="72" t="s">
        <v>1259</v>
      </c>
    </row>
    <row r="184" spans="1:13" x14ac:dyDescent="0.2">
      <c r="A184" s="72" t="s">
        <v>476</v>
      </c>
      <c r="B184" s="72" t="s">
        <v>65</v>
      </c>
      <c r="C184" s="72" t="s">
        <v>468</v>
      </c>
      <c r="D184" s="72" t="s">
        <v>29</v>
      </c>
      <c r="E184" s="72" t="s">
        <v>67</v>
      </c>
      <c r="F184" s="72">
        <v>177</v>
      </c>
      <c r="G184" s="72">
        <v>6</v>
      </c>
      <c r="H184" s="72">
        <v>360</v>
      </c>
      <c r="I184" s="72">
        <v>1</v>
      </c>
      <c r="J184" s="72">
        <v>1</v>
      </c>
      <c r="K184" s="72">
        <v>49677</v>
      </c>
      <c r="L184" s="72" t="s">
        <v>2326</v>
      </c>
      <c r="M184" s="72" t="s">
        <v>1242</v>
      </c>
    </row>
    <row r="185" spans="1:13" x14ac:dyDescent="0.2">
      <c r="A185" s="72" t="s">
        <v>477</v>
      </c>
      <c r="B185" s="72" t="s">
        <v>65</v>
      </c>
      <c r="C185" s="72" t="s">
        <v>468</v>
      </c>
      <c r="D185" s="72" t="s">
        <v>29</v>
      </c>
      <c r="E185" s="72" t="s">
        <v>67</v>
      </c>
      <c r="F185" s="72">
        <v>177</v>
      </c>
      <c r="G185" s="72">
        <v>6</v>
      </c>
      <c r="H185" s="72">
        <v>360</v>
      </c>
      <c r="I185" s="72">
        <v>1</v>
      </c>
      <c r="J185" s="72">
        <v>1</v>
      </c>
      <c r="K185" s="72">
        <v>49677</v>
      </c>
      <c r="L185" s="72" t="s">
        <v>2326</v>
      </c>
      <c r="M185" s="72" t="s">
        <v>1034</v>
      </c>
    </row>
    <row r="186" spans="1:13" x14ac:dyDescent="0.2">
      <c r="A186" s="72" t="s">
        <v>456</v>
      </c>
      <c r="B186" s="72" t="s">
        <v>65</v>
      </c>
      <c r="C186" s="72" t="s">
        <v>457</v>
      </c>
      <c r="D186" s="72" t="s">
        <v>35</v>
      </c>
      <c r="E186" s="72" t="s">
        <v>112</v>
      </c>
      <c r="F186" s="72">
        <v>262</v>
      </c>
      <c r="G186" s="72">
        <v>0</v>
      </c>
      <c r="H186" s="72">
        <v>0</v>
      </c>
      <c r="I186" s="72">
        <v>1</v>
      </c>
      <c r="J186" s="72">
        <v>1</v>
      </c>
      <c r="K186" s="72">
        <v>241335</v>
      </c>
      <c r="L186" s="72" t="s">
        <v>2326</v>
      </c>
      <c r="M186" s="72" t="s">
        <v>2362</v>
      </c>
    </row>
    <row r="187" spans="1:13" x14ac:dyDescent="0.2">
      <c r="A187" s="72" t="s">
        <v>458</v>
      </c>
      <c r="B187" s="72" t="s">
        <v>65</v>
      </c>
      <c r="C187" s="72" t="s">
        <v>457</v>
      </c>
      <c r="D187" s="72" t="s">
        <v>35</v>
      </c>
      <c r="E187" s="72" t="s">
        <v>112</v>
      </c>
      <c r="F187" s="72">
        <v>262</v>
      </c>
      <c r="G187" s="72">
        <v>0</v>
      </c>
      <c r="H187" s="72">
        <v>0</v>
      </c>
      <c r="I187" s="72">
        <v>1</v>
      </c>
      <c r="J187" s="72">
        <v>1</v>
      </c>
      <c r="K187" s="72">
        <v>241335</v>
      </c>
      <c r="L187" s="72" t="s">
        <v>2326</v>
      </c>
      <c r="M187" s="72" t="s">
        <v>2023</v>
      </c>
    </row>
    <row r="188" spans="1:13" x14ac:dyDescent="0.2">
      <c r="A188" s="72" t="s">
        <v>459</v>
      </c>
      <c r="B188" s="72" t="s">
        <v>65</v>
      </c>
      <c r="C188" s="72" t="s">
        <v>457</v>
      </c>
      <c r="D188" s="72" t="s">
        <v>35</v>
      </c>
      <c r="E188" s="72" t="s">
        <v>112</v>
      </c>
      <c r="F188" s="72">
        <v>262</v>
      </c>
      <c r="G188" s="72">
        <v>0</v>
      </c>
      <c r="H188" s="72">
        <v>0</v>
      </c>
      <c r="I188" s="72">
        <v>1</v>
      </c>
      <c r="J188" s="72">
        <v>1</v>
      </c>
      <c r="K188" s="72">
        <v>241335</v>
      </c>
      <c r="L188" s="72" t="s">
        <v>2326</v>
      </c>
      <c r="M188" s="72" t="s">
        <v>2363</v>
      </c>
    </row>
    <row r="189" spans="1:13" x14ac:dyDescent="0.2">
      <c r="A189" s="72" t="s">
        <v>460</v>
      </c>
      <c r="B189" s="72" t="s">
        <v>65</v>
      </c>
      <c r="C189" s="72" t="s">
        <v>457</v>
      </c>
      <c r="D189" s="72" t="s">
        <v>35</v>
      </c>
      <c r="E189" s="72" t="s">
        <v>112</v>
      </c>
      <c r="F189" s="72">
        <v>262</v>
      </c>
      <c r="G189" s="72">
        <v>0</v>
      </c>
      <c r="H189" s="72">
        <v>0</v>
      </c>
      <c r="I189" s="72">
        <v>1</v>
      </c>
      <c r="J189" s="72">
        <v>1</v>
      </c>
      <c r="K189" s="72">
        <v>241335</v>
      </c>
      <c r="L189" s="72" t="s">
        <v>2326</v>
      </c>
      <c r="M189" s="72" t="s">
        <v>2364</v>
      </c>
    </row>
    <row r="190" spans="1:13" x14ac:dyDescent="0.2">
      <c r="A190" s="72" t="s">
        <v>461</v>
      </c>
      <c r="B190" s="72" t="s">
        <v>65</v>
      </c>
      <c r="C190" s="72" t="s">
        <v>457</v>
      </c>
      <c r="D190" s="72" t="s">
        <v>35</v>
      </c>
      <c r="E190" s="72" t="s">
        <v>112</v>
      </c>
      <c r="F190" s="72">
        <v>262</v>
      </c>
      <c r="G190" s="72">
        <v>0</v>
      </c>
      <c r="H190" s="72">
        <v>0</v>
      </c>
      <c r="I190" s="72">
        <v>1</v>
      </c>
      <c r="J190" s="72">
        <v>1</v>
      </c>
      <c r="K190" s="72">
        <v>241335</v>
      </c>
      <c r="L190" s="72" t="s">
        <v>2326</v>
      </c>
      <c r="M190" s="72" t="s">
        <v>1515</v>
      </c>
    </row>
    <row r="191" spans="1:13" x14ac:dyDescent="0.2">
      <c r="A191" s="72" t="s">
        <v>462</v>
      </c>
      <c r="B191" s="72" t="s">
        <v>65</v>
      </c>
      <c r="C191" s="72" t="s">
        <v>457</v>
      </c>
      <c r="D191" s="72" t="s">
        <v>35</v>
      </c>
      <c r="E191" s="72" t="s">
        <v>112</v>
      </c>
      <c r="F191" s="72">
        <v>262</v>
      </c>
      <c r="G191" s="72">
        <v>0</v>
      </c>
      <c r="H191" s="72">
        <v>0</v>
      </c>
      <c r="I191" s="72">
        <v>1</v>
      </c>
      <c r="J191" s="72">
        <v>1</v>
      </c>
      <c r="K191" s="72">
        <v>241335</v>
      </c>
      <c r="L191" s="72" t="s">
        <v>2326</v>
      </c>
      <c r="M191" s="72" t="s">
        <v>1793</v>
      </c>
    </row>
    <row r="192" spans="1:13" x14ac:dyDescent="0.2">
      <c r="A192" s="72" t="s">
        <v>463</v>
      </c>
      <c r="B192" s="72" t="s">
        <v>65</v>
      </c>
      <c r="C192" s="72" t="s">
        <v>457</v>
      </c>
      <c r="D192" s="72" t="s">
        <v>35</v>
      </c>
      <c r="E192" s="72" t="s">
        <v>112</v>
      </c>
      <c r="F192" s="72">
        <v>262</v>
      </c>
      <c r="G192" s="72">
        <v>0</v>
      </c>
      <c r="H192" s="72">
        <v>0</v>
      </c>
      <c r="I192" s="72">
        <v>1</v>
      </c>
      <c r="J192" s="72">
        <v>1</v>
      </c>
      <c r="K192" s="72">
        <v>241335</v>
      </c>
      <c r="L192" s="72" t="s">
        <v>2326</v>
      </c>
      <c r="M192" s="72" t="s">
        <v>1944</v>
      </c>
    </row>
    <row r="193" spans="1:13" x14ac:dyDescent="0.2">
      <c r="A193" s="72" t="s">
        <v>464</v>
      </c>
      <c r="B193" s="72" t="s">
        <v>65</v>
      </c>
      <c r="C193" s="72" t="s">
        <v>457</v>
      </c>
      <c r="D193" s="72" t="s">
        <v>35</v>
      </c>
      <c r="E193" s="72" t="s">
        <v>112</v>
      </c>
      <c r="F193" s="72">
        <v>262</v>
      </c>
      <c r="G193" s="72">
        <v>0</v>
      </c>
      <c r="H193" s="72">
        <v>0</v>
      </c>
      <c r="I193" s="72">
        <v>1</v>
      </c>
      <c r="J193" s="72">
        <v>1</v>
      </c>
      <c r="K193" s="72">
        <v>241335</v>
      </c>
      <c r="L193" s="72" t="s">
        <v>2326</v>
      </c>
      <c r="M193" s="72" t="s">
        <v>1535</v>
      </c>
    </row>
    <row r="194" spans="1:13" x14ac:dyDescent="0.2">
      <c r="A194" s="72" t="s">
        <v>465</v>
      </c>
      <c r="B194" s="72" t="s">
        <v>65</v>
      </c>
      <c r="C194" s="72" t="s">
        <v>457</v>
      </c>
      <c r="D194" s="72" t="s">
        <v>35</v>
      </c>
      <c r="E194" s="72" t="s">
        <v>112</v>
      </c>
      <c r="F194" s="72">
        <v>262</v>
      </c>
      <c r="G194" s="72">
        <v>0</v>
      </c>
      <c r="H194" s="72">
        <v>0</v>
      </c>
      <c r="I194" s="72">
        <v>1</v>
      </c>
      <c r="J194" s="72">
        <v>1</v>
      </c>
      <c r="K194" s="72">
        <v>241335</v>
      </c>
      <c r="L194" s="72" t="s">
        <v>2326</v>
      </c>
      <c r="M194" s="72" t="s">
        <v>1811</v>
      </c>
    </row>
    <row r="195" spans="1:13" x14ac:dyDescent="0.2">
      <c r="A195" s="72" t="s">
        <v>466</v>
      </c>
      <c r="B195" s="72" t="s">
        <v>65</v>
      </c>
      <c r="C195" s="72" t="s">
        <v>457</v>
      </c>
      <c r="D195" s="72" t="s">
        <v>35</v>
      </c>
      <c r="E195" s="72" t="s">
        <v>112</v>
      </c>
      <c r="F195" s="72">
        <v>262</v>
      </c>
      <c r="G195" s="72">
        <v>0</v>
      </c>
      <c r="H195" s="72">
        <v>0</v>
      </c>
      <c r="I195" s="72">
        <v>1</v>
      </c>
      <c r="J195" s="72">
        <v>1</v>
      </c>
      <c r="K195" s="72">
        <v>241335</v>
      </c>
      <c r="L195" s="72" t="s">
        <v>2326</v>
      </c>
      <c r="M195" s="72" t="s">
        <v>1960</v>
      </c>
    </row>
    <row r="196" spans="1:13" x14ac:dyDescent="0.2">
      <c r="A196" s="72" t="s">
        <v>445</v>
      </c>
      <c r="B196" s="72" t="s">
        <v>65</v>
      </c>
      <c r="C196" s="72" t="s">
        <v>446</v>
      </c>
      <c r="D196" s="72" t="s">
        <v>35</v>
      </c>
      <c r="E196" s="72" t="s">
        <v>112</v>
      </c>
      <c r="F196" s="72">
        <v>262</v>
      </c>
      <c r="G196" s="72">
        <v>0</v>
      </c>
      <c r="H196" s="72">
        <v>0</v>
      </c>
      <c r="I196" s="72">
        <v>1</v>
      </c>
      <c r="J196" s="72">
        <v>1</v>
      </c>
      <c r="K196" s="72">
        <v>241245</v>
      </c>
      <c r="L196" s="72" t="s">
        <v>2326</v>
      </c>
      <c r="M196" s="72" t="s">
        <v>2365</v>
      </c>
    </row>
    <row r="197" spans="1:13" x14ac:dyDescent="0.2">
      <c r="A197" s="72" t="s">
        <v>447</v>
      </c>
      <c r="B197" s="72" t="s">
        <v>65</v>
      </c>
      <c r="C197" s="72" t="s">
        <v>446</v>
      </c>
      <c r="D197" s="72" t="s">
        <v>35</v>
      </c>
      <c r="E197" s="72" t="s">
        <v>112</v>
      </c>
      <c r="F197" s="72">
        <v>262</v>
      </c>
      <c r="G197" s="72">
        <v>0</v>
      </c>
      <c r="H197" s="72">
        <v>0</v>
      </c>
      <c r="I197" s="72">
        <v>1</v>
      </c>
      <c r="J197" s="72">
        <v>1</v>
      </c>
      <c r="K197" s="72">
        <v>241245</v>
      </c>
      <c r="L197" s="72" t="s">
        <v>2326</v>
      </c>
      <c r="M197" s="72" t="s">
        <v>1538</v>
      </c>
    </row>
    <row r="198" spans="1:13" x14ac:dyDescent="0.2">
      <c r="A198" s="72" t="s">
        <v>448</v>
      </c>
      <c r="B198" s="72" t="s">
        <v>65</v>
      </c>
      <c r="C198" s="72" t="s">
        <v>446</v>
      </c>
      <c r="D198" s="72" t="s">
        <v>35</v>
      </c>
      <c r="E198" s="72" t="s">
        <v>112</v>
      </c>
      <c r="F198" s="72">
        <v>262</v>
      </c>
      <c r="G198" s="72">
        <v>0</v>
      </c>
      <c r="H198" s="72">
        <v>0</v>
      </c>
      <c r="I198" s="72">
        <v>1</v>
      </c>
      <c r="J198" s="72">
        <v>1</v>
      </c>
      <c r="K198" s="72">
        <v>241245</v>
      </c>
      <c r="L198" s="72" t="s">
        <v>2326</v>
      </c>
      <c r="M198" s="72" t="s">
        <v>2366</v>
      </c>
    </row>
    <row r="199" spans="1:13" x14ac:dyDescent="0.2">
      <c r="A199" s="72" t="s">
        <v>449</v>
      </c>
      <c r="B199" s="72" t="s">
        <v>65</v>
      </c>
      <c r="C199" s="72" t="s">
        <v>446</v>
      </c>
      <c r="D199" s="72" t="s">
        <v>35</v>
      </c>
      <c r="E199" s="72" t="s">
        <v>112</v>
      </c>
      <c r="F199" s="72">
        <v>262</v>
      </c>
      <c r="G199" s="72">
        <v>0</v>
      </c>
      <c r="H199" s="72">
        <v>0</v>
      </c>
      <c r="I199" s="72">
        <v>1</v>
      </c>
      <c r="J199" s="72">
        <v>1</v>
      </c>
      <c r="K199" s="72">
        <v>241245</v>
      </c>
      <c r="L199" s="72" t="s">
        <v>2326</v>
      </c>
      <c r="M199" s="72" t="s">
        <v>2367</v>
      </c>
    </row>
    <row r="200" spans="1:13" x14ac:dyDescent="0.2">
      <c r="A200" s="72" t="s">
        <v>450</v>
      </c>
      <c r="B200" s="72" t="s">
        <v>65</v>
      </c>
      <c r="C200" s="72" t="s">
        <v>446</v>
      </c>
      <c r="D200" s="72" t="s">
        <v>35</v>
      </c>
      <c r="E200" s="72" t="s">
        <v>112</v>
      </c>
      <c r="F200" s="72">
        <v>262</v>
      </c>
      <c r="G200" s="72">
        <v>0</v>
      </c>
      <c r="H200" s="72">
        <v>0</v>
      </c>
      <c r="I200" s="72">
        <v>1</v>
      </c>
      <c r="J200" s="72">
        <v>1</v>
      </c>
      <c r="K200" s="72">
        <v>241245</v>
      </c>
      <c r="L200" s="72" t="s">
        <v>2326</v>
      </c>
      <c r="M200" s="72" t="s">
        <v>1648</v>
      </c>
    </row>
    <row r="201" spans="1:13" x14ac:dyDescent="0.2">
      <c r="A201" s="72" t="s">
        <v>451</v>
      </c>
      <c r="B201" s="72" t="s">
        <v>65</v>
      </c>
      <c r="C201" s="72" t="s">
        <v>446</v>
      </c>
      <c r="D201" s="72" t="s">
        <v>35</v>
      </c>
      <c r="E201" s="72" t="s">
        <v>112</v>
      </c>
      <c r="F201" s="72">
        <v>262</v>
      </c>
      <c r="G201" s="72">
        <v>0</v>
      </c>
      <c r="H201" s="72">
        <v>0</v>
      </c>
      <c r="I201" s="72">
        <v>1</v>
      </c>
      <c r="J201" s="72">
        <v>1</v>
      </c>
      <c r="K201" s="72">
        <v>241245</v>
      </c>
      <c r="L201" s="72" t="s">
        <v>2326</v>
      </c>
      <c r="M201" s="72" t="s">
        <v>1885</v>
      </c>
    </row>
    <row r="202" spans="1:13" x14ac:dyDescent="0.2">
      <c r="A202" s="72" t="s">
        <v>452</v>
      </c>
      <c r="B202" s="72" t="s">
        <v>65</v>
      </c>
      <c r="C202" s="72" t="s">
        <v>446</v>
      </c>
      <c r="D202" s="72" t="s">
        <v>35</v>
      </c>
      <c r="E202" s="72" t="s">
        <v>112</v>
      </c>
      <c r="F202" s="72">
        <v>262</v>
      </c>
      <c r="G202" s="72">
        <v>0</v>
      </c>
      <c r="H202" s="72">
        <v>0</v>
      </c>
      <c r="I202" s="72">
        <v>1</v>
      </c>
      <c r="J202" s="72">
        <v>1</v>
      </c>
      <c r="K202" s="72">
        <v>241245</v>
      </c>
      <c r="L202" s="72" t="s">
        <v>2326</v>
      </c>
      <c r="M202" s="72" t="s">
        <v>2001</v>
      </c>
    </row>
    <row r="203" spans="1:13" x14ac:dyDescent="0.2">
      <c r="A203" s="72" t="s">
        <v>453</v>
      </c>
      <c r="B203" s="72" t="s">
        <v>65</v>
      </c>
      <c r="C203" s="72" t="s">
        <v>446</v>
      </c>
      <c r="D203" s="72" t="s">
        <v>35</v>
      </c>
      <c r="E203" s="72" t="s">
        <v>112</v>
      </c>
      <c r="F203" s="72">
        <v>262</v>
      </c>
      <c r="G203" s="72">
        <v>0</v>
      </c>
      <c r="H203" s="72">
        <v>0</v>
      </c>
      <c r="I203" s="72">
        <v>1</v>
      </c>
      <c r="J203" s="72">
        <v>1</v>
      </c>
      <c r="K203" s="72">
        <v>241245</v>
      </c>
      <c r="L203" s="72" t="s">
        <v>2326</v>
      </c>
      <c r="M203" s="72" t="s">
        <v>1519</v>
      </c>
    </row>
    <row r="204" spans="1:13" x14ac:dyDescent="0.2">
      <c r="A204" s="72" t="s">
        <v>454</v>
      </c>
      <c r="B204" s="72" t="s">
        <v>65</v>
      </c>
      <c r="C204" s="72" t="s">
        <v>446</v>
      </c>
      <c r="D204" s="72" t="s">
        <v>35</v>
      </c>
      <c r="E204" s="72" t="s">
        <v>112</v>
      </c>
      <c r="F204" s="72">
        <v>262</v>
      </c>
      <c r="G204" s="72">
        <v>0</v>
      </c>
      <c r="H204" s="72">
        <v>0</v>
      </c>
      <c r="I204" s="72">
        <v>1</v>
      </c>
      <c r="J204" s="72">
        <v>1</v>
      </c>
      <c r="K204" s="72">
        <v>241245</v>
      </c>
      <c r="L204" s="72" t="s">
        <v>2326</v>
      </c>
      <c r="M204" s="72" t="s">
        <v>1796</v>
      </c>
    </row>
    <row r="205" spans="1:13" x14ac:dyDescent="0.2">
      <c r="A205" s="72" t="s">
        <v>455</v>
      </c>
      <c r="B205" s="72" t="s">
        <v>65</v>
      </c>
      <c r="C205" s="72" t="s">
        <v>446</v>
      </c>
      <c r="D205" s="72" t="s">
        <v>35</v>
      </c>
      <c r="E205" s="72" t="s">
        <v>112</v>
      </c>
      <c r="F205" s="72">
        <v>262</v>
      </c>
      <c r="G205" s="72">
        <v>0</v>
      </c>
      <c r="H205" s="72">
        <v>0</v>
      </c>
      <c r="I205" s="72">
        <v>1</v>
      </c>
      <c r="J205" s="72">
        <v>1</v>
      </c>
      <c r="K205" s="72">
        <v>241245</v>
      </c>
      <c r="L205" s="72" t="s">
        <v>2326</v>
      </c>
      <c r="M205" s="72" t="s">
        <v>1947</v>
      </c>
    </row>
    <row r="206" spans="1:13" x14ac:dyDescent="0.2">
      <c r="A206" s="72" t="s">
        <v>434</v>
      </c>
      <c r="B206" s="72" t="s">
        <v>65</v>
      </c>
      <c r="C206" s="72" t="s">
        <v>435</v>
      </c>
      <c r="D206" s="72" t="s">
        <v>29</v>
      </c>
      <c r="E206" s="72" t="s">
        <v>67</v>
      </c>
      <c r="F206" s="72">
        <v>177</v>
      </c>
      <c r="G206" s="72">
        <v>8</v>
      </c>
      <c r="H206" s="72">
        <v>360</v>
      </c>
      <c r="I206" s="72">
        <v>1</v>
      </c>
      <c r="J206" s="72">
        <v>1</v>
      </c>
      <c r="K206" s="72">
        <v>38070</v>
      </c>
      <c r="L206" s="72" t="s">
        <v>2326</v>
      </c>
      <c r="M206" s="72" t="s">
        <v>2368</v>
      </c>
    </row>
    <row r="207" spans="1:13" x14ac:dyDescent="0.2">
      <c r="A207" s="72" t="s">
        <v>436</v>
      </c>
      <c r="B207" s="72" t="s">
        <v>65</v>
      </c>
      <c r="C207" s="72" t="s">
        <v>435</v>
      </c>
      <c r="D207" s="72" t="s">
        <v>29</v>
      </c>
      <c r="E207" s="72" t="s">
        <v>67</v>
      </c>
      <c r="F207" s="72">
        <v>177</v>
      </c>
      <c r="G207" s="72">
        <v>8</v>
      </c>
      <c r="H207" s="72">
        <v>360</v>
      </c>
      <c r="I207" s="72">
        <v>1</v>
      </c>
      <c r="J207" s="72">
        <v>1</v>
      </c>
      <c r="K207" s="72">
        <v>38070</v>
      </c>
      <c r="L207" s="72" t="s">
        <v>2326</v>
      </c>
      <c r="M207" s="72" t="s">
        <v>721</v>
      </c>
    </row>
    <row r="208" spans="1:13" x14ac:dyDescent="0.2">
      <c r="A208" s="72" t="s">
        <v>437</v>
      </c>
      <c r="B208" s="72" t="s">
        <v>65</v>
      </c>
      <c r="C208" s="72" t="s">
        <v>435</v>
      </c>
      <c r="D208" s="72" t="s">
        <v>29</v>
      </c>
      <c r="E208" s="72" t="s">
        <v>67</v>
      </c>
      <c r="F208" s="72">
        <v>177</v>
      </c>
      <c r="G208" s="72">
        <v>8</v>
      </c>
      <c r="H208" s="72">
        <v>360</v>
      </c>
      <c r="I208" s="72">
        <v>1</v>
      </c>
      <c r="J208" s="72">
        <v>1</v>
      </c>
      <c r="K208" s="72">
        <v>38070</v>
      </c>
      <c r="L208" s="72" t="s">
        <v>2326</v>
      </c>
      <c r="M208" s="72" t="s">
        <v>692</v>
      </c>
    </row>
    <row r="209" spans="1:13" x14ac:dyDescent="0.2">
      <c r="A209" s="72" t="s">
        <v>438</v>
      </c>
      <c r="B209" s="72" t="s">
        <v>65</v>
      </c>
      <c r="C209" s="72" t="s">
        <v>435</v>
      </c>
      <c r="D209" s="72" t="s">
        <v>29</v>
      </c>
      <c r="E209" s="72" t="s">
        <v>67</v>
      </c>
      <c r="F209" s="72">
        <v>177</v>
      </c>
      <c r="G209" s="72">
        <v>8</v>
      </c>
      <c r="H209" s="72">
        <v>360</v>
      </c>
      <c r="I209" s="72">
        <v>1</v>
      </c>
      <c r="J209" s="72">
        <v>1</v>
      </c>
      <c r="K209" s="72">
        <v>38070</v>
      </c>
      <c r="L209" s="72" t="s">
        <v>2326</v>
      </c>
      <c r="M209" s="72" t="s">
        <v>758</v>
      </c>
    </row>
    <row r="210" spans="1:13" x14ac:dyDescent="0.2">
      <c r="A210" s="72" t="s">
        <v>439</v>
      </c>
      <c r="B210" s="72" t="s">
        <v>65</v>
      </c>
      <c r="C210" s="72" t="s">
        <v>435</v>
      </c>
      <c r="D210" s="72" t="s">
        <v>29</v>
      </c>
      <c r="E210" s="72" t="s">
        <v>67</v>
      </c>
      <c r="F210" s="72">
        <v>177</v>
      </c>
      <c r="G210" s="72">
        <v>8</v>
      </c>
      <c r="H210" s="72">
        <v>360</v>
      </c>
      <c r="I210" s="72">
        <v>1</v>
      </c>
      <c r="J210" s="72">
        <v>1</v>
      </c>
      <c r="K210" s="72">
        <v>38070</v>
      </c>
      <c r="L210" s="72" t="s">
        <v>2326</v>
      </c>
      <c r="M210" s="72" t="s">
        <v>700</v>
      </c>
    </row>
    <row r="211" spans="1:13" x14ac:dyDescent="0.2">
      <c r="A211" s="72" t="s">
        <v>440</v>
      </c>
      <c r="B211" s="72" t="s">
        <v>65</v>
      </c>
      <c r="C211" s="72" t="s">
        <v>435</v>
      </c>
      <c r="D211" s="72" t="s">
        <v>29</v>
      </c>
      <c r="E211" s="72" t="s">
        <v>67</v>
      </c>
      <c r="F211" s="72">
        <v>177</v>
      </c>
      <c r="G211" s="72">
        <v>8</v>
      </c>
      <c r="H211" s="72">
        <v>360</v>
      </c>
      <c r="I211" s="72">
        <v>1</v>
      </c>
      <c r="J211" s="72">
        <v>1</v>
      </c>
      <c r="K211" s="72">
        <v>38070</v>
      </c>
      <c r="L211" s="72" t="s">
        <v>2326</v>
      </c>
      <c r="M211" s="72" t="s">
        <v>765</v>
      </c>
    </row>
    <row r="212" spans="1:13" x14ac:dyDescent="0.2">
      <c r="A212" s="72" t="s">
        <v>441</v>
      </c>
      <c r="B212" s="72" t="s">
        <v>65</v>
      </c>
      <c r="C212" s="72" t="s">
        <v>435</v>
      </c>
      <c r="D212" s="72" t="s">
        <v>29</v>
      </c>
      <c r="E212" s="72" t="s">
        <v>67</v>
      </c>
      <c r="F212" s="72">
        <v>177</v>
      </c>
      <c r="G212" s="72">
        <v>8</v>
      </c>
      <c r="H212" s="72">
        <v>360</v>
      </c>
      <c r="I212" s="72">
        <v>1</v>
      </c>
      <c r="J212" s="72">
        <v>1</v>
      </c>
      <c r="K212" s="72">
        <v>38070</v>
      </c>
      <c r="L212" s="72" t="s">
        <v>2326</v>
      </c>
      <c r="M212" s="72" t="s">
        <v>707</v>
      </c>
    </row>
    <row r="213" spans="1:13" x14ac:dyDescent="0.2">
      <c r="A213" s="72" t="s">
        <v>442</v>
      </c>
      <c r="B213" s="72" t="s">
        <v>65</v>
      </c>
      <c r="C213" s="72" t="s">
        <v>435</v>
      </c>
      <c r="D213" s="72" t="s">
        <v>29</v>
      </c>
      <c r="E213" s="72" t="s">
        <v>67</v>
      </c>
      <c r="F213" s="72">
        <v>177</v>
      </c>
      <c r="G213" s="72">
        <v>8</v>
      </c>
      <c r="H213" s="72">
        <v>360</v>
      </c>
      <c r="I213" s="72">
        <v>1</v>
      </c>
      <c r="J213" s="72">
        <v>1</v>
      </c>
      <c r="K213" s="72">
        <v>38070</v>
      </c>
      <c r="L213" s="72" t="s">
        <v>2326</v>
      </c>
      <c r="M213" s="72" t="s">
        <v>772</v>
      </c>
    </row>
    <row r="214" spans="1:13" x14ac:dyDescent="0.2">
      <c r="A214" s="72" t="s">
        <v>443</v>
      </c>
      <c r="B214" s="72" t="s">
        <v>65</v>
      </c>
      <c r="C214" s="72" t="s">
        <v>435</v>
      </c>
      <c r="D214" s="72" t="s">
        <v>29</v>
      </c>
      <c r="E214" s="72" t="s">
        <v>67</v>
      </c>
      <c r="F214" s="72">
        <v>177</v>
      </c>
      <c r="G214" s="72">
        <v>8</v>
      </c>
      <c r="H214" s="72">
        <v>360</v>
      </c>
      <c r="I214" s="72">
        <v>1</v>
      </c>
      <c r="J214" s="72">
        <v>1</v>
      </c>
      <c r="K214" s="72">
        <v>38070</v>
      </c>
      <c r="L214" s="72" t="s">
        <v>2326</v>
      </c>
      <c r="M214" s="72" t="s">
        <v>714</v>
      </c>
    </row>
    <row r="215" spans="1:13" x14ac:dyDescent="0.2">
      <c r="A215" s="72" t="s">
        <v>444</v>
      </c>
      <c r="B215" s="72" t="s">
        <v>65</v>
      </c>
      <c r="C215" s="72" t="s">
        <v>435</v>
      </c>
      <c r="D215" s="72" t="s">
        <v>29</v>
      </c>
      <c r="E215" s="72" t="s">
        <v>67</v>
      </c>
      <c r="F215" s="72">
        <v>177</v>
      </c>
      <c r="G215" s="72">
        <v>8</v>
      </c>
      <c r="H215" s="72">
        <v>360</v>
      </c>
      <c r="I215" s="72">
        <v>1</v>
      </c>
      <c r="J215" s="72">
        <v>1</v>
      </c>
      <c r="K215" s="72">
        <v>38070</v>
      </c>
      <c r="L215" s="72" t="s">
        <v>2326</v>
      </c>
      <c r="M215" s="72" t="s">
        <v>779</v>
      </c>
    </row>
    <row r="216" spans="1:13" x14ac:dyDescent="0.2">
      <c r="A216" s="72" t="s">
        <v>423</v>
      </c>
      <c r="B216" s="72" t="s">
        <v>65</v>
      </c>
      <c r="C216" s="72" t="s">
        <v>424</v>
      </c>
      <c r="D216" s="72" t="s">
        <v>29</v>
      </c>
      <c r="E216" s="72" t="s">
        <v>67</v>
      </c>
      <c r="F216" s="72">
        <v>177</v>
      </c>
      <c r="G216" s="72">
        <v>8</v>
      </c>
      <c r="H216" s="72">
        <v>360</v>
      </c>
      <c r="I216" s="72">
        <v>1</v>
      </c>
      <c r="J216" s="72">
        <v>1</v>
      </c>
      <c r="K216" s="72">
        <v>38217</v>
      </c>
      <c r="L216" s="72" t="s">
        <v>2326</v>
      </c>
      <c r="M216" s="72" t="s">
        <v>2369</v>
      </c>
    </row>
    <row r="217" spans="1:13" x14ac:dyDescent="0.2">
      <c r="A217" s="72" t="s">
        <v>425</v>
      </c>
      <c r="B217" s="72" t="s">
        <v>65</v>
      </c>
      <c r="C217" s="72" t="s">
        <v>424</v>
      </c>
      <c r="D217" s="72" t="s">
        <v>29</v>
      </c>
      <c r="E217" s="72" t="s">
        <v>67</v>
      </c>
      <c r="F217" s="72">
        <v>177</v>
      </c>
      <c r="G217" s="72">
        <v>8</v>
      </c>
      <c r="H217" s="72">
        <v>360</v>
      </c>
      <c r="I217" s="72">
        <v>1</v>
      </c>
      <c r="J217" s="72">
        <v>1</v>
      </c>
      <c r="K217" s="72">
        <v>38217</v>
      </c>
      <c r="L217" s="72" t="s">
        <v>2326</v>
      </c>
      <c r="M217" s="72" t="s">
        <v>782</v>
      </c>
    </row>
    <row r="218" spans="1:13" x14ac:dyDescent="0.2">
      <c r="A218" s="72" t="s">
        <v>426</v>
      </c>
      <c r="B218" s="72" t="s">
        <v>65</v>
      </c>
      <c r="C218" s="72" t="s">
        <v>424</v>
      </c>
      <c r="D218" s="72" t="s">
        <v>29</v>
      </c>
      <c r="E218" s="72" t="s">
        <v>67</v>
      </c>
      <c r="F218" s="72">
        <v>177</v>
      </c>
      <c r="G218" s="72">
        <v>8</v>
      </c>
      <c r="H218" s="72">
        <v>360</v>
      </c>
      <c r="I218" s="72">
        <v>1</v>
      </c>
      <c r="J218" s="72">
        <v>1</v>
      </c>
      <c r="K218" s="72">
        <v>38217</v>
      </c>
      <c r="L218" s="72" t="s">
        <v>2326</v>
      </c>
      <c r="M218" s="72" t="s">
        <v>754</v>
      </c>
    </row>
    <row r="219" spans="1:13" x14ac:dyDescent="0.2">
      <c r="A219" s="72" t="s">
        <v>427</v>
      </c>
      <c r="B219" s="72" t="s">
        <v>65</v>
      </c>
      <c r="C219" s="72" t="s">
        <v>424</v>
      </c>
      <c r="D219" s="72" t="s">
        <v>29</v>
      </c>
      <c r="E219" s="72" t="s">
        <v>67</v>
      </c>
      <c r="F219" s="72">
        <v>177</v>
      </c>
      <c r="G219" s="72">
        <v>8</v>
      </c>
      <c r="H219" s="72">
        <v>360</v>
      </c>
      <c r="I219" s="72">
        <v>1</v>
      </c>
      <c r="J219" s="72">
        <v>1</v>
      </c>
      <c r="K219" s="72">
        <v>38217</v>
      </c>
      <c r="L219" s="72" t="s">
        <v>2326</v>
      </c>
      <c r="M219" s="72" t="s">
        <v>696</v>
      </c>
    </row>
    <row r="220" spans="1:13" x14ac:dyDescent="0.2">
      <c r="A220" s="72" t="s">
        <v>428</v>
      </c>
      <c r="B220" s="72" t="s">
        <v>65</v>
      </c>
      <c r="C220" s="72" t="s">
        <v>424</v>
      </c>
      <c r="D220" s="72" t="s">
        <v>29</v>
      </c>
      <c r="E220" s="72" t="s">
        <v>67</v>
      </c>
      <c r="F220" s="72">
        <v>177</v>
      </c>
      <c r="G220" s="72">
        <v>8</v>
      </c>
      <c r="H220" s="72">
        <v>360</v>
      </c>
      <c r="I220" s="72">
        <v>1</v>
      </c>
      <c r="J220" s="72">
        <v>1</v>
      </c>
      <c r="K220" s="72">
        <v>38217</v>
      </c>
      <c r="L220" s="72" t="s">
        <v>2326</v>
      </c>
      <c r="M220" s="72" t="s">
        <v>761</v>
      </c>
    </row>
    <row r="221" spans="1:13" x14ac:dyDescent="0.2">
      <c r="A221" s="72" t="s">
        <v>429</v>
      </c>
      <c r="B221" s="72" t="s">
        <v>65</v>
      </c>
      <c r="C221" s="72" t="s">
        <v>424</v>
      </c>
      <c r="D221" s="72" t="s">
        <v>29</v>
      </c>
      <c r="E221" s="72" t="s">
        <v>67</v>
      </c>
      <c r="F221" s="72">
        <v>177</v>
      </c>
      <c r="G221" s="72">
        <v>8</v>
      </c>
      <c r="H221" s="72">
        <v>360</v>
      </c>
      <c r="I221" s="72">
        <v>1</v>
      </c>
      <c r="J221" s="72">
        <v>1</v>
      </c>
      <c r="K221" s="72">
        <v>38217</v>
      </c>
      <c r="L221" s="72" t="s">
        <v>2326</v>
      </c>
      <c r="M221" s="72" t="s">
        <v>703</v>
      </c>
    </row>
    <row r="222" spans="1:13" x14ac:dyDescent="0.2">
      <c r="A222" s="72" t="s">
        <v>430</v>
      </c>
      <c r="B222" s="72" t="s">
        <v>65</v>
      </c>
      <c r="C222" s="72" t="s">
        <v>424</v>
      </c>
      <c r="D222" s="72" t="s">
        <v>29</v>
      </c>
      <c r="E222" s="72" t="s">
        <v>67</v>
      </c>
      <c r="F222" s="72">
        <v>177</v>
      </c>
      <c r="G222" s="72">
        <v>8</v>
      </c>
      <c r="H222" s="72">
        <v>360</v>
      </c>
      <c r="I222" s="72">
        <v>1</v>
      </c>
      <c r="J222" s="72">
        <v>1</v>
      </c>
      <c r="K222" s="72">
        <v>38217</v>
      </c>
      <c r="L222" s="72" t="s">
        <v>2326</v>
      </c>
      <c r="M222" s="72" t="s">
        <v>768</v>
      </c>
    </row>
    <row r="223" spans="1:13" x14ac:dyDescent="0.2">
      <c r="A223" s="72" t="s">
        <v>431</v>
      </c>
      <c r="B223" s="72" t="s">
        <v>65</v>
      </c>
      <c r="C223" s="72" t="s">
        <v>424</v>
      </c>
      <c r="D223" s="72" t="s">
        <v>29</v>
      </c>
      <c r="E223" s="72" t="s">
        <v>67</v>
      </c>
      <c r="F223" s="72">
        <v>177</v>
      </c>
      <c r="G223" s="72">
        <v>8</v>
      </c>
      <c r="H223" s="72">
        <v>360</v>
      </c>
      <c r="I223" s="72">
        <v>1</v>
      </c>
      <c r="J223" s="72">
        <v>1</v>
      </c>
      <c r="K223" s="72">
        <v>38217</v>
      </c>
      <c r="L223" s="72" t="s">
        <v>2326</v>
      </c>
      <c r="M223" s="72" t="s">
        <v>710</v>
      </c>
    </row>
    <row r="224" spans="1:13" x14ac:dyDescent="0.2">
      <c r="A224" s="72" t="s">
        <v>432</v>
      </c>
      <c r="B224" s="72" t="s">
        <v>65</v>
      </c>
      <c r="C224" s="72" t="s">
        <v>424</v>
      </c>
      <c r="D224" s="72" t="s">
        <v>29</v>
      </c>
      <c r="E224" s="72" t="s">
        <v>67</v>
      </c>
      <c r="F224" s="72">
        <v>177</v>
      </c>
      <c r="G224" s="72">
        <v>8</v>
      </c>
      <c r="H224" s="72">
        <v>360</v>
      </c>
      <c r="I224" s="72">
        <v>1</v>
      </c>
      <c r="J224" s="72">
        <v>1</v>
      </c>
      <c r="K224" s="72">
        <v>38217</v>
      </c>
      <c r="L224" s="72" t="s">
        <v>2326</v>
      </c>
      <c r="M224" s="72" t="s">
        <v>775</v>
      </c>
    </row>
    <row r="225" spans="1:13" x14ac:dyDescent="0.2">
      <c r="A225" s="72" t="s">
        <v>433</v>
      </c>
      <c r="B225" s="72" t="s">
        <v>65</v>
      </c>
      <c r="C225" s="72" t="s">
        <v>424</v>
      </c>
      <c r="D225" s="72" t="s">
        <v>29</v>
      </c>
      <c r="E225" s="72" t="s">
        <v>67</v>
      </c>
      <c r="F225" s="72">
        <v>177</v>
      </c>
      <c r="G225" s="72">
        <v>8</v>
      </c>
      <c r="H225" s="72">
        <v>360</v>
      </c>
      <c r="I225" s="72">
        <v>1</v>
      </c>
      <c r="J225" s="72">
        <v>1</v>
      </c>
      <c r="K225" s="72">
        <v>38217</v>
      </c>
      <c r="L225" s="72" t="s">
        <v>2326</v>
      </c>
      <c r="M225" s="72" t="s">
        <v>717</v>
      </c>
    </row>
    <row r="226" spans="1:13" x14ac:dyDescent="0.2">
      <c r="A226" s="72" t="s">
        <v>412</v>
      </c>
      <c r="B226" s="72" t="s">
        <v>65</v>
      </c>
      <c r="C226" s="72" t="s">
        <v>413</v>
      </c>
      <c r="D226" s="72" t="s">
        <v>35</v>
      </c>
      <c r="E226" s="72" t="s">
        <v>112</v>
      </c>
      <c r="F226" s="72">
        <v>262</v>
      </c>
      <c r="G226" s="72">
        <v>0</v>
      </c>
      <c r="H226" s="72">
        <v>0</v>
      </c>
      <c r="I226" s="72">
        <v>1</v>
      </c>
      <c r="J226" s="72">
        <v>1</v>
      </c>
      <c r="K226" s="72">
        <v>238472</v>
      </c>
      <c r="L226" s="72" t="s">
        <v>2326</v>
      </c>
      <c r="M226" s="72" t="s">
        <v>2370</v>
      </c>
    </row>
    <row r="227" spans="1:13" x14ac:dyDescent="0.2">
      <c r="A227" s="72" t="s">
        <v>414</v>
      </c>
      <c r="B227" s="72" t="s">
        <v>65</v>
      </c>
      <c r="C227" s="72" t="s">
        <v>413</v>
      </c>
      <c r="D227" s="72" t="s">
        <v>35</v>
      </c>
      <c r="E227" s="72" t="s">
        <v>112</v>
      </c>
      <c r="F227" s="72">
        <v>262</v>
      </c>
      <c r="G227" s="72">
        <v>0</v>
      </c>
      <c r="H227" s="72">
        <v>0</v>
      </c>
      <c r="I227" s="72">
        <v>1</v>
      </c>
      <c r="J227" s="72">
        <v>1</v>
      </c>
      <c r="K227" s="72">
        <v>238472</v>
      </c>
      <c r="L227" s="72" t="s">
        <v>2326</v>
      </c>
      <c r="M227" s="72" t="s">
        <v>2003</v>
      </c>
    </row>
    <row r="228" spans="1:13" x14ac:dyDescent="0.2">
      <c r="A228" s="72" t="s">
        <v>415</v>
      </c>
      <c r="B228" s="72" t="s">
        <v>65</v>
      </c>
      <c r="C228" s="72" t="s">
        <v>413</v>
      </c>
      <c r="D228" s="72" t="s">
        <v>35</v>
      </c>
      <c r="E228" s="72" t="s">
        <v>112</v>
      </c>
      <c r="F228" s="72">
        <v>262</v>
      </c>
      <c r="G228" s="72">
        <v>0</v>
      </c>
      <c r="H228" s="72">
        <v>0</v>
      </c>
      <c r="I228" s="72">
        <v>1</v>
      </c>
      <c r="J228" s="72">
        <v>1</v>
      </c>
      <c r="K228" s="72">
        <v>238472</v>
      </c>
      <c r="L228" s="72" t="s">
        <v>2326</v>
      </c>
      <c r="M228" s="72" t="s">
        <v>2371</v>
      </c>
    </row>
    <row r="229" spans="1:13" x14ac:dyDescent="0.2">
      <c r="A229" s="72" t="s">
        <v>416</v>
      </c>
      <c r="B229" s="72" t="s">
        <v>65</v>
      </c>
      <c r="C229" s="72" t="s">
        <v>413</v>
      </c>
      <c r="D229" s="72" t="s">
        <v>35</v>
      </c>
      <c r="E229" s="72" t="s">
        <v>112</v>
      </c>
      <c r="F229" s="72">
        <v>262</v>
      </c>
      <c r="G229" s="72">
        <v>0</v>
      </c>
      <c r="H229" s="72">
        <v>0</v>
      </c>
      <c r="I229" s="72">
        <v>1</v>
      </c>
      <c r="J229" s="72">
        <v>1</v>
      </c>
      <c r="K229" s="72">
        <v>238472</v>
      </c>
      <c r="L229" s="72" t="s">
        <v>2326</v>
      </c>
      <c r="M229" s="72" t="s">
        <v>2372</v>
      </c>
    </row>
    <row r="230" spans="1:13" x14ac:dyDescent="0.2">
      <c r="A230" s="72" t="s">
        <v>417</v>
      </c>
      <c r="B230" s="72" t="s">
        <v>65</v>
      </c>
      <c r="C230" s="72" t="s">
        <v>413</v>
      </c>
      <c r="D230" s="72" t="s">
        <v>35</v>
      </c>
      <c r="E230" s="72" t="s">
        <v>112</v>
      </c>
      <c r="F230" s="72">
        <v>262</v>
      </c>
      <c r="G230" s="72">
        <v>0</v>
      </c>
      <c r="H230" s="72">
        <v>0</v>
      </c>
      <c r="I230" s="72">
        <v>1</v>
      </c>
      <c r="J230" s="72">
        <v>1</v>
      </c>
      <c r="K230" s="72">
        <v>238472</v>
      </c>
      <c r="L230" s="72" t="s">
        <v>2326</v>
      </c>
      <c r="M230" s="72" t="s">
        <v>2373</v>
      </c>
    </row>
    <row r="231" spans="1:13" x14ac:dyDescent="0.2">
      <c r="A231" s="72" t="s">
        <v>418</v>
      </c>
      <c r="B231" s="72" t="s">
        <v>65</v>
      </c>
      <c r="C231" s="72" t="s">
        <v>413</v>
      </c>
      <c r="D231" s="72" t="s">
        <v>35</v>
      </c>
      <c r="E231" s="72" t="s">
        <v>112</v>
      </c>
      <c r="F231" s="72">
        <v>262</v>
      </c>
      <c r="G231" s="72">
        <v>0</v>
      </c>
      <c r="H231" s="72">
        <v>0</v>
      </c>
      <c r="I231" s="72">
        <v>1</v>
      </c>
      <c r="J231" s="72">
        <v>1</v>
      </c>
      <c r="K231" s="72">
        <v>238472</v>
      </c>
      <c r="L231" s="72" t="s">
        <v>2326</v>
      </c>
      <c r="M231" s="72" t="s">
        <v>1762</v>
      </c>
    </row>
    <row r="232" spans="1:13" x14ac:dyDescent="0.2">
      <c r="A232" s="72" t="s">
        <v>419</v>
      </c>
      <c r="B232" s="72" t="s">
        <v>65</v>
      </c>
      <c r="C232" s="72" t="s">
        <v>413</v>
      </c>
      <c r="D232" s="72" t="s">
        <v>35</v>
      </c>
      <c r="E232" s="72" t="s">
        <v>112</v>
      </c>
      <c r="F232" s="72">
        <v>262</v>
      </c>
      <c r="G232" s="72">
        <v>0</v>
      </c>
      <c r="H232" s="72">
        <v>0</v>
      </c>
      <c r="I232" s="72">
        <v>1</v>
      </c>
      <c r="J232" s="72">
        <v>1</v>
      </c>
      <c r="K232" s="72">
        <v>238472</v>
      </c>
      <c r="L232" s="72" t="s">
        <v>2326</v>
      </c>
      <c r="M232" s="72" t="s">
        <v>1928</v>
      </c>
    </row>
    <row r="233" spans="1:13" x14ac:dyDescent="0.2">
      <c r="A233" s="72" t="s">
        <v>420</v>
      </c>
      <c r="B233" s="72" t="s">
        <v>65</v>
      </c>
      <c r="C233" s="72" t="s">
        <v>413</v>
      </c>
      <c r="D233" s="72" t="s">
        <v>35</v>
      </c>
      <c r="E233" s="72" t="s">
        <v>112</v>
      </c>
      <c r="F233" s="72">
        <v>262</v>
      </c>
      <c r="G233" s="72">
        <v>0</v>
      </c>
      <c r="H233" s="72">
        <v>0</v>
      </c>
      <c r="I233" s="72">
        <v>1</v>
      </c>
      <c r="J233" s="72">
        <v>1</v>
      </c>
      <c r="K233" s="72">
        <v>238472</v>
      </c>
      <c r="L233" s="72" t="s">
        <v>2326</v>
      </c>
      <c r="M233" s="72" t="s">
        <v>2015</v>
      </c>
    </row>
    <row r="234" spans="1:13" x14ac:dyDescent="0.2">
      <c r="A234" s="72" t="s">
        <v>421</v>
      </c>
      <c r="B234" s="72" t="s">
        <v>65</v>
      </c>
      <c r="C234" s="72" t="s">
        <v>413</v>
      </c>
      <c r="D234" s="72" t="s">
        <v>35</v>
      </c>
      <c r="E234" s="72" t="s">
        <v>112</v>
      </c>
      <c r="F234" s="72">
        <v>262</v>
      </c>
      <c r="G234" s="72">
        <v>0</v>
      </c>
      <c r="H234" s="72">
        <v>0</v>
      </c>
      <c r="I234" s="72">
        <v>1</v>
      </c>
      <c r="J234" s="72">
        <v>1</v>
      </c>
      <c r="K234" s="72">
        <v>238472</v>
      </c>
      <c r="L234" s="72" t="s">
        <v>2326</v>
      </c>
      <c r="M234" s="72" t="s">
        <v>1651</v>
      </c>
    </row>
    <row r="235" spans="1:13" x14ac:dyDescent="0.2">
      <c r="A235" s="72" t="s">
        <v>422</v>
      </c>
      <c r="B235" s="72" t="s">
        <v>65</v>
      </c>
      <c r="C235" s="72" t="s">
        <v>413</v>
      </c>
      <c r="D235" s="72" t="s">
        <v>35</v>
      </c>
      <c r="E235" s="72" t="s">
        <v>112</v>
      </c>
      <c r="F235" s="72">
        <v>262</v>
      </c>
      <c r="G235" s="72">
        <v>0</v>
      </c>
      <c r="H235" s="72">
        <v>0</v>
      </c>
      <c r="I235" s="72">
        <v>1</v>
      </c>
      <c r="J235" s="72">
        <v>1</v>
      </c>
      <c r="K235" s="72">
        <v>238472</v>
      </c>
      <c r="L235" s="72" t="s">
        <v>2326</v>
      </c>
      <c r="M235" s="72" t="s">
        <v>1887</v>
      </c>
    </row>
    <row r="236" spans="1:13" x14ac:dyDescent="0.2">
      <c r="A236" s="72" t="s">
        <v>401</v>
      </c>
      <c r="B236" s="72" t="s">
        <v>65</v>
      </c>
      <c r="C236" s="72" t="s">
        <v>402</v>
      </c>
      <c r="D236" s="72" t="s">
        <v>35</v>
      </c>
      <c r="E236" s="72" t="s">
        <v>112</v>
      </c>
      <c r="F236" s="72">
        <v>262</v>
      </c>
      <c r="G236" s="72">
        <v>0</v>
      </c>
      <c r="H236" s="72">
        <v>0</v>
      </c>
      <c r="I236" s="72">
        <v>1</v>
      </c>
      <c r="J236" s="72">
        <v>1</v>
      </c>
      <c r="K236" s="72">
        <v>238382</v>
      </c>
      <c r="L236" s="72" t="s">
        <v>2326</v>
      </c>
      <c r="M236" s="72" t="s">
        <v>2374</v>
      </c>
    </row>
    <row r="237" spans="1:13" x14ac:dyDescent="0.2">
      <c r="A237" s="72" t="s">
        <v>403</v>
      </c>
      <c r="B237" s="72" t="s">
        <v>65</v>
      </c>
      <c r="C237" s="72" t="s">
        <v>402</v>
      </c>
      <c r="D237" s="72" t="s">
        <v>35</v>
      </c>
      <c r="E237" s="72" t="s">
        <v>112</v>
      </c>
      <c r="F237" s="72">
        <v>262</v>
      </c>
      <c r="G237" s="72">
        <v>0</v>
      </c>
      <c r="H237" s="72">
        <v>0</v>
      </c>
      <c r="I237" s="72">
        <v>1</v>
      </c>
      <c r="J237" s="72">
        <v>1</v>
      </c>
      <c r="K237" s="72">
        <v>238382</v>
      </c>
      <c r="L237" s="72" t="s">
        <v>2326</v>
      </c>
      <c r="M237" s="72" t="s">
        <v>2018</v>
      </c>
    </row>
    <row r="238" spans="1:13" x14ac:dyDescent="0.2">
      <c r="A238" s="72" t="s">
        <v>404</v>
      </c>
      <c r="B238" s="72" t="s">
        <v>65</v>
      </c>
      <c r="C238" s="72" t="s">
        <v>402</v>
      </c>
      <c r="D238" s="72" t="s">
        <v>35</v>
      </c>
      <c r="E238" s="72" t="s">
        <v>112</v>
      </c>
      <c r="F238" s="72">
        <v>262</v>
      </c>
      <c r="G238" s="72">
        <v>0</v>
      </c>
      <c r="H238" s="72">
        <v>0</v>
      </c>
      <c r="I238" s="72">
        <v>1</v>
      </c>
      <c r="J238" s="72">
        <v>1</v>
      </c>
      <c r="K238" s="72">
        <v>238382</v>
      </c>
      <c r="L238" s="72" t="s">
        <v>2326</v>
      </c>
      <c r="M238" s="72" t="s">
        <v>2375</v>
      </c>
    </row>
    <row r="239" spans="1:13" x14ac:dyDescent="0.2">
      <c r="A239" s="72" t="s">
        <v>405</v>
      </c>
      <c r="B239" s="72" t="s">
        <v>65</v>
      </c>
      <c r="C239" s="72" t="s">
        <v>402</v>
      </c>
      <c r="D239" s="72" t="s">
        <v>35</v>
      </c>
      <c r="E239" s="72" t="s">
        <v>112</v>
      </c>
      <c r="F239" s="72">
        <v>262</v>
      </c>
      <c r="G239" s="72">
        <v>0</v>
      </c>
      <c r="H239" s="72">
        <v>0</v>
      </c>
      <c r="I239" s="72">
        <v>1</v>
      </c>
      <c r="J239" s="72">
        <v>1</v>
      </c>
      <c r="K239" s="72">
        <v>238382</v>
      </c>
      <c r="L239" s="72" t="s">
        <v>2326</v>
      </c>
      <c r="M239" s="72" t="s">
        <v>2376</v>
      </c>
    </row>
    <row r="240" spans="1:13" x14ac:dyDescent="0.2">
      <c r="A240" s="72" t="s">
        <v>406</v>
      </c>
      <c r="B240" s="72" t="s">
        <v>65</v>
      </c>
      <c r="C240" s="72" t="s">
        <v>402</v>
      </c>
      <c r="D240" s="72" t="s">
        <v>35</v>
      </c>
      <c r="E240" s="72" t="s">
        <v>112</v>
      </c>
      <c r="F240" s="72">
        <v>262</v>
      </c>
      <c r="G240" s="72">
        <v>0</v>
      </c>
      <c r="H240" s="72">
        <v>0</v>
      </c>
      <c r="I240" s="72">
        <v>1</v>
      </c>
      <c r="J240" s="72">
        <v>1</v>
      </c>
      <c r="K240" s="72">
        <v>238382</v>
      </c>
      <c r="L240" s="72" t="s">
        <v>2326</v>
      </c>
      <c r="M240" s="72" t="s">
        <v>1531</v>
      </c>
    </row>
    <row r="241" spans="1:13" x14ac:dyDescent="0.2">
      <c r="A241" s="72" t="s">
        <v>407</v>
      </c>
      <c r="B241" s="72" t="s">
        <v>65</v>
      </c>
      <c r="C241" s="72" t="s">
        <v>402</v>
      </c>
      <c r="D241" s="72" t="s">
        <v>35</v>
      </c>
      <c r="E241" s="72" t="s">
        <v>112</v>
      </c>
      <c r="F241" s="72">
        <v>262</v>
      </c>
      <c r="G241" s="72">
        <v>0</v>
      </c>
      <c r="H241" s="72">
        <v>0</v>
      </c>
      <c r="I241" s="72">
        <v>1</v>
      </c>
      <c r="J241" s="72">
        <v>1</v>
      </c>
      <c r="K241" s="72">
        <v>238382</v>
      </c>
      <c r="L241" s="72" t="s">
        <v>2326</v>
      </c>
      <c r="M241" s="72" t="s">
        <v>1808</v>
      </c>
    </row>
    <row r="242" spans="1:13" x14ac:dyDescent="0.2">
      <c r="A242" s="72" t="s">
        <v>408</v>
      </c>
      <c r="B242" s="72" t="s">
        <v>65</v>
      </c>
      <c r="C242" s="72" t="s">
        <v>402</v>
      </c>
      <c r="D242" s="72" t="s">
        <v>35</v>
      </c>
      <c r="E242" s="72" t="s">
        <v>112</v>
      </c>
      <c r="F242" s="72">
        <v>262</v>
      </c>
      <c r="G242" s="72">
        <v>0</v>
      </c>
      <c r="H242" s="72">
        <v>0</v>
      </c>
      <c r="I242" s="72">
        <v>1</v>
      </c>
      <c r="J242" s="72">
        <v>1</v>
      </c>
      <c r="K242" s="72">
        <v>238382</v>
      </c>
      <c r="L242" s="72" t="s">
        <v>2326</v>
      </c>
      <c r="M242" s="72" t="s">
        <v>1957</v>
      </c>
    </row>
    <row r="243" spans="1:13" x14ac:dyDescent="0.2">
      <c r="A243" s="72" t="s">
        <v>409</v>
      </c>
      <c r="B243" s="72" t="s">
        <v>65</v>
      </c>
      <c r="C243" s="72" t="s">
        <v>402</v>
      </c>
      <c r="D243" s="72" t="s">
        <v>35</v>
      </c>
      <c r="E243" s="72" t="s">
        <v>112</v>
      </c>
      <c r="F243" s="72">
        <v>262</v>
      </c>
      <c r="G243" s="72">
        <v>0</v>
      </c>
      <c r="H243" s="72">
        <v>0</v>
      </c>
      <c r="I243" s="72">
        <v>1</v>
      </c>
      <c r="J243" s="72">
        <v>1</v>
      </c>
      <c r="K243" s="72">
        <v>238382</v>
      </c>
      <c r="L243" s="72" t="s">
        <v>2326</v>
      </c>
      <c r="M243" s="72" t="s">
        <v>1167</v>
      </c>
    </row>
    <row r="244" spans="1:13" x14ac:dyDescent="0.2">
      <c r="A244" s="72" t="s">
        <v>410</v>
      </c>
      <c r="B244" s="72" t="s">
        <v>65</v>
      </c>
      <c r="C244" s="72" t="s">
        <v>402</v>
      </c>
      <c r="D244" s="72" t="s">
        <v>35</v>
      </c>
      <c r="E244" s="72" t="s">
        <v>112</v>
      </c>
      <c r="F244" s="72">
        <v>262</v>
      </c>
      <c r="G244" s="72">
        <v>0</v>
      </c>
      <c r="H244" s="72">
        <v>0</v>
      </c>
      <c r="I244" s="72">
        <v>1</v>
      </c>
      <c r="J244" s="72">
        <v>1</v>
      </c>
      <c r="K244" s="72">
        <v>238382</v>
      </c>
      <c r="L244" s="72" t="s">
        <v>2326</v>
      </c>
      <c r="M244" s="72" t="s">
        <v>1765</v>
      </c>
    </row>
    <row r="245" spans="1:13" x14ac:dyDescent="0.2">
      <c r="A245" s="72" t="s">
        <v>411</v>
      </c>
      <c r="B245" s="72" t="s">
        <v>65</v>
      </c>
      <c r="C245" s="72" t="s">
        <v>402</v>
      </c>
      <c r="D245" s="72" t="s">
        <v>35</v>
      </c>
      <c r="E245" s="72" t="s">
        <v>112</v>
      </c>
      <c r="F245" s="72">
        <v>262</v>
      </c>
      <c r="G245" s="72">
        <v>0</v>
      </c>
      <c r="H245" s="72">
        <v>0</v>
      </c>
      <c r="I245" s="72">
        <v>1</v>
      </c>
      <c r="J245" s="72">
        <v>1</v>
      </c>
      <c r="K245" s="72">
        <v>238382</v>
      </c>
      <c r="L245" s="72" t="s">
        <v>2326</v>
      </c>
      <c r="M245" s="72" t="s">
        <v>1931</v>
      </c>
    </row>
    <row r="246" spans="1:13" x14ac:dyDescent="0.2">
      <c r="A246" s="72" t="s">
        <v>390</v>
      </c>
      <c r="B246" s="72" t="s">
        <v>65</v>
      </c>
      <c r="C246" s="72" t="s">
        <v>391</v>
      </c>
      <c r="D246" s="72" t="s">
        <v>32</v>
      </c>
      <c r="E246" s="72" t="s">
        <v>67</v>
      </c>
      <c r="F246" s="72">
        <v>231</v>
      </c>
      <c r="G246" s="72">
        <v>8</v>
      </c>
      <c r="H246" s="72">
        <v>480</v>
      </c>
      <c r="I246" s="72">
        <v>1</v>
      </c>
      <c r="J246" s="72">
        <v>1</v>
      </c>
      <c r="K246" s="72">
        <v>133827</v>
      </c>
      <c r="L246" s="72" t="s">
        <v>2326</v>
      </c>
      <c r="M246" s="72" t="s">
        <v>2377</v>
      </c>
    </row>
    <row r="247" spans="1:13" x14ac:dyDescent="0.2">
      <c r="A247" s="72" t="s">
        <v>392</v>
      </c>
      <c r="B247" s="72" t="s">
        <v>65</v>
      </c>
      <c r="C247" s="72" t="s">
        <v>391</v>
      </c>
      <c r="D247" s="72" t="s">
        <v>32</v>
      </c>
      <c r="E247" s="72" t="s">
        <v>67</v>
      </c>
      <c r="F247" s="72">
        <v>231</v>
      </c>
      <c r="G247" s="72">
        <v>8</v>
      </c>
      <c r="H247" s="72">
        <v>480</v>
      </c>
      <c r="I247" s="72">
        <v>1</v>
      </c>
      <c r="J247" s="72">
        <v>1</v>
      </c>
      <c r="K247" s="72">
        <v>133827</v>
      </c>
      <c r="L247" s="72" t="s">
        <v>2326</v>
      </c>
      <c r="M247" s="72" t="s">
        <v>1211</v>
      </c>
    </row>
    <row r="248" spans="1:13" x14ac:dyDescent="0.2">
      <c r="A248" s="72" t="s">
        <v>393</v>
      </c>
      <c r="B248" s="72" t="s">
        <v>65</v>
      </c>
      <c r="C248" s="72" t="s">
        <v>391</v>
      </c>
      <c r="D248" s="72" t="s">
        <v>32</v>
      </c>
      <c r="E248" s="72" t="s">
        <v>67</v>
      </c>
      <c r="F248" s="72">
        <v>231</v>
      </c>
      <c r="G248" s="72">
        <v>8</v>
      </c>
      <c r="H248" s="72">
        <v>480</v>
      </c>
      <c r="I248" s="72">
        <v>1</v>
      </c>
      <c r="J248" s="72">
        <v>1</v>
      </c>
      <c r="K248" s="72">
        <v>133827</v>
      </c>
      <c r="L248" s="72" t="s">
        <v>2326</v>
      </c>
      <c r="M248" s="72" t="s">
        <v>2378</v>
      </c>
    </row>
    <row r="249" spans="1:13" x14ac:dyDescent="0.2">
      <c r="A249" s="72" t="s">
        <v>394</v>
      </c>
      <c r="B249" s="72" t="s">
        <v>65</v>
      </c>
      <c r="C249" s="72" t="s">
        <v>391</v>
      </c>
      <c r="D249" s="72" t="s">
        <v>32</v>
      </c>
      <c r="E249" s="72" t="s">
        <v>67</v>
      </c>
      <c r="F249" s="72">
        <v>231</v>
      </c>
      <c r="G249" s="72">
        <v>8</v>
      </c>
      <c r="H249" s="72">
        <v>480</v>
      </c>
      <c r="I249" s="72">
        <v>1</v>
      </c>
      <c r="J249" s="72">
        <v>1</v>
      </c>
      <c r="K249" s="72">
        <v>133827</v>
      </c>
      <c r="L249" s="72" t="s">
        <v>2326</v>
      </c>
      <c r="M249" s="72" t="s">
        <v>1329</v>
      </c>
    </row>
    <row r="250" spans="1:13" x14ac:dyDescent="0.2">
      <c r="A250" s="72" t="s">
        <v>395</v>
      </c>
      <c r="B250" s="72" t="s">
        <v>65</v>
      </c>
      <c r="C250" s="72" t="s">
        <v>391</v>
      </c>
      <c r="D250" s="72" t="s">
        <v>32</v>
      </c>
      <c r="E250" s="72" t="s">
        <v>67</v>
      </c>
      <c r="F250" s="72">
        <v>231</v>
      </c>
      <c r="G250" s="72">
        <v>8</v>
      </c>
      <c r="H250" s="72">
        <v>480</v>
      </c>
      <c r="I250" s="72">
        <v>1</v>
      </c>
      <c r="J250" s="72">
        <v>1</v>
      </c>
      <c r="K250" s="72">
        <v>133827</v>
      </c>
      <c r="L250" s="72" t="s">
        <v>2326</v>
      </c>
      <c r="M250" s="72" t="s">
        <v>1655</v>
      </c>
    </row>
    <row r="251" spans="1:13" x14ac:dyDescent="0.2">
      <c r="A251" s="72" t="s">
        <v>396</v>
      </c>
      <c r="B251" s="72" t="s">
        <v>65</v>
      </c>
      <c r="C251" s="72" t="s">
        <v>391</v>
      </c>
      <c r="D251" s="72" t="s">
        <v>32</v>
      </c>
      <c r="E251" s="72" t="s">
        <v>67</v>
      </c>
      <c r="F251" s="72">
        <v>231</v>
      </c>
      <c r="G251" s="72">
        <v>8</v>
      </c>
      <c r="H251" s="72">
        <v>480</v>
      </c>
      <c r="I251" s="72">
        <v>1</v>
      </c>
      <c r="J251" s="72">
        <v>1</v>
      </c>
      <c r="K251" s="72">
        <v>133827</v>
      </c>
      <c r="L251" s="72" t="s">
        <v>2326</v>
      </c>
      <c r="M251" s="72" t="s">
        <v>1219</v>
      </c>
    </row>
    <row r="252" spans="1:13" x14ac:dyDescent="0.2">
      <c r="A252" s="72" t="s">
        <v>397</v>
      </c>
      <c r="B252" s="72" t="s">
        <v>65</v>
      </c>
      <c r="C252" s="72" t="s">
        <v>391</v>
      </c>
      <c r="D252" s="72" t="s">
        <v>32</v>
      </c>
      <c r="E252" s="72" t="s">
        <v>67</v>
      </c>
      <c r="F252" s="72">
        <v>231</v>
      </c>
      <c r="G252" s="72">
        <v>8</v>
      </c>
      <c r="H252" s="72">
        <v>480</v>
      </c>
      <c r="I252" s="72">
        <v>1</v>
      </c>
      <c r="J252" s="72">
        <v>1</v>
      </c>
      <c r="K252" s="72">
        <v>133827</v>
      </c>
      <c r="L252" s="72" t="s">
        <v>2326</v>
      </c>
      <c r="M252" s="72" t="s">
        <v>1071</v>
      </c>
    </row>
    <row r="253" spans="1:13" x14ac:dyDescent="0.2">
      <c r="A253" s="72" t="s">
        <v>398</v>
      </c>
      <c r="B253" s="72" t="s">
        <v>65</v>
      </c>
      <c r="C253" s="72" t="s">
        <v>391</v>
      </c>
      <c r="D253" s="72" t="s">
        <v>32</v>
      </c>
      <c r="E253" s="72" t="s">
        <v>67</v>
      </c>
      <c r="F253" s="72">
        <v>231</v>
      </c>
      <c r="G253" s="72">
        <v>8</v>
      </c>
      <c r="H253" s="72">
        <v>480</v>
      </c>
      <c r="I253" s="72">
        <v>1</v>
      </c>
      <c r="J253" s="72">
        <v>1</v>
      </c>
      <c r="K253" s="72">
        <v>133827</v>
      </c>
      <c r="L253" s="72" t="s">
        <v>2326</v>
      </c>
      <c r="M253" s="72" t="s">
        <v>1428</v>
      </c>
    </row>
    <row r="254" spans="1:13" x14ac:dyDescent="0.2">
      <c r="A254" s="72" t="s">
        <v>399</v>
      </c>
      <c r="B254" s="72" t="s">
        <v>65</v>
      </c>
      <c r="C254" s="72" t="s">
        <v>391</v>
      </c>
      <c r="D254" s="72" t="s">
        <v>32</v>
      </c>
      <c r="E254" s="72" t="s">
        <v>67</v>
      </c>
      <c r="F254" s="72">
        <v>231</v>
      </c>
      <c r="G254" s="72">
        <v>8</v>
      </c>
      <c r="H254" s="72">
        <v>480</v>
      </c>
      <c r="I254" s="72">
        <v>1</v>
      </c>
      <c r="J254" s="72">
        <v>1</v>
      </c>
      <c r="K254" s="72">
        <v>133827</v>
      </c>
      <c r="L254" s="72" t="s">
        <v>2326</v>
      </c>
      <c r="M254" s="72" t="s">
        <v>1091</v>
      </c>
    </row>
    <row r="255" spans="1:13" x14ac:dyDescent="0.2">
      <c r="A255" s="72" t="s">
        <v>400</v>
      </c>
      <c r="B255" s="72" t="s">
        <v>65</v>
      </c>
      <c r="C255" s="72" t="s">
        <v>391</v>
      </c>
      <c r="D255" s="72" t="s">
        <v>32</v>
      </c>
      <c r="E255" s="72" t="s">
        <v>67</v>
      </c>
      <c r="F255" s="72">
        <v>231</v>
      </c>
      <c r="G255" s="72">
        <v>8</v>
      </c>
      <c r="H255" s="72">
        <v>480</v>
      </c>
      <c r="I255" s="72">
        <v>1</v>
      </c>
      <c r="J255" s="72">
        <v>1</v>
      </c>
      <c r="K255" s="72">
        <v>133827</v>
      </c>
      <c r="L255" s="72" t="s">
        <v>2326</v>
      </c>
      <c r="M255" s="72" t="s">
        <v>1489</v>
      </c>
    </row>
    <row r="256" spans="1:13" x14ac:dyDescent="0.2">
      <c r="A256" s="72" t="s">
        <v>379</v>
      </c>
      <c r="B256" s="72" t="s">
        <v>65</v>
      </c>
      <c r="C256" s="72" t="s">
        <v>380</v>
      </c>
      <c r="D256" s="72" t="s">
        <v>32</v>
      </c>
      <c r="E256" s="72" t="s">
        <v>67</v>
      </c>
      <c r="F256" s="72">
        <v>231</v>
      </c>
      <c r="G256" s="72">
        <v>8</v>
      </c>
      <c r="H256" s="72">
        <v>480</v>
      </c>
      <c r="I256" s="72">
        <v>1</v>
      </c>
      <c r="J256" s="72">
        <v>1</v>
      </c>
      <c r="K256" s="72">
        <v>133789</v>
      </c>
      <c r="L256" s="72" t="s">
        <v>2326</v>
      </c>
      <c r="M256" s="72" t="s">
        <v>2379</v>
      </c>
    </row>
    <row r="257" spans="1:13" x14ac:dyDescent="0.2">
      <c r="A257" s="72" t="s">
        <v>381</v>
      </c>
      <c r="B257" s="72" t="s">
        <v>65</v>
      </c>
      <c r="C257" s="72" t="s">
        <v>380</v>
      </c>
      <c r="D257" s="72" t="s">
        <v>32</v>
      </c>
      <c r="E257" s="72" t="s">
        <v>67</v>
      </c>
      <c r="F257" s="72">
        <v>231</v>
      </c>
      <c r="G257" s="72">
        <v>8</v>
      </c>
      <c r="H257" s="72">
        <v>480</v>
      </c>
      <c r="I257" s="72">
        <v>1</v>
      </c>
      <c r="J257" s="72">
        <v>1</v>
      </c>
      <c r="K257" s="72">
        <v>133789</v>
      </c>
      <c r="L257" s="72" t="s">
        <v>2326</v>
      </c>
      <c r="M257" s="72" t="s">
        <v>1458</v>
      </c>
    </row>
    <row r="258" spans="1:13" x14ac:dyDescent="0.2">
      <c r="A258" s="72" t="s">
        <v>382</v>
      </c>
      <c r="B258" s="72" t="s">
        <v>65</v>
      </c>
      <c r="C258" s="72" t="s">
        <v>380</v>
      </c>
      <c r="D258" s="72" t="s">
        <v>32</v>
      </c>
      <c r="E258" s="72" t="s">
        <v>67</v>
      </c>
      <c r="F258" s="72">
        <v>231</v>
      </c>
      <c r="G258" s="72">
        <v>8</v>
      </c>
      <c r="H258" s="72">
        <v>480</v>
      </c>
      <c r="I258" s="72">
        <v>1</v>
      </c>
      <c r="J258" s="72">
        <v>1</v>
      </c>
      <c r="K258" s="72">
        <v>133789</v>
      </c>
      <c r="L258" s="72" t="s">
        <v>2326</v>
      </c>
      <c r="M258" s="72" t="s">
        <v>2380</v>
      </c>
    </row>
    <row r="259" spans="1:13" x14ac:dyDescent="0.2">
      <c r="A259" s="72" t="s">
        <v>383</v>
      </c>
      <c r="B259" s="72" t="s">
        <v>65</v>
      </c>
      <c r="C259" s="72" t="s">
        <v>380</v>
      </c>
      <c r="D259" s="72" t="s">
        <v>32</v>
      </c>
      <c r="E259" s="72" t="s">
        <v>67</v>
      </c>
      <c r="F259" s="72">
        <v>231</v>
      </c>
      <c r="G259" s="72">
        <v>8</v>
      </c>
      <c r="H259" s="72">
        <v>480</v>
      </c>
      <c r="I259" s="72">
        <v>1</v>
      </c>
      <c r="J259" s="72">
        <v>1</v>
      </c>
      <c r="K259" s="72">
        <v>133789</v>
      </c>
      <c r="L259" s="72" t="s">
        <v>2326</v>
      </c>
      <c r="M259" s="72" t="s">
        <v>1215</v>
      </c>
    </row>
    <row r="260" spans="1:13" x14ac:dyDescent="0.2">
      <c r="A260" s="72" t="s">
        <v>384</v>
      </c>
      <c r="B260" s="72" t="s">
        <v>65</v>
      </c>
      <c r="C260" s="72" t="s">
        <v>380</v>
      </c>
      <c r="D260" s="72" t="s">
        <v>32</v>
      </c>
      <c r="E260" s="72" t="s">
        <v>67</v>
      </c>
      <c r="F260" s="72">
        <v>231</v>
      </c>
      <c r="G260" s="72">
        <v>8</v>
      </c>
      <c r="H260" s="72">
        <v>480</v>
      </c>
      <c r="I260" s="72">
        <v>1</v>
      </c>
      <c r="J260" s="72">
        <v>1</v>
      </c>
      <c r="K260" s="72">
        <v>133789</v>
      </c>
      <c r="L260" s="72" t="s">
        <v>2326</v>
      </c>
      <c r="M260" s="72" t="s">
        <v>1066</v>
      </c>
    </row>
    <row r="261" spans="1:13" x14ac:dyDescent="0.2">
      <c r="A261" s="72" t="s">
        <v>385</v>
      </c>
      <c r="B261" s="72" t="s">
        <v>65</v>
      </c>
      <c r="C261" s="72" t="s">
        <v>380</v>
      </c>
      <c r="D261" s="72" t="s">
        <v>32</v>
      </c>
      <c r="E261" s="72" t="s">
        <v>67</v>
      </c>
      <c r="F261" s="72">
        <v>231</v>
      </c>
      <c r="G261" s="72">
        <v>8</v>
      </c>
      <c r="H261" s="72">
        <v>480</v>
      </c>
      <c r="I261" s="72">
        <v>1</v>
      </c>
      <c r="J261" s="72">
        <v>1</v>
      </c>
      <c r="K261" s="72">
        <v>133789</v>
      </c>
      <c r="L261" s="72" t="s">
        <v>2326</v>
      </c>
      <c r="M261" s="72" t="s">
        <v>1424</v>
      </c>
    </row>
    <row r="262" spans="1:13" x14ac:dyDescent="0.2">
      <c r="A262" s="72" t="s">
        <v>386</v>
      </c>
      <c r="B262" s="72" t="s">
        <v>65</v>
      </c>
      <c r="C262" s="72" t="s">
        <v>380</v>
      </c>
      <c r="D262" s="72" t="s">
        <v>32</v>
      </c>
      <c r="E262" s="72" t="s">
        <v>67</v>
      </c>
      <c r="F262" s="72">
        <v>231</v>
      </c>
      <c r="G262" s="72">
        <v>8</v>
      </c>
      <c r="H262" s="72">
        <v>480</v>
      </c>
      <c r="I262" s="72">
        <v>1</v>
      </c>
      <c r="J262" s="72">
        <v>1</v>
      </c>
      <c r="K262" s="72">
        <v>133789</v>
      </c>
      <c r="L262" s="72" t="s">
        <v>2326</v>
      </c>
      <c r="M262" s="72" t="s">
        <v>1087</v>
      </c>
    </row>
    <row r="263" spans="1:13" x14ac:dyDescent="0.2">
      <c r="A263" s="72" t="s">
        <v>387</v>
      </c>
      <c r="B263" s="72" t="s">
        <v>65</v>
      </c>
      <c r="C263" s="72" t="s">
        <v>380</v>
      </c>
      <c r="D263" s="72" t="s">
        <v>32</v>
      </c>
      <c r="E263" s="72" t="s">
        <v>67</v>
      </c>
      <c r="F263" s="72">
        <v>231</v>
      </c>
      <c r="G263" s="72">
        <v>8</v>
      </c>
      <c r="H263" s="72">
        <v>480</v>
      </c>
      <c r="I263" s="72">
        <v>1</v>
      </c>
      <c r="J263" s="72">
        <v>1</v>
      </c>
      <c r="K263" s="72">
        <v>133789</v>
      </c>
      <c r="L263" s="72" t="s">
        <v>2326</v>
      </c>
      <c r="M263" s="72" t="s">
        <v>1485</v>
      </c>
    </row>
    <row r="264" spans="1:13" x14ac:dyDescent="0.2">
      <c r="A264" s="72" t="s">
        <v>388</v>
      </c>
      <c r="B264" s="72" t="s">
        <v>65</v>
      </c>
      <c r="C264" s="72" t="s">
        <v>380</v>
      </c>
      <c r="D264" s="72" t="s">
        <v>32</v>
      </c>
      <c r="E264" s="72" t="s">
        <v>67</v>
      </c>
      <c r="F264" s="72">
        <v>231</v>
      </c>
      <c r="G264" s="72">
        <v>8</v>
      </c>
      <c r="H264" s="72">
        <v>480</v>
      </c>
      <c r="I264" s="72">
        <v>1</v>
      </c>
      <c r="J264" s="72">
        <v>1</v>
      </c>
      <c r="K264" s="72">
        <v>133789</v>
      </c>
      <c r="L264" s="72" t="s">
        <v>2326</v>
      </c>
      <c r="M264" s="72" t="s">
        <v>1207</v>
      </c>
    </row>
    <row r="265" spans="1:13" x14ac:dyDescent="0.2">
      <c r="A265" s="72" t="s">
        <v>389</v>
      </c>
      <c r="B265" s="72" t="s">
        <v>65</v>
      </c>
      <c r="C265" s="72" t="s">
        <v>380</v>
      </c>
      <c r="D265" s="72" t="s">
        <v>32</v>
      </c>
      <c r="E265" s="72" t="s">
        <v>67</v>
      </c>
      <c r="F265" s="72">
        <v>231</v>
      </c>
      <c r="G265" s="72">
        <v>8</v>
      </c>
      <c r="H265" s="72">
        <v>480</v>
      </c>
      <c r="I265" s="72">
        <v>1</v>
      </c>
      <c r="J265" s="72">
        <v>1</v>
      </c>
      <c r="K265" s="72">
        <v>133789</v>
      </c>
      <c r="L265" s="72" t="s">
        <v>2326</v>
      </c>
      <c r="M265" s="72" t="s">
        <v>1609</v>
      </c>
    </row>
    <row r="266" spans="1:13" x14ac:dyDescent="0.2">
      <c r="A266" s="72" t="s">
        <v>368</v>
      </c>
      <c r="B266" s="72" t="s">
        <v>65</v>
      </c>
      <c r="C266" s="72" t="s">
        <v>369</v>
      </c>
      <c r="D266" s="72" t="s">
        <v>35</v>
      </c>
      <c r="E266" s="72" t="s">
        <v>112</v>
      </c>
      <c r="F266" s="72">
        <v>262</v>
      </c>
      <c r="G266" s="72">
        <v>0</v>
      </c>
      <c r="H266" s="72">
        <v>0</v>
      </c>
      <c r="I266" s="72">
        <v>1</v>
      </c>
      <c r="J266" s="72">
        <v>1</v>
      </c>
      <c r="K266" s="72">
        <v>114138</v>
      </c>
      <c r="L266" s="72" t="s">
        <v>2326</v>
      </c>
      <c r="M266" s="72" t="s">
        <v>2381</v>
      </c>
    </row>
    <row r="267" spans="1:13" x14ac:dyDescent="0.2">
      <c r="A267" s="72" t="s">
        <v>370</v>
      </c>
      <c r="B267" s="72" t="s">
        <v>65</v>
      </c>
      <c r="C267" s="72" t="s">
        <v>369</v>
      </c>
      <c r="D267" s="72" t="s">
        <v>35</v>
      </c>
      <c r="E267" s="72" t="s">
        <v>112</v>
      </c>
      <c r="F267" s="72">
        <v>262</v>
      </c>
      <c r="G267" s="72">
        <v>0</v>
      </c>
      <c r="H267" s="72">
        <v>0</v>
      </c>
      <c r="I267" s="72">
        <v>1</v>
      </c>
      <c r="J267" s="72">
        <v>1</v>
      </c>
      <c r="K267" s="72">
        <v>114138</v>
      </c>
      <c r="L267" s="72" t="s">
        <v>2326</v>
      </c>
      <c r="M267" s="72" t="s">
        <v>1512</v>
      </c>
    </row>
    <row r="268" spans="1:13" x14ac:dyDescent="0.2">
      <c r="A268" s="72" t="s">
        <v>371</v>
      </c>
      <c r="B268" s="72" t="s">
        <v>65</v>
      </c>
      <c r="C268" s="72" t="s">
        <v>369</v>
      </c>
      <c r="D268" s="72" t="s">
        <v>35</v>
      </c>
      <c r="E268" s="72" t="s">
        <v>112</v>
      </c>
      <c r="F268" s="72">
        <v>262</v>
      </c>
      <c r="G268" s="72">
        <v>0</v>
      </c>
      <c r="H268" s="72">
        <v>0</v>
      </c>
      <c r="I268" s="72">
        <v>1</v>
      </c>
      <c r="J268" s="72">
        <v>1</v>
      </c>
      <c r="K268" s="72">
        <v>114138</v>
      </c>
      <c r="L268" s="72" t="s">
        <v>2326</v>
      </c>
      <c r="M268" s="72" t="s">
        <v>2382</v>
      </c>
    </row>
    <row r="269" spans="1:13" x14ac:dyDescent="0.2">
      <c r="A269" s="72" t="s">
        <v>372</v>
      </c>
      <c r="B269" s="72" t="s">
        <v>65</v>
      </c>
      <c r="C269" s="72" t="s">
        <v>369</v>
      </c>
      <c r="D269" s="72" t="s">
        <v>35</v>
      </c>
      <c r="E269" s="72" t="s">
        <v>112</v>
      </c>
      <c r="F269" s="72">
        <v>262</v>
      </c>
      <c r="G269" s="72">
        <v>0</v>
      </c>
      <c r="H269" s="72">
        <v>0</v>
      </c>
      <c r="I269" s="72">
        <v>1</v>
      </c>
      <c r="J269" s="72">
        <v>1</v>
      </c>
      <c r="K269" s="72">
        <v>114138</v>
      </c>
      <c r="L269" s="72" t="s">
        <v>2326</v>
      </c>
      <c r="M269" s="72" t="s">
        <v>1161</v>
      </c>
    </row>
    <row r="270" spans="1:13" x14ac:dyDescent="0.2">
      <c r="A270" s="72" t="s">
        <v>373</v>
      </c>
      <c r="B270" s="72" t="s">
        <v>65</v>
      </c>
      <c r="C270" s="72" t="s">
        <v>369</v>
      </c>
      <c r="D270" s="72" t="s">
        <v>35</v>
      </c>
      <c r="E270" s="72" t="s">
        <v>112</v>
      </c>
      <c r="F270" s="72">
        <v>262</v>
      </c>
      <c r="G270" s="72">
        <v>0</v>
      </c>
      <c r="H270" s="72">
        <v>0</v>
      </c>
      <c r="I270" s="72">
        <v>1</v>
      </c>
      <c r="J270" s="72">
        <v>1</v>
      </c>
      <c r="K270" s="72">
        <v>114138</v>
      </c>
      <c r="L270" s="72" t="s">
        <v>2326</v>
      </c>
      <c r="M270" s="72" t="s">
        <v>1542</v>
      </c>
    </row>
    <row r="271" spans="1:13" x14ac:dyDescent="0.2">
      <c r="A271" s="72" t="s">
        <v>374</v>
      </c>
      <c r="B271" s="72" t="s">
        <v>65</v>
      </c>
      <c r="C271" s="72" t="s">
        <v>369</v>
      </c>
      <c r="D271" s="72" t="s">
        <v>35</v>
      </c>
      <c r="E271" s="72" t="s">
        <v>112</v>
      </c>
      <c r="F271" s="72">
        <v>262</v>
      </c>
      <c r="G271" s="72">
        <v>0</v>
      </c>
      <c r="H271" s="72">
        <v>0</v>
      </c>
      <c r="I271" s="72">
        <v>1</v>
      </c>
      <c r="J271" s="72">
        <v>1</v>
      </c>
      <c r="K271" s="72">
        <v>114138</v>
      </c>
      <c r="L271" s="72" t="s">
        <v>2326</v>
      </c>
      <c r="M271" s="72" t="s">
        <v>1114</v>
      </c>
    </row>
    <row r="272" spans="1:13" x14ac:dyDescent="0.2">
      <c r="A272" s="72" t="s">
        <v>375</v>
      </c>
      <c r="B272" s="72" t="s">
        <v>65</v>
      </c>
      <c r="C272" s="72" t="s">
        <v>369</v>
      </c>
      <c r="D272" s="72" t="s">
        <v>35</v>
      </c>
      <c r="E272" s="72" t="s">
        <v>112</v>
      </c>
      <c r="F272" s="72">
        <v>262</v>
      </c>
      <c r="G272" s="72">
        <v>0</v>
      </c>
      <c r="H272" s="72">
        <v>0</v>
      </c>
      <c r="I272" s="72">
        <v>1</v>
      </c>
      <c r="J272" s="72">
        <v>1</v>
      </c>
      <c r="K272" s="72">
        <v>114138</v>
      </c>
      <c r="L272" s="72" t="s">
        <v>2326</v>
      </c>
      <c r="M272" s="72" t="s">
        <v>1505</v>
      </c>
    </row>
    <row r="273" spans="1:13" x14ac:dyDescent="0.2">
      <c r="A273" s="72" t="s">
        <v>376</v>
      </c>
      <c r="B273" s="72" t="s">
        <v>65</v>
      </c>
      <c r="C273" s="72" t="s">
        <v>369</v>
      </c>
      <c r="D273" s="72" t="s">
        <v>35</v>
      </c>
      <c r="E273" s="72" t="s">
        <v>112</v>
      </c>
      <c r="F273" s="72">
        <v>262</v>
      </c>
      <c r="G273" s="72">
        <v>0</v>
      </c>
      <c r="H273" s="72">
        <v>0</v>
      </c>
      <c r="I273" s="72">
        <v>1</v>
      </c>
      <c r="J273" s="72">
        <v>1</v>
      </c>
      <c r="K273" s="72">
        <v>114138</v>
      </c>
      <c r="L273" s="72" t="s">
        <v>2326</v>
      </c>
      <c r="M273" s="72" t="s">
        <v>1168</v>
      </c>
    </row>
    <row r="274" spans="1:13" x14ac:dyDescent="0.2">
      <c r="A274" s="72" t="s">
        <v>377</v>
      </c>
      <c r="B274" s="72" t="s">
        <v>65</v>
      </c>
      <c r="C274" s="72" t="s">
        <v>369</v>
      </c>
      <c r="D274" s="72" t="s">
        <v>35</v>
      </c>
      <c r="E274" s="72" t="s">
        <v>112</v>
      </c>
      <c r="F274" s="72">
        <v>262</v>
      </c>
      <c r="G274" s="72">
        <v>0</v>
      </c>
      <c r="H274" s="72">
        <v>0</v>
      </c>
      <c r="I274" s="72">
        <v>1</v>
      </c>
      <c r="J274" s="72">
        <v>1</v>
      </c>
      <c r="K274" s="72">
        <v>114138</v>
      </c>
      <c r="L274" s="72" t="s">
        <v>2326</v>
      </c>
      <c r="M274" s="72" t="s">
        <v>1549</v>
      </c>
    </row>
    <row r="275" spans="1:13" x14ac:dyDescent="0.2">
      <c r="A275" s="72" t="s">
        <v>378</v>
      </c>
      <c r="B275" s="72" t="s">
        <v>65</v>
      </c>
      <c r="C275" s="72" t="s">
        <v>369</v>
      </c>
      <c r="D275" s="72" t="s">
        <v>35</v>
      </c>
      <c r="E275" s="72" t="s">
        <v>112</v>
      </c>
      <c r="F275" s="72">
        <v>262</v>
      </c>
      <c r="G275" s="72">
        <v>0</v>
      </c>
      <c r="H275" s="72">
        <v>0</v>
      </c>
      <c r="I275" s="72">
        <v>1</v>
      </c>
      <c r="J275" s="72">
        <v>1</v>
      </c>
      <c r="K275" s="72">
        <v>114138</v>
      </c>
      <c r="L275" s="72" t="s">
        <v>2326</v>
      </c>
      <c r="M275" s="72" t="s">
        <v>1121</v>
      </c>
    </row>
    <row r="276" spans="1:13" x14ac:dyDescent="0.2">
      <c r="A276" s="72" t="s">
        <v>357</v>
      </c>
      <c r="B276" s="72" t="s">
        <v>65</v>
      </c>
      <c r="C276" s="72" t="s">
        <v>358</v>
      </c>
      <c r="D276" s="72" t="s">
        <v>35</v>
      </c>
      <c r="E276" s="72" t="s">
        <v>112</v>
      </c>
      <c r="F276" s="72">
        <v>262</v>
      </c>
      <c r="G276" s="72">
        <v>0</v>
      </c>
      <c r="H276" s="72">
        <v>0</v>
      </c>
      <c r="I276" s="72">
        <v>1</v>
      </c>
      <c r="J276" s="72">
        <v>1</v>
      </c>
      <c r="K276" s="72">
        <v>114276</v>
      </c>
      <c r="L276" s="72" t="s">
        <v>2326</v>
      </c>
      <c r="M276" s="72" t="s">
        <v>2383</v>
      </c>
    </row>
    <row r="277" spans="1:13" x14ac:dyDescent="0.2">
      <c r="A277" s="72" t="s">
        <v>359</v>
      </c>
      <c r="B277" s="72" t="s">
        <v>65</v>
      </c>
      <c r="C277" s="72" t="s">
        <v>358</v>
      </c>
      <c r="D277" s="72" t="s">
        <v>35</v>
      </c>
      <c r="E277" s="72" t="s">
        <v>112</v>
      </c>
      <c r="F277" s="72">
        <v>262</v>
      </c>
      <c r="G277" s="72">
        <v>0</v>
      </c>
      <c r="H277" s="72">
        <v>0</v>
      </c>
      <c r="I277" s="72">
        <v>1</v>
      </c>
      <c r="J277" s="72">
        <v>1</v>
      </c>
      <c r="K277" s="72">
        <v>114276</v>
      </c>
      <c r="L277" s="72" t="s">
        <v>2326</v>
      </c>
      <c r="M277" s="72" t="s">
        <v>1552</v>
      </c>
    </row>
    <row r="278" spans="1:13" x14ac:dyDescent="0.2">
      <c r="A278" s="72" t="s">
        <v>360</v>
      </c>
      <c r="B278" s="72" t="s">
        <v>65</v>
      </c>
      <c r="C278" s="72" t="s">
        <v>358</v>
      </c>
      <c r="D278" s="72" t="s">
        <v>35</v>
      </c>
      <c r="E278" s="72" t="s">
        <v>112</v>
      </c>
      <c r="F278" s="72">
        <v>262</v>
      </c>
      <c r="G278" s="72">
        <v>0</v>
      </c>
      <c r="H278" s="72">
        <v>0</v>
      </c>
      <c r="I278" s="72">
        <v>1</v>
      </c>
      <c r="J278" s="72">
        <v>1</v>
      </c>
      <c r="K278" s="72">
        <v>114276</v>
      </c>
      <c r="L278" s="72" t="s">
        <v>2326</v>
      </c>
      <c r="M278" s="72" t="s">
        <v>2384</v>
      </c>
    </row>
    <row r="279" spans="1:13" x14ac:dyDescent="0.2">
      <c r="A279" s="72" t="s">
        <v>361</v>
      </c>
      <c r="B279" s="72" t="s">
        <v>65</v>
      </c>
      <c r="C279" s="72" t="s">
        <v>358</v>
      </c>
      <c r="D279" s="72" t="s">
        <v>35</v>
      </c>
      <c r="E279" s="72" t="s">
        <v>112</v>
      </c>
      <c r="F279" s="72">
        <v>262</v>
      </c>
      <c r="G279" s="72">
        <v>0</v>
      </c>
      <c r="H279" s="72">
        <v>0</v>
      </c>
      <c r="I279" s="72">
        <v>1</v>
      </c>
      <c r="J279" s="72">
        <v>1</v>
      </c>
      <c r="K279" s="72">
        <v>114276</v>
      </c>
      <c r="L279" s="72" t="s">
        <v>2326</v>
      </c>
      <c r="M279" s="72" t="s">
        <v>1109</v>
      </c>
    </row>
    <row r="280" spans="1:13" x14ac:dyDescent="0.2">
      <c r="A280" s="72" t="s">
        <v>362</v>
      </c>
      <c r="B280" s="72" t="s">
        <v>65</v>
      </c>
      <c r="C280" s="72" t="s">
        <v>358</v>
      </c>
      <c r="D280" s="72" t="s">
        <v>35</v>
      </c>
      <c r="E280" s="72" t="s">
        <v>112</v>
      </c>
      <c r="F280" s="72">
        <v>262</v>
      </c>
      <c r="G280" s="72">
        <v>0</v>
      </c>
      <c r="H280" s="72">
        <v>0</v>
      </c>
      <c r="I280" s="72">
        <v>1</v>
      </c>
      <c r="J280" s="72">
        <v>1</v>
      </c>
      <c r="K280" s="72">
        <v>114276</v>
      </c>
      <c r="L280" s="72" t="s">
        <v>2326</v>
      </c>
      <c r="M280" s="72" t="s">
        <v>1501</v>
      </c>
    </row>
    <row r="281" spans="1:13" x14ac:dyDescent="0.2">
      <c r="A281" s="72" t="s">
        <v>363</v>
      </c>
      <c r="B281" s="72" t="s">
        <v>65</v>
      </c>
      <c r="C281" s="72" t="s">
        <v>358</v>
      </c>
      <c r="D281" s="72" t="s">
        <v>35</v>
      </c>
      <c r="E281" s="72" t="s">
        <v>112</v>
      </c>
      <c r="F281" s="72">
        <v>262</v>
      </c>
      <c r="G281" s="72">
        <v>0</v>
      </c>
      <c r="H281" s="72">
        <v>0</v>
      </c>
      <c r="I281" s="72">
        <v>1</v>
      </c>
      <c r="J281" s="72">
        <v>1</v>
      </c>
      <c r="K281" s="72">
        <v>114276</v>
      </c>
      <c r="L281" s="72" t="s">
        <v>2326</v>
      </c>
      <c r="M281" s="72" t="s">
        <v>1164</v>
      </c>
    </row>
    <row r="282" spans="1:13" x14ac:dyDescent="0.2">
      <c r="A282" s="72" t="s">
        <v>364</v>
      </c>
      <c r="B282" s="72" t="s">
        <v>65</v>
      </c>
      <c r="C282" s="72" t="s">
        <v>358</v>
      </c>
      <c r="D282" s="72" t="s">
        <v>35</v>
      </c>
      <c r="E282" s="72" t="s">
        <v>112</v>
      </c>
      <c r="F282" s="72">
        <v>262</v>
      </c>
      <c r="G282" s="72">
        <v>0</v>
      </c>
      <c r="H282" s="72">
        <v>0</v>
      </c>
      <c r="I282" s="72">
        <v>1</v>
      </c>
      <c r="J282" s="72">
        <v>1</v>
      </c>
      <c r="K282" s="72">
        <v>114276</v>
      </c>
      <c r="L282" s="72" t="s">
        <v>2326</v>
      </c>
      <c r="M282" s="72" t="s">
        <v>1545</v>
      </c>
    </row>
    <row r="283" spans="1:13" x14ac:dyDescent="0.2">
      <c r="A283" s="72" t="s">
        <v>365</v>
      </c>
      <c r="B283" s="72" t="s">
        <v>65</v>
      </c>
      <c r="C283" s="72" t="s">
        <v>358</v>
      </c>
      <c r="D283" s="72" t="s">
        <v>35</v>
      </c>
      <c r="E283" s="72" t="s">
        <v>112</v>
      </c>
      <c r="F283" s="72">
        <v>262</v>
      </c>
      <c r="G283" s="72">
        <v>0</v>
      </c>
      <c r="H283" s="72">
        <v>0</v>
      </c>
      <c r="I283" s="72">
        <v>1</v>
      </c>
      <c r="J283" s="72">
        <v>1</v>
      </c>
      <c r="K283" s="72">
        <v>114276</v>
      </c>
      <c r="L283" s="72" t="s">
        <v>2326</v>
      </c>
      <c r="M283" s="72" t="s">
        <v>1117</v>
      </c>
    </row>
    <row r="284" spans="1:13" x14ac:dyDescent="0.2">
      <c r="A284" s="72" t="s">
        <v>366</v>
      </c>
      <c r="B284" s="72" t="s">
        <v>65</v>
      </c>
      <c r="C284" s="72" t="s">
        <v>358</v>
      </c>
      <c r="D284" s="72" t="s">
        <v>35</v>
      </c>
      <c r="E284" s="72" t="s">
        <v>112</v>
      </c>
      <c r="F284" s="72">
        <v>262</v>
      </c>
      <c r="G284" s="72">
        <v>0</v>
      </c>
      <c r="H284" s="72">
        <v>0</v>
      </c>
      <c r="I284" s="72">
        <v>1</v>
      </c>
      <c r="J284" s="72">
        <v>1</v>
      </c>
      <c r="K284" s="72">
        <v>114276</v>
      </c>
      <c r="L284" s="72" t="s">
        <v>2326</v>
      </c>
      <c r="M284" s="72" t="s">
        <v>1508</v>
      </c>
    </row>
    <row r="285" spans="1:13" x14ac:dyDescent="0.2">
      <c r="A285" s="72" t="s">
        <v>367</v>
      </c>
      <c r="B285" s="72" t="s">
        <v>65</v>
      </c>
      <c r="C285" s="72" t="s">
        <v>358</v>
      </c>
      <c r="D285" s="72" t="s">
        <v>35</v>
      </c>
      <c r="E285" s="72" t="s">
        <v>112</v>
      </c>
      <c r="F285" s="72">
        <v>262</v>
      </c>
      <c r="G285" s="72">
        <v>0</v>
      </c>
      <c r="H285" s="72">
        <v>0</v>
      </c>
      <c r="I285" s="72">
        <v>1</v>
      </c>
      <c r="J285" s="72">
        <v>1</v>
      </c>
      <c r="K285" s="72">
        <v>114276</v>
      </c>
      <c r="L285" s="72" t="s">
        <v>2326</v>
      </c>
      <c r="M285" s="72" t="s">
        <v>1171</v>
      </c>
    </row>
    <row r="286" spans="1:13" x14ac:dyDescent="0.2">
      <c r="A286" s="72" t="s">
        <v>346</v>
      </c>
      <c r="B286" s="72" t="s">
        <v>65</v>
      </c>
      <c r="C286" s="72" t="s">
        <v>347</v>
      </c>
      <c r="D286" s="72" t="s">
        <v>35</v>
      </c>
      <c r="E286" s="72" t="s">
        <v>112</v>
      </c>
      <c r="F286" s="72">
        <v>262</v>
      </c>
      <c r="G286" s="72">
        <v>0</v>
      </c>
      <c r="H286" s="72">
        <v>0</v>
      </c>
      <c r="I286" s="72">
        <v>1</v>
      </c>
      <c r="J286" s="72">
        <v>1</v>
      </c>
      <c r="K286" s="72">
        <v>154133</v>
      </c>
      <c r="L286" s="72" t="s">
        <v>2326</v>
      </c>
      <c r="M286" s="72" t="s">
        <v>2385</v>
      </c>
    </row>
    <row r="287" spans="1:13" x14ac:dyDescent="0.2">
      <c r="A287" s="72" t="s">
        <v>348</v>
      </c>
      <c r="B287" s="72" t="s">
        <v>65</v>
      </c>
      <c r="C287" s="72" t="s">
        <v>347</v>
      </c>
      <c r="D287" s="72" t="s">
        <v>35</v>
      </c>
      <c r="E287" s="72" t="s">
        <v>112</v>
      </c>
      <c r="F287" s="72">
        <v>262</v>
      </c>
      <c r="G287" s="72">
        <v>0</v>
      </c>
      <c r="H287" s="72">
        <v>0</v>
      </c>
      <c r="I287" s="72">
        <v>1</v>
      </c>
      <c r="J287" s="72">
        <v>1</v>
      </c>
      <c r="K287" s="72">
        <v>154133</v>
      </c>
      <c r="L287" s="72" t="s">
        <v>2326</v>
      </c>
      <c r="M287" s="72" t="s">
        <v>1912</v>
      </c>
    </row>
    <row r="288" spans="1:13" x14ac:dyDescent="0.2">
      <c r="A288" s="72" t="s">
        <v>349</v>
      </c>
      <c r="B288" s="72" t="s">
        <v>65</v>
      </c>
      <c r="C288" s="72" t="s">
        <v>347</v>
      </c>
      <c r="D288" s="72" t="s">
        <v>35</v>
      </c>
      <c r="E288" s="72" t="s">
        <v>112</v>
      </c>
      <c r="F288" s="72">
        <v>262</v>
      </c>
      <c r="G288" s="72">
        <v>0</v>
      </c>
      <c r="H288" s="72">
        <v>0</v>
      </c>
      <c r="I288" s="72">
        <v>1</v>
      </c>
      <c r="J288" s="72">
        <v>1</v>
      </c>
      <c r="K288" s="72">
        <v>154133</v>
      </c>
      <c r="L288" s="72" t="s">
        <v>2326</v>
      </c>
      <c r="M288" s="72" t="s">
        <v>2386</v>
      </c>
    </row>
    <row r="289" spans="1:13" x14ac:dyDescent="0.2">
      <c r="A289" s="72" t="s">
        <v>350</v>
      </c>
      <c r="B289" s="72" t="s">
        <v>65</v>
      </c>
      <c r="C289" s="72" t="s">
        <v>347</v>
      </c>
      <c r="D289" s="72" t="s">
        <v>35</v>
      </c>
      <c r="E289" s="72" t="s">
        <v>112</v>
      </c>
      <c r="F289" s="72">
        <v>262</v>
      </c>
      <c r="G289" s="72">
        <v>0</v>
      </c>
      <c r="H289" s="72">
        <v>0</v>
      </c>
      <c r="I289" s="72">
        <v>1</v>
      </c>
      <c r="J289" s="72">
        <v>1</v>
      </c>
      <c r="K289" s="72">
        <v>154133</v>
      </c>
      <c r="L289" s="72" t="s">
        <v>2326</v>
      </c>
      <c r="M289" s="72" t="s">
        <v>1363</v>
      </c>
    </row>
    <row r="290" spans="1:13" x14ac:dyDescent="0.2">
      <c r="A290" s="72" t="s">
        <v>351</v>
      </c>
      <c r="B290" s="72" t="s">
        <v>65</v>
      </c>
      <c r="C290" s="72" t="s">
        <v>347</v>
      </c>
      <c r="D290" s="72" t="s">
        <v>35</v>
      </c>
      <c r="E290" s="72" t="s">
        <v>112</v>
      </c>
      <c r="F290" s="72">
        <v>262</v>
      </c>
      <c r="G290" s="72">
        <v>0</v>
      </c>
      <c r="H290" s="72">
        <v>0</v>
      </c>
      <c r="I290" s="72">
        <v>1</v>
      </c>
      <c r="J290" s="72">
        <v>1</v>
      </c>
      <c r="K290" s="72">
        <v>154133</v>
      </c>
      <c r="L290" s="72" t="s">
        <v>2326</v>
      </c>
      <c r="M290" s="72" t="s">
        <v>1684</v>
      </c>
    </row>
    <row r="291" spans="1:13" x14ac:dyDescent="0.2">
      <c r="A291" s="72" t="s">
        <v>352</v>
      </c>
      <c r="B291" s="72" t="s">
        <v>65</v>
      </c>
      <c r="C291" s="72" t="s">
        <v>347</v>
      </c>
      <c r="D291" s="72" t="s">
        <v>35</v>
      </c>
      <c r="E291" s="72" t="s">
        <v>112</v>
      </c>
      <c r="F291" s="72">
        <v>262</v>
      </c>
      <c r="G291" s="72">
        <v>0</v>
      </c>
      <c r="H291" s="72">
        <v>0</v>
      </c>
      <c r="I291" s="72">
        <v>1</v>
      </c>
      <c r="J291" s="72">
        <v>1</v>
      </c>
      <c r="K291" s="72">
        <v>154133</v>
      </c>
      <c r="L291" s="72" t="s">
        <v>2326</v>
      </c>
      <c r="M291" s="72" t="s">
        <v>1905</v>
      </c>
    </row>
    <row r="292" spans="1:13" x14ac:dyDescent="0.2">
      <c r="A292" s="72" t="s">
        <v>353</v>
      </c>
      <c r="B292" s="72" t="s">
        <v>65</v>
      </c>
      <c r="C292" s="72" t="s">
        <v>347</v>
      </c>
      <c r="D292" s="72" t="s">
        <v>35</v>
      </c>
      <c r="E292" s="72" t="s">
        <v>112</v>
      </c>
      <c r="F292" s="72">
        <v>262</v>
      </c>
      <c r="G292" s="72">
        <v>0</v>
      </c>
      <c r="H292" s="72">
        <v>0</v>
      </c>
      <c r="I292" s="72">
        <v>1</v>
      </c>
      <c r="J292" s="72">
        <v>1</v>
      </c>
      <c r="K292" s="72">
        <v>154133</v>
      </c>
      <c r="L292" s="72" t="s">
        <v>2326</v>
      </c>
      <c r="M292" s="72" t="s">
        <v>1465</v>
      </c>
    </row>
    <row r="293" spans="1:13" x14ac:dyDescent="0.2">
      <c r="A293" s="72" t="s">
        <v>354</v>
      </c>
      <c r="B293" s="72" t="s">
        <v>65</v>
      </c>
      <c r="C293" s="72" t="s">
        <v>347</v>
      </c>
      <c r="D293" s="72" t="s">
        <v>35</v>
      </c>
      <c r="E293" s="72" t="s">
        <v>112</v>
      </c>
      <c r="F293" s="72">
        <v>262</v>
      </c>
      <c r="G293" s="72">
        <v>0</v>
      </c>
      <c r="H293" s="72">
        <v>0</v>
      </c>
      <c r="I293" s="72">
        <v>1</v>
      </c>
      <c r="J293" s="72">
        <v>1</v>
      </c>
      <c r="K293" s="72">
        <v>154133</v>
      </c>
      <c r="L293" s="72" t="s">
        <v>2326</v>
      </c>
      <c r="M293" s="72" t="s">
        <v>1738</v>
      </c>
    </row>
    <row r="294" spans="1:13" x14ac:dyDescent="0.2">
      <c r="A294" s="72" t="s">
        <v>355</v>
      </c>
      <c r="B294" s="72" t="s">
        <v>65</v>
      </c>
      <c r="C294" s="72" t="s">
        <v>347</v>
      </c>
      <c r="D294" s="72" t="s">
        <v>35</v>
      </c>
      <c r="E294" s="72" t="s">
        <v>112</v>
      </c>
      <c r="F294" s="72">
        <v>262</v>
      </c>
      <c r="G294" s="72">
        <v>0</v>
      </c>
      <c r="H294" s="72">
        <v>0</v>
      </c>
      <c r="I294" s="72">
        <v>1</v>
      </c>
      <c r="J294" s="72">
        <v>1</v>
      </c>
      <c r="K294" s="72">
        <v>154133</v>
      </c>
      <c r="L294" s="72" t="s">
        <v>2326</v>
      </c>
      <c r="M294" s="72" t="s">
        <v>1371</v>
      </c>
    </row>
    <row r="295" spans="1:13" x14ac:dyDescent="0.2">
      <c r="A295" s="72" t="s">
        <v>356</v>
      </c>
      <c r="B295" s="72" t="s">
        <v>65</v>
      </c>
      <c r="C295" s="72" t="s">
        <v>347</v>
      </c>
      <c r="D295" s="72" t="s">
        <v>35</v>
      </c>
      <c r="E295" s="72" t="s">
        <v>112</v>
      </c>
      <c r="F295" s="72">
        <v>262</v>
      </c>
      <c r="G295" s="72">
        <v>0</v>
      </c>
      <c r="H295" s="72">
        <v>0</v>
      </c>
      <c r="I295" s="72">
        <v>1</v>
      </c>
      <c r="J295" s="72">
        <v>1</v>
      </c>
      <c r="K295" s="72">
        <v>154133</v>
      </c>
      <c r="L295" s="72" t="s">
        <v>2326</v>
      </c>
      <c r="M295" s="72" t="s">
        <v>1691</v>
      </c>
    </row>
    <row r="296" spans="1:13" x14ac:dyDescent="0.2">
      <c r="A296" s="72" t="s">
        <v>335</v>
      </c>
      <c r="B296" s="72" t="s">
        <v>65</v>
      </c>
      <c r="C296" s="72" t="s">
        <v>336</v>
      </c>
      <c r="D296" s="72" t="s">
        <v>35</v>
      </c>
      <c r="E296" s="72" t="s">
        <v>112</v>
      </c>
      <c r="F296" s="72">
        <v>262</v>
      </c>
      <c r="G296" s="72">
        <v>0</v>
      </c>
      <c r="H296" s="72">
        <v>0</v>
      </c>
      <c r="I296" s="72">
        <v>1</v>
      </c>
      <c r="J296" s="72">
        <v>1</v>
      </c>
      <c r="K296" s="72">
        <v>153929</v>
      </c>
      <c r="L296" s="72" t="s">
        <v>2326</v>
      </c>
      <c r="M296" s="72" t="s">
        <v>2387</v>
      </c>
    </row>
    <row r="297" spans="1:13" x14ac:dyDescent="0.2">
      <c r="A297" s="72" t="s">
        <v>337</v>
      </c>
      <c r="B297" s="72" t="s">
        <v>65</v>
      </c>
      <c r="C297" s="72" t="s">
        <v>336</v>
      </c>
      <c r="D297" s="72" t="s">
        <v>35</v>
      </c>
      <c r="E297" s="72" t="s">
        <v>112</v>
      </c>
      <c r="F297" s="72">
        <v>262</v>
      </c>
      <c r="G297" s="72">
        <v>0</v>
      </c>
      <c r="H297" s="72">
        <v>0</v>
      </c>
      <c r="I297" s="72">
        <v>1</v>
      </c>
      <c r="J297" s="72">
        <v>1</v>
      </c>
      <c r="K297" s="72">
        <v>153929</v>
      </c>
      <c r="L297" s="72" t="s">
        <v>2326</v>
      </c>
      <c r="M297" s="72" t="s">
        <v>1741</v>
      </c>
    </row>
    <row r="298" spans="1:13" x14ac:dyDescent="0.2">
      <c r="A298" s="72" t="s">
        <v>338</v>
      </c>
      <c r="B298" s="72" t="s">
        <v>65</v>
      </c>
      <c r="C298" s="72" t="s">
        <v>336</v>
      </c>
      <c r="D298" s="72" t="s">
        <v>35</v>
      </c>
      <c r="E298" s="72" t="s">
        <v>112</v>
      </c>
      <c r="F298" s="72">
        <v>262</v>
      </c>
      <c r="G298" s="72">
        <v>0</v>
      </c>
      <c r="H298" s="72">
        <v>0</v>
      </c>
      <c r="I298" s="72">
        <v>1</v>
      </c>
      <c r="J298" s="72">
        <v>1</v>
      </c>
      <c r="K298" s="72">
        <v>153929</v>
      </c>
      <c r="L298" s="72" t="s">
        <v>2326</v>
      </c>
      <c r="M298" s="72" t="s">
        <v>2388</v>
      </c>
    </row>
    <row r="299" spans="1:13" x14ac:dyDescent="0.2">
      <c r="A299" s="72" t="s">
        <v>339</v>
      </c>
      <c r="B299" s="72" t="s">
        <v>65</v>
      </c>
      <c r="C299" s="72" t="s">
        <v>336</v>
      </c>
      <c r="D299" s="72" t="s">
        <v>35</v>
      </c>
      <c r="E299" s="72" t="s">
        <v>112</v>
      </c>
      <c r="F299" s="72">
        <v>262</v>
      </c>
      <c r="G299" s="72">
        <v>0</v>
      </c>
      <c r="H299" s="72">
        <v>0</v>
      </c>
      <c r="I299" s="72">
        <v>1</v>
      </c>
      <c r="J299" s="72">
        <v>1</v>
      </c>
      <c r="K299" s="72">
        <v>153929</v>
      </c>
      <c r="L299" s="72" t="s">
        <v>2326</v>
      </c>
      <c r="M299" s="72" t="s">
        <v>2389</v>
      </c>
    </row>
    <row r="300" spans="1:13" x14ac:dyDescent="0.2">
      <c r="A300" s="72" t="s">
        <v>340</v>
      </c>
      <c r="B300" s="72" t="s">
        <v>65</v>
      </c>
      <c r="C300" s="72" t="s">
        <v>336</v>
      </c>
      <c r="D300" s="72" t="s">
        <v>35</v>
      </c>
      <c r="E300" s="72" t="s">
        <v>112</v>
      </c>
      <c r="F300" s="72">
        <v>262</v>
      </c>
      <c r="G300" s="72">
        <v>0</v>
      </c>
      <c r="H300" s="72">
        <v>0</v>
      </c>
      <c r="I300" s="72">
        <v>1</v>
      </c>
      <c r="J300" s="72">
        <v>1</v>
      </c>
      <c r="K300" s="72">
        <v>153929</v>
      </c>
      <c r="L300" s="72" t="s">
        <v>2326</v>
      </c>
      <c r="M300" s="72" t="s">
        <v>1461</v>
      </c>
    </row>
    <row r="301" spans="1:13" x14ac:dyDescent="0.2">
      <c r="A301" s="72" t="s">
        <v>341</v>
      </c>
      <c r="B301" s="72" t="s">
        <v>65</v>
      </c>
      <c r="C301" s="72" t="s">
        <v>336</v>
      </c>
      <c r="D301" s="72" t="s">
        <v>35</v>
      </c>
      <c r="E301" s="72" t="s">
        <v>112</v>
      </c>
      <c r="F301" s="72">
        <v>262</v>
      </c>
      <c r="G301" s="72">
        <v>0</v>
      </c>
      <c r="H301" s="72">
        <v>0</v>
      </c>
      <c r="I301" s="72">
        <v>1</v>
      </c>
      <c r="J301" s="72">
        <v>1</v>
      </c>
      <c r="K301" s="72">
        <v>153929</v>
      </c>
      <c r="L301" s="72" t="s">
        <v>2326</v>
      </c>
      <c r="M301" s="72" t="s">
        <v>1734</v>
      </c>
    </row>
    <row r="302" spans="1:13" x14ac:dyDescent="0.2">
      <c r="A302" s="72" t="s">
        <v>342</v>
      </c>
      <c r="B302" s="72" t="s">
        <v>65</v>
      </c>
      <c r="C302" s="72" t="s">
        <v>336</v>
      </c>
      <c r="D302" s="72" t="s">
        <v>35</v>
      </c>
      <c r="E302" s="72" t="s">
        <v>112</v>
      </c>
      <c r="F302" s="72">
        <v>262</v>
      </c>
      <c r="G302" s="72">
        <v>0</v>
      </c>
      <c r="H302" s="72">
        <v>0</v>
      </c>
      <c r="I302" s="72">
        <v>1</v>
      </c>
      <c r="J302" s="72">
        <v>1</v>
      </c>
      <c r="K302" s="72">
        <v>153929</v>
      </c>
      <c r="L302" s="72" t="s">
        <v>2326</v>
      </c>
      <c r="M302" s="72" t="s">
        <v>1367</v>
      </c>
    </row>
    <row r="303" spans="1:13" x14ac:dyDescent="0.2">
      <c r="A303" s="72" t="s">
        <v>343</v>
      </c>
      <c r="B303" s="72" t="s">
        <v>65</v>
      </c>
      <c r="C303" s="72" t="s">
        <v>336</v>
      </c>
      <c r="D303" s="72" t="s">
        <v>35</v>
      </c>
      <c r="E303" s="72" t="s">
        <v>112</v>
      </c>
      <c r="F303" s="72">
        <v>262</v>
      </c>
      <c r="G303" s="72">
        <v>0</v>
      </c>
      <c r="H303" s="72">
        <v>0</v>
      </c>
      <c r="I303" s="72">
        <v>1</v>
      </c>
      <c r="J303" s="72">
        <v>1</v>
      </c>
      <c r="K303" s="72">
        <v>153929</v>
      </c>
      <c r="L303" s="72" t="s">
        <v>2326</v>
      </c>
      <c r="M303" s="72" t="s">
        <v>1687</v>
      </c>
    </row>
    <row r="304" spans="1:13" x14ac:dyDescent="0.2">
      <c r="A304" s="72" t="s">
        <v>344</v>
      </c>
      <c r="B304" s="72" t="s">
        <v>65</v>
      </c>
      <c r="C304" s="72" t="s">
        <v>336</v>
      </c>
      <c r="D304" s="72" t="s">
        <v>35</v>
      </c>
      <c r="E304" s="72" t="s">
        <v>112</v>
      </c>
      <c r="F304" s="72">
        <v>262</v>
      </c>
      <c r="G304" s="72">
        <v>0</v>
      </c>
      <c r="H304" s="72">
        <v>0</v>
      </c>
      <c r="I304" s="72">
        <v>1</v>
      </c>
      <c r="J304" s="72">
        <v>1</v>
      </c>
      <c r="K304" s="72">
        <v>153929</v>
      </c>
      <c r="L304" s="72" t="s">
        <v>2326</v>
      </c>
      <c r="M304" s="72" t="s">
        <v>1908</v>
      </c>
    </row>
    <row r="305" spans="1:13" x14ac:dyDescent="0.2">
      <c r="A305" s="72" t="s">
        <v>345</v>
      </c>
      <c r="B305" s="72" t="s">
        <v>65</v>
      </c>
      <c r="C305" s="72" t="s">
        <v>336</v>
      </c>
      <c r="D305" s="72" t="s">
        <v>35</v>
      </c>
      <c r="E305" s="72" t="s">
        <v>112</v>
      </c>
      <c r="F305" s="72">
        <v>262</v>
      </c>
      <c r="G305" s="72">
        <v>0</v>
      </c>
      <c r="H305" s="72">
        <v>0</v>
      </c>
      <c r="I305" s="72">
        <v>1</v>
      </c>
      <c r="J305" s="72">
        <v>1</v>
      </c>
      <c r="K305" s="72">
        <v>153929</v>
      </c>
      <c r="L305" s="72" t="s">
        <v>2326</v>
      </c>
      <c r="M305" s="72" t="s">
        <v>1468</v>
      </c>
    </row>
    <row r="306" spans="1:13" x14ac:dyDescent="0.2">
      <c r="A306" s="72" t="s">
        <v>324</v>
      </c>
      <c r="B306" s="72" t="s">
        <v>65</v>
      </c>
      <c r="C306" s="72" t="s">
        <v>325</v>
      </c>
      <c r="D306" s="72" t="s">
        <v>32</v>
      </c>
      <c r="E306" s="72" t="s">
        <v>67</v>
      </c>
      <c r="F306" s="72">
        <v>231</v>
      </c>
      <c r="G306" s="72">
        <v>8</v>
      </c>
      <c r="H306" s="72">
        <v>480</v>
      </c>
      <c r="I306" s="72">
        <v>1</v>
      </c>
      <c r="J306" s="72">
        <v>1</v>
      </c>
      <c r="K306" s="72">
        <v>62238</v>
      </c>
      <c r="L306" s="72" t="s">
        <v>2326</v>
      </c>
      <c r="M306" s="72" t="s">
        <v>2390</v>
      </c>
    </row>
    <row r="307" spans="1:13" x14ac:dyDescent="0.2">
      <c r="A307" s="72" t="s">
        <v>326</v>
      </c>
      <c r="B307" s="72" t="s">
        <v>65</v>
      </c>
      <c r="C307" s="72" t="s">
        <v>325</v>
      </c>
      <c r="D307" s="72" t="s">
        <v>32</v>
      </c>
      <c r="E307" s="72" t="s">
        <v>67</v>
      </c>
      <c r="F307" s="72">
        <v>231</v>
      </c>
      <c r="G307" s="72">
        <v>8</v>
      </c>
      <c r="H307" s="72">
        <v>480</v>
      </c>
      <c r="I307" s="72">
        <v>1</v>
      </c>
      <c r="J307" s="72">
        <v>1</v>
      </c>
      <c r="K307" s="72">
        <v>62238</v>
      </c>
      <c r="L307" s="72" t="s">
        <v>2326</v>
      </c>
      <c r="M307" s="72" t="s">
        <v>1340</v>
      </c>
    </row>
    <row r="308" spans="1:13" x14ac:dyDescent="0.2">
      <c r="A308" s="72" t="s">
        <v>327</v>
      </c>
      <c r="B308" s="72" t="s">
        <v>65</v>
      </c>
      <c r="C308" s="72" t="s">
        <v>325</v>
      </c>
      <c r="D308" s="72" t="s">
        <v>32</v>
      </c>
      <c r="E308" s="72" t="s">
        <v>67</v>
      </c>
      <c r="F308" s="72">
        <v>231</v>
      </c>
      <c r="G308" s="72">
        <v>8</v>
      </c>
      <c r="H308" s="72">
        <v>480</v>
      </c>
      <c r="I308" s="72">
        <v>1</v>
      </c>
      <c r="J308" s="72">
        <v>1</v>
      </c>
      <c r="K308" s="72">
        <v>62238</v>
      </c>
      <c r="L308" s="72" t="s">
        <v>2326</v>
      </c>
      <c r="M308" s="72" t="s">
        <v>1062</v>
      </c>
    </row>
    <row r="309" spans="1:13" x14ac:dyDescent="0.2">
      <c r="A309" s="72" t="s">
        <v>328</v>
      </c>
      <c r="B309" s="72" t="s">
        <v>65</v>
      </c>
      <c r="C309" s="72" t="s">
        <v>325</v>
      </c>
      <c r="D309" s="72" t="s">
        <v>32</v>
      </c>
      <c r="E309" s="72" t="s">
        <v>67</v>
      </c>
      <c r="F309" s="72">
        <v>231</v>
      </c>
      <c r="G309" s="72">
        <v>8</v>
      </c>
      <c r="H309" s="72">
        <v>480</v>
      </c>
      <c r="I309" s="72">
        <v>1</v>
      </c>
      <c r="J309" s="72">
        <v>1</v>
      </c>
      <c r="K309" s="72">
        <v>62238</v>
      </c>
      <c r="L309" s="72" t="s">
        <v>2326</v>
      </c>
      <c r="M309" s="72" t="s">
        <v>1421</v>
      </c>
    </row>
    <row r="310" spans="1:13" x14ac:dyDescent="0.2">
      <c r="A310" s="72" t="s">
        <v>329</v>
      </c>
      <c r="B310" s="72" t="s">
        <v>65</v>
      </c>
      <c r="C310" s="72" t="s">
        <v>325</v>
      </c>
      <c r="D310" s="72" t="s">
        <v>32</v>
      </c>
      <c r="E310" s="72" t="s">
        <v>67</v>
      </c>
      <c r="F310" s="72">
        <v>231</v>
      </c>
      <c r="G310" s="72">
        <v>8</v>
      </c>
      <c r="H310" s="72">
        <v>480</v>
      </c>
      <c r="I310" s="72">
        <v>1</v>
      </c>
      <c r="J310" s="72">
        <v>1</v>
      </c>
      <c r="K310" s="72">
        <v>62238</v>
      </c>
      <c r="L310" s="72" t="s">
        <v>2326</v>
      </c>
      <c r="M310" s="72" t="s">
        <v>1084</v>
      </c>
    </row>
    <row r="311" spans="1:13" x14ac:dyDescent="0.2">
      <c r="A311" s="72" t="s">
        <v>330</v>
      </c>
      <c r="B311" s="72" t="s">
        <v>65</v>
      </c>
      <c r="C311" s="72" t="s">
        <v>325</v>
      </c>
      <c r="D311" s="72" t="s">
        <v>32</v>
      </c>
      <c r="E311" s="72" t="s">
        <v>67</v>
      </c>
      <c r="F311" s="72">
        <v>231</v>
      </c>
      <c r="G311" s="72">
        <v>8</v>
      </c>
      <c r="H311" s="72">
        <v>480</v>
      </c>
      <c r="I311" s="72">
        <v>1</v>
      </c>
      <c r="J311" s="72">
        <v>1</v>
      </c>
      <c r="K311" s="72">
        <v>62238</v>
      </c>
      <c r="L311" s="72" t="s">
        <v>2326</v>
      </c>
      <c r="M311" s="72" t="s">
        <v>1482</v>
      </c>
    </row>
    <row r="312" spans="1:13" x14ac:dyDescent="0.2">
      <c r="A312" s="72" t="s">
        <v>331</v>
      </c>
      <c r="B312" s="72" t="s">
        <v>65</v>
      </c>
      <c r="C312" s="72" t="s">
        <v>325</v>
      </c>
      <c r="D312" s="72" t="s">
        <v>32</v>
      </c>
      <c r="E312" s="72" t="s">
        <v>67</v>
      </c>
      <c r="F312" s="72">
        <v>231</v>
      </c>
      <c r="G312" s="72">
        <v>8</v>
      </c>
      <c r="H312" s="72">
        <v>480</v>
      </c>
      <c r="I312" s="72">
        <v>1</v>
      </c>
      <c r="J312" s="72">
        <v>1</v>
      </c>
      <c r="K312" s="72">
        <v>62238</v>
      </c>
      <c r="L312" s="72" t="s">
        <v>2326</v>
      </c>
      <c r="M312" s="72" t="s">
        <v>1204</v>
      </c>
    </row>
    <row r="313" spans="1:13" x14ac:dyDescent="0.2">
      <c r="A313" s="72" t="s">
        <v>332</v>
      </c>
      <c r="B313" s="72" t="s">
        <v>65</v>
      </c>
      <c r="C313" s="72" t="s">
        <v>325</v>
      </c>
      <c r="D313" s="72" t="s">
        <v>32</v>
      </c>
      <c r="E313" s="72" t="s">
        <v>67</v>
      </c>
      <c r="F313" s="72">
        <v>231</v>
      </c>
      <c r="G313" s="72">
        <v>8</v>
      </c>
      <c r="H313" s="72">
        <v>480</v>
      </c>
      <c r="I313" s="72">
        <v>1</v>
      </c>
      <c r="J313" s="72">
        <v>1</v>
      </c>
      <c r="K313" s="72">
        <v>62238</v>
      </c>
      <c r="L313" s="72" t="s">
        <v>2326</v>
      </c>
      <c r="M313" s="72" t="s">
        <v>1606</v>
      </c>
    </row>
    <row r="314" spans="1:13" x14ac:dyDescent="0.2">
      <c r="A314" s="72" t="s">
        <v>333</v>
      </c>
      <c r="B314" s="72" t="s">
        <v>65</v>
      </c>
      <c r="C314" s="72" t="s">
        <v>325</v>
      </c>
      <c r="D314" s="72" t="s">
        <v>32</v>
      </c>
      <c r="E314" s="72" t="s">
        <v>67</v>
      </c>
      <c r="F314" s="72">
        <v>231</v>
      </c>
      <c r="G314" s="72">
        <v>8</v>
      </c>
      <c r="H314" s="72">
        <v>480</v>
      </c>
      <c r="I314" s="72">
        <v>1</v>
      </c>
      <c r="J314" s="72">
        <v>1</v>
      </c>
      <c r="K314" s="72">
        <v>62238</v>
      </c>
      <c r="L314" s="72" t="s">
        <v>2326</v>
      </c>
      <c r="M314" s="72" t="s">
        <v>1454</v>
      </c>
    </row>
    <row r="315" spans="1:13" x14ac:dyDescent="0.2">
      <c r="A315" s="72" t="s">
        <v>334</v>
      </c>
      <c r="B315" s="72" t="s">
        <v>65</v>
      </c>
      <c r="C315" s="72" t="s">
        <v>325</v>
      </c>
      <c r="D315" s="72" t="s">
        <v>32</v>
      </c>
      <c r="E315" s="72" t="s">
        <v>67</v>
      </c>
      <c r="F315" s="72">
        <v>231</v>
      </c>
      <c r="G315" s="72">
        <v>8</v>
      </c>
      <c r="H315" s="72">
        <v>480</v>
      </c>
      <c r="I315" s="72">
        <v>1</v>
      </c>
      <c r="J315" s="72">
        <v>1</v>
      </c>
      <c r="K315" s="72">
        <v>62238</v>
      </c>
      <c r="L315" s="72" t="s">
        <v>2326</v>
      </c>
      <c r="M315" s="72" t="s">
        <v>1731</v>
      </c>
    </row>
    <row r="316" spans="1:13" x14ac:dyDescent="0.2">
      <c r="A316" s="72" t="s">
        <v>313</v>
      </c>
      <c r="B316" s="72" t="s">
        <v>65</v>
      </c>
      <c r="C316" s="72" t="s">
        <v>314</v>
      </c>
      <c r="D316" s="72" t="s">
        <v>32</v>
      </c>
      <c r="E316" s="72" t="s">
        <v>67</v>
      </c>
      <c r="F316" s="72">
        <v>231</v>
      </c>
      <c r="G316" s="72">
        <v>8</v>
      </c>
      <c r="H316" s="72">
        <v>480</v>
      </c>
      <c r="I316" s="72">
        <v>1</v>
      </c>
      <c r="J316" s="72">
        <v>1</v>
      </c>
      <c r="K316" s="72">
        <v>62240</v>
      </c>
      <c r="L316" s="72" t="s">
        <v>2326</v>
      </c>
      <c r="M316" s="72" t="s">
        <v>2391</v>
      </c>
    </row>
    <row r="317" spans="1:13" x14ac:dyDescent="0.2">
      <c r="A317" s="72" t="s">
        <v>315</v>
      </c>
      <c r="B317" s="72" t="s">
        <v>65</v>
      </c>
      <c r="C317" s="72" t="s">
        <v>314</v>
      </c>
      <c r="D317" s="72" t="s">
        <v>32</v>
      </c>
      <c r="E317" s="72" t="s">
        <v>67</v>
      </c>
      <c r="F317" s="72">
        <v>231</v>
      </c>
      <c r="G317" s="72">
        <v>8</v>
      </c>
      <c r="H317" s="72">
        <v>480</v>
      </c>
      <c r="I317" s="72">
        <v>1</v>
      </c>
      <c r="J317" s="72">
        <v>1</v>
      </c>
      <c r="K317" s="72">
        <v>62240</v>
      </c>
      <c r="L317" s="72" t="s">
        <v>2326</v>
      </c>
      <c r="M317" s="72" t="s">
        <v>1095</v>
      </c>
    </row>
    <row r="318" spans="1:13" x14ac:dyDescent="0.2">
      <c r="A318" s="72" t="s">
        <v>316</v>
      </c>
      <c r="B318" s="72" t="s">
        <v>65</v>
      </c>
      <c r="C318" s="72" t="s">
        <v>314</v>
      </c>
      <c r="D318" s="72" t="s">
        <v>32</v>
      </c>
      <c r="E318" s="72" t="s">
        <v>67</v>
      </c>
      <c r="F318" s="72">
        <v>231</v>
      </c>
      <c r="G318" s="72">
        <v>8</v>
      </c>
      <c r="H318" s="72">
        <v>480</v>
      </c>
      <c r="I318" s="72">
        <v>1</v>
      </c>
      <c r="J318" s="72">
        <v>1</v>
      </c>
      <c r="K318" s="72">
        <v>62240</v>
      </c>
      <c r="L318" s="72" t="s">
        <v>2326</v>
      </c>
      <c r="M318" s="72" t="s">
        <v>2392</v>
      </c>
    </row>
    <row r="319" spans="1:13" x14ac:dyDescent="0.2">
      <c r="A319" s="72" t="s">
        <v>317</v>
      </c>
      <c r="B319" s="72" t="s">
        <v>65</v>
      </c>
      <c r="C319" s="72" t="s">
        <v>314</v>
      </c>
      <c r="D319" s="72" t="s">
        <v>32</v>
      </c>
      <c r="E319" s="72" t="s">
        <v>67</v>
      </c>
      <c r="F319" s="72">
        <v>231</v>
      </c>
      <c r="G319" s="72">
        <v>8</v>
      </c>
      <c r="H319" s="72">
        <v>480</v>
      </c>
      <c r="I319" s="72">
        <v>1</v>
      </c>
      <c r="J319" s="72">
        <v>1</v>
      </c>
      <c r="K319" s="72">
        <v>62240</v>
      </c>
      <c r="L319" s="72" t="s">
        <v>2326</v>
      </c>
      <c r="M319" s="72" t="s">
        <v>1447</v>
      </c>
    </row>
    <row r="320" spans="1:13" x14ac:dyDescent="0.2">
      <c r="A320" s="72" t="s">
        <v>318</v>
      </c>
      <c r="B320" s="72" t="s">
        <v>65</v>
      </c>
      <c r="C320" s="72" t="s">
        <v>314</v>
      </c>
      <c r="D320" s="72" t="s">
        <v>32</v>
      </c>
      <c r="E320" s="72" t="s">
        <v>67</v>
      </c>
      <c r="F320" s="72">
        <v>231</v>
      </c>
      <c r="G320" s="72">
        <v>8</v>
      </c>
      <c r="H320" s="72">
        <v>480</v>
      </c>
      <c r="I320" s="72">
        <v>1</v>
      </c>
      <c r="J320" s="72">
        <v>1</v>
      </c>
      <c r="K320" s="72">
        <v>62240</v>
      </c>
      <c r="L320" s="72" t="s">
        <v>2326</v>
      </c>
      <c r="M320" s="72" t="s">
        <v>1724</v>
      </c>
    </row>
    <row r="321" spans="1:13" x14ac:dyDescent="0.2">
      <c r="A321" s="72" t="s">
        <v>319</v>
      </c>
      <c r="B321" s="72" t="s">
        <v>65</v>
      </c>
      <c r="C321" s="72" t="s">
        <v>314</v>
      </c>
      <c r="D321" s="72" t="s">
        <v>32</v>
      </c>
      <c r="E321" s="72" t="s">
        <v>67</v>
      </c>
      <c r="F321" s="72">
        <v>231</v>
      </c>
      <c r="G321" s="72">
        <v>8</v>
      </c>
      <c r="H321" s="72">
        <v>480</v>
      </c>
      <c r="I321" s="72">
        <v>1</v>
      </c>
      <c r="J321" s="72">
        <v>1</v>
      </c>
      <c r="K321" s="72">
        <v>62240</v>
      </c>
      <c r="L321" s="72" t="s">
        <v>2326</v>
      </c>
      <c r="M321" s="72" t="s">
        <v>1333</v>
      </c>
    </row>
    <row r="322" spans="1:13" x14ac:dyDescent="0.2">
      <c r="A322" s="72" t="s">
        <v>320</v>
      </c>
      <c r="B322" s="72" t="s">
        <v>65</v>
      </c>
      <c r="C322" s="72" t="s">
        <v>314</v>
      </c>
      <c r="D322" s="72" t="s">
        <v>32</v>
      </c>
      <c r="E322" s="72" t="s">
        <v>67</v>
      </c>
      <c r="F322" s="72">
        <v>231</v>
      </c>
      <c r="G322" s="72">
        <v>8</v>
      </c>
      <c r="H322" s="72">
        <v>480</v>
      </c>
      <c r="I322" s="72">
        <v>1</v>
      </c>
      <c r="J322" s="72">
        <v>1</v>
      </c>
      <c r="K322" s="72">
        <v>62240</v>
      </c>
      <c r="L322" s="72" t="s">
        <v>2326</v>
      </c>
      <c r="M322" s="72" t="s">
        <v>1659</v>
      </c>
    </row>
    <row r="323" spans="1:13" x14ac:dyDescent="0.2">
      <c r="A323" s="72" t="s">
        <v>321</v>
      </c>
      <c r="B323" s="72" t="s">
        <v>65</v>
      </c>
      <c r="C323" s="72" t="s">
        <v>314</v>
      </c>
      <c r="D323" s="72" t="s">
        <v>32</v>
      </c>
      <c r="E323" s="72" t="s">
        <v>67</v>
      </c>
      <c r="F323" s="72">
        <v>231</v>
      </c>
      <c r="G323" s="72">
        <v>8</v>
      </c>
      <c r="H323" s="72">
        <v>480</v>
      </c>
      <c r="I323" s="72">
        <v>1</v>
      </c>
      <c r="J323" s="72">
        <v>1</v>
      </c>
      <c r="K323" s="72">
        <v>62240</v>
      </c>
      <c r="L323" s="72" t="s">
        <v>2326</v>
      </c>
      <c r="M323" s="72" t="s">
        <v>1223</v>
      </c>
    </row>
    <row r="324" spans="1:13" x14ac:dyDescent="0.2">
      <c r="A324" s="72" t="s">
        <v>322</v>
      </c>
      <c r="B324" s="72" t="s">
        <v>65</v>
      </c>
      <c r="C324" s="72" t="s">
        <v>314</v>
      </c>
      <c r="D324" s="72" t="s">
        <v>32</v>
      </c>
      <c r="E324" s="72" t="s">
        <v>67</v>
      </c>
      <c r="F324" s="72">
        <v>231</v>
      </c>
      <c r="G324" s="72">
        <v>8</v>
      </c>
      <c r="H324" s="72">
        <v>480</v>
      </c>
      <c r="I324" s="72">
        <v>1</v>
      </c>
      <c r="J324" s="72">
        <v>1</v>
      </c>
      <c r="K324" s="72">
        <v>62240</v>
      </c>
      <c r="L324" s="72" t="s">
        <v>2326</v>
      </c>
      <c r="M324" s="72" t="s">
        <v>1075</v>
      </c>
    </row>
    <row r="325" spans="1:13" x14ac:dyDescent="0.2">
      <c r="A325" s="72" t="s">
        <v>323</v>
      </c>
      <c r="B325" s="72" t="s">
        <v>65</v>
      </c>
      <c r="C325" s="72" t="s">
        <v>314</v>
      </c>
      <c r="D325" s="72" t="s">
        <v>32</v>
      </c>
      <c r="E325" s="72" t="s">
        <v>67</v>
      </c>
      <c r="F325" s="72">
        <v>231</v>
      </c>
      <c r="G325" s="72">
        <v>8</v>
      </c>
      <c r="H325" s="72">
        <v>480</v>
      </c>
      <c r="I325" s="72">
        <v>1</v>
      </c>
      <c r="J325" s="72">
        <v>1</v>
      </c>
      <c r="K325" s="72">
        <v>62240</v>
      </c>
      <c r="L325" s="72" t="s">
        <v>2326</v>
      </c>
      <c r="M325" s="72" t="s">
        <v>1432</v>
      </c>
    </row>
    <row r="326" spans="1:13" x14ac:dyDescent="0.2">
      <c r="A326" s="72" t="s">
        <v>302</v>
      </c>
      <c r="B326" s="72" t="s">
        <v>65</v>
      </c>
      <c r="C326" s="72" t="s">
        <v>303</v>
      </c>
      <c r="D326" s="72" t="s">
        <v>32</v>
      </c>
      <c r="E326" s="72" t="s">
        <v>67</v>
      </c>
      <c r="F326" s="72">
        <v>231</v>
      </c>
      <c r="G326" s="72">
        <v>8</v>
      </c>
      <c r="H326" s="72">
        <v>480</v>
      </c>
      <c r="I326" s="72">
        <v>1</v>
      </c>
      <c r="J326" s="72">
        <v>1</v>
      </c>
      <c r="K326" s="72">
        <v>75928</v>
      </c>
      <c r="L326" s="72" t="s">
        <v>2326</v>
      </c>
      <c r="M326" s="72" t="s">
        <v>2393</v>
      </c>
    </row>
    <row r="327" spans="1:13" x14ac:dyDescent="0.2">
      <c r="A327" s="72" t="s">
        <v>304</v>
      </c>
      <c r="B327" s="72" t="s">
        <v>65</v>
      </c>
      <c r="C327" s="72" t="s">
        <v>303</v>
      </c>
      <c r="D327" s="72" t="s">
        <v>32</v>
      </c>
      <c r="E327" s="72" t="s">
        <v>67</v>
      </c>
      <c r="F327" s="72">
        <v>231</v>
      </c>
      <c r="G327" s="72">
        <v>8</v>
      </c>
      <c r="H327" s="72">
        <v>480</v>
      </c>
      <c r="I327" s="72">
        <v>1</v>
      </c>
      <c r="J327" s="72">
        <v>1</v>
      </c>
      <c r="K327" s="72">
        <v>75928</v>
      </c>
      <c r="L327" s="72" t="s">
        <v>2326</v>
      </c>
      <c r="M327" s="72" t="s">
        <v>1664</v>
      </c>
    </row>
    <row r="328" spans="1:13" x14ac:dyDescent="0.2">
      <c r="A328" s="72" t="s">
        <v>305</v>
      </c>
      <c r="B328" s="72" t="s">
        <v>65</v>
      </c>
      <c r="C328" s="72" t="s">
        <v>303</v>
      </c>
      <c r="D328" s="72" t="s">
        <v>32</v>
      </c>
      <c r="E328" s="72" t="s">
        <v>67</v>
      </c>
      <c r="F328" s="72">
        <v>231</v>
      </c>
      <c r="G328" s="72">
        <v>8</v>
      </c>
      <c r="H328" s="72">
        <v>480</v>
      </c>
      <c r="I328" s="72">
        <v>1</v>
      </c>
      <c r="J328" s="72">
        <v>1</v>
      </c>
      <c r="K328" s="72">
        <v>75928</v>
      </c>
      <c r="L328" s="72" t="s">
        <v>2326</v>
      </c>
      <c r="M328" s="72" t="s">
        <v>2394</v>
      </c>
    </row>
    <row r="329" spans="1:13" x14ac:dyDescent="0.2">
      <c r="A329" s="72" t="s">
        <v>306</v>
      </c>
      <c r="B329" s="72" t="s">
        <v>65</v>
      </c>
      <c r="C329" s="72" t="s">
        <v>303</v>
      </c>
      <c r="D329" s="72" t="s">
        <v>32</v>
      </c>
      <c r="E329" s="72" t="s">
        <v>67</v>
      </c>
      <c r="F329" s="72">
        <v>231</v>
      </c>
      <c r="G329" s="72">
        <v>8</v>
      </c>
      <c r="H329" s="72">
        <v>480</v>
      </c>
      <c r="I329" s="72">
        <v>1</v>
      </c>
      <c r="J329" s="72">
        <v>1</v>
      </c>
      <c r="K329" s="72">
        <v>75928</v>
      </c>
      <c r="L329" s="72" t="s">
        <v>2326</v>
      </c>
      <c r="M329" s="72" t="s">
        <v>1082</v>
      </c>
    </row>
    <row r="330" spans="1:13" x14ac:dyDescent="0.2">
      <c r="A330" s="72" t="s">
        <v>307</v>
      </c>
      <c r="B330" s="72" t="s">
        <v>65</v>
      </c>
      <c r="C330" s="72" t="s">
        <v>303</v>
      </c>
      <c r="D330" s="72" t="s">
        <v>32</v>
      </c>
      <c r="E330" s="72" t="s">
        <v>67</v>
      </c>
      <c r="F330" s="72">
        <v>231</v>
      </c>
      <c r="G330" s="72">
        <v>8</v>
      </c>
      <c r="H330" s="72">
        <v>480</v>
      </c>
      <c r="I330" s="72">
        <v>1</v>
      </c>
      <c r="J330" s="72">
        <v>1</v>
      </c>
      <c r="K330" s="72">
        <v>75928</v>
      </c>
      <c r="L330" s="72" t="s">
        <v>2326</v>
      </c>
      <c r="M330" s="72" t="s">
        <v>1480</v>
      </c>
    </row>
    <row r="331" spans="1:13" x14ac:dyDescent="0.2">
      <c r="A331" s="72" t="s">
        <v>308</v>
      </c>
      <c r="B331" s="72" t="s">
        <v>65</v>
      </c>
      <c r="C331" s="72" t="s">
        <v>303</v>
      </c>
      <c r="D331" s="72" t="s">
        <v>32</v>
      </c>
      <c r="E331" s="72" t="s">
        <v>67</v>
      </c>
      <c r="F331" s="72">
        <v>231</v>
      </c>
      <c r="G331" s="72">
        <v>8</v>
      </c>
      <c r="H331" s="72">
        <v>480</v>
      </c>
      <c r="I331" s="72">
        <v>1</v>
      </c>
      <c r="J331" s="72">
        <v>1</v>
      </c>
      <c r="K331" s="72">
        <v>75928</v>
      </c>
      <c r="L331" s="72" t="s">
        <v>2326</v>
      </c>
      <c r="M331" s="72" t="s">
        <v>1202</v>
      </c>
    </row>
    <row r="332" spans="1:13" x14ac:dyDescent="0.2">
      <c r="A332" s="72" t="s">
        <v>309</v>
      </c>
      <c r="B332" s="72" t="s">
        <v>65</v>
      </c>
      <c r="C332" s="72" t="s">
        <v>303</v>
      </c>
      <c r="D332" s="72" t="s">
        <v>32</v>
      </c>
      <c r="E332" s="72" t="s">
        <v>67</v>
      </c>
      <c r="F332" s="72">
        <v>231</v>
      </c>
      <c r="G332" s="72">
        <v>8</v>
      </c>
      <c r="H332" s="72">
        <v>480</v>
      </c>
      <c r="I332" s="72">
        <v>1</v>
      </c>
      <c r="J332" s="72">
        <v>1</v>
      </c>
      <c r="K332" s="72">
        <v>75928</v>
      </c>
      <c r="L332" s="72" t="s">
        <v>2326</v>
      </c>
      <c r="M332" s="72" t="s">
        <v>1604</v>
      </c>
    </row>
    <row r="333" spans="1:13" x14ac:dyDescent="0.2">
      <c r="A333" s="72" t="s">
        <v>310</v>
      </c>
      <c r="B333" s="72" t="s">
        <v>65</v>
      </c>
      <c r="C333" s="72" t="s">
        <v>303</v>
      </c>
      <c r="D333" s="72" t="s">
        <v>32</v>
      </c>
      <c r="E333" s="72" t="s">
        <v>67</v>
      </c>
      <c r="F333" s="72">
        <v>231</v>
      </c>
      <c r="G333" s="72">
        <v>8</v>
      </c>
      <c r="H333" s="72">
        <v>480</v>
      </c>
      <c r="I333" s="72">
        <v>1</v>
      </c>
      <c r="J333" s="72">
        <v>1</v>
      </c>
      <c r="K333" s="72">
        <v>75928</v>
      </c>
      <c r="L333" s="72" t="s">
        <v>2326</v>
      </c>
      <c r="M333" s="72" t="s">
        <v>1452</v>
      </c>
    </row>
    <row r="334" spans="1:13" x14ac:dyDescent="0.2">
      <c r="A334" s="72" t="s">
        <v>311</v>
      </c>
      <c r="B334" s="72" t="s">
        <v>65</v>
      </c>
      <c r="C334" s="72" t="s">
        <v>303</v>
      </c>
      <c r="D334" s="72" t="s">
        <v>32</v>
      </c>
      <c r="E334" s="72" t="s">
        <v>67</v>
      </c>
      <c r="F334" s="72">
        <v>231</v>
      </c>
      <c r="G334" s="72">
        <v>8</v>
      </c>
      <c r="H334" s="72">
        <v>480</v>
      </c>
      <c r="I334" s="72">
        <v>1</v>
      </c>
      <c r="J334" s="72">
        <v>1</v>
      </c>
      <c r="K334" s="72">
        <v>75928</v>
      </c>
      <c r="L334" s="72" t="s">
        <v>2326</v>
      </c>
      <c r="M334" s="72" t="s">
        <v>1729</v>
      </c>
    </row>
    <row r="335" spans="1:13" x14ac:dyDescent="0.2">
      <c r="A335" s="72" t="s">
        <v>312</v>
      </c>
      <c r="B335" s="72" t="s">
        <v>65</v>
      </c>
      <c r="C335" s="72" t="s">
        <v>303</v>
      </c>
      <c r="D335" s="72" t="s">
        <v>32</v>
      </c>
      <c r="E335" s="72" t="s">
        <v>67</v>
      </c>
      <c r="F335" s="72">
        <v>231</v>
      </c>
      <c r="G335" s="72">
        <v>8</v>
      </c>
      <c r="H335" s="72">
        <v>480</v>
      </c>
      <c r="I335" s="72">
        <v>1</v>
      </c>
      <c r="J335" s="72">
        <v>1</v>
      </c>
      <c r="K335" s="72">
        <v>75928</v>
      </c>
      <c r="L335" s="72" t="s">
        <v>2326</v>
      </c>
      <c r="M335" s="72" t="s">
        <v>1338</v>
      </c>
    </row>
    <row r="336" spans="1:13" x14ac:dyDescent="0.2">
      <c r="A336" s="72" t="s">
        <v>291</v>
      </c>
      <c r="B336" s="72" t="s">
        <v>65</v>
      </c>
      <c r="C336" s="72" t="s">
        <v>292</v>
      </c>
      <c r="D336" s="72" t="s">
        <v>32</v>
      </c>
      <c r="E336" s="72" t="s">
        <v>67</v>
      </c>
      <c r="F336" s="72">
        <v>231</v>
      </c>
      <c r="G336" s="72">
        <v>8</v>
      </c>
      <c r="H336" s="72">
        <v>480</v>
      </c>
      <c r="I336" s="72">
        <v>1</v>
      </c>
      <c r="J336" s="72">
        <v>1</v>
      </c>
      <c r="K336" s="72">
        <v>76074</v>
      </c>
      <c r="L336" s="72" t="s">
        <v>2326</v>
      </c>
      <c r="M336" s="72" t="s">
        <v>2395</v>
      </c>
    </row>
    <row r="337" spans="1:13" x14ac:dyDescent="0.2">
      <c r="A337" s="72" t="s">
        <v>293</v>
      </c>
      <c r="B337" s="72" t="s">
        <v>65</v>
      </c>
      <c r="C337" s="72" t="s">
        <v>292</v>
      </c>
      <c r="D337" s="72" t="s">
        <v>32</v>
      </c>
      <c r="E337" s="72" t="s">
        <v>67</v>
      </c>
      <c r="F337" s="72">
        <v>231</v>
      </c>
      <c r="G337" s="72">
        <v>8</v>
      </c>
      <c r="H337" s="72">
        <v>480</v>
      </c>
      <c r="I337" s="72">
        <v>1</v>
      </c>
      <c r="J337" s="72">
        <v>1</v>
      </c>
      <c r="K337" s="72">
        <v>76074</v>
      </c>
      <c r="L337" s="72" t="s">
        <v>2326</v>
      </c>
      <c r="M337" s="72" t="s">
        <v>1078</v>
      </c>
    </row>
    <row r="338" spans="1:13" x14ac:dyDescent="0.2">
      <c r="A338" s="72" t="s">
        <v>294</v>
      </c>
      <c r="B338" s="72" t="s">
        <v>65</v>
      </c>
      <c r="C338" s="72" t="s">
        <v>292</v>
      </c>
      <c r="D338" s="72" t="s">
        <v>32</v>
      </c>
      <c r="E338" s="72" t="s">
        <v>67</v>
      </c>
      <c r="F338" s="72">
        <v>231</v>
      </c>
      <c r="G338" s="72">
        <v>8</v>
      </c>
      <c r="H338" s="72">
        <v>480</v>
      </c>
      <c r="I338" s="72">
        <v>1</v>
      </c>
      <c r="J338" s="72">
        <v>1</v>
      </c>
      <c r="K338" s="72">
        <v>76074</v>
      </c>
      <c r="L338" s="72" t="s">
        <v>2326</v>
      </c>
      <c r="M338" s="72" t="s">
        <v>891</v>
      </c>
    </row>
    <row r="339" spans="1:13" x14ac:dyDescent="0.2">
      <c r="A339" s="72" t="s">
        <v>295</v>
      </c>
      <c r="B339" s="72" t="s">
        <v>65</v>
      </c>
      <c r="C339" s="72" t="s">
        <v>292</v>
      </c>
      <c r="D339" s="72" t="s">
        <v>32</v>
      </c>
      <c r="E339" s="72" t="s">
        <v>67</v>
      </c>
      <c r="F339" s="72">
        <v>231</v>
      </c>
      <c r="G339" s="72">
        <v>8</v>
      </c>
      <c r="H339" s="72">
        <v>480</v>
      </c>
      <c r="I339" s="72">
        <v>1</v>
      </c>
      <c r="J339" s="72">
        <v>1</v>
      </c>
      <c r="K339" s="72">
        <v>76074</v>
      </c>
      <c r="L339" s="72" t="s">
        <v>2326</v>
      </c>
      <c r="M339" s="72" t="s">
        <v>872</v>
      </c>
    </row>
    <row r="340" spans="1:13" x14ac:dyDescent="0.2">
      <c r="A340" s="72" t="s">
        <v>296</v>
      </c>
      <c r="B340" s="72" t="s">
        <v>65</v>
      </c>
      <c r="C340" s="72" t="s">
        <v>292</v>
      </c>
      <c r="D340" s="72" t="s">
        <v>32</v>
      </c>
      <c r="E340" s="72" t="s">
        <v>67</v>
      </c>
      <c r="F340" s="72">
        <v>231</v>
      </c>
      <c r="G340" s="72">
        <v>8</v>
      </c>
      <c r="H340" s="72">
        <v>480</v>
      </c>
      <c r="I340" s="72">
        <v>1</v>
      </c>
      <c r="J340" s="72">
        <v>1</v>
      </c>
      <c r="K340" s="72">
        <v>76074</v>
      </c>
      <c r="L340" s="72" t="s">
        <v>2326</v>
      </c>
      <c r="M340" s="72" t="s">
        <v>1252</v>
      </c>
    </row>
    <row r="341" spans="1:13" x14ac:dyDescent="0.2">
      <c r="A341" s="72" t="s">
        <v>297</v>
      </c>
      <c r="B341" s="72" t="s">
        <v>65</v>
      </c>
      <c r="C341" s="72" t="s">
        <v>292</v>
      </c>
      <c r="D341" s="72" t="s">
        <v>32</v>
      </c>
      <c r="E341" s="72" t="s">
        <v>67</v>
      </c>
      <c r="F341" s="72">
        <v>231</v>
      </c>
      <c r="G341" s="72">
        <v>8</v>
      </c>
      <c r="H341" s="72">
        <v>480</v>
      </c>
      <c r="I341" s="72">
        <v>1</v>
      </c>
      <c r="J341" s="72">
        <v>1</v>
      </c>
      <c r="K341" s="72">
        <v>76074</v>
      </c>
      <c r="L341" s="72" t="s">
        <v>2326</v>
      </c>
      <c r="M341" s="72" t="s">
        <v>1235</v>
      </c>
    </row>
    <row r="342" spans="1:13" x14ac:dyDescent="0.2">
      <c r="A342" s="72" t="s">
        <v>298</v>
      </c>
      <c r="B342" s="72" t="s">
        <v>65</v>
      </c>
      <c r="C342" s="72" t="s">
        <v>292</v>
      </c>
      <c r="D342" s="72" t="s">
        <v>32</v>
      </c>
      <c r="E342" s="72" t="s">
        <v>67</v>
      </c>
      <c r="F342" s="72">
        <v>231</v>
      </c>
      <c r="G342" s="72">
        <v>8</v>
      </c>
      <c r="H342" s="72">
        <v>480</v>
      </c>
      <c r="I342" s="72">
        <v>1</v>
      </c>
      <c r="J342" s="72">
        <v>1</v>
      </c>
      <c r="K342" s="72">
        <v>76074</v>
      </c>
      <c r="L342" s="72" t="s">
        <v>2326</v>
      </c>
      <c r="M342" s="72" t="s">
        <v>1027</v>
      </c>
    </row>
    <row r="343" spans="1:13" x14ac:dyDescent="0.2">
      <c r="A343" s="72" t="s">
        <v>299</v>
      </c>
      <c r="B343" s="72" t="s">
        <v>65</v>
      </c>
      <c r="C343" s="72" t="s">
        <v>292</v>
      </c>
      <c r="D343" s="72" t="s">
        <v>32</v>
      </c>
      <c r="E343" s="72" t="s">
        <v>67</v>
      </c>
      <c r="F343" s="72">
        <v>231</v>
      </c>
      <c r="G343" s="72">
        <v>8</v>
      </c>
      <c r="H343" s="72">
        <v>480</v>
      </c>
      <c r="I343" s="72">
        <v>1</v>
      </c>
      <c r="J343" s="72">
        <v>1</v>
      </c>
      <c r="K343" s="72">
        <v>76074</v>
      </c>
      <c r="L343" s="72" t="s">
        <v>2326</v>
      </c>
      <c r="M343" s="72" t="s">
        <v>903</v>
      </c>
    </row>
    <row r="344" spans="1:13" x14ac:dyDescent="0.2">
      <c r="A344" s="72" t="s">
        <v>300</v>
      </c>
      <c r="B344" s="72" t="s">
        <v>65</v>
      </c>
      <c r="C344" s="72" t="s">
        <v>292</v>
      </c>
      <c r="D344" s="72" t="s">
        <v>32</v>
      </c>
      <c r="E344" s="72" t="s">
        <v>67</v>
      </c>
      <c r="F344" s="72">
        <v>231</v>
      </c>
      <c r="G344" s="72">
        <v>8</v>
      </c>
      <c r="H344" s="72">
        <v>480</v>
      </c>
      <c r="I344" s="72">
        <v>1</v>
      </c>
      <c r="J344" s="72">
        <v>1</v>
      </c>
      <c r="K344" s="72">
        <v>76074</v>
      </c>
      <c r="L344" s="72" t="s">
        <v>2326</v>
      </c>
      <c r="M344" s="72" t="s">
        <v>885</v>
      </c>
    </row>
    <row r="345" spans="1:13" x14ac:dyDescent="0.2">
      <c r="A345" s="72" t="s">
        <v>301</v>
      </c>
      <c r="B345" s="72" t="s">
        <v>65</v>
      </c>
      <c r="C345" s="72" t="s">
        <v>292</v>
      </c>
      <c r="D345" s="72" t="s">
        <v>32</v>
      </c>
      <c r="E345" s="72" t="s">
        <v>67</v>
      </c>
      <c r="F345" s="72">
        <v>231</v>
      </c>
      <c r="G345" s="72">
        <v>8</v>
      </c>
      <c r="H345" s="72">
        <v>480</v>
      </c>
      <c r="I345" s="72">
        <v>1</v>
      </c>
      <c r="J345" s="72">
        <v>1</v>
      </c>
      <c r="K345" s="72">
        <v>76074</v>
      </c>
      <c r="L345" s="72" t="s">
        <v>2326</v>
      </c>
      <c r="M345" s="72" t="s">
        <v>1227</v>
      </c>
    </row>
    <row r="346" spans="1:13" x14ac:dyDescent="0.2">
      <c r="A346" s="72" t="s">
        <v>280</v>
      </c>
      <c r="B346" s="72" t="s">
        <v>65</v>
      </c>
      <c r="C346" s="72" t="s">
        <v>281</v>
      </c>
      <c r="D346" s="72" t="s">
        <v>32</v>
      </c>
      <c r="E346" s="72" t="s">
        <v>67</v>
      </c>
      <c r="F346" s="72">
        <v>231</v>
      </c>
      <c r="G346" s="72">
        <v>8</v>
      </c>
      <c r="H346" s="72">
        <v>480</v>
      </c>
      <c r="I346" s="72">
        <v>1</v>
      </c>
      <c r="J346" s="72">
        <v>1</v>
      </c>
      <c r="K346" s="72">
        <v>52218</v>
      </c>
      <c r="L346" s="72" t="s">
        <v>2326</v>
      </c>
      <c r="M346" s="72" t="s">
        <v>2396</v>
      </c>
    </row>
    <row r="347" spans="1:13" x14ac:dyDescent="0.2">
      <c r="A347" s="72" t="s">
        <v>282</v>
      </c>
      <c r="B347" s="72" t="s">
        <v>65</v>
      </c>
      <c r="C347" s="72" t="s">
        <v>281</v>
      </c>
      <c r="D347" s="72" t="s">
        <v>32</v>
      </c>
      <c r="E347" s="72" t="s">
        <v>67</v>
      </c>
      <c r="F347" s="72">
        <v>231</v>
      </c>
      <c r="G347" s="72">
        <v>8</v>
      </c>
      <c r="H347" s="72">
        <v>480</v>
      </c>
      <c r="I347" s="72">
        <v>1</v>
      </c>
      <c r="J347" s="72">
        <v>1</v>
      </c>
      <c r="K347" s="72">
        <v>52218</v>
      </c>
      <c r="L347" s="72" t="s">
        <v>2326</v>
      </c>
      <c r="M347" s="72" t="s">
        <v>1016</v>
      </c>
    </row>
    <row r="348" spans="1:13" x14ac:dyDescent="0.2">
      <c r="A348" s="72" t="s">
        <v>283</v>
      </c>
      <c r="B348" s="72" t="s">
        <v>65</v>
      </c>
      <c r="C348" s="72" t="s">
        <v>281</v>
      </c>
      <c r="D348" s="72" t="s">
        <v>32</v>
      </c>
      <c r="E348" s="72" t="s">
        <v>67</v>
      </c>
      <c r="F348" s="72">
        <v>231</v>
      </c>
      <c r="G348" s="72">
        <v>8</v>
      </c>
      <c r="H348" s="72">
        <v>480</v>
      </c>
      <c r="I348" s="72">
        <v>1</v>
      </c>
      <c r="J348" s="72">
        <v>1</v>
      </c>
      <c r="K348" s="72">
        <v>52218</v>
      </c>
      <c r="L348" s="72" t="s">
        <v>2326</v>
      </c>
      <c r="M348" s="72" t="s">
        <v>2397</v>
      </c>
    </row>
    <row r="349" spans="1:13" x14ac:dyDescent="0.2">
      <c r="A349" s="72" t="s">
        <v>284</v>
      </c>
      <c r="B349" s="72" t="s">
        <v>65</v>
      </c>
      <c r="C349" s="72" t="s">
        <v>281</v>
      </c>
      <c r="D349" s="72" t="s">
        <v>32</v>
      </c>
      <c r="E349" s="72" t="s">
        <v>67</v>
      </c>
      <c r="F349" s="72">
        <v>231</v>
      </c>
      <c r="G349" s="72">
        <v>8</v>
      </c>
      <c r="H349" s="72">
        <v>480</v>
      </c>
      <c r="I349" s="72">
        <v>1</v>
      </c>
      <c r="J349" s="72">
        <v>1</v>
      </c>
      <c r="K349" s="72">
        <v>52218</v>
      </c>
      <c r="L349" s="72" t="s">
        <v>2326</v>
      </c>
      <c r="M349" s="72" t="s">
        <v>1003</v>
      </c>
    </row>
    <row r="350" spans="1:13" x14ac:dyDescent="0.2">
      <c r="A350" s="72" t="s">
        <v>285</v>
      </c>
      <c r="B350" s="72" t="s">
        <v>65</v>
      </c>
      <c r="C350" s="72" t="s">
        <v>281</v>
      </c>
      <c r="D350" s="72" t="s">
        <v>32</v>
      </c>
      <c r="E350" s="72" t="s">
        <v>67</v>
      </c>
      <c r="F350" s="72">
        <v>231</v>
      </c>
      <c r="G350" s="72">
        <v>8</v>
      </c>
      <c r="H350" s="72">
        <v>480</v>
      </c>
      <c r="I350" s="72">
        <v>1</v>
      </c>
      <c r="J350" s="72">
        <v>1</v>
      </c>
      <c r="K350" s="72">
        <v>52218</v>
      </c>
      <c r="L350" s="72" t="s">
        <v>2326</v>
      </c>
      <c r="M350" s="72" t="s">
        <v>1408</v>
      </c>
    </row>
    <row r="351" spans="1:13" x14ac:dyDescent="0.2">
      <c r="A351" s="72" t="s">
        <v>286</v>
      </c>
      <c r="B351" s="72" t="s">
        <v>65</v>
      </c>
      <c r="C351" s="72" t="s">
        <v>281</v>
      </c>
      <c r="D351" s="72" t="s">
        <v>32</v>
      </c>
      <c r="E351" s="72" t="s">
        <v>67</v>
      </c>
      <c r="F351" s="72">
        <v>231</v>
      </c>
      <c r="G351" s="72">
        <v>8</v>
      </c>
      <c r="H351" s="72">
        <v>480</v>
      </c>
      <c r="I351" s="72">
        <v>1</v>
      </c>
      <c r="J351" s="72">
        <v>1</v>
      </c>
      <c r="K351" s="72">
        <v>52218</v>
      </c>
      <c r="L351" s="72" t="s">
        <v>2326</v>
      </c>
      <c r="M351" s="72" t="s">
        <v>1187</v>
      </c>
    </row>
    <row r="352" spans="1:13" x14ac:dyDescent="0.2">
      <c r="A352" s="72" t="s">
        <v>287</v>
      </c>
      <c r="B352" s="72" t="s">
        <v>65</v>
      </c>
      <c r="C352" s="72" t="s">
        <v>281</v>
      </c>
      <c r="D352" s="72" t="s">
        <v>32</v>
      </c>
      <c r="E352" s="72" t="s">
        <v>67</v>
      </c>
      <c r="F352" s="72">
        <v>231</v>
      </c>
      <c r="G352" s="72">
        <v>8</v>
      </c>
      <c r="H352" s="72">
        <v>480</v>
      </c>
      <c r="I352" s="72">
        <v>1</v>
      </c>
      <c r="J352" s="72">
        <v>1</v>
      </c>
      <c r="K352" s="72">
        <v>52218</v>
      </c>
      <c r="L352" s="72" t="s">
        <v>2326</v>
      </c>
      <c r="M352" s="72" t="s">
        <v>1583</v>
      </c>
    </row>
    <row r="353" spans="1:13" x14ac:dyDescent="0.2">
      <c r="A353" s="72" t="s">
        <v>288</v>
      </c>
      <c r="B353" s="72" t="s">
        <v>65</v>
      </c>
      <c r="C353" s="72" t="s">
        <v>281</v>
      </c>
      <c r="D353" s="72" t="s">
        <v>32</v>
      </c>
      <c r="E353" s="72" t="s">
        <v>67</v>
      </c>
      <c r="F353" s="72">
        <v>231</v>
      </c>
      <c r="G353" s="72">
        <v>8</v>
      </c>
      <c r="H353" s="72">
        <v>480</v>
      </c>
      <c r="I353" s="72">
        <v>1</v>
      </c>
      <c r="J353" s="72">
        <v>1</v>
      </c>
      <c r="K353" s="72">
        <v>52218</v>
      </c>
      <c r="L353" s="72" t="s">
        <v>2326</v>
      </c>
      <c r="M353" s="72" t="s">
        <v>1277</v>
      </c>
    </row>
    <row r="354" spans="1:13" x14ac:dyDescent="0.2">
      <c r="A354" s="72" t="s">
        <v>289</v>
      </c>
      <c r="B354" s="72" t="s">
        <v>65</v>
      </c>
      <c r="C354" s="72" t="s">
        <v>281</v>
      </c>
      <c r="D354" s="72" t="s">
        <v>32</v>
      </c>
      <c r="E354" s="72" t="s">
        <v>67</v>
      </c>
      <c r="F354" s="72">
        <v>231</v>
      </c>
      <c r="G354" s="72">
        <v>8</v>
      </c>
      <c r="H354" s="72">
        <v>480</v>
      </c>
      <c r="I354" s="72">
        <v>1</v>
      </c>
      <c r="J354" s="72">
        <v>1</v>
      </c>
      <c r="K354" s="72">
        <v>52218</v>
      </c>
      <c r="L354" s="72" t="s">
        <v>2326</v>
      </c>
      <c r="M354" s="72" t="s">
        <v>924</v>
      </c>
    </row>
    <row r="355" spans="1:13" x14ac:dyDescent="0.2">
      <c r="A355" s="72" t="s">
        <v>290</v>
      </c>
      <c r="B355" s="72" t="s">
        <v>65</v>
      </c>
      <c r="C355" s="72" t="s">
        <v>281</v>
      </c>
      <c r="D355" s="72" t="s">
        <v>32</v>
      </c>
      <c r="E355" s="72" t="s">
        <v>67</v>
      </c>
      <c r="F355" s="72">
        <v>231</v>
      </c>
      <c r="G355" s="72">
        <v>8</v>
      </c>
      <c r="H355" s="72">
        <v>480</v>
      </c>
      <c r="I355" s="72">
        <v>1</v>
      </c>
      <c r="J355" s="72">
        <v>1</v>
      </c>
      <c r="K355" s="72">
        <v>52218</v>
      </c>
      <c r="L355" s="72" t="s">
        <v>2326</v>
      </c>
      <c r="M355" s="72" t="s">
        <v>1307</v>
      </c>
    </row>
    <row r="356" spans="1:13" x14ac:dyDescent="0.2">
      <c r="A356" s="72" t="s">
        <v>269</v>
      </c>
      <c r="B356" s="72" t="s">
        <v>65</v>
      </c>
      <c r="C356" s="72" t="s">
        <v>270</v>
      </c>
      <c r="D356" s="72" t="s">
        <v>32</v>
      </c>
      <c r="E356" s="72" t="s">
        <v>67</v>
      </c>
      <c r="F356" s="72">
        <v>231</v>
      </c>
      <c r="G356" s="72">
        <v>8</v>
      </c>
      <c r="H356" s="72">
        <v>480</v>
      </c>
      <c r="I356" s="72">
        <v>1</v>
      </c>
      <c r="J356" s="72">
        <v>1</v>
      </c>
      <c r="K356" s="72">
        <v>52185</v>
      </c>
      <c r="L356" s="72" t="s">
        <v>2326</v>
      </c>
      <c r="M356" s="72" t="s">
        <v>2398</v>
      </c>
    </row>
    <row r="357" spans="1:13" x14ac:dyDescent="0.2">
      <c r="A357" s="72" t="s">
        <v>271</v>
      </c>
      <c r="B357" s="72" t="s">
        <v>65</v>
      </c>
      <c r="C357" s="72" t="s">
        <v>270</v>
      </c>
      <c r="D357" s="72" t="s">
        <v>32</v>
      </c>
      <c r="E357" s="72" t="s">
        <v>67</v>
      </c>
      <c r="F357" s="72">
        <v>231</v>
      </c>
      <c r="G357" s="72">
        <v>8</v>
      </c>
      <c r="H357" s="72">
        <v>480</v>
      </c>
      <c r="I357" s="72">
        <v>1</v>
      </c>
      <c r="J357" s="72">
        <v>1</v>
      </c>
      <c r="K357" s="72">
        <v>52185</v>
      </c>
      <c r="L357" s="72" t="s">
        <v>2326</v>
      </c>
      <c r="M357" s="72" t="s">
        <v>1310</v>
      </c>
    </row>
    <row r="358" spans="1:13" x14ac:dyDescent="0.2">
      <c r="A358" s="72" t="s">
        <v>272</v>
      </c>
      <c r="B358" s="72" t="s">
        <v>65</v>
      </c>
      <c r="C358" s="72" t="s">
        <v>270</v>
      </c>
      <c r="D358" s="72" t="s">
        <v>32</v>
      </c>
      <c r="E358" s="72" t="s">
        <v>67</v>
      </c>
      <c r="F358" s="72">
        <v>231</v>
      </c>
      <c r="G358" s="72">
        <v>8</v>
      </c>
      <c r="H358" s="72">
        <v>480</v>
      </c>
      <c r="I358" s="72">
        <v>1</v>
      </c>
      <c r="J358" s="72">
        <v>1</v>
      </c>
      <c r="K358" s="72">
        <v>52185</v>
      </c>
      <c r="L358" s="72" t="s">
        <v>2326</v>
      </c>
      <c r="M358" s="72" t="s">
        <v>913</v>
      </c>
    </row>
    <row r="359" spans="1:13" x14ac:dyDescent="0.2">
      <c r="A359" s="72" t="s">
        <v>273</v>
      </c>
      <c r="B359" s="72" t="s">
        <v>65</v>
      </c>
      <c r="C359" s="72" t="s">
        <v>270</v>
      </c>
      <c r="D359" s="72" t="s">
        <v>32</v>
      </c>
      <c r="E359" s="72" t="s">
        <v>67</v>
      </c>
      <c r="F359" s="72">
        <v>231</v>
      </c>
      <c r="G359" s="72">
        <v>8</v>
      </c>
      <c r="H359" s="72">
        <v>480</v>
      </c>
      <c r="I359" s="72">
        <v>1</v>
      </c>
      <c r="J359" s="72">
        <v>1</v>
      </c>
      <c r="K359" s="72">
        <v>52185</v>
      </c>
      <c r="L359" s="72" t="s">
        <v>2326</v>
      </c>
      <c r="M359" s="72" t="s">
        <v>1297</v>
      </c>
    </row>
    <row r="360" spans="1:13" x14ac:dyDescent="0.2">
      <c r="A360" s="72" t="s">
        <v>274</v>
      </c>
      <c r="B360" s="72" t="s">
        <v>65</v>
      </c>
      <c r="C360" s="72" t="s">
        <v>270</v>
      </c>
      <c r="D360" s="72" t="s">
        <v>32</v>
      </c>
      <c r="E360" s="72" t="s">
        <v>67</v>
      </c>
      <c r="F360" s="72">
        <v>231</v>
      </c>
      <c r="G360" s="72">
        <v>8</v>
      </c>
      <c r="H360" s="72">
        <v>480</v>
      </c>
      <c r="I360" s="72">
        <v>1</v>
      </c>
      <c r="J360" s="72">
        <v>1</v>
      </c>
      <c r="K360" s="72">
        <v>52185</v>
      </c>
      <c r="L360" s="72" t="s">
        <v>2326</v>
      </c>
      <c r="M360" s="72" t="s">
        <v>1006</v>
      </c>
    </row>
    <row r="361" spans="1:13" x14ac:dyDescent="0.2">
      <c r="A361" s="72" t="s">
        <v>275</v>
      </c>
      <c r="B361" s="72" t="s">
        <v>65</v>
      </c>
      <c r="C361" s="72" t="s">
        <v>270</v>
      </c>
      <c r="D361" s="72" t="s">
        <v>32</v>
      </c>
      <c r="E361" s="72" t="s">
        <v>67</v>
      </c>
      <c r="F361" s="72">
        <v>231</v>
      </c>
      <c r="G361" s="72">
        <v>8</v>
      </c>
      <c r="H361" s="72">
        <v>480</v>
      </c>
      <c r="I361" s="72">
        <v>1</v>
      </c>
      <c r="J361" s="72">
        <v>1</v>
      </c>
      <c r="K361" s="72">
        <v>52185</v>
      </c>
      <c r="L361" s="72" t="s">
        <v>2326</v>
      </c>
      <c r="M361" s="72" t="s">
        <v>1411</v>
      </c>
    </row>
    <row r="362" spans="1:13" x14ac:dyDescent="0.2">
      <c r="A362" s="72" t="s">
        <v>276</v>
      </c>
      <c r="B362" s="72" t="s">
        <v>65</v>
      </c>
      <c r="C362" s="72" t="s">
        <v>270</v>
      </c>
      <c r="D362" s="72" t="s">
        <v>32</v>
      </c>
      <c r="E362" s="72" t="s">
        <v>67</v>
      </c>
      <c r="F362" s="72">
        <v>231</v>
      </c>
      <c r="G362" s="72">
        <v>8</v>
      </c>
      <c r="H362" s="72">
        <v>480</v>
      </c>
      <c r="I362" s="72">
        <v>1</v>
      </c>
      <c r="J362" s="72">
        <v>1</v>
      </c>
      <c r="K362" s="72">
        <v>52185</v>
      </c>
      <c r="L362" s="72" t="s">
        <v>2326</v>
      </c>
      <c r="M362" s="72" t="s">
        <v>1190</v>
      </c>
    </row>
    <row r="363" spans="1:13" x14ac:dyDescent="0.2">
      <c r="A363" s="72" t="s">
        <v>277</v>
      </c>
      <c r="B363" s="72" t="s">
        <v>65</v>
      </c>
      <c r="C363" s="72" t="s">
        <v>270</v>
      </c>
      <c r="D363" s="72" t="s">
        <v>32</v>
      </c>
      <c r="E363" s="72" t="s">
        <v>67</v>
      </c>
      <c r="F363" s="72">
        <v>231</v>
      </c>
      <c r="G363" s="72">
        <v>8</v>
      </c>
      <c r="H363" s="72">
        <v>480</v>
      </c>
      <c r="I363" s="72">
        <v>1</v>
      </c>
      <c r="J363" s="72">
        <v>1</v>
      </c>
      <c r="K363" s="72">
        <v>52185</v>
      </c>
      <c r="L363" s="72" t="s">
        <v>2326</v>
      </c>
      <c r="M363" s="72" t="s">
        <v>1586</v>
      </c>
    </row>
    <row r="364" spans="1:13" x14ac:dyDescent="0.2">
      <c r="A364" s="72" t="s">
        <v>278</v>
      </c>
      <c r="B364" s="72" t="s">
        <v>65</v>
      </c>
      <c r="C364" s="72" t="s">
        <v>270</v>
      </c>
      <c r="D364" s="72" t="s">
        <v>32</v>
      </c>
      <c r="E364" s="72" t="s">
        <v>67</v>
      </c>
      <c r="F364" s="72">
        <v>231</v>
      </c>
      <c r="G364" s="72">
        <v>8</v>
      </c>
      <c r="H364" s="72">
        <v>480</v>
      </c>
      <c r="I364" s="72">
        <v>1</v>
      </c>
      <c r="J364" s="72">
        <v>1</v>
      </c>
      <c r="K364" s="72">
        <v>52185</v>
      </c>
      <c r="L364" s="72" t="s">
        <v>2326</v>
      </c>
      <c r="M364" s="72" t="s">
        <v>1280</v>
      </c>
    </row>
    <row r="365" spans="1:13" x14ac:dyDescent="0.2">
      <c r="A365" s="72" t="s">
        <v>279</v>
      </c>
      <c r="B365" s="72" t="s">
        <v>65</v>
      </c>
      <c r="C365" s="72" t="s">
        <v>270</v>
      </c>
      <c r="D365" s="72" t="s">
        <v>32</v>
      </c>
      <c r="E365" s="72" t="s">
        <v>67</v>
      </c>
      <c r="F365" s="72">
        <v>231</v>
      </c>
      <c r="G365" s="72">
        <v>8</v>
      </c>
      <c r="H365" s="72">
        <v>480</v>
      </c>
      <c r="I365" s="72">
        <v>1</v>
      </c>
      <c r="J365" s="72">
        <v>1</v>
      </c>
      <c r="K365" s="72">
        <v>52185</v>
      </c>
      <c r="L365" s="72" t="s">
        <v>2326</v>
      </c>
      <c r="M365" s="72" t="s">
        <v>927</v>
      </c>
    </row>
    <row r="366" spans="1:13" x14ac:dyDescent="0.2">
      <c r="A366" s="72" t="s">
        <v>267</v>
      </c>
      <c r="B366" s="72" t="s">
        <v>65</v>
      </c>
      <c r="C366" s="72" t="s">
        <v>268</v>
      </c>
      <c r="D366" s="72" t="s">
        <v>32</v>
      </c>
      <c r="E366" s="72" t="s">
        <v>67</v>
      </c>
      <c r="F366" s="72">
        <v>231</v>
      </c>
      <c r="G366" s="72">
        <v>8</v>
      </c>
      <c r="H366" s="72">
        <v>480</v>
      </c>
      <c r="I366" s="72">
        <v>1</v>
      </c>
      <c r="J366" s="72">
        <v>1</v>
      </c>
      <c r="K366" s="72">
        <v>53243</v>
      </c>
      <c r="L366" s="72" t="s">
        <v>2326</v>
      </c>
      <c r="M366" s="72" t="s">
        <v>2399</v>
      </c>
    </row>
    <row r="367" spans="1:13" x14ac:dyDescent="0.2">
      <c r="A367" s="72" t="s">
        <v>265</v>
      </c>
      <c r="B367" s="72" t="s">
        <v>65</v>
      </c>
      <c r="C367" s="72" t="s">
        <v>266</v>
      </c>
      <c r="D367" s="72" t="s">
        <v>32</v>
      </c>
      <c r="E367" s="72" t="s">
        <v>67</v>
      </c>
      <c r="F367" s="72">
        <v>231</v>
      </c>
      <c r="G367" s="72">
        <v>8</v>
      </c>
      <c r="H367" s="72">
        <v>480</v>
      </c>
      <c r="I367" s="72">
        <v>1</v>
      </c>
      <c r="J367" s="72">
        <v>1</v>
      </c>
      <c r="K367" s="72">
        <v>52185</v>
      </c>
      <c r="L367" s="72" t="s">
        <v>2326</v>
      </c>
      <c r="M367" s="72" t="s">
        <v>2400</v>
      </c>
    </row>
    <row r="368" spans="1:13" x14ac:dyDescent="0.2">
      <c r="A368" s="72" t="s">
        <v>254</v>
      </c>
      <c r="B368" s="72" t="s">
        <v>65</v>
      </c>
      <c r="C368" s="72" t="s">
        <v>255</v>
      </c>
      <c r="D368" s="72" t="s">
        <v>32</v>
      </c>
      <c r="E368" s="72" t="s">
        <v>67</v>
      </c>
      <c r="F368" s="72">
        <v>231</v>
      </c>
      <c r="G368" s="72">
        <v>8</v>
      </c>
      <c r="H368" s="72">
        <v>480</v>
      </c>
      <c r="I368" s="72">
        <v>1</v>
      </c>
      <c r="J368" s="72">
        <v>1</v>
      </c>
      <c r="K368" s="72">
        <v>52218</v>
      </c>
      <c r="L368" s="72" t="s">
        <v>2326</v>
      </c>
      <c r="M368" s="72" t="s">
        <v>2401</v>
      </c>
    </row>
    <row r="369" spans="1:13" x14ac:dyDescent="0.2">
      <c r="A369" s="72" t="s">
        <v>256</v>
      </c>
      <c r="B369" s="72" t="s">
        <v>65</v>
      </c>
      <c r="C369" s="72" t="s">
        <v>255</v>
      </c>
      <c r="D369" s="72" t="s">
        <v>32</v>
      </c>
      <c r="E369" s="72" t="s">
        <v>67</v>
      </c>
      <c r="F369" s="72">
        <v>231</v>
      </c>
      <c r="G369" s="72">
        <v>8</v>
      </c>
      <c r="H369" s="72">
        <v>480</v>
      </c>
      <c r="I369" s="72">
        <v>1</v>
      </c>
      <c r="J369" s="72">
        <v>1</v>
      </c>
      <c r="K369" s="72">
        <v>52218</v>
      </c>
      <c r="L369" s="72" t="s">
        <v>2326</v>
      </c>
      <c r="M369" s="72" t="s">
        <v>1284</v>
      </c>
    </row>
    <row r="370" spans="1:13" x14ac:dyDescent="0.2">
      <c r="A370" s="72" t="s">
        <v>257</v>
      </c>
      <c r="B370" s="72" t="s">
        <v>65</v>
      </c>
      <c r="C370" s="72" t="s">
        <v>255</v>
      </c>
      <c r="D370" s="72" t="s">
        <v>32</v>
      </c>
      <c r="E370" s="72" t="s">
        <v>67</v>
      </c>
      <c r="F370" s="72">
        <v>231</v>
      </c>
      <c r="G370" s="72">
        <v>8</v>
      </c>
      <c r="H370" s="72">
        <v>480</v>
      </c>
      <c r="I370" s="72">
        <v>1</v>
      </c>
      <c r="J370" s="72">
        <v>1</v>
      </c>
      <c r="K370" s="72">
        <v>52218</v>
      </c>
      <c r="L370" s="72" t="s">
        <v>2326</v>
      </c>
      <c r="M370" s="72" t="s">
        <v>2402</v>
      </c>
    </row>
    <row r="371" spans="1:13" x14ac:dyDescent="0.2">
      <c r="A371" s="72" t="s">
        <v>258</v>
      </c>
      <c r="B371" s="72" t="s">
        <v>65</v>
      </c>
      <c r="C371" s="72" t="s">
        <v>255</v>
      </c>
      <c r="D371" s="72" t="s">
        <v>32</v>
      </c>
      <c r="E371" s="72" t="s">
        <v>67</v>
      </c>
      <c r="F371" s="72">
        <v>231</v>
      </c>
      <c r="G371" s="72">
        <v>8</v>
      </c>
      <c r="H371" s="72">
        <v>480</v>
      </c>
      <c r="I371" s="72">
        <v>1</v>
      </c>
      <c r="J371" s="72">
        <v>1</v>
      </c>
      <c r="K371" s="72">
        <v>52218</v>
      </c>
      <c r="L371" s="72" t="s">
        <v>2326</v>
      </c>
      <c r="M371" s="72" t="s">
        <v>1271</v>
      </c>
    </row>
    <row r="372" spans="1:13" x14ac:dyDescent="0.2">
      <c r="A372" s="72" t="s">
        <v>259</v>
      </c>
      <c r="B372" s="72" t="s">
        <v>65</v>
      </c>
      <c r="C372" s="72" t="s">
        <v>255</v>
      </c>
      <c r="D372" s="72" t="s">
        <v>32</v>
      </c>
      <c r="E372" s="72" t="s">
        <v>67</v>
      </c>
      <c r="F372" s="72">
        <v>231</v>
      </c>
      <c r="G372" s="72">
        <v>8</v>
      </c>
      <c r="H372" s="72">
        <v>480</v>
      </c>
      <c r="I372" s="72">
        <v>1</v>
      </c>
      <c r="J372" s="72">
        <v>1</v>
      </c>
      <c r="K372" s="72">
        <v>52218</v>
      </c>
      <c r="L372" s="72" t="s">
        <v>2326</v>
      </c>
      <c r="M372" s="72" t="s">
        <v>918</v>
      </c>
    </row>
    <row r="373" spans="1:13" x14ac:dyDescent="0.2">
      <c r="A373" s="72" t="s">
        <v>260</v>
      </c>
      <c r="B373" s="72" t="s">
        <v>65</v>
      </c>
      <c r="C373" s="72" t="s">
        <v>255</v>
      </c>
      <c r="D373" s="72" t="s">
        <v>32</v>
      </c>
      <c r="E373" s="72" t="s">
        <v>67</v>
      </c>
      <c r="F373" s="72">
        <v>231</v>
      </c>
      <c r="G373" s="72">
        <v>8</v>
      </c>
      <c r="H373" s="72">
        <v>480</v>
      </c>
      <c r="I373" s="72">
        <v>1</v>
      </c>
      <c r="J373" s="72">
        <v>1</v>
      </c>
      <c r="K373" s="72">
        <v>52218</v>
      </c>
      <c r="L373" s="72" t="s">
        <v>2326</v>
      </c>
      <c r="M373" s="72" t="s">
        <v>1301</v>
      </c>
    </row>
    <row r="374" spans="1:13" x14ac:dyDescent="0.2">
      <c r="A374" s="72" t="s">
        <v>261</v>
      </c>
      <c r="B374" s="72" t="s">
        <v>65</v>
      </c>
      <c r="C374" s="72" t="s">
        <v>255</v>
      </c>
      <c r="D374" s="72" t="s">
        <v>32</v>
      </c>
      <c r="E374" s="72" t="s">
        <v>67</v>
      </c>
      <c r="F374" s="72">
        <v>231</v>
      </c>
      <c r="G374" s="72">
        <v>8</v>
      </c>
      <c r="H374" s="72">
        <v>480</v>
      </c>
      <c r="I374" s="72">
        <v>1</v>
      </c>
      <c r="J374" s="72">
        <v>1</v>
      </c>
      <c r="K374" s="72">
        <v>52218</v>
      </c>
      <c r="L374" s="72" t="s">
        <v>2326</v>
      </c>
      <c r="M374" s="72" t="s">
        <v>1010</v>
      </c>
    </row>
    <row r="375" spans="1:13" x14ac:dyDescent="0.2">
      <c r="A375" s="72" t="s">
        <v>262</v>
      </c>
      <c r="B375" s="72" t="s">
        <v>65</v>
      </c>
      <c r="C375" s="72" t="s">
        <v>255</v>
      </c>
      <c r="D375" s="72" t="s">
        <v>32</v>
      </c>
      <c r="E375" s="72" t="s">
        <v>67</v>
      </c>
      <c r="F375" s="72">
        <v>231</v>
      </c>
      <c r="G375" s="72">
        <v>8</v>
      </c>
      <c r="H375" s="72">
        <v>480</v>
      </c>
      <c r="I375" s="72">
        <v>1</v>
      </c>
      <c r="J375" s="72">
        <v>1</v>
      </c>
      <c r="K375" s="72">
        <v>52218</v>
      </c>
      <c r="L375" s="72" t="s">
        <v>2326</v>
      </c>
      <c r="M375" s="72" t="s">
        <v>1415</v>
      </c>
    </row>
    <row r="376" spans="1:13" x14ac:dyDescent="0.2">
      <c r="A376" s="72" t="s">
        <v>263</v>
      </c>
      <c r="B376" s="72" t="s">
        <v>65</v>
      </c>
      <c r="C376" s="72" t="s">
        <v>255</v>
      </c>
      <c r="D376" s="72" t="s">
        <v>32</v>
      </c>
      <c r="E376" s="72" t="s">
        <v>67</v>
      </c>
      <c r="F376" s="72">
        <v>231</v>
      </c>
      <c r="G376" s="72">
        <v>8</v>
      </c>
      <c r="H376" s="72">
        <v>480</v>
      </c>
      <c r="I376" s="72">
        <v>1</v>
      </c>
      <c r="J376" s="72">
        <v>1</v>
      </c>
      <c r="K376" s="72">
        <v>52218</v>
      </c>
      <c r="L376" s="72" t="s">
        <v>2326</v>
      </c>
      <c r="M376" s="72" t="s">
        <v>1194</v>
      </c>
    </row>
    <row r="377" spans="1:13" x14ac:dyDescent="0.2">
      <c r="A377" s="72" t="s">
        <v>264</v>
      </c>
      <c r="B377" s="72" t="s">
        <v>65</v>
      </c>
      <c r="C377" s="72" t="s">
        <v>255</v>
      </c>
      <c r="D377" s="72" t="s">
        <v>32</v>
      </c>
      <c r="E377" s="72" t="s">
        <v>67</v>
      </c>
      <c r="F377" s="72">
        <v>231</v>
      </c>
      <c r="G377" s="72">
        <v>8</v>
      </c>
      <c r="H377" s="72">
        <v>480</v>
      </c>
      <c r="I377" s="72">
        <v>1</v>
      </c>
      <c r="J377" s="72">
        <v>1</v>
      </c>
      <c r="K377" s="72">
        <v>52218</v>
      </c>
      <c r="L377" s="72" t="s">
        <v>2326</v>
      </c>
      <c r="M377" s="72" t="s">
        <v>1590</v>
      </c>
    </row>
    <row r="378" spans="1:13" x14ac:dyDescent="0.2">
      <c r="A378" s="72" t="s">
        <v>243</v>
      </c>
      <c r="B378" s="72" t="s">
        <v>65</v>
      </c>
      <c r="C378" s="72" t="s">
        <v>244</v>
      </c>
      <c r="D378" s="72" t="s">
        <v>32</v>
      </c>
      <c r="E378" s="72" t="s">
        <v>67</v>
      </c>
      <c r="F378" s="72">
        <v>231</v>
      </c>
      <c r="G378" s="72">
        <v>8</v>
      </c>
      <c r="H378" s="72">
        <v>480</v>
      </c>
      <c r="I378" s="72">
        <v>1</v>
      </c>
      <c r="J378" s="72">
        <v>1</v>
      </c>
      <c r="K378" s="72">
        <v>52185</v>
      </c>
      <c r="L378" s="72" t="s">
        <v>2326</v>
      </c>
      <c r="M378" s="72" t="s">
        <v>2403</v>
      </c>
    </row>
    <row r="379" spans="1:13" x14ac:dyDescent="0.2">
      <c r="A379" s="72" t="s">
        <v>245</v>
      </c>
      <c r="B379" s="72" t="s">
        <v>65</v>
      </c>
      <c r="C379" s="72" t="s">
        <v>244</v>
      </c>
      <c r="D379" s="72" t="s">
        <v>32</v>
      </c>
      <c r="E379" s="72" t="s">
        <v>67</v>
      </c>
      <c r="F379" s="72">
        <v>231</v>
      </c>
      <c r="G379" s="72">
        <v>8</v>
      </c>
      <c r="H379" s="72">
        <v>480</v>
      </c>
      <c r="I379" s="72">
        <v>1</v>
      </c>
      <c r="J379" s="72">
        <v>1</v>
      </c>
      <c r="K379" s="72">
        <v>52185</v>
      </c>
      <c r="L379" s="72" t="s">
        <v>2326</v>
      </c>
      <c r="M379" s="72" t="s">
        <v>1197</v>
      </c>
    </row>
    <row r="380" spans="1:13" x14ac:dyDescent="0.2">
      <c r="A380" s="72" t="s">
        <v>246</v>
      </c>
      <c r="B380" s="72" t="s">
        <v>65</v>
      </c>
      <c r="C380" s="72" t="s">
        <v>244</v>
      </c>
      <c r="D380" s="72" t="s">
        <v>32</v>
      </c>
      <c r="E380" s="72" t="s">
        <v>67</v>
      </c>
      <c r="F380" s="72">
        <v>231</v>
      </c>
      <c r="G380" s="72">
        <v>8</v>
      </c>
      <c r="H380" s="72">
        <v>480</v>
      </c>
      <c r="I380" s="72">
        <v>1</v>
      </c>
      <c r="J380" s="72">
        <v>1</v>
      </c>
      <c r="K380" s="72">
        <v>52185</v>
      </c>
      <c r="L380" s="72" t="s">
        <v>2326</v>
      </c>
      <c r="M380" s="72" t="s">
        <v>2404</v>
      </c>
    </row>
    <row r="381" spans="1:13" x14ac:dyDescent="0.2">
      <c r="A381" s="72" t="s">
        <v>247</v>
      </c>
      <c r="B381" s="72" t="s">
        <v>65</v>
      </c>
      <c r="C381" s="72" t="s">
        <v>244</v>
      </c>
      <c r="D381" s="72" t="s">
        <v>32</v>
      </c>
      <c r="E381" s="72" t="s">
        <v>67</v>
      </c>
      <c r="F381" s="72">
        <v>231</v>
      </c>
      <c r="G381" s="72">
        <v>8</v>
      </c>
      <c r="H381" s="72">
        <v>480</v>
      </c>
      <c r="I381" s="72">
        <v>1</v>
      </c>
      <c r="J381" s="72">
        <v>1</v>
      </c>
      <c r="K381" s="72">
        <v>52185</v>
      </c>
      <c r="L381" s="72" t="s">
        <v>2326</v>
      </c>
      <c r="M381" s="72" t="s">
        <v>1184</v>
      </c>
    </row>
    <row r="382" spans="1:13" x14ac:dyDescent="0.2">
      <c r="A382" s="72" t="s">
        <v>248</v>
      </c>
      <c r="B382" s="72" t="s">
        <v>65</v>
      </c>
      <c r="C382" s="72" t="s">
        <v>244</v>
      </c>
      <c r="D382" s="72" t="s">
        <v>32</v>
      </c>
      <c r="E382" s="72" t="s">
        <v>67</v>
      </c>
      <c r="F382" s="72">
        <v>231</v>
      </c>
      <c r="G382" s="72">
        <v>8</v>
      </c>
      <c r="H382" s="72">
        <v>480</v>
      </c>
      <c r="I382" s="72">
        <v>1</v>
      </c>
      <c r="J382" s="72">
        <v>1</v>
      </c>
      <c r="K382" s="72">
        <v>52185</v>
      </c>
      <c r="L382" s="72" t="s">
        <v>2326</v>
      </c>
      <c r="M382" s="72" t="s">
        <v>1580</v>
      </c>
    </row>
    <row r="383" spans="1:13" x14ac:dyDescent="0.2">
      <c r="A383" s="72" t="s">
        <v>249</v>
      </c>
      <c r="B383" s="72" t="s">
        <v>65</v>
      </c>
      <c r="C383" s="72" t="s">
        <v>244</v>
      </c>
      <c r="D383" s="72" t="s">
        <v>32</v>
      </c>
      <c r="E383" s="72" t="s">
        <v>67</v>
      </c>
      <c r="F383" s="72">
        <v>231</v>
      </c>
      <c r="G383" s="72">
        <v>8</v>
      </c>
      <c r="H383" s="72">
        <v>480</v>
      </c>
      <c r="I383" s="72">
        <v>1</v>
      </c>
      <c r="J383" s="72">
        <v>1</v>
      </c>
      <c r="K383" s="72">
        <v>52185</v>
      </c>
      <c r="L383" s="72" t="s">
        <v>2326</v>
      </c>
      <c r="M383" s="72" t="s">
        <v>1274</v>
      </c>
    </row>
    <row r="384" spans="1:13" x14ac:dyDescent="0.2">
      <c r="A384" s="72" t="s">
        <v>250</v>
      </c>
      <c r="B384" s="72" t="s">
        <v>65</v>
      </c>
      <c r="C384" s="72" t="s">
        <v>244</v>
      </c>
      <c r="D384" s="72" t="s">
        <v>32</v>
      </c>
      <c r="E384" s="72" t="s">
        <v>67</v>
      </c>
      <c r="F384" s="72">
        <v>231</v>
      </c>
      <c r="G384" s="72">
        <v>8</v>
      </c>
      <c r="H384" s="72">
        <v>480</v>
      </c>
      <c r="I384" s="72">
        <v>1</v>
      </c>
      <c r="J384" s="72">
        <v>1</v>
      </c>
      <c r="K384" s="72">
        <v>52185</v>
      </c>
      <c r="L384" s="72" t="s">
        <v>2326</v>
      </c>
      <c r="M384" s="72" t="s">
        <v>921</v>
      </c>
    </row>
    <row r="385" spans="1:13" x14ac:dyDescent="0.2">
      <c r="A385" s="72" t="s">
        <v>251</v>
      </c>
      <c r="B385" s="72" t="s">
        <v>65</v>
      </c>
      <c r="C385" s="72" t="s">
        <v>244</v>
      </c>
      <c r="D385" s="72" t="s">
        <v>32</v>
      </c>
      <c r="E385" s="72" t="s">
        <v>67</v>
      </c>
      <c r="F385" s="72">
        <v>231</v>
      </c>
      <c r="G385" s="72">
        <v>8</v>
      </c>
      <c r="H385" s="72">
        <v>480</v>
      </c>
      <c r="I385" s="72">
        <v>1</v>
      </c>
      <c r="J385" s="72">
        <v>1</v>
      </c>
      <c r="K385" s="72">
        <v>52185</v>
      </c>
      <c r="L385" s="72" t="s">
        <v>2326</v>
      </c>
      <c r="M385" s="72" t="s">
        <v>1304</v>
      </c>
    </row>
    <row r="386" spans="1:13" x14ac:dyDescent="0.2">
      <c r="A386" s="72" t="s">
        <v>252</v>
      </c>
      <c r="B386" s="72" t="s">
        <v>65</v>
      </c>
      <c r="C386" s="72" t="s">
        <v>244</v>
      </c>
      <c r="D386" s="72" t="s">
        <v>32</v>
      </c>
      <c r="E386" s="72" t="s">
        <v>67</v>
      </c>
      <c r="F386" s="72">
        <v>231</v>
      </c>
      <c r="G386" s="72">
        <v>8</v>
      </c>
      <c r="H386" s="72">
        <v>480</v>
      </c>
      <c r="I386" s="72">
        <v>1</v>
      </c>
      <c r="J386" s="72">
        <v>1</v>
      </c>
      <c r="K386" s="72">
        <v>52185</v>
      </c>
      <c r="L386" s="72" t="s">
        <v>2326</v>
      </c>
      <c r="M386" s="72" t="s">
        <v>1013</v>
      </c>
    </row>
    <row r="387" spans="1:13" x14ac:dyDescent="0.2">
      <c r="A387" s="72" t="s">
        <v>253</v>
      </c>
      <c r="B387" s="72" t="s">
        <v>65</v>
      </c>
      <c r="C387" s="72" t="s">
        <v>244</v>
      </c>
      <c r="D387" s="72" t="s">
        <v>32</v>
      </c>
      <c r="E387" s="72" t="s">
        <v>67</v>
      </c>
      <c r="F387" s="72">
        <v>231</v>
      </c>
      <c r="G387" s="72">
        <v>8</v>
      </c>
      <c r="H387" s="72">
        <v>480</v>
      </c>
      <c r="I387" s="72">
        <v>1</v>
      </c>
      <c r="J387" s="72">
        <v>1</v>
      </c>
      <c r="K387" s="72">
        <v>52185</v>
      </c>
      <c r="L387" s="72" t="s">
        <v>2326</v>
      </c>
      <c r="M387" s="72" t="s">
        <v>1418</v>
      </c>
    </row>
    <row r="388" spans="1:13" x14ac:dyDescent="0.2">
      <c r="A388" s="72" t="s">
        <v>232</v>
      </c>
      <c r="B388" s="72" t="s">
        <v>65</v>
      </c>
      <c r="C388" s="72" t="s">
        <v>233</v>
      </c>
      <c r="D388" s="72" t="s">
        <v>35</v>
      </c>
      <c r="E388" s="72" t="s">
        <v>112</v>
      </c>
      <c r="F388" s="72">
        <v>262</v>
      </c>
      <c r="G388" s="72">
        <v>0</v>
      </c>
      <c r="H388" s="72">
        <v>0</v>
      </c>
      <c r="I388" s="72">
        <v>1</v>
      </c>
      <c r="J388" s="72">
        <v>1</v>
      </c>
      <c r="K388" s="72">
        <v>159764</v>
      </c>
      <c r="L388" s="72" t="s">
        <v>2326</v>
      </c>
      <c r="M388" s="72" t="s">
        <v>2405</v>
      </c>
    </row>
    <row r="389" spans="1:13" x14ac:dyDescent="0.2">
      <c r="A389" s="72" t="s">
        <v>234</v>
      </c>
      <c r="B389" s="72" t="s">
        <v>65</v>
      </c>
      <c r="C389" s="72" t="s">
        <v>233</v>
      </c>
      <c r="D389" s="72" t="s">
        <v>35</v>
      </c>
      <c r="E389" s="72" t="s">
        <v>112</v>
      </c>
      <c r="F389" s="72">
        <v>262</v>
      </c>
      <c r="G389" s="72">
        <v>0</v>
      </c>
      <c r="H389" s="72">
        <v>0</v>
      </c>
      <c r="I389" s="72">
        <v>1</v>
      </c>
      <c r="J389" s="72">
        <v>1</v>
      </c>
      <c r="K389" s="72">
        <v>159764</v>
      </c>
      <c r="L389" s="72" t="s">
        <v>2326</v>
      </c>
      <c r="M389" s="72" t="s">
        <v>1836</v>
      </c>
    </row>
    <row r="390" spans="1:13" x14ac:dyDescent="0.2">
      <c r="A390" s="72" t="s">
        <v>235</v>
      </c>
      <c r="B390" s="72" t="s">
        <v>65</v>
      </c>
      <c r="C390" s="72" t="s">
        <v>233</v>
      </c>
      <c r="D390" s="72" t="s">
        <v>35</v>
      </c>
      <c r="E390" s="72" t="s">
        <v>112</v>
      </c>
      <c r="F390" s="72">
        <v>262</v>
      </c>
      <c r="G390" s="72">
        <v>0</v>
      </c>
      <c r="H390" s="72">
        <v>0</v>
      </c>
      <c r="I390" s="72">
        <v>1</v>
      </c>
      <c r="J390" s="72">
        <v>1</v>
      </c>
      <c r="K390" s="72">
        <v>159764</v>
      </c>
      <c r="L390" s="72" t="s">
        <v>2326</v>
      </c>
      <c r="M390" s="72" t="s">
        <v>2406</v>
      </c>
    </row>
    <row r="391" spans="1:13" x14ac:dyDescent="0.2">
      <c r="A391" s="72" t="s">
        <v>236</v>
      </c>
      <c r="B391" s="72" t="s">
        <v>65</v>
      </c>
      <c r="C391" s="72" t="s">
        <v>233</v>
      </c>
      <c r="D391" s="72" t="s">
        <v>35</v>
      </c>
      <c r="E391" s="72" t="s">
        <v>112</v>
      </c>
      <c r="F391" s="72">
        <v>262</v>
      </c>
      <c r="G391" s="72">
        <v>0</v>
      </c>
      <c r="H391" s="72">
        <v>0</v>
      </c>
      <c r="I391" s="72">
        <v>1</v>
      </c>
      <c r="J391" s="72">
        <v>1</v>
      </c>
      <c r="K391" s="72">
        <v>159764</v>
      </c>
      <c r="L391" s="72" t="s">
        <v>2326</v>
      </c>
      <c r="M391" s="72" t="s">
        <v>2407</v>
      </c>
    </row>
    <row r="392" spans="1:13" x14ac:dyDescent="0.2">
      <c r="A392" s="72" t="s">
        <v>237</v>
      </c>
      <c r="B392" s="72" t="s">
        <v>65</v>
      </c>
      <c r="C392" s="72" t="s">
        <v>233</v>
      </c>
      <c r="D392" s="72" t="s">
        <v>35</v>
      </c>
      <c r="E392" s="72" t="s">
        <v>112</v>
      </c>
      <c r="F392" s="72">
        <v>262</v>
      </c>
      <c r="G392" s="72">
        <v>0</v>
      </c>
      <c r="H392" s="72">
        <v>0</v>
      </c>
      <c r="I392" s="72">
        <v>1</v>
      </c>
      <c r="J392" s="72">
        <v>1</v>
      </c>
      <c r="K392" s="72">
        <v>159764</v>
      </c>
      <c r="L392" s="72" t="s">
        <v>2326</v>
      </c>
      <c r="M392" s="72" t="s">
        <v>1695</v>
      </c>
    </row>
    <row r="393" spans="1:13" x14ac:dyDescent="0.2">
      <c r="A393" s="72" t="s">
        <v>238</v>
      </c>
      <c r="B393" s="72" t="s">
        <v>65</v>
      </c>
      <c r="C393" s="72" t="s">
        <v>233</v>
      </c>
      <c r="D393" s="72" t="s">
        <v>35</v>
      </c>
      <c r="E393" s="72" t="s">
        <v>112</v>
      </c>
      <c r="F393" s="72">
        <v>262</v>
      </c>
      <c r="G393" s="72">
        <v>0</v>
      </c>
      <c r="H393" s="72">
        <v>0</v>
      </c>
      <c r="I393" s="72">
        <v>1</v>
      </c>
      <c r="J393" s="72">
        <v>1</v>
      </c>
      <c r="K393" s="72">
        <v>159764</v>
      </c>
      <c r="L393" s="72" t="s">
        <v>2326</v>
      </c>
      <c r="M393" s="72" t="s">
        <v>1915</v>
      </c>
    </row>
    <row r="394" spans="1:13" x14ac:dyDescent="0.2">
      <c r="A394" s="72" t="s">
        <v>239</v>
      </c>
      <c r="B394" s="72" t="s">
        <v>65</v>
      </c>
      <c r="C394" s="72" t="s">
        <v>233</v>
      </c>
      <c r="D394" s="72" t="s">
        <v>35</v>
      </c>
      <c r="E394" s="72" t="s">
        <v>112</v>
      </c>
      <c r="F394" s="72">
        <v>262</v>
      </c>
      <c r="G394" s="72">
        <v>0</v>
      </c>
      <c r="H394" s="72">
        <v>0</v>
      </c>
      <c r="I394" s="72">
        <v>1</v>
      </c>
      <c r="J394" s="72">
        <v>1</v>
      </c>
      <c r="K394" s="72">
        <v>159764</v>
      </c>
      <c r="L394" s="72" t="s">
        <v>2326</v>
      </c>
      <c r="M394" s="72" t="s">
        <v>2011</v>
      </c>
    </row>
    <row r="395" spans="1:13" x14ac:dyDescent="0.2">
      <c r="A395" s="72" t="s">
        <v>240</v>
      </c>
      <c r="B395" s="72" t="s">
        <v>65</v>
      </c>
      <c r="C395" s="72" t="s">
        <v>233</v>
      </c>
      <c r="D395" s="72" t="s">
        <v>35</v>
      </c>
      <c r="E395" s="72" t="s">
        <v>112</v>
      </c>
      <c r="F395" s="72">
        <v>262</v>
      </c>
      <c r="G395" s="72">
        <v>0</v>
      </c>
      <c r="H395" s="72">
        <v>0</v>
      </c>
      <c r="I395" s="72">
        <v>1</v>
      </c>
      <c r="J395" s="72">
        <v>1</v>
      </c>
      <c r="K395" s="72">
        <v>159764</v>
      </c>
      <c r="L395" s="72" t="s">
        <v>2326</v>
      </c>
      <c r="M395" s="72" t="s">
        <v>1787</v>
      </c>
    </row>
    <row r="396" spans="1:13" x14ac:dyDescent="0.2">
      <c r="A396" s="72" t="s">
        <v>241</v>
      </c>
      <c r="B396" s="72" t="s">
        <v>65</v>
      </c>
      <c r="C396" s="72" t="s">
        <v>233</v>
      </c>
      <c r="D396" s="72" t="s">
        <v>35</v>
      </c>
      <c r="E396" s="72" t="s">
        <v>112</v>
      </c>
      <c r="F396" s="72">
        <v>262</v>
      </c>
      <c r="G396" s="72">
        <v>0</v>
      </c>
      <c r="H396" s="72">
        <v>0</v>
      </c>
      <c r="I396" s="72">
        <v>1</v>
      </c>
      <c r="J396" s="72">
        <v>1</v>
      </c>
      <c r="K396" s="72">
        <v>159764</v>
      </c>
      <c r="L396" s="72" t="s">
        <v>2326</v>
      </c>
      <c r="M396" s="72" t="s">
        <v>1942</v>
      </c>
    </row>
    <row r="397" spans="1:13" x14ac:dyDescent="0.2">
      <c r="A397" s="72" t="s">
        <v>242</v>
      </c>
      <c r="B397" s="72" t="s">
        <v>65</v>
      </c>
      <c r="C397" s="72" t="s">
        <v>233</v>
      </c>
      <c r="D397" s="72" t="s">
        <v>35</v>
      </c>
      <c r="E397" s="72" t="s">
        <v>112</v>
      </c>
      <c r="F397" s="72">
        <v>262</v>
      </c>
      <c r="G397" s="72">
        <v>0</v>
      </c>
      <c r="H397" s="72">
        <v>0</v>
      </c>
      <c r="I397" s="72">
        <v>1</v>
      </c>
      <c r="J397" s="72">
        <v>1</v>
      </c>
      <c r="K397" s="72">
        <v>159764</v>
      </c>
      <c r="L397" s="72" t="s">
        <v>2326</v>
      </c>
      <c r="M397" s="72" t="s">
        <v>1578</v>
      </c>
    </row>
    <row r="398" spans="1:13" x14ac:dyDescent="0.2">
      <c r="A398" s="72" t="s">
        <v>221</v>
      </c>
      <c r="B398" s="72" t="s">
        <v>65</v>
      </c>
      <c r="C398" s="72" t="s">
        <v>222</v>
      </c>
      <c r="D398" s="72" t="s">
        <v>35</v>
      </c>
      <c r="E398" s="72" t="s">
        <v>112</v>
      </c>
      <c r="F398" s="72">
        <v>262</v>
      </c>
      <c r="G398" s="72">
        <v>0</v>
      </c>
      <c r="H398" s="72">
        <v>0</v>
      </c>
      <c r="I398" s="72">
        <v>1</v>
      </c>
      <c r="J398" s="72">
        <v>1</v>
      </c>
      <c r="K398" s="72">
        <v>159719</v>
      </c>
      <c r="L398" s="72" t="s">
        <v>2326</v>
      </c>
      <c r="M398" s="72" t="s">
        <v>2408</v>
      </c>
    </row>
    <row r="399" spans="1:13" x14ac:dyDescent="0.2">
      <c r="A399" s="72" t="s">
        <v>223</v>
      </c>
      <c r="B399" s="72" t="s">
        <v>65</v>
      </c>
      <c r="C399" s="72" t="s">
        <v>222</v>
      </c>
      <c r="D399" s="72" t="s">
        <v>35</v>
      </c>
      <c r="E399" s="72" t="s">
        <v>112</v>
      </c>
      <c r="F399" s="72">
        <v>262</v>
      </c>
      <c r="G399" s="72">
        <v>0</v>
      </c>
      <c r="H399" s="72">
        <v>0</v>
      </c>
      <c r="I399" s="72">
        <v>1</v>
      </c>
      <c r="J399" s="72">
        <v>1</v>
      </c>
      <c r="K399" s="72">
        <v>159719</v>
      </c>
      <c r="L399" s="72" t="s">
        <v>2326</v>
      </c>
      <c r="M399" s="72" t="s">
        <v>1789</v>
      </c>
    </row>
    <row r="400" spans="1:13" x14ac:dyDescent="0.2">
      <c r="A400" s="72" t="s">
        <v>224</v>
      </c>
      <c r="B400" s="72" t="s">
        <v>65</v>
      </c>
      <c r="C400" s="72" t="s">
        <v>222</v>
      </c>
      <c r="D400" s="72" t="s">
        <v>35</v>
      </c>
      <c r="E400" s="72" t="s">
        <v>112</v>
      </c>
      <c r="F400" s="72">
        <v>262</v>
      </c>
      <c r="G400" s="72">
        <v>0</v>
      </c>
      <c r="H400" s="72">
        <v>0</v>
      </c>
      <c r="I400" s="72">
        <v>1</v>
      </c>
      <c r="J400" s="72">
        <v>1</v>
      </c>
      <c r="K400" s="72">
        <v>159719</v>
      </c>
      <c r="L400" s="72" t="s">
        <v>2326</v>
      </c>
      <c r="M400" s="72" t="s">
        <v>2409</v>
      </c>
    </row>
    <row r="401" spans="1:13" x14ac:dyDescent="0.2">
      <c r="A401" s="72" t="s">
        <v>225</v>
      </c>
      <c r="B401" s="72" t="s">
        <v>65</v>
      </c>
      <c r="C401" s="72" t="s">
        <v>222</v>
      </c>
      <c r="D401" s="72" t="s">
        <v>35</v>
      </c>
      <c r="E401" s="72" t="s">
        <v>112</v>
      </c>
      <c r="F401" s="72">
        <v>262</v>
      </c>
      <c r="G401" s="72">
        <v>0</v>
      </c>
      <c r="H401" s="72">
        <v>0</v>
      </c>
      <c r="I401" s="72">
        <v>1</v>
      </c>
      <c r="J401" s="72">
        <v>1</v>
      </c>
      <c r="K401" s="72">
        <v>159719</v>
      </c>
      <c r="L401" s="72" t="s">
        <v>2326</v>
      </c>
      <c r="M401" s="72" t="s">
        <v>2410</v>
      </c>
    </row>
    <row r="402" spans="1:13" x14ac:dyDescent="0.2">
      <c r="A402" s="72" t="s">
        <v>226</v>
      </c>
      <c r="B402" s="72" t="s">
        <v>65</v>
      </c>
      <c r="C402" s="72" t="s">
        <v>222</v>
      </c>
      <c r="D402" s="72" t="s">
        <v>35</v>
      </c>
      <c r="E402" s="72" t="s">
        <v>112</v>
      </c>
      <c r="F402" s="72">
        <v>262</v>
      </c>
      <c r="G402" s="72">
        <v>0</v>
      </c>
      <c r="H402" s="72">
        <v>0</v>
      </c>
      <c r="I402" s="72">
        <v>1</v>
      </c>
      <c r="J402" s="72">
        <v>1</v>
      </c>
      <c r="K402" s="72">
        <v>159719</v>
      </c>
      <c r="L402" s="72" t="s">
        <v>2326</v>
      </c>
      <c r="M402" s="72" t="s">
        <v>1640</v>
      </c>
    </row>
    <row r="403" spans="1:13" x14ac:dyDescent="0.2">
      <c r="A403" s="72" t="s">
        <v>227</v>
      </c>
      <c r="B403" s="72" t="s">
        <v>65</v>
      </c>
      <c r="C403" s="72" t="s">
        <v>222</v>
      </c>
      <c r="D403" s="72" t="s">
        <v>35</v>
      </c>
      <c r="E403" s="72" t="s">
        <v>112</v>
      </c>
      <c r="F403" s="72">
        <v>262</v>
      </c>
      <c r="G403" s="72">
        <v>0</v>
      </c>
      <c r="H403" s="72">
        <v>0</v>
      </c>
      <c r="I403" s="72">
        <v>1</v>
      </c>
      <c r="J403" s="72">
        <v>1</v>
      </c>
      <c r="K403" s="72">
        <v>159719</v>
      </c>
      <c r="L403" s="72" t="s">
        <v>2326</v>
      </c>
      <c r="M403" s="72" t="s">
        <v>1877</v>
      </c>
    </row>
    <row r="404" spans="1:13" x14ac:dyDescent="0.2">
      <c r="A404" s="72" t="s">
        <v>228</v>
      </c>
      <c r="B404" s="72" t="s">
        <v>65</v>
      </c>
      <c r="C404" s="72" t="s">
        <v>222</v>
      </c>
      <c r="D404" s="72" t="s">
        <v>35</v>
      </c>
      <c r="E404" s="72" t="s">
        <v>112</v>
      </c>
      <c r="F404" s="72">
        <v>262</v>
      </c>
      <c r="G404" s="72">
        <v>0</v>
      </c>
      <c r="H404" s="72">
        <v>0</v>
      </c>
      <c r="I404" s="72">
        <v>1</v>
      </c>
      <c r="J404" s="72">
        <v>1</v>
      </c>
      <c r="K404" s="72">
        <v>159719</v>
      </c>
      <c r="L404" s="72" t="s">
        <v>2326</v>
      </c>
      <c r="M404" s="72" t="s">
        <v>1995</v>
      </c>
    </row>
    <row r="405" spans="1:13" x14ac:dyDescent="0.2">
      <c r="A405" s="72" t="s">
        <v>229</v>
      </c>
      <c r="B405" s="72" t="s">
        <v>65</v>
      </c>
      <c r="C405" s="72" t="s">
        <v>222</v>
      </c>
      <c r="D405" s="72" t="s">
        <v>35</v>
      </c>
      <c r="E405" s="72" t="s">
        <v>112</v>
      </c>
      <c r="F405" s="72">
        <v>262</v>
      </c>
      <c r="G405" s="72">
        <v>0</v>
      </c>
      <c r="H405" s="72">
        <v>0</v>
      </c>
      <c r="I405" s="72">
        <v>1</v>
      </c>
      <c r="J405" s="72">
        <v>1</v>
      </c>
      <c r="K405" s="72">
        <v>159719</v>
      </c>
      <c r="L405" s="72" t="s">
        <v>2326</v>
      </c>
      <c r="M405" s="72" t="s">
        <v>1697</v>
      </c>
    </row>
    <row r="406" spans="1:13" x14ac:dyDescent="0.2">
      <c r="A406" s="72" t="s">
        <v>230</v>
      </c>
      <c r="B406" s="72" t="s">
        <v>65</v>
      </c>
      <c r="C406" s="72" t="s">
        <v>222</v>
      </c>
      <c r="D406" s="72" t="s">
        <v>35</v>
      </c>
      <c r="E406" s="72" t="s">
        <v>112</v>
      </c>
      <c r="F406" s="72">
        <v>262</v>
      </c>
      <c r="G406" s="72">
        <v>0</v>
      </c>
      <c r="H406" s="72">
        <v>0</v>
      </c>
      <c r="I406" s="72">
        <v>1</v>
      </c>
      <c r="J406" s="72">
        <v>1</v>
      </c>
      <c r="K406" s="72">
        <v>159719</v>
      </c>
      <c r="L406" s="72" t="s">
        <v>2326</v>
      </c>
      <c r="M406" s="72" t="s">
        <v>1917</v>
      </c>
    </row>
    <row r="407" spans="1:13" x14ac:dyDescent="0.2">
      <c r="A407" s="72" t="s">
        <v>231</v>
      </c>
      <c r="B407" s="72" t="s">
        <v>65</v>
      </c>
      <c r="C407" s="72" t="s">
        <v>222</v>
      </c>
      <c r="D407" s="72" t="s">
        <v>35</v>
      </c>
      <c r="E407" s="72" t="s">
        <v>112</v>
      </c>
      <c r="F407" s="72">
        <v>262</v>
      </c>
      <c r="G407" s="72">
        <v>0</v>
      </c>
      <c r="H407" s="72">
        <v>0</v>
      </c>
      <c r="I407" s="72">
        <v>1</v>
      </c>
      <c r="J407" s="72">
        <v>1</v>
      </c>
      <c r="K407" s="72">
        <v>159719</v>
      </c>
      <c r="L407" s="72" t="s">
        <v>2326</v>
      </c>
      <c r="M407" s="72" t="s">
        <v>2013</v>
      </c>
    </row>
    <row r="408" spans="1:13" x14ac:dyDescent="0.2">
      <c r="A408" s="72" t="s">
        <v>210</v>
      </c>
      <c r="B408" s="72" t="s">
        <v>65</v>
      </c>
      <c r="C408" s="72" t="s">
        <v>211</v>
      </c>
      <c r="D408" s="72" t="s">
        <v>35</v>
      </c>
      <c r="E408" s="72" t="s">
        <v>112</v>
      </c>
      <c r="F408" s="72">
        <v>262</v>
      </c>
      <c r="G408" s="72">
        <v>0</v>
      </c>
      <c r="H408" s="72">
        <v>0</v>
      </c>
      <c r="I408" s="72">
        <v>1</v>
      </c>
      <c r="J408" s="72">
        <v>1</v>
      </c>
      <c r="K408" s="72">
        <v>157858</v>
      </c>
      <c r="L408" s="72" t="s">
        <v>2326</v>
      </c>
      <c r="M408" s="72" t="s">
        <v>2411</v>
      </c>
    </row>
    <row r="409" spans="1:13" x14ac:dyDescent="0.2">
      <c r="A409" s="72" t="s">
        <v>212</v>
      </c>
      <c r="B409" s="72" t="s">
        <v>65</v>
      </c>
      <c r="C409" s="72" t="s">
        <v>211</v>
      </c>
      <c r="D409" s="72" t="s">
        <v>35</v>
      </c>
      <c r="E409" s="72" t="s">
        <v>112</v>
      </c>
      <c r="F409" s="72">
        <v>262</v>
      </c>
      <c r="G409" s="72">
        <v>0</v>
      </c>
      <c r="H409" s="72">
        <v>0</v>
      </c>
      <c r="I409" s="72">
        <v>1</v>
      </c>
      <c r="J409" s="72">
        <v>1</v>
      </c>
      <c r="K409" s="72">
        <v>157858</v>
      </c>
      <c r="L409" s="72" t="s">
        <v>2326</v>
      </c>
      <c r="M409" s="72" t="s">
        <v>1828</v>
      </c>
    </row>
    <row r="410" spans="1:13" x14ac:dyDescent="0.2">
      <c r="A410" s="72" t="s">
        <v>213</v>
      </c>
      <c r="B410" s="72" t="s">
        <v>65</v>
      </c>
      <c r="C410" s="72" t="s">
        <v>211</v>
      </c>
      <c r="D410" s="72" t="s">
        <v>35</v>
      </c>
      <c r="E410" s="72" t="s">
        <v>112</v>
      </c>
      <c r="F410" s="72">
        <v>262</v>
      </c>
      <c r="G410" s="72">
        <v>0</v>
      </c>
      <c r="H410" s="72">
        <v>0</v>
      </c>
      <c r="I410" s="72">
        <v>1</v>
      </c>
      <c r="J410" s="72">
        <v>1</v>
      </c>
      <c r="K410" s="72">
        <v>157858</v>
      </c>
      <c r="L410" s="72" t="s">
        <v>2326</v>
      </c>
      <c r="M410" s="72" t="s">
        <v>2412</v>
      </c>
    </row>
    <row r="411" spans="1:13" x14ac:dyDescent="0.2">
      <c r="A411" s="72" t="s">
        <v>214</v>
      </c>
      <c r="B411" s="72" t="s">
        <v>65</v>
      </c>
      <c r="C411" s="72" t="s">
        <v>211</v>
      </c>
      <c r="D411" s="72" t="s">
        <v>35</v>
      </c>
      <c r="E411" s="72" t="s">
        <v>112</v>
      </c>
      <c r="F411" s="72">
        <v>262</v>
      </c>
      <c r="G411" s="72">
        <v>0</v>
      </c>
      <c r="H411" s="72">
        <v>0</v>
      </c>
      <c r="I411" s="72">
        <v>1</v>
      </c>
      <c r="J411" s="72">
        <v>1</v>
      </c>
      <c r="K411" s="72">
        <v>157858</v>
      </c>
      <c r="L411" s="72" t="s">
        <v>2326</v>
      </c>
      <c r="M411" s="72" t="s">
        <v>2413</v>
      </c>
    </row>
    <row r="412" spans="1:13" x14ac:dyDescent="0.2">
      <c r="A412" s="72" t="s">
        <v>215</v>
      </c>
      <c r="B412" s="72" t="s">
        <v>65</v>
      </c>
      <c r="C412" s="72" t="s">
        <v>211</v>
      </c>
      <c r="D412" s="72" t="s">
        <v>35</v>
      </c>
      <c r="E412" s="72" t="s">
        <v>112</v>
      </c>
      <c r="F412" s="72">
        <v>262</v>
      </c>
      <c r="G412" s="72">
        <v>0</v>
      </c>
      <c r="H412" s="72">
        <v>0</v>
      </c>
      <c r="I412" s="72">
        <v>1</v>
      </c>
      <c r="J412" s="72">
        <v>1</v>
      </c>
      <c r="K412" s="72">
        <v>157858</v>
      </c>
      <c r="L412" s="72" t="s">
        <v>2326</v>
      </c>
      <c r="M412" s="72" t="s">
        <v>1675</v>
      </c>
    </row>
    <row r="413" spans="1:13" x14ac:dyDescent="0.2">
      <c r="A413" s="72" t="s">
        <v>216</v>
      </c>
      <c r="B413" s="72" t="s">
        <v>65</v>
      </c>
      <c r="C413" s="72" t="s">
        <v>211</v>
      </c>
      <c r="D413" s="72" t="s">
        <v>35</v>
      </c>
      <c r="E413" s="72" t="s">
        <v>112</v>
      </c>
      <c r="F413" s="72">
        <v>262</v>
      </c>
      <c r="G413" s="72">
        <v>0</v>
      </c>
      <c r="H413" s="72">
        <v>0</v>
      </c>
      <c r="I413" s="72">
        <v>1</v>
      </c>
      <c r="J413" s="72">
        <v>1</v>
      </c>
      <c r="K413" s="72">
        <v>157858</v>
      </c>
      <c r="L413" s="72" t="s">
        <v>2326</v>
      </c>
      <c r="M413" s="72" t="s">
        <v>1896</v>
      </c>
    </row>
    <row r="414" spans="1:13" x14ac:dyDescent="0.2">
      <c r="A414" s="72" t="s">
        <v>217</v>
      </c>
      <c r="B414" s="72" t="s">
        <v>65</v>
      </c>
      <c r="C414" s="72" t="s">
        <v>211</v>
      </c>
      <c r="D414" s="72" t="s">
        <v>35</v>
      </c>
      <c r="E414" s="72" t="s">
        <v>112</v>
      </c>
      <c r="F414" s="72">
        <v>262</v>
      </c>
      <c r="G414" s="72">
        <v>0</v>
      </c>
      <c r="H414" s="72">
        <v>0</v>
      </c>
      <c r="I414" s="72">
        <v>1</v>
      </c>
      <c r="J414" s="72">
        <v>1</v>
      </c>
      <c r="K414" s="72">
        <v>157858</v>
      </c>
      <c r="L414" s="72" t="s">
        <v>2326</v>
      </c>
      <c r="M414" s="72" t="s">
        <v>2006</v>
      </c>
    </row>
    <row r="415" spans="1:13" x14ac:dyDescent="0.2">
      <c r="A415" s="72" t="s">
        <v>218</v>
      </c>
      <c r="B415" s="72" t="s">
        <v>65</v>
      </c>
      <c r="C415" s="72" t="s">
        <v>211</v>
      </c>
      <c r="D415" s="72" t="s">
        <v>35</v>
      </c>
      <c r="E415" s="72" t="s">
        <v>112</v>
      </c>
      <c r="F415" s="72">
        <v>262</v>
      </c>
      <c r="G415" s="72">
        <v>0</v>
      </c>
      <c r="H415" s="72">
        <v>0</v>
      </c>
      <c r="I415" s="72">
        <v>1</v>
      </c>
      <c r="J415" s="72">
        <v>1</v>
      </c>
      <c r="K415" s="72">
        <v>157858</v>
      </c>
      <c r="L415" s="72" t="s">
        <v>2326</v>
      </c>
      <c r="M415" s="72" t="s">
        <v>1771</v>
      </c>
    </row>
    <row r="416" spans="1:13" x14ac:dyDescent="0.2">
      <c r="A416" s="72" t="s">
        <v>219</v>
      </c>
      <c r="B416" s="72" t="s">
        <v>65</v>
      </c>
      <c r="C416" s="72" t="s">
        <v>211</v>
      </c>
      <c r="D416" s="72" t="s">
        <v>35</v>
      </c>
      <c r="E416" s="72" t="s">
        <v>112</v>
      </c>
      <c r="F416" s="72">
        <v>262</v>
      </c>
      <c r="G416" s="72">
        <v>0</v>
      </c>
      <c r="H416" s="72">
        <v>0</v>
      </c>
      <c r="I416" s="72">
        <v>1</v>
      </c>
      <c r="J416" s="72">
        <v>1</v>
      </c>
      <c r="K416" s="72">
        <v>157858</v>
      </c>
      <c r="L416" s="72" t="s">
        <v>2326</v>
      </c>
      <c r="M416" s="72" t="s">
        <v>1937</v>
      </c>
    </row>
    <row r="417" spans="1:13" x14ac:dyDescent="0.2">
      <c r="A417" s="72" t="s">
        <v>220</v>
      </c>
      <c r="B417" s="72" t="s">
        <v>65</v>
      </c>
      <c r="C417" s="72" t="s">
        <v>211</v>
      </c>
      <c r="D417" s="72" t="s">
        <v>35</v>
      </c>
      <c r="E417" s="72" t="s">
        <v>112</v>
      </c>
      <c r="F417" s="72">
        <v>262</v>
      </c>
      <c r="G417" s="72">
        <v>0</v>
      </c>
      <c r="H417" s="72">
        <v>0</v>
      </c>
      <c r="I417" s="72">
        <v>1</v>
      </c>
      <c r="J417" s="72">
        <v>1</v>
      </c>
      <c r="K417" s="72">
        <v>157858</v>
      </c>
      <c r="L417" s="72" t="s">
        <v>2326</v>
      </c>
      <c r="M417" s="72" t="s">
        <v>1570</v>
      </c>
    </row>
    <row r="418" spans="1:13" x14ac:dyDescent="0.2">
      <c r="A418" s="72" t="s">
        <v>199</v>
      </c>
      <c r="B418" s="72" t="s">
        <v>65</v>
      </c>
      <c r="C418" s="72" t="s">
        <v>200</v>
      </c>
      <c r="D418" s="72" t="s">
        <v>35</v>
      </c>
      <c r="E418" s="72" t="s">
        <v>112</v>
      </c>
      <c r="F418" s="72">
        <v>262</v>
      </c>
      <c r="G418" s="72">
        <v>0</v>
      </c>
      <c r="H418" s="72">
        <v>0</v>
      </c>
      <c r="I418" s="72">
        <v>1</v>
      </c>
      <c r="J418" s="72">
        <v>1</v>
      </c>
      <c r="K418" s="72">
        <v>156609</v>
      </c>
      <c r="L418" s="72" t="s">
        <v>2326</v>
      </c>
      <c r="M418" s="72" t="s">
        <v>2414</v>
      </c>
    </row>
    <row r="419" spans="1:13" x14ac:dyDescent="0.2">
      <c r="A419" s="72" t="s">
        <v>201</v>
      </c>
      <c r="B419" s="72" t="s">
        <v>65</v>
      </c>
      <c r="C419" s="72" t="s">
        <v>200</v>
      </c>
      <c r="D419" s="72" t="s">
        <v>35</v>
      </c>
      <c r="E419" s="72" t="s">
        <v>112</v>
      </c>
      <c r="F419" s="72">
        <v>262</v>
      </c>
      <c r="G419" s="72">
        <v>0</v>
      </c>
      <c r="H419" s="72">
        <v>0</v>
      </c>
      <c r="I419" s="72">
        <v>1</v>
      </c>
      <c r="J419" s="72">
        <v>1</v>
      </c>
      <c r="K419" s="72">
        <v>156609</v>
      </c>
      <c r="L419" s="72" t="s">
        <v>2326</v>
      </c>
      <c r="M419" s="72" t="s">
        <v>1773</v>
      </c>
    </row>
    <row r="420" spans="1:13" x14ac:dyDescent="0.2">
      <c r="A420" s="72" t="s">
        <v>202</v>
      </c>
      <c r="B420" s="72" t="s">
        <v>65</v>
      </c>
      <c r="C420" s="72" t="s">
        <v>200</v>
      </c>
      <c r="D420" s="72" t="s">
        <v>35</v>
      </c>
      <c r="E420" s="72" t="s">
        <v>112</v>
      </c>
      <c r="F420" s="72">
        <v>262</v>
      </c>
      <c r="G420" s="72">
        <v>0</v>
      </c>
      <c r="H420" s="72">
        <v>0</v>
      </c>
      <c r="I420" s="72">
        <v>1</v>
      </c>
      <c r="J420" s="72">
        <v>1</v>
      </c>
      <c r="K420" s="72">
        <v>156609</v>
      </c>
      <c r="L420" s="72" t="s">
        <v>2326</v>
      </c>
      <c r="M420" s="72" t="s">
        <v>2415</v>
      </c>
    </row>
    <row r="421" spans="1:13" x14ac:dyDescent="0.2">
      <c r="A421" s="72" t="s">
        <v>203</v>
      </c>
      <c r="B421" s="72" t="s">
        <v>65</v>
      </c>
      <c r="C421" s="72" t="s">
        <v>200</v>
      </c>
      <c r="D421" s="72" t="s">
        <v>35</v>
      </c>
      <c r="E421" s="72" t="s">
        <v>112</v>
      </c>
      <c r="F421" s="72">
        <v>262</v>
      </c>
      <c r="G421" s="72">
        <v>0</v>
      </c>
      <c r="H421" s="72">
        <v>0</v>
      </c>
      <c r="I421" s="72">
        <v>1</v>
      </c>
      <c r="J421" s="72">
        <v>1</v>
      </c>
      <c r="K421" s="72">
        <v>156609</v>
      </c>
      <c r="L421" s="72" t="s">
        <v>2326</v>
      </c>
      <c r="M421" s="72" t="s">
        <v>2416</v>
      </c>
    </row>
    <row r="422" spans="1:13" x14ac:dyDescent="0.2">
      <c r="A422" s="72" t="s">
        <v>204</v>
      </c>
      <c r="B422" s="72" t="s">
        <v>65</v>
      </c>
      <c r="C422" s="72" t="s">
        <v>200</v>
      </c>
      <c r="D422" s="72" t="s">
        <v>35</v>
      </c>
      <c r="E422" s="72" t="s">
        <v>112</v>
      </c>
      <c r="F422" s="72">
        <v>262</v>
      </c>
      <c r="G422" s="72">
        <v>0</v>
      </c>
      <c r="H422" s="72">
        <v>0</v>
      </c>
      <c r="I422" s="72">
        <v>1</v>
      </c>
      <c r="J422" s="72">
        <v>1</v>
      </c>
      <c r="K422" s="72">
        <v>156609</v>
      </c>
      <c r="L422" s="72" t="s">
        <v>2326</v>
      </c>
      <c r="M422" s="72" t="s">
        <v>1631</v>
      </c>
    </row>
    <row r="423" spans="1:13" x14ac:dyDescent="0.2">
      <c r="A423" s="72" t="s">
        <v>205</v>
      </c>
      <c r="B423" s="72" t="s">
        <v>65</v>
      </c>
      <c r="C423" s="72" t="s">
        <v>200</v>
      </c>
      <c r="D423" s="72" t="s">
        <v>35</v>
      </c>
      <c r="E423" s="72" t="s">
        <v>112</v>
      </c>
      <c r="F423" s="72">
        <v>262</v>
      </c>
      <c r="G423" s="72">
        <v>0</v>
      </c>
      <c r="H423" s="72">
        <v>0</v>
      </c>
      <c r="I423" s="72">
        <v>1</v>
      </c>
      <c r="J423" s="72">
        <v>1</v>
      </c>
      <c r="K423" s="72">
        <v>156609</v>
      </c>
      <c r="L423" s="72" t="s">
        <v>2326</v>
      </c>
      <c r="M423" s="72" t="s">
        <v>1868</v>
      </c>
    </row>
    <row r="424" spans="1:13" x14ac:dyDescent="0.2">
      <c r="A424" s="72" t="s">
        <v>206</v>
      </c>
      <c r="B424" s="72" t="s">
        <v>65</v>
      </c>
      <c r="C424" s="72" t="s">
        <v>200</v>
      </c>
      <c r="D424" s="72" t="s">
        <v>35</v>
      </c>
      <c r="E424" s="72" t="s">
        <v>112</v>
      </c>
      <c r="F424" s="72">
        <v>262</v>
      </c>
      <c r="G424" s="72">
        <v>0</v>
      </c>
      <c r="H424" s="72">
        <v>0</v>
      </c>
      <c r="I424" s="72">
        <v>1</v>
      </c>
      <c r="J424" s="72">
        <v>1</v>
      </c>
      <c r="K424" s="72">
        <v>156609</v>
      </c>
      <c r="L424" s="72" t="s">
        <v>2326</v>
      </c>
      <c r="M424" s="72" t="s">
        <v>1989</v>
      </c>
    </row>
    <row r="425" spans="1:13" x14ac:dyDescent="0.2">
      <c r="A425" s="72" t="s">
        <v>207</v>
      </c>
      <c r="B425" s="72" t="s">
        <v>65</v>
      </c>
      <c r="C425" s="72" t="s">
        <v>200</v>
      </c>
      <c r="D425" s="72" t="s">
        <v>35</v>
      </c>
      <c r="E425" s="72" t="s">
        <v>112</v>
      </c>
      <c r="F425" s="72">
        <v>262</v>
      </c>
      <c r="G425" s="72">
        <v>0</v>
      </c>
      <c r="H425" s="72">
        <v>0</v>
      </c>
      <c r="I425" s="72">
        <v>1</v>
      </c>
      <c r="J425" s="72">
        <v>1</v>
      </c>
      <c r="K425" s="72">
        <v>156609</v>
      </c>
      <c r="L425" s="72" t="s">
        <v>2326</v>
      </c>
      <c r="M425" s="72" t="s">
        <v>1677</v>
      </c>
    </row>
    <row r="426" spans="1:13" x14ac:dyDescent="0.2">
      <c r="A426" s="72" t="s">
        <v>208</v>
      </c>
      <c r="B426" s="72" t="s">
        <v>65</v>
      </c>
      <c r="C426" s="72" t="s">
        <v>200</v>
      </c>
      <c r="D426" s="72" t="s">
        <v>35</v>
      </c>
      <c r="E426" s="72" t="s">
        <v>112</v>
      </c>
      <c r="F426" s="72">
        <v>262</v>
      </c>
      <c r="G426" s="72">
        <v>0</v>
      </c>
      <c r="H426" s="72">
        <v>0</v>
      </c>
      <c r="I426" s="72">
        <v>1</v>
      </c>
      <c r="J426" s="72">
        <v>1</v>
      </c>
      <c r="K426" s="72">
        <v>156609</v>
      </c>
      <c r="L426" s="72" t="s">
        <v>2326</v>
      </c>
      <c r="M426" s="72" t="s">
        <v>1898</v>
      </c>
    </row>
    <row r="427" spans="1:13" x14ac:dyDescent="0.2">
      <c r="A427" s="72" t="s">
        <v>209</v>
      </c>
      <c r="B427" s="72" t="s">
        <v>65</v>
      </c>
      <c r="C427" s="72" t="s">
        <v>200</v>
      </c>
      <c r="D427" s="72" t="s">
        <v>35</v>
      </c>
      <c r="E427" s="72" t="s">
        <v>112</v>
      </c>
      <c r="F427" s="72">
        <v>262</v>
      </c>
      <c r="G427" s="72">
        <v>0</v>
      </c>
      <c r="H427" s="72">
        <v>0</v>
      </c>
      <c r="I427" s="72">
        <v>1</v>
      </c>
      <c r="J427" s="72">
        <v>1</v>
      </c>
      <c r="K427" s="72">
        <v>156609</v>
      </c>
      <c r="L427" s="72" t="s">
        <v>2326</v>
      </c>
      <c r="M427" s="72" t="s">
        <v>2008</v>
      </c>
    </row>
    <row r="428" spans="1:13" x14ac:dyDescent="0.2">
      <c r="A428" s="72" t="s">
        <v>188</v>
      </c>
      <c r="B428" s="72" t="s">
        <v>65</v>
      </c>
      <c r="C428" s="72" t="s">
        <v>189</v>
      </c>
      <c r="D428" s="72" t="s">
        <v>35</v>
      </c>
      <c r="E428" s="72" t="s">
        <v>112</v>
      </c>
      <c r="F428" s="72">
        <v>262</v>
      </c>
      <c r="G428" s="72">
        <v>0</v>
      </c>
      <c r="H428" s="72">
        <v>0</v>
      </c>
      <c r="I428" s="72">
        <v>1</v>
      </c>
      <c r="J428" s="72">
        <v>1</v>
      </c>
      <c r="K428" s="72">
        <v>157858</v>
      </c>
      <c r="L428" s="72" t="s">
        <v>2326</v>
      </c>
      <c r="M428" s="72" t="s">
        <v>2417</v>
      </c>
    </row>
    <row r="429" spans="1:13" x14ac:dyDescent="0.2">
      <c r="A429" s="72" t="s">
        <v>190</v>
      </c>
      <c r="B429" s="72" t="s">
        <v>65</v>
      </c>
      <c r="C429" s="72" t="s">
        <v>189</v>
      </c>
      <c r="D429" s="72" t="s">
        <v>35</v>
      </c>
      <c r="E429" s="72" t="s">
        <v>112</v>
      </c>
      <c r="F429" s="72">
        <v>262</v>
      </c>
      <c r="G429" s="72">
        <v>0</v>
      </c>
      <c r="H429" s="72">
        <v>0</v>
      </c>
      <c r="I429" s="72">
        <v>1</v>
      </c>
      <c r="J429" s="72">
        <v>1</v>
      </c>
      <c r="K429" s="72">
        <v>157858</v>
      </c>
      <c r="L429" s="72" t="s">
        <v>2326</v>
      </c>
      <c r="M429" s="72" t="s">
        <v>1901</v>
      </c>
    </row>
    <row r="430" spans="1:13" x14ac:dyDescent="0.2">
      <c r="A430" s="72" t="s">
        <v>191</v>
      </c>
      <c r="B430" s="72" t="s">
        <v>65</v>
      </c>
      <c r="C430" s="72" t="s">
        <v>189</v>
      </c>
      <c r="D430" s="72" t="s">
        <v>35</v>
      </c>
      <c r="E430" s="72" t="s">
        <v>112</v>
      </c>
      <c r="F430" s="72">
        <v>262</v>
      </c>
      <c r="G430" s="72">
        <v>0</v>
      </c>
      <c r="H430" s="72">
        <v>0</v>
      </c>
      <c r="I430" s="72">
        <v>1</v>
      </c>
      <c r="J430" s="72">
        <v>1</v>
      </c>
      <c r="K430" s="72">
        <v>157858</v>
      </c>
      <c r="L430" s="72" t="s">
        <v>2326</v>
      </c>
      <c r="M430" s="72" t="s">
        <v>2418</v>
      </c>
    </row>
    <row r="431" spans="1:13" x14ac:dyDescent="0.2">
      <c r="A431" s="72" t="s">
        <v>192</v>
      </c>
      <c r="B431" s="72" t="s">
        <v>65</v>
      </c>
      <c r="C431" s="72" t="s">
        <v>189</v>
      </c>
      <c r="D431" s="72" t="s">
        <v>35</v>
      </c>
      <c r="E431" s="72" t="s">
        <v>112</v>
      </c>
      <c r="F431" s="72">
        <v>262</v>
      </c>
      <c r="G431" s="72">
        <v>0</v>
      </c>
      <c r="H431" s="72">
        <v>0</v>
      </c>
      <c r="I431" s="72">
        <v>1</v>
      </c>
      <c r="J431" s="72">
        <v>1</v>
      </c>
      <c r="K431" s="72">
        <v>157858</v>
      </c>
      <c r="L431" s="72" t="s">
        <v>2326</v>
      </c>
      <c r="M431" s="72" t="s">
        <v>1564</v>
      </c>
    </row>
    <row r="432" spans="1:13" x14ac:dyDescent="0.2">
      <c r="A432" s="72" t="s">
        <v>193</v>
      </c>
      <c r="B432" s="72" t="s">
        <v>65</v>
      </c>
      <c r="C432" s="72" t="s">
        <v>189</v>
      </c>
      <c r="D432" s="72" t="s">
        <v>35</v>
      </c>
      <c r="E432" s="72" t="s">
        <v>112</v>
      </c>
      <c r="F432" s="72">
        <v>262</v>
      </c>
      <c r="G432" s="72">
        <v>0</v>
      </c>
      <c r="H432" s="72">
        <v>0</v>
      </c>
      <c r="I432" s="72">
        <v>1</v>
      </c>
      <c r="J432" s="72">
        <v>1</v>
      </c>
      <c r="K432" s="72">
        <v>157858</v>
      </c>
      <c r="L432" s="72" t="s">
        <v>2326</v>
      </c>
      <c r="M432" s="72" t="s">
        <v>1822</v>
      </c>
    </row>
    <row r="433" spans="1:13" x14ac:dyDescent="0.2">
      <c r="A433" s="72" t="s">
        <v>194</v>
      </c>
      <c r="B433" s="72" t="s">
        <v>65</v>
      </c>
      <c r="C433" s="72" t="s">
        <v>189</v>
      </c>
      <c r="D433" s="72" t="s">
        <v>35</v>
      </c>
      <c r="E433" s="72" t="s">
        <v>112</v>
      </c>
      <c r="F433" s="72">
        <v>262</v>
      </c>
      <c r="G433" s="72">
        <v>0</v>
      </c>
      <c r="H433" s="72">
        <v>0</v>
      </c>
      <c r="I433" s="72">
        <v>1</v>
      </c>
      <c r="J433" s="72">
        <v>1</v>
      </c>
      <c r="K433" s="72">
        <v>157858</v>
      </c>
      <c r="L433" s="72" t="s">
        <v>2326</v>
      </c>
      <c r="M433" s="72" t="s">
        <v>1963</v>
      </c>
    </row>
    <row r="434" spans="1:13" x14ac:dyDescent="0.2">
      <c r="A434" s="72" t="s">
        <v>195</v>
      </c>
      <c r="B434" s="72" t="s">
        <v>65</v>
      </c>
      <c r="C434" s="72" t="s">
        <v>189</v>
      </c>
      <c r="D434" s="72" t="s">
        <v>35</v>
      </c>
      <c r="E434" s="72" t="s">
        <v>112</v>
      </c>
      <c r="F434" s="72">
        <v>262</v>
      </c>
      <c r="G434" s="72">
        <v>0</v>
      </c>
      <c r="H434" s="72">
        <v>0</v>
      </c>
      <c r="I434" s="72">
        <v>1</v>
      </c>
      <c r="J434" s="72">
        <v>1</v>
      </c>
      <c r="K434" s="72">
        <v>157858</v>
      </c>
      <c r="L434" s="72" t="s">
        <v>2326</v>
      </c>
      <c r="M434" s="72" t="s">
        <v>1634</v>
      </c>
    </row>
    <row r="435" spans="1:13" x14ac:dyDescent="0.2">
      <c r="A435" s="72" t="s">
        <v>196</v>
      </c>
      <c r="B435" s="72" t="s">
        <v>65</v>
      </c>
      <c r="C435" s="72" t="s">
        <v>189</v>
      </c>
      <c r="D435" s="72" t="s">
        <v>35</v>
      </c>
      <c r="E435" s="72" t="s">
        <v>112</v>
      </c>
      <c r="F435" s="72">
        <v>262</v>
      </c>
      <c r="G435" s="72">
        <v>0</v>
      </c>
      <c r="H435" s="72">
        <v>0</v>
      </c>
      <c r="I435" s="72">
        <v>1</v>
      </c>
      <c r="J435" s="72">
        <v>1</v>
      </c>
      <c r="K435" s="72">
        <v>157858</v>
      </c>
      <c r="L435" s="72" t="s">
        <v>2326</v>
      </c>
      <c r="M435" s="72" t="s">
        <v>1871</v>
      </c>
    </row>
    <row r="436" spans="1:13" x14ac:dyDescent="0.2">
      <c r="A436" s="72" t="s">
        <v>197</v>
      </c>
      <c r="B436" s="72" t="s">
        <v>65</v>
      </c>
      <c r="C436" s="72" t="s">
        <v>189</v>
      </c>
      <c r="D436" s="72" t="s">
        <v>35</v>
      </c>
      <c r="E436" s="72" t="s">
        <v>112</v>
      </c>
      <c r="F436" s="72">
        <v>262</v>
      </c>
      <c r="G436" s="72">
        <v>0</v>
      </c>
      <c r="H436" s="72">
        <v>0</v>
      </c>
      <c r="I436" s="72">
        <v>1</v>
      </c>
      <c r="J436" s="72">
        <v>1</v>
      </c>
      <c r="K436" s="72">
        <v>157858</v>
      </c>
      <c r="L436" s="72" t="s">
        <v>2326</v>
      </c>
      <c r="M436" s="72" t="s">
        <v>1992</v>
      </c>
    </row>
    <row r="437" spans="1:13" x14ac:dyDescent="0.2">
      <c r="A437" s="72" t="s">
        <v>198</v>
      </c>
      <c r="B437" s="72" t="s">
        <v>65</v>
      </c>
      <c r="C437" s="72" t="s">
        <v>189</v>
      </c>
      <c r="D437" s="72" t="s">
        <v>35</v>
      </c>
      <c r="E437" s="72" t="s">
        <v>112</v>
      </c>
      <c r="F437" s="72">
        <v>262</v>
      </c>
      <c r="G437" s="72">
        <v>0</v>
      </c>
      <c r="H437" s="72">
        <v>0</v>
      </c>
      <c r="I437" s="72">
        <v>1</v>
      </c>
      <c r="J437" s="72">
        <v>1</v>
      </c>
      <c r="K437" s="72">
        <v>157858</v>
      </c>
      <c r="L437" s="72" t="s">
        <v>2326</v>
      </c>
      <c r="M437" s="72" t="s">
        <v>1680</v>
      </c>
    </row>
    <row r="438" spans="1:13" x14ac:dyDescent="0.2">
      <c r="A438" s="72" t="s">
        <v>177</v>
      </c>
      <c r="B438" s="72" t="s">
        <v>65</v>
      </c>
      <c r="C438" s="72" t="s">
        <v>178</v>
      </c>
      <c r="D438" s="72" t="s">
        <v>35</v>
      </c>
      <c r="E438" s="72" t="s">
        <v>112</v>
      </c>
      <c r="F438" s="72">
        <v>262</v>
      </c>
      <c r="G438" s="72">
        <v>0</v>
      </c>
      <c r="H438" s="72">
        <v>0</v>
      </c>
      <c r="I438" s="72">
        <v>1</v>
      </c>
      <c r="J438" s="72">
        <v>1</v>
      </c>
      <c r="K438" s="72">
        <v>156609</v>
      </c>
      <c r="L438" s="72" t="s">
        <v>2326</v>
      </c>
      <c r="M438" s="72" t="s">
        <v>2419</v>
      </c>
    </row>
    <row r="439" spans="1:13" x14ac:dyDescent="0.2">
      <c r="A439" s="72" t="s">
        <v>179</v>
      </c>
      <c r="B439" s="72" t="s">
        <v>65</v>
      </c>
      <c r="C439" s="72" t="s">
        <v>178</v>
      </c>
      <c r="D439" s="72" t="s">
        <v>35</v>
      </c>
      <c r="E439" s="72" t="s">
        <v>112</v>
      </c>
      <c r="F439" s="72">
        <v>262</v>
      </c>
      <c r="G439" s="72">
        <v>0</v>
      </c>
      <c r="H439" s="72">
        <v>0</v>
      </c>
      <c r="I439" s="72">
        <v>1</v>
      </c>
      <c r="J439" s="72">
        <v>1</v>
      </c>
      <c r="K439" s="72">
        <v>156609</v>
      </c>
      <c r="L439" s="72" t="s">
        <v>2326</v>
      </c>
      <c r="M439" s="72" t="s">
        <v>1874</v>
      </c>
    </row>
    <row r="440" spans="1:13" x14ac:dyDescent="0.2">
      <c r="A440" s="72" t="s">
        <v>180</v>
      </c>
      <c r="B440" s="72" t="s">
        <v>65</v>
      </c>
      <c r="C440" s="72" t="s">
        <v>178</v>
      </c>
      <c r="D440" s="72" t="s">
        <v>35</v>
      </c>
      <c r="E440" s="72" t="s">
        <v>112</v>
      </c>
      <c r="F440" s="72">
        <v>262</v>
      </c>
      <c r="G440" s="72">
        <v>0</v>
      </c>
      <c r="H440" s="72">
        <v>0</v>
      </c>
      <c r="I440" s="72">
        <v>1</v>
      </c>
      <c r="J440" s="72">
        <v>1</v>
      </c>
      <c r="K440" s="72">
        <v>156609</v>
      </c>
      <c r="L440" s="72" t="s">
        <v>2326</v>
      </c>
      <c r="M440" s="72" t="s">
        <v>2420</v>
      </c>
    </row>
    <row r="441" spans="1:13" x14ac:dyDescent="0.2">
      <c r="A441" s="72" t="s">
        <v>181</v>
      </c>
      <c r="B441" s="72" t="s">
        <v>65</v>
      </c>
      <c r="C441" s="72" t="s">
        <v>178</v>
      </c>
      <c r="D441" s="72" t="s">
        <v>35</v>
      </c>
      <c r="E441" s="72" t="s">
        <v>112</v>
      </c>
      <c r="F441" s="72">
        <v>262</v>
      </c>
      <c r="G441" s="72">
        <v>0</v>
      </c>
      <c r="H441" s="72">
        <v>0</v>
      </c>
      <c r="I441" s="72">
        <v>1</v>
      </c>
      <c r="J441" s="72">
        <v>1</v>
      </c>
      <c r="K441" s="72">
        <v>156609</v>
      </c>
      <c r="L441" s="72" t="s">
        <v>2326</v>
      </c>
      <c r="M441" s="72" t="s">
        <v>2421</v>
      </c>
    </row>
    <row r="442" spans="1:13" x14ac:dyDescent="0.2">
      <c r="A442" s="72" t="s">
        <v>182</v>
      </c>
      <c r="B442" s="72" t="s">
        <v>65</v>
      </c>
      <c r="C442" s="72" t="s">
        <v>178</v>
      </c>
      <c r="D442" s="72" t="s">
        <v>35</v>
      </c>
      <c r="E442" s="72" t="s">
        <v>112</v>
      </c>
      <c r="F442" s="72">
        <v>262</v>
      </c>
      <c r="G442" s="72">
        <v>0</v>
      </c>
      <c r="H442" s="72">
        <v>0</v>
      </c>
      <c r="I442" s="72">
        <v>1</v>
      </c>
      <c r="J442" s="72">
        <v>1</v>
      </c>
      <c r="K442" s="72">
        <v>156609</v>
      </c>
      <c r="L442" s="72" t="s">
        <v>2326</v>
      </c>
      <c r="M442" s="72" t="s">
        <v>1768</v>
      </c>
    </row>
    <row r="443" spans="1:13" x14ac:dyDescent="0.2">
      <c r="A443" s="72" t="s">
        <v>183</v>
      </c>
      <c r="B443" s="72" t="s">
        <v>65</v>
      </c>
      <c r="C443" s="72" t="s">
        <v>178</v>
      </c>
      <c r="D443" s="72" t="s">
        <v>35</v>
      </c>
      <c r="E443" s="72" t="s">
        <v>112</v>
      </c>
      <c r="F443" s="72">
        <v>262</v>
      </c>
      <c r="G443" s="72">
        <v>0</v>
      </c>
      <c r="H443" s="72">
        <v>0</v>
      </c>
      <c r="I443" s="72">
        <v>1</v>
      </c>
      <c r="J443" s="72">
        <v>1</v>
      </c>
      <c r="K443" s="72">
        <v>156609</v>
      </c>
      <c r="L443" s="72" t="s">
        <v>2326</v>
      </c>
      <c r="M443" s="72" t="s">
        <v>1934</v>
      </c>
    </row>
    <row r="444" spans="1:13" x14ac:dyDescent="0.2">
      <c r="A444" s="72" t="s">
        <v>184</v>
      </c>
      <c r="B444" s="72" t="s">
        <v>65</v>
      </c>
      <c r="C444" s="72" t="s">
        <v>178</v>
      </c>
      <c r="D444" s="72" t="s">
        <v>35</v>
      </c>
      <c r="E444" s="72" t="s">
        <v>112</v>
      </c>
      <c r="F444" s="72">
        <v>262</v>
      </c>
      <c r="G444" s="72">
        <v>0</v>
      </c>
      <c r="H444" s="72">
        <v>0</v>
      </c>
      <c r="I444" s="72">
        <v>1</v>
      </c>
      <c r="J444" s="72">
        <v>1</v>
      </c>
      <c r="K444" s="72">
        <v>156609</v>
      </c>
      <c r="L444" s="72" t="s">
        <v>2326</v>
      </c>
      <c r="M444" s="72" t="s">
        <v>1567</v>
      </c>
    </row>
    <row r="445" spans="1:13" x14ac:dyDescent="0.2">
      <c r="A445" s="72" t="s">
        <v>185</v>
      </c>
      <c r="B445" s="72" t="s">
        <v>65</v>
      </c>
      <c r="C445" s="72" t="s">
        <v>178</v>
      </c>
      <c r="D445" s="72" t="s">
        <v>35</v>
      </c>
      <c r="E445" s="72" t="s">
        <v>112</v>
      </c>
      <c r="F445" s="72">
        <v>262</v>
      </c>
      <c r="G445" s="72">
        <v>0</v>
      </c>
      <c r="H445" s="72">
        <v>0</v>
      </c>
      <c r="I445" s="72">
        <v>1</v>
      </c>
      <c r="J445" s="72">
        <v>1</v>
      </c>
      <c r="K445" s="72">
        <v>156609</v>
      </c>
      <c r="L445" s="72" t="s">
        <v>2326</v>
      </c>
      <c r="M445" s="72" t="s">
        <v>1825</v>
      </c>
    </row>
    <row r="446" spans="1:13" x14ac:dyDescent="0.2">
      <c r="A446" s="72" t="s">
        <v>186</v>
      </c>
      <c r="B446" s="72" t="s">
        <v>65</v>
      </c>
      <c r="C446" s="72" t="s">
        <v>178</v>
      </c>
      <c r="D446" s="72" t="s">
        <v>35</v>
      </c>
      <c r="E446" s="72" t="s">
        <v>112</v>
      </c>
      <c r="F446" s="72">
        <v>262</v>
      </c>
      <c r="G446" s="72">
        <v>0</v>
      </c>
      <c r="H446" s="72">
        <v>0</v>
      </c>
      <c r="I446" s="72">
        <v>1</v>
      </c>
      <c r="J446" s="72">
        <v>1</v>
      </c>
      <c r="K446" s="72">
        <v>156609</v>
      </c>
      <c r="L446" s="72" t="s">
        <v>2326</v>
      </c>
      <c r="M446" s="72" t="s">
        <v>1966</v>
      </c>
    </row>
    <row r="447" spans="1:13" x14ac:dyDescent="0.2">
      <c r="A447" s="72" t="s">
        <v>187</v>
      </c>
      <c r="B447" s="72" t="s">
        <v>65</v>
      </c>
      <c r="C447" s="72" t="s">
        <v>178</v>
      </c>
      <c r="D447" s="72" t="s">
        <v>35</v>
      </c>
      <c r="E447" s="72" t="s">
        <v>112</v>
      </c>
      <c r="F447" s="72">
        <v>262</v>
      </c>
      <c r="G447" s="72">
        <v>0</v>
      </c>
      <c r="H447" s="72">
        <v>0</v>
      </c>
      <c r="I447" s="72">
        <v>1</v>
      </c>
      <c r="J447" s="72">
        <v>1</v>
      </c>
      <c r="K447" s="72">
        <v>156609</v>
      </c>
      <c r="L447" s="72" t="s">
        <v>2326</v>
      </c>
      <c r="M447" s="72" t="s">
        <v>1637</v>
      </c>
    </row>
    <row r="448" spans="1:13" x14ac:dyDescent="0.2">
      <c r="A448" s="72" t="s">
        <v>166</v>
      </c>
      <c r="B448" s="72" t="s">
        <v>65</v>
      </c>
      <c r="C448" s="72" t="s">
        <v>167</v>
      </c>
      <c r="D448" s="72" t="s">
        <v>35</v>
      </c>
      <c r="E448" s="72" t="s">
        <v>112</v>
      </c>
      <c r="F448" s="72">
        <v>262</v>
      </c>
      <c r="G448" s="72">
        <v>0</v>
      </c>
      <c r="H448" s="72">
        <v>0</v>
      </c>
      <c r="I448" s="72">
        <v>1</v>
      </c>
      <c r="J448" s="72">
        <v>1</v>
      </c>
      <c r="K448" s="72">
        <v>159764</v>
      </c>
      <c r="L448" s="72" t="s">
        <v>2326</v>
      </c>
      <c r="M448" s="72" t="s">
        <v>2422</v>
      </c>
    </row>
    <row r="449" spans="1:13" x14ac:dyDescent="0.2">
      <c r="A449" s="72" t="s">
        <v>168</v>
      </c>
      <c r="B449" s="72" t="s">
        <v>65</v>
      </c>
      <c r="C449" s="72" t="s">
        <v>167</v>
      </c>
      <c r="D449" s="72" t="s">
        <v>35</v>
      </c>
      <c r="E449" s="72" t="s">
        <v>112</v>
      </c>
      <c r="F449" s="72">
        <v>262</v>
      </c>
      <c r="G449" s="72">
        <v>0</v>
      </c>
      <c r="H449" s="72">
        <v>0</v>
      </c>
      <c r="I449" s="72">
        <v>1</v>
      </c>
      <c r="J449" s="72">
        <v>1</v>
      </c>
      <c r="K449" s="72">
        <v>159764</v>
      </c>
      <c r="L449" s="72" t="s">
        <v>2326</v>
      </c>
      <c r="M449" s="72" t="s">
        <v>1920</v>
      </c>
    </row>
    <row r="450" spans="1:13" x14ac:dyDescent="0.2">
      <c r="A450" s="72" t="s">
        <v>169</v>
      </c>
      <c r="B450" s="72" t="s">
        <v>65</v>
      </c>
      <c r="C450" s="72" t="s">
        <v>167</v>
      </c>
      <c r="D450" s="72" t="s">
        <v>35</v>
      </c>
      <c r="E450" s="72" t="s">
        <v>112</v>
      </c>
      <c r="F450" s="72">
        <v>262</v>
      </c>
      <c r="G450" s="72">
        <v>0</v>
      </c>
      <c r="H450" s="72">
        <v>0</v>
      </c>
      <c r="I450" s="72">
        <v>1</v>
      </c>
      <c r="J450" s="72">
        <v>1</v>
      </c>
      <c r="K450" s="72">
        <v>159764</v>
      </c>
      <c r="L450" s="72" t="s">
        <v>2326</v>
      </c>
      <c r="M450" s="72" t="s">
        <v>2423</v>
      </c>
    </row>
    <row r="451" spans="1:13" x14ac:dyDescent="0.2">
      <c r="A451" s="72" t="s">
        <v>170</v>
      </c>
      <c r="B451" s="72" t="s">
        <v>65</v>
      </c>
      <c r="C451" s="72" t="s">
        <v>167</v>
      </c>
      <c r="D451" s="72" t="s">
        <v>35</v>
      </c>
      <c r="E451" s="72" t="s">
        <v>112</v>
      </c>
      <c r="F451" s="72">
        <v>262</v>
      </c>
      <c r="G451" s="72">
        <v>0</v>
      </c>
      <c r="H451" s="72">
        <v>0</v>
      </c>
      <c r="I451" s="72">
        <v>1</v>
      </c>
      <c r="J451" s="72">
        <v>1</v>
      </c>
      <c r="K451" s="72">
        <v>159764</v>
      </c>
      <c r="L451" s="72" t="s">
        <v>2326</v>
      </c>
      <c r="M451" s="72" t="s">
        <v>1573</v>
      </c>
    </row>
    <row r="452" spans="1:13" x14ac:dyDescent="0.2">
      <c r="A452" s="72" t="s">
        <v>171</v>
      </c>
      <c r="B452" s="72" t="s">
        <v>65</v>
      </c>
      <c r="C452" s="72" t="s">
        <v>167</v>
      </c>
      <c r="D452" s="72" t="s">
        <v>35</v>
      </c>
      <c r="E452" s="72" t="s">
        <v>112</v>
      </c>
      <c r="F452" s="72">
        <v>262</v>
      </c>
      <c r="G452" s="72">
        <v>0</v>
      </c>
      <c r="H452" s="72">
        <v>0</v>
      </c>
      <c r="I452" s="72">
        <v>1</v>
      </c>
      <c r="J452" s="72">
        <v>1</v>
      </c>
      <c r="K452" s="72">
        <v>159764</v>
      </c>
      <c r="L452" s="72" t="s">
        <v>2326</v>
      </c>
      <c r="M452" s="72" t="s">
        <v>1831</v>
      </c>
    </row>
    <row r="453" spans="1:13" x14ac:dyDescent="0.2">
      <c r="A453" s="72" t="s">
        <v>172</v>
      </c>
      <c r="B453" s="72" t="s">
        <v>65</v>
      </c>
      <c r="C453" s="72" t="s">
        <v>167</v>
      </c>
      <c r="D453" s="72" t="s">
        <v>35</v>
      </c>
      <c r="E453" s="72" t="s">
        <v>112</v>
      </c>
      <c r="F453" s="72">
        <v>262</v>
      </c>
      <c r="G453" s="72">
        <v>0</v>
      </c>
      <c r="H453" s="72">
        <v>0</v>
      </c>
      <c r="I453" s="72">
        <v>1</v>
      </c>
      <c r="J453" s="72">
        <v>1</v>
      </c>
      <c r="K453" s="72">
        <v>159764</v>
      </c>
      <c r="L453" s="72" t="s">
        <v>2326</v>
      </c>
      <c r="M453" s="72" t="s">
        <v>1969</v>
      </c>
    </row>
    <row r="454" spans="1:13" x14ac:dyDescent="0.2">
      <c r="A454" s="72" t="s">
        <v>173</v>
      </c>
      <c r="B454" s="72" t="s">
        <v>65</v>
      </c>
      <c r="C454" s="72" t="s">
        <v>167</v>
      </c>
      <c r="D454" s="72" t="s">
        <v>35</v>
      </c>
      <c r="E454" s="72" t="s">
        <v>112</v>
      </c>
      <c r="F454" s="72">
        <v>262</v>
      </c>
      <c r="G454" s="72">
        <v>0</v>
      </c>
      <c r="H454" s="72">
        <v>0</v>
      </c>
      <c r="I454" s="72">
        <v>1</v>
      </c>
      <c r="J454" s="72">
        <v>1</v>
      </c>
      <c r="K454" s="72">
        <v>159764</v>
      </c>
      <c r="L454" s="72" t="s">
        <v>2326</v>
      </c>
      <c r="M454" s="72" t="s">
        <v>1643</v>
      </c>
    </row>
    <row r="455" spans="1:13" x14ac:dyDescent="0.2">
      <c r="A455" s="72" t="s">
        <v>174</v>
      </c>
      <c r="B455" s="72" t="s">
        <v>65</v>
      </c>
      <c r="C455" s="72" t="s">
        <v>167</v>
      </c>
      <c r="D455" s="72" t="s">
        <v>35</v>
      </c>
      <c r="E455" s="72" t="s">
        <v>112</v>
      </c>
      <c r="F455" s="72">
        <v>262</v>
      </c>
      <c r="G455" s="72">
        <v>0</v>
      </c>
      <c r="H455" s="72">
        <v>0</v>
      </c>
      <c r="I455" s="72">
        <v>1</v>
      </c>
      <c r="J455" s="72">
        <v>1</v>
      </c>
      <c r="K455" s="72">
        <v>159764</v>
      </c>
      <c r="L455" s="72" t="s">
        <v>2326</v>
      </c>
      <c r="M455" s="72" t="s">
        <v>1880</v>
      </c>
    </row>
    <row r="456" spans="1:13" x14ac:dyDescent="0.2">
      <c r="A456" s="72" t="s">
        <v>175</v>
      </c>
      <c r="B456" s="72" t="s">
        <v>65</v>
      </c>
      <c r="C456" s="72" t="s">
        <v>167</v>
      </c>
      <c r="D456" s="72" t="s">
        <v>35</v>
      </c>
      <c r="E456" s="72" t="s">
        <v>112</v>
      </c>
      <c r="F456" s="72">
        <v>262</v>
      </c>
      <c r="G456" s="72">
        <v>0</v>
      </c>
      <c r="H456" s="72">
        <v>0</v>
      </c>
      <c r="I456" s="72">
        <v>1</v>
      </c>
      <c r="J456" s="72">
        <v>1</v>
      </c>
      <c r="K456" s="72">
        <v>159764</v>
      </c>
      <c r="L456" s="72" t="s">
        <v>2326</v>
      </c>
      <c r="M456" s="72" t="s">
        <v>1998</v>
      </c>
    </row>
    <row r="457" spans="1:13" x14ac:dyDescent="0.2">
      <c r="A457" s="72" t="s">
        <v>176</v>
      </c>
      <c r="B457" s="72" t="s">
        <v>65</v>
      </c>
      <c r="C457" s="72" t="s">
        <v>167</v>
      </c>
      <c r="D457" s="72" t="s">
        <v>35</v>
      </c>
      <c r="E457" s="72" t="s">
        <v>112</v>
      </c>
      <c r="F457" s="72">
        <v>262</v>
      </c>
      <c r="G457" s="72">
        <v>0</v>
      </c>
      <c r="H457" s="72">
        <v>0</v>
      </c>
      <c r="I457" s="72">
        <v>1</v>
      </c>
      <c r="J457" s="72">
        <v>1</v>
      </c>
      <c r="K457" s="72">
        <v>159764</v>
      </c>
      <c r="L457" s="72" t="s">
        <v>2326</v>
      </c>
      <c r="M457" s="72" t="s">
        <v>1700</v>
      </c>
    </row>
    <row r="458" spans="1:13" x14ac:dyDescent="0.2">
      <c r="A458" s="72" t="s">
        <v>155</v>
      </c>
      <c r="B458" s="72" t="s">
        <v>65</v>
      </c>
      <c r="C458" s="72" t="s">
        <v>156</v>
      </c>
      <c r="D458" s="72" t="s">
        <v>35</v>
      </c>
      <c r="E458" s="72" t="s">
        <v>112</v>
      </c>
      <c r="F458" s="72">
        <v>262</v>
      </c>
      <c r="G458" s="72">
        <v>0</v>
      </c>
      <c r="H458" s="72">
        <v>0</v>
      </c>
      <c r="I458" s="72">
        <v>1</v>
      </c>
      <c r="J458" s="72">
        <v>1</v>
      </c>
      <c r="K458" s="72">
        <v>159719</v>
      </c>
      <c r="L458" s="72" t="s">
        <v>2326</v>
      </c>
      <c r="M458" s="72" t="s">
        <v>2424</v>
      </c>
    </row>
    <row r="459" spans="1:13" x14ac:dyDescent="0.2">
      <c r="A459" s="72" t="s">
        <v>157</v>
      </c>
      <c r="B459" s="72" t="s">
        <v>65</v>
      </c>
      <c r="C459" s="72" t="s">
        <v>156</v>
      </c>
      <c r="D459" s="72" t="s">
        <v>35</v>
      </c>
      <c r="E459" s="72" t="s">
        <v>112</v>
      </c>
      <c r="F459" s="72">
        <v>262</v>
      </c>
      <c r="G459" s="72">
        <v>0</v>
      </c>
      <c r="H459" s="72">
        <v>0</v>
      </c>
      <c r="I459" s="72">
        <v>1</v>
      </c>
      <c r="J459" s="72">
        <v>1</v>
      </c>
      <c r="K459" s="72">
        <v>159719</v>
      </c>
      <c r="L459" s="72" t="s">
        <v>2326</v>
      </c>
      <c r="M459" s="72" t="s">
        <v>1882</v>
      </c>
    </row>
    <row r="460" spans="1:13" x14ac:dyDescent="0.2">
      <c r="A460" s="72" t="s">
        <v>158</v>
      </c>
      <c r="B460" s="72" t="s">
        <v>65</v>
      </c>
      <c r="C460" s="72" t="s">
        <v>156</v>
      </c>
      <c r="D460" s="72" t="s">
        <v>35</v>
      </c>
      <c r="E460" s="72" t="s">
        <v>112</v>
      </c>
      <c r="F460" s="72">
        <v>262</v>
      </c>
      <c r="G460" s="72">
        <v>0</v>
      </c>
      <c r="H460" s="72">
        <v>0</v>
      </c>
      <c r="I460" s="72">
        <v>1</v>
      </c>
      <c r="J460" s="72">
        <v>1</v>
      </c>
      <c r="K460" s="72">
        <v>159719</v>
      </c>
      <c r="L460" s="72" t="s">
        <v>2326</v>
      </c>
      <c r="M460" s="72" t="s">
        <v>2425</v>
      </c>
    </row>
    <row r="461" spans="1:13" x14ac:dyDescent="0.2">
      <c r="A461" s="72" t="s">
        <v>159</v>
      </c>
      <c r="B461" s="72" t="s">
        <v>65</v>
      </c>
      <c r="C461" s="72" t="s">
        <v>156</v>
      </c>
      <c r="D461" s="72" t="s">
        <v>35</v>
      </c>
      <c r="E461" s="72" t="s">
        <v>112</v>
      </c>
      <c r="F461" s="72">
        <v>262</v>
      </c>
      <c r="G461" s="72">
        <v>0</v>
      </c>
      <c r="H461" s="72">
        <v>0</v>
      </c>
      <c r="I461" s="72">
        <v>1</v>
      </c>
      <c r="J461" s="72">
        <v>1</v>
      </c>
      <c r="K461" s="72">
        <v>159719</v>
      </c>
      <c r="L461" s="72" t="s">
        <v>2326</v>
      </c>
      <c r="M461" s="72" t="s">
        <v>2426</v>
      </c>
    </row>
    <row r="462" spans="1:13" x14ac:dyDescent="0.2">
      <c r="A462" s="72" t="s">
        <v>160</v>
      </c>
      <c r="B462" s="72" t="s">
        <v>65</v>
      </c>
      <c r="C462" s="72" t="s">
        <v>156</v>
      </c>
      <c r="D462" s="72" t="s">
        <v>35</v>
      </c>
      <c r="E462" s="72" t="s">
        <v>112</v>
      </c>
      <c r="F462" s="72">
        <v>262</v>
      </c>
      <c r="G462" s="72">
        <v>0</v>
      </c>
      <c r="H462" s="72">
        <v>0</v>
      </c>
      <c r="I462" s="72">
        <v>1</v>
      </c>
      <c r="J462" s="72">
        <v>1</v>
      </c>
      <c r="K462" s="72">
        <v>159719</v>
      </c>
      <c r="L462" s="72" t="s">
        <v>2326</v>
      </c>
      <c r="M462" s="72" t="s">
        <v>1784</v>
      </c>
    </row>
    <row r="463" spans="1:13" x14ac:dyDescent="0.2">
      <c r="A463" s="72" t="s">
        <v>161</v>
      </c>
      <c r="B463" s="72" t="s">
        <v>65</v>
      </c>
      <c r="C463" s="72" t="s">
        <v>156</v>
      </c>
      <c r="D463" s="72" t="s">
        <v>35</v>
      </c>
      <c r="E463" s="72" t="s">
        <v>112</v>
      </c>
      <c r="F463" s="72">
        <v>262</v>
      </c>
      <c r="G463" s="72">
        <v>0</v>
      </c>
      <c r="H463" s="72">
        <v>0</v>
      </c>
      <c r="I463" s="72">
        <v>1</v>
      </c>
      <c r="J463" s="72">
        <v>1</v>
      </c>
      <c r="K463" s="72">
        <v>159719</v>
      </c>
      <c r="L463" s="72" t="s">
        <v>2326</v>
      </c>
      <c r="M463" s="72" t="s">
        <v>1939</v>
      </c>
    </row>
    <row r="464" spans="1:13" x14ac:dyDescent="0.2">
      <c r="A464" s="72" t="s">
        <v>162</v>
      </c>
      <c r="B464" s="72" t="s">
        <v>65</v>
      </c>
      <c r="C464" s="72" t="s">
        <v>156</v>
      </c>
      <c r="D464" s="72" t="s">
        <v>35</v>
      </c>
      <c r="E464" s="72" t="s">
        <v>112</v>
      </c>
      <c r="F464" s="72">
        <v>262</v>
      </c>
      <c r="G464" s="72">
        <v>0</v>
      </c>
      <c r="H464" s="72">
        <v>0</v>
      </c>
      <c r="I464" s="72">
        <v>1</v>
      </c>
      <c r="J464" s="72">
        <v>1</v>
      </c>
      <c r="K464" s="72">
        <v>159719</v>
      </c>
      <c r="L464" s="72" t="s">
        <v>2326</v>
      </c>
      <c r="M464" s="72" t="s">
        <v>1575</v>
      </c>
    </row>
    <row r="465" spans="1:13" x14ac:dyDescent="0.2">
      <c r="A465" s="72" t="s">
        <v>163</v>
      </c>
      <c r="B465" s="72" t="s">
        <v>65</v>
      </c>
      <c r="C465" s="72" t="s">
        <v>156</v>
      </c>
      <c r="D465" s="72" t="s">
        <v>35</v>
      </c>
      <c r="E465" s="72" t="s">
        <v>112</v>
      </c>
      <c r="F465" s="72">
        <v>262</v>
      </c>
      <c r="G465" s="72">
        <v>0</v>
      </c>
      <c r="H465" s="72">
        <v>0</v>
      </c>
      <c r="I465" s="72">
        <v>1</v>
      </c>
      <c r="J465" s="72">
        <v>1</v>
      </c>
      <c r="K465" s="72">
        <v>159719</v>
      </c>
      <c r="L465" s="72" t="s">
        <v>2326</v>
      </c>
      <c r="M465" s="72" t="s">
        <v>1833</v>
      </c>
    </row>
    <row r="466" spans="1:13" x14ac:dyDescent="0.2">
      <c r="A466" s="72" t="s">
        <v>164</v>
      </c>
      <c r="B466" s="72" t="s">
        <v>65</v>
      </c>
      <c r="C466" s="72" t="s">
        <v>156</v>
      </c>
      <c r="D466" s="72" t="s">
        <v>35</v>
      </c>
      <c r="E466" s="72" t="s">
        <v>112</v>
      </c>
      <c r="F466" s="72">
        <v>262</v>
      </c>
      <c r="G466" s="72">
        <v>0</v>
      </c>
      <c r="H466" s="72">
        <v>0</v>
      </c>
      <c r="I466" s="72">
        <v>1</v>
      </c>
      <c r="J466" s="72">
        <v>1</v>
      </c>
      <c r="K466" s="72">
        <v>159719</v>
      </c>
      <c r="L466" s="72" t="s">
        <v>2326</v>
      </c>
      <c r="M466" s="72" t="s">
        <v>1971</v>
      </c>
    </row>
    <row r="467" spans="1:13" x14ac:dyDescent="0.2">
      <c r="A467" s="72" t="s">
        <v>165</v>
      </c>
      <c r="B467" s="72" t="s">
        <v>65</v>
      </c>
      <c r="C467" s="72" t="s">
        <v>156</v>
      </c>
      <c r="D467" s="72" t="s">
        <v>35</v>
      </c>
      <c r="E467" s="72" t="s">
        <v>112</v>
      </c>
      <c r="F467" s="72">
        <v>262</v>
      </c>
      <c r="G467" s="72">
        <v>0</v>
      </c>
      <c r="H467" s="72">
        <v>0</v>
      </c>
      <c r="I467" s="72">
        <v>1</v>
      </c>
      <c r="J467" s="72">
        <v>1</v>
      </c>
      <c r="K467" s="72">
        <v>159719</v>
      </c>
      <c r="L467" s="72" t="s">
        <v>2326</v>
      </c>
      <c r="M467" s="72" t="s">
        <v>1645</v>
      </c>
    </row>
    <row r="468" spans="1:13" x14ac:dyDescent="0.2">
      <c r="A468" s="72" t="s">
        <v>144</v>
      </c>
      <c r="B468" s="72" t="s">
        <v>65</v>
      </c>
      <c r="C468" s="72" t="s">
        <v>145</v>
      </c>
      <c r="D468" s="72" t="s">
        <v>35</v>
      </c>
      <c r="E468" s="72" t="s">
        <v>112</v>
      </c>
      <c r="F468" s="72">
        <v>262</v>
      </c>
      <c r="G468" s="72">
        <v>0</v>
      </c>
      <c r="H468" s="72">
        <v>0</v>
      </c>
      <c r="I468" s="72">
        <v>1</v>
      </c>
      <c r="J468" s="72">
        <v>1</v>
      </c>
      <c r="K468" s="72">
        <v>180226</v>
      </c>
      <c r="L468" s="72" t="s">
        <v>2326</v>
      </c>
      <c r="M468" s="72" t="s">
        <v>2427</v>
      </c>
    </row>
    <row r="469" spans="1:13" x14ac:dyDescent="0.2">
      <c r="A469" s="72" t="s">
        <v>146</v>
      </c>
      <c r="B469" s="72" t="s">
        <v>65</v>
      </c>
      <c r="C469" s="72" t="s">
        <v>145</v>
      </c>
      <c r="D469" s="72" t="s">
        <v>35</v>
      </c>
      <c r="E469" s="72" t="s">
        <v>112</v>
      </c>
      <c r="F469" s="72">
        <v>262</v>
      </c>
      <c r="G469" s="72">
        <v>0</v>
      </c>
      <c r="H469" s="72">
        <v>0</v>
      </c>
      <c r="I469" s="72">
        <v>1</v>
      </c>
      <c r="J469" s="72">
        <v>1</v>
      </c>
      <c r="K469" s="72">
        <v>180226</v>
      </c>
      <c r="L469" s="72" t="s">
        <v>2326</v>
      </c>
      <c r="M469" s="72" t="s">
        <v>1672</v>
      </c>
    </row>
    <row r="470" spans="1:13" x14ac:dyDescent="0.2">
      <c r="A470" s="72" t="s">
        <v>147</v>
      </c>
      <c r="B470" s="72" t="s">
        <v>65</v>
      </c>
      <c r="C470" s="72" t="s">
        <v>145</v>
      </c>
      <c r="D470" s="72" t="s">
        <v>35</v>
      </c>
      <c r="E470" s="72" t="s">
        <v>112</v>
      </c>
      <c r="F470" s="72">
        <v>262</v>
      </c>
      <c r="G470" s="72">
        <v>0</v>
      </c>
      <c r="H470" s="72">
        <v>0</v>
      </c>
      <c r="I470" s="72">
        <v>1</v>
      </c>
      <c r="J470" s="72">
        <v>1</v>
      </c>
      <c r="K470" s="72">
        <v>180226</v>
      </c>
      <c r="L470" s="72" t="s">
        <v>2326</v>
      </c>
      <c r="M470" s="72" t="s">
        <v>2428</v>
      </c>
    </row>
    <row r="471" spans="1:13" x14ac:dyDescent="0.2">
      <c r="A471" s="72" t="s">
        <v>148</v>
      </c>
      <c r="B471" s="72" t="s">
        <v>65</v>
      </c>
      <c r="C471" s="72" t="s">
        <v>145</v>
      </c>
      <c r="D471" s="72" t="s">
        <v>35</v>
      </c>
      <c r="E471" s="72" t="s">
        <v>112</v>
      </c>
      <c r="F471" s="72">
        <v>262</v>
      </c>
      <c r="G471" s="72">
        <v>0</v>
      </c>
      <c r="H471" s="72">
        <v>0</v>
      </c>
      <c r="I471" s="72">
        <v>1</v>
      </c>
      <c r="J471" s="72">
        <v>1</v>
      </c>
      <c r="K471" s="72">
        <v>180226</v>
      </c>
      <c r="L471" s="72" t="s">
        <v>2326</v>
      </c>
      <c r="M471" s="72" t="s">
        <v>2429</v>
      </c>
    </row>
    <row r="472" spans="1:13" x14ac:dyDescent="0.2">
      <c r="A472" s="72" t="s">
        <v>149</v>
      </c>
      <c r="B472" s="72" t="s">
        <v>65</v>
      </c>
      <c r="C472" s="72" t="s">
        <v>145</v>
      </c>
      <c r="D472" s="72" t="s">
        <v>35</v>
      </c>
      <c r="E472" s="72" t="s">
        <v>112</v>
      </c>
      <c r="F472" s="72">
        <v>262</v>
      </c>
      <c r="G472" s="72">
        <v>0</v>
      </c>
      <c r="H472" s="72">
        <v>0</v>
      </c>
      <c r="I472" s="72">
        <v>1</v>
      </c>
      <c r="J472" s="72">
        <v>1</v>
      </c>
      <c r="K472" s="72">
        <v>180226</v>
      </c>
      <c r="L472" s="72" t="s">
        <v>2326</v>
      </c>
      <c r="M472" s="72" t="s">
        <v>1522</v>
      </c>
    </row>
    <row r="473" spans="1:13" x14ac:dyDescent="0.2">
      <c r="A473" s="72" t="s">
        <v>150</v>
      </c>
      <c r="B473" s="72" t="s">
        <v>65</v>
      </c>
      <c r="C473" s="72" t="s">
        <v>145</v>
      </c>
      <c r="D473" s="72" t="s">
        <v>35</v>
      </c>
      <c r="E473" s="72" t="s">
        <v>112</v>
      </c>
      <c r="F473" s="72">
        <v>262</v>
      </c>
      <c r="G473" s="72">
        <v>0</v>
      </c>
      <c r="H473" s="72">
        <v>0</v>
      </c>
      <c r="I473" s="72">
        <v>1</v>
      </c>
      <c r="J473" s="72">
        <v>1</v>
      </c>
      <c r="K473" s="72">
        <v>180226</v>
      </c>
      <c r="L473" s="72" t="s">
        <v>2326</v>
      </c>
      <c r="M473" s="72" t="s">
        <v>1799</v>
      </c>
    </row>
    <row r="474" spans="1:13" x14ac:dyDescent="0.2">
      <c r="A474" s="72" t="s">
        <v>151</v>
      </c>
      <c r="B474" s="72" t="s">
        <v>65</v>
      </c>
      <c r="C474" s="72" t="s">
        <v>145</v>
      </c>
      <c r="D474" s="72" t="s">
        <v>35</v>
      </c>
      <c r="E474" s="72" t="s">
        <v>112</v>
      </c>
      <c r="F474" s="72">
        <v>262</v>
      </c>
      <c r="G474" s="72">
        <v>0</v>
      </c>
      <c r="H474" s="72">
        <v>0</v>
      </c>
      <c r="I474" s="72">
        <v>1</v>
      </c>
      <c r="J474" s="72">
        <v>1</v>
      </c>
      <c r="K474" s="72">
        <v>180226</v>
      </c>
      <c r="L474" s="72" t="s">
        <v>2326</v>
      </c>
      <c r="M474" s="72" t="s">
        <v>1951</v>
      </c>
    </row>
    <row r="475" spans="1:13" x14ac:dyDescent="0.2">
      <c r="A475" s="72" t="s">
        <v>152</v>
      </c>
      <c r="B475" s="72" t="s">
        <v>65</v>
      </c>
      <c r="C475" s="72" t="s">
        <v>145</v>
      </c>
      <c r="D475" s="72" t="s">
        <v>35</v>
      </c>
      <c r="E475" s="72" t="s">
        <v>112</v>
      </c>
      <c r="F475" s="72">
        <v>262</v>
      </c>
      <c r="G475" s="72">
        <v>0</v>
      </c>
      <c r="H475" s="72">
        <v>0</v>
      </c>
      <c r="I475" s="72">
        <v>1</v>
      </c>
      <c r="J475" s="72">
        <v>1</v>
      </c>
      <c r="K475" s="72">
        <v>180226</v>
      </c>
      <c r="L475" s="72" t="s">
        <v>2326</v>
      </c>
      <c r="M475" s="72" t="s">
        <v>1596</v>
      </c>
    </row>
    <row r="476" spans="1:13" x14ac:dyDescent="0.2">
      <c r="A476" s="72" t="s">
        <v>153</v>
      </c>
      <c r="B476" s="72" t="s">
        <v>65</v>
      </c>
      <c r="C476" s="72" t="s">
        <v>145</v>
      </c>
      <c r="D476" s="72" t="s">
        <v>35</v>
      </c>
      <c r="E476" s="72" t="s">
        <v>112</v>
      </c>
      <c r="F476" s="72">
        <v>262</v>
      </c>
      <c r="G476" s="72">
        <v>0</v>
      </c>
      <c r="H476" s="72">
        <v>0</v>
      </c>
      <c r="I476" s="72">
        <v>1</v>
      </c>
      <c r="J476" s="72">
        <v>1</v>
      </c>
      <c r="K476" s="72">
        <v>180226</v>
      </c>
      <c r="L476" s="72" t="s">
        <v>2326</v>
      </c>
      <c r="M476" s="72" t="s">
        <v>1843</v>
      </c>
    </row>
    <row r="477" spans="1:13" x14ac:dyDescent="0.2">
      <c r="A477" s="72" t="s">
        <v>154</v>
      </c>
      <c r="B477" s="72" t="s">
        <v>65</v>
      </c>
      <c r="C477" s="72" t="s">
        <v>145</v>
      </c>
      <c r="D477" s="72" t="s">
        <v>35</v>
      </c>
      <c r="E477" s="72" t="s">
        <v>112</v>
      </c>
      <c r="F477" s="72">
        <v>262</v>
      </c>
      <c r="G477" s="72">
        <v>0</v>
      </c>
      <c r="H477" s="72">
        <v>0</v>
      </c>
      <c r="I477" s="72">
        <v>1</v>
      </c>
      <c r="J477" s="72">
        <v>1</v>
      </c>
      <c r="K477" s="72">
        <v>180226</v>
      </c>
      <c r="L477" s="72" t="s">
        <v>2326</v>
      </c>
      <c r="M477" s="72" t="s">
        <v>1977</v>
      </c>
    </row>
    <row r="478" spans="1:13" x14ac:dyDescent="0.2">
      <c r="A478" s="72" t="s">
        <v>133</v>
      </c>
      <c r="B478" s="72" t="s">
        <v>65</v>
      </c>
      <c r="C478" s="72" t="s">
        <v>134</v>
      </c>
      <c r="D478" s="72" t="s">
        <v>35</v>
      </c>
      <c r="E478" s="72" t="s">
        <v>112</v>
      </c>
      <c r="F478" s="72">
        <v>262</v>
      </c>
      <c r="G478" s="72">
        <v>0</v>
      </c>
      <c r="H478" s="72">
        <v>0</v>
      </c>
      <c r="I478" s="72">
        <v>1</v>
      </c>
      <c r="J478" s="72">
        <v>1</v>
      </c>
      <c r="K478" s="72">
        <v>180175</v>
      </c>
      <c r="L478" s="72" t="s">
        <v>2326</v>
      </c>
      <c r="M478" s="72" t="s">
        <v>2430</v>
      </c>
    </row>
    <row r="479" spans="1:13" x14ac:dyDescent="0.2">
      <c r="A479" s="72" t="s">
        <v>135</v>
      </c>
      <c r="B479" s="72" t="s">
        <v>65</v>
      </c>
      <c r="C479" s="72" t="s">
        <v>134</v>
      </c>
      <c r="D479" s="72" t="s">
        <v>35</v>
      </c>
      <c r="E479" s="72" t="s">
        <v>112</v>
      </c>
      <c r="F479" s="72">
        <v>262</v>
      </c>
      <c r="G479" s="72">
        <v>0</v>
      </c>
      <c r="H479" s="72">
        <v>0</v>
      </c>
      <c r="I479" s="72">
        <v>1</v>
      </c>
      <c r="J479" s="72">
        <v>1</v>
      </c>
      <c r="K479" s="72">
        <v>180175</v>
      </c>
      <c r="L479" s="72" t="s">
        <v>2326</v>
      </c>
      <c r="M479" s="72" t="s">
        <v>1709</v>
      </c>
    </row>
    <row r="480" spans="1:13" x14ac:dyDescent="0.2">
      <c r="A480" s="72" t="s">
        <v>136</v>
      </c>
      <c r="B480" s="72" t="s">
        <v>65</v>
      </c>
      <c r="C480" s="72" t="s">
        <v>134</v>
      </c>
      <c r="D480" s="72" t="s">
        <v>35</v>
      </c>
      <c r="E480" s="72" t="s">
        <v>112</v>
      </c>
      <c r="F480" s="72">
        <v>262</v>
      </c>
      <c r="G480" s="72">
        <v>0</v>
      </c>
      <c r="H480" s="72">
        <v>0</v>
      </c>
      <c r="I480" s="72">
        <v>1</v>
      </c>
      <c r="J480" s="72">
        <v>1</v>
      </c>
      <c r="K480" s="72">
        <v>180175</v>
      </c>
      <c r="L480" s="72" t="s">
        <v>2326</v>
      </c>
      <c r="M480" s="72" t="s">
        <v>2431</v>
      </c>
    </row>
    <row r="481" spans="1:13" x14ac:dyDescent="0.2">
      <c r="A481" s="72" t="s">
        <v>137</v>
      </c>
      <c r="B481" s="72" t="s">
        <v>65</v>
      </c>
      <c r="C481" s="72" t="s">
        <v>134</v>
      </c>
      <c r="D481" s="72" t="s">
        <v>35</v>
      </c>
      <c r="E481" s="72" t="s">
        <v>112</v>
      </c>
      <c r="F481" s="72">
        <v>262</v>
      </c>
      <c r="G481" s="72">
        <v>0</v>
      </c>
      <c r="H481" s="72">
        <v>0</v>
      </c>
      <c r="I481" s="72">
        <v>1</v>
      </c>
      <c r="J481" s="72">
        <v>1</v>
      </c>
      <c r="K481" s="72">
        <v>180175</v>
      </c>
      <c r="L481" s="72" t="s">
        <v>2326</v>
      </c>
      <c r="M481" s="72" t="s">
        <v>2432</v>
      </c>
    </row>
    <row r="482" spans="1:13" x14ac:dyDescent="0.2">
      <c r="A482" s="72" t="s">
        <v>138</v>
      </c>
      <c r="B482" s="72" t="s">
        <v>65</v>
      </c>
      <c r="C482" s="72" t="s">
        <v>134</v>
      </c>
      <c r="D482" s="72" t="s">
        <v>35</v>
      </c>
      <c r="E482" s="72" t="s">
        <v>112</v>
      </c>
      <c r="F482" s="72">
        <v>262</v>
      </c>
      <c r="G482" s="72">
        <v>0</v>
      </c>
      <c r="H482" s="72">
        <v>0</v>
      </c>
      <c r="I482" s="72">
        <v>1</v>
      </c>
      <c r="J482" s="72">
        <v>1</v>
      </c>
      <c r="K482" s="72">
        <v>180175</v>
      </c>
      <c r="L482" s="72" t="s">
        <v>2326</v>
      </c>
      <c r="M482" s="72" t="s">
        <v>1593</v>
      </c>
    </row>
    <row r="483" spans="1:13" x14ac:dyDescent="0.2">
      <c r="A483" s="72" t="s">
        <v>139</v>
      </c>
      <c r="B483" s="72" t="s">
        <v>65</v>
      </c>
      <c r="C483" s="72" t="s">
        <v>134</v>
      </c>
      <c r="D483" s="72" t="s">
        <v>35</v>
      </c>
      <c r="E483" s="72" t="s">
        <v>112</v>
      </c>
      <c r="F483" s="72">
        <v>262</v>
      </c>
      <c r="G483" s="72">
        <v>0</v>
      </c>
      <c r="H483" s="72">
        <v>0</v>
      </c>
      <c r="I483" s="72">
        <v>1</v>
      </c>
      <c r="J483" s="72">
        <v>1</v>
      </c>
      <c r="K483" s="72">
        <v>180175</v>
      </c>
      <c r="L483" s="72" t="s">
        <v>2326</v>
      </c>
      <c r="M483" s="72" t="s">
        <v>1839</v>
      </c>
    </row>
    <row r="484" spans="1:13" x14ac:dyDescent="0.2">
      <c r="A484" s="72" t="s">
        <v>140</v>
      </c>
      <c r="B484" s="72" t="s">
        <v>65</v>
      </c>
      <c r="C484" s="72" t="s">
        <v>134</v>
      </c>
      <c r="D484" s="72" t="s">
        <v>35</v>
      </c>
      <c r="E484" s="72" t="s">
        <v>112</v>
      </c>
      <c r="F484" s="72">
        <v>262</v>
      </c>
      <c r="G484" s="72">
        <v>0</v>
      </c>
      <c r="H484" s="72">
        <v>0</v>
      </c>
      <c r="I484" s="72">
        <v>1</v>
      </c>
      <c r="J484" s="72">
        <v>1</v>
      </c>
      <c r="K484" s="72">
        <v>180175</v>
      </c>
      <c r="L484" s="72" t="s">
        <v>2326</v>
      </c>
      <c r="M484" s="72" t="s">
        <v>1974</v>
      </c>
    </row>
    <row r="485" spans="1:13" x14ac:dyDescent="0.2">
      <c r="A485" s="72" t="s">
        <v>141</v>
      </c>
      <c r="B485" s="72" t="s">
        <v>65</v>
      </c>
      <c r="C485" s="72" t="s">
        <v>134</v>
      </c>
      <c r="D485" s="72" t="s">
        <v>35</v>
      </c>
      <c r="E485" s="72" t="s">
        <v>112</v>
      </c>
      <c r="F485" s="72">
        <v>262</v>
      </c>
      <c r="G485" s="72">
        <v>0</v>
      </c>
      <c r="H485" s="72">
        <v>0</v>
      </c>
      <c r="I485" s="72">
        <v>1</v>
      </c>
      <c r="J485" s="72">
        <v>1</v>
      </c>
      <c r="K485" s="72">
        <v>180175</v>
      </c>
      <c r="L485" s="72" t="s">
        <v>2326</v>
      </c>
      <c r="M485" s="72" t="s">
        <v>1669</v>
      </c>
    </row>
    <row r="486" spans="1:13" x14ac:dyDescent="0.2">
      <c r="A486" s="72" t="s">
        <v>142</v>
      </c>
      <c r="B486" s="72" t="s">
        <v>65</v>
      </c>
      <c r="C486" s="72" t="s">
        <v>134</v>
      </c>
      <c r="D486" s="72" t="s">
        <v>35</v>
      </c>
      <c r="E486" s="72" t="s">
        <v>112</v>
      </c>
      <c r="F486" s="72">
        <v>262</v>
      </c>
      <c r="G486" s="72">
        <v>0</v>
      </c>
      <c r="H486" s="72">
        <v>0</v>
      </c>
      <c r="I486" s="72">
        <v>1</v>
      </c>
      <c r="J486" s="72">
        <v>1</v>
      </c>
      <c r="K486" s="72">
        <v>180175</v>
      </c>
      <c r="L486" s="72" t="s">
        <v>2326</v>
      </c>
      <c r="M486" s="72" t="s">
        <v>1893</v>
      </c>
    </row>
    <row r="487" spans="1:13" x14ac:dyDescent="0.2">
      <c r="A487" s="72" t="s">
        <v>143</v>
      </c>
      <c r="B487" s="72" t="s">
        <v>65</v>
      </c>
      <c r="C487" s="72" t="s">
        <v>134</v>
      </c>
      <c r="D487" s="72" t="s">
        <v>35</v>
      </c>
      <c r="E487" s="72" t="s">
        <v>112</v>
      </c>
      <c r="F487" s="72">
        <v>262</v>
      </c>
      <c r="G487" s="72">
        <v>0</v>
      </c>
      <c r="H487" s="72">
        <v>0</v>
      </c>
      <c r="I487" s="72">
        <v>1</v>
      </c>
      <c r="J487" s="72">
        <v>1</v>
      </c>
      <c r="K487" s="72">
        <v>180175</v>
      </c>
      <c r="L487" s="72" t="s">
        <v>2326</v>
      </c>
      <c r="M487" s="72" t="s">
        <v>1405</v>
      </c>
    </row>
    <row r="488" spans="1:13" x14ac:dyDescent="0.2">
      <c r="A488" s="72" t="s">
        <v>122</v>
      </c>
      <c r="B488" s="72" t="s">
        <v>65</v>
      </c>
      <c r="C488" s="72" t="s">
        <v>123</v>
      </c>
      <c r="D488" s="72" t="s">
        <v>35</v>
      </c>
      <c r="E488" s="72" t="s">
        <v>112</v>
      </c>
      <c r="F488" s="72">
        <v>262</v>
      </c>
      <c r="G488" s="72">
        <v>0</v>
      </c>
      <c r="H488" s="72">
        <v>0</v>
      </c>
      <c r="I488" s="72">
        <v>1</v>
      </c>
      <c r="J488" s="72">
        <v>1</v>
      </c>
      <c r="K488" s="72">
        <v>180226</v>
      </c>
      <c r="L488" s="72" t="s">
        <v>2326</v>
      </c>
      <c r="M488" s="72" t="s">
        <v>2433</v>
      </c>
    </row>
    <row r="489" spans="1:13" x14ac:dyDescent="0.2">
      <c r="A489" s="72" t="s">
        <v>124</v>
      </c>
      <c r="B489" s="72" t="s">
        <v>65</v>
      </c>
      <c r="C489" s="72" t="s">
        <v>123</v>
      </c>
      <c r="D489" s="72" t="s">
        <v>35</v>
      </c>
      <c r="E489" s="72" t="s">
        <v>112</v>
      </c>
      <c r="F489" s="72">
        <v>262</v>
      </c>
      <c r="G489" s="72">
        <v>0</v>
      </c>
      <c r="H489" s="72">
        <v>0</v>
      </c>
      <c r="I489" s="72">
        <v>1</v>
      </c>
      <c r="J489" s="72">
        <v>1</v>
      </c>
      <c r="K489" s="72">
        <v>180226</v>
      </c>
      <c r="L489" s="72" t="s">
        <v>2326</v>
      </c>
      <c r="M489" s="72" t="s">
        <v>1805</v>
      </c>
    </row>
    <row r="490" spans="1:13" x14ac:dyDescent="0.2">
      <c r="A490" s="72" t="s">
        <v>125</v>
      </c>
      <c r="B490" s="72" t="s">
        <v>65</v>
      </c>
      <c r="C490" s="72" t="s">
        <v>123</v>
      </c>
      <c r="D490" s="72" t="s">
        <v>35</v>
      </c>
      <c r="E490" s="72" t="s">
        <v>112</v>
      </c>
      <c r="F490" s="72">
        <v>262</v>
      </c>
      <c r="G490" s="72">
        <v>0</v>
      </c>
      <c r="H490" s="72">
        <v>0</v>
      </c>
      <c r="I490" s="72">
        <v>1</v>
      </c>
      <c r="J490" s="72">
        <v>1</v>
      </c>
      <c r="K490" s="72">
        <v>180226</v>
      </c>
      <c r="L490" s="72" t="s">
        <v>2326</v>
      </c>
      <c r="M490" s="72" t="s">
        <v>2434</v>
      </c>
    </row>
    <row r="491" spans="1:13" x14ac:dyDescent="0.2">
      <c r="A491" s="72" t="s">
        <v>126</v>
      </c>
      <c r="B491" s="72" t="s">
        <v>65</v>
      </c>
      <c r="C491" s="72" t="s">
        <v>123</v>
      </c>
      <c r="D491" s="72" t="s">
        <v>35</v>
      </c>
      <c r="E491" s="72" t="s">
        <v>112</v>
      </c>
      <c r="F491" s="72">
        <v>262</v>
      </c>
      <c r="G491" s="72">
        <v>0</v>
      </c>
      <c r="H491" s="72">
        <v>0</v>
      </c>
      <c r="I491" s="72">
        <v>1</v>
      </c>
      <c r="J491" s="72">
        <v>1</v>
      </c>
      <c r="K491" s="72">
        <v>180226</v>
      </c>
      <c r="L491" s="72" t="s">
        <v>2326</v>
      </c>
      <c r="M491" s="72" t="s">
        <v>2435</v>
      </c>
    </row>
    <row r="492" spans="1:13" x14ac:dyDescent="0.2">
      <c r="A492" s="72" t="s">
        <v>127</v>
      </c>
      <c r="B492" s="72" t="s">
        <v>65</v>
      </c>
      <c r="C492" s="72" t="s">
        <v>123</v>
      </c>
      <c r="D492" s="72" t="s">
        <v>35</v>
      </c>
      <c r="E492" s="72" t="s">
        <v>112</v>
      </c>
      <c r="F492" s="72">
        <v>262</v>
      </c>
      <c r="G492" s="72">
        <v>0</v>
      </c>
      <c r="H492" s="72">
        <v>0</v>
      </c>
      <c r="I492" s="72">
        <v>1</v>
      </c>
      <c r="J492" s="72">
        <v>1</v>
      </c>
      <c r="K492" s="72">
        <v>180226</v>
      </c>
      <c r="L492" s="72" t="s">
        <v>2326</v>
      </c>
      <c r="M492" s="72" t="s">
        <v>1666</v>
      </c>
    </row>
    <row r="493" spans="1:13" x14ac:dyDescent="0.2">
      <c r="A493" s="72" t="s">
        <v>128</v>
      </c>
      <c r="B493" s="72" t="s">
        <v>65</v>
      </c>
      <c r="C493" s="72" t="s">
        <v>123</v>
      </c>
      <c r="D493" s="72" t="s">
        <v>35</v>
      </c>
      <c r="E493" s="72" t="s">
        <v>112</v>
      </c>
      <c r="F493" s="72">
        <v>262</v>
      </c>
      <c r="G493" s="72">
        <v>0</v>
      </c>
      <c r="H493" s="72">
        <v>0</v>
      </c>
      <c r="I493" s="72">
        <v>1</v>
      </c>
      <c r="J493" s="72">
        <v>1</v>
      </c>
      <c r="K493" s="72">
        <v>180226</v>
      </c>
      <c r="L493" s="72" t="s">
        <v>2326</v>
      </c>
      <c r="M493" s="72" t="s">
        <v>1890</v>
      </c>
    </row>
    <row r="494" spans="1:13" x14ac:dyDescent="0.2">
      <c r="A494" s="72" t="s">
        <v>129</v>
      </c>
      <c r="B494" s="72" t="s">
        <v>65</v>
      </c>
      <c r="C494" s="72" t="s">
        <v>123</v>
      </c>
      <c r="D494" s="72" t="s">
        <v>35</v>
      </c>
      <c r="E494" s="72" t="s">
        <v>112</v>
      </c>
      <c r="F494" s="72">
        <v>262</v>
      </c>
      <c r="G494" s="72">
        <v>0</v>
      </c>
      <c r="H494" s="72">
        <v>0</v>
      </c>
      <c r="I494" s="72">
        <v>1</v>
      </c>
      <c r="J494" s="72">
        <v>1</v>
      </c>
      <c r="K494" s="72">
        <v>180226</v>
      </c>
      <c r="L494" s="72" t="s">
        <v>2326</v>
      </c>
      <c r="M494" s="72" t="s">
        <v>1402</v>
      </c>
    </row>
    <row r="495" spans="1:13" x14ac:dyDescent="0.2">
      <c r="A495" s="72" t="s">
        <v>130</v>
      </c>
      <c r="B495" s="72" t="s">
        <v>65</v>
      </c>
      <c r="C495" s="72" t="s">
        <v>123</v>
      </c>
      <c r="D495" s="72" t="s">
        <v>35</v>
      </c>
      <c r="E495" s="72" t="s">
        <v>112</v>
      </c>
      <c r="F495" s="72">
        <v>262</v>
      </c>
      <c r="G495" s="72">
        <v>0</v>
      </c>
      <c r="H495" s="72">
        <v>0</v>
      </c>
      <c r="I495" s="72">
        <v>1</v>
      </c>
      <c r="J495" s="72">
        <v>1</v>
      </c>
      <c r="K495" s="72">
        <v>180226</v>
      </c>
      <c r="L495" s="72" t="s">
        <v>2326</v>
      </c>
      <c r="M495" s="72" t="s">
        <v>1706</v>
      </c>
    </row>
    <row r="496" spans="1:13" x14ac:dyDescent="0.2">
      <c r="A496" s="72" t="s">
        <v>131</v>
      </c>
      <c r="B496" s="72" t="s">
        <v>65</v>
      </c>
      <c r="C496" s="72" t="s">
        <v>123</v>
      </c>
      <c r="D496" s="72" t="s">
        <v>35</v>
      </c>
      <c r="E496" s="72" t="s">
        <v>112</v>
      </c>
      <c r="F496" s="72">
        <v>262</v>
      </c>
      <c r="G496" s="72">
        <v>0</v>
      </c>
      <c r="H496" s="72">
        <v>0</v>
      </c>
      <c r="I496" s="72">
        <v>1</v>
      </c>
      <c r="J496" s="72">
        <v>1</v>
      </c>
      <c r="K496" s="72">
        <v>180226</v>
      </c>
      <c r="L496" s="72" t="s">
        <v>2326</v>
      </c>
      <c r="M496" s="72" t="s">
        <v>1926</v>
      </c>
    </row>
    <row r="497" spans="1:13" x14ac:dyDescent="0.2">
      <c r="A497" s="72" t="s">
        <v>132</v>
      </c>
      <c r="B497" s="72" t="s">
        <v>65</v>
      </c>
      <c r="C497" s="72" t="s">
        <v>123</v>
      </c>
      <c r="D497" s="72" t="s">
        <v>35</v>
      </c>
      <c r="E497" s="72" t="s">
        <v>112</v>
      </c>
      <c r="F497" s="72">
        <v>262</v>
      </c>
      <c r="G497" s="72">
        <v>0</v>
      </c>
      <c r="H497" s="72">
        <v>0</v>
      </c>
      <c r="I497" s="72">
        <v>1</v>
      </c>
      <c r="J497" s="72">
        <v>1</v>
      </c>
      <c r="K497" s="72">
        <v>180226</v>
      </c>
      <c r="L497" s="72" t="s">
        <v>2326</v>
      </c>
      <c r="M497" s="72" t="s">
        <v>1528</v>
      </c>
    </row>
    <row r="498" spans="1:13" x14ac:dyDescent="0.2">
      <c r="A498" s="72" t="s">
        <v>110</v>
      </c>
      <c r="B498" s="72" t="s">
        <v>65</v>
      </c>
      <c r="C498" s="72" t="s">
        <v>111</v>
      </c>
      <c r="D498" s="72" t="s">
        <v>35</v>
      </c>
      <c r="E498" s="72" t="s">
        <v>112</v>
      </c>
      <c r="F498" s="72">
        <v>262</v>
      </c>
      <c r="G498" s="72">
        <v>0</v>
      </c>
      <c r="H498" s="72">
        <v>0</v>
      </c>
      <c r="I498" s="72">
        <v>1</v>
      </c>
      <c r="J498" s="72">
        <v>1</v>
      </c>
      <c r="K498" s="72">
        <v>180175</v>
      </c>
      <c r="L498" s="72" t="s">
        <v>2326</v>
      </c>
      <c r="M498" s="72" t="s">
        <v>2436</v>
      </c>
    </row>
    <row r="499" spans="1:13" x14ac:dyDescent="0.2">
      <c r="A499" s="72" t="s">
        <v>113</v>
      </c>
      <c r="B499" s="72" t="s">
        <v>65</v>
      </c>
      <c r="C499" s="72" t="s">
        <v>111</v>
      </c>
      <c r="D499" s="72" t="s">
        <v>35</v>
      </c>
      <c r="E499" s="72" t="s">
        <v>112</v>
      </c>
      <c r="F499" s="72">
        <v>262</v>
      </c>
      <c r="G499" s="72">
        <v>0</v>
      </c>
      <c r="H499" s="72">
        <v>0</v>
      </c>
      <c r="I499" s="72">
        <v>1</v>
      </c>
      <c r="J499" s="72">
        <v>1</v>
      </c>
      <c r="K499" s="72">
        <v>180175</v>
      </c>
      <c r="L499" s="72" t="s">
        <v>2326</v>
      </c>
      <c r="M499" s="72" t="s">
        <v>1846</v>
      </c>
    </row>
    <row r="500" spans="1:13" x14ac:dyDescent="0.2">
      <c r="A500" s="72" t="s">
        <v>114</v>
      </c>
      <c r="B500" s="72" t="s">
        <v>65</v>
      </c>
      <c r="C500" s="72" t="s">
        <v>111</v>
      </c>
      <c r="D500" s="72" t="s">
        <v>35</v>
      </c>
      <c r="E500" s="72" t="s">
        <v>112</v>
      </c>
      <c r="F500" s="72">
        <v>262</v>
      </c>
      <c r="G500" s="72">
        <v>0</v>
      </c>
      <c r="H500" s="72">
        <v>0</v>
      </c>
      <c r="I500" s="72">
        <v>1</v>
      </c>
      <c r="J500" s="72">
        <v>1</v>
      </c>
      <c r="K500" s="72">
        <v>180175</v>
      </c>
      <c r="L500" s="72" t="s">
        <v>2326</v>
      </c>
      <c r="M500" s="72" t="s">
        <v>2437</v>
      </c>
    </row>
    <row r="501" spans="1:13" x14ac:dyDescent="0.2">
      <c r="A501" s="72" t="s">
        <v>115</v>
      </c>
      <c r="B501" s="72" t="s">
        <v>65</v>
      </c>
      <c r="C501" s="72" t="s">
        <v>111</v>
      </c>
      <c r="D501" s="72" t="s">
        <v>35</v>
      </c>
      <c r="E501" s="72" t="s">
        <v>112</v>
      </c>
      <c r="F501" s="72">
        <v>262</v>
      </c>
      <c r="G501" s="72">
        <v>0</v>
      </c>
      <c r="H501" s="72">
        <v>0</v>
      </c>
      <c r="I501" s="72">
        <v>1</v>
      </c>
      <c r="J501" s="72">
        <v>1</v>
      </c>
      <c r="K501" s="72">
        <v>180175</v>
      </c>
      <c r="L501" s="72" t="s">
        <v>2326</v>
      </c>
      <c r="M501" s="72" t="s">
        <v>1399</v>
      </c>
    </row>
    <row r="502" spans="1:13" x14ac:dyDescent="0.2">
      <c r="A502" s="72" t="s">
        <v>116</v>
      </c>
      <c r="B502" s="72" t="s">
        <v>65</v>
      </c>
      <c r="C502" s="72" t="s">
        <v>111</v>
      </c>
      <c r="D502" s="72" t="s">
        <v>35</v>
      </c>
      <c r="E502" s="72" t="s">
        <v>112</v>
      </c>
      <c r="F502" s="72">
        <v>262</v>
      </c>
      <c r="G502" s="72">
        <v>0</v>
      </c>
      <c r="H502" s="72">
        <v>0</v>
      </c>
      <c r="I502" s="72">
        <v>1</v>
      </c>
      <c r="J502" s="72">
        <v>1</v>
      </c>
      <c r="K502" s="72">
        <v>180175</v>
      </c>
      <c r="L502" s="72" t="s">
        <v>2326</v>
      </c>
      <c r="M502" s="72" t="s">
        <v>1703</v>
      </c>
    </row>
    <row r="503" spans="1:13" x14ac:dyDescent="0.2">
      <c r="A503" s="72" t="s">
        <v>117</v>
      </c>
      <c r="B503" s="72" t="s">
        <v>65</v>
      </c>
      <c r="C503" s="72" t="s">
        <v>111</v>
      </c>
      <c r="D503" s="72" t="s">
        <v>35</v>
      </c>
      <c r="E503" s="72" t="s">
        <v>112</v>
      </c>
      <c r="F503" s="72">
        <v>262</v>
      </c>
      <c r="G503" s="72">
        <v>0</v>
      </c>
      <c r="H503" s="72">
        <v>0</v>
      </c>
      <c r="I503" s="72">
        <v>1</v>
      </c>
      <c r="J503" s="72">
        <v>1</v>
      </c>
      <c r="K503" s="72">
        <v>180175</v>
      </c>
      <c r="L503" s="72" t="s">
        <v>2326</v>
      </c>
      <c r="M503" s="72" t="s">
        <v>1923</v>
      </c>
    </row>
    <row r="504" spans="1:13" x14ac:dyDescent="0.2">
      <c r="A504" s="72" t="s">
        <v>118</v>
      </c>
      <c r="B504" s="72" t="s">
        <v>65</v>
      </c>
      <c r="C504" s="72" t="s">
        <v>111</v>
      </c>
      <c r="D504" s="72" t="s">
        <v>35</v>
      </c>
      <c r="E504" s="72" t="s">
        <v>112</v>
      </c>
      <c r="F504" s="72">
        <v>262</v>
      </c>
      <c r="G504" s="72">
        <v>0</v>
      </c>
      <c r="H504" s="72">
        <v>0</v>
      </c>
      <c r="I504" s="72">
        <v>1</v>
      </c>
      <c r="J504" s="72">
        <v>1</v>
      </c>
      <c r="K504" s="72">
        <v>180175</v>
      </c>
      <c r="L504" s="72" t="s">
        <v>2326</v>
      </c>
      <c r="M504" s="72" t="s">
        <v>1525</v>
      </c>
    </row>
    <row r="505" spans="1:13" x14ac:dyDescent="0.2">
      <c r="A505" s="72" t="s">
        <v>119</v>
      </c>
      <c r="B505" s="72" t="s">
        <v>65</v>
      </c>
      <c r="C505" s="72" t="s">
        <v>111</v>
      </c>
      <c r="D505" s="72" t="s">
        <v>35</v>
      </c>
      <c r="E505" s="72" t="s">
        <v>112</v>
      </c>
      <c r="F505" s="72">
        <v>262</v>
      </c>
      <c r="G505" s="72">
        <v>0</v>
      </c>
      <c r="H505" s="72">
        <v>0</v>
      </c>
      <c r="I505" s="72">
        <v>1</v>
      </c>
      <c r="J505" s="72">
        <v>1</v>
      </c>
      <c r="K505" s="72">
        <v>180175</v>
      </c>
      <c r="L505" s="72" t="s">
        <v>2326</v>
      </c>
      <c r="M505" s="72" t="s">
        <v>1802</v>
      </c>
    </row>
    <row r="506" spans="1:13" x14ac:dyDescent="0.2">
      <c r="A506" s="72" t="s">
        <v>120</v>
      </c>
      <c r="B506" s="72" t="s">
        <v>65</v>
      </c>
      <c r="C506" s="72" t="s">
        <v>111</v>
      </c>
      <c r="D506" s="72" t="s">
        <v>35</v>
      </c>
      <c r="E506" s="72" t="s">
        <v>112</v>
      </c>
      <c r="F506" s="72">
        <v>262</v>
      </c>
      <c r="G506" s="72">
        <v>0</v>
      </c>
      <c r="H506" s="72">
        <v>0</v>
      </c>
      <c r="I506" s="72">
        <v>1</v>
      </c>
      <c r="J506" s="72">
        <v>1</v>
      </c>
      <c r="K506" s="72">
        <v>180175</v>
      </c>
      <c r="L506" s="72" t="s">
        <v>2326</v>
      </c>
      <c r="M506" s="72" t="s">
        <v>1954</v>
      </c>
    </row>
    <row r="507" spans="1:13" x14ac:dyDescent="0.2">
      <c r="A507" s="72" t="s">
        <v>121</v>
      </c>
      <c r="B507" s="72" t="s">
        <v>65</v>
      </c>
      <c r="C507" s="72" t="s">
        <v>111</v>
      </c>
      <c r="D507" s="72" t="s">
        <v>35</v>
      </c>
      <c r="E507" s="72" t="s">
        <v>112</v>
      </c>
      <c r="F507" s="72">
        <v>262</v>
      </c>
      <c r="G507" s="72">
        <v>0</v>
      </c>
      <c r="H507" s="72">
        <v>0</v>
      </c>
      <c r="I507" s="72">
        <v>1</v>
      </c>
      <c r="J507" s="72">
        <v>1</v>
      </c>
      <c r="K507" s="72">
        <v>180175</v>
      </c>
      <c r="L507" s="72" t="s">
        <v>2326</v>
      </c>
      <c r="M507" s="72" t="s">
        <v>1599</v>
      </c>
    </row>
    <row r="508" spans="1:13" x14ac:dyDescent="0.2">
      <c r="A508" s="72" t="s">
        <v>99</v>
      </c>
      <c r="B508" s="72" t="s">
        <v>65</v>
      </c>
      <c r="C508" s="72" t="s">
        <v>100</v>
      </c>
      <c r="D508" s="72" t="s">
        <v>32</v>
      </c>
      <c r="E508" s="72" t="s">
        <v>67</v>
      </c>
      <c r="F508" s="72">
        <v>231</v>
      </c>
      <c r="G508" s="72">
        <v>8</v>
      </c>
      <c r="H508" s="72">
        <v>480</v>
      </c>
      <c r="I508" s="72">
        <v>1</v>
      </c>
      <c r="J508" s="72">
        <v>1</v>
      </c>
      <c r="K508" s="72">
        <v>67982</v>
      </c>
      <c r="L508" s="72" t="s">
        <v>2326</v>
      </c>
      <c r="M508" s="72" t="s">
        <v>2438</v>
      </c>
    </row>
    <row r="509" spans="1:13" x14ac:dyDescent="0.2">
      <c r="A509" s="72" t="s">
        <v>101</v>
      </c>
      <c r="B509" s="72" t="s">
        <v>65</v>
      </c>
      <c r="C509" s="72" t="s">
        <v>100</v>
      </c>
      <c r="D509" s="72" t="s">
        <v>32</v>
      </c>
      <c r="E509" s="72" t="s">
        <v>67</v>
      </c>
      <c r="F509" s="72">
        <v>231</v>
      </c>
      <c r="G509" s="72">
        <v>8</v>
      </c>
      <c r="H509" s="72">
        <v>480</v>
      </c>
      <c r="I509" s="72">
        <v>1</v>
      </c>
      <c r="J509" s="72">
        <v>1</v>
      </c>
      <c r="K509" s="72">
        <v>67982</v>
      </c>
      <c r="L509" s="72" t="s">
        <v>2326</v>
      </c>
      <c r="M509" s="72" t="s">
        <v>1059</v>
      </c>
    </row>
    <row r="510" spans="1:13" x14ac:dyDescent="0.2">
      <c r="A510" s="72" t="s">
        <v>102</v>
      </c>
      <c r="B510" s="72" t="s">
        <v>65</v>
      </c>
      <c r="C510" s="72" t="s">
        <v>100</v>
      </c>
      <c r="D510" s="72" t="s">
        <v>32</v>
      </c>
      <c r="E510" s="72" t="s">
        <v>67</v>
      </c>
      <c r="F510" s="72">
        <v>231</v>
      </c>
      <c r="G510" s="72">
        <v>8</v>
      </c>
      <c r="H510" s="72">
        <v>480</v>
      </c>
      <c r="I510" s="72">
        <v>1</v>
      </c>
      <c r="J510" s="72">
        <v>1</v>
      </c>
      <c r="K510" s="72">
        <v>67982</v>
      </c>
      <c r="L510" s="72" t="s">
        <v>2326</v>
      </c>
      <c r="M510" s="72" t="s">
        <v>951</v>
      </c>
    </row>
    <row r="511" spans="1:13" x14ac:dyDescent="0.2">
      <c r="A511" s="72" t="s">
        <v>103</v>
      </c>
      <c r="B511" s="72" t="s">
        <v>65</v>
      </c>
      <c r="C511" s="72" t="s">
        <v>100</v>
      </c>
      <c r="D511" s="72" t="s">
        <v>32</v>
      </c>
      <c r="E511" s="72" t="s">
        <v>67</v>
      </c>
      <c r="F511" s="72">
        <v>231</v>
      </c>
      <c r="G511" s="72">
        <v>8</v>
      </c>
      <c r="H511" s="72">
        <v>480</v>
      </c>
      <c r="I511" s="72">
        <v>1</v>
      </c>
      <c r="J511" s="72">
        <v>1</v>
      </c>
      <c r="K511" s="72">
        <v>67982</v>
      </c>
      <c r="L511" s="72" t="s">
        <v>2326</v>
      </c>
      <c r="M511" s="72" t="s">
        <v>1344</v>
      </c>
    </row>
    <row r="512" spans="1:13" x14ac:dyDescent="0.2">
      <c r="A512" s="72" t="s">
        <v>104</v>
      </c>
      <c r="B512" s="72" t="s">
        <v>65</v>
      </c>
      <c r="C512" s="72" t="s">
        <v>100</v>
      </c>
      <c r="D512" s="72" t="s">
        <v>32</v>
      </c>
      <c r="E512" s="72" t="s">
        <v>67</v>
      </c>
      <c r="F512" s="72">
        <v>231</v>
      </c>
      <c r="G512" s="72">
        <v>8</v>
      </c>
      <c r="H512" s="72">
        <v>480</v>
      </c>
      <c r="I512" s="72">
        <v>1</v>
      </c>
      <c r="J512" s="72">
        <v>1</v>
      </c>
      <c r="K512" s="72">
        <v>67982</v>
      </c>
      <c r="L512" s="72" t="s">
        <v>2326</v>
      </c>
      <c r="M512" s="72" t="s">
        <v>1044</v>
      </c>
    </row>
    <row r="513" spans="1:13" x14ac:dyDescent="0.2">
      <c r="A513" s="72" t="s">
        <v>105</v>
      </c>
      <c r="B513" s="72" t="s">
        <v>65</v>
      </c>
      <c r="C513" s="72" t="s">
        <v>100</v>
      </c>
      <c r="D513" s="72" t="s">
        <v>32</v>
      </c>
      <c r="E513" s="72" t="s">
        <v>67</v>
      </c>
      <c r="F513" s="72">
        <v>231</v>
      </c>
      <c r="G513" s="72">
        <v>8</v>
      </c>
      <c r="H513" s="72">
        <v>480</v>
      </c>
      <c r="I513" s="72">
        <v>1</v>
      </c>
      <c r="J513" s="72">
        <v>1</v>
      </c>
      <c r="K513" s="72">
        <v>67982</v>
      </c>
      <c r="L513" s="72" t="s">
        <v>2326</v>
      </c>
      <c r="M513" s="72" t="s">
        <v>959</v>
      </c>
    </row>
    <row r="514" spans="1:13" x14ac:dyDescent="0.2">
      <c r="A514" s="72" t="s">
        <v>106</v>
      </c>
      <c r="B514" s="72" t="s">
        <v>65</v>
      </c>
      <c r="C514" s="72" t="s">
        <v>100</v>
      </c>
      <c r="D514" s="72" t="s">
        <v>32</v>
      </c>
      <c r="E514" s="72" t="s">
        <v>67</v>
      </c>
      <c r="F514" s="72">
        <v>231</v>
      </c>
      <c r="G514" s="72">
        <v>8</v>
      </c>
      <c r="H514" s="72">
        <v>480</v>
      </c>
      <c r="I514" s="72">
        <v>1</v>
      </c>
      <c r="J514" s="72">
        <v>1</v>
      </c>
      <c r="K514" s="72">
        <v>67982</v>
      </c>
      <c r="L514" s="72" t="s">
        <v>2326</v>
      </c>
      <c r="M514" s="72" t="s">
        <v>1351</v>
      </c>
    </row>
    <row r="515" spans="1:13" x14ac:dyDescent="0.2">
      <c r="A515" s="72" t="s">
        <v>107</v>
      </c>
      <c r="B515" s="72" t="s">
        <v>65</v>
      </c>
      <c r="C515" s="72" t="s">
        <v>100</v>
      </c>
      <c r="D515" s="72" t="s">
        <v>32</v>
      </c>
      <c r="E515" s="72" t="s">
        <v>67</v>
      </c>
      <c r="F515" s="72">
        <v>231</v>
      </c>
      <c r="G515" s="72">
        <v>8</v>
      </c>
      <c r="H515" s="72">
        <v>480</v>
      </c>
      <c r="I515" s="72">
        <v>1</v>
      </c>
      <c r="J515" s="72">
        <v>1</v>
      </c>
      <c r="K515" s="72">
        <v>67982</v>
      </c>
      <c r="L515" s="72" t="s">
        <v>2326</v>
      </c>
      <c r="M515" s="72" t="s">
        <v>1052</v>
      </c>
    </row>
    <row r="516" spans="1:13" x14ac:dyDescent="0.2">
      <c r="A516" s="72" t="s">
        <v>108</v>
      </c>
      <c r="B516" s="72" t="s">
        <v>65</v>
      </c>
      <c r="C516" s="72" t="s">
        <v>100</v>
      </c>
      <c r="D516" s="72" t="s">
        <v>32</v>
      </c>
      <c r="E516" s="72" t="s">
        <v>67</v>
      </c>
      <c r="F516" s="72">
        <v>231</v>
      </c>
      <c r="G516" s="72">
        <v>8</v>
      </c>
      <c r="H516" s="72">
        <v>480</v>
      </c>
      <c r="I516" s="72">
        <v>1</v>
      </c>
      <c r="J516" s="72">
        <v>1</v>
      </c>
      <c r="K516" s="72">
        <v>67982</v>
      </c>
      <c r="L516" s="72" t="s">
        <v>2326</v>
      </c>
      <c r="M516" s="72" t="s">
        <v>966</v>
      </c>
    </row>
    <row r="517" spans="1:13" x14ac:dyDescent="0.2">
      <c r="A517" s="72" t="s">
        <v>109</v>
      </c>
      <c r="B517" s="72" t="s">
        <v>65</v>
      </c>
      <c r="C517" s="72" t="s">
        <v>100</v>
      </c>
      <c r="D517" s="72" t="s">
        <v>32</v>
      </c>
      <c r="E517" s="72" t="s">
        <v>67</v>
      </c>
      <c r="F517" s="72">
        <v>231</v>
      </c>
      <c r="G517" s="72">
        <v>8</v>
      </c>
      <c r="H517" s="72">
        <v>480</v>
      </c>
      <c r="I517" s="72">
        <v>1</v>
      </c>
      <c r="J517" s="72">
        <v>1</v>
      </c>
      <c r="K517" s="72">
        <v>67982</v>
      </c>
      <c r="L517" s="72" t="s">
        <v>2326</v>
      </c>
      <c r="M517" s="72" t="s">
        <v>1359</v>
      </c>
    </row>
    <row r="518" spans="1:13" x14ac:dyDescent="0.2">
      <c r="A518" s="72" t="s">
        <v>88</v>
      </c>
      <c r="B518" s="72" t="s">
        <v>65</v>
      </c>
      <c r="C518" s="72" t="s">
        <v>89</v>
      </c>
      <c r="D518" s="72" t="s">
        <v>32</v>
      </c>
      <c r="E518" s="72" t="s">
        <v>67</v>
      </c>
      <c r="F518" s="72">
        <v>231</v>
      </c>
      <c r="G518" s="72">
        <v>8</v>
      </c>
      <c r="H518" s="72">
        <v>480</v>
      </c>
      <c r="I518" s="72">
        <v>1</v>
      </c>
      <c r="J518" s="72">
        <v>1</v>
      </c>
      <c r="K518" s="72">
        <v>67934</v>
      </c>
      <c r="L518" s="72" t="s">
        <v>2326</v>
      </c>
      <c r="M518" s="72" t="s">
        <v>2439</v>
      </c>
    </row>
    <row r="519" spans="1:13" x14ac:dyDescent="0.2">
      <c r="A519" s="72" t="s">
        <v>90</v>
      </c>
      <c r="B519" s="72" t="s">
        <v>65</v>
      </c>
      <c r="C519" s="72" t="s">
        <v>89</v>
      </c>
      <c r="D519" s="72" t="s">
        <v>32</v>
      </c>
      <c r="E519" s="72" t="s">
        <v>67</v>
      </c>
      <c r="F519" s="72">
        <v>231</v>
      </c>
      <c r="G519" s="72">
        <v>8</v>
      </c>
      <c r="H519" s="72">
        <v>480</v>
      </c>
      <c r="I519" s="72">
        <v>1</v>
      </c>
      <c r="J519" s="72">
        <v>1</v>
      </c>
      <c r="K519" s="72">
        <v>67934</v>
      </c>
      <c r="L519" s="72" t="s">
        <v>2326</v>
      </c>
      <c r="M519" s="72" t="s">
        <v>969</v>
      </c>
    </row>
    <row r="520" spans="1:13" x14ac:dyDescent="0.2">
      <c r="A520" s="72" t="s">
        <v>91</v>
      </c>
      <c r="B520" s="72" t="s">
        <v>65</v>
      </c>
      <c r="C520" s="72" t="s">
        <v>89</v>
      </c>
      <c r="D520" s="72" t="s">
        <v>32</v>
      </c>
      <c r="E520" s="72" t="s">
        <v>67</v>
      </c>
      <c r="F520" s="72">
        <v>231</v>
      </c>
      <c r="G520" s="72">
        <v>8</v>
      </c>
      <c r="H520" s="72">
        <v>480</v>
      </c>
      <c r="I520" s="72">
        <v>1</v>
      </c>
      <c r="J520" s="72">
        <v>1</v>
      </c>
      <c r="K520" s="72">
        <v>67934</v>
      </c>
      <c r="L520" s="72" t="s">
        <v>2326</v>
      </c>
      <c r="M520" s="72" t="s">
        <v>2440</v>
      </c>
    </row>
    <row r="521" spans="1:13" x14ac:dyDescent="0.2">
      <c r="A521" s="72" t="s">
        <v>92</v>
      </c>
      <c r="B521" s="72" t="s">
        <v>65</v>
      </c>
      <c r="C521" s="72" t="s">
        <v>89</v>
      </c>
      <c r="D521" s="72" t="s">
        <v>32</v>
      </c>
      <c r="E521" s="72" t="s">
        <v>67</v>
      </c>
      <c r="F521" s="72">
        <v>231</v>
      </c>
      <c r="G521" s="72">
        <v>8</v>
      </c>
      <c r="H521" s="72">
        <v>480</v>
      </c>
      <c r="I521" s="72">
        <v>1</v>
      </c>
      <c r="J521" s="72">
        <v>1</v>
      </c>
      <c r="K521" s="72">
        <v>67934</v>
      </c>
      <c r="L521" s="72" t="s">
        <v>2326</v>
      </c>
      <c r="M521" s="72" t="s">
        <v>1040</v>
      </c>
    </row>
    <row r="522" spans="1:13" x14ac:dyDescent="0.2">
      <c r="A522" s="72" t="s">
        <v>93</v>
      </c>
      <c r="B522" s="72" t="s">
        <v>65</v>
      </c>
      <c r="C522" s="72" t="s">
        <v>89</v>
      </c>
      <c r="D522" s="72" t="s">
        <v>32</v>
      </c>
      <c r="E522" s="72" t="s">
        <v>67</v>
      </c>
      <c r="F522" s="72">
        <v>231</v>
      </c>
      <c r="G522" s="72">
        <v>8</v>
      </c>
      <c r="H522" s="72">
        <v>480</v>
      </c>
      <c r="I522" s="72">
        <v>1</v>
      </c>
      <c r="J522" s="72">
        <v>1</v>
      </c>
      <c r="K522" s="72">
        <v>67934</v>
      </c>
      <c r="L522" s="72" t="s">
        <v>2326</v>
      </c>
      <c r="M522" s="72" t="s">
        <v>955</v>
      </c>
    </row>
    <row r="523" spans="1:13" x14ac:dyDescent="0.2">
      <c r="A523" s="72" t="s">
        <v>94</v>
      </c>
      <c r="B523" s="72" t="s">
        <v>65</v>
      </c>
      <c r="C523" s="72" t="s">
        <v>89</v>
      </c>
      <c r="D523" s="72" t="s">
        <v>32</v>
      </c>
      <c r="E523" s="72" t="s">
        <v>67</v>
      </c>
      <c r="F523" s="72">
        <v>231</v>
      </c>
      <c r="G523" s="72">
        <v>8</v>
      </c>
      <c r="H523" s="72">
        <v>480</v>
      </c>
      <c r="I523" s="72">
        <v>1</v>
      </c>
      <c r="J523" s="72">
        <v>1</v>
      </c>
      <c r="K523" s="72">
        <v>67934</v>
      </c>
      <c r="L523" s="72" t="s">
        <v>2326</v>
      </c>
      <c r="M523" s="72" t="s">
        <v>1347</v>
      </c>
    </row>
    <row r="524" spans="1:13" x14ac:dyDescent="0.2">
      <c r="A524" s="72" t="s">
        <v>95</v>
      </c>
      <c r="B524" s="72" t="s">
        <v>65</v>
      </c>
      <c r="C524" s="72" t="s">
        <v>89</v>
      </c>
      <c r="D524" s="72" t="s">
        <v>32</v>
      </c>
      <c r="E524" s="72" t="s">
        <v>67</v>
      </c>
      <c r="F524" s="72">
        <v>231</v>
      </c>
      <c r="G524" s="72">
        <v>8</v>
      </c>
      <c r="H524" s="72">
        <v>480</v>
      </c>
      <c r="I524" s="72">
        <v>1</v>
      </c>
      <c r="J524" s="72">
        <v>1</v>
      </c>
      <c r="K524" s="72">
        <v>67934</v>
      </c>
      <c r="L524" s="72" t="s">
        <v>2326</v>
      </c>
      <c r="M524" s="72" t="s">
        <v>1048</v>
      </c>
    </row>
    <row r="525" spans="1:13" x14ac:dyDescent="0.2">
      <c r="A525" s="72" t="s">
        <v>96</v>
      </c>
      <c r="B525" s="72" t="s">
        <v>65</v>
      </c>
      <c r="C525" s="72" t="s">
        <v>89</v>
      </c>
      <c r="D525" s="72" t="s">
        <v>32</v>
      </c>
      <c r="E525" s="72" t="s">
        <v>67</v>
      </c>
      <c r="F525" s="72">
        <v>231</v>
      </c>
      <c r="G525" s="72">
        <v>8</v>
      </c>
      <c r="H525" s="72">
        <v>480</v>
      </c>
      <c r="I525" s="72">
        <v>1</v>
      </c>
      <c r="J525" s="72">
        <v>1</v>
      </c>
      <c r="K525" s="72">
        <v>67934</v>
      </c>
      <c r="L525" s="72" t="s">
        <v>2326</v>
      </c>
      <c r="M525" s="72" t="s">
        <v>962</v>
      </c>
    </row>
    <row r="526" spans="1:13" x14ac:dyDescent="0.2">
      <c r="A526" s="72" t="s">
        <v>97</v>
      </c>
      <c r="B526" s="72" t="s">
        <v>65</v>
      </c>
      <c r="C526" s="72" t="s">
        <v>89</v>
      </c>
      <c r="D526" s="72" t="s">
        <v>32</v>
      </c>
      <c r="E526" s="72" t="s">
        <v>67</v>
      </c>
      <c r="F526" s="72">
        <v>231</v>
      </c>
      <c r="G526" s="72">
        <v>8</v>
      </c>
      <c r="H526" s="72">
        <v>480</v>
      </c>
      <c r="I526" s="72">
        <v>1</v>
      </c>
      <c r="J526" s="72">
        <v>1</v>
      </c>
      <c r="K526" s="72">
        <v>67934</v>
      </c>
      <c r="L526" s="72" t="s">
        <v>2326</v>
      </c>
      <c r="M526" s="72" t="s">
        <v>1355</v>
      </c>
    </row>
    <row r="527" spans="1:13" x14ac:dyDescent="0.2">
      <c r="A527" s="72" t="s">
        <v>98</v>
      </c>
      <c r="B527" s="72" t="s">
        <v>65</v>
      </c>
      <c r="C527" s="72" t="s">
        <v>89</v>
      </c>
      <c r="D527" s="72" t="s">
        <v>32</v>
      </c>
      <c r="E527" s="72" t="s">
        <v>67</v>
      </c>
      <c r="F527" s="72">
        <v>231</v>
      </c>
      <c r="G527" s="72">
        <v>8</v>
      </c>
      <c r="H527" s="72">
        <v>480</v>
      </c>
      <c r="I527" s="72">
        <v>1</v>
      </c>
      <c r="J527" s="72">
        <v>1</v>
      </c>
      <c r="K527" s="72">
        <v>67934</v>
      </c>
      <c r="L527" s="72" t="s">
        <v>2326</v>
      </c>
      <c r="M527" s="72" t="s">
        <v>1055</v>
      </c>
    </row>
    <row r="528" spans="1:13" x14ac:dyDescent="0.2">
      <c r="A528" s="72" t="s">
        <v>77</v>
      </c>
      <c r="B528" s="72" t="s">
        <v>65</v>
      </c>
      <c r="C528" s="72" t="s">
        <v>78</v>
      </c>
      <c r="D528" s="72" t="s">
        <v>32</v>
      </c>
      <c r="E528" s="72" t="s">
        <v>67</v>
      </c>
      <c r="F528" s="72">
        <v>231</v>
      </c>
      <c r="G528" s="72">
        <v>8</v>
      </c>
      <c r="H528" s="72">
        <v>480</v>
      </c>
      <c r="I528" s="72">
        <v>1</v>
      </c>
      <c r="J528" s="72">
        <v>1</v>
      </c>
      <c r="K528" s="72">
        <v>66708</v>
      </c>
      <c r="L528" s="72" t="s">
        <v>2326</v>
      </c>
      <c r="M528" s="72" t="s">
        <v>2441</v>
      </c>
    </row>
    <row r="529" spans="1:13" x14ac:dyDescent="0.2">
      <c r="A529" s="72" t="s">
        <v>79</v>
      </c>
      <c r="B529" s="72" t="s">
        <v>65</v>
      </c>
      <c r="C529" s="72" t="s">
        <v>78</v>
      </c>
      <c r="D529" s="72" t="s">
        <v>32</v>
      </c>
      <c r="E529" s="72" t="s">
        <v>67</v>
      </c>
      <c r="F529" s="72">
        <v>231</v>
      </c>
      <c r="G529" s="72">
        <v>8</v>
      </c>
      <c r="H529" s="72">
        <v>480</v>
      </c>
      <c r="I529" s="72">
        <v>1</v>
      </c>
      <c r="J529" s="72">
        <v>1</v>
      </c>
      <c r="K529" s="72">
        <v>66708</v>
      </c>
      <c r="L529" s="72" t="s">
        <v>2326</v>
      </c>
      <c r="M529" s="72" t="s">
        <v>865</v>
      </c>
    </row>
    <row r="530" spans="1:13" x14ac:dyDescent="0.2">
      <c r="A530" s="72" t="s">
        <v>80</v>
      </c>
      <c r="B530" s="72" t="s">
        <v>65</v>
      </c>
      <c r="C530" s="72" t="s">
        <v>78</v>
      </c>
      <c r="D530" s="72" t="s">
        <v>32</v>
      </c>
      <c r="E530" s="72" t="s">
        <v>67</v>
      </c>
      <c r="F530" s="72">
        <v>231</v>
      </c>
      <c r="G530" s="72">
        <v>8</v>
      </c>
      <c r="H530" s="72">
        <v>480</v>
      </c>
      <c r="I530" s="72">
        <v>1</v>
      </c>
      <c r="J530" s="72">
        <v>1</v>
      </c>
      <c r="K530" s="72">
        <v>66708</v>
      </c>
      <c r="L530" s="72" t="s">
        <v>2326</v>
      </c>
      <c r="M530" s="72" t="s">
        <v>841</v>
      </c>
    </row>
    <row r="531" spans="1:13" x14ac:dyDescent="0.2">
      <c r="A531" s="72" t="s">
        <v>81</v>
      </c>
      <c r="B531" s="72" t="s">
        <v>65</v>
      </c>
      <c r="C531" s="72" t="s">
        <v>78</v>
      </c>
      <c r="D531" s="72" t="s">
        <v>32</v>
      </c>
      <c r="E531" s="72" t="s">
        <v>67</v>
      </c>
      <c r="F531" s="72">
        <v>231</v>
      </c>
      <c r="G531" s="72">
        <v>8</v>
      </c>
      <c r="H531" s="72">
        <v>480</v>
      </c>
      <c r="I531" s="72">
        <v>1</v>
      </c>
      <c r="J531" s="72">
        <v>1</v>
      </c>
      <c r="K531" s="72">
        <v>66708</v>
      </c>
      <c r="L531" s="72" t="s">
        <v>2326</v>
      </c>
      <c r="M531" s="72" t="s">
        <v>816</v>
      </c>
    </row>
    <row r="532" spans="1:13" x14ac:dyDescent="0.2">
      <c r="A532" s="72" t="s">
        <v>82</v>
      </c>
      <c r="B532" s="72" t="s">
        <v>65</v>
      </c>
      <c r="C532" s="72" t="s">
        <v>78</v>
      </c>
      <c r="D532" s="72" t="s">
        <v>32</v>
      </c>
      <c r="E532" s="72" t="s">
        <v>67</v>
      </c>
      <c r="F532" s="72">
        <v>231</v>
      </c>
      <c r="G532" s="72">
        <v>8</v>
      </c>
      <c r="H532" s="72">
        <v>480</v>
      </c>
      <c r="I532" s="72">
        <v>1</v>
      </c>
      <c r="J532" s="72">
        <v>1</v>
      </c>
      <c r="K532" s="72">
        <v>66708</v>
      </c>
      <c r="L532" s="72" t="s">
        <v>2326</v>
      </c>
      <c r="M532" s="72" t="s">
        <v>847</v>
      </c>
    </row>
    <row r="533" spans="1:13" x14ac:dyDescent="0.2">
      <c r="A533" s="72" t="s">
        <v>83</v>
      </c>
      <c r="B533" s="72" t="s">
        <v>65</v>
      </c>
      <c r="C533" s="72" t="s">
        <v>78</v>
      </c>
      <c r="D533" s="72" t="s">
        <v>32</v>
      </c>
      <c r="E533" s="72" t="s">
        <v>67</v>
      </c>
      <c r="F533" s="72">
        <v>231</v>
      </c>
      <c r="G533" s="72">
        <v>8</v>
      </c>
      <c r="H533" s="72">
        <v>480</v>
      </c>
      <c r="I533" s="72">
        <v>1</v>
      </c>
      <c r="J533" s="72">
        <v>1</v>
      </c>
      <c r="K533" s="72">
        <v>66708</v>
      </c>
      <c r="L533" s="72" t="s">
        <v>2326</v>
      </c>
      <c r="M533" s="72" t="s">
        <v>823</v>
      </c>
    </row>
    <row r="534" spans="1:13" x14ac:dyDescent="0.2">
      <c r="A534" s="72" t="s">
        <v>84</v>
      </c>
      <c r="B534" s="72" t="s">
        <v>65</v>
      </c>
      <c r="C534" s="72" t="s">
        <v>78</v>
      </c>
      <c r="D534" s="72" t="s">
        <v>32</v>
      </c>
      <c r="E534" s="72" t="s">
        <v>67</v>
      </c>
      <c r="F534" s="72">
        <v>231</v>
      </c>
      <c r="G534" s="72">
        <v>8</v>
      </c>
      <c r="H534" s="72">
        <v>480</v>
      </c>
      <c r="I534" s="72">
        <v>1</v>
      </c>
      <c r="J534" s="72">
        <v>1</v>
      </c>
      <c r="K534" s="72">
        <v>66708</v>
      </c>
      <c r="L534" s="72" t="s">
        <v>2326</v>
      </c>
      <c r="M534" s="72" t="s">
        <v>853</v>
      </c>
    </row>
    <row r="535" spans="1:13" x14ac:dyDescent="0.2">
      <c r="A535" s="72" t="s">
        <v>85</v>
      </c>
      <c r="B535" s="72" t="s">
        <v>65</v>
      </c>
      <c r="C535" s="72" t="s">
        <v>78</v>
      </c>
      <c r="D535" s="72" t="s">
        <v>32</v>
      </c>
      <c r="E535" s="72" t="s">
        <v>67</v>
      </c>
      <c r="F535" s="72">
        <v>231</v>
      </c>
      <c r="G535" s="72">
        <v>8</v>
      </c>
      <c r="H535" s="72">
        <v>480</v>
      </c>
      <c r="I535" s="72">
        <v>1</v>
      </c>
      <c r="J535" s="72">
        <v>1</v>
      </c>
      <c r="K535" s="72">
        <v>66708</v>
      </c>
      <c r="L535" s="72" t="s">
        <v>2326</v>
      </c>
      <c r="M535" s="72" t="s">
        <v>829</v>
      </c>
    </row>
    <row r="536" spans="1:13" x14ac:dyDescent="0.2">
      <c r="A536" s="72" t="s">
        <v>86</v>
      </c>
      <c r="B536" s="72" t="s">
        <v>65</v>
      </c>
      <c r="C536" s="72" t="s">
        <v>78</v>
      </c>
      <c r="D536" s="72" t="s">
        <v>32</v>
      </c>
      <c r="E536" s="72" t="s">
        <v>67</v>
      </c>
      <c r="F536" s="72">
        <v>231</v>
      </c>
      <c r="G536" s="72">
        <v>8</v>
      </c>
      <c r="H536" s="72">
        <v>480</v>
      </c>
      <c r="I536" s="72">
        <v>1</v>
      </c>
      <c r="J536" s="72">
        <v>1</v>
      </c>
      <c r="K536" s="72">
        <v>66708</v>
      </c>
      <c r="L536" s="72" t="s">
        <v>2326</v>
      </c>
      <c r="M536" s="72" t="s">
        <v>859</v>
      </c>
    </row>
    <row r="537" spans="1:13" x14ac:dyDescent="0.2">
      <c r="A537" s="72" t="s">
        <v>87</v>
      </c>
      <c r="B537" s="72" t="s">
        <v>65</v>
      </c>
      <c r="C537" s="72" t="s">
        <v>78</v>
      </c>
      <c r="D537" s="72" t="s">
        <v>32</v>
      </c>
      <c r="E537" s="72" t="s">
        <v>67</v>
      </c>
      <c r="F537" s="72">
        <v>231</v>
      </c>
      <c r="G537" s="72">
        <v>8</v>
      </c>
      <c r="H537" s="72">
        <v>480</v>
      </c>
      <c r="I537" s="72">
        <v>1</v>
      </c>
      <c r="J537" s="72">
        <v>1</v>
      </c>
      <c r="K537" s="72">
        <v>66708</v>
      </c>
      <c r="L537" s="72" t="s">
        <v>2326</v>
      </c>
      <c r="M537" s="72" t="s">
        <v>835</v>
      </c>
    </row>
    <row r="538" spans="1:13" x14ac:dyDescent="0.2">
      <c r="A538" s="72" t="s">
        <v>64</v>
      </c>
      <c r="B538" s="72" t="s">
        <v>65</v>
      </c>
      <c r="C538" s="72" t="s">
        <v>66</v>
      </c>
      <c r="D538" s="72" t="s">
        <v>32</v>
      </c>
      <c r="E538" s="72" t="s">
        <v>67</v>
      </c>
      <c r="F538" s="72">
        <v>231</v>
      </c>
      <c r="G538" s="72">
        <v>8</v>
      </c>
      <c r="H538" s="72">
        <v>480</v>
      </c>
      <c r="I538" s="72">
        <v>1</v>
      </c>
      <c r="J538" s="72">
        <v>1</v>
      </c>
      <c r="K538" s="72">
        <v>66706</v>
      </c>
      <c r="L538" s="72" t="s">
        <v>2326</v>
      </c>
      <c r="M538" s="72" t="s">
        <v>2442</v>
      </c>
    </row>
    <row r="539" spans="1:13" x14ac:dyDescent="0.2">
      <c r="A539" s="72" t="s">
        <v>68</v>
      </c>
      <c r="B539" s="72" t="s">
        <v>65</v>
      </c>
      <c r="C539" s="72" t="s">
        <v>66</v>
      </c>
      <c r="D539" s="72" t="s">
        <v>32</v>
      </c>
      <c r="E539" s="72" t="s">
        <v>67</v>
      </c>
      <c r="F539" s="72">
        <v>231</v>
      </c>
      <c r="G539" s="72">
        <v>8</v>
      </c>
      <c r="H539" s="72">
        <v>480</v>
      </c>
      <c r="I539" s="72">
        <v>1</v>
      </c>
      <c r="J539" s="72">
        <v>1</v>
      </c>
      <c r="K539" s="72">
        <v>66706</v>
      </c>
      <c r="L539" s="72" t="s">
        <v>2326</v>
      </c>
      <c r="M539" s="72" t="s">
        <v>838</v>
      </c>
    </row>
    <row r="540" spans="1:13" x14ac:dyDescent="0.2">
      <c r="A540" s="72" t="s">
        <v>69</v>
      </c>
      <c r="B540" s="72" t="s">
        <v>65</v>
      </c>
      <c r="C540" s="72" t="s">
        <v>66</v>
      </c>
      <c r="D540" s="72" t="s">
        <v>32</v>
      </c>
      <c r="E540" s="72" t="s">
        <v>67</v>
      </c>
      <c r="F540" s="72">
        <v>231</v>
      </c>
      <c r="G540" s="72">
        <v>8</v>
      </c>
      <c r="H540" s="72">
        <v>480</v>
      </c>
      <c r="I540" s="72">
        <v>1</v>
      </c>
      <c r="J540" s="72">
        <v>1</v>
      </c>
      <c r="K540" s="72">
        <v>66706</v>
      </c>
      <c r="L540" s="72" t="s">
        <v>2326</v>
      </c>
      <c r="M540" s="72" t="s">
        <v>813</v>
      </c>
    </row>
    <row r="541" spans="1:13" x14ac:dyDescent="0.2">
      <c r="A541" s="72" t="s">
        <v>70</v>
      </c>
      <c r="B541" s="72" t="s">
        <v>65</v>
      </c>
      <c r="C541" s="72" t="s">
        <v>66</v>
      </c>
      <c r="D541" s="72" t="s">
        <v>32</v>
      </c>
      <c r="E541" s="72" t="s">
        <v>67</v>
      </c>
      <c r="F541" s="72">
        <v>231</v>
      </c>
      <c r="G541" s="72">
        <v>8</v>
      </c>
      <c r="H541" s="72">
        <v>480</v>
      </c>
      <c r="I541" s="72">
        <v>1</v>
      </c>
      <c r="J541" s="72">
        <v>1</v>
      </c>
      <c r="K541" s="72">
        <v>66706</v>
      </c>
      <c r="L541" s="72" t="s">
        <v>2326</v>
      </c>
      <c r="M541" s="72" t="s">
        <v>844</v>
      </c>
    </row>
    <row r="542" spans="1:13" x14ac:dyDescent="0.2">
      <c r="A542" s="72" t="s">
        <v>71</v>
      </c>
      <c r="B542" s="72" t="s">
        <v>65</v>
      </c>
      <c r="C542" s="72" t="s">
        <v>66</v>
      </c>
      <c r="D542" s="72" t="s">
        <v>32</v>
      </c>
      <c r="E542" s="72" t="s">
        <v>67</v>
      </c>
      <c r="F542" s="72">
        <v>231</v>
      </c>
      <c r="G542" s="72">
        <v>8</v>
      </c>
      <c r="H542" s="72">
        <v>480</v>
      </c>
      <c r="I542" s="72">
        <v>1</v>
      </c>
      <c r="J542" s="72">
        <v>1</v>
      </c>
      <c r="K542" s="72">
        <v>66706</v>
      </c>
      <c r="L542" s="72" t="s">
        <v>2326</v>
      </c>
      <c r="M542" s="72" t="s">
        <v>820</v>
      </c>
    </row>
    <row r="543" spans="1:13" x14ac:dyDescent="0.2">
      <c r="A543" s="72" t="s">
        <v>72</v>
      </c>
      <c r="B543" s="72" t="s">
        <v>65</v>
      </c>
      <c r="C543" s="72" t="s">
        <v>66</v>
      </c>
      <c r="D543" s="72" t="s">
        <v>32</v>
      </c>
      <c r="E543" s="72" t="s">
        <v>67</v>
      </c>
      <c r="F543" s="72">
        <v>231</v>
      </c>
      <c r="G543" s="72">
        <v>8</v>
      </c>
      <c r="H543" s="72">
        <v>480</v>
      </c>
      <c r="I543" s="72">
        <v>1</v>
      </c>
      <c r="J543" s="72">
        <v>1</v>
      </c>
      <c r="K543" s="72">
        <v>66706</v>
      </c>
      <c r="L543" s="72" t="s">
        <v>2326</v>
      </c>
      <c r="M543" s="72" t="s">
        <v>850</v>
      </c>
    </row>
    <row r="544" spans="1:13" x14ac:dyDescent="0.2">
      <c r="A544" s="72" t="s">
        <v>73</v>
      </c>
      <c r="B544" s="72" t="s">
        <v>65</v>
      </c>
      <c r="C544" s="72" t="s">
        <v>66</v>
      </c>
      <c r="D544" s="72" t="s">
        <v>32</v>
      </c>
      <c r="E544" s="72" t="s">
        <v>67</v>
      </c>
      <c r="F544" s="72">
        <v>231</v>
      </c>
      <c r="G544" s="72">
        <v>8</v>
      </c>
      <c r="H544" s="72">
        <v>480</v>
      </c>
      <c r="I544" s="72">
        <v>1</v>
      </c>
      <c r="J544" s="72">
        <v>1</v>
      </c>
      <c r="K544" s="72">
        <v>66706</v>
      </c>
      <c r="L544" s="72" t="s">
        <v>2326</v>
      </c>
      <c r="M544" s="72" t="s">
        <v>826</v>
      </c>
    </row>
    <row r="545" spans="1:13" x14ac:dyDescent="0.2">
      <c r="A545" s="72" t="s">
        <v>74</v>
      </c>
      <c r="B545" s="72" t="s">
        <v>65</v>
      </c>
      <c r="C545" s="72" t="s">
        <v>66</v>
      </c>
      <c r="D545" s="72" t="s">
        <v>32</v>
      </c>
      <c r="E545" s="72" t="s">
        <v>67</v>
      </c>
      <c r="F545" s="72">
        <v>231</v>
      </c>
      <c r="G545" s="72">
        <v>8</v>
      </c>
      <c r="H545" s="72">
        <v>480</v>
      </c>
      <c r="I545" s="72">
        <v>1</v>
      </c>
      <c r="J545" s="72">
        <v>1</v>
      </c>
      <c r="K545" s="72">
        <v>66706</v>
      </c>
      <c r="L545" s="72" t="s">
        <v>2326</v>
      </c>
      <c r="M545" s="72" t="s">
        <v>856</v>
      </c>
    </row>
    <row r="546" spans="1:13" x14ac:dyDescent="0.2">
      <c r="A546" s="72" t="s">
        <v>75</v>
      </c>
      <c r="B546" s="72" t="s">
        <v>65</v>
      </c>
      <c r="C546" s="72" t="s">
        <v>66</v>
      </c>
      <c r="D546" s="72" t="s">
        <v>32</v>
      </c>
      <c r="E546" s="72" t="s">
        <v>67</v>
      </c>
      <c r="F546" s="72">
        <v>231</v>
      </c>
      <c r="G546" s="72">
        <v>8</v>
      </c>
      <c r="H546" s="72">
        <v>480</v>
      </c>
      <c r="I546" s="72">
        <v>1</v>
      </c>
      <c r="J546" s="72">
        <v>1</v>
      </c>
      <c r="K546" s="72">
        <v>66706</v>
      </c>
      <c r="L546" s="72" t="s">
        <v>2326</v>
      </c>
      <c r="M546" s="72" t="s">
        <v>832</v>
      </c>
    </row>
    <row r="547" spans="1:13" x14ac:dyDescent="0.2">
      <c r="A547" s="72" t="s">
        <v>76</v>
      </c>
      <c r="B547" s="72" t="s">
        <v>65</v>
      </c>
      <c r="C547" s="72" t="s">
        <v>66</v>
      </c>
      <c r="D547" s="72" t="s">
        <v>32</v>
      </c>
      <c r="E547" s="72" t="s">
        <v>67</v>
      </c>
      <c r="F547" s="72">
        <v>231</v>
      </c>
      <c r="G547" s="72">
        <v>8</v>
      </c>
      <c r="H547" s="72">
        <v>480</v>
      </c>
      <c r="I547" s="72">
        <v>1</v>
      </c>
      <c r="J547" s="72">
        <v>1</v>
      </c>
      <c r="K547" s="72">
        <v>66706</v>
      </c>
      <c r="L547" s="72" t="s">
        <v>2326</v>
      </c>
      <c r="M547" s="72" t="s">
        <v>862</v>
      </c>
    </row>
    <row r="548" spans="1:13" x14ac:dyDescent="0.2">
      <c r="A548" s="60"/>
      <c r="B548" s="60"/>
      <c r="C548" s="60"/>
      <c r="D548" s="60"/>
      <c r="E548" s="60"/>
      <c r="F548" s="60"/>
      <c r="G548" s="60"/>
      <c r="H548" s="60"/>
      <c r="I548" s="60"/>
    </row>
    <row r="549" spans="1:13" x14ac:dyDescent="0.2">
      <c r="A549" s="61"/>
      <c r="B549" s="60"/>
      <c r="C549" s="60"/>
      <c r="D549" s="60"/>
      <c r="E549" s="60"/>
      <c r="F549" s="60"/>
      <c r="G549" s="60"/>
      <c r="H549" s="60"/>
      <c r="I549" s="60"/>
    </row>
    <row r="550" spans="1:13" x14ac:dyDescent="0.2">
      <c r="A550" s="60"/>
      <c r="B550" s="60"/>
      <c r="C550" s="60"/>
      <c r="D550" s="60"/>
      <c r="E550" s="60"/>
      <c r="F550" s="60"/>
      <c r="G550" s="60"/>
      <c r="H550" s="60"/>
      <c r="I550" s="60"/>
    </row>
    <row r="551" spans="1:13" x14ac:dyDescent="0.2">
      <c r="A551" s="61"/>
      <c r="B551" s="60"/>
      <c r="C551" s="60"/>
      <c r="D551" s="60"/>
      <c r="E551" s="60"/>
      <c r="F551" s="60"/>
      <c r="G551" s="60"/>
      <c r="H551" s="60"/>
      <c r="I551" s="60"/>
    </row>
    <row r="552" spans="1:13" x14ac:dyDescent="0.2">
      <c r="A552" s="60"/>
      <c r="B552" s="60"/>
      <c r="C552" s="60"/>
      <c r="D552" s="60"/>
      <c r="E552" s="60"/>
      <c r="F552" s="60"/>
      <c r="G552" s="60"/>
      <c r="H552" s="60"/>
      <c r="I552" s="60"/>
    </row>
    <row r="553" spans="1:13" x14ac:dyDescent="0.2">
      <c r="A553" s="61"/>
      <c r="B553" s="60"/>
      <c r="C553" s="60"/>
      <c r="D553" s="60"/>
      <c r="E553" s="60"/>
      <c r="F553" s="60"/>
      <c r="G553" s="60"/>
      <c r="H553" s="60"/>
      <c r="I553" s="60"/>
    </row>
    <row r="554" spans="1:13" x14ac:dyDescent="0.2">
      <c r="A554" s="60"/>
      <c r="B554" s="60"/>
      <c r="C554" s="60"/>
      <c r="D554" s="60"/>
      <c r="E554" s="60"/>
      <c r="F554" s="60"/>
      <c r="G554" s="60"/>
      <c r="H554" s="60"/>
      <c r="I554" s="60"/>
    </row>
    <row r="555" spans="1:13" x14ac:dyDescent="0.2">
      <c r="A555" s="61"/>
      <c r="B555" s="60"/>
      <c r="C555" s="60"/>
      <c r="D555" s="60"/>
      <c r="E555" s="60"/>
      <c r="F555" s="60"/>
      <c r="G555" s="60"/>
      <c r="H555" s="60"/>
      <c r="I555" s="60"/>
    </row>
    <row r="556" spans="1:13" x14ac:dyDescent="0.2">
      <c r="A556" s="60"/>
      <c r="B556" s="60"/>
      <c r="C556" s="60"/>
      <c r="D556" s="60"/>
      <c r="E556" s="60"/>
      <c r="F556" s="60"/>
      <c r="G556" s="60"/>
      <c r="H556" s="60"/>
      <c r="I556" s="60"/>
    </row>
    <row r="557" spans="1:13" x14ac:dyDescent="0.2">
      <c r="A557" s="61"/>
      <c r="B557" s="60"/>
      <c r="C557" s="60"/>
      <c r="D557" s="60"/>
      <c r="E557" s="60"/>
      <c r="F557" s="60"/>
      <c r="G557" s="60"/>
      <c r="H557" s="60"/>
      <c r="I557" s="60"/>
    </row>
    <row r="558" spans="1:13" x14ac:dyDescent="0.2">
      <c r="A558" s="60"/>
      <c r="B558" s="60"/>
      <c r="C558" s="60"/>
      <c r="D558" s="60"/>
      <c r="E558" s="60"/>
      <c r="F558" s="60"/>
      <c r="G558" s="60"/>
      <c r="H558" s="60"/>
      <c r="I558" s="60"/>
    </row>
    <row r="559" spans="1:13" x14ac:dyDescent="0.2">
      <c r="A559" s="61"/>
      <c r="B559" s="60"/>
      <c r="C559" s="60"/>
      <c r="D559" s="60"/>
      <c r="E559" s="60"/>
      <c r="F559" s="60"/>
      <c r="G559" s="60"/>
      <c r="H559" s="60"/>
      <c r="I559" s="60"/>
    </row>
    <row r="560" spans="1:13" x14ac:dyDescent="0.2">
      <c r="A560" s="60"/>
      <c r="B560" s="60"/>
      <c r="C560" s="60"/>
      <c r="D560" s="60"/>
      <c r="E560" s="60"/>
      <c r="F560" s="60"/>
      <c r="G560" s="60"/>
      <c r="H560" s="60"/>
      <c r="I560" s="60"/>
    </row>
    <row r="561" spans="1:9" x14ac:dyDescent="0.2">
      <c r="A561" s="61"/>
      <c r="B561" s="60"/>
      <c r="C561" s="60"/>
      <c r="D561" s="60"/>
      <c r="E561" s="60"/>
      <c r="F561" s="60"/>
      <c r="G561" s="60"/>
      <c r="H561" s="60"/>
      <c r="I561" s="60"/>
    </row>
    <row r="562" spans="1:9" x14ac:dyDescent="0.2">
      <c r="A562" s="60"/>
      <c r="B562" s="60"/>
      <c r="C562" s="60"/>
      <c r="D562" s="60"/>
      <c r="E562" s="60"/>
      <c r="F562" s="60"/>
      <c r="G562" s="60"/>
      <c r="H562" s="60"/>
      <c r="I562" s="60"/>
    </row>
    <row r="563" spans="1:9" x14ac:dyDescent="0.2">
      <c r="A563" s="61"/>
      <c r="B563" s="60"/>
      <c r="C563" s="60"/>
      <c r="D563" s="60"/>
      <c r="E563" s="60"/>
      <c r="F563" s="60"/>
      <c r="G563" s="60"/>
      <c r="H563" s="60"/>
      <c r="I563" s="60"/>
    </row>
    <row r="564" spans="1:9" x14ac:dyDescent="0.2">
      <c r="A564" s="60"/>
      <c r="B564" s="60"/>
      <c r="C564" s="60"/>
      <c r="D564" s="60"/>
      <c r="E564" s="60"/>
      <c r="F564" s="60"/>
      <c r="G564" s="60"/>
      <c r="H564" s="60"/>
      <c r="I564" s="60"/>
    </row>
    <row r="565" spans="1:9" x14ac:dyDescent="0.2">
      <c r="A565" s="61"/>
      <c r="B565" s="60"/>
      <c r="C565" s="60"/>
      <c r="D565" s="60"/>
      <c r="E565" s="60"/>
      <c r="F565" s="60"/>
      <c r="G565" s="60"/>
      <c r="H565" s="60"/>
      <c r="I565" s="60"/>
    </row>
    <row r="566" spans="1:9" x14ac:dyDescent="0.2">
      <c r="A566" s="60"/>
      <c r="B566" s="60"/>
      <c r="C566" s="60"/>
      <c r="D566" s="60"/>
      <c r="E566" s="60"/>
      <c r="F566" s="60"/>
      <c r="G566" s="60"/>
      <c r="H566" s="60"/>
      <c r="I566" s="60"/>
    </row>
    <row r="567" spans="1:9" x14ac:dyDescent="0.2">
      <c r="A567" s="61"/>
      <c r="B567" s="60"/>
      <c r="C567" s="60"/>
      <c r="D567" s="60"/>
      <c r="E567" s="60"/>
      <c r="F567" s="60"/>
      <c r="G567" s="60"/>
      <c r="H567" s="60"/>
      <c r="I567" s="60"/>
    </row>
    <row r="568" spans="1:9" x14ac:dyDescent="0.2">
      <c r="A568" s="60"/>
      <c r="B568" s="60"/>
      <c r="C568" s="60"/>
      <c r="D568" s="60"/>
      <c r="E568" s="60"/>
      <c r="F568" s="60"/>
      <c r="G568" s="60"/>
      <c r="H568" s="60"/>
      <c r="I568" s="60"/>
    </row>
    <row r="569" spans="1:9" x14ac:dyDescent="0.2">
      <c r="A569" s="61"/>
      <c r="B569" s="60"/>
      <c r="C569" s="60"/>
      <c r="D569" s="60"/>
      <c r="E569" s="60"/>
      <c r="F569" s="60"/>
      <c r="G569" s="60"/>
      <c r="H569" s="60"/>
      <c r="I569" s="60"/>
    </row>
    <row r="570" spans="1:9" x14ac:dyDescent="0.2">
      <c r="A570" s="60"/>
      <c r="B570" s="60"/>
      <c r="C570" s="60"/>
      <c r="D570" s="60"/>
      <c r="E570" s="60"/>
      <c r="F570" s="60"/>
      <c r="G570" s="60"/>
      <c r="H570" s="60"/>
      <c r="I570" s="60"/>
    </row>
    <row r="571" spans="1:9" x14ac:dyDescent="0.2">
      <c r="A571" s="61"/>
      <c r="B571" s="60"/>
      <c r="C571" s="60"/>
      <c r="D571" s="60"/>
      <c r="E571" s="60"/>
      <c r="F571" s="60"/>
      <c r="G571" s="60"/>
      <c r="H571" s="60"/>
      <c r="I571" s="60"/>
    </row>
    <row r="572" spans="1:9" x14ac:dyDescent="0.2">
      <c r="A572" s="60"/>
      <c r="B572" s="60"/>
      <c r="C572" s="60"/>
      <c r="D572" s="60"/>
      <c r="E572" s="60"/>
      <c r="F572" s="60"/>
      <c r="G572" s="60"/>
      <c r="H572" s="60"/>
      <c r="I572" s="60"/>
    </row>
    <row r="573" spans="1:9" x14ac:dyDescent="0.2">
      <c r="A573" s="61"/>
      <c r="B573" s="60"/>
      <c r="C573" s="60"/>
      <c r="D573" s="60"/>
      <c r="E573" s="60"/>
      <c r="F573" s="60"/>
      <c r="G573" s="60"/>
      <c r="H573" s="60"/>
      <c r="I573" s="60"/>
    </row>
    <row r="574" spans="1:9" x14ac:dyDescent="0.2">
      <c r="A574" s="60"/>
      <c r="B574" s="60"/>
      <c r="C574" s="60"/>
      <c r="D574" s="60"/>
      <c r="E574" s="60"/>
      <c r="F574" s="60"/>
      <c r="G574" s="60"/>
      <c r="H574" s="60"/>
      <c r="I574" s="60"/>
    </row>
    <row r="575" spans="1:9" x14ac:dyDescent="0.2">
      <c r="A575" s="61"/>
      <c r="B575" s="60"/>
      <c r="C575" s="60"/>
      <c r="D575" s="60"/>
      <c r="E575" s="60"/>
      <c r="F575" s="60"/>
      <c r="G575" s="60"/>
      <c r="H575" s="60"/>
      <c r="I575" s="60"/>
    </row>
    <row r="576" spans="1:9" x14ac:dyDescent="0.2">
      <c r="A576" s="60"/>
      <c r="B576" s="60"/>
      <c r="C576" s="60"/>
      <c r="D576" s="60"/>
      <c r="E576" s="60"/>
      <c r="F576" s="60"/>
      <c r="G576" s="60"/>
      <c r="H576" s="60"/>
      <c r="I576" s="60"/>
    </row>
    <row r="577" spans="1:9" x14ac:dyDescent="0.2">
      <c r="A577" s="61"/>
      <c r="B577" s="60"/>
      <c r="C577" s="60"/>
      <c r="D577" s="60"/>
      <c r="E577" s="60"/>
      <c r="F577" s="60"/>
      <c r="G577" s="60"/>
      <c r="H577" s="60"/>
      <c r="I577" s="60"/>
    </row>
    <row r="578" spans="1:9" x14ac:dyDescent="0.2">
      <c r="A578" s="60"/>
      <c r="B578" s="60"/>
      <c r="C578" s="60"/>
      <c r="D578" s="60"/>
      <c r="E578" s="60"/>
      <c r="F578" s="60"/>
      <c r="G578" s="60"/>
      <c r="H578" s="60"/>
      <c r="I578" s="60"/>
    </row>
    <row r="579" spans="1:9" x14ac:dyDescent="0.2">
      <c r="A579" s="61"/>
      <c r="B579" s="60"/>
      <c r="C579" s="60"/>
      <c r="D579" s="60"/>
      <c r="E579" s="60"/>
      <c r="F579" s="60"/>
      <c r="G579" s="60"/>
      <c r="H579" s="60"/>
      <c r="I579" s="60"/>
    </row>
    <row r="580" spans="1:9" x14ac:dyDescent="0.2">
      <c r="A580" s="60"/>
      <c r="B580" s="60"/>
      <c r="C580" s="60"/>
      <c r="D580" s="60"/>
      <c r="E580" s="60"/>
      <c r="F580" s="60"/>
      <c r="G580" s="60"/>
      <c r="H580" s="60"/>
      <c r="I580" s="60"/>
    </row>
    <row r="581" spans="1:9" x14ac:dyDescent="0.2">
      <c r="A581" s="61"/>
      <c r="B581" s="60"/>
      <c r="C581" s="60"/>
      <c r="D581" s="60"/>
      <c r="E581" s="60"/>
      <c r="F581" s="60"/>
      <c r="G581" s="60"/>
      <c r="H581" s="60"/>
      <c r="I581" s="60"/>
    </row>
    <row r="582" spans="1:9" x14ac:dyDescent="0.2">
      <c r="A582" s="60"/>
      <c r="B582" s="60"/>
      <c r="C582" s="60"/>
      <c r="D582" s="60"/>
      <c r="E582" s="60"/>
      <c r="F582" s="60"/>
      <c r="G582" s="60"/>
      <c r="H582" s="60"/>
      <c r="I582" s="60"/>
    </row>
    <row r="583" spans="1:9" x14ac:dyDescent="0.2">
      <c r="A583" s="61"/>
      <c r="B583" s="60"/>
      <c r="C583" s="60"/>
      <c r="D583" s="60"/>
      <c r="E583" s="60"/>
      <c r="F583" s="60"/>
      <c r="G583" s="60"/>
      <c r="H583" s="60"/>
      <c r="I583" s="60"/>
    </row>
    <row r="584" spans="1:9" x14ac:dyDescent="0.2">
      <c r="A584" s="60"/>
      <c r="B584" s="60"/>
      <c r="C584" s="60"/>
      <c r="D584" s="60"/>
      <c r="E584" s="60"/>
      <c r="F584" s="60"/>
      <c r="G584" s="60"/>
      <c r="H584" s="60"/>
      <c r="I584" s="60"/>
    </row>
    <row r="585" spans="1:9" x14ac:dyDescent="0.2">
      <c r="A585" s="61"/>
      <c r="B585" s="60"/>
      <c r="C585" s="60"/>
      <c r="D585" s="60"/>
      <c r="E585" s="60"/>
      <c r="F585" s="60"/>
      <c r="G585" s="60"/>
      <c r="H585" s="60"/>
      <c r="I585" s="60"/>
    </row>
    <row r="586" spans="1:9" x14ac:dyDescent="0.2">
      <c r="A586" s="60"/>
      <c r="B586" s="60"/>
      <c r="C586" s="60"/>
      <c r="D586" s="60"/>
      <c r="E586" s="60"/>
      <c r="F586" s="60"/>
      <c r="G586" s="60"/>
      <c r="H586" s="60"/>
      <c r="I586" s="60"/>
    </row>
    <row r="587" spans="1:9" x14ac:dyDescent="0.2">
      <c r="A587" s="61"/>
      <c r="B587" s="60"/>
      <c r="C587" s="60"/>
      <c r="D587" s="60"/>
      <c r="E587" s="60"/>
      <c r="F587" s="60"/>
      <c r="G587" s="60"/>
      <c r="H587" s="60"/>
      <c r="I587" s="60"/>
    </row>
    <row r="588" spans="1:9" x14ac:dyDescent="0.2">
      <c r="A588" s="60"/>
      <c r="B588" s="60"/>
      <c r="C588" s="60"/>
      <c r="D588" s="60"/>
      <c r="E588" s="60"/>
      <c r="F588" s="60"/>
      <c r="G588" s="60"/>
      <c r="H588" s="60"/>
      <c r="I588" s="60"/>
    </row>
    <row r="589" spans="1:9" x14ac:dyDescent="0.2">
      <c r="A589" s="61"/>
      <c r="B589" s="60"/>
      <c r="C589" s="60"/>
      <c r="D589" s="60"/>
      <c r="E589" s="60"/>
      <c r="F589" s="60"/>
      <c r="G589" s="60"/>
      <c r="H589" s="60"/>
      <c r="I589" s="60"/>
    </row>
    <row r="590" spans="1:9" x14ac:dyDescent="0.2">
      <c r="A590" s="60"/>
      <c r="B590" s="60"/>
      <c r="C590" s="60"/>
      <c r="D590" s="60"/>
      <c r="E590" s="60"/>
      <c r="F590" s="60"/>
      <c r="G590" s="60"/>
      <c r="H590" s="60"/>
      <c r="I590" s="60"/>
    </row>
    <row r="591" spans="1:9" x14ac:dyDescent="0.2">
      <c r="A591" s="61"/>
      <c r="B591" s="60"/>
      <c r="C591" s="60"/>
      <c r="D591" s="60"/>
      <c r="E591" s="60"/>
      <c r="F591" s="60"/>
      <c r="G591" s="60"/>
      <c r="H591" s="60"/>
      <c r="I591" s="60"/>
    </row>
    <row r="592" spans="1:9" x14ac:dyDescent="0.2">
      <c r="A592" s="60"/>
      <c r="B592" s="60"/>
      <c r="C592" s="60"/>
      <c r="D592" s="60"/>
      <c r="E592" s="60"/>
      <c r="F592" s="60"/>
      <c r="G592" s="60"/>
      <c r="H592" s="60"/>
      <c r="I592" s="60"/>
    </row>
    <row r="593" spans="1:9" x14ac:dyDescent="0.2">
      <c r="A593" s="61"/>
      <c r="B593" s="60"/>
      <c r="C593" s="60"/>
      <c r="D593" s="60"/>
      <c r="E593" s="60"/>
      <c r="F593" s="60"/>
      <c r="G593" s="60"/>
      <c r="H593" s="60"/>
      <c r="I593" s="60"/>
    </row>
    <row r="594" spans="1:9" x14ac:dyDescent="0.2">
      <c r="A594" s="60"/>
      <c r="B594" s="60"/>
      <c r="C594" s="60"/>
      <c r="D594" s="60"/>
      <c r="E594" s="60"/>
      <c r="F594" s="60"/>
      <c r="G594" s="60"/>
      <c r="H594" s="60"/>
      <c r="I594" s="60"/>
    </row>
    <row r="595" spans="1:9" x14ac:dyDescent="0.2">
      <c r="A595" s="61"/>
      <c r="B595" s="60"/>
      <c r="C595" s="60"/>
      <c r="D595" s="60"/>
      <c r="E595" s="60"/>
      <c r="F595" s="60"/>
      <c r="G595" s="60"/>
      <c r="H595" s="60"/>
      <c r="I595" s="60"/>
    </row>
    <row r="596" spans="1:9" x14ac:dyDescent="0.2">
      <c r="A596" s="60"/>
      <c r="B596" s="60"/>
      <c r="C596" s="60"/>
      <c r="D596" s="60"/>
      <c r="E596" s="60"/>
      <c r="F596" s="60"/>
      <c r="G596" s="60"/>
      <c r="H596" s="60"/>
      <c r="I596" s="60"/>
    </row>
    <row r="597" spans="1:9" x14ac:dyDescent="0.2">
      <c r="A597" s="61"/>
      <c r="B597" s="60"/>
      <c r="C597" s="60"/>
      <c r="D597" s="60"/>
      <c r="E597" s="60"/>
      <c r="F597" s="60"/>
      <c r="G597" s="60"/>
      <c r="H597" s="60"/>
      <c r="I597" s="60"/>
    </row>
    <row r="598" spans="1:9" x14ac:dyDescent="0.2">
      <c r="A598" s="60"/>
      <c r="B598" s="60"/>
      <c r="C598" s="60"/>
      <c r="D598" s="60"/>
      <c r="E598" s="60"/>
      <c r="F598" s="60"/>
      <c r="G598" s="60"/>
      <c r="H598" s="60"/>
      <c r="I598" s="60"/>
    </row>
    <row r="599" spans="1:9" x14ac:dyDescent="0.2">
      <c r="A599" s="61"/>
      <c r="B599" s="60"/>
      <c r="C599" s="60"/>
      <c r="D599" s="60"/>
      <c r="E599" s="60"/>
      <c r="F599" s="60"/>
      <c r="G599" s="60"/>
      <c r="H599" s="60"/>
      <c r="I599" s="60"/>
    </row>
    <row r="600" spans="1:9" x14ac:dyDescent="0.2">
      <c r="A600" s="60"/>
      <c r="B600" s="60"/>
      <c r="C600" s="60"/>
      <c r="D600" s="60"/>
      <c r="E600" s="60"/>
      <c r="F600" s="60"/>
      <c r="G600" s="60"/>
      <c r="H600" s="60"/>
      <c r="I600" s="60"/>
    </row>
    <row r="601" spans="1:9" x14ac:dyDescent="0.2">
      <c r="A601" s="61"/>
      <c r="B601" s="60"/>
      <c r="C601" s="60"/>
      <c r="D601" s="60"/>
      <c r="E601" s="60"/>
      <c r="F601" s="60"/>
      <c r="G601" s="60"/>
      <c r="H601" s="60"/>
      <c r="I601" s="60"/>
    </row>
    <row r="602" spans="1:9" x14ac:dyDescent="0.2">
      <c r="A602" s="60"/>
      <c r="B602" s="60"/>
      <c r="C602" s="60"/>
      <c r="D602" s="60"/>
      <c r="E602" s="60"/>
      <c r="F602" s="60"/>
      <c r="G602" s="60"/>
      <c r="H602" s="60"/>
      <c r="I602" s="60"/>
    </row>
    <row r="603" spans="1:9" x14ac:dyDescent="0.2">
      <c r="A603" s="61"/>
      <c r="B603" s="60"/>
      <c r="C603" s="60"/>
      <c r="D603" s="60"/>
      <c r="E603" s="60"/>
      <c r="F603" s="60"/>
      <c r="G603" s="60"/>
      <c r="H603" s="60"/>
      <c r="I603" s="60"/>
    </row>
    <row r="604" spans="1:9" x14ac:dyDescent="0.2">
      <c r="A604" s="60"/>
      <c r="B604" s="60"/>
      <c r="C604" s="60"/>
      <c r="D604" s="60"/>
      <c r="E604" s="60"/>
      <c r="F604" s="60"/>
      <c r="G604" s="60"/>
      <c r="H604" s="60"/>
      <c r="I604" s="60"/>
    </row>
    <row r="605" spans="1:9" x14ac:dyDescent="0.2">
      <c r="A605" s="61"/>
      <c r="B605" s="60"/>
      <c r="C605" s="60"/>
      <c r="D605" s="60"/>
      <c r="E605" s="60"/>
      <c r="F605" s="60"/>
      <c r="G605" s="60"/>
      <c r="H605" s="60"/>
      <c r="I605" s="60"/>
    </row>
    <row r="606" spans="1:9" x14ac:dyDescent="0.2">
      <c r="A606" s="60"/>
      <c r="B606" s="60"/>
      <c r="C606" s="60"/>
      <c r="D606" s="60"/>
      <c r="E606" s="60"/>
      <c r="F606" s="60"/>
      <c r="G606" s="60"/>
      <c r="H606" s="60"/>
      <c r="I606" s="60"/>
    </row>
    <row r="607" spans="1:9" x14ac:dyDescent="0.2">
      <c r="A607" s="61"/>
      <c r="B607" s="60"/>
      <c r="C607" s="60"/>
      <c r="D607" s="60"/>
      <c r="E607" s="60"/>
      <c r="F607" s="60"/>
      <c r="G607" s="60"/>
      <c r="H607" s="60"/>
      <c r="I607" s="60"/>
    </row>
    <row r="608" spans="1:9" x14ac:dyDescent="0.2">
      <c r="A608" s="60"/>
      <c r="B608" s="60"/>
      <c r="C608" s="60"/>
      <c r="D608" s="60"/>
      <c r="E608" s="60"/>
      <c r="F608" s="60"/>
      <c r="G608" s="60"/>
      <c r="H608" s="60"/>
      <c r="I608" s="60"/>
    </row>
    <row r="609" spans="1:9" x14ac:dyDescent="0.2">
      <c r="A609" s="61"/>
      <c r="B609" s="60"/>
      <c r="C609" s="60"/>
      <c r="D609" s="60"/>
      <c r="E609" s="60"/>
      <c r="F609" s="60"/>
      <c r="G609" s="60"/>
      <c r="H609" s="60"/>
      <c r="I609" s="60"/>
    </row>
    <row r="610" spans="1:9" x14ac:dyDescent="0.2">
      <c r="A610" s="60"/>
      <c r="B610" s="60"/>
      <c r="C610" s="60"/>
      <c r="D610" s="60"/>
      <c r="E610" s="60"/>
      <c r="F610" s="60"/>
      <c r="G610" s="60"/>
      <c r="H610" s="60"/>
      <c r="I610" s="60"/>
    </row>
    <row r="611" spans="1:9" x14ac:dyDescent="0.2">
      <c r="A611" s="61"/>
      <c r="B611" s="60"/>
      <c r="C611" s="60"/>
      <c r="D611" s="60"/>
      <c r="E611" s="60"/>
      <c r="F611" s="60"/>
      <c r="G611" s="60"/>
      <c r="H611" s="60"/>
      <c r="I611" s="60"/>
    </row>
    <row r="612" spans="1:9" x14ac:dyDescent="0.2">
      <c r="A612" s="60"/>
      <c r="B612" s="60"/>
      <c r="C612" s="60"/>
      <c r="D612" s="60"/>
      <c r="E612" s="60"/>
      <c r="F612" s="60"/>
      <c r="G612" s="60"/>
      <c r="H612" s="60"/>
      <c r="I612" s="60"/>
    </row>
    <row r="613" spans="1:9" x14ac:dyDescent="0.2">
      <c r="A613" s="61"/>
      <c r="B613" s="60"/>
      <c r="C613" s="60"/>
      <c r="D613" s="60"/>
      <c r="E613" s="60"/>
      <c r="F613" s="60"/>
      <c r="G613" s="60"/>
      <c r="H613" s="60"/>
      <c r="I613" s="60"/>
    </row>
    <row r="614" spans="1:9" x14ac:dyDescent="0.2">
      <c r="A614" s="60"/>
      <c r="B614" s="60"/>
      <c r="C614" s="60"/>
      <c r="D614" s="60"/>
      <c r="E614" s="60"/>
      <c r="F614" s="60"/>
      <c r="G614" s="60"/>
      <c r="H614" s="60"/>
      <c r="I614" s="60"/>
    </row>
    <row r="615" spans="1:9" x14ac:dyDescent="0.2">
      <c r="A615" s="61"/>
      <c r="B615" s="60"/>
      <c r="C615" s="60"/>
      <c r="D615" s="60"/>
      <c r="E615" s="60"/>
      <c r="F615" s="60"/>
      <c r="G615" s="60"/>
      <c r="H615" s="60"/>
      <c r="I615" s="60"/>
    </row>
    <row r="616" spans="1:9" x14ac:dyDescent="0.2">
      <c r="A616" s="60"/>
      <c r="B616" s="60"/>
      <c r="C616" s="60"/>
      <c r="D616" s="60"/>
      <c r="E616" s="60"/>
      <c r="F616" s="60"/>
      <c r="G616" s="60"/>
      <c r="H616" s="60"/>
      <c r="I616" s="60"/>
    </row>
    <row r="617" spans="1:9" x14ac:dyDescent="0.2">
      <c r="A617" s="61"/>
      <c r="B617" s="60"/>
      <c r="C617" s="60"/>
      <c r="D617" s="60"/>
      <c r="E617" s="60"/>
      <c r="F617" s="60"/>
      <c r="G617" s="60"/>
      <c r="H617" s="60"/>
      <c r="I617" s="60"/>
    </row>
    <row r="618" spans="1:9" x14ac:dyDescent="0.2">
      <c r="A618" s="60"/>
      <c r="B618" s="60"/>
      <c r="C618" s="60"/>
      <c r="D618" s="60"/>
      <c r="E618" s="60"/>
      <c r="F618" s="60"/>
      <c r="G618" s="60"/>
      <c r="H618" s="60"/>
      <c r="I618" s="60"/>
    </row>
    <row r="619" spans="1:9" x14ac:dyDescent="0.2">
      <c r="A619" s="61"/>
      <c r="B619" s="60"/>
      <c r="C619" s="60"/>
      <c r="D619" s="60"/>
      <c r="E619" s="60"/>
      <c r="F619" s="60"/>
      <c r="G619" s="60"/>
      <c r="H619" s="60"/>
      <c r="I619" s="60"/>
    </row>
    <row r="620" spans="1:9" x14ac:dyDescent="0.2">
      <c r="A620" s="60"/>
      <c r="B620" s="60"/>
      <c r="C620" s="60"/>
      <c r="D620" s="60"/>
      <c r="E620" s="60"/>
      <c r="F620" s="60"/>
      <c r="G620" s="60"/>
      <c r="H620" s="60"/>
      <c r="I620" s="60"/>
    </row>
    <row r="621" spans="1:9" x14ac:dyDescent="0.2">
      <c r="A621" s="61"/>
      <c r="B621" s="60"/>
      <c r="C621" s="60"/>
      <c r="D621" s="60"/>
      <c r="E621" s="60"/>
      <c r="F621" s="60"/>
      <c r="G621" s="60"/>
      <c r="H621" s="60"/>
      <c r="I621" s="60"/>
    </row>
    <row r="622" spans="1:9" x14ac:dyDescent="0.2">
      <c r="A622" s="60"/>
      <c r="B622" s="60"/>
      <c r="C622" s="60"/>
      <c r="D622" s="60"/>
      <c r="E622" s="60"/>
      <c r="F622" s="60"/>
      <c r="G622" s="60"/>
      <c r="H622" s="60"/>
      <c r="I622" s="60"/>
    </row>
    <row r="623" spans="1:9" x14ac:dyDescent="0.2">
      <c r="A623" s="61"/>
      <c r="B623" s="60"/>
      <c r="C623" s="60"/>
      <c r="D623" s="60"/>
      <c r="E623" s="60"/>
      <c r="F623" s="60"/>
      <c r="G623" s="60"/>
      <c r="H623" s="60"/>
      <c r="I623" s="60"/>
    </row>
    <row r="624" spans="1:9" x14ac:dyDescent="0.2">
      <c r="A624" s="60"/>
      <c r="B624" s="60"/>
      <c r="C624" s="60"/>
      <c r="D624" s="60"/>
      <c r="E624" s="60"/>
      <c r="F624" s="60"/>
      <c r="G624" s="60"/>
      <c r="H624" s="60"/>
      <c r="I624" s="60"/>
    </row>
    <row r="625" spans="1:9" x14ac:dyDescent="0.2">
      <c r="A625" s="61"/>
      <c r="B625" s="60"/>
      <c r="C625" s="60"/>
      <c r="D625" s="60"/>
      <c r="E625" s="60"/>
      <c r="F625" s="60"/>
      <c r="G625" s="60"/>
      <c r="H625" s="60"/>
      <c r="I625" s="60"/>
    </row>
    <row r="626" spans="1:9" x14ac:dyDescent="0.2">
      <c r="A626" s="60"/>
      <c r="B626" s="60"/>
      <c r="C626" s="60"/>
      <c r="D626" s="60"/>
      <c r="E626" s="60"/>
      <c r="F626" s="60"/>
      <c r="G626" s="60"/>
      <c r="H626" s="60"/>
      <c r="I626" s="60"/>
    </row>
    <row r="627" spans="1:9" x14ac:dyDescent="0.2">
      <c r="A627" s="61"/>
      <c r="B627" s="60"/>
      <c r="C627" s="60"/>
      <c r="D627" s="60"/>
      <c r="E627" s="60"/>
      <c r="F627" s="60"/>
      <c r="G627" s="60"/>
      <c r="H627" s="60"/>
      <c r="I627" s="60"/>
    </row>
    <row r="628" spans="1:9" x14ac:dyDescent="0.2">
      <c r="A628" s="60"/>
      <c r="B628" s="60"/>
      <c r="C628" s="60"/>
      <c r="D628" s="60"/>
      <c r="E628" s="60"/>
      <c r="F628" s="60"/>
      <c r="G628" s="60"/>
      <c r="H628" s="60"/>
      <c r="I628" s="60"/>
    </row>
    <row r="629" spans="1:9" x14ac:dyDescent="0.2">
      <c r="A629" s="61"/>
      <c r="B629" s="60"/>
      <c r="C629" s="60"/>
      <c r="D629" s="60"/>
      <c r="E629" s="60"/>
      <c r="F629" s="60"/>
      <c r="G629" s="60"/>
      <c r="H629" s="60"/>
      <c r="I629" s="60"/>
    </row>
    <row r="630" spans="1:9" x14ac:dyDescent="0.2">
      <c r="A630" s="60"/>
      <c r="B630" s="60"/>
      <c r="C630" s="60"/>
      <c r="D630" s="60"/>
      <c r="E630" s="60"/>
      <c r="F630" s="60"/>
      <c r="G630" s="60"/>
      <c r="H630" s="60"/>
      <c r="I630" s="60"/>
    </row>
    <row r="631" spans="1:9" x14ac:dyDescent="0.2">
      <c r="A631" s="61"/>
      <c r="B631" s="60"/>
      <c r="C631" s="60"/>
      <c r="D631" s="60"/>
      <c r="E631" s="60"/>
      <c r="F631" s="60"/>
      <c r="G631" s="60"/>
      <c r="H631" s="60"/>
      <c r="I631" s="60"/>
    </row>
    <row r="632" spans="1:9" x14ac:dyDescent="0.2">
      <c r="A632" s="60"/>
      <c r="B632" s="60"/>
      <c r="C632" s="60"/>
      <c r="D632" s="60"/>
      <c r="E632" s="60"/>
      <c r="F632" s="60"/>
      <c r="G632" s="60"/>
      <c r="H632" s="60"/>
      <c r="I632" s="60"/>
    </row>
    <row r="633" spans="1:9" x14ac:dyDescent="0.2">
      <c r="A633" s="61"/>
      <c r="B633" s="60"/>
      <c r="C633" s="60"/>
      <c r="D633" s="60"/>
      <c r="E633" s="60"/>
      <c r="F633" s="60"/>
      <c r="G633" s="60"/>
      <c r="H633" s="60"/>
      <c r="I633" s="60"/>
    </row>
    <row r="634" spans="1:9" x14ac:dyDescent="0.2">
      <c r="A634" s="60"/>
      <c r="B634" s="60"/>
      <c r="C634" s="60"/>
      <c r="D634" s="60"/>
      <c r="E634" s="60"/>
      <c r="F634" s="60"/>
      <c r="G634" s="60"/>
      <c r="H634" s="60"/>
      <c r="I634" s="60"/>
    </row>
    <row r="635" spans="1:9" x14ac:dyDescent="0.2">
      <c r="A635" s="61"/>
      <c r="B635" s="60"/>
      <c r="C635" s="60"/>
      <c r="D635" s="60"/>
      <c r="E635" s="60"/>
      <c r="F635" s="60"/>
      <c r="G635" s="60"/>
      <c r="H635" s="60"/>
      <c r="I635" s="60"/>
    </row>
    <row r="636" spans="1:9" x14ac:dyDescent="0.2">
      <c r="A636" s="60"/>
      <c r="B636" s="60"/>
      <c r="C636" s="60"/>
      <c r="D636" s="60"/>
      <c r="E636" s="60"/>
      <c r="F636" s="60"/>
      <c r="G636" s="60"/>
      <c r="H636" s="60"/>
      <c r="I636" s="60"/>
    </row>
    <row r="637" spans="1:9" x14ac:dyDescent="0.2">
      <c r="A637" s="61"/>
      <c r="B637" s="60"/>
      <c r="C637" s="60"/>
      <c r="D637" s="60"/>
      <c r="E637" s="60"/>
      <c r="F637" s="60"/>
      <c r="G637" s="60"/>
      <c r="H637" s="60"/>
      <c r="I637" s="60"/>
    </row>
    <row r="638" spans="1:9" x14ac:dyDescent="0.2">
      <c r="A638" s="60"/>
      <c r="B638" s="60"/>
      <c r="C638" s="60"/>
      <c r="D638" s="60"/>
      <c r="E638" s="60"/>
      <c r="F638" s="60"/>
      <c r="G638" s="60"/>
      <c r="H638" s="60"/>
      <c r="I638" s="60"/>
    </row>
    <row r="639" spans="1:9" x14ac:dyDescent="0.2">
      <c r="A639" s="61"/>
      <c r="B639" s="60"/>
      <c r="C639" s="60"/>
      <c r="D639" s="60"/>
      <c r="E639" s="60"/>
      <c r="F639" s="60"/>
      <c r="G639" s="60"/>
      <c r="H639" s="60"/>
      <c r="I639" s="60"/>
    </row>
    <row r="640" spans="1:9" x14ac:dyDescent="0.2">
      <c r="A640" s="60"/>
      <c r="B640" s="60"/>
      <c r="C640" s="60"/>
      <c r="D640" s="60"/>
      <c r="E640" s="60"/>
      <c r="F640" s="60"/>
      <c r="G640" s="60"/>
      <c r="H640" s="60"/>
      <c r="I640" s="60"/>
    </row>
    <row r="641" spans="1:9" x14ac:dyDescent="0.2">
      <c r="A641" s="61"/>
      <c r="B641" s="60"/>
      <c r="C641" s="60"/>
      <c r="D641" s="60"/>
      <c r="E641" s="60"/>
      <c r="F641" s="60"/>
      <c r="G641" s="60"/>
      <c r="H641" s="60"/>
      <c r="I641" s="60"/>
    </row>
    <row r="642" spans="1:9" x14ac:dyDescent="0.2">
      <c r="A642" s="60"/>
      <c r="B642" s="60"/>
      <c r="C642" s="60"/>
      <c r="D642" s="60"/>
      <c r="E642" s="60"/>
      <c r="F642" s="60"/>
      <c r="G642" s="60"/>
      <c r="H642" s="60"/>
      <c r="I642" s="60"/>
    </row>
    <row r="643" spans="1:9" x14ac:dyDescent="0.2">
      <c r="A643" s="61"/>
      <c r="B643" s="60"/>
      <c r="C643" s="60"/>
      <c r="D643" s="60"/>
      <c r="E643" s="60"/>
      <c r="F643" s="60"/>
      <c r="G643" s="60"/>
      <c r="H643" s="60"/>
      <c r="I643" s="60"/>
    </row>
    <row r="644" spans="1:9" x14ac:dyDescent="0.2">
      <c r="A644" s="60"/>
      <c r="B644" s="60"/>
      <c r="C644" s="60"/>
      <c r="D644" s="60"/>
      <c r="E644" s="60"/>
      <c r="F644" s="60"/>
      <c r="G644" s="60"/>
      <c r="H644" s="60"/>
      <c r="I644" s="60"/>
    </row>
    <row r="645" spans="1:9" x14ac:dyDescent="0.2">
      <c r="A645" s="61"/>
      <c r="B645" s="60"/>
      <c r="C645" s="60"/>
      <c r="D645" s="60"/>
      <c r="E645" s="60"/>
      <c r="F645" s="60"/>
      <c r="G645" s="60"/>
      <c r="H645" s="60"/>
      <c r="I645" s="60"/>
    </row>
    <row r="646" spans="1:9" x14ac:dyDescent="0.2">
      <c r="A646" s="60"/>
      <c r="B646" s="60"/>
      <c r="C646" s="60"/>
      <c r="D646" s="60"/>
      <c r="E646" s="60"/>
      <c r="F646" s="60"/>
      <c r="G646" s="60"/>
      <c r="H646" s="60"/>
      <c r="I646" s="60"/>
    </row>
    <row r="647" spans="1:9" x14ac:dyDescent="0.2">
      <c r="A647" s="61"/>
      <c r="B647" s="60"/>
      <c r="C647" s="60"/>
      <c r="D647" s="60"/>
      <c r="E647" s="60"/>
      <c r="F647" s="60"/>
      <c r="G647" s="60"/>
      <c r="H647" s="60"/>
      <c r="I647" s="60"/>
    </row>
    <row r="648" spans="1:9" x14ac:dyDescent="0.2">
      <c r="A648" s="60"/>
      <c r="B648" s="60"/>
      <c r="C648" s="60"/>
      <c r="D648" s="60"/>
      <c r="E648" s="60"/>
      <c r="F648" s="60"/>
      <c r="G648" s="60"/>
      <c r="H648" s="60"/>
      <c r="I648" s="60"/>
    </row>
    <row r="649" spans="1:9" x14ac:dyDescent="0.2">
      <c r="A649" s="61"/>
      <c r="B649" s="60"/>
      <c r="C649" s="60"/>
      <c r="D649" s="60"/>
      <c r="E649" s="60"/>
      <c r="F649" s="60"/>
      <c r="G649" s="60"/>
      <c r="H649" s="60"/>
      <c r="I649" s="60"/>
    </row>
    <row r="650" spans="1:9" x14ac:dyDescent="0.2">
      <c r="A650" s="60"/>
      <c r="B650" s="60"/>
      <c r="C650" s="60"/>
      <c r="D650" s="60"/>
      <c r="E650" s="60"/>
      <c r="F650" s="60"/>
      <c r="G650" s="60"/>
      <c r="H650" s="60"/>
      <c r="I650" s="60"/>
    </row>
    <row r="651" spans="1:9" x14ac:dyDescent="0.2">
      <c r="A651" s="61"/>
      <c r="B651" s="60"/>
      <c r="C651" s="60"/>
      <c r="D651" s="60"/>
      <c r="E651" s="60"/>
      <c r="F651" s="60"/>
      <c r="G651" s="60"/>
      <c r="H651" s="60"/>
      <c r="I651" s="60"/>
    </row>
    <row r="652" spans="1:9" x14ac:dyDescent="0.2">
      <c r="A652" s="60"/>
      <c r="B652" s="60"/>
      <c r="C652" s="60"/>
      <c r="D652" s="60"/>
      <c r="E652" s="60"/>
      <c r="F652" s="60"/>
      <c r="G652" s="60"/>
      <c r="H652" s="60"/>
      <c r="I652" s="60"/>
    </row>
    <row r="653" spans="1:9" x14ac:dyDescent="0.2">
      <c r="A653" s="61"/>
      <c r="B653" s="60"/>
      <c r="C653" s="60"/>
      <c r="D653" s="60"/>
      <c r="E653" s="60"/>
      <c r="F653" s="60"/>
      <c r="G653" s="60"/>
      <c r="H653" s="60"/>
      <c r="I653" s="60"/>
    </row>
    <row r="654" spans="1:9" x14ac:dyDescent="0.2">
      <c r="A654" s="60"/>
      <c r="B654" s="60"/>
      <c r="C654" s="60"/>
      <c r="D654" s="60"/>
      <c r="E654" s="60"/>
      <c r="F654" s="60"/>
      <c r="G654" s="60"/>
      <c r="H654" s="60"/>
      <c r="I654" s="60"/>
    </row>
    <row r="655" spans="1:9" x14ac:dyDescent="0.2">
      <c r="A655" s="61"/>
      <c r="B655" s="60"/>
      <c r="C655" s="60"/>
      <c r="D655" s="60"/>
      <c r="E655" s="60"/>
      <c r="F655" s="60"/>
      <c r="G655" s="60"/>
      <c r="H655" s="60"/>
      <c r="I655" s="60"/>
    </row>
    <row r="656" spans="1:9" x14ac:dyDescent="0.2">
      <c r="A656" s="60"/>
      <c r="B656" s="60"/>
      <c r="C656" s="60"/>
      <c r="D656" s="60"/>
      <c r="E656" s="60"/>
      <c r="F656" s="60"/>
      <c r="G656" s="60"/>
      <c r="H656" s="60"/>
      <c r="I656" s="60"/>
    </row>
    <row r="657" spans="1:9" x14ac:dyDescent="0.2">
      <c r="A657" s="61"/>
      <c r="B657" s="60"/>
      <c r="C657" s="60"/>
      <c r="D657" s="60"/>
      <c r="E657" s="60"/>
      <c r="F657" s="60"/>
      <c r="G657" s="60"/>
      <c r="H657" s="60"/>
      <c r="I657" s="60"/>
    </row>
    <row r="658" spans="1:9" x14ac:dyDescent="0.2">
      <c r="A658" s="60"/>
      <c r="B658" s="60"/>
      <c r="C658" s="60"/>
      <c r="D658" s="60"/>
      <c r="E658" s="60"/>
      <c r="F658" s="60"/>
      <c r="G658" s="60"/>
      <c r="H658" s="60"/>
      <c r="I658" s="60"/>
    </row>
    <row r="659" spans="1:9" x14ac:dyDescent="0.2">
      <c r="A659" s="61"/>
      <c r="B659" s="60"/>
      <c r="C659" s="60"/>
      <c r="D659" s="60"/>
      <c r="E659" s="60"/>
      <c r="F659" s="60"/>
      <c r="G659" s="60"/>
      <c r="H659" s="60"/>
      <c r="I659" s="60"/>
    </row>
    <row r="660" spans="1:9" x14ac:dyDescent="0.2">
      <c r="A660" s="60"/>
      <c r="B660" s="60"/>
      <c r="C660" s="60"/>
      <c r="D660" s="60"/>
      <c r="E660" s="60"/>
      <c r="F660" s="60"/>
      <c r="G660" s="60"/>
      <c r="H660" s="60"/>
      <c r="I660" s="60"/>
    </row>
    <row r="661" spans="1:9" x14ac:dyDescent="0.2">
      <c r="A661" s="61"/>
      <c r="B661" s="60"/>
      <c r="C661" s="60"/>
      <c r="D661" s="60"/>
      <c r="E661" s="60"/>
      <c r="F661" s="60"/>
      <c r="G661" s="60"/>
      <c r="H661" s="60"/>
      <c r="I661" s="60"/>
    </row>
    <row r="662" spans="1:9" x14ac:dyDescent="0.2">
      <c r="A662" s="60"/>
      <c r="B662" s="60"/>
      <c r="C662" s="60"/>
      <c r="D662" s="60"/>
      <c r="E662" s="60"/>
      <c r="F662" s="60"/>
      <c r="G662" s="60"/>
      <c r="H662" s="60"/>
      <c r="I662" s="60"/>
    </row>
    <row r="663" spans="1:9" x14ac:dyDescent="0.2">
      <c r="A663" s="61"/>
      <c r="B663" s="60"/>
      <c r="C663" s="60"/>
      <c r="D663" s="60"/>
      <c r="E663" s="60"/>
      <c r="F663" s="60"/>
      <c r="G663" s="60"/>
      <c r="H663" s="60"/>
      <c r="I663" s="60"/>
    </row>
    <row r="664" spans="1:9" x14ac:dyDescent="0.2">
      <c r="A664" s="60"/>
      <c r="B664" s="60"/>
      <c r="C664" s="60"/>
      <c r="D664" s="60"/>
      <c r="E664" s="60"/>
      <c r="F664" s="60"/>
      <c r="G664" s="60"/>
      <c r="H664" s="60"/>
      <c r="I664" s="60"/>
    </row>
    <row r="665" spans="1:9" x14ac:dyDescent="0.2">
      <c r="A665" s="61"/>
      <c r="B665" s="60"/>
      <c r="C665" s="60"/>
      <c r="D665" s="60"/>
      <c r="E665" s="60"/>
      <c r="F665" s="60"/>
      <c r="G665" s="60"/>
      <c r="H665" s="60"/>
      <c r="I665" s="60"/>
    </row>
    <row r="666" spans="1:9" x14ac:dyDescent="0.2">
      <c r="A666" s="60"/>
      <c r="B666" s="60"/>
      <c r="C666" s="60"/>
      <c r="D666" s="60"/>
      <c r="E666" s="60"/>
      <c r="F666" s="60"/>
      <c r="G666" s="60"/>
      <c r="H666" s="60"/>
      <c r="I666" s="60"/>
    </row>
    <row r="667" spans="1:9" x14ac:dyDescent="0.2">
      <c r="A667" s="61"/>
      <c r="B667" s="60"/>
      <c r="C667" s="60"/>
      <c r="D667" s="60"/>
      <c r="E667" s="60"/>
      <c r="F667" s="60"/>
      <c r="G667" s="60"/>
      <c r="H667" s="60"/>
      <c r="I667" s="60"/>
    </row>
    <row r="668" spans="1:9" x14ac:dyDescent="0.2">
      <c r="A668" s="60"/>
      <c r="B668" s="60"/>
      <c r="C668" s="60"/>
      <c r="D668" s="60"/>
      <c r="E668" s="60"/>
      <c r="F668" s="60"/>
      <c r="G668" s="60"/>
      <c r="H668" s="60"/>
      <c r="I668" s="60"/>
    </row>
    <row r="669" spans="1:9" x14ac:dyDescent="0.2">
      <c r="A669" s="61"/>
      <c r="B669" s="60"/>
      <c r="C669" s="60"/>
      <c r="D669" s="60"/>
      <c r="E669" s="60"/>
      <c r="F669" s="60"/>
      <c r="G669" s="60"/>
      <c r="H669" s="60"/>
      <c r="I669" s="60"/>
    </row>
    <row r="670" spans="1:9" x14ac:dyDescent="0.2">
      <c r="A670" s="60"/>
      <c r="B670" s="60"/>
      <c r="C670" s="60"/>
      <c r="D670" s="60"/>
      <c r="E670" s="60"/>
      <c r="F670" s="60"/>
      <c r="G670" s="60"/>
      <c r="H670" s="60"/>
      <c r="I670" s="60"/>
    </row>
    <row r="671" spans="1:9" x14ac:dyDescent="0.2">
      <c r="A671" s="61"/>
      <c r="B671" s="60"/>
      <c r="C671" s="60"/>
      <c r="D671" s="60"/>
      <c r="E671" s="60"/>
      <c r="F671" s="60"/>
      <c r="G671" s="60"/>
      <c r="H671" s="60"/>
      <c r="I671" s="60"/>
    </row>
    <row r="672" spans="1:9" x14ac:dyDescent="0.2">
      <c r="A672" s="60"/>
      <c r="B672" s="60"/>
      <c r="C672" s="60"/>
      <c r="D672" s="60"/>
      <c r="E672" s="60"/>
      <c r="F672" s="60"/>
      <c r="G672" s="60"/>
      <c r="H672" s="60"/>
      <c r="I672" s="60"/>
    </row>
    <row r="673" spans="1:9" x14ac:dyDescent="0.2">
      <c r="A673" s="61"/>
      <c r="B673" s="60"/>
      <c r="C673" s="60"/>
      <c r="D673" s="60"/>
      <c r="E673" s="60"/>
      <c r="F673" s="60"/>
      <c r="G673" s="60"/>
      <c r="H673" s="60"/>
      <c r="I673" s="60"/>
    </row>
    <row r="674" spans="1:9" x14ac:dyDescent="0.2">
      <c r="A674" s="60"/>
      <c r="B674" s="60"/>
      <c r="C674" s="60"/>
      <c r="D674" s="60"/>
      <c r="E674" s="60"/>
      <c r="F674" s="60"/>
      <c r="G674" s="60"/>
      <c r="H674" s="60"/>
      <c r="I674" s="60"/>
    </row>
    <row r="675" spans="1:9" x14ac:dyDescent="0.2">
      <c r="A675" s="61"/>
      <c r="B675" s="60"/>
      <c r="C675" s="60"/>
      <c r="D675" s="60"/>
      <c r="E675" s="60"/>
      <c r="F675" s="60"/>
      <c r="G675" s="60"/>
      <c r="H675" s="60"/>
      <c r="I675" s="60"/>
    </row>
    <row r="676" spans="1:9" x14ac:dyDescent="0.2">
      <c r="A676" s="60"/>
      <c r="B676" s="60"/>
      <c r="C676" s="60"/>
      <c r="D676" s="60"/>
      <c r="E676" s="60"/>
      <c r="F676" s="60"/>
      <c r="G676" s="60"/>
      <c r="H676" s="60"/>
      <c r="I676" s="60"/>
    </row>
    <row r="677" spans="1:9" x14ac:dyDescent="0.2">
      <c r="A677" s="61"/>
      <c r="B677" s="60"/>
      <c r="C677" s="60"/>
      <c r="D677" s="60"/>
      <c r="E677" s="60"/>
      <c r="F677" s="60"/>
      <c r="G677" s="60"/>
      <c r="H677" s="60"/>
      <c r="I677" s="60"/>
    </row>
    <row r="678" spans="1:9" x14ac:dyDescent="0.2">
      <c r="A678" s="60"/>
      <c r="B678" s="60"/>
      <c r="C678" s="60"/>
      <c r="D678" s="60"/>
      <c r="E678" s="60"/>
      <c r="F678" s="60"/>
      <c r="G678" s="60"/>
      <c r="H678" s="60"/>
      <c r="I678" s="60"/>
    </row>
    <row r="679" spans="1:9" x14ac:dyDescent="0.2">
      <c r="A679" s="61"/>
      <c r="B679" s="60"/>
      <c r="C679" s="60"/>
      <c r="D679" s="60"/>
      <c r="E679" s="60"/>
      <c r="F679" s="60"/>
      <c r="G679" s="60"/>
      <c r="H679" s="60"/>
      <c r="I679" s="60"/>
    </row>
    <row r="680" spans="1:9" x14ac:dyDescent="0.2">
      <c r="A680" s="60"/>
      <c r="B680" s="60"/>
      <c r="C680" s="60"/>
      <c r="D680" s="60"/>
      <c r="E680" s="60"/>
      <c r="F680" s="60"/>
      <c r="G680" s="60"/>
      <c r="H680" s="60"/>
      <c r="I680" s="60"/>
    </row>
    <row r="681" spans="1:9" x14ac:dyDescent="0.2">
      <c r="A681" s="61"/>
      <c r="B681" s="60"/>
      <c r="C681" s="60"/>
      <c r="D681" s="60"/>
      <c r="E681" s="60"/>
      <c r="F681" s="60"/>
      <c r="G681" s="60"/>
      <c r="H681" s="60"/>
      <c r="I681" s="60"/>
    </row>
    <row r="682" spans="1:9" x14ac:dyDescent="0.2">
      <c r="A682" s="60"/>
      <c r="B682" s="60"/>
      <c r="C682" s="60"/>
      <c r="D682" s="60"/>
      <c r="E682" s="60"/>
      <c r="F682" s="60"/>
      <c r="G682" s="60"/>
      <c r="H682" s="60"/>
      <c r="I682" s="60"/>
    </row>
    <row r="683" spans="1:9" x14ac:dyDescent="0.2">
      <c r="A683" s="61"/>
      <c r="B683" s="60"/>
      <c r="C683" s="60"/>
      <c r="D683" s="60"/>
      <c r="E683" s="60"/>
      <c r="F683" s="60"/>
      <c r="G683" s="60"/>
      <c r="H683" s="60"/>
      <c r="I683" s="60"/>
    </row>
    <row r="684" spans="1:9" x14ac:dyDescent="0.2">
      <c r="A684" s="60"/>
      <c r="B684" s="60"/>
      <c r="C684" s="60"/>
      <c r="D684" s="60"/>
      <c r="E684" s="60"/>
      <c r="F684" s="60"/>
      <c r="G684" s="60"/>
      <c r="H684" s="60"/>
      <c r="I684" s="60"/>
    </row>
    <row r="685" spans="1:9" x14ac:dyDescent="0.2">
      <c r="A685" s="61"/>
      <c r="B685" s="60"/>
      <c r="C685" s="60"/>
      <c r="D685" s="60"/>
      <c r="E685" s="60"/>
      <c r="F685" s="60"/>
      <c r="G685" s="60"/>
      <c r="H685" s="60"/>
      <c r="I685" s="60"/>
    </row>
    <row r="686" spans="1:9" x14ac:dyDescent="0.2">
      <c r="A686" s="60"/>
      <c r="B686" s="60"/>
      <c r="C686" s="60"/>
      <c r="D686" s="60"/>
      <c r="E686" s="60"/>
      <c r="F686" s="60"/>
      <c r="G686" s="60"/>
      <c r="H686" s="60"/>
      <c r="I686" s="60"/>
    </row>
    <row r="687" spans="1:9" x14ac:dyDescent="0.2">
      <c r="A687" s="61"/>
      <c r="B687" s="60"/>
      <c r="C687" s="60"/>
      <c r="D687" s="60"/>
      <c r="E687" s="60"/>
      <c r="F687" s="60"/>
      <c r="G687" s="60"/>
      <c r="H687" s="60"/>
      <c r="I687" s="60"/>
    </row>
    <row r="688" spans="1:9" x14ac:dyDescent="0.2">
      <c r="A688" s="60"/>
      <c r="B688" s="60"/>
      <c r="C688" s="60"/>
      <c r="D688" s="60"/>
      <c r="E688" s="60"/>
      <c r="F688" s="60"/>
      <c r="G688" s="60"/>
      <c r="H688" s="60"/>
      <c r="I688" s="60"/>
    </row>
    <row r="689" spans="1:9" x14ac:dyDescent="0.2">
      <c r="A689" s="61"/>
      <c r="B689" s="60"/>
      <c r="C689" s="60"/>
      <c r="D689" s="60"/>
      <c r="E689" s="60"/>
      <c r="F689" s="60"/>
      <c r="G689" s="60"/>
      <c r="H689" s="60"/>
      <c r="I689" s="60"/>
    </row>
    <row r="690" spans="1:9" x14ac:dyDescent="0.2">
      <c r="A690" s="60"/>
      <c r="B690" s="60"/>
      <c r="C690" s="60"/>
      <c r="D690" s="60"/>
      <c r="E690" s="60"/>
      <c r="F690" s="60"/>
      <c r="G690" s="60"/>
      <c r="H690" s="60"/>
      <c r="I690" s="60"/>
    </row>
    <row r="691" spans="1:9" x14ac:dyDescent="0.2">
      <c r="A691" s="61"/>
      <c r="B691" s="60"/>
      <c r="C691" s="60"/>
      <c r="D691" s="60"/>
      <c r="E691" s="60"/>
      <c r="F691" s="60"/>
      <c r="G691" s="60"/>
      <c r="H691" s="60"/>
      <c r="I691" s="60"/>
    </row>
    <row r="692" spans="1:9" x14ac:dyDescent="0.2">
      <c r="A692" s="60"/>
      <c r="B692" s="60"/>
      <c r="C692" s="60"/>
      <c r="D692" s="60"/>
      <c r="E692" s="60"/>
      <c r="F692" s="60"/>
      <c r="G692" s="60"/>
      <c r="H692" s="60"/>
      <c r="I692" s="60"/>
    </row>
    <row r="693" spans="1:9" x14ac:dyDescent="0.2">
      <c r="A693" s="61"/>
      <c r="B693" s="60"/>
      <c r="C693" s="60"/>
      <c r="D693" s="60"/>
      <c r="E693" s="60"/>
      <c r="F693" s="60"/>
      <c r="G693" s="60"/>
      <c r="H693" s="60"/>
      <c r="I693" s="60"/>
    </row>
    <row r="694" spans="1:9" x14ac:dyDescent="0.2">
      <c r="A694" s="60"/>
      <c r="B694" s="60"/>
      <c r="C694" s="60"/>
      <c r="D694" s="60"/>
      <c r="E694" s="60"/>
      <c r="F694" s="60"/>
      <c r="G694" s="60"/>
      <c r="H694" s="60"/>
      <c r="I694" s="60"/>
    </row>
    <row r="695" spans="1:9" x14ac:dyDescent="0.2">
      <c r="A695" s="61"/>
      <c r="B695" s="60"/>
      <c r="C695" s="60"/>
      <c r="D695" s="60"/>
      <c r="E695" s="60"/>
      <c r="F695" s="60"/>
      <c r="G695" s="60"/>
      <c r="H695" s="60"/>
      <c r="I695" s="60"/>
    </row>
    <row r="696" spans="1:9" x14ac:dyDescent="0.2">
      <c r="A696" s="60"/>
      <c r="B696" s="60"/>
      <c r="C696" s="60"/>
      <c r="D696" s="60"/>
      <c r="E696" s="60"/>
      <c r="F696" s="60"/>
      <c r="G696" s="60"/>
      <c r="H696" s="60"/>
      <c r="I696" s="60"/>
    </row>
    <row r="697" spans="1:9" x14ac:dyDescent="0.2">
      <c r="A697" s="61"/>
      <c r="B697" s="60"/>
      <c r="C697" s="60"/>
      <c r="D697" s="60"/>
      <c r="E697" s="60"/>
      <c r="F697" s="60"/>
      <c r="G697" s="60"/>
      <c r="H697" s="60"/>
      <c r="I697" s="60"/>
    </row>
    <row r="698" spans="1:9" x14ac:dyDescent="0.2">
      <c r="A698" s="60"/>
      <c r="B698" s="60"/>
      <c r="C698" s="60"/>
      <c r="D698" s="60"/>
      <c r="E698" s="60"/>
      <c r="F698" s="60"/>
      <c r="G698" s="60"/>
      <c r="H698" s="60"/>
      <c r="I698" s="60"/>
    </row>
    <row r="699" spans="1:9" x14ac:dyDescent="0.2">
      <c r="A699" s="61"/>
      <c r="B699" s="60"/>
      <c r="C699" s="60"/>
      <c r="D699" s="60"/>
      <c r="E699" s="60"/>
      <c r="F699" s="60"/>
      <c r="G699" s="60"/>
      <c r="H699" s="60"/>
      <c r="I699" s="60"/>
    </row>
    <row r="700" spans="1:9" x14ac:dyDescent="0.2">
      <c r="A700" s="60"/>
      <c r="B700" s="60"/>
      <c r="C700" s="60"/>
      <c r="D700" s="60"/>
      <c r="E700" s="60"/>
      <c r="F700" s="60"/>
      <c r="G700" s="60"/>
      <c r="H700" s="60"/>
      <c r="I700" s="60"/>
    </row>
    <row r="701" spans="1:9" x14ac:dyDescent="0.2">
      <c r="A701" s="61"/>
      <c r="B701" s="60"/>
      <c r="C701" s="60"/>
      <c r="D701" s="60"/>
      <c r="E701" s="60"/>
      <c r="F701" s="60"/>
      <c r="G701" s="60"/>
      <c r="H701" s="60"/>
      <c r="I701" s="60"/>
    </row>
    <row r="702" spans="1:9" x14ac:dyDescent="0.2">
      <c r="A702" s="60"/>
      <c r="B702" s="60"/>
      <c r="C702" s="60"/>
      <c r="D702" s="60"/>
      <c r="E702" s="60"/>
      <c r="F702" s="60"/>
      <c r="G702" s="60"/>
      <c r="H702" s="60"/>
      <c r="I702" s="60"/>
    </row>
    <row r="703" spans="1:9" x14ac:dyDescent="0.2">
      <c r="A703" s="61"/>
      <c r="B703" s="60"/>
      <c r="C703" s="60"/>
      <c r="D703" s="60"/>
      <c r="E703" s="60"/>
      <c r="F703" s="60"/>
      <c r="G703" s="60"/>
      <c r="H703" s="60"/>
      <c r="I703" s="60"/>
    </row>
    <row r="704" spans="1:9" x14ac:dyDescent="0.2">
      <c r="A704" s="60"/>
      <c r="B704" s="60"/>
      <c r="C704" s="60"/>
      <c r="D704" s="60"/>
      <c r="E704" s="60"/>
      <c r="F704" s="60"/>
      <c r="G704" s="60"/>
      <c r="H704" s="60"/>
      <c r="I704" s="60"/>
    </row>
    <row r="705" spans="1:9" x14ac:dyDescent="0.2">
      <c r="A705" s="61"/>
      <c r="B705" s="60"/>
      <c r="C705" s="60"/>
      <c r="D705" s="60"/>
      <c r="E705" s="60"/>
      <c r="F705" s="60"/>
      <c r="G705" s="60"/>
      <c r="H705" s="60"/>
      <c r="I705" s="60"/>
    </row>
    <row r="706" spans="1:9" x14ac:dyDescent="0.2">
      <c r="A706" s="60"/>
      <c r="B706" s="60"/>
      <c r="C706" s="60"/>
      <c r="D706" s="60"/>
      <c r="E706" s="60"/>
      <c r="F706" s="60"/>
      <c r="G706" s="60"/>
      <c r="H706" s="60"/>
      <c r="I706" s="60"/>
    </row>
    <row r="707" spans="1:9" x14ac:dyDescent="0.2">
      <c r="A707" s="61"/>
      <c r="B707" s="60"/>
      <c r="C707" s="60"/>
      <c r="D707" s="60"/>
      <c r="E707" s="60"/>
      <c r="F707" s="60"/>
      <c r="G707" s="60"/>
      <c r="H707" s="60"/>
      <c r="I707" s="60"/>
    </row>
    <row r="708" spans="1:9" x14ac:dyDescent="0.2">
      <c r="A708" s="60"/>
      <c r="B708" s="60"/>
      <c r="C708" s="60"/>
      <c r="D708" s="60"/>
      <c r="E708" s="60"/>
      <c r="F708" s="60"/>
      <c r="G708" s="60"/>
      <c r="H708" s="60"/>
      <c r="I708" s="60"/>
    </row>
    <row r="709" spans="1:9" x14ac:dyDescent="0.2">
      <c r="A709" s="61"/>
      <c r="B709" s="60"/>
      <c r="C709" s="60"/>
      <c r="D709" s="60"/>
      <c r="E709" s="60"/>
      <c r="F709" s="60"/>
      <c r="G709" s="60"/>
      <c r="H709" s="60"/>
      <c r="I709" s="60"/>
    </row>
    <row r="710" spans="1:9" x14ac:dyDescent="0.2">
      <c r="A710" s="60"/>
      <c r="B710" s="60"/>
      <c r="C710" s="60"/>
      <c r="D710" s="60"/>
      <c r="E710" s="60"/>
      <c r="F710" s="60"/>
      <c r="G710" s="60"/>
      <c r="H710" s="60"/>
      <c r="I710" s="60"/>
    </row>
    <row r="711" spans="1:9" x14ac:dyDescent="0.2">
      <c r="A711" s="61"/>
      <c r="B711" s="60"/>
      <c r="C711" s="60"/>
      <c r="D711" s="60"/>
      <c r="E711" s="60"/>
      <c r="F711" s="60"/>
      <c r="G711" s="60"/>
      <c r="H711" s="60"/>
      <c r="I711" s="60"/>
    </row>
    <row r="712" spans="1:9" x14ac:dyDescent="0.2">
      <c r="A712" s="60"/>
      <c r="B712" s="60"/>
      <c r="C712" s="60"/>
      <c r="D712" s="60"/>
      <c r="E712" s="60"/>
      <c r="F712" s="60"/>
      <c r="G712" s="60"/>
      <c r="H712" s="60"/>
      <c r="I712" s="60"/>
    </row>
    <row r="713" spans="1:9" x14ac:dyDescent="0.2">
      <c r="A713" s="61"/>
      <c r="B713" s="60"/>
      <c r="C713" s="60"/>
      <c r="D713" s="60"/>
      <c r="E713" s="60"/>
      <c r="F713" s="60"/>
      <c r="G713" s="60"/>
      <c r="H713" s="60"/>
      <c r="I713" s="60"/>
    </row>
    <row r="714" spans="1:9" x14ac:dyDescent="0.2">
      <c r="A714" s="60"/>
      <c r="B714" s="60"/>
      <c r="C714" s="60"/>
      <c r="D714" s="60"/>
      <c r="E714" s="60"/>
      <c r="F714" s="60"/>
      <c r="G714" s="60"/>
      <c r="H714" s="60"/>
      <c r="I714" s="60"/>
    </row>
    <row r="715" spans="1:9" x14ac:dyDescent="0.2">
      <c r="A715" s="61"/>
      <c r="B715" s="60"/>
      <c r="C715" s="60"/>
      <c r="D715" s="60"/>
      <c r="E715" s="60"/>
      <c r="F715" s="60"/>
      <c r="G715" s="60"/>
      <c r="H715" s="60"/>
      <c r="I715" s="60"/>
    </row>
    <row r="716" spans="1:9" x14ac:dyDescent="0.2">
      <c r="A716" s="60"/>
      <c r="B716" s="60"/>
      <c r="C716" s="60"/>
      <c r="D716" s="60"/>
      <c r="E716" s="60"/>
      <c r="F716" s="60"/>
      <c r="G716" s="60"/>
      <c r="H716" s="60"/>
      <c r="I716" s="60"/>
    </row>
    <row r="717" spans="1:9" x14ac:dyDescent="0.2">
      <c r="A717" s="61"/>
      <c r="B717" s="60"/>
      <c r="C717" s="60"/>
      <c r="D717" s="60"/>
      <c r="E717" s="60"/>
      <c r="F717" s="60"/>
      <c r="G717" s="60"/>
      <c r="H717" s="60"/>
      <c r="I717" s="60"/>
    </row>
    <row r="718" spans="1:9" x14ac:dyDescent="0.2">
      <c r="A718" s="60"/>
      <c r="B718" s="60"/>
      <c r="C718" s="60"/>
      <c r="D718" s="60"/>
      <c r="E718" s="60"/>
      <c r="F718" s="60"/>
      <c r="G718" s="60"/>
      <c r="H718" s="60"/>
      <c r="I718" s="60"/>
    </row>
    <row r="719" spans="1:9" x14ac:dyDescent="0.2">
      <c r="A719" s="61"/>
      <c r="B719" s="60"/>
      <c r="C719" s="60"/>
      <c r="D719" s="60"/>
      <c r="E719" s="60"/>
      <c r="F719" s="60"/>
      <c r="G719" s="60"/>
      <c r="H719" s="60"/>
      <c r="I719" s="60"/>
    </row>
    <row r="720" spans="1:9" x14ac:dyDescent="0.2">
      <c r="A720" s="60"/>
      <c r="B720" s="60"/>
      <c r="C720" s="60"/>
      <c r="D720" s="60"/>
      <c r="E720" s="60"/>
      <c r="F720" s="60"/>
      <c r="G720" s="60"/>
      <c r="H720" s="60"/>
      <c r="I720" s="60"/>
    </row>
    <row r="721" spans="1:9" x14ac:dyDescent="0.2">
      <c r="A721" s="61"/>
      <c r="B721" s="60"/>
      <c r="C721" s="60"/>
      <c r="D721" s="60"/>
      <c r="E721" s="60"/>
      <c r="F721" s="60"/>
      <c r="G721" s="60"/>
      <c r="H721" s="60"/>
      <c r="I721" s="60"/>
    </row>
    <row r="722" spans="1:9" x14ac:dyDescent="0.2">
      <c r="A722" s="60"/>
      <c r="B722" s="60"/>
      <c r="C722" s="60"/>
      <c r="D722" s="60"/>
      <c r="E722" s="60"/>
      <c r="F722" s="60"/>
      <c r="G722" s="60"/>
      <c r="H722" s="60"/>
      <c r="I722" s="60"/>
    </row>
    <row r="723" spans="1:9" x14ac:dyDescent="0.2">
      <c r="A723" s="61"/>
      <c r="B723" s="60"/>
      <c r="C723" s="60"/>
      <c r="D723" s="60"/>
      <c r="E723" s="60"/>
      <c r="F723" s="60"/>
      <c r="G723" s="60"/>
      <c r="H723" s="60"/>
      <c r="I723" s="60"/>
    </row>
    <row r="724" spans="1:9" x14ac:dyDescent="0.2">
      <c r="A724" s="60"/>
      <c r="B724" s="60"/>
      <c r="C724" s="60"/>
      <c r="D724" s="60"/>
      <c r="E724" s="60"/>
      <c r="F724" s="60"/>
      <c r="G724" s="60"/>
      <c r="H724" s="60"/>
      <c r="I724" s="60"/>
    </row>
    <row r="725" spans="1:9" x14ac:dyDescent="0.2">
      <c r="A725" s="61"/>
      <c r="B725" s="60"/>
      <c r="C725" s="60"/>
      <c r="D725" s="60"/>
      <c r="E725" s="60"/>
      <c r="F725" s="60"/>
      <c r="G725" s="60"/>
      <c r="H725" s="60"/>
      <c r="I725" s="60"/>
    </row>
    <row r="726" spans="1:9" x14ac:dyDescent="0.2">
      <c r="A726" s="60"/>
      <c r="B726" s="60"/>
      <c r="C726" s="60"/>
      <c r="D726" s="60"/>
      <c r="E726" s="60"/>
      <c r="F726" s="60"/>
      <c r="G726" s="60"/>
      <c r="H726" s="60"/>
      <c r="I726" s="60"/>
    </row>
    <row r="727" spans="1:9" x14ac:dyDescent="0.2">
      <c r="A727" s="61"/>
      <c r="B727" s="60"/>
      <c r="C727" s="60"/>
      <c r="D727" s="60"/>
      <c r="E727" s="60"/>
      <c r="F727" s="60"/>
      <c r="G727" s="60"/>
      <c r="H727" s="60"/>
      <c r="I727" s="60"/>
    </row>
    <row r="728" spans="1:9" x14ac:dyDescent="0.2">
      <c r="A728" s="60"/>
      <c r="B728" s="60"/>
      <c r="C728" s="60"/>
      <c r="D728" s="60"/>
      <c r="E728" s="60"/>
      <c r="F728" s="60"/>
      <c r="G728" s="60"/>
      <c r="H728" s="60"/>
      <c r="I728" s="60"/>
    </row>
    <row r="729" spans="1:9" x14ac:dyDescent="0.2">
      <c r="A729" s="61"/>
      <c r="B729" s="60"/>
      <c r="C729" s="60"/>
      <c r="D729" s="60"/>
      <c r="E729" s="60"/>
      <c r="F729" s="60"/>
      <c r="G729" s="60"/>
      <c r="H729" s="60"/>
      <c r="I729" s="60"/>
    </row>
    <row r="730" spans="1:9" x14ac:dyDescent="0.2">
      <c r="A730" s="60"/>
      <c r="B730" s="60"/>
      <c r="C730" s="60"/>
      <c r="D730" s="60"/>
      <c r="E730" s="60"/>
      <c r="F730" s="60"/>
      <c r="G730" s="60"/>
      <c r="H730" s="60"/>
      <c r="I730" s="60"/>
    </row>
    <row r="731" spans="1:9" x14ac:dyDescent="0.2">
      <c r="A731" s="61"/>
      <c r="B731" s="60"/>
      <c r="C731" s="60"/>
      <c r="D731" s="60"/>
      <c r="E731" s="60"/>
      <c r="F731" s="60"/>
      <c r="G731" s="60"/>
      <c r="H731" s="60"/>
      <c r="I731" s="60"/>
    </row>
    <row r="732" spans="1:9" x14ac:dyDescent="0.2">
      <c r="A732" s="60"/>
      <c r="B732" s="60"/>
      <c r="C732" s="60"/>
      <c r="D732" s="60"/>
      <c r="E732" s="60"/>
      <c r="F732" s="60"/>
      <c r="G732" s="60"/>
      <c r="H732" s="60"/>
      <c r="I732" s="60"/>
    </row>
    <row r="733" spans="1:9" x14ac:dyDescent="0.2">
      <c r="A733" s="61"/>
      <c r="B733" s="60"/>
      <c r="C733" s="60"/>
      <c r="D733" s="60"/>
      <c r="E733" s="60"/>
      <c r="F733" s="60"/>
      <c r="G733" s="60"/>
      <c r="H733" s="60"/>
      <c r="I733" s="60"/>
    </row>
    <row r="734" spans="1:9" x14ac:dyDescent="0.2">
      <c r="A734" s="60"/>
      <c r="B734" s="60"/>
      <c r="C734" s="60"/>
      <c r="D734" s="60"/>
      <c r="E734" s="60"/>
      <c r="F734" s="60"/>
      <c r="G734" s="60"/>
      <c r="H734" s="60"/>
      <c r="I734" s="60"/>
    </row>
    <row r="735" spans="1:9" x14ac:dyDescent="0.2">
      <c r="A735" s="61"/>
      <c r="B735" s="60"/>
      <c r="C735" s="60"/>
      <c r="D735" s="60"/>
      <c r="E735" s="60"/>
      <c r="F735" s="60"/>
      <c r="G735" s="60"/>
      <c r="H735" s="60"/>
      <c r="I735" s="60"/>
    </row>
    <row r="736" spans="1:9" x14ac:dyDescent="0.2">
      <c r="A736" s="60"/>
      <c r="B736" s="60"/>
      <c r="C736" s="60"/>
      <c r="D736" s="60"/>
      <c r="E736" s="60"/>
      <c r="F736" s="60"/>
      <c r="G736" s="60"/>
      <c r="H736" s="60"/>
      <c r="I736" s="60"/>
    </row>
    <row r="737" spans="1:9" x14ac:dyDescent="0.2">
      <c r="A737" s="61"/>
      <c r="B737" s="60"/>
      <c r="C737" s="60"/>
      <c r="D737" s="60"/>
      <c r="E737" s="60"/>
      <c r="F737" s="60"/>
      <c r="G737" s="60"/>
      <c r="H737" s="60"/>
      <c r="I737" s="60"/>
    </row>
    <row r="738" spans="1:9" x14ac:dyDescent="0.2">
      <c r="A738" s="60"/>
      <c r="B738" s="60"/>
      <c r="C738" s="60"/>
      <c r="D738" s="60"/>
      <c r="E738" s="60"/>
      <c r="F738" s="60"/>
      <c r="G738" s="60"/>
      <c r="H738" s="60"/>
      <c r="I738" s="60"/>
    </row>
    <row r="739" spans="1:9" x14ac:dyDescent="0.2">
      <c r="A739" s="61"/>
      <c r="B739" s="60"/>
      <c r="C739" s="60"/>
      <c r="D739" s="60"/>
      <c r="E739" s="60"/>
      <c r="F739" s="60"/>
      <c r="G739" s="60"/>
      <c r="H739" s="60"/>
      <c r="I739" s="60"/>
    </row>
    <row r="740" spans="1:9" x14ac:dyDescent="0.2">
      <c r="A740" s="60"/>
      <c r="B740" s="60"/>
      <c r="C740" s="60"/>
      <c r="D740" s="60"/>
      <c r="E740" s="60"/>
      <c r="F740" s="60"/>
      <c r="G740" s="60"/>
      <c r="H740" s="60"/>
      <c r="I740" s="60"/>
    </row>
    <row r="741" spans="1:9" x14ac:dyDescent="0.2">
      <c r="A741" s="61"/>
      <c r="B741" s="60"/>
      <c r="C741" s="60"/>
      <c r="D741" s="60"/>
      <c r="E741" s="60"/>
      <c r="F741" s="60"/>
      <c r="G741" s="60"/>
      <c r="H741" s="60"/>
      <c r="I741" s="60"/>
    </row>
    <row r="742" spans="1:9" x14ac:dyDescent="0.2">
      <c r="A742" s="60"/>
      <c r="B742" s="60"/>
      <c r="C742" s="60"/>
      <c r="D742" s="60"/>
      <c r="E742" s="60"/>
      <c r="F742" s="60"/>
      <c r="G742" s="60"/>
      <c r="H742" s="60"/>
      <c r="I742" s="60"/>
    </row>
    <row r="743" spans="1:9" x14ac:dyDescent="0.2">
      <c r="A743" s="61"/>
      <c r="B743" s="60"/>
      <c r="C743" s="60"/>
      <c r="D743" s="60"/>
      <c r="E743" s="60"/>
      <c r="F743" s="60"/>
      <c r="G743" s="60"/>
      <c r="H743" s="60"/>
      <c r="I743" s="60"/>
    </row>
    <row r="744" spans="1:9" x14ac:dyDescent="0.2">
      <c r="A744" s="60"/>
      <c r="B744" s="60"/>
      <c r="C744" s="60"/>
      <c r="D744" s="60"/>
      <c r="E744" s="60"/>
      <c r="F744" s="60"/>
      <c r="G744" s="60"/>
      <c r="H744" s="60"/>
      <c r="I744" s="60"/>
    </row>
    <row r="745" spans="1:9" x14ac:dyDescent="0.2">
      <c r="A745" s="61"/>
      <c r="B745" s="60"/>
      <c r="C745" s="60"/>
      <c r="D745" s="60"/>
      <c r="E745" s="60"/>
      <c r="F745" s="60"/>
      <c r="G745" s="60"/>
      <c r="H745" s="60"/>
      <c r="I745" s="60"/>
    </row>
    <row r="746" spans="1:9" x14ac:dyDescent="0.2">
      <c r="A746" s="60"/>
      <c r="B746" s="60"/>
      <c r="C746" s="60"/>
      <c r="D746" s="60"/>
      <c r="E746" s="60"/>
      <c r="F746" s="60"/>
      <c r="G746" s="60"/>
      <c r="H746" s="60"/>
      <c r="I746" s="60"/>
    </row>
    <row r="747" spans="1:9" x14ac:dyDescent="0.2">
      <c r="A747" s="61"/>
      <c r="B747" s="60"/>
      <c r="C747" s="60"/>
      <c r="D747" s="60"/>
      <c r="E747" s="60"/>
      <c r="F747" s="60"/>
      <c r="G747" s="60"/>
      <c r="H747" s="60"/>
      <c r="I747" s="60"/>
    </row>
    <row r="748" spans="1:9" x14ac:dyDescent="0.2">
      <c r="A748" s="60"/>
      <c r="B748" s="60"/>
      <c r="C748" s="60"/>
      <c r="D748" s="60"/>
      <c r="E748" s="60"/>
      <c r="F748" s="60"/>
      <c r="G748" s="60"/>
      <c r="H748" s="60"/>
      <c r="I748" s="60"/>
    </row>
    <row r="749" spans="1:9" x14ac:dyDescent="0.2">
      <c r="A749" s="61"/>
      <c r="B749" s="60"/>
      <c r="C749" s="60"/>
      <c r="D749" s="60"/>
      <c r="E749" s="60"/>
      <c r="F749" s="60"/>
      <c r="G749" s="60"/>
      <c r="H749" s="60"/>
      <c r="I749" s="60"/>
    </row>
    <row r="750" spans="1:9" x14ac:dyDescent="0.2">
      <c r="A750" s="60"/>
      <c r="B750" s="60"/>
      <c r="C750" s="60"/>
      <c r="D750" s="60"/>
      <c r="E750" s="60"/>
      <c r="F750" s="60"/>
      <c r="G750" s="60"/>
      <c r="H750" s="60"/>
      <c r="I750" s="60"/>
    </row>
    <row r="751" spans="1:9" x14ac:dyDescent="0.2">
      <c r="A751" s="61"/>
      <c r="B751" s="60"/>
      <c r="C751" s="60"/>
      <c r="D751" s="60"/>
      <c r="E751" s="60"/>
      <c r="F751" s="60"/>
      <c r="G751" s="60"/>
      <c r="H751" s="60"/>
      <c r="I751" s="60"/>
    </row>
    <row r="752" spans="1:9" x14ac:dyDescent="0.2">
      <c r="A752" s="60"/>
      <c r="B752" s="60"/>
      <c r="C752" s="60"/>
      <c r="D752" s="60"/>
      <c r="E752" s="60"/>
      <c r="F752" s="60"/>
      <c r="G752" s="60"/>
      <c r="H752" s="60"/>
      <c r="I752" s="60"/>
    </row>
    <row r="753" spans="1:9" x14ac:dyDescent="0.2">
      <c r="A753" s="61"/>
      <c r="B753" s="60"/>
      <c r="C753" s="60"/>
      <c r="D753" s="60"/>
      <c r="E753" s="60"/>
      <c r="F753" s="60"/>
      <c r="G753" s="60"/>
      <c r="H753" s="60"/>
      <c r="I753" s="60"/>
    </row>
    <row r="754" spans="1:9" x14ac:dyDescent="0.2">
      <c r="A754" s="60"/>
      <c r="B754" s="60"/>
      <c r="C754" s="60"/>
      <c r="D754" s="60"/>
      <c r="E754" s="60"/>
      <c r="F754" s="60"/>
      <c r="G754" s="60"/>
      <c r="H754" s="60"/>
      <c r="I754" s="60"/>
    </row>
    <row r="755" spans="1:9" x14ac:dyDescent="0.2">
      <c r="A755" s="61"/>
      <c r="B755" s="60"/>
      <c r="C755" s="60"/>
      <c r="D755" s="60"/>
      <c r="E755" s="60"/>
      <c r="F755" s="60"/>
      <c r="G755" s="60"/>
      <c r="H755" s="60"/>
      <c r="I755" s="60"/>
    </row>
    <row r="756" spans="1:9" x14ac:dyDescent="0.2">
      <c r="A756" s="60"/>
      <c r="B756" s="60"/>
      <c r="C756" s="60"/>
      <c r="D756" s="60"/>
      <c r="E756" s="60"/>
      <c r="F756" s="60"/>
      <c r="G756" s="60"/>
      <c r="H756" s="60"/>
      <c r="I756" s="60"/>
    </row>
    <row r="757" spans="1:9" x14ac:dyDescent="0.2">
      <c r="A757" s="61"/>
      <c r="B757" s="60"/>
      <c r="C757" s="60"/>
      <c r="D757" s="60"/>
      <c r="E757" s="60"/>
      <c r="F757" s="60"/>
      <c r="G757" s="60"/>
      <c r="H757" s="60"/>
      <c r="I757" s="60"/>
    </row>
    <row r="758" spans="1:9" x14ac:dyDescent="0.2">
      <c r="A758" s="60"/>
      <c r="B758" s="60"/>
      <c r="C758" s="60"/>
      <c r="D758" s="60"/>
      <c r="E758" s="60"/>
      <c r="F758" s="60"/>
      <c r="G758" s="60"/>
      <c r="H758" s="60"/>
      <c r="I758" s="60"/>
    </row>
    <row r="759" spans="1:9" x14ac:dyDescent="0.2">
      <c r="A759" s="61"/>
      <c r="B759" s="60"/>
      <c r="C759" s="60"/>
      <c r="D759" s="60"/>
      <c r="E759" s="60"/>
      <c r="F759" s="60"/>
      <c r="G759" s="60"/>
      <c r="H759" s="60"/>
      <c r="I759" s="60"/>
    </row>
    <row r="760" spans="1:9" x14ac:dyDescent="0.2">
      <c r="A760" s="60"/>
      <c r="B760" s="60"/>
      <c r="C760" s="60"/>
      <c r="D760" s="60"/>
      <c r="E760" s="60"/>
      <c r="F760" s="60"/>
      <c r="G760" s="60"/>
      <c r="H760" s="60"/>
      <c r="I760" s="60"/>
    </row>
    <row r="761" spans="1:9" x14ac:dyDescent="0.2">
      <c r="A761" s="61"/>
      <c r="B761" s="60"/>
      <c r="C761" s="60"/>
      <c r="D761" s="60"/>
      <c r="E761" s="60"/>
      <c r="F761" s="60"/>
      <c r="G761" s="60"/>
      <c r="H761" s="60"/>
      <c r="I761" s="60"/>
    </row>
    <row r="762" spans="1:9" x14ac:dyDescent="0.2">
      <c r="A762" s="60"/>
      <c r="B762" s="60"/>
      <c r="C762" s="60"/>
      <c r="D762" s="60"/>
      <c r="E762" s="60"/>
      <c r="F762" s="60"/>
      <c r="G762" s="60"/>
      <c r="H762" s="60"/>
      <c r="I762" s="60"/>
    </row>
    <row r="763" spans="1:9" x14ac:dyDescent="0.2">
      <c r="A763" s="61"/>
      <c r="B763" s="60"/>
      <c r="C763" s="60"/>
      <c r="D763" s="60"/>
      <c r="E763" s="60"/>
      <c r="F763" s="60"/>
      <c r="G763" s="60"/>
      <c r="H763" s="60"/>
      <c r="I763" s="60"/>
    </row>
    <row r="764" spans="1:9" x14ac:dyDescent="0.2">
      <c r="A764" s="60"/>
      <c r="B764" s="60"/>
      <c r="C764" s="60"/>
      <c r="D764" s="60"/>
      <c r="E764" s="60"/>
      <c r="F764" s="60"/>
      <c r="G764" s="60"/>
      <c r="H764" s="60"/>
      <c r="I764" s="60"/>
    </row>
    <row r="765" spans="1:9" x14ac:dyDescent="0.2">
      <c r="A765" s="61"/>
      <c r="B765" s="60"/>
      <c r="C765" s="60"/>
      <c r="D765" s="60"/>
      <c r="E765" s="60"/>
      <c r="F765" s="60"/>
      <c r="G765" s="60"/>
      <c r="H765" s="60"/>
      <c r="I765" s="60"/>
    </row>
    <row r="766" spans="1:9" x14ac:dyDescent="0.2">
      <c r="A766" s="60"/>
      <c r="B766" s="60"/>
      <c r="C766" s="60"/>
      <c r="D766" s="60"/>
      <c r="E766" s="60"/>
      <c r="F766" s="60"/>
      <c r="G766" s="60"/>
      <c r="H766" s="60"/>
      <c r="I766" s="60"/>
    </row>
    <row r="767" spans="1:9" x14ac:dyDescent="0.2">
      <c r="A767" s="61"/>
      <c r="B767" s="60"/>
      <c r="C767" s="60"/>
      <c r="D767" s="60"/>
      <c r="E767" s="60"/>
      <c r="F767" s="60"/>
      <c r="G767" s="60"/>
      <c r="H767" s="60"/>
      <c r="I767" s="60"/>
    </row>
    <row r="768" spans="1:9" x14ac:dyDescent="0.2">
      <c r="A768" s="60"/>
      <c r="B768" s="60"/>
      <c r="C768" s="60"/>
      <c r="D768" s="60"/>
      <c r="E768" s="60"/>
      <c r="F768" s="60"/>
      <c r="G768" s="60"/>
      <c r="H768" s="60"/>
      <c r="I768" s="60"/>
    </row>
    <row r="769" spans="1:9" x14ac:dyDescent="0.2">
      <c r="A769" s="61"/>
      <c r="B769" s="60"/>
      <c r="C769" s="60"/>
      <c r="D769" s="60"/>
      <c r="E769" s="60"/>
      <c r="F769" s="60"/>
      <c r="G769" s="60"/>
      <c r="H769" s="60"/>
      <c r="I769" s="60"/>
    </row>
    <row r="770" spans="1:9" x14ac:dyDescent="0.2">
      <c r="A770" s="60"/>
      <c r="B770" s="60"/>
      <c r="C770" s="60"/>
      <c r="D770" s="60"/>
      <c r="E770" s="60"/>
      <c r="F770" s="60"/>
      <c r="G770" s="60"/>
      <c r="H770" s="60"/>
      <c r="I770" s="60"/>
    </row>
    <row r="771" spans="1:9" x14ac:dyDescent="0.2">
      <c r="A771" s="61"/>
      <c r="B771" s="60"/>
      <c r="C771" s="60"/>
      <c r="D771" s="60"/>
      <c r="E771" s="60"/>
      <c r="F771" s="60"/>
      <c r="G771" s="60"/>
      <c r="H771" s="60"/>
      <c r="I771" s="60"/>
    </row>
    <row r="772" spans="1:9" x14ac:dyDescent="0.2">
      <c r="A772" s="60"/>
      <c r="B772" s="60"/>
      <c r="C772" s="60"/>
      <c r="D772" s="60"/>
      <c r="E772" s="60"/>
      <c r="F772" s="60"/>
      <c r="G772" s="60"/>
      <c r="H772" s="60"/>
      <c r="I772" s="60"/>
    </row>
    <row r="773" spans="1:9" x14ac:dyDescent="0.2">
      <c r="A773" s="61"/>
      <c r="B773" s="60"/>
      <c r="C773" s="60"/>
      <c r="D773" s="60"/>
      <c r="E773" s="60"/>
      <c r="F773" s="60"/>
      <c r="G773" s="60"/>
      <c r="H773" s="60"/>
      <c r="I773" s="60"/>
    </row>
    <row r="774" spans="1:9" x14ac:dyDescent="0.2">
      <c r="A774" s="60"/>
      <c r="B774" s="60"/>
      <c r="C774" s="60"/>
      <c r="D774" s="60"/>
      <c r="E774" s="60"/>
      <c r="F774" s="60"/>
      <c r="G774" s="60"/>
      <c r="H774" s="60"/>
      <c r="I774" s="60"/>
    </row>
    <row r="775" spans="1:9" x14ac:dyDescent="0.2">
      <c r="A775" s="61"/>
      <c r="B775" s="60"/>
      <c r="C775" s="60"/>
      <c r="D775" s="60"/>
      <c r="E775" s="60"/>
      <c r="F775" s="60"/>
      <c r="G775" s="60"/>
      <c r="H775" s="60"/>
      <c r="I775" s="60"/>
    </row>
    <row r="776" spans="1:9" x14ac:dyDescent="0.2">
      <c r="A776" s="60"/>
      <c r="B776" s="60"/>
      <c r="C776" s="60"/>
      <c r="D776" s="60"/>
      <c r="E776" s="60"/>
      <c r="F776" s="60"/>
      <c r="G776" s="60"/>
      <c r="H776" s="60"/>
      <c r="I776" s="60"/>
    </row>
    <row r="777" spans="1:9" x14ac:dyDescent="0.2">
      <c r="A777" s="61"/>
      <c r="B777" s="60"/>
      <c r="C777" s="60"/>
      <c r="D777" s="60"/>
      <c r="E777" s="60"/>
      <c r="F777" s="60"/>
      <c r="G777" s="60"/>
      <c r="H777" s="60"/>
      <c r="I777" s="60"/>
    </row>
    <row r="778" spans="1:9" x14ac:dyDescent="0.2">
      <c r="A778" s="60"/>
      <c r="B778" s="60"/>
      <c r="C778" s="60"/>
      <c r="D778" s="60"/>
      <c r="E778" s="60"/>
      <c r="F778" s="60"/>
      <c r="G778" s="60"/>
      <c r="H778" s="60"/>
      <c r="I778" s="60"/>
    </row>
    <row r="779" spans="1:9" x14ac:dyDescent="0.2">
      <c r="A779" s="61"/>
      <c r="B779" s="60"/>
      <c r="C779" s="60"/>
      <c r="D779" s="60"/>
      <c r="E779" s="60"/>
      <c r="F779" s="60"/>
      <c r="G779" s="60"/>
      <c r="H779" s="60"/>
      <c r="I779" s="60"/>
    </row>
    <row r="780" spans="1:9" x14ac:dyDescent="0.2">
      <c r="A780" s="60"/>
      <c r="B780" s="60"/>
      <c r="C780" s="60"/>
      <c r="D780" s="60"/>
      <c r="E780" s="60"/>
      <c r="F780" s="60"/>
      <c r="G780" s="60"/>
      <c r="H780" s="60"/>
      <c r="I780" s="60"/>
    </row>
    <row r="781" spans="1:9" x14ac:dyDescent="0.2">
      <c r="A781" s="61"/>
      <c r="B781" s="60"/>
      <c r="C781" s="60"/>
      <c r="D781" s="60"/>
      <c r="E781" s="60"/>
      <c r="F781" s="60"/>
      <c r="G781" s="60"/>
      <c r="H781" s="60"/>
      <c r="I781" s="60"/>
    </row>
    <row r="782" spans="1:9" x14ac:dyDescent="0.2">
      <c r="A782" s="60"/>
      <c r="B782" s="60"/>
      <c r="C782" s="60"/>
      <c r="D782" s="60"/>
      <c r="E782" s="60"/>
      <c r="F782" s="60"/>
      <c r="G782" s="60"/>
      <c r="H782" s="60"/>
      <c r="I782" s="60"/>
    </row>
    <row r="783" spans="1:9" x14ac:dyDescent="0.2">
      <c r="A783" s="61"/>
      <c r="B783" s="60"/>
      <c r="C783" s="60"/>
      <c r="D783" s="60"/>
      <c r="E783" s="60"/>
      <c r="F783" s="60"/>
      <c r="G783" s="60"/>
      <c r="H783" s="60"/>
      <c r="I783" s="60"/>
    </row>
    <row r="784" spans="1:9" x14ac:dyDescent="0.2">
      <c r="A784" s="60"/>
      <c r="B784" s="60"/>
      <c r="C784" s="60"/>
      <c r="D784" s="60"/>
      <c r="E784" s="60"/>
      <c r="F784" s="60"/>
      <c r="G784" s="60"/>
      <c r="H784" s="60"/>
      <c r="I784" s="60"/>
    </row>
    <row r="785" spans="1:9" x14ac:dyDescent="0.2">
      <c r="A785" s="61"/>
      <c r="B785" s="60"/>
      <c r="C785" s="60"/>
      <c r="D785" s="60"/>
      <c r="E785" s="60"/>
      <c r="F785" s="60"/>
      <c r="G785" s="60"/>
      <c r="H785" s="60"/>
      <c r="I785" s="60"/>
    </row>
    <row r="786" spans="1:9" x14ac:dyDescent="0.2">
      <c r="A786" s="60"/>
      <c r="B786" s="60"/>
      <c r="C786" s="60"/>
      <c r="D786" s="60"/>
      <c r="E786" s="60"/>
      <c r="F786" s="60"/>
      <c r="G786" s="60"/>
      <c r="H786" s="60"/>
      <c r="I786" s="60"/>
    </row>
    <row r="787" spans="1:9" x14ac:dyDescent="0.2">
      <c r="A787" s="61"/>
      <c r="B787" s="60"/>
      <c r="C787" s="60"/>
      <c r="D787" s="60"/>
      <c r="E787" s="60"/>
      <c r="F787" s="60"/>
      <c r="G787" s="60"/>
      <c r="H787" s="60"/>
      <c r="I787" s="60"/>
    </row>
    <row r="788" spans="1:9" x14ac:dyDescent="0.2">
      <c r="A788" s="60"/>
      <c r="B788" s="60"/>
      <c r="C788" s="60"/>
      <c r="D788" s="60"/>
      <c r="E788" s="60"/>
      <c r="F788" s="60"/>
      <c r="G788" s="60"/>
      <c r="H788" s="60"/>
      <c r="I788" s="60"/>
    </row>
    <row r="789" spans="1:9" x14ac:dyDescent="0.2">
      <c r="A789" s="61"/>
      <c r="B789" s="60"/>
      <c r="C789" s="60"/>
      <c r="D789" s="60"/>
      <c r="E789" s="60"/>
      <c r="F789" s="60"/>
      <c r="G789" s="60"/>
      <c r="H789" s="60"/>
      <c r="I789" s="60"/>
    </row>
    <row r="790" spans="1:9" x14ac:dyDescent="0.2">
      <c r="A790" s="60"/>
      <c r="B790" s="60"/>
      <c r="C790" s="60"/>
      <c r="D790" s="60"/>
      <c r="E790" s="60"/>
      <c r="F790" s="60"/>
      <c r="G790" s="60"/>
      <c r="H790" s="60"/>
      <c r="I790" s="60"/>
    </row>
    <row r="791" spans="1:9" x14ac:dyDescent="0.2">
      <c r="A791" s="61"/>
      <c r="B791" s="60"/>
      <c r="C791" s="60"/>
      <c r="D791" s="60"/>
      <c r="E791" s="60"/>
      <c r="F791" s="60"/>
      <c r="G791" s="60"/>
      <c r="H791" s="60"/>
      <c r="I791" s="60"/>
    </row>
    <row r="792" spans="1:9" x14ac:dyDescent="0.2">
      <c r="A792" s="60"/>
      <c r="B792" s="60"/>
      <c r="C792" s="60"/>
      <c r="D792" s="60"/>
      <c r="E792" s="60"/>
      <c r="F792" s="60"/>
      <c r="G792" s="60"/>
      <c r="H792" s="60"/>
      <c r="I792" s="60"/>
    </row>
    <row r="793" spans="1:9" x14ac:dyDescent="0.2">
      <c r="A793" s="61"/>
      <c r="B793" s="60"/>
      <c r="C793" s="60"/>
      <c r="D793" s="60"/>
      <c r="E793" s="60"/>
      <c r="F793" s="60"/>
      <c r="G793" s="60"/>
      <c r="H793" s="60"/>
      <c r="I793" s="60"/>
    </row>
    <row r="794" spans="1:9" x14ac:dyDescent="0.2">
      <c r="A794" s="60"/>
      <c r="B794" s="60"/>
      <c r="C794" s="60"/>
      <c r="D794" s="60"/>
      <c r="E794" s="60"/>
      <c r="F794" s="60"/>
      <c r="G794" s="60"/>
      <c r="H794" s="60"/>
      <c r="I794" s="60"/>
    </row>
    <row r="795" spans="1:9" x14ac:dyDescent="0.2">
      <c r="A795" s="61"/>
      <c r="B795" s="60"/>
      <c r="C795" s="60"/>
      <c r="D795" s="60"/>
      <c r="E795" s="60"/>
      <c r="F795" s="60"/>
      <c r="G795" s="60"/>
      <c r="H795" s="60"/>
      <c r="I795" s="60"/>
    </row>
    <row r="796" spans="1:9" x14ac:dyDescent="0.2">
      <c r="A796" s="60"/>
      <c r="B796" s="60"/>
      <c r="C796" s="60"/>
      <c r="D796" s="60"/>
      <c r="E796" s="60"/>
      <c r="F796" s="60"/>
      <c r="G796" s="60"/>
      <c r="H796" s="60"/>
      <c r="I796" s="60"/>
    </row>
    <row r="797" spans="1:9" x14ac:dyDescent="0.2">
      <c r="A797" s="61"/>
      <c r="B797" s="60"/>
      <c r="C797" s="60"/>
      <c r="D797" s="60"/>
      <c r="E797" s="60"/>
      <c r="F797" s="60"/>
      <c r="G797" s="60"/>
      <c r="H797" s="60"/>
      <c r="I797" s="60"/>
    </row>
    <row r="798" spans="1:9" x14ac:dyDescent="0.2">
      <c r="A798" s="60"/>
      <c r="B798" s="60"/>
      <c r="C798" s="60"/>
      <c r="D798" s="60"/>
      <c r="E798" s="60"/>
      <c r="F798" s="60"/>
      <c r="G798" s="60"/>
      <c r="H798" s="60"/>
      <c r="I798" s="60"/>
    </row>
    <row r="799" spans="1:9" x14ac:dyDescent="0.2">
      <c r="A799" s="61"/>
      <c r="B799" s="60"/>
      <c r="C799" s="60"/>
      <c r="D799" s="60"/>
      <c r="E799" s="60"/>
      <c r="F799" s="60"/>
      <c r="G799" s="60"/>
      <c r="H799" s="60"/>
      <c r="I799" s="60"/>
    </row>
    <row r="800" spans="1:9" x14ac:dyDescent="0.2">
      <c r="A800" s="60"/>
      <c r="B800" s="60"/>
      <c r="C800" s="60"/>
      <c r="D800" s="60"/>
      <c r="E800" s="60"/>
      <c r="F800" s="60"/>
      <c r="G800" s="60"/>
      <c r="H800" s="60"/>
      <c r="I800" s="60"/>
    </row>
    <row r="801" spans="1:9" x14ac:dyDescent="0.2">
      <c r="A801" s="61"/>
      <c r="B801" s="60"/>
      <c r="C801" s="60"/>
      <c r="D801" s="60"/>
      <c r="E801" s="60"/>
      <c r="F801" s="60"/>
      <c r="G801" s="60"/>
      <c r="H801" s="60"/>
      <c r="I801" s="60"/>
    </row>
    <row r="802" spans="1:9" x14ac:dyDescent="0.2">
      <c r="A802" s="60"/>
      <c r="B802" s="60"/>
      <c r="C802" s="60"/>
      <c r="D802" s="60"/>
      <c r="E802" s="60"/>
      <c r="F802" s="60"/>
      <c r="G802" s="60"/>
      <c r="H802" s="60"/>
      <c r="I802" s="60"/>
    </row>
    <row r="803" spans="1:9" x14ac:dyDescent="0.2">
      <c r="A803" s="61"/>
      <c r="B803" s="60"/>
      <c r="C803" s="60"/>
      <c r="D803" s="60"/>
      <c r="E803" s="60"/>
      <c r="F803" s="60"/>
      <c r="G803" s="60"/>
      <c r="H803" s="60"/>
      <c r="I803" s="60"/>
    </row>
    <row r="804" spans="1:9" x14ac:dyDescent="0.2">
      <c r="A804" s="60"/>
      <c r="B804" s="60"/>
      <c r="C804" s="60"/>
      <c r="D804" s="60"/>
      <c r="E804" s="60"/>
      <c r="F804" s="60"/>
      <c r="G804" s="60"/>
      <c r="H804" s="60"/>
      <c r="I804" s="60"/>
    </row>
    <row r="805" spans="1:9" x14ac:dyDescent="0.2">
      <c r="A805" s="61"/>
      <c r="B805" s="60"/>
      <c r="C805" s="60"/>
      <c r="D805" s="60"/>
      <c r="E805" s="60"/>
      <c r="F805" s="60"/>
      <c r="G805" s="60"/>
      <c r="H805" s="60"/>
      <c r="I805" s="60"/>
    </row>
    <row r="806" spans="1:9" x14ac:dyDescent="0.2">
      <c r="A806" s="60"/>
      <c r="B806" s="60"/>
      <c r="C806" s="60"/>
      <c r="D806" s="60"/>
      <c r="E806" s="60"/>
      <c r="F806" s="60"/>
      <c r="G806" s="60"/>
      <c r="H806" s="60"/>
      <c r="I806" s="60"/>
    </row>
    <row r="807" spans="1:9" x14ac:dyDescent="0.2">
      <c r="A807" s="61"/>
      <c r="B807" s="60"/>
      <c r="C807" s="60"/>
      <c r="D807" s="60"/>
      <c r="E807" s="60"/>
      <c r="F807" s="60"/>
      <c r="G807" s="60"/>
      <c r="H807" s="60"/>
      <c r="I807" s="60"/>
    </row>
    <row r="808" spans="1:9" x14ac:dyDescent="0.2">
      <c r="A808" s="60"/>
      <c r="B808" s="60"/>
      <c r="C808" s="60"/>
      <c r="D808" s="60"/>
      <c r="E808" s="60"/>
      <c r="F808" s="60"/>
      <c r="G808" s="60"/>
      <c r="H808" s="60"/>
      <c r="I808" s="60"/>
    </row>
    <row r="809" spans="1:9" x14ac:dyDescent="0.2">
      <c r="A809" s="61"/>
      <c r="B809" s="60"/>
      <c r="C809" s="60"/>
      <c r="D809" s="60"/>
      <c r="E809" s="60"/>
      <c r="F809" s="60"/>
      <c r="G809" s="60"/>
      <c r="H809" s="60"/>
      <c r="I809" s="60"/>
    </row>
    <row r="810" spans="1:9" x14ac:dyDescent="0.2">
      <c r="A810" s="60"/>
      <c r="B810" s="60"/>
      <c r="C810" s="60"/>
      <c r="D810" s="60"/>
      <c r="E810" s="60"/>
      <c r="F810" s="60"/>
      <c r="G810" s="60"/>
      <c r="H810" s="60"/>
      <c r="I810" s="60"/>
    </row>
    <row r="811" spans="1:9" x14ac:dyDescent="0.2">
      <c r="A811" s="61"/>
      <c r="B811" s="60"/>
      <c r="C811" s="60"/>
      <c r="D811" s="60"/>
      <c r="E811" s="60"/>
      <c r="F811" s="60"/>
      <c r="G811" s="60"/>
      <c r="H811" s="60"/>
      <c r="I811" s="60"/>
    </row>
    <row r="812" spans="1:9" x14ac:dyDescent="0.2">
      <c r="A812" s="60"/>
      <c r="B812" s="60"/>
      <c r="C812" s="60"/>
      <c r="D812" s="60"/>
      <c r="E812" s="60"/>
      <c r="F812" s="60"/>
      <c r="G812" s="60"/>
      <c r="H812" s="60"/>
      <c r="I812" s="60"/>
    </row>
    <row r="813" spans="1:9" x14ac:dyDescent="0.2">
      <c r="A813" s="61"/>
      <c r="B813" s="60"/>
      <c r="C813" s="60"/>
      <c r="D813" s="60"/>
      <c r="E813" s="60"/>
      <c r="F813" s="60"/>
      <c r="G813" s="60"/>
      <c r="H813" s="60"/>
      <c r="I813" s="60"/>
    </row>
    <row r="814" spans="1:9" x14ac:dyDescent="0.2">
      <c r="A814" s="60"/>
      <c r="B814" s="60"/>
      <c r="C814" s="60"/>
      <c r="D814" s="60"/>
      <c r="E814" s="60"/>
      <c r="F814" s="60"/>
      <c r="G814" s="60"/>
      <c r="H814" s="60"/>
      <c r="I814" s="60"/>
    </row>
    <row r="815" spans="1:9" x14ac:dyDescent="0.2">
      <c r="A815" s="61"/>
      <c r="B815" s="60"/>
      <c r="C815" s="60"/>
      <c r="D815" s="60"/>
      <c r="E815" s="60"/>
      <c r="F815" s="60"/>
      <c r="G815" s="60"/>
      <c r="H815" s="60"/>
      <c r="I815" s="60"/>
    </row>
    <row r="816" spans="1:9" x14ac:dyDescent="0.2">
      <c r="A816" s="60"/>
      <c r="B816" s="60"/>
      <c r="C816" s="60"/>
      <c r="D816" s="60"/>
      <c r="E816" s="60"/>
      <c r="F816" s="60"/>
      <c r="G816" s="60"/>
      <c r="H816" s="60"/>
      <c r="I816" s="60"/>
    </row>
    <row r="817" spans="1:9" x14ac:dyDescent="0.2">
      <c r="A817" s="61"/>
      <c r="B817" s="60"/>
      <c r="C817" s="60"/>
      <c r="D817" s="60"/>
      <c r="E817" s="60"/>
      <c r="F817" s="60"/>
      <c r="G817" s="60"/>
      <c r="H817" s="60"/>
      <c r="I817" s="60"/>
    </row>
    <row r="818" spans="1:9" x14ac:dyDescent="0.2">
      <c r="A818" s="60"/>
      <c r="B818" s="60"/>
      <c r="C818" s="60"/>
      <c r="D818" s="60"/>
      <c r="E818" s="60"/>
      <c r="F818" s="60"/>
      <c r="G818" s="60"/>
      <c r="H818" s="60"/>
      <c r="I818" s="60"/>
    </row>
    <row r="819" spans="1:9" x14ac:dyDescent="0.2">
      <c r="A819" s="61"/>
      <c r="B819" s="60"/>
      <c r="C819" s="60"/>
      <c r="D819" s="60"/>
      <c r="E819" s="60"/>
      <c r="F819" s="60"/>
      <c r="G819" s="60"/>
      <c r="H819" s="60"/>
      <c r="I819" s="60"/>
    </row>
    <row r="820" spans="1:9" x14ac:dyDescent="0.2">
      <c r="A820" s="60"/>
      <c r="B820" s="60"/>
      <c r="C820" s="60"/>
      <c r="D820" s="60"/>
      <c r="E820" s="60"/>
      <c r="F820" s="60"/>
      <c r="G820" s="60"/>
      <c r="H820" s="60"/>
      <c r="I820" s="60"/>
    </row>
    <row r="821" spans="1:9" x14ac:dyDescent="0.2">
      <c r="A821" s="61"/>
      <c r="B821" s="60"/>
      <c r="C821" s="60"/>
      <c r="D821" s="60"/>
      <c r="E821" s="60"/>
      <c r="F821" s="60"/>
      <c r="G821" s="60"/>
      <c r="H821" s="60"/>
      <c r="I821" s="60"/>
    </row>
    <row r="822" spans="1:9" x14ac:dyDescent="0.2">
      <c r="A822" s="60"/>
      <c r="B822" s="60"/>
      <c r="C822" s="60"/>
      <c r="D822" s="60"/>
      <c r="E822" s="60"/>
      <c r="F822" s="60"/>
      <c r="G822" s="60"/>
      <c r="H822" s="60"/>
      <c r="I822" s="60"/>
    </row>
    <row r="823" spans="1:9" x14ac:dyDescent="0.2">
      <c r="A823" s="61"/>
      <c r="B823" s="60"/>
      <c r="C823" s="60"/>
      <c r="D823" s="60"/>
      <c r="E823" s="60"/>
      <c r="F823" s="60"/>
      <c r="G823" s="60"/>
      <c r="H823" s="60"/>
      <c r="I823" s="60"/>
    </row>
    <row r="824" spans="1:9" x14ac:dyDescent="0.2">
      <c r="A824" s="60"/>
      <c r="B824" s="60"/>
      <c r="C824" s="60"/>
      <c r="D824" s="60"/>
      <c r="E824" s="60"/>
      <c r="F824" s="60"/>
      <c r="G824" s="60"/>
      <c r="H824" s="60"/>
      <c r="I824" s="60"/>
    </row>
    <row r="825" spans="1:9" x14ac:dyDescent="0.2">
      <c r="A825" s="61"/>
      <c r="B825" s="60"/>
      <c r="C825" s="60"/>
      <c r="D825" s="60"/>
      <c r="E825" s="60"/>
      <c r="F825" s="60"/>
      <c r="G825" s="60"/>
      <c r="H825" s="60"/>
      <c r="I825" s="60"/>
    </row>
    <row r="826" spans="1:9" x14ac:dyDescent="0.2">
      <c r="A826" s="60"/>
      <c r="B826" s="60"/>
      <c r="C826" s="60"/>
      <c r="D826" s="60"/>
      <c r="E826" s="60"/>
      <c r="F826" s="60"/>
      <c r="G826" s="60"/>
      <c r="H826" s="60"/>
      <c r="I826" s="60"/>
    </row>
    <row r="827" spans="1:9" x14ac:dyDescent="0.2">
      <c r="A827" s="61"/>
      <c r="B827" s="60"/>
      <c r="C827" s="60"/>
      <c r="D827" s="60"/>
      <c r="E827" s="60"/>
      <c r="F827" s="60"/>
      <c r="G827" s="60"/>
      <c r="H827" s="60"/>
      <c r="I827" s="60"/>
    </row>
    <row r="828" spans="1:9" x14ac:dyDescent="0.2">
      <c r="A828" s="60"/>
      <c r="B828" s="60"/>
      <c r="C828" s="60"/>
      <c r="D828" s="60"/>
      <c r="E828" s="60"/>
      <c r="F828" s="60"/>
      <c r="G828" s="60"/>
      <c r="H828" s="60"/>
      <c r="I828" s="60"/>
    </row>
    <row r="829" spans="1:9" x14ac:dyDescent="0.2">
      <c r="A829" s="61"/>
      <c r="B829" s="60"/>
      <c r="C829" s="60"/>
      <c r="D829" s="60"/>
      <c r="E829" s="60"/>
      <c r="F829" s="60"/>
      <c r="G829" s="60"/>
      <c r="H829" s="60"/>
      <c r="I829" s="60"/>
    </row>
    <row r="830" spans="1:9" x14ac:dyDescent="0.2">
      <c r="A830" s="60"/>
      <c r="B830" s="60"/>
      <c r="C830" s="60"/>
      <c r="D830" s="60"/>
      <c r="E830" s="60"/>
      <c r="F830" s="60"/>
      <c r="G830" s="60"/>
      <c r="H830" s="60"/>
      <c r="I830" s="60"/>
    </row>
    <row r="831" spans="1:9" x14ac:dyDescent="0.2">
      <c r="A831" s="61"/>
      <c r="B831" s="60"/>
      <c r="C831" s="60"/>
      <c r="D831" s="60"/>
      <c r="E831" s="60"/>
      <c r="F831" s="60"/>
      <c r="G831" s="60"/>
      <c r="H831" s="60"/>
      <c r="I831" s="60"/>
    </row>
    <row r="832" spans="1:9" x14ac:dyDescent="0.2">
      <c r="A832" s="60"/>
      <c r="B832" s="60"/>
      <c r="C832" s="60"/>
      <c r="D832" s="60"/>
      <c r="E832" s="60"/>
      <c r="F832" s="60"/>
      <c r="G832" s="60"/>
      <c r="H832" s="60"/>
      <c r="I832" s="60"/>
    </row>
    <row r="833" spans="1:9" x14ac:dyDescent="0.2">
      <c r="A833" s="61"/>
      <c r="B833" s="60"/>
      <c r="C833" s="60"/>
      <c r="D833" s="60"/>
      <c r="E833" s="60"/>
      <c r="F833" s="60"/>
      <c r="G833" s="60"/>
      <c r="H833" s="60"/>
      <c r="I833" s="60"/>
    </row>
    <row r="834" spans="1:9" x14ac:dyDescent="0.2">
      <c r="A834" s="60"/>
      <c r="B834" s="60"/>
      <c r="C834" s="60"/>
      <c r="D834" s="60"/>
      <c r="E834" s="60"/>
      <c r="F834" s="60"/>
      <c r="G834" s="60"/>
      <c r="H834" s="60"/>
      <c r="I834" s="60"/>
    </row>
    <row r="835" spans="1:9" x14ac:dyDescent="0.2">
      <c r="A835" s="61"/>
      <c r="B835" s="60"/>
      <c r="C835" s="60"/>
      <c r="D835" s="60"/>
      <c r="E835" s="60"/>
      <c r="F835" s="60"/>
      <c r="G835" s="60"/>
      <c r="H835" s="60"/>
      <c r="I835" s="60"/>
    </row>
    <row r="836" spans="1:9" x14ac:dyDescent="0.2">
      <c r="A836" s="60"/>
      <c r="B836" s="60"/>
      <c r="C836" s="60"/>
      <c r="D836" s="60"/>
      <c r="E836" s="60"/>
      <c r="F836" s="60"/>
      <c r="G836" s="60"/>
      <c r="H836" s="60"/>
      <c r="I836" s="60"/>
    </row>
    <row r="837" spans="1:9" x14ac:dyDescent="0.2">
      <c r="A837" s="61"/>
      <c r="B837" s="60"/>
      <c r="C837" s="60"/>
      <c r="D837" s="60"/>
      <c r="E837" s="60"/>
      <c r="F837" s="60"/>
      <c r="G837" s="60"/>
      <c r="H837" s="60"/>
      <c r="I837" s="60"/>
    </row>
    <row r="838" spans="1:9" x14ac:dyDescent="0.2">
      <c r="A838" s="60"/>
      <c r="B838" s="60"/>
      <c r="C838" s="60"/>
      <c r="D838" s="60"/>
      <c r="E838" s="60"/>
      <c r="F838" s="60"/>
      <c r="G838" s="60"/>
      <c r="H838" s="60"/>
      <c r="I838" s="60"/>
    </row>
    <row r="839" spans="1:9" x14ac:dyDescent="0.2">
      <c r="A839" s="61"/>
      <c r="B839" s="60"/>
      <c r="C839" s="60"/>
      <c r="D839" s="60"/>
      <c r="E839" s="60"/>
      <c r="F839" s="60"/>
      <c r="G839" s="60"/>
      <c r="H839" s="60"/>
      <c r="I839" s="60"/>
    </row>
    <row r="840" spans="1:9" x14ac:dyDescent="0.2">
      <c r="A840" s="60"/>
      <c r="B840" s="60"/>
      <c r="C840" s="60"/>
      <c r="D840" s="60"/>
      <c r="E840" s="60"/>
      <c r="F840" s="60"/>
      <c r="G840" s="60"/>
      <c r="H840" s="60"/>
      <c r="I840" s="60"/>
    </row>
    <row r="841" spans="1:9" x14ac:dyDescent="0.2">
      <c r="A841" s="61"/>
      <c r="B841" s="60"/>
      <c r="C841" s="60"/>
      <c r="D841" s="60"/>
      <c r="E841" s="60"/>
      <c r="F841" s="60"/>
      <c r="G841" s="60"/>
      <c r="H841" s="60"/>
      <c r="I841" s="60"/>
    </row>
    <row r="842" spans="1:9" x14ac:dyDescent="0.2">
      <c r="A842" s="60"/>
      <c r="B842" s="60"/>
      <c r="C842" s="60"/>
      <c r="D842" s="60"/>
      <c r="E842" s="60"/>
      <c r="F842" s="60"/>
      <c r="G842" s="60"/>
      <c r="H842" s="60"/>
      <c r="I842" s="60"/>
    </row>
    <row r="843" spans="1:9" x14ac:dyDescent="0.2">
      <c r="A843" s="61"/>
      <c r="B843" s="60"/>
      <c r="C843" s="60"/>
      <c r="D843" s="60"/>
      <c r="E843" s="60"/>
      <c r="F843" s="60"/>
      <c r="G843" s="60"/>
      <c r="H843" s="60"/>
      <c r="I843" s="60"/>
    </row>
    <row r="844" spans="1:9" x14ac:dyDescent="0.2">
      <c r="A844" s="60"/>
      <c r="B844" s="60"/>
      <c r="C844" s="60"/>
      <c r="D844" s="60"/>
      <c r="E844" s="60"/>
      <c r="F844" s="60"/>
      <c r="G844" s="60"/>
      <c r="H844" s="60"/>
      <c r="I844" s="60"/>
    </row>
    <row r="845" spans="1:9" x14ac:dyDescent="0.2">
      <c r="A845" s="61"/>
      <c r="B845" s="60"/>
      <c r="C845" s="60"/>
      <c r="D845" s="60"/>
      <c r="E845" s="60"/>
      <c r="F845" s="60"/>
      <c r="G845" s="60"/>
      <c r="H845" s="60"/>
      <c r="I845" s="60"/>
    </row>
    <row r="846" spans="1:9" x14ac:dyDescent="0.2">
      <c r="A846" s="60"/>
      <c r="B846" s="60"/>
      <c r="C846" s="60"/>
      <c r="D846" s="60"/>
      <c r="E846" s="60"/>
      <c r="F846" s="60"/>
      <c r="G846" s="60"/>
      <c r="H846" s="60"/>
      <c r="I846" s="60"/>
    </row>
    <row r="847" spans="1:9" x14ac:dyDescent="0.2">
      <c r="A847" s="61"/>
      <c r="B847" s="60"/>
      <c r="C847" s="60"/>
      <c r="D847" s="60"/>
      <c r="E847" s="60"/>
      <c r="F847" s="60"/>
      <c r="G847" s="60"/>
      <c r="H847" s="60"/>
      <c r="I847" s="60"/>
    </row>
    <row r="848" spans="1:9" x14ac:dyDescent="0.2">
      <c r="A848" s="60"/>
      <c r="B848" s="60"/>
      <c r="C848" s="60"/>
      <c r="D848" s="60"/>
      <c r="E848" s="60"/>
      <c r="F848" s="60"/>
      <c r="G848" s="60"/>
      <c r="H848" s="60"/>
      <c r="I848" s="60"/>
    </row>
    <row r="849" spans="1:9" x14ac:dyDescent="0.2">
      <c r="A849" s="61"/>
      <c r="B849" s="60"/>
      <c r="C849" s="60"/>
      <c r="D849" s="60"/>
      <c r="E849" s="60"/>
      <c r="F849" s="60"/>
      <c r="G849" s="60"/>
      <c r="H849" s="60"/>
      <c r="I849" s="60"/>
    </row>
    <row r="850" spans="1:9" x14ac:dyDescent="0.2">
      <c r="A850" s="60"/>
      <c r="B850" s="60"/>
      <c r="C850" s="60"/>
      <c r="D850" s="60"/>
      <c r="E850" s="60"/>
      <c r="F850" s="60"/>
      <c r="G850" s="60"/>
      <c r="H850" s="60"/>
      <c r="I850" s="60"/>
    </row>
    <row r="851" spans="1:9" x14ac:dyDescent="0.2">
      <c r="A851" s="61"/>
      <c r="B851" s="60"/>
      <c r="C851" s="60"/>
      <c r="D851" s="60"/>
      <c r="E851" s="60"/>
      <c r="F851" s="60"/>
      <c r="G851" s="60"/>
      <c r="H851" s="60"/>
      <c r="I851" s="60"/>
    </row>
    <row r="852" spans="1:9" x14ac:dyDescent="0.2">
      <c r="A852" s="60"/>
      <c r="B852" s="60"/>
      <c r="C852" s="60"/>
      <c r="D852" s="60"/>
      <c r="E852" s="60"/>
      <c r="F852" s="60"/>
      <c r="G852" s="60"/>
      <c r="H852" s="60"/>
      <c r="I852" s="60"/>
    </row>
    <row r="853" spans="1:9" x14ac:dyDescent="0.2">
      <c r="A853" s="61"/>
      <c r="B853" s="60"/>
      <c r="C853" s="60"/>
      <c r="D853" s="60"/>
      <c r="E853" s="60"/>
      <c r="F853" s="60"/>
      <c r="G853" s="60"/>
      <c r="H853" s="60"/>
      <c r="I853" s="60"/>
    </row>
    <row r="854" spans="1:9" x14ac:dyDescent="0.2">
      <c r="A854" s="60"/>
      <c r="B854" s="60"/>
      <c r="C854" s="60"/>
      <c r="D854" s="60"/>
      <c r="E854" s="60"/>
      <c r="F854" s="60"/>
      <c r="G854" s="60"/>
      <c r="H854" s="60"/>
      <c r="I854" s="60"/>
    </row>
    <row r="855" spans="1:9" x14ac:dyDescent="0.2">
      <c r="A855" s="61"/>
      <c r="B855" s="60"/>
      <c r="C855" s="60"/>
      <c r="D855" s="60"/>
      <c r="E855" s="60"/>
      <c r="F855" s="60"/>
      <c r="G855" s="60"/>
      <c r="H855" s="60"/>
      <c r="I855" s="60"/>
    </row>
    <row r="856" spans="1:9" x14ac:dyDescent="0.2">
      <c r="A856" s="60"/>
      <c r="B856" s="60"/>
      <c r="C856" s="60"/>
      <c r="D856" s="60"/>
      <c r="E856" s="60"/>
      <c r="F856" s="60"/>
      <c r="G856" s="60"/>
      <c r="H856" s="60"/>
      <c r="I856" s="60"/>
    </row>
    <row r="857" spans="1:9" x14ac:dyDescent="0.2">
      <c r="A857" s="61"/>
      <c r="B857" s="60"/>
      <c r="C857" s="60"/>
      <c r="D857" s="60"/>
      <c r="E857" s="60"/>
      <c r="F857" s="60"/>
      <c r="G857" s="60"/>
      <c r="H857" s="60"/>
      <c r="I857" s="60"/>
    </row>
    <row r="858" spans="1:9" x14ac:dyDescent="0.2">
      <c r="A858" s="60"/>
      <c r="B858" s="60"/>
      <c r="C858" s="60"/>
      <c r="D858" s="60"/>
      <c r="E858" s="60"/>
      <c r="F858" s="60"/>
      <c r="G858" s="60"/>
      <c r="H858" s="60"/>
      <c r="I858" s="60"/>
    </row>
    <row r="859" spans="1:9" x14ac:dyDescent="0.2">
      <c r="A859" s="61"/>
      <c r="B859" s="60"/>
      <c r="C859" s="60"/>
      <c r="D859" s="60"/>
      <c r="E859" s="60"/>
      <c r="F859" s="60"/>
      <c r="G859" s="60"/>
      <c r="H859" s="60"/>
      <c r="I859" s="60"/>
    </row>
    <row r="860" spans="1:9" x14ac:dyDescent="0.2">
      <c r="A860" s="60"/>
      <c r="B860" s="60"/>
      <c r="C860" s="60"/>
      <c r="D860" s="60"/>
      <c r="E860" s="60"/>
      <c r="F860" s="60"/>
      <c r="G860" s="60"/>
      <c r="H860" s="60"/>
      <c r="I860" s="60"/>
    </row>
    <row r="861" spans="1:9" x14ac:dyDescent="0.2">
      <c r="A861" s="61"/>
      <c r="B861" s="60"/>
      <c r="C861" s="60"/>
      <c r="D861" s="60"/>
      <c r="E861" s="60"/>
      <c r="F861" s="60"/>
      <c r="G861" s="60"/>
      <c r="H861" s="60"/>
      <c r="I861" s="60"/>
    </row>
    <row r="862" spans="1:9" x14ac:dyDescent="0.2">
      <c r="A862" s="60"/>
      <c r="B862" s="60"/>
      <c r="C862" s="60"/>
      <c r="D862" s="60"/>
      <c r="E862" s="60"/>
      <c r="F862" s="60"/>
      <c r="G862" s="60"/>
      <c r="H862" s="60"/>
      <c r="I862" s="60"/>
    </row>
    <row r="863" spans="1:9" x14ac:dyDescent="0.2">
      <c r="A863" s="61"/>
      <c r="B863" s="60"/>
      <c r="C863" s="60"/>
      <c r="D863" s="60"/>
      <c r="E863" s="60"/>
      <c r="F863" s="60"/>
      <c r="G863" s="60"/>
      <c r="H863" s="60"/>
      <c r="I863" s="60"/>
    </row>
    <row r="864" spans="1:9" x14ac:dyDescent="0.2">
      <c r="A864" s="60"/>
      <c r="B864" s="60"/>
      <c r="C864" s="60"/>
      <c r="D864" s="60"/>
      <c r="E864" s="60"/>
      <c r="F864" s="60"/>
      <c r="G864" s="60"/>
      <c r="H864" s="60"/>
      <c r="I864" s="60"/>
    </row>
    <row r="865" spans="1:9" x14ac:dyDescent="0.2">
      <c r="A865" s="61"/>
      <c r="B865" s="60"/>
      <c r="C865" s="60"/>
      <c r="D865" s="60"/>
      <c r="E865" s="60"/>
      <c r="F865" s="60"/>
      <c r="G865" s="60"/>
      <c r="H865" s="60"/>
      <c r="I865" s="60"/>
    </row>
    <row r="866" spans="1:9" x14ac:dyDescent="0.2">
      <c r="A866" s="60"/>
      <c r="B866" s="60"/>
      <c r="C866" s="60"/>
      <c r="D866" s="60"/>
      <c r="E866" s="60"/>
      <c r="F866" s="60"/>
      <c r="G866" s="60"/>
      <c r="H866" s="60"/>
      <c r="I866" s="60"/>
    </row>
    <row r="867" spans="1:9" x14ac:dyDescent="0.2">
      <c r="A867" s="61"/>
      <c r="B867" s="60"/>
      <c r="C867" s="60"/>
      <c r="D867" s="60"/>
      <c r="E867" s="60"/>
      <c r="F867" s="60"/>
      <c r="G867" s="60"/>
      <c r="H867" s="60"/>
      <c r="I867" s="60"/>
    </row>
    <row r="868" spans="1:9" x14ac:dyDescent="0.2">
      <c r="A868" s="60"/>
      <c r="B868" s="60"/>
      <c r="C868" s="60"/>
      <c r="D868" s="60"/>
      <c r="E868" s="60"/>
      <c r="F868" s="60"/>
      <c r="G868" s="60"/>
      <c r="H868" s="60"/>
      <c r="I868" s="60"/>
    </row>
    <row r="869" spans="1:9" x14ac:dyDescent="0.2">
      <c r="A869" s="61"/>
      <c r="B869" s="60"/>
      <c r="C869" s="60"/>
      <c r="D869" s="60"/>
      <c r="E869" s="60"/>
      <c r="F869" s="60"/>
      <c r="G869" s="60"/>
      <c r="H869" s="60"/>
      <c r="I869" s="60"/>
    </row>
    <row r="870" spans="1:9" x14ac:dyDescent="0.2">
      <c r="A870" s="60"/>
      <c r="B870" s="60"/>
      <c r="C870" s="60"/>
      <c r="D870" s="60"/>
      <c r="E870" s="60"/>
      <c r="F870" s="60"/>
      <c r="G870" s="60"/>
      <c r="H870" s="60"/>
      <c r="I870" s="60"/>
    </row>
    <row r="871" spans="1:9" x14ac:dyDescent="0.2">
      <c r="A871" s="61"/>
      <c r="B871" s="60"/>
      <c r="C871" s="60"/>
      <c r="D871" s="60"/>
      <c r="E871" s="60"/>
      <c r="F871" s="60"/>
      <c r="G871" s="60"/>
      <c r="H871" s="60"/>
      <c r="I871" s="60"/>
    </row>
    <row r="872" spans="1:9" x14ac:dyDescent="0.2">
      <c r="A872" s="60"/>
      <c r="B872" s="60"/>
      <c r="C872" s="60"/>
      <c r="D872" s="60"/>
      <c r="E872" s="60"/>
      <c r="F872" s="60"/>
      <c r="G872" s="60"/>
      <c r="H872" s="60"/>
      <c r="I872" s="60"/>
    </row>
    <row r="873" spans="1:9" x14ac:dyDescent="0.2">
      <c r="A873" s="61"/>
      <c r="B873" s="60"/>
      <c r="C873" s="60"/>
      <c r="D873" s="60"/>
      <c r="E873" s="60"/>
      <c r="F873" s="60"/>
      <c r="G873" s="60"/>
      <c r="H873" s="60"/>
      <c r="I873" s="60"/>
    </row>
    <row r="874" spans="1:9" x14ac:dyDescent="0.2">
      <c r="A874" s="60"/>
      <c r="B874" s="60"/>
      <c r="C874" s="60"/>
      <c r="D874" s="60"/>
      <c r="E874" s="60"/>
      <c r="F874" s="60"/>
      <c r="G874" s="60"/>
      <c r="H874" s="60"/>
      <c r="I874" s="60"/>
    </row>
    <row r="875" spans="1:9" x14ac:dyDescent="0.2">
      <c r="A875" s="61"/>
      <c r="B875" s="60"/>
      <c r="C875" s="60"/>
      <c r="D875" s="60"/>
      <c r="E875" s="60"/>
      <c r="F875" s="60"/>
      <c r="G875" s="60"/>
      <c r="H875" s="60"/>
      <c r="I875" s="60"/>
    </row>
    <row r="876" spans="1:9" x14ac:dyDescent="0.2">
      <c r="A876" s="60"/>
      <c r="B876" s="60"/>
      <c r="C876" s="60"/>
      <c r="D876" s="60"/>
      <c r="E876" s="60"/>
      <c r="F876" s="60"/>
      <c r="G876" s="60"/>
      <c r="H876" s="60"/>
      <c r="I876" s="60"/>
    </row>
    <row r="877" spans="1:9" x14ac:dyDescent="0.2">
      <c r="A877" s="61"/>
      <c r="B877" s="60"/>
      <c r="C877" s="60"/>
      <c r="D877" s="60"/>
      <c r="E877" s="60"/>
      <c r="F877" s="60"/>
      <c r="G877" s="60"/>
      <c r="H877" s="60"/>
      <c r="I877" s="60"/>
    </row>
    <row r="878" spans="1:9" x14ac:dyDescent="0.2">
      <c r="A878" s="60"/>
      <c r="B878" s="60"/>
      <c r="C878" s="60"/>
      <c r="D878" s="60"/>
      <c r="E878" s="60"/>
      <c r="F878" s="60"/>
      <c r="G878" s="60"/>
      <c r="H878" s="60"/>
      <c r="I878" s="60"/>
    </row>
    <row r="879" spans="1:9" x14ac:dyDescent="0.2">
      <c r="A879" s="61"/>
      <c r="B879" s="60"/>
      <c r="C879" s="60"/>
      <c r="D879" s="60"/>
      <c r="E879" s="60"/>
      <c r="F879" s="60"/>
      <c r="G879" s="60"/>
      <c r="H879" s="60"/>
      <c r="I879" s="60"/>
    </row>
    <row r="880" spans="1:9" x14ac:dyDescent="0.2">
      <c r="A880" s="60"/>
      <c r="B880" s="60"/>
      <c r="C880" s="60"/>
      <c r="D880" s="60"/>
      <c r="E880" s="60"/>
      <c r="F880" s="60"/>
      <c r="G880" s="60"/>
      <c r="H880" s="60"/>
      <c r="I880" s="60"/>
    </row>
    <row r="881" spans="1:9" x14ac:dyDescent="0.2">
      <c r="A881" s="61"/>
      <c r="B881" s="60"/>
      <c r="C881" s="60"/>
      <c r="D881" s="60"/>
      <c r="E881" s="60"/>
      <c r="F881" s="60"/>
      <c r="G881" s="60"/>
      <c r="H881" s="60"/>
      <c r="I881" s="60"/>
    </row>
    <row r="882" spans="1:9" x14ac:dyDescent="0.2">
      <c r="A882" s="60"/>
      <c r="B882" s="60"/>
      <c r="C882" s="60"/>
      <c r="D882" s="60"/>
      <c r="E882" s="60"/>
      <c r="F882" s="60"/>
      <c r="G882" s="60"/>
      <c r="H882" s="60"/>
      <c r="I882" s="60"/>
    </row>
    <row r="883" spans="1:9" x14ac:dyDescent="0.2">
      <c r="A883" s="61"/>
      <c r="B883" s="60"/>
      <c r="C883" s="60"/>
      <c r="D883" s="60"/>
      <c r="E883" s="60"/>
      <c r="F883" s="60"/>
      <c r="G883" s="60"/>
      <c r="H883" s="60"/>
      <c r="I883" s="60"/>
    </row>
    <row r="884" spans="1:9" x14ac:dyDescent="0.2">
      <c r="A884" s="60"/>
      <c r="B884" s="60"/>
      <c r="C884" s="60"/>
      <c r="D884" s="60"/>
      <c r="E884" s="60"/>
      <c r="F884" s="60"/>
      <c r="G884" s="60"/>
      <c r="H884" s="60"/>
      <c r="I884" s="60"/>
    </row>
    <row r="885" spans="1:9" x14ac:dyDescent="0.2">
      <c r="A885" s="61"/>
      <c r="B885" s="60"/>
      <c r="C885" s="60"/>
      <c r="D885" s="60"/>
      <c r="E885" s="60"/>
      <c r="F885" s="60"/>
      <c r="G885" s="60"/>
      <c r="H885" s="60"/>
      <c r="I885" s="60"/>
    </row>
    <row r="886" spans="1:9" x14ac:dyDescent="0.2">
      <c r="A886" s="60"/>
      <c r="B886" s="60"/>
      <c r="C886" s="60"/>
      <c r="D886" s="60"/>
      <c r="E886" s="60"/>
      <c r="F886" s="60"/>
      <c r="G886" s="60"/>
      <c r="H886" s="60"/>
      <c r="I886" s="60"/>
    </row>
    <row r="887" spans="1:9" x14ac:dyDescent="0.2">
      <c r="A887" s="61"/>
      <c r="B887" s="60"/>
      <c r="C887" s="60"/>
      <c r="D887" s="60"/>
      <c r="E887" s="60"/>
      <c r="F887" s="60"/>
      <c r="G887" s="60"/>
      <c r="H887" s="60"/>
      <c r="I887" s="60"/>
    </row>
    <row r="888" spans="1:9" x14ac:dyDescent="0.2">
      <c r="A888" s="60"/>
      <c r="B888" s="60"/>
      <c r="C888" s="60"/>
      <c r="D888" s="60"/>
      <c r="E888" s="60"/>
      <c r="F888" s="60"/>
      <c r="G888" s="60"/>
      <c r="H888" s="60"/>
      <c r="I888" s="60"/>
    </row>
    <row r="889" spans="1:9" x14ac:dyDescent="0.2">
      <c r="A889" s="61"/>
      <c r="B889" s="60"/>
      <c r="C889" s="60"/>
      <c r="D889" s="60"/>
      <c r="E889" s="60"/>
      <c r="F889" s="60"/>
      <c r="G889" s="60"/>
      <c r="H889" s="60"/>
      <c r="I889" s="60"/>
    </row>
    <row r="890" spans="1:9" x14ac:dyDescent="0.2">
      <c r="A890" s="60"/>
      <c r="B890" s="60"/>
      <c r="C890" s="60"/>
      <c r="D890" s="60"/>
      <c r="E890" s="60"/>
      <c r="F890" s="60"/>
      <c r="G890" s="60"/>
      <c r="H890" s="60"/>
      <c r="I890" s="60"/>
    </row>
    <row r="891" spans="1:9" x14ac:dyDescent="0.2">
      <c r="A891" s="61"/>
      <c r="B891" s="60"/>
      <c r="C891" s="60"/>
      <c r="D891" s="60"/>
      <c r="E891" s="60"/>
      <c r="F891" s="60"/>
      <c r="G891" s="60"/>
      <c r="H891" s="60"/>
      <c r="I891" s="60"/>
    </row>
    <row r="892" spans="1:9" x14ac:dyDescent="0.2">
      <c r="A892" s="60"/>
      <c r="B892" s="60"/>
      <c r="C892" s="60"/>
      <c r="D892" s="60"/>
      <c r="E892" s="60"/>
      <c r="F892" s="60"/>
      <c r="G892" s="60"/>
      <c r="H892" s="60"/>
      <c r="I892" s="60"/>
    </row>
    <row r="893" spans="1:9" x14ac:dyDescent="0.2">
      <c r="A893" s="61"/>
      <c r="B893" s="60"/>
      <c r="C893" s="60"/>
      <c r="D893" s="60"/>
      <c r="E893" s="60"/>
      <c r="F893" s="60"/>
      <c r="G893" s="60"/>
      <c r="H893" s="60"/>
      <c r="I893" s="60"/>
    </row>
    <row r="894" spans="1:9" x14ac:dyDescent="0.2">
      <c r="A894" s="60"/>
      <c r="B894" s="60"/>
      <c r="C894" s="60"/>
      <c r="D894" s="60"/>
      <c r="E894" s="60"/>
      <c r="F894" s="60"/>
      <c r="G894" s="60"/>
      <c r="H894" s="60"/>
      <c r="I894" s="60"/>
    </row>
    <row r="895" spans="1:9" x14ac:dyDescent="0.2">
      <c r="A895" s="61"/>
      <c r="B895" s="60"/>
      <c r="C895" s="60"/>
      <c r="D895" s="60"/>
      <c r="E895" s="60"/>
      <c r="F895" s="60"/>
      <c r="G895" s="60"/>
      <c r="H895" s="60"/>
      <c r="I895" s="60"/>
    </row>
    <row r="896" spans="1:9" x14ac:dyDescent="0.2">
      <c r="A896" s="60"/>
      <c r="B896" s="60"/>
      <c r="C896" s="60"/>
      <c r="D896" s="60"/>
      <c r="E896" s="60"/>
      <c r="F896" s="60"/>
      <c r="G896" s="60"/>
      <c r="H896" s="60"/>
      <c r="I896" s="60"/>
    </row>
    <row r="897" spans="1:9" x14ac:dyDescent="0.2">
      <c r="A897" s="61"/>
      <c r="B897" s="60"/>
      <c r="C897" s="60"/>
      <c r="D897" s="60"/>
      <c r="E897" s="60"/>
      <c r="F897" s="60"/>
      <c r="G897" s="60"/>
      <c r="H897" s="60"/>
      <c r="I897" s="60"/>
    </row>
    <row r="898" spans="1:9" x14ac:dyDescent="0.2">
      <c r="A898" s="60"/>
      <c r="B898" s="60"/>
      <c r="C898" s="60"/>
      <c r="D898" s="60"/>
      <c r="E898" s="60"/>
      <c r="F898" s="60"/>
      <c r="G898" s="60"/>
      <c r="H898" s="60"/>
      <c r="I898" s="60"/>
    </row>
    <row r="899" spans="1:9" x14ac:dyDescent="0.2">
      <c r="A899" s="61"/>
      <c r="B899" s="60"/>
      <c r="C899" s="60"/>
      <c r="D899" s="60"/>
      <c r="E899" s="60"/>
      <c r="F899" s="60"/>
      <c r="G899" s="60"/>
      <c r="H899" s="60"/>
      <c r="I899" s="60"/>
    </row>
    <row r="900" spans="1:9" x14ac:dyDescent="0.2">
      <c r="A900" s="60"/>
      <c r="B900" s="60"/>
      <c r="C900" s="60"/>
      <c r="D900" s="60"/>
      <c r="E900" s="60"/>
      <c r="F900" s="60"/>
      <c r="G900" s="60"/>
      <c r="H900" s="60"/>
      <c r="I900" s="60"/>
    </row>
    <row r="901" spans="1:9" x14ac:dyDescent="0.2">
      <c r="A901" s="61"/>
      <c r="B901" s="60"/>
      <c r="C901" s="60"/>
      <c r="D901" s="60"/>
      <c r="E901" s="60"/>
      <c r="F901" s="60"/>
      <c r="G901" s="60"/>
      <c r="H901" s="60"/>
      <c r="I901" s="60"/>
    </row>
    <row r="902" spans="1:9" x14ac:dyDescent="0.2">
      <c r="A902" s="60"/>
      <c r="B902" s="60"/>
      <c r="C902" s="60"/>
      <c r="D902" s="60"/>
      <c r="E902" s="60"/>
      <c r="F902" s="60"/>
      <c r="G902" s="60"/>
      <c r="H902" s="60"/>
      <c r="I902" s="60"/>
    </row>
    <row r="903" spans="1:9" x14ac:dyDescent="0.2">
      <c r="A903" s="61"/>
      <c r="B903" s="60"/>
      <c r="C903" s="60"/>
      <c r="D903" s="60"/>
      <c r="E903" s="60"/>
      <c r="F903" s="60"/>
      <c r="G903" s="60"/>
      <c r="H903" s="60"/>
      <c r="I903" s="60"/>
    </row>
    <row r="904" spans="1:9" x14ac:dyDescent="0.2">
      <c r="A904" s="60"/>
      <c r="B904" s="60"/>
      <c r="C904" s="60"/>
      <c r="D904" s="60"/>
      <c r="E904" s="60"/>
      <c r="F904" s="60"/>
      <c r="G904" s="60"/>
      <c r="H904" s="60"/>
      <c r="I904" s="60"/>
    </row>
    <row r="905" spans="1:9" x14ac:dyDescent="0.2">
      <c r="A905" s="61"/>
      <c r="B905" s="60"/>
      <c r="C905" s="60"/>
      <c r="D905" s="60"/>
      <c r="E905" s="60"/>
      <c r="F905" s="60"/>
      <c r="G905" s="60"/>
      <c r="H905" s="60"/>
      <c r="I905" s="60"/>
    </row>
    <row r="906" spans="1:9" x14ac:dyDescent="0.2">
      <c r="A906" s="60"/>
      <c r="B906" s="60"/>
      <c r="C906" s="60"/>
      <c r="D906" s="60"/>
      <c r="E906" s="60"/>
      <c r="F906" s="60"/>
      <c r="G906" s="60"/>
      <c r="H906" s="60"/>
      <c r="I906" s="60"/>
    </row>
    <row r="907" spans="1:9" x14ac:dyDescent="0.2">
      <c r="A907" s="61"/>
      <c r="B907" s="60"/>
      <c r="C907" s="60"/>
      <c r="D907" s="60"/>
      <c r="E907" s="60"/>
      <c r="F907" s="60"/>
      <c r="G907" s="60"/>
      <c r="H907" s="60"/>
      <c r="I907" s="60"/>
    </row>
    <row r="908" spans="1:9" x14ac:dyDescent="0.2">
      <c r="A908" s="60"/>
      <c r="B908" s="60"/>
      <c r="C908" s="60"/>
      <c r="D908" s="60"/>
      <c r="E908" s="60"/>
      <c r="F908" s="60"/>
      <c r="G908" s="60"/>
      <c r="H908" s="60"/>
      <c r="I908" s="60"/>
    </row>
    <row r="909" spans="1:9" x14ac:dyDescent="0.2">
      <c r="A909" s="61"/>
      <c r="B909" s="60"/>
      <c r="C909" s="60"/>
      <c r="D909" s="60"/>
      <c r="E909" s="60"/>
      <c r="F909" s="60"/>
      <c r="G909" s="60"/>
      <c r="H909" s="60"/>
      <c r="I909" s="60"/>
    </row>
    <row r="910" spans="1:9" x14ac:dyDescent="0.2">
      <c r="A910" s="60"/>
      <c r="B910" s="60"/>
      <c r="C910" s="60"/>
      <c r="D910" s="60"/>
      <c r="E910" s="60"/>
      <c r="F910" s="60"/>
      <c r="G910" s="60"/>
      <c r="H910" s="60"/>
      <c r="I910" s="60"/>
    </row>
    <row r="911" spans="1:9" x14ac:dyDescent="0.2">
      <c r="A911" s="61"/>
      <c r="B911" s="60"/>
      <c r="C911" s="60"/>
      <c r="D911" s="60"/>
      <c r="E911" s="60"/>
      <c r="F911" s="60"/>
      <c r="G911" s="60"/>
      <c r="H911" s="60"/>
      <c r="I911" s="60"/>
    </row>
    <row r="912" spans="1:9" x14ac:dyDescent="0.2">
      <c r="A912" s="60"/>
      <c r="B912" s="60"/>
      <c r="C912" s="60"/>
      <c r="D912" s="60"/>
      <c r="E912" s="60"/>
      <c r="F912" s="60"/>
      <c r="G912" s="60"/>
      <c r="H912" s="60"/>
      <c r="I912" s="60"/>
    </row>
    <row r="913" spans="1:9" x14ac:dyDescent="0.2">
      <c r="A913" s="61"/>
      <c r="B913" s="60"/>
      <c r="C913" s="60"/>
      <c r="D913" s="60"/>
      <c r="E913" s="60"/>
      <c r="F913" s="60"/>
      <c r="G913" s="60"/>
      <c r="H913" s="60"/>
      <c r="I913" s="60"/>
    </row>
    <row r="914" spans="1:9" x14ac:dyDescent="0.2">
      <c r="A914" s="60"/>
      <c r="B914" s="60"/>
      <c r="C914" s="60"/>
      <c r="D914" s="60"/>
      <c r="E914" s="60"/>
      <c r="F914" s="60"/>
      <c r="G914" s="60"/>
      <c r="H914" s="60"/>
      <c r="I914" s="60"/>
    </row>
    <row r="915" spans="1:9" x14ac:dyDescent="0.2">
      <c r="A915" s="61"/>
      <c r="B915" s="60"/>
      <c r="C915" s="60"/>
      <c r="D915" s="60"/>
      <c r="E915" s="60"/>
      <c r="F915" s="60"/>
      <c r="G915" s="60"/>
      <c r="H915" s="60"/>
      <c r="I915" s="60"/>
    </row>
    <row r="916" spans="1:9" x14ac:dyDescent="0.2">
      <c r="A916" s="60"/>
      <c r="B916" s="60"/>
      <c r="C916" s="60"/>
      <c r="D916" s="60"/>
      <c r="E916" s="60"/>
      <c r="F916" s="60"/>
      <c r="G916" s="60"/>
      <c r="H916" s="60"/>
      <c r="I916" s="60"/>
    </row>
    <row r="917" spans="1:9" x14ac:dyDescent="0.2">
      <c r="A917" s="61"/>
      <c r="B917" s="60"/>
      <c r="C917" s="60"/>
      <c r="D917" s="60"/>
      <c r="E917" s="60"/>
      <c r="F917" s="60"/>
      <c r="G917" s="60"/>
      <c r="H917" s="60"/>
      <c r="I917" s="60"/>
    </row>
    <row r="918" spans="1:9" x14ac:dyDescent="0.2">
      <c r="A918" s="60"/>
      <c r="B918" s="60"/>
      <c r="C918" s="60"/>
      <c r="D918" s="60"/>
      <c r="E918" s="60"/>
      <c r="F918" s="60"/>
      <c r="G918" s="60"/>
      <c r="H918" s="60"/>
      <c r="I918" s="60"/>
    </row>
    <row r="919" spans="1:9" x14ac:dyDescent="0.2">
      <c r="A919" s="61"/>
      <c r="B919" s="60"/>
      <c r="C919" s="60"/>
      <c r="D919" s="60"/>
      <c r="E919" s="60"/>
      <c r="F919" s="60"/>
      <c r="G919" s="60"/>
      <c r="H919" s="60"/>
      <c r="I919" s="60"/>
    </row>
    <row r="920" spans="1:9" x14ac:dyDescent="0.2">
      <c r="A920" s="60"/>
      <c r="B920" s="60"/>
      <c r="C920" s="60"/>
      <c r="D920" s="60"/>
      <c r="E920" s="60"/>
      <c r="F920" s="60"/>
      <c r="G920" s="60"/>
      <c r="H920" s="60"/>
      <c r="I920" s="60"/>
    </row>
    <row r="921" spans="1:9" x14ac:dyDescent="0.2">
      <c r="A921" s="61"/>
      <c r="B921" s="60"/>
      <c r="C921" s="60"/>
      <c r="D921" s="60"/>
      <c r="E921" s="60"/>
      <c r="F921" s="60"/>
      <c r="G921" s="60"/>
      <c r="H921" s="60"/>
      <c r="I921" s="60"/>
    </row>
    <row r="922" spans="1:9" x14ac:dyDescent="0.2">
      <c r="A922" s="60"/>
      <c r="B922" s="60"/>
      <c r="C922" s="60"/>
      <c r="D922" s="60"/>
      <c r="E922" s="60"/>
      <c r="F922" s="60"/>
      <c r="G922" s="60"/>
      <c r="H922" s="60"/>
      <c r="I922" s="60"/>
    </row>
    <row r="923" spans="1:9" x14ac:dyDescent="0.2">
      <c r="A923" s="61"/>
      <c r="B923" s="60"/>
      <c r="C923" s="60"/>
      <c r="D923" s="60"/>
      <c r="E923" s="60"/>
      <c r="F923" s="60"/>
      <c r="G923" s="60"/>
      <c r="H923" s="60"/>
      <c r="I923" s="60"/>
    </row>
    <row r="924" spans="1:9" x14ac:dyDescent="0.2">
      <c r="A924" s="60"/>
      <c r="B924" s="60"/>
      <c r="C924" s="60"/>
      <c r="D924" s="60"/>
      <c r="E924" s="60"/>
      <c r="F924" s="60"/>
      <c r="G924" s="60"/>
      <c r="H924" s="60"/>
      <c r="I924" s="60"/>
    </row>
    <row r="925" spans="1:9" x14ac:dyDescent="0.2">
      <c r="A925" s="61"/>
      <c r="B925" s="60"/>
      <c r="C925" s="60"/>
      <c r="D925" s="60"/>
      <c r="E925" s="60"/>
      <c r="F925" s="60"/>
      <c r="G925" s="60"/>
      <c r="H925" s="60"/>
      <c r="I925" s="60"/>
    </row>
    <row r="926" spans="1:9" x14ac:dyDescent="0.2">
      <c r="A926" s="60"/>
      <c r="B926" s="60"/>
      <c r="C926" s="60"/>
      <c r="D926" s="60"/>
      <c r="E926" s="60"/>
      <c r="F926" s="60"/>
      <c r="G926" s="60"/>
      <c r="H926" s="60"/>
      <c r="I926" s="60"/>
    </row>
    <row r="927" spans="1:9" x14ac:dyDescent="0.2">
      <c r="A927" s="61"/>
      <c r="B927" s="60"/>
      <c r="C927" s="60"/>
      <c r="D927" s="60"/>
      <c r="E927" s="60"/>
      <c r="F927" s="60"/>
      <c r="G927" s="60"/>
      <c r="H927" s="60"/>
      <c r="I927" s="60"/>
    </row>
    <row r="928" spans="1:9" x14ac:dyDescent="0.2">
      <c r="A928" s="60"/>
      <c r="B928" s="60"/>
      <c r="C928" s="60"/>
      <c r="D928" s="60"/>
      <c r="E928" s="60"/>
      <c r="F928" s="60"/>
      <c r="G928" s="60"/>
      <c r="H928" s="60"/>
      <c r="I928" s="60"/>
    </row>
    <row r="929" spans="1:9" x14ac:dyDescent="0.2">
      <c r="A929" s="61"/>
      <c r="B929" s="60"/>
      <c r="C929" s="60"/>
      <c r="D929" s="60"/>
      <c r="E929" s="60"/>
      <c r="F929" s="60"/>
      <c r="G929" s="60"/>
      <c r="H929" s="60"/>
      <c r="I929" s="60"/>
    </row>
    <row r="930" spans="1:9" x14ac:dyDescent="0.2">
      <c r="A930" s="60"/>
      <c r="B930" s="60"/>
      <c r="C930" s="60"/>
      <c r="D930" s="60"/>
      <c r="E930" s="60"/>
      <c r="F930" s="60"/>
      <c r="G930" s="60"/>
      <c r="H930" s="60"/>
      <c r="I930" s="60"/>
    </row>
    <row r="931" spans="1:9" x14ac:dyDescent="0.2">
      <c r="A931" s="61"/>
      <c r="B931" s="60"/>
      <c r="C931" s="60"/>
      <c r="D931" s="60"/>
      <c r="E931" s="60"/>
      <c r="F931" s="60"/>
      <c r="G931" s="60"/>
      <c r="H931" s="60"/>
      <c r="I931" s="60"/>
    </row>
    <row r="932" spans="1:9" x14ac:dyDescent="0.2">
      <c r="A932" s="60"/>
      <c r="B932" s="60"/>
      <c r="C932" s="60"/>
      <c r="D932" s="60"/>
      <c r="E932" s="60"/>
      <c r="F932" s="60"/>
      <c r="G932" s="60"/>
      <c r="H932" s="60"/>
      <c r="I932" s="60"/>
    </row>
    <row r="933" spans="1:9" x14ac:dyDescent="0.2">
      <c r="A933" s="61"/>
      <c r="B933" s="60"/>
      <c r="C933" s="60"/>
      <c r="D933" s="60"/>
      <c r="E933" s="60"/>
      <c r="F933" s="60"/>
      <c r="G933" s="60"/>
      <c r="H933" s="60"/>
      <c r="I933" s="60"/>
    </row>
    <row r="934" spans="1:9" x14ac:dyDescent="0.2">
      <c r="A934" s="60"/>
      <c r="B934" s="60"/>
      <c r="C934" s="60"/>
      <c r="D934" s="60"/>
      <c r="E934" s="60"/>
      <c r="F934" s="60"/>
      <c r="G934" s="60"/>
      <c r="H934" s="60"/>
      <c r="I934" s="60"/>
    </row>
    <row r="935" spans="1:9" x14ac:dyDescent="0.2">
      <c r="A935" s="61"/>
      <c r="B935" s="60"/>
      <c r="C935" s="60"/>
      <c r="D935" s="60"/>
      <c r="E935" s="60"/>
      <c r="F935" s="60"/>
      <c r="G935" s="60"/>
      <c r="H935" s="60"/>
      <c r="I935" s="60"/>
    </row>
    <row r="936" spans="1:9" x14ac:dyDescent="0.2">
      <c r="A936" s="60"/>
      <c r="B936" s="60"/>
      <c r="C936" s="60"/>
      <c r="D936" s="60"/>
      <c r="E936" s="60"/>
      <c r="F936" s="60"/>
      <c r="G936" s="60"/>
      <c r="H936" s="60"/>
      <c r="I936" s="60"/>
    </row>
    <row r="937" spans="1:9" x14ac:dyDescent="0.2">
      <c r="A937" s="61"/>
      <c r="B937" s="60"/>
      <c r="C937" s="60"/>
      <c r="D937" s="60"/>
      <c r="E937" s="60"/>
      <c r="F937" s="60"/>
      <c r="G937" s="60"/>
      <c r="H937" s="60"/>
      <c r="I937" s="60"/>
    </row>
    <row r="938" spans="1:9" x14ac:dyDescent="0.2">
      <c r="A938" s="60"/>
      <c r="B938" s="60"/>
      <c r="C938" s="60"/>
      <c r="D938" s="60"/>
      <c r="E938" s="60"/>
      <c r="F938" s="60"/>
      <c r="G938" s="60"/>
      <c r="H938" s="60"/>
      <c r="I938" s="60"/>
    </row>
    <row r="939" spans="1:9" x14ac:dyDescent="0.2">
      <c r="A939" s="61"/>
      <c r="B939" s="60"/>
      <c r="C939" s="60"/>
      <c r="D939" s="60"/>
      <c r="E939" s="60"/>
      <c r="F939" s="60"/>
      <c r="G939" s="60"/>
      <c r="H939" s="60"/>
      <c r="I939" s="60"/>
    </row>
    <row r="940" spans="1:9" x14ac:dyDescent="0.2">
      <c r="A940" s="60"/>
      <c r="B940" s="60"/>
      <c r="C940" s="60"/>
      <c r="D940" s="60"/>
      <c r="E940" s="60"/>
      <c r="F940" s="60"/>
      <c r="G940" s="60"/>
      <c r="H940" s="60"/>
      <c r="I940" s="60"/>
    </row>
    <row r="941" spans="1:9" x14ac:dyDescent="0.2">
      <c r="A941" s="61"/>
      <c r="B941" s="60"/>
      <c r="C941" s="60"/>
      <c r="D941" s="60"/>
      <c r="E941" s="60"/>
      <c r="F941" s="60"/>
      <c r="G941" s="60"/>
      <c r="H941" s="60"/>
      <c r="I941" s="60"/>
    </row>
    <row r="942" spans="1:9" x14ac:dyDescent="0.2">
      <c r="A942" s="60"/>
      <c r="B942" s="60"/>
      <c r="C942" s="60"/>
      <c r="D942" s="60"/>
      <c r="E942" s="60"/>
      <c r="F942" s="60"/>
      <c r="G942" s="60"/>
      <c r="H942" s="60"/>
      <c r="I942" s="60"/>
    </row>
    <row r="943" spans="1:9" x14ac:dyDescent="0.2">
      <c r="A943" s="61"/>
      <c r="B943" s="60"/>
      <c r="C943" s="60"/>
      <c r="D943" s="60"/>
      <c r="E943" s="60"/>
      <c r="F943" s="60"/>
      <c r="G943" s="60"/>
      <c r="H943" s="60"/>
      <c r="I943" s="60"/>
    </row>
    <row r="944" spans="1:9" x14ac:dyDescent="0.2">
      <c r="A944" s="60"/>
      <c r="B944" s="60"/>
      <c r="C944" s="60"/>
      <c r="D944" s="60"/>
      <c r="E944" s="60"/>
      <c r="F944" s="60"/>
      <c r="G944" s="60"/>
      <c r="H944" s="60"/>
      <c r="I944" s="60"/>
    </row>
    <row r="945" spans="1:9" x14ac:dyDescent="0.2">
      <c r="A945" s="61"/>
      <c r="B945" s="60"/>
      <c r="C945" s="60"/>
      <c r="D945" s="60"/>
      <c r="E945" s="60"/>
      <c r="F945" s="60"/>
      <c r="G945" s="60"/>
      <c r="H945" s="60"/>
      <c r="I945" s="60"/>
    </row>
    <row r="946" spans="1:9" x14ac:dyDescent="0.2">
      <c r="A946" s="60"/>
      <c r="B946" s="60"/>
      <c r="C946" s="60"/>
      <c r="D946" s="60"/>
      <c r="E946" s="60"/>
      <c r="F946" s="60"/>
      <c r="G946" s="60"/>
      <c r="H946" s="60"/>
      <c r="I946" s="60"/>
    </row>
    <row r="947" spans="1:9" x14ac:dyDescent="0.2">
      <c r="A947" s="61"/>
      <c r="B947" s="60"/>
      <c r="C947" s="60"/>
      <c r="D947" s="60"/>
      <c r="E947" s="60"/>
      <c r="F947" s="60"/>
      <c r="G947" s="60"/>
      <c r="H947" s="60"/>
      <c r="I947" s="60"/>
    </row>
    <row r="948" spans="1:9" x14ac:dyDescent="0.2">
      <c r="A948" s="60"/>
      <c r="B948" s="60"/>
      <c r="C948" s="60"/>
      <c r="D948" s="60"/>
      <c r="E948" s="60"/>
      <c r="F948" s="60"/>
      <c r="G948" s="60"/>
      <c r="H948" s="60"/>
      <c r="I948" s="60"/>
    </row>
    <row r="949" spans="1:9" x14ac:dyDescent="0.2">
      <c r="A949" s="61"/>
      <c r="B949" s="60"/>
      <c r="C949" s="60"/>
      <c r="D949" s="60"/>
      <c r="E949" s="60"/>
      <c r="F949" s="60"/>
      <c r="G949" s="60"/>
      <c r="H949" s="60"/>
      <c r="I949" s="60"/>
    </row>
    <row r="950" spans="1:9" x14ac:dyDescent="0.2">
      <c r="A950" s="60"/>
      <c r="B950" s="60"/>
      <c r="C950" s="60"/>
      <c r="D950" s="60"/>
      <c r="E950" s="60"/>
      <c r="F950" s="60"/>
      <c r="G950" s="60"/>
      <c r="H950" s="60"/>
      <c r="I950" s="60"/>
    </row>
    <row r="951" spans="1:9" x14ac:dyDescent="0.2">
      <c r="A951" s="61"/>
      <c r="B951" s="60"/>
      <c r="C951" s="60"/>
      <c r="D951" s="60"/>
      <c r="E951" s="60"/>
      <c r="F951" s="60"/>
      <c r="G951" s="60"/>
      <c r="H951" s="60"/>
      <c r="I951" s="60"/>
    </row>
    <row r="952" spans="1:9" x14ac:dyDescent="0.2">
      <c r="A952" s="60"/>
      <c r="B952" s="60"/>
      <c r="C952" s="60"/>
      <c r="D952" s="60"/>
      <c r="E952" s="60"/>
      <c r="F952" s="60"/>
      <c r="G952" s="60"/>
      <c r="H952" s="60"/>
      <c r="I952" s="60"/>
    </row>
    <row r="953" spans="1:9" x14ac:dyDescent="0.2">
      <c r="A953" s="61"/>
      <c r="B953" s="60"/>
      <c r="C953" s="60"/>
      <c r="D953" s="60"/>
      <c r="E953" s="60"/>
      <c r="F953" s="60"/>
      <c r="G953" s="60"/>
      <c r="H953" s="60"/>
      <c r="I953" s="60"/>
    </row>
    <row r="954" spans="1:9" x14ac:dyDescent="0.2">
      <c r="A954" s="60"/>
      <c r="B954" s="60"/>
      <c r="C954" s="60"/>
      <c r="D954" s="60"/>
      <c r="E954" s="60"/>
      <c r="F954" s="60"/>
      <c r="G954" s="60"/>
      <c r="H954" s="60"/>
      <c r="I954" s="60"/>
    </row>
    <row r="955" spans="1:9" x14ac:dyDescent="0.2">
      <c r="A955" s="61"/>
      <c r="B955" s="60"/>
      <c r="C955" s="60"/>
      <c r="D955" s="60"/>
      <c r="E955" s="60"/>
      <c r="F955" s="60"/>
      <c r="G955" s="60"/>
      <c r="H955" s="60"/>
      <c r="I955" s="60"/>
    </row>
    <row r="956" spans="1:9" x14ac:dyDescent="0.2">
      <c r="A956" s="60"/>
      <c r="B956" s="60"/>
      <c r="C956" s="60"/>
      <c r="D956" s="60"/>
      <c r="E956" s="60"/>
      <c r="F956" s="60"/>
      <c r="G956" s="60"/>
      <c r="H956" s="60"/>
      <c r="I956" s="60"/>
    </row>
    <row r="957" spans="1:9" x14ac:dyDescent="0.2">
      <c r="A957" s="61"/>
      <c r="B957" s="60"/>
      <c r="C957" s="60"/>
      <c r="D957" s="60"/>
      <c r="E957" s="60"/>
      <c r="F957" s="60"/>
      <c r="G957" s="60"/>
      <c r="H957" s="60"/>
      <c r="I957" s="60"/>
    </row>
    <row r="958" spans="1:9" x14ac:dyDescent="0.2">
      <c r="A958" s="60"/>
      <c r="B958" s="60"/>
      <c r="C958" s="60"/>
      <c r="D958" s="60"/>
      <c r="E958" s="60"/>
      <c r="F958" s="60"/>
      <c r="G958" s="60"/>
      <c r="H958" s="60"/>
      <c r="I958" s="60"/>
    </row>
    <row r="959" spans="1:9" x14ac:dyDescent="0.2">
      <c r="A959" s="61"/>
      <c r="B959" s="60"/>
      <c r="C959" s="60"/>
      <c r="D959" s="60"/>
      <c r="E959" s="60"/>
      <c r="F959" s="60"/>
      <c r="G959" s="60"/>
      <c r="H959" s="60"/>
      <c r="I959" s="60"/>
    </row>
    <row r="960" spans="1:9" x14ac:dyDescent="0.2">
      <c r="A960" s="60"/>
      <c r="B960" s="60"/>
      <c r="C960" s="60"/>
      <c r="D960" s="60"/>
      <c r="E960" s="60"/>
      <c r="F960" s="60"/>
      <c r="G960" s="60"/>
      <c r="H960" s="60"/>
      <c r="I960" s="60"/>
    </row>
    <row r="961" spans="1:9" x14ac:dyDescent="0.2">
      <c r="A961" s="61"/>
      <c r="B961" s="60"/>
      <c r="C961" s="60"/>
      <c r="D961" s="60"/>
      <c r="E961" s="60"/>
      <c r="F961" s="60"/>
      <c r="G961" s="60"/>
      <c r="H961" s="60"/>
      <c r="I961" s="60"/>
    </row>
    <row r="962" spans="1:9" x14ac:dyDescent="0.2">
      <c r="A962" s="60"/>
      <c r="B962" s="60"/>
      <c r="C962" s="60"/>
      <c r="D962" s="60"/>
      <c r="E962" s="60"/>
      <c r="F962" s="60"/>
      <c r="G962" s="60"/>
      <c r="H962" s="60"/>
      <c r="I962" s="60"/>
    </row>
    <row r="963" spans="1:9" x14ac:dyDescent="0.2">
      <c r="A963" s="61"/>
      <c r="B963" s="60"/>
      <c r="C963" s="60"/>
      <c r="D963" s="60"/>
      <c r="E963" s="60"/>
      <c r="F963" s="60"/>
      <c r="G963" s="60"/>
      <c r="H963" s="60"/>
      <c r="I963" s="60"/>
    </row>
    <row r="964" spans="1:9" x14ac:dyDescent="0.2">
      <c r="A964" s="60"/>
      <c r="B964" s="60"/>
      <c r="C964" s="60"/>
      <c r="D964" s="60"/>
      <c r="E964" s="60"/>
      <c r="F964" s="60"/>
      <c r="G964" s="60"/>
      <c r="H964" s="60"/>
      <c r="I964" s="60"/>
    </row>
    <row r="965" spans="1:9" x14ac:dyDescent="0.2">
      <c r="A965" s="61"/>
      <c r="B965" s="60"/>
      <c r="C965" s="60"/>
      <c r="D965" s="60"/>
      <c r="E965" s="60"/>
      <c r="F965" s="60"/>
      <c r="G965" s="60"/>
      <c r="H965" s="60"/>
      <c r="I965" s="60"/>
    </row>
    <row r="966" spans="1:9" x14ac:dyDescent="0.2">
      <c r="A966" s="60"/>
      <c r="B966" s="60"/>
      <c r="C966" s="60"/>
      <c r="D966" s="60"/>
      <c r="E966" s="60"/>
      <c r="F966" s="60"/>
      <c r="G966" s="60"/>
      <c r="H966" s="60"/>
      <c r="I966" s="60"/>
    </row>
    <row r="967" spans="1:9" x14ac:dyDescent="0.2">
      <c r="A967" s="61"/>
      <c r="B967" s="60"/>
      <c r="C967" s="60"/>
      <c r="D967" s="60"/>
      <c r="E967" s="60"/>
      <c r="F967" s="60"/>
      <c r="G967" s="60"/>
      <c r="H967" s="60"/>
      <c r="I967" s="60"/>
    </row>
    <row r="968" spans="1:9" x14ac:dyDescent="0.2">
      <c r="A968" s="60"/>
      <c r="B968" s="60"/>
      <c r="C968" s="60"/>
      <c r="D968" s="60"/>
      <c r="E968" s="60"/>
      <c r="F968" s="60"/>
      <c r="G968" s="60"/>
      <c r="H968" s="60"/>
      <c r="I968" s="60"/>
    </row>
    <row r="969" spans="1:9" x14ac:dyDescent="0.2">
      <c r="A969" s="61"/>
      <c r="B969" s="60"/>
      <c r="C969" s="60"/>
      <c r="D969" s="60"/>
      <c r="E969" s="60"/>
      <c r="F969" s="60"/>
      <c r="G969" s="60"/>
      <c r="H969" s="60"/>
      <c r="I969" s="60"/>
    </row>
    <row r="970" spans="1:9" x14ac:dyDescent="0.2">
      <c r="A970" s="60"/>
      <c r="B970" s="60"/>
      <c r="C970" s="60"/>
      <c r="D970" s="60"/>
      <c r="E970" s="60"/>
      <c r="F970" s="60"/>
      <c r="G970" s="60"/>
      <c r="H970" s="60"/>
      <c r="I970" s="60"/>
    </row>
    <row r="971" spans="1:9" x14ac:dyDescent="0.2">
      <c r="A971" s="61"/>
      <c r="B971" s="60"/>
      <c r="C971" s="60"/>
      <c r="D971" s="60"/>
      <c r="E971" s="60"/>
      <c r="F971" s="60"/>
      <c r="G971" s="60"/>
      <c r="H971" s="60"/>
      <c r="I971" s="60"/>
    </row>
    <row r="972" spans="1:9" x14ac:dyDescent="0.2">
      <c r="A972" s="60"/>
      <c r="B972" s="60"/>
      <c r="C972" s="60"/>
      <c r="D972" s="60"/>
      <c r="E972" s="60"/>
      <c r="F972" s="60"/>
      <c r="G972" s="60"/>
      <c r="H972" s="60"/>
      <c r="I972" s="60"/>
    </row>
    <row r="973" spans="1:9" x14ac:dyDescent="0.2">
      <c r="A973" s="61"/>
      <c r="B973" s="60"/>
      <c r="C973" s="60"/>
      <c r="D973" s="60"/>
      <c r="E973" s="60"/>
      <c r="F973" s="60"/>
      <c r="G973" s="60"/>
      <c r="H973" s="60"/>
      <c r="I973" s="60"/>
    </row>
    <row r="974" spans="1:9" x14ac:dyDescent="0.2">
      <c r="A974" s="60"/>
      <c r="B974" s="60"/>
      <c r="C974" s="60"/>
      <c r="D974" s="60"/>
      <c r="E974" s="60"/>
      <c r="F974" s="60"/>
      <c r="G974" s="60"/>
      <c r="H974" s="60"/>
      <c r="I974" s="60"/>
    </row>
    <row r="975" spans="1:9" x14ac:dyDescent="0.2">
      <c r="A975" s="61"/>
      <c r="B975" s="60"/>
      <c r="C975" s="60"/>
      <c r="D975" s="60"/>
      <c r="E975" s="60"/>
      <c r="F975" s="60"/>
      <c r="G975" s="60"/>
      <c r="H975" s="60"/>
      <c r="I975" s="60"/>
    </row>
    <row r="976" spans="1:9" x14ac:dyDescent="0.2">
      <c r="A976" s="60"/>
      <c r="B976" s="60"/>
      <c r="C976" s="60"/>
      <c r="D976" s="60"/>
      <c r="E976" s="60"/>
      <c r="F976" s="60"/>
      <c r="G976" s="60"/>
      <c r="H976" s="60"/>
      <c r="I976" s="60"/>
    </row>
    <row r="977" spans="1:9" x14ac:dyDescent="0.2">
      <c r="A977" s="61"/>
      <c r="B977" s="60"/>
      <c r="C977" s="60"/>
      <c r="D977" s="60"/>
      <c r="E977" s="60"/>
      <c r="F977" s="60"/>
      <c r="G977" s="60"/>
      <c r="H977" s="60"/>
      <c r="I977" s="60"/>
    </row>
    <row r="978" spans="1:9" x14ac:dyDescent="0.2">
      <c r="A978" s="60"/>
      <c r="B978" s="60"/>
      <c r="C978" s="60"/>
      <c r="D978" s="60"/>
      <c r="E978" s="60"/>
      <c r="F978" s="60"/>
      <c r="G978" s="60"/>
      <c r="H978" s="60"/>
      <c r="I978" s="60"/>
    </row>
    <row r="979" spans="1:9" x14ac:dyDescent="0.2">
      <c r="A979" s="61"/>
      <c r="B979" s="60"/>
      <c r="C979" s="60"/>
      <c r="D979" s="60"/>
      <c r="E979" s="60"/>
      <c r="F979" s="60"/>
      <c r="G979" s="60"/>
      <c r="H979" s="60"/>
      <c r="I979" s="60"/>
    </row>
    <row r="980" spans="1:9" x14ac:dyDescent="0.2">
      <c r="A980" s="60"/>
      <c r="B980" s="60"/>
      <c r="C980" s="60"/>
      <c r="D980" s="60"/>
      <c r="E980" s="60"/>
      <c r="F980" s="60"/>
      <c r="G980" s="60"/>
      <c r="H980" s="60"/>
      <c r="I980" s="60"/>
    </row>
    <row r="981" spans="1:9" x14ac:dyDescent="0.2">
      <c r="A981" s="61"/>
      <c r="B981" s="60"/>
      <c r="C981" s="60"/>
      <c r="D981" s="60"/>
      <c r="E981" s="60"/>
      <c r="F981" s="60"/>
      <c r="G981" s="60"/>
      <c r="H981" s="60"/>
      <c r="I981" s="60"/>
    </row>
    <row r="982" spans="1:9" x14ac:dyDescent="0.2">
      <c r="A982" s="60"/>
      <c r="B982" s="60"/>
      <c r="C982" s="60"/>
      <c r="D982" s="60"/>
      <c r="E982" s="60"/>
      <c r="F982" s="60"/>
      <c r="G982" s="60"/>
      <c r="H982" s="60"/>
      <c r="I982" s="60"/>
    </row>
    <row r="983" spans="1:9" x14ac:dyDescent="0.2">
      <c r="A983" s="61"/>
      <c r="B983" s="60"/>
      <c r="C983" s="60"/>
      <c r="D983" s="60"/>
      <c r="E983" s="60"/>
      <c r="F983" s="60"/>
      <c r="G983" s="60"/>
      <c r="H983" s="60"/>
      <c r="I983" s="60"/>
    </row>
    <row r="984" spans="1:9" x14ac:dyDescent="0.2">
      <c r="A984" s="60"/>
      <c r="B984" s="60"/>
      <c r="C984" s="60"/>
      <c r="D984" s="60"/>
      <c r="E984" s="60"/>
      <c r="F984" s="60"/>
      <c r="G984" s="60"/>
      <c r="H984" s="60"/>
      <c r="I984" s="60"/>
    </row>
    <row r="985" spans="1:9" x14ac:dyDescent="0.2">
      <c r="A985" s="61"/>
      <c r="B985" s="60"/>
      <c r="C985" s="60"/>
      <c r="D985" s="60"/>
      <c r="E985" s="60"/>
      <c r="F985" s="60"/>
      <c r="G985" s="60"/>
      <c r="H985" s="60"/>
      <c r="I985" s="60"/>
    </row>
    <row r="986" spans="1:9" x14ac:dyDescent="0.2">
      <c r="A986" s="60"/>
      <c r="B986" s="60"/>
      <c r="C986" s="60"/>
      <c r="D986" s="60"/>
      <c r="E986" s="60"/>
      <c r="F986" s="60"/>
      <c r="G986" s="60"/>
      <c r="H986" s="60"/>
      <c r="I986" s="60"/>
    </row>
    <row r="987" spans="1:9" x14ac:dyDescent="0.2">
      <c r="A987" s="61"/>
      <c r="B987" s="60"/>
      <c r="C987" s="60"/>
      <c r="D987" s="60"/>
      <c r="E987" s="60"/>
      <c r="F987" s="60"/>
      <c r="G987" s="60"/>
      <c r="H987" s="60"/>
      <c r="I987" s="60"/>
    </row>
    <row r="988" spans="1:9" x14ac:dyDescent="0.2">
      <c r="A988" s="60"/>
      <c r="B988" s="60"/>
      <c r="C988" s="60"/>
      <c r="D988" s="60"/>
      <c r="E988" s="60"/>
      <c r="F988" s="60"/>
      <c r="G988" s="60"/>
      <c r="H988" s="60"/>
      <c r="I988" s="60"/>
    </row>
    <row r="989" spans="1:9" x14ac:dyDescent="0.2">
      <c r="A989" s="61"/>
      <c r="B989" s="60"/>
      <c r="C989" s="60"/>
      <c r="D989" s="60"/>
      <c r="E989" s="60"/>
      <c r="F989" s="60"/>
      <c r="G989" s="60"/>
      <c r="H989" s="60"/>
      <c r="I989" s="60"/>
    </row>
    <row r="990" spans="1:9" x14ac:dyDescent="0.2">
      <c r="A990" s="60"/>
      <c r="B990" s="60"/>
      <c r="C990" s="60"/>
      <c r="D990" s="60"/>
      <c r="E990" s="60"/>
      <c r="F990" s="60"/>
      <c r="G990" s="60"/>
      <c r="H990" s="60"/>
      <c r="I990" s="60"/>
    </row>
    <row r="991" spans="1:9" x14ac:dyDescent="0.2">
      <c r="A991" s="61"/>
      <c r="B991" s="60"/>
      <c r="C991" s="60"/>
      <c r="D991" s="60"/>
      <c r="E991" s="60"/>
      <c r="F991" s="60"/>
      <c r="G991" s="60"/>
      <c r="H991" s="60"/>
      <c r="I991" s="60"/>
    </row>
    <row r="992" spans="1:9" x14ac:dyDescent="0.2">
      <c r="A992" s="60"/>
      <c r="B992" s="60"/>
      <c r="C992" s="60"/>
      <c r="D992" s="60"/>
      <c r="E992" s="60"/>
      <c r="F992" s="60"/>
      <c r="G992" s="60"/>
      <c r="H992" s="60"/>
      <c r="I992" s="60"/>
    </row>
    <row r="993" spans="1:9" x14ac:dyDescent="0.2">
      <c r="A993" s="61"/>
      <c r="B993" s="60"/>
      <c r="C993" s="60"/>
      <c r="D993" s="60"/>
      <c r="E993" s="60"/>
      <c r="F993" s="60"/>
      <c r="G993" s="60"/>
      <c r="H993" s="60"/>
      <c r="I993" s="60"/>
    </row>
    <row r="994" spans="1:9" x14ac:dyDescent="0.2">
      <c r="A994" s="60"/>
      <c r="B994" s="60"/>
      <c r="C994" s="60"/>
      <c r="D994" s="60"/>
      <c r="E994" s="60"/>
      <c r="F994" s="60"/>
      <c r="G994" s="60"/>
      <c r="H994" s="60"/>
      <c r="I994" s="60"/>
    </row>
    <row r="995" spans="1:9" x14ac:dyDescent="0.2">
      <c r="A995" s="61"/>
      <c r="B995" s="60"/>
      <c r="C995" s="60"/>
      <c r="D995" s="60"/>
      <c r="E995" s="60"/>
      <c r="F995" s="60"/>
      <c r="G995" s="60"/>
      <c r="H995" s="60"/>
      <c r="I995" s="60"/>
    </row>
    <row r="996" spans="1:9" x14ac:dyDescent="0.2">
      <c r="A996" s="60"/>
      <c r="B996" s="60"/>
      <c r="C996" s="60"/>
      <c r="D996" s="60"/>
      <c r="E996" s="60"/>
      <c r="F996" s="60"/>
      <c r="G996" s="60"/>
      <c r="H996" s="60"/>
      <c r="I996" s="60"/>
    </row>
    <row r="997" spans="1:9" x14ac:dyDescent="0.2">
      <c r="A997" s="61"/>
      <c r="B997" s="60"/>
      <c r="C997" s="60"/>
      <c r="D997" s="60"/>
      <c r="E997" s="60"/>
      <c r="F997" s="60"/>
      <c r="G997" s="60"/>
      <c r="H997" s="60"/>
      <c r="I997" s="60"/>
    </row>
    <row r="998" spans="1:9" x14ac:dyDescent="0.2">
      <c r="A998" s="60"/>
      <c r="B998" s="60"/>
      <c r="C998" s="60"/>
      <c r="D998" s="60"/>
      <c r="E998" s="60"/>
      <c r="F998" s="60"/>
      <c r="G998" s="60"/>
      <c r="H998" s="60"/>
      <c r="I998" s="60"/>
    </row>
    <row r="999" spans="1:9" x14ac:dyDescent="0.2">
      <c r="A999" s="61"/>
      <c r="B999" s="60"/>
      <c r="C999" s="60"/>
      <c r="D999" s="60"/>
      <c r="E999" s="60"/>
      <c r="F999" s="60"/>
      <c r="G999" s="60"/>
      <c r="H999" s="60"/>
      <c r="I999" s="60"/>
    </row>
    <row r="1000" spans="1:9" x14ac:dyDescent="0.2">
      <c r="A1000" s="60"/>
      <c r="B1000" s="60"/>
      <c r="C1000" s="60"/>
      <c r="D1000" s="60"/>
      <c r="E1000" s="60"/>
      <c r="F1000" s="60"/>
      <c r="G1000" s="60"/>
      <c r="H1000" s="60"/>
      <c r="I1000" s="60"/>
    </row>
    <row r="1001" spans="1:9" x14ac:dyDescent="0.2">
      <c r="A1001" s="61"/>
      <c r="B1001" s="60"/>
      <c r="C1001" s="60"/>
      <c r="D1001" s="60"/>
      <c r="E1001" s="60"/>
      <c r="F1001" s="60"/>
      <c r="G1001" s="60"/>
      <c r="H1001" s="60"/>
      <c r="I1001" s="60"/>
    </row>
    <row r="1002" spans="1:9" x14ac:dyDescent="0.2">
      <c r="A1002" s="60"/>
      <c r="B1002" s="60"/>
      <c r="C1002" s="60"/>
      <c r="D1002" s="60"/>
      <c r="E1002" s="60"/>
      <c r="F1002" s="60"/>
      <c r="G1002" s="60"/>
      <c r="H1002" s="60"/>
      <c r="I1002" s="60"/>
    </row>
    <row r="1003" spans="1:9" x14ac:dyDescent="0.2">
      <c r="A1003" s="61"/>
      <c r="B1003" s="60"/>
      <c r="C1003" s="60"/>
      <c r="D1003" s="60"/>
      <c r="E1003" s="60"/>
      <c r="F1003" s="60"/>
      <c r="G1003" s="60"/>
      <c r="H1003" s="60"/>
      <c r="I1003" s="60"/>
    </row>
    <row r="1004" spans="1:9" x14ac:dyDescent="0.2">
      <c r="A1004" s="60"/>
      <c r="B1004" s="60"/>
      <c r="C1004" s="60"/>
      <c r="D1004" s="60"/>
      <c r="E1004" s="60"/>
      <c r="F1004" s="60"/>
      <c r="G1004" s="60"/>
      <c r="H1004" s="60"/>
      <c r="I1004" s="60"/>
    </row>
    <row r="1005" spans="1:9" x14ac:dyDescent="0.2">
      <c r="A1005" s="61"/>
      <c r="B1005" s="60"/>
      <c r="C1005" s="60"/>
      <c r="D1005" s="60"/>
      <c r="E1005" s="60"/>
      <c r="F1005" s="60"/>
      <c r="G1005" s="60"/>
      <c r="H1005" s="60"/>
      <c r="I1005" s="60"/>
    </row>
    <row r="1006" spans="1:9" x14ac:dyDescent="0.2">
      <c r="A1006" s="60"/>
      <c r="B1006" s="60"/>
      <c r="C1006" s="60"/>
      <c r="D1006" s="60"/>
      <c r="E1006" s="60"/>
      <c r="F1006" s="60"/>
      <c r="G1006" s="60"/>
      <c r="H1006" s="60"/>
      <c r="I1006" s="60"/>
    </row>
    <row r="1007" spans="1:9" x14ac:dyDescent="0.2">
      <c r="A1007" s="61"/>
      <c r="B1007" s="60"/>
      <c r="C1007" s="60"/>
      <c r="D1007" s="60"/>
      <c r="E1007" s="60"/>
      <c r="F1007" s="60"/>
      <c r="G1007" s="60"/>
      <c r="H1007" s="60"/>
      <c r="I1007" s="60"/>
    </row>
    <row r="1008" spans="1:9" x14ac:dyDescent="0.2">
      <c r="A1008" s="60"/>
      <c r="B1008" s="60"/>
      <c r="C1008" s="60"/>
      <c r="D1008" s="60"/>
      <c r="E1008" s="60"/>
      <c r="F1008" s="60"/>
      <c r="G1008" s="60"/>
      <c r="H1008" s="60"/>
      <c r="I1008" s="60"/>
    </row>
    <row r="1009" spans="1:9" x14ac:dyDescent="0.2">
      <c r="A1009" s="61"/>
      <c r="B1009" s="60"/>
      <c r="C1009" s="60"/>
      <c r="D1009" s="60"/>
      <c r="E1009" s="60"/>
      <c r="F1009" s="60"/>
      <c r="G1009" s="60"/>
      <c r="H1009" s="60"/>
      <c r="I1009" s="60"/>
    </row>
    <row r="1010" spans="1:9" x14ac:dyDescent="0.2">
      <c r="A1010" s="60"/>
      <c r="B1010" s="60"/>
      <c r="C1010" s="60"/>
      <c r="D1010" s="60"/>
      <c r="E1010" s="60"/>
      <c r="F1010" s="60"/>
      <c r="G1010" s="60"/>
      <c r="H1010" s="60"/>
      <c r="I1010" s="60"/>
    </row>
    <row r="1011" spans="1:9" x14ac:dyDescent="0.2">
      <c r="A1011" s="61"/>
      <c r="B1011" s="60"/>
      <c r="C1011" s="60"/>
      <c r="D1011" s="60"/>
      <c r="E1011" s="60"/>
      <c r="F1011" s="60"/>
      <c r="G1011" s="60"/>
      <c r="H1011" s="60"/>
      <c r="I1011" s="60"/>
    </row>
    <row r="1012" spans="1:9" x14ac:dyDescent="0.2">
      <c r="A1012" s="60"/>
      <c r="B1012" s="60"/>
      <c r="C1012" s="60"/>
      <c r="D1012" s="60"/>
      <c r="E1012" s="60"/>
      <c r="F1012" s="60"/>
      <c r="G1012" s="60"/>
      <c r="H1012" s="60"/>
      <c r="I1012" s="60"/>
    </row>
    <row r="1013" spans="1:9" x14ac:dyDescent="0.2">
      <c r="A1013" s="61"/>
      <c r="B1013" s="60"/>
      <c r="C1013" s="60"/>
      <c r="D1013" s="60"/>
      <c r="E1013" s="60"/>
      <c r="F1013" s="60"/>
      <c r="G1013" s="60"/>
      <c r="H1013" s="60"/>
      <c r="I1013" s="60"/>
    </row>
    <row r="1014" spans="1:9" x14ac:dyDescent="0.2">
      <c r="A1014" s="60"/>
      <c r="B1014" s="60"/>
      <c r="C1014" s="60"/>
      <c r="D1014" s="60"/>
      <c r="E1014" s="60"/>
      <c r="F1014" s="60"/>
      <c r="G1014" s="60"/>
      <c r="H1014" s="60"/>
      <c r="I1014" s="60"/>
    </row>
    <row r="1015" spans="1:9" x14ac:dyDescent="0.2">
      <c r="A1015" s="61"/>
      <c r="B1015" s="60"/>
      <c r="C1015" s="60"/>
      <c r="D1015" s="60"/>
      <c r="E1015" s="60"/>
      <c r="F1015" s="60"/>
      <c r="G1015" s="60"/>
      <c r="H1015" s="60"/>
      <c r="I1015" s="60"/>
    </row>
    <row r="1016" spans="1:9" x14ac:dyDescent="0.2">
      <c r="A1016" s="60"/>
      <c r="B1016" s="60"/>
      <c r="C1016" s="60"/>
      <c r="D1016" s="60"/>
      <c r="E1016" s="60"/>
      <c r="F1016" s="60"/>
      <c r="G1016" s="60"/>
      <c r="H1016" s="60"/>
      <c r="I1016" s="60"/>
    </row>
    <row r="1017" spans="1:9" x14ac:dyDescent="0.2">
      <c r="A1017" s="61"/>
      <c r="B1017" s="60"/>
      <c r="C1017" s="60"/>
      <c r="D1017" s="60"/>
      <c r="E1017" s="60"/>
      <c r="F1017" s="60"/>
      <c r="G1017" s="60"/>
      <c r="H1017" s="60"/>
      <c r="I1017" s="60"/>
    </row>
    <row r="1018" spans="1:9" x14ac:dyDescent="0.2">
      <c r="A1018" s="60"/>
      <c r="B1018" s="60"/>
      <c r="C1018" s="60"/>
      <c r="D1018" s="60"/>
      <c r="E1018" s="60"/>
      <c r="F1018" s="60"/>
      <c r="G1018" s="60"/>
      <c r="H1018" s="60"/>
      <c r="I1018" s="60"/>
    </row>
    <row r="1019" spans="1:9" x14ac:dyDescent="0.2">
      <c r="A1019" s="61"/>
      <c r="B1019" s="60"/>
      <c r="C1019" s="60"/>
      <c r="D1019" s="60"/>
      <c r="E1019" s="60"/>
      <c r="F1019" s="60"/>
      <c r="G1019" s="60"/>
      <c r="H1019" s="60"/>
      <c r="I1019" s="60"/>
    </row>
    <row r="1020" spans="1:9" x14ac:dyDescent="0.2">
      <c r="A1020" s="60"/>
      <c r="B1020" s="60"/>
      <c r="C1020" s="60"/>
      <c r="D1020" s="60"/>
      <c r="E1020" s="60"/>
      <c r="F1020" s="60"/>
      <c r="G1020" s="60"/>
      <c r="H1020" s="60"/>
      <c r="I1020" s="60"/>
    </row>
    <row r="1021" spans="1:9" x14ac:dyDescent="0.2">
      <c r="A1021" s="61"/>
      <c r="B1021" s="60"/>
      <c r="C1021" s="60"/>
      <c r="D1021" s="60"/>
      <c r="E1021" s="60"/>
      <c r="F1021" s="60"/>
      <c r="G1021" s="60"/>
      <c r="H1021" s="60"/>
      <c r="I1021" s="60"/>
    </row>
    <row r="1022" spans="1:9" x14ac:dyDescent="0.2">
      <c r="A1022" s="60"/>
      <c r="B1022" s="60"/>
      <c r="C1022" s="60"/>
      <c r="D1022" s="60"/>
      <c r="E1022" s="60"/>
      <c r="F1022" s="60"/>
      <c r="G1022" s="60"/>
      <c r="H1022" s="60"/>
      <c r="I1022" s="60"/>
    </row>
    <row r="1023" spans="1:9" x14ac:dyDescent="0.2">
      <c r="A1023" s="61"/>
      <c r="B1023" s="60"/>
      <c r="C1023" s="60"/>
      <c r="D1023" s="60"/>
      <c r="E1023" s="60"/>
      <c r="F1023" s="60"/>
      <c r="G1023" s="60"/>
      <c r="H1023" s="60"/>
      <c r="I1023" s="60"/>
    </row>
    <row r="1024" spans="1:9" x14ac:dyDescent="0.2">
      <c r="A1024" s="60"/>
      <c r="B1024" s="60"/>
      <c r="C1024" s="60"/>
      <c r="D1024" s="60"/>
      <c r="E1024" s="60"/>
      <c r="F1024" s="60"/>
      <c r="G1024" s="60"/>
      <c r="H1024" s="60"/>
      <c r="I1024" s="60"/>
    </row>
    <row r="1025" spans="1:9" x14ac:dyDescent="0.2">
      <c r="A1025" s="61"/>
      <c r="B1025" s="60"/>
      <c r="C1025" s="60"/>
      <c r="D1025" s="60"/>
      <c r="E1025" s="60"/>
      <c r="F1025" s="60"/>
      <c r="G1025" s="60"/>
      <c r="H1025" s="60"/>
      <c r="I1025" s="60"/>
    </row>
    <row r="1026" spans="1:9" x14ac:dyDescent="0.2">
      <c r="A1026" s="60"/>
      <c r="B1026" s="60"/>
      <c r="C1026" s="60"/>
      <c r="D1026" s="60"/>
      <c r="E1026" s="60"/>
      <c r="F1026" s="60"/>
      <c r="G1026" s="60"/>
      <c r="H1026" s="60"/>
      <c r="I1026" s="60"/>
    </row>
    <row r="1027" spans="1:9" x14ac:dyDescent="0.2">
      <c r="A1027" s="61"/>
      <c r="B1027" s="60"/>
      <c r="C1027" s="60"/>
      <c r="D1027" s="60"/>
      <c r="E1027" s="60"/>
      <c r="F1027" s="60"/>
      <c r="G1027" s="60"/>
      <c r="H1027" s="60"/>
      <c r="I1027" s="60"/>
    </row>
    <row r="1028" spans="1:9" x14ac:dyDescent="0.2">
      <c r="A1028" s="60"/>
      <c r="B1028" s="60"/>
      <c r="C1028" s="60"/>
      <c r="D1028" s="60"/>
      <c r="E1028" s="60"/>
      <c r="F1028" s="60"/>
      <c r="G1028" s="60"/>
      <c r="H1028" s="60"/>
      <c r="I1028" s="60"/>
    </row>
    <row r="1029" spans="1:9" x14ac:dyDescent="0.2">
      <c r="A1029" s="61"/>
      <c r="B1029" s="60"/>
      <c r="C1029" s="60"/>
      <c r="D1029" s="60"/>
      <c r="E1029" s="60"/>
      <c r="F1029" s="60"/>
      <c r="G1029" s="60"/>
      <c r="H1029" s="60"/>
      <c r="I1029" s="60"/>
    </row>
    <row r="1030" spans="1:9" x14ac:dyDescent="0.2">
      <c r="A1030" s="60"/>
      <c r="B1030" s="60"/>
      <c r="C1030" s="60"/>
      <c r="D1030" s="60"/>
      <c r="E1030" s="60"/>
      <c r="F1030" s="60"/>
      <c r="G1030" s="60"/>
      <c r="H1030" s="60"/>
      <c r="I1030" s="60"/>
    </row>
    <row r="1031" spans="1:9" x14ac:dyDescent="0.2">
      <c r="A1031" s="61"/>
      <c r="B1031" s="60"/>
      <c r="C1031" s="60"/>
      <c r="D1031" s="60"/>
      <c r="E1031" s="60"/>
      <c r="F1031" s="60"/>
      <c r="G1031" s="60"/>
      <c r="H1031" s="60"/>
      <c r="I1031" s="60"/>
    </row>
    <row r="1032" spans="1:9" x14ac:dyDescent="0.2">
      <c r="A1032" s="60"/>
      <c r="B1032" s="60"/>
      <c r="C1032" s="60"/>
      <c r="D1032" s="60"/>
      <c r="E1032" s="60"/>
      <c r="F1032" s="60"/>
      <c r="G1032" s="60"/>
      <c r="H1032" s="60"/>
      <c r="I1032" s="60"/>
    </row>
    <row r="1033" spans="1:9" x14ac:dyDescent="0.2">
      <c r="A1033" s="61"/>
      <c r="B1033" s="60"/>
      <c r="C1033" s="60"/>
      <c r="D1033" s="60"/>
      <c r="E1033" s="60"/>
      <c r="F1033" s="60"/>
      <c r="G1033" s="60"/>
      <c r="H1033" s="60"/>
      <c r="I1033" s="60"/>
    </row>
    <row r="1034" spans="1:9" x14ac:dyDescent="0.2">
      <c r="A1034" s="60"/>
      <c r="B1034" s="60"/>
      <c r="C1034" s="60"/>
      <c r="D1034" s="60"/>
      <c r="E1034" s="60"/>
      <c r="F1034" s="60"/>
      <c r="G1034" s="60"/>
      <c r="H1034" s="60"/>
      <c r="I1034" s="60"/>
    </row>
    <row r="1035" spans="1:9" x14ac:dyDescent="0.2">
      <c r="A1035" s="61"/>
      <c r="B1035" s="60"/>
      <c r="C1035" s="60"/>
      <c r="D1035" s="60"/>
      <c r="E1035" s="60"/>
      <c r="F1035" s="60"/>
      <c r="G1035" s="60"/>
      <c r="H1035" s="60"/>
      <c r="I1035" s="60"/>
    </row>
    <row r="1036" spans="1:9" x14ac:dyDescent="0.2">
      <c r="A1036" s="60"/>
      <c r="B1036" s="60"/>
      <c r="C1036" s="60"/>
      <c r="D1036" s="60"/>
      <c r="E1036" s="60"/>
      <c r="F1036" s="60"/>
      <c r="G1036" s="60"/>
      <c r="H1036" s="60"/>
      <c r="I1036" s="60"/>
    </row>
    <row r="1037" spans="1:9" x14ac:dyDescent="0.2">
      <c r="A1037" s="61"/>
      <c r="B1037" s="60"/>
      <c r="C1037" s="60"/>
      <c r="D1037" s="60"/>
      <c r="E1037" s="60"/>
      <c r="F1037" s="60"/>
      <c r="G1037" s="60"/>
      <c r="H1037" s="60"/>
      <c r="I1037" s="60"/>
    </row>
    <row r="1038" spans="1:9" x14ac:dyDescent="0.2">
      <c r="A1038" s="60"/>
      <c r="B1038" s="60"/>
      <c r="C1038" s="60"/>
      <c r="D1038" s="60"/>
      <c r="E1038" s="60"/>
      <c r="F1038" s="60"/>
      <c r="G1038" s="60"/>
      <c r="H1038" s="60"/>
      <c r="I1038" s="60"/>
    </row>
    <row r="1039" spans="1:9" x14ac:dyDescent="0.2">
      <c r="A1039" s="61"/>
      <c r="B1039" s="60"/>
      <c r="C1039" s="60"/>
      <c r="D1039" s="60"/>
      <c r="E1039" s="60"/>
      <c r="F1039" s="60"/>
      <c r="G1039" s="60"/>
      <c r="H1039" s="60"/>
      <c r="I1039" s="60"/>
    </row>
    <row r="1040" spans="1:9" x14ac:dyDescent="0.2">
      <c r="A1040" s="60"/>
      <c r="B1040" s="60"/>
      <c r="C1040" s="60"/>
      <c r="D1040" s="60"/>
      <c r="E1040" s="60"/>
      <c r="F1040" s="60"/>
      <c r="G1040" s="60"/>
      <c r="H1040" s="60"/>
      <c r="I1040" s="60"/>
    </row>
    <row r="1041" spans="1:9" x14ac:dyDescent="0.2">
      <c r="A1041" s="61"/>
      <c r="B1041" s="60"/>
      <c r="C1041" s="60"/>
      <c r="D1041" s="60"/>
      <c r="E1041" s="60"/>
      <c r="F1041" s="60"/>
      <c r="G1041" s="60"/>
      <c r="H1041" s="60"/>
      <c r="I1041" s="60"/>
    </row>
    <row r="1042" spans="1:9" x14ac:dyDescent="0.2">
      <c r="A1042" s="60"/>
      <c r="B1042" s="60"/>
      <c r="C1042" s="60"/>
      <c r="D1042" s="60"/>
      <c r="E1042" s="60"/>
      <c r="F1042" s="60"/>
      <c r="G1042" s="60"/>
      <c r="H1042" s="60"/>
      <c r="I1042" s="60"/>
    </row>
    <row r="1043" spans="1:9" x14ac:dyDescent="0.2">
      <c r="A1043" s="61"/>
      <c r="B1043" s="60"/>
      <c r="C1043" s="60"/>
      <c r="D1043" s="60"/>
      <c r="E1043" s="60"/>
      <c r="F1043" s="60"/>
      <c r="G1043" s="60"/>
      <c r="H1043" s="60"/>
      <c r="I1043" s="60"/>
    </row>
    <row r="1044" spans="1:9" x14ac:dyDescent="0.2">
      <c r="A1044" s="60"/>
      <c r="B1044" s="60"/>
      <c r="C1044" s="60"/>
      <c r="D1044" s="60"/>
      <c r="E1044" s="60"/>
      <c r="F1044" s="60"/>
      <c r="G1044" s="60"/>
      <c r="H1044" s="60"/>
      <c r="I1044" s="60"/>
    </row>
    <row r="1045" spans="1:9" x14ac:dyDescent="0.2">
      <c r="A1045" s="61"/>
      <c r="B1045" s="60"/>
      <c r="C1045" s="60"/>
      <c r="D1045" s="60"/>
      <c r="E1045" s="60"/>
      <c r="F1045" s="60"/>
      <c r="G1045" s="60"/>
      <c r="H1045" s="60"/>
      <c r="I1045" s="60"/>
    </row>
    <row r="1046" spans="1:9" x14ac:dyDescent="0.2">
      <c r="A1046" s="60"/>
      <c r="B1046" s="60"/>
      <c r="C1046" s="60"/>
      <c r="D1046" s="60"/>
      <c r="E1046" s="60"/>
      <c r="F1046" s="60"/>
      <c r="G1046" s="60"/>
      <c r="H1046" s="60"/>
      <c r="I1046" s="60"/>
    </row>
    <row r="1047" spans="1:9" x14ac:dyDescent="0.2">
      <c r="A1047" s="61"/>
      <c r="B1047" s="60"/>
      <c r="C1047" s="60"/>
      <c r="D1047" s="60"/>
      <c r="E1047" s="60"/>
      <c r="F1047" s="60"/>
      <c r="G1047" s="60"/>
      <c r="H1047" s="60"/>
      <c r="I1047" s="60"/>
    </row>
    <row r="1048" spans="1:9" x14ac:dyDescent="0.2">
      <c r="A1048" s="60"/>
      <c r="B1048" s="60"/>
      <c r="C1048" s="60"/>
      <c r="D1048" s="60"/>
      <c r="E1048" s="60"/>
      <c r="F1048" s="60"/>
      <c r="G1048" s="60"/>
      <c r="H1048" s="60"/>
      <c r="I1048" s="60"/>
    </row>
    <row r="1049" spans="1:9" x14ac:dyDescent="0.2">
      <c r="A1049" s="61"/>
      <c r="B1049" s="60"/>
      <c r="C1049" s="60"/>
      <c r="D1049" s="60"/>
      <c r="E1049" s="60"/>
      <c r="F1049" s="60"/>
      <c r="G1049" s="60"/>
      <c r="H1049" s="60"/>
      <c r="I1049" s="60"/>
    </row>
    <row r="1050" spans="1:9" x14ac:dyDescent="0.2">
      <c r="A1050" s="60"/>
      <c r="B1050" s="60"/>
      <c r="C1050" s="60"/>
      <c r="D1050" s="60"/>
      <c r="E1050" s="60"/>
      <c r="F1050" s="60"/>
      <c r="G1050" s="60"/>
      <c r="H1050" s="60"/>
      <c r="I1050" s="60"/>
    </row>
    <row r="1051" spans="1:9" x14ac:dyDescent="0.2">
      <c r="A1051" s="61"/>
      <c r="B1051" s="60"/>
      <c r="C1051" s="60"/>
      <c r="D1051" s="60"/>
      <c r="E1051" s="60"/>
      <c r="F1051" s="60"/>
      <c r="G1051" s="60"/>
      <c r="H1051" s="60"/>
      <c r="I1051" s="60"/>
    </row>
    <row r="1052" spans="1:9" x14ac:dyDescent="0.2">
      <c r="A1052" s="60"/>
      <c r="B1052" s="60"/>
      <c r="C1052" s="60"/>
      <c r="D1052" s="60"/>
      <c r="E1052" s="60"/>
      <c r="F1052" s="60"/>
      <c r="G1052" s="60"/>
      <c r="H1052" s="60"/>
      <c r="I1052" s="60"/>
    </row>
    <row r="1053" spans="1:9" x14ac:dyDescent="0.2">
      <c r="A1053" s="61"/>
      <c r="B1053" s="60"/>
      <c r="C1053" s="60"/>
      <c r="D1053" s="60"/>
      <c r="E1053" s="60"/>
      <c r="F1053" s="60"/>
      <c r="G1053" s="60"/>
      <c r="H1053" s="60"/>
      <c r="I1053" s="60"/>
    </row>
    <row r="1054" spans="1:9" x14ac:dyDescent="0.2">
      <c r="A1054" s="60"/>
      <c r="B1054" s="60"/>
      <c r="C1054" s="60"/>
      <c r="D1054" s="60"/>
      <c r="E1054" s="60"/>
      <c r="F1054" s="60"/>
      <c r="G1054" s="60"/>
      <c r="H1054" s="60"/>
      <c r="I1054" s="60"/>
    </row>
    <row r="1055" spans="1:9" x14ac:dyDescent="0.2">
      <c r="A1055" s="61"/>
      <c r="B1055" s="60"/>
      <c r="C1055" s="60"/>
      <c r="D1055" s="60"/>
      <c r="E1055" s="60"/>
      <c r="F1055" s="60"/>
      <c r="G1055" s="60"/>
      <c r="H1055" s="60"/>
      <c r="I1055" s="60"/>
    </row>
    <row r="1056" spans="1:9" x14ac:dyDescent="0.2">
      <c r="A1056" s="60"/>
      <c r="B1056" s="60"/>
      <c r="C1056" s="60"/>
      <c r="D1056" s="60"/>
      <c r="E1056" s="60"/>
      <c r="F1056" s="60"/>
      <c r="G1056" s="60"/>
      <c r="H1056" s="60"/>
      <c r="I1056" s="60"/>
    </row>
    <row r="1057" spans="1:9" x14ac:dyDescent="0.2">
      <c r="A1057" s="61"/>
      <c r="B1057" s="60"/>
      <c r="C1057" s="60"/>
      <c r="D1057" s="60"/>
      <c r="E1057" s="60"/>
      <c r="F1057" s="60"/>
      <c r="G1057" s="60"/>
      <c r="H1057" s="60"/>
      <c r="I1057" s="60"/>
    </row>
    <row r="1058" spans="1:9" x14ac:dyDescent="0.2">
      <c r="A1058" s="60"/>
      <c r="B1058" s="60"/>
      <c r="C1058" s="60"/>
      <c r="D1058" s="60"/>
      <c r="E1058" s="60"/>
      <c r="F1058" s="60"/>
      <c r="G1058" s="60"/>
      <c r="H1058" s="60"/>
      <c r="I1058" s="60"/>
    </row>
    <row r="1059" spans="1:9" x14ac:dyDescent="0.2">
      <c r="A1059" s="61"/>
      <c r="B1059" s="60"/>
      <c r="C1059" s="60"/>
      <c r="D1059" s="60"/>
      <c r="E1059" s="60"/>
      <c r="F1059" s="60"/>
      <c r="G1059" s="60"/>
      <c r="H1059" s="60"/>
      <c r="I1059" s="60"/>
    </row>
    <row r="1060" spans="1:9" x14ac:dyDescent="0.2">
      <c r="A1060" s="60"/>
      <c r="B1060" s="60"/>
      <c r="C1060" s="60"/>
      <c r="D1060" s="60"/>
      <c r="E1060" s="60"/>
      <c r="F1060" s="60"/>
      <c r="G1060" s="60"/>
      <c r="H1060" s="60"/>
      <c r="I1060" s="60"/>
    </row>
    <row r="1061" spans="1:9" x14ac:dyDescent="0.2">
      <c r="A1061" s="61"/>
      <c r="B1061" s="60"/>
      <c r="C1061" s="60"/>
      <c r="D1061" s="60"/>
      <c r="E1061" s="60"/>
      <c r="F1061" s="60"/>
      <c r="G1061" s="60"/>
      <c r="H1061" s="60"/>
      <c r="I1061" s="60"/>
    </row>
    <row r="1062" spans="1:9" x14ac:dyDescent="0.2">
      <c r="A1062" s="60"/>
      <c r="B1062" s="60"/>
      <c r="C1062" s="60"/>
      <c r="D1062" s="60"/>
      <c r="E1062" s="60"/>
      <c r="F1062" s="60"/>
      <c r="G1062" s="60"/>
      <c r="H1062" s="60"/>
      <c r="I1062" s="60"/>
    </row>
    <row r="1063" spans="1:9" x14ac:dyDescent="0.2">
      <c r="A1063" s="61"/>
      <c r="B1063" s="60"/>
      <c r="C1063" s="60"/>
      <c r="D1063" s="60"/>
      <c r="E1063" s="60"/>
      <c r="F1063" s="60"/>
      <c r="G1063" s="60"/>
      <c r="H1063" s="60"/>
      <c r="I1063" s="60"/>
    </row>
    <row r="1064" spans="1:9" x14ac:dyDescent="0.2">
      <c r="A1064" s="60"/>
      <c r="B1064" s="60"/>
      <c r="C1064" s="60"/>
      <c r="D1064" s="60"/>
      <c r="E1064" s="60"/>
      <c r="F1064" s="60"/>
      <c r="G1064" s="60"/>
      <c r="H1064" s="60"/>
      <c r="I1064" s="60"/>
    </row>
    <row r="1065" spans="1:9" x14ac:dyDescent="0.2">
      <c r="A1065" s="61"/>
      <c r="B1065" s="60"/>
      <c r="C1065" s="60"/>
      <c r="D1065" s="60"/>
      <c r="E1065" s="60"/>
      <c r="F1065" s="60"/>
      <c r="G1065" s="60"/>
      <c r="H1065" s="60"/>
      <c r="I1065" s="60"/>
    </row>
    <row r="1066" spans="1:9" x14ac:dyDescent="0.2">
      <c r="A1066" s="60"/>
      <c r="B1066" s="60"/>
      <c r="C1066" s="60"/>
      <c r="D1066" s="60"/>
      <c r="E1066" s="60"/>
      <c r="F1066" s="60"/>
      <c r="G1066" s="60"/>
      <c r="H1066" s="60"/>
      <c r="I1066" s="60"/>
    </row>
    <row r="1067" spans="1:9" x14ac:dyDescent="0.2">
      <c r="A1067" s="61"/>
      <c r="B1067" s="60"/>
      <c r="C1067" s="60"/>
      <c r="D1067" s="60"/>
      <c r="E1067" s="60"/>
      <c r="F1067" s="60"/>
      <c r="G1067" s="60"/>
      <c r="H1067" s="60"/>
      <c r="I1067" s="60"/>
    </row>
    <row r="1068" spans="1:9" x14ac:dyDescent="0.2">
      <c r="A1068" s="60"/>
      <c r="B1068" s="60"/>
      <c r="C1068" s="60"/>
      <c r="D1068" s="60"/>
      <c r="E1068" s="60"/>
      <c r="F1068" s="60"/>
      <c r="G1068" s="60"/>
      <c r="H1068" s="60"/>
      <c r="I1068" s="60"/>
    </row>
    <row r="1069" spans="1:9" x14ac:dyDescent="0.2">
      <c r="A1069" s="61"/>
      <c r="B1069" s="60"/>
      <c r="C1069" s="60"/>
      <c r="D1069" s="60"/>
      <c r="E1069" s="60"/>
      <c r="F1069" s="60"/>
      <c r="G1069" s="60"/>
      <c r="H1069" s="60"/>
      <c r="I1069" s="60"/>
    </row>
    <row r="1070" spans="1:9" x14ac:dyDescent="0.2">
      <c r="A1070" s="60"/>
      <c r="B1070" s="60"/>
      <c r="C1070" s="60"/>
      <c r="D1070" s="60"/>
      <c r="E1070" s="60"/>
      <c r="F1070" s="60"/>
      <c r="G1070" s="60"/>
      <c r="H1070" s="60"/>
      <c r="I1070" s="60"/>
    </row>
    <row r="1071" spans="1:9" x14ac:dyDescent="0.2">
      <c r="A1071" s="61"/>
      <c r="B1071" s="60"/>
      <c r="C1071" s="60"/>
      <c r="D1071" s="60"/>
      <c r="E1071" s="60"/>
      <c r="F1071" s="60"/>
      <c r="G1071" s="60"/>
      <c r="H1071" s="60"/>
      <c r="I1071" s="60"/>
    </row>
    <row r="1072" spans="1:9" x14ac:dyDescent="0.2">
      <c r="A1072" s="60"/>
      <c r="B1072" s="60"/>
      <c r="C1072" s="60"/>
      <c r="D1072" s="60"/>
      <c r="E1072" s="60"/>
      <c r="F1072" s="60"/>
      <c r="G1072" s="60"/>
      <c r="H1072" s="60"/>
      <c r="I1072" s="60"/>
    </row>
    <row r="1073" spans="1:9" x14ac:dyDescent="0.2">
      <c r="A1073" s="61"/>
      <c r="B1073" s="60"/>
      <c r="C1073" s="60"/>
      <c r="D1073" s="60"/>
      <c r="E1073" s="60"/>
      <c r="F1073" s="60"/>
      <c r="G1073" s="60"/>
      <c r="H1073" s="60"/>
      <c r="I1073" s="60"/>
    </row>
    <row r="1074" spans="1:9" x14ac:dyDescent="0.2">
      <c r="A1074" s="60"/>
      <c r="B1074" s="60"/>
      <c r="C1074" s="60"/>
      <c r="D1074" s="60"/>
      <c r="E1074" s="60"/>
      <c r="F1074" s="60"/>
      <c r="G1074" s="60"/>
      <c r="H1074" s="60"/>
      <c r="I1074" s="60"/>
    </row>
    <row r="1075" spans="1:9" x14ac:dyDescent="0.2">
      <c r="A1075" s="61"/>
      <c r="B1075" s="60"/>
      <c r="C1075" s="60"/>
      <c r="D1075" s="60"/>
      <c r="E1075" s="60"/>
      <c r="F1075" s="60"/>
      <c r="G1075" s="60"/>
      <c r="H1075" s="60"/>
      <c r="I1075" s="60"/>
    </row>
    <row r="1076" spans="1:9" x14ac:dyDescent="0.2">
      <c r="A1076" s="60"/>
      <c r="B1076" s="60"/>
      <c r="C1076" s="60"/>
      <c r="D1076" s="60"/>
      <c r="E1076" s="60"/>
      <c r="F1076" s="60"/>
      <c r="G1076" s="60"/>
      <c r="H1076" s="60"/>
      <c r="I1076" s="60"/>
    </row>
    <row r="1077" spans="1:9" x14ac:dyDescent="0.2">
      <c r="A1077" s="61"/>
      <c r="B1077" s="60"/>
      <c r="C1077" s="60"/>
      <c r="D1077" s="60"/>
      <c r="E1077" s="60"/>
      <c r="F1077" s="60"/>
      <c r="G1077" s="60"/>
      <c r="H1077" s="60"/>
      <c r="I1077" s="60"/>
    </row>
    <row r="1078" spans="1:9" x14ac:dyDescent="0.2">
      <c r="A1078" s="60"/>
      <c r="B1078" s="60"/>
      <c r="C1078" s="60"/>
      <c r="D1078" s="60"/>
      <c r="E1078" s="60"/>
      <c r="F1078" s="60"/>
      <c r="G1078" s="60"/>
      <c r="H1078" s="60"/>
      <c r="I1078" s="60"/>
    </row>
    <row r="1079" spans="1:9" x14ac:dyDescent="0.2">
      <c r="A1079" s="61"/>
      <c r="B1079" s="60"/>
      <c r="C1079" s="60"/>
      <c r="D1079" s="60"/>
      <c r="E1079" s="60"/>
      <c r="F1079" s="60"/>
      <c r="G1079" s="60"/>
      <c r="H1079" s="60"/>
      <c r="I1079" s="60"/>
    </row>
    <row r="1080" spans="1:9" x14ac:dyDescent="0.2">
      <c r="A1080" s="60"/>
      <c r="B1080" s="60"/>
      <c r="C1080" s="60"/>
      <c r="D1080" s="60"/>
      <c r="E1080" s="60"/>
      <c r="F1080" s="60"/>
      <c r="G1080" s="60"/>
      <c r="H1080" s="60"/>
      <c r="I1080" s="60"/>
    </row>
    <row r="1081" spans="1:9" x14ac:dyDescent="0.2">
      <c r="A1081" s="61"/>
      <c r="B1081" s="60"/>
      <c r="C1081" s="60"/>
      <c r="D1081" s="60"/>
      <c r="E1081" s="60"/>
      <c r="F1081" s="60"/>
      <c r="G1081" s="60"/>
      <c r="H1081" s="60"/>
      <c r="I1081" s="60"/>
    </row>
    <row r="1082" spans="1:9" x14ac:dyDescent="0.2">
      <c r="A1082" s="60"/>
      <c r="B1082" s="60"/>
      <c r="C1082" s="60"/>
      <c r="D1082" s="60"/>
      <c r="E1082" s="60"/>
      <c r="F1082" s="60"/>
      <c r="G1082" s="60"/>
      <c r="H1082" s="60"/>
      <c r="I1082" s="60"/>
    </row>
    <row r="1083" spans="1:9" x14ac:dyDescent="0.2">
      <c r="A1083" s="61"/>
      <c r="B1083" s="60"/>
      <c r="C1083" s="60"/>
      <c r="D1083" s="60"/>
      <c r="E1083" s="60"/>
      <c r="F1083" s="60"/>
      <c r="G1083" s="60"/>
      <c r="H1083" s="60"/>
      <c r="I1083" s="60"/>
    </row>
    <row r="1084" spans="1:9" x14ac:dyDescent="0.2">
      <c r="A1084" s="60"/>
      <c r="B1084" s="60"/>
      <c r="C1084" s="60"/>
      <c r="D1084" s="60"/>
      <c r="E1084" s="60"/>
      <c r="F1084" s="60"/>
      <c r="G1084" s="60"/>
      <c r="H1084" s="60"/>
      <c r="I1084" s="60"/>
    </row>
    <row r="1085" spans="1:9" x14ac:dyDescent="0.2">
      <c r="A1085" s="61"/>
      <c r="B1085" s="60"/>
      <c r="C1085" s="60"/>
      <c r="D1085" s="60"/>
      <c r="E1085" s="60"/>
      <c r="F1085" s="60"/>
      <c r="G1085" s="60"/>
      <c r="H1085" s="60"/>
      <c r="I1085" s="60"/>
    </row>
    <row r="1086" spans="1:9" x14ac:dyDescent="0.2">
      <c r="A1086" s="60"/>
      <c r="B1086" s="60"/>
      <c r="C1086" s="60"/>
      <c r="D1086" s="60"/>
      <c r="E1086" s="60"/>
      <c r="F1086" s="60"/>
      <c r="G1086" s="60"/>
      <c r="H1086" s="60"/>
      <c r="I1086" s="60"/>
    </row>
    <row r="1087" spans="1:9" x14ac:dyDescent="0.2">
      <c r="A1087" s="61"/>
      <c r="B1087" s="60"/>
      <c r="C1087" s="60"/>
      <c r="D1087" s="60"/>
      <c r="E1087" s="60"/>
      <c r="F1087" s="60"/>
      <c r="G1087" s="60"/>
      <c r="H1087" s="60"/>
      <c r="I1087" s="60"/>
    </row>
    <row r="1088" spans="1:9" x14ac:dyDescent="0.2">
      <c r="A1088" s="60"/>
      <c r="B1088" s="60"/>
      <c r="C1088" s="60"/>
      <c r="D1088" s="60"/>
      <c r="E1088" s="60"/>
      <c r="F1088" s="60"/>
      <c r="G1088" s="60"/>
      <c r="H1088" s="60"/>
      <c r="I1088" s="60"/>
    </row>
    <row r="1089" spans="1:9" x14ac:dyDescent="0.2">
      <c r="A1089" s="61"/>
      <c r="B1089" s="60"/>
      <c r="C1089" s="60"/>
      <c r="D1089" s="60"/>
      <c r="E1089" s="60"/>
      <c r="F1089" s="60"/>
      <c r="G1089" s="60"/>
      <c r="H1089" s="60"/>
      <c r="I1089" s="60"/>
    </row>
    <row r="1090" spans="1:9" x14ac:dyDescent="0.2">
      <c r="A1090" s="60"/>
      <c r="B1090" s="60"/>
      <c r="C1090" s="60"/>
      <c r="D1090" s="60"/>
      <c r="E1090" s="60"/>
      <c r="F1090" s="60"/>
      <c r="G1090" s="60"/>
      <c r="H1090" s="60"/>
      <c r="I1090" s="60"/>
    </row>
    <row r="1091" spans="1:9" x14ac:dyDescent="0.2">
      <c r="A1091" s="61"/>
      <c r="B1091" s="60"/>
      <c r="C1091" s="60"/>
      <c r="D1091" s="60"/>
      <c r="E1091" s="60"/>
      <c r="F1091" s="60"/>
      <c r="G1091" s="60"/>
      <c r="H1091" s="60"/>
      <c r="I1091" s="60"/>
    </row>
    <row r="1092" spans="1:9" x14ac:dyDescent="0.2">
      <c r="A1092" s="60"/>
      <c r="B1092" s="60"/>
      <c r="C1092" s="60"/>
      <c r="D1092" s="60"/>
      <c r="E1092" s="60"/>
      <c r="F1092" s="60"/>
      <c r="G1092" s="60"/>
      <c r="H1092" s="60"/>
      <c r="I1092" s="60"/>
    </row>
    <row r="1093" spans="1:9" x14ac:dyDescent="0.2">
      <c r="A1093" s="61"/>
      <c r="B1093" s="60"/>
      <c r="C1093" s="60"/>
      <c r="D1093" s="60"/>
      <c r="E1093" s="60"/>
      <c r="F1093" s="60"/>
      <c r="G1093" s="60"/>
      <c r="H1093" s="60"/>
      <c r="I1093" s="60"/>
    </row>
    <row r="1094" spans="1:9" x14ac:dyDescent="0.2">
      <c r="A1094" s="60"/>
      <c r="B1094" s="60"/>
      <c r="C1094" s="60"/>
      <c r="D1094" s="60"/>
      <c r="E1094" s="60"/>
      <c r="F1094" s="60"/>
      <c r="G1094" s="60"/>
      <c r="H1094" s="60"/>
      <c r="I1094" s="60"/>
    </row>
    <row r="1095" spans="1:9" x14ac:dyDescent="0.2">
      <c r="A1095" s="61"/>
      <c r="B1095" s="60"/>
      <c r="C1095" s="60"/>
      <c r="D1095" s="60"/>
      <c r="E1095" s="60"/>
      <c r="F1095" s="60"/>
      <c r="G1095" s="60"/>
      <c r="H1095" s="60"/>
      <c r="I1095" s="60"/>
    </row>
    <row r="1096" spans="1:9" x14ac:dyDescent="0.2">
      <c r="A1096" s="60"/>
      <c r="B1096" s="60"/>
      <c r="C1096" s="60"/>
      <c r="D1096" s="60"/>
      <c r="E1096" s="60"/>
      <c r="F1096" s="60"/>
      <c r="G1096" s="60"/>
      <c r="H1096" s="60"/>
      <c r="I1096" s="60"/>
    </row>
    <row r="1097" spans="1:9" x14ac:dyDescent="0.2">
      <c r="A1097" s="61"/>
      <c r="B1097" s="60"/>
      <c r="C1097" s="60"/>
      <c r="D1097" s="60"/>
      <c r="E1097" s="60"/>
      <c r="F1097" s="60"/>
      <c r="G1097" s="60"/>
      <c r="H1097" s="60"/>
      <c r="I1097" s="60"/>
    </row>
    <row r="1098" spans="1:9" x14ac:dyDescent="0.2">
      <c r="A1098" s="60"/>
      <c r="B1098" s="60"/>
      <c r="C1098" s="60"/>
      <c r="D1098" s="60"/>
      <c r="E1098" s="60"/>
      <c r="F1098" s="60"/>
      <c r="G1098" s="60"/>
      <c r="H1098" s="60"/>
      <c r="I1098" s="60"/>
    </row>
    <row r="1099" spans="1:9" x14ac:dyDescent="0.2">
      <c r="A1099" s="61"/>
      <c r="B1099" s="60"/>
      <c r="C1099" s="60"/>
      <c r="D1099" s="60"/>
      <c r="E1099" s="60"/>
      <c r="F1099" s="60"/>
      <c r="G1099" s="60"/>
      <c r="H1099" s="60"/>
      <c r="I1099" s="60"/>
    </row>
    <row r="1100" spans="1:9" x14ac:dyDescent="0.2">
      <c r="A1100" s="60"/>
      <c r="B1100" s="60"/>
      <c r="C1100" s="60"/>
      <c r="D1100" s="60"/>
      <c r="E1100" s="60"/>
      <c r="F1100" s="60"/>
      <c r="G1100" s="60"/>
      <c r="H1100" s="60"/>
      <c r="I1100" s="60"/>
    </row>
    <row r="1101" spans="1:9" x14ac:dyDescent="0.2">
      <c r="A1101" s="61"/>
      <c r="B1101" s="60"/>
      <c r="C1101" s="60"/>
      <c r="D1101" s="60"/>
      <c r="E1101" s="60"/>
      <c r="F1101" s="60"/>
      <c r="G1101" s="60"/>
      <c r="H1101" s="60"/>
      <c r="I1101" s="60"/>
    </row>
    <row r="1102" spans="1:9" x14ac:dyDescent="0.2">
      <c r="A1102" s="60"/>
      <c r="B1102" s="60"/>
      <c r="C1102" s="60"/>
      <c r="D1102" s="60"/>
      <c r="E1102" s="60"/>
      <c r="F1102" s="60"/>
      <c r="G1102" s="60"/>
      <c r="H1102" s="60"/>
      <c r="I1102" s="60"/>
    </row>
    <row r="1103" spans="1:9" x14ac:dyDescent="0.2">
      <c r="A1103" s="61"/>
      <c r="B1103" s="60"/>
      <c r="C1103" s="60"/>
      <c r="D1103" s="60"/>
      <c r="E1103" s="60"/>
      <c r="F1103" s="60"/>
      <c r="G1103" s="60"/>
      <c r="H1103" s="60"/>
      <c r="I1103" s="60"/>
    </row>
    <row r="1104" spans="1:9" x14ac:dyDescent="0.2">
      <c r="A1104" s="60"/>
      <c r="B1104" s="60"/>
      <c r="C1104" s="60"/>
      <c r="D1104" s="60"/>
      <c r="E1104" s="60"/>
      <c r="F1104" s="60"/>
      <c r="G1104" s="60"/>
      <c r="H1104" s="60"/>
      <c r="I1104" s="60"/>
    </row>
    <row r="1105" spans="1:9" x14ac:dyDescent="0.2">
      <c r="A1105" s="61"/>
      <c r="B1105" s="60"/>
      <c r="C1105" s="60"/>
      <c r="D1105" s="60"/>
      <c r="E1105" s="60"/>
      <c r="F1105" s="60"/>
      <c r="G1105" s="60"/>
      <c r="H1105" s="60"/>
      <c r="I1105" s="60"/>
    </row>
    <row r="1106" spans="1:9" x14ac:dyDescent="0.2">
      <c r="A1106" s="60"/>
      <c r="B1106" s="60"/>
      <c r="C1106" s="60"/>
      <c r="D1106" s="60"/>
      <c r="E1106" s="60"/>
      <c r="F1106" s="60"/>
      <c r="G1106" s="60"/>
      <c r="H1106" s="60"/>
      <c r="I1106" s="60"/>
    </row>
    <row r="1107" spans="1:9" x14ac:dyDescent="0.2">
      <c r="A1107" s="61"/>
      <c r="B1107" s="60"/>
      <c r="C1107" s="60"/>
      <c r="D1107" s="60"/>
      <c r="E1107" s="60"/>
      <c r="F1107" s="60"/>
      <c r="G1107" s="60"/>
      <c r="H1107" s="60"/>
      <c r="I1107" s="60"/>
    </row>
    <row r="1108" spans="1:9" x14ac:dyDescent="0.2">
      <c r="A1108" s="60"/>
      <c r="B1108" s="60"/>
      <c r="C1108" s="60"/>
      <c r="D1108" s="60"/>
      <c r="E1108" s="60"/>
      <c r="F1108" s="60"/>
      <c r="G1108" s="60"/>
      <c r="H1108" s="60"/>
      <c r="I1108" s="60"/>
    </row>
    <row r="1109" spans="1:9" x14ac:dyDescent="0.2">
      <c r="A1109" s="61"/>
      <c r="B1109" s="60"/>
      <c r="C1109" s="60"/>
      <c r="D1109" s="60"/>
      <c r="E1109" s="60"/>
      <c r="F1109" s="60"/>
      <c r="G1109" s="60"/>
      <c r="H1109" s="60"/>
      <c r="I1109" s="60"/>
    </row>
    <row r="1110" spans="1:9" x14ac:dyDescent="0.2">
      <c r="A1110" s="60"/>
      <c r="B1110" s="60"/>
      <c r="C1110" s="60"/>
      <c r="D1110" s="60"/>
      <c r="E1110" s="60"/>
      <c r="F1110" s="60"/>
      <c r="G1110" s="60"/>
      <c r="H1110" s="60"/>
      <c r="I1110" s="60"/>
    </row>
    <row r="1111" spans="1:9" x14ac:dyDescent="0.2">
      <c r="A1111" s="61"/>
      <c r="B1111" s="60"/>
      <c r="C1111" s="60"/>
      <c r="D1111" s="60"/>
      <c r="E1111" s="60"/>
      <c r="F1111" s="60"/>
      <c r="G1111" s="60"/>
      <c r="H1111" s="60"/>
      <c r="I1111" s="60"/>
    </row>
    <row r="1112" spans="1:9" x14ac:dyDescent="0.2">
      <c r="A1112" s="60"/>
      <c r="B1112" s="60"/>
      <c r="C1112" s="60"/>
      <c r="D1112" s="60"/>
      <c r="E1112" s="60"/>
      <c r="F1112" s="60"/>
      <c r="G1112" s="60"/>
      <c r="H1112" s="60"/>
      <c r="I1112" s="60"/>
    </row>
    <row r="1113" spans="1:9" x14ac:dyDescent="0.2">
      <c r="A1113" s="61"/>
      <c r="B1113" s="60"/>
      <c r="C1113" s="60"/>
      <c r="D1113" s="60"/>
      <c r="E1113" s="60"/>
      <c r="F1113" s="60"/>
      <c r="G1113" s="60"/>
      <c r="H1113" s="60"/>
      <c r="I1113" s="60"/>
    </row>
    <row r="1114" spans="1:9" x14ac:dyDescent="0.2">
      <c r="A1114" s="60"/>
      <c r="B1114" s="60"/>
      <c r="C1114" s="60"/>
      <c r="D1114" s="60"/>
      <c r="E1114" s="60"/>
      <c r="F1114" s="60"/>
      <c r="G1114" s="60"/>
      <c r="H1114" s="60"/>
      <c r="I1114" s="60"/>
    </row>
    <row r="1115" spans="1:9" x14ac:dyDescent="0.2">
      <c r="A1115" s="61"/>
      <c r="B1115" s="60"/>
      <c r="C1115" s="60"/>
      <c r="D1115" s="60"/>
      <c r="E1115" s="60"/>
      <c r="F1115" s="60"/>
      <c r="G1115" s="60"/>
      <c r="H1115" s="60"/>
      <c r="I1115" s="60"/>
    </row>
    <row r="1116" spans="1:9" x14ac:dyDescent="0.2">
      <c r="A1116" s="60"/>
      <c r="B1116" s="60"/>
      <c r="C1116" s="60"/>
      <c r="D1116" s="60"/>
      <c r="E1116" s="60"/>
      <c r="F1116" s="60"/>
      <c r="G1116" s="60"/>
      <c r="H1116" s="60"/>
      <c r="I1116" s="60"/>
    </row>
    <row r="1117" spans="1:9" x14ac:dyDescent="0.2">
      <c r="A1117" s="61"/>
      <c r="B1117" s="60"/>
      <c r="C1117" s="60"/>
      <c r="D1117" s="60"/>
      <c r="E1117" s="60"/>
      <c r="F1117" s="60"/>
      <c r="G1117" s="60"/>
      <c r="H1117" s="60"/>
      <c r="I1117" s="60"/>
    </row>
    <row r="1118" spans="1:9" x14ac:dyDescent="0.2">
      <c r="A1118" s="60"/>
      <c r="B1118" s="60"/>
      <c r="C1118" s="60"/>
      <c r="D1118" s="60"/>
      <c r="E1118" s="60"/>
      <c r="F1118" s="60"/>
      <c r="G1118" s="60"/>
      <c r="H1118" s="60"/>
      <c r="I1118" s="60"/>
    </row>
    <row r="1119" spans="1:9" x14ac:dyDescent="0.2">
      <c r="A1119" s="61"/>
      <c r="B1119" s="60"/>
      <c r="C1119" s="60"/>
      <c r="D1119" s="60"/>
      <c r="E1119" s="60"/>
      <c r="F1119" s="60"/>
      <c r="G1119" s="60"/>
      <c r="H1119" s="60"/>
      <c r="I1119" s="60"/>
    </row>
    <row r="1120" spans="1:9" x14ac:dyDescent="0.2">
      <c r="A1120" s="60"/>
      <c r="B1120" s="60"/>
      <c r="C1120" s="60"/>
      <c r="D1120" s="60"/>
      <c r="E1120" s="60"/>
      <c r="F1120" s="60"/>
      <c r="G1120" s="60"/>
      <c r="H1120" s="60"/>
      <c r="I1120" s="60"/>
    </row>
    <row r="1121" spans="1:9" x14ac:dyDescent="0.2">
      <c r="A1121" s="61"/>
      <c r="B1121" s="60"/>
      <c r="C1121" s="60"/>
      <c r="D1121" s="60"/>
      <c r="E1121" s="60"/>
      <c r="F1121" s="60"/>
      <c r="G1121" s="60"/>
      <c r="H1121" s="60"/>
      <c r="I1121" s="60"/>
    </row>
    <row r="1122" spans="1:9" x14ac:dyDescent="0.2">
      <c r="A1122" s="60"/>
      <c r="B1122" s="60"/>
      <c r="C1122" s="60"/>
      <c r="D1122" s="60"/>
      <c r="E1122" s="60"/>
      <c r="F1122" s="60"/>
      <c r="G1122" s="60"/>
      <c r="H1122" s="60"/>
      <c r="I1122" s="60"/>
    </row>
    <row r="1123" spans="1:9" x14ac:dyDescent="0.2">
      <c r="A1123" s="61"/>
      <c r="B1123" s="60"/>
      <c r="C1123" s="60"/>
      <c r="D1123" s="60"/>
      <c r="E1123" s="60"/>
      <c r="F1123" s="60"/>
      <c r="G1123" s="60"/>
      <c r="H1123" s="60"/>
      <c r="I1123" s="60"/>
    </row>
    <row r="1124" spans="1:9" x14ac:dyDescent="0.2">
      <c r="A1124" s="60"/>
      <c r="B1124" s="60"/>
      <c r="C1124" s="60"/>
      <c r="D1124" s="60"/>
      <c r="E1124" s="60"/>
      <c r="F1124" s="60"/>
      <c r="G1124" s="60"/>
      <c r="H1124" s="60"/>
      <c r="I1124" s="60"/>
    </row>
    <row r="1125" spans="1:9" x14ac:dyDescent="0.2">
      <c r="A1125" s="61"/>
      <c r="B1125" s="60"/>
      <c r="C1125" s="60"/>
      <c r="D1125" s="60"/>
      <c r="E1125" s="60"/>
      <c r="F1125" s="60"/>
      <c r="G1125" s="60"/>
      <c r="H1125" s="60"/>
      <c r="I1125" s="60"/>
    </row>
    <row r="1126" spans="1:9" x14ac:dyDescent="0.2">
      <c r="A1126" s="60"/>
      <c r="B1126" s="60"/>
      <c r="C1126" s="60"/>
      <c r="D1126" s="60"/>
      <c r="E1126" s="60"/>
      <c r="F1126" s="60"/>
      <c r="G1126" s="60"/>
      <c r="H1126" s="60"/>
      <c r="I1126" s="60"/>
    </row>
    <row r="1127" spans="1:9" x14ac:dyDescent="0.2">
      <c r="A1127" s="61"/>
      <c r="B1127" s="60"/>
      <c r="C1127" s="60"/>
      <c r="D1127" s="60"/>
      <c r="E1127" s="60"/>
      <c r="F1127" s="60"/>
      <c r="G1127" s="60"/>
      <c r="H1127" s="60"/>
      <c r="I1127" s="60"/>
    </row>
    <row r="1128" spans="1:9" x14ac:dyDescent="0.2">
      <c r="A1128" s="60"/>
      <c r="B1128" s="60"/>
      <c r="C1128" s="60"/>
      <c r="D1128" s="60"/>
      <c r="E1128" s="60"/>
      <c r="F1128" s="60"/>
      <c r="G1128" s="60"/>
      <c r="H1128" s="60"/>
      <c r="I1128" s="60"/>
    </row>
    <row r="1129" spans="1:9" x14ac:dyDescent="0.2">
      <c r="A1129" s="61"/>
      <c r="B1129" s="60"/>
      <c r="C1129" s="60"/>
      <c r="D1129" s="60"/>
      <c r="E1129" s="60"/>
      <c r="F1129" s="60"/>
      <c r="G1129" s="60"/>
      <c r="H1129" s="60"/>
      <c r="I1129" s="60"/>
    </row>
    <row r="1130" spans="1:9" x14ac:dyDescent="0.2">
      <c r="A1130" s="60"/>
      <c r="B1130" s="60"/>
      <c r="C1130" s="60"/>
      <c r="D1130" s="60"/>
      <c r="E1130" s="60"/>
      <c r="F1130" s="60"/>
      <c r="G1130" s="60"/>
      <c r="H1130" s="60"/>
      <c r="I1130" s="60"/>
    </row>
    <row r="1131" spans="1:9" x14ac:dyDescent="0.2">
      <c r="A1131" s="61"/>
      <c r="B1131" s="60"/>
      <c r="C1131" s="60"/>
      <c r="D1131" s="60"/>
      <c r="E1131" s="60"/>
      <c r="F1131" s="60"/>
      <c r="G1131" s="60"/>
      <c r="H1131" s="60"/>
      <c r="I1131" s="60"/>
    </row>
    <row r="1132" spans="1:9" x14ac:dyDescent="0.2">
      <c r="A1132" s="60"/>
      <c r="B1132" s="60"/>
      <c r="C1132" s="60"/>
      <c r="D1132" s="60"/>
      <c r="E1132" s="60"/>
      <c r="F1132" s="60"/>
      <c r="G1132" s="60"/>
      <c r="H1132" s="60"/>
      <c r="I1132" s="60"/>
    </row>
    <row r="1133" spans="1:9" x14ac:dyDescent="0.2">
      <c r="A1133" s="61"/>
      <c r="B1133" s="60"/>
      <c r="C1133" s="60"/>
      <c r="D1133" s="60"/>
      <c r="E1133" s="60"/>
      <c r="F1133" s="60"/>
      <c r="G1133" s="60"/>
      <c r="H1133" s="60"/>
      <c r="I1133" s="60"/>
    </row>
    <row r="1134" spans="1:9" x14ac:dyDescent="0.2">
      <c r="A1134" s="60"/>
      <c r="B1134" s="60"/>
      <c r="C1134" s="60"/>
      <c r="D1134" s="60"/>
      <c r="E1134" s="60"/>
      <c r="F1134" s="60"/>
      <c r="G1134" s="60"/>
      <c r="H1134" s="60"/>
      <c r="I1134" s="60"/>
    </row>
    <row r="1135" spans="1:9" x14ac:dyDescent="0.2">
      <c r="A1135" s="61"/>
      <c r="B1135" s="60"/>
      <c r="C1135" s="60"/>
      <c r="D1135" s="60"/>
      <c r="E1135" s="60"/>
      <c r="F1135" s="60"/>
      <c r="G1135" s="60"/>
      <c r="H1135" s="60"/>
      <c r="I1135" s="60"/>
    </row>
    <row r="1136" spans="1:9" x14ac:dyDescent="0.2">
      <c r="A1136" s="60"/>
      <c r="B1136" s="60"/>
      <c r="C1136" s="60"/>
      <c r="D1136" s="60"/>
      <c r="E1136" s="60"/>
      <c r="F1136" s="60"/>
      <c r="G1136" s="60"/>
      <c r="H1136" s="60"/>
      <c r="I1136" s="60"/>
    </row>
    <row r="1137" spans="1:9" x14ac:dyDescent="0.2">
      <c r="A1137" s="61"/>
      <c r="B1137" s="60"/>
      <c r="C1137" s="60"/>
      <c r="D1137" s="60"/>
      <c r="E1137" s="60"/>
      <c r="F1137" s="60"/>
      <c r="G1137" s="60"/>
      <c r="H1137" s="60"/>
      <c r="I1137" s="60"/>
    </row>
    <row r="1138" spans="1:9" x14ac:dyDescent="0.2">
      <c r="A1138" s="60"/>
      <c r="B1138" s="60"/>
      <c r="C1138" s="60"/>
      <c r="D1138" s="60"/>
      <c r="E1138" s="60"/>
      <c r="F1138" s="60"/>
      <c r="G1138" s="60"/>
      <c r="H1138" s="60"/>
      <c r="I1138" s="60"/>
    </row>
    <row r="1139" spans="1:9" x14ac:dyDescent="0.2">
      <c r="A1139" s="61"/>
      <c r="B1139" s="60"/>
      <c r="C1139" s="60"/>
      <c r="D1139" s="60"/>
      <c r="E1139" s="60"/>
      <c r="F1139" s="60"/>
      <c r="G1139" s="60"/>
      <c r="H1139" s="60"/>
      <c r="I1139" s="60"/>
    </row>
    <row r="1140" spans="1:9" x14ac:dyDescent="0.2">
      <c r="A1140" s="60"/>
      <c r="B1140" s="60"/>
      <c r="C1140" s="60"/>
      <c r="D1140" s="60"/>
      <c r="E1140" s="60"/>
      <c r="F1140" s="60"/>
      <c r="G1140" s="60"/>
      <c r="H1140" s="60"/>
      <c r="I1140" s="60"/>
    </row>
    <row r="1141" spans="1:9" x14ac:dyDescent="0.2">
      <c r="A1141" s="61"/>
      <c r="B1141" s="60"/>
      <c r="C1141" s="60"/>
      <c r="D1141" s="60"/>
      <c r="E1141" s="60"/>
      <c r="F1141" s="60"/>
      <c r="G1141" s="60"/>
      <c r="H1141" s="60"/>
      <c r="I1141" s="60"/>
    </row>
    <row r="1142" spans="1:9" x14ac:dyDescent="0.2">
      <c r="A1142" s="60"/>
      <c r="B1142" s="60"/>
      <c r="C1142" s="60"/>
      <c r="D1142" s="60"/>
      <c r="E1142" s="60"/>
      <c r="F1142" s="60"/>
      <c r="G1142" s="60"/>
      <c r="H1142" s="60"/>
      <c r="I1142" s="60"/>
    </row>
    <row r="1143" spans="1:9" x14ac:dyDescent="0.2">
      <c r="A1143" s="61"/>
      <c r="B1143" s="60"/>
      <c r="C1143" s="60"/>
      <c r="D1143" s="60"/>
      <c r="E1143" s="60"/>
      <c r="F1143" s="60"/>
      <c r="G1143" s="60"/>
      <c r="H1143" s="60"/>
      <c r="I1143" s="60"/>
    </row>
    <row r="1144" spans="1:9" x14ac:dyDescent="0.2">
      <c r="A1144" s="60"/>
      <c r="B1144" s="60"/>
      <c r="C1144" s="60"/>
      <c r="D1144" s="60"/>
      <c r="E1144" s="60"/>
      <c r="F1144" s="60"/>
      <c r="G1144" s="60"/>
      <c r="H1144" s="60"/>
      <c r="I1144" s="60"/>
    </row>
    <row r="1145" spans="1:9" x14ac:dyDescent="0.2">
      <c r="A1145" s="61"/>
      <c r="B1145" s="60"/>
      <c r="C1145" s="60"/>
      <c r="D1145" s="60"/>
      <c r="E1145" s="60"/>
      <c r="F1145" s="60"/>
      <c r="G1145" s="60"/>
      <c r="H1145" s="60"/>
      <c r="I1145" s="60"/>
    </row>
    <row r="1146" spans="1:9" x14ac:dyDescent="0.2">
      <c r="A1146" s="60"/>
      <c r="B1146" s="60"/>
      <c r="C1146" s="60"/>
      <c r="D1146" s="60"/>
      <c r="E1146" s="60"/>
      <c r="F1146" s="60"/>
      <c r="G1146" s="60"/>
      <c r="H1146" s="60"/>
      <c r="I1146" s="60"/>
    </row>
    <row r="1147" spans="1:9" x14ac:dyDescent="0.2">
      <c r="A1147" s="61"/>
      <c r="B1147" s="60"/>
      <c r="C1147" s="60"/>
      <c r="D1147" s="60"/>
      <c r="E1147" s="60"/>
      <c r="F1147" s="60"/>
      <c r="G1147" s="60"/>
      <c r="H1147" s="60"/>
      <c r="I1147" s="60"/>
    </row>
    <row r="1148" spans="1:9" x14ac:dyDescent="0.2">
      <c r="A1148" s="60"/>
      <c r="B1148" s="60"/>
      <c r="C1148" s="60"/>
      <c r="D1148" s="60"/>
      <c r="E1148" s="60"/>
      <c r="F1148" s="60"/>
      <c r="G1148" s="60"/>
      <c r="H1148" s="60"/>
      <c r="I1148" s="60"/>
    </row>
    <row r="1149" spans="1:9" x14ac:dyDescent="0.2">
      <c r="A1149" s="61"/>
      <c r="B1149" s="60"/>
      <c r="C1149" s="60"/>
      <c r="D1149" s="60"/>
      <c r="E1149" s="60"/>
      <c r="F1149" s="60"/>
      <c r="G1149" s="60"/>
      <c r="H1149" s="60"/>
      <c r="I1149" s="60"/>
    </row>
    <row r="1150" spans="1:9" x14ac:dyDescent="0.2">
      <c r="A1150" s="60"/>
      <c r="B1150" s="60"/>
      <c r="C1150" s="60"/>
      <c r="D1150" s="60"/>
      <c r="E1150" s="60"/>
      <c r="F1150" s="60"/>
      <c r="G1150" s="60"/>
      <c r="H1150" s="60"/>
      <c r="I1150" s="60"/>
    </row>
    <row r="1151" spans="1:9" x14ac:dyDescent="0.2">
      <c r="A1151" s="61"/>
      <c r="B1151" s="60"/>
      <c r="C1151" s="60"/>
      <c r="D1151" s="60"/>
      <c r="E1151" s="60"/>
      <c r="F1151" s="60"/>
      <c r="G1151" s="60"/>
      <c r="H1151" s="60"/>
      <c r="I1151" s="60"/>
    </row>
    <row r="1152" spans="1:9" x14ac:dyDescent="0.2">
      <c r="A1152" s="60"/>
      <c r="B1152" s="60"/>
      <c r="C1152" s="60"/>
      <c r="D1152" s="60"/>
      <c r="E1152" s="60"/>
      <c r="F1152" s="60"/>
      <c r="G1152" s="60"/>
      <c r="H1152" s="60"/>
      <c r="I1152" s="60"/>
    </row>
    <row r="1153" spans="1:9" x14ac:dyDescent="0.2">
      <c r="A1153" s="61"/>
      <c r="B1153" s="60"/>
      <c r="C1153" s="60"/>
      <c r="D1153" s="60"/>
      <c r="E1153" s="60"/>
      <c r="F1153" s="60"/>
      <c r="G1153" s="60"/>
      <c r="H1153" s="60"/>
      <c r="I1153" s="60"/>
    </row>
    <row r="1154" spans="1:9" x14ac:dyDescent="0.2">
      <c r="A1154" s="60"/>
      <c r="B1154" s="60"/>
      <c r="C1154" s="60"/>
      <c r="D1154" s="60"/>
      <c r="E1154" s="60"/>
      <c r="F1154" s="60"/>
      <c r="G1154" s="60"/>
      <c r="H1154" s="60"/>
      <c r="I1154" s="60"/>
    </row>
    <row r="1155" spans="1:9" x14ac:dyDescent="0.2">
      <c r="A1155" s="61"/>
      <c r="B1155" s="60"/>
      <c r="C1155" s="60"/>
      <c r="D1155" s="60"/>
      <c r="E1155" s="60"/>
      <c r="F1155" s="60"/>
      <c r="G1155" s="60"/>
      <c r="H1155" s="60"/>
      <c r="I1155" s="60"/>
    </row>
    <row r="1156" spans="1:9" x14ac:dyDescent="0.2">
      <c r="A1156" s="60"/>
      <c r="B1156" s="60"/>
      <c r="C1156" s="60"/>
      <c r="D1156" s="60"/>
      <c r="E1156" s="60"/>
      <c r="F1156" s="60"/>
      <c r="G1156" s="60"/>
      <c r="H1156" s="60"/>
      <c r="I1156" s="60"/>
    </row>
    <row r="1157" spans="1:9" x14ac:dyDescent="0.2">
      <c r="A1157" s="61"/>
      <c r="B1157" s="60"/>
      <c r="C1157" s="60"/>
      <c r="D1157" s="60"/>
      <c r="E1157" s="60"/>
      <c r="F1157" s="60"/>
      <c r="G1157" s="60"/>
      <c r="H1157" s="60"/>
      <c r="I1157" s="60"/>
    </row>
    <row r="1158" spans="1:9" x14ac:dyDescent="0.2">
      <c r="A1158" s="60"/>
      <c r="B1158" s="60"/>
      <c r="C1158" s="60"/>
      <c r="D1158" s="60"/>
      <c r="E1158" s="60"/>
      <c r="F1158" s="60"/>
      <c r="G1158" s="60"/>
      <c r="H1158" s="60"/>
      <c r="I1158" s="60"/>
    </row>
    <row r="1159" spans="1:9" x14ac:dyDescent="0.2">
      <c r="A1159" s="61"/>
      <c r="B1159" s="60"/>
      <c r="C1159" s="60"/>
      <c r="D1159" s="60"/>
      <c r="E1159" s="60"/>
      <c r="F1159" s="60"/>
      <c r="G1159" s="60"/>
      <c r="H1159" s="60"/>
      <c r="I1159" s="60"/>
    </row>
    <row r="1160" spans="1:9" x14ac:dyDescent="0.2">
      <c r="A1160" s="60"/>
      <c r="B1160" s="60"/>
      <c r="C1160" s="60"/>
      <c r="D1160" s="60"/>
      <c r="E1160" s="60"/>
      <c r="F1160" s="60"/>
      <c r="G1160" s="60"/>
      <c r="H1160" s="60"/>
      <c r="I1160" s="60"/>
    </row>
    <row r="1161" spans="1:9" x14ac:dyDescent="0.2">
      <c r="A1161" s="61"/>
      <c r="B1161" s="60"/>
      <c r="C1161" s="60"/>
      <c r="D1161" s="60"/>
      <c r="E1161" s="60"/>
      <c r="F1161" s="60"/>
      <c r="G1161" s="60"/>
      <c r="H1161" s="60"/>
      <c r="I1161" s="60"/>
    </row>
    <row r="1162" spans="1:9" x14ac:dyDescent="0.2">
      <c r="A1162" s="60"/>
      <c r="B1162" s="60"/>
      <c r="C1162" s="60"/>
      <c r="D1162" s="60"/>
      <c r="E1162" s="60"/>
      <c r="F1162" s="60"/>
      <c r="G1162" s="60"/>
      <c r="H1162" s="60"/>
      <c r="I1162" s="60"/>
    </row>
    <row r="1163" spans="1:9" x14ac:dyDescent="0.2">
      <c r="A1163" s="61"/>
      <c r="B1163" s="60"/>
      <c r="C1163" s="60"/>
      <c r="D1163" s="60"/>
      <c r="E1163" s="60"/>
      <c r="F1163" s="60"/>
      <c r="G1163" s="60"/>
      <c r="H1163" s="60"/>
      <c r="I1163" s="60"/>
    </row>
    <row r="1164" spans="1:9" x14ac:dyDescent="0.2">
      <c r="A1164" s="60"/>
      <c r="B1164" s="60"/>
      <c r="C1164" s="60"/>
      <c r="D1164" s="60"/>
      <c r="E1164" s="60"/>
      <c r="F1164" s="60"/>
      <c r="G1164" s="60"/>
      <c r="H1164" s="60"/>
      <c r="I1164" s="60"/>
    </row>
    <row r="1165" spans="1:9" x14ac:dyDescent="0.2">
      <c r="A1165" s="61"/>
      <c r="B1165" s="60"/>
      <c r="C1165" s="60"/>
      <c r="D1165" s="60"/>
      <c r="E1165" s="60"/>
      <c r="F1165" s="60"/>
      <c r="G1165" s="60"/>
      <c r="H1165" s="60"/>
      <c r="I1165" s="60"/>
    </row>
    <row r="1166" spans="1:9" x14ac:dyDescent="0.2">
      <c r="A1166" s="60"/>
      <c r="B1166" s="60"/>
      <c r="C1166" s="60"/>
      <c r="D1166" s="60"/>
      <c r="E1166" s="60"/>
      <c r="F1166" s="60"/>
      <c r="G1166" s="60"/>
      <c r="H1166" s="60"/>
      <c r="I1166" s="60"/>
    </row>
    <row r="1167" spans="1:9" x14ac:dyDescent="0.2">
      <c r="A1167" s="61"/>
      <c r="B1167" s="60"/>
      <c r="C1167" s="60"/>
      <c r="D1167" s="60"/>
      <c r="E1167" s="60"/>
      <c r="F1167" s="60"/>
      <c r="G1167" s="60"/>
      <c r="H1167" s="60"/>
      <c r="I1167" s="60"/>
    </row>
    <row r="1168" spans="1:9" x14ac:dyDescent="0.2">
      <c r="A1168" s="60"/>
      <c r="B1168" s="60"/>
      <c r="C1168" s="60"/>
      <c r="D1168" s="60"/>
      <c r="E1168" s="60"/>
      <c r="F1168" s="60"/>
      <c r="G1168" s="60"/>
      <c r="H1168" s="60"/>
      <c r="I1168" s="60"/>
    </row>
    <row r="1169" spans="1:9" x14ac:dyDescent="0.2">
      <c r="A1169" s="61"/>
      <c r="B1169" s="60"/>
      <c r="C1169" s="60"/>
      <c r="D1169" s="60"/>
      <c r="E1169" s="60"/>
      <c r="F1169" s="60"/>
      <c r="G1169" s="60"/>
      <c r="H1169" s="60"/>
      <c r="I1169" s="60"/>
    </row>
    <row r="1170" spans="1:9" x14ac:dyDescent="0.2">
      <c r="A1170" s="60"/>
      <c r="B1170" s="60"/>
      <c r="C1170" s="60"/>
      <c r="D1170" s="60"/>
      <c r="E1170" s="60"/>
      <c r="F1170" s="60"/>
      <c r="G1170" s="60"/>
      <c r="H1170" s="60"/>
      <c r="I1170" s="60"/>
    </row>
    <row r="1171" spans="1:9" x14ac:dyDescent="0.2">
      <c r="A1171" s="61"/>
      <c r="B1171" s="60"/>
      <c r="C1171" s="60"/>
      <c r="D1171" s="60"/>
      <c r="E1171" s="60"/>
      <c r="F1171" s="60"/>
      <c r="G1171" s="60"/>
      <c r="H1171" s="60"/>
      <c r="I1171" s="60"/>
    </row>
    <row r="1172" spans="1:9" x14ac:dyDescent="0.2">
      <c r="A1172" s="60"/>
      <c r="B1172" s="60"/>
      <c r="C1172" s="60"/>
      <c r="D1172" s="60"/>
      <c r="E1172" s="60"/>
      <c r="F1172" s="60"/>
      <c r="G1172" s="60"/>
      <c r="H1172" s="60"/>
      <c r="I1172" s="60"/>
    </row>
    <row r="1173" spans="1:9" x14ac:dyDescent="0.2">
      <c r="A1173" s="61"/>
      <c r="B1173" s="60"/>
      <c r="C1173" s="60"/>
      <c r="D1173" s="60"/>
      <c r="E1173" s="60"/>
      <c r="F1173" s="60"/>
      <c r="G1173" s="60"/>
      <c r="H1173" s="60"/>
      <c r="I1173" s="60"/>
    </row>
    <row r="1174" spans="1:9" x14ac:dyDescent="0.2">
      <c r="A1174" s="60"/>
      <c r="B1174" s="60"/>
      <c r="C1174" s="60"/>
      <c r="D1174" s="60"/>
      <c r="E1174" s="60"/>
      <c r="F1174" s="60"/>
      <c r="G1174" s="60"/>
      <c r="H1174" s="60"/>
      <c r="I1174" s="60"/>
    </row>
    <row r="1175" spans="1:9" x14ac:dyDescent="0.2">
      <c r="A1175" s="61"/>
      <c r="B1175" s="60"/>
      <c r="C1175" s="60"/>
      <c r="D1175" s="60"/>
      <c r="E1175" s="60"/>
      <c r="F1175" s="60"/>
      <c r="G1175" s="60"/>
      <c r="H1175" s="60"/>
      <c r="I1175" s="60"/>
    </row>
    <row r="1176" spans="1:9" x14ac:dyDescent="0.2">
      <c r="A1176" s="60"/>
      <c r="B1176" s="60"/>
      <c r="C1176" s="60"/>
      <c r="D1176" s="60"/>
      <c r="E1176" s="60"/>
      <c r="F1176" s="60"/>
      <c r="G1176" s="60"/>
      <c r="H1176" s="60"/>
      <c r="I1176" s="60"/>
    </row>
    <row r="1177" spans="1:9" x14ac:dyDescent="0.2">
      <c r="A1177" s="61"/>
      <c r="B1177" s="60"/>
      <c r="C1177" s="60"/>
      <c r="D1177" s="60"/>
      <c r="E1177" s="60"/>
      <c r="F1177" s="60"/>
      <c r="G1177" s="60"/>
      <c r="H1177" s="60"/>
      <c r="I1177" s="60"/>
    </row>
    <row r="1178" spans="1:9" x14ac:dyDescent="0.2">
      <c r="A1178" s="60"/>
      <c r="B1178" s="60"/>
      <c r="C1178" s="60"/>
      <c r="D1178" s="60"/>
      <c r="E1178" s="60"/>
      <c r="F1178" s="60"/>
      <c r="G1178" s="60"/>
      <c r="H1178" s="60"/>
      <c r="I1178" s="60"/>
    </row>
    <row r="1179" spans="1:9" x14ac:dyDescent="0.2">
      <c r="A1179" s="61"/>
      <c r="B1179" s="60"/>
      <c r="C1179" s="60"/>
      <c r="D1179" s="60"/>
      <c r="E1179" s="60"/>
      <c r="F1179" s="60"/>
      <c r="G1179" s="60"/>
      <c r="H1179" s="60"/>
      <c r="I1179" s="60"/>
    </row>
    <row r="1180" spans="1:9" x14ac:dyDescent="0.2">
      <c r="A1180" s="60"/>
      <c r="B1180" s="60"/>
      <c r="C1180" s="60"/>
      <c r="D1180" s="60"/>
      <c r="E1180" s="60"/>
      <c r="F1180" s="60"/>
      <c r="G1180" s="60"/>
      <c r="H1180" s="60"/>
      <c r="I1180" s="60"/>
    </row>
    <row r="1181" spans="1:9" x14ac:dyDescent="0.2">
      <c r="A1181" s="61"/>
      <c r="B1181" s="60"/>
      <c r="C1181" s="60"/>
      <c r="D1181" s="60"/>
      <c r="E1181" s="60"/>
      <c r="F1181" s="60"/>
      <c r="G1181" s="60"/>
      <c r="H1181" s="60"/>
      <c r="I1181" s="60"/>
    </row>
    <row r="1182" spans="1:9" x14ac:dyDescent="0.2">
      <c r="A1182" s="60"/>
      <c r="B1182" s="60"/>
      <c r="C1182" s="60"/>
      <c r="D1182" s="60"/>
      <c r="E1182" s="60"/>
      <c r="F1182" s="60"/>
      <c r="G1182" s="60"/>
      <c r="H1182" s="60"/>
      <c r="I1182" s="60"/>
    </row>
    <row r="1183" spans="1:9" x14ac:dyDescent="0.2">
      <c r="A1183" s="61"/>
      <c r="B1183" s="60"/>
      <c r="C1183" s="60"/>
      <c r="D1183" s="60"/>
      <c r="E1183" s="60"/>
      <c r="F1183" s="60"/>
      <c r="G1183" s="60"/>
      <c r="H1183" s="60"/>
      <c r="I1183" s="60"/>
    </row>
    <row r="1184" spans="1:9" x14ac:dyDescent="0.2">
      <c r="A1184" s="60"/>
      <c r="B1184" s="60"/>
      <c r="C1184" s="60"/>
      <c r="D1184" s="60"/>
      <c r="E1184" s="60"/>
      <c r="F1184" s="60"/>
      <c r="G1184" s="60"/>
      <c r="H1184" s="60"/>
      <c r="I1184" s="60"/>
    </row>
    <row r="1185" spans="1:9" x14ac:dyDescent="0.2">
      <c r="A1185" s="61"/>
      <c r="B1185" s="60"/>
      <c r="C1185" s="60"/>
      <c r="D1185" s="60"/>
      <c r="E1185" s="60"/>
      <c r="F1185" s="60"/>
      <c r="G1185" s="60"/>
      <c r="H1185" s="60"/>
      <c r="I1185" s="60"/>
    </row>
    <row r="1186" spans="1:9" x14ac:dyDescent="0.2">
      <c r="A1186" s="60"/>
      <c r="B1186" s="60"/>
      <c r="C1186" s="60"/>
      <c r="D1186" s="60"/>
      <c r="E1186" s="60"/>
      <c r="F1186" s="60"/>
      <c r="G1186" s="60"/>
      <c r="H1186" s="60"/>
      <c r="I1186" s="60"/>
    </row>
    <row r="1187" spans="1:9" x14ac:dyDescent="0.2">
      <c r="A1187" s="61"/>
      <c r="B1187" s="60"/>
      <c r="C1187" s="60"/>
      <c r="D1187" s="60"/>
      <c r="E1187" s="60"/>
      <c r="F1187" s="60"/>
      <c r="G1187" s="60"/>
      <c r="H1187" s="60"/>
      <c r="I1187" s="60"/>
    </row>
    <row r="1188" spans="1:9" x14ac:dyDescent="0.2">
      <c r="A1188" s="60"/>
      <c r="B1188" s="60"/>
      <c r="C1188" s="60"/>
      <c r="D1188" s="60"/>
      <c r="E1188" s="60"/>
      <c r="F1188" s="60"/>
      <c r="G1188" s="60"/>
      <c r="H1188" s="60"/>
      <c r="I1188" s="60"/>
    </row>
    <row r="1189" spans="1:9" x14ac:dyDescent="0.2">
      <c r="A1189" s="61"/>
      <c r="B1189" s="60"/>
      <c r="C1189" s="60"/>
      <c r="D1189" s="60"/>
      <c r="E1189" s="60"/>
      <c r="F1189" s="60"/>
      <c r="G1189" s="60"/>
      <c r="H1189" s="60"/>
      <c r="I1189" s="60"/>
    </row>
    <row r="1190" spans="1:9" x14ac:dyDescent="0.2">
      <c r="A1190" s="60"/>
      <c r="B1190" s="60"/>
      <c r="C1190" s="60"/>
      <c r="D1190" s="60"/>
      <c r="E1190" s="60"/>
      <c r="F1190" s="60"/>
      <c r="G1190" s="60"/>
      <c r="H1190" s="60"/>
      <c r="I1190" s="60"/>
    </row>
    <row r="1191" spans="1:9" x14ac:dyDescent="0.2">
      <c r="A1191" s="61"/>
      <c r="B1191" s="60"/>
      <c r="C1191" s="60"/>
      <c r="D1191" s="60"/>
      <c r="E1191" s="60"/>
      <c r="F1191" s="60"/>
      <c r="G1191" s="60"/>
      <c r="H1191" s="60"/>
      <c r="I1191" s="60"/>
    </row>
    <row r="1192" spans="1:9" x14ac:dyDescent="0.2">
      <c r="A1192" s="60"/>
      <c r="B1192" s="60"/>
      <c r="C1192" s="60"/>
      <c r="D1192" s="60"/>
      <c r="E1192" s="60"/>
      <c r="F1192" s="60"/>
      <c r="G1192" s="60"/>
      <c r="H1192" s="60"/>
      <c r="I1192" s="60"/>
    </row>
    <row r="1193" spans="1:9" x14ac:dyDescent="0.2">
      <c r="A1193" s="61"/>
      <c r="B1193" s="60"/>
      <c r="C1193" s="60"/>
      <c r="D1193" s="60"/>
      <c r="E1193" s="60"/>
      <c r="F1193" s="60"/>
      <c r="G1193" s="60"/>
      <c r="H1193" s="60"/>
      <c r="I1193" s="60"/>
    </row>
    <row r="1194" spans="1:9" x14ac:dyDescent="0.2">
      <c r="A1194" s="60"/>
      <c r="B1194" s="60"/>
      <c r="C1194" s="60"/>
      <c r="D1194" s="60"/>
      <c r="E1194" s="60"/>
      <c r="F1194" s="60"/>
      <c r="G1194" s="60"/>
      <c r="H1194" s="60"/>
      <c r="I1194" s="60"/>
    </row>
    <row r="1195" spans="1:9" x14ac:dyDescent="0.2">
      <c r="A1195" s="61"/>
      <c r="B1195" s="60"/>
      <c r="C1195" s="60"/>
      <c r="D1195" s="60"/>
      <c r="E1195" s="60"/>
      <c r="F1195" s="60"/>
      <c r="G1195" s="60"/>
      <c r="H1195" s="60"/>
      <c r="I1195" s="60"/>
    </row>
    <row r="1196" spans="1:9" x14ac:dyDescent="0.2">
      <c r="A1196" s="60"/>
      <c r="B1196" s="60"/>
      <c r="C1196" s="60"/>
      <c r="D1196" s="60"/>
      <c r="E1196" s="60"/>
      <c r="F1196" s="60"/>
      <c r="G1196" s="60"/>
      <c r="H1196" s="60"/>
      <c r="I1196" s="60"/>
    </row>
    <row r="1197" spans="1:9" x14ac:dyDescent="0.2">
      <c r="A1197" s="61"/>
      <c r="B1197" s="60"/>
      <c r="C1197" s="60"/>
      <c r="D1197" s="60"/>
      <c r="E1197" s="60"/>
      <c r="F1197" s="60"/>
      <c r="G1197" s="60"/>
      <c r="H1197" s="60"/>
      <c r="I1197" s="60"/>
    </row>
    <row r="1198" spans="1:9" x14ac:dyDescent="0.2">
      <c r="A1198" s="60"/>
      <c r="B1198" s="60"/>
      <c r="C1198" s="60"/>
      <c r="D1198" s="60"/>
      <c r="E1198" s="60"/>
      <c r="F1198" s="60"/>
      <c r="G1198" s="60"/>
      <c r="H1198" s="60"/>
      <c r="I1198" s="60"/>
    </row>
    <row r="1199" spans="1:9" x14ac:dyDescent="0.2">
      <c r="A1199" s="61"/>
      <c r="B1199" s="60"/>
      <c r="C1199" s="60"/>
      <c r="D1199" s="60"/>
      <c r="E1199" s="60"/>
      <c r="F1199" s="60"/>
      <c r="G1199" s="60"/>
      <c r="H1199" s="60"/>
      <c r="I1199" s="60"/>
    </row>
    <row r="1200" spans="1:9" x14ac:dyDescent="0.2">
      <c r="A1200" s="60"/>
      <c r="B1200" s="60"/>
      <c r="C1200" s="60"/>
      <c r="D1200" s="60"/>
      <c r="E1200" s="60"/>
      <c r="F1200" s="60"/>
      <c r="G1200" s="60"/>
      <c r="H1200" s="60"/>
      <c r="I1200" s="60"/>
    </row>
    <row r="1201" spans="1:9" x14ac:dyDescent="0.2">
      <c r="A1201" s="61"/>
      <c r="B1201" s="60"/>
      <c r="C1201" s="60"/>
      <c r="D1201" s="60"/>
      <c r="E1201" s="60"/>
      <c r="F1201" s="60"/>
      <c r="G1201" s="60"/>
      <c r="H1201" s="60"/>
      <c r="I1201" s="60"/>
    </row>
    <row r="1202" spans="1:9" x14ac:dyDescent="0.2">
      <c r="A1202" s="60"/>
      <c r="B1202" s="60"/>
      <c r="C1202" s="60"/>
      <c r="D1202" s="60"/>
      <c r="E1202" s="60"/>
      <c r="F1202" s="60"/>
      <c r="G1202" s="60"/>
      <c r="H1202" s="60"/>
      <c r="I1202" s="60"/>
    </row>
    <row r="1203" spans="1:9" x14ac:dyDescent="0.2">
      <c r="A1203" s="61"/>
      <c r="B1203" s="60"/>
      <c r="C1203" s="60"/>
      <c r="D1203" s="60"/>
      <c r="E1203" s="60"/>
      <c r="F1203" s="60"/>
      <c r="G1203" s="60"/>
      <c r="H1203" s="60"/>
      <c r="I1203" s="60"/>
    </row>
    <row r="1204" spans="1:9" x14ac:dyDescent="0.2">
      <c r="A1204" s="60"/>
      <c r="B1204" s="60"/>
      <c r="C1204" s="60"/>
      <c r="D1204" s="60"/>
      <c r="E1204" s="60"/>
      <c r="F1204" s="60"/>
      <c r="G1204" s="60"/>
      <c r="H1204" s="60"/>
      <c r="I1204" s="60"/>
    </row>
    <row r="1205" spans="1:9" x14ac:dyDescent="0.2">
      <c r="A1205" s="61"/>
      <c r="B1205" s="60"/>
      <c r="C1205" s="60"/>
      <c r="D1205" s="60"/>
      <c r="E1205" s="60"/>
      <c r="F1205" s="60"/>
      <c r="G1205" s="60"/>
      <c r="H1205" s="60"/>
      <c r="I1205" s="60"/>
    </row>
    <row r="1206" spans="1:9" x14ac:dyDescent="0.2">
      <c r="A1206" s="60"/>
      <c r="B1206" s="60"/>
      <c r="C1206" s="60"/>
      <c r="D1206" s="60"/>
      <c r="E1206" s="60"/>
      <c r="F1206" s="60"/>
      <c r="G1206" s="60"/>
      <c r="H1206" s="60"/>
      <c r="I1206" s="60"/>
    </row>
    <row r="1207" spans="1:9" x14ac:dyDescent="0.2">
      <c r="A1207" s="61"/>
      <c r="B1207" s="60"/>
      <c r="C1207" s="60"/>
      <c r="D1207" s="60"/>
      <c r="E1207" s="60"/>
      <c r="F1207" s="60"/>
      <c r="G1207" s="60"/>
      <c r="H1207" s="60"/>
      <c r="I1207" s="60"/>
    </row>
    <row r="1208" spans="1:9" x14ac:dyDescent="0.2">
      <c r="A1208" s="60"/>
      <c r="B1208" s="60"/>
      <c r="C1208" s="60"/>
      <c r="D1208" s="60"/>
      <c r="E1208" s="60"/>
      <c r="F1208" s="60"/>
      <c r="G1208" s="60"/>
      <c r="H1208" s="60"/>
      <c r="I1208" s="60"/>
    </row>
    <row r="1209" spans="1:9" x14ac:dyDescent="0.2">
      <c r="A1209" s="61"/>
      <c r="B1209" s="60"/>
      <c r="C1209" s="60"/>
      <c r="D1209" s="60"/>
      <c r="E1209" s="60"/>
      <c r="F1209" s="60"/>
      <c r="G1209" s="60"/>
      <c r="H1209" s="60"/>
      <c r="I1209" s="60"/>
    </row>
    <row r="1210" spans="1:9" x14ac:dyDescent="0.2">
      <c r="A1210" s="60"/>
      <c r="B1210" s="60"/>
      <c r="C1210" s="60"/>
      <c r="D1210" s="60"/>
      <c r="E1210" s="60"/>
      <c r="F1210" s="60"/>
      <c r="G1210" s="60"/>
      <c r="H1210" s="60"/>
      <c r="I1210" s="60"/>
    </row>
    <row r="1211" spans="1:9" x14ac:dyDescent="0.2">
      <c r="A1211" s="61"/>
      <c r="B1211" s="60"/>
      <c r="C1211" s="60"/>
      <c r="D1211" s="60"/>
      <c r="E1211" s="60"/>
      <c r="F1211" s="60"/>
      <c r="G1211" s="60"/>
      <c r="H1211" s="60"/>
      <c r="I1211" s="60"/>
    </row>
    <row r="1212" spans="1:9" x14ac:dyDescent="0.2">
      <c r="A1212" s="60"/>
      <c r="B1212" s="60"/>
      <c r="C1212" s="60"/>
      <c r="D1212" s="60"/>
      <c r="E1212" s="60"/>
      <c r="F1212" s="60"/>
      <c r="G1212" s="60"/>
      <c r="H1212" s="60"/>
      <c r="I1212" s="60"/>
    </row>
    <row r="1213" spans="1:9" x14ac:dyDescent="0.2">
      <c r="A1213" s="61"/>
      <c r="B1213" s="60"/>
      <c r="C1213" s="60"/>
      <c r="D1213" s="60"/>
      <c r="E1213" s="60"/>
      <c r="F1213" s="60"/>
      <c r="G1213" s="60"/>
      <c r="H1213" s="60"/>
      <c r="I1213" s="60"/>
    </row>
    <row r="1214" spans="1:9" x14ac:dyDescent="0.2">
      <c r="A1214" s="60"/>
      <c r="B1214" s="60"/>
      <c r="C1214" s="60"/>
      <c r="D1214" s="60"/>
      <c r="E1214" s="60"/>
      <c r="F1214" s="60"/>
      <c r="G1214" s="60"/>
      <c r="H1214" s="60"/>
      <c r="I1214" s="60"/>
    </row>
    <row r="1215" spans="1:9" x14ac:dyDescent="0.2">
      <c r="A1215" s="61"/>
      <c r="B1215" s="60"/>
      <c r="C1215" s="60"/>
      <c r="D1215" s="60"/>
      <c r="E1215" s="60"/>
      <c r="F1215" s="60"/>
      <c r="G1215" s="60"/>
      <c r="H1215" s="60"/>
      <c r="I1215" s="60"/>
    </row>
    <row r="1216" spans="1:9" x14ac:dyDescent="0.2">
      <c r="A1216" s="60"/>
      <c r="B1216" s="60"/>
      <c r="C1216" s="60"/>
      <c r="D1216" s="60"/>
      <c r="E1216" s="60"/>
      <c r="F1216" s="60"/>
      <c r="G1216" s="60"/>
      <c r="H1216" s="60"/>
      <c r="I1216" s="60"/>
    </row>
    <row r="1217" spans="1:9" x14ac:dyDescent="0.2">
      <c r="A1217" s="61"/>
      <c r="B1217" s="60"/>
      <c r="C1217" s="60"/>
      <c r="D1217" s="60"/>
      <c r="E1217" s="60"/>
      <c r="F1217" s="60"/>
      <c r="G1217" s="60"/>
      <c r="H1217" s="60"/>
      <c r="I1217" s="60"/>
    </row>
    <row r="1218" spans="1:9" x14ac:dyDescent="0.2">
      <c r="A1218" s="60"/>
      <c r="B1218" s="60"/>
      <c r="C1218" s="60"/>
      <c r="D1218" s="60"/>
      <c r="E1218" s="60"/>
      <c r="F1218" s="60"/>
      <c r="G1218" s="60"/>
      <c r="H1218" s="60"/>
      <c r="I1218" s="60"/>
    </row>
    <row r="1219" spans="1:9" x14ac:dyDescent="0.2">
      <c r="A1219" s="61"/>
      <c r="B1219" s="60"/>
      <c r="C1219" s="60"/>
      <c r="D1219" s="60"/>
      <c r="E1219" s="60"/>
      <c r="F1219" s="60"/>
      <c r="G1219" s="60"/>
      <c r="H1219" s="60"/>
      <c r="I1219" s="60"/>
    </row>
    <row r="1220" spans="1:9" x14ac:dyDescent="0.2">
      <c r="A1220" s="60"/>
      <c r="B1220" s="60"/>
      <c r="C1220" s="60"/>
      <c r="D1220" s="60"/>
      <c r="E1220" s="60"/>
      <c r="F1220" s="60"/>
      <c r="G1220" s="60"/>
      <c r="H1220" s="60"/>
      <c r="I1220" s="60"/>
    </row>
    <row r="1221" spans="1:9" x14ac:dyDescent="0.2">
      <c r="A1221" s="61"/>
      <c r="B1221" s="60"/>
      <c r="C1221" s="60"/>
      <c r="D1221" s="60"/>
      <c r="E1221" s="60"/>
      <c r="F1221" s="60"/>
      <c r="G1221" s="60"/>
      <c r="H1221" s="60"/>
      <c r="I1221" s="60"/>
    </row>
    <row r="1222" spans="1:9" x14ac:dyDescent="0.2">
      <c r="A1222" s="60"/>
      <c r="B1222" s="60"/>
      <c r="C1222" s="60"/>
      <c r="D1222" s="60"/>
      <c r="E1222" s="60"/>
      <c r="F1222" s="60"/>
      <c r="G1222" s="60"/>
      <c r="H1222" s="60"/>
      <c r="I1222" s="60"/>
    </row>
    <row r="1223" spans="1:9" x14ac:dyDescent="0.2">
      <c r="A1223" s="61"/>
      <c r="B1223" s="60"/>
      <c r="C1223" s="60"/>
      <c r="D1223" s="60"/>
      <c r="E1223" s="60"/>
      <c r="F1223" s="60"/>
      <c r="G1223" s="60"/>
      <c r="H1223" s="60"/>
      <c r="I1223" s="60"/>
    </row>
    <row r="1224" spans="1:9" x14ac:dyDescent="0.2">
      <c r="A1224" s="60"/>
      <c r="B1224" s="60"/>
      <c r="C1224" s="60"/>
      <c r="D1224" s="60"/>
      <c r="E1224" s="60"/>
      <c r="F1224" s="60"/>
      <c r="G1224" s="60"/>
      <c r="H1224" s="60"/>
      <c r="I1224" s="60"/>
    </row>
    <row r="1225" spans="1:9" x14ac:dyDescent="0.2">
      <c r="A1225" s="61"/>
      <c r="B1225" s="60"/>
      <c r="C1225" s="60"/>
      <c r="D1225" s="60"/>
      <c r="E1225" s="60"/>
      <c r="F1225" s="60"/>
      <c r="G1225" s="60"/>
      <c r="H1225" s="60"/>
      <c r="I1225" s="60"/>
    </row>
    <row r="1226" spans="1:9" x14ac:dyDescent="0.2">
      <c r="A1226" s="60"/>
      <c r="B1226" s="60"/>
      <c r="C1226" s="60"/>
      <c r="D1226" s="60"/>
      <c r="E1226" s="60"/>
      <c r="F1226" s="60"/>
      <c r="G1226" s="60"/>
      <c r="H1226" s="60"/>
      <c r="I1226" s="60"/>
    </row>
    <row r="1227" spans="1:9" x14ac:dyDescent="0.2">
      <c r="A1227" s="61"/>
      <c r="B1227" s="60"/>
      <c r="C1227" s="60"/>
      <c r="D1227" s="60"/>
      <c r="E1227" s="60"/>
      <c r="F1227" s="60"/>
      <c r="G1227" s="60"/>
      <c r="H1227" s="60"/>
      <c r="I1227" s="60"/>
    </row>
    <row r="1228" spans="1:9" x14ac:dyDescent="0.2">
      <c r="A1228" s="60"/>
      <c r="B1228" s="60"/>
      <c r="C1228" s="60"/>
      <c r="D1228" s="60"/>
      <c r="E1228" s="60"/>
      <c r="F1228" s="60"/>
      <c r="G1228" s="60"/>
      <c r="H1228" s="60"/>
      <c r="I1228" s="60"/>
    </row>
    <row r="1229" spans="1:9" x14ac:dyDescent="0.2">
      <c r="A1229" s="61"/>
      <c r="B1229" s="60"/>
      <c r="C1229" s="60"/>
      <c r="D1229" s="60"/>
      <c r="E1229" s="60"/>
      <c r="F1229" s="60"/>
      <c r="G1229" s="60"/>
      <c r="H1229" s="60"/>
      <c r="I1229" s="60"/>
    </row>
    <row r="1230" spans="1:9" x14ac:dyDescent="0.2">
      <c r="A1230" s="60"/>
      <c r="B1230" s="60"/>
      <c r="C1230" s="60"/>
      <c r="D1230" s="60"/>
      <c r="E1230" s="60"/>
      <c r="F1230" s="60"/>
      <c r="G1230" s="60"/>
      <c r="H1230" s="60"/>
      <c r="I1230" s="60"/>
    </row>
    <row r="1231" spans="1:9" x14ac:dyDescent="0.2">
      <c r="A1231" s="61"/>
      <c r="B1231" s="60"/>
      <c r="C1231" s="60"/>
      <c r="D1231" s="60"/>
      <c r="E1231" s="60"/>
      <c r="F1231" s="60"/>
      <c r="G1231" s="60"/>
      <c r="H1231" s="60"/>
      <c r="I1231" s="60"/>
    </row>
    <row r="1232" spans="1:9" x14ac:dyDescent="0.2">
      <c r="A1232" s="60"/>
      <c r="B1232" s="60"/>
      <c r="C1232" s="60"/>
      <c r="D1232" s="60"/>
      <c r="E1232" s="60"/>
      <c r="F1232" s="60"/>
      <c r="G1232" s="60"/>
      <c r="H1232" s="60"/>
      <c r="I1232" s="60"/>
    </row>
    <row r="1233" spans="1:9" x14ac:dyDescent="0.2">
      <c r="A1233" s="61"/>
      <c r="B1233" s="60"/>
      <c r="C1233" s="60"/>
      <c r="D1233" s="60"/>
      <c r="E1233" s="60"/>
      <c r="F1233" s="60"/>
      <c r="G1233" s="60"/>
      <c r="H1233" s="60"/>
      <c r="I1233" s="60"/>
    </row>
    <row r="1234" spans="1:9" x14ac:dyDescent="0.2">
      <c r="A1234" s="60"/>
      <c r="B1234" s="60"/>
      <c r="C1234" s="60"/>
      <c r="D1234" s="60"/>
      <c r="E1234" s="60"/>
      <c r="F1234" s="60"/>
      <c r="G1234" s="60"/>
      <c r="H1234" s="60"/>
      <c r="I1234" s="60"/>
    </row>
    <row r="1235" spans="1:9" x14ac:dyDescent="0.2">
      <c r="A1235" s="61"/>
      <c r="B1235" s="60"/>
      <c r="C1235" s="60"/>
      <c r="D1235" s="60"/>
      <c r="E1235" s="60"/>
      <c r="F1235" s="60"/>
      <c r="G1235" s="60"/>
      <c r="H1235" s="60"/>
      <c r="I1235" s="60"/>
    </row>
    <row r="1236" spans="1:9" x14ac:dyDescent="0.2">
      <c r="A1236" s="60"/>
      <c r="B1236" s="60"/>
      <c r="C1236" s="60"/>
      <c r="D1236" s="60"/>
      <c r="E1236" s="60"/>
      <c r="F1236" s="60"/>
      <c r="G1236" s="60"/>
      <c r="H1236" s="60"/>
      <c r="I1236" s="60"/>
    </row>
    <row r="1237" spans="1:9" x14ac:dyDescent="0.2">
      <c r="A1237" s="61"/>
      <c r="B1237" s="60"/>
      <c r="C1237" s="60"/>
      <c r="D1237" s="60"/>
      <c r="E1237" s="60"/>
      <c r="F1237" s="60"/>
      <c r="G1237" s="60"/>
      <c r="H1237" s="60"/>
      <c r="I1237" s="60"/>
    </row>
    <row r="1238" spans="1:9" x14ac:dyDescent="0.2">
      <c r="A1238" s="60"/>
      <c r="B1238" s="60"/>
      <c r="C1238" s="60"/>
      <c r="D1238" s="60"/>
      <c r="E1238" s="60"/>
      <c r="F1238" s="60"/>
      <c r="G1238" s="60"/>
      <c r="H1238" s="60"/>
      <c r="I1238" s="60"/>
    </row>
    <row r="1239" spans="1:9" x14ac:dyDescent="0.2">
      <c r="A1239" s="61"/>
      <c r="B1239" s="60"/>
      <c r="C1239" s="60"/>
      <c r="D1239" s="60"/>
      <c r="E1239" s="60"/>
      <c r="F1239" s="60"/>
      <c r="G1239" s="60"/>
      <c r="H1239" s="60"/>
      <c r="I1239" s="60"/>
    </row>
    <row r="1240" spans="1:9" x14ac:dyDescent="0.2">
      <c r="A1240" s="60"/>
      <c r="B1240" s="60"/>
      <c r="C1240" s="60"/>
      <c r="D1240" s="60"/>
      <c r="E1240" s="60"/>
      <c r="F1240" s="60"/>
      <c r="G1240" s="60"/>
      <c r="H1240" s="60"/>
      <c r="I1240" s="60"/>
    </row>
    <row r="1241" spans="1:9" x14ac:dyDescent="0.2">
      <c r="A1241" s="61"/>
      <c r="B1241" s="60"/>
      <c r="C1241" s="60"/>
      <c r="D1241" s="60"/>
      <c r="E1241" s="60"/>
      <c r="F1241" s="60"/>
      <c r="G1241" s="60"/>
      <c r="H1241" s="60"/>
      <c r="I1241" s="60"/>
    </row>
    <row r="1242" spans="1:9" x14ac:dyDescent="0.2">
      <c r="A1242" s="60"/>
      <c r="B1242" s="60"/>
      <c r="C1242" s="60"/>
      <c r="D1242" s="60"/>
      <c r="E1242" s="60"/>
      <c r="F1242" s="60"/>
      <c r="G1242" s="60"/>
      <c r="H1242" s="60"/>
      <c r="I1242" s="60"/>
    </row>
    <row r="1243" spans="1:9" x14ac:dyDescent="0.2">
      <c r="A1243" s="61"/>
      <c r="B1243" s="60"/>
      <c r="C1243" s="60"/>
      <c r="D1243" s="60"/>
      <c r="E1243" s="60"/>
      <c r="F1243" s="60"/>
      <c r="G1243" s="60"/>
      <c r="H1243" s="60"/>
      <c r="I1243" s="60"/>
    </row>
    <row r="1244" spans="1:9" x14ac:dyDescent="0.2">
      <c r="A1244" s="60"/>
      <c r="B1244" s="60"/>
      <c r="C1244" s="60"/>
      <c r="D1244" s="60"/>
      <c r="E1244" s="60"/>
      <c r="F1244" s="60"/>
      <c r="G1244" s="60"/>
      <c r="H1244" s="60"/>
      <c r="I1244" s="60"/>
    </row>
    <row r="1245" spans="1:9" x14ac:dyDescent="0.2">
      <c r="A1245" s="61"/>
      <c r="B1245" s="60"/>
      <c r="C1245" s="60"/>
      <c r="D1245" s="60"/>
      <c r="E1245" s="60"/>
      <c r="F1245" s="60"/>
      <c r="G1245" s="60"/>
      <c r="H1245" s="60"/>
      <c r="I1245" s="60"/>
    </row>
    <row r="1246" spans="1:9" x14ac:dyDescent="0.2">
      <c r="A1246" s="60"/>
      <c r="B1246" s="60"/>
      <c r="C1246" s="60"/>
      <c r="D1246" s="60"/>
      <c r="E1246" s="60"/>
      <c r="F1246" s="60"/>
      <c r="G1246" s="60"/>
      <c r="H1246" s="60"/>
      <c r="I1246" s="60"/>
    </row>
    <row r="1247" spans="1:9" x14ac:dyDescent="0.2">
      <c r="A1247" s="61"/>
      <c r="B1247" s="60"/>
      <c r="C1247" s="60"/>
      <c r="D1247" s="60"/>
      <c r="E1247" s="60"/>
      <c r="F1247" s="60"/>
      <c r="G1247" s="60"/>
      <c r="H1247" s="60"/>
      <c r="I1247" s="60"/>
    </row>
    <row r="1248" spans="1:9" x14ac:dyDescent="0.2">
      <c r="A1248" s="60"/>
      <c r="B1248" s="60"/>
      <c r="C1248" s="60"/>
      <c r="D1248" s="60"/>
      <c r="E1248" s="60"/>
      <c r="F1248" s="60"/>
      <c r="G1248" s="60"/>
      <c r="H1248" s="60"/>
      <c r="I1248" s="60"/>
    </row>
    <row r="1249" spans="1:9" x14ac:dyDescent="0.2">
      <c r="A1249" s="61"/>
      <c r="B1249" s="60"/>
      <c r="C1249" s="60"/>
      <c r="D1249" s="60"/>
      <c r="E1249" s="60"/>
      <c r="F1249" s="60"/>
      <c r="G1249" s="60"/>
      <c r="H1249" s="60"/>
      <c r="I1249" s="60"/>
    </row>
    <row r="1250" spans="1:9" x14ac:dyDescent="0.2">
      <c r="A1250" s="60"/>
      <c r="B1250" s="60"/>
      <c r="C1250" s="60"/>
      <c r="D1250" s="60"/>
      <c r="E1250" s="60"/>
      <c r="F1250" s="60"/>
      <c r="G1250" s="60"/>
      <c r="H1250" s="60"/>
      <c r="I1250" s="60"/>
    </row>
    <row r="1251" spans="1:9" x14ac:dyDescent="0.2">
      <c r="A1251" s="61"/>
      <c r="B1251" s="60"/>
      <c r="C1251" s="60"/>
      <c r="D1251" s="60"/>
      <c r="E1251" s="60"/>
      <c r="F1251" s="60"/>
      <c r="G1251" s="60"/>
      <c r="H1251" s="60"/>
      <c r="I1251" s="60"/>
    </row>
    <row r="1252" spans="1:9" x14ac:dyDescent="0.2">
      <c r="A1252" s="60"/>
      <c r="B1252" s="60"/>
      <c r="C1252" s="60"/>
      <c r="D1252" s="60"/>
      <c r="E1252" s="60"/>
      <c r="F1252" s="60"/>
      <c r="G1252" s="60"/>
      <c r="H1252" s="60"/>
      <c r="I1252" s="60"/>
    </row>
    <row r="1253" spans="1:9" x14ac:dyDescent="0.2">
      <c r="A1253" s="61"/>
      <c r="B1253" s="60"/>
      <c r="C1253" s="60"/>
      <c r="D1253" s="60"/>
      <c r="E1253" s="60"/>
      <c r="F1253" s="60"/>
      <c r="G1253" s="60"/>
      <c r="H1253" s="60"/>
      <c r="I1253" s="60"/>
    </row>
    <row r="1254" spans="1:9" x14ac:dyDescent="0.2">
      <c r="A1254" s="60"/>
      <c r="B1254" s="60"/>
      <c r="C1254" s="60"/>
      <c r="D1254" s="60"/>
      <c r="E1254" s="60"/>
      <c r="F1254" s="60"/>
      <c r="G1254" s="60"/>
      <c r="H1254" s="60"/>
      <c r="I1254" s="60"/>
    </row>
    <row r="1255" spans="1:9" x14ac:dyDescent="0.2">
      <c r="A1255" s="61"/>
      <c r="B1255" s="60"/>
      <c r="C1255" s="60"/>
      <c r="D1255" s="60"/>
      <c r="E1255" s="60"/>
      <c r="F1255" s="60"/>
      <c r="G1255" s="60"/>
      <c r="H1255" s="60"/>
      <c r="I1255" s="60"/>
    </row>
    <row r="1256" spans="1:9" x14ac:dyDescent="0.2">
      <c r="A1256" s="60"/>
      <c r="B1256" s="60"/>
      <c r="C1256" s="60"/>
      <c r="D1256" s="60"/>
      <c r="E1256" s="60"/>
      <c r="F1256" s="60"/>
      <c r="G1256" s="60"/>
      <c r="H1256" s="60"/>
      <c r="I1256" s="60"/>
    </row>
    <row r="1257" spans="1:9" x14ac:dyDescent="0.2">
      <c r="A1257" s="61"/>
      <c r="B1257" s="60"/>
      <c r="C1257" s="60"/>
      <c r="D1257" s="60"/>
      <c r="E1257" s="60"/>
      <c r="F1257" s="60"/>
      <c r="G1257" s="60"/>
      <c r="H1257" s="60"/>
      <c r="I1257" s="60"/>
    </row>
    <row r="1258" spans="1:9" x14ac:dyDescent="0.2">
      <c r="A1258" s="60"/>
      <c r="B1258" s="60"/>
      <c r="C1258" s="60"/>
      <c r="D1258" s="60"/>
      <c r="E1258" s="60"/>
      <c r="F1258" s="60"/>
      <c r="G1258" s="60"/>
      <c r="H1258" s="60"/>
      <c r="I1258" s="60"/>
    </row>
    <row r="1259" spans="1:9" x14ac:dyDescent="0.2">
      <c r="A1259" s="61"/>
      <c r="B1259" s="60"/>
      <c r="C1259" s="60"/>
      <c r="D1259" s="60"/>
      <c r="E1259" s="60"/>
      <c r="F1259" s="60"/>
      <c r="G1259" s="60"/>
      <c r="H1259" s="60"/>
      <c r="I1259" s="60"/>
    </row>
    <row r="1260" spans="1:9" x14ac:dyDescent="0.2">
      <c r="A1260" s="60"/>
      <c r="B1260" s="60"/>
      <c r="C1260" s="60"/>
      <c r="D1260" s="60"/>
      <c r="E1260" s="60"/>
      <c r="F1260" s="60"/>
      <c r="G1260" s="60"/>
      <c r="H1260" s="60"/>
      <c r="I1260" s="60"/>
    </row>
    <row r="1261" spans="1:9" x14ac:dyDescent="0.2">
      <c r="A1261" s="61"/>
      <c r="B1261" s="60"/>
      <c r="C1261" s="60"/>
      <c r="D1261" s="60"/>
      <c r="E1261" s="60"/>
      <c r="F1261" s="60"/>
      <c r="G1261" s="60"/>
      <c r="H1261" s="60"/>
      <c r="I1261" s="60"/>
    </row>
    <row r="1262" spans="1:9" x14ac:dyDescent="0.2">
      <c r="A1262" s="60"/>
      <c r="B1262" s="60"/>
      <c r="C1262" s="60"/>
      <c r="D1262" s="60"/>
      <c r="E1262" s="60"/>
      <c r="F1262" s="60"/>
      <c r="G1262" s="60"/>
      <c r="H1262" s="60"/>
      <c r="I1262" s="60"/>
    </row>
    <row r="1263" spans="1:9" x14ac:dyDescent="0.2">
      <c r="A1263" s="61"/>
      <c r="B1263" s="60"/>
      <c r="C1263" s="60"/>
      <c r="D1263" s="60"/>
      <c r="E1263" s="60"/>
      <c r="F1263" s="60"/>
      <c r="G1263" s="60"/>
      <c r="H1263" s="60"/>
      <c r="I1263" s="60"/>
    </row>
    <row r="1264" spans="1:9" x14ac:dyDescent="0.2">
      <c r="A1264" s="60"/>
      <c r="B1264" s="60"/>
      <c r="C1264" s="60"/>
      <c r="D1264" s="60"/>
      <c r="E1264" s="60"/>
      <c r="F1264" s="60"/>
      <c r="G1264" s="60"/>
      <c r="H1264" s="60"/>
      <c r="I1264" s="60"/>
    </row>
    <row r="1265" spans="1:9" x14ac:dyDescent="0.2">
      <c r="A1265" s="61"/>
      <c r="B1265" s="60"/>
      <c r="C1265" s="60"/>
      <c r="D1265" s="60"/>
      <c r="E1265" s="60"/>
      <c r="F1265" s="60"/>
      <c r="G1265" s="60"/>
      <c r="H1265" s="60"/>
      <c r="I1265" s="60"/>
    </row>
    <row r="1266" spans="1:9" x14ac:dyDescent="0.2">
      <c r="A1266" s="60"/>
      <c r="B1266" s="60"/>
      <c r="C1266" s="60"/>
      <c r="D1266" s="60"/>
      <c r="E1266" s="60"/>
      <c r="F1266" s="60"/>
      <c r="G1266" s="60"/>
      <c r="H1266" s="60"/>
      <c r="I1266" s="60"/>
    </row>
    <row r="1267" spans="1:9" x14ac:dyDescent="0.2">
      <c r="A1267" s="61"/>
      <c r="B1267" s="60"/>
      <c r="C1267" s="60"/>
      <c r="D1267" s="60"/>
      <c r="E1267" s="60"/>
      <c r="F1267" s="60"/>
      <c r="G1267" s="60"/>
      <c r="H1267" s="60"/>
      <c r="I1267" s="60"/>
    </row>
    <row r="1268" spans="1:9" x14ac:dyDescent="0.2">
      <c r="A1268" s="60"/>
      <c r="B1268" s="60"/>
      <c r="C1268" s="60"/>
      <c r="D1268" s="60"/>
      <c r="E1268" s="60"/>
      <c r="F1268" s="60"/>
      <c r="G1268" s="60"/>
      <c r="H1268" s="60"/>
      <c r="I1268" s="60"/>
    </row>
    <row r="1269" spans="1:9" x14ac:dyDescent="0.2">
      <c r="A1269" s="61"/>
      <c r="B1269" s="60"/>
      <c r="C1269" s="60"/>
      <c r="D1269" s="60"/>
      <c r="E1269" s="60"/>
      <c r="F1269" s="60"/>
      <c r="G1269" s="60"/>
      <c r="H1269" s="60"/>
      <c r="I1269" s="60"/>
    </row>
    <row r="1270" spans="1:9" x14ac:dyDescent="0.2">
      <c r="A1270" s="60"/>
      <c r="B1270" s="60"/>
      <c r="C1270" s="60"/>
      <c r="D1270" s="60"/>
      <c r="E1270" s="60"/>
      <c r="F1270" s="60"/>
      <c r="G1270" s="60"/>
      <c r="H1270" s="60"/>
      <c r="I1270" s="60"/>
    </row>
    <row r="1271" spans="1:9" x14ac:dyDescent="0.2">
      <c r="A1271" s="61"/>
      <c r="B1271" s="60"/>
      <c r="C1271" s="60"/>
      <c r="D1271" s="60"/>
      <c r="E1271" s="60"/>
      <c r="F1271" s="60"/>
      <c r="G1271" s="60"/>
      <c r="H1271" s="60"/>
      <c r="I1271" s="60"/>
    </row>
    <row r="1272" spans="1:9" x14ac:dyDescent="0.2">
      <c r="A1272" s="60"/>
      <c r="B1272" s="60"/>
      <c r="C1272" s="60"/>
      <c r="D1272" s="60"/>
      <c r="E1272" s="60"/>
      <c r="F1272" s="60"/>
      <c r="G1272" s="60"/>
      <c r="H1272" s="60"/>
      <c r="I1272" s="60"/>
    </row>
    <row r="1273" spans="1:9" x14ac:dyDescent="0.2">
      <c r="A1273" s="61"/>
      <c r="B1273" s="60"/>
      <c r="C1273" s="60"/>
      <c r="D1273" s="60"/>
      <c r="E1273" s="60"/>
      <c r="F1273" s="60"/>
      <c r="G1273" s="60"/>
      <c r="H1273" s="60"/>
      <c r="I1273" s="60"/>
    </row>
    <row r="1274" spans="1:9" x14ac:dyDescent="0.2">
      <c r="A1274" s="60"/>
      <c r="B1274" s="60"/>
      <c r="C1274" s="60"/>
      <c r="D1274" s="60"/>
      <c r="E1274" s="60"/>
      <c r="F1274" s="60"/>
      <c r="G1274" s="60"/>
      <c r="H1274" s="60"/>
      <c r="I1274" s="60"/>
    </row>
    <row r="1275" spans="1:9" x14ac:dyDescent="0.2">
      <c r="A1275" s="61"/>
      <c r="B1275" s="60"/>
      <c r="C1275" s="60"/>
      <c r="D1275" s="60"/>
      <c r="E1275" s="60"/>
      <c r="F1275" s="60"/>
      <c r="G1275" s="60"/>
      <c r="H1275" s="60"/>
      <c r="I1275" s="60"/>
    </row>
    <row r="1276" spans="1:9" x14ac:dyDescent="0.2">
      <c r="A1276" s="60"/>
      <c r="B1276" s="60"/>
      <c r="C1276" s="60"/>
      <c r="D1276" s="60"/>
      <c r="E1276" s="60"/>
      <c r="F1276" s="60"/>
      <c r="G1276" s="60"/>
      <c r="H1276" s="60"/>
      <c r="I1276" s="60"/>
    </row>
    <row r="1277" spans="1:9" x14ac:dyDescent="0.2">
      <c r="A1277" s="61"/>
      <c r="B1277" s="60"/>
      <c r="C1277" s="60"/>
      <c r="D1277" s="60"/>
      <c r="E1277" s="60"/>
      <c r="F1277" s="60"/>
      <c r="G1277" s="60"/>
      <c r="H1277" s="60"/>
      <c r="I1277" s="60"/>
    </row>
    <row r="1278" spans="1:9" x14ac:dyDescent="0.2">
      <c r="A1278" s="60"/>
      <c r="B1278" s="60"/>
      <c r="C1278" s="60"/>
      <c r="D1278" s="60"/>
      <c r="E1278" s="60"/>
      <c r="F1278" s="60"/>
      <c r="G1278" s="60"/>
      <c r="H1278" s="60"/>
      <c r="I1278" s="60"/>
    </row>
    <row r="1279" spans="1:9" x14ac:dyDescent="0.2">
      <c r="A1279" s="61"/>
      <c r="B1279" s="60"/>
      <c r="C1279" s="60"/>
      <c r="D1279" s="60"/>
      <c r="E1279" s="60"/>
      <c r="F1279" s="60"/>
      <c r="G1279" s="60"/>
      <c r="H1279" s="60"/>
      <c r="I1279" s="60"/>
    </row>
    <row r="1280" spans="1:9" x14ac:dyDescent="0.2">
      <c r="A1280" s="60"/>
      <c r="B1280" s="60"/>
      <c r="C1280" s="60"/>
      <c r="D1280" s="60"/>
      <c r="E1280" s="60"/>
      <c r="F1280" s="60"/>
      <c r="G1280" s="60"/>
      <c r="H1280" s="60"/>
      <c r="I1280" s="60"/>
    </row>
    <row r="1281" spans="1:9" x14ac:dyDescent="0.2">
      <c r="A1281" s="61"/>
      <c r="B1281" s="60"/>
      <c r="C1281" s="60"/>
      <c r="D1281" s="60"/>
      <c r="E1281" s="60"/>
      <c r="F1281" s="60"/>
      <c r="G1281" s="60"/>
      <c r="H1281" s="60"/>
      <c r="I1281" s="60"/>
    </row>
    <row r="1282" spans="1:9" x14ac:dyDescent="0.2">
      <c r="A1282" s="60"/>
      <c r="B1282" s="60"/>
      <c r="C1282" s="60"/>
      <c r="D1282" s="60"/>
      <c r="E1282" s="60"/>
      <c r="F1282" s="60"/>
      <c r="G1282" s="60"/>
      <c r="H1282" s="60"/>
      <c r="I1282" s="60"/>
    </row>
    <row r="1283" spans="1:9" x14ac:dyDescent="0.2">
      <c r="A1283" s="61"/>
      <c r="B1283" s="60"/>
      <c r="C1283" s="60"/>
      <c r="D1283" s="60"/>
      <c r="E1283" s="60"/>
      <c r="F1283" s="60"/>
      <c r="G1283" s="60"/>
      <c r="H1283" s="60"/>
      <c r="I1283" s="60"/>
    </row>
    <row r="1284" spans="1:9" x14ac:dyDescent="0.2">
      <c r="A1284" s="60"/>
      <c r="B1284" s="60"/>
      <c r="C1284" s="60"/>
      <c r="D1284" s="60"/>
      <c r="E1284" s="60"/>
      <c r="F1284" s="60"/>
      <c r="G1284" s="60"/>
      <c r="H1284" s="60"/>
      <c r="I1284" s="60"/>
    </row>
    <row r="1285" spans="1:9" x14ac:dyDescent="0.2">
      <c r="A1285" s="61"/>
      <c r="B1285" s="60"/>
      <c r="C1285" s="60"/>
      <c r="D1285" s="60"/>
      <c r="E1285" s="60"/>
      <c r="F1285" s="60"/>
      <c r="G1285" s="60"/>
      <c r="H1285" s="60"/>
      <c r="I1285" s="60"/>
    </row>
    <row r="1286" spans="1:9" x14ac:dyDescent="0.2">
      <c r="A1286" s="60"/>
      <c r="B1286" s="60"/>
      <c r="C1286" s="60"/>
      <c r="D1286" s="60"/>
      <c r="E1286" s="60"/>
      <c r="F1286" s="60"/>
      <c r="G1286" s="60"/>
      <c r="H1286" s="60"/>
      <c r="I1286" s="60"/>
    </row>
    <row r="1287" spans="1:9" x14ac:dyDescent="0.2">
      <c r="A1287" s="61"/>
      <c r="B1287" s="60"/>
      <c r="C1287" s="60"/>
      <c r="D1287" s="60"/>
      <c r="E1287" s="60"/>
      <c r="F1287" s="60"/>
      <c r="G1287" s="60"/>
      <c r="H1287" s="60"/>
      <c r="I1287" s="60"/>
    </row>
    <row r="1288" spans="1:9" x14ac:dyDescent="0.2">
      <c r="A1288" s="60"/>
      <c r="B1288" s="60"/>
      <c r="C1288" s="60"/>
      <c r="D1288" s="60"/>
      <c r="E1288" s="60"/>
      <c r="F1288" s="60"/>
      <c r="G1288" s="60"/>
      <c r="H1288" s="60"/>
      <c r="I1288" s="60"/>
    </row>
    <row r="1289" spans="1:9" x14ac:dyDescent="0.2">
      <c r="A1289" s="61"/>
      <c r="B1289" s="60"/>
      <c r="C1289" s="60"/>
      <c r="D1289" s="60"/>
      <c r="E1289" s="60"/>
      <c r="F1289" s="60"/>
      <c r="G1289" s="60"/>
      <c r="H1289" s="60"/>
      <c r="I1289" s="60"/>
    </row>
    <row r="1290" spans="1:9" x14ac:dyDescent="0.2">
      <c r="A1290" s="60"/>
      <c r="B1290" s="60"/>
      <c r="C1290" s="60"/>
      <c r="D1290" s="60"/>
      <c r="E1290" s="60"/>
      <c r="F1290" s="60"/>
      <c r="G1290" s="60"/>
      <c r="H1290" s="60"/>
      <c r="I1290" s="60"/>
    </row>
    <row r="1291" spans="1:9" x14ac:dyDescent="0.2">
      <c r="A1291" s="61"/>
      <c r="B1291" s="60"/>
      <c r="C1291" s="60"/>
      <c r="D1291" s="60"/>
      <c r="E1291" s="60"/>
      <c r="F1291" s="60"/>
      <c r="G1291" s="60"/>
      <c r="H1291" s="60"/>
      <c r="I1291" s="60"/>
    </row>
    <row r="1292" spans="1:9" x14ac:dyDescent="0.2">
      <c r="A1292" s="60"/>
      <c r="B1292" s="60"/>
      <c r="C1292" s="60"/>
      <c r="D1292" s="60"/>
      <c r="E1292" s="60"/>
      <c r="F1292" s="60"/>
      <c r="G1292" s="60"/>
      <c r="H1292" s="60"/>
      <c r="I1292" s="60"/>
    </row>
    <row r="1293" spans="1:9" x14ac:dyDescent="0.2">
      <c r="A1293" s="61"/>
      <c r="B1293" s="60"/>
      <c r="C1293" s="60"/>
      <c r="D1293" s="60"/>
      <c r="E1293" s="60"/>
      <c r="F1293" s="60"/>
      <c r="G1293" s="60"/>
      <c r="H1293" s="60"/>
      <c r="I1293" s="60"/>
    </row>
    <row r="1294" spans="1:9" x14ac:dyDescent="0.2">
      <c r="A1294" s="60"/>
      <c r="B1294" s="60"/>
      <c r="C1294" s="60"/>
      <c r="D1294" s="60"/>
      <c r="E1294" s="60"/>
      <c r="F1294" s="60"/>
      <c r="G1294" s="60"/>
      <c r="H1294" s="60"/>
      <c r="I1294" s="60"/>
    </row>
    <row r="1295" spans="1:9" x14ac:dyDescent="0.2">
      <c r="A1295" s="61"/>
      <c r="B1295" s="60"/>
      <c r="C1295" s="60"/>
      <c r="D1295" s="60"/>
      <c r="E1295" s="60"/>
      <c r="F1295" s="60"/>
      <c r="G1295" s="60"/>
      <c r="H1295" s="60"/>
      <c r="I1295" s="60"/>
    </row>
    <row r="1296" spans="1:9" x14ac:dyDescent="0.2">
      <c r="A1296" s="60"/>
      <c r="B1296" s="60"/>
      <c r="C1296" s="60"/>
      <c r="D1296" s="60"/>
      <c r="E1296" s="60"/>
      <c r="F1296" s="60"/>
      <c r="G1296" s="60"/>
      <c r="H1296" s="60"/>
      <c r="I1296" s="60"/>
    </row>
    <row r="1297" spans="1:9" x14ac:dyDescent="0.2">
      <c r="A1297" s="61"/>
      <c r="B1297" s="60"/>
      <c r="C1297" s="60"/>
      <c r="D1297" s="60"/>
      <c r="E1297" s="60"/>
      <c r="F1297" s="60"/>
      <c r="G1297" s="60"/>
      <c r="H1297" s="60"/>
      <c r="I1297" s="60"/>
    </row>
  </sheetData>
  <phoneticPr fontId="10" type="noConversion"/>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EA65D-573D-4CA0-9ED0-4D2292AD5602}">
  <sheetPr codeName="Tabelle9">
    <outlinePr summaryBelow="0" summaryRight="0"/>
  </sheetPr>
  <dimension ref="A2:Q430"/>
  <sheetViews>
    <sheetView zoomScale="91" zoomScaleNormal="91" workbookViewId="0">
      <selection activeCell="R7" sqref="R7"/>
    </sheetView>
  </sheetViews>
  <sheetFormatPr baseColWidth="10" defaultColWidth="11.42578125" defaultRowHeight="15" customHeight="1" x14ac:dyDescent="0.2"/>
  <cols>
    <col min="1" max="1" width="10.28515625" style="55" customWidth="1"/>
    <col min="2" max="2" width="19" style="55" customWidth="1"/>
    <col min="3" max="3" width="21.7109375" style="55" customWidth="1"/>
    <col min="4" max="4" width="14.7109375" style="55" customWidth="1"/>
    <col min="5" max="5" width="9.28515625" style="55" customWidth="1"/>
    <col min="6" max="6" width="18.28515625" style="55" customWidth="1"/>
    <col min="7" max="7" width="18" style="55" customWidth="1"/>
    <col min="8" max="8" width="21.28515625" style="55" customWidth="1"/>
    <col min="9" max="10" width="19.28515625" style="55" customWidth="1"/>
    <col min="11" max="11" width="15.7109375" style="55" customWidth="1"/>
    <col min="12" max="12" width="15.140625" style="55" bestFit="1" customWidth="1"/>
    <col min="13" max="14" width="11.42578125" style="55"/>
    <col min="15" max="15" width="13.7109375" style="55" bestFit="1" customWidth="1"/>
    <col min="16" max="16" width="11.42578125" style="55"/>
    <col min="17" max="17" width="20.42578125" style="66" customWidth="1"/>
    <col min="18" max="16383" width="11.42578125" style="55"/>
    <col min="16384" max="16384" width="11.42578125" style="55" bestFit="1"/>
  </cols>
  <sheetData>
    <row r="2" spans="1:17" ht="15" customHeight="1" x14ac:dyDescent="0.2">
      <c r="A2" s="54">
        <f>COUNTA(A4:A1048576)</f>
        <v>427</v>
      </c>
      <c r="L2" s="55">
        <f ca="1">SUM(K4:K1048576)</f>
        <v>113</v>
      </c>
    </row>
    <row r="3" spans="1:17" ht="15" customHeight="1" x14ac:dyDescent="0.2">
      <c r="A3" s="62" t="s">
        <v>669</v>
      </c>
      <c r="B3" s="62" t="s">
        <v>670</v>
      </c>
      <c r="C3" s="62" t="s">
        <v>671</v>
      </c>
      <c r="D3" s="62" t="s">
        <v>673</v>
      </c>
      <c r="E3" s="62" t="s">
        <v>674</v>
      </c>
      <c r="F3" s="62" t="s">
        <v>675</v>
      </c>
      <c r="G3" s="62" t="s">
        <v>676</v>
      </c>
      <c r="H3" s="62" t="s">
        <v>677</v>
      </c>
      <c r="I3" s="62" t="s">
        <v>678</v>
      </c>
      <c r="J3" s="62" t="s">
        <v>679</v>
      </c>
      <c r="K3" s="62" t="s">
        <v>680</v>
      </c>
      <c r="L3" s="62" t="s">
        <v>681</v>
      </c>
      <c r="M3" s="62" t="s">
        <v>682</v>
      </c>
      <c r="N3" s="62" t="s">
        <v>683</v>
      </c>
      <c r="O3" s="62" t="s">
        <v>684</v>
      </c>
      <c r="P3" s="62" t="s">
        <v>685</v>
      </c>
      <c r="Q3" s="63" t="s">
        <v>672</v>
      </c>
    </row>
    <row r="4" spans="1:17" ht="15" customHeight="1" x14ac:dyDescent="0.2">
      <c r="A4" s="63" t="s">
        <v>686</v>
      </c>
      <c r="B4" s="63" t="s">
        <v>423</v>
      </c>
      <c r="C4" s="63" t="s">
        <v>437</v>
      </c>
      <c r="D4" s="63" t="s">
        <v>687</v>
      </c>
      <c r="E4" s="63" t="s">
        <v>688</v>
      </c>
      <c r="F4" s="63" t="s">
        <v>689</v>
      </c>
      <c r="G4" s="63" t="s">
        <v>690</v>
      </c>
      <c r="H4" s="63" t="s">
        <v>691</v>
      </c>
      <c r="I4" s="63" t="s">
        <v>692</v>
      </c>
      <c r="J4" s="63" t="s">
        <v>693</v>
      </c>
      <c r="K4" s="55">
        <f t="shared" ref="K4:K67" ca="1" si="0">1-COUNTIFS(OFFSET($C$4,0,0,$A$2,1),B4)</f>
        <v>1</v>
      </c>
      <c r="L4" s="56" t="str">
        <f ca="1">IF(K4&gt;0,"Composition "&amp;SUM(K$4:K4),"")</f>
        <v>Composition 1</v>
      </c>
      <c r="M4" s="55" cm="1">
        <f t="array" aca="1" ref="M4" ca="1">IF(K4=1,_xlfn.XLOOKUP(B4,OFFSET(IN_Zugliste!$A$4,0,0,IN_Zugliste!$A$2,1),OFFSET(IN_Zugliste!$K$4,0,0,IN_Zugliste!$A$2,1),0),0)+_xlfn.XLOOKUP(C4,OFFSET(IN_Zugliste!$A$4,0,0,IN_Zugliste!$A$2,1),OFFSET(IN_Zugliste!$K$4,0,0,IN_Zugliste!$A$2,1),0)</f>
        <v>76287</v>
      </c>
      <c r="N4" s="55" t="str" cm="1">
        <f t="array" aca="1" ref="N4" ca="1">IF(K4=1,_xlfn.XLOOKUP(B4,OFFSET(IN_Zugliste!$A$4,0,0,IN_Zugliste!$A$2,1),OFFSET(IN_Zugliste!$D$4,0,0,IN_Zugliste!$A$2,1),""),"")</f>
        <v>101-3.0</v>
      </c>
      <c r="O4" s="55" t="str" cm="1">
        <f t="array" aca="1" ref="O4" ca="1">IF(L4&lt;&gt;"",L4,_xlfn.XLOOKUP(B4,OFFSET($C$4,0,0,$A$2,1),OFFSET($O$4,0,0,$A$2,1)))</f>
        <v>Composition 1</v>
      </c>
      <c r="P4" s="55" cm="1">
        <f t="array" aca="1" ref="P4" ca="1">MATCH(J4, _xlfn._xlws.FILTER($J$4:$J$430,$O$4:$O$430=O4), 0)+1</f>
        <v>2</v>
      </c>
      <c r="Q4" s="63" t="str">
        <f>_xlfn.XLOOKUP(B4, IN_Zugliste!A:A, IN_Zugliste!M:M, "")</f>
        <v>04:45:49</v>
      </c>
    </row>
    <row r="5" spans="1:17" ht="15" customHeight="1" x14ac:dyDescent="0.2">
      <c r="A5" s="63" t="s">
        <v>686</v>
      </c>
      <c r="B5" s="63" t="s">
        <v>437</v>
      </c>
      <c r="C5" s="63" t="s">
        <v>427</v>
      </c>
      <c r="D5" s="63" t="s">
        <v>694</v>
      </c>
      <c r="E5" s="63" t="s">
        <v>688</v>
      </c>
      <c r="F5" s="63" t="s">
        <v>695</v>
      </c>
      <c r="G5" s="63" t="s">
        <v>696</v>
      </c>
      <c r="H5" s="63" t="s">
        <v>691</v>
      </c>
      <c r="I5" s="63" t="s">
        <v>696</v>
      </c>
      <c r="J5" s="63" t="s">
        <v>697</v>
      </c>
      <c r="K5" s="55">
        <f t="shared" ca="1" si="0"/>
        <v>0</v>
      </c>
      <c r="L5" s="56" t="str">
        <f ca="1">IF(K5&gt;0,"Composition "&amp;SUM(K$4:K5),"")</f>
        <v/>
      </c>
      <c r="M5" s="55" cm="1">
        <f t="array" aca="1" ref="M5" ca="1">IF(K5=1,_xlfn.XLOOKUP(B5,OFFSET(IN_Zugliste!$A$4,0,0,IN_Zugliste!$A$2,1),OFFSET(IN_Zugliste!$K$4,0,0,IN_Zugliste!$A$2,1),0),0)+_xlfn.XLOOKUP(C5,OFFSET(IN_Zugliste!$A$4,0,0,IN_Zugliste!$A$2,1),OFFSET(IN_Zugliste!$K$4,0,0,IN_Zugliste!$A$2,1),0)</f>
        <v>38217</v>
      </c>
      <c r="N5" s="55" t="str" cm="1">
        <f t="array" aca="1" ref="N5" ca="1">IF(K5=1,_xlfn.XLOOKUP(B5,OFFSET(IN_Zugliste!$A$4,0,0,IN_Zugliste!$A$2,1),OFFSET(IN_Zugliste!$D$4,0,0,IN_Zugliste!$A$2,1),""),"")</f>
        <v/>
      </c>
      <c r="O5" s="55" t="str" cm="1">
        <f t="array" aca="1" ref="O5" ca="1">IF(L5&lt;&gt;"",L5,_xlfn.XLOOKUP(B5,OFFSET($C$4,0,0,$A$2,1),OFFSET($O$4,0,0,$A$2,1)))</f>
        <v>Composition 1</v>
      </c>
      <c r="P5" s="55" cm="1">
        <f t="array" aca="1" ref="P5" ca="1">MATCH(J5, _xlfn._xlws.FILTER($J$4:$J$430,$O$4:$O$430=O5), 0)+1</f>
        <v>3</v>
      </c>
      <c r="Q5" s="63" t="str">
        <f>_xlfn.XLOOKUP(B5, IN_Zugliste!A:A, IN_Zugliste!M:M, "")</f>
        <v>05:45:42</v>
      </c>
    </row>
    <row r="6" spans="1:17" ht="15" customHeight="1" x14ac:dyDescent="0.2">
      <c r="A6" s="63" t="s">
        <v>686</v>
      </c>
      <c r="B6" s="63" t="s">
        <v>427</v>
      </c>
      <c r="C6" s="63" t="s">
        <v>439</v>
      </c>
      <c r="D6" s="63" t="s">
        <v>687</v>
      </c>
      <c r="E6" s="63" t="s">
        <v>688</v>
      </c>
      <c r="F6" s="63" t="s">
        <v>698</v>
      </c>
      <c r="G6" s="63" t="s">
        <v>699</v>
      </c>
      <c r="H6" s="63" t="s">
        <v>691</v>
      </c>
      <c r="I6" s="63" t="s">
        <v>700</v>
      </c>
      <c r="J6" s="63" t="s">
        <v>701</v>
      </c>
      <c r="K6" s="55">
        <f t="shared" ca="1" si="0"/>
        <v>0</v>
      </c>
      <c r="L6" s="56" t="str">
        <f ca="1">IF(K6&gt;0,"Composition "&amp;SUM(K$4:K6),"")</f>
        <v/>
      </c>
      <c r="M6" s="55" cm="1">
        <f t="array" aca="1" ref="M6" ca="1">IF(K6=1,_xlfn.XLOOKUP(B6,OFFSET(IN_Zugliste!$A$4,0,0,IN_Zugliste!$A$2,1),OFFSET(IN_Zugliste!$K$4,0,0,IN_Zugliste!$A$2,1),0),0)+_xlfn.XLOOKUP(C6,OFFSET(IN_Zugliste!$A$4,0,0,IN_Zugliste!$A$2,1),OFFSET(IN_Zugliste!$K$4,0,0,IN_Zugliste!$A$2,1),0)</f>
        <v>38070</v>
      </c>
      <c r="N6" s="55" t="str" cm="1">
        <f t="array" aca="1" ref="N6" ca="1">IF(K6=1,_xlfn.XLOOKUP(B6,OFFSET(IN_Zugliste!$A$4,0,0,IN_Zugliste!$A$2,1),OFFSET(IN_Zugliste!$D$4,0,0,IN_Zugliste!$A$2,1),""),"")</f>
        <v/>
      </c>
      <c r="O6" s="55" t="str" cm="1">
        <f t="array" aca="1" ref="O6" ca="1">IF(L6&lt;&gt;"",L6,_xlfn.XLOOKUP(B6,OFFSET($C$4,0,0,$A$2,1),OFFSET($O$4,0,0,$A$2,1)))</f>
        <v>Composition 1</v>
      </c>
      <c r="P6" s="55" cm="1">
        <f t="array" aca="1" ref="P6" ca="1">MATCH(J6, _xlfn._xlws.FILTER($J$4:$J$430,$O$4:$O$430=O6), 0)+1</f>
        <v>4</v>
      </c>
      <c r="Q6" s="63" t="str">
        <f>_xlfn.XLOOKUP(B6, IN_Zugliste!A:A, IN_Zugliste!M:M, "")</f>
        <v>06:45:49</v>
      </c>
    </row>
    <row r="7" spans="1:17" ht="15" customHeight="1" x14ac:dyDescent="0.2">
      <c r="A7" s="63" t="s">
        <v>686</v>
      </c>
      <c r="B7" s="63" t="s">
        <v>439</v>
      </c>
      <c r="C7" s="63" t="s">
        <v>429</v>
      </c>
      <c r="D7" s="63" t="s">
        <v>694</v>
      </c>
      <c r="E7" s="63" t="s">
        <v>688</v>
      </c>
      <c r="F7" s="63" t="s">
        <v>702</v>
      </c>
      <c r="G7" s="63" t="s">
        <v>703</v>
      </c>
      <c r="H7" s="63" t="s">
        <v>691</v>
      </c>
      <c r="I7" s="63" t="s">
        <v>703</v>
      </c>
      <c r="J7" s="63" t="s">
        <v>704</v>
      </c>
      <c r="K7" s="55">
        <f t="shared" ca="1" si="0"/>
        <v>0</v>
      </c>
      <c r="L7" s="56" t="str">
        <f ca="1">IF(K7&gt;0,"Composition "&amp;SUM(K$4:K7),"")</f>
        <v/>
      </c>
      <c r="M7" s="55" cm="1">
        <f t="array" aca="1" ref="M7" ca="1">IF(K7=1,_xlfn.XLOOKUP(B7,OFFSET(IN_Zugliste!$A$4,0,0,IN_Zugliste!$A$2,1),OFFSET(IN_Zugliste!$K$4,0,0,IN_Zugliste!$A$2,1),0),0)+_xlfn.XLOOKUP(C7,OFFSET(IN_Zugliste!$A$4,0,0,IN_Zugliste!$A$2,1),OFFSET(IN_Zugliste!$K$4,0,0,IN_Zugliste!$A$2,1),0)</f>
        <v>38217</v>
      </c>
      <c r="N7" s="55" t="str" cm="1">
        <f t="array" aca="1" ref="N7" ca="1">IF(K7=1,_xlfn.XLOOKUP(B7,OFFSET(IN_Zugliste!$A$4,0,0,IN_Zugliste!$A$2,1),OFFSET(IN_Zugliste!$D$4,0,0,IN_Zugliste!$A$2,1),""),"")</f>
        <v/>
      </c>
      <c r="O7" s="55" t="str" cm="1">
        <f t="array" aca="1" ref="O7" ca="1">IF(L7&lt;&gt;"",L7,_xlfn.XLOOKUP(B7,OFFSET($C$4,0,0,$A$2,1),OFFSET($O$4,0,0,$A$2,1)))</f>
        <v>Composition 1</v>
      </c>
      <c r="P7" s="55" cm="1">
        <f t="array" aca="1" ref="P7" ca="1">MATCH(J7, _xlfn._xlws.FILTER($J$4:$J$430,$O$4:$O$430=O7), 0)+1</f>
        <v>5</v>
      </c>
      <c r="Q7" s="63" t="str">
        <f>_xlfn.XLOOKUP(B7, IN_Zugliste!A:A, IN_Zugliste!M:M, "")</f>
        <v>07:45:42</v>
      </c>
    </row>
    <row r="8" spans="1:17" ht="15" customHeight="1" x14ac:dyDescent="0.2">
      <c r="A8" s="63" t="s">
        <v>686</v>
      </c>
      <c r="B8" s="63" t="s">
        <v>429</v>
      </c>
      <c r="C8" s="63" t="s">
        <v>441</v>
      </c>
      <c r="D8" s="63" t="s">
        <v>687</v>
      </c>
      <c r="E8" s="63" t="s">
        <v>688</v>
      </c>
      <c r="F8" s="63" t="s">
        <v>705</v>
      </c>
      <c r="G8" s="63" t="s">
        <v>706</v>
      </c>
      <c r="H8" s="63" t="s">
        <v>691</v>
      </c>
      <c r="I8" s="63" t="s">
        <v>707</v>
      </c>
      <c r="J8" s="63" t="s">
        <v>708</v>
      </c>
      <c r="K8" s="55">
        <f t="shared" ca="1" si="0"/>
        <v>0</v>
      </c>
      <c r="L8" s="56" t="str">
        <f ca="1">IF(K8&gt;0,"Composition "&amp;SUM(K$4:K8),"")</f>
        <v/>
      </c>
      <c r="M8" s="55" cm="1">
        <f t="array" aca="1" ref="M8" ca="1">IF(K8=1,_xlfn.XLOOKUP(B8,OFFSET(IN_Zugliste!$A$4,0,0,IN_Zugliste!$A$2,1),OFFSET(IN_Zugliste!$K$4,0,0,IN_Zugliste!$A$2,1),0),0)+_xlfn.XLOOKUP(C8,OFFSET(IN_Zugliste!$A$4,0,0,IN_Zugliste!$A$2,1),OFFSET(IN_Zugliste!$K$4,0,0,IN_Zugliste!$A$2,1),0)</f>
        <v>38070</v>
      </c>
      <c r="N8" s="55" t="str" cm="1">
        <f t="array" aca="1" ref="N8" ca="1">IF(K8=1,_xlfn.XLOOKUP(B8,OFFSET(IN_Zugliste!$A$4,0,0,IN_Zugliste!$A$2,1),OFFSET(IN_Zugliste!$D$4,0,0,IN_Zugliste!$A$2,1),""),"")</f>
        <v/>
      </c>
      <c r="O8" s="55" t="str" cm="1">
        <f t="array" aca="1" ref="O8" ca="1">IF(L8&lt;&gt;"",L8,_xlfn.XLOOKUP(B8,OFFSET($C$4,0,0,$A$2,1),OFFSET($O$4,0,0,$A$2,1)))</f>
        <v>Composition 1</v>
      </c>
      <c r="P8" s="55" cm="1">
        <f t="array" aca="1" ref="P8" ca="1">MATCH(J8, _xlfn._xlws.FILTER($J$4:$J$430,$O$4:$O$430=O8), 0)+1</f>
        <v>6</v>
      </c>
      <c r="Q8" s="63" t="str">
        <f>_xlfn.XLOOKUP(B8, IN_Zugliste!A:A, IN_Zugliste!M:M, "")</f>
        <v>08:45:49</v>
      </c>
    </row>
    <row r="9" spans="1:17" ht="15" customHeight="1" x14ac:dyDescent="0.2">
      <c r="A9" s="63" t="s">
        <v>686</v>
      </c>
      <c r="B9" s="63" t="s">
        <v>441</v>
      </c>
      <c r="C9" s="63" t="s">
        <v>431</v>
      </c>
      <c r="D9" s="63" t="s">
        <v>694</v>
      </c>
      <c r="E9" s="63" t="s">
        <v>688</v>
      </c>
      <c r="F9" s="63" t="s">
        <v>709</v>
      </c>
      <c r="G9" s="63" t="s">
        <v>710</v>
      </c>
      <c r="H9" s="63" t="s">
        <v>691</v>
      </c>
      <c r="I9" s="63" t="s">
        <v>710</v>
      </c>
      <c r="J9" s="63" t="s">
        <v>711</v>
      </c>
      <c r="K9" s="55">
        <f t="shared" ca="1" si="0"/>
        <v>0</v>
      </c>
      <c r="L9" s="56" t="str">
        <f ca="1">IF(K9&gt;0,"Composition "&amp;SUM(K$4:K9),"")</f>
        <v/>
      </c>
      <c r="M9" s="55" cm="1">
        <f t="array" aca="1" ref="M9" ca="1">IF(K9=1,_xlfn.XLOOKUP(B9,OFFSET(IN_Zugliste!$A$4,0,0,IN_Zugliste!$A$2,1),OFFSET(IN_Zugliste!$K$4,0,0,IN_Zugliste!$A$2,1),0),0)+_xlfn.XLOOKUP(C9,OFFSET(IN_Zugliste!$A$4,0,0,IN_Zugliste!$A$2,1),OFFSET(IN_Zugliste!$K$4,0,0,IN_Zugliste!$A$2,1),0)</f>
        <v>38217</v>
      </c>
      <c r="N9" s="55" t="str" cm="1">
        <f t="array" aca="1" ref="N9" ca="1">IF(K9=1,_xlfn.XLOOKUP(B9,OFFSET(IN_Zugliste!$A$4,0,0,IN_Zugliste!$A$2,1),OFFSET(IN_Zugliste!$D$4,0,0,IN_Zugliste!$A$2,1),""),"")</f>
        <v/>
      </c>
      <c r="O9" s="55" t="str" cm="1">
        <f t="array" aca="1" ref="O9" ca="1">IF(L9&lt;&gt;"",L9,_xlfn.XLOOKUP(B9,OFFSET($C$4,0,0,$A$2,1),OFFSET($O$4,0,0,$A$2,1)))</f>
        <v>Composition 1</v>
      </c>
      <c r="P9" s="55" cm="1">
        <f t="array" aca="1" ref="P9" ca="1">MATCH(J9, _xlfn._xlws.FILTER($J$4:$J$430,$O$4:$O$430=O9), 0)+1</f>
        <v>7</v>
      </c>
      <c r="Q9" s="63" t="str">
        <f>_xlfn.XLOOKUP(B9, IN_Zugliste!A:A, IN_Zugliste!M:M, "")</f>
        <v>09:45:42</v>
      </c>
    </row>
    <row r="10" spans="1:17" ht="15" customHeight="1" x14ac:dyDescent="0.2">
      <c r="A10" s="63" t="s">
        <v>686</v>
      </c>
      <c r="B10" s="63" t="s">
        <v>431</v>
      </c>
      <c r="C10" s="63" t="s">
        <v>443</v>
      </c>
      <c r="D10" s="63" t="s">
        <v>687</v>
      </c>
      <c r="E10" s="63" t="s">
        <v>688</v>
      </c>
      <c r="F10" s="63" t="s">
        <v>712</v>
      </c>
      <c r="G10" s="63" t="s">
        <v>713</v>
      </c>
      <c r="H10" s="63" t="s">
        <v>691</v>
      </c>
      <c r="I10" s="63" t="s">
        <v>714</v>
      </c>
      <c r="J10" s="63" t="s">
        <v>715</v>
      </c>
      <c r="K10" s="55">
        <f t="shared" ca="1" si="0"/>
        <v>0</v>
      </c>
      <c r="L10" s="56" t="str">
        <f ca="1">IF(K10&gt;0,"Composition "&amp;SUM(K$4:K10),"")</f>
        <v/>
      </c>
      <c r="M10" s="55" cm="1">
        <f t="array" aca="1" ref="M10" ca="1">IF(K10=1,_xlfn.XLOOKUP(B10,OFFSET(IN_Zugliste!$A$4,0,0,IN_Zugliste!$A$2,1),OFFSET(IN_Zugliste!$K$4,0,0,IN_Zugliste!$A$2,1),0),0)+_xlfn.XLOOKUP(C10,OFFSET(IN_Zugliste!$A$4,0,0,IN_Zugliste!$A$2,1),OFFSET(IN_Zugliste!$K$4,0,0,IN_Zugliste!$A$2,1),0)</f>
        <v>38070</v>
      </c>
      <c r="N10" s="55" t="str" cm="1">
        <f t="array" aca="1" ref="N10" ca="1">IF(K10=1,_xlfn.XLOOKUP(B10,OFFSET(IN_Zugliste!$A$4,0,0,IN_Zugliste!$A$2,1),OFFSET(IN_Zugliste!$D$4,0,0,IN_Zugliste!$A$2,1),""),"")</f>
        <v/>
      </c>
      <c r="O10" s="55" t="str" cm="1">
        <f t="array" aca="1" ref="O10" ca="1">IF(L10&lt;&gt;"",L10,_xlfn.XLOOKUP(B10,OFFSET($C$4,0,0,$A$2,1),OFFSET($O$4,0,0,$A$2,1)))</f>
        <v>Composition 1</v>
      </c>
      <c r="P10" s="55" cm="1">
        <f t="array" aca="1" ref="P10" ca="1">MATCH(J10, _xlfn._xlws.FILTER($J$4:$J$430,$O$4:$O$430=O10), 0)+1</f>
        <v>8</v>
      </c>
      <c r="Q10" s="63" t="str">
        <f>_xlfn.XLOOKUP(B10, IN_Zugliste!A:A, IN_Zugliste!M:M, "")</f>
        <v>10:45:49</v>
      </c>
    </row>
    <row r="11" spans="1:17" ht="15" customHeight="1" x14ac:dyDescent="0.2">
      <c r="A11" s="63" t="s">
        <v>686</v>
      </c>
      <c r="B11" s="63" t="s">
        <v>443</v>
      </c>
      <c r="C11" s="63" t="s">
        <v>433</v>
      </c>
      <c r="D11" s="63" t="s">
        <v>694</v>
      </c>
      <c r="E11" s="63" t="s">
        <v>688</v>
      </c>
      <c r="F11" s="63" t="s">
        <v>716</v>
      </c>
      <c r="G11" s="63" t="s">
        <v>717</v>
      </c>
      <c r="H11" s="63" t="s">
        <v>691</v>
      </c>
      <c r="I11" s="63" t="s">
        <v>717</v>
      </c>
      <c r="J11" s="63" t="s">
        <v>718</v>
      </c>
      <c r="K11" s="55">
        <f t="shared" ca="1" si="0"/>
        <v>0</v>
      </c>
      <c r="L11" s="56" t="str">
        <f ca="1">IF(K11&gt;0,"Composition "&amp;SUM(K$4:K11),"")</f>
        <v/>
      </c>
      <c r="M11" s="55" cm="1">
        <f t="array" aca="1" ref="M11" ca="1">IF(K11=1,_xlfn.XLOOKUP(B11,OFFSET(IN_Zugliste!$A$4,0,0,IN_Zugliste!$A$2,1),OFFSET(IN_Zugliste!$K$4,0,0,IN_Zugliste!$A$2,1),0),0)+_xlfn.XLOOKUP(C11,OFFSET(IN_Zugliste!$A$4,0,0,IN_Zugliste!$A$2,1),OFFSET(IN_Zugliste!$K$4,0,0,IN_Zugliste!$A$2,1),0)</f>
        <v>38217</v>
      </c>
      <c r="N11" s="55" t="str" cm="1">
        <f t="array" aca="1" ref="N11" ca="1">IF(K11=1,_xlfn.XLOOKUP(B11,OFFSET(IN_Zugliste!$A$4,0,0,IN_Zugliste!$A$2,1),OFFSET(IN_Zugliste!$D$4,0,0,IN_Zugliste!$A$2,1),""),"")</f>
        <v/>
      </c>
      <c r="O11" s="55" t="str" cm="1">
        <f t="array" aca="1" ref="O11" ca="1">IF(L11&lt;&gt;"",L11,_xlfn.XLOOKUP(B11,OFFSET($C$4,0,0,$A$2,1),OFFSET($O$4,0,0,$A$2,1)))</f>
        <v>Composition 1</v>
      </c>
      <c r="P11" s="55" cm="1">
        <f t="array" aca="1" ref="P11" ca="1">MATCH(J11, _xlfn._xlws.FILTER($J$4:$J$430,$O$4:$O$430=O11), 0)+1</f>
        <v>9</v>
      </c>
      <c r="Q11" s="63" t="str">
        <f>_xlfn.XLOOKUP(B11, IN_Zugliste!A:A, IN_Zugliste!M:M, "")</f>
        <v>11:45:42</v>
      </c>
    </row>
    <row r="12" spans="1:17" ht="15" customHeight="1" x14ac:dyDescent="0.2">
      <c r="A12" s="63" t="s">
        <v>686</v>
      </c>
      <c r="B12" s="63" t="s">
        <v>433</v>
      </c>
      <c r="C12" s="63" t="s">
        <v>436</v>
      </c>
      <c r="D12" s="63" t="s">
        <v>687</v>
      </c>
      <c r="E12" s="63" t="s">
        <v>688</v>
      </c>
      <c r="F12" s="63" t="s">
        <v>719</v>
      </c>
      <c r="G12" s="63" t="s">
        <v>720</v>
      </c>
      <c r="H12" s="63" t="s">
        <v>691</v>
      </c>
      <c r="I12" s="63" t="s">
        <v>721</v>
      </c>
      <c r="J12" s="63" t="s">
        <v>722</v>
      </c>
      <c r="K12" s="55">
        <f t="shared" ca="1" si="0"/>
        <v>0</v>
      </c>
      <c r="L12" s="56" t="str">
        <f ca="1">IF(K12&gt;0,"Composition "&amp;SUM(K$4:K12),"")</f>
        <v/>
      </c>
      <c r="M12" s="55" cm="1">
        <f t="array" aca="1" ref="M12" ca="1">IF(K12=1,_xlfn.XLOOKUP(B12,OFFSET(IN_Zugliste!$A$4,0,0,IN_Zugliste!$A$2,1),OFFSET(IN_Zugliste!$K$4,0,0,IN_Zugliste!$A$2,1),0),0)+_xlfn.XLOOKUP(C12,OFFSET(IN_Zugliste!$A$4,0,0,IN_Zugliste!$A$2,1),OFFSET(IN_Zugliste!$K$4,0,0,IN_Zugliste!$A$2,1),0)</f>
        <v>38070</v>
      </c>
      <c r="N12" s="55" t="str" cm="1">
        <f t="array" aca="1" ref="N12" ca="1">IF(K12=1,_xlfn.XLOOKUP(B12,OFFSET(IN_Zugliste!$A$4,0,0,IN_Zugliste!$A$2,1),OFFSET(IN_Zugliste!$D$4,0,0,IN_Zugliste!$A$2,1),""),"")</f>
        <v/>
      </c>
      <c r="O12" s="55" t="str" cm="1">
        <f t="array" aca="1" ref="O12" ca="1">IF(L12&lt;&gt;"",L12,_xlfn.XLOOKUP(B12,OFFSET($C$4,0,0,$A$2,1),OFFSET($O$4,0,0,$A$2,1)))</f>
        <v>Composition 1</v>
      </c>
      <c r="P12" s="55" cm="1">
        <f t="array" aca="1" ref="P12" ca="1">MATCH(J12, _xlfn._xlws.FILTER($J$4:$J$430,$O$4:$O$430=O12), 0)+1</f>
        <v>10</v>
      </c>
      <c r="Q12" s="63" t="str">
        <f>_xlfn.XLOOKUP(B12, IN_Zugliste!A:A, IN_Zugliste!M:M, "")</f>
        <v>12:45:49</v>
      </c>
    </row>
    <row r="13" spans="1:17" ht="15" customHeight="1" x14ac:dyDescent="0.2">
      <c r="A13" s="63" t="s">
        <v>686</v>
      </c>
      <c r="B13" s="63" t="s">
        <v>603</v>
      </c>
      <c r="C13" s="63" t="s">
        <v>617</v>
      </c>
      <c r="D13" s="63" t="s">
        <v>723</v>
      </c>
      <c r="E13" s="63" t="s">
        <v>688</v>
      </c>
      <c r="F13" s="63" t="s">
        <v>724</v>
      </c>
      <c r="G13" s="63" t="s">
        <v>725</v>
      </c>
      <c r="H13" s="63" t="s">
        <v>691</v>
      </c>
      <c r="I13" s="63" t="s">
        <v>725</v>
      </c>
      <c r="J13" s="63" t="s">
        <v>726</v>
      </c>
      <c r="K13" s="55">
        <f t="shared" ca="1" si="0"/>
        <v>1</v>
      </c>
      <c r="L13" s="56" t="str">
        <f ca="1">IF(K13&gt;0,"Composition "&amp;SUM(K$4:K13),"")</f>
        <v>Composition 2</v>
      </c>
      <c r="M13" s="55" cm="1">
        <f t="array" aca="1" ref="M13" ca="1">IF(K13=1,_xlfn.XLOOKUP(B13,OFFSET(IN_Zugliste!$A$4,0,0,IN_Zugliste!$A$2,1),OFFSET(IN_Zugliste!$K$4,0,0,IN_Zugliste!$A$2,1),0),0)+_xlfn.XLOOKUP(C13,OFFSET(IN_Zugliste!$A$4,0,0,IN_Zugliste!$A$2,1),OFFSET(IN_Zugliste!$K$4,0,0,IN_Zugliste!$A$2,1),0)</f>
        <v>70036</v>
      </c>
      <c r="N13" s="55" t="str" cm="1">
        <f t="array" aca="1" ref="N13" ca="1">IF(K13=1,_xlfn.XLOOKUP(B13,OFFSET(IN_Zugliste!$A$4,0,0,IN_Zugliste!$A$2,1),OFFSET(IN_Zugliste!$D$4,0,0,IN_Zugliste!$A$2,1),""),"")</f>
        <v>462-1.0</v>
      </c>
      <c r="O13" s="55" t="str" cm="1">
        <f t="array" aca="1" ref="O13" ca="1">IF(L13&lt;&gt;"",L13,_xlfn.XLOOKUP(B13,OFFSET($C$4,0,0,$A$2,1),OFFSET($O$4,0,0,$A$2,1)))</f>
        <v>Composition 2</v>
      </c>
      <c r="P13" s="55" cm="1">
        <f t="array" aca="1" ref="P13" ca="1">MATCH(J13, _xlfn._xlws.FILTER($J$4:$J$430,$O$4:$O$430=O13), 0)+1</f>
        <v>2</v>
      </c>
      <c r="Q13" s="63" t="str">
        <f>_xlfn.XLOOKUP(B13, IN_Zugliste!A:A, IN_Zugliste!M:M, "")</f>
        <v>04:51:00</v>
      </c>
    </row>
    <row r="14" spans="1:17" ht="15" customHeight="1" x14ac:dyDescent="0.2">
      <c r="A14" s="63" t="s">
        <v>686</v>
      </c>
      <c r="B14" s="63" t="s">
        <v>617</v>
      </c>
      <c r="C14" s="63" t="s">
        <v>607</v>
      </c>
      <c r="D14" s="63" t="s">
        <v>727</v>
      </c>
      <c r="E14" s="63" t="s">
        <v>688</v>
      </c>
      <c r="F14" s="63" t="s">
        <v>728</v>
      </c>
      <c r="G14" s="63" t="s">
        <v>729</v>
      </c>
      <c r="H14" s="63" t="s">
        <v>691</v>
      </c>
      <c r="I14" s="63" t="s">
        <v>729</v>
      </c>
      <c r="J14" s="63" t="s">
        <v>730</v>
      </c>
      <c r="K14" s="55">
        <f t="shared" ca="1" si="0"/>
        <v>0</v>
      </c>
      <c r="L14" s="56" t="str">
        <f ca="1">IF(K14&gt;0,"Composition "&amp;SUM(K$4:K14),"")</f>
        <v/>
      </c>
      <c r="M14" s="55" cm="1">
        <f t="array" aca="1" ref="M14" ca="1">IF(K14=1,_xlfn.XLOOKUP(B14,OFFSET(IN_Zugliste!$A$4,0,0,IN_Zugliste!$A$2,1),OFFSET(IN_Zugliste!$K$4,0,0,IN_Zugliste!$A$2,1),0),0)+_xlfn.XLOOKUP(C14,OFFSET(IN_Zugliste!$A$4,0,0,IN_Zugliste!$A$2,1),OFFSET(IN_Zugliste!$K$4,0,0,IN_Zugliste!$A$2,1),0)</f>
        <v>35039</v>
      </c>
      <c r="N14" s="55" t="str" cm="1">
        <f t="array" aca="1" ref="N14" ca="1">IF(K14=1,_xlfn.XLOOKUP(B14,OFFSET(IN_Zugliste!$A$4,0,0,IN_Zugliste!$A$2,1),OFFSET(IN_Zugliste!$D$4,0,0,IN_Zugliste!$A$2,1),""),"")</f>
        <v/>
      </c>
      <c r="O14" s="55" t="str" cm="1">
        <f t="array" aca="1" ref="O14" ca="1">IF(L14&lt;&gt;"",L14,_xlfn.XLOOKUP(B14,OFFSET($C$4,0,0,$A$2,1),OFFSET($O$4,0,0,$A$2,1)))</f>
        <v>Composition 2</v>
      </c>
      <c r="P14" s="55" cm="1">
        <f t="array" aca="1" ref="P14" ca="1">MATCH(J14, _xlfn._xlws.FILTER($J$4:$J$430,$O$4:$O$430=O14), 0)+1</f>
        <v>3</v>
      </c>
      <c r="Q14" s="63" t="str">
        <f>_xlfn.XLOOKUP(B14, IN_Zugliste!A:A, IN_Zugliste!M:M, "")</f>
        <v>05:50:51</v>
      </c>
    </row>
    <row r="15" spans="1:17" ht="15" customHeight="1" x14ac:dyDescent="0.2">
      <c r="A15" s="63" t="s">
        <v>686</v>
      </c>
      <c r="B15" s="63" t="s">
        <v>607</v>
      </c>
      <c r="C15" s="63" t="s">
        <v>619</v>
      </c>
      <c r="D15" s="63" t="s">
        <v>723</v>
      </c>
      <c r="E15" s="63" t="s">
        <v>688</v>
      </c>
      <c r="F15" s="63" t="s">
        <v>731</v>
      </c>
      <c r="G15" s="63" t="s">
        <v>732</v>
      </c>
      <c r="H15" s="63" t="s">
        <v>691</v>
      </c>
      <c r="I15" s="63" t="s">
        <v>732</v>
      </c>
      <c r="J15" s="63" t="s">
        <v>733</v>
      </c>
      <c r="K15" s="55">
        <f t="shared" ca="1" si="0"/>
        <v>0</v>
      </c>
      <c r="L15" s="56" t="str">
        <f ca="1">IF(K15&gt;0,"Composition "&amp;SUM(K$4:K15),"")</f>
        <v/>
      </c>
      <c r="M15" s="55" cm="1">
        <f t="array" aca="1" ref="M15" ca="1">IF(K15=1,_xlfn.XLOOKUP(B15,OFFSET(IN_Zugliste!$A$4,0,0,IN_Zugliste!$A$2,1),OFFSET(IN_Zugliste!$K$4,0,0,IN_Zugliste!$A$2,1),0),0)+_xlfn.XLOOKUP(C15,OFFSET(IN_Zugliste!$A$4,0,0,IN_Zugliste!$A$2,1),OFFSET(IN_Zugliste!$K$4,0,0,IN_Zugliste!$A$2,1),0)</f>
        <v>34997</v>
      </c>
      <c r="N15" s="55" t="str" cm="1">
        <f t="array" aca="1" ref="N15" ca="1">IF(K15=1,_xlfn.XLOOKUP(B15,OFFSET(IN_Zugliste!$A$4,0,0,IN_Zugliste!$A$2,1),OFFSET(IN_Zugliste!$D$4,0,0,IN_Zugliste!$A$2,1),""),"")</f>
        <v/>
      </c>
      <c r="O15" s="55" t="str" cm="1">
        <f t="array" aca="1" ref="O15" ca="1">IF(L15&lt;&gt;"",L15,_xlfn.XLOOKUP(B15,OFFSET($C$4,0,0,$A$2,1),OFFSET($O$4,0,0,$A$2,1)))</f>
        <v>Composition 2</v>
      </c>
      <c r="P15" s="55" cm="1">
        <f t="array" aca="1" ref="P15" ca="1">MATCH(J15, _xlfn._xlws.FILTER($J$4:$J$430,$O$4:$O$430=O15), 0)+1</f>
        <v>4</v>
      </c>
      <c r="Q15" s="63" t="str">
        <f>_xlfn.XLOOKUP(B15, IN_Zugliste!A:A, IN_Zugliste!M:M, "")</f>
        <v>06:51:00</v>
      </c>
    </row>
    <row r="16" spans="1:17" ht="15" customHeight="1" x14ac:dyDescent="0.2">
      <c r="A16" s="63" t="s">
        <v>686</v>
      </c>
      <c r="B16" s="63" t="s">
        <v>619</v>
      </c>
      <c r="C16" s="63" t="s">
        <v>609</v>
      </c>
      <c r="D16" s="63" t="s">
        <v>727</v>
      </c>
      <c r="E16" s="63" t="s">
        <v>688</v>
      </c>
      <c r="F16" s="63" t="s">
        <v>734</v>
      </c>
      <c r="G16" s="63" t="s">
        <v>735</v>
      </c>
      <c r="H16" s="63" t="s">
        <v>691</v>
      </c>
      <c r="I16" s="63" t="s">
        <v>735</v>
      </c>
      <c r="J16" s="63" t="s">
        <v>736</v>
      </c>
      <c r="K16" s="55">
        <f t="shared" ca="1" si="0"/>
        <v>0</v>
      </c>
      <c r="L16" s="56" t="str">
        <f ca="1">IF(K16&gt;0,"Composition "&amp;SUM(K$4:K16),"")</f>
        <v/>
      </c>
      <c r="M16" s="55" cm="1">
        <f t="array" aca="1" ref="M16" ca="1">IF(K16=1,_xlfn.XLOOKUP(B16,OFFSET(IN_Zugliste!$A$4,0,0,IN_Zugliste!$A$2,1),OFFSET(IN_Zugliste!$K$4,0,0,IN_Zugliste!$A$2,1),0),0)+_xlfn.XLOOKUP(C16,OFFSET(IN_Zugliste!$A$4,0,0,IN_Zugliste!$A$2,1),OFFSET(IN_Zugliste!$K$4,0,0,IN_Zugliste!$A$2,1),0)</f>
        <v>35039</v>
      </c>
      <c r="N16" s="55" t="str" cm="1">
        <f t="array" aca="1" ref="N16" ca="1">IF(K16=1,_xlfn.XLOOKUP(B16,OFFSET(IN_Zugliste!$A$4,0,0,IN_Zugliste!$A$2,1),OFFSET(IN_Zugliste!$D$4,0,0,IN_Zugliste!$A$2,1),""),"")</f>
        <v/>
      </c>
      <c r="O16" s="55" t="str" cm="1">
        <f t="array" aca="1" ref="O16" ca="1">IF(L16&lt;&gt;"",L16,_xlfn.XLOOKUP(B16,OFFSET($C$4,0,0,$A$2,1),OFFSET($O$4,0,0,$A$2,1)))</f>
        <v>Composition 2</v>
      </c>
      <c r="P16" s="55" cm="1">
        <f t="array" aca="1" ref="P16" ca="1">MATCH(J16, _xlfn._xlws.FILTER($J$4:$J$430,$O$4:$O$430=O16), 0)+1</f>
        <v>5</v>
      </c>
      <c r="Q16" s="63" t="str">
        <f>_xlfn.XLOOKUP(B16, IN_Zugliste!A:A, IN_Zugliste!M:M, "")</f>
        <v>07:50:51</v>
      </c>
    </row>
    <row r="17" spans="1:17" ht="15" customHeight="1" x14ac:dyDescent="0.2">
      <c r="A17" s="63" t="s">
        <v>686</v>
      </c>
      <c r="B17" s="63" t="s">
        <v>609</v>
      </c>
      <c r="C17" s="63" t="s">
        <v>621</v>
      </c>
      <c r="D17" s="63" t="s">
        <v>723</v>
      </c>
      <c r="E17" s="63" t="s">
        <v>688</v>
      </c>
      <c r="F17" s="63" t="s">
        <v>737</v>
      </c>
      <c r="G17" s="63" t="s">
        <v>738</v>
      </c>
      <c r="H17" s="63" t="s">
        <v>691</v>
      </c>
      <c r="I17" s="63" t="s">
        <v>738</v>
      </c>
      <c r="J17" s="63" t="s">
        <v>739</v>
      </c>
      <c r="K17" s="55">
        <f t="shared" ca="1" si="0"/>
        <v>0</v>
      </c>
      <c r="L17" s="56" t="str">
        <f ca="1">IF(K17&gt;0,"Composition "&amp;SUM(K$4:K17),"")</f>
        <v/>
      </c>
      <c r="M17" s="55" cm="1">
        <f t="array" aca="1" ref="M17" ca="1">IF(K17=1,_xlfn.XLOOKUP(B17,OFFSET(IN_Zugliste!$A$4,0,0,IN_Zugliste!$A$2,1),OFFSET(IN_Zugliste!$K$4,0,0,IN_Zugliste!$A$2,1),0),0)+_xlfn.XLOOKUP(C17,OFFSET(IN_Zugliste!$A$4,0,0,IN_Zugliste!$A$2,1),OFFSET(IN_Zugliste!$K$4,0,0,IN_Zugliste!$A$2,1),0)</f>
        <v>34997</v>
      </c>
      <c r="N17" s="55" t="str" cm="1">
        <f t="array" aca="1" ref="N17" ca="1">IF(K17=1,_xlfn.XLOOKUP(B17,OFFSET(IN_Zugliste!$A$4,0,0,IN_Zugliste!$A$2,1),OFFSET(IN_Zugliste!$D$4,0,0,IN_Zugliste!$A$2,1),""),"")</f>
        <v/>
      </c>
      <c r="O17" s="55" t="str" cm="1">
        <f t="array" aca="1" ref="O17" ca="1">IF(L17&lt;&gt;"",L17,_xlfn.XLOOKUP(B17,OFFSET($C$4,0,0,$A$2,1),OFFSET($O$4,0,0,$A$2,1)))</f>
        <v>Composition 2</v>
      </c>
      <c r="P17" s="55" cm="1">
        <f t="array" aca="1" ref="P17" ca="1">MATCH(J17, _xlfn._xlws.FILTER($J$4:$J$430,$O$4:$O$430=O17), 0)+1</f>
        <v>6</v>
      </c>
      <c r="Q17" s="63" t="str">
        <f>_xlfn.XLOOKUP(B17, IN_Zugliste!A:A, IN_Zugliste!M:M, "")</f>
        <v>08:51:00</v>
      </c>
    </row>
    <row r="18" spans="1:17" ht="15" customHeight="1" x14ac:dyDescent="0.2">
      <c r="A18" s="63" t="s">
        <v>686</v>
      </c>
      <c r="B18" s="63" t="s">
        <v>621</v>
      </c>
      <c r="C18" s="63" t="s">
        <v>611</v>
      </c>
      <c r="D18" s="63" t="s">
        <v>727</v>
      </c>
      <c r="E18" s="63" t="s">
        <v>688</v>
      </c>
      <c r="F18" s="63" t="s">
        <v>740</v>
      </c>
      <c r="G18" s="63" t="s">
        <v>741</v>
      </c>
      <c r="H18" s="63" t="s">
        <v>691</v>
      </c>
      <c r="I18" s="63" t="s">
        <v>741</v>
      </c>
      <c r="J18" s="63" t="s">
        <v>742</v>
      </c>
      <c r="K18" s="55">
        <f t="shared" ca="1" si="0"/>
        <v>0</v>
      </c>
      <c r="L18" s="56" t="str">
        <f ca="1">IF(K18&gt;0,"Composition "&amp;SUM(K$4:K18),"")</f>
        <v/>
      </c>
      <c r="M18" s="55" cm="1">
        <f t="array" aca="1" ref="M18" ca="1">IF(K18=1,_xlfn.XLOOKUP(B18,OFFSET(IN_Zugliste!$A$4,0,0,IN_Zugliste!$A$2,1),OFFSET(IN_Zugliste!$K$4,0,0,IN_Zugliste!$A$2,1),0),0)+_xlfn.XLOOKUP(C18,OFFSET(IN_Zugliste!$A$4,0,0,IN_Zugliste!$A$2,1),OFFSET(IN_Zugliste!$K$4,0,0,IN_Zugliste!$A$2,1),0)</f>
        <v>35039</v>
      </c>
      <c r="N18" s="55" t="str" cm="1">
        <f t="array" aca="1" ref="N18" ca="1">IF(K18=1,_xlfn.XLOOKUP(B18,OFFSET(IN_Zugliste!$A$4,0,0,IN_Zugliste!$A$2,1),OFFSET(IN_Zugliste!$D$4,0,0,IN_Zugliste!$A$2,1),""),"")</f>
        <v/>
      </c>
      <c r="O18" s="55" t="str" cm="1">
        <f t="array" aca="1" ref="O18" ca="1">IF(L18&lt;&gt;"",L18,_xlfn.XLOOKUP(B18,OFFSET($C$4,0,0,$A$2,1),OFFSET($O$4,0,0,$A$2,1)))</f>
        <v>Composition 2</v>
      </c>
      <c r="P18" s="55" cm="1">
        <f t="array" aca="1" ref="P18" ca="1">MATCH(J18, _xlfn._xlws.FILTER($J$4:$J$430,$O$4:$O$430=O18), 0)+1</f>
        <v>7</v>
      </c>
      <c r="Q18" s="63" t="str">
        <f>_xlfn.XLOOKUP(B18, IN_Zugliste!A:A, IN_Zugliste!M:M, "")</f>
        <v>09:50:51</v>
      </c>
    </row>
    <row r="19" spans="1:17" ht="15" customHeight="1" x14ac:dyDescent="0.2">
      <c r="A19" s="63" t="s">
        <v>686</v>
      </c>
      <c r="B19" s="63" t="s">
        <v>611</v>
      </c>
      <c r="C19" s="63" t="s">
        <v>623</v>
      </c>
      <c r="D19" s="63" t="s">
        <v>723</v>
      </c>
      <c r="E19" s="63" t="s">
        <v>688</v>
      </c>
      <c r="F19" s="63" t="s">
        <v>743</v>
      </c>
      <c r="G19" s="63" t="s">
        <v>744</v>
      </c>
      <c r="H19" s="63" t="s">
        <v>691</v>
      </c>
      <c r="I19" s="63" t="s">
        <v>745</v>
      </c>
      <c r="J19" s="63" t="s">
        <v>746</v>
      </c>
      <c r="K19" s="55">
        <f t="shared" ca="1" si="0"/>
        <v>0</v>
      </c>
      <c r="L19" s="56" t="str">
        <f ca="1">IF(K19&gt;0,"Composition "&amp;SUM(K$4:K19),"")</f>
        <v/>
      </c>
      <c r="M19" s="55" cm="1">
        <f t="array" aca="1" ref="M19" ca="1">IF(K19=1,_xlfn.XLOOKUP(B19,OFFSET(IN_Zugliste!$A$4,0,0,IN_Zugliste!$A$2,1),OFFSET(IN_Zugliste!$K$4,0,0,IN_Zugliste!$A$2,1),0),0)+_xlfn.XLOOKUP(C19,OFFSET(IN_Zugliste!$A$4,0,0,IN_Zugliste!$A$2,1),OFFSET(IN_Zugliste!$K$4,0,0,IN_Zugliste!$A$2,1),0)</f>
        <v>34997</v>
      </c>
      <c r="N19" s="55" t="str" cm="1">
        <f t="array" aca="1" ref="N19" ca="1">IF(K19=1,_xlfn.XLOOKUP(B19,OFFSET(IN_Zugliste!$A$4,0,0,IN_Zugliste!$A$2,1),OFFSET(IN_Zugliste!$D$4,0,0,IN_Zugliste!$A$2,1),""),"")</f>
        <v/>
      </c>
      <c r="O19" s="55" t="str" cm="1">
        <f t="array" aca="1" ref="O19" ca="1">IF(L19&lt;&gt;"",L19,_xlfn.XLOOKUP(B19,OFFSET($C$4,0,0,$A$2,1),OFFSET($O$4,0,0,$A$2,1)))</f>
        <v>Composition 2</v>
      </c>
      <c r="P19" s="55" cm="1">
        <f t="array" aca="1" ref="P19" ca="1">MATCH(J19, _xlfn._xlws.FILTER($J$4:$J$430,$O$4:$O$430=O19), 0)+1</f>
        <v>8</v>
      </c>
      <c r="Q19" s="63" t="str">
        <f>_xlfn.XLOOKUP(B19, IN_Zugliste!A:A, IN_Zugliste!M:M, "")</f>
        <v>10:51:00</v>
      </c>
    </row>
    <row r="20" spans="1:17" ht="15" customHeight="1" x14ac:dyDescent="0.2">
      <c r="A20" s="63" t="s">
        <v>686</v>
      </c>
      <c r="B20" s="63" t="s">
        <v>623</v>
      </c>
      <c r="C20" s="63" t="s">
        <v>613</v>
      </c>
      <c r="D20" s="63" t="s">
        <v>727</v>
      </c>
      <c r="E20" s="63" t="s">
        <v>688</v>
      </c>
      <c r="F20" s="63" t="s">
        <v>747</v>
      </c>
      <c r="G20" s="63" t="s">
        <v>748</v>
      </c>
      <c r="H20" s="63" t="s">
        <v>691</v>
      </c>
      <c r="I20" s="63" t="s">
        <v>748</v>
      </c>
      <c r="J20" s="63" t="s">
        <v>749</v>
      </c>
      <c r="K20" s="55">
        <f t="shared" ca="1" si="0"/>
        <v>0</v>
      </c>
      <c r="L20" s="56" t="str">
        <f ca="1">IF(K20&gt;0,"Composition "&amp;SUM(K$4:K20),"")</f>
        <v/>
      </c>
      <c r="M20" s="55" cm="1">
        <f t="array" aca="1" ref="M20" ca="1">IF(K20=1,_xlfn.XLOOKUP(B20,OFFSET(IN_Zugliste!$A$4,0,0,IN_Zugliste!$A$2,1),OFFSET(IN_Zugliste!$K$4,0,0,IN_Zugliste!$A$2,1),0),0)+_xlfn.XLOOKUP(C20,OFFSET(IN_Zugliste!$A$4,0,0,IN_Zugliste!$A$2,1),OFFSET(IN_Zugliste!$K$4,0,0,IN_Zugliste!$A$2,1),0)</f>
        <v>35039</v>
      </c>
      <c r="N20" s="55" t="str" cm="1">
        <f t="array" aca="1" ref="N20" ca="1">IF(K20=1,_xlfn.XLOOKUP(B20,OFFSET(IN_Zugliste!$A$4,0,0,IN_Zugliste!$A$2,1),OFFSET(IN_Zugliste!$D$4,0,0,IN_Zugliste!$A$2,1),""),"")</f>
        <v/>
      </c>
      <c r="O20" s="55" t="str" cm="1">
        <f t="array" aca="1" ref="O20" ca="1">IF(L20&lt;&gt;"",L20,_xlfn.XLOOKUP(B20,OFFSET($C$4,0,0,$A$2,1),OFFSET($O$4,0,0,$A$2,1)))</f>
        <v>Composition 2</v>
      </c>
      <c r="P20" s="55" cm="1">
        <f t="array" aca="1" ref="P20" ca="1">MATCH(J20, _xlfn._xlws.FILTER($J$4:$J$430,$O$4:$O$430=O20), 0)+1</f>
        <v>9</v>
      </c>
      <c r="Q20" s="63" t="str">
        <f>_xlfn.XLOOKUP(B20, IN_Zugliste!A:A, IN_Zugliste!M:M, "")</f>
        <v>11:50:51</v>
      </c>
    </row>
    <row r="21" spans="1:17" ht="15" customHeight="1" x14ac:dyDescent="0.2">
      <c r="A21" s="63" t="s">
        <v>686</v>
      </c>
      <c r="B21" s="63" t="s">
        <v>613</v>
      </c>
      <c r="C21" s="63" t="s">
        <v>616</v>
      </c>
      <c r="D21" s="63" t="s">
        <v>723</v>
      </c>
      <c r="E21" s="63" t="s">
        <v>688</v>
      </c>
      <c r="F21" s="63" t="s">
        <v>750</v>
      </c>
      <c r="G21" s="63" t="s">
        <v>751</v>
      </c>
      <c r="H21" s="63" t="s">
        <v>691</v>
      </c>
      <c r="I21" s="64">
        <v>0.57697916666666671</v>
      </c>
      <c r="J21" s="63" t="s">
        <v>752</v>
      </c>
      <c r="K21" s="55">
        <f t="shared" ca="1" si="0"/>
        <v>0</v>
      </c>
      <c r="L21" s="56" t="str">
        <f ca="1">IF(K21&gt;0,"Composition "&amp;SUM(K$4:K21),"")</f>
        <v/>
      </c>
      <c r="M21" s="55" cm="1">
        <f t="array" aca="1" ref="M21" ca="1">IF(K21=1,_xlfn.XLOOKUP(B21,OFFSET(IN_Zugliste!$A$4,0,0,IN_Zugliste!$A$2,1),OFFSET(IN_Zugliste!$K$4,0,0,IN_Zugliste!$A$2,1),0),0)+_xlfn.XLOOKUP(C21,OFFSET(IN_Zugliste!$A$4,0,0,IN_Zugliste!$A$2,1),OFFSET(IN_Zugliste!$K$4,0,0,IN_Zugliste!$A$2,1),0)</f>
        <v>34997</v>
      </c>
      <c r="N21" s="55" t="str" cm="1">
        <f t="array" aca="1" ref="N21" ca="1">IF(K21=1,_xlfn.XLOOKUP(B21,OFFSET(IN_Zugliste!$A$4,0,0,IN_Zugliste!$A$2,1),OFFSET(IN_Zugliste!$D$4,0,0,IN_Zugliste!$A$2,1),""),"")</f>
        <v/>
      </c>
      <c r="O21" s="55" t="str" cm="1">
        <f t="array" aca="1" ref="O21" ca="1">IF(L21&lt;&gt;"",L21,_xlfn.XLOOKUP(B21,OFFSET($C$4,0,0,$A$2,1),OFFSET($O$4,0,0,$A$2,1)))</f>
        <v>Composition 2</v>
      </c>
      <c r="P21" s="55" cm="1">
        <f t="array" aca="1" ref="P21" ca="1">MATCH(J21, _xlfn._xlws.FILTER($J$4:$J$430,$O$4:$O$430=O21), 0)+1</f>
        <v>10</v>
      </c>
      <c r="Q21" s="63" t="str">
        <f>_xlfn.XLOOKUP(B21, IN_Zugliste!A:A, IN_Zugliste!M:M, "")</f>
        <v>12:51:00</v>
      </c>
    </row>
    <row r="22" spans="1:17" ht="15" customHeight="1" x14ac:dyDescent="0.2">
      <c r="A22" s="63" t="s">
        <v>686</v>
      </c>
      <c r="B22" s="63" t="s">
        <v>434</v>
      </c>
      <c r="C22" s="63" t="s">
        <v>426</v>
      </c>
      <c r="D22" s="63" t="s">
        <v>694</v>
      </c>
      <c r="E22" s="63" t="s">
        <v>688</v>
      </c>
      <c r="F22" s="63" t="s">
        <v>753</v>
      </c>
      <c r="G22" s="63" t="s">
        <v>754</v>
      </c>
      <c r="H22" s="63" t="s">
        <v>691</v>
      </c>
      <c r="I22" s="63" t="s">
        <v>754</v>
      </c>
      <c r="J22" s="63" t="s">
        <v>755</v>
      </c>
      <c r="K22" s="55">
        <f t="shared" ca="1" si="0"/>
        <v>1</v>
      </c>
      <c r="L22" s="56" t="str">
        <f ca="1">IF(K22&gt;0,"Composition "&amp;SUM(K$4:K22),"")</f>
        <v>Composition 3</v>
      </c>
      <c r="M22" s="55" cm="1">
        <f t="array" aca="1" ref="M22" ca="1">IF(K22=1,_xlfn.XLOOKUP(B22,OFFSET(IN_Zugliste!$A$4,0,0,IN_Zugliste!$A$2,1),OFFSET(IN_Zugliste!$K$4,0,0,IN_Zugliste!$A$2,1),0),0)+_xlfn.XLOOKUP(C22,OFFSET(IN_Zugliste!$A$4,0,0,IN_Zugliste!$A$2,1),OFFSET(IN_Zugliste!$K$4,0,0,IN_Zugliste!$A$2,1),0)</f>
        <v>76287</v>
      </c>
      <c r="N22" s="55" t="str" cm="1">
        <f t="array" aca="1" ref="N22" ca="1">IF(K22=1,_xlfn.XLOOKUP(B22,OFFSET(IN_Zugliste!$A$4,0,0,IN_Zugliste!$A$2,1),OFFSET(IN_Zugliste!$D$4,0,0,IN_Zugliste!$A$2,1),""),"")</f>
        <v>101-3.0</v>
      </c>
      <c r="O22" s="55" t="str" cm="1">
        <f t="array" aca="1" ref="O22" ca="1">IF(L22&lt;&gt;"",L22,_xlfn.XLOOKUP(B22,OFFSET($C$4,0,0,$A$2,1),OFFSET($O$4,0,0,$A$2,1)))</f>
        <v>Composition 3</v>
      </c>
      <c r="P22" s="55" cm="1">
        <f t="array" aca="1" ref="P22" ca="1">MATCH(J22, _xlfn._xlws.FILTER($J$4:$J$430,$O$4:$O$430=O22), 0)+1</f>
        <v>2</v>
      </c>
      <c r="Q22" s="63" t="str">
        <f>_xlfn.XLOOKUP(B22, IN_Zugliste!A:A, IN_Zugliste!M:M, "")</f>
        <v>04:45:42</v>
      </c>
    </row>
    <row r="23" spans="1:17" ht="15" customHeight="1" x14ac:dyDescent="0.2">
      <c r="A23" s="63" t="s">
        <v>686</v>
      </c>
      <c r="B23" s="63" t="s">
        <v>426</v>
      </c>
      <c r="C23" s="63" t="s">
        <v>438</v>
      </c>
      <c r="D23" s="63" t="s">
        <v>687</v>
      </c>
      <c r="E23" s="63" t="s">
        <v>688</v>
      </c>
      <c r="F23" s="63" t="s">
        <v>756</v>
      </c>
      <c r="G23" s="63" t="s">
        <v>757</v>
      </c>
      <c r="H23" s="63" t="s">
        <v>691</v>
      </c>
      <c r="I23" s="63" t="s">
        <v>758</v>
      </c>
      <c r="J23" s="63" t="s">
        <v>759</v>
      </c>
      <c r="K23" s="55">
        <f t="shared" ca="1" si="0"/>
        <v>0</v>
      </c>
      <c r="L23" s="56" t="str">
        <f ca="1">IF(K23&gt;0,"Composition "&amp;SUM(K$4:K23),"")</f>
        <v/>
      </c>
      <c r="M23" s="55" cm="1">
        <f t="array" aca="1" ref="M23" ca="1">IF(K23=1,_xlfn.XLOOKUP(B23,OFFSET(IN_Zugliste!$A$4,0,0,IN_Zugliste!$A$2,1),OFFSET(IN_Zugliste!$K$4,0,0,IN_Zugliste!$A$2,1),0),0)+_xlfn.XLOOKUP(C23,OFFSET(IN_Zugliste!$A$4,0,0,IN_Zugliste!$A$2,1),OFFSET(IN_Zugliste!$K$4,0,0,IN_Zugliste!$A$2,1),0)</f>
        <v>38070</v>
      </c>
      <c r="N23" s="55" t="str" cm="1">
        <f t="array" aca="1" ref="N23" ca="1">IF(K23=1,_xlfn.XLOOKUP(B23,OFFSET(IN_Zugliste!$A$4,0,0,IN_Zugliste!$A$2,1),OFFSET(IN_Zugliste!$D$4,0,0,IN_Zugliste!$A$2,1),""),"")</f>
        <v/>
      </c>
      <c r="O23" s="55" t="str" cm="1">
        <f t="array" aca="1" ref="O23" ca="1">IF(L23&lt;&gt;"",L23,_xlfn.XLOOKUP(B23,OFFSET($C$4,0,0,$A$2,1),OFFSET($O$4,0,0,$A$2,1)))</f>
        <v>Composition 3</v>
      </c>
      <c r="P23" s="55" cm="1">
        <f t="array" aca="1" ref="P23" ca="1">MATCH(J23, _xlfn._xlws.FILTER($J$4:$J$430,$O$4:$O$430=O23), 0)+1</f>
        <v>3</v>
      </c>
      <c r="Q23" s="63" t="str">
        <f>_xlfn.XLOOKUP(B23, IN_Zugliste!A:A, IN_Zugliste!M:M, "")</f>
        <v>05:45:49</v>
      </c>
    </row>
    <row r="24" spans="1:17" ht="15" customHeight="1" x14ac:dyDescent="0.2">
      <c r="A24" s="63" t="s">
        <v>686</v>
      </c>
      <c r="B24" s="63" t="s">
        <v>438</v>
      </c>
      <c r="C24" s="63" t="s">
        <v>428</v>
      </c>
      <c r="D24" s="63" t="s">
        <v>694</v>
      </c>
      <c r="E24" s="63" t="s">
        <v>688</v>
      </c>
      <c r="F24" s="63" t="s">
        <v>760</v>
      </c>
      <c r="G24" s="63" t="s">
        <v>761</v>
      </c>
      <c r="H24" s="63" t="s">
        <v>691</v>
      </c>
      <c r="I24" s="63" t="s">
        <v>761</v>
      </c>
      <c r="J24" s="63" t="s">
        <v>762</v>
      </c>
      <c r="K24" s="55">
        <f t="shared" ca="1" si="0"/>
        <v>0</v>
      </c>
      <c r="L24" s="56" t="str">
        <f ca="1">IF(K24&gt;0,"Composition "&amp;SUM(K$4:K24),"")</f>
        <v/>
      </c>
      <c r="M24" s="55" cm="1">
        <f t="array" aca="1" ref="M24" ca="1">IF(K24=1,_xlfn.XLOOKUP(B24,OFFSET(IN_Zugliste!$A$4,0,0,IN_Zugliste!$A$2,1),OFFSET(IN_Zugliste!$K$4,0,0,IN_Zugliste!$A$2,1),0),0)+_xlfn.XLOOKUP(C24,OFFSET(IN_Zugliste!$A$4,0,0,IN_Zugliste!$A$2,1),OFFSET(IN_Zugliste!$K$4,0,0,IN_Zugliste!$A$2,1),0)</f>
        <v>38217</v>
      </c>
      <c r="N24" s="55" t="str" cm="1">
        <f t="array" aca="1" ref="N24" ca="1">IF(K24=1,_xlfn.XLOOKUP(B24,OFFSET(IN_Zugliste!$A$4,0,0,IN_Zugliste!$A$2,1),OFFSET(IN_Zugliste!$D$4,0,0,IN_Zugliste!$A$2,1),""),"")</f>
        <v/>
      </c>
      <c r="O24" s="55" t="str" cm="1">
        <f t="array" aca="1" ref="O24" ca="1">IF(L24&lt;&gt;"",L24,_xlfn.XLOOKUP(B24,OFFSET($C$4,0,0,$A$2,1),OFFSET($O$4,0,0,$A$2,1)))</f>
        <v>Composition 3</v>
      </c>
      <c r="P24" s="55" cm="1">
        <f t="array" aca="1" ref="P24" ca="1">MATCH(J24, _xlfn._xlws.FILTER($J$4:$J$430,$O$4:$O$430=O24), 0)+1</f>
        <v>4</v>
      </c>
      <c r="Q24" s="63" t="str">
        <f>_xlfn.XLOOKUP(B24, IN_Zugliste!A:A, IN_Zugliste!M:M, "")</f>
        <v>06:45:42</v>
      </c>
    </row>
    <row r="25" spans="1:17" ht="15" customHeight="1" x14ac:dyDescent="0.2">
      <c r="A25" s="63" t="s">
        <v>686</v>
      </c>
      <c r="B25" s="63" t="s">
        <v>428</v>
      </c>
      <c r="C25" s="63" t="s">
        <v>440</v>
      </c>
      <c r="D25" s="63" t="s">
        <v>687</v>
      </c>
      <c r="E25" s="63" t="s">
        <v>688</v>
      </c>
      <c r="F25" s="63" t="s">
        <v>763</v>
      </c>
      <c r="G25" s="63" t="s">
        <v>764</v>
      </c>
      <c r="H25" s="63" t="s">
        <v>691</v>
      </c>
      <c r="I25" s="63" t="s">
        <v>765</v>
      </c>
      <c r="J25" s="63" t="s">
        <v>766</v>
      </c>
      <c r="K25" s="55">
        <f t="shared" ca="1" si="0"/>
        <v>0</v>
      </c>
      <c r="L25" s="56" t="str">
        <f ca="1">IF(K25&gt;0,"Composition "&amp;SUM(K$4:K25),"")</f>
        <v/>
      </c>
      <c r="M25" s="55" cm="1">
        <f t="array" aca="1" ref="M25" ca="1">IF(K25=1,_xlfn.XLOOKUP(B25,OFFSET(IN_Zugliste!$A$4,0,0,IN_Zugliste!$A$2,1),OFFSET(IN_Zugliste!$K$4,0,0,IN_Zugliste!$A$2,1),0),0)+_xlfn.XLOOKUP(C25,OFFSET(IN_Zugliste!$A$4,0,0,IN_Zugliste!$A$2,1),OFFSET(IN_Zugliste!$K$4,0,0,IN_Zugliste!$A$2,1),0)</f>
        <v>38070</v>
      </c>
      <c r="N25" s="55" t="str" cm="1">
        <f t="array" aca="1" ref="N25" ca="1">IF(K25=1,_xlfn.XLOOKUP(B25,OFFSET(IN_Zugliste!$A$4,0,0,IN_Zugliste!$A$2,1),OFFSET(IN_Zugliste!$D$4,0,0,IN_Zugliste!$A$2,1),""),"")</f>
        <v/>
      </c>
      <c r="O25" s="55" t="str" cm="1">
        <f t="array" aca="1" ref="O25" ca="1">IF(L25&lt;&gt;"",L25,_xlfn.XLOOKUP(B25,OFFSET($C$4,0,0,$A$2,1),OFFSET($O$4,0,0,$A$2,1)))</f>
        <v>Composition 3</v>
      </c>
      <c r="P25" s="55" cm="1">
        <f t="array" aca="1" ref="P25" ca="1">MATCH(J25, _xlfn._xlws.FILTER($J$4:$J$430,$O$4:$O$430=O25), 0)+1</f>
        <v>5</v>
      </c>
      <c r="Q25" s="63" t="str">
        <f>_xlfn.XLOOKUP(B25, IN_Zugliste!A:A, IN_Zugliste!M:M, "")</f>
        <v>07:45:49</v>
      </c>
    </row>
    <row r="26" spans="1:17" ht="15" customHeight="1" x14ac:dyDescent="0.2">
      <c r="A26" s="63" t="s">
        <v>686</v>
      </c>
      <c r="B26" s="63" t="s">
        <v>440</v>
      </c>
      <c r="C26" s="63" t="s">
        <v>430</v>
      </c>
      <c r="D26" s="63" t="s">
        <v>694</v>
      </c>
      <c r="E26" s="63" t="s">
        <v>688</v>
      </c>
      <c r="F26" s="63" t="s">
        <v>767</v>
      </c>
      <c r="G26" s="63" t="s">
        <v>768</v>
      </c>
      <c r="H26" s="63" t="s">
        <v>691</v>
      </c>
      <c r="I26" s="63" t="s">
        <v>768</v>
      </c>
      <c r="J26" s="63" t="s">
        <v>769</v>
      </c>
      <c r="K26" s="55">
        <f t="shared" ca="1" si="0"/>
        <v>0</v>
      </c>
      <c r="L26" s="56" t="str">
        <f ca="1">IF(K26&gt;0,"Composition "&amp;SUM(K$4:K26),"")</f>
        <v/>
      </c>
      <c r="M26" s="55" cm="1">
        <f t="array" aca="1" ref="M26" ca="1">IF(K26=1,_xlfn.XLOOKUP(B26,OFFSET(IN_Zugliste!$A$4,0,0,IN_Zugliste!$A$2,1),OFFSET(IN_Zugliste!$K$4,0,0,IN_Zugliste!$A$2,1),0),0)+_xlfn.XLOOKUP(C26,OFFSET(IN_Zugliste!$A$4,0,0,IN_Zugliste!$A$2,1),OFFSET(IN_Zugliste!$K$4,0,0,IN_Zugliste!$A$2,1),0)</f>
        <v>38217</v>
      </c>
      <c r="N26" s="55" t="str" cm="1">
        <f t="array" aca="1" ref="N26" ca="1">IF(K26=1,_xlfn.XLOOKUP(B26,OFFSET(IN_Zugliste!$A$4,0,0,IN_Zugliste!$A$2,1),OFFSET(IN_Zugliste!$D$4,0,0,IN_Zugliste!$A$2,1),""),"")</f>
        <v/>
      </c>
      <c r="O26" s="55" t="str" cm="1">
        <f t="array" aca="1" ref="O26" ca="1">IF(L26&lt;&gt;"",L26,_xlfn.XLOOKUP(B26,OFFSET($C$4,0,0,$A$2,1),OFFSET($O$4,0,0,$A$2,1)))</f>
        <v>Composition 3</v>
      </c>
      <c r="P26" s="55" cm="1">
        <f t="array" aca="1" ref="P26" ca="1">MATCH(J26, _xlfn._xlws.FILTER($J$4:$J$430,$O$4:$O$430=O26), 0)+1</f>
        <v>6</v>
      </c>
      <c r="Q26" s="63" t="str">
        <f>_xlfn.XLOOKUP(B26, IN_Zugliste!A:A, IN_Zugliste!M:M, "")</f>
        <v>08:45:42</v>
      </c>
    </row>
    <row r="27" spans="1:17" ht="15" customHeight="1" x14ac:dyDescent="0.2">
      <c r="A27" s="63" t="s">
        <v>686</v>
      </c>
      <c r="B27" s="63" t="s">
        <v>430</v>
      </c>
      <c r="C27" s="63" t="s">
        <v>442</v>
      </c>
      <c r="D27" s="63" t="s">
        <v>687</v>
      </c>
      <c r="E27" s="63" t="s">
        <v>688</v>
      </c>
      <c r="F27" s="63" t="s">
        <v>770</v>
      </c>
      <c r="G27" s="63" t="s">
        <v>771</v>
      </c>
      <c r="H27" s="63" t="s">
        <v>691</v>
      </c>
      <c r="I27" s="63" t="s">
        <v>772</v>
      </c>
      <c r="J27" s="63" t="s">
        <v>773</v>
      </c>
      <c r="K27" s="55">
        <f t="shared" ca="1" si="0"/>
        <v>0</v>
      </c>
      <c r="L27" s="56" t="str">
        <f ca="1">IF(K27&gt;0,"Composition "&amp;SUM(K$4:K27),"")</f>
        <v/>
      </c>
      <c r="M27" s="55" cm="1">
        <f t="array" aca="1" ref="M27" ca="1">IF(K27=1,_xlfn.XLOOKUP(B27,OFFSET(IN_Zugliste!$A$4,0,0,IN_Zugliste!$A$2,1),OFFSET(IN_Zugliste!$K$4,0,0,IN_Zugliste!$A$2,1),0),0)+_xlfn.XLOOKUP(C27,OFFSET(IN_Zugliste!$A$4,0,0,IN_Zugliste!$A$2,1),OFFSET(IN_Zugliste!$K$4,0,0,IN_Zugliste!$A$2,1),0)</f>
        <v>38070</v>
      </c>
      <c r="N27" s="55" t="str" cm="1">
        <f t="array" aca="1" ref="N27" ca="1">IF(K27=1,_xlfn.XLOOKUP(B27,OFFSET(IN_Zugliste!$A$4,0,0,IN_Zugliste!$A$2,1),OFFSET(IN_Zugliste!$D$4,0,0,IN_Zugliste!$A$2,1),""),"")</f>
        <v/>
      </c>
      <c r="O27" s="55" t="str" cm="1">
        <f t="array" aca="1" ref="O27" ca="1">IF(L27&lt;&gt;"",L27,_xlfn.XLOOKUP(B27,OFFSET($C$4,0,0,$A$2,1),OFFSET($O$4,0,0,$A$2,1)))</f>
        <v>Composition 3</v>
      </c>
      <c r="P27" s="55" cm="1">
        <f t="array" aca="1" ref="P27" ca="1">MATCH(J27, _xlfn._xlws.FILTER($J$4:$J$430,$O$4:$O$430=O27), 0)+1</f>
        <v>7</v>
      </c>
      <c r="Q27" s="63" t="str">
        <f>_xlfn.XLOOKUP(B27, IN_Zugliste!A:A, IN_Zugliste!M:M, "")</f>
        <v>09:45:49</v>
      </c>
    </row>
    <row r="28" spans="1:17" ht="15" customHeight="1" x14ac:dyDescent="0.2">
      <c r="A28" s="63" t="s">
        <v>686</v>
      </c>
      <c r="B28" s="63" t="s">
        <v>442</v>
      </c>
      <c r="C28" s="63" t="s">
        <v>432</v>
      </c>
      <c r="D28" s="63" t="s">
        <v>694</v>
      </c>
      <c r="E28" s="63" t="s">
        <v>688</v>
      </c>
      <c r="F28" s="63" t="s">
        <v>774</v>
      </c>
      <c r="G28" s="63" t="s">
        <v>775</v>
      </c>
      <c r="H28" s="63" t="s">
        <v>691</v>
      </c>
      <c r="I28" s="63" t="s">
        <v>775</v>
      </c>
      <c r="J28" s="63" t="s">
        <v>776</v>
      </c>
      <c r="K28" s="55">
        <f t="shared" ca="1" si="0"/>
        <v>0</v>
      </c>
      <c r="L28" s="56" t="str">
        <f ca="1">IF(K28&gt;0,"Composition "&amp;SUM(K$4:K28),"")</f>
        <v/>
      </c>
      <c r="M28" s="55" cm="1">
        <f t="array" aca="1" ref="M28" ca="1">IF(K28=1,_xlfn.XLOOKUP(B28,OFFSET(IN_Zugliste!$A$4,0,0,IN_Zugliste!$A$2,1),OFFSET(IN_Zugliste!$K$4,0,0,IN_Zugliste!$A$2,1),0),0)+_xlfn.XLOOKUP(C28,OFFSET(IN_Zugliste!$A$4,0,0,IN_Zugliste!$A$2,1),OFFSET(IN_Zugliste!$K$4,0,0,IN_Zugliste!$A$2,1),0)</f>
        <v>38217</v>
      </c>
      <c r="N28" s="55" t="str" cm="1">
        <f t="array" aca="1" ref="N28" ca="1">IF(K28=1,_xlfn.XLOOKUP(B28,OFFSET(IN_Zugliste!$A$4,0,0,IN_Zugliste!$A$2,1),OFFSET(IN_Zugliste!$D$4,0,0,IN_Zugliste!$A$2,1),""),"")</f>
        <v/>
      </c>
      <c r="O28" s="55" t="str" cm="1">
        <f t="array" aca="1" ref="O28" ca="1">IF(L28&lt;&gt;"",L28,_xlfn.XLOOKUP(B28,OFFSET($C$4,0,0,$A$2,1),OFFSET($O$4,0,0,$A$2,1)))</f>
        <v>Composition 3</v>
      </c>
      <c r="P28" s="55" cm="1">
        <f t="array" aca="1" ref="P28" ca="1">MATCH(J28, _xlfn._xlws.FILTER($J$4:$J$430,$O$4:$O$430=O28), 0)+1</f>
        <v>8</v>
      </c>
      <c r="Q28" s="63" t="str">
        <f>_xlfn.XLOOKUP(B28, IN_Zugliste!A:A, IN_Zugliste!M:M, "")</f>
        <v>10:45:42</v>
      </c>
    </row>
    <row r="29" spans="1:17" ht="15" customHeight="1" x14ac:dyDescent="0.2">
      <c r="A29" s="63" t="s">
        <v>686</v>
      </c>
      <c r="B29" s="63" t="s">
        <v>432</v>
      </c>
      <c r="C29" s="63" t="s">
        <v>444</v>
      </c>
      <c r="D29" s="63" t="s">
        <v>687</v>
      </c>
      <c r="E29" s="63" t="s">
        <v>688</v>
      </c>
      <c r="F29" s="63" t="s">
        <v>777</v>
      </c>
      <c r="G29" s="63" t="s">
        <v>778</v>
      </c>
      <c r="H29" s="63" t="s">
        <v>691</v>
      </c>
      <c r="I29" s="63" t="s">
        <v>779</v>
      </c>
      <c r="J29" s="63" t="s">
        <v>780</v>
      </c>
      <c r="K29" s="55">
        <f t="shared" ca="1" si="0"/>
        <v>0</v>
      </c>
      <c r="L29" s="56" t="str">
        <f ca="1">IF(K29&gt;0,"Composition "&amp;SUM(K$4:K29),"")</f>
        <v/>
      </c>
      <c r="M29" s="55" cm="1">
        <f t="array" aca="1" ref="M29" ca="1">IF(K29=1,_xlfn.XLOOKUP(B29,OFFSET(IN_Zugliste!$A$4,0,0,IN_Zugliste!$A$2,1),OFFSET(IN_Zugliste!$K$4,0,0,IN_Zugliste!$A$2,1),0),0)+_xlfn.XLOOKUP(C29,OFFSET(IN_Zugliste!$A$4,0,0,IN_Zugliste!$A$2,1),OFFSET(IN_Zugliste!$K$4,0,0,IN_Zugliste!$A$2,1),0)</f>
        <v>38070</v>
      </c>
      <c r="N29" s="55" t="str" cm="1">
        <f t="array" aca="1" ref="N29" ca="1">IF(K29=1,_xlfn.XLOOKUP(B29,OFFSET(IN_Zugliste!$A$4,0,0,IN_Zugliste!$A$2,1),OFFSET(IN_Zugliste!$D$4,0,0,IN_Zugliste!$A$2,1),""),"")</f>
        <v/>
      </c>
      <c r="O29" s="55" t="str" cm="1">
        <f t="array" aca="1" ref="O29" ca="1">IF(L29&lt;&gt;"",L29,_xlfn.XLOOKUP(B29,OFFSET($C$4,0,0,$A$2,1),OFFSET($O$4,0,0,$A$2,1)))</f>
        <v>Composition 3</v>
      </c>
      <c r="P29" s="55" cm="1">
        <f t="array" aca="1" ref="P29" ca="1">MATCH(J29, _xlfn._xlws.FILTER($J$4:$J$430,$O$4:$O$430=O29), 0)+1</f>
        <v>9</v>
      </c>
      <c r="Q29" s="63" t="str">
        <f>_xlfn.XLOOKUP(B29, IN_Zugliste!A:A, IN_Zugliste!M:M, "")</f>
        <v>11:45:49</v>
      </c>
    </row>
    <row r="30" spans="1:17" ht="15" customHeight="1" x14ac:dyDescent="0.2">
      <c r="A30" s="63" t="s">
        <v>686</v>
      </c>
      <c r="B30" s="63" t="s">
        <v>444</v>
      </c>
      <c r="C30" s="63" t="s">
        <v>425</v>
      </c>
      <c r="D30" s="63" t="s">
        <v>694</v>
      </c>
      <c r="E30" s="63" t="s">
        <v>688</v>
      </c>
      <c r="F30" s="63" t="s">
        <v>781</v>
      </c>
      <c r="G30" s="63" t="s">
        <v>782</v>
      </c>
      <c r="H30" s="63" t="s">
        <v>691</v>
      </c>
      <c r="I30" s="63" t="s">
        <v>782</v>
      </c>
      <c r="J30" s="63" t="s">
        <v>783</v>
      </c>
      <c r="K30" s="55">
        <f t="shared" ca="1" si="0"/>
        <v>0</v>
      </c>
      <c r="L30" s="56" t="str">
        <f ca="1">IF(K30&gt;0,"Composition "&amp;SUM(K$4:K30),"")</f>
        <v/>
      </c>
      <c r="M30" s="55" cm="1">
        <f t="array" aca="1" ref="M30" ca="1">IF(K30=1,_xlfn.XLOOKUP(B30,OFFSET(IN_Zugliste!$A$4,0,0,IN_Zugliste!$A$2,1),OFFSET(IN_Zugliste!$K$4,0,0,IN_Zugliste!$A$2,1),0),0)+_xlfn.XLOOKUP(C30,OFFSET(IN_Zugliste!$A$4,0,0,IN_Zugliste!$A$2,1),OFFSET(IN_Zugliste!$K$4,0,0,IN_Zugliste!$A$2,1),0)</f>
        <v>38217</v>
      </c>
      <c r="N30" s="55" t="str" cm="1">
        <f t="array" aca="1" ref="N30" ca="1">IF(K30=1,_xlfn.XLOOKUP(B30,OFFSET(IN_Zugliste!$A$4,0,0,IN_Zugliste!$A$2,1),OFFSET(IN_Zugliste!$D$4,0,0,IN_Zugliste!$A$2,1),""),"")</f>
        <v/>
      </c>
      <c r="O30" s="55" t="str" cm="1">
        <f t="array" aca="1" ref="O30" ca="1">IF(L30&lt;&gt;"",L30,_xlfn.XLOOKUP(B30,OFFSET($C$4,0,0,$A$2,1),OFFSET($O$4,0,0,$A$2,1)))</f>
        <v>Composition 3</v>
      </c>
      <c r="P30" s="55" cm="1">
        <f t="array" aca="1" ref="P30" ca="1">MATCH(J30, _xlfn._xlws.FILTER($J$4:$J$430,$O$4:$O$430=O30), 0)+1</f>
        <v>10</v>
      </c>
      <c r="Q30" s="63" t="str">
        <f>_xlfn.XLOOKUP(B30, IN_Zugliste!A:A, IN_Zugliste!M:M, "")</f>
        <v>12:45:42</v>
      </c>
    </row>
    <row r="31" spans="1:17" ht="15" customHeight="1" x14ac:dyDescent="0.2">
      <c r="A31" s="63" t="s">
        <v>686</v>
      </c>
      <c r="B31" s="63" t="s">
        <v>614</v>
      </c>
      <c r="C31" s="63" t="s">
        <v>606</v>
      </c>
      <c r="D31" s="63" t="s">
        <v>727</v>
      </c>
      <c r="E31" s="63" t="s">
        <v>688</v>
      </c>
      <c r="F31" s="63" t="s">
        <v>784</v>
      </c>
      <c r="G31" s="63" t="s">
        <v>785</v>
      </c>
      <c r="H31" s="63" t="s">
        <v>691</v>
      </c>
      <c r="I31" s="63" t="s">
        <v>785</v>
      </c>
      <c r="J31" s="63" t="s">
        <v>786</v>
      </c>
      <c r="K31" s="55">
        <f t="shared" ca="1" si="0"/>
        <v>1</v>
      </c>
      <c r="L31" s="56" t="str">
        <f ca="1">IF(K31&gt;0,"Composition "&amp;SUM(K$4:K31),"")</f>
        <v>Composition 4</v>
      </c>
      <c r="M31" s="55" cm="1">
        <f t="array" aca="1" ref="M31" ca="1">IF(K31=1,_xlfn.XLOOKUP(B31,OFFSET(IN_Zugliste!$A$4,0,0,IN_Zugliste!$A$2,1),OFFSET(IN_Zugliste!$K$4,0,0,IN_Zugliste!$A$2,1),0),0)+_xlfn.XLOOKUP(C31,OFFSET(IN_Zugliste!$A$4,0,0,IN_Zugliste!$A$2,1),OFFSET(IN_Zugliste!$K$4,0,0,IN_Zugliste!$A$2,1),0)</f>
        <v>70036</v>
      </c>
      <c r="N31" s="55" t="str" cm="1">
        <f t="array" aca="1" ref="N31" ca="1">IF(K31=1,_xlfn.XLOOKUP(B31,OFFSET(IN_Zugliste!$A$4,0,0,IN_Zugliste!$A$2,1),OFFSET(IN_Zugliste!$D$4,0,0,IN_Zugliste!$A$2,1),""),"")</f>
        <v>462-1.0</v>
      </c>
      <c r="O31" s="55" t="str" cm="1">
        <f t="array" aca="1" ref="O31" ca="1">IF(L31&lt;&gt;"",L31,_xlfn.XLOOKUP(B31,OFFSET($C$4,0,0,$A$2,1),OFFSET($O$4,0,0,$A$2,1)))</f>
        <v>Composition 4</v>
      </c>
      <c r="P31" s="55" cm="1">
        <f t="array" aca="1" ref="P31" ca="1">MATCH(J31, _xlfn._xlws.FILTER($J$4:$J$430,$O$4:$O$430=O31), 0)+1</f>
        <v>2</v>
      </c>
      <c r="Q31" s="63" t="str">
        <f>_xlfn.XLOOKUP(B31, IN_Zugliste!A:A, IN_Zugliste!M:M, "")</f>
        <v>04:50:51</v>
      </c>
    </row>
    <row r="32" spans="1:17" ht="15" customHeight="1" x14ac:dyDescent="0.2">
      <c r="A32" s="63" t="s">
        <v>686</v>
      </c>
      <c r="B32" s="63" t="s">
        <v>606</v>
      </c>
      <c r="C32" s="63" t="s">
        <v>618</v>
      </c>
      <c r="D32" s="63" t="s">
        <v>723</v>
      </c>
      <c r="E32" s="63" t="s">
        <v>688</v>
      </c>
      <c r="F32" s="63" t="s">
        <v>787</v>
      </c>
      <c r="G32" s="63" t="s">
        <v>788</v>
      </c>
      <c r="H32" s="63" t="s">
        <v>691</v>
      </c>
      <c r="I32" s="63" t="s">
        <v>788</v>
      </c>
      <c r="J32" s="63" t="s">
        <v>789</v>
      </c>
      <c r="K32" s="55">
        <f t="shared" ca="1" si="0"/>
        <v>0</v>
      </c>
      <c r="L32" s="56" t="str">
        <f ca="1">IF(K32&gt;0,"Composition "&amp;SUM(K$4:K32),"")</f>
        <v/>
      </c>
      <c r="M32" s="55" cm="1">
        <f t="array" aca="1" ref="M32" ca="1">IF(K32=1,_xlfn.XLOOKUP(B32,OFFSET(IN_Zugliste!$A$4,0,0,IN_Zugliste!$A$2,1),OFFSET(IN_Zugliste!$K$4,0,0,IN_Zugliste!$A$2,1),0),0)+_xlfn.XLOOKUP(C32,OFFSET(IN_Zugliste!$A$4,0,0,IN_Zugliste!$A$2,1),OFFSET(IN_Zugliste!$K$4,0,0,IN_Zugliste!$A$2,1),0)</f>
        <v>34997</v>
      </c>
      <c r="N32" s="55" t="str" cm="1">
        <f t="array" aca="1" ref="N32" ca="1">IF(K32=1,_xlfn.XLOOKUP(B32,OFFSET(IN_Zugliste!$A$4,0,0,IN_Zugliste!$A$2,1),OFFSET(IN_Zugliste!$D$4,0,0,IN_Zugliste!$A$2,1),""),"")</f>
        <v/>
      </c>
      <c r="O32" s="55" t="str" cm="1">
        <f t="array" aca="1" ref="O32" ca="1">IF(L32&lt;&gt;"",L32,_xlfn.XLOOKUP(B32,OFFSET($C$4,0,0,$A$2,1),OFFSET($O$4,0,0,$A$2,1)))</f>
        <v>Composition 4</v>
      </c>
      <c r="P32" s="55" cm="1">
        <f t="array" aca="1" ref="P32" ca="1">MATCH(J32, _xlfn._xlws.FILTER($J$4:$J$430,$O$4:$O$430=O32), 0)+1</f>
        <v>3</v>
      </c>
      <c r="Q32" s="63" t="str">
        <f>_xlfn.XLOOKUP(B32, IN_Zugliste!A:A, IN_Zugliste!M:M, "")</f>
        <v>05:51:00</v>
      </c>
    </row>
    <row r="33" spans="1:17" ht="15" customHeight="1" x14ac:dyDescent="0.2">
      <c r="A33" s="63" t="s">
        <v>686</v>
      </c>
      <c r="B33" s="63" t="s">
        <v>618</v>
      </c>
      <c r="C33" s="63" t="s">
        <v>608</v>
      </c>
      <c r="D33" s="63" t="s">
        <v>727</v>
      </c>
      <c r="E33" s="63" t="s">
        <v>688</v>
      </c>
      <c r="F33" s="63" t="s">
        <v>790</v>
      </c>
      <c r="G33" s="63" t="s">
        <v>791</v>
      </c>
      <c r="H33" s="63" t="s">
        <v>691</v>
      </c>
      <c r="I33" s="63" t="s">
        <v>791</v>
      </c>
      <c r="J33" s="63" t="s">
        <v>792</v>
      </c>
      <c r="K33" s="55">
        <f t="shared" ca="1" si="0"/>
        <v>0</v>
      </c>
      <c r="L33" s="56" t="str">
        <f ca="1">IF(K33&gt;0,"Composition "&amp;SUM(K$4:K33),"")</f>
        <v/>
      </c>
      <c r="M33" s="55" cm="1">
        <f t="array" aca="1" ref="M33" ca="1">IF(K33=1,_xlfn.XLOOKUP(B33,OFFSET(IN_Zugliste!$A$4,0,0,IN_Zugliste!$A$2,1),OFFSET(IN_Zugliste!$K$4,0,0,IN_Zugliste!$A$2,1),0),0)+_xlfn.XLOOKUP(C33,OFFSET(IN_Zugliste!$A$4,0,0,IN_Zugliste!$A$2,1),OFFSET(IN_Zugliste!$K$4,0,0,IN_Zugliste!$A$2,1),0)</f>
        <v>35039</v>
      </c>
      <c r="N33" s="55" t="str" cm="1">
        <f t="array" aca="1" ref="N33" ca="1">IF(K33=1,_xlfn.XLOOKUP(B33,OFFSET(IN_Zugliste!$A$4,0,0,IN_Zugliste!$A$2,1),OFFSET(IN_Zugliste!$D$4,0,0,IN_Zugliste!$A$2,1),""),"")</f>
        <v/>
      </c>
      <c r="O33" s="55" t="str" cm="1">
        <f t="array" aca="1" ref="O33" ca="1">IF(L33&lt;&gt;"",L33,_xlfn.XLOOKUP(B33,OFFSET($C$4,0,0,$A$2,1),OFFSET($O$4,0,0,$A$2,1)))</f>
        <v>Composition 4</v>
      </c>
      <c r="P33" s="55" cm="1">
        <f t="array" aca="1" ref="P33" ca="1">MATCH(J33, _xlfn._xlws.FILTER($J$4:$J$430,$O$4:$O$430=O33), 0)+1</f>
        <v>4</v>
      </c>
      <c r="Q33" s="63" t="str">
        <f>_xlfn.XLOOKUP(B33, IN_Zugliste!A:A, IN_Zugliste!M:M, "")</f>
        <v>06:50:51</v>
      </c>
    </row>
    <row r="34" spans="1:17" ht="15" customHeight="1" x14ac:dyDescent="0.2">
      <c r="A34" s="63" t="s">
        <v>686</v>
      </c>
      <c r="B34" s="63" t="s">
        <v>608</v>
      </c>
      <c r="C34" s="63" t="s">
        <v>620</v>
      </c>
      <c r="D34" s="63" t="s">
        <v>723</v>
      </c>
      <c r="E34" s="63" t="s">
        <v>688</v>
      </c>
      <c r="F34" s="63" t="s">
        <v>793</v>
      </c>
      <c r="G34" s="63" t="s">
        <v>794</v>
      </c>
      <c r="H34" s="63" t="s">
        <v>691</v>
      </c>
      <c r="I34" s="63" t="s">
        <v>794</v>
      </c>
      <c r="J34" s="63" t="s">
        <v>795</v>
      </c>
      <c r="K34" s="55">
        <f t="shared" ca="1" si="0"/>
        <v>0</v>
      </c>
      <c r="L34" s="56" t="str">
        <f ca="1">IF(K34&gt;0,"Composition "&amp;SUM(K$4:K34),"")</f>
        <v/>
      </c>
      <c r="M34" s="55" cm="1">
        <f t="array" aca="1" ref="M34" ca="1">IF(K34=1,_xlfn.XLOOKUP(B34,OFFSET(IN_Zugliste!$A$4,0,0,IN_Zugliste!$A$2,1),OFFSET(IN_Zugliste!$K$4,0,0,IN_Zugliste!$A$2,1),0),0)+_xlfn.XLOOKUP(C34,OFFSET(IN_Zugliste!$A$4,0,0,IN_Zugliste!$A$2,1),OFFSET(IN_Zugliste!$K$4,0,0,IN_Zugliste!$A$2,1),0)</f>
        <v>34997</v>
      </c>
      <c r="N34" s="55" t="str" cm="1">
        <f t="array" aca="1" ref="N34" ca="1">IF(K34=1,_xlfn.XLOOKUP(B34,OFFSET(IN_Zugliste!$A$4,0,0,IN_Zugliste!$A$2,1),OFFSET(IN_Zugliste!$D$4,0,0,IN_Zugliste!$A$2,1),""),"")</f>
        <v/>
      </c>
      <c r="O34" s="55" t="str" cm="1">
        <f t="array" aca="1" ref="O34" ca="1">IF(L34&lt;&gt;"",L34,_xlfn.XLOOKUP(B34,OFFSET($C$4,0,0,$A$2,1),OFFSET($O$4,0,0,$A$2,1)))</f>
        <v>Composition 4</v>
      </c>
      <c r="P34" s="55" cm="1">
        <f t="array" aca="1" ref="P34" ca="1">MATCH(J34, _xlfn._xlws.FILTER($J$4:$J$430,$O$4:$O$430=O34), 0)+1</f>
        <v>5</v>
      </c>
      <c r="Q34" s="63" t="str">
        <f>_xlfn.XLOOKUP(B34, IN_Zugliste!A:A, IN_Zugliste!M:M, "")</f>
        <v>07:51:00</v>
      </c>
    </row>
    <row r="35" spans="1:17" ht="15" customHeight="1" x14ac:dyDescent="0.2">
      <c r="A35" s="63" t="s">
        <v>686</v>
      </c>
      <c r="B35" s="63" t="s">
        <v>620</v>
      </c>
      <c r="C35" s="63" t="s">
        <v>610</v>
      </c>
      <c r="D35" s="63" t="s">
        <v>727</v>
      </c>
      <c r="E35" s="63" t="s">
        <v>688</v>
      </c>
      <c r="F35" s="63" t="s">
        <v>796</v>
      </c>
      <c r="G35" s="63" t="s">
        <v>797</v>
      </c>
      <c r="H35" s="63" t="s">
        <v>691</v>
      </c>
      <c r="I35" s="63" t="s">
        <v>797</v>
      </c>
      <c r="J35" s="63" t="s">
        <v>798</v>
      </c>
      <c r="K35" s="55">
        <f t="shared" ca="1" si="0"/>
        <v>0</v>
      </c>
      <c r="L35" s="56" t="str">
        <f ca="1">IF(K35&gt;0,"Composition "&amp;SUM(K$4:K35),"")</f>
        <v/>
      </c>
      <c r="M35" s="55" cm="1">
        <f t="array" aca="1" ref="M35" ca="1">IF(K35=1,_xlfn.XLOOKUP(B35,OFFSET(IN_Zugliste!$A$4,0,0,IN_Zugliste!$A$2,1),OFFSET(IN_Zugliste!$K$4,0,0,IN_Zugliste!$A$2,1),0),0)+_xlfn.XLOOKUP(C35,OFFSET(IN_Zugliste!$A$4,0,0,IN_Zugliste!$A$2,1),OFFSET(IN_Zugliste!$K$4,0,0,IN_Zugliste!$A$2,1),0)</f>
        <v>35039</v>
      </c>
      <c r="N35" s="55" t="str" cm="1">
        <f t="array" aca="1" ref="N35" ca="1">IF(K35=1,_xlfn.XLOOKUP(B35,OFFSET(IN_Zugliste!$A$4,0,0,IN_Zugliste!$A$2,1),OFFSET(IN_Zugliste!$D$4,0,0,IN_Zugliste!$A$2,1),""),"")</f>
        <v/>
      </c>
      <c r="O35" s="55" t="str" cm="1">
        <f t="array" aca="1" ref="O35" ca="1">IF(L35&lt;&gt;"",L35,_xlfn.XLOOKUP(B35,OFFSET($C$4,0,0,$A$2,1),OFFSET($O$4,0,0,$A$2,1)))</f>
        <v>Composition 4</v>
      </c>
      <c r="P35" s="55" cm="1">
        <f t="array" aca="1" ref="P35" ca="1">MATCH(J35, _xlfn._xlws.FILTER($J$4:$J$430,$O$4:$O$430=O35), 0)+1</f>
        <v>6</v>
      </c>
      <c r="Q35" s="63" t="str">
        <f>_xlfn.XLOOKUP(B35, IN_Zugliste!A:A, IN_Zugliste!M:M, "")</f>
        <v>08:50:51</v>
      </c>
    </row>
    <row r="36" spans="1:17" ht="15" customHeight="1" x14ac:dyDescent="0.2">
      <c r="A36" s="63" t="s">
        <v>686</v>
      </c>
      <c r="B36" s="63" t="s">
        <v>610</v>
      </c>
      <c r="C36" s="63" t="s">
        <v>622</v>
      </c>
      <c r="D36" s="63" t="s">
        <v>723</v>
      </c>
      <c r="E36" s="63" t="s">
        <v>688</v>
      </c>
      <c r="F36" s="63" t="s">
        <v>799</v>
      </c>
      <c r="G36" s="63" t="s">
        <v>800</v>
      </c>
      <c r="H36" s="63" t="s">
        <v>691</v>
      </c>
      <c r="I36" s="63" t="s">
        <v>800</v>
      </c>
      <c r="J36" s="63" t="s">
        <v>801</v>
      </c>
      <c r="K36" s="55">
        <f t="shared" ca="1" si="0"/>
        <v>0</v>
      </c>
      <c r="L36" s="56" t="str">
        <f ca="1">IF(K36&gt;0,"Composition "&amp;SUM(K$4:K36),"")</f>
        <v/>
      </c>
      <c r="M36" s="55" cm="1">
        <f t="array" aca="1" ref="M36" ca="1">IF(K36=1,_xlfn.XLOOKUP(B36,OFFSET(IN_Zugliste!$A$4,0,0,IN_Zugliste!$A$2,1),OFFSET(IN_Zugliste!$K$4,0,0,IN_Zugliste!$A$2,1),0),0)+_xlfn.XLOOKUP(C36,OFFSET(IN_Zugliste!$A$4,0,0,IN_Zugliste!$A$2,1),OFFSET(IN_Zugliste!$K$4,0,0,IN_Zugliste!$A$2,1),0)</f>
        <v>34997</v>
      </c>
      <c r="N36" s="55" t="str" cm="1">
        <f t="array" aca="1" ref="N36" ca="1">IF(K36=1,_xlfn.XLOOKUP(B36,OFFSET(IN_Zugliste!$A$4,0,0,IN_Zugliste!$A$2,1),OFFSET(IN_Zugliste!$D$4,0,0,IN_Zugliste!$A$2,1),""),"")</f>
        <v/>
      </c>
      <c r="O36" s="55" t="str" cm="1">
        <f t="array" aca="1" ref="O36" ca="1">IF(L36&lt;&gt;"",L36,_xlfn.XLOOKUP(B36,OFFSET($C$4,0,0,$A$2,1),OFFSET($O$4,0,0,$A$2,1)))</f>
        <v>Composition 4</v>
      </c>
      <c r="P36" s="55" cm="1">
        <f t="array" aca="1" ref="P36" ca="1">MATCH(J36, _xlfn._xlws.FILTER($J$4:$J$430,$O$4:$O$430=O36), 0)+1</f>
        <v>7</v>
      </c>
      <c r="Q36" s="63" t="str">
        <f>_xlfn.XLOOKUP(B36, IN_Zugliste!A:A, IN_Zugliste!M:M, "")</f>
        <v>09:51:00</v>
      </c>
    </row>
    <row r="37" spans="1:17" ht="15" customHeight="1" x14ac:dyDescent="0.2">
      <c r="A37" s="63" t="s">
        <v>686</v>
      </c>
      <c r="B37" s="63" t="s">
        <v>622</v>
      </c>
      <c r="C37" s="63" t="s">
        <v>612</v>
      </c>
      <c r="D37" s="63" t="s">
        <v>727</v>
      </c>
      <c r="E37" s="63" t="s">
        <v>688</v>
      </c>
      <c r="F37" s="63" t="s">
        <v>802</v>
      </c>
      <c r="G37" s="63" t="s">
        <v>803</v>
      </c>
      <c r="H37" s="63" t="s">
        <v>691</v>
      </c>
      <c r="I37" s="63" t="s">
        <v>803</v>
      </c>
      <c r="J37" s="63" t="s">
        <v>804</v>
      </c>
      <c r="K37" s="55">
        <f t="shared" ca="1" si="0"/>
        <v>0</v>
      </c>
      <c r="L37" s="56" t="str">
        <f ca="1">IF(K37&gt;0,"Composition "&amp;SUM(K$4:K37),"")</f>
        <v/>
      </c>
      <c r="M37" s="55" cm="1">
        <f t="array" aca="1" ref="M37" ca="1">IF(K37=1,_xlfn.XLOOKUP(B37,OFFSET(IN_Zugliste!$A$4,0,0,IN_Zugliste!$A$2,1),OFFSET(IN_Zugliste!$K$4,0,0,IN_Zugliste!$A$2,1),0),0)+_xlfn.XLOOKUP(C37,OFFSET(IN_Zugliste!$A$4,0,0,IN_Zugliste!$A$2,1),OFFSET(IN_Zugliste!$K$4,0,0,IN_Zugliste!$A$2,1),0)</f>
        <v>35039</v>
      </c>
      <c r="N37" s="55" t="str" cm="1">
        <f t="array" aca="1" ref="N37" ca="1">IF(K37=1,_xlfn.XLOOKUP(B37,OFFSET(IN_Zugliste!$A$4,0,0,IN_Zugliste!$A$2,1),OFFSET(IN_Zugliste!$D$4,0,0,IN_Zugliste!$A$2,1),""),"")</f>
        <v/>
      </c>
      <c r="O37" s="55" t="str" cm="1">
        <f t="array" aca="1" ref="O37" ca="1">IF(L37&lt;&gt;"",L37,_xlfn.XLOOKUP(B37,OFFSET($C$4,0,0,$A$2,1),OFFSET($O$4,0,0,$A$2,1)))</f>
        <v>Composition 4</v>
      </c>
      <c r="P37" s="55" cm="1">
        <f t="array" aca="1" ref="P37" ca="1">MATCH(J37, _xlfn._xlws.FILTER($J$4:$J$430,$O$4:$O$430=O37), 0)+1</f>
        <v>8</v>
      </c>
      <c r="Q37" s="63" t="str">
        <f>_xlfn.XLOOKUP(B37, IN_Zugliste!A:A, IN_Zugliste!M:M, "")</f>
        <v>10:50:51</v>
      </c>
    </row>
    <row r="38" spans="1:17" ht="15" customHeight="1" x14ac:dyDescent="0.2">
      <c r="A38" s="63" t="s">
        <v>686</v>
      </c>
      <c r="B38" s="63" t="s">
        <v>612</v>
      </c>
      <c r="C38" s="63" t="s">
        <v>624</v>
      </c>
      <c r="D38" s="63" t="s">
        <v>723</v>
      </c>
      <c r="E38" s="63" t="s">
        <v>688</v>
      </c>
      <c r="F38" s="63" t="s">
        <v>805</v>
      </c>
      <c r="G38" s="63" t="s">
        <v>806</v>
      </c>
      <c r="H38" s="63" t="s">
        <v>691</v>
      </c>
      <c r="I38" s="63" t="s">
        <v>806</v>
      </c>
      <c r="J38" s="63" t="s">
        <v>807</v>
      </c>
      <c r="K38" s="55">
        <f t="shared" ca="1" si="0"/>
        <v>0</v>
      </c>
      <c r="L38" s="56" t="str">
        <f ca="1">IF(K38&gt;0,"Composition "&amp;SUM(K$4:K38),"")</f>
        <v/>
      </c>
      <c r="M38" s="55" cm="1">
        <f t="array" aca="1" ref="M38" ca="1">IF(K38=1,_xlfn.XLOOKUP(B38,OFFSET(IN_Zugliste!$A$4,0,0,IN_Zugliste!$A$2,1),OFFSET(IN_Zugliste!$K$4,0,0,IN_Zugliste!$A$2,1),0),0)+_xlfn.XLOOKUP(C38,OFFSET(IN_Zugliste!$A$4,0,0,IN_Zugliste!$A$2,1),OFFSET(IN_Zugliste!$K$4,0,0,IN_Zugliste!$A$2,1),0)</f>
        <v>34997</v>
      </c>
      <c r="N38" s="55" t="str" cm="1">
        <f t="array" aca="1" ref="N38" ca="1">IF(K38=1,_xlfn.XLOOKUP(B38,OFFSET(IN_Zugliste!$A$4,0,0,IN_Zugliste!$A$2,1),OFFSET(IN_Zugliste!$D$4,0,0,IN_Zugliste!$A$2,1),""),"")</f>
        <v/>
      </c>
      <c r="O38" s="55" t="str" cm="1">
        <f t="array" aca="1" ref="O38" ca="1">IF(L38&lt;&gt;"",L38,_xlfn.XLOOKUP(B38,OFFSET($C$4,0,0,$A$2,1),OFFSET($O$4,0,0,$A$2,1)))</f>
        <v>Composition 4</v>
      </c>
      <c r="P38" s="55" cm="1">
        <f t="array" aca="1" ref="P38" ca="1">MATCH(J38, _xlfn._xlws.FILTER($J$4:$J$430,$O$4:$O$430=O38), 0)+1</f>
        <v>9</v>
      </c>
      <c r="Q38" s="63" t="str">
        <f>_xlfn.XLOOKUP(B38, IN_Zugliste!A:A, IN_Zugliste!M:M, "")</f>
        <v>11:51:00</v>
      </c>
    </row>
    <row r="39" spans="1:17" ht="15" customHeight="1" x14ac:dyDescent="0.2">
      <c r="A39" s="63" t="s">
        <v>686</v>
      </c>
      <c r="B39" s="63" t="s">
        <v>624</v>
      </c>
      <c r="C39" s="63" t="s">
        <v>605</v>
      </c>
      <c r="D39" s="63" t="s">
        <v>727</v>
      </c>
      <c r="E39" s="63" t="s">
        <v>688</v>
      </c>
      <c r="F39" s="63" t="s">
        <v>808</v>
      </c>
      <c r="G39" s="63" t="s">
        <v>809</v>
      </c>
      <c r="H39" s="63" t="s">
        <v>691</v>
      </c>
      <c r="I39" s="63" t="s">
        <v>809</v>
      </c>
      <c r="J39" s="63" t="s">
        <v>810</v>
      </c>
      <c r="K39" s="55">
        <f t="shared" ca="1" si="0"/>
        <v>0</v>
      </c>
      <c r="L39" s="56" t="str">
        <f ca="1">IF(K39&gt;0,"Composition "&amp;SUM(K$4:K39),"")</f>
        <v/>
      </c>
      <c r="M39" s="55" cm="1">
        <f t="array" aca="1" ref="M39" ca="1">IF(K39=1,_xlfn.XLOOKUP(B39,OFFSET(IN_Zugliste!$A$4,0,0,IN_Zugliste!$A$2,1),OFFSET(IN_Zugliste!$K$4,0,0,IN_Zugliste!$A$2,1),0),0)+_xlfn.XLOOKUP(C39,OFFSET(IN_Zugliste!$A$4,0,0,IN_Zugliste!$A$2,1),OFFSET(IN_Zugliste!$K$4,0,0,IN_Zugliste!$A$2,1),0)</f>
        <v>35039</v>
      </c>
      <c r="N39" s="55" t="str" cm="1">
        <f t="array" aca="1" ref="N39" ca="1">IF(K39=1,_xlfn.XLOOKUP(B39,OFFSET(IN_Zugliste!$A$4,0,0,IN_Zugliste!$A$2,1),OFFSET(IN_Zugliste!$D$4,0,0,IN_Zugliste!$A$2,1),""),"")</f>
        <v/>
      </c>
      <c r="O39" s="55" t="str" cm="1">
        <f t="array" aca="1" ref="O39" ca="1">IF(L39&lt;&gt;"",L39,_xlfn.XLOOKUP(B39,OFFSET($C$4,0,0,$A$2,1),OFFSET($O$4,0,0,$A$2,1)))</f>
        <v>Composition 4</v>
      </c>
      <c r="P39" s="55" cm="1">
        <f t="array" aca="1" ref="P39" ca="1">MATCH(J39, _xlfn._xlws.FILTER($J$4:$J$430,$O$4:$O$430=O39), 0)+1</f>
        <v>10</v>
      </c>
      <c r="Q39" s="63" t="str">
        <f>_xlfn.XLOOKUP(B39, IN_Zugliste!A:A, IN_Zugliste!M:M, "")</f>
        <v>12:50:51</v>
      </c>
    </row>
    <row r="40" spans="1:17" ht="15" customHeight="1" x14ac:dyDescent="0.2">
      <c r="A40" s="63" t="s">
        <v>686</v>
      </c>
      <c r="B40" s="63" t="s">
        <v>77</v>
      </c>
      <c r="C40" s="63" t="s">
        <v>69</v>
      </c>
      <c r="D40" s="63" t="s">
        <v>811</v>
      </c>
      <c r="E40" s="63" t="s">
        <v>688</v>
      </c>
      <c r="F40" s="63" t="s">
        <v>812</v>
      </c>
      <c r="G40" s="63" t="s">
        <v>813</v>
      </c>
      <c r="H40" s="63" t="s">
        <v>691</v>
      </c>
      <c r="I40" s="63" t="s">
        <v>813</v>
      </c>
      <c r="J40" s="63" t="s">
        <v>814</v>
      </c>
      <c r="K40" s="55">
        <f t="shared" ca="1" si="0"/>
        <v>1</v>
      </c>
      <c r="L40" s="56" t="str">
        <f ca="1">IF(K40&gt;0,"Composition "&amp;SUM(K$4:K40),"")</f>
        <v>Composition 5</v>
      </c>
      <c r="M40" s="55" cm="1">
        <f t="array" aca="1" ref="M40" ca="1">IF(K40=1,_xlfn.XLOOKUP(B40,OFFSET(IN_Zugliste!$A$4,0,0,IN_Zugliste!$A$2,1),OFFSET(IN_Zugliste!$K$4,0,0,IN_Zugliste!$A$2,1),0),0)+_xlfn.XLOOKUP(C40,OFFSET(IN_Zugliste!$A$4,0,0,IN_Zugliste!$A$2,1),OFFSET(IN_Zugliste!$K$4,0,0,IN_Zugliste!$A$2,1),0)</f>
        <v>133414</v>
      </c>
      <c r="N40" s="55" t="str" cm="1">
        <f t="array" aca="1" ref="N40" ca="1">IF(K40=1,_xlfn.XLOOKUP(B40,OFFSET(IN_Zugliste!$A$4,0,0,IN_Zugliste!$A$2,1),OFFSET(IN_Zugliste!$D$4,0,0,IN_Zugliste!$A$2,1),""),"")</f>
        <v>146-3.2</v>
      </c>
      <c r="O40" s="55" t="str" cm="1">
        <f t="array" aca="1" ref="O40" ca="1">IF(L40&lt;&gt;"",L40,_xlfn.XLOOKUP(B40,OFFSET($C$4,0,0,$A$2,1),OFFSET($O$4,0,0,$A$2,1)))</f>
        <v>Composition 5</v>
      </c>
      <c r="P40" s="55" cm="1">
        <f t="array" aca="1" ref="P40" ca="1">MATCH(J40, _xlfn._xlws.FILTER($J$4:$J$430,$O$4:$O$430=O40), 0)+1</f>
        <v>2</v>
      </c>
      <c r="Q40" s="63" t="str">
        <f>_xlfn.XLOOKUP(B40, IN_Zugliste!A:A, IN_Zugliste!M:M, "")</f>
        <v>04:52:38</v>
      </c>
    </row>
    <row r="41" spans="1:17" ht="15" customHeight="1" x14ac:dyDescent="0.2">
      <c r="A41" s="63" t="s">
        <v>686</v>
      </c>
      <c r="B41" s="63" t="s">
        <v>69</v>
      </c>
      <c r="C41" s="63" t="s">
        <v>81</v>
      </c>
      <c r="D41" s="63" t="s">
        <v>723</v>
      </c>
      <c r="E41" s="63" t="s">
        <v>688</v>
      </c>
      <c r="F41" s="63" t="s">
        <v>815</v>
      </c>
      <c r="G41" s="63" t="s">
        <v>816</v>
      </c>
      <c r="H41" s="63" t="s">
        <v>817</v>
      </c>
      <c r="I41" s="63" t="s">
        <v>816</v>
      </c>
      <c r="J41" s="63" t="s">
        <v>818</v>
      </c>
      <c r="K41" s="55">
        <f t="shared" ca="1" si="0"/>
        <v>0</v>
      </c>
      <c r="L41" s="56" t="str">
        <f ca="1">IF(K41&gt;0,"Composition "&amp;SUM(K$4:K41),"")</f>
        <v/>
      </c>
      <c r="M41" s="55" cm="1">
        <f t="array" aca="1" ref="M41" ca="1">IF(K41=1,_xlfn.XLOOKUP(B41,OFFSET(IN_Zugliste!$A$4,0,0,IN_Zugliste!$A$2,1),OFFSET(IN_Zugliste!$K$4,0,0,IN_Zugliste!$A$2,1),0),0)+_xlfn.XLOOKUP(C41,OFFSET(IN_Zugliste!$A$4,0,0,IN_Zugliste!$A$2,1),OFFSET(IN_Zugliste!$K$4,0,0,IN_Zugliste!$A$2,1),0)</f>
        <v>66708</v>
      </c>
      <c r="N41" s="55" t="str" cm="1">
        <f t="array" aca="1" ref="N41" ca="1">IF(K41=1,_xlfn.XLOOKUP(B41,OFFSET(IN_Zugliste!$A$4,0,0,IN_Zugliste!$A$2,1),OFFSET(IN_Zugliste!$D$4,0,0,IN_Zugliste!$A$2,1),""),"")</f>
        <v/>
      </c>
      <c r="O41" s="55" t="str" cm="1">
        <f t="array" aca="1" ref="O41" ca="1">IF(L41&lt;&gt;"",L41,_xlfn.XLOOKUP(B41,OFFSET($C$4,0,0,$A$2,1),OFFSET($O$4,0,0,$A$2,1)))</f>
        <v>Composition 5</v>
      </c>
      <c r="P41" s="55" cm="1">
        <f t="array" aca="1" ref="P41" ca="1">MATCH(J41, _xlfn._xlws.FILTER($J$4:$J$430,$O$4:$O$430=O41), 0)+1</f>
        <v>3</v>
      </c>
      <c r="Q41" s="63" t="str">
        <f>_xlfn.XLOOKUP(B41, IN_Zugliste!A:A, IN_Zugliste!M:M, "")</f>
        <v>05:50:23</v>
      </c>
    </row>
    <row r="42" spans="1:17" ht="15" customHeight="1" x14ac:dyDescent="0.2">
      <c r="A42" s="63" t="s">
        <v>686</v>
      </c>
      <c r="B42" s="63" t="s">
        <v>81</v>
      </c>
      <c r="C42" s="63" t="s">
        <v>71</v>
      </c>
      <c r="D42" s="63" t="s">
        <v>811</v>
      </c>
      <c r="E42" s="63" t="s">
        <v>688</v>
      </c>
      <c r="F42" s="63" t="s">
        <v>819</v>
      </c>
      <c r="G42" s="63" t="s">
        <v>820</v>
      </c>
      <c r="H42" s="63" t="s">
        <v>691</v>
      </c>
      <c r="I42" s="63" t="s">
        <v>820</v>
      </c>
      <c r="J42" s="63" t="s">
        <v>821</v>
      </c>
      <c r="K42" s="55">
        <f t="shared" ca="1" si="0"/>
        <v>0</v>
      </c>
      <c r="L42" s="56" t="str">
        <f ca="1">IF(K42&gt;0,"Composition "&amp;SUM(K$4:K42),"")</f>
        <v/>
      </c>
      <c r="M42" s="55" cm="1">
        <f t="array" aca="1" ref="M42" ca="1">IF(K42=1,_xlfn.XLOOKUP(B42,OFFSET(IN_Zugliste!$A$4,0,0,IN_Zugliste!$A$2,1),OFFSET(IN_Zugliste!$K$4,0,0,IN_Zugliste!$A$2,1),0),0)+_xlfn.XLOOKUP(C42,OFFSET(IN_Zugliste!$A$4,0,0,IN_Zugliste!$A$2,1),OFFSET(IN_Zugliste!$K$4,0,0,IN_Zugliste!$A$2,1),0)</f>
        <v>66706</v>
      </c>
      <c r="N42" s="55" t="str" cm="1">
        <f t="array" aca="1" ref="N42" ca="1">IF(K42=1,_xlfn.XLOOKUP(B42,OFFSET(IN_Zugliste!$A$4,0,0,IN_Zugliste!$A$2,1),OFFSET(IN_Zugliste!$D$4,0,0,IN_Zugliste!$A$2,1),""),"")</f>
        <v/>
      </c>
      <c r="O42" s="55" t="str" cm="1">
        <f t="array" aca="1" ref="O42" ca="1">IF(L42&lt;&gt;"",L42,_xlfn.XLOOKUP(B42,OFFSET($C$4,0,0,$A$2,1),OFFSET($O$4,0,0,$A$2,1)))</f>
        <v>Composition 5</v>
      </c>
      <c r="P42" s="55" cm="1">
        <f t="array" aca="1" ref="P42" ca="1">MATCH(J42, _xlfn._xlws.FILTER($J$4:$J$430,$O$4:$O$430=O42), 0)+1</f>
        <v>4</v>
      </c>
      <c r="Q42" s="63" t="str">
        <f>_xlfn.XLOOKUP(B42, IN_Zugliste!A:A, IN_Zugliste!M:M, "")</f>
        <v>06:52:38</v>
      </c>
    </row>
    <row r="43" spans="1:17" ht="15" customHeight="1" x14ac:dyDescent="0.2">
      <c r="A43" s="63" t="s">
        <v>686</v>
      </c>
      <c r="B43" s="63" t="s">
        <v>71</v>
      </c>
      <c r="C43" s="63" t="s">
        <v>83</v>
      </c>
      <c r="D43" s="63" t="s">
        <v>723</v>
      </c>
      <c r="E43" s="63" t="s">
        <v>688</v>
      </c>
      <c r="F43" s="63" t="s">
        <v>822</v>
      </c>
      <c r="G43" s="63" t="s">
        <v>823</v>
      </c>
      <c r="H43" s="63" t="s">
        <v>817</v>
      </c>
      <c r="I43" s="63" t="s">
        <v>823</v>
      </c>
      <c r="J43" s="63" t="s">
        <v>824</v>
      </c>
      <c r="K43" s="55">
        <f t="shared" ca="1" si="0"/>
        <v>0</v>
      </c>
      <c r="L43" s="56" t="str">
        <f ca="1">IF(K43&gt;0,"Composition "&amp;SUM(K$4:K43),"")</f>
        <v/>
      </c>
      <c r="M43" s="55" cm="1">
        <f t="array" aca="1" ref="M43" ca="1">IF(K43=1,_xlfn.XLOOKUP(B43,OFFSET(IN_Zugliste!$A$4,0,0,IN_Zugliste!$A$2,1),OFFSET(IN_Zugliste!$K$4,0,0,IN_Zugliste!$A$2,1),0),0)+_xlfn.XLOOKUP(C43,OFFSET(IN_Zugliste!$A$4,0,0,IN_Zugliste!$A$2,1),OFFSET(IN_Zugliste!$K$4,0,0,IN_Zugliste!$A$2,1),0)</f>
        <v>66708</v>
      </c>
      <c r="N43" s="55" t="str" cm="1">
        <f t="array" aca="1" ref="N43" ca="1">IF(K43=1,_xlfn.XLOOKUP(B43,OFFSET(IN_Zugliste!$A$4,0,0,IN_Zugliste!$A$2,1),OFFSET(IN_Zugliste!$D$4,0,0,IN_Zugliste!$A$2,1),""),"")</f>
        <v/>
      </c>
      <c r="O43" s="55" t="str" cm="1">
        <f t="array" aca="1" ref="O43" ca="1">IF(L43&lt;&gt;"",L43,_xlfn.XLOOKUP(B43,OFFSET($C$4,0,0,$A$2,1),OFFSET($O$4,0,0,$A$2,1)))</f>
        <v>Composition 5</v>
      </c>
      <c r="P43" s="55" cm="1">
        <f t="array" aca="1" ref="P43" ca="1">MATCH(J43, _xlfn._xlws.FILTER($J$4:$J$430,$O$4:$O$430=O43), 0)+1</f>
        <v>5</v>
      </c>
      <c r="Q43" s="63" t="str">
        <f>_xlfn.XLOOKUP(B43, IN_Zugliste!A:A, IN_Zugliste!M:M, "")</f>
        <v>07:50:23</v>
      </c>
    </row>
    <row r="44" spans="1:17" ht="15" customHeight="1" x14ac:dyDescent="0.2">
      <c r="A44" s="63" t="s">
        <v>686</v>
      </c>
      <c r="B44" s="63" t="s">
        <v>83</v>
      </c>
      <c r="C44" s="63" t="s">
        <v>73</v>
      </c>
      <c r="D44" s="63" t="s">
        <v>811</v>
      </c>
      <c r="E44" s="63" t="s">
        <v>688</v>
      </c>
      <c r="F44" s="63" t="s">
        <v>825</v>
      </c>
      <c r="G44" s="63" t="s">
        <v>826</v>
      </c>
      <c r="H44" s="63" t="s">
        <v>691</v>
      </c>
      <c r="I44" s="63" t="s">
        <v>826</v>
      </c>
      <c r="J44" s="63" t="s">
        <v>827</v>
      </c>
      <c r="K44" s="55">
        <f t="shared" ca="1" si="0"/>
        <v>0</v>
      </c>
      <c r="L44" s="56" t="str">
        <f ca="1">IF(K44&gt;0,"Composition "&amp;SUM(K$4:K44),"")</f>
        <v/>
      </c>
      <c r="M44" s="55" cm="1">
        <f t="array" aca="1" ref="M44" ca="1">IF(K44=1,_xlfn.XLOOKUP(B44,OFFSET(IN_Zugliste!$A$4,0,0,IN_Zugliste!$A$2,1),OFFSET(IN_Zugliste!$K$4,0,0,IN_Zugliste!$A$2,1),0),0)+_xlfn.XLOOKUP(C44,OFFSET(IN_Zugliste!$A$4,0,0,IN_Zugliste!$A$2,1),OFFSET(IN_Zugliste!$K$4,0,0,IN_Zugliste!$A$2,1),0)</f>
        <v>66706</v>
      </c>
      <c r="N44" s="55" t="str" cm="1">
        <f t="array" aca="1" ref="N44" ca="1">IF(K44=1,_xlfn.XLOOKUP(B44,OFFSET(IN_Zugliste!$A$4,0,0,IN_Zugliste!$A$2,1),OFFSET(IN_Zugliste!$D$4,0,0,IN_Zugliste!$A$2,1),""),"")</f>
        <v/>
      </c>
      <c r="O44" s="55" t="str" cm="1">
        <f t="array" aca="1" ref="O44" ca="1">IF(L44&lt;&gt;"",L44,_xlfn.XLOOKUP(B44,OFFSET($C$4,0,0,$A$2,1),OFFSET($O$4,0,0,$A$2,1)))</f>
        <v>Composition 5</v>
      </c>
      <c r="P44" s="55" cm="1">
        <f t="array" aca="1" ref="P44" ca="1">MATCH(J44, _xlfn._xlws.FILTER($J$4:$J$430,$O$4:$O$430=O44), 0)+1</f>
        <v>6</v>
      </c>
      <c r="Q44" s="63" t="str">
        <f>_xlfn.XLOOKUP(B44, IN_Zugliste!A:A, IN_Zugliste!M:M, "")</f>
        <v>08:52:38</v>
      </c>
    </row>
    <row r="45" spans="1:17" ht="15" customHeight="1" x14ac:dyDescent="0.2">
      <c r="A45" s="63" t="s">
        <v>686</v>
      </c>
      <c r="B45" s="63" t="s">
        <v>73</v>
      </c>
      <c r="C45" s="63" t="s">
        <v>85</v>
      </c>
      <c r="D45" s="63" t="s">
        <v>723</v>
      </c>
      <c r="E45" s="63" t="s">
        <v>688</v>
      </c>
      <c r="F45" s="63" t="s">
        <v>828</v>
      </c>
      <c r="G45" s="63" t="s">
        <v>829</v>
      </c>
      <c r="H45" s="63" t="s">
        <v>817</v>
      </c>
      <c r="I45" s="63" t="s">
        <v>829</v>
      </c>
      <c r="J45" s="63" t="s">
        <v>830</v>
      </c>
      <c r="K45" s="55">
        <f t="shared" ca="1" si="0"/>
        <v>0</v>
      </c>
      <c r="L45" s="56" t="str">
        <f ca="1">IF(K45&gt;0,"Composition "&amp;SUM(K$4:K45),"")</f>
        <v/>
      </c>
      <c r="M45" s="55" cm="1">
        <f t="array" aca="1" ref="M45" ca="1">IF(K45=1,_xlfn.XLOOKUP(B45,OFFSET(IN_Zugliste!$A$4,0,0,IN_Zugliste!$A$2,1),OFFSET(IN_Zugliste!$K$4,0,0,IN_Zugliste!$A$2,1),0),0)+_xlfn.XLOOKUP(C45,OFFSET(IN_Zugliste!$A$4,0,0,IN_Zugliste!$A$2,1),OFFSET(IN_Zugliste!$K$4,0,0,IN_Zugliste!$A$2,1),0)</f>
        <v>66708</v>
      </c>
      <c r="N45" s="55" t="str" cm="1">
        <f t="array" aca="1" ref="N45" ca="1">IF(K45=1,_xlfn.XLOOKUP(B45,OFFSET(IN_Zugliste!$A$4,0,0,IN_Zugliste!$A$2,1),OFFSET(IN_Zugliste!$D$4,0,0,IN_Zugliste!$A$2,1),""),"")</f>
        <v/>
      </c>
      <c r="O45" s="55" t="str" cm="1">
        <f t="array" aca="1" ref="O45" ca="1">IF(L45&lt;&gt;"",L45,_xlfn.XLOOKUP(B45,OFFSET($C$4,0,0,$A$2,1),OFFSET($O$4,0,0,$A$2,1)))</f>
        <v>Composition 5</v>
      </c>
      <c r="P45" s="55" cm="1">
        <f t="array" aca="1" ref="P45" ca="1">MATCH(J45, _xlfn._xlws.FILTER($J$4:$J$430,$O$4:$O$430=O45), 0)+1</f>
        <v>7</v>
      </c>
      <c r="Q45" s="63" t="str">
        <f>_xlfn.XLOOKUP(B45, IN_Zugliste!A:A, IN_Zugliste!M:M, "")</f>
        <v>09:50:23</v>
      </c>
    </row>
    <row r="46" spans="1:17" ht="15" customHeight="1" x14ac:dyDescent="0.2">
      <c r="A46" s="63" t="s">
        <v>686</v>
      </c>
      <c r="B46" s="63" t="s">
        <v>85</v>
      </c>
      <c r="C46" s="63" t="s">
        <v>75</v>
      </c>
      <c r="D46" s="63" t="s">
        <v>811</v>
      </c>
      <c r="E46" s="63" t="s">
        <v>688</v>
      </c>
      <c r="F46" s="63" t="s">
        <v>831</v>
      </c>
      <c r="G46" s="63" t="s">
        <v>832</v>
      </c>
      <c r="H46" s="63" t="s">
        <v>691</v>
      </c>
      <c r="I46" s="63" t="s">
        <v>832</v>
      </c>
      <c r="J46" s="63" t="s">
        <v>833</v>
      </c>
      <c r="K46" s="55">
        <f t="shared" ca="1" si="0"/>
        <v>0</v>
      </c>
      <c r="L46" s="56" t="str">
        <f ca="1">IF(K46&gt;0,"Composition "&amp;SUM(K$4:K46),"")</f>
        <v/>
      </c>
      <c r="M46" s="55" cm="1">
        <f t="array" aca="1" ref="M46" ca="1">IF(K46=1,_xlfn.XLOOKUP(B46,OFFSET(IN_Zugliste!$A$4,0,0,IN_Zugliste!$A$2,1),OFFSET(IN_Zugliste!$K$4,0,0,IN_Zugliste!$A$2,1),0),0)+_xlfn.XLOOKUP(C46,OFFSET(IN_Zugliste!$A$4,0,0,IN_Zugliste!$A$2,1),OFFSET(IN_Zugliste!$K$4,0,0,IN_Zugliste!$A$2,1),0)</f>
        <v>66706</v>
      </c>
      <c r="N46" s="55" t="str" cm="1">
        <f t="array" aca="1" ref="N46" ca="1">IF(K46=1,_xlfn.XLOOKUP(B46,OFFSET(IN_Zugliste!$A$4,0,0,IN_Zugliste!$A$2,1),OFFSET(IN_Zugliste!$D$4,0,0,IN_Zugliste!$A$2,1),""),"")</f>
        <v/>
      </c>
      <c r="O46" s="55" t="str" cm="1">
        <f t="array" aca="1" ref="O46" ca="1">IF(L46&lt;&gt;"",L46,_xlfn.XLOOKUP(B46,OFFSET($C$4,0,0,$A$2,1),OFFSET($O$4,0,0,$A$2,1)))</f>
        <v>Composition 5</v>
      </c>
      <c r="P46" s="55" cm="1">
        <f t="array" aca="1" ref="P46" ca="1">MATCH(J46, _xlfn._xlws.FILTER($J$4:$J$430,$O$4:$O$430=O46), 0)+1</f>
        <v>8</v>
      </c>
      <c r="Q46" s="63" t="str">
        <f>_xlfn.XLOOKUP(B46, IN_Zugliste!A:A, IN_Zugliste!M:M, "")</f>
        <v>10:52:38</v>
      </c>
    </row>
    <row r="47" spans="1:17" ht="15" customHeight="1" x14ac:dyDescent="0.2">
      <c r="A47" s="63" t="s">
        <v>686</v>
      </c>
      <c r="B47" s="63" t="s">
        <v>75</v>
      </c>
      <c r="C47" s="63" t="s">
        <v>87</v>
      </c>
      <c r="D47" s="63" t="s">
        <v>723</v>
      </c>
      <c r="E47" s="63" t="s">
        <v>688</v>
      </c>
      <c r="F47" s="63" t="s">
        <v>834</v>
      </c>
      <c r="G47" s="63" t="s">
        <v>835</v>
      </c>
      <c r="H47" s="63" t="s">
        <v>817</v>
      </c>
      <c r="I47" s="63" t="s">
        <v>835</v>
      </c>
      <c r="J47" s="63" t="s">
        <v>836</v>
      </c>
      <c r="K47" s="55">
        <f t="shared" ca="1" si="0"/>
        <v>0</v>
      </c>
      <c r="L47" s="56" t="str">
        <f ca="1">IF(K47&gt;0,"Composition "&amp;SUM(K$4:K47),"")</f>
        <v/>
      </c>
      <c r="M47" s="55" cm="1">
        <f t="array" aca="1" ref="M47" ca="1">IF(K47=1,_xlfn.XLOOKUP(B47,OFFSET(IN_Zugliste!$A$4,0,0,IN_Zugliste!$A$2,1),OFFSET(IN_Zugliste!$K$4,0,0,IN_Zugliste!$A$2,1),0),0)+_xlfn.XLOOKUP(C47,OFFSET(IN_Zugliste!$A$4,0,0,IN_Zugliste!$A$2,1),OFFSET(IN_Zugliste!$K$4,0,0,IN_Zugliste!$A$2,1),0)</f>
        <v>66708</v>
      </c>
      <c r="N47" s="55" t="str" cm="1">
        <f t="array" aca="1" ref="N47" ca="1">IF(K47=1,_xlfn.XLOOKUP(B47,OFFSET(IN_Zugliste!$A$4,0,0,IN_Zugliste!$A$2,1),OFFSET(IN_Zugliste!$D$4,0,0,IN_Zugliste!$A$2,1),""),"")</f>
        <v/>
      </c>
      <c r="O47" s="55" t="str" cm="1">
        <f t="array" aca="1" ref="O47" ca="1">IF(L47&lt;&gt;"",L47,_xlfn.XLOOKUP(B47,OFFSET($C$4,0,0,$A$2,1),OFFSET($O$4,0,0,$A$2,1)))</f>
        <v>Composition 5</v>
      </c>
      <c r="P47" s="55" cm="1">
        <f t="array" aca="1" ref="P47" ca="1">MATCH(J47, _xlfn._xlws.FILTER($J$4:$J$430,$O$4:$O$430=O47), 0)+1</f>
        <v>9</v>
      </c>
      <c r="Q47" s="63" t="str">
        <f>_xlfn.XLOOKUP(B47, IN_Zugliste!A:A, IN_Zugliste!M:M, "")</f>
        <v>11:50:23</v>
      </c>
    </row>
    <row r="48" spans="1:17" ht="15" customHeight="1" x14ac:dyDescent="0.2">
      <c r="A48" s="63" t="s">
        <v>686</v>
      </c>
      <c r="B48" s="63" t="s">
        <v>87</v>
      </c>
      <c r="C48" s="63" t="s">
        <v>68</v>
      </c>
      <c r="D48" s="63" t="s">
        <v>811</v>
      </c>
      <c r="E48" s="63" t="s">
        <v>688</v>
      </c>
      <c r="F48" s="63" t="s">
        <v>837</v>
      </c>
      <c r="G48" s="63" t="s">
        <v>838</v>
      </c>
      <c r="H48" s="63" t="s">
        <v>691</v>
      </c>
      <c r="I48" s="63" t="s">
        <v>838</v>
      </c>
      <c r="J48" s="63" t="s">
        <v>839</v>
      </c>
      <c r="K48" s="55">
        <f t="shared" ca="1" si="0"/>
        <v>0</v>
      </c>
      <c r="L48" s="56" t="str">
        <f ca="1">IF(K48&gt;0,"Composition "&amp;SUM(K$4:K48),"")</f>
        <v/>
      </c>
      <c r="M48" s="55" cm="1">
        <f t="array" aca="1" ref="M48" ca="1">IF(K48=1,_xlfn.XLOOKUP(B48,OFFSET(IN_Zugliste!$A$4,0,0,IN_Zugliste!$A$2,1),OFFSET(IN_Zugliste!$K$4,0,0,IN_Zugliste!$A$2,1),0),0)+_xlfn.XLOOKUP(C48,OFFSET(IN_Zugliste!$A$4,0,0,IN_Zugliste!$A$2,1),OFFSET(IN_Zugliste!$K$4,0,0,IN_Zugliste!$A$2,1),0)</f>
        <v>66706</v>
      </c>
      <c r="N48" s="55" t="str" cm="1">
        <f t="array" aca="1" ref="N48" ca="1">IF(K48=1,_xlfn.XLOOKUP(B48,OFFSET(IN_Zugliste!$A$4,0,0,IN_Zugliste!$A$2,1),OFFSET(IN_Zugliste!$D$4,0,0,IN_Zugliste!$A$2,1),""),"")</f>
        <v/>
      </c>
      <c r="O48" s="55" t="str" cm="1">
        <f t="array" aca="1" ref="O48" ca="1">IF(L48&lt;&gt;"",L48,_xlfn.XLOOKUP(B48,OFFSET($C$4,0,0,$A$2,1),OFFSET($O$4,0,0,$A$2,1)))</f>
        <v>Composition 5</v>
      </c>
      <c r="P48" s="55" cm="1">
        <f t="array" aca="1" ref="P48" ca="1">MATCH(J48, _xlfn._xlws.FILTER($J$4:$J$430,$O$4:$O$430=O48), 0)+1</f>
        <v>10</v>
      </c>
      <c r="Q48" s="63" t="str">
        <f>_xlfn.XLOOKUP(B48, IN_Zugliste!A:A, IN_Zugliste!M:M, "")</f>
        <v>12:52:38</v>
      </c>
    </row>
    <row r="49" spans="1:17" ht="15" customHeight="1" x14ac:dyDescent="0.2">
      <c r="A49" s="63" t="s">
        <v>686</v>
      </c>
      <c r="B49" s="63" t="s">
        <v>64</v>
      </c>
      <c r="C49" s="63" t="s">
        <v>80</v>
      </c>
      <c r="D49" s="63" t="s">
        <v>723</v>
      </c>
      <c r="E49" s="63" t="s">
        <v>688</v>
      </c>
      <c r="F49" s="63" t="s">
        <v>840</v>
      </c>
      <c r="G49" s="63" t="s">
        <v>841</v>
      </c>
      <c r="H49" s="63" t="s">
        <v>817</v>
      </c>
      <c r="I49" s="63" t="s">
        <v>841</v>
      </c>
      <c r="J49" s="63" t="s">
        <v>842</v>
      </c>
      <c r="K49" s="55">
        <f t="shared" ca="1" si="0"/>
        <v>1</v>
      </c>
      <c r="L49" s="56" t="str">
        <f ca="1">IF(K49&gt;0,"Composition "&amp;SUM(K$4:K49),"")</f>
        <v>Composition 6</v>
      </c>
      <c r="M49" s="55" cm="1">
        <f t="array" aca="1" ref="M49" ca="1">IF(K49=1,_xlfn.XLOOKUP(B49,OFFSET(IN_Zugliste!$A$4,0,0,IN_Zugliste!$A$2,1),OFFSET(IN_Zugliste!$K$4,0,0,IN_Zugliste!$A$2,1),0),0)+_xlfn.XLOOKUP(C49,OFFSET(IN_Zugliste!$A$4,0,0,IN_Zugliste!$A$2,1),OFFSET(IN_Zugliste!$K$4,0,0,IN_Zugliste!$A$2,1),0)</f>
        <v>133414</v>
      </c>
      <c r="N49" s="55" t="str" cm="1">
        <f t="array" aca="1" ref="N49" ca="1">IF(K49=1,_xlfn.XLOOKUP(B49,OFFSET(IN_Zugliste!$A$4,0,0,IN_Zugliste!$A$2,1),OFFSET(IN_Zugliste!$D$4,0,0,IN_Zugliste!$A$2,1),""),"")</f>
        <v>146-3.2</v>
      </c>
      <c r="O49" s="55" t="str" cm="1">
        <f t="array" aca="1" ref="O49" ca="1">IF(L49&lt;&gt;"",L49,_xlfn.XLOOKUP(B49,OFFSET($C$4,0,0,$A$2,1),OFFSET($O$4,0,0,$A$2,1)))</f>
        <v>Composition 6</v>
      </c>
      <c r="P49" s="55" cm="1">
        <f t="array" aca="1" ref="P49" ca="1">MATCH(J49, _xlfn._xlws.FILTER($J$4:$J$430,$O$4:$O$430=O49), 0)+1</f>
        <v>2</v>
      </c>
      <c r="Q49" s="63" t="str">
        <f>_xlfn.XLOOKUP(B49, IN_Zugliste!A:A, IN_Zugliste!M:M, "")</f>
        <v>04:50:23</v>
      </c>
    </row>
    <row r="50" spans="1:17" ht="15" customHeight="1" x14ac:dyDescent="0.2">
      <c r="A50" s="63" t="s">
        <v>686</v>
      </c>
      <c r="B50" s="63" t="s">
        <v>80</v>
      </c>
      <c r="C50" s="63" t="s">
        <v>70</v>
      </c>
      <c r="D50" s="63" t="s">
        <v>811</v>
      </c>
      <c r="E50" s="63" t="s">
        <v>688</v>
      </c>
      <c r="F50" s="63" t="s">
        <v>843</v>
      </c>
      <c r="G50" s="63" t="s">
        <v>844</v>
      </c>
      <c r="H50" s="63" t="s">
        <v>691</v>
      </c>
      <c r="I50" s="63" t="s">
        <v>844</v>
      </c>
      <c r="J50" s="63" t="s">
        <v>845</v>
      </c>
      <c r="K50" s="55">
        <f t="shared" ca="1" si="0"/>
        <v>0</v>
      </c>
      <c r="L50" s="56" t="str">
        <f ca="1">IF(K50&gt;0,"Composition "&amp;SUM(K$4:K50),"")</f>
        <v/>
      </c>
      <c r="M50" s="55" cm="1">
        <f t="array" aca="1" ref="M50" ca="1">IF(K50=1,_xlfn.XLOOKUP(B50,OFFSET(IN_Zugliste!$A$4,0,0,IN_Zugliste!$A$2,1),OFFSET(IN_Zugliste!$K$4,0,0,IN_Zugliste!$A$2,1),0),0)+_xlfn.XLOOKUP(C50,OFFSET(IN_Zugliste!$A$4,0,0,IN_Zugliste!$A$2,1),OFFSET(IN_Zugliste!$K$4,0,0,IN_Zugliste!$A$2,1),0)</f>
        <v>66706</v>
      </c>
      <c r="N50" s="55" t="str" cm="1">
        <f t="array" aca="1" ref="N50" ca="1">IF(K50=1,_xlfn.XLOOKUP(B50,OFFSET(IN_Zugliste!$A$4,0,0,IN_Zugliste!$A$2,1),OFFSET(IN_Zugliste!$D$4,0,0,IN_Zugliste!$A$2,1),""),"")</f>
        <v/>
      </c>
      <c r="O50" s="55" t="str" cm="1">
        <f t="array" aca="1" ref="O50" ca="1">IF(L50&lt;&gt;"",L50,_xlfn.XLOOKUP(B50,OFFSET($C$4,0,0,$A$2,1),OFFSET($O$4,0,0,$A$2,1)))</f>
        <v>Composition 6</v>
      </c>
      <c r="P50" s="55" cm="1">
        <f t="array" aca="1" ref="P50" ca="1">MATCH(J50, _xlfn._xlws.FILTER($J$4:$J$430,$O$4:$O$430=O50), 0)+1</f>
        <v>3</v>
      </c>
      <c r="Q50" s="63" t="str">
        <f>_xlfn.XLOOKUP(B50, IN_Zugliste!A:A, IN_Zugliste!M:M, "")</f>
        <v>05:52:38</v>
      </c>
    </row>
    <row r="51" spans="1:17" ht="15" customHeight="1" x14ac:dyDescent="0.2">
      <c r="A51" s="63" t="s">
        <v>686</v>
      </c>
      <c r="B51" s="63" t="s">
        <v>70</v>
      </c>
      <c r="C51" s="63" t="s">
        <v>82</v>
      </c>
      <c r="D51" s="63" t="s">
        <v>723</v>
      </c>
      <c r="E51" s="63" t="s">
        <v>688</v>
      </c>
      <c r="F51" s="63" t="s">
        <v>846</v>
      </c>
      <c r="G51" s="63" t="s">
        <v>847</v>
      </c>
      <c r="H51" s="63" t="s">
        <v>817</v>
      </c>
      <c r="I51" s="63" t="s">
        <v>847</v>
      </c>
      <c r="J51" s="63" t="s">
        <v>848</v>
      </c>
      <c r="K51" s="55">
        <f t="shared" ca="1" si="0"/>
        <v>0</v>
      </c>
      <c r="L51" s="56" t="str">
        <f ca="1">IF(K51&gt;0,"Composition "&amp;SUM(K$4:K51),"")</f>
        <v/>
      </c>
      <c r="M51" s="55" cm="1">
        <f t="array" aca="1" ref="M51" ca="1">IF(K51=1,_xlfn.XLOOKUP(B51,OFFSET(IN_Zugliste!$A$4,0,0,IN_Zugliste!$A$2,1),OFFSET(IN_Zugliste!$K$4,0,0,IN_Zugliste!$A$2,1),0),0)+_xlfn.XLOOKUP(C51,OFFSET(IN_Zugliste!$A$4,0,0,IN_Zugliste!$A$2,1),OFFSET(IN_Zugliste!$K$4,0,0,IN_Zugliste!$A$2,1),0)</f>
        <v>66708</v>
      </c>
      <c r="N51" s="55" t="str" cm="1">
        <f t="array" aca="1" ref="N51" ca="1">IF(K51=1,_xlfn.XLOOKUP(B51,OFFSET(IN_Zugliste!$A$4,0,0,IN_Zugliste!$A$2,1),OFFSET(IN_Zugliste!$D$4,0,0,IN_Zugliste!$A$2,1),""),"")</f>
        <v/>
      </c>
      <c r="O51" s="55" t="str" cm="1">
        <f t="array" aca="1" ref="O51" ca="1">IF(L51&lt;&gt;"",L51,_xlfn.XLOOKUP(B51,OFFSET($C$4,0,0,$A$2,1),OFFSET($O$4,0,0,$A$2,1)))</f>
        <v>Composition 6</v>
      </c>
      <c r="P51" s="55" cm="1">
        <f t="array" aca="1" ref="P51" ca="1">MATCH(J51, _xlfn._xlws.FILTER($J$4:$J$430,$O$4:$O$430=O51), 0)+1</f>
        <v>4</v>
      </c>
      <c r="Q51" s="63" t="str">
        <f>_xlfn.XLOOKUP(B51, IN_Zugliste!A:A, IN_Zugliste!M:M, "")</f>
        <v>06:50:23</v>
      </c>
    </row>
    <row r="52" spans="1:17" ht="15" customHeight="1" x14ac:dyDescent="0.2">
      <c r="A52" s="63" t="s">
        <v>686</v>
      </c>
      <c r="B52" s="63" t="s">
        <v>82</v>
      </c>
      <c r="C52" s="63" t="s">
        <v>72</v>
      </c>
      <c r="D52" s="63" t="s">
        <v>811</v>
      </c>
      <c r="E52" s="63" t="s">
        <v>688</v>
      </c>
      <c r="F52" s="63" t="s">
        <v>849</v>
      </c>
      <c r="G52" s="63" t="s">
        <v>850</v>
      </c>
      <c r="H52" s="63" t="s">
        <v>691</v>
      </c>
      <c r="I52" s="63" t="s">
        <v>850</v>
      </c>
      <c r="J52" s="63" t="s">
        <v>851</v>
      </c>
      <c r="K52" s="55">
        <f t="shared" ca="1" si="0"/>
        <v>0</v>
      </c>
      <c r="L52" s="56" t="str">
        <f ca="1">IF(K52&gt;0,"Composition "&amp;SUM(K$4:K52),"")</f>
        <v/>
      </c>
      <c r="M52" s="55" cm="1">
        <f t="array" aca="1" ref="M52" ca="1">IF(K52=1,_xlfn.XLOOKUP(B52,OFFSET(IN_Zugliste!$A$4,0,0,IN_Zugliste!$A$2,1),OFFSET(IN_Zugliste!$K$4,0,0,IN_Zugliste!$A$2,1),0),0)+_xlfn.XLOOKUP(C52,OFFSET(IN_Zugliste!$A$4,0,0,IN_Zugliste!$A$2,1),OFFSET(IN_Zugliste!$K$4,0,0,IN_Zugliste!$A$2,1),0)</f>
        <v>66706</v>
      </c>
      <c r="N52" s="55" t="str" cm="1">
        <f t="array" aca="1" ref="N52" ca="1">IF(K52=1,_xlfn.XLOOKUP(B52,OFFSET(IN_Zugliste!$A$4,0,0,IN_Zugliste!$A$2,1),OFFSET(IN_Zugliste!$D$4,0,0,IN_Zugliste!$A$2,1),""),"")</f>
        <v/>
      </c>
      <c r="O52" s="55" t="str" cm="1">
        <f t="array" aca="1" ref="O52" ca="1">IF(L52&lt;&gt;"",L52,_xlfn.XLOOKUP(B52,OFFSET($C$4,0,0,$A$2,1),OFFSET($O$4,0,0,$A$2,1)))</f>
        <v>Composition 6</v>
      </c>
      <c r="P52" s="55" cm="1">
        <f t="array" aca="1" ref="P52" ca="1">MATCH(J52, _xlfn._xlws.FILTER($J$4:$J$430,$O$4:$O$430=O52), 0)+1</f>
        <v>5</v>
      </c>
      <c r="Q52" s="63" t="str">
        <f>_xlfn.XLOOKUP(B52, IN_Zugliste!A:A, IN_Zugliste!M:M, "")</f>
        <v>07:52:38</v>
      </c>
    </row>
    <row r="53" spans="1:17" ht="15" customHeight="1" x14ac:dyDescent="0.2">
      <c r="A53" s="63" t="s">
        <v>686</v>
      </c>
      <c r="B53" s="63" t="s">
        <v>72</v>
      </c>
      <c r="C53" s="63" t="s">
        <v>84</v>
      </c>
      <c r="D53" s="63" t="s">
        <v>723</v>
      </c>
      <c r="E53" s="63" t="s">
        <v>688</v>
      </c>
      <c r="F53" s="63" t="s">
        <v>852</v>
      </c>
      <c r="G53" s="63" t="s">
        <v>853</v>
      </c>
      <c r="H53" s="63" t="s">
        <v>817</v>
      </c>
      <c r="I53" s="63" t="s">
        <v>853</v>
      </c>
      <c r="J53" s="63" t="s">
        <v>854</v>
      </c>
      <c r="K53" s="55">
        <f t="shared" ca="1" si="0"/>
        <v>0</v>
      </c>
      <c r="L53" s="56" t="str">
        <f ca="1">IF(K53&gt;0,"Composition "&amp;SUM(K$4:K53),"")</f>
        <v/>
      </c>
      <c r="M53" s="55" cm="1">
        <f t="array" aca="1" ref="M53" ca="1">IF(K53=1,_xlfn.XLOOKUP(B53,OFFSET(IN_Zugliste!$A$4,0,0,IN_Zugliste!$A$2,1),OFFSET(IN_Zugliste!$K$4,0,0,IN_Zugliste!$A$2,1),0),0)+_xlfn.XLOOKUP(C53,OFFSET(IN_Zugliste!$A$4,0,0,IN_Zugliste!$A$2,1),OFFSET(IN_Zugliste!$K$4,0,0,IN_Zugliste!$A$2,1),0)</f>
        <v>66708</v>
      </c>
      <c r="N53" s="55" t="str" cm="1">
        <f t="array" aca="1" ref="N53" ca="1">IF(K53=1,_xlfn.XLOOKUP(B53,OFFSET(IN_Zugliste!$A$4,0,0,IN_Zugliste!$A$2,1),OFFSET(IN_Zugliste!$D$4,0,0,IN_Zugliste!$A$2,1),""),"")</f>
        <v/>
      </c>
      <c r="O53" s="55" t="str" cm="1">
        <f t="array" aca="1" ref="O53" ca="1">IF(L53&lt;&gt;"",L53,_xlfn.XLOOKUP(B53,OFFSET($C$4,0,0,$A$2,1),OFFSET($O$4,0,0,$A$2,1)))</f>
        <v>Composition 6</v>
      </c>
      <c r="P53" s="55" cm="1">
        <f t="array" aca="1" ref="P53" ca="1">MATCH(J53, _xlfn._xlws.FILTER($J$4:$J$430,$O$4:$O$430=O53), 0)+1</f>
        <v>6</v>
      </c>
      <c r="Q53" s="63" t="str">
        <f>_xlfn.XLOOKUP(B53, IN_Zugliste!A:A, IN_Zugliste!M:M, "")</f>
        <v>08:50:23</v>
      </c>
    </row>
    <row r="54" spans="1:17" ht="15" customHeight="1" x14ac:dyDescent="0.2">
      <c r="A54" s="63" t="s">
        <v>686</v>
      </c>
      <c r="B54" s="63" t="s">
        <v>84</v>
      </c>
      <c r="C54" s="63" t="s">
        <v>74</v>
      </c>
      <c r="D54" s="63" t="s">
        <v>811</v>
      </c>
      <c r="E54" s="63" t="s">
        <v>688</v>
      </c>
      <c r="F54" s="63" t="s">
        <v>855</v>
      </c>
      <c r="G54" s="63" t="s">
        <v>856</v>
      </c>
      <c r="H54" s="63" t="s">
        <v>691</v>
      </c>
      <c r="I54" s="63" t="s">
        <v>856</v>
      </c>
      <c r="J54" s="63" t="s">
        <v>857</v>
      </c>
      <c r="K54" s="55">
        <f t="shared" ca="1" si="0"/>
        <v>0</v>
      </c>
      <c r="L54" s="56" t="str">
        <f ca="1">IF(K54&gt;0,"Composition "&amp;SUM(K$4:K54),"")</f>
        <v/>
      </c>
      <c r="M54" s="55" cm="1">
        <f t="array" aca="1" ref="M54" ca="1">IF(K54=1,_xlfn.XLOOKUP(B54,OFFSET(IN_Zugliste!$A$4,0,0,IN_Zugliste!$A$2,1),OFFSET(IN_Zugliste!$K$4,0,0,IN_Zugliste!$A$2,1),0),0)+_xlfn.XLOOKUP(C54,OFFSET(IN_Zugliste!$A$4,0,0,IN_Zugliste!$A$2,1),OFFSET(IN_Zugliste!$K$4,0,0,IN_Zugliste!$A$2,1),0)</f>
        <v>66706</v>
      </c>
      <c r="N54" s="55" t="str" cm="1">
        <f t="array" aca="1" ref="N54" ca="1">IF(K54=1,_xlfn.XLOOKUP(B54,OFFSET(IN_Zugliste!$A$4,0,0,IN_Zugliste!$A$2,1),OFFSET(IN_Zugliste!$D$4,0,0,IN_Zugliste!$A$2,1),""),"")</f>
        <v/>
      </c>
      <c r="O54" s="55" t="str" cm="1">
        <f t="array" aca="1" ref="O54" ca="1">IF(L54&lt;&gt;"",L54,_xlfn.XLOOKUP(B54,OFFSET($C$4,0,0,$A$2,1),OFFSET($O$4,0,0,$A$2,1)))</f>
        <v>Composition 6</v>
      </c>
      <c r="P54" s="55" cm="1">
        <f t="array" aca="1" ref="P54" ca="1">MATCH(J54, _xlfn._xlws.FILTER($J$4:$J$430,$O$4:$O$430=O54), 0)+1</f>
        <v>7</v>
      </c>
      <c r="Q54" s="63" t="str">
        <f>_xlfn.XLOOKUP(B54, IN_Zugliste!A:A, IN_Zugliste!M:M, "")</f>
        <v>09:52:38</v>
      </c>
    </row>
    <row r="55" spans="1:17" ht="15" customHeight="1" x14ac:dyDescent="0.2">
      <c r="A55" s="63" t="s">
        <v>686</v>
      </c>
      <c r="B55" s="63" t="s">
        <v>74</v>
      </c>
      <c r="C55" s="63" t="s">
        <v>86</v>
      </c>
      <c r="D55" s="63" t="s">
        <v>723</v>
      </c>
      <c r="E55" s="63" t="s">
        <v>688</v>
      </c>
      <c r="F55" s="63" t="s">
        <v>858</v>
      </c>
      <c r="G55" s="63" t="s">
        <v>859</v>
      </c>
      <c r="H55" s="63" t="s">
        <v>817</v>
      </c>
      <c r="I55" s="63" t="s">
        <v>859</v>
      </c>
      <c r="J55" s="63" t="s">
        <v>860</v>
      </c>
      <c r="K55" s="55">
        <f t="shared" ca="1" si="0"/>
        <v>0</v>
      </c>
      <c r="L55" s="56" t="str">
        <f ca="1">IF(K55&gt;0,"Composition "&amp;SUM(K$4:K55),"")</f>
        <v/>
      </c>
      <c r="M55" s="55" cm="1">
        <f t="array" aca="1" ref="M55" ca="1">IF(K55=1,_xlfn.XLOOKUP(B55,OFFSET(IN_Zugliste!$A$4,0,0,IN_Zugliste!$A$2,1),OFFSET(IN_Zugliste!$K$4,0,0,IN_Zugliste!$A$2,1),0),0)+_xlfn.XLOOKUP(C55,OFFSET(IN_Zugliste!$A$4,0,0,IN_Zugliste!$A$2,1),OFFSET(IN_Zugliste!$K$4,0,0,IN_Zugliste!$A$2,1),0)</f>
        <v>66708</v>
      </c>
      <c r="N55" s="55" t="str" cm="1">
        <f t="array" aca="1" ref="N55" ca="1">IF(K55=1,_xlfn.XLOOKUP(B55,OFFSET(IN_Zugliste!$A$4,0,0,IN_Zugliste!$A$2,1),OFFSET(IN_Zugliste!$D$4,0,0,IN_Zugliste!$A$2,1),""),"")</f>
        <v/>
      </c>
      <c r="O55" s="55" t="str" cm="1">
        <f t="array" aca="1" ref="O55" ca="1">IF(L55&lt;&gt;"",L55,_xlfn.XLOOKUP(B55,OFFSET($C$4,0,0,$A$2,1),OFFSET($O$4,0,0,$A$2,1)))</f>
        <v>Composition 6</v>
      </c>
      <c r="P55" s="55" cm="1">
        <f t="array" aca="1" ref="P55" ca="1">MATCH(J55, _xlfn._xlws.FILTER($J$4:$J$430,$O$4:$O$430=O55), 0)+1</f>
        <v>8</v>
      </c>
      <c r="Q55" s="63" t="str">
        <f>_xlfn.XLOOKUP(B55, IN_Zugliste!A:A, IN_Zugliste!M:M, "")</f>
        <v>10:50:23</v>
      </c>
    </row>
    <row r="56" spans="1:17" ht="15" customHeight="1" x14ac:dyDescent="0.2">
      <c r="A56" s="63" t="s">
        <v>686</v>
      </c>
      <c r="B56" s="63" t="s">
        <v>86</v>
      </c>
      <c r="C56" s="63" t="s">
        <v>76</v>
      </c>
      <c r="D56" s="63" t="s">
        <v>811</v>
      </c>
      <c r="E56" s="63" t="s">
        <v>688</v>
      </c>
      <c r="F56" s="63" t="s">
        <v>861</v>
      </c>
      <c r="G56" s="63" t="s">
        <v>862</v>
      </c>
      <c r="H56" s="63" t="s">
        <v>691</v>
      </c>
      <c r="I56" s="63" t="s">
        <v>862</v>
      </c>
      <c r="J56" s="63" t="s">
        <v>863</v>
      </c>
      <c r="K56" s="55">
        <f t="shared" ca="1" si="0"/>
        <v>0</v>
      </c>
      <c r="L56" s="56" t="str">
        <f ca="1">IF(K56&gt;0,"Composition "&amp;SUM(K$4:K56),"")</f>
        <v/>
      </c>
      <c r="M56" s="55" cm="1">
        <f t="array" aca="1" ref="M56" ca="1">IF(K56=1,_xlfn.XLOOKUP(B56,OFFSET(IN_Zugliste!$A$4,0,0,IN_Zugliste!$A$2,1),OFFSET(IN_Zugliste!$K$4,0,0,IN_Zugliste!$A$2,1),0),0)+_xlfn.XLOOKUP(C56,OFFSET(IN_Zugliste!$A$4,0,0,IN_Zugliste!$A$2,1),OFFSET(IN_Zugliste!$K$4,0,0,IN_Zugliste!$A$2,1),0)</f>
        <v>66706</v>
      </c>
      <c r="N56" s="55" t="str" cm="1">
        <f t="array" aca="1" ref="N56" ca="1">IF(K56=1,_xlfn.XLOOKUP(B56,OFFSET(IN_Zugliste!$A$4,0,0,IN_Zugliste!$A$2,1),OFFSET(IN_Zugliste!$D$4,0,0,IN_Zugliste!$A$2,1),""),"")</f>
        <v/>
      </c>
      <c r="O56" s="55" t="str" cm="1">
        <f t="array" aca="1" ref="O56" ca="1">IF(L56&lt;&gt;"",L56,_xlfn.XLOOKUP(B56,OFFSET($C$4,0,0,$A$2,1),OFFSET($O$4,0,0,$A$2,1)))</f>
        <v>Composition 6</v>
      </c>
      <c r="P56" s="55" cm="1">
        <f t="array" aca="1" ref="P56" ca="1">MATCH(J56, _xlfn._xlws.FILTER($J$4:$J$430,$O$4:$O$430=O56), 0)+1</f>
        <v>9</v>
      </c>
      <c r="Q56" s="63" t="str">
        <f>_xlfn.XLOOKUP(B56, IN_Zugliste!A:A, IN_Zugliste!M:M, "")</f>
        <v>11:52:38</v>
      </c>
    </row>
    <row r="57" spans="1:17" ht="15" customHeight="1" x14ac:dyDescent="0.2">
      <c r="A57" s="63" t="s">
        <v>686</v>
      </c>
      <c r="B57" s="63" t="s">
        <v>76</v>
      </c>
      <c r="C57" s="63" t="s">
        <v>79</v>
      </c>
      <c r="D57" s="63" t="s">
        <v>723</v>
      </c>
      <c r="E57" s="63" t="s">
        <v>688</v>
      </c>
      <c r="F57" s="63" t="s">
        <v>864</v>
      </c>
      <c r="G57" s="63" t="s">
        <v>865</v>
      </c>
      <c r="H57" s="63" t="s">
        <v>817</v>
      </c>
      <c r="I57" s="63" t="s">
        <v>865</v>
      </c>
      <c r="J57" s="63" t="s">
        <v>866</v>
      </c>
      <c r="K57" s="55">
        <f t="shared" ca="1" si="0"/>
        <v>0</v>
      </c>
      <c r="L57" s="56" t="str">
        <f ca="1">IF(K57&gt;0,"Composition "&amp;SUM(K$4:K57),"")</f>
        <v/>
      </c>
      <c r="M57" s="55" cm="1">
        <f t="array" aca="1" ref="M57" ca="1">IF(K57=1,_xlfn.XLOOKUP(B57,OFFSET(IN_Zugliste!$A$4,0,0,IN_Zugliste!$A$2,1),OFFSET(IN_Zugliste!$K$4,0,0,IN_Zugliste!$A$2,1),0),0)+_xlfn.XLOOKUP(C57,OFFSET(IN_Zugliste!$A$4,0,0,IN_Zugliste!$A$2,1),OFFSET(IN_Zugliste!$K$4,0,0,IN_Zugliste!$A$2,1),0)</f>
        <v>66708</v>
      </c>
      <c r="N57" s="55" t="str" cm="1">
        <f t="array" aca="1" ref="N57" ca="1">IF(K57=1,_xlfn.XLOOKUP(B57,OFFSET(IN_Zugliste!$A$4,0,0,IN_Zugliste!$A$2,1),OFFSET(IN_Zugliste!$D$4,0,0,IN_Zugliste!$A$2,1),""),"")</f>
        <v/>
      </c>
      <c r="O57" s="55" t="str" cm="1">
        <f t="array" aca="1" ref="O57" ca="1">IF(L57&lt;&gt;"",L57,_xlfn.XLOOKUP(B57,OFFSET($C$4,0,0,$A$2,1),OFFSET($O$4,0,0,$A$2,1)))</f>
        <v>Composition 6</v>
      </c>
      <c r="P57" s="55" cm="1">
        <f t="array" aca="1" ref="P57" ca="1">MATCH(J57, _xlfn._xlws.FILTER($J$4:$J$430,$O$4:$O$430=O57), 0)+1</f>
        <v>10</v>
      </c>
      <c r="Q57" s="63" t="str">
        <f>_xlfn.XLOOKUP(B57, IN_Zugliste!A:A, IN_Zugliste!M:M, "")</f>
        <v>12:50:23</v>
      </c>
    </row>
    <row r="58" spans="1:17" ht="15" customHeight="1" x14ac:dyDescent="0.2">
      <c r="A58" s="63" t="s">
        <v>686</v>
      </c>
      <c r="B58" s="63" t="s">
        <v>467</v>
      </c>
      <c r="C58" s="63" t="s">
        <v>481</v>
      </c>
      <c r="D58" s="63" t="s">
        <v>867</v>
      </c>
      <c r="E58" s="63" t="s">
        <v>688</v>
      </c>
      <c r="F58" s="63" t="s">
        <v>868</v>
      </c>
      <c r="G58" s="63" t="s">
        <v>869</v>
      </c>
      <c r="H58" s="63" t="s">
        <v>691</v>
      </c>
      <c r="I58" s="63" t="s">
        <v>869</v>
      </c>
      <c r="J58" s="63" t="s">
        <v>870</v>
      </c>
      <c r="K58" s="55">
        <f t="shared" ca="1" si="0"/>
        <v>1</v>
      </c>
      <c r="L58" s="56" t="str">
        <f ca="1">IF(K58&gt;0,"Composition "&amp;SUM(K$4:K58),"")</f>
        <v>Composition 7</v>
      </c>
      <c r="M58" s="55" cm="1">
        <f t="array" aca="1" ref="M58" ca="1">IF(K58=1,_xlfn.XLOOKUP(B58,OFFSET(IN_Zugliste!$A$4,0,0,IN_Zugliste!$A$2,1),OFFSET(IN_Zugliste!$K$4,0,0,IN_Zugliste!$A$2,1),0),0)+_xlfn.XLOOKUP(C58,OFFSET(IN_Zugliste!$A$4,0,0,IN_Zugliste!$A$2,1),OFFSET(IN_Zugliste!$K$4,0,0,IN_Zugliste!$A$2,1),0)</f>
        <v>99185</v>
      </c>
      <c r="N58" s="55" t="str" cm="1">
        <f t="array" aca="1" ref="N58" ca="1">IF(K58=1,_xlfn.XLOOKUP(B58,OFFSET(IN_Zugliste!$A$4,0,0,IN_Zugliste!$A$2,1),OFFSET(IN_Zugliste!$D$4,0,0,IN_Zugliste!$A$2,1),""),"")</f>
        <v>101-3.0</v>
      </c>
      <c r="O58" s="55" t="str" cm="1">
        <f t="array" aca="1" ref="O58" ca="1">IF(L58&lt;&gt;"",L58,_xlfn.XLOOKUP(B58,OFFSET($C$4,0,0,$A$2,1),OFFSET($O$4,0,0,$A$2,1)))</f>
        <v>Composition 7</v>
      </c>
      <c r="P58" s="55" cm="1">
        <f t="array" aca="1" ref="P58" ca="1">MATCH(J58, _xlfn._xlws.FILTER($J$4:$J$430,$O$4:$O$430=O58), 0)+1</f>
        <v>2</v>
      </c>
      <c r="Q58" s="63" t="str">
        <f>_xlfn.XLOOKUP(B58, IN_Zugliste!A:A, IN_Zugliste!M:M, "")</f>
        <v>05:00:27</v>
      </c>
    </row>
    <row r="59" spans="1:17" ht="15" customHeight="1" x14ac:dyDescent="0.2">
      <c r="A59" s="63" t="s">
        <v>686</v>
      </c>
      <c r="B59" s="63" t="s">
        <v>481</v>
      </c>
      <c r="C59" s="63" t="s">
        <v>497</v>
      </c>
      <c r="D59" s="63" t="s">
        <v>871</v>
      </c>
      <c r="E59" s="63" t="s">
        <v>688</v>
      </c>
      <c r="F59" s="63" t="s">
        <v>872</v>
      </c>
      <c r="G59" s="63" t="s">
        <v>873</v>
      </c>
      <c r="H59" s="63" t="s">
        <v>817</v>
      </c>
      <c r="I59" s="63" t="s">
        <v>873</v>
      </c>
      <c r="J59" s="63" t="s">
        <v>874</v>
      </c>
      <c r="K59" s="55">
        <f t="shared" ca="1" si="0"/>
        <v>0</v>
      </c>
      <c r="L59" s="56" t="str">
        <f ca="1">IF(K59&gt;0,"Composition "&amp;SUM(K$4:K59),"")</f>
        <v/>
      </c>
      <c r="M59" s="55" cm="1">
        <f t="array" aca="1" ref="M59" ca="1">IF(K59=1,_xlfn.XLOOKUP(B59,OFFSET(IN_Zugliste!$A$4,0,0,IN_Zugliste!$A$2,1),OFFSET(IN_Zugliste!$K$4,0,0,IN_Zugliste!$A$2,1),0),0)+_xlfn.XLOOKUP(C59,OFFSET(IN_Zugliste!$A$4,0,0,IN_Zugliste!$A$2,1),OFFSET(IN_Zugliste!$K$4,0,0,IN_Zugliste!$A$2,1),0)</f>
        <v>65256</v>
      </c>
      <c r="N59" s="55" t="str" cm="1">
        <f t="array" aca="1" ref="N59" ca="1">IF(K59=1,_xlfn.XLOOKUP(B59,OFFSET(IN_Zugliste!$A$4,0,0,IN_Zugliste!$A$2,1),OFFSET(IN_Zugliste!$D$4,0,0,IN_Zugliste!$A$2,1),""),"")</f>
        <v/>
      </c>
      <c r="O59" s="55" t="str" cm="1">
        <f t="array" aca="1" ref="O59" ca="1">IF(L59&lt;&gt;"",L59,_xlfn.XLOOKUP(B59,OFFSET($C$4,0,0,$A$2,1),OFFSET($O$4,0,0,$A$2,1)))</f>
        <v>Composition 7</v>
      </c>
      <c r="P59" s="55" cm="1">
        <f t="array" aca="1" ref="P59" ca="1">MATCH(J59, _xlfn._xlws.FILTER($J$4:$J$430,$O$4:$O$430=O59), 0)+1</f>
        <v>3</v>
      </c>
      <c r="Q59" s="63" t="str">
        <f>_xlfn.XLOOKUP(B59, IN_Zugliste!A:A, IN_Zugliste!M:M, "")</f>
        <v>06:06:06</v>
      </c>
    </row>
    <row r="60" spans="1:17" ht="15" customHeight="1" x14ac:dyDescent="0.2">
      <c r="A60" s="63" t="s">
        <v>686</v>
      </c>
      <c r="B60" s="63" t="s">
        <v>497</v>
      </c>
      <c r="C60" s="63" t="s">
        <v>509</v>
      </c>
      <c r="D60" s="63" t="s">
        <v>875</v>
      </c>
      <c r="E60" s="63" t="s">
        <v>688</v>
      </c>
      <c r="F60" s="63" t="s">
        <v>876</v>
      </c>
      <c r="G60" s="63" t="s">
        <v>877</v>
      </c>
      <c r="H60" s="63" t="s">
        <v>691</v>
      </c>
      <c r="I60" s="63" t="s">
        <v>877</v>
      </c>
      <c r="J60" s="63" t="s">
        <v>878</v>
      </c>
      <c r="K60" s="55">
        <f t="shared" ca="1" si="0"/>
        <v>0</v>
      </c>
      <c r="L60" s="56" t="str">
        <f ca="1">IF(K60&gt;0,"Composition "&amp;SUM(K$4:K60),"")</f>
        <v/>
      </c>
      <c r="M60" s="55" cm="1">
        <f t="array" aca="1" ref="M60" ca="1">IF(K60=1,_xlfn.XLOOKUP(B60,OFFSET(IN_Zugliste!$A$4,0,0,IN_Zugliste!$A$2,1),OFFSET(IN_Zugliste!$K$4,0,0,IN_Zugliste!$A$2,1),0),0)+_xlfn.XLOOKUP(C60,OFFSET(IN_Zugliste!$A$4,0,0,IN_Zugliste!$A$2,1),OFFSET(IN_Zugliste!$K$4,0,0,IN_Zugliste!$A$2,1),0)</f>
        <v>65091</v>
      </c>
      <c r="N60" s="55" t="str" cm="1">
        <f t="array" aca="1" ref="N60" ca="1">IF(K60=1,_xlfn.XLOOKUP(B60,OFFSET(IN_Zugliste!$A$4,0,0,IN_Zugliste!$A$2,1),OFFSET(IN_Zugliste!$D$4,0,0,IN_Zugliste!$A$2,1),""),"")</f>
        <v/>
      </c>
      <c r="O60" s="55" t="str" cm="1">
        <f t="array" aca="1" ref="O60" ca="1">IF(L60&lt;&gt;"",L60,_xlfn.XLOOKUP(B60,OFFSET($C$4,0,0,$A$2,1),OFFSET($O$4,0,0,$A$2,1)))</f>
        <v>Composition 7</v>
      </c>
      <c r="P60" s="55" cm="1">
        <f t="array" aca="1" ref="P60" ca="1">MATCH(J60, _xlfn._xlws.FILTER($J$4:$J$430,$O$4:$O$430=O60), 0)+1</f>
        <v>4</v>
      </c>
      <c r="Q60" s="63" t="str">
        <f>_xlfn.XLOOKUP(B60, IN_Zugliste!A:A, IN_Zugliste!M:M, "")</f>
        <v>07:09:13</v>
      </c>
    </row>
    <row r="61" spans="1:17" ht="15" customHeight="1" x14ac:dyDescent="0.2">
      <c r="A61" s="63" t="s">
        <v>686</v>
      </c>
      <c r="B61" s="63" t="s">
        <v>509</v>
      </c>
      <c r="C61" s="63" t="s">
        <v>474</v>
      </c>
      <c r="D61" s="63" t="s">
        <v>871</v>
      </c>
      <c r="E61" s="63" t="s">
        <v>688</v>
      </c>
      <c r="F61" s="63" t="s">
        <v>879</v>
      </c>
      <c r="G61" s="63" t="s">
        <v>880</v>
      </c>
      <c r="H61" s="63" t="s">
        <v>817</v>
      </c>
      <c r="I61" s="63" t="s">
        <v>880</v>
      </c>
      <c r="J61" s="63" t="s">
        <v>881</v>
      </c>
      <c r="K61" s="55">
        <f t="shared" ca="1" si="0"/>
        <v>0</v>
      </c>
      <c r="L61" s="56" t="str">
        <f ca="1">IF(K61&gt;0,"Composition "&amp;SUM(K$4:K61),"")</f>
        <v/>
      </c>
      <c r="M61" s="55" cm="1">
        <f t="array" aca="1" ref="M61" ca="1">IF(K61=1,_xlfn.XLOOKUP(B61,OFFSET(IN_Zugliste!$A$4,0,0,IN_Zugliste!$A$2,1),OFFSET(IN_Zugliste!$K$4,0,0,IN_Zugliste!$A$2,1),0),0)+_xlfn.XLOOKUP(C61,OFFSET(IN_Zugliste!$A$4,0,0,IN_Zugliste!$A$2,1),OFFSET(IN_Zugliste!$K$4,0,0,IN_Zugliste!$A$2,1),0)</f>
        <v>49677</v>
      </c>
      <c r="N61" s="55" t="str" cm="1">
        <f t="array" aca="1" ref="N61" ca="1">IF(K61=1,_xlfn.XLOOKUP(B61,OFFSET(IN_Zugliste!$A$4,0,0,IN_Zugliste!$A$2,1),OFFSET(IN_Zugliste!$D$4,0,0,IN_Zugliste!$A$2,1),""),"")</f>
        <v/>
      </c>
      <c r="O61" s="55" t="str" cm="1">
        <f t="array" aca="1" ref="O61" ca="1">IF(L61&lt;&gt;"",L61,_xlfn.XLOOKUP(B61,OFFSET($C$4,0,0,$A$2,1),OFFSET($O$4,0,0,$A$2,1)))</f>
        <v>Composition 7</v>
      </c>
      <c r="P61" s="55" cm="1">
        <f t="array" aca="1" ref="P61" ca="1">MATCH(J61, _xlfn._xlws.FILTER($J$4:$J$430,$O$4:$O$430=O61), 0)+1</f>
        <v>5</v>
      </c>
      <c r="Q61" s="63" t="str">
        <f>_xlfn.XLOOKUP(B61, IN_Zugliste!A:A, IN_Zugliste!M:M, "")</f>
        <v>08:32:48</v>
      </c>
    </row>
    <row r="62" spans="1:17" ht="15" customHeight="1" x14ac:dyDescent="0.2">
      <c r="A62" s="63" t="s">
        <v>686</v>
      </c>
      <c r="B62" s="63" t="s">
        <v>474</v>
      </c>
      <c r="C62" s="63" t="s">
        <v>486</v>
      </c>
      <c r="D62" s="63" t="s">
        <v>867</v>
      </c>
      <c r="E62" s="63" t="s">
        <v>688</v>
      </c>
      <c r="F62" s="63" t="s">
        <v>882</v>
      </c>
      <c r="G62" s="63" t="s">
        <v>883</v>
      </c>
      <c r="H62" s="63" t="s">
        <v>691</v>
      </c>
      <c r="I62" s="63" t="s">
        <v>883</v>
      </c>
      <c r="J62" s="63" t="s">
        <v>884</v>
      </c>
      <c r="K62" s="55">
        <f t="shared" ca="1" si="0"/>
        <v>0</v>
      </c>
      <c r="L62" s="56" t="str">
        <f ca="1">IF(K62&gt;0,"Composition "&amp;SUM(K$4:K62),"")</f>
        <v/>
      </c>
      <c r="M62" s="55" cm="1">
        <f t="array" aca="1" ref="M62" ca="1">IF(K62=1,_xlfn.XLOOKUP(B62,OFFSET(IN_Zugliste!$A$4,0,0,IN_Zugliste!$A$2,1),OFFSET(IN_Zugliste!$K$4,0,0,IN_Zugliste!$A$2,1),0),0)+_xlfn.XLOOKUP(C62,OFFSET(IN_Zugliste!$A$4,0,0,IN_Zugliste!$A$2,1),OFFSET(IN_Zugliste!$K$4,0,0,IN_Zugliste!$A$2,1),0)</f>
        <v>49508</v>
      </c>
      <c r="N62" s="55" t="str" cm="1">
        <f t="array" aca="1" ref="N62" ca="1">IF(K62=1,_xlfn.XLOOKUP(B62,OFFSET(IN_Zugliste!$A$4,0,0,IN_Zugliste!$A$2,1),OFFSET(IN_Zugliste!$D$4,0,0,IN_Zugliste!$A$2,1),""),"")</f>
        <v/>
      </c>
      <c r="O62" s="55" t="str" cm="1">
        <f t="array" aca="1" ref="O62" ca="1">IF(L62&lt;&gt;"",L62,_xlfn.XLOOKUP(B62,OFFSET($C$4,0,0,$A$2,1),OFFSET($O$4,0,0,$A$2,1)))</f>
        <v>Composition 7</v>
      </c>
      <c r="P62" s="55" cm="1">
        <f t="array" aca="1" ref="P62" ca="1">MATCH(J62, _xlfn._xlws.FILTER($J$4:$J$430,$O$4:$O$430=O62), 0)+1</f>
        <v>6</v>
      </c>
      <c r="Q62" s="63" t="str">
        <f>_xlfn.XLOOKUP(B62, IN_Zugliste!A:A, IN_Zugliste!M:M, "")</f>
        <v>10:00:27</v>
      </c>
    </row>
    <row r="63" spans="1:17" ht="15" customHeight="1" x14ac:dyDescent="0.2">
      <c r="A63" s="63" t="s">
        <v>686</v>
      </c>
      <c r="B63" s="63" t="s">
        <v>486</v>
      </c>
      <c r="C63" s="63" t="s">
        <v>502</v>
      </c>
      <c r="D63" s="63" t="s">
        <v>871</v>
      </c>
      <c r="E63" s="63" t="s">
        <v>688</v>
      </c>
      <c r="F63" s="63" t="s">
        <v>885</v>
      </c>
      <c r="G63" s="63" t="s">
        <v>886</v>
      </c>
      <c r="H63" s="63" t="s">
        <v>817</v>
      </c>
      <c r="I63" s="63" t="s">
        <v>886</v>
      </c>
      <c r="J63" s="63" t="s">
        <v>887</v>
      </c>
      <c r="K63" s="55">
        <f t="shared" ca="1" si="0"/>
        <v>0</v>
      </c>
      <c r="L63" s="56" t="str">
        <f ca="1">IF(K63&gt;0,"Composition "&amp;SUM(K$4:K63),"")</f>
        <v/>
      </c>
      <c r="M63" s="55" cm="1">
        <f t="array" aca="1" ref="M63" ca="1">IF(K63=1,_xlfn.XLOOKUP(B63,OFFSET(IN_Zugliste!$A$4,0,0,IN_Zugliste!$A$2,1),OFFSET(IN_Zugliste!$K$4,0,0,IN_Zugliste!$A$2,1),0),0)+_xlfn.XLOOKUP(C63,OFFSET(IN_Zugliste!$A$4,0,0,IN_Zugliste!$A$2,1),OFFSET(IN_Zugliste!$K$4,0,0,IN_Zugliste!$A$2,1),0)</f>
        <v>65256</v>
      </c>
      <c r="N63" s="55" t="str" cm="1">
        <f t="array" aca="1" ref="N63" ca="1">IF(K63=1,_xlfn.XLOOKUP(B63,OFFSET(IN_Zugliste!$A$4,0,0,IN_Zugliste!$A$2,1),OFFSET(IN_Zugliste!$D$4,0,0,IN_Zugliste!$A$2,1),""),"")</f>
        <v/>
      </c>
      <c r="O63" s="55" t="str" cm="1">
        <f t="array" aca="1" ref="O63" ca="1">IF(L63&lt;&gt;"",L63,_xlfn.XLOOKUP(B63,OFFSET($C$4,0,0,$A$2,1),OFFSET($O$4,0,0,$A$2,1)))</f>
        <v>Composition 7</v>
      </c>
      <c r="P63" s="55" cm="1">
        <f t="array" aca="1" ref="P63" ca="1">MATCH(J63, _xlfn._xlws.FILTER($J$4:$J$430,$O$4:$O$430=O63), 0)+1</f>
        <v>7</v>
      </c>
      <c r="Q63" s="63" t="str">
        <f>_xlfn.XLOOKUP(B63, IN_Zugliste!A:A, IN_Zugliste!M:M, "")</f>
        <v>11:06:06</v>
      </c>
    </row>
    <row r="64" spans="1:17" ht="15" customHeight="1" x14ac:dyDescent="0.2">
      <c r="A64" s="63" t="s">
        <v>686</v>
      </c>
      <c r="B64" s="63" t="s">
        <v>502</v>
      </c>
      <c r="C64" s="63" t="s">
        <v>514</v>
      </c>
      <c r="D64" s="63" t="s">
        <v>875</v>
      </c>
      <c r="E64" s="63" t="s">
        <v>688</v>
      </c>
      <c r="F64" s="63" t="s">
        <v>888</v>
      </c>
      <c r="G64" s="63" t="s">
        <v>889</v>
      </c>
      <c r="H64" s="63" t="s">
        <v>691</v>
      </c>
      <c r="I64" s="63" t="s">
        <v>889</v>
      </c>
      <c r="J64" s="63" t="s">
        <v>890</v>
      </c>
      <c r="K64" s="55">
        <f t="shared" ca="1" si="0"/>
        <v>0</v>
      </c>
      <c r="L64" s="56" t="str">
        <f ca="1">IF(K64&gt;0,"Composition "&amp;SUM(K$4:K64),"")</f>
        <v/>
      </c>
      <c r="M64" s="55" cm="1">
        <f t="array" aca="1" ref="M64" ca="1">IF(K64=1,_xlfn.XLOOKUP(B64,OFFSET(IN_Zugliste!$A$4,0,0,IN_Zugliste!$A$2,1),OFFSET(IN_Zugliste!$K$4,0,0,IN_Zugliste!$A$2,1),0),0)+_xlfn.XLOOKUP(C64,OFFSET(IN_Zugliste!$A$4,0,0,IN_Zugliste!$A$2,1),OFFSET(IN_Zugliste!$K$4,0,0,IN_Zugliste!$A$2,1),0)</f>
        <v>65091</v>
      </c>
      <c r="N64" s="55" t="str" cm="1">
        <f t="array" aca="1" ref="N64" ca="1">IF(K64=1,_xlfn.XLOOKUP(B64,OFFSET(IN_Zugliste!$A$4,0,0,IN_Zugliste!$A$2,1),OFFSET(IN_Zugliste!$D$4,0,0,IN_Zugliste!$A$2,1),""),"")</f>
        <v/>
      </c>
      <c r="O64" s="55" t="str" cm="1">
        <f t="array" aca="1" ref="O64" ca="1">IF(L64&lt;&gt;"",L64,_xlfn.XLOOKUP(B64,OFFSET($C$4,0,0,$A$2,1),OFFSET($O$4,0,0,$A$2,1)))</f>
        <v>Composition 7</v>
      </c>
      <c r="P64" s="55" cm="1">
        <f t="array" aca="1" ref="P64" ca="1">MATCH(J64, _xlfn._xlws.FILTER($J$4:$J$430,$O$4:$O$430=O64), 0)+1</f>
        <v>8</v>
      </c>
      <c r="Q64" s="63" t="str">
        <f>_xlfn.XLOOKUP(B64, IN_Zugliste!A:A, IN_Zugliste!M:M, "")</f>
        <v>12:09:13</v>
      </c>
    </row>
    <row r="65" spans="1:17" ht="15" customHeight="1" x14ac:dyDescent="0.2">
      <c r="A65" s="63" t="s">
        <v>686</v>
      </c>
      <c r="B65" s="63" t="s">
        <v>478</v>
      </c>
      <c r="C65" s="63" t="s">
        <v>496</v>
      </c>
      <c r="D65" s="63" t="s">
        <v>871</v>
      </c>
      <c r="E65" s="63" t="s">
        <v>688</v>
      </c>
      <c r="F65" s="63" t="s">
        <v>891</v>
      </c>
      <c r="G65" s="63" t="s">
        <v>892</v>
      </c>
      <c r="H65" s="63" t="s">
        <v>817</v>
      </c>
      <c r="I65" s="63" t="s">
        <v>892</v>
      </c>
      <c r="J65" s="63" t="s">
        <v>893</v>
      </c>
      <c r="K65" s="55">
        <f t="shared" ca="1" si="0"/>
        <v>1</v>
      </c>
      <c r="L65" s="56" t="str">
        <f ca="1">IF(K65&gt;0,"Composition "&amp;SUM(K$4:K65),"")</f>
        <v>Composition 8</v>
      </c>
      <c r="M65" s="55" cm="1">
        <f t="array" aca="1" ref="M65" ca="1">IF(K65=1,_xlfn.XLOOKUP(B65,OFFSET(IN_Zugliste!$A$4,0,0,IN_Zugliste!$A$2,1),OFFSET(IN_Zugliste!$K$4,0,0,IN_Zugliste!$A$2,1),0),0)+_xlfn.XLOOKUP(C65,OFFSET(IN_Zugliste!$A$4,0,0,IN_Zugliste!$A$2,1),OFFSET(IN_Zugliste!$K$4,0,0,IN_Zugliste!$A$2,1),0)</f>
        <v>114764</v>
      </c>
      <c r="N65" s="55" t="str" cm="1">
        <f t="array" aca="1" ref="N65" ca="1">IF(K65=1,_xlfn.XLOOKUP(B65,OFFSET(IN_Zugliste!$A$4,0,0,IN_Zugliste!$A$2,1),OFFSET(IN_Zugliste!$D$4,0,0,IN_Zugliste!$A$2,1),""),"")</f>
        <v>101-3.0</v>
      </c>
      <c r="O65" s="55" t="str" cm="1">
        <f t="array" aca="1" ref="O65" ca="1">IF(L65&lt;&gt;"",L65,_xlfn.XLOOKUP(B65,OFFSET($C$4,0,0,$A$2,1),OFFSET($O$4,0,0,$A$2,1)))</f>
        <v>Composition 8</v>
      </c>
      <c r="P65" s="55" cm="1">
        <f t="array" aca="1" ref="P65" ca="1">MATCH(J65, _xlfn._xlws.FILTER($J$4:$J$430,$O$4:$O$430=O65), 0)+1</f>
        <v>2</v>
      </c>
      <c r="Q65" s="63" t="str">
        <f>_xlfn.XLOOKUP(B65, IN_Zugliste!A:A, IN_Zugliste!M:M, "")</f>
        <v>05:06:06</v>
      </c>
    </row>
    <row r="66" spans="1:17" ht="15" customHeight="1" x14ac:dyDescent="0.2">
      <c r="A66" s="63" t="s">
        <v>686</v>
      </c>
      <c r="B66" s="63" t="s">
        <v>496</v>
      </c>
      <c r="C66" s="63" t="s">
        <v>508</v>
      </c>
      <c r="D66" s="63" t="s">
        <v>875</v>
      </c>
      <c r="E66" s="63" t="s">
        <v>688</v>
      </c>
      <c r="F66" s="63" t="s">
        <v>894</v>
      </c>
      <c r="G66" s="63" t="s">
        <v>895</v>
      </c>
      <c r="H66" s="63" t="s">
        <v>691</v>
      </c>
      <c r="I66" s="63" t="s">
        <v>895</v>
      </c>
      <c r="J66" s="63" t="s">
        <v>896</v>
      </c>
      <c r="K66" s="55">
        <f t="shared" ca="1" si="0"/>
        <v>0</v>
      </c>
      <c r="L66" s="56" t="str">
        <f ca="1">IF(K66&gt;0,"Composition "&amp;SUM(K$4:K66),"")</f>
        <v/>
      </c>
      <c r="M66" s="55" cm="1">
        <f t="array" aca="1" ref="M66" ca="1">IF(K66=1,_xlfn.XLOOKUP(B66,OFFSET(IN_Zugliste!$A$4,0,0,IN_Zugliste!$A$2,1),OFFSET(IN_Zugliste!$K$4,0,0,IN_Zugliste!$A$2,1),0),0)+_xlfn.XLOOKUP(C66,OFFSET(IN_Zugliste!$A$4,0,0,IN_Zugliste!$A$2,1),OFFSET(IN_Zugliste!$K$4,0,0,IN_Zugliste!$A$2,1),0)</f>
        <v>65091</v>
      </c>
      <c r="N66" s="55" t="str" cm="1">
        <f t="array" aca="1" ref="N66" ca="1">IF(K66=1,_xlfn.XLOOKUP(B66,OFFSET(IN_Zugliste!$A$4,0,0,IN_Zugliste!$A$2,1),OFFSET(IN_Zugliste!$D$4,0,0,IN_Zugliste!$A$2,1),""),"")</f>
        <v/>
      </c>
      <c r="O66" s="55" t="str" cm="1">
        <f t="array" aca="1" ref="O66" ca="1">IF(L66&lt;&gt;"",L66,_xlfn.XLOOKUP(B66,OFFSET($C$4,0,0,$A$2,1),OFFSET($O$4,0,0,$A$2,1)))</f>
        <v>Composition 8</v>
      </c>
      <c r="P66" s="55" cm="1">
        <f t="array" aca="1" ref="P66" ca="1">MATCH(J66, _xlfn._xlws.FILTER($J$4:$J$430,$O$4:$O$430=O66), 0)+1</f>
        <v>3</v>
      </c>
      <c r="Q66" s="63" t="str">
        <f>_xlfn.XLOOKUP(B66, IN_Zugliste!A:A, IN_Zugliste!M:M, "")</f>
        <v>06:09:13</v>
      </c>
    </row>
    <row r="67" spans="1:17" ht="15" customHeight="1" x14ac:dyDescent="0.2">
      <c r="A67" s="63" t="s">
        <v>686</v>
      </c>
      <c r="B67" s="63" t="s">
        <v>508</v>
      </c>
      <c r="C67" s="63" t="s">
        <v>473</v>
      </c>
      <c r="D67" s="63" t="s">
        <v>871</v>
      </c>
      <c r="E67" s="63" t="s">
        <v>688</v>
      </c>
      <c r="F67" s="63" t="s">
        <v>897</v>
      </c>
      <c r="G67" s="63" t="s">
        <v>898</v>
      </c>
      <c r="H67" s="63" t="s">
        <v>817</v>
      </c>
      <c r="I67" s="63" t="s">
        <v>898</v>
      </c>
      <c r="J67" s="63" t="s">
        <v>899</v>
      </c>
      <c r="K67" s="55">
        <f t="shared" ca="1" si="0"/>
        <v>0</v>
      </c>
      <c r="L67" s="56" t="str">
        <f ca="1">IF(K67&gt;0,"Composition "&amp;SUM(K$4:K67),"")</f>
        <v/>
      </c>
      <c r="M67" s="55" cm="1">
        <f t="array" aca="1" ref="M67" ca="1">IF(K67=1,_xlfn.XLOOKUP(B67,OFFSET(IN_Zugliste!$A$4,0,0,IN_Zugliste!$A$2,1),OFFSET(IN_Zugliste!$K$4,0,0,IN_Zugliste!$A$2,1),0),0)+_xlfn.XLOOKUP(C67,OFFSET(IN_Zugliste!$A$4,0,0,IN_Zugliste!$A$2,1),OFFSET(IN_Zugliste!$K$4,0,0,IN_Zugliste!$A$2,1),0)</f>
        <v>49677</v>
      </c>
      <c r="N67" s="55" t="str" cm="1">
        <f t="array" aca="1" ref="N67" ca="1">IF(K67=1,_xlfn.XLOOKUP(B67,OFFSET(IN_Zugliste!$A$4,0,0,IN_Zugliste!$A$2,1),OFFSET(IN_Zugliste!$D$4,0,0,IN_Zugliste!$A$2,1),""),"")</f>
        <v/>
      </c>
      <c r="O67" s="55" t="str" cm="1">
        <f t="array" aca="1" ref="O67" ca="1">IF(L67&lt;&gt;"",L67,_xlfn.XLOOKUP(B67,OFFSET($C$4,0,0,$A$2,1),OFFSET($O$4,0,0,$A$2,1)))</f>
        <v>Composition 8</v>
      </c>
      <c r="P67" s="55" cm="1">
        <f t="array" aca="1" ref="P67" ca="1">MATCH(J67, _xlfn._xlws.FILTER($J$4:$J$430,$O$4:$O$430=O67), 0)+1</f>
        <v>4</v>
      </c>
      <c r="Q67" s="63" t="str">
        <f>_xlfn.XLOOKUP(B67, IN_Zugliste!A:A, IN_Zugliste!M:M, "")</f>
        <v>07:32:48</v>
      </c>
    </row>
    <row r="68" spans="1:17" ht="15" customHeight="1" x14ac:dyDescent="0.2">
      <c r="A68" s="63" t="s">
        <v>686</v>
      </c>
      <c r="B68" s="63" t="s">
        <v>473</v>
      </c>
      <c r="C68" s="63" t="s">
        <v>485</v>
      </c>
      <c r="D68" s="63" t="s">
        <v>867</v>
      </c>
      <c r="E68" s="63" t="s">
        <v>688</v>
      </c>
      <c r="F68" s="63" t="s">
        <v>900</v>
      </c>
      <c r="G68" s="63" t="s">
        <v>901</v>
      </c>
      <c r="H68" s="63" t="s">
        <v>691</v>
      </c>
      <c r="I68" s="63" t="s">
        <v>901</v>
      </c>
      <c r="J68" s="63" t="s">
        <v>902</v>
      </c>
      <c r="K68" s="55">
        <f t="shared" ref="K68:K131" ca="1" si="1">1-COUNTIFS(OFFSET($C$4,0,0,$A$2,1),B68)</f>
        <v>0</v>
      </c>
      <c r="L68" s="56" t="str">
        <f ca="1">IF(K68&gt;0,"Composition "&amp;SUM(K$4:K68),"")</f>
        <v/>
      </c>
      <c r="M68" s="55" cm="1">
        <f t="array" aca="1" ref="M68" ca="1">IF(K68=1,_xlfn.XLOOKUP(B68,OFFSET(IN_Zugliste!$A$4,0,0,IN_Zugliste!$A$2,1),OFFSET(IN_Zugliste!$K$4,0,0,IN_Zugliste!$A$2,1),0),0)+_xlfn.XLOOKUP(C68,OFFSET(IN_Zugliste!$A$4,0,0,IN_Zugliste!$A$2,1),OFFSET(IN_Zugliste!$K$4,0,0,IN_Zugliste!$A$2,1),0)</f>
        <v>49508</v>
      </c>
      <c r="N68" s="55" t="str" cm="1">
        <f t="array" aca="1" ref="N68" ca="1">IF(K68=1,_xlfn.XLOOKUP(B68,OFFSET(IN_Zugliste!$A$4,0,0,IN_Zugliste!$A$2,1),OFFSET(IN_Zugliste!$D$4,0,0,IN_Zugliste!$A$2,1),""),"")</f>
        <v/>
      </c>
      <c r="O68" s="55" t="str" cm="1">
        <f t="array" aca="1" ref="O68" ca="1">IF(L68&lt;&gt;"",L68,_xlfn.XLOOKUP(B68,OFFSET($C$4,0,0,$A$2,1),OFFSET($O$4,0,0,$A$2,1)))</f>
        <v>Composition 8</v>
      </c>
      <c r="P68" s="55" cm="1">
        <f t="array" aca="1" ref="P68" ca="1">MATCH(J68, _xlfn._xlws.FILTER($J$4:$J$430,$O$4:$O$430=O68), 0)+1</f>
        <v>5</v>
      </c>
      <c r="Q68" s="63" t="str">
        <f>_xlfn.XLOOKUP(B68, IN_Zugliste!A:A, IN_Zugliste!M:M, "")</f>
        <v>09:00:27</v>
      </c>
    </row>
    <row r="69" spans="1:17" ht="15" customHeight="1" x14ac:dyDescent="0.2">
      <c r="A69" s="63" t="s">
        <v>686</v>
      </c>
      <c r="B69" s="63" t="s">
        <v>485</v>
      </c>
      <c r="C69" s="63" t="s">
        <v>501</v>
      </c>
      <c r="D69" s="63" t="s">
        <v>871</v>
      </c>
      <c r="E69" s="63" t="s">
        <v>688</v>
      </c>
      <c r="F69" s="63" t="s">
        <v>903</v>
      </c>
      <c r="G69" s="63" t="s">
        <v>904</v>
      </c>
      <c r="H69" s="63" t="s">
        <v>817</v>
      </c>
      <c r="I69" s="63" t="s">
        <v>904</v>
      </c>
      <c r="J69" s="63" t="s">
        <v>905</v>
      </c>
      <c r="K69" s="55">
        <f t="shared" ca="1" si="1"/>
        <v>0</v>
      </c>
      <c r="L69" s="56" t="str">
        <f ca="1">IF(K69&gt;0,"Composition "&amp;SUM(K$4:K69),"")</f>
        <v/>
      </c>
      <c r="M69" s="55" cm="1">
        <f t="array" aca="1" ref="M69" ca="1">IF(K69=1,_xlfn.XLOOKUP(B69,OFFSET(IN_Zugliste!$A$4,0,0,IN_Zugliste!$A$2,1),OFFSET(IN_Zugliste!$K$4,0,0,IN_Zugliste!$A$2,1),0),0)+_xlfn.XLOOKUP(C69,OFFSET(IN_Zugliste!$A$4,0,0,IN_Zugliste!$A$2,1),OFFSET(IN_Zugliste!$K$4,0,0,IN_Zugliste!$A$2,1),0)</f>
        <v>65256</v>
      </c>
      <c r="N69" s="55" t="str" cm="1">
        <f t="array" aca="1" ref="N69" ca="1">IF(K69=1,_xlfn.XLOOKUP(B69,OFFSET(IN_Zugliste!$A$4,0,0,IN_Zugliste!$A$2,1),OFFSET(IN_Zugliste!$D$4,0,0,IN_Zugliste!$A$2,1),""),"")</f>
        <v/>
      </c>
      <c r="O69" s="55" t="str" cm="1">
        <f t="array" aca="1" ref="O69" ca="1">IF(L69&lt;&gt;"",L69,_xlfn.XLOOKUP(B69,OFFSET($C$4,0,0,$A$2,1),OFFSET($O$4,0,0,$A$2,1)))</f>
        <v>Composition 8</v>
      </c>
      <c r="P69" s="55" cm="1">
        <f t="array" aca="1" ref="P69" ca="1">MATCH(J69, _xlfn._xlws.FILTER($J$4:$J$430,$O$4:$O$430=O69), 0)+1</f>
        <v>6</v>
      </c>
      <c r="Q69" s="63" t="str">
        <f>_xlfn.XLOOKUP(B69, IN_Zugliste!A:A, IN_Zugliste!M:M, "")</f>
        <v>10:06:06</v>
      </c>
    </row>
    <row r="70" spans="1:17" ht="15" customHeight="1" x14ac:dyDescent="0.2">
      <c r="A70" s="63" t="s">
        <v>686</v>
      </c>
      <c r="B70" s="63" t="s">
        <v>501</v>
      </c>
      <c r="C70" s="63" t="s">
        <v>513</v>
      </c>
      <c r="D70" s="63" t="s">
        <v>875</v>
      </c>
      <c r="E70" s="63" t="s">
        <v>688</v>
      </c>
      <c r="F70" s="63" t="s">
        <v>906</v>
      </c>
      <c r="G70" s="63" t="s">
        <v>907</v>
      </c>
      <c r="H70" s="63" t="s">
        <v>691</v>
      </c>
      <c r="I70" s="63" t="s">
        <v>907</v>
      </c>
      <c r="J70" s="63" t="s">
        <v>908</v>
      </c>
      <c r="K70" s="55">
        <f t="shared" ca="1" si="1"/>
        <v>0</v>
      </c>
      <c r="L70" s="56" t="str">
        <f ca="1">IF(K70&gt;0,"Composition "&amp;SUM(K$4:K70),"")</f>
        <v/>
      </c>
      <c r="M70" s="55" cm="1">
        <f t="array" aca="1" ref="M70" ca="1">IF(K70=1,_xlfn.XLOOKUP(B70,OFFSET(IN_Zugliste!$A$4,0,0,IN_Zugliste!$A$2,1),OFFSET(IN_Zugliste!$K$4,0,0,IN_Zugliste!$A$2,1),0),0)+_xlfn.XLOOKUP(C70,OFFSET(IN_Zugliste!$A$4,0,0,IN_Zugliste!$A$2,1),OFFSET(IN_Zugliste!$K$4,0,0,IN_Zugliste!$A$2,1),0)</f>
        <v>65091</v>
      </c>
      <c r="N70" s="55" t="str" cm="1">
        <f t="array" aca="1" ref="N70" ca="1">IF(K70=1,_xlfn.XLOOKUP(B70,OFFSET(IN_Zugliste!$A$4,0,0,IN_Zugliste!$A$2,1),OFFSET(IN_Zugliste!$D$4,0,0,IN_Zugliste!$A$2,1),""),"")</f>
        <v/>
      </c>
      <c r="O70" s="55" t="str" cm="1">
        <f t="array" aca="1" ref="O70" ca="1">IF(L70&lt;&gt;"",L70,_xlfn.XLOOKUP(B70,OFFSET($C$4,0,0,$A$2,1),OFFSET($O$4,0,0,$A$2,1)))</f>
        <v>Composition 8</v>
      </c>
      <c r="P70" s="55" cm="1">
        <f t="array" aca="1" ref="P70" ca="1">MATCH(J70, _xlfn._xlws.FILTER($J$4:$J$430,$O$4:$O$430=O70), 0)+1</f>
        <v>7</v>
      </c>
      <c r="Q70" s="63" t="str">
        <f>_xlfn.XLOOKUP(B70, IN_Zugliste!A:A, IN_Zugliste!M:M, "")</f>
        <v>11:09:13</v>
      </c>
    </row>
    <row r="71" spans="1:17" ht="15" customHeight="1" x14ac:dyDescent="0.2">
      <c r="A71" s="63" t="s">
        <v>686</v>
      </c>
      <c r="B71" s="63" t="s">
        <v>513</v>
      </c>
      <c r="C71" s="63" t="s">
        <v>469</v>
      </c>
      <c r="D71" s="63" t="s">
        <v>871</v>
      </c>
      <c r="E71" s="63" t="s">
        <v>688</v>
      </c>
      <c r="F71" s="63" t="s">
        <v>909</v>
      </c>
      <c r="G71" s="63" t="s">
        <v>910</v>
      </c>
      <c r="H71" s="63" t="s">
        <v>817</v>
      </c>
      <c r="I71" s="63" t="s">
        <v>910</v>
      </c>
      <c r="J71" s="63" t="s">
        <v>911</v>
      </c>
      <c r="K71" s="55">
        <f t="shared" ca="1" si="1"/>
        <v>0</v>
      </c>
      <c r="L71" s="56" t="str">
        <f ca="1">IF(K71&gt;0,"Composition "&amp;SUM(K$4:K71),"")</f>
        <v/>
      </c>
      <c r="M71" s="55" cm="1">
        <f t="array" aca="1" ref="M71" ca="1">IF(K71=1,_xlfn.XLOOKUP(B71,OFFSET(IN_Zugliste!$A$4,0,0,IN_Zugliste!$A$2,1),OFFSET(IN_Zugliste!$K$4,0,0,IN_Zugliste!$A$2,1),0),0)+_xlfn.XLOOKUP(C71,OFFSET(IN_Zugliste!$A$4,0,0,IN_Zugliste!$A$2,1),OFFSET(IN_Zugliste!$K$4,0,0,IN_Zugliste!$A$2,1),0)</f>
        <v>49677</v>
      </c>
      <c r="N71" s="55" t="str" cm="1">
        <f t="array" aca="1" ref="N71" ca="1">IF(K71=1,_xlfn.XLOOKUP(B71,OFFSET(IN_Zugliste!$A$4,0,0,IN_Zugliste!$A$2,1),OFFSET(IN_Zugliste!$D$4,0,0,IN_Zugliste!$A$2,1),""),"")</f>
        <v/>
      </c>
      <c r="O71" s="55" t="str" cm="1">
        <f t="array" aca="1" ref="O71" ca="1">IF(L71&lt;&gt;"",L71,_xlfn.XLOOKUP(B71,OFFSET($C$4,0,0,$A$2,1),OFFSET($O$4,0,0,$A$2,1)))</f>
        <v>Composition 8</v>
      </c>
      <c r="P71" s="55" cm="1">
        <f t="array" aca="1" ref="P71" ca="1">MATCH(J71, _xlfn._xlws.FILTER($J$4:$J$430,$O$4:$O$430=O71), 0)+1</f>
        <v>8</v>
      </c>
      <c r="Q71" s="63" t="str">
        <f>_xlfn.XLOOKUP(B71, IN_Zugliste!A:A, IN_Zugliste!M:M, "")</f>
        <v>12:32:48</v>
      </c>
    </row>
    <row r="72" spans="1:17" ht="15" customHeight="1" x14ac:dyDescent="0.2">
      <c r="A72" s="63" t="s">
        <v>686</v>
      </c>
      <c r="B72" s="63" t="s">
        <v>280</v>
      </c>
      <c r="C72" s="63" t="s">
        <v>272</v>
      </c>
      <c r="D72" s="63" t="s">
        <v>875</v>
      </c>
      <c r="E72" s="63" t="s">
        <v>688</v>
      </c>
      <c r="F72" s="63" t="s">
        <v>912</v>
      </c>
      <c r="G72" s="63" t="s">
        <v>913</v>
      </c>
      <c r="H72" s="63" t="s">
        <v>691</v>
      </c>
      <c r="I72" s="63" t="s">
        <v>913</v>
      </c>
      <c r="J72" s="63" t="s">
        <v>914</v>
      </c>
      <c r="K72" s="55">
        <f t="shared" ca="1" si="1"/>
        <v>1</v>
      </c>
      <c r="L72" s="56" t="str">
        <f ca="1">IF(K72&gt;0,"Composition "&amp;SUM(K$4:K72),"")</f>
        <v>Composition 9</v>
      </c>
      <c r="M72" s="55" cm="1">
        <f t="array" aca="1" ref="M72" ca="1">IF(K72=1,_xlfn.XLOOKUP(B72,OFFSET(IN_Zugliste!$A$4,0,0,IN_Zugliste!$A$2,1),OFFSET(IN_Zugliste!$K$4,0,0,IN_Zugliste!$A$2,1),0),0)+_xlfn.XLOOKUP(C72,OFFSET(IN_Zugliste!$A$4,0,0,IN_Zugliste!$A$2,1),OFFSET(IN_Zugliste!$K$4,0,0,IN_Zugliste!$A$2,1),0)</f>
        <v>104403</v>
      </c>
      <c r="N72" s="55" t="str" cm="1">
        <f t="array" aca="1" ref="N72" ca="1">IF(K72=1,_xlfn.XLOOKUP(B72,OFFSET(IN_Zugliste!$A$4,0,0,IN_Zugliste!$A$2,1),OFFSET(IN_Zugliste!$D$4,0,0,IN_Zugliste!$A$2,1),""),"")</f>
        <v>146-3.2</v>
      </c>
      <c r="O72" s="55" t="str" cm="1">
        <f t="array" aca="1" ref="O72" ca="1">IF(L72&lt;&gt;"",L72,_xlfn.XLOOKUP(B72,OFFSET($C$4,0,0,$A$2,1),OFFSET($O$4,0,0,$A$2,1)))</f>
        <v>Composition 9</v>
      </c>
      <c r="P72" s="55" cm="1">
        <f t="array" aca="1" ref="P72" ca="1">MATCH(J72, _xlfn._xlws.FILTER($J$4:$J$430,$O$4:$O$430=O72), 0)+1</f>
        <v>2</v>
      </c>
      <c r="Q72" s="63" t="str">
        <f>_xlfn.XLOOKUP(B72, IN_Zugliste!A:A, IN_Zugliste!M:M, "")</f>
        <v>04:41:12</v>
      </c>
    </row>
    <row r="73" spans="1:17" ht="15" customHeight="1" x14ac:dyDescent="0.2">
      <c r="A73" s="63" t="s">
        <v>686</v>
      </c>
      <c r="B73" s="63" t="s">
        <v>272</v>
      </c>
      <c r="C73" s="63" t="s">
        <v>259</v>
      </c>
      <c r="D73" s="63" t="s">
        <v>915</v>
      </c>
      <c r="E73" s="63" t="s">
        <v>688</v>
      </c>
      <c r="F73" s="63" t="s">
        <v>916</v>
      </c>
      <c r="G73" s="63" t="s">
        <v>917</v>
      </c>
      <c r="H73" s="63" t="s">
        <v>691</v>
      </c>
      <c r="I73" s="63" t="s">
        <v>918</v>
      </c>
      <c r="J73" s="63" t="s">
        <v>919</v>
      </c>
      <c r="K73" s="55">
        <f t="shared" ca="1" si="1"/>
        <v>0</v>
      </c>
      <c r="L73" s="56" t="str">
        <f ca="1">IF(K73&gt;0,"Composition "&amp;SUM(K$4:K73),"")</f>
        <v/>
      </c>
      <c r="M73" s="55" cm="1">
        <f t="array" aca="1" ref="M73" ca="1">IF(K73=1,_xlfn.XLOOKUP(B73,OFFSET(IN_Zugliste!$A$4,0,0,IN_Zugliste!$A$2,1),OFFSET(IN_Zugliste!$K$4,0,0,IN_Zugliste!$A$2,1),0),0)+_xlfn.XLOOKUP(C73,OFFSET(IN_Zugliste!$A$4,0,0,IN_Zugliste!$A$2,1),OFFSET(IN_Zugliste!$K$4,0,0,IN_Zugliste!$A$2,1),0)</f>
        <v>52218</v>
      </c>
      <c r="N73" s="55" t="str" cm="1">
        <f t="array" aca="1" ref="N73" ca="1">IF(K73=1,_xlfn.XLOOKUP(B73,OFFSET(IN_Zugliste!$A$4,0,0,IN_Zugliste!$A$2,1),OFFSET(IN_Zugliste!$D$4,0,0,IN_Zugliste!$A$2,1),""),"")</f>
        <v/>
      </c>
      <c r="O73" s="55" t="str" cm="1">
        <f t="array" aca="1" ref="O73" ca="1">IF(L73&lt;&gt;"",L73,_xlfn.XLOOKUP(B73,OFFSET($C$4,0,0,$A$2,1),OFFSET($O$4,0,0,$A$2,1)))</f>
        <v>Composition 9</v>
      </c>
      <c r="P73" s="55" cm="1">
        <f t="array" aca="1" ref="P73" ca="1">MATCH(J73, _xlfn._xlws.FILTER($J$4:$J$430,$O$4:$O$430=O73), 0)+1</f>
        <v>3</v>
      </c>
      <c r="Q73" s="63" t="str">
        <f>_xlfn.XLOOKUP(B73, IN_Zugliste!A:A, IN_Zugliste!M:M, "")</f>
        <v>06:26:43</v>
      </c>
    </row>
    <row r="74" spans="1:17" ht="15" customHeight="1" x14ac:dyDescent="0.2">
      <c r="A74" s="63" t="s">
        <v>686</v>
      </c>
      <c r="B74" s="63" t="s">
        <v>259</v>
      </c>
      <c r="C74" s="63" t="s">
        <v>250</v>
      </c>
      <c r="D74" s="63" t="s">
        <v>875</v>
      </c>
      <c r="E74" s="63" t="s">
        <v>688</v>
      </c>
      <c r="F74" s="63" t="s">
        <v>920</v>
      </c>
      <c r="G74" s="63" t="s">
        <v>921</v>
      </c>
      <c r="H74" s="63" t="s">
        <v>691</v>
      </c>
      <c r="I74" s="63" t="s">
        <v>921</v>
      </c>
      <c r="J74" s="63" t="s">
        <v>922</v>
      </c>
      <c r="K74" s="55">
        <f t="shared" ca="1" si="1"/>
        <v>0</v>
      </c>
      <c r="L74" s="56" t="str">
        <f ca="1">IF(K74&gt;0,"Composition "&amp;SUM(K$4:K74),"")</f>
        <v/>
      </c>
      <c r="M74" s="55" cm="1">
        <f t="array" aca="1" ref="M74" ca="1">IF(K74=1,_xlfn.XLOOKUP(B74,OFFSET(IN_Zugliste!$A$4,0,0,IN_Zugliste!$A$2,1),OFFSET(IN_Zugliste!$K$4,0,0,IN_Zugliste!$A$2,1),0),0)+_xlfn.XLOOKUP(C74,OFFSET(IN_Zugliste!$A$4,0,0,IN_Zugliste!$A$2,1),OFFSET(IN_Zugliste!$K$4,0,0,IN_Zugliste!$A$2,1),0)</f>
        <v>52185</v>
      </c>
      <c r="N74" s="55" t="str" cm="1">
        <f t="array" aca="1" ref="N74" ca="1">IF(K74=1,_xlfn.XLOOKUP(B74,OFFSET(IN_Zugliste!$A$4,0,0,IN_Zugliste!$A$2,1),OFFSET(IN_Zugliste!$D$4,0,0,IN_Zugliste!$A$2,1),""),"")</f>
        <v/>
      </c>
      <c r="O74" s="55" t="str" cm="1">
        <f t="array" aca="1" ref="O74" ca="1">IF(L74&lt;&gt;"",L74,_xlfn.XLOOKUP(B74,OFFSET($C$4,0,0,$A$2,1),OFFSET($O$4,0,0,$A$2,1)))</f>
        <v>Composition 9</v>
      </c>
      <c r="P74" s="55" cm="1">
        <f t="array" aca="1" ref="P74" ca="1">MATCH(J74, _xlfn._xlws.FILTER($J$4:$J$430,$O$4:$O$430=O74), 0)+1</f>
        <v>4</v>
      </c>
      <c r="Q74" s="63" t="str">
        <f>_xlfn.XLOOKUP(B74, IN_Zugliste!A:A, IN_Zugliste!M:M, "")</f>
        <v>08:19:04</v>
      </c>
    </row>
    <row r="75" spans="1:17" ht="15" customHeight="1" x14ac:dyDescent="0.2">
      <c r="A75" s="63" t="s">
        <v>686</v>
      </c>
      <c r="B75" s="63" t="s">
        <v>250</v>
      </c>
      <c r="C75" s="63" t="s">
        <v>289</v>
      </c>
      <c r="D75" s="63" t="s">
        <v>915</v>
      </c>
      <c r="E75" s="63" t="s">
        <v>688</v>
      </c>
      <c r="F75" s="63" t="s">
        <v>923</v>
      </c>
      <c r="G75" s="63" t="s">
        <v>924</v>
      </c>
      <c r="H75" s="63" t="s">
        <v>691</v>
      </c>
      <c r="I75" s="63" t="s">
        <v>924</v>
      </c>
      <c r="J75" s="63" t="s">
        <v>925</v>
      </c>
      <c r="K75" s="55">
        <f t="shared" ca="1" si="1"/>
        <v>0</v>
      </c>
      <c r="L75" s="56" t="str">
        <f ca="1">IF(K75&gt;0,"Composition "&amp;SUM(K$4:K75),"")</f>
        <v/>
      </c>
      <c r="M75" s="55" cm="1">
        <f t="array" aca="1" ref="M75" ca="1">IF(K75=1,_xlfn.XLOOKUP(B75,OFFSET(IN_Zugliste!$A$4,0,0,IN_Zugliste!$A$2,1),OFFSET(IN_Zugliste!$K$4,0,0,IN_Zugliste!$A$2,1),0),0)+_xlfn.XLOOKUP(C75,OFFSET(IN_Zugliste!$A$4,0,0,IN_Zugliste!$A$2,1),OFFSET(IN_Zugliste!$K$4,0,0,IN_Zugliste!$A$2,1),0)</f>
        <v>52218</v>
      </c>
      <c r="N75" s="55" t="str" cm="1">
        <f t="array" aca="1" ref="N75" ca="1">IF(K75=1,_xlfn.XLOOKUP(B75,OFFSET(IN_Zugliste!$A$4,0,0,IN_Zugliste!$A$2,1),OFFSET(IN_Zugliste!$D$4,0,0,IN_Zugliste!$A$2,1),""),"")</f>
        <v/>
      </c>
      <c r="O75" s="55" t="str" cm="1">
        <f t="array" aca="1" ref="O75" ca="1">IF(L75&lt;&gt;"",L75,_xlfn.XLOOKUP(B75,OFFSET($C$4,0,0,$A$2,1),OFFSET($O$4,0,0,$A$2,1)))</f>
        <v>Composition 9</v>
      </c>
      <c r="P75" s="55" cm="1">
        <f t="array" aca="1" ref="P75" ca="1">MATCH(J75, _xlfn._xlws.FILTER($J$4:$J$430,$O$4:$O$430=O75), 0)+1</f>
        <v>5</v>
      </c>
      <c r="Q75" s="63" t="str">
        <f>_xlfn.XLOOKUP(B75, IN_Zugliste!A:A, IN_Zugliste!M:M, "")</f>
        <v>10:02:24</v>
      </c>
    </row>
    <row r="76" spans="1:17" ht="15" customHeight="1" x14ac:dyDescent="0.2">
      <c r="A76" s="63" t="s">
        <v>686</v>
      </c>
      <c r="B76" s="63" t="s">
        <v>289</v>
      </c>
      <c r="C76" s="63" t="s">
        <v>279</v>
      </c>
      <c r="D76" s="63" t="s">
        <v>875</v>
      </c>
      <c r="E76" s="63" t="s">
        <v>688</v>
      </c>
      <c r="F76" s="63" t="s">
        <v>926</v>
      </c>
      <c r="G76" s="63" t="s">
        <v>927</v>
      </c>
      <c r="H76" s="63" t="s">
        <v>691</v>
      </c>
      <c r="I76" s="63" t="s">
        <v>927</v>
      </c>
      <c r="J76" s="63" t="s">
        <v>928</v>
      </c>
      <c r="K76" s="55">
        <f t="shared" ca="1" si="1"/>
        <v>0</v>
      </c>
      <c r="L76" s="56" t="str">
        <f ca="1">IF(K76&gt;0,"Composition "&amp;SUM(K$4:K76),"")</f>
        <v/>
      </c>
      <c r="M76" s="55" cm="1">
        <f t="array" aca="1" ref="M76" ca="1">IF(K76=1,_xlfn.XLOOKUP(B76,OFFSET(IN_Zugliste!$A$4,0,0,IN_Zugliste!$A$2,1),OFFSET(IN_Zugliste!$K$4,0,0,IN_Zugliste!$A$2,1),0),0)+_xlfn.XLOOKUP(C76,OFFSET(IN_Zugliste!$A$4,0,0,IN_Zugliste!$A$2,1),OFFSET(IN_Zugliste!$K$4,0,0,IN_Zugliste!$A$2,1),0)</f>
        <v>52185</v>
      </c>
      <c r="N76" s="55" t="str" cm="1">
        <f t="array" aca="1" ref="N76" ca="1">IF(K76=1,_xlfn.XLOOKUP(B76,OFFSET(IN_Zugliste!$A$4,0,0,IN_Zugliste!$A$2,1),OFFSET(IN_Zugliste!$D$4,0,0,IN_Zugliste!$A$2,1),""),"")</f>
        <v/>
      </c>
      <c r="O76" s="55" t="str" cm="1">
        <f t="array" aca="1" ref="O76" ca="1">IF(L76&lt;&gt;"",L76,_xlfn.XLOOKUP(B76,OFFSET($C$4,0,0,$A$2,1),OFFSET($O$4,0,0,$A$2,1)))</f>
        <v>Composition 9</v>
      </c>
      <c r="P76" s="55" cm="1">
        <f t="array" aca="1" ref="P76" ca="1">MATCH(J76, _xlfn._xlws.FILTER($J$4:$J$430,$O$4:$O$430=O76), 0)+1</f>
        <v>6</v>
      </c>
      <c r="Q76" s="63" t="str">
        <f>_xlfn.XLOOKUP(B76, IN_Zugliste!A:A, IN_Zugliste!M:M, "")</f>
        <v>11:41:12</v>
      </c>
    </row>
    <row r="77" spans="1:17" ht="15" customHeight="1" x14ac:dyDescent="0.2">
      <c r="A77" s="63" t="s">
        <v>686</v>
      </c>
      <c r="B77" s="63" t="s">
        <v>515</v>
      </c>
      <c r="C77" s="63" t="s">
        <v>529</v>
      </c>
      <c r="D77" s="63" t="s">
        <v>929</v>
      </c>
      <c r="E77" s="63" t="s">
        <v>688</v>
      </c>
      <c r="F77" s="64">
        <v>0.25561342592592595</v>
      </c>
      <c r="G77" s="63" t="s">
        <v>930</v>
      </c>
      <c r="H77" s="63" t="s">
        <v>691</v>
      </c>
      <c r="I77" s="63" t="s">
        <v>930</v>
      </c>
      <c r="J77" s="63" t="s">
        <v>931</v>
      </c>
      <c r="K77" s="55">
        <f t="shared" ca="1" si="1"/>
        <v>1</v>
      </c>
      <c r="L77" s="56" t="str">
        <f ca="1">IF(K77&gt;0,"Composition "&amp;SUM(K$4:K77),"")</f>
        <v>Composition 10</v>
      </c>
      <c r="M77" s="55" cm="1">
        <f t="array" aca="1" ref="M77" ca="1">IF(K77=1,_xlfn.XLOOKUP(B77,OFFSET(IN_Zugliste!$A$4,0,0,IN_Zugliste!$A$2,1),OFFSET(IN_Zugliste!$K$4,0,0,IN_Zugliste!$A$2,1),0),0)+_xlfn.XLOOKUP(C77,OFFSET(IN_Zugliste!$A$4,0,0,IN_Zugliste!$A$2,1),OFFSET(IN_Zugliste!$K$4,0,0,IN_Zugliste!$A$2,1),0)</f>
        <v>139383</v>
      </c>
      <c r="N77" s="55" t="str" cm="1">
        <f t="array" aca="1" ref="N77" ca="1">IF(K77=1,_xlfn.XLOOKUP(B77,OFFSET(IN_Zugliste!$A$4,0,0,IN_Zugliste!$A$2,1),OFFSET(IN_Zugliste!$D$4,0,0,IN_Zugliste!$A$2,1),""),"")</f>
        <v>101-3.0</v>
      </c>
      <c r="O77" s="55" t="str" cm="1">
        <f t="array" aca="1" ref="O77" ca="1">IF(L77&lt;&gt;"",L77,_xlfn.XLOOKUP(B77,OFFSET($C$4,0,0,$A$2,1),OFFSET($O$4,0,0,$A$2,1)))</f>
        <v>Composition 10</v>
      </c>
      <c r="P77" s="55" cm="1">
        <f t="array" aca="1" ref="P77" ca="1">MATCH(J77, _xlfn._xlws.FILTER($J$4:$J$430,$O$4:$O$430=O77), 0)+1</f>
        <v>2</v>
      </c>
      <c r="Q77" s="63" t="str">
        <f>_xlfn.XLOOKUP(B77, IN_Zugliste!A:A, IN_Zugliste!M:M, "")</f>
        <v>04:53:57</v>
      </c>
    </row>
    <row r="78" spans="1:17" ht="15" customHeight="1" x14ac:dyDescent="0.2">
      <c r="A78" s="63" t="s">
        <v>686</v>
      </c>
      <c r="B78" s="63" t="s">
        <v>529</v>
      </c>
      <c r="C78" s="63" t="s">
        <v>520</v>
      </c>
      <c r="D78" s="63" t="s">
        <v>932</v>
      </c>
      <c r="E78" s="63" t="s">
        <v>688</v>
      </c>
      <c r="F78" s="63" t="s">
        <v>933</v>
      </c>
      <c r="G78" s="63" t="s">
        <v>934</v>
      </c>
      <c r="H78" s="63" t="s">
        <v>691</v>
      </c>
      <c r="I78" s="63" t="s">
        <v>934</v>
      </c>
      <c r="J78" s="63" t="s">
        <v>935</v>
      </c>
      <c r="K78" s="55">
        <f t="shared" ca="1" si="1"/>
        <v>0</v>
      </c>
      <c r="L78" s="56" t="str">
        <f ca="1">IF(K78&gt;0,"Composition "&amp;SUM(K$4:K78),"")</f>
        <v/>
      </c>
      <c r="M78" s="55" cm="1">
        <f t="array" aca="1" ref="M78" ca="1">IF(K78=1,_xlfn.XLOOKUP(B78,OFFSET(IN_Zugliste!$A$4,0,0,IN_Zugliste!$A$2,1),OFFSET(IN_Zugliste!$K$4,0,0,IN_Zugliste!$A$2,1),0),0)+_xlfn.XLOOKUP(C78,OFFSET(IN_Zugliste!$A$4,0,0,IN_Zugliste!$A$2,1),OFFSET(IN_Zugliste!$K$4,0,0,IN_Zugliste!$A$2,1),0)</f>
        <v>69712</v>
      </c>
      <c r="N78" s="55" t="str" cm="1">
        <f t="array" aca="1" ref="N78" ca="1">IF(K78=1,_xlfn.XLOOKUP(B78,OFFSET(IN_Zugliste!$A$4,0,0,IN_Zugliste!$A$2,1),OFFSET(IN_Zugliste!$D$4,0,0,IN_Zugliste!$A$2,1),""),"")</f>
        <v/>
      </c>
      <c r="O78" s="55" t="str" cm="1">
        <f t="array" aca="1" ref="O78" ca="1">IF(L78&lt;&gt;"",L78,_xlfn.XLOOKUP(B78,OFFSET($C$4,0,0,$A$2,1),OFFSET($O$4,0,0,$A$2,1)))</f>
        <v>Composition 10</v>
      </c>
      <c r="P78" s="55" cm="1">
        <f t="array" aca="1" ref="P78" ca="1">MATCH(J78, _xlfn._xlws.FILTER($J$4:$J$430,$O$4:$O$430=O78), 0)+1</f>
        <v>3</v>
      </c>
      <c r="Q78" s="63" t="str">
        <f>_xlfn.XLOOKUP(B78, IN_Zugliste!A:A, IN_Zugliste!M:M, "")</f>
        <v>06:23:02</v>
      </c>
    </row>
    <row r="79" spans="1:17" ht="15" customHeight="1" x14ac:dyDescent="0.2">
      <c r="A79" s="63" t="s">
        <v>686</v>
      </c>
      <c r="B79" s="63" t="s">
        <v>520</v>
      </c>
      <c r="C79" s="63" t="s">
        <v>532</v>
      </c>
      <c r="D79" s="63" t="s">
        <v>929</v>
      </c>
      <c r="E79" s="63" t="s">
        <v>688</v>
      </c>
      <c r="F79" s="63" t="s">
        <v>936</v>
      </c>
      <c r="G79" s="63" t="s">
        <v>937</v>
      </c>
      <c r="H79" s="63" t="s">
        <v>691</v>
      </c>
      <c r="I79" s="63" t="s">
        <v>937</v>
      </c>
      <c r="J79" s="63" t="s">
        <v>938</v>
      </c>
      <c r="K79" s="55">
        <f t="shared" ca="1" si="1"/>
        <v>0</v>
      </c>
      <c r="L79" s="56" t="str">
        <f ca="1">IF(K79&gt;0,"Composition "&amp;SUM(K$4:K79),"")</f>
        <v/>
      </c>
      <c r="M79" s="55" cm="1">
        <f t="array" aca="1" ref="M79" ca="1">IF(K79=1,_xlfn.XLOOKUP(B79,OFFSET(IN_Zugliste!$A$4,0,0,IN_Zugliste!$A$2,1),OFFSET(IN_Zugliste!$K$4,0,0,IN_Zugliste!$A$2,1),0),0)+_xlfn.XLOOKUP(C79,OFFSET(IN_Zugliste!$A$4,0,0,IN_Zugliste!$A$2,1),OFFSET(IN_Zugliste!$K$4,0,0,IN_Zugliste!$A$2,1),0)</f>
        <v>69671</v>
      </c>
      <c r="N79" s="55" t="str" cm="1">
        <f t="array" aca="1" ref="N79" ca="1">IF(K79=1,_xlfn.XLOOKUP(B79,OFFSET(IN_Zugliste!$A$4,0,0,IN_Zugliste!$A$2,1),OFFSET(IN_Zugliste!$D$4,0,0,IN_Zugliste!$A$2,1),""),"")</f>
        <v/>
      </c>
      <c r="O79" s="55" t="str" cm="1">
        <f t="array" aca="1" ref="O79" ca="1">IF(L79&lt;&gt;"",L79,_xlfn.XLOOKUP(B79,OFFSET($C$4,0,0,$A$2,1),OFFSET($O$4,0,0,$A$2,1)))</f>
        <v>Composition 10</v>
      </c>
      <c r="P79" s="55" cm="1">
        <f t="array" aca="1" ref="P79" ca="1">MATCH(J79, _xlfn._xlws.FILTER($J$4:$J$430,$O$4:$O$430=O79), 0)+1</f>
        <v>4</v>
      </c>
      <c r="Q79" s="63" t="str">
        <f>_xlfn.XLOOKUP(B79, IN_Zugliste!A:A, IN_Zugliste!M:M, "")</f>
        <v>07:53:57</v>
      </c>
    </row>
    <row r="80" spans="1:17" ht="15" customHeight="1" x14ac:dyDescent="0.2">
      <c r="A80" s="63" t="s">
        <v>686</v>
      </c>
      <c r="B80" s="63" t="s">
        <v>532</v>
      </c>
      <c r="C80" s="63" t="s">
        <v>523</v>
      </c>
      <c r="D80" s="63" t="s">
        <v>932</v>
      </c>
      <c r="E80" s="63" t="s">
        <v>688</v>
      </c>
      <c r="F80" s="63" t="s">
        <v>939</v>
      </c>
      <c r="G80" s="63" t="s">
        <v>940</v>
      </c>
      <c r="H80" s="63" t="s">
        <v>691</v>
      </c>
      <c r="I80" s="63" t="s">
        <v>940</v>
      </c>
      <c r="J80" s="63" t="s">
        <v>941</v>
      </c>
      <c r="K80" s="55">
        <f t="shared" ca="1" si="1"/>
        <v>0</v>
      </c>
      <c r="L80" s="56" t="str">
        <f ca="1">IF(K80&gt;0,"Composition "&amp;SUM(K$4:K80),"")</f>
        <v/>
      </c>
      <c r="M80" s="55" cm="1">
        <f t="array" aca="1" ref="M80" ca="1">IF(K80=1,_xlfn.XLOOKUP(B80,OFFSET(IN_Zugliste!$A$4,0,0,IN_Zugliste!$A$2,1),OFFSET(IN_Zugliste!$K$4,0,0,IN_Zugliste!$A$2,1),0),0)+_xlfn.XLOOKUP(C80,OFFSET(IN_Zugliste!$A$4,0,0,IN_Zugliste!$A$2,1),OFFSET(IN_Zugliste!$K$4,0,0,IN_Zugliste!$A$2,1),0)</f>
        <v>69712</v>
      </c>
      <c r="N80" s="55" t="str" cm="1">
        <f t="array" aca="1" ref="N80" ca="1">IF(K80=1,_xlfn.XLOOKUP(B80,OFFSET(IN_Zugliste!$A$4,0,0,IN_Zugliste!$A$2,1),OFFSET(IN_Zugliste!$D$4,0,0,IN_Zugliste!$A$2,1),""),"")</f>
        <v/>
      </c>
      <c r="O80" s="55" t="str" cm="1">
        <f t="array" aca="1" ref="O80" ca="1">IF(L80&lt;&gt;"",L80,_xlfn.XLOOKUP(B80,OFFSET($C$4,0,0,$A$2,1),OFFSET($O$4,0,0,$A$2,1)))</f>
        <v>Composition 10</v>
      </c>
      <c r="P80" s="55" cm="1">
        <f t="array" aca="1" ref="P80" ca="1">MATCH(J80, _xlfn._xlws.FILTER($J$4:$J$430,$O$4:$O$430=O80), 0)+1</f>
        <v>5</v>
      </c>
      <c r="Q80" s="63" t="str">
        <f>_xlfn.XLOOKUP(B80, IN_Zugliste!A:A, IN_Zugliste!M:M, "")</f>
        <v>09:23:02</v>
      </c>
    </row>
    <row r="81" spans="1:17" ht="15" customHeight="1" x14ac:dyDescent="0.2">
      <c r="A81" s="63" t="s">
        <v>686</v>
      </c>
      <c r="B81" s="63" t="s">
        <v>523</v>
      </c>
      <c r="C81" s="63" t="s">
        <v>535</v>
      </c>
      <c r="D81" s="63" t="s">
        <v>929</v>
      </c>
      <c r="E81" s="63" t="s">
        <v>688</v>
      </c>
      <c r="F81" s="63" t="s">
        <v>942</v>
      </c>
      <c r="G81" s="63" t="s">
        <v>943</v>
      </c>
      <c r="H81" s="63" t="s">
        <v>691</v>
      </c>
      <c r="I81" s="63" t="s">
        <v>943</v>
      </c>
      <c r="J81" s="63" t="s">
        <v>944</v>
      </c>
      <c r="K81" s="55">
        <f t="shared" ca="1" si="1"/>
        <v>0</v>
      </c>
      <c r="L81" s="56" t="str">
        <f ca="1">IF(K81&gt;0,"Composition "&amp;SUM(K$4:K81),"")</f>
        <v/>
      </c>
      <c r="M81" s="55" cm="1">
        <f t="array" aca="1" ref="M81" ca="1">IF(K81=1,_xlfn.XLOOKUP(B81,OFFSET(IN_Zugliste!$A$4,0,0,IN_Zugliste!$A$2,1),OFFSET(IN_Zugliste!$K$4,0,0,IN_Zugliste!$A$2,1),0),0)+_xlfn.XLOOKUP(C81,OFFSET(IN_Zugliste!$A$4,0,0,IN_Zugliste!$A$2,1),OFFSET(IN_Zugliste!$K$4,0,0,IN_Zugliste!$A$2,1),0)</f>
        <v>69671</v>
      </c>
      <c r="N81" s="55" t="str" cm="1">
        <f t="array" aca="1" ref="N81" ca="1">IF(K81=1,_xlfn.XLOOKUP(B81,OFFSET(IN_Zugliste!$A$4,0,0,IN_Zugliste!$A$2,1),OFFSET(IN_Zugliste!$D$4,0,0,IN_Zugliste!$A$2,1),""),"")</f>
        <v/>
      </c>
      <c r="O81" s="55" t="str" cm="1">
        <f t="array" aca="1" ref="O81" ca="1">IF(L81&lt;&gt;"",L81,_xlfn.XLOOKUP(B81,OFFSET($C$4,0,0,$A$2,1),OFFSET($O$4,0,0,$A$2,1)))</f>
        <v>Composition 10</v>
      </c>
      <c r="P81" s="55" cm="1">
        <f t="array" aca="1" ref="P81" ca="1">MATCH(J81, _xlfn._xlws.FILTER($J$4:$J$430,$O$4:$O$430=O81), 0)+1</f>
        <v>6</v>
      </c>
      <c r="Q81" s="63" t="str">
        <f>_xlfn.XLOOKUP(B81, IN_Zugliste!A:A, IN_Zugliste!M:M, "")</f>
        <v>10:53:57</v>
      </c>
    </row>
    <row r="82" spans="1:17" ht="15" customHeight="1" x14ac:dyDescent="0.2">
      <c r="A82" s="63" t="s">
        <v>686</v>
      </c>
      <c r="B82" s="63" t="s">
        <v>535</v>
      </c>
      <c r="C82" s="63" t="s">
        <v>517</v>
      </c>
      <c r="D82" s="63" t="s">
        <v>932</v>
      </c>
      <c r="E82" s="63" t="s">
        <v>688</v>
      </c>
      <c r="F82" s="63" t="s">
        <v>945</v>
      </c>
      <c r="G82" s="63" t="s">
        <v>946</v>
      </c>
      <c r="H82" s="63" t="s">
        <v>691</v>
      </c>
      <c r="I82" s="63" t="s">
        <v>946</v>
      </c>
      <c r="J82" s="63" t="s">
        <v>947</v>
      </c>
      <c r="K82" s="55">
        <f t="shared" ca="1" si="1"/>
        <v>0</v>
      </c>
      <c r="L82" s="56" t="str">
        <f ca="1">IF(K82&gt;0,"Composition "&amp;SUM(K$4:K82),"")</f>
        <v/>
      </c>
      <c r="M82" s="55" cm="1">
        <f t="array" aca="1" ref="M82" ca="1">IF(K82=1,_xlfn.XLOOKUP(B82,OFFSET(IN_Zugliste!$A$4,0,0,IN_Zugliste!$A$2,1),OFFSET(IN_Zugliste!$K$4,0,0,IN_Zugliste!$A$2,1),0),0)+_xlfn.XLOOKUP(C82,OFFSET(IN_Zugliste!$A$4,0,0,IN_Zugliste!$A$2,1),OFFSET(IN_Zugliste!$K$4,0,0,IN_Zugliste!$A$2,1),0)</f>
        <v>69712</v>
      </c>
      <c r="N82" s="55" t="str" cm="1">
        <f t="array" aca="1" ref="N82" ca="1">IF(K82=1,_xlfn.XLOOKUP(B82,OFFSET(IN_Zugliste!$A$4,0,0,IN_Zugliste!$A$2,1),OFFSET(IN_Zugliste!$D$4,0,0,IN_Zugliste!$A$2,1),""),"")</f>
        <v/>
      </c>
      <c r="O82" s="55" t="str" cm="1">
        <f t="array" aca="1" ref="O82" ca="1">IF(L82&lt;&gt;"",L82,_xlfn.XLOOKUP(B82,OFFSET($C$4,0,0,$A$2,1),OFFSET($O$4,0,0,$A$2,1)))</f>
        <v>Composition 10</v>
      </c>
      <c r="P82" s="55" cm="1">
        <f t="array" aca="1" ref="P82" ca="1">MATCH(J82, _xlfn._xlws.FILTER($J$4:$J$430,$O$4:$O$430=O82), 0)+1</f>
        <v>7</v>
      </c>
      <c r="Q82" s="63" t="str">
        <f>_xlfn.XLOOKUP(B82, IN_Zugliste!A:A, IN_Zugliste!M:M, "")</f>
        <v>12:23:02</v>
      </c>
    </row>
    <row r="83" spans="1:17" ht="15" customHeight="1" x14ac:dyDescent="0.2">
      <c r="A83" s="63" t="s">
        <v>686</v>
      </c>
      <c r="B83" s="63" t="s">
        <v>88</v>
      </c>
      <c r="C83" s="63" t="s">
        <v>102</v>
      </c>
      <c r="D83" s="63" t="s">
        <v>723</v>
      </c>
      <c r="E83" s="63" t="s">
        <v>948</v>
      </c>
      <c r="F83" s="63" t="s">
        <v>949</v>
      </c>
      <c r="G83" s="63" t="s">
        <v>950</v>
      </c>
      <c r="H83" s="63" t="s">
        <v>691</v>
      </c>
      <c r="I83" s="63" t="s">
        <v>951</v>
      </c>
      <c r="J83" s="63" t="s">
        <v>952</v>
      </c>
      <c r="K83" s="55">
        <f t="shared" ca="1" si="1"/>
        <v>1</v>
      </c>
      <c r="L83" s="56" t="str">
        <f ca="1">IF(K83&gt;0,"Composition "&amp;SUM(K$4:K83),"")</f>
        <v>Composition 11</v>
      </c>
      <c r="M83" s="55" cm="1">
        <f t="array" aca="1" ref="M83" ca="1">IF(K83=1,_xlfn.XLOOKUP(B83,OFFSET(IN_Zugliste!$A$4,0,0,IN_Zugliste!$A$2,1),OFFSET(IN_Zugliste!$K$4,0,0,IN_Zugliste!$A$2,1),0),0)+_xlfn.XLOOKUP(C83,OFFSET(IN_Zugliste!$A$4,0,0,IN_Zugliste!$A$2,1),OFFSET(IN_Zugliste!$K$4,0,0,IN_Zugliste!$A$2,1),0)</f>
        <v>135916</v>
      </c>
      <c r="N83" s="55" t="str" cm="1">
        <f t="array" aca="1" ref="N83" ca="1">IF(K83=1,_xlfn.XLOOKUP(B83,OFFSET(IN_Zugliste!$A$4,0,0,IN_Zugliste!$A$2,1),OFFSET(IN_Zugliste!$D$4,0,0,IN_Zugliste!$A$2,1),""),"")</f>
        <v>146-3.2</v>
      </c>
      <c r="O83" s="55" t="str" cm="1">
        <f t="array" aca="1" ref="O83" ca="1">IF(L83&lt;&gt;"",L83,_xlfn.XLOOKUP(B83,OFFSET($C$4,0,0,$A$2,1),OFFSET($O$4,0,0,$A$2,1)))</f>
        <v>Composition 11</v>
      </c>
      <c r="P83" s="55" cm="1">
        <f t="array" aca="1" ref="P83" ca="1">MATCH(J83, _xlfn._xlws.FILTER($J$4:$J$430,$O$4:$O$430=O83), 0)+1</f>
        <v>2</v>
      </c>
      <c r="Q83" s="63" t="str">
        <f>_xlfn.XLOOKUP(B83, IN_Zugliste!A:A, IN_Zugliste!M:M, "")</f>
        <v>04:50:28</v>
      </c>
    </row>
    <row r="84" spans="1:17" ht="15" customHeight="1" x14ac:dyDescent="0.2">
      <c r="A84" s="63" t="s">
        <v>686</v>
      </c>
      <c r="B84" s="63" t="s">
        <v>102</v>
      </c>
      <c r="C84" s="63" t="s">
        <v>93</v>
      </c>
      <c r="D84" s="63" t="s">
        <v>953</v>
      </c>
      <c r="E84" s="63" t="s">
        <v>688</v>
      </c>
      <c r="F84" s="63" t="s">
        <v>954</v>
      </c>
      <c r="G84" s="63" t="s">
        <v>955</v>
      </c>
      <c r="H84" s="63" t="s">
        <v>691</v>
      </c>
      <c r="I84" s="63" t="s">
        <v>955</v>
      </c>
      <c r="J84" s="63" t="s">
        <v>956</v>
      </c>
      <c r="K84" s="55">
        <f t="shared" ca="1" si="1"/>
        <v>0</v>
      </c>
      <c r="L84" s="56" t="str">
        <f ca="1">IF(K84&gt;0,"Composition "&amp;SUM(K$4:K84),"")</f>
        <v/>
      </c>
      <c r="M84" s="55" cm="1">
        <f t="array" aca="1" ref="M84" ca="1">IF(K84=1,_xlfn.XLOOKUP(B84,OFFSET(IN_Zugliste!$A$4,0,0,IN_Zugliste!$A$2,1),OFFSET(IN_Zugliste!$K$4,0,0,IN_Zugliste!$A$2,1),0),0)+_xlfn.XLOOKUP(C84,OFFSET(IN_Zugliste!$A$4,0,0,IN_Zugliste!$A$2,1),OFFSET(IN_Zugliste!$K$4,0,0,IN_Zugliste!$A$2,1),0)</f>
        <v>67934</v>
      </c>
      <c r="N84" s="55" t="str" cm="1">
        <f t="array" aca="1" ref="N84" ca="1">IF(K84=1,_xlfn.XLOOKUP(B84,OFFSET(IN_Zugliste!$A$4,0,0,IN_Zugliste!$A$2,1),OFFSET(IN_Zugliste!$D$4,0,0,IN_Zugliste!$A$2,1),""),"")</f>
        <v/>
      </c>
      <c r="O84" s="55" t="str" cm="1">
        <f t="array" aca="1" ref="O84" ca="1">IF(L84&lt;&gt;"",L84,_xlfn.XLOOKUP(B84,OFFSET($C$4,0,0,$A$2,1),OFFSET($O$4,0,0,$A$2,1)))</f>
        <v>Composition 11</v>
      </c>
      <c r="P84" s="55" cm="1">
        <f t="array" aca="1" ref="P84" ca="1">MATCH(J84, _xlfn._xlws.FILTER($J$4:$J$430,$O$4:$O$430=O84), 0)+1</f>
        <v>3</v>
      </c>
      <c r="Q84" s="63" t="str">
        <f>_xlfn.XLOOKUP(B84, IN_Zugliste!A:A, IN_Zugliste!M:M, "")</f>
        <v>06:22:02</v>
      </c>
    </row>
    <row r="85" spans="1:17" ht="15" customHeight="1" x14ac:dyDescent="0.2">
      <c r="A85" s="63" t="s">
        <v>686</v>
      </c>
      <c r="B85" s="63" t="s">
        <v>93</v>
      </c>
      <c r="C85" s="63" t="s">
        <v>105</v>
      </c>
      <c r="D85" s="63" t="s">
        <v>723</v>
      </c>
      <c r="E85" s="63" t="s">
        <v>948</v>
      </c>
      <c r="F85" s="63" t="s">
        <v>957</v>
      </c>
      <c r="G85" s="63" t="s">
        <v>958</v>
      </c>
      <c r="H85" s="63" t="s">
        <v>691</v>
      </c>
      <c r="I85" s="63" t="s">
        <v>959</v>
      </c>
      <c r="J85" s="63" t="s">
        <v>960</v>
      </c>
      <c r="K85" s="55">
        <f t="shared" ca="1" si="1"/>
        <v>0</v>
      </c>
      <c r="L85" s="56" t="str">
        <f ca="1">IF(K85&gt;0,"Composition "&amp;SUM(K$4:K85),"")</f>
        <v/>
      </c>
      <c r="M85" s="55" cm="1">
        <f t="array" aca="1" ref="M85" ca="1">IF(K85=1,_xlfn.XLOOKUP(B85,OFFSET(IN_Zugliste!$A$4,0,0,IN_Zugliste!$A$2,1),OFFSET(IN_Zugliste!$K$4,0,0,IN_Zugliste!$A$2,1),0),0)+_xlfn.XLOOKUP(C85,OFFSET(IN_Zugliste!$A$4,0,0,IN_Zugliste!$A$2,1),OFFSET(IN_Zugliste!$K$4,0,0,IN_Zugliste!$A$2,1),0)</f>
        <v>67982</v>
      </c>
      <c r="N85" s="55" t="str" cm="1">
        <f t="array" aca="1" ref="N85" ca="1">IF(K85=1,_xlfn.XLOOKUP(B85,OFFSET(IN_Zugliste!$A$4,0,0,IN_Zugliste!$A$2,1),OFFSET(IN_Zugliste!$D$4,0,0,IN_Zugliste!$A$2,1),""),"")</f>
        <v/>
      </c>
      <c r="O85" s="55" t="str" cm="1">
        <f t="array" aca="1" ref="O85" ca="1">IF(L85&lt;&gt;"",L85,_xlfn.XLOOKUP(B85,OFFSET($C$4,0,0,$A$2,1),OFFSET($O$4,0,0,$A$2,1)))</f>
        <v>Composition 11</v>
      </c>
      <c r="P85" s="55" cm="1">
        <f t="array" aca="1" ref="P85" ca="1">MATCH(J85, _xlfn._xlws.FILTER($J$4:$J$430,$O$4:$O$430=O85), 0)+1</f>
        <v>4</v>
      </c>
      <c r="Q85" s="63" t="str">
        <f>_xlfn.XLOOKUP(B85, IN_Zugliste!A:A, IN_Zugliste!M:M, "")</f>
        <v>07:50:28</v>
      </c>
    </row>
    <row r="86" spans="1:17" ht="15" customHeight="1" x14ac:dyDescent="0.2">
      <c r="A86" s="63" t="s">
        <v>686</v>
      </c>
      <c r="B86" s="63" t="s">
        <v>105</v>
      </c>
      <c r="C86" s="63" t="s">
        <v>96</v>
      </c>
      <c r="D86" s="63" t="s">
        <v>953</v>
      </c>
      <c r="E86" s="63" t="s">
        <v>688</v>
      </c>
      <c r="F86" s="63" t="s">
        <v>961</v>
      </c>
      <c r="G86" s="63" t="s">
        <v>962</v>
      </c>
      <c r="H86" s="63" t="s">
        <v>691</v>
      </c>
      <c r="I86" s="63" t="s">
        <v>962</v>
      </c>
      <c r="J86" s="63" t="s">
        <v>963</v>
      </c>
      <c r="K86" s="55">
        <f t="shared" ca="1" si="1"/>
        <v>0</v>
      </c>
      <c r="L86" s="56" t="str">
        <f ca="1">IF(K86&gt;0,"Composition "&amp;SUM(K$4:K86),"")</f>
        <v/>
      </c>
      <c r="M86" s="55" cm="1">
        <f t="array" aca="1" ref="M86" ca="1">IF(K86=1,_xlfn.XLOOKUP(B86,OFFSET(IN_Zugliste!$A$4,0,0,IN_Zugliste!$A$2,1),OFFSET(IN_Zugliste!$K$4,0,0,IN_Zugliste!$A$2,1),0),0)+_xlfn.XLOOKUP(C86,OFFSET(IN_Zugliste!$A$4,0,0,IN_Zugliste!$A$2,1),OFFSET(IN_Zugliste!$K$4,0,0,IN_Zugliste!$A$2,1),0)</f>
        <v>67934</v>
      </c>
      <c r="N86" s="55" t="str" cm="1">
        <f t="array" aca="1" ref="N86" ca="1">IF(K86=1,_xlfn.XLOOKUP(B86,OFFSET(IN_Zugliste!$A$4,0,0,IN_Zugliste!$A$2,1),OFFSET(IN_Zugliste!$D$4,0,0,IN_Zugliste!$A$2,1),""),"")</f>
        <v/>
      </c>
      <c r="O86" s="55" t="str" cm="1">
        <f t="array" aca="1" ref="O86" ca="1">IF(L86&lt;&gt;"",L86,_xlfn.XLOOKUP(B86,OFFSET($C$4,0,0,$A$2,1),OFFSET($O$4,0,0,$A$2,1)))</f>
        <v>Composition 11</v>
      </c>
      <c r="P86" s="55" cm="1">
        <f t="array" aca="1" ref="P86" ca="1">MATCH(J86, _xlfn._xlws.FILTER($J$4:$J$430,$O$4:$O$430=O86), 0)+1</f>
        <v>5</v>
      </c>
      <c r="Q86" s="63" t="str">
        <f>_xlfn.XLOOKUP(B86, IN_Zugliste!A:A, IN_Zugliste!M:M, "")</f>
        <v>09:22:02</v>
      </c>
    </row>
    <row r="87" spans="1:17" ht="15" customHeight="1" x14ac:dyDescent="0.2">
      <c r="A87" s="63" t="s">
        <v>686</v>
      </c>
      <c r="B87" s="63" t="s">
        <v>96</v>
      </c>
      <c r="C87" s="63" t="s">
        <v>108</v>
      </c>
      <c r="D87" s="63" t="s">
        <v>723</v>
      </c>
      <c r="E87" s="63" t="s">
        <v>948</v>
      </c>
      <c r="F87" s="63" t="s">
        <v>964</v>
      </c>
      <c r="G87" s="63" t="s">
        <v>965</v>
      </c>
      <c r="H87" s="63" t="s">
        <v>691</v>
      </c>
      <c r="I87" s="63" t="s">
        <v>966</v>
      </c>
      <c r="J87" s="63" t="s">
        <v>967</v>
      </c>
      <c r="K87" s="55">
        <f t="shared" ca="1" si="1"/>
        <v>0</v>
      </c>
      <c r="L87" s="56" t="str">
        <f ca="1">IF(K87&gt;0,"Composition "&amp;SUM(K$4:K87),"")</f>
        <v/>
      </c>
      <c r="M87" s="55" cm="1">
        <f t="array" aca="1" ref="M87" ca="1">IF(K87=1,_xlfn.XLOOKUP(B87,OFFSET(IN_Zugliste!$A$4,0,0,IN_Zugliste!$A$2,1),OFFSET(IN_Zugliste!$K$4,0,0,IN_Zugliste!$A$2,1),0),0)+_xlfn.XLOOKUP(C87,OFFSET(IN_Zugliste!$A$4,0,0,IN_Zugliste!$A$2,1),OFFSET(IN_Zugliste!$K$4,0,0,IN_Zugliste!$A$2,1),0)</f>
        <v>67982</v>
      </c>
      <c r="N87" s="55" t="str" cm="1">
        <f t="array" aca="1" ref="N87" ca="1">IF(K87=1,_xlfn.XLOOKUP(B87,OFFSET(IN_Zugliste!$A$4,0,0,IN_Zugliste!$A$2,1),OFFSET(IN_Zugliste!$D$4,0,0,IN_Zugliste!$A$2,1),""),"")</f>
        <v/>
      </c>
      <c r="O87" s="55" t="str" cm="1">
        <f t="array" aca="1" ref="O87" ca="1">IF(L87&lt;&gt;"",L87,_xlfn.XLOOKUP(B87,OFFSET($C$4,0,0,$A$2,1),OFFSET($O$4,0,0,$A$2,1)))</f>
        <v>Composition 11</v>
      </c>
      <c r="P87" s="55" cm="1">
        <f t="array" aca="1" ref="P87" ca="1">MATCH(J87, _xlfn._xlws.FILTER($J$4:$J$430,$O$4:$O$430=O87), 0)+1</f>
        <v>6</v>
      </c>
      <c r="Q87" s="63" t="str">
        <f>_xlfn.XLOOKUP(B87, IN_Zugliste!A:A, IN_Zugliste!M:M, "")</f>
        <v>10:50:28</v>
      </c>
    </row>
    <row r="88" spans="1:17" ht="15" customHeight="1" x14ac:dyDescent="0.2">
      <c r="A88" s="63" t="s">
        <v>686</v>
      </c>
      <c r="B88" s="63" t="s">
        <v>108</v>
      </c>
      <c r="C88" s="63" t="s">
        <v>90</v>
      </c>
      <c r="D88" s="63" t="s">
        <v>953</v>
      </c>
      <c r="E88" s="63" t="s">
        <v>688</v>
      </c>
      <c r="F88" s="63" t="s">
        <v>968</v>
      </c>
      <c r="G88" s="63" t="s">
        <v>969</v>
      </c>
      <c r="H88" s="63" t="s">
        <v>691</v>
      </c>
      <c r="I88" s="63" t="s">
        <v>969</v>
      </c>
      <c r="J88" s="63" t="s">
        <v>970</v>
      </c>
      <c r="K88" s="55">
        <f t="shared" ca="1" si="1"/>
        <v>0</v>
      </c>
      <c r="L88" s="56" t="str">
        <f ca="1">IF(K88&gt;0,"Composition "&amp;SUM(K$4:K88),"")</f>
        <v/>
      </c>
      <c r="M88" s="55" cm="1">
        <f t="array" aca="1" ref="M88" ca="1">IF(K88=1,_xlfn.XLOOKUP(B88,OFFSET(IN_Zugliste!$A$4,0,0,IN_Zugliste!$A$2,1),OFFSET(IN_Zugliste!$K$4,0,0,IN_Zugliste!$A$2,1),0),0)+_xlfn.XLOOKUP(C88,OFFSET(IN_Zugliste!$A$4,0,0,IN_Zugliste!$A$2,1),OFFSET(IN_Zugliste!$K$4,0,0,IN_Zugliste!$A$2,1),0)</f>
        <v>67934</v>
      </c>
      <c r="N88" s="55" t="str" cm="1">
        <f t="array" aca="1" ref="N88" ca="1">IF(K88=1,_xlfn.XLOOKUP(B88,OFFSET(IN_Zugliste!$A$4,0,0,IN_Zugliste!$A$2,1),OFFSET(IN_Zugliste!$D$4,0,0,IN_Zugliste!$A$2,1),""),"")</f>
        <v/>
      </c>
      <c r="O88" s="55" t="str" cm="1">
        <f t="array" aca="1" ref="O88" ca="1">IF(L88&lt;&gt;"",L88,_xlfn.XLOOKUP(B88,OFFSET($C$4,0,0,$A$2,1),OFFSET($O$4,0,0,$A$2,1)))</f>
        <v>Composition 11</v>
      </c>
      <c r="P88" s="55" cm="1">
        <f t="array" aca="1" ref="P88" ca="1">MATCH(J88, _xlfn._xlws.FILTER($J$4:$J$430,$O$4:$O$430=O88), 0)+1</f>
        <v>7</v>
      </c>
      <c r="Q88" s="63" t="str">
        <f>_xlfn.XLOOKUP(B88, IN_Zugliste!A:A, IN_Zugliste!M:M, "")</f>
        <v>12:22:02</v>
      </c>
    </row>
    <row r="89" spans="1:17" ht="15" customHeight="1" x14ac:dyDescent="0.2">
      <c r="A89" s="63" t="s">
        <v>686</v>
      </c>
      <c r="B89" s="63" t="s">
        <v>537</v>
      </c>
      <c r="C89" s="63" t="s">
        <v>551</v>
      </c>
      <c r="D89" s="63" t="s">
        <v>971</v>
      </c>
      <c r="E89" s="63" t="s">
        <v>688</v>
      </c>
      <c r="F89" s="63" t="s">
        <v>972</v>
      </c>
      <c r="G89" s="63" t="s">
        <v>973</v>
      </c>
      <c r="H89" s="63" t="s">
        <v>691</v>
      </c>
      <c r="I89" s="63" t="s">
        <v>973</v>
      </c>
      <c r="J89" s="63" t="s">
        <v>974</v>
      </c>
      <c r="K89" s="55">
        <f t="shared" ca="1" si="1"/>
        <v>1</v>
      </c>
      <c r="L89" s="56" t="str">
        <f ca="1">IF(K89&gt;0,"Composition "&amp;SUM(K$4:K89),"")</f>
        <v>Composition 12</v>
      </c>
      <c r="M89" s="55" cm="1">
        <f t="array" aca="1" ref="M89" ca="1">IF(K89=1,_xlfn.XLOOKUP(B89,OFFSET(IN_Zugliste!$A$4,0,0,IN_Zugliste!$A$2,1),OFFSET(IN_Zugliste!$K$4,0,0,IN_Zugliste!$A$2,1),0),0)+_xlfn.XLOOKUP(C89,OFFSET(IN_Zugliste!$A$4,0,0,IN_Zugliste!$A$2,1),OFFSET(IN_Zugliste!$K$4,0,0,IN_Zugliste!$A$2,1),0)</f>
        <v>161777</v>
      </c>
      <c r="N89" s="55" t="str" cm="1">
        <f t="array" aca="1" ref="N89" ca="1">IF(K89=1,_xlfn.XLOOKUP(B89,OFFSET(IN_Zugliste!$A$4,0,0,IN_Zugliste!$A$2,1),OFFSET(IN_Zugliste!$D$4,0,0,IN_Zugliste!$A$2,1),""),"")</f>
        <v>101-3.0</v>
      </c>
      <c r="O89" s="55" t="str" cm="1">
        <f t="array" aca="1" ref="O89" ca="1">IF(L89&lt;&gt;"",L89,_xlfn.XLOOKUP(B89,OFFSET($C$4,0,0,$A$2,1),OFFSET($O$4,0,0,$A$2,1)))</f>
        <v>Composition 12</v>
      </c>
      <c r="P89" s="55" cm="1">
        <f t="array" aca="1" ref="P89" ca="1">MATCH(J89, _xlfn._xlws.FILTER($J$4:$J$430,$O$4:$O$430=O89), 0)+1</f>
        <v>2</v>
      </c>
      <c r="Q89" s="63" t="str">
        <f>_xlfn.XLOOKUP(B89, IN_Zugliste!A:A, IN_Zugliste!M:M, "")</f>
        <v>04:54:04</v>
      </c>
    </row>
    <row r="90" spans="1:17" ht="15" customHeight="1" x14ac:dyDescent="0.2">
      <c r="A90" s="63" t="s">
        <v>686</v>
      </c>
      <c r="B90" s="63" t="s">
        <v>551</v>
      </c>
      <c r="C90" s="63" t="s">
        <v>542</v>
      </c>
      <c r="D90" s="63" t="s">
        <v>929</v>
      </c>
      <c r="E90" s="63" t="s">
        <v>688</v>
      </c>
      <c r="F90" s="63" t="s">
        <v>975</v>
      </c>
      <c r="G90" s="63" t="s">
        <v>976</v>
      </c>
      <c r="H90" s="63" t="s">
        <v>691</v>
      </c>
      <c r="I90" s="63" t="s">
        <v>976</v>
      </c>
      <c r="J90" s="63" t="s">
        <v>977</v>
      </c>
      <c r="K90" s="55">
        <f t="shared" ca="1" si="1"/>
        <v>0</v>
      </c>
      <c r="L90" s="56" t="str">
        <f ca="1">IF(K90&gt;0,"Composition "&amp;SUM(K$4:K90),"")</f>
        <v/>
      </c>
      <c r="M90" s="55" cm="1">
        <f t="array" aca="1" ref="M90" ca="1">IF(K90=1,_xlfn.XLOOKUP(B90,OFFSET(IN_Zugliste!$A$4,0,0,IN_Zugliste!$A$2,1),OFFSET(IN_Zugliste!$K$4,0,0,IN_Zugliste!$A$2,1),0),0)+_xlfn.XLOOKUP(C90,OFFSET(IN_Zugliste!$A$4,0,0,IN_Zugliste!$A$2,1),OFFSET(IN_Zugliste!$K$4,0,0,IN_Zugliste!$A$2,1),0)</f>
        <v>80866</v>
      </c>
      <c r="N90" s="55" t="str" cm="1">
        <f t="array" aca="1" ref="N90" ca="1">IF(K90=1,_xlfn.XLOOKUP(B90,OFFSET(IN_Zugliste!$A$4,0,0,IN_Zugliste!$A$2,1),OFFSET(IN_Zugliste!$D$4,0,0,IN_Zugliste!$A$2,1),""),"")</f>
        <v/>
      </c>
      <c r="O90" s="55" t="str" cm="1">
        <f t="array" aca="1" ref="O90" ca="1">IF(L90&lt;&gt;"",L90,_xlfn.XLOOKUP(B90,OFFSET($C$4,0,0,$A$2,1),OFFSET($O$4,0,0,$A$2,1)))</f>
        <v>Composition 12</v>
      </c>
      <c r="P90" s="55" cm="1">
        <f t="array" aca="1" ref="P90" ca="1">MATCH(J90, _xlfn._xlws.FILTER($J$4:$J$430,$O$4:$O$430=O90), 0)+1</f>
        <v>3</v>
      </c>
      <c r="Q90" s="63" t="str">
        <f>_xlfn.XLOOKUP(B90, IN_Zugliste!A:A, IN_Zugliste!M:M, "")</f>
        <v>06:24:33</v>
      </c>
    </row>
    <row r="91" spans="1:17" ht="15" customHeight="1" x14ac:dyDescent="0.2">
      <c r="A91" s="63" t="s">
        <v>686</v>
      </c>
      <c r="B91" s="63" t="s">
        <v>542</v>
      </c>
      <c r="C91" s="63" t="s">
        <v>554</v>
      </c>
      <c r="D91" s="63" t="s">
        <v>971</v>
      </c>
      <c r="E91" s="63" t="s">
        <v>688</v>
      </c>
      <c r="F91" s="63" t="s">
        <v>978</v>
      </c>
      <c r="G91" s="63" t="s">
        <v>979</v>
      </c>
      <c r="H91" s="63" t="s">
        <v>691</v>
      </c>
      <c r="I91" s="63" t="s">
        <v>979</v>
      </c>
      <c r="J91" s="63" t="s">
        <v>980</v>
      </c>
      <c r="K91" s="55">
        <f t="shared" ca="1" si="1"/>
        <v>0</v>
      </c>
      <c r="L91" s="56" t="str">
        <f ca="1">IF(K91&gt;0,"Composition "&amp;SUM(K$4:K91),"")</f>
        <v/>
      </c>
      <c r="M91" s="55" cm="1">
        <f t="array" aca="1" ref="M91" ca="1">IF(K91=1,_xlfn.XLOOKUP(B91,OFFSET(IN_Zugliste!$A$4,0,0,IN_Zugliste!$A$2,1),OFFSET(IN_Zugliste!$K$4,0,0,IN_Zugliste!$A$2,1),0),0)+_xlfn.XLOOKUP(C91,OFFSET(IN_Zugliste!$A$4,0,0,IN_Zugliste!$A$2,1),OFFSET(IN_Zugliste!$K$4,0,0,IN_Zugliste!$A$2,1),0)</f>
        <v>80911</v>
      </c>
      <c r="N91" s="55" t="str" cm="1">
        <f t="array" aca="1" ref="N91" ca="1">IF(K91=1,_xlfn.XLOOKUP(B91,OFFSET(IN_Zugliste!$A$4,0,0,IN_Zugliste!$A$2,1),OFFSET(IN_Zugliste!$D$4,0,0,IN_Zugliste!$A$2,1),""),"")</f>
        <v/>
      </c>
      <c r="O91" s="55" t="str" cm="1">
        <f t="array" aca="1" ref="O91" ca="1">IF(L91&lt;&gt;"",L91,_xlfn.XLOOKUP(B91,OFFSET($C$4,0,0,$A$2,1),OFFSET($O$4,0,0,$A$2,1)))</f>
        <v>Composition 12</v>
      </c>
      <c r="P91" s="55" cm="1">
        <f t="array" aca="1" ref="P91" ca="1">MATCH(J91, _xlfn._xlws.FILTER($J$4:$J$430,$O$4:$O$430=O91), 0)+1</f>
        <v>4</v>
      </c>
      <c r="Q91" s="63" t="str">
        <f>_xlfn.XLOOKUP(B91, IN_Zugliste!A:A, IN_Zugliste!M:M, "")</f>
        <v>07:54:04</v>
      </c>
    </row>
    <row r="92" spans="1:17" ht="15" customHeight="1" x14ac:dyDescent="0.2">
      <c r="A92" s="63" t="s">
        <v>686</v>
      </c>
      <c r="B92" s="63" t="s">
        <v>554</v>
      </c>
      <c r="C92" s="63" t="s">
        <v>545</v>
      </c>
      <c r="D92" s="63" t="s">
        <v>929</v>
      </c>
      <c r="E92" s="63" t="s">
        <v>688</v>
      </c>
      <c r="F92" s="63" t="s">
        <v>981</v>
      </c>
      <c r="G92" s="63" t="s">
        <v>982</v>
      </c>
      <c r="H92" s="63" t="s">
        <v>691</v>
      </c>
      <c r="I92" s="63" t="s">
        <v>982</v>
      </c>
      <c r="J92" s="63" t="s">
        <v>983</v>
      </c>
      <c r="K92" s="55">
        <f t="shared" ca="1" si="1"/>
        <v>0</v>
      </c>
      <c r="L92" s="56" t="str">
        <f ca="1">IF(K92&gt;0,"Composition "&amp;SUM(K$4:K92),"")</f>
        <v/>
      </c>
      <c r="M92" s="55" cm="1">
        <f t="array" aca="1" ref="M92" ca="1">IF(K92=1,_xlfn.XLOOKUP(B92,OFFSET(IN_Zugliste!$A$4,0,0,IN_Zugliste!$A$2,1),OFFSET(IN_Zugliste!$K$4,0,0,IN_Zugliste!$A$2,1),0),0)+_xlfn.XLOOKUP(C92,OFFSET(IN_Zugliste!$A$4,0,0,IN_Zugliste!$A$2,1),OFFSET(IN_Zugliste!$K$4,0,0,IN_Zugliste!$A$2,1),0)</f>
        <v>80866</v>
      </c>
      <c r="N92" s="55" t="str" cm="1">
        <f t="array" aca="1" ref="N92" ca="1">IF(K92=1,_xlfn.XLOOKUP(B92,OFFSET(IN_Zugliste!$A$4,0,0,IN_Zugliste!$A$2,1),OFFSET(IN_Zugliste!$D$4,0,0,IN_Zugliste!$A$2,1),""),"")</f>
        <v/>
      </c>
      <c r="O92" s="55" t="str" cm="1">
        <f t="array" aca="1" ref="O92" ca="1">IF(L92&lt;&gt;"",L92,_xlfn.XLOOKUP(B92,OFFSET($C$4,0,0,$A$2,1),OFFSET($O$4,0,0,$A$2,1)))</f>
        <v>Composition 12</v>
      </c>
      <c r="P92" s="55" cm="1">
        <f t="array" aca="1" ref="P92" ca="1">MATCH(J92, _xlfn._xlws.FILTER($J$4:$J$430,$O$4:$O$430=O92), 0)+1</f>
        <v>5</v>
      </c>
      <c r="Q92" s="63" t="str">
        <f>_xlfn.XLOOKUP(B92, IN_Zugliste!A:A, IN_Zugliste!M:M, "")</f>
        <v>09:24:33</v>
      </c>
    </row>
    <row r="93" spans="1:17" ht="15" customHeight="1" x14ac:dyDescent="0.2">
      <c r="A93" s="63" t="s">
        <v>686</v>
      </c>
      <c r="B93" s="63" t="s">
        <v>545</v>
      </c>
      <c r="C93" s="63" t="s">
        <v>557</v>
      </c>
      <c r="D93" s="63" t="s">
        <v>971</v>
      </c>
      <c r="E93" s="63" t="s">
        <v>688</v>
      </c>
      <c r="F93" s="63" t="s">
        <v>984</v>
      </c>
      <c r="G93" s="63" t="s">
        <v>985</v>
      </c>
      <c r="H93" s="63" t="s">
        <v>691</v>
      </c>
      <c r="I93" s="63" t="s">
        <v>985</v>
      </c>
      <c r="J93" s="63" t="s">
        <v>986</v>
      </c>
      <c r="K93" s="55">
        <f t="shared" ca="1" si="1"/>
        <v>0</v>
      </c>
      <c r="L93" s="56" t="str">
        <f ca="1">IF(K93&gt;0,"Composition "&amp;SUM(K$4:K93),"")</f>
        <v/>
      </c>
      <c r="M93" s="55" cm="1">
        <f t="array" aca="1" ref="M93" ca="1">IF(K93=1,_xlfn.XLOOKUP(B93,OFFSET(IN_Zugliste!$A$4,0,0,IN_Zugliste!$A$2,1),OFFSET(IN_Zugliste!$K$4,0,0,IN_Zugliste!$A$2,1),0),0)+_xlfn.XLOOKUP(C93,OFFSET(IN_Zugliste!$A$4,0,0,IN_Zugliste!$A$2,1),OFFSET(IN_Zugliste!$K$4,0,0,IN_Zugliste!$A$2,1),0)</f>
        <v>80911</v>
      </c>
      <c r="N93" s="55" t="str" cm="1">
        <f t="array" aca="1" ref="N93" ca="1">IF(K93=1,_xlfn.XLOOKUP(B93,OFFSET(IN_Zugliste!$A$4,0,0,IN_Zugliste!$A$2,1),OFFSET(IN_Zugliste!$D$4,0,0,IN_Zugliste!$A$2,1),""),"")</f>
        <v/>
      </c>
      <c r="O93" s="55" t="str" cm="1">
        <f t="array" aca="1" ref="O93" ca="1">IF(L93&lt;&gt;"",L93,_xlfn.XLOOKUP(B93,OFFSET($C$4,0,0,$A$2,1),OFFSET($O$4,0,0,$A$2,1)))</f>
        <v>Composition 12</v>
      </c>
      <c r="P93" s="55" cm="1">
        <f t="array" aca="1" ref="P93" ca="1">MATCH(J93, _xlfn._xlws.FILTER($J$4:$J$430,$O$4:$O$430=O93), 0)+1</f>
        <v>6</v>
      </c>
      <c r="Q93" s="63" t="str">
        <f>_xlfn.XLOOKUP(B93, IN_Zugliste!A:A, IN_Zugliste!M:M, "")</f>
        <v>10:54:04</v>
      </c>
    </row>
    <row r="94" spans="1:17" ht="15" customHeight="1" x14ac:dyDescent="0.2">
      <c r="A94" s="63" t="s">
        <v>686</v>
      </c>
      <c r="B94" s="63" t="s">
        <v>557</v>
      </c>
      <c r="C94" s="63" t="s">
        <v>539</v>
      </c>
      <c r="D94" s="63" t="s">
        <v>929</v>
      </c>
      <c r="E94" s="63" t="s">
        <v>688</v>
      </c>
      <c r="F94" s="63" t="s">
        <v>987</v>
      </c>
      <c r="G94" s="63" t="s">
        <v>988</v>
      </c>
      <c r="H94" s="63" t="s">
        <v>691</v>
      </c>
      <c r="I94" s="63" t="s">
        <v>988</v>
      </c>
      <c r="J94" s="63" t="s">
        <v>989</v>
      </c>
      <c r="K94" s="55">
        <f t="shared" ca="1" si="1"/>
        <v>0</v>
      </c>
      <c r="L94" s="56" t="str">
        <f ca="1">IF(K94&gt;0,"Composition "&amp;SUM(K$4:K94),"")</f>
        <v/>
      </c>
      <c r="M94" s="55" cm="1">
        <f t="array" aca="1" ref="M94" ca="1">IF(K94=1,_xlfn.XLOOKUP(B94,OFFSET(IN_Zugliste!$A$4,0,0,IN_Zugliste!$A$2,1),OFFSET(IN_Zugliste!$K$4,0,0,IN_Zugliste!$A$2,1),0),0)+_xlfn.XLOOKUP(C94,OFFSET(IN_Zugliste!$A$4,0,0,IN_Zugliste!$A$2,1),OFFSET(IN_Zugliste!$K$4,0,0,IN_Zugliste!$A$2,1),0)</f>
        <v>80866</v>
      </c>
      <c r="N94" s="55" t="str" cm="1">
        <f t="array" aca="1" ref="N94" ca="1">IF(K94=1,_xlfn.XLOOKUP(B94,OFFSET(IN_Zugliste!$A$4,0,0,IN_Zugliste!$A$2,1),OFFSET(IN_Zugliste!$D$4,0,0,IN_Zugliste!$A$2,1),""),"")</f>
        <v/>
      </c>
      <c r="O94" s="55" t="str" cm="1">
        <f t="array" aca="1" ref="O94" ca="1">IF(L94&lt;&gt;"",L94,_xlfn.XLOOKUP(B94,OFFSET($C$4,0,0,$A$2,1),OFFSET($O$4,0,0,$A$2,1)))</f>
        <v>Composition 12</v>
      </c>
      <c r="P94" s="55" cm="1">
        <f t="array" aca="1" ref="P94" ca="1">MATCH(J94, _xlfn._xlws.FILTER($J$4:$J$430,$O$4:$O$430=O94), 0)+1</f>
        <v>7</v>
      </c>
      <c r="Q94" s="63" t="str">
        <f>_xlfn.XLOOKUP(B94, IN_Zugliste!A:A, IN_Zugliste!M:M, "")</f>
        <v>12:24:33</v>
      </c>
    </row>
    <row r="95" spans="1:17" ht="15" customHeight="1" x14ac:dyDescent="0.2">
      <c r="A95" s="63" t="s">
        <v>686</v>
      </c>
      <c r="B95" s="63" t="s">
        <v>570</v>
      </c>
      <c r="C95" s="63" t="s">
        <v>584</v>
      </c>
      <c r="D95" s="63" t="s">
        <v>990</v>
      </c>
      <c r="E95" s="63" t="s">
        <v>688</v>
      </c>
      <c r="F95" s="63" t="s">
        <v>991</v>
      </c>
      <c r="G95" s="63" t="s">
        <v>992</v>
      </c>
      <c r="H95" s="63" t="s">
        <v>691</v>
      </c>
      <c r="I95" s="63" t="s">
        <v>992</v>
      </c>
      <c r="J95" s="63" t="s">
        <v>993</v>
      </c>
      <c r="K95" s="55">
        <f t="shared" ca="1" si="1"/>
        <v>1</v>
      </c>
      <c r="L95" s="56" t="str">
        <f ca="1">IF(K95&gt;0,"Composition "&amp;SUM(K$4:K95),"")</f>
        <v>Composition 13</v>
      </c>
      <c r="M95" s="55" cm="1">
        <f t="array" aca="1" ref="M95" ca="1">IF(K95=1,_xlfn.XLOOKUP(B95,OFFSET(IN_Zugliste!$A$4,0,0,IN_Zugliste!$A$2,1),OFFSET(IN_Zugliste!$K$4,0,0,IN_Zugliste!$A$2,1),0),0)+_xlfn.XLOOKUP(C95,OFFSET(IN_Zugliste!$A$4,0,0,IN_Zugliste!$A$2,1),OFFSET(IN_Zugliste!$K$4,0,0,IN_Zugliste!$A$2,1),0)</f>
        <v>322951</v>
      </c>
      <c r="N95" s="55" t="str" cm="1">
        <f t="array" aca="1" ref="N95" ca="1">IF(K95=1,_xlfn.XLOOKUP(B95,OFFSET(IN_Zugliste!$A$4,0,0,IN_Zugliste!$A$2,1),OFFSET(IN_Zugliste!$D$4,0,0,IN_Zugliste!$A$2,1),""),"")</f>
        <v>146-3.2</v>
      </c>
      <c r="O95" s="55" t="str" cm="1">
        <f t="array" aca="1" ref="O95" ca="1">IF(L95&lt;&gt;"",L95,_xlfn.XLOOKUP(B95,OFFSET($C$4,0,0,$A$2,1),OFFSET($O$4,0,0,$A$2,1)))</f>
        <v>Composition 13</v>
      </c>
      <c r="P95" s="55" cm="1">
        <f t="array" aca="1" ref="P95" ca="1">MATCH(J95, _xlfn._xlws.FILTER($J$4:$J$430,$O$4:$O$430=O95), 0)+1</f>
        <v>2</v>
      </c>
      <c r="Q95" s="63" t="str">
        <f>_xlfn.XLOOKUP(B95, IN_Zugliste!A:A, IN_Zugliste!M:M, "")</f>
        <v>04:50:55</v>
      </c>
    </row>
    <row r="96" spans="1:17" ht="15" customHeight="1" x14ac:dyDescent="0.2">
      <c r="A96" s="63" t="s">
        <v>686</v>
      </c>
      <c r="B96" s="63" t="s">
        <v>584</v>
      </c>
      <c r="C96" s="63" t="s">
        <v>599</v>
      </c>
      <c r="D96" s="63" t="s">
        <v>994</v>
      </c>
      <c r="E96" s="63" t="s">
        <v>688</v>
      </c>
      <c r="F96" s="63" t="s">
        <v>995</v>
      </c>
      <c r="G96" s="63" t="s">
        <v>996</v>
      </c>
      <c r="H96" s="63" t="s">
        <v>691</v>
      </c>
      <c r="I96" s="63" t="s">
        <v>996</v>
      </c>
      <c r="J96" s="63" t="s">
        <v>997</v>
      </c>
      <c r="K96" s="55">
        <f t="shared" ca="1" si="1"/>
        <v>0</v>
      </c>
      <c r="L96" s="56" t="str">
        <f ca="1">IF(K96&gt;0,"Composition "&amp;SUM(K$4:K96),"")</f>
        <v/>
      </c>
      <c r="M96" s="55" cm="1">
        <f t="array" aca="1" ref="M96" ca="1">IF(K96=1,_xlfn.XLOOKUP(B96,OFFSET(IN_Zugliste!$A$4,0,0,IN_Zugliste!$A$2,1),OFFSET(IN_Zugliste!$K$4,0,0,IN_Zugliste!$A$2,1),0),0)+_xlfn.XLOOKUP(C96,OFFSET(IN_Zugliste!$A$4,0,0,IN_Zugliste!$A$2,1),OFFSET(IN_Zugliste!$K$4,0,0,IN_Zugliste!$A$2,1),0)</f>
        <v>224131</v>
      </c>
      <c r="N96" s="55" t="str" cm="1">
        <f t="array" aca="1" ref="N96" ca="1">IF(K96=1,_xlfn.XLOOKUP(B96,OFFSET(IN_Zugliste!$A$4,0,0,IN_Zugliste!$A$2,1),OFFSET(IN_Zugliste!$D$4,0,0,IN_Zugliste!$A$2,1),""),"")</f>
        <v/>
      </c>
      <c r="O96" s="55" t="str" cm="1">
        <f t="array" aca="1" ref="O96" ca="1">IF(L96&lt;&gt;"",L96,_xlfn.XLOOKUP(B96,OFFSET($C$4,0,0,$A$2,1),OFFSET($O$4,0,0,$A$2,1)))</f>
        <v>Composition 13</v>
      </c>
      <c r="P96" s="55" cm="1">
        <f t="array" aca="1" ref="P96" ca="1">MATCH(J96, _xlfn._xlws.FILTER($J$4:$J$430,$O$4:$O$430=O96), 0)+1</f>
        <v>3</v>
      </c>
      <c r="Q96" s="63" t="str">
        <f>_xlfn.XLOOKUP(B96, IN_Zugliste!A:A, IN_Zugliste!M:M, "")</f>
        <v>06:25:20</v>
      </c>
    </row>
    <row r="97" spans="1:17" ht="15" customHeight="1" x14ac:dyDescent="0.2">
      <c r="A97" s="63" t="s">
        <v>686</v>
      </c>
      <c r="B97" s="63" t="s">
        <v>599</v>
      </c>
      <c r="C97" s="63" t="s">
        <v>569</v>
      </c>
      <c r="D97" s="63" t="s">
        <v>990</v>
      </c>
      <c r="E97" s="63" t="s">
        <v>688</v>
      </c>
      <c r="F97" s="63" t="s">
        <v>998</v>
      </c>
      <c r="G97" s="63" t="s">
        <v>999</v>
      </c>
      <c r="H97" s="63" t="s">
        <v>691</v>
      </c>
      <c r="I97" s="63" t="s">
        <v>1000</v>
      </c>
      <c r="J97" s="63" t="s">
        <v>1001</v>
      </c>
      <c r="K97" s="55">
        <f t="shared" ca="1" si="1"/>
        <v>0</v>
      </c>
      <c r="L97" s="56" t="str">
        <f ca="1">IF(K97&gt;0,"Composition "&amp;SUM(K$4:K97),"")</f>
        <v/>
      </c>
      <c r="M97" s="55" cm="1">
        <f t="array" aca="1" ref="M97" ca="1">IF(K97=1,_xlfn.XLOOKUP(B97,OFFSET(IN_Zugliste!$A$4,0,0,IN_Zugliste!$A$2,1),OFFSET(IN_Zugliste!$K$4,0,0,IN_Zugliste!$A$2,1),0),0)+_xlfn.XLOOKUP(C97,OFFSET(IN_Zugliste!$A$4,0,0,IN_Zugliste!$A$2,1),OFFSET(IN_Zugliste!$K$4,0,0,IN_Zugliste!$A$2,1),0)</f>
        <v>98831</v>
      </c>
      <c r="N97" s="55" t="str" cm="1">
        <f t="array" aca="1" ref="N97" ca="1">IF(K97=1,_xlfn.XLOOKUP(B97,OFFSET(IN_Zugliste!$A$4,0,0,IN_Zugliste!$A$2,1),OFFSET(IN_Zugliste!$D$4,0,0,IN_Zugliste!$A$2,1),""),"")</f>
        <v/>
      </c>
      <c r="O97" s="55" t="str" cm="1">
        <f t="array" aca="1" ref="O97" ca="1">IF(L97&lt;&gt;"",L97,_xlfn.XLOOKUP(B97,OFFSET($C$4,0,0,$A$2,1),OFFSET($O$4,0,0,$A$2,1)))</f>
        <v>Composition 13</v>
      </c>
      <c r="P97" s="55" cm="1">
        <f t="array" aca="1" ref="P97" ca="1">MATCH(J97, _xlfn._xlws.FILTER($J$4:$J$430,$O$4:$O$430=O97), 0)+1</f>
        <v>4</v>
      </c>
      <c r="Q97" s="63" t="str">
        <f>_xlfn.XLOOKUP(B97, IN_Zugliste!A:A, IN_Zugliste!M:M, "")</f>
        <v>09:49:22</v>
      </c>
    </row>
    <row r="98" spans="1:17" ht="15" customHeight="1" x14ac:dyDescent="0.2">
      <c r="A98" s="63" t="s">
        <v>686</v>
      </c>
      <c r="B98" s="63" t="s">
        <v>243</v>
      </c>
      <c r="C98" s="63" t="s">
        <v>284</v>
      </c>
      <c r="D98" s="63" t="s">
        <v>915</v>
      </c>
      <c r="E98" s="63" t="s">
        <v>688</v>
      </c>
      <c r="F98" s="63" t="s">
        <v>1002</v>
      </c>
      <c r="G98" s="63" t="s">
        <v>1003</v>
      </c>
      <c r="H98" s="63" t="s">
        <v>691</v>
      </c>
      <c r="I98" s="63" t="s">
        <v>1003</v>
      </c>
      <c r="J98" s="63" t="s">
        <v>1004</v>
      </c>
      <c r="K98" s="55">
        <f t="shared" ca="1" si="1"/>
        <v>1</v>
      </c>
      <c r="L98" s="56" t="str">
        <f ca="1">IF(K98&gt;0,"Composition "&amp;SUM(K$4:K98),"")</f>
        <v>Composition 14</v>
      </c>
      <c r="M98" s="55" cm="1">
        <f t="array" aca="1" ref="M98" ca="1">IF(K98=1,_xlfn.XLOOKUP(B98,OFFSET(IN_Zugliste!$A$4,0,0,IN_Zugliste!$A$2,1),OFFSET(IN_Zugliste!$K$4,0,0,IN_Zugliste!$A$2,1),0),0)+_xlfn.XLOOKUP(C98,OFFSET(IN_Zugliste!$A$4,0,0,IN_Zugliste!$A$2,1),OFFSET(IN_Zugliste!$K$4,0,0,IN_Zugliste!$A$2,1),0)</f>
        <v>104403</v>
      </c>
      <c r="N98" s="55" t="str" cm="1">
        <f t="array" aca="1" ref="N98" ca="1">IF(K98=1,_xlfn.XLOOKUP(B98,OFFSET(IN_Zugliste!$A$4,0,0,IN_Zugliste!$A$2,1),OFFSET(IN_Zugliste!$D$4,0,0,IN_Zugliste!$A$2,1),""),"")</f>
        <v>146-3.2</v>
      </c>
      <c r="O98" s="55" t="str" cm="1">
        <f t="array" aca="1" ref="O98" ca="1">IF(L98&lt;&gt;"",L98,_xlfn.XLOOKUP(B98,OFFSET($C$4,0,0,$A$2,1),OFFSET($O$4,0,0,$A$2,1)))</f>
        <v>Composition 14</v>
      </c>
      <c r="P98" s="55" cm="1">
        <f t="array" aca="1" ref="P98" ca="1">MATCH(J98, _xlfn._xlws.FILTER($J$4:$J$430,$O$4:$O$430=O98), 0)+1</f>
        <v>2</v>
      </c>
      <c r="Q98" s="63" t="str">
        <f>_xlfn.XLOOKUP(B98, IN_Zugliste!A:A, IN_Zugliste!M:M, "")</f>
        <v>05:02:24</v>
      </c>
    </row>
    <row r="99" spans="1:17" ht="15" customHeight="1" x14ac:dyDescent="0.2">
      <c r="A99" s="63" t="s">
        <v>686</v>
      </c>
      <c r="B99" s="63" t="s">
        <v>284</v>
      </c>
      <c r="C99" s="63" t="s">
        <v>274</v>
      </c>
      <c r="D99" s="63" t="s">
        <v>875</v>
      </c>
      <c r="E99" s="63" t="s">
        <v>688</v>
      </c>
      <c r="F99" s="63" t="s">
        <v>1005</v>
      </c>
      <c r="G99" s="63" t="s">
        <v>1006</v>
      </c>
      <c r="H99" s="63" t="s">
        <v>691</v>
      </c>
      <c r="I99" s="63" t="s">
        <v>1006</v>
      </c>
      <c r="J99" s="63" t="s">
        <v>1007</v>
      </c>
      <c r="K99" s="55">
        <f t="shared" ca="1" si="1"/>
        <v>0</v>
      </c>
      <c r="L99" s="56" t="str">
        <f ca="1">IF(K99&gt;0,"Composition "&amp;SUM(K$4:K99),"")</f>
        <v/>
      </c>
      <c r="M99" s="55" cm="1">
        <f t="array" aca="1" ref="M99" ca="1">IF(K99=1,_xlfn.XLOOKUP(B99,OFFSET(IN_Zugliste!$A$4,0,0,IN_Zugliste!$A$2,1),OFFSET(IN_Zugliste!$K$4,0,0,IN_Zugliste!$A$2,1),0),0)+_xlfn.XLOOKUP(C99,OFFSET(IN_Zugliste!$A$4,0,0,IN_Zugliste!$A$2,1),OFFSET(IN_Zugliste!$K$4,0,0,IN_Zugliste!$A$2,1),0)</f>
        <v>52185</v>
      </c>
      <c r="N99" s="55" t="str" cm="1">
        <f t="array" aca="1" ref="N99" ca="1">IF(K99=1,_xlfn.XLOOKUP(B99,OFFSET(IN_Zugliste!$A$4,0,0,IN_Zugliste!$A$2,1),OFFSET(IN_Zugliste!$D$4,0,0,IN_Zugliste!$A$2,1),""),"")</f>
        <v/>
      </c>
      <c r="O99" s="55" t="str" cm="1">
        <f t="array" aca="1" ref="O99" ca="1">IF(L99&lt;&gt;"",L99,_xlfn.XLOOKUP(B99,OFFSET($C$4,0,0,$A$2,1),OFFSET($O$4,0,0,$A$2,1)))</f>
        <v>Composition 14</v>
      </c>
      <c r="P99" s="55" cm="1">
        <f t="array" aca="1" ref="P99" ca="1">MATCH(J99, _xlfn._xlws.FILTER($J$4:$J$430,$O$4:$O$430=O99), 0)+1</f>
        <v>3</v>
      </c>
      <c r="Q99" s="63" t="str">
        <f>_xlfn.XLOOKUP(B99, IN_Zugliste!A:A, IN_Zugliste!M:M, "")</f>
        <v>06:41:12</v>
      </c>
    </row>
    <row r="100" spans="1:17" ht="15" customHeight="1" x14ac:dyDescent="0.2">
      <c r="A100" s="63" t="s">
        <v>686</v>
      </c>
      <c r="B100" s="63" t="s">
        <v>274</v>
      </c>
      <c r="C100" s="63" t="s">
        <v>261</v>
      </c>
      <c r="D100" s="63" t="s">
        <v>915</v>
      </c>
      <c r="E100" s="63" t="s">
        <v>688</v>
      </c>
      <c r="F100" s="63" t="s">
        <v>1008</v>
      </c>
      <c r="G100" s="63" t="s">
        <v>1009</v>
      </c>
      <c r="H100" s="63" t="s">
        <v>691</v>
      </c>
      <c r="I100" s="63" t="s">
        <v>1010</v>
      </c>
      <c r="J100" s="63" t="s">
        <v>1011</v>
      </c>
      <c r="K100" s="55">
        <f t="shared" ca="1" si="1"/>
        <v>0</v>
      </c>
      <c r="L100" s="56" t="str">
        <f ca="1">IF(K100&gt;0,"Composition "&amp;SUM(K$4:K100),"")</f>
        <v/>
      </c>
      <c r="M100" s="55" cm="1">
        <f t="array" aca="1" ref="M100" ca="1">IF(K100=1,_xlfn.XLOOKUP(B100,OFFSET(IN_Zugliste!$A$4,0,0,IN_Zugliste!$A$2,1),OFFSET(IN_Zugliste!$K$4,0,0,IN_Zugliste!$A$2,1),0),0)+_xlfn.XLOOKUP(C100,OFFSET(IN_Zugliste!$A$4,0,0,IN_Zugliste!$A$2,1),OFFSET(IN_Zugliste!$K$4,0,0,IN_Zugliste!$A$2,1),0)</f>
        <v>52218</v>
      </c>
      <c r="N100" s="55" t="str" cm="1">
        <f t="array" aca="1" ref="N100" ca="1">IF(K100=1,_xlfn.XLOOKUP(B100,OFFSET(IN_Zugliste!$A$4,0,0,IN_Zugliste!$A$2,1),OFFSET(IN_Zugliste!$D$4,0,0,IN_Zugliste!$A$2,1),""),"")</f>
        <v/>
      </c>
      <c r="O100" s="55" t="str" cm="1">
        <f t="array" aca="1" ref="O100" ca="1">IF(L100&lt;&gt;"",L100,_xlfn.XLOOKUP(B100,OFFSET($C$4,0,0,$A$2,1),OFFSET($O$4,0,0,$A$2,1)))</f>
        <v>Composition 14</v>
      </c>
      <c r="P100" s="55" cm="1">
        <f t="array" aca="1" ref="P100" ca="1">MATCH(J100, _xlfn._xlws.FILTER($J$4:$J$430,$O$4:$O$430=O100), 0)+1</f>
        <v>4</v>
      </c>
      <c r="Q100" s="63" t="str">
        <f>_xlfn.XLOOKUP(B100, IN_Zugliste!A:A, IN_Zugliste!M:M, "")</f>
        <v>08:26:43</v>
      </c>
    </row>
    <row r="101" spans="1:17" ht="15" customHeight="1" x14ac:dyDescent="0.2">
      <c r="A101" s="63" t="s">
        <v>686</v>
      </c>
      <c r="B101" s="63" t="s">
        <v>261</v>
      </c>
      <c r="C101" s="63" t="s">
        <v>252</v>
      </c>
      <c r="D101" s="63" t="s">
        <v>875</v>
      </c>
      <c r="E101" s="63" t="s">
        <v>688</v>
      </c>
      <c r="F101" s="63" t="s">
        <v>1012</v>
      </c>
      <c r="G101" s="63" t="s">
        <v>1013</v>
      </c>
      <c r="H101" s="63" t="s">
        <v>691</v>
      </c>
      <c r="I101" s="63" t="s">
        <v>1013</v>
      </c>
      <c r="J101" s="63" t="s">
        <v>1014</v>
      </c>
      <c r="K101" s="55">
        <f t="shared" ca="1" si="1"/>
        <v>0</v>
      </c>
      <c r="L101" s="56" t="str">
        <f ca="1">IF(K101&gt;0,"Composition "&amp;SUM(K$4:K101),"")</f>
        <v/>
      </c>
      <c r="M101" s="55" cm="1">
        <f t="array" aca="1" ref="M101" ca="1">IF(K101=1,_xlfn.XLOOKUP(B101,OFFSET(IN_Zugliste!$A$4,0,0,IN_Zugliste!$A$2,1),OFFSET(IN_Zugliste!$K$4,0,0,IN_Zugliste!$A$2,1),0),0)+_xlfn.XLOOKUP(C101,OFFSET(IN_Zugliste!$A$4,0,0,IN_Zugliste!$A$2,1),OFFSET(IN_Zugliste!$K$4,0,0,IN_Zugliste!$A$2,1),0)</f>
        <v>52185</v>
      </c>
      <c r="N101" s="55" t="str" cm="1">
        <f t="array" aca="1" ref="N101" ca="1">IF(K101=1,_xlfn.XLOOKUP(B101,OFFSET(IN_Zugliste!$A$4,0,0,IN_Zugliste!$A$2,1),OFFSET(IN_Zugliste!$D$4,0,0,IN_Zugliste!$A$2,1),""),"")</f>
        <v/>
      </c>
      <c r="O101" s="55" t="str" cm="1">
        <f t="array" aca="1" ref="O101" ca="1">IF(L101&lt;&gt;"",L101,_xlfn.XLOOKUP(B101,OFFSET($C$4,0,0,$A$2,1),OFFSET($O$4,0,0,$A$2,1)))</f>
        <v>Composition 14</v>
      </c>
      <c r="P101" s="55" cm="1">
        <f t="array" aca="1" ref="P101" ca="1">MATCH(J101, _xlfn._xlws.FILTER($J$4:$J$430,$O$4:$O$430=O101), 0)+1</f>
        <v>5</v>
      </c>
      <c r="Q101" s="63" t="str">
        <f>_xlfn.XLOOKUP(B101, IN_Zugliste!A:A, IN_Zugliste!M:M, "")</f>
        <v>10:19:04</v>
      </c>
    </row>
    <row r="102" spans="1:17" ht="15" customHeight="1" x14ac:dyDescent="0.2">
      <c r="A102" s="63" t="s">
        <v>686</v>
      </c>
      <c r="B102" s="63" t="s">
        <v>252</v>
      </c>
      <c r="C102" s="63" t="s">
        <v>282</v>
      </c>
      <c r="D102" s="63" t="s">
        <v>915</v>
      </c>
      <c r="E102" s="63" t="s">
        <v>688</v>
      </c>
      <c r="F102" s="63" t="s">
        <v>1015</v>
      </c>
      <c r="G102" s="63" t="s">
        <v>1016</v>
      </c>
      <c r="H102" s="63" t="s">
        <v>691</v>
      </c>
      <c r="I102" s="63" t="s">
        <v>1016</v>
      </c>
      <c r="J102" s="63" t="s">
        <v>1017</v>
      </c>
      <c r="K102" s="55">
        <f t="shared" ca="1" si="1"/>
        <v>0</v>
      </c>
      <c r="L102" s="56" t="str">
        <f ca="1">IF(K102&gt;0,"Composition "&amp;SUM(K$4:K102),"")</f>
        <v/>
      </c>
      <c r="M102" s="55" cm="1">
        <f t="array" aca="1" ref="M102" ca="1">IF(K102=1,_xlfn.XLOOKUP(B102,OFFSET(IN_Zugliste!$A$4,0,0,IN_Zugliste!$A$2,1),OFFSET(IN_Zugliste!$K$4,0,0,IN_Zugliste!$A$2,1),0),0)+_xlfn.XLOOKUP(C102,OFFSET(IN_Zugliste!$A$4,0,0,IN_Zugliste!$A$2,1),OFFSET(IN_Zugliste!$K$4,0,0,IN_Zugliste!$A$2,1),0)</f>
        <v>52218</v>
      </c>
      <c r="N102" s="55" t="str" cm="1">
        <f t="array" aca="1" ref="N102" ca="1">IF(K102=1,_xlfn.XLOOKUP(B102,OFFSET(IN_Zugliste!$A$4,0,0,IN_Zugliste!$A$2,1),OFFSET(IN_Zugliste!$D$4,0,0,IN_Zugliste!$A$2,1),""),"")</f>
        <v/>
      </c>
      <c r="O102" s="55" t="str" cm="1">
        <f t="array" aca="1" ref="O102" ca="1">IF(L102&lt;&gt;"",L102,_xlfn.XLOOKUP(B102,OFFSET($C$4,0,0,$A$2,1),OFFSET($O$4,0,0,$A$2,1)))</f>
        <v>Composition 14</v>
      </c>
      <c r="P102" s="55" cm="1">
        <f t="array" aca="1" ref="P102" ca="1">MATCH(J102, _xlfn._xlws.FILTER($J$4:$J$430,$O$4:$O$430=O102), 0)+1</f>
        <v>6</v>
      </c>
      <c r="Q102" s="63" t="str">
        <f>_xlfn.XLOOKUP(B102, IN_Zugliste!A:A, IN_Zugliste!M:M, "")</f>
        <v>12:02:24</v>
      </c>
    </row>
    <row r="103" spans="1:17" ht="15" customHeight="1" x14ac:dyDescent="0.2">
      <c r="A103" s="63" t="s">
        <v>686</v>
      </c>
      <c r="B103" s="63" t="s">
        <v>493</v>
      </c>
      <c r="C103" s="63" t="s">
        <v>507</v>
      </c>
      <c r="D103" s="63" t="s">
        <v>875</v>
      </c>
      <c r="E103" s="63" t="s">
        <v>688</v>
      </c>
      <c r="F103" s="63" t="s">
        <v>1018</v>
      </c>
      <c r="G103" s="63" t="s">
        <v>1019</v>
      </c>
      <c r="H103" s="63" t="s">
        <v>691</v>
      </c>
      <c r="I103" s="63" t="s">
        <v>1019</v>
      </c>
      <c r="J103" s="63" t="s">
        <v>1020</v>
      </c>
      <c r="K103" s="55">
        <f t="shared" ca="1" si="1"/>
        <v>1</v>
      </c>
      <c r="L103" s="56" t="str">
        <f ca="1">IF(K103&gt;0,"Composition "&amp;SUM(K$4:K103),"")</f>
        <v>Composition 15</v>
      </c>
      <c r="M103" s="55" cm="1">
        <f t="array" aca="1" ref="M103" ca="1">IF(K103=1,_xlfn.XLOOKUP(B103,OFFSET(IN_Zugliste!$A$4,0,0,IN_Zugliste!$A$2,1),OFFSET(IN_Zugliste!$K$4,0,0,IN_Zugliste!$A$2,1),0),0)+_xlfn.XLOOKUP(C103,OFFSET(IN_Zugliste!$A$4,0,0,IN_Zugliste!$A$2,1),OFFSET(IN_Zugliste!$K$4,0,0,IN_Zugliste!$A$2,1),0)</f>
        <v>130347</v>
      </c>
      <c r="N103" s="55" t="str" cm="1">
        <f t="array" aca="1" ref="N103" ca="1">IF(K103=1,_xlfn.XLOOKUP(B103,OFFSET(IN_Zugliste!$A$4,0,0,IN_Zugliste!$A$2,1),OFFSET(IN_Zugliste!$D$4,0,0,IN_Zugliste!$A$2,1),""),"")</f>
        <v>101-3.0</v>
      </c>
      <c r="O103" s="55" t="str" cm="1">
        <f t="array" aca="1" ref="O103" ca="1">IF(L103&lt;&gt;"",L103,_xlfn.XLOOKUP(B103,OFFSET($C$4,0,0,$A$2,1),OFFSET($O$4,0,0,$A$2,1)))</f>
        <v>Composition 15</v>
      </c>
      <c r="P103" s="55" cm="1">
        <f t="array" aca="1" ref="P103" ca="1">MATCH(J103, _xlfn._xlws.FILTER($J$4:$J$430,$O$4:$O$430=O103), 0)+1</f>
        <v>2</v>
      </c>
      <c r="Q103" s="63" t="str">
        <f>_xlfn.XLOOKUP(B103, IN_Zugliste!A:A, IN_Zugliste!M:M, "")</f>
        <v>05:09:13</v>
      </c>
    </row>
    <row r="104" spans="1:17" ht="15" customHeight="1" x14ac:dyDescent="0.2">
      <c r="A104" s="63" t="s">
        <v>686</v>
      </c>
      <c r="B104" s="63" t="s">
        <v>507</v>
      </c>
      <c r="C104" s="63" t="s">
        <v>472</v>
      </c>
      <c r="D104" s="63" t="s">
        <v>871</v>
      </c>
      <c r="E104" s="63" t="s">
        <v>688</v>
      </c>
      <c r="F104" s="63" t="s">
        <v>1021</v>
      </c>
      <c r="G104" s="63" t="s">
        <v>1022</v>
      </c>
      <c r="H104" s="63" t="s">
        <v>817</v>
      </c>
      <c r="I104" s="63" t="s">
        <v>1022</v>
      </c>
      <c r="J104" s="63" t="s">
        <v>1023</v>
      </c>
      <c r="K104" s="55">
        <f t="shared" ca="1" si="1"/>
        <v>0</v>
      </c>
      <c r="L104" s="56" t="str">
        <f ca="1">IF(K104&gt;0,"Composition "&amp;SUM(K$4:K104),"")</f>
        <v/>
      </c>
      <c r="M104" s="55" cm="1">
        <f t="array" aca="1" ref="M104" ca="1">IF(K104=1,_xlfn.XLOOKUP(B104,OFFSET(IN_Zugliste!$A$4,0,0,IN_Zugliste!$A$2,1),OFFSET(IN_Zugliste!$K$4,0,0,IN_Zugliste!$A$2,1),0),0)+_xlfn.XLOOKUP(C104,OFFSET(IN_Zugliste!$A$4,0,0,IN_Zugliste!$A$2,1),OFFSET(IN_Zugliste!$K$4,0,0,IN_Zugliste!$A$2,1),0)</f>
        <v>49677</v>
      </c>
      <c r="N104" s="55" t="str" cm="1">
        <f t="array" aca="1" ref="N104" ca="1">IF(K104=1,_xlfn.XLOOKUP(B104,OFFSET(IN_Zugliste!$A$4,0,0,IN_Zugliste!$A$2,1),OFFSET(IN_Zugliste!$D$4,0,0,IN_Zugliste!$A$2,1),""),"")</f>
        <v/>
      </c>
      <c r="O104" s="55" t="str" cm="1">
        <f t="array" aca="1" ref="O104" ca="1">IF(L104&lt;&gt;"",L104,_xlfn.XLOOKUP(B104,OFFSET($C$4,0,0,$A$2,1),OFFSET($O$4,0,0,$A$2,1)))</f>
        <v>Composition 15</v>
      </c>
      <c r="P104" s="55" cm="1">
        <f t="array" aca="1" ref="P104" ca="1">MATCH(J104, _xlfn._xlws.FILTER($J$4:$J$430,$O$4:$O$430=O104), 0)+1</f>
        <v>3</v>
      </c>
      <c r="Q104" s="63" t="str">
        <f>_xlfn.XLOOKUP(B104, IN_Zugliste!A:A, IN_Zugliste!M:M, "")</f>
        <v>06:32:48</v>
      </c>
    </row>
    <row r="105" spans="1:17" ht="15" customHeight="1" x14ac:dyDescent="0.2">
      <c r="A105" s="63" t="s">
        <v>686</v>
      </c>
      <c r="B105" s="63" t="s">
        <v>472</v>
      </c>
      <c r="C105" s="63" t="s">
        <v>484</v>
      </c>
      <c r="D105" s="63" t="s">
        <v>867</v>
      </c>
      <c r="E105" s="63" t="s">
        <v>688</v>
      </c>
      <c r="F105" s="63" t="s">
        <v>1024</v>
      </c>
      <c r="G105" s="63" t="s">
        <v>1025</v>
      </c>
      <c r="H105" s="63" t="s">
        <v>691</v>
      </c>
      <c r="I105" s="63" t="s">
        <v>1025</v>
      </c>
      <c r="J105" s="63" t="s">
        <v>1026</v>
      </c>
      <c r="K105" s="55">
        <f t="shared" ca="1" si="1"/>
        <v>0</v>
      </c>
      <c r="L105" s="56" t="str">
        <f ca="1">IF(K105&gt;0,"Composition "&amp;SUM(K$4:K105),"")</f>
        <v/>
      </c>
      <c r="M105" s="55" cm="1">
        <f t="array" aca="1" ref="M105" ca="1">IF(K105=1,_xlfn.XLOOKUP(B105,OFFSET(IN_Zugliste!$A$4,0,0,IN_Zugliste!$A$2,1),OFFSET(IN_Zugliste!$K$4,0,0,IN_Zugliste!$A$2,1),0),0)+_xlfn.XLOOKUP(C105,OFFSET(IN_Zugliste!$A$4,0,0,IN_Zugliste!$A$2,1),OFFSET(IN_Zugliste!$K$4,0,0,IN_Zugliste!$A$2,1),0)</f>
        <v>49508</v>
      </c>
      <c r="N105" s="55" t="str" cm="1">
        <f t="array" aca="1" ref="N105" ca="1">IF(K105=1,_xlfn.XLOOKUP(B105,OFFSET(IN_Zugliste!$A$4,0,0,IN_Zugliste!$A$2,1),OFFSET(IN_Zugliste!$D$4,0,0,IN_Zugliste!$A$2,1),""),"")</f>
        <v/>
      </c>
      <c r="O105" s="55" t="str" cm="1">
        <f t="array" aca="1" ref="O105" ca="1">IF(L105&lt;&gt;"",L105,_xlfn.XLOOKUP(B105,OFFSET($C$4,0,0,$A$2,1),OFFSET($O$4,0,0,$A$2,1)))</f>
        <v>Composition 15</v>
      </c>
      <c r="P105" s="55" cm="1">
        <f t="array" aca="1" ref="P105" ca="1">MATCH(J105, _xlfn._xlws.FILTER($J$4:$J$430,$O$4:$O$430=O105), 0)+1</f>
        <v>4</v>
      </c>
      <c r="Q105" s="63" t="str">
        <f>_xlfn.XLOOKUP(B105, IN_Zugliste!A:A, IN_Zugliste!M:M, "")</f>
        <v>08:00:27</v>
      </c>
    </row>
    <row r="106" spans="1:17" ht="15" customHeight="1" x14ac:dyDescent="0.2">
      <c r="A106" s="63" t="s">
        <v>686</v>
      </c>
      <c r="B106" s="63" t="s">
        <v>484</v>
      </c>
      <c r="C106" s="63" t="s">
        <v>500</v>
      </c>
      <c r="D106" s="63" t="s">
        <v>871</v>
      </c>
      <c r="E106" s="63" t="s">
        <v>688</v>
      </c>
      <c r="F106" s="63" t="s">
        <v>1027</v>
      </c>
      <c r="G106" s="63" t="s">
        <v>1028</v>
      </c>
      <c r="H106" s="63" t="s">
        <v>817</v>
      </c>
      <c r="I106" s="63" t="s">
        <v>1028</v>
      </c>
      <c r="J106" s="63" t="s">
        <v>1029</v>
      </c>
      <c r="K106" s="55">
        <f t="shared" ca="1" si="1"/>
        <v>0</v>
      </c>
      <c r="L106" s="56" t="str">
        <f ca="1">IF(K106&gt;0,"Composition "&amp;SUM(K$4:K106),"")</f>
        <v/>
      </c>
      <c r="M106" s="55" cm="1">
        <f t="array" aca="1" ref="M106" ca="1">IF(K106=1,_xlfn.XLOOKUP(B106,OFFSET(IN_Zugliste!$A$4,0,0,IN_Zugliste!$A$2,1),OFFSET(IN_Zugliste!$K$4,0,0,IN_Zugliste!$A$2,1),0),0)+_xlfn.XLOOKUP(C106,OFFSET(IN_Zugliste!$A$4,0,0,IN_Zugliste!$A$2,1),OFFSET(IN_Zugliste!$K$4,0,0,IN_Zugliste!$A$2,1),0)</f>
        <v>65256</v>
      </c>
      <c r="N106" s="55" t="str" cm="1">
        <f t="array" aca="1" ref="N106" ca="1">IF(K106=1,_xlfn.XLOOKUP(B106,OFFSET(IN_Zugliste!$A$4,0,0,IN_Zugliste!$A$2,1),OFFSET(IN_Zugliste!$D$4,0,0,IN_Zugliste!$A$2,1),""),"")</f>
        <v/>
      </c>
      <c r="O106" s="55" t="str" cm="1">
        <f t="array" aca="1" ref="O106" ca="1">IF(L106&lt;&gt;"",L106,_xlfn.XLOOKUP(B106,OFFSET($C$4,0,0,$A$2,1),OFFSET($O$4,0,0,$A$2,1)))</f>
        <v>Composition 15</v>
      </c>
      <c r="P106" s="55" cm="1">
        <f t="array" aca="1" ref="P106" ca="1">MATCH(J106, _xlfn._xlws.FILTER($J$4:$J$430,$O$4:$O$430=O106), 0)+1</f>
        <v>5</v>
      </c>
      <c r="Q106" s="63" t="str">
        <f>_xlfn.XLOOKUP(B106, IN_Zugliste!A:A, IN_Zugliste!M:M, "")</f>
        <v>09:06:06</v>
      </c>
    </row>
    <row r="107" spans="1:17" ht="15" customHeight="1" x14ac:dyDescent="0.2">
      <c r="A107" s="63" t="s">
        <v>686</v>
      </c>
      <c r="B107" s="63" t="s">
        <v>500</v>
      </c>
      <c r="C107" s="63" t="s">
        <v>512</v>
      </c>
      <c r="D107" s="63" t="s">
        <v>875</v>
      </c>
      <c r="E107" s="63" t="s">
        <v>688</v>
      </c>
      <c r="F107" s="63" t="s">
        <v>1030</v>
      </c>
      <c r="G107" s="63" t="s">
        <v>1031</v>
      </c>
      <c r="H107" s="63" t="s">
        <v>691</v>
      </c>
      <c r="I107" s="63" t="s">
        <v>1031</v>
      </c>
      <c r="J107" s="63" t="s">
        <v>1032</v>
      </c>
      <c r="K107" s="55">
        <f t="shared" ca="1" si="1"/>
        <v>0</v>
      </c>
      <c r="L107" s="56" t="str">
        <f ca="1">IF(K107&gt;0,"Composition "&amp;SUM(K$4:K107),"")</f>
        <v/>
      </c>
      <c r="M107" s="55" cm="1">
        <f t="array" aca="1" ref="M107" ca="1">IF(K107=1,_xlfn.XLOOKUP(B107,OFFSET(IN_Zugliste!$A$4,0,0,IN_Zugliste!$A$2,1),OFFSET(IN_Zugliste!$K$4,0,0,IN_Zugliste!$A$2,1),0),0)+_xlfn.XLOOKUP(C107,OFFSET(IN_Zugliste!$A$4,0,0,IN_Zugliste!$A$2,1),OFFSET(IN_Zugliste!$K$4,0,0,IN_Zugliste!$A$2,1),0)</f>
        <v>65091</v>
      </c>
      <c r="N107" s="55" t="str" cm="1">
        <f t="array" aca="1" ref="N107" ca="1">IF(K107=1,_xlfn.XLOOKUP(B107,OFFSET(IN_Zugliste!$A$4,0,0,IN_Zugliste!$A$2,1),OFFSET(IN_Zugliste!$D$4,0,0,IN_Zugliste!$A$2,1),""),"")</f>
        <v/>
      </c>
      <c r="O107" s="55" t="str" cm="1">
        <f t="array" aca="1" ref="O107" ca="1">IF(L107&lt;&gt;"",L107,_xlfn.XLOOKUP(B107,OFFSET($C$4,0,0,$A$2,1),OFFSET($O$4,0,0,$A$2,1)))</f>
        <v>Composition 15</v>
      </c>
      <c r="P107" s="55" cm="1">
        <f t="array" aca="1" ref="P107" ca="1">MATCH(J107, _xlfn._xlws.FILTER($J$4:$J$430,$O$4:$O$430=O107), 0)+1</f>
        <v>6</v>
      </c>
      <c r="Q107" s="63" t="str">
        <f>_xlfn.XLOOKUP(B107, IN_Zugliste!A:A, IN_Zugliste!M:M, "")</f>
        <v>10:09:13</v>
      </c>
    </row>
    <row r="108" spans="1:17" ht="15" customHeight="1" x14ac:dyDescent="0.2">
      <c r="A108" s="63" t="s">
        <v>686</v>
      </c>
      <c r="B108" s="63" t="s">
        <v>512</v>
      </c>
      <c r="C108" s="63" t="s">
        <v>477</v>
      </c>
      <c r="D108" s="63" t="s">
        <v>871</v>
      </c>
      <c r="E108" s="63" t="s">
        <v>688</v>
      </c>
      <c r="F108" s="63" t="s">
        <v>1033</v>
      </c>
      <c r="G108" s="63" t="s">
        <v>1034</v>
      </c>
      <c r="H108" s="63" t="s">
        <v>817</v>
      </c>
      <c r="I108" s="63" t="s">
        <v>1034</v>
      </c>
      <c r="J108" s="63" t="s">
        <v>1035</v>
      </c>
      <c r="K108" s="55">
        <f t="shared" ca="1" si="1"/>
        <v>0</v>
      </c>
      <c r="L108" s="56" t="str">
        <f ca="1">IF(K108&gt;0,"Composition "&amp;SUM(K$4:K108),"")</f>
        <v/>
      </c>
      <c r="M108" s="55" cm="1">
        <f t="array" aca="1" ref="M108" ca="1">IF(K108=1,_xlfn.XLOOKUP(B108,OFFSET(IN_Zugliste!$A$4,0,0,IN_Zugliste!$A$2,1),OFFSET(IN_Zugliste!$K$4,0,0,IN_Zugliste!$A$2,1),0),0)+_xlfn.XLOOKUP(C108,OFFSET(IN_Zugliste!$A$4,0,0,IN_Zugliste!$A$2,1),OFFSET(IN_Zugliste!$K$4,0,0,IN_Zugliste!$A$2,1),0)</f>
        <v>49677</v>
      </c>
      <c r="N108" s="55" t="str" cm="1">
        <f t="array" aca="1" ref="N108" ca="1">IF(K108=1,_xlfn.XLOOKUP(B108,OFFSET(IN_Zugliste!$A$4,0,0,IN_Zugliste!$A$2,1),OFFSET(IN_Zugliste!$D$4,0,0,IN_Zugliste!$A$2,1),""),"")</f>
        <v/>
      </c>
      <c r="O108" s="55" t="str" cm="1">
        <f t="array" aca="1" ref="O108" ca="1">IF(L108&lt;&gt;"",L108,_xlfn.XLOOKUP(B108,OFFSET($C$4,0,0,$A$2,1),OFFSET($O$4,0,0,$A$2,1)))</f>
        <v>Composition 15</v>
      </c>
      <c r="P108" s="55" cm="1">
        <f t="array" aca="1" ref="P108" ca="1">MATCH(J108, _xlfn._xlws.FILTER($J$4:$J$430,$O$4:$O$430=O108), 0)+1</f>
        <v>7</v>
      </c>
      <c r="Q108" s="63" t="str">
        <f>_xlfn.XLOOKUP(B108, IN_Zugliste!A:A, IN_Zugliste!M:M, "")</f>
        <v>11:32:48</v>
      </c>
    </row>
    <row r="109" spans="1:17" ht="15" customHeight="1" x14ac:dyDescent="0.2">
      <c r="A109" s="63" t="s">
        <v>686</v>
      </c>
      <c r="B109" s="63" t="s">
        <v>477</v>
      </c>
      <c r="C109" s="63" t="s">
        <v>480</v>
      </c>
      <c r="D109" s="63" t="s">
        <v>867</v>
      </c>
      <c r="E109" s="63" t="s">
        <v>688</v>
      </c>
      <c r="F109" s="63" t="s">
        <v>1036</v>
      </c>
      <c r="G109" s="63" t="s">
        <v>1037</v>
      </c>
      <c r="H109" s="63" t="s">
        <v>691</v>
      </c>
      <c r="I109" s="63" t="s">
        <v>1037</v>
      </c>
      <c r="J109" s="63" t="s">
        <v>1038</v>
      </c>
      <c r="K109" s="55">
        <f t="shared" ca="1" si="1"/>
        <v>0</v>
      </c>
      <c r="L109" s="56" t="str">
        <f ca="1">IF(K109&gt;0,"Composition "&amp;SUM(K$4:K109),"")</f>
        <v/>
      </c>
      <c r="M109" s="55" cm="1">
        <f t="array" aca="1" ref="M109" ca="1">IF(K109=1,_xlfn.XLOOKUP(B109,OFFSET(IN_Zugliste!$A$4,0,0,IN_Zugliste!$A$2,1),OFFSET(IN_Zugliste!$K$4,0,0,IN_Zugliste!$A$2,1),0),0)+_xlfn.XLOOKUP(C109,OFFSET(IN_Zugliste!$A$4,0,0,IN_Zugliste!$A$2,1),OFFSET(IN_Zugliste!$K$4,0,0,IN_Zugliste!$A$2,1),0)</f>
        <v>49508</v>
      </c>
      <c r="N109" s="55" t="str" cm="1">
        <f t="array" aca="1" ref="N109" ca="1">IF(K109=1,_xlfn.XLOOKUP(B109,OFFSET(IN_Zugliste!$A$4,0,0,IN_Zugliste!$A$2,1),OFFSET(IN_Zugliste!$D$4,0,0,IN_Zugliste!$A$2,1),""),"")</f>
        <v/>
      </c>
      <c r="O109" s="55" t="str" cm="1">
        <f t="array" aca="1" ref="O109" ca="1">IF(L109&lt;&gt;"",L109,_xlfn.XLOOKUP(B109,OFFSET($C$4,0,0,$A$2,1),OFFSET($O$4,0,0,$A$2,1)))</f>
        <v>Composition 15</v>
      </c>
      <c r="P109" s="55" cm="1">
        <f t="array" aca="1" ref="P109" ca="1">MATCH(J109, _xlfn._xlws.FILTER($J$4:$J$430,$O$4:$O$430=O109), 0)+1</f>
        <v>8</v>
      </c>
      <c r="Q109" s="63" t="str">
        <f>_xlfn.XLOOKUP(B109, IN_Zugliste!A:A, IN_Zugliste!M:M, "")</f>
        <v>13:00:27</v>
      </c>
    </row>
    <row r="110" spans="1:17" ht="15" customHeight="1" x14ac:dyDescent="0.2">
      <c r="A110" s="63" t="s">
        <v>686</v>
      </c>
      <c r="B110" s="63" t="s">
        <v>99</v>
      </c>
      <c r="C110" s="63" t="s">
        <v>92</v>
      </c>
      <c r="D110" s="63" t="s">
        <v>953</v>
      </c>
      <c r="E110" s="63" t="s">
        <v>688</v>
      </c>
      <c r="F110" s="63" t="s">
        <v>1039</v>
      </c>
      <c r="G110" s="63" t="s">
        <v>1040</v>
      </c>
      <c r="H110" s="63" t="s">
        <v>691</v>
      </c>
      <c r="I110" s="63" t="s">
        <v>1040</v>
      </c>
      <c r="J110" s="63" t="s">
        <v>1041</v>
      </c>
      <c r="K110" s="55">
        <f t="shared" ca="1" si="1"/>
        <v>1</v>
      </c>
      <c r="L110" s="56" t="str">
        <f ca="1">IF(K110&gt;0,"Composition "&amp;SUM(K$4:K110),"")</f>
        <v>Composition 16</v>
      </c>
      <c r="M110" s="55" cm="1">
        <f t="array" aca="1" ref="M110" ca="1">IF(K110=1,_xlfn.XLOOKUP(B110,OFFSET(IN_Zugliste!$A$4,0,0,IN_Zugliste!$A$2,1),OFFSET(IN_Zugliste!$K$4,0,0,IN_Zugliste!$A$2,1),0),0)+_xlfn.XLOOKUP(C110,OFFSET(IN_Zugliste!$A$4,0,0,IN_Zugliste!$A$2,1),OFFSET(IN_Zugliste!$K$4,0,0,IN_Zugliste!$A$2,1),0)</f>
        <v>135916</v>
      </c>
      <c r="N110" s="55" t="str" cm="1">
        <f t="array" aca="1" ref="N110" ca="1">IF(K110=1,_xlfn.XLOOKUP(B110,OFFSET(IN_Zugliste!$A$4,0,0,IN_Zugliste!$A$2,1),OFFSET(IN_Zugliste!$D$4,0,0,IN_Zugliste!$A$2,1),""),"")</f>
        <v>146-3.2</v>
      </c>
      <c r="O110" s="55" t="str" cm="1">
        <f t="array" aca="1" ref="O110" ca="1">IF(L110&lt;&gt;"",L110,_xlfn.XLOOKUP(B110,OFFSET($C$4,0,0,$A$2,1),OFFSET($O$4,0,0,$A$2,1)))</f>
        <v>Composition 16</v>
      </c>
      <c r="P110" s="55" cm="1">
        <f t="array" aca="1" ref="P110" ca="1">MATCH(J110, _xlfn._xlws.FILTER($J$4:$J$430,$O$4:$O$430=O110), 0)+1</f>
        <v>2</v>
      </c>
      <c r="Q110" s="63" t="str">
        <f>_xlfn.XLOOKUP(B110, IN_Zugliste!A:A, IN_Zugliste!M:M, "")</f>
        <v>05:22:02</v>
      </c>
    </row>
    <row r="111" spans="1:17" ht="15" customHeight="1" x14ac:dyDescent="0.2">
      <c r="A111" s="63" t="s">
        <v>686</v>
      </c>
      <c r="B111" s="63" t="s">
        <v>92</v>
      </c>
      <c r="C111" s="63" t="s">
        <v>104</v>
      </c>
      <c r="D111" s="63" t="s">
        <v>723</v>
      </c>
      <c r="E111" s="63" t="s">
        <v>948</v>
      </c>
      <c r="F111" s="63" t="s">
        <v>1042</v>
      </c>
      <c r="G111" s="63" t="s">
        <v>1043</v>
      </c>
      <c r="H111" s="63" t="s">
        <v>691</v>
      </c>
      <c r="I111" s="63" t="s">
        <v>1044</v>
      </c>
      <c r="J111" s="63" t="s">
        <v>1045</v>
      </c>
      <c r="K111" s="55">
        <f t="shared" ca="1" si="1"/>
        <v>0</v>
      </c>
      <c r="L111" s="56" t="str">
        <f ca="1">IF(K111&gt;0,"Composition "&amp;SUM(K$4:K111),"")</f>
        <v/>
      </c>
      <c r="M111" s="55" cm="1">
        <f t="array" aca="1" ref="M111" ca="1">IF(K111=1,_xlfn.XLOOKUP(B111,OFFSET(IN_Zugliste!$A$4,0,0,IN_Zugliste!$A$2,1),OFFSET(IN_Zugliste!$K$4,0,0,IN_Zugliste!$A$2,1),0),0)+_xlfn.XLOOKUP(C111,OFFSET(IN_Zugliste!$A$4,0,0,IN_Zugliste!$A$2,1),OFFSET(IN_Zugliste!$K$4,0,0,IN_Zugliste!$A$2,1),0)</f>
        <v>67982</v>
      </c>
      <c r="N111" s="55" t="str" cm="1">
        <f t="array" aca="1" ref="N111" ca="1">IF(K111=1,_xlfn.XLOOKUP(B111,OFFSET(IN_Zugliste!$A$4,0,0,IN_Zugliste!$A$2,1),OFFSET(IN_Zugliste!$D$4,0,0,IN_Zugliste!$A$2,1),""),"")</f>
        <v/>
      </c>
      <c r="O111" s="55" t="str" cm="1">
        <f t="array" aca="1" ref="O111" ca="1">IF(L111&lt;&gt;"",L111,_xlfn.XLOOKUP(B111,OFFSET($C$4,0,0,$A$2,1),OFFSET($O$4,0,0,$A$2,1)))</f>
        <v>Composition 16</v>
      </c>
      <c r="P111" s="55" cm="1">
        <f t="array" aca="1" ref="P111" ca="1">MATCH(J111, _xlfn._xlws.FILTER($J$4:$J$430,$O$4:$O$430=O111), 0)+1</f>
        <v>3</v>
      </c>
      <c r="Q111" s="63" t="str">
        <f>_xlfn.XLOOKUP(B111, IN_Zugliste!A:A, IN_Zugliste!M:M, "")</f>
        <v>06:50:28</v>
      </c>
    </row>
    <row r="112" spans="1:17" ht="15" customHeight="1" x14ac:dyDescent="0.2">
      <c r="A112" s="63" t="s">
        <v>686</v>
      </c>
      <c r="B112" s="63" t="s">
        <v>104</v>
      </c>
      <c r="C112" s="63" t="s">
        <v>95</v>
      </c>
      <c r="D112" s="63" t="s">
        <v>953</v>
      </c>
      <c r="E112" s="63" t="s">
        <v>688</v>
      </c>
      <c r="F112" s="63" t="s">
        <v>1046</v>
      </c>
      <c r="G112" s="63" t="s">
        <v>1047</v>
      </c>
      <c r="H112" s="63" t="s">
        <v>691</v>
      </c>
      <c r="I112" s="63" t="s">
        <v>1048</v>
      </c>
      <c r="J112" s="63" t="s">
        <v>1049</v>
      </c>
      <c r="K112" s="55">
        <f t="shared" ca="1" si="1"/>
        <v>0</v>
      </c>
      <c r="L112" s="56" t="str">
        <f ca="1">IF(K112&gt;0,"Composition "&amp;SUM(K$4:K112),"")</f>
        <v/>
      </c>
      <c r="M112" s="55" cm="1">
        <f t="array" aca="1" ref="M112" ca="1">IF(K112=1,_xlfn.XLOOKUP(B112,OFFSET(IN_Zugliste!$A$4,0,0,IN_Zugliste!$A$2,1),OFFSET(IN_Zugliste!$K$4,0,0,IN_Zugliste!$A$2,1),0),0)+_xlfn.XLOOKUP(C112,OFFSET(IN_Zugliste!$A$4,0,0,IN_Zugliste!$A$2,1),OFFSET(IN_Zugliste!$K$4,0,0,IN_Zugliste!$A$2,1),0)</f>
        <v>67934</v>
      </c>
      <c r="N112" s="55" t="str" cm="1">
        <f t="array" aca="1" ref="N112" ca="1">IF(K112=1,_xlfn.XLOOKUP(B112,OFFSET(IN_Zugliste!$A$4,0,0,IN_Zugliste!$A$2,1),OFFSET(IN_Zugliste!$D$4,0,0,IN_Zugliste!$A$2,1),""),"")</f>
        <v/>
      </c>
      <c r="O112" s="55" t="str" cm="1">
        <f t="array" aca="1" ref="O112" ca="1">IF(L112&lt;&gt;"",L112,_xlfn.XLOOKUP(B112,OFFSET($C$4,0,0,$A$2,1),OFFSET($O$4,0,0,$A$2,1)))</f>
        <v>Composition 16</v>
      </c>
      <c r="P112" s="55" cm="1">
        <f t="array" aca="1" ref="P112" ca="1">MATCH(J112, _xlfn._xlws.FILTER($J$4:$J$430,$O$4:$O$430=O112), 0)+1</f>
        <v>4</v>
      </c>
      <c r="Q112" s="63" t="str">
        <f>_xlfn.XLOOKUP(B112, IN_Zugliste!A:A, IN_Zugliste!M:M, "")</f>
        <v>08:22:02</v>
      </c>
    </row>
    <row r="113" spans="1:17" ht="15" customHeight="1" x14ac:dyDescent="0.2">
      <c r="A113" s="63" t="s">
        <v>686</v>
      </c>
      <c r="B113" s="63" t="s">
        <v>95</v>
      </c>
      <c r="C113" s="63" t="s">
        <v>107</v>
      </c>
      <c r="D113" s="63" t="s">
        <v>723</v>
      </c>
      <c r="E113" s="63" t="s">
        <v>948</v>
      </c>
      <c r="F113" s="63" t="s">
        <v>1050</v>
      </c>
      <c r="G113" s="63" t="s">
        <v>1051</v>
      </c>
      <c r="H113" s="63" t="s">
        <v>691</v>
      </c>
      <c r="I113" s="63" t="s">
        <v>1052</v>
      </c>
      <c r="J113" s="63" t="s">
        <v>1053</v>
      </c>
      <c r="K113" s="55">
        <f t="shared" ca="1" si="1"/>
        <v>0</v>
      </c>
      <c r="L113" s="56" t="str">
        <f ca="1">IF(K113&gt;0,"Composition "&amp;SUM(K$4:K113),"")</f>
        <v/>
      </c>
      <c r="M113" s="55" cm="1">
        <f t="array" aca="1" ref="M113" ca="1">IF(K113=1,_xlfn.XLOOKUP(B113,OFFSET(IN_Zugliste!$A$4,0,0,IN_Zugliste!$A$2,1),OFFSET(IN_Zugliste!$K$4,0,0,IN_Zugliste!$A$2,1),0),0)+_xlfn.XLOOKUP(C113,OFFSET(IN_Zugliste!$A$4,0,0,IN_Zugliste!$A$2,1),OFFSET(IN_Zugliste!$K$4,0,0,IN_Zugliste!$A$2,1),0)</f>
        <v>67982</v>
      </c>
      <c r="N113" s="55" t="str" cm="1">
        <f t="array" aca="1" ref="N113" ca="1">IF(K113=1,_xlfn.XLOOKUP(B113,OFFSET(IN_Zugliste!$A$4,0,0,IN_Zugliste!$A$2,1),OFFSET(IN_Zugliste!$D$4,0,0,IN_Zugliste!$A$2,1),""),"")</f>
        <v/>
      </c>
      <c r="O113" s="55" t="str" cm="1">
        <f t="array" aca="1" ref="O113" ca="1">IF(L113&lt;&gt;"",L113,_xlfn.XLOOKUP(B113,OFFSET($C$4,0,0,$A$2,1),OFFSET($O$4,0,0,$A$2,1)))</f>
        <v>Composition 16</v>
      </c>
      <c r="P113" s="55" cm="1">
        <f t="array" aca="1" ref="P113" ca="1">MATCH(J113, _xlfn._xlws.FILTER($J$4:$J$430,$O$4:$O$430=O113), 0)+1</f>
        <v>5</v>
      </c>
      <c r="Q113" s="63" t="str">
        <f>_xlfn.XLOOKUP(B113, IN_Zugliste!A:A, IN_Zugliste!M:M, "")</f>
        <v>09:50:28</v>
      </c>
    </row>
    <row r="114" spans="1:17" ht="15" customHeight="1" x14ac:dyDescent="0.2">
      <c r="A114" s="63" t="s">
        <v>686</v>
      </c>
      <c r="B114" s="63" t="s">
        <v>107</v>
      </c>
      <c r="C114" s="63" t="s">
        <v>98</v>
      </c>
      <c r="D114" s="63" t="s">
        <v>953</v>
      </c>
      <c r="E114" s="63" t="s">
        <v>688</v>
      </c>
      <c r="F114" s="63" t="s">
        <v>1054</v>
      </c>
      <c r="G114" s="63" t="s">
        <v>1055</v>
      </c>
      <c r="H114" s="63" t="s">
        <v>691</v>
      </c>
      <c r="I114" s="63" t="s">
        <v>1055</v>
      </c>
      <c r="J114" s="63" t="s">
        <v>1056</v>
      </c>
      <c r="K114" s="55">
        <f t="shared" ca="1" si="1"/>
        <v>0</v>
      </c>
      <c r="L114" s="56" t="str">
        <f ca="1">IF(K114&gt;0,"Composition "&amp;SUM(K$4:K114),"")</f>
        <v/>
      </c>
      <c r="M114" s="55" cm="1">
        <f t="array" aca="1" ref="M114" ca="1">IF(K114=1,_xlfn.XLOOKUP(B114,OFFSET(IN_Zugliste!$A$4,0,0,IN_Zugliste!$A$2,1),OFFSET(IN_Zugliste!$K$4,0,0,IN_Zugliste!$A$2,1),0),0)+_xlfn.XLOOKUP(C114,OFFSET(IN_Zugliste!$A$4,0,0,IN_Zugliste!$A$2,1),OFFSET(IN_Zugliste!$K$4,0,0,IN_Zugliste!$A$2,1),0)</f>
        <v>67934</v>
      </c>
      <c r="N114" s="55" t="str" cm="1">
        <f t="array" aca="1" ref="N114" ca="1">IF(K114=1,_xlfn.XLOOKUP(B114,OFFSET(IN_Zugliste!$A$4,0,0,IN_Zugliste!$A$2,1),OFFSET(IN_Zugliste!$D$4,0,0,IN_Zugliste!$A$2,1),""),"")</f>
        <v/>
      </c>
      <c r="O114" s="55" t="str" cm="1">
        <f t="array" aca="1" ref="O114" ca="1">IF(L114&lt;&gt;"",L114,_xlfn.XLOOKUP(B114,OFFSET($C$4,0,0,$A$2,1),OFFSET($O$4,0,0,$A$2,1)))</f>
        <v>Composition 16</v>
      </c>
      <c r="P114" s="55" cm="1">
        <f t="array" aca="1" ref="P114" ca="1">MATCH(J114, _xlfn._xlws.FILTER($J$4:$J$430,$O$4:$O$430=O114), 0)+1</f>
        <v>6</v>
      </c>
      <c r="Q114" s="63" t="str">
        <f>_xlfn.XLOOKUP(B114, IN_Zugliste!A:A, IN_Zugliste!M:M, "")</f>
        <v>11:22:02</v>
      </c>
    </row>
    <row r="115" spans="1:17" ht="15" customHeight="1" x14ac:dyDescent="0.2">
      <c r="A115" s="63" t="s">
        <v>686</v>
      </c>
      <c r="B115" s="63" t="s">
        <v>98</v>
      </c>
      <c r="C115" s="63" t="s">
        <v>101</v>
      </c>
      <c r="D115" s="63" t="s">
        <v>723</v>
      </c>
      <c r="E115" s="63" t="s">
        <v>948</v>
      </c>
      <c r="F115" s="63" t="s">
        <v>1057</v>
      </c>
      <c r="G115" s="63" t="s">
        <v>1058</v>
      </c>
      <c r="H115" s="63" t="s">
        <v>691</v>
      </c>
      <c r="I115" s="63" t="s">
        <v>1059</v>
      </c>
      <c r="J115" s="63" t="s">
        <v>1060</v>
      </c>
      <c r="K115" s="55">
        <f t="shared" ca="1" si="1"/>
        <v>0</v>
      </c>
      <c r="L115" s="56" t="str">
        <f ca="1">IF(K115&gt;0,"Composition "&amp;SUM(K$4:K115),"")</f>
        <v/>
      </c>
      <c r="M115" s="55" cm="1">
        <f t="array" aca="1" ref="M115" ca="1">IF(K115=1,_xlfn.XLOOKUP(B115,OFFSET(IN_Zugliste!$A$4,0,0,IN_Zugliste!$A$2,1),OFFSET(IN_Zugliste!$K$4,0,0,IN_Zugliste!$A$2,1),0),0)+_xlfn.XLOOKUP(C115,OFFSET(IN_Zugliste!$A$4,0,0,IN_Zugliste!$A$2,1),OFFSET(IN_Zugliste!$K$4,0,0,IN_Zugliste!$A$2,1),0)</f>
        <v>67982</v>
      </c>
      <c r="N115" s="55" t="str" cm="1">
        <f t="array" aca="1" ref="N115" ca="1">IF(K115=1,_xlfn.XLOOKUP(B115,OFFSET(IN_Zugliste!$A$4,0,0,IN_Zugliste!$A$2,1),OFFSET(IN_Zugliste!$D$4,0,0,IN_Zugliste!$A$2,1),""),"")</f>
        <v/>
      </c>
      <c r="O115" s="55" t="str" cm="1">
        <f t="array" aca="1" ref="O115" ca="1">IF(L115&lt;&gt;"",L115,_xlfn.XLOOKUP(B115,OFFSET($C$4,0,0,$A$2,1),OFFSET($O$4,0,0,$A$2,1)))</f>
        <v>Composition 16</v>
      </c>
      <c r="P115" s="55" cm="1">
        <f t="array" aca="1" ref="P115" ca="1">MATCH(J115, _xlfn._xlws.FILTER($J$4:$J$430,$O$4:$O$430=O115), 0)+1</f>
        <v>7</v>
      </c>
      <c r="Q115" s="63" t="str">
        <f>_xlfn.XLOOKUP(B115, IN_Zugliste!A:A, IN_Zugliste!M:M, "")</f>
        <v>12:50:28</v>
      </c>
    </row>
    <row r="116" spans="1:17" ht="15" customHeight="1" x14ac:dyDescent="0.2">
      <c r="A116" s="63" t="s">
        <v>686</v>
      </c>
      <c r="B116" s="63" t="s">
        <v>302</v>
      </c>
      <c r="C116" s="63" t="s">
        <v>327</v>
      </c>
      <c r="D116" s="63" t="s">
        <v>727</v>
      </c>
      <c r="E116" s="63" t="s">
        <v>688</v>
      </c>
      <c r="F116" s="63" t="s">
        <v>1061</v>
      </c>
      <c r="G116" s="63" t="s">
        <v>1062</v>
      </c>
      <c r="H116" s="63" t="s">
        <v>691</v>
      </c>
      <c r="I116" s="63" t="s">
        <v>1062</v>
      </c>
      <c r="J116" s="63" t="s">
        <v>1063</v>
      </c>
      <c r="K116" s="55">
        <f t="shared" ca="1" si="1"/>
        <v>1</v>
      </c>
      <c r="L116" s="56" t="str">
        <f ca="1">IF(K116&gt;0,"Composition "&amp;SUM(K$4:K116),"")</f>
        <v>Composition 17</v>
      </c>
      <c r="M116" s="55" cm="1">
        <f t="array" aca="1" ref="M116" ca="1">IF(K116=1,_xlfn.XLOOKUP(B116,OFFSET(IN_Zugliste!$A$4,0,0,IN_Zugliste!$A$2,1),OFFSET(IN_Zugliste!$K$4,0,0,IN_Zugliste!$A$2,1),0),0)+_xlfn.XLOOKUP(C116,OFFSET(IN_Zugliste!$A$4,0,0,IN_Zugliste!$A$2,1),OFFSET(IN_Zugliste!$K$4,0,0,IN_Zugliste!$A$2,1),0)</f>
        <v>138166</v>
      </c>
      <c r="N116" s="55" t="str" cm="1">
        <f t="array" aca="1" ref="N116" ca="1">IF(K116=1,_xlfn.XLOOKUP(B116,OFFSET(IN_Zugliste!$A$4,0,0,IN_Zugliste!$A$2,1),OFFSET(IN_Zugliste!$D$4,0,0,IN_Zugliste!$A$2,1),""),"")</f>
        <v>146-3.2</v>
      </c>
      <c r="O116" s="55" t="str" cm="1">
        <f t="array" aca="1" ref="O116" ca="1">IF(L116&lt;&gt;"",L116,_xlfn.XLOOKUP(B116,OFFSET($C$4,0,0,$A$2,1),OFFSET($O$4,0,0,$A$2,1)))</f>
        <v>Composition 17</v>
      </c>
      <c r="P116" s="55" cm="1">
        <f t="array" aca="1" ref="P116" ca="1">MATCH(J116, _xlfn._xlws.FILTER($J$4:$J$430,$O$4:$O$430=O116), 0)+1</f>
        <v>2</v>
      </c>
      <c r="Q116" s="63" t="str">
        <f>_xlfn.XLOOKUP(B116, IN_Zugliste!A:A, IN_Zugliste!M:M, "")</f>
        <v>04:48:18</v>
      </c>
    </row>
    <row r="117" spans="1:17" ht="15" customHeight="1" x14ac:dyDescent="0.2">
      <c r="A117" s="63" t="s">
        <v>686</v>
      </c>
      <c r="B117" s="63" t="s">
        <v>327</v>
      </c>
      <c r="C117" s="63" t="s">
        <v>384</v>
      </c>
      <c r="D117" s="63" t="s">
        <v>1064</v>
      </c>
      <c r="E117" s="63" t="s">
        <v>688</v>
      </c>
      <c r="F117" s="63" t="s">
        <v>1065</v>
      </c>
      <c r="G117" s="63" t="s">
        <v>1066</v>
      </c>
      <c r="H117" s="63" t="s">
        <v>691</v>
      </c>
      <c r="I117" s="63" t="s">
        <v>1066</v>
      </c>
      <c r="J117" s="63" t="s">
        <v>1067</v>
      </c>
      <c r="K117" s="55">
        <f t="shared" ca="1" si="1"/>
        <v>0</v>
      </c>
      <c r="L117" s="56" t="str">
        <f ca="1">IF(K117&gt;0,"Composition "&amp;SUM(K$4:K117),"")</f>
        <v/>
      </c>
      <c r="M117" s="55" cm="1">
        <f t="array" aca="1" ref="M117" ca="1">IF(K117=1,_xlfn.XLOOKUP(B117,OFFSET(IN_Zugliste!$A$4,0,0,IN_Zugliste!$A$2,1),OFFSET(IN_Zugliste!$K$4,0,0,IN_Zugliste!$A$2,1),0),0)+_xlfn.XLOOKUP(C117,OFFSET(IN_Zugliste!$A$4,0,0,IN_Zugliste!$A$2,1),OFFSET(IN_Zugliste!$K$4,0,0,IN_Zugliste!$A$2,1),0)</f>
        <v>133789</v>
      </c>
      <c r="N117" s="55" t="str" cm="1">
        <f t="array" aca="1" ref="N117" ca="1">IF(K117=1,_xlfn.XLOOKUP(B117,OFFSET(IN_Zugliste!$A$4,0,0,IN_Zugliste!$A$2,1),OFFSET(IN_Zugliste!$D$4,0,0,IN_Zugliste!$A$2,1),""),"")</f>
        <v/>
      </c>
      <c r="O117" s="55" t="str" cm="1">
        <f t="array" aca="1" ref="O117" ca="1">IF(L117&lt;&gt;"",L117,_xlfn.XLOOKUP(B117,OFFSET($C$4,0,0,$A$2,1),OFFSET($O$4,0,0,$A$2,1)))</f>
        <v>Composition 17</v>
      </c>
      <c r="P117" s="55" cm="1">
        <f t="array" aca="1" ref="P117" ca="1">MATCH(J117, _xlfn._xlws.FILTER($J$4:$J$430,$O$4:$O$430=O117), 0)+1</f>
        <v>3</v>
      </c>
      <c r="Q117" s="63" t="str">
        <f>_xlfn.XLOOKUP(B117, IN_Zugliste!A:A, IN_Zugliste!M:M, "")</f>
        <v>06:36:59</v>
      </c>
    </row>
    <row r="118" spans="1:17" ht="15" customHeight="1" x14ac:dyDescent="0.2">
      <c r="A118" s="63" t="s">
        <v>686</v>
      </c>
      <c r="B118" s="63" t="s">
        <v>384</v>
      </c>
      <c r="C118" s="63" t="s">
        <v>397</v>
      </c>
      <c r="D118" s="63" t="s">
        <v>1068</v>
      </c>
      <c r="E118" s="63" t="s">
        <v>688</v>
      </c>
      <c r="F118" s="63" t="s">
        <v>1069</v>
      </c>
      <c r="G118" s="63" t="s">
        <v>1070</v>
      </c>
      <c r="H118" s="63" t="s">
        <v>691</v>
      </c>
      <c r="I118" s="63" t="s">
        <v>1071</v>
      </c>
      <c r="J118" s="63" t="s">
        <v>1072</v>
      </c>
      <c r="K118" s="55">
        <f t="shared" ca="1" si="1"/>
        <v>0</v>
      </c>
      <c r="L118" s="56" t="str">
        <f ca="1">IF(K118&gt;0,"Composition "&amp;SUM(K$4:K118),"")</f>
        <v/>
      </c>
      <c r="M118" s="55" cm="1">
        <f t="array" aca="1" ref="M118" ca="1">IF(K118=1,_xlfn.XLOOKUP(B118,OFFSET(IN_Zugliste!$A$4,0,0,IN_Zugliste!$A$2,1),OFFSET(IN_Zugliste!$K$4,0,0,IN_Zugliste!$A$2,1),0),0)+_xlfn.XLOOKUP(C118,OFFSET(IN_Zugliste!$A$4,0,0,IN_Zugliste!$A$2,1),OFFSET(IN_Zugliste!$K$4,0,0,IN_Zugliste!$A$2,1),0)</f>
        <v>133827</v>
      </c>
      <c r="N118" s="55" t="str" cm="1">
        <f t="array" aca="1" ref="N118" ca="1">IF(K118=1,_xlfn.XLOOKUP(B118,OFFSET(IN_Zugliste!$A$4,0,0,IN_Zugliste!$A$2,1),OFFSET(IN_Zugliste!$D$4,0,0,IN_Zugliste!$A$2,1),""),"")</f>
        <v/>
      </c>
      <c r="O118" s="55" t="str" cm="1">
        <f t="array" aca="1" ref="O118" ca="1">IF(L118&lt;&gt;"",L118,_xlfn.XLOOKUP(B118,OFFSET($C$4,0,0,$A$2,1),OFFSET($O$4,0,0,$A$2,1)))</f>
        <v>Composition 17</v>
      </c>
      <c r="P118" s="55" cm="1">
        <f t="array" aca="1" ref="P118" ca="1">MATCH(J118, _xlfn._xlws.FILTER($J$4:$J$430,$O$4:$O$430=O118), 0)+1</f>
        <v>4</v>
      </c>
      <c r="Q118" s="63" t="str">
        <f>_xlfn.XLOOKUP(B118, IN_Zugliste!A:A, IN_Zugliste!M:M, "")</f>
        <v>08:02:08</v>
      </c>
    </row>
    <row r="119" spans="1:17" ht="15" customHeight="1" x14ac:dyDescent="0.2">
      <c r="A119" s="63" t="s">
        <v>686</v>
      </c>
      <c r="B119" s="63" t="s">
        <v>397</v>
      </c>
      <c r="C119" s="63" t="s">
        <v>322</v>
      </c>
      <c r="D119" s="63" t="s">
        <v>1064</v>
      </c>
      <c r="E119" s="63" t="s">
        <v>688</v>
      </c>
      <c r="F119" s="63" t="s">
        <v>1073</v>
      </c>
      <c r="G119" s="63" t="s">
        <v>1074</v>
      </c>
      <c r="H119" s="63" t="s">
        <v>691</v>
      </c>
      <c r="I119" s="63" t="s">
        <v>1075</v>
      </c>
      <c r="J119" s="63" t="s">
        <v>1076</v>
      </c>
      <c r="K119" s="55">
        <f t="shared" ca="1" si="1"/>
        <v>0</v>
      </c>
      <c r="L119" s="56" t="str">
        <f ca="1">IF(K119&gt;0,"Composition "&amp;SUM(K$4:K119),"")</f>
        <v/>
      </c>
      <c r="M119" s="55" cm="1">
        <f t="array" aca="1" ref="M119" ca="1">IF(K119=1,_xlfn.XLOOKUP(B119,OFFSET(IN_Zugliste!$A$4,0,0,IN_Zugliste!$A$2,1),OFFSET(IN_Zugliste!$K$4,0,0,IN_Zugliste!$A$2,1),0),0)+_xlfn.XLOOKUP(C119,OFFSET(IN_Zugliste!$A$4,0,0,IN_Zugliste!$A$2,1),OFFSET(IN_Zugliste!$K$4,0,0,IN_Zugliste!$A$2,1),0)</f>
        <v>62240</v>
      </c>
      <c r="N119" s="55" t="str" cm="1">
        <f t="array" aca="1" ref="N119" ca="1">IF(K119=1,_xlfn.XLOOKUP(B119,OFFSET(IN_Zugliste!$A$4,0,0,IN_Zugliste!$A$2,1),OFFSET(IN_Zugliste!$D$4,0,0,IN_Zugliste!$A$2,1),""),"")</f>
        <v/>
      </c>
      <c r="O119" s="55" t="str" cm="1">
        <f t="array" aca="1" ref="O119" ca="1">IF(L119&lt;&gt;"",L119,_xlfn.XLOOKUP(B119,OFFSET($C$4,0,0,$A$2,1),OFFSET($O$4,0,0,$A$2,1)))</f>
        <v>Composition 17</v>
      </c>
      <c r="P119" s="55" cm="1">
        <f t="array" aca="1" ref="P119" ca="1">MATCH(J119, _xlfn._xlws.FILTER($J$4:$J$430,$O$4:$O$430=O119), 0)+1</f>
        <v>5</v>
      </c>
      <c r="Q119" s="63" t="str">
        <f>_xlfn.XLOOKUP(B119, IN_Zugliste!A:A, IN_Zugliste!M:M, "")</f>
        <v>10:23:12</v>
      </c>
    </row>
    <row r="120" spans="1:17" ht="15" customHeight="1" x14ac:dyDescent="0.2">
      <c r="A120" s="63" t="s">
        <v>686</v>
      </c>
      <c r="B120" s="63" t="s">
        <v>322</v>
      </c>
      <c r="C120" s="63" t="s">
        <v>293</v>
      </c>
      <c r="D120" s="63" t="s">
        <v>727</v>
      </c>
      <c r="E120" s="63" t="s">
        <v>688</v>
      </c>
      <c r="F120" s="63" t="s">
        <v>1077</v>
      </c>
      <c r="G120" s="63" t="s">
        <v>1078</v>
      </c>
      <c r="H120" s="63" t="s">
        <v>691</v>
      </c>
      <c r="I120" s="63" t="s">
        <v>1078</v>
      </c>
      <c r="J120" s="63" t="s">
        <v>1079</v>
      </c>
      <c r="K120" s="55">
        <f t="shared" ca="1" si="1"/>
        <v>0</v>
      </c>
      <c r="L120" s="56" t="str">
        <f ca="1">IF(K120&gt;0,"Composition "&amp;SUM(K$4:K120),"")</f>
        <v/>
      </c>
      <c r="M120" s="55" cm="1">
        <f t="array" aca="1" ref="M120" ca="1">IF(K120=1,_xlfn.XLOOKUP(B120,OFFSET(IN_Zugliste!$A$4,0,0,IN_Zugliste!$A$2,1),OFFSET(IN_Zugliste!$K$4,0,0,IN_Zugliste!$A$2,1),0),0)+_xlfn.XLOOKUP(C120,OFFSET(IN_Zugliste!$A$4,0,0,IN_Zugliste!$A$2,1),OFFSET(IN_Zugliste!$K$4,0,0,IN_Zugliste!$A$2,1),0)</f>
        <v>76074</v>
      </c>
      <c r="N120" s="55" t="str" cm="1">
        <f t="array" aca="1" ref="N120" ca="1">IF(K120=1,_xlfn.XLOOKUP(B120,OFFSET(IN_Zugliste!$A$4,0,0,IN_Zugliste!$A$2,1),OFFSET(IN_Zugliste!$D$4,0,0,IN_Zugliste!$A$2,1),""),"")</f>
        <v/>
      </c>
      <c r="O120" s="55" t="str" cm="1">
        <f t="array" aca="1" ref="O120" ca="1">IF(L120&lt;&gt;"",L120,_xlfn.XLOOKUP(B120,OFFSET($C$4,0,0,$A$2,1),OFFSET($O$4,0,0,$A$2,1)))</f>
        <v>Composition 17</v>
      </c>
      <c r="P120" s="55" cm="1">
        <f t="array" aca="1" ref="P120" ca="1">MATCH(J120, _xlfn._xlws.FILTER($J$4:$J$430,$O$4:$O$430=O120), 0)+1</f>
        <v>6</v>
      </c>
      <c r="Q120" s="63" t="str">
        <f>_xlfn.XLOOKUP(B120, IN_Zugliste!A:A, IN_Zugliste!M:M, "")</f>
        <v>12:35:33</v>
      </c>
    </row>
    <row r="121" spans="1:17" ht="15" customHeight="1" x14ac:dyDescent="0.2">
      <c r="A121" s="63" t="s">
        <v>686</v>
      </c>
      <c r="B121" s="63" t="s">
        <v>291</v>
      </c>
      <c r="C121" s="63" t="s">
        <v>306</v>
      </c>
      <c r="D121" s="63" t="s">
        <v>1080</v>
      </c>
      <c r="E121" s="63" t="s">
        <v>688</v>
      </c>
      <c r="F121" s="63" t="s">
        <v>1081</v>
      </c>
      <c r="G121" s="63" t="s">
        <v>1082</v>
      </c>
      <c r="H121" s="63" t="s">
        <v>691</v>
      </c>
      <c r="I121" s="63" t="s">
        <v>1082</v>
      </c>
      <c r="J121" s="63" t="s">
        <v>730</v>
      </c>
      <c r="K121" s="55">
        <f t="shared" ca="1" si="1"/>
        <v>1</v>
      </c>
      <c r="L121" s="56" t="str">
        <f ca="1">IF(K121&gt;0,"Composition "&amp;SUM(K$4:K121),"")</f>
        <v>Composition 18</v>
      </c>
      <c r="M121" s="55" cm="1">
        <f t="array" aca="1" ref="M121" ca="1">IF(K121=1,_xlfn.XLOOKUP(B121,OFFSET(IN_Zugliste!$A$4,0,0,IN_Zugliste!$A$2,1),OFFSET(IN_Zugliste!$K$4,0,0,IN_Zugliste!$A$2,1),0),0)+_xlfn.XLOOKUP(C121,OFFSET(IN_Zugliste!$A$4,0,0,IN_Zugliste!$A$2,1),OFFSET(IN_Zugliste!$K$4,0,0,IN_Zugliste!$A$2,1),0)</f>
        <v>152002</v>
      </c>
      <c r="N121" s="55" t="str" cm="1">
        <f t="array" aca="1" ref="N121" ca="1">IF(K121=1,_xlfn.XLOOKUP(B121,OFFSET(IN_Zugliste!$A$4,0,0,IN_Zugliste!$A$2,1),OFFSET(IN_Zugliste!$D$4,0,0,IN_Zugliste!$A$2,1),""),"")</f>
        <v>146-3.2</v>
      </c>
      <c r="O121" s="55" t="str" cm="1">
        <f t="array" aca="1" ref="O121" ca="1">IF(L121&lt;&gt;"",L121,_xlfn.XLOOKUP(B121,OFFSET($C$4,0,0,$A$2,1),OFFSET($O$4,0,0,$A$2,1)))</f>
        <v>Composition 18</v>
      </c>
      <c r="P121" s="55" cm="1">
        <f t="array" aca="1" ref="P121" ca="1">MATCH(J121, _xlfn._xlws.FILTER($J$4:$J$430,$O$4:$O$430=O121), 0)+1</f>
        <v>2</v>
      </c>
      <c r="Q121" s="63" t="str">
        <f>_xlfn.XLOOKUP(B121, IN_Zugliste!A:A, IN_Zugliste!M:M, "")</f>
        <v>05:03:46</v>
      </c>
    </row>
    <row r="122" spans="1:17" ht="15" customHeight="1" x14ac:dyDescent="0.2">
      <c r="A122" s="63" t="s">
        <v>686</v>
      </c>
      <c r="B122" s="63" t="s">
        <v>306</v>
      </c>
      <c r="C122" s="63" t="s">
        <v>329</v>
      </c>
      <c r="D122" s="63" t="s">
        <v>727</v>
      </c>
      <c r="E122" s="63" t="s">
        <v>688</v>
      </c>
      <c r="F122" s="63" t="s">
        <v>1083</v>
      </c>
      <c r="G122" s="63" t="s">
        <v>1084</v>
      </c>
      <c r="H122" s="63" t="s">
        <v>691</v>
      </c>
      <c r="I122" s="63" t="s">
        <v>1084</v>
      </c>
      <c r="J122" s="63" t="s">
        <v>1085</v>
      </c>
      <c r="K122" s="55">
        <f t="shared" ca="1" si="1"/>
        <v>0</v>
      </c>
      <c r="L122" s="56" t="str">
        <f ca="1">IF(K122&gt;0,"Composition "&amp;SUM(K$4:K122),"")</f>
        <v/>
      </c>
      <c r="M122" s="55" cm="1">
        <f t="array" aca="1" ref="M122" ca="1">IF(K122=1,_xlfn.XLOOKUP(B122,OFFSET(IN_Zugliste!$A$4,0,0,IN_Zugliste!$A$2,1),OFFSET(IN_Zugliste!$K$4,0,0,IN_Zugliste!$A$2,1),0),0)+_xlfn.XLOOKUP(C122,OFFSET(IN_Zugliste!$A$4,0,0,IN_Zugliste!$A$2,1),OFFSET(IN_Zugliste!$K$4,0,0,IN_Zugliste!$A$2,1),0)</f>
        <v>62238</v>
      </c>
      <c r="N122" s="55" t="str" cm="1">
        <f t="array" aca="1" ref="N122" ca="1">IF(K122=1,_xlfn.XLOOKUP(B122,OFFSET(IN_Zugliste!$A$4,0,0,IN_Zugliste!$A$2,1),OFFSET(IN_Zugliste!$D$4,0,0,IN_Zugliste!$A$2,1),""),"")</f>
        <v/>
      </c>
      <c r="O122" s="55" t="str" cm="1">
        <f t="array" aca="1" ref="O122" ca="1">IF(L122&lt;&gt;"",L122,_xlfn.XLOOKUP(B122,OFFSET($C$4,0,0,$A$2,1),OFFSET($O$4,0,0,$A$2,1)))</f>
        <v>Composition 18</v>
      </c>
      <c r="P122" s="55" cm="1">
        <f t="array" aca="1" ref="P122" ca="1">MATCH(J122, _xlfn._xlws.FILTER($J$4:$J$430,$O$4:$O$430=O122), 0)+1</f>
        <v>3</v>
      </c>
      <c r="Q122" s="63" t="str">
        <f>_xlfn.XLOOKUP(B122, IN_Zugliste!A:A, IN_Zugliste!M:M, "")</f>
        <v>06:48:18</v>
      </c>
    </row>
    <row r="123" spans="1:17" ht="15" customHeight="1" x14ac:dyDescent="0.2">
      <c r="A123" s="63" t="s">
        <v>686</v>
      </c>
      <c r="B123" s="63" t="s">
        <v>329</v>
      </c>
      <c r="C123" s="63" t="s">
        <v>386</v>
      </c>
      <c r="D123" s="63" t="s">
        <v>1064</v>
      </c>
      <c r="E123" s="63" t="s">
        <v>688</v>
      </c>
      <c r="F123" s="63" t="s">
        <v>1086</v>
      </c>
      <c r="G123" s="63" t="s">
        <v>1087</v>
      </c>
      <c r="H123" s="63" t="s">
        <v>691</v>
      </c>
      <c r="I123" s="63" t="s">
        <v>1087</v>
      </c>
      <c r="J123" s="63" t="s">
        <v>1088</v>
      </c>
      <c r="K123" s="55">
        <f t="shared" ca="1" si="1"/>
        <v>0</v>
      </c>
      <c r="L123" s="56" t="str">
        <f ca="1">IF(K123&gt;0,"Composition "&amp;SUM(K$4:K123),"")</f>
        <v/>
      </c>
      <c r="M123" s="55" cm="1">
        <f t="array" aca="1" ref="M123" ca="1">IF(K123=1,_xlfn.XLOOKUP(B123,OFFSET(IN_Zugliste!$A$4,0,0,IN_Zugliste!$A$2,1),OFFSET(IN_Zugliste!$K$4,0,0,IN_Zugliste!$A$2,1),0),0)+_xlfn.XLOOKUP(C123,OFFSET(IN_Zugliste!$A$4,0,0,IN_Zugliste!$A$2,1),OFFSET(IN_Zugliste!$K$4,0,0,IN_Zugliste!$A$2,1),0)</f>
        <v>133789</v>
      </c>
      <c r="N123" s="55" t="str" cm="1">
        <f t="array" aca="1" ref="N123" ca="1">IF(K123=1,_xlfn.XLOOKUP(B123,OFFSET(IN_Zugliste!$A$4,0,0,IN_Zugliste!$A$2,1),OFFSET(IN_Zugliste!$D$4,0,0,IN_Zugliste!$A$2,1),""),"")</f>
        <v/>
      </c>
      <c r="O123" s="55" t="str" cm="1">
        <f t="array" aca="1" ref="O123" ca="1">IF(L123&lt;&gt;"",L123,_xlfn.XLOOKUP(B123,OFFSET($C$4,0,0,$A$2,1),OFFSET($O$4,0,0,$A$2,1)))</f>
        <v>Composition 18</v>
      </c>
      <c r="P123" s="55" cm="1">
        <f t="array" aca="1" ref="P123" ca="1">MATCH(J123, _xlfn._xlws.FILTER($J$4:$J$430,$O$4:$O$430=O123), 0)+1</f>
        <v>4</v>
      </c>
      <c r="Q123" s="63" t="str">
        <f>_xlfn.XLOOKUP(B123, IN_Zugliste!A:A, IN_Zugliste!M:M, "")</f>
        <v>08:36:59</v>
      </c>
    </row>
    <row r="124" spans="1:17" ht="15" customHeight="1" x14ac:dyDescent="0.2">
      <c r="A124" s="63" t="s">
        <v>686</v>
      </c>
      <c r="B124" s="63" t="s">
        <v>386</v>
      </c>
      <c r="C124" s="63" t="s">
        <v>399</v>
      </c>
      <c r="D124" s="63" t="s">
        <v>1068</v>
      </c>
      <c r="E124" s="63" t="s">
        <v>688</v>
      </c>
      <c r="F124" s="63" t="s">
        <v>1089</v>
      </c>
      <c r="G124" s="63" t="s">
        <v>1090</v>
      </c>
      <c r="H124" s="63" t="s">
        <v>691</v>
      </c>
      <c r="I124" s="63" t="s">
        <v>1091</v>
      </c>
      <c r="J124" s="63" t="s">
        <v>1092</v>
      </c>
      <c r="K124" s="55">
        <f t="shared" ca="1" si="1"/>
        <v>0</v>
      </c>
      <c r="L124" s="56" t="str">
        <f ca="1">IF(K124&gt;0,"Composition "&amp;SUM(K$4:K124),"")</f>
        <v/>
      </c>
      <c r="M124" s="55" cm="1">
        <f t="array" aca="1" ref="M124" ca="1">IF(K124=1,_xlfn.XLOOKUP(B124,OFFSET(IN_Zugliste!$A$4,0,0,IN_Zugliste!$A$2,1),OFFSET(IN_Zugliste!$K$4,0,0,IN_Zugliste!$A$2,1),0),0)+_xlfn.XLOOKUP(C124,OFFSET(IN_Zugliste!$A$4,0,0,IN_Zugliste!$A$2,1),OFFSET(IN_Zugliste!$K$4,0,0,IN_Zugliste!$A$2,1),0)</f>
        <v>133827</v>
      </c>
      <c r="N124" s="55" t="str" cm="1">
        <f t="array" aca="1" ref="N124" ca="1">IF(K124=1,_xlfn.XLOOKUP(B124,OFFSET(IN_Zugliste!$A$4,0,0,IN_Zugliste!$A$2,1),OFFSET(IN_Zugliste!$D$4,0,0,IN_Zugliste!$A$2,1),""),"")</f>
        <v/>
      </c>
      <c r="O124" s="55" t="str" cm="1">
        <f t="array" aca="1" ref="O124" ca="1">IF(L124&lt;&gt;"",L124,_xlfn.XLOOKUP(B124,OFFSET($C$4,0,0,$A$2,1),OFFSET($O$4,0,0,$A$2,1)))</f>
        <v>Composition 18</v>
      </c>
      <c r="P124" s="55" cm="1">
        <f t="array" aca="1" ref="P124" ca="1">MATCH(J124, _xlfn._xlws.FILTER($J$4:$J$430,$O$4:$O$430=O124), 0)+1</f>
        <v>5</v>
      </c>
      <c r="Q124" s="63" t="str">
        <f>_xlfn.XLOOKUP(B124, IN_Zugliste!A:A, IN_Zugliste!M:M, "")</f>
        <v>10:02:08</v>
      </c>
    </row>
    <row r="125" spans="1:17" ht="15" customHeight="1" x14ac:dyDescent="0.2">
      <c r="A125" s="63" t="s">
        <v>686</v>
      </c>
      <c r="B125" s="63" t="s">
        <v>399</v>
      </c>
      <c r="C125" s="63" t="s">
        <v>315</v>
      </c>
      <c r="D125" s="63" t="s">
        <v>1064</v>
      </c>
      <c r="E125" s="63" t="s">
        <v>688</v>
      </c>
      <c r="F125" s="63" t="s">
        <v>1093</v>
      </c>
      <c r="G125" s="63" t="s">
        <v>1094</v>
      </c>
      <c r="H125" s="63" t="s">
        <v>691</v>
      </c>
      <c r="I125" s="63" t="s">
        <v>1095</v>
      </c>
      <c r="J125" s="63" t="s">
        <v>1096</v>
      </c>
      <c r="K125" s="55">
        <f t="shared" ca="1" si="1"/>
        <v>0</v>
      </c>
      <c r="L125" s="56" t="str">
        <f ca="1">IF(K125&gt;0,"Composition "&amp;SUM(K$4:K125),"")</f>
        <v/>
      </c>
      <c r="M125" s="55" cm="1">
        <f t="array" aca="1" ref="M125" ca="1">IF(K125=1,_xlfn.XLOOKUP(B125,OFFSET(IN_Zugliste!$A$4,0,0,IN_Zugliste!$A$2,1),OFFSET(IN_Zugliste!$K$4,0,0,IN_Zugliste!$A$2,1),0),0)+_xlfn.XLOOKUP(C125,OFFSET(IN_Zugliste!$A$4,0,0,IN_Zugliste!$A$2,1),OFFSET(IN_Zugliste!$K$4,0,0,IN_Zugliste!$A$2,1),0)</f>
        <v>62240</v>
      </c>
      <c r="N125" s="55" t="str" cm="1">
        <f t="array" aca="1" ref="N125" ca="1">IF(K125=1,_xlfn.XLOOKUP(B125,OFFSET(IN_Zugliste!$A$4,0,0,IN_Zugliste!$A$2,1),OFFSET(IN_Zugliste!$D$4,0,0,IN_Zugliste!$A$2,1),""),"")</f>
        <v/>
      </c>
      <c r="O125" s="55" t="str" cm="1">
        <f t="array" aca="1" ref="O125" ca="1">IF(L125&lt;&gt;"",L125,_xlfn.XLOOKUP(B125,OFFSET($C$4,0,0,$A$2,1),OFFSET($O$4,0,0,$A$2,1)))</f>
        <v>Composition 18</v>
      </c>
      <c r="P125" s="55" cm="1">
        <f t="array" aca="1" ref="P125" ca="1">MATCH(J125, _xlfn._xlws.FILTER($J$4:$J$430,$O$4:$O$430=O125), 0)+1</f>
        <v>6</v>
      </c>
      <c r="Q125" s="63" t="str">
        <f>_xlfn.XLOOKUP(B125, IN_Zugliste!A:A, IN_Zugliste!M:M, "")</f>
        <v>12:23:12</v>
      </c>
    </row>
    <row r="126" spans="1:17" ht="15" customHeight="1" x14ac:dyDescent="0.2">
      <c r="A126" s="63" t="s">
        <v>686</v>
      </c>
      <c r="B126" s="63" t="s">
        <v>559</v>
      </c>
      <c r="C126" s="63" t="s">
        <v>574</v>
      </c>
      <c r="D126" s="63" t="s">
        <v>1097</v>
      </c>
      <c r="E126" s="63" t="s">
        <v>688</v>
      </c>
      <c r="F126" s="63" t="s">
        <v>1098</v>
      </c>
      <c r="G126" s="63" t="s">
        <v>1099</v>
      </c>
      <c r="H126" s="63" t="s">
        <v>691</v>
      </c>
      <c r="I126" s="63" t="s">
        <v>1099</v>
      </c>
      <c r="J126" s="63" t="s">
        <v>1100</v>
      </c>
      <c r="K126" s="55">
        <f t="shared" ca="1" si="1"/>
        <v>1</v>
      </c>
      <c r="L126" s="56" t="str">
        <f ca="1">IF(K126&gt;0,"Composition "&amp;SUM(K$4:K126),"")</f>
        <v>Composition 19</v>
      </c>
      <c r="M126" s="55" cm="1">
        <f t="array" aca="1" ref="M126" ca="1">IF(K126=1,_xlfn.XLOOKUP(B126,OFFSET(IN_Zugliste!$A$4,0,0,IN_Zugliste!$A$2,1),OFFSET(IN_Zugliste!$K$4,0,0,IN_Zugliste!$A$2,1),0),0)+_xlfn.XLOOKUP(C126,OFFSET(IN_Zugliste!$A$4,0,0,IN_Zugliste!$A$2,1),OFFSET(IN_Zugliste!$K$4,0,0,IN_Zugliste!$A$2,1),0)</f>
        <v>197662</v>
      </c>
      <c r="N126" s="55" t="str" cm="1">
        <f t="array" aca="1" ref="N126" ca="1">IF(K126=1,_xlfn.XLOOKUP(B126,OFFSET(IN_Zugliste!$A$4,0,0,IN_Zugliste!$A$2,1),OFFSET(IN_Zugliste!$D$4,0,0,IN_Zugliste!$A$2,1),""),"")</f>
        <v>146-3.2</v>
      </c>
      <c r="O126" s="55" t="str" cm="1">
        <f t="array" aca="1" ref="O126" ca="1">IF(L126&lt;&gt;"",L126,_xlfn.XLOOKUP(B126,OFFSET($C$4,0,0,$A$2,1),OFFSET($O$4,0,0,$A$2,1)))</f>
        <v>Composition 19</v>
      </c>
      <c r="P126" s="55" cm="1">
        <f t="array" aca="1" ref="P126" ca="1">MATCH(J126, _xlfn._xlws.FILTER($J$4:$J$430,$O$4:$O$430=O126), 0)+1</f>
        <v>2</v>
      </c>
      <c r="Q126" s="63" t="str">
        <f>_xlfn.XLOOKUP(B126, IN_Zugliste!A:A, IN_Zugliste!M:M, "")</f>
        <v>05:10:15</v>
      </c>
    </row>
    <row r="127" spans="1:17" ht="15" customHeight="1" x14ac:dyDescent="0.2">
      <c r="A127" s="63" t="s">
        <v>686</v>
      </c>
      <c r="B127" s="63" t="s">
        <v>574</v>
      </c>
      <c r="C127" s="63" t="s">
        <v>586</v>
      </c>
      <c r="D127" s="63" t="s">
        <v>990</v>
      </c>
      <c r="E127" s="63" t="s">
        <v>688</v>
      </c>
      <c r="F127" s="63" t="s">
        <v>1101</v>
      </c>
      <c r="G127" s="63" t="s">
        <v>1102</v>
      </c>
      <c r="H127" s="63" t="s">
        <v>691</v>
      </c>
      <c r="I127" s="63" t="s">
        <v>1102</v>
      </c>
      <c r="J127" s="63" t="s">
        <v>1103</v>
      </c>
      <c r="K127" s="55">
        <f t="shared" ca="1" si="1"/>
        <v>0</v>
      </c>
      <c r="L127" s="56" t="str">
        <f ca="1">IF(K127&gt;0,"Composition "&amp;SUM(K$4:K127),"")</f>
        <v/>
      </c>
      <c r="M127" s="55" cm="1">
        <f t="array" aca="1" ref="M127" ca="1">IF(K127=1,_xlfn.XLOOKUP(B127,OFFSET(IN_Zugliste!$A$4,0,0,IN_Zugliste!$A$2,1),OFFSET(IN_Zugliste!$K$4,0,0,IN_Zugliste!$A$2,1),0),0)+_xlfn.XLOOKUP(C127,OFFSET(IN_Zugliste!$A$4,0,0,IN_Zugliste!$A$2,1),OFFSET(IN_Zugliste!$K$4,0,0,IN_Zugliste!$A$2,1),0)</f>
        <v>224120</v>
      </c>
      <c r="N127" s="55" t="str" cm="1">
        <f t="array" aca="1" ref="N127" ca="1">IF(K127=1,_xlfn.XLOOKUP(B127,OFFSET(IN_Zugliste!$A$4,0,0,IN_Zugliste!$A$2,1),OFFSET(IN_Zugliste!$D$4,0,0,IN_Zugliste!$A$2,1),""),"")</f>
        <v/>
      </c>
      <c r="O127" s="55" t="str" cm="1">
        <f t="array" aca="1" ref="O127" ca="1">IF(L127&lt;&gt;"",L127,_xlfn.XLOOKUP(B127,OFFSET($C$4,0,0,$A$2,1),OFFSET($O$4,0,0,$A$2,1)))</f>
        <v>Composition 19</v>
      </c>
      <c r="P127" s="55" cm="1">
        <f t="array" aca="1" ref="P127" ca="1">MATCH(J127, _xlfn._xlws.FILTER($J$4:$J$430,$O$4:$O$430=O127), 0)+1</f>
        <v>3</v>
      </c>
      <c r="Q127" s="63" t="str">
        <f>_xlfn.XLOOKUP(B127, IN_Zugliste!A:A, IN_Zugliste!M:M, "")</f>
        <v>06:50:55</v>
      </c>
    </row>
    <row r="128" spans="1:17" ht="15" customHeight="1" x14ac:dyDescent="0.2">
      <c r="A128" s="63" t="s">
        <v>686</v>
      </c>
      <c r="B128" s="63" t="s">
        <v>586</v>
      </c>
      <c r="C128" s="63" t="s">
        <v>601</v>
      </c>
      <c r="D128" s="63" t="s">
        <v>994</v>
      </c>
      <c r="E128" s="63" t="s">
        <v>688</v>
      </c>
      <c r="F128" s="63" t="s">
        <v>1104</v>
      </c>
      <c r="G128" s="63" t="s">
        <v>1105</v>
      </c>
      <c r="H128" s="63" t="s">
        <v>691</v>
      </c>
      <c r="I128" s="63" t="s">
        <v>1105</v>
      </c>
      <c r="J128" s="63" t="s">
        <v>1106</v>
      </c>
      <c r="K128" s="55">
        <f t="shared" ca="1" si="1"/>
        <v>0</v>
      </c>
      <c r="L128" s="56" t="str">
        <f ca="1">IF(K128&gt;0,"Composition "&amp;SUM(K$4:K128),"")</f>
        <v/>
      </c>
      <c r="M128" s="55" cm="1">
        <f t="array" aca="1" ref="M128" ca="1">IF(K128=1,_xlfn.XLOOKUP(B128,OFFSET(IN_Zugliste!$A$4,0,0,IN_Zugliste!$A$2,1),OFFSET(IN_Zugliste!$K$4,0,0,IN_Zugliste!$A$2,1),0),0)+_xlfn.XLOOKUP(C128,OFFSET(IN_Zugliste!$A$4,0,0,IN_Zugliste!$A$2,1),OFFSET(IN_Zugliste!$K$4,0,0,IN_Zugliste!$A$2,1),0)</f>
        <v>224131</v>
      </c>
      <c r="N128" s="55" t="str" cm="1">
        <f t="array" aca="1" ref="N128" ca="1">IF(K128=1,_xlfn.XLOOKUP(B128,OFFSET(IN_Zugliste!$A$4,0,0,IN_Zugliste!$A$2,1),OFFSET(IN_Zugliste!$D$4,0,0,IN_Zugliste!$A$2,1),""),"")</f>
        <v/>
      </c>
      <c r="O128" s="55" t="str" cm="1">
        <f t="array" aca="1" ref="O128" ca="1">IF(L128&lt;&gt;"",L128,_xlfn.XLOOKUP(B128,OFFSET($C$4,0,0,$A$2,1),OFFSET($O$4,0,0,$A$2,1)))</f>
        <v>Composition 19</v>
      </c>
      <c r="P128" s="55" cm="1">
        <f t="array" aca="1" ref="P128" ca="1">MATCH(J128, _xlfn._xlws.FILTER($J$4:$J$430,$O$4:$O$430=O128), 0)+1</f>
        <v>4</v>
      </c>
      <c r="Q128" s="63" t="str">
        <f>_xlfn.XLOOKUP(B128, IN_Zugliste!A:A, IN_Zugliste!M:M, "")</f>
        <v>08:25:20</v>
      </c>
    </row>
    <row r="129" spans="1:17" ht="15" customHeight="1" x14ac:dyDescent="0.2">
      <c r="A129" s="63" t="s">
        <v>686</v>
      </c>
      <c r="B129" s="63" t="s">
        <v>368</v>
      </c>
      <c r="C129" s="63" t="s">
        <v>361</v>
      </c>
      <c r="D129" s="63" t="s">
        <v>1107</v>
      </c>
      <c r="E129" s="63" t="s">
        <v>688</v>
      </c>
      <c r="F129" s="63" t="s">
        <v>1108</v>
      </c>
      <c r="G129" s="63" t="s">
        <v>1109</v>
      </c>
      <c r="H129" s="63" t="s">
        <v>691</v>
      </c>
      <c r="I129" s="63" t="s">
        <v>1109</v>
      </c>
      <c r="J129" s="63" t="s">
        <v>1110</v>
      </c>
      <c r="K129" s="55">
        <f t="shared" ca="1" si="1"/>
        <v>1</v>
      </c>
      <c r="L129" s="56" t="str">
        <f ca="1">IF(K129&gt;0,"Composition "&amp;SUM(K$4:K129),"")</f>
        <v>Composition 20</v>
      </c>
      <c r="M129" s="55" cm="1">
        <f t="array" aca="1" ref="M129" ca="1">IF(K129=1,_xlfn.XLOOKUP(B129,OFFSET(IN_Zugliste!$A$4,0,0,IN_Zugliste!$A$2,1),OFFSET(IN_Zugliste!$K$4,0,0,IN_Zugliste!$A$2,1),0),0)+_xlfn.XLOOKUP(C129,OFFSET(IN_Zugliste!$A$4,0,0,IN_Zugliste!$A$2,1),OFFSET(IN_Zugliste!$K$4,0,0,IN_Zugliste!$A$2,1),0)</f>
        <v>228414</v>
      </c>
      <c r="N129" s="55" t="str" cm="1">
        <f t="array" aca="1" ref="N129" ca="1">IF(K129=1,_xlfn.XLOOKUP(B129,OFFSET(IN_Zugliste!$A$4,0,0,IN_Zugliste!$A$2,1),OFFSET(IN_Zugliste!$D$4,0,0,IN_Zugliste!$A$2,1),""),"")</f>
        <v>462-1.0</v>
      </c>
      <c r="O129" s="55" t="str" cm="1">
        <f t="array" aca="1" ref="O129" ca="1">IF(L129&lt;&gt;"",L129,_xlfn.XLOOKUP(B129,OFFSET($C$4,0,0,$A$2,1),OFFSET($O$4,0,0,$A$2,1)))</f>
        <v>Composition 20</v>
      </c>
      <c r="P129" s="55" cm="1">
        <f t="array" aca="1" ref="P129" ca="1">MATCH(J129, _xlfn._xlws.FILTER($J$4:$J$430,$O$4:$O$430=O129), 0)+1</f>
        <v>2</v>
      </c>
      <c r="Q129" s="63" t="str">
        <f>_xlfn.XLOOKUP(B129, IN_Zugliste!A:A, IN_Zugliste!M:M, "")</f>
        <v>04:48:49</v>
      </c>
    </row>
    <row r="130" spans="1:17" ht="15" customHeight="1" x14ac:dyDescent="0.2">
      <c r="A130" s="63" t="s">
        <v>686</v>
      </c>
      <c r="B130" s="63" t="s">
        <v>361</v>
      </c>
      <c r="C130" s="63" t="s">
        <v>374</v>
      </c>
      <c r="D130" s="63" t="s">
        <v>1111</v>
      </c>
      <c r="E130" s="63" t="s">
        <v>948</v>
      </c>
      <c r="F130" s="63" t="s">
        <v>1112</v>
      </c>
      <c r="G130" s="63" t="s">
        <v>1113</v>
      </c>
      <c r="H130" s="63" t="s">
        <v>691</v>
      </c>
      <c r="I130" s="63" t="s">
        <v>1114</v>
      </c>
      <c r="J130" s="63" t="s">
        <v>1115</v>
      </c>
      <c r="K130" s="55">
        <f t="shared" ca="1" si="1"/>
        <v>0</v>
      </c>
      <c r="L130" s="56" t="str">
        <f ca="1">IF(K130&gt;0,"Composition "&amp;SUM(K$4:K130),"")</f>
        <v/>
      </c>
      <c r="M130" s="55" cm="1">
        <f t="array" aca="1" ref="M130" ca="1">IF(K130=1,_xlfn.XLOOKUP(B130,OFFSET(IN_Zugliste!$A$4,0,0,IN_Zugliste!$A$2,1),OFFSET(IN_Zugliste!$K$4,0,0,IN_Zugliste!$A$2,1),0),0)+_xlfn.XLOOKUP(C130,OFFSET(IN_Zugliste!$A$4,0,0,IN_Zugliste!$A$2,1),OFFSET(IN_Zugliste!$K$4,0,0,IN_Zugliste!$A$2,1),0)</f>
        <v>114138</v>
      </c>
      <c r="N130" s="55" t="str" cm="1">
        <f t="array" aca="1" ref="N130" ca="1">IF(K130=1,_xlfn.XLOOKUP(B130,OFFSET(IN_Zugliste!$A$4,0,0,IN_Zugliste!$A$2,1),OFFSET(IN_Zugliste!$D$4,0,0,IN_Zugliste!$A$2,1),""),"")</f>
        <v/>
      </c>
      <c r="O130" s="55" t="str" cm="1">
        <f t="array" aca="1" ref="O130" ca="1">IF(L130&lt;&gt;"",L130,_xlfn.XLOOKUP(B130,OFFSET($C$4,0,0,$A$2,1),OFFSET($O$4,0,0,$A$2,1)))</f>
        <v>Composition 20</v>
      </c>
      <c r="P130" s="55" cm="1">
        <f t="array" aca="1" ref="P130" ca="1">MATCH(J130, _xlfn._xlws.FILTER($J$4:$J$430,$O$4:$O$430=O130), 0)+1</f>
        <v>3</v>
      </c>
      <c r="Q130" s="63" t="str">
        <f>_xlfn.XLOOKUP(B130, IN_Zugliste!A:A, IN_Zugliste!M:M, "")</f>
        <v>06:48:24</v>
      </c>
    </row>
    <row r="131" spans="1:17" ht="15" customHeight="1" x14ac:dyDescent="0.2">
      <c r="A131" s="63" t="s">
        <v>686</v>
      </c>
      <c r="B131" s="63" t="s">
        <v>374</v>
      </c>
      <c r="C131" s="63" t="s">
        <v>365</v>
      </c>
      <c r="D131" s="63" t="s">
        <v>1107</v>
      </c>
      <c r="E131" s="63" t="s">
        <v>688</v>
      </c>
      <c r="F131" s="63" t="s">
        <v>1116</v>
      </c>
      <c r="G131" s="63" t="s">
        <v>1117</v>
      </c>
      <c r="H131" s="63" t="s">
        <v>691</v>
      </c>
      <c r="I131" s="63" t="s">
        <v>1117</v>
      </c>
      <c r="J131" s="63" t="s">
        <v>1118</v>
      </c>
      <c r="K131" s="55">
        <f t="shared" ca="1" si="1"/>
        <v>0</v>
      </c>
      <c r="L131" s="56" t="str">
        <f ca="1">IF(K131&gt;0,"Composition "&amp;SUM(K$4:K131),"")</f>
        <v/>
      </c>
      <c r="M131" s="55" cm="1">
        <f t="array" aca="1" ref="M131" ca="1">IF(K131=1,_xlfn.XLOOKUP(B131,OFFSET(IN_Zugliste!$A$4,0,0,IN_Zugliste!$A$2,1),OFFSET(IN_Zugliste!$K$4,0,0,IN_Zugliste!$A$2,1),0),0)+_xlfn.XLOOKUP(C131,OFFSET(IN_Zugliste!$A$4,0,0,IN_Zugliste!$A$2,1),OFFSET(IN_Zugliste!$K$4,0,0,IN_Zugliste!$A$2,1),0)</f>
        <v>114276</v>
      </c>
      <c r="N131" s="55" t="str" cm="1">
        <f t="array" aca="1" ref="N131" ca="1">IF(K131=1,_xlfn.XLOOKUP(B131,OFFSET(IN_Zugliste!$A$4,0,0,IN_Zugliste!$A$2,1),OFFSET(IN_Zugliste!$D$4,0,0,IN_Zugliste!$A$2,1),""),"")</f>
        <v/>
      </c>
      <c r="O131" s="55" t="str" cm="1">
        <f t="array" aca="1" ref="O131" ca="1">IF(L131&lt;&gt;"",L131,_xlfn.XLOOKUP(B131,OFFSET($C$4,0,0,$A$2,1),OFFSET($O$4,0,0,$A$2,1)))</f>
        <v>Composition 20</v>
      </c>
      <c r="P131" s="55" cm="1">
        <f t="array" aca="1" ref="P131" ca="1">MATCH(J131, _xlfn._xlws.FILTER($J$4:$J$430,$O$4:$O$430=O131), 0)+1</f>
        <v>4</v>
      </c>
      <c r="Q131" s="63" t="str">
        <f>_xlfn.XLOOKUP(B131, IN_Zugliste!A:A, IN_Zugliste!M:M, "")</f>
        <v>08:48:49</v>
      </c>
    </row>
    <row r="132" spans="1:17" ht="15" customHeight="1" x14ac:dyDescent="0.2">
      <c r="A132" s="63" t="s">
        <v>686</v>
      </c>
      <c r="B132" s="63" t="s">
        <v>365</v>
      </c>
      <c r="C132" s="63" t="s">
        <v>378</v>
      </c>
      <c r="D132" s="63" t="s">
        <v>1111</v>
      </c>
      <c r="E132" s="63" t="s">
        <v>948</v>
      </c>
      <c r="F132" s="63" t="s">
        <v>1119</v>
      </c>
      <c r="G132" s="63" t="s">
        <v>1120</v>
      </c>
      <c r="H132" s="63" t="s">
        <v>691</v>
      </c>
      <c r="I132" s="63" t="s">
        <v>1121</v>
      </c>
      <c r="J132" s="63" t="s">
        <v>1122</v>
      </c>
      <c r="K132" s="55">
        <f t="shared" ref="K132:K195" ca="1" si="2">1-COUNTIFS(OFFSET($C$4,0,0,$A$2,1),B132)</f>
        <v>0</v>
      </c>
      <c r="L132" s="56" t="str">
        <f ca="1">IF(K132&gt;0,"Composition "&amp;SUM(K$4:K132),"")</f>
        <v/>
      </c>
      <c r="M132" s="55" cm="1">
        <f t="array" aca="1" ref="M132" ca="1">IF(K132=1,_xlfn.XLOOKUP(B132,OFFSET(IN_Zugliste!$A$4,0,0,IN_Zugliste!$A$2,1),OFFSET(IN_Zugliste!$K$4,0,0,IN_Zugliste!$A$2,1),0),0)+_xlfn.XLOOKUP(C132,OFFSET(IN_Zugliste!$A$4,0,0,IN_Zugliste!$A$2,1),OFFSET(IN_Zugliste!$K$4,0,0,IN_Zugliste!$A$2,1),0)</f>
        <v>114138</v>
      </c>
      <c r="N132" s="55" t="str" cm="1">
        <f t="array" aca="1" ref="N132" ca="1">IF(K132=1,_xlfn.XLOOKUP(B132,OFFSET(IN_Zugliste!$A$4,0,0,IN_Zugliste!$A$2,1),OFFSET(IN_Zugliste!$D$4,0,0,IN_Zugliste!$A$2,1),""),"")</f>
        <v/>
      </c>
      <c r="O132" s="55" t="str" cm="1">
        <f t="array" aca="1" ref="O132" ca="1">IF(L132&lt;&gt;"",L132,_xlfn.XLOOKUP(B132,OFFSET($C$4,0,0,$A$2,1),OFFSET($O$4,0,0,$A$2,1)))</f>
        <v>Composition 20</v>
      </c>
      <c r="P132" s="55" cm="1">
        <f t="array" aca="1" ref="P132" ca="1">MATCH(J132, _xlfn._xlws.FILTER($J$4:$J$430,$O$4:$O$430=O132), 0)+1</f>
        <v>5</v>
      </c>
      <c r="Q132" s="63" t="str">
        <f>_xlfn.XLOOKUP(B132, IN_Zugliste!A:A, IN_Zugliste!M:M, "")</f>
        <v>10:48:24</v>
      </c>
    </row>
    <row r="133" spans="1:17" ht="15" customHeight="1" x14ac:dyDescent="0.2">
      <c r="A133" s="63" t="s">
        <v>686</v>
      </c>
      <c r="B133" s="63" t="s">
        <v>526</v>
      </c>
      <c r="C133" s="63" t="s">
        <v>519</v>
      </c>
      <c r="D133" s="63" t="s">
        <v>932</v>
      </c>
      <c r="E133" s="63" t="s">
        <v>688</v>
      </c>
      <c r="F133" s="63" t="s">
        <v>1123</v>
      </c>
      <c r="G133" s="63" t="s">
        <v>1124</v>
      </c>
      <c r="H133" s="63" t="s">
        <v>691</v>
      </c>
      <c r="I133" s="63" t="s">
        <v>1124</v>
      </c>
      <c r="J133" s="63" t="s">
        <v>1125</v>
      </c>
      <c r="K133" s="55">
        <f t="shared" ca="1" si="2"/>
        <v>1</v>
      </c>
      <c r="L133" s="56" t="str">
        <f ca="1">IF(K133&gt;0,"Composition "&amp;SUM(K$4:K133),"")</f>
        <v>Composition 21</v>
      </c>
      <c r="M133" s="55" cm="1">
        <f t="array" aca="1" ref="M133" ca="1">IF(K133=1,_xlfn.XLOOKUP(B133,OFFSET(IN_Zugliste!$A$4,0,0,IN_Zugliste!$A$2,1),OFFSET(IN_Zugliste!$K$4,0,0,IN_Zugliste!$A$2,1),0),0)+_xlfn.XLOOKUP(C133,OFFSET(IN_Zugliste!$A$4,0,0,IN_Zugliste!$A$2,1),OFFSET(IN_Zugliste!$K$4,0,0,IN_Zugliste!$A$2,1),0)</f>
        <v>139383</v>
      </c>
      <c r="N133" s="55" t="str" cm="1">
        <f t="array" aca="1" ref="N133" ca="1">IF(K133=1,_xlfn.XLOOKUP(B133,OFFSET(IN_Zugliste!$A$4,0,0,IN_Zugliste!$A$2,1),OFFSET(IN_Zugliste!$D$4,0,0,IN_Zugliste!$A$2,1),""),"")</f>
        <v>101-3.0</v>
      </c>
      <c r="O133" s="55" t="str" cm="1">
        <f t="array" aca="1" ref="O133" ca="1">IF(L133&lt;&gt;"",L133,_xlfn.XLOOKUP(B133,OFFSET($C$4,0,0,$A$2,1),OFFSET($O$4,0,0,$A$2,1)))</f>
        <v>Composition 21</v>
      </c>
      <c r="P133" s="55" cm="1">
        <f t="array" aca="1" ref="P133" ca="1">MATCH(J133, _xlfn._xlws.FILTER($J$4:$J$430,$O$4:$O$430=O133), 0)+1</f>
        <v>2</v>
      </c>
      <c r="Q133" s="63" t="str">
        <f>_xlfn.XLOOKUP(B133, IN_Zugliste!A:A, IN_Zugliste!M:M, "")</f>
        <v>05:23:02</v>
      </c>
    </row>
    <row r="134" spans="1:17" ht="15" customHeight="1" x14ac:dyDescent="0.2">
      <c r="A134" s="63" t="s">
        <v>686</v>
      </c>
      <c r="B134" s="63" t="s">
        <v>519</v>
      </c>
      <c r="C134" s="63" t="s">
        <v>531</v>
      </c>
      <c r="D134" s="63" t="s">
        <v>929</v>
      </c>
      <c r="E134" s="63" t="s">
        <v>688</v>
      </c>
      <c r="F134" s="63" t="s">
        <v>1126</v>
      </c>
      <c r="G134" s="63" t="s">
        <v>1127</v>
      </c>
      <c r="H134" s="63" t="s">
        <v>691</v>
      </c>
      <c r="I134" s="63" t="s">
        <v>1127</v>
      </c>
      <c r="J134" s="63" t="s">
        <v>1128</v>
      </c>
      <c r="K134" s="55">
        <f t="shared" ca="1" si="2"/>
        <v>0</v>
      </c>
      <c r="L134" s="56" t="str">
        <f ca="1">IF(K134&gt;0,"Composition "&amp;SUM(K$4:K134),"")</f>
        <v/>
      </c>
      <c r="M134" s="55" cm="1">
        <f t="array" aca="1" ref="M134" ca="1">IF(K134=1,_xlfn.XLOOKUP(B134,OFFSET(IN_Zugliste!$A$4,0,0,IN_Zugliste!$A$2,1),OFFSET(IN_Zugliste!$K$4,0,0,IN_Zugliste!$A$2,1),0),0)+_xlfn.XLOOKUP(C134,OFFSET(IN_Zugliste!$A$4,0,0,IN_Zugliste!$A$2,1),OFFSET(IN_Zugliste!$K$4,0,0,IN_Zugliste!$A$2,1),0)</f>
        <v>69671</v>
      </c>
      <c r="N134" s="55" t="str" cm="1">
        <f t="array" aca="1" ref="N134" ca="1">IF(K134=1,_xlfn.XLOOKUP(B134,OFFSET(IN_Zugliste!$A$4,0,0,IN_Zugliste!$A$2,1),OFFSET(IN_Zugliste!$D$4,0,0,IN_Zugliste!$A$2,1),""),"")</f>
        <v/>
      </c>
      <c r="O134" s="55" t="str" cm="1">
        <f t="array" aca="1" ref="O134" ca="1">IF(L134&lt;&gt;"",L134,_xlfn.XLOOKUP(B134,OFFSET($C$4,0,0,$A$2,1),OFFSET($O$4,0,0,$A$2,1)))</f>
        <v>Composition 21</v>
      </c>
      <c r="P134" s="55" cm="1">
        <f t="array" aca="1" ref="P134" ca="1">MATCH(J134, _xlfn._xlws.FILTER($J$4:$J$430,$O$4:$O$430=O134), 0)+1</f>
        <v>3</v>
      </c>
      <c r="Q134" s="63" t="str">
        <f>_xlfn.XLOOKUP(B134, IN_Zugliste!A:A, IN_Zugliste!M:M, "")</f>
        <v>06:53:57</v>
      </c>
    </row>
    <row r="135" spans="1:17" ht="15" customHeight="1" x14ac:dyDescent="0.2">
      <c r="A135" s="63" t="s">
        <v>686</v>
      </c>
      <c r="B135" s="63" t="s">
        <v>531</v>
      </c>
      <c r="C135" s="63" t="s">
        <v>522</v>
      </c>
      <c r="D135" s="63" t="s">
        <v>932</v>
      </c>
      <c r="E135" s="63" t="s">
        <v>688</v>
      </c>
      <c r="F135" s="63" t="s">
        <v>1129</v>
      </c>
      <c r="G135" s="63" t="s">
        <v>1130</v>
      </c>
      <c r="H135" s="63" t="s">
        <v>691</v>
      </c>
      <c r="I135" s="63" t="s">
        <v>1130</v>
      </c>
      <c r="J135" s="63" t="s">
        <v>1131</v>
      </c>
      <c r="K135" s="55">
        <f t="shared" ca="1" si="2"/>
        <v>0</v>
      </c>
      <c r="L135" s="56" t="str">
        <f ca="1">IF(K135&gt;0,"Composition "&amp;SUM(K$4:K135),"")</f>
        <v/>
      </c>
      <c r="M135" s="55" cm="1">
        <f t="array" aca="1" ref="M135" ca="1">IF(K135=1,_xlfn.XLOOKUP(B135,OFFSET(IN_Zugliste!$A$4,0,0,IN_Zugliste!$A$2,1),OFFSET(IN_Zugliste!$K$4,0,0,IN_Zugliste!$A$2,1),0),0)+_xlfn.XLOOKUP(C135,OFFSET(IN_Zugliste!$A$4,0,0,IN_Zugliste!$A$2,1),OFFSET(IN_Zugliste!$K$4,0,0,IN_Zugliste!$A$2,1),0)</f>
        <v>69712</v>
      </c>
      <c r="N135" s="55" t="str" cm="1">
        <f t="array" aca="1" ref="N135" ca="1">IF(K135=1,_xlfn.XLOOKUP(B135,OFFSET(IN_Zugliste!$A$4,0,0,IN_Zugliste!$A$2,1),OFFSET(IN_Zugliste!$D$4,0,0,IN_Zugliste!$A$2,1),""),"")</f>
        <v/>
      </c>
      <c r="O135" s="55" t="str" cm="1">
        <f t="array" aca="1" ref="O135" ca="1">IF(L135&lt;&gt;"",L135,_xlfn.XLOOKUP(B135,OFFSET($C$4,0,0,$A$2,1),OFFSET($O$4,0,0,$A$2,1)))</f>
        <v>Composition 21</v>
      </c>
      <c r="P135" s="55" cm="1">
        <f t="array" aca="1" ref="P135" ca="1">MATCH(J135, _xlfn._xlws.FILTER($J$4:$J$430,$O$4:$O$430=O135), 0)+1</f>
        <v>4</v>
      </c>
      <c r="Q135" s="63" t="str">
        <f>_xlfn.XLOOKUP(B135, IN_Zugliste!A:A, IN_Zugliste!M:M, "")</f>
        <v>08:23:02</v>
      </c>
    </row>
    <row r="136" spans="1:17" ht="15" customHeight="1" x14ac:dyDescent="0.2">
      <c r="A136" s="63" t="s">
        <v>686</v>
      </c>
      <c r="B136" s="63" t="s">
        <v>522</v>
      </c>
      <c r="C136" s="63" t="s">
        <v>534</v>
      </c>
      <c r="D136" s="63" t="s">
        <v>929</v>
      </c>
      <c r="E136" s="63" t="s">
        <v>688</v>
      </c>
      <c r="F136" s="63" t="s">
        <v>1132</v>
      </c>
      <c r="G136" s="63" t="s">
        <v>1133</v>
      </c>
      <c r="H136" s="63" t="s">
        <v>691</v>
      </c>
      <c r="I136" s="63" t="s">
        <v>1133</v>
      </c>
      <c r="J136" s="63" t="s">
        <v>1134</v>
      </c>
      <c r="K136" s="55">
        <f t="shared" ca="1" si="2"/>
        <v>0</v>
      </c>
      <c r="L136" s="56" t="str">
        <f ca="1">IF(K136&gt;0,"Composition "&amp;SUM(K$4:K136),"")</f>
        <v/>
      </c>
      <c r="M136" s="55" cm="1">
        <f t="array" aca="1" ref="M136" ca="1">IF(K136=1,_xlfn.XLOOKUP(B136,OFFSET(IN_Zugliste!$A$4,0,0,IN_Zugliste!$A$2,1),OFFSET(IN_Zugliste!$K$4,0,0,IN_Zugliste!$A$2,1),0),0)+_xlfn.XLOOKUP(C136,OFFSET(IN_Zugliste!$A$4,0,0,IN_Zugliste!$A$2,1),OFFSET(IN_Zugliste!$K$4,0,0,IN_Zugliste!$A$2,1),0)</f>
        <v>69671</v>
      </c>
      <c r="N136" s="55" t="str" cm="1">
        <f t="array" aca="1" ref="N136" ca="1">IF(K136=1,_xlfn.XLOOKUP(B136,OFFSET(IN_Zugliste!$A$4,0,0,IN_Zugliste!$A$2,1),OFFSET(IN_Zugliste!$D$4,0,0,IN_Zugliste!$A$2,1),""),"")</f>
        <v/>
      </c>
      <c r="O136" s="55" t="str" cm="1">
        <f t="array" aca="1" ref="O136" ca="1">IF(L136&lt;&gt;"",L136,_xlfn.XLOOKUP(B136,OFFSET($C$4,0,0,$A$2,1),OFFSET($O$4,0,0,$A$2,1)))</f>
        <v>Composition 21</v>
      </c>
      <c r="P136" s="55" cm="1">
        <f t="array" aca="1" ref="P136" ca="1">MATCH(J136, _xlfn._xlws.FILTER($J$4:$J$430,$O$4:$O$430=O136), 0)+1</f>
        <v>5</v>
      </c>
      <c r="Q136" s="63" t="str">
        <f>_xlfn.XLOOKUP(B136, IN_Zugliste!A:A, IN_Zugliste!M:M, "")</f>
        <v>09:53:57</v>
      </c>
    </row>
    <row r="137" spans="1:17" ht="15" customHeight="1" x14ac:dyDescent="0.2">
      <c r="A137" s="63" t="s">
        <v>686</v>
      </c>
      <c r="B137" s="63" t="s">
        <v>534</v>
      </c>
      <c r="C137" s="63" t="s">
        <v>525</v>
      </c>
      <c r="D137" s="63" t="s">
        <v>932</v>
      </c>
      <c r="E137" s="63" t="s">
        <v>688</v>
      </c>
      <c r="F137" s="63" t="s">
        <v>1135</v>
      </c>
      <c r="G137" s="63" t="s">
        <v>1136</v>
      </c>
      <c r="H137" s="63" t="s">
        <v>691</v>
      </c>
      <c r="I137" s="63" t="s">
        <v>1136</v>
      </c>
      <c r="J137" s="63" t="s">
        <v>1137</v>
      </c>
      <c r="K137" s="55">
        <f t="shared" ca="1" si="2"/>
        <v>0</v>
      </c>
      <c r="L137" s="56" t="str">
        <f ca="1">IF(K137&gt;0,"Composition "&amp;SUM(K$4:K137),"")</f>
        <v/>
      </c>
      <c r="M137" s="55" cm="1">
        <f t="array" aca="1" ref="M137" ca="1">IF(K137=1,_xlfn.XLOOKUP(B137,OFFSET(IN_Zugliste!$A$4,0,0,IN_Zugliste!$A$2,1),OFFSET(IN_Zugliste!$K$4,0,0,IN_Zugliste!$A$2,1),0),0)+_xlfn.XLOOKUP(C137,OFFSET(IN_Zugliste!$A$4,0,0,IN_Zugliste!$A$2,1),OFFSET(IN_Zugliste!$K$4,0,0,IN_Zugliste!$A$2,1),0)</f>
        <v>69712</v>
      </c>
      <c r="N137" s="55" t="str" cm="1">
        <f t="array" aca="1" ref="N137" ca="1">IF(K137=1,_xlfn.XLOOKUP(B137,OFFSET(IN_Zugliste!$A$4,0,0,IN_Zugliste!$A$2,1),OFFSET(IN_Zugliste!$D$4,0,0,IN_Zugliste!$A$2,1),""),"")</f>
        <v/>
      </c>
      <c r="O137" s="55" t="str" cm="1">
        <f t="array" aca="1" ref="O137" ca="1">IF(L137&lt;&gt;"",L137,_xlfn.XLOOKUP(B137,OFFSET($C$4,0,0,$A$2,1),OFFSET($O$4,0,0,$A$2,1)))</f>
        <v>Composition 21</v>
      </c>
      <c r="P137" s="55" cm="1">
        <f t="array" aca="1" ref="P137" ca="1">MATCH(J137, _xlfn._xlws.FILTER($J$4:$J$430,$O$4:$O$430=O137), 0)+1</f>
        <v>6</v>
      </c>
      <c r="Q137" s="63" t="str">
        <f>_xlfn.XLOOKUP(B137, IN_Zugliste!A:A, IN_Zugliste!M:M, "")</f>
        <v>11:23:02</v>
      </c>
    </row>
    <row r="138" spans="1:17" ht="15" customHeight="1" x14ac:dyDescent="0.2">
      <c r="A138" s="63" t="s">
        <v>686</v>
      </c>
      <c r="B138" s="63" t="s">
        <v>525</v>
      </c>
      <c r="C138" s="63" t="s">
        <v>528</v>
      </c>
      <c r="D138" s="63" t="s">
        <v>929</v>
      </c>
      <c r="E138" s="63" t="s">
        <v>688</v>
      </c>
      <c r="F138" s="63" t="s">
        <v>1138</v>
      </c>
      <c r="G138" s="63" t="s">
        <v>1139</v>
      </c>
      <c r="H138" s="63" t="s">
        <v>691</v>
      </c>
      <c r="I138" s="63" t="s">
        <v>1139</v>
      </c>
      <c r="J138" s="63" t="s">
        <v>1140</v>
      </c>
      <c r="K138" s="55">
        <f t="shared" ca="1" si="2"/>
        <v>0</v>
      </c>
      <c r="L138" s="56" t="str">
        <f ca="1">IF(K138&gt;0,"Composition "&amp;SUM(K$4:K138),"")</f>
        <v/>
      </c>
      <c r="M138" s="55" cm="1">
        <f t="array" aca="1" ref="M138" ca="1">IF(K138=1,_xlfn.XLOOKUP(B138,OFFSET(IN_Zugliste!$A$4,0,0,IN_Zugliste!$A$2,1),OFFSET(IN_Zugliste!$K$4,0,0,IN_Zugliste!$A$2,1),0),0)+_xlfn.XLOOKUP(C138,OFFSET(IN_Zugliste!$A$4,0,0,IN_Zugliste!$A$2,1),OFFSET(IN_Zugliste!$K$4,0,0,IN_Zugliste!$A$2,1),0)</f>
        <v>69671</v>
      </c>
      <c r="N138" s="55" t="str" cm="1">
        <f t="array" aca="1" ref="N138" ca="1">IF(K138=1,_xlfn.XLOOKUP(B138,OFFSET(IN_Zugliste!$A$4,0,0,IN_Zugliste!$A$2,1),OFFSET(IN_Zugliste!$D$4,0,0,IN_Zugliste!$A$2,1),""),"")</f>
        <v/>
      </c>
      <c r="O138" s="55" t="str" cm="1">
        <f t="array" aca="1" ref="O138" ca="1">IF(L138&lt;&gt;"",L138,_xlfn.XLOOKUP(B138,OFFSET($C$4,0,0,$A$2,1),OFFSET($O$4,0,0,$A$2,1)))</f>
        <v>Composition 21</v>
      </c>
      <c r="P138" s="55" cm="1">
        <f t="array" aca="1" ref="P138" ca="1">MATCH(J138, _xlfn._xlws.FILTER($J$4:$J$430,$O$4:$O$430=O138), 0)+1</f>
        <v>7</v>
      </c>
      <c r="Q138" s="63" t="str">
        <f>_xlfn.XLOOKUP(B138, IN_Zugliste!A:A, IN_Zugliste!M:M, "")</f>
        <v>12:53:57</v>
      </c>
    </row>
    <row r="139" spans="1:17" ht="15" customHeight="1" x14ac:dyDescent="0.2">
      <c r="A139" s="63" t="s">
        <v>686</v>
      </c>
      <c r="B139" s="63" t="s">
        <v>548</v>
      </c>
      <c r="C139" s="63" t="s">
        <v>541</v>
      </c>
      <c r="D139" s="63" t="s">
        <v>929</v>
      </c>
      <c r="E139" s="63" t="s">
        <v>688</v>
      </c>
      <c r="F139" s="63" t="s">
        <v>1141</v>
      </c>
      <c r="G139" s="63" t="s">
        <v>1142</v>
      </c>
      <c r="H139" s="63" t="s">
        <v>691</v>
      </c>
      <c r="I139" s="63" t="s">
        <v>1142</v>
      </c>
      <c r="J139" s="63" t="s">
        <v>1143</v>
      </c>
      <c r="K139" s="55">
        <f t="shared" ca="1" si="2"/>
        <v>1</v>
      </c>
      <c r="L139" s="56" t="str">
        <f ca="1">IF(K139&gt;0,"Composition "&amp;SUM(K$4:K139),"")</f>
        <v>Composition 22</v>
      </c>
      <c r="M139" s="55" cm="1">
        <f t="array" aca="1" ref="M139" ca="1">IF(K139=1,_xlfn.XLOOKUP(B139,OFFSET(IN_Zugliste!$A$4,0,0,IN_Zugliste!$A$2,1),OFFSET(IN_Zugliste!$K$4,0,0,IN_Zugliste!$A$2,1),0),0)+_xlfn.XLOOKUP(C139,OFFSET(IN_Zugliste!$A$4,0,0,IN_Zugliste!$A$2,1),OFFSET(IN_Zugliste!$K$4,0,0,IN_Zugliste!$A$2,1),0)</f>
        <v>161777</v>
      </c>
      <c r="N139" s="55" t="str" cm="1">
        <f t="array" aca="1" ref="N139" ca="1">IF(K139=1,_xlfn.XLOOKUP(B139,OFFSET(IN_Zugliste!$A$4,0,0,IN_Zugliste!$A$2,1),OFFSET(IN_Zugliste!$D$4,0,0,IN_Zugliste!$A$2,1),""),"")</f>
        <v>101-3.0</v>
      </c>
      <c r="O139" s="55" t="str" cm="1">
        <f t="array" aca="1" ref="O139" ca="1">IF(L139&lt;&gt;"",L139,_xlfn.XLOOKUP(B139,OFFSET($C$4,0,0,$A$2,1),OFFSET($O$4,0,0,$A$2,1)))</f>
        <v>Composition 22</v>
      </c>
      <c r="P139" s="55" cm="1">
        <f t="array" aca="1" ref="P139" ca="1">MATCH(J139, _xlfn._xlws.FILTER($J$4:$J$430,$O$4:$O$430=O139), 0)+1</f>
        <v>2</v>
      </c>
      <c r="Q139" s="63" t="str">
        <f>_xlfn.XLOOKUP(B139, IN_Zugliste!A:A, IN_Zugliste!M:M, "")</f>
        <v>05:24:33</v>
      </c>
    </row>
    <row r="140" spans="1:17" ht="15" customHeight="1" x14ac:dyDescent="0.2">
      <c r="A140" s="63" t="s">
        <v>686</v>
      </c>
      <c r="B140" s="63" t="s">
        <v>541</v>
      </c>
      <c r="C140" s="63" t="s">
        <v>553</v>
      </c>
      <c r="D140" s="63" t="s">
        <v>971</v>
      </c>
      <c r="E140" s="63" t="s">
        <v>688</v>
      </c>
      <c r="F140" s="63" t="s">
        <v>1144</v>
      </c>
      <c r="G140" s="63" t="s">
        <v>1145</v>
      </c>
      <c r="H140" s="63" t="s">
        <v>691</v>
      </c>
      <c r="I140" s="63" t="s">
        <v>1145</v>
      </c>
      <c r="J140" s="63" t="s">
        <v>1146</v>
      </c>
      <c r="K140" s="55">
        <f t="shared" ca="1" si="2"/>
        <v>0</v>
      </c>
      <c r="L140" s="56" t="str">
        <f ca="1">IF(K140&gt;0,"Composition "&amp;SUM(K$4:K140),"")</f>
        <v/>
      </c>
      <c r="M140" s="55" cm="1">
        <f t="array" aca="1" ref="M140" ca="1">IF(K140=1,_xlfn.XLOOKUP(B140,OFFSET(IN_Zugliste!$A$4,0,0,IN_Zugliste!$A$2,1),OFFSET(IN_Zugliste!$K$4,0,0,IN_Zugliste!$A$2,1),0),0)+_xlfn.XLOOKUP(C140,OFFSET(IN_Zugliste!$A$4,0,0,IN_Zugliste!$A$2,1),OFFSET(IN_Zugliste!$K$4,0,0,IN_Zugliste!$A$2,1),0)</f>
        <v>80911</v>
      </c>
      <c r="N140" s="55" t="str" cm="1">
        <f t="array" aca="1" ref="N140" ca="1">IF(K140=1,_xlfn.XLOOKUP(B140,OFFSET(IN_Zugliste!$A$4,0,0,IN_Zugliste!$A$2,1),OFFSET(IN_Zugliste!$D$4,0,0,IN_Zugliste!$A$2,1),""),"")</f>
        <v/>
      </c>
      <c r="O140" s="55" t="str" cm="1">
        <f t="array" aca="1" ref="O140" ca="1">IF(L140&lt;&gt;"",L140,_xlfn.XLOOKUP(B140,OFFSET($C$4,0,0,$A$2,1),OFFSET($O$4,0,0,$A$2,1)))</f>
        <v>Composition 22</v>
      </c>
      <c r="P140" s="55" cm="1">
        <f t="array" aca="1" ref="P140" ca="1">MATCH(J140, _xlfn._xlws.FILTER($J$4:$J$430,$O$4:$O$430=O140), 0)+1</f>
        <v>3</v>
      </c>
      <c r="Q140" s="63" t="str">
        <f>_xlfn.XLOOKUP(B140, IN_Zugliste!A:A, IN_Zugliste!M:M, "")</f>
        <v>06:54:04</v>
      </c>
    </row>
    <row r="141" spans="1:17" ht="15" customHeight="1" x14ac:dyDescent="0.2">
      <c r="A141" s="63" t="s">
        <v>686</v>
      </c>
      <c r="B141" s="63" t="s">
        <v>553</v>
      </c>
      <c r="C141" s="63" t="s">
        <v>544</v>
      </c>
      <c r="D141" s="63" t="s">
        <v>929</v>
      </c>
      <c r="E141" s="63" t="s">
        <v>688</v>
      </c>
      <c r="F141" s="63" t="s">
        <v>1147</v>
      </c>
      <c r="G141" s="63" t="s">
        <v>1148</v>
      </c>
      <c r="H141" s="63" t="s">
        <v>691</v>
      </c>
      <c r="I141" s="63" t="s">
        <v>1148</v>
      </c>
      <c r="J141" s="63" t="s">
        <v>1149</v>
      </c>
      <c r="K141" s="55">
        <f t="shared" ca="1" si="2"/>
        <v>0</v>
      </c>
      <c r="L141" s="56" t="str">
        <f ca="1">IF(K141&gt;0,"Composition "&amp;SUM(K$4:K141),"")</f>
        <v/>
      </c>
      <c r="M141" s="55" cm="1">
        <f t="array" aca="1" ref="M141" ca="1">IF(K141=1,_xlfn.XLOOKUP(B141,OFFSET(IN_Zugliste!$A$4,0,0,IN_Zugliste!$A$2,1),OFFSET(IN_Zugliste!$K$4,0,0,IN_Zugliste!$A$2,1),0),0)+_xlfn.XLOOKUP(C141,OFFSET(IN_Zugliste!$A$4,0,0,IN_Zugliste!$A$2,1),OFFSET(IN_Zugliste!$K$4,0,0,IN_Zugliste!$A$2,1),0)</f>
        <v>80866</v>
      </c>
      <c r="N141" s="55" t="str" cm="1">
        <f t="array" aca="1" ref="N141" ca="1">IF(K141=1,_xlfn.XLOOKUP(B141,OFFSET(IN_Zugliste!$A$4,0,0,IN_Zugliste!$A$2,1),OFFSET(IN_Zugliste!$D$4,0,0,IN_Zugliste!$A$2,1),""),"")</f>
        <v/>
      </c>
      <c r="O141" s="55" t="str" cm="1">
        <f t="array" aca="1" ref="O141" ca="1">IF(L141&lt;&gt;"",L141,_xlfn.XLOOKUP(B141,OFFSET($C$4,0,0,$A$2,1),OFFSET($O$4,0,0,$A$2,1)))</f>
        <v>Composition 22</v>
      </c>
      <c r="P141" s="55" cm="1">
        <f t="array" aca="1" ref="P141" ca="1">MATCH(J141, _xlfn._xlws.FILTER($J$4:$J$430,$O$4:$O$430=O141), 0)+1</f>
        <v>4</v>
      </c>
      <c r="Q141" s="63" t="str">
        <f>_xlfn.XLOOKUP(B141, IN_Zugliste!A:A, IN_Zugliste!M:M, "")</f>
        <v>08:24:33</v>
      </c>
    </row>
    <row r="142" spans="1:17" ht="15" customHeight="1" x14ac:dyDescent="0.2">
      <c r="A142" s="63" t="s">
        <v>686</v>
      </c>
      <c r="B142" s="63" t="s">
        <v>544</v>
      </c>
      <c r="C142" s="63" t="s">
        <v>556</v>
      </c>
      <c r="D142" s="63" t="s">
        <v>971</v>
      </c>
      <c r="E142" s="63" t="s">
        <v>688</v>
      </c>
      <c r="F142" s="63" t="s">
        <v>1150</v>
      </c>
      <c r="G142" s="63" t="s">
        <v>1151</v>
      </c>
      <c r="H142" s="63" t="s">
        <v>691</v>
      </c>
      <c r="I142" s="63" t="s">
        <v>1151</v>
      </c>
      <c r="J142" s="63" t="s">
        <v>1152</v>
      </c>
      <c r="K142" s="55">
        <f t="shared" ca="1" si="2"/>
        <v>0</v>
      </c>
      <c r="L142" s="56" t="str">
        <f ca="1">IF(K142&gt;0,"Composition "&amp;SUM(K$4:K142),"")</f>
        <v/>
      </c>
      <c r="M142" s="55" cm="1">
        <f t="array" aca="1" ref="M142" ca="1">IF(K142=1,_xlfn.XLOOKUP(B142,OFFSET(IN_Zugliste!$A$4,0,0,IN_Zugliste!$A$2,1),OFFSET(IN_Zugliste!$K$4,0,0,IN_Zugliste!$A$2,1),0),0)+_xlfn.XLOOKUP(C142,OFFSET(IN_Zugliste!$A$4,0,0,IN_Zugliste!$A$2,1),OFFSET(IN_Zugliste!$K$4,0,0,IN_Zugliste!$A$2,1),0)</f>
        <v>80911</v>
      </c>
      <c r="N142" s="55" t="str" cm="1">
        <f t="array" aca="1" ref="N142" ca="1">IF(K142=1,_xlfn.XLOOKUP(B142,OFFSET(IN_Zugliste!$A$4,0,0,IN_Zugliste!$A$2,1),OFFSET(IN_Zugliste!$D$4,0,0,IN_Zugliste!$A$2,1),""),"")</f>
        <v/>
      </c>
      <c r="O142" s="55" t="str" cm="1">
        <f t="array" aca="1" ref="O142" ca="1">IF(L142&lt;&gt;"",L142,_xlfn.XLOOKUP(B142,OFFSET($C$4,0,0,$A$2,1),OFFSET($O$4,0,0,$A$2,1)))</f>
        <v>Composition 22</v>
      </c>
      <c r="P142" s="55" cm="1">
        <f t="array" aca="1" ref="P142" ca="1">MATCH(J142, _xlfn._xlws.FILTER($J$4:$J$430,$O$4:$O$430=O142), 0)+1</f>
        <v>5</v>
      </c>
      <c r="Q142" s="63" t="str">
        <f>_xlfn.XLOOKUP(B142, IN_Zugliste!A:A, IN_Zugliste!M:M, "")</f>
        <v>09:54:04</v>
      </c>
    </row>
    <row r="143" spans="1:17" ht="15" customHeight="1" x14ac:dyDescent="0.2">
      <c r="A143" s="63" t="s">
        <v>686</v>
      </c>
      <c r="B143" s="63" t="s">
        <v>556</v>
      </c>
      <c r="C143" s="63" t="s">
        <v>547</v>
      </c>
      <c r="D143" s="63" t="s">
        <v>929</v>
      </c>
      <c r="E143" s="63" t="s">
        <v>688</v>
      </c>
      <c r="F143" s="63" t="s">
        <v>1153</v>
      </c>
      <c r="G143" s="63" t="s">
        <v>1154</v>
      </c>
      <c r="H143" s="63" t="s">
        <v>691</v>
      </c>
      <c r="I143" s="63" t="s">
        <v>1154</v>
      </c>
      <c r="J143" s="63" t="s">
        <v>1155</v>
      </c>
      <c r="K143" s="55">
        <f t="shared" ca="1" si="2"/>
        <v>0</v>
      </c>
      <c r="L143" s="56" t="str">
        <f ca="1">IF(K143&gt;0,"Composition "&amp;SUM(K$4:K143),"")</f>
        <v/>
      </c>
      <c r="M143" s="55" cm="1">
        <f t="array" aca="1" ref="M143" ca="1">IF(K143=1,_xlfn.XLOOKUP(B143,OFFSET(IN_Zugliste!$A$4,0,0,IN_Zugliste!$A$2,1),OFFSET(IN_Zugliste!$K$4,0,0,IN_Zugliste!$A$2,1),0),0)+_xlfn.XLOOKUP(C143,OFFSET(IN_Zugliste!$A$4,0,0,IN_Zugliste!$A$2,1),OFFSET(IN_Zugliste!$K$4,0,0,IN_Zugliste!$A$2,1),0)</f>
        <v>80866</v>
      </c>
      <c r="N143" s="55" t="str" cm="1">
        <f t="array" aca="1" ref="N143" ca="1">IF(K143=1,_xlfn.XLOOKUP(B143,OFFSET(IN_Zugliste!$A$4,0,0,IN_Zugliste!$A$2,1),OFFSET(IN_Zugliste!$D$4,0,0,IN_Zugliste!$A$2,1),""),"")</f>
        <v/>
      </c>
      <c r="O143" s="55" t="str" cm="1">
        <f t="array" aca="1" ref="O143" ca="1">IF(L143&lt;&gt;"",L143,_xlfn.XLOOKUP(B143,OFFSET($C$4,0,0,$A$2,1),OFFSET($O$4,0,0,$A$2,1)))</f>
        <v>Composition 22</v>
      </c>
      <c r="P143" s="55" cm="1">
        <f t="array" aca="1" ref="P143" ca="1">MATCH(J143, _xlfn._xlws.FILTER($J$4:$J$430,$O$4:$O$430=O143), 0)+1</f>
        <v>6</v>
      </c>
      <c r="Q143" s="63" t="str">
        <f>_xlfn.XLOOKUP(B143, IN_Zugliste!A:A, IN_Zugliste!M:M, "")</f>
        <v>11:24:33</v>
      </c>
    </row>
    <row r="144" spans="1:17" ht="15" customHeight="1" x14ac:dyDescent="0.2">
      <c r="A144" s="63" t="s">
        <v>686</v>
      </c>
      <c r="B144" s="63" t="s">
        <v>547</v>
      </c>
      <c r="C144" s="63" t="s">
        <v>550</v>
      </c>
      <c r="D144" s="63" t="s">
        <v>971</v>
      </c>
      <c r="E144" s="63" t="s">
        <v>688</v>
      </c>
      <c r="F144" s="63" t="s">
        <v>1156</v>
      </c>
      <c r="G144" s="63" t="s">
        <v>1157</v>
      </c>
      <c r="H144" s="63" t="s">
        <v>691</v>
      </c>
      <c r="I144" s="63" t="s">
        <v>1157</v>
      </c>
      <c r="J144" s="63" t="s">
        <v>1158</v>
      </c>
      <c r="K144" s="55">
        <f t="shared" ca="1" si="2"/>
        <v>0</v>
      </c>
      <c r="L144" s="56" t="str">
        <f ca="1">IF(K144&gt;0,"Composition "&amp;SUM(K$4:K144),"")</f>
        <v/>
      </c>
      <c r="M144" s="55" cm="1">
        <f t="array" aca="1" ref="M144" ca="1">IF(K144=1,_xlfn.XLOOKUP(B144,OFFSET(IN_Zugliste!$A$4,0,0,IN_Zugliste!$A$2,1),OFFSET(IN_Zugliste!$K$4,0,0,IN_Zugliste!$A$2,1),0),0)+_xlfn.XLOOKUP(C144,OFFSET(IN_Zugliste!$A$4,0,0,IN_Zugliste!$A$2,1),OFFSET(IN_Zugliste!$K$4,0,0,IN_Zugliste!$A$2,1),0)</f>
        <v>80911</v>
      </c>
      <c r="N144" s="55" t="str" cm="1">
        <f t="array" aca="1" ref="N144" ca="1">IF(K144=1,_xlfn.XLOOKUP(B144,OFFSET(IN_Zugliste!$A$4,0,0,IN_Zugliste!$A$2,1),OFFSET(IN_Zugliste!$D$4,0,0,IN_Zugliste!$A$2,1),""),"")</f>
        <v/>
      </c>
      <c r="O144" s="55" t="str" cm="1">
        <f t="array" aca="1" ref="O144" ca="1">IF(L144&lt;&gt;"",L144,_xlfn.XLOOKUP(B144,OFFSET($C$4,0,0,$A$2,1),OFFSET($O$4,0,0,$A$2,1)))</f>
        <v>Composition 22</v>
      </c>
      <c r="P144" s="55" cm="1">
        <f t="array" aca="1" ref="P144" ca="1">MATCH(J144, _xlfn._xlws.FILTER($J$4:$J$430,$O$4:$O$430=O144), 0)+1</f>
        <v>7</v>
      </c>
      <c r="Q144" s="63" t="str">
        <f>_xlfn.XLOOKUP(B144, IN_Zugliste!A:A, IN_Zugliste!M:M, "")</f>
        <v>12:54:04</v>
      </c>
    </row>
    <row r="145" spans="1:17" ht="15" customHeight="1" x14ac:dyDescent="0.2">
      <c r="A145" s="63" t="s">
        <v>686</v>
      </c>
      <c r="B145" s="63" t="s">
        <v>357</v>
      </c>
      <c r="C145" s="63" t="s">
        <v>372</v>
      </c>
      <c r="D145" s="63" t="s">
        <v>1111</v>
      </c>
      <c r="E145" s="63" t="s">
        <v>948</v>
      </c>
      <c r="F145" s="63" t="s">
        <v>1159</v>
      </c>
      <c r="G145" s="63" t="s">
        <v>1160</v>
      </c>
      <c r="H145" s="63" t="s">
        <v>691</v>
      </c>
      <c r="I145" s="63" t="s">
        <v>1161</v>
      </c>
      <c r="J145" s="63" t="s">
        <v>1162</v>
      </c>
      <c r="K145" s="55">
        <f t="shared" ca="1" si="2"/>
        <v>1</v>
      </c>
      <c r="L145" s="56" t="str">
        <f ca="1">IF(K145&gt;0,"Composition "&amp;SUM(K$4:K145),"")</f>
        <v>Composition 23</v>
      </c>
      <c r="M145" s="55" cm="1">
        <f t="array" aca="1" ref="M145" ca="1">IF(K145=1,_xlfn.XLOOKUP(B145,OFFSET(IN_Zugliste!$A$4,0,0,IN_Zugliste!$A$2,1),OFFSET(IN_Zugliste!$K$4,0,0,IN_Zugliste!$A$2,1),0),0)+_xlfn.XLOOKUP(C145,OFFSET(IN_Zugliste!$A$4,0,0,IN_Zugliste!$A$2,1),OFFSET(IN_Zugliste!$K$4,0,0,IN_Zugliste!$A$2,1),0)</f>
        <v>228414</v>
      </c>
      <c r="N145" s="55" t="str" cm="1">
        <f t="array" aca="1" ref="N145" ca="1">IF(K145=1,_xlfn.XLOOKUP(B145,OFFSET(IN_Zugliste!$A$4,0,0,IN_Zugliste!$A$2,1),OFFSET(IN_Zugliste!$D$4,0,0,IN_Zugliste!$A$2,1),""),"")</f>
        <v>462-1.0</v>
      </c>
      <c r="O145" s="55" t="str" cm="1">
        <f t="array" aca="1" ref="O145" ca="1">IF(L145&lt;&gt;"",L145,_xlfn.XLOOKUP(B145,OFFSET($C$4,0,0,$A$2,1),OFFSET($O$4,0,0,$A$2,1)))</f>
        <v>Composition 23</v>
      </c>
      <c r="P145" s="55" cm="1">
        <f t="array" aca="1" ref="P145" ca="1">MATCH(J145, _xlfn._xlws.FILTER($J$4:$J$430,$O$4:$O$430=O145), 0)+1</f>
        <v>2</v>
      </c>
      <c r="Q145" s="63" t="str">
        <f>_xlfn.XLOOKUP(B145, IN_Zugliste!A:A, IN_Zugliste!M:M, "")</f>
        <v>04:48:24</v>
      </c>
    </row>
    <row r="146" spans="1:17" ht="15" customHeight="1" x14ac:dyDescent="0.2">
      <c r="A146" s="63" t="s">
        <v>686</v>
      </c>
      <c r="B146" s="63" t="s">
        <v>372</v>
      </c>
      <c r="C146" s="63" t="s">
        <v>363</v>
      </c>
      <c r="D146" s="63" t="s">
        <v>1107</v>
      </c>
      <c r="E146" s="63" t="s">
        <v>688</v>
      </c>
      <c r="F146" s="63" t="s">
        <v>1163</v>
      </c>
      <c r="G146" s="63" t="s">
        <v>1164</v>
      </c>
      <c r="H146" s="63" t="s">
        <v>691</v>
      </c>
      <c r="I146" s="63" t="s">
        <v>1164</v>
      </c>
      <c r="J146" s="63" t="s">
        <v>1165</v>
      </c>
      <c r="K146" s="55">
        <f t="shared" ca="1" si="2"/>
        <v>0</v>
      </c>
      <c r="L146" s="56" t="str">
        <f ca="1">IF(K146&gt;0,"Composition "&amp;SUM(K$4:K146),"")</f>
        <v/>
      </c>
      <c r="M146" s="55" cm="1">
        <f t="array" aca="1" ref="M146" ca="1">IF(K146=1,_xlfn.XLOOKUP(B146,OFFSET(IN_Zugliste!$A$4,0,0,IN_Zugliste!$A$2,1),OFFSET(IN_Zugliste!$K$4,0,0,IN_Zugliste!$A$2,1),0),0)+_xlfn.XLOOKUP(C146,OFFSET(IN_Zugliste!$A$4,0,0,IN_Zugliste!$A$2,1),OFFSET(IN_Zugliste!$K$4,0,0,IN_Zugliste!$A$2,1),0)</f>
        <v>114276</v>
      </c>
      <c r="N146" s="55" t="str" cm="1">
        <f t="array" aca="1" ref="N146" ca="1">IF(K146=1,_xlfn.XLOOKUP(B146,OFFSET(IN_Zugliste!$A$4,0,0,IN_Zugliste!$A$2,1),OFFSET(IN_Zugliste!$D$4,0,0,IN_Zugliste!$A$2,1),""),"")</f>
        <v/>
      </c>
      <c r="O146" s="55" t="str" cm="1">
        <f t="array" aca="1" ref="O146" ca="1">IF(L146&lt;&gt;"",L146,_xlfn.XLOOKUP(B146,OFFSET($C$4,0,0,$A$2,1),OFFSET($O$4,0,0,$A$2,1)))</f>
        <v>Composition 23</v>
      </c>
      <c r="P146" s="55" cm="1">
        <f t="array" aca="1" ref="P146" ca="1">MATCH(J146, _xlfn._xlws.FILTER($J$4:$J$430,$O$4:$O$430=O146), 0)+1</f>
        <v>3</v>
      </c>
      <c r="Q146" s="63" t="str">
        <f>_xlfn.XLOOKUP(B146, IN_Zugliste!A:A, IN_Zugliste!M:M, "")</f>
        <v>06:48:49</v>
      </c>
    </row>
    <row r="147" spans="1:17" ht="15" customHeight="1" x14ac:dyDescent="0.2">
      <c r="A147" s="63" t="s">
        <v>686</v>
      </c>
      <c r="B147" s="63" t="s">
        <v>363</v>
      </c>
      <c r="C147" s="63" t="s">
        <v>376</v>
      </c>
      <c r="D147" s="63" t="s">
        <v>1111</v>
      </c>
      <c r="E147" s="63" t="s">
        <v>948</v>
      </c>
      <c r="F147" s="63" t="s">
        <v>1166</v>
      </c>
      <c r="G147" s="63" t="s">
        <v>1167</v>
      </c>
      <c r="H147" s="63" t="s">
        <v>691</v>
      </c>
      <c r="I147" s="63" t="s">
        <v>1168</v>
      </c>
      <c r="J147" s="63" t="s">
        <v>1169</v>
      </c>
      <c r="K147" s="55">
        <f t="shared" ca="1" si="2"/>
        <v>0</v>
      </c>
      <c r="L147" s="56" t="str">
        <f ca="1">IF(K147&gt;0,"Composition "&amp;SUM(K$4:K147),"")</f>
        <v/>
      </c>
      <c r="M147" s="55" cm="1">
        <f t="array" aca="1" ref="M147" ca="1">IF(K147=1,_xlfn.XLOOKUP(B147,OFFSET(IN_Zugliste!$A$4,0,0,IN_Zugliste!$A$2,1),OFFSET(IN_Zugliste!$K$4,0,0,IN_Zugliste!$A$2,1),0),0)+_xlfn.XLOOKUP(C147,OFFSET(IN_Zugliste!$A$4,0,0,IN_Zugliste!$A$2,1),OFFSET(IN_Zugliste!$K$4,0,0,IN_Zugliste!$A$2,1),0)</f>
        <v>114138</v>
      </c>
      <c r="N147" s="55" t="str" cm="1">
        <f t="array" aca="1" ref="N147" ca="1">IF(K147=1,_xlfn.XLOOKUP(B147,OFFSET(IN_Zugliste!$A$4,0,0,IN_Zugliste!$A$2,1),OFFSET(IN_Zugliste!$D$4,0,0,IN_Zugliste!$A$2,1),""),"")</f>
        <v/>
      </c>
      <c r="O147" s="55" t="str" cm="1">
        <f t="array" aca="1" ref="O147" ca="1">IF(L147&lt;&gt;"",L147,_xlfn.XLOOKUP(B147,OFFSET($C$4,0,0,$A$2,1),OFFSET($O$4,0,0,$A$2,1)))</f>
        <v>Composition 23</v>
      </c>
      <c r="P147" s="55" cm="1">
        <f t="array" aca="1" ref="P147" ca="1">MATCH(J147, _xlfn._xlws.FILTER($J$4:$J$430,$O$4:$O$430=O147), 0)+1</f>
        <v>4</v>
      </c>
      <c r="Q147" s="63" t="str">
        <f>_xlfn.XLOOKUP(B147, IN_Zugliste!A:A, IN_Zugliste!M:M, "")</f>
        <v>08:48:24</v>
      </c>
    </row>
    <row r="148" spans="1:17" ht="15" customHeight="1" x14ac:dyDescent="0.2">
      <c r="A148" s="63" t="s">
        <v>686</v>
      </c>
      <c r="B148" s="63" t="s">
        <v>376</v>
      </c>
      <c r="C148" s="63" t="s">
        <v>367</v>
      </c>
      <c r="D148" s="63" t="s">
        <v>1107</v>
      </c>
      <c r="E148" s="63" t="s">
        <v>688</v>
      </c>
      <c r="F148" s="63" t="s">
        <v>1170</v>
      </c>
      <c r="G148" s="63" t="s">
        <v>1171</v>
      </c>
      <c r="H148" s="63" t="s">
        <v>691</v>
      </c>
      <c r="I148" s="63" t="s">
        <v>1171</v>
      </c>
      <c r="J148" s="63" t="s">
        <v>1172</v>
      </c>
      <c r="K148" s="55">
        <f t="shared" ca="1" si="2"/>
        <v>0</v>
      </c>
      <c r="L148" s="56" t="str">
        <f ca="1">IF(K148&gt;0,"Composition "&amp;SUM(K$4:K148),"")</f>
        <v/>
      </c>
      <c r="M148" s="55" cm="1">
        <f t="array" aca="1" ref="M148" ca="1">IF(K148=1,_xlfn.XLOOKUP(B148,OFFSET(IN_Zugliste!$A$4,0,0,IN_Zugliste!$A$2,1),OFFSET(IN_Zugliste!$K$4,0,0,IN_Zugliste!$A$2,1),0),0)+_xlfn.XLOOKUP(C148,OFFSET(IN_Zugliste!$A$4,0,0,IN_Zugliste!$A$2,1),OFFSET(IN_Zugliste!$K$4,0,0,IN_Zugliste!$A$2,1),0)</f>
        <v>114276</v>
      </c>
      <c r="N148" s="55" t="str" cm="1">
        <f t="array" aca="1" ref="N148" ca="1">IF(K148=1,_xlfn.XLOOKUP(B148,OFFSET(IN_Zugliste!$A$4,0,0,IN_Zugliste!$A$2,1),OFFSET(IN_Zugliste!$D$4,0,0,IN_Zugliste!$A$2,1),""),"")</f>
        <v/>
      </c>
      <c r="O148" s="55" t="str" cm="1">
        <f t="array" aca="1" ref="O148" ca="1">IF(L148&lt;&gt;"",L148,_xlfn.XLOOKUP(B148,OFFSET($C$4,0,0,$A$2,1),OFFSET($O$4,0,0,$A$2,1)))</f>
        <v>Composition 23</v>
      </c>
      <c r="P148" s="55" cm="1">
        <f t="array" aca="1" ref="P148" ca="1">MATCH(J148, _xlfn._xlws.FILTER($J$4:$J$430,$O$4:$O$430=O148), 0)+1</f>
        <v>5</v>
      </c>
      <c r="Q148" s="63" t="str">
        <f>_xlfn.XLOOKUP(B148, IN_Zugliste!A:A, IN_Zugliste!M:M, "")</f>
        <v>10:48:49</v>
      </c>
    </row>
    <row r="149" spans="1:17" ht="15" customHeight="1" x14ac:dyDescent="0.2">
      <c r="A149" s="63" t="s">
        <v>686</v>
      </c>
      <c r="B149" s="63" t="s">
        <v>636</v>
      </c>
      <c r="C149" s="63" t="s">
        <v>629</v>
      </c>
      <c r="D149" s="63" t="s">
        <v>727</v>
      </c>
      <c r="E149" s="63" t="s">
        <v>688</v>
      </c>
      <c r="F149" s="63" t="s">
        <v>1173</v>
      </c>
      <c r="G149" s="63" t="s">
        <v>1174</v>
      </c>
      <c r="H149" s="63" t="s">
        <v>691</v>
      </c>
      <c r="I149" s="63" t="s">
        <v>1174</v>
      </c>
      <c r="J149" s="63" t="s">
        <v>1175</v>
      </c>
      <c r="K149" s="55">
        <f t="shared" ca="1" si="2"/>
        <v>1</v>
      </c>
      <c r="L149" s="56" t="str">
        <f ca="1">IF(K149&gt;0,"Composition "&amp;SUM(K$4:K149),"")</f>
        <v>Composition 24</v>
      </c>
      <c r="M149" s="55" cm="1">
        <f t="array" aca="1" ref="M149" ca="1">IF(K149=1,_xlfn.XLOOKUP(B149,OFFSET(IN_Zugliste!$A$4,0,0,IN_Zugliste!$A$2,1),OFFSET(IN_Zugliste!$K$4,0,0,IN_Zugliste!$A$2,1),0),0)+_xlfn.XLOOKUP(C149,OFFSET(IN_Zugliste!$A$4,0,0,IN_Zugliste!$A$2,1),OFFSET(IN_Zugliste!$K$4,0,0,IN_Zugliste!$A$2,1),0)</f>
        <v>194485</v>
      </c>
      <c r="N149" s="55" t="str" cm="1">
        <f t="array" aca="1" ref="N149" ca="1">IF(K149=1,_xlfn.XLOOKUP(B149,OFFSET(IN_Zugliste!$A$4,0,0,IN_Zugliste!$A$2,1),OFFSET(IN_Zugliste!$D$4,0,0,IN_Zugliste!$A$2,1),""),"")</f>
        <v>462-1.0</v>
      </c>
      <c r="O149" s="55" t="str" cm="1">
        <f t="array" aca="1" ref="O149" ca="1">IF(L149&lt;&gt;"",L149,_xlfn.XLOOKUP(B149,OFFSET($C$4,0,0,$A$2,1),OFFSET($O$4,0,0,$A$2,1)))</f>
        <v>Composition 24</v>
      </c>
      <c r="P149" s="55" cm="1">
        <f t="array" aca="1" ref="P149" ca="1">MATCH(J149, _xlfn._xlws.FILTER($J$4:$J$430,$O$4:$O$430=O149), 0)+1</f>
        <v>2</v>
      </c>
      <c r="Q149" s="63" t="str">
        <f>_xlfn.XLOOKUP(B149, IN_Zugliste!A:A, IN_Zugliste!M:M, "")</f>
        <v>04:40:42</v>
      </c>
    </row>
    <row r="150" spans="1:17" ht="15" customHeight="1" x14ac:dyDescent="0.2">
      <c r="A150" s="63" t="s">
        <v>686</v>
      </c>
      <c r="B150" s="63" t="s">
        <v>629</v>
      </c>
      <c r="C150" s="63" t="s">
        <v>643</v>
      </c>
      <c r="D150" s="63" t="s">
        <v>1176</v>
      </c>
      <c r="E150" s="63" t="s">
        <v>688</v>
      </c>
      <c r="F150" s="63" t="s">
        <v>1177</v>
      </c>
      <c r="G150" s="63" t="s">
        <v>1178</v>
      </c>
      <c r="H150" s="63" t="s">
        <v>691</v>
      </c>
      <c r="I150" s="63" t="s">
        <v>1178</v>
      </c>
      <c r="J150" s="63" t="s">
        <v>1179</v>
      </c>
      <c r="K150" s="55">
        <f t="shared" ca="1" si="2"/>
        <v>0</v>
      </c>
      <c r="L150" s="56" t="str">
        <f ca="1">IF(K150&gt;0,"Composition "&amp;SUM(K$4:K150),"")</f>
        <v/>
      </c>
      <c r="M150" s="55" cm="1">
        <f t="array" aca="1" ref="M150" ca="1">IF(K150=1,_xlfn.XLOOKUP(B150,OFFSET(IN_Zugliste!$A$4,0,0,IN_Zugliste!$A$2,1),OFFSET(IN_Zugliste!$K$4,0,0,IN_Zugliste!$A$2,1),0),0)+_xlfn.XLOOKUP(C150,OFFSET(IN_Zugliste!$A$4,0,0,IN_Zugliste!$A$2,1),OFFSET(IN_Zugliste!$K$4,0,0,IN_Zugliste!$A$2,1),0)</f>
        <v>97192</v>
      </c>
      <c r="N150" s="55" t="str" cm="1">
        <f t="array" aca="1" ref="N150" ca="1">IF(K150=1,_xlfn.XLOOKUP(B150,OFFSET(IN_Zugliste!$A$4,0,0,IN_Zugliste!$A$2,1),OFFSET(IN_Zugliste!$D$4,0,0,IN_Zugliste!$A$2,1),""),"")</f>
        <v/>
      </c>
      <c r="O150" s="55" t="str" cm="1">
        <f t="array" aca="1" ref="O150" ca="1">IF(L150&lt;&gt;"",L150,_xlfn.XLOOKUP(B150,OFFSET($C$4,0,0,$A$2,1),OFFSET($O$4,0,0,$A$2,1)))</f>
        <v>Composition 24</v>
      </c>
      <c r="P150" s="55" cm="1">
        <f t="array" aca="1" ref="P150" ca="1">MATCH(J150, _xlfn._xlws.FILTER($J$4:$J$430,$O$4:$O$430=O150), 0)+1</f>
        <v>3</v>
      </c>
      <c r="Q150" s="63" t="str">
        <f>_xlfn.XLOOKUP(B150, IN_Zugliste!A:A, IN_Zugliste!M:M, "")</f>
        <v>07:08:57</v>
      </c>
    </row>
    <row r="151" spans="1:17" ht="15" customHeight="1" x14ac:dyDescent="0.2">
      <c r="A151" s="63" t="s">
        <v>686</v>
      </c>
      <c r="B151" s="63" t="s">
        <v>643</v>
      </c>
      <c r="C151" s="63" t="s">
        <v>634</v>
      </c>
      <c r="D151" s="63" t="s">
        <v>727</v>
      </c>
      <c r="E151" s="63" t="s">
        <v>688</v>
      </c>
      <c r="F151" s="63" t="s">
        <v>1180</v>
      </c>
      <c r="G151" s="63" t="s">
        <v>1181</v>
      </c>
      <c r="H151" s="63" t="s">
        <v>691</v>
      </c>
      <c r="I151" s="63" t="s">
        <v>1181</v>
      </c>
      <c r="J151" s="63" t="s">
        <v>1182</v>
      </c>
      <c r="K151" s="55">
        <f t="shared" ca="1" si="2"/>
        <v>0</v>
      </c>
      <c r="L151" s="56" t="str">
        <f ca="1">IF(K151&gt;0,"Composition "&amp;SUM(K$4:K151),"")</f>
        <v/>
      </c>
      <c r="M151" s="55" cm="1">
        <f t="array" aca="1" ref="M151" ca="1">IF(K151=1,_xlfn.XLOOKUP(B151,OFFSET(IN_Zugliste!$A$4,0,0,IN_Zugliste!$A$2,1),OFFSET(IN_Zugliste!$K$4,0,0,IN_Zugliste!$A$2,1),0),0)+_xlfn.XLOOKUP(C151,OFFSET(IN_Zugliste!$A$4,0,0,IN_Zugliste!$A$2,1),OFFSET(IN_Zugliste!$K$4,0,0,IN_Zugliste!$A$2,1),0)</f>
        <v>97293</v>
      </c>
      <c r="N151" s="55" t="str" cm="1">
        <f t="array" aca="1" ref="N151" ca="1">IF(K151=1,_xlfn.XLOOKUP(B151,OFFSET(IN_Zugliste!$A$4,0,0,IN_Zugliste!$A$2,1),OFFSET(IN_Zugliste!$D$4,0,0,IN_Zugliste!$A$2,1),""),"")</f>
        <v/>
      </c>
      <c r="O151" s="55" t="str" cm="1">
        <f t="array" aca="1" ref="O151" ca="1">IF(L151&lt;&gt;"",L151,_xlfn.XLOOKUP(B151,OFFSET($C$4,0,0,$A$2,1),OFFSET($O$4,0,0,$A$2,1)))</f>
        <v>Composition 24</v>
      </c>
      <c r="P151" s="55" cm="1">
        <f t="array" aca="1" ref="P151" ca="1">MATCH(J151, _xlfn._xlws.FILTER($J$4:$J$430,$O$4:$O$430=O151), 0)+1</f>
        <v>4</v>
      </c>
      <c r="Q151" s="63" t="str">
        <f>_xlfn.XLOOKUP(B151, IN_Zugliste!A:A, IN_Zugliste!M:M, "")</f>
        <v>09:40:42</v>
      </c>
    </row>
    <row r="152" spans="1:17" ht="15" customHeight="1" x14ac:dyDescent="0.2">
      <c r="A152" s="63" t="s">
        <v>686</v>
      </c>
      <c r="B152" s="63" t="s">
        <v>254</v>
      </c>
      <c r="C152" s="63" t="s">
        <v>247</v>
      </c>
      <c r="D152" s="63" t="s">
        <v>875</v>
      </c>
      <c r="E152" s="63" t="s">
        <v>688</v>
      </c>
      <c r="F152" s="63" t="s">
        <v>1183</v>
      </c>
      <c r="G152" s="63" t="s">
        <v>1184</v>
      </c>
      <c r="H152" s="63" t="s">
        <v>691</v>
      </c>
      <c r="I152" s="63" t="s">
        <v>1184</v>
      </c>
      <c r="J152" s="63" t="s">
        <v>1185</v>
      </c>
      <c r="K152" s="55">
        <f t="shared" ca="1" si="2"/>
        <v>1</v>
      </c>
      <c r="L152" s="56" t="str">
        <f ca="1">IF(K152&gt;0,"Composition "&amp;SUM(K$4:K152),"")</f>
        <v>Composition 25</v>
      </c>
      <c r="M152" s="55" cm="1">
        <f t="array" aca="1" ref="M152" ca="1">IF(K152=1,_xlfn.XLOOKUP(B152,OFFSET(IN_Zugliste!$A$4,0,0,IN_Zugliste!$A$2,1),OFFSET(IN_Zugliste!$K$4,0,0,IN_Zugliste!$A$2,1),0),0)+_xlfn.XLOOKUP(C152,OFFSET(IN_Zugliste!$A$4,0,0,IN_Zugliste!$A$2,1),OFFSET(IN_Zugliste!$K$4,0,0,IN_Zugliste!$A$2,1),0)</f>
        <v>104403</v>
      </c>
      <c r="N152" s="55" t="str" cm="1">
        <f t="array" aca="1" ref="N152" ca="1">IF(K152=1,_xlfn.XLOOKUP(B152,OFFSET(IN_Zugliste!$A$4,0,0,IN_Zugliste!$A$2,1),OFFSET(IN_Zugliste!$D$4,0,0,IN_Zugliste!$A$2,1),""),"")</f>
        <v>146-3.2</v>
      </c>
      <c r="O152" s="55" t="str" cm="1">
        <f t="array" aca="1" ref="O152" ca="1">IF(L152&lt;&gt;"",L152,_xlfn.XLOOKUP(B152,OFFSET($C$4,0,0,$A$2,1),OFFSET($O$4,0,0,$A$2,1)))</f>
        <v>Composition 25</v>
      </c>
      <c r="P152" s="55" cm="1">
        <f t="array" aca="1" ref="P152" ca="1">MATCH(J152, _xlfn._xlws.FILTER($J$4:$J$430,$O$4:$O$430=O152), 0)+1</f>
        <v>2</v>
      </c>
      <c r="Q152" s="63" t="str">
        <f>_xlfn.XLOOKUP(B152, IN_Zugliste!A:A, IN_Zugliste!M:M, "")</f>
        <v>05:19:04</v>
      </c>
    </row>
    <row r="153" spans="1:17" ht="15" customHeight="1" x14ac:dyDescent="0.2">
      <c r="A153" s="63" t="s">
        <v>686</v>
      </c>
      <c r="B153" s="63" t="s">
        <v>247</v>
      </c>
      <c r="C153" s="63" t="s">
        <v>286</v>
      </c>
      <c r="D153" s="63" t="s">
        <v>915</v>
      </c>
      <c r="E153" s="63" t="s">
        <v>688</v>
      </c>
      <c r="F153" s="63" t="s">
        <v>1186</v>
      </c>
      <c r="G153" s="63" t="s">
        <v>1187</v>
      </c>
      <c r="H153" s="63" t="s">
        <v>691</v>
      </c>
      <c r="I153" s="63" t="s">
        <v>1187</v>
      </c>
      <c r="J153" s="63" t="s">
        <v>1188</v>
      </c>
      <c r="K153" s="55">
        <f t="shared" ca="1" si="2"/>
        <v>0</v>
      </c>
      <c r="L153" s="56" t="str">
        <f ca="1">IF(K153&gt;0,"Composition "&amp;SUM(K$4:K153),"")</f>
        <v/>
      </c>
      <c r="M153" s="55" cm="1">
        <f t="array" aca="1" ref="M153" ca="1">IF(K153=1,_xlfn.XLOOKUP(B153,OFFSET(IN_Zugliste!$A$4,0,0,IN_Zugliste!$A$2,1),OFFSET(IN_Zugliste!$K$4,0,0,IN_Zugliste!$A$2,1),0),0)+_xlfn.XLOOKUP(C153,OFFSET(IN_Zugliste!$A$4,0,0,IN_Zugliste!$A$2,1),OFFSET(IN_Zugliste!$K$4,0,0,IN_Zugliste!$A$2,1),0)</f>
        <v>52218</v>
      </c>
      <c r="N153" s="55" t="str" cm="1">
        <f t="array" aca="1" ref="N153" ca="1">IF(K153=1,_xlfn.XLOOKUP(B153,OFFSET(IN_Zugliste!$A$4,0,0,IN_Zugliste!$A$2,1),OFFSET(IN_Zugliste!$D$4,0,0,IN_Zugliste!$A$2,1),""),"")</f>
        <v/>
      </c>
      <c r="O153" s="55" t="str" cm="1">
        <f t="array" aca="1" ref="O153" ca="1">IF(L153&lt;&gt;"",L153,_xlfn.XLOOKUP(B153,OFFSET($C$4,0,0,$A$2,1),OFFSET($O$4,0,0,$A$2,1)))</f>
        <v>Composition 25</v>
      </c>
      <c r="P153" s="55" cm="1">
        <f t="array" aca="1" ref="P153" ca="1">MATCH(J153, _xlfn._xlws.FILTER($J$4:$J$430,$O$4:$O$430=O153), 0)+1</f>
        <v>3</v>
      </c>
      <c r="Q153" s="63" t="str">
        <f>_xlfn.XLOOKUP(B153, IN_Zugliste!A:A, IN_Zugliste!M:M, "")</f>
        <v>07:02:24</v>
      </c>
    </row>
    <row r="154" spans="1:17" ht="15" customHeight="1" x14ac:dyDescent="0.2">
      <c r="A154" s="63" t="s">
        <v>686</v>
      </c>
      <c r="B154" s="63" t="s">
        <v>286</v>
      </c>
      <c r="C154" s="63" t="s">
        <v>276</v>
      </c>
      <c r="D154" s="63" t="s">
        <v>875</v>
      </c>
      <c r="E154" s="63" t="s">
        <v>688</v>
      </c>
      <c r="F154" s="63" t="s">
        <v>1189</v>
      </c>
      <c r="G154" s="63" t="s">
        <v>1190</v>
      </c>
      <c r="H154" s="63" t="s">
        <v>691</v>
      </c>
      <c r="I154" s="63" t="s">
        <v>1190</v>
      </c>
      <c r="J154" s="63" t="s">
        <v>1191</v>
      </c>
      <c r="K154" s="55">
        <f t="shared" ca="1" si="2"/>
        <v>0</v>
      </c>
      <c r="L154" s="56" t="str">
        <f ca="1">IF(K154&gt;0,"Composition "&amp;SUM(K$4:K154),"")</f>
        <v/>
      </c>
      <c r="M154" s="55" cm="1">
        <f t="array" aca="1" ref="M154" ca="1">IF(K154=1,_xlfn.XLOOKUP(B154,OFFSET(IN_Zugliste!$A$4,0,0,IN_Zugliste!$A$2,1),OFFSET(IN_Zugliste!$K$4,0,0,IN_Zugliste!$A$2,1),0),0)+_xlfn.XLOOKUP(C154,OFFSET(IN_Zugliste!$A$4,0,0,IN_Zugliste!$A$2,1),OFFSET(IN_Zugliste!$K$4,0,0,IN_Zugliste!$A$2,1),0)</f>
        <v>52185</v>
      </c>
      <c r="N154" s="55" t="str" cm="1">
        <f t="array" aca="1" ref="N154" ca="1">IF(K154=1,_xlfn.XLOOKUP(B154,OFFSET(IN_Zugliste!$A$4,0,0,IN_Zugliste!$A$2,1),OFFSET(IN_Zugliste!$D$4,0,0,IN_Zugliste!$A$2,1),""),"")</f>
        <v/>
      </c>
      <c r="O154" s="55" t="str" cm="1">
        <f t="array" aca="1" ref="O154" ca="1">IF(L154&lt;&gt;"",L154,_xlfn.XLOOKUP(B154,OFFSET($C$4,0,0,$A$2,1),OFFSET($O$4,0,0,$A$2,1)))</f>
        <v>Composition 25</v>
      </c>
      <c r="P154" s="55" cm="1">
        <f t="array" aca="1" ref="P154" ca="1">MATCH(J154, _xlfn._xlws.FILTER($J$4:$J$430,$O$4:$O$430=O154), 0)+1</f>
        <v>4</v>
      </c>
      <c r="Q154" s="63" t="str">
        <f>_xlfn.XLOOKUP(B154, IN_Zugliste!A:A, IN_Zugliste!M:M, "")</f>
        <v>08:41:12</v>
      </c>
    </row>
    <row r="155" spans="1:17" ht="15" customHeight="1" x14ac:dyDescent="0.2">
      <c r="A155" s="63" t="s">
        <v>686</v>
      </c>
      <c r="B155" s="63" t="s">
        <v>276</v>
      </c>
      <c r="C155" s="63" t="s">
        <v>263</v>
      </c>
      <c r="D155" s="63" t="s">
        <v>915</v>
      </c>
      <c r="E155" s="63" t="s">
        <v>688</v>
      </c>
      <c r="F155" s="63" t="s">
        <v>1192</v>
      </c>
      <c r="G155" s="63" t="s">
        <v>1193</v>
      </c>
      <c r="H155" s="63" t="s">
        <v>691</v>
      </c>
      <c r="I155" s="63" t="s">
        <v>1194</v>
      </c>
      <c r="J155" s="63" t="s">
        <v>1195</v>
      </c>
      <c r="K155" s="55">
        <f t="shared" ca="1" si="2"/>
        <v>0</v>
      </c>
      <c r="L155" s="56" t="str">
        <f ca="1">IF(K155&gt;0,"Composition "&amp;SUM(K$4:K155),"")</f>
        <v/>
      </c>
      <c r="M155" s="55" cm="1">
        <f t="array" aca="1" ref="M155" ca="1">IF(K155=1,_xlfn.XLOOKUP(B155,OFFSET(IN_Zugliste!$A$4,0,0,IN_Zugliste!$A$2,1),OFFSET(IN_Zugliste!$K$4,0,0,IN_Zugliste!$A$2,1),0),0)+_xlfn.XLOOKUP(C155,OFFSET(IN_Zugliste!$A$4,0,0,IN_Zugliste!$A$2,1),OFFSET(IN_Zugliste!$K$4,0,0,IN_Zugliste!$A$2,1),0)</f>
        <v>52218</v>
      </c>
      <c r="N155" s="55" t="str" cm="1">
        <f t="array" aca="1" ref="N155" ca="1">IF(K155=1,_xlfn.XLOOKUP(B155,OFFSET(IN_Zugliste!$A$4,0,0,IN_Zugliste!$A$2,1),OFFSET(IN_Zugliste!$D$4,0,0,IN_Zugliste!$A$2,1),""),"")</f>
        <v/>
      </c>
      <c r="O155" s="55" t="str" cm="1">
        <f t="array" aca="1" ref="O155" ca="1">IF(L155&lt;&gt;"",L155,_xlfn.XLOOKUP(B155,OFFSET($C$4,0,0,$A$2,1),OFFSET($O$4,0,0,$A$2,1)))</f>
        <v>Composition 25</v>
      </c>
      <c r="P155" s="55" cm="1">
        <f t="array" aca="1" ref="P155" ca="1">MATCH(J155, _xlfn._xlws.FILTER($J$4:$J$430,$O$4:$O$430=O155), 0)+1</f>
        <v>5</v>
      </c>
      <c r="Q155" s="63" t="str">
        <f>_xlfn.XLOOKUP(B155, IN_Zugliste!A:A, IN_Zugliste!M:M, "")</f>
        <v>10:26:43</v>
      </c>
    </row>
    <row r="156" spans="1:17" ht="15" customHeight="1" x14ac:dyDescent="0.2">
      <c r="A156" s="63" t="s">
        <v>686</v>
      </c>
      <c r="B156" s="63" t="s">
        <v>263</v>
      </c>
      <c r="C156" s="63" t="s">
        <v>245</v>
      </c>
      <c r="D156" s="63" t="s">
        <v>875</v>
      </c>
      <c r="E156" s="63" t="s">
        <v>688</v>
      </c>
      <c r="F156" s="63" t="s">
        <v>1196</v>
      </c>
      <c r="G156" s="63" t="s">
        <v>1197</v>
      </c>
      <c r="H156" s="63" t="s">
        <v>691</v>
      </c>
      <c r="I156" s="63" t="s">
        <v>1197</v>
      </c>
      <c r="J156" s="63" t="s">
        <v>1198</v>
      </c>
      <c r="K156" s="55">
        <f t="shared" ca="1" si="2"/>
        <v>0</v>
      </c>
      <c r="L156" s="56" t="str">
        <f ca="1">IF(K156&gt;0,"Composition "&amp;SUM(K$4:K156),"")</f>
        <v/>
      </c>
      <c r="M156" s="55" cm="1">
        <f t="array" aca="1" ref="M156" ca="1">IF(K156=1,_xlfn.XLOOKUP(B156,OFFSET(IN_Zugliste!$A$4,0,0,IN_Zugliste!$A$2,1),OFFSET(IN_Zugliste!$K$4,0,0,IN_Zugliste!$A$2,1),0),0)+_xlfn.XLOOKUP(C156,OFFSET(IN_Zugliste!$A$4,0,0,IN_Zugliste!$A$2,1),OFFSET(IN_Zugliste!$K$4,0,0,IN_Zugliste!$A$2,1),0)</f>
        <v>52185</v>
      </c>
      <c r="N156" s="55" t="str" cm="1">
        <f t="array" aca="1" ref="N156" ca="1">IF(K156=1,_xlfn.XLOOKUP(B156,OFFSET(IN_Zugliste!$A$4,0,0,IN_Zugliste!$A$2,1),OFFSET(IN_Zugliste!$D$4,0,0,IN_Zugliste!$A$2,1),""),"")</f>
        <v/>
      </c>
      <c r="O156" s="55" t="str" cm="1">
        <f t="array" aca="1" ref="O156" ca="1">IF(L156&lt;&gt;"",L156,_xlfn.XLOOKUP(B156,OFFSET($C$4,0,0,$A$2,1),OFFSET($O$4,0,0,$A$2,1)))</f>
        <v>Composition 25</v>
      </c>
      <c r="P156" s="55" cm="1">
        <f t="array" aca="1" ref="P156" ca="1">MATCH(J156, _xlfn._xlws.FILTER($J$4:$J$430,$O$4:$O$430=O156), 0)+1</f>
        <v>6</v>
      </c>
      <c r="Q156" s="63" t="str">
        <f>_xlfn.XLOOKUP(B156, IN_Zugliste!A:A, IN_Zugliste!M:M, "")</f>
        <v>12:19:04</v>
      </c>
    </row>
    <row r="157" spans="1:17" ht="15" customHeight="1" x14ac:dyDescent="0.2">
      <c r="A157" s="63" t="s">
        <v>686</v>
      </c>
      <c r="B157" s="63" t="s">
        <v>313</v>
      </c>
      <c r="C157" s="63" t="s">
        <v>295</v>
      </c>
      <c r="D157" s="63" t="s">
        <v>727</v>
      </c>
      <c r="E157" s="63" t="s">
        <v>688</v>
      </c>
      <c r="F157" s="63" t="s">
        <v>1199</v>
      </c>
      <c r="G157" s="63" t="s">
        <v>872</v>
      </c>
      <c r="H157" s="63" t="s">
        <v>691</v>
      </c>
      <c r="I157" s="63" t="s">
        <v>872</v>
      </c>
      <c r="J157" s="63" t="s">
        <v>1200</v>
      </c>
      <c r="K157" s="55">
        <f t="shared" ca="1" si="2"/>
        <v>1</v>
      </c>
      <c r="L157" s="56" t="str">
        <f ca="1">IF(K157&gt;0,"Composition "&amp;SUM(K$4:K157),"")</f>
        <v>Composition 26</v>
      </c>
      <c r="M157" s="55" cm="1">
        <f t="array" aca="1" ref="M157" ca="1">IF(K157=1,_xlfn.XLOOKUP(B157,OFFSET(IN_Zugliste!$A$4,0,0,IN_Zugliste!$A$2,1),OFFSET(IN_Zugliste!$K$4,0,0,IN_Zugliste!$A$2,1),0),0)+_xlfn.XLOOKUP(C157,OFFSET(IN_Zugliste!$A$4,0,0,IN_Zugliste!$A$2,1),OFFSET(IN_Zugliste!$K$4,0,0,IN_Zugliste!$A$2,1),0)</f>
        <v>138314</v>
      </c>
      <c r="N157" s="55" t="str" cm="1">
        <f t="array" aca="1" ref="N157" ca="1">IF(K157=1,_xlfn.XLOOKUP(B157,OFFSET(IN_Zugliste!$A$4,0,0,IN_Zugliste!$A$2,1),OFFSET(IN_Zugliste!$D$4,0,0,IN_Zugliste!$A$2,1),""),"")</f>
        <v>146-3.2</v>
      </c>
      <c r="O157" s="55" t="str" cm="1">
        <f t="array" aca="1" ref="O157" ca="1">IF(L157&lt;&gt;"",L157,_xlfn.XLOOKUP(B157,OFFSET($C$4,0,0,$A$2,1),OFFSET($O$4,0,0,$A$2,1)))</f>
        <v>Composition 26</v>
      </c>
      <c r="P157" s="55" cm="1">
        <f t="array" aca="1" ref="P157" ca="1">MATCH(J157, _xlfn._xlws.FILTER($J$4:$J$430,$O$4:$O$430=O157), 0)+1</f>
        <v>2</v>
      </c>
      <c r="Q157" s="63" t="str">
        <f>_xlfn.XLOOKUP(B157, IN_Zugliste!A:A, IN_Zugliste!M:M, "")</f>
        <v>05:35:33</v>
      </c>
    </row>
    <row r="158" spans="1:17" ht="15" customHeight="1" x14ac:dyDescent="0.2">
      <c r="A158" s="63" t="s">
        <v>686</v>
      </c>
      <c r="B158" s="63" t="s">
        <v>295</v>
      </c>
      <c r="C158" s="63" t="s">
        <v>308</v>
      </c>
      <c r="D158" s="63" t="s">
        <v>1080</v>
      </c>
      <c r="E158" s="63" t="s">
        <v>688</v>
      </c>
      <c r="F158" s="63" t="s">
        <v>1201</v>
      </c>
      <c r="G158" s="63" t="s">
        <v>1202</v>
      </c>
      <c r="H158" s="63" t="s">
        <v>691</v>
      </c>
      <c r="I158" s="63" t="s">
        <v>1202</v>
      </c>
      <c r="J158" s="63" t="s">
        <v>736</v>
      </c>
      <c r="K158" s="55">
        <f t="shared" ca="1" si="2"/>
        <v>0</v>
      </c>
      <c r="L158" s="56" t="str">
        <f ca="1">IF(K158&gt;0,"Composition "&amp;SUM(K$4:K158),"")</f>
        <v/>
      </c>
      <c r="M158" s="55" cm="1">
        <f t="array" aca="1" ref="M158" ca="1">IF(K158=1,_xlfn.XLOOKUP(B158,OFFSET(IN_Zugliste!$A$4,0,0,IN_Zugliste!$A$2,1),OFFSET(IN_Zugliste!$K$4,0,0,IN_Zugliste!$A$2,1),0),0)+_xlfn.XLOOKUP(C158,OFFSET(IN_Zugliste!$A$4,0,0,IN_Zugliste!$A$2,1),OFFSET(IN_Zugliste!$K$4,0,0,IN_Zugliste!$A$2,1),0)</f>
        <v>75928</v>
      </c>
      <c r="N158" s="55" t="str" cm="1">
        <f t="array" aca="1" ref="N158" ca="1">IF(K158=1,_xlfn.XLOOKUP(B158,OFFSET(IN_Zugliste!$A$4,0,0,IN_Zugliste!$A$2,1),OFFSET(IN_Zugliste!$D$4,0,0,IN_Zugliste!$A$2,1),""),"")</f>
        <v/>
      </c>
      <c r="O158" s="55" t="str" cm="1">
        <f t="array" aca="1" ref="O158" ca="1">IF(L158&lt;&gt;"",L158,_xlfn.XLOOKUP(B158,OFFSET($C$4,0,0,$A$2,1),OFFSET($O$4,0,0,$A$2,1)))</f>
        <v>Composition 26</v>
      </c>
      <c r="P158" s="55" cm="1">
        <f t="array" aca="1" ref="P158" ca="1">MATCH(J158, _xlfn._xlws.FILTER($J$4:$J$430,$O$4:$O$430=O158), 0)+1</f>
        <v>3</v>
      </c>
      <c r="Q158" s="63" t="str">
        <f>_xlfn.XLOOKUP(B158, IN_Zugliste!A:A, IN_Zugliste!M:M, "")</f>
        <v>07:03:46</v>
      </c>
    </row>
    <row r="159" spans="1:17" ht="15" customHeight="1" x14ac:dyDescent="0.2">
      <c r="A159" s="63" t="s">
        <v>686</v>
      </c>
      <c r="B159" s="63" t="s">
        <v>308</v>
      </c>
      <c r="C159" s="63" t="s">
        <v>331</v>
      </c>
      <c r="D159" s="63" t="s">
        <v>727</v>
      </c>
      <c r="E159" s="63" t="s">
        <v>688</v>
      </c>
      <c r="F159" s="63" t="s">
        <v>1203</v>
      </c>
      <c r="G159" s="63" t="s">
        <v>1204</v>
      </c>
      <c r="H159" s="63" t="s">
        <v>691</v>
      </c>
      <c r="I159" s="63" t="s">
        <v>1204</v>
      </c>
      <c r="J159" s="63" t="s">
        <v>1205</v>
      </c>
      <c r="K159" s="55">
        <f t="shared" ca="1" si="2"/>
        <v>0</v>
      </c>
      <c r="L159" s="56" t="str">
        <f ca="1">IF(K159&gt;0,"Composition "&amp;SUM(K$4:K159),"")</f>
        <v/>
      </c>
      <c r="M159" s="55" cm="1">
        <f t="array" aca="1" ref="M159" ca="1">IF(K159=1,_xlfn.XLOOKUP(B159,OFFSET(IN_Zugliste!$A$4,0,0,IN_Zugliste!$A$2,1),OFFSET(IN_Zugliste!$K$4,0,0,IN_Zugliste!$A$2,1),0),0)+_xlfn.XLOOKUP(C159,OFFSET(IN_Zugliste!$A$4,0,0,IN_Zugliste!$A$2,1),OFFSET(IN_Zugliste!$K$4,0,0,IN_Zugliste!$A$2,1),0)</f>
        <v>62238</v>
      </c>
      <c r="N159" s="55" t="str" cm="1">
        <f t="array" aca="1" ref="N159" ca="1">IF(K159=1,_xlfn.XLOOKUP(B159,OFFSET(IN_Zugliste!$A$4,0,0,IN_Zugliste!$A$2,1),OFFSET(IN_Zugliste!$D$4,0,0,IN_Zugliste!$A$2,1),""),"")</f>
        <v/>
      </c>
      <c r="O159" s="55" t="str" cm="1">
        <f t="array" aca="1" ref="O159" ca="1">IF(L159&lt;&gt;"",L159,_xlfn.XLOOKUP(B159,OFFSET($C$4,0,0,$A$2,1),OFFSET($O$4,0,0,$A$2,1)))</f>
        <v>Composition 26</v>
      </c>
      <c r="P159" s="55" cm="1">
        <f t="array" aca="1" ref="P159" ca="1">MATCH(J159, _xlfn._xlws.FILTER($J$4:$J$430,$O$4:$O$430=O159), 0)+1</f>
        <v>4</v>
      </c>
      <c r="Q159" s="63" t="str">
        <f>_xlfn.XLOOKUP(B159, IN_Zugliste!A:A, IN_Zugliste!M:M, "")</f>
        <v>08:48:18</v>
      </c>
    </row>
    <row r="160" spans="1:17" ht="15" customHeight="1" x14ac:dyDescent="0.2">
      <c r="A160" s="63" t="s">
        <v>686</v>
      </c>
      <c r="B160" s="63" t="s">
        <v>331</v>
      </c>
      <c r="C160" s="63" t="s">
        <v>388</v>
      </c>
      <c r="D160" s="63" t="s">
        <v>1064</v>
      </c>
      <c r="E160" s="63" t="s">
        <v>688</v>
      </c>
      <c r="F160" s="63" t="s">
        <v>1206</v>
      </c>
      <c r="G160" s="63" t="s">
        <v>1207</v>
      </c>
      <c r="H160" s="63" t="s">
        <v>691</v>
      </c>
      <c r="I160" s="63" t="s">
        <v>1207</v>
      </c>
      <c r="J160" s="63" t="s">
        <v>1208</v>
      </c>
      <c r="K160" s="55">
        <f t="shared" ca="1" si="2"/>
        <v>0</v>
      </c>
      <c r="L160" s="56" t="str">
        <f ca="1">IF(K160&gt;0,"Composition "&amp;SUM(K$4:K160),"")</f>
        <v/>
      </c>
      <c r="M160" s="55" cm="1">
        <f t="array" aca="1" ref="M160" ca="1">IF(K160=1,_xlfn.XLOOKUP(B160,OFFSET(IN_Zugliste!$A$4,0,0,IN_Zugliste!$A$2,1),OFFSET(IN_Zugliste!$K$4,0,0,IN_Zugliste!$A$2,1),0),0)+_xlfn.XLOOKUP(C160,OFFSET(IN_Zugliste!$A$4,0,0,IN_Zugliste!$A$2,1),OFFSET(IN_Zugliste!$K$4,0,0,IN_Zugliste!$A$2,1),0)</f>
        <v>133789</v>
      </c>
      <c r="N160" s="55" t="str" cm="1">
        <f t="array" aca="1" ref="N160" ca="1">IF(K160=1,_xlfn.XLOOKUP(B160,OFFSET(IN_Zugliste!$A$4,0,0,IN_Zugliste!$A$2,1),OFFSET(IN_Zugliste!$D$4,0,0,IN_Zugliste!$A$2,1),""),"")</f>
        <v/>
      </c>
      <c r="O160" s="55" t="str" cm="1">
        <f t="array" aca="1" ref="O160" ca="1">IF(L160&lt;&gt;"",L160,_xlfn.XLOOKUP(B160,OFFSET($C$4,0,0,$A$2,1),OFFSET($O$4,0,0,$A$2,1)))</f>
        <v>Composition 26</v>
      </c>
      <c r="P160" s="55" cm="1">
        <f t="array" aca="1" ref="P160" ca="1">MATCH(J160, _xlfn._xlws.FILTER($J$4:$J$430,$O$4:$O$430=O160), 0)+1</f>
        <v>5</v>
      </c>
      <c r="Q160" s="63" t="str">
        <f>_xlfn.XLOOKUP(B160, IN_Zugliste!A:A, IN_Zugliste!M:M, "")</f>
        <v>10:36:59</v>
      </c>
    </row>
    <row r="161" spans="1:17" ht="15" customHeight="1" x14ac:dyDescent="0.2">
      <c r="A161" s="63" t="s">
        <v>686</v>
      </c>
      <c r="B161" s="63" t="s">
        <v>388</v>
      </c>
      <c r="C161" s="63" t="s">
        <v>392</v>
      </c>
      <c r="D161" s="63" t="s">
        <v>1068</v>
      </c>
      <c r="E161" s="63" t="s">
        <v>688</v>
      </c>
      <c r="F161" s="63" t="s">
        <v>1209</v>
      </c>
      <c r="G161" s="63" t="s">
        <v>1210</v>
      </c>
      <c r="H161" s="63" t="s">
        <v>691</v>
      </c>
      <c r="I161" s="63" t="s">
        <v>1211</v>
      </c>
      <c r="J161" s="63" t="s">
        <v>1212</v>
      </c>
      <c r="K161" s="55">
        <f t="shared" ca="1" si="2"/>
        <v>0</v>
      </c>
      <c r="L161" s="56" t="str">
        <f ca="1">IF(K161&gt;0,"Composition "&amp;SUM(K$4:K161),"")</f>
        <v/>
      </c>
      <c r="M161" s="55" cm="1">
        <f t="array" aca="1" ref="M161" ca="1">IF(K161=1,_xlfn.XLOOKUP(B161,OFFSET(IN_Zugliste!$A$4,0,0,IN_Zugliste!$A$2,1),OFFSET(IN_Zugliste!$K$4,0,0,IN_Zugliste!$A$2,1),0),0)+_xlfn.XLOOKUP(C161,OFFSET(IN_Zugliste!$A$4,0,0,IN_Zugliste!$A$2,1),OFFSET(IN_Zugliste!$K$4,0,0,IN_Zugliste!$A$2,1),0)</f>
        <v>133827</v>
      </c>
      <c r="N161" s="55" t="str" cm="1">
        <f t="array" aca="1" ref="N161" ca="1">IF(K161=1,_xlfn.XLOOKUP(B161,OFFSET(IN_Zugliste!$A$4,0,0,IN_Zugliste!$A$2,1),OFFSET(IN_Zugliste!$D$4,0,0,IN_Zugliste!$A$2,1),""),"")</f>
        <v/>
      </c>
      <c r="O161" s="55" t="str" cm="1">
        <f t="array" aca="1" ref="O161" ca="1">IF(L161&lt;&gt;"",L161,_xlfn.XLOOKUP(B161,OFFSET($C$4,0,0,$A$2,1),OFFSET($O$4,0,0,$A$2,1)))</f>
        <v>Composition 26</v>
      </c>
      <c r="P161" s="55" cm="1">
        <f t="array" aca="1" ref="P161" ca="1">MATCH(J161, _xlfn._xlws.FILTER($J$4:$J$430,$O$4:$O$430=O161), 0)+1</f>
        <v>6</v>
      </c>
      <c r="Q161" s="63" t="str">
        <f>_xlfn.XLOOKUP(B161, IN_Zugliste!A:A, IN_Zugliste!M:M, "")</f>
        <v>12:02:08</v>
      </c>
    </row>
    <row r="162" spans="1:17" ht="15" customHeight="1" x14ac:dyDescent="0.2">
      <c r="A162" s="63" t="s">
        <v>686</v>
      </c>
      <c r="B162" s="63" t="s">
        <v>324</v>
      </c>
      <c r="C162" s="63" t="s">
        <v>383</v>
      </c>
      <c r="D162" s="63" t="s">
        <v>1064</v>
      </c>
      <c r="E162" s="63" t="s">
        <v>688</v>
      </c>
      <c r="F162" s="63" t="s">
        <v>1213</v>
      </c>
      <c r="G162" s="63" t="s">
        <v>1214</v>
      </c>
      <c r="H162" s="63" t="s">
        <v>691</v>
      </c>
      <c r="I162" s="63" t="s">
        <v>1215</v>
      </c>
      <c r="J162" s="63" t="s">
        <v>1216</v>
      </c>
      <c r="K162" s="55">
        <f t="shared" ca="1" si="2"/>
        <v>1</v>
      </c>
      <c r="L162" s="56" t="str">
        <f ca="1">IF(K162&gt;0,"Composition "&amp;SUM(K$4:K162),"")</f>
        <v>Composition 27</v>
      </c>
      <c r="M162" s="55" cm="1">
        <f t="array" aca="1" ref="M162" ca="1">IF(K162=1,_xlfn.XLOOKUP(B162,OFFSET(IN_Zugliste!$A$4,0,0,IN_Zugliste!$A$2,1),OFFSET(IN_Zugliste!$K$4,0,0,IN_Zugliste!$A$2,1),0),0)+_xlfn.XLOOKUP(C162,OFFSET(IN_Zugliste!$A$4,0,0,IN_Zugliste!$A$2,1),OFFSET(IN_Zugliste!$K$4,0,0,IN_Zugliste!$A$2,1),0)</f>
        <v>196027</v>
      </c>
      <c r="N162" s="55" t="str" cm="1">
        <f t="array" aca="1" ref="N162" ca="1">IF(K162=1,_xlfn.XLOOKUP(B162,OFFSET(IN_Zugliste!$A$4,0,0,IN_Zugliste!$A$2,1),OFFSET(IN_Zugliste!$D$4,0,0,IN_Zugliste!$A$2,1),""),"")</f>
        <v>146-3.2</v>
      </c>
      <c r="O162" s="55" t="str" cm="1">
        <f t="array" aca="1" ref="O162" ca="1">IF(L162&lt;&gt;"",L162,_xlfn.XLOOKUP(B162,OFFSET($C$4,0,0,$A$2,1),OFFSET($O$4,0,0,$A$2,1)))</f>
        <v>Composition 27</v>
      </c>
      <c r="P162" s="55" cm="1">
        <f t="array" aca="1" ref="P162" ca="1">MATCH(J162, _xlfn._xlws.FILTER($J$4:$J$430,$O$4:$O$430=O162), 0)+1</f>
        <v>2</v>
      </c>
      <c r="Q162" s="63" t="str">
        <f>_xlfn.XLOOKUP(B162, IN_Zugliste!A:A, IN_Zugliste!M:M, "")</f>
        <v>05:36:59</v>
      </c>
    </row>
    <row r="163" spans="1:17" ht="15" customHeight="1" x14ac:dyDescent="0.2">
      <c r="A163" s="63" t="s">
        <v>686</v>
      </c>
      <c r="B163" s="63" t="s">
        <v>383</v>
      </c>
      <c r="C163" s="63" t="s">
        <v>396</v>
      </c>
      <c r="D163" s="63" t="s">
        <v>1068</v>
      </c>
      <c r="E163" s="63" t="s">
        <v>688</v>
      </c>
      <c r="F163" s="63" t="s">
        <v>1217</v>
      </c>
      <c r="G163" s="63" t="s">
        <v>1218</v>
      </c>
      <c r="H163" s="63" t="s">
        <v>691</v>
      </c>
      <c r="I163" s="63" t="s">
        <v>1219</v>
      </c>
      <c r="J163" s="63" t="s">
        <v>1220</v>
      </c>
      <c r="K163" s="55">
        <f t="shared" ca="1" si="2"/>
        <v>0</v>
      </c>
      <c r="L163" s="56" t="str">
        <f ca="1">IF(K163&gt;0,"Composition "&amp;SUM(K$4:K163),"")</f>
        <v/>
      </c>
      <c r="M163" s="55" cm="1">
        <f t="array" aca="1" ref="M163" ca="1">IF(K163=1,_xlfn.XLOOKUP(B163,OFFSET(IN_Zugliste!$A$4,0,0,IN_Zugliste!$A$2,1),OFFSET(IN_Zugliste!$K$4,0,0,IN_Zugliste!$A$2,1),0),0)+_xlfn.XLOOKUP(C163,OFFSET(IN_Zugliste!$A$4,0,0,IN_Zugliste!$A$2,1),OFFSET(IN_Zugliste!$K$4,0,0,IN_Zugliste!$A$2,1),0)</f>
        <v>133827</v>
      </c>
      <c r="N163" s="55" t="str" cm="1">
        <f t="array" aca="1" ref="N163" ca="1">IF(K163=1,_xlfn.XLOOKUP(B163,OFFSET(IN_Zugliste!$A$4,0,0,IN_Zugliste!$A$2,1),OFFSET(IN_Zugliste!$D$4,0,0,IN_Zugliste!$A$2,1),""),"")</f>
        <v/>
      </c>
      <c r="O163" s="55" t="str" cm="1">
        <f t="array" aca="1" ref="O163" ca="1">IF(L163&lt;&gt;"",L163,_xlfn.XLOOKUP(B163,OFFSET($C$4,0,0,$A$2,1),OFFSET($O$4,0,0,$A$2,1)))</f>
        <v>Composition 27</v>
      </c>
      <c r="P163" s="55" cm="1">
        <f t="array" aca="1" ref="P163" ca="1">MATCH(J163, _xlfn._xlws.FILTER($J$4:$J$430,$O$4:$O$430=O163), 0)+1</f>
        <v>3</v>
      </c>
      <c r="Q163" s="63" t="str">
        <f>_xlfn.XLOOKUP(B163, IN_Zugliste!A:A, IN_Zugliste!M:M, "")</f>
        <v>07:02:08</v>
      </c>
    </row>
    <row r="164" spans="1:17" ht="15" customHeight="1" x14ac:dyDescent="0.2">
      <c r="A164" s="63" t="s">
        <v>686</v>
      </c>
      <c r="B164" s="63" t="s">
        <v>396</v>
      </c>
      <c r="C164" s="63" t="s">
        <v>321</v>
      </c>
      <c r="D164" s="63" t="s">
        <v>1064</v>
      </c>
      <c r="E164" s="63" t="s">
        <v>688</v>
      </c>
      <c r="F164" s="63" t="s">
        <v>1221</v>
      </c>
      <c r="G164" s="63" t="s">
        <v>1222</v>
      </c>
      <c r="H164" s="63" t="s">
        <v>691</v>
      </c>
      <c r="I164" s="63" t="s">
        <v>1223</v>
      </c>
      <c r="J164" s="63" t="s">
        <v>1224</v>
      </c>
      <c r="K164" s="55">
        <f t="shared" ca="1" si="2"/>
        <v>0</v>
      </c>
      <c r="L164" s="56" t="str">
        <f ca="1">IF(K164&gt;0,"Composition "&amp;SUM(K$4:K164),"")</f>
        <v/>
      </c>
      <c r="M164" s="55" cm="1">
        <f t="array" aca="1" ref="M164" ca="1">IF(K164=1,_xlfn.XLOOKUP(B164,OFFSET(IN_Zugliste!$A$4,0,0,IN_Zugliste!$A$2,1),OFFSET(IN_Zugliste!$K$4,0,0,IN_Zugliste!$A$2,1),0),0)+_xlfn.XLOOKUP(C164,OFFSET(IN_Zugliste!$A$4,0,0,IN_Zugliste!$A$2,1),OFFSET(IN_Zugliste!$K$4,0,0,IN_Zugliste!$A$2,1),0)</f>
        <v>62240</v>
      </c>
      <c r="N164" s="55" t="str" cm="1">
        <f t="array" aca="1" ref="N164" ca="1">IF(K164=1,_xlfn.XLOOKUP(B164,OFFSET(IN_Zugliste!$A$4,0,0,IN_Zugliste!$A$2,1),OFFSET(IN_Zugliste!$D$4,0,0,IN_Zugliste!$A$2,1),""),"")</f>
        <v/>
      </c>
      <c r="O164" s="55" t="str" cm="1">
        <f t="array" aca="1" ref="O164" ca="1">IF(L164&lt;&gt;"",L164,_xlfn.XLOOKUP(B164,OFFSET($C$4,0,0,$A$2,1),OFFSET($O$4,0,0,$A$2,1)))</f>
        <v>Composition 27</v>
      </c>
      <c r="P164" s="55" cm="1">
        <f t="array" aca="1" ref="P164" ca="1">MATCH(J164, _xlfn._xlws.FILTER($J$4:$J$430,$O$4:$O$430=O164), 0)+1</f>
        <v>4</v>
      </c>
      <c r="Q164" s="63" t="str">
        <f>_xlfn.XLOOKUP(B164, IN_Zugliste!A:A, IN_Zugliste!M:M, "")</f>
        <v>09:23:12</v>
      </c>
    </row>
    <row r="165" spans="1:17" ht="15" customHeight="1" x14ac:dyDescent="0.2">
      <c r="A165" s="63" t="s">
        <v>686</v>
      </c>
      <c r="B165" s="63" t="s">
        <v>321</v>
      </c>
      <c r="C165" s="63" t="s">
        <v>301</v>
      </c>
      <c r="D165" s="63" t="s">
        <v>727</v>
      </c>
      <c r="E165" s="63" t="s">
        <v>688</v>
      </c>
      <c r="F165" s="63" t="s">
        <v>1225</v>
      </c>
      <c r="G165" s="63" t="s">
        <v>1226</v>
      </c>
      <c r="H165" s="63" t="s">
        <v>691</v>
      </c>
      <c r="I165" s="63" t="s">
        <v>1227</v>
      </c>
      <c r="J165" s="63" t="s">
        <v>1228</v>
      </c>
      <c r="K165" s="55">
        <f t="shared" ca="1" si="2"/>
        <v>0</v>
      </c>
      <c r="L165" s="56" t="str">
        <f ca="1">IF(K165&gt;0,"Composition "&amp;SUM(K$4:K165),"")</f>
        <v/>
      </c>
      <c r="M165" s="55" cm="1">
        <f t="array" aca="1" ref="M165" ca="1">IF(K165=1,_xlfn.XLOOKUP(B165,OFFSET(IN_Zugliste!$A$4,0,0,IN_Zugliste!$A$2,1),OFFSET(IN_Zugliste!$K$4,0,0,IN_Zugliste!$A$2,1),0),0)+_xlfn.XLOOKUP(C165,OFFSET(IN_Zugliste!$A$4,0,0,IN_Zugliste!$A$2,1),OFFSET(IN_Zugliste!$K$4,0,0,IN_Zugliste!$A$2,1),0)</f>
        <v>76074</v>
      </c>
      <c r="N165" s="55" t="str" cm="1">
        <f t="array" aca="1" ref="N165" ca="1">IF(K165=1,_xlfn.XLOOKUP(B165,OFFSET(IN_Zugliste!$A$4,0,0,IN_Zugliste!$A$2,1),OFFSET(IN_Zugliste!$D$4,0,0,IN_Zugliste!$A$2,1),""),"")</f>
        <v/>
      </c>
      <c r="O165" s="55" t="str" cm="1">
        <f t="array" aca="1" ref="O165" ca="1">IF(L165&lt;&gt;"",L165,_xlfn.XLOOKUP(B165,OFFSET($C$4,0,0,$A$2,1),OFFSET($O$4,0,0,$A$2,1)))</f>
        <v>Composition 27</v>
      </c>
      <c r="P165" s="55" cm="1">
        <f t="array" aca="1" ref="P165" ca="1">MATCH(J165, _xlfn._xlws.FILTER($J$4:$J$430,$O$4:$O$430=O165), 0)+1</f>
        <v>5</v>
      </c>
      <c r="Q165" s="63" t="str">
        <f>_xlfn.XLOOKUP(B165, IN_Zugliste!A:A, IN_Zugliste!M:M, "")</f>
        <v>11:35:33</v>
      </c>
    </row>
    <row r="166" spans="1:17" ht="15" customHeight="1" x14ac:dyDescent="0.2">
      <c r="A166" s="63" t="s">
        <v>686</v>
      </c>
      <c r="B166" s="63" t="s">
        <v>504</v>
      </c>
      <c r="C166" s="63" t="s">
        <v>471</v>
      </c>
      <c r="D166" s="63" t="s">
        <v>871</v>
      </c>
      <c r="E166" s="63" t="s">
        <v>688</v>
      </c>
      <c r="F166" s="63" t="s">
        <v>1229</v>
      </c>
      <c r="G166" s="63" t="s">
        <v>1230</v>
      </c>
      <c r="H166" s="63" t="s">
        <v>817</v>
      </c>
      <c r="I166" s="63" t="s">
        <v>1230</v>
      </c>
      <c r="J166" s="63" t="s">
        <v>1231</v>
      </c>
      <c r="K166" s="55">
        <f t="shared" ca="1" si="2"/>
        <v>1</v>
      </c>
      <c r="L166" s="56" t="str">
        <f ca="1">IF(K166&gt;0,"Composition "&amp;SUM(K$4:K166),"")</f>
        <v>Composition 28</v>
      </c>
      <c r="M166" s="55" cm="1">
        <f t="array" aca="1" ref="M166" ca="1">IF(K166=1,_xlfn.XLOOKUP(B166,OFFSET(IN_Zugliste!$A$4,0,0,IN_Zugliste!$A$2,1),OFFSET(IN_Zugliste!$K$4,0,0,IN_Zugliste!$A$2,1),0),0)+_xlfn.XLOOKUP(C166,OFFSET(IN_Zugliste!$A$4,0,0,IN_Zugliste!$A$2,1),OFFSET(IN_Zugliste!$K$4,0,0,IN_Zugliste!$A$2,1),0)</f>
        <v>114768</v>
      </c>
      <c r="N166" s="55" t="str" cm="1">
        <f t="array" aca="1" ref="N166" ca="1">IF(K166=1,_xlfn.XLOOKUP(B166,OFFSET(IN_Zugliste!$A$4,0,0,IN_Zugliste!$A$2,1),OFFSET(IN_Zugliste!$D$4,0,0,IN_Zugliste!$A$2,1),""),"")</f>
        <v>101-3.0</v>
      </c>
      <c r="O166" s="55" t="str" cm="1">
        <f t="array" aca="1" ref="O166" ca="1">IF(L166&lt;&gt;"",L166,_xlfn.XLOOKUP(B166,OFFSET($C$4,0,0,$A$2,1),OFFSET($O$4,0,0,$A$2,1)))</f>
        <v>Composition 28</v>
      </c>
      <c r="P166" s="55" cm="1">
        <f t="array" aca="1" ref="P166" ca="1">MATCH(J166, _xlfn._xlws.FILTER($J$4:$J$430,$O$4:$O$430=O166), 0)+1</f>
        <v>2</v>
      </c>
      <c r="Q166" s="63" t="str">
        <f>_xlfn.XLOOKUP(B166, IN_Zugliste!A:A, IN_Zugliste!M:M, "")</f>
        <v>05:32:48</v>
      </c>
    </row>
    <row r="167" spans="1:17" ht="15" customHeight="1" x14ac:dyDescent="0.2">
      <c r="A167" s="63" t="s">
        <v>686</v>
      </c>
      <c r="B167" s="63" t="s">
        <v>471</v>
      </c>
      <c r="C167" s="63" t="s">
        <v>483</v>
      </c>
      <c r="D167" s="63" t="s">
        <v>867</v>
      </c>
      <c r="E167" s="63" t="s">
        <v>688</v>
      </c>
      <c r="F167" s="63" t="s">
        <v>1232</v>
      </c>
      <c r="G167" s="63" t="s">
        <v>1233</v>
      </c>
      <c r="H167" s="63" t="s">
        <v>691</v>
      </c>
      <c r="I167" s="63" t="s">
        <v>1233</v>
      </c>
      <c r="J167" s="63" t="s">
        <v>1234</v>
      </c>
      <c r="K167" s="55">
        <f t="shared" ca="1" si="2"/>
        <v>0</v>
      </c>
      <c r="L167" s="56" t="str">
        <f ca="1">IF(K167&gt;0,"Composition "&amp;SUM(K$4:K167),"")</f>
        <v/>
      </c>
      <c r="M167" s="55" cm="1">
        <f t="array" aca="1" ref="M167" ca="1">IF(K167=1,_xlfn.XLOOKUP(B167,OFFSET(IN_Zugliste!$A$4,0,0,IN_Zugliste!$A$2,1),OFFSET(IN_Zugliste!$K$4,0,0,IN_Zugliste!$A$2,1),0),0)+_xlfn.XLOOKUP(C167,OFFSET(IN_Zugliste!$A$4,0,0,IN_Zugliste!$A$2,1),OFFSET(IN_Zugliste!$K$4,0,0,IN_Zugliste!$A$2,1),0)</f>
        <v>49508</v>
      </c>
      <c r="N167" s="55" t="str" cm="1">
        <f t="array" aca="1" ref="N167" ca="1">IF(K167=1,_xlfn.XLOOKUP(B167,OFFSET(IN_Zugliste!$A$4,0,0,IN_Zugliste!$A$2,1),OFFSET(IN_Zugliste!$D$4,0,0,IN_Zugliste!$A$2,1),""),"")</f>
        <v/>
      </c>
      <c r="O167" s="55" t="str" cm="1">
        <f t="array" aca="1" ref="O167" ca="1">IF(L167&lt;&gt;"",L167,_xlfn.XLOOKUP(B167,OFFSET($C$4,0,0,$A$2,1),OFFSET($O$4,0,0,$A$2,1)))</f>
        <v>Composition 28</v>
      </c>
      <c r="P167" s="55" cm="1">
        <f t="array" aca="1" ref="P167" ca="1">MATCH(J167, _xlfn._xlws.FILTER($J$4:$J$430,$O$4:$O$430=O167), 0)+1</f>
        <v>3</v>
      </c>
      <c r="Q167" s="63" t="str">
        <f>_xlfn.XLOOKUP(B167, IN_Zugliste!A:A, IN_Zugliste!M:M, "")</f>
        <v>07:00:27</v>
      </c>
    </row>
    <row r="168" spans="1:17" ht="15" customHeight="1" x14ac:dyDescent="0.2">
      <c r="A168" s="63" t="s">
        <v>686</v>
      </c>
      <c r="B168" s="63" t="s">
        <v>483</v>
      </c>
      <c r="C168" s="63" t="s">
        <v>499</v>
      </c>
      <c r="D168" s="63" t="s">
        <v>871</v>
      </c>
      <c r="E168" s="63" t="s">
        <v>688</v>
      </c>
      <c r="F168" s="63" t="s">
        <v>1235</v>
      </c>
      <c r="G168" s="63" t="s">
        <v>1236</v>
      </c>
      <c r="H168" s="63" t="s">
        <v>817</v>
      </c>
      <c r="I168" s="63" t="s">
        <v>1236</v>
      </c>
      <c r="J168" s="63" t="s">
        <v>1237</v>
      </c>
      <c r="K168" s="55">
        <f t="shared" ca="1" si="2"/>
        <v>0</v>
      </c>
      <c r="L168" s="56" t="str">
        <f ca="1">IF(K168&gt;0,"Composition "&amp;SUM(K$4:K168),"")</f>
        <v/>
      </c>
      <c r="M168" s="55" cm="1">
        <f t="array" aca="1" ref="M168" ca="1">IF(K168=1,_xlfn.XLOOKUP(B168,OFFSET(IN_Zugliste!$A$4,0,0,IN_Zugliste!$A$2,1),OFFSET(IN_Zugliste!$K$4,0,0,IN_Zugliste!$A$2,1),0),0)+_xlfn.XLOOKUP(C168,OFFSET(IN_Zugliste!$A$4,0,0,IN_Zugliste!$A$2,1),OFFSET(IN_Zugliste!$K$4,0,0,IN_Zugliste!$A$2,1),0)</f>
        <v>65256</v>
      </c>
      <c r="N168" s="55" t="str" cm="1">
        <f t="array" aca="1" ref="N168" ca="1">IF(K168=1,_xlfn.XLOOKUP(B168,OFFSET(IN_Zugliste!$A$4,0,0,IN_Zugliste!$A$2,1),OFFSET(IN_Zugliste!$D$4,0,0,IN_Zugliste!$A$2,1),""),"")</f>
        <v/>
      </c>
      <c r="O168" s="55" t="str" cm="1">
        <f t="array" aca="1" ref="O168" ca="1">IF(L168&lt;&gt;"",L168,_xlfn.XLOOKUP(B168,OFFSET($C$4,0,0,$A$2,1),OFFSET($O$4,0,0,$A$2,1)))</f>
        <v>Composition 28</v>
      </c>
      <c r="P168" s="55" cm="1">
        <f t="array" aca="1" ref="P168" ca="1">MATCH(J168, _xlfn._xlws.FILTER($J$4:$J$430,$O$4:$O$430=O168), 0)+1</f>
        <v>4</v>
      </c>
      <c r="Q168" s="63" t="str">
        <f>_xlfn.XLOOKUP(B168, IN_Zugliste!A:A, IN_Zugliste!M:M, "")</f>
        <v>08:06:06</v>
      </c>
    </row>
    <row r="169" spans="1:17" ht="15" customHeight="1" x14ac:dyDescent="0.2">
      <c r="A169" s="63" t="s">
        <v>686</v>
      </c>
      <c r="B169" s="63" t="s">
        <v>499</v>
      </c>
      <c r="C169" s="63" t="s">
        <v>511</v>
      </c>
      <c r="D169" s="63" t="s">
        <v>875</v>
      </c>
      <c r="E169" s="63" t="s">
        <v>688</v>
      </c>
      <c r="F169" s="63" t="s">
        <v>1238</v>
      </c>
      <c r="G169" s="63" t="s">
        <v>1239</v>
      </c>
      <c r="H169" s="63" t="s">
        <v>691</v>
      </c>
      <c r="I169" s="63" t="s">
        <v>1239</v>
      </c>
      <c r="J169" s="63" t="s">
        <v>1240</v>
      </c>
      <c r="K169" s="55">
        <f t="shared" ca="1" si="2"/>
        <v>0</v>
      </c>
      <c r="L169" s="56" t="str">
        <f ca="1">IF(K169&gt;0,"Composition "&amp;SUM(K$4:K169),"")</f>
        <v/>
      </c>
      <c r="M169" s="55" cm="1">
        <f t="array" aca="1" ref="M169" ca="1">IF(K169=1,_xlfn.XLOOKUP(B169,OFFSET(IN_Zugliste!$A$4,0,0,IN_Zugliste!$A$2,1),OFFSET(IN_Zugliste!$K$4,0,0,IN_Zugliste!$A$2,1),0),0)+_xlfn.XLOOKUP(C169,OFFSET(IN_Zugliste!$A$4,0,0,IN_Zugliste!$A$2,1),OFFSET(IN_Zugliste!$K$4,0,0,IN_Zugliste!$A$2,1),0)</f>
        <v>65091</v>
      </c>
      <c r="N169" s="55" t="str" cm="1">
        <f t="array" aca="1" ref="N169" ca="1">IF(K169=1,_xlfn.XLOOKUP(B169,OFFSET(IN_Zugliste!$A$4,0,0,IN_Zugliste!$A$2,1),OFFSET(IN_Zugliste!$D$4,0,0,IN_Zugliste!$A$2,1),""),"")</f>
        <v/>
      </c>
      <c r="O169" s="55" t="str" cm="1">
        <f t="array" aca="1" ref="O169" ca="1">IF(L169&lt;&gt;"",L169,_xlfn.XLOOKUP(B169,OFFSET($C$4,0,0,$A$2,1),OFFSET($O$4,0,0,$A$2,1)))</f>
        <v>Composition 28</v>
      </c>
      <c r="P169" s="55" cm="1">
        <f t="array" aca="1" ref="P169" ca="1">MATCH(J169, _xlfn._xlws.FILTER($J$4:$J$430,$O$4:$O$430=O169), 0)+1</f>
        <v>5</v>
      </c>
      <c r="Q169" s="63" t="str">
        <f>_xlfn.XLOOKUP(B169, IN_Zugliste!A:A, IN_Zugliste!M:M, "")</f>
        <v>09:09:13</v>
      </c>
    </row>
    <row r="170" spans="1:17" ht="15" customHeight="1" x14ac:dyDescent="0.2">
      <c r="A170" s="63" t="s">
        <v>686</v>
      </c>
      <c r="B170" s="63" t="s">
        <v>511</v>
      </c>
      <c r="C170" s="63" t="s">
        <v>476</v>
      </c>
      <c r="D170" s="63" t="s">
        <v>871</v>
      </c>
      <c r="E170" s="63" t="s">
        <v>688</v>
      </c>
      <c r="F170" s="63" t="s">
        <v>1241</v>
      </c>
      <c r="G170" s="63" t="s">
        <v>1242</v>
      </c>
      <c r="H170" s="63" t="s">
        <v>817</v>
      </c>
      <c r="I170" s="63" t="s">
        <v>1242</v>
      </c>
      <c r="J170" s="63" t="s">
        <v>1243</v>
      </c>
      <c r="K170" s="55">
        <f t="shared" ca="1" si="2"/>
        <v>0</v>
      </c>
      <c r="L170" s="56" t="str">
        <f ca="1">IF(K170&gt;0,"Composition "&amp;SUM(K$4:K170),"")</f>
        <v/>
      </c>
      <c r="M170" s="55" cm="1">
        <f t="array" aca="1" ref="M170" ca="1">IF(K170=1,_xlfn.XLOOKUP(B170,OFFSET(IN_Zugliste!$A$4,0,0,IN_Zugliste!$A$2,1),OFFSET(IN_Zugliste!$K$4,0,0,IN_Zugliste!$A$2,1),0),0)+_xlfn.XLOOKUP(C170,OFFSET(IN_Zugliste!$A$4,0,0,IN_Zugliste!$A$2,1),OFFSET(IN_Zugliste!$K$4,0,0,IN_Zugliste!$A$2,1),0)</f>
        <v>49677</v>
      </c>
      <c r="N170" s="55" t="str" cm="1">
        <f t="array" aca="1" ref="N170" ca="1">IF(K170=1,_xlfn.XLOOKUP(B170,OFFSET(IN_Zugliste!$A$4,0,0,IN_Zugliste!$A$2,1),OFFSET(IN_Zugliste!$D$4,0,0,IN_Zugliste!$A$2,1),""),"")</f>
        <v/>
      </c>
      <c r="O170" s="55" t="str" cm="1">
        <f t="array" aca="1" ref="O170" ca="1">IF(L170&lt;&gt;"",L170,_xlfn.XLOOKUP(B170,OFFSET($C$4,0,0,$A$2,1),OFFSET($O$4,0,0,$A$2,1)))</f>
        <v>Composition 28</v>
      </c>
      <c r="P170" s="55" cm="1">
        <f t="array" aca="1" ref="P170" ca="1">MATCH(J170, _xlfn._xlws.FILTER($J$4:$J$430,$O$4:$O$430=O170), 0)+1</f>
        <v>6</v>
      </c>
      <c r="Q170" s="63" t="str">
        <f>_xlfn.XLOOKUP(B170, IN_Zugliste!A:A, IN_Zugliste!M:M, "")</f>
        <v>10:32:48</v>
      </c>
    </row>
    <row r="171" spans="1:17" ht="15" customHeight="1" x14ac:dyDescent="0.2">
      <c r="A171" s="63" t="s">
        <v>686</v>
      </c>
      <c r="B171" s="63" t="s">
        <v>476</v>
      </c>
      <c r="C171" s="63" t="s">
        <v>488</v>
      </c>
      <c r="D171" s="63" t="s">
        <v>867</v>
      </c>
      <c r="E171" s="63" t="s">
        <v>688</v>
      </c>
      <c r="F171" s="63" t="s">
        <v>1244</v>
      </c>
      <c r="G171" s="63" t="s">
        <v>1245</v>
      </c>
      <c r="H171" s="63" t="s">
        <v>691</v>
      </c>
      <c r="I171" s="63" t="s">
        <v>1245</v>
      </c>
      <c r="J171" s="63" t="s">
        <v>1246</v>
      </c>
      <c r="K171" s="55">
        <f t="shared" ca="1" si="2"/>
        <v>0</v>
      </c>
      <c r="L171" s="56" t="str">
        <f ca="1">IF(K171&gt;0,"Composition "&amp;SUM(K$4:K171),"")</f>
        <v/>
      </c>
      <c r="M171" s="55" cm="1">
        <f t="array" aca="1" ref="M171" ca="1">IF(K171=1,_xlfn.XLOOKUP(B171,OFFSET(IN_Zugliste!$A$4,0,0,IN_Zugliste!$A$2,1),OFFSET(IN_Zugliste!$K$4,0,0,IN_Zugliste!$A$2,1),0),0)+_xlfn.XLOOKUP(C171,OFFSET(IN_Zugliste!$A$4,0,0,IN_Zugliste!$A$2,1),OFFSET(IN_Zugliste!$K$4,0,0,IN_Zugliste!$A$2,1),0)</f>
        <v>49508</v>
      </c>
      <c r="N171" s="55" t="str" cm="1">
        <f t="array" aca="1" ref="N171" ca="1">IF(K171=1,_xlfn.XLOOKUP(B171,OFFSET(IN_Zugliste!$A$4,0,0,IN_Zugliste!$A$2,1),OFFSET(IN_Zugliste!$D$4,0,0,IN_Zugliste!$A$2,1),""),"")</f>
        <v/>
      </c>
      <c r="O171" s="55" t="str" cm="1">
        <f t="array" aca="1" ref="O171" ca="1">IF(L171&lt;&gt;"",L171,_xlfn.XLOOKUP(B171,OFFSET($C$4,0,0,$A$2,1),OFFSET($O$4,0,0,$A$2,1)))</f>
        <v>Composition 28</v>
      </c>
      <c r="P171" s="55" cm="1">
        <f t="array" aca="1" ref="P171" ca="1">MATCH(J171, _xlfn._xlws.FILTER($J$4:$J$430,$O$4:$O$430=O171), 0)+1</f>
        <v>7</v>
      </c>
      <c r="Q171" s="63" t="str">
        <f>_xlfn.XLOOKUP(B171, IN_Zugliste!A:A, IN_Zugliste!M:M, "")</f>
        <v>12:00:27</v>
      </c>
    </row>
    <row r="172" spans="1:17" ht="15" customHeight="1" x14ac:dyDescent="0.2">
      <c r="A172" s="63" t="s">
        <v>686</v>
      </c>
      <c r="B172" s="63" t="s">
        <v>488</v>
      </c>
      <c r="C172" s="63" t="s">
        <v>495</v>
      </c>
      <c r="D172" s="63" t="s">
        <v>871</v>
      </c>
      <c r="E172" s="63" t="s">
        <v>688</v>
      </c>
      <c r="F172" s="63" t="s">
        <v>1078</v>
      </c>
      <c r="G172" s="63" t="s">
        <v>1247</v>
      </c>
      <c r="H172" s="63" t="s">
        <v>817</v>
      </c>
      <c r="I172" s="63" t="s">
        <v>1247</v>
      </c>
      <c r="J172" s="63" t="s">
        <v>1248</v>
      </c>
      <c r="K172" s="55">
        <f t="shared" ca="1" si="2"/>
        <v>0</v>
      </c>
      <c r="L172" s="56" t="str">
        <f ca="1">IF(K172&gt;0,"Composition "&amp;SUM(K$4:K172),"")</f>
        <v/>
      </c>
      <c r="M172" s="55" cm="1">
        <f t="array" aca="1" ref="M172" ca="1">IF(K172=1,_xlfn.XLOOKUP(B172,OFFSET(IN_Zugliste!$A$4,0,0,IN_Zugliste!$A$2,1),OFFSET(IN_Zugliste!$K$4,0,0,IN_Zugliste!$A$2,1),0),0)+_xlfn.XLOOKUP(C172,OFFSET(IN_Zugliste!$A$4,0,0,IN_Zugliste!$A$2,1),OFFSET(IN_Zugliste!$K$4,0,0,IN_Zugliste!$A$2,1),0)</f>
        <v>65256</v>
      </c>
      <c r="N172" s="55" t="str" cm="1">
        <f t="array" aca="1" ref="N172" ca="1">IF(K172=1,_xlfn.XLOOKUP(B172,OFFSET(IN_Zugliste!$A$4,0,0,IN_Zugliste!$A$2,1),OFFSET(IN_Zugliste!$D$4,0,0,IN_Zugliste!$A$2,1),""),"")</f>
        <v/>
      </c>
      <c r="O172" s="55" t="str" cm="1">
        <f t="array" aca="1" ref="O172" ca="1">IF(L172&lt;&gt;"",L172,_xlfn.XLOOKUP(B172,OFFSET($C$4,0,0,$A$2,1),OFFSET($O$4,0,0,$A$2,1)))</f>
        <v>Composition 28</v>
      </c>
      <c r="P172" s="55" cm="1">
        <f t="array" aca="1" ref="P172" ca="1">MATCH(J172, _xlfn._xlws.FILTER($J$4:$J$430,$O$4:$O$430=O172), 0)+1</f>
        <v>8</v>
      </c>
      <c r="Q172" s="63" t="str">
        <f>_xlfn.XLOOKUP(B172, IN_Zugliste!A:A, IN_Zugliste!M:M, "")</f>
        <v>13:06:06</v>
      </c>
    </row>
    <row r="173" spans="1:17" ht="15" customHeight="1" x14ac:dyDescent="0.2">
      <c r="A173" s="63" t="s">
        <v>686</v>
      </c>
      <c r="B173" s="63" t="s">
        <v>470</v>
      </c>
      <c r="C173" s="63" t="s">
        <v>482</v>
      </c>
      <c r="D173" s="63" t="s">
        <v>867</v>
      </c>
      <c r="E173" s="63" t="s">
        <v>688</v>
      </c>
      <c r="F173" s="63" t="s">
        <v>1249</v>
      </c>
      <c r="G173" s="63" t="s">
        <v>1250</v>
      </c>
      <c r="H173" s="63" t="s">
        <v>691</v>
      </c>
      <c r="I173" s="63" t="s">
        <v>1250</v>
      </c>
      <c r="J173" s="63" t="s">
        <v>1251</v>
      </c>
      <c r="K173" s="55">
        <f t="shared" ca="1" si="2"/>
        <v>1</v>
      </c>
      <c r="L173" s="56" t="str">
        <f ca="1">IF(K173&gt;0,"Composition "&amp;SUM(K$4:K173),"")</f>
        <v>Composition 29</v>
      </c>
      <c r="M173" s="55" cm="1">
        <f t="array" aca="1" ref="M173" ca="1">IF(K173=1,_xlfn.XLOOKUP(B173,OFFSET(IN_Zugliste!$A$4,0,0,IN_Zugliste!$A$2,1),OFFSET(IN_Zugliste!$K$4,0,0,IN_Zugliste!$A$2,1),0),0)+_xlfn.XLOOKUP(C173,OFFSET(IN_Zugliste!$A$4,0,0,IN_Zugliste!$A$2,1),OFFSET(IN_Zugliste!$K$4,0,0,IN_Zugliste!$A$2,1),0)</f>
        <v>99185</v>
      </c>
      <c r="N173" s="55" t="str" cm="1">
        <f t="array" aca="1" ref="N173" ca="1">IF(K173=1,_xlfn.XLOOKUP(B173,OFFSET(IN_Zugliste!$A$4,0,0,IN_Zugliste!$A$2,1),OFFSET(IN_Zugliste!$D$4,0,0,IN_Zugliste!$A$2,1),""),"")</f>
        <v>101-3.0</v>
      </c>
      <c r="O173" s="55" t="str" cm="1">
        <f t="array" aca="1" ref="O173" ca="1">IF(L173&lt;&gt;"",L173,_xlfn.XLOOKUP(B173,OFFSET($C$4,0,0,$A$2,1),OFFSET($O$4,0,0,$A$2,1)))</f>
        <v>Composition 29</v>
      </c>
      <c r="P173" s="55" cm="1">
        <f t="array" aca="1" ref="P173" ca="1">MATCH(J173, _xlfn._xlws.FILTER($J$4:$J$430,$O$4:$O$430=O173), 0)+1</f>
        <v>2</v>
      </c>
      <c r="Q173" s="63" t="str">
        <f>_xlfn.XLOOKUP(B173, IN_Zugliste!A:A, IN_Zugliste!M:M, "")</f>
        <v>06:00:27</v>
      </c>
    </row>
    <row r="174" spans="1:17" ht="15" customHeight="1" x14ac:dyDescent="0.2">
      <c r="A174" s="63" t="s">
        <v>686</v>
      </c>
      <c r="B174" s="63" t="s">
        <v>482</v>
      </c>
      <c r="C174" s="63" t="s">
        <v>498</v>
      </c>
      <c r="D174" s="63" t="s">
        <v>871</v>
      </c>
      <c r="E174" s="63" t="s">
        <v>688</v>
      </c>
      <c r="F174" s="63" t="s">
        <v>1252</v>
      </c>
      <c r="G174" s="63" t="s">
        <v>1253</v>
      </c>
      <c r="H174" s="63" t="s">
        <v>817</v>
      </c>
      <c r="I174" s="63" t="s">
        <v>1253</v>
      </c>
      <c r="J174" s="63" t="s">
        <v>1254</v>
      </c>
      <c r="K174" s="55">
        <f t="shared" ca="1" si="2"/>
        <v>0</v>
      </c>
      <c r="L174" s="56" t="str">
        <f ca="1">IF(K174&gt;0,"Composition "&amp;SUM(K$4:K174),"")</f>
        <v/>
      </c>
      <c r="M174" s="55" cm="1">
        <f t="array" aca="1" ref="M174" ca="1">IF(K174=1,_xlfn.XLOOKUP(B174,OFFSET(IN_Zugliste!$A$4,0,0,IN_Zugliste!$A$2,1),OFFSET(IN_Zugliste!$K$4,0,0,IN_Zugliste!$A$2,1),0),0)+_xlfn.XLOOKUP(C174,OFFSET(IN_Zugliste!$A$4,0,0,IN_Zugliste!$A$2,1),OFFSET(IN_Zugliste!$K$4,0,0,IN_Zugliste!$A$2,1),0)</f>
        <v>65256</v>
      </c>
      <c r="N174" s="55" t="str" cm="1">
        <f t="array" aca="1" ref="N174" ca="1">IF(K174=1,_xlfn.XLOOKUP(B174,OFFSET(IN_Zugliste!$A$4,0,0,IN_Zugliste!$A$2,1),OFFSET(IN_Zugliste!$D$4,0,0,IN_Zugliste!$A$2,1),""),"")</f>
        <v/>
      </c>
      <c r="O174" s="55" t="str" cm="1">
        <f t="array" aca="1" ref="O174" ca="1">IF(L174&lt;&gt;"",L174,_xlfn.XLOOKUP(B174,OFFSET($C$4,0,0,$A$2,1),OFFSET($O$4,0,0,$A$2,1)))</f>
        <v>Composition 29</v>
      </c>
      <c r="P174" s="55" cm="1">
        <f t="array" aca="1" ref="P174" ca="1">MATCH(J174, _xlfn._xlws.FILTER($J$4:$J$430,$O$4:$O$430=O174), 0)+1</f>
        <v>3</v>
      </c>
      <c r="Q174" s="63" t="str">
        <f>_xlfn.XLOOKUP(B174, IN_Zugliste!A:A, IN_Zugliste!M:M, "")</f>
        <v>07:06:06</v>
      </c>
    </row>
    <row r="175" spans="1:17" ht="15" customHeight="1" x14ac:dyDescent="0.2">
      <c r="A175" s="63" t="s">
        <v>686</v>
      </c>
      <c r="B175" s="63" t="s">
        <v>498</v>
      </c>
      <c r="C175" s="63" t="s">
        <v>510</v>
      </c>
      <c r="D175" s="63" t="s">
        <v>875</v>
      </c>
      <c r="E175" s="63" t="s">
        <v>688</v>
      </c>
      <c r="F175" s="63" t="s">
        <v>1255</v>
      </c>
      <c r="G175" s="63" t="s">
        <v>1256</v>
      </c>
      <c r="H175" s="63" t="s">
        <v>691</v>
      </c>
      <c r="I175" s="63" t="s">
        <v>1256</v>
      </c>
      <c r="J175" s="63" t="s">
        <v>1257</v>
      </c>
      <c r="K175" s="55">
        <f t="shared" ca="1" si="2"/>
        <v>0</v>
      </c>
      <c r="L175" s="56" t="str">
        <f ca="1">IF(K175&gt;0,"Composition "&amp;SUM(K$4:K175),"")</f>
        <v/>
      </c>
      <c r="M175" s="55" cm="1">
        <f t="array" aca="1" ref="M175" ca="1">IF(K175=1,_xlfn.XLOOKUP(B175,OFFSET(IN_Zugliste!$A$4,0,0,IN_Zugliste!$A$2,1),OFFSET(IN_Zugliste!$K$4,0,0,IN_Zugliste!$A$2,1),0),0)+_xlfn.XLOOKUP(C175,OFFSET(IN_Zugliste!$A$4,0,0,IN_Zugliste!$A$2,1),OFFSET(IN_Zugliste!$K$4,0,0,IN_Zugliste!$A$2,1),0)</f>
        <v>65091</v>
      </c>
      <c r="N175" s="55" t="str" cm="1">
        <f t="array" aca="1" ref="N175" ca="1">IF(K175=1,_xlfn.XLOOKUP(B175,OFFSET(IN_Zugliste!$A$4,0,0,IN_Zugliste!$A$2,1),OFFSET(IN_Zugliste!$D$4,0,0,IN_Zugliste!$A$2,1),""),"")</f>
        <v/>
      </c>
      <c r="O175" s="55" t="str" cm="1">
        <f t="array" aca="1" ref="O175" ca="1">IF(L175&lt;&gt;"",L175,_xlfn.XLOOKUP(B175,OFFSET($C$4,0,0,$A$2,1),OFFSET($O$4,0,0,$A$2,1)))</f>
        <v>Composition 29</v>
      </c>
      <c r="P175" s="55" cm="1">
        <f t="array" aca="1" ref="P175" ca="1">MATCH(J175, _xlfn._xlws.FILTER($J$4:$J$430,$O$4:$O$430=O175), 0)+1</f>
        <v>4</v>
      </c>
      <c r="Q175" s="63" t="str">
        <f>_xlfn.XLOOKUP(B175, IN_Zugliste!A:A, IN_Zugliste!M:M, "")</f>
        <v>08:09:13</v>
      </c>
    </row>
    <row r="176" spans="1:17" ht="15" customHeight="1" x14ac:dyDescent="0.2">
      <c r="A176" s="63" t="s">
        <v>686</v>
      </c>
      <c r="B176" s="63" t="s">
        <v>510</v>
      </c>
      <c r="C176" s="63" t="s">
        <v>475</v>
      </c>
      <c r="D176" s="63" t="s">
        <v>871</v>
      </c>
      <c r="E176" s="63" t="s">
        <v>688</v>
      </c>
      <c r="F176" s="63" t="s">
        <v>1258</v>
      </c>
      <c r="G176" s="63" t="s">
        <v>1259</v>
      </c>
      <c r="H176" s="63" t="s">
        <v>817</v>
      </c>
      <c r="I176" s="63" t="s">
        <v>1259</v>
      </c>
      <c r="J176" s="63" t="s">
        <v>1260</v>
      </c>
      <c r="K176" s="55">
        <f t="shared" ca="1" si="2"/>
        <v>0</v>
      </c>
      <c r="L176" s="56" t="str">
        <f ca="1">IF(K176&gt;0,"Composition "&amp;SUM(K$4:K176),"")</f>
        <v/>
      </c>
      <c r="M176" s="55" cm="1">
        <f t="array" aca="1" ref="M176" ca="1">IF(K176=1,_xlfn.XLOOKUP(B176,OFFSET(IN_Zugliste!$A$4,0,0,IN_Zugliste!$A$2,1),OFFSET(IN_Zugliste!$K$4,0,0,IN_Zugliste!$A$2,1),0),0)+_xlfn.XLOOKUP(C176,OFFSET(IN_Zugliste!$A$4,0,0,IN_Zugliste!$A$2,1),OFFSET(IN_Zugliste!$K$4,0,0,IN_Zugliste!$A$2,1),0)</f>
        <v>49677</v>
      </c>
      <c r="N176" s="55" t="str" cm="1">
        <f t="array" aca="1" ref="N176" ca="1">IF(K176=1,_xlfn.XLOOKUP(B176,OFFSET(IN_Zugliste!$A$4,0,0,IN_Zugliste!$A$2,1),OFFSET(IN_Zugliste!$D$4,0,0,IN_Zugliste!$A$2,1),""),"")</f>
        <v/>
      </c>
      <c r="O176" s="55" t="str" cm="1">
        <f t="array" aca="1" ref="O176" ca="1">IF(L176&lt;&gt;"",L176,_xlfn.XLOOKUP(B176,OFFSET($C$4,0,0,$A$2,1),OFFSET($O$4,0,0,$A$2,1)))</f>
        <v>Composition 29</v>
      </c>
      <c r="P176" s="55" cm="1">
        <f t="array" aca="1" ref="P176" ca="1">MATCH(J176, _xlfn._xlws.FILTER($J$4:$J$430,$O$4:$O$430=O176), 0)+1</f>
        <v>5</v>
      </c>
      <c r="Q176" s="63" t="str">
        <f>_xlfn.XLOOKUP(B176, IN_Zugliste!A:A, IN_Zugliste!M:M, "")</f>
        <v>09:32:48</v>
      </c>
    </row>
    <row r="177" spans="1:17" ht="15" customHeight="1" x14ac:dyDescent="0.2">
      <c r="A177" s="63" t="s">
        <v>686</v>
      </c>
      <c r="B177" s="63" t="s">
        <v>475</v>
      </c>
      <c r="C177" s="63" t="s">
        <v>487</v>
      </c>
      <c r="D177" s="63" t="s">
        <v>867</v>
      </c>
      <c r="E177" s="63" t="s">
        <v>688</v>
      </c>
      <c r="F177" s="63" t="s">
        <v>1261</v>
      </c>
      <c r="G177" s="63" t="s">
        <v>1262</v>
      </c>
      <c r="H177" s="63" t="s">
        <v>691</v>
      </c>
      <c r="I177" s="63" t="s">
        <v>1262</v>
      </c>
      <c r="J177" s="63" t="s">
        <v>1263</v>
      </c>
      <c r="K177" s="55">
        <f t="shared" ca="1" si="2"/>
        <v>0</v>
      </c>
      <c r="L177" s="56" t="str">
        <f ca="1">IF(K177&gt;0,"Composition "&amp;SUM(K$4:K177),"")</f>
        <v/>
      </c>
      <c r="M177" s="55" cm="1">
        <f t="array" aca="1" ref="M177" ca="1">IF(K177=1,_xlfn.XLOOKUP(B177,OFFSET(IN_Zugliste!$A$4,0,0,IN_Zugliste!$A$2,1),OFFSET(IN_Zugliste!$K$4,0,0,IN_Zugliste!$A$2,1),0),0)+_xlfn.XLOOKUP(C177,OFFSET(IN_Zugliste!$A$4,0,0,IN_Zugliste!$A$2,1),OFFSET(IN_Zugliste!$K$4,0,0,IN_Zugliste!$A$2,1),0)</f>
        <v>49508</v>
      </c>
      <c r="N177" s="55" t="str" cm="1">
        <f t="array" aca="1" ref="N177" ca="1">IF(K177=1,_xlfn.XLOOKUP(B177,OFFSET(IN_Zugliste!$A$4,0,0,IN_Zugliste!$A$2,1),OFFSET(IN_Zugliste!$D$4,0,0,IN_Zugliste!$A$2,1),""),"")</f>
        <v/>
      </c>
      <c r="O177" s="55" t="str" cm="1">
        <f t="array" aca="1" ref="O177" ca="1">IF(L177&lt;&gt;"",L177,_xlfn.XLOOKUP(B177,OFFSET($C$4,0,0,$A$2,1),OFFSET($O$4,0,0,$A$2,1)))</f>
        <v>Composition 29</v>
      </c>
      <c r="P177" s="55" cm="1">
        <f t="array" aca="1" ref="P177" ca="1">MATCH(J177, _xlfn._xlws.FILTER($J$4:$J$430,$O$4:$O$430=O177), 0)+1</f>
        <v>6</v>
      </c>
      <c r="Q177" s="63" t="str">
        <f>_xlfn.XLOOKUP(B177, IN_Zugliste!A:A, IN_Zugliste!M:M, "")</f>
        <v>11:00:27</v>
      </c>
    </row>
    <row r="178" spans="1:17" ht="15" customHeight="1" x14ac:dyDescent="0.2">
      <c r="A178" s="63" t="s">
        <v>686</v>
      </c>
      <c r="B178" s="63" t="s">
        <v>487</v>
      </c>
      <c r="C178" s="63" t="s">
        <v>503</v>
      </c>
      <c r="D178" s="63" t="s">
        <v>871</v>
      </c>
      <c r="E178" s="63" t="s">
        <v>688</v>
      </c>
      <c r="F178" s="63" t="s">
        <v>1227</v>
      </c>
      <c r="G178" s="63" t="s">
        <v>1264</v>
      </c>
      <c r="H178" s="63" t="s">
        <v>817</v>
      </c>
      <c r="I178" s="63" t="s">
        <v>1264</v>
      </c>
      <c r="J178" s="63" t="s">
        <v>1265</v>
      </c>
      <c r="K178" s="55">
        <f t="shared" ca="1" si="2"/>
        <v>0</v>
      </c>
      <c r="L178" s="56" t="str">
        <f ca="1">IF(K178&gt;0,"Composition "&amp;SUM(K$4:K178),"")</f>
        <v/>
      </c>
      <c r="M178" s="55" cm="1">
        <f t="array" aca="1" ref="M178" ca="1">IF(K178=1,_xlfn.XLOOKUP(B178,OFFSET(IN_Zugliste!$A$4,0,0,IN_Zugliste!$A$2,1),OFFSET(IN_Zugliste!$K$4,0,0,IN_Zugliste!$A$2,1),0),0)+_xlfn.XLOOKUP(C178,OFFSET(IN_Zugliste!$A$4,0,0,IN_Zugliste!$A$2,1),OFFSET(IN_Zugliste!$K$4,0,0,IN_Zugliste!$A$2,1),0)</f>
        <v>65256</v>
      </c>
      <c r="N178" s="55" t="str" cm="1">
        <f t="array" aca="1" ref="N178" ca="1">IF(K178=1,_xlfn.XLOOKUP(B178,OFFSET(IN_Zugliste!$A$4,0,0,IN_Zugliste!$A$2,1),OFFSET(IN_Zugliste!$D$4,0,0,IN_Zugliste!$A$2,1),""),"")</f>
        <v/>
      </c>
      <c r="O178" s="55" t="str" cm="1">
        <f t="array" aca="1" ref="O178" ca="1">IF(L178&lt;&gt;"",L178,_xlfn.XLOOKUP(B178,OFFSET($C$4,0,0,$A$2,1),OFFSET($O$4,0,0,$A$2,1)))</f>
        <v>Composition 29</v>
      </c>
      <c r="P178" s="55" cm="1">
        <f t="array" aca="1" ref="P178" ca="1">MATCH(J178, _xlfn._xlws.FILTER($J$4:$J$430,$O$4:$O$430=O178), 0)+1</f>
        <v>7</v>
      </c>
      <c r="Q178" s="63" t="str">
        <f>_xlfn.XLOOKUP(B178, IN_Zugliste!A:A, IN_Zugliste!M:M, "")</f>
        <v>12:06:06</v>
      </c>
    </row>
    <row r="179" spans="1:17" ht="15" customHeight="1" x14ac:dyDescent="0.2">
      <c r="A179" s="63" t="s">
        <v>686</v>
      </c>
      <c r="B179" s="63" t="s">
        <v>503</v>
      </c>
      <c r="C179" s="63" t="s">
        <v>506</v>
      </c>
      <c r="D179" s="63" t="s">
        <v>875</v>
      </c>
      <c r="E179" s="63" t="s">
        <v>688</v>
      </c>
      <c r="F179" s="63" t="s">
        <v>1266</v>
      </c>
      <c r="G179" s="63" t="s">
        <v>1267</v>
      </c>
      <c r="H179" s="63" t="s">
        <v>691</v>
      </c>
      <c r="I179" s="63" t="s">
        <v>1267</v>
      </c>
      <c r="J179" s="63" t="s">
        <v>1268</v>
      </c>
      <c r="K179" s="55">
        <f t="shared" ca="1" si="2"/>
        <v>0</v>
      </c>
      <c r="L179" s="56" t="str">
        <f ca="1">IF(K179&gt;0,"Composition "&amp;SUM(K$4:K179),"")</f>
        <v/>
      </c>
      <c r="M179" s="55" cm="1">
        <f t="array" aca="1" ref="M179" ca="1">IF(K179=1,_xlfn.XLOOKUP(B179,OFFSET(IN_Zugliste!$A$4,0,0,IN_Zugliste!$A$2,1),OFFSET(IN_Zugliste!$K$4,0,0,IN_Zugliste!$A$2,1),0),0)+_xlfn.XLOOKUP(C179,OFFSET(IN_Zugliste!$A$4,0,0,IN_Zugliste!$A$2,1),OFFSET(IN_Zugliste!$K$4,0,0,IN_Zugliste!$A$2,1),0)</f>
        <v>65091</v>
      </c>
      <c r="N179" s="55" t="str" cm="1">
        <f t="array" aca="1" ref="N179" ca="1">IF(K179=1,_xlfn.XLOOKUP(B179,OFFSET(IN_Zugliste!$A$4,0,0,IN_Zugliste!$A$2,1),OFFSET(IN_Zugliste!$D$4,0,0,IN_Zugliste!$A$2,1),""),"")</f>
        <v/>
      </c>
      <c r="O179" s="55" t="str" cm="1">
        <f t="array" aca="1" ref="O179" ca="1">IF(L179&lt;&gt;"",L179,_xlfn.XLOOKUP(B179,OFFSET($C$4,0,0,$A$2,1),OFFSET($O$4,0,0,$A$2,1)))</f>
        <v>Composition 29</v>
      </c>
      <c r="P179" s="55" cm="1">
        <f t="array" aca="1" ref="P179" ca="1">MATCH(J179, _xlfn._xlws.FILTER($J$4:$J$430,$O$4:$O$430=O179), 0)+1</f>
        <v>8</v>
      </c>
      <c r="Q179" s="63" t="str">
        <f>_xlfn.XLOOKUP(B179, IN_Zugliste!A:A, IN_Zugliste!M:M, "")</f>
        <v>13:09:13</v>
      </c>
    </row>
    <row r="180" spans="1:17" ht="15" customHeight="1" x14ac:dyDescent="0.2">
      <c r="A180" s="63" t="s">
        <v>686</v>
      </c>
      <c r="B180" s="63" t="s">
        <v>269</v>
      </c>
      <c r="C180" s="63" t="s">
        <v>258</v>
      </c>
      <c r="D180" s="63" t="s">
        <v>915</v>
      </c>
      <c r="E180" s="63" t="s">
        <v>688</v>
      </c>
      <c r="F180" s="63" t="s">
        <v>1269</v>
      </c>
      <c r="G180" s="63" t="s">
        <v>1270</v>
      </c>
      <c r="H180" s="63" t="s">
        <v>691</v>
      </c>
      <c r="I180" s="63" t="s">
        <v>1271</v>
      </c>
      <c r="J180" s="63" t="s">
        <v>1272</v>
      </c>
      <c r="K180" s="55">
        <f t="shared" ca="1" si="2"/>
        <v>1</v>
      </c>
      <c r="L180" s="56" t="str">
        <f ca="1">IF(K180&gt;0,"Composition "&amp;SUM(K$4:K180),"")</f>
        <v>Composition 30</v>
      </c>
      <c r="M180" s="55" cm="1">
        <f t="array" aca="1" ref="M180" ca="1">IF(K180=1,_xlfn.XLOOKUP(B180,OFFSET(IN_Zugliste!$A$4,0,0,IN_Zugliste!$A$2,1),OFFSET(IN_Zugliste!$K$4,0,0,IN_Zugliste!$A$2,1),0),0)+_xlfn.XLOOKUP(C180,OFFSET(IN_Zugliste!$A$4,0,0,IN_Zugliste!$A$2,1),OFFSET(IN_Zugliste!$K$4,0,0,IN_Zugliste!$A$2,1),0)</f>
        <v>104403</v>
      </c>
      <c r="N180" s="55" t="str" cm="1">
        <f t="array" aca="1" ref="N180" ca="1">IF(K180=1,_xlfn.XLOOKUP(B180,OFFSET(IN_Zugliste!$A$4,0,0,IN_Zugliste!$A$2,1),OFFSET(IN_Zugliste!$D$4,0,0,IN_Zugliste!$A$2,1),""),"")</f>
        <v>146-3.2</v>
      </c>
      <c r="O180" s="55" t="str" cm="1">
        <f t="array" aca="1" ref="O180" ca="1">IF(L180&lt;&gt;"",L180,_xlfn.XLOOKUP(B180,OFFSET($C$4,0,0,$A$2,1),OFFSET($O$4,0,0,$A$2,1)))</f>
        <v>Composition 30</v>
      </c>
      <c r="P180" s="55" cm="1">
        <f t="array" aca="1" ref="P180" ca="1">MATCH(J180, _xlfn._xlws.FILTER($J$4:$J$430,$O$4:$O$430=O180), 0)+1</f>
        <v>2</v>
      </c>
      <c r="Q180" s="63" t="str">
        <f>_xlfn.XLOOKUP(B180, IN_Zugliste!A:A, IN_Zugliste!M:M, "")</f>
        <v>05:26:43</v>
      </c>
    </row>
    <row r="181" spans="1:17" ht="15" customHeight="1" x14ac:dyDescent="0.2">
      <c r="A181" s="63" t="s">
        <v>686</v>
      </c>
      <c r="B181" s="63" t="s">
        <v>258</v>
      </c>
      <c r="C181" s="63" t="s">
        <v>249</v>
      </c>
      <c r="D181" s="63" t="s">
        <v>875</v>
      </c>
      <c r="E181" s="63" t="s">
        <v>688</v>
      </c>
      <c r="F181" s="63" t="s">
        <v>1273</v>
      </c>
      <c r="G181" s="63" t="s">
        <v>1274</v>
      </c>
      <c r="H181" s="63" t="s">
        <v>691</v>
      </c>
      <c r="I181" s="63" t="s">
        <v>1274</v>
      </c>
      <c r="J181" s="63" t="s">
        <v>1275</v>
      </c>
      <c r="K181" s="55">
        <f t="shared" ca="1" si="2"/>
        <v>0</v>
      </c>
      <c r="L181" s="56" t="str">
        <f ca="1">IF(K181&gt;0,"Composition "&amp;SUM(K$4:K181),"")</f>
        <v/>
      </c>
      <c r="M181" s="55" cm="1">
        <f t="array" aca="1" ref="M181" ca="1">IF(K181=1,_xlfn.XLOOKUP(B181,OFFSET(IN_Zugliste!$A$4,0,0,IN_Zugliste!$A$2,1),OFFSET(IN_Zugliste!$K$4,0,0,IN_Zugliste!$A$2,1),0),0)+_xlfn.XLOOKUP(C181,OFFSET(IN_Zugliste!$A$4,0,0,IN_Zugliste!$A$2,1),OFFSET(IN_Zugliste!$K$4,0,0,IN_Zugliste!$A$2,1),0)</f>
        <v>52185</v>
      </c>
      <c r="N181" s="55" t="str" cm="1">
        <f t="array" aca="1" ref="N181" ca="1">IF(K181=1,_xlfn.XLOOKUP(B181,OFFSET(IN_Zugliste!$A$4,0,0,IN_Zugliste!$A$2,1),OFFSET(IN_Zugliste!$D$4,0,0,IN_Zugliste!$A$2,1),""),"")</f>
        <v/>
      </c>
      <c r="O181" s="55" t="str" cm="1">
        <f t="array" aca="1" ref="O181" ca="1">IF(L181&lt;&gt;"",L181,_xlfn.XLOOKUP(B181,OFFSET($C$4,0,0,$A$2,1),OFFSET($O$4,0,0,$A$2,1)))</f>
        <v>Composition 30</v>
      </c>
      <c r="P181" s="55" cm="1">
        <f t="array" aca="1" ref="P181" ca="1">MATCH(J181, _xlfn._xlws.FILTER($J$4:$J$430,$O$4:$O$430=O181), 0)+1</f>
        <v>3</v>
      </c>
      <c r="Q181" s="63" t="str">
        <f>_xlfn.XLOOKUP(B181, IN_Zugliste!A:A, IN_Zugliste!M:M, "")</f>
        <v>07:19:04</v>
      </c>
    </row>
    <row r="182" spans="1:17" ht="15" customHeight="1" x14ac:dyDescent="0.2">
      <c r="A182" s="63" t="s">
        <v>686</v>
      </c>
      <c r="B182" s="63" t="s">
        <v>249</v>
      </c>
      <c r="C182" s="63" t="s">
        <v>288</v>
      </c>
      <c r="D182" s="63" t="s">
        <v>915</v>
      </c>
      <c r="E182" s="63" t="s">
        <v>688</v>
      </c>
      <c r="F182" s="63" t="s">
        <v>1276</v>
      </c>
      <c r="G182" s="63" t="s">
        <v>1277</v>
      </c>
      <c r="H182" s="63" t="s">
        <v>691</v>
      </c>
      <c r="I182" s="63" t="s">
        <v>1277</v>
      </c>
      <c r="J182" s="63" t="s">
        <v>1278</v>
      </c>
      <c r="K182" s="55">
        <f t="shared" ca="1" si="2"/>
        <v>0</v>
      </c>
      <c r="L182" s="56" t="str">
        <f ca="1">IF(K182&gt;0,"Composition "&amp;SUM(K$4:K182),"")</f>
        <v/>
      </c>
      <c r="M182" s="55" cm="1">
        <f t="array" aca="1" ref="M182" ca="1">IF(K182=1,_xlfn.XLOOKUP(B182,OFFSET(IN_Zugliste!$A$4,0,0,IN_Zugliste!$A$2,1),OFFSET(IN_Zugliste!$K$4,0,0,IN_Zugliste!$A$2,1),0),0)+_xlfn.XLOOKUP(C182,OFFSET(IN_Zugliste!$A$4,0,0,IN_Zugliste!$A$2,1),OFFSET(IN_Zugliste!$K$4,0,0,IN_Zugliste!$A$2,1),0)</f>
        <v>52218</v>
      </c>
      <c r="N182" s="55" t="str" cm="1">
        <f t="array" aca="1" ref="N182" ca="1">IF(K182=1,_xlfn.XLOOKUP(B182,OFFSET(IN_Zugliste!$A$4,0,0,IN_Zugliste!$A$2,1),OFFSET(IN_Zugliste!$D$4,0,0,IN_Zugliste!$A$2,1),""),"")</f>
        <v/>
      </c>
      <c r="O182" s="55" t="str" cm="1">
        <f t="array" aca="1" ref="O182" ca="1">IF(L182&lt;&gt;"",L182,_xlfn.XLOOKUP(B182,OFFSET($C$4,0,0,$A$2,1),OFFSET($O$4,0,0,$A$2,1)))</f>
        <v>Composition 30</v>
      </c>
      <c r="P182" s="55" cm="1">
        <f t="array" aca="1" ref="P182" ca="1">MATCH(J182, _xlfn._xlws.FILTER($J$4:$J$430,$O$4:$O$430=O182), 0)+1</f>
        <v>4</v>
      </c>
      <c r="Q182" s="63" t="str">
        <f>_xlfn.XLOOKUP(B182, IN_Zugliste!A:A, IN_Zugliste!M:M, "")</f>
        <v>09:02:24</v>
      </c>
    </row>
    <row r="183" spans="1:17" ht="15" customHeight="1" x14ac:dyDescent="0.2">
      <c r="A183" s="63" t="s">
        <v>686</v>
      </c>
      <c r="B183" s="63" t="s">
        <v>288</v>
      </c>
      <c r="C183" s="63" t="s">
        <v>278</v>
      </c>
      <c r="D183" s="63" t="s">
        <v>875</v>
      </c>
      <c r="E183" s="63" t="s">
        <v>688</v>
      </c>
      <c r="F183" s="63" t="s">
        <v>1279</v>
      </c>
      <c r="G183" s="63" t="s">
        <v>1280</v>
      </c>
      <c r="H183" s="63" t="s">
        <v>691</v>
      </c>
      <c r="I183" s="63" t="s">
        <v>1280</v>
      </c>
      <c r="J183" s="63" t="s">
        <v>1281</v>
      </c>
      <c r="K183" s="55">
        <f t="shared" ca="1" si="2"/>
        <v>0</v>
      </c>
      <c r="L183" s="56" t="str">
        <f ca="1">IF(K183&gt;0,"Composition "&amp;SUM(K$4:K183),"")</f>
        <v/>
      </c>
      <c r="M183" s="55" cm="1">
        <f t="array" aca="1" ref="M183" ca="1">IF(K183=1,_xlfn.XLOOKUP(B183,OFFSET(IN_Zugliste!$A$4,0,0,IN_Zugliste!$A$2,1),OFFSET(IN_Zugliste!$K$4,0,0,IN_Zugliste!$A$2,1),0),0)+_xlfn.XLOOKUP(C183,OFFSET(IN_Zugliste!$A$4,0,0,IN_Zugliste!$A$2,1),OFFSET(IN_Zugliste!$K$4,0,0,IN_Zugliste!$A$2,1),0)</f>
        <v>52185</v>
      </c>
      <c r="N183" s="55" t="str" cm="1">
        <f t="array" aca="1" ref="N183" ca="1">IF(K183=1,_xlfn.XLOOKUP(B183,OFFSET(IN_Zugliste!$A$4,0,0,IN_Zugliste!$A$2,1),OFFSET(IN_Zugliste!$D$4,0,0,IN_Zugliste!$A$2,1),""),"")</f>
        <v/>
      </c>
      <c r="O183" s="55" t="str" cm="1">
        <f t="array" aca="1" ref="O183" ca="1">IF(L183&lt;&gt;"",L183,_xlfn.XLOOKUP(B183,OFFSET($C$4,0,0,$A$2,1),OFFSET($O$4,0,0,$A$2,1)))</f>
        <v>Composition 30</v>
      </c>
      <c r="P183" s="55" cm="1">
        <f t="array" aca="1" ref="P183" ca="1">MATCH(J183, _xlfn._xlws.FILTER($J$4:$J$430,$O$4:$O$430=O183), 0)+1</f>
        <v>5</v>
      </c>
      <c r="Q183" s="63" t="str">
        <f>_xlfn.XLOOKUP(B183, IN_Zugliste!A:A, IN_Zugliste!M:M, "")</f>
        <v>10:41:12</v>
      </c>
    </row>
    <row r="184" spans="1:17" ht="15" customHeight="1" x14ac:dyDescent="0.2">
      <c r="A184" s="63" t="s">
        <v>686</v>
      </c>
      <c r="B184" s="63" t="s">
        <v>278</v>
      </c>
      <c r="C184" s="63" t="s">
        <v>256</v>
      </c>
      <c r="D184" s="63" t="s">
        <v>915</v>
      </c>
      <c r="E184" s="63" t="s">
        <v>688</v>
      </c>
      <c r="F184" s="63" t="s">
        <v>1282</v>
      </c>
      <c r="G184" s="63" t="s">
        <v>1283</v>
      </c>
      <c r="H184" s="63" t="s">
        <v>691</v>
      </c>
      <c r="I184" s="63" t="s">
        <v>1284</v>
      </c>
      <c r="J184" s="63" t="s">
        <v>1285</v>
      </c>
      <c r="K184" s="55">
        <f t="shared" ca="1" si="2"/>
        <v>0</v>
      </c>
      <c r="L184" s="56" t="str">
        <f ca="1">IF(K184&gt;0,"Composition "&amp;SUM(K$4:K184),"")</f>
        <v/>
      </c>
      <c r="M184" s="55" cm="1">
        <f t="array" aca="1" ref="M184" ca="1">IF(K184=1,_xlfn.XLOOKUP(B184,OFFSET(IN_Zugliste!$A$4,0,0,IN_Zugliste!$A$2,1),OFFSET(IN_Zugliste!$K$4,0,0,IN_Zugliste!$A$2,1),0),0)+_xlfn.XLOOKUP(C184,OFFSET(IN_Zugliste!$A$4,0,0,IN_Zugliste!$A$2,1),OFFSET(IN_Zugliste!$K$4,0,0,IN_Zugliste!$A$2,1),0)</f>
        <v>52218</v>
      </c>
      <c r="N184" s="55" t="str" cm="1">
        <f t="array" aca="1" ref="N184" ca="1">IF(K184=1,_xlfn.XLOOKUP(B184,OFFSET(IN_Zugliste!$A$4,0,0,IN_Zugliste!$A$2,1),OFFSET(IN_Zugliste!$D$4,0,0,IN_Zugliste!$A$2,1),""),"")</f>
        <v/>
      </c>
      <c r="O184" s="55" t="str" cm="1">
        <f t="array" aca="1" ref="O184" ca="1">IF(L184&lt;&gt;"",L184,_xlfn.XLOOKUP(B184,OFFSET($C$4,0,0,$A$2,1),OFFSET($O$4,0,0,$A$2,1)))</f>
        <v>Composition 30</v>
      </c>
      <c r="P184" s="55" cm="1">
        <f t="array" aca="1" ref="P184" ca="1">MATCH(J184, _xlfn._xlws.FILTER($J$4:$J$430,$O$4:$O$430=O184), 0)+1</f>
        <v>6</v>
      </c>
      <c r="Q184" s="63" t="str">
        <f>_xlfn.XLOOKUP(B184, IN_Zugliste!A:A, IN_Zugliste!M:M, "")</f>
        <v>12:26:43</v>
      </c>
    </row>
    <row r="185" spans="1:17" ht="15" customHeight="1" x14ac:dyDescent="0.2">
      <c r="A185" s="63" t="s">
        <v>686</v>
      </c>
      <c r="B185" s="63" t="s">
        <v>658</v>
      </c>
      <c r="C185" s="63" t="s">
        <v>651</v>
      </c>
      <c r="D185" s="63" t="s">
        <v>1176</v>
      </c>
      <c r="E185" s="63" t="s">
        <v>688</v>
      </c>
      <c r="F185" s="63" t="s">
        <v>1286</v>
      </c>
      <c r="G185" s="63" t="s">
        <v>1287</v>
      </c>
      <c r="H185" s="63" t="s">
        <v>691</v>
      </c>
      <c r="I185" s="63" t="s">
        <v>1287</v>
      </c>
      <c r="J185" s="63" t="s">
        <v>1288</v>
      </c>
      <c r="K185" s="55">
        <f t="shared" ca="1" si="2"/>
        <v>1</v>
      </c>
      <c r="L185" s="56" t="str">
        <f ca="1">IF(K185&gt;0,"Composition "&amp;SUM(K$4:K185),"")</f>
        <v>Composition 31</v>
      </c>
      <c r="M185" s="55" cm="1">
        <f t="array" aca="1" ref="M185" ca="1">IF(K185=1,_xlfn.XLOOKUP(B185,OFFSET(IN_Zugliste!$A$4,0,0,IN_Zugliste!$A$2,1),OFFSET(IN_Zugliste!$K$4,0,0,IN_Zugliste!$A$2,1),0),0)+_xlfn.XLOOKUP(C185,OFFSET(IN_Zugliste!$A$4,0,0,IN_Zugliste!$A$2,1),OFFSET(IN_Zugliste!$K$4,0,0,IN_Zugliste!$A$2,1),0)</f>
        <v>241584</v>
      </c>
      <c r="N185" s="55" t="str" cm="1">
        <f t="array" aca="1" ref="N185" ca="1">IF(K185=1,_xlfn.XLOOKUP(B185,OFFSET(IN_Zugliste!$A$4,0,0,IN_Zugliste!$A$2,1),OFFSET(IN_Zugliste!$D$4,0,0,IN_Zugliste!$A$2,1),""),"")</f>
        <v>462-1.0</v>
      </c>
      <c r="O185" s="55" t="str" cm="1">
        <f t="array" aca="1" ref="O185" ca="1">IF(L185&lt;&gt;"",L185,_xlfn.XLOOKUP(B185,OFFSET($C$4,0,0,$A$2,1),OFFSET($O$4,0,0,$A$2,1)))</f>
        <v>Composition 31</v>
      </c>
      <c r="P185" s="55" cm="1">
        <f t="array" aca="1" ref="P185" ca="1">MATCH(J185, _xlfn._xlws.FILTER($J$4:$J$430,$O$4:$O$430=O185), 0)+1</f>
        <v>2</v>
      </c>
      <c r="Q185" s="63" t="str">
        <f>_xlfn.XLOOKUP(B185, IN_Zugliste!A:A, IN_Zugliste!M:M, "")</f>
        <v>04:42:00</v>
      </c>
    </row>
    <row r="186" spans="1:17" ht="15" customHeight="1" x14ac:dyDescent="0.2">
      <c r="A186" s="63" t="s">
        <v>686</v>
      </c>
      <c r="B186" s="63" t="s">
        <v>651</v>
      </c>
      <c r="C186" s="63" t="s">
        <v>665</v>
      </c>
      <c r="D186" s="63" t="s">
        <v>723</v>
      </c>
      <c r="E186" s="63" t="s">
        <v>688</v>
      </c>
      <c r="F186" s="63" t="s">
        <v>1289</v>
      </c>
      <c r="G186" s="63" t="s">
        <v>1290</v>
      </c>
      <c r="H186" s="63" t="s">
        <v>691</v>
      </c>
      <c r="I186" s="63" t="s">
        <v>1291</v>
      </c>
      <c r="J186" s="63" t="s">
        <v>1292</v>
      </c>
      <c r="K186" s="55">
        <f t="shared" ca="1" si="2"/>
        <v>0</v>
      </c>
      <c r="L186" s="56" t="str">
        <f ca="1">IF(K186&gt;0,"Composition "&amp;SUM(K$4:K186),"")</f>
        <v/>
      </c>
      <c r="M186" s="55" cm="1">
        <f t="array" aca="1" ref="M186" ca="1">IF(K186=1,_xlfn.XLOOKUP(B186,OFFSET(IN_Zugliste!$A$4,0,0,IN_Zugliste!$A$2,1),OFFSET(IN_Zugliste!$K$4,0,0,IN_Zugliste!$A$2,1),0),0)+_xlfn.XLOOKUP(C186,OFFSET(IN_Zugliste!$A$4,0,0,IN_Zugliste!$A$2,1),OFFSET(IN_Zugliste!$K$4,0,0,IN_Zugliste!$A$2,1),0)</f>
        <v>120806</v>
      </c>
      <c r="N186" s="55" t="str" cm="1">
        <f t="array" aca="1" ref="N186" ca="1">IF(K186=1,_xlfn.XLOOKUP(B186,OFFSET(IN_Zugliste!$A$4,0,0,IN_Zugliste!$A$2,1),OFFSET(IN_Zugliste!$D$4,0,0,IN_Zugliste!$A$2,1),""),"")</f>
        <v/>
      </c>
      <c r="O186" s="55" t="str" cm="1">
        <f t="array" aca="1" ref="O186" ca="1">IF(L186&lt;&gt;"",L186,_xlfn.XLOOKUP(B186,OFFSET($C$4,0,0,$A$2,1),OFFSET($O$4,0,0,$A$2,1)))</f>
        <v>Composition 31</v>
      </c>
      <c r="P186" s="55" cm="1">
        <f t="array" aca="1" ref="P186" ca="1">MATCH(J186, _xlfn._xlws.FILTER($J$4:$J$430,$O$4:$O$430=O186), 0)+1</f>
        <v>3</v>
      </c>
      <c r="Q186" s="63" t="str">
        <f>_xlfn.XLOOKUP(B186, IN_Zugliste!A:A, IN_Zugliste!M:M, "")</f>
        <v>07:10:41</v>
      </c>
    </row>
    <row r="187" spans="1:17" ht="15" customHeight="1" x14ac:dyDescent="0.2">
      <c r="A187" s="63" t="s">
        <v>686</v>
      </c>
      <c r="B187" s="63" t="s">
        <v>665</v>
      </c>
      <c r="C187" s="63" t="s">
        <v>656</v>
      </c>
      <c r="D187" s="63" t="s">
        <v>1176</v>
      </c>
      <c r="E187" s="63" t="s">
        <v>688</v>
      </c>
      <c r="F187" s="63" t="s">
        <v>1293</v>
      </c>
      <c r="G187" s="63" t="s">
        <v>1294</v>
      </c>
      <c r="H187" s="63" t="s">
        <v>691</v>
      </c>
      <c r="I187" s="63" t="s">
        <v>1294</v>
      </c>
      <c r="J187" s="63" t="s">
        <v>1295</v>
      </c>
      <c r="K187" s="55">
        <f t="shared" ca="1" si="2"/>
        <v>0</v>
      </c>
      <c r="L187" s="56" t="str">
        <f ca="1">IF(K187&gt;0,"Composition "&amp;SUM(K$4:K187),"")</f>
        <v/>
      </c>
      <c r="M187" s="55" cm="1">
        <f t="array" aca="1" ref="M187" ca="1">IF(K187=1,_xlfn.XLOOKUP(B187,OFFSET(IN_Zugliste!$A$4,0,0,IN_Zugliste!$A$2,1),OFFSET(IN_Zugliste!$K$4,0,0,IN_Zugliste!$A$2,1),0),0)+_xlfn.XLOOKUP(C187,OFFSET(IN_Zugliste!$A$4,0,0,IN_Zugliste!$A$2,1),OFFSET(IN_Zugliste!$K$4,0,0,IN_Zugliste!$A$2,1),0)</f>
        <v>120778</v>
      </c>
      <c r="N187" s="55" t="str" cm="1">
        <f t="array" aca="1" ref="N187" ca="1">IF(K187=1,_xlfn.XLOOKUP(B187,OFFSET(IN_Zugliste!$A$4,0,0,IN_Zugliste!$A$2,1),OFFSET(IN_Zugliste!$D$4,0,0,IN_Zugliste!$A$2,1),""),"")</f>
        <v/>
      </c>
      <c r="O187" s="55" t="str" cm="1">
        <f t="array" aca="1" ref="O187" ca="1">IF(L187&lt;&gt;"",L187,_xlfn.XLOOKUP(B187,OFFSET($C$4,0,0,$A$2,1),OFFSET($O$4,0,0,$A$2,1)))</f>
        <v>Composition 31</v>
      </c>
      <c r="P187" s="55" cm="1">
        <f t="array" aca="1" ref="P187" ca="1">MATCH(J187, _xlfn._xlws.FILTER($J$4:$J$430,$O$4:$O$430=O187), 0)+1</f>
        <v>4</v>
      </c>
      <c r="Q187" s="63" t="str">
        <f>_xlfn.XLOOKUP(B187, IN_Zugliste!A:A, IN_Zugliste!M:M, "")</f>
        <v>09:42:00</v>
      </c>
    </row>
    <row r="188" spans="1:17" ht="15" customHeight="1" x14ac:dyDescent="0.2">
      <c r="A188" s="63" t="s">
        <v>686</v>
      </c>
      <c r="B188" s="63" t="s">
        <v>283</v>
      </c>
      <c r="C188" s="63" t="s">
        <v>273</v>
      </c>
      <c r="D188" s="63" t="s">
        <v>875</v>
      </c>
      <c r="E188" s="63" t="s">
        <v>688</v>
      </c>
      <c r="F188" s="63" t="s">
        <v>1296</v>
      </c>
      <c r="G188" s="63" t="s">
        <v>1297</v>
      </c>
      <c r="H188" s="63" t="s">
        <v>691</v>
      </c>
      <c r="I188" s="63" t="s">
        <v>1297</v>
      </c>
      <c r="J188" s="63" t="s">
        <v>1298</v>
      </c>
      <c r="K188" s="55">
        <f t="shared" ca="1" si="2"/>
        <v>1</v>
      </c>
      <c r="L188" s="56" t="str">
        <f ca="1">IF(K188&gt;0,"Composition "&amp;SUM(K$4:K188),"")</f>
        <v>Composition 32</v>
      </c>
      <c r="M188" s="55" cm="1">
        <f t="array" aca="1" ref="M188" ca="1">IF(K188=1,_xlfn.XLOOKUP(B188,OFFSET(IN_Zugliste!$A$4,0,0,IN_Zugliste!$A$2,1),OFFSET(IN_Zugliste!$K$4,0,0,IN_Zugliste!$A$2,1),0),0)+_xlfn.XLOOKUP(C188,OFFSET(IN_Zugliste!$A$4,0,0,IN_Zugliste!$A$2,1),OFFSET(IN_Zugliste!$K$4,0,0,IN_Zugliste!$A$2,1),0)</f>
        <v>104403</v>
      </c>
      <c r="N188" s="55" t="str" cm="1">
        <f t="array" aca="1" ref="N188" ca="1">IF(K188=1,_xlfn.XLOOKUP(B188,OFFSET(IN_Zugliste!$A$4,0,0,IN_Zugliste!$A$2,1),OFFSET(IN_Zugliste!$D$4,0,0,IN_Zugliste!$A$2,1),""),"")</f>
        <v>146-3.2</v>
      </c>
      <c r="O188" s="55" t="str" cm="1">
        <f t="array" aca="1" ref="O188" ca="1">IF(L188&lt;&gt;"",L188,_xlfn.XLOOKUP(B188,OFFSET($C$4,0,0,$A$2,1),OFFSET($O$4,0,0,$A$2,1)))</f>
        <v>Composition 32</v>
      </c>
      <c r="P188" s="55" cm="1">
        <f t="array" aca="1" ref="P188" ca="1">MATCH(J188, _xlfn._xlws.FILTER($J$4:$J$430,$O$4:$O$430=O188), 0)+1</f>
        <v>2</v>
      </c>
      <c r="Q188" s="63" t="str">
        <f>_xlfn.XLOOKUP(B188, IN_Zugliste!A:A, IN_Zugliste!M:M, "")</f>
        <v>05:41:12</v>
      </c>
    </row>
    <row r="189" spans="1:17" ht="15" customHeight="1" x14ac:dyDescent="0.2">
      <c r="A189" s="63" t="s">
        <v>686</v>
      </c>
      <c r="B189" s="63" t="s">
        <v>273</v>
      </c>
      <c r="C189" s="63" t="s">
        <v>260</v>
      </c>
      <c r="D189" s="63" t="s">
        <v>915</v>
      </c>
      <c r="E189" s="63" t="s">
        <v>688</v>
      </c>
      <c r="F189" s="63" t="s">
        <v>1299</v>
      </c>
      <c r="G189" s="63" t="s">
        <v>1300</v>
      </c>
      <c r="H189" s="63" t="s">
        <v>691</v>
      </c>
      <c r="I189" s="63" t="s">
        <v>1301</v>
      </c>
      <c r="J189" s="63" t="s">
        <v>1302</v>
      </c>
      <c r="K189" s="55">
        <f t="shared" ca="1" si="2"/>
        <v>0</v>
      </c>
      <c r="L189" s="56" t="str">
        <f ca="1">IF(K189&gt;0,"Composition "&amp;SUM(K$4:K189),"")</f>
        <v/>
      </c>
      <c r="M189" s="55" cm="1">
        <f t="array" aca="1" ref="M189" ca="1">IF(K189=1,_xlfn.XLOOKUP(B189,OFFSET(IN_Zugliste!$A$4,0,0,IN_Zugliste!$A$2,1),OFFSET(IN_Zugliste!$K$4,0,0,IN_Zugliste!$A$2,1),0),0)+_xlfn.XLOOKUP(C189,OFFSET(IN_Zugliste!$A$4,0,0,IN_Zugliste!$A$2,1),OFFSET(IN_Zugliste!$K$4,0,0,IN_Zugliste!$A$2,1),0)</f>
        <v>52218</v>
      </c>
      <c r="N189" s="55" t="str" cm="1">
        <f t="array" aca="1" ref="N189" ca="1">IF(K189=1,_xlfn.XLOOKUP(B189,OFFSET(IN_Zugliste!$A$4,0,0,IN_Zugliste!$A$2,1),OFFSET(IN_Zugliste!$D$4,0,0,IN_Zugliste!$A$2,1),""),"")</f>
        <v/>
      </c>
      <c r="O189" s="55" t="str" cm="1">
        <f t="array" aca="1" ref="O189" ca="1">IF(L189&lt;&gt;"",L189,_xlfn.XLOOKUP(B189,OFFSET($C$4,0,0,$A$2,1),OFFSET($O$4,0,0,$A$2,1)))</f>
        <v>Composition 32</v>
      </c>
      <c r="P189" s="55" cm="1">
        <f t="array" aca="1" ref="P189" ca="1">MATCH(J189, _xlfn._xlws.FILTER($J$4:$J$430,$O$4:$O$430=O189), 0)+1</f>
        <v>3</v>
      </c>
      <c r="Q189" s="63" t="str">
        <f>_xlfn.XLOOKUP(B189, IN_Zugliste!A:A, IN_Zugliste!M:M, "")</f>
        <v>07:26:43</v>
      </c>
    </row>
    <row r="190" spans="1:17" ht="15" customHeight="1" x14ac:dyDescent="0.2">
      <c r="A190" s="63" t="s">
        <v>686</v>
      </c>
      <c r="B190" s="63" t="s">
        <v>260</v>
      </c>
      <c r="C190" s="63" t="s">
        <v>251</v>
      </c>
      <c r="D190" s="63" t="s">
        <v>875</v>
      </c>
      <c r="E190" s="63" t="s">
        <v>688</v>
      </c>
      <c r="F190" s="63" t="s">
        <v>1303</v>
      </c>
      <c r="G190" s="63" t="s">
        <v>1304</v>
      </c>
      <c r="H190" s="63" t="s">
        <v>691</v>
      </c>
      <c r="I190" s="63" t="s">
        <v>1304</v>
      </c>
      <c r="J190" s="63" t="s">
        <v>1305</v>
      </c>
      <c r="K190" s="55">
        <f t="shared" ca="1" si="2"/>
        <v>0</v>
      </c>
      <c r="L190" s="56" t="str">
        <f ca="1">IF(K190&gt;0,"Composition "&amp;SUM(K$4:K190),"")</f>
        <v/>
      </c>
      <c r="M190" s="55" cm="1">
        <f t="array" aca="1" ref="M190" ca="1">IF(K190=1,_xlfn.XLOOKUP(B190,OFFSET(IN_Zugliste!$A$4,0,0,IN_Zugliste!$A$2,1),OFFSET(IN_Zugliste!$K$4,0,0,IN_Zugliste!$A$2,1),0),0)+_xlfn.XLOOKUP(C190,OFFSET(IN_Zugliste!$A$4,0,0,IN_Zugliste!$A$2,1),OFFSET(IN_Zugliste!$K$4,0,0,IN_Zugliste!$A$2,1),0)</f>
        <v>52185</v>
      </c>
      <c r="N190" s="55" t="str" cm="1">
        <f t="array" aca="1" ref="N190" ca="1">IF(K190=1,_xlfn.XLOOKUP(B190,OFFSET(IN_Zugliste!$A$4,0,0,IN_Zugliste!$A$2,1),OFFSET(IN_Zugliste!$D$4,0,0,IN_Zugliste!$A$2,1),""),"")</f>
        <v/>
      </c>
      <c r="O190" s="55" t="str" cm="1">
        <f t="array" aca="1" ref="O190" ca="1">IF(L190&lt;&gt;"",L190,_xlfn.XLOOKUP(B190,OFFSET($C$4,0,0,$A$2,1),OFFSET($O$4,0,0,$A$2,1)))</f>
        <v>Composition 32</v>
      </c>
      <c r="P190" s="55" cm="1">
        <f t="array" aca="1" ref="P190" ca="1">MATCH(J190, _xlfn._xlws.FILTER($J$4:$J$430,$O$4:$O$430=O190), 0)+1</f>
        <v>4</v>
      </c>
      <c r="Q190" s="63" t="str">
        <f>_xlfn.XLOOKUP(B190, IN_Zugliste!A:A, IN_Zugliste!M:M, "")</f>
        <v>09:19:04</v>
      </c>
    </row>
    <row r="191" spans="1:17" ht="15" customHeight="1" x14ac:dyDescent="0.2">
      <c r="A191" s="63" t="s">
        <v>686</v>
      </c>
      <c r="B191" s="63" t="s">
        <v>251</v>
      </c>
      <c r="C191" s="63" t="s">
        <v>290</v>
      </c>
      <c r="D191" s="63" t="s">
        <v>915</v>
      </c>
      <c r="E191" s="63" t="s">
        <v>688</v>
      </c>
      <c r="F191" s="63" t="s">
        <v>1306</v>
      </c>
      <c r="G191" s="63" t="s">
        <v>1307</v>
      </c>
      <c r="H191" s="63" t="s">
        <v>691</v>
      </c>
      <c r="I191" s="63" t="s">
        <v>1307</v>
      </c>
      <c r="J191" s="63" t="s">
        <v>1308</v>
      </c>
      <c r="K191" s="55">
        <f t="shared" ca="1" si="2"/>
        <v>0</v>
      </c>
      <c r="L191" s="56" t="str">
        <f ca="1">IF(K191&gt;0,"Composition "&amp;SUM(K$4:K191),"")</f>
        <v/>
      </c>
      <c r="M191" s="55" cm="1">
        <f t="array" aca="1" ref="M191" ca="1">IF(K191=1,_xlfn.XLOOKUP(B191,OFFSET(IN_Zugliste!$A$4,0,0,IN_Zugliste!$A$2,1),OFFSET(IN_Zugliste!$K$4,0,0,IN_Zugliste!$A$2,1),0),0)+_xlfn.XLOOKUP(C191,OFFSET(IN_Zugliste!$A$4,0,0,IN_Zugliste!$A$2,1),OFFSET(IN_Zugliste!$K$4,0,0,IN_Zugliste!$A$2,1),0)</f>
        <v>52218</v>
      </c>
      <c r="N191" s="55" t="str" cm="1">
        <f t="array" aca="1" ref="N191" ca="1">IF(K191=1,_xlfn.XLOOKUP(B191,OFFSET(IN_Zugliste!$A$4,0,0,IN_Zugliste!$A$2,1),OFFSET(IN_Zugliste!$D$4,0,0,IN_Zugliste!$A$2,1),""),"")</f>
        <v/>
      </c>
      <c r="O191" s="55" t="str" cm="1">
        <f t="array" aca="1" ref="O191" ca="1">IF(L191&lt;&gt;"",L191,_xlfn.XLOOKUP(B191,OFFSET($C$4,0,0,$A$2,1),OFFSET($O$4,0,0,$A$2,1)))</f>
        <v>Composition 32</v>
      </c>
      <c r="P191" s="55" cm="1">
        <f t="array" aca="1" ref="P191" ca="1">MATCH(J191, _xlfn._xlws.FILTER($J$4:$J$430,$O$4:$O$430=O191), 0)+1</f>
        <v>5</v>
      </c>
      <c r="Q191" s="63" t="str">
        <f>_xlfn.XLOOKUP(B191, IN_Zugliste!A:A, IN_Zugliste!M:M, "")</f>
        <v>11:02:24</v>
      </c>
    </row>
    <row r="192" spans="1:17" ht="15" customHeight="1" x14ac:dyDescent="0.2">
      <c r="A192" s="63" t="s">
        <v>686</v>
      </c>
      <c r="B192" s="63" t="s">
        <v>290</v>
      </c>
      <c r="C192" s="63" t="s">
        <v>271</v>
      </c>
      <c r="D192" s="63" t="s">
        <v>875</v>
      </c>
      <c r="E192" s="63" t="s">
        <v>688</v>
      </c>
      <c r="F192" s="63" t="s">
        <v>1309</v>
      </c>
      <c r="G192" s="63" t="s">
        <v>1310</v>
      </c>
      <c r="H192" s="63" t="s">
        <v>691</v>
      </c>
      <c r="I192" s="63" t="s">
        <v>1310</v>
      </c>
      <c r="J192" s="63" t="s">
        <v>1311</v>
      </c>
      <c r="K192" s="55">
        <f t="shared" ca="1" si="2"/>
        <v>0</v>
      </c>
      <c r="L192" s="56" t="str">
        <f ca="1">IF(K192&gt;0,"Composition "&amp;SUM(K$4:K192),"")</f>
        <v/>
      </c>
      <c r="M192" s="55" cm="1">
        <f t="array" aca="1" ref="M192" ca="1">IF(K192=1,_xlfn.XLOOKUP(B192,OFFSET(IN_Zugliste!$A$4,0,0,IN_Zugliste!$A$2,1),OFFSET(IN_Zugliste!$K$4,0,0,IN_Zugliste!$A$2,1),0),0)+_xlfn.XLOOKUP(C192,OFFSET(IN_Zugliste!$A$4,0,0,IN_Zugliste!$A$2,1),OFFSET(IN_Zugliste!$K$4,0,0,IN_Zugliste!$A$2,1),0)</f>
        <v>52185</v>
      </c>
      <c r="N192" s="55" t="str" cm="1">
        <f t="array" aca="1" ref="N192" ca="1">IF(K192=1,_xlfn.XLOOKUP(B192,OFFSET(IN_Zugliste!$A$4,0,0,IN_Zugliste!$A$2,1),OFFSET(IN_Zugliste!$D$4,0,0,IN_Zugliste!$A$2,1),""),"")</f>
        <v/>
      </c>
      <c r="O192" s="55" t="str" cm="1">
        <f t="array" aca="1" ref="O192" ca="1">IF(L192&lt;&gt;"",L192,_xlfn.XLOOKUP(B192,OFFSET($C$4,0,0,$A$2,1),OFFSET($O$4,0,0,$A$2,1)))</f>
        <v>Composition 32</v>
      </c>
      <c r="P192" s="55" cm="1">
        <f t="array" aca="1" ref="P192" ca="1">MATCH(J192, _xlfn._xlws.FILTER($J$4:$J$430,$O$4:$O$430=O192), 0)+1</f>
        <v>6</v>
      </c>
      <c r="Q192" s="63" t="str">
        <f>_xlfn.XLOOKUP(B192, IN_Zugliste!A:A, IN_Zugliste!M:M, "")</f>
        <v>12:41:12</v>
      </c>
    </row>
    <row r="193" spans="1:17" ht="15" customHeight="1" x14ac:dyDescent="0.2">
      <c r="A193" s="63" t="s">
        <v>686</v>
      </c>
      <c r="B193" s="63" t="s">
        <v>518</v>
      </c>
      <c r="C193" s="63" t="s">
        <v>530</v>
      </c>
      <c r="D193" s="63" t="s">
        <v>929</v>
      </c>
      <c r="E193" s="63" t="s">
        <v>688</v>
      </c>
      <c r="F193" s="63" t="s">
        <v>1312</v>
      </c>
      <c r="G193" s="63" t="s">
        <v>1313</v>
      </c>
      <c r="H193" s="63" t="s">
        <v>691</v>
      </c>
      <c r="I193" s="63" t="s">
        <v>1313</v>
      </c>
      <c r="J193" s="63" t="s">
        <v>1314</v>
      </c>
      <c r="K193" s="55">
        <f t="shared" ca="1" si="2"/>
        <v>1</v>
      </c>
      <c r="L193" s="56" t="str">
        <f ca="1">IF(K193&gt;0,"Composition "&amp;SUM(K$4:K193),"")</f>
        <v>Composition 33</v>
      </c>
      <c r="M193" s="55" cm="1">
        <f t="array" aca="1" ref="M193" ca="1">IF(K193=1,_xlfn.XLOOKUP(B193,OFFSET(IN_Zugliste!$A$4,0,0,IN_Zugliste!$A$2,1),OFFSET(IN_Zugliste!$K$4,0,0,IN_Zugliste!$A$2,1),0),0)+_xlfn.XLOOKUP(C193,OFFSET(IN_Zugliste!$A$4,0,0,IN_Zugliste!$A$2,1),OFFSET(IN_Zugliste!$K$4,0,0,IN_Zugliste!$A$2,1),0)</f>
        <v>139383</v>
      </c>
      <c r="N193" s="55" t="str" cm="1">
        <f t="array" aca="1" ref="N193" ca="1">IF(K193=1,_xlfn.XLOOKUP(B193,OFFSET(IN_Zugliste!$A$4,0,0,IN_Zugliste!$A$2,1),OFFSET(IN_Zugliste!$D$4,0,0,IN_Zugliste!$A$2,1),""),"")</f>
        <v>101-3.0</v>
      </c>
      <c r="O193" s="55" t="str" cm="1">
        <f t="array" aca="1" ref="O193" ca="1">IF(L193&lt;&gt;"",L193,_xlfn.XLOOKUP(B193,OFFSET($C$4,0,0,$A$2,1),OFFSET($O$4,0,0,$A$2,1)))</f>
        <v>Composition 33</v>
      </c>
      <c r="P193" s="55" cm="1">
        <f t="array" aca="1" ref="P193" ca="1">MATCH(J193, _xlfn._xlws.FILTER($J$4:$J$430,$O$4:$O$430=O193), 0)+1</f>
        <v>2</v>
      </c>
      <c r="Q193" s="63" t="str">
        <f>_xlfn.XLOOKUP(B193, IN_Zugliste!A:A, IN_Zugliste!M:M, "")</f>
        <v>05:53:57</v>
      </c>
    </row>
    <row r="194" spans="1:17" ht="15" customHeight="1" x14ac:dyDescent="0.2">
      <c r="A194" s="63" t="s">
        <v>686</v>
      </c>
      <c r="B194" s="63" t="s">
        <v>530</v>
      </c>
      <c r="C194" s="63" t="s">
        <v>521</v>
      </c>
      <c r="D194" s="63" t="s">
        <v>932</v>
      </c>
      <c r="E194" s="63" t="s">
        <v>688</v>
      </c>
      <c r="F194" s="63" t="s">
        <v>1315</v>
      </c>
      <c r="G194" s="63" t="s">
        <v>1316</v>
      </c>
      <c r="H194" s="63" t="s">
        <v>691</v>
      </c>
      <c r="I194" s="63" t="s">
        <v>1316</v>
      </c>
      <c r="J194" s="63" t="s">
        <v>1317</v>
      </c>
      <c r="K194" s="55">
        <f t="shared" ca="1" si="2"/>
        <v>0</v>
      </c>
      <c r="L194" s="56" t="str">
        <f ca="1">IF(K194&gt;0,"Composition "&amp;SUM(K$4:K194),"")</f>
        <v/>
      </c>
      <c r="M194" s="55" cm="1">
        <f t="array" aca="1" ref="M194" ca="1">IF(K194=1,_xlfn.XLOOKUP(B194,OFFSET(IN_Zugliste!$A$4,0,0,IN_Zugliste!$A$2,1),OFFSET(IN_Zugliste!$K$4,0,0,IN_Zugliste!$A$2,1),0),0)+_xlfn.XLOOKUP(C194,OFFSET(IN_Zugliste!$A$4,0,0,IN_Zugliste!$A$2,1),OFFSET(IN_Zugliste!$K$4,0,0,IN_Zugliste!$A$2,1),0)</f>
        <v>69712</v>
      </c>
      <c r="N194" s="55" t="str" cm="1">
        <f t="array" aca="1" ref="N194" ca="1">IF(K194=1,_xlfn.XLOOKUP(B194,OFFSET(IN_Zugliste!$A$4,0,0,IN_Zugliste!$A$2,1),OFFSET(IN_Zugliste!$D$4,0,0,IN_Zugliste!$A$2,1),""),"")</f>
        <v/>
      </c>
      <c r="O194" s="55" t="str" cm="1">
        <f t="array" aca="1" ref="O194" ca="1">IF(L194&lt;&gt;"",L194,_xlfn.XLOOKUP(B194,OFFSET($C$4,0,0,$A$2,1),OFFSET($O$4,0,0,$A$2,1)))</f>
        <v>Composition 33</v>
      </c>
      <c r="P194" s="55" cm="1">
        <f t="array" aca="1" ref="P194" ca="1">MATCH(J194, _xlfn._xlws.FILTER($J$4:$J$430,$O$4:$O$430=O194), 0)+1</f>
        <v>3</v>
      </c>
      <c r="Q194" s="63" t="str">
        <f>_xlfn.XLOOKUP(B194, IN_Zugliste!A:A, IN_Zugliste!M:M, "")</f>
        <v>07:23:02</v>
      </c>
    </row>
    <row r="195" spans="1:17" ht="15" customHeight="1" x14ac:dyDescent="0.2">
      <c r="A195" s="63" t="s">
        <v>686</v>
      </c>
      <c r="B195" s="63" t="s">
        <v>521</v>
      </c>
      <c r="C195" s="63" t="s">
        <v>533</v>
      </c>
      <c r="D195" s="63" t="s">
        <v>929</v>
      </c>
      <c r="E195" s="63" t="s">
        <v>688</v>
      </c>
      <c r="F195" s="63" t="s">
        <v>1318</v>
      </c>
      <c r="G195" s="63" t="s">
        <v>1319</v>
      </c>
      <c r="H195" s="63" t="s">
        <v>691</v>
      </c>
      <c r="I195" s="63" t="s">
        <v>1319</v>
      </c>
      <c r="J195" s="63" t="s">
        <v>1320</v>
      </c>
      <c r="K195" s="55">
        <f t="shared" ca="1" si="2"/>
        <v>0</v>
      </c>
      <c r="L195" s="56" t="str">
        <f ca="1">IF(K195&gt;0,"Composition "&amp;SUM(K$4:K195),"")</f>
        <v/>
      </c>
      <c r="M195" s="55" cm="1">
        <f t="array" aca="1" ref="M195" ca="1">IF(K195=1,_xlfn.XLOOKUP(B195,OFFSET(IN_Zugliste!$A$4,0,0,IN_Zugliste!$A$2,1),OFFSET(IN_Zugliste!$K$4,0,0,IN_Zugliste!$A$2,1),0),0)+_xlfn.XLOOKUP(C195,OFFSET(IN_Zugliste!$A$4,0,0,IN_Zugliste!$A$2,1),OFFSET(IN_Zugliste!$K$4,0,0,IN_Zugliste!$A$2,1),0)</f>
        <v>69671</v>
      </c>
      <c r="N195" s="55" t="str" cm="1">
        <f t="array" aca="1" ref="N195" ca="1">IF(K195=1,_xlfn.XLOOKUP(B195,OFFSET(IN_Zugliste!$A$4,0,0,IN_Zugliste!$A$2,1),OFFSET(IN_Zugliste!$D$4,0,0,IN_Zugliste!$A$2,1),""),"")</f>
        <v/>
      </c>
      <c r="O195" s="55" t="str" cm="1">
        <f t="array" aca="1" ref="O195" ca="1">IF(L195&lt;&gt;"",L195,_xlfn.XLOOKUP(B195,OFFSET($C$4,0,0,$A$2,1),OFFSET($O$4,0,0,$A$2,1)))</f>
        <v>Composition 33</v>
      </c>
      <c r="P195" s="55" cm="1">
        <f t="array" aca="1" ref="P195" ca="1">MATCH(J195, _xlfn._xlws.FILTER($J$4:$J$430,$O$4:$O$430=O195), 0)+1</f>
        <v>4</v>
      </c>
      <c r="Q195" s="63" t="str">
        <f>_xlfn.XLOOKUP(B195, IN_Zugliste!A:A, IN_Zugliste!M:M, "")</f>
        <v>08:53:57</v>
      </c>
    </row>
    <row r="196" spans="1:17" ht="15" customHeight="1" x14ac:dyDescent="0.2">
      <c r="A196" s="63" t="s">
        <v>686</v>
      </c>
      <c r="B196" s="63" t="s">
        <v>533</v>
      </c>
      <c r="C196" s="63" t="s">
        <v>524</v>
      </c>
      <c r="D196" s="63" t="s">
        <v>932</v>
      </c>
      <c r="E196" s="63" t="s">
        <v>688</v>
      </c>
      <c r="F196" s="63" t="s">
        <v>1321</v>
      </c>
      <c r="G196" s="63" t="s">
        <v>1322</v>
      </c>
      <c r="H196" s="63" t="s">
        <v>691</v>
      </c>
      <c r="I196" s="63" t="s">
        <v>1322</v>
      </c>
      <c r="J196" s="63" t="s">
        <v>1323</v>
      </c>
      <c r="K196" s="55">
        <f t="shared" ref="K196:K259" ca="1" si="3">1-COUNTIFS(OFFSET($C$4,0,0,$A$2,1),B196)</f>
        <v>0</v>
      </c>
      <c r="L196" s="56" t="str">
        <f ca="1">IF(K196&gt;0,"Composition "&amp;SUM(K$4:K196),"")</f>
        <v/>
      </c>
      <c r="M196" s="55" cm="1">
        <f t="array" aca="1" ref="M196" ca="1">IF(K196=1,_xlfn.XLOOKUP(B196,OFFSET(IN_Zugliste!$A$4,0,0,IN_Zugliste!$A$2,1),OFFSET(IN_Zugliste!$K$4,0,0,IN_Zugliste!$A$2,1),0),0)+_xlfn.XLOOKUP(C196,OFFSET(IN_Zugliste!$A$4,0,0,IN_Zugliste!$A$2,1),OFFSET(IN_Zugliste!$K$4,0,0,IN_Zugliste!$A$2,1),0)</f>
        <v>69712</v>
      </c>
      <c r="N196" s="55" t="str" cm="1">
        <f t="array" aca="1" ref="N196" ca="1">IF(K196=1,_xlfn.XLOOKUP(B196,OFFSET(IN_Zugliste!$A$4,0,0,IN_Zugliste!$A$2,1),OFFSET(IN_Zugliste!$D$4,0,0,IN_Zugliste!$A$2,1),""),"")</f>
        <v/>
      </c>
      <c r="O196" s="55" t="str" cm="1">
        <f t="array" aca="1" ref="O196" ca="1">IF(L196&lt;&gt;"",L196,_xlfn.XLOOKUP(B196,OFFSET($C$4,0,0,$A$2,1),OFFSET($O$4,0,0,$A$2,1)))</f>
        <v>Composition 33</v>
      </c>
      <c r="P196" s="55" cm="1">
        <f t="array" aca="1" ref="P196" ca="1">MATCH(J196, _xlfn._xlws.FILTER($J$4:$J$430,$O$4:$O$430=O196), 0)+1</f>
        <v>5</v>
      </c>
      <c r="Q196" s="63" t="str">
        <f>_xlfn.XLOOKUP(B196, IN_Zugliste!A:A, IN_Zugliste!M:M, "")</f>
        <v>10:23:02</v>
      </c>
    </row>
    <row r="197" spans="1:17" ht="15" customHeight="1" x14ac:dyDescent="0.2">
      <c r="A197" s="63" t="s">
        <v>686</v>
      </c>
      <c r="B197" s="63" t="s">
        <v>524</v>
      </c>
      <c r="C197" s="63" t="s">
        <v>536</v>
      </c>
      <c r="D197" s="63" t="s">
        <v>929</v>
      </c>
      <c r="E197" s="63" t="s">
        <v>688</v>
      </c>
      <c r="F197" s="63" t="s">
        <v>1324</v>
      </c>
      <c r="G197" s="63" t="s">
        <v>1325</v>
      </c>
      <c r="H197" s="63" t="s">
        <v>691</v>
      </c>
      <c r="I197" s="63" t="s">
        <v>1325</v>
      </c>
      <c r="J197" s="63" t="s">
        <v>1326</v>
      </c>
      <c r="K197" s="55">
        <f t="shared" ca="1" si="3"/>
        <v>0</v>
      </c>
      <c r="L197" s="56" t="str">
        <f ca="1">IF(K197&gt;0,"Composition "&amp;SUM(K$4:K197),"")</f>
        <v/>
      </c>
      <c r="M197" s="55" cm="1">
        <f t="array" aca="1" ref="M197" ca="1">IF(K197=1,_xlfn.XLOOKUP(B197,OFFSET(IN_Zugliste!$A$4,0,0,IN_Zugliste!$A$2,1),OFFSET(IN_Zugliste!$K$4,0,0,IN_Zugliste!$A$2,1),0),0)+_xlfn.XLOOKUP(C197,OFFSET(IN_Zugliste!$A$4,0,0,IN_Zugliste!$A$2,1),OFFSET(IN_Zugliste!$K$4,0,0,IN_Zugliste!$A$2,1),0)</f>
        <v>69671</v>
      </c>
      <c r="N197" s="55" t="str" cm="1">
        <f t="array" aca="1" ref="N197" ca="1">IF(K197=1,_xlfn.XLOOKUP(B197,OFFSET(IN_Zugliste!$A$4,0,0,IN_Zugliste!$A$2,1),OFFSET(IN_Zugliste!$D$4,0,0,IN_Zugliste!$A$2,1),""),"")</f>
        <v/>
      </c>
      <c r="O197" s="55" t="str" cm="1">
        <f t="array" aca="1" ref="O197" ca="1">IF(L197&lt;&gt;"",L197,_xlfn.XLOOKUP(B197,OFFSET($C$4,0,0,$A$2,1),OFFSET($O$4,0,0,$A$2,1)))</f>
        <v>Composition 33</v>
      </c>
      <c r="P197" s="55" cm="1">
        <f t="array" aca="1" ref="P197" ca="1">MATCH(J197, _xlfn._xlws.FILTER($J$4:$J$430,$O$4:$O$430=O197), 0)+1</f>
        <v>6</v>
      </c>
      <c r="Q197" s="63" t="str">
        <f>_xlfn.XLOOKUP(B197, IN_Zugliste!A:A, IN_Zugliste!M:M, "")</f>
        <v>11:53:57</v>
      </c>
    </row>
    <row r="198" spans="1:17" ht="15" customHeight="1" x14ac:dyDescent="0.2">
      <c r="A198" s="63" t="s">
        <v>686</v>
      </c>
      <c r="B198" s="63" t="s">
        <v>379</v>
      </c>
      <c r="C198" s="63" t="s">
        <v>394</v>
      </c>
      <c r="D198" s="63" t="s">
        <v>1068</v>
      </c>
      <c r="E198" s="63" t="s">
        <v>688</v>
      </c>
      <c r="F198" s="63" t="s">
        <v>1327</v>
      </c>
      <c r="G198" s="63" t="s">
        <v>1328</v>
      </c>
      <c r="H198" s="63" t="s">
        <v>691</v>
      </c>
      <c r="I198" s="63" t="s">
        <v>1329</v>
      </c>
      <c r="J198" s="63" t="s">
        <v>1330</v>
      </c>
      <c r="K198" s="55">
        <f t="shared" ca="1" si="3"/>
        <v>1</v>
      </c>
      <c r="L198" s="56" t="str">
        <f ca="1">IF(K198&gt;0,"Composition "&amp;SUM(K$4:K198),"")</f>
        <v>Composition 34</v>
      </c>
      <c r="M198" s="55" cm="1">
        <f t="array" aca="1" ref="M198" ca="1">IF(K198=1,_xlfn.XLOOKUP(B198,OFFSET(IN_Zugliste!$A$4,0,0,IN_Zugliste!$A$2,1),OFFSET(IN_Zugliste!$K$4,0,0,IN_Zugliste!$A$2,1),0),0)+_xlfn.XLOOKUP(C198,OFFSET(IN_Zugliste!$A$4,0,0,IN_Zugliste!$A$2,1),OFFSET(IN_Zugliste!$K$4,0,0,IN_Zugliste!$A$2,1),0)</f>
        <v>267616</v>
      </c>
      <c r="N198" s="55" t="str" cm="1">
        <f t="array" aca="1" ref="N198" ca="1">IF(K198=1,_xlfn.XLOOKUP(B198,OFFSET(IN_Zugliste!$A$4,0,0,IN_Zugliste!$A$2,1),OFFSET(IN_Zugliste!$D$4,0,0,IN_Zugliste!$A$2,1),""),"")</f>
        <v>146-3.2</v>
      </c>
      <c r="O198" s="55" t="str" cm="1">
        <f t="array" aca="1" ref="O198" ca="1">IF(L198&lt;&gt;"",L198,_xlfn.XLOOKUP(B198,OFFSET($C$4,0,0,$A$2,1),OFFSET($O$4,0,0,$A$2,1)))</f>
        <v>Composition 34</v>
      </c>
      <c r="P198" s="55" cm="1">
        <f t="array" aca="1" ref="P198" ca="1">MATCH(J198, _xlfn._xlws.FILTER($J$4:$J$430,$O$4:$O$430=O198), 0)+1</f>
        <v>2</v>
      </c>
      <c r="Q198" s="63" t="str">
        <f>_xlfn.XLOOKUP(B198, IN_Zugliste!A:A, IN_Zugliste!M:M, "")</f>
        <v>05:02:08</v>
      </c>
    </row>
    <row r="199" spans="1:17" ht="15" customHeight="1" x14ac:dyDescent="0.2">
      <c r="A199" s="63" t="s">
        <v>686</v>
      </c>
      <c r="B199" s="63" t="s">
        <v>394</v>
      </c>
      <c r="C199" s="63" t="s">
        <v>319</v>
      </c>
      <c r="D199" s="63" t="s">
        <v>1064</v>
      </c>
      <c r="E199" s="63" t="s">
        <v>688</v>
      </c>
      <c r="F199" s="63" t="s">
        <v>1331</v>
      </c>
      <c r="G199" s="63" t="s">
        <v>1332</v>
      </c>
      <c r="H199" s="63" t="s">
        <v>691</v>
      </c>
      <c r="I199" s="63" t="s">
        <v>1333</v>
      </c>
      <c r="J199" s="63" t="s">
        <v>1334</v>
      </c>
      <c r="K199" s="55">
        <f t="shared" ca="1" si="3"/>
        <v>0</v>
      </c>
      <c r="L199" s="56" t="str">
        <f ca="1">IF(K199&gt;0,"Composition "&amp;SUM(K$4:K199),"")</f>
        <v/>
      </c>
      <c r="M199" s="55" cm="1">
        <f t="array" aca="1" ref="M199" ca="1">IF(K199=1,_xlfn.XLOOKUP(B199,OFFSET(IN_Zugliste!$A$4,0,0,IN_Zugliste!$A$2,1),OFFSET(IN_Zugliste!$K$4,0,0,IN_Zugliste!$A$2,1),0),0)+_xlfn.XLOOKUP(C199,OFFSET(IN_Zugliste!$A$4,0,0,IN_Zugliste!$A$2,1),OFFSET(IN_Zugliste!$K$4,0,0,IN_Zugliste!$A$2,1),0)</f>
        <v>62240</v>
      </c>
      <c r="N199" s="55" t="str" cm="1">
        <f t="array" aca="1" ref="N199" ca="1">IF(K199=1,_xlfn.XLOOKUP(B199,OFFSET(IN_Zugliste!$A$4,0,0,IN_Zugliste!$A$2,1),OFFSET(IN_Zugliste!$D$4,0,0,IN_Zugliste!$A$2,1),""),"")</f>
        <v/>
      </c>
      <c r="O199" s="55" t="str" cm="1">
        <f t="array" aca="1" ref="O199" ca="1">IF(L199&lt;&gt;"",L199,_xlfn.XLOOKUP(B199,OFFSET($C$4,0,0,$A$2,1),OFFSET($O$4,0,0,$A$2,1)))</f>
        <v>Composition 34</v>
      </c>
      <c r="P199" s="55" cm="1">
        <f t="array" aca="1" ref="P199" ca="1">MATCH(J199, _xlfn._xlws.FILTER($J$4:$J$430,$O$4:$O$430=O199), 0)+1</f>
        <v>3</v>
      </c>
      <c r="Q199" s="63" t="str">
        <f>_xlfn.XLOOKUP(B199, IN_Zugliste!A:A, IN_Zugliste!M:M, "")</f>
        <v>07:23:12</v>
      </c>
    </row>
    <row r="200" spans="1:17" ht="15" customHeight="1" x14ac:dyDescent="0.2">
      <c r="A200" s="63" t="s">
        <v>686</v>
      </c>
      <c r="B200" s="63" t="s">
        <v>319</v>
      </c>
      <c r="C200" s="63" t="s">
        <v>299</v>
      </c>
      <c r="D200" s="63" t="s">
        <v>727</v>
      </c>
      <c r="E200" s="63" t="s">
        <v>688</v>
      </c>
      <c r="F200" s="63" t="s">
        <v>1335</v>
      </c>
      <c r="G200" s="63" t="s">
        <v>903</v>
      </c>
      <c r="H200" s="63" t="s">
        <v>691</v>
      </c>
      <c r="I200" s="63" t="s">
        <v>903</v>
      </c>
      <c r="J200" s="63" t="s">
        <v>1336</v>
      </c>
      <c r="K200" s="55">
        <f t="shared" ca="1" si="3"/>
        <v>0</v>
      </c>
      <c r="L200" s="56" t="str">
        <f ca="1">IF(K200&gt;0,"Composition "&amp;SUM(K$4:K200),"")</f>
        <v/>
      </c>
      <c r="M200" s="55" cm="1">
        <f t="array" aca="1" ref="M200" ca="1">IF(K200=1,_xlfn.XLOOKUP(B200,OFFSET(IN_Zugliste!$A$4,0,0,IN_Zugliste!$A$2,1),OFFSET(IN_Zugliste!$K$4,0,0,IN_Zugliste!$A$2,1),0),0)+_xlfn.XLOOKUP(C200,OFFSET(IN_Zugliste!$A$4,0,0,IN_Zugliste!$A$2,1),OFFSET(IN_Zugliste!$K$4,0,0,IN_Zugliste!$A$2,1),0)</f>
        <v>76074</v>
      </c>
      <c r="N200" s="55" t="str" cm="1">
        <f t="array" aca="1" ref="N200" ca="1">IF(K200=1,_xlfn.XLOOKUP(B200,OFFSET(IN_Zugliste!$A$4,0,0,IN_Zugliste!$A$2,1),OFFSET(IN_Zugliste!$D$4,0,0,IN_Zugliste!$A$2,1),""),"")</f>
        <v/>
      </c>
      <c r="O200" s="55" t="str" cm="1">
        <f t="array" aca="1" ref="O200" ca="1">IF(L200&lt;&gt;"",L200,_xlfn.XLOOKUP(B200,OFFSET($C$4,0,0,$A$2,1),OFFSET($O$4,0,0,$A$2,1)))</f>
        <v>Composition 34</v>
      </c>
      <c r="P200" s="55" cm="1">
        <f t="array" aca="1" ref="P200" ca="1">MATCH(J200, _xlfn._xlws.FILTER($J$4:$J$430,$O$4:$O$430=O200), 0)+1</f>
        <v>4</v>
      </c>
      <c r="Q200" s="63" t="str">
        <f>_xlfn.XLOOKUP(B200, IN_Zugliste!A:A, IN_Zugliste!M:M, "")</f>
        <v>09:35:33</v>
      </c>
    </row>
    <row r="201" spans="1:17" ht="15" customHeight="1" x14ac:dyDescent="0.2">
      <c r="A201" s="63" t="s">
        <v>686</v>
      </c>
      <c r="B201" s="63" t="s">
        <v>299</v>
      </c>
      <c r="C201" s="63" t="s">
        <v>312</v>
      </c>
      <c r="D201" s="63" t="s">
        <v>1080</v>
      </c>
      <c r="E201" s="63" t="s">
        <v>688</v>
      </c>
      <c r="F201" s="63" t="s">
        <v>1337</v>
      </c>
      <c r="G201" s="63" t="s">
        <v>1338</v>
      </c>
      <c r="H201" s="63" t="s">
        <v>691</v>
      </c>
      <c r="I201" s="63" t="s">
        <v>1338</v>
      </c>
      <c r="J201" s="63" t="s">
        <v>749</v>
      </c>
      <c r="K201" s="55">
        <f t="shared" ca="1" si="3"/>
        <v>0</v>
      </c>
      <c r="L201" s="56" t="str">
        <f ca="1">IF(K201&gt;0,"Composition "&amp;SUM(K$4:K201),"")</f>
        <v/>
      </c>
      <c r="M201" s="55" cm="1">
        <f t="array" aca="1" ref="M201" ca="1">IF(K201=1,_xlfn.XLOOKUP(B201,OFFSET(IN_Zugliste!$A$4,0,0,IN_Zugliste!$A$2,1),OFFSET(IN_Zugliste!$K$4,0,0,IN_Zugliste!$A$2,1),0),0)+_xlfn.XLOOKUP(C201,OFFSET(IN_Zugliste!$A$4,0,0,IN_Zugliste!$A$2,1),OFFSET(IN_Zugliste!$K$4,0,0,IN_Zugliste!$A$2,1),0)</f>
        <v>75928</v>
      </c>
      <c r="N201" s="55" t="str" cm="1">
        <f t="array" aca="1" ref="N201" ca="1">IF(K201=1,_xlfn.XLOOKUP(B201,OFFSET(IN_Zugliste!$A$4,0,0,IN_Zugliste!$A$2,1),OFFSET(IN_Zugliste!$D$4,0,0,IN_Zugliste!$A$2,1),""),"")</f>
        <v/>
      </c>
      <c r="O201" s="55" t="str" cm="1">
        <f t="array" aca="1" ref="O201" ca="1">IF(L201&lt;&gt;"",L201,_xlfn.XLOOKUP(B201,OFFSET($C$4,0,0,$A$2,1),OFFSET($O$4,0,0,$A$2,1)))</f>
        <v>Composition 34</v>
      </c>
      <c r="P201" s="55" cm="1">
        <f t="array" aca="1" ref="P201" ca="1">MATCH(J201, _xlfn._xlws.FILTER($J$4:$J$430,$O$4:$O$430=O201), 0)+1</f>
        <v>5</v>
      </c>
      <c r="Q201" s="63" t="str">
        <f>_xlfn.XLOOKUP(B201, IN_Zugliste!A:A, IN_Zugliste!M:M, "")</f>
        <v>11:03:46</v>
      </c>
    </row>
    <row r="202" spans="1:17" ht="15" customHeight="1" x14ac:dyDescent="0.2">
      <c r="A202" s="63" t="s">
        <v>686</v>
      </c>
      <c r="B202" s="63" t="s">
        <v>312</v>
      </c>
      <c r="C202" s="63" t="s">
        <v>326</v>
      </c>
      <c r="D202" s="63" t="s">
        <v>727</v>
      </c>
      <c r="E202" s="63" t="s">
        <v>688</v>
      </c>
      <c r="F202" s="63" t="s">
        <v>1339</v>
      </c>
      <c r="G202" s="63" t="s">
        <v>1340</v>
      </c>
      <c r="H202" s="63" t="s">
        <v>691</v>
      </c>
      <c r="I202" s="63" t="s">
        <v>1340</v>
      </c>
      <c r="J202" s="63" t="s">
        <v>1341</v>
      </c>
      <c r="K202" s="55">
        <f t="shared" ca="1" si="3"/>
        <v>0</v>
      </c>
      <c r="L202" s="56" t="str">
        <f ca="1">IF(K202&gt;0,"Composition "&amp;SUM(K$4:K202),"")</f>
        <v/>
      </c>
      <c r="M202" s="55" cm="1">
        <f t="array" aca="1" ref="M202" ca="1">IF(K202=1,_xlfn.XLOOKUP(B202,OFFSET(IN_Zugliste!$A$4,0,0,IN_Zugliste!$A$2,1),OFFSET(IN_Zugliste!$K$4,0,0,IN_Zugliste!$A$2,1),0),0)+_xlfn.XLOOKUP(C202,OFFSET(IN_Zugliste!$A$4,0,0,IN_Zugliste!$A$2,1),OFFSET(IN_Zugliste!$K$4,0,0,IN_Zugliste!$A$2,1),0)</f>
        <v>62238</v>
      </c>
      <c r="N202" s="55" t="str" cm="1">
        <f t="array" aca="1" ref="N202" ca="1">IF(K202=1,_xlfn.XLOOKUP(B202,OFFSET(IN_Zugliste!$A$4,0,0,IN_Zugliste!$A$2,1),OFFSET(IN_Zugliste!$D$4,0,0,IN_Zugliste!$A$2,1),""),"")</f>
        <v/>
      </c>
      <c r="O202" s="55" t="str" cm="1">
        <f t="array" aca="1" ref="O202" ca="1">IF(L202&lt;&gt;"",L202,_xlfn.XLOOKUP(B202,OFFSET($C$4,0,0,$A$2,1),OFFSET($O$4,0,0,$A$2,1)))</f>
        <v>Composition 34</v>
      </c>
      <c r="P202" s="55" cm="1">
        <f t="array" aca="1" ref="P202" ca="1">MATCH(J202, _xlfn._xlws.FILTER($J$4:$J$430,$O$4:$O$430=O202), 0)+1</f>
        <v>6</v>
      </c>
      <c r="Q202" s="63" t="str">
        <f>_xlfn.XLOOKUP(B202, IN_Zugliste!A:A, IN_Zugliste!M:M, "")</f>
        <v>12:48:18</v>
      </c>
    </row>
    <row r="203" spans="1:17" ht="15" customHeight="1" x14ac:dyDescent="0.2">
      <c r="A203" s="63" t="s">
        <v>686</v>
      </c>
      <c r="B203" s="63" t="s">
        <v>91</v>
      </c>
      <c r="C203" s="63" t="s">
        <v>103</v>
      </c>
      <c r="D203" s="63" t="s">
        <v>723</v>
      </c>
      <c r="E203" s="63" t="s">
        <v>948</v>
      </c>
      <c r="F203" s="63" t="s">
        <v>1342</v>
      </c>
      <c r="G203" s="63" t="s">
        <v>1343</v>
      </c>
      <c r="H203" s="63" t="s">
        <v>691</v>
      </c>
      <c r="I203" s="63" t="s">
        <v>1344</v>
      </c>
      <c r="J203" s="63" t="s">
        <v>1345</v>
      </c>
      <c r="K203" s="55">
        <f t="shared" ca="1" si="3"/>
        <v>1</v>
      </c>
      <c r="L203" s="56" t="str">
        <f ca="1">IF(K203&gt;0,"Composition "&amp;SUM(K$4:K203),"")</f>
        <v>Composition 35</v>
      </c>
      <c r="M203" s="55" cm="1">
        <f t="array" aca="1" ref="M203" ca="1">IF(K203=1,_xlfn.XLOOKUP(B203,OFFSET(IN_Zugliste!$A$4,0,0,IN_Zugliste!$A$2,1),OFFSET(IN_Zugliste!$K$4,0,0,IN_Zugliste!$A$2,1),0),0)+_xlfn.XLOOKUP(C203,OFFSET(IN_Zugliste!$A$4,0,0,IN_Zugliste!$A$2,1),OFFSET(IN_Zugliste!$K$4,0,0,IN_Zugliste!$A$2,1),0)</f>
        <v>135916</v>
      </c>
      <c r="N203" s="55" t="str" cm="1">
        <f t="array" aca="1" ref="N203" ca="1">IF(K203=1,_xlfn.XLOOKUP(B203,OFFSET(IN_Zugliste!$A$4,0,0,IN_Zugliste!$A$2,1),OFFSET(IN_Zugliste!$D$4,0,0,IN_Zugliste!$A$2,1),""),"")</f>
        <v>146-3.2</v>
      </c>
      <c r="O203" s="55" t="str" cm="1">
        <f t="array" aca="1" ref="O203" ca="1">IF(L203&lt;&gt;"",L203,_xlfn.XLOOKUP(B203,OFFSET($C$4,0,0,$A$2,1),OFFSET($O$4,0,0,$A$2,1)))</f>
        <v>Composition 35</v>
      </c>
      <c r="P203" s="55" cm="1">
        <f t="array" aca="1" ref="P203" ca="1">MATCH(J203, _xlfn._xlws.FILTER($J$4:$J$430,$O$4:$O$430=O203), 0)+1</f>
        <v>2</v>
      </c>
      <c r="Q203" s="63" t="str">
        <f>_xlfn.XLOOKUP(B203, IN_Zugliste!A:A, IN_Zugliste!M:M, "")</f>
        <v>05:50:28</v>
      </c>
    </row>
    <row r="204" spans="1:17" ht="15" customHeight="1" x14ac:dyDescent="0.2">
      <c r="A204" s="63" t="s">
        <v>686</v>
      </c>
      <c r="B204" s="63" t="s">
        <v>103</v>
      </c>
      <c r="C204" s="63" t="s">
        <v>94</v>
      </c>
      <c r="D204" s="63" t="s">
        <v>953</v>
      </c>
      <c r="E204" s="63" t="s">
        <v>688</v>
      </c>
      <c r="F204" s="63" t="s">
        <v>1346</v>
      </c>
      <c r="G204" s="63" t="s">
        <v>1347</v>
      </c>
      <c r="H204" s="63" t="s">
        <v>691</v>
      </c>
      <c r="I204" s="63" t="s">
        <v>1347</v>
      </c>
      <c r="J204" s="63" t="s">
        <v>1348</v>
      </c>
      <c r="K204" s="55">
        <f t="shared" ca="1" si="3"/>
        <v>0</v>
      </c>
      <c r="L204" s="56" t="str">
        <f ca="1">IF(K204&gt;0,"Composition "&amp;SUM(K$4:K204),"")</f>
        <v/>
      </c>
      <c r="M204" s="55" cm="1">
        <f t="array" aca="1" ref="M204" ca="1">IF(K204=1,_xlfn.XLOOKUP(B204,OFFSET(IN_Zugliste!$A$4,0,0,IN_Zugliste!$A$2,1),OFFSET(IN_Zugliste!$K$4,0,0,IN_Zugliste!$A$2,1),0),0)+_xlfn.XLOOKUP(C204,OFFSET(IN_Zugliste!$A$4,0,0,IN_Zugliste!$A$2,1),OFFSET(IN_Zugliste!$K$4,0,0,IN_Zugliste!$A$2,1),0)</f>
        <v>67934</v>
      </c>
      <c r="N204" s="55" t="str" cm="1">
        <f t="array" aca="1" ref="N204" ca="1">IF(K204=1,_xlfn.XLOOKUP(B204,OFFSET(IN_Zugliste!$A$4,0,0,IN_Zugliste!$A$2,1),OFFSET(IN_Zugliste!$D$4,0,0,IN_Zugliste!$A$2,1),""),"")</f>
        <v/>
      </c>
      <c r="O204" s="55" t="str" cm="1">
        <f t="array" aca="1" ref="O204" ca="1">IF(L204&lt;&gt;"",L204,_xlfn.XLOOKUP(B204,OFFSET($C$4,0,0,$A$2,1),OFFSET($O$4,0,0,$A$2,1)))</f>
        <v>Composition 35</v>
      </c>
      <c r="P204" s="55" cm="1">
        <f t="array" aca="1" ref="P204" ca="1">MATCH(J204, _xlfn._xlws.FILTER($J$4:$J$430,$O$4:$O$430=O204), 0)+1</f>
        <v>3</v>
      </c>
      <c r="Q204" s="63" t="str">
        <f>_xlfn.XLOOKUP(B204, IN_Zugliste!A:A, IN_Zugliste!M:M, "")</f>
        <v>07:22:02</v>
      </c>
    </row>
    <row r="205" spans="1:17" ht="15" customHeight="1" x14ac:dyDescent="0.2">
      <c r="A205" s="63" t="s">
        <v>686</v>
      </c>
      <c r="B205" s="63" t="s">
        <v>94</v>
      </c>
      <c r="C205" s="63" t="s">
        <v>106</v>
      </c>
      <c r="D205" s="63" t="s">
        <v>723</v>
      </c>
      <c r="E205" s="63" t="s">
        <v>948</v>
      </c>
      <c r="F205" s="63" t="s">
        <v>1349</v>
      </c>
      <c r="G205" s="63" t="s">
        <v>1350</v>
      </c>
      <c r="H205" s="63" t="s">
        <v>691</v>
      </c>
      <c r="I205" s="63" t="s">
        <v>1351</v>
      </c>
      <c r="J205" s="63" t="s">
        <v>1352</v>
      </c>
      <c r="K205" s="55">
        <f t="shared" ca="1" si="3"/>
        <v>0</v>
      </c>
      <c r="L205" s="56" t="str">
        <f ca="1">IF(K205&gt;0,"Composition "&amp;SUM(K$4:K205),"")</f>
        <v/>
      </c>
      <c r="M205" s="55" cm="1">
        <f t="array" aca="1" ref="M205" ca="1">IF(K205=1,_xlfn.XLOOKUP(B205,OFFSET(IN_Zugliste!$A$4,0,0,IN_Zugliste!$A$2,1),OFFSET(IN_Zugliste!$K$4,0,0,IN_Zugliste!$A$2,1),0),0)+_xlfn.XLOOKUP(C205,OFFSET(IN_Zugliste!$A$4,0,0,IN_Zugliste!$A$2,1),OFFSET(IN_Zugliste!$K$4,0,0,IN_Zugliste!$A$2,1),0)</f>
        <v>67982</v>
      </c>
      <c r="N205" s="55" t="str" cm="1">
        <f t="array" aca="1" ref="N205" ca="1">IF(K205=1,_xlfn.XLOOKUP(B205,OFFSET(IN_Zugliste!$A$4,0,0,IN_Zugliste!$A$2,1),OFFSET(IN_Zugliste!$D$4,0,0,IN_Zugliste!$A$2,1),""),"")</f>
        <v/>
      </c>
      <c r="O205" s="55" t="str" cm="1">
        <f t="array" aca="1" ref="O205" ca="1">IF(L205&lt;&gt;"",L205,_xlfn.XLOOKUP(B205,OFFSET($C$4,0,0,$A$2,1),OFFSET($O$4,0,0,$A$2,1)))</f>
        <v>Composition 35</v>
      </c>
      <c r="P205" s="55" cm="1">
        <f t="array" aca="1" ref="P205" ca="1">MATCH(J205, _xlfn._xlws.FILTER($J$4:$J$430,$O$4:$O$430=O205), 0)+1</f>
        <v>4</v>
      </c>
      <c r="Q205" s="63" t="str">
        <f>_xlfn.XLOOKUP(B205, IN_Zugliste!A:A, IN_Zugliste!M:M, "")</f>
        <v>08:50:28</v>
      </c>
    </row>
    <row r="206" spans="1:17" ht="15" customHeight="1" x14ac:dyDescent="0.2">
      <c r="A206" s="63" t="s">
        <v>686</v>
      </c>
      <c r="B206" s="63" t="s">
        <v>106</v>
      </c>
      <c r="C206" s="63" t="s">
        <v>97</v>
      </c>
      <c r="D206" s="63" t="s">
        <v>953</v>
      </c>
      <c r="E206" s="63" t="s">
        <v>688</v>
      </c>
      <c r="F206" s="63" t="s">
        <v>1353</v>
      </c>
      <c r="G206" s="63" t="s">
        <v>1354</v>
      </c>
      <c r="H206" s="63" t="s">
        <v>691</v>
      </c>
      <c r="I206" s="63" t="s">
        <v>1355</v>
      </c>
      <c r="J206" s="63" t="s">
        <v>1356</v>
      </c>
      <c r="K206" s="55">
        <f t="shared" ca="1" si="3"/>
        <v>0</v>
      </c>
      <c r="L206" s="56" t="str">
        <f ca="1">IF(K206&gt;0,"Composition "&amp;SUM(K$4:K206),"")</f>
        <v/>
      </c>
      <c r="M206" s="55" cm="1">
        <f t="array" aca="1" ref="M206" ca="1">IF(K206=1,_xlfn.XLOOKUP(B206,OFFSET(IN_Zugliste!$A$4,0,0,IN_Zugliste!$A$2,1),OFFSET(IN_Zugliste!$K$4,0,0,IN_Zugliste!$A$2,1),0),0)+_xlfn.XLOOKUP(C206,OFFSET(IN_Zugliste!$A$4,0,0,IN_Zugliste!$A$2,1),OFFSET(IN_Zugliste!$K$4,0,0,IN_Zugliste!$A$2,1),0)</f>
        <v>67934</v>
      </c>
      <c r="N206" s="55" t="str" cm="1">
        <f t="array" aca="1" ref="N206" ca="1">IF(K206=1,_xlfn.XLOOKUP(B206,OFFSET(IN_Zugliste!$A$4,0,0,IN_Zugliste!$A$2,1),OFFSET(IN_Zugliste!$D$4,0,0,IN_Zugliste!$A$2,1),""),"")</f>
        <v/>
      </c>
      <c r="O206" s="55" t="str" cm="1">
        <f t="array" aca="1" ref="O206" ca="1">IF(L206&lt;&gt;"",L206,_xlfn.XLOOKUP(B206,OFFSET($C$4,0,0,$A$2,1),OFFSET($O$4,0,0,$A$2,1)))</f>
        <v>Composition 35</v>
      </c>
      <c r="P206" s="55" cm="1">
        <f t="array" aca="1" ref="P206" ca="1">MATCH(J206, _xlfn._xlws.FILTER($J$4:$J$430,$O$4:$O$430=O206), 0)+1</f>
        <v>5</v>
      </c>
      <c r="Q206" s="63" t="str">
        <f>_xlfn.XLOOKUP(B206, IN_Zugliste!A:A, IN_Zugliste!M:M, "")</f>
        <v>10:22:02</v>
      </c>
    </row>
    <row r="207" spans="1:17" ht="15" customHeight="1" x14ac:dyDescent="0.2">
      <c r="A207" s="63" t="s">
        <v>686</v>
      </c>
      <c r="B207" s="63" t="s">
        <v>97</v>
      </c>
      <c r="C207" s="63" t="s">
        <v>109</v>
      </c>
      <c r="D207" s="63" t="s">
        <v>723</v>
      </c>
      <c r="E207" s="63" t="s">
        <v>948</v>
      </c>
      <c r="F207" s="63" t="s">
        <v>1357</v>
      </c>
      <c r="G207" s="63" t="s">
        <v>1358</v>
      </c>
      <c r="H207" s="63" t="s">
        <v>691</v>
      </c>
      <c r="I207" s="63" t="s">
        <v>1359</v>
      </c>
      <c r="J207" s="63" t="s">
        <v>1360</v>
      </c>
      <c r="K207" s="55">
        <f t="shared" ca="1" si="3"/>
        <v>0</v>
      </c>
      <c r="L207" s="56" t="str">
        <f ca="1">IF(K207&gt;0,"Composition "&amp;SUM(K$4:K207),"")</f>
        <v/>
      </c>
      <c r="M207" s="55" cm="1">
        <f t="array" aca="1" ref="M207" ca="1">IF(K207=1,_xlfn.XLOOKUP(B207,OFFSET(IN_Zugliste!$A$4,0,0,IN_Zugliste!$A$2,1),OFFSET(IN_Zugliste!$K$4,0,0,IN_Zugliste!$A$2,1),0),0)+_xlfn.XLOOKUP(C207,OFFSET(IN_Zugliste!$A$4,0,0,IN_Zugliste!$A$2,1),OFFSET(IN_Zugliste!$K$4,0,0,IN_Zugliste!$A$2,1),0)</f>
        <v>67982</v>
      </c>
      <c r="N207" s="55" t="str" cm="1">
        <f t="array" aca="1" ref="N207" ca="1">IF(K207=1,_xlfn.XLOOKUP(B207,OFFSET(IN_Zugliste!$A$4,0,0,IN_Zugliste!$A$2,1),OFFSET(IN_Zugliste!$D$4,0,0,IN_Zugliste!$A$2,1),""),"")</f>
        <v/>
      </c>
      <c r="O207" s="55" t="str" cm="1">
        <f t="array" aca="1" ref="O207" ca="1">IF(L207&lt;&gt;"",L207,_xlfn.XLOOKUP(B207,OFFSET($C$4,0,0,$A$2,1),OFFSET($O$4,0,0,$A$2,1)))</f>
        <v>Composition 35</v>
      </c>
      <c r="P207" s="55" cm="1">
        <f t="array" aca="1" ref="P207" ca="1">MATCH(J207, _xlfn._xlws.FILTER($J$4:$J$430,$O$4:$O$430=O207), 0)+1</f>
        <v>6</v>
      </c>
      <c r="Q207" s="63" t="str">
        <f>_xlfn.XLOOKUP(B207, IN_Zugliste!A:A, IN_Zugliste!M:M, "")</f>
        <v>11:50:28</v>
      </c>
    </row>
    <row r="208" spans="1:17" ht="15" customHeight="1" x14ac:dyDescent="0.2">
      <c r="A208" s="63" t="s">
        <v>686</v>
      </c>
      <c r="B208" s="63" t="s">
        <v>335</v>
      </c>
      <c r="C208" s="63" t="s">
        <v>350</v>
      </c>
      <c r="D208" s="63" t="s">
        <v>1111</v>
      </c>
      <c r="E208" s="63" t="s">
        <v>948</v>
      </c>
      <c r="F208" s="63" t="s">
        <v>1361</v>
      </c>
      <c r="G208" s="63" t="s">
        <v>1362</v>
      </c>
      <c r="H208" s="63" t="s">
        <v>691</v>
      </c>
      <c r="I208" s="63" t="s">
        <v>1363</v>
      </c>
      <c r="J208" s="63" t="s">
        <v>1364</v>
      </c>
      <c r="K208" s="55">
        <f t="shared" ca="1" si="3"/>
        <v>1</v>
      </c>
      <c r="L208" s="56" t="str">
        <f ca="1">IF(K208&gt;0,"Composition "&amp;SUM(K$4:K208),"")</f>
        <v>Composition 36</v>
      </c>
      <c r="M208" s="55" cm="1">
        <f t="array" aca="1" ref="M208" ca="1">IF(K208=1,_xlfn.XLOOKUP(B208,OFFSET(IN_Zugliste!$A$4,0,0,IN_Zugliste!$A$2,1),OFFSET(IN_Zugliste!$K$4,0,0,IN_Zugliste!$A$2,1),0),0)+_xlfn.XLOOKUP(C208,OFFSET(IN_Zugliste!$A$4,0,0,IN_Zugliste!$A$2,1),OFFSET(IN_Zugliste!$K$4,0,0,IN_Zugliste!$A$2,1),0)</f>
        <v>308062</v>
      </c>
      <c r="N208" s="55" t="str" cm="1">
        <f t="array" aca="1" ref="N208" ca="1">IF(K208=1,_xlfn.XLOOKUP(B208,OFFSET(IN_Zugliste!$A$4,0,0,IN_Zugliste!$A$2,1),OFFSET(IN_Zugliste!$D$4,0,0,IN_Zugliste!$A$2,1),""),"")</f>
        <v>462-1.0</v>
      </c>
      <c r="O208" s="55" t="str" cm="1">
        <f t="array" aca="1" ref="O208" ca="1">IF(L208&lt;&gt;"",L208,_xlfn.XLOOKUP(B208,OFFSET($C$4,0,0,$A$2,1),OFFSET($O$4,0,0,$A$2,1)))</f>
        <v>Composition 36</v>
      </c>
      <c r="P208" s="55" cm="1">
        <f t="array" aca="1" ref="P208" ca="1">MATCH(J208, _xlfn._xlws.FILTER($J$4:$J$430,$O$4:$O$430=O208), 0)+1</f>
        <v>2</v>
      </c>
      <c r="Q208" s="63" t="str">
        <f>_xlfn.XLOOKUP(B208, IN_Zugliste!A:A, IN_Zugliste!M:M, "")</f>
        <v>04:48:25</v>
      </c>
    </row>
    <row r="209" spans="1:17" ht="15" customHeight="1" x14ac:dyDescent="0.2">
      <c r="A209" s="63" t="s">
        <v>686</v>
      </c>
      <c r="B209" s="63" t="s">
        <v>350</v>
      </c>
      <c r="C209" s="63" t="s">
        <v>342</v>
      </c>
      <c r="D209" s="63" t="s">
        <v>1365</v>
      </c>
      <c r="E209" s="63" t="s">
        <v>688</v>
      </c>
      <c r="F209" s="63" t="s">
        <v>1366</v>
      </c>
      <c r="G209" s="63" t="s">
        <v>1367</v>
      </c>
      <c r="H209" s="63" t="s">
        <v>691</v>
      </c>
      <c r="I209" s="63" t="s">
        <v>1367</v>
      </c>
      <c r="J209" s="63" t="s">
        <v>1368</v>
      </c>
      <c r="K209" s="55">
        <f t="shared" ca="1" si="3"/>
        <v>0</v>
      </c>
      <c r="L209" s="56" t="str">
        <f ca="1">IF(K209&gt;0,"Composition "&amp;SUM(K$4:K209),"")</f>
        <v/>
      </c>
      <c r="M209" s="55" cm="1">
        <f t="array" aca="1" ref="M209" ca="1">IF(K209=1,_xlfn.XLOOKUP(B209,OFFSET(IN_Zugliste!$A$4,0,0,IN_Zugliste!$A$2,1),OFFSET(IN_Zugliste!$K$4,0,0,IN_Zugliste!$A$2,1),0),0)+_xlfn.XLOOKUP(C209,OFFSET(IN_Zugliste!$A$4,0,0,IN_Zugliste!$A$2,1),OFFSET(IN_Zugliste!$K$4,0,0,IN_Zugliste!$A$2,1),0)</f>
        <v>153929</v>
      </c>
      <c r="N209" s="55" t="str" cm="1">
        <f t="array" aca="1" ref="N209" ca="1">IF(K209=1,_xlfn.XLOOKUP(B209,OFFSET(IN_Zugliste!$A$4,0,0,IN_Zugliste!$A$2,1),OFFSET(IN_Zugliste!$D$4,0,0,IN_Zugliste!$A$2,1),""),"")</f>
        <v/>
      </c>
      <c r="O209" s="55" t="str" cm="1">
        <f t="array" aca="1" ref="O209" ca="1">IF(L209&lt;&gt;"",L209,_xlfn.XLOOKUP(B209,OFFSET($C$4,0,0,$A$2,1),OFFSET($O$4,0,0,$A$2,1)))</f>
        <v>Composition 36</v>
      </c>
      <c r="P209" s="55" cm="1">
        <f t="array" aca="1" ref="P209" ca="1">MATCH(J209, _xlfn._xlws.FILTER($J$4:$J$430,$O$4:$O$430=O209), 0)+1</f>
        <v>3</v>
      </c>
      <c r="Q209" s="63" t="str">
        <f>_xlfn.XLOOKUP(B209, IN_Zugliste!A:A, IN_Zugliste!M:M, "")</f>
        <v>07:14:33</v>
      </c>
    </row>
    <row r="210" spans="1:17" ht="15" customHeight="1" x14ac:dyDescent="0.2">
      <c r="A210" s="63" t="s">
        <v>686</v>
      </c>
      <c r="B210" s="63" t="s">
        <v>342</v>
      </c>
      <c r="C210" s="63" t="s">
        <v>355</v>
      </c>
      <c r="D210" s="63" t="s">
        <v>1111</v>
      </c>
      <c r="E210" s="63" t="s">
        <v>948</v>
      </c>
      <c r="F210" s="63" t="s">
        <v>1369</v>
      </c>
      <c r="G210" s="63" t="s">
        <v>1370</v>
      </c>
      <c r="H210" s="63" t="s">
        <v>691</v>
      </c>
      <c r="I210" s="63" t="s">
        <v>1371</v>
      </c>
      <c r="J210" s="63" t="s">
        <v>1372</v>
      </c>
      <c r="K210" s="55">
        <f t="shared" ca="1" si="3"/>
        <v>0</v>
      </c>
      <c r="L210" s="56" t="str">
        <f ca="1">IF(K210&gt;0,"Composition "&amp;SUM(K$4:K210),"")</f>
        <v/>
      </c>
      <c r="M210" s="55" cm="1">
        <f t="array" aca="1" ref="M210" ca="1">IF(K210=1,_xlfn.XLOOKUP(B210,OFFSET(IN_Zugliste!$A$4,0,0,IN_Zugliste!$A$2,1),OFFSET(IN_Zugliste!$K$4,0,0,IN_Zugliste!$A$2,1),0),0)+_xlfn.XLOOKUP(C210,OFFSET(IN_Zugliste!$A$4,0,0,IN_Zugliste!$A$2,1),OFFSET(IN_Zugliste!$K$4,0,0,IN_Zugliste!$A$2,1),0)</f>
        <v>154133</v>
      </c>
      <c r="N210" s="55" t="str" cm="1">
        <f t="array" aca="1" ref="N210" ca="1">IF(K210=1,_xlfn.XLOOKUP(B210,OFFSET(IN_Zugliste!$A$4,0,0,IN_Zugliste!$A$2,1),OFFSET(IN_Zugliste!$D$4,0,0,IN_Zugliste!$A$2,1),""),"")</f>
        <v/>
      </c>
      <c r="O210" s="55" t="str" cm="1">
        <f t="array" aca="1" ref="O210" ca="1">IF(L210&lt;&gt;"",L210,_xlfn.XLOOKUP(B210,OFFSET($C$4,0,0,$A$2,1),OFFSET($O$4,0,0,$A$2,1)))</f>
        <v>Composition 36</v>
      </c>
      <c r="P210" s="55" cm="1">
        <f t="array" aca="1" ref="P210" ca="1">MATCH(J210, _xlfn._xlws.FILTER($J$4:$J$430,$O$4:$O$430=O210), 0)+1</f>
        <v>4</v>
      </c>
      <c r="Q210" s="63" t="str">
        <f>_xlfn.XLOOKUP(B210, IN_Zugliste!A:A, IN_Zugliste!M:M, "")</f>
        <v>09:48:25</v>
      </c>
    </row>
    <row r="211" spans="1:17" ht="15" customHeight="1" x14ac:dyDescent="0.2">
      <c r="A211" s="63" t="s">
        <v>686</v>
      </c>
      <c r="B211" s="63" t="s">
        <v>540</v>
      </c>
      <c r="C211" s="63" t="s">
        <v>552</v>
      </c>
      <c r="D211" s="63" t="s">
        <v>971</v>
      </c>
      <c r="E211" s="63" t="s">
        <v>688</v>
      </c>
      <c r="F211" s="63" t="s">
        <v>1373</v>
      </c>
      <c r="G211" s="63" t="s">
        <v>1374</v>
      </c>
      <c r="H211" s="63" t="s">
        <v>691</v>
      </c>
      <c r="I211" s="63" t="s">
        <v>1374</v>
      </c>
      <c r="J211" s="63" t="s">
        <v>1375</v>
      </c>
      <c r="K211" s="55">
        <f t="shared" ca="1" si="3"/>
        <v>1</v>
      </c>
      <c r="L211" s="56" t="str">
        <f ca="1">IF(K211&gt;0,"Composition "&amp;SUM(K$4:K211),"")</f>
        <v>Composition 37</v>
      </c>
      <c r="M211" s="55" cm="1">
        <f t="array" aca="1" ref="M211" ca="1">IF(K211=1,_xlfn.XLOOKUP(B211,OFFSET(IN_Zugliste!$A$4,0,0,IN_Zugliste!$A$2,1),OFFSET(IN_Zugliste!$K$4,0,0,IN_Zugliste!$A$2,1),0),0)+_xlfn.XLOOKUP(C211,OFFSET(IN_Zugliste!$A$4,0,0,IN_Zugliste!$A$2,1),OFFSET(IN_Zugliste!$K$4,0,0,IN_Zugliste!$A$2,1),0)</f>
        <v>161777</v>
      </c>
      <c r="N211" s="55" t="str" cm="1">
        <f t="array" aca="1" ref="N211" ca="1">IF(K211=1,_xlfn.XLOOKUP(B211,OFFSET(IN_Zugliste!$A$4,0,0,IN_Zugliste!$A$2,1),OFFSET(IN_Zugliste!$D$4,0,0,IN_Zugliste!$A$2,1),""),"")</f>
        <v>101-3.0</v>
      </c>
      <c r="O211" s="55" t="str" cm="1">
        <f t="array" aca="1" ref="O211" ca="1">IF(L211&lt;&gt;"",L211,_xlfn.XLOOKUP(B211,OFFSET($C$4,0,0,$A$2,1),OFFSET($O$4,0,0,$A$2,1)))</f>
        <v>Composition 37</v>
      </c>
      <c r="P211" s="55" cm="1">
        <f t="array" aca="1" ref="P211" ca="1">MATCH(J211, _xlfn._xlws.FILTER($J$4:$J$430,$O$4:$O$430=O211), 0)+1</f>
        <v>2</v>
      </c>
      <c r="Q211" s="63" t="str">
        <f>_xlfn.XLOOKUP(B211, IN_Zugliste!A:A, IN_Zugliste!M:M, "")</f>
        <v>05:54:04</v>
      </c>
    </row>
    <row r="212" spans="1:17" ht="15" customHeight="1" x14ac:dyDescent="0.2">
      <c r="A212" s="63" t="s">
        <v>686</v>
      </c>
      <c r="B212" s="63" t="s">
        <v>552</v>
      </c>
      <c r="C212" s="63" t="s">
        <v>543</v>
      </c>
      <c r="D212" s="63" t="s">
        <v>929</v>
      </c>
      <c r="E212" s="63" t="s">
        <v>688</v>
      </c>
      <c r="F212" s="63" t="s">
        <v>1376</v>
      </c>
      <c r="G212" s="63" t="s">
        <v>1377</v>
      </c>
      <c r="H212" s="63" t="s">
        <v>691</v>
      </c>
      <c r="I212" s="63" t="s">
        <v>1377</v>
      </c>
      <c r="J212" s="63" t="s">
        <v>1378</v>
      </c>
      <c r="K212" s="55">
        <f t="shared" ca="1" si="3"/>
        <v>0</v>
      </c>
      <c r="L212" s="56" t="str">
        <f ca="1">IF(K212&gt;0,"Composition "&amp;SUM(K$4:K212),"")</f>
        <v/>
      </c>
      <c r="M212" s="55" cm="1">
        <f t="array" aca="1" ref="M212" ca="1">IF(K212=1,_xlfn.XLOOKUP(B212,OFFSET(IN_Zugliste!$A$4,0,0,IN_Zugliste!$A$2,1),OFFSET(IN_Zugliste!$K$4,0,0,IN_Zugliste!$A$2,1),0),0)+_xlfn.XLOOKUP(C212,OFFSET(IN_Zugliste!$A$4,0,0,IN_Zugliste!$A$2,1),OFFSET(IN_Zugliste!$K$4,0,0,IN_Zugliste!$A$2,1),0)</f>
        <v>80866</v>
      </c>
      <c r="N212" s="55" t="str" cm="1">
        <f t="array" aca="1" ref="N212" ca="1">IF(K212=1,_xlfn.XLOOKUP(B212,OFFSET(IN_Zugliste!$A$4,0,0,IN_Zugliste!$A$2,1),OFFSET(IN_Zugliste!$D$4,0,0,IN_Zugliste!$A$2,1),""),"")</f>
        <v/>
      </c>
      <c r="O212" s="55" t="str" cm="1">
        <f t="array" aca="1" ref="O212" ca="1">IF(L212&lt;&gt;"",L212,_xlfn.XLOOKUP(B212,OFFSET($C$4,0,0,$A$2,1),OFFSET($O$4,0,0,$A$2,1)))</f>
        <v>Composition 37</v>
      </c>
      <c r="P212" s="55" cm="1">
        <f t="array" aca="1" ref="P212" ca="1">MATCH(J212, _xlfn._xlws.FILTER($J$4:$J$430,$O$4:$O$430=O212), 0)+1</f>
        <v>3</v>
      </c>
      <c r="Q212" s="63" t="str">
        <f>_xlfn.XLOOKUP(B212, IN_Zugliste!A:A, IN_Zugliste!M:M, "")</f>
        <v>07:24:33</v>
      </c>
    </row>
    <row r="213" spans="1:17" ht="15" customHeight="1" x14ac:dyDescent="0.2">
      <c r="A213" s="63" t="s">
        <v>686</v>
      </c>
      <c r="B213" s="63" t="s">
        <v>543</v>
      </c>
      <c r="C213" s="63" t="s">
        <v>555</v>
      </c>
      <c r="D213" s="63" t="s">
        <v>971</v>
      </c>
      <c r="E213" s="63" t="s">
        <v>688</v>
      </c>
      <c r="F213" s="63" t="s">
        <v>1379</v>
      </c>
      <c r="G213" s="63" t="s">
        <v>1380</v>
      </c>
      <c r="H213" s="63" t="s">
        <v>691</v>
      </c>
      <c r="I213" s="63" t="s">
        <v>1380</v>
      </c>
      <c r="J213" s="63" t="s">
        <v>1381</v>
      </c>
      <c r="K213" s="55">
        <f t="shared" ca="1" si="3"/>
        <v>0</v>
      </c>
      <c r="L213" s="56" t="str">
        <f ca="1">IF(K213&gt;0,"Composition "&amp;SUM(K$4:K213),"")</f>
        <v/>
      </c>
      <c r="M213" s="55" cm="1">
        <f t="array" aca="1" ref="M213" ca="1">IF(K213=1,_xlfn.XLOOKUP(B213,OFFSET(IN_Zugliste!$A$4,0,0,IN_Zugliste!$A$2,1),OFFSET(IN_Zugliste!$K$4,0,0,IN_Zugliste!$A$2,1),0),0)+_xlfn.XLOOKUP(C213,OFFSET(IN_Zugliste!$A$4,0,0,IN_Zugliste!$A$2,1),OFFSET(IN_Zugliste!$K$4,0,0,IN_Zugliste!$A$2,1),0)</f>
        <v>80911</v>
      </c>
      <c r="N213" s="55" t="str" cm="1">
        <f t="array" aca="1" ref="N213" ca="1">IF(K213=1,_xlfn.XLOOKUP(B213,OFFSET(IN_Zugliste!$A$4,0,0,IN_Zugliste!$A$2,1),OFFSET(IN_Zugliste!$D$4,0,0,IN_Zugliste!$A$2,1),""),"")</f>
        <v/>
      </c>
      <c r="O213" s="55" t="str" cm="1">
        <f t="array" aca="1" ref="O213" ca="1">IF(L213&lt;&gt;"",L213,_xlfn.XLOOKUP(B213,OFFSET($C$4,0,0,$A$2,1),OFFSET($O$4,0,0,$A$2,1)))</f>
        <v>Composition 37</v>
      </c>
      <c r="P213" s="55" cm="1">
        <f t="array" aca="1" ref="P213" ca="1">MATCH(J213, _xlfn._xlws.FILTER($J$4:$J$430,$O$4:$O$430=O213), 0)+1</f>
        <v>4</v>
      </c>
      <c r="Q213" s="63" t="str">
        <f>_xlfn.XLOOKUP(B213, IN_Zugliste!A:A, IN_Zugliste!M:M, "")</f>
        <v>08:54:04</v>
      </c>
    </row>
    <row r="214" spans="1:17" ht="15" customHeight="1" x14ac:dyDescent="0.2">
      <c r="A214" s="63" t="s">
        <v>686</v>
      </c>
      <c r="B214" s="63" t="s">
        <v>555</v>
      </c>
      <c r="C214" s="63" t="s">
        <v>546</v>
      </c>
      <c r="D214" s="63" t="s">
        <v>929</v>
      </c>
      <c r="E214" s="63" t="s">
        <v>688</v>
      </c>
      <c r="F214" s="63" t="s">
        <v>1382</v>
      </c>
      <c r="G214" s="63" t="s">
        <v>1383</v>
      </c>
      <c r="H214" s="63" t="s">
        <v>691</v>
      </c>
      <c r="I214" s="63" t="s">
        <v>1383</v>
      </c>
      <c r="J214" s="63" t="s">
        <v>1384</v>
      </c>
      <c r="K214" s="55">
        <f t="shared" ca="1" si="3"/>
        <v>0</v>
      </c>
      <c r="L214" s="56" t="str">
        <f ca="1">IF(K214&gt;0,"Composition "&amp;SUM(K$4:K214),"")</f>
        <v/>
      </c>
      <c r="M214" s="55" cm="1">
        <f t="array" aca="1" ref="M214" ca="1">IF(K214=1,_xlfn.XLOOKUP(B214,OFFSET(IN_Zugliste!$A$4,0,0,IN_Zugliste!$A$2,1),OFFSET(IN_Zugliste!$K$4,0,0,IN_Zugliste!$A$2,1),0),0)+_xlfn.XLOOKUP(C214,OFFSET(IN_Zugliste!$A$4,0,0,IN_Zugliste!$A$2,1),OFFSET(IN_Zugliste!$K$4,0,0,IN_Zugliste!$A$2,1),0)</f>
        <v>80866</v>
      </c>
      <c r="N214" s="55" t="str" cm="1">
        <f t="array" aca="1" ref="N214" ca="1">IF(K214=1,_xlfn.XLOOKUP(B214,OFFSET(IN_Zugliste!$A$4,0,0,IN_Zugliste!$A$2,1),OFFSET(IN_Zugliste!$D$4,0,0,IN_Zugliste!$A$2,1),""),"")</f>
        <v/>
      </c>
      <c r="O214" s="55" t="str" cm="1">
        <f t="array" aca="1" ref="O214" ca="1">IF(L214&lt;&gt;"",L214,_xlfn.XLOOKUP(B214,OFFSET($C$4,0,0,$A$2,1),OFFSET($O$4,0,0,$A$2,1)))</f>
        <v>Composition 37</v>
      </c>
      <c r="P214" s="55" cm="1">
        <f t="array" aca="1" ref="P214" ca="1">MATCH(J214, _xlfn._xlws.FILTER($J$4:$J$430,$O$4:$O$430=O214), 0)+1</f>
        <v>5</v>
      </c>
      <c r="Q214" s="63" t="str">
        <f>_xlfn.XLOOKUP(B214, IN_Zugliste!A:A, IN_Zugliste!M:M, "")</f>
        <v>10:24:33</v>
      </c>
    </row>
    <row r="215" spans="1:17" ht="15" customHeight="1" x14ac:dyDescent="0.2">
      <c r="A215" s="63" t="s">
        <v>686</v>
      </c>
      <c r="B215" s="63" t="s">
        <v>546</v>
      </c>
      <c r="C215" s="63" t="s">
        <v>558</v>
      </c>
      <c r="D215" s="63" t="s">
        <v>971</v>
      </c>
      <c r="E215" s="63" t="s">
        <v>688</v>
      </c>
      <c r="F215" s="63" t="s">
        <v>1385</v>
      </c>
      <c r="G215" s="63" t="s">
        <v>1386</v>
      </c>
      <c r="H215" s="63" t="s">
        <v>691</v>
      </c>
      <c r="I215" s="63" t="s">
        <v>1386</v>
      </c>
      <c r="J215" s="63" t="s">
        <v>1387</v>
      </c>
      <c r="K215" s="55">
        <f t="shared" ca="1" si="3"/>
        <v>0</v>
      </c>
      <c r="L215" s="56" t="str">
        <f ca="1">IF(K215&gt;0,"Composition "&amp;SUM(K$4:K215),"")</f>
        <v/>
      </c>
      <c r="M215" s="55" cm="1">
        <f t="array" aca="1" ref="M215" ca="1">IF(K215=1,_xlfn.XLOOKUP(B215,OFFSET(IN_Zugliste!$A$4,0,0,IN_Zugliste!$A$2,1),OFFSET(IN_Zugliste!$K$4,0,0,IN_Zugliste!$A$2,1),0),0)+_xlfn.XLOOKUP(C215,OFFSET(IN_Zugliste!$A$4,0,0,IN_Zugliste!$A$2,1),OFFSET(IN_Zugliste!$K$4,0,0,IN_Zugliste!$A$2,1),0)</f>
        <v>80911</v>
      </c>
      <c r="N215" s="55" t="str" cm="1">
        <f t="array" aca="1" ref="N215" ca="1">IF(K215=1,_xlfn.XLOOKUP(B215,OFFSET(IN_Zugliste!$A$4,0,0,IN_Zugliste!$A$2,1),OFFSET(IN_Zugliste!$D$4,0,0,IN_Zugliste!$A$2,1),""),"")</f>
        <v/>
      </c>
      <c r="O215" s="55" t="str" cm="1">
        <f t="array" aca="1" ref="O215" ca="1">IF(L215&lt;&gt;"",L215,_xlfn.XLOOKUP(B215,OFFSET($C$4,0,0,$A$2,1),OFFSET($O$4,0,0,$A$2,1)))</f>
        <v>Composition 37</v>
      </c>
      <c r="P215" s="55" cm="1">
        <f t="array" aca="1" ref="P215" ca="1">MATCH(J215, _xlfn._xlws.FILTER($J$4:$J$430,$O$4:$O$430=O215), 0)+1</f>
        <v>6</v>
      </c>
      <c r="Q215" s="63" t="str">
        <f>_xlfn.XLOOKUP(B215, IN_Zugliste!A:A, IN_Zugliste!M:M, "")</f>
        <v>11:54:04</v>
      </c>
    </row>
    <row r="216" spans="1:17" ht="15" customHeight="1" x14ac:dyDescent="0.2">
      <c r="A216" s="63" t="s">
        <v>686</v>
      </c>
      <c r="B216" s="63" t="s">
        <v>573</v>
      </c>
      <c r="C216" s="63" t="s">
        <v>585</v>
      </c>
      <c r="D216" s="63" t="s">
        <v>990</v>
      </c>
      <c r="E216" s="63" t="s">
        <v>688</v>
      </c>
      <c r="F216" s="63" t="s">
        <v>1388</v>
      </c>
      <c r="G216" s="63" t="s">
        <v>1389</v>
      </c>
      <c r="H216" s="63" t="s">
        <v>691</v>
      </c>
      <c r="I216" s="63" t="s">
        <v>1389</v>
      </c>
      <c r="J216" s="63" t="s">
        <v>1390</v>
      </c>
      <c r="K216" s="55">
        <f t="shared" ca="1" si="3"/>
        <v>1</v>
      </c>
      <c r="L216" s="56" t="str">
        <f ca="1">IF(K216&gt;0,"Composition "&amp;SUM(K$4:K216),"")</f>
        <v>Composition 38</v>
      </c>
      <c r="M216" s="55" cm="1">
        <f t="array" aca="1" ref="M216" ca="1">IF(K216=1,_xlfn.XLOOKUP(B216,OFFSET(IN_Zugliste!$A$4,0,0,IN_Zugliste!$A$2,1),OFFSET(IN_Zugliste!$K$4,0,0,IN_Zugliste!$A$2,1),0),0)+_xlfn.XLOOKUP(C216,OFFSET(IN_Zugliste!$A$4,0,0,IN_Zugliste!$A$2,1),OFFSET(IN_Zugliste!$K$4,0,0,IN_Zugliste!$A$2,1),0)</f>
        <v>322951</v>
      </c>
      <c r="N216" s="55" t="str" cm="1">
        <f t="array" aca="1" ref="N216" ca="1">IF(K216=1,_xlfn.XLOOKUP(B216,OFFSET(IN_Zugliste!$A$4,0,0,IN_Zugliste!$A$2,1),OFFSET(IN_Zugliste!$D$4,0,0,IN_Zugliste!$A$2,1),""),"")</f>
        <v>146-3.2</v>
      </c>
      <c r="O216" s="55" t="str" cm="1">
        <f t="array" aca="1" ref="O216" ca="1">IF(L216&lt;&gt;"",L216,_xlfn.XLOOKUP(B216,OFFSET($C$4,0,0,$A$2,1),OFFSET($O$4,0,0,$A$2,1)))</f>
        <v>Composition 38</v>
      </c>
      <c r="P216" s="55" cm="1">
        <f t="array" aca="1" ref="P216" ca="1">MATCH(J216, _xlfn._xlws.FILTER($J$4:$J$430,$O$4:$O$430=O216), 0)+1</f>
        <v>2</v>
      </c>
      <c r="Q216" s="63" t="str">
        <f>_xlfn.XLOOKUP(B216, IN_Zugliste!A:A, IN_Zugliste!M:M, "")</f>
        <v>05:50:55</v>
      </c>
    </row>
    <row r="217" spans="1:17" ht="15" customHeight="1" x14ac:dyDescent="0.2">
      <c r="A217" s="63" t="s">
        <v>686</v>
      </c>
      <c r="B217" s="63" t="s">
        <v>585</v>
      </c>
      <c r="C217" s="63" t="s">
        <v>600</v>
      </c>
      <c r="D217" s="63" t="s">
        <v>994</v>
      </c>
      <c r="E217" s="63" t="s">
        <v>688</v>
      </c>
      <c r="F217" s="63" t="s">
        <v>1391</v>
      </c>
      <c r="G217" s="63" t="s">
        <v>1392</v>
      </c>
      <c r="H217" s="63" t="s">
        <v>691</v>
      </c>
      <c r="I217" s="63" t="s">
        <v>1392</v>
      </c>
      <c r="J217" s="63" t="s">
        <v>1393</v>
      </c>
      <c r="K217" s="55">
        <f t="shared" ca="1" si="3"/>
        <v>0</v>
      </c>
      <c r="L217" s="56" t="str">
        <f ca="1">IF(K217&gt;0,"Composition "&amp;SUM(K$4:K217),"")</f>
        <v/>
      </c>
      <c r="M217" s="55" cm="1">
        <f t="array" aca="1" ref="M217" ca="1">IF(K217=1,_xlfn.XLOOKUP(B217,OFFSET(IN_Zugliste!$A$4,0,0,IN_Zugliste!$A$2,1),OFFSET(IN_Zugliste!$K$4,0,0,IN_Zugliste!$A$2,1),0),0)+_xlfn.XLOOKUP(C217,OFFSET(IN_Zugliste!$A$4,0,0,IN_Zugliste!$A$2,1),OFFSET(IN_Zugliste!$K$4,0,0,IN_Zugliste!$A$2,1),0)</f>
        <v>224131</v>
      </c>
      <c r="N217" s="55" t="str" cm="1">
        <f t="array" aca="1" ref="N217" ca="1">IF(K217=1,_xlfn.XLOOKUP(B217,OFFSET(IN_Zugliste!$A$4,0,0,IN_Zugliste!$A$2,1),OFFSET(IN_Zugliste!$D$4,0,0,IN_Zugliste!$A$2,1),""),"")</f>
        <v/>
      </c>
      <c r="O217" s="55" t="str" cm="1">
        <f t="array" aca="1" ref="O217" ca="1">IF(L217&lt;&gt;"",L217,_xlfn.XLOOKUP(B217,OFFSET($C$4,0,0,$A$2,1),OFFSET($O$4,0,0,$A$2,1)))</f>
        <v>Composition 38</v>
      </c>
      <c r="P217" s="55" cm="1">
        <f t="array" aca="1" ref="P217" ca="1">MATCH(J217, _xlfn._xlws.FILTER($J$4:$J$430,$O$4:$O$430=O217), 0)+1</f>
        <v>3</v>
      </c>
      <c r="Q217" s="63" t="str">
        <f>_xlfn.XLOOKUP(B217, IN_Zugliste!A:A, IN_Zugliste!M:M, "")</f>
        <v>07:25:20</v>
      </c>
    </row>
    <row r="218" spans="1:17" ht="15" customHeight="1" x14ac:dyDescent="0.2">
      <c r="A218" s="63" t="s">
        <v>686</v>
      </c>
      <c r="B218" s="63" t="s">
        <v>600</v>
      </c>
      <c r="C218" s="63" t="s">
        <v>561</v>
      </c>
      <c r="D218" s="63" t="s">
        <v>990</v>
      </c>
      <c r="E218" s="63" t="s">
        <v>688</v>
      </c>
      <c r="F218" s="63" t="s">
        <v>1394</v>
      </c>
      <c r="G218" s="63" t="s">
        <v>1395</v>
      </c>
      <c r="H218" s="63" t="s">
        <v>691</v>
      </c>
      <c r="I218" s="63" t="s">
        <v>1396</v>
      </c>
      <c r="J218" s="63" t="s">
        <v>1397</v>
      </c>
      <c r="K218" s="55">
        <f t="shared" ca="1" si="3"/>
        <v>0</v>
      </c>
      <c r="L218" s="56" t="str">
        <f ca="1">IF(K218&gt;0,"Composition "&amp;SUM(K$4:K218),"")</f>
        <v/>
      </c>
      <c r="M218" s="55" cm="1">
        <f t="array" aca="1" ref="M218" ca="1">IF(K218=1,_xlfn.XLOOKUP(B218,OFFSET(IN_Zugliste!$A$4,0,0,IN_Zugliste!$A$2,1),OFFSET(IN_Zugliste!$K$4,0,0,IN_Zugliste!$A$2,1),0),0)+_xlfn.XLOOKUP(C218,OFFSET(IN_Zugliste!$A$4,0,0,IN_Zugliste!$A$2,1),OFFSET(IN_Zugliste!$K$4,0,0,IN_Zugliste!$A$2,1),0)</f>
        <v>98831</v>
      </c>
      <c r="N218" s="55" t="str" cm="1">
        <f t="array" aca="1" ref="N218" ca="1">IF(K218=1,_xlfn.XLOOKUP(B218,OFFSET(IN_Zugliste!$A$4,0,0,IN_Zugliste!$A$2,1),OFFSET(IN_Zugliste!$D$4,0,0,IN_Zugliste!$A$2,1),""),"")</f>
        <v/>
      </c>
      <c r="O218" s="55" t="str" cm="1">
        <f t="array" aca="1" ref="O218" ca="1">IF(L218&lt;&gt;"",L218,_xlfn.XLOOKUP(B218,OFFSET($C$4,0,0,$A$2,1),OFFSET($O$4,0,0,$A$2,1)))</f>
        <v>Composition 38</v>
      </c>
      <c r="P218" s="55" cm="1">
        <f t="array" aca="1" ref="P218" ca="1">MATCH(J218, _xlfn._xlws.FILTER($J$4:$J$430,$O$4:$O$430=O218), 0)+1</f>
        <v>4</v>
      </c>
      <c r="Q218" s="63" t="str">
        <f>_xlfn.XLOOKUP(B218, IN_Zugliste!A:A, IN_Zugliste!M:M, "")</f>
        <v>10:49:22</v>
      </c>
    </row>
    <row r="219" spans="1:17" ht="15" customHeight="1" x14ac:dyDescent="0.2">
      <c r="A219" s="63" t="s">
        <v>686</v>
      </c>
      <c r="B219" s="63" t="s">
        <v>144</v>
      </c>
      <c r="C219" s="63" t="s">
        <v>115</v>
      </c>
      <c r="D219" s="63" t="s">
        <v>994</v>
      </c>
      <c r="E219" s="63" t="s">
        <v>688</v>
      </c>
      <c r="F219" s="63" t="s">
        <v>1398</v>
      </c>
      <c r="G219" s="63" t="s">
        <v>1399</v>
      </c>
      <c r="H219" s="63" t="s">
        <v>691</v>
      </c>
      <c r="I219" s="63" t="s">
        <v>1399</v>
      </c>
      <c r="J219" s="63" t="s">
        <v>1400</v>
      </c>
      <c r="K219" s="55">
        <f t="shared" ca="1" si="3"/>
        <v>1</v>
      </c>
      <c r="L219" s="56" t="str">
        <f ca="1">IF(K219&gt;0,"Composition "&amp;SUM(K$4:K219),"")</f>
        <v>Composition 39</v>
      </c>
      <c r="M219" s="55" cm="1">
        <f t="array" aca="1" ref="M219" ca="1">IF(K219=1,_xlfn.XLOOKUP(B219,OFFSET(IN_Zugliste!$A$4,0,0,IN_Zugliste!$A$2,1),OFFSET(IN_Zugliste!$K$4,0,0,IN_Zugliste!$A$2,1),0),0)+_xlfn.XLOOKUP(C219,OFFSET(IN_Zugliste!$A$4,0,0,IN_Zugliste!$A$2,1),OFFSET(IN_Zugliste!$K$4,0,0,IN_Zugliste!$A$2,1),0)</f>
        <v>360401</v>
      </c>
      <c r="N219" s="55" t="str" cm="1">
        <f t="array" aca="1" ref="N219" ca="1">IF(K219=1,_xlfn.XLOOKUP(B219,OFFSET(IN_Zugliste!$A$4,0,0,IN_Zugliste!$A$2,1),OFFSET(IN_Zugliste!$D$4,0,0,IN_Zugliste!$A$2,1),""),"")</f>
        <v>462-1.0</v>
      </c>
      <c r="O219" s="55" t="str" cm="1">
        <f t="array" aca="1" ref="O219" ca="1">IF(L219&lt;&gt;"",L219,_xlfn.XLOOKUP(B219,OFFSET($C$4,0,0,$A$2,1),OFFSET($O$4,0,0,$A$2,1)))</f>
        <v>Composition 39</v>
      </c>
      <c r="P219" s="55" cm="1">
        <f t="array" aca="1" ref="P219" ca="1">MATCH(J219, _xlfn._xlws.FILTER($J$4:$J$430,$O$4:$O$430=O219), 0)+1</f>
        <v>2</v>
      </c>
      <c r="Q219" s="63" t="str">
        <f>_xlfn.XLOOKUP(B219, IN_Zugliste!A:A, IN_Zugliste!M:M, "")</f>
        <v>04:51:38</v>
      </c>
    </row>
    <row r="220" spans="1:17" ht="15" customHeight="1" x14ac:dyDescent="0.2">
      <c r="A220" s="63" t="s">
        <v>686</v>
      </c>
      <c r="B220" s="63" t="s">
        <v>115</v>
      </c>
      <c r="C220" s="63" t="s">
        <v>129</v>
      </c>
      <c r="D220" s="63" t="s">
        <v>723</v>
      </c>
      <c r="E220" s="63" t="s">
        <v>688</v>
      </c>
      <c r="F220" s="63" t="s">
        <v>1401</v>
      </c>
      <c r="G220" s="63" t="s">
        <v>1402</v>
      </c>
      <c r="H220" s="63" t="s">
        <v>691</v>
      </c>
      <c r="I220" s="63" t="s">
        <v>1402</v>
      </c>
      <c r="J220" s="63" t="s">
        <v>1403</v>
      </c>
      <c r="K220" s="55">
        <f t="shared" ca="1" si="3"/>
        <v>0</v>
      </c>
      <c r="L220" s="56" t="str">
        <f ca="1">IF(K220&gt;0,"Composition "&amp;SUM(K$4:K220),"")</f>
        <v/>
      </c>
      <c r="M220" s="55" cm="1">
        <f t="array" aca="1" ref="M220" ca="1">IF(K220=1,_xlfn.XLOOKUP(B220,OFFSET(IN_Zugliste!$A$4,0,0,IN_Zugliste!$A$2,1),OFFSET(IN_Zugliste!$K$4,0,0,IN_Zugliste!$A$2,1),0),0)+_xlfn.XLOOKUP(C220,OFFSET(IN_Zugliste!$A$4,0,0,IN_Zugliste!$A$2,1),OFFSET(IN_Zugliste!$K$4,0,0,IN_Zugliste!$A$2,1),0)</f>
        <v>180226</v>
      </c>
      <c r="N220" s="55" t="str" cm="1">
        <f t="array" aca="1" ref="N220" ca="1">IF(K220=1,_xlfn.XLOOKUP(B220,OFFSET(IN_Zugliste!$A$4,0,0,IN_Zugliste!$A$2,1),OFFSET(IN_Zugliste!$D$4,0,0,IN_Zugliste!$A$2,1),""),"")</f>
        <v/>
      </c>
      <c r="O220" s="55" t="str" cm="1">
        <f t="array" aca="1" ref="O220" ca="1">IF(L220&lt;&gt;"",L220,_xlfn.XLOOKUP(B220,OFFSET($C$4,0,0,$A$2,1),OFFSET($O$4,0,0,$A$2,1)))</f>
        <v>Composition 39</v>
      </c>
      <c r="P220" s="55" cm="1">
        <f t="array" aca="1" ref="P220" ca="1">MATCH(J220, _xlfn._xlws.FILTER($J$4:$J$430,$O$4:$O$430=O220), 0)+1</f>
        <v>3</v>
      </c>
      <c r="Q220" s="63" t="str">
        <f>_xlfn.XLOOKUP(B220, IN_Zugliste!A:A, IN_Zugliste!M:M, "")</f>
        <v>07:34:27</v>
      </c>
    </row>
    <row r="221" spans="1:17" ht="15" customHeight="1" x14ac:dyDescent="0.2">
      <c r="A221" s="63" t="s">
        <v>686</v>
      </c>
      <c r="B221" s="63" t="s">
        <v>129</v>
      </c>
      <c r="C221" s="63" t="s">
        <v>143</v>
      </c>
      <c r="D221" s="63" t="s">
        <v>994</v>
      </c>
      <c r="E221" s="63" t="s">
        <v>688</v>
      </c>
      <c r="F221" s="63" t="s">
        <v>1404</v>
      </c>
      <c r="G221" s="63" t="s">
        <v>1405</v>
      </c>
      <c r="H221" s="63" t="s">
        <v>691</v>
      </c>
      <c r="I221" s="63" t="s">
        <v>1405</v>
      </c>
      <c r="J221" s="63" t="s">
        <v>1406</v>
      </c>
      <c r="K221" s="55">
        <f t="shared" ca="1" si="3"/>
        <v>0</v>
      </c>
      <c r="L221" s="56" t="str">
        <f ca="1">IF(K221&gt;0,"Composition "&amp;SUM(K$4:K221),"")</f>
        <v/>
      </c>
      <c r="M221" s="55" cm="1">
        <f t="array" aca="1" ref="M221" ca="1">IF(K221=1,_xlfn.XLOOKUP(B221,OFFSET(IN_Zugliste!$A$4,0,0,IN_Zugliste!$A$2,1),OFFSET(IN_Zugliste!$K$4,0,0,IN_Zugliste!$A$2,1),0),0)+_xlfn.XLOOKUP(C221,OFFSET(IN_Zugliste!$A$4,0,0,IN_Zugliste!$A$2,1),OFFSET(IN_Zugliste!$K$4,0,0,IN_Zugliste!$A$2,1),0)</f>
        <v>180175</v>
      </c>
      <c r="N221" s="55" t="str" cm="1">
        <f t="array" aca="1" ref="N221" ca="1">IF(K221=1,_xlfn.XLOOKUP(B221,OFFSET(IN_Zugliste!$A$4,0,0,IN_Zugliste!$A$2,1),OFFSET(IN_Zugliste!$D$4,0,0,IN_Zugliste!$A$2,1),""),"")</f>
        <v/>
      </c>
      <c r="O221" s="55" t="str" cm="1">
        <f t="array" aca="1" ref="O221" ca="1">IF(L221&lt;&gt;"",L221,_xlfn.XLOOKUP(B221,OFFSET($C$4,0,0,$A$2,1),OFFSET($O$4,0,0,$A$2,1)))</f>
        <v>Composition 39</v>
      </c>
      <c r="P221" s="55" cm="1">
        <f t="array" aca="1" ref="P221" ca="1">MATCH(J221, _xlfn._xlws.FILTER($J$4:$J$430,$O$4:$O$430=O221), 0)+1</f>
        <v>4</v>
      </c>
      <c r="Q221" s="63" t="str">
        <f>_xlfn.XLOOKUP(B221, IN_Zugliste!A:A, IN_Zugliste!M:M, "")</f>
        <v>10:22:31</v>
      </c>
    </row>
    <row r="222" spans="1:17" ht="15" customHeight="1" x14ac:dyDescent="0.2">
      <c r="A222" s="63" t="s">
        <v>686</v>
      </c>
      <c r="B222" s="63" t="s">
        <v>246</v>
      </c>
      <c r="C222" s="63" t="s">
        <v>285</v>
      </c>
      <c r="D222" s="63" t="s">
        <v>915</v>
      </c>
      <c r="E222" s="63" t="s">
        <v>688</v>
      </c>
      <c r="F222" s="63" t="s">
        <v>1407</v>
      </c>
      <c r="G222" s="63" t="s">
        <v>1408</v>
      </c>
      <c r="H222" s="63" t="s">
        <v>691</v>
      </c>
      <c r="I222" s="63" t="s">
        <v>1408</v>
      </c>
      <c r="J222" s="63" t="s">
        <v>1409</v>
      </c>
      <c r="K222" s="55">
        <f t="shared" ca="1" si="3"/>
        <v>1</v>
      </c>
      <c r="L222" s="56" t="str">
        <f ca="1">IF(K222&gt;0,"Composition "&amp;SUM(K$4:K222),"")</f>
        <v>Composition 40</v>
      </c>
      <c r="M222" s="55" cm="1">
        <f t="array" aca="1" ref="M222" ca="1">IF(K222=1,_xlfn.XLOOKUP(B222,OFFSET(IN_Zugliste!$A$4,0,0,IN_Zugliste!$A$2,1),OFFSET(IN_Zugliste!$K$4,0,0,IN_Zugliste!$A$2,1),0),0)+_xlfn.XLOOKUP(C222,OFFSET(IN_Zugliste!$A$4,0,0,IN_Zugliste!$A$2,1),OFFSET(IN_Zugliste!$K$4,0,0,IN_Zugliste!$A$2,1),0)</f>
        <v>104403</v>
      </c>
      <c r="N222" s="55" t="str" cm="1">
        <f t="array" aca="1" ref="N222" ca="1">IF(K222=1,_xlfn.XLOOKUP(B222,OFFSET(IN_Zugliste!$A$4,0,0,IN_Zugliste!$A$2,1),OFFSET(IN_Zugliste!$D$4,0,0,IN_Zugliste!$A$2,1),""),"")</f>
        <v>146-3.2</v>
      </c>
      <c r="O222" s="55" t="str" cm="1">
        <f t="array" aca="1" ref="O222" ca="1">IF(L222&lt;&gt;"",L222,_xlfn.XLOOKUP(B222,OFFSET($C$4,0,0,$A$2,1),OFFSET($O$4,0,0,$A$2,1)))</f>
        <v>Composition 40</v>
      </c>
      <c r="P222" s="55" cm="1">
        <f t="array" aca="1" ref="P222" ca="1">MATCH(J222, _xlfn._xlws.FILTER($J$4:$J$430,$O$4:$O$430=O222), 0)+1</f>
        <v>2</v>
      </c>
      <c r="Q222" s="63" t="str">
        <f>_xlfn.XLOOKUP(B222, IN_Zugliste!A:A, IN_Zugliste!M:M, "")</f>
        <v>06:02:24</v>
      </c>
    </row>
    <row r="223" spans="1:17" ht="15" customHeight="1" x14ac:dyDescent="0.2">
      <c r="A223" s="63" t="s">
        <v>686</v>
      </c>
      <c r="B223" s="63" t="s">
        <v>285</v>
      </c>
      <c r="C223" s="63" t="s">
        <v>275</v>
      </c>
      <c r="D223" s="63" t="s">
        <v>875</v>
      </c>
      <c r="E223" s="63" t="s">
        <v>688</v>
      </c>
      <c r="F223" s="63" t="s">
        <v>1410</v>
      </c>
      <c r="G223" s="63" t="s">
        <v>1411</v>
      </c>
      <c r="H223" s="63" t="s">
        <v>691</v>
      </c>
      <c r="I223" s="63" t="s">
        <v>1411</v>
      </c>
      <c r="J223" s="63" t="s">
        <v>1412</v>
      </c>
      <c r="K223" s="55">
        <f t="shared" ca="1" si="3"/>
        <v>0</v>
      </c>
      <c r="L223" s="56" t="str">
        <f ca="1">IF(K223&gt;0,"Composition "&amp;SUM(K$4:K223),"")</f>
        <v/>
      </c>
      <c r="M223" s="55" cm="1">
        <f t="array" aca="1" ref="M223" ca="1">IF(K223=1,_xlfn.XLOOKUP(B223,OFFSET(IN_Zugliste!$A$4,0,0,IN_Zugliste!$A$2,1),OFFSET(IN_Zugliste!$K$4,0,0,IN_Zugliste!$A$2,1),0),0)+_xlfn.XLOOKUP(C223,OFFSET(IN_Zugliste!$A$4,0,0,IN_Zugliste!$A$2,1),OFFSET(IN_Zugliste!$K$4,0,0,IN_Zugliste!$A$2,1),0)</f>
        <v>52185</v>
      </c>
      <c r="N223" s="55" t="str" cm="1">
        <f t="array" aca="1" ref="N223" ca="1">IF(K223=1,_xlfn.XLOOKUP(B223,OFFSET(IN_Zugliste!$A$4,0,0,IN_Zugliste!$A$2,1),OFFSET(IN_Zugliste!$D$4,0,0,IN_Zugliste!$A$2,1),""),"")</f>
        <v/>
      </c>
      <c r="O223" s="55" t="str" cm="1">
        <f t="array" aca="1" ref="O223" ca="1">IF(L223&lt;&gt;"",L223,_xlfn.XLOOKUP(B223,OFFSET($C$4,0,0,$A$2,1),OFFSET($O$4,0,0,$A$2,1)))</f>
        <v>Composition 40</v>
      </c>
      <c r="P223" s="55" cm="1">
        <f t="array" aca="1" ref="P223" ca="1">MATCH(J223, _xlfn._xlws.FILTER($J$4:$J$430,$O$4:$O$430=O223), 0)+1</f>
        <v>3</v>
      </c>
      <c r="Q223" s="63" t="str">
        <f>_xlfn.XLOOKUP(B223, IN_Zugliste!A:A, IN_Zugliste!M:M, "")</f>
        <v>07:41:12</v>
      </c>
    </row>
    <row r="224" spans="1:17" ht="15" customHeight="1" x14ac:dyDescent="0.2">
      <c r="A224" s="63" t="s">
        <v>686</v>
      </c>
      <c r="B224" s="63" t="s">
        <v>275</v>
      </c>
      <c r="C224" s="63" t="s">
        <v>262</v>
      </c>
      <c r="D224" s="63" t="s">
        <v>915</v>
      </c>
      <c r="E224" s="63" t="s">
        <v>688</v>
      </c>
      <c r="F224" s="63" t="s">
        <v>1413</v>
      </c>
      <c r="G224" s="63" t="s">
        <v>1414</v>
      </c>
      <c r="H224" s="63" t="s">
        <v>691</v>
      </c>
      <c r="I224" s="63" t="s">
        <v>1415</v>
      </c>
      <c r="J224" s="63" t="s">
        <v>1416</v>
      </c>
      <c r="K224" s="55">
        <f t="shared" ca="1" si="3"/>
        <v>0</v>
      </c>
      <c r="L224" s="56" t="str">
        <f ca="1">IF(K224&gt;0,"Composition "&amp;SUM(K$4:K224),"")</f>
        <v/>
      </c>
      <c r="M224" s="55" cm="1">
        <f t="array" aca="1" ref="M224" ca="1">IF(K224=1,_xlfn.XLOOKUP(B224,OFFSET(IN_Zugliste!$A$4,0,0,IN_Zugliste!$A$2,1),OFFSET(IN_Zugliste!$K$4,0,0,IN_Zugliste!$A$2,1),0),0)+_xlfn.XLOOKUP(C224,OFFSET(IN_Zugliste!$A$4,0,0,IN_Zugliste!$A$2,1),OFFSET(IN_Zugliste!$K$4,0,0,IN_Zugliste!$A$2,1),0)</f>
        <v>52218</v>
      </c>
      <c r="N224" s="55" t="str" cm="1">
        <f t="array" aca="1" ref="N224" ca="1">IF(K224=1,_xlfn.XLOOKUP(B224,OFFSET(IN_Zugliste!$A$4,0,0,IN_Zugliste!$A$2,1),OFFSET(IN_Zugliste!$D$4,0,0,IN_Zugliste!$A$2,1),""),"")</f>
        <v/>
      </c>
      <c r="O224" s="55" t="str" cm="1">
        <f t="array" aca="1" ref="O224" ca="1">IF(L224&lt;&gt;"",L224,_xlfn.XLOOKUP(B224,OFFSET($C$4,0,0,$A$2,1),OFFSET($O$4,0,0,$A$2,1)))</f>
        <v>Composition 40</v>
      </c>
      <c r="P224" s="55" cm="1">
        <f t="array" aca="1" ref="P224" ca="1">MATCH(J224, _xlfn._xlws.FILTER($J$4:$J$430,$O$4:$O$430=O224), 0)+1</f>
        <v>4</v>
      </c>
      <c r="Q224" s="63" t="str">
        <f>_xlfn.XLOOKUP(B224, IN_Zugliste!A:A, IN_Zugliste!M:M, "")</f>
        <v>09:26:43</v>
      </c>
    </row>
    <row r="225" spans="1:17" ht="15" customHeight="1" x14ac:dyDescent="0.2">
      <c r="A225" s="63" t="s">
        <v>686</v>
      </c>
      <c r="B225" s="63" t="s">
        <v>262</v>
      </c>
      <c r="C225" s="63" t="s">
        <v>253</v>
      </c>
      <c r="D225" s="63" t="s">
        <v>875</v>
      </c>
      <c r="E225" s="63" t="s">
        <v>688</v>
      </c>
      <c r="F225" s="63" t="s">
        <v>1417</v>
      </c>
      <c r="G225" s="63" t="s">
        <v>1418</v>
      </c>
      <c r="H225" s="63" t="s">
        <v>691</v>
      </c>
      <c r="I225" s="63" t="s">
        <v>1418</v>
      </c>
      <c r="J225" s="63" t="s">
        <v>1419</v>
      </c>
      <c r="K225" s="55">
        <f t="shared" ca="1" si="3"/>
        <v>0</v>
      </c>
      <c r="L225" s="56" t="str">
        <f ca="1">IF(K225&gt;0,"Composition "&amp;SUM(K$4:K225),"")</f>
        <v/>
      </c>
      <c r="M225" s="55" cm="1">
        <f t="array" aca="1" ref="M225" ca="1">IF(K225=1,_xlfn.XLOOKUP(B225,OFFSET(IN_Zugliste!$A$4,0,0,IN_Zugliste!$A$2,1),OFFSET(IN_Zugliste!$K$4,0,0,IN_Zugliste!$A$2,1),0),0)+_xlfn.XLOOKUP(C225,OFFSET(IN_Zugliste!$A$4,0,0,IN_Zugliste!$A$2,1),OFFSET(IN_Zugliste!$K$4,0,0,IN_Zugliste!$A$2,1),0)</f>
        <v>52185</v>
      </c>
      <c r="N225" s="55" t="str" cm="1">
        <f t="array" aca="1" ref="N225" ca="1">IF(K225=1,_xlfn.XLOOKUP(B225,OFFSET(IN_Zugliste!$A$4,0,0,IN_Zugliste!$A$2,1),OFFSET(IN_Zugliste!$D$4,0,0,IN_Zugliste!$A$2,1),""),"")</f>
        <v/>
      </c>
      <c r="O225" s="55" t="str" cm="1">
        <f t="array" aca="1" ref="O225" ca="1">IF(L225&lt;&gt;"",L225,_xlfn.XLOOKUP(B225,OFFSET($C$4,0,0,$A$2,1),OFFSET($O$4,0,0,$A$2,1)))</f>
        <v>Composition 40</v>
      </c>
      <c r="P225" s="55" cm="1">
        <f t="array" aca="1" ref="P225" ca="1">MATCH(J225, _xlfn._xlws.FILTER($J$4:$J$430,$O$4:$O$430=O225), 0)+1</f>
        <v>5</v>
      </c>
      <c r="Q225" s="63" t="str">
        <f>_xlfn.XLOOKUP(B225, IN_Zugliste!A:A, IN_Zugliste!M:M, "")</f>
        <v>11:19:04</v>
      </c>
    </row>
    <row r="226" spans="1:17" ht="15" customHeight="1" x14ac:dyDescent="0.2">
      <c r="A226" s="63" t="s">
        <v>686</v>
      </c>
      <c r="B226" s="63" t="s">
        <v>305</v>
      </c>
      <c r="C226" s="63" t="s">
        <v>328</v>
      </c>
      <c r="D226" s="63" t="s">
        <v>727</v>
      </c>
      <c r="E226" s="63" t="s">
        <v>688</v>
      </c>
      <c r="F226" s="63" t="s">
        <v>1420</v>
      </c>
      <c r="G226" s="63" t="s">
        <v>1421</v>
      </c>
      <c r="H226" s="63" t="s">
        <v>691</v>
      </c>
      <c r="I226" s="63" t="s">
        <v>1421</v>
      </c>
      <c r="J226" s="63" t="s">
        <v>1422</v>
      </c>
      <c r="K226" s="55">
        <f t="shared" ca="1" si="3"/>
        <v>1</v>
      </c>
      <c r="L226" s="56" t="str">
        <f ca="1">IF(K226&gt;0,"Composition "&amp;SUM(K$4:K226),"")</f>
        <v>Composition 41</v>
      </c>
      <c r="M226" s="55" cm="1">
        <f t="array" aca="1" ref="M226" ca="1">IF(K226=1,_xlfn.XLOOKUP(B226,OFFSET(IN_Zugliste!$A$4,0,0,IN_Zugliste!$A$2,1),OFFSET(IN_Zugliste!$K$4,0,0,IN_Zugliste!$A$2,1),0),0)+_xlfn.XLOOKUP(C226,OFFSET(IN_Zugliste!$A$4,0,0,IN_Zugliste!$A$2,1),OFFSET(IN_Zugliste!$K$4,0,0,IN_Zugliste!$A$2,1),0)</f>
        <v>138166</v>
      </c>
      <c r="N226" s="55" t="str" cm="1">
        <f t="array" aca="1" ref="N226" ca="1">IF(K226=1,_xlfn.XLOOKUP(B226,OFFSET(IN_Zugliste!$A$4,0,0,IN_Zugliste!$A$2,1),OFFSET(IN_Zugliste!$D$4,0,0,IN_Zugliste!$A$2,1),""),"")</f>
        <v>146-3.2</v>
      </c>
      <c r="O226" s="55" t="str" cm="1">
        <f t="array" aca="1" ref="O226" ca="1">IF(L226&lt;&gt;"",L226,_xlfn.XLOOKUP(B226,OFFSET($C$4,0,0,$A$2,1),OFFSET($O$4,0,0,$A$2,1)))</f>
        <v>Composition 41</v>
      </c>
      <c r="P226" s="55" cm="1">
        <f t="array" aca="1" ref="P226" ca="1">MATCH(J226, _xlfn._xlws.FILTER($J$4:$J$430,$O$4:$O$430=O226), 0)+1</f>
        <v>2</v>
      </c>
      <c r="Q226" s="63" t="str">
        <f>_xlfn.XLOOKUP(B226, IN_Zugliste!A:A, IN_Zugliste!M:M, "")</f>
        <v>05:48:18</v>
      </c>
    </row>
    <row r="227" spans="1:17" ht="15" customHeight="1" x14ac:dyDescent="0.2">
      <c r="A227" s="63" t="s">
        <v>686</v>
      </c>
      <c r="B227" s="63" t="s">
        <v>328</v>
      </c>
      <c r="C227" s="63" t="s">
        <v>385</v>
      </c>
      <c r="D227" s="63" t="s">
        <v>1064</v>
      </c>
      <c r="E227" s="63" t="s">
        <v>688</v>
      </c>
      <c r="F227" s="63" t="s">
        <v>1423</v>
      </c>
      <c r="G227" s="63" t="s">
        <v>1424</v>
      </c>
      <c r="H227" s="63" t="s">
        <v>691</v>
      </c>
      <c r="I227" s="63" t="s">
        <v>1424</v>
      </c>
      <c r="J227" s="63" t="s">
        <v>1425</v>
      </c>
      <c r="K227" s="55">
        <f t="shared" ca="1" si="3"/>
        <v>0</v>
      </c>
      <c r="L227" s="56" t="str">
        <f ca="1">IF(K227&gt;0,"Composition "&amp;SUM(K$4:K227),"")</f>
        <v/>
      </c>
      <c r="M227" s="55" cm="1">
        <f t="array" aca="1" ref="M227" ca="1">IF(K227=1,_xlfn.XLOOKUP(B227,OFFSET(IN_Zugliste!$A$4,0,0,IN_Zugliste!$A$2,1),OFFSET(IN_Zugliste!$K$4,0,0,IN_Zugliste!$A$2,1),0),0)+_xlfn.XLOOKUP(C227,OFFSET(IN_Zugliste!$A$4,0,0,IN_Zugliste!$A$2,1),OFFSET(IN_Zugliste!$K$4,0,0,IN_Zugliste!$A$2,1),0)</f>
        <v>133789</v>
      </c>
      <c r="N227" s="55" t="str" cm="1">
        <f t="array" aca="1" ref="N227" ca="1">IF(K227=1,_xlfn.XLOOKUP(B227,OFFSET(IN_Zugliste!$A$4,0,0,IN_Zugliste!$A$2,1),OFFSET(IN_Zugliste!$D$4,0,0,IN_Zugliste!$A$2,1),""),"")</f>
        <v/>
      </c>
      <c r="O227" s="55" t="str" cm="1">
        <f t="array" aca="1" ref="O227" ca="1">IF(L227&lt;&gt;"",L227,_xlfn.XLOOKUP(B227,OFFSET($C$4,0,0,$A$2,1),OFFSET($O$4,0,0,$A$2,1)))</f>
        <v>Composition 41</v>
      </c>
      <c r="P227" s="55" cm="1">
        <f t="array" aca="1" ref="P227" ca="1">MATCH(J227, _xlfn._xlws.FILTER($J$4:$J$430,$O$4:$O$430=O227), 0)+1</f>
        <v>3</v>
      </c>
      <c r="Q227" s="63" t="str">
        <f>_xlfn.XLOOKUP(B227, IN_Zugliste!A:A, IN_Zugliste!M:M, "")</f>
        <v>07:36:59</v>
      </c>
    </row>
    <row r="228" spans="1:17" ht="15" customHeight="1" x14ac:dyDescent="0.2">
      <c r="A228" s="63" t="s">
        <v>686</v>
      </c>
      <c r="B228" s="63" t="s">
        <v>385</v>
      </c>
      <c r="C228" s="63" t="s">
        <v>398</v>
      </c>
      <c r="D228" s="63" t="s">
        <v>1068</v>
      </c>
      <c r="E228" s="63" t="s">
        <v>688</v>
      </c>
      <c r="F228" s="63" t="s">
        <v>1426</v>
      </c>
      <c r="G228" s="63" t="s">
        <v>1427</v>
      </c>
      <c r="H228" s="63" t="s">
        <v>691</v>
      </c>
      <c r="I228" s="63" t="s">
        <v>1428</v>
      </c>
      <c r="J228" s="63" t="s">
        <v>1429</v>
      </c>
      <c r="K228" s="55">
        <f t="shared" ca="1" si="3"/>
        <v>0</v>
      </c>
      <c r="L228" s="56" t="str">
        <f ca="1">IF(K228&gt;0,"Composition "&amp;SUM(K$4:K228),"")</f>
        <v/>
      </c>
      <c r="M228" s="55" cm="1">
        <f t="array" aca="1" ref="M228" ca="1">IF(K228=1,_xlfn.XLOOKUP(B228,OFFSET(IN_Zugliste!$A$4,0,0,IN_Zugliste!$A$2,1),OFFSET(IN_Zugliste!$K$4,0,0,IN_Zugliste!$A$2,1),0),0)+_xlfn.XLOOKUP(C228,OFFSET(IN_Zugliste!$A$4,0,0,IN_Zugliste!$A$2,1),OFFSET(IN_Zugliste!$K$4,0,0,IN_Zugliste!$A$2,1),0)</f>
        <v>133827</v>
      </c>
      <c r="N228" s="55" t="str" cm="1">
        <f t="array" aca="1" ref="N228" ca="1">IF(K228=1,_xlfn.XLOOKUP(B228,OFFSET(IN_Zugliste!$A$4,0,0,IN_Zugliste!$A$2,1),OFFSET(IN_Zugliste!$D$4,0,0,IN_Zugliste!$A$2,1),""),"")</f>
        <v/>
      </c>
      <c r="O228" s="55" t="str" cm="1">
        <f t="array" aca="1" ref="O228" ca="1">IF(L228&lt;&gt;"",L228,_xlfn.XLOOKUP(B228,OFFSET($C$4,0,0,$A$2,1),OFFSET($O$4,0,0,$A$2,1)))</f>
        <v>Composition 41</v>
      </c>
      <c r="P228" s="55" cm="1">
        <f t="array" aca="1" ref="P228" ca="1">MATCH(J228, _xlfn._xlws.FILTER($J$4:$J$430,$O$4:$O$430=O228), 0)+1</f>
        <v>4</v>
      </c>
      <c r="Q228" s="63" t="str">
        <f>_xlfn.XLOOKUP(B228, IN_Zugliste!A:A, IN_Zugliste!M:M, "")</f>
        <v>09:02:08</v>
      </c>
    </row>
    <row r="229" spans="1:17" ht="15" customHeight="1" x14ac:dyDescent="0.2">
      <c r="A229" s="63" t="s">
        <v>686</v>
      </c>
      <c r="B229" s="63" t="s">
        <v>398</v>
      </c>
      <c r="C229" s="63" t="s">
        <v>323</v>
      </c>
      <c r="D229" s="63" t="s">
        <v>1064</v>
      </c>
      <c r="E229" s="63" t="s">
        <v>688</v>
      </c>
      <c r="F229" s="63" t="s">
        <v>1430</v>
      </c>
      <c r="G229" s="63" t="s">
        <v>1431</v>
      </c>
      <c r="H229" s="63" t="s">
        <v>691</v>
      </c>
      <c r="I229" s="63" t="s">
        <v>1432</v>
      </c>
      <c r="J229" s="63" t="s">
        <v>1433</v>
      </c>
      <c r="K229" s="55">
        <f t="shared" ca="1" si="3"/>
        <v>0</v>
      </c>
      <c r="L229" s="56" t="str">
        <f ca="1">IF(K229&gt;0,"Composition "&amp;SUM(K$4:K229),"")</f>
        <v/>
      </c>
      <c r="M229" s="55" cm="1">
        <f t="array" aca="1" ref="M229" ca="1">IF(K229=1,_xlfn.XLOOKUP(B229,OFFSET(IN_Zugliste!$A$4,0,0,IN_Zugliste!$A$2,1),OFFSET(IN_Zugliste!$K$4,0,0,IN_Zugliste!$A$2,1),0),0)+_xlfn.XLOOKUP(C229,OFFSET(IN_Zugliste!$A$4,0,0,IN_Zugliste!$A$2,1),OFFSET(IN_Zugliste!$K$4,0,0,IN_Zugliste!$A$2,1),0)</f>
        <v>62240</v>
      </c>
      <c r="N229" s="55" t="str" cm="1">
        <f t="array" aca="1" ref="N229" ca="1">IF(K229=1,_xlfn.XLOOKUP(B229,OFFSET(IN_Zugliste!$A$4,0,0,IN_Zugliste!$A$2,1),OFFSET(IN_Zugliste!$D$4,0,0,IN_Zugliste!$A$2,1),""),"")</f>
        <v/>
      </c>
      <c r="O229" s="55" t="str" cm="1">
        <f t="array" aca="1" ref="O229" ca="1">IF(L229&lt;&gt;"",L229,_xlfn.XLOOKUP(B229,OFFSET($C$4,0,0,$A$2,1),OFFSET($O$4,0,0,$A$2,1)))</f>
        <v>Composition 41</v>
      </c>
      <c r="P229" s="55" cm="1">
        <f t="array" aca="1" ref="P229" ca="1">MATCH(J229, _xlfn._xlws.FILTER($J$4:$J$430,$O$4:$O$430=O229), 0)+1</f>
        <v>5</v>
      </c>
      <c r="Q229" s="63" t="str">
        <f>_xlfn.XLOOKUP(B229, IN_Zugliste!A:A, IN_Zugliste!M:M, "")</f>
        <v>11:23:12</v>
      </c>
    </row>
    <row r="230" spans="1:17" ht="15" customHeight="1" x14ac:dyDescent="0.2">
      <c r="A230" s="63" t="s">
        <v>686</v>
      </c>
      <c r="B230" s="63" t="s">
        <v>647</v>
      </c>
      <c r="C230" s="63" t="s">
        <v>663</v>
      </c>
      <c r="D230" s="63" t="s">
        <v>723</v>
      </c>
      <c r="E230" s="63" t="s">
        <v>688</v>
      </c>
      <c r="F230" s="63" t="s">
        <v>1434</v>
      </c>
      <c r="G230" s="63" t="s">
        <v>1435</v>
      </c>
      <c r="H230" s="63" t="s">
        <v>691</v>
      </c>
      <c r="I230" s="63" t="s">
        <v>1436</v>
      </c>
      <c r="J230" s="63" t="s">
        <v>1437</v>
      </c>
      <c r="K230" s="55">
        <f t="shared" ca="1" si="3"/>
        <v>1</v>
      </c>
      <c r="L230" s="56" t="str">
        <f ca="1">IF(K230&gt;0,"Composition "&amp;SUM(K$4:K230),"")</f>
        <v>Composition 42</v>
      </c>
      <c r="M230" s="55" cm="1">
        <f t="array" aca="1" ref="M230" ca="1">IF(K230=1,_xlfn.XLOOKUP(B230,OFFSET(IN_Zugliste!$A$4,0,0,IN_Zugliste!$A$2,1),OFFSET(IN_Zugliste!$K$4,0,0,IN_Zugliste!$A$2,1),0),0)+_xlfn.XLOOKUP(C230,OFFSET(IN_Zugliste!$A$4,0,0,IN_Zugliste!$A$2,1),OFFSET(IN_Zugliste!$K$4,0,0,IN_Zugliste!$A$2,1),0)</f>
        <v>241584</v>
      </c>
      <c r="N230" s="55" t="str" cm="1">
        <f t="array" aca="1" ref="N230" ca="1">IF(K230=1,_xlfn.XLOOKUP(B230,OFFSET(IN_Zugliste!$A$4,0,0,IN_Zugliste!$A$2,1),OFFSET(IN_Zugliste!$D$4,0,0,IN_Zugliste!$A$2,1),""),"")</f>
        <v>462-1.0</v>
      </c>
      <c r="O230" s="55" t="str" cm="1">
        <f t="array" aca="1" ref="O230" ca="1">IF(L230&lt;&gt;"",L230,_xlfn.XLOOKUP(B230,OFFSET($C$4,0,0,$A$2,1),OFFSET($O$4,0,0,$A$2,1)))</f>
        <v>Composition 42</v>
      </c>
      <c r="P230" s="55" cm="1">
        <f t="array" aca="1" ref="P230" ca="1">MATCH(J230, _xlfn._xlws.FILTER($J$4:$J$430,$O$4:$O$430=O230), 0)+1</f>
        <v>2</v>
      </c>
      <c r="Q230" s="63" t="str">
        <f>_xlfn.XLOOKUP(B230, IN_Zugliste!A:A, IN_Zugliste!M:M, "")</f>
        <v>05:10:41</v>
      </c>
    </row>
    <row r="231" spans="1:17" ht="15" customHeight="1" x14ac:dyDescent="0.2">
      <c r="A231" s="63" t="s">
        <v>686</v>
      </c>
      <c r="B231" s="63" t="s">
        <v>663</v>
      </c>
      <c r="C231" s="63" t="s">
        <v>654</v>
      </c>
      <c r="D231" s="63" t="s">
        <v>1176</v>
      </c>
      <c r="E231" s="63" t="s">
        <v>688</v>
      </c>
      <c r="F231" s="63" t="s">
        <v>1438</v>
      </c>
      <c r="G231" s="63" t="s">
        <v>1439</v>
      </c>
      <c r="H231" s="63" t="s">
        <v>691</v>
      </c>
      <c r="I231" s="63" t="s">
        <v>1439</v>
      </c>
      <c r="J231" s="63" t="s">
        <v>1440</v>
      </c>
      <c r="K231" s="55">
        <f t="shared" ca="1" si="3"/>
        <v>0</v>
      </c>
      <c r="L231" s="56" t="str">
        <f ca="1">IF(K231&gt;0,"Composition "&amp;SUM(K$4:K231),"")</f>
        <v/>
      </c>
      <c r="M231" s="55" cm="1">
        <f t="array" aca="1" ref="M231" ca="1">IF(K231=1,_xlfn.XLOOKUP(B231,OFFSET(IN_Zugliste!$A$4,0,0,IN_Zugliste!$A$2,1),OFFSET(IN_Zugliste!$K$4,0,0,IN_Zugliste!$A$2,1),0),0)+_xlfn.XLOOKUP(C231,OFFSET(IN_Zugliste!$A$4,0,0,IN_Zugliste!$A$2,1),OFFSET(IN_Zugliste!$K$4,0,0,IN_Zugliste!$A$2,1),0)</f>
        <v>120778</v>
      </c>
      <c r="N231" s="55" t="str" cm="1">
        <f t="array" aca="1" ref="N231" ca="1">IF(K231=1,_xlfn.XLOOKUP(B231,OFFSET(IN_Zugliste!$A$4,0,0,IN_Zugliste!$A$2,1),OFFSET(IN_Zugliste!$D$4,0,0,IN_Zugliste!$A$2,1),""),"")</f>
        <v/>
      </c>
      <c r="O231" s="55" t="str" cm="1">
        <f t="array" aca="1" ref="O231" ca="1">IF(L231&lt;&gt;"",L231,_xlfn.XLOOKUP(B231,OFFSET($C$4,0,0,$A$2,1),OFFSET($O$4,0,0,$A$2,1)))</f>
        <v>Composition 42</v>
      </c>
      <c r="P231" s="55" cm="1">
        <f t="array" aca="1" ref="P231" ca="1">MATCH(J231, _xlfn._xlws.FILTER($J$4:$J$430,$O$4:$O$430=O231), 0)+1</f>
        <v>3</v>
      </c>
      <c r="Q231" s="63" t="str">
        <f>_xlfn.XLOOKUP(B231, IN_Zugliste!A:A, IN_Zugliste!M:M, "")</f>
        <v>07:42:00</v>
      </c>
    </row>
    <row r="232" spans="1:17" ht="15" customHeight="1" x14ac:dyDescent="0.2">
      <c r="A232" s="63" t="s">
        <v>686</v>
      </c>
      <c r="B232" s="63" t="s">
        <v>654</v>
      </c>
      <c r="C232" s="63" t="s">
        <v>668</v>
      </c>
      <c r="D232" s="63" t="s">
        <v>723</v>
      </c>
      <c r="E232" s="63" t="s">
        <v>688</v>
      </c>
      <c r="F232" s="63" t="s">
        <v>1441</v>
      </c>
      <c r="G232" s="63" t="s">
        <v>1442</v>
      </c>
      <c r="H232" s="63" t="s">
        <v>691</v>
      </c>
      <c r="I232" s="63" t="s">
        <v>1443</v>
      </c>
      <c r="J232" s="63" t="s">
        <v>1444</v>
      </c>
      <c r="K232" s="55">
        <f t="shared" ca="1" si="3"/>
        <v>0</v>
      </c>
      <c r="L232" s="56" t="str">
        <f ca="1">IF(K232&gt;0,"Composition "&amp;SUM(K$4:K232),"")</f>
        <v/>
      </c>
      <c r="M232" s="55" cm="1">
        <f t="array" aca="1" ref="M232" ca="1">IF(K232=1,_xlfn.XLOOKUP(B232,OFFSET(IN_Zugliste!$A$4,0,0,IN_Zugliste!$A$2,1),OFFSET(IN_Zugliste!$K$4,0,0,IN_Zugliste!$A$2,1),0),0)+_xlfn.XLOOKUP(C232,OFFSET(IN_Zugliste!$A$4,0,0,IN_Zugliste!$A$2,1),OFFSET(IN_Zugliste!$K$4,0,0,IN_Zugliste!$A$2,1),0)</f>
        <v>120806</v>
      </c>
      <c r="N232" s="55" t="str" cm="1">
        <f t="array" aca="1" ref="N232" ca="1">IF(K232=1,_xlfn.XLOOKUP(B232,OFFSET(IN_Zugliste!$A$4,0,0,IN_Zugliste!$A$2,1),OFFSET(IN_Zugliste!$D$4,0,0,IN_Zugliste!$A$2,1),""),"")</f>
        <v/>
      </c>
      <c r="O232" s="55" t="str" cm="1">
        <f t="array" aca="1" ref="O232" ca="1">IF(L232&lt;&gt;"",L232,_xlfn.XLOOKUP(B232,OFFSET($C$4,0,0,$A$2,1),OFFSET($O$4,0,0,$A$2,1)))</f>
        <v>Composition 42</v>
      </c>
      <c r="P232" s="55" cm="1">
        <f t="array" aca="1" ref="P232" ca="1">MATCH(J232, _xlfn._xlws.FILTER($J$4:$J$430,$O$4:$O$430=O232), 0)+1</f>
        <v>4</v>
      </c>
      <c r="Q232" s="63" t="str">
        <f>_xlfn.XLOOKUP(B232, IN_Zugliste!A:A, IN_Zugliste!M:M, "")</f>
        <v>10:10:41</v>
      </c>
    </row>
    <row r="233" spans="1:17" ht="15" customHeight="1" x14ac:dyDescent="0.2">
      <c r="A233" s="63" t="s">
        <v>686</v>
      </c>
      <c r="B233" s="63" t="s">
        <v>390</v>
      </c>
      <c r="C233" s="63" t="s">
        <v>317</v>
      </c>
      <c r="D233" s="63" t="s">
        <v>1064</v>
      </c>
      <c r="E233" s="63" t="s">
        <v>688</v>
      </c>
      <c r="F233" s="63" t="s">
        <v>1445</v>
      </c>
      <c r="G233" s="63" t="s">
        <v>1446</v>
      </c>
      <c r="H233" s="63" t="s">
        <v>691</v>
      </c>
      <c r="I233" s="63" t="s">
        <v>1447</v>
      </c>
      <c r="J233" s="63" t="s">
        <v>1448</v>
      </c>
      <c r="K233" s="55">
        <f t="shared" ca="1" si="3"/>
        <v>1</v>
      </c>
      <c r="L233" s="56" t="str">
        <f ca="1">IF(K233&gt;0,"Composition "&amp;SUM(K$4:K233),"")</f>
        <v>Composition 43</v>
      </c>
      <c r="M233" s="55" cm="1">
        <f t="array" aca="1" ref="M233" ca="1">IF(K233=1,_xlfn.XLOOKUP(B233,OFFSET(IN_Zugliste!$A$4,0,0,IN_Zugliste!$A$2,1),OFFSET(IN_Zugliste!$K$4,0,0,IN_Zugliste!$A$2,1),0),0)+_xlfn.XLOOKUP(C233,OFFSET(IN_Zugliste!$A$4,0,0,IN_Zugliste!$A$2,1),OFFSET(IN_Zugliste!$K$4,0,0,IN_Zugliste!$A$2,1),0)</f>
        <v>196067</v>
      </c>
      <c r="N233" s="55" t="str" cm="1">
        <f t="array" aca="1" ref="N233" ca="1">IF(K233=1,_xlfn.XLOOKUP(B233,OFFSET(IN_Zugliste!$A$4,0,0,IN_Zugliste!$A$2,1),OFFSET(IN_Zugliste!$D$4,0,0,IN_Zugliste!$A$2,1),""),"")</f>
        <v>146-3.2</v>
      </c>
      <c r="O233" s="55" t="str" cm="1">
        <f t="array" aca="1" ref="O233" ca="1">IF(L233&lt;&gt;"",L233,_xlfn.XLOOKUP(B233,OFFSET($C$4,0,0,$A$2,1),OFFSET($O$4,0,0,$A$2,1)))</f>
        <v>Composition 43</v>
      </c>
      <c r="P233" s="55" cm="1">
        <f t="array" aca="1" ref="P233" ca="1">MATCH(J233, _xlfn._xlws.FILTER($J$4:$J$430,$O$4:$O$430=O233), 0)+1</f>
        <v>2</v>
      </c>
      <c r="Q233" s="63" t="str">
        <f>_xlfn.XLOOKUP(B233, IN_Zugliste!A:A, IN_Zugliste!M:M, "")</f>
        <v>05:23:12</v>
      </c>
    </row>
    <row r="234" spans="1:17" ht="15" customHeight="1" x14ac:dyDescent="0.2">
      <c r="A234" s="63" t="s">
        <v>686</v>
      </c>
      <c r="B234" s="63" t="s">
        <v>317</v>
      </c>
      <c r="C234" s="63" t="s">
        <v>297</v>
      </c>
      <c r="D234" s="63" t="s">
        <v>727</v>
      </c>
      <c r="E234" s="63" t="s">
        <v>688</v>
      </c>
      <c r="F234" s="63" t="s">
        <v>1449</v>
      </c>
      <c r="G234" s="63" t="s">
        <v>1235</v>
      </c>
      <c r="H234" s="63" t="s">
        <v>691</v>
      </c>
      <c r="I234" s="63" t="s">
        <v>1235</v>
      </c>
      <c r="J234" s="63" t="s">
        <v>1450</v>
      </c>
      <c r="K234" s="55">
        <f t="shared" ca="1" si="3"/>
        <v>0</v>
      </c>
      <c r="L234" s="56" t="str">
        <f ca="1">IF(K234&gt;0,"Composition "&amp;SUM(K$4:K234),"")</f>
        <v/>
      </c>
      <c r="M234" s="55" cm="1">
        <f t="array" aca="1" ref="M234" ca="1">IF(K234=1,_xlfn.XLOOKUP(B234,OFFSET(IN_Zugliste!$A$4,0,0,IN_Zugliste!$A$2,1),OFFSET(IN_Zugliste!$K$4,0,0,IN_Zugliste!$A$2,1),0),0)+_xlfn.XLOOKUP(C234,OFFSET(IN_Zugliste!$A$4,0,0,IN_Zugliste!$A$2,1),OFFSET(IN_Zugliste!$K$4,0,0,IN_Zugliste!$A$2,1),0)</f>
        <v>76074</v>
      </c>
      <c r="N234" s="55" t="str" cm="1">
        <f t="array" aca="1" ref="N234" ca="1">IF(K234=1,_xlfn.XLOOKUP(B234,OFFSET(IN_Zugliste!$A$4,0,0,IN_Zugliste!$A$2,1),OFFSET(IN_Zugliste!$D$4,0,0,IN_Zugliste!$A$2,1),""),"")</f>
        <v/>
      </c>
      <c r="O234" s="55" t="str" cm="1">
        <f t="array" aca="1" ref="O234" ca="1">IF(L234&lt;&gt;"",L234,_xlfn.XLOOKUP(B234,OFFSET($C$4,0,0,$A$2,1),OFFSET($O$4,0,0,$A$2,1)))</f>
        <v>Composition 43</v>
      </c>
      <c r="P234" s="55" cm="1">
        <f t="array" aca="1" ref="P234" ca="1">MATCH(J234, _xlfn._xlws.FILTER($J$4:$J$430,$O$4:$O$430=O234), 0)+1</f>
        <v>3</v>
      </c>
      <c r="Q234" s="63" t="str">
        <f>_xlfn.XLOOKUP(B234, IN_Zugliste!A:A, IN_Zugliste!M:M, "")</f>
        <v>07:35:33</v>
      </c>
    </row>
    <row r="235" spans="1:17" ht="15" customHeight="1" x14ac:dyDescent="0.2">
      <c r="A235" s="63" t="s">
        <v>686</v>
      </c>
      <c r="B235" s="63" t="s">
        <v>297</v>
      </c>
      <c r="C235" s="63" t="s">
        <v>310</v>
      </c>
      <c r="D235" s="63" t="s">
        <v>1080</v>
      </c>
      <c r="E235" s="63" t="s">
        <v>688</v>
      </c>
      <c r="F235" s="63" t="s">
        <v>1451</v>
      </c>
      <c r="G235" s="63" t="s">
        <v>1452</v>
      </c>
      <c r="H235" s="63" t="s">
        <v>691</v>
      </c>
      <c r="I235" s="63" t="s">
        <v>1452</v>
      </c>
      <c r="J235" s="63" t="s">
        <v>742</v>
      </c>
      <c r="K235" s="55">
        <f t="shared" ca="1" si="3"/>
        <v>0</v>
      </c>
      <c r="L235" s="56" t="str">
        <f ca="1">IF(K235&gt;0,"Composition "&amp;SUM(K$4:K235),"")</f>
        <v/>
      </c>
      <c r="M235" s="55" cm="1">
        <f t="array" aca="1" ref="M235" ca="1">IF(K235=1,_xlfn.XLOOKUP(B235,OFFSET(IN_Zugliste!$A$4,0,0,IN_Zugliste!$A$2,1),OFFSET(IN_Zugliste!$K$4,0,0,IN_Zugliste!$A$2,1),0),0)+_xlfn.XLOOKUP(C235,OFFSET(IN_Zugliste!$A$4,0,0,IN_Zugliste!$A$2,1),OFFSET(IN_Zugliste!$K$4,0,0,IN_Zugliste!$A$2,1),0)</f>
        <v>75928</v>
      </c>
      <c r="N235" s="55" t="str" cm="1">
        <f t="array" aca="1" ref="N235" ca="1">IF(K235=1,_xlfn.XLOOKUP(B235,OFFSET(IN_Zugliste!$A$4,0,0,IN_Zugliste!$A$2,1),OFFSET(IN_Zugliste!$D$4,0,0,IN_Zugliste!$A$2,1),""),"")</f>
        <v/>
      </c>
      <c r="O235" s="55" t="str" cm="1">
        <f t="array" aca="1" ref="O235" ca="1">IF(L235&lt;&gt;"",L235,_xlfn.XLOOKUP(B235,OFFSET($C$4,0,0,$A$2,1),OFFSET($O$4,0,0,$A$2,1)))</f>
        <v>Composition 43</v>
      </c>
      <c r="P235" s="55" cm="1">
        <f t="array" aca="1" ref="P235" ca="1">MATCH(J235, _xlfn._xlws.FILTER($J$4:$J$430,$O$4:$O$430=O235), 0)+1</f>
        <v>4</v>
      </c>
      <c r="Q235" s="63" t="str">
        <f>_xlfn.XLOOKUP(B235, IN_Zugliste!A:A, IN_Zugliste!M:M, "")</f>
        <v>09:03:46</v>
      </c>
    </row>
    <row r="236" spans="1:17" ht="15" customHeight="1" x14ac:dyDescent="0.2">
      <c r="A236" s="63" t="s">
        <v>686</v>
      </c>
      <c r="B236" s="63" t="s">
        <v>310</v>
      </c>
      <c r="C236" s="63" t="s">
        <v>333</v>
      </c>
      <c r="D236" s="63" t="s">
        <v>727</v>
      </c>
      <c r="E236" s="63" t="s">
        <v>688</v>
      </c>
      <c r="F236" s="63" t="s">
        <v>1453</v>
      </c>
      <c r="G236" s="63" t="s">
        <v>1454</v>
      </c>
      <c r="H236" s="63" t="s">
        <v>691</v>
      </c>
      <c r="I236" s="63" t="s">
        <v>1454</v>
      </c>
      <c r="J236" s="63" t="s">
        <v>1455</v>
      </c>
      <c r="K236" s="55">
        <f t="shared" ca="1" si="3"/>
        <v>0</v>
      </c>
      <c r="L236" s="56" t="str">
        <f ca="1">IF(K236&gt;0,"Composition "&amp;SUM(K$4:K236),"")</f>
        <v/>
      </c>
      <c r="M236" s="55" cm="1">
        <f t="array" aca="1" ref="M236" ca="1">IF(K236=1,_xlfn.XLOOKUP(B236,OFFSET(IN_Zugliste!$A$4,0,0,IN_Zugliste!$A$2,1),OFFSET(IN_Zugliste!$K$4,0,0,IN_Zugliste!$A$2,1),0),0)+_xlfn.XLOOKUP(C236,OFFSET(IN_Zugliste!$A$4,0,0,IN_Zugliste!$A$2,1),OFFSET(IN_Zugliste!$K$4,0,0,IN_Zugliste!$A$2,1),0)</f>
        <v>62238</v>
      </c>
      <c r="N236" s="55" t="str" cm="1">
        <f t="array" aca="1" ref="N236" ca="1">IF(K236=1,_xlfn.XLOOKUP(B236,OFFSET(IN_Zugliste!$A$4,0,0,IN_Zugliste!$A$2,1),OFFSET(IN_Zugliste!$D$4,0,0,IN_Zugliste!$A$2,1),""),"")</f>
        <v/>
      </c>
      <c r="O236" s="55" t="str" cm="1">
        <f t="array" aca="1" ref="O236" ca="1">IF(L236&lt;&gt;"",L236,_xlfn.XLOOKUP(B236,OFFSET($C$4,0,0,$A$2,1),OFFSET($O$4,0,0,$A$2,1)))</f>
        <v>Composition 43</v>
      </c>
      <c r="P236" s="55" cm="1">
        <f t="array" aca="1" ref="P236" ca="1">MATCH(J236, _xlfn._xlws.FILTER($J$4:$J$430,$O$4:$O$430=O236), 0)+1</f>
        <v>5</v>
      </c>
      <c r="Q236" s="63" t="str">
        <f>_xlfn.XLOOKUP(B236, IN_Zugliste!A:A, IN_Zugliste!M:M, "")</f>
        <v>10:48:18</v>
      </c>
    </row>
    <row r="237" spans="1:17" ht="15" customHeight="1" x14ac:dyDescent="0.2">
      <c r="A237" s="63" t="s">
        <v>686</v>
      </c>
      <c r="B237" s="63" t="s">
        <v>333</v>
      </c>
      <c r="C237" s="63" t="s">
        <v>381</v>
      </c>
      <c r="D237" s="63" t="s">
        <v>1064</v>
      </c>
      <c r="E237" s="63" t="s">
        <v>688</v>
      </c>
      <c r="F237" s="63" t="s">
        <v>1456</v>
      </c>
      <c r="G237" s="63" t="s">
        <v>1457</v>
      </c>
      <c r="H237" s="63" t="s">
        <v>691</v>
      </c>
      <c r="I237" s="63" t="s">
        <v>1458</v>
      </c>
      <c r="J237" s="63" t="s">
        <v>1459</v>
      </c>
      <c r="K237" s="55">
        <f t="shared" ca="1" si="3"/>
        <v>0</v>
      </c>
      <c r="L237" s="56" t="str">
        <f ca="1">IF(K237&gt;0,"Composition "&amp;SUM(K$4:K237),"")</f>
        <v/>
      </c>
      <c r="M237" s="55" cm="1">
        <f t="array" aca="1" ref="M237" ca="1">IF(K237=1,_xlfn.XLOOKUP(B237,OFFSET(IN_Zugliste!$A$4,0,0,IN_Zugliste!$A$2,1),OFFSET(IN_Zugliste!$K$4,0,0,IN_Zugliste!$A$2,1),0),0)+_xlfn.XLOOKUP(C237,OFFSET(IN_Zugliste!$A$4,0,0,IN_Zugliste!$A$2,1),OFFSET(IN_Zugliste!$K$4,0,0,IN_Zugliste!$A$2,1),0)</f>
        <v>133789</v>
      </c>
      <c r="N237" s="55" t="str" cm="1">
        <f t="array" aca="1" ref="N237" ca="1">IF(K237=1,_xlfn.XLOOKUP(B237,OFFSET(IN_Zugliste!$A$4,0,0,IN_Zugliste!$A$2,1),OFFSET(IN_Zugliste!$D$4,0,0,IN_Zugliste!$A$2,1),""),"")</f>
        <v/>
      </c>
      <c r="O237" s="55" t="str" cm="1">
        <f t="array" aca="1" ref="O237" ca="1">IF(L237&lt;&gt;"",L237,_xlfn.XLOOKUP(B237,OFFSET($C$4,0,0,$A$2,1),OFFSET($O$4,0,0,$A$2,1)))</f>
        <v>Composition 43</v>
      </c>
      <c r="P237" s="55" cm="1">
        <f t="array" aca="1" ref="P237" ca="1">MATCH(J237, _xlfn._xlws.FILTER($J$4:$J$430,$O$4:$O$430=O237), 0)+1</f>
        <v>6</v>
      </c>
      <c r="Q237" s="63" t="str">
        <f>_xlfn.XLOOKUP(B237, IN_Zugliste!A:A, IN_Zugliste!M:M, "")</f>
        <v>12:36:59</v>
      </c>
    </row>
    <row r="238" spans="1:17" ht="15" customHeight="1" x14ac:dyDescent="0.2">
      <c r="A238" s="63" t="s">
        <v>686</v>
      </c>
      <c r="B238" s="63" t="s">
        <v>346</v>
      </c>
      <c r="C238" s="63" t="s">
        <v>340</v>
      </c>
      <c r="D238" s="63" t="s">
        <v>1365</v>
      </c>
      <c r="E238" s="63" t="s">
        <v>688</v>
      </c>
      <c r="F238" s="63" t="s">
        <v>1460</v>
      </c>
      <c r="G238" s="63" t="s">
        <v>1461</v>
      </c>
      <c r="H238" s="63" t="s">
        <v>691</v>
      </c>
      <c r="I238" s="63" t="s">
        <v>1461</v>
      </c>
      <c r="J238" s="63" t="s">
        <v>1462</v>
      </c>
      <c r="K238" s="55">
        <f t="shared" ca="1" si="3"/>
        <v>1</v>
      </c>
      <c r="L238" s="56" t="str">
        <f ca="1">IF(K238&gt;0,"Composition "&amp;SUM(K$4:K238),"")</f>
        <v>Composition 44</v>
      </c>
      <c r="M238" s="55" cm="1">
        <f t="array" aca="1" ref="M238" ca="1">IF(K238=1,_xlfn.XLOOKUP(B238,OFFSET(IN_Zugliste!$A$4,0,0,IN_Zugliste!$A$2,1),OFFSET(IN_Zugliste!$K$4,0,0,IN_Zugliste!$A$2,1),0),0)+_xlfn.XLOOKUP(C238,OFFSET(IN_Zugliste!$A$4,0,0,IN_Zugliste!$A$2,1),OFFSET(IN_Zugliste!$K$4,0,0,IN_Zugliste!$A$2,1),0)</f>
        <v>308062</v>
      </c>
      <c r="N238" s="55" t="str" cm="1">
        <f t="array" aca="1" ref="N238" ca="1">IF(K238=1,_xlfn.XLOOKUP(B238,OFFSET(IN_Zugliste!$A$4,0,0,IN_Zugliste!$A$2,1),OFFSET(IN_Zugliste!$D$4,0,0,IN_Zugliste!$A$2,1),""),"")</f>
        <v>462-1.0</v>
      </c>
      <c r="O238" s="55" t="str" cm="1">
        <f t="array" aca="1" ref="O238" ca="1">IF(L238&lt;&gt;"",L238,_xlfn.XLOOKUP(B238,OFFSET($C$4,0,0,$A$2,1),OFFSET($O$4,0,0,$A$2,1)))</f>
        <v>Composition 44</v>
      </c>
      <c r="P238" s="55" cm="1">
        <f t="array" aca="1" ref="P238" ca="1">MATCH(J238, _xlfn._xlws.FILTER($J$4:$J$430,$O$4:$O$430=O238), 0)+1</f>
        <v>2</v>
      </c>
      <c r="Q238" s="63" t="str">
        <f>_xlfn.XLOOKUP(B238, IN_Zugliste!A:A, IN_Zugliste!M:M, "")</f>
        <v>05:14:33</v>
      </c>
    </row>
    <row r="239" spans="1:17" ht="15" customHeight="1" x14ac:dyDescent="0.2">
      <c r="A239" s="63" t="s">
        <v>686</v>
      </c>
      <c r="B239" s="63" t="s">
        <v>340</v>
      </c>
      <c r="C239" s="63" t="s">
        <v>353</v>
      </c>
      <c r="D239" s="63" t="s">
        <v>1111</v>
      </c>
      <c r="E239" s="63" t="s">
        <v>948</v>
      </c>
      <c r="F239" s="63" t="s">
        <v>1463</v>
      </c>
      <c r="G239" s="63" t="s">
        <v>1464</v>
      </c>
      <c r="H239" s="63" t="s">
        <v>691</v>
      </c>
      <c r="I239" s="63" t="s">
        <v>1465</v>
      </c>
      <c r="J239" s="63" t="s">
        <v>1466</v>
      </c>
      <c r="K239" s="55">
        <f t="shared" ca="1" si="3"/>
        <v>0</v>
      </c>
      <c r="L239" s="56" t="str">
        <f ca="1">IF(K239&gt;0,"Composition "&amp;SUM(K$4:K239),"")</f>
        <v/>
      </c>
      <c r="M239" s="55" cm="1">
        <f t="array" aca="1" ref="M239" ca="1">IF(K239=1,_xlfn.XLOOKUP(B239,OFFSET(IN_Zugliste!$A$4,0,0,IN_Zugliste!$A$2,1),OFFSET(IN_Zugliste!$K$4,0,0,IN_Zugliste!$A$2,1),0),0)+_xlfn.XLOOKUP(C239,OFFSET(IN_Zugliste!$A$4,0,0,IN_Zugliste!$A$2,1),OFFSET(IN_Zugliste!$K$4,0,0,IN_Zugliste!$A$2,1),0)</f>
        <v>154133</v>
      </c>
      <c r="N239" s="55" t="str" cm="1">
        <f t="array" aca="1" ref="N239" ca="1">IF(K239=1,_xlfn.XLOOKUP(B239,OFFSET(IN_Zugliste!$A$4,0,0,IN_Zugliste!$A$2,1),OFFSET(IN_Zugliste!$D$4,0,0,IN_Zugliste!$A$2,1),""),"")</f>
        <v/>
      </c>
      <c r="O239" s="55" t="str" cm="1">
        <f t="array" aca="1" ref="O239" ca="1">IF(L239&lt;&gt;"",L239,_xlfn.XLOOKUP(B239,OFFSET($C$4,0,0,$A$2,1),OFFSET($O$4,0,0,$A$2,1)))</f>
        <v>Composition 44</v>
      </c>
      <c r="P239" s="55" cm="1">
        <f t="array" aca="1" ref="P239" ca="1">MATCH(J239, _xlfn._xlws.FILTER($J$4:$J$430,$O$4:$O$430=O239), 0)+1</f>
        <v>3</v>
      </c>
      <c r="Q239" s="63" t="str">
        <f>_xlfn.XLOOKUP(B239, IN_Zugliste!A:A, IN_Zugliste!M:M, "")</f>
        <v>07:48:25</v>
      </c>
    </row>
    <row r="240" spans="1:17" ht="15" customHeight="1" x14ac:dyDescent="0.2">
      <c r="A240" s="63" t="s">
        <v>686</v>
      </c>
      <c r="B240" s="63" t="s">
        <v>353</v>
      </c>
      <c r="C240" s="63" t="s">
        <v>345</v>
      </c>
      <c r="D240" s="63" t="s">
        <v>1365</v>
      </c>
      <c r="E240" s="63" t="s">
        <v>688</v>
      </c>
      <c r="F240" s="63" t="s">
        <v>1467</v>
      </c>
      <c r="G240" s="63" t="s">
        <v>1468</v>
      </c>
      <c r="H240" s="63" t="s">
        <v>691</v>
      </c>
      <c r="I240" s="63" t="s">
        <v>1468</v>
      </c>
      <c r="J240" s="63" t="s">
        <v>1469</v>
      </c>
      <c r="K240" s="55">
        <f t="shared" ca="1" si="3"/>
        <v>0</v>
      </c>
      <c r="L240" s="56" t="str">
        <f ca="1">IF(K240&gt;0,"Composition "&amp;SUM(K$4:K240),"")</f>
        <v/>
      </c>
      <c r="M240" s="55" cm="1">
        <f t="array" aca="1" ref="M240" ca="1">IF(K240=1,_xlfn.XLOOKUP(B240,OFFSET(IN_Zugliste!$A$4,0,0,IN_Zugliste!$A$2,1),OFFSET(IN_Zugliste!$K$4,0,0,IN_Zugliste!$A$2,1),0),0)+_xlfn.XLOOKUP(C240,OFFSET(IN_Zugliste!$A$4,0,0,IN_Zugliste!$A$2,1),OFFSET(IN_Zugliste!$K$4,0,0,IN_Zugliste!$A$2,1),0)</f>
        <v>153929</v>
      </c>
      <c r="N240" s="55" t="str" cm="1">
        <f t="array" aca="1" ref="N240" ca="1">IF(K240=1,_xlfn.XLOOKUP(B240,OFFSET(IN_Zugliste!$A$4,0,0,IN_Zugliste!$A$2,1),OFFSET(IN_Zugliste!$D$4,0,0,IN_Zugliste!$A$2,1),""),"")</f>
        <v/>
      </c>
      <c r="O240" s="55" t="str" cm="1">
        <f t="array" aca="1" ref="O240" ca="1">IF(L240&lt;&gt;"",L240,_xlfn.XLOOKUP(B240,OFFSET($C$4,0,0,$A$2,1),OFFSET($O$4,0,0,$A$2,1)))</f>
        <v>Composition 44</v>
      </c>
      <c r="P240" s="55" cm="1">
        <f t="array" aca="1" ref="P240" ca="1">MATCH(J240, _xlfn._xlws.FILTER($J$4:$J$430,$O$4:$O$430=O240), 0)+1</f>
        <v>4</v>
      </c>
      <c r="Q240" s="63" t="str">
        <f>_xlfn.XLOOKUP(B240, IN_Zugliste!A:A, IN_Zugliste!M:M, "")</f>
        <v>10:14:33</v>
      </c>
    </row>
    <row r="241" spans="1:17" ht="15" customHeight="1" x14ac:dyDescent="0.2">
      <c r="A241" s="63" t="s">
        <v>686</v>
      </c>
      <c r="B241" s="63" t="s">
        <v>625</v>
      </c>
      <c r="C241" s="63" t="s">
        <v>641</v>
      </c>
      <c r="D241" s="63" t="s">
        <v>1176</v>
      </c>
      <c r="E241" s="63" t="s">
        <v>688</v>
      </c>
      <c r="F241" s="63" t="s">
        <v>1470</v>
      </c>
      <c r="G241" s="63" t="s">
        <v>1471</v>
      </c>
      <c r="H241" s="63" t="s">
        <v>691</v>
      </c>
      <c r="I241" s="63" t="s">
        <v>1471</v>
      </c>
      <c r="J241" s="63" t="s">
        <v>1472</v>
      </c>
      <c r="K241" s="55">
        <f t="shared" ca="1" si="3"/>
        <v>1</v>
      </c>
      <c r="L241" s="56" t="str">
        <f ca="1">IF(K241&gt;0,"Composition "&amp;SUM(K$4:K241),"")</f>
        <v>Composition 45</v>
      </c>
      <c r="M241" s="55" cm="1">
        <f t="array" aca="1" ref="M241" ca="1">IF(K241=1,_xlfn.XLOOKUP(B241,OFFSET(IN_Zugliste!$A$4,0,0,IN_Zugliste!$A$2,1),OFFSET(IN_Zugliste!$K$4,0,0,IN_Zugliste!$A$2,1),0),0)+_xlfn.XLOOKUP(C241,OFFSET(IN_Zugliste!$A$4,0,0,IN_Zugliste!$A$2,1),OFFSET(IN_Zugliste!$K$4,0,0,IN_Zugliste!$A$2,1),0)</f>
        <v>194485</v>
      </c>
      <c r="N241" s="55" t="str" cm="1">
        <f t="array" aca="1" ref="N241" ca="1">IF(K241=1,_xlfn.XLOOKUP(B241,OFFSET(IN_Zugliste!$A$4,0,0,IN_Zugliste!$A$2,1),OFFSET(IN_Zugliste!$D$4,0,0,IN_Zugliste!$A$2,1),""),"")</f>
        <v>462-1.0</v>
      </c>
      <c r="O241" s="55" t="str" cm="1">
        <f t="array" aca="1" ref="O241" ca="1">IF(L241&lt;&gt;"",L241,_xlfn.XLOOKUP(B241,OFFSET($C$4,0,0,$A$2,1),OFFSET($O$4,0,0,$A$2,1)))</f>
        <v>Composition 45</v>
      </c>
      <c r="P241" s="55" cm="1">
        <f t="array" aca="1" ref="P241" ca="1">MATCH(J241, _xlfn._xlws.FILTER($J$4:$J$430,$O$4:$O$430=O241), 0)+1</f>
        <v>2</v>
      </c>
      <c r="Q241" s="63" t="str">
        <f>_xlfn.XLOOKUP(B241, IN_Zugliste!A:A, IN_Zugliste!M:M, "")</f>
        <v>05:08:57</v>
      </c>
    </row>
    <row r="242" spans="1:17" ht="15" customHeight="1" x14ac:dyDescent="0.2">
      <c r="A242" s="63" t="s">
        <v>686</v>
      </c>
      <c r="B242" s="63" t="s">
        <v>641</v>
      </c>
      <c r="C242" s="63" t="s">
        <v>632</v>
      </c>
      <c r="D242" s="63" t="s">
        <v>727</v>
      </c>
      <c r="E242" s="63" t="s">
        <v>688</v>
      </c>
      <c r="F242" s="63" t="s">
        <v>1473</v>
      </c>
      <c r="G242" s="63" t="s">
        <v>1474</v>
      </c>
      <c r="H242" s="63" t="s">
        <v>691</v>
      </c>
      <c r="I242" s="63" t="s">
        <v>1474</v>
      </c>
      <c r="J242" s="63" t="s">
        <v>1475</v>
      </c>
      <c r="K242" s="55">
        <f t="shared" ca="1" si="3"/>
        <v>0</v>
      </c>
      <c r="L242" s="56" t="str">
        <f ca="1">IF(K242&gt;0,"Composition "&amp;SUM(K$4:K242),"")</f>
        <v/>
      </c>
      <c r="M242" s="55" cm="1">
        <f t="array" aca="1" ref="M242" ca="1">IF(K242=1,_xlfn.XLOOKUP(B242,OFFSET(IN_Zugliste!$A$4,0,0,IN_Zugliste!$A$2,1),OFFSET(IN_Zugliste!$K$4,0,0,IN_Zugliste!$A$2,1),0),0)+_xlfn.XLOOKUP(C242,OFFSET(IN_Zugliste!$A$4,0,0,IN_Zugliste!$A$2,1),OFFSET(IN_Zugliste!$K$4,0,0,IN_Zugliste!$A$2,1),0)</f>
        <v>97293</v>
      </c>
      <c r="N242" s="55" t="str" cm="1">
        <f t="array" aca="1" ref="N242" ca="1">IF(K242=1,_xlfn.XLOOKUP(B242,OFFSET(IN_Zugliste!$A$4,0,0,IN_Zugliste!$A$2,1),OFFSET(IN_Zugliste!$D$4,0,0,IN_Zugliste!$A$2,1),""),"")</f>
        <v/>
      </c>
      <c r="O242" s="55" t="str" cm="1">
        <f t="array" aca="1" ref="O242" ca="1">IF(L242&lt;&gt;"",L242,_xlfn.XLOOKUP(B242,OFFSET($C$4,0,0,$A$2,1),OFFSET($O$4,0,0,$A$2,1)))</f>
        <v>Composition 45</v>
      </c>
      <c r="P242" s="55" cm="1">
        <f t="array" aca="1" ref="P242" ca="1">MATCH(J242, _xlfn._xlws.FILTER($J$4:$J$430,$O$4:$O$430=O242), 0)+1</f>
        <v>3</v>
      </c>
      <c r="Q242" s="63" t="str">
        <f>_xlfn.XLOOKUP(B242, IN_Zugliste!A:A, IN_Zugliste!M:M, "")</f>
        <v>07:40:42</v>
      </c>
    </row>
    <row r="243" spans="1:17" ht="15" customHeight="1" x14ac:dyDescent="0.2">
      <c r="A243" s="63" t="s">
        <v>686</v>
      </c>
      <c r="B243" s="63" t="s">
        <v>632</v>
      </c>
      <c r="C243" s="63" t="s">
        <v>646</v>
      </c>
      <c r="D243" s="63" t="s">
        <v>1176</v>
      </c>
      <c r="E243" s="63" t="s">
        <v>688</v>
      </c>
      <c r="F243" s="63" t="s">
        <v>1476</v>
      </c>
      <c r="G243" s="63" t="s">
        <v>1477</v>
      </c>
      <c r="H243" s="63" t="s">
        <v>691</v>
      </c>
      <c r="I243" s="63" t="s">
        <v>1477</v>
      </c>
      <c r="J243" s="63" t="s">
        <v>1478</v>
      </c>
      <c r="K243" s="55">
        <f t="shared" ca="1" si="3"/>
        <v>0</v>
      </c>
      <c r="L243" s="56" t="str">
        <f ca="1">IF(K243&gt;0,"Composition "&amp;SUM(K$4:K243),"")</f>
        <v/>
      </c>
      <c r="M243" s="55" cm="1">
        <f t="array" aca="1" ref="M243" ca="1">IF(K243=1,_xlfn.XLOOKUP(B243,OFFSET(IN_Zugliste!$A$4,0,0,IN_Zugliste!$A$2,1),OFFSET(IN_Zugliste!$K$4,0,0,IN_Zugliste!$A$2,1),0),0)+_xlfn.XLOOKUP(C243,OFFSET(IN_Zugliste!$A$4,0,0,IN_Zugliste!$A$2,1),OFFSET(IN_Zugliste!$K$4,0,0,IN_Zugliste!$A$2,1),0)</f>
        <v>97192</v>
      </c>
      <c r="N243" s="55" t="str" cm="1">
        <f t="array" aca="1" ref="N243" ca="1">IF(K243=1,_xlfn.XLOOKUP(B243,OFFSET(IN_Zugliste!$A$4,0,0,IN_Zugliste!$A$2,1),OFFSET(IN_Zugliste!$D$4,0,0,IN_Zugliste!$A$2,1),""),"")</f>
        <v/>
      </c>
      <c r="O243" s="55" t="str" cm="1">
        <f t="array" aca="1" ref="O243" ca="1">IF(L243&lt;&gt;"",L243,_xlfn.XLOOKUP(B243,OFFSET($C$4,0,0,$A$2,1),OFFSET($O$4,0,0,$A$2,1)))</f>
        <v>Composition 45</v>
      </c>
      <c r="P243" s="55" cm="1">
        <f t="array" aca="1" ref="P243" ca="1">MATCH(J243, _xlfn._xlws.FILTER($J$4:$J$430,$O$4:$O$430=O243), 0)+1</f>
        <v>4</v>
      </c>
      <c r="Q243" s="63" t="str">
        <f>_xlfn.XLOOKUP(B243, IN_Zugliste!A:A, IN_Zugliste!M:M, "")</f>
        <v>10:08:57</v>
      </c>
    </row>
    <row r="244" spans="1:17" ht="15" customHeight="1" x14ac:dyDescent="0.2">
      <c r="A244" s="63" t="s">
        <v>686</v>
      </c>
      <c r="B244" s="63" t="s">
        <v>294</v>
      </c>
      <c r="C244" s="63" t="s">
        <v>307</v>
      </c>
      <c r="D244" s="63" t="s">
        <v>1080</v>
      </c>
      <c r="E244" s="63" t="s">
        <v>688</v>
      </c>
      <c r="F244" s="63" t="s">
        <v>1479</v>
      </c>
      <c r="G244" s="63" t="s">
        <v>1480</v>
      </c>
      <c r="H244" s="63" t="s">
        <v>691</v>
      </c>
      <c r="I244" s="63" t="s">
        <v>1480</v>
      </c>
      <c r="J244" s="63" t="s">
        <v>792</v>
      </c>
      <c r="K244" s="55">
        <f t="shared" ca="1" si="3"/>
        <v>1</v>
      </c>
      <c r="L244" s="56" t="str">
        <f ca="1">IF(K244&gt;0,"Composition "&amp;SUM(K$4:K244),"")</f>
        <v>Composition 46</v>
      </c>
      <c r="M244" s="55" cm="1">
        <f t="array" aca="1" ref="M244" ca="1">IF(K244=1,_xlfn.XLOOKUP(B244,OFFSET(IN_Zugliste!$A$4,0,0,IN_Zugliste!$A$2,1),OFFSET(IN_Zugliste!$K$4,0,0,IN_Zugliste!$A$2,1),0),0)+_xlfn.XLOOKUP(C244,OFFSET(IN_Zugliste!$A$4,0,0,IN_Zugliste!$A$2,1),OFFSET(IN_Zugliste!$K$4,0,0,IN_Zugliste!$A$2,1),0)</f>
        <v>152002</v>
      </c>
      <c r="N244" s="55" t="str" cm="1">
        <f t="array" aca="1" ref="N244" ca="1">IF(K244=1,_xlfn.XLOOKUP(B244,OFFSET(IN_Zugliste!$A$4,0,0,IN_Zugliste!$A$2,1),OFFSET(IN_Zugliste!$D$4,0,0,IN_Zugliste!$A$2,1),""),"")</f>
        <v>146-3.2</v>
      </c>
      <c r="O244" s="55" t="str" cm="1">
        <f t="array" aca="1" ref="O244" ca="1">IF(L244&lt;&gt;"",L244,_xlfn.XLOOKUP(B244,OFFSET($C$4,0,0,$A$2,1),OFFSET($O$4,0,0,$A$2,1)))</f>
        <v>Composition 46</v>
      </c>
      <c r="P244" s="55" cm="1">
        <f t="array" aca="1" ref="P244" ca="1">MATCH(J244, _xlfn._xlws.FILTER($J$4:$J$430,$O$4:$O$430=O244), 0)+1</f>
        <v>2</v>
      </c>
      <c r="Q244" s="63" t="str">
        <f>_xlfn.XLOOKUP(B244, IN_Zugliste!A:A, IN_Zugliste!M:M, "")</f>
        <v>06:03:46</v>
      </c>
    </row>
    <row r="245" spans="1:17" ht="15" customHeight="1" x14ac:dyDescent="0.2">
      <c r="A245" s="63" t="s">
        <v>686</v>
      </c>
      <c r="B245" s="63" t="s">
        <v>307</v>
      </c>
      <c r="C245" s="63" t="s">
        <v>330</v>
      </c>
      <c r="D245" s="63" t="s">
        <v>727</v>
      </c>
      <c r="E245" s="63" t="s">
        <v>688</v>
      </c>
      <c r="F245" s="63" t="s">
        <v>1481</v>
      </c>
      <c r="G245" s="63" t="s">
        <v>1482</v>
      </c>
      <c r="H245" s="63" t="s">
        <v>691</v>
      </c>
      <c r="I245" s="63" t="s">
        <v>1482</v>
      </c>
      <c r="J245" s="63" t="s">
        <v>1483</v>
      </c>
      <c r="K245" s="55">
        <f t="shared" ca="1" si="3"/>
        <v>0</v>
      </c>
      <c r="L245" s="56" t="str">
        <f ca="1">IF(K245&gt;0,"Composition "&amp;SUM(K$4:K245),"")</f>
        <v/>
      </c>
      <c r="M245" s="55" cm="1">
        <f t="array" aca="1" ref="M245" ca="1">IF(K245=1,_xlfn.XLOOKUP(B245,OFFSET(IN_Zugliste!$A$4,0,0,IN_Zugliste!$A$2,1),OFFSET(IN_Zugliste!$K$4,0,0,IN_Zugliste!$A$2,1),0),0)+_xlfn.XLOOKUP(C245,OFFSET(IN_Zugliste!$A$4,0,0,IN_Zugliste!$A$2,1),OFFSET(IN_Zugliste!$K$4,0,0,IN_Zugliste!$A$2,1),0)</f>
        <v>62238</v>
      </c>
      <c r="N245" s="55" t="str" cm="1">
        <f t="array" aca="1" ref="N245" ca="1">IF(K245=1,_xlfn.XLOOKUP(B245,OFFSET(IN_Zugliste!$A$4,0,0,IN_Zugliste!$A$2,1),OFFSET(IN_Zugliste!$D$4,0,0,IN_Zugliste!$A$2,1),""),"")</f>
        <v/>
      </c>
      <c r="O245" s="55" t="str" cm="1">
        <f t="array" aca="1" ref="O245" ca="1">IF(L245&lt;&gt;"",L245,_xlfn.XLOOKUP(B245,OFFSET($C$4,0,0,$A$2,1),OFFSET($O$4,0,0,$A$2,1)))</f>
        <v>Composition 46</v>
      </c>
      <c r="P245" s="55" cm="1">
        <f t="array" aca="1" ref="P245" ca="1">MATCH(J245, _xlfn._xlws.FILTER($J$4:$J$430,$O$4:$O$430=O245), 0)+1</f>
        <v>3</v>
      </c>
      <c r="Q245" s="63" t="str">
        <f>_xlfn.XLOOKUP(B245, IN_Zugliste!A:A, IN_Zugliste!M:M, "")</f>
        <v>07:48:18</v>
      </c>
    </row>
    <row r="246" spans="1:17" ht="15" customHeight="1" x14ac:dyDescent="0.2">
      <c r="A246" s="63" t="s">
        <v>686</v>
      </c>
      <c r="B246" s="63" t="s">
        <v>330</v>
      </c>
      <c r="C246" s="63" t="s">
        <v>387</v>
      </c>
      <c r="D246" s="63" t="s">
        <v>1064</v>
      </c>
      <c r="E246" s="63" t="s">
        <v>688</v>
      </c>
      <c r="F246" s="63" t="s">
        <v>1484</v>
      </c>
      <c r="G246" s="63" t="s">
        <v>1485</v>
      </c>
      <c r="H246" s="63" t="s">
        <v>691</v>
      </c>
      <c r="I246" s="63" t="s">
        <v>1485</v>
      </c>
      <c r="J246" s="63" t="s">
        <v>1486</v>
      </c>
      <c r="K246" s="55">
        <f t="shared" ca="1" si="3"/>
        <v>0</v>
      </c>
      <c r="L246" s="56" t="str">
        <f ca="1">IF(K246&gt;0,"Composition "&amp;SUM(K$4:K246),"")</f>
        <v/>
      </c>
      <c r="M246" s="55" cm="1">
        <f t="array" aca="1" ref="M246" ca="1">IF(K246=1,_xlfn.XLOOKUP(B246,OFFSET(IN_Zugliste!$A$4,0,0,IN_Zugliste!$A$2,1),OFFSET(IN_Zugliste!$K$4,0,0,IN_Zugliste!$A$2,1),0),0)+_xlfn.XLOOKUP(C246,OFFSET(IN_Zugliste!$A$4,0,0,IN_Zugliste!$A$2,1),OFFSET(IN_Zugliste!$K$4,0,0,IN_Zugliste!$A$2,1),0)</f>
        <v>133789</v>
      </c>
      <c r="N246" s="55" t="str" cm="1">
        <f t="array" aca="1" ref="N246" ca="1">IF(K246=1,_xlfn.XLOOKUP(B246,OFFSET(IN_Zugliste!$A$4,0,0,IN_Zugliste!$A$2,1),OFFSET(IN_Zugliste!$D$4,0,0,IN_Zugliste!$A$2,1),""),"")</f>
        <v/>
      </c>
      <c r="O246" s="55" t="str" cm="1">
        <f t="array" aca="1" ref="O246" ca="1">IF(L246&lt;&gt;"",L246,_xlfn.XLOOKUP(B246,OFFSET($C$4,0,0,$A$2,1),OFFSET($O$4,0,0,$A$2,1)))</f>
        <v>Composition 46</v>
      </c>
      <c r="P246" s="55" cm="1">
        <f t="array" aca="1" ref="P246" ca="1">MATCH(J246, _xlfn._xlws.FILTER($J$4:$J$430,$O$4:$O$430=O246), 0)+1</f>
        <v>4</v>
      </c>
      <c r="Q246" s="63" t="str">
        <f>_xlfn.XLOOKUP(B246, IN_Zugliste!A:A, IN_Zugliste!M:M, "")</f>
        <v>09:36:59</v>
      </c>
    </row>
    <row r="247" spans="1:17" ht="15" customHeight="1" x14ac:dyDescent="0.2">
      <c r="A247" s="63" t="s">
        <v>686</v>
      </c>
      <c r="B247" s="63" t="s">
        <v>387</v>
      </c>
      <c r="C247" s="63" t="s">
        <v>400</v>
      </c>
      <c r="D247" s="63" t="s">
        <v>1068</v>
      </c>
      <c r="E247" s="63" t="s">
        <v>688</v>
      </c>
      <c r="F247" s="63" t="s">
        <v>1487</v>
      </c>
      <c r="G247" s="63" t="s">
        <v>1488</v>
      </c>
      <c r="H247" s="63" t="s">
        <v>691</v>
      </c>
      <c r="I247" s="63" t="s">
        <v>1489</v>
      </c>
      <c r="J247" s="63" t="s">
        <v>1490</v>
      </c>
      <c r="K247" s="55">
        <f t="shared" ca="1" si="3"/>
        <v>0</v>
      </c>
      <c r="L247" s="56" t="str">
        <f ca="1">IF(K247&gt;0,"Composition "&amp;SUM(K$4:K247),"")</f>
        <v/>
      </c>
      <c r="M247" s="55" cm="1">
        <f t="array" aca="1" ref="M247" ca="1">IF(K247=1,_xlfn.XLOOKUP(B247,OFFSET(IN_Zugliste!$A$4,0,0,IN_Zugliste!$A$2,1),OFFSET(IN_Zugliste!$K$4,0,0,IN_Zugliste!$A$2,1),0),0)+_xlfn.XLOOKUP(C247,OFFSET(IN_Zugliste!$A$4,0,0,IN_Zugliste!$A$2,1),OFFSET(IN_Zugliste!$K$4,0,0,IN_Zugliste!$A$2,1),0)</f>
        <v>133827</v>
      </c>
      <c r="N247" s="55" t="str" cm="1">
        <f t="array" aca="1" ref="N247" ca="1">IF(K247=1,_xlfn.XLOOKUP(B247,OFFSET(IN_Zugliste!$A$4,0,0,IN_Zugliste!$A$2,1),OFFSET(IN_Zugliste!$D$4,0,0,IN_Zugliste!$A$2,1),""),"")</f>
        <v/>
      </c>
      <c r="O247" s="55" t="str" cm="1">
        <f t="array" aca="1" ref="O247" ca="1">IF(L247&lt;&gt;"",L247,_xlfn.XLOOKUP(B247,OFFSET($C$4,0,0,$A$2,1),OFFSET($O$4,0,0,$A$2,1)))</f>
        <v>Composition 46</v>
      </c>
      <c r="P247" s="55" cm="1">
        <f t="array" aca="1" ref="P247" ca="1">MATCH(J247, _xlfn._xlws.FILTER($J$4:$J$430,$O$4:$O$430=O247), 0)+1</f>
        <v>5</v>
      </c>
      <c r="Q247" s="63" t="str">
        <f>_xlfn.XLOOKUP(B247, IN_Zugliste!A:A, IN_Zugliste!M:M, "")</f>
        <v>11:02:08</v>
      </c>
    </row>
    <row r="248" spans="1:17" ht="15" customHeight="1" x14ac:dyDescent="0.2">
      <c r="A248" s="63" t="s">
        <v>686</v>
      </c>
      <c r="B248" s="63" t="s">
        <v>562</v>
      </c>
      <c r="C248" s="63" t="s">
        <v>575</v>
      </c>
      <c r="D248" s="63" t="s">
        <v>1097</v>
      </c>
      <c r="E248" s="63" t="s">
        <v>688</v>
      </c>
      <c r="F248" s="63" t="s">
        <v>1491</v>
      </c>
      <c r="G248" s="63" t="s">
        <v>1492</v>
      </c>
      <c r="H248" s="63" t="s">
        <v>691</v>
      </c>
      <c r="I248" s="63" t="s">
        <v>1492</v>
      </c>
      <c r="J248" s="63" t="s">
        <v>1493</v>
      </c>
      <c r="K248" s="55">
        <f t="shared" ca="1" si="3"/>
        <v>1</v>
      </c>
      <c r="L248" s="56" t="str">
        <f ca="1">IF(K248&gt;0,"Composition "&amp;SUM(K$4:K248),"")</f>
        <v>Composition 47</v>
      </c>
      <c r="M248" s="55" cm="1">
        <f t="array" aca="1" ref="M248" ca="1">IF(K248=1,_xlfn.XLOOKUP(B248,OFFSET(IN_Zugliste!$A$4,0,0,IN_Zugliste!$A$2,1),OFFSET(IN_Zugliste!$K$4,0,0,IN_Zugliste!$A$2,1),0),0)+_xlfn.XLOOKUP(C248,OFFSET(IN_Zugliste!$A$4,0,0,IN_Zugliste!$A$2,1),OFFSET(IN_Zugliste!$K$4,0,0,IN_Zugliste!$A$2,1),0)</f>
        <v>197662</v>
      </c>
      <c r="N248" s="55" t="str" cm="1">
        <f t="array" aca="1" ref="N248" ca="1">IF(K248=1,_xlfn.XLOOKUP(B248,OFFSET(IN_Zugliste!$A$4,0,0,IN_Zugliste!$A$2,1),OFFSET(IN_Zugliste!$D$4,0,0,IN_Zugliste!$A$2,1),""),"")</f>
        <v>146-3.2</v>
      </c>
      <c r="O248" s="55" t="str" cm="1">
        <f t="array" aca="1" ref="O248" ca="1">IF(L248&lt;&gt;"",L248,_xlfn.XLOOKUP(B248,OFFSET($C$4,0,0,$A$2,1),OFFSET($O$4,0,0,$A$2,1)))</f>
        <v>Composition 47</v>
      </c>
      <c r="P248" s="55" cm="1">
        <f t="array" aca="1" ref="P248" ca="1">MATCH(J248, _xlfn._xlws.FILTER($J$4:$J$430,$O$4:$O$430=O248), 0)+1</f>
        <v>2</v>
      </c>
      <c r="Q248" s="63" t="str">
        <f>_xlfn.XLOOKUP(B248, IN_Zugliste!A:A, IN_Zugliste!M:M, "")</f>
        <v>06:10:15</v>
      </c>
    </row>
    <row r="249" spans="1:17" ht="15" customHeight="1" x14ac:dyDescent="0.2">
      <c r="A249" s="63" t="s">
        <v>686</v>
      </c>
      <c r="B249" s="63" t="s">
        <v>575</v>
      </c>
      <c r="C249" s="63" t="s">
        <v>587</v>
      </c>
      <c r="D249" s="63" t="s">
        <v>990</v>
      </c>
      <c r="E249" s="63" t="s">
        <v>688</v>
      </c>
      <c r="F249" s="63" t="s">
        <v>1494</v>
      </c>
      <c r="G249" s="63" t="s">
        <v>1495</v>
      </c>
      <c r="H249" s="63" t="s">
        <v>691</v>
      </c>
      <c r="I249" s="63" t="s">
        <v>1495</v>
      </c>
      <c r="J249" s="63" t="s">
        <v>1496</v>
      </c>
      <c r="K249" s="55">
        <f t="shared" ca="1" si="3"/>
        <v>0</v>
      </c>
      <c r="L249" s="56" t="str">
        <f ca="1">IF(K249&gt;0,"Composition "&amp;SUM(K$4:K249),"")</f>
        <v/>
      </c>
      <c r="M249" s="55" cm="1">
        <f t="array" aca="1" ref="M249" ca="1">IF(K249=1,_xlfn.XLOOKUP(B249,OFFSET(IN_Zugliste!$A$4,0,0,IN_Zugliste!$A$2,1),OFFSET(IN_Zugliste!$K$4,0,0,IN_Zugliste!$A$2,1),0),0)+_xlfn.XLOOKUP(C249,OFFSET(IN_Zugliste!$A$4,0,0,IN_Zugliste!$A$2,1),OFFSET(IN_Zugliste!$K$4,0,0,IN_Zugliste!$A$2,1),0)</f>
        <v>224120</v>
      </c>
      <c r="N249" s="55" t="str" cm="1">
        <f t="array" aca="1" ref="N249" ca="1">IF(K249=1,_xlfn.XLOOKUP(B249,OFFSET(IN_Zugliste!$A$4,0,0,IN_Zugliste!$A$2,1),OFFSET(IN_Zugliste!$D$4,0,0,IN_Zugliste!$A$2,1),""),"")</f>
        <v/>
      </c>
      <c r="O249" s="55" t="str" cm="1">
        <f t="array" aca="1" ref="O249" ca="1">IF(L249&lt;&gt;"",L249,_xlfn.XLOOKUP(B249,OFFSET($C$4,0,0,$A$2,1),OFFSET($O$4,0,0,$A$2,1)))</f>
        <v>Composition 47</v>
      </c>
      <c r="P249" s="55" cm="1">
        <f t="array" aca="1" ref="P249" ca="1">MATCH(J249, _xlfn._xlws.FILTER($J$4:$J$430,$O$4:$O$430=O249), 0)+1</f>
        <v>3</v>
      </c>
      <c r="Q249" s="63" t="str">
        <f>_xlfn.XLOOKUP(B249, IN_Zugliste!A:A, IN_Zugliste!M:M, "")</f>
        <v>07:50:55</v>
      </c>
    </row>
    <row r="250" spans="1:17" ht="15" customHeight="1" x14ac:dyDescent="0.2">
      <c r="A250" s="63" t="s">
        <v>686</v>
      </c>
      <c r="B250" s="63" t="s">
        <v>587</v>
      </c>
      <c r="C250" s="63" t="s">
        <v>602</v>
      </c>
      <c r="D250" s="63" t="s">
        <v>994</v>
      </c>
      <c r="E250" s="63" t="s">
        <v>688</v>
      </c>
      <c r="F250" s="63" t="s">
        <v>1497</v>
      </c>
      <c r="G250" s="63" t="s">
        <v>1498</v>
      </c>
      <c r="H250" s="63" t="s">
        <v>691</v>
      </c>
      <c r="I250" s="63" t="s">
        <v>1498</v>
      </c>
      <c r="J250" s="63" t="s">
        <v>1499</v>
      </c>
      <c r="K250" s="55">
        <f t="shared" ca="1" si="3"/>
        <v>0</v>
      </c>
      <c r="L250" s="56" t="str">
        <f ca="1">IF(K250&gt;0,"Composition "&amp;SUM(K$4:K250),"")</f>
        <v/>
      </c>
      <c r="M250" s="55" cm="1">
        <f t="array" aca="1" ref="M250" ca="1">IF(K250=1,_xlfn.XLOOKUP(B250,OFFSET(IN_Zugliste!$A$4,0,0,IN_Zugliste!$A$2,1),OFFSET(IN_Zugliste!$K$4,0,0,IN_Zugliste!$A$2,1),0),0)+_xlfn.XLOOKUP(C250,OFFSET(IN_Zugliste!$A$4,0,0,IN_Zugliste!$A$2,1),OFFSET(IN_Zugliste!$K$4,0,0,IN_Zugliste!$A$2,1),0)</f>
        <v>224131</v>
      </c>
      <c r="N250" s="55" t="str" cm="1">
        <f t="array" aca="1" ref="N250" ca="1">IF(K250=1,_xlfn.XLOOKUP(B250,OFFSET(IN_Zugliste!$A$4,0,0,IN_Zugliste!$A$2,1),OFFSET(IN_Zugliste!$D$4,0,0,IN_Zugliste!$A$2,1),""),"")</f>
        <v/>
      </c>
      <c r="O250" s="55" t="str" cm="1">
        <f t="array" aca="1" ref="O250" ca="1">IF(L250&lt;&gt;"",L250,_xlfn.XLOOKUP(B250,OFFSET($C$4,0,0,$A$2,1),OFFSET($O$4,0,0,$A$2,1)))</f>
        <v>Composition 47</v>
      </c>
      <c r="P250" s="55" cm="1">
        <f t="array" aca="1" ref="P250" ca="1">MATCH(J250, _xlfn._xlws.FILTER($J$4:$J$430,$O$4:$O$430=O250), 0)+1</f>
        <v>4</v>
      </c>
      <c r="Q250" s="63" t="str">
        <f>_xlfn.XLOOKUP(B250, IN_Zugliste!A:A, IN_Zugliste!M:M, "")</f>
        <v>09:25:20</v>
      </c>
    </row>
    <row r="251" spans="1:17" ht="15" customHeight="1" x14ac:dyDescent="0.2">
      <c r="A251" s="63" t="s">
        <v>686</v>
      </c>
      <c r="B251" s="63" t="s">
        <v>371</v>
      </c>
      <c r="C251" s="63" t="s">
        <v>362</v>
      </c>
      <c r="D251" s="63" t="s">
        <v>1107</v>
      </c>
      <c r="E251" s="63" t="s">
        <v>688</v>
      </c>
      <c r="F251" s="63" t="s">
        <v>1500</v>
      </c>
      <c r="G251" s="63" t="s">
        <v>1501</v>
      </c>
      <c r="H251" s="63" t="s">
        <v>691</v>
      </c>
      <c r="I251" s="63" t="s">
        <v>1501</v>
      </c>
      <c r="J251" s="63" t="s">
        <v>1502</v>
      </c>
      <c r="K251" s="55">
        <f t="shared" ca="1" si="3"/>
        <v>1</v>
      </c>
      <c r="L251" s="56" t="str">
        <f ca="1">IF(K251&gt;0,"Composition "&amp;SUM(K$4:K251),"")</f>
        <v>Composition 48</v>
      </c>
      <c r="M251" s="55" cm="1">
        <f t="array" aca="1" ref="M251" ca="1">IF(K251=1,_xlfn.XLOOKUP(B251,OFFSET(IN_Zugliste!$A$4,0,0,IN_Zugliste!$A$2,1),OFFSET(IN_Zugliste!$K$4,0,0,IN_Zugliste!$A$2,1),0),0)+_xlfn.XLOOKUP(C251,OFFSET(IN_Zugliste!$A$4,0,0,IN_Zugliste!$A$2,1),OFFSET(IN_Zugliste!$K$4,0,0,IN_Zugliste!$A$2,1),0)</f>
        <v>228414</v>
      </c>
      <c r="N251" s="55" t="str" cm="1">
        <f t="array" aca="1" ref="N251" ca="1">IF(K251=1,_xlfn.XLOOKUP(B251,OFFSET(IN_Zugliste!$A$4,0,0,IN_Zugliste!$A$2,1),OFFSET(IN_Zugliste!$D$4,0,0,IN_Zugliste!$A$2,1),""),"")</f>
        <v>462-1.0</v>
      </c>
      <c r="O251" s="55" t="str" cm="1">
        <f t="array" aca="1" ref="O251" ca="1">IF(L251&lt;&gt;"",L251,_xlfn.XLOOKUP(B251,OFFSET($C$4,0,0,$A$2,1),OFFSET($O$4,0,0,$A$2,1)))</f>
        <v>Composition 48</v>
      </c>
      <c r="P251" s="55" cm="1">
        <f t="array" aca="1" ref="P251" ca="1">MATCH(J251, _xlfn._xlws.FILTER($J$4:$J$430,$O$4:$O$430=O251), 0)+1</f>
        <v>2</v>
      </c>
      <c r="Q251" s="63" t="str">
        <f>_xlfn.XLOOKUP(B251, IN_Zugliste!A:A, IN_Zugliste!M:M, "")</f>
        <v>05:48:49</v>
      </c>
    </row>
    <row r="252" spans="1:17" ht="15" customHeight="1" x14ac:dyDescent="0.2">
      <c r="A252" s="63" t="s">
        <v>686</v>
      </c>
      <c r="B252" s="63" t="s">
        <v>362</v>
      </c>
      <c r="C252" s="63" t="s">
        <v>375</v>
      </c>
      <c r="D252" s="63" t="s">
        <v>1111</v>
      </c>
      <c r="E252" s="63" t="s">
        <v>948</v>
      </c>
      <c r="F252" s="63" t="s">
        <v>1503</v>
      </c>
      <c r="G252" s="63" t="s">
        <v>1504</v>
      </c>
      <c r="H252" s="63" t="s">
        <v>691</v>
      </c>
      <c r="I252" s="63" t="s">
        <v>1505</v>
      </c>
      <c r="J252" s="63" t="s">
        <v>1506</v>
      </c>
      <c r="K252" s="55">
        <f t="shared" ca="1" si="3"/>
        <v>0</v>
      </c>
      <c r="L252" s="56" t="str">
        <f ca="1">IF(K252&gt;0,"Composition "&amp;SUM(K$4:K252),"")</f>
        <v/>
      </c>
      <c r="M252" s="55" cm="1">
        <f t="array" aca="1" ref="M252" ca="1">IF(K252=1,_xlfn.XLOOKUP(B252,OFFSET(IN_Zugliste!$A$4,0,0,IN_Zugliste!$A$2,1),OFFSET(IN_Zugliste!$K$4,0,0,IN_Zugliste!$A$2,1),0),0)+_xlfn.XLOOKUP(C252,OFFSET(IN_Zugliste!$A$4,0,0,IN_Zugliste!$A$2,1),OFFSET(IN_Zugliste!$K$4,0,0,IN_Zugliste!$A$2,1),0)</f>
        <v>114138</v>
      </c>
      <c r="N252" s="55" t="str" cm="1">
        <f t="array" aca="1" ref="N252" ca="1">IF(K252=1,_xlfn.XLOOKUP(B252,OFFSET(IN_Zugliste!$A$4,0,0,IN_Zugliste!$A$2,1),OFFSET(IN_Zugliste!$D$4,0,0,IN_Zugliste!$A$2,1),""),"")</f>
        <v/>
      </c>
      <c r="O252" s="55" t="str" cm="1">
        <f t="array" aca="1" ref="O252" ca="1">IF(L252&lt;&gt;"",L252,_xlfn.XLOOKUP(B252,OFFSET($C$4,0,0,$A$2,1),OFFSET($O$4,0,0,$A$2,1)))</f>
        <v>Composition 48</v>
      </c>
      <c r="P252" s="55" cm="1">
        <f t="array" aca="1" ref="P252" ca="1">MATCH(J252, _xlfn._xlws.FILTER($J$4:$J$430,$O$4:$O$430=O252), 0)+1</f>
        <v>3</v>
      </c>
      <c r="Q252" s="63" t="str">
        <f>_xlfn.XLOOKUP(B252, IN_Zugliste!A:A, IN_Zugliste!M:M, "")</f>
        <v>07:48:24</v>
      </c>
    </row>
    <row r="253" spans="1:17" ht="15" customHeight="1" x14ac:dyDescent="0.2">
      <c r="A253" s="63" t="s">
        <v>686</v>
      </c>
      <c r="B253" s="63" t="s">
        <v>375</v>
      </c>
      <c r="C253" s="63" t="s">
        <v>366</v>
      </c>
      <c r="D253" s="63" t="s">
        <v>1107</v>
      </c>
      <c r="E253" s="63" t="s">
        <v>688</v>
      </c>
      <c r="F253" s="63" t="s">
        <v>1507</v>
      </c>
      <c r="G253" s="63" t="s">
        <v>1508</v>
      </c>
      <c r="H253" s="63" t="s">
        <v>691</v>
      </c>
      <c r="I253" s="63" t="s">
        <v>1508</v>
      </c>
      <c r="J253" s="63" t="s">
        <v>1509</v>
      </c>
      <c r="K253" s="55">
        <f t="shared" ca="1" si="3"/>
        <v>0</v>
      </c>
      <c r="L253" s="56" t="str">
        <f ca="1">IF(K253&gt;0,"Composition "&amp;SUM(K$4:K253),"")</f>
        <v/>
      </c>
      <c r="M253" s="55" cm="1">
        <f t="array" aca="1" ref="M253" ca="1">IF(K253=1,_xlfn.XLOOKUP(B253,OFFSET(IN_Zugliste!$A$4,0,0,IN_Zugliste!$A$2,1),OFFSET(IN_Zugliste!$K$4,0,0,IN_Zugliste!$A$2,1),0),0)+_xlfn.XLOOKUP(C253,OFFSET(IN_Zugliste!$A$4,0,0,IN_Zugliste!$A$2,1),OFFSET(IN_Zugliste!$K$4,0,0,IN_Zugliste!$A$2,1),0)</f>
        <v>114276</v>
      </c>
      <c r="N253" s="55" t="str" cm="1">
        <f t="array" aca="1" ref="N253" ca="1">IF(K253=1,_xlfn.XLOOKUP(B253,OFFSET(IN_Zugliste!$A$4,0,0,IN_Zugliste!$A$2,1),OFFSET(IN_Zugliste!$D$4,0,0,IN_Zugliste!$A$2,1),""),"")</f>
        <v/>
      </c>
      <c r="O253" s="55" t="str" cm="1">
        <f t="array" aca="1" ref="O253" ca="1">IF(L253&lt;&gt;"",L253,_xlfn.XLOOKUP(B253,OFFSET($C$4,0,0,$A$2,1),OFFSET($O$4,0,0,$A$2,1)))</f>
        <v>Composition 48</v>
      </c>
      <c r="P253" s="55" cm="1">
        <f t="array" aca="1" ref="P253" ca="1">MATCH(J253, _xlfn._xlws.FILTER($J$4:$J$430,$O$4:$O$430=O253), 0)+1</f>
        <v>4</v>
      </c>
      <c r="Q253" s="63" t="str">
        <f>_xlfn.XLOOKUP(B253, IN_Zugliste!A:A, IN_Zugliste!M:M, "")</f>
        <v>09:48:49</v>
      </c>
    </row>
    <row r="254" spans="1:17" ht="15" customHeight="1" x14ac:dyDescent="0.2">
      <c r="A254" s="63" t="s">
        <v>686</v>
      </c>
      <c r="B254" s="63" t="s">
        <v>366</v>
      </c>
      <c r="C254" s="63" t="s">
        <v>370</v>
      </c>
      <c r="D254" s="63" t="s">
        <v>1111</v>
      </c>
      <c r="E254" s="63" t="s">
        <v>948</v>
      </c>
      <c r="F254" s="63" t="s">
        <v>1510</v>
      </c>
      <c r="G254" s="63" t="s">
        <v>1511</v>
      </c>
      <c r="H254" s="63" t="s">
        <v>691</v>
      </c>
      <c r="I254" s="63" t="s">
        <v>1512</v>
      </c>
      <c r="J254" s="63" t="s">
        <v>1513</v>
      </c>
      <c r="K254" s="55">
        <f t="shared" ca="1" si="3"/>
        <v>0</v>
      </c>
      <c r="L254" s="56" t="str">
        <f ca="1">IF(K254&gt;0,"Composition "&amp;SUM(K$4:K254),"")</f>
        <v/>
      </c>
      <c r="M254" s="55" cm="1">
        <f t="array" aca="1" ref="M254" ca="1">IF(K254=1,_xlfn.XLOOKUP(B254,OFFSET(IN_Zugliste!$A$4,0,0,IN_Zugliste!$A$2,1),OFFSET(IN_Zugliste!$K$4,0,0,IN_Zugliste!$A$2,1),0),0)+_xlfn.XLOOKUP(C254,OFFSET(IN_Zugliste!$A$4,0,0,IN_Zugliste!$A$2,1),OFFSET(IN_Zugliste!$K$4,0,0,IN_Zugliste!$A$2,1),0)</f>
        <v>114138</v>
      </c>
      <c r="N254" s="55" t="str" cm="1">
        <f t="array" aca="1" ref="N254" ca="1">IF(K254=1,_xlfn.XLOOKUP(B254,OFFSET(IN_Zugliste!$A$4,0,0,IN_Zugliste!$A$2,1),OFFSET(IN_Zugliste!$D$4,0,0,IN_Zugliste!$A$2,1),""),"")</f>
        <v/>
      </c>
      <c r="O254" s="55" t="str" cm="1">
        <f t="array" aca="1" ref="O254" ca="1">IF(L254&lt;&gt;"",L254,_xlfn.XLOOKUP(B254,OFFSET($C$4,0,0,$A$2,1),OFFSET($O$4,0,0,$A$2,1)))</f>
        <v>Composition 48</v>
      </c>
      <c r="P254" s="55" cm="1">
        <f t="array" aca="1" ref="P254" ca="1">MATCH(J254, _xlfn._xlws.FILTER($J$4:$J$430,$O$4:$O$430=O254), 0)+1</f>
        <v>5</v>
      </c>
      <c r="Q254" s="63" t="str">
        <f>_xlfn.XLOOKUP(B254, IN_Zugliste!A:A, IN_Zugliste!M:M, "")</f>
        <v>11:48:24</v>
      </c>
    </row>
    <row r="255" spans="1:17" ht="15" customHeight="1" x14ac:dyDescent="0.2">
      <c r="A255" s="63" t="s">
        <v>686</v>
      </c>
      <c r="B255" s="63" t="s">
        <v>401</v>
      </c>
      <c r="C255" s="63" t="s">
        <v>461</v>
      </c>
      <c r="D255" s="63" t="s">
        <v>1068</v>
      </c>
      <c r="E255" s="63" t="s">
        <v>688</v>
      </c>
      <c r="F255" s="63" t="s">
        <v>1514</v>
      </c>
      <c r="G255" s="63" t="s">
        <v>1515</v>
      </c>
      <c r="H255" s="63" t="s">
        <v>691</v>
      </c>
      <c r="I255" s="63" t="s">
        <v>1515</v>
      </c>
      <c r="J255" s="63" t="s">
        <v>1516</v>
      </c>
      <c r="K255" s="55">
        <f t="shared" ca="1" si="3"/>
        <v>1</v>
      </c>
      <c r="L255" s="56" t="str">
        <f ca="1">IF(K255&gt;0,"Composition "&amp;SUM(K$4:K255),"")</f>
        <v>Composition 49</v>
      </c>
      <c r="M255" s="55" cm="1">
        <f t="array" aca="1" ref="M255" ca="1">IF(K255=1,_xlfn.XLOOKUP(B255,OFFSET(IN_Zugliste!$A$4,0,0,IN_Zugliste!$A$2,1),OFFSET(IN_Zugliste!$K$4,0,0,IN_Zugliste!$A$2,1),0),0)+_xlfn.XLOOKUP(C255,OFFSET(IN_Zugliste!$A$4,0,0,IN_Zugliste!$A$2,1),OFFSET(IN_Zugliste!$K$4,0,0,IN_Zugliste!$A$2,1),0)</f>
        <v>479717</v>
      </c>
      <c r="N255" s="55" t="str" cm="1">
        <f t="array" aca="1" ref="N255" ca="1">IF(K255=1,_xlfn.XLOOKUP(B255,OFFSET(IN_Zugliste!$A$4,0,0,IN_Zugliste!$A$2,1),OFFSET(IN_Zugliste!$D$4,0,0,IN_Zugliste!$A$2,1),""),"")</f>
        <v>462-1.0</v>
      </c>
      <c r="O255" s="55" t="str" cm="1">
        <f t="array" aca="1" ref="O255" ca="1">IF(L255&lt;&gt;"",L255,_xlfn.XLOOKUP(B255,OFFSET($C$4,0,0,$A$2,1),OFFSET($O$4,0,0,$A$2,1)))</f>
        <v>Composition 49</v>
      </c>
      <c r="P255" s="55" cm="1">
        <f t="array" aca="1" ref="P255" ca="1">MATCH(J255, _xlfn._xlws.FILTER($J$4:$J$430,$O$4:$O$430=O255), 0)+1</f>
        <v>2</v>
      </c>
      <c r="Q255" s="63" t="str">
        <f>_xlfn.XLOOKUP(B255, IN_Zugliste!A:A, IN_Zugliste!M:M, "")</f>
        <v>04:49:42</v>
      </c>
    </row>
    <row r="256" spans="1:17" ht="15" customHeight="1" x14ac:dyDescent="0.2">
      <c r="A256" s="63" t="s">
        <v>686</v>
      </c>
      <c r="B256" s="63" t="s">
        <v>461</v>
      </c>
      <c r="C256" s="63" t="s">
        <v>453</v>
      </c>
      <c r="D256" s="63" t="s">
        <v>1517</v>
      </c>
      <c r="E256" s="63" t="s">
        <v>688</v>
      </c>
      <c r="F256" s="63" t="s">
        <v>1518</v>
      </c>
      <c r="G256" s="63" t="s">
        <v>1519</v>
      </c>
      <c r="H256" s="63" t="s">
        <v>691</v>
      </c>
      <c r="I256" s="63" t="s">
        <v>1519</v>
      </c>
      <c r="J256" s="63" t="s">
        <v>1520</v>
      </c>
      <c r="K256" s="55">
        <f t="shared" ca="1" si="3"/>
        <v>0</v>
      </c>
      <c r="L256" s="56" t="str">
        <f ca="1">IF(K256&gt;0,"Composition "&amp;SUM(K$4:K256),"")</f>
        <v/>
      </c>
      <c r="M256" s="55" cm="1">
        <f t="array" aca="1" ref="M256" ca="1">IF(K256=1,_xlfn.XLOOKUP(B256,OFFSET(IN_Zugliste!$A$4,0,0,IN_Zugliste!$A$2,1),OFFSET(IN_Zugliste!$K$4,0,0,IN_Zugliste!$A$2,1),0),0)+_xlfn.XLOOKUP(C256,OFFSET(IN_Zugliste!$A$4,0,0,IN_Zugliste!$A$2,1),OFFSET(IN_Zugliste!$K$4,0,0,IN_Zugliste!$A$2,1),0)</f>
        <v>241245</v>
      </c>
      <c r="N256" s="55" t="str" cm="1">
        <f t="array" aca="1" ref="N256" ca="1">IF(K256=1,_xlfn.XLOOKUP(B256,OFFSET(IN_Zugliste!$A$4,0,0,IN_Zugliste!$A$2,1),OFFSET(IN_Zugliste!$D$4,0,0,IN_Zugliste!$A$2,1),""),"")</f>
        <v/>
      </c>
      <c r="O256" s="55" t="str" cm="1">
        <f t="array" aca="1" ref="O256" ca="1">IF(L256&lt;&gt;"",L256,_xlfn.XLOOKUP(B256,OFFSET($C$4,0,0,$A$2,1),OFFSET($O$4,0,0,$A$2,1)))</f>
        <v>Composition 49</v>
      </c>
      <c r="P256" s="55" cm="1">
        <f t="array" aca="1" ref="P256" ca="1">MATCH(J256, _xlfn._xlws.FILTER($J$4:$J$430,$O$4:$O$430=O256), 0)+1</f>
        <v>3</v>
      </c>
      <c r="Q256" s="63" t="str">
        <f>_xlfn.XLOOKUP(B256, IN_Zugliste!A:A, IN_Zugliste!M:M, "")</f>
        <v>07:54:09</v>
      </c>
    </row>
    <row r="257" spans="1:17" ht="15" customHeight="1" x14ac:dyDescent="0.2">
      <c r="A257" s="63" t="s">
        <v>686</v>
      </c>
      <c r="B257" s="63" t="s">
        <v>133</v>
      </c>
      <c r="C257" s="63" t="s">
        <v>149</v>
      </c>
      <c r="D257" s="63" t="s">
        <v>723</v>
      </c>
      <c r="E257" s="63" t="s">
        <v>688</v>
      </c>
      <c r="F257" s="63" t="s">
        <v>1521</v>
      </c>
      <c r="G257" s="63" t="s">
        <v>1522</v>
      </c>
      <c r="H257" s="63" t="s">
        <v>691</v>
      </c>
      <c r="I257" s="63" t="s">
        <v>1522</v>
      </c>
      <c r="J257" s="63" t="s">
        <v>1523</v>
      </c>
      <c r="K257" s="55">
        <f t="shared" ca="1" si="3"/>
        <v>1</v>
      </c>
      <c r="L257" s="56" t="str">
        <f ca="1">IF(K257&gt;0,"Composition "&amp;SUM(K$4:K257),"")</f>
        <v>Composition 50</v>
      </c>
      <c r="M257" s="55" cm="1">
        <f t="array" aca="1" ref="M257" ca="1">IF(K257=1,_xlfn.XLOOKUP(B257,OFFSET(IN_Zugliste!$A$4,0,0,IN_Zugliste!$A$2,1),OFFSET(IN_Zugliste!$K$4,0,0,IN_Zugliste!$A$2,1),0),0)+_xlfn.XLOOKUP(C257,OFFSET(IN_Zugliste!$A$4,0,0,IN_Zugliste!$A$2,1),OFFSET(IN_Zugliste!$K$4,0,0,IN_Zugliste!$A$2,1),0)</f>
        <v>360401</v>
      </c>
      <c r="N257" s="55" t="str" cm="1">
        <f t="array" aca="1" ref="N257" ca="1">IF(K257=1,_xlfn.XLOOKUP(B257,OFFSET(IN_Zugliste!$A$4,0,0,IN_Zugliste!$A$2,1),OFFSET(IN_Zugliste!$D$4,0,0,IN_Zugliste!$A$2,1),""),"")</f>
        <v>462-1.0</v>
      </c>
      <c r="O257" s="55" t="str" cm="1">
        <f t="array" aca="1" ref="O257" ca="1">IF(L257&lt;&gt;"",L257,_xlfn.XLOOKUP(B257,OFFSET($C$4,0,0,$A$2,1),OFFSET($O$4,0,0,$A$2,1)))</f>
        <v>Composition 50</v>
      </c>
      <c r="P257" s="55" cm="1">
        <f t="array" aca="1" ref="P257" ca="1">MATCH(J257, _xlfn._xlws.FILTER($J$4:$J$430,$O$4:$O$430=O257), 0)+1</f>
        <v>2</v>
      </c>
      <c r="Q257" s="63" t="str">
        <f>_xlfn.XLOOKUP(B257, IN_Zugliste!A:A, IN_Zugliste!M:M, "")</f>
        <v>05:04:18</v>
      </c>
    </row>
    <row r="258" spans="1:17" ht="15" customHeight="1" x14ac:dyDescent="0.2">
      <c r="A258" s="63" t="s">
        <v>686</v>
      </c>
      <c r="B258" s="63" t="s">
        <v>149</v>
      </c>
      <c r="C258" s="63" t="s">
        <v>118</v>
      </c>
      <c r="D258" s="63" t="s">
        <v>994</v>
      </c>
      <c r="E258" s="63" t="s">
        <v>688</v>
      </c>
      <c r="F258" s="63" t="s">
        <v>1524</v>
      </c>
      <c r="G258" s="63" t="s">
        <v>1525</v>
      </c>
      <c r="H258" s="63" t="s">
        <v>691</v>
      </c>
      <c r="I258" s="63" t="s">
        <v>1525</v>
      </c>
      <c r="J258" s="63" t="s">
        <v>1526</v>
      </c>
      <c r="K258" s="55">
        <f t="shared" ca="1" si="3"/>
        <v>0</v>
      </c>
      <c r="L258" s="56" t="str">
        <f ca="1">IF(K258&gt;0,"Composition "&amp;SUM(K$4:K258),"")</f>
        <v/>
      </c>
      <c r="M258" s="55" cm="1">
        <f t="array" aca="1" ref="M258" ca="1">IF(K258=1,_xlfn.XLOOKUP(B258,OFFSET(IN_Zugliste!$A$4,0,0,IN_Zugliste!$A$2,1),OFFSET(IN_Zugliste!$K$4,0,0,IN_Zugliste!$A$2,1),0),0)+_xlfn.XLOOKUP(C258,OFFSET(IN_Zugliste!$A$4,0,0,IN_Zugliste!$A$2,1),OFFSET(IN_Zugliste!$K$4,0,0,IN_Zugliste!$A$2,1),0)</f>
        <v>180175</v>
      </c>
      <c r="N258" s="55" t="str" cm="1">
        <f t="array" aca="1" ref="N258" ca="1">IF(K258=1,_xlfn.XLOOKUP(B258,OFFSET(IN_Zugliste!$A$4,0,0,IN_Zugliste!$A$2,1),OFFSET(IN_Zugliste!$D$4,0,0,IN_Zugliste!$A$2,1),""),"")</f>
        <v/>
      </c>
      <c r="O258" s="55" t="str" cm="1">
        <f t="array" aca="1" ref="O258" ca="1">IF(L258&lt;&gt;"",L258,_xlfn.XLOOKUP(B258,OFFSET($C$4,0,0,$A$2,1),OFFSET($O$4,0,0,$A$2,1)))</f>
        <v>Composition 50</v>
      </c>
      <c r="P258" s="55" cm="1">
        <f t="array" aca="1" ref="P258" ca="1">MATCH(J258, _xlfn._xlws.FILTER($J$4:$J$430,$O$4:$O$430=O258), 0)+1</f>
        <v>3</v>
      </c>
      <c r="Q258" s="63" t="str">
        <f>_xlfn.XLOOKUP(B258, IN_Zugliste!A:A, IN_Zugliste!M:M, "")</f>
        <v>07:51:38</v>
      </c>
    </row>
    <row r="259" spans="1:17" ht="15" customHeight="1" x14ac:dyDescent="0.2">
      <c r="A259" s="63" t="s">
        <v>686</v>
      </c>
      <c r="B259" s="63" t="s">
        <v>118</v>
      </c>
      <c r="C259" s="63" t="s">
        <v>132</v>
      </c>
      <c r="D259" s="63" t="s">
        <v>723</v>
      </c>
      <c r="E259" s="63" t="s">
        <v>688</v>
      </c>
      <c r="F259" s="63" t="s">
        <v>1527</v>
      </c>
      <c r="G259" s="63" t="s">
        <v>1528</v>
      </c>
      <c r="H259" s="63" t="s">
        <v>691</v>
      </c>
      <c r="I259" s="63" t="s">
        <v>1528</v>
      </c>
      <c r="J259" s="63" t="s">
        <v>1529</v>
      </c>
      <c r="K259" s="55">
        <f t="shared" ca="1" si="3"/>
        <v>0</v>
      </c>
      <c r="L259" s="56" t="str">
        <f ca="1">IF(K259&gt;0,"Composition "&amp;SUM(K$4:K259),"")</f>
        <v/>
      </c>
      <c r="M259" s="55" cm="1">
        <f t="array" aca="1" ref="M259" ca="1">IF(K259=1,_xlfn.XLOOKUP(B259,OFFSET(IN_Zugliste!$A$4,0,0,IN_Zugliste!$A$2,1),OFFSET(IN_Zugliste!$K$4,0,0,IN_Zugliste!$A$2,1),0),0)+_xlfn.XLOOKUP(C259,OFFSET(IN_Zugliste!$A$4,0,0,IN_Zugliste!$A$2,1),OFFSET(IN_Zugliste!$K$4,0,0,IN_Zugliste!$A$2,1),0)</f>
        <v>180226</v>
      </c>
      <c r="N259" s="55" t="str" cm="1">
        <f t="array" aca="1" ref="N259" ca="1">IF(K259=1,_xlfn.XLOOKUP(B259,OFFSET(IN_Zugliste!$A$4,0,0,IN_Zugliste!$A$2,1),OFFSET(IN_Zugliste!$D$4,0,0,IN_Zugliste!$A$2,1),""),"")</f>
        <v/>
      </c>
      <c r="O259" s="55" t="str" cm="1">
        <f t="array" aca="1" ref="O259" ca="1">IF(L259&lt;&gt;"",L259,_xlfn.XLOOKUP(B259,OFFSET($C$4,0,0,$A$2,1),OFFSET($O$4,0,0,$A$2,1)))</f>
        <v>Composition 50</v>
      </c>
      <c r="P259" s="55" cm="1">
        <f t="array" aca="1" ref="P259" ca="1">MATCH(J259, _xlfn._xlws.FILTER($J$4:$J$430,$O$4:$O$430=O259), 0)+1</f>
        <v>4</v>
      </c>
      <c r="Q259" s="63" t="str">
        <f>_xlfn.XLOOKUP(B259, IN_Zugliste!A:A, IN_Zugliste!M:M, "")</f>
        <v>10:34:27</v>
      </c>
    </row>
    <row r="260" spans="1:17" ht="15" customHeight="1" x14ac:dyDescent="0.2">
      <c r="A260" s="63" t="s">
        <v>686</v>
      </c>
      <c r="B260" s="63" t="s">
        <v>412</v>
      </c>
      <c r="C260" s="63" t="s">
        <v>406</v>
      </c>
      <c r="D260" s="63" t="s">
        <v>1517</v>
      </c>
      <c r="E260" s="63" t="s">
        <v>688</v>
      </c>
      <c r="F260" s="63" t="s">
        <v>1530</v>
      </c>
      <c r="G260" s="63" t="s">
        <v>1531</v>
      </c>
      <c r="H260" s="63" t="s">
        <v>691</v>
      </c>
      <c r="I260" s="63" t="s">
        <v>1531</v>
      </c>
      <c r="J260" s="63" t="s">
        <v>1532</v>
      </c>
      <c r="K260" s="55">
        <f t="shared" ref="K260:K323" ca="1" si="4">1-COUNTIFS(OFFSET($C$4,0,0,$A$2,1),B260)</f>
        <v>1</v>
      </c>
      <c r="L260" s="56" t="str">
        <f ca="1">IF(K260&gt;0,"Composition "&amp;SUM(K$4:K260),"")</f>
        <v>Composition 51</v>
      </c>
      <c r="M260" s="55" cm="1">
        <f t="array" aca="1" ref="M260" ca="1">IF(K260=1,_xlfn.XLOOKUP(B260,OFFSET(IN_Zugliste!$A$4,0,0,IN_Zugliste!$A$2,1),OFFSET(IN_Zugliste!$K$4,0,0,IN_Zugliste!$A$2,1),0),0)+_xlfn.XLOOKUP(C260,OFFSET(IN_Zugliste!$A$4,0,0,IN_Zugliste!$A$2,1),OFFSET(IN_Zugliste!$K$4,0,0,IN_Zugliste!$A$2,1),0)</f>
        <v>476854</v>
      </c>
      <c r="N260" s="55" t="str" cm="1">
        <f t="array" aca="1" ref="N260" ca="1">IF(K260=1,_xlfn.XLOOKUP(B260,OFFSET(IN_Zugliste!$A$4,0,0,IN_Zugliste!$A$2,1),OFFSET(IN_Zugliste!$D$4,0,0,IN_Zugliste!$A$2,1),""),"")</f>
        <v>462-1.0</v>
      </c>
      <c r="O260" s="55" t="str" cm="1">
        <f t="array" aca="1" ref="O260" ca="1">IF(L260&lt;&gt;"",L260,_xlfn.XLOOKUP(B260,OFFSET($C$4,0,0,$A$2,1),OFFSET($O$4,0,0,$A$2,1)))</f>
        <v>Composition 51</v>
      </c>
      <c r="P260" s="55" cm="1">
        <f t="array" aca="1" ref="P260" ca="1">MATCH(J260, _xlfn._xlws.FILTER($J$4:$J$430,$O$4:$O$430=O260), 0)+1</f>
        <v>2</v>
      </c>
      <c r="Q260" s="63" t="str">
        <f>_xlfn.XLOOKUP(B260, IN_Zugliste!A:A, IN_Zugliste!M:M, "")</f>
        <v>04:47:07</v>
      </c>
    </row>
    <row r="261" spans="1:17" ht="15" customHeight="1" x14ac:dyDescent="0.2">
      <c r="A261" s="63" t="s">
        <v>686</v>
      </c>
      <c r="B261" s="63" t="s">
        <v>406</v>
      </c>
      <c r="C261" s="63" t="s">
        <v>464</v>
      </c>
      <c r="D261" s="63" t="s">
        <v>1068</v>
      </c>
      <c r="E261" s="63" t="s">
        <v>688</v>
      </c>
      <c r="F261" s="63" t="s">
        <v>1533</v>
      </c>
      <c r="G261" s="63" t="s">
        <v>1534</v>
      </c>
      <c r="H261" s="63" t="s">
        <v>691</v>
      </c>
      <c r="I261" s="63" t="s">
        <v>1535</v>
      </c>
      <c r="J261" s="63" t="s">
        <v>1536</v>
      </c>
      <c r="K261" s="55">
        <f t="shared" ca="1" si="4"/>
        <v>0</v>
      </c>
      <c r="L261" s="56" t="str">
        <f ca="1">IF(K261&gt;0,"Composition "&amp;SUM(K$4:K261),"")</f>
        <v/>
      </c>
      <c r="M261" s="55" cm="1">
        <f t="array" aca="1" ref="M261" ca="1">IF(K261=1,_xlfn.XLOOKUP(B261,OFFSET(IN_Zugliste!$A$4,0,0,IN_Zugliste!$A$2,1),OFFSET(IN_Zugliste!$K$4,0,0,IN_Zugliste!$A$2,1),0),0)+_xlfn.XLOOKUP(C261,OFFSET(IN_Zugliste!$A$4,0,0,IN_Zugliste!$A$2,1),OFFSET(IN_Zugliste!$K$4,0,0,IN_Zugliste!$A$2,1),0)</f>
        <v>241335</v>
      </c>
      <c r="N261" s="55" t="str" cm="1">
        <f t="array" aca="1" ref="N261" ca="1">IF(K261=1,_xlfn.XLOOKUP(B261,OFFSET(IN_Zugliste!$A$4,0,0,IN_Zugliste!$A$2,1),OFFSET(IN_Zugliste!$D$4,0,0,IN_Zugliste!$A$2,1),""),"")</f>
        <v/>
      </c>
      <c r="O261" s="55" t="str" cm="1">
        <f t="array" aca="1" ref="O261" ca="1">IF(L261&lt;&gt;"",L261,_xlfn.XLOOKUP(B261,OFFSET($C$4,0,0,$A$2,1),OFFSET($O$4,0,0,$A$2,1)))</f>
        <v>Composition 51</v>
      </c>
      <c r="P261" s="55" cm="1">
        <f t="array" aca="1" ref="P261" ca="1">MATCH(J261, _xlfn._xlws.FILTER($J$4:$J$430,$O$4:$O$430=O261), 0)+1</f>
        <v>3</v>
      </c>
      <c r="Q261" s="63" t="str">
        <f>_xlfn.XLOOKUP(B261, IN_Zugliste!A:A, IN_Zugliste!M:M, "")</f>
        <v>07:49:42</v>
      </c>
    </row>
    <row r="262" spans="1:17" ht="15" customHeight="1" x14ac:dyDescent="0.2">
      <c r="A262" s="63" t="s">
        <v>686</v>
      </c>
      <c r="B262" s="63" t="s">
        <v>464</v>
      </c>
      <c r="C262" s="63" t="s">
        <v>447</v>
      </c>
      <c r="D262" s="63" t="s">
        <v>1517</v>
      </c>
      <c r="E262" s="63" t="s">
        <v>688</v>
      </c>
      <c r="F262" s="63" t="s">
        <v>1537</v>
      </c>
      <c r="G262" s="63" t="s">
        <v>1538</v>
      </c>
      <c r="H262" s="63" t="s">
        <v>691</v>
      </c>
      <c r="I262" s="63" t="s">
        <v>1538</v>
      </c>
      <c r="J262" s="63" t="s">
        <v>1539</v>
      </c>
      <c r="K262" s="55">
        <f t="shared" ca="1" si="4"/>
        <v>0</v>
      </c>
      <c r="L262" s="56" t="str">
        <f ca="1">IF(K262&gt;0,"Composition "&amp;SUM(K$4:K262),"")</f>
        <v/>
      </c>
      <c r="M262" s="55" cm="1">
        <f t="array" aca="1" ref="M262" ca="1">IF(K262=1,_xlfn.XLOOKUP(B262,OFFSET(IN_Zugliste!$A$4,0,0,IN_Zugliste!$A$2,1),OFFSET(IN_Zugliste!$K$4,0,0,IN_Zugliste!$A$2,1),0),0)+_xlfn.XLOOKUP(C262,OFFSET(IN_Zugliste!$A$4,0,0,IN_Zugliste!$A$2,1),OFFSET(IN_Zugliste!$K$4,0,0,IN_Zugliste!$A$2,1),0)</f>
        <v>241245</v>
      </c>
      <c r="N262" s="55" t="str" cm="1">
        <f t="array" aca="1" ref="N262" ca="1">IF(K262=1,_xlfn.XLOOKUP(B262,OFFSET(IN_Zugliste!$A$4,0,0,IN_Zugliste!$A$2,1),OFFSET(IN_Zugliste!$D$4,0,0,IN_Zugliste!$A$2,1),""),"")</f>
        <v/>
      </c>
      <c r="O262" s="55" t="str" cm="1">
        <f t="array" aca="1" ref="O262" ca="1">IF(L262&lt;&gt;"",L262,_xlfn.XLOOKUP(B262,OFFSET($C$4,0,0,$A$2,1),OFFSET($O$4,0,0,$A$2,1)))</f>
        <v>Composition 51</v>
      </c>
      <c r="P262" s="55" cm="1">
        <f t="array" aca="1" ref="P262" ca="1">MATCH(J262, _xlfn._xlws.FILTER($J$4:$J$430,$O$4:$O$430=O262), 0)+1</f>
        <v>4</v>
      </c>
      <c r="Q262" s="63" t="str">
        <f>_xlfn.XLOOKUP(B262, IN_Zugliste!A:A, IN_Zugliste!M:M, "")</f>
        <v>10:54:09</v>
      </c>
    </row>
    <row r="263" spans="1:17" ht="15" customHeight="1" x14ac:dyDescent="0.2">
      <c r="A263" s="63" t="s">
        <v>686</v>
      </c>
      <c r="B263" s="63" t="s">
        <v>360</v>
      </c>
      <c r="C263" s="63" t="s">
        <v>373</v>
      </c>
      <c r="D263" s="63" t="s">
        <v>1111</v>
      </c>
      <c r="E263" s="63" t="s">
        <v>948</v>
      </c>
      <c r="F263" s="63" t="s">
        <v>1540</v>
      </c>
      <c r="G263" s="63" t="s">
        <v>1541</v>
      </c>
      <c r="H263" s="63" t="s">
        <v>691</v>
      </c>
      <c r="I263" s="63" t="s">
        <v>1542</v>
      </c>
      <c r="J263" s="63" t="s">
        <v>1543</v>
      </c>
      <c r="K263" s="55">
        <f t="shared" ca="1" si="4"/>
        <v>1</v>
      </c>
      <c r="L263" s="56" t="str">
        <f ca="1">IF(K263&gt;0,"Composition "&amp;SUM(K$4:K263),"")</f>
        <v>Composition 52</v>
      </c>
      <c r="M263" s="55" cm="1">
        <f t="array" aca="1" ref="M263" ca="1">IF(K263=1,_xlfn.XLOOKUP(B263,OFFSET(IN_Zugliste!$A$4,0,0,IN_Zugliste!$A$2,1),OFFSET(IN_Zugliste!$K$4,0,0,IN_Zugliste!$A$2,1),0),0)+_xlfn.XLOOKUP(C263,OFFSET(IN_Zugliste!$A$4,0,0,IN_Zugliste!$A$2,1),OFFSET(IN_Zugliste!$K$4,0,0,IN_Zugliste!$A$2,1),0)</f>
        <v>228414</v>
      </c>
      <c r="N263" s="55" t="str" cm="1">
        <f t="array" aca="1" ref="N263" ca="1">IF(K263=1,_xlfn.XLOOKUP(B263,OFFSET(IN_Zugliste!$A$4,0,0,IN_Zugliste!$A$2,1),OFFSET(IN_Zugliste!$D$4,0,0,IN_Zugliste!$A$2,1),""),"")</f>
        <v>462-1.0</v>
      </c>
      <c r="O263" s="55" t="str" cm="1">
        <f t="array" aca="1" ref="O263" ca="1">IF(L263&lt;&gt;"",L263,_xlfn.XLOOKUP(B263,OFFSET($C$4,0,0,$A$2,1),OFFSET($O$4,0,0,$A$2,1)))</f>
        <v>Composition 52</v>
      </c>
      <c r="P263" s="55" cm="1">
        <f t="array" aca="1" ref="P263" ca="1">MATCH(J263, _xlfn._xlws.FILTER($J$4:$J$430,$O$4:$O$430=O263), 0)+1</f>
        <v>2</v>
      </c>
      <c r="Q263" s="63" t="str">
        <f>_xlfn.XLOOKUP(B263, IN_Zugliste!A:A, IN_Zugliste!M:M, "")</f>
        <v>05:48:24</v>
      </c>
    </row>
    <row r="264" spans="1:17" ht="15" customHeight="1" x14ac:dyDescent="0.2">
      <c r="A264" s="63" t="s">
        <v>686</v>
      </c>
      <c r="B264" s="63" t="s">
        <v>373</v>
      </c>
      <c r="C264" s="63" t="s">
        <v>364</v>
      </c>
      <c r="D264" s="63" t="s">
        <v>1107</v>
      </c>
      <c r="E264" s="63" t="s">
        <v>688</v>
      </c>
      <c r="F264" s="63" t="s">
        <v>1544</v>
      </c>
      <c r="G264" s="63" t="s">
        <v>1545</v>
      </c>
      <c r="H264" s="63" t="s">
        <v>691</v>
      </c>
      <c r="I264" s="63" t="s">
        <v>1545</v>
      </c>
      <c r="J264" s="63" t="s">
        <v>1546</v>
      </c>
      <c r="K264" s="55">
        <f t="shared" ca="1" si="4"/>
        <v>0</v>
      </c>
      <c r="L264" s="56" t="str">
        <f ca="1">IF(K264&gt;0,"Composition "&amp;SUM(K$4:K264),"")</f>
        <v/>
      </c>
      <c r="M264" s="55" cm="1">
        <f t="array" aca="1" ref="M264" ca="1">IF(K264=1,_xlfn.XLOOKUP(B264,OFFSET(IN_Zugliste!$A$4,0,0,IN_Zugliste!$A$2,1),OFFSET(IN_Zugliste!$K$4,0,0,IN_Zugliste!$A$2,1),0),0)+_xlfn.XLOOKUP(C264,OFFSET(IN_Zugliste!$A$4,0,0,IN_Zugliste!$A$2,1),OFFSET(IN_Zugliste!$K$4,0,0,IN_Zugliste!$A$2,1),0)</f>
        <v>114276</v>
      </c>
      <c r="N264" s="55" t="str" cm="1">
        <f t="array" aca="1" ref="N264" ca="1">IF(K264=1,_xlfn.XLOOKUP(B264,OFFSET(IN_Zugliste!$A$4,0,0,IN_Zugliste!$A$2,1),OFFSET(IN_Zugliste!$D$4,0,0,IN_Zugliste!$A$2,1),""),"")</f>
        <v/>
      </c>
      <c r="O264" s="55" t="str" cm="1">
        <f t="array" aca="1" ref="O264" ca="1">IF(L264&lt;&gt;"",L264,_xlfn.XLOOKUP(B264,OFFSET($C$4,0,0,$A$2,1),OFFSET($O$4,0,0,$A$2,1)))</f>
        <v>Composition 52</v>
      </c>
      <c r="P264" s="55" cm="1">
        <f t="array" aca="1" ref="P264" ca="1">MATCH(J264, _xlfn._xlws.FILTER($J$4:$J$430,$O$4:$O$430=O264), 0)+1</f>
        <v>3</v>
      </c>
      <c r="Q264" s="63" t="str">
        <f>_xlfn.XLOOKUP(B264, IN_Zugliste!A:A, IN_Zugliste!M:M, "")</f>
        <v>07:48:49</v>
      </c>
    </row>
    <row r="265" spans="1:17" ht="15" customHeight="1" x14ac:dyDescent="0.2">
      <c r="A265" s="63" t="s">
        <v>686</v>
      </c>
      <c r="B265" s="63" t="s">
        <v>364</v>
      </c>
      <c r="C265" s="63" t="s">
        <v>377</v>
      </c>
      <c r="D265" s="63" t="s">
        <v>1111</v>
      </c>
      <c r="E265" s="63" t="s">
        <v>948</v>
      </c>
      <c r="F265" s="63" t="s">
        <v>1547</v>
      </c>
      <c r="G265" s="63" t="s">
        <v>1548</v>
      </c>
      <c r="H265" s="63" t="s">
        <v>691</v>
      </c>
      <c r="I265" s="63" t="s">
        <v>1549</v>
      </c>
      <c r="J265" s="63" t="s">
        <v>1550</v>
      </c>
      <c r="K265" s="55">
        <f t="shared" ca="1" si="4"/>
        <v>0</v>
      </c>
      <c r="L265" s="56" t="str">
        <f ca="1">IF(K265&gt;0,"Composition "&amp;SUM(K$4:K265),"")</f>
        <v/>
      </c>
      <c r="M265" s="55" cm="1">
        <f t="array" aca="1" ref="M265" ca="1">IF(K265=1,_xlfn.XLOOKUP(B265,OFFSET(IN_Zugliste!$A$4,0,0,IN_Zugliste!$A$2,1),OFFSET(IN_Zugliste!$K$4,0,0,IN_Zugliste!$A$2,1),0),0)+_xlfn.XLOOKUP(C265,OFFSET(IN_Zugliste!$A$4,0,0,IN_Zugliste!$A$2,1),OFFSET(IN_Zugliste!$K$4,0,0,IN_Zugliste!$A$2,1),0)</f>
        <v>114138</v>
      </c>
      <c r="N265" s="55" t="str" cm="1">
        <f t="array" aca="1" ref="N265" ca="1">IF(K265=1,_xlfn.XLOOKUP(B265,OFFSET(IN_Zugliste!$A$4,0,0,IN_Zugliste!$A$2,1),OFFSET(IN_Zugliste!$D$4,0,0,IN_Zugliste!$A$2,1),""),"")</f>
        <v/>
      </c>
      <c r="O265" s="55" t="str" cm="1">
        <f t="array" aca="1" ref="O265" ca="1">IF(L265&lt;&gt;"",L265,_xlfn.XLOOKUP(B265,OFFSET($C$4,0,0,$A$2,1),OFFSET($O$4,0,0,$A$2,1)))</f>
        <v>Composition 52</v>
      </c>
      <c r="P265" s="55" cm="1">
        <f t="array" aca="1" ref="P265" ca="1">MATCH(J265, _xlfn._xlws.FILTER($J$4:$J$430,$O$4:$O$430=O265), 0)+1</f>
        <v>4</v>
      </c>
      <c r="Q265" s="63" t="str">
        <f>_xlfn.XLOOKUP(B265, IN_Zugliste!A:A, IN_Zugliste!M:M, "")</f>
        <v>09:48:24</v>
      </c>
    </row>
    <row r="266" spans="1:17" ht="15" customHeight="1" x14ac:dyDescent="0.2">
      <c r="A266" s="63" t="s">
        <v>686</v>
      </c>
      <c r="B266" s="63" t="s">
        <v>377</v>
      </c>
      <c r="C266" s="63" t="s">
        <v>359</v>
      </c>
      <c r="D266" s="63" t="s">
        <v>1107</v>
      </c>
      <c r="E266" s="63" t="s">
        <v>688</v>
      </c>
      <c r="F266" s="63" t="s">
        <v>1551</v>
      </c>
      <c r="G266" s="63" t="s">
        <v>1552</v>
      </c>
      <c r="H266" s="63" t="s">
        <v>691</v>
      </c>
      <c r="I266" s="63" t="s">
        <v>1552</v>
      </c>
      <c r="J266" s="63" t="s">
        <v>1553</v>
      </c>
      <c r="K266" s="55">
        <f t="shared" ca="1" si="4"/>
        <v>0</v>
      </c>
      <c r="L266" s="56" t="str">
        <f ca="1">IF(K266&gt;0,"Composition "&amp;SUM(K$4:K266),"")</f>
        <v/>
      </c>
      <c r="M266" s="55" cm="1">
        <f t="array" aca="1" ref="M266" ca="1">IF(K266=1,_xlfn.XLOOKUP(B266,OFFSET(IN_Zugliste!$A$4,0,0,IN_Zugliste!$A$2,1),OFFSET(IN_Zugliste!$K$4,0,0,IN_Zugliste!$A$2,1),0),0)+_xlfn.XLOOKUP(C266,OFFSET(IN_Zugliste!$A$4,0,0,IN_Zugliste!$A$2,1),OFFSET(IN_Zugliste!$K$4,0,0,IN_Zugliste!$A$2,1),0)</f>
        <v>114276</v>
      </c>
      <c r="N266" s="55" t="str" cm="1">
        <f t="array" aca="1" ref="N266" ca="1">IF(K266=1,_xlfn.XLOOKUP(B266,OFFSET(IN_Zugliste!$A$4,0,0,IN_Zugliste!$A$2,1),OFFSET(IN_Zugliste!$D$4,0,0,IN_Zugliste!$A$2,1),""),"")</f>
        <v/>
      </c>
      <c r="O266" s="55" t="str" cm="1">
        <f t="array" aca="1" ref="O266" ca="1">IF(L266&lt;&gt;"",L266,_xlfn.XLOOKUP(B266,OFFSET($C$4,0,0,$A$2,1),OFFSET($O$4,0,0,$A$2,1)))</f>
        <v>Composition 52</v>
      </c>
      <c r="P266" s="55" cm="1">
        <f t="array" aca="1" ref="P266" ca="1">MATCH(J266, _xlfn._xlws.FILTER($J$4:$J$430,$O$4:$O$430=O266), 0)+1</f>
        <v>5</v>
      </c>
      <c r="Q266" s="63" t="str">
        <f>_xlfn.XLOOKUP(B266, IN_Zugliste!A:A, IN_Zugliste!M:M, "")</f>
        <v>11:48:49</v>
      </c>
    </row>
    <row r="267" spans="1:17" ht="15" customHeight="1" x14ac:dyDescent="0.2">
      <c r="A267" s="63" t="s">
        <v>686</v>
      </c>
      <c r="B267" s="63" t="s">
        <v>639</v>
      </c>
      <c r="C267" s="63" t="s">
        <v>630</v>
      </c>
      <c r="D267" s="63" t="s">
        <v>727</v>
      </c>
      <c r="E267" s="63" t="s">
        <v>688</v>
      </c>
      <c r="F267" s="63" t="s">
        <v>1554</v>
      </c>
      <c r="G267" s="63" t="s">
        <v>1555</v>
      </c>
      <c r="H267" s="63" t="s">
        <v>691</v>
      </c>
      <c r="I267" s="63" t="s">
        <v>1555</v>
      </c>
      <c r="J267" s="63" t="s">
        <v>1556</v>
      </c>
      <c r="K267" s="55">
        <f t="shared" ca="1" si="4"/>
        <v>1</v>
      </c>
      <c r="L267" s="56" t="str">
        <f ca="1">IF(K267&gt;0,"Composition "&amp;SUM(K$4:K267),"")</f>
        <v>Composition 53</v>
      </c>
      <c r="M267" s="55" cm="1">
        <f t="array" aca="1" ref="M267" ca="1">IF(K267=1,_xlfn.XLOOKUP(B267,OFFSET(IN_Zugliste!$A$4,0,0,IN_Zugliste!$A$2,1),OFFSET(IN_Zugliste!$K$4,0,0,IN_Zugliste!$A$2,1),0),0)+_xlfn.XLOOKUP(C267,OFFSET(IN_Zugliste!$A$4,0,0,IN_Zugliste!$A$2,1),OFFSET(IN_Zugliste!$K$4,0,0,IN_Zugliste!$A$2,1),0)</f>
        <v>194485</v>
      </c>
      <c r="N267" s="55" t="str" cm="1">
        <f t="array" aca="1" ref="N267" ca="1">IF(K267=1,_xlfn.XLOOKUP(B267,OFFSET(IN_Zugliste!$A$4,0,0,IN_Zugliste!$A$2,1),OFFSET(IN_Zugliste!$D$4,0,0,IN_Zugliste!$A$2,1),""),"")</f>
        <v>462-1.0</v>
      </c>
      <c r="O267" s="55" t="str" cm="1">
        <f t="array" aca="1" ref="O267" ca="1">IF(L267&lt;&gt;"",L267,_xlfn.XLOOKUP(B267,OFFSET($C$4,0,0,$A$2,1),OFFSET($O$4,0,0,$A$2,1)))</f>
        <v>Composition 53</v>
      </c>
      <c r="P267" s="55" cm="1">
        <f t="array" aca="1" ref="P267" ca="1">MATCH(J267, _xlfn._xlws.FILTER($J$4:$J$430,$O$4:$O$430=O267), 0)+1</f>
        <v>2</v>
      </c>
      <c r="Q267" s="63" t="str">
        <f>_xlfn.XLOOKUP(B267, IN_Zugliste!A:A, IN_Zugliste!M:M, "")</f>
        <v>05:40:42</v>
      </c>
    </row>
    <row r="268" spans="1:17" ht="15" customHeight="1" x14ac:dyDescent="0.2">
      <c r="A268" s="63" t="s">
        <v>686</v>
      </c>
      <c r="B268" s="63" t="s">
        <v>630</v>
      </c>
      <c r="C268" s="63" t="s">
        <v>644</v>
      </c>
      <c r="D268" s="63" t="s">
        <v>1176</v>
      </c>
      <c r="E268" s="63" t="s">
        <v>688</v>
      </c>
      <c r="F268" s="63" t="s">
        <v>1557</v>
      </c>
      <c r="G268" s="63" t="s">
        <v>1558</v>
      </c>
      <c r="H268" s="63" t="s">
        <v>691</v>
      </c>
      <c r="I268" s="63" t="s">
        <v>1558</v>
      </c>
      <c r="J268" s="63" t="s">
        <v>1559</v>
      </c>
      <c r="K268" s="55">
        <f t="shared" ca="1" si="4"/>
        <v>0</v>
      </c>
      <c r="L268" s="56" t="str">
        <f ca="1">IF(K268&gt;0,"Composition "&amp;SUM(K$4:K268),"")</f>
        <v/>
      </c>
      <c r="M268" s="55" cm="1">
        <f t="array" aca="1" ref="M268" ca="1">IF(K268=1,_xlfn.XLOOKUP(B268,OFFSET(IN_Zugliste!$A$4,0,0,IN_Zugliste!$A$2,1),OFFSET(IN_Zugliste!$K$4,0,0,IN_Zugliste!$A$2,1),0),0)+_xlfn.XLOOKUP(C268,OFFSET(IN_Zugliste!$A$4,0,0,IN_Zugliste!$A$2,1),OFFSET(IN_Zugliste!$K$4,0,0,IN_Zugliste!$A$2,1),0)</f>
        <v>97192</v>
      </c>
      <c r="N268" s="55" t="str" cm="1">
        <f t="array" aca="1" ref="N268" ca="1">IF(K268=1,_xlfn.XLOOKUP(B268,OFFSET(IN_Zugliste!$A$4,0,0,IN_Zugliste!$A$2,1),OFFSET(IN_Zugliste!$D$4,0,0,IN_Zugliste!$A$2,1),""),"")</f>
        <v/>
      </c>
      <c r="O268" s="55" t="str" cm="1">
        <f t="array" aca="1" ref="O268" ca="1">IF(L268&lt;&gt;"",L268,_xlfn.XLOOKUP(B268,OFFSET($C$4,0,0,$A$2,1),OFFSET($O$4,0,0,$A$2,1)))</f>
        <v>Composition 53</v>
      </c>
      <c r="P268" s="55" cm="1">
        <f t="array" aca="1" ref="P268" ca="1">MATCH(J268, _xlfn._xlws.FILTER($J$4:$J$430,$O$4:$O$430=O268), 0)+1</f>
        <v>3</v>
      </c>
      <c r="Q268" s="63" t="str">
        <f>_xlfn.XLOOKUP(B268, IN_Zugliste!A:A, IN_Zugliste!M:M, "")</f>
        <v>08:08:57</v>
      </c>
    </row>
    <row r="269" spans="1:17" ht="15" customHeight="1" x14ac:dyDescent="0.2">
      <c r="A269" s="63" t="s">
        <v>686</v>
      </c>
      <c r="B269" s="63" t="s">
        <v>644</v>
      </c>
      <c r="C269" s="63" t="s">
        <v>635</v>
      </c>
      <c r="D269" s="63" t="s">
        <v>727</v>
      </c>
      <c r="E269" s="63" t="s">
        <v>688</v>
      </c>
      <c r="F269" s="63" t="s">
        <v>1560</v>
      </c>
      <c r="G269" s="63" t="s">
        <v>1561</v>
      </c>
      <c r="H269" s="63" t="s">
        <v>691</v>
      </c>
      <c r="I269" s="63" t="s">
        <v>1561</v>
      </c>
      <c r="J269" s="63" t="s">
        <v>1562</v>
      </c>
      <c r="K269" s="55">
        <f t="shared" ca="1" si="4"/>
        <v>0</v>
      </c>
      <c r="L269" s="56" t="str">
        <f ca="1">IF(K269&gt;0,"Composition "&amp;SUM(K$4:K269),"")</f>
        <v/>
      </c>
      <c r="M269" s="55" cm="1">
        <f t="array" aca="1" ref="M269" ca="1">IF(K269=1,_xlfn.XLOOKUP(B269,OFFSET(IN_Zugliste!$A$4,0,0,IN_Zugliste!$A$2,1),OFFSET(IN_Zugliste!$K$4,0,0,IN_Zugliste!$A$2,1),0),0)+_xlfn.XLOOKUP(C269,OFFSET(IN_Zugliste!$A$4,0,0,IN_Zugliste!$A$2,1),OFFSET(IN_Zugliste!$K$4,0,0,IN_Zugliste!$A$2,1),0)</f>
        <v>97293</v>
      </c>
      <c r="N269" s="55" t="str" cm="1">
        <f t="array" aca="1" ref="N269" ca="1">IF(K269=1,_xlfn.XLOOKUP(B269,OFFSET(IN_Zugliste!$A$4,0,0,IN_Zugliste!$A$2,1),OFFSET(IN_Zugliste!$D$4,0,0,IN_Zugliste!$A$2,1),""),"")</f>
        <v/>
      </c>
      <c r="O269" s="55" t="str" cm="1">
        <f t="array" aca="1" ref="O269" ca="1">IF(L269&lt;&gt;"",L269,_xlfn.XLOOKUP(B269,OFFSET($C$4,0,0,$A$2,1),OFFSET($O$4,0,0,$A$2,1)))</f>
        <v>Composition 53</v>
      </c>
      <c r="P269" s="55" cm="1">
        <f t="array" aca="1" ref="P269" ca="1">MATCH(J269, _xlfn._xlws.FILTER($J$4:$J$430,$O$4:$O$430=O269), 0)+1</f>
        <v>4</v>
      </c>
      <c r="Q269" s="63" t="str">
        <f>_xlfn.XLOOKUP(B269, IN_Zugliste!A:A, IN_Zugliste!M:M, "")</f>
        <v>10:40:42</v>
      </c>
    </row>
    <row r="270" spans="1:17" ht="15" customHeight="1" x14ac:dyDescent="0.2">
      <c r="A270" s="63" t="s">
        <v>686</v>
      </c>
      <c r="B270" s="63" t="s">
        <v>199</v>
      </c>
      <c r="C270" s="63" t="s">
        <v>192</v>
      </c>
      <c r="D270" s="63" t="s">
        <v>811</v>
      </c>
      <c r="E270" s="63" t="s">
        <v>688</v>
      </c>
      <c r="F270" s="63" t="s">
        <v>1563</v>
      </c>
      <c r="G270" s="63" t="s">
        <v>1564</v>
      </c>
      <c r="H270" s="63" t="s">
        <v>691</v>
      </c>
      <c r="I270" s="63" t="s">
        <v>1564</v>
      </c>
      <c r="J270" s="63" t="s">
        <v>1565</v>
      </c>
      <c r="K270" s="55">
        <f t="shared" ca="1" si="4"/>
        <v>1</v>
      </c>
      <c r="L270" s="56" t="str">
        <f ca="1">IF(K270&gt;0,"Composition "&amp;SUM(K$4:K270),"")</f>
        <v>Composition 54</v>
      </c>
      <c r="M270" s="55" cm="1">
        <f t="array" aca="1" ref="M270" ca="1">IF(K270=1,_xlfn.XLOOKUP(B270,OFFSET(IN_Zugliste!$A$4,0,0,IN_Zugliste!$A$2,1),OFFSET(IN_Zugliste!$K$4,0,0,IN_Zugliste!$A$2,1),0),0)+_xlfn.XLOOKUP(C270,OFFSET(IN_Zugliste!$A$4,0,0,IN_Zugliste!$A$2,1),OFFSET(IN_Zugliste!$K$4,0,0,IN_Zugliste!$A$2,1),0)</f>
        <v>314467</v>
      </c>
      <c r="N270" s="55" t="str" cm="1">
        <f t="array" aca="1" ref="N270" ca="1">IF(K270=1,_xlfn.XLOOKUP(B270,OFFSET(IN_Zugliste!$A$4,0,0,IN_Zugliste!$A$2,1),OFFSET(IN_Zugliste!$D$4,0,0,IN_Zugliste!$A$2,1),""),"")</f>
        <v>462-1.0</v>
      </c>
      <c r="O270" s="55" t="str" cm="1">
        <f t="array" aca="1" ref="O270" ca="1">IF(L270&lt;&gt;"",L270,_xlfn.XLOOKUP(B270,OFFSET($C$4,0,0,$A$2,1),OFFSET($O$4,0,0,$A$2,1)))</f>
        <v>Composition 54</v>
      </c>
      <c r="P270" s="55" cm="1">
        <f t="array" aca="1" ref="P270" ca="1">MATCH(J270, _xlfn._xlws.FILTER($J$4:$J$430,$O$4:$O$430=O270), 0)+1</f>
        <v>2</v>
      </c>
      <c r="Q270" s="63" t="str">
        <f>_xlfn.XLOOKUP(B270, IN_Zugliste!A:A, IN_Zugliste!M:M, "")</f>
        <v>05:11:52</v>
      </c>
    </row>
    <row r="271" spans="1:17" ht="15" customHeight="1" x14ac:dyDescent="0.2">
      <c r="A271" s="63" t="s">
        <v>686</v>
      </c>
      <c r="B271" s="63" t="s">
        <v>192</v>
      </c>
      <c r="C271" s="63" t="s">
        <v>184</v>
      </c>
      <c r="D271" s="63" t="s">
        <v>990</v>
      </c>
      <c r="E271" s="63" t="s">
        <v>688</v>
      </c>
      <c r="F271" s="63" t="s">
        <v>1566</v>
      </c>
      <c r="G271" s="63" t="s">
        <v>1567</v>
      </c>
      <c r="H271" s="63" t="s">
        <v>691</v>
      </c>
      <c r="I271" s="63" t="s">
        <v>1567</v>
      </c>
      <c r="J271" s="63" t="s">
        <v>1568</v>
      </c>
      <c r="K271" s="55">
        <f t="shared" ca="1" si="4"/>
        <v>0</v>
      </c>
      <c r="L271" s="56" t="str">
        <f ca="1">IF(K271&gt;0,"Composition "&amp;SUM(K$4:K271),"")</f>
        <v/>
      </c>
      <c r="M271" s="55" cm="1">
        <f t="array" aca="1" ref="M271" ca="1">IF(K271=1,_xlfn.XLOOKUP(B271,OFFSET(IN_Zugliste!$A$4,0,0,IN_Zugliste!$A$2,1),OFFSET(IN_Zugliste!$K$4,0,0,IN_Zugliste!$A$2,1),0),0)+_xlfn.XLOOKUP(C271,OFFSET(IN_Zugliste!$A$4,0,0,IN_Zugliste!$A$2,1),OFFSET(IN_Zugliste!$K$4,0,0,IN_Zugliste!$A$2,1),0)</f>
        <v>156609</v>
      </c>
      <c r="N271" s="55" t="str" cm="1">
        <f t="array" aca="1" ref="N271" ca="1">IF(K271=1,_xlfn.XLOOKUP(B271,OFFSET(IN_Zugliste!$A$4,0,0,IN_Zugliste!$A$2,1),OFFSET(IN_Zugliste!$D$4,0,0,IN_Zugliste!$A$2,1),""),"")</f>
        <v/>
      </c>
      <c r="O271" s="55" t="str" cm="1">
        <f t="array" aca="1" ref="O271" ca="1">IF(L271&lt;&gt;"",L271,_xlfn.XLOOKUP(B271,OFFSET($C$4,0,0,$A$2,1),OFFSET($O$4,0,0,$A$2,1)))</f>
        <v>Composition 54</v>
      </c>
      <c r="P271" s="55" cm="1">
        <f t="array" aca="1" ref="P271" ca="1">MATCH(J271, _xlfn._xlws.FILTER($J$4:$J$430,$O$4:$O$430=O271), 0)+1</f>
        <v>3</v>
      </c>
      <c r="Q271" s="63" t="str">
        <f>_xlfn.XLOOKUP(B271, IN_Zugliste!A:A, IN_Zugliste!M:M, "")</f>
        <v>07:53:24</v>
      </c>
    </row>
    <row r="272" spans="1:17" ht="15" customHeight="1" x14ac:dyDescent="0.2">
      <c r="A272" s="63" t="s">
        <v>686</v>
      </c>
      <c r="B272" s="63" t="s">
        <v>184</v>
      </c>
      <c r="C272" s="63" t="s">
        <v>220</v>
      </c>
      <c r="D272" s="63" t="s">
        <v>811</v>
      </c>
      <c r="E272" s="63" t="s">
        <v>688</v>
      </c>
      <c r="F272" s="63" t="s">
        <v>1569</v>
      </c>
      <c r="G272" s="63" t="s">
        <v>1570</v>
      </c>
      <c r="H272" s="63" t="s">
        <v>691</v>
      </c>
      <c r="I272" s="63" t="s">
        <v>1570</v>
      </c>
      <c r="J272" s="63" t="s">
        <v>1571</v>
      </c>
      <c r="K272" s="55">
        <f t="shared" ca="1" si="4"/>
        <v>0</v>
      </c>
      <c r="L272" s="56" t="str">
        <f ca="1">IF(K272&gt;0,"Composition "&amp;SUM(K$4:K272),"")</f>
        <v/>
      </c>
      <c r="M272" s="55" cm="1">
        <f t="array" aca="1" ref="M272" ca="1">IF(K272=1,_xlfn.XLOOKUP(B272,OFFSET(IN_Zugliste!$A$4,0,0,IN_Zugliste!$A$2,1),OFFSET(IN_Zugliste!$K$4,0,0,IN_Zugliste!$A$2,1),0),0)+_xlfn.XLOOKUP(C272,OFFSET(IN_Zugliste!$A$4,0,0,IN_Zugliste!$A$2,1),OFFSET(IN_Zugliste!$K$4,0,0,IN_Zugliste!$A$2,1),0)</f>
        <v>157858</v>
      </c>
      <c r="N272" s="55" t="str" cm="1">
        <f t="array" aca="1" ref="N272" ca="1">IF(K272=1,_xlfn.XLOOKUP(B272,OFFSET(IN_Zugliste!$A$4,0,0,IN_Zugliste!$A$2,1),OFFSET(IN_Zugliste!$D$4,0,0,IN_Zugliste!$A$2,1),""),"")</f>
        <v/>
      </c>
      <c r="O272" s="55" t="str" cm="1">
        <f t="array" aca="1" ref="O272" ca="1">IF(L272&lt;&gt;"",L272,_xlfn.XLOOKUP(B272,OFFSET($C$4,0,0,$A$2,1),OFFSET($O$4,0,0,$A$2,1)))</f>
        <v>Composition 54</v>
      </c>
      <c r="P272" s="55" cm="1">
        <f t="array" aca="1" ref="P272" ca="1">MATCH(J272, _xlfn._xlws.FILTER($J$4:$J$430,$O$4:$O$430=O272), 0)+1</f>
        <v>4</v>
      </c>
      <c r="Q272" s="63" t="str">
        <f>_xlfn.XLOOKUP(B272, IN_Zugliste!A:A, IN_Zugliste!M:M, "")</f>
        <v>10:40:57</v>
      </c>
    </row>
    <row r="273" spans="1:17" ht="15" customHeight="1" x14ac:dyDescent="0.2">
      <c r="A273" s="63" t="s">
        <v>686</v>
      </c>
      <c r="B273" s="63" t="s">
        <v>221</v>
      </c>
      <c r="C273" s="63" t="s">
        <v>170</v>
      </c>
      <c r="D273" s="63" t="s">
        <v>1068</v>
      </c>
      <c r="E273" s="63" t="s">
        <v>688</v>
      </c>
      <c r="F273" s="63" t="s">
        <v>1572</v>
      </c>
      <c r="G273" s="63" t="s">
        <v>1573</v>
      </c>
      <c r="H273" s="63" t="s">
        <v>817</v>
      </c>
      <c r="I273" s="63" t="s">
        <v>1573</v>
      </c>
      <c r="J273" s="63" t="s">
        <v>1574</v>
      </c>
      <c r="K273" s="55">
        <f t="shared" ca="1" si="4"/>
        <v>1</v>
      </c>
      <c r="L273" s="56" t="str">
        <f ca="1">IF(K273&gt;0,"Composition "&amp;SUM(K$4:K273),"")</f>
        <v>Composition 55</v>
      </c>
      <c r="M273" s="55" cm="1">
        <f t="array" aca="1" ref="M273" ca="1">IF(K273=1,_xlfn.XLOOKUP(B273,OFFSET(IN_Zugliste!$A$4,0,0,IN_Zugliste!$A$2,1),OFFSET(IN_Zugliste!$K$4,0,0,IN_Zugliste!$A$2,1),0),0)+_xlfn.XLOOKUP(C273,OFFSET(IN_Zugliste!$A$4,0,0,IN_Zugliste!$A$2,1),OFFSET(IN_Zugliste!$K$4,0,0,IN_Zugliste!$A$2,1),0)</f>
        <v>319483</v>
      </c>
      <c r="N273" s="55" t="str" cm="1">
        <f t="array" aca="1" ref="N273" ca="1">IF(K273=1,_xlfn.XLOOKUP(B273,OFFSET(IN_Zugliste!$A$4,0,0,IN_Zugliste!$A$2,1),OFFSET(IN_Zugliste!$D$4,0,0,IN_Zugliste!$A$2,1),""),"")</f>
        <v>462-1.0</v>
      </c>
      <c r="O273" s="55" t="str" cm="1">
        <f t="array" aca="1" ref="O273" ca="1">IF(L273&lt;&gt;"",L273,_xlfn.XLOOKUP(B273,OFFSET($C$4,0,0,$A$2,1),OFFSET($O$4,0,0,$A$2,1)))</f>
        <v>Composition 55</v>
      </c>
      <c r="P273" s="55" cm="1">
        <f t="array" aca="1" ref="P273" ca="1">MATCH(J273, _xlfn._xlws.FILTER($J$4:$J$430,$O$4:$O$430=O273), 0)+1</f>
        <v>2</v>
      </c>
      <c r="Q273" s="63" t="str">
        <f>_xlfn.XLOOKUP(B273, IN_Zugliste!A:A, IN_Zugliste!M:M, "")</f>
        <v>05:12:58</v>
      </c>
    </row>
    <row r="274" spans="1:17" ht="15" customHeight="1" x14ac:dyDescent="0.2">
      <c r="A274" s="63" t="s">
        <v>686</v>
      </c>
      <c r="B274" s="63" t="s">
        <v>170</v>
      </c>
      <c r="C274" s="63" t="s">
        <v>162</v>
      </c>
      <c r="D274" s="63" t="s">
        <v>811</v>
      </c>
      <c r="E274" s="63" t="s">
        <v>688</v>
      </c>
      <c r="F274" s="63" t="s">
        <v>1072</v>
      </c>
      <c r="G274" s="63" t="s">
        <v>1575</v>
      </c>
      <c r="H274" s="63" t="s">
        <v>691</v>
      </c>
      <c r="I274" s="63" t="s">
        <v>1575</v>
      </c>
      <c r="J274" s="63" t="s">
        <v>1576</v>
      </c>
      <c r="K274" s="55">
        <f t="shared" ca="1" si="4"/>
        <v>0</v>
      </c>
      <c r="L274" s="56" t="str">
        <f ca="1">IF(K274&gt;0,"Composition "&amp;SUM(K$4:K274),"")</f>
        <v/>
      </c>
      <c r="M274" s="55" cm="1">
        <f t="array" aca="1" ref="M274" ca="1">IF(K274=1,_xlfn.XLOOKUP(B274,OFFSET(IN_Zugliste!$A$4,0,0,IN_Zugliste!$A$2,1),OFFSET(IN_Zugliste!$K$4,0,0,IN_Zugliste!$A$2,1),0),0)+_xlfn.XLOOKUP(C274,OFFSET(IN_Zugliste!$A$4,0,0,IN_Zugliste!$A$2,1),OFFSET(IN_Zugliste!$K$4,0,0,IN_Zugliste!$A$2,1),0)</f>
        <v>159719</v>
      </c>
      <c r="N274" s="55" t="str" cm="1">
        <f t="array" aca="1" ref="N274" ca="1">IF(K274=1,_xlfn.XLOOKUP(B274,OFFSET(IN_Zugliste!$A$4,0,0,IN_Zugliste!$A$2,1),OFFSET(IN_Zugliste!$D$4,0,0,IN_Zugliste!$A$2,1),""),"")</f>
        <v/>
      </c>
      <c r="O274" s="55" t="str" cm="1">
        <f t="array" aca="1" ref="O274" ca="1">IF(L274&lt;&gt;"",L274,_xlfn.XLOOKUP(B274,OFFSET($C$4,0,0,$A$2,1),OFFSET($O$4,0,0,$A$2,1)))</f>
        <v>Composition 55</v>
      </c>
      <c r="P274" s="55" cm="1">
        <f t="array" aca="1" ref="P274" ca="1">MATCH(J274, _xlfn._xlws.FILTER($J$4:$J$430,$O$4:$O$430=O274), 0)+1</f>
        <v>3</v>
      </c>
      <c r="Q274" s="63" t="str">
        <f>_xlfn.XLOOKUP(B274, IN_Zugliste!A:A, IN_Zugliste!M:M, "")</f>
        <v>07:55:42</v>
      </c>
    </row>
    <row r="275" spans="1:17" ht="15" customHeight="1" x14ac:dyDescent="0.2">
      <c r="A275" s="63" t="s">
        <v>686</v>
      </c>
      <c r="B275" s="63" t="s">
        <v>162</v>
      </c>
      <c r="C275" s="63" t="s">
        <v>242</v>
      </c>
      <c r="D275" s="63" t="s">
        <v>1068</v>
      </c>
      <c r="E275" s="63" t="s">
        <v>688</v>
      </c>
      <c r="F275" s="63" t="s">
        <v>1577</v>
      </c>
      <c r="G275" s="63" t="s">
        <v>1578</v>
      </c>
      <c r="H275" s="63" t="s">
        <v>817</v>
      </c>
      <c r="I275" s="63" t="s">
        <v>1578</v>
      </c>
      <c r="J275" s="63" t="s">
        <v>719</v>
      </c>
      <c r="K275" s="55">
        <f t="shared" ca="1" si="4"/>
        <v>0</v>
      </c>
      <c r="L275" s="56" t="str">
        <f ca="1">IF(K275&gt;0,"Composition "&amp;SUM(K$4:K275),"")</f>
        <v/>
      </c>
      <c r="M275" s="55" cm="1">
        <f t="array" aca="1" ref="M275" ca="1">IF(K275=1,_xlfn.XLOOKUP(B275,OFFSET(IN_Zugliste!$A$4,0,0,IN_Zugliste!$A$2,1),OFFSET(IN_Zugliste!$K$4,0,0,IN_Zugliste!$A$2,1),0),0)+_xlfn.XLOOKUP(C275,OFFSET(IN_Zugliste!$A$4,0,0,IN_Zugliste!$A$2,1),OFFSET(IN_Zugliste!$K$4,0,0,IN_Zugliste!$A$2,1),0)</f>
        <v>159764</v>
      </c>
      <c r="N275" s="55" t="str" cm="1">
        <f t="array" aca="1" ref="N275" ca="1">IF(K275=1,_xlfn.XLOOKUP(B275,OFFSET(IN_Zugliste!$A$4,0,0,IN_Zugliste!$A$2,1),OFFSET(IN_Zugliste!$D$4,0,0,IN_Zugliste!$A$2,1),""),"")</f>
        <v/>
      </c>
      <c r="O275" s="55" t="str" cm="1">
        <f t="array" aca="1" ref="O275" ca="1">IF(L275&lt;&gt;"",L275,_xlfn.XLOOKUP(B275,OFFSET($C$4,0,0,$A$2,1),OFFSET($O$4,0,0,$A$2,1)))</f>
        <v>Composition 55</v>
      </c>
      <c r="P275" s="55" cm="1">
        <f t="array" aca="1" ref="P275" ca="1">MATCH(J275, _xlfn._xlws.FILTER($J$4:$J$430,$O$4:$O$430=O275), 0)+1</f>
        <v>4</v>
      </c>
      <c r="Q275" s="63" t="str">
        <f>_xlfn.XLOOKUP(B275, IN_Zugliste!A:A, IN_Zugliste!M:M, "")</f>
        <v>10:42:31</v>
      </c>
    </row>
    <row r="276" spans="1:17" ht="15" customHeight="1" x14ac:dyDescent="0.2">
      <c r="A276" s="63" t="s">
        <v>686</v>
      </c>
      <c r="B276" s="63" t="s">
        <v>257</v>
      </c>
      <c r="C276" s="63" t="s">
        <v>248</v>
      </c>
      <c r="D276" s="63" t="s">
        <v>875</v>
      </c>
      <c r="E276" s="63" t="s">
        <v>688</v>
      </c>
      <c r="F276" s="63" t="s">
        <v>1579</v>
      </c>
      <c r="G276" s="63" t="s">
        <v>1580</v>
      </c>
      <c r="H276" s="63" t="s">
        <v>691</v>
      </c>
      <c r="I276" s="63" t="s">
        <v>1580</v>
      </c>
      <c r="J276" s="63" t="s">
        <v>1581</v>
      </c>
      <c r="K276" s="55">
        <f t="shared" ca="1" si="4"/>
        <v>1</v>
      </c>
      <c r="L276" s="56" t="str">
        <f ca="1">IF(K276&gt;0,"Composition "&amp;SUM(K$4:K276),"")</f>
        <v>Composition 56</v>
      </c>
      <c r="M276" s="55" cm="1">
        <f t="array" aca="1" ref="M276" ca="1">IF(K276=1,_xlfn.XLOOKUP(B276,OFFSET(IN_Zugliste!$A$4,0,0,IN_Zugliste!$A$2,1),OFFSET(IN_Zugliste!$K$4,0,0,IN_Zugliste!$A$2,1),0),0)+_xlfn.XLOOKUP(C276,OFFSET(IN_Zugliste!$A$4,0,0,IN_Zugliste!$A$2,1),OFFSET(IN_Zugliste!$K$4,0,0,IN_Zugliste!$A$2,1),0)</f>
        <v>104403</v>
      </c>
      <c r="N276" s="55" t="str" cm="1">
        <f t="array" aca="1" ref="N276" ca="1">IF(K276=1,_xlfn.XLOOKUP(B276,OFFSET(IN_Zugliste!$A$4,0,0,IN_Zugliste!$A$2,1),OFFSET(IN_Zugliste!$D$4,0,0,IN_Zugliste!$A$2,1),""),"")</f>
        <v>146-3.2</v>
      </c>
      <c r="O276" s="55" t="str" cm="1">
        <f t="array" aca="1" ref="O276" ca="1">IF(L276&lt;&gt;"",L276,_xlfn.XLOOKUP(B276,OFFSET($C$4,0,0,$A$2,1),OFFSET($O$4,0,0,$A$2,1)))</f>
        <v>Composition 56</v>
      </c>
      <c r="P276" s="55" cm="1">
        <f t="array" aca="1" ref="P276" ca="1">MATCH(J276, _xlfn._xlws.FILTER($J$4:$J$430,$O$4:$O$430=O276), 0)+1</f>
        <v>2</v>
      </c>
      <c r="Q276" s="63" t="str">
        <f>_xlfn.XLOOKUP(B276, IN_Zugliste!A:A, IN_Zugliste!M:M, "")</f>
        <v>06:19:04</v>
      </c>
    </row>
    <row r="277" spans="1:17" ht="15" customHeight="1" x14ac:dyDescent="0.2">
      <c r="A277" s="63" t="s">
        <v>686</v>
      </c>
      <c r="B277" s="63" t="s">
        <v>248</v>
      </c>
      <c r="C277" s="63" t="s">
        <v>287</v>
      </c>
      <c r="D277" s="63" t="s">
        <v>915</v>
      </c>
      <c r="E277" s="63" t="s">
        <v>688</v>
      </c>
      <c r="F277" s="63" t="s">
        <v>1582</v>
      </c>
      <c r="G277" s="63" t="s">
        <v>1583</v>
      </c>
      <c r="H277" s="63" t="s">
        <v>691</v>
      </c>
      <c r="I277" s="63" t="s">
        <v>1583</v>
      </c>
      <c r="J277" s="63" t="s">
        <v>1584</v>
      </c>
      <c r="K277" s="55">
        <f t="shared" ca="1" si="4"/>
        <v>0</v>
      </c>
      <c r="L277" s="56" t="str">
        <f ca="1">IF(K277&gt;0,"Composition "&amp;SUM(K$4:K277),"")</f>
        <v/>
      </c>
      <c r="M277" s="55" cm="1">
        <f t="array" aca="1" ref="M277" ca="1">IF(K277=1,_xlfn.XLOOKUP(B277,OFFSET(IN_Zugliste!$A$4,0,0,IN_Zugliste!$A$2,1),OFFSET(IN_Zugliste!$K$4,0,0,IN_Zugliste!$A$2,1),0),0)+_xlfn.XLOOKUP(C277,OFFSET(IN_Zugliste!$A$4,0,0,IN_Zugliste!$A$2,1),OFFSET(IN_Zugliste!$K$4,0,0,IN_Zugliste!$A$2,1),0)</f>
        <v>52218</v>
      </c>
      <c r="N277" s="55" t="str" cm="1">
        <f t="array" aca="1" ref="N277" ca="1">IF(K277=1,_xlfn.XLOOKUP(B277,OFFSET(IN_Zugliste!$A$4,0,0,IN_Zugliste!$A$2,1),OFFSET(IN_Zugliste!$D$4,0,0,IN_Zugliste!$A$2,1),""),"")</f>
        <v/>
      </c>
      <c r="O277" s="55" t="str" cm="1">
        <f t="array" aca="1" ref="O277" ca="1">IF(L277&lt;&gt;"",L277,_xlfn.XLOOKUP(B277,OFFSET($C$4,0,0,$A$2,1),OFFSET($O$4,0,0,$A$2,1)))</f>
        <v>Composition 56</v>
      </c>
      <c r="P277" s="55" cm="1">
        <f t="array" aca="1" ref="P277" ca="1">MATCH(J277, _xlfn._xlws.FILTER($J$4:$J$430,$O$4:$O$430=O277), 0)+1</f>
        <v>3</v>
      </c>
      <c r="Q277" s="63" t="str">
        <f>_xlfn.XLOOKUP(B277, IN_Zugliste!A:A, IN_Zugliste!M:M, "")</f>
        <v>08:02:24</v>
      </c>
    </row>
    <row r="278" spans="1:17" ht="15" customHeight="1" x14ac:dyDescent="0.2">
      <c r="A278" s="63" t="s">
        <v>686</v>
      </c>
      <c r="B278" s="63" t="s">
        <v>287</v>
      </c>
      <c r="C278" s="63" t="s">
        <v>277</v>
      </c>
      <c r="D278" s="63" t="s">
        <v>875</v>
      </c>
      <c r="E278" s="63" t="s">
        <v>688</v>
      </c>
      <c r="F278" s="63" t="s">
        <v>1585</v>
      </c>
      <c r="G278" s="63" t="s">
        <v>1586</v>
      </c>
      <c r="H278" s="63" t="s">
        <v>691</v>
      </c>
      <c r="I278" s="63" t="s">
        <v>1586</v>
      </c>
      <c r="J278" s="63" t="s">
        <v>1587</v>
      </c>
      <c r="K278" s="55">
        <f t="shared" ca="1" si="4"/>
        <v>0</v>
      </c>
      <c r="L278" s="56" t="str">
        <f ca="1">IF(K278&gt;0,"Composition "&amp;SUM(K$4:K278),"")</f>
        <v/>
      </c>
      <c r="M278" s="55" cm="1">
        <f t="array" aca="1" ref="M278" ca="1">IF(K278=1,_xlfn.XLOOKUP(B278,OFFSET(IN_Zugliste!$A$4,0,0,IN_Zugliste!$A$2,1),OFFSET(IN_Zugliste!$K$4,0,0,IN_Zugliste!$A$2,1),0),0)+_xlfn.XLOOKUP(C278,OFFSET(IN_Zugliste!$A$4,0,0,IN_Zugliste!$A$2,1),OFFSET(IN_Zugliste!$K$4,0,0,IN_Zugliste!$A$2,1),0)</f>
        <v>52185</v>
      </c>
      <c r="N278" s="55" t="str" cm="1">
        <f t="array" aca="1" ref="N278" ca="1">IF(K278=1,_xlfn.XLOOKUP(B278,OFFSET(IN_Zugliste!$A$4,0,0,IN_Zugliste!$A$2,1),OFFSET(IN_Zugliste!$D$4,0,0,IN_Zugliste!$A$2,1),""),"")</f>
        <v/>
      </c>
      <c r="O278" s="55" t="str" cm="1">
        <f t="array" aca="1" ref="O278" ca="1">IF(L278&lt;&gt;"",L278,_xlfn.XLOOKUP(B278,OFFSET($C$4,0,0,$A$2,1),OFFSET($O$4,0,0,$A$2,1)))</f>
        <v>Composition 56</v>
      </c>
      <c r="P278" s="55" cm="1">
        <f t="array" aca="1" ref="P278" ca="1">MATCH(J278, _xlfn._xlws.FILTER($J$4:$J$430,$O$4:$O$430=O278), 0)+1</f>
        <v>4</v>
      </c>
      <c r="Q278" s="63" t="str">
        <f>_xlfn.XLOOKUP(B278, IN_Zugliste!A:A, IN_Zugliste!M:M, "")</f>
        <v>09:41:12</v>
      </c>
    </row>
    <row r="279" spans="1:17" ht="15" customHeight="1" x14ac:dyDescent="0.2">
      <c r="A279" s="63" t="s">
        <v>686</v>
      </c>
      <c r="B279" s="63" t="s">
        <v>277</v>
      </c>
      <c r="C279" s="63" t="s">
        <v>264</v>
      </c>
      <c r="D279" s="63" t="s">
        <v>915</v>
      </c>
      <c r="E279" s="63" t="s">
        <v>688</v>
      </c>
      <c r="F279" s="63" t="s">
        <v>1588</v>
      </c>
      <c r="G279" s="63" t="s">
        <v>1589</v>
      </c>
      <c r="H279" s="63" t="s">
        <v>691</v>
      </c>
      <c r="I279" s="63" t="s">
        <v>1590</v>
      </c>
      <c r="J279" s="63" t="s">
        <v>1591</v>
      </c>
      <c r="K279" s="55">
        <f t="shared" ca="1" si="4"/>
        <v>0</v>
      </c>
      <c r="L279" s="56" t="str">
        <f ca="1">IF(K279&gt;0,"Composition "&amp;SUM(K$4:K279),"")</f>
        <v/>
      </c>
      <c r="M279" s="55" cm="1">
        <f t="array" aca="1" ref="M279" ca="1">IF(K279=1,_xlfn.XLOOKUP(B279,OFFSET(IN_Zugliste!$A$4,0,0,IN_Zugliste!$A$2,1),OFFSET(IN_Zugliste!$K$4,0,0,IN_Zugliste!$A$2,1),0),0)+_xlfn.XLOOKUP(C279,OFFSET(IN_Zugliste!$A$4,0,0,IN_Zugliste!$A$2,1),OFFSET(IN_Zugliste!$K$4,0,0,IN_Zugliste!$A$2,1),0)</f>
        <v>52218</v>
      </c>
      <c r="N279" s="55" t="str" cm="1">
        <f t="array" aca="1" ref="N279" ca="1">IF(K279=1,_xlfn.XLOOKUP(B279,OFFSET(IN_Zugliste!$A$4,0,0,IN_Zugliste!$A$2,1),OFFSET(IN_Zugliste!$D$4,0,0,IN_Zugliste!$A$2,1),""),"")</f>
        <v/>
      </c>
      <c r="O279" s="55" t="str" cm="1">
        <f t="array" aca="1" ref="O279" ca="1">IF(L279&lt;&gt;"",L279,_xlfn.XLOOKUP(B279,OFFSET($C$4,0,0,$A$2,1),OFFSET($O$4,0,0,$A$2,1)))</f>
        <v>Composition 56</v>
      </c>
      <c r="P279" s="55" cm="1">
        <f t="array" aca="1" ref="P279" ca="1">MATCH(J279, _xlfn._xlws.FILTER($J$4:$J$430,$O$4:$O$430=O279), 0)+1</f>
        <v>5</v>
      </c>
      <c r="Q279" s="63" t="str">
        <f>_xlfn.XLOOKUP(B279, IN_Zugliste!A:A, IN_Zugliste!M:M, "")</f>
        <v>11:26:43</v>
      </c>
    </row>
    <row r="280" spans="1:17" ht="15" customHeight="1" x14ac:dyDescent="0.2">
      <c r="A280" s="63" t="s">
        <v>686</v>
      </c>
      <c r="B280" s="63" t="s">
        <v>122</v>
      </c>
      <c r="C280" s="63" t="s">
        <v>138</v>
      </c>
      <c r="D280" s="63" t="s">
        <v>994</v>
      </c>
      <c r="E280" s="63" t="s">
        <v>688</v>
      </c>
      <c r="F280" s="63" t="s">
        <v>1592</v>
      </c>
      <c r="G280" s="63" t="s">
        <v>1593</v>
      </c>
      <c r="H280" s="63" t="s">
        <v>691</v>
      </c>
      <c r="I280" s="63" t="s">
        <v>1593</v>
      </c>
      <c r="J280" s="63" t="s">
        <v>1594</v>
      </c>
      <c r="K280" s="55">
        <f t="shared" ca="1" si="4"/>
        <v>1</v>
      </c>
      <c r="L280" s="56" t="str">
        <f ca="1">IF(K280&gt;0,"Composition "&amp;SUM(K$4:K280),"")</f>
        <v>Composition 57</v>
      </c>
      <c r="M280" s="55" cm="1">
        <f t="array" aca="1" ref="M280" ca="1">IF(K280=1,_xlfn.XLOOKUP(B280,OFFSET(IN_Zugliste!$A$4,0,0,IN_Zugliste!$A$2,1),OFFSET(IN_Zugliste!$K$4,0,0,IN_Zugliste!$A$2,1),0),0)+_xlfn.XLOOKUP(C280,OFFSET(IN_Zugliste!$A$4,0,0,IN_Zugliste!$A$2,1),OFFSET(IN_Zugliste!$K$4,0,0,IN_Zugliste!$A$2,1),0)</f>
        <v>360401</v>
      </c>
      <c r="N280" s="55" t="str" cm="1">
        <f t="array" aca="1" ref="N280" ca="1">IF(K280=1,_xlfn.XLOOKUP(B280,OFFSET(IN_Zugliste!$A$4,0,0,IN_Zugliste!$A$2,1),OFFSET(IN_Zugliste!$D$4,0,0,IN_Zugliste!$A$2,1),""),"")</f>
        <v>462-1.0</v>
      </c>
      <c r="O280" s="55" t="str" cm="1">
        <f t="array" aca="1" ref="O280" ca="1">IF(L280&lt;&gt;"",L280,_xlfn.XLOOKUP(B280,OFFSET($C$4,0,0,$A$2,1),OFFSET($O$4,0,0,$A$2,1)))</f>
        <v>Composition 57</v>
      </c>
      <c r="P280" s="55" cm="1">
        <f t="array" aca="1" ref="P280" ca="1">MATCH(J280, _xlfn._xlws.FILTER($J$4:$J$430,$O$4:$O$430=O280), 0)+1</f>
        <v>2</v>
      </c>
      <c r="Q280" s="63" t="str">
        <f>_xlfn.XLOOKUP(B280, IN_Zugliste!A:A, IN_Zugliste!M:M, "")</f>
        <v>05:22:31</v>
      </c>
    </row>
    <row r="281" spans="1:17" ht="15" customHeight="1" x14ac:dyDescent="0.2">
      <c r="A281" s="63" t="s">
        <v>686</v>
      </c>
      <c r="B281" s="63" t="s">
        <v>138</v>
      </c>
      <c r="C281" s="63" t="s">
        <v>152</v>
      </c>
      <c r="D281" s="63" t="s">
        <v>723</v>
      </c>
      <c r="E281" s="63" t="s">
        <v>688</v>
      </c>
      <c r="F281" s="63" t="s">
        <v>1595</v>
      </c>
      <c r="G281" s="63" t="s">
        <v>1596</v>
      </c>
      <c r="H281" s="63" t="s">
        <v>691</v>
      </c>
      <c r="I281" s="63" t="s">
        <v>1596</v>
      </c>
      <c r="J281" s="63" t="s">
        <v>1597</v>
      </c>
      <c r="K281" s="55">
        <f t="shared" ca="1" si="4"/>
        <v>0</v>
      </c>
      <c r="L281" s="56" t="str">
        <f ca="1">IF(K281&gt;0,"Composition "&amp;SUM(K$4:K281),"")</f>
        <v/>
      </c>
      <c r="M281" s="55" cm="1">
        <f t="array" aca="1" ref="M281" ca="1">IF(K281=1,_xlfn.XLOOKUP(B281,OFFSET(IN_Zugliste!$A$4,0,0,IN_Zugliste!$A$2,1),OFFSET(IN_Zugliste!$K$4,0,0,IN_Zugliste!$A$2,1),0),0)+_xlfn.XLOOKUP(C281,OFFSET(IN_Zugliste!$A$4,0,0,IN_Zugliste!$A$2,1),OFFSET(IN_Zugliste!$K$4,0,0,IN_Zugliste!$A$2,1),0)</f>
        <v>180226</v>
      </c>
      <c r="N281" s="55" t="str" cm="1">
        <f t="array" aca="1" ref="N281" ca="1">IF(K281=1,_xlfn.XLOOKUP(B281,OFFSET(IN_Zugliste!$A$4,0,0,IN_Zugliste!$A$2,1),OFFSET(IN_Zugliste!$D$4,0,0,IN_Zugliste!$A$2,1),""),"")</f>
        <v/>
      </c>
      <c r="O281" s="55" t="str" cm="1">
        <f t="array" aca="1" ref="O281" ca="1">IF(L281&lt;&gt;"",L281,_xlfn.XLOOKUP(B281,OFFSET($C$4,0,0,$A$2,1),OFFSET($O$4,0,0,$A$2,1)))</f>
        <v>Composition 57</v>
      </c>
      <c r="P281" s="55" cm="1">
        <f t="array" aca="1" ref="P281" ca="1">MATCH(J281, _xlfn._xlws.FILTER($J$4:$J$430,$O$4:$O$430=O281), 0)+1</f>
        <v>3</v>
      </c>
      <c r="Q281" s="63" t="str">
        <f>_xlfn.XLOOKUP(B281, IN_Zugliste!A:A, IN_Zugliste!M:M, "")</f>
        <v>08:04:18</v>
      </c>
    </row>
    <row r="282" spans="1:17" ht="15" customHeight="1" x14ac:dyDescent="0.2">
      <c r="A282" s="63" t="s">
        <v>686</v>
      </c>
      <c r="B282" s="63" t="s">
        <v>152</v>
      </c>
      <c r="C282" s="63" t="s">
        <v>121</v>
      </c>
      <c r="D282" s="63" t="s">
        <v>994</v>
      </c>
      <c r="E282" s="63" t="s">
        <v>688</v>
      </c>
      <c r="F282" s="63" t="s">
        <v>1598</v>
      </c>
      <c r="G282" s="63" t="s">
        <v>1599</v>
      </c>
      <c r="H282" s="63" t="s">
        <v>691</v>
      </c>
      <c r="I282" s="63" t="s">
        <v>1599</v>
      </c>
      <c r="J282" s="63" t="s">
        <v>1600</v>
      </c>
      <c r="K282" s="55">
        <f t="shared" ca="1" si="4"/>
        <v>0</v>
      </c>
      <c r="L282" s="56" t="str">
        <f ca="1">IF(K282&gt;0,"Composition "&amp;SUM(K$4:K282),"")</f>
        <v/>
      </c>
      <c r="M282" s="55" cm="1">
        <f t="array" aca="1" ref="M282" ca="1">IF(K282=1,_xlfn.XLOOKUP(B282,OFFSET(IN_Zugliste!$A$4,0,0,IN_Zugliste!$A$2,1),OFFSET(IN_Zugliste!$K$4,0,0,IN_Zugliste!$A$2,1),0),0)+_xlfn.XLOOKUP(C282,OFFSET(IN_Zugliste!$A$4,0,0,IN_Zugliste!$A$2,1),OFFSET(IN_Zugliste!$K$4,0,0,IN_Zugliste!$A$2,1),0)</f>
        <v>180175</v>
      </c>
      <c r="N282" s="55" t="str" cm="1">
        <f t="array" aca="1" ref="N282" ca="1">IF(K282=1,_xlfn.XLOOKUP(B282,OFFSET(IN_Zugliste!$A$4,0,0,IN_Zugliste!$A$2,1),OFFSET(IN_Zugliste!$D$4,0,0,IN_Zugliste!$A$2,1),""),"")</f>
        <v/>
      </c>
      <c r="O282" s="55" t="str" cm="1">
        <f t="array" aca="1" ref="O282" ca="1">IF(L282&lt;&gt;"",L282,_xlfn.XLOOKUP(B282,OFFSET($C$4,0,0,$A$2,1),OFFSET($O$4,0,0,$A$2,1)))</f>
        <v>Composition 57</v>
      </c>
      <c r="P282" s="55" cm="1">
        <f t="array" aca="1" ref="P282" ca="1">MATCH(J282, _xlfn._xlws.FILTER($J$4:$J$430,$O$4:$O$430=O282), 0)+1</f>
        <v>4</v>
      </c>
      <c r="Q282" s="63" t="str">
        <f>_xlfn.XLOOKUP(B282, IN_Zugliste!A:A, IN_Zugliste!M:M, "")</f>
        <v>10:51:38</v>
      </c>
    </row>
    <row r="283" spans="1:17" ht="15" customHeight="1" x14ac:dyDescent="0.2">
      <c r="A283" s="63" t="s">
        <v>686</v>
      </c>
      <c r="B283" s="63" t="s">
        <v>316</v>
      </c>
      <c r="C283" s="63" t="s">
        <v>296</v>
      </c>
      <c r="D283" s="63" t="s">
        <v>727</v>
      </c>
      <c r="E283" s="63" t="s">
        <v>688</v>
      </c>
      <c r="F283" s="63" t="s">
        <v>1601</v>
      </c>
      <c r="G283" s="63" t="s">
        <v>1252</v>
      </c>
      <c r="H283" s="63" t="s">
        <v>691</v>
      </c>
      <c r="I283" s="63" t="s">
        <v>1252</v>
      </c>
      <c r="J283" s="63" t="s">
        <v>1602</v>
      </c>
      <c r="K283" s="55">
        <f t="shared" ca="1" si="4"/>
        <v>1</v>
      </c>
      <c r="L283" s="56" t="str">
        <f ca="1">IF(K283&gt;0,"Composition "&amp;SUM(K$4:K283),"")</f>
        <v>Composition 58</v>
      </c>
      <c r="M283" s="55" cm="1">
        <f t="array" aca="1" ref="M283" ca="1">IF(K283=1,_xlfn.XLOOKUP(B283,OFFSET(IN_Zugliste!$A$4,0,0,IN_Zugliste!$A$2,1),OFFSET(IN_Zugliste!$K$4,0,0,IN_Zugliste!$A$2,1),0),0)+_xlfn.XLOOKUP(C283,OFFSET(IN_Zugliste!$A$4,0,0,IN_Zugliste!$A$2,1),OFFSET(IN_Zugliste!$K$4,0,0,IN_Zugliste!$A$2,1),0)</f>
        <v>138314</v>
      </c>
      <c r="N283" s="55" t="str" cm="1">
        <f t="array" aca="1" ref="N283" ca="1">IF(K283=1,_xlfn.XLOOKUP(B283,OFFSET(IN_Zugliste!$A$4,0,0,IN_Zugliste!$A$2,1),OFFSET(IN_Zugliste!$D$4,0,0,IN_Zugliste!$A$2,1),""),"")</f>
        <v>146-3.2</v>
      </c>
      <c r="O283" s="55" t="str" cm="1">
        <f t="array" aca="1" ref="O283" ca="1">IF(L283&lt;&gt;"",L283,_xlfn.XLOOKUP(B283,OFFSET($C$4,0,0,$A$2,1),OFFSET($O$4,0,0,$A$2,1)))</f>
        <v>Composition 58</v>
      </c>
      <c r="P283" s="55" cm="1">
        <f t="array" aca="1" ref="P283" ca="1">MATCH(J283, _xlfn._xlws.FILTER($J$4:$J$430,$O$4:$O$430=O283), 0)+1</f>
        <v>2</v>
      </c>
      <c r="Q283" s="63" t="str">
        <f>_xlfn.XLOOKUP(B283, IN_Zugliste!A:A, IN_Zugliste!M:M, "")</f>
        <v>06:35:33</v>
      </c>
    </row>
    <row r="284" spans="1:17" ht="15" customHeight="1" x14ac:dyDescent="0.2">
      <c r="A284" s="63" t="s">
        <v>686</v>
      </c>
      <c r="B284" s="63" t="s">
        <v>296</v>
      </c>
      <c r="C284" s="63" t="s">
        <v>309</v>
      </c>
      <c r="D284" s="63" t="s">
        <v>1080</v>
      </c>
      <c r="E284" s="63" t="s">
        <v>688</v>
      </c>
      <c r="F284" s="63" t="s">
        <v>1603</v>
      </c>
      <c r="G284" s="63" t="s">
        <v>1604</v>
      </c>
      <c r="H284" s="63" t="s">
        <v>691</v>
      </c>
      <c r="I284" s="63" t="s">
        <v>1604</v>
      </c>
      <c r="J284" s="63" t="s">
        <v>798</v>
      </c>
      <c r="K284" s="55">
        <f t="shared" ca="1" si="4"/>
        <v>0</v>
      </c>
      <c r="L284" s="56" t="str">
        <f ca="1">IF(K284&gt;0,"Composition "&amp;SUM(K$4:K284),"")</f>
        <v/>
      </c>
      <c r="M284" s="55" cm="1">
        <f t="array" aca="1" ref="M284" ca="1">IF(K284=1,_xlfn.XLOOKUP(B284,OFFSET(IN_Zugliste!$A$4,0,0,IN_Zugliste!$A$2,1),OFFSET(IN_Zugliste!$K$4,0,0,IN_Zugliste!$A$2,1),0),0)+_xlfn.XLOOKUP(C284,OFFSET(IN_Zugliste!$A$4,0,0,IN_Zugliste!$A$2,1),OFFSET(IN_Zugliste!$K$4,0,0,IN_Zugliste!$A$2,1),0)</f>
        <v>75928</v>
      </c>
      <c r="N284" s="55" t="str" cm="1">
        <f t="array" aca="1" ref="N284" ca="1">IF(K284=1,_xlfn.XLOOKUP(B284,OFFSET(IN_Zugliste!$A$4,0,0,IN_Zugliste!$A$2,1),OFFSET(IN_Zugliste!$D$4,0,0,IN_Zugliste!$A$2,1),""),"")</f>
        <v/>
      </c>
      <c r="O284" s="55" t="str" cm="1">
        <f t="array" aca="1" ref="O284" ca="1">IF(L284&lt;&gt;"",L284,_xlfn.XLOOKUP(B284,OFFSET($C$4,0,0,$A$2,1),OFFSET($O$4,0,0,$A$2,1)))</f>
        <v>Composition 58</v>
      </c>
      <c r="P284" s="55" cm="1">
        <f t="array" aca="1" ref="P284" ca="1">MATCH(J284, _xlfn._xlws.FILTER($J$4:$J$430,$O$4:$O$430=O284), 0)+1</f>
        <v>3</v>
      </c>
      <c r="Q284" s="63" t="str">
        <f>_xlfn.XLOOKUP(B284, IN_Zugliste!A:A, IN_Zugliste!M:M, "")</f>
        <v>08:03:46</v>
      </c>
    </row>
    <row r="285" spans="1:17" ht="15" customHeight="1" x14ac:dyDescent="0.2">
      <c r="A285" s="63" t="s">
        <v>686</v>
      </c>
      <c r="B285" s="63" t="s">
        <v>309</v>
      </c>
      <c r="C285" s="63" t="s">
        <v>332</v>
      </c>
      <c r="D285" s="63" t="s">
        <v>727</v>
      </c>
      <c r="E285" s="63" t="s">
        <v>688</v>
      </c>
      <c r="F285" s="63" t="s">
        <v>1605</v>
      </c>
      <c r="G285" s="63" t="s">
        <v>1606</v>
      </c>
      <c r="H285" s="63" t="s">
        <v>691</v>
      </c>
      <c r="I285" s="63" t="s">
        <v>1606</v>
      </c>
      <c r="J285" s="63" t="s">
        <v>1607</v>
      </c>
      <c r="K285" s="55">
        <f t="shared" ca="1" si="4"/>
        <v>0</v>
      </c>
      <c r="L285" s="56" t="str">
        <f ca="1">IF(K285&gt;0,"Composition "&amp;SUM(K$4:K285),"")</f>
        <v/>
      </c>
      <c r="M285" s="55" cm="1">
        <f t="array" aca="1" ref="M285" ca="1">IF(K285=1,_xlfn.XLOOKUP(B285,OFFSET(IN_Zugliste!$A$4,0,0,IN_Zugliste!$A$2,1),OFFSET(IN_Zugliste!$K$4,0,0,IN_Zugliste!$A$2,1),0),0)+_xlfn.XLOOKUP(C285,OFFSET(IN_Zugliste!$A$4,0,0,IN_Zugliste!$A$2,1),OFFSET(IN_Zugliste!$K$4,0,0,IN_Zugliste!$A$2,1),0)</f>
        <v>62238</v>
      </c>
      <c r="N285" s="55" t="str" cm="1">
        <f t="array" aca="1" ref="N285" ca="1">IF(K285=1,_xlfn.XLOOKUP(B285,OFFSET(IN_Zugliste!$A$4,0,0,IN_Zugliste!$A$2,1),OFFSET(IN_Zugliste!$D$4,0,0,IN_Zugliste!$A$2,1),""),"")</f>
        <v/>
      </c>
      <c r="O285" s="55" t="str" cm="1">
        <f t="array" aca="1" ref="O285" ca="1">IF(L285&lt;&gt;"",L285,_xlfn.XLOOKUP(B285,OFFSET($C$4,0,0,$A$2,1),OFFSET($O$4,0,0,$A$2,1)))</f>
        <v>Composition 58</v>
      </c>
      <c r="P285" s="55" cm="1">
        <f t="array" aca="1" ref="P285" ca="1">MATCH(J285, _xlfn._xlws.FILTER($J$4:$J$430,$O$4:$O$430=O285), 0)+1</f>
        <v>4</v>
      </c>
      <c r="Q285" s="63" t="str">
        <f>_xlfn.XLOOKUP(B285, IN_Zugliste!A:A, IN_Zugliste!M:M, "")</f>
        <v>09:48:18</v>
      </c>
    </row>
    <row r="286" spans="1:17" ht="15" customHeight="1" x14ac:dyDescent="0.2">
      <c r="A286" s="63" t="s">
        <v>686</v>
      </c>
      <c r="B286" s="63" t="s">
        <v>332</v>
      </c>
      <c r="C286" s="63" t="s">
        <v>389</v>
      </c>
      <c r="D286" s="63" t="s">
        <v>1064</v>
      </c>
      <c r="E286" s="63" t="s">
        <v>688</v>
      </c>
      <c r="F286" s="63" t="s">
        <v>1608</v>
      </c>
      <c r="G286" s="63" t="s">
        <v>1609</v>
      </c>
      <c r="H286" s="63" t="s">
        <v>691</v>
      </c>
      <c r="I286" s="63" t="s">
        <v>1609</v>
      </c>
      <c r="J286" s="63" t="s">
        <v>1610</v>
      </c>
      <c r="K286" s="55">
        <f t="shared" ca="1" si="4"/>
        <v>0</v>
      </c>
      <c r="L286" s="56" t="str">
        <f ca="1">IF(K286&gt;0,"Composition "&amp;SUM(K$4:K286),"")</f>
        <v/>
      </c>
      <c r="M286" s="55" cm="1">
        <f t="array" aca="1" ref="M286" ca="1">IF(K286=1,_xlfn.XLOOKUP(B286,OFFSET(IN_Zugliste!$A$4,0,0,IN_Zugliste!$A$2,1),OFFSET(IN_Zugliste!$K$4,0,0,IN_Zugliste!$A$2,1),0),0)+_xlfn.XLOOKUP(C286,OFFSET(IN_Zugliste!$A$4,0,0,IN_Zugliste!$A$2,1),OFFSET(IN_Zugliste!$K$4,0,0,IN_Zugliste!$A$2,1),0)</f>
        <v>133789</v>
      </c>
      <c r="N286" s="55" t="str" cm="1">
        <f t="array" aca="1" ref="N286" ca="1">IF(K286=1,_xlfn.XLOOKUP(B286,OFFSET(IN_Zugliste!$A$4,0,0,IN_Zugliste!$A$2,1),OFFSET(IN_Zugliste!$D$4,0,0,IN_Zugliste!$A$2,1),""),"")</f>
        <v/>
      </c>
      <c r="O286" s="55" t="str" cm="1">
        <f t="array" aca="1" ref="O286" ca="1">IF(L286&lt;&gt;"",L286,_xlfn.XLOOKUP(B286,OFFSET($C$4,0,0,$A$2,1),OFFSET($O$4,0,0,$A$2,1)))</f>
        <v>Composition 58</v>
      </c>
      <c r="P286" s="55" cm="1">
        <f t="array" aca="1" ref="P286" ca="1">MATCH(J286, _xlfn._xlws.FILTER($J$4:$J$430,$O$4:$O$430=O286), 0)+1</f>
        <v>5</v>
      </c>
      <c r="Q286" s="63" t="str">
        <f>_xlfn.XLOOKUP(B286, IN_Zugliste!A:A, IN_Zugliste!M:M, "")</f>
        <v>11:36:59</v>
      </c>
    </row>
    <row r="287" spans="1:17" ht="15" customHeight="1" x14ac:dyDescent="0.2">
      <c r="A287" s="63" t="s">
        <v>686</v>
      </c>
      <c r="B287" s="63" t="s">
        <v>592</v>
      </c>
      <c r="C287" s="63" t="s">
        <v>564</v>
      </c>
      <c r="D287" s="63" t="s">
        <v>990</v>
      </c>
      <c r="E287" s="63" t="s">
        <v>688</v>
      </c>
      <c r="F287" s="63" t="s">
        <v>1611</v>
      </c>
      <c r="G287" s="63" t="s">
        <v>1612</v>
      </c>
      <c r="H287" s="63" t="s">
        <v>691</v>
      </c>
      <c r="I287" s="63" t="s">
        <v>1613</v>
      </c>
      <c r="J287" s="63" t="s">
        <v>1614</v>
      </c>
      <c r="K287" s="55">
        <f t="shared" ca="1" si="4"/>
        <v>1</v>
      </c>
      <c r="L287" s="56" t="str">
        <f ca="1">IF(K287&gt;0,"Composition "&amp;SUM(K$4:K287),"")</f>
        <v>Composition 59</v>
      </c>
      <c r="M287" s="55" cm="1">
        <f t="array" aca="1" ref="M287" ca="1">IF(K287=1,_xlfn.XLOOKUP(B287,OFFSET(IN_Zugliste!$A$4,0,0,IN_Zugliste!$A$2,1),OFFSET(IN_Zugliste!$K$4,0,0,IN_Zugliste!$A$2,1),0),0)+_xlfn.XLOOKUP(C287,OFFSET(IN_Zugliste!$A$4,0,0,IN_Zugliste!$A$2,1),OFFSET(IN_Zugliste!$K$4,0,0,IN_Zugliste!$A$2,1),0)</f>
        <v>322962</v>
      </c>
      <c r="N287" s="55" t="str" cm="1">
        <f t="array" aca="1" ref="N287" ca="1">IF(K287=1,_xlfn.XLOOKUP(B287,OFFSET(IN_Zugliste!$A$4,0,0,IN_Zugliste!$A$2,1),OFFSET(IN_Zugliste!$D$4,0,0,IN_Zugliste!$A$2,1),""),"")</f>
        <v>146-3.2</v>
      </c>
      <c r="O287" s="55" t="str" cm="1">
        <f t="array" aca="1" ref="O287" ca="1">IF(L287&lt;&gt;"",L287,_xlfn.XLOOKUP(B287,OFFSET($C$4,0,0,$A$2,1),OFFSET($O$4,0,0,$A$2,1)))</f>
        <v>Composition 59</v>
      </c>
      <c r="P287" s="55" cm="1">
        <f t="array" aca="1" ref="P287" ca="1">MATCH(J287, _xlfn._xlws.FILTER($J$4:$J$430,$O$4:$O$430=O287), 0)+1</f>
        <v>2</v>
      </c>
      <c r="Q287" s="63" t="str">
        <f>_xlfn.XLOOKUP(B287, IN_Zugliste!A:A, IN_Zugliste!M:M, "")</f>
        <v>04:49:22</v>
      </c>
    </row>
    <row r="288" spans="1:17" ht="15" customHeight="1" x14ac:dyDescent="0.2">
      <c r="A288" s="63" t="s">
        <v>686</v>
      </c>
      <c r="B288" s="63" t="s">
        <v>564</v>
      </c>
      <c r="C288" s="63" t="s">
        <v>577</v>
      </c>
      <c r="D288" s="63" t="s">
        <v>1097</v>
      </c>
      <c r="E288" s="63" t="s">
        <v>688</v>
      </c>
      <c r="F288" s="63" t="s">
        <v>1615</v>
      </c>
      <c r="G288" s="63" t="s">
        <v>1616</v>
      </c>
      <c r="H288" s="63" t="s">
        <v>691</v>
      </c>
      <c r="I288" s="63" t="s">
        <v>1616</v>
      </c>
      <c r="J288" s="63" t="s">
        <v>1617</v>
      </c>
      <c r="K288" s="55">
        <f t="shared" ca="1" si="4"/>
        <v>0</v>
      </c>
      <c r="L288" s="56" t="str">
        <f ca="1">IF(K288&gt;0,"Composition "&amp;SUM(K$4:K288),"")</f>
        <v/>
      </c>
      <c r="M288" s="55" cm="1">
        <f t="array" aca="1" ref="M288" ca="1">IF(K288=1,_xlfn.XLOOKUP(B288,OFFSET(IN_Zugliste!$A$4,0,0,IN_Zugliste!$A$2,1),OFFSET(IN_Zugliste!$K$4,0,0,IN_Zugliste!$A$2,1),0),0)+_xlfn.XLOOKUP(C288,OFFSET(IN_Zugliste!$A$4,0,0,IN_Zugliste!$A$2,1),OFFSET(IN_Zugliste!$K$4,0,0,IN_Zugliste!$A$2,1),0)</f>
        <v>98831</v>
      </c>
      <c r="N288" s="55" t="str" cm="1">
        <f t="array" aca="1" ref="N288" ca="1">IF(K288=1,_xlfn.XLOOKUP(B288,OFFSET(IN_Zugliste!$A$4,0,0,IN_Zugliste!$A$2,1),OFFSET(IN_Zugliste!$D$4,0,0,IN_Zugliste!$A$2,1),""),"")</f>
        <v/>
      </c>
      <c r="O288" s="55" t="str" cm="1">
        <f t="array" aca="1" ref="O288" ca="1">IF(L288&lt;&gt;"",L288,_xlfn.XLOOKUP(B288,OFFSET($C$4,0,0,$A$2,1),OFFSET($O$4,0,0,$A$2,1)))</f>
        <v>Composition 59</v>
      </c>
      <c r="P288" s="55" cm="1">
        <f t="array" aca="1" ref="P288" ca="1">MATCH(J288, _xlfn._xlws.FILTER($J$4:$J$430,$O$4:$O$430=O288), 0)+1</f>
        <v>3</v>
      </c>
      <c r="Q288" s="63" t="str">
        <f>_xlfn.XLOOKUP(B288, IN_Zugliste!A:A, IN_Zugliste!M:M, "")</f>
        <v>08:10:15</v>
      </c>
    </row>
    <row r="289" spans="1:17" ht="15" customHeight="1" x14ac:dyDescent="0.2">
      <c r="A289" s="63" t="s">
        <v>686</v>
      </c>
      <c r="B289" s="63" t="s">
        <v>577</v>
      </c>
      <c r="C289" s="63" t="s">
        <v>589</v>
      </c>
      <c r="D289" s="63" t="s">
        <v>990</v>
      </c>
      <c r="E289" s="63" t="s">
        <v>688</v>
      </c>
      <c r="F289" s="63" t="s">
        <v>1618</v>
      </c>
      <c r="G289" s="63" t="s">
        <v>1619</v>
      </c>
      <c r="H289" s="63" t="s">
        <v>691</v>
      </c>
      <c r="I289" s="63" t="s">
        <v>1619</v>
      </c>
      <c r="J289" s="63" t="s">
        <v>1620</v>
      </c>
      <c r="K289" s="55">
        <f t="shared" ca="1" si="4"/>
        <v>0</v>
      </c>
      <c r="L289" s="56" t="str">
        <f ca="1">IF(K289&gt;0,"Composition "&amp;SUM(K$4:K289),"")</f>
        <v/>
      </c>
      <c r="M289" s="55" cm="1">
        <f t="array" aca="1" ref="M289" ca="1">IF(K289=1,_xlfn.XLOOKUP(B289,OFFSET(IN_Zugliste!$A$4,0,0,IN_Zugliste!$A$2,1),OFFSET(IN_Zugliste!$K$4,0,0,IN_Zugliste!$A$2,1),0),0)+_xlfn.XLOOKUP(C289,OFFSET(IN_Zugliste!$A$4,0,0,IN_Zugliste!$A$2,1),OFFSET(IN_Zugliste!$K$4,0,0,IN_Zugliste!$A$2,1),0)</f>
        <v>224120</v>
      </c>
      <c r="N289" s="55" t="str" cm="1">
        <f t="array" aca="1" ref="N289" ca="1">IF(K289=1,_xlfn.XLOOKUP(B289,OFFSET(IN_Zugliste!$A$4,0,0,IN_Zugliste!$A$2,1),OFFSET(IN_Zugliste!$D$4,0,0,IN_Zugliste!$A$2,1),""),"")</f>
        <v/>
      </c>
      <c r="O289" s="55" t="str" cm="1">
        <f t="array" aca="1" ref="O289" ca="1">IF(L289&lt;&gt;"",L289,_xlfn.XLOOKUP(B289,OFFSET($C$4,0,0,$A$2,1),OFFSET($O$4,0,0,$A$2,1)))</f>
        <v>Composition 59</v>
      </c>
      <c r="P289" s="55" cm="1">
        <f t="array" aca="1" ref="P289" ca="1">MATCH(J289, _xlfn._xlws.FILTER($J$4:$J$430,$O$4:$O$430=O289), 0)+1</f>
        <v>4</v>
      </c>
      <c r="Q289" s="63" t="str">
        <f>_xlfn.XLOOKUP(B289, IN_Zugliste!A:A, IN_Zugliste!M:M, "")</f>
        <v>09:50:55</v>
      </c>
    </row>
    <row r="290" spans="1:17" ht="15" customHeight="1" x14ac:dyDescent="0.2">
      <c r="A290" s="63" t="s">
        <v>686</v>
      </c>
      <c r="B290" s="63" t="s">
        <v>661</v>
      </c>
      <c r="C290" s="63" t="s">
        <v>652</v>
      </c>
      <c r="D290" s="63" t="s">
        <v>1176</v>
      </c>
      <c r="E290" s="63" t="s">
        <v>688</v>
      </c>
      <c r="F290" s="63" t="s">
        <v>1621</v>
      </c>
      <c r="G290" s="63" t="s">
        <v>1622</v>
      </c>
      <c r="H290" s="63" t="s">
        <v>691</v>
      </c>
      <c r="I290" s="63" t="s">
        <v>1622</v>
      </c>
      <c r="J290" s="63" t="s">
        <v>1623</v>
      </c>
      <c r="K290" s="55">
        <f t="shared" ca="1" si="4"/>
        <v>1</v>
      </c>
      <c r="L290" s="56" t="str">
        <f ca="1">IF(K290&gt;0,"Composition "&amp;SUM(K$4:K290),"")</f>
        <v>Composition 60</v>
      </c>
      <c r="M290" s="55" cm="1">
        <f t="array" aca="1" ref="M290" ca="1">IF(K290=1,_xlfn.XLOOKUP(B290,OFFSET(IN_Zugliste!$A$4,0,0,IN_Zugliste!$A$2,1),OFFSET(IN_Zugliste!$K$4,0,0,IN_Zugliste!$A$2,1),0),0)+_xlfn.XLOOKUP(C290,OFFSET(IN_Zugliste!$A$4,0,0,IN_Zugliste!$A$2,1),OFFSET(IN_Zugliste!$K$4,0,0,IN_Zugliste!$A$2,1),0)</f>
        <v>241584</v>
      </c>
      <c r="N290" s="55" t="str" cm="1">
        <f t="array" aca="1" ref="N290" ca="1">IF(K290=1,_xlfn.XLOOKUP(B290,OFFSET(IN_Zugliste!$A$4,0,0,IN_Zugliste!$A$2,1),OFFSET(IN_Zugliste!$D$4,0,0,IN_Zugliste!$A$2,1),""),"")</f>
        <v>462-1.0</v>
      </c>
      <c r="O290" s="55" t="str" cm="1">
        <f t="array" aca="1" ref="O290" ca="1">IF(L290&lt;&gt;"",L290,_xlfn.XLOOKUP(B290,OFFSET($C$4,0,0,$A$2,1),OFFSET($O$4,0,0,$A$2,1)))</f>
        <v>Composition 60</v>
      </c>
      <c r="P290" s="55" cm="1">
        <f t="array" aca="1" ref="P290" ca="1">MATCH(J290, _xlfn._xlws.FILTER($J$4:$J$430,$O$4:$O$430=O290), 0)+1</f>
        <v>2</v>
      </c>
      <c r="Q290" s="63" t="str">
        <f>_xlfn.XLOOKUP(B290, IN_Zugliste!A:A, IN_Zugliste!M:M, "")</f>
        <v>05:42:00</v>
      </c>
    </row>
    <row r="291" spans="1:17" ht="15" customHeight="1" x14ac:dyDescent="0.2">
      <c r="A291" s="63" t="s">
        <v>686</v>
      </c>
      <c r="B291" s="63" t="s">
        <v>652</v>
      </c>
      <c r="C291" s="63" t="s">
        <v>666</v>
      </c>
      <c r="D291" s="63" t="s">
        <v>723</v>
      </c>
      <c r="E291" s="63" t="s">
        <v>688</v>
      </c>
      <c r="F291" s="63" t="s">
        <v>1624</v>
      </c>
      <c r="G291" s="63" t="s">
        <v>1625</v>
      </c>
      <c r="H291" s="63" t="s">
        <v>691</v>
      </c>
      <c r="I291" s="63" t="s">
        <v>1626</v>
      </c>
      <c r="J291" s="63" t="s">
        <v>1627</v>
      </c>
      <c r="K291" s="55">
        <f t="shared" ca="1" si="4"/>
        <v>0</v>
      </c>
      <c r="L291" s="56" t="str">
        <f ca="1">IF(K291&gt;0,"Composition "&amp;SUM(K$4:K291),"")</f>
        <v/>
      </c>
      <c r="M291" s="55" cm="1">
        <f t="array" aca="1" ref="M291" ca="1">IF(K291=1,_xlfn.XLOOKUP(B291,OFFSET(IN_Zugliste!$A$4,0,0,IN_Zugliste!$A$2,1),OFFSET(IN_Zugliste!$K$4,0,0,IN_Zugliste!$A$2,1),0),0)+_xlfn.XLOOKUP(C291,OFFSET(IN_Zugliste!$A$4,0,0,IN_Zugliste!$A$2,1),OFFSET(IN_Zugliste!$K$4,0,0,IN_Zugliste!$A$2,1),0)</f>
        <v>120806</v>
      </c>
      <c r="N291" s="55" t="str" cm="1">
        <f t="array" aca="1" ref="N291" ca="1">IF(K291=1,_xlfn.XLOOKUP(B291,OFFSET(IN_Zugliste!$A$4,0,0,IN_Zugliste!$A$2,1),OFFSET(IN_Zugliste!$D$4,0,0,IN_Zugliste!$A$2,1),""),"")</f>
        <v/>
      </c>
      <c r="O291" s="55" t="str" cm="1">
        <f t="array" aca="1" ref="O291" ca="1">IF(L291&lt;&gt;"",L291,_xlfn.XLOOKUP(B291,OFFSET($C$4,0,0,$A$2,1),OFFSET($O$4,0,0,$A$2,1)))</f>
        <v>Composition 60</v>
      </c>
      <c r="P291" s="55" cm="1">
        <f t="array" aca="1" ref="P291" ca="1">MATCH(J291, _xlfn._xlws.FILTER($J$4:$J$430,$O$4:$O$430=O291), 0)+1</f>
        <v>3</v>
      </c>
      <c r="Q291" s="63" t="str">
        <f>_xlfn.XLOOKUP(B291, IN_Zugliste!A:A, IN_Zugliste!M:M, "")</f>
        <v>08:10:41</v>
      </c>
    </row>
    <row r="292" spans="1:17" ht="15" customHeight="1" x14ac:dyDescent="0.2">
      <c r="A292" s="63" t="s">
        <v>686</v>
      </c>
      <c r="B292" s="63" t="s">
        <v>666</v>
      </c>
      <c r="C292" s="63" t="s">
        <v>657</v>
      </c>
      <c r="D292" s="63" t="s">
        <v>1176</v>
      </c>
      <c r="E292" s="63" t="s">
        <v>688</v>
      </c>
      <c r="F292" s="63" t="s">
        <v>1628</v>
      </c>
      <c r="G292" s="63" t="s">
        <v>1629</v>
      </c>
      <c r="H292" s="63" t="s">
        <v>691</v>
      </c>
      <c r="I292" s="63" t="s">
        <v>1629</v>
      </c>
      <c r="J292" s="63" t="s">
        <v>1630</v>
      </c>
      <c r="K292" s="55">
        <f t="shared" ca="1" si="4"/>
        <v>0</v>
      </c>
      <c r="L292" s="56" t="str">
        <f ca="1">IF(K292&gt;0,"Composition "&amp;SUM(K$4:K292),"")</f>
        <v/>
      </c>
      <c r="M292" s="55" cm="1">
        <f t="array" aca="1" ref="M292" ca="1">IF(K292=1,_xlfn.XLOOKUP(B292,OFFSET(IN_Zugliste!$A$4,0,0,IN_Zugliste!$A$2,1),OFFSET(IN_Zugliste!$K$4,0,0,IN_Zugliste!$A$2,1),0),0)+_xlfn.XLOOKUP(C292,OFFSET(IN_Zugliste!$A$4,0,0,IN_Zugliste!$A$2,1),OFFSET(IN_Zugliste!$K$4,0,0,IN_Zugliste!$A$2,1),0)</f>
        <v>120778</v>
      </c>
      <c r="N292" s="55" t="str" cm="1">
        <f t="array" aca="1" ref="N292" ca="1">IF(K292=1,_xlfn.XLOOKUP(B292,OFFSET(IN_Zugliste!$A$4,0,0,IN_Zugliste!$A$2,1),OFFSET(IN_Zugliste!$D$4,0,0,IN_Zugliste!$A$2,1),""),"")</f>
        <v/>
      </c>
      <c r="O292" s="55" t="str" cm="1">
        <f t="array" aca="1" ref="O292" ca="1">IF(L292&lt;&gt;"",L292,_xlfn.XLOOKUP(B292,OFFSET($C$4,0,0,$A$2,1),OFFSET($O$4,0,0,$A$2,1)))</f>
        <v>Composition 60</v>
      </c>
      <c r="P292" s="55" cm="1">
        <f t="array" aca="1" ref="P292" ca="1">MATCH(J292, _xlfn._xlws.FILTER($J$4:$J$430,$O$4:$O$430=O292), 0)+1</f>
        <v>4</v>
      </c>
      <c r="Q292" s="63" t="str">
        <f>_xlfn.XLOOKUP(B292, IN_Zugliste!A:A, IN_Zugliste!M:M, "")</f>
        <v>10:42:00</v>
      </c>
    </row>
    <row r="293" spans="1:17" ht="15" customHeight="1" x14ac:dyDescent="0.2">
      <c r="A293" s="63" t="s">
        <v>686</v>
      </c>
      <c r="B293" s="63" t="s">
        <v>210</v>
      </c>
      <c r="C293" s="63" t="s">
        <v>204</v>
      </c>
      <c r="D293" s="63" t="s">
        <v>990</v>
      </c>
      <c r="E293" s="63" t="s">
        <v>688</v>
      </c>
      <c r="F293" s="63" t="s">
        <v>1523</v>
      </c>
      <c r="G293" s="63" t="s">
        <v>1631</v>
      </c>
      <c r="H293" s="63" t="s">
        <v>691</v>
      </c>
      <c r="I293" s="63" t="s">
        <v>1631</v>
      </c>
      <c r="J293" s="63" t="s">
        <v>1632</v>
      </c>
      <c r="K293" s="55">
        <f t="shared" ca="1" si="4"/>
        <v>1</v>
      </c>
      <c r="L293" s="56" t="str">
        <f ca="1">IF(K293&gt;0,"Composition "&amp;SUM(K$4:K293),"")</f>
        <v>Composition 61</v>
      </c>
      <c r="M293" s="55" cm="1">
        <f t="array" aca="1" ref="M293" ca="1">IF(K293=1,_xlfn.XLOOKUP(B293,OFFSET(IN_Zugliste!$A$4,0,0,IN_Zugliste!$A$2,1),OFFSET(IN_Zugliste!$K$4,0,0,IN_Zugliste!$A$2,1),0),0)+_xlfn.XLOOKUP(C293,OFFSET(IN_Zugliste!$A$4,0,0,IN_Zugliste!$A$2,1),OFFSET(IN_Zugliste!$K$4,0,0,IN_Zugliste!$A$2,1),0)</f>
        <v>314467</v>
      </c>
      <c r="N293" s="55" t="str" cm="1">
        <f t="array" aca="1" ref="N293" ca="1">IF(K293=1,_xlfn.XLOOKUP(B293,OFFSET(IN_Zugliste!$A$4,0,0,IN_Zugliste!$A$2,1),OFFSET(IN_Zugliste!$D$4,0,0,IN_Zugliste!$A$2,1),""),"")</f>
        <v>462-1.0</v>
      </c>
      <c r="O293" s="55" t="str" cm="1">
        <f t="array" aca="1" ref="O293" ca="1">IF(L293&lt;&gt;"",L293,_xlfn.XLOOKUP(B293,OFFSET($C$4,0,0,$A$2,1),OFFSET($O$4,0,0,$A$2,1)))</f>
        <v>Composition 61</v>
      </c>
      <c r="P293" s="55" cm="1">
        <f t="array" aca="1" ref="P293" ca="1">MATCH(J293, _xlfn._xlws.FILTER($J$4:$J$430,$O$4:$O$430=O293), 0)+1</f>
        <v>2</v>
      </c>
      <c r="Q293" s="63" t="str">
        <f>_xlfn.XLOOKUP(B293, IN_Zugliste!A:A, IN_Zugliste!M:M, "")</f>
        <v>05:22:50</v>
      </c>
    </row>
    <row r="294" spans="1:17" ht="15" customHeight="1" x14ac:dyDescent="0.2">
      <c r="A294" s="63" t="s">
        <v>686</v>
      </c>
      <c r="B294" s="63" t="s">
        <v>204</v>
      </c>
      <c r="C294" s="63" t="s">
        <v>195</v>
      </c>
      <c r="D294" s="63" t="s">
        <v>811</v>
      </c>
      <c r="E294" s="63" t="s">
        <v>688</v>
      </c>
      <c r="F294" s="63" t="s">
        <v>1633</v>
      </c>
      <c r="G294" s="63" t="s">
        <v>1634</v>
      </c>
      <c r="H294" s="63" t="s">
        <v>691</v>
      </c>
      <c r="I294" s="63" t="s">
        <v>1634</v>
      </c>
      <c r="J294" s="63" t="s">
        <v>1635</v>
      </c>
      <c r="K294" s="55">
        <f t="shared" ca="1" si="4"/>
        <v>0</v>
      </c>
      <c r="L294" s="56" t="str">
        <f ca="1">IF(K294&gt;0,"Composition "&amp;SUM(K$4:K294),"")</f>
        <v/>
      </c>
      <c r="M294" s="55" cm="1">
        <f t="array" aca="1" ref="M294" ca="1">IF(K294=1,_xlfn.XLOOKUP(B294,OFFSET(IN_Zugliste!$A$4,0,0,IN_Zugliste!$A$2,1),OFFSET(IN_Zugliste!$K$4,0,0,IN_Zugliste!$A$2,1),0),0)+_xlfn.XLOOKUP(C294,OFFSET(IN_Zugliste!$A$4,0,0,IN_Zugliste!$A$2,1),OFFSET(IN_Zugliste!$K$4,0,0,IN_Zugliste!$A$2,1),0)</f>
        <v>157858</v>
      </c>
      <c r="N294" s="55" t="str" cm="1">
        <f t="array" aca="1" ref="N294" ca="1">IF(K294=1,_xlfn.XLOOKUP(B294,OFFSET(IN_Zugliste!$A$4,0,0,IN_Zugliste!$A$2,1),OFFSET(IN_Zugliste!$D$4,0,0,IN_Zugliste!$A$2,1),""),"")</f>
        <v/>
      </c>
      <c r="O294" s="55" t="str" cm="1">
        <f t="array" aca="1" ref="O294" ca="1">IF(L294&lt;&gt;"",L294,_xlfn.XLOOKUP(B294,OFFSET($C$4,0,0,$A$2,1),OFFSET($O$4,0,0,$A$2,1)))</f>
        <v>Composition 61</v>
      </c>
      <c r="P294" s="55" cm="1">
        <f t="array" aca="1" ref="P294" ca="1">MATCH(J294, _xlfn._xlws.FILTER($J$4:$J$430,$O$4:$O$430=O294), 0)+1</f>
        <v>3</v>
      </c>
      <c r="Q294" s="63" t="str">
        <f>_xlfn.XLOOKUP(B294, IN_Zugliste!A:A, IN_Zugliste!M:M, "")</f>
        <v>08:11:52</v>
      </c>
    </row>
    <row r="295" spans="1:17" ht="15" customHeight="1" x14ac:dyDescent="0.2">
      <c r="A295" s="63" t="s">
        <v>686</v>
      </c>
      <c r="B295" s="63" t="s">
        <v>195</v>
      </c>
      <c r="C295" s="63" t="s">
        <v>187</v>
      </c>
      <c r="D295" s="63" t="s">
        <v>990</v>
      </c>
      <c r="E295" s="63" t="s">
        <v>688</v>
      </c>
      <c r="F295" s="63" t="s">
        <v>1636</v>
      </c>
      <c r="G295" s="63" t="s">
        <v>1637</v>
      </c>
      <c r="H295" s="63" t="s">
        <v>691</v>
      </c>
      <c r="I295" s="63" t="s">
        <v>1637</v>
      </c>
      <c r="J295" s="63" t="s">
        <v>1638</v>
      </c>
      <c r="K295" s="55">
        <f t="shared" ca="1" si="4"/>
        <v>0</v>
      </c>
      <c r="L295" s="56" t="str">
        <f ca="1">IF(K295&gt;0,"Composition "&amp;SUM(K$4:K295),"")</f>
        <v/>
      </c>
      <c r="M295" s="55" cm="1">
        <f t="array" aca="1" ref="M295" ca="1">IF(K295=1,_xlfn.XLOOKUP(B295,OFFSET(IN_Zugliste!$A$4,0,0,IN_Zugliste!$A$2,1),OFFSET(IN_Zugliste!$K$4,0,0,IN_Zugliste!$A$2,1),0),0)+_xlfn.XLOOKUP(C295,OFFSET(IN_Zugliste!$A$4,0,0,IN_Zugliste!$A$2,1),OFFSET(IN_Zugliste!$K$4,0,0,IN_Zugliste!$A$2,1),0)</f>
        <v>156609</v>
      </c>
      <c r="N295" s="55" t="str" cm="1">
        <f t="array" aca="1" ref="N295" ca="1">IF(K295=1,_xlfn.XLOOKUP(B295,OFFSET(IN_Zugliste!$A$4,0,0,IN_Zugliste!$A$2,1),OFFSET(IN_Zugliste!$D$4,0,0,IN_Zugliste!$A$2,1),""),"")</f>
        <v/>
      </c>
      <c r="O295" s="55" t="str" cm="1">
        <f t="array" aca="1" ref="O295" ca="1">IF(L295&lt;&gt;"",L295,_xlfn.XLOOKUP(B295,OFFSET($C$4,0,0,$A$2,1),OFFSET($O$4,0,0,$A$2,1)))</f>
        <v>Composition 61</v>
      </c>
      <c r="P295" s="55" cm="1">
        <f t="array" aca="1" ref="P295" ca="1">MATCH(J295, _xlfn._xlws.FILTER($J$4:$J$430,$O$4:$O$430=O295), 0)+1</f>
        <v>4</v>
      </c>
      <c r="Q295" s="63" t="str">
        <f>_xlfn.XLOOKUP(B295, IN_Zugliste!A:A, IN_Zugliste!M:M, "")</f>
        <v>10:53:24</v>
      </c>
    </row>
    <row r="296" spans="1:17" ht="15" customHeight="1" x14ac:dyDescent="0.2">
      <c r="A296" s="63" t="s">
        <v>686</v>
      </c>
      <c r="B296" s="63" t="s">
        <v>232</v>
      </c>
      <c r="C296" s="63" t="s">
        <v>226</v>
      </c>
      <c r="D296" s="63" t="s">
        <v>811</v>
      </c>
      <c r="E296" s="63" t="s">
        <v>688</v>
      </c>
      <c r="F296" s="63" t="s">
        <v>1639</v>
      </c>
      <c r="G296" s="63" t="s">
        <v>1640</v>
      </c>
      <c r="H296" s="63" t="s">
        <v>691</v>
      </c>
      <c r="I296" s="63" t="s">
        <v>1640</v>
      </c>
      <c r="J296" s="63" t="s">
        <v>1641</v>
      </c>
      <c r="K296" s="55">
        <f t="shared" ca="1" si="4"/>
        <v>1</v>
      </c>
      <c r="L296" s="56" t="str">
        <f ca="1">IF(K296&gt;0,"Composition "&amp;SUM(K$4:K296),"")</f>
        <v>Composition 62</v>
      </c>
      <c r="M296" s="55" cm="1">
        <f t="array" aca="1" ref="M296" ca="1">IF(K296=1,_xlfn.XLOOKUP(B296,OFFSET(IN_Zugliste!$A$4,0,0,IN_Zugliste!$A$2,1),OFFSET(IN_Zugliste!$K$4,0,0,IN_Zugliste!$A$2,1),0),0)+_xlfn.XLOOKUP(C296,OFFSET(IN_Zugliste!$A$4,0,0,IN_Zugliste!$A$2,1),OFFSET(IN_Zugliste!$K$4,0,0,IN_Zugliste!$A$2,1),0)</f>
        <v>319483</v>
      </c>
      <c r="N296" s="55" t="str" cm="1">
        <f t="array" aca="1" ref="N296" ca="1">IF(K296=1,_xlfn.XLOOKUP(B296,OFFSET(IN_Zugliste!$A$4,0,0,IN_Zugliste!$A$2,1),OFFSET(IN_Zugliste!$D$4,0,0,IN_Zugliste!$A$2,1),""),"")</f>
        <v>462-1.0</v>
      </c>
      <c r="O296" s="55" t="str" cm="1">
        <f t="array" aca="1" ref="O296" ca="1">IF(L296&lt;&gt;"",L296,_xlfn.XLOOKUP(B296,OFFSET($C$4,0,0,$A$2,1),OFFSET($O$4,0,0,$A$2,1)))</f>
        <v>Composition 62</v>
      </c>
      <c r="P296" s="55" cm="1">
        <f t="array" aca="1" ref="P296" ca="1">MATCH(J296, _xlfn._xlws.FILTER($J$4:$J$430,$O$4:$O$430=O296), 0)+1</f>
        <v>2</v>
      </c>
      <c r="Q296" s="63" t="str">
        <f>_xlfn.XLOOKUP(B296, IN_Zugliste!A:A, IN_Zugliste!M:M, "")</f>
        <v>05:23:38</v>
      </c>
    </row>
    <row r="297" spans="1:17" ht="15" customHeight="1" x14ac:dyDescent="0.2">
      <c r="A297" s="63" t="s">
        <v>686</v>
      </c>
      <c r="B297" s="63" t="s">
        <v>226</v>
      </c>
      <c r="C297" s="63" t="s">
        <v>173</v>
      </c>
      <c r="D297" s="63" t="s">
        <v>1068</v>
      </c>
      <c r="E297" s="63" t="s">
        <v>688</v>
      </c>
      <c r="F297" s="63" t="s">
        <v>1642</v>
      </c>
      <c r="G297" s="63" t="s">
        <v>1643</v>
      </c>
      <c r="H297" s="63" t="s">
        <v>817</v>
      </c>
      <c r="I297" s="63" t="s">
        <v>1643</v>
      </c>
      <c r="J297" s="63" t="s">
        <v>1644</v>
      </c>
      <c r="K297" s="55">
        <f t="shared" ca="1" si="4"/>
        <v>0</v>
      </c>
      <c r="L297" s="56" t="str">
        <f ca="1">IF(K297&gt;0,"Composition "&amp;SUM(K$4:K297),"")</f>
        <v/>
      </c>
      <c r="M297" s="55" cm="1">
        <f t="array" aca="1" ref="M297" ca="1">IF(K297=1,_xlfn.XLOOKUP(B297,OFFSET(IN_Zugliste!$A$4,0,0,IN_Zugliste!$A$2,1),OFFSET(IN_Zugliste!$K$4,0,0,IN_Zugliste!$A$2,1),0),0)+_xlfn.XLOOKUP(C297,OFFSET(IN_Zugliste!$A$4,0,0,IN_Zugliste!$A$2,1),OFFSET(IN_Zugliste!$K$4,0,0,IN_Zugliste!$A$2,1),0)</f>
        <v>159764</v>
      </c>
      <c r="N297" s="55" t="str" cm="1">
        <f t="array" aca="1" ref="N297" ca="1">IF(K297=1,_xlfn.XLOOKUP(B297,OFFSET(IN_Zugliste!$A$4,0,0,IN_Zugliste!$A$2,1),OFFSET(IN_Zugliste!$D$4,0,0,IN_Zugliste!$A$2,1),""),"")</f>
        <v/>
      </c>
      <c r="O297" s="55" t="str" cm="1">
        <f t="array" aca="1" ref="O297" ca="1">IF(L297&lt;&gt;"",L297,_xlfn.XLOOKUP(B297,OFFSET($C$4,0,0,$A$2,1),OFFSET($O$4,0,0,$A$2,1)))</f>
        <v>Composition 62</v>
      </c>
      <c r="P297" s="55" cm="1">
        <f t="array" aca="1" ref="P297" ca="1">MATCH(J297, _xlfn._xlws.FILTER($J$4:$J$430,$O$4:$O$430=O297), 0)+1</f>
        <v>3</v>
      </c>
      <c r="Q297" s="63" t="str">
        <f>_xlfn.XLOOKUP(B297, IN_Zugliste!A:A, IN_Zugliste!M:M, "")</f>
        <v>08:12:58</v>
      </c>
    </row>
    <row r="298" spans="1:17" ht="15" customHeight="1" x14ac:dyDescent="0.2">
      <c r="A298" s="63" t="s">
        <v>686</v>
      </c>
      <c r="B298" s="63" t="s">
        <v>173</v>
      </c>
      <c r="C298" s="63" t="s">
        <v>165</v>
      </c>
      <c r="D298" s="63" t="s">
        <v>811</v>
      </c>
      <c r="E298" s="63" t="s">
        <v>688</v>
      </c>
      <c r="F298" s="63" t="s">
        <v>1490</v>
      </c>
      <c r="G298" s="63" t="s">
        <v>1645</v>
      </c>
      <c r="H298" s="63" t="s">
        <v>691</v>
      </c>
      <c r="I298" s="63" t="s">
        <v>1645</v>
      </c>
      <c r="J298" s="63" t="s">
        <v>1646</v>
      </c>
      <c r="K298" s="55">
        <f t="shared" ca="1" si="4"/>
        <v>0</v>
      </c>
      <c r="L298" s="56" t="str">
        <f ca="1">IF(K298&gt;0,"Composition "&amp;SUM(K$4:K298),"")</f>
        <v/>
      </c>
      <c r="M298" s="55" cm="1">
        <f t="array" aca="1" ref="M298" ca="1">IF(K298=1,_xlfn.XLOOKUP(B298,OFFSET(IN_Zugliste!$A$4,0,0,IN_Zugliste!$A$2,1),OFFSET(IN_Zugliste!$K$4,0,0,IN_Zugliste!$A$2,1),0),0)+_xlfn.XLOOKUP(C298,OFFSET(IN_Zugliste!$A$4,0,0,IN_Zugliste!$A$2,1),OFFSET(IN_Zugliste!$K$4,0,0,IN_Zugliste!$A$2,1),0)</f>
        <v>159719</v>
      </c>
      <c r="N298" s="55" t="str" cm="1">
        <f t="array" aca="1" ref="N298" ca="1">IF(K298=1,_xlfn.XLOOKUP(B298,OFFSET(IN_Zugliste!$A$4,0,0,IN_Zugliste!$A$2,1),OFFSET(IN_Zugliste!$D$4,0,0,IN_Zugliste!$A$2,1),""),"")</f>
        <v/>
      </c>
      <c r="O298" s="55" t="str" cm="1">
        <f t="array" aca="1" ref="O298" ca="1">IF(L298&lt;&gt;"",L298,_xlfn.XLOOKUP(B298,OFFSET($C$4,0,0,$A$2,1),OFFSET($O$4,0,0,$A$2,1)))</f>
        <v>Composition 62</v>
      </c>
      <c r="P298" s="55" cm="1">
        <f t="array" aca="1" ref="P298" ca="1">MATCH(J298, _xlfn._xlws.FILTER($J$4:$J$430,$O$4:$O$430=O298), 0)+1</f>
        <v>4</v>
      </c>
      <c r="Q298" s="63" t="str">
        <f>_xlfn.XLOOKUP(B298, IN_Zugliste!A:A, IN_Zugliste!M:M, "")</f>
        <v>10:55:42</v>
      </c>
    </row>
    <row r="299" spans="1:17" ht="15" customHeight="1" x14ac:dyDescent="0.2">
      <c r="A299" s="63" t="s">
        <v>686</v>
      </c>
      <c r="B299" s="63" t="s">
        <v>456</v>
      </c>
      <c r="C299" s="63" t="s">
        <v>450</v>
      </c>
      <c r="D299" s="63" t="s">
        <v>1517</v>
      </c>
      <c r="E299" s="63" t="s">
        <v>688</v>
      </c>
      <c r="F299" s="63" t="s">
        <v>1647</v>
      </c>
      <c r="G299" s="63" t="s">
        <v>1648</v>
      </c>
      <c r="H299" s="63" t="s">
        <v>691</v>
      </c>
      <c r="I299" s="63" t="s">
        <v>1648</v>
      </c>
      <c r="J299" s="63" t="s">
        <v>1649</v>
      </c>
      <c r="K299" s="55">
        <f t="shared" ca="1" si="4"/>
        <v>1</v>
      </c>
      <c r="L299" s="56" t="str">
        <f ca="1">IF(K299&gt;0,"Composition "&amp;SUM(K$4:K299),"")</f>
        <v>Composition 63</v>
      </c>
      <c r="M299" s="55" cm="1">
        <f t="array" aca="1" ref="M299" ca="1">IF(K299=1,_xlfn.XLOOKUP(B299,OFFSET(IN_Zugliste!$A$4,0,0,IN_Zugliste!$A$2,1),OFFSET(IN_Zugliste!$K$4,0,0,IN_Zugliste!$A$2,1),0),0)+_xlfn.XLOOKUP(C299,OFFSET(IN_Zugliste!$A$4,0,0,IN_Zugliste!$A$2,1),OFFSET(IN_Zugliste!$K$4,0,0,IN_Zugliste!$A$2,1),0)</f>
        <v>482580</v>
      </c>
      <c r="N299" s="55" t="str" cm="1">
        <f t="array" aca="1" ref="N299" ca="1">IF(K299=1,_xlfn.XLOOKUP(B299,OFFSET(IN_Zugliste!$A$4,0,0,IN_Zugliste!$A$2,1),OFFSET(IN_Zugliste!$D$4,0,0,IN_Zugliste!$A$2,1),""),"")</f>
        <v>462-1.0</v>
      </c>
      <c r="O299" s="55" t="str" cm="1">
        <f t="array" aca="1" ref="O299" ca="1">IF(L299&lt;&gt;"",L299,_xlfn.XLOOKUP(B299,OFFSET($C$4,0,0,$A$2,1),OFFSET($O$4,0,0,$A$2,1)))</f>
        <v>Composition 63</v>
      </c>
      <c r="P299" s="55" cm="1">
        <f t="array" aca="1" ref="P299" ca="1">MATCH(J299, _xlfn._xlws.FILTER($J$4:$J$430,$O$4:$O$430=O299), 0)+1</f>
        <v>2</v>
      </c>
      <c r="Q299" s="63" t="str">
        <f>_xlfn.XLOOKUP(B299, IN_Zugliste!A:A, IN_Zugliste!M:M, "")</f>
        <v>04:54:09</v>
      </c>
    </row>
    <row r="300" spans="1:17" ht="15" customHeight="1" x14ac:dyDescent="0.2">
      <c r="A300" s="63" t="s">
        <v>686</v>
      </c>
      <c r="B300" s="63" t="s">
        <v>450</v>
      </c>
      <c r="C300" s="63" t="s">
        <v>421</v>
      </c>
      <c r="D300" s="63" t="s">
        <v>1068</v>
      </c>
      <c r="E300" s="63" t="s">
        <v>688</v>
      </c>
      <c r="F300" s="63" t="s">
        <v>1650</v>
      </c>
      <c r="G300" s="63" t="s">
        <v>1651</v>
      </c>
      <c r="H300" s="63" t="s">
        <v>691</v>
      </c>
      <c r="I300" s="63" t="s">
        <v>1651</v>
      </c>
      <c r="J300" s="63" t="s">
        <v>1652</v>
      </c>
      <c r="K300" s="55">
        <f t="shared" ca="1" si="4"/>
        <v>0</v>
      </c>
      <c r="L300" s="56" t="str">
        <f ca="1">IF(K300&gt;0,"Composition "&amp;SUM(K$4:K300),"")</f>
        <v/>
      </c>
      <c r="M300" s="55" cm="1">
        <f t="array" aca="1" ref="M300" ca="1">IF(K300=1,_xlfn.XLOOKUP(B300,OFFSET(IN_Zugliste!$A$4,0,0,IN_Zugliste!$A$2,1),OFFSET(IN_Zugliste!$K$4,0,0,IN_Zugliste!$A$2,1),0),0)+_xlfn.XLOOKUP(C300,OFFSET(IN_Zugliste!$A$4,0,0,IN_Zugliste!$A$2,1),OFFSET(IN_Zugliste!$K$4,0,0,IN_Zugliste!$A$2,1),0)</f>
        <v>238472</v>
      </c>
      <c r="N300" s="55" t="str" cm="1">
        <f t="array" aca="1" ref="N300" ca="1">IF(K300=1,_xlfn.XLOOKUP(B300,OFFSET(IN_Zugliste!$A$4,0,0,IN_Zugliste!$A$2,1),OFFSET(IN_Zugliste!$D$4,0,0,IN_Zugliste!$A$2,1),""),"")</f>
        <v/>
      </c>
      <c r="O300" s="55" t="str" cm="1">
        <f t="array" aca="1" ref="O300" ca="1">IF(L300&lt;&gt;"",L300,_xlfn.XLOOKUP(B300,OFFSET($C$4,0,0,$A$2,1),OFFSET($O$4,0,0,$A$2,1)))</f>
        <v>Composition 63</v>
      </c>
      <c r="P300" s="55" cm="1">
        <f t="array" aca="1" ref="P300" ca="1">MATCH(J300, _xlfn._xlws.FILTER($J$4:$J$430,$O$4:$O$430=O300), 0)+1</f>
        <v>3</v>
      </c>
      <c r="Q300" s="63" t="str">
        <f>_xlfn.XLOOKUP(B300, IN_Zugliste!A:A, IN_Zugliste!M:M, "")</f>
        <v>08:19:36</v>
      </c>
    </row>
    <row r="301" spans="1:17" ht="15" customHeight="1" x14ac:dyDescent="0.2">
      <c r="A301" s="63" t="s">
        <v>686</v>
      </c>
      <c r="B301" s="63" t="s">
        <v>382</v>
      </c>
      <c r="C301" s="63" t="s">
        <v>395</v>
      </c>
      <c r="D301" s="63" t="s">
        <v>1068</v>
      </c>
      <c r="E301" s="63" t="s">
        <v>688</v>
      </c>
      <c r="F301" s="63" t="s">
        <v>1653</v>
      </c>
      <c r="G301" s="63" t="s">
        <v>1654</v>
      </c>
      <c r="H301" s="63" t="s">
        <v>691</v>
      </c>
      <c r="I301" s="63" t="s">
        <v>1655</v>
      </c>
      <c r="J301" s="63" t="s">
        <v>1656</v>
      </c>
      <c r="K301" s="55">
        <f t="shared" ca="1" si="4"/>
        <v>1</v>
      </c>
      <c r="L301" s="56" t="str">
        <f ca="1">IF(K301&gt;0,"Composition "&amp;SUM(K$4:K301),"")</f>
        <v>Composition 64</v>
      </c>
      <c r="M301" s="55" cm="1">
        <f t="array" aca="1" ref="M301" ca="1">IF(K301=1,_xlfn.XLOOKUP(B301,OFFSET(IN_Zugliste!$A$4,0,0,IN_Zugliste!$A$2,1),OFFSET(IN_Zugliste!$K$4,0,0,IN_Zugliste!$A$2,1),0),0)+_xlfn.XLOOKUP(C301,OFFSET(IN_Zugliste!$A$4,0,0,IN_Zugliste!$A$2,1),OFFSET(IN_Zugliste!$K$4,0,0,IN_Zugliste!$A$2,1),0)</f>
        <v>267616</v>
      </c>
      <c r="N301" s="55" t="str" cm="1">
        <f t="array" aca="1" ref="N301" ca="1">IF(K301=1,_xlfn.XLOOKUP(B301,OFFSET(IN_Zugliste!$A$4,0,0,IN_Zugliste!$A$2,1),OFFSET(IN_Zugliste!$D$4,0,0,IN_Zugliste!$A$2,1),""),"")</f>
        <v>146-3.2</v>
      </c>
      <c r="O301" s="55" t="str" cm="1">
        <f t="array" aca="1" ref="O301" ca="1">IF(L301&lt;&gt;"",L301,_xlfn.XLOOKUP(B301,OFFSET($C$4,0,0,$A$2,1),OFFSET($O$4,0,0,$A$2,1)))</f>
        <v>Composition 64</v>
      </c>
      <c r="P301" s="55" cm="1">
        <f t="array" aca="1" ref="P301" ca="1">MATCH(J301, _xlfn._xlws.FILTER($J$4:$J$430,$O$4:$O$430=O301), 0)+1</f>
        <v>2</v>
      </c>
      <c r="Q301" s="63" t="str">
        <f>_xlfn.XLOOKUP(B301, IN_Zugliste!A:A, IN_Zugliste!M:M, "")</f>
        <v>06:02:08</v>
      </c>
    </row>
    <row r="302" spans="1:17" ht="15" customHeight="1" x14ac:dyDescent="0.2">
      <c r="A302" s="63" t="s">
        <v>686</v>
      </c>
      <c r="B302" s="63" t="s">
        <v>395</v>
      </c>
      <c r="C302" s="63" t="s">
        <v>320</v>
      </c>
      <c r="D302" s="63" t="s">
        <v>1064</v>
      </c>
      <c r="E302" s="63" t="s">
        <v>688</v>
      </c>
      <c r="F302" s="63" t="s">
        <v>1657</v>
      </c>
      <c r="G302" s="63" t="s">
        <v>1658</v>
      </c>
      <c r="H302" s="63" t="s">
        <v>691</v>
      </c>
      <c r="I302" s="63" t="s">
        <v>1659</v>
      </c>
      <c r="J302" s="63" t="s">
        <v>1660</v>
      </c>
      <c r="K302" s="55">
        <f t="shared" ca="1" si="4"/>
        <v>0</v>
      </c>
      <c r="L302" s="56" t="str">
        <f ca="1">IF(K302&gt;0,"Composition "&amp;SUM(K$4:K302),"")</f>
        <v/>
      </c>
      <c r="M302" s="55" cm="1">
        <f t="array" aca="1" ref="M302" ca="1">IF(K302=1,_xlfn.XLOOKUP(B302,OFFSET(IN_Zugliste!$A$4,0,0,IN_Zugliste!$A$2,1),OFFSET(IN_Zugliste!$K$4,0,0,IN_Zugliste!$A$2,1),0),0)+_xlfn.XLOOKUP(C302,OFFSET(IN_Zugliste!$A$4,0,0,IN_Zugliste!$A$2,1),OFFSET(IN_Zugliste!$K$4,0,0,IN_Zugliste!$A$2,1),0)</f>
        <v>62240</v>
      </c>
      <c r="N302" s="55" t="str" cm="1">
        <f t="array" aca="1" ref="N302" ca="1">IF(K302=1,_xlfn.XLOOKUP(B302,OFFSET(IN_Zugliste!$A$4,0,0,IN_Zugliste!$A$2,1),OFFSET(IN_Zugliste!$D$4,0,0,IN_Zugliste!$A$2,1),""),"")</f>
        <v/>
      </c>
      <c r="O302" s="55" t="str" cm="1">
        <f t="array" aca="1" ref="O302" ca="1">IF(L302&lt;&gt;"",L302,_xlfn.XLOOKUP(B302,OFFSET($C$4,0,0,$A$2,1),OFFSET($O$4,0,0,$A$2,1)))</f>
        <v>Composition 64</v>
      </c>
      <c r="P302" s="55" cm="1">
        <f t="array" aca="1" ref="P302" ca="1">MATCH(J302, _xlfn._xlws.FILTER($J$4:$J$430,$O$4:$O$430=O302), 0)+1</f>
        <v>3</v>
      </c>
      <c r="Q302" s="63" t="str">
        <f>_xlfn.XLOOKUP(B302, IN_Zugliste!A:A, IN_Zugliste!M:M, "")</f>
        <v>08:23:12</v>
      </c>
    </row>
    <row r="303" spans="1:17" ht="15" customHeight="1" x14ac:dyDescent="0.2">
      <c r="A303" s="63" t="s">
        <v>686</v>
      </c>
      <c r="B303" s="63" t="s">
        <v>320</v>
      </c>
      <c r="C303" s="63" t="s">
        <v>300</v>
      </c>
      <c r="D303" s="63" t="s">
        <v>727</v>
      </c>
      <c r="E303" s="63" t="s">
        <v>688</v>
      </c>
      <c r="F303" s="63" t="s">
        <v>1661</v>
      </c>
      <c r="G303" s="63" t="s">
        <v>885</v>
      </c>
      <c r="H303" s="63" t="s">
        <v>691</v>
      </c>
      <c r="I303" s="63" t="s">
        <v>885</v>
      </c>
      <c r="J303" s="63" t="s">
        <v>1662</v>
      </c>
      <c r="K303" s="55">
        <f t="shared" ca="1" si="4"/>
        <v>0</v>
      </c>
      <c r="L303" s="56" t="str">
        <f ca="1">IF(K303&gt;0,"Composition "&amp;SUM(K$4:K303),"")</f>
        <v/>
      </c>
      <c r="M303" s="55" cm="1">
        <f t="array" aca="1" ref="M303" ca="1">IF(K303=1,_xlfn.XLOOKUP(B303,OFFSET(IN_Zugliste!$A$4,0,0,IN_Zugliste!$A$2,1),OFFSET(IN_Zugliste!$K$4,0,0,IN_Zugliste!$A$2,1),0),0)+_xlfn.XLOOKUP(C303,OFFSET(IN_Zugliste!$A$4,0,0,IN_Zugliste!$A$2,1),OFFSET(IN_Zugliste!$K$4,0,0,IN_Zugliste!$A$2,1),0)</f>
        <v>76074</v>
      </c>
      <c r="N303" s="55" t="str" cm="1">
        <f t="array" aca="1" ref="N303" ca="1">IF(K303=1,_xlfn.XLOOKUP(B303,OFFSET(IN_Zugliste!$A$4,0,0,IN_Zugliste!$A$2,1),OFFSET(IN_Zugliste!$D$4,0,0,IN_Zugliste!$A$2,1),""),"")</f>
        <v/>
      </c>
      <c r="O303" s="55" t="str" cm="1">
        <f t="array" aca="1" ref="O303" ca="1">IF(L303&lt;&gt;"",L303,_xlfn.XLOOKUP(B303,OFFSET($C$4,0,0,$A$2,1),OFFSET($O$4,0,0,$A$2,1)))</f>
        <v>Composition 64</v>
      </c>
      <c r="P303" s="55" cm="1">
        <f t="array" aca="1" ref="P303" ca="1">MATCH(J303, _xlfn._xlws.FILTER($J$4:$J$430,$O$4:$O$430=O303), 0)+1</f>
        <v>4</v>
      </c>
      <c r="Q303" s="63" t="str">
        <f>_xlfn.XLOOKUP(B303, IN_Zugliste!A:A, IN_Zugliste!M:M, "")</f>
        <v>10:35:33</v>
      </c>
    </row>
    <row r="304" spans="1:17" ht="15" customHeight="1" x14ac:dyDescent="0.2">
      <c r="A304" s="63" t="s">
        <v>686</v>
      </c>
      <c r="B304" s="63" t="s">
        <v>300</v>
      </c>
      <c r="C304" s="63" t="s">
        <v>304</v>
      </c>
      <c r="D304" s="63" t="s">
        <v>1080</v>
      </c>
      <c r="E304" s="63" t="s">
        <v>688</v>
      </c>
      <c r="F304" s="63" t="s">
        <v>1663</v>
      </c>
      <c r="G304" s="63" t="s">
        <v>1664</v>
      </c>
      <c r="H304" s="63" t="s">
        <v>691</v>
      </c>
      <c r="I304" s="63" t="s">
        <v>1664</v>
      </c>
      <c r="J304" s="63" t="s">
        <v>810</v>
      </c>
      <c r="K304" s="55">
        <f t="shared" ca="1" si="4"/>
        <v>0</v>
      </c>
      <c r="L304" s="56" t="str">
        <f ca="1">IF(K304&gt;0,"Composition "&amp;SUM(K$4:K304),"")</f>
        <v/>
      </c>
      <c r="M304" s="55" cm="1">
        <f t="array" aca="1" ref="M304" ca="1">IF(K304=1,_xlfn.XLOOKUP(B304,OFFSET(IN_Zugliste!$A$4,0,0,IN_Zugliste!$A$2,1),OFFSET(IN_Zugliste!$K$4,0,0,IN_Zugliste!$A$2,1),0),0)+_xlfn.XLOOKUP(C304,OFFSET(IN_Zugliste!$A$4,0,0,IN_Zugliste!$A$2,1),OFFSET(IN_Zugliste!$K$4,0,0,IN_Zugliste!$A$2,1),0)</f>
        <v>75928</v>
      </c>
      <c r="N304" s="55" t="str" cm="1">
        <f t="array" aca="1" ref="N304" ca="1">IF(K304=1,_xlfn.XLOOKUP(B304,OFFSET(IN_Zugliste!$A$4,0,0,IN_Zugliste!$A$2,1),OFFSET(IN_Zugliste!$D$4,0,0,IN_Zugliste!$A$2,1),""),"")</f>
        <v/>
      </c>
      <c r="O304" s="55" t="str" cm="1">
        <f t="array" aca="1" ref="O304" ca="1">IF(L304&lt;&gt;"",L304,_xlfn.XLOOKUP(B304,OFFSET($C$4,0,0,$A$2,1),OFFSET($O$4,0,0,$A$2,1)))</f>
        <v>Composition 64</v>
      </c>
      <c r="P304" s="55" cm="1">
        <f t="array" aca="1" ref="P304" ca="1">MATCH(J304, _xlfn._xlws.FILTER($J$4:$J$430,$O$4:$O$430=O304), 0)+1</f>
        <v>5</v>
      </c>
      <c r="Q304" s="63" t="str">
        <f>_xlfn.XLOOKUP(B304, IN_Zugliste!A:A, IN_Zugliste!M:M, "")</f>
        <v>12:03:46</v>
      </c>
    </row>
    <row r="305" spans="1:17" ht="15" customHeight="1" x14ac:dyDescent="0.2">
      <c r="A305" s="63" t="s">
        <v>686</v>
      </c>
      <c r="B305" s="63" t="s">
        <v>110</v>
      </c>
      <c r="C305" s="63" t="s">
        <v>127</v>
      </c>
      <c r="D305" s="63" t="s">
        <v>723</v>
      </c>
      <c r="E305" s="63" t="s">
        <v>688</v>
      </c>
      <c r="F305" s="63" t="s">
        <v>1665</v>
      </c>
      <c r="G305" s="63" t="s">
        <v>1666</v>
      </c>
      <c r="H305" s="63" t="s">
        <v>691</v>
      </c>
      <c r="I305" s="63" t="s">
        <v>1666</v>
      </c>
      <c r="J305" s="63" t="s">
        <v>1667</v>
      </c>
      <c r="K305" s="55">
        <f t="shared" ca="1" si="4"/>
        <v>1</v>
      </c>
      <c r="L305" s="56" t="str">
        <f ca="1">IF(K305&gt;0,"Composition "&amp;SUM(K$4:K305),"")</f>
        <v>Composition 65</v>
      </c>
      <c r="M305" s="55" cm="1">
        <f t="array" aca="1" ref="M305" ca="1">IF(K305=1,_xlfn.XLOOKUP(B305,OFFSET(IN_Zugliste!$A$4,0,0,IN_Zugliste!$A$2,1),OFFSET(IN_Zugliste!$K$4,0,0,IN_Zugliste!$A$2,1),0),0)+_xlfn.XLOOKUP(C305,OFFSET(IN_Zugliste!$A$4,0,0,IN_Zugliste!$A$2,1),OFFSET(IN_Zugliste!$K$4,0,0,IN_Zugliste!$A$2,1),0)</f>
        <v>360401</v>
      </c>
      <c r="N305" s="55" t="str" cm="1">
        <f t="array" aca="1" ref="N305" ca="1">IF(K305=1,_xlfn.XLOOKUP(B305,OFFSET(IN_Zugliste!$A$4,0,0,IN_Zugliste!$A$2,1),OFFSET(IN_Zugliste!$D$4,0,0,IN_Zugliste!$A$2,1),""),"")</f>
        <v>462-1.0</v>
      </c>
      <c r="O305" s="55" t="str" cm="1">
        <f t="array" aca="1" ref="O305" ca="1">IF(L305&lt;&gt;"",L305,_xlfn.XLOOKUP(B305,OFFSET($C$4,0,0,$A$2,1),OFFSET($O$4,0,0,$A$2,1)))</f>
        <v>Composition 65</v>
      </c>
      <c r="P305" s="55" cm="1">
        <f t="array" aca="1" ref="P305" ca="1">MATCH(J305, _xlfn._xlws.FILTER($J$4:$J$430,$O$4:$O$430=O305), 0)+1</f>
        <v>2</v>
      </c>
      <c r="Q305" s="63" t="str">
        <f>_xlfn.XLOOKUP(B305, IN_Zugliste!A:A, IN_Zugliste!M:M, "")</f>
        <v>05:34:27</v>
      </c>
    </row>
    <row r="306" spans="1:17" ht="15" customHeight="1" x14ac:dyDescent="0.2">
      <c r="A306" s="63" t="s">
        <v>686</v>
      </c>
      <c r="B306" s="63" t="s">
        <v>127</v>
      </c>
      <c r="C306" s="63" t="s">
        <v>141</v>
      </c>
      <c r="D306" s="63" t="s">
        <v>994</v>
      </c>
      <c r="E306" s="63" t="s">
        <v>688</v>
      </c>
      <c r="F306" s="63" t="s">
        <v>1668</v>
      </c>
      <c r="G306" s="63" t="s">
        <v>1669</v>
      </c>
      <c r="H306" s="63" t="s">
        <v>691</v>
      </c>
      <c r="I306" s="63" t="s">
        <v>1669</v>
      </c>
      <c r="J306" s="63" t="s">
        <v>1670</v>
      </c>
      <c r="K306" s="55">
        <f t="shared" ca="1" si="4"/>
        <v>0</v>
      </c>
      <c r="L306" s="56" t="str">
        <f ca="1">IF(K306&gt;0,"Composition "&amp;SUM(K$4:K306),"")</f>
        <v/>
      </c>
      <c r="M306" s="55" cm="1">
        <f t="array" aca="1" ref="M306" ca="1">IF(K306=1,_xlfn.XLOOKUP(B306,OFFSET(IN_Zugliste!$A$4,0,0,IN_Zugliste!$A$2,1),OFFSET(IN_Zugliste!$K$4,0,0,IN_Zugliste!$A$2,1),0),0)+_xlfn.XLOOKUP(C306,OFFSET(IN_Zugliste!$A$4,0,0,IN_Zugliste!$A$2,1),OFFSET(IN_Zugliste!$K$4,0,0,IN_Zugliste!$A$2,1),0)</f>
        <v>180175</v>
      </c>
      <c r="N306" s="55" t="str" cm="1">
        <f t="array" aca="1" ref="N306" ca="1">IF(K306=1,_xlfn.XLOOKUP(B306,OFFSET(IN_Zugliste!$A$4,0,0,IN_Zugliste!$A$2,1),OFFSET(IN_Zugliste!$D$4,0,0,IN_Zugliste!$A$2,1),""),"")</f>
        <v/>
      </c>
      <c r="O306" s="55" t="str" cm="1">
        <f t="array" aca="1" ref="O306" ca="1">IF(L306&lt;&gt;"",L306,_xlfn.XLOOKUP(B306,OFFSET($C$4,0,0,$A$2,1),OFFSET($O$4,0,0,$A$2,1)))</f>
        <v>Composition 65</v>
      </c>
      <c r="P306" s="55" cm="1">
        <f t="array" aca="1" ref="P306" ca="1">MATCH(J306, _xlfn._xlws.FILTER($J$4:$J$430,$O$4:$O$430=O306), 0)+1</f>
        <v>3</v>
      </c>
      <c r="Q306" s="63" t="str">
        <f>_xlfn.XLOOKUP(B306, IN_Zugliste!A:A, IN_Zugliste!M:M, "")</f>
        <v>08:22:31</v>
      </c>
    </row>
    <row r="307" spans="1:17" ht="15" customHeight="1" x14ac:dyDescent="0.2">
      <c r="A307" s="63" t="s">
        <v>686</v>
      </c>
      <c r="B307" s="63" t="s">
        <v>141</v>
      </c>
      <c r="C307" s="63" t="s">
        <v>146</v>
      </c>
      <c r="D307" s="63" t="s">
        <v>723</v>
      </c>
      <c r="E307" s="63" t="s">
        <v>688</v>
      </c>
      <c r="F307" s="63" t="s">
        <v>1671</v>
      </c>
      <c r="G307" s="63" t="s">
        <v>1672</v>
      </c>
      <c r="H307" s="63" t="s">
        <v>691</v>
      </c>
      <c r="I307" s="63" t="s">
        <v>1672</v>
      </c>
      <c r="J307" s="63" t="s">
        <v>1673</v>
      </c>
      <c r="K307" s="55">
        <f t="shared" ca="1" si="4"/>
        <v>0</v>
      </c>
      <c r="L307" s="56" t="str">
        <f ca="1">IF(K307&gt;0,"Composition "&amp;SUM(K$4:K307),"")</f>
        <v/>
      </c>
      <c r="M307" s="55" cm="1">
        <f t="array" aca="1" ref="M307" ca="1">IF(K307=1,_xlfn.XLOOKUP(B307,OFFSET(IN_Zugliste!$A$4,0,0,IN_Zugliste!$A$2,1),OFFSET(IN_Zugliste!$K$4,0,0,IN_Zugliste!$A$2,1),0),0)+_xlfn.XLOOKUP(C307,OFFSET(IN_Zugliste!$A$4,0,0,IN_Zugliste!$A$2,1),OFFSET(IN_Zugliste!$K$4,0,0,IN_Zugliste!$A$2,1),0)</f>
        <v>180226</v>
      </c>
      <c r="N307" s="55" t="str" cm="1">
        <f t="array" aca="1" ref="N307" ca="1">IF(K307=1,_xlfn.XLOOKUP(B307,OFFSET(IN_Zugliste!$A$4,0,0,IN_Zugliste!$A$2,1),OFFSET(IN_Zugliste!$D$4,0,0,IN_Zugliste!$A$2,1),""),"")</f>
        <v/>
      </c>
      <c r="O307" s="55" t="str" cm="1">
        <f t="array" aca="1" ref="O307" ca="1">IF(L307&lt;&gt;"",L307,_xlfn.XLOOKUP(B307,OFFSET($C$4,0,0,$A$2,1),OFFSET($O$4,0,0,$A$2,1)))</f>
        <v>Composition 65</v>
      </c>
      <c r="P307" s="55" cm="1">
        <f t="array" aca="1" ref="P307" ca="1">MATCH(J307, _xlfn._xlws.FILTER($J$4:$J$430,$O$4:$O$430=O307), 0)+1</f>
        <v>4</v>
      </c>
      <c r="Q307" s="63" t="str">
        <f>_xlfn.XLOOKUP(B307, IN_Zugliste!A:A, IN_Zugliste!M:M, "")</f>
        <v>11:04:18</v>
      </c>
    </row>
    <row r="308" spans="1:17" ht="15" customHeight="1" x14ac:dyDescent="0.2">
      <c r="A308" s="63" t="s">
        <v>686</v>
      </c>
      <c r="B308" s="63" t="s">
        <v>177</v>
      </c>
      <c r="C308" s="63" t="s">
        <v>215</v>
      </c>
      <c r="D308" s="63" t="s">
        <v>811</v>
      </c>
      <c r="E308" s="63" t="s">
        <v>688</v>
      </c>
      <c r="F308" s="63" t="s">
        <v>1674</v>
      </c>
      <c r="G308" s="63" t="s">
        <v>1675</v>
      </c>
      <c r="H308" s="63" t="s">
        <v>691</v>
      </c>
      <c r="I308" s="63" t="s">
        <v>1675</v>
      </c>
      <c r="J308" s="63" t="s">
        <v>1676</v>
      </c>
      <c r="K308" s="55">
        <f t="shared" ca="1" si="4"/>
        <v>1</v>
      </c>
      <c r="L308" s="56" t="str">
        <f ca="1">IF(K308&gt;0,"Composition "&amp;SUM(K$4:K308),"")</f>
        <v>Composition 66</v>
      </c>
      <c r="M308" s="55" cm="1">
        <f t="array" aca="1" ref="M308" ca="1">IF(K308=1,_xlfn.XLOOKUP(B308,OFFSET(IN_Zugliste!$A$4,0,0,IN_Zugliste!$A$2,1),OFFSET(IN_Zugliste!$K$4,0,0,IN_Zugliste!$A$2,1),0),0)+_xlfn.XLOOKUP(C308,OFFSET(IN_Zugliste!$A$4,0,0,IN_Zugliste!$A$2,1),OFFSET(IN_Zugliste!$K$4,0,0,IN_Zugliste!$A$2,1),0)</f>
        <v>314467</v>
      </c>
      <c r="N308" s="55" t="str" cm="1">
        <f t="array" aca="1" ref="N308" ca="1">IF(K308=1,_xlfn.XLOOKUP(B308,OFFSET(IN_Zugliste!$A$4,0,0,IN_Zugliste!$A$2,1),OFFSET(IN_Zugliste!$D$4,0,0,IN_Zugliste!$A$2,1),""),"")</f>
        <v>462-1.0</v>
      </c>
      <c r="O308" s="55" t="str" cm="1">
        <f t="array" aca="1" ref="O308" ca="1">IF(L308&lt;&gt;"",L308,_xlfn.XLOOKUP(B308,OFFSET($C$4,0,0,$A$2,1),OFFSET($O$4,0,0,$A$2,1)))</f>
        <v>Composition 66</v>
      </c>
      <c r="P308" s="55" cm="1">
        <f t="array" aca="1" ref="P308" ca="1">MATCH(J308, _xlfn._xlws.FILTER($J$4:$J$430,$O$4:$O$430=O308), 0)+1</f>
        <v>2</v>
      </c>
      <c r="Q308" s="63" t="str">
        <f>_xlfn.XLOOKUP(B308, IN_Zugliste!A:A, IN_Zugliste!M:M, "")</f>
        <v>05:40:57</v>
      </c>
    </row>
    <row r="309" spans="1:17" ht="15" customHeight="1" x14ac:dyDescent="0.2">
      <c r="A309" s="63" t="s">
        <v>686</v>
      </c>
      <c r="B309" s="63" t="s">
        <v>215</v>
      </c>
      <c r="C309" s="63" t="s">
        <v>207</v>
      </c>
      <c r="D309" s="63" t="s">
        <v>990</v>
      </c>
      <c r="E309" s="63" t="s">
        <v>688</v>
      </c>
      <c r="F309" s="63" t="s">
        <v>1597</v>
      </c>
      <c r="G309" s="63" t="s">
        <v>1677</v>
      </c>
      <c r="H309" s="63" t="s">
        <v>691</v>
      </c>
      <c r="I309" s="63" t="s">
        <v>1677</v>
      </c>
      <c r="J309" s="63" t="s">
        <v>1678</v>
      </c>
      <c r="K309" s="55">
        <f t="shared" ca="1" si="4"/>
        <v>0</v>
      </c>
      <c r="L309" s="56" t="str">
        <f ca="1">IF(K309&gt;0,"Composition "&amp;SUM(K$4:K309),"")</f>
        <v/>
      </c>
      <c r="M309" s="55" cm="1">
        <f t="array" aca="1" ref="M309" ca="1">IF(K309=1,_xlfn.XLOOKUP(B309,OFFSET(IN_Zugliste!$A$4,0,0,IN_Zugliste!$A$2,1),OFFSET(IN_Zugliste!$K$4,0,0,IN_Zugliste!$A$2,1),0),0)+_xlfn.XLOOKUP(C309,OFFSET(IN_Zugliste!$A$4,0,0,IN_Zugliste!$A$2,1),OFFSET(IN_Zugliste!$K$4,0,0,IN_Zugliste!$A$2,1),0)</f>
        <v>156609</v>
      </c>
      <c r="N309" s="55" t="str" cm="1">
        <f t="array" aca="1" ref="N309" ca="1">IF(K309=1,_xlfn.XLOOKUP(B309,OFFSET(IN_Zugliste!$A$4,0,0,IN_Zugliste!$A$2,1),OFFSET(IN_Zugliste!$D$4,0,0,IN_Zugliste!$A$2,1),""),"")</f>
        <v/>
      </c>
      <c r="O309" s="55" t="str" cm="1">
        <f t="array" aca="1" ref="O309" ca="1">IF(L309&lt;&gt;"",L309,_xlfn.XLOOKUP(B309,OFFSET($C$4,0,0,$A$2,1),OFFSET($O$4,0,0,$A$2,1)))</f>
        <v>Composition 66</v>
      </c>
      <c r="P309" s="55" cm="1">
        <f t="array" aca="1" ref="P309" ca="1">MATCH(J309, _xlfn._xlws.FILTER($J$4:$J$430,$O$4:$O$430=O309), 0)+1</f>
        <v>3</v>
      </c>
      <c r="Q309" s="63" t="str">
        <f>_xlfn.XLOOKUP(B309, IN_Zugliste!A:A, IN_Zugliste!M:M, "")</f>
        <v>08:22:50</v>
      </c>
    </row>
    <row r="310" spans="1:17" ht="15" customHeight="1" x14ac:dyDescent="0.2">
      <c r="A310" s="63" t="s">
        <v>686</v>
      </c>
      <c r="B310" s="63" t="s">
        <v>207</v>
      </c>
      <c r="C310" s="63" t="s">
        <v>198</v>
      </c>
      <c r="D310" s="63" t="s">
        <v>811</v>
      </c>
      <c r="E310" s="63" t="s">
        <v>688</v>
      </c>
      <c r="F310" s="63" t="s">
        <v>1679</v>
      </c>
      <c r="G310" s="63" t="s">
        <v>1680</v>
      </c>
      <c r="H310" s="63" t="s">
        <v>691</v>
      </c>
      <c r="I310" s="63" t="s">
        <v>1680</v>
      </c>
      <c r="J310" s="63" t="s">
        <v>1681</v>
      </c>
      <c r="K310" s="55">
        <f t="shared" ca="1" si="4"/>
        <v>0</v>
      </c>
      <c r="L310" s="56" t="str">
        <f ca="1">IF(K310&gt;0,"Composition "&amp;SUM(K$4:K310),"")</f>
        <v/>
      </c>
      <c r="M310" s="55" cm="1">
        <f t="array" aca="1" ref="M310" ca="1">IF(K310=1,_xlfn.XLOOKUP(B310,OFFSET(IN_Zugliste!$A$4,0,0,IN_Zugliste!$A$2,1),OFFSET(IN_Zugliste!$K$4,0,0,IN_Zugliste!$A$2,1),0),0)+_xlfn.XLOOKUP(C310,OFFSET(IN_Zugliste!$A$4,0,0,IN_Zugliste!$A$2,1),OFFSET(IN_Zugliste!$K$4,0,0,IN_Zugliste!$A$2,1),0)</f>
        <v>157858</v>
      </c>
      <c r="N310" s="55" t="str" cm="1">
        <f t="array" aca="1" ref="N310" ca="1">IF(K310=1,_xlfn.XLOOKUP(B310,OFFSET(IN_Zugliste!$A$4,0,0,IN_Zugliste!$A$2,1),OFFSET(IN_Zugliste!$D$4,0,0,IN_Zugliste!$A$2,1),""),"")</f>
        <v/>
      </c>
      <c r="O310" s="55" t="str" cm="1">
        <f t="array" aca="1" ref="O310" ca="1">IF(L310&lt;&gt;"",L310,_xlfn.XLOOKUP(B310,OFFSET($C$4,0,0,$A$2,1),OFFSET($O$4,0,0,$A$2,1)))</f>
        <v>Composition 66</v>
      </c>
      <c r="P310" s="55" cm="1">
        <f t="array" aca="1" ref="P310" ca="1">MATCH(J310, _xlfn._xlws.FILTER($J$4:$J$430,$O$4:$O$430=O310), 0)+1</f>
        <v>4</v>
      </c>
      <c r="Q310" s="63" t="str">
        <f>_xlfn.XLOOKUP(B310, IN_Zugliste!A:A, IN_Zugliste!M:M, "")</f>
        <v>11:11:52</v>
      </c>
    </row>
    <row r="311" spans="1:17" ht="15" customHeight="1" x14ac:dyDescent="0.2">
      <c r="A311" s="63" t="s">
        <v>686</v>
      </c>
      <c r="B311" s="63" t="s">
        <v>338</v>
      </c>
      <c r="C311" s="63" t="s">
        <v>351</v>
      </c>
      <c r="D311" s="63" t="s">
        <v>1111</v>
      </c>
      <c r="E311" s="63" t="s">
        <v>948</v>
      </c>
      <c r="F311" s="63" t="s">
        <v>1682</v>
      </c>
      <c r="G311" s="63" t="s">
        <v>1683</v>
      </c>
      <c r="H311" s="63" t="s">
        <v>691</v>
      </c>
      <c r="I311" s="63" t="s">
        <v>1684</v>
      </c>
      <c r="J311" s="63" t="s">
        <v>1685</v>
      </c>
      <c r="K311" s="55">
        <f t="shared" ca="1" si="4"/>
        <v>1</v>
      </c>
      <c r="L311" s="56" t="str">
        <f ca="1">IF(K311&gt;0,"Composition "&amp;SUM(K$4:K311),"")</f>
        <v>Composition 67</v>
      </c>
      <c r="M311" s="55" cm="1">
        <f t="array" aca="1" ref="M311" ca="1">IF(K311=1,_xlfn.XLOOKUP(B311,OFFSET(IN_Zugliste!$A$4,0,0,IN_Zugliste!$A$2,1),OFFSET(IN_Zugliste!$K$4,0,0,IN_Zugliste!$A$2,1),0),0)+_xlfn.XLOOKUP(C311,OFFSET(IN_Zugliste!$A$4,0,0,IN_Zugliste!$A$2,1),OFFSET(IN_Zugliste!$K$4,0,0,IN_Zugliste!$A$2,1),0)</f>
        <v>308062</v>
      </c>
      <c r="N311" s="55" t="str" cm="1">
        <f t="array" aca="1" ref="N311" ca="1">IF(K311=1,_xlfn.XLOOKUP(B311,OFFSET(IN_Zugliste!$A$4,0,0,IN_Zugliste!$A$2,1),OFFSET(IN_Zugliste!$D$4,0,0,IN_Zugliste!$A$2,1),""),"")</f>
        <v>462-1.0</v>
      </c>
      <c r="O311" s="55" t="str" cm="1">
        <f t="array" aca="1" ref="O311" ca="1">IF(L311&lt;&gt;"",L311,_xlfn.XLOOKUP(B311,OFFSET($C$4,0,0,$A$2,1),OFFSET($O$4,0,0,$A$2,1)))</f>
        <v>Composition 67</v>
      </c>
      <c r="P311" s="55" cm="1">
        <f t="array" aca="1" ref="P311" ca="1">MATCH(J311, _xlfn._xlws.FILTER($J$4:$J$430,$O$4:$O$430=O311), 0)+1</f>
        <v>2</v>
      </c>
      <c r="Q311" s="63" t="str">
        <f>_xlfn.XLOOKUP(B311, IN_Zugliste!A:A, IN_Zugliste!M:M, "")</f>
        <v>05:48:25</v>
      </c>
    </row>
    <row r="312" spans="1:17" ht="15" customHeight="1" x14ac:dyDescent="0.2">
      <c r="A312" s="63" t="s">
        <v>686</v>
      </c>
      <c r="B312" s="63" t="s">
        <v>351</v>
      </c>
      <c r="C312" s="63" t="s">
        <v>343</v>
      </c>
      <c r="D312" s="63" t="s">
        <v>1365</v>
      </c>
      <c r="E312" s="63" t="s">
        <v>688</v>
      </c>
      <c r="F312" s="63" t="s">
        <v>1686</v>
      </c>
      <c r="G312" s="63" t="s">
        <v>1687</v>
      </c>
      <c r="H312" s="63" t="s">
        <v>691</v>
      </c>
      <c r="I312" s="63" t="s">
        <v>1687</v>
      </c>
      <c r="J312" s="63" t="s">
        <v>1688</v>
      </c>
      <c r="K312" s="55">
        <f t="shared" ca="1" si="4"/>
        <v>0</v>
      </c>
      <c r="L312" s="56" t="str">
        <f ca="1">IF(K312&gt;0,"Composition "&amp;SUM(K$4:K312),"")</f>
        <v/>
      </c>
      <c r="M312" s="55" cm="1">
        <f t="array" aca="1" ref="M312" ca="1">IF(K312=1,_xlfn.XLOOKUP(B312,OFFSET(IN_Zugliste!$A$4,0,0,IN_Zugliste!$A$2,1),OFFSET(IN_Zugliste!$K$4,0,0,IN_Zugliste!$A$2,1),0),0)+_xlfn.XLOOKUP(C312,OFFSET(IN_Zugliste!$A$4,0,0,IN_Zugliste!$A$2,1),OFFSET(IN_Zugliste!$K$4,0,0,IN_Zugliste!$A$2,1),0)</f>
        <v>153929</v>
      </c>
      <c r="N312" s="55" t="str" cm="1">
        <f t="array" aca="1" ref="N312" ca="1">IF(K312=1,_xlfn.XLOOKUP(B312,OFFSET(IN_Zugliste!$A$4,0,0,IN_Zugliste!$A$2,1),OFFSET(IN_Zugliste!$D$4,0,0,IN_Zugliste!$A$2,1),""),"")</f>
        <v/>
      </c>
      <c r="O312" s="55" t="str" cm="1">
        <f t="array" aca="1" ref="O312" ca="1">IF(L312&lt;&gt;"",L312,_xlfn.XLOOKUP(B312,OFFSET($C$4,0,0,$A$2,1),OFFSET($O$4,0,0,$A$2,1)))</f>
        <v>Composition 67</v>
      </c>
      <c r="P312" s="55" cm="1">
        <f t="array" aca="1" ref="P312" ca="1">MATCH(J312, _xlfn._xlws.FILTER($J$4:$J$430,$O$4:$O$430=O312), 0)+1</f>
        <v>3</v>
      </c>
      <c r="Q312" s="63" t="str">
        <f>_xlfn.XLOOKUP(B312, IN_Zugliste!A:A, IN_Zugliste!M:M, "")</f>
        <v>08:14:33</v>
      </c>
    </row>
    <row r="313" spans="1:17" ht="15" customHeight="1" x14ac:dyDescent="0.2">
      <c r="A313" s="63" t="s">
        <v>686</v>
      </c>
      <c r="B313" s="63" t="s">
        <v>343</v>
      </c>
      <c r="C313" s="63" t="s">
        <v>356</v>
      </c>
      <c r="D313" s="63" t="s">
        <v>1111</v>
      </c>
      <c r="E313" s="63" t="s">
        <v>948</v>
      </c>
      <c r="F313" s="63" t="s">
        <v>1689</v>
      </c>
      <c r="G313" s="63" t="s">
        <v>1690</v>
      </c>
      <c r="H313" s="63" t="s">
        <v>691</v>
      </c>
      <c r="I313" s="63" t="s">
        <v>1691</v>
      </c>
      <c r="J313" s="63" t="s">
        <v>1692</v>
      </c>
      <c r="K313" s="55">
        <f t="shared" ca="1" si="4"/>
        <v>0</v>
      </c>
      <c r="L313" s="56" t="str">
        <f ca="1">IF(K313&gt;0,"Composition "&amp;SUM(K$4:K313),"")</f>
        <v/>
      </c>
      <c r="M313" s="55" cm="1">
        <f t="array" aca="1" ref="M313" ca="1">IF(K313=1,_xlfn.XLOOKUP(B313,OFFSET(IN_Zugliste!$A$4,0,0,IN_Zugliste!$A$2,1),OFFSET(IN_Zugliste!$K$4,0,0,IN_Zugliste!$A$2,1),0),0)+_xlfn.XLOOKUP(C313,OFFSET(IN_Zugliste!$A$4,0,0,IN_Zugliste!$A$2,1),OFFSET(IN_Zugliste!$K$4,0,0,IN_Zugliste!$A$2,1),0)</f>
        <v>154133</v>
      </c>
      <c r="N313" s="55" t="str" cm="1">
        <f t="array" aca="1" ref="N313" ca="1">IF(K313=1,_xlfn.XLOOKUP(B313,OFFSET(IN_Zugliste!$A$4,0,0,IN_Zugliste!$A$2,1),OFFSET(IN_Zugliste!$D$4,0,0,IN_Zugliste!$A$2,1),""),"")</f>
        <v/>
      </c>
      <c r="O313" s="55" t="str" cm="1">
        <f t="array" aca="1" ref="O313" ca="1">IF(L313&lt;&gt;"",L313,_xlfn.XLOOKUP(B313,OFFSET($C$4,0,0,$A$2,1),OFFSET($O$4,0,0,$A$2,1)))</f>
        <v>Composition 67</v>
      </c>
      <c r="P313" s="55" cm="1">
        <f t="array" aca="1" ref="P313" ca="1">MATCH(J313, _xlfn._xlws.FILTER($J$4:$J$430,$O$4:$O$430=O313), 0)+1</f>
        <v>4</v>
      </c>
      <c r="Q313" s="63" t="str">
        <f>_xlfn.XLOOKUP(B313, IN_Zugliste!A:A, IN_Zugliste!M:M, "")</f>
        <v>10:48:25</v>
      </c>
    </row>
    <row r="314" spans="1:17" ht="15" customHeight="1" x14ac:dyDescent="0.2">
      <c r="A314" s="63" t="s">
        <v>686</v>
      </c>
      <c r="B314" s="63" t="s">
        <v>155</v>
      </c>
      <c r="C314" s="63" t="s">
        <v>237</v>
      </c>
      <c r="D314" s="63" t="s">
        <v>1068</v>
      </c>
      <c r="E314" s="63" t="s">
        <v>688</v>
      </c>
      <c r="F314" s="63" t="s">
        <v>1693</v>
      </c>
      <c r="G314" s="63" t="s">
        <v>1694</v>
      </c>
      <c r="H314" s="63" t="s">
        <v>817</v>
      </c>
      <c r="I314" s="63" t="s">
        <v>1695</v>
      </c>
      <c r="J314" s="63" t="s">
        <v>763</v>
      </c>
      <c r="K314" s="55">
        <f t="shared" ca="1" si="4"/>
        <v>1</v>
      </c>
      <c r="L314" s="56" t="str">
        <f ca="1">IF(K314&gt;0,"Composition "&amp;SUM(K$4:K314),"")</f>
        <v>Composition 68</v>
      </c>
      <c r="M314" s="55" cm="1">
        <f t="array" aca="1" ref="M314" ca="1">IF(K314=1,_xlfn.XLOOKUP(B314,OFFSET(IN_Zugliste!$A$4,0,0,IN_Zugliste!$A$2,1),OFFSET(IN_Zugliste!$K$4,0,0,IN_Zugliste!$A$2,1),0),0)+_xlfn.XLOOKUP(C314,OFFSET(IN_Zugliste!$A$4,0,0,IN_Zugliste!$A$2,1),OFFSET(IN_Zugliste!$K$4,0,0,IN_Zugliste!$A$2,1),0)</f>
        <v>319483</v>
      </c>
      <c r="N314" s="55" t="str" cm="1">
        <f t="array" aca="1" ref="N314" ca="1">IF(K314=1,_xlfn.XLOOKUP(B314,OFFSET(IN_Zugliste!$A$4,0,0,IN_Zugliste!$A$2,1),OFFSET(IN_Zugliste!$D$4,0,0,IN_Zugliste!$A$2,1),""),"")</f>
        <v>462-1.0</v>
      </c>
      <c r="O314" s="55" t="str" cm="1">
        <f t="array" aca="1" ref="O314" ca="1">IF(L314&lt;&gt;"",L314,_xlfn.XLOOKUP(B314,OFFSET($C$4,0,0,$A$2,1),OFFSET($O$4,0,0,$A$2,1)))</f>
        <v>Composition 68</v>
      </c>
      <c r="P314" s="55" cm="1">
        <f t="array" aca="1" ref="P314" ca="1">MATCH(J314, _xlfn._xlws.FILTER($J$4:$J$430,$O$4:$O$430=O314), 0)+1</f>
        <v>2</v>
      </c>
      <c r="Q314" s="63" t="str">
        <f>_xlfn.XLOOKUP(B314, IN_Zugliste!A:A, IN_Zugliste!M:M, "")</f>
        <v>05:42:31</v>
      </c>
    </row>
    <row r="315" spans="1:17" ht="15" customHeight="1" x14ac:dyDescent="0.2">
      <c r="A315" s="63" t="s">
        <v>686</v>
      </c>
      <c r="B315" s="63" t="s">
        <v>237</v>
      </c>
      <c r="C315" s="63" t="s">
        <v>229</v>
      </c>
      <c r="D315" s="63" t="s">
        <v>811</v>
      </c>
      <c r="E315" s="63" t="s">
        <v>688</v>
      </c>
      <c r="F315" s="63" t="s">
        <v>1696</v>
      </c>
      <c r="G315" s="63" t="s">
        <v>1697</v>
      </c>
      <c r="H315" s="63" t="s">
        <v>691</v>
      </c>
      <c r="I315" s="63" t="s">
        <v>1697</v>
      </c>
      <c r="J315" s="63" t="s">
        <v>1698</v>
      </c>
      <c r="K315" s="55">
        <f t="shared" ca="1" si="4"/>
        <v>0</v>
      </c>
      <c r="L315" s="56" t="str">
        <f ca="1">IF(K315&gt;0,"Composition "&amp;SUM(K$4:K315),"")</f>
        <v/>
      </c>
      <c r="M315" s="55" cm="1">
        <f t="array" aca="1" ref="M315" ca="1">IF(K315=1,_xlfn.XLOOKUP(B315,OFFSET(IN_Zugliste!$A$4,0,0,IN_Zugliste!$A$2,1),OFFSET(IN_Zugliste!$K$4,0,0,IN_Zugliste!$A$2,1),0),0)+_xlfn.XLOOKUP(C315,OFFSET(IN_Zugliste!$A$4,0,0,IN_Zugliste!$A$2,1),OFFSET(IN_Zugliste!$K$4,0,0,IN_Zugliste!$A$2,1),0)</f>
        <v>159719</v>
      </c>
      <c r="N315" s="55" t="str" cm="1">
        <f t="array" aca="1" ref="N315" ca="1">IF(K315=1,_xlfn.XLOOKUP(B315,OFFSET(IN_Zugliste!$A$4,0,0,IN_Zugliste!$A$2,1),OFFSET(IN_Zugliste!$D$4,0,0,IN_Zugliste!$A$2,1),""),"")</f>
        <v/>
      </c>
      <c r="O315" s="55" t="str" cm="1">
        <f t="array" aca="1" ref="O315" ca="1">IF(L315&lt;&gt;"",L315,_xlfn.XLOOKUP(B315,OFFSET($C$4,0,0,$A$2,1),OFFSET($O$4,0,0,$A$2,1)))</f>
        <v>Composition 68</v>
      </c>
      <c r="P315" s="55" cm="1">
        <f t="array" aca="1" ref="P315" ca="1">MATCH(J315, _xlfn._xlws.FILTER($J$4:$J$430,$O$4:$O$430=O315), 0)+1</f>
        <v>3</v>
      </c>
      <c r="Q315" s="63" t="str">
        <f>_xlfn.XLOOKUP(B315, IN_Zugliste!A:A, IN_Zugliste!M:M, "")</f>
        <v>08:23:38</v>
      </c>
    </row>
    <row r="316" spans="1:17" ht="15" customHeight="1" x14ac:dyDescent="0.2">
      <c r="A316" s="63" t="s">
        <v>686</v>
      </c>
      <c r="B316" s="63" t="s">
        <v>229</v>
      </c>
      <c r="C316" s="63" t="s">
        <v>176</v>
      </c>
      <c r="D316" s="63" t="s">
        <v>1068</v>
      </c>
      <c r="E316" s="63" t="s">
        <v>688</v>
      </c>
      <c r="F316" s="63" t="s">
        <v>1699</v>
      </c>
      <c r="G316" s="63" t="s">
        <v>1700</v>
      </c>
      <c r="H316" s="63" t="s">
        <v>817</v>
      </c>
      <c r="I316" s="63" t="s">
        <v>1700</v>
      </c>
      <c r="J316" s="63" t="s">
        <v>1701</v>
      </c>
      <c r="K316" s="55">
        <f t="shared" ca="1" si="4"/>
        <v>0</v>
      </c>
      <c r="L316" s="56" t="str">
        <f ca="1">IF(K316&gt;0,"Composition "&amp;SUM(K$4:K316),"")</f>
        <v/>
      </c>
      <c r="M316" s="55" cm="1">
        <f t="array" aca="1" ref="M316" ca="1">IF(K316=1,_xlfn.XLOOKUP(B316,OFFSET(IN_Zugliste!$A$4,0,0,IN_Zugliste!$A$2,1),OFFSET(IN_Zugliste!$K$4,0,0,IN_Zugliste!$A$2,1),0),0)+_xlfn.XLOOKUP(C316,OFFSET(IN_Zugliste!$A$4,0,0,IN_Zugliste!$A$2,1),OFFSET(IN_Zugliste!$K$4,0,0,IN_Zugliste!$A$2,1),0)</f>
        <v>159764</v>
      </c>
      <c r="N316" s="55" t="str" cm="1">
        <f t="array" aca="1" ref="N316" ca="1">IF(K316=1,_xlfn.XLOOKUP(B316,OFFSET(IN_Zugliste!$A$4,0,0,IN_Zugliste!$A$2,1),OFFSET(IN_Zugliste!$D$4,0,0,IN_Zugliste!$A$2,1),""),"")</f>
        <v/>
      </c>
      <c r="O316" s="55" t="str" cm="1">
        <f t="array" aca="1" ref="O316" ca="1">IF(L316&lt;&gt;"",L316,_xlfn.XLOOKUP(B316,OFFSET($C$4,0,0,$A$2,1),OFFSET($O$4,0,0,$A$2,1)))</f>
        <v>Composition 68</v>
      </c>
      <c r="P316" s="55" cm="1">
        <f t="array" aca="1" ref="P316" ca="1">MATCH(J316, _xlfn._xlws.FILTER($J$4:$J$430,$O$4:$O$430=O316), 0)+1</f>
        <v>4</v>
      </c>
      <c r="Q316" s="63" t="str">
        <f>_xlfn.XLOOKUP(B316, IN_Zugliste!A:A, IN_Zugliste!M:M, "")</f>
        <v>11:12:58</v>
      </c>
    </row>
    <row r="317" spans="1:17" ht="15" customHeight="1" x14ac:dyDescent="0.2">
      <c r="A317" s="63" t="s">
        <v>686</v>
      </c>
      <c r="B317" s="63" t="s">
        <v>147</v>
      </c>
      <c r="C317" s="63" t="s">
        <v>116</v>
      </c>
      <c r="D317" s="63" t="s">
        <v>994</v>
      </c>
      <c r="E317" s="63" t="s">
        <v>688</v>
      </c>
      <c r="F317" s="63" t="s">
        <v>1702</v>
      </c>
      <c r="G317" s="63" t="s">
        <v>1703</v>
      </c>
      <c r="H317" s="63" t="s">
        <v>691</v>
      </c>
      <c r="I317" s="63" t="s">
        <v>1703</v>
      </c>
      <c r="J317" s="63" t="s">
        <v>1704</v>
      </c>
      <c r="K317" s="55">
        <f t="shared" ca="1" si="4"/>
        <v>1</v>
      </c>
      <c r="L317" s="56" t="str">
        <f ca="1">IF(K317&gt;0,"Composition "&amp;SUM(K$4:K317),"")</f>
        <v>Composition 69</v>
      </c>
      <c r="M317" s="55" cm="1">
        <f t="array" aca="1" ref="M317" ca="1">IF(K317=1,_xlfn.XLOOKUP(B317,OFFSET(IN_Zugliste!$A$4,0,0,IN_Zugliste!$A$2,1),OFFSET(IN_Zugliste!$K$4,0,0,IN_Zugliste!$A$2,1),0),0)+_xlfn.XLOOKUP(C317,OFFSET(IN_Zugliste!$A$4,0,0,IN_Zugliste!$A$2,1),OFFSET(IN_Zugliste!$K$4,0,0,IN_Zugliste!$A$2,1),0)</f>
        <v>360401</v>
      </c>
      <c r="N317" s="55" t="str" cm="1">
        <f t="array" aca="1" ref="N317" ca="1">IF(K317=1,_xlfn.XLOOKUP(B317,OFFSET(IN_Zugliste!$A$4,0,0,IN_Zugliste!$A$2,1),OFFSET(IN_Zugliste!$D$4,0,0,IN_Zugliste!$A$2,1),""),"")</f>
        <v>462-1.0</v>
      </c>
      <c r="O317" s="55" t="str" cm="1">
        <f t="array" aca="1" ref="O317" ca="1">IF(L317&lt;&gt;"",L317,_xlfn.XLOOKUP(B317,OFFSET($C$4,0,0,$A$2,1),OFFSET($O$4,0,0,$A$2,1)))</f>
        <v>Composition 69</v>
      </c>
      <c r="P317" s="55" cm="1">
        <f t="array" aca="1" ref="P317" ca="1">MATCH(J317, _xlfn._xlws.FILTER($J$4:$J$430,$O$4:$O$430=O317), 0)+1</f>
        <v>2</v>
      </c>
      <c r="Q317" s="63" t="str">
        <f>_xlfn.XLOOKUP(B317, IN_Zugliste!A:A, IN_Zugliste!M:M, "")</f>
        <v>05:51:38</v>
      </c>
    </row>
    <row r="318" spans="1:17" ht="15" customHeight="1" x14ac:dyDescent="0.2">
      <c r="A318" s="63" t="s">
        <v>686</v>
      </c>
      <c r="B318" s="63" t="s">
        <v>116</v>
      </c>
      <c r="C318" s="63" t="s">
        <v>130</v>
      </c>
      <c r="D318" s="63" t="s">
        <v>723</v>
      </c>
      <c r="E318" s="63" t="s">
        <v>688</v>
      </c>
      <c r="F318" s="63" t="s">
        <v>1705</v>
      </c>
      <c r="G318" s="63" t="s">
        <v>1706</v>
      </c>
      <c r="H318" s="63" t="s">
        <v>691</v>
      </c>
      <c r="I318" s="63" t="s">
        <v>1706</v>
      </c>
      <c r="J318" s="63" t="s">
        <v>1707</v>
      </c>
      <c r="K318" s="55">
        <f t="shared" ca="1" si="4"/>
        <v>0</v>
      </c>
      <c r="L318" s="56" t="str">
        <f ca="1">IF(K318&gt;0,"Composition "&amp;SUM(K$4:K318),"")</f>
        <v/>
      </c>
      <c r="M318" s="55" cm="1">
        <f t="array" aca="1" ref="M318" ca="1">IF(K318=1,_xlfn.XLOOKUP(B318,OFFSET(IN_Zugliste!$A$4,0,0,IN_Zugliste!$A$2,1),OFFSET(IN_Zugliste!$K$4,0,0,IN_Zugliste!$A$2,1),0),0)+_xlfn.XLOOKUP(C318,OFFSET(IN_Zugliste!$A$4,0,0,IN_Zugliste!$A$2,1),OFFSET(IN_Zugliste!$K$4,0,0,IN_Zugliste!$A$2,1),0)</f>
        <v>180226</v>
      </c>
      <c r="N318" s="55" t="str" cm="1">
        <f t="array" aca="1" ref="N318" ca="1">IF(K318=1,_xlfn.XLOOKUP(B318,OFFSET(IN_Zugliste!$A$4,0,0,IN_Zugliste!$A$2,1),OFFSET(IN_Zugliste!$D$4,0,0,IN_Zugliste!$A$2,1),""),"")</f>
        <v/>
      </c>
      <c r="O318" s="55" t="str" cm="1">
        <f t="array" aca="1" ref="O318" ca="1">IF(L318&lt;&gt;"",L318,_xlfn.XLOOKUP(B318,OFFSET($C$4,0,0,$A$2,1),OFFSET($O$4,0,0,$A$2,1)))</f>
        <v>Composition 69</v>
      </c>
      <c r="P318" s="55" cm="1">
        <f t="array" aca="1" ref="P318" ca="1">MATCH(J318, _xlfn._xlws.FILTER($J$4:$J$430,$O$4:$O$430=O318), 0)+1</f>
        <v>3</v>
      </c>
      <c r="Q318" s="63" t="str">
        <f>_xlfn.XLOOKUP(B318, IN_Zugliste!A:A, IN_Zugliste!M:M, "")</f>
        <v>08:34:27</v>
      </c>
    </row>
    <row r="319" spans="1:17" ht="15" customHeight="1" x14ac:dyDescent="0.2">
      <c r="A319" s="63" t="s">
        <v>686</v>
      </c>
      <c r="B319" s="63" t="s">
        <v>130</v>
      </c>
      <c r="C319" s="63" t="s">
        <v>135</v>
      </c>
      <c r="D319" s="63" t="s">
        <v>994</v>
      </c>
      <c r="E319" s="63" t="s">
        <v>688</v>
      </c>
      <c r="F319" s="63" t="s">
        <v>1708</v>
      </c>
      <c r="G319" s="63" t="s">
        <v>1709</v>
      </c>
      <c r="H319" s="63" t="s">
        <v>691</v>
      </c>
      <c r="I319" s="63" t="s">
        <v>1709</v>
      </c>
      <c r="J319" s="63" t="s">
        <v>1710</v>
      </c>
      <c r="K319" s="55">
        <f t="shared" ca="1" si="4"/>
        <v>0</v>
      </c>
      <c r="L319" s="56" t="str">
        <f ca="1">IF(K319&gt;0,"Composition "&amp;SUM(K$4:K319),"")</f>
        <v/>
      </c>
      <c r="M319" s="55" cm="1">
        <f t="array" aca="1" ref="M319" ca="1">IF(K319=1,_xlfn.XLOOKUP(B319,OFFSET(IN_Zugliste!$A$4,0,0,IN_Zugliste!$A$2,1),OFFSET(IN_Zugliste!$K$4,0,0,IN_Zugliste!$A$2,1),0),0)+_xlfn.XLOOKUP(C319,OFFSET(IN_Zugliste!$A$4,0,0,IN_Zugliste!$A$2,1),OFFSET(IN_Zugliste!$K$4,0,0,IN_Zugliste!$A$2,1),0)</f>
        <v>180175</v>
      </c>
      <c r="N319" s="55" t="str" cm="1">
        <f t="array" aca="1" ref="N319" ca="1">IF(K319=1,_xlfn.XLOOKUP(B319,OFFSET(IN_Zugliste!$A$4,0,0,IN_Zugliste!$A$2,1),OFFSET(IN_Zugliste!$D$4,0,0,IN_Zugliste!$A$2,1),""),"")</f>
        <v/>
      </c>
      <c r="O319" s="55" t="str" cm="1">
        <f t="array" aca="1" ref="O319" ca="1">IF(L319&lt;&gt;"",L319,_xlfn.XLOOKUP(B319,OFFSET($C$4,0,0,$A$2,1),OFFSET($O$4,0,0,$A$2,1)))</f>
        <v>Composition 69</v>
      </c>
      <c r="P319" s="55" cm="1">
        <f t="array" aca="1" ref="P319" ca="1">MATCH(J319, _xlfn._xlws.FILTER($J$4:$J$430,$O$4:$O$430=O319), 0)+1</f>
        <v>4</v>
      </c>
      <c r="Q319" s="63" t="str">
        <f>_xlfn.XLOOKUP(B319, IN_Zugliste!A:A, IN_Zugliste!M:M, "")</f>
        <v>11:22:31</v>
      </c>
    </row>
    <row r="320" spans="1:17" ht="15" customHeight="1" x14ac:dyDescent="0.2">
      <c r="A320" s="63" t="s">
        <v>686</v>
      </c>
      <c r="B320" s="63" t="s">
        <v>650</v>
      </c>
      <c r="C320" s="63" t="s">
        <v>664</v>
      </c>
      <c r="D320" s="63" t="s">
        <v>723</v>
      </c>
      <c r="E320" s="63" t="s">
        <v>688</v>
      </c>
      <c r="F320" s="63" t="s">
        <v>1711</v>
      </c>
      <c r="G320" s="63" t="s">
        <v>1712</v>
      </c>
      <c r="H320" s="63" t="s">
        <v>691</v>
      </c>
      <c r="I320" s="63" t="s">
        <v>1713</v>
      </c>
      <c r="J320" s="63" t="s">
        <v>1714</v>
      </c>
      <c r="K320" s="55">
        <f t="shared" ca="1" si="4"/>
        <v>1</v>
      </c>
      <c r="L320" s="56" t="str">
        <f ca="1">IF(K320&gt;0,"Composition "&amp;SUM(K$4:K320),"")</f>
        <v>Composition 70</v>
      </c>
      <c r="M320" s="55" cm="1">
        <f t="array" aca="1" ref="M320" ca="1">IF(K320=1,_xlfn.XLOOKUP(B320,OFFSET(IN_Zugliste!$A$4,0,0,IN_Zugliste!$A$2,1),OFFSET(IN_Zugliste!$K$4,0,0,IN_Zugliste!$A$2,1),0),0)+_xlfn.XLOOKUP(C320,OFFSET(IN_Zugliste!$A$4,0,0,IN_Zugliste!$A$2,1),OFFSET(IN_Zugliste!$K$4,0,0,IN_Zugliste!$A$2,1),0)</f>
        <v>241584</v>
      </c>
      <c r="N320" s="55" t="str" cm="1">
        <f t="array" aca="1" ref="N320" ca="1">IF(K320=1,_xlfn.XLOOKUP(B320,OFFSET(IN_Zugliste!$A$4,0,0,IN_Zugliste!$A$2,1),OFFSET(IN_Zugliste!$D$4,0,0,IN_Zugliste!$A$2,1),""),"")</f>
        <v>462-1.0</v>
      </c>
      <c r="O320" s="55" t="str" cm="1">
        <f t="array" aca="1" ref="O320" ca="1">IF(L320&lt;&gt;"",L320,_xlfn.XLOOKUP(B320,OFFSET($C$4,0,0,$A$2,1),OFFSET($O$4,0,0,$A$2,1)))</f>
        <v>Composition 70</v>
      </c>
      <c r="P320" s="55" cm="1">
        <f t="array" aca="1" ref="P320" ca="1">MATCH(J320, _xlfn._xlws.FILTER($J$4:$J$430,$O$4:$O$430=O320), 0)+1</f>
        <v>2</v>
      </c>
      <c r="Q320" s="63" t="str">
        <f>_xlfn.XLOOKUP(B320, IN_Zugliste!A:A, IN_Zugliste!M:M, "")</f>
        <v>06:10:41</v>
      </c>
    </row>
    <row r="321" spans="1:17" ht="15" customHeight="1" x14ac:dyDescent="0.2">
      <c r="A321" s="63" t="s">
        <v>686</v>
      </c>
      <c r="B321" s="63" t="s">
        <v>664</v>
      </c>
      <c r="C321" s="63" t="s">
        <v>655</v>
      </c>
      <c r="D321" s="63" t="s">
        <v>1176</v>
      </c>
      <c r="E321" s="63" t="s">
        <v>688</v>
      </c>
      <c r="F321" s="63" t="s">
        <v>1715</v>
      </c>
      <c r="G321" s="63" t="s">
        <v>1716</v>
      </c>
      <c r="H321" s="63" t="s">
        <v>691</v>
      </c>
      <c r="I321" s="63" t="s">
        <v>1716</v>
      </c>
      <c r="J321" s="63" t="s">
        <v>1717</v>
      </c>
      <c r="K321" s="55">
        <f t="shared" ca="1" si="4"/>
        <v>0</v>
      </c>
      <c r="L321" s="56" t="str">
        <f ca="1">IF(K321&gt;0,"Composition "&amp;SUM(K$4:K321),"")</f>
        <v/>
      </c>
      <c r="M321" s="55" cm="1">
        <f t="array" aca="1" ref="M321" ca="1">IF(K321=1,_xlfn.XLOOKUP(B321,OFFSET(IN_Zugliste!$A$4,0,0,IN_Zugliste!$A$2,1),OFFSET(IN_Zugliste!$K$4,0,0,IN_Zugliste!$A$2,1),0),0)+_xlfn.XLOOKUP(C321,OFFSET(IN_Zugliste!$A$4,0,0,IN_Zugliste!$A$2,1),OFFSET(IN_Zugliste!$K$4,0,0,IN_Zugliste!$A$2,1),0)</f>
        <v>120778</v>
      </c>
      <c r="N321" s="55" t="str" cm="1">
        <f t="array" aca="1" ref="N321" ca="1">IF(K321=1,_xlfn.XLOOKUP(B321,OFFSET(IN_Zugliste!$A$4,0,0,IN_Zugliste!$A$2,1),OFFSET(IN_Zugliste!$D$4,0,0,IN_Zugliste!$A$2,1),""),"")</f>
        <v/>
      </c>
      <c r="O321" s="55" t="str" cm="1">
        <f t="array" aca="1" ref="O321" ca="1">IF(L321&lt;&gt;"",L321,_xlfn.XLOOKUP(B321,OFFSET($C$4,0,0,$A$2,1),OFFSET($O$4,0,0,$A$2,1)))</f>
        <v>Composition 70</v>
      </c>
      <c r="P321" s="55" cm="1">
        <f t="array" aca="1" ref="P321" ca="1">MATCH(J321, _xlfn._xlws.FILTER($J$4:$J$430,$O$4:$O$430=O321), 0)+1</f>
        <v>3</v>
      </c>
      <c r="Q321" s="63" t="str">
        <f>_xlfn.XLOOKUP(B321, IN_Zugliste!A:A, IN_Zugliste!M:M, "")</f>
        <v>08:42:00</v>
      </c>
    </row>
    <row r="322" spans="1:17" ht="15" customHeight="1" x14ac:dyDescent="0.2">
      <c r="A322" s="63" t="s">
        <v>686</v>
      </c>
      <c r="B322" s="63" t="s">
        <v>655</v>
      </c>
      <c r="C322" s="63" t="s">
        <v>660</v>
      </c>
      <c r="D322" s="63" t="s">
        <v>723</v>
      </c>
      <c r="E322" s="63" t="s">
        <v>688</v>
      </c>
      <c r="F322" s="63" t="s">
        <v>1718</v>
      </c>
      <c r="G322" s="63" t="s">
        <v>1719</v>
      </c>
      <c r="H322" s="63" t="s">
        <v>691</v>
      </c>
      <c r="I322" s="63" t="s">
        <v>1720</v>
      </c>
      <c r="J322" s="63" t="s">
        <v>1721</v>
      </c>
      <c r="K322" s="55">
        <f t="shared" ca="1" si="4"/>
        <v>0</v>
      </c>
      <c r="L322" s="56" t="str">
        <f ca="1">IF(K322&gt;0,"Composition "&amp;SUM(K$4:K322),"")</f>
        <v/>
      </c>
      <c r="M322" s="55" cm="1">
        <f t="array" aca="1" ref="M322" ca="1">IF(K322=1,_xlfn.XLOOKUP(B322,OFFSET(IN_Zugliste!$A$4,0,0,IN_Zugliste!$A$2,1),OFFSET(IN_Zugliste!$K$4,0,0,IN_Zugliste!$A$2,1),0),0)+_xlfn.XLOOKUP(C322,OFFSET(IN_Zugliste!$A$4,0,0,IN_Zugliste!$A$2,1),OFFSET(IN_Zugliste!$K$4,0,0,IN_Zugliste!$A$2,1),0)</f>
        <v>120806</v>
      </c>
      <c r="N322" s="55" t="str" cm="1">
        <f t="array" aca="1" ref="N322" ca="1">IF(K322=1,_xlfn.XLOOKUP(B322,OFFSET(IN_Zugliste!$A$4,0,0,IN_Zugliste!$A$2,1),OFFSET(IN_Zugliste!$D$4,0,0,IN_Zugliste!$A$2,1),""),"")</f>
        <v/>
      </c>
      <c r="O322" s="55" t="str" cm="1">
        <f t="array" aca="1" ref="O322" ca="1">IF(L322&lt;&gt;"",L322,_xlfn.XLOOKUP(B322,OFFSET($C$4,0,0,$A$2,1),OFFSET($O$4,0,0,$A$2,1)))</f>
        <v>Composition 70</v>
      </c>
      <c r="P322" s="55" cm="1">
        <f t="array" aca="1" ref="P322" ca="1">MATCH(J322, _xlfn._xlws.FILTER($J$4:$J$430,$O$4:$O$430=O322), 0)+1</f>
        <v>4</v>
      </c>
      <c r="Q322" s="63" t="str">
        <f>_xlfn.XLOOKUP(B322, IN_Zugliste!A:A, IN_Zugliste!M:M, "")</f>
        <v>11:10:41</v>
      </c>
    </row>
    <row r="323" spans="1:17" ht="15" customHeight="1" x14ac:dyDescent="0.2">
      <c r="A323" s="63" t="s">
        <v>686</v>
      </c>
      <c r="B323" s="63" t="s">
        <v>393</v>
      </c>
      <c r="C323" s="63" t="s">
        <v>318</v>
      </c>
      <c r="D323" s="63" t="s">
        <v>1064</v>
      </c>
      <c r="E323" s="63" t="s">
        <v>688</v>
      </c>
      <c r="F323" s="63" t="s">
        <v>1722</v>
      </c>
      <c r="G323" s="63" t="s">
        <v>1723</v>
      </c>
      <c r="H323" s="63" t="s">
        <v>691</v>
      </c>
      <c r="I323" s="63" t="s">
        <v>1724</v>
      </c>
      <c r="J323" s="63" t="s">
        <v>1725</v>
      </c>
      <c r="K323" s="55">
        <f t="shared" ca="1" si="4"/>
        <v>1</v>
      </c>
      <c r="L323" s="56" t="str">
        <f ca="1">IF(K323&gt;0,"Composition "&amp;SUM(K$4:K323),"")</f>
        <v>Composition 71</v>
      </c>
      <c r="M323" s="55" cm="1">
        <f t="array" aca="1" ref="M323" ca="1">IF(K323=1,_xlfn.XLOOKUP(B323,OFFSET(IN_Zugliste!$A$4,0,0,IN_Zugliste!$A$2,1),OFFSET(IN_Zugliste!$K$4,0,0,IN_Zugliste!$A$2,1),0),0)+_xlfn.XLOOKUP(C323,OFFSET(IN_Zugliste!$A$4,0,0,IN_Zugliste!$A$2,1),OFFSET(IN_Zugliste!$K$4,0,0,IN_Zugliste!$A$2,1),0)</f>
        <v>196067</v>
      </c>
      <c r="N323" s="55" t="str" cm="1">
        <f t="array" aca="1" ref="N323" ca="1">IF(K323=1,_xlfn.XLOOKUP(B323,OFFSET(IN_Zugliste!$A$4,0,0,IN_Zugliste!$A$2,1),OFFSET(IN_Zugliste!$D$4,0,0,IN_Zugliste!$A$2,1),""),"")</f>
        <v>146-3.2</v>
      </c>
      <c r="O323" s="55" t="str" cm="1">
        <f t="array" aca="1" ref="O323" ca="1">IF(L323&lt;&gt;"",L323,_xlfn.XLOOKUP(B323,OFFSET($C$4,0,0,$A$2,1),OFFSET($O$4,0,0,$A$2,1)))</f>
        <v>Composition 71</v>
      </c>
      <c r="P323" s="55" cm="1">
        <f t="array" aca="1" ref="P323" ca="1">MATCH(J323, _xlfn._xlws.FILTER($J$4:$J$430,$O$4:$O$430=O323), 0)+1</f>
        <v>2</v>
      </c>
      <c r="Q323" s="63" t="str">
        <f>_xlfn.XLOOKUP(B323, IN_Zugliste!A:A, IN_Zugliste!M:M, "")</f>
        <v>06:23:12</v>
      </c>
    </row>
    <row r="324" spans="1:17" ht="15" customHeight="1" x14ac:dyDescent="0.2">
      <c r="A324" s="63" t="s">
        <v>686</v>
      </c>
      <c r="B324" s="63" t="s">
        <v>318</v>
      </c>
      <c r="C324" s="63" t="s">
        <v>298</v>
      </c>
      <c r="D324" s="63" t="s">
        <v>727</v>
      </c>
      <c r="E324" s="63" t="s">
        <v>688</v>
      </c>
      <c r="F324" s="63" t="s">
        <v>1726</v>
      </c>
      <c r="G324" s="63" t="s">
        <v>1027</v>
      </c>
      <c r="H324" s="63" t="s">
        <v>691</v>
      </c>
      <c r="I324" s="63" t="s">
        <v>1027</v>
      </c>
      <c r="J324" s="63" t="s">
        <v>1727</v>
      </c>
      <c r="K324" s="55">
        <f t="shared" ref="K324:K387" ca="1" si="5">1-COUNTIFS(OFFSET($C$4,0,0,$A$2,1),B324)</f>
        <v>0</v>
      </c>
      <c r="L324" s="56" t="str">
        <f ca="1">IF(K324&gt;0,"Composition "&amp;SUM(K$4:K324),"")</f>
        <v/>
      </c>
      <c r="M324" s="55" cm="1">
        <f t="array" aca="1" ref="M324" ca="1">IF(K324=1,_xlfn.XLOOKUP(B324,OFFSET(IN_Zugliste!$A$4,0,0,IN_Zugliste!$A$2,1),OFFSET(IN_Zugliste!$K$4,0,0,IN_Zugliste!$A$2,1),0),0)+_xlfn.XLOOKUP(C324,OFFSET(IN_Zugliste!$A$4,0,0,IN_Zugliste!$A$2,1),OFFSET(IN_Zugliste!$K$4,0,0,IN_Zugliste!$A$2,1),0)</f>
        <v>76074</v>
      </c>
      <c r="N324" s="55" t="str" cm="1">
        <f t="array" aca="1" ref="N324" ca="1">IF(K324=1,_xlfn.XLOOKUP(B324,OFFSET(IN_Zugliste!$A$4,0,0,IN_Zugliste!$A$2,1),OFFSET(IN_Zugliste!$D$4,0,0,IN_Zugliste!$A$2,1),""),"")</f>
        <v/>
      </c>
      <c r="O324" s="55" t="str" cm="1">
        <f t="array" aca="1" ref="O324" ca="1">IF(L324&lt;&gt;"",L324,_xlfn.XLOOKUP(B324,OFFSET($C$4,0,0,$A$2,1),OFFSET($O$4,0,0,$A$2,1)))</f>
        <v>Composition 71</v>
      </c>
      <c r="P324" s="55" cm="1">
        <f t="array" aca="1" ref="P324" ca="1">MATCH(J324, _xlfn._xlws.FILTER($J$4:$J$430,$O$4:$O$430=O324), 0)+1</f>
        <v>3</v>
      </c>
      <c r="Q324" s="63" t="str">
        <f>_xlfn.XLOOKUP(B324, IN_Zugliste!A:A, IN_Zugliste!M:M, "")</f>
        <v>08:35:33</v>
      </c>
    </row>
    <row r="325" spans="1:17" ht="15" customHeight="1" x14ac:dyDescent="0.2">
      <c r="A325" s="63" t="s">
        <v>686</v>
      </c>
      <c r="B325" s="63" t="s">
        <v>298</v>
      </c>
      <c r="C325" s="63" t="s">
        <v>311</v>
      </c>
      <c r="D325" s="63" t="s">
        <v>1080</v>
      </c>
      <c r="E325" s="63" t="s">
        <v>688</v>
      </c>
      <c r="F325" s="63" t="s">
        <v>1728</v>
      </c>
      <c r="G325" s="63" t="s">
        <v>1729</v>
      </c>
      <c r="H325" s="63" t="s">
        <v>691</v>
      </c>
      <c r="I325" s="63" t="s">
        <v>1729</v>
      </c>
      <c r="J325" s="63" t="s">
        <v>804</v>
      </c>
      <c r="K325" s="55">
        <f t="shared" ca="1" si="5"/>
        <v>0</v>
      </c>
      <c r="L325" s="56" t="str">
        <f ca="1">IF(K325&gt;0,"Composition "&amp;SUM(K$4:K325),"")</f>
        <v/>
      </c>
      <c r="M325" s="55" cm="1">
        <f t="array" aca="1" ref="M325" ca="1">IF(K325=1,_xlfn.XLOOKUP(B325,OFFSET(IN_Zugliste!$A$4,0,0,IN_Zugliste!$A$2,1),OFFSET(IN_Zugliste!$K$4,0,0,IN_Zugliste!$A$2,1),0),0)+_xlfn.XLOOKUP(C325,OFFSET(IN_Zugliste!$A$4,0,0,IN_Zugliste!$A$2,1),OFFSET(IN_Zugliste!$K$4,0,0,IN_Zugliste!$A$2,1),0)</f>
        <v>75928</v>
      </c>
      <c r="N325" s="55" t="str" cm="1">
        <f t="array" aca="1" ref="N325" ca="1">IF(K325=1,_xlfn.XLOOKUP(B325,OFFSET(IN_Zugliste!$A$4,0,0,IN_Zugliste!$A$2,1),OFFSET(IN_Zugliste!$D$4,0,0,IN_Zugliste!$A$2,1),""),"")</f>
        <v/>
      </c>
      <c r="O325" s="55" t="str" cm="1">
        <f t="array" aca="1" ref="O325" ca="1">IF(L325&lt;&gt;"",L325,_xlfn.XLOOKUP(B325,OFFSET($C$4,0,0,$A$2,1),OFFSET($O$4,0,0,$A$2,1)))</f>
        <v>Composition 71</v>
      </c>
      <c r="P325" s="55" cm="1">
        <f t="array" aca="1" ref="P325" ca="1">MATCH(J325, _xlfn._xlws.FILTER($J$4:$J$430,$O$4:$O$430=O325), 0)+1</f>
        <v>4</v>
      </c>
      <c r="Q325" s="63" t="str">
        <f>_xlfn.XLOOKUP(B325, IN_Zugliste!A:A, IN_Zugliste!M:M, "")</f>
        <v>10:03:46</v>
      </c>
    </row>
    <row r="326" spans="1:17" ht="15" customHeight="1" x14ac:dyDescent="0.2">
      <c r="A326" s="63" t="s">
        <v>686</v>
      </c>
      <c r="B326" s="63" t="s">
        <v>311</v>
      </c>
      <c r="C326" s="63" t="s">
        <v>334</v>
      </c>
      <c r="D326" s="63" t="s">
        <v>727</v>
      </c>
      <c r="E326" s="63" t="s">
        <v>688</v>
      </c>
      <c r="F326" s="63" t="s">
        <v>1730</v>
      </c>
      <c r="G326" s="63" t="s">
        <v>1731</v>
      </c>
      <c r="H326" s="63" t="s">
        <v>691</v>
      </c>
      <c r="I326" s="63" t="s">
        <v>1731</v>
      </c>
      <c r="J326" s="63" t="s">
        <v>1732</v>
      </c>
      <c r="K326" s="55">
        <f t="shared" ca="1" si="5"/>
        <v>0</v>
      </c>
      <c r="L326" s="56" t="str">
        <f ca="1">IF(K326&gt;0,"Composition "&amp;SUM(K$4:K326),"")</f>
        <v/>
      </c>
      <c r="M326" s="55" cm="1">
        <f t="array" aca="1" ref="M326" ca="1">IF(K326=1,_xlfn.XLOOKUP(B326,OFFSET(IN_Zugliste!$A$4,0,0,IN_Zugliste!$A$2,1),OFFSET(IN_Zugliste!$K$4,0,0,IN_Zugliste!$A$2,1),0),0)+_xlfn.XLOOKUP(C326,OFFSET(IN_Zugliste!$A$4,0,0,IN_Zugliste!$A$2,1),OFFSET(IN_Zugliste!$K$4,0,0,IN_Zugliste!$A$2,1),0)</f>
        <v>62238</v>
      </c>
      <c r="N326" s="55" t="str" cm="1">
        <f t="array" aca="1" ref="N326" ca="1">IF(K326=1,_xlfn.XLOOKUP(B326,OFFSET(IN_Zugliste!$A$4,0,0,IN_Zugliste!$A$2,1),OFFSET(IN_Zugliste!$D$4,0,0,IN_Zugliste!$A$2,1),""),"")</f>
        <v/>
      </c>
      <c r="O326" s="55" t="str" cm="1">
        <f t="array" aca="1" ref="O326" ca="1">IF(L326&lt;&gt;"",L326,_xlfn.XLOOKUP(B326,OFFSET($C$4,0,0,$A$2,1),OFFSET($O$4,0,0,$A$2,1)))</f>
        <v>Composition 71</v>
      </c>
      <c r="P326" s="55" cm="1">
        <f t="array" aca="1" ref="P326" ca="1">MATCH(J326, _xlfn._xlws.FILTER($J$4:$J$430,$O$4:$O$430=O326), 0)+1</f>
        <v>5</v>
      </c>
      <c r="Q326" s="63" t="str">
        <f>_xlfn.XLOOKUP(B326, IN_Zugliste!A:A, IN_Zugliste!M:M, "")</f>
        <v>11:48:18</v>
      </c>
    </row>
    <row r="327" spans="1:17" ht="15" customHeight="1" x14ac:dyDescent="0.2">
      <c r="A327" s="63" t="s">
        <v>686</v>
      </c>
      <c r="B327" s="63" t="s">
        <v>349</v>
      </c>
      <c r="C327" s="63" t="s">
        <v>341</v>
      </c>
      <c r="D327" s="63" t="s">
        <v>1365</v>
      </c>
      <c r="E327" s="63" t="s">
        <v>688</v>
      </c>
      <c r="F327" s="63" t="s">
        <v>1733</v>
      </c>
      <c r="G327" s="63" t="s">
        <v>1734</v>
      </c>
      <c r="H327" s="63" t="s">
        <v>691</v>
      </c>
      <c r="I327" s="63" t="s">
        <v>1734</v>
      </c>
      <c r="J327" s="63" t="s">
        <v>1735</v>
      </c>
      <c r="K327" s="55">
        <f t="shared" ca="1" si="5"/>
        <v>1</v>
      </c>
      <c r="L327" s="56" t="str">
        <f ca="1">IF(K327&gt;0,"Composition "&amp;SUM(K$4:K327),"")</f>
        <v>Composition 72</v>
      </c>
      <c r="M327" s="55" cm="1">
        <f t="array" aca="1" ref="M327" ca="1">IF(K327=1,_xlfn.XLOOKUP(B327,OFFSET(IN_Zugliste!$A$4,0,0,IN_Zugliste!$A$2,1),OFFSET(IN_Zugliste!$K$4,0,0,IN_Zugliste!$A$2,1),0),0)+_xlfn.XLOOKUP(C327,OFFSET(IN_Zugliste!$A$4,0,0,IN_Zugliste!$A$2,1),OFFSET(IN_Zugliste!$K$4,0,0,IN_Zugliste!$A$2,1),0)</f>
        <v>308062</v>
      </c>
      <c r="N327" s="55" t="str" cm="1">
        <f t="array" aca="1" ref="N327" ca="1">IF(K327=1,_xlfn.XLOOKUP(B327,OFFSET(IN_Zugliste!$A$4,0,0,IN_Zugliste!$A$2,1),OFFSET(IN_Zugliste!$D$4,0,0,IN_Zugliste!$A$2,1),""),"")</f>
        <v>462-1.0</v>
      </c>
      <c r="O327" s="55" t="str" cm="1">
        <f t="array" aca="1" ref="O327" ca="1">IF(L327&lt;&gt;"",L327,_xlfn.XLOOKUP(B327,OFFSET($C$4,0,0,$A$2,1),OFFSET($O$4,0,0,$A$2,1)))</f>
        <v>Composition 72</v>
      </c>
      <c r="P327" s="55" cm="1">
        <f t="array" aca="1" ref="P327" ca="1">MATCH(J327, _xlfn._xlws.FILTER($J$4:$J$430,$O$4:$O$430=O327), 0)+1</f>
        <v>2</v>
      </c>
      <c r="Q327" s="63" t="str">
        <f>_xlfn.XLOOKUP(B327, IN_Zugliste!A:A, IN_Zugliste!M:M, "")</f>
        <v>06:14:33</v>
      </c>
    </row>
    <row r="328" spans="1:17" ht="15" customHeight="1" x14ac:dyDescent="0.2">
      <c r="A328" s="63" t="s">
        <v>686</v>
      </c>
      <c r="B328" s="63" t="s">
        <v>341</v>
      </c>
      <c r="C328" s="63" t="s">
        <v>354</v>
      </c>
      <c r="D328" s="63" t="s">
        <v>1111</v>
      </c>
      <c r="E328" s="63" t="s">
        <v>948</v>
      </c>
      <c r="F328" s="63" t="s">
        <v>1736</v>
      </c>
      <c r="G328" s="63" t="s">
        <v>1737</v>
      </c>
      <c r="H328" s="63" t="s">
        <v>691</v>
      </c>
      <c r="I328" s="63" t="s">
        <v>1738</v>
      </c>
      <c r="J328" s="63" t="s">
        <v>1739</v>
      </c>
      <c r="K328" s="55">
        <f t="shared" ca="1" si="5"/>
        <v>0</v>
      </c>
      <c r="L328" s="56" t="str">
        <f ca="1">IF(K328&gt;0,"Composition "&amp;SUM(K$4:K328),"")</f>
        <v/>
      </c>
      <c r="M328" s="55" cm="1">
        <f t="array" aca="1" ref="M328" ca="1">IF(K328=1,_xlfn.XLOOKUP(B328,OFFSET(IN_Zugliste!$A$4,0,0,IN_Zugliste!$A$2,1),OFFSET(IN_Zugliste!$K$4,0,0,IN_Zugliste!$A$2,1),0),0)+_xlfn.XLOOKUP(C328,OFFSET(IN_Zugliste!$A$4,0,0,IN_Zugliste!$A$2,1),OFFSET(IN_Zugliste!$K$4,0,0,IN_Zugliste!$A$2,1),0)</f>
        <v>154133</v>
      </c>
      <c r="N328" s="55" t="str" cm="1">
        <f t="array" aca="1" ref="N328" ca="1">IF(K328=1,_xlfn.XLOOKUP(B328,OFFSET(IN_Zugliste!$A$4,0,0,IN_Zugliste!$A$2,1),OFFSET(IN_Zugliste!$D$4,0,0,IN_Zugliste!$A$2,1),""),"")</f>
        <v/>
      </c>
      <c r="O328" s="55" t="str" cm="1">
        <f t="array" aca="1" ref="O328" ca="1">IF(L328&lt;&gt;"",L328,_xlfn.XLOOKUP(B328,OFFSET($C$4,0,0,$A$2,1),OFFSET($O$4,0,0,$A$2,1)))</f>
        <v>Composition 72</v>
      </c>
      <c r="P328" s="55" cm="1">
        <f t="array" aca="1" ref="P328" ca="1">MATCH(J328, _xlfn._xlws.FILTER($J$4:$J$430,$O$4:$O$430=O328), 0)+1</f>
        <v>3</v>
      </c>
      <c r="Q328" s="63" t="str">
        <f>_xlfn.XLOOKUP(B328, IN_Zugliste!A:A, IN_Zugliste!M:M, "")</f>
        <v>08:48:25</v>
      </c>
    </row>
    <row r="329" spans="1:17" ht="15" customHeight="1" x14ac:dyDescent="0.2">
      <c r="A329" s="63" t="s">
        <v>686</v>
      </c>
      <c r="B329" s="63" t="s">
        <v>354</v>
      </c>
      <c r="C329" s="63" t="s">
        <v>337</v>
      </c>
      <c r="D329" s="63" t="s">
        <v>1365</v>
      </c>
      <c r="E329" s="63" t="s">
        <v>688</v>
      </c>
      <c r="F329" s="63" t="s">
        <v>1740</v>
      </c>
      <c r="G329" s="63" t="s">
        <v>1741</v>
      </c>
      <c r="H329" s="63" t="s">
        <v>691</v>
      </c>
      <c r="I329" s="63" t="s">
        <v>1741</v>
      </c>
      <c r="J329" s="63" t="s">
        <v>1742</v>
      </c>
      <c r="K329" s="55">
        <f t="shared" ca="1" si="5"/>
        <v>0</v>
      </c>
      <c r="L329" s="56" t="str">
        <f ca="1">IF(K329&gt;0,"Composition "&amp;SUM(K$4:K329),"")</f>
        <v/>
      </c>
      <c r="M329" s="55" cm="1">
        <f t="array" aca="1" ref="M329" ca="1">IF(K329=1,_xlfn.XLOOKUP(B329,OFFSET(IN_Zugliste!$A$4,0,0,IN_Zugliste!$A$2,1),OFFSET(IN_Zugliste!$K$4,0,0,IN_Zugliste!$A$2,1),0),0)+_xlfn.XLOOKUP(C329,OFFSET(IN_Zugliste!$A$4,0,0,IN_Zugliste!$A$2,1),OFFSET(IN_Zugliste!$K$4,0,0,IN_Zugliste!$A$2,1),0)</f>
        <v>153929</v>
      </c>
      <c r="N329" s="55" t="str" cm="1">
        <f t="array" aca="1" ref="N329" ca="1">IF(K329=1,_xlfn.XLOOKUP(B329,OFFSET(IN_Zugliste!$A$4,0,0,IN_Zugliste!$A$2,1),OFFSET(IN_Zugliste!$D$4,0,0,IN_Zugliste!$A$2,1),""),"")</f>
        <v/>
      </c>
      <c r="O329" s="55" t="str" cm="1">
        <f t="array" aca="1" ref="O329" ca="1">IF(L329&lt;&gt;"",L329,_xlfn.XLOOKUP(B329,OFFSET($C$4,0,0,$A$2,1),OFFSET($O$4,0,0,$A$2,1)))</f>
        <v>Composition 72</v>
      </c>
      <c r="P329" s="55" cm="1">
        <f t="array" aca="1" ref="P329" ca="1">MATCH(J329, _xlfn._xlws.FILTER($J$4:$J$430,$O$4:$O$430=O329), 0)+1</f>
        <v>4</v>
      </c>
      <c r="Q329" s="63" t="str">
        <f>_xlfn.XLOOKUP(B329, IN_Zugliste!A:A, IN_Zugliste!M:M, "")</f>
        <v>11:14:33</v>
      </c>
    </row>
    <row r="330" spans="1:17" ht="15" customHeight="1" x14ac:dyDescent="0.2">
      <c r="A330" s="63" t="s">
        <v>686</v>
      </c>
      <c r="B330" s="63" t="s">
        <v>581</v>
      </c>
      <c r="C330" s="63" t="s">
        <v>598</v>
      </c>
      <c r="D330" s="63" t="s">
        <v>994</v>
      </c>
      <c r="E330" s="63" t="s">
        <v>688</v>
      </c>
      <c r="F330" s="63" t="s">
        <v>1743</v>
      </c>
      <c r="G330" s="63" t="s">
        <v>1744</v>
      </c>
      <c r="H330" s="63" t="s">
        <v>691</v>
      </c>
      <c r="I330" s="63" t="s">
        <v>1744</v>
      </c>
      <c r="J330" s="63" t="s">
        <v>1745</v>
      </c>
      <c r="K330" s="55">
        <f t="shared" ca="1" si="5"/>
        <v>1</v>
      </c>
      <c r="L330" s="56" t="str">
        <f ca="1">IF(K330&gt;0,"Composition "&amp;SUM(K$4:K330),"")</f>
        <v>Composition 73</v>
      </c>
      <c r="M330" s="55" cm="1">
        <f t="array" aca="1" ref="M330" ca="1">IF(K330=1,_xlfn.XLOOKUP(B330,OFFSET(IN_Zugliste!$A$4,0,0,IN_Zugliste!$A$2,1),OFFSET(IN_Zugliste!$K$4,0,0,IN_Zugliste!$A$2,1),0),0)+_xlfn.XLOOKUP(C330,OFFSET(IN_Zugliste!$A$4,0,0,IN_Zugliste!$A$2,1),OFFSET(IN_Zugliste!$K$4,0,0,IN_Zugliste!$A$2,1),0)</f>
        <v>448251</v>
      </c>
      <c r="N330" s="55" t="str" cm="1">
        <f t="array" aca="1" ref="N330" ca="1">IF(K330=1,_xlfn.XLOOKUP(B330,OFFSET(IN_Zugliste!$A$4,0,0,IN_Zugliste!$A$2,1),OFFSET(IN_Zugliste!$D$4,0,0,IN_Zugliste!$A$2,1),""),"")</f>
        <v>146-3.2</v>
      </c>
      <c r="O330" s="55" t="str" cm="1">
        <f t="array" aca="1" ref="O330" ca="1">IF(L330&lt;&gt;"",L330,_xlfn.XLOOKUP(B330,OFFSET($C$4,0,0,$A$2,1),OFFSET($O$4,0,0,$A$2,1)))</f>
        <v>Composition 73</v>
      </c>
      <c r="P330" s="55" cm="1">
        <f t="array" aca="1" ref="P330" ca="1">MATCH(J330, _xlfn._xlws.FILTER($J$4:$J$430,$O$4:$O$430=O330), 0)+1</f>
        <v>2</v>
      </c>
      <c r="Q330" s="63" t="str">
        <f>_xlfn.XLOOKUP(B330, IN_Zugliste!A:A, IN_Zugliste!M:M, "")</f>
        <v>05:25:20</v>
      </c>
    </row>
    <row r="331" spans="1:17" ht="15" customHeight="1" x14ac:dyDescent="0.2">
      <c r="A331" s="63" t="s">
        <v>686</v>
      </c>
      <c r="B331" s="63" t="s">
        <v>598</v>
      </c>
      <c r="C331" s="63" t="s">
        <v>568</v>
      </c>
      <c r="D331" s="63" t="s">
        <v>990</v>
      </c>
      <c r="E331" s="63" t="s">
        <v>688</v>
      </c>
      <c r="F331" s="63" t="s">
        <v>1746</v>
      </c>
      <c r="G331" s="63" t="s">
        <v>1747</v>
      </c>
      <c r="H331" s="63" t="s">
        <v>691</v>
      </c>
      <c r="I331" s="63" t="s">
        <v>1748</v>
      </c>
      <c r="J331" s="63" t="s">
        <v>1749</v>
      </c>
      <c r="K331" s="55">
        <f t="shared" ca="1" si="5"/>
        <v>0</v>
      </c>
      <c r="L331" s="56" t="str">
        <f ca="1">IF(K331&gt;0,"Composition "&amp;SUM(K$4:K331),"")</f>
        <v/>
      </c>
      <c r="M331" s="55" cm="1">
        <f t="array" aca="1" ref="M331" ca="1">IF(K331=1,_xlfn.XLOOKUP(B331,OFFSET(IN_Zugliste!$A$4,0,0,IN_Zugliste!$A$2,1),OFFSET(IN_Zugliste!$K$4,0,0,IN_Zugliste!$A$2,1),0),0)+_xlfn.XLOOKUP(C331,OFFSET(IN_Zugliste!$A$4,0,0,IN_Zugliste!$A$2,1),OFFSET(IN_Zugliste!$K$4,0,0,IN_Zugliste!$A$2,1),0)</f>
        <v>98831</v>
      </c>
      <c r="N331" s="55" t="str" cm="1">
        <f t="array" aca="1" ref="N331" ca="1">IF(K331=1,_xlfn.XLOOKUP(B331,OFFSET(IN_Zugliste!$A$4,0,0,IN_Zugliste!$A$2,1),OFFSET(IN_Zugliste!$D$4,0,0,IN_Zugliste!$A$2,1),""),"")</f>
        <v/>
      </c>
      <c r="O331" s="55" t="str" cm="1">
        <f t="array" aca="1" ref="O331" ca="1">IF(L331&lt;&gt;"",L331,_xlfn.XLOOKUP(B331,OFFSET($C$4,0,0,$A$2,1),OFFSET($O$4,0,0,$A$2,1)))</f>
        <v>Composition 73</v>
      </c>
      <c r="P331" s="55" cm="1">
        <f t="array" aca="1" ref="P331" ca="1">MATCH(J331, _xlfn._xlws.FILTER($J$4:$J$430,$O$4:$O$430=O331), 0)+1</f>
        <v>3</v>
      </c>
      <c r="Q331" s="63" t="str">
        <f>_xlfn.XLOOKUP(B331, IN_Zugliste!A:A, IN_Zugliste!M:M, "")</f>
        <v>08:49:22</v>
      </c>
    </row>
    <row r="332" spans="1:17" ht="15" customHeight="1" x14ac:dyDescent="0.2">
      <c r="A332" s="63" t="s">
        <v>686</v>
      </c>
      <c r="B332" s="63" t="s">
        <v>568</v>
      </c>
      <c r="C332" s="63" t="s">
        <v>572</v>
      </c>
      <c r="D332" s="63" t="s">
        <v>1097</v>
      </c>
      <c r="E332" s="63" t="s">
        <v>688</v>
      </c>
      <c r="F332" s="63" t="s">
        <v>1750</v>
      </c>
      <c r="G332" s="63" t="s">
        <v>1751</v>
      </c>
      <c r="H332" s="63" t="s">
        <v>691</v>
      </c>
      <c r="I332" s="63" t="s">
        <v>1751</v>
      </c>
      <c r="J332" s="63" t="s">
        <v>1752</v>
      </c>
      <c r="K332" s="55">
        <f t="shared" ca="1" si="5"/>
        <v>0</v>
      </c>
      <c r="L332" s="56" t="str">
        <f ca="1">IF(K332&gt;0,"Composition "&amp;SUM(K$4:K332),"")</f>
        <v/>
      </c>
      <c r="M332" s="55" cm="1">
        <f t="array" aca="1" ref="M332" ca="1">IF(K332=1,_xlfn.XLOOKUP(B332,OFFSET(IN_Zugliste!$A$4,0,0,IN_Zugliste!$A$2,1),OFFSET(IN_Zugliste!$K$4,0,0,IN_Zugliste!$A$2,1),0),0)+_xlfn.XLOOKUP(C332,OFFSET(IN_Zugliste!$A$4,0,0,IN_Zugliste!$A$2,1),OFFSET(IN_Zugliste!$K$4,0,0,IN_Zugliste!$A$2,1),0)</f>
        <v>98831</v>
      </c>
      <c r="N332" s="55" t="str" cm="1">
        <f t="array" aca="1" ref="N332" ca="1">IF(K332=1,_xlfn.XLOOKUP(B332,OFFSET(IN_Zugliste!$A$4,0,0,IN_Zugliste!$A$2,1),OFFSET(IN_Zugliste!$D$4,0,0,IN_Zugliste!$A$2,1),""),"")</f>
        <v/>
      </c>
      <c r="O332" s="55" t="str" cm="1">
        <f t="array" aca="1" ref="O332" ca="1">IF(L332&lt;&gt;"",L332,_xlfn.XLOOKUP(B332,OFFSET($C$4,0,0,$A$2,1),OFFSET($O$4,0,0,$A$2,1)))</f>
        <v>Composition 73</v>
      </c>
      <c r="P332" s="55" cm="1">
        <f t="array" aca="1" ref="P332" ca="1">MATCH(J332, _xlfn._xlws.FILTER($J$4:$J$430,$O$4:$O$430=O332), 0)+1</f>
        <v>4</v>
      </c>
      <c r="Q332" s="63" t="str">
        <f>_xlfn.XLOOKUP(B332, IN_Zugliste!A:A, IN_Zugliste!M:M, "")</f>
        <v>12:10:15</v>
      </c>
    </row>
    <row r="333" spans="1:17" ht="15" customHeight="1" x14ac:dyDescent="0.2">
      <c r="A333" s="63" t="s">
        <v>686</v>
      </c>
      <c r="B333" s="63" t="s">
        <v>628</v>
      </c>
      <c r="C333" s="63" t="s">
        <v>642</v>
      </c>
      <c r="D333" s="63" t="s">
        <v>1176</v>
      </c>
      <c r="E333" s="63" t="s">
        <v>688</v>
      </c>
      <c r="F333" s="63" t="s">
        <v>1753</v>
      </c>
      <c r="G333" s="63" t="s">
        <v>1754</v>
      </c>
      <c r="H333" s="63" t="s">
        <v>691</v>
      </c>
      <c r="I333" s="63" t="s">
        <v>1754</v>
      </c>
      <c r="J333" s="63" t="s">
        <v>1755</v>
      </c>
      <c r="K333" s="55">
        <f t="shared" ca="1" si="5"/>
        <v>1</v>
      </c>
      <c r="L333" s="56" t="str">
        <f ca="1">IF(K333&gt;0,"Composition "&amp;SUM(K$4:K333),"")</f>
        <v>Composition 74</v>
      </c>
      <c r="M333" s="55" cm="1">
        <f t="array" aca="1" ref="M333" ca="1">IF(K333=1,_xlfn.XLOOKUP(B333,OFFSET(IN_Zugliste!$A$4,0,0,IN_Zugliste!$A$2,1),OFFSET(IN_Zugliste!$K$4,0,0,IN_Zugliste!$A$2,1),0),0)+_xlfn.XLOOKUP(C333,OFFSET(IN_Zugliste!$A$4,0,0,IN_Zugliste!$A$2,1),OFFSET(IN_Zugliste!$K$4,0,0,IN_Zugliste!$A$2,1),0)</f>
        <v>194485</v>
      </c>
      <c r="N333" s="55" t="str" cm="1">
        <f t="array" aca="1" ref="N333" ca="1">IF(K333=1,_xlfn.XLOOKUP(B333,OFFSET(IN_Zugliste!$A$4,0,0,IN_Zugliste!$A$2,1),OFFSET(IN_Zugliste!$D$4,0,0,IN_Zugliste!$A$2,1),""),"")</f>
        <v>462-1.0</v>
      </c>
      <c r="O333" s="55" t="str" cm="1">
        <f t="array" aca="1" ref="O333" ca="1">IF(L333&lt;&gt;"",L333,_xlfn.XLOOKUP(B333,OFFSET($C$4,0,0,$A$2,1),OFFSET($O$4,0,0,$A$2,1)))</f>
        <v>Composition 74</v>
      </c>
      <c r="P333" s="55" cm="1">
        <f t="array" aca="1" ref="P333" ca="1">MATCH(J333, _xlfn._xlws.FILTER($J$4:$J$430,$O$4:$O$430=O333), 0)+1</f>
        <v>2</v>
      </c>
      <c r="Q333" s="63" t="str">
        <f>_xlfn.XLOOKUP(B333, IN_Zugliste!A:A, IN_Zugliste!M:M, "")</f>
        <v>06:08:57</v>
      </c>
    </row>
    <row r="334" spans="1:17" ht="15" customHeight="1" x14ac:dyDescent="0.2">
      <c r="A334" s="63" t="s">
        <v>686</v>
      </c>
      <c r="B334" s="63" t="s">
        <v>642</v>
      </c>
      <c r="C334" s="63" t="s">
        <v>633</v>
      </c>
      <c r="D334" s="63" t="s">
        <v>727</v>
      </c>
      <c r="E334" s="63" t="s">
        <v>688</v>
      </c>
      <c r="F334" s="63" t="s">
        <v>1756</v>
      </c>
      <c r="G334" s="63" t="s">
        <v>1757</v>
      </c>
      <c r="H334" s="63" t="s">
        <v>691</v>
      </c>
      <c r="I334" s="63" t="s">
        <v>1757</v>
      </c>
      <c r="J334" s="63" t="s">
        <v>1758</v>
      </c>
      <c r="K334" s="55">
        <f t="shared" ca="1" si="5"/>
        <v>0</v>
      </c>
      <c r="L334" s="56" t="str">
        <f ca="1">IF(K334&gt;0,"Composition "&amp;SUM(K$4:K334),"")</f>
        <v/>
      </c>
      <c r="M334" s="55" cm="1">
        <f t="array" aca="1" ref="M334" ca="1">IF(K334=1,_xlfn.XLOOKUP(B334,OFFSET(IN_Zugliste!$A$4,0,0,IN_Zugliste!$A$2,1),OFFSET(IN_Zugliste!$K$4,0,0,IN_Zugliste!$A$2,1),0),0)+_xlfn.XLOOKUP(C334,OFFSET(IN_Zugliste!$A$4,0,0,IN_Zugliste!$A$2,1),OFFSET(IN_Zugliste!$K$4,0,0,IN_Zugliste!$A$2,1),0)</f>
        <v>97293</v>
      </c>
      <c r="N334" s="55" t="str" cm="1">
        <f t="array" aca="1" ref="N334" ca="1">IF(K334=1,_xlfn.XLOOKUP(B334,OFFSET(IN_Zugliste!$A$4,0,0,IN_Zugliste!$A$2,1),OFFSET(IN_Zugliste!$D$4,0,0,IN_Zugliste!$A$2,1),""),"")</f>
        <v/>
      </c>
      <c r="O334" s="55" t="str" cm="1">
        <f t="array" aca="1" ref="O334" ca="1">IF(L334&lt;&gt;"",L334,_xlfn.XLOOKUP(B334,OFFSET($C$4,0,0,$A$2,1),OFFSET($O$4,0,0,$A$2,1)))</f>
        <v>Composition 74</v>
      </c>
      <c r="P334" s="55" cm="1">
        <f t="array" aca="1" ref="P334" ca="1">MATCH(J334, _xlfn._xlws.FILTER($J$4:$J$430,$O$4:$O$430=O334), 0)+1</f>
        <v>3</v>
      </c>
      <c r="Q334" s="63" t="str">
        <f>_xlfn.XLOOKUP(B334, IN_Zugliste!A:A, IN_Zugliste!M:M, "")</f>
        <v>08:40:42</v>
      </c>
    </row>
    <row r="335" spans="1:17" ht="15" customHeight="1" x14ac:dyDescent="0.2">
      <c r="A335" s="63" t="s">
        <v>686</v>
      </c>
      <c r="B335" s="63" t="s">
        <v>633</v>
      </c>
      <c r="C335" s="63" t="s">
        <v>638</v>
      </c>
      <c r="D335" s="63" t="s">
        <v>1176</v>
      </c>
      <c r="E335" s="63" t="s">
        <v>688</v>
      </c>
      <c r="F335" s="63" t="s">
        <v>1759</v>
      </c>
      <c r="G335" s="63" t="s">
        <v>1760</v>
      </c>
      <c r="H335" s="63" t="s">
        <v>691</v>
      </c>
      <c r="I335" s="63" t="s">
        <v>1760</v>
      </c>
      <c r="J335" s="63" t="s">
        <v>1761</v>
      </c>
      <c r="K335" s="55">
        <f t="shared" ca="1" si="5"/>
        <v>0</v>
      </c>
      <c r="L335" s="56" t="str">
        <f ca="1">IF(K335&gt;0,"Composition "&amp;SUM(K$4:K335),"")</f>
        <v/>
      </c>
      <c r="M335" s="55" cm="1">
        <f t="array" aca="1" ref="M335" ca="1">IF(K335=1,_xlfn.XLOOKUP(B335,OFFSET(IN_Zugliste!$A$4,0,0,IN_Zugliste!$A$2,1),OFFSET(IN_Zugliste!$K$4,0,0,IN_Zugliste!$A$2,1),0),0)+_xlfn.XLOOKUP(C335,OFFSET(IN_Zugliste!$A$4,0,0,IN_Zugliste!$A$2,1),OFFSET(IN_Zugliste!$K$4,0,0,IN_Zugliste!$A$2,1),0)</f>
        <v>97192</v>
      </c>
      <c r="N335" s="55" t="str" cm="1">
        <f t="array" aca="1" ref="N335" ca="1">IF(K335=1,_xlfn.XLOOKUP(B335,OFFSET(IN_Zugliste!$A$4,0,0,IN_Zugliste!$A$2,1),OFFSET(IN_Zugliste!$D$4,0,0,IN_Zugliste!$A$2,1),""),"")</f>
        <v/>
      </c>
      <c r="O335" s="55" t="str" cm="1">
        <f t="array" aca="1" ref="O335" ca="1">IF(L335&lt;&gt;"",L335,_xlfn.XLOOKUP(B335,OFFSET($C$4,0,0,$A$2,1),OFFSET($O$4,0,0,$A$2,1)))</f>
        <v>Composition 74</v>
      </c>
      <c r="P335" s="55" cm="1">
        <f t="array" aca="1" ref="P335" ca="1">MATCH(J335, _xlfn._xlws.FILTER($J$4:$J$430,$O$4:$O$430=O335), 0)+1</f>
        <v>4</v>
      </c>
      <c r="Q335" s="63" t="str">
        <f>_xlfn.XLOOKUP(B335, IN_Zugliste!A:A, IN_Zugliste!M:M, "")</f>
        <v>11:08:57</v>
      </c>
    </row>
    <row r="336" spans="1:17" ht="15" customHeight="1" x14ac:dyDescent="0.2">
      <c r="A336" s="63" t="s">
        <v>686</v>
      </c>
      <c r="B336" s="63" t="s">
        <v>445</v>
      </c>
      <c r="C336" s="63" t="s">
        <v>418</v>
      </c>
      <c r="D336" s="63" t="s">
        <v>1068</v>
      </c>
      <c r="E336" s="63" t="s">
        <v>688</v>
      </c>
      <c r="F336" s="63" t="s">
        <v>1753</v>
      </c>
      <c r="G336" s="63" t="s">
        <v>1762</v>
      </c>
      <c r="H336" s="63" t="s">
        <v>691</v>
      </c>
      <c r="I336" s="63" t="s">
        <v>1762</v>
      </c>
      <c r="J336" s="63" t="s">
        <v>1763</v>
      </c>
      <c r="K336" s="55">
        <f t="shared" ca="1" si="5"/>
        <v>1</v>
      </c>
      <c r="L336" s="56" t="str">
        <f ca="1">IF(K336&gt;0,"Composition "&amp;SUM(K$4:K336),"")</f>
        <v>Composition 75</v>
      </c>
      <c r="M336" s="55" cm="1">
        <f t="array" aca="1" ref="M336" ca="1">IF(K336=1,_xlfn.XLOOKUP(B336,OFFSET(IN_Zugliste!$A$4,0,0,IN_Zugliste!$A$2,1),OFFSET(IN_Zugliste!$K$4,0,0,IN_Zugliste!$A$2,1),0),0)+_xlfn.XLOOKUP(C336,OFFSET(IN_Zugliste!$A$4,0,0,IN_Zugliste!$A$2,1),OFFSET(IN_Zugliste!$K$4,0,0,IN_Zugliste!$A$2,1),0)</f>
        <v>479717</v>
      </c>
      <c r="N336" s="55" t="str" cm="1">
        <f t="array" aca="1" ref="N336" ca="1">IF(K336=1,_xlfn.XLOOKUP(B336,OFFSET(IN_Zugliste!$A$4,0,0,IN_Zugliste!$A$2,1),OFFSET(IN_Zugliste!$D$4,0,0,IN_Zugliste!$A$2,1),""),"")</f>
        <v>462-1.0</v>
      </c>
      <c r="O336" s="55" t="str" cm="1">
        <f t="array" aca="1" ref="O336" ca="1">IF(L336&lt;&gt;"",L336,_xlfn.XLOOKUP(B336,OFFSET($C$4,0,0,$A$2,1),OFFSET($O$4,0,0,$A$2,1)))</f>
        <v>Composition 75</v>
      </c>
      <c r="P336" s="55" cm="1">
        <f t="array" aca="1" ref="P336" ca="1">MATCH(J336, _xlfn._xlws.FILTER($J$4:$J$430,$O$4:$O$430=O336), 0)+1</f>
        <v>2</v>
      </c>
      <c r="Q336" s="63" t="str">
        <f>_xlfn.XLOOKUP(B336, IN_Zugliste!A:A, IN_Zugliste!M:M, "")</f>
        <v>05:19:36</v>
      </c>
    </row>
    <row r="337" spans="1:17" ht="15" customHeight="1" x14ac:dyDescent="0.2">
      <c r="A337" s="63" t="s">
        <v>686</v>
      </c>
      <c r="B337" s="63" t="s">
        <v>418</v>
      </c>
      <c r="C337" s="63" t="s">
        <v>410</v>
      </c>
      <c r="D337" s="63" t="s">
        <v>1517</v>
      </c>
      <c r="E337" s="63" t="s">
        <v>688</v>
      </c>
      <c r="F337" s="63" t="s">
        <v>1764</v>
      </c>
      <c r="G337" s="63" t="s">
        <v>1765</v>
      </c>
      <c r="H337" s="63" t="s">
        <v>691</v>
      </c>
      <c r="I337" s="63" t="s">
        <v>1765</v>
      </c>
      <c r="J337" s="63" t="s">
        <v>1766</v>
      </c>
      <c r="K337" s="55">
        <f t="shared" ca="1" si="5"/>
        <v>0</v>
      </c>
      <c r="L337" s="56" t="str">
        <f ca="1">IF(K337&gt;0,"Composition "&amp;SUM(K$4:K337),"")</f>
        <v/>
      </c>
      <c r="M337" s="55" cm="1">
        <f t="array" aca="1" ref="M337" ca="1">IF(K337=1,_xlfn.XLOOKUP(B337,OFFSET(IN_Zugliste!$A$4,0,0,IN_Zugliste!$A$2,1),OFFSET(IN_Zugliste!$K$4,0,0,IN_Zugliste!$A$2,1),0),0)+_xlfn.XLOOKUP(C337,OFFSET(IN_Zugliste!$A$4,0,0,IN_Zugliste!$A$2,1),OFFSET(IN_Zugliste!$K$4,0,0,IN_Zugliste!$A$2,1),0)</f>
        <v>238382</v>
      </c>
      <c r="N337" s="55" t="str" cm="1">
        <f t="array" aca="1" ref="N337" ca="1">IF(K337=1,_xlfn.XLOOKUP(B337,OFFSET(IN_Zugliste!$A$4,0,0,IN_Zugliste!$A$2,1),OFFSET(IN_Zugliste!$D$4,0,0,IN_Zugliste!$A$2,1),""),"")</f>
        <v/>
      </c>
      <c r="O337" s="55" t="str" cm="1">
        <f t="array" aca="1" ref="O337" ca="1">IF(L337&lt;&gt;"",L337,_xlfn.XLOOKUP(B337,OFFSET($C$4,0,0,$A$2,1),OFFSET($O$4,0,0,$A$2,1)))</f>
        <v>Composition 75</v>
      </c>
      <c r="P337" s="55" cm="1">
        <f t="array" aca="1" ref="P337" ca="1">MATCH(J337, _xlfn._xlws.FILTER($J$4:$J$430,$O$4:$O$430=O337), 0)+1</f>
        <v>3</v>
      </c>
      <c r="Q337" s="63" t="str">
        <f>_xlfn.XLOOKUP(B337, IN_Zugliste!A:A, IN_Zugliste!M:M, "")</f>
        <v>08:47:07</v>
      </c>
    </row>
    <row r="338" spans="1:17" ht="15" customHeight="1" x14ac:dyDescent="0.2">
      <c r="A338" s="63" t="s">
        <v>686</v>
      </c>
      <c r="B338" s="63" t="s">
        <v>188</v>
      </c>
      <c r="C338" s="63" t="s">
        <v>182</v>
      </c>
      <c r="D338" s="63" t="s">
        <v>990</v>
      </c>
      <c r="E338" s="63" t="s">
        <v>688</v>
      </c>
      <c r="F338" s="63" t="s">
        <v>1767</v>
      </c>
      <c r="G338" s="63" t="s">
        <v>1768</v>
      </c>
      <c r="H338" s="63" t="s">
        <v>691</v>
      </c>
      <c r="I338" s="63" t="s">
        <v>1768</v>
      </c>
      <c r="J338" s="63" t="s">
        <v>1769</v>
      </c>
      <c r="K338" s="55">
        <f t="shared" ca="1" si="5"/>
        <v>1</v>
      </c>
      <c r="L338" s="56" t="str">
        <f ca="1">IF(K338&gt;0,"Composition "&amp;SUM(K$4:K338),"")</f>
        <v>Composition 76</v>
      </c>
      <c r="M338" s="55" cm="1">
        <f t="array" aca="1" ref="M338" ca="1">IF(K338=1,_xlfn.XLOOKUP(B338,OFFSET(IN_Zugliste!$A$4,0,0,IN_Zugliste!$A$2,1),OFFSET(IN_Zugliste!$K$4,0,0,IN_Zugliste!$A$2,1),0),0)+_xlfn.XLOOKUP(C338,OFFSET(IN_Zugliste!$A$4,0,0,IN_Zugliste!$A$2,1),OFFSET(IN_Zugliste!$K$4,0,0,IN_Zugliste!$A$2,1),0)</f>
        <v>314467</v>
      </c>
      <c r="N338" s="55" t="str" cm="1">
        <f t="array" aca="1" ref="N338" ca="1">IF(K338=1,_xlfn.XLOOKUP(B338,OFFSET(IN_Zugliste!$A$4,0,0,IN_Zugliste!$A$2,1),OFFSET(IN_Zugliste!$D$4,0,0,IN_Zugliste!$A$2,1),""),"")</f>
        <v>462-1.0</v>
      </c>
      <c r="O338" s="55" t="str" cm="1">
        <f t="array" aca="1" ref="O338" ca="1">IF(L338&lt;&gt;"",L338,_xlfn.XLOOKUP(B338,OFFSET($C$4,0,0,$A$2,1),OFFSET($O$4,0,0,$A$2,1)))</f>
        <v>Composition 76</v>
      </c>
      <c r="P338" s="55" cm="1">
        <f t="array" aca="1" ref="P338" ca="1">MATCH(J338, _xlfn._xlws.FILTER($J$4:$J$430,$O$4:$O$430=O338), 0)+1</f>
        <v>2</v>
      </c>
      <c r="Q338" s="63" t="str">
        <f>_xlfn.XLOOKUP(B338, IN_Zugliste!A:A, IN_Zugliste!M:M, "")</f>
        <v>05:53:24</v>
      </c>
    </row>
    <row r="339" spans="1:17" ht="15" customHeight="1" x14ac:dyDescent="0.2">
      <c r="A339" s="63" t="s">
        <v>686</v>
      </c>
      <c r="B339" s="63" t="s">
        <v>182</v>
      </c>
      <c r="C339" s="63" t="s">
        <v>218</v>
      </c>
      <c r="D339" s="63" t="s">
        <v>811</v>
      </c>
      <c r="E339" s="63" t="s">
        <v>688</v>
      </c>
      <c r="F339" s="63" t="s">
        <v>1770</v>
      </c>
      <c r="G339" s="63" t="s">
        <v>1771</v>
      </c>
      <c r="H339" s="63" t="s">
        <v>691</v>
      </c>
      <c r="I339" s="63" t="s">
        <v>1771</v>
      </c>
      <c r="J339" s="63" t="s">
        <v>1772</v>
      </c>
      <c r="K339" s="55">
        <f t="shared" ca="1" si="5"/>
        <v>0</v>
      </c>
      <c r="L339" s="56" t="str">
        <f ca="1">IF(K339&gt;0,"Composition "&amp;SUM(K$4:K339),"")</f>
        <v/>
      </c>
      <c r="M339" s="55" cm="1">
        <f t="array" aca="1" ref="M339" ca="1">IF(K339=1,_xlfn.XLOOKUP(B339,OFFSET(IN_Zugliste!$A$4,0,0,IN_Zugliste!$A$2,1),OFFSET(IN_Zugliste!$K$4,0,0,IN_Zugliste!$A$2,1),0),0)+_xlfn.XLOOKUP(C339,OFFSET(IN_Zugliste!$A$4,0,0,IN_Zugliste!$A$2,1),OFFSET(IN_Zugliste!$K$4,0,0,IN_Zugliste!$A$2,1),0)</f>
        <v>157858</v>
      </c>
      <c r="N339" s="55" t="str" cm="1">
        <f t="array" aca="1" ref="N339" ca="1">IF(K339=1,_xlfn.XLOOKUP(B339,OFFSET(IN_Zugliste!$A$4,0,0,IN_Zugliste!$A$2,1),OFFSET(IN_Zugliste!$D$4,0,0,IN_Zugliste!$A$2,1),""),"")</f>
        <v/>
      </c>
      <c r="O339" s="55" t="str" cm="1">
        <f t="array" aca="1" ref="O339" ca="1">IF(L339&lt;&gt;"",L339,_xlfn.XLOOKUP(B339,OFFSET($C$4,0,0,$A$2,1),OFFSET($O$4,0,0,$A$2,1)))</f>
        <v>Composition 76</v>
      </c>
      <c r="P339" s="55" cm="1">
        <f t="array" aca="1" ref="P339" ca="1">MATCH(J339, _xlfn._xlws.FILTER($J$4:$J$430,$O$4:$O$430=O339), 0)+1</f>
        <v>3</v>
      </c>
      <c r="Q339" s="63" t="str">
        <f>_xlfn.XLOOKUP(B339, IN_Zugliste!A:A, IN_Zugliste!M:M, "")</f>
        <v>08:40:57</v>
      </c>
    </row>
    <row r="340" spans="1:17" ht="15" customHeight="1" x14ac:dyDescent="0.2">
      <c r="A340" s="63" t="s">
        <v>686</v>
      </c>
      <c r="B340" s="63" t="s">
        <v>218</v>
      </c>
      <c r="C340" s="63" t="s">
        <v>201</v>
      </c>
      <c r="D340" s="63" t="s">
        <v>990</v>
      </c>
      <c r="E340" s="63" t="s">
        <v>688</v>
      </c>
      <c r="F340" s="63" t="s">
        <v>1673</v>
      </c>
      <c r="G340" s="63" t="s">
        <v>1773</v>
      </c>
      <c r="H340" s="63" t="s">
        <v>691</v>
      </c>
      <c r="I340" s="63" t="s">
        <v>1773</v>
      </c>
      <c r="J340" s="63" t="s">
        <v>1774</v>
      </c>
      <c r="K340" s="55">
        <f t="shared" ca="1" si="5"/>
        <v>0</v>
      </c>
      <c r="L340" s="56" t="str">
        <f ca="1">IF(K340&gt;0,"Composition "&amp;SUM(K$4:K340),"")</f>
        <v/>
      </c>
      <c r="M340" s="55" cm="1">
        <f t="array" aca="1" ref="M340" ca="1">IF(K340=1,_xlfn.XLOOKUP(B340,OFFSET(IN_Zugliste!$A$4,0,0,IN_Zugliste!$A$2,1),OFFSET(IN_Zugliste!$K$4,0,0,IN_Zugliste!$A$2,1),0),0)+_xlfn.XLOOKUP(C340,OFFSET(IN_Zugliste!$A$4,0,0,IN_Zugliste!$A$2,1),OFFSET(IN_Zugliste!$K$4,0,0,IN_Zugliste!$A$2,1),0)</f>
        <v>156609</v>
      </c>
      <c r="N340" s="55" t="str" cm="1">
        <f t="array" aca="1" ref="N340" ca="1">IF(K340=1,_xlfn.XLOOKUP(B340,OFFSET(IN_Zugliste!$A$4,0,0,IN_Zugliste!$A$2,1),OFFSET(IN_Zugliste!$D$4,0,0,IN_Zugliste!$A$2,1),""),"")</f>
        <v/>
      </c>
      <c r="O340" s="55" t="str" cm="1">
        <f t="array" aca="1" ref="O340" ca="1">IF(L340&lt;&gt;"",L340,_xlfn.XLOOKUP(B340,OFFSET($C$4,0,0,$A$2,1),OFFSET($O$4,0,0,$A$2,1)))</f>
        <v>Composition 76</v>
      </c>
      <c r="P340" s="55" cm="1">
        <f t="array" aca="1" ref="P340" ca="1">MATCH(J340, _xlfn._xlws.FILTER($J$4:$J$430,$O$4:$O$430=O340), 0)+1</f>
        <v>4</v>
      </c>
      <c r="Q340" s="63" t="str">
        <f>_xlfn.XLOOKUP(B340, IN_Zugliste!A:A, IN_Zugliste!M:M, "")</f>
        <v>11:22:50</v>
      </c>
    </row>
    <row r="341" spans="1:17" ht="15" customHeight="1" x14ac:dyDescent="0.2">
      <c r="A341" s="63" t="s">
        <v>686</v>
      </c>
      <c r="B341" s="63" t="s">
        <v>563</v>
      </c>
      <c r="C341" s="63" t="s">
        <v>576</v>
      </c>
      <c r="D341" s="63" t="s">
        <v>1097</v>
      </c>
      <c r="E341" s="63" t="s">
        <v>688</v>
      </c>
      <c r="F341" s="63" t="s">
        <v>1775</v>
      </c>
      <c r="G341" s="63" t="s">
        <v>1776</v>
      </c>
      <c r="H341" s="63" t="s">
        <v>691</v>
      </c>
      <c r="I341" s="63" t="s">
        <v>1776</v>
      </c>
      <c r="J341" s="63" t="s">
        <v>1777</v>
      </c>
      <c r="K341" s="55">
        <f t="shared" ca="1" si="5"/>
        <v>1</v>
      </c>
      <c r="L341" s="56" t="str">
        <f ca="1">IF(K341&gt;0,"Composition "&amp;SUM(K$4:K341),"")</f>
        <v>Composition 77</v>
      </c>
      <c r="M341" s="55" cm="1">
        <f t="array" aca="1" ref="M341" ca="1">IF(K341=1,_xlfn.XLOOKUP(B341,OFFSET(IN_Zugliste!$A$4,0,0,IN_Zugliste!$A$2,1),OFFSET(IN_Zugliste!$K$4,0,0,IN_Zugliste!$A$2,1),0),0)+_xlfn.XLOOKUP(C341,OFFSET(IN_Zugliste!$A$4,0,0,IN_Zugliste!$A$2,1),OFFSET(IN_Zugliste!$K$4,0,0,IN_Zugliste!$A$2,1),0)</f>
        <v>197662</v>
      </c>
      <c r="N341" s="55" t="str" cm="1">
        <f t="array" aca="1" ref="N341" ca="1">IF(K341=1,_xlfn.XLOOKUP(B341,OFFSET(IN_Zugliste!$A$4,0,0,IN_Zugliste!$A$2,1),OFFSET(IN_Zugliste!$D$4,0,0,IN_Zugliste!$A$2,1),""),"")</f>
        <v>146-3.2</v>
      </c>
      <c r="O341" s="55" t="str" cm="1">
        <f t="array" aca="1" ref="O341" ca="1">IF(L341&lt;&gt;"",L341,_xlfn.XLOOKUP(B341,OFFSET($C$4,0,0,$A$2,1),OFFSET($O$4,0,0,$A$2,1)))</f>
        <v>Composition 77</v>
      </c>
      <c r="P341" s="55" cm="1">
        <f t="array" aca="1" ref="P341" ca="1">MATCH(J341, _xlfn._xlws.FILTER($J$4:$J$430,$O$4:$O$430=O341), 0)+1</f>
        <v>2</v>
      </c>
      <c r="Q341" s="63" t="str">
        <f>_xlfn.XLOOKUP(B341, IN_Zugliste!A:A, IN_Zugliste!M:M, "")</f>
        <v>07:10:15</v>
      </c>
    </row>
    <row r="342" spans="1:17" ht="15" customHeight="1" x14ac:dyDescent="0.2">
      <c r="A342" s="63" t="s">
        <v>686</v>
      </c>
      <c r="B342" s="63" t="s">
        <v>576</v>
      </c>
      <c r="C342" s="63" t="s">
        <v>588</v>
      </c>
      <c r="D342" s="63" t="s">
        <v>990</v>
      </c>
      <c r="E342" s="63" t="s">
        <v>688</v>
      </c>
      <c r="F342" s="63" t="s">
        <v>1778</v>
      </c>
      <c r="G342" s="63" t="s">
        <v>1779</v>
      </c>
      <c r="H342" s="63" t="s">
        <v>691</v>
      </c>
      <c r="I342" s="63" t="s">
        <v>1779</v>
      </c>
      <c r="J342" s="63" t="s">
        <v>1780</v>
      </c>
      <c r="K342" s="55">
        <f t="shared" ca="1" si="5"/>
        <v>0</v>
      </c>
      <c r="L342" s="56" t="str">
        <f ca="1">IF(K342&gt;0,"Composition "&amp;SUM(K$4:K342),"")</f>
        <v/>
      </c>
      <c r="M342" s="55" cm="1">
        <f t="array" aca="1" ref="M342" ca="1">IF(K342=1,_xlfn.XLOOKUP(B342,OFFSET(IN_Zugliste!$A$4,0,0,IN_Zugliste!$A$2,1),OFFSET(IN_Zugliste!$K$4,0,0,IN_Zugliste!$A$2,1),0),0)+_xlfn.XLOOKUP(C342,OFFSET(IN_Zugliste!$A$4,0,0,IN_Zugliste!$A$2,1),OFFSET(IN_Zugliste!$K$4,0,0,IN_Zugliste!$A$2,1),0)</f>
        <v>224120</v>
      </c>
      <c r="N342" s="55" t="str" cm="1">
        <f t="array" aca="1" ref="N342" ca="1">IF(K342=1,_xlfn.XLOOKUP(B342,OFFSET(IN_Zugliste!$A$4,0,0,IN_Zugliste!$A$2,1),OFFSET(IN_Zugliste!$D$4,0,0,IN_Zugliste!$A$2,1),""),"")</f>
        <v/>
      </c>
      <c r="O342" s="55" t="str" cm="1">
        <f t="array" aca="1" ref="O342" ca="1">IF(L342&lt;&gt;"",L342,_xlfn.XLOOKUP(B342,OFFSET($C$4,0,0,$A$2,1),OFFSET($O$4,0,0,$A$2,1)))</f>
        <v>Composition 77</v>
      </c>
      <c r="P342" s="55" cm="1">
        <f t="array" aca="1" ref="P342" ca="1">MATCH(J342, _xlfn._xlws.FILTER($J$4:$J$430,$O$4:$O$430=O342), 0)+1</f>
        <v>3</v>
      </c>
      <c r="Q342" s="63" t="str">
        <f>_xlfn.XLOOKUP(B342, IN_Zugliste!A:A, IN_Zugliste!M:M, "")</f>
        <v>08:50:55</v>
      </c>
    </row>
    <row r="343" spans="1:17" ht="15" customHeight="1" x14ac:dyDescent="0.2">
      <c r="A343" s="63" t="s">
        <v>686</v>
      </c>
      <c r="B343" s="63" t="s">
        <v>588</v>
      </c>
      <c r="C343" s="63" t="s">
        <v>594</v>
      </c>
      <c r="D343" s="63" t="s">
        <v>994</v>
      </c>
      <c r="E343" s="63" t="s">
        <v>688</v>
      </c>
      <c r="F343" s="63" t="s">
        <v>1781</v>
      </c>
      <c r="G343" s="63" t="s">
        <v>1782</v>
      </c>
      <c r="H343" s="63" t="s">
        <v>691</v>
      </c>
      <c r="I343" s="63" t="s">
        <v>1782</v>
      </c>
      <c r="J343" s="63" t="s">
        <v>1783</v>
      </c>
      <c r="K343" s="55">
        <f t="shared" ca="1" si="5"/>
        <v>0</v>
      </c>
      <c r="L343" s="56" t="str">
        <f ca="1">IF(K343&gt;0,"Composition "&amp;SUM(K$4:K343),"")</f>
        <v/>
      </c>
      <c r="M343" s="55" cm="1">
        <f t="array" aca="1" ref="M343" ca="1">IF(K343=1,_xlfn.XLOOKUP(B343,OFFSET(IN_Zugliste!$A$4,0,0,IN_Zugliste!$A$2,1),OFFSET(IN_Zugliste!$K$4,0,0,IN_Zugliste!$A$2,1),0),0)+_xlfn.XLOOKUP(C343,OFFSET(IN_Zugliste!$A$4,0,0,IN_Zugliste!$A$2,1),OFFSET(IN_Zugliste!$K$4,0,0,IN_Zugliste!$A$2,1),0)</f>
        <v>224131</v>
      </c>
      <c r="N343" s="55" t="str" cm="1">
        <f t="array" aca="1" ref="N343" ca="1">IF(K343=1,_xlfn.XLOOKUP(B343,OFFSET(IN_Zugliste!$A$4,0,0,IN_Zugliste!$A$2,1),OFFSET(IN_Zugliste!$D$4,0,0,IN_Zugliste!$A$2,1),""),"")</f>
        <v/>
      </c>
      <c r="O343" s="55" t="str" cm="1">
        <f t="array" aca="1" ref="O343" ca="1">IF(L343&lt;&gt;"",L343,_xlfn.XLOOKUP(B343,OFFSET($C$4,0,0,$A$2,1),OFFSET($O$4,0,0,$A$2,1)))</f>
        <v>Composition 77</v>
      </c>
      <c r="P343" s="55" cm="1">
        <f t="array" aca="1" ref="P343" ca="1">MATCH(J343, _xlfn._xlws.FILTER($J$4:$J$430,$O$4:$O$430=O343), 0)+1</f>
        <v>4</v>
      </c>
      <c r="Q343" s="63" t="str">
        <f>_xlfn.XLOOKUP(B343, IN_Zugliste!A:A, IN_Zugliste!M:M, "")</f>
        <v>10:25:20</v>
      </c>
    </row>
    <row r="344" spans="1:17" ht="15" customHeight="1" x14ac:dyDescent="0.2">
      <c r="A344" s="63" t="s">
        <v>686</v>
      </c>
      <c r="B344" s="63" t="s">
        <v>166</v>
      </c>
      <c r="C344" s="63" t="s">
        <v>160</v>
      </c>
      <c r="D344" s="63" t="s">
        <v>811</v>
      </c>
      <c r="E344" s="63" t="s">
        <v>688</v>
      </c>
      <c r="F344" s="63" t="s">
        <v>1656</v>
      </c>
      <c r="G344" s="63" t="s">
        <v>1784</v>
      </c>
      <c r="H344" s="63" t="s">
        <v>691</v>
      </c>
      <c r="I344" s="63" t="s">
        <v>1784</v>
      </c>
      <c r="J344" s="63" t="s">
        <v>1785</v>
      </c>
      <c r="K344" s="55">
        <f t="shared" ca="1" si="5"/>
        <v>1</v>
      </c>
      <c r="L344" s="56" t="str">
        <f ca="1">IF(K344&gt;0,"Composition "&amp;SUM(K$4:K344),"")</f>
        <v>Composition 78</v>
      </c>
      <c r="M344" s="55" cm="1">
        <f t="array" aca="1" ref="M344" ca="1">IF(K344=1,_xlfn.XLOOKUP(B344,OFFSET(IN_Zugliste!$A$4,0,0,IN_Zugliste!$A$2,1),OFFSET(IN_Zugliste!$K$4,0,0,IN_Zugliste!$A$2,1),0),0)+_xlfn.XLOOKUP(C344,OFFSET(IN_Zugliste!$A$4,0,0,IN_Zugliste!$A$2,1),OFFSET(IN_Zugliste!$K$4,0,0,IN_Zugliste!$A$2,1),0)</f>
        <v>319483</v>
      </c>
      <c r="N344" s="55" t="str" cm="1">
        <f t="array" aca="1" ref="N344" ca="1">IF(K344=1,_xlfn.XLOOKUP(B344,OFFSET(IN_Zugliste!$A$4,0,0,IN_Zugliste!$A$2,1),OFFSET(IN_Zugliste!$D$4,0,0,IN_Zugliste!$A$2,1),""),"")</f>
        <v>462-1.0</v>
      </c>
      <c r="O344" s="55" t="str" cm="1">
        <f t="array" aca="1" ref="O344" ca="1">IF(L344&lt;&gt;"",L344,_xlfn.XLOOKUP(B344,OFFSET($C$4,0,0,$A$2,1),OFFSET($O$4,0,0,$A$2,1)))</f>
        <v>Composition 78</v>
      </c>
      <c r="P344" s="55" cm="1">
        <f t="array" aca="1" ref="P344" ca="1">MATCH(J344, _xlfn._xlws.FILTER($J$4:$J$430,$O$4:$O$430=O344), 0)+1</f>
        <v>2</v>
      </c>
      <c r="Q344" s="63" t="str">
        <f>_xlfn.XLOOKUP(B344, IN_Zugliste!A:A, IN_Zugliste!M:M, "")</f>
        <v>05:55:42</v>
      </c>
    </row>
    <row r="345" spans="1:17" ht="15" customHeight="1" x14ac:dyDescent="0.2">
      <c r="A345" s="63" t="s">
        <v>686</v>
      </c>
      <c r="B345" s="63" t="s">
        <v>160</v>
      </c>
      <c r="C345" s="63" t="s">
        <v>240</v>
      </c>
      <c r="D345" s="63" t="s">
        <v>1068</v>
      </c>
      <c r="E345" s="63" t="s">
        <v>688</v>
      </c>
      <c r="F345" s="63" t="s">
        <v>1786</v>
      </c>
      <c r="G345" s="63" t="s">
        <v>1787</v>
      </c>
      <c r="H345" s="63" t="s">
        <v>817</v>
      </c>
      <c r="I345" s="63" t="s">
        <v>1787</v>
      </c>
      <c r="J345" s="63" t="s">
        <v>712</v>
      </c>
      <c r="K345" s="55">
        <f t="shared" ca="1" si="5"/>
        <v>0</v>
      </c>
      <c r="L345" s="56" t="str">
        <f ca="1">IF(K345&gt;0,"Composition "&amp;SUM(K$4:K345),"")</f>
        <v/>
      </c>
      <c r="M345" s="55" cm="1">
        <f t="array" aca="1" ref="M345" ca="1">IF(K345=1,_xlfn.XLOOKUP(B345,OFFSET(IN_Zugliste!$A$4,0,0,IN_Zugliste!$A$2,1),OFFSET(IN_Zugliste!$K$4,0,0,IN_Zugliste!$A$2,1),0),0)+_xlfn.XLOOKUP(C345,OFFSET(IN_Zugliste!$A$4,0,0,IN_Zugliste!$A$2,1),OFFSET(IN_Zugliste!$K$4,0,0,IN_Zugliste!$A$2,1),0)</f>
        <v>159764</v>
      </c>
      <c r="N345" s="55" t="str" cm="1">
        <f t="array" aca="1" ref="N345" ca="1">IF(K345=1,_xlfn.XLOOKUP(B345,OFFSET(IN_Zugliste!$A$4,0,0,IN_Zugliste!$A$2,1),OFFSET(IN_Zugliste!$D$4,0,0,IN_Zugliste!$A$2,1),""),"")</f>
        <v/>
      </c>
      <c r="O345" s="55" t="str" cm="1">
        <f t="array" aca="1" ref="O345" ca="1">IF(L345&lt;&gt;"",L345,_xlfn.XLOOKUP(B345,OFFSET($C$4,0,0,$A$2,1),OFFSET($O$4,0,0,$A$2,1)))</f>
        <v>Composition 78</v>
      </c>
      <c r="P345" s="55" cm="1">
        <f t="array" aca="1" ref="P345" ca="1">MATCH(J345, _xlfn._xlws.FILTER($J$4:$J$430,$O$4:$O$430=O345), 0)+1</f>
        <v>3</v>
      </c>
      <c r="Q345" s="63" t="str">
        <f>_xlfn.XLOOKUP(B345, IN_Zugliste!A:A, IN_Zugliste!M:M, "")</f>
        <v>08:42:31</v>
      </c>
    </row>
    <row r="346" spans="1:17" ht="15" customHeight="1" x14ac:dyDescent="0.2">
      <c r="A346" s="63" t="s">
        <v>686</v>
      </c>
      <c r="B346" s="63" t="s">
        <v>240</v>
      </c>
      <c r="C346" s="63" t="s">
        <v>223</v>
      </c>
      <c r="D346" s="63" t="s">
        <v>811</v>
      </c>
      <c r="E346" s="63" t="s">
        <v>688</v>
      </c>
      <c r="F346" s="63" t="s">
        <v>1788</v>
      </c>
      <c r="G346" s="63" t="s">
        <v>1789</v>
      </c>
      <c r="H346" s="63" t="s">
        <v>691</v>
      </c>
      <c r="I346" s="63" t="s">
        <v>1789</v>
      </c>
      <c r="J346" s="63" t="s">
        <v>1790</v>
      </c>
      <c r="K346" s="55">
        <f t="shared" ca="1" si="5"/>
        <v>0</v>
      </c>
      <c r="L346" s="56" t="str">
        <f ca="1">IF(K346&gt;0,"Composition "&amp;SUM(K$4:K346),"")</f>
        <v/>
      </c>
      <c r="M346" s="55" cm="1">
        <f t="array" aca="1" ref="M346" ca="1">IF(K346=1,_xlfn.XLOOKUP(B346,OFFSET(IN_Zugliste!$A$4,0,0,IN_Zugliste!$A$2,1),OFFSET(IN_Zugliste!$K$4,0,0,IN_Zugliste!$A$2,1),0),0)+_xlfn.XLOOKUP(C346,OFFSET(IN_Zugliste!$A$4,0,0,IN_Zugliste!$A$2,1),OFFSET(IN_Zugliste!$K$4,0,0,IN_Zugliste!$A$2,1),0)</f>
        <v>159719</v>
      </c>
      <c r="N346" s="55" t="str" cm="1">
        <f t="array" aca="1" ref="N346" ca="1">IF(K346=1,_xlfn.XLOOKUP(B346,OFFSET(IN_Zugliste!$A$4,0,0,IN_Zugliste!$A$2,1),OFFSET(IN_Zugliste!$D$4,0,0,IN_Zugliste!$A$2,1),""),"")</f>
        <v/>
      </c>
      <c r="O346" s="55" t="str" cm="1">
        <f t="array" aca="1" ref="O346" ca="1">IF(L346&lt;&gt;"",L346,_xlfn.XLOOKUP(B346,OFFSET($C$4,0,0,$A$2,1),OFFSET($O$4,0,0,$A$2,1)))</f>
        <v>Composition 78</v>
      </c>
      <c r="P346" s="55" cm="1">
        <f t="array" aca="1" ref="P346" ca="1">MATCH(J346, _xlfn._xlws.FILTER($J$4:$J$430,$O$4:$O$430=O346), 0)+1</f>
        <v>4</v>
      </c>
      <c r="Q346" s="63" t="str">
        <f>_xlfn.XLOOKUP(B346, IN_Zugliste!A:A, IN_Zugliste!M:M, "")</f>
        <v>11:23:38</v>
      </c>
    </row>
    <row r="347" spans="1:17" ht="15" customHeight="1" x14ac:dyDescent="0.2">
      <c r="A347" s="63" t="s">
        <v>686</v>
      </c>
      <c r="B347" s="63" t="s">
        <v>404</v>
      </c>
      <c r="C347" s="63" t="s">
        <v>462</v>
      </c>
      <c r="D347" s="63" t="s">
        <v>1068</v>
      </c>
      <c r="E347" s="63" t="s">
        <v>688</v>
      </c>
      <c r="F347" s="63" t="s">
        <v>1791</v>
      </c>
      <c r="G347" s="63" t="s">
        <v>1792</v>
      </c>
      <c r="H347" s="63" t="s">
        <v>691</v>
      </c>
      <c r="I347" s="63" t="s">
        <v>1793</v>
      </c>
      <c r="J347" s="63" t="s">
        <v>1794</v>
      </c>
      <c r="K347" s="55">
        <f t="shared" ca="1" si="5"/>
        <v>1</v>
      </c>
      <c r="L347" s="56" t="str">
        <f ca="1">IF(K347&gt;0,"Composition "&amp;SUM(K$4:K347),"")</f>
        <v>Composition 79</v>
      </c>
      <c r="M347" s="55" cm="1">
        <f t="array" aca="1" ref="M347" ca="1">IF(K347=1,_xlfn.XLOOKUP(B347,OFFSET(IN_Zugliste!$A$4,0,0,IN_Zugliste!$A$2,1),OFFSET(IN_Zugliste!$K$4,0,0,IN_Zugliste!$A$2,1),0),0)+_xlfn.XLOOKUP(C347,OFFSET(IN_Zugliste!$A$4,0,0,IN_Zugliste!$A$2,1),OFFSET(IN_Zugliste!$K$4,0,0,IN_Zugliste!$A$2,1),0)</f>
        <v>479717</v>
      </c>
      <c r="N347" s="55" t="str" cm="1">
        <f t="array" aca="1" ref="N347" ca="1">IF(K347=1,_xlfn.XLOOKUP(B347,OFFSET(IN_Zugliste!$A$4,0,0,IN_Zugliste!$A$2,1),OFFSET(IN_Zugliste!$D$4,0,0,IN_Zugliste!$A$2,1),""),"")</f>
        <v>462-1.0</v>
      </c>
      <c r="O347" s="55" t="str" cm="1">
        <f t="array" aca="1" ref="O347" ca="1">IF(L347&lt;&gt;"",L347,_xlfn.XLOOKUP(B347,OFFSET($C$4,0,0,$A$2,1),OFFSET($O$4,0,0,$A$2,1)))</f>
        <v>Composition 79</v>
      </c>
      <c r="P347" s="55" cm="1">
        <f t="array" aca="1" ref="P347" ca="1">MATCH(J347, _xlfn._xlws.FILTER($J$4:$J$430,$O$4:$O$430=O347), 0)+1</f>
        <v>2</v>
      </c>
      <c r="Q347" s="63" t="str">
        <f>_xlfn.XLOOKUP(B347, IN_Zugliste!A:A, IN_Zugliste!M:M, "")</f>
        <v>05:49:42</v>
      </c>
    </row>
    <row r="348" spans="1:17" ht="15" customHeight="1" x14ac:dyDescent="0.2">
      <c r="A348" s="63" t="s">
        <v>686</v>
      </c>
      <c r="B348" s="63" t="s">
        <v>462</v>
      </c>
      <c r="C348" s="63" t="s">
        <v>454</v>
      </c>
      <c r="D348" s="63" t="s">
        <v>1517</v>
      </c>
      <c r="E348" s="63" t="s">
        <v>688</v>
      </c>
      <c r="F348" s="63" t="s">
        <v>1795</v>
      </c>
      <c r="G348" s="63" t="s">
        <v>1796</v>
      </c>
      <c r="H348" s="63" t="s">
        <v>691</v>
      </c>
      <c r="I348" s="63" t="s">
        <v>1796</v>
      </c>
      <c r="J348" s="63" t="s">
        <v>1797</v>
      </c>
      <c r="K348" s="55">
        <f t="shared" ca="1" si="5"/>
        <v>0</v>
      </c>
      <c r="L348" s="56" t="str">
        <f ca="1">IF(K348&gt;0,"Composition "&amp;SUM(K$4:K348),"")</f>
        <v/>
      </c>
      <c r="M348" s="55" cm="1">
        <f t="array" aca="1" ref="M348" ca="1">IF(K348=1,_xlfn.XLOOKUP(B348,OFFSET(IN_Zugliste!$A$4,0,0,IN_Zugliste!$A$2,1),OFFSET(IN_Zugliste!$K$4,0,0,IN_Zugliste!$A$2,1),0),0)+_xlfn.XLOOKUP(C348,OFFSET(IN_Zugliste!$A$4,0,0,IN_Zugliste!$A$2,1),OFFSET(IN_Zugliste!$K$4,0,0,IN_Zugliste!$A$2,1),0)</f>
        <v>241245</v>
      </c>
      <c r="N348" s="55" t="str" cm="1">
        <f t="array" aca="1" ref="N348" ca="1">IF(K348=1,_xlfn.XLOOKUP(B348,OFFSET(IN_Zugliste!$A$4,0,0,IN_Zugliste!$A$2,1),OFFSET(IN_Zugliste!$D$4,0,0,IN_Zugliste!$A$2,1),""),"")</f>
        <v/>
      </c>
      <c r="O348" s="55" t="str" cm="1">
        <f t="array" aca="1" ref="O348" ca="1">IF(L348&lt;&gt;"",L348,_xlfn.XLOOKUP(B348,OFFSET($C$4,0,0,$A$2,1),OFFSET($O$4,0,0,$A$2,1)))</f>
        <v>Composition 79</v>
      </c>
      <c r="P348" s="55" cm="1">
        <f t="array" aca="1" ref="P348" ca="1">MATCH(J348, _xlfn._xlws.FILTER($J$4:$J$430,$O$4:$O$430=O348), 0)+1</f>
        <v>3</v>
      </c>
      <c r="Q348" s="63" t="str">
        <f>_xlfn.XLOOKUP(B348, IN_Zugliste!A:A, IN_Zugliste!M:M, "")</f>
        <v>08:54:09</v>
      </c>
    </row>
    <row r="349" spans="1:17" ht="15" customHeight="1" x14ac:dyDescent="0.2">
      <c r="A349" s="63" t="s">
        <v>686</v>
      </c>
      <c r="B349" s="63" t="s">
        <v>136</v>
      </c>
      <c r="C349" s="63" t="s">
        <v>150</v>
      </c>
      <c r="D349" s="63" t="s">
        <v>723</v>
      </c>
      <c r="E349" s="63" t="s">
        <v>688</v>
      </c>
      <c r="F349" s="63" t="s">
        <v>1798</v>
      </c>
      <c r="G349" s="63" t="s">
        <v>1799</v>
      </c>
      <c r="H349" s="63" t="s">
        <v>691</v>
      </c>
      <c r="I349" s="63" t="s">
        <v>1799</v>
      </c>
      <c r="J349" s="63" t="s">
        <v>1800</v>
      </c>
      <c r="K349" s="55">
        <f t="shared" ca="1" si="5"/>
        <v>1</v>
      </c>
      <c r="L349" s="56" t="str">
        <f ca="1">IF(K349&gt;0,"Composition "&amp;SUM(K$4:K349),"")</f>
        <v>Composition 80</v>
      </c>
      <c r="M349" s="55" cm="1">
        <f t="array" aca="1" ref="M349" ca="1">IF(K349=1,_xlfn.XLOOKUP(B349,OFFSET(IN_Zugliste!$A$4,0,0,IN_Zugliste!$A$2,1),OFFSET(IN_Zugliste!$K$4,0,0,IN_Zugliste!$A$2,1),0),0)+_xlfn.XLOOKUP(C349,OFFSET(IN_Zugliste!$A$4,0,0,IN_Zugliste!$A$2,1),OFFSET(IN_Zugliste!$K$4,0,0,IN_Zugliste!$A$2,1),0)</f>
        <v>360401</v>
      </c>
      <c r="N349" s="55" t="str" cm="1">
        <f t="array" aca="1" ref="N349" ca="1">IF(K349=1,_xlfn.XLOOKUP(B349,OFFSET(IN_Zugliste!$A$4,0,0,IN_Zugliste!$A$2,1),OFFSET(IN_Zugliste!$D$4,0,0,IN_Zugliste!$A$2,1),""),"")</f>
        <v>462-1.0</v>
      </c>
      <c r="O349" s="55" t="str" cm="1">
        <f t="array" aca="1" ref="O349" ca="1">IF(L349&lt;&gt;"",L349,_xlfn.XLOOKUP(B349,OFFSET($C$4,0,0,$A$2,1),OFFSET($O$4,0,0,$A$2,1)))</f>
        <v>Composition 80</v>
      </c>
      <c r="P349" s="55" cm="1">
        <f t="array" aca="1" ref="P349" ca="1">MATCH(J349, _xlfn._xlws.FILTER($J$4:$J$430,$O$4:$O$430=O349), 0)+1</f>
        <v>2</v>
      </c>
      <c r="Q349" s="63" t="str">
        <f>_xlfn.XLOOKUP(B349, IN_Zugliste!A:A, IN_Zugliste!M:M, "")</f>
        <v>06:04:18</v>
      </c>
    </row>
    <row r="350" spans="1:17" ht="15" customHeight="1" x14ac:dyDescent="0.2">
      <c r="A350" s="63" t="s">
        <v>686</v>
      </c>
      <c r="B350" s="63" t="s">
        <v>150</v>
      </c>
      <c r="C350" s="63" t="s">
        <v>119</v>
      </c>
      <c r="D350" s="63" t="s">
        <v>994</v>
      </c>
      <c r="E350" s="63" t="s">
        <v>688</v>
      </c>
      <c r="F350" s="63" t="s">
        <v>1801</v>
      </c>
      <c r="G350" s="63" t="s">
        <v>1802</v>
      </c>
      <c r="H350" s="63" t="s">
        <v>691</v>
      </c>
      <c r="I350" s="63" t="s">
        <v>1802</v>
      </c>
      <c r="J350" s="63" t="s">
        <v>1803</v>
      </c>
      <c r="K350" s="55">
        <f t="shared" ca="1" si="5"/>
        <v>0</v>
      </c>
      <c r="L350" s="56" t="str">
        <f ca="1">IF(K350&gt;0,"Composition "&amp;SUM(K$4:K350),"")</f>
        <v/>
      </c>
      <c r="M350" s="55" cm="1">
        <f t="array" aca="1" ref="M350" ca="1">IF(K350=1,_xlfn.XLOOKUP(B350,OFFSET(IN_Zugliste!$A$4,0,0,IN_Zugliste!$A$2,1),OFFSET(IN_Zugliste!$K$4,0,0,IN_Zugliste!$A$2,1),0),0)+_xlfn.XLOOKUP(C350,OFFSET(IN_Zugliste!$A$4,0,0,IN_Zugliste!$A$2,1),OFFSET(IN_Zugliste!$K$4,0,0,IN_Zugliste!$A$2,1),0)</f>
        <v>180175</v>
      </c>
      <c r="N350" s="55" t="str" cm="1">
        <f t="array" aca="1" ref="N350" ca="1">IF(K350=1,_xlfn.XLOOKUP(B350,OFFSET(IN_Zugliste!$A$4,0,0,IN_Zugliste!$A$2,1),OFFSET(IN_Zugliste!$D$4,0,0,IN_Zugliste!$A$2,1),""),"")</f>
        <v/>
      </c>
      <c r="O350" s="55" t="str" cm="1">
        <f t="array" aca="1" ref="O350" ca="1">IF(L350&lt;&gt;"",L350,_xlfn.XLOOKUP(B350,OFFSET($C$4,0,0,$A$2,1),OFFSET($O$4,0,0,$A$2,1)))</f>
        <v>Composition 80</v>
      </c>
      <c r="P350" s="55" cm="1">
        <f t="array" aca="1" ref="P350" ca="1">MATCH(J350, _xlfn._xlws.FILTER($J$4:$J$430,$O$4:$O$430=O350), 0)+1</f>
        <v>3</v>
      </c>
      <c r="Q350" s="63" t="str">
        <f>_xlfn.XLOOKUP(B350, IN_Zugliste!A:A, IN_Zugliste!M:M, "")</f>
        <v>08:51:38</v>
      </c>
    </row>
    <row r="351" spans="1:17" ht="15" customHeight="1" x14ac:dyDescent="0.2">
      <c r="A351" s="63" t="s">
        <v>686</v>
      </c>
      <c r="B351" s="63" t="s">
        <v>119</v>
      </c>
      <c r="C351" s="63" t="s">
        <v>124</v>
      </c>
      <c r="D351" s="63" t="s">
        <v>723</v>
      </c>
      <c r="E351" s="63" t="s">
        <v>688</v>
      </c>
      <c r="F351" s="63" t="s">
        <v>1804</v>
      </c>
      <c r="G351" s="63" t="s">
        <v>1805</v>
      </c>
      <c r="H351" s="63" t="s">
        <v>691</v>
      </c>
      <c r="I351" s="63" t="s">
        <v>1805</v>
      </c>
      <c r="J351" s="63" t="s">
        <v>1806</v>
      </c>
      <c r="K351" s="55">
        <f t="shared" ca="1" si="5"/>
        <v>0</v>
      </c>
      <c r="L351" s="56" t="str">
        <f ca="1">IF(K351&gt;0,"Composition "&amp;SUM(K$4:K351),"")</f>
        <v/>
      </c>
      <c r="M351" s="55" cm="1">
        <f t="array" aca="1" ref="M351" ca="1">IF(K351=1,_xlfn.XLOOKUP(B351,OFFSET(IN_Zugliste!$A$4,0,0,IN_Zugliste!$A$2,1),OFFSET(IN_Zugliste!$K$4,0,0,IN_Zugliste!$A$2,1),0),0)+_xlfn.XLOOKUP(C351,OFFSET(IN_Zugliste!$A$4,0,0,IN_Zugliste!$A$2,1),OFFSET(IN_Zugliste!$K$4,0,0,IN_Zugliste!$A$2,1),0)</f>
        <v>180226</v>
      </c>
      <c r="N351" s="55" t="str" cm="1">
        <f t="array" aca="1" ref="N351" ca="1">IF(K351=1,_xlfn.XLOOKUP(B351,OFFSET(IN_Zugliste!$A$4,0,0,IN_Zugliste!$A$2,1),OFFSET(IN_Zugliste!$D$4,0,0,IN_Zugliste!$A$2,1),""),"")</f>
        <v/>
      </c>
      <c r="O351" s="55" t="str" cm="1">
        <f t="array" aca="1" ref="O351" ca="1">IF(L351&lt;&gt;"",L351,_xlfn.XLOOKUP(B351,OFFSET($C$4,0,0,$A$2,1),OFFSET($O$4,0,0,$A$2,1)))</f>
        <v>Composition 80</v>
      </c>
      <c r="P351" s="55" cm="1">
        <f t="array" aca="1" ref="P351" ca="1">MATCH(J351, _xlfn._xlws.FILTER($J$4:$J$430,$O$4:$O$430=O351), 0)+1</f>
        <v>4</v>
      </c>
      <c r="Q351" s="63" t="str">
        <f>_xlfn.XLOOKUP(B351, IN_Zugliste!A:A, IN_Zugliste!M:M, "")</f>
        <v>11:34:27</v>
      </c>
    </row>
    <row r="352" spans="1:17" ht="15" customHeight="1" x14ac:dyDescent="0.2">
      <c r="A352" s="63" t="s">
        <v>686</v>
      </c>
      <c r="B352" s="63" t="s">
        <v>415</v>
      </c>
      <c r="C352" s="63" t="s">
        <v>407</v>
      </c>
      <c r="D352" s="63" t="s">
        <v>1517</v>
      </c>
      <c r="E352" s="63" t="s">
        <v>688</v>
      </c>
      <c r="F352" s="63" t="s">
        <v>1807</v>
      </c>
      <c r="G352" s="63" t="s">
        <v>1808</v>
      </c>
      <c r="H352" s="63" t="s">
        <v>691</v>
      </c>
      <c r="I352" s="63" t="s">
        <v>1808</v>
      </c>
      <c r="J352" s="63" t="s">
        <v>1809</v>
      </c>
      <c r="K352" s="55">
        <f t="shared" ca="1" si="5"/>
        <v>1</v>
      </c>
      <c r="L352" s="56" t="str">
        <f ca="1">IF(K352&gt;0,"Composition "&amp;SUM(K$4:K352),"")</f>
        <v>Composition 81</v>
      </c>
      <c r="M352" s="55" cm="1">
        <f t="array" aca="1" ref="M352" ca="1">IF(K352=1,_xlfn.XLOOKUP(B352,OFFSET(IN_Zugliste!$A$4,0,0,IN_Zugliste!$A$2,1),OFFSET(IN_Zugliste!$K$4,0,0,IN_Zugliste!$A$2,1),0),0)+_xlfn.XLOOKUP(C352,OFFSET(IN_Zugliste!$A$4,0,0,IN_Zugliste!$A$2,1),OFFSET(IN_Zugliste!$K$4,0,0,IN_Zugliste!$A$2,1),0)</f>
        <v>476854</v>
      </c>
      <c r="N352" s="55" t="str" cm="1">
        <f t="array" aca="1" ref="N352" ca="1">IF(K352=1,_xlfn.XLOOKUP(B352,OFFSET(IN_Zugliste!$A$4,0,0,IN_Zugliste!$A$2,1),OFFSET(IN_Zugliste!$D$4,0,0,IN_Zugliste!$A$2,1),""),"")</f>
        <v>462-1.0</v>
      </c>
      <c r="O352" s="55" t="str" cm="1">
        <f t="array" aca="1" ref="O352" ca="1">IF(L352&lt;&gt;"",L352,_xlfn.XLOOKUP(B352,OFFSET($C$4,0,0,$A$2,1),OFFSET($O$4,0,0,$A$2,1)))</f>
        <v>Composition 81</v>
      </c>
      <c r="P352" s="55" cm="1">
        <f t="array" aca="1" ref="P352" ca="1">MATCH(J352, _xlfn._xlws.FILTER($J$4:$J$430,$O$4:$O$430=O352), 0)+1</f>
        <v>2</v>
      </c>
      <c r="Q352" s="63" t="str">
        <f>_xlfn.XLOOKUP(B352, IN_Zugliste!A:A, IN_Zugliste!M:M, "")</f>
        <v>05:47:07</v>
      </c>
    </row>
    <row r="353" spans="1:17" ht="15" customHeight="1" x14ac:dyDescent="0.2">
      <c r="A353" s="63" t="s">
        <v>686</v>
      </c>
      <c r="B353" s="63" t="s">
        <v>407</v>
      </c>
      <c r="C353" s="63" t="s">
        <v>465</v>
      </c>
      <c r="D353" s="63" t="s">
        <v>1068</v>
      </c>
      <c r="E353" s="63" t="s">
        <v>688</v>
      </c>
      <c r="F353" s="63" t="s">
        <v>1810</v>
      </c>
      <c r="G353" s="63" t="s">
        <v>1811</v>
      </c>
      <c r="H353" s="63" t="s">
        <v>691</v>
      </c>
      <c r="I353" s="63" t="s">
        <v>1811</v>
      </c>
      <c r="J353" s="63" t="s">
        <v>1812</v>
      </c>
      <c r="K353" s="55">
        <f t="shared" ca="1" si="5"/>
        <v>0</v>
      </c>
      <c r="L353" s="56" t="str">
        <f ca="1">IF(K353&gt;0,"Composition "&amp;SUM(K$4:K353),"")</f>
        <v/>
      </c>
      <c r="M353" s="55" cm="1">
        <f t="array" aca="1" ref="M353" ca="1">IF(K353=1,_xlfn.XLOOKUP(B353,OFFSET(IN_Zugliste!$A$4,0,0,IN_Zugliste!$A$2,1),OFFSET(IN_Zugliste!$K$4,0,0,IN_Zugliste!$A$2,1),0),0)+_xlfn.XLOOKUP(C353,OFFSET(IN_Zugliste!$A$4,0,0,IN_Zugliste!$A$2,1),OFFSET(IN_Zugliste!$K$4,0,0,IN_Zugliste!$A$2,1),0)</f>
        <v>241335</v>
      </c>
      <c r="N353" s="55" t="str" cm="1">
        <f t="array" aca="1" ref="N353" ca="1">IF(K353=1,_xlfn.XLOOKUP(B353,OFFSET(IN_Zugliste!$A$4,0,0,IN_Zugliste!$A$2,1),OFFSET(IN_Zugliste!$D$4,0,0,IN_Zugliste!$A$2,1),""),"")</f>
        <v/>
      </c>
      <c r="O353" s="55" t="str" cm="1">
        <f t="array" aca="1" ref="O353" ca="1">IF(L353&lt;&gt;"",L353,_xlfn.XLOOKUP(B353,OFFSET($C$4,0,0,$A$2,1),OFFSET($O$4,0,0,$A$2,1)))</f>
        <v>Composition 81</v>
      </c>
      <c r="P353" s="55" cm="1">
        <f t="array" aca="1" ref="P353" ca="1">MATCH(J353, _xlfn._xlws.FILTER($J$4:$J$430,$O$4:$O$430=O353), 0)+1</f>
        <v>3</v>
      </c>
      <c r="Q353" s="63" t="str">
        <f>_xlfn.XLOOKUP(B353, IN_Zugliste!A:A, IN_Zugliste!M:M, "")</f>
        <v>08:49:42</v>
      </c>
    </row>
    <row r="354" spans="1:17" ht="15" customHeight="1" x14ac:dyDescent="0.2">
      <c r="A354" s="63" t="s">
        <v>686</v>
      </c>
      <c r="B354" s="63" t="s">
        <v>640</v>
      </c>
      <c r="C354" s="63" t="s">
        <v>631</v>
      </c>
      <c r="D354" s="63" t="s">
        <v>727</v>
      </c>
      <c r="E354" s="63" t="s">
        <v>688</v>
      </c>
      <c r="F354" s="63" t="s">
        <v>1813</v>
      </c>
      <c r="G354" s="63" t="s">
        <v>1814</v>
      </c>
      <c r="H354" s="63" t="s">
        <v>691</v>
      </c>
      <c r="I354" s="63" t="s">
        <v>1814</v>
      </c>
      <c r="J354" s="63" t="s">
        <v>1815</v>
      </c>
      <c r="K354" s="55">
        <f t="shared" ca="1" si="5"/>
        <v>1</v>
      </c>
      <c r="L354" s="56" t="str">
        <f ca="1">IF(K354&gt;0,"Composition "&amp;SUM(K$4:K354),"")</f>
        <v>Composition 82</v>
      </c>
      <c r="M354" s="55" cm="1">
        <f t="array" aca="1" ref="M354" ca="1">IF(K354=1,_xlfn.XLOOKUP(B354,OFFSET(IN_Zugliste!$A$4,0,0,IN_Zugliste!$A$2,1),OFFSET(IN_Zugliste!$K$4,0,0,IN_Zugliste!$A$2,1),0),0)+_xlfn.XLOOKUP(C354,OFFSET(IN_Zugliste!$A$4,0,0,IN_Zugliste!$A$2,1),OFFSET(IN_Zugliste!$K$4,0,0,IN_Zugliste!$A$2,1),0)</f>
        <v>194485</v>
      </c>
      <c r="N354" s="55" t="str" cm="1">
        <f t="array" aca="1" ref="N354" ca="1">IF(K354=1,_xlfn.XLOOKUP(B354,OFFSET(IN_Zugliste!$A$4,0,0,IN_Zugliste!$A$2,1),OFFSET(IN_Zugliste!$D$4,0,0,IN_Zugliste!$A$2,1),""),"")</f>
        <v>462-1.0</v>
      </c>
      <c r="O354" s="55" t="str" cm="1">
        <f t="array" aca="1" ref="O354" ca="1">IF(L354&lt;&gt;"",L354,_xlfn.XLOOKUP(B354,OFFSET($C$4,0,0,$A$2,1),OFFSET($O$4,0,0,$A$2,1)))</f>
        <v>Composition 82</v>
      </c>
      <c r="P354" s="55" cm="1">
        <f t="array" aca="1" ref="P354" ca="1">MATCH(J354, _xlfn._xlws.FILTER($J$4:$J$430,$O$4:$O$430=O354), 0)+1</f>
        <v>2</v>
      </c>
      <c r="Q354" s="63" t="str">
        <f>_xlfn.XLOOKUP(B354, IN_Zugliste!A:A, IN_Zugliste!M:M, "")</f>
        <v>06:40:42</v>
      </c>
    </row>
    <row r="355" spans="1:17" ht="15" customHeight="1" x14ac:dyDescent="0.2">
      <c r="A355" s="63" t="s">
        <v>686</v>
      </c>
      <c r="B355" s="63" t="s">
        <v>631</v>
      </c>
      <c r="C355" s="63" t="s">
        <v>645</v>
      </c>
      <c r="D355" s="63" t="s">
        <v>1176</v>
      </c>
      <c r="E355" s="63" t="s">
        <v>688</v>
      </c>
      <c r="F355" s="63" t="s">
        <v>1650</v>
      </c>
      <c r="G355" s="63" t="s">
        <v>1816</v>
      </c>
      <c r="H355" s="63" t="s">
        <v>691</v>
      </c>
      <c r="I355" s="63" t="s">
        <v>1816</v>
      </c>
      <c r="J355" s="63" t="s">
        <v>1817</v>
      </c>
      <c r="K355" s="55">
        <f t="shared" ca="1" si="5"/>
        <v>0</v>
      </c>
      <c r="L355" s="56" t="str">
        <f ca="1">IF(K355&gt;0,"Composition "&amp;SUM(K$4:K355),"")</f>
        <v/>
      </c>
      <c r="M355" s="55" cm="1">
        <f t="array" aca="1" ref="M355" ca="1">IF(K355=1,_xlfn.XLOOKUP(B355,OFFSET(IN_Zugliste!$A$4,0,0,IN_Zugliste!$A$2,1),OFFSET(IN_Zugliste!$K$4,0,0,IN_Zugliste!$A$2,1),0),0)+_xlfn.XLOOKUP(C355,OFFSET(IN_Zugliste!$A$4,0,0,IN_Zugliste!$A$2,1),OFFSET(IN_Zugliste!$K$4,0,0,IN_Zugliste!$A$2,1),0)</f>
        <v>97192</v>
      </c>
      <c r="N355" s="55" t="str" cm="1">
        <f t="array" aca="1" ref="N355" ca="1">IF(K355=1,_xlfn.XLOOKUP(B355,OFFSET(IN_Zugliste!$A$4,0,0,IN_Zugliste!$A$2,1),OFFSET(IN_Zugliste!$D$4,0,0,IN_Zugliste!$A$2,1),""),"")</f>
        <v/>
      </c>
      <c r="O355" s="55" t="str" cm="1">
        <f t="array" aca="1" ref="O355" ca="1">IF(L355&lt;&gt;"",L355,_xlfn.XLOOKUP(B355,OFFSET($C$4,0,0,$A$2,1),OFFSET($O$4,0,0,$A$2,1)))</f>
        <v>Composition 82</v>
      </c>
      <c r="P355" s="55" cm="1">
        <f t="array" aca="1" ref="P355" ca="1">MATCH(J355, _xlfn._xlws.FILTER($J$4:$J$430,$O$4:$O$430=O355), 0)+1</f>
        <v>3</v>
      </c>
      <c r="Q355" s="63" t="str">
        <f>_xlfn.XLOOKUP(B355, IN_Zugliste!A:A, IN_Zugliste!M:M, "")</f>
        <v>09:08:57</v>
      </c>
    </row>
    <row r="356" spans="1:17" ht="15" customHeight="1" x14ac:dyDescent="0.2">
      <c r="A356" s="63" t="s">
        <v>686</v>
      </c>
      <c r="B356" s="63" t="s">
        <v>645</v>
      </c>
      <c r="C356" s="63" t="s">
        <v>627</v>
      </c>
      <c r="D356" s="63" t="s">
        <v>727</v>
      </c>
      <c r="E356" s="63" t="s">
        <v>688</v>
      </c>
      <c r="F356" s="63" t="s">
        <v>1818</v>
      </c>
      <c r="G356" s="63" t="s">
        <v>1819</v>
      </c>
      <c r="H356" s="63" t="s">
        <v>691</v>
      </c>
      <c r="I356" s="63" t="s">
        <v>1819</v>
      </c>
      <c r="J356" s="63" t="s">
        <v>1820</v>
      </c>
      <c r="K356" s="55">
        <f t="shared" ca="1" si="5"/>
        <v>0</v>
      </c>
      <c r="L356" s="56" t="str">
        <f ca="1">IF(K356&gt;0,"Composition "&amp;SUM(K$4:K356),"")</f>
        <v/>
      </c>
      <c r="M356" s="55" cm="1">
        <f t="array" aca="1" ref="M356" ca="1">IF(K356=1,_xlfn.XLOOKUP(B356,OFFSET(IN_Zugliste!$A$4,0,0,IN_Zugliste!$A$2,1),OFFSET(IN_Zugliste!$K$4,0,0,IN_Zugliste!$A$2,1),0),0)+_xlfn.XLOOKUP(C356,OFFSET(IN_Zugliste!$A$4,0,0,IN_Zugliste!$A$2,1),OFFSET(IN_Zugliste!$K$4,0,0,IN_Zugliste!$A$2,1),0)</f>
        <v>97293</v>
      </c>
      <c r="N356" s="55" t="str" cm="1">
        <f t="array" aca="1" ref="N356" ca="1">IF(K356=1,_xlfn.XLOOKUP(B356,OFFSET(IN_Zugliste!$A$4,0,0,IN_Zugliste!$A$2,1),OFFSET(IN_Zugliste!$D$4,0,0,IN_Zugliste!$A$2,1),""),"")</f>
        <v/>
      </c>
      <c r="O356" s="55" t="str" cm="1">
        <f t="array" aca="1" ref="O356" ca="1">IF(L356&lt;&gt;"",L356,_xlfn.XLOOKUP(B356,OFFSET($C$4,0,0,$A$2,1),OFFSET($O$4,0,0,$A$2,1)))</f>
        <v>Composition 82</v>
      </c>
      <c r="P356" s="55" cm="1">
        <f t="array" aca="1" ref="P356" ca="1">MATCH(J356, _xlfn._xlws.FILTER($J$4:$J$430,$O$4:$O$430=O356), 0)+1</f>
        <v>4</v>
      </c>
      <c r="Q356" s="63" t="str">
        <f>_xlfn.XLOOKUP(B356, IN_Zugliste!A:A, IN_Zugliste!M:M, "")</f>
        <v>11:40:42</v>
      </c>
    </row>
    <row r="357" spans="1:17" ht="15" customHeight="1" x14ac:dyDescent="0.2">
      <c r="A357" s="63" t="s">
        <v>686</v>
      </c>
      <c r="B357" s="63" t="s">
        <v>202</v>
      </c>
      <c r="C357" s="63" t="s">
        <v>193</v>
      </c>
      <c r="D357" s="63" t="s">
        <v>811</v>
      </c>
      <c r="E357" s="63" t="s">
        <v>688</v>
      </c>
      <c r="F357" s="63" t="s">
        <v>1821</v>
      </c>
      <c r="G357" s="63" t="s">
        <v>1822</v>
      </c>
      <c r="H357" s="63" t="s">
        <v>691</v>
      </c>
      <c r="I357" s="63" t="s">
        <v>1822</v>
      </c>
      <c r="J357" s="63" t="s">
        <v>1823</v>
      </c>
      <c r="K357" s="55">
        <f t="shared" ca="1" si="5"/>
        <v>1</v>
      </c>
      <c r="L357" s="56" t="str">
        <f ca="1">IF(K357&gt;0,"Composition "&amp;SUM(K$4:K357),"")</f>
        <v>Composition 83</v>
      </c>
      <c r="M357" s="55" cm="1">
        <f t="array" aca="1" ref="M357" ca="1">IF(K357=1,_xlfn.XLOOKUP(B357,OFFSET(IN_Zugliste!$A$4,0,0,IN_Zugliste!$A$2,1),OFFSET(IN_Zugliste!$K$4,0,0,IN_Zugliste!$A$2,1),0),0)+_xlfn.XLOOKUP(C357,OFFSET(IN_Zugliste!$A$4,0,0,IN_Zugliste!$A$2,1),OFFSET(IN_Zugliste!$K$4,0,0,IN_Zugliste!$A$2,1),0)</f>
        <v>314467</v>
      </c>
      <c r="N357" s="55" t="str" cm="1">
        <f t="array" aca="1" ref="N357" ca="1">IF(K357=1,_xlfn.XLOOKUP(B357,OFFSET(IN_Zugliste!$A$4,0,0,IN_Zugliste!$A$2,1),OFFSET(IN_Zugliste!$D$4,0,0,IN_Zugliste!$A$2,1),""),"")</f>
        <v>462-1.0</v>
      </c>
      <c r="O357" s="55" t="str" cm="1">
        <f t="array" aca="1" ref="O357" ca="1">IF(L357&lt;&gt;"",L357,_xlfn.XLOOKUP(B357,OFFSET($C$4,0,0,$A$2,1),OFFSET($O$4,0,0,$A$2,1)))</f>
        <v>Composition 83</v>
      </c>
      <c r="P357" s="55" cm="1">
        <f t="array" aca="1" ref="P357" ca="1">MATCH(J357, _xlfn._xlws.FILTER($J$4:$J$430,$O$4:$O$430=O357), 0)+1</f>
        <v>2</v>
      </c>
      <c r="Q357" s="63" t="str">
        <f>_xlfn.XLOOKUP(B357, IN_Zugliste!A:A, IN_Zugliste!M:M, "")</f>
        <v>06:11:52</v>
      </c>
    </row>
    <row r="358" spans="1:17" ht="15" customHeight="1" x14ac:dyDescent="0.2">
      <c r="A358" s="63" t="s">
        <v>686</v>
      </c>
      <c r="B358" s="63" t="s">
        <v>193</v>
      </c>
      <c r="C358" s="63" t="s">
        <v>185</v>
      </c>
      <c r="D358" s="63" t="s">
        <v>990</v>
      </c>
      <c r="E358" s="63" t="s">
        <v>688</v>
      </c>
      <c r="F358" s="63" t="s">
        <v>1824</v>
      </c>
      <c r="G358" s="63" t="s">
        <v>1825</v>
      </c>
      <c r="H358" s="63" t="s">
        <v>691</v>
      </c>
      <c r="I358" s="63" t="s">
        <v>1825</v>
      </c>
      <c r="J358" s="63" t="s">
        <v>1826</v>
      </c>
      <c r="K358" s="55">
        <f t="shared" ca="1" si="5"/>
        <v>0</v>
      </c>
      <c r="L358" s="56" t="str">
        <f ca="1">IF(K358&gt;0,"Composition "&amp;SUM(K$4:K358),"")</f>
        <v/>
      </c>
      <c r="M358" s="55" cm="1">
        <f t="array" aca="1" ref="M358" ca="1">IF(K358=1,_xlfn.XLOOKUP(B358,OFFSET(IN_Zugliste!$A$4,0,0,IN_Zugliste!$A$2,1),OFFSET(IN_Zugliste!$K$4,0,0,IN_Zugliste!$A$2,1),0),0)+_xlfn.XLOOKUP(C358,OFFSET(IN_Zugliste!$A$4,0,0,IN_Zugliste!$A$2,1),OFFSET(IN_Zugliste!$K$4,0,0,IN_Zugliste!$A$2,1),0)</f>
        <v>156609</v>
      </c>
      <c r="N358" s="55" t="str" cm="1">
        <f t="array" aca="1" ref="N358" ca="1">IF(K358=1,_xlfn.XLOOKUP(B358,OFFSET(IN_Zugliste!$A$4,0,0,IN_Zugliste!$A$2,1),OFFSET(IN_Zugliste!$D$4,0,0,IN_Zugliste!$A$2,1),""),"")</f>
        <v/>
      </c>
      <c r="O358" s="55" t="str" cm="1">
        <f t="array" aca="1" ref="O358" ca="1">IF(L358&lt;&gt;"",L358,_xlfn.XLOOKUP(B358,OFFSET($C$4,0,0,$A$2,1),OFFSET($O$4,0,0,$A$2,1)))</f>
        <v>Composition 83</v>
      </c>
      <c r="P358" s="55" cm="1">
        <f t="array" aca="1" ref="P358" ca="1">MATCH(J358, _xlfn._xlws.FILTER($J$4:$J$430,$O$4:$O$430=O358), 0)+1</f>
        <v>3</v>
      </c>
      <c r="Q358" s="63" t="str">
        <f>_xlfn.XLOOKUP(B358, IN_Zugliste!A:A, IN_Zugliste!M:M, "")</f>
        <v>08:53:24</v>
      </c>
    </row>
    <row r="359" spans="1:17" ht="15" customHeight="1" x14ac:dyDescent="0.2">
      <c r="A359" s="63" t="s">
        <v>686</v>
      </c>
      <c r="B359" s="63" t="s">
        <v>185</v>
      </c>
      <c r="C359" s="63" t="s">
        <v>212</v>
      </c>
      <c r="D359" s="63" t="s">
        <v>811</v>
      </c>
      <c r="E359" s="63" t="s">
        <v>688</v>
      </c>
      <c r="F359" s="63" t="s">
        <v>1827</v>
      </c>
      <c r="G359" s="63" t="s">
        <v>1828</v>
      </c>
      <c r="H359" s="63" t="s">
        <v>691</v>
      </c>
      <c r="I359" s="63" t="s">
        <v>1828</v>
      </c>
      <c r="J359" s="63" t="s">
        <v>1829</v>
      </c>
      <c r="K359" s="55">
        <f t="shared" ca="1" si="5"/>
        <v>0</v>
      </c>
      <c r="L359" s="56" t="str">
        <f ca="1">IF(K359&gt;0,"Composition "&amp;SUM(K$4:K359),"")</f>
        <v/>
      </c>
      <c r="M359" s="55" cm="1">
        <f t="array" aca="1" ref="M359" ca="1">IF(K359=1,_xlfn.XLOOKUP(B359,OFFSET(IN_Zugliste!$A$4,0,0,IN_Zugliste!$A$2,1),OFFSET(IN_Zugliste!$K$4,0,0,IN_Zugliste!$A$2,1),0),0)+_xlfn.XLOOKUP(C359,OFFSET(IN_Zugliste!$A$4,0,0,IN_Zugliste!$A$2,1),OFFSET(IN_Zugliste!$K$4,0,0,IN_Zugliste!$A$2,1),0)</f>
        <v>157858</v>
      </c>
      <c r="N359" s="55" t="str" cm="1">
        <f t="array" aca="1" ref="N359" ca="1">IF(K359=1,_xlfn.XLOOKUP(B359,OFFSET(IN_Zugliste!$A$4,0,0,IN_Zugliste!$A$2,1),OFFSET(IN_Zugliste!$D$4,0,0,IN_Zugliste!$A$2,1),""),"")</f>
        <v/>
      </c>
      <c r="O359" s="55" t="str" cm="1">
        <f t="array" aca="1" ref="O359" ca="1">IF(L359&lt;&gt;"",L359,_xlfn.XLOOKUP(B359,OFFSET($C$4,0,0,$A$2,1),OFFSET($O$4,0,0,$A$2,1)))</f>
        <v>Composition 83</v>
      </c>
      <c r="P359" s="55" cm="1">
        <f t="array" aca="1" ref="P359" ca="1">MATCH(J359, _xlfn._xlws.FILTER($J$4:$J$430,$O$4:$O$430=O359), 0)+1</f>
        <v>4</v>
      </c>
      <c r="Q359" s="63" t="str">
        <f>_xlfn.XLOOKUP(B359, IN_Zugliste!A:A, IN_Zugliste!M:M, "")</f>
        <v>11:40:57</v>
      </c>
    </row>
    <row r="360" spans="1:17" ht="15" customHeight="1" x14ac:dyDescent="0.2">
      <c r="A360" s="63" t="s">
        <v>686</v>
      </c>
      <c r="B360" s="63" t="s">
        <v>224</v>
      </c>
      <c r="C360" s="63" t="s">
        <v>171</v>
      </c>
      <c r="D360" s="63" t="s">
        <v>1068</v>
      </c>
      <c r="E360" s="63" t="s">
        <v>688</v>
      </c>
      <c r="F360" s="63" t="s">
        <v>1830</v>
      </c>
      <c r="G360" s="63" t="s">
        <v>1831</v>
      </c>
      <c r="H360" s="63" t="s">
        <v>817</v>
      </c>
      <c r="I360" s="63" t="s">
        <v>1831</v>
      </c>
      <c r="J360" s="63" t="s">
        <v>1832</v>
      </c>
      <c r="K360" s="55">
        <f t="shared" ca="1" si="5"/>
        <v>1</v>
      </c>
      <c r="L360" s="56" t="str">
        <f ca="1">IF(K360&gt;0,"Composition "&amp;SUM(K$4:K360),"")</f>
        <v>Composition 84</v>
      </c>
      <c r="M360" s="55" cm="1">
        <f t="array" aca="1" ref="M360" ca="1">IF(K360=1,_xlfn.XLOOKUP(B360,OFFSET(IN_Zugliste!$A$4,0,0,IN_Zugliste!$A$2,1),OFFSET(IN_Zugliste!$K$4,0,0,IN_Zugliste!$A$2,1),0),0)+_xlfn.XLOOKUP(C360,OFFSET(IN_Zugliste!$A$4,0,0,IN_Zugliste!$A$2,1),OFFSET(IN_Zugliste!$K$4,0,0,IN_Zugliste!$A$2,1),0)</f>
        <v>319483</v>
      </c>
      <c r="N360" s="55" t="str" cm="1">
        <f t="array" aca="1" ref="N360" ca="1">IF(K360=1,_xlfn.XLOOKUP(B360,OFFSET(IN_Zugliste!$A$4,0,0,IN_Zugliste!$A$2,1),OFFSET(IN_Zugliste!$D$4,0,0,IN_Zugliste!$A$2,1),""),"")</f>
        <v>462-1.0</v>
      </c>
      <c r="O360" s="55" t="str" cm="1">
        <f t="array" aca="1" ref="O360" ca="1">IF(L360&lt;&gt;"",L360,_xlfn.XLOOKUP(B360,OFFSET($C$4,0,0,$A$2,1),OFFSET($O$4,0,0,$A$2,1)))</f>
        <v>Composition 84</v>
      </c>
      <c r="P360" s="55" cm="1">
        <f t="array" aca="1" ref="P360" ca="1">MATCH(J360, _xlfn._xlws.FILTER($J$4:$J$430,$O$4:$O$430=O360), 0)+1</f>
        <v>2</v>
      </c>
      <c r="Q360" s="63" t="str">
        <f>_xlfn.XLOOKUP(B360, IN_Zugliste!A:A, IN_Zugliste!M:M, "")</f>
        <v>06:12:58</v>
      </c>
    </row>
    <row r="361" spans="1:17" ht="15" customHeight="1" x14ac:dyDescent="0.2">
      <c r="A361" s="63" t="s">
        <v>686</v>
      </c>
      <c r="B361" s="63" t="s">
        <v>171</v>
      </c>
      <c r="C361" s="63" t="s">
        <v>163</v>
      </c>
      <c r="D361" s="63" t="s">
        <v>811</v>
      </c>
      <c r="E361" s="63" t="s">
        <v>688</v>
      </c>
      <c r="F361" s="63" t="s">
        <v>1429</v>
      </c>
      <c r="G361" s="63" t="s">
        <v>1833</v>
      </c>
      <c r="H361" s="63" t="s">
        <v>691</v>
      </c>
      <c r="I361" s="63" t="s">
        <v>1833</v>
      </c>
      <c r="J361" s="63" t="s">
        <v>1834</v>
      </c>
      <c r="K361" s="55">
        <f t="shared" ca="1" si="5"/>
        <v>0</v>
      </c>
      <c r="L361" s="56" t="str">
        <f ca="1">IF(K361&gt;0,"Composition "&amp;SUM(K$4:K361),"")</f>
        <v/>
      </c>
      <c r="M361" s="55" cm="1">
        <f t="array" aca="1" ref="M361" ca="1">IF(K361=1,_xlfn.XLOOKUP(B361,OFFSET(IN_Zugliste!$A$4,0,0,IN_Zugliste!$A$2,1),OFFSET(IN_Zugliste!$K$4,0,0,IN_Zugliste!$A$2,1),0),0)+_xlfn.XLOOKUP(C361,OFFSET(IN_Zugliste!$A$4,0,0,IN_Zugliste!$A$2,1),OFFSET(IN_Zugliste!$K$4,0,0,IN_Zugliste!$A$2,1),0)</f>
        <v>159719</v>
      </c>
      <c r="N361" s="55" t="str" cm="1">
        <f t="array" aca="1" ref="N361" ca="1">IF(K361=1,_xlfn.XLOOKUP(B361,OFFSET(IN_Zugliste!$A$4,0,0,IN_Zugliste!$A$2,1),OFFSET(IN_Zugliste!$D$4,0,0,IN_Zugliste!$A$2,1),""),"")</f>
        <v/>
      </c>
      <c r="O361" s="55" t="str" cm="1">
        <f t="array" aca="1" ref="O361" ca="1">IF(L361&lt;&gt;"",L361,_xlfn.XLOOKUP(B361,OFFSET($C$4,0,0,$A$2,1),OFFSET($O$4,0,0,$A$2,1)))</f>
        <v>Composition 84</v>
      </c>
      <c r="P361" s="55" cm="1">
        <f t="array" aca="1" ref="P361" ca="1">MATCH(J361, _xlfn._xlws.FILTER($J$4:$J$430,$O$4:$O$430=O361), 0)+1</f>
        <v>3</v>
      </c>
      <c r="Q361" s="63" t="str">
        <f>_xlfn.XLOOKUP(B361, IN_Zugliste!A:A, IN_Zugliste!M:M, "")</f>
        <v>08:55:42</v>
      </c>
    </row>
    <row r="362" spans="1:17" ht="15" customHeight="1" x14ac:dyDescent="0.2">
      <c r="A362" s="63" t="s">
        <v>686</v>
      </c>
      <c r="B362" s="63" t="s">
        <v>163</v>
      </c>
      <c r="C362" s="63" t="s">
        <v>234</v>
      </c>
      <c r="D362" s="63" t="s">
        <v>1068</v>
      </c>
      <c r="E362" s="63" t="s">
        <v>688</v>
      </c>
      <c r="F362" s="63" t="s">
        <v>1835</v>
      </c>
      <c r="G362" s="63" t="s">
        <v>1836</v>
      </c>
      <c r="H362" s="63" t="s">
        <v>817</v>
      </c>
      <c r="I362" s="63" t="s">
        <v>1836</v>
      </c>
      <c r="J362" s="63" t="s">
        <v>1837</v>
      </c>
      <c r="K362" s="55">
        <f t="shared" ca="1" si="5"/>
        <v>0</v>
      </c>
      <c r="L362" s="56" t="str">
        <f ca="1">IF(K362&gt;0,"Composition "&amp;SUM(K$4:K362),"")</f>
        <v/>
      </c>
      <c r="M362" s="55" cm="1">
        <f t="array" aca="1" ref="M362" ca="1">IF(K362=1,_xlfn.XLOOKUP(B362,OFFSET(IN_Zugliste!$A$4,0,0,IN_Zugliste!$A$2,1),OFFSET(IN_Zugliste!$K$4,0,0,IN_Zugliste!$A$2,1),0),0)+_xlfn.XLOOKUP(C362,OFFSET(IN_Zugliste!$A$4,0,0,IN_Zugliste!$A$2,1),OFFSET(IN_Zugliste!$K$4,0,0,IN_Zugliste!$A$2,1),0)</f>
        <v>159764</v>
      </c>
      <c r="N362" s="55" t="str" cm="1">
        <f t="array" aca="1" ref="N362" ca="1">IF(K362=1,_xlfn.XLOOKUP(B362,OFFSET(IN_Zugliste!$A$4,0,0,IN_Zugliste!$A$2,1),OFFSET(IN_Zugliste!$D$4,0,0,IN_Zugliste!$A$2,1),""),"")</f>
        <v/>
      </c>
      <c r="O362" s="55" t="str" cm="1">
        <f t="array" aca="1" ref="O362" ca="1">IF(L362&lt;&gt;"",L362,_xlfn.XLOOKUP(B362,OFFSET($C$4,0,0,$A$2,1),OFFSET($O$4,0,0,$A$2,1)))</f>
        <v>Composition 84</v>
      </c>
      <c r="P362" s="55" cm="1">
        <f t="array" aca="1" ref="P362" ca="1">MATCH(J362, _xlfn._xlws.FILTER($J$4:$J$430,$O$4:$O$430=O362), 0)+1</f>
        <v>4</v>
      </c>
      <c r="Q362" s="63" t="str">
        <f>_xlfn.XLOOKUP(B362, IN_Zugliste!A:A, IN_Zugliste!M:M, "")</f>
        <v>11:42:31</v>
      </c>
    </row>
    <row r="363" spans="1:17" ht="15" customHeight="1" x14ac:dyDescent="0.2">
      <c r="A363" s="63" t="s">
        <v>686</v>
      </c>
      <c r="B363" s="63" t="s">
        <v>125</v>
      </c>
      <c r="C363" s="63" t="s">
        <v>139</v>
      </c>
      <c r="D363" s="63" t="s">
        <v>994</v>
      </c>
      <c r="E363" s="63" t="s">
        <v>688</v>
      </c>
      <c r="F363" s="63" t="s">
        <v>1838</v>
      </c>
      <c r="G363" s="63" t="s">
        <v>1839</v>
      </c>
      <c r="H363" s="63" t="s">
        <v>691</v>
      </c>
      <c r="I363" s="63" t="s">
        <v>1839</v>
      </c>
      <c r="J363" s="63" t="s">
        <v>1840</v>
      </c>
      <c r="K363" s="55">
        <f t="shared" ca="1" si="5"/>
        <v>1</v>
      </c>
      <c r="L363" s="56" t="str">
        <f ca="1">IF(K363&gt;0,"Composition "&amp;SUM(K$4:K363),"")</f>
        <v>Composition 85</v>
      </c>
      <c r="M363" s="55" cm="1">
        <f t="array" aca="1" ref="M363" ca="1">IF(K363=1,_xlfn.XLOOKUP(B363,OFFSET(IN_Zugliste!$A$4,0,0,IN_Zugliste!$A$2,1),OFFSET(IN_Zugliste!$K$4,0,0,IN_Zugliste!$A$2,1),0),0)+_xlfn.XLOOKUP(C363,OFFSET(IN_Zugliste!$A$4,0,0,IN_Zugliste!$A$2,1),OFFSET(IN_Zugliste!$K$4,0,0,IN_Zugliste!$A$2,1),0)</f>
        <v>360401</v>
      </c>
      <c r="N363" s="55" t="str" cm="1">
        <f t="array" aca="1" ref="N363" ca="1">IF(K363=1,_xlfn.XLOOKUP(B363,OFFSET(IN_Zugliste!$A$4,0,0,IN_Zugliste!$A$2,1),OFFSET(IN_Zugliste!$D$4,0,0,IN_Zugliste!$A$2,1),""),"")</f>
        <v>462-1.0</v>
      </c>
      <c r="O363" s="55" t="str" cm="1">
        <f t="array" aca="1" ref="O363" ca="1">IF(L363&lt;&gt;"",L363,_xlfn.XLOOKUP(B363,OFFSET($C$4,0,0,$A$2,1),OFFSET($O$4,0,0,$A$2,1)))</f>
        <v>Composition 85</v>
      </c>
      <c r="P363" s="55" cm="1">
        <f t="array" aca="1" ref="P363" ca="1">MATCH(J363, _xlfn._xlws.FILTER($J$4:$J$430,$O$4:$O$430=O363), 0)+1</f>
        <v>2</v>
      </c>
      <c r="Q363" s="63" t="str">
        <f>_xlfn.XLOOKUP(B363, IN_Zugliste!A:A, IN_Zugliste!M:M, "")</f>
        <v>06:22:31</v>
      </c>
    </row>
    <row r="364" spans="1:17" ht="15" customHeight="1" x14ac:dyDescent="0.2">
      <c r="A364" s="63" t="s">
        <v>686</v>
      </c>
      <c r="B364" s="63" t="s">
        <v>139</v>
      </c>
      <c r="C364" s="63" t="s">
        <v>153</v>
      </c>
      <c r="D364" s="63" t="s">
        <v>723</v>
      </c>
      <c r="E364" s="63" t="s">
        <v>688</v>
      </c>
      <c r="F364" s="63" t="s">
        <v>1841</v>
      </c>
      <c r="G364" s="63" t="s">
        <v>1842</v>
      </c>
      <c r="H364" s="63" t="s">
        <v>691</v>
      </c>
      <c r="I364" s="63" t="s">
        <v>1843</v>
      </c>
      <c r="J364" s="63" t="s">
        <v>1844</v>
      </c>
      <c r="K364" s="55">
        <f t="shared" ca="1" si="5"/>
        <v>0</v>
      </c>
      <c r="L364" s="56" t="str">
        <f ca="1">IF(K364&gt;0,"Composition "&amp;SUM(K$4:K364),"")</f>
        <v/>
      </c>
      <c r="M364" s="55" cm="1">
        <f t="array" aca="1" ref="M364" ca="1">IF(K364=1,_xlfn.XLOOKUP(B364,OFFSET(IN_Zugliste!$A$4,0,0,IN_Zugliste!$A$2,1),OFFSET(IN_Zugliste!$K$4,0,0,IN_Zugliste!$A$2,1),0),0)+_xlfn.XLOOKUP(C364,OFFSET(IN_Zugliste!$A$4,0,0,IN_Zugliste!$A$2,1),OFFSET(IN_Zugliste!$K$4,0,0,IN_Zugliste!$A$2,1),0)</f>
        <v>180226</v>
      </c>
      <c r="N364" s="55" t="str" cm="1">
        <f t="array" aca="1" ref="N364" ca="1">IF(K364=1,_xlfn.XLOOKUP(B364,OFFSET(IN_Zugliste!$A$4,0,0,IN_Zugliste!$A$2,1),OFFSET(IN_Zugliste!$D$4,0,0,IN_Zugliste!$A$2,1),""),"")</f>
        <v/>
      </c>
      <c r="O364" s="55" t="str" cm="1">
        <f t="array" aca="1" ref="O364" ca="1">IF(L364&lt;&gt;"",L364,_xlfn.XLOOKUP(B364,OFFSET($C$4,0,0,$A$2,1),OFFSET($O$4,0,0,$A$2,1)))</f>
        <v>Composition 85</v>
      </c>
      <c r="P364" s="55" cm="1">
        <f t="array" aca="1" ref="P364" ca="1">MATCH(J364, _xlfn._xlws.FILTER($J$4:$J$430,$O$4:$O$430=O364), 0)+1</f>
        <v>3</v>
      </c>
      <c r="Q364" s="63" t="str">
        <f>_xlfn.XLOOKUP(B364, IN_Zugliste!A:A, IN_Zugliste!M:M, "")</f>
        <v>09:04:18</v>
      </c>
    </row>
    <row r="365" spans="1:17" ht="15" customHeight="1" x14ac:dyDescent="0.2">
      <c r="A365" s="63" t="s">
        <v>686</v>
      </c>
      <c r="B365" s="63" t="s">
        <v>153</v>
      </c>
      <c r="C365" s="63" t="s">
        <v>113</v>
      </c>
      <c r="D365" s="63" t="s">
        <v>994</v>
      </c>
      <c r="E365" s="63" t="s">
        <v>688</v>
      </c>
      <c r="F365" s="63" t="s">
        <v>1845</v>
      </c>
      <c r="G365" s="63" t="s">
        <v>1846</v>
      </c>
      <c r="H365" s="63" t="s">
        <v>691</v>
      </c>
      <c r="I365" s="63" t="s">
        <v>1846</v>
      </c>
      <c r="J365" s="63" t="s">
        <v>1847</v>
      </c>
      <c r="K365" s="55">
        <f t="shared" ca="1" si="5"/>
        <v>0</v>
      </c>
      <c r="L365" s="56" t="str">
        <f ca="1">IF(K365&gt;0,"Composition "&amp;SUM(K$4:K365),"")</f>
        <v/>
      </c>
      <c r="M365" s="55" cm="1">
        <f t="array" aca="1" ref="M365" ca="1">IF(K365=1,_xlfn.XLOOKUP(B365,OFFSET(IN_Zugliste!$A$4,0,0,IN_Zugliste!$A$2,1),OFFSET(IN_Zugliste!$K$4,0,0,IN_Zugliste!$A$2,1),0),0)+_xlfn.XLOOKUP(C365,OFFSET(IN_Zugliste!$A$4,0,0,IN_Zugliste!$A$2,1),OFFSET(IN_Zugliste!$K$4,0,0,IN_Zugliste!$A$2,1),0)</f>
        <v>180175</v>
      </c>
      <c r="N365" s="55" t="str" cm="1">
        <f t="array" aca="1" ref="N365" ca="1">IF(K365=1,_xlfn.XLOOKUP(B365,OFFSET(IN_Zugliste!$A$4,0,0,IN_Zugliste!$A$2,1),OFFSET(IN_Zugliste!$D$4,0,0,IN_Zugliste!$A$2,1),""),"")</f>
        <v/>
      </c>
      <c r="O365" s="55" t="str" cm="1">
        <f t="array" aca="1" ref="O365" ca="1">IF(L365&lt;&gt;"",L365,_xlfn.XLOOKUP(B365,OFFSET($C$4,0,0,$A$2,1),OFFSET($O$4,0,0,$A$2,1)))</f>
        <v>Composition 85</v>
      </c>
      <c r="P365" s="55" cm="1">
        <f t="array" aca="1" ref="P365" ca="1">MATCH(J365, _xlfn._xlws.FILTER($J$4:$J$430,$O$4:$O$430=O365), 0)+1</f>
        <v>4</v>
      </c>
      <c r="Q365" s="63" t="str">
        <f>_xlfn.XLOOKUP(B365, IN_Zugliste!A:A, IN_Zugliste!M:M, "")</f>
        <v>11:51:38</v>
      </c>
    </row>
    <row r="366" spans="1:17" ht="15" customHeight="1" x14ac:dyDescent="0.2">
      <c r="A366" s="63" t="s">
        <v>686</v>
      </c>
      <c r="B366" s="63" t="s">
        <v>595</v>
      </c>
      <c r="C366" s="63" t="s">
        <v>565</v>
      </c>
      <c r="D366" s="63" t="s">
        <v>990</v>
      </c>
      <c r="E366" s="63" t="s">
        <v>688</v>
      </c>
      <c r="F366" s="63" t="s">
        <v>1848</v>
      </c>
      <c r="G366" s="63" t="s">
        <v>1849</v>
      </c>
      <c r="H366" s="63" t="s">
        <v>691</v>
      </c>
      <c r="I366" s="63" t="s">
        <v>1850</v>
      </c>
      <c r="J366" s="63" t="s">
        <v>1851</v>
      </c>
      <c r="K366" s="55">
        <f t="shared" ca="1" si="5"/>
        <v>1</v>
      </c>
      <c r="L366" s="56" t="str">
        <f ca="1">IF(K366&gt;0,"Composition "&amp;SUM(K$4:K366),"")</f>
        <v>Composition 86</v>
      </c>
      <c r="M366" s="55" cm="1">
        <f t="array" aca="1" ref="M366" ca="1">IF(K366=1,_xlfn.XLOOKUP(B366,OFFSET(IN_Zugliste!$A$4,0,0,IN_Zugliste!$A$2,1),OFFSET(IN_Zugliste!$K$4,0,0,IN_Zugliste!$A$2,1),0),0)+_xlfn.XLOOKUP(C366,OFFSET(IN_Zugliste!$A$4,0,0,IN_Zugliste!$A$2,1),OFFSET(IN_Zugliste!$K$4,0,0,IN_Zugliste!$A$2,1),0)</f>
        <v>322962</v>
      </c>
      <c r="N366" s="55" t="str" cm="1">
        <f t="array" aca="1" ref="N366" ca="1">IF(K366=1,_xlfn.XLOOKUP(B366,OFFSET(IN_Zugliste!$A$4,0,0,IN_Zugliste!$A$2,1),OFFSET(IN_Zugliste!$D$4,0,0,IN_Zugliste!$A$2,1),""),"")</f>
        <v>146-3.2</v>
      </c>
      <c r="O366" s="55" t="str" cm="1">
        <f t="array" aca="1" ref="O366" ca="1">IF(L366&lt;&gt;"",L366,_xlfn.XLOOKUP(B366,OFFSET($C$4,0,0,$A$2,1),OFFSET($O$4,0,0,$A$2,1)))</f>
        <v>Composition 86</v>
      </c>
      <c r="P366" s="55" cm="1">
        <f t="array" aca="1" ref="P366" ca="1">MATCH(J366, _xlfn._xlws.FILTER($J$4:$J$430,$O$4:$O$430=O366), 0)+1</f>
        <v>2</v>
      </c>
      <c r="Q366" s="63" t="str">
        <f>_xlfn.XLOOKUP(B366, IN_Zugliste!A:A, IN_Zugliste!M:M, "")</f>
        <v>05:49:22</v>
      </c>
    </row>
    <row r="367" spans="1:17" ht="15" customHeight="1" x14ac:dyDescent="0.2">
      <c r="A367" s="63" t="s">
        <v>686</v>
      </c>
      <c r="B367" s="63" t="s">
        <v>565</v>
      </c>
      <c r="C367" s="63" t="s">
        <v>578</v>
      </c>
      <c r="D367" s="63" t="s">
        <v>1097</v>
      </c>
      <c r="E367" s="63" t="s">
        <v>688</v>
      </c>
      <c r="F367" s="63" t="s">
        <v>1852</v>
      </c>
      <c r="G367" s="63" t="s">
        <v>1853</v>
      </c>
      <c r="H367" s="63" t="s">
        <v>691</v>
      </c>
      <c r="I367" s="63" t="s">
        <v>1853</v>
      </c>
      <c r="J367" s="63" t="s">
        <v>1854</v>
      </c>
      <c r="K367" s="55">
        <f t="shared" ca="1" si="5"/>
        <v>0</v>
      </c>
      <c r="L367" s="56" t="str">
        <f ca="1">IF(K367&gt;0,"Composition "&amp;SUM(K$4:K367),"")</f>
        <v/>
      </c>
      <c r="M367" s="55" cm="1">
        <f t="array" aca="1" ref="M367" ca="1">IF(K367=1,_xlfn.XLOOKUP(B367,OFFSET(IN_Zugliste!$A$4,0,0,IN_Zugliste!$A$2,1),OFFSET(IN_Zugliste!$K$4,0,0,IN_Zugliste!$A$2,1),0),0)+_xlfn.XLOOKUP(C367,OFFSET(IN_Zugliste!$A$4,0,0,IN_Zugliste!$A$2,1),OFFSET(IN_Zugliste!$K$4,0,0,IN_Zugliste!$A$2,1),0)</f>
        <v>98831</v>
      </c>
      <c r="N367" s="55" t="str" cm="1">
        <f t="array" aca="1" ref="N367" ca="1">IF(K367=1,_xlfn.XLOOKUP(B367,OFFSET(IN_Zugliste!$A$4,0,0,IN_Zugliste!$A$2,1),OFFSET(IN_Zugliste!$D$4,0,0,IN_Zugliste!$A$2,1),""),"")</f>
        <v/>
      </c>
      <c r="O367" s="55" t="str" cm="1">
        <f t="array" aca="1" ref="O367" ca="1">IF(L367&lt;&gt;"",L367,_xlfn.XLOOKUP(B367,OFFSET($C$4,0,0,$A$2,1),OFFSET($O$4,0,0,$A$2,1)))</f>
        <v>Composition 86</v>
      </c>
      <c r="P367" s="55" cm="1">
        <f t="array" aca="1" ref="P367" ca="1">MATCH(J367, _xlfn._xlws.FILTER($J$4:$J$430,$O$4:$O$430=O367), 0)+1</f>
        <v>3</v>
      </c>
      <c r="Q367" s="63" t="str">
        <f>_xlfn.XLOOKUP(B367, IN_Zugliste!A:A, IN_Zugliste!M:M, "")</f>
        <v>09:10:15</v>
      </c>
    </row>
    <row r="368" spans="1:17" ht="15" customHeight="1" x14ac:dyDescent="0.2">
      <c r="A368" s="63" t="s">
        <v>686</v>
      </c>
      <c r="B368" s="63" t="s">
        <v>578</v>
      </c>
      <c r="C368" s="63" t="s">
        <v>590</v>
      </c>
      <c r="D368" s="63" t="s">
        <v>990</v>
      </c>
      <c r="E368" s="63" t="s">
        <v>688</v>
      </c>
      <c r="F368" s="63" t="s">
        <v>1855</v>
      </c>
      <c r="G368" s="63" t="s">
        <v>1856</v>
      </c>
      <c r="H368" s="63" t="s">
        <v>691</v>
      </c>
      <c r="I368" s="63" t="s">
        <v>1856</v>
      </c>
      <c r="J368" s="63" t="s">
        <v>1857</v>
      </c>
      <c r="K368" s="55">
        <f t="shared" ca="1" si="5"/>
        <v>0</v>
      </c>
      <c r="L368" s="56" t="str">
        <f ca="1">IF(K368&gt;0,"Composition "&amp;SUM(K$4:K368),"")</f>
        <v/>
      </c>
      <c r="M368" s="55" cm="1">
        <f t="array" aca="1" ref="M368" ca="1">IF(K368=1,_xlfn.XLOOKUP(B368,OFFSET(IN_Zugliste!$A$4,0,0,IN_Zugliste!$A$2,1),OFFSET(IN_Zugliste!$K$4,0,0,IN_Zugliste!$A$2,1),0),0)+_xlfn.XLOOKUP(C368,OFFSET(IN_Zugliste!$A$4,0,0,IN_Zugliste!$A$2,1),OFFSET(IN_Zugliste!$K$4,0,0,IN_Zugliste!$A$2,1),0)</f>
        <v>224120</v>
      </c>
      <c r="N368" s="55" t="str" cm="1">
        <f t="array" aca="1" ref="N368" ca="1">IF(K368=1,_xlfn.XLOOKUP(B368,OFFSET(IN_Zugliste!$A$4,0,0,IN_Zugliste!$A$2,1),OFFSET(IN_Zugliste!$D$4,0,0,IN_Zugliste!$A$2,1),""),"")</f>
        <v/>
      </c>
      <c r="O368" s="55" t="str" cm="1">
        <f t="array" aca="1" ref="O368" ca="1">IF(L368&lt;&gt;"",L368,_xlfn.XLOOKUP(B368,OFFSET($C$4,0,0,$A$2,1),OFFSET($O$4,0,0,$A$2,1)))</f>
        <v>Composition 86</v>
      </c>
      <c r="P368" s="55" cm="1">
        <f t="array" aca="1" ref="P368" ca="1">MATCH(J368, _xlfn._xlws.FILTER($J$4:$J$430,$O$4:$O$430=O368), 0)+1</f>
        <v>4</v>
      </c>
      <c r="Q368" s="63" t="str">
        <f>_xlfn.XLOOKUP(B368, IN_Zugliste!A:A, IN_Zugliste!M:M, "")</f>
        <v>10:50:55</v>
      </c>
    </row>
    <row r="369" spans="1:17" ht="15" customHeight="1" x14ac:dyDescent="0.2">
      <c r="A369" s="63" t="s">
        <v>686</v>
      </c>
      <c r="B369" s="63" t="s">
        <v>662</v>
      </c>
      <c r="C369" s="63" t="s">
        <v>653</v>
      </c>
      <c r="D369" s="63" t="s">
        <v>1176</v>
      </c>
      <c r="E369" s="63" t="s">
        <v>688</v>
      </c>
      <c r="F369" s="63" t="s">
        <v>1858</v>
      </c>
      <c r="G369" s="63" t="s">
        <v>1859</v>
      </c>
      <c r="H369" s="63" t="s">
        <v>691</v>
      </c>
      <c r="I369" s="63" t="s">
        <v>1859</v>
      </c>
      <c r="J369" s="63" t="s">
        <v>1860</v>
      </c>
      <c r="K369" s="55">
        <f t="shared" ca="1" si="5"/>
        <v>1</v>
      </c>
      <c r="L369" s="56" t="str">
        <f ca="1">IF(K369&gt;0,"Composition "&amp;SUM(K$4:K369),"")</f>
        <v>Composition 87</v>
      </c>
      <c r="M369" s="55" cm="1">
        <f t="array" aca="1" ref="M369" ca="1">IF(K369=1,_xlfn.XLOOKUP(B369,OFFSET(IN_Zugliste!$A$4,0,0,IN_Zugliste!$A$2,1),OFFSET(IN_Zugliste!$K$4,0,0,IN_Zugliste!$A$2,1),0),0)+_xlfn.XLOOKUP(C369,OFFSET(IN_Zugliste!$A$4,0,0,IN_Zugliste!$A$2,1),OFFSET(IN_Zugliste!$K$4,0,0,IN_Zugliste!$A$2,1),0)</f>
        <v>241584</v>
      </c>
      <c r="N369" s="55" t="str" cm="1">
        <f t="array" aca="1" ref="N369" ca="1">IF(K369=1,_xlfn.XLOOKUP(B369,OFFSET(IN_Zugliste!$A$4,0,0,IN_Zugliste!$A$2,1),OFFSET(IN_Zugliste!$D$4,0,0,IN_Zugliste!$A$2,1),""),"")</f>
        <v>462-1.0</v>
      </c>
      <c r="O369" s="55" t="str" cm="1">
        <f t="array" aca="1" ref="O369" ca="1">IF(L369&lt;&gt;"",L369,_xlfn.XLOOKUP(B369,OFFSET($C$4,0,0,$A$2,1),OFFSET($O$4,0,0,$A$2,1)))</f>
        <v>Composition 87</v>
      </c>
      <c r="P369" s="55" cm="1">
        <f t="array" aca="1" ref="P369" ca="1">MATCH(J369, _xlfn._xlws.FILTER($J$4:$J$430,$O$4:$O$430=O369), 0)+1</f>
        <v>2</v>
      </c>
      <c r="Q369" s="63" t="str">
        <f>_xlfn.XLOOKUP(B369, IN_Zugliste!A:A, IN_Zugliste!M:M, "")</f>
        <v>06:42:00</v>
      </c>
    </row>
    <row r="370" spans="1:17" ht="15" customHeight="1" x14ac:dyDescent="0.2">
      <c r="A370" s="63" t="s">
        <v>686</v>
      </c>
      <c r="B370" s="63" t="s">
        <v>653</v>
      </c>
      <c r="C370" s="63" t="s">
        <v>667</v>
      </c>
      <c r="D370" s="63" t="s">
        <v>723</v>
      </c>
      <c r="E370" s="63" t="s">
        <v>688</v>
      </c>
      <c r="F370" s="63" t="s">
        <v>1861</v>
      </c>
      <c r="G370" s="63" t="s">
        <v>1862</v>
      </c>
      <c r="H370" s="63" t="s">
        <v>691</v>
      </c>
      <c r="I370" s="63" t="s">
        <v>1863</v>
      </c>
      <c r="J370" s="63" t="s">
        <v>1864</v>
      </c>
      <c r="K370" s="55">
        <f t="shared" ca="1" si="5"/>
        <v>0</v>
      </c>
      <c r="L370" s="56" t="str">
        <f ca="1">IF(K370&gt;0,"Composition "&amp;SUM(K$4:K370),"")</f>
        <v/>
      </c>
      <c r="M370" s="55" cm="1">
        <f t="array" aca="1" ref="M370" ca="1">IF(K370=1,_xlfn.XLOOKUP(B370,OFFSET(IN_Zugliste!$A$4,0,0,IN_Zugliste!$A$2,1),OFFSET(IN_Zugliste!$K$4,0,0,IN_Zugliste!$A$2,1),0),0)+_xlfn.XLOOKUP(C370,OFFSET(IN_Zugliste!$A$4,0,0,IN_Zugliste!$A$2,1),OFFSET(IN_Zugliste!$K$4,0,0,IN_Zugliste!$A$2,1),0)</f>
        <v>120806</v>
      </c>
      <c r="N370" s="55" t="str" cm="1">
        <f t="array" aca="1" ref="N370" ca="1">IF(K370=1,_xlfn.XLOOKUP(B370,OFFSET(IN_Zugliste!$A$4,0,0,IN_Zugliste!$A$2,1),OFFSET(IN_Zugliste!$D$4,0,0,IN_Zugliste!$A$2,1),""),"")</f>
        <v/>
      </c>
      <c r="O370" s="55" t="str" cm="1">
        <f t="array" aca="1" ref="O370" ca="1">IF(L370&lt;&gt;"",L370,_xlfn.XLOOKUP(B370,OFFSET($C$4,0,0,$A$2,1),OFFSET($O$4,0,0,$A$2,1)))</f>
        <v>Composition 87</v>
      </c>
      <c r="P370" s="55" cm="1">
        <f t="array" aca="1" ref="P370" ca="1">MATCH(J370, _xlfn._xlws.FILTER($J$4:$J$430,$O$4:$O$430=O370), 0)+1</f>
        <v>3</v>
      </c>
      <c r="Q370" s="63" t="str">
        <f>_xlfn.XLOOKUP(B370, IN_Zugliste!A:A, IN_Zugliste!M:M, "")</f>
        <v>09:10:41</v>
      </c>
    </row>
    <row r="371" spans="1:17" ht="15" customHeight="1" x14ac:dyDescent="0.2">
      <c r="A371" s="63" t="s">
        <v>686</v>
      </c>
      <c r="B371" s="63" t="s">
        <v>667</v>
      </c>
      <c r="C371" s="63" t="s">
        <v>649</v>
      </c>
      <c r="D371" s="63" t="s">
        <v>1176</v>
      </c>
      <c r="E371" s="63" t="s">
        <v>688</v>
      </c>
      <c r="F371" s="63" t="s">
        <v>1865</v>
      </c>
      <c r="G371" s="63" t="s">
        <v>1866</v>
      </c>
      <c r="H371" s="63" t="s">
        <v>691</v>
      </c>
      <c r="I371" s="63" t="s">
        <v>1866</v>
      </c>
      <c r="J371" s="63" t="s">
        <v>1867</v>
      </c>
      <c r="K371" s="55">
        <f t="shared" ca="1" si="5"/>
        <v>0</v>
      </c>
      <c r="L371" s="56" t="str">
        <f ca="1">IF(K371&gt;0,"Composition "&amp;SUM(K$4:K371),"")</f>
        <v/>
      </c>
      <c r="M371" s="55" cm="1">
        <f t="array" aca="1" ref="M371" ca="1">IF(K371=1,_xlfn.XLOOKUP(B371,OFFSET(IN_Zugliste!$A$4,0,0,IN_Zugliste!$A$2,1),OFFSET(IN_Zugliste!$K$4,0,0,IN_Zugliste!$A$2,1),0),0)+_xlfn.XLOOKUP(C371,OFFSET(IN_Zugliste!$A$4,0,0,IN_Zugliste!$A$2,1),OFFSET(IN_Zugliste!$K$4,0,0,IN_Zugliste!$A$2,1),0)</f>
        <v>120778</v>
      </c>
      <c r="N371" s="55" t="str" cm="1">
        <f t="array" aca="1" ref="N371" ca="1">IF(K371=1,_xlfn.XLOOKUP(B371,OFFSET(IN_Zugliste!$A$4,0,0,IN_Zugliste!$A$2,1),OFFSET(IN_Zugliste!$D$4,0,0,IN_Zugliste!$A$2,1),""),"")</f>
        <v/>
      </c>
      <c r="O371" s="55" t="str" cm="1">
        <f t="array" aca="1" ref="O371" ca="1">IF(L371&lt;&gt;"",L371,_xlfn.XLOOKUP(B371,OFFSET($C$4,0,0,$A$2,1),OFFSET($O$4,0,0,$A$2,1)))</f>
        <v>Composition 87</v>
      </c>
      <c r="P371" s="55" cm="1">
        <f t="array" aca="1" ref="P371" ca="1">MATCH(J371, _xlfn._xlws.FILTER($J$4:$J$430,$O$4:$O$430=O371), 0)+1</f>
        <v>4</v>
      </c>
      <c r="Q371" s="63" t="str">
        <f>_xlfn.XLOOKUP(B371, IN_Zugliste!A:A, IN_Zugliste!M:M, "")</f>
        <v>11:42:00</v>
      </c>
    </row>
    <row r="372" spans="1:17" ht="15" customHeight="1" x14ac:dyDescent="0.2">
      <c r="A372" s="63" t="s">
        <v>686</v>
      </c>
      <c r="B372" s="63" t="s">
        <v>213</v>
      </c>
      <c r="C372" s="63" t="s">
        <v>205</v>
      </c>
      <c r="D372" s="63" t="s">
        <v>990</v>
      </c>
      <c r="E372" s="63" t="s">
        <v>688</v>
      </c>
      <c r="F372" s="63" t="s">
        <v>1800</v>
      </c>
      <c r="G372" s="63" t="s">
        <v>1868</v>
      </c>
      <c r="H372" s="63" t="s">
        <v>691</v>
      </c>
      <c r="I372" s="63" t="s">
        <v>1868</v>
      </c>
      <c r="J372" s="63" t="s">
        <v>1869</v>
      </c>
      <c r="K372" s="55">
        <f t="shared" ca="1" si="5"/>
        <v>1</v>
      </c>
      <c r="L372" s="56" t="str">
        <f ca="1">IF(K372&gt;0,"Composition "&amp;SUM(K$4:K372),"")</f>
        <v>Composition 88</v>
      </c>
      <c r="M372" s="55" cm="1">
        <f t="array" aca="1" ref="M372" ca="1">IF(K372=1,_xlfn.XLOOKUP(B372,OFFSET(IN_Zugliste!$A$4,0,0,IN_Zugliste!$A$2,1),OFFSET(IN_Zugliste!$K$4,0,0,IN_Zugliste!$A$2,1),0),0)+_xlfn.XLOOKUP(C372,OFFSET(IN_Zugliste!$A$4,0,0,IN_Zugliste!$A$2,1),OFFSET(IN_Zugliste!$K$4,0,0,IN_Zugliste!$A$2,1),0)</f>
        <v>314467</v>
      </c>
      <c r="N372" s="55" t="str" cm="1">
        <f t="array" aca="1" ref="N372" ca="1">IF(K372=1,_xlfn.XLOOKUP(B372,OFFSET(IN_Zugliste!$A$4,0,0,IN_Zugliste!$A$2,1),OFFSET(IN_Zugliste!$D$4,0,0,IN_Zugliste!$A$2,1),""),"")</f>
        <v>462-1.0</v>
      </c>
      <c r="O372" s="55" t="str" cm="1">
        <f t="array" aca="1" ref="O372" ca="1">IF(L372&lt;&gt;"",L372,_xlfn.XLOOKUP(B372,OFFSET($C$4,0,0,$A$2,1),OFFSET($O$4,0,0,$A$2,1)))</f>
        <v>Composition 88</v>
      </c>
      <c r="P372" s="55" cm="1">
        <f t="array" aca="1" ref="P372" ca="1">MATCH(J372, _xlfn._xlws.FILTER($J$4:$J$430,$O$4:$O$430=O372), 0)+1</f>
        <v>2</v>
      </c>
      <c r="Q372" s="63" t="str">
        <f>_xlfn.XLOOKUP(B372, IN_Zugliste!A:A, IN_Zugliste!M:M, "")</f>
        <v>06:22:50</v>
      </c>
    </row>
    <row r="373" spans="1:17" ht="15" customHeight="1" x14ac:dyDescent="0.2">
      <c r="A373" s="63" t="s">
        <v>686</v>
      </c>
      <c r="B373" s="63" t="s">
        <v>205</v>
      </c>
      <c r="C373" s="63" t="s">
        <v>196</v>
      </c>
      <c r="D373" s="63" t="s">
        <v>811</v>
      </c>
      <c r="E373" s="63" t="s">
        <v>688</v>
      </c>
      <c r="F373" s="63" t="s">
        <v>1870</v>
      </c>
      <c r="G373" s="63" t="s">
        <v>1871</v>
      </c>
      <c r="H373" s="63" t="s">
        <v>691</v>
      </c>
      <c r="I373" s="63" t="s">
        <v>1871</v>
      </c>
      <c r="J373" s="63" t="s">
        <v>1872</v>
      </c>
      <c r="K373" s="55">
        <f t="shared" ca="1" si="5"/>
        <v>0</v>
      </c>
      <c r="L373" s="56" t="str">
        <f ca="1">IF(K373&gt;0,"Composition "&amp;SUM(K$4:K373),"")</f>
        <v/>
      </c>
      <c r="M373" s="55" cm="1">
        <f t="array" aca="1" ref="M373" ca="1">IF(K373=1,_xlfn.XLOOKUP(B373,OFFSET(IN_Zugliste!$A$4,0,0,IN_Zugliste!$A$2,1),OFFSET(IN_Zugliste!$K$4,0,0,IN_Zugliste!$A$2,1),0),0)+_xlfn.XLOOKUP(C373,OFFSET(IN_Zugliste!$A$4,0,0,IN_Zugliste!$A$2,1),OFFSET(IN_Zugliste!$K$4,0,0,IN_Zugliste!$A$2,1),0)</f>
        <v>157858</v>
      </c>
      <c r="N373" s="55" t="str" cm="1">
        <f t="array" aca="1" ref="N373" ca="1">IF(K373=1,_xlfn.XLOOKUP(B373,OFFSET(IN_Zugliste!$A$4,0,0,IN_Zugliste!$A$2,1),OFFSET(IN_Zugliste!$D$4,0,0,IN_Zugliste!$A$2,1),""),"")</f>
        <v/>
      </c>
      <c r="O373" s="55" t="str" cm="1">
        <f t="array" aca="1" ref="O373" ca="1">IF(L373&lt;&gt;"",L373,_xlfn.XLOOKUP(B373,OFFSET($C$4,0,0,$A$2,1),OFFSET($O$4,0,0,$A$2,1)))</f>
        <v>Composition 88</v>
      </c>
      <c r="P373" s="55" cm="1">
        <f t="array" aca="1" ref="P373" ca="1">MATCH(J373, _xlfn._xlws.FILTER($J$4:$J$430,$O$4:$O$430=O373), 0)+1</f>
        <v>3</v>
      </c>
      <c r="Q373" s="63" t="str">
        <f>_xlfn.XLOOKUP(B373, IN_Zugliste!A:A, IN_Zugliste!M:M, "")</f>
        <v>09:11:52</v>
      </c>
    </row>
    <row r="374" spans="1:17" ht="15" customHeight="1" x14ac:dyDescent="0.2">
      <c r="A374" s="63" t="s">
        <v>686</v>
      </c>
      <c r="B374" s="63" t="s">
        <v>196</v>
      </c>
      <c r="C374" s="63" t="s">
        <v>179</v>
      </c>
      <c r="D374" s="63" t="s">
        <v>990</v>
      </c>
      <c r="E374" s="63" t="s">
        <v>688</v>
      </c>
      <c r="F374" s="63" t="s">
        <v>1873</v>
      </c>
      <c r="G374" s="63" t="s">
        <v>1874</v>
      </c>
      <c r="H374" s="63" t="s">
        <v>691</v>
      </c>
      <c r="I374" s="63" t="s">
        <v>1874</v>
      </c>
      <c r="J374" s="63" t="s">
        <v>1875</v>
      </c>
      <c r="K374" s="55">
        <f t="shared" ca="1" si="5"/>
        <v>0</v>
      </c>
      <c r="L374" s="56" t="str">
        <f ca="1">IF(K374&gt;0,"Composition "&amp;SUM(K$4:K374),"")</f>
        <v/>
      </c>
      <c r="M374" s="55" cm="1">
        <f t="array" aca="1" ref="M374" ca="1">IF(K374=1,_xlfn.XLOOKUP(B374,OFFSET(IN_Zugliste!$A$4,0,0,IN_Zugliste!$A$2,1),OFFSET(IN_Zugliste!$K$4,0,0,IN_Zugliste!$A$2,1),0),0)+_xlfn.XLOOKUP(C374,OFFSET(IN_Zugliste!$A$4,0,0,IN_Zugliste!$A$2,1),OFFSET(IN_Zugliste!$K$4,0,0,IN_Zugliste!$A$2,1),0)</f>
        <v>156609</v>
      </c>
      <c r="N374" s="55" t="str" cm="1">
        <f t="array" aca="1" ref="N374" ca="1">IF(K374=1,_xlfn.XLOOKUP(B374,OFFSET(IN_Zugliste!$A$4,0,0,IN_Zugliste!$A$2,1),OFFSET(IN_Zugliste!$D$4,0,0,IN_Zugliste!$A$2,1),""),"")</f>
        <v/>
      </c>
      <c r="O374" s="55" t="str" cm="1">
        <f t="array" aca="1" ref="O374" ca="1">IF(L374&lt;&gt;"",L374,_xlfn.XLOOKUP(B374,OFFSET($C$4,0,0,$A$2,1),OFFSET($O$4,0,0,$A$2,1)))</f>
        <v>Composition 88</v>
      </c>
      <c r="P374" s="55" cm="1">
        <f t="array" aca="1" ref="P374" ca="1">MATCH(J374, _xlfn._xlws.FILTER($J$4:$J$430,$O$4:$O$430=O374), 0)+1</f>
        <v>4</v>
      </c>
      <c r="Q374" s="63" t="str">
        <f>_xlfn.XLOOKUP(B374, IN_Zugliste!A:A, IN_Zugliste!M:M, "")</f>
        <v>11:53:24</v>
      </c>
    </row>
    <row r="375" spans="1:17" ht="15" customHeight="1" x14ac:dyDescent="0.2">
      <c r="A375" s="63" t="s">
        <v>686</v>
      </c>
      <c r="B375" s="63" t="s">
        <v>235</v>
      </c>
      <c r="C375" s="63" t="s">
        <v>227</v>
      </c>
      <c r="D375" s="63" t="s">
        <v>811</v>
      </c>
      <c r="E375" s="63" t="s">
        <v>688</v>
      </c>
      <c r="F375" s="63" t="s">
        <v>1876</v>
      </c>
      <c r="G375" s="63" t="s">
        <v>1877</v>
      </c>
      <c r="H375" s="63" t="s">
        <v>691</v>
      </c>
      <c r="I375" s="63" t="s">
        <v>1877</v>
      </c>
      <c r="J375" s="63" t="s">
        <v>1878</v>
      </c>
      <c r="K375" s="55">
        <f t="shared" ca="1" si="5"/>
        <v>1</v>
      </c>
      <c r="L375" s="56" t="str">
        <f ca="1">IF(K375&gt;0,"Composition "&amp;SUM(K$4:K375),"")</f>
        <v>Composition 89</v>
      </c>
      <c r="M375" s="55" cm="1">
        <f t="array" aca="1" ref="M375" ca="1">IF(K375=1,_xlfn.XLOOKUP(B375,OFFSET(IN_Zugliste!$A$4,0,0,IN_Zugliste!$A$2,1),OFFSET(IN_Zugliste!$K$4,0,0,IN_Zugliste!$A$2,1),0),0)+_xlfn.XLOOKUP(C375,OFFSET(IN_Zugliste!$A$4,0,0,IN_Zugliste!$A$2,1),OFFSET(IN_Zugliste!$K$4,0,0,IN_Zugliste!$A$2,1),0)</f>
        <v>319483</v>
      </c>
      <c r="N375" s="55" t="str" cm="1">
        <f t="array" aca="1" ref="N375" ca="1">IF(K375=1,_xlfn.XLOOKUP(B375,OFFSET(IN_Zugliste!$A$4,0,0,IN_Zugliste!$A$2,1),OFFSET(IN_Zugliste!$D$4,0,0,IN_Zugliste!$A$2,1),""),"")</f>
        <v>462-1.0</v>
      </c>
      <c r="O375" s="55" t="str" cm="1">
        <f t="array" aca="1" ref="O375" ca="1">IF(L375&lt;&gt;"",L375,_xlfn.XLOOKUP(B375,OFFSET($C$4,0,0,$A$2,1),OFFSET($O$4,0,0,$A$2,1)))</f>
        <v>Composition 89</v>
      </c>
      <c r="P375" s="55" cm="1">
        <f t="array" aca="1" ref="P375" ca="1">MATCH(J375, _xlfn._xlws.FILTER($J$4:$J$430,$O$4:$O$430=O375), 0)+1</f>
        <v>2</v>
      </c>
      <c r="Q375" s="63" t="str">
        <f>_xlfn.XLOOKUP(B375, IN_Zugliste!A:A, IN_Zugliste!M:M, "")</f>
        <v>06:23:38</v>
      </c>
    </row>
    <row r="376" spans="1:17" ht="15" customHeight="1" x14ac:dyDescent="0.2">
      <c r="A376" s="63" t="s">
        <v>686</v>
      </c>
      <c r="B376" s="63" t="s">
        <v>227</v>
      </c>
      <c r="C376" s="63" t="s">
        <v>174</v>
      </c>
      <c r="D376" s="63" t="s">
        <v>1068</v>
      </c>
      <c r="E376" s="63" t="s">
        <v>688</v>
      </c>
      <c r="F376" s="63" t="s">
        <v>1879</v>
      </c>
      <c r="G376" s="63" t="s">
        <v>1880</v>
      </c>
      <c r="H376" s="63" t="s">
        <v>817</v>
      </c>
      <c r="I376" s="63" t="s">
        <v>1880</v>
      </c>
      <c r="J376" s="63" t="s">
        <v>1881</v>
      </c>
      <c r="K376" s="55">
        <f t="shared" ca="1" si="5"/>
        <v>0</v>
      </c>
      <c r="L376" s="56" t="str">
        <f ca="1">IF(K376&gt;0,"Composition "&amp;SUM(K$4:K376),"")</f>
        <v/>
      </c>
      <c r="M376" s="55" cm="1">
        <f t="array" aca="1" ref="M376" ca="1">IF(K376=1,_xlfn.XLOOKUP(B376,OFFSET(IN_Zugliste!$A$4,0,0,IN_Zugliste!$A$2,1),OFFSET(IN_Zugliste!$K$4,0,0,IN_Zugliste!$A$2,1),0),0)+_xlfn.XLOOKUP(C376,OFFSET(IN_Zugliste!$A$4,0,0,IN_Zugliste!$A$2,1),OFFSET(IN_Zugliste!$K$4,0,0,IN_Zugliste!$A$2,1),0)</f>
        <v>159764</v>
      </c>
      <c r="N376" s="55" t="str" cm="1">
        <f t="array" aca="1" ref="N376" ca="1">IF(K376=1,_xlfn.XLOOKUP(B376,OFFSET(IN_Zugliste!$A$4,0,0,IN_Zugliste!$A$2,1),OFFSET(IN_Zugliste!$D$4,0,0,IN_Zugliste!$A$2,1),""),"")</f>
        <v/>
      </c>
      <c r="O376" s="55" t="str" cm="1">
        <f t="array" aca="1" ref="O376" ca="1">IF(L376&lt;&gt;"",L376,_xlfn.XLOOKUP(B376,OFFSET($C$4,0,0,$A$2,1),OFFSET($O$4,0,0,$A$2,1)))</f>
        <v>Composition 89</v>
      </c>
      <c r="P376" s="55" cm="1">
        <f t="array" aca="1" ref="P376" ca="1">MATCH(J376, _xlfn._xlws.FILTER($J$4:$J$430,$O$4:$O$430=O376), 0)+1</f>
        <v>3</v>
      </c>
      <c r="Q376" s="63" t="str">
        <f>_xlfn.XLOOKUP(B376, IN_Zugliste!A:A, IN_Zugliste!M:M, "")</f>
        <v>09:12:58</v>
      </c>
    </row>
    <row r="377" spans="1:17" ht="15" customHeight="1" x14ac:dyDescent="0.2">
      <c r="A377" s="63" t="s">
        <v>686</v>
      </c>
      <c r="B377" s="63" t="s">
        <v>174</v>
      </c>
      <c r="C377" s="63" t="s">
        <v>157</v>
      </c>
      <c r="D377" s="63" t="s">
        <v>811</v>
      </c>
      <c r="E377" s="63" t="s">
        <v>688</v>
      </c>
      <c r="F377" s="63" t="s">
        <v>1212</v>
      </c>
      <c r="G377" s="63" t="s">
        <v>1882</v>
      </c>
      <c r="H377" s="63" t="s">
        <v>691</v>
      </c>
      <c r="I377" s="63" t="s">
        <v>1882</v>
      </c>
      <c r="J377" s="63" t="s">
        <v>1883</v>
      </c>
      <c r="K377" s="55">
        <f t="shared" ca="1" si="5"/>
        <v>0</v>
      </c>
      <c r="L377" s="56" t="str">
        <f ca="1">IF(K377&gt;0,"Composition "&amp;SUM(K$4:K377),"")</f>
        <v/>
      </c>
      <c r="M377" s="55" cm="1">
        <f t="array" aca="1" ref="M377" ca="1">IF(K377=1,_xlfn.XLOOKUP(B377,OFFSET(IN_Zugliste!$A$4,0,0,IN_Zugliste!$A$2,1),OFFSET(IN_Zugliste!$K$4,0,0,IN_Zugliste!$A$2,1),0),0)+_xlfn.XLOOKUP(C377,OFFSET(IN_Zugliste!$A$4,0,0,IN_Zugliste!$A$2,1),OFFSET(IN_Zugliste!$K$4,0,0,IN_Zugliste!$A$2,1),0)</f>
        <v>159719</v>
      </c>
      <c r="N377" s="55" t="str" cm="1">
        <f t="array" aca="1" ref="N377" ca="1">IF(K377=1,_xlfn.XLOOKUP(B377,OFFSET(IN_Zugliste!$A$4,0,0,IN_Zugliste!$A$2,1),OFFSET(IN_Zugliste!$D$4,0,0,IN_Zugliste!$A$2,1),""),"")</f>
        <v/>
      </c>
      <c r="O377" s="55" t="str" cm="1">
        <f t="array" aca="1" ref="O377" ca="1">IF(L377&lt;&gt;"",L377,_xlfn.XLOOKUP(B377,OFFSET($C$4,0,0,$A$2,1),OFFSET($O$4,0,0,$A$2,1)))</f>
        <v>Composition 89</v>
      </c>
      <c r="P377" s="55" cm="1">
        <f t="array" aca="1" ref="P377" ca="1">MATCH(J377, _xlfn._xlws.FILTER($J$4:$J$430,$O$4:$O$430=O377), 0)+1</f>
        <v>4</v>
      </c>
      <c r="Q377" s="63" t="str">
        <f>_xlfn.XLOOKUP(B377, IN_Zugliste!A:A, IN_Zugliste!M:M, "")</f>
        <v>11:55:42</v>
      </c>
    </row>
    <row r="378" spans="1:17" ht="15" customHeight="1" x14ac:dyDescent="0.2">
      <c r="A378" s="63" t="s">
        <v>686</v>
      </c>
      <c r="B378" s="63" t="s">
        <v>459</v>
      </c>
      <c r="C378" s="63" t="s">
        <v>451</v>
      </c>
      <c r="D378" s="63" t="s">
        <v>1517</v>
      </c>
      <c r="E378" s="63" t="s">
        <v>688</v>
      </c>
      <c r="F378" s="63" t="s">
        <v>1884</v>
      </c>
      <c r="G378" s="63" t="s">
        <v>1885</v>
      </c>
      <c r="H378" s="63" t="s">
        <v>691</v>
      </c>
      <c r="I378" s="63" t="s">
        <v>1885</v>
      </c>
      <c r="J378" s="63" t="s">
        <v>1886</v>
      </c>
      <c r="K378" s="55">
        <f t="shared" ca="1" si="5"/>
        <v>1</v>
      </c>
      <c r="L378" s="56" t="str">
        <f ca="1">IF(K378&gt;0,"Composition "&amp;SUM(K$4:K378),"")</f>
        <v>Composition 90</v>
      </c>
      <c r="M378" s="55" cm="1">
        <f t="array" aca="1" ref="M378" ca="1">IF(K378=1,_xlfn.XLOOKUP(B378,OFFSET(IN_Zugliste!$A$4,0,0,IN_Zugliste!$A$2,1),OFFSET(IN_Zugliste!$K$4,0,0,IN_Zugliste!$A$2,1),0),0)+_xlfn.XLOOKUP(C378,OFFSET(IN_Zugliste!$A$4,0,0,IN_Zugliste!$A$2,1),OFFSET(IN_Zugliste!$K$4,0,0,IN_Zugliste!$A$2,1),0)</f>
        <v>482580</v>
      </c>
      <c r="N378" s="55" t="str" cm="1">
        <f t="array" aca="1" ref="N378" ca="1">IF(K378=1,_xlfn.XLOOKUP(B378,OFFSET(IN_Zugliste!$A$4,0,0,IN_Zugliste!$A$2,1),OFFSET(IN_Zugliste!$D$4,0,0,IN_Zugliste!$A$2,1),""),"")</f>
        <v>462-1.0</v>
      </c>
      <c r="O378" s="55" t="str" cm="1">
        <f t="array" aca="1" ref="O378" ca="1">IF(L378&lt;&gt;"",L378,_xlfn.XLOOKUP(B378,OFFSET($C$4,0,0,$A$2,1),OFFSET($O$4,0,0,$A$2,1)))</f>
        <v>Composition 90</v>
      </c>
      <c r="P378" s="55" cm="1">
        <f t="array" aca="1" ref="P378" ca="1">MATCH(J378, _xlfn._xlws.FILTER($J$4:$J$430,$O$4:$O$430=O378), 0)+1</f>
        <v>2</v>
      </c>
      <c r="Q378" s="63" t="str">
        <f>_xlfn.XLOOKUP(B378, IN_Zugliste!A:A, IN_Zugliste!M:M, "")</f>
        <v>05:54:09</v>
      </c>
    </row>
    <row r="379" spans="1:17" ht="15" customHeight="1" x14ac:dyDescent="0.2">
      <c r="A379" s="63" t="s">
        <v>686</v>
      </c>
      <c r="B379" s="63" t="s">
        <v>451</v>
      </c>
      <c r="C379" s="63" t="s">
        <v>422</v>
      </c>
      <c r="D379" s="63" t="s">
        <v>1068</v>
      </c>
      <c r="E379" s="63" t="s">
        <v>688</v>
      </c>
      <c r="F379" s="63" t="s">
        <v>1476</v>
      </c>
      <c r="G379" s="63" t="s">
        <v>1887</v>
      </c>
      <c r="H379" s="63" t="s">
        <v>691</v>
      </c>
      <c r="I379" s="63" t="s">
        <v>1887</v>
      </c>
      <c r="J379" s="63" t="s">
        <v>1888</v>
      </c>
      <c r="K379" s="55">
        <f t="shared" ca="1" si="5"/>
        <v>0</v>
      </c>
      <c r="L379" s="56" t="str">
        <f ca="1">IF(K379&gt;0,"Composition "&amp;SUM(K$4:K379),"")</f>
        <v/>
      </c>
      <c r="M379" s="55" cm="1">
        <f t="array" aca="1" ref="M379" ca="1">IF(K379=1,_xlfn.XLOOKUP(B379,OFFSET(IN_Zugliste!$A$4,0,0,IN_Zugliste!$A$2,1),OFFSET(IN_Zugliste!$K$4,0,0,IN_Zugliste!$A$2,1),0),0)+_xlfn.XLOOKUP(C379,OFFSET(IN_Zugliste!$A$4,0,0,IN_Zugliste!$A$2,1),OFFSET(IN_Zugliste!$K$4,0,0,IN_Zugliste!$A$2,1),0)</f>
        <v>238472</v>
      </c>
      <c r="N379" s="55" t="str" cm="1">
        <f t="array" aca="1" ref="N379" ca="1">IF(K379=1,_xlfn.XLOOKUP(B379,OFFSET(IN_Zugliste!$A$4,0,0,IN_Zugliste!$A$2,1),OFFSET(IN_Zugliste!$D$4,0,0,IN_Zugliste!$A$2,1),""),"")</f>
        <v/>
      </c>
      <c r="O379" s="55" t="str" cm="1">
        <f t="array" aca="1" ref="O379" ca="1">IF(L379&lt;&gt;"",L379,_xlfn.XLOOKUP(B379,OFFSET($C$4,0,0,$A$2,1),OFFSET($O$4,0,0,$A$2,1)))</f>
        <v>Composition 90</v>
      </c>
      <c r="P379" s="55" cm="1">
        <f t="array" aca="1" ref="P379" ca="1">MATCH(J379, _xlfn._xlws.FILTER($J$4:$J$430,$O$4:$O$430=O379), 0)+1</f>
        <v>3</v>
      </c>
      <c r="Q379" s="63" t="str">
        <f>_xlfn.XLOOKUP(B379, IN_Zugliste!A:A, IN_Zugliste!M:M, "")</f>
        <v>09:19:36</v>
      </c>
    </row>
    <row r="380" spans="1:17" ht="15" customHeight="1" x14ac:dyDescent="0.2">
      <c r="A380" s="63" t="s">
        <v>686</v>
      </c>
      <c r="B380" s="63" t="s">
        <v>114</v>
      </c>
      <c r="C380" s="63" t="s">
        <v>128</v>
      </c>
      <c r="D380" s="63" t="s">
        <v>723</v>
      </c>
      <c r="E380" s="63" t="s">
        <v>688</v>
      </c>
      <c r="F380" s="63" t="s">
        <v>1889</v>
      </c>
      <c r="G380" s="63" t="s">
        <v>1890</v>
      </c>
      <c r="H380" s="63" t="s">
        <v>691</v>
      </c>
      <c r="I380" s="63" t="s">
        <v>1890</v>
      </c>
      <c r="J380" s="63" t="s">
        <v>1891</v>
      </c>
      <c r="K380" s="55">
        <f t="shared" ca="1" si="5"/>
        <v>1</v>
      </c>
      <c r="L380" s="56" t="str">
        <f ca="1">IF(K380&gt;0,"Composition "&amp;SUM(K$4:K380),"")</f>
        <v>Composition 91</v>
      </c>
      <c r="M380" s="55" cm="1">
        <f t="array" aca="1" ref="M380" ca="1">IF(K380=1,_xlfn.XLOOKUP(B380,OFFSET(IN_Zugliste!$A$4,0,0,IN_Zugliste!$A$2,1),OFFSET(IN_Zugliste!$K$4,0,0,IN_Zugliste!$A$2,1),0),0)+_xlfn.XLOOKUP(C380,OFFSET(IN_Zugliste!$A$4,0,0,IN_Zugliste!$A$2,1),OFFSET(IN_Zugliste!$K$4,0,0,IN_Zugliste!$A$2,1),0)</f>
        <v>360401</v>
      </c>
      <c r="N380" s="55" t="str" cm="1">
        <f t="array" aca="1" ref="N380" ca="1">IF(K380=1,_xlfn.XLOOKUP(B380,OFFSET(IN_Zugliste!$A$4,0,0,IN_Zugliste!$A$2,1),OFFSET(IN_Zugliste!$D$4,0,0,IN_Zugliste!$A$2,1),""),"")</f>
        <v>462-1.0</v>
      </c>
      <c r="O380" s="55" t="str" cm="1">
        <f t="array" aca="1" ref="O380" ca="1">IF(L380&lt;&gt;"",L380,_xlfn.XLOOKUP(B380,OFFSET($C$4,0,0,$A$2,1),OFFSET($O$4,0,0,$A$2,1)))</f>
        <v>Composition 91</v>
      </c>
      <c r="P380" s="55" cm="1">
        <f t="array" aca="1" ref="P380" ca="1">MATCH(J380, _xlfn._xlws.FILTER($J$4:$J$430,$O$4:$O$430=O380), 0)+1</f>
        <v>2</v>
      </c>
      <c r="Q380" s="63" t="str">
        <f>_xlfn.XLOOKUP(B380, IN_Zugliste!A:A, IN_Zugliste!M:M, "")</f>
        <v>06:34:27</v>
      </c>
    </row>
    <row r="381" spans="1:17" ht="15" customHeight="1" x14ac:dyDescent="0.2">
      <c r="A381" s="63" t="s">
        <v>686</v>
      </c>
      <c r="B381" s="63" t="s">
        <v>128</v>
      </c>
      <c r="C381" s="63" t="s">
        <v>142</v>
      </c>
      <c r="D381" s="63" t="s">
        <v>994</v>
      </c>
      <c r="E381" s="63" t="s">
        <v>688</v>
      </c>
      <c r="F381" s="63" t="s">
        <v>1892</v>
      </c>
      <c r="G381" s="63" t="s">
        <v>1893</v>
      </c>
      <c r="H381" s="63" t="s">
        <v>691</v>
      </c>
      <c r="I381" s="63" t="s">
        <v>1893</v>
      </c>
      <c r="J381" s="63" t="s">
        <v>1894</v>
      </c>
      <c r="K381" s="55">
        <f t="shared" ca="1" si="5"/>
        <v>0</v>
      </c>
      <c r="L381" s="56" t="str">
        <f ca="1">IF(K381&gt;0,"Composition "&amp;SUM(K$4:K381),"")</f>
        <v/>
      </c>
      <c r="M381" s="55" cm="1">
        <f t="array" aca="1" ref="M381" ca="1">IF(K381=1,_xlfn.XLOOKUP(B381,OFFSET(IN_Zugliste!$A$4,0,0,IN_Zugliste!$A$2,1),OFFSET(IN_Zugliste!$K$4,0,0,IN_Zugliste!$A$2,1),0),0)+_xlfn.XLOOKUP(C381,OFFSET(IN_Zugliste!$A$4,0,0,IN_Zugliste!$A$2,1),OFFSET(IN_Zugliste!$K$4,0,0,IN_Zugliste!$A$2,1),0)</f>
        <v>180175</v>
      </c>
      <c r="N381" s="55" t="str" cm="1">
        <f t="array" aca="1" ref="N381" ca="1">IF(K381=1,_xlfn.XLOOKUP(B381,OFFSET(IN_Zugliste!$A$4,0,0,IN_Zugliste!$A$2,1),OFFSET(IN_Zugliste!$D$4,0,0,IN_Zugliste!$A$2,1),""),"")</f>
        <v/>
      </c>
      <c r="O381" s="55" t="str" cm="1">
        <f t="array" aca="1" ref="O381" ca="1">IF(L381&lt;&gt;"",L381,_xlfn.XLOOKUP(B381,OFFSET($C$4,0,0,$A$2,1),OFFSET($O$4,0,0,$A$2,1)))</f>
        <v>Composition 91</v>
      </c>
      <c r="P381" s="55" cm="1">
        <f t="array" aca="1" ref="P381" ca="1">MATCH(J381, _xlfn._xlws.FILTER($J$4:$J$430,$O$4:$O$430=O381), 0)+1</f>
        <v>3</v>
      </c>
      <c r="Q381" s="63" t="str">
        <f>_xlfn.XLOOKUP(B381, IN_Zugliste!A:A, IN_Zugliste!M:M, "")</f>
        <v>09:22:31</v>
      </c>
    </row>
    <row r="382" spans="1:17" ht="15" customHeight="1" x14ac:dyDescent="0.2">
      <c r="A382" s="63" t="s">
        <v>686</v>
      </c>
      <c r="B382" s="63" t="s">
        <v>180</v>
      </c>
      <c r="C382" s="63" t="s">
        <v>216</v>
      </c>
      <c r="D382" s="63" t="s">
        <v>811</v>
      </c>
      <c r="E382" s="63" t="s">
        <v>688</v>
      </c>
      <c r="F382" s="63" t="s">
        <v>1895</v>
      </c>
      <c r="G382" s="63" t="s">
        <v>1896</v>
      </c>
      <c r="H382" s="63" t="s">
        <v>691</v>
      </c>
      <c r="I382" s="63" t="s">
        <v>1896</v>
      </c>
      <c r="J382" s="63" t="s">
        <v>1897</v>
      </c>
      <c r="K382" s="55">
        <f t="shared" ca="1" si="5"/>
        <v>1</v>
      </c>
      <c r="L382" s="56" t="str">
        <f ca="1">IF(K382&gt;0,"Composition "&amp;SUM(K$4:K382),"")</f>
        <v>Composition 92</v>
      </c>
      <c r="M382" s="55" cm="1">
        <f t="array" aca="1" ref="M382" ca="1">IF(K382=1,_xlfn.XLOOKUP(B382,OFFSET(IN_Zugliste!$A$4,0,0,IN_Zugliste!$A$2,1),OFFSET(IN_Zugliste!$K$4,0,0,IN_Zugliste!$A$2,1),0),0)+_xlfn.XLOOKUP(C382,OFFSET(IN_Zugliste!$A$4,0,0,IN_Zugliste!$A$2,1),OFFSET(IN_Zugliste!$K$4,0,0,IN_Zugliste!$A$2,1),0)</f>
        <v>314467</v>
      </c>
      <c r="N382" s="55" t="str" cm="1">
        <f t="array" aca="1" ref="N382" ca="1">IF(K382=1,_xlfn.XLOOKUP(B382,OFFSET(IN_Zugliste!$A$4,0,0,IN_Zugliste!$A$2,1),OFFSET(IN_Zugliste!$D$4,0,0,IN_Zugliste!$A$2,1),""),"")</f>
        <v>462-1.0</v>
      </c>
      <c r="O382" s="55" t="str" cm="1">
        <f t="array" aca="1" ref="O382" ca="1">IF(L382&lt;&gt;"",L382,_xlfn.XLOOKUP(B382,OFFSET($C$4,0,0,$A$2,1),OFFSET($O$4,0,0,$A$2,1)))</f>
        <v>Composition 92</v>
      </c>
      <c r="P382" s="55" cm="1">
        <f t="array" aca="1" ref="P382" ca="1">MATCH(J382, _xlfn._xlws.FILTER($J$4:$J$430,$O$4:$O$430=O382), 0)+1</f>
        <v>2</v>
      </c>
      <c r="Q382" s="63" t="str">
        <f>_xlfn.XLOOKUP(B382, IN_Zugliste!A:A, IN_Zugliste!M:M, "")</f>
        <v>06:40:57</v>
      </c>
    </row>
    <row r="383" spans="1:17" ht="15" customHeight="1" x14ac:dyDescent="0.2">
      <c r="A383" s="63" t="s">
        <v>686</v>
      </c>
      <c r="B383" s="63" t="s">
        <v>216</v>
      </c>
      <c r="C383" s="63" t="s">
        <v>208</v>
      </c>
      <c r="D383" s="63" t="s">
        <v>990</v>
      </c>
      <c r="E383" s="63" t="s">
        <v>688</v>
      </c>
      <c r="F383" s="63" t="s">
        <v>1844</v>
      </c>
      <c r="G383" s="63" t="s">
        <v>1898</v>
      </c>
      <c r="H383" s="63" t="s">
        <v>691</v>
      </c>
      <c r="I383" s="63" t="s">
        <v>1898</v>
      </c>
      <c r="J383" s="63" t="s">
        <v>1899</v>
      </c>
      <c r="K383" s="55">
        <f t="shared" ca="1" si="5"/>
        <v>0</v>
      </c>
      <c r="L383" s="56" t="str">
        <f ca="1">IF(K383&gt;0,"Composition "&amp;SUM(K$4:K383),"")</f>
        <v/>
      </c>
      <c r="M383" s="55" cm="1">
        <f t="array" aca="1" ref="M383" ca="1">IF(K383=1,_xlfn.XLOOKUP(B383,OFFSET(IN_Zugliste!$A$4,0,0,IN_Zugliste!$A$2,1),OFFSET(IN_Zugliste!$K$4,0,0,IN_Zugliste!$A$2,1),0),0)+_xlfn.XLOOKUP(C383,OFFSET(IN_Zugliste!$A$4,0,0,IN_Zugliste!$A$2,1),OFFSET(IN_Zugliste!$K$4,0,0,IN_Zugliste!$A$2,1),0)</f>
        <v>156609</v>
      </c>
      <c r="N383" s="55" t="str" cm="1">
        <f t="array" aca="1" ref="N383" ca="1">IF(K383=1,_xlfn.XLOOKUP(B383,OFFSET(IN_Zugliste!$A$4,0,0,IN_Zugliste!$A$2,1),OFFSET(IN_Zugliste!$D$4,0,0,IN_Zugliste!$A$2,1),""),"")</f>
        <v/>
      </c>
      <c r="O383" s="55" t="str" cm="1">
        <f t="array" aca="1" ref="O383" ca="1">IF(L383&lt;&gt;"",L383,_xlfn.XLOOKUP(B383,OFFSET($C$4,0,0,$A$2,1),OFFSET($O$4,0,0,$A$2,1)))</f>
        <v>Composition 92</v>
      </c>
      <c r="P383" s="55" cm="1">
        <f t="array" aca="1" ref="P383" ca="1">MATCH(J383, _xlfn._xlws.FILTER($J$4:$J$430,$O$4:$O$430=O383), 0)+1</f>
        <v>3</v>
      </c>
      <c r="Q383" s="63" t="str">
        <f>_xlfn.XLOOKUP(B383, IN_Zugliste!A:A, IN_Zugliste!M:M, "")</f>
        <v>09:22:50</v>
      </c>
    </row>
    <row r="384" spans="1:17" ht="15" customHeight="1" x14ac:dyDescent="0.2">
      <c r="A384" s="63" t="s">
        <v>686</v>
      </c>
      <c r="B384" s="63" t="s">
        <v>208</v>
      </c>
      <c r="C384" s="63" t="s">
        <v>190</v>
      </c>
      <c r="D384" s="63" t="s">
        <v>811</v>
      </c>
      <c r="E384" s="63" t="s">
        <v>688</v>
      </c>
      <c r="F384" s="63" t="s">
        <v>1900</v>
      </c>
      <c r="G384" s="63" t="s">
        <v>1901</v>
      </c>
      <c r="H384" s="63" t="s">
        <v>691</v>
      </c>
      <c r="I384" s="63" t="s">
        <v>1901</v>
      </c>
      <c r="J384" s="63" t="s">
        <v>1902</v>
      </c>
      <c r="K384" s="55">
        <f t="shared" ca="1" si="5"/>
        <v>0</v>
      </c>
      <c r="L384" s="56" t="str">
        <f ca="1">IF(K384&gt;0,"Composition "&amp;SUM(K$4:K384),"")</f>
        <v/>
      </c>
      <c r="M384" s="55" cm="1">
        <f t="array" aca="1" ref="M384" ca="1">IF(K384=1,_xlfn.XLOOKUP(B384,OFFSET(IN_Zugliste!$A$4,0,0,IN_Zugliste!$A$2,1),OFFSET(IN_Zugliste!$K$4,0,0,IN_Zugliste!$A$2,1),0),0)+_xlfn.XLOOKUP(C384,OFFSET(IN_Zugliste!$A$4,0,0,IN_Zugliste!$A$2,1),OFFSET(IN_Zugliste!$K$4,0,0,IN_Zugliste!$A$2,1),0)</f>
        <v>157858</v>
      </c>
      <c r="N384" s="55" t="str" cm="1">
        <f t="array" aca="1" ref="N384" ca="1">IF(K384=1,_xlfn.XLOOKUP(B384,OFFSET(IN_Zugliste!$A$4,0,0,IN_Zugliste!$A$2,1),OFFSET(IN_Zugliste!$D$4,0,0,IN_Zugliste!$A$2,1),""),"")</f>
        <v/>
      </c>
      <c r="O384" s="55" t="str" cm="1">
        <f t="array" aca="1" ref="O384" ca="1">IF(L384&lt;&gt;"",L384,_xlfn.XLOOKUP(B384,OFFSET($C$4,0,0,$A$2,1),OFFSET($O$4,0,0,$A$2,1)))</f>
        <v>Composition 92</v>
      </c>
      <c r="P384" s="55" cm="1">
        <f t="array" aca="1" ref="P384" ca="1">MATCH(J384, _xlfn._xlws.FILTER($J$4:$J$430,$O$4:$O$430=O384), 0)+1</f>
        <v>4</v>
      </c>
      <c r="Q384" s="63" t="str">
        <f>_xlfn.XLOOKUP(B384, IN_Zugliste!A:A, IN_Zugliste!M:M, "")</f>
        <v>12:11:52</v>
      </c>
    </row>
    <row r="385" spans="1:17" ht="15" customHeight="1" x14ac:dyDescent="0.2">
      <c r="A385" s="63" t="s">
        <v>686</v>
      </c>
      <c r="B385" s="63" t="s">
        <v>339</v>
      </c>
      <c r="C385" s="63" t="s">
        <v>352</v>
      </c>
      <c r="D385" s="63" t="s">
        <v>1111</v>
      </c>
      <c r="E385" s="63" t="s">
        <v>948</v>
      </c>
      <c r="F385" s="63" t="s">
        <v>1903</v>
      </c>
      <c r="G385" s="63" t="s">
        <v>1904</v>
      </c>
      <c r="H385" s="63" t="s">
        <v>691</v>
      </c>
      <c r="I385" s="63" t="s">
        <v>1905</v>
      </c>
      <c r="J385" s="63" t="s">
        <v>1906</v>
      </c>
      <c r="K385" s="55">
        <f t="shared" ca="1" si="5"/>
        <v>1</v>
      </c>
      <c r="L385" s="56" t="str">
        <f ca="1">IF(K385&gt;0,"Composition "&amp;SUM(K$4:K385),"")</f>
        <v>Composition 93</v>
      </c>
      <c r="M385" s="55" cm="1">
        <f t="array" aca="1" ref="M385" ca="1">IF(K385=1,_xlfn.XLOOKUP(B385,OFFSET(IN_Zugliste!$A$4,0,0,IN_Zugliste!$A$2,1),OFFSET(IN_Zugliste!$K$4,0,0,IN_Zugliste!$A$2,1),0),0)+_xlfn.XLOOKUP(C385,OFFSET(IN_Zugliste!$A$4,0,0,IN_Zugliste!$A$2,1),OFFSET(IN_Zugliste!$K$4,0,0,IN_Zugliste!$A$2,1),0)</f>
        <v>308062</v>
      </c>
      <c r="N385" s="55" t="str" cm="1">
        <f t="array" aca="1" ref="N385" ca="1">IF(K385=1,_xlfn.XLOOKUP(B385,OFFSET(IN_Zugliste!$A$4,0,0,IN_Zugliste!$A$2,1),OFFSET(IN_Zugliste!$D$4,0,0,IN_Zugliste!$A$2,1),""),"")</f>
        <v>462-1.0</v>
      </c>
      <c r="O385" s="55" t="str" cm="1">
        <f t="array" aca="1" ref="O385" ca="1">IF(L385&lt;&gt;"",L385,_xlfn.XLOOKUP(B385,OFFSET($C$4,0,0,$A$2,1),OFFSET($O$4,0,0,$A$2,1)))</f>
        <v>Composition 93</v>
      </c>
      <c r="P385" s="55" cm="1">
        <f t="array" aca="1" ref="P385" ca="1">MATCH(J385, _xlfn._xlws.FILTER($J$4:$J$430,$O$4:$O$430=O385), 0)+1</f>
        <v>2</v>
      </c>
      <c r="Q385" s="63" t="str">
        <f>_xlfn.XLOOKUP(B385, IN_Zugliste!A:A, IN_Zugliste!M:M, "")</f>
        <v>06:48:25</v>
      </c>
    </row>
    <row r="386" spans="1:17" ht="15" customHeight="1" x14ac:dyDescent="0.2">
      <c r="A386" s="63" t="s">
        <v>686</v>
      </c>
      <c r="B386" s="63" t="s">
        <v>352</v>
      </c>
      <c r="C386" s="63" t="s">
        <v>344</v>
      </c>
      <c r="D386" s="63" t="s">
        <v>1365</v>
      </c>
      <c r="E386" s="63" t="s">
        <v>688</v>
      </c>
      <c r="F386" s="63" t="s">
        <v>1907</v>
      </c>
      <c r="G386" s="63" t="s">
        <v>1908</v>
      </c>
      <c r="H386" s="63" t="s">
        <v>691</v>
      </c>
      <c r="I386" s="63" t="s">
        <v>1908</v>
      </c>
      <c r="J386" s="63" t="s">
        <v>1909</v>
      </c>
      <c r="K386" s="55">
        <f t="shared" ca="1" si="5"/>
        <v>0</v>
      </c>
      <c r="L386" s="56" t="str">
        <f ca="1">IF(K386&gt;0,"Composition "&amp;SUM(K$4:K386),"")</f>
        <v/>
      </c>
      <c r="M386" s="55" cm="1">
        <f t="array" aca="1" ref="M386" ca="1">IF(K386=1,_xlfn.XLOOKUP(B386,OFFSET(IN_Zugliste!$A$4,0,0,IN_Zugliste!$A$2,1),OFFSET(IN_Zugliste!$K$4,0,0,IN_Zugliste!$A$2,1),0),0)+_xlfn.XLOOKUP(C386,OFFSET(IN_Zugliste!$A$4,0,0,IN_Zugliste!$A$2,1),OFFSET(IN_Zugliste!$K$4,0,0,IN_Zugliste!$A$2,1),0)</f>
        <v>153929</v>
      </c>
      <c r="N386" s="55" t="str" cm="1">
        <f t="array" aca="1" ref="N386" ca="1">IF(K386=1,_xlfn.XLOOKUP(B386,OFFSET(IN_Zugliste!$A$4,0,0,IN_Zugliste!$A$2,1),OFFSET(IN_Zugliste!$D$4,0,0,IN_Zugliste!$A$2,1),""),"")</f>
        <v/>
      </c>
      <c r="O386" s="55" t="str" cm="1">
        <f t="array" aca="1" ref="O386" ca="1">IF(L386&lt;&gt;"",L386,_xlfn.XLOOKUP(B386,OFFSET($C$4,0,0,$A$2,1),OFFSET($O$4,0,0,$A$2,1)))</f>
        <v>Composition 93</v>
      </c>
      <c r="P386" s="55" cm="1">
        <f t="array" aca="1" ref="P386" ca="1">MATCH(J386, _xlfn._xlws.FILTER($J$4:$J$430,$O$4:$O$430=O386), 0)+1</f>
        <v>3</v>
      </c>
      <c r="Q386" s="63" t="str">
        <f>_xlfn.XLOOKUP(B386, IN_Zugliste!A:A, IN_Zugliste!M:M, "")</f>
        <v>09:14:33</v>
      </c>
    </row>
    <row r="387" spans="1:17" ht="15" customHeight="1" x14ac:dyDescent="0.2">
      <c r="A387" s="63" t="s">
        <v>686</v>
      </c>
      <c r="B387" s="63" t="s">
        <v>344</v>
      </c>
      <c r="C387" s="63" t="s">
        <v>348</v>
      </c>
      <c r="D387" s="63" t="s">
        <v>1111</v>
      </c>
      <c r="E387" s="63" t="s">
        <v>948</v>
      </c>
      <c r="F387" s="63" t="s">
        <v>1910</v>
      </c>
      <c r="G387" s="63" t="s">
        <v>1911</v>
      </c>
      <c r="H387" s="63" t="s">
        <v>691</v>
      </c>
      <c r="I387" s="63" t="s">
        <v>1912</v>
      </c>
      <c r="J387" s="63" t="s">
        <v>1913</v>
      </c>
      <c r="K387" s="55">
        <f t="shared" ca="1" si="5"/>
        <v>0</v>
      </c>
      <c r="L387" s="56" t="str">
        <f ca="1">IF(K387&gt;0,"Composition "&amp;SUM(K$4:K387),"")</f>
        <v/>
      </c>
      <c r="M387" s="55" cm="1">
        <f t="array" aca="1" ref="M387" ca="1">IF(K387=1,_xlfn.XLOOKUP(B387,OFFSET(IN_Zugliste!$A$4,0,0,IN_Zugliste!$A$2,1),OFFSET(IN_Zugliste!$K$4,0,0,IN_Zugliste!$A$2,1),0),0)+_xlfn.XLOOKUP(C387,OFFSET(IN_Zugliste!$A$4,0,0,IN_Zugliste!$A$2,1),OFFSET(IN_Zugliste!$K$4,0,0,IN_Zugliste!$A$2,1),0)</f>
        <v>154133</v>
      </c>
      <c r="N387" s="55" t="str" cm="1">
        <f t="array" aca="1" ref="N387" ca="1">IF(K387=1,_xlfn.XLOOKUP(B387,OFFSET(IN_Zugliste!$A$4,0,0,IN_Zugliste!$A$2,1),OFFSET(IN_Zugliste!$D$4,0,0,IN_Zugliste!$A$2,1),""),"")</f>
        <v/>
      </c>
      <c r="O387" s="55" t="str" cm="1">
        <f t="array" aca="1" ref="O387" ca="1">IF(L387&lt;&gt;"",L387,_xlfn.XLOOKUP(B387,OFFSET($C$4,0,0,$A$2,1),OFFSET($O$4,0,0,$A$2,1)))</f>
        <v>Composition 93</v>
      </c>
      <c r="P387" s="55" cm="1">
        <f t="array" aca="1" ref="P387" ca="1">MATCH(J387, _xlfn._xlws.FILTER($J$4:$J$430,$O$4:$O$430=O387), 0)+1</f>
        <v>4</v>
      </c>
      <c r="Q387" s="63" t="str">
        <f>_xlfn.XLOOKUP(B387, IN_Zugliste!A:A, IN_Zugliste!M:M, "")</f>
        <v>11:48:25</v>
      </c>
    </row>
    <row r="388" spans="1:17" ht="15" customHeight="1" x14ac:dyDescent="0.2">
      <c r="A388" s="63" t="s">
        <v>686</v>
      </c>
      <c r="B388" s="63" t="s">
        <v>158</v>
      </c>
      <c r="C388" s="63" t="s">
        <v>238</v>
      </c>
      <c r="D388" s="63" t="s">
        <v>1068</v>
      </c>
      <c r="E388" s="63" t="s">
        <v>688</v>
      </c>
      <c r="F388" s="63" t="s">
        <v>1914</v>
      </c>
      <c r="G388" s="63" t="s">
        <v>1915</v>
      </c>
      <c r="H388" s="63" t="s">
        <v>817</v>
      </c>
      <c r="I388" s="63" t="s">
        <v>1915</v>
      </c>
      <c r="J388" s="63" t="s">
        <v>705</v>
      </c>
      <c r="K388" s="55">
        <f t="shared" ref="K388:K430" ca="1" si="6">1-COUNTIFS(OFFSET($C$4,0,0,$A$2,1),B388)</f>
        <v>1</v>
      </c>
      <c r="L388" s="56" t="str">
        <f ca="1">IF(K388&gt;0,"Composition "&amp;SUM(K$4:K388),"")</f>
        <v>Composition 94</v>
      </c>
      <c r="M388" s="55" cm="1">
        <f t="array" aca="1" ref="M388" ca="1">IF(K388=1,_xlfn.XLOOKUP(B388,OFFSET(IN_Zugliste!$A$4,0,0,IN_Zugliste!$A$2,1),OFFSET(IN_Zugliste!$K$4,0,0,IN_Zugliste!$A$2,1),0),0)+_xlfn.XLOOKUP(C388,OFFSET(IN_Zugliste!$A$4,0,0,IN_Zugliste!$A$2,1),OFFSET(IN_Zugliste!$K$4,0,0,IN_Zugliste!$A$2,1),0)</f>
        <v>319483</v>
      </c>
      <c r="N388" s="55" t="str" cm="1">
        <f t="array" aca="1" ref="N388" ca="1">IF(K388=1,_xlfn.XLOOKUP(B388,OFFSET(IN_Zugliste!$A$4,0,0,IN_Zugliste!$A$2,1),OFFSET(IN_Zugliste!$D$4,0,0,IN_Zugliste!$A$2,1),""),"")</f>
        <v>462-1.0</v>
      </c>
      <c r="O388" s="55" t="str" cm="1">
        <f t="array" aca="1" ref="O388" ca="1">IF(L388&lt;&gt;"",L388,_xlfn.XLOOKUP(B388,OFFSET($C$4,0,0,$A$2,1),OFFSET($O$4,0,0,$A$2,1)))</f>
        <v>Composition 94</v>
      </c>
      <c r="P388" s="55" cm="1">
        <f t="array" aca="1" ref="P388" ca="1">MATCH(J388, _xlfn._xlws.FILTER($J$4:$J$430,$O$4:$O$430=O388), 0)+1</f>
        <v>2</v>
      </c>
      <c r="Q388" s="63" t="str">
        <f>_xlfn.XLOOKUP(B388, IN_Zugliste!A:A, IN_Zugliste!M:M, "")</f>
        <v>06:42:31</v>
      </c>
    </row>
    <row r="389" spans="1:17" ht="15" customHeight="1" x14ac:dyDescent="0.2">
      <c r="A389" s="63" t="s">
        <v>686</v>
      </c>
      <c r="B389" s="63" t="s">
        <v>238</v>
      </c>
      <c r="C389" s="63" t="s">
        <v>230</v>
      </c>
      <c r="D389" s="63" t="s">
        <v>811</v>
      </c>
      <c r="E389" s="63" t="s">
        <v>688</v>
      </c>
      <c r="F389" s="63" t="s">
        <v>1916</v>
      </c>
      <c r="G389" s="63" t="s">
        <v>1917</v>
      </c>
      <c r="H389" s="63" t="s">
        <v>691</v>
      </c>
      <c r="I389" s="63" t="s">
        <v>1917</v>
      </c>
      <c r="J389" s="63" t="s">
        <v>1918</v>
      </c>
      <c r="K389" s="55">
        <f t="shared" ca="1" si="6"/>
        <v>0</v>
      </c>
      <c r="L389" s="56" t="str">
        <f ca="1">IF(K389&gt;0,"Composition "&amp;SUM(K$4:K389),"")</f>
        <v/>
      </c>
      <c r="M389" s="55" cm="1">
        <f t="array" aca="1" ref="M389" ca="1">IF(K389=1,_xlfn.XLOOKUP(B389,OFFSET(IN_Zugliste!$A$4,0,0,IN_Zugliste!$A$2,1),OFFSET(IN_Zugliste!$K$4,0,0,IN_Zugliste!$A$2,1),0),0)+_xlfn.XLOOKUP(C389,OFFSET(IN_Zugliste!$A$4,0,0,IN_Zugliste!$A$2,1),OFFSET(IN_Zugliste!$K$4,0,0,IN_Zugliste!$A$2,1),0)</f>
        <v>159719</v>
      </c>
      <c r="N389" s="55" t="str" cm="1">
        <f t="array" aca="1" ref="N389" ca="1">IF(K389=1,_xlfn.XLOOKUP(B389,OFFSET(IN_Zugliste!$A$4,0,0,IN_Zugliste!$A$2,1),OFFSET(IN_Zugliste!$D$4,0,0,IN_Zugliste!$A$2,1),""),"")</f>
        <v/>
      </c>
      <c r="O389" s="55" t="str" cm="1">
        <f t="array" aca="1" ref="O389" ca="1">IF(L389&lt;&gt;"",L389,_xlfn.XLOOKUP(B389,OFFSET($C$4,0,0,$A$2,1),OFFSET($O$4,0,0,$A$2,1)))</f>
        <v>Composition 94</v>
      </c>
      <c r="P389" s="55" cm="1">
        <f t="array" aca="1" ref="P389" ca="1">MATCH(J389, _xlfn._xlws.FILTER($J$4:$J$430,$O$4:$O$430=O389), 0)+1</f>
        <v>3</v>
      </c>
      <c r="Q389" s="63" t="str">
        <f>_xlfn.XLOOKUP(B389, IN_Zugliste!A:A, IN_Zugliste!M:M, "")</f>
        <v>09:23:38</v>
      </c>
    </row>
    <row r="390" spans="1:17" ht="15" customHeight="1" x14ac:dyDescent="0.2">
      <c r="A390" s="63" t="s">
        <v>686</v>
      </c>
      <c r="B390" s="63" t="s">
        <v>230</v>
      </c>
      <c r="C390" s="63" t="s">
        <v>168</v>
      </c>
      <c r="D390" s="63" t="s">
        <v>1068</v>
      </c>
      <c r="E390" s="63" t="s">
        <v>688</v>
      </c>
      <c r="F390" s="63" t="s">
        <v>1919</v>
      </c>
      <c r="G390" s="63" t="s">
        <v>1920</v>
      </c>
      <c r="H390" s="63" t="s">
        <v>817</v>
      </c>
      <c r="I390" s="63" t="s">
        <v>1920</v>
      </c>
      <c r="J390" s="63" t="s">
        <v>1921</v>
      </c>
      <c r="K390" s="55">
        <f t="shared" ca="1" si="6"/>
        <v>0</v>
      </c>
      <c r="L390" s="56" t="str">
        <f ca="1">IF(K390&gt;0,"Composition "&amp;SUM(K$4:K390),"")</f>
        <v/>
      </c>
      <c r="M390" s="55" cm="1">
        <f t="array" aca="1" ref="M390" ca="1">IF(K390=1,_xlfn.XLOOKUP(B390,OFFSET(IN_Zugliste!$A$4,0,0,IN_Zugliste!$A$2,1),OFFSET(IN_Zugliste!$K$4,0,0,IN_Zugliste!$A$2,1),0),0)+_xlfn.XLOOKUP(C390,OFFSET(IN_Zugliste!$A$4,0,0,IN_Zugliste!$A$2,1),OFFSET(IN_Zugliste!$K$4,0,0,IN_Zugliste!$A$2,1),0)</f>
        <v>159764</v>
      </c>
      <c r="N390" s="55" t="str" cm="1">
        <f t="array" aca="1" ref="N390" ca="1">IF(K390=1,_xlfn.XLOOKUP(B390,OFFSET(IN_Zugliste!$A$4,0,0,IN_Zugliste!$A$2,1),OFFSET(IN_Zugliste!$D$4,0,0,IN_Zugliste!$A$2,1),""),"")</f>
        <v/>
      </c>
      <c r="O390" s="55" t="str" cm="1">
        <f t="array" aca="1" ref="O390" ca="1">IF(L390&lt;&gt;"",L390,_xlfn.XLOOKUP(B390,OFFSET($C$4,0,0,$A$2,1),OFFSET($O$4,0,0,$A$2,1)))</f>
        <v>Composition 94</v>
      </c>
      <c r="P390" s="55" cm="1">
        <f t="array" aca="1" ref="P390" ca="1">MATCH(J390, _xlfn._xlws.FILTER($J$4:$J$430,$O$4:$O$430=O390), 0)+1</f>
        <v>4</v>
      </c>
      <c r="Q390" s="63" t="str">
        <f>_xlfn.XLOOKUP(B390, IN_Zugliste!A:A, IN_Zugliste!M:M, "")</f>
        <v>12:12:58</v>
      </c>
    </row>
    <row r="391" spans="1:17" ht="15" customHeight="1" x14ac:dyDescent="0.2">
      <c r="A391" s="63" t="s">
        <v>686</v>
      </c>
      <c r="B391" s="63" t="s">
        <v>148</v>
      </c>
      <c r="C391" s="63" t="s">
        <v>117</v>
      </c>
      <c r="D391" s="63" t="s">
        <v>994</v>
      </c>
      <c r="E391" s="63" t="s">
        <v>688</v>
      </c>
      <c r="F391" s="63" t="s">
        <v>1922</v>
      </c>
      <c r="G391" s="63" t="s">
        <v>1923</v>
      </c>
      <c r="H391" s="63" t="s">
        <v>691</v>
      </c>
      <c r="I391" s="63" t="s">
        <v>1923</v>
      </c>
      <c r="J391" s="63" t="s">
        <v>1924</v>
      </c>
      <c r="K391" s="55">
        <f t="shared" ca="1" si="6"/>
        <v>1</v>
      </c>
      <c r="L391" s="56" t="str">
        <f ca="1">IF(K391&gt;0,"Composition "&amp;SUM(K$4:K391),"")</f>
        <v>Composition 95</v>
      </c>
      <c r="M391" s="55" cm="1">
        <f t="array" aca="1" ref="M391" ca="1">IF(K391=1,_xlfn.XLOOKUP(B391,OFFSET(IN_Zugliste!$A$4,0,0,IN_Zugliste!$A$2,1),OFFSET(IN_Zugliste!$K$4,0,0,IN_Zugliste!$A$2,1),0),0)+_xlfn.XLOOKUP(C391,OFFSET(IN_Zugliste!$A$4,0,0,IN_Zugliste!$A$2,1),OFFSET(IN_Zugliste!$K$4,0,0,IN_Zugliste!$A$2,1),0)</f>
        <v>360401</v>
      </c>
      <c r="N391" s="55" t="str" cm="1">
        <f t="array" aca="1" ref="N391" ca="1">IF(K391=1,_xlfn.XLOOKUP(B391,OFFSET(IN_Zugliste!$A$4,0,0,IN_Zugliste!$A$2,1),OFFSET(IN_Zugliste!$D$4,0,0,IN_Zugliste!$A$2,1),""),"")</f>
        <v>462-1.0</v>
      </c>
      <c r="O391" s="55" t="str" cm="1">
        <f t="array" aca="1" ref="O391" ca="1">IF(L391&lt;&gt;"",L391,_xlfn.XLOOKUP(B391,OFFSET($C$4,0,0,$A$2,1),OFFSET($O$4,0,0,$A$2,1)))</f>
        <v>Composition 95</v>
      </c>
      <c r="P391" s="55" cm="1">
        <f t="array" aca="1" ref="P391" ca="1">MATCH(J391, _xlfn._xlws.FILTER($J$4:$J$430,$O$4:$O$430=O391), 0)+1</f>
        <v>2</v>
      </c>
      <c r="Q391" s="63" t="str">
        <f>_xlfn.XLOOKUP(B391, IN_Zugliste!A:A, IN_Zugliste!M:M, "")</f>
        <v>06:51:38</v>
      </c>
    </row>
    <row r="392" spans="1:17" ht="15" customHeight="1" x14ac:dyDescent="0.2">
      <c r="A392" s="63" t="s">
        <v>686</v>
      </c>
      <c r="B392" s="63" t="s">
        <v>117</v>
      </c>
      <c r="C392" s="63" t="s">
        <v>131</v>
      </c>
      <c r="D392" s="63" t="s">
        <v>723</v>
      </c>
      <c r="E392" s="63" t="s">
        <v>688</v>
      </c>
      <c r="F392" s="63" t="s">
        <v>1925</v>
      </c>
      <c r="G392" s="63" t="s">
        <v>1926</v>
      </c>
      <c r="H392" s="63" t="s">
        <v>691</v>
      </c>
      <c r="I392" s="63" t="s">
        <v>1926</v>
      </c>
      <c r="J392" s="63" t="s">
        <v>1927</v>
      </c>
      <c r="K392" s="55">
        <f t="shared" ca="1" si="6"/>
        <v>0</v>
      </c>
      <c r="L392" s="56" t="str">
        <f ca="1">IF(K392&gt;0,"Composition "&amp;SUM(K$4:K392),"")</f>
        <v/>
      </c>
      <c r="M392" s="55" cm="1">
        <f t="array" aca="1" ref="M392" ca="1">IF(K392=1,_xlfn.XLOOKUP(B392,OFFSET(IN_Zugliste!$A$4,0,0,IN_Zugliste!$A$2,1),OFFSET(IN_Zugliste!$K$4,0,0,IN_Zugliste!$A$2,1),0),0)+_xlfn.XLOOKUP(C392,OFFSET(IN_Zugliste!$A$4,0,0,IN_Zugliste!$A$2,1),OFFSET(IN_Zugliste!$K$4,0,0,IN_Zugliste!$A$2,1),0)</f>
        <v>180226</v>
      </c>
      <c r="N392" s="55" t="str" cm="1">
        <f t="array" aca="1" ref="N392" ca="1">IF(K392=1,_xlfn.XLOOKUP(B392,OFFSET(IN_Zugliste!$A$4,0,0,IN_Zugliste!$A$2,1),OFFSET(IN_Zugliste!$D$4,0,0,IN_Zugliste!$A$2,1),""),"")</f>
        <v/>
      </c>
      <c r="O392" s="55" t="str" cm="1">
        <f t="array" aca="1" ref="O392" ca="1">IF(L392&lt;&gt;"",L392,_xlfn.XLOOKUP(B392,OFFSET($C$4,0,0,$A$2,1),OFFSET($O$4,0,0,$A$2,1)))</f>
        <v>Composition 95</v>
      </c>
      <c r="P392" s="55" cm="1">
        <f t="array" aca="1" ref="P392" ca="1">MATCH(J392, _xlfn._xlws.FILTER($J$4:$J$430,$O$4:$O$430=O392), 0)+1</f>
        <v>3</v>
      </c>
      <c r="Q392" s="63" t="str">
        <f>_xlfn.XLOOKUP(B392, IN_Zugliste!A:A, IN_Zugliste!M:M, "")</f>
        <v>09:34:27</v>
      </c>
    </row>
    <row r="393" spans="1:17" ht="15" customHeight="1" x14ac:dyDescent="0.2">
      <c r="A393" s="63" t="s">
        <v>686</v>
      </c>
      <c r="B393" s="63" t="s">
        <v>448</v>
      </c>
      <c r="C393" s="63" t="s">
        <v>419</v>
      </c>
      <c r="D393" s="63" t="s">
        <v>1068</v>
      </c>
      <c r="E393" s="63" t="s">
        <v>688</v>
      </c>
      <c r="F393" s="63" t="s">
        <v>1177</v>
      </c>
      <c r="G393" s="63" t="s">
        <v>1928</v>
      </c>
      <c r="H393" s="63" t="s">
        <v>691</v>
      </c>
      <c r="I393" s="63" t="s">
        <v>1928</v>
      </c>
      <c r="J393" s="63" t="s">
        <v>1929</v>
      </c>
      <c r="K393" s="55">
        <f t="shared" ca="1" si="6"/>
        <v>1</v>
      </c>
      <c r="L393" s="56" t="str">
        <f ca="1">IF(K393&gt;0,"Composition "&amp;SUM(K$4:K393),"")</f>
        <v>Composition 96</v>
      </c>
      <c r="M393" s="55" cm="1">
        <f t="array" aca="1" ref="M393" ca="1">IF(K393=1,_xlfn.XLOOKUP(B393,OFFSET(IN_Zugliste!$A$4,0,0,IN_Zugliste!$A$2,1),OFFSET(IN_Zugliste!$K$4,0,0,IN_Zugliste!$A$2,1),0),0)+_xlfn.XLOOKUP(C393,OFFSET(IN_Zugliste!$A$4,0,0,IN_Zugliste!$A$2,1),OFFSET(IN_Zugliste!$K$4,0,0,IN_Zugliste!$A$2,1),0)</f>
        <v>479717</v>
      </c>
      <c r="N393" s="55" t="str" cm="1">
        <f t="array" aca="1" ref="N393" ca="1">IF(K393=1,_xlfn.XLOOKUP(B393,OFFSET(IN_Zugliste!$A$4,0,0,IN_Zugliste!$A$2,1),OFFSET(IN_Zugliste!$D$4,0,0,IN_Zugliste!$A$2,1),""),"")</f>
        <v>462-1.0</v>
      </c>
      <c r="O393" s="55" t="str" cm="1">
        <f t="array" aca="1" ref="O393" ca="1">IF(L393&lt;&gt;"",L393,_xlfn.XLOOKUP(B393,OFFSET($C$4,0,0,$A$2,1),OFFSET($O$4,0,0,$A$2,1)))</f>
        <v>Composition 96</v>
      </c>
      <c r="P393" s="55" cm="1">
        <f t="array" aca="1" ref="P393" ca="1">MATCH(J393, _xlfn._xlws.FILTER($J$4:$J$430,$O$4:$O$430=O393), 0)+1</f>
        <v>2</v>
      </c>
      <c r="Q393" s="63" t="str">
        <f>_xlfn.XLOOKUP(B393, IN_Zugliste!A:A, IN_Zugliste!M:M, "")</f>
        <v>06:19:36</v>
      </c>
    </row>
    <row r="394" spans="1:17" ht="15" customHeight="1" x14ac:dyDescent="0.2">
      <c r="A394" s="63" t="s">
        <v>686</v>
      </c>
      <c r="B394" s="63" t="s">
        <v>419</v>
      </c>
      <c r="C394" s="63" t="s">
        <v>411</v>
      </c>
      <c r="D394" s="63" t="s">
        <v>1517</v>
      </c>
      <c r="E394" s="63" t="s">
        <v>688</v>
      </c>
      <c r="F394" s="63" t="s">
        <v>1930</v>
      </c>
      <c r="G394" s="63" t="s">
        <v>1931</v>
      </c>
      <c r="H394" s="63" t="s">
        <v>691</v>
      </c>
      <c r="I394" s="63" t="s">
        <v>1931</v>
      </c>
      <c r="J394" s="63" t="s">
        <v>1932</v>
      </c>
      <c r="K394" s="55">
        <f t="shared" ca="1" si="6"/>
        <v>0</v>
      </c>
      <c r="L394" s="56" t="str">
        <f ca="1">IF(K394&gt;0,"Composition "&amp;SUM(K$4:K394),"")</f>
        <v/>
      </c>
      <c r="M394" s="55" cm="1">
        <f t="array" aca="1" ref="M394" ca="1">IF(K394=1,_xlfn.XLOOKUP(B394,OFFSET(IN_Zugliste!$A$4,0,0,IN_Zugliste!$A$2,1),OFFSET(IN_Zugliste!$K$4,0,0,IN_Zugliste!$A$2,1),0),0)+_xlfn.XLOOKUP(C394,OFFSET(IN_Zugliste!$A$4,0,0,IN_Zugliste!$A$2,1),OFFSET(IN_Zugliste!$K$4,0,0,IN_Zugliste!$A$2,1),0)</f>
        <v>238382</v>
      </c>
      <c r="N394" s="55" t="str" cm="1">
        <f t="array" aca="1" ref="N394" ca="1">IF(K394=1,_xlfn.XLOOKUP(B394,OFFSET(IN_Zugliste!$A$4,0,0,IN_Zugliste!$A$2,1),OFFSET(IN_Zugliste!$D$4,0,0,IN_Zugliste!$A$2,1),""),"")</f>
        <v/>
      </c>
      <c r="O394" s="55" t="str" cm="1">
        <f t="array" aca="1" ref="O394" ca="1">IF(L394&lt;&gt;"",L394,_xlfn.XLOOKUP(B394,OFFSET($C$4,0,0,$A$2,1),OFFSET($O$4,0,0,$A$2,1)))</f>
        <v>Composition 96</v>
      </c>
      <c r="P394" s="55" cm="1">
        <f t="array" aca="1" ref="P394" ca="1">MATCH(J394, _xlfn._xlws.FILTER($J$4:$J$430,$O$4:$O$430=O394), 0)+1</f>
        <v>3</v>
      </c>
      <c r="Q394" s="63" t="str">
        <f>_xlfn.XLOOKUP(B394, IN_Zugliste!A:A, IN_Zugliste!M:M, "")</f>
        <v>09:47:07</v>
      </c>
    </row>
    <row r="395" spans="1:17" ht="15" customHeight="1" x14ac:dyDescent="0.2">
      <c r="A395" s="63" t="s">
        <v>686</v>
      </c>
      <c r="B395" s="63" t="s">
        <v>191</v>
      </c>
      <c r="C395" s="63" t="s">
        <v>183</v>
      </c>
      <c r="D395" s="63" t="s">
        <v>990</v>
      </c>
      <c r="E395" s="63" t="s">
        <v>688</v>
      </c>
      <c r="F395" s="63" t="s">
        <v>1933</v>
      </c>
      <c r="G395" s="63" t="s">
        <v>1934</v>
      </c>
      <c r="H395" s="63" t="s">
        <v>691</v>
      </c>
      <c r="I395" s="63" t="s">
        <v>1934</v>
      </c>
      <c r="J395" s="63" t="s">
        <v>1935</v>
      </c>
      <c r="K395" s="55">
        <f t="shared" ca="1" si="6"/>
        <v>1</v>
      </c>
      <c r="L395" s="56" t="str">
        <f ca="1">IF(K395&gt;0,"Composition "&amp;SUM(K$4:K395),"")</f>
        <v>Composition 97</v>
      </c>
      <c r="M395" s="55" cm="1">
        <f t="array" aca="1" ref="M395" ca="1">IF(K395=1,_xlfn.XLOOKUP(B395,OFFSET(IN_Zugliste!$A$4,0,0,IN_Zugliste!$A$2,1),OFFSET(IN_Zugliste!$K$4,0,0,IN_Zugliste!$A$2,1),0),0)+_xlfn.XLOOKUP(C395,OFFSET(IN_Zugliste!$A$4,0,0,IN_Zugliste!$A$2,1),OFFSET(IN_Zugliste!$K$4,0,0,IN_Zugliste!$A$2,1),0)</f>
        <v>314467</v>
      </c>
      <c r="N395" s="55" t="str" cm="1">
        <f t="array" aca="1" ref="N395" ca="1">IF(K395=1,_xlfn.XLOOKUP(B395,OFFSET(IN_Zugliste!$A$4,0,0,IN_Zugliste!$A$2,1),OFFSET(IN_Zugliste!$D$4,0,0,IN_Zugliste!$A$2,1),""),"")</f>
        <v>462-1.0</v>
      </c>
      <c r="O395" s="55" t="str" cm="1">
        <f t="array" aca="1" ref="O395" ca="1">IF(L395&lt;&gt;"",L395,_xlfn.XLOOKUP(B395,OFFSET($C$4,0,0,$A$2,1),OFFSET($O$4,0,0,$A$2,1)))</f>
        <v>Composition 97</v>
      </c>
      <c r="P395" s="55" cm="1">
        <f t="array" aca="1" ref="P395" ca="1">MATCH(J395, _xlfn._xlws.FILTER($J$4:$J$430,$O$4:$O$430=O395), 0)+1</f>
        <v>2</v>
      </c>
      <c r="Q395" s="63" t="str">
        <f>_xlfn.XLOOKUP(B395, IN_Zugliste!A:A, IN_Zugliste!M:M, "")</f>
        <v>06:53:24</v>
      </c>
    </row>
    <row r="396" spans="1:17" ht="15" customHeight="1" x14ac:dyDescent="0.2">
      <c r="A396" s="63" t="s">
        <v>686</v>
      </c>
      <c r="B396" s="63" t="s">
        <v>183</v>
      </c>
      <c r="C396" s="63" t="s">
        <v>219</v>
      </c>
      <c r="D396" s="63" t="s">
        <v>811</v>
      </c>
      <c r="E396" s="63" t="s">
        <v>688</v>
      </c>
      <c r="F396" s="63" t="s">
        <v>1936</v>
      </c>
      <c r="G396" s="63" t="s">
        <v>1937</v>
      </c>
      <c r="H396" s="63" t="s">
        <v>691</v>
      </c>
      <c r="I396" s="63" t="s">
        <v>1937</v>
      </c>
      <c r="J396" s="63" t="s">
        <v>1938</v>
      </c>
      <c r="K396" s="55">
        <f t="shared" ca="1" si="6"/>
        <v>0</v>
      </c>
      <c r="L396" s="56" t="str">
        <f ca="1">IF(K396&gt;0,"Composition "&amp;SUM(K$4:K396),"")</f>
        <v/>
      </c>
      <c r="M396" s="55" cm="1">
        <f t="array" aca="1" ref="M396" ca="1">IF(K396=1,_xlfn.XLOOKUP(B396,OFFSET(IN_Zugliste!$A$4,0,0,IN_Zugliste!$A$2,1),OFFSET(IN_Zugliste!$K$4,0,0,IN_Zugliste!$A$2,1),0),0)+_xlfn.XLOOKUP(C396,OFFSET(IN_Zugliste!$A$4,0,0,IN_Zugliste!$A$2,1),OFFSET(IN_Zugliste!$K$4,0,0,IN_Zugliste!$A$2,1),0)</f>
        <v>157858</v>
      </c>
      <c r="N396" s="55" t="str" cm="1">
        <f t="array" aca="1" ref="N396" ca="1">IF(K396=1,_xlfn.XLOOKUP(B396,OFFSET(IN_Zugliste!$A$4,0,0,IN_Zugliste!$A$2,1),OFFSET(IN_Zugliste!$D$4,0,0,IN_Zugliste!$A$2,1),""),"")</f>
        <v/>
      </c>
      <c r="O396" s="55" t="str" cm="1">
        <f t="array" aca="1" ref="O396" ca="1">IF(L396&lt;&gt;"",L396,_xlfn.XLOOKUP(B396,OFFSET($C$4,0,0,$A$2,1),OFFSET($O$4,0,0,$A$2,1)))</f>
        <v>Composition 97</v>
      </c>
      <c r="P396" s="55" cm="1">
        <f t="array" aca="1" ref="P396" ca="1">MATCH(J396, _xlfn._xlws.FILTER($J$4:$J$430,$O$4:$O$430=O396), 0)+1</f>
        <v>3</v>
      </c>
      <c r="Q396" s="63" t="str">
        <f>_xlfn.XLOOKUP(B396, IN_Zugliste!A:A, IN_Zugliste!M:M, "")</f>
        <v>09:40:57</v>
      </c>
    </row>
    <row r="397" spans="1:17" ht="15" customHeight="1" x14ac:dyDescent="0.2">
      <c r="A397" s="63" t="s">
        <v>686</v>
      </c>
      <c r="B397" s="63" t="s">
        <v>169</v>
      </c>
      <c r="C397" s="63" t="s">
        <v>161</v>
      </c>
      <c r="D397" s="63" t="s">
        <v>811</v>
      </c>
      <c r="E397" s="63" t="s">
        <v>688</v>
      </c>
      <c r="F397" s="63" t="s">
        <v>1220</v>
      </c>
      <c r="G397" s="63" t="s">
        <v>1939</v>
      </c>
      <c r="H397" s="63" t="s">
        <v>691</v>
      </c>
      <c r="I397" s="63" t="s">
        <v>1939</v>
      </c>
      <c r="J397" s="63" t="s">
        <v>1940</v>
      </c>
      <c r="K397" s="55">
        <f t="shared" ca="1" si="6"/>
        <v>1</v>
      </c>
      <c r="L397" s="56" t="str">
        <f ca="1">IF(K397&gt;0,"Composition "&amp;SUM(K$4:K397),"")</f>
        <v>Composition 98</v>
      </c>
      <c r="M397" s="55" cm="1">
        <f t="array" aca="1" ref="M397" ca="1">IF(K397=1,_xlfn.XLOOKUP(B397,OFFSET(IN_Zugliste!$A$4,0,0,IN_Zugliste!$A$2,1),OFFSET(IN_Zugliste!$K$4,0,0,IN_Zugliste!$A$2,1),0),0)+_xlfn.XLOOKUP(C397,OFFSET(IN_Zugliste!$A$4,0,0,IN_Zugliste!$A$2,1),OFFSET(IN_Zugliste!$K$4,0,0,IN_Zugliste!$A$2,1),0)</f>
        <v>319483</v>
      </c>
      <c r="N397" s="55" t="str" cm="1">
        <f t="array" aca="1" ref="N397" ca="1">IF(K397=1,_xlfn.XLOOKUP(B397,OFFSET(IN_Zugliste!$A$4,0,0,IN_Zugliste!$A$2,1),OFFSET(IN_Zugliste!$D$4,0,0,IN_Zugliste!$A$2,1),""),"")</f>
        <v>462-1.0</v>
      </c>
      <c r="O397" s="55" t="str" cm="1">
        <f t="array" aca="1" ref="O397" ca="1">IF(L397&lt;&gt;"",L397,_xlfn.XLOOKUP(B397,OFFSET($C$4,0,0,$A$2,1),OFFSET($O$4,0,0,$A$2,1)))</f>
        <v>Composition 98</v>
      </c>
      <c r="P397" s="55" cm="1">
        <f t="array" aca="1" ref="P397" ca="1">MATCH(J397, _xlfn._xlws.FILTER($J$4:$J$430,$O$4:$O$430=O397), 0)+1</f>
        <v>2</v>
      </c>
      <c r="Q397" s="63" t="str">
        <f>_xlfn.XLOOKUP(B397, IN_Zugliste!A:A, IN_Zugliste!M:M, "")</f>
        <v>06:55:42</v>
      </c>
    </row>
    <row r="398" spans="1:17" ht="15" customHeight="1" x14ac:dyDescent="0.2">
      <c r="A398" s="63" t="s">
        <v>686</v>
      </c>
      <c r="B398" s="63" t="s">
        <v>161</v>
      </c>
      <c r="C398" s="63" t="s">
        <v>241</v>
      </c>
      <c r="D398" s="63" t="s">
        <v>1068</v>
      </c>
      <c r="E398" s="63" t="s">
        <v>688</v>
      </c>
      <c r="F398" s="63" t="s">
        <v>1941</v>
      </c>
      <c r="G398" s="63" t="s">
        <v>1942</v>
      </c>
      <c r="H398" s="63" t="s">
        <v>817</v>
      </c>
      <c r="I398" s="63" t="s">
        <v>1942</v>
      </c>
      <c r="J398" s="63" t="s">
        <v>777</v>
      </c>
      <c r="K398" s="55">
        <f t="shared" ca="1" si="6"/>
        <v>0</v>
      </c>
      <c r="L398" s="56" t="str">
        <f ca="1">IF(K398&gt;0,"Composition "&amp;SUM(K$4:K398),"")</f>
        <v/>
      </c>
      <c r="M398" s="55" cm="1">
        <f t="array" aca="1" ref="M398" ca="1">IF(K398=1,_xlfn.XLOOKUP(B398,OFFSET(IN_Zugliste!$A$4,0,0,IN_Zugliste!$A$2,1),OFFSET(IN_Zugliste!$K$4,0,0,IN_Zugliste!$A$2,1),0),0)+_xlfn.XLOOKUP(C398,OFFSET(IN_Zugliste!$A$4,0,0,IN_Zugliste!$A$2,1),OFFSET(IN_Zugliste!$K$4,0,0,IN_Zugliste!$A$2,1),0)</f>
        <v>159764</v>
      </c>
      <c r="N398" s="55" t="str" cm="1">
        <f t="array" aca="1" ref="N398" ca="1">IF(K398=1,_xlfn.XLOOKUP(B398,OFFSET(IN_Zugliste!$A$4,0,0,IN_Zugliste!$A$2,1),OFFSET(IN_Zugliste!$D$4,0,0,IN_Zugliste!$A$2,1),""),"")</f>
        <v/>
      </c>
      <c r="O398" s="55" t="str" cm="1">
        <f t="array" aca="1" ref="O398" ca="1">IF(L398&lt;&gt;"",L398,_xlfn.XLOOKUP(B398,OFFSET($C$4,0,0,$A$2,1),OFFSET($O$4,0,0,$A$2,1)))</f>
        <v>Composition 98</v>
      </c>
      <c r="P398" s="55" cm="1">
        <f t="array" aca="1" ref="P398" ca="1">MATCH(J398, _xlfn._xlws.FILTER($J$4:$J$430,$O$4:$O$430=O398), 0)+1</f>
        <v>3</v>
      </c>
      <c r="Q398" s="63" t="str">
        <f>_xlfn.XLOOKUP(B398, IN_Zugliste!A:A, IN_Zugliste!M:M, "")</f>
        <v>09:42:31</v>
      </c>
    </row>
    <row r="399" spans="1:17" ht="15" customHeight="1" x14ac:dyDescent="0.2">
      <c r="A399" s="63" t="s">
        <v>686</v>
      </c>
      <c r="B399" s="63" t="s">
        <v>405</v>
      </c>
      <c r="C399" s="63" t="s">
        <v>463</v>
      </c>
      <c r="D399" s="63" t="s">
        <v>1068</v>
      </c>
      <c r="E399" s="63" t="s">
        <v>688</v>
      </c>
      <c r="F399" s="63" t="s">
        <v>1943</v>
      </c>
      <c r="G399" s="63" t="s">
        <v>1944</v>
      </c>
      <c r="H399" s="63" t="s">
        <v>691</v>
      </c>
      <c r="I399" s="63" t="s">
        <v>1944</v>
      </c>
      <c r="J399" s="63" t="s">
        <v>1945</v>
      </c>
      <c r="K399" s="55">
        <f t="shared" ca="1" si="6"/>
        <v>1</v>
      </c>
      <c r="L399" s="56" t="str">
        <f ca="1">IF(K399&gt;0,"Composition "&amp;SUM(K$4:K399),"")</f>
        <v>Composition 99</v>
      </c>
      <c r="M399" s="55" cm="1">
        <f t="array" aca="1" ref="M399" ca="1">IF(K399=1,_xlfn.XLOOKUP(B399,OFFSET(IN_Zugliste!$A$4,0,0,IN_Zugliste!$A$2,1),OFFSET(IN_Zugliste!$K$4,0,0,IN_Zugliste!$A$2,1),0),0)+_xlfn.XLOOKUP(C399,OFFSET(IN_Zugliste!$A$4,0,0,IN_Zugliste!$A$2,1),OFFSET(IN_Zugliste!$K$4,0,0,IN_Zugliste!$A$2,1),0)</f>
        <v>479717</v>
      </c>
      <c r="N399" s="55" t="str" cm="1">
        <f t="array" aca="1" ref="N399" ca="1">IF(K399=1,_xlfn.XLOOKUP(B399,OFFSET(IN_Zugliste!$A$4,0,0,IN_Zugliste!$A$2,1),OFFSET(IN_Zugliste!$D$4,0,0,IN_Zugliste!$A$2,1),""),"")</f>
        <v>462-1.0</v>
      </c>
      <c r="O399" s="55" t="str" cm="1">
        <f t="array" aca="1" ref="O399" ca="1">IF(L399&lt;&gt;"",L399,_xlfn.XLOOKUP(B399,OFFSET($C$4,0,0,$A$2,1),OFFSET($O$4,0,0,$A$2,1)))</f>
        <v>Composition 99</v>
      </c>
      <c r="P399" s="55" cm="1">
        <f t="array" aca="1" ref="P399" ca="1">MATCH(J399, _xlfn._xlws.FILTER($J$4:$J$430,$O$4:$O$430=O399), 0)+1</f>
        <v>2</v>
      </c>
      <c r="Q399" s="63" t="str">
        <f>_xlfn.XLOOKUP(B399, IN_Zugliste!A:A, IN_Zugliste!M:M, "")</f>
        <v>06:49:42</v>
      </c>
    </row>
    <row r="400" spans="1:17" ht="15" customHeight="1" x14ac:dyDescent="0.2">
      <c r="A400" s="63" t="s">
        <v>686</v>
      </c>
      <c r="B400" s="63" t="s">
        <v>463</v>
      </c>
      <c r="C400" s="63" t="s">
        <v>455</v>
      </c>
      <c r="D400" s="63" t="s">
        <v>1517</v>
      </c>
      <c r="E400" s="63" t="s">
        <v>688</v>
      </c>
      <c r="F400" s="63" t="s">
        <v>1946</v>
      </c>
      <c r="G400" s="63" t="s">
        <v>1947</v>
      </c>
      <c r="H400" s="63" t="s">
        <v>691</v>
      </c>
      <c r="I400" s="63" t="s">
        <v>1947</v>
      </c>
      <c r="J400" s="63" t="s">
        <v>1948</v>
      </c>
      <c r="K400" s="55">
        <f t="shared" ca="1" si="6"/>
        <v>0</v>
      </c>
      <c r="L400" s="56" t="str">
        <f ca="1">IF(K400&gt;0,"Composition "&amp;SUM(K$4:K400),"")</f>
        <v/>
      </c>
      <c r="M400" s="55" cm="1">
        <f t="array" aca="1" ref="M400" ca="1">IF(K400=1,_xlfn.XLOOKUP(B400,OFFSET(IN_Zugliste!$A$4,0,0,IN_Zugliste!$A$2,1),OFFSET(IN_Zugliste!$K$4,0,0,IN_Zugliste!$A$2,1),0),0)+_xlfn.XLOOKUP(C400,OFFSET(IN_Zugliste!$A$4,0,0,IN_Zugliste!$A$2,1),OFFSET(IN_Zugliste!$K$4,0,0,IN_Zugliste!$A$2,1),0)</f>
        <v>241245</v>
      </c>
      <c r="N400" s="55" t="str" cm="1">
        <f t="array" aca="1" ref="N400" ca="1">IF(K400=1,_xlfn.XLOOKUP(B400,OFFSET(IN_Zugliste!$A$4,0,0,IN_Zugliste!$A$2,1),OFFSET(IN_Zugliste!$D$4,0,0,IN_Zugliste!$A$2,1),""),"")</f>
        <v/>
      </c>
      <c r="O400" s="55" t="str" cm="1">
        <f t="array" aca="1" ref="O400" ca="1">IF(L400&lt;&gt;"",L400,_xlfn.XLOOKUP(B400,OFFSET($C$4,0,0,$A$2,1),OFFSET($O$4,0,0,$A$2,1)))</f>
        <v>Composition 99</v>
      </c>
      <c r="P400" s="55" cm="1">
        <f t="array" aca="1" ref="P400" ca="1">MATCH(J400, _xlfn._xlws.FILTER($J$4:$J$430,$O$4:$O$430=O400), 0)+1</f>
        <v>3</v>
      </c>
      <c r="Q400" s="63" t="str">
        <f>_xlfn.XLOOKUP(B400, IN_Zugliste!A:A, IN_Zugliste!M:M, "")</f>
        <v>09:54:09</v>
      </c>
    </row>
    <row r="401" spans="1:17" ht="15" customHeight="1" x14ac:dyDescent="0.2">
      <c r="A401" s="63" t="s">
        <v>686</v>
      </c>
      <c r="B401" s="63" t="s">
        <v>137</v>
      </c>
      <c r="C401" s="63" t="s">
        <v>151</v>
      </c>
      <c r="D401" s="63" t="s">
        <v>723</v>
      </c>
      <c r="E401" s="63" t="s">
        <v>688</v>
      </c>
      <c r="F401" s="63" t="s">
        <v>1949</v>
      </c>
      <c r="G401" s="63" t="s">
        <v>1950</v>
      </c>
      <c r="H401" s="63" t="s">
        <v>691</v>
      </c>
      <c r="I401" s="63" t="s">
        <v>1951</v>
      </c>
      <c r="J401" s="63" t="s">
        <v>1952</v>
      </c>
      <c r="K401" s="55">
        <f t="shared" ca="1" si="6"/>
        <v>1</v>
      </c>
      <c r="L401" s="56" t="str">
        <f ca="1">IF(K401&gt;0,"Composition "&amp;SUM(K$4:K401),"")</f>
        <v>Composition 100</v>
      </c>
      <c r="M401" s="55" cm="1">
        <f t="array" aca="1" ref="M401" ca="1">IF(K401=1,_xlfn.XLOOKUP(B401,OFFSET(IN_Zugliste!$A$4,0,0,IN_Zugliste!$A$2,1),OFFSET(IN_Zugliste!$K$4,0,0,IN_Zugliste!$A$2,1),0),0)+_xlfn.XLOOKUP(C401,OFFSET(IN_Zugliste!$A$4,0,0,IN_Zugliste!$A$2,1),OFFSET(IN_Zugliste!$K$4,0,0,IN_Zugliste!$A$2,1),0)</f>
        <v>360401</v>
      </c>
      <c r="N401" s="55" t="str" cm="1">
        <f t="array" aca="1" ref="N401" ca="1">IF(K401=1,_xlfn.XLOOKUP(B401,OFFSET(IN_Zugliste!$A$4,0,0,IN_Zugliste!$A$2,1),OFFSET(IN_Zugliste!$D$4,0,0,IN_Zugliste!$A$2,1),""),"")</f>
        <v>462-1.0</v>
      </c>
      <c r="O401" s="55" t="str" cm="1">
        <f t="array" aca="1" ref="O401" ca="1">IF(L401&lt;&gt;"",L401,_xlfn.XLOOKUP(B401,OFFSET($C$4,0,0,$A$2,1),OFFSET($O$4,0,0,$A$2,1)))</f>
        <v>Composition 100</v>
      </c>
      <c r="P401" s="55" cm="1">
        <f t="array" aca="1" ref="P401" ca="1">MATCH(J401, _xlfn._xlws.FILTER($J$4:$J$430,$O$4:$O$430=O401), 0)+1</f>
        <v>2</v>
      </c>
      <c r="Q401" s="63" t="str">
        <f>_xlfn.XLOOKUP(B401, IN_Zugliste!A:A, IN_Zugliste!M:M, "")</f>
        <v>07:04:18</v>
      </c>
    </row>
    <row r="402" spans="1:17" ht="15" customHeight="1" x14ac:dyDescent="0.2">
      <c r="A402" s="63" t="s">
        <v>686</v>
      </c>
      <c r="B402" s="63" t="s">
        <v>151</v>
      </c>
      <c r="C402" s="63" t="s">
        <v>120</v>
      </c>
      <c r="D402" s="63" t="s">
        <v>994</v>
      </c>
      <c r="E402" s="63" t="s">
        <v>688</v>
      </c>
      <c r="F402" s="63" t="s">
        <v>1953</v>
      </c>
      <c r="G402" s="63" t="s">
        <v>1954</v>
      </c>
      <c r="H402" s="63" t="s">
        <v>691</v>
      </c>
      <c r="I402" s="63" t="s">
        <v>1954</v>
      </c>
      <c r="J402" s="63" t="s">
        <v>1955</v>
      </c>
      <c r="K402" s="55">
        <f t="shared" ca="1" si="6"/>
        <v>0</v>
      </c>
      <c r="L402" s="56" t="str">
        <f ca="1">IF(K402&gt;0,"Composition "&amp;SUM(K$4:K402),"")</f>
        <v/>
      </c>
      <c r="M402" s="55" cm="1">
        <f t="array" aca="1" ref="M402" ca="1">IF(K402=1,_xlfn.XLOOKUP(B402,OFFSET(IN_Zugliste!$A$4,0,0,IN_Zugliste!$A$2,1),OFFSET(IN_Zugliste!$K$4,0,0,IN_Zugliste!$A$2,1),0),0)+_xlfn.XLOOKUP(C402,OFFSET(IN_Zugliste!$A$4,0,0,IN_Zugliste!$A$2,1),OFFSET(IN_Zugliste!$K$4,0,0,IN_Zugliste!$A$2,1),0)</f>
        <v>180175</v>
      </c>
      <c r="N402" s="55" t="str" cm="1">
        <f t="array" aca="1" ref="N402" ca="1">IF(K402=1,_xlfn.XLOOKUP(B402,OFFSET(IN_Zugliste!$A$4,0,0,IN_Zugliste!$A$2,1),OFFSET(IN_Zugliste!$D$4,0,0,IN_Zugliste!$A$2,1),""),"")</f>
        <v/>
      </c>
      <c r="O402" s="55" t="str" cm="1">
        <f t="array" aca="1" ref="O402" ca="1">IF(L402&lt;&gt;"",L402,_xlfn.XLOOKUP(B402,OFFSET($C$4,0,0,$A$2,1),OFFSET($O$4,0,0,$A$2,1)))</f>
        <v>Composition 100</v>
      </c>
      <c r="P402" s="55" cm="1">
        <f t="array" aca="1" ref="P402" ca="1">MATCH(J402, _xlfn._xlws.FILTER($J$4:$J$430,$O$4:$O$430=O402), 0)+1</f>
        <v>3</v>
      </c>
      <c r="Q402" s="63" t="str">
        <f>_xlfn.XLOOKUP(B402, IN_Zugliste!A:A, IN_Zugliste!M:M, "")</f>
        <v>09:51:38</v>
      </c>
    </row>
    <row r="403" spans="1:17" ht="15" customHeight="1" x14ac:dyDescent="0.2">
      <c r="A403" s="63" t="s">
        <v>686</v>
      </c>
      <c r="B403" s="63" t="s">
        <v>416</v>
      </c>
      <c r="C403" s="63" t="s">
        <v>408</v>
      </c>
      <c r="D403" s="63" t="s">
        <v>1517</v>
      </c>
      <c r="E403" s="63" t="s">
        <v>688</v>
      </c>
      <c r="F403" s="63" t="s">
        <v>1956</v>
      </c>
      <c r="G403" s="63" t="s">
        <v>1957</v>
      </c>
      <c r="H403" s="63" t="s">
        <v>691</v>
      </c>
      <c r="I403" s="63" t="s">
        <v>1957</v>
      </c>
      <c r="J403" s="63" t="s">
        <v>1958</v>
      </c>
      <c r="K403" s="55">
        <f t="shared" ca="1" si="6"/>
        <v>1</v>
      </c>
      <c r="L403" s="56" t="str">
        <f ca="1">IF(K403&gt;0,"Composition "&amp;SUM(K$4:K403),"")</f>
        <v>Composition 101</v>
      </c>
      <c r="M403" s="55" cm="1">
        <f t="array" aca="1" ref="M403" ca="1">IF(K403=1,_xlfn.XLOOKUP(B403,OFFSET(IN_Zugliste!$A$4,0,0,IN_Zugliste!$A$2,1),OFFSET(IN_Zugliste!$K$4,0,0,IN_Zugliste!$A$2,1),0),0)+_xlfn.XLOOKUP(C403,OFFSET(IN_Zugliste!$A$4,0,0,IN_Zugliste!$A$2,1),OFFSET(IN_Zugliste!$K$4,0,0,IN_Zugliste!$A$2,1),0)</f>
        <v>476854</v>
      </c>
      <c r="N403" s="55" t="str" cm="1">
        <f t="array" aca="1" ref="N403" ca="1">IF(K403=1,_xlfn.XLOOKUP(B403,OFFSET(IN_Zugliste!$A$4,0,0,IN_Zugliste!$A$2,1),OFFSET(IN_Zugliste!$D$4,0,0,IN_Zugliste!$A$2,1),""),"")</f>
        <v>462-1.0</v>
      </c>
      <c r="O403" s="55" t="str" cm="1">
        <f t="array" aca="1" ref="O403" ca="1">IF(L403&lt;&gt;"",L403,_xlfn.XLOOKUP(B403,OFFSET($C$4,0,0,$A$2,1),OFFSET($O$4,0,0,$A$2,1)))</f>
        <v>Composition 101</v>
      </c>
      <c r="P403" s="55" cm="1">
        <f t="array" aca="1" ref="P403" ca="1">MATCH(J403, _xlfn._xlws.FILTER($J$4:$J$430,$O$4:$O$430=O403), 0)+1</f>
        <v>2</v>
      </c>
      <c r="Q403" s="63" t="str">
        <f>_xlfn.XLOOKUP(B403, IN_Zugliste!A:A, IN_Zugliste!M:M, "")</f>
        <v>06:47:07</v>
      </c>
    </row>
    <row r="404" spans="1:17" ht="15" customHeight="1" x14ac:dyDescent="0.2">
      <c r="A404" s="63" t="s">
        <v>686</v>
      </c>
      <c r="B404" s="63" t="s">
        <v>408</v>
      </c>
      <c r="C404" s="63" t="s">
        <v>466</v>
      </c>
      <c r="D404" s="63" t="s">
        <v>1068</v>
      </c>
      <c r="E404" s="63" t="s">
        <v>688</v>
      </c>
      <c r="F404" s="63" t="s">
        <v>1959</v>
      </c>
      <c r="G404" s="63" t="s">
        <v>1960</v>
      </c>
      <c r="H404" s="63" t="s">
        <v>691</v>
      </c>
      <c r="I404" s="63" t="s">
        <v>1960</v>
      </c>
      <c r="J404" s="63" t="s">
        <v>1961</v>
      </c>
      <c r="K404" s="55">
        <f t="shared" ca="1" si="6"/>
        <v>0</v>
      </c>
      <c r="L404" s="56" t="str">
        <f ca="1">IF(K404&gt;0,"Composition "&amp;SUM(K$4:K404),"")</f>
        <v/>
      </c>
      <c r="M404" s="55" cm="1">
        <f t="array" aca="1" ref="M404" ca="1">IF(K404=1,_xlfn.XLOOKUP(B404,OFFSET(IN_Zugliste!$A$4,0,0,IN_Zugliste!$A$2,1),OFFSET(IN_Zugliste!$K$4,0,0,IN_Zugliste!$A$2,1),0),0)+_xlfn.XLOOKUP(C404,OFFSET(IN_Zugliste!$A$4,0,0,IN_Zugliste!$A$2,1),OFFSET(IN_Zugliste!$K$4,0,0,IN_Zugliste!$A$2,1),0)</f>
        <v>241335</v>
      </c>
      <c r="N404" s="55" t="str" cm="1">
        <f t="array" aca="1" ref="N404" ca="1">IF(K404=1,_xlfn.XLOOKUP(B404,OFFSET(IN_Zugliste!$A$4,0,0,IN_Zugliste!$A$2,1),OFFSET(IN_Zugliste!$D$4,0,0,IN_Zugliste!$A$2,1),""),"")</f>
        <v/>
      </c>
      <c r="O404" s="55" t="str" cm="1">
        <f t="array" aca="1" ref="O404" ca="1">IF(L404&lt;&gt;"",L404,_xlfn.XLOOKUP(B404,OFFSET($C$4,0,0,$A$2,1),OFFSET($O$4,0,0,$A$2,1)))</f>
        <v>Composition 101</v>
      </c>
      <c r="P404" s="55" cm="1">
        <f t="array" aca="1" ref="P404" ca="1">MATCH(J404, _xlfn._xlws.FILTER($J$4:$J$430,$O$4:$O$430=O404), 0)+1</f>
        <v>3</v>
      </c>
      <c r="Q404" s="63" t="str">
        <f>_xlfn.XLOOKUP(B404, IN_Zugliste!A:A, IN_Zugliste!M:M, "")</f>
        <v>09:49:42</v>
      </c>
    </row>
    <row r="405" spans="1:17" ht="15" customHeight="1" x14ac:dyDescent="0.2">
      <c r="A405" s="63" t="s">
        <v>686</v>
      </c>
      <c r="B405" s="63" t="s">
        <v>203</v>
      </c>
      <c r="C405" s="63" t="s">
        <v>194</v>
      </c>
      <c r="D405" s="63" t="s">
        <v>811</v>
      </c>
      <c r="E405" s="63" t="s">
        <v>688</v>
      </c>
      <c r="F405" s="63" t="s">
        <v>1962</v>
      </c>
      <c r="G405" s="63" t="s">
        <v>1963</v>
      </c>
      <c r="H405" s="63" t="s">
        <v>691</v>
      </c>
      <c r="I405" s="63" t="s">
        <v>1963</v>
      </c>
      <c r="J405" s="63" t="s">
        <v>1964</v>
      </c>
      <c r="K405" s="55">
        <f t="shared" ca="1" si="6"/>
        <v>1</v>
      </c>
      <c r="L405" s="56" t="str">
        <f ca="1">IF(K405&gt;0,"Composition "&amp;SUM(K$4:K405),"")</f>
        <v>Composition 102</v>
      </c>
      <c r="M405" s="55" cm="1">
        <f t="array" aca="1" ref="M405" ca="1">IF(K405=1,_xlfn.XLOOKUP(B405,OFFSET(IN_Zugliste!$A$4,0,0,IN_Zugliste!$A$2,1),OFFSET(IN_Zugliste!$K$4,0,0,IN_Zugliste!$A$2,1),0),0)+_xlfn.XLOOKUP(C405,OFFSET(IN_Zugliste!$A$4,0,0,IN_Zugliste!$A$2,1),OFFSET(IN_Zugliste!$K$4,0,0,IN_Zugliste!$A$2,1),0)</f>
        <v>314467</v>
      </c>
      <c r="N405" s="55" t="str" cm="1">
        <f t="array" aca="1" ref="N405" ca="1">IF(K405=1,_xlfn.XLOOKUP(B405,OFFSET(IN_Zugliste!$A$4,0,0,IN_Zugliste!$A$2,1),OFFSET(IN_Zugliste!$D$4,0,0,IN_Zugliste!$A$2,1),""),"")</f>
        <v>462-1.0</v>
      </c>
      <c r="O405" s="55" t="str" cm="1">
        <f t="array" aca="1" ref="O405" ca="1">IF(L405&lt;&gt;"",L405,_xlfn.XLOOKUP(B405,OFFSET($C$4,0,0,$A$2,1),OFFSET($O$4,0,0,$A$2,1)))</f>
        <v>Composition 102</v>
      </c>
      <c r="P405" s="55" cm="1">
        <f t="array" aca="1" ref="P405" ca="1">MATCH(J405, _xlfn._xlws.FILTER($J$4:$J$430,$O$4:$O$430=O405), 0)+1</f>
        <v>2</v>
      </c>
      <c r="Q405" s="63" t="str">
        <f>_xlfn.XLOOKUP(B405, IN_Zugliste!A:A, IN_Zugliste!M:M, "")</f>
        <v>07:11:52</v>
      </c>
    </row>
    <row r="406" spans="1:17" ht="15" customHeight="1" x14ac:dyDescent="0.2">
      <c r="A406" s="63" t="s">
        <v>686</v>
      </c>
      <c r="B406" s="63" t="s">
        <v>194</v>
      </c>
      <c r="C406" s="63" t="s">
        <v>186</v>
      </c>
      <c r="D406" s="63" t="s">
        <v>990</v>
      </c>
      <c r="E406" s="63" t="s">
        <v>688</v>
      </c>
      <c r="F406" s="63" t="s">
        <v>1965</v>
      </c>
      <c r="G406" s="63" t="s">
        <v>1966</v>
      </c>
      <c r="H406" s="63" t="s">
        <v>691</v>
      </c>
      <c r="I406" s="63" t="s">
        <v>1966</v>
      </c>
      <c r="J406" s="63" t="s">
        <v>1967</v>
      </c>
      <c r="K406" s="55">
        <f t="shared" ca="1" si="6"/>
        <v>0</v>
      </c>
      <c r="L406" s="56" t="str">
        <f ca="1">IF(K406&gt;0,"Composition "&amp;SUM(K$4:K406),"")</f>
        <v/>
      </c>
      <c r="M406" s="55" cm="1">
        <f t="array" aca="1" ref="M406" ca="1">IF(K406=1,_xlfn.XLOOKUP(B406,OFFSET(IN_Zugliste!$A$4,0,0,IN_Zugliste!$A$2,1),OFFSET(IN_Zugliste!$K$4,0,0,IN_Zugliste!$A$2,1),0),0)+_xlfn.XLOOKUP(C406,OFFSET(IN_Zugliste!$A$4,0,0,IN_Zugliste!$A$2,1),OFFSET(IN_Zugliste!$K$4,0,0,IN_Zugliste!$A$2,1),0)</f>
        <v>156609</v>
      </c>
      <c r="N406" s="55" t="str" cm="1">
        <f t="array" aca="1" ref="N406" ca="1">IF(K406=1,_xlfn.XLOOKUP(B406,OFFSET(IN_Zugliste!$A$4,0,0,IN_Zugliste!$A$2,1),OFFSET(IN_Zugliste!$D$4,0,0,IN_Zugliste!$A$2,1),""),"")</f>
        <v/>
      </c>
      <c r="O406" s="55" t="str" cm="1">
        <f t="array" aca="1" ref="O406" ca="1">IF(L406&lt;&gt;"",L406,_xlfn.XLOOKUP(B406,OFFSET($C$4,0,0,$A$2,1),OFFSET($O$4,0,0,$A$2,1)))</f>
        <v>Composition 102</v>
      </c>
      <c r="P406" s="55" cm="1">
        <f t="array" aca="1" ref="P406" ca="1">MATCH(J406, _xlfn._xlws.FILTER($J$4:$J$430,$O$4:$O$430=O406), 0)+1</f>
        <v>3</v>
      </c>
      <c r="Q406" s="63" t="str">
        <f>_xlfn.XLOOKUP(B406, IN_Zugliste!A:A, IN_Zugliste!M:M, "")</f>
        <v>09:53:24</v>
      </c>
    </row>
    <row r="407" spans="1:17" ht="15" customHeight="1" x14ac:dyDescent="0.2">
      <c r="A407" s="63" t="s">
        <v>686</v>
      </c>
      <c r="B407" s="63" t="s">
        <v>225</v>
      </c>
      <c r="C407" s="63" t="s">
        <v>172</v>
      </c>
      <c r="D407" s="63" t="s">
        <v>1068</v>
      </c>
      <c r="E407" s="63" t="s">
        <v>688</v>
      </c>
      <c r="F407" s="63" t="s">
        <v>1968</v>
      </c>
      <c r="G407" s="63" t="s">
        <v>1969</v>
      </c>
      <c r="H407" s="63" t="s">
        <v>817</v>
      </c>
      <c r="I407" s="63" t="s">
        <v>1969</v>
      </c>
      <c r="J407" s="63" t="s">
        <v>1970</v>
      </c>
      <c r="K407" s="55">
        <f t="shared" ca="1" si="6"/>
        <v>1</v>
      </c>
      <c r="L407" s="56" t="str">
        <f ca="1">IF(K407&gt;0,"Composition "&amp;SUM(K$4:K407),"")</f>
        <v>Composition 103</v>
      </c>
      <c r="M407" s="55" cm="1">
        <f t="array" aca="1" ref="M407" ca="1">IF(K407=1,_xlfn.XLOOKUP(B407,OFFSET(IN_Zugliste!$A$4,0,0,IN_Zugliste!$A$2,1),OFFSET(IN_Zugliste!$K$4,0,0,IN_Zugliste!$A$2,1),0),0)+_xlfn.XLOOKUP(C407,OFFSET(IN_Zugliste!$A$4,0,0,IN_Zugliste!$A$2,1),OFFSET(IN_Zugliste!$K$4,0,0,IN_Zugliste!$A$2,1),0)</f>
        <v>319483</v>
      </c>
      <c r="N407" s="55" t="str" cm="1">
        <f t="array" aca="1" ref="N407" ca="1">IF(K407=1,_xlfn.XLOOKUP(B407,OFFSET(IN_Zugliste!$A$4,0,0,IN_Zugliste!$A$2,1),OFFSET(IN_Zugliste!$D$4,0,0,IN_Zugliste!$A$2,1),""),"")</f>
        <v>462-1.0</v>
      </c>
      <c r="O407" s="55" t="str" cm="1">
        <f t="array" aca="1" ref="O407" ca="1">IF(L407&lt;&gt;"",L407,_xlfn.XLOOKUP(B407,OFFSET($C$4,0,0,$A$2,1),OFFSET($O$4,0,0,$A$2,1)))</f>
        <v>Composition 103</v>
      </c>
      <c r="P407" s="55" cm="1">
        <f t="array" aca="1" ref="P407" ca="1">MATCH(J407, _xlfn._xlws.FILTER($J$4:$J$430,$O$4:$O$430=O407), 0)+1</f>
        <v>2</v>
      </c>
      <c r="Q407" s="63" t="str">
        <f>_xlfn.XLOOKUP(B407, IN_Zugliste!A:A, IN_Zugliste!M:M, "")</f>
        <v>07:12:58</v>
      </c>
    </row>
    <row r="408" spans="1:17" ht="15" customHeight="1" x14ac:dyDescent="0.2">
      <c r="A408" s="63" t="s">
        <v>686</v>
      </c>
      <c r="B408" s="63" t="s">
        <v>172</v>
      </c>
      <c r="C408" s="63" t="s">
        <v>164</v>
      </c>
      <c r="D408" s="63" t="s">
        <v>811</v>
      </c>
      <c r="E408" s="63" t="s">
        <v>688</v>
      </c>
      <c r="F408" s="63" t="s">
        <v>1092</v>
      </c>
      <c r="G408" s="63" t="s">
        <v>1971</v>
      </c>
      <c r="H408" s="63" t="s">
        <v>691</v>
      </c>
      <c r="I408" s="63" t="s">
        <v>1971</v>
      </c>
      <c r="J408" s="63" t="s">
        <v>1972</v>
      </c>
      <c r="K408" s="55">
        <f t="shared" ca="1" si="6"/>
        <v>0</v>
      </c>
      <c r="L408" s="56" t="str">
        <f ca="1">IF(K408&gt;0,"Composition "&amp;SUM(K$4:K408),"")</f>
        <v/>
      </c>
      <c r="M408" s="55" cm="1">
        <f t="array" aca="1" ref="M408" ca="1">IF(K408=1,_xlfn.XLOOKUP(B408,OFFSET(IN_Zugliste!$A$4,0,0,IN_Zugliste!$A$2,1),OFFSET(IN_Zugliste!$K$4,0,0,IN_Zugliste!$A$2,1),0),0)+_xlfn.XLOOKUP(C408,OFFSET(IN_Zugliste!$A$4,0,0,IN_Zugliste!$A$2,1),OFFSET(IN_Zugliste!$K$4,0,0,IN_Zugliste!$A$2,1),0)</f>
        <v>159719</v>
      </c>
      <c r="N408" s="55" t="str" cm="1">
        <f t="array" aca="1" ref="N408" ca="1">IF(K408=1,_xlfn.XLOOKUP(B408,OFFSET(IN_Zugliste!$A$4,0,0,IN_Zugliste!$A$2,1),OFFSET(IN_Zugliste!$D$4,0,0,IN_Zugliste!$A$2,1),""),"")</f>
        <v/>
      </c>
      <c r="O408" s="55" t="str" cm="1">
        <f t="array" aca="1" ref="O408" ca="1">IF(L408&lt;&gt;"",L408,_xlfn.XLOOKUP(B408,OFFSET($C$4,0,0,$A$2,1),OFFSET($O$4,0,0,$A$2,1)))</f>
        <v>Composition 103</v>
      </c>
      <c r="P408" s="55" cm="1">
        <f t="array" aca="1" ref="P408" ca="1">MATCH(J408, _xlfn._xlws.FILTER($J$4:$J$430,$O$4:$O$430=O408), 0)+1</f>
        <v>3</v>
      </c>
      <c r="Q408" s="63" t="str">
        <f>_xlfn.XLOOKUP(B408, IN_Zugliste!A:A, IN_Zugliste!M:M, "")</f>
        <v>09:55:42</v>
      </c>
    </row>
    <row r="409" spans="1:17" ht="15" customHeight="1" x14ac:dyDescent="0.2">
      <c r="A409" s="63" t="s">
        <v>686</v>
      </c>
      <c r="B409" s="63" t="s">
        <v>126</v>
      </c>
      <c r="C409" s="63" t="s">
        <v>140</v>
      </c>
      <c r="D409" s="63" t="s">
        <v>994</v>
      </c>
      <c r="E409" s="63" t="s">
        <v>688</v>
      </c>
      <c r="F409" s="63" t="s">
        <v>1973</v>
      </c>
      <c r="G409" s="63" t="s">
        <v>1974</v>
      </c>
      <c r="H409" s="63" t="s">
        <v>691</v>
      </c>
      <c r="I409" s="63" t="s">
        <v>1974</v>
      </c>
      <c r="J409" s="63" t="s">
        <v>1975</v>
      </c>
      <c r="K409" s="55">
        <f t="shared" ca="1" si="6"/>
        <v>1</v>
      </c>
      <c r="L409" s="56" t="str">
        <f ca="1">IF(K409&gt;0,"Composition "&amp;SUM(K$4:K409),"")</f>
        <v>Composition 104</v>
      </c>
      <c r="M409" s="55" cm="1">
        <f t="array" aca="1" ref="M409" ca="1">IF(K409=1,_xlfn.XLOOKUP(B409,OFFSET(IN_Zugliste!$A$4,0,0,IN_Zugliste!$A$2,1),OFFSET(IN_Zugliste!$K$4,0,0,IN_Zugliste!$A$2,1),0),0)+_xlfn.XLOOKUP(C409,OFFSET(IN_Zugliste!$A$4,0,0,IN_Zugliste!$A$2,1),OFFSET(IN_Zugliste!$K$4,0,0,IN_Zugliste!$A$2,1),0)</f>
        <v>360401</v>
      </c>
      <c r="N409" s="55" t="str" cm="1">
        <f t="array" aca="1" ref="N409" ca="1">IF(K409=1,_xlfn.XLOOKUP(B409,OFFSET(IN_Zugliste!$A$4,0,0,IN_Zugliste!$A$2,1),OFFSET(IN_Zugliste!$D$4,0,0,IN_Zugliste!$A$2,1),""),"")</f>
        <v>462-1.0</v>
      </c>
      <c r="O409" s="55" t="str" cm="1">
        <f t="array" aca="1" ref="O409" ca="1">IF(L409&lt;&gt;"",L409,_xlfn.XLOOKUP(B409,OFFSET($C$4,0,0,$A$2,1),OFFSET($O$4,0,0,$A$2,1)))</f>
        <v>Composition 104</v>
      </c>
      <c r="P409" s="55" cm="1">
        <f t="array" aca="1" ref="P409" ca="1">MATCH(J409, _xlfn._xlws.FILTER($J$4:$J$430,$O$4:$O$430=O409), 0)+1</f>
        <v>2</v>
      </c>
      <c r="Q409" s="63" t="str">
        <f>_xlfn.XLOOKUP(B409, IN_Zugliste!A:A, IN_Zugliste!M:M, "")</f>
        <v>07:22:31</v>
      </c>
    </row>
    <row r="410" spans="1:17" ht="15" customHeight="1" x14ac:dyDescent="0.2">
      <c r="A410" s="63" t="s">
        <v>686</v>
      </c>
      <c r="B410" s="63" t="s">
        <v>140</v>
      </c>
      <c r="C410" s="63" t="s">
        <v>154</v>
      </c>
      <c r="D410" s="63" t="s">
        <v>723</v>
      </c>
      <c r="E410" s="63" t="s">
        <v>688</v>
      </c>
      <c r="F410" s="63" t="s">
        <v>1976</v>
      </c>
      <c r="G410" s="63" t="s">
        <v>1977</v>
      </c>
      <c r="H410" s="63" t="s">
        <v>691</v>
      </c>
      <c r="I410" s="63" t="s">
        <v>1977</v>
      </c>
      <c r="J410" s="63" t="s">
        <v>1978</v>
      </c>
      <c r="K410" s="55">
        <f t="shared" ca="1" si="6"/>
        <v>0</v>
      </c>
      <c r="L410" s="56" t="str">
        <f ca="1">IF(K410&gt;0,"Composition "&amp;SUM(K$4:K410),"")</f>
        <v/>
      </c>
      <c r="M410" s="55" cm="1">
        <f t="array" aca="1" ref="M410" ca="1">IF(K410=1,_xlfn.XLOOKUP(B410,OFFSET(IN_Zugliste!$A$4,0,0,IN_Zugliste!$A$2,1),OFFSET(IN_Zugliste!$K$4,0,0,IN_Zugliste!$A$2,1),0),0)+_xlfn.XLOOKUP(C410,OFFSET(IN_Zugliste!$A$4,0,0,IN_Zugliste!$A$2,1),OFFSET(IN_Zugliste!$K$4,0,0,IN_Zugliste!$A$2,1),0)</f>
        <v>180226</v>
      </c>
      <c r="N410" s="55" t="str" cm="1">
        <f t="array" aca="1" ref="N410" ca="1">IF(K410=1,_xlfn.XLOOKUP(B410,OFFSET(IN_Zugliste!$A$4,0,0,IN_Zugliste!$A$2,1),OFFSET(IN_Zugliste!$D$4,0,0,IN_Zugliste!$A$2,1),""),"")</f>
        <v/>
      </c>
      <c r="O410" s="55" t="str" cm="1">
        <f t="array" aca="1" ref="O410" ca="1">IF(L410&lt;&gt;"",L410,_xlfn.XLOOKUP(B410,OFFSET($C$4,0,0,$A$2,1),OFFSET($O$4,0,0,$A$2,1)))</f>
        <v>Composition 104</v>
      </c>
      <c r="P410" s="55" cm="1">
        <f t="array" aca="1" ref="P410" ca="1">MATCH(J410, _xlfn._xlws.FILTER($J$4:$J$430,$O$4:$O$430=O410), 0)+1</f>
        <v>3</v>
      </c>
      <c r="Q410" s="63" t="str">
        <f>_xlfn.XLOOKUP(B410, IN_Zugliste!A:A, IN_Zugliste!M:M, "")</f>
        <v>10:04:18</v>
      </c>
    </row>
    <row r="411" spans="1:17" ht="15" customHeight="1" x14ac:dyDescent="0.2">
      <c r="A411" s="63" t="s">
        <v>686</v>
      </c>
      <c r="B411" s="63" t="s">
        <v>596</v>
      </c>
      <c r="C411" s="63" t="s">
        <v>566</v>
      </c>
      <c r="D411" s="63" t="s">
        <v>990</v>
      </c>
      <c r="E411" s="63" t="s">
        <v>688</v>
      </c>
      <c r="F411" s="63" t="s">
        <v>1979</v>
      </c>
      <c r="G411" s="63" t="s">
        <v>1980</v>
      </c>
      <c r="H411" s="63" t="s">
        <v>691</v>
      </c>
      <c r="I411" s="63" t="s">
        <v>1981</v>
      </c>
      <c r="J411" s="63" t="s">
        <v>1982</v>
      </c>
      <c r="K411" s="55">
        <f t="shared" ca="1" si="6"/>
        <v>1</v>
      </c>
      <c r="L411" s="56" t="str">
        <f ca="1">IF(K411&gt;0,"Composition "&amp;SUM(K$4:K411),"")</f>
        <v>Composition 105</v>
      </c>
      <c r="M411" s="55" cm="1">
        <f t="array" aca="1" ref="M411" ca="1">IF(K411=1,_xlfn.XLOOKUP(B411,OFFSET(IN_Zugliste!$A$4,0,0,IN_Zugliste!$A$2,1),OFFSET(IN_Zugliste!$K$4,0,0,IN_Zugliste!$A$2,1),0),0)+_xlfn.XLOOKUP(C411,OFFSET(IN_Zugliste!$A$4,0,0,IN_Zugliste!$A$2,1),OFFSET(IN_Zugliste!$K$4,0,0,IN_Zugliste!$A$2,1),0)</f>
        <v>322962</v>
      </c>
      <c r="N411" s="55" t="str" cm="1">
        <f t="array" aca="1" ref="N411" ca="1">IF(K411=1,_xlfn.XLOOKUP(B411,OFFSET(IN_Zugliste!$A$4,0,0,IN_Zugliste!$A$2,1),OFFSET(IN_Zugliste!$D$4,0,0,IN_Zugliste!$A$2,1),""),"")</f>
        <v>146-3.2</v>
      </c>
      <c r="O411" s="55" t="str" cm="1">
        <f t="array" aca="1" ref="O411" ca="1">IF(L411&lt;&gt;"",L411,_xlfn.XLOOKUP(B411,OFFSET($C$4,0,0,$A$2,1),OFFSET($O$4,0,0,$A$2,1)))</f>
        <v>Composition 105</v>
      </c>
      <c r="P411" s="55" cm="1">
        <f t="array" aca="1" ref="P411" ca="1">MATCH(J411, _xlfn._xlws.FILTER($J$4:$J$430,$O$4:$O$430=O411), 0)+1</f>
        <v>2</v>
      </c>
      <c r="Q411" s="63" t="str">
        <f>_xlfn.XLOOKUP(B411, IN_Zugliste!A:A, IN_Zugliste!M:M, "")</f>
        <v>06:49:22</v>
      </c>
    </row>
    <row r="412" spans="1:17" ht="15" customHeight="1" x14ac:dyDescent="0.2">
      <c r="A412" s="63" t="s">
        <v>686</v>
      </c>
      <c r="B412" s="63" t="s">
        <v>566</v>
      </c>
      <c r="C412" s="63" t="s">
        <v>579</v>
      </c>
      <c r="D412" s="63" t="s">
        <v>1097</v>
      </c>
      <c r="E412" s="63" t="s">
        <v>688</v>
      </c>
      <c r="F412" s="63" t="s">
        <v>1983</v>
      </c>
      <c r="G412" s="63" t="s">
        <v>1984</v>
      </c>
      <c r="H412" s="63" t="s">
        <v>691</v>
      </c>
      <c r="I412" s="63" t="s">
        <v>1984</v>
      </c>
      <c r="J412" s="63" t="s">
        <v>1985</v>
      </c>
      <c r="K412" s="55">
        <f t="shared" ca="1" si="6"/>
        <v>0</v>
      </c>
      <c r="L412" s="56" t="str">
        <f ca="1">IF(K412&gt;0,"Composition "&amp;SUM(K$4:K412),"")</f>
        <v/>
      </c>
      <c r="M412" s="55" cm="1">
        <f t="array" aca="1" ref="M412" ca="1">IF(K412=1,_xlfn.XLOOKUP(B412,OFFSET(IN_Zugliste!$A$4,0,0,IN_Zugliste!$A$2,1),OFFSET(IN_Zugliste!$K$4,0,0,IN_Zugliste!$A$2,1),0),0)+_xlfn.XLOOKUP(C412,OFFSET(IN_Zugliste!$A$4,0,0,IN_Zugliste!$A$2,1),OFFSET(IN_Zugliste!$K$4,0,0,IN_Zugliste!$A$2,1),0)</f>
        <v>98831</v>
      </c>
      <c r="N412" s="55" t="str" cm="1">
        <f t="array" aca="1" ref="N412" ca="1">IF(K412=1,_xlfn.XLOOKUP(B412,OFFSET(IN_Zugliste!$A$4,0,0,IN_Zugliste!$A$2,1),OFFSET(IN_Zugliste!$D$4,0,0,IN_Zugliste!$A$2,1),""),"")</f>
        <v/>
      </c>
      <c r="O412" s="55" t="str" cm="1">
        <f t="array" aca="1" ref="O412" ca="1">IF(L412&lt;&gt;"",L412,_xlfn.XLOOKUP(B412,OFFSET($C$4,0,0,$A$2,1),OFFSET($O$4,0,0,$A$2,1)))</f>
        <v>Composition 105</v>
      </c>
      <c r="P412" s="55" cm="1">
        <f t="array" aca="1" ref="P412" ca="1">MATCH(J412, _xlfn._xlws.FILTER($J$4:$J$430,$O$4:$O$430=O412), 0)+1</f>
        <v>3</v>
      </c>
      <c r="Q412" s="63" t="str">
        <f>_xlfn.XLOOKUP(B412, IN_Zugliste!A:A, IN_Zugliste!M:M, "")</f>
        <v>10:10:15</v>
      </c>
    </row>
    <row r="413" spans="1:17" ht="15" customHeight="1" x14ac:dyDescent="0.2">
      <c r="A413" s="63" t="s">
        <v>686</v>
      </c>
      <c r="B413" s="63" t="s">
        <v>579</v>
      </c>
      <c r="C413" s="63" t="s">
        <v>591</v>
      </c>
      <c r="D413" s="63" t="s">
        <v>990</v>
      </c>
      <c r="E413" s="63" t="s">
        <v>688</v>
      </c>
      <c r="F413" s="63" t="s">
        <v>1986</v>
      </c>
      <c r="G413" s="63" t="s">
        <v>1987</v>
      </c>
      <c r="H413" s="63" t="s">
        <v>691</v>
      </c>
      <c r="I413" s="63" t="s">
        <v>1987</v>
      </c>
      <c r="J413" s="63" t="s">
        <v>1988</v>
      </c>
      <c r="K413" s="55">
        <f t="shared" ca="1" si="6"/>
        <v>0</v>
      </c>
      <c r="L413" s="56" t="str">
        <f ca="1">IF(K413&gt;0,"Composition "&amp;SUM(K$4:K413),"")</f>
        <v/>
      </c>
      <c r="M413" s="55" cm="1">
        <f t="array" aca="1" ref="M413" ca="1">IF(K413=1,_xlfn.XLOOKUP(B413,OFFSET(IN_Zugliste!$A$4,0,0,IN_Zugliste!$A$2,1),OFFSET(IN_Zugliste!$K$4,0,0,IN_Zugliste!$A$2,1),0),0)+_xlfn.XLOOKUP(C413,OFFSET(IN_Zugliste!$A$4,0,0,IN_Zugliste!$A$2,1),OFFSET(IN_Zugliste!$K$4,0,0,IN_Zugliste!$A$2,1),0)</f>
        <v>224120</v>
      </c>
      <c r="N413" s="55" t="str" cm="1">
        <f t="array" aca="1" ref="N413" ca="1">IF(K413=1,_xlfn.XLOOKUP(B413,OFFSET(IN_Zugliste!$A$4,0,0,IN_Zugliste!$A$2,1),OFFSET(IN_Zugliste!$D$4,0,0,IN_Zugliste!$A$2,1),""),"")</f>
        <v/>
      </c>
      <c r="O413" s="55" t="str" cm="1">
        <f t="array" aca="1" ref="O413" ca="1">IF(L413&lt;&gt;"",L413,_xlfn.XLOOKUP(B413,OFFSET($C$4,0,0,$A$2,1),OFFSET($O$4,0,0,$A$2,1)))</f>
        <v>Composition 105</v>
      </c>
      <c r="P413" s="55" cm="1">
        <f t="array" aca="1" ref="P413" ca="1">MATCH(J413, _xlfn._xlws.FILTER($J$4:$J$430,$O$4:$O$430=O413), 0)+1</f>
        <v>4</v>
      </c>
      <c r="Q413" s="63" t="str">
        <f>_xlfn.XLOOKUP(B413, IN_Zugliste!A:A, IN_Zugliste!M:M, "")</f>
        <v>11:50:55</v>
      </c>
    </row>
    <row r="414" spans="1:17" ht="15" customHeight="1" x14ac:dyDescent="0.2">
      <c r="A414" s="63" t="s">
        <v>686</v>
      </c>
      <c r="B414" s="63" t="s">
        <v>214</v>
      </c>
      <c r="C414" s="63" t="s">
        <v>206</v>
      </c>
      <c r="D414" s="63" t="s">
        <v>990</v>
      </c>
      <c r="E414" s="63" t="s">
        <v>688</v>
      </c>
      <c r="F414" s="63" t="s">
        <v>1952</v>
      </c>
      <c r="G414" s="63" t="s">
        <v>1989</v>
      </c>
      <c r="H414" s="63" t="s">
        <v>691</v>
      </c>
      <c r="I414" s="63" t="s">
        <v>1989</v>
      </c>
      <c r="J414" s="63" t="s">
        <v>1990</v>
      </c>
      <c r="K414" s="55">
        <f t="shared" ca="1" si="6"/>
        <v>1</v>
      </c>
      <c r="L414" s="56" t="str">
        <f ca="1">IF(K414&gt;0,"Composition "&amp;SUM(K$4:K414),"")</f>
        <v>Composition 106</v>
      </c>
      <c r="M414" s="55" cm="1">
        <f t="array" aca="1" ref="M414" ca="1">IF(K414=1,_xlfn.XLOOKUP(B414,OFFSET(IN_Zugliste!$A$4,0,0,IN_Zugliste!$A$2,1),OFFSET(IN_Zugliste!$K$4,0,0,IN_Zugliste!$A$2,1),0),0)+_xlfn.XLOOKUP(C414,OFFSET(IN_Zugliste!$A$4,0,0,IN_Zugliste!$A$2,1),OFFSET(IN_Zugliste!$K$4,0,0,IN_Zugliste!$A$2,1),0)</f>
        <v>314467</v>
      </c>
      <c r="N414" s="55" t="str" cm="1">
        <f t="array" aca="1" ref="N414" ca="1">IF(K414=1,_xlfn.XLOOKUP(B414,OFFSET(IN_Zugliste!$A$4,0,0,IN_Zugliste!$A$2,1),OFFSET(IN_Zugliste!$D$4,0,0,IN_Zugliste!$A$2,1),""),"")</f>
        <v>462-1.0</v>
      </c>
      <c r="O414" s="55" t="str" cm="1">
        <f t="array" aca="1" ref="O414" ca="1">IF(L414&lt;&gt;"",L414,_xlfn.XLOOKUP(B414,OFFSET($C$4,0,0,$A$2,1),OFFSET($O$4,0,0,$A$2,1)))</f>
        <v>Composition 106</v>
      </c>
      <c r="P414" s="55" cm="1">
        <f t="array" aca="1" ref="P414" ca="1">MATCH(J414, _xlfn._xlws.FILTER($J$4:$J$430,$O$4:$O$430=O414), 0)+1</f>
        <v>2</v>
      </c>
      <c r="Q414" s="63" t="str">
        <f>_xlfn.XLOOKUP(B414, IN_Zugliste!A:A, IN_Zugliste!M:M, "")</f>
        <v>07:22:50</v>
      </c>
    </row>
    <row r="415" spans="1:17" ht="15" customHeight="1" x14ac:dyDescent="0.2">
      <c r="A415" s="63" t="s">
        <v>686</v>
      </c>
      <c r="B415" s="63" t="s">
        <v>206</v>
      </c>
      <c r="C415" s="63" t="s">
        <v>197</v>
      </c>
      <c r="D415" s="63" t="s">
        <v>811</v>
      </c>
      <c r="E415" s="63" t="s">
        <v>688</v>
      </c>
      <c r="F415" s="63" t="s">
        <v>1991</v>
      </c>
      <c r="G415" s="63" t="s">
        <v>1992</v>
      </c>
      <c r="H415" s="63" t="s">
        <v>691</v>
      </c>
      <c r="I415" s="63" t="s">
        <v>1992</v>
      </c>
      <c r="J415" s="63" t="s">
        <v>1993</v>
      </c>
      <c r="K415" s="55">
        <f t="shared" ca="1" si="6"/>
        <v>0</v>
      </c>
      <c r="L415" s="56" t="str">
        <f ca="1">IF(K415&gt;0,"Composition "&amp;SUM(K$4:K415),"")</f>
        <v/>
      </c>
      <c r="M415" s="55" cm="1">
        <f t="array" aca="1" ref="M415" ca="1">IF(K415=1,_xlfn.XLOOKUP(B415,OFFSET(IN_Zugliste!$A$4,0,0,IN_Zugliste!$A$2,1),OFFSET(IN_Zugliste!$K$4,0,0,IN_Zugliste!$A$2,1),0),0)+_xlfn.XLOOKUP(C415,OFFSET(IN_Zugliste!$A$4,0,0,IN_Zugliste!$A$2,1),OFFSET(IN_Zugliste!$K$4,0,0,IN_Zugliste!$A$2,1),0)</f>
        <v>157858</v>
      </c>
      <c r="N415" s="55" t="str" cm="1">
        <f t="array" aca="1" ref="N415" ca="1">IF(K415=1,_xlfn.XLOOKUP(B415,OFFSET(IN_Zugliste!$A$4,0,0,IN_Zugliste!$A$2,1),OFFSET(IN_Zugliste!$D$4,0,0,IN_Zugliste!$A$2,1),""),"")</f>
        <v/>
      </c>
      <c r="O415" s="55" t="str" cm="1">
        <f t="array" aca="1" ref="O415" ca="1">IF(L415&lt;&gt;"",L415,_xlfn.XLOOKUP(B415,OFFSET($C$4,0,0,$A$2,1),OFFSET($O$4,0,0,$A$2,1)))</f>
        <v>Composition 106</v>
      </c>
      <c r="P415" s="55" cm="1">
        <f t="array" aca="1" ref="P415" ca="1">MATCH(J415, _xlfn._xlws.FILTER($J$4:$J$430,$O$4:$O$430=O415), 0)+1</f>
        <v>3</v>
      </c>
      <c r="Q415" s="63" t="str">
        <f>_xlfn.XLOOKUP(B415, IN_Zugliste!A:A, IN_Zugliste!M:M, "")</f>
        <v>10:11:52</v>
      </c>
    </row>
    <row r="416" spans="1:17" ht="15" customHeight="1" x14ac:dyDescent="0.2">
      <c r="A416" s="63" t="s">
        <v>686</v>
      </c>
      <c r="B416" s="63" t="s">
        <v>236</v>
      </c>
      <c r="C416" s="63" t="s">
        <v>228</v>
      </c>
      <c r="D416" s="63" t="s">
        <v>811</v>
      </c>
      <c r="E416" s="63" t="s">
        <v>688</v>
      </c>
      <c r="F416" s="63" t="s">
        <v>1994</v>
      </c>
      <c r="G416" s="63" t="s">
        <v>1995</v>
      </c>
      <c r="H416" s="63" t="s">
        <v>691</v>
      </c>
      <c r="I416" s="63" t="s">
        <v>1995</v>
      </c>
      <c r="J416" s="63" t="s">
        <v>1996</v>
      </c>
      <c r="K416" s="55">
        <f t="shared" ca="1" si="6"/>
        <v>1</v>
      </c>
      <c r="L416" s="56" t="str">
        <f ca="1">IF(K416&gt;0,"Composition "&amp;SUM(K$4:K416),"")</f>
        <v>Composition 107</v>
      </c>
      <c r="M416" s="55" cm="1">
        <f t="array" aca="1" ref="M416" ca="1">IF(K416=1,_xlfn.XLOOKUP(B416,OFFSET(IN_Zugliste!$A$4,0,0,IN_Zugliste!$A$2,1),OFFSET(IN_Zugliste!$K$4,0,0,IN_Zugliste!$A$2,1),0),0)+_xlfn.XLOOKUP(C416,OFFSET(IN_Zugliste!$A$4,0,0,IN_Zugliste!$A$2,1),OFFSET(IN_Zugliste!$K$4,0,0,IN_Zugliste!$A$2,1),0)</f>
        <v>319483</v>
      </c>
      <c r="N416" s="55" t="str" cm="1">
        <f t="array" aca="1" ref="N416" ca="1">IF(K416=1,_xlfn.XLOOKUP(B416,OFFSET(IN_Zugliste!$A$4,0,0,IN_Zugliste!$A$2,1),OFFSET(IN_Zugliste!$D$4,0,0,IN_Zugliste!$A$2,1),""),"")</f>
        <v>462-1.0</v>
      </c>
      <c r="O416" s="55" t="str" cm="1">
        <f t="array" aca="1" ref="O416" ca="1">IF(L416&lt;&gt;"",L416,_xlfn.XLOOKUP(B416,OFFSET($C$4,0,0,$A$2,1),OFFSET($O$4,0,0,$A$2,1)))</f>
        <v>Composition 107</v>
      </c>
      <c r="P416" s="55" cm="1">
        <f t="array" aca="1" ref="P416" ca="1">MATCH(J416, _xlfn._xlws.FILTER($J$4:$J$430,$O$4:$O$430=O416), 0)+1</f>
        <v>2</v>
      </c>
      <c r="Q416" s="63" t="str">
        <f>_xlfn.XLOOKUP(B416, IN_Zugliste!A:A, IN_Zugliste!M:M, "")</f>
        <v>07:23:38</v>
      </c>
    </row>
    <row r="417" spans="1:17" ht="15" customHeight="1" x14ac:dyDescent="0.2">
      <c r="A417" s="63" t="s">
        <v>686</v>
      </c>
      <c r="B417" s="63" t="s">
        <v>228</v>
      </c>
      <c r="C417" s="63" t="s">
        <v>175</v>
      </c>
      <c r="D417" s="63" t="s">
        <v>1068</v>
      </c>
      <c r="E417" s="63" t="s">
        <v>688</v>
      </c>
      <c r="F417" s="63" t="s">
        <v>1997</v>
      </c>
      <c r="G417" s="63" t="s">
        <v>1998</v>
      </c>
      <c r="H417" s="63" t="s">
        <v>817</v>
      </c>
      <c r="I417" s="63" t="s">
        <v>1998</v>
      </c>
      <c r="J417" s="63" t="s">
        <v>1999</v>
      </c>
      <c r="K417" s="55">
        <f t="shared" ca="1" si="6"/>
        <v>0</v>
      </c>
      <c r="L417" s="56" t="str">
        <f ca="1">IF(K417&gt;0,"Composition "&amp;SUM(K$4:K417),"")</f>
        <v/>
      </c>
      <c r="M417" s="55" cm="1">
        <f t="array" aca="1" ref="M417" ca="1">IF(K417=1,_xlfn.XLOOKUP(B417,OFFSET(IN_Zugliste!$A$4,0,0,IN_Zugliste!$A$2,1),OFFSET(IN_Zugliste!$K$4,0,0,IN_Zugliste!$A$2,1),0),0)+_xlfn.XLOOKUP(C417,OFFSET(IN_Zugliste!$A$4,0,0,IN_Zugliste!$A$2,1),OFFSET(IN_Zugliste!$K$4,0,0,IN_Zugliste!$A$2,1),0)</f>
        <v>159764</v>
      </c>
      <c r="N417" s="55" t="str" cm="1">
        <f t="array" aca="1" ref="N417" ca="1">IF(K417=1,_xlfn.XLOOKUP(B417,OFFSET(IN_Zugliste!$A$4,0,0,IN_Zugliste!$A$2,1),OFFSET(IN_Zugliste!$D$4,0,0,IN_Zugliste!$A$2,1),""),"")</f>
        <v/>
      </c>
      <c r="O417" s="55" t="str" cm="1">
        <f t="array" aca="1" ref="O417" ca="1">IF(L417&lt;&gt;"",L417,_xlfn.XLOOKUP(B417,OFFSET($C$4,0,0,$A$2,1),OFFSET($O$4,0,0,$A$2,1)))</f>
        <v>Composition 107</v>
      </c>
      <c r="P417" s="55" cm="1">
        <f t="array" aca="1" ref="P417" ca="1">MATCH(J417, _xlfn._xlws.FILTER($J$4:$J$430,$O$4:$O$430=O417), 0)+1</f>
        <v>3</v>
      </c>
      <c r="Q417" s="63" t="str">
        <f>_xlfn.XLOOKUP(B417, IN_Zugliste!A:A, IN_Zugliste!M:M, "")</f>
        <v>10:12:58</v>
      </c>
    </row>
    <row r="418" spans="1:17" ht="15" customHeight="1" x14ac:dyDescent="0.2">
      <c r="A418" s="63" t="s">
        <v>686</v>
      </c>
      <c r="B418" s="63" t="s">
        <v>460</v>
      </c>
      <c r="C418" s="63" t="s">
        <v>452</v>
      </c>
      <c r="D418" s="63" t="s">
        <v>1517</v>
      </c>
      <c r="E418" s="63" t="s">
        <v>688</v>
      </c>
      <c r="F418" s="63" t="s">
        <v>2000</v>
      </c>
      <c r="G418" s="63" t="s">
        <v>2001</v>
      </c>
      <c r="H418" s="63" t="s">
        <v>691</v>
      </c>
      <c r="I418" s="63" t="s">
        <v>2001</v>
      </c>
      <c r="J418" s="63" t="s">
        <v>2002</v>
      </c>
      <c r="K418" s="55">
        <f t="shared" ca="1" si="6"/>
        <v>1</v>
      </c>
      <c r="L418" s="56" t="str">
        <f ca="1">IF(K418&gt;0,"Composition "&amp;SUM(K$4:K418),"")</f>
        <v>Composition 108</v>
      </c>
      <c r="M418" s="55" cm="1">
        <f t="array" aca="1" ref="M418" ca="1">IF(K418=1,_xlfn.XLOOKUP(B418,OFFSET(IN_Zugliste!$A$4,0,0,IN_Zugliste!$A$2,1),OFFSET(IN_Zugliste!$K$4,0,0,IN_Zugliste!$A$2,1),0),0)+_xlfn.XLOOKUP(C418,OFFSET(IN_Zugliste!$A$4,0,0,IN_Zugliste!$A$2,1),OFFSET(IN_Zugliste!$K$4,0,0,IN_Zugliste!$A$2,1),0)</f>
        <v>482580</v>
      </c>
      <c r="N418" s="55" t="str" cm="1">
        <f t="array" aca="1" ref="N418" ca="1">IF(K418=1,_xlfn.XLOOKUP(B418,OFFSET(IN_Zugliste!$A$4,0,0,IN_Zugliste!$A$2,1),OFFSET(IN_Zugliste!$D$4,0,0,IN_Zugliste!$A$2,1),""),"")</f>
        <v>462-1.0</v>
      </c>
      <c r="O418" s="55" t="str" cm="1">
        <f t="array" aca="1" ref="O418" ca="1">IF(L418&lt;&gt;"",L418,_xlfn.XLOOKUP(B418,OFFSET($C$4,0,0,$A$2,1),OFFSET($O$4,0,0,$A$2,1)))</f>
        <v>Composition 108</v>
      </c>
      <c r="P418" s="55" cm="1">
        <f t="array" aca="1" ref="P418" ca="1">MATCH(J418, _xlfn._xlws.FILTER($J$4:$J$430,$O$4:$O$430=O418), 0)+1</f>
        <v>2</v>
      </c>
      <c r="Q418" s="63" t="str">
        <f>_xlfn.XLOOKUP(B418, IN_Zugliste!A:A, IN_Zugliste!M:M, "")</f>
        <v>06:54:09</v>
      </c>
    </row>
    <row r="419" spans="1:17" ht="15" customHeight="1" x14ac:dyDescent="0.2">
      <c r="A419" s="63" t="s">
        <v>686</v>
      </c>
      <c r="B419" s="63" t="s">
        <v>452</v>
      </c>
      <c r="C419" s="63" t="s">
        <v>414</v>
      </c>
      <c r="D419" s="63" t="s">
        <v>1068</v>
      </c>
      <c r="E419" s="63" t="s">
        <v>688</v>
      </c>
      <c r="F419" s="63" t="s">
        <v>1759</v>
      </c>
      <c r="G419" s="63" t="s">
        <v>2003</v>
      </c>
      <c r="H419" s="63" t="s">
        <v>691</v>
      </c>
      <c r="I419" s="63" t="s">
        <v>2003</v>
      </c>
      <c r="J419" s="63" t="s">
        <v>2004</v>
      </c>
      <c r="K419" s="55">
        <f t="shared" ca="1" si="6"/>
        <v>0</v>
      </c>
      <c r="L419" s="56" t="str">
        <f ca="1">IF(K419&gt;0,"Composition "&amp;SUM(K$4:K419),"")</f>
        <v/>
      </c>
      <c r="M419" s="55" cm="1">
        <f t="array" aca="1" ref="M419" ca="1">IF(K419=1,_xlfn.XLOOKUP(B419,OFFSET(IN_Zugliste!$A$4,0,0,IN_Zugliste!$A$2,1),OFFSET(IN_Zugliste!$K$4,0,0,IN_Zugliste!$A$2,1),0),0)+_xlfn.XLOOKUP(C419,OFFSET(IN_Zugliste!$A$4,0,0,IN_Zugliste!$A$2,1),OFFSET(IN_Zugliste!$K$4,0,0,IN_Zugliste!$A$2,1),0)</f>
        <v>238472</v>
      </c>
      <c r="N419" s="55" t="str" cm="1">
        <f t="array" aca="1" ref="N419" ca="1">IF(K419=1,_xlfn.XLOOKUP(B419,OFFSET(IN_Zugliste!$A$4,0,0,IN_Zugliste!$A$2,1),OFFSET(IN_Zugliste!$D$4,0,0,IN_Zugliste!$A$2,1),""),"")</f>
        <v/>
      </c>
      <c r="O419" s="55" t="str" cm="1">
        <f t="array" aca="1" ref="O419" ca="1">IF(L419&lt;&gt;"",L419,_xlfn.XLOOKUP(B419,OFFSET($C$4,0,0,$A$2,1),OFFSET($O$4,0,0,$A$2,1)))</f>
        <v>Composition 108</v>
      </c>
      <c r="P419" s="55" cm="1">
        <f t="array" aca="1" ref="P419" ca="1">MATCH(J419, _xlfn._xlws.FILTER($J$4:$J$430,$O$4:$O$430=O419), 0)+1</f>
        <v>3</v>
      </c>
      <c r="Q419" s="63" t="str">
        <f>_xlfn.XLOOKUP(B419, IN_Zugliste!A:A, IN_Zugliste!M:M, "")</f>
        <v>10:19:36</v>
      </c>
    </row>
    <row r="420" spans="1:17" ht="15" customHeight="1" x14ac:dyDescent="0.2">
      <c r="A420" s="63" t="s">
        <v>686</v>
      </c>
      <c r="B420" s="63" t="s">
        <v>181</v>
      </c>
      <c r="C420" s="63" t="s">
        <v>217</v>
      </c>
      <c r="D420" s="63" t="s">
        <v>811</v>
      </c>
      <c r="E420" s="63" t="s">
        <v>688</v>
      </c>
      <c r="F420" s="63" t="s">
        <v>2005</v>
      </c>
      <c r="G420" s="63" t="s">
        <v>2006</v>
      </c>
      <c r="H420" s="63" t="s">
        <v>691</v>
      </c>
      <c r="I420" s="63" t="s">
        <v>2006</v>
      </c>
      <c r="J420" s="63" t="s">
        <v>2007</v>
      </c>
      <c r="K420" s="55">
        <f t="shared" ca="1" si="6"/>
        <v>1</v>
      </c>
      <c r="L420" s="56" t="str">
        <f ca="1">IF(K420&gt;0,"Composition "&amp;SUM(K$4:K420),"")</f>
        <v>Composition 109</v>
      </c>
      <c r="M420" s="55" cm="1">
        <f t="array" aca="1" ref="M420" ca="1">IF(K420=1,_xlfn.XLOOKUP(B420,OFFSET(IN_Zugliste!$A$4,0,0,IN_Zugliste!$A$2,1),OFFSET(IN_Zugliste!$K$4,0,0,IN_Zugliste!$A$2,1),0),0)+_xlfn.XLOOKUP(C420,OFFSET(IN_Zugliste!$A$4,0,0,IN_Zugliste!$A$2,1),OFFSET(IN_Zugliste!$K$4,0,0,IN_Zugliste!$A$2,1),0)</f>
        <v>314467</v>
      </c>
      <c r="N420" s="55" t="str" cm="1">
        <f t="array" aca="1" ref="N420" ca="1">IF(K420=1,_xlfn.XLOOKUP(B420,OFFSET(IN_Zugliste!$A$4,0,0,IN_Zugliste!$A$2,1),OFFSET(IN_Zugliste!$D$4,0,0,IN_Zugliste!$A$2,1),""),"")</f>
        <v>462-1.0</v>
      </c>
      <c r="O420" s="55" t="str" cm="1">
        <f t="array" aca="1" ref="O420" ca="1">IF(L420&lt;&gt;"",L420,_xlfn.XLOOKUP(B420,OFFSET($C$4,0,0,$A$2,1),OFFSET($O$4,0,0,$A$2,1)))</f>
        <v>Composition 109</v>
      </c>
      <c r="P420" s="55" cm="1">
        <f t="array" aca="1" ref="P420" ca="1">MATCH(J420, _xlfn._xlws.FILTER($J$4:$J$430,$O$4:$O$430=O420), 0)+1</f>
        <v>2</v>
      </c>
      <c r="Q420" s="63" t="str">
        <f>_xlfn.XLOOKUP(B420, IN_Zugliste!A:A, IN_Zugliste!M:M, "")</f>
        <v>07:40:57</v>
      </c>
    </row>
    <row r="421" spans="1:17" ht="15" customHeight="1" x14ac:dyDescent="0.2">
      <c r="A421" s="63" t="s">
        <v>686</v>
      </c>
      <c r="B421" s="63" t="s">
        <v>217</v>
      </c>
      <c r="C421" s="63" t="s">
        <v>209</v>
      </c>
      <c r="D421" s="63" t="s">
        <v>990</v>
      </c>
      <c r="E421" s="63" t="s">
        <v>688</v>
      </c>
      <c r="F421" s="63" t="s">
        <v>1978</v>
      </c>
      <c r="G421" s="63" t="s">
        <v>2008</v>
      </c>
      <c r="H421" s="63" t="s">
        <v>691</v>
      </c>
      <c r="I421" s="63" t="s">
        <v>2008</v>
      </c>
      <c r="J421" s="63" t="s">
        <v>2009</v>
      </c>
      <c r="K421" s="55">
        <f t="shared" ca="1" si="6"/>
        <v>0</v>
      </c>
      <c r="L421" s="56" t="str">
        <f ca="1">IF(K421&gt;0,"Composition "&amp;SUM(K$4:K421),"")</f>
        <v/>
      </c>
      <c r="M421" s="55" cm="1">
        <f t="array" aca="1" ref="M421" ca="1">IF(K421=1,_xlfn.XLOOKUP(B421,OFFSET(IN_Zugliste!$A$4,0,0,IN_Zugliste!$A$2,1),OFFSET(IN_Zugliste!$K$4,0,0,IN_Zugliste!$A$2,1),0),0)+_xlfn.XLOOKUP(C421,OFFSET(IN_Zugliste!$A$4,0,0,IN_Zugliste!$A$2,1),OFFSET(IN_Zugliste!$K$4,0,0,IN_Zugliste!$A$2,1),0)</f>
        <v>156609</v>
      </c>
      <c r="N421" s="55" t="str" cm="1">
        <f t="array" aca="1" ref="N421" ca="1">IF(K421=1,_xlfn.XLOOKUP(B421,OFFSET(IN_Zugliste!$A$4,0,0,IN_Zugliste!$A$2,1),OFFSET(IN_Zugliste!$D$4,0,0,IN_Zugliste!$A$2,1),""),"")</f>
        <v/>
      </c>
      <c r="O421" s="55" t="str" cm="1">
        <f t="array" aca="1" ref="O421" ca="1">IF(L421&lt;&gt;"",L421,_xlfn.XLOOKUP(B421,OFFSET($C$4,0,0,$A$2,1),OFFSET($O$4,0,0,$A$2,1)))</f>
        <v>Composition 109</v>
      </c>
      <c r="P421" s="55" cm="1">
        <f t="array" aca="1" ref="P421" ca="1">MATCH(J421, _xlfn._xlws.FILTER($J$4:$J$430,$O$4:$O$430=O421), 0)+1</f>
        <v>3</v>
      </c>
      <c r="Q421" s="63" t="str">
        <f>_xlfn.XLOOKUP(B421, IN_Zugliste!A:A, IN_Zugliste!M:M, "")</f>
        <v>10:22:50</v>
      </c>
    </row>
    <row r="422" spans="1:17" ht="15" customHeight="1" x14ac:dyDescent="0.2">
      <c r="A422" s="63" t="s">
        <v>686</v>
      </c>
      <c r="B422" s="63" t="s">
        <v>159</v>
      </c>
      <c r="C422" s="63" t="s">
        <v>239</v>
      </c>
      <c r="D422" s="63" t="s">
        <v>1068</v>
      </c>
      <c r="E422" s="63" t="s">
        <v>688</v>
      </c>
      <c r="F422" s="63" t="s">
        <v>2010</v>
      </c>
      <c r="G422" s="63" t="s">
        <v>2011</v>
      </c>
      <c r="H422" s="63" t="s">
        <v>817</v>
      </c>
      <c r="I422" s="63" t="s">
        <v>2011</v>
      </c>
      <c r="J422" s="63" t="s">
        <v>770</v>
      </c>
      <c r="K422" s="55">
        <f t="shared" ca="1" si="6"/>
        <v>1</v>
      </c>
      <c r="L422" s="56" t="str">
        <f ca="1">IF(K422&gt;0,"Composition "&amp;SUM(K$4:K422),"")</f>
        <v>Composition 110</v>
      </c>
      <c r="M422" s="55" cm="1">
        <f t="array" aca="1" ref="M422" ca="1">IF(K422=1,_xlfn.XLOOKUP(B422,OFFSET(IN_Zugliste!$A$4,0,0,IN_Zugliste!$A$2,1),OFFSET(IN_Zugliste!$K$4,0,0,IN_Zugliste!$A$2,1),0),0)+_xlfn.XLOOKUP(C422,OFFSET(IN_Zugliste!$A$4,0,0,IN_Zugliste!$A$2,1),OFFSET(IN_Zugliste!$K$4,0,0,IN_Zugliste!$A$2,1),0)</f>
        <v>319483</v>
      </c>
      <c r="N422" s="55" t="str" cm="1">
        <f t="array" aca="1" ref="N422" ca="1">IF(K422=1,_xlfn.XLOOKUP(B422,OFFSET(IN_Zugliste!$A$4,0,0,IN_Zugliste!$A$2,1),OFFSET(IN_Zugliste!$D$4,0,0,IN_Zugliste!$A$2,1),""),"")</f>
        <v>462-1.0</v>
      </c>
      <c r="O422" s="55" t="str" cm="1">
        <f t="array" aca="1" ref="O422" ca="1">IF(L422&lt;&gt;"",L422,_xlfn.XLOOKUP(B422,OFFSET($C$4,0,0,$A$2,1),OFFSET($O$4,0,0,$A$2,1)))</f>
        <v>Composition 110</v>
      </c>
      <c r="P422" s="55" cm="1">
        <f t="array" aca="1" ref="P422" ca="1">MATCH(J422, _xlfn._xlws.FILTER($J$4:$J$430,$O$4:$O$430=O422), 0)+1</f>
        <v>2</v>
      </c>
      <c r="Q422" s="63" t="str">
        <f>_xlfn.XLOOKUP(B422, IN_Zugliste!A:A, IN_Zugliste!M:M, "")</f>
        <v>07:42:31</v>
      </c>
    </row>
    <row r="423" spans="1:17" ht="15" customHeight="1" x14ac:dyDescent="0.2">
      <c r="A423" s="63" t="s">
        <v>686</v>
      </c>
      <c r="B423" s="63" t="s">
        <v>239</v>
      </c>
      <c r="C423" s="63" t="s">
        <v>231</v>
      </c>
      <c r="D423" s="63" t="s">
        <v>811</v>
      </c>
      <c r="E423" s="63" t="s">
        <v>688</v>
      </c>
      <c r="F423" s="63" t="s">
        <v>2012</v>
      </c>
      <c r="G423" s="63" t="s">
        <v>2013</v>
      </c>
      <c r="H423" s="63" t="s">
        <v>691</v>
      </c>
      <c r="I423" s="63" t="s">
        <v>2013</v>
      </c>
      <c r="J423" s="63" t="s">
        <v>2014</v>
      </c>
      <c r="K423" s="55">
        <f t="shared" ca="1" si="6"/>
        <v>0</v>
      </c>
      <c r="L423" s="56" t="str">
        <f ca="1">IF(K423&gt;0,"Composition "&amp;SUM(K$4:K423),"")</f>
        <v/>
      </c>
      <c r="M423" s="55" cm="1">
        <f t="array" aca="1" ref="M423" ca="1">IF(K423=1,_xlfn.XLOOKUP(B423,OFFSET(IN_Zugliste!$A$4,0,0,IN_Zugliste!$A$2,1),OFFSET(IN_Zugliste!$K$4,0,0,IN_Zugliste!$A$2,1),0),0)+_xlfn.XLOOKUP(C423,OFFSET(IN_Zugliste!$A$4,0,0,IN_Zugliste!$A$2,1),OFFSET(IN_Zugliste!$K$4,0,0,IN_Zugliste!$A$2,1),0)</f>
        <v>159719</v>
      </c>
      <c r="N423" s="55" t="str" cm="1">
        <f t="array" aca="1" ref="N423" ca="1">IF(K423=1,_xlfn.XLOOKUP(B423,OFFSET(IN_Zugliste!$A$4,0,0,IN_Zugliste!$A$2,1),OFFSET(IN_Zugliste!$D$4,0,0,IN_Zugliste!$A$2,1),""),"")</f>
        <v/>
      </c>
      <c r="O423" s="55" t="str" cm="1">
        <f t="array" aca="1" ref="O423" ca="1">IF(L423&lt;&gt;"",L423,_xlfn.XLOOKUP(B423,OFFSET($C$4,0,0,$A$2,1),OFFSET($O$4,0,0,$A$2,1)))</f>
        <v>Composition 110</v>
      </c>
      <c r="P423" s="55" cm="1">
        <f t="array" aca="1" ref="P423" ca="1">MATCH(J423, _xlfn._xlws.FILTER($J$4:$J$430,$O$4:$O$430=O423), 0)+1</f>
        <v>3</v>
      </c>
      <c r="Q423" s="63" t="str">
        <f>_xlfn.XLOOKUP(B423, IN_Zugliste!A:A, IN_Zugliste!M:M, "")</f>
        <v>10:23:38</v>
      </c>
    </row>
    <row r="424" spans="1:17" ht="15" customHeight="1" x14ac:dyDescent="0.2">
      <c r="A424" s="63" t="s">
        <v>686</v>
      </c>
      <c r="B424" s="63" t="s">
        <v>449</v>
      </c>
      <c r="C424" s="63" t="s">
        <v>420</v>
      </c>
      <c r="D424" s="63" t="s">
        <v>1068</v>
      </c>
      <c r="E424" s="63" t="s">
        <v>688</v>
      </c>
      <c r="F424" s="63" t="s">
        <v>1557</v>
      </c>
      <c r="G424" s="63" t="s">
        <v>2015</v>
      </c>
      <c r="H424" s="63" t="s">
        <v>691</v>
      </c>
      <c r="I424" s="63" t="s">
        <v>2015</v>
      </c>
      <c r="J424" s="63" t="s">
        <v>2016</v>
      </c>
      <c r="K424" s="55">
        <f t="shared" ca="1" si="6"/>
        <v>1</v>
      </c>
      <c r="L424" s="56" t="str">
        <f ca="1">IF(K424&gt;0,"Composition "&amp;SUM(K$4:K424),"")</f>
        <v>Composition 111</v>
      </c>
      <c r="M424" s="55" cm="1">
        <f t="array" aca="1" ref="M424" ca="1">IF(K424=1,_xlfn.XLOOKUP(B424,OFFSET(IN_Zugliste!$A$4,0,0,IN_Zugliste!$A$2,1),OFFSET(IN_Zugliste!$K$4,0,0,IN_Zugliste!$A$2,1),0),0)+_xlfn.XLOOKUP(C424,OFFSET(IN_Zugliste!$A$4,0,0,IN_Zugliste!$A$2,1),OFFSET(IN_Zugliste!$K$4,0,0,IN_Zugliste!$A$2,1),0)</f>
        <v>479717</v>
      </c>
      <c r="N424" s="55" t="str" cm="1">
        <f t="array" aca="1" ref="N424" ca="1">IF(K424=1,_xlfn.XLOOKUP(B424,OFFSET(IN_Zugliste!$A$4,0,0,IN_Zugliste!$A$2,1),OFFSET(IN_Zugliste!$D$4,0,0,IN_Zugliste!$A$2,1),""),"")</f>
        <v>462-1.0</v>
      </c>
      <c r="O424" s="55" t="str" cm="1">
        <f t="array" aca="1" ref="O424" ca="1">IF(L424&lt;&gt;"",L424,_xlfn.XLOOKUP(B424,OFFSET($C$4,0,0,$A$2,1),OFFSET($O$4,0,0,$A$2,1)))</f>
        <v>Composition 111</v>
      </c>
      <c r="P424" s="55" cm="1">
        <f t="array" aca="1" ref="P424" ca="1">MATCH(J424, _xlfn._xlws.FILTER($J$4:$J$430,$O$4:$O$430=O424), 0)+1</f>
        <v>2</v>
      </c>
      <c r="Q424" s="63" t="str">
        <f>_xlfn.XLOOKUP(B424, IN_Zugliste!A:A, IN_Zugliste!M:M, "")</f>
        <v>07:19:36</v>
      </c>
    </row>
    <row r="425" spans="1:17" ht="15" customHeight="1" x14ac:dyDescent="0.2">
      <c r="A425" s="63" t="s">
        <v>686</v>
      </c>
      <c r="B425" s="63" t="s">
        <v>420</v>
      </c>
      <c r="C425" s="63" t="s">
        <v>403</v>
      </c>
      <c r="D425" s="63" t="s">
        <v>1517</v>
      </c>
      <c r="E425" s="63" t="s">
        <v>688</v>
      </c>
      <c r="F425" s="63" t="s">
        <v>2017</v>
      </c>
      <c r="G425" s="63" t="s">
        <v>2018</v>
      </c>
      <c r="H425" s="63" t="s">
        <v>691</v>
      </c>
      <c r="I425" s="63" t="s">
        <v>2018</v>
      </c>
      <c r="J425" s="63" t="s">
        <v>2019</v>
      </c>
      <c r="K425" s="55">
        <f t="shared" ca="1" si="6"/>
        <v>0</v>
      </c>
      <c r="L425" s="56" t="str">
        <f ca="1">IF(K425&gt;0,"Composition "&amp;SUM(K$4:K425),"")</f>
        <v/>
      </c>
      <c r="M425" s="55" cm="1">
        <f t="array" aca="1" ref="M425" ca="1">IF(K425=1,_xlfn.XLOOKUP(B425,OFFSET(IN_Zugliste!$A$4,0,0,IN_Zugliste!$A$2,1),OFFSET(IN_Zugliste!$K$4,0,0,IN_Zugliste!$A$2,1),0),0)+_xlfn.XLOOKUP(C425,OFFSET(IN_Zugliste!$A$4,0,0,IN_Zugliste!$A$2,1),OFFSET(IN_Zugliste!$K$4,0,0,IN_Zugliste!$A$2,1),0)</f>
        <v>238382</v>
      </c>
      <c r="N425" s="55" t="str" cm="1">
        <f t="array" aca="1" ref="N425" ca="1">IF(K425=1,_xlfn.XLOOKUP(B425,OFFSET(IN_Zugliste!$A$4,0,0,IN_Zugliste!$A$2,1),OFFSET(IN_Zugliste!$D$4,0,0,IN_Zugliste!$A$2,1),""),"")</f>
        <v/>
      </c>
      <c r="O425" s="55" t="str" cm="1">
        <f t="array" aca="1" ref="O425" ca="1">IF(L425&lt;&gt;"",L425,_xlfn.XLOOKUP(B425,OFFSET($C$4,0,0,$A$2,1),OFFSET($O$4,0,0,$A$2,1)))</f>
        <v>Composition 111</v>
      </c>
      <c r="P425" s="55" cm="1">
        <f t="array" aca="1" ref="P425" ca="1">MATCH(J425, _xlfn._xlws.FILTER($J$4:$J$430,$O$4:$O$430=O425), 0)+1</f>
        <v>3</v>
      </c>
      <c r="Q425" s="63" t="str">
        <f>_xlfn.XLOOKUP(B425, IN_Zugliste!A:A, IN_Zugliste!M:M, "")</f>
        <v>10:47:07</v>
      </c>
    </row>
    <row r="426" spans="1:17" ht="15" customHeight="1" x14ac:dyDescent="0.2">
      <c r="A426" s="63" t="s">
        <v>686</v>
      </c>
      <c r="B426" s="63" t="s">
        <v>417</v>
      </c>
      <c r="C426" s="63" t="s">
        <v>409</v>
      </c>
      <c r="D426" s="63" t="s">
        <v>1517</v>
      </c>
      <c r="E426" s="63" t="s">
        <v>688</v>
      </c>
      <c r="F426" s="63" t="s">
        <v>2020</v>
      </c>
      <c r="G426" s="63" t="s">
        <v>1167</v>
      </c>
      <c r="H426" s="63" t="s">
        <v>691</v>
      </c>
      <c r="I426" s="63" t="s">
        <v>1167</v>
      </c>
      <c r="J426" s="63" t="s">
        <v>2021</v>
      </c>
      <c r="K426" s="55">
        <f t="shared" ca="1" si="6"/>
        <v>1</v>
      </c>
      <c r="L426" s="56" t="str">
        <f ca="1">IF(K426&gt;0,"Composition "&amp;SUM(K$4:K426),"")</f>
        <v>Composition 112</v>
      </c>
      <c r="M426" s="55" cm="1">
        <f t="array" aca="1" ref="M426" ca="1">IF(K426=1,_xlfn.XLOOKUP(B426,OFFSET(IN_Zugliste!$A$4,0,0,IN_Zugliste!$A$2,1),OFFSET(IN_Zugliste!$K$4,0,0,IN_Zugliste!$A$2,1),0),0)+_xlfn.XLOOKUP(C426,OFFSET(IN_Zugliste!$A$4,0,0,IN_Zugliste!$A$2,1),OFFSET(IN_Zugliste!$K$4,0,0,IN_Zugliste!$A$2,1),0)</f>
        <v>476854</v>
      </c>
      <c r="N426" s="55" t="str" cm="1">
        <f t="array" aca="1" ref="N426" ca="1">IF(K426=1,_xlfn.XLOOKUP(B426,OFFSET(IN_Zugliste!$A$4,0,0,IN_Zugliste!$A$2,1),OFFSET(IN_Zugliste!$D$4,0,0,IN_Zugliste!$A$2,1),""),"")</f>
        <v>462-1.0</v>
      </c>
      <c r="O426" s="55" t="str" cm="1">
        <f t="array" aca="1" ref="O426" ca="1">IF(L426&lt;&gt;"",L426,_xlfn.XLOOKUP(B426,OFFSET($C$4,0,0,$A$2,1),OFFSET($O$4,0,0,$A$2,1)))</f>
        <v>Composition 112</v>
      </c>
      <c r="P426" s="55" cm="1">
        <f t="array" aca="1" ref="P426" ca="1">MATCH(J426, _xlfn._xlws.FILTER($J$4:$J$430,$O$4:$O$430=O426), 0)+1</f>
        <v>2</v>
      </c>
      <c r="Q426" s="63" t="str">
        <f>_xlfn.XLOOKUP(B426, IN_Zugliste!A:A, IN_Zugliste!M:M, "")</f>
        <v>07:47:07</v>
      </c>
    </row>
    <row r="427" spans="1:17" ht="15" customHeight="1" x14ac:dyDescent="0.2">
      <c r="A427" s="63" t="s">
        <v>686</v>
      </c>
      <c r="B427" s="63" t="s">
        <v>409</v>
      </c>
      <c r="C427" s="63" t="s">
        <v>458</v>
      </c>
      <c r="D427" s="63" t="s">
        <v>1068</v>
      </c>
      <c r="E427" s="63" t="s">
        <v>688</v>
      </c>
      <c r="F427" s="63" t="s">
        <v>2022</v>
      </c>
      <c r="G427" s="63" t="s">
        <v>2023</v>
      </c>
      <c r="H427" s="63" t="s">
        <v>691</v>
      </c>
      <c r="I427" s="63" t="s">
        <v>2023</v>
      </c>
      <c r="J427" s="63" t="s">
        <v>2024</v>
      </c>
      <c r="K427" s="55">
        <f t="shared" ca="1" si="6"/>
        <v>0</v>
      </c>
      <c r="L427" s="56" t="str">
        <f ca="1">IF(K427&gt;0,"Composition "&amp;SUM(K$4:K427),"")</f>
        <v/>
      </c>
      <c r="M427" s="55" cm="1">
        <f t="array" aca="1" ref="M427" ca="1">IF(K427=1,_xlfn.XLOOKUP(B427,OFFSET(IN_Zugliste!$A$4,0,0,IN_Zugliste!$A$2,1),OFFSET(IN_Zugliste!$K$4,0,0,IN_Zugliste!$A$2,1),0),0)+_xlfn.XLOOKUP(C427,OFFSET(IN_Zugliste!$A$4,0,0,IN_Zugliste!$A$2,1),OFFSET(IN_Zugliste!$K$4,0,0,IN_Zugliste!$A$2,1),0)</f>
        <v>241335</v>
      </c>
      <c r="N427" s="55" t="str" cm="1">
        <f t="array" aca="1" ref="N427" ca="1">IF(K427=1,_xlfn.XLOOKUP(B427,OFFSET(IN_Zugliste!$A$4,0,0,IN_Zugliste!$A$2,1),OFFSET(IN_Zugliste!$D$4,0,0,IN_Zugliste!$A$2,1),""),"")</f>
        <v/>
      </c>
      <c r="O427" s="55" t="str" cm="1">
        <f t="array" aca="1" ref="O427" ca="1">IF(L427&lt;&gt;"",L427,_xlfn.XLOOKUP(B427,OFFSET($C$4,0,0,$A$2,1),OFFSET($O$4,0,0,$A$2,1)))</f>
        <v>Composition 112</v>
      </c>
      <c r="P427" s="55" cm="1">
        <f t="array" aca="1" ref="P427" ca="1">MATCH(J427, _xlfn._xlws.FILTER($J$4:$J$430,$O$4:$O$430=O427), 0)+1</f>
        <v>3</v>
      </c>
      <c r="Q427" s="63" t="str">
        <f>_xlfn.XLOOKUP(B427, IN_Zugliste!A:A, IN_Zugliste!M:M, "")</f>
        <v>10:49:42</v>
      </c>
    </row>
    <row r="428" spans="1:17" ht="15" customHeight="1" x14ac:dyDescent="0.2">
      <c r="A428" s="63" t="s">
        <v>686</v>
      </c>
      <c r="B428" s="63" t="s">
        <v>597</v>
      </c>
      <c r="C428" s="63" t="s">
        <v>567</v>
      </c>
      <c r="D428" s="63" t="s">
        <v>990</v>
      </c>
      <c r="E428" s="63" t="s">
        <v>688</v>
      </c>
      <c r="F428" s="63" t="s">
        <v>2025</v>
      </c>
      <c r="G428" s="63" t="s">
        <v>2026</v>
      </c>
      <c r="H428" s="63" t="s">
        <v>691</v>
      </c>
      <c r="I428" s="63" t="s">
        <v>2027</v>
      </c>
      <c r="J428" s="63" t="s">
        <v>2028</v>
      </c>
      <c r="K428" s="55">
        <f t="shared" ca="1" si="6"/>
        <v>1</v>
      </c>
      <c r="L428" s="56" t="str">
        <f ca="1">IF(K428&gt;0,"Composition "&amp;SUM(K$4:K428),"")</f>
        <v>Composition 113</v>
      </c>
      <c r="M428" s="55" cm="1">
        <f t="array" aca="1" ref="M428" ca="1">IF(K428=1,_xlfn.XLOOKUP(B428,OFFSET(IN_Zugliste!$A$4,0,0,IN_Zugliste!$A$2,1),OFFSET(IN_Zugliste!$K$4,0,0,IN_Zugliste!$A$2,1),0),0)+_xlfn.XLOOKUP(C428,OFFSET(IN_Zugliste!$A$4,0,0,IN_Zugliste!$A$2,1),OFFSET(IN_Zugliste!$K$4,0,0,IN_Zugliste!$A$2,1),0)</f>
        <v>322962</v>
      </c>
      <c r="N428" s="55" t="str" cm="1">
        <f t="array" aca="1" ref="N428" ca="1">IF(K428=1,_xlfn.XLOOKUP(B428,OFFSET(IN_Zugliste!$A$4,0,0,IN_Zugliste!$A$2,1),OFFSET(IN_Zugliste!$D$4,0,0,IN_Zugliste!$A$2,1),""),"")</f>
        <v>146-3.2</v>
      </c>
      <c r="O428" s="55" t="str" cm="1">
        <f t="array" aca="1" ref="O428" ca="1">IF(L428&lt;&gt;"",L428,_xlfn.XLOOKUP(B428,OFFSET($C$4,0,0,$A$2,1),OFFSET($O$4,0,0,$A$2,1)))</f>
        <v>Composition 113</v>
      </c>
      <c r="P428" s="55" cm="1">
        <f t="array" aca="1" ref="P428" ca="1">MATCH(J428, _xlfn._xlws.FILTER($J$4:$J$430,$O$4:$O$430=O428), 0)+1</f>
        <v>2</v>
      </c>
      <c r="Q428" s="63" t="str">
        <f>_xlfn.XLOOKUP(B428, IN_Zugliste!A:A, IN_Zugliste!M:M, "")</f>
        <v>07:49:22</v>
      </c>
    </row>
    <row r="429" spans="1:17" ht="15" customHeight="1" x14ac:dyDescent="0.2">
      <c r="A429" s="63" t="s">
        <v>686</v>
      </c>
      <c r="B429" s="63" t="s">
        <v>567</v>
      </c>
      <c r="C429" s="63" t="s">
        <v>580</v>
      </c>
      <c r="D429" s="63" t="s">
        <v>1097</v>
      </c>
      <c r="E429" s="63" t="s">
        <v>688</v>
      </c>
      <c r="F429" s="63" t="s">
        <v>2029</v>
      </c>
      <c r="G429" s="63" t="s">
        <v>2030</v>
      </c>
      <c r="H429" s="63" t="s">
        <v>691</v>
      </c>
      <c r="I429" s="63" t="s">
        <v>2030</v>
      </c>
      <c r="J429" s="63" t="s">
        <v>2031</v>
      </c>
      <c r="K429" s="55">
        <f t="shared" ca="1" si="6"/>
        <v>0</v>
      </c>
      <c r="L429" s="56" t="str">
        <f ca="1">IF(K429&gt;0,"Composition "&amp;SUM(K$4:K429),"")</f>
        <v/>
      </c>
      <c r="M429" s="55" cm="1">
        <f t="array" aca="1" ref="M429" ca="1">IF(K429=1,_xlfn.XLOOKUP(B429,OFFSET(IN_Zugliste!$A$4,0,0,IN_Zugliste!$A$2,1),OFFSET(IN_Zugliste!$K$4,0,0,IN_Zugliste!$A$2,1),0),0)+_xlfn.XLOOKUP(C429,OFFSET(IN_Zugliste!$A$4,0,0,IN_Zugliste!$A$2,1),OFFSET(IN_Zugliste!$K$4,0,0,IN_Zugliste!$A$2,1),0)</f>
        <v>98831</v>
      </c>
      <c r="N429" s="55" t="str" cm="1">
        <f t="array" aca="1" ref="N429" ca="1">IF(K429=1,_xlfn.XLOOKUP(B429,OFFSET(IN_Zugliste!$A$4,0,0,IN_Zugliste!$A$2,1),OFFSET(IN_Zugliste!$D$4,0,0,IN_Zugliste!$A$2,1),""),"")</f>
        <v/>
      </c>
      <c r="O429" s="55" t="str" cm="1">
        <f t="array" aca="1" ref="O429" ca="1">IF(L429&lt;&gt;"",L429,_xlfn.XLOOKUP(B429,OFFSET($C$4,0,0,$A$2,1),OFFSET($O$4,0,0,$A$2,1)))</f>
        <v>Composition 113</v>
      </c>
      <c r="P429" s="55" cm="1">
        <f t="array" aca="1" ref="P429" ca="1">MATCH(J429, _xlfn._xlws.FILTER($J$4:$J$430,$O$4:$O$430=O429), 0)+1</f>
        <v>3</v>
      </c>
      <c r="Q429" s="63" t="str">
        <f>_xlfn.XLOOKUP(B429, IN_Zugliste!A:A, IN_Zugliste!M:M, "")</f>
        <v>11:10:15</v>
      </c>
    </row>
    <row r="430" spans="1:17" ht="15" customHeight="1" x14ac:dyDescent="0.2">
      <c r="A430" s="63" t="s">
        <v>686</v>
      </c>
      <c r="B430" s="63" t="s">
        <v>580</v>
      </c>
      <c r="C430" s="63" t="s">
        <v>583</v>
      </c>
      <c r="D430" s="63" t="s">
        <v>990</v>
      </c>
      <c r="E430" s="63" t="s">
        <v>688</v>
      </c>
      <c r="F430" s="63" t="s">
        <v>2032</v>
      </c>
      <c r="G430" s="63" t="s">
        <v>2033</v>
      </c>
      <c r="H430" s="63" t="s">
        <v>691</v>
      </c>
      <c r="I430" s="63" t="s">
        <v>2033</v>
      </c>
      <c r="J430" s="63" t="s">
        <v>2034</v>
      </c>
      <c r="K430" s="55">
        <f t="shared" ca="1" si="6"/>
        <v>0</v>
      </c>
      <c r="L430" s="56" t="str">
        <f ca="1">IF(K430&gt;0,"Composition "&amp;SUM(K$4:K430),"")</f>
        <v/>
      </c>
      <c r="M430" s="55" cm="1">
        <f t="array" aca="1" ref="M430" ca="1">IF(K430=1,_xlfn.XLOOKUP(B430,OFFSET(IN_Zugliste!$A$4,0,0,IN_Zugliste!$A$2,1),OFFSET(IN_Zugliste!$K$4,0,0,IN_Zugliste!$A$2,1),0),0)+_xlfn.XLOOKUP(C430,OFFSET(IN_Zugliste!$A$4,0,0,IN_Zugliste!$A$2,1),OFFSET(IN_Zugliste!$K$4,0,0,IN_Zugliste!$A$2,1),0)</f>
        <v>224120</v>
      </c>
      <c r="N430" s="55" t="str" cm="1">
        <f t="array" aca="1" ref="N430" ca="1">IF(K430=1,_xlfn.XLOOKUP(B430,OFFSET(IN_Zugliste!$A$4,0,0,IN_Zugliste!$A$2,1),OFFSET(IN_Zugliste!$D$4,0,0,IN_Zugliste!$A$2,1),""),"")</f>
        <v/>
      </c>
      <c r="O430" s="55" t="str" cm="1">
        <f t="array" aca="1" ref="O430" ca="1">IF(L430&lt;&gt;"",L430,_xlfn.XLOOKUP(B430,OFFSET($C$4,0,0,$A$2,1),OFFSET($O$4,0,0,$A$2,1)))</f>
        <v>Composition 113</v>
      </c>
      <c r="P430" s="55" cm="1">
        <f t="array" aca="1" ref="P430" ca="1">MATCH(J430, _xlfn._xlws.FILTER($J$4:$J$430,$O$4:$O$430=O430), 0)+1</f>
        <v>4</v>
      </c>
      <c r="Q430" s="63" t="str">
        <f>_xlfn.XLOOKUP(B430, IN_Zugliste!A:A, IN_Zugliste!M:M, "")</f>
        <v>12:50:55</v>
      </c>
    </row>
  </sheetData>
  <autoFilter ref="A3:O394" xr:uid="{00000000-0001-0000-0000-000000000000}">
    <sortState xmlns:xlrd2="http://schemas.microsoft.com/office/spreadsheetml/2017/richdata2" ref="A4:O430">
      <sortCondition ref="O3:O394"/>
    </sortState>
  </autoFilter>
  <printOptions horizontalCentered="1"/>
  <pageMargins left="0.7" right="0.7" top="0.78740157499999996" bottom="0.78740157499999996" header="0.3" footer="0.3"/>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B6FD6-8C04-4DF1-820F-4F15162B39C1}">
  <sheetPr codeName="Tabelle10"/>
  <dimension ref="A3:AB117"/>
  <sheetViews>
    <sheetView zoomScale="95" zoomScaleNormal="95" workbookViewId="0">
      <selection activeCell="C4" sqref="C4"/>
    </sheetView>
  </sheetViews>
  <sheetFormatPr baseColWidth="10" defaultColWidth="11.42578125" defaultRowHeight="12.75" x14ac:dyDescent="0.2"/>
  <cols>
    <col min="1" max="1" width="13.7109375" style="56" bestFit="1" customWidth="1"/>
    <col min="2" max="2" width="11.42578125" style="55"/>
    <col min="3" max="3" width="12.28515625" style="55" customWidth="1"/>
    <col min="4" max="4" width="11.42578125" style="55"/>
    <col min="5" max="5" width="16.5703125" style="55" customWidth="1"/>
    <col min="6" max="6" width="21.85546875" style="68" customWidth="1"/>
    <col min="7" max="28" width="11.42578125" style="68"/>
    <col min="29" max="16384" width="11.42578125" style="55"/>
  </cols>
  <sheetData>
    <row r="3" spans="1:28" x14ac:dyDescent="0.2">
      <c r="A3" s="65" t="s">
        <v>684</v>
      </c>
      <c r="B3" s="62" t="s">
        <v>2035</v>
      </c>
      <c r="C3" s="62" t="s">
        <v>682</v>
      </c>
      <c r="D3" s="58" t="s">
        <v>27</v>
      </c>
      <c r="E3" s="58" t="s">
        <v>2036</v>
      </c>
      <c r="F3" s="67"/>
      <c r="G3" s="68" t="s">
        <v>2037</v>
      </c>
      <c r="H3" s="68">
        <v>1</v>
      </c>
      <c r="I3" s="68" t="s">
        <v>2037</v>
      </c>
      <c r="J3" s="68">
        <v>2</v>
      </c>
      <c r="K3" s="68" t="s">
        <v>2037</v>
      </c>
      <c r="L3" s="68">
        <v>3</v>
      </c>
      <c r="M3" s="68" t="s">
        <v>2037</v>
      </c>
      <c r="N3" s="68">
        <v>4</v>
      </c>
      <c r="O3" s="68" t="s">
        <v>2037</v>
      </c>
      <c r="P3" s="68">
        <v>5</v>
      </c>
      <c r="Q3" s="68" t="s">
        <v>2037</v>
      </c>
      <c r="R3" s="68">
        <v>6</v>
      </c>
      <c r="S3" s="68" t="s">
        <v>2037</v>
      </c>
      <c r="T3" s="68">
        <v>7</v>
      </c>
      <c r="U3" s="68" t="s">
        <v>2037</v>
      </c>
      <c r="V3" s="68">
        <v>8</v>
      </c>
      <c r="W3" s="68" t="s">
        <v>2037</v>
      </c>
      <c r="X3" s="68">
        <v>9</v>
      </c>
      <c r="Y3" s="68" t="s">
        <v>2037</v>
      </c>
      <c r="Z3" s="68">
        <v>10</v>
      </c>
      <c r="AA3" s="68" t="s">
        <v>2037</v>
      </c>
      <c r="AB3" s="68">
        <v>11</v>
      </c>
    </row>
    <row r="4" spans="1:28" x14ac:dyDescent="0.2">
      <c r="A4" s="56" t="str" cm="1">
        <f t="array" aca="1" ref="A4:A116" ca="1">_xlfn.UNIQUE(_xlfn._xlws.FILTER(OFFSET(IN_Verknüpfungen!$L$4,0,0,IN_Verknüpfungen!$A$2,1),OFFSET(IN_Verknüpfungen!$L$4,0,0,IN_Verknüpfungen!$A$2,1)&lt;&gt;""))</f>
        <v>Composition 1</v>
      </c>
      <c r="B4" s="55" t="str" cm="1">
        <f t="array" aca="1" ref="B4" ca="1">IF(A4&lt;&gt;"",_xlfn.XLOOKUP(Laufwege!A4,OFFSET(IN_Verknüpfungen!L$4,0,0,IN_Verknüpfungen!A$2,1),OFFSET(IN_Verknüpfungen!N$4,0,0,IN_Verknüpfungen!A$2,1),""),"")</f>
        <v>101-3.0</v>
      </c>
      <c r="C4" s="55">
        <f ca="1">IF(A4&lt;&gt;"",SUMIFS(OFFSET(IN_Verknüpfungen!M$4,0,0,IN_Verknüpfungen!A$2,1),OFFSET(IN_Verknüpfungen!O$4,0,0,IN_Verknüpfungen!A$2,1),Laufwege!A4),0)</f>
        <v>381435</v>
      </c>
      <c r="D4" s="55" cm="1">
        <f t="array" aca="1" ref="D4" ca="1">IF(B4&lt;&gt;"",_xlfn.XLOOKUP(B4,OFFSET(IN_Stammdaten!$A$4,0,0,IN_Stammdaten!$A$2,1),OFFSET(IN_Stammdaten!$C$4,0,0,IN_Stammdaten!$A$2,1),""),"")</f>
        <v>1010000</v>
      </c>
      <c r="E4" s="55" t="str">
        <f ca="1">IF(A4&lt;&gt;"",IF(AND(D4&gt;0,C4&gt;D4),"ja","nein"),"")</f>
        <v>nein</v>
      </c>
      <c r="F4" s="69" t="str">
        <f ca="1">A4&amp;" ("&amp;B4&amp;")"</f>
        <v>Composition 1 (101-3.0)</v>
      </c>
      <c r="G4" s="70" cm="1">
        <f t="array" aca="1" ref="G4" ca="1">_xlfn.NUMBERVALUE(_xlfn.XLOOKUP(A4,OFFSET(IN_Verknüpfungen!$L$4,0,0,IN_Verknüpfungen!$A$2,1),OFFSET(IN_Verknüpfungen!$Q$4,0,0,IN_Verknüpfungen!$A$2,1)))</f>
        <v>0.19848379629629628</v>
      </c>
      <c r="H4" s="70" cm="1">
        <f t="array" aca="1" ref="H4" ca="1">_xlfn.NUMBERVALUE(_xlfn.XLOOKUP(A4,OFFSET(IN_Verknüpfungen!$L$4,0,0,IN_Verknüpfungen!$A$2,1),OFFSET(IN_Verknüpfungen!$F$4,0,0,IN_Verknüpfungen!$A$2,1)))-G4</f>
        <v>2.9756944444444461E-2</v>
      </c>
      <c r="I4" s="70" cm="1">
        <f t="array" aca="1" ref="I4" ca="1">_xlfn.NUMBERVALUE(_xlfn.XLOOKUP(1,(OFFSET(IN_Verknüpfungen!$O$4,0,0,IN_Verknüpfungen!$A$2,1)=$A4)*(OFFSET(IN_Verknüpfungen!$P$4,0,0,IN_Verknüpfungen!$A$2,1)=J$3),OFFSET(IN_Verknüpfungen!$J$4,0,0,IN_Verknüpfungen!$A$2,1)))-SUM($G4:H4)</f>
        <v>2.364583333333331E-2</v>
      </c>
      <c r="J4" s="70" cm="1">
        <f t="array" aca="1" ref="J4" ca="1">_xlfn.NUMBERVALUE(_xlfn.XLOOKUP(1,(OFFSET(IN_Verknüpfungen!$O$4,0,0,IN_Verknüpfungen!$A$2,1)=$A4)*(OFFSET(IN_Verknüpfungen!$P$4,0,0,IN_Verknüpfungen!$A$2,1)=J$3+1),OFFSET(IN_Verknüpfungen!$F$4,0,0,IN_Verknüpfungen!$A$2,1)))-SUM($G4:I4)</f>
        <v>1.9849537037037068E-2</v>
      </c>
      <c r="K4" s="70" cm="1">
        <f t="array" aca="1" ref="K4" ca="1">_xlfn.NUMBERVALUE(_xlfn.XLOOKUP(1,(OFFSET(IN_Verknüpfungen!$O$4,0,0,IN_Verknüpfungen!$A$2,1)=$A4)*(OFFSET(IN_Verknüpfungen!$P$4,0,0,IN_Verknüpfungen!$A$2,1)=L$3),OFFSET(IN_Verknüpfungen!$J$4,0,0,IN_Verknüpfungen!$A$2,1)))-SUM($G4:J4)</f>
        <v>2.0162037037037006E-2</v>
      </c>
      <c r="L4" s="70" cm="1">
        <f t="array" aca="1" ref="L4" ca="1">_xlfn.NUMBERVALUE(_xlfn.XLOOKUP(1,(OFFSET(IN_Verknüpfungen!$O$4,0,0,IN_Verknüpfungen!$A$2,1)=$A4)*(OFFSET(IN_Verknüpfungen!$P$4,0,0,IN_Verknüpfungen!$A$2,1)=L$3+1),OFFSET(IN_Verknüpfungen!$F$4,0,0,IN_Verknüpfungen!$A$2,1)))-SUM($G4:K4)</f>
        <v>1.967592592592593E-2</v>
      </c>
      <c r="M4" s="70" cm="1">
        <f t="array" aca="1" ref="M4" ca="1">_xlfn.NUMBERVALUE(_xlfn.XLOOKUP(1,(OFFSET(IN_Verknüpfungen!$O$4,0,0,IN_Verknüpfungen!$A$2,1)=$A4)*(OFFSET(IN_Verknüpfungen!$P$4,0,0,IN_Verknüpfungen!$A$2,1)=N$3),OFFSET(IN_Verknüpfungen!$J$4,0,0,IN_Verknüpfungen!$A$2,1)))-SUM($G4:L4)</f>
        <v>2.3645833333333366E-2</v>
      </c>
      <c r="N4" s="70" cm="1">
        <f t="array" aca="1" ref="N4" ca="1">_xlfn.NUMBERVALUE(_xlfn.XLOOKUP(1,(OFFSET(IN_Verknüpfungen!$O$4,0,0,IN_Verknüpfungen!$A$2,1)=$A4)*(OFFSET(IN_Verknüpfungen!$P$4,0,0,IN_Verknüpfungen!$A$2,1)=N$3+1),OFFSET(IN_Verknüpfungen!$F$4,0,0,IN_Verknüpfungen!$A$2,1)))-SUM($G4:M4)</f>
        <v>1.9849537037037013E-2</v>
      </c>
      <c r="O4" s="70" cm="1">
        <f t="array" aca="1" ref="O4" ca="1">_xlfn.NUMBERVALUE(_xlfn.XLOOKUP(1,(OFFSET(IN_Verknüpfungen!$O$4,0,0,IN_Verknüpfungen!$A$2,1)=$A4)*(OFFSET(IN_Verknüpfungen!$P$4,0,0,IN_Verknüpfungen!$A$2,1)=P$3),OFFSET(IN_Verknüpfungen!$J$4,0,0,IN_Verknüpfungen!$A$2,1)))-SUM($G4:N4)</f>
        <v>2.0162037037037062E-2</v>
      </c>
      <c r="P4" s="70" cm="1">
        <f t="array" aca="1" ref="P4" ca="1">_xlfn.NUMBERVALUE(_xlfn.XLOOKUP(1,(OFFSET(IN_Verknüpfungen!$O$4,0,0,IN_Verknüpfungen!$A$2,1)=$A4)*(OFFSET(IN_Verknüpfungen!$P$4,0,0,IN_Verknüpfungen!$A$2,1)=P$3+1),OFFSET(IN_Verknüpfungen!$F$4,0,0,IN_Verknüpfungen!$A$2,1)))-SUM($G4:O4)</f>
        <v>1.967592592592593E-2</v>
      </c>
      <c r="Q4" s="70" cm="1">
        <f t="array" aca="1" ref="Q4" ca="1">_xlfn.NUMBERVALUE(_xlfn.XLOOKUP(1,(OFFSET(IN_Verknüpfungen!$O$4,0,0,IN_Verknüpfungen!$A$2,1)=$A4)*(OFFSET(IN_Verknüpfungen!$P$4,0,0,IN_Verknüpfungen!$A$2,1)=R$3),OFFSET(IN_Verknüpfungen!$J$4,0,0,IN_Verknüpfungen!$A$2,1)))-SUM($G4:P4)</f>
        <v>2.364583333333331E-2</v>
      </c>
      <c r="R4" s="70" cm="1">
        <f t="array" aca="1" ref="R4" ca="1">_xlfn.NUMBERVALUE(_xlfn.XLOOKUP(1,(OFFSET(IN_Verknüpfungen!$O$4,0,0,IN_Verknüpfungen!$A$2,1)=$A4)*(OFFSET(IN_Verknüpfungen!$P$4,0,0,IN_Verknüpfungen!$A$2,1)=R$3+1),OFFSET(IN_Verknüpfungen!$F$4,0,0,IN_Verknüpfungen!$A$2,1)))-SUM($G4:Q4)</f>
        <v>1.9849537037037013E-2</v>
      </c>
      <c r="S4" s="70" cm="1">
        <f t="array" aca="1" ref="S4" ca="1">_xlfn.NUMBERVALUE(_xlfn.XLOOKUP(1,(OFFSET(IN_Verknüpfungen!$O$4,0,0,IN_Verknüpfungen!$A$2,1)=$A4)*(OFFSET(IN_Verknüpfungen!$P$4,0,0,IN_Verknüpfungen!$A$2,1)=T$3),OFFSET(IN_Verknüpfungen!$J$4,0,0,IN_Verknüpfungen!$A$2,1)))-SUM($G4:R4)</f>
        <v>2.0162037037037062E-2</v>
      </c>
      <c r="T4" s="70" cm="1">
        <f t="array" aca="1" ref="T4" ca="1">_xlfn.NUMBERVALUE(_xlfn.XLOOKUP(1,(OFFSET(IN_Verknüpfungen!$O$4,0,0,IN_Verknüpfungen!$A$2,1)=$A4)*(OFFSET(IN_Verknüpfungen!$P$4,0,0,IN_Verknüpfungen!$A$2,1)=T$3+1),OFFSET(IN_Verknüpfungen!$F$4,0,0,IN_Verknüpfungen!$A$2,1)))-SUM($G4:S4)</f>
        <v>1.967592592592593E-2</v>
      </c>
      <c r="U4" s="70" cm="1">
        <f t="array" aca="1" ref="U4" ca="1">_xlfn.NUMBERVALUE(_xlfn.XLOOKUP(1,(OFFSET(IN_Verknüpfungen!$O$4,0,0,IN_Verknüpfungen!$A$2,1)=$A4)*(OFFSET(IN_Verknüpfungen!$P$4,0,0,IN_Verknüpfungen!$A$2,1)=V$3),OFFSET(IN_Verknüpfungen!$J$4,0,0,IN_Verknüpfungen!$A$2,1)))-SUM($G4:T4)</f>
        <v>2.3645833333333366E-2</v>
      </c>
      <c r="V4" s="70" cm="1">
        <f t="array" aca="1" ref="V4" ca="1">_xlfn.NUMBERVALUE(_xlfn.XLOOKUP(1,(OFFSET(IN_Verknüpfungen!$O$4,0,0,IN_Verknüpfungen!$A$2,1)=$A4)*(OFFSET(IN_Verknüpfungen!$P$4,0,0,IN_Verknüpfungen!$A$2,1)=V$3+1),OFFSET(IN_Verknüpfungen!$F$4,0,0,IN_Verknüpfungen!$A$2,1)))-SUM($G4:U4)</f>
        <v>1.9849537037036957E-2</v>
      </c>
      <c r="W4" s="70" cm="1">
        <f t="array" aca="1" ref="W4" ca="1">_xlfn.NUMBERVALUE(_xlfn.XLOOKUP(1,(OFFSET(IN_Verknüpfungen!$O$4,0,0,IN_Verknüpfungen!$A$2,1)=$A4)*(OFFSET(IN_Verknüpfungen!$P$4,0,0,IN_Verknüpfungen!$A$2,1)=X$3),OFFSET(IN_Verknüpfungen!$J$4,0,0,IN_Verknüpfungen!$A$2,1)))-SUM($G4:V4)</f>
        <v>2.0162037037037117E-2</v>
      </c>
      <c r="X4" s="70" cm="1">
        <f t="array" aca="1" ref="X4" ca="1">_xlfn.NUMBERVALUE(_xlfn.XLOOKUP(1,(OFFSET(IN_Verknüpfungen!$O$4,0,0,IN_Verknüpfungen!$A$2,1)=$A4)*(OFFSET(IN_Verknüpfungen!$P$4,0,0,IN_Verknüpfungen!$A$2,1)=X$3+1),OFFSET(IN_Verknüpfungen!$F$4,0,0,IN_Verknüpfungen!$A$2,1)))-SUM($G4:W4)</f>
        <v>1.967592592592593E-2</v>
      </c>
      <c r="Y4" s="70" cm="1">
        <f t="array" aca="1" ref="Y4" ca="1">_xlfn.NUMBERVALUE(_xlfn.XLOOKUP(1,(OFFSET(IN_Verknüpfungen!$O$4,0,0,IN_Verknüpfungen!$A$2,1)=$A4)*(OFFSET(IN_Verknüpfungen!$P$4,0,0,IN_Verknüpfungen!$A$2,1)=Z$3),OFFSET(IN_Verknüpfungen!$J$4,0,0,IN_Verknüpfungen!$A$2,1)))-SUM($G4:X4)</f>
        <v>2.3645833333333255E-2</v>
      </c>
      <c r="Z4" s="70" t="e" cm="1">
        <f t="array" aca="1" ref="Z4" ca="1">_xlfn.NUMBERVALUE(_xlfn.XLOOKUP(1,(OFFSET(IN_Verknüpfungen!$O$4,0,0,IN_Verknüpfungen!$A$2,1)=$A4)*(OFFSET(IN_Verknüpfungen!$P$4,0,0,IN_Verknüpfungen!$A$2,1)=Z$3+1),OFFSET(IN_Verknüpfungen!$F$4,0,0,IN_Verknüpfungen!$A$2,1)))-SUM($G4:Y4)</f>
        <v>#N/A</v>
      </c>
      <c r="AA4" s="70" t="e" cm="1">
        <f t="array" aca="1" ref="AA4" ca="1">_xlfn.NUMBERVALUE(_xlfn.XLOOKUP(1,(OFFSET(IN_Verknüpfungen!$O$4,0,0,IN_Verknüpfungen!$A$2,1)=$A4)*(OFFSET(IN_Verknüpfungen!$P$4,0,0,IN_Verknüpfungen!$A$2,1)=AB$3),OFFSET(IN_Verknüpfungen!$J$4,0,0,IN_Verknüpfungen!$A$2,1)))-SUM($G4:Z4)</f>
        <v>#N/A</v>
      </c>
      <c r="AB4" s="70" t="e" cm="1">
        <f t="array" aca="1" ref="AB4" ca="1">_xlfn.NUMBERVALUE(_xlfn.XLOOKUP(1,(OFFSET(IN_Verknüpfungen!$O$4,0,0,IN_Verknüpfungen!$A$2,1)=$A4)*(OFFSET(IN_Verknüpfungen!$P$4,0,0,IN_Verknüpfungen!$A$2,1)=AB$3+1),OFFSET(IN_Verknüpfungen!$F$4,0,0,IN_Verknüpfungen!$A$2,1)))-SUM($G4:AA4)</f>
        <v>#N/A</v>
      </c>
    </row>
    <row r="5" spans="1:28" x14ac:dyDescent="0.2">
      <c r="A5" s="56" t="str">
        <f ca="1"/>
        <v>Composition 2</v>
      </c>
      <c r="B5" s="55" t="str" cm="1">
        <f t="array" aca="1" ref="B5" ca="1">IF(A5&lt;&gt;"",_xlfn.XLOOKUP(Laufwege!A5,OFFSET(IN_Verknüpfungen!L$4,0,0,IN_Verknüpfungen!A$2,1),OFFSET(IN_Verknüpfungen!N$4,0,0,IN_Verknüpfungen!A$2,1),""),"")</f>
        <v>462-1.0</v>
      </c>
      <c r="C5" s="55">
        <f ca="1">IF(A5&lt;&gt;"",SUMIFS(OFFSET(IN_Verknüpfungen!M$4,0,0,IN_Verknüpfungen!A$2,1),OFFSET(IN_Verknüpfungen!O$4,0,0,IN_Verknüpfungen!A$2,1),Laufwege!A5),0)</f>
        <v>350180</v>
      </c>
      <c r="D5" s="55" cm="1">
        <f t="array" aca="1" ref="D5" ca="1">IF(B5&lt;&gt;"",_xlfn.XLOOKUP(B5,OFFSET(IN_Stammdaten!$A$4,0,0,IN_Stammdaten!$A$2,1),OFFSET(IN_Stammdaten!$C$4,0,0,IN_Stammdaten!$A$2,1),""),"")</f>
        <v>0</v>
      </c>
      <c r="E5" s="55" t="str">
        <f t="shared" ref="E5:E68" ca="1" si="0">IF(A5&lt;&gt;"",IF(AND(D5&gt;0,C5&gt;D5),"ja","nein"),"")</f>
        <v>nein</v>
      </c>
      <c r="F5" s="69" t="str">
        <f t="shared" ref="F5:F68" ca="1" si="1">A5&amp;" ("&amp;B5&amp;")"</f>
        <v>Composition 2 (462-1.0)</v>
      </c>
      <c r="G5" s="70" cm="1">
        <f t="array" aca="1" ref="G5" ca="1">_xlfn.NUMBERVALUE(_xlfn.XLOOKUP(A5,OFFSET(IN_Verknüpfungen!$L$4,0,0,IN_Verknüpfungen!$A$2,1),OFFSET(IN_Verknüpfungen!$Q$4,0,0,IN_Verknüpfungen!$A$2,1)))</f>
        <v>0.20208333333333334</v>
      </c>
      <c r="H5" s="70" cm="1">
        <f t="array" aca="1" ref="H5" ca="1">_xlfn.NUMBERVALUE(_xlfn.XLOOKUP(A5,OFFSET(IN_Verknüpfungen!$L$4,0,0,IN_Verknüpfungen!$A$2,1),OFFSET(IN_Verknüpfungen!$F$4,0,0,IN_Verknüpfungen!$A$2,1)))-G5</f>
        <v>2.6643518518518511E-2</v>
      </c>
      <c r="I5" s="70" cm="1">
        <f t="array" aca="1" ref="I5" ca="1">_xlfn.NUMBERVALUE(_xlfn.XLOOKUP(1,(OFFSET(IN_Verknüpfungen!$O$4,0,0,IN_Verknüpfungen!$A$2,1)=$A5)*(OFFSET(IN_Verknüpfungen!$P$4,0,0,IN_Verknüpfungen!$A$2,1)=J$3),OFFSET(IN_Verknüpfungen!$J$4,0,0,IN_Verknüpfungen!$A$2,1)))-SUM($G5:H5)</f>
        <v>2.9837962962962955E-2</v>
      </c>
      <c r="J5" s="70" cm="1">
        <f t="array" aca="1" ref="J5" ca="1">_xlfn.NUMBERVALUE(_xlfn.XLOOKUP(1,(OFFSET(IN_Verknüpfungen!$O$4,0,0,IN_Verknüpfungen!$A$2,1)=$A5)*(OFFSET(IN_Verknüpfungen!$P$4,0,0,IN_Verknüpfungen!$A$2,1)=J$3+1),OFFSET(IN_Verknüpfungen!$F$4,0,0,IN_Verknüpfungen!$A$2,1)))-SUM($G5:I5)</f>
        <v>1.6458333333333353E-2</v>
      </c>
      <c r="K5" s="70" cm="1">
        <f t="array" aca="1" ref="K5" ca="1">_xlfn.NUMBERVALUE(_xlfn.XLOOKUP(1,(OFFSET(IN_Verknüpfungen!$O$4,0,0,IN_Verknüpfungen!$A$2,1)=$A5)*(OFFSET(IN_Verknüpfungen!$P$4,0,0,IN_Verknüpfungen!$A$2,1)=L$3),OFFSET(IN_Verknüpfungen!$J$4,0,0,IN_Verknüpfungen!$A$2,1)))-SUM($G5:J5)</f>
        <v>2.0787037037037048E-2</v>
      </c>
      <c r="L5" s="70" cm="1">
        <f t="array" aca="1" ref="L5" ca="1">_xlfn.NUMBERVALUE(_xlfn.XLOOKUP(1,(OFFSET(IN_Verknüpfungen!$O$4,0,0,IN_Verknüpfungen!$A$2,1)=$A5)*(OFFSET(IN_Verknüpfungen!$P$4,0,0,IN_Verknüpfungen!$A$2,1)=L$3+1),OFFSET(IN_Verknüpfungen!$F$4,0,0,IN_Verknüpfungen!$A$2,1)))-SUM($G5:K5)</f>
        <v>1.6249999999999987E-2</v>
      </c>
      <c r="M5" s="70" cm="1">
        <f t="array" aca="1" ref="M5" ca="1">_xlfn.NUMBERVALUE(_xlfn.XLOOKUP(1,(OFFSET(IN_Verknüpfungen!$O$4,0,0,IN_Verknüpfungen!$A$2,1)=$A5)*(OFFSET(IN_Verknüpfungen!$P$4,0,0,IN_Verknüpfungen!$A$2,1)=N$3),OFFSET(IN_Verknüpfungen!$J$4,0,0,IN_Verknüpfungen!$A$2,1)))-SUM($G5:L5)</f>
        <v>2.9837962962962983E-2</v>
      </c>
      <c r="N5" s="70" cm="1">
        <f t="array" aca="1" ref="N5" ca="1">_xlfn.NUMBERVALUE(_xlfn.XLOOKUP(1,(OFFSET(IN_Verknüpfungen!$O$4,0,0,IN_Verknüpfungen!$A$2,1)=$A5)*(OFFSET(IN_Verknüpfungen!$P$4,0,0,IN_Verknüpfungen!$A$2,1)=N$3+1),OFFSET(IN_Verknüpfungen!$F$4,0,0,IN_Verknüpfungen!$A$2,1)))-SUM($G5:M5)</f>
        <v>1.6458333333333297E-2</v>
      </c>
      <c r="O5" s="70" cm="1">
        <f t="array" aca="1" ref="O5" ca="1">_xlfn.NUMBERVALUE(_xlfn.XLOOKUP(1,(OFFSET(IN_Verknüpfungen!$O$4,0,0,IN_Verknüpfungen!$A$2,1)=$A5)*(OFFSET(IN_Verknüpfungen!$P$4,0,0,IN_Verknüpfungen!$A$2,1)=P$3),OFFSET(IN_Verknüpfungen!$J$4,0,0,IN_Verknüpfungen!$A$2,1)))-SUM($G5:N5)</f>
        <v>2.0787037037037048E-2</v>
      </c>
      <c r="P5" s="70" cm="1">
        <f t="array" aca="1" ref="P5" ca="1">_xlfn.NUMBERVALUE(_xlfn.XLOOKUP(1,(OFFSET(IN_Verknüpfungen!$O$4,0,0,IN_Verknüpfungen!$A$2,1)=$A5)*(OFFSET(IN_Verknüpfungen!$P$4,0,0,IN_Verknüpfungen!$A$2,1)=P$3+1),OFFSET(IN_Verknüpfungen!$F$4,0,0,IN_Verknüpfungen!$A$2,1)))-SUM($G5:O5)</f>
        <v>1.6249999999999987E-2</v>
      </c>
      <c r="Q5" s="70" cm="1">
        <f t="array" aca="1" ref="Q5" ca="1">_xlfn.NUMBERVALUE(_xlfn.XLOOKUP(1,(OFFSET(IN_Verknüpfungen!$O$4,0,0,IN_Verknüpfungen!$A$2,1)=$A5)*(OFFSET(IN_Verknüpfungen!$P$4,0,0,IN_Verknüpfungen!$A$2,1)=R$3),OFFSET(IN_Verknüpfungen!$J$4,0,0,IN_Verknüpfungen!$A$2,1)))-SUM($G5:P5)</f>
        <v>2.9837962962962983E-2</v>
      </c>
      <c r="R5" s="70" cm="1">
        <f t="array" aca="1" ref="R5" ca="1">_xlfn.NUMBERVALUE(_xlfn.XLOOKUP(1,(OFFSET(IN_Verknüpfungen!$O$4,0,0,IN_Verknüpfungen!$A$2,1)=$A5)*(OFFSET(IN_Verknüpfungen!$P$4,0,0,IN_Verknüpfungen!$A$2,1)=R$3+1),OFFSET(IN_Verknüpfungen!$F$4,0,0,IN_Verknüpfungen!$A$2,1)))-SUM($G5:Q5)</f>
        <v>1.6458333333333353E-2</v>
      </c>
      <c r="S5" s="70" cm="1">
        <f t="array" aca="1" ref="S5" ca="1">_xlfn.NUMBERVALUE(_xlfn.XLOOKUP(1,(OFFSET(IN_Verknüpfungen!$O$4,0,0,IN_Verknüpfungen!$A$2,1)=$A5)*(OFFSET(IN_Verknüpfungen!$P$4,0,0,IN_Verknüpfungen!$A$2,1)=T$3),OFFSET(IN_Verknüpfungen!$J$4,0,0,IN_Verknüpfungen!$A$2,1)))-SUM($G5:R5)</f>
        <v>2.0787037037036993E-2</v>
      </c>
      <c r="T5" s="70" cm="1">
        <f t="array" aca="1" ref="T5" ca="1">_xlfn.NUMBERVALUE(_xlfn.XLOOKUP(1,(OFFSET(IN_Verknüpfungen!$O$4,0,0,IN_Verknüpfungen!$A$2,1)=$A5)*(OFFSET(IN_Verknüpfungen!$P$4,0,0,IN_Verknüpfungen!$A$2,1)=T$3+1),OFFSET(IN_Verknüpfungen!$F$4,0,0,IN_Verknüpfungen!$A$2,1)))-SUM($G5:S5)</f>
        <v>1.6238425925925948E-2</v>
      </c>
      <c r="U5" s="70" cm="1">
        <f t="array" aca="1" ref="U5" ca="1">_xlfn.NUMBERVALUE(_xlfn.XLOOKUP(1,(OFFSET(IN_Verknüpfungen!$O$4,0,0,IN_Verknüpfungen!$A$2,1)=$A5)*(OFFSET(IN_Verknüpfungen!$P$4,0,0,IN_Verknüpfungen!$A$2,1)=V$3),OFFSET(IN_Verknüpfungen!$J$4,0,0,IN_Verknüpfungen!$A$2,1)))-SUM($G5:T5)</f>
        <v>2.9849537037037077E-2</v>
      </c>
      <c r="V5" s="70" cm="1">
        <f t="array" aca="1" ref="V5" ca="1">_xlfn.NUMBERVALUE(_xlfn.XLOOKUP(1,(OFFSET(IN_Verknüpfungen!$O$4,0,0,IN_Verknüpfungen!$A$2,1)=$A5)*(OFFSET(IN_Verknüpfungen!$P$4,0,0,IN_Verknüpfungen!$A$2,1)=V$3+1),OFFSET(IN_Verknüpfungen!$F$4,0,0,IN_Verknüpfungen!$A$2,1)))-SUM($G5:U5)</f>
        <v>1.6458333333333242E-2</v>
      </c>
      <c r="W5" s="70" cm="1">
        <f t="array" aca="1" ref="W5" ca="1">_xlfn.NUMBERVALUE(_xlfn.XLOOKUP(1,(OFFSET(IN_Verknüpfungen!$O$4,0,0,IN_Verknüpfungen!$A$2,1)=$A5)*(OFFSET(IN_Verknüpfungen!$P$4,0,0,IN_Verknüpfungen!$A$2,1)=X$3),OFFSET(IN_Verknüpfungen!$J$4,0,0,IN_Verknüpfungen!$A$2,1)))-SUM($G5:V5)</f>
        <v>2.0787037037037104E-2</v>
      </c>
      <c r="X5" s="70" cm="1">
        <f t="array" aca="1" ref="X5" ca="1">_xlfn.NUMBERVALUE(_xlfn.XLOOKUP(1,(OFFSET(IN_Verknüpfungen!$O$4,0,0,IN_Verknüpfungen!$A$2,1)=$A5)*(OFFSET(IN_Verknüpfungen!$P$4,0,0,IN_Verknüpfungen!$A$2,1)=X$3+1),OFFSET(IN_Verknüpfungen!$F$4,0,0,IN_Verknüpfungen!$A$2,1)))-SUM($G5:W5)</f>
        <v>1.6249999999999987E-2</v>
      </c>
      <c r="Y5" s="70" cm="1">
        <f t="array" aca="1" ref="Y5" ca="1">_xlfn.NUMBERVALUE(_xlfn.XLOOKUP(1,(OFFSET(IN_Verknüpfungen!$O$4,0,0,IN_Verknüpfungen!$A$2,1)=$A5)*(OFFSET(IN_Verknüpfungen!$P$4,0,0,IN_Verknüpfungen!$A$2,1)=Z$3),OFFSET(IN_Verknüpfungen!$J$4,0,0,IN_Verknüpfungen!$A$2,1)))-SUM($G5:X5)</f>
        <v>2.9837962962962927E-2</v>
      </c>
      <c r="Z5" s="70" t="e" cm="1">
        <f t="array" aca="1" ref="Z5" ca="1">_xlfn.NUMBERVALUE(_xlfn.XLOOKUP(1,(OFFSET(IN_Verknüpfungen!$O$4,0,0,IN_Verknüpfungen!$A$2,1)=$A5)*(OFFSET(IN_Verknüpfungen!$P$4,0,0,IN_Verknüpfungen!$A$2,1)=Z$3+1),OFFSET(IN_Verknüpfungen!$F$4,0,0,IN_Verknüpfungen!$A$2,1)))-SUM($G5:Y5)</f>
        <v>#N/A</v>
      </c>
      <c r="AA5" s="70" t="e" cm="1">
        <f t="array" aca="1" ref="AA5" ca="1">_xlfn.NUMBERVALUE(_xlfn.XLOOKUP(1,(OFFSET(IN_Verknüpfungen!$O$4,0,0,IN_Verknüpfungen!$A$2,1)=$A5)*(OFFSET(IN_Verknüpfungen!$P$4,0,0,IN_Verknüpfungen!$A$2,1)=AB$3),OFFSET(IN_Verknüpfungen!$J$4,0,0,IN_Verknüpfungen!$A$2,1)))-SUM($G5:Z5)</f>
        <v>#N/A</v>
      </c>
      <c r="AB5" s="70" t="e" cm="1">
        <f t="array" aca="1" ref="AB5" ca="1">_xlfn.NUMBERVALUE(_xlfn.XLOOKUP(1,(OFFSET(IN_Verknüpfungen!$O$4,0,0,IN_Verknüpfungen!$A$2,1)=$A5)*(OFFSET(IN_Verknüpfungen!$P$4,0,0,IN_Verknüpfungen!$A$2,1)=AB$3+1),OFFSET(IN_Verknüpfungen!$F$4,0,0,IN_Verknüpfungen!$A$2,1)))-SUM($G5:AA5)</f>
        <v>#N/A</v>
      </c>
    </row>
    <row r="6" spans="1:28" x14ac:dyDescent="0.2">
      <c r="A6" s="56" t="str">
        <f ca="1"/>
        <v>Composition 3</v>
      </c>
      <c r="B6" s="55" t="str" cm="1">
        <f t="array" aca="1" ref="B6" ca="1">IF(A6&lt;&gt;"",_xlfn.XLOOKUP(Laufwege!A6,OFFSET(IN_Verknüpfungen!L$4,0,0,IN_Verknüpfungen!A$2,1),OFFSET(IN_Verknüpfungen!N$4,0,0,IN_Verknüpfungen!A$2,1),""),"")</f>
        <v>101-3.0</v>
      </c>
      <c r="C6" s="55">
        <f ca="1">IF(A6&lt;&gt;"",SUMIFS(OFFSET(IN_Verknüpfungen!M$4,0,0,IN_Verknüpfungen!A$2,1),OFFSET(IN_Verknüpfungen!O$4,0,0,IN_Verknüpfungen!A$2,1),Laufwege!A6),0)</f>
        <v>381435</v>
      </c>
      <c r="D6" s="55" cm="1">
        <f t="array" aca="1" ref="D6" ca="1">IF(B6&lt;&gt;"",_xlfn.XLOOKUP(B6,OFFSET(IN_Stammdaten!$A$4,0,0,IN_Stammdaten!$A$2,1),OFFSET(IN_Stammdaten!$C$4,0,0,IN_Stammdaten!$A$2,1),""),"")</f>
        <v>1010000</v>
      </c>
      <c r="E6" s="55" t="str">
        <f t="shared" ca="1" si="0"/>
        <v>nein</v>
      </c>
      <c r="F6" s="69" t="str">
        <f t="shared" ca="1" si="1"/>
        <v>Composition 3 (101-3.0)</v>
      </c>
      <c r="G6" s="70" cm="1">
        <f t="array" aca="1" ref="G6" ca="1">_xlfn.NUMBERVALUE(_xlfn.XLOOKUP(A6,OFFSET(IN_Verknüpfungen!$L$4,0,0,IN_Verknüpfungen!$A$2,1),OFFSET(IN_Verknüpfungen!$Q$4,0,0,IN_Verknüpfungen!$A$2,1)))</f>
        <v>0.19840277777777779</v>
      </c>
      <c r="H6" s="70" cm="1">
        <f t="array" aca="1" ref="H6" ca="1">_xlfn.NUMBERVALUE(_xlfn.XLOOKUP(A6,OFFSET(IN_Verknüpfungen!$L$4,0,0,IN_Verknüpfungen!$A$2,1),OFFSET(IN_Verknüpfungen!$F$4,0,0,IN_Verknüpfungen!$A$2,1)))-G6</f>
        <v>3.1666666666666649E-2</v>
      </c>
      <c r="I6" s="70" cm="1">
        <f t="array" aca="1" ref="I6" ca="1">_xlfn.NUMBERVALUE(_xlfn.XLOOKUP(1,(OFFSET(IN_Verknüpfungen!$O$4,0,0,IN_Verknüpfungen!$A$2,1)=$A6)*(OFFSET(IN_Verknüpfungen!$P$4,0,0,IN_Verknüpfungen!$A$2,1)=J$3),OFFSET(IN_Verknüpfungen!$J$4,0,0,IN_Verknüpfungen!$A$2,1)))-SUM($G6:H6)</f>
        <v>2.0162037037037062E-2</v>
      </c>
      <c r="J6" s="70" cm="1">
        <f t="array" aca="1" ref="J6" ca="1">_xlfn.NUMBERVALUE(_xlfn.XLOOKUP(1,(OFFSET(IN_Verknüpfungen!$O$4,0,0,IN_Verknüpfungen!$A$2,1)=$A6)*(OFFSET(IN_Verknüpfungen!$P$4,0,0,IN_Verknüpfungen!$A$2,1)=J$3+1),OFFSET(IN_Verknüpfungen!$F$4,0,0,IN_Verknüpfungen!$A$2,1)))-SUM($G6:I6)</f>
        <v>1.967592592592593E-2</v>
      </c>
      <c r="K6" s="70" cm="1">
        <f t="array" aca="1" ref="K6" ca="1">_xlfn.NUMBERVALUE(_xlfn.XLOOKUP(1,(OFFSET(IN_Verknüpfungen!$O$4,0,0,IN_Verknüpfungen!$A$2,1)=$A6)*(OFFSET(IN_Verknüpfungen!$P$4,0,0,IN_Verknüpfungen!$A$2,1)=L$3),OFFSET(IN_Verknüpfungen!$J$4,0,0,IN_Verknüpfungen!$A$2,1)))-SUM($G6:J6)</f>
        <v>2.364583333333331E-2</v>
      </c>
      <c r="L6" s="70" cm="1">
        <f t="array" aca="1" ref="L6" ca="1">_xlfn.NUMBERVALUE(_xlfn.XLOOKUP(1,(OFFSET(IN_Verknüpfungen!$O$4,0,0,IN_Verknüpfungen!$A$2,1)=$A6)*(OFFSET(IN_Verknüpfungen!$P$4,0,0,IN_Verknüpfungen!$A$2,1)=L$3+1),OFFSET(IN_Verknüpfungen!$F$4,0,0,IN_Verknüpfungen!$A$2,1)))-SUM($G6:K6)</f>
        <v>1.9849537037037013E-2</v>
      </c>
      <c r="M6" s="70" cm="1">
        <f t="array" aca="1" ref="M6" ca="1">_xlfn.NUMBERVALUE(_xlfn.XLOOKUP(1,(OFFSET(IN_Verknüpfungen!$O$4,0,0,IN_Verknüpfungen!$A$2,1)=$A6)*(OFFSET(IN_Verknüpfungen!$P$4,0,0,IN_Verknüpfungen!$A$2,1)=N$3),OFFSET(IN_Verknüpfungen!$J$4,0,0,IN_Verknüpfungen!$A$2,1)))-SUM($G6:L6)</f>
        <v>2.0162037037037062E-2</v>
      </c>
      <c r="N6" s="70" cm="1">
        <f t="array" aca="1" ref="N6" ca="1">_xlfn.NUMBERVALUE(_xlfn.XLOOKUP(1,(OFFSET(IN_Verknüpfungen!$O$4,0,0,IN_Verknüpfungen!$A$2,1)=$A6)*(OFFSET(IN_Verknüpfungen!$P$4,0,0,IN_Verknüpfungen!$A$2,1)=N$3+1),OFFSET(IN_Verknüpfungen!$F$4,0,0,IN_Verknüpfungen!$A$2,1)))-SUM($G6:M6)</f>
        <v>1.967592592592593E-2</v>
      </c>
      <c r="O6" s="70" cm="1">
        <f t="array" aca="1" ref="O6" ca="1">_xlfn.NUMBERVALUE(_xlfn.XLOOKUP(1,(OFFSET(IN_Verknüpfungen!$O$4,0,0,IN_Verknüpfungen!$A$2,1)=$A6)*(OFFSET(IN_Verknüpfungen!$P$4,0,0,IN_Verknüpfungen!$A$2,1)=P$3),OFFSET(IN_Verknüpfungen!$J$4,0,0,IN_Verknüpfungen!$A$2,1)))-SUM($G6:N6)</f>
        <v>2.364583333333331E-2</v>
      </c>
      <c r="P6" s="70" cm="1">
        <f t="array" aca="1" ref="P6" ca="1">_xlfn.NUMBERVALUE(_xlfn.XLOOKUP(1,(OFFSET(IN_Verknüpfungen!$O$4,0,0,IN_Verknüpfungen!$A$2,1)=$A6)*(OFFSET(IN_Verknüpfungen!$P$4,0,0,IN_Verknüpfungen!$A$2,1)=P$3+1),OFFSET(IN_Verknüpfungen!$F$4,0,0,IN_Verknüpfungen!$A$2,1)))-SUM($G6:O6)</f>
        <v>1.9849537037037068E-2</v>
      </c>
      <c r="Q6" s="70" cm="1">
        <f t="array" aca="1" ref="Q6" ca="1">_xlfn.NUMBERVALUE(_xlfn.XLOOKUP(1,(OFFSET(IN_Verknüpfungen!$O$4,0,0,IN_Verknüpfungen!$A$2,1)=$A6)*(OFFSET(IN_Verknüpfungen!$P$4,0,0,IN_Verknüpfungen!$A$2,1)=R$3),OFFSET(IN_Verknüpfungen!$J$4,0,0,IN_Verknüpfungen!$A$2,1)))-SUM($G6:P6)</f>
        <v>2.0162037037037006E-2</v>
      </c>
      <c r="R6" s="70" cm="1">
        <f t="array" aca="1" ref="R6" ca="1">_xlfn.NUMBERVALUE(_xlfn.XLOOKUP(1,(OFFSET(IN_Verknüpfungen!$O$4,0,0,IN_Verknüpfungen!$A$2,1)=$A6)*(OFFSET(IN_Verknüpfungen!$P$4,0,0,IN_Verknüpfungen!$A$2,1)=R$3+1),OFFSET(IN_Verknüpfungen!$F$4,0,0,IN_Verknüpfungen!$A$2,1)))-SUM($G6:Q6)</f>
        <v>1.967592592592593E-2</v>
      </c>
      <c r="S6" s="70" cm="1">
        <f t="array" aca="1" ref="S6" ca="1">_xlfn.NUMBERVALUE(_xlfn.XLOOKUP(1,(OFFSET(IN_Verknüpfungen!$O$4,0,0,IN_Verknüpfungen!$A$2,1)=$A6)*(OFFSET(IN_Verknüpfungen!$P$4,0,0,IN_Verknüpfungen!$A$2,1)=T$3),OFFSET(IN_Verknüpfungen!$J$4,0,0,IN_Verknüpfungen!$A$2,1)))-SUM($G6:R6)</f>
        <v>2.3645833333333366E-2</v>
      </c>
      <c r="T6" s="70" cm="1">
        <f t="array" aca="1" ref="T6" ca="1">_xlfn.NUMBERVALUE(_xlfn.XLOOKUP(1,(OFFSET(IN_Verknüpfungen!$O$4,0,0,IN_Verknüpfungen!$A$2,1)=$A6)*(OFFSET(IN_Verknüpfungen!$P$4,0,0,IN_Verknüpfungen!$A$2,1)=T$3+1),OFFSET(IN_Verknüpfungen!$F$4,0,0,IN_Verknüpfungen!$A$2,1)))-SUM($G6:S6)</f>
        <v>1.9849537037037013E-2</v>
      </c>
      <c r="U6" s="70" cm="1">
        <f t="array" aca="1" ref="U6" ca="1">_xlfn.NUMBERVALUE(_xlfn.XLOOKUP(1,(OFFSET(IN_Verknüpfungen!$O$4,0,0,IN_Verknüpfungen!$A$2,1)=$A6)*(OFFSET(IN_Verknüpfungen!$P$4,0,0,IN_Verknüpfungen!$A$2,1)=V$3),OFFSET(IN_Verknüpfungen!$J$4,0,0,IN_Verknüpfungen!$A$2,1)))-SUM($G6:T6)</f>
        <v>2.0162037037037006E-2</v>
      </c>
      <c r="V6" s="70" cm="1">
        <f t="array" aca="1" ref="V6" ca="1">_xlfn.NUMBERVALUE(_xlfn.XLOOKUP(1,(OFFSET(IN_Verknüpfungen!$O$4,0,0,IN_Verknüpfungen!$A$2,1)=$A6)*(OFFSET(IN_Verknüpfungen!$P$4,0,0,IN_Verknüpfungen!$A$2,1)=V$3+1),OFFSET(IN_Verknüpfungen!$F$4,0,0,IN_Verknüpfungen!$A$2,1)))-SUM($G6:U6)</f>
        <v>1.967592592592593E-2</v>
      </c>
      <c r="W6" s="70" cm="1">
        <f t="array" aca="1" ref="W6" ca="1">_xlfn.NUMBERVALUE(_xlfn.XLOOKUP(1,(OFFSET(IN_Verknüpfungen!$O$4,0,0,IN_Verknüpfungen!$A$2,1)=$A6)*(OFFSET(IN_Verknüpfungen!$P$4,0,0,IN_Verknüpfungen!$A$2,1)=X$3),OFFSET(IN_Verknüpfungen!$J$4,0,0,IN_Verknüpfungen!$A$2,1)))-SUM($G6:V6)</f>
        <v>2.3645833333333366E-2</v>
      </c>
      <c r="X6" s="70" cm="1">
        <f t="array" aca="1" ref="X6" ca="1">_xlfn.NUMBERVALUE(_xlfn.XLOOKUP(1,(OFFSET(IN_Verknüpfungen!$O$4,0,0,IN_Verknüpfungen!$A$2,1)=$A6)*(OFFSET(IN_Verknüpfungen!$P$4,0,0,IN_Verknüpfungen!$A$2,1)=X$3+1),OFFSET(IN_Verknüpfungen!$F$4,0,0,IN_Verknüpfungen!$A$2,1)))-SUM($G6:W6)</f>
        <v>1.9849537037037068E-2</v>
      </c>
      <c r="Y6" s="70" cm="1">
        <f t="array" aca="1" ref="Y6" ca="1">_xlfn.NUMBERVALUE(_xlfn.XLOOKUP(1,(OFFSET(IN_Verknüpfungen!$O$4,0,0,IN_Verknüpfungen!$A$2,1)=$A6)*(OFFSET(IN_Verknüpfungen!$P$4,0,0,IN_Verknüpfungen!$A$2,1)=Z$3),OFFSET(IN_Verknüpfungen!$J$4,0,0,IN_Verknüpfungen!$A$2,1)))-SUM($G6:X6)</f>
        <v>2.0162037037037006E-2</v>
      </c>
      <c r="Z6" s="70" t="e" cm="1">
        <f t="array" aca="1" ref="Z6" ca="1">_xlfn.NUMBERVALUE(_xlfn.XLOOKUP(1,(OFFSET(IN_Verknüpfungen!$O$4,0,0,IN_Verknüpfungen!$A$2,1)=$A6)*(OFFSET(IN_Verknüpfungen!$P$4,0,0,IN_Verknüpfungen!$A$2,1)=Z$3+1),OFFSET(IN_Verknüpfungen!$F$4,0,0,IN_Verknüpfungen!$A$2,1)))-SUM($G6:Y6)</f>
        <v>#N/A</v>
      </c>
      <c r="AA6" s="70" t="e" cm="1">
        <f t="array" aca="1" ref="AA6" ca="1">_xlfn.NUMBERVALUE(_xlfn.XLOOKUP(1,(OFFSET(IN_Verknüpfungen!$O$4,0,0,IN_Verknüpfungen!$A$2,1)=$A6)*(OFFSET(IN_Verknüpfungen!$P$4,0,0,IN_Verknüpfungen!$A$2,1)=AB$3),OFFSET(IN_Verknüpfungen!$J$4,0,0,IN_Verknüpfungen!$A$2,1)))-SUM($G6:Z6)</f>
        <v>#N/A</v>
      </c>
      <c r="AB6" s="70" t="e" cm="1">
        <f t="array" aca="1" ref="AB6" ca="1">_xlfn.NUMBERVALUE(_xlfn.XLOOKUP(1,(OFFSET(IN_Verknüpfungen!$O$4,0,0,IN_Verknüpfungen!$A$2,1)=$A6)*(OFFSET(IN_Verknüpfungen!$P$4,0,0,IN_Verknüpfungen!$A$2,1)=AB$3+1),OFFSET(IN_Verknüpfungen!$F$4,0,0,IN_Verknüpfungen!$A$2,1)))-SUM($G6:AA6)</f>
        <v>#N/A</v>
      </c>
    </row>
    <row r="7" spans="1:28" x14ac:dyDescent="0.2">
      <c r="A7" s="56" t="str">
        <f ca="1"/>
        <v>Composition 4</v>
      </c>
      <c r="B7" s="55" t="str" cm="1">
        <f t="array" aca="1" ref="B7" ca="1">IF(A7&lt;&gt;"",_xlfn.XLOOKUP(Laufwege!A7,OFFSET(IN_Verknüpfungen!L$4,0,0,IN_Verknüpfungen!A$2,1),OFFSET(IN_Verknüpfungen!N$4,0,0,IN_Verknüpfungen!A$2,1),""),"")</f>
        <v>462-1.0</v>
      </c>
      <c r="C7" s="55">
        <f ca="1">IF(A7&lt;&gt;"",SUMIFS(OFFSET(IN_Verknüpfungen!M$4,0,0,IN_Verknüpfungen!A$2,1),OFFSET(IN_Verknüpfungen!O$4,0,0,IN_Verknüpfungen!A$2,1),Laufwege!A7),0)</f>
        <v>350180</v>
      </c>
      <c r="D7" s="55" cm="1">
        <f t="array" aca="1" ref="D7" ca="1">IF(B7&lt;&gt;"",_xlfn.XLOOKUP(B7,OFFSET(IN_Stammdaten!$A$4,0,0,IN_Stammdaten!$A$2,1),OFFSET(IN_Stammdaten!$C$4,0,0,IN_Stammdaten!$A$2,1),""),"")</f>
        <v>0</v>
      </c>
      <c r="E7" s="55" t="str">
        <f t="shared" ca="1" si="0"/>
        <v>nein</v>
      </c>
      <c r="F7" s="69" t="str">
        <f t="shared" ca="1" si="1"/>
        <v>Composition 4 (462-1.0)</v>
      </c>
      <c r="G7" s="70" cm="1">
        <f t="array" aca="1" ref="G7" ca="1">_xlfn.NUMBERVALUE(_xlfn.XLOOKUP(A7,OFFSET(IN_Verknüpfungen!$L$4,0,0,IN_Verknüpfungen!$A$2,1),OFFSET(IN_Verknüpfungen!$Q$4,0,0,IN_Verknüpfungen!$A$2,1)))</f>
        <v>0.20197916666666665</v>
      </c>
      <c r="H7" s="70" cm="1">
        <f t="array" aca="1" ref="H7" ca="1">_xlfn.NUMBERVALUE(_xlfn.XLOOKUP(A7,OFFSET(IN_Verknüpfungen!$L$4,0,0,IN_Verknüpfungen!$A$2,1),OFFSET(IN_Verknüpfungen!$F$4,0,0,IN_Verknüpfungen!$A$2,1)))-G7</f>
        <v>3.1377314814814816E-2</v>
      </c>
      <c r="I7" s="70" cm="1">
        <f t="array" aca="1" ref="I7" ca="1">_xlfn.NUMBERVALUE(_xlfn.XLOOKUP(1,(OFFSET(IN_Verknüpfungen!$O$4,0,0,IN_Verknüpfungen!$A$2,1)=$A7)*(OFFSET(IN_Verknüpfungen!$P$4,0,0,IN_Verknüpfungen!$A$2,1)=J$3),OFFSET(IN_Verknüpfungen!$J$4,0,0,IN_Verknüpfungen!$A$2,1)))-SUM($G7:H7)</f>
        <v>2.0787037037037048E-2</v>
      </c>
      <c r="J7" s="70" cm="1">
        <f t="array" aca="1" ref="J7" ca="1">_xlfn.NUMBERVALUE(_xlfn.XLOOKUP(1,(OFFSET(IN_Verknüpfungen!$O$4,0,0,IN_Verknüpfungen!$A$2,1)=$A7)*(OFFSET(IN_Verknüpfungen!$P$4,0,0,IN_Verknüpfungen!$A$2,1)=J$3+1),OFFSET(IN_Verknüpfungen!$F$4,0,0,IN_Verknüpfungen!$A$2,1)))-SUM($G7:I7)</f>
        <v>1.6249999999999987E-2</v>
      </c>
      <c r="K7" s="70" cm="1">
        <f t="array" aca="1" ref="K7" ca="1">_xlfn.NUMBERVALUE(_xlfn.XLOOKUP(1,(OFFSET(IN_Verknüpfungen!$O$4,0,0,IN_Verknüpfungen!$A$2,1)=$A7)*(OFFSET(IN_Verknüpfungen!$P$4,0,0,IN_Verknüpfungen!$A$2,1)=L$3),OFFSET(IN_Verknüpfungen!$J$4,0,0,IN_Verknüpfungen!$A$2,1)))-SUM($G7:J7)</f>
        <v>2.9837962962962983E-2</v>
      </c>
      <c r="L7" s="70" cm="1">
        <f t="array" aca="1" ref="L7" ca="1">_xlfn.NUMBERVALUE(_xlfn.XLOOKUP(1,(OFFSET(IN_Verknüpfungen!$O$4,0,0,IN_Verknüpfungen!$A$2,1)=$A7)*(OFFSET(IN_Verknüpfungen!$P$4,0,0,IN_Verknüpfungen!$A$2,1)=L$3+1),OFFSET(IN_Verknüpfungen!$F$4,0,0,IN_Verknüpfungen!$A$2,1)))-SUM($G7:K7)</f>
        <v>1.6458333333333353E-2</v>
      </c>
      <c r="M7" s="70" cm="1">
        <f t="array" aca="1" ref="M7" ca="1">_xlfn.NUMBERVALUE(_xlfn.XLOOKUP(1,(OFFSET(IN_Verknüpfungen!$O$4,0,0,IN_Verknüpfungen!$A$2,1)=$A7)*(OFFSET(IN_Verknüpfungen!$P$4,0,0,IN_Verknüpfungen!$A$2,1)=N$3),OFFSET(IN_Verknüpfungen!$J$4,0,0,IN_Verknüpfungen!$A$2,1)))-SUM($G7:L7)</f>
        <v>2.0787037037036993E-2</v>
      </c>
      <c r="N7" s="70" cm="1">
        <f t="array" aca="1" ref="N7" ca="1">_xlfn.NUMBERVALUE(_xlfn.XLOOKUP(1,(OFFSET(IN_Verknüpfungen!$O$4,0,0,IN_Verknüpfungen!$A$2,1)=$A7)*(OFFSET(IN_Verknüpfungen!$P$4,0,0,IN_Verknüpfungen!$A$2,1)=N$3+1),OFFSET(IN_Verknüpfungen!$F$4,0,0,IN_Verknüpfungen!$A$2,1)))-SUM($G7:M7)</f>
        <v>1.6250000000000042E-2</v>
      </c>
      <c r="O7" s="70" cm="1">
        <f t="array" aca="1" ref="O7" ca="1">_xlfn.NUMBERVALUE(_xlfn.XLOOKUP(1,(OFFSET(IN_Verknüpfungen!$O$4,0,0,IN_Verknüpfungen!$A$2,1)=$A7)*(OFFSET(IN_Verknüpfungen!$P$4,0,0,IN_Verknüpfungen!$A$2,1)=P$3),OFFSET(IN_Verknüpfungen!$J$4,0,0,IN_Verknüpfungen!$A$2,1)))-SUM($G7:N7)</f>
        <v>2.9837962962962927E-2</v>
      </c>
      <c r="P7" s="70" cm="1">
        <f t="array" aca="1" ref="P7" ca="1">_xlfn.NUMBERVALUE(_xlfn.XLOOKUP(1,(OFFSET(IN_Verknüpfungen!$O$4,0,0,IN_Verknüpfungen!$A$2,1)=$A7)*(OFFSET(IN_Verknüpfungen!$P$4,0,0,IN_Verknüpfungen!$A$2,1)=P$3+1),OFFSET(IN_Verknüpfungen!$F$4,0,0,IN_Verknüpfungen!$A$2,1)))-SUM($G7:O7)</f>
        <v>1.6458333333333353E-2</v>
      </c>
      <c r="Q7" s="70" cm="1">
        <f t="array" aca="1" ref="Q7" ca="1">_xlfn.NUMBERVALUE(_xlfn.XLOOKUP(1,(OFFSET(IN_Verknüpfungen!$O$4,0,0,IN_Verknüpfungen!$A$2,1)=$A7)*(OFFSET(IN_Verknüpfungen!$P$4,0,0,IN_Verknüpfungen!$A$2,1)=R$3),OFFSET(IN_Verknüpfungen!$J$4,0,0,IN_Verknüpfungen!$A$2,1)))-SUM($G7:P7)</f>
        <v>2.0787037037037048E-2</v>
      </c>
      <c r="R7" s="70" cm="1">
        <f t="array" aca="1" ref="R7" ca="1">_xlfn.NUMBERVALUE(_xlfn.XLOOKUP(1,(OFFSET(IN_Verknüpfungen!$O$4,0,0,IN_Verknüpfungen!$A$2,1)=$A7)*(OFFSET(IN_Verknüpfungen!$P$4,0,0,IN_Verknüpfungen!$A$2,1)=R$3+1),OFFSET(IN_Verknüpfungen!$F$4,0,0,IN_Verknüpfungen!$A$2,1)))-SUM($G7:Q7)</f>
        <v>1.6249999999999987E-2</v>
      </c>
      <c r="S7" s="70" cm="1">
        <f t="array" aca="1" ref="S7" ca="1">_xlfn.NUMBERVALUE(_xlfn.XLOOKUP(1,(OFFSET(IN_Verknüpfungen!$O$4,0,0,IN_Verknüpfungen!$A$2,1)=$A7)*(OFFSET(IN_Verknüpfungen!$P$4,0,0,IN_Verknüpfungen!$A$2,1)=T$3),OFFSET(IN_Verknüpfungen!$J$4,0,0,IN_Verknüpfungen!$A$2,1)))-SUM($G7:R7)</f>
        <v>2.9837962962962983E-2</v>
      </c>
      <c r="T7" s="70" cm="1">
        <f t="array" aca="1" ref="T7" ca="1">_xlfn.NUMBERVALUE(_xlfn.XLOOKUP(1,(OFFSET(IN_Verknüpfungen!$O$4,0,0,IN_Verknüpfungen!$A$2,1)=$A7)*(OFFSET(IN_Verknüpfungen!$P$4,0,0,IN_Verknüpfungen!$A$2,1)=T$3+1),OFFSET(IN_Verknüpfungen!$F$4,0,0,IN_Verknüpfungen!$A$2,1)))-SUM($G7:S7)</f>
        <v>1.6458333333333297E-2</v>
      </c>
      <c r="U7" s="70" cm="1">
        <f t="array" aca="1" ref="U7" ca="1">_xlfn.NUMBERVALUE(_xlfn.XLOOKUP(1,(OFFSET(IN_Verknüpfungen!$O$4,0,0,IN_Verknüpfungen!$A$2,1)=$A7)*(OFFSET(IN_Verknüpfungen!$P$4,0,0,IN_Verknüpfungen!$A$2,1)=V$3),OFFSET(IN_Verknüpfungen!$J$4,0,0,IN_Verknüpfungen!$A$2,1)))-SUM($G7:T7)</f>
        <v>2.0787037037036993E-2</v>
      </c>
      <c r="V7" s="70" cm="1">
        <f t="array" aca="1" ref="V7" ca="1">_xlfn.NUMBERVALUE(_xlfn.XLOOKUP(1,(OFFSET(IN_Verknüpfungen!$O$4,0,0,IN_Verknüpfungen!$A$2,1)=$A7)*(OFFSET(IN_Verknüpfungen!$P$4,0,0,IN_Verknüpfungen!$A$2,1)=V$3+1),OFFSET(IN_Verknüpfungen!$F$4,0,0,IN_Verknüpfungen!$A$2,1)))-SUM($G7:U7)</f>
        <v>1.6250000000000098E-2</v>
      </c>
      <c r="W7" s="70" cm="1">
        <f t="array" aca="1" ref="W7" ca="1">_xlfn.NUMBERVALUE(_xlfn.XLOOKUP(1,(OFFSET(IN_Verknüpfungen!$O$4,0,0,IN_Verknüpfungen!$A$2,1)=$A7)*(OFFSET(IN_Verknüpfungen!$P$4,0,0,IN_Verknüpfungen!$A$2,1)=X$3),OFFSET(IN_Verknüpfungen!$J$4,0,0,IN_Verknüpfungen!$A$2,1)))-SUM($G7:V7)</f>
        <v>2.9837962962962927E-2</v>
      </c>
      <c r="X7" s="70" cm="1">
        <f t="array" aca="1" ref="X7" ca="1">_xlfn.NUMBERVALUE(_xlfn.XLOOKUP(1,(OFFSET(IN_Verknüpfungen!$O$4,0,0,IN_Verknüpfungen!$A$2,1)=$A7)*(OFFSET(IN_Verknüpfungen!$P$4,0,0,IN_Verknüpfungen!$A$2,1)=X$3+1),OFFSET(IN_Verknüpfungen!$F$4,0,0,IN_Verknüpfungen!$A$2,1)))-SUM($G7:W7)</f>
        <v>1.6458333333333353E-2</v>
      </c>
      <c r="Y7" s="70" cm="1">
        <f t="array" aca="1" ref="Y7" ca="1">_xlfn.NUMBERVALUE(_xlfn.XLOOKUP(1,(OFFSET(IN_Verknüpfungen!$O$4,0,0,IN_Verknüpfungen!$A$2,1)=$A7)*(OFFSET(IN_Verknüpfungen!$P$4,0,0,IN_Verknüpfungen!$A$2,1)=Z$3),OFFSET(IN_Verknüpfungen!$J$4,0,0,IN_Verknüpfungen!$A$2,1)))-SUM($G7:X7)</f>
        <v>2.0787037037036993E-2</v>
      </c>
      <c r="Z7" s="70" t="e" cm="1">
        <f t="array" aca="1" ref="Z7" ca="1">_xlfn.NUMBERVALUE(_xlfn.XLOOKUP(1,(OFFSET(IN_Verknüpfungen!$O$4,0,0,IN_Verknüpfungen!$A$2,1)=$A7)*(OFFSET(IN_Verknüpfungen!$P$4,0,0,IN_Verknüpfungen!$A$2,1)=Z$3+1),OFFSET(IN_Verknüpfungen!$F$4,0,0,IN_Verknüpfungen!$A$2,1)))-SUM($G7:Y7)</f>
        <v>#N/A</v>
      </c>
      <c r="AA7" s="70" t="e" cm="1">
        <f t="array" aca="1" ref="AA7" ca="1">_xlfn.NUMBERVALUE(_xlfn.XLOOKUP(1,(OFFSET(IN_Verknüpfungen!$O$4,0,0,IN_Verknüpfungen!$A$2,1)=$A7)*(OFFSET(IN_Verknüpfungen!$P$4,0,0,IN_Verknüpfungen!$A$2,1)=AB$3),OFFSET(IN_Verknüpfungen!$J$4,0,0,IN_Verknüpfungen!$A$2,1)))-SUM($G7:Z7)</f>
        <v>#N/A</v>
      </c>
      <c r="AB7" s="70" t="e" cm="1">
        <f t="array" aca="1" ref="AB7" ca="1">_xlfn.NUMBERVALUE(_xlfn.XLOOKUP(1,(OFFSET(IN_Verknüpfungen!$O$4,0,0,IN_Verknüpfungen!$A$2,1)=$A7)*(OFFSET(IN_Verknüpfungen!$P$4,0,0,IN_Verknüpfungen!$A$2,1)=AB$3+1),OFFSET(IN_Verknüpfungen!$F$4,0,0,IN_Verknüpfungen!$A$2,1)))-SUM($G7:AA7)</f>
        <v>#N/A</v>
      </c>
    </row>
    <row r="8" spans="1:28" x14ac:dyDescent="0.2">
      <c r="A8" s="56" t="str">
        <f ca="1"/>
        <v>Composition 5</v>
      </c>
      <c r="B8" s="55" t="str" cm="1">
        <f t="array" aca="1" ref="B8" ca="1">IF(A8&lt;&gt;"",_xlfn.XLOOKUP(Laufwege!A8,OFFSET(IN_Verknüpfungen!L$4,0,0,IN_Verknüpfungen!A$2,1),OFFSET(IN_Verknüpfungen!N$4,0,0,IN_Verknüpfungen!A$2,1),""),"")</f>
        <v>146-3.2</v>
      </c>
      <c r="C8" s="55">
        <f ca="1">IF(A8&lt;&gt;"",SUMIFS(OFFSET(IN_Verknüpfungen!M$4,0,0,IN_Verknüpfungen!A$2,1),OFFSET(IN_Verknüpfungen!O$4,0,0,IN_Verknüpfungen!A$2,1),Laufwege!A8),0)</f>
        <v>667070</v>
      </c>
      <c r="D8" s="55" cm="1">
        <f t="array" aca="1" ref="D8" ca="1">IF(B8&lt;&gt;"",_xlfn.XLOOKUP(B8,OFFSET(IN_Stammdaten!$A$4,0,0,IN_Stammdaten!$A$2,1),OFFSET(IN_Stammdaten!$C$4,0,0,IN_Stammdaten!$A$2,1),""),"")</f>
        <v>0</v>
      </c>
      <c r="E8" s="55" t="str">
        <f t="shared" ca="1" si="0"/>
        <v>nein</v>
      </c>
      <c r="F8" s="69" t="str">
        <f t="shared" ca="1" si="1"/>
        <v>Composition 5 (146-3.2)</v>
      </c>
      <c r="G8" s="70" cm="1">
        <f t="array" aca="1" ref="G8" ca="1">_xlfn.NUMBERVALUE(_xlfn.XLOOKUP(A8,OFFSET(IN_Verknüpfungen!$L$4,0,0,IN_Verknüpfungen!$A$2,1),OFFSET(IN_Verknüpfungen!$Q$4,0,0,IN_Verknüpfungen!$A$2,1)))</f>
        <v>0.20321759259259259</v>
      </c>
      <c r="H8" s="70" cm="1">
        <f t="array" aca="1" ref="H8" ca="1">_xlfn.NUMBERVALUE(_xlfn.XLOOKUP(A8,OFFSET(IN_Verknüpfungen!$L$4,0,0,IN_Verknüpfungen!$A$2,1),OFFSET(IN_Verknüpfungen!$F$4,0,0,IN_Verknüpfungen!$A$2,1)))-G8</f>
        <v>3.6585648148148159E-2</v>
      </c>
      <c r="I8" s="70" cm="1">
        <f t="array" aca="1" ref="I8" ca="1">_xlfn.NUMBERVALUE(_xlfn.XLOOKUP(1,(OFFSET(IN_Verknüpfungen!$O$4,0,0,IN_Verknüpfungen!$A$2,1)=$A8)*(OFFSET(IN_Verknüpfungen!$P$4,0,0,IN_Verknüpfungen!$A$2,1)=J$3),OFFSET(IN_Verknüpfungen!$J$4,0,0,IN_Verknüpfungen!$A$2,1)))-SUM($G8:H8)</f>
        <v>7.0370370370370361E-3</v>
      </c>
      <c r="J8" s="70" cm="1">
        <f t="array" aca="1" ref="J8" ca="1">_xlfn.NUMBERVALUE(_xlfn.XLOOKUP(1,(OFFSET(IN_Verknüpfungen!$O$4,0,0,IN_Verknüpfungen!$A$2,1)=$A8)*(OFFSET(IN_Verknüpfungen!$P$4,0,0,IN_Verknüpfungen!$A$2,1)=J$3+1),OFFSET(IN_Verknüpfungen!$F$4,0,0,IN_Verknüpfungen!$A$2,1)))-SUM($G8:I8)</f>
        <v>3.7951388888888882E-2</v>
      </c>
      <c r="K8" s="70" cm="1">
        <f t="array" aca="1" ref="K8" ca="1">_xlfn.NUMBERVALUE(_xlfn.XLOOKUP(1,(OFFSET(IN_Verknüpfungen!$O$4,0,0,IN_Verknüpfungen!$A$2,1)=$A8)*(OFFSET(IN_Verknüpfungen!$P$4,0,0,IN_Verknüpfungen!$A$2,1)=L$3),OFFSET(IN_Verknüpfungen!$J$4,0,0,IN_Verknüpfungen!$A$2,1)))-SUM($G8:J8)</f>
        <v>3.5185185185185319E-3</v>
      </c>
      <c r="L8" s="70" cm="1">
        <f t="array" aca="1" ref="L8" ca="1">_xlfn.NUMBERVALUE(_xlfn.XLOOKUP(1,(OFFSET(IN_Verknüpfungen!$O$4,0,0,IN_Verknüpfungen!$A$2,1)=$A8)*(OFFSET(IN_Verknüpfungen!$P$4,0,0,IN_Verknüpfungen!$A$2,1)=L$3+1),OFFSET(IN_Verknüpfungen!$F$4,0,0,IN_Verknüpfungen!$A$2,1)))-SUM($G8:K8)</f>
        <v>3.4826388888888893E-2</v>
      </c>
      <c r="M8" s="70" cm="1">
        <f t="array" aca="1" ref="M8" ca="1">_xlfn.NUMBERVALUE(_xlfn.XLOOKUP(1,(OFFSET(IN_Verknüpfungen!$O$4,0,0,IN_Verknüpfungen!$A$2,1)=$A8)*(OFFSET(IN_Verknüpfungen!$P$4,0,0,IN_Verknüpfungen!$A$2,1)=N$3),OFFSET(IN_Verknüpfungen!$J$4,0,0,IN_Verknüpfungen!$A$2,1)))-SUM($G8:L8)</f>
        <v>7.0370370370370083E-3</v>
      </c>
      <c r="N8" s="70" cm="1">
        <f t="array" aca="1" ref="N8" ca="1">_xlfn.NUMBERVALUE(_xlfn.XLOOKUP(1,(OFFSET(IN_Verknüpfungen!$O$4,0,0,IN_Verknüpfungen!$A$2,1)=$A8)*(OFFSET(IN_Verknüpfungen!$P$4,0,0,IN_Verknüpfungen!$A$2,1)=N$3+1),OFFSET(IN_Verknüpfungen!$F$4,0,0,IN_Verknüpfungen!$A$2,1)))-SUM($G8:M8)</f>
        <v>3.7951388888888882E-2</v>
      </c>
      <c r="O8" s="70" cm="1">
        <f t="array" aca="1" ref="O8" ca="1">_xlfn.NUMBERVALUE(_xlfn.XLOOKUP(1,(OFFSET(IN_Verknüpfungen!$O$4,0,0,IN_Verknüpfungen!$A$2,1)=$A8)*(OFFSET(IN_Verknüpfungen!$P$4,0,0,IN_Verknüpfungen!$A$2,1)=P$3),OFFSET(IN_Verknüpfungen!$J$4,0,0,IN_Verknüpfungen!$A$2,1)))-SUM($G8:N8)</f>
        <v>3.5185185185185319E-3</v>
      </c>
      <c r="P8" s="70" cm="1">
        <f t="array" aca="1" ref="P8" ca="1">_xlfn.NUMBERVALUE(_xlfn.XLOOKUP(1,(OFFSET(IN_Verknüpfungen!$O$4,0,0,IN_Verknüpfungen!$A$2,1)=$A8)*(OFFSET(IN_Verknüpfungen!$P$4,0,0,IN_Verknüpfungen!$A$2,1)=P$3+1),OFFSET(IN_Verknüpfungen!$F$4,0,0,IN_Verknüpfungen!$A$2,1)))-SUM($G8:O8)</f>
        <v>3.4826388888888893E-2</v>
      </c>
      <c r="Q8" s="70" cm="1">
        <f t="array" aca="1" ref="Q8" ca="1">_xlfn.NUMBERVALUE(_xlfn.XLOOKUP(1,(OFFSET(IN_Verknüpfungen!$O$4,0,0,IN_Verknüpfungen!$A$2,1)=$A8)*(OFFSET(IN_Verknüpfungen!$P$4,0,0,IN_Verknüpfungen!$A$2,1)=R$3),OFFSET(IN_Verknüpfungen!$J$4,0,0,IN_Verknüpfungen!$A$2,1)))-SUM($G8:P8)</f>
        <v>7.0370370370370638E-3</v>
      </c>
      <c r="R8" s="70" cm="1">
        <f t="array" aca="1" ref="R8" ca="1">_xlfn.NUMBERVALUE(_xlfn.XLOOKUP(1,(OFFSET(IN_Verknüpfungen!$O$4,0,0,IN_Verknüpfungen!$A$2,1)=$A8)*(OFFSET(IN_Verknüpfungen!$P$4,0,0,IN_Verknüpfungen!$A$2,1)=R$3+1),OFFSET(IN_Verknüpfungen!$F$4,0,0,IN_Verknüpfungen!$A$2,1)))-SUM($G8:Q8)</f>
        <v>3.7951388888888882E-2</v>
      </c>
      <c r="S8" s="70" cm="1">
        <f t="array" aca="1" ref="S8" ca="1">_xlfn.NUMBERVALUE(_xlfn.XLOOKUP(1,(OFFSET(IN_Verknüpfungen!$O$4,0,0,IN_Verknüpfungen!$A$2,1)=$A8)*(OFFSET(IN_Verknüpfungen!$P$4,0,0,IN_Verknüpfungen!$A$2,1)=T$3),OFFSET(IN_Verknüpfungen!$J$4,0,0,IN_Verknüpfungen!$A$2,1)))-SUM($G8:R8)</f>
        <v>3.5185185185184764E-3</v>
      </c>
      <c r="T8" s="70" cm="1">
        <f t="array" aca="1" ref="T8" ca="1">_xlfn.NUMBERVALUE(_xlfn.XLOOKUP(1,(OFFSET(IN_Verknüpfungen!$O$4,0,0,IN_Verknüpfungen!$A$2,1)=$A8)*(OFFSET(IN_Verknüpfungen!$P$4,0,0,IN_Verknüpfungen!$A$2,1)=T$3+1),OFFSET(IN_Verknüpfungen!$F$4,0,0,IN_Verknüpfungen!$A$2,1)))-SUM($G8:S8)</f>
        <v>3.4826388888888893E-2</v>
      </c>
      <c r="U8" s="70" cm="1">
        <f t="array" aca="1" ref="U8" ca="1">_xlfn.NUMBERVALUE(_xlfn.XLOOKUP(1,(OFFSET(IN_Verknüpfungen!$O$4,0,0,IN_Verknüpfungen!$A$2,1)=$A8)*(OFFSET(IN_Verknüpfungen!$P$4,0,0,IN_Verknüpfungen!$A$2,1)=V$3),OFFSET(IN_Verknüpfungen!$J$4,0,0,IN_Verknüpfungen!$A$2,1)))-SUM($G8:T8)</f>
        <v>7.0370370370370638E-3</v>
      </c>
      <c r="V8" s="70" cm="1">
        <f t="array" aca="1" ref="V8" ca="1">_xlfn.NUMBERVALUE(_xlfn.XLOOKUP(1,(OFFSET(IN_Verknüpfungen!$O$4,0,0,IN_Verknüpfungen!$A$2,1)=$A8)*(OFFSET(IN_Verknüpfungen!$P$4,0,0,IN_Verknüpfungen!$A$2,1)=V$3+1),OFFSET(IN_Verknüpfungen!$F$4,0,0,IN_Verknüpfungen!$A$2,1)))-SUM($G8:U8)</f>
        <v>3.7951388888888882E-2</v>
      </c>
      <c r="W8" s="70" cm="1">
        <f t="array" aca="1" ref="W8" ca="1">_xlfn.NUMBERVALUE(_xlfn.XLOOKUP(1,(OFFSET(IN_Verknüpfungen!$O$4,0,0,IN_Verknüpfungen!$A$2,1)=$A8)*(OFFSET(IN_Verknüpfungen!$P$4,0,0,IN_Verknüpfungen!$A$2,1)=X$3),OFFSET(IN_Verknüpfungen!$J$4,0,0,IN_Verknüpfungen!$A$2,1)))-SUM($G8:V8)</f>
        <v>3.5185185185184764E-3</v>
      </c>
      <c r="X8" s="70" cm="1">
        <f t="array" aca="1" ref="X8" ca="1">_xlfn.NUMBERVALUE(_xlfn.XLOOKUP(1,(OFFSET(IN_Verknüpfungen!$O$4,0,0,IN_Verknüpfungen!$A$2,1)=$A8)*(OFFSET(IN_Verknüpfungen!$P$4,0,0,IN_Verknüpfungen!$A$2,1)=X$3+1),OFFSET(IN_Verknüpfungen!$F$4,0,0,IN_Verknüpfungen!$A$2,1)))-SUM($G8:W8)</f>
        <v>3.4826388888888893E-2</v>
      </c>
      <c r="Y8" s="70" cm="1">
        <f t="array" aca="1" ref="Y8" ca="1">_xlfn.NUMBERVALUE(_xlfn.XLOOKUP(1,(OFFSET(IN_Verknüpfungen!$O$4,0,0,IN_Verknüpfungen!$A$2,1)=$A8)*(OFFSET(IN_Verknüpfungen!$P$4,0,0,IN_Verknüpfungen!$A$2,1)=Z$3),OFFSET(IN_Verknüpfungen!$J$4,0,0,IN_Verknüpfungen!$A$2,1)))-SUM($G8:X8)</f>
        <v>7.0370370370370638E-3</v>
      </c>
      <c r="Z8" s="70" t="e" cm="1">
        <f t="array" aca="1" ref="Z8" ca="1">_xlfn.NUMBERVALUE(_xlfn.XLOOKUP(1,(OFFSET(IN_Verknüpfungen!$O$4,0,0,IN_Verknüpfungen!$A$2,1)=$A8)*(OFFSET(IN_Verknüpfungen!$P$4,0,0,IN_Verknüpfungen!$A$2,1)=Z$3+1),OFFSET(IN_Verknüpfungen!$F$4,0,0,IN_Verknüpfungen!$A$2,1)))-SUM($G8:Y8)</f>
        <v>#N/A</v>
      </c>
      <c r="AA8" s="70" t="e" cm="1">
        <f t="array" aca="1" ref="AA8" ca="1">_xlfn.NUMBERVALUE(_xlfn.XLOOKUP(1,(OFFSET(IN_Verknüpfungen!$O$4,0,0,IN_Verknüpfungen!$A$2,1)=$A8)*(OFFSET(IN_Verknüpfungen!$P$4,0,0,IN_Verknüpfungen!$A$2,1)=AB$3),OFFSET(IN_Verknüpfungen!$J$4,0,0,IN_Verknüpfungen!$A$2,1)))-SUM($G8:Z8)</f>
        <v>#N/A</v>
      </c>
      <c r="AB8" s="70" t="e" cm="1">
        <f t="array" aca="1" ref="AB8" ca="1">_xlfn.NUMBERVALUE(_xlfn.XLOOKUP(1,(OFFSET(IN_Verknüpfungen!$O$4,0,0,IN_Verknüpfungen!$A$2,1)=$A8)*(OFFSET(IN_Verknüpfungen!$P$4,0,0,IN_Verknüpfungen!$A$2,1)=AB$3+1),OFFSET(IN_Verknüpfungen!$F$4,0,0,IN_Verknüpfungen!$A$2,1)))-SUM($G8:AA8)</f>
        <v>#N/A</v>
      </c>
    </row>
    <row r="9" spans="1:28" x14ac:dyDescent="0.2">
      <c r="A9" s="56" t="str">
        <f ca="1"/>
        <v>Composition 6</v>
      </c>
      <c r="B9" s="55" t="str" cm="1">
        <f t="array" aca="1" ref="B9" ca="1">IF(A9&lt;&gt;"",_xlfn.XLOOKUP(Laufwege!A9,OFFSET(IN_Verknüpfungen!L$4,0,0,IN_Verknüpfungen!A$2,1),OFFSET(IN_Verknüpfungen!N$4,0,0,IN_Verknüpfungen!A$2,1),""),"")</f>
        <v>146-3.2</v>
      </c>
      <c r="C9" s="55">
        <f ca="1">IF(A9&lt;&gt;"",SUMIFS(OFFSET(IN_Verknüpfungen!M$4,0,0,IN_Verknüpfungen!A$2,1),OFFSET(IN_Verknüpfungen!O$4,0,0,IN_Verknüpfungen!A$2,1),Laufwege!A9),0)</f>
        <v>667070</v>
      </c>
      <c r="D9" s="55" cm="1">
        <f t="array" aca="1" ref="D9" ca="1">IF(B9&lt;&gt;"",_xlfn.XLOOKUP(B9,OFFSET(IN_Stammdaten!$A$4,0,0,IN_Stammdaten!$A$2,1),OFFSET(IN_Stammdaten!$C$4,0,0,IN_Stammdaten!$A$2,1),""),"")</f>
        <v>0</v>
      </c>
      <c r="E9" s="55" t="str">
        <f t="shared" ca="1" si="0"/>
        <v>nein</v>
      </c>
      <c r="F9" s="69" t="str">
        <f t="shared" ca="1" si="1"/>
        <v>Composition 6 (146-3.2)</v>
      </c>
      <c r="G9" s="70" cm="1">
        <f t="array" aca="1" ref="G9" ca="1">_xlfn.NUMBERVALUE(_xlfn.XLOOKUP(A9,OFFSET(IN_Verknüpfungen!$L$4,0,0,IN_Verknüpfungen!$A$2,1),OFFSET(IN_Verknüpfungen!$Q$4,0,0,IN_Verknüpfungen!$A$2,1)))</f>
        <v>0.20165509259259259</v>
      </c>
      <c r="H9" s="70" cm="1">
        <f t="array" aca="1" ref="H9" ca="1">_xlfn.NUMBERVALUE(_xlfn.XLOOKUP(A9,OFFSET(IN_Verknüpfungen!$L$4,0,0,IN_Verknüpfungen!$A$2,1),OFFSET(IN_Verknüpfungen!$F$4,0,0,IN_Verknüpfungen!$A$2,1)))-G9</f>
        <v>4.1469907407407414E-2</v>
      </c>
      <c r="I9" s="70" cm="1">
        <f t="array" aca="1" ref="I9" ca="1">_xlfn.NUMBERVALUE(_xlfn.XLOOKUP(1,(OFFSET(IN_Verknüpfungen!$O$4,0,0,IN_Verknüpfungen!$A$2,1)=$A9)*(OFFSET(IN_Verknüpfungen!$P$4,0,0,IN_Verknüpfungen!$A$2,1)=J$3),OFFSET(IN_Verknüpfungen!$J$4,0,0,IN_Verknüpfungen!$A$2,1)))-SUM($G9:H9)</f>
        <v>3.5185185185185042E-3</v>
      </c>
      <c r="J9" s="70" cm="1">
        <f t="array" aca="1" ref="J9" ca="1">_xlfn.NUMBERVALUE(_xlfn.XLOOKUP(1,(OFFSET(IN_Verknüpfungen!$O$4,0,0,IN_Verknüpfungen!$A$2,1)=$A9)*(OFFSET(IN_Verknüpfungen!$P$4,0,0,IN_Verknüpfungen!$A$2,1)=J$3+1),OFFSET(IN_Verknüpfungen!$F$4,0,0,IN_Verknüpfungen!$A$2,1)))-SUM($G9:I9)</f>
        <v>3.4826388888888893E-2</v>
      </c>
      <c r="K9" s="70" cm="1">
        <f t="array" aca="1" ref="K9" ca="1">_xlfn.NUMBERVALUE(_xlfn.XLOOKUP(1,(OFFSET(IN_Verknüpfungen!$O$4,0,0,IN_Verknüpfungen!$A$2,1)=$A9)*(OFFSET(IN_Verknüpfungen!$P$4,0,0,IN_Verknüpfungen!$A$2,1)=L$3),OFFSET(IN_Verknüpfungen!$J$4,0,0,IN_Verknüpfungen!$A$2,1)))-SUM($G9:J9)</f>
        <v>7.0370370370370638E-3</v>
      </c>
      <c r="L9" s="70" cm="1">
        <f t="array" aca="1" ref="L9" ca="1">_xlfn.NUMBERVALUE(_xlfn.XLOOKUP(1,(OFFSET(IN_Verknüpfungen!$O$4,0,0,IN_Verknüpfungen!$A$2,1)=$A9)*(OFFSET(IN_Verknüpfungen!$P$4,0,0,IN_Verknüpfungen!$A$2,1)=L$3+1),OFFSET(IN_Verknüpfungen!$F$4,0,0,IN_Verknüpfungen!$A$2,1)))-SUM($G9:K9)</f>
        <v>3.7951388888888882E-2</v>
      </c>
      <c r="M9" s="70" cm="1">
        <f t="array" aca="1" ref="M9" ca="1">_xlfn.NUMBERVALUE(_xlfn.XLOOKUP(1,(OFFSET(IN_Verknüpfungen!$O$4,0,0,IN_Verknüpfungen!$A$2,1)=$A9)*(OFFSET(IN_Verknüpfungen!$P$4,0,0,IN_Verknüpfungen!$A$2,1)=N$3),OFFSET(IN_Verknüpfungen!$J$4,0,0,IN_Verknüpfungen!$A$2,1)))-SUM($G9:L9)</f>
        <v>3.5185185185184764E-3</v>
      </c>
      <c r="N9" s="70" cm="1">
        <f t="array" aca="1" ref="N9" ca="1">_xlfn.NUMBERVALUE(_xlfn.XLOOKUP(1,(OFFSET(IN_Verknüpfungen!$O$4,0,0,IN_Verknüpfungen!$A$2,1)=$A9)*(OFFSET(IN_Verknüpfungen!$P$4,0,0,IN_Verknüpfungen!$A$2,1)=N$3+1),OFFSET(IN_Verknüpfungen!$F$4,0,0,IN_Verknüpfungen!$A$2,1)))-SUM($G9:M9)</f>
        <v>3.4826388888888893E-2</v>
      </c>
      <c r="O9" s="70" cm="1">
        <f t="array" aca="1" ref="O9" ca="1">_xlfn.NUMBERVALUE(_xlfn.XLOOKUP(1,(OFFSET(IN_Verknüpfungen!$O$4,0,0,IN_Verknüpfungen!$A$2,1)=$A9)*(OFFSET(IN_Verknüpfungen!$P$4,0,0,IN_Verknüpfungen!$A$2,1)=P$3),OFFSET(IN_Verknüpfungen!$J$4,0,0,IN_Verknüpfungen!$A$2,1)))-SUM($G9:N9)</f>
        <v>7.0370370370370638E-3</v>
      </c>
      <c r="P9" s="70" cm="1">
        <f t="array" aca="1" ref="P9" ca="1">_xlfn.NUMBERVALUE(_xlfn.XLOOKUP(1,(OFFSET(IN_Verknüpfungen!$O$4,0,0,IN_Verknüpfungen!$A$2,1)=$A9)*(OFFSET(IN_Verknüpfungen!$P$4,0,0,IN_Verknüpfungen!$A$2,1)=P$3+1),OFFSET(IN_Verknüpfungen!$F$4,0,0,IN_Verknüpfungen!$A$2,1)))-SUM($G9:O9)</f>
        <v>3.7951388888888882E-2</v>
      </c>
      <c r="Q9" s="70" cm="1">
        <f t="array" aca="1" ref="Q9" ca="1">_xlfn.NUMBERVALUE(_xlfn.XLOOKUP(1,(OFFSET(IN_Verknüpfungen!$O$4,0,0,IN_Verknüpfungen!$A$2,1)=$A9)*(OFFSET(IN_Verknüpfungen!$P$4,0,0,IN_Verknüpfungen!$A$2,1)=R$3),OFFSET(IN_Verknüpfungen!$J$4,0,0,IN_Verknüpfungen!$A$2,1)))-SUM($G9:P9)</f>
        <v>3.5185185185185319E-3</v>
      </c>
      <c r="R9" s="70" cm="1">
        <f t="array" aca="1" ref="R9" ca="1">_xlfn.NUMBERVALUE(_xlfn.XLOOKUP(1,(OFFSET(IN_Verknüpfungen!$O$4,0,0,IN_Verknüpfungen!$A$2,1)=$A9)*(OFFSET(IN_Verknüpfungen!$P$4,0,0,IN_Verknüpfungen!$A$2,1)=R$3+1),OFFSET(IN_Verknüpfungen!$F$4,0,0,IN_Verknüpfungen!$A$2,1)))-SUM($G9:Q9)</f>
        <v>3.4826388888888893E-2</v>
      </c>
      <c r="S9" s="70" cm="1">
        <f t="array" aca="1" ref="S9" ca="1">_xlfn.NUMBERVALUE(_xlfn.XLOOKUP(1,(OFFSET(IN_Verknüpfungen!$O$4,0,0,IN_Verknüpfungen!$A$2,1)=$A9)*(OFFSET(IN_Verknüpfungen!$P$4,0,0,IN_Verknüpfungen!$A$2,1)=T$3),OFFSET(IN_Verknüpfungen!$J$4,0,0,IN_Verknüpfungen!$A$2,1)))-SUM($G9:R9)</f>
        <v>7.0370370370370083E-3</v>
      </c>
      <c r="T9" s="70" cm="1">
        <f t="array" aca="1" ref="T9" ca="1">_xlfn.NUMBERVALUE(_xlfn.XLOOKUP(1,(OFFSET(IN_Verknüpfungen!$O$4,0,0,IN_Verknüpfungen!$A$2,1)=$A9)*(OFFSET(IN_Verknüpfungen!$P$4,0,0,IN_Verknüpfungen!$A$2,1)=T$3+1),OFFSET(IN_Verknüpfungen!$F$4,0,0,IN_Verknüpfungen!$A$2,1)))-SUM($G9:S9)</f>
        <v>3.7951388888888882E-2</v>
      </c>
      <c r="U9" s="70" cm="1">
        <f t="array" aca="1" ref="U9" ca="1">_xlfn.NUMBERVALUE(_xlfn.XLOOKUP(1,(OFFSET(IN_Verknüpfungen!$O$4,0,0,IN_Verknüpfungen!$A$2,1)=$A9)*(OFFSET(IN_Verknüpfungen!$P$4,0,0,IN_Verknüpfungen!$A$2,1)=V$3),OFFSET(IN_Verknüpfungen!$J$4,0,0,IN_Verknüpfungen!$A$2,1)))-SUM($G9:T9)</f>
        <v>3.5185185185185319E-3</v>
      </c>
      <c r="V9" s="70" cm="1">
        <f t="array" aca="1" ref="V9" ca="1">_xlfn.NUMBERVALUE(_xlfn.XLOOKUP(1,(OFFSET(IN_Verknüpfungen!$O$4,0,0,IN_Verknüpfungen!$A$2,1)=$A9)*(OFFSET(IN_Verknüpfungen!$P$4,0,0,IN_Verknüpfungen!$A$2,1)=V$3+1),OFFSET(IN_Verknüpfungen!$F$4,0,0,IN_Verknüpfungen!$A$2,1)))-SUM($G9:U9)</f>
        <v>3.4826388888888893E-2</v>
      </c>
      <c r="W9" s="70" cm="1">
        <f t="array" aca="1" ref="W9" ca="1">_xlfn.NUMBERVALUE(_xlfn.XLOOKUP(1,(OFFSET(IN_Verknüpfungen!$O$4,0,0,IN_Verknüpfungen!$A$2,1)=$A9)*(OFFSET(IN_Verknüpfungen!$P$4,0,0,IN_Verknüpfungen!$A$2,1)=X$3),OFFSET(IN_Verknüpfungen!$J$4,0,0,IN_Verknüpfungen!$A$2,1)))-SUM($G9:V9)</f>
        <v>7.0370370370370638E-3</v>
      </c>
      <c r="X9" s="70" cm="1">
        <f t="array" aca="1" ref="X9" ca="1">_xlfn.NUMBERVALUE(_xlfn.XLOOKUP(1,(OFFSET(IN_Verknüpfungen!$O$4,0,0,IN_Verknüpfungen!$A$2,1)=$A9)*(OFFSET(IN_Verknüpfungen!$P$4,0,0,IN_Verknüpfungen!$A$2,1)=X$3+1),OFFSET(IN_Verknüpfungen!$F$4,0,0,IN_Verknüpfungen!$A$2,1)))-SUM($G9:W9)</f>
        <v>3.7951388888888826E-2</v>
      </c>
      <c r="Y9" s="70" cm="1">
        <f t="array" aca="1" ref="Y9" ca="1">_xlfn.NUMBERVALUE(_xlfn.XLOOKUP(1,(OFFSET(IN_Verknüpfungen!$O$4,0,0,IN_Verknüpfungen!$A$2,1)=$A9)*(OFFSET(IN_Verknüpfungen!$P$4,0,0,IN_Verknüpfungen!$A$2,1)=Z$3),OFFSET(IN_Verknüpfungen!$J$4,0,0,IN_Verknüpfungen!$A$2,1)))-SUM($G9:X9)</f>
        <v>3.5185185185185874E-3</v>
      </c>
      <c r="Z9" s="70" t="e" cm="1">
        <f t="array" aca="1" ref="Z9" ca="1">_xlfn.NUMBERVALUE(_xlfn.XLOOKUP(1,(OFFSET(IN_Verknüpfungen!$O$4,0,0,IN_Verknüpfungen!$A$2,1)=$A9)*(OFFSET(IN_Verknüpfungen!$P$4,0,0,IN_Verknüpfungen!$A$2,1)=Z$3+1),OFFSET(IN_Verknüpfungen!$F$4,0,0,IN_Verknüpfungen!$A$2,1)))-SUM($G9:Y9)</f>
        <v>#N/A</v>
      </c>
      <c r="AA9" s="70" t="e" cm="1">
        <f t="array" aca="1" ref="AA9" ca="1">_xlfn.NUMBERVALUE(_xlfn.XLOOKUP(1,(OFFSET(IN_Verknüpfungen!$O$4,0,0,IN_Verknüpfungen!$A$2,1)=$A9)*(OFFSET(IN_Verknüpfungen!$P$4,0,0,IN_Verknüpfungen!$A$2,1)=AB$3),OFFSET(IN_Verknüpfungen!$J$4,0,0,IN_Verknüpfungen!$A$2,1)))-SUM($G9:Z9)</f>
        <v>#N/A</v>
      </c>
      <c r="AB9" s="70" t="e" cm="1">
        <f t="array" aca="1" ref="AB9" ca="1">_xlfn.NUMBERVALUE(_xlfn.XLOOKUP(1,(OFFSET(IN_Verknüpfungen!$O$4,0,0,IN_Verknüpfungen!$A$2,1)=$A9)*(OFFSET(IN_Verknüpfungen!$P$4,0,0,IN_Verknüpfungen!$A$2,1)=AB$3+1),OFFSET(IN_Verknüpfungen!$F$4,0,0,IN_Verknüpfungen!$A$2,1)))-SUM($G9:AA9)</f>
        <v>#N/A</v>
      </c>
    </row>
    <row r="10" spans="1:28" x14ac:dyDescent="0.2">
      <c r="A10" s="56" t="str">
        <f ca="1"/>
        <v>Composition 7</v>
      </c>
      <c r="B10" s="55" t="str" cm="1">
        <f t="array" aca="1" ref="B10" ca="1">IF(A10&lt;&gt;"",_xlfn.XLOOKUP(Laufwege!A10,OFFSET(IN_Verknüpfungen!L$4,0,0,IN_Verknüpfungen!A$2,1),OFFSET(IN_Verknüpfungen!N$4,0,0,IN_Verknüpfungen!A$2,1),""),"")</f>
        <v>101-3.0</v>
      </c>
      <c r="C10" s="55">
        <f ca="1">IF(A10&lt;&gt;"",SUMIFS(OFFSET(IN_Verknüpfungen!M$4,0,0,IN_Verknüpfungen!A$2,1),OFFSET(IN_Verknüpfungen!O$4,0,0,IN_Verknüpfungen!A$2,1),Laufwege!A10),0)</f>
        <v>459064</v>
      </c>
      <c r="D10" s="55" cm="1">
        <f t="array" aca="1" ref="D10" ca="1">IF(B10&lt;&gt;"",_xlfn.XLOOKUP(B10,OFFSET(IN_Stammdaten!$A$4,0,0,IN_Stammdaten!$A$2,1),OFFSET(IN_Stammdaten!$C$4,0,0,IN_Stammdaten!$A$2,1),""),"")</f>
        <v>1010000</v>
      </c>
      <c r="E10" s="55" t="str">
        <f t="shared" ca="1" si="0"/>
        <v>nein</v>
      </c>
      <c r="F10" s="69" t="str">
        <f t="shared" ca="1" si="1"/>
        <v>Composition 7 (101-3.0)</v>
      </c>
      <c r="G10" s="70" cm="1">
        <f t="array" aca="1" ref="G10" ca="1">_xlfn.NUMBERVALUE(_xlfn.XLOOKUP(A10,OFFSET(IN_Verknüpfungen!$L$4,0,0,IN_Verknüpfungen!$A$2,1),OFFSET(IN_Verknüpfungen!$Q$4,0,0,IN_Verknüpfungen!$A$2,1)))</f>
        <v>0.20864583333333334</v>
      </c>
      <c r="H10" s="70" cm="1">
        <f t="array" aca="1" ref="H10" ca="1">_xlfn.NUMBERVALUE(_xlfn.XLOOKUP(A10,OFFSET(IN_Verknüpfungen!$L$4,0,0,IN_Verknüpfungen!$A$2,1),OFFSET(IN_Verknüpfungen!$F$4,0,0,IN_Verknüpfungen!$A$2,1)))-G10</f>
        <v>3.8020833333333337E-2</v>
      </c>
      <c r="I10" s="70" cm="1">
        <f t="array" aca="1" ref="I10" ca="1">_xlfn.NUMBERVALUE(_xlfn.XLOOKUP(1,(OFFSET(IN_Verknüpfungen!$O$4,0,0,IN_Verknüpfungen!$A$2,1)=$A10)*(OFFSET(IN_Verknüpfungen!$P$4,0,0,IN_Verknüpfungen!$A$2,1)=J$3),OFFSET(IN_Verknüpfungen!$J$4,0,0,IN_Verknüpfungen!$A$2,1)))-SUM($G10:H10)</f>
        <v>1.5138888888888896E-2</v>
      </c>
      <c r="J10" s="70" cm="1">
        <f t="array" aca="1" ref="J10" ca="1">_xlfn.NUMBERVALUE(_xlfn.XLOOKUP(1,(OFFSET(IN_Verknüpfungen!$O$4,0,0,IN_Verknüpfungen!$A$2,1)=$A10)*(OFFSET(IN_Verknüpfungen!$P$4,0,0,IN_Verknüpfungen!$A$2,1)=J$3+1),OFFSET(IN_Verknüpfungen!$F$4,0,0,IN_Verknüpfungen!$A$2,1)))-SUM($G10:I10)</f>
        <v>3.247685185185184E-2</v>
      </c>
      <c r="K10" s="70" cm="1">
        <f t="array" aca="1" ref="K10" ca="1">_xlfn.NUMBERVALUE(_xlfn.XLOOKUP(1,(OFFSET(IN_Verknüpfungen!$O$4,0,0,IN_Verknüpfungen!$A$2,1)=$A10)*(OFFSET(IN_Verknüpfungen!$P$4,0,0,IN_Verknüpfungen!$A$2,1)=L$3),OFFSET(IN_Verknüpfungen!$J$4,0,0,IN_Verknüpfungen!$A$2,1)))-SUM($G10:J10)</f>
        <v>7.569444444444462E-3</v>
      </c>
      <c r="L10" s="70" cm="1">
        <f t="array" aca="1" ref="L10" ca="1">_xlfn.NUMBERVALUE(_xlfn.XLOOKUP(1,(OFFSET(IN_Verknüpfungen!$O$4,0,0,IN_Verknüpfungen!$A$2,1)=$A10)*(OFFSET(IN_Verknüpfungen!$P$4,0,0,IN_Verknüpfungen!$A$2,1)=L$3+1),OFFSET(IN_Verknüpfungen!$F$4,0,0,IN_Verknüpfungen!$A$2,1)))-SUM($G10:K10)</f>
        <v>4.6643518518518501E-2</v>
      </c>
      <c r="M10" s="70" cm="1">
        <f t="array" aca="1" ref="M10" ca="1">_xlfn.NUMBERVALUE(_xlfn.XLOOKUP(1,(OFFSET(IN_Verknüpfungen!$O$4,0,0,IN_Verknüpfungen!$A$2,1)=$A10)*(OFFSET(IN_Verknüpfungen!$P$4,0,0,IN_Verknüpfungen!$A$2,1)=N$3),OFFSET(IN_Verknüpfungen!$J$4,0,0,IN_Verknüpfungen!$A$2,1)))-SUM($G10:L10)</f>
        <v>1.5231481481481457E-2</v>
      </c>
      <c r="N10" s="70" cm="1">
        <f t="array" aca="1" ref="N10" ca="1">_xlfn.NUMBERVALUE(_xlfn.XLOOKUP(1,(OFFSET(IN_Verknüpfungen!$O$4,0,0,IN_Verknüpfungen!$A$2,1)=$A10)*(OFFSET(IN_Verknüpfungen!$P$4,0,0,IN_Verknüpfungen!$A$2,1)=N$3+1),OFFSET(IN_Verknüpfungen!$F$4,0,0,IN_Verknüpfungen!$A$2,1)))-SUM($G10:M10)</f>
        <v>4.954861111111114E-2</v>
      </c>
      <c r="O10" s="70" cm="1">
        <f t="array" aca="1" ref="O10" ca="1">_xlfn.NUMBERVALUE(_xlfn.XLOOKUP(1,(OFFSET(IN_Verknüpfungen!$O$4,0,0,IN_Verknüpfungen!$A$2,1)=$A10)*(OFFSET(IN_Verknüpfungen!$P$4,0,0,IN_Verknüpfungen!$A$2,1)=P$3),OFFSET(IN_Verknüpfungen!$J$4,0,0,IN_Verknüpfungen!$A$2,1)))-SUM($G10:N10)</f>
        <v>7.418981481481457E-3</v>
      </c>
      <c r="P10" s="70" cm="1">
        <f t="array" aca="1" ref="P10" ca="1">_xlfn.NUMBERVALUE(_xlfn.XLOOKUP(1,(OFFSET(IN_Verknüpfungen!$O$4,0,0,IN_Verknüpfungen!$A$2,1)=$A10)*(OFFSET(IN_Verknüpfungen!$P$4,0,0,IN_Verknüpfungen!$A$2,1)=P$3+1),OFFSET(IN_Verknüpfungen!$F$4,0,0,IN_Verknüpfungen!$A$2,1)))-SUM($G10:O10)</f>
        <v>3.4305555555555589E-2</v>
      </c>
      <c r="Q10" s="70" cm="1">
        <f t="array" aca="1" ref="Q10" ca="1">_xlfn.NUMBERVALUE(_xlfn.XLOOKUP(1,(OFFSET(IN_Verknüpfungen!$O$4,0,0,IN_Verknüpfungen!$A$2,1)=$A10)*(OFFSET(IN_Verknüpfungen!$P$4,0,0,IN_Verknüpfungen!$A$2,1)=R$3),OFFSET(IN_Verknüpfungen!$J$4,0,0,IN_Verknüpfungen!$A$2,1)))-SUM($G10:P10)</f>
        <v>1.5138888888888868E-2</v>
      </c>
      <c r="R10" s="70" cm="1">
        <f t="array" aca="1" ref="R10" ca="1">_xlfn.NUMBERVALUE(_xlfn.XLOOKUP(1,(OFFSET(IN_Verknüpfungen!$O$4,0,0,IN_Verknüpfungen!$A$2,1)=$A10)*(OFFSET(IN_Verknüpfungen!$P$4,0,0,IN_Verknüpfungen!$A$2,1)=R$3+1),OFFSET(IN_Verknüpfungen!$F$4,0,0,IN_Verknüpfungen!$A$2,1)))-SUM($G10:Q10)</f>
        <v>3.2476851851851896E-2</v>
      </c>
      <c r="S10" s="70" cm="1">
        <f t="array" aca="1" ref="S10" ca="1">_xlfn.NUMBERVALUE(_xlfn.XLOOKUP(1,(OFFSET(IN_Verknüpfungen!$O$4,0,0,IN_Verknüpfungen!$A$2,1)=$A10)*(OFFSET(IN_Verknüpfungen!$P$4,0,0,IN_Verknüpfungen!$A$2,1)=T$3),OFFSET(IN_Verknüpfungen!$J$4,0,0,IN_Verknüpfungen!$A$2,1)))-SUM($G10:R10)</f>
        <v>7.5694444444444065E-3</v>
      </c>
      <c r="T10" s="70" cm="1">
        <f t="array" aca="1" ref="T10" ca="1">_xlfn.NUMBERVALUE(_xlfn.XLOOKUP(1,(OFFSET(IN_Verknüpfungen!$O$4,0,0,IN_Verknüpfungen!$A$2,1)=$A10)*(OFFSET(IN_Verknüpfungen!$P$4,0,0,IN_Verknüpfungen!$A$2,1)=T$3+1),OFFSET(IN_Verknüpfungen!$F$4,0,0,IN_Verknüpfungen!$A$2,1)))-SUM($G10:S10)</f>
        <v>4.6643518518518556E-2</v>
      </c>
      <c r="U10" s="70" cm="1">
        <f t="array" aca="1" ref="U10" ca="1">_xlfn.NUMBERVALUE(_xlfn.XLOOKUP(1,(OFFSET(IN_Verknüpfungen!$O$4,0,0,IN_Verknüpfungen!$A$2,1)=$A10)*(OFFSET(IN_Verknüpfungen!$P$4,0,0,IN_Verknüpfungen!$A$2,1)=V$3),OFFSET(IN_Verknüpfungen!$J$4,0,0,IN_Verknüpfungen!$A$2,1)))-SUM($G10:T10)</f>
        <v>1.5231481481481457E-2</v>
      </c>
      <c r="V10" s="70" t="e" cm="1">
        <f t="array" aca="1" ref="V10" ca="1">_xlfn.NUMBERVALUE(_xlfn.XLOOKUP(1,(OFFSET(IN_Verknüpfungen!$O$4,0,0,IN_Verknüpfungen!$A$2,1)=$A10)*(OFFSET(IN_Verknüpfungen!$P$4,0,0,IN_Verknüpfungen!$A$2,1)=V$3+1),OFFSET(IN_Verknüpfungen!$F$4,0,0,IN_Verknüpfungen!$A$2,1)))-SUM($G10:U10)</f>
        <v>#N/A</v>
      </c>
      <c r="W10" s="70" t="e" cm="1">
        <f t="array" aca="1" ref="W10" ca="1">_xlfn.NUMBERVALUE(_xlfn.XLOOKUP(1,(OFFSET(IN_Verknüpfungen!$O$4,0,0,IN_Verknüpfungen!$A$2,1)=$A10)*(OFFSET(IN_Verknüpfungen!$P$4,0,0,IN_Verknüpfungen!$A$2,1)=X$3),OFFSET(IN_Verknüpfungen!$J$4,0,0,IN_Verknüpfungen!$A$2,1)))-SUM($G10:V10)</f>
        <v>#N/A</v>
      </c>
      <c r="X10" s="70" t="e" cm="1">
        <f t="array" aca="1" ref="X10" ca="1">_xlfn.NUMBERVALUE(_xlfn.XLOOKUP(1,(OFFSET(IN_Verknüpfungen!$O$4,0,0,IN_Verknüpfungen!$A$2,1)=$A10)*(OFFSET(IN_Verknüpfungen!$P$4,0,0,IN_Verknüpfungen!$A$2,1)=X$3+1),OFFSET(IN_Verknüpfungen!$F$4,0,0,IN_Verknüpfungen!$A$2,1)))-SUM($G10:W10)</f>
        <v>#N/A</v>
      </c>
      <c r="Y10" s="70" t="e" cm="1">
        <f t="array" aca="1" ref="Y10" ca="1">_xlfn.NUMBERVALUE(_xlfn.XLOOKUP(1,(OFFSET(IN_Verknüpfungen!$O$4,0,0,IN_Verknüpfungen!$A$2,1)=$A10)*(OFFSET(IN_Verknüpfungen!$P$4,0,0,IN_Verknüpfungen!$A$2,1)=Z$3),OFFSET(IN_Verknüpfungen!$J$4,0,0,IN_Verknüpfungen!$A$2,1)))-SUM($G10:X10)</f>
        <v>#N/A</v>
      </c>
      <c r="Z10" s="70" t="e" cm="1">
        <f t="array" aca="1" ref="Z10" ca="1">_xlfn.NUMBERVALUE(_xlfn.XLOOKUP(1,(OFFSET(IN_Verknüpfungen!$O$4,0,0,IN_Verknüpfungen!$A$2,1)=$A10)*(OFFSET(IN_Verknüpfungen!$P$4,0,0,IN_Verknüpfungen!$A$2,1)=Z$3+1),OFFSET(IN_Verknüpfungen!$F$4,0,0,IN_Verknüpfungen!$A$2,1)))-SUM($G10:Y10)</f>
        <v>#N/A</v>
      </c>
      <c r="AA10" s="70" t="e" cm="1">
        <f t="array" aca="1" ref="AA10" ca="1">_xlfn.NUMBERVALUE(_xlfn.XLOOKUP(1,(OFFSET(IN_Verknüpfungen!$O$4,0,0,IN_Verknüpfungen!$A$2,1)=$A10)*(OFFSET(IN_Verknüpfungen!$P$4,0,0,IN_Verknüpfungen!$A$2,1)=AB$3),OFFSET(IN_Verknüpfungen!$J$4,0,0,IN_Verknüpfungen!$A$2,1)))-SUM($G10:Z10)</f>
        <v>#N/A</v>
      </c>
      <c r="AB10" s="70" t="e" cm="1">
        <f t="array" aca="1" ref="AB10" ca="1">_xlfn.NUMBERVALUE(_xlfn.XLOOKUP(1,(OFFSET(IN_Verknüpfungen!$O$4,0,0,IN_Verknüpfungen!$A$2,1)=$A10)*(OFFSET(IN_Verknüpfungen!$P$4,0,0,IN_Verknüpfungen!$A$2,1)=AB$3+1),OFFSET(IN_Verknüpfungen!$F$4,0,0,IN_Verknüpfungen!$A$2,1)))-SUM($G10:AA10)</f>
        <v>#N/A</v>
      </c>
    </row>
    <row r="11" spans="1:28" x14ac:dyDescent="0.2">
      <c r="A11" s="56" t="str">
        <f ca="1"/>
        <v>Composition 8</v>
      </c>
      <c r="B11" s="55" t="str" cm="1">
        <f t="array" aca="1" ref="B11" ca="1">IF(A11&lt;&gt;"",_xlfn.XLOOKUP(Laufwege!A11,OFFSET(IN_Verknüpfungen!L$4,0,0,IN_Verknüpfungen!A$2,1),OFFSET(IN_Verknüpfungen!N$4,0,0,IN_Verknüpfungen!A$2,1),""),"")</f>
        <v>101-3.0</v>
      </c>
      <c r="C11" s="55">
        <f ca="1">IF(A11&lt;&gt;"",SUMIFS(OFFSET(IN_Verknüpfungen!M$4,0,0,IN_Verknüpfungen!A$2,1),OFFSET(IN_Verknüpfungen!O$4,0,0,IN_Verknüpfungen!A$2,1),Laufwege!A11),0)</f>
        <v>459064</v>
      </c>
      <c r="D11" s="55" cm="1">
        <f t="array" aca="1" ref="D11" ca="1">IF(B11&lt;&gt;"",_xlfn.XLOOKUP(B11,OFFSET(IN_Stammdaten!$A$4,0,0,IN_Stammdaten!$A$2,1),OFFSET(IN_Stammdaten!$C$4,0,0,IN_Stammdaten!$A$2,1),""),"")</f>
        <v>1010000</v>
      </c>
      <c r="E11" s="55" t="str">
        <f t="shared" ca="1" si="0"/>
        <v>nein</v>
      </c>
      <c r="F11" s="69" t="str">
        <f t="shared" ca="1" si="1"/>
        <v>Composition 8 (101-3.0)</v>
      </c>
      <c r="G11" s="70" cm="1">
        <f t="array" aca="1" ref="G11" ca="1">_xlfn.NUMBERVALUE(_xlfn.XLOOKUP(A11,OFFSET(IN_Verknüpfungen!$L$4,0,0,IN_Verknüpfungen!$A$2,1),OFFSET(IN_Verknüpfungen!$Q$4,0,0,IN_Verknüpfungen!$A$2,1)))</f>
        <v>0.21256944444444445</v>
      </c>
      <c r="H11" s="70" cm="1">
        <f t="array" aca="1" ref="H11" ca="1">_xlfn.NUMBERVALUE(_xlfn.XLOOKUP(A11,OFFSET(IN_Verknüpfungen!$L$4,0,0,IN_Verknüpfungen!$A$2,1),OFFSET(IN_Verknüpfungen!$F$4,0,0,IN_Verknüpfungen!$A$2,1)))-G11</f>
        <v>4.0046296296296274E-2</v>
      </c>
      <c r="I11" s="70" cm="1">
        <f t="array" aca="1" ref="I11" ca="1">_xlfn.NUMBERVALUE(_xlfn.XLOOKUP(1,(OFFSET(IN_Verknüpfungen!$O$4,0,0,IN_Verknüpfungen!$A$2,1)=$A11)*(OFFSET(IN_Verknüpfungen!$P$4,0,0,IN_Verknüpfungen!$A$2,1)=J$3),OFFSET(IN_Verknüpfungen!$J$4,0,0,IN_Verknüpfungen!$A$2,1)))-SUM($G11:H11)</f>
        <v>7.569444444444462E-3</v>
      </c>
      <c r="J11" s="70" cm="1">
        <f t="array" aca="1" ref="J11" ca="1">_xlfn.NUMBERVALUE(_xlfn.XLOOKUP(1,(OFFSET(IN_Verknüpfungen!$O$4,0,0,IN_Verknüpfungen!$A$2,1)=$A11)*(OFFSET(IN_Verknüpfungen!$P$4,0,0,IN_Verknüpfungen!$A$2,1)=J$3+1),OFFSET(IN_Verknüpfungen!$F$4,0,0,IN_Verknüpfungen!$A$2,1)))-SUM($G11:I11)</f>
        <v>4.6643518518518501E-2</v>
      </c>
      <c r="K11" s="70" cm="1">
        <f t="array" aca="1" ref="K11" ca="1">_xlfn.NUMBERVALUE(_xlfn.XLOOKUP(1,(OFFSET(IN_Verknüpfungen!$O$4,0,0,IN_Verknüpfungen!$A$2,1)=$A11)*(OFFSET(IN_Verknüpfungen!$P$4,0,0,IN_Verknüpfungen!$A$2,1)=L$3),OFFSET(IN_Verknüpfungen!$J$4,0,0,IN_Verknüpfungen!$A$2,1)))-SUM($G11:J11)</f>
        <v>1.5231481481481512E-2</v>
      </c>
      <c r="L11" s="70" cm="1">
        <f t="array" aca="1" ref="L11" ca="1">_xlfn.NUMBERVALUE(_xlfn.XLOOKUP(1,(OFFSET(IN_Verknüpfungen!$O$4,0,0,IN_Verknüpfungen!$A$2,1)=$A11)*(OFFSET(IN_Verknüpfungen!$P$4,0,0,IN_Verknüpfungen!$A$2,1)=L$3+1),OFFSET(IN_Verknüpfungen!$F$4,0,0,IN_Verknüpfungen!$A$2,1)))-SUM($G11:K11)</f>
        <v>4.9548611111111085E-2</v>
      </c>
      <c r="M11" s="70" cm="1">
        <f t="array" aca="1" ref="M11" ca="1">_xlfn.NUMBERVALUE(_xlfn.XLOOKUP(1,(OFFSET(IN_Verknüpfungen!$O$4,0,0,IN_Verknüpfungen!$A$2,1)=$A11)*(OFFSET(IN_Verknüpfungen!$P$4,0,0,IN_Verknüpfungen!$A$2,1)=N$3),OFFSET(IN_Verknüpfungen!$J$4,0,0,IN_Verknüpfungen!$A$2,1)))-SUM($G11:L11)</f>
        <v>7.4189814814815125E-3</v>
      </c>
      <c r="N11" s="70" cm="1">
        <f t="array" aca="1" ref="N11" ca="1">_xlfn.NUMBERVALUE(_xlfn.XLOOKUP(1,(OFFSET(IN_Verknüpfungen!$O$4,0,0,IN_Verknüpfungen!$A$2,1)=$A11)*(OFFSET(IN_Verknüpfungen!$P$4,0,0,IN_Verknüpfungen!$A$2,1)=N$3+1),OFFSET(IN_Verknüpfungen!$F$4,0,0,IN_Verknüpfungen!$A$2,1)))-SUM($G11:M11)</f>
        <v>3.4305555555555534E-2</v>
      </c>
      <c r="O11" s="70" cm="1">
        <f t="array" aca="1" ref="O11" ca="1">_xlfn.NUMBERVALUE(_xlfn.XLOOKUP(1,(OFFSET(IN_Verknüpfungen!$O$4,0,0,IN_Verknüpfungen!$A$2,1)=$A11)*(OFFSET(IN_Verknüpfungen!$P$4,0,0,IN_Verknüpfungen!$A$2,1)=P$3),OFFSET(IN_Verknüpfungen!$J$4,0,0,IN_Verknüpfungen!$A$2,1)))-SUM($G11:N11)</f>
        <v>1.5138888888888868E-2</v>
      </c>
      <c r="P11" s="70" cm="1">
        <f t="array" aca="1" ref="P11" ca="1">_xlfn.NUMBERVALUE(_xlfn.XLOOKUP(1,(OFFSET(IN_Verknüpfungen!$O$4,0,0,IN_Verknüpfungen!$A$2,1)=$A11)*(OFFSET(IN_Verknüpfungen!$P$4,0,0,IN_Verknüpfungen!$A$2,1)=P$3+1),OFFSET(IN_Verknüpfungen!$F$4,0,0,IN_Verknüpfungen!$A$2,1)))-SUM($G11:O11)</f>
        <v>3.2476851851851896E-2</v>
      </c>
      <c r="Q11" s="70" cm="1">
        <f t="array" aca="1" ref="Q11" ca="1">_xlfn.NUMBERVALUE(_xlfn.XLOOKUP(1,(OFFSET(IN_Verknüpfungen!$O$4,0,0,IN_Verknüpfungen!$A$2,1)=$A11)*(OFFSET(IN_Verknüpfungen!$P$4,0,0,IN_Verknüpfungen!$A$2,1)=R$3),OFFSET(IN_Verknüpfungen!$J$4,0,0,IN_Verknüpfungen!$A$2,1)))-SUM($G11:P11)</f>
        <v>7.5694444444444065E-3</v>
      </c>
      <c r="R11" s="70" cm="1">
        <f t="array" aca="1" ref="R11" ca="1">_xlfn.NUMBERVALUE(_xlfn.XLOOKUP(1,(OFFSET(IN_Verknüpfungen!$O$4,0,0,IN_Verknüpfungen!$A$2,1)=$A11)*(OFFSET(IN_Verknüpfungen!$P$4,0,0,IN_Verknüpfungen!$A$2,1)=R$3+1),OFFSET(IN_Verknüpfungen!$F$4,0,0,IN_Verknüpfungen!$A$2,1)))-SUM($G11:Q11)</f>
        <v>4.6643518518518501E-2</v>
      </c>
      <c r="S11" s="70" cm="1">
        <f t="array" aca="1" ref="S11" ca="1">_xlfn.NUMBERVALUE(_xlfn.XLOOKUP(1,(OFFSET(IN_Verknüpfungen!$O$4,0,0,IN_Verknüpfungen!$A$2,1)=$A11)*(OFFSET(IN_Verknüpfungen!$P$4,0,0,IN_Verknüpfungen!$A$2,1)=T$3),OFFSET(IN_Verknüpfungen!$J$4,0,0,IN_Verknüpfungen!$A$2,1)))-SUM($G11:R11)</f>
        <v>1.5231481481481568E-2</v>
      </c>
      <c r="T11" s="70" cm="1">
        <f t="array" aca="1" ref="T11" ca="1">_xlfn.NUMBERVALUE(_xlfn.XLOOKUP(1,(OFFSET(IN_Verknüpfungen!$O$4,0,0,IN_Verknüpfungen!$A$2,1)=$A11)*(OFFSET(IN_Verknüpfungen!$P$4,0,0,IN_Verknüpfungen!$A$2,1)=T$3+1),OFFSET(IN_Verknüpfungen!$F$4,0,0,IN_Verknüpfungen!$A$2,1)))-SUM($G11:S11)</f>
        <v>4.9548611111111085E-2</v>
      </c>
      <c r="U11" s="70" cm="1">
        <f t="array" aca="1" ref="U11" ca="1">_xlfn.NUMBERVALUE(_xlfn.XLOOKUP(1,(OFFSET(IN_Verknüpfungen!$O$4,0,0,IN_Verknüpfungen!$A$2,1)=$A11)*(OFFSET(IN_Verknüpfungen!$P$4,0,0,IN_Verknüpfungen!$A$2,1)=V$3),OFFSET(IN_Verknüpfungen!$J$4,0,0,IN_Verknüpfungen!$A$2,1)))-SUM($G11:T11)</f>
        <v>7.418981481481457E-3</v>
      </c>
      <c r="V11" s="70" t="e" cm="1">
        <f t="array" aca="1" ref="V11" ca="1">_xlfn.NUMBERVALUE(_xlfn.XLOOKUP(1,(OFFSET(IN_Verknüpfungen!$O$4,0,0,IN_Verknüpfungen!$A$2,1)=$A11)*(OFFSET(IN_Verknüpfungen!$P$4,0,0,IN_Verknüpfungen!$A$2,1)=V$3+1),OFFSET(IN_Verknüpfungen!$F$4,0,0,IN_Verknüpfungen!$A$2,1)))-SUM($G11:U11)</f>
        <v>#N/A</v>
      </c>
      <c r="W11" s="70" t="e" cm="1">
        <f t="array" aca="1" ref="W11" ca="1">_xlfn.NUMBERVALUE(_xlfn.XLOOKUP(1,(OFFSET(IN_Verknüpfungen!$O$4,0,0,IN_Verknüpfungen!$A$2,1)=$A11)*(OFFSET(IN_Verknüpfungen!$P$4,0,0,IN_Verknüpfungen!$A$2,1)=X$3),OFFSET(IN_Verknüpfungen!$J$4,0,0,IN_Verknüpfungen!$A$2,1)))-SUM($G11:V11)</f>
        <v>#N/A</v>
      </c>
      <c r="X11" s="70" t="e" cm="1">
        <f t="array" aca="1" ref="X11" ca="1">_xlfn.NUMBERVALUE(_xlfn.XLOOKUP(1,(OFFSET(IN_Verknüpfungen!$O$4,0,0,IN_Verknüpfungen!$A$2,1)=$A11)*(OFFSET(IN_Verknüpfungen!$P$4,0,0,IN_Verknüpfungen!$A$2,1)=X$3+1),OFFSET(IN_Verknüpfungen!$F$4,0,0,IN_Verknüpfungen!$A$2,1)))-SUM($G11:W11)</f>
        <v>#N/A</v>
      </c>
      <c r="Y11" s="70" t="e" cm="1">
        <f t="array" aca="1" ref="Y11" ca="1">_xlfn.NUMBERVALUE(_xlfn.XLOOKUP(1,(OFFSET(IN_Verknüpfungen!$O$4,0,0,IN_Verknüpfungen!$A$2,1)=$A11)*(OFFSET(IN_Verknüpfungen!$P$4,0,0,IN_Verknüpfungen!$A$2,1)=Z$3),OFFSET(IN_Verknüpfungen!$J$4,0,0,IN_Verknüpfungen!$A$2,1)))-SUM($G11:X11)</f>
        <v>#N/A</v>
      </c>
      <c r="Z11" s="70" t="e" cm="1">
        <f t="array" aca="1" ref="Z11" ca="1">_xlfn.NUMBERVALUE(_xlfn.XLOOKUP(1,(OFFSET(IN_Verknüpfungen!$O$4,0,0,IN_Verknüpfungen!$A$2,1)=$A11)*(OFFSET(IN_Verknüpfungen!$P$4,0,0,IN_Verknüpfungen!$A$2,1)=Z$3+1),OFFSET(IN_Verknüpfungen!$F$4,0,0,IN_Verknüpfungen!$A$2,1)))-SUM($G11:Y11)</f>
        <v>#N/A</v>
      </c>
      <c r="AA11" s="70" t="e" cm="1">
        <f t="array" aca="1" ref="AA11" ca="1">_xlfn.NUMBERVALUE(_xlfn.XLOOKUP(1,(OFFSET(IN_Verknüpfungen!$O$4,0,0,IN_Verknüpfungen!$A$2,1)=$A11)*(OFFSET(IN_Verknüpfungen!$P$4,0,0,IN_Verknüpfungen!$A$2,1)=AB$3),OFFSET(IN_Verknüpfungen!$J$4,0,0,IN_Verknüpfungen!$A$2,1)))-SUM($G11:Z11)</f>
        <v>#N/A</v>
      </c>
      <c r="AB11" s="70" t="e" cm="1">
        <f t="array" aca="1" ref="AB11" ca="1">_xlfn.NUMBERVALUE(_xlfn.XLOOKUP(1,(OFFSET(IN_Verknüpfungen!$O$4,0,0,IN_Verknüpfungen!$A$2,1)=$A11)*(OFFSET(IN_Verknüpfungen!$P$4,0,0,IN_Verknüpfungen!$A$2,1)=AB$3+1),OFFSET(IN_Verknüpfungen!$F$4,0,0,IN_Verknüpfungen!$A$2,1)))-SUM($G11:AA11)</f>
        <v>#N/A</v>
      </c>
    </row>
    <row r="12" spans="1:28" x14ac:dyDescent="0.2">
      <c r="A12" s="56" t="str">
        <f ca="1"/>
        <v>Composition 9</v>
      </c>
      <c r="B12" s="55" t="str" cm="1">
        <f t="array" aca="1" ref="B12" ca="1">IF(A12&lt;&gt;"",_xlfn.XLOOKUP(Laufwege!A12,OFFSET(IN_Verknüpfungen!L$4,0,0,IN_Verknüpfungen!A$2,1),OFFSET(IN_Verknüpfungen!N$4,0,0,IN_Verknüpfungen!A$2,1),""),"")</f>
        <v>146-3.2</v>
      </c>
      <c r="C12" s="55">
        <f ca="1">IF(A12&lt;&gt;"",SUMIFS(OFFSET(IN_Verknüpfungen!M$4,0,0,IN_Verknüpfungen!A$2,1),OFFSET(IN_Verknüpfungen!O$4,0,0,IN_Verknüpfungen!A$2,1),Laufwege!A12),0)</f>
        <v>313209</v>
      </c>
      <c r="D12" s="55" cm="1">
        <f t="array" aca="1" ref="D12" ca="1">IF(B12&lt;&gt;"",_xlfn.XLOOKUP(B12,OFFSET(IN_Stammdaten!$A$4,0,0,IN_Stammdaten!$A$2,1),OFFSET(IN_Stammdaten!$C$4,0,0,IN_Stammdaten!$A$2,1),""),"")</f>
        <v>0</v>
      </c>
      <c r="E12" s="55" t="str">
        <f t="shared" ca="1" si="0"/>
        <v>nein</v>
      </c>
      <c r="F12" s="69" t="str">
        <f t="shared" ca="1" si="1"/>
        <v>Composition 9 (146-3.2)</v>
      </c>
      <c r="G12" s="70" cm="1">
        <f t="array" aca="1" ref="G12" ca="1">_xlfn.NUMBERVALUE(_xlfn.XLOOKUP(A12,OFFSET(IN_Verknüpfungen!$L$4,0,0,IN_Verknüpfungen!$A$2,1),OFFSET(IN_Verknüpfungen!$Q$4,0,0,IN_Verknüpfungen!$A$2,1)))</f>
        <v>0.19527777777777777</v>
      </c>
      <c r="H12" s="70" cm="1">
        <f t="array" aca="1" ref="H12" ca="1">_xlfn.NUMBERVALUE(_xlfn.XLOOKUP(A12,OFFSET(IN_Verknüpfungen!$L$4,0,0,IN_Verknüpfungen!$A$2,1),OFFSET(IN_Verknüpfungen!$F$4,0,0,IN_Verknüpfungen!$A$2,1)))-G12</f>
        <v>5.8182870370370399E-2</v>
      </c>
      <c r="I12" s="70" cm="1">
        <f t="array" aca="1" ref="I12" ca="1">_xlfn.NUMBERVALUE(_xlfn.XLOOKUP(1,(OFFSET(IN_Verknüpfungen!$O$4,0,0,IN_Verknüpfungen!$A$2,1)=$A12)*(OFFSET(IN_Verknüpfungen!$P$4,0,0,IN_Verknüpfungen!$A$2,1)=J$3),OFFSET(IN_Verknüpfungen!$J$4,0,0,IN_Verknüpfungen!$A$2,1)))-SUM($G12:H12)</f>
        <v>3.0185185185185148E-2</v>
      </c>
      <c r="J12" s="70" cm="1">
        <f t="array" aca="1" ref="J12" ca="1">_xlfn.NUMBERVALUE(_xlfn.XLOOKUP(1,(OFFSET(IN_Verknüpfungen!$O$4,0,0,IN_Verknüpfungen!$A$2,1)=$A12)*(OFFSET(IN_Verknüpfungen!$P$4,0,0,IN_Verknüpfungen!$A$2,1)=J$3+1),OFFSET(IN_Verknüpfungen!$F$4,0,0,IN_Verknüpfungen!$A$2,1)))-SUM($G12:I12)</f>
        <v>4.6504629629629646E-2</v>
      </c>
      <c r="K12" s="70" cm="1">
        <f t="array" aca="1" ref="K12" ca="1">_xlfn.NUMBERVALUE(_xlfn.XLOOKUP(1,(OFFSET(IN_Verknüpfungen!$O$4,0,0,IN_Verknüpfungen!$A$2,1)=$A12)*(OFFSET(IN_Verknüpfungen!$P$4,0,0,IN_Verknüpfungen!$A$2,1)=L$3),OFFSET(IN_Verknüpfungen!$J$4,0,0,IN_Verknüpfungen!$A$2,1)))-SUM($G12:J12)</f>
        <v>3.2835648148148155E-2</v>
      </c>
      <c r="L12" s="70" cm="1">
        <f t="array" aca="1" ref="L12" ca="1">_xlfn.NUMBERVALUE(_xlfn.XLOOKUP(1,(OFFSET(IN_Verknüpfungen!$O$4,0,0,IN_Verknüpfungen!$A$2,1)=$A12)*(OFFSET(IN_Verknüpfungen!$P$4,0,0,IN_Verknüpfungen!$A$2,1)=L$3+1),OFFSET(IN_Verknüpfungen!$F$4,0,0,IN_Verknüpfungen!$A$2,1)))-SUM($G12:K12)</f>
        <v>4.5671296296296293E-2</v>
      </c>
      <c r="M12" s="70" cm="1">
        <f t="array" aca="1" ref="M12" ca="1">_xlfn.NUMBERVALUE(_xlfn.XLOOKUP(1,(OFFSET(IN_Verknüpfungen!$O$4,0,0,IN_Verknüpfungen!$A$2,1)=$A12)*(OFFSET(IN_Verknüpfungen!$P$4,0,0,IN_Verknüpfungen!$A$2,1)=N$3),OFFSET(IN_Verknüpfungen!$J$4,0,0,IN_Verknüpfungen!$A$2,1)))-SUM($G12:L12)</f>
        <v>1.9351851851851842E-2</v>
      </c>
      <c r="N12" s="70" cm="1">
        <f t="array" aca="1" ref="N12" ca="1">_xlfn.NUMBERVALUE(_xlfn.XLOOKUP(1,(OFFSET(IN_Verknüpfungen!$O$4,0,0,IN_Verknüpfungen!$A$2,1)=$A12)*(OFFSET(IN_Verknüpfungen!$P$4,0,0,IN_Verknüpfungen!$A$2,1)=N$3+1),OFFSET(IN_Verknüpfungen!$F$4,0,0,IN_Verknüpfungen!$A$2,1)))-SUM($G12:M12)</f>
        <v>4.5405092592592622E-2</v>
      </c>
      <c r="O12" s="70" cm="1">
        <f t="array" aca="1" ref="O12" ca="1">_xlfn.NUMBERVALUE(_xlfn.XLOOKUP(1,(OFFSET(IN_Verknüpfungen!$O$4,0,0,IN_Verknüpfungen!$A$2,1)=$A12)*(OFFSET(IN_Verknüpfungen!$P$4,0,0,IN_Verknüpfungen!$A$2,1)=P$3),OFFSET(IN_Verknüpfungen!$J$4,0,0,IN_Verknüpfungen!$A$2,1)))-SUM($G12:N12)</f>
        <v>2.7060185185185159E-2</v>
      </c>
      <c r="P12" s="70" cm="1">
        <f t="array" aca="1" ref="P12" ca="1">_xlfn.NUMBERVALUE(_xlfn.XLOOKUP(1,(OFFSET(IN_Verknüpfungen!$O$4,0,0,IN_Verknüpfungen!$A$2,1)=$A12)*(OFFSET(IN_Verknüpfungen!$P$4,0,0,IN_Verknüpfungen!$A$2,1)=P$3+1),OFFSET(IN_Verknüpfungen!$F$4,0,0,IN_Verknüpfungen!$A$2,1)))-SUM($G12:O12)</f>
        <v>4.4652777777777763E-2</v>
      </c>
      <c r="Q12" s="70" cm="1">
        <f t="array" aca="1" ref="Q12" ca="1">_xlfn.NUMBERVALUE(_xlfn.XLOOKUP(1,(OFFSET(IN_Verknüpfungen!$O$4,0,0,IN_Verknüpfungen!$A$2,1)=$A12)*(OFFSET(IN_Verknüpfungen!$P$4,0,0,IN_Verknüpfungen!$A$2,1)=R$3),OFFSET(IN_Verknüpfungen!$J$4,0,0,IN_Verknüpfungen!$A$2,1)))-SUM($G12:P12)</f>
        <v>3.0185185185185204E-2</v>
      </c>
      <c r="R12" s="70" t="e" cm="1">
        <f t="array" aca="1" ref="R12" ca="1">_xlfn.NUMBERVALUE(_xlfn.XLOOKUP(1,(OFFSET(IN_Verknüpfungen!$O$4,0,0,IN_Verknüpfungen!$A$2,1)=$A12)*(OFFSET(IN_Verknüpfungen!$P$4,0,0,IN_Verknüpfungen!$A$2,1)=R$3+1),OFFSET(IN_Verknüpfungen!$F$4,0,0,IN_Verknüpfungen!$A$2,1)))-SUM($G12:Q12)</f>
        <v>#N/A</v>
      </c>
      <c r="S12" s="70" t="e" cm="1">
        <f t="array" aca="1" ref="S12" ca="1">_xlfn.NUMBERVALUE(_xlfn.XLOOKUP(1,(OFFSET(IN_Verknüpfungen!$O$4,0,0,IN_Verknüpfungen!$A$2,1)=$A12)*(OFFSET(IN_Verknüpfungen!$P$4,0,0,IN_Verknüpfungen!$A$2,1)=T$3),OFFSET(IN_Verknüpfungen!$J$4,0,0,IN_Verknüpfungen!$A$2,1)))-SUM($G12:R12)</f>
        <v>#N/A</v>
      </c>
      <c r="T12" s="70" t="e" cm="1">
        <f t="array" aca="1" ref="T12" ca="1">_xlfn.NUMBERVALUE(_xlfn.XLOOKUP(1,(OFFSET(IN_Verknüpfungen!$O$4,0,0,IN_Verknüpfungen!$A$2,1)=$A12)*(OFFSET(IN_Verknüpfungen!$P$4,0,0,IN_Verknüpfungen!$A$2,1)=T$3+1),OFFSET(IN_Verknüpfungen!$F$4,0,0,IN_Verknüpfungen!$A$2,1)))-SUM($G12:S12)</f>
        <v>#N/A</v>
      </c>
      <c r="U12" s="70" t="e" cm="1">
        <f t="array" aca="1" ref="U12" ca="1">_xlfn.NUMBERVALUE(_xlfn.XLOOKUP(1,(OFFSET(IN_Verknüpfungen!$O$4,0,0,IN_Verknüpfungen!$A$2,1)=$A12)*(OFFSET(IN_Verknüpfungen!$P$4,0,0,IN_Verknüpfungen!$A$2,1)=V$3),OFFSET(IN_Verknüpfungen!$J$4,0,0,IN_Verknüpfungen!$A$2,1)))-SUM($G12:T12)</f>
        <v>#N/A</v>
      </c>
      <c r="V12" s="70" t="e" cm="1">
        <f t="array" aca="1" ref="V12" ca="1">_xlfn.NUMBERVALUE(_xlfn.XLOOKUP(1,(OFFSET(IN_Verknüpfungen!$O$4,0,0,IN_Verknüpfungen!$A$2,1)=$A12)*(OFFSET(IN_Verknüpfungen!$P$4,0,0,IN_Verknüpfungen!$A$2,1)=V$3+1),OFFSET(IN_Verknüpfungen!$F$4,0,0,IN_Verknüpfungen!$A$2,1)))-SUM($G12:U12)</f>
        <v>#N/A</v>
      </c>
      <c r="W12" s="70" t="e" cm="1">
        <f t="array" aca="1" ref="W12" ca="1">_xlfn.NUMBERVALUE(_xlfn.XLOOKUP(1,(OFFSET(IN_Verknüpfungen!$O$4,0,0,IN_Verknüpfungen!$A$2,1)=$A12)*(OFFSET(IN_Verknüpfungen!$P$4,0,0,IN_Verknüpfungen!$A$2,1)=X$3),OFFSET(IN_Verknüpfungen!$J$4,0,0,IN_Verknüpfungen!$A$2,1)))-SUM($G12:V12)</f>
        <v>#N/A</v>
      </c>
      <c r="X12" s="70" t="e" cm="1">
        <f t="array" aca="1" ref="X12" ca="1">_xlfn.NUMBERVALUE(_xlfn.XLOOKUP(1,(OFFSET(IN_Verknüpfungen!$O$4,0,0,IN_Verknüpfungen!$A$2,1)=$A12)*(OFFSET(IN_Verknüpfungen!$P$4,0,0,IN_Verknüpfungen!$A$2,1)=X$3+1),OFFSET(IN_Verknüpfungen!$F$4,0,0,IN_Verknüpfungen!$A$2,1)))-SUM($G12:W12)</f>
        <v>#N/A</v>
      </c>
      <c r="Y12" s="70" t="e" cm="1">
        <f t="array" aca="1" ref="Y12" ca="1">_xlfn.NUMBERVALUE(_xlfn.XLOOKUP(1,(OFFSET(IN_Verknüpfungen!$O$4,0,0,IN_Verknüpfungen!$A$2,1)=$A12)*(OFFSET(IN_Verknüpfungen!$P$4,0,0,IN_Verknüpfungen!$A$2,1)=Z$3),OFFSET(IN_Verknüpfungen!$J$4,0,0,IN_Verknüpfungen!$A$2,1)))-SUM($G12:X12)</f>
        <v>#N/A</v>
      </c>
      <c r="Z12" s="70" t="e" cm="1">
        <f t="array" aca="1" ref="Z12" ca="1">_xlfn.NUMBERVALUE(_xlfn.XLOOKUP(1,(OFFSET(IN_Verknüpfungen!$O$4,0,0,IN_Verknüpfungen!$A$2,1)=$A12)*(OFFSET(IN_Verknüpfungen!$P$4,0,0,IN_Verknüpfungen!$A$2,1)=Z$3+1),OFFSET(IN_Verknüpfungen!$F$4,0,0,IN_Verknüpfungen!$A$2,1)))-SUM($G12:Y12)</f>
        <v>#N/A</v>
      </c>
      <c r="AA12" s="70" t="e" cm="1">
        <f t="array" aca="1" ref="AA12" ca="1">_xlfn.NUMBERVALUE(_xlfn.XLOOKUP(1,(OFFSET(IN_Verknüpfungen!$O$4,0,0,IN_Verknüpfungen!$A$2,1)=$A12)*(OFFSET(IN_Verknüpfungen!$P$4,0,0,IN_Verknüpfungen!$A$2,1)=AB$3),OFFSET(IN_Verknüpfungen!$J$4,0,0,IN_Verknüpfungen!$A$2,1)))-SUM($G12:Z12)</f>
        <v>#N/A</v>
      </c>
      <c r="AB12" s="70" t="e" cm="1">
        <f t="array" aca="1" ref="AB12" ca="1">_xlfn.NUMBERVALUE(_xlfn.XLOOKUP(1,(OFFSET(IN_Verknüpfungen!$O$4,0,0,IN_Verknüpfungen!$A$2,1)=$A12)*(OFFSET(IN_Verknüpfungen!$P$4,0,0,IN_Verknüpfungen!$A$2,1)=AB$3+1),OFFSET(IN_Verknüpfungen!$F$4,0,0,IN_Verknüpfungen!$A$2,1)))-SUM($G12:AA12)</f>
        <v>#N/A</v>
      </c>
    </row>
    <row r="13" spans="1:28" x14ac:dyDescent="0.2">
      <c r="A13" s="56" t="str">
        <f ca="1"/>
        <v>Composition 10</v>
      </c>
      <c r="B13" s="55" t="str" cm="1">
        <f t="array" aca="1" ref="B13" ca="1">IF(A13&lt;&gt;"",_xlfn.XLOOKUP(Laufwege!A13,OFFSET(IN_Verknüpfungen!L$4,0,0,IN_Verknüpfungen!A$2,1),OFFSET(IN_Verknüpfungen!N$4,0,0,IN_Verknüpfungen!A$2,1),""),"")</f>
        <v>101-3.0</v>
      </c>
      <c r="C13" s="55">
        <f ca="1">IF(A13&lt;&gt;"",SUMIFS(OFFSET(IN_Verknüpfungen!M$4,0,0,IN_Verknüpfungen!A$2,1),OFFSET(IN_Verknüpfungen!O$4,0,0,IN_Verknüpfungen!A$2,1),Laufwege!A13),0)</f>
        <v>487861</v>
      </c>
      <c r="D13" s="55" cm="1">
        <f t="array" aca="1" ref="D13" ca="1">IF(B13&lt;&gt;"",_xlfn.XLOOKUP(B13,OFFSET(IN_Stammdaten!$A$4,0,0,IN_Stammdaten!$A$2,1),OFFSET(IN_Stammdaten!$C$4,0,0,IN_Stammdaten!$A$2,1),""),"")</f>
        <v>1010000</v>
      </c>
      <c r="E13" s="55" t="str">
        <f t="shared" ca="1" si="0"/>
        <v>nein</v>
      </c>
      <c r="F13" s="69" t="str">
        <f t="shared" ca="1" si="1"/>
        <v>Composition 10 (101-3.0)</v>
      </c>
      <c r="G13" s="70" cm="1">
        <f t="array" aca="1" ref="G13" ca="1">_xlfn.NUMBERVALUE(_xlfn.XLOOKUP(A13,OFFSET(IN_Verknüpfungen!$L$4,0,0,IN_Verknüpfungen!$A$2,1),OFFSET(IN_Verknüpfungen!$Q$4,0,0,IN_Verknüpfungen!$A$2,1)))</f>
        <v>0.20413194444444444</v>
      </c>
      <c r="H13" s="70" cm="1">
        <f t="array" aca="1" ref="H13" ca="1">_xlfn.NUMBERVALUE(_xlfn.XLOOKUP(A13,OFFSET(IN_Verknüpfungen!$L$4,0,0,IN_Verknüpfungen!$A$2,1),OFFSET(IN_Verknüpfungen!$F$4,0,0,IN_Verknüpfungen!$A$2,1)))-G13</f>
        <v>5.1481481481481572E-2</v>
      </c>
      <c r="I13" s="70" cm="1">
        <f t="array" aca="1" ref="I13" ca="1">_xlfn.NUMBERVALUE(_xlfn.XLOOKUP(1,(OFFSET(IN_Verknüpfungen!$O$4,0,0,IN_Verknüpfungen!$A$2,1)=$A13)*(OFFSET(IN_Verknüpfungen!$P$4,0,0,IN_Verknüpfungen!$A$2,1)=J$3),OFFSET(IN_Verknüpfungen!$J$4,0,0,IN_Verknüpfungen!$A$2,1)))-SUM($G13:H13)</f>
        <v>2.0775462962962898E-2</v>
      </c>
      <c r="J13" s="70" cm="1">
        <f t="array" aca="1" ref="J13" ca="1">_xlfn.NUMBERVALUE(_xlfn.XLOOKUP(1,(OFFSET(IN_Verknüpfungen!$O$4,0,0,IN_Verknüpfungen!$A$2,1)=$A13)*(OFFSET(IN_Verknüpfungen!$P$4,0,0,IN_Verknüpfungen!$A$2,1)=J$3+1),OFFSET(IN_Verknüpfungen!$F$4,0,0,IN_Verknüpfungen!$A$2,1)))-SUM($G13:I13)</f>
        <v>4.1423611111111092E-2</v>
      </c>
      <c r="K13" s="70" cm="1">
        <f t="array" aca="1" ref="K13" ca="1">_xlfn.NUMBERVALUE(_xlfn.XLOOKUP(1,(OFFSET(IN_Verknüpfungen!$O$4,0,0,IN_Verknüpfungen!$A$2,1)=$A13)*(OFFSET(IN_Verknüpfungen!$P$4,0,0,IN_Verknüpfungen!$A$2,1)=L$3),OFFSET(IN_Verknüpfungen!$J$4,0,0,IN_Verknüpfungen!$A$2,1)))-SUM($G13:J13)</f>
        <v>2.2650462962962969E-2</v>
      </c>
      <c r="L13" s="70" cm="1">
        <f t="array" aca="1" ref="L13" ca="1">_xlfn.NUMBERVALUE(_xlfn.XLOOKUP(1,(OFFSET(IN_Verknüpfungen!$O$4,0,0,IN_Verknüpfungen!$A$2,1)=$A13)*(OFFSET(IN_Verknüpfungen!$P$4,0,0,IN_Verknüpfungen!$A$2,1)=L$3+1),OFFSET(IN_Verknüpfungen!$F$4,0,0,IN_Verknüpfungen!$A$2,1)))-SUM($G13:K13)</f>
        <v>4.0150462962962985E-2</v>
      </c>
      <c r="M13" s="70" cm="1">
        <f t="array" aca="1" ref="M13" ca="1">_xlfn.NUMBERVALUE(_xlfn.XLOOKUP(1,(OFFSET(IN_Verknüpfungen!$O$4,0,0,IN_Verknüpfungen!$A$2,1)=$A13)*(OFFSET(IN_Verknüpfungen!$P$4,0,0,IN_Verknüpfungen!$A$2,1)=N$3),OFFSET(IN_Verknüpfungen!$J$4,0,0,IN_Verknüpfungen!$A$2,1)))-SUM($G13:L13)</f>
        <v>2.0775462962962954E-2</v>
      </c>
      <c r="N13" s="70" cm="1">
        <f t="array" aca="1" ref="N13" ca="1">_xlfn.NUMBERVALUE(_xlfn.XLOOKUP(1,(OFFSET(IN_Verknüpfungen!$O$4,0,0,IN_Verknüpfungen!$A$2,1)=$A13)*(OFFSET(IN_Verknüpfungen!$P$4,0,0,IN_Verknüpfungen!$A$2,1)=N$3+1),OFFSET(IN_Verknüpfungen!$F$4,0,0,IN_Verknüpfungen!$A$2,1)))-SUM($G13:M13)</f>
        <v>4.1423611111111092E-2</v>
      </c>
      <c r="O13" s="70" cm="1">
        <f t="array" aca="1" ref="O13" ca="1">_xlfn.NUMBERVALUE(_xlfn.XLOOKUP(1,(OFFSET(IN_Verknüpfungen!$O$4,0,0,IN_Verknüpfungen!$A$2,1)=$A13)*(OFFSET(IN_Verknüpfungen!$P$4,0,0,IN_Verknüpfungen!$A$2,1)=P$3),OFFSET(IN_Verknüpfungen!$J$4,0,0,IN_Verknüpfungen!$A$2,1)))-SUM($G13:N13)</f>
        <v>2.2650462962962969E-2</v>
      </c>
      <c r="P13" s="70" cm="1">
        <f t="array" aca="1" ref="P13" ca="1">_xlfn.NUMBERVALUE(_xlfn.XLOOKUP(1,(OFFSET(IN_Verknüpfungen!$O$4,0,0,IN_Verknüpfungen!$A$2,1)=$A13)*(OFFSET(IN_Verknüpfungen!$P$4,0,0,IN_Verknüpfungen!$A$2,1)=P$3+1),OFFSET(IN_Verknüpfungen!$F$4,0,0,IN_Verknüpfungen!$A$2,1)))-SUM($G13:O13)</f>
        <v>4.0150462962962985E-2</v>
      </c>
      <c r="Q13" s="70" cm="1">
        <f t="array" aca="1" ref="Q13" ca="1">_xlfn.NUMBERVALUE(_xlfn.XLOOKUP(1,(OFFSET(IN_Verknüpfungen!$O$4,0,0,IN_Verknüpfungen!$A$2,1)=$A13)*(OFFSET(IN_Verknüpfungen!$P$4,0,0,IN_Verknüpfungen!$A$2,1)=R$3),OFFSET(IN_Verknüpfungen!$J$4,0,0,IN_Verknüpfungen!$A$2,1)))-SUM($G13:P13)</f>
        <v>2.0775462962962954E-2</v>
      </c>
      <c r="R13" s="70" cm="1">
        <f t="array" aca="1" ref="R13" ca="1">_xlfn.NUMBERVALUE(_xlfn.XLOOKUP(1,(OFFSET(IN_Verknüpfungen!$O$4,0,0,IN_Verknüpfungen!$A$2,1)=$A13)*(OFFSET(IN_Verknüpfungen!$P$4,0,0,IN_Verknüpfungen!$A$2,1)=R$3+1),OFFSET(IN_Verknüpfungen!$F$4,0,0,IN_Verknüpfungen!$A$2,1)))-SUM($G13:Q13)</f>
        <v>4.1423611111111147E-2</v>
      </c>
      <c r="S13" s="70" cm="1">
        <f t="array" aca="1" ref="S13" ca="1">_xlfn.NUMBERVALUE(_xlfn.XLOOKUP(1,(OFFSET(IN_Verknüpfungen!$O$4,0,0,IN_Verknüpfungen!$A$2,1)=$A13)*(OFFSET(IN_Verknüpfungen!$P$4,0,0,IN_Verknüpfungen!$A$2,1)=T$3),OFFSET(IN_Verknüpfungen!$J$4,0,0,IN_Verknüpfungen!$A$2,1)))-SUM($G13:R13)</f>
        <v>2.2650462962962914E-2</v>
      </c>
      <c r="T13" s="70" t="e" cm="1">
        <f t="array" aca="1" ref="T13" ca="1">_xlfn.NUMBERVALUE(_xlfn.XLOOKUP(1,(OFFSET(IN_Verknüpfungen!$O$4,0,0,IN_Verknüpfungen!$A$2,1)=$A13)*(OFFSET(IN_Verknüpfungen!$P$4,0,0,IN_Verknüpfungen!$A$2,1)=T$3+1),OFFSET(IN_Verknüpfungen!$F$4,0,0,IN_Verknüpfungen!$A$2,1)))-SUM($G13:S13)</f>
        <v>#N/A</v>
      </c>
      <c r="U13" s="70" t="e" cm="1">
        <f t="array" aca="1" ref="U13" ca="1">_xlfn.NUMBERVALUE(_xlfn.XLOOKUP(1,(OFFSET(IN_Verknüpfungen!$O$4,0,0,IN_Verknüpfungen!$A$2,1)=$A13)*(OFFSET(IN_Verknüpfungen!$P$4,0,0,IN_Verknüpfungen!$A$2,1)=V$3),OFFSET(IN_Verknüpfungen!$J$4,0,0,IN_Verknüpfungen!$A$2,1)))-SUM($G13:T13)</f>
        <v>#N/A</v>
      </c>
      <c r="V13" s="70" t="e" cm="1">
        <f t="array" aca="1" ref="V13" ca="1">_xlfn.NUMBERVALUE(_xlfn.XLOOKUP(1,(OFFSET(IN_Verknüpfungen!$O$4,0,0,IN_Verknüpfungen!$A$2,1)=$A13)*(OFFSET(IN_Verknüpfungen!$P$4,0,0,IN_Verknüpfungen!$A$2,1)=V$3+1),OFFSET(IN_Verknüpfungen!$F$4,0,0,IN_Verknüpfungen!$A$2,1)))-SUM($G13:U13)</f>
        <v>#N/A</v>
      </c>
      <c r="W13" s="70" t="e" cm="1">
        <f t="array" aca="1" ref="W13" ca="1">_xlfn.NUMBERVALUE(_xlfn.XLOOKUP(1,(OFFSET(IN_Verknüpfungen!$O$4,0,0,IN_Verknüpfungen!$A$2,1)=$A13)*(OFFSET(IN_Verknüpfungen!$P$4,0,0,IN_Verknüpfungen!$A$2,1)=X$3),OFFSET(IN_Verknüpfungen!$J$4,0,0,IN_Verknüpfungen!$A$2,1)))-SUM($G13:V13)</f>
        <v>#N/A</v>
      </c>
      <c r="X13" s="70" t="e" cm="1">
        <f t="array" aca="1" ref="X13" ca="1">_xlfn.NUMBERVALUE(_xlfn.XLOOKUP(1,(OFFSET(IN_Verknüpfungen!$O$4,0,0,IN_Verknüpfungen!$A$2,1)=$A13)*(OFFSET(IN_Verknüpfungen!$P$4,0,0,IN_Verknüpfungen!$A$2,1)=X$3+1),OFFSET(IN_Verknüpfungen!$F$4,0,0,IN_Verknüpfungen!$A$2,1)))-SUM($G13:W13)</f>
        <v>#N/A</v>
      </c>
      <c r="Y13" s="70" t="e" cm="1">
        <f t="array" aca="1" ref="Y13" ca="1">_xlfn.NUMBERVALUE(_xlfn.XLOOKUP(1,(OFFSET(IN_Verknüpfungen!$O$4,0,0,IN_Verknüpfungen!$A$2,1)=$A13)*(OFFSET(IN_Verknüpfungen!$P$4,0,0,IN_Verknüpfungen!$A$2,1)=Z$3),OFFSET(IN_Verknüpfungen!$J$4,0,0,IN_Verknüpfungen!$A$2,1)))-SUM($G13:X13)</f>
        <v>#N/A</v>
      </c>
      <c r="Z13" s="70" t="e" cm="1">
        <f t="array" aca="1" ref="Z13" ca="1">_xlfn.NUMBERVALUE(_xlfn.XLOOKUP(1,(OFFSET(IN_Verknüpfungen!$O$4,0,0,IN_Verknüpfungen!$A$2,1)=$A13)*(OFFSET(IN_Verknüpfungen!$P$4,0,0,IN_Verknüpfungen!$A$2,1)=Z$3+1),OFFSET(IN_Verknüpfungen!$F$4,0,0,IN_Verknüpfungen!$A$2,1)))-SUM($G13:Y13)</f>
        <v>#N/A</v>
      </c>
      <c r="AA13" s="70" t="e" cm="1">
        <f t="array" aca="1" ref="AA13" ca="1">_xlfn.NUMBERVALUE(_xlfn.XLOOKUP(1,(OFFSET(IN_Verknüpfungen!$O$4,0,0,IN_Verknüpfungen!$A$2,1)=$A13)*(OFFSET(IN_Verknüpfungen!$P$4,0,0,IN_Verknüpfungen!$A$2,1)=AB$3),OFFSET(IN_Verknüpfungen!$J$4,0,0,IN_Verknüpfungen!$A$2,1)))-SUM($G13:Z13)</f>
        <v>#N/A</v>
      </c>
      <c r="AB13" s="70" t="e" cm="1">
        <f t="array" aca="1" ref="AB13" ca="1">_xlfn.NUMBERVALUE(_xlfn.XLOOKUP(1,(OFFSET(IN_Verknüpfungen!$O$4,0,0,IN_Verknüpfungen!$A$2,1)=$A13)*(OFFSET(IN_Verknüpfungen!$P$4,0,0,IN_Verknüpfungen!$A$2,1)=AB$3+1),OFFSET(IN_Verknüpfungen!$F$4,0,0,IN_Verknüpfungen!$A$2,1)))-SUM($G13:AA13)</f>
        <v>#N/A</v>
      </c>
    </row>
    <row r="14" spans="1:28" x14ac:dyDescent="0.2">
      <c r="A14" s="56" t="str">
        <f ca="1"/>
        <v>Composition 11</v>
      </c>
      <c r="B14" s="55" t="str" cm="1">
        <f t="array" aca="1" ref="B14" ca="1">IF(A14&lt;&gt;"",_xlfn.XLOOKUP(Laufwege!A14,OFFSET(IN_Verknüpfungen!L$4,0,0,IN_Verknüpfungen!A$2,1),OFFSET(IN_Verknüpfungen!N$4,0,0,IN_Verknüpfungen!A$2,1),""),"")</f>
        <v>146-3.2</v>
      </c>
      <c r="C14" s="55">
        <f ca="1">IF(A14&lt;&gt;"",SUMIFS(OFFSET(IN_Verknüpfungen!M$4,0,0,IN_Verknüpfungen!A$2,1),OFFSET(IN_Verknüpfungen!O$4,0,0,IN_Verknüpfungen!A$2,1),Laufwege!A14),0)</f>
        <v>475682</v>
      </c>
      <c r="D14" s="55" cm="1">
        <f t="array" aca="1" ref="D14" ca="1">IF(B14&lt;&gt;"",_xlfn.XLOOKUP(B14,OFFSET(IN_Stammdaten!$A$4,0,0,IN_Stammdaten!$A$2,1),OFFSET(IN_Stammdaten!$C$4,0,0,IN_Stammdaten!$A$2,1),""),"")</f>
        <v>0</v>
      </c>
      <c r="E14" s="55" t="str">
        <f t="shared" ca="1" si="0"/>
        <v>nein</v>
      </c>
      <c r="F14" s="69" t="str">
        <f t="shared" ca="1" si="1"/>
        <v>Composition 11 (146-3.2)</v>
      </c>
      <c r="G14" s="70" cm="1">
        <f t="array" aca="1" ref="G14" ca="1">_xlfn.NUMBERVALUE(_xlfn.XLOOKUP(A14,OFFSET(IN_Verknüpfungen!$L$4,0,0,IN_Verknüpfungen!$A$2,1),OFFSET(IN_Verknüpfungen!$Q$4,0,0,IN_Verknüpfungen!$A$2,1)))</f>
        <v>0.20171296296296296</v>
      </c>
      <c r="H14" s="70" cm="1">
        <f t="array" aca="1" ref="H14" ca="1">_xlfn.NUMBERVALUE(_xlfn.XLOOKUP(A14,OFFSET(IN_Verknüpfungen!$L$4,0,0,IN_Verknüpfungen!$A$2,1),OFFSET(IN_Verknüpfungen!$F$4,0,0,IN_Verknüpfungen!$A$2,1)))-G14</f>
        <v>5.8819444444444452E-2</v>
      </c>
      <c r="I14" s="70" cm="1">
        <f t="array" aca="1" ref="I14" ca="1">_xlfn.NUMBERVALUE(_xlfn.XLOOKUP(1,(OFFSET(IN_Verknüpfungen!$O$4,0,0,IN_Verknüpfungen!$A$2,1)=$A14)*(OFFSET(IN_Verknüpfungen!$P$4,0,0,IN_Verknüpfungen!$A$2,1)=J$3),OFFSET(IN_Verknüpfungen!$J$4,0,0,IN_Verknüpfungen!$A$2,1)))-SUM($G14:H14)</f>
        <v>8.9699074074073848E-3</v>
      </c>
      <c r="J14" s="70" cm="1">
        <f t="array" aca="1" ref="J14" ca="1">_xlfn.NUMBERVALUE(_xlfn.XLOOKUP(1,(OFFSET(IN_Verknüpfungen!$O$4,0,0,IN_Verknüpfungen!$A$2,1)=$A14)*(OFFSET(IN_Verknüpfungen!$P$4,0,0,IN_Verknüpfungen!$A$2,1)=J$3+1),OFFSET(IN_Verknüpfungen!$F$4,0,0,IN_Verknüpfungen!$A$2,1)))-SUM($G14:I14)</f>
        <v>3.8981481481481506E-2</v>
      </c>
      <c r="K14" s="70" cm="1">
        <f t="array" aca="1" ref="K14" ca="1">_xlfn.NUMBERVALUE(_xlfn.XLOOKUP(1,(OFFSET(IN_Verknüpfungen!$O$4,0,0,IN_Verknüpfungen!$A$2,1)=$A14)*(OFFSET(IN_Verknüpfungen!$P$4,0,0,IN_Verknüpfungen!$A$2,1)=L$3),OFFSET(IN_Verknüpfungen!$J$4,0,0,IN_Verknüpfungen!$A$2,1)))-SUM($G14:J14)</f>
        <v>3.6458333333333315E-2</v>
      </c>
      <c r="L14" s="70" cm="1">
        <f t="array" aca="1" ref="L14" ca="1">_xlfn.NUMBERVALUE(_xlfn.XLOOKUP(1,(OFFSET(IN_Verknüpfungen!$O$4,0,0,IN_Verknüpfungen!$A$2,1)=$A14)*(OFFSET(IN_Verknüpfungen!$P$4,0,0,IN_Verknüpfungen!$A$2,1)=L$3+1),OFFSET(IN_Verknüpfungen!$F$4,0,0,IN_Verknüpfungen!$A$2,1)))-SUM($G14:K14)</f>
        <v>4.0590277777777795E-2</v>
      </c>
      <c r="M14" s="70" cm="1">
        <f t="array" aca="1" ref="M14" ca="1">_xlfn.NUMBERVALUE(_xlfn.XLOOKUP(1,(OFFSET(IN_Verknüpfungen!$O$4,0,0,IN_Verknüpfungen!$A$2,1)=$A14)*(OFFSET(IN_Verknüpfungen!$P$4,0,0,IN_Verknüpfungen!$A$2,1)=N$3),OFFSET(IN_Verknüpfungen!$J$4,0,0,IN_Verknüpfungen!$A$2,1)))-SUM($G14:L14)</f>
        <v>8.9699074074073848E-3</v>
      </c>
      <c r="N14" s="70" cm="1">
        <f t="array" aca="1" ref="N14" ca="1">_xlfn.NUMBERVALUE(_xlfn.XLOOKUP(1,(OFFSET(IN_Verknüpfungen!$O$4,0,0,IN_Verknüpfungen!$A$2,1)=$A14)*(OFFSET(IN_Verknüpfungen!$P$4,0,0,IN_Verknüpfungen!$A$2,1)=N$3+1),OFFSET(IN_Verknüpfungen!$F$4,0,0,IN_Verknüpfungen!$A$2,1)))-SUM($G14:M14)</f>
        <v>3.8981481481481506E-2</v>
      </c>
      <c r="O14" s="70" cm="1">
        <f t="array" aca="1" ref="O14" ca="1">_xlfn.NUMBERVALUE(_xlfn.XLOOKUP(1,(OFFSET(IN_Verknüpfungen!$O$4,0,0,IN_Verknüpfungen!$A$2,1)=$A14)*(OFFSET(IN_Verknüpfungen!$P$4,0,0,IN_Verknüpfungen!$A$2,1)=P$3),OFFSET(IN_Verknüpfungen!$J$4,0,0,IN_Verknüpfungen!$A$2,1)))-SUM($G14:N14)</f>
        <v>3.6458333333333315E-2</v>
      </c>
      <c r="P14" s="70" cm="1">
        <f t="array" aca="1" ref="P14" ca="1">_xlfn.NUMBERVALUE(_xlfn.XLOOKUP(1,(OFFSET(IN_Verknüpfungen!$O$4,0,0,IN_Verknüpfungen!$A$2,1)=$A14)*(OFFSET(IN_Verknüpfungen!$P$4,0,0,IN_Verknüpfungen!$A$2,1)=P$3+1),OFFSET(IN_Verknüpfungen!$F$4,0,0,IN_Verknüpfungen!$A$2,1)))-SUM($G14:O14)</f>
        <v>4.059027777777785E-2</v>
      </c>
      <c r="Q14" s="70" cm="1">
        <f t="array" aca="1" ref="Q14" ca="1">_xlfn.NUMBERVALUE(_xlfn.XLOOKUP(1,(OFFSET(IN_Verknüpfungen!$O$4,0,0,IN_Verknüpfungen!$A$2,1)=$A14)*(OFFSET(IN_Verknüpfungen!$P$4,0,0,IN_Verknüpfungen!$A$2,1)=R$3),OFFSET(IN_Verknüpfungen!$J$4,0,0,IN_Verknüpfungen!$A$2,1)))-SUM($G14:P14)</f>
        <v>8.9699074074073293E-3</v>
      </c>
      <c r="R14" s="70" cm="1">
        <f t="array" aca="1" ref="R14" ca="1">_xlfn.NUMBERVALUE(_xlfn.XLOOKUP(1,(OFFSET(IN_Verknüpfungen!$O$4,0,0,IN_Verknüpfungen!$A$2,1)=$A14)*(OFFSET(IN_Verknüpfungen!$P$4,0,0,IN_Verknüpfungen!$A$2,1)=R$3+1),OFFSET(IN_Verknüpfungen!$F$4,0,0,IN_Verknüpfungen!$A$2,1)))-SUM($G14:Q14)</f>
        <v>3.8981481481481506E-2</v>
      </c>
      <c r="S14" s="70" cm="1">
        <f t="array" aca="1" ref="S14" ca="1">_xlfn.NUMBERVALUE(_xlfn.XLOOKUP(1,(OFFSET(IN_Verknüpfungen!$O$4,0,0,IN_Verknüpfungen!$A$2,1)=$A14)*(OFFSET(IN_Verknüpfungen!$P$4,0,0,IN_Verknüpfungen!$A$2,1)=T$3),OFFSET(IN_Verknüpfungen!$J$4,0,0,IN_Verknüpfungen!$A$2,1)))-SUM($G14:R14)</f>
        <v>3.645833333333337E-2</v>
      </c>
      <c r="T14" s="70" t="e" cm="1">
        <f t="array" aca="1" ref="T14" ca="1">_xlfn.NUMBERVALUE(_xlfn.XLOOKUP(1,(OFFSET(IN_Verknüpfungen!$O$4,0,0,IN_Verknüpfungen!$A$2,1)=$A14)*(OFFSET(IN_Verknüpfungen!$P$4,0,0,IN_Verknüpfungen!$A$2,1)=T$3+1),OFFSET(IN_Verknüpfungen!$F$4,0,0,IN_Verknüpfungen!$A$2,1)))-SUM($G14:S14)</f>
        <v>#N/A</v>
      </c>
      <c r="U14" s="70" t="e" cm="1">
        <f t="array" aca="1" ref="U14" ca="1">_xlfn.NUMBERVALUE(_xlfn.XLOOKUP(1,(OFFSET(IN_Verknüpfungen!$O$4,0,0,IN_Verknüpfungen!$A$2,1)=$A14)*(OFFSET(IN_Verknüpfungen!$P$4,0,0,IN_Verknüpfungen!$A$2,1)=V$3),OFFSET(IN_Verknüpfungen!$J$4,0,0,IN_Verknüpfungen!$A$2,1)))-SUM($G14:T14)</f>
        <v>#N/A</v>
      </c>
      <c r="V14" s="70" t="e" cm="1">
        <f t="array" aca="1" ref="V14" ca="1">_xlfn.NUMBERVALUE(_xlfn.XLOOKUP(1,(OFFSET(IN_Verknüpfungen!$O$4,0,0,IN_Verknüpfungen!$A$2,1)=$A14)*(OFFSET(IN_Verknüpfungen!$P$4,0,0,IN_Verknüpfungen!$A$2,1)=V$3+1),OFFSET(IN_Verknüpfungen!$F$4,0,0,IN_Verknüpfungen!$A$2,1)))-SUM($G14:U14)</f>
        <v>#N/A</v>
      </c>
      <c r="W14" s="70" t="e" cm="1">
        <f t="array" aca="1" ref="W14" ca="1">_xlfn.NUMBERVALUE(_xlfn.XLOOKUP(1,(OFFSET(IN_Verknüpfungen!$O$4,0,0,IN_Verknüpfungen!$A$2,1)=$A14)*(OFFSET(IN_Verknüpfungen!$P$4,0,0,IN_Verknüpfungen!$A$2,1)=X$3),OFFSET(IN_Verknüpfungen!$J$4,0,0,IN_Verknüpfungen!$A$2,1)))-SUM($G14:V14)</f>
        <v>#N/A</v>
      </c>
      <c r="X14" s="70" t="e" cm="1">
        <f t="array" aca="1" ref="X14" ca="1">_xlfn.NUMBERVALUE(_xlfn.XLOOKUP(1,(OFFSET(IN_Verknüpfungen!$O$4,0,0,IN_Verknüpfungen!$A$2,1)=$A14)*(OFFSET(IN_Verknüpfungen!$P$4,0,0,IN_Verknüpfungen!$A$2,1)=X$3+1),OFFSET(IN_Verknüpfungen!$F$4,0,0,IN_Verknüpfungen!$A$2,1)))-SUM($G14:W14)</f>
        <v>#N/A</v>
      </c>
      <c r="Y14" s="70" t="e" cm="1">
        <f t="array" aca="1" ref="Y14" ca="1">_xlfn.NUMBERVALUE(_xlfn.XLOOKUP(1,(OFFSET(IN_Verknüpfungen!$O$4,0,0,IN_Verknüpfungen!$A$2,1)=$A14)*(OFFSET(IN_Verknüpfungen!$P$4,0,0,IN_Verknüpfungen!$A$2,1)=Z$3),OFFSET(IN_Verknüpfungen!$J$4,0,0,IN_Verknüpfungen!$A$2,1)))-SUM($G14:X14)</f>
        <v>#N/A</v>
      </c>
      <c r="Z14" s="70" t="e" cm="1">
        <f t="array" aca="1" ref="Z14" ca="1">_xlfn.NUMBERVALUE(_xlfn.XLOOKUP(1,(OFFSET(IN_Verknüpfungen!$O$4,0,0,IN_Verknüpfungen!$A$2,1)=$A14)*(OFFSET(IN_Verknüpfungen!$P$4,0,0,IN_Verknüpfungen!$A$2,1)=Z$3+1),OFFSET(IN_Verknüpfungen!$F$4,0,0,IN_Verknüpfungen!$A$2,1)))-SUM($G14:Y14)</f>
        <v>#N/A</v>
      </c>
      <c r="AA14" s="70" t="e" cm="1">
        <f t="array" aca="1" ref="AA14" ca="1">_xlfn.NUMBERVALUE(_xlfn.XLOOKUP(1,(OFFSET(IN_Verknüpfungen!$O$4,0,0,IN_Verknüpfungen!$A$2,1)=$A14)*(OFFSET(IN_Verknüpfungen!$P$4,0,0,IN_Verknüpfungen!$A$2,1)=AB$3),OFFSET(IN_Verknüpfungen!$J$4,0,0,IN_Verknüpfungen!$A$2,1)))-SUM($G14:Z14)</f>
        <v>#N/A</v>
      </c>
      <c r="AB14" s="70" t="e" cm="1">
        <f t="array" aca="1" ref="AB14" ca="1">_xlfn.NUMBERVALUE(_xlfn.XLOOKUP(1,(OFFSET(IN_Verknüpfungen!$O$4,0,0,IN_Verknüpfungen!$A$2,1)=$A14)*(OFFSET(IN_Verknüpfungen!$P$4,0,0,IN_Verknüpfungen!$A$2,1)=AB$3+1),OFFSET(IN_Verknüpfungen!$F$4,0,0,IN_Verknüpfungen!$A$2,1)))-SUM($G14:AA14)</f>
        <v>#N/A</v>
      </c>
    </row>
    <row r="15" spans="1:28" x14ac:dyDescent="0.2">
      <c r="A15" s="56" t="str">
        <f ca="1"/>
        <v>Composition 12</v>
      </c>
      <c r="B15" s="55" t="str" cm="1">
        <f t="array" aca="1" ref="B15" ca="1">IF(A15&lt;&gt;"",_xlfn.XLOOKUP(Laufwege!A15,OFFSET(IN_Verknüpfungen!L$4,0,0,IN_Verknüpfungen!A$2,1),OFFSET(IN_Verknüpfungen!N$4,0,0,IN_Verknüpfungen!A$2,1),""),"")</f>
        <v>101-3.0</v>
      </c>
      <c r="C15" s="55">
        <f ca="1">IF(A15&lt;&gt;"",SUMIFS(OFFSET(IN_Verknüpfungen!M$4,0,0,IN_Verknüpfungen!A$2,1),OFFSET(IN_Verknüpfungen!O$4,0,0,IN_Verknüpfungen!A$2,1),Laufwege!A15),0)</f>
        <v>566197</v>
      </c>
      <c r="D15" s="55" cm="1">
        <f t="array" aca="1" ref="D15" ca="1">IF(B15&lt;&gt;"",_xlfn.XLOOKUP(B15,OFFSET(IN_Stammdaten!$A$4,0,0,IN_Stammdaten!$A$2,1),OFFSET(IN_Stammdaten!$C$4,0,0,IN_Stammdaten!$A$2,1),""),"")</f>
        <v>1010000</v>
      </c>
      <c r="E15" s="55" t="str">
        <f t="shared" ca="1" si="0"/>
        <v>nein</v>
      </c>
      <c r="F15" s="69" t="str">
        <f t="shared" ca="1" si="1"/>
        <v>Composition 12 (101-3.0)</v>
      </c>
      <c r="G15" s="70" cm="1">
        <f t="array" aca="1" ref="G15" ca="1">_xlfn.NUMBERVALUE(_xlfn.XLOOKUP(A15,OFFSET(IN_Verknüpfungen!$L$4,0,0,IN_Verknüpfungen!$A$2,1),OFFSET(IN_Verknüpfungen!$Q$4,0,0,IN_Verknüpfungen!$A$2,1)))</f>
        <v>0.20421296296296296</v>
      </c>
      <c r="H15" s="70" cm="1">
        <f t="array" aca="1" ref="H15" ca="1">_xlfn.NUMBERVALUE(_xlfn.XLOOKUP(A15,OFFSET(IN_Verknüpfungen!$L$4,0,0,IN_Verknüpfungen!$A$2,1),OFFSET(IN_Verknüpfungen!$F$4,0,0,IN_Verknüpfungen!$A$2,1)))-G15</f>
        <v>5.7199074074074069E-2</v>
      </c>
      <c r="I15" s="70" cm="1">
        <f t="array" aca="1" ref="I15" ca="1">_xlfn.NUMBERVALUE(_xlfn.XLOOKUP(1,(OFFSET(IN_Verknüpfungen!$O$4,0,0,IN_Verknüpfungen!$A$2,1)=$A15)*(OFFSET(IN_Verknüpfungen!$P$4,0,0,IN_Verknüpfungen!$A$2,1)=J$3),OFFSET(IN_Verknüpfungen!$J$4,0,0,IN_Verknüpfungen!$A$2,1)))-SUM($G15:H15)</f>
        <v>1.1273148148148171E-2</v>
      </c>
      <c r="J15" s="70" cm="1">
        <f t="array" aca="1" ref="J15" ca="1">_xlfn.NUMBERVALUE(_xlfn.XLOOKUP(1,(OFFSET(IN_Verknüpfungen!$O$4,0,0,IN_Verknüpfungen!$A$2,1)=$A15)*(OFFSET(IN_Verknüpfungen!$P$4,0,0,IN_Verknüpfungen!$A$2,1)=J$3+1),OFFSET(IN_Verknüpfungen!$F$4,0,0,IN_Verknüpfungen!$A$2,1)))-SUM($G15:I15)</f>
        <v>4.5462962962962927E-2</v>
      </c>
      <c r="K15" s="70" cm="1">
        <f t="array" aca="1" ref="K15" ca="1">_xlfn.NUMBERVALUE(_xlfn.XLOOKUP(1,(OFFSET(IN_Verknüpfungen!$O$4,0,0,IN_Verknüpfungen!$A$2,1)=$A15)*(OFFSET(IN_Verknüpfungen!$P$4,0,0,IN_Verknüpfungen!$A$2,1)=L$3),OFFSET(IN_Verknüpfungen!$J$4,0,0,IN_Verknüpfungen!$A$2,1)))-SUM($G15:J15)</f>
        <v>2.2129629629629666E-2</v>
      </c>
      <c r="L15" s="70" cm="1">
        <f t="array" aca="1" ref="L15" ca="1">_xlfn.NUMBERVALUE(_xlfn.XLOOKUP(1,(OFFSET(IN_Verknüpfungen!$O$4,0,0,IN_Verknüpfungen!$A$2,1)=$A15)*(OFFSET(IN_Verknüpfungen!$P$4,0,0,IN_Verknüpfungen!$A$2,1)=L$3+1),OFFSET(IN_Verknüpfungen!$F$4,0,0,IN_Verknüpfungen!$A$2,1)))-SUM($G15:K15)</f>
        <v>4.6134259259259236E-2</v>
      </c>
      <c r="M15" s="70" cm="1">
        <f t="array" aca="1" ref="M15" ca="1">_xlfn.NUMBERVALUE(_xlfn.XLOOKUP(1,(OFFSET(IN_Verknüpfungen!$O$4,0,0,IN_Verknüpfungen!$A$2,1)=$A15)*(OFFSET(IN_Verknüpfungen!$P$4,0,0,IN_Verknüpfungen!$A$2,1)=N$3),OFFSET(IN_Verknüpfungen!$J$4,0,0,IN_Verknüpfungen!$A$2,1)))-SUM($G15:L15)</f>
        <v>1.1273148148148171E-2</v>
      </c>
      <c r="N15" s="70" cm="1">
        <f t="array" aca="1" ref="N15" ca="1">_xlfn.NUMBERVALUE(_xlfn.XLOOKUP(1,(OFFSET(IN_Verknüpfungen!$O$4,0,0,IN_Verknüpfungen!$A$2,1)=$A15)*(OFFSET(IN_Verknüpfungen!$P$4,0,0,IN_Verknüpfungen!$A$2,1)=N$3+1),OFFSET(IN_Verknüpfungen!$F$4,0,0,IN_Verknüpfungen!$A$2,1)))-SUM($G15:M15)</f>
        <v>4.5462962962962927E-2</v>
      </c>
      <c r="O15" s="70" cm="1">
        <f t="array" aca="1" ref="O15" ca="1">_xlfn.NUMBERVALUE(_xlfn.XLOOKUP(1,(OFFSET(IN_Verknüpfungen!$O$4,0,0,IN_Verknüpfungen!$A$2,1)=$A15)*(OFFSET(IN_Verknüpfungen!$P$4,0,0,IN_Verknüpfungen!$A$2,1)=P$3),OFFSET(IN_Verknüpfungen!$J$4,0,0,IN_Verknüpfungen!$A$2,1)))-SUM($G15:N15)</f>
        <v>2.2129629629629666E-2</v>
      </c>
      <c r="P15" s="70" cm="1">
        <f t="array" aca="1" ref="P15" ca="1">_xlfn.NUMBERVALUE(_xlfn.XLOOKUP(1,(OFFSET(IN_Verknüpfungen!$O$4,0,0,IN_Verknüpfungen!$A$2,1)=$A15)*(OFFSET(IN_Verknüpfungen!$P$4,0,0,IN_Verknüpfungen!$A$2,1)=P$3+1),OFFSET(IN_Verknüpfungen!$F$4,0,0,IN_Verknüpfungen!$A$2,1)))-SUM($G15:O15)</f>
        <v>4.6134259259259291E-2</v>
      </c>
      <c r="Q15" s="70" cm="1">
        <f t="array" aca="1" ref="Q15" ca="1">_xlfn.NUMBERVALUE(_xlfn.XLOOKUP(1,(OFFSET(IN_Verknüpfungen!$O$4,0,0,IN_Verknüpfungen!$A$2,1)=$A15)*(OFFSET(IN_Verknüpfungen!$P$4,0,0,IN_Verknüpfungen!$A$2,1)=R$3),OFFSET(IN_Verknüpfungen!$J$4,0,0,IN_Verknüpfungen!$A$2,1)))-SUM($G15:P15)</f>
        <v>1.127314814814806E-2</v>
      </c>
      <c r="R15" s="70" cm="1">
        <f t="array" aca="1" ref="R15" ca="1">_xlfn.NUMBERVALUE(_xlfn.XLOOKUP(1,(OFFSET(IN_Verknüpfungen!$O$4,0,0,IN_Verknüpfungen!$A$2,1)=$A15)*(OFFSET(IN_Verknüpfungen!$P$4,0,0,IN_Verknüpfungen!$A$2,1)=R$3+1),OFFSET(IN_Verknüpfungen!$F$4,0,0,IN_Verknüpfungen!$A$2,1)))-SUM($G15:Q15)</f>
        <v>4.5462962962963038E-2</v>
      </c>
      <c r="S15" s="70" cm="1">
        <f t="array" aca="1" ref="S15" ca="1">_xlfn.NUMBERVALUE(_xlfn.XLOOKUP(1,(OFFSET(IN_Verknüpfungen!$O$4,0,0,IN_Verknüpfungen!$A$2,1)=$A15)*(OFFSET(IN_Verknüpfungen!$P$4,0,0,IN_Verknüpfungen!$A$2,1)=T$3),OFFSET(IN_Verknüpfungen!$J$4,0,0,IN_Verknüpfungen!$A$2,1)))-SUM($G15:R15)</f>
        <v>2.212962962962961E-2</v>
      </c>
      <c r="T15" s="70" t="e" cm="1">
        <f t="array" aca="1" ref="T15" ca="1">_xlfn.NUMBERVALUE(_xlfn.XLOOKUP(1,(OFFSET(IN_Verknüpfungen!$O$4,0,0,IN_Verknüpfungen!$A$2,1)=$A15)*(OFFSET(IN_Verknüpfungen!$P$4,0,0,IN_Verknüpfungen!$A$2,1)=T$3+1),OFFSET(IN_Verknüpfungen!$F$4,0,0,IN_Verknüpfungen!$A$2,1)))-SUM($G15:S15)</f>
        <v>#N/A</v>
      </c>
      <c r="U15" s="70" t="e" cm="1">
        <f t="array" aca="1" ref="U15" ca="1">_xlfn.NUMBERVALUE(_xlfn.XLOOKUP(1,(OFFSET(IN_Verknüpfungen!$O$4,0,0,IN_Verknüpfungen!$A$2,1)=$A15)*(OFFSET(IN_Verknüpfungen!$P$4,0,0,IN_Verknüpfungen!$A$2,1)=V$3),OFFSET(IN_Verknüpfungen!$J$4,0,0,IN_Verknüpfungen!$A$2,1)))-SUM($G15:T15)</f>
        <v>#N/A</v>
      </c>
      <c r="V15" s="70" t="e" cm="1">
        <f t="array" aca="1" ref="V15" ca="1">_xlfn.NUMBERVALUE(_xlfn.XLOOKUP(1,(OFFSET(IN_Verknüpfungen!$O$4,0,0,IN_Verknüpfungen!$A$2,1)=$A15)*(OFFSET(IN_Verknüpfungen!$P$4,0,0,IN_Verknüpfungen!$A$2,1)=V$3+1),OFFSET(IN_Verknüpfungen!$F$4,0,0,IN_Verknüpfungen!$A$2,1)))-SUM($G15:U15)</f>
        <v>#N/A</v>
      </c>
      <c r="W15" s="70" t="e" cm="1">
        <f t="array" aca="1" ref="W15" ca="1">_xlfn.NUMBERVALUE(_xlfn.XLOOKUP(1,(OFFSET(IN_Verknüpfungen!$O$4,0,0,IN_Verknüpfungen!$A$2,1)=$A15)*(OFFSET(IN_Verknüpfungen!$P$4,0,0,IN_Verknüpfungen!$A$2,1)=X$3),OFFSET(IN_Verknüpfungen!$J$4,0,0,IN_Verknüpfungen!$A$2,1)))-SUM($G15:V15)</f>
        <v>#N/A</v>
      </c>
      <c r="X15" s="70" t="e" cm="1">
        <f t="array" aca="1" ref="X15" ca="1">_xlfn.NUMBERVALUE(_xlfn.XLOOKUP(1,(OFFSET(IN_Verknüpfungen!$O$4,0,0,IN_Verknüpfungen!$A$2,1)=$A15)*(OFFSET(IN_Verknüpfungen!$P$4,0,0,IN_Verknüpfungen!$A$2,1)=X$3+1),OFFSET(IN_Verknüpfungen!$F$4,0,0,IN_Verknüpfungen!$A$2,1)))-SUM($G15:W15)</f>
        <v>#N/A</v>
      </c>
      <c r="Y15" s="70" t="e" cm="1">
        <f t="array" aca="1" ref="Y15" ca="1">_xlfn.NUMBERVALUE(_xlfn.XLOOKUP(1,(OFFSET(IN_Verknüpfungen!$O$4,0,0,IN_Verknüpfungen!$A$2,1)=$A15)*(OFFSET(IN_Verknüpfungen!$P$4,0,0,IN_Verknüpfungen!$A$2,1)=Z$3),OFFSET(IN_Verknüpfungen!$J$4,0,0,IN_Verknüpfungen!$A$2,1)))-SUM($G15:X15)</f>
        <v>#N/A</v>
      </c>
      <c r="Z15" s="70" t="e" cm="1">
        <f t="array" aca="1" ref="Z15" ca="1">_xlfn.NUMBERVALUE(_xlfn.XLOOKUP(1,(OFFSET(IN_Verknüpfungen!$O$4,0,0,IN_Verknüpfungen!$A$2,1)=$A15)*(OFFSET(IN_Verknüpfungen!$P$4,0,0,IN_Verknüpfungen!$A$2,1)=Z$3+1),OFFSET(IN_Verknüpfungen!$F$4,0,0,IN_Verknüpfungen!$A$2,1)))-SUM($G15:Y15)</f>
        <v>#N/A</v>
      </c>
      <c r="AA15" s="70" t="e" cm="1">
        <f t="array" aca="1" ref="AA15" ca="1">_xlfn.NUMBERVALUE(_xlfn.XLOOKUP(1,(OFFSET(IN_Verknüpfungen!$O$4,0,0,IN_Verknüpfungen!$A$2,1)=$A15)*(OFFSET(IN_Verknüpfungen!$P$4,0,0,IN_Verknüpfungen!$A$2,1)=AB$3),OFFSET(IN_Verknüpfungen!$J$4,0,0,IN_Verknüpfungen!$A$2,1)))-SUM($G15:Z15)</f>
        <v>#N/A</v>
      </c>
      <c r="AB15" s="70" t="e" cm="1">
        <f t="array" aca="1" ref="AB15" ca="1">_xlfn.NUMBERVALUE(_xlfn.XLOOKUP(1,(OFFSET(IN_Verknüpfungen!$O$4,0,0,IN_Verknüpfungen!$A$2,1)=$A15)*(OFFSET(IN_Verknüpfungen!$P$4,0,0,IN_Verknüpfungen!$A$2,1)=AB$3+1),OFFSET(IN_Verknüpfungen!$F$4,0,0,IN_Verknüpfungen!$A$2,1)))-SUM($G15:AA15)</f>
        <v>#N/A</v>
      </c>
    </row>
    <row r="16" spans="1:28" x14ac:dyDescent="0.2">
      <c r="A16" s="56" t="str">
        <f ca="1"/>
        <v>Composition 13</v>
      </c>
      <c r="B16" s="55" t="str" cm="1">
        <f t="array" aca="1" ref="B16" ca="1">IF(A16&lt;&gt;"",_xlfn.XLOOKUP(Laufwege!A16,OFFSET(IN_Verknüpfungen!L$4,0,0,IN_Verknüpfungen!A$2,1),OFFSET(IN_Verknüpfungen!N$4,0,0,IN_Verknüpfungen!A$2,1),""),"")</f>
        <v>146-3.2</v>
      </c>
      <c r="C16" s="55">
        <f ca="1">IF(A16&lt;&gt;"",SUMIFS(OFFSET(IN_Verknüpfungen!M$4,0,0,IN_Verknüpfungen!A$2,1),OFFSET(IN_Verknüpfungen!O$4,0,0,IN_Verknüpfungen!A$2,1),Laufwege!A16),0)</f>
        <v>645913</v>
      </c>
      <c r="D16" s="55" cm="1">
        <f t="array" aca="1" ref="D16" ca="1">IF(B16&lt;&gt;"",_xlfn.XLOOKUP(B16,OFFSET(IN_Stammdaten!$A$4,0,0,IN_Stammdaten!$A$2,1),OFFSET(IN_Stammdaten!$C$4,0,0,IN_Stammdaten!$A$2,1),""),"")</f>
        <v>0</v>
      </c>
      <c r="E16" s="55" t="str">
        <f t="shared" ca="1" si="0"/>
        <v>nein</v>
      </c>
      <c r="F16" s="69" t="str">
        <f t="shared" ca="1" si="1"/>
        <v>Composition 13 (146-3.2)</v>
      </c>
      <c r="G16" s="70" cm="1">
        <f t="array" aca="1" ref="G16" ca="1">_xlfn.NUMBERVALUE(_xlfn.XLOOKUP(A16,OFFSET(IN_Verknüpfungen!$L$4,0,0,IN_Verknüpfungen!$A$2,1),OFFSET(IN_Verknüpfungen!$Q$4,0,0,IN_Verknüpfungen!$A$2,1)))</f>
        <v>0.20202546296296298</v>
      </c>
      <c r="H16" s="70" cm="1">
        <f t="array" aca="1" ref="H16" ca="1">_xlfn.NUMBERVALUE(_xlfn.XLOOKUP(A16,OFFSET(IN_Verknüpfungen!$L$4,0,0,IN_Verknüpfungen!$A$2,1),OFFSET(IN_Verknüpfungen!$F$4,0,0,IN_Verknüpfungen!$A$2,1)))-G16</f>
        <v>6.0243055555555536E-2</v>
      </c>
      <c r="I16" s="70" cm="1">
        <f t="array" aca="1" ref="I16" ca="1">_xlfn.NUMBERVALUE(_xlfn.XLOOKUP(1,(OFFSET(IN_Verknüpfungen!$O$4,0,0,IN_Verknüpfungen!$A$2,1)=$A16)*(OFFSET(IN_Verknüpfungen!$P$4,0,0,IN_Verknüpfungen!$A$2,1)=J$3),OFFSET(IN_Verknüpfungen!$J$4,0,0,IN_Verknüpfungen!$A$2,1)))-SUM($G16:H16)</f>
        <v>1.0648148148148129E-2</v>
      </c>
      <c r="J16" s="70" cm="1">
        <f t="array" aca="1" ref="J16" ca="1">_xlfn.NUMBERVALUE(_xlfn.XLOOKUP(1,(OFFSET(IN_Verknüpfungen!$O$4,0,0,IN_Verknüpfungen!$A$2,1)=$A16)*(OFFSET(IN_Verknüpfungen!$P$4,0,0,IN_Verknüpfungen!$A$2,1)=J$3+1),OFFSET(IN_Verknüpfungen!$F$4,0,0,IN_Verknüpfungen!$A$2,1)))-SUM($G16:I16)</f>
        <v>0.12261574074074078</v>
      </c>
      <c r="K16" s="70" cm="1">
        <f t="array" aca="1" ref="K16" ca="1">_xlfn.NUMBERVALUE(_xlfn.XLOOKUP(1,(OFFSET(IN_Verknüpfungen!$O$4,0,0,IN_Verknüpfungen!$A$2,1)=$A16)*(OFFSET(IN_Verknüpfungen!$P$4,0,0,IN_Verknüpfungen!$A$2,1)=L$3),OFFSET(IN_Verknüpfungen!$J$4,0,0,IN_Verknüpfungen!$A$2,1)))-SUM($G16:J16)</f>
        <v>2.7499999999999969E-2</v>
      </c>
      <c r="L16" s="70" cm="1">
        <f t="array" aca="1" ref="L16" ca="1">_xlfn.NUMBERVALUE(_xlfn.XLOOKUP(1,(OFFSET(IN_Verknüpfungen!$O$4,0,0,IN_Verknüpfungen!$A$2,1)=$A16)*(OFFSET(IN_Verknüpfungen!$P$4,0,0,IN_Verknüpfungen!$A$2,1)=L$3+1),OFFSET(IN_Verknüpfungen!$F$4,0,0,IN_Verknüpfungen!$A$2,1)))-SUM($G16:K16)</f>
        <v>0.11508101851851854</v>
      </c>
      <c r="M16" s="70" cm="1">
        <f t="array" aca="1" ref="M16" ca="1">_xlfn.NUMBERVALUE(_xlfn.XLOOKUP(1,(OFFSET(IN_Verknüpfungen!$O$4,0,0,IN_Verknüpfungen!$A$2,1)=$A16)*(OFFSET(IN_Verknüpfungen!$P$4,0,0,IN_Verknüpfungen!$A$2,1)=N$3),OFFSET(IN_Verknüpfungen!$J$4,0,0,IN_Verknüpfungen!$A$2,1)))-SUM($G16:L16)</f>
        <v>2.1331018518518485E-2</v>
      </c>
      <c r="N16" s="70" t="e" cm="1">
        <f t="array" aca="1" ref="N16" ca="1">_xlfn.NUMBERVALUE(_xlfn.XLOOKUP(1,(OFFSET(IN_Verknüpfungen!$O$4,0,0,IN_Verknüpfungen!$A$2,1)=$A16)*(OFFSET(IN_Verknüpfungen!$P$4,0,0,IN_Verknüpfungen!$A$2,1)=N$3+1),OFFSET(IN_Verknüpfungen!$F$4,0,0,IN_Verknüpfungen!$A$2,1)))-SUM($G16:M16)</f>
        <v>#N/A</v>
      </c>
      <c r="O16" s="70" t="e" cm="1">
        <f t="array" aca="1" ref="O16" ca="1">_xlfn.NUMBERVALUE(_xlfn.XLOOKUP(1,(OFFSET(IN_Verknüpfungen!$O$4,0,0,IN_Verknüpfungen!$A$2,1)=$A16)*(OFFSET(IN_Verknüpfungen!$P$4,0,0,IN_Verknüpfungen!$A$2,1)=P$3),OFFSET(IN_Verknüpfungen!$J$4,0,0,IN_Verknüpfungen!$A$2,1)))-SUM($G16:N16)</f>
        <v>#N/A</v>
      </c>
      <c r="P16" s="70" t="e" cm="1">
        <f t="array" aca="1" ref="P16" ca="1">_xlfn.NUMBERVALUE(_xlfn.XLOOKUP(1,(OFFSET(IN_Verknüpfungen!$O$4,0,0,IN_Verknüpfungen!$A$2,1)=$A16)*(OFFSET(IN_Verknüpfungen!$P$4,0,0,IN_Verknüpfungen!$A$2,1)=P$3+1),OFFSET(IN_Verknüpfungen!$F$4,0,0,IN_Verknüpfungen!$A$2,1)))-SUM($G16:O16)</f>
        <v>#N/A</v>
      </c>
      <c r="Q16" s="70" t="e" cm="1">
        <f t="array" aca="1" ref="Q16" ca="1">_xlfn.NUMBERVALUE(_xlfn.XLOOKUP(1,(OFFSET(IN_Verknüpfungen!$O$4,0,0,IN_Verknüpfungen!$A$2,1)=$A16)*(OFFSET(IN_Verknüpfungen!$P$4,0,0,IN_Verknüpfungen!$A$2,1)=R$3),OFFSET(IN_Verknüpfungen!$J$4,0,0,IN_Verknüpfungen!$A$2,1)))-SUM($G16:P16)</f>
        <v>#N/A</v>
      </c>
      <c r="R16" s="70" t="e" cm="1">
        <f t="array" aca="1" ref="R16" ca="1">_xlfn.NUMBERVALUE(_xlfn.XLOOKUP(1,(OFFSET(IN_Verknüpfungen!$O$4,0,0,IN_Verknüpfungen!$A$2,1)=$A16)*(OFFSET(IN_Verknüpfungen!$P$4,0,0,IN_Verknüpfungen!$A$2,1)=R$3+1),OFFSET(IN_Verknüpfungen!$F$4,0,0,IN_Verknüpfungen!$A$2,1)))-SUM($G16:Q16)</f>
        <v>#N/A</v>
      </c>
      <c r="S16" s="70" t="e" cm="1">
        <f t="array" aca="1" ref="S16" ca="1">_xlfn.NUMBERVALUE(_xlfn.XLOOKUP(1,(OFFSET(IN_Verknüpfungen!$O$4,0,0,IN_Verknüpfungen!$A$2,1)=$A16)*(OFFSET(IN_Verknüpfungen!$P$4,0,0,IN_Verknüpfungen!$A$2,1)=T$3),OFFSET(IN_Verknüpfungen!$J$4,0,0,IN_Verknüpfungen!$A$2,1)))-SUM($G16:R16)</f>
        <v>#N/A</v>
      </c>
      <c r="T16" s="70" t="e" cm="1">
        <f t="array" aca="1" ref="T16" ca="1">_xlfn.NUMBERVALUE(_xlfn.XLOOKUP(1,(OFFSET(IN_Verknüpfungen!$O$4,0,0,IN_Verknüpfungen!$A$2,1)=$A16)*(OFFSET(IN_Verknüpfungen!$P$4,0,0,IN_Verknüpfungen!$A$2,1)=T$3+1),OFFSET(IN_Verknüpfungen!$F$4,0,0,IN_Verknüpfungen!$A$2,1)))-SUM($G16:S16)</f>
        <v>#N/A</v>
      </c>
      <c r="U16" s="70" t="e" cm="1">
        <f t="array" aca="1" ref="U16" ca="1">_xlfn.NUMBERVALUE(_xlfn.XLOOKUP(1,(OFFSET(IN_Verknüpfungen!$O$4,0,0,IN_Verknüpfungen!$A$2,1)=$A16)*(OFFSET(IN_Verknüpfungen!$P$4,0,0,IN_Verknüpfungen!$A$2,1)=V$3),OFFSET(IN_Verknüpfungen!$J$4,0,0,IN_Verknüpfungen!$A$2,1)))-SUM($G16:T16)</f>
        <v>#N/A</v>
      </c>
      <c r="V16" s="70" t="e" cm="1">
        <f t="array" aca="1" ref="V16" ca="1">_xlfn.NUMBERVALUE(_xlfn.XLOOKUP(1,(OFFSET(IN_Verknüpfungen!$O$4,0,0,IN_Verknüpfungen!$A$2,1)=$A16)*(OFFSET(IN_Verknüpfungen!$P$4,0,0,IN_Verknüpfungen!$A$2,1)=V$3+1),OFFSET(IN_Verknüpfungen!$F$4,0,0,IN_Verknüpfungen!$A$2,1)))-SUM($G16:U16)</f>
        <v>#N/A</v>
      </c>
      <c r="W16" s="70" t="e" cm="1">
        <f t="array" aca="1" ref="W16" ca="1">_xlfn.NUMBERVALUE(_xlfn.XLOOKUP(1,(OFFSET(IN_Verknüpfungen!$O$4,0,0,IN_Verknüpfungen!$A$2,1)=$A16)*(OFFSET(IN_Verknüpfungen!$P$4,0,0,IN_Verknüpfungen!$A$2,1)=X$3),OFFSET(IN_Verknüpfungen!$J$4,0,0,IN_Verknüpfungen!$A$2,1)))-SUM($G16:V16)</f>
        <v>#N/A</v>
      </c>
      <c r="X16" s="70" t="e" cm="1">
        <f t="array" aca="1" ref="X16" ca="1">_xlfn.NUMBERVALUE(_xlfn.XLOOKUP(1,(OFFSET(IN_Verknüpfungen!$O$4,0,0,IN_Verknüpfungen!$A$2,1)=$A16)*(OFFSET(IN_Verknüpfungen!$P$4,0,0,IN_Verknüpfungen!$A$2,1)=X$3+1),OFFSET(IN_Verknüpfungen!$F$4,0,0,IN_Verknüpfungen!$A$2,1)))-SUM($G16:W16)</f>
        <v>#N/A</v>
      </c>
      <c r="Y16" s="70" t="e" cm="1">
        <f t="array" aca="1" ref="Y16" ca="1">_xlfn.NUMBERVALUE(_xlfn.XLOOKUP(1,(OFFSET(IN_Verknüpfungen!$O$4,0,0,IN_Verknüpfungen!$A$2,1)=$A16)*(OFFSET(IN_Verknüpfungen!$P$4,0,0,IN_Verknüpfungen!$A$2,1)=Z$3),OFFSET(IN_Verknüpfungen!$J$4,0,0,IN_Verknüpfungen!$A$2,1)))-SUM($G16:X16)</f>
        <v>#N/A</v>
      </c>
      <c r="Z16" s="70" t="e" cm="1">
        <f t="array" aca="1" ref="Z16" ca="1">_xlfn.NUMBERVALUE(_xlfn.XLOOKUP(1,(OFFSET(IN_Verknüpfungen!$O$4,0,0,IN_Verknüpfungen!$A$2,1)=$A16)*(OFFSET(IN_Verknüpfungen!$P$4,0,0,IN_Verknüpfungen!$A$2,1)=Z$3+1),OFFSET(IN_Verknüpfungen!$F$4,0,0,IN_Verknüpfungen!$A$2,1)))-SUM($G16:Y16)</f>
        <v>#N/A</v>
      </c>
      <c r="AA16" s="70" t="e" cm="1">
        <f t="array" aca="1" ref="AA16" ca="1">_xlfn.NUMBERVALUE(_xlfn.XLOOKUP(1,(OFFSET(IN_Verknüpfungen!$O$4,0,0,IN_Verknüpfungen!$A$2,1)=$A16)*(OFFSET(IN_Verknüpfungen!$P$4,0,0,IN_Verknüpfungen!$A$2,1)=AB$3),OFFSET(IN_Verknüpfungen!$J$4,0,0,IN_Verknüpfungen!$A$2,1)))-SUM($G16:Z16)</f>
        <v>#N/A</v>
      </c>
      <c r="AB16" s="70" t="e" cm="1">
        <f t="array" aca="1" ref="AB16" ca="1">_xlfn.NUMBERVALUE(_xlfn.XLOOKUP(1,(OFFSET(IN_Verknüpfungen!$O$4,0,0,IN_Verknüpfungen!$A$2,1)=$A16)*(OFFSET(IN_Verknüpfungen!$P$4,0,0,IN_Verknüpfungen!$A$2,1)=AB$3+1),OFFSET(IN_Verknüpfungen!$F$4,0,0,IN_Verknüpfungen!$A$2,1)))-SUM($G16:AA16)</f>
        <v>#N/A</v>
      </c>
    </row>
    <row r="17" spans="1:28" x14ac:dyDescent="0.2">
      <c r="A17" s="56" t="str">
        <f ca="1"/>
        <v>Composition 14</v>
      </c>
      <c r="B17" s="55" t="str" cm="1">
        <f t="array" aca="1" ref="B17" ca="1">IF(A17&lt;&gt;"",_xlfn.XLOOKUP(Laufwege!A17,OFFSET(IN_Verknüpfungen!L$4,0,0,IN_Verknüpfungen!A$2,1),OFFSET(IN_Verknüpfungen!N$4,0,0,IN_Verknüpfungen!A$2,1),""),"")</f>
        <v>146-3.2</v>
      </c>
      <c r="C17" s="55">
        <f ca="1">IF(A17&lt;&gt;"",SUMIFS(OFFSET(IN_Verknüpfungen!M$4,0,0,IN_Verknüpfungen!A$2,1),OFFSET(IN_Verknüpfungen!O$4,0,0,IN_Verknüpfungen!A$2,1),Laufwege!A17),0)</f>
        <v>313209</v>
      </c>
      <c r="D17" s="55" cm="1">
        <f t="array" aca="1" ref="D17" ca="1">IF(B17&lt;&gt;"",_xlfn.XLOOKUP(B17,OFFSET(IN_Stammdaten!$A$4,0,0,IN_Stammdaten!$A$2,1),OFFSET(IN_Stammdaten!$C$4,0,0,IN_Stammdaten!$A$2,1),""),"")</f>
        <v>0</v>
      </c>
      <c r="E17" s="55" t="str">
        <f t="shared" ca="1" si="0"/>
        <v>nein</v>
      </c>
      <c r="F17" s="69" t="str">
        <f t="shared" ca="1" si="1"/>
        <v>Composition 14 (146-3.2)</v>
      </c>
      <c r="G17" s="70" cm="1">
        <f t="array" aca="1" ref="G17" ca="1">_xlfn.NUMBERVALUE(_xlfn.XLOOKUP(A17,OFFSET(IN_Verknüpfungen!$L$4,0,0,IN_Verknüpfungen!$A$2,1),OFFSET(IN_Verknüpfungen!$Q$4,0,0,IN_Verknüpfungen!$A$2,1)))</f>
        <v>0.21</v>
      </c>
      <c r="H17" s="70" cm="1">
        <f t="array" aca="1" ref="H17" ca="1">_xlfn.NUMBERVALUE(_xlfn.XLOOKUP(A17,OFFSET(IN_Verknüpfungen!$L$4,0,0,IN_Verknüpfungen!$A$2,1),OFFSET(IN_Verknüpfungen!$F$4,0,0,IN_Verknüpfungen!$A$2,1)))-G17</f>
        <v>5.5081018518518515E-2</v>
      </c>
      <c r="I17" s="70" cm="1">
        <f t="array" aca="1" ref="I17" ca="1">_xlfn.NUMBERVALUE(_xlfn.XLOOKUP(1,(OFFSET(IN_Verknüpfungen!$O$4,0,0,IN_Verknüpfungen!$A$2,1)=$A17)*(OFFSET(IN_Verknüpfungen!$P$4,0,0,IN_Verknüpfungen!$A$2,1)=J$3),OFFSET(IN_Verknüpfungen!$J$4,0,0,IN_Verknüpfungen!$A$2,1)))-SUM($G17:H17)</f>
        <v>2.7060185185185215E-2</v>
      </c>
      <c r="J17" s="70" cm="1">
        <f t="array" aca="1" ref="J17" ca="1">_xlfn.NUMBERVALUE(_xlfn.XLOOKUP(1,(OFFSET(IN_Verknüpfungen!$O$4,0,0,IN_Verknüpfungen!$A$2,1)=$A17)*(OFFSET(IN_Verknüpfungen!$P$4,0,0,IN_Verknüpfungen!$A$2,1)=J$3+1),OFFSET(IN_Verknüpfungen!$F$4,0,0,IN_Verknüpfungen!$A$2,1)))-SUM($G17:I17)</f>
        <v>4.4652777777777763E-2</v>
      </c>
      <c r="K17" s="70" cm="1">
        <f t="array" aca="1" ref="K17" ca="1">_xlfn.NUMBERVALUE(_xlfn.XLOOKUP(1,(OFFSET(IN_Verknüpfungen!$O$4,0,0,IN_Verknüpfungen!$A$2,1)=$A17)*(OFFSET(IN_Verknüpfungen!$P$4,0,0,IN_Verknüpfungen!$A$2,1)=L$3),OFFSET(IN_Verknüpfungen!$J$4,0,0,IN_Verknüpfungen!$A$2,1)))-SUM($G17:J17)</f>
        <v>3.0185185185185204E-2</v>
      </c>
      <c r="L17" s="70" cm="1">
        <f t="array" aca="1" ref="L17" ca="1">_xlfn.NUMBERVALUE(_xlfn.XLOOKUP(1,(OFFSET(IN_Verknüpfungen!$O$4,0,0,IN_Verknüpfungen!$A$2,1)=$A17)*(OFFSET(IN_Verknüpfungen!$P$4,0,0,IN_Verknüpfungen!$A$2,1)=L$3+1),OFFSET(IN_Verknüpfungen!$F$4,0,0,IN_Verknüpfungen!$A$2,1)))-SUM($G17:K17)</f>
        <v>4.650462962962959E-2</v>
      </c>
      <c r="M17" s="70" cm="1">
        <f t="array" aca="1" ref="M17" ca="1">_xlfn.NUMBERVALUE(_xlfn.XLOOKUP(1,(OFFSET(IN_Verknüpfungen!$O$4,0,0,IN_Verknüpfungen!$A$2,1)=$A17)*(OFFSET(IN_Verknüpfungen!$P$4,0,0,IN_Verknüpfungen!$A$2,1)=N$3),OFFSET(IN_Verknüpfungen!$J$4,0,0,IN_Verknüpfungen!$A$2,1)))-SUM($G17:L17)</f>
        <v>3.2835648148148155E-2</v>
      </c>
      <c r="N17" s="70" cm="1">
        <f t="array" aca="1" ref="N17" ca="1">_xlfn.NUMBERVALUE(_xlfn.XLOOKUP(1,(OFFSET(IN_Verknüpfungen!$O$4,0,0,IN_Verknüpfungen!$A$2,1)=$A17)*(OFFSET(IN_Verknüpfungen!$P$4,0,0,IN_Verknüpfungen!$A$2,1)=N$3+1),OFFSET(IN_Verknüpfungen!$F$4,0,0,IN_Verknüpfungen!$A$2,1)))-SUM($G17:M17)</f>
        <v>4.5671296296296293E-2</v>
      </c>
      <c r="O17" s="70" cm="1">
        <f t="array" aca="1" ref="O17" ca="1">_xlfn.NUMBERVALUE(_xlfn.XLOOKUP(1,(OFFSET(IN_Verknüpfungen!$O$4,0,0,IN_Verknüpfungen!$A$2,1)=$A17)*(OFFSET(IN_Verknüpfungen!$P$4,0,0,IN_Verknüpfungen!$A$2,1)=P$3),OFFSET(IN_Verknüpfungen!$J$4,0,0,IN_Verknüpfungen!$A$2,1)))-SUM($G17:N17)</f>
        <v>1.9351851851851898E-2</v>
      </c>
      <c r="P17" s="70" cm="1">
        <f t="array" aca="1" ref="P17" ca="1">_xlfn.NUMBERVALUE(_xlfn.XLOOKUP(1,(OFFSET(IN_Verknüpfungen!$O$4,0,0,IN_Verknüpfungen!$A$2,1)=$A17)*(OFFSET(IN_Verknüpfungen!$P$4,0,0,IN_Verknüpfungen!$A$2,1)=P$3+1),OFFSET(IN_Verknüpfungen!$F$4,0,0,IN_Verknüpfungen!$A$2,1)))-SUM($G17:O17)</f>
        <v>4.5405092592592511E-2</v>
      </c>
      <c r="Q17" s="70" cm="1">
        <f t="array" aca="1" ref="Q17" ca="1">_xlfn.NUMBERVALUE(_xlfn.XLOOKUP(1,(OFFSET(IN_Verknüpfungen!$O$4,0,0,IN_Verknüpfungen!$A$2,1)=$A17)*(OFFSET(IN_Verknüpfungen!$P$4,0,0,IN_Verknüpfungen!$A$2,1)=R$3),OFFSET(IN_Verknüpfungen!$J$4,0,0,IN_Verknüpfungen!$A$2,1)))-SUM($G17:P17)</f>
        <v>2.706018518518527E-2</v>
      </c>
      <c r="R17" s="70" t="e" cm="1">
        <f t="array" aca="1" ref="R17" ca="1">_xlfn.NUMBERVALUE(_xlfn.XLOOKUP(1,(OFFSET(IN_Verknüpfungen!$O$4,0,0,IN_Verknüpfungen!$A$2,1)=$A17)*(OFFSET(IN_Verknüpfungen!$P$4,0,0,IN_Verknüpfungen!$A$2,1)=R$3+1),OFFSET(IN_Verknüpfungen!$F$4,0,0,IN_Verknüpfungen!$A$2,1)))-SUM($G17:Q17)</f>
        <v>#N/A</v>
      </c>
      <c r="S17" s="70" t="e" cm="1">
        <f t="array" aca="1" ref="S17" ca="1">_xlfn.NUMBERVALUE(_xlfn.XLOOKUP(1,(OFFSET(IN_Verknüpfungen!$O$4,0,0,IN_Verknüpfungen!$A$2,1)=$A17)*(OFFSET(IN_Verknüpfungen!$P$4,0,0,IN_Verknüpfungen!$A$2,1)=T$3),OFFSET(IN_Verknüpfungen!$J$4,0,0,IN_Verknüpfungen!$A$2,1)))-SUM($G17:R17)</f>
        <v>#N/A</v>
      </c>
      <c r="T17" s="70" t="e" cm="1">
        <f t="array" aca="1" ref="T17" ca="1">_xlfn.NUMBERVALUE(_xlfn.XLOOKUP(1,(OFFSET(IN_Verknüpfungen!$O$4,0,0,IN_Verknüpfungen!$A$2,1)=$A17)*(OFFSET(IN_Verknüpfungen!$P$4,0,0,IN_Verknüpfungen!$A$2,1)=T$3+1),OFFSET(IN_Verknüpfungen!$F$4,0,0,IN_Verknüpfungen!$A$2,1)))-SUM($G17:S17)</f>
        <v>#N/A</v>
      </c>
      <c r="U17" s="70" t="e" cm="1">
        <f t="array" aca="1" ref="U17" ca="1">_xlfn.NUMBERVALUE(_xlfn.XLOOKUP(1,(OFFSET(IN_Verknüpfungen!$O$4,0,0,IN_Verknüpfungen!$A$2,1)=$A17)*(OFFSET(IN_Verknüpfungen!$P$4,0,0,IN_Verknüpfungen!$A$2,1)=V$3),OFFSET(IN_Verknüpfungen!$J$4,0,0,IN_Verknüpfungen!$A$2,1)))-SUM($G17:T17)</f>
        <v>#N/A</v>
      </c>
      <c r="V17" s="70" t="e" cm="1">
        <f t="array" aca="1" ref="V17" ca="1">_xlfn.NUMBERVALUE(_xlfn.XLOOKUP(1,(OFFSET(IN_Verknüpfungen!$O$4,0,0,IN_Verknüpfungen!$A$2,1)=$A17)*(OFFSET(IN_Verknüpfungen!$P$4,0,0,IN_Verknüpfungen!$A$2,1)=V$3+1),OFFSET(IN_Verknüpfungen!$F$4,0,0,IN_Verknüpfungen!$A$2,1)))-SUM($G17:U17)</f>
        <v>#N/A</v>
      </c>
      <c r="W17" s="70" t="e" cm="1">
        <f t="array" aca="1" ref="W17" ca="1">_xlfn.NUMBERVALUE(_xlfn.XLOOKUP(1,(OFFSET(IN_Verknüpfungen!$O$4,0,0,IN_Verknüpfungen!$A$2,1)=$A17)*(OFFSET(IN_Verknüpfungen!$P$4,0,0,IN_Verknüpfungen!$A$2,1)=X$3),OFFSET(IN_Verknüpfungen!$J$4,0,0,IN_Verknüpfungen!$A$2,1)))-SUM($G17:V17)</f>
        <v>#N/A</v>
      </c>
      <c r="X17" s="70" t="e" cm="1">
        <f t="array" aca="1" ref="X17" ca="1">_xlfn.NUMBERVALUE(_xlfn.XLOOKUP(1,(OFFSET(IN_Verknüpfungen!$O$4,0,0,IN_Verknüpfungen!$A$2,1)=$A17)*(OFFSET(IN_Verknüpfungen!$P$4,0,0,IN_Verknüpfungen!$A$2,1)=X$3+1),OFFSET(IN_Verknüpfungen!$F$4,0,0,IN_Verknüpfungen!$A$2,1)))-SUM($G17:W17)</f>
        <v>#N/A</v>
      </c>
      <c r="Y17" s="70" t="e" cm="1">
        <f t="array" aca="1" ref="Y17" ca="1">_xlfn.NUMBERVALUE(_xlfn.XLOOKUP(1,(OFFSET(IN_Verknüpfungen!$O$4,0,0,IN_Verknüpfungen!$A$2,1)=$A17)*(OFFSET(IN_Verknüpfungen!$P$4,0,0,IN_Verknüpfungen!$A$2,1)=Z$3),OFFSET(IN_Verknüpfungen!$J$4,0,0,IN_Verknüpfungen!$A$2,1)))-SUM($G17:X17)</f>
        <v>#N/A</v>
      </c>
      <c r="Z17" s="70" t="e" cm="1">
        <f t="array" aca="1" ref="Z17" ca="1">_xlfn.NUMBERVALUE(_xlfn.XLOOKUP(1,(OFFSET(IN_Verknüpfungen!$O$4,0,0,IN_Verknüpfungen!$A$2,1)=$A17)*(OFFSET(IN_Verknüpfungen!$P$4,0,0,IN_Verknüpfungen!$A$2,1)=Z$3+1),OFFSET(IN_Verknüpfungen!$F$4,0,0,IN_Verknüpfungen!$A$2,1)))-SUM($G17:Y17)</f>
        <v>#N/A</v>
      </c>
      <c r="AA17" s="70" t="e" cm="1">
        <f t="array" aca="1" ref="AA17" ca="1">_xlfn.NUMBERVALUE(_xlfn.XLOOKUP(1,(OFFSET(IN_Verknüpfungen!$O$4,0,0,IN_Verknüpfungen!$A$2,1)=$A17)*(OFFSET(IN_Verknüpfungen!$P$4,0,0,IN_Verknüpfungen!$A$2,1)=AB$3),OFFSET(IN_Verknüpfungen!$J$4,0,0,IN_Verknüpfungen!$A$2,1)))-SUM($G17:Z17)</f>
        <v>#N/A</v>
      </c>
      <c r="AB17" s="70" t="e" cm="1">
        <f t="array" aca="1" ref="AB17" ca="1">_xlfn.NUMBERVALUE(_xlfn.XLOOKUP(1,(OFFSET(IN_Verknüpfungen!$O$4,0,0,IN_Verknüpfungen!$A$2,1)=$A17)*(OFFSET(IN_Verknüpfungen!$P$4,0,0,IN_Verknüpfungen!$A$2,1)=AB$3+1),OFFSET(IN_Verknüpfungen!$F$4,0,0,IN_Verknüpfungen!$A$2,1)))-SUM($G17:AA17)</f>
        <v>#N/A</v>
      </c>
    </row>
    <row r="18" spans="1:28" x14ac:dyDescent="0.2">
      <c r="A18" s="56" t="str">
        <f ca="1"/>
        <v>Composition 15</v>
      </c>
      <c r="B18" s="55" t="str" cm="1">
        <f t="array" aca="1" ref="B18" ca="1">IF(A18&lt;&gt;"",_xlfn.XLOOKUP(Laufwege!A18,OFFSET(IN_Verknüpfungen!L$4,0,0,IN_Verknüpfungen!A$2,1),OFFSET(IN_Verknüpfungen!N$4,0,0,IN_Verknüpfungen!A$2,1),""),"")</f>
        <v>101-3.0</v>
      </c>
      <c r="C18" s="55">
        <f ca="1">IF(A18&lt;&gt;"",SUMIFS(OFFSET(IN_Verknüpfungen!M$4,0,0,IN_Verknüpfungen!A$2,1),OFFSET(IN_Verknüpfungen!O$4,0,0,IN_Verknüpfungen!A$2,1),Laufwege!A18),0)</f>
        <v>459064</v>
      </c>
      <c r="D18" s="55" cm="1">
        <f t="array" aca="1" ref="D18" ca="1">IF(B18&lt;&gt;"",_xlfn.XLOOKUP(B18,OFFSET(IN_Stammdaten!$A$4,0,0,IN_Stammdaten!$A$2,1),OFFSET(IN_Stammdaten!$C$4,0,0,IN_Stammdaten!$A$2,1),""),"")</f>
        <v>1010000</v>
      </c>
      <c r="E18" s="55" t="str">
        <f t="shared" ca="1" si="0"/>
        <v>nein</v>
      </c>
      <c r="F18" s="69" t="str">
        <f t="shared" ca="1" si="1"/>
        <v>Composition 15 (101-3.0)</v>
      </c>
      <c r="G18" s="70" cm="1">
        <f t="array" aca="1" ref="G18" ca="1">_xlfn.NUMBERVALUE(_xlfn.XLOOKUP(A18,OFFSET(IN_Verknüpfungen!$L$4,0,0,IN_Verknüpfungen!$A$2,1),OFFSET(IN_Verknüpfungen!$Q$4,0,0,IN_Verknüpfungen!$A$2,1)))</f>
        <v>0.2147337962962963</v>
      </c>
      <c r="H18" s="70" cm="1">
        <f t="array" aca="1" ref="H18" ca="1">_xlfn.NUMBERVALUE(_xlfn.XLOOKUP(A18,OFFSET(IN_Verknüpfungen!$L$4,0,0,IN_Verknüpfungen!$A$2,1),OFFSET(IN_Verknüpfungen!$F$4,0,0,IN_Verknüpfungen!$A$2,1)))-G18</f>
        <v>5.042824074074076E-2</v>
      </c>
      <c r="I18" s="70" cm="1">
        <f t="array" aca="1" ref="I18" ca="1">_xlfn.NUMBERVALUE(_xlfn.XLOOKUP(1,(OFFSET(IN_Verknüpfungen!$O$4,0,0,IN_Verknüpfungen!$A$2,1)=$A18)*(OFFSET(IN_Verknüpfungen!$P$4,0,0,IN_Verknüpfungen!$A$2,1)=J$3),OFFSET(IN_Verknüpfungen!$J$4,0,0,IN_Verknüpfungen!$A$2,1)))-SUM($G18:H18)</f>
        <v>1.5231481481481457E-2</v>
      </c>
      <c r="J18" s="70" cm="1">
        <f t="array" aca="1" ref="J18" ca="1">_xlfn.NUMBERVALUE(_xlfn.XLOOKUP(1,(OFFSET(IN_Verknüpfungen!$O$4,0,0,IN_Verknüpfungen!$A$2,1)=$A18)*(OFFSET(IN_Verknüpfungen!$P$4,0,0,IN_Verknüpfungen!$A$2,1)=J$3+1),OFFSET(IN_Verknüpfungen!$F$4,0,0,IN_Verknüpfungen!$A$2,1)))-SUM($G18:I18)</f>
        <v>4.954861111111114E-2</v>
      </c>
      <c r="K18" s="70" cm="1">
        <f t="array" aca="1" ref="K18" ca="1">_xlfn.NUMBERVALUE(_xlfn.XLOOKUP(1,(OFFSET(IN_Verknüpfungen!$O$4,0,0,IN_Verknüpfungen!$A$2,1)=$A18)*(OFFSET(IN_Verknüpfungen!$P$4,0,0,IN_Verknüpfungen!$A$2,1)=L$3),OFFSET(IN_Verknüpfungen!$J$4,0,0,IN_Verknüpfungen!$A$2,1)))-SUM($G18:J18)</f>
        <v>7.418981481481457E-3</v>
      </c>
      <c r="L18" s="70" cm="1">
        <f t="array" aca="1" ref="L18" ca="1">_xlfn.NUMBERVALUE(_xlfn.XLOOKUP(1,(OFFSET(IN_Verknüpfungen!$O$4,0,0,IN_Verknüpfungen!$A$2,1)=$A18)*(OFFSET(IN_Verknüpfungen!$P$4,0,0,IN_Verknüpfungen!$A$2,1)=L$3+1),OFFSET(IN_Verknüpfungen!$F$4,0,0,IN_Verknüpfungen!$A$2,1)))-SUM($G18:K18)</f>
        <v>3.4305555555555534E-2</v>
      </c>
      <c r="M18" s="70" cm="1">
        <f t="array" aca="1" ref="M18" ca="1">_xlfn.NUMBERVALUE(_xlfn.XLOOKUP(1,(OFFSET(IN_Verknüpfungen!$O$4,0,0,IN_Verknüpfungen!$A$2,1)=$A18)*(OFFSET(IN_Verknüpfungen!$P$4,0,0,IN_Verknüpfungen!$A$2,1)=N$3),OFFSET(IN_Verknüpfungen!$J$4,0,0,IN_Verknüpfungen!$A$2,1)))-SUM($G18:L18)</f>
        <v>1.5138888888888924E-2</v>
      </c>
      <c r="N18" s="70" cm="1">
        <f t="array" aca="1" ref="N18" ca="1">_xlfn.NUMBERVALUE(_xlfn.XLOOKUP(1,(OFFSET(IN_Verknüpfungen!$O$4,0,0,IN_Verknüpfungen!$A$2,1)=$A18)*(OFFSET(IN_Verknüpfungen!$P$4,0,0,IN_Verknüpfungen!$A$2,1)=N$3+1),OFFSET(IN_Verknüpfungen!$F$4,0,0,IN_Verknüpfungen!$A$2,1)))-SUM($G18:M18)</f>
        <v>3.247685185185184E-2</v>
      </c>
      <c r="O18" s="70" cm="1">
        <f t="array" aca="1" ref="O18" ca="1">_xlfn.NUMBERVALUE(_xlfn.XLOOKUP(1,(OFFSET(IN_Verknüpfungen!$O$4,0,0,IN_Verknüpfungen!$A$2,1)=$A18)*(OFFSET(IN_Verknüpfungen!$P$4,0,0,IN_Verknüpfungen!$A$2,1)=P$3),OFFSET(IN_Verknüpfungen!$J$4,0,0,IN_Verknüpfungen!$A$2,1)))-SUM($G18:N18)</f>
        <v>7.569444444444462E-3</v>
      </c>
      <c r="P18" s="70" cm="1">
        <f t="array" aca="1" ref="P18" ca="1">_xlfn.NUMBERVALUE(_xlfn.XLOOKUP(1,(OFFSET(IN_Verknüpfungen!$O$4,0,0,IN_Verknüpfungen!$A$2,1)=$A18)*(OFFSET(IN_Verknüpfungen!$P$4,0,0,IN_Verknüpfungen!$A$2,1)=P$3+1),OFFSET(IN_Verknüpfungen!$F$4,0,0,IN_Verknüpfungen!$A$2,1)))-SUM($G18:O18)</f>
        <v>4.6643518518518501E-2</v>
      </c>
      <c r="Q18" s="70" cm="1">
        <f t="array" aca="1" ref="Q18" ca="1">_xlfn.NUMBERVALUE(_xlfn.XLOOKUP(1,(OFFSET(IN_Verknüpfungen!$O$4,0,0,IN_Verknüpfungen!$A$2,1)=$A18)*(OFFSET(IN_Verknüpfungen!$P$4,0,0,IN_Verknüpfungen!$A$2,1)=R$3),OFFSET(IN_Verknüpfungen!$J$4,0,0,IN_Verknüpfungen!$A$2,1)))-SUM($G18:P18)</f>
        <v>1.5231481481481457E-2</v>
      </c>
      <c r="R18" s="70" cm="1">
        <f t="array" aca="1" ref="R18" ca="1">_xlfn.NUMBERVALUE(_xlfn.XLOOKUP(1,(OFFSET(IN_Verknüpfungen!$O$4,0,0,IN_Verknüpfungen!$A$2,1)=$A18)*(OFFSET(IN_Verknüpfungen!$P$4,0,0,IN_Verknüpfungen!$A$2,1)=R$3+1),OFFSET(IN_Verknüpfungen!$F$4,0,0,IN_Verknüpfungen!$A$2,1)))-SUM($G18:Q18)</f>
        <v>4.9548611111111085E-2</v>
      </c>
      <c r="S18" s="70" cm="1">
        <f t="array" aca="1" ref="S18" ca="1">_xlfn.NUMBERVALUE(_xlfn.XLOOKUP(1,(OFFSET(IN_Verknüpfungen!$O$4,0,0,IN_Verknüpfungen!$A$2,1)=$A18)*(OFFSET(IN_Verknüpfungen!$P$4,0,0,IN_Verknüpfungen!$A$2,1)=T$3),OFFSET(IN_Verknüpfungen!$J$4,0,0,IN_Verknüpfungen!$A$2,1)))-SUM($G18:R18)</f>
        <v>7.418981481481568E-3</v>
      </c>
      <c r="T18" s="70" cm="1">
        <f t="array" aca="1" ref="T18" ca="1">_xlfn.NUMBERVALUE(_xlfn.XLOOKUP(1,(OFFSET(IN_Verknüpfungen!$O$4,0,0,IN_Verknüpfungen!$A$2,1)=$A18)*(OFFSET(IN_Verknüpfungen!$P$4,0,0,IN_Verknüpfungen!$A$2,1)=T$3+1),OFFSET(IN_Verknüpfungen!$F$4,0,0,IN_Verknüpfungen!$A$2,1)))-SUM($G18:S18)</f>
        <v>3.4305555555555478E-2</v>
      </c>
      <c r="U18" s="70" cm="1">
        <f t="array" aca="1" ref="U18" ca="1">_xlfn.NUMBERVALUE(_xlfn.XLOOKUP(1,(OFFSET(IN_Verknüpfungen!$O$4,0,0,IN_Verknüpfungen!$A$2,1)=$A18)*(OFFSET(IN_Verknüpfungen!$P$4,0,0,IN_Verknüpfungen!$A$2,1)=V$3),OFFSET(IN_Verknüpfungen!$J$4,0,0,IN_Verknüpfungen!$A$2,1)))-SUM($G18:T18)</f>
        <v>1.5138888888888924E-2</v>
      </c>
      <c r="V18" s="70" t="e" cm="1">
        <f t="array" aca="1" ref="V18" ca="1">_xlfn.NUMBERVALUE(_xlfn.XLOOKUP(1,(OFFSET(IN_Verknüpfungen!$O$4,0,0,IN_Verknüpfungen!$A$2,1)=$A18)*(OFFSET(IN_Verknüpfungen!$P$4,0,0,IN_Verknüpfungen!$A$2,1)=V$3+1),OFFSET(IN_Verknüpfungen!$F$4,0,0,IN_Verknüpfungen!$A$2,1)))-SUM($G18:U18)</f>
        <v>#N/A</v>
      </c>
      <c r="W18" s="70" t="e" cm="1">
        <f t="array" aca="1" ref="W18" ca="1">_xlfn.NUMBERVALUE(_xlfn.XLOOKUP(1,(OFFSET(IN_Verknüpfungen!$O$4,0,0,IN_Verknüpfungen!$A$2,1)=$A18)*(OFFSET(IN_Verknüpfungen!$P$4,0,0,IN_Verknüpfungen!$A$2,1)=X$3),OFFSET(IN_Verknüpfungen!$J$4,0,0,IN_Verknüpfungen!$A$2,1)))-SUM($G18:V18)</f>
        <v>#N/A</v>
      </c>
      <c r="X18" s="70" t="e" cm="1">
        <f t="array" aca="1" ref="X18" ca="1">_xlfn.NUMBERVALUE(_xlfn.XLOOKUP(1,(OFFSET(IN_Verknüpfungen!$O$4,0,0,IN_Verknüpfungen!$A$2,1)=$A18)*(OFFSET(IN_Verknüpfungen!$P$4,0,0,IN_Verknüpfungen!$A$2,1)=X$3+1),OFFSET(IN_Verknüpfungen!$F$4,0,0,IN_Verknüpfungen!$A$2,1)))-SUM($G18:W18)</f>
        <v>#N/A</v>
      </c>
      <c r="Y18" s="70" t="e" cm="1">
        <f t="array" aca="1" ref="Y18" ca="1">_xlfn.NUMBERVALUE(_xlfn.XLOOKUP(1,(OFFSET(IN_Verknüpfungen!$O$4,0,0,IN_Verknüpfungen!$A$2,1)=$A18)*(OFFSET(IN_Verknüpfungen!$P$4,0,0,IN_Verknüpfungen!$A$2,1)=Z$3),OFFSET(IN_Verknüpfungen!$J$4,0,0,IN_Verknüpfungen!$A$2,1)))-SUM($G18:X18)</f>
        <v>#N/A</v>
      </c>
      <c r="Z18" s="70" t="e" cm="1">
        <f t="array" aca="1" ref="Z18" ca="1">_xlfn.NUMBERVALUE(_xlfn.XLOOKUP(1,(OFFSET(IN_Verknüpfungen!$O$4,0,0,IN_Verknüpfungen!$A$2,1)=$A18)*(OFFSET(IN_Verknüpfungen!$P$4,0,0,IN_Verknüpfungen!$A$2,1)=Z$3+1),OFFSET(IN_Verknüpfungen!$F$4,0,0,IN_Verknüpfungen!$A$2,1)))-SUM($G18:Y18)</f>
        <v>#N/A</v>
      </c>
      <c r="AA18" s="70" t="e" cm="1">
        <f t="array" aca="1" ref="AA18" ca="1">_xlfn.NUMBERVALUE(_xlfn.XLOOKUP(1,(OFFSET(IN_Verknüpfungen!$O$4,0,0,IN_Verknüpfungen!$A$2,1)=$A18)*(OFFSET(IN_Verknüpfungen!$P$4,0,0,IN_Verknüpfungen!$A$2,1)=AB$3),OFFSET(IN_Verknüpfungen!$J$4,0,0,IN_Verknüpfungen!$A$2,1)))-SUM($G18:Z18)</f>
        <v>#N/A</v>
      </c>
      <c r="AB18" s="70" t="e" cm="1">
        <f t="array" aca="1" ref="AB18" ca="1">_xlfn.NUMBERVALUE(_xlfn.XLOOKUP(1,(OFFSET(IN_Verknüpfungen!$O$4,0,0,IN_Verknüpfungen!$A$2,1)=$A18)*(OFFSET(IN_Verknüpfungen!$P$4,0,0,IN_Verknüpfungen!$A$2,1)=AB$3+1),OFFSET(IN_Verknüpfungen!$F$4,0,0,IN_Verknüpfungen!$A$2,1)))-SUM($G18:AA18)</f>
        <v>#N/A</v>
      </c>
    </row>
    <row r="19" spans="1:28" x14ac:dyDescent="0.2">
      <c r="A19" s="56" t="str">
        <f ca="1"/>
        <v>Composition 16</v>
      </c>
      <c r="B19" s="55" t="str" cm="1">
        <f t="array" aca="1" ref="B19" ca="1">IF(A19&lt;&gt;"",_xlfn.XLOOKUP(Laufwege!A19,OFFSET(IN_Verknüpfungen!L$4,0,0,IN_Verknüpfungen!A$2,1),OFFSET(IN_Verknüpfungen!N$4,0,0,IN_Verknüpfungen!A$2,1),""),"")</f>
        <v>146-3.2</v>
      </c>
      <c r="C19" s="55">
        <f ca="1">IF(A19&lt;&gt;"",SUMIFS(OFFSET(IN_Verknüpfungen!M$4,0,0,IN_Verknüpfungen!A$2,1),OFFSET(IN_Verknüpfungen!O$4,0,0,IN_Verknüpfungen!A$2,1),Laufwege!A19),0)</f>
        <v>475730</v>
      </c>
      <c r="D19" s="55" cm="1">
        <f t="array" aca="1" ref="D19" ca="1">IF(B19&lt;&gt;"",_xlfn.XLOOKUP(B19,OFFSET(IN_Stammdaten!$A$4,0,0,IN_Stammdaten!$A$2,1),OFFSET(IN_Stammdaten!$C$4,0,0,IN_Stammdaten!$A$2,1),""),"")</f>
        <v>0</v>
      </c>
      <c r="E19" s="55" t="str">
        <f t="shared" ca="1" si="0"/>
        <v>nein</v>
      </c>
      <c r="F19" s="69" t="str">
        <f t="shared" ca="1" si="1"/>
        <v>Composition 16 (146-3.2)</v>
      </c>
      <c r="G19" s="70" cm="1">
        <f t="array" aca="1" ref="G19" ca="1">_xlfn.NUMBERVALUE(_xlfn.XLOOKUP(A19,OFFSET(IN_Verknüpfungen!$L$4,0,0,IN_Verknüpfungen!$A$2,1),OFFSET(IN_Verknüpfungen!$Q$4,0,0,IN_Verknüpfungen!$A$2,1)))</f>
        <v>0.22363425925925925</v>
      </c>
      <c r="H19" s="70" cm="1">
        <f t="array" aca="1" ref="H19" ca="1">_xlfn.NUMBERVALUE(_xlfn.XLOOKUP(A19,OFFSET(IN_Verknüpfungen!$L$4,0,0,IN_Verknüpfungen!$A$2,1),OFFSET(IN_Verknüpfungen!$F$4,0,0,IN_Verknüpfungen!$A$2,1)))-G19</f>
        <v>4.3182870370370358E-2</v>
      </c>
      <c r="I19" s="70" cm="1">
        <f t="array" aca="1" ref="I19" ca="1">_xlfn.NUMBERVALUE(_xlfn.XLOOKUP(1,(OFFSET(IN_Verknüpfungen!$O$4,0,0,IN_Verknüpfungen!$A$2,1)=$A19)*(OFFSET(IN_Verknüpfungen!$P$4,0,0,IN_Verknüpfungen!$A$2,1)=J$3),OFFSET(IN_Verknüpfungen!$J$4,0,0,IN_Verknüpfungen!$A$2,1)))-SUM($G19:H19)</f>
        <v>3.645833333333337E-2</v>
      </c>
      <c r="J19" s="70" cm="1">
        <f t="array" aca="1" ref="J19" ca="1">_xlfn.NUMBERVALUE(_xlfn.XLOOKUP(1,(OFFSET(IN_Verknüpfungen!$O$4,0,0,IN_Verknüpfungen!$A$2,1)=$A19)*(OFFSET(IN_Verknüpfungen!$P$4,0,0,IN_Verknüpfungen!$A$2,1)=J$3+1),OFFSET(IN_Verknüpfungen!$F$4,0,0,IN_Verknüpfungen!$A$2,1)))-SUM($G19:I19)</f>
        <v>4.0590277777777739E-2</v>
      </c>
      <c r="K19" s="70" cm="1">
        <f t="array" aca="1" ref="K19" ca="1">_xlfn.NUMBERVALUE(_xlfn.XLOOKUP(1,(OFFSET(IN_Verknüpfungen!$O$4,0,0,IN_Verknüpfungen!$A$2,1)=$A19)*(OFFSET(IN_Verknüpfungen!$P$4,0,0,IN_Verknüpfungen!$A$2,1)=L$3),OFFSET(IN_Verknüpfungen!$J$4,0,0,IN_Verknüpfungen!$A$2,1)))-SUM($G19:J19)</f>
        <v>8.9699074074074403E-3</v>
      </c>
      <c r="L19" s="70" cm="1">
        <f t="array" aca="1" ref="L19" ca="1">_xlfn.NUMBERVALUE(_xlfn.XLOOKUP(1,(OFFSET(IN_Verknüpfungen!$O$4,0,0,IN_Verknüpfungen!$A$2,1)=$A19)*(OFFSET(IN_Verknüpfungen!$P$4,0,0,IN_Verknüpfungen!$A$2,1)=L$3+1),OFFSET(IN_Verknüpfungen!$F$4,0,0,IN_Verknüpfungen!$A$2,1)))-SUM($G19:K19)</f>
        <v>3.8969907407407411E-2</v>
      </c>
      <c r="M19" s="70" cm="1">
        <f t="array" aca="1" ref="M19" ca="1">_xlfn.NUMBERVALUE(_xlfn.XLOOKUP(1,(OFFSET(IN_Verknüpfungen!$O$4,0,0,IN_Verknüpfungen!$A$2,1)=$A19)*(OFFSET(IN_Verknüpfungen!$P$4,0,0,IN_Verknüpfungen!$A$2,1)=N$3),OFFSET(IN_Verknüpfungen!$J$4,0,0,IN_Verknüpfungen!$A$2,1)))-SUM($G19:L19)</f>
        <v>3.6469907407407409E-2</v>
      </c>
      <c r="N19" s="70" cm="1">
        <f t="array" aca="1" ref="N19" ca="1">_xlfn.NUMBERVALUE(_xlfn.XLOOKUP(1,(OFFSET(IN_Verknüpfungen!$O$4,0,0,IN_Verknüpfungen!$A$2,1)=$A19)*(OFFSET(IN_Verknüpfungen!$P$4,0,0,IN_Verknüpfungen!$A$2,1)=N$3+1),OFFSET(IN_Verknüpfungen!$F$4,0,0,IN_Verknüpfungen!$A$2,1)))-SUM($G19:M19)</f>
        <v>4.0590277777777739E-2</v>
      </c>
      <c r="O19" s="70" cm="1">
        <f t="array" aca="1" ref="O19" ca="1">_xlfn.NUMBERVALUE(_xlfn.XLOOKUP(1,(OFFSET(IN_Verknüpfungen!$O$4,0,0,IN_Verknüpfungen!$A$2,1)=$A19)*(OFFSET(IN_Verknüpfungen!$P$4,0,0,IN_Verknüpfungen!$A$2,1)=P$3),OFFSET(IN_Verknüpfungen!$J$4,0,0,IN_Verknüpfungen!$A$2,1)))-SUM($G19:N19)</f>
        <v>8.9699074074074403E-3</v>
      </c>
      <c r="P19" s="70" cm="1">
        <f t="array" aca="1" ref="P19" ca="1">_xlfn.NUMBERVALUE(_xlfn.XLOOKUP(1,(OFFSET(IN_Verknüpfungen!$O$4,0,0,IN_Verknüpfungen!$A$2,1)=$A19)*(OFFSET(IN_Verknüpfungen!$P$4,0,0,IN_Verknüpfungen!$A$2,1)=P$3+1),OFFSET(IN_Verknüpfungen!$F$4,0,0,IN_Verknüpfungen!$A$2,1)))-SUM($G19:O19)</f>
        <v>3.8981481481481506E-2</v>
      </c>
      <c r="Q19" s="70" cm="1">
        <f t="array" aca="1" ref="Q19" ca="1">_xlfn.NUMBERVALUE(_xlfn.XLOOKUP(1,(OFFSET(IN_Verknüpfungen!$O$4,0,0,IN_Verknüpfungen!$A$2,1)=$A19)*(OFFSET(IN_Verknüpfungen!$P$4,0,0,IN_Verknüpfungen!$A$2,1)=R$3),OFFSET(IN_Verknüpfungen!$J$4,0,0,IN_Verknüpfungen!$A$2,1)))-SUM($G19:P19)</f>
        <v>3.6458333333333259E-2</v>
      </c>
      <c r="R19" s="70" cm="1">
        <f t="array" aca="1" ref="R19" ca="1">_xlfn.NUMBERVALUE(_xlfn.XLOOKUP(1,(OFFSET(IN_Verknüpfungen!$O$4,0,0,IN_Verknüpfungen!$A$2,1)=$A19)*(OFFSET(IN_Verknüpfungen!$P$4,0,0,IN_Verknüpfungen!$A$2,1)=R$3+1),OFFSET(IN_Verknüpfungen!$F$4,0,0,IN_Verknüpfungen!$A$2,1)))-SUM($G19:Q19)</f>
        <v>4.0590277777777795E-2</v>
      </c>
      <c r="S19" s="70" cm="1">
        <f t="array" aca="1" ref="S19" ca="1">_xlfn.NUMBERVALUE(_xlfn.XLOOKUP(1,(OFFSET(IN_Verknüpfungen!$O$4,0,0,IN_Verknüpfungen!$A$2,1)=$A19)*(OFFSET(IN_Verknüpfungen!$P$4,0,0,IN_Verknüpfungen!$A$2,1)=T$3),OFFSET(IN_Verknüpfungen!$J$4,0,0,IN_Verknüpfungen!$A$2,1)))-SUM($G19:R19)</f>
        <v>8.9699074074074403E-3</v>
      </c>
      <c r="T19" s="70" t="e" cm="1">
        <f t="array" aca="1" ref="T19" ca="1">_xlfn.NUMBERVALUE(_xlfn.XLOOKUP(1,(OFFSET(IN_Verknüpfungen!$O$4,0,0,IN_Verknüpfungen!$A$2,1)=$A19)*(OFFSET(IN_Verknüpfungen!$P$4,0,0,IN_Verknüpfungen!$A$2,1)=T$3+1),OFFSET(IN_Verknüpfungen!$F$4,0,0,IN_Verknüpfungen!$A$2,1)))-SUM($G19:S19)</f>
        <v>#N/A</v>
      </c>
      <c r="U19" s="70" t="e" cm="1">
        <f t="array" aca="1" ref="U19" ca="1">_xlfn.NUMBERVALUE(_xlfn.XLOOKUP(1,(OFFSET(IN_Verknüpfungen!$O$4,0,0,IN_Verknüpfungen!$A$2,1)=$A19)*(OFFSET(IN_Verknüpfungen!$P$4,0,0,IN_Verknüpfungen!$A$2,1)=V$3),OFFSET(IN_Verknüpfungen!$J$4,0,0,IN_Verknüpfungen!$A$2,1)))-SUM($G19:T19)</f>
        <v>#N/A</v>
      </c>
      <c r="V19" s="70" t="e" cm="1">
        <f t="array" aca="1" ref="V19" ca="1">_xlfn.NUMBERVALUE(_xlfn.XLOOKUP(1,(OFFSET(IN_Verknüpfungen!$O$4,0,0,IN_Verknüpfungen!$A$2,1)=$A19)*(OFFSET(IN_Verknüpfungen!$P$4,0,0,IN_Verknüpfungen!$A$2,1)=V$3+1),OFFSET(IN_Verknüpfungen!$F$4,0,0,IN_Verknüpfungen!$A$2,1)))-SUM($G19:U19)</f>
        <v>#N/A</v>
      </c>
      <c r="W19" s="70" t="e" cm="1">
        <f t="array" aca="1" ref="W19" ca="1">_xlfn.NUMBERVALUE(_xlfn.XLOOKUP(1,(OFFSET(IN_Verknüpfungen!$O$4,0,0,IN_Verknüpfungen!$A$2,1)=$A19)*(OFFSET(IN_Verknüpfungen!$P$4,0,0,IN_Verknüpfungen!$A$2,1)=X$3),OFFSET(IN_Verknüpfungen!$J$4,0,0,IN_Verknüpfungen!$A$2,1)))-SUM($G19:V19)</f>
        <v>#N/A</v>
      </c>
      <c r="X19" s="70" t="e" cm="1">
        <f t="array" aca="1" ref="X19" ca="1">_xlfn.NUMBERVALUE(_xlfn.XLOOKUP(1,(OFFSET(IN_Verknüpfungen!$O$4,0,0,IN_Verknüpfungen!$A$2,1)=$A19)*(OFFSET(IN_Verknüpfungen!$P$4,0,0,IN_Verknüpfungen!$A$2,1)=X$3+1),OFFSET(IN_Verknüpfungen!$F$4,0,0,IN_Verknüpfungen!$A$2,1)))-SUM($G19:W19)</f>
        <v>#N/A</v>
      </c>
      <c r="Y19" s="70" t="e" cm="1">
        <f t="array" aca="1" ref="Y19" ca="1">_xlfn.NUMBERVALUE(_xlfn.XLOOKUP(1,(OFFSET(IN_Verknüpfungen!$O$4,0,0,IN_Verknüpfungen!$A$2,1)=$A19)*(OFFSET(IN_Verknüpfungen!$P$4,0,0,IN_Verknüpfungen!$A$2,1)=Z$3),OFFSET(IN_Verknüpfungen!$J$4,0,0,IN_Verknüpfungen!$A$2,1)))-SUM($G19:X19)</f>
        <v>#N/A</v>
      </c>
      <c r="Z19" s="70" t="e" cm="1">
        <f t="array" aca="1" ref="Z19" ca="1">_xlfn.NUMBERVALUE(_xlfn.XLOOKUP(1,(OFFSET(IN_Verknüpfungen!$O$4,0,0,IN_Verknüpfungen!$A$2,1)=$A19)*(OFFSET(IN_Verknüpfungen!$P$4,0,0,IN_Verknüpfungen!$A$2,1)=Z$3+1),OFFSET(IN_Verknüpfungen!$F$4,0,0,IN_Verknüpfungen!$A$2,1)))-SUM($G19:Y19)</f>
        <v>#N/A</v>
      </c>
      <c r="AA19" s="70" t="e" cm="1">
        <f t="array" aca="1" ref="AA19" ca="1">_xlfn.NUMBERVALUE(_xlfn.XLOOKUP(1,(OFFSET(IN_Verknüpfungen!$O$4,0,0,IN_Verknüpfungen!$A$2,1)=$A19)*(OFFSET(IN_Verknüpfungen!$P$4,0,0,IN_Verknüpfungen!$A$2,1)=AB$3),OFFSET(IN_Verknüpfungen!$J$4,0,0,IN_Verknüpfungen!$A$2,1)))-SUM($G19:Z19)</f>
        <v>#N/A</v>
      </c>
      <c r="AB19" s="70" t="e" cm="1">
        <f t="array" aca="1" ref="AB19" ca="1">_xlfn.NUMBERVALUE(_xlfn.XLOOKUP(1,(OFFSET(IN_Verknüpfungen!$O$4,0,0,IN_Verknüpfungen!$A$2,1)=$A19)*(OFFSET(IN_Verknüpfungen!$P$4,0,0,IN_Verknüpfungen!$A$2,1)=AB$3+1),OFFSET(IN_Verknüpfungen!$F$4,0,0,IN_Verknüpfungen!$A$2,1)))-SUM($G19:AA19)</f>
        <v>#N/A</v>
      </c>
    </row>
    <row r="20" spans="1:28" x14ac:dyDescent="0.2">
      <c r="A20" s="56" t="str">
        <f ca="1"/>
        <v>Composition 17</v>
      </c>
      <c r="B20" s="55" t="str" cm="1">
        <f t="array" aca="1" ref="B20" ca="1">IF(A20&lt;&gt;"",_xlfn.XLOOKUP(Laufwege!A20,OFFSET(IN_Verknüpfungen!L$4,0,0,IN_Verknüpfungen!A$2,1),OFFSET(IN_Verknüpfungen!N$4,0,0,IN_Verknüpfungen!A$2,1),""),"")</f>
        <v>146-3.2</v>
      </c>
      <c r="C20" s="55">
        <f ca="1">IF(A20&lt;&gt;"",SUMIFS(OFFSET(IN_Verknüpfungen!M$4,0,0,IN_Verknüpfungen!A$2,1),OFFSET(IN_Verknüpfungen!O$4,0,0,IN_Verknüpfungen!A$2,1),Laufwege!A20),0)</f>
        <v>544096</v>
      </c>
      <c r="D20" s="55" cm="1">
        <f t="array" aca="1" ref="D20" ca="1">IF(B20&lt;&gt;"",_xlfn.XLOOKUP(B20,OFFSET(IN_Stammdaten!$A$4,0,0,IN_Stammdaten!$A$2,1),OFFSET(IN_Stammdaten!$C$4,0,0,IN_Stammdaten!$A$2,1),""),"")</f>
        <v>0</v>
      </c>
      <c r="E20" s="55" t="str">
        <f t="shared" ca="1" si="0"/>
        <v>nein</v>
      </c>
      <c r="F20" s="69" t="str">
        <f t="shared" ca="1" si="1"/>
        <v>Composition 17 (146-3.2)</v>
      </c>
      <c r="G20" s="70" cm="1">
        <f t="array" aca="1" ref="G20" ca="1">_xlfn.NUMBERVALUE(_xlfn.XLOOKUP(A20,OFFSET(IN_Verknüpfungen!$L$4,0,0,IN_Verknüpfungen!$A$2,1),OFFSET(IN_Verknüpfungen!$Q$4,0,0,IN_Verknüpfungen!$A$2,1)))</f>
        <v>0.20020833333333332</v>
      </c>
      <c r="H20" s="70" cm="1">
        <f t="array" aca="1" ref="H20" ca="1">_xlfn.NUMBERVALUE(_xlfn.XLOOKUP(A20,OFFSET(IN_Verknüpfungen!$L$4,0,0,IN_Verknüpfungen!$A$2,1),OFFSET(IN_Verknüpfungen!$F$4,0,0,IN_Verknüpfungen!$A$2,1)))-G20</f>
        <v>6.712962962962965E-2</v>
      </c>
      <c r="I20" s="70" cm="1">
        <f t="array" aca="1" ref="I20" ca="1">_xlfn.NUMBERVALUE(_xlfn.XLOOKUP(1,(OFFSET(IN_Verknüpfungen!$O$4,0,0,IN_Verknüpfungen!$A$2,1)=$A20)*(OFFSET(IN_Verknüpfungen!$P$4,0,0,IN_Verknüpfungen!$A$2,1)=J$3),OFFSET(IN_Verknüpfungen!$J$4,0,0,IN_Verknüpfungen!$A$2,1)))-SUM($G20:H20)</f>
        <v>1.6701388888888891E-2</v>
      </c>
      <c r="J20" s="70" cm="1">
        <f t="array" aca="1" ref="J20" ca="1">_xlfn.NUMBERVALUE(_xlfn.XLOOKUP(1,(OFFSET(IN_Verknüpfungen!$O$4,0,0,IN_Verknüpfungen!$A$2,1)=$A20)*(OFFSET(IN_Verknüpfungen!$P$4,0,0,IN_Verknüpfungen!$A$2,1)=J$3+1),OFFSET(IN_Verknüpfungen!$F$4,0,0,IN_Verknüpfungen!$A$2,1)))-SUM($G20:I20)</f>
        <v>4.5254629629629617E-2</v>
      </c>
      <c r="K20" s="70" cm="1">
        <f t="array" aca="1" ref="K20" ca="1">_xlfn.NUMBERVALUE(_xlfn.XLOOKUP(1,(OFFSET(IN_Verknüpfungen!$O$4,0,0,IN_Verknüpfungen!$A$2,1)=$A20)*(OFFSET(IN_Verknüpfungen!$P$4,0,0,IN_Verknüpfungen!$A$2,1)=L$3),OFFSET(IN_Verknüpfungen!$J$4,0,0,IN_Verknüpfungen!$A$2,1)))-SUM($G20:J20)</f>
        <v>1.1041666666666672E-2</v>
      </c>
      <c r="L20" s="70" cm="1">
        <f t="array" aca="1" ref="L20" ca="1">_xlfn.NUMBERVALUE(_xlfn.XLOOKUP(1,(OFFSET(IN_Verknüpfungen!$O$4,0,0,IN_Verknüpfungen!$A$2,1)=$A20)*(OFFSET(IN_Verknüpfungen!$P$4,0,0,IN_Verknüpfungen!$A$2,1)=L$3+1),OFFSET(IN_Verknüpfungen!$F$4,0,0,IN_Verknüpfungen!$A$2,1)))-SUM($G20:K20)</f>
        <v>8.4259259259259256E-2</v>
      </c>
      <c r="M20" s="70" cm="1">
        <f t="array" aca="1" ref="M20" ca="1">_xlfn.NUMBERVALUE(_xlfn.XLOOKUP(1,(OFFSET(IN_Verknüpfungen!$O$4,0,0,IN_Verknüpfungen!$A$2,1)=$A20)*(OFFSET(IN_Verknüpfungen!$P$4,0,0,IN_Verknüpfungen!$A$2,1)=N$3),OFFSET(IN_Verknüpfungen!$J$4,0,0,IN_Verknüpfungen!$A$2,1)))-SUM($G20:L20)</f>
        <v>1.635416666666667E-2</v>
      </c>
      <c r="N20" s="70" cm="1">
        <f t="array" aca="1" ref="N20" ca="1">_xlfn.NUMBERVALUE(_xlfn.XLOOKUP(1,(OFFSET(IN_Verknüpfungen!$O$4,0,0,IN_Verknüpfungen!$A$2,1)=$A20)*(OFFSET(IN_Verknüpfungen!$P$4,0,0,IN_Verknüpfungen!$A$2,1)=N$3+1),OFFSET(IN_Verknüpfungen!$F$4,0,0,IN_Verknüpfungen!$A$2,1)))-SUM($G20:M20)</f>
        <v>7.7731481481481512E-2</v>
      </c>
      <c r="O20" s="70" cm="1">
        <f t="array" aca="1" ref="O20" ca="1">_xlfn.NUMBERVALUE(_xlfn.XLOOKUP(1,(OFFSET(IN_Verknüpfungen!$O$4,0,0,IN_Verknüpfungen!$A$2,1)=$A20)*(OFFSET(IN_Verknüpfungen!$P$4,0,0,IN_Verknüpfungen!$A$2,1)=P$3),OFFSET(IN_Verknüpfungen!$J$4,0,0,IN_Verknüpfungen!$A$2,1)))-SUM($G20:N20)</f>
        <v>1.200231481481473E-2</v>
      </c>
      <c r="P20" s="70" cm="1">
        <f t="array" aca="1" ref="P20" ca="1">_xlfn.NUMBERVALUE(_xlfn.XLOOKUP(1,(OFFSET(IN_Verknüpfungen!$O$4,0,0,IN_Verknüpfungen!$A$2,1)=$A20)*(OFFSET(IN_Verknüpfungen!$P$4,0,0,IN_Verknüpfungen!$A$2,1)=P$3+1),OFFSET(IN_Verknüpfungen!$F$4,0,0,IN_Verknüpfungen!$A$2,1)))-SUM($G20:O20)</f>
        <v>4.5659722222222254E-2</v>
      </c>
      <c r="Q20" s="70" cm="1">
        <f t="array" aca="1" ref="Q20" ca="1">_xlfn.NUMBERVALUE(_xlfn.XLOOKUP(1,(OFFSET(IN_Verknüpfungen!$O$4,0,0,IN_Verknüpfungen!$A$2,1)=$A20)*(OFFSET(IN_Verknüpfungen!$P$4,0,0,IN_Verknüpfungen!$A$2,1)=R$3),OFFSET(IN_Verknüpfungen!$J$4,0,0,IN_Verknüpfungen!$A$2,1)))-SUM($G20:P20)</f>
        <v>1.9212962962962932E-2</v>
      </c>
      <c r="R20" s="70" t="e" cm="1">
        <f t="array" aca="1" ref="R20" ca="1">_xlfn.NUMBERVALUE(_xlfn.XLOOKUP(1,(OFFSET(IN_Verknüpfungen!$O$4,0,0,IN_Verknüpfungen!$A$2,1)=$A20)*(OFFSET(IN_Verknüpfungen!$P$4,0,0,IN_Verknüpfungen!$A$2,1)=R$3+1),OFFSET(IN_Verknüpfungen!$F$4,0,0,IN_Verknüpfungen!$A$2,1)))-SUM($G20:Q20)</f>
        <v>#N/A</v>
      </c>
      <c r="S20" s="70" t="e" cm="1">
        <f t="array" aca="1" ref="S20" ca="1">_xlfn.NUMBERVALUE(_xlfn.XLOOKUP(1,(OFFSET(IN_Verknüpfungen!$O$4,0,0,IN_Verknüpfungen!$A$2,1)=$A20)*(OFFSET(IN_Verknüpfungen!$P$4,0,0,IN_Verknüpfungen!$A$2,1)=T$3),OFFSET(IN_Verknüpfungen!$J$4,0,0,IN_Verknüpfungen!$A$2,1)))-SUM($G20:R20)</f>
        <v>#N/A</v>
      </c>
      <c r="T20" s="70" t="e" cm="1">
        <f t="array" aca="1" ref="T20" ca="1">_xlfn.NUMBERVALUE(_xlfn.XLOOKUP(1,(OFFSET(IN_Verknüpfungen!$O$4,0,0,IN_Verknüpfungen!$A$2,1)=$A20)*(OFFSET(IN_Verknüpfungen!$P$4,0,0,IN_Verknüpfungen!$A$2,1)=T$3+1),OFFSET(IN_Verknüpfungen!$F$4,0,0,IN_Verknüpfungen!$A$2,1)))-SUM($G20:S20)</f>
        <v>#N/A</v>
      </c>
      <c r="U20" s="70" t="e" cm="1">
        <f t="array" aca="1" ref="U20" ca="1">_xlfn.NUMBERVALUE(_xlfn.XLOOKUP(1,(OFFSET(IN_Verknüpfungen!$O$4,0,0,IN_Verknüpfungen!$A$2,1)=$A20)*(OFFSET(IN_Verknüpfungen!$P$4,0,0,IN_Verknüpfungen!$A$2,1)=V$3),OFFSET(IN_Verknüpfungen!$J$4,0,0,IN_Verknüpfungen!$A$2,1)))-SUM($G20:T20)</f>
        <v>#N/A</v>
      </c>
      <c r="V20" s="70" t="e" cm="1">
        <f t="array" aca="1" ref="V20" ca="1">_xlfn.NUMBERVALUE(_xlfn.XLOOKUP(1,(OFFSET(IN_Verknüpfungen!$O$4,0,0,IN_Verknüpfungen!$A$2,1)=$A20)*(OFFSET(IN_Verknüpfungen!$P$4,0,0,IN_Verknüpfungen!$A$2,1)=V$3+1),OFFSET(IN_Verknüpfungen!$F$4,0,0,IN_Verknüpfungen!$A$2,1)))-SUM($G20:U20)</f>
        <v>#N/A</v>
      </c>
      <c r="W20" s="70" t="e" cm="1">
        <f t="array" aca="1" ref="W20" ca="1">_xlfn.NUMBERVALUE(_xlfn.XLOOKUP(1,(OFFSET(IN_Verknüpfungen!$O$4,0,0,IN_Verknüpfungen!$A$2,1)=$A20)*(OFFSET(IN_Verknüpfungen!$P$4,0,0,IN_Verknüpfungen!$A$2,1)=X$3),OFFSET(IN_Verknüpfungen!$J$4,0,0,IN_Verknüpfungen!$A$2,1)))-SUM($G20:V20)</f>
        <v>#N/A</v>
      </c>
      <c r="X20" s="70" t="e" cm="1">
        <f t="array" aca="1" ref="X20" ca="1">_xlfn.NUMBERVALUE(_xlfn.XLOOKUP(1,(OFFSET(IN_Verknüpfungen!$O$4,0,0,IN_Verknüpfungen!$A$2,1)=$A20)*(OFFSET(IN_Verknüpfungen!$P$4,0,0,IN_Verknüpfungen!$A$2,1)=X$3+1),OFFSET(IN_Verknüpfungen!$F$4,0,0,IN_Verknüpfungen!$A$2,1)))-SUM($G20:W20)</f>
        <v>#N/A</v>
      </c>
      <c r="Y20" s="70" t="e" cm="1">
        <f t="array" aca="1" ref="Y20" ca="1">_xlfn.NUMBERVALUE(_xlfn.XLOOKUP(1,(OFFSET(IN_Verknüpfungen!$O$4,0,0,IN_Verknüpfungen!$A$2,1)=$A20)*(OFFSET(IN_Verknüpfungen!$P$4,0,0,IN_Verknüpfungen!$A$2,1)=Z$3),OFFSET(IN_Verknüpfungen!$J$4,0,0,IN_Verknüpfungen!$A$2,1)))-SUM($G20:X20)</f>
        <v>#N/A</v>
      </c>
      <c r="Z20" s="70" t="e" cm="1">
        <f t="array" aca="1" ref="Z20" ca="1">_xlfn.NUMBERVALUE(_xlfn.XLOOKUP(1,(OFFSET(IN_Verknüpfungen!$O$4,0,0,IN_Verknüpfungen!$A$2,1)=$A20)*(OFFSET(IN_Verknüpfungen!$P$4,0,0,IN_Verknüpfungen!$A$2,1)=Z$3+1),OFFSET(IN_Verknüpfungen!$F$4,0,0,IN_Verknüpfungen!$A$2,1)))-SUM($G20:Y20)</f>
        <v>#N/A</v>
      </c>
      <c r="AA20" s="70" t="e" cm="1">
        <f t="array" aca="1" ref="AA20" ca="1">_xlfn.NUMBERVALUE(_xlfn.XLOOKUP(1,(OFFSET(IN_Verknüpfungen!$O$4,0,0,IN_Verknüpfungen!$A$2,1)=$A20)*(OFFSET(IN_Verknüpfungen!$P$4,0,0,IN_Verknüpfungen!$A$2,1)=AB$3),OFFSET(IN_Verknüpfungen!$J$4,0,0,IN_Verknüpfungen!$A$2,1)))-SUM($G20:Z20)</f>
        <v>#N/A</v>
      </c>
      <c r="AB20" s="70" t="e" cm="1">
        <f t="array" aca="1" ref="AB20" ca="1">_xlfn.NUMBERVALUE(_xlfn.XLOOKUP(1,(OFFSET(IN_Verknüpfungen!$O$4,0,0,IN_Verknüpfungen!$A$2,1)=$A20)*(OFFSET(IN_Verknüpfungen!$P$4,0,0,IN_Verknüpfungen!$A$2,1)=AB$3+1),OFFSET(IN_Verknüpfungen!$F$4,0,0,IN_Verknüpfungen!$A$2,1)))-SUM($G20:AA20)</f>
        <v>#N/A</v>
      </c>
    </row>
    <row r="21" spans="1:28" x14ac:dyDescent="0.2">
      <c r="A21" s="56" t="str">
        <f ca="1"/>
        <v>Composition 18</v>
      </c>
      <c r="B21" s="55" t="str" cm="1">
        <f t="array" aca="1" ref="B21" ca="1">IF(A21&lt;&gt;"",_xlfn.XLOOKUP(Laufwege!A21,OFFSET(IN_Verknüpfungen!L$4,0,0,IN_Verknüpfungen!A$2,1),OFFSET(IN_Verknüpfungen!N$4,0,0,IN_Verknüpfungen!A$2,1),""),"")</f>
        <v>146-3.2</v>
      </c>
      <c r="C21" s="55">
        <f ca="1">IF(A21&lt;&gt;"",SUMIFS(OFFSET(IN_Verknüpfungen!M$4,0,0,IN_Verknüpfungen!A$2,1),OFFSET(IN_Verknüpfungen!O$4,0,0,IN_Verknüpfungen!A$2,1),Laufwege!A21),0)</f>
        <v>544096</v>
      </c>
      <c r="D21" s="55" cm="1">
        <f t="array" aca="1" ref="D21" ca="1">IF(B21&lt;&gt;"",_xlfn.XLOOKUP(B21,OFFSET(IN_Stammdaten!$A$4,0,0,IN_Stammdaten!$A$2,1),OFFSET(IN_Stammdaten!$C$4,0,0,IN_Stammdaten!$A$2,1),""),"")</f>
        <v>0</v>
      </c>
      <c r="E21" s="55" t="str">
        <f t="shared" ca="1" si="0"/>
        <v>nein</v>
      </c>
      <c r="F21" s="69" t="str">
        <f t="shared" ca="1" si="1"/>
        <v>Composition 18 (146-3.2)</v>
      </c>
      <c r="G21" s="70" cm="1">
        <f t="array" aca="1" ref="G21" ca="1">_xlfn.NUMBERVALUE(_xlfn.XLOOKUP(A21,OFFSET(IN_Verknüpfungen!$L$4,0,0,IN_Verknüpfungen!$A$2,1),OFFSET(IN_Verknüpfungen!$Q$4,0,0,IN_Verknüpfungen!$A$2,1)))</f>
        <v>0.21094907407407407</v>
      </c>
      <c r="H21" s="70" cm="1">
        <f t="array" aca="1" ref="H21" ca="1">_xlfn.NUMBERVALUE(_xlfn.XLOOKUP(A21,OFFSET(IN_Verknüpfungen!$L$4,0,0,IN_Verknüpfungen!$A$2,1),OFFSET(IN_Verknüpfungen!$F$4,0,0,IN_Verknüpfungen!$A$2,1)))-G21</f>
        <v>6.0312500000000019E-2</v>
      </c>
      <c r="I21" s="70" cm="1">
        <f t="array" aca="1" ref="I21" ca="1">_xlfn.NUMBERVALUE(_xlfn.XLOOKUP(1,(OFFSET(IN_Verknüpfungen!$O$4,0,0,IN_Verknüpfungen!$A$2,1)=$A21)*(OFFSET(IN_Verknüpfungen!$P$4,0,0,IN_Verknüpfungen!$A$2,1)=J$3),OFFSET(IN_Verknüpfungen!$J$4,0,0,IN_Verknüpfungen!$A$2,1)))-SUM($G21:H21)</f>
        <v>2.4548611111111118E-2</v>
      </c>
      <c r="J21" s="70" cm="1">
        <f t="array" aca="1" ref="J21" ca="1">_xlfn.NUMBERVALUE(_xlfn.XLOOKUP(1,(OFFSET(IN_Verknüpfungen!$O$4,0,0,IN_Verknüpfungen!$A$2,1)=$A21)*(OFFSET(IN_Verknüpfungen!$P$4,0,0,IN_Verknüpfungen!$A$2,1)=J$3+1),OFFSET(IN_Verknüpfungen!$F$4,0,0,IN_Verknüpfungen!$A$2,1)))-SUM($G21:I21)</f>
        <v>5.4861111111111083E-2</v>
      </c>
      <c r="K21" s="70" cm="1">
        <f t="array" aca="1" ref="K21" ca="1">_xlfn.NUMBERVALUE(_xlfn.XLOOKUP(1,(OFFSET(IN_Verknüpfungen!$O$4,0,0,IN_Verknüpfungen!$A$2,1)=$A21)*(OFFSET(IN_Verknüpfungen!$P$4,0,0,IN_Verknüpfungen!$A$2,1)=L$3),OFFSET(IN_Verknüpfungen!$J$4,0,0,IN_Verknüpfungen!$A$2,1)))-SUM($G21:J21)</f>
        <v>1.6701388888888891E-2</v>
      </c>
      <c r="L21" s="70" cm="1">
        <f t="array" aca="1" ref="L21" ca="1">_xlfn.NUMBERVALUE(_xlfn.XLOOKUP(1,(OFFSET(IN_Verknüpfungen!$O$4,0,0,IN_Verknüpfungen!$A$2,1)=$A21)*(OFFSET(IN_Verknüpfungen!$P$4,0,0,IN_Verknüpfungen!$A$2,1)=L$3+1),OFFSET(IN_Verknüpfungen!$F$4,0,0,IN_Verknüpfungen!$A$2,1)))-SUM($G21:K21)</f>
        <v>4.5254629629629617E-2</v>
      </c>
      <c r="M21" s="70" cm="1">
        <f t="array" aca="1" ref="M21" ca="1">_xlfn.NUMBERVALUE(_xlfn.XLOOKUP(1,(OFFSET(IN_Verknüpfungen!$O$4,0,0,IN_Verknüpfungen!$A$2,1)=$A21)*(OFFSET(IN_Verknüpfungen!$P$4,0,0,IN_Verknüpfungen!$A$2,1)=N$3),OFFSET(IN_Verknüpfungen!$J$4,0,0,IN_Verknüpfungen!$A$2,1)))-SUM($G21:L21)</f>
        <v>1.1041666666666672E-2</v>
      </c>
      <c r="N21" s="70" cm="1">
        <f t="array" aca="1" ref="N21" ca="1">_xlfn.NUMBERVALUE(_xlfn.XLOOKUP(1,(OFFSET(IN_Verknüpfungen!$O$4,0,0,IN_Verknüpfungen!$A$2,1)=$A21)*(OFFSET(IN_Verknüpfungen!$P$4,0,0,IN_Verknüpfungen!$A$2,1)=N$3+1),OFFSET(IN_Verknüpfungen!$F$4,0,0,IN_Verknüpfungen!$A$2,1)))-SUM($G21:M21)</f>
        <v>8.4259259259259256E-2</v>
      </c>
      <c r="O21" s="70" cm="1">
        <f t="array" aca="1" ref="O21" ca="1">_xlfn.NUMBERVALUE(_xlfn.XLOOKUP(1,(OFFSET(IN_Verknüpfungen!$O$4,0,0,IN_Verknüpfungen!$A$2,1)=$A21)*(OFFSET(IN_Verknüpfungen!$P$4,0,0,IN_Verknüpfungen!$A$2,1)=P$3),OFFSET(IN_Verknüpfungen!$J$4,0,0,IN_Verknüpfungen!$A$2,1)))-SUM($G21:N21)</f>
        <v>1.635416666666667E-2</v>
      </c>
      <c r="P21" s="70" cm="1">
        <f t="array" aca="1" ref="P21" ca="1">_xlfn.NUMBERVALUE(_xlfn.XLOOKUP(1,(OFFSET(IN_Verknüpfungen!$O$4,0,0,IN_Verknüpfungen!$A$2,1)=$A21)*(OFFSET(IN_Verknüpfungen!$P$4,0,0,IN_Verknüpfungen!$A$2,1)=P$3+1),OFFSET(IN_Verknüpfungen!$F$4,0,0,IN_Verknüpfungen!$A$2,1)))-SUM($G21:O21)</f>
        <v>7.7731481481481457E-2</v>
      </c>
      <c r="Q21" s="70" cm="1">
        <f t="array" aca="1" ref="Q21" ca="1">_xlfn.NUMBERVALUE(_xlfn.XLOOKUP(1,(OFFSET(IN_Verknüpfungen!$O$4,0,0,IN_Verknüpfungen!$A$2,1)=$A21)*(OFFSET(IN_Verknüpfungen!$P$4,0,0,IN_Verknüpfungen!$A$2,1)=R$3),OFFSET(IN_Verknüpfungen!$J$4,0,0,IN_Verknüpfungen!$A$2,1)))-SUM($G21:P21)</f>
        <v>1.2002314814814841E-2</v>
      </c>
      <c r="R21" s="70" t="e" cm="1">
        <f t="array" aca="1" ref="R21" ca="1">_xlfn.NUMBERVALUE(_xlfn.XLOOKUP(1,(OFFSET(IN_Verknüpfungen!$O$4,0,0,IN_Verknüpfungen!$A$2,1)=$A21)*(OFFSET(IN_Verknüpfungen!$P$4,0,0,IN_Verknüpfungen!$A$2,1)=R$3+1),OFFSET(IN_Verknüpfungen!$F$4,0,0,IN_Verknüpfungen!$A$2,1)))-SUM($G21:Q21)</f>
        <v>#N/A</v>
      </c>
      <c r="S21" s="70" t="e" cm="1">
        <f t="array" aca="1" ref="S21" ca="1">_xlfn.NUMBERVALUE(_xlfn.XLOOKUP(1,(OFFSET(IN_Verknüpfungen!$O$4,0,0,IN_Verknüpfungen!$A$2,1)=$A21)*(OFFSET(IN_Verknüpfungen!$P$4,0,0,IN_Verknüpfungen!$A$2,1)=T$3),OFFSET(IN_Verknüpfungen!$J$4,0,0,IN_Verknüpfungen!$A$2,1)))-SUM($G21:R21)</f>
        <v>#N/A</v>
      </c>
      <c r="T21" s="70" t="e" cm="1">
        <f t="array" aca="1" ref="T21" ca="1">_xlfn.NUMBERVALUE(_xlfn.XLOOKUP(1,(OFFSET(IN_Verknüpfungen!$O$4,0,0,IN_Verknüpfungen!$A$2,1)=$A21)*(OFFSET(IN_Verknüpfungen!$P$4,0,0,IN_Verknüpfungen!$A$2,1)=T$3+1),OFFSET(IN_Verknüpfungen!$F$4,0,0,IN_Verknüpfungen!$A$2,1)))-SUM($G21:S21)</f>
        <v>#N/A</v>
      </c>
      <c r="U21" s="70" t="e" cm="1">
        <f t="array" aca="1" ref="U21" ca="1">_xlfn.NUMBERVALUE(_xlfn.XLOOKUP(1,(OFFSET(IN_Verknüpfungen!$O$4,0,0,IN_Verknüpfungen!$A$2,1)=$A21)*(OFFSET(IN_Verknüpfungen!$P$4,0,0,IN_Verknüpfungen!$A$2,1)=V$3),OFFSET(IN_Verknüpfungen!$J$4,0,0,IN_Verknüpfungen!$A$2,1)))-SUM($G21:T21)</f>
        <v>#N/A</v>
      </c>
      <c r="V21" s="70" t="e" cm="1">
        <f t="array" aca="1" ref="V21" ca="1">_xlfn.NUMBERVALUE(_xlfn.XLOOKUP(1,(OFFSET(IN_Verknüpfungen!$O$4,0,0,IN_Verknüpfungen!$A$2,1)=$A21)*(OFFSET(IN_Verknüpfungen!$P$4,0,0,IN_Verknüpfungen!$A$2,1)=V$3+1),OFFSET(IN_Verknüpfungen!$F$4,0,0,IN_Verknüpfungen!$A$2,1)))-SUM($G21:U21)</f>
        <v>#N/A</v>
      </c>
      <c r="W21" s="70" t="e" cm="1">
        <f t="array" aca="1" ref="W21" ca="1">_xlfn.NUMBERVALUE(_xlfn.XLOOKUP(1,(OFFSET(IN_Verknüpfungen!$O$4,0,0,IN_Verknüpfungen!$A$2,1)=$A21)*(OFFSET(IN_Verknüpfungen!$P$4,0,0,IN_Verknüpfungen!$A$2,1)=X$3),OFFSET(IN_Verknüpfungen!$J$4,0,0,IN_Verknüpfungen!$A$2,1)))-SUM($G21:V21)</f>
        <v>#N/A</v>
      </c>
      <c r="X21" s="70" t="e" cm="1">
        <f t="array" aca="1" ref="X21" ca="1">_xlfn.NUMBERVALUE(_xlfn.XLOOKUP(1,(OFFSET(IN_Verknüpfungen!$O$4,0,0,IN_Verknüpfungen!$A$2,1)=$A21)*(OFFSET(IN_Verknüpfungen!$P$4,0,0,IN_Verknüpfungen!$A$2,1)=X$3+1),OFFSET(IN_Verknüpfungen!$F$4,0,0,IN_Verknüpfungen!$A$2,1)))-SUM($G21:W21)</f>
        <v>#N/A</v>
      </c>
      <c r="Y21" s="70" t="e" cm="1">
        <f t="array" aca="1" ref="Y21" ca="1">_xlfn.NUMBERVALUE(_xlfn.XLOOKUP(1,(OFFSET(IN_Verknüpfungen!$O$4,0,0,IN_Verknüpfungen!$A$2,1)=$A21)*(OFFSET(IN_Verknüpfungen!$P$4,0,0,IN_Verknüpfungen!$A$2,1)=Z$3),OFFSET(IN_Verknüpfungen!$J$4,0,0,IN_Verknüpfungen!$A$2,1)))-SUM($G21:X21)</f>
        <v>#N/A</v>
      </c>
      <c r="Z21" s="70" t="e" cm="1">
        <f t="array" aca="1" ref="Z21" ca="1">_xlfn.NUMBERVALUE(_xlfn.XLOOKUP(1,(OFFSET(IN_Verknüpfungen!$O$4,0,0,IN_Verknüpfungen!$A$2,1)=$A21)*(OFFSET(IN_Verknüpfungen!$P$4,0,0,IN_Verknüpfungen!$A$2,1)=Z$3+1),OFFSET(IN_Verknüpfungen!$F$4,0,0,IN_Verknüpfungen!$A$2,1)))-SUM($G21:Y21)</f>
        <v>#N/A</v>
      </c>
      <c r="AA21" s="70" t="e" cm="1">
        <f t="array" aca="1" ref="AA21" ca="1">_xlfn.NUMBERVALUE(_xlfn.XLOOKUP(1,(OFFSET(IN_Verknüpfungen!$O$4,0,0,IN_Verknüpfungen!$A$2,1)=$A21)*(OFFSET(IN_Verknüpfungen!$P$4,0,0,IN_Verknüpfungen!$A$2,1)=AB$3),OFFSET(IN_Verknüpfungen!$J$4,0,0,IN_Verknüpfungen!$A$2,1)))-SUM($G21:Z21)</f>
        <v>#N/A</v>
      </c>
      <c r="AB21" s="70" t="e" cm="1">
        <f t="array" aca="1" ref="AB21" ca="1">_xlfn.NUMBERVALUE(_xlfn.XLOOKUP(1,(OFFSET(IN_Verknüpfungen!$O$4,0,0,IN_Verknüpfungen!$A$2,1)=$A21)*(OFFSET(IN_Verknüpfungen!$P$4,0,0,IN_Verknüpfungen!$A$2,1)=AB$3+1),OFFSET(IN_Verknüpfungen!$F$4,0,0,IN_Verknüpfungen!$A$2,1)))-SUM($G21:AA21)</f>
        <v>#N/A</v>
      </c>
    </row>
    <row r="22" spans="1:28" x14ac:dyDescent="0.2">
      <c r="A22" s="56" t="str">
        <f ca="1"/>
        <v>Composition 19</v>
      </c>
      <c r="B22" s="55" t="str" cm="1">
        <f t="array" aca="1" ref="B22" ca="1">IF(A22&lt;&gt;"",_xlfn.XLOOKUP(Laufwege!A22,OFFSET(IN_Verknüpfungen!L$4,0,0,IN_Verknüpfungen!A$2,1),OFFSET(IN_Verknüpfungen!N$4,0,0,IN_Verknüpfungen!A$2,1),""),"")</f>
        <v>146-3.2</v>
      </c>
      <c r="C22" s="55">
        <f ca="1">IF(A22&lt;&gt;"",SUMIFS(OFFSET(IN_Verknüpfungen!M$4,0,0,IN_Verknüpfungen!A$2,1),OFFSET(IN_Verknüpfungen!O$4,0,0,IN_Verknüpfungen!A$2,1),Laufwege!A22),0)</f>
        <v>645913</v>
      </c>
      <c r="D22" s="55" cm="1">
        <f t="array" aca="1" ref="D22" ca="1">IF(B22&lt;&gt;"",_xlfn.XLOOKUP(B22,OFFSET(IN_Stammdaten!$A$4,0,0,IN_Stammdaten!$A$2,1),OFFSET(IN_Stammdaten!$C$4,0,0,IN_Stammdaten!$A$2,1),""),"")</f>
        <v>0</v>
      </c>
      <c r="E22" s="55" t="str">
        <f t="shared" ca="1" si="0"/>
        <v>nein</v>
      </c>
      <c r="F22" s="69" t="str">
        <f t="shared" ca="1" si="1"/>
        <v>Composition 19 (146-3.2)</v>
      </c>
      <c r="G22" s="70" cm="1">
        <f t="array" aca="1" ref="G22" ca="1">_xlfn.NUMBERVALUE(_xlfn.XLOOKUP(A22,OFFSET(IN_Verknüpfungen!$L$4,0,0,IN_Verknüpfungen!$A$2,1),OFFSET(IN_Verknüpfungen!$Q$4,0,0,IN_Verknüpfungen!$A$2,1)))</f>
        <v>0.2154513888888889</v>
      </c>
      <c r="H22" s="70" cm="1">
        <f t="array" aca="1" ref="H22" ca="1">_xlfn.NUMBERVALUE(_xlfn.XLOOKUP(A22,OFFSET(IN_Verknüpfungen!$L$4,0,0,IN_Verknüpfungen!$A$2,1),OFFSET(IN_Verknüpfungen!$F$4,0,0,IN_Verknüpfungen!$A$2,1)))-G22</f>
        <v>5.7939814814814777E-2</v>
      </c>
      <c r="I22" s="70" cm="1">
        <f t="array" aca="1" ref="I22" ca="1">_xlfn.NUMBERVALUE(_xlfn.XLOOKUP(1,(OFFSET(IN_Verknüpfungen!$O$4,0,0,IN_Verknüpfungen!$A$2,1)=$A22)*(OFFSET(IN_Verknüpfungen!$P$4,0,0,IN_Verknüpfungen!$A$2,1)=J$3),OFFSET(IN_Verknüpfungen!$J$4,0,0,IN_Verknüpfungen!$A$2,1)))-SUM($G22:H22)</f>
        <v>2.3946759259259265E-2</v>
      </c>
      <c r="J22" s="70" cm="1">
        <f t="array" aca="1" ref="J22" ca="1">_xlfn.NUMBERVALUE(_xlfn.XLOOKUP(1,(OFFSET(IN_Verknüpfungen!$O$4,0,0,IN_Verknüpfungen!$A$2,1)=$A22)*(OFFSET(IN_Verknüpfungen!$P$4,0,0,IN_Verknüpfungen!$A$2,1)=J$3+1),OFFSET(IN_Verknüpfungen!$F$4,0,0,IN_Verknüpfungen!$A$2,1)))-SUM($G22:I22)</f>
        <v>4.8263888888888884E-2</v>
      </c>
      <c r="K22" s="70" cm="1">
        <f t="array" aca="1" ref="K22" ca="1">_xlfn.NUMBERVALUE(_xlfn.XLOOKUP(1,(OFFSET(IN_Verknüpfungen!$O$4,0,0,IN_Verknüpfungen!$A$2,1)=$A22)*(OFFSET(IN_Verknüpfungen!$P$4,0,0,IN_Verknüpfungen!$A$2,1)=L$3),OFFSET(IN_Verknüpfungen!$J$4,0,0,IN_Verknüpfungen!$A$2,1)))-SUM($G22:J22)</f>
        <v>1.0648148148148184E-2</v>
      </c>
      <c r="L22" s="70" cm="1">
        <f t="array" aca="1" ref="L22" ca="1">_xlfn.NUMBERVALUE(_xlfn.XLOOKUP(1,(OFFSET(IN_Verknüpfungen!$O$4,0,0,IN_Verknüpfungen!$A$2,1)=$A22)*(OFFSET(IN_Verknüpfungen!$P$4,0,0,IN_Verknüpfungen!$A$2,1)=L$3+1),OFFSET(IN_Verknüpfungen!$F$4,0,0,IN_Verknüpfungen!$A$2,1)))-SUM($G22:K22)</f>
        <v>0.12261574074074072</v>
      </c>
      <c r="M22" s="70" cm="1">
        <f t="array" aca="1" ref="M22" ca="1">_xlfn.NUMBERVALUE(_xlfn.XLOOKUP(1,(OFFSET(IN_Verknüpfungen!$O$4,0,0,IN_Verknüpfungen!$A$2,1)=$A22)*(OFFSET(IN_Verknüpfungen!$P$4,0,0,IN_Verknüpfungen!$A$2,1)=N$3),OFFSET(IN_Verknüpfungen!$J$4,0,0,IN_Verknüpfungen!$A$2,1)))-SUM($G22:L22)</f>
        <v>2.7499999999999969E-2</v>
      </c>
      <c r="N22" s="70" t="e" cm="1">
        <f t="array" aca="1" ref="N22" ca="1">_xlfn.NUMBERVALUE(_xlfn.XLOOKUP(1,(OFFSET(IN_Verknüpfungen!$O$4,0,0,IN_Verknüpfungen!$A$2,1)=$A22)*(OFFSET(IN_Verknüpfungen!$P$4,0,0,IN_Verknüpfungen!$A$2,1)=N$3+1),OFFSET(IN_Verknüpfungen!$F$4,0,0,IN_Verknüpfungen!$A$2,1)))-SUM($G22:M22)</f>
        <v>#N/A</v>
      </c>
      <c r="O22" s="70" t="e" cm="1">
        <f t="array" aca="1" ref="O22" ca="1">_xlfn.NUMBERVALUE(_xlfn.XLOOKUP(1,(OFFSET(IN_Verknüpfungen!$O$4,0,0,IN_Verknüpfungen!$A$2,1)=$A22)*(OFFSET(IN_Verknüpfungen!$P$4,0,0,IN_Verknüpfungen!$A$2,1)=P$3),OFFSET(IN_Verknüpfungen!$J$4,0,0,IN_Verknüpfungen!$A$2,1)))-SUM($G22:N22)</f>
        <v>#N/A</v>
      </c>
      <c r="P22" s="70" t="e" cm="1">
        <f t="array" aca="1" ref="P22" ca="1">_xlfn.NUMBERVALUE(_xlfn.XLOOKUP(1,(OFFSET(IN_Verknüpfungen!$O$4,0,0,IN_Verknüpfungen!$A$2,1)=$A22)*(OFFSET(IN_Verknüpfungen!$P$4,0,0,IN_Verknüpfungen!$A$2,1)=P$3+1),OFFSET(IN_Verknüpfungen!$F$4,0,0,IN_Verknüpfungen!$A$2,1)))-SUM($G22:O22)</f>
        <v>#N/A</v>
      </c>
      <c r="Q22" s="70" t="e" cm="1">
        <f t="array" aca="1" ref="Q22" ca="1">_xlfn.NUMBERVALUE(_xlfn.XLOOKUP(1,(OFFSET(IN_Verknüpfungen!$O$4,0,0,IN_Verknüpfungen!$A$2,1)=$A22)*(OFFSET(IN_Verknüpfungen!$P$4,0,0,IN_Verknüpfungen!$A$2,1)=R$3),OFFSET(IN_Verknüpfungen!$J$4,0,0,IN_Verknüpfungen!$A$2,1)))-SUM($G22:P22)</f>
        <v>#N/A</v>
      </c>
      <c r="R22" s="70" t="e" cm="1">
        <f t="array" aca="1" ref="R22" ca="1">_xlfn.NUMBERVALUE(_xlfn.XLOOKUP(1,(OFFSET(IN_Verknüpfungen!$O$4,0,0,IN_Verknüpfungen!$A$2,1)=$A22)*(OFFSET(IN_Verknüpfungen!$P$4,0,0,IN_Verknüpfungen!$A$2,1)=R$3+1),OFFSET(IN_Verknüpfungen!$F$4,0,0,IN_Verknüpfungen!$A$2,1)))-SUM($G22:Q22)</f>
        <v>#N/A</v>
      </c>
      <c r="S22" s="70" t="e" cm="1">
        <f t="array" aca="1" ref="S22" ca="1">_xlfn.NUMBERVALUE(_xlfn.XLOOKUP(1,(OFFSET(IN_Verknüpfungen!$O$4,0,0,IN_Verknüpfungen!$A$2,1)=$A22)*(OFFSET(IN_Verknüpfungen!$P$4,0,0,IN_Verknüpfungen!$A$2,1)=T$3),OFFSET(IN_Verknüpfungen!$J$4,0,0,IN_Verknüpfungen!$A$2,1)))-SUM($G22:R22)</f>
        <v>#N/A</v>
      </c>
      <c r="T22" s="70" t="e" cm="1">
        <f t="array" aca="1" ref="T22" ca="1">_xlfn.NUMBERVALUE(_xlfn.XLOOKUP(1,(OFFSET(IN_Verknüpfungen!$O$4,0,0,IN_Verknüpfungen!$A$2,1)=$A22)*(OFFSET(IN_Verknüpfungen!$P$4,0,0,IN_Verknüpfungen!$A$2,1)=T$3+1),OFFSET(IN_Verknüpfungen!$F$4,0,0,IN_Verknüpfungen!$A$2,1)))-SUM($G22:S22)</f>
        <v>#N/A</v>
      </c>
      <c r="U22" s="70" t="e" cm="1">
        <f t="array" aca="1" ref="U22" ca="1">_xlfn.NUMBERVALUE(_xlfn.XLOOKUP(1,(OFFSET(IN_Verknüpfungen!$O$4,0,0,IN_Verknüpfungen!$A$2,1)=$A22)*(OFFSET(IN_Verknüpfungen!$P$4,0,0,IN_Verknüpfungen!$A$2,1)=V$3),OFFSET(IN_Verknüpfungen!$J$4,0,0,IN_Verknüpfungen!$A$2,1)))-SUM($G22:T22)</f>
        <v>#N/A</v>
      </c>
      <c r="V22" s="70" t="e" cm="1">
        <f t="array" aca="1" ref="V22" ca="1">_xlfn.NUMBERVALUE(_xlfn.XLOOKUP(1,(OFFSET(IN_Verknüpfungen!$O$4,0,0,IN_Verknüpfungen!$A$2,1)=$A22)*(OFFSET(IN_Verknüpfungen!$P$4,0,0,IN_Verknüpfungen!$A$2,1)=V$3+1),OFFSET(IN_Verknüpfungen!$F$4,0,0,IN_Verknüpfungen!$A$2,1)))-SUM($G22:U22)</f>
        <v>#N/A</v>
      </c>
      <c r="W22" s="70" t="e" cm="1">
        <f t="array" aca="1" ref="W22" ca="1">_xlfn.NUMBERVALUE(_xlfn.XLOOKUP(1,(OFFSET(IN_Verknüpfungen!$O$4,0,0,IN_Verknüpfungen!$A$2,1)=$A22)*(OFFSET(IN_Verknüpfungen!$P$4,0,0,IN_Verknüpfungen!$A$2,1)=X$3),OFFSET(IN_Verknüpfungen!$J$4,0,0,IN_Verknüpfungen!$A$2,1)))-SUM($G22:V22)</f>
        <v>#N/A</v>
      </c>
      <c r="X22" s="70" t="e" cm="1">
        <f t="array" aca="1" ref="X22" ca="1">_xlfn.NUMBERVALUE(_xlfn.XLOOKUP(1,(OFFSET(IN_Verknüpfungen!$O$4,0,0,IN_Verknüpfungen!$A$2,1)=$A22)*(OFFSET(IN_Verknüpfungen!$P$4,0,0,IN_Verknüpfungen!$A$2,1)=X$3+1),OFFSET(IN_Verknüpfungen!$F$4,0,0,IN_Verknüpfungen!$A$2,1)))-SUM($G22:W22)</f>
        <v>#N/A</v>
      </c>
      <c r="Y22" s="70" t="e" cm="1">
        <f t="array" aca="1" ref="Y22" ca="1">_xlfn.NUMBERVALUE(_xlfn.XLOOKUP(1,(OFFSET(IN_Verknüpfungen!$O$4,0,0,IN_Verknüpfungen!$A$2,1)=$A22)*(OFFSET(IN_Verknüpfungen!$P$4,0,0,IN_Verknüpfungen!$A$2,1)=Z$3),OFFSET(IN_Verknüpfungen!$J$4,0,0,IN_Verknüpfungen!$A$2,1)))-SUM($G22:X22)</f>
        <v>#N/A</v>
      </c>
      <c r="Z22" s="70" t="e" cm="1">
        <f t="array" aca="1" ref="Z22" ca="1">_xlfn.NUMBERVALUE(_xlfn.XLOOKUP(1,(OFFSET(IN_Verknüpfungen!$O$4,0,0,IN_Verknüpfungen!$A$2,1)=$A22)*(OFFSET(IN_Verknüpfungen!$P$4,0,0,IN_Verknüpfungen!$A$2,1)=Z$3+1),OFFSET(IN_Verknüpfungen!$F$4,0,0,IN_Verknüpfungen!$A$2,1)))-SUM($G22:Y22)</f>
        <v>#N/A</v>
      </c>
      <c r="AA22" s="70" t="e" cm="1">
        <f t="array" aca="1" ref="AA22" ca="1">_xlfn.NUMBERVALUE(_xlfn.XLOOKUP(1,(OFFSET(IN_Verknüpfungen!$O$4,0,0,IN_Verknüpfungen!$A$2,1)=$A22)*(OFFSET(IN_Verknüpfungen!$P$4,0,0,IN_Verknüpfungen!$A$2,1)=AB$3),OFFSET(IN_Verknüpfungen!$J$4,0,0,IN_Verknüpfungen!$A$2,1)))-SUM($G22:Z22)</f>
        <v>#N/A</v>
      </c>
      <c r="AB22" s="70" t="e" cm="1">
        <f t="array" aca="1" ref="AB22" ca="1">_xlfn.NUMBERVALUE(_xlfn.XLOOKUP(1,(OFFSET(IN_Verknüpfungen!$O$4,0,0,IN_Verknüpfungen!$A$2,1)=$A22)*(OFFSET(IN_Verknüpfungen!$P$4,0,0,IN_Verknüpfungen!$A$2,1)=AB$3+1),OFFSET(IN_Verknüpfungen!$F$4,0,0,IN_Verknüpfungen!$A$2,1)))-SUM($G22:AA22)</f>
        <v>#N/A</v>
      </c>
    </row>
    <row r="23" spans="1:28" x14ac:dyDescent="0.2">
      <c r="A23" s="56" t="str">
        <f ca="1"/>
        <v>Composition 20</v>
      </c>
      <c r="B23" s="55" t="str" cm="1">
        <f t="array" aca="1" ref="B23" ca="1">IF(A23&lt;&gt;"",_xlfn.XLOOKUP(Laufwege!A23,OFFSET(IN_Verknüpfungen!L$4,0,0,IN_Verknüpfungen!A$2,1),OFFSET(IN_Verknüpfungen!N$4,0,0,IN_Verknüpfungen!A$2,1),""),"")</f>
        <v>462-1.0</v>
      </c>
      <c r="C23" s="55">
        <f ca="1">IF(A23&lt;&gt;"",SUMIFS(OFFSET(IN_Verknüpfungen!M$4,0,0,IN_Verknüpfungen!A$2,1),OFFSET(IN_Verknüpfungen!O$4,0,0,IN_Verknüpfungen!A$2,1),Laufwege!A23),0)</f>
        <v>570966</v>
      </c>
      <c r="D23" s="55" cm="1">
        <f t="array" aca="1" ref="D23" ca="1">IF(B23&lt;&gt;"",_xlfn.XLOOKUP(B23,OFFSET(IN_Stammdaten!$A$4,0,0,IN_Stammdaten!$A$2,1),OFFSET(IN_Stammdaten!$C$4,0,0,IN_Stammdaten!$A$2,1),""),"")</f>
        <v>0</v>
      </c>
      <c r="E23" s="55" t="str">
        <f t="shared" ca="1" si="0"/>
        <v>nein</v>
      </c>
      <c r="F23" s="69" t="str">
        <f t="shared" ca="1" si="1"/>
        <v>Composition 20 (462-1.0)</v>
      </c>
      <c r="G23" s="70" cm="1">
        <f t="array" aca="1" ref="G23" ca="1">_xlfn.NUMBERVALUE(_xlfn.XLOOKUP(A23,OFFSET(IN_Verknüpfungen!$L$4,0,0,IN_Verknüpfungen!$A$2,1),OFFSET(IN_Verknüpfungen!$Q$4,0,0,IN_Verknüpfungen!$A$2,1)))</f>
        <v>0.20056712962962964</v>
      </c>
      <c r="H23" s="70" cm="1">
        <f t="array" aca="1" ref="H23" ca="1">_xlfn.NUMBERVALUE(_xlfn.XLOOKUP(A23,OFFSET(IN_Verknüpfungen!$L$4,0,0,IN_Verknüpfungen!$A$2,1),OFFSET(IN_Verknüpfungen!$F$4,0,0,IN_Verknüpfungen!$A$2,1)))-G23</f>
        <v>7.4062499999999976E-2</v>
      </c>
      <c r="I23" s="70" cm="1">
        <f t="array" aca="1" ref="I23" ca="1">_xlfn.NUMBERVALUE(_xlfn.XLOOKUP(1,(OFFSET(IN_Verknüpfungen!$O$4,0,0,IN_Verknüpfungen!$A$2,1)=$A23)*(OFFSET(IN_Verknüpfungen!$P$4,0,0,IN_Verknüpfungen!$A$2,1)=J$3),OFFSET(IN_Verknüpfungen!$J$4,0,0,IN_Verknüpfungen!$A$2,1)))-SUM($G23:H23)</f>
        <v>1.7951388888888919E-2</v>
      </c>
      <c r="J23" s="70" cm="1">
        <f t="array" aca="1" ref="J23" ca="1">_xlfn.NUMBERVALUE(_xlfn.XLOOKUP(1,(OFFSET(IN_Verknüpfungen!$O$4,0,0,IN_Verknüpfungen!$A$2,1)=$A23)*(OFFSET(IN_Verknüpfungen!$P$4,0,0,IN_Verknüpfungen!$A$2,1)=J$3+1),OFFSET(IN_Verknüpfungen!$F$4,0,0,IN_Verknüpfungen!$A$2,1)))-SUM($G23:I23)</f>
        <v>7.0069444444444406E-2</v>
      </c>
      <c r="K23" s="70" cm="1">
        <f t="array" aca="1" ref="K23" ca="1">_xlfn.NUMBERVALUE(_xlfn.XLOOKUP(1,(OFFSET(IN_Verknüpfungen!$O$4,0,0,IN_Verknüpfungen!$A$2,1)=$A23)*(OFFSET(IN_Verknüpfungen!$P$4,0,0,IN_Verknüpfungen!$A$2,1)=L$3),OFFSET(IN_Verknüpfungen!$J$4,0,0,IN_Verknüpfungen!$A$2,1)))-SUM($G23:J23)</f>
        <v>9.7916666666666985E-3</v>
      </c>
      <c r="L23" s="70" cm="1">
        <f t="array" aca="1" ref="L23" ca="1">_xlfn.NUMBERVALUE(_xlfn.XLOOKUP(1,(OFFSET(IN_Verknüpfungen!$O$4,0,0,IN_Verknüpfungen!$A$2,1)=$A23)*(OFFSET(IN_Verknüpfungen!$P$4,0,0,IN_Verknüpfungen!$A$2,1)=L$3+1),OFFSET(IN_Verknüpfungen!$F$4,0,0,IN_Verknüpfungen!$A$2,1)))-SUM($G23:K23)</f>
        <v>6.8854166666666661E-2</v>
      </c>
      <c r="M23" s="70" cm="1">
        <f t="array" aca="1" ref="M23" ca="1">_xlfn.NUMBERVALUE(_xlfn.XLOOKUP(1,(OFFSET(IN_Verknüpfungen!$O$4,0,0,IN_Verknüpfungen!$A$2,1)=$A23)*(OFFSET(IN_Verknüpfungen!$P$4,0,0,IN_Verknüpfungen!$A$2,1)=N$3),OFFSET(IN_Verknüpfungen!$J$4,0,0,IN_Verknüpfungen!$A$2,1)))-SUM($G23:L23)</f>
        <v>1.7951388888888864E-2</v>
      </c>
      <c r="N23" s="70" cm="1">
        <f t="array" aca="1" ref="N23" ca="1">_xlfn.NUMBERVALUE(_xlfn.XLOOKUP(1,(OFFSET(IN_Verknüpfungen!$O$4,0,0,IN_Verknüpfungen!$A$2,1)=$A23)*(OFFSET(IN_Verknüpfungen!$P$4,0,0,IN_Verknüpfungen!$A$2,1)=N$3+1),OFFSET(IN_Verknüpfungen!$F$4,0,0,IN_Verknüpfungen!$A$2,1)))-SUM($G23:M23)</f>
        <v>7.0069444444444462E-2</v>
      </c>
      <c r="O23" s="70" cm="1">
        <f t="array" aca="1" ref="O23" ca="1">_xlfn.NUMBERVALUE(_xlfn.XLOOKUP(1,(OFFSET(IN_Verknüpfungen!$O$4,0,0,IN_Verknüpfungen!$A$2,1)=$A23)*(OFFSET(IN_Verknüpfungen!$P$4,0,0,IN_Verknüpfungen!$A$2,1)=P$3),OFFSET(IN_Verknüpfungen!$J$4,0,0,IN_Verknüpfungen!$A$2,1)))-SUM($G23:N23)</f>
        <v>9.791666666666643E-3</v>
      </c>
      <c r="P23" s="70" t="e" cm="1">
        <f t="array" aca="1" ref="P23" ca="1">_xlfn.NUMBERVALUE(_xlfn.XLOOKUP(1,(OFFSET(IN_Verknüpfungen!$O$4,0,0,IN_Verknüpfungen!$A$2,1)=$A23)*(OFFSET(IN_Verknüpfungen!$P$4,0,0,IN_Verknüpfungen!$A$2,1)=P$3+1),OFFSET(IN_Verknüpfungen!$F$4,0,0,IN_Verknüpfungen!$A$2,1)))-SUM($G23:O23)</f>
        <v>#N/A</v>
      </c>
      <c r="Q23" s="70" t="e" cm="1">
        <f t="array" aca="1" ref="Q23" ca="1">_xlfn.NUMBERVALUE(_xlfn.XLOOKUP(1,(OFFSET(IN_Verknüpfungen!$O$4,0,0,IN_Verknüpfungen!$A$2,1)=$A23)*(OFFSET(IN_Verknüpfungen!$P$4,0,0,IN_Verknüpfungen!$A$2,1)=R$3),OFFSET(IN_Verknüpfungen!$J$4,0,0,IN_Verknüpfungen!$A$2,1)))-SUM($G23:P23)</f>
        <v>#N/A</v>
      </c>
      <c r="R23" s="70" t="e" cm="1">
        <f t="array" aca="1" ref="R23" ca="1">_xlfn.NUMBERVALUE(_xlfn.XLOOKUP(1,(OFFSET(IN_Verknüpfungen!$O$4,0,0,IN_Verknüpfungen!$A$2,1)=$A23)*(OFFSET(IN_Verknüpfungen!$P$4,0,0,IN_Verknüpfungen!$A$2,1)=R$3+1),OFFSET(IN_Verknüpfungen!$F$4,0,0,IN_Verknüpfungen!$A$2,1)))-SUM($G23:Q23)</f>
        <v>#N/A</v>
      </c>
      <c r="S23" s="70" t="e" cm="1">
        <f t="array" aca="1" ref="S23" ca="1">_xlfn.NUMBERVALUE(_xlfn.XLOOKUP(1,(OFFSET(IN_Verknüpfungen!$O$4,0,0,IN_Verknüpfungen!$A$2,1)=$A23)*(OFFSET(IN_Verknüpfungen!$P$4,0,0,IN_Verknüpfungen!$A$2,1)=T$3),OFFSET(IN_Verknüpfungen!$J$4,0,0,IN_Verknüpfungen!$A$2,1)))-SUM($G23:R23)</f>
        <v>#N/A</v>
      </c>
      <c r="T23" s="70" t="e" cm="1">
        <f t="array" aca="1" ref="T23" ca="1">_xlfn.NUMBERVALUE(_xlfn.XLOOKUP(1,(OFFSET(IN_Verknüpfungen!$O$4,0,0,IN_Verknüpfungen!$A$2,1)=$A23)*(OFFSET(IN_Verknüpfungen!$P$4,0,0,IN_Verknüpfungen!$A$2,1)=T$3+1),OFFSET(IN_Verknüpfungen!$F$4,0,0,IN_Verknüpfungen!$A$2,1)))-SUM($G23:S23)</f>
        <v>#N/A</v>
      </c>
      <c r="U23" s="70" t="e" cm="1">
        <f t="array" aca="1" ref="U23" ca="1">_xlfn.NUMBERVALUE(_xlfn.XLOOKUP(1,(OFFSET(IN_Verknüpfungen!$O$4,0,0,IN_Verknüpfungen!$A$2,1)=$A23)*(OFFSET(IN_Verknüpfungen!$P$4,0,0,IN_Verknüpfungen!$A$2,1)=V$3),OFFSET(IN_Verknüpfungen!$J$4,0,0,IN_Verknüpfungen!$A$2,1)))-SUM($G23:T23)</f>
        <v>#N/A</v>
      </c>
      <c r="V23" s="70" t="e" cm="1">
        <f t="array" aca="1" ref="V23" ca="1">_xlfn.NUMBERVALUE(_xlfn.XLOOKUP(1,(OFFSET(IN_Verknüpfungen!$O$4,0,0,IN_Verknüpfungen!$A$2,1)=$A23)*(OFFSET(IN_Verknüpfungen!$P$4,0,0,IN_Verknüpfungen!$A$2,1)=V$3+1),OFFSET(IN_Verknüpfungen!$F$4,0,0,IN_Verknüpfungen!$A$2,1)))-SUM($G23:U23)</f>
        <v>#N/A</v>
      </c>
      <c r="W23" s="70" t="e" cm="1">
        <f t="array" aca="1" ref="W23" ca="1">_xlfn.NUMBERVALUE(_xlfn.XLOOKUP(1,(OFFSET(IN_Verknüpfungen!$O$4,0,0,IN_Verknüpfungen!$A$2,1)=$A23)*(OFFSET(IN_Verknüpfungen!$P$4,0,0,IN_Verknüpfungen!$A$2,1)=X$3),OFFSET(IN_Verknüpfungen!$J$4,0,0,IN_Verknüpfungen!$A$2,1)))-SUM($G23:V23)</f>
        <v>#N/A</v>
      </c>
      <c r="X23" s="70" t="e" cm="1">
        <f t="array" aca="1" ref="X23" ca="1">_xlfn.NUMBERVALUE(_xlfn.XLOOKUP(1,(OFFSET(IN_Verknüpfungen!$O$4,0,0,IN_Verknüpfungen!$A$2,1)=$A23)*(OFFSET(IN_Verknüpfungen!$P$4,0,0,IN_Verknüpfungen!$A$2,1)=X$3+1),OFFSET(IN_Verknüpfungen!$F$4,0,0,IN_Verknüpfungen!$A$2,1)))-SUM($G23:W23)</f>
        <v>#N/A</v>
      </c>
      <c r="Y23" s="70" t="e" cm="1">
        <f t="array" aca="1" ref="Y23" ca="1">_xlfn.NUMBERVALUE(_xlfn.XLOOKUP(1,(OFFSET(IN_Verknüpfungen!$O$4,0,0,IN_Verknüpfungen!$A$2,1)=$A23)*(OFFSET(IN_Verknüpfungen!$P$4,0,0,IN_Verknüpfungen!$A$2,1)=Z$3),OFFSET(IN_Verknüpfungen!$J$4,0,0,IN_Verknüpfungen!$A$2,1)))-SUM($G23:X23)</f>
        <v>#N/A</v>
      </c>
      <c r="Z23" s="70" t="e" cm="1">
        <f t="array" aca="1" ref="Z23" ca="1">_xlfn.NUMBERVALUE(_xlfn.XLOOKUP(1,(OFFSET(IN_Verknüpfungen!$O$4,0,0,IN_Verknüpfungen!$A$2,1)=$A23)*(OFFSET(IN_Verknüpfungen!$P$4,0,0,IN_Verknüpfungen!$A$2,1)=Z$3+1),OFFSET(IN_Verknüpfungen!$F$4,0,0,IN_Verknüpfungen!$A$2,1)))-SUM($G23:Y23)</f>
        <v>#N/A</v>
      </c>
      <c r="AA23" s="70" t="e" cm="1">
        <f t="array" aca="1" ref="AA23" ca="1">_xlfn.NUMBERVALUE(_xlfn.XLOOKUP(1,(OFFSET(IN_Verknüpfungen!$O$4,0,0,IN_Verknüpfungen!$A$2,1)=$A23)*(OFFSET(IN_Verknüpfungen!$P$4,0,0,IN_Verknüpfungen!$A$2,1)=AB$3),OFFSET(IN_Verknüpfungen!$J$4,0,0,IN_Verknüpfungen!$A$2,1)))-SUM($G23:Z23)</f>
        <v>#N/A</v>
      </c>
      <c r="AB23" s="70" t="e" cm="1">
        <f t="array" aca="1" ref="AB23" ca="1">_xlfn.NUMBERVALUE(_xlfn.XLOOKUP(1,(OFFSET(IN_Verknüpfungen!$O$4,0,0,IN_Verknüpfungen!$A$2,1)=$A23)*(OFFSET(IN_Verknüpfungen!$P$4,0,0,IN_Verknüpfungen!$A$2,1)=AB$3+1),OFFSET(IN_Verknüpfungen!$F$4,0,0,IN_Verknüpfungen!$A$2,1)))-SUM($G23:AA23)</f>
        <v>#N/A</v>
      </c>
    </row>
    <row r="24" spans="1:28" x14ac:dyDescent="0.2">
      <c r="A24" s="56" t="str">
        <f ca="1"/>
        <v>Composition 21</v>
      </c>
      <c r="B24" s="55" t="str" cm="1">
        <f t="array" aca="1" ref="B24" ca="1">IF(A24&lt;&gt;"",_xlfn.XLOOKUP(Laufwege!A24,OFFSET(IN_Verknüpfungen!L$4,0,0,IN_Verknüpfungen!A$2,1),OFFSET(IN_Verknüpfungen!N$4,0,0,IN_Verknüpfungen!A$2,1),""),"")</f>
        <v>101-3.0</v>
      </c>
      <c r="C24" s="55">
        <f ca="1">IF(A24&lt;&gt;"",SUMIFS(OFFSET(IN_Verknüpfungen!M$4,0,0,IN_Verknüpfungen!A$2,1),OFFSET(IN_Verknüpfungen!O$4,0,0,IN_Verknüpfungen!A$2,1),Laufwege!A24),0)</f>
        <v>487820</v>
      </c>
      <c r="D24" s="55" cm="1">
        <f t="array" aca="1" ref="D24" ca="1">IF(B24&lt;&gt;"",_xlfn.XLOOKUP(B24,OFFSET(IN_Stammdaten!$A$4,0,0,IN_Stammdaten!$A$2,1),OFFSET(IN_Stammdaten!$C$4,0,0,IN_Stammdaten!$A$2,1),""),"")</f>
        <v>1010000</v>
      </c>
      <c r="E24" s="55" t="str">
        <f t="shared" ca="1" si="0"/>
        <v>nein</v>
      </c>
      <c r="F24" s="69" t="str">
        <f t="shared" ca="1" si="1"/>
        <v>Composition 21 (101-3.0)</v>
      </c>
      <c r="G24" s="70" cm="1">
        <f t="array" aca="1" ref="G24" ca="1">_xlfn.NUMBERVALUE(_xlfn.XLOOKUP(A24,OFFSET(IN_Verknüpfungen!$L$4,0,0,IN_Verknüpfungen!$A$2,1),OFFSET(IN_Verknüpfungen!$Q$4,0,0,IN_Verknüpfungen!$A$2,1)))</f>
        <v>0.2243287037037037</v>
      </c>
      <c r="H24" s="70" cm="1">
        <f t="array" aca="1" ref="H24" ca="1">_xlfn.NUMBERVALUE(_xlfn.XLOOKUP(A24,OFFSET(IN_Verknüpfungen!$L$4,0,0,IN_Verknüpfungen!$A$2,1),OFFSET(IN_Verknüpfungen!$F$4,0,0,IN_Verknüpfungen!$A$2,1)))-G24</f>
        <v>5.1817129629629616E-2</v>
      </c>
      <c r="I24" s="70" cm="1">
        <f t="array" aca="1" ref="I24" ca="1">_xlfn.NUMBERVALUE(_xlfn.XLOOKUP(1,(OFFSET(IN_Verknüpfungen!$O$4,0,0,IN_Verknüpfungen!$A$2,1)=$A24)*(OFFSET(IN_Verknüpfungen!$P$4,0,0,IN_Verknüpfungen!$A$2,1)=J$3),OFFSET(IN_Verknüpfungen!$J$4,0,0,IN_Verknüpfungen!$A$2,1)))-SUM($G24:H24)</f>
        <v>2.2650462962962969E-2</v>
      </c>
      <c r="J24" s="70" cm="1">
        <f t="array" aca="1" ref="J24" ca="1">_xlfn.NUMBERVALUE(_xlfn.XLOOKUP(1,(OFFSET(IN_Verknüpfungen!$O$4,0,0,IN_Verknüpfungen!$A$2,1)=$A24)*(OFFSET(IN_Verknüpfungen!$P$4,0,0,IN_Verknüpfungen!$A$2,1)=J$3+1),OFFSET(IN_Verknüpfungen!$F$4,0,0,IN_Verknüpfungen!$A$2,1)))-SUM($G24:I24)</f>
        <v>4.0150462962962985E-2</v>
      </c>
      <c r="K24" s="70" cm="1">
        <f t="array" aca="1" ref="K24" ca="1">_xlfn.NUMBERVALUE(_xlfn.XLOOKUP(1,(OFFSET(IN_Verknüpfungen!$O$4,0,0,IN_Verknüpfungen!$A$2,1)=$A24)*(OFFSET(IN_Verknüpfungen!$P$4,0,0,IN_Verknüpfungen!$A$2,1)=L$3),OFFSET(IN_Verknüpfungen!$J$4,0,0,IN_Verknüpfungen!$A$2,1)))-SUM($G24:J24)</f>
        <v>2.0775462962962954E-2</v>
      </c>
      <c r="L24" s="70" cm="1">
        <f t="array" aca="1" ref="L24" ca="1">_xlfn.NUMBERVALUE(_xlfn.XLOOKUP(1,(OFFSET(IN_Verknüpfungen!$O$4,0,0,IN_Verknüpfungen!$A$2,1)=$A24)*(OFFSET(IN_Verknüpfungen!$P$4,0,0,IN_Verknüpfungen!$A$2,1)=L$3+1),OFFSET(IN_Verknüpfungen!$F$4,0,0,IN_Verknüpfungen!$A$2,1)))-SUM($G24:K24)</f>
        <v>4.1423611111111092E-2</v>
      </c>
      <c r="M24" s="70" cm="1">
        <f t="array" aca="1" ref="M24" ca="1">_xlfn.NUMBERVALUE(_xlfn.XLOOKUP(1,(OFFSET(IN_Verknüpfungen!$O$4,0,0,IN_Verknüpfungen!$A$2,1)=$A24)*(OFFSET(IN_Verknüpfungen!$P$4,0,0,IN_Verknüpfungen!$A$2,1)=N$3),OFFSET(IN_Verknüpfungen!$J$4,0,0,IN_Verknüpfungen!$A$2,1)))-SUM($G24:L24)</f>
        <v>2.2650462962962969E-2</v>
      </c>
      <c r="N24" s="70" cm="1">
        <f t="array" aca="1" ref="N24" ca="1">_xlfn.NUMBERVALUE(_xlfn.XLOOKUP(1,(OFFSET(IN_Verknüpfungen!$O$4,0,0,IN_Verknüpfungen!$A$2,1)=$A24)*(OFFSET(IN_Verknüpfungen!$P$4,0,0,IN_Verknüpfungen!$A$2,1)=N$3+1),OFFSET(IN_Verknüpfungen!$F$4,0,0,IN_Verknüpfungen!$A$2,1)))-SUM($G24:M24)</f>
        <v>4.0150462962962985E-2</v>
      </c>
      <c r="O24" s="70" cm="1">
        <f t="array" aca="1" ref="O24" ca="1">_xlfn.NUMBERVALUE(_xlfn.XLOOKUP(1,(OFFSET(IN_Verknüpfungen!$O$4,0,0,IN_Verknüpfungen!$A$2,1)=$A24)*(OFFSET(IN_Verknüpfungen!$P$4,0,0,IN_Verknüpfungen!$A$2,1)=P$3),OFFSET(IN_Verknüpfungen!$J$4,0,0,IN_Verknüpfungen!$A$2,1)))-SUM($G24:N24)</f>
        <v>2.0775462962962954E-2</v>
      </c>
      <c r="P24" s="70" cm="1">
        <f t="array" aca="1" ref="P24" ca="1">_xlfn.NUMBERVALUE(_xlfn.XLOOKUP(1,(OFFSET(IN_Verknüpfungen!$O$4,0,0,IN_Verknüpfungen!$A$2,1)=$A24)*(OFFSET(IN_Verknüpfungen!$P$4,0,0,IN_Verknüpfungen!$A$2,1)=P$3+1),OFFSET(IN_Verknüpfungen!$F$4,0,0,IN_Verknüpfungen!$A$2,1)))-SUM($G24:O24)</f>
        <v>4.1423611111111092E-2</v>
      </c>
      <c r="Q24" s="70" cm="1">
        <f t="array" aca="1" ref="Q24" ca="1">_xlfn.NUMBERVALUE(_xlfn.XLOOKUP(1,(OFFSET(IN_Verknüpfungen!$O$4,0,0,IN_Verknüpfungen!$A$2,1)=$A24)*(OFFSET(IN_Verknüpfungen!$P$4,0,0,IN_Verknüpfungen!$A$2,1)=R$3),OFFSET(IN_Verknüpfungen!$J$4,0,0,IN_Verknüpfungen!$A$2,1)))-SUM($G24:P24)</f>
        <v>2.2650462962963025E-2</v>
      </c>
      <c r="R24" s="70" cm="1">
        <f t="array" aca="1" ref="R24" ca="1">_xlfn.NUMBERVALUE(_xlfn.XLOOKUP(1,(OFFSET(IN_Verknüpfungen!$O$4,0,0,IN_Verknüpfungen!$A$2,1)=$A24)*(OFFSET(IN_Verknüpfungen!$P$4,0,0,IN_Verknüpfungen!$A$2,1)=R$3+1),OFFSET(IN_Verknüpfungen!$F$4,0,0,IN_Verknüpfungen!$A$2,1)))-SUM($G24:Q24)</f>
        <v>4.0150462962962874E-2</v>
      </c>
      <c r="S24" s="70" cm="1">
        <f t="array" aca="1" ref="S24" ca="1">_xlfn.NUMBERVALUE(_xlfn.XLOOKUP(1,(OFFSET(IN_Verknüpfungen!$O$4,0,0,IN_Verknüpfungen!$A$2,1)=$A24)*(OFFSET(IN_Verknüpfungen!$P$4,0,0,IN_Verknüpfungen!$A$2,1)=T$3),OFFSET(IN_Verknüpfungen!$J$4,0,0,IN_Verknüpfungen!$A$2,1)))-SUM($G24:R24)</f>
        <v>2.0775462962963065E-2</v>
      </c>
      <c r="T24" s="70" t="e" cm="1">
        <f t="array" aca="1" ref="T24" ca="1">_xlfn.NUMBERVALUE(_xlfn.XLOOKUP(1,(OFFSET(IN_Verknüpfungen!$O$4,0,0,IN_Verknüpfungen!$A$2,1)=$A24)*(OFFSET(IN_Verknüpfungen!$P$4,0,0,IN_Verknüpfungen!$A$2,1)=T$3+1),OFFSET(IN_Verknüpfungen!$F$4,0,0,IN_Verknüpfungen!$A$2,1)))-SUM($G24:S24)</f>
        <v>#N/A</v>
      </c>
      <c r="U24" s="70" t="e" cm="1">
        <f t="array" aca="1" ref="U24" ca="1">_xlfn.NUMBERVALUE(_xlfn.XLOOKUP(1,(OFFSET(IN_Verknüpfungen!$O$4,0,0,IN_Verknüpfungen!$A$2,1)=$A24)*(OFFSET(IN_Verknüpfungen!$P$4,0,0,IN_Verknüpfungen!$A$2,1)=V$3),OFFSET(IN_Verknüpfungen!$J$4,0,0,IN_Verknüpfungen!$A$2,1)))-SUM($G24:T24)</f>
        <v>#N/A</v>
      </c>
      <c r="V24" s="70" t="e" cm="1">
        <f t="array" aca="1" ref="V24" ca="1">_xlfn.NUMBERVALUE(_xlfn.XLOOKUP(1,(OFFSET(IN_Verknüpfungen!$O$4,0,0,IN_Verknüpfungen!$A$2,1)=$A24)*(OFFSET(IN_Verknüpfungen!$P$4,0,0,IN_Verknüpfungen!$A$2,1)=V$3+1),OFFSET(IN_Verknüpfungen!$F$4,0,0,IN_Verknüpfungen!$A$2,1)))-SUM($G24:U24)</f>
        <v>#N/A</v>
      </c>
      <c r="W24" s="70" t="e" cm="1">
        <f t="array" aca="1" ref="W24" ca="1">_xlfn.NUMBERVALUE(_xlfn.XLOOKUP(1,(OFFSET(IN_Verknüpfungen!$O$4,0,0,IN_Verknüpfungen!$A$2,1)=$A24)*(OFFSET(IN_Verknüpfungen!$P$4,0,0,IN_Verknüpfungen!$A$2,1)=X$3),OFFSET(IN_Verknüpfungen!$J$4,0,0,IN_Verknüpfungen!$A$2,1)))-SUM($G24:V24)</f>
        <v>#N/A</v>
      </c>
      <c r="X24" s="70" t="e" cm="1">
        <f t="array" aca="1" ref="X24" ca="1">_xlfn.NUMBERVALUE(_xlfn.XLOOKUP(1,(OFFSET(IN_Verknüpfungen!$O$4,0,0,IN_Verknüpfungen!$A$2,1)=$A24)*(OFFSET(IN_Verknüpfungen!$P$4,0,0,IN_Verknüpfungen!$A$2,1)=X$3+1),OFFSET(IN_Verknüpfungen!$F$4,0,0,IN_Verknüpfungen!$A$2,1)))-SUM($G24:W24)</f>
        <v>#N/A</v>
      </c>
      <c r="Y24" s="70" t="e" cm="1">
        <f t="array" aca="1" ref="Y24" ca="1">_xlfn.NUMBERVALUE(_xlfn.XLOOKUP(1,(OFFSET(IN_Verknüpfungen!$O$4,0,0,IN_Verknüpfungen!$A$2,1)=$A24)*(OFFSET(IN_Verknüpfungen!$P$4,0,0,IN_Verknüpfungen!$A$2,1)=Z$3),OFFSET(IN_Verknüpfungen!$J$4,0,0,IN_Verknüpfungen!$A$2,1)))-SUM($G24:X24)</f>
        <v>#N/A</v>
      </c>
      <c r="Z24" s="70" t="e" cm="1">
        <f t="array" aca="1" ref="Z24" ca="1">_xlfn.NUMBERVALUE(_xlfn.XLOOKUP(1,(OFFSET(IN_Verknüpfungen!$O$4,0,0,IN_Verknüpfungen!$A$2,1)=$A24)*(OFFSET(IN_Verknüpfungen!$P$4,0,0,IN_Verknüpfungen!$A$2,1)=Z$3+1),OFFSET(IN_Verknüpfungen!$F$4,0,0,IN_Verknüpfungen!$A$2,1)))-SUM($G24:Y24)</f>
        <v>#N/A</v>
      </c>
      <c r="AA24" s="70" t="e" cm="1">
        <f t="array" aca="1" ref="AA24" ca="1">_xlfn.NUMBERVALUE(_xlfn.XLOOKUP(1,(OFFSET(IN_Verknüpfungen!$O$4,0,0,IN_Verknüpfungen!$A$2,1)=$A24)*(OFFSET(IN_Verknüpfungen!$P$4,0,0,IN_Verknüpfungen!$A$2,1)=AB$3),OFFSET(IN_Verknüpfungen!$J$4,0,0,IN_Verknüpfungen!$A$2,1)))-SUM($G24:Z24)</f>
        <v>#N/A</v>
      </c>
      <c r="AB24" s="70" t="e" cm="1">
        <f t="array" aca="1" ref="AB24" ca="1">_xlfn.NUMBERVALUE(_xlfn.XLOOKUP(1,(OFFSET(IN_Verknüpfungen!$O$4,0,0,IN_Verknüpfungen!$A$2,1)=$A24)*(OFFSET(IN_Verknüpfungen!$P$4,0,0,IN_Verknüpfungen!$A$2,1)=AB$3+1),OFFSET(IN_Verknüpfungen!$F$4,0,0,IN_Verknüpfungen!$A$2,1)))-SUM($G24:AA24)</f>
        <v>#N/A</v>
      </c>
    </row>
    <row r="25" spans="1:28" x14ac:dyDescent="0.2">
      <c r="A25" s="56" t="str">
        <f ca="1"/>
        <v>Composition 22</v>
      </c>
      <c r="B25" s="55" t="str" cm="1">
        <f t="array" aca="1" ref="B25" ca="1">IF(A25&lt;&gt;"",_xlfn.XLOOKUP(Laufwege!A25,OFFSET(IN_Verknüpfungen!L$4,0,0,IN_Verknüpfungen!A$2,1),OFFSET(IN_Verknüpfungen!N$4,0,0,IN_Verknüpfungen!A$2,1),""),"")</f>
        <v>101-3.0</v>
      </c>
      <c r="C25" s="55">
        <f ca="1">IF(A25&lt;&gt;"",SUMIFS(OFFSET(IN_Verknüpfungen!M$4,0,0,IN_Verknüpfungen!A$2,1),OFFSET(IN_Verknüpfungen!O$4,0,0,IN_Verknüpfungen!A$2,1),Laufwege!A25),0)</f>
        <v>566242</v>
      </c>
      <c r="D25" s="55" cm="1">
        <f t="array" aca="1" ref="D25" ca="1">IF(B25&lt;&gt;"",_xlfn.XLOOKUP(B25,OFFSET(IN_Stammdaten!$A$4,0,0,IN_Stammdaten!$A$2,1),OFFSET(IN_Stammdaten!$C$4,0,0,IN_Stammdaten!$A$2,1),""),"")</f>
        <v>1010000</v>
      </c>
      <c r="E25" s="55" t="str">
        <f t="shared" ca="1" si="0"/>
        <v>nein</v>
      </c>
      <c r="F25" s="69" t="str">
        <f t="shared" ca="1" si="1"/>
        <v>Composition 22 (101-3.0)</v>
      </c>
      <c r="G25" s="70" cm="1">
        <f t="array" aca="1" ref="G25" ca="1">_xlfn.NUMBERVALUE(_xlfn.XLOOKUP(A25,OFFSET(IN_Verknüpfungen!$L$4,0,0,IN_Verknüpfungen!$A$2,1),OFFSET(IN_Verknüpfungen!$Q$4,0,0,IN_Verknüpfungen!$A$2,1)))</f>
        <v>0.22538194444444445</v>
      </c>
      <c r="H25" s="70" cm="1">
        <f t="array" aca="1" ref="H25" ca="1">_xlfn.NUMBERVALUE(_xlfn.XLOOKUP(A25,OFFSET(IN_Verknüpfungen!$L$4,0,0,IN_Verknüpfungen!$A$2,1),OFFSET(IN_Verknüpfungen!$F$4,0,0,IN_Verknüpfungen!$A$2,1)))-G25</f>
        <v>5.1099537037037041E-2</v>
      </c>
      <c r="I25" s="70" cm="1">
        <f t="array" aca="1" ref="I25" ca="1">_xlfn.NUMBERVALUE(_xlfn.XLOOKUP(1,(OFFSET(IN_Verknüpfungen!$O$4,0,0,IN_Verknüpfungen!$A$2,1)=$A25)*(OFFSET(IN_Verknüpfungen!$P$4,0,0,IN_Verknüpfungen!$A$2,1)=J$3),OFFSET(IN_Verknüpfungen!$J$4,0,0,IN_Verknüpfungen!$A$2,1)))-SUM($G25:H25)</f>
        <v>2.212962962962961E-2</v>
      </c>
      <c r="J25" s="70" cm="1">
        <f t="array" aca="1" ref="J25" ca="1">_xlfn.NUMBERVALUE(_xlfn.XLOOKUP(1,(OFFSET(IN_Verknüpfungen!$O$4,0,0,IN_Verknüpfungen!$A$2,1)=$A25)*(OFFSET(IN_Verknüpfungen!$P$4,0,0,IN_Verknüpfungen!$A$2,1)=J$3+1),OFFSET(IN_Verknüpfungen!$F$4,0,0,IN_Verknüpfungen!$A$2,1)))-SUM($G25:I25)</f>
        <v>4.6134259259259291E-2</v>
      </c>
      <c r="K25" s="70" cm="1">
        <f t="array" aca="1" ref="K25" ca="1">_xlfn.NUMBERVALUE(_xlfn.XLOOKUP(1,(OFFSET(IN_Verknüpfungen!$O$4,0,0,IN_Verknüpfungen!$A$2,1)=$A25)*(OFFSET(IN_Verknüpfungen!$P$4,0,0,IN_Verknüpfungen!$A$2,1)=L$3),OFFSET(IN_Verknüpfungen!$J$4,0,0,IN_Verknüpfungen!$A$2,1)))-SUM($G25:J25)</f>
        <v>1.1273148148148115E-2</v>
      </c>
      <c r="L25" s="70" cm="1">
        <f t="array" aca="1" ref="L25" ca="1">_xlfn.NUMBERVALUE(_xlfn.XLOOKUP(1,(OFFSET(IN_Verknüpfungen!$O$4,0,0,IN_Verknüpfungen!$A$2,1)=$A25)*(OFFSET(IN_Verknüpfungen!$P$4,0,0,IN_Verknüpfungen!$A$2,1)=L$3+1),OFFSET(IN_Verknüpfungen!$F$4,0,0,IN_Verknüpfungen!$A$2,1)))-SUM($G25:K25)</f>
        <v>4.5462962962962983E-2</v>
      </c>
      <c r="M25" s="70" cm="1">
        <f t="array" aca="1" ref="M25" ca="1">_xlfn.NUMBERVALUE(_xlfn.XLOOKUP(1,(OFFSET(IN_Verknüpfungen!$O$4,0,0,IN_Verknüpfungen!$A$2,1)=$A25)*(OFFSET(IN_Verknüpfungen!$P$4,0,0,IN_Verknüpfungen!$A$2,1)=N$3),OFFSET(IN_Verknüpfungen!$J$4,0,0,IN_Verknüpfungen!$A$2,1)))-SUM($G25:L25)</f>
        <v>2.212962962962961E-2</v>
      </c>
      <c r="N25" s="70" cm="1">
        <f t="array" aca="1" ref="N25" ca="1">_xlfn.NUMBERVALUE(_xlfn.XLOOKUP(1,(OFFSET(IN_Verknüpfungen!$O$4,0,0,IN_Verknüpfungen!$A$2,1)=$A25)*(OFFSET(IN_Verknüpfungen!$P$4,0,0,IN_Verknüpfungen!$A$2,1)=N$3+1),OFFSET(IN_Verknüpfungen!$F$4,0,0,IN_Verknüpfungen!$A$2,1)))-SUM($G25:M25)</f>
        <v>4.6134259259259291E-2</v>
      </c>
      <c r="O25" s="70" cm="1">
        <f t="array" aca="1" ref="O25" ca="1">_xlfn.NUMBERVALUE(_xlfn.XLOOKUP(1,(OFFSET(IN_Verknüpfungen!$O$4,0,0,IN_Verknüpfungen!$A$2,1)=$A25)*(OFFSET(IN_Verknüpfungen!$P$4,0,0,IN_Verknüpfungen!$A$2,1)=P$3),OFFSET(IN_Verknüpfungen!$J$4,0,0,IN_Verknüpfungen!$A$2,1)))-SUM($G25:N25)</f>
        <v>1.1273148148148115E-2</v>
      </c>
      <c r="P25" s="70" cm="1">
        <f t="array" aca="1" ref="P25" ca="1">_xlfn.NUMBERVALUE(_xlfn.XLOOKUP(1,(OFFSET(IN_Verknüpfungen!$O$4,0,0,IN_Verknüpfungen!$A$2,1)=$A25)*(OFFSET(IN_Verknüpfungen!$P$4,0,0,IN_Verknüpfungen!$A$2,1)=P$3+1),OFFSET(IN_Verknüpfungen!$F$4,0,0,IN_Verknüpfungen!$A$2,1)))-SUM($G25:O25)</f>
        <v>4.5462962962962927E-2</v>
      </c>
      <c r="Q25" s="70" cm="1">
        <f t="array" aca="1" ref="Q25" ca="1">_xlfn.NUMBERVALUE(_xlfn.XLOOKUP(1,(OFFSET(IN_Verknüpfungen!$O$4,0,0,IN_Verknüpfungen!$A$2,1)=$A25)*(OFFSET(IN_Verknüpfungen!$P$4,0,0,IN_Verknüpfungen!$A$2,1)=R$3),OFFSET(IN_Verknüpfungen!$J$4,0,0,IN_Verknüpfungen!$A$2,1)))-SUM($G25:P25)</f>
        <v>2.2129629629629721E-2</v>
      </c>
      <c r="R25" s="70" cm="1">
        <f t="array" aca="1" ref="R25" ca="1">_xlfn.NUMBERVALUE(_xlfn.XLOOKUP(1,(OFFSET(IN_Verknüpfungen!$O$4,0,0,IN_Verknüpfungen!$A$2,1)=$A25)*(OFFSET(IN_Verknüpfungen!$P$4,0,0,IN_Verknüpfungen!$A$2,1)=R$3+1),OFFSET(IN_Verknüpfungen!$F$4,0,0,IN_Verknüpfungen!$A$2,1)))-SUM($G25:Q25)</f>
        <v>4.613425925925918E-2</v>
      </c>
      <c r="S25" s="70" cm="1">
        <f t="array" aca="1" ref="S25" ca="1">_xlfn.NUMBERVALUE(_xlfn.XLOOKUP(1,(OFFSET(IN_Verknüpfungen!$O$4,0,0,IN_Verknüpfungen!$A$2,1)=$A25)*(OFFSET(IN_Verknüpfungen!$P$4,0,0,IN_Verknüpfungen!$A$2,1)=T$3),OFFSET(IN_Verknüpfungen!$J$4,0,0,IN_Verknüpfungen!$A$2,1)))-SUM($G25:R25)</f>
        <v>1.1273148148148171E-2</v>
      </c>
      <c r="T25" s="70" t="e" cm="1">
        <f t="array" aca="1" ref="T25" ca="1">_xlfn.NUMBERVALUE(_xlfn.XLOOKUP(1,(OFFSET(IN_Verknüpfungen!$O$4,0,0,IN_Verknüpfungen!$A$2,1)=$A25)*(OFFSET(IN_Verknüpfungen!$P$4,0,0,IN_Verknüpfungen!$A$2,1)=T$3+1),OFFSET(IN_Verknüpfungen!$F$4,0,0,IN_Verknüpfungen!$A$2,1)))-SUM($G25:S25)</f>
        <v>#N/A</v>
      </c>
      <c r="U25" s="70" t="e" cm="1">
        <f t="array" aca="1" ref="U25" ca="1">_xlfn.NUMBERVALUE(_xlfn.XLOOKUP(1,(OFFSET(IN_Verknüpfungen!$O$4,0,0,IN_Verknüpfungen!$A$2,1)=$A25)*(OFFSET(IN_Verknüpfungen!$P$4,0,0,IN_Verknüpfungen!$A$2,1)=V$3),OFFSET(IN_Verknüpfungen!$J$4,0,0,IN_Verknüpfungen!$A$2,1)))-SUM($G25:T25)</f>
        <v>#N/A</v>
      </c>
      <c r="V25" s="70" t="e" cm="1">
        <f t="array" aca="1" ref="V25" ca="1">_xlfn.NUMBERVALUE(_xlfn.XLOOKUP(1,(OFFSET(IN_Verknüpfungen!$O$4,0,0,IN_Verknüpfungen!$A$2,1)=$A25)*(OFFSET(IN_Verknüpfungen!$P$4,0,0,IN_Verknüpfungen!$A$2,1)=V$3+1),OFFSET(IN_Verknüpfungen!$F$4,0,0,IN_Verknüpfungen!$A$2,1)))-SUM($G25:U25)</f>
        <v>#N/A</v>
      </c>
      <c r="W25" s="70" t="e" cm="1">
        <f t="array" aca="1" ref="W25" ca="1">_xlfn.NUMBERVALUE(_xlfn.XLOOKUP(1,(OFFSET(IN_Verknüpfungen!$O$4,0,0,IN_Verknüpfungen!$A$2,1)=$A25)*(OFFSET(IN_Verknüpfungen!$P$4,0,0,IN_Verknüpfungen!$A$2,1)=X$3),OFFSET(IN_Verknüpfungen!$J$4,0,0,IN_Verknüpfungen!$A$2,1)))-SUM($G25:V25)</f>
        <v>#N/A</v>
      </c>
      <c r="X25" s="70" t="e" cm="1">
        <f t="array" aca="1" ref="X25" ca="1">_xlfn.NUMBERVALUE(_xlfn.XLOOKUP(1,(OFFSET(IN_Verknüpfungen!$O$4,0,0,IN_Verknüpfungen!$A$2,1)=$A25)*(OFFSET(IN_Verknüpfungen!$P$4,0,0,IN_Verknüpfungen!$A$2,1)=X$3+1),OFFSET(IN_Verknüpfungen!$F$4,0,0,IN_Verknüpfungen!$A$2,1)))-SUM($G25:W25)</f>
        <v>#N/A</v>
      </c>
      <c r="Y25" s="70" t="e" cm="1">
        <f t="array" aca="1" ref="Y25" ca="1">_xlfn.NUMBERVALUE(_xlfn.XLOOKUP(1,(OFFSET(IN_Verknüpfungen!$O$4,0,0,IN_Verknüpfungen!$A$2,1)=$A25)*(OFFSET(IN_Verknüpfungen!$P$4,0,0,IN_Verknüpfungen!$A$2,1)=Z$3),OFFSET(IN_Verknüpfungen!$J$4,0,0,IN_Verknüpfungen!$A$2,1)))-SUM($G25:X25)</f>
        <v>#N/A</v>
      </c>
      <c r="Z25" s="70" t="e" cm="1">
        <f t="array" aca="1" ref="Z25" ca="1">_xlfn.NUMBERVALUE(_xlfn.XLOOKUP(1,(OFFSET(IN_Verknüpfungen!$O$4,0,0,IN_Verknüpfungen!$A$2,1)=$A25)*(OFFSET(IN_Verknüpfungen!$P$4,0,0,IN_Verknüpfungen!$A$2,1)=Z$3+1),OFFSET(IN_Verknüpfungen!$F$4,0,0,IN_Verknüpfungen!$A$2,1)))-SUM($G25:Y25)</f>
        <v>#N/A</v>
      </c>
      <c r="AA25" s="70" t="e" cm="1">
        <f t="array" aca="1" ref="AA25" ca="1">_xlfn.NUMBERVALUE(_xlfn.XLOOKUP(1,(OFFSET(IN_Verknüpfungen!$O$4,0,0,IN_Verknüpfungen!$A$2,1)=$A25)*(OFFSET(IN_Verknüpfungen!$P$4,0,0,IN_Verknüpfungen!$A$2,1)=AB$3),OFFSET(IN_Verknüpfungen!$J$4,0,0,IN_Verknüpfungen!$A$2,1)))-SUM($G25:Z25)</f>
        <v>#N/A</v>
      </c>
      <c r="AB25" s="70" t="e" cm="1">
        <f t="array" aca="1" ref="AB25" ca="1">_xlfn.NUMBERVALUE(_xlfn.XLOOKUP(1,(OFFSET(IN_Verknüpfungen!$O$4,0,0,IN_Verknüpfungen!$A$2,1)=$A25)*(OFFSET(IN_Verknüpfungen!$P$4,0,0,IN_Verknüpfungen!$A$2,1)=AB$3+1),OFFSET(IN_Verknüpfungen!$F$4,0,0,IN_Verknüpfungen!$A$2,1)))-SUM($G25:AA25)</f>
        <v>#N/A</v>
      </c>
    </row>
    <row r="26" spans="1:28" x14ac:dyDescent="0.2">
      <c r="A26" s="56" t="str">
        <f ca="1"/>
        <v>Composition 23</v>
      </c>
      <c r="B26" s="55" t="str" cm="1">
        <f t="array" aca="1" ref="B26" ca="1">IF(A26&lt;&gt;"",_xlfn.XLOOKUP(Laufwege!A26,OFFSET(IN_Verknüpfungen!L$4,0,0,IN_Verknüpfungen!A$2,1),OFFSET(IN_Verknüpfungen!N$4,0,0,IN_Verknüpfungen!A$2,1),""),"")</f>
        <v>462-1.0</v>
      </c>
      <c r="C26" s="55">
        <f ca="1">IF(A26&lt;&gt;"",SUMIFS(OFFSET(IN_Verknüpfungen!M$4,0,0,IN_Verknüpfungen!A$2,1),OFFSET(IN_Verknüpfungen!O$4,0,0,IN_Verknüpfungen!A$2,1),Laufwege!A26),0)</f>
        <v>571104</v>
      </c>
      <c r="D26" s="55" cm="1">
        <f t="array" aca="1" ref="D26" ca="1">IF(B26&lt;&gt;"",_xlfn.XLOOKUP(B26,OFFSET(IN_Stammdaten!$A$4,0,0,IN_Stammdaten!$A$2,1),OFFSET(IN_Stammdaten!$C$4,0,0,IN_Stammdaten!$A$2,1),""),"")</f>
        <v>0</v>
      </c>
      <c r="E26" s="55" t="str">
        <f t="shared" ca="1" si="0"/>
        <v>nein</v>
      </c>
      <c r="F26" s="69" t="str">
        <f t="shared" ca="1" si="1"/>
        <v>Composition 23 (462-1.0)</v>
      </c>
      <c r="G26" s="70" cm="1">
        <f t="array" aca="1" ref="G26" ca="1">_xlfn.NUMBERVALUE(_xlfn.XLOOKUP(A26,OFFSET(IN_Verknüpfungen!$L$4,0,0,IN_Verknüpfungen!$A$2,1),OFFSET(IN_Verknüpfungen!$Q$4,0,0,IN_Verknüpfungen!$A$2,1)))</f>
        <v>0.20027777777777778</v>
      </c>
      <c r="H26" s="70" cm="1">
        <f t="array" aca="1" ref="H26" ca="1">_xlfn.NUMBERVALUE(_xlfn.XLOOKUP(A26,OFFSET(IN_Verknüpfungen!$L$4,0,0,IN_Verknüpfungen!$A$2,1),OFFSET(IN_Verknüpfungen!$F$4,0,0,IN_Verknüpfungen!$A$2,1)))-G26</f>
        <v>7.9039351851851847E-2</v>
      </c>
      <c r="I26" s="70" cm="1">
        <f t="array" aca="1" ref="I26" ca="1">_xlfn.NUMBERVALUE(_xlfn.XLOOKUP(1,(OFFSET(IN_Verknüpfungen!$O$4,0,0,IN_Verknüpfungen!$A$2,1)=$A26)*(OFFSET(IN_Verknüpfungen!$P$4,0,0,IN_Verknüpfungen!$A$2,1)=J$3),OFFSET(IN_Verknüpfungen!$J$4,0,0,IN_Verknüpfungen!$A$2,1)))-SUM($G26:H26)</f>
        <v>9.7916666666666985E-3</v>
      </c>
      <c r="J26" s="70" cm="1">
        <f t="array" aca="1" ref="J26" ca="1">_xlfn.NUMBERVALUE(_xlfn.XLOOKUP(1,(OFFSET(IN_Verknüpfungen!$O$4,0,0,IN_Verknüpfungen!$A$2,1)=$A26)*(OFFSET(IN_Verknüpfungen!$P$4,0,0,IN_Verknüpfungen!$A$2,1)=J$3+1),OFFSET(IN_Verknüpfungen!$F$4,0,0,IN_Verknüpfungen!$A$2,1)))-SUM($G26:I26)</f>
        <v>6.8854166666666661E-2</v>
      </c>
      <c r="K26" s="70" cm="1">
        <f t="array" aca="1" ref="K26" ca="1">_xlfn.NUMBERVALUE(_xlfn.XLOOKUP(1,(OFFSET(IN_Verknüpfungen!$O$4,0,0,IN_Verknüpfungen!$A$2,1)=$A26)*(OFFSET(IN_Verknüpfungen!$P$4,0,0,IN_Verknüpfungen!$A$2,1)=L$3),OFFSET(IN_Verknüpfungen!$J$4,0,0,IN_Verknüpfungen!$A$2,1)))-SUM($G26:J26)</f>
        <v>1.7951388888888864E-2</v>
      </c>
      <c r="L26" s="70" cm="1">
        <f t="array" aca="1" ref="L26" ca="1">_xlfn.NUMBERVALUE(_xlfn.XLOOKUP(1,(OFFSET(IN_Verknüpfungen!$O$4,0,0,IN_Verknüpfungen!$A$2,1)=$A26)*(OFFSET(IN_Verknüpfungen!$P$4,0,0,IN_Verknüpfungen!$A$2,1)=L$3+1),OFFSET(IN_Verknüpfungen!$F$4,0,0,IN_Verknüpfungen!$A$2,1)))-SUM($G26:K26)</f>
        <v>7.0057870370370368E-2</v>
      </c>
      <c r="M26" s="70" cm="1">
        <f t="array" aca="1" ref="M26" ca="1">_xlfn.NUMBERVALUE(_xlfn.XLOOKUP(1,(OFFSET(IN_Verknüpfungen!$O$4,0,0,IN_Verknüpfungen!$A$2,1)=$A26)*(OFFSET(IN_Verknüpfungen!$P$4,0,0,IN_Verknüpfungen!$A$2,1)=N$3),OFFSET(IN_Verknüpfungen!$J$4,0,0,IN_Verknüpfungen!$A$2,1)))-SUM($G26:L26)</f>
        <v>9.8032407407407374E-3</v>
      </c>
      <c r="N26" s="70" cm="1">
        <f t="array" aca="1" ref="N26" ca="1">_xlfn.NUMBERVALUE(_xlfn.XLOOKUP(1,(OFFSET(IN_Verknüpfungen!$O$4,0,0,IN_Verknüpfungen!$A$2,1)=$A26)*(OFFSET(IN_Verknüpfungen!$P$4,0,0,IN_Verknüpfungen!$A$2,1)=N$3+1),OFFSET(IN_Verknüpfungen!$F$4,0,0,IN_Verknüpfungen!$A$2,1)))-SUM($G26:M26)</f>
        <v>6.8854166666666716E-2</v>
      </c>
      <c r="O26" s="70" cm="1">
        <f t="array" aca="1" ref="O26" ca="1">_xlfn.NUMBERVALUE(_xlfn.XLOOKUP(1,(OFFSET(IN_Verknüpfungen!$O$4,0,0,IN_Verknüpfungen!$A$2,1)=$A26)*(OFFSET(IN_Verknüpfungen!$P$4,0,0,IN_Verknüpfungen!$A$2,1)=P$3),OFFSET(IN_Verknüpfungen!$J$4,0,0,IN_Verknüpfungen!$A$2,1)))-SUM($G26:N26)</f>
        <v>1.7951388888888808E-2</v>
      </c>
      <c r="P26" s="70" t="e" cm="1">
        <f t="array" aca="1" ref="P26" ca="1">_xlfn.NUMBERVALUE(_xlfn.XLOOKUP(1,(OFFSET(IN_Verknüpfungen!$O$4,0,0,IN_Verknüpfungen!$A$2,1)=$A26)*(OFFSET(IN_Verknüpfungen!$P$4,0,0,IN_Verknüpfungen!$A$2,1)=P$3+1),OFFSET(IN_Verknüpfungen!$F$4,0,0,IN_Verknüpfungen!$A$2,1)))-SUM($G26:O26)</f>
        <v>#N/A</v>
      </c>
      <c r="Q26" s="70" t="e" cm="1">
        <f t="array" aca="1" ref="Q26" ca="1">_xlfn.NUMBERVALUE(_xlfn.XLOOKUP(1,(OFFSET(IN_Verknüpfungen!$O$4,0,0,IN_Verknüpfungen!$A$2,1)=$A26)*(OFFSET(IN_Verknüpfungen!$P$4,0,0,IN_Verknüpfungen!$A$2,1)=R$3),OFFSET(IN_Verknüpfungen!$J$4,0,0,IN_Verknüpfungen!$A$2,1)))-SUM($G26:P26)</f>
        <v>#N/A</v>
      </c>
      <c r="R26" s="70" t="e" cm="1">
        <f t="array" aca="1" ref="R26" ca="1">_xlfn.NUMBERVALUE(_xlfn.XLOOKUP(1,(OFFSET(IN_Verknüpfungen!$O$4,0,0,IN_Verknüpfungen!$A$2,1)=$A26)*(OFFSET(IN_Verknüpfungen!$P$4,0,0,IN_Verknüpfungen!$A$2,1)=R$3+1),OFFSET(IN_Verknüpfungen!$F$4,0,0,IN_Verknüpfungen!$A$2,1)))-SUM($G26:Q26)</f>
        <v>#N/A</v>
      </c>
      <c r="S26" s="70" t="e" cm="1">
        <f t="array" aca="1" ref="S26" ca="1">_xlfn.NUMBERVALUE(_xlfn.XLOOKUP(1,(OFFSET(IN_Verknüpfungen!$O$4,0,0,IN_Verknüpfungen!$A$2,1)=$A26)*(OFFSET(IN_Verknüpfungen!$P$4,0,0,IN_Verknüpfungen!$A$2,1)=T$3),OFFSET(IN_Verknüpfungen!$J$4,0,0,IN_Verknüpfungen!$A$2,1)))-SUM($G26:R26)</f>
        <v>#N/A</v>
      </c>
      <c r="T26" s="70" t="e" cm="1">
        <f t="array" aca="1" ref="T26" ca="1">_xlfn.NUMBERVALUE(_xlfn.XLOOKUP(1,(OFFSET(IN_Verknüpfungen!$O$4,0,0,IN_Verknüpfungen!$A$2,1)=$A26)*(OFFSET(IN_Verknüpfungen!$P$4,0,0,IN_Verknüpfungen!$A$2,1)=T$3+1),OFFSET(IN_Verknüpfungen!$F$4,0,0,IN_Verknüpfungen!$A$2,1)))-SUM($G26:S26)</f>
        <v>#N/A</v>
      </c>
      <c r="U26" s="70" t="e" cm="1">
        <f t="array" aca="1" ref="U26" ca="1">_xlfn.NUMBERVALUE(_xlfn.XLOOKUP(1,(OFFSET(IN_Verknüpfungen!$O$4,0,0,IN_Verknüpfungen!$A$2,1)=$A26)*(OFFSET(IN_Verknüpfungen!$P$4,0,0,IN_Verknüpfungen!$A$2,1)=V$3),OFFSET(IN_Verknüpfungen!$J$4,0,0,IN_Verknüpfungen!$A$2,1)))-SUM($G26:T26)</f>
        <v>#N/A</v>
      </c>
      <c r="V26" s="70" t="e" cm="1">
        <f t="array" aca="1" ref="V26" ca="1">_xlfn.NUMBERVALUE(_xlfn.XLOOKUP(1,(OFFSET(IN_Verknüpfungen!$O$4,0,0,IN_Verknüpfungen!$A$2,1)=$A26)*(OFFSET(IN_Verknüpfungen!$P$4,0,0,IN_Verknüpfungen!$A$2,1)=V$3+1),OFFSET(IN_Verknüpfungen!$F$4,0,0,IN_Verknüpfungen!$A$2,1)))-SUM($G26:U26)</f>
        <v>#N/A</v>
      </c>
      <c r="W26" s="70" t="e" cm="1">
        <f t="array" aca="1" ref="W26" ca="1">_xlfn.NUMBERVALUE(_xlfn.XLOOKUP(1,(OFFSET(IN_Verknüpfungen!$O$4,0,0,IN_Verknüpfungen!$A$2,1)=$A26)*(OFFSET(IN_Verknüpfungen!$P$4,0,0,IN_Verknüpfungen!$A$2,1)=X$3),OFFSET(IN_Verknüpfungen!$J$4,0,0,IN_Verknüpfungen!$A$2,1)))-SUM($G26:V26)</f>
        <v>#N/A</v>
      </c>
      <c r="X26" s="70" t="e" cm="1">
        <f t="array" aca="1" ref="X26" ca="1">_xlfn.NUMBERVALUE(_xlfn.XLOOKUP(1,(OFFSET(IN_Verknüpfungen!$O$4,0,0,IN_Verknüpfungen!$A$2,1)=$A26)*(OFFSET(IN_Verknüpfungen!$P$4,0,0,IN_Verknüpfungen!$A$2,1)=X$3+1),OFFSET(IN_Verknüpfungen!$F$4,0,0,IN_Verknüpfungen!$A$2,1)))-SUM($G26:W26)</f>
        <v>#N/A</v>
      </c>
      <c r="Y26" s="70" t="e" cm="1">
        <f t="array" aca="1" ref="Y26" ca="1">_xlfn.NUMBERVALUE(_xlfn.XLOOKUP(1,(OFFSET(IN_Verknüpfungen!$O$4,0,0,IN_Verknüpfungen!$A$2,1)=$A26)*(OFFSET(IN_Verknüpfungen!$P$4,0,0,IN_Verknüpfungen!$A$2,1)=Z$3),OFFSET(IN_Verknüpfungen!$J$4,0,0,IN_Verknüpfungen!$A$2,1)))-SUM($G26:X26)</f>
        <v>#N/A</v>
      </c>
      <c r="Z26" s="70" t="e" cm="1">
        <f t="array" aca="1" ref="Z26" ca="1">_xlfn.NUMBERVALUE(_xlfn.XLOOKUP(1,(OFFSET(IN_Verknüpfungen!$O$4,0,0,IN_Verknüpfungen!$A$2,1)=$A26)*(OFFSET(IN_Verknüpfungen!$P$4,0,0,IN_Verknüpfungen!$A$2,1)=Z$3+1),OFFSET(IN_Verknüpfungen!$F$4,0,0,IN_Verknüpfungen!$A$2,1)))-SUM($G26:Y26)</f>
        <v>#N/A</v>
      </c>
      <c r="AA26" s="70" t="e" cm="1">
        <f t="array" aca="1" ref="AA26" ca="1">_xlfn.NUMBERVALUE(_xlfn.XLOOKUP(1,(OFFSET(IN_Verknüpfungen!$O$4,0,0,IN_Verknüpfungen!$A$2,1)=$A26)*(OFFSET(IN_Verknüpfungen!$P$4,0,0,IN_Verknüpfungen!$A$2,1)=AB$3),OFFSET(IN_Verknüpfungen!$J$4,0,0,IN_Verknüpfungen!$A$2,1)))-SUM($G26:Z26)</f>
        <v>#N/A</v>
      </c>
      <c r="AB26" s="70" t="e" cm="1">
        <f t="array" aca="1" ref="AB26" ca="1">_xlfn.NUMBERVALUE(_xlfn.XLOOKUP(1,(OFFSET(IN_Verknüpfungen!$O$4,0,0,IN_Verknüpfungen!$A$2,1)=$A26)*(OFFSET(IN_Verknüpfungen!$P$4,0,0,IN_Verknüpfungen!$A$2,1)=AB$3+1),OFFSET(IN_Verknüpfungen!$F$4,0,0,IN_Verknüpfungen!$A$2,1)))-SUM($G26:AA26)</f>
        <v>#N/A</v>
      </c>
    </row>
    <row r="27" spans="1:28" x14ac:dyDescent="0.2">
      <c r="A27" s="56" t="str">
        <f ca="1"/>
        <v>Composition 24</v>
      </c>
      <c r="B27" s="55" t="str" cm="1">
        <f t="array" aca="1" ref="B27" ca="1">IF(A27&lt;&gt;"",_xlfn.XLOOKUP(Laufwege!A27,OFFSET(IN_Verknüpfungen!L$4,0,0,IN_Verknüpfungen!A$2,1),OFFSET(IN_Verknüpfungen!N$4,0,0,IN_Verknüpfungen!A$2,1),""),"")</f>
        <v>462-1.0</v>
      </c>
      <c r="C27" s="55">
        <f ca="1">IF(A27&lt;&gt;"",SUMIFS(OFFSET(IN_Verknüpfungen!M$4,0,0,IN_Verknüpfungen!A$2,1),OFFSET(IN_Verknüpfungen!O$4,0,0,IN_Verknüpfungen!A$2,1),Laufwege!A27),0)</f>
        <v>388970</v>
      </c>
      <c r="D27" s="55" cm="1">
        <f t="array" aca="1" ref="D27" ca="1">IF(B27&lt;&gt;"",_xlfn.XLOOKUP(B27,OFFSET(IN_Stammdaten!$A$4,0,0,IN_Stammdaten!$A$2,1),OFFSET(IN_Stammdaten!$C$4,0,0,IN_Stammdaten!$A$2,1),""),"")</f>
        <v>0</v>
      </c>
      <c r="E27" s="55" t="str">
        <f t="shared" ca="1" si="0"/>
        <v>nein</v>
      </c>
      <c r="F27" s="69" t="str">
        <f t="shared" ca="1" si="1"/>
        <v>Composition 24 (462-1.0)</v>
      </c>
      <c r="G27" s="70" cm="1">
        <f t="array" aca="1" ref="G27" ca="1">_xlfn.NUMBERVALUE(_xlfn.XLOOKUP(A27,OFFSET(IN_Verknüpfungen!$L$4,0,0,IN_Verknüpfungen!$A$2,1),OFFSET(IN_Verknüpfungen!$Q$4,0,0,IN_Verknüpfungen!$A$2,1)))</f>
        <v>0.19493055555555555</v>
      </c>
      <c r="H27" s="70" cm="1">
        <f t="array" aca="1" ref="H27" ca="1">_xlfn.NUMBERVALUE(_xlfn.XLOOKUP(A27,OFFSET(IN_Verknüpfungen!$L$4,0,0,IN_Verknüpfungen!$A$2,1),OFFSET(IN_Verknüpfungen!$F$4,0,0,IN_Verknüpfungen!$A$2,1)))-G27</f>
        <v>8.4571759259259249E-2</v>
      </c>
      <c r="I27" s="70" cm="1">
        <f t="array" aca="1" ref="I27" ca="1">_xlfn.NUMBERVALUE(_xlfn.XLOOKUP(1,(OFFSET(IN_Verknüpfungen!$O$4,0,0,IN_Verknüpfungen!$A$2,1)=$A27)*(OFFSET(IN_Verknüpfungen!$P$4,0,0,IN_Verknüpfungen!$A$2,1)=J$3),OFFSET(IN_Verknüpfungen!$J$4,0,0,IN_Verknüpfungen!$A$2,1)))-SUM($G27:H27)</f>
        <v>3.6759259259259269E-2</v>
      </c>
      <c r="J27" s="70" cm="1">
        <f t="array" aca="1" ref="J27" ca="1">_xlfn.NUMBERVALUE(_xlfn.XLOOKUP(1,(OFFSET(IN_Verknüpfungen!$O$4,0,0,IN_Verknüpfungen!$A$2,1)=$A27)*(OFFSET(IN_Verknüpfungen!$P$4,0,0,IN_Verknüpfungen!$A$2,1)=J$3+1),OFFSET(IN_Verknüpfungen!$F$4,0,0,IN_Verknüpfungen!$A$2,1)))-SUM($G27:I27)</f>
        <v>7.9398148148148162E-2</v>
      </c>
      <c r="K27" s="70" cm="1">
        <f t="array" aca="1" ref="K27" ca="1">_xlfn.NUMBERVALUE(_xlfn.XLOOKUP(1,(OFFSET(IN_Verknüpfungen!$O$4,0,0,IN_Verknüpfungen!$A$2,1)=$A27)*(OFFSET(IN_Verknüpfungen!$P$4,0,0,IN_Verknüpfungen!$A$2,1)=L$3),OFFSET(IN_Verknüpfungen!$J$4,0,0,IN_Verknüpfungen!$A$2,1)))-SUM($G27:J27)</f>
        <v>1.5208333333333324E-2</v>
      </c>
      <c r="L27" s="70" cm="1">
        <f t="array" aca="1" ref="L27" ca="1">_xlfn.NUMBERVALUE(_xlfn.XLOOKUP(1,(OFFSET(IN_Verknüpfungen!$O$4,0,0,IN_Verknüpfungen!$A$2,1)=$A27)*(OFFSET(IN_Verknüpfungen!$P$4,0,0,IN_Verknüpfungen!$A$2,1)=L$3+1),OFFSET(IN_Verknüpfungen!$F$4,0,0,IN_Verknüpfungen!$A$2,1)))-SUM($G27:K27)</f>
        <v>7.6967592592592615E-2</v>
      </c>
      <c r="M27" s="70" cm="1">
        <f t="array" aca="1" ref="M27" ca="1">_xlfn.NUMBERVALUE(_xlfn.XLOOKUP(1,(OFFSET(IN_Verknüpfungen!$O$4,0,0,IN_Verknüpfungen!$A$2,1)=$A27)*(OFFSET(IN_Verknüpfungen!$P$4,0,0,IN_Verknüpfungen!$A$2,1)=N$3),OFFSET(IN_Verknüpfungen!$J$4,0,0,IN_Verknüpfungen!$A$2,1)))-SUM($G27:L27)</f>
        <v>3.6759259259259269E-2</v>
      </c>
      <c r="N27" s="70" t="e" cm="1">
        <f t="array" aca="1" ref="N27" ca="1">_xlfn.NUMBERVALUE(_xlfn.XLOOKUP(1,(OFFSET(IN_Verknüpfungen!$O$4,0,0,IN_Verknüpfungen!$A$2,1)=$A27)*(OFFSET(IN_Verknüpfungen!$P$4,0,0,IN_Verknüpfungen!$A$2,1)=N$3+1),OFFSET(IN_Verknüpfungen!$F$4,0,0,IN_Verknüpfungen!$A$2,1)))-SUM($G27:M27)</f>
        <v>#N/A</v>
      </c>
      <c r="O27" s="70" t="e" cm="1">
        <f t="array" aca="1" ref="O27" ca="1">_xlfn.NUMBERVALUE(_xlfn.XLOOKUP(1,(OFFSET(IN_Verknüpfungen!$O$4,0,0,IN_Verknüpfungen!$A$2,1)=$A27)*(OFFSET(IN_Verknüpfungen!$P$4,0,0,IN_Verknüpfungen!$A$2,1)=P$3),OFFSET(IN_Verknüpfungen!$J$4,0,0,IN_Verknüpfungen!$A$2,1)))-SUM($G27:N27)</f>
        <v>#N/A</v>
      </c>
      <c r="P27" s="70" t="e" cm="1">
        <f t="array" aca="1" ref="P27" ca="1">_xlfn.NUMBERVALUE(_xlfn.XLOOKUP(1,(OFFSET(IN_Verknüpfungen!$O$4,0,0,IN_Verknüpfungen!$A$2,1)=$A27)*(OFFSET(IN_Verknüpfungen!$P$4,0,0,IN_Verknüpfungen!$A$2,1)=P$3+1),OFFSET(IN_Verknüpfungen!$F$4,0,0,IN_Verknüpfungen!$A$2,1)))-SUM($G27:O27)</f>
        <v>#N/A</v>
      </c>
      <c r="Q27" s="70" t="e" cm="1">
        <f t="array" aca="1" ref="Q27" ca="1">_xlfn.NUMBERVALUE(_xlfn.XLOOKUP(1,(OFFSET(IN_Verknüpfungen!$O$4,0,0,IN_Verknüpfungen!$A$2,1)=$A27)*(OFFSET(IN_Verknüpfungen!$P$4,0,0,IN_Verknüpfungen!$A$2,1)=R$3),OFFSET(IN_Verknüpfungen!$J$4,0,0,IN_Verknüpfungen!$A$2,1)))-SUM($G27:P27)</f>
        <v>#N/A</v>
      </c>
      <c r="R27" s="70" t="e" cm="1">
        <f t="array" aca="1" ref="R27" ca="1">_xlfn.NUMBERVALUE(_xlfn.XLOOKUP(1,(OFFSET(IN_Verknüpfungen!$O$4,0,0,IN_Verknüpfungen!$A$2,1)=$A27)*(OFFSET(IN_Verknüpfungen!$P$4,0,0,IN_Verknüpfungen!$A$2,1)=R$3+1),OFFSET(IN_Verknüpfungen!$F$4,0,0,IN_Verknüpfungen!$A$2,1)))-SUM($G27:Q27)</f>
        <v>#N/A</v>
      </c>
      <c r="S27" s="70" t="e" cm="1">
        <f t="array" aca="1" ref="S27" ca="1">_xlfn.NUMBERVALUE(_xlfn.XLOOKUP(1,(OFFSET(IN_Verknüpfungen!$O$4,0,0,IN_Verknüpfungen!$A$2,1)=$A27)*(OFFSET(IN_Verknüpfungen!$P$4,0,0,IN_Verknüpfungen!$A$2,1)=T$3),OFFSET(IN_Verknüpfungen!$J$4,0,0,IN_Verknüpfungen!$A$2,1)))-SUM($G27:R27)</f>
        <v>#N/A</v>
      </c>
      <c r="T27" s="70" t="e" cm="1">
        <f t="array" aca="1" ref="T27" ca="1">_xlfn.NUMBERVALUE(_xlfn.XLOOKUP(1,(OFFSET(IN_Verknüpfungen!$O$4,0,0,IN_Verknüpfungen!$A$2,1)=$A27)*(OFFSET(IN_Verknüpfungen!$P$4,0,0,IN_Verknüpfungen!$A$2,1)=T$3+1),OFFSET(IN_Verknüpfungen!$F$4,0,0,IN_Verknüpfungen!$A$2,1)))-SUM($G27:S27)</f>
        <v>#N/A</v>
      </c>
      <c r="U27" s="70" t="e" cm="1">
        <f t="array" aca="1" ref="U27" ca="1">_xlfn.NUMBERVALUE(_xlfn.XLOOKUP(1,(OFFSET(IN_Verknüpfungen!$O$4,0,0,IN_Verknüpfungen!$A$2,1)=$A27)*(OFFSET(IN_Verknüpfungen!$P$4,0,0,IN_Verknüpfungen!$A$2,1)=V$3),OFFSET(IN_Verknüpfungen!$J$4,0,0,IN_Verknüpfungen!$A$2,1)))-SUM($G27:T27)</f>
        <v>#N/A</v>
      </c>
      <c r="V27" s="70" t="e" cm="1">
        <f t="array" aca="1" ref="V27" ca="1">_xlfn.NUMBERVALUE(_xlfn.XLOOKUP(1,(OFFSET(IN_Verknüpfungen!$O$4,0,0,IN_Verknüpfungen!$A$2,1)=$A27)*(OFFSET(IN_Verknüpfungen!$P$4,0,0,IN_Verknüpfungen!$A$2,1)=V$3+1),OFFSET(IN_Verknüpfungen!$F$4,0,0,IN_Verknüpfungen!$A$2,1)))-SUM($G27:U27)</f>
        <v>#N/A</v>
      </c>
      <c r="W27" s="70" t="e" cm="1">
        <f t="array" aca="1" ref="W27" ca="1">_xlfn.NUMBERVALUE(_xlfn.XLOOKUP(1,(OFFSET(IN_Verknüpfungen!$O$4,0,0,IN_Verknüpfungen!$A$2,1)=$A27)*(OFFSET(IN_Verknüpfungen!$P$4,0,0,IN_Verknüpfungen!$A$2,1)=X$3),OFFSET(IN_Verknüpfungen!$J$4,0,0,IN_Verknüpfungen!$A$2,1)))-SUM($G27:V27)</f>
        <v>#N/A</v>
      </c>
      <c r="X27" s="70" t="e" cm="1">
        <f t="array" aca="1" ref="X27" ca="1">_xlfn.NUMBERVALUE(_xlfn.XLOOKUP(1,(OFFSET(IN_Verknüpfungen!$O$4,0,0,IN_Verknüpfungen!$A$2,1)=$A27)*(OFFSET(IN_Verknüpfungen!$P$4,0,0,IN_Verknüpfungen!$A$2,1)=X$3+1),OFFSET(IN_Verknüpfungen!$F$4,0,0,IN_Verknüpfungen!$A$2,1)))-SUM($G27:W27)</f>
        <v>#N/A</v>
      </c>
      <c r="Y27" s="70" t="e" cm="1">
        <f t="array" aca="1" ref="Y27" ca="1">_xlfn.NUMBERVALUE(_xlfn.XLOOKUP(1,(OFFSET(IN_Verknüpfungen!$O$4,0,0,IN_Verknüpfungen!$A$2,1)=$A27)*(OFFSET(IN_Verknüpfungen!$P$4,0,0,IN_Verknüpfungen!$A$2,1)=Z$3),OFFSET(IN_Verknüpfungen!$J$4,0,0,IN_Verknüpfungen!$A$2,1)))-SUM($G27:X27)</f>
        <v>#N/A</v>
      </c>
      <c r="Z27" s="70" t="e" cm="1">
        <f t="array" aca="1" ref="Z27" ca="1">_xlfn.NUMBERVALUE(_xlfn.XLOOKUP(1,(OFFSET(IN_Verknüpfungen!$O$4,0,0,IN_Verknüpfungen!$A$2,1)=$A27)*(OFFSET(IN_Verknüpfungen!$P$4,0,0,IN_Verknüpfungen!$A$2,1)=Z$3+1),OFFSET(IN_Verknüpfungen!$F$4,0,0,IN_Verknüpfungen!$A$2,1)))-SUM($G27:Y27)</f>
        <v>#N/A</v>
      </c>
      <c r="AA27" s="70" t="e" cm="1">
        <f t="array" aca="1" ref="AA27" ca="1">_xlfn.NUMBERVALUE(_xlfn.XLOOKUP(1,(OFFSET(IN_Verknüpfungen!$O$4,0,0,IN_Verknüpfungen!$A$2,1)=$A27)*(OFFSET(IN_Verknüpfungen!$P$4,0,0,IN_Verknüpfungen!$A$2,1)=AB$3),OFFSET(IN_Verknüpfungen!$J$4,0,0,IN_Verknüpfungen!$A$2,1)))-SUM($G27:Z27)</f>
        <v>#N/A</v>
      </c>
      <c r="AB27" s="70" t="e" cm="1">
        <f t="array" aca="1" ref="AB27" ca="1">_xlfn.NUMBERVALUE(_xlfn.XLOOKUP(1,(OFFSET(IN_Verknüpfungen!$O$4,0,0,IN_Verknüpfungen!$A$2,1)=$A27)*(OFFSET(IN_Verknüpfungen!$P$4,0,0,IN_Verknüpfungen!$A$2,1)=AB$3+1),OFFSET(IN_Verknüpfungen!$F$4,0,0,IN_Verknüpfungen!$A$2,1)))-SUM($G27:AA27)</f>
        <v>#N/A</v>
      </c>
    </row>
    <row r="28" spans="1:28" x14ac:dyDescent="0.2">
      <c r="A28" s="56" t="str">
        <f ca="1"/>
        <v>Composition 25</v>
      </c>
      <c r="B28" s="55" t="str" cm="1">
        <f t="array" aca="1" ref="B28" ca="1">IF(A28&lt;&gt;"",_xlfn.XLOOKUP(Laufwege!A28,OFFSET(IN_Verknüpfungen!L$4,0,0,IN_Verknüpfungen!A$2,1),OFFSET(IN_Verknüpfungen!N$4,0,0,IN_Verknüpfungen!A$2,1),""),"")</f>
        <v>146-3.2</v>
      </c>
      <c r="C28" s="55">
        <f ca="1">IF(A28&lt;&gt;"",SUMIFS(OFFSET(IN_Verknüpfungen!M$4,0,0,IN_Verknüpfungen!A$2,1),OFFSET(IN_Verknüpfungen!O$4,0,0,IN_Verknüpfungen!A$2,1),Laufwege!A28),0)</f>
        <v>313209</v>
      </c>
      <c r="D28" s="55" cm="1">
        <f t="array" aca="1" ref="D28" ca="1">IF(B28&lt;&gt;"",_xlfn.XLOOKUP(B28,OFFSET(IN_Stammdaten!$A$4,0,0,IN_Stammdaten!$A$2,1),OFFSET(IN_Stammdaten!$C$4,0,0,IN_Stammdaten!$A$2,1),""),"")</f>
        <v>0</v>
      </c>
      <c r="E28" s="55" t="str">
        <f t="shared" ca="1" si="0"/>
        <v>nein</v>
      </c>
      <c r="F28" s="69" t="str">
        <f t="shared" ca="1" si="1"/>
        <v>Composition 25 (146-3.2)</v>
      </c>
      <c r="G28" s="70" cm="1">
        <f t="array" aca="1" ref="G28" ca="1">_xlfn.NUMBERVALUE(_xlfn.XLOOKUP(A28,OFFSET(IN_Verknüpfungen!$L$4,0,0,IN_Verknüpfungen!$A$2,1),OFFSET(IN_Verknüpfungen!$Q$4,0,0,IN_Verknüpfungen!$A$2,1)))</f>
        <v>0.22157407407407406</v>
      </c>
      <c r="H28" s="70" cm="1">
        <f t="array" aca="1" ref="H28" ca="1">_xlfn.NUMBERVALUE(_xlfn.XLOOKUP(A28,OFFSET(IN_Verknüpfungen!$L$4,0,0,IN_Verknüpfungen!$A$2,1),OFFSET(IN_Verknüpfungen!$F$4,0,0,IN_Verknüpfungen!$A$2,1)))-G28</f>
        <v>6.2083333333333351E-2</v>
      </c>
      <c r="I28" s="70" cm="1">
        <f t="array" aca="1" ref="I28" ca="1">_xlfn.NUMBERVALUE(_xlfn.XLOOKUP(1,(OFFSET(IN_Verknüpfungen!$O$4,0,0,IN_Verknüpfungen!$A$2,1)=$A28)*(OFFSET(IN_Verknüpfungen!$P$4,0,0,IN_Verknüpfungen!$A$2,1)=J$3),OFFSET(IN_Verknüpfungen!$J$4,0,0,IN_Verknüpfungen!$A$2,1)))-SUM($G28:H28)</f>
        <v>1.9351851851851842E-2</v>
      </c>
      <c r="J28" s="70" cm="1">
        <f t="array" aca="1" ref="J28" ca="1">_xlfn.NUMBERVALUE(_xlfn.XLOOKUP(1,(OFFSET(IN_Verknüpfungen!$O$4,0,0,IN_Verknüpfungen!$A$2,1)=$A28)*(OFFSET(IN_Verknüpfungen!$P$4,0,0,IN_Verknüpfungen!$A$2,1)=J$3+1),OFFSET(IN_Verknüpfungen!$F$4,0,0,IN_Verknüpfungen!$A$2,1)))-SUM($G28:I28)</f>
        <v>4.5405092592592622E-2</v>
      </c>
      <c r="K28" s="70" cm="1">
        <f t="array" aca="1" ref="K28" ca="1">_xlfn.NUMBERVALUE(_xlfn.XLOOKUP(1,(OFFSET(IN_Verknüpfungen!$O$4,0,0,IN_Verknüpfungen!$A$2,1)=$A28)*(OFFSET(IN_Verknüpfungen!$P$4,0,0,IN_Verknüpfungen!$A$2,1)=L$3),OFFSET(IN_Verknüpfungen!$J$4,0,0,IN_Verknüpfungen!$A$2,1)))-SUM($G28:J28)</f>
        <v>2.7060185185185159E-2</v>
      </c>
      <c r="L28" s="70" cm="1">
        <f t="array" aca="1" ref="L28" ca="1">_xlfn.NUMBERVALUE(_xlfn.XLOOKUP(1,(OFFSET(IN_Verknüpfungen!$O$4,0,0,IN_Verknüpfungen!$A$2,1)=$A28)*(OFFSET(IN_Verknüpfungen!$P$4,0,0,IN_Verknüpfungen!$A$2,1)=L$3+1),OFFSET(IN_Verknüpfungen!$F$4,0,0,IN_Verknüpfungen!$A$2,1)))-SUM($G28:K28)</f>
        <v>4.4652777777777763E-2</v>
      </c>
      <c r="M28" s="70" cm="1">
        <f t="array" aca="1" ref="M28" ca="1">_xlfn.NUMBERVALUE(_xlfn.XLOOKUP(1,(OFFSET(IN_Verknüpfungen!$O$4,0,0,IN_Verknüpfungen!$A$2,1)=$A28)*(OFFSET(IN_Verknüpfungen!$P$4,0,0,IN_Verknüpfungen!$A$2,1)=N$3),OFFSET(IN_Verknüpfungen!$J$4,0,0,IN_Verknüpfungen!$A$2,1)))-SUM($G28:L28)</f>
        <v>3.0185185185185204E-2</v>
      </c>
      <c r="N28" s="70" cm="1">
        <f t="array" aca="1" ref="N28" ca="1">_xlfn.NUMBERVALUE(_xlfn.XLOOKUP(1,(OFFSET(IN_Verknüpfungen!$O$4,0,0,IN_Verknüpfungen!$A$2,1)=$A28)*(OFFSET(IN_Verknüpfungen!$P$4,0,0,IN_Verknüpfungen!$A$2,1)=N$3+1),OFFSET(IN_Verknüpfungen!$F$4,0,0,IN_Verknüpfungen!$A$2,1)))-SUM($G28:M28)</f>
        <v>4.6504629629629646E-2</v>
      </c>
      <c r="O28" s="70" cm="1">
        <f t="array" aca="1" ref="O28" ca="1">_xlfn.NUMBERVALUE(_xlfn.XLOOKUP(1,(OFFSET(IN_Verknüpfungen!$O$4,0,0,IN_Verknüpfungen!$A$2,1)=$A28)*(OFFSET(IN_Verknüpfungen!$P$4,0,0,IN_Verknüpfungen!$A$2,1)=P$3),OFFSET(IN_Verknüpfungen!$J$4,0,0,IN_Verknüpfungen!$A$2,1)))-SUM($G28:N28)</f>
        <v>3.28356481481481E-2</v>
      </c>
      <c r="P28" s="70" cm="1">
        <f t="array" aca="1" ref="P28" ca="1">_xlfn.NUMBERVALUE(_xlfn.XLOOKUP(1,(OFFSET(IN_Verknüpfungen!$O$4,0,0,IN_Verknüpfungen!$A$2,1)=$A28)*(OFFSET(IN_Verknüpfungen!$P$4,0,0,IN_Verknüpfungen!$A$2,1)=P$3+1),OFFSET(IN_Verknüpfungen!$F$4,0,0,IN_Verknüpfungen!$A$2,1)))-SUM($G28:O28)</f>
        <v>4.5671296296296293E-2</v>
      </c>
      <c r="Q28" s="70" cm="1">
        <f t="array" aca="1" ref="Q28" ca="1">_xlfn.NUMBERVALUE(_xlfn.XLOOKUP(1,(OFFSET(IN_Verknüpfungen!$O$4,0,0,IN_Verknüpfungen!$A$2,1)=$A28)*(OFFSET(IN_Verknüpfungen!$P$4,0,0,IN_Verknüpfungen!$A$2,1)=R$3),OFFSET(IN_Verknüpfungen!$J$4,0,0,IN_Verknüpfungen!$A$2,1)))-SUM($G28:P28)</f>
        <v>1.9351851851851842E-2</v>
      </c>
      <c r="R28" s="70" t="e" cm="1">
        <f t="array" aca="1" ref="R28" ca="1">_xlfn.NUMBERVALUE(_xlfn.XLOOKUP(1,(OFFSET(IN_Verknüpfungen!$O$4,0,0,IN_Verknüpfungen!$A$2,1)=$A28)*(OFFSET(IN_Verknüpfungen!$P$4,0,0,IN_Verknüpfungen!$A$2,1)=R$3+1),OFFSET(IN_Verknüpfungen!$F$4,0,0,IN_Verknüpfungen!$A$2,1)))-SUM($G28:Q28)</f>
        <v>#N/A</v>
      </c>
      <c r="S28" s="70" t="e" cm="1">
        <f t="array" aca="1" ref="S28" ca="1">_xlfn.NUMBERVALUE(_xlfn.XLOOKUP(1,(OFFSET(IN_Verknüpfungen!$O$4,0,0,IN_Verknüpfungen!$A$2,1)=$A28)*(OFFSET(IN_Verknüpfungen!$P$4,0,0,IN_Verknüpfungen!$A$2,1)=T$3),OFFSET(IN_Verknüpfungen!$J$4,0,0,IN_Verknüpfungen!$A$2,1)))-SUM($G28:R28)</f>
        <v>#N/A</v>
      </c>
      <c r="T28" s="70" t="e" cm="1">
        <f t="array" aca="1" ref="T28" ca="1">_xlfn.NUMBERVALUE(_xlfn.XLOOKUP(1,(OFFSET(IN_Verknüpfungen!$O$4,0,0,IN_Verknüpfungen!$A$2,1)=$A28)*(OFFSET(IN_Verknüpfungen!$P$4,0,0,IN_Verknüpfungen!$A$2,1)=T$3+1),OFFSET(IN_Verknüpfungen!$F$4,0,0,IN_Verknüpfungen!$A$2,1)))-SUM($G28:S28)</f>
        <v>#N/A</v>
      </c>
      <c r="U28" s="70" t="e" cm="1">
        <f t="array" aca="1" ref="U28" ca="1">_xlfn.NUMBERVALUE(_xlfn.XLOOKUP(1,(OFFSET(IN_Verknüpfungen!$O$4,0,0,IN_Verknüpfungen!$A$2,1)=$A28)*(OFFSET(IN_Verknüpfungen!$P$4,0,0,IN_Verknüpfungen!$A$2,1)=V$3),OFFSET(IN_Verknüpfungen!$J$4,0,0,IN_Verknüpfungen!$A$2,1)))-SUM($G28:T28)</f>
        <v>#N/A</v>
      </c>
      <c r="V28" s="70" t="e" cm="1">
        <f t="array" aca="1" ref="V28" ca="1">_xlfn.NUMBERVALUE(_xlfn.XLOOKUP(1,(OFFSET(IN_Verknüpfungen!$O$4,0,0,IN_Verknüpfungen!$A$2,1)=$A28)*(OFFSET(IN_Verknüpfungen!$P$4,0,0,IN_Verknüpfungen!$A$2,1)=V$3+1),OFFSET(IN_Verknüpfungen!$F$4,0,0,IN_Verknüpfungen!$A$2,1)))-SUM($G28:U28)</f>
        <v>#N/A</v>
      </c>
      <c r="W28" s="70" t="e" cm="1">
        <f t="array" aca="1" ref="W28" ca="1">_xlfn.NUMBERVALUE(_xlfn.XLOOKUP(1,(OFFSET(IN_Verknüpfungen!$O$4,0,0,IN_Verknüpfungen!$A$2,1)=$A28)*(OFFSET(IN_Verknüpfungen!$P$4,0,0,IN_Verknüpfungen!$A$2,1)=X$3),OFFSET(IN_Verknüpfungen!$J$4,0,0,IN_Verknüpfungen!$A$2,1)))-SUM($G28:V28)</f>
        <v>#N/A</v>
      </c>
      <c r="X28" s="70" t="e" cm="1">
        <f t="array" aca="1" ref="X28" ca="1">_xlfn.NUMBERVALUE(_xlfn.XLOOKUP(1,(OFFSET(IN_Verknüpfungen!$O$4,0,0,IN_Verknüpfungen!$A$2,1)=$A28)*(OFFSET(IN_Verknüpfungen!$P$4,0,0,IN_Verknüpfungen!$A$2,1)=X$3+1),OFFSET(IN_Verknüpfungen!$F$4,0,0,IN_Verknüpfungen!$A$2,1)))-SUM($G28:W28)</f>
        <v>#N/A</v>
      </c>
      <c r="Y28" s="70" t="e" cm="1">
        <f t="array" aca="1" ref="Y28" ca="1">_xlfn.NUMBERVALUE(_xlfn.XLOOKUP(1,(OFFSET(IN_Verknüpfungen!$O$4,0,0,IN_Verknüpfungen!$A$2,1)=$A28)*(OFFSET(IN_Verknüpfungen!$P$4,0,0,IN_Verknüpfungen!$A$2,1)=Z$3),OFFSET(IN_Verknüpfungen!$J$4,0,0,IN_Verknüpfungen!$A$2,1)))-SUM($G28:X28)</f>
        <v>#N/A</v>
      </c>
      <c r="Z28" s="70" t="e" cm="1">
        <f t="array" aca="1" ref="Z28" ca="1">_xlfn.NUMBERVALUE(_xlfn.XLOOKUP(1,(OFFSET(IN_Verknüpfungen!$O$4,0,0,IN_Verknüpfungen!$A$2,1)=$A28)*(OFFSET(IN_Verknüpfungen!$P$4,0,0,IN_Verknüpfungen!$A$2,1)=Z$3+1),OFFSET(IN_Verknüpfungen!$F$4,0,0,IN_Verknüpfungen!$A$2,1)))-SUM($G28:Y28)</f>
        <v>#N/A</v>
      </c>
      <c r="AA28" s="70" t="e" cm="1">
        <f t="array" aca="1" ref="AA28" ca="1">_xlfn.NUMBERVALUE(_xlfn.XLOOKUP(1,(OFFSET(IN_Verknüpfungen!$O$4,0,0,IN_Verknüpfungen!$A$2,1)=$A28)*(OFFSET(IN_Verknüpfungen!$P$4,0,0,IN_Verknüpfungen!$A$2,1)=AB$3),OFFSET(IN_Verknüpfungen!$J$4,0,0,IN_Verknüpfungen!$A$2,1)))-SUM($G28:Z28)</f>
        <v>#N/A</v>
      </c>
      <c r="AB28" s="70" t="e" cm="1">
        <f t="array" aca="1" ref="AB28" ca="1">_xlfn.NUMBERVALUE(_xlfn.XLOOKUP(1,(OFFSET(IN_Verknüpfungen!$O$4,0,0,IN_Verknüpfungen!$A$2,1)=$A28)*(OFFSET(IN_Verknüpfungen!$P$4,0,0,IN_Verknüpfungen!$A$2,1)=AB$3+1),OFFSET(IN_Verknüpfungen!$F$4,0,0,IN_Verknüpfungen!$A$2,1)))-SUM($G28:AA28)</f>
        <v>#N/A</v>
      </c>
    </row>
    <row r="29" spans="1:28" x14ac:dyDescent="0.2">
      <c r="A29" s="56" t="str">
        <f ca="1"/>
        <v>Composition 26</v>
      </c>
      <c r="B29" s="55" t="str" cm="1">
        <f t="array" aca="1" ref="B29" ca="1">IF(A29&lt;&gt;"",_xlfn.XLOOKUP(Laufwege!A29,OFFSET(IN_Verknüpfungen!L$4,0,0,IN_Verknüpfungen!A$2,1),OFFSET(IN_Verknüpfungen!N$4,0,0,IN_Verknüpfungen!A$2,1),""),"")</f>
        <v>146-3.2</v>
      </c>
      <c r="C29" s="55">
        <f ca="1">IF(A29&lt;&gt;"",SUMIFS(OFFSET(IN_Verknüpfungen!M$4,0,0,IN_Verknüpfungen!A$2,1),OFFSET(IN_Verknüpfungen!O$4,0,0,IN_Verknüpfungen!A$2,1),Laufwege!A29),0)</f>
        <v>544096</v>
      </c>
      <c r="D29" s="55" cm="1">
        <f t="array" aca="1" ref="D29" ca="1">IF(B29&lt;&gt;"",_xlfn.XLOOKUP(B29,OFFSET(IN_Stammdaten!$A$4,0,0,IN_Stammdaten!$A$2,1),OFFSET(IN_Stammdaten!$C$4,0,0,IN_Stammdaten!$A$2,1),""),"")</f>
        <v>0</v>
      </c>
      <c r="E29" s="55" t="str">
        <f t="shared" ca="1" si="0"/>
        <v>nein</v>
      </c>
      <c r="F29" s="69" t="str">
        <f t="shared" ca="1" si="1"/>
        <v>Composition 26 (146-3.2)</v>
      </c>
      <c r="G29" s="70" cm="1">
        <f t="array" aca="1" ref="G29" ca="1">_xlfn.NUMBERVALUE(_xlfn.XLOOKUP(A29,OFFSET(IN_Verknüpfungen!$L$4,0,0,IN_Verknüpfungen!$A$2,1),OFFSET(IN_Verknüpfungen!$Q$4,0,0,IN_Verknüpfungen!$A$2,1)))</f>
        <v>0.23302083333333334</v>
      </c>
      <c r="H29" s="70" cm="1">
        <f t="array" aca="1" ref="H29" ca="1">_xlfn.NUMBERVALUE(_xlfn.XLOOKUP(A29,OFFSET(IN_Verknüpfungen!$L$4,0,0,IN_Verknüpfungen!$A$2,1),OFFSET(IN_Verknüpfungen!$F$4,0,0,IN_Verknüpfungen!$A$2,1)))-G29</f>
        <v>5.16550925925926E-2</v>
      </c>
      <c r="I29" s="70" cm="1">
        <f t="array" aca="1" ref="I29" ca="1">_xlfn.NUMBERVALUE(_xlfn.XLOOKUP(1,(OFFSET(IN_Verknüpfungen!$O$4,0,0,IN_Verknüpfungen!$A$2,1)=$A29)*(OFFSET(IN_Verknüpfungen!$P$4,0,0,IN_Verknüpfungen!$A$2,1)=J$3),OFFSET(IN_Verknüpfungen!$J$4,0,0,IN_Verknüpfungen!$A$2,1)))-SUM($G29:H29)</f>
        <v>1.9212962962962932E-2</v>
      </c>
      <c r="J29" s="70" cm="1">
        <f t="array" aca="1" ref="J29" ca="1">_xlfn.NUMBERVALUE(_xlfn.XLOOKUP(1,(OFFSET(IN_Verknüpfungen!$O$4,0,0,IN_Verknüpfungen!$A$2,1)=$A29)*(OFFSET(IN_Verknüpfungen!$P$4,0,0,IN_Verknüpfungen!$A$2,1)=J$3+1),OFFSET(IN_Verknüpfungen!$F$4,0,0,IN_Verknüpfungen!$A$2,1)))-SUM($G29:I29)</f>
        <v>5.0706018518518525E-2</v>
      </c>
      <c r="K29" s="70" cm="1">
        <f t="array" aca="1" ref="K29" ca="1">_xlfn.NUMBERVALUE(_xlfn.XLOOKUP(1,(OFFSET(IN_Verknüpfungen!$O$4,0,0,IN_Verknüpfungen!$A$2,1)=$A29)*(OFFSET(IN_Verknüpfungen!$P$4,0,0,IN_Verknüpfungen!$A$2,1)=L$3),OFFSET(IN_Verknüpfungen!$J$4,0,0,IN_Verknüpfungen!$A$2,1)))-SUM($G29:J29)</f>
        <v>2.4548611111111118E-2</v>
      </c>
      <c r="L29" s="70" cm="1">
        <f t="array" aca="1" ref="L29" ca="1">_xlfn.NUMBERVALUE(_xlfn.XLOOKUP(1,(OFFSET(IN_Verknüpfungen!$O$4,0,0,IN_Verknüpfungen!$A$2,1)=$A29)*(OFFSET(IN_Verknüpfungen!$P$4,0,0,IN_Verknüpfungen!$A$2,1)=L$3+1),OFFSET(IN_Verknüpfungen!$F$4,0,0,IN_Verknüpfungen!$A$2,1)))-SUM($G29:K29)</f>
        <v>5.4861111111111138E-2</v>
      </c>
      <c r="M29" s="70" cm="1">
        <f t="array" aca="1" ref="M29" ca="1">_xlfn.NUMBERVALUE(_xlfn.XLOOKUP(1,(OFFSET(IN_Verknüpfungen!$O$4,0,0,IN_Verknüpfungen!$A$2,1)=$A29)*(OFFSET(IN_Verknüpfungen!$P$4,0,0,IN_Verknüpfungen!$A$2,1)=N$3),OFFSET(IN_Verknüpfungen!$J$4,0,0,IN_Verknüpfungen!$A$2,1)))-SUM($G29:L29)</f>
        <v>1.6701388888888835E-2</v>
      </c>
      <c r="N29" s="70" cm="1">
        <f t="array" aca="1" ref="N29" ca="1">_xlfn.NUMBERVALUE(_xlfn.XLOOKUP(1,(OFFSET(IN_Verknüpfungen!$O$4,0,0,IN_Verknüpfungen!$A$2,1)=$A29)*(OFFSET(IN_Verknüpfungen!$P$4,0,0,IN_Verknüpfungen!$A$2,1)=N$3+1),OFFSET(IN_Verknüpfungen!$F$4,0,0,IN_Verknüpfungen!$A$2,1)))-SUM($G29:M29)</f>
        <v>4.5254629629629672E-2</v>
      </c>
      <c r="O29" s="70" cm="1">
        <f t="array" aca="1" ref="O29" ca="1">_xlfn.NUMBERVALUE(_xlfn.XLOOKUP(1,(OFFSET(IN_Verknüpfungen!$O$4,0,0,IN_Verknüpfungen!$A$2,1)=$A29)*(OFFSET(IN_Verknüpfungen!$P$4,0,0,IN_Verknüpfungen!$A$2,1)=P$3),OFFSET(IN_Verknüpfungen!$J$4,0,0,IN_Verknüpfungen!$A$2,1)))-SUM($G29:N29)</f>
        <v>1.1041666666666672E-2</v>
      </c>
      <c r="P29" s="70" cm="1">
        <f t="array" aca="1" ref="P29" ca="1">_xlfn.NUMBERVALUE(_xlfn.XLOOKUP(1,(OFFSET(IN_Verknüpfungen!$O$4,0,0,IN_Verknüpfungen!$A$2,1)=$A29)*(OFFSET(IN_Verknüpfungen!$P$4,0,0,IN_Verknüpfungen!$A$2,1)=P$3+1),OFFSET(IN_Verknüpfungen!$F$4,0,0,IN_Verknüpfungen!$A$2,1)))-SUM($G29:O29)</f>
        <v>8.4259259259259256E-2</v>
      </c>
      <c r="Q29" s="70" cm="1">
        <f t="array" aca="1" ref="Q29" ca="1">_xlfn.NUMBERVALUE(_xlfn.XLOOKUP(1,(OFFSET(IN_Verknüpfungen!$O$4,0,0,IN_Verknüpfungen!$A$2,1)=$A29)*(OFFSET(IN_Verknüpfungen!$P$4,0,0,IN_Verknüpfungen!$A$2,1)=R$3),OFFSET(IN_Verknüpfungen!$J$4,0,0,IN_Verknüpfungen!$A$2,1)))-SUM($G29:P29)</f>
        <v>1.635416666666667E-2</v>
      </c>
      <c r="R29" s="70" t="e" cm="1">
        <f t="array" aca="1" ref="R29" ca="1">_xlfn.NUMBERVALUE(_xlfn.XLOOKUP(1,(OFFSET(IN_Verknüpfungen!$O$4,0,0,IN_Verknüpfungen!$A$2,1)=$A29)*(OFFSET(IN_Verknüpfungen!$P$4,0,0,IN_Verknüpfungen!$A$2,1)=R$3+1),OFFSET(IN_Verknüpfungen!$F$4,0,0,IN_Verknüpfungen!$A$2,1)))-SUM($G29:Q29)</f>
        <v>#N/A</v>
      </c>
      <c r="S29" s="70" t="e" cm="1">
        <f t="array" aca="1" ref="S29" ca="1">_xlfn.NUMBERVALUE(_xlfn.XLOOKUP(1,(OFFSET(IN_Verknüpfungen!$O$4,0,0,IN_Verknüpfungen!$A$2,1)=$A29)*(OFFSET(IN_Verknüpfungen!$P$4,0,0,IN_Verknüpfungen!$A$2,1)=T$3),OFFSET(IN_Verknüpfungen!$J$4,0,0,IN_Verknüpfungen!$A$2,1)))-SUM($G29:R29)</f>
        <v>#N/A</v>
      </c>
      <c r="T29" s="70" t="e" cm="1">
        <f t="array" aca="1" ref="T29" ca="1">_xlfn.NUMBERVALUE(_xlfn.XLOOKUP(1,(OFFSET(IN_Verknüpfungen!$O$4,0,0,IN_Verknüpfungen!$A$2,1)=$A29)*(OFFSET(IN_Verknüpfungen!$P$4,0,0,IN_Verknüpfungen!$A$2,1)=T$3+1),OFFSET(IN_Verknüpfungen!$F$4,0,0,IN_Verknüpfungen!$A$2,1)))-SUM($G29:S29)</f>
        <v>#N/A</v>
      </c>
      <c r="U29" s="70" t="e" cm="1">
        <f t="array" aca="1" ref="U29" ca="1">_xlfn.NUMBERVALUE(_xlfn.XLOOKUP(1,(OFFSET(IN_Verknüpfungen!$O$4,0,0,IN_Verknüpfungen!$A$2,1)=$A29)*(OFFSET(IN_Verknüpfungen!$P$4,0,0,IN_Verknüpfungen!$A$2,1)=V$3),OFFSET(IN_Verknüpfungen!$J$4,0,0,IN_Verknüpfungen!$A$2,1)))-SUM($G29:T29)</f>
        <v>#N/A</v>
      </c>
      <c r="V29" s="70" t="e" cm="1">
        <f t="array" aca="1" ref="V29" ca="1">_xlfn.NUMBERVALUE(_xlfn.XLOOKUP(1,(OFFSET(IN_Verknüpfungen!$O$4,0,0,IN_Verknüpfungen!$A$2,1)=$A29)*(OFFSET(IN_Verknüpfungen!$P$4,0,0,IN_Verknüpfungen!$A$2,1)=V$3+1),OFFSET(IN_Verknüpfungen!$F$4,0,0,IN_Verknüpfungen!$A$2,1)))-SUM($G29:U29)</f>
        <v>#N/A</v>
      </c>
      <c r="W29" s="70" t="e" cm="1">
        <f t="array" aca="1" ref="W29" ca="1">_xlfn.NUMBERVALUE(_xlfn.XLOOKUP(1,(OFFSET(IN_Verknüpfungen!$O$4,0,0,IN_Verknüpfungen!$A$2,1)=$A29)*(OFFSET(IN_Verknüpfungen!$P$4,0,0,IN_Verknüpfungen!$A$2,1)=X$3),OFFSET(IN_Verknüpfungen!$J$4,0,0,IN_Verknüpfungen!$A$2,1)))-SUM($G29:V29)</f>
        <v>#N/A</v>
      </c>
      <c r="X29" s="70" t="e" cm="1">
        <f t="array" aca="1" ref="X29" ca="1">_xlfn.NUMBERVALUE(_xlfn.XLOOKUP(1,(OFFSET(IN_Verknüpfungen!$O$4,0,0,IN_Verknüpfungen!$A$2,1)=$A29)*(OFFSET(IN_Verknüpfungen!$P$4,0,0,IN_Verknüpfungen!$A$2,1)=X$3+1),OFFSET(IN_Verknüpfungen!$F$4,0,0,IN_Verknüpfungen!$A$2,1)))-SUM($G29:W29)</f>
        <v>#N/A</v>
      </c>
      <c r="Y29" s="70" t="e" cm="1">
        <f t="array" aca="1" ref="Y29" ca="1">_xlfn.NUMBERVALUE(_xlfn.XLOOKUP(1,(OFFSET(IN_Verknüpfungen!$O$4,0,0,IN_Verknüpfungen!$A$2,1)=$A29)*(OFFSET(IN_Verknüpfungen!$P$4,0,0,IN_Verknüpfungen!$A$2,1)=Z$3),OFFSET(IN_Verknüpfungen!$J$4,0,0,IN_Verknüpfungen!$A$2,1)))-SUM($G29:X29)</f>
        <v>#N/A</v>
      </c>
      <c r="Z29" s="70" t="e" cm="1">
        <f t="array" aca="1" ref="Z29" ca="1">_xlfn.NUMBERVALUE(_xlfn.XLOOKUP(1,(OFFSET(IN_Verknüpfungen!$O$4,0,0,IN_Verknüpfungen!$A$2,1)=$A29)*(OFFSET(IN_Verknüpfungen!$P$4,0,0,IN_Verknüpfungen!$A$2,1)=Z$3+1),OFFSET(IN_Verknüpfungen!$F$4,0,0,IN_Verknüpfungen!$A$2,1)))-SUM($G29:Y29)</f>
        <v>#N/A</v>
      </c>
      <c r="AA29" s="70" t="e" cm="1">
        <f t="array" aca="1" ref="AA29" ca="1">_xlfn.NUMBERVALUE(_xlfn.XLOOKUP(1,(OFFSET(IN_Verknüpfungen!$O$4,0,0,IN_Verknüpfungen!$A$2,1)=$A29)*(OFFSET(IN_Verknüpfungen!$P$4,0,0,IN_Verknüpfungen!$A$2,1)=AB$3),OFFSET(IN_Verknüpfungen!$J$4,0,0,IN_Verknüpfungen!$A$2,1)))-SUM($G29:Z29)</f>
        <v>#N/A</v>
      </c>
      <c r="AB29" s="70" t="e" cm="1">
        <f t="array" aca="1" ref="AB29" ca="1">_xlfn.NUMBERVALUE(_xlfn.XLOOKUP(1,(OFFSET(IN_Verknüpfungen!$O$4,0,0,IN_Verknüpfungen!$A$2,1)=$A29)*(OFFSET(IN_Verknüpfungen!$P$4,0,0,IN_Verknüpfungen!$A$2,1)=AB$3+1),OFFSET(IN_Verknüpfungen!$F$4,0,0,IN_Verknüpfungen!$A$2,1)))-SUM($G29:AA29)</f>
        <v>#N/A</v>
      </c>
    </row>
    <row r="30" spans="1:28" x14ac:dyDescent="0.2">
      <c r="A30" s="56" t="str">
        <f ca="1"/>
        <v>Composition 27</v>
      </c>
      <c r="B30" s="55" t="str" cm="1">
        <f t="array" aca="1" ref="B30" ca="1">IF(A30&lt;&gt;"",_xlfn.XLOOKUP(Laufwege!A30,OFFSET(IN_Verknüpfungen!L$4,0,0,IN_Verknüpfungen!A$2,1),OFFSET(IN_Verknüpfungen!N$4,0,0,IN_Verknüpfungen!A$2,1),""),"")</f>
        <v>146-3.2</v>
      </c>
      <c r="C30" s="55">
        <f ca="1">IF(A30&lt;&gt;"",SUMIFS(OFFSET(IN_Verknüpfungen!M$4,0,0,IN_Verknüpfungen!A$2,1),OFFSET(IN_Verknüpfungen!O$4,0,0,IN_Verknüpfungen!A$2,1),Laufwege!A30),0)</f>
        <v>468168</v>
      </c>
      <c r="D30" s="55" cm="1">
        <f t="array" aca="1" ref="D30" ca="1">IF(B30&lt;&gt;"",_xlfn.XLOOKUP(B30,OFFSET(IN_Stammdaten!$A$4,0,0,IN_Stammdaten!$A$2,1),OFFSET(IN_Stammdaten!$C$4,0,0,IN_Stammdaten!$A$2,1),""),"")</f>
        <v>0</v>
      </c>
      <c r="E30" s="55" t="str">
        <f t="shared" ca="1" si="0"/>
        <v>nein</v>
      </c>
      <c r="F30" s="69" t="str">
        <f t="shared" ca="1" si="1"/>
        <v>Composition 27 (146-3.2)</v>
      </c>
      <c r="G30" s="70" cm="1">
        <f t="array" aca="1" ref="G30" ca="1">_xlfn.NUMBERVALUE(_xlfn.XLOOKUP(A30,OFFSET(IN_Verknüpfungen!$L$4,0,0,IN_Verknüpfungen!$A$2,1),OFFSET(IN_Verknüpfungen!$Q$4,0,0,IN_Verknüpfungen!$A$2,1)))</f>
        <v>0.23401620370370371</v>
      </c>
      <c r="H30" s="70" cm="1">
        <f t="array" aca="1" ref="H30" ca="1">_xlfn.NUMBERVALUE(_xlfn.XLOOKUP(A30,OFFSET(IN_Verknüpfungen!$L$4,0,0,IN_Verknüpfungen!$A$2,1),OFFSET(IN_Verknüpfungen!$F$4,0,0,IN_Verknüpfungen!$A$2,1)))-G30</f>
        <v>5.3599537037037043E-2</v>
      </c>
      <c r="I30" s="70" cm="1">
        <f t="array" aca="1" ref="I30" ca="1">_xlfn.NUMBERVALUE(_xlfn.XLOOKUP(1,(OFFSET(IN_Verknüpfungen!$O$4,0,0,IN_Verknüpfungen!$A$2,1)=$A30)*(OFFSET(IN_Verknüpfungen!$P$4,0,0,IN_Verknüpfungen!$A$2,1)=J$3),OFFSET(IN_Verknüpfungen!$J$4,0,0,IN_Verknüpfungen!$A$2,1)))-SUM($G30:H30)</f>
        <v>1.1053240740740711E-2</v>
      </c>
      <c r="J30" s="70" cm="1">
        <f t="array" aca="1" ref="J30" ca="1">_xlfn.NUMBERVALUE(_xlfn.XLOOKUP(1,(OFFSET(IN_Verknüpfungen!$O$4,0,0,IN_Verknüpfungen!$A$2,1)=$A30)*(OFFSET(IN_Verknüpfungen!$P$4,0,0,IN_Verknüpfungen!$A$2,1)=J$3+1),OFFSET(IN_Verknüpfungen!$F$4,0,0,IN_Verknüpfungen!$A$2,1)))-SUM($G30:I30)</f>
        <v>8.4259259259259256E-2</v>
      </c>
      <c r="K30" s="70" cm="1">
        <f t="array" aca="1" ref="K30" ca="1">_xlfn.NUMBERVALUE(_xlfn.XLOOKUP(1,(OFFSET(IN_Verknüpfungen!$O$4,0,0,IN_Verknüpfungen!$A$2,1)=$A30)*(OFFSET(IN_Verknüpfungen!$P$4,0,0,IN_Verknüpfungen!$A$2,1)=L$3),OFFSET(IN_Verknüpfungen!$J$4,0,0,IN_Verknüpfungen!$A$2,1)))-SUM($G30:J30)</f>
        <v>1.635416666666667E-2</v>
      </c>
      <c r="L30" s="70" cm="1">
        <f t="array" aca="1" ref="L30" ca="1">_xlfn.NUMBERVALUE(_xlfn.XLOOKUP(1,(OFFSET(IN_Verknüpfungen!$O$4,0,0,IN_Verknüpfungen!$A$2,1)=$A30)*(OFFSET(IN_Verknüpfungen!$P$4,0,0,IN_Verknüpfungen!$A$2,1)=L$3+1),OFFSET(IN_Verknüpfungen!$F$4,0,0,IN_Verknüpfungen!$A$2,1)))-SUM($G30:K30)</f>
        <v>7.7731481481481512E-2</v>
      </c>
      <c r="M30" s="70" cm="1">
        <f t="array" aca="1" ref="M30" ca="1">_xlfn.NUMBERVALUE(_xlfn.XLOOKUP(1,(OFFSET(IN_Verknüpfungen!$O$4,0,0,IN_Verknüpfungen!$A$2,1)=$A30)*(OFFSET(IN_Verknüpfungen!$P$4,0,0,IN_Verknüpfungen!$A$2,1)=N$3),OFFSET(IN_Verknüpfungen!$J$4,0,0,IN_Verknüpfungen!$A$2,1)))-SUM($G30:L30)</f>
        <v>1.2002314814814785E-2</v>
      </c>
      <c r="N30" s="70" cm="1">
        <f t="array" aca="1" ref="N30" ca="1">_xlfn.NUMBERVALUE(_xlfn.XLOOKUP(1,(OFFSET(IN_Verknüpfungen!$O$4,0,0,IN_Verknüpfungen!$A$2,1)=$A30)*(OFFSET(IN_Verknüpfungen!$P$4,0,0,IN_Verknüpfungen!$A$2,1)=N$3+1),OFFSET(IN_Verknüpfungen!$F$4,0,0,IN_Verknüpfungen!$A$2,1)))-SUM($G30:M30)</f>
        <v>4.5648148148148215E-2</v>
      </c>
      <c r="O30" s="70" cm="1">
        <f t="array" aca="1" ref="O30" ca="1">_xlfn.NUMBERVALUE(_xlfn.XLOOKUP(1,(OFFSET(IN_Verknüpfungen!$O$4,0,0,IN_Verknüpfungen!$A$2,1)=$A30)*(OFFSET(IN_Verknüpfungen!$P$4,0,0,IN_Verknüpfungen!$A$2,1)=P$3),OFFSET(IN_Verknüpfungen!$J$4,0,0,IN_Verknüpfungen!$A$2,1)))-SUM($G30:N30)</f>
        <v>1.9224537037036971E-2</v>
      </c>
      <c r="P30" s="70" t="e" cm="1">
        <f t="array" aca="1" ref="P30" ca="1">_xlfn.NUMBERVALUE(_xlfn.XLOOKUP(1,(OFFSET(IN_Verknüpfungen!$O$4,0,0,IN_Verknüpfungen!$A$2,1)=$A30)*(OFFSET(IN_Verknüpfungen!$P$4,0,0,IN_Verknüpfungen!$A$2,1)=P$3+1),OFFSET(IN_Verknüpfungen!$F$4,0,0,IN_Verknüpfungen!$A$2,1)))-SUM($G30:O30)</f>
        <v>#N/A</v>
      </c>
      <c r="Q30" s="70" t="e" cm="1">
        <f t="array" aca="1" ref="Q30" ca="1">_xlfn.NUMBERVALUE(_xlfn.XLOOKUP(1,(OFFSET(IN_Verknüpfungen!$O$4,0,0,IN_Verknüpfungen!$A$2,1)=$A30)*(OFFSET(IN_Verknüpfungen!$P$4,0,0,IN_Verknüpfungen!$A$2,1)=R$3),OFFSET(IN_Verknüpfungen!$J$4,0,0,IN_Verknüpfungen!$A$2,1)))-SUM($G30:P30)</f>
        <v>#N/A</v>
      </c>
      <c r="R30" s="70" t="e" cm="1">
        <f t="array" aca="1" ref="R30" ca="1">_xlfn.NUMBERVALUE(_xlfn.XLOOKUP(1,(OFFSET(IN_Verknüpfungen!$O$4,0,0,IN_Verknüpfungen!$A$2,1)=$A30)*(OFFSET(IN_Verknüpfungen!$P$4,0,0,IN_Verknüpfungen!$A$2,1)=R$3+1),OFFSET(IN_Verknüpfungen!$F$4,0,0,IN_Verknüpfungen!$A$2,1)))-SUM($G30:Q30)</f>
        <v>#N/A</v>
      </c>
      <c r="S30" s="70" t="e" cm="1">
        <f t="array" aca="1" ref="S30" ca="1">_xlfn.NUMBERVALUE(_xlfn.XLOOKUP(1,(OFFSET(IN_Verknüpfungen!$O$4,0,0,IN_Verknüpfungen!$A$2,1)=$A30)*(OFFSET(IN_Verknüpfungen!$P$4,0,0,IN_Verknüpfungen!$A$2,1)=T$3),OFFSET(IN_Verknüpfungen!$J$4,0,0,IN_Verknüpfungen!$A$2,1)))-SUM($G30:R30)</f>
        <v>#N/A</v>
      </c>
      <c r="T30" s="70" t="e" cm="1">
        <f t="array" aca="1" ref="T30" ca="1">_xlfn.NUMBERVALUE(_xlfn.XLOOKUP(1,(OFFSET(IN_Verknüpfungen!$O$4,0,0,IN_Verknüpfungen!$A$2,1)=$A30)*(OFFSET(IN_Verknüpfungen!$P$4,0,0,IN_Verknüpfungen!$A$2,1)=T$3+1),OFFSET(IN_Verknüpfungen!$F$4,0,0,IN_Verknüpfungen!$A$2,1)))-SUM($G30:S30)</f>
        <v>#N/A</v>
      </c>
      <c r="U30" s="70" t="e" cm="1">
        <f t="array" aca="1" ref="U30" ca="1">_xlfn.NUMBERVALUE(_xlfn.XLOOKUP(1,(OFFSET(IN_Verknüpfungen!$O$4,0,0,IN_Verknüpfungen!$A$2,1)=$A30)*(OFFSET(IN_Verknüpfungen!$P$4,0,0,IN_Verknüpfungen!$A$2,1)=V$3),OFFSET(IN_Verknüpfungen!$J$4,0,0,IN_Verknüpfungen!$A$2,1)))-SUM($G30:T30)</f>
        <v>#N/A</v>
      </c>
      <c r="V30" s="70" t="e" cm="1">
        <f t="array" aca="1" ref="V30" ca="1">_xlfn.NUMBERVALUE(_xlfn.XLOOKUP(1,(OFFSET(IN_Verknüpfungen!$O$4,0,0,IN_Verknüpfungen!$A$2,1)=$A30)*(OFFSET(IN_Verknüpfungen!$P$4,0,0,IN_Verknüpfungen!$A$2,1)=V$3+1),OFFSET(IN_Verknüpfungen!$F$4,0,0,IN_Verknüpfungen!$A$2,1)))-SUM($G30:U30)</f>
        <v>#N/A</v>
      </c>
      <c r="W30" s="70" t="e" cm="1">
        <f t="array" aca="1" ref="W30" ca="1">_xlfn.NUMBERVALUE(_xlfn.XLOOKUP(1,(OFFSET(IN_Verknüpfungen!$O$4,0,0,IN_Verknüpfungen!$A$2,1)=$A30)*(OFFSET(IN_Verknüpfungen!$P$4,0,0,IN_Verknüpfungen!$A$2,1)=X$3),OFFSET(IN_Verknüpfungen!$J$4,0,0,IN_Verknüpfungen!$A$2,1)))-SUM($G30:V30)</f>
        <v>#N/A</v>
      </c>
      <c r="X30" s="70" t="e" cm="1">
        <f t="array" aca="1" ref="X30" ca="1">_xlfn.NUMBERVALUE(_xlfn.XLOOKUP(1,(OFFSET(IN_Verknüpfungen!$O$4,0,0,IN_Verknüpfungen!$A$2,1)=$A30)*(OFFSET(IN_Verknüpfungen!$P$4,0,0,IN_Verknüpfungen!$A$2,1)=X$3+1),OFFSET(IN_Verknüpfungen!$F$4,0,0,IN_Verknüpfungen!$A$2,1)))-SUM($G30:W30)</f>
        <v>#N/A</v>
      </c>
      <c r="Y30" s="70" t="e" cm="1">
        <f t="array" aca="1" ref="Y30" ca="1">_xlfn.NUMBERVALUE(_xlfn.XLOOKUP(1,(OFFSET(IN_Verknüpfungen!$O$4,0,0,IN_Verknüpfungen!$A$2,1)=$A30)*(OFFSET(IN_Verknüpfungen!$P$4,0,0,IN_Verknüpfungen!$A$2,1)=Z$3),OFFSET(IN_Verknüpfungen!$J$4,0,0,IN_Verknüpfungen!$A$2,1)))-SUM($G30:X30)</f>
        <v>#N/A</v>
      </c>
      <c r="Z30" s="70" t="e" cm="1">
        <f t="array" aca="1" ref="Z30" ca="1">_xlfn.NUMBERVALUE(_xlfn.XLOOKUP(1,(OFFSET(IN_Verknüpfungen!$O$4,0,0,IN_Verknüpfungen!$A$2,1)=$A30)*(OFFSET(IN_Verknüpfungen!$P$4,0,0,IN_Verknüpfungen!$A$2,1)=Z$3+1),OFFSET(IN_Verknüpfungen!$F$4,0,0,IN_Verknüpfungen!$A$2,1)))-SUM($G30:Y30)</f>
        <v>#N/A</v>
      </c>
      <c r="AA30" s="70" t="e" cm="1">
        <f t="array" aca="1" ref="AA30" ca="1">_xlfn.NUMBERVALUE(_xlfn.XLOOKUP(1,(OFFSET(IN_Verknüpfungen!$O$4,0,0,IN_Verknüpfungen!$A$2,1)=$A30)*(OFFSET(IN_Verknüpfungen!$P$4,0,0,IN_Verknüpfungen!$A$2,1)=AB$3),OFFSET(IN_Verknüpfungen!$J$4,0,0,IN_Verknüpfungen!$A$2,1)))-SUM($G30:Z30)</f>
        <v>#N/A</v>
      </c>
      <c r="AB30" s="70" t="e" cm="1">
        <f t="array" aca="1" ref="AB30" ca="1">_xlfn.NUMBERVALUE(_xlfn.XLOOKUP(1,(OFFSET(IN_Verknüpfungen!$O$4,0,0,IN_Verknüpfungen!$A$2,1)=$A30)*(OFFSET(IN_Verknüpfungen!$P$4,0,0,IN_Verknüpfungen!$A$2,1)=AB$3+1),OFFSET(IN_Verknüpfungen!$F$4,0,0,IN_Verknüpfungen!$A$2,1)))-SUM($G30:AA30)</f>
        <v>#N/A</v>
      </c>
    </row>
    <row r="31" spans="1:28" x14ac:dyDescent="0.2">
      <c r="A31" s="56" t="str">
        <f ca="1"/>
        <v>Composition 28</v>
      </c>
      <c r="B31" s="55" t="str" cm="1">
        <f t="array" aca="1" ref="B31" ca="1">IF(A31&lt;&gt;"",_xlfn.XLOOKUP(Laufwege!A31,OFFSET(IN_Verknüpfungen!L$4,0,0,IN_Verknüpfungen!A$2,1),OFFSET(IN_Verknüpfungen!N$4,0,0,IN_Verknüpfungen!A$2,1),""),"")</f>
        <v>101-3.0</v>
      </c>
      <c r="C31" s="55">
        <f ca="1">IF(A31&lt;&gt;"",SUMIFS(OFFSET(IN_Verknüpfungen!M$4,0,0,IN_Verknüpfungen!A$2,1),OFFSET(IN_Verknüpfungen!O$4,0,0,IN_Verknüpfungen!A$2,1),Laufwege!A31),0)</f>
        <v>459064</v>
      </c>
      <c r="D31" s="55" cm="1">
        <f t="array" aca="1" ref="D31" ca="1">IF(B31&lt;&gt;"",_xlfn.XLOOKUP(B31,OFFSET(IN_Stammdaten!$A$4,0,0,IN_Stammdaten!$A$2,1),OFFSET(IN_Stammdaten!$C$4,0,0,IN_Stammdaten!$A$2,1),""),"")</f>
        <v>1010000</v>
      </c>
      <c r="E31" s="55" t="str">
        <f t="shared" ca="1" si="0"/>
        <v>nein</v>
      </c>
      <c r="F31" s="69" t="str">
        <f t="shared" ca="1" si="1"/>
        <v>Composition 28 (101-3.0)</v>
      </c>
      <c r="G31" s="70" cm="1">
        <f t="array" aca="1" ref="G31" ca="1">_xlfn.NUMBERVALUE(_xlfn.XLOOKUP(A31,OFFSET(IN_Verknüpfungen!$L$4,0,0,IN_Verknüpfungen!$A$2,1),OFFSET(IN_Verknüpfungen!$Q$4,0,0,IN_Verknüpfungen!$A$2,1)))</f>
        <v>0.2311111111111111</v>
      </c>
      <c r="H31" s="70" cm="1">
        <f t="array" aca="1" ref="H31" ca="1">_xlfn.NUMBERVALUE(_xlfn.XLOOKUP(A31,OFFSET(IN_Verknüpfungen!$L$4,0,0,IN_Verknüpfungen!$A$2,1),OFFSET(IN_Verknüpfungen!$F$4,0,0,IN_Verknüpfungen!$A$2,1)))-G31</f>
        <v>5.7164351851851869E-2</v>
      </c>
      <c r="I31" s="70" cm="1">
        <f t="array" aca="1" ref="I31" ca="1">_xlfn.NUMBERVALUE(_xlfn.XLOOKUP(1,(OFFSET(IN_Verknüpfungen!$O$4,0,0,IN_Verknüpfungen!$A$2,1)=$A31)*(OFFSET(IN_Verknüpfungen!$P$4,0,0,IN_Verknüpfungen!$A$2,1)=J$3),OFFSET(IN_Verknüpfungen!$J$4,0,0,IN_Verknüpfungen!$A$2,1)))-SUM($G31:H31)</f>
        <v>7.418981481481457E-3</v>
      </c>
      <c r="J31" s="70" cm="1">
        <f t="array" aca="1" ref="J31" ca="1">_xlfn.NUMBERVALUE(_xlfn.XLOOKUP(1,(OFFSET(IN_Verknüpfungen!$O$4,0,0,IN_Verknüpfungen!$A$2,1)=$A31)*(OFFSET(IN_Verknüpfungen!$P$4,0,0,IN_Verknüpfungen!$A$2,1)=J$3+1),OFFSET(IN_Verknüpfungen!$F$4,0,0,IN_Verknüpfungen!$A$2,1)))-SUM($G31:I31)</f>
        <v>3.4305555555555589E-2</v>
      </c>
      <c r="K31" s="70" cm="1">
        <f t="array" aca="1" ref="K31" ca="1">_xlfn.NUMBERVALUE(_xlfn.XLOOKUP(1,(OFFSET(IN_Verknüpfungen!$O$4,0,0,IN_Verknüpfungen!$A$2,1)=$A31)*(OFFSET(IN_Verknüpfungen!$P$4,0,0,IN_Verknüpfungen!$A$2,1)=L$3),OFFSET(IN_Verknüpfungen!$J$4,0,0,IN_Verknüpfungen!$A$2,1)))-SUM($G31:J31)</f>
        <v>1.5138888888888868E-2</v>
      </c>
      <c r="L31" s="70" cm="1">
        <f t="array" aca="1" ref="L31" ca="1">_xlfn.NUMBERVALUE(_xlfn.XLOOKUP(1,(OFFSET(IN_Verknüpfungen!$O$4,0,0,IN_Verknüpfungen!$A$2,1)=$A31)*(OFFSET(IN_Verknüpfungen!$P$4,0,0,IN_Verknüpfungen!$A$2,1)=L$3+1),OFFSET(IN_Verknüpfungen!$F$4,0,0,IN_Verknüpfungen!$A$2,1)))-SUM($G31:K31)</f>
        <v>3.247685185185184E-2</v>
      </c>
      <c r="M31" s="70" cm="1">
        <f t="array" aca="1" ref="M31" ca="1">_xlfn.NUMBERVALUE(_xlfn.XLOOKUP(1,(OFFSET(IN_Verknüpfungen!$O$4,0,0,IN_Verknüpfungen!$A$2,1)=$A31)*(OFFSET(IN_Verknüpfungen!$P$4,0,0,IN_Verknüpfungen!$A$2,1)=N$3),OFFSET(IN_Verknüpfungen!$J$4,0,0,IN_Verknüpfungen!$A$2,1)))-SUM($G31:L31)</f>
        <v>7.569444444444462E-3</v>
      </c>
      <c r="N31" s="70" cm="1">
        <f t="array" aca="1" ref="N31" ca="1">_xlfn.NUMBERVALUE(_xlfn.XLOOKUP(1,(OFFSET(IN_Verknüpfungen!$O$4,0,0,IN_Verknüpfungen!$A$2,1)=$A31)*(OFFSET(IN_Verknüpfungen!$P$4,0,0,IN_Verknüpfungen!$A$2,1)=N$3+1),OFFSET(IN_Verknüpfungen!$F$4,0,0,IN_Verknüpfungen!$A$2,1)))-SUM($G31:M31)</f>
        <v>4.6643518518518501E-2</v>
      </c>
      <c r="O31" s="70" cm="1">
        <f t="array" aca="1" ref="O31" ca="1">_xlfn.NUMBERVALUE(_xlfn.XLOOKUP(1,(OFFSET(IN_Verknüpfungen!$O$4,0,0,IN_Verknüpfungen!$A$2,1)=$A31)*(OFFSET(IN_Verknüpfungen!$P$4,0,0,IN_Verknüpfungen!$A$2,1)=P$3),OFFSET(IN_Verknüpfungen!$J$4,0,0,IN_Verknüpfungen!$A$2,1)))-SUM($G31:N31)</f>
        <v>1.5231481481481512E-2</v>
      </c>
      <c r="P31" s="70" cm="1">
        <f t="array" aca="1" ref="P31" ca="1">_xlfn.NUMBERVALUE(_xlfn.XLOOKUP(1,(OFFSET(IN_Verknüpfungen!$O$4,0,0,IN_Verknüpfungen!$A$2,1)=$A31)*(OFFSET(IN_Verknüpfungen!$P$4,0,0,IN_Verknüpfungen!$A$2,1)=P$3+1),OFFSET(IN_Verknüpfungen!$F$4,0,0,IN_Verknüpfungen!$A$2,1)))-SUM($G31:O31)</f>
        <v>4.9548611111111085E-2</v>
      </c>
      <c r="Q31" s="70" cm="1">
        <f t="array" aca="1" ref="Q31" ca="1">_xlfn.NUMBERVALUE(_xlfn.XLOOKUP(1,(OFFSET(IN_Verknüpfungen!$O$4,0,0,IN_Verknüpfungen!$A$2,1)=$A31)*(OFFSET(IN_Verknüpfungen!$P$4,0,0,IN_Verknüpfungen!$A$2,1)=R$3),OFFSET(IN_Verknüpfungen!$J$4,0,0,IN_Verknüpfungen!$A$2,1)))-SUM($G31:P31)</f>
        <v>7.418981481481457E-3</v>
      </c>
      <c r="R31" s="70" cm="1">
        <f t="array" aca="1" ref="R31" ca="1">_xlfn.NUMBERVALUE(_xlfn.XLOOKUP(1,(OFFSET(IN_Verknüpfungen!$O$4,0,0,IN_Verknüpfungen!$A$2,1)=$A31)*(OFFSET(IN_Verknüpfungen!$P$4,0,0,IN_Verknüpfungen!$A$2,1)=R$3+1),OFFSET(IN_Verknüpfungen!$F$4,0,0,IN_Verknüpfungen!$A$2,1)))-SUM($G31:Q31)</f>
        <v>3.4305555555555589E-2</v>
      </c>
      <c r="S31" s="70" cm="1">
        <f t="array" aca="1" ref="S31" ca="1">_xlfn.NUMBERVALUE(_xlfn.XLOOKUP(1,(OFFSET(IN_Verknüpfungen!$O$4,0,0,IN_Verknüpfungen!$A$2,1)=$A31)*(OFFSET(IN_Verknüpfungen!$P$4,0,0,IN_Verknüpfungen!$A$2,1)=T$3),OFFSET(IN_Verknüpfungen!$J$4,0,0,IN_Verknüpfungen!$A$2,1)))-SUM($G31:R31)</f>
        <v>1.5138888888888924E-2</v>
      </c>
      <c r="T31" s="70" cm="1">
        <f t="array" aca="1" ref="T31" ca="1">_xlfn.NUMBERVALUE(_xlfn.XLOOKUP(1,(OFFSET(IN_Verknüpfungen!$O$4,0,0,IN_Verknüpfungen!$A$2,1)=$A31)*(OFFSET(IN_Verknüpfungen!$P$4,0,0,IN_Verknüpfungen!$A$2,1)=T$3+1),OFFSET(IN_Verknüpfungen!$F$4,0,0,IN_Verknüpfungen!$A$2,1)))-SUM($G31:S31)</f>
        <v>3.2476851851851785E-2</v>
      </c>
      <c r="U31" s="70" cm="1">
        <f t="array" aca="1" ref="U31" ca="1">_xlfn.NUMBERVALUE(_xlfn.XLOOKUP(1,(OFFSET(IN_Verknüpfungen!$O$4,0,0,IN_Verknüpfungen!$A$2,1)=$A31)*(OFFSET(IN_Verknüpfungen!$P$4,0,0,IN_Verknüpfungen!$A$2,1)=V$3),OFFSET(IN_Verknüpfungen!$J$4,0,0,IN_Verknüpfungen!$A$2,1)))-SUM($G31:T31)</f>
        <v>7.5694444444445175E-3</v>
      </c>
      <c r="V31" s="70" t="e" cm="1">
        <f t="array" aca="1" ref="V31" ca="1">_xlfn.NUMBERVALUE(_xlfn.XLOOKUP(1,(OFFSET(IN_Verknüpfungen!$O$4,0,0,IN_Verknüpfungen!$A$2,1)=$A31)*(OFFSET(IN_Verknüpfungen!$P$4,0,0,IN_Verknüpfungen!$A$2,1)=V$3+1),OFFSET(IN_Verknüpfungen!$F$4,0,0,IN_Verknüpfungen!$A$2,1)))-SUM($G31:U31)</f>
        <v>#N/A</v>
      </c>
      <c r="W31" s="70" t="e" cm="1">
        <f t="array" aca="1" ref="W31" ca="1">_xlfn.NUMBERVALUE(_xlfn.XLOOKUP(1,(OFFSET(IN_Verknüpfungen!$O$4,0,0,IN_Verknüpfungen!$A$2,1)=$A31)*(OFFSET(IN_Verknüpfungen!$P$4,0,0,IN_Verknüpfungen!$A$2,1)=X$3),OFFSET(IN_Verknüpfungen!$J$4,0,0,IN_Verknüpfungen!$A$2,1)))-SUM($G31:V31)</f>
        <v>#N/A</v>
      </c>
      <c r="X31" s="70" t="e" cm="1">
        <f t="array" aca="1" ref="X31" ca="1">_xlfn.NUMBERVALUE(_xlfn.XLOOKUP(1,(OFFSET(IN_Verknüpfungen!$O$4,0,0,IN_Verknüpfungen!$A$2,1)=$A31)*(OFFSET(IN_Verknüpfungen!$P$4,0,0,IN_Verknüpfungen!$A$2,1)=X$3+1),OFFSET(IN_Verknüpfungen!$F$4,0,0,IN_Verknüpfungen!$A$2,1)))-SUM($G31:W31)</f>
        <v>#N/A</v>
      </c>
      <c r="Y31" s="70" t="e" cm="1">
        <f t="array" aca="1" ref="Y31" ca="1">_xlfn.NUMBERVALUE(_xlfn.XLOOKUP(1,(OFFSET(IN_Verknüpfungen!$O$4,0,0,IN_Verknüpfungen!$A$2,1)=$A31)*(OFFSET(IN_Verknüpfungen!$P$4,0,0,IN_Verknüpfungen!$A$2,1)=Z$3),OFFSET(IN_Verknüpfungen!$J$4,0,0,IN_Verknüpfungen!$A$2,1)))-SUM($G31:X31)</f>
        <v>#N/A</v>
      </c>
      <c r="Z31" s="70" t="e" cm="1">
        <f t="array" aca="1" ref="Z31" ca="1">_xlfn.NUMBERVALUE(_xlfn.XLOOKUP(1,(OFFSET(IN_Verknüpfungen!$O$4,0,0,IN_Verknüpfungen!$A$2,1)=$A31)*(OFFSET(IN_Verknüpfungen!$P$4,0,0,IN_Verknüpfungen!$A$2,1)=Z$3+1),OFFSET(IN_Verknüpfungen!$F$4,0,0,IN_Verknüpfungen!$A$2,1)))-SUM($G31:Y31)</f>
        <v>#N/A</v>
      </c>
      <c r="AA31" s="70" t="e" cm="1">
        <f t="array" aca="1" ref="AA31" ca="1">_xlfn.NUMBERVALUE(_xlfn.XLOOKUP(1,(OFFSET(IN_Verknüpfungen!$O$4,0,0,IN_Verknüpfungen!$A$2,1)=$A31)*(OFFSET(IN_Verknüpfungen!$P$4,0,0,IN_Verknüpfungen!$A$2,1)=AB$3),OFFSET(IN_Verknüpfungen!$J$4,0,0,IN_Verknüpfungen!$A$2,1)))-SUM($G31:Z31)</f>
        <v>#N/A</v>
      </c>
      <c r="AB31" s="70" t="e" cm="1">
        <f t="array" aca="1" ref="AB31" ca="1">_xlfn.NUMBERVALUE(_xlfn.XLOOKUP(1,(OFFSET(IN_Verknüpfungen!$O$4,0,0,IN_Verknüpfungen!$A$2,1)=$A31)*(OFFSET(IN_Verknüpfungen!$P$4,0,0,IN_Verknüpfungen!$A$2,1)=AB$3+1),OFFSET(IN_Verknüpfungen!$F$4,0,0,IN_Verknüpfungen!$A$2,1)))-SUM($G31:AA31)</f>
        <v>#N/A</v>
      </c>
    </row>
    <row r="32" spans="1:28" x14ac:dyDescent="0.2">
      <c r="A32" s="56" t="str">
        <f ca="1"/>
        <v>Composition 29</v>
      </c>
      <c r="B32" s="55" t="str" cm="1">
        <f t="array" aca="1" ref="B32" ca="1">IF(A32&lt;&gt;"",_xlfn.XLOOKUP(Laufwege!A32,OFFSET(IN_Verknüpfungen!L$4,0,0,IN_Verknüpfungen!A$2,1),OFFSET(IN_Verknüpfungen!N$4,0,0,IN_Verknüpfungen!A$2,1),""),"")</f>
        <v>101-3.0</v>
      </c>
      <c r="C32" s="55">
        <f ca="1">IF(A32&lt;&gt;"",SUMIFS(OFFSET(IN_Verknüpfungen!M$4,0,0,IN_Verknüpfungen!A$2,1),OFFSET(IN_Verknüpfungen!O$4,0,0,IN_Verknüpfungen!A$2,1),Laufwege!A32),0)</f>
        <v>459064</v>
      </c>
      <c r="D32" s="55" cm="1">
        <f t="array" aca="1" ref="D32" ca="1">IF(B32&lt;&gt;"",_xlfn.XLOOKUP(B32,OFFSET(IN_Stammdaten!$A$4,0,0,IN_Stammdaten!$A$2,1),OFFSET(IN_Stammdaten!$C$4,0,0,IN_Stammdaten!$A$2,1),""),"")</f>
        <v>1010000</v>
      </c>
      <c r="E32" s="55" t="str">
        <f t="shared" ca="1" si="0"/>
        <v>nein</v>
      </c>
      <c r="F32" s="69" t="str">
        <f t="shared" ca="1" si="1"/>
        <v>Composition 29 (101-3.0)</v>
      </c>
      <c r="G32" s="70" cm="1">
        <f t="array" aca="1" ref="G32" ca="1">_xlfn.NUMBERVALUE(_xlfn.XLOOKUP(A32,OFFSET(IN_Verknüpfungen!$L$4,0,0,IN_Verknüpfungen!$A$2,1),OFFSET(IN_Verknüpfungen!$Q$4,0,0,IN_Verknüpfungen!$A$2,1)))</f>
        <v>0.25031249999999999</v>
      </c>
      <c r="H32" s="70" cm="1">
        <f t="array" aca="1" ref="H32" ca="1">_xlfn.NUMBERVALUE(_xlfn.XLOOKUP(A32,OFFSET(IN_Verknüpfungen!$L$4,0,0,IN_Verknüpfungen!$A$2,1),OFFSET(IN_Verknüpfungen!$F$4,0,0,IN_Verknüpfungen!$A$2,1)))-G32</f>
        <v>3.8020833333333337E-2</v>
      </c>
      <c r="I32" s="70" cm="1">
        <f t="array" aca="1" ref="I32" ca="1">_xlfn.NUMBERVALUE(_xlfn.XLOOKUP(1,(OFFSET(IN_Verknüpfungen!$O$4,0,0,IN_Verknüpfungen!$A$2,1)=$A32)*(OFFSET(IN_Verknüpfungen!$P$4,0,0,IN_Verknüpfungen!$A$2,1)=J$3),OFFSET(IN_Verknüpfungen!$J$4,0,0,IN_Verknüpfungen!$A$2,1)))-SUM($G32:H32)</f>
        <v>1.5138888888888868E-2</v>
      </c>
      <c r="J32" s="70" cm="1">
        <f t="array" aca="1" ref="J32" ca="1">_xlfn.NUMBERVALUE(_xlfn.XLOOKUP(1,(OFFSET(IN_Verknüpfungen!$O$4,0,0,IN_Verknüpfungen!$A$2,1)=$A32)*(OFFSET(IN_Verknüpfungen!$P$4,0,0,IN_Verknüpfungen!$A$2,1)=J$3+1),OFFSET(IN_Verknüpfungen!$F$4,0,0,IN_Verknüpfungen!$A$2,1)))-SUM($G32:I32)</f>
        <v>3.2476851851851896E-2</v>
      </c>
      <c r="K32" s="70" cm="1">
        <f t="array" aca="1" ref="K32" ca="1">_xlfn.NUMBERVALUE(_xlfn.XLOOKUP(1,(OFFSET(IN_Verknüpfungen!$O$4,0,0,IN_Verknüpfungen!$A$2,1)=$A32)*(OFFSET(IN_Verknüpfungen!$P$4,0,0,IN_Verknüpfungen!$A$2,1)=L$3),OFFSET(IN_Verknüpfungen!$J$4,0,0,IN_Verknüpfungen!$A$2,1)))-SUM($G32:J32)</f>
        <v>7.5694444444444065E-3</v>
      </c>
      <c r="L32" s="70" cm="1">
        <f t="array" aca="1" ref="L32" ca="1">_xlfn.NUMBERVALUE(_xlfn.XLOOKUP(1,(OFFSET(IN_Verknüpfungen!$O$4,0,0,IN_Verknüpfungen!$A$2,1)=$A32)*(OFFSET(IN_Verknüpfungen!$P$4,0,0,IN_Verknüpfungen!$A$2,1)=L$3+1),OFFSET(IN_Verknüpfungen!$F$4,0,0,IN_Verknüpfungen!$A$2,1)))-SUM($G32:K32)</f>
        <v>4.6643518518518556E-2</v>
      </c>
      <c r="M32" s="70" cm="1">
        <f t="array" aca="1" ref="M32" ca="1">_xlfn.NUMBERVALUE(_xlfn.XLOOKUP(1,(OFFSET(IN_Verknüpfungen!$O$4,0,0,IN_Verknüpfungen!$A$2,1)=$A32)*(OFFSET(IN_Verknüpfungen!$P$4,0,0,IN_Verknüpfungen!$A$2,1)=N$3),OFFSET(IN_Verknüpfungen!$J$4,0,0,IN_Verknüpfungen!$A$2,1)))-SUM($G32:L32)</f>
        <v>1.5231481481481457E-2</v>
      </c>
      <c r="N32" s="70" cm="1">
        <f t="array" aca="1" ref="N32" ca="1">_xlfn.NUMBERVALUE(_xlfn.XLOOKUP(1,(OFFSET(IN_Verknüpfungen!$O$4,0,0,IN_Verknüpfungen!$A$2,1)=$A32)*(OFFSET(IN_Verknüpfungen!$P$4,0,0,IN_Verknüpfungen!$A$2,1)=N$3+1),OFFSET(IN_Verknüpfungen!$F$4,0,0,IN_Verknüpfungen!$A$2,1)))-SUM($G32:M32)</f>
        <v>4.954861111111114E-2</v>
      </c>
      <c r="O32" s="70" cm="1">
        <f t="array" aca="1" ref="O32" ca="1">_xlfn.NUMBERVALUE(_xlfn.XLOOKUP(1,(OFFSET(IN_Verknüpfungen!$O$4,0,0,IN_Verknüpfungen!$A$2,1)=$A32)*(OFFSET(IN_Verknüpfungen!$P$4,0,0,IN_Verknüpfungen!$A$2,1)=P$3),OFFSET(IN_Verknüpfungen!$J$4,0,0,IN_Verknüpfungen!$A$2,1)))-SUM($G32:N32)</f>
        <v>7.418981481481457E-3</v>
      </c>
      <c r="P32" s="70" cm="1">
        <f t="array" aca="1" ref="P32" ca="1">_xlfn.NUMBERVALUE(_xlfn.XLOOKUP(1,(OFFSET(IN_Verknüpfungen!$O$4,0,0,IN_Verknüpfungen!$A$2,1)=$A32)*(OFFSET(IN_Verknüpfungen!$P$4,0,0,IN_Verknüpfungen!$A$2,1)=P$3+1),OFFSET(IN_Verknüpfungen!$F$4,0,0,IN_Verknüpfungen!$A$2,1)))-SUM($G32:O32)</f>
        <v>3.4305555555555534E-2</v>
      </c>
      <c r="Q32" s="70" cm="1">
        <f t="array" aca="1" ref="Q32" ca="1">_xlfn.NUMBERVALUE(_xlfn.XLOOKUP(1,(OFFSET(IN_Verknüpfungen!$O$4,0,0,IN_Verknüpfungen!$A$2,1)=$A32)*(OFFSET(IN_Verknüpfungen!$P$4,0,0,IN_Verknüpfungen!$A$2,1)=R$3),OFFSET(IN_Verknüpfungen!$J$4,0,0,IN_Verknüpfungen!$A$2,1)))-SUM($G32:P32)</f>
        <v>1.5138888888888868E-2</v>
      </c>
      <c r="R32" s="70" cm="1">
        <f t="array" aca="1" ref="R32" ca="1">_xlfn.NUMBERVALUE(_xlfn.XLOOKUP(1,(OFFSET(IN_Verknüpfungen!$O$4,0,0,IN_Verknüpfungen!$A$2,1)=$A32)*(OFFSET(IN_Verknüpfungen!$P$4,0,0,IN_Verknüpfungen!$A$2,1)=R$3+1),OFFSET(IN_Verknüpfungen!$F$4,0,0,IN_Verknüpfungen!$A$2,1)))-SUM($G32:Q32)</f>
        <v>3.2476851851851896E-2</v>
      </c>
      <c r="S32" s="70" cm="1">
        <f t="array" aca="1" ref="S32" ca="1">_xlfn.NUMBERVALUE(_xlfn.XLOOKUP(1,(OFFSET(IN_Verknüpfungen!$O$4,0,0,IN_Verknüpfungen!$A$2,1)=$A32)*(OFFSET(IN_Verknüpfungen!$P$4,0,0,IN_Verknüpfungen!$A$2,1)=T$3),OFFSET(IN_Verknüpfungen!$J$4,0,0,IN_Verknüpfungen!$A$2,1)))-SUM($G32:R32)</f>
        <v>7.5694444444444065E-3</v>
      </c>
      <c r="T32" s="70" cm="1">
        <f t="array" aca="1" ref="T32" ca="1">_xlfn.NUMBERVALUE(_xlfn.XLOOKUP(1,(OFFSET(IN_Verknüpfungen!$O$4,0,0,IN_Verknüpfungen!$A$2,1)=$A32)*(OFFSET(IN_Verknüpfungen!$P$4,0,0,IN_Verknüpfungen!$A$2,1)=T$3+1),OFFSET(IN_Verknüpfungen!$F$4,0,0,IN_Verknüpfungen!$A$2,1)))-SUM($G32:S32)</f>
        <v>4.6643518518518556E-2</v>
      </c>
      <c r="U32" s="70" cm="1">
        <f t="array" aca="1" ref="U32" ca="1">_xlfn.NUMBERVALUE(_xlfn.XLOOKUP(1,(OFFSET(IN_Verknüpfungen!$O$4,0,0,IN_Verknüpfungen!$A$2,1)=$A32)*(OFFSET(IN_Verknüpfungen!$P$4,0,0,IN_Verknüpfungen!$A$2,1)=V$3),OFFSET(IN_Verknüpfungen!$J$4,0,0,IN_Verknüpfungen!$A$2,1)))-SUM($G32:T32)</f>
        <v>1.5231481481481457E-2</v>
      </c>
      <c r="V32" s="70" t="e" cm="1">
        <f t="array" aca="1" ref="V32" ca="1">_xlfn.NUMBERVALUE(_xlfn.XLOOKUP(1,(OFFSET(IN_Verknüpfungen!$O$4,0,0,IN_Verknüpfungen!$A$2,1)=$A32)*(OFFSET(IN_Verknüpfungen!$P$4,0,0,IN_Verknüpfungen!$A$2,1)=V$3+1),OFFSET(IN_Verknüpfungen!$F$4,0,0,IN_Verknüpfungen!$A$2,1)))-SUM($G32:U32)</f>
        <v>#N/A</v>
      </c>
      <c r="W32" s="70" t="e" cm="1">
        <f t="array" aca="1" ref="W32" ca="1">_xlfn.NUMBERVALUE(_xlfn.XLOOKUP(1,(OFFSET(IN_Verknüpfungen!$O$4,0,0,IN_Verknüpfungen!$A$2,1)=$A32)*(OFFSET(IN_Verknüpfungen!$P$4,0,0,IN_Verknüpfungen!$A$2,1)=X$3),OFFSET(IN_Verknüpfungen!$J$4,0,0,IN_Verknüpfungen!$A$2,1)))-SUM($G32:V32)</f>
        <v>#N/A</v>
      </c>
      <c r="X32" s="70" t="e" cm="1">
        <f t="array" aca="1" ref="X32" ca="1">_xlfn.NUMBERVALUE(_xlfn.XLOOKUP(1,(OFFSET(IN_Verknüpfungen!$O$4,0,0,IN_Verknüpfungen!$A$2,1)=$A32)*(OFFSET(IN_Verknüpfungen!$P$4,0,0,IN_Verknüpfungen!$A$2,1)=X$3+1),OFFSET(IN_Verknüpfungen!$F$4,0,0,IN_Verknüpfungen!$A$2,1)))-SUM($G32:W32)</f>
        <v>#N/A</v>
      </c>
      <c r="Y32" s="70" t="e" cm="1">
        <f t="array" aca="1" ref="Y32" ca="1">_xlfn.NUMBERVALUE(_xlfn.XLOOKUP(1,(OFFSET(IN_Verknüpfungen!$O$4,0,0,IN_Verknüpfungen!$A$2,1)=$A32)*(OFFSET(IN_Verknüpfungen!$P$4,0,0,IN_Verknüpfungen!$A$2,1)=Z$3),OFFSET(IN_Verknüpfungen!$J$4,0,0,IN_Verknüpfungen!$A$2,1)))-SUM($G32:X32)</f>
        <v>#N/A</v>
      </c>
      <c r="Z32" s="70" t="e" cm="1">
        <f t="array" aca="1" ref="Z32" ca="1">_xlfn.NUMBERVALUE(_xlfn.XLOOKUP(1,(OFFSET(IN_Verknüpfungen!$O$4,0,0,IN_Verknüpfungen!$A$2,1)=$A32)*(OFFSET(IN_Verknüpfungen!$P$4,0,0,IN_Verknüpfungen!$A$2,1)=Z$3+1),OFFSET(IN_Verknüpfungen!$F$4,0,0,IN_Verknüpfungen!$A$2,1)))-SUM($G32:Y32)</f>
        <v>#N/A</v>
      </c>
      <c r="AA32" s="70" t="e" cm="1">
        <f t="array" aca="1" ref="AA32" ca="1">_xlfn.NUMBERVALUE(_xlfn.XLOOKUP(1,(OFFSET(IN_Verknüpfungen!$O$4,0,0,IN_Verknüpfungen!$A$2,1)=$A32)*(OFFSET(IN_Verknüpfungen!$P$4,0,0,IN_Verknüpfungen!$A$2,1)=AB$3),OFFSET(IN_Verknüpfungen!$J$4,0,0,IN_Verknüpfungen!$A$2,1)))-SUM($G32:Z32)</f>
        <v>#N/A</v>
      </c>
      <c r="AB32" s="70" t="e" cm="1">
        <f t="array" aca="1" ref="AB32" ca="1">_xlfn.NUMBERVALUE(_xlfn.XLOOKUP(1,(OFFSET(IN_Verknüpfungen!$O$4,0,0,IN_Verknüpfungen!$A$2,1)=$A32)*(OFFSET(IN_Verknüpfungen!$P$4,0,0,IN_Verknüpfungen!$A$2,1)=AB$3+1),OFFSET(IN_Verknüpfungen!$F$4,0,0,IN_Verknüpfungen!$A$2,1)))-SUM($G32:AA32)</f>
        <v>#N/A</v>
      </c>
    </row>
    <row r="33" spans="1:28" x14ac:dyDescent="0.2">
      <c r="A33" s="56" t="str">
        <f ca="1"/>
        <v>Composition 30</v>
      </c>
      <c r="B33" s="55" t="str" cm="1">
        <f t="array" aca="1" ref="B33" ca="1">IF(A33&lt;&gt;"",_xlfn.XLOOKUP(Laufwege!A33,OFFSET(IN_Verknüpfungen!L$4,0,0,IN_Verknüpfungen!A$2,1),OFFSET(IN_Verknüpfungen!N$4,0,0,IN_Verknüpfungen!A$2,1),""),"")</f>
        <v>146-3.2</v>
      </c>
      <c r="C33" s="55">
        <f ca="1">IF(A33&lt;&gt;"",SUMIFS(OFFSET(IN_Verknüpfungen!M$4,0,0,IN_Verknüpfungen!A$2,1),OFFSET(IN_Verknüpfungen!O$4,0,0,IN_Verknüpfungen!A$2,1),Laufwege!A33),0)</f>
        <v>313209</v>
      </c>
      <c r="D33" s="55" cm="1">
        <f t="array" aca="1" ref="D33" ca="1">IF(B33&lt;&gt;"",_xlfn.XLOOKUP(B33,OFFSET(IN_Stammdaten!$A$4,0,0,IN_Stammdaten!$A$2,1),OFFSET(IN_Stammdaten!$C$4,0,0,IN_Stammdaten!$A$2,1),""),"")</f>
        <v>0</v>
      </c>
      <c r="E33" s="55" t="str">
        <f t="shared" ca="1" si="0"/>
        <v>nein</v>
      </c>
      <c r="F33" s="69" t="str">
        <f t="shared" ca="1" si="1"/>
        <v>Composition 30 (146-3.2)</v>
      </c>
      <c r="G33" s="70" cm="1">
        <f t="array" aca="1" ref="G33" ca="1">_xlfn.NUMBERVALUE(_xlfn.XLOOKUP(A33,OFFSET(IN_Verknüpfungen!$L$4,0,0,IN_Verknüpfungen!$A$2,1),OFFSET(IN_Verknüpfungen!$Q$4,0,0,IN_Verknüpfungen!$A$2,1)))</f>
        <v>0.22688657407407409</v>
      </c>
      <c r="H33" s="70" cm="1">
        <f t="array" aca="1" ref="H33" ca="1">_xlfn.NUMBERVALUE(_xlfn.XLOOKUP(A33,OFFSET(IN_Verknüpfungen!$L$4,0,0,IN_Verknüpfungen!$A$2,1),OFFSET(IN_Verknüpfungen!$F$4,0,0,IN_Verknüpfungen!$A$2,1)))-G33</f>
        <v>6.1597222222222192E-2</v>
      </c>
      <c r="I33" s="70" cm="1">
        <f t="array" aca="1" ref="I33" ca="1">_xlfn.NUMBERVALUE(_xlfn.XLOOKUP(1,(OFFSET(IN_Verknüpfungen!$O$4,0,0,IN_Verknüpfungen!$A$2,1)=$A33)*(OFFSET(IN_Verknüpfungen!$P$4,0,0,IN_Verknüpfungen!$A$2,1)=J$3),OFFSET(IN_Verknüpfungen!$J$4,0,0,IN_Verknüpfungen!$A$2,1)))-SUM($G33:H33)</f>
        <v>3.2835648148148155E-2</v>
      </c>
      <c r="J33" s="70" cm="1">
        <f t="array" aca="1" ref="J33" ca="1">_xlfn.NUMBERVALUE(_xlfn.XLOOKUP(1,(OFFSET(IN_Verknüpfungen!$O$4,0,0,IN_Verknüpfungen!$A$2,1)=$A33)*(OFFSET(IN_Verknüpfungen!$P$4,0,0,IN_Verknüpfungen!$A$2,1)=J$3+1),OFFSET(IN_Verknüpfungen!$F$4,0,0,IN_Verknüpfungen!$A$2,1)))-SUM($G33:I33)</f>
        <v>4.5671296296296293E-2</v>
      </c>
      <c r="K33" s="70" cm="1">
        <f t="array" aca="1" ref="K33" ca="1">_xlfn.NUMBERVALUE(_xlfn.XLOOKUP(1,(OFFSET(IN_Verknüpfungen!$O$4,0,0,IN_Verknüpfungen!$A$2,1)=$A33)*(OFFSET(IN_Verknüpfungen!$P$4,0,0,IN_Verknüpfungen!$A$2,1)=L$3),OFFSET(IN_Verknüpfungen!$J$4,0,0,IN_Verknüpfungen!$A$2,1)))-SUM($G33:J33)</f>
        <v>1.9351851851851842E-2</v>
      </c>
      <c r="L33" s="70" cm="1">
        <f t="array" aca="1" ref="L33" ca="1">_xlfn.NUMBERVALUE(_xlfn.XLOOKUP(1,(OFFSET(IN_Verknüpfungen!$O$4,0,0,IN_Verknüpfungen!$A$2,1)=$A33)*(OFFSET(IN_Verknüpfungen!$P$4,0,0,IN_Verknüpfungen!$A$2,1)=L$3+1),OFFSET(IN_Verknüpfungen!$F$4,0,0,IN_Verknüpfungen!$A$2,1)))-SUM($G33:K33)</f>
        <v>4.5405092592592622E-2</v>
      </c>
      <c r="M33" s="70" cm="1">
        <f t="array" aca="1" ref="M33" ca="1">_xlfn.NUMBERVALUE(_xlfn.XLOOKUP(1,(OFFSET(IN_Verknüpfungen!$O$4,0,0,IN_Verknüpfungen!$A$2,1)=$A33)*(OFFSET(IN_Verknüpfungen!$P$4,0,0,IN_Verknüpfungen!$A$2,1)=N$3),OFFSET(IN_Verknüpfungen!$J$4,0,0,IN_Verknüpfungen!$A$2,1)))-SUM($G33:L33)</f>
        <v>2.7060185185185159E-2</v>
      </c>
      <c r="N33" s="70" cm="1">
        <f t="array" aca="1" ref="N33" ca="1">_xlfn.NUMBERVALUE(_xlfn.XLOOKUP(1,(OFFSET(IN_Verknüpfungen!$O$4,0,0,IN_Verknüpfungen!$A$2,1)=$A33)*(OFFSET(IN_Verknüpfungen!$P$4,0,0,IN_Verknüpfungen!$A$2,1)=N$3+1),OFFSET(IN_Verknüpfungen!$F$4,0,0,IN_Verknüpfungen!$A$2,1)))-SUM($G33:M33)</f>
        <v>4.4652777777777819E-2</v>
      </c>
      <c r="O33" s="70" cm="1">
        <f t="array" aca="1" ref="O33" ca="1">_xlfn.NUMBERVALUE(_xlfn.XLOOKUP(1,(OFFSET(IN_Verknüpfungen!$O$4,0,0,IN_Verknüpfungen!$A$2,1)=$A33)*(OFFSET(IN_Verknüpfungen!$P$4,0,0,IN_Verknüpfungen!$A$2,1)=P$3),OFFSET(IN_Verknüpfungen!$J$4,0,0,IN_Verknüpfungen!$A$2,1)))-SUM($G33:N33)</f>
        <v>3.0185185185185204E-2</v>
      </c>
      <c r="P33" s="70" cm="1">
        <f t="array" aca="1" ref="P33" ca="1">_xlfn.NUMBERVALUE(_xlfn.XLOOKUP(1,(OFFSET(IN_Verknüpfungen!$O$4,0,0,IN_Verknüpfungen!$A$2,1)=$A33)*(OFFSET(IN_Verknüpfungen!$P$4,0,0,IN_Verknüpfungen!$A$2,1)=P$3+1),OFFSET(IN_Verknüpfungen!$F$4,0,0,IN_Verknüpfungen!$A$2,1)))-SUM($G33:O33)</f>
        <v>4.6504629629629535E-2</v>
      </c>
      <c r="Q33" s="70" cm="1">
        <f t="array" aca="1" ref="Q33" ca="1">_xlfn.NUMBERVALUE(_xlfn.XLOOKUP(1,(OFFSET(IN_Verknüpfungen!$O$4,0,0,IN_Verknüpfungen!$A$2,1)=$A33)*(OFFSET(IN_Verknüpfungen!$P$4,0,0,IN_Verknüpfungen!$A$2,1)=R$3),OFFSET(IN_Verknüpfungen!$J$4,0,0,IN_Verknüpfungen!$A$2,1)))-SUM($G33:P33)</f>
        <v>3.2835648148148211E-2</v>
      </c>
      <c r="R33" s="70" t="e" cm="1">
        <f t="array" aca="1" ref="R33" ca="1">_xlfn.NUMBERVALUE(_xlfn.XLOOKUP(1,(OFFSET(IN_Verknüpfungen!$O$4,0,0,IN_Verknüpfungen!$A$2,1)=$A33)*(OFFSET(IN_Verknüpfungen!$P$4,0,0,IN_Verknüpfungen!$A$2,1)=R$3+1),OFFSET(IN_Verknüpfungen!$F$4,0,0,IN_Verknüpfungen!$A$2,1)))-SUM($G33:Q33)</f>
        <v>#N/A</v>
      </c>
      <c r="S33" s="70" t="e" cm="1">
        <f t="array" aca="1" ref="S33" ca="1">_xlfn.NUMBERVALUE(_xlfn.XLOOKUP(1,(OFFSET(IN_Verknüpfungen!$O$4,0,0,IN_Verknüpfungen!$A$2,1)=$A33)*(OFFSET(IN_Verknüpfungen!$P$4,0,0,IN_Verknüpfungen!$A$2,1)=T$3),OFFSET(IN_Verknüpfungen!$J$4,0,0,IN_Verknüpfungen!$A$2,1)))-SUM($G33:R33)</f>
        <v>#N/A</v>
      </c>
      <c r="T33" s="70" t="e" cm="1">
        <f t="array" aca="1" ref="T33" ca="1">_xlfn.NUMBERVALUE(_xlfn.XLOOKUP(1,(OFFSET(IN_Verknüpfungen!$O$4,0,0,IN_Verknüpfungen!$A$2,1)=$A33)*(OFFSET(IN_Verknüpfungen!$P$4,0,0,IN_Verknüpfungen!$A$2,1)=T$3+1),OFFSET(IN_Verknüpfungen!$F$4,0,0,IN_Verknüpfungen!$A$2,1)))-SUM($G33:S33)</f>
        <v>#N/A</v>
      </c>
      <c r="U33" s="70" t="e" cm="1">
        <f t="array" aca="1" ref="U33" ca="1">_xlfn.NUMBERVALUE(_xlfn.XLOOKUP(1,(OFFSET(IN_Verknüpfungen!$O$4,0,0,IN_Verknüpfungen!$A$2,1)=$A33)*(OFFSET(IN_Verknüpfungen!$P$4,0,0,IN_Verknüpfungen!$A$2,1)=V$3),OFFSET(IN_Verknüpfungen!$J$4,0,0,IN_Verknüpfungen!$A$2,1)))-SUM($G33:T33)</f>
        <v>#N/A</v>
      </c>
      <c r="V33" s="70" t="e" cm="1">
        <f t="array" aca="1" ref="V33" ca="1">_xlfn.NUMBERVALUE(_xlfn.XLOOKUP(1,(OFFSET(IN_Verknüpfungen!$O$4,0,0,IN_Verknüpfungen!$A$2,1)=$A33)*(OFFSET(IN_Verknüpfungen!$P$4,0,0,IN_Verknüpfungen!$A$2,1)=V$3+1),OFFSET(IN_Verknüpfungen!$F$4,0,0,IN_Verknüpfungen!$A$2,1)))-SUM($G33:U33)</f>
        <v>#N/A</v>
      </c>
      <c r="W33" s="70" t="e" cm="1">
        <f t="array" aca="1" ref="W33" ca="1">_xlfn.NUMBERVALUE(_xlfn.XLOOKUP(1,(OFFSET(IN_Verknüpfungen!$O$4,0,0,IN_Verknüpfungen!$A$2,1)=$A33)*(OFFSET(IN_Verknüpfungen!$P$4,0,0,IN_Verknüpfungen!$A$2,1)=X$3),OFFSET(IN_Verknüpfungen!$J$4,0,0,IN_Verknüpfungen!$A$2,1)))-SUM($G33:V33)</f>
        <v>#N/A</v>
      </c>
      <c r="X33" s="70" t="e" cm="1">
        <f t="array" aca="1" ref="X33" ca="1">_xlfn.NUMBERVALUE(_xlfn.XLOOKUP(1,(OFFSET(IN_Verknüpfungen!$O$4,0,0,IN_Verknüpfungen!$A$2,1)=$A33)*(OFFSET(IN_Verknüpfungen!$P$4,0,0,IN_Verknüpfungen!$A$2,1)=X$3+1),OFFSET(IN_Verknüpfungen!$F$4,0,0,IN_Verknüpfungen!$A$2,1)))-SUM($G33:W33)</f>
        <v>#N/A</v>
      </c>
      <c r="Y33" s="70" t="e" cm="1">
        <f t="array" aca="1" ref="Y33" ca="1">_xlfn.NUMBERVALUE(_xlfn.XLOOKUP(1,(OFFSET(IN_Verknüpfungen!$O$4,0,0,IN_Verknüpfungen!$A$2,1)=$A33)*(OFFSET(IN_Verknüpfungen!$P$4,0,0,IN_Verknüpfungen!$A$2,1)=Z$3),OFFSET(IN_Verknüpfungen!$J$4,0,0,IN_Verknüpfungen!$A$2,1)))-SUM($G33:X33)</f>
        <v>#N/A</v>
      </c>
      <c r="Z33" s="70" t="e" cm="1">
        <f t="array" aca="1" ref="Z33" ca="1">_xlfn.NUMBERVALUE(_xlfn.XLOOKUP(1,(OFFSET(IN_Verknüpfungen!$O$4,0,0,IN_Verknüpfungen!$A$2,1)=$A33)*(OFFSET(IN_Verknüpfungen!$P$4,0,0,IN_Verknüpfungen!$A$2,1)=Z$3+1),OFFSET(IN_Verknüpfungen!$F$4,0,0,IN_Verknüpfungen!$A$2,1)))-SUM($G33:Y33)</f>
        <v>#N/A</v>
      </c>
      <c r="AA33" s="70" t="e" cm="1">
        <f t="array" aca="1" ref="AA33" ca="1">_xlfn.NUMBERVALUE(_xlfn.XLOOKUP(1,(OFFSET(IN_Verknüpfungen!$O$4,0,0,IN_Verknüpfungen!$A$2,1)=$A33)*(OFFSET(IN_Verknüpfungen!$P$4,0,0,IN_Verknüpfungen!$A$2,1)=AB$3),OFFSET(IN_Verknüpfungen!$J$4,0,0,IN_Verknüpfungen!$A$2,1)))-SUM($G33:Z33)</f>
        <v>#N/A</v>
      </c>
      <c r="AB33" s="70" t="e" cm="1">
        <f t="array" aca="1" ref="AB33" ca="1">_xlfn.NUMBERVALUE(_xlfn.XLOOKUP(1,(OFFSET(IN_Verknüpfungen!$O$4,0,0,IN_Verknüpfungen!$A$2,1)=$A33)*(OFFSET(IN_Verknüpfungen!$P$4,0,0,IN_Verknüpfungen!$A$2,1)=AB$3+1),OFFSET(IN_Verknüpfungen!$F$4,0,0,IN_Verknüpfungen!$A$2,1)))-SUM($G33:AA33)</f>
        <v>#N/A</v>
      </c>
    </row>
    <row r="34" spans="1:28" x14ac:dyDescent="0.2">
      <c r="A34" s="56" t="str">
        <f ca="1"/>
        <v>Composition 31</v>
      </c>
      <c r="B34" s="55" t="str" cm="1">
        <f t="array" aca="1" ref="B34" ca="1">IF(A34&lt;&gt;"",_xlfn.XLOOKUP(Laufwege!A34,OFFSET(IN_Verknüpfungen!L$4,0,0,IN_Verknüpfungen!A$2,1),OFFSET(IN_Verknüpfungen!N$4,0,0,IN_Verknüpfungen!A$2,1),""),"")</f>
        <v>462-1.0</v>
      </c>
      <c r="C34" s="55">
        <f ca="1">IF(A34&lt;&gt;"",SUMIFS(OFFSET(IN_Verknüpfungen!M$4,0,0,IN_Verknüpfungen!A$2,1),OFFSET(IN_Verknüpfungen!O$4,0,0,IN_Verknüpfungen!A$2,1),Laufwege!A34),0)</f>
        <v>483168</v>
      </c>
      <c r="D34" s="55" cm="1">
        <f t="array" aca="1" ref="D34" ca="1">IF(B34&lt;&gt;"",_xlfn.XLOOKUP(B34,OFFSET(IN_Stammdaten!$A$4,0,0,IN_Stammdaten!$A$2,1),OFFSET(IN_Stammdaten!$C$4,0,0,IN_Stammdaten!$A$2,1),""),"")</f>
        <v>0</v>
      </c>
      <c r="E34" s="55" t="str">
        <f t="shared" ca="1" si="0"/>
        <v>nein</v>
      </c>
      <c r="F34" s="69" t="str">
        <f t="shared" ca="1" si="1"/>
        <v>Composition 31 (462-1.0)</v>
      </c>
      <c r="G34" s="70" cm="1">
        <f t="array" aca="1" ref="G34" ca="1">_xlfn.NUMBERVALUE(_xlfn.XLOOKUP(A34,OFFSET(IN_Verknüpfungen!$L$4,0,0,IN_Verknüpfungen!$A$2,1),OFFSET(IN_Verknüpfungen!$Q$4,0,0,IN_Verknüpfungen!$A$2,1)))</f>
        <v>0.19583333333333333</v>
      </c>
      <c r="H34" s="70" cm="1">
        <f t="array" aca="1" ref="H34" ca="1">_xlfn.NUMBERVALUE(_xlfn.XLOOKUP(A34,OFFSET(IN_Verknüpfungen!$L$4,0,0,IN_Verknüpfungen!$A$2,1),OFFSET(IN_Verknüpfungen!$F$4,0,0,IN_Verknüpfungen!$A$2,1)))-G34</f>
        <v>9.3402777777777807E-2</v>
      </c>
      <c r="I34" s="70" cm="1">
        <f t="array" aca="1" ref="I34" ca="1">_xlfn.NUMBERVALUE(_xlfn.XLOOKUP(1,(OFFSET(IN_Verknüpfungen!$O$4,0,0,IN_Verknüpfungen!$A$2,1)=$A34)*(OFFSET(IN_Verknüpfungen!$P$4,0,0,IN_Verknüpfungen!$A$2,1)=J$3),OFFSET(IN_Verknüpfungen!$J$4,0,0,IN_Verknüpfungen!$A$2,1)))-SUM($G34:H34)</f>
        <v>1.9699074074074063E-2</v>
      </c>
      <c r="J34" s="70" cm="1">
        <f t="array" aca="1" ref="J34" ca="1">_xlfn.NUMBERVALUE(_xlfn.XLOOKUP(1,(OFFSET(IN_Verknüpfungen!$O$4,0,0,IN_Verknüpfungen!$A$2,1)=$A34)*(OFFSET(IN_Verknüpfungen!$P$4,0,0,IN_Verknüpfungen!$A$2,1)=J$3+1),OFFSET(IN_Verknüpfungen!$F$4,0,0,IN_Verknüpfungen!$A$2,1)))-SUM($G34:I34)</f>
        <v>8.3414351851851809E-2</v>
      </c>
      <c r="K34" s="70" cm="1">
        <f t="array" aca="1" ref="K34" ca="1">_xlfn.NUMBERVALUE(_xlfn.XLOOKUP(1,(OFFSET(IN_Verknüpfungen!$O$4,0,0,IN_Verknüpfungen!$A$2,1)=$A34)*(OFFSET(IN_Verknüpfungen!$P$4,0,0,IN_Verknüpfungen!$A$2,1)=L$3),OFFSET(IN_Verknüpfungen!$J$4,0,0,IN_Verknüpfungen!$A$2,1)))-SUM($G34:J34)</f>
        <v>2.3622685185185233E-2</v>
      </c>
      <c r="L34" s="70" cm="1">
        <f t="array" aca="1" ref="L34" ca="1">_xlfn.NUMBERVALUE(_xlfn.XLOOKUP(1,(OFFSET(IN_Verknüpfungen!$O$4,0,0,IN_Verknüpfungen!$A$2,1)=$A34)*(OFFSET(IN_Verknüpfungen!$P$4,0,0,IN_Verknüpfungen!$A$2,1)=L$3+1),OFFSET(IN_Verknüpfungen!$F$4,0,0,IN_Verknüpfungen!$A$2,1)))-SUM($G34:K34)</f>
        <v>8.159722222222221E-2</v>
      </c>
      <c r="M34" s="70" cm="1">
        <f t="array" aca="1" ref="M34" ca="1">_xlfn.NUMBERVALUE(_xlfn.XLOOKUP(1,(OFFSET(IN_Verknüpfungen!$O$4,0,0,IN_Verknüpfungen!$A$2,1)=$A34)*(OFFSET(IN_Verknüpfungen!$P$4,0,0,IN_Verknüpfungen!$A$2,1)=N$3),OFFSET(IN_Verknüpfungen!$J$4,0,0,IN_Verknüpfungen!$A$2,1)))-SUM($G34:L34)</f>
        <v>1.9699074074074063E-2</v>
      </c>
      <c r="N34" s="70" t="e" cm="1">
        <f t="array" aca="1" ref="N34" ca="1">_xlfn.NUMBERVALUE(_xlfn.XLOOKUP(1,(OFFSET(IN_Verknüpfungen!$O$4,0,0,IN_Verknüpfungen!$A$2,1)=$A34)*(OFFSET(IN_Verknüpfungen!$P$4,0,0,IN_Verknüpfungen!$A$2,1)=N$3+1),OFFSET(IN_Verknüpfungen!$F$4,0,0,IN_Verknüpfungen!$A$2,1)))-SUM($G34:M34)</f>
        <v>#N/A</v>
      </c>
      <c r="O34" s="70" t="e" cm="1">
        <f t="array" aca="1" ref="O34" ca="1">_xlfn.NUMBERVALUE(_xlfn.XLOOKUP(1,(OFFSET(IN_Verknüpfungen!$O$4,0,0,IN_Verknüpfungen!$A$2,1)=$A34)*(OFFSET(IN_Verknüpfungen!$P$4,0,0,IN_Verknüpfungen!$A$2,1)=P$3),OFFSET(IN_Verknüpfungen!$J$4,0,0,IN_Verknüpfungen!$A$2,1)))-SUM($G34:N34)</f>
        <v>#N/A</v>
      </c>
      <c r="P34" s="70" t="e" cm="1">
        <f t="array" aca="1" ref="P34" ca="1">_xlfn.NUMBERVALUE(_xlfn.XLOOKUP(1,(OFFSET(IN_Verknüpfungen!$O$4,0,0,IN_Verknüpfungen!$A$2,1)=$A34)*(OFFSET(IN_Verknüpfungen!$P$4,0,0,IN_Verknüpfungen!$A$2,1)=P$3+1),OFFSET(IN_Verknüpfungen!$F$4,0,0,IN_Verknüpfungen!$A$2,1)))-SUM($G34:O34)</f>
        <v>#N/A</v>
      </c>
      <c r="Q34" s="70" t="e" cm="1">
        <f t="array" aca="1" ref="Q34" ca="1">_xlfn.NUMBERVALUE(_xlfn.XLOOKUP(1,(OFFSET(IN_Verknüpfungen!$O$4,0,0,IN_Verknüpfungen!$A$2,1)=$A34)*(OFFSET(IN_Verknüpfungen!$P$4,0,0,IN_Verknüpfungen!$A$2,1)=R$3),OFFSET(IN_Verknüpfungen!$J$4,0,0,IN_Verknüpfungen!$A$2,1)))-SUM($G34:P34)</f>
        <v>#N/A</v>
      </c>
      <c r="R34" s="70" t="e" cm="1">
        <f t="array" aca="1" ref="R34" ca="1">_xlfn.NUMBERVALUE(_xlfn.XLOOKUP(1,(OFFSET(IN_Verknüpfungen!$O$4,0,0,IN_Verknüpfungen!$A$2,1)=$A34)*(OFFSET(IN_Verknüpfungen!$P$4,0,0,IN_Verknüpfungen!$A$2,1)=R$3+1),OFFSET(IN_Verknüpfungen!$F$4,0,0,IN_Verknüpfungen!$A$2,1)))-SUM($G34:Q34)</f>
        <v>#N/A</v>
      </c>
      <c r="S34" s="70" t="e" cm="1">
        <f t="array" aca="1" ref="S34" ca="1">_xlfn.NUMBERVALUE(_xlfn.XLOOKUP(1,(OFFSET(IN_Verknüpfungen!$O$4,0,0,IN_Verknüpfungen!$A$2,1)=$A34)*(OFFSET(IN_Verknüpfungen!$P$4,0,0,IN_Verknüpfungen!$A$2,1)=T$3),OFFSET(IN_Verknüpfungen!$J$4,0,0,IN_Verknüpfungen!$A$2,1)))-SUM($G34:R34)</f>
        <v>#N/A</v>
      </c>
      <c r="T34" s="70" t="e" cm="1">
        <f t="array" aca="1" ref="T34" ca="1">_xlfn.NUMBERVALUE(_xlfn.XLOOKUP(1,(OFFSET(IN_Verknüpfungen!$O$4,0,0,IN_Verknüpfungen!$A$2,1)=$A34)*(OFFSET(IN_Verknüpfungen!$P$4,0,0,IN_Verknüpfungen!$A$2,1)=T$3+1),OFFSET(IN_Verknüpfungen!$F$4,0,0,IN_Verknüpfungen!$A$2,1)))-SUM($G34:S34)</f>
        <v>#N/A</v>
      </c>
      <c r="U34" s="70" t="e" cm="1">
        <f t="array" aca="1" ref="U34" ca="1">_xlfn.NUMBERVALUE(_xlfn.XLOOKUP(1,(OFFSET(IN_Verknüpfungen!$O$4,0,0,IN_Verknüpfungen!$A$2,1)=$A34)*(OFFSET(IN_Verknüpfungen!$P$4,0,0,IN_Verknüpfungen!$A$2,1)=V$3),OFFSET(IN_Verknüpfungen!$J$4,0,0,IN_Verknüpfungen!$A$2,1)))-SUM($G34:T34)</f>
        <v>#N/A</v>
      </c>
      <c r="V34" s="70" t="e" cm="1">
        <f t="array" aca="1" ref="V34" ca="1">_xlfn.NUMBERVALUE(_xlfn.XLOOKUP(1,(OFFSET(IN_Verknüpfungen!$O$4,0,0,IN_Verknüpfungen!$A$2,1)=$A34)*(OFFSET(IN_Verknüpfungen!$P$4,0,0,IN_Verknüpfungen!$A$2,1)=V$3+1),OFFSET(IN_Verknüpfungen!$F$4,0,0,IN_Verknüpfungen!$A$2,1)))-SUM($G34:U34)</f>
        <v>#N/A</v>
      </c>
      <c r="W34" s="70" t="e" cm="1">
        <f t="array" aca="1" ref="W34" ca="1">_xlfn.NUMBERVALUE(_xlfn.XLOOKUP(1,(OFFSET(IN_Verknüpfungen!$O$4,0,0,IN_Verknüpfungen!$A$2,1)=$A34)*(OFFSET(IN_Verknüpfungen!$P$4,0,0,IN_Verknüpfungen!$A$2,1)=X$3),OFFSET(IN_Verknüpfungen!$J$4,0,0,IN_Verknüpfungen!$A$2,1)))-SUM($G34:V34)</f>
        <v>#N/A</v>
      </c>
      <c r="X34" s="70" t="e" cm="1">
        <f t="array" aca="1" ref="X34" ca="1">_xlfn.NUMBERVALUE(_xlfn.XLOOKUP(1,(OFFSET(IN_Verknüpfungen!$O$4,0,0,IN_Verknüpfungen!$A$2,1)=$A34)*(OFFSET(IN_Verknüpfungen!$P$4,0,0,IN_Verknüpfungen!$A$2,1)=X$3+1),OFFSET(IN_Verknüpfungen!$F$4,0,0,IN_Verknüpfungen!$A$2,1)))-SUM($G34:W34)</f>
        <v>#N/A</v>
      </c>
      <c r="Y34" s="70" t="e" cm="1">
        <f t="array" aca="1" ref="Y34" ca="1">_xlfn.NUMBERVALUE(_xlfn.XLOOKUP(1,(OFFSET(IN_Verknüpfungen!$O$4,0,0,IN_Verknüpfungen!$A$2,1)=$A34)*(OFFSET(IN_Verknüpfungen!$P$4,0,0,IN_Verknüpfungen!$A$2,1)=Z$3),OFFSET(IN_Verknüpfungen!$J$4,0,0,IN_Verknüpfungen!$A$2,1)))-SUM($G34:X34)</f>
        <v>#N/A</v>
      </c>
      <c r="Z34" s="70" t="e" cm="1">
        <f t="array" aca="1" ref="Z34" ca="1">_xlfn.NUMBERVALUE(_xlfn.XLOOKUP(1,(OFFSET(IN_Verknüpfungen!$O$4,0,0,IN_Verknüpfungen!$A$2,1)=$A34)*(OFFSET(IN_Verknüpfungen!$P$4,0,0,IN_Verknüpfungen!$A$2,1)=Z$3+1),OFFSET(IN_Verknüpfungen!$F$4,0,0,IN_Verknüpfungen!$A$2,1)))-SUM($G34:Y34)</f>
        <v>#N/A</v>
      </c>
      <c r="AA34" s="70" t="e" cm="1">
        <f t="array" aca="1" ref="AA34" ca="1">_xlfn.NUMBERVALUE(_xlfn.XLOOKUP(1,(OFFSET(IN_Verknüpfungen!$O$4,0,0,IN_Verknüpfungen!$A$2,1)=$A34)*(OFFSET(IN_Verknüpfungen!$P$4,0,0,IN_Verknüpfungen!$A$2,1)=AB$3),OFFSET(IN_Verknüpfungen!$J$4,0,0,IN_Verknüpfungen!$A$2,1)))-SUM($G34:Z34)</f>
        <v>#N/A</v>
      </c>
      <c r="AB34" s="70" t="e" cm="1">
        <f t="array" aca="1" ref="AB34" ca="1">_xlfn.NUMBERVALUE(_xlfn.XLOOKUP(1,(OFFSET(IN_Verknüpfungen!$O$4,0,0,IN_Verknüpfungen!$A$2,1)=$A34)*(OFFSET(IN_Verknüpfungen!$P$4,0,0,IN_Verknüpfungen!$A$2,1)=AB$3+1),OFFSET(IN_Verknüpfungen!$F$4,0,0,IN_Verknüpfungen!$A$2,1)))-SUM($G34:AA34)</f>
        <v>#N/A</v>
      </c>
    </row>
    <row r="35" spans="1:28" x14ac:dyDescent="0.2">
      <c r="A35" s="56" t="str">
        <f ca="1"/>
        <v>Composition 32</v>
      </c>
      <c r="B35" s="55" t="str" cm="1">
        <f t="array" aca="1" ref="B35" ca="1">IF(A35&lt;&gt;"",_xlfn.XLOOKUP(Laufwege!A35,OFFSET(IN_Verknüpfungen!L$4,0,0,IN_Verknüpfungen!A$2,1),OFFSET(IN_Verknüpfungen!N$4,0,0,IN_Verknüpfungen!A$2,1),""),"")</f>
        <v>146-3.2</v>
      </c>
      <c r="C35" s="55">
        <f ca="1">IF(A35&lt;&gt;"",SUMIFS(OFFSET(IN_Verknüpfungen!M$4,0,0,IN_Verknüpfungen!A$2,1),OFFSET(IN_Verknüpfungen!O$4,0,0,IN_Verknüpfungen!A$2,1),Laufwege!A35),0)</f>
        <v>313209</v>
      </c>
      <c r="D35" s="55" cm="1">
        <f t="array" aca="1" ref="D35" ca="1">IF(B35&lt;&gt;"",_xlfn.XLOOKUP(B35,OFFSET(IN_Stammdaten!$A$4,0,0,IN_Stammdaten!$A$2,1),OFFSET(IN_Stammdaten!$C$4,0,0,IN_Stammdaten!$A$2,1),""),"")</f>
        <v>0</v>
      </c>
      <c r="E35" s="55" t="str">
        <f t="shared" ca="1" si="0"/>
        <v>nein</v>
      </c>
      <c r="F35" s="69" t="str">
        <f t="shared" ca="1" si="1"/>
        <v>Composition 32 (146-3.2)</v>
      </c>
      <c r="G35" s="70" cm="1">
        <f t="array" aca="1" ref="G35" ca="1">_xlfn.NUMBERVALUE(_xlfn.XLOOKUP(A35,OFFSET(IN_Verknüpfungen!$L$4,0,0,IN_Verknüpfungen!$A$2,1),OFFSET(IN_Verknüpfungen!$Q$4,0,0,IN_Verknüpfungen!$A$2,1)))</f>
        <v>0.23694444444444446</v>
      </c>
      <c r="H35" s="70" cm="1">
        <f t="array" aca="1" ref="H35" ca="1">_xlfn.NUMBERVALUE(_xlfn.XLOOKUP(A35,OFFSET(IN_Verknüpfungen!$L$4,0,0,IN_Verknüpfungen!$A$2,1),OFFSET(IN_Verknüpfungen!$F$4,0,0,IN_Verknüpfungen!$A$2,1)))-G35</f>
        <v>5.8182870370370343E-2</v>
      </c>
      <c r="I35" s="70" cm="1">
        <f t="array" aca="1" ref="I35" ca="1">_xlfn.NUMBERVALUE(_xlfn.XLOOKUP(1,(OFFSET(IN_Verknüpfungen!$O$4,0,0,IN_Verknüpfungen!$A$2,1)=$A35)*(OFFSET(IN_Verknüpfungen!$P$4,0,0,IN_Verknüpfungen!$A$2,1)=J$3),OFFSET(IN_Verknüpfungen!$J$4,0,0,IN_Verknüpfungen!$A$2,1)))-SUM($G35:H35)</f>
        <v>3.0185185185185204E-2</v>
      </c>
      <c r="J35" s="70" cm="1">
        <f t="array" aca="1" ref="J35" ca="1">_xlfn.NUMBERVALUE(_xlfn.XLOOKUP(1,(OFFSET(IN_Verknüpfungen!$O$4,0,0,IN_Verknüpfungen!$A$2,1)=$A35)*(OFFSET(IN_Verknüpfungen!$P$4,0,0,IN_Verknüpfungen!$A$2,1)=J$3+1),OFFSET(IN_Verknüpfungen!$F$4,0,0,IN_Verknüpfungen!$A$2,1)))-SUM($G35:I35)</f>
        <v>4.6504629629629646E-2</v>
      </c>
      <c r="K35" s="70" cm="1">
        <f t="array" aca="1" ref="K35" ca="1">_xlfn.NUMBERVALUE(_xlfn.XLOOKUP(1,(OFFSET(IN_Verknüpfungen!$O$4,0,0,IN_Verknüpfungen!$A$2,1)=$A35)*(OFFSET(IN_Verknüpfungen!$P$4,0,0,IN_Verknüpfungen!$A$2,1)=L$3),OFFSET(IN_Verknüpfungen!$J$4,0,0,IN_Verknüpfungen!$A$2,1)))-SUM($G35:J35)</f>
        <v>3.28356481481481E-2</v>
      </c>
      <c r="L35" s="70" cm="1">
        <f t="array" aca="1" ref="L35" ca="1">_xlfn.NUMBERVALUE(_xlfn.XLOOKUP(1,(OFFSET(IN_Verknüpfungen!$O$4,0,0,IN_Verknüpfungen!$A$2,1)=$A35)*(OFFSET(IN_Verknüpfungen!$P$4,0,0,IN_Verknüpfungen!$A$2,1)=L$3+1),OFFSET(IN_Verknüpfungen!$F$4,0,0,IN_Verknüpfungen!$A$2,1)))-SUM($G35:K35)</f>
        <v>4.5671296296296349E-2</v>
      </c>
      <c r="M35" s="70" cm="1">
        <f t="array" aca="1" ref="M35" ca="1">_xlfn.NUMBERVALUE(_xlfn.XLOOKUP(1,(OFFSET(IN_Verknüpfungen!$O$4,0,0,IN_Verknüpfungen!$A$2,1)=$A35)*(OFFSET(IN_Verknüpfungen!$P$4,0,0,IN_Verknüpfungen!$A$2,1)=N$3),OFFSET(IN_Verknüpfungen!$J$4,0,0,IN_Verknüpfungen!$A$2,1)))-SUM($G35:L35)</f>
        <v>1.9351851851851842E-2</v>
      </c>
      <c r="N35" s="70" cm="1">
        <f t="array" aca="1" ref="N35" ca="1">_xlfn.NUMBERVALUE(_xlfn.XLOOKUP(1,(OFFSET(IN_Verknüpfungen!$O$4,0,0,IN_Verknüpfungen!$A$2,1)=$A35)*(OFFSET(IN_Verknüpfungen!$P$4,0,0,IN_Verknüpfungen!$A$2,1)=N$3+1),OFFSET(IN_Verknüpfungen!$F$4,0,0,IN_Verknüpfungen!$A$2,1)))-SUM($G35:M35)</f>
        <v>4.5405092592592566E-2</v>
      </c>
      <c r="O35" s="70" cm="1">
        <f t="array" aca="1" ref="O35" ca="1">_xlfn.NUMBERVALUE(_xlfn.XLOOKUP(1,(OFFSET(IN_Verknüpfungen!$O$4,0,0,IN_Verknüpfungen!$A$2,1)=$A35)*(OFFSET(IN_Verknüpfungen!$P$4,0,0,IN_Verknüpfungen!$A$2,1)=P$3),OFFSET(IN_Verknüpfungen!$J$4,0,0,IN_Verknüpfungen!$A$2,1)))-SUM($G35:N35)</f>
        <v>2.7060185185185159E-2</v>
      </c>
      <c r="P35" s="70" cm="1">
        <f t="array" aca="1" ref="P35" ca="1">_xlfn.NUMBERVALUE(_xlfn.XLOOKUP(1,(OFFSET(IN_Verknüpfungen!$O$4,0,0,IN_Verknüpfungen!$A$2,1)=$A35)*(OFFSET(IN_Verknüpfungen!$P$4,0,0,IN_Verknüpfungen!$A$2,1)=P$3+1),OFFSET(IN_Verknüpfungen!$F$4,0,0,IN_Verknüpfungen!$A$2,1)))-SUM($G35:O35)</f>
        <v>4.4652777777777763E-2</v>
      </c>
      <c r="Q35" s="70" cm="1">
        <f t="array" aca="1" ref="Q35" ca="1">_xlfn.NUMBERVALUE(_xlfn.XLOOKUP(1,(OFFSET(IN_Verknüpfungen!$O$4,0,0,IN_Verknüpfungen!$A$2,1)=$A35)*(OFFSET(IN_Verknüpfungen!$P$4,0,0,IN_Verknüpfungen!$A$2,1)=R$3),OFFSET(IN_Verknüpfungen!$J$4,0,0,IN_Verknüpfungen!$A$2,1)))-SUM($G35:P35)</f>
        <v>3.0185185185185204E-2</v>
      </c>
      <c r="R35" s="70" t="e" cm="1">
        <f t="array" aca="1" ref="R35" ca="1">_xlfn.NUMBERVALUE(_xlfn.XLOOKUP(1,(OFFSET(IN_Verknüpfungen!$O$4,0,0,IN_Verknüpfungen!$A$2,1)=$A35)*(OFFSET(IN_Verknüpfungen!$P$4,0,0,IN_Verknüpfungen!$A$2,1)=R$3+1),OFFSET(IN_Verknüpfungen!$F$4,0,0,IN_Verknüpfungen!$A$2,1)))-SUM($G35:Q35)</f>
        <v>#N/A</v>
      </c>
      <c r="S35" s="70" t="e" cm="1">
        <f t="array" aca="1" ref="S35" ca="1">_xlfn.NUMBERVALUE(_xlfn.XLOOKUP(1,(OFFSET(IN_Verknüpfungen!$O$4,0,0,IN_Verknüpfungen!$A$2,1)=$A35)*(OFFSET(IN_Verknüpfungen!$P$4,0,0,IN_Verknüpfungen!$A$2,1)=T$3),OFFSET(IN_Verknüpfungen!$J$4,0,0,IN_Verknüpfungen!$A$2,1)))-SUM($G35:R35)</f>
        <v>#N/A</v>
      </c>
      <c r="T35" s="70" t="e" cm="1">
        <f t="array" aca="1" ref="T35" ca="1">_xlfn.NUMBERVALUE(_xlfn.XLOOKUP(1,(OFFSET(IN_Verknüpfungen!$O$4,0,0,IN_Verknüpfungen!$A$2,1)=$A35)*(OFFSET(IN_Verknüpfungen!$P$4,0,0,IN_Verknüpfungen!$A$2,1)=T$3+1),OFFSET(IN_Verknüpfungen!$F$4,0,0,IN_Verknüpfungen!$A$2,1)))-SUM($G35:S35)</f>
        <v>#N/A</v>
      </c>
      <c r="U35" s="70" t="e" cm="1">
        <f t="array" aca="1" ref="U35" ca="1">_xlfn.NUMBERVALUE(_xlfn.XLOOKUP(1,(OFFSET(IN_Verknüpfungen!$O$4,0,0,IN_Verknüpfungen!$A$2,1)=$A35)*(OFFSET(IN_Verknüpfungen!$P$4,0,0,IN_Verknüpfungen!$A$2,1)=V$3),OFFSET(IN_Verknüpfungen!$J$4,0,0,IN_Verknüpfungen!$A$2,1)))-SUM($G35:T35)</f>
        <v>#N/A</v>
      </c>
      <c r="V35" s="70" t="e" cm="1">
        <f t="array" aca="1" ref="V35" ca="1">_xlfn.NUMBERVALUE(_xlfn.XLOOKUP(1,(OFFSET(IN_Verknüpfungen!$O$4,0,0,IN_Verknüpfungen!$A$2,1)=$A35)*(OFFSET(IN_Verknüpfungen!$P$4,0,0,IN_Verknüpfungen!$A$2,1)=V$3+1),OFFSET(IN_Verknüpfungen!$F$4,0,0,IN_Verknüpfungen!$A$2,1)))-SUM($G35:U35)</f>
        <v>#N/A</v>
      </c>
      <c r="W35" s="70" t="e" cm="1">
        <f t="array" aca="1" ref="W35" ca="1">_xlfn.NUMBERVALUE(_xlfn.XLOOKUP(1,(OFFSET(IN_Verknüpfungen!$O$4,0,0,IN_Verknüpfungen!$A$2,1)=$A35)*(OFFSET(IN_Verknüpfungen!$P$4,0,0,IN_Verknüpfungen!$A$2,1)=X$3),OFFSET(IN_Verknüpfungen!$J$4,0,0,IN_Verknüpfungen!$A$2,1)))-SUM($G35:V35)</f>
        <v>#N/A</v>
      </c>
      <c r="X35" s="70" t="e" cm="1">
        <f t="array" aca="1" ref="X35" ca="1">_xlfn.NUMBERVALUE(_xlfn.XLOOKUP(1,(OFFSET(IN_Verknüpfungen!$O$4,0,0,IN_Verknüpfungen!$A$2,1)=$A35)*(OFFSET(IN_Verknüpfungen!$P$4,0,0,IN_Verknüpfungen!$A$2,1)=X$3+1),OFFSET(IN_Verknüpfungen!$F$4,0,0,IN_Verknüpfungen!$A$2,1)))-SUM($G35:W35)</f>
        <v>#N/A</v>
      </c>
      <c r="Y35" s="70" t="e" cm="1">
        <f t="array" aca="1" ref="Y35" ca="1">_xlfn.NUMBERVALUE(_xlfn.XLOOKUP(1,(OFFSET(IN_Verknüpfungen!$O$4,0,0,IN_Verknüpfungen!$A$2,1)=$A35)*(OFFSET(IN_Verknüpfungen!$P$4,0,0,IN_Verknüpfungen!$A$2,1)=Z$3),OFFSET(IN_Verknüpfungen!$J$4,0,0,IN_Verknüpfungen!$A$2,1)))-SUM($G35:X35)</f>
        <v>#N/A</v>
      </c>
      <c r="Z35" s="70" t="e" cm="1">
        <f t="array" aca="1" ref="Z35" ca="1">_xlfn.NUMBERVALUE(_xlfn.XLOOKUP(1,(OFFSET(IN_Verknüpfungen!$O$4,0,0,IN_Verknüpfungen!$A$2,1)=$A35)*(OFFSET(IN_Verknüpfungen!$P$4,0,0,IN_Verknüpfungen!$A$2,1)=Z$3+1),OFFSET(IN_Verknüpfungen!$F$4,0,0,IN_Verknüpfungen!$A$2,1)))-SUM($G35:Y35)</f>
        <v>#N/A</v>
      </c>
      <c r="AA35" s="70" t="e" cm="1">
        <f t="array" aca="1" ref="AA35" ca="1">_xlfn.NUMBERVALUE(_xlfn.XLOOKUP(1,(OFFSET(IN_Verknüpfungen!$O$4,0,0,IN_Verknüpfungen!$A$2,1)=$A35)*(OFFSET(IN_Verknüpfungen!$P$4,0,0,IN_Verknüpfungen!$A$2,1)=AB$3),OFFSET(IN_Verknüpfungen!$J$4,0,0,IN_Verknüpfungen!$A$2,1)))-SUM($G35:Z35)</f>
        <v>#N/A</v>
      </c>
      <c r="AB35" s="70" t="e" cm="1">
        <f t="array" aca="1" ref="AB35" ca="1">_xlfn.NUMBERVALUE(_xlfn.XLOOKUP(1,(OFFSET(IN_Verknüpfungen!$O$4,0,0,IN_Verknüpfungen!$A$2,1)=$A35)*(OFFSET(IN_Verknüpfungen!$P$4,0,0,IN_Verknüpfungen!$A$2,1)=AB$3+1),OFFSET(IN_Verknüpfungen!$F$4,0,0,IN_Verknüpfungen!$A$2,1)))-SUM($G35:AA35)</f>
        <v>#N/A</v>
      </c>
    </row>
    <row r="36" spans="1:28" x14ac:dyDescent="0.2">
      <c r="A36" s="56" t="str">
        <f ca="1"/>
        <v>Composition 33</v>
      </c>
      <c r="B36" s="55" t="str" cm="1">
        <f t="array" aca="1" ref="B36" ca="1">IF(A36&lt;&gt;"",_xlfn.XLOOKUP(Laufwege!A36,OFFSET(IN_Verknüpfungen!L$4,0,0,IN_Verknüpfungen!A$2,1),OFFSET(IN_Verknüpfungen!N$4,0,0,IN_Verknüpfungen!A$2,1),""),"")</f>
        <v>101-3.0</v>
      </c>
      <c r="C36" s="55">
        <f ca="1">IF(A36&lt;&gt;"",SUMIFS(OFFSET(IN_Verknüpfungen!M$4,0,0,IN_Verknüpfungen!A$2,1),OFFSET(IN_Verknüpfungen!O$4,0,0,IN_Verknüpfungen!A$2,1),Laufwege!A36),0)</f>
        <v>418149</v>
      </c>
      <c r="D36" s="55" cm="1">
        <f t="array" aca="1" ref="D36" ca="1">IF(B36&lt;&gt;"",_xlfn.XLOOKUP(B36,OFFSET(IN_Stammdaten!$A$4,0,0,IN_Stammdaten!$A$2,1),OFFSET(IN_Stammdaten!$C$4,0,0,IN_Stammdaten!$A$2,1),""),"")</f>
        <v>1010000</v>
      </c>
      <c r="E36" s="55" t="str">
        <f t="shared" ca="1" si="0"/>
        <v>nein</v>
      </c>
      <c r="F36" s="69" t="str">
        <f t="shared" ca="1" si="1"/>
        <v>Composition 33 (101-3.0)</v>
      </c>
      <c r="G36" s="70" cm="1">
        <f t="array" aca="1" ref="G36" ca="1">_xlfn.NUMBERVALUE(_xlfn.XLOOKUP(A36,OFFSET(IN_Verknüpfungen!$L$4,0,0,IN_Verknüpfungen!$A$2,1),OFFSET(IN_Verknüpfungen!$Q$4,0,0,IN_Verknüpfungen!$A$2,1)))</f>
        <v>0.24579861111111112</v>
      </c>
      <c r="H36" s="70" cm="1">
        <f t="array" aca="1" ref="H36" ca="1">_xlfn.NUMBERVALUE(_xlfn.XLOOKUP(A36,OFFSET(IN_Verknüpfungen!$L$4,0,0,IN_Verknüpfungen!$A$2,1),OFFSET(IN_Verknüpfungen!$F$4,0,0,IN_Verknüpfungen!$A$2,1)))-G36</f>
        <v>5.1481481481481461E-2</v>
      </c>
      <c r="I36" s="70" cm="1">
        <f t="array" aca="1" ref="I36" ca="1">_xlfn.NUMBERVALUE(_xlfn.XLOOKUP(1,(OFFSET(IN_Verknüpfungen!$O$4,0,0,IN_Verknüpfungen!$A$2,1)=$A36)*(OFFSET(IN_Verknüpfungen!$P$4,0,0,IN_Verknüpfungen!$A$2,1)=J$3),OFFSET(IN_Verknüpfungen!$J$4,0,0,IN_Verknüpfungen!$A$2,1)))-SUM($G36:H36)</f>
        <v>2.0775462962962954E-2</v>
      </c>
      <c r="J36" s="70" cm="1">
        <f t="array" aca="1" ref="J36" ca="1">_xlfn.NUMBERVALUE(_xlfn.XLOOKUP(1,(OFFSET(IN_Verknüpfungen!$O$4,0,0,IN_Verknüpfungen!$A$2,1)=$A36)*(OFFSET(IN_Verknüpfungen!$P$4,0,0,IN_Verknüpfungen!$A$2,1)=J$3+1),OFFSET(IN_Verknüpfungen!$F$4,0,0,IN_Verknüpfungen!$A$2,1)))-SUM($G36:I36)</f>
        <v>4.1423611111111147E-2</v>
      </c>
      <c r="K36" s="70" cm="1">
        <f t="array" aca="1" ref="K36" ca="1">_xlfn.NUMBERVALUE(_xlfn.XLOOKUP(1,(OFFSET(IN_Verknüpfungen!$O$4,0,0,IN_Verknüpfungen!$A$2,1)=$A36)*(OFFSET(IN_Verknüpfungen!$P$4,0,0,IN_Verknüpfungen!$A$2,1)=L$3),OFFSET(IN_Verknüpfungen!$J$4,0,0,IN_Verknüpfungen!$A$2,1)))-SUM($G36:J36)</f>
        <v>2.2650462962962969E-2</v>
      </c>
      <c r="L36" s="70" cm="1">
        <f t="array" aca="1" ref="L36" ca="1">_xlfn.NUMBERVALUE(_xlfn.XLOOKUP(1,(OFFSET(IN_Verknüpfungen!$O$4,0,0,IN_Verknüpfungen!$A$2,1)=$A36)*(OFFSET(IN_Verknüpfungen!$P$4,0,0,IN_Verknüpfungen!$A$2,1)=L$3+1),OFFSET(IN_Verknüpfungen!$F$4,0,0,IN_Verknüpfungen!$A$2,1)))-SUM($G36:K36)</f>
        <v>4.0150462962962929E-2</v>
      </c>
      <c r="M36" s="70" cm="1">
        <f t="array" aca="1" ref="M36" ca="1">_xlfn.NUMBERVALUE(_xlfn.XLOOKUP(1,(OFFSET(IN_Verknüpfungen!$O$4,0,0,IN_Verknüpfungen!$A$2,1)=$A36)*(OFFSET(IN_Verknüpfungen!$P$4,0,0,IN_Verknüpfungen!$A$2,1)=N$3),OFFSET(IN_Verknüpfungen!$J$4,0,0,IN_Verknüpfungen!$A$2,1)))-SUM($G36:L36)</f>
        <v>2.0775462962962954E-2</v>
      </c>
      <c r="N36" s="70" cm="1">
        <f t="array" aca="1" ref="N36" ca="1">_xlfn.NUMBERVALUE(_xlfn.XLOOKUP(1,(OFFSET(IN_Verknüpfungen!$O$4,0,0,IN_Verknüpfungen!$A$2,1)=$A36)*(OFFSET(IN_Verknüpfungen!$P$4,0,0,IN_Verknüpfungen!$A$2,1)=N$3+1),OFFSET(IN_Verknüpfungen!$F$4,0,0,IN_Verknüpfungen!$A$2,1)))-SUM($G36:M36)</f>
        <v>4.1423611111111147E-2</v>
      </c>
      <c r="O36" s="70" cm="1">
        <f t="array" aca="1" ref="O36" ca="1">_xlfn.NUMBERVALUE(_xlfn.XLOOKUP(1,(OFFSET(IN_Verknüpfungen!$O$4,0,0,IN_Verknüpfungen!$A$2,1)=$A36)*(OFFSET(IN_Verknüpfungen!$P$4,0,0,IN_Verknüpfungen!$A$2,1)=P$3),OFFSET(IN_Verknüpfungen!$J$4,0,0,IN_Verknüpfungen!$A$2,1)))-SUM($G36:N36)</f>
        <v>2.2650462962962914E-2</v>
      </c>
      <c r="P36" s="70" cm="1">
        <f t="array" aca="1" ref="P36" ca="1">_xlfn.NUMBERVALUE(_xlfn.XLOOKUP(1,(OFFSET(IN_Verknüpfungen!$O$4,0,0,IN_Verknüpfungen!$A$2,1)=$A36)*(OFFSET(IN_Verknüpfungen!$P$4,0,0,IN_Verknüpfungen!$A$2,1)=P$3+1),OFFSET(IN_Verknüpfungen!$F$4,0,0,IN_Verknüpfungen!$A$2,1)))-SUM($G36:O36)</f>
        <v>4.0150462962962985E-2</v>
      </c>
      <c r="Q36" s="70" cm="1">
        <f t="array" aca="1" ref="Q36" ca="1">_xlfn.NUMBERVALUE(_xlfn.XLOOKUP(1,(OFFSET(IN_Verknüpfungen!$O$4,0,0,IN_Verknüpfungen!$A$2,1)=$A36)*(OFFSET(IN_Verknüpfungen!$P$4,0,0,IN_Verknüpfungen!$A$2,1)=R$3),OFFSET(IN_Verknüpfungen!$J$4,0,0,IN_Verknüpfungen!$A$2,1)))-SUM($G36:P36)</f>
        <v>2.0775462962962954E-2</v>
      </c>
      <c r="R36" s="70" t="e" cm="1">
        <f t="array" aca="1" ref="R36" ca="1">_xlfn.NUMBERVALUE(_xlfn.XLOOKUP(1,(OFFSET(IN_Verknüpfungen!$O$4,0,0,IN_Verknüpfungen!$A$2,1)=$A36)*(OFFSET(IN_Verknüpfungen!$P$4,0,0,IN_Verknüpfungen!$A$2,1)=R$3+1),OFFSET(IN_Verknüpfungen!$F$4,0,0,IN_Verknüpfungen!$A$2,1)))-SUM($G36:Q36)</f>
        <v>#N/A</v>
      </c>
      <c r="S36" s="70" t="e" cm="1">
        <f t="array" aca="1" ref="S36" ca="1">_xlfn.NUMBERVALUE(_xlfn.XLOOKUP(1,(OFFSET(IN_Verknüpfungen!$O$4,0,0,IN_Verknüpfungen!$A$2,1)=$A36)*(OFFSET(IN_Verknüpfungen!$P$4,0,0,IN_Verknüpfungen!$A$2,1)=T$3),OFFSET(IN_Verknüpfungen!$J$4,0,0,IN_Verknüpfungen!$A$2,1)))-SUM($G36:R36)</f>
        <v>#N/A</v>
      </c>
      <c r="T36" s="70" t="e" cm="1">
        <f t="array" aca="1" ref="T36" ca="1">_xlfn.NUMBERVALUE(_xlfn.XLOOKUP(1,(OFFSET(IN_Verknüpfungen!$O$4,0,0,IN_Verknüpfungen!$A$2,1)=$A36)*(OFFSET(IN_Verknüpfungen!$P$4,0,0,IN_Verknüpfungen!$A$2,1)=T$3+1),OFFSET(IN_Verknüpfungen!$F$4,0,0,IN_Verknüpfungen!$A$2,1)))-SUM($G36:S36)</f>
        <v>#N/A</v>
      </c>
      <c r="U36" s="70" t="e" cm="1">
        <f t="array" aca="1" ref="U36" ca="1">_xlfn.NUMBERVALUE(_xlfn.XLOOKUP(1,(OFFSET(IN_Verknüpfungen!$O$4,0,0,IN_Verknüpfungen!$A$2,1)=$A36)*(OFFSET(IN_Verknüpfungen!$P$4,0,0,IN_Verknüpfungen!$A$2,1)=V$3),OFFSET(IN_Verknüpfungen!$J$4,0,0,IN_Verknüpfungen!$A$2,1)))-SUM($G36:T36)</f>
        <v>#N/A</v>
      </c>
      <c r="V36" s="70" t="e" cm="1">
        <f t="array" aca="1" ref="V36" ca="1">_xlfn.NUMBERVALUE(_xlfn.XLOOKUP(1,(OFFSET(IN_Verknüpfungen!$O$4,0,0,IN_Verknüpfungen!$A$2,1)=$A36)*(OFFSET(IN_Verknüpfungen!$P$4,0,0,IN_Verknüpfungen!$A$2,1)=V$3+1),OFFSET(IN_Verknüpfungen!$F$4,0,0,IN_Verknüpfungen!$A$2,1)))-SUM($G36:U36)</f>
        <v>#N/A</v>
      </c>
      <c r="W36" s="70" t="e" cm="1">
        <f t="array" aca="1" ref="W36" ca="1">_xlfn.NUMBERVALUE(_xlfn.XLOOKUP(1,(OFFSET(IN_Verknüpfungen!$O$4,0,0,IN_Verknüpfungen!$A$2,1)=$A36)*(OFFSET(IN_Verknüpfungen!$P$4,0,0,IN_Verknüpfungen!$A$2,1)=X$3),OFFSET(IN_Verknüpfungen!$J$4,0,0,IN_Verknüpfungen!$A$2,1)))-SUM($G36:V36)</f>
        <v>#N/A</v>
      </c>
      <c r="X36" s="70" t="e" cm="1">
        <f t="array" aca="1" ref="X36" ca="1">_xlfn.NUMBERVALUE(_xlfn.XLOOKUP(1,(OFFSET(IN_Verknüpfungen!$O$4,0,0,IN_Verknüpfungen!$A$2,1)=$A36)*(OFFSET(IN_Verknüpfungen!$P$4,0,0,IN_Verknüpfungen!$A$2,1)=X$3+1),OFFSET(IN_Verknüpfungen!$F$4,0,0,IN_Verknüpfungen!$A$2,1)))-SUM($G36:W36)</f>
        <v>#N/A</v>
      </c>
      <c r="Y36" s="70" t="e" cm="1">
        <f t="array" aca="1" ref="Y36" ca="1">_xlfn.NUMBERVALUE(_xlfn.XLOOKUP(1,(OFFSET(IN_Verknüpfungen!$O$4,0,0,IN_Verknüpfungen!$A$2,1)=$A36)*(OFFSET(IN_Verknüpfungen!$P$4,0,0,IN_Verknüpfungen!$A$2,1)=Z$3),OFFSET(IN_Verknüpfungen!$J$4,0,0,IN_Verknüpfungen!$A$2,1)))-SUM($G36:X36)</f>
        <v>#N/A</v>
      </c>
      <c r="Z36" s="70" t="e" cm="1">
        <f t="array" aca="1" ref="Z36" ca="1">_xlfn.NUMBERVALUE(_xlfn.XLOOKUP(1,(OFFSET(IN_Verknüpfungen!$O$4,0,0,IN_Verknüpfungen!$A$2,1)=$A36)*(OFFSET(IN_Verknüpfungen!$P$4,0,0,IN_Verknüpfungen!$A$2,1)=Z$3+1),OFFSET(IN_Verknüpfungen!$F$4,0,0,IN_Verknüpfungen!$A$2,1)))-SUM($G36:Y36)</f>
        <v>#N/A</v>
      </c>
      <c r="AA36" s="70" t="e" cm="1">
        <f t="array" aca="1" ref="AA36" ca="1">_xlfn.NUMBERVALUE(_xlfn.XLOOKUP(1,(OFFSET(IN_Verknüpfungen!$O$4,0,0,IN_Verknüpfungen!$A$2,1)=$A36)*(OFFSET(IN_Verknüpfungen!$P$4,0,0,IN_Verknüpfungen!$A$2,1)=AB$3),OFFSET(IN_Verknüpfungen!$J$4,0,0,IN_Verknüpfungen!$A$2,1)))-SUM($G36:Z36)</f>
        <v>#N/A</v>
      </c>
      <c r="AB36" s="70" t="e" cm="1">
        <f t="array" aca="1" ref="AB36" ca="1">_xlfn.NUMBERVALUE(_xlfn.XLOOKUP(1,(OFFSET(IN_Verknüpfungen!$O$4,0,0,IN_Verknüpfungen!$A$2,1)=$A36)*(OFFSET(IN_Verknüpfungen!$P$4,0,0,IN_Verknüpfungen!$A$2,1)=AB$3+1),OFFSET(IN_Verknüpfungen!$F$4,0,0,IN_Verknüpfungen!$A$2,1)))-SUM($G36:AA36)</f>
        <v>#N/A</v>
      </c>
    </row>
    <row r="37" spans="1:28" x14ac:dyDescent="0.2">
      <c r="A37" s="56" t="str">
        <f ca="1"/>
        <v>Composition 34</v>
      </c>
      <c r="B37" s="55" t="str" cm="1">
        <f t="array" aca="1" ref="B37" ca="1">IF(A37&lt;&gt;"",_xlfn.XLOOKUP(Laufwege!A37,OFFSET(IN_Verknüpfungen!L$4,0,0,IN_Verknüpfungen!A$2,1),OFFSET(IN_Verknüpfungen!N$4,0,0,IN_Verknüpfungen!A$2,1),""),"")</f>
        <v>146-3.2</v>
      </c>
      <c r="C37" s="55">
        <f ca="1">IF(A37&lt;&gt;"",SUMIFS(OFFSET(IN_Verknüpfungen!M$4,0,0,IN_Verknüpfungen!A$2,1),OFFSET(IN_Verknüpfungen!O$4,0,0,IN_Verknüpfungen!A$2,1),Laufwege!A37),0)</f>
        <v>544096</v>
      </c>
      <c r="D37" s="55" cm="1">
        <f t="array" aca="1" ref="D37" ca="1">IF(B37&lt;&gt;"",_xlfn.XLOOKUP(B37,OFFSET(IN_Stammdaten!$A$4,0,0,IN_Stammdaten!$A$2,1),OFFSET(IN_Stammdaten!$C$4,0,0,IN_Stammdaten!$A$2,1),""),"")</f>
        <v>0</v>
      </c>
      <c r="E37" s="55" t="str">
        <f t="shared" ca="1" si="0"/>
        <v>nein</v>
      </c>
      <c r="F37" s="69" t="str">
        <f t="shared" ca="1" si="1"/>
        <v>Composition 34 (146-3.2)</v>
      </c>
      <c r="G37" s="70" cm="1">
        <f t="array" aca="1" ref="G37" ca="1">_xlfn.NUMBERVALUE(_xlfn.XLOOKUP(A37,OFFSET(IN_Verknüpfungen!$L$4,0,0,IN_Verknüpfungen!$A$2,1),OFFSET(IN_Verknüpfungen!$Q$4,0,0,IN_Verknüpfungen!$A$2,1)))</f>
        <v>0.20981481481481482</v>
      </c>
      <c r="H37" s="70" cm="1">
        <f t="array" aca="1" ref="H37" ca="1">_xlfn.NUMBERVALUE(_xlfn.XLOOKUP(A37,OFFSET(IN_Verknüpfungen!$L$4,0,0,IN_Verknüpfungen!$A$2,1),OFFSET(IN_Verknüpfungen!$F$4,0,0,IN_Verknüpfungen!$A$2,1)))-G37</f>
        <v>8.9780092592592592E-2</v>
      </c>
      <c r="I37" s="70" cm="1">
        <f t="array" aca="1" ref="I37" ca="1">_xlfn.NUMBERVALUE(_xlfn.XLOOKUP(1,(OFFSET(IN_Verknüpfungen!$O$4,0,0,IN_Verknüpfungen!$A$2,1)=$A37)*(OFFSET(IN_Verknüpfungen!$P$4,0,0,IN_Verknüpfungen!$A$2,1)=J$3),OFFSET(IN_Verknüpfungen!$J$4,0,0,IN_Verknüpfungen!$A$2,1)))-SUM($G37:H37)</f>
        <v>1.635416666666667E-2</v>
      </c>
      <c r="J37" s="70" cm="1">
        <f t="array" aca="1" ref="J37" ca="1">_xlfn.NUMBERVALUE(_xlfn.XLOOKUP(1,(OFFSET(IN_Verknüpfungen!$O$4,0,0,IN_Verknüpfungen!$A$2,1)=$A37)*(OFFSET(IN_Verknüpfungen!$P$4,0,0,IN_Verknüpfungen!$A$2,1)=J$3+1),OFFSET(IN_Verknüpfungen!$F$4,0,0,IN_Verknüpfungen!$A$2,1)))-SUM($G37:I37)</f>
        <v>7.7731481481481457E-2</v>
      </c>
      <c r="K37" s="70" cm="1">
        <f t="array" aca="1" ref="K37" ca="1">_xlfn.NUMBERVALUE(_xlfn.XLOOKUP(1,(OFFSET(IN_Verknüpfungen!$O$4,0,0,IN_Verknüpfungen!$A$2,1)=$A37)*(OFFSET(IN_Verknüpfungen!$P$4,0,0,IN_Verknüpfungen!$A$2,1)=L$3),OFFSET(IN_Verknüpfungen!$J$4,0,0,IN_Verknüpfungen!$A$2,1)))-SUM($G37:J37)</f>
        <v>1.2002314814814841E-2</v>
      </c>
      <c r="L37" s="70" cm="1">
        <f t="array" aca="1" ref="L37" ca="1">_xlfn.NUMBERVALUE(_xlfn.XLOOKUP(1,(OFFSET(IN_Verknüpfungen!$O$4,0,0,IN_Verknüpfungen!$A$2,1)=$A37)*(OFFSET(IN_Verknüpfungen!$P$4,0,0,IN_Verknüpfungen!$A$2,1)=L$3+1),OFFSET(IN_Verknüpfungen!$F$4,0,0,IN_Verknüpfungen!$A$2,1)))-SUM($G37:K37)</f>
        <v>4.5659722222222199E-2</v>
      </c>
      <c r="M37" s="70" cm="1">
        <f t="array" aca="1" ref="M37" ca="1">_xlfn.NUMBERVALUE(_xlfn.XLOOKUP(1,(OFFSET(IN_Verknüpfungen!$O$4,0,0,IN_Verknüpfungen!$A$2,1)=$A37)*(OFFSET(IN_Verknüpfungen!$P$4,0,0,IN_Verknüpfungen!$A$2,1)=N$3),OFFSET(IN_Verknüpfungen!$J$4,0,0,IN_Verknüpfungen!$A$2,1)))-SUM($G37:L37)</f>
        <v>1.9212962962962987E-2</v>
      </c>
      <c r="N37" s="70" cm="1">
        <f t="array" aca="1" ref="N37" ca="1">_xlfn.NUMBERVALUE(_xlfn.XLOOKUP(1,(OFFSET(IN_Verknüpfungen!$O$4,0,0,IN_Verknüpfungen!$A$2,1)=$A37)*(OFFSET(IN_Verknüpfungen!$P$4,0,0,IN_Verknüpfungen!$A$2,1)=N$3+1),OFFSET(IN_Verknüpfungen!$F$4,0,0,IN_Verknüpfungen!$A$2,1)))-SUM($G37:M37)</f>
        <v>5.070601851851847E-2</v>
      </c>
      <c r="O37" s="70" cm="1">
        <f t="array" aca="1" ref="O37" ca="1">_xlfn.NUMBERVALUE(_xlfn.XLOOKUP(1,(OFFSET(IN_Verknüpfungen!$O$4,0,0,IN_Verknüpfungen!$A$2,1)=$A37)*(OFFSET(IN_Verknüpfungen!$P$4,0,0,IN_Verknüpfungen!$A$2,1)=P$3),OFFSET(IN_Verknüpfungen!$J$4,0,0,IN_Verknüpfungen!$A$2,1)))-SUM($G37:N37)</f>
        <v>2.4548611111111174E-2</v>
      </c>
      <c r="P37" s="70" cm="1">
        <f t="array" aca="1" ref="P37" ca="1">_xlfn.NUMBERVALUE(_xlfn.XLOOKUP(1,(OFFSET(IN_Verknüpfungen!$O$4,0,0,IN_Verknüpfungen!$A$2,1)=$A37)*(OFFSET(IN_Verknüpfungen!$P$4,0,0,IN_Verknüpfungen!$A$2,1)=P$3+1),OFFSET(IN_Verknüpfungen!$F$4,0,0,IN_Verknüpfungen!$A$2,1)))-SUM($G37:O37)</f>
        <v>5.4861111111111138E-2</v>
      </c>
      <c r="Q37" s="70" cm="1">
        <f t="array" aca="1" ref="Q37" ca="1">_xlfn.NUMBERVALUE(_xlfn.XLOOKUP(1,(OFFSET(IN_Verknüpfungen!$O$4,0,0,IN_Verknüpfungen!$A$2,1)=$A37)*(OFFSET(IN_Verknüpfungen!$P$4,0,0,IN_Verknüpfungen!$A$2,1)=R$3),OFFSET(IN_Verknüpfungen!$J$4,0,0,IN_Verknüpfungen!$A$2,1)))-SUM($G37:P37)</f>
        <v>1.6701388888888835E-2</v>
      </c>
      <c r="R37" s="70" t="e" cm="1">
        <f t="array" aca="1" ref="R37" ca="1">_xlfn.NUMBERVALUE(_xlfn.XLOOKUP(1,(OFFSET(IN_Verknüpfungen!$O$4,0,0,IN_Verknüpfungen!$A$2,1)=$A37)*(OFFSET(IN_Verknüpfungen!$P$4,0,0,IN_Verknüpfungen!$A$2,1)=R$3+1),OFFSET(IN_Verknüpfungen!$F$4,0,0,IN_Verknüpfungen!$A$2,1)))-SUM($G37:Q37)</f>
        <v>#N/A</v>
      </c>
      <c r="S37" s="70" t="e" cm="1">
        <f t="array" aca="1" ref="S37" ca="1">_xlfn.NUMBERVALUE(_xlfn.XLOOKUP(1,(OFFSET(IN_Verknüpfungen!$O$4,0,0,IN_Verknüpfungen!$A$2,1)=$A37)*(OFFSET(IN_Verknüpfungen!$P$4,0,0,IN_Verknüpfungen!$A$2,1)=T$3),OFFSET(IN_Verknüpfungen!$J$4,0,0,IN_Verknüpfungen!$A$2,1)))-SUM($G37:R37)</f>
        <v>#N/A</v>
      </c>
      <c r="T37" s="70" t="e" cm="1">
        <f t="array" aca="1" ref="T37" ca="1">_xlfn.NUMBERVALUE(_xlfn.XLOOKUP(1,(OFFSET(IN_Verknüpfungen!$O$4,0,0,IN_Verknüpfungen!$A$2,1)=$A37)*(OFFSET(IN_Verknüpfungen!$P$4,0,0,IN_Verknüpfungen!$A$2,1)=T$3+1),OFFSET(IN_Verknüpfungen!$F$4,0,0,IN_Verknüpfungen!$A$2,1)))-SUM($G37:S37)</f>
        <v>#N/A</v>
      </c>
      <c r="U37" s="70" t="e" cm="1">
        <f t="array" aca="1" ref="U37" ca="1">_xlfn.NUMBERVALUE(_xlfn.XLOOKUP(1,(OFFSET(IN_Verknüpfungen!$O$4,0,0,IN_Verknüpfungen!$A$2,1)=$A37)*(OFFSET(IN_Verknüpfungen!$P$4,0,0,IN_Verknüpfungen!$A$2,1)=V$3),OFFSET(IN_Verknüpfungen!$J$4,0,0,IN_Verknüpfungen!$A$2,1)))-SUM($G37:T37)</f>
        <v>#N/A</v>
      </c>
      <c r="V37" s="70" t="e" cm="1">
        <f t="array" aca="1" ref="V37" ca="1">_xlfn.NUMBERVALUE(_xlfn.XLOOKUP(1,(OFFSET(IN_Verknüpfungen!$O$4,0,0,IN_Verknüpfungen!$A$2,1)=$A37)*(OFFSET(IN_Verknüpfungen!$P$4,0,0,IN_Verknüpfungen!$A$2,1)=V$3+1),OFFSET(IN_Verknüpfungen!$F$4,0,0,IN_Verknüpfungen!$A$2,1)))-SUM($G37:U37)</f>
        <v>#N/A</v>
      </c>
      <c r="W37" s="70" t="e" cm="1">
        <f t="array" aca="1" ref="W37" ca="1">_xlfn.NUMBERVALUE(_xlfn.XLOOKUP(1,(OFFSET(IN_Verknüpfungen!$O$4,0,0,IN_Verknüpfungen!$A$2,1)=$A37)*(OFFSET(IN_Verknüpfungen!$P$4,0,0,IN_Verknüpfungen!$A$2,1)=X$3),OFFSET(IN_Verknüpfungen!$J$4,0,0,IN_Verknüpfungen!$A$2,1)))-SUM($G37:V37)</f>
        <v>#N/A</v>
      </c>
      <c r="X37" s="70" t="e" cm="1">
        <f t="array" aca="1" ref="X37" ca="1">_xlfn.NUMBERVALUE(_xlfn.XLOOKUP(1,(OFFSET(IN_Verknüpfungen!$O$4,0,0,IN_Verknüpfungen!$A$2,1)=$A37)*(OFFSET(IN_Verknüpfungen!$P$4,0,0,IN_Verknüpfungen!$A$2,1)=X$3+1),OFFSET(IN_Verknüpfungen!$F$4,0,0,IN_Verknüpfungen!$A$2,1)))-SUM($G37:W37)</f>
        <v>#N/A</v>
      </c>
      <c r="Y37" s="70" t="e" cm="1">
        <f t="array" aca="1" ref="Y37" ca="1">_xlfn.NUMBERVALUE(_xlfn.XLOOKUP(1,(OFFSET(IN_Verknüpfungen!$O$4,0,0,IN_Verknüpfungen!$A$2,1)=$A37)*(OFFSET(IN_Verknüpfungen!$P$4,0,0,IN_Verknüpfungen!$A$2,1)=Z$3),OFFSET(IN_Verknüpfungen!$J$4,0,0,IN_Verknüpfungen!$A$2,1)))-SUM($G37:X37)</f>
        <v>#N/A</v>
      </c>
      <c r="Z37" s="70" t="e" cm="1">
        <f t="array" aca="1" ref="Z37" ca="1">_xlfn.NUMBERVALUE(_xlfn.XLOOKUP(1,(OFFSET(IN_Verknüpfungen!$O$4,0,0,IN_Verknüpfungen!$A$2,1)=$A37)*(OFFSET(IN_Verknüpfungen!$P$4,0,0,IN_Verknüpfungen!$A$2,1)=Z$3+1),OFFSET(IN_Verknüpfungen!$F$4,0,0,IN_Verknüpfungen!$A$2,1)))-SUM($G37:Y37)</f>
        <v>#N/A</v>
      </c>
      <c r="AA37" s="70" t="e" cm="1">
        <f t="array" aca="1" ref="AA37" ca="1">_xlfn.NUMBERVALUE(_xlfn.XLOOKUP(1,(OFFSET(IN_Verknüpfungen!$O$4,0,0,IN_Verknüpfungen!$A$2,1)=$A37)*(OFFSET(IN_Verknüpfungen!$P$4,0,0,IN_Verknüpfungen!$A$2,1)=AB$3),OFFSET(IN_Verknüpfungen!$J$4,0,0,IN_Verknüpfungen!$A$2,1)))-SUM($G37:Z37)</f>
        <v>#N/A</v>
      </c>
      <c r="AB37" s="70" t="e" cm="1">
        <f t="array" aca="1" ref="AB37" ca="1">_xlfn.NUMBERVALUE(_xlfn.XLOOKUP(1,(OFFSET(IN_Verknüpfungen!$O$4,0,0,IN_Verknüpfungen!$A$2,1)=$A37)*(OFFSET(IN_Verknüpfungen!$P$4,0,0,IN_Verknüpfungen!$A$2,1)=AB$3+1),OFFSET(IN_Verknüpfungen!$F$4,0,0,IN_Verknüpfungen!$A$2,1)))-SUM($G37:AA37)</f>
        <v>#N/A</v>
      </c>
    </row>
    <row r="38" spans="1:28" x14ac:dyDescent="0.2">
      <c r="A38" s="56" t="str">
        <f ca="1"/>
        <v>Composition 35</v>
      </c>
      <c r="B38" s="55" t="str" cm="1">
        <f t="array" aca="1" ref="B38" ca="1">IF(A38&lt;&gt;"",_xlfn.XLOOKUP(Laufwege!A38,OFFSET(IN_Verknüpfungen!L$4,0,0,IN_Verknüpfungen!A$2,1),OFFSET(IN_Verknüpfungen!N$4,0,0,IN_Verknüpfungen!A$2,1),""),"")</f>
        <v>146-3.2</v>
      </c>
      <c r="C38" s="55">
        <f ca="1">IF(A38&lt;&gt;"",SUMIFS(OFFSET(IN_Verknüpfungen!M$4,0,0,IN_Verknüpfungen!A$2,1),OFFSET(IN_Verknüpfungen!O$4,0,0,IN_Verknüpfungen!A$2,1),Laufwege!A38),0)</f>
        <v>407748</v>
      </c>
      <c r="D38" s="55" cm="1">
        <f t="array" aca="1" ref="D38" ca="1">IF(B38&lt;&gt;"",_xlfn.XLOOKUP(B38,OFFSET(IN_Stammdaten!$A$4,0,0,IN_Stammdaten!$A$2,1),OFFSET(IN_Stammdaten!$C$4,0,0,IN_Stammdaten!$A$2,1),""),"")</f>
        <v>0</v>
      </c>
      <c r="E38" s="55" t="str">
        <f t="shared" ca="1" si="0"/>
        <v>nein</v>
      </c>
      <c r="F38" s="69" t="str">
        <f t="shared" ca="1" si="1"/>
        <v>Composition 35 (146-3.2)</v>
      </c>
      <c r="G38" s="70" cm="1">
        <f t="array" aca="1" ref="G38" ca="1">_xlfn.NUMBERVALUE(_xlfn.XLOOKUP(A38,OFFSET(IN_Verknüpfungen!$L$4,0,0,IN_Verknüpfungen!$A$2,1),OFFSET(IN_Verknüpfungen!$Q$4,0,0,IN_Verknüpfungen!$A$2,1)))</f>
        <v>0.24337962962962964</v>
      </c>
      <c r="H38" s="70" cm="1">
        <f t="array" aca="1" ref="H38" ca="1">_xlfn.NUMBERVALUE(_xlfn.XLOOKUP(A38,OFFSET(IN_Verknüpfungen!$L$4,0,0,IN_Verknüpfungen!$A$2,1),OFFSET(IN_Verknüpfungen!$F$4,0,0,IN_Verknüpfungen!$A$2,1)))-G38</f>
        <v>5.8819444444444452E-2</v>
      </c>
      <c r="I38" s="70" cm="1">
        <f t="array" aca="1" ref="I38" ca="1">_xlfn.NUMBERVALUE(_xlfn.XLOOKUP(1,(OFFSET(IN_Verknüpfungen!$O$4,0,0,IN_Verknüpfungen!$A$2,1)=$A38)*(OFFSET(IN_Verknüpfungen!$P$4,0,0,IN_Verknüpfungen!$A$2,1)=J$3),OFFSET(IN_Verknüpfungen!$J$4,0,0,IN_Verknüpfungen!$A$2,1)))-SUM($G38:H38)</f>
        <v>8.9699074074073848E-3</v>
      </c>
      <c r="J38" s="70" cm="1">
        <f t="array" aca="1" ref="J38" ca="1">_xlfn.NUMBERVALUE(_xlfn.XLOOKUP(1,(OFFSET(IN_Verknüpfungen!$O$4,0,0,IN_Verknüpfungen!$A$2,1)=$A38)*(OFFSET(IN_Verknüpfungen!$P$4,0,0,IN_Verknüpfungen!$A$2,1)=J$3+1),OFFSET(IN_Verknüpfungen!$F$4,0,0,IN_Verknüpfungen!$A$2,1)))-SUM($G38:I38)</f>
        <v>3.8981481481481506E-2</v>
      </c>
      <c r="K38" s="70" cm="1">
        <f t="array" aca="1" ref="K38" ca="1">_xlfn.NUMBERVALUE(_xlfn.XLOOKUP(1,(OFFSET(IN_Verknüpfungen!$O$4,0,0,IN_Verknüpfungen!$A$2,1)=$A38)*(OFFSET(IN_Verknüpfungen!$P$4,0,0,IN_Verknüpfungen!$A$2,1)=L$3),OFFSET(IN_Verknüpfungen!$J$4,0,0,IN_Verknüpfungen!$A$2,1)))-SUM($G38:J38)</f>
        <v>3.6458333333333315E-2</v>
      </c>
      <c r="L38" s="70" cm="1">
        <f t="array" aca="1" ref="L38" ca="1">_xlfn.NUMBERVALUE(_xlfn.XLOOKUP(1,(OFFSET(IN_Verknüpfungen!$O$4,0,0,IN_Verknüpfungen!$A$2,1)=$A38)*(OFFSET(IN_Verknüpfungen!$P$4,0,0,IN_Verknüpfungen!$A$2,1)=L$3+1),OFFSET(IN_Verknüpfungen!$F$4,0,0,IN_Verknüpfungen!$A$2,1)))-SUM($G38:K38)</f>
        <v>4.0590277777777795E-2</v>
      </c>
      <c r="M38" s="70" cm="1">
        <f t="array" aca="1" ref="M38" ca="1">_xlfn.NUMBERVALUE(_xlfn.XLOOKUP(1,(OFFSET(IN_Verknüpfungen!$O$4,0,0,IN_Verknüpfungen!$A$2,1)=$A38)*(OFFSET(IN_Verknüpfungen!$P$4,0,0,IN_Verknüpfungen!$A$2,1)=N$3),OFFSET(IN_Verknüpfungen!$J$4,0,0,IN_Verknüpfungen!$A$2,1)))-SUM($G38:L38)</f>
        <v>8.9699074074073848E-3</v>
      </c>
      <c r="N38" s="70" cm="1">
        <f t="array" aca="1" ref="N38" ca="1">_xlfn.NUMBERVALUE(_xlfn.XLOOKUP(1,(OFFSET(IN_Verknüpfungen!$O$4,0,0,IN_Verknüpfungen!$A$2,1)=$A38)*(OFFSET(IN_Verknüpfungen!$P$4,0,0,IN_Verknüpfungen!$A$2,1)=N$3+1),OFFSET(IN_Verknüpfungen!$F$4,0,0,IN_Verknüpfungen!$A$2,1)))-SUM($G38:M38)</f>
        <v>3.8969907407407411E-2</v>
      </c>
      <c r="O38" s="70" cm="1">
        <f t="array" aca="1" ref="O38" ca="1">_xlfn.NUMBERVALUE(_xlfn.XLOOKUP(1,(OFFSET(IN_Verknüpfungen!$O$4,0,0,IN_Verknüpfungen!$A$2,1)=$A38)*(OFFSET(IN_Verknüpfungen!$P$4,0,0,IN_Verknüpfungen!$A$2,1)=P$3),OFFSET(IN_Verknüpfungen!$J$4,0,0,IN_Verknüpfungen!$A$2,1)))-SUM($G38:N38)</f>
        <v>3.6469907407407409E-2</v>
      </c>
      <c r="P38" s="70" cm="1">
        <f t="array" aca="1" ref="P38" ca="1">_xlfn.NUMBERVALUE(_xlfn.XLOOKUP(1,(OFFSET(IN_Verknüpfungen!$O$4,0,0,IN_Verknüpfungen!$A$2,1)=$A38)*(OFFSET(IN_Verknüpfungen!$P$4,0,0,IN_Verknüpfungen!$A$2,1)=P$3+1),OFFSET(IN_Verknüpfungen!$F$4,0,0,IN_Verknüpfungen!$A$2,1)))-SUM($G38:O38)</f>
        <v>4.0590277777777795E-2</v>
      </c>
      <c r="Q38" s="70" cm="1">
        <f t="array" aca="1" ref="Q38" ca="1">_xlfn.NUMBERVALUE(_xlfn.XLOOKUP(1,(OFFSET(IN_Verknüpfungen!$O$4,0,0,IN_Verknüpfungen!$A$2,1)=$A38)*(OFFSET(IN_Verknüpfungen!$P$4,0,0,IN_Verknüpfungen!$A$2,1)=R$3),OFFSET(IN_Verknüpfungen!$J$4,0,0,IN_Verknüpfungen!$A$2,1)))-SUM($G38:P38)</f>
        <v>8.9699074074074403E-3</v>
      </c>
      <c r="R38" s="70" t="e" cm="1">
        <f t="array" aca="1" ref="R38" ca="1">_xlfn.NUMBERVALUE(_xlfn.XLOOKUP(1,(OFFSET(IN_Verknüpfungen!$O$4,0,0,IN_Verknüpfungen!$A$2,1)=$A38)*(OFFSET(IN_Verknüpfungen!$P$4,0,0,IN_Verknüpfungen!$A$2,1)=R$3+1),OFFSET(IN_Verknüpfungen!$F$4,0,0,IN_Verknüpfungen!$A$2,1)))-SUM($G38:Q38)</f>
        <v>#N/A</v>
      </c>
      <c r="S38" s="70" t="e" cm="1">
        <f t="array" aca="1" ref="S38" ca="1">_xlfn.NUMBERVALUE(_xlfn.XLOOKUP(1,(OFFSET(IN_Verknüpfungen!$O$4,0,0,IN_Verknüpfungen!$A$2,1)=$A38)*(OFFSET(IN_Verknüpfungen!$P$4,0,0,IN_Verknüpfungen!$A$2,1)=T$3),OFFSET(IN_Verknüpfungen!$J$4,0,0,IN_Verknüpfungen!$A$2,1)))-SUM($G38:R38)</f>
        <v>#N/A</v>
      </c>
      <c r="T38" s="70" t="e" cm="1">
        <f t="array" aca="1" ref="T38" ca="1">_xlfn.NUMBERVALUE(_xlfn.XLOOKUP(1,(OFFSET(IN_Verknüpfungen!$O$4,0,0,IN_Verknüpfungen!$A$2,1)=$A38)*(OFFSET(IN_Verknüpfungen!$P$4,0,0,IN_Verknüpfungen!$A$2,1)=T$3+1),OFFSET(IN_Verknüpfungen!$F$4,0,0,IN_Verknüpfungen!$A$2,1)))-SUM($G38:S38)</f>
        <v>#N/A</v>
      </c>
      <c r="U38" s="70" t="e" cm="1">
        <f t="array" aca="1" ref="U38" ca="1">_xlfn.NUMBERVALUE(_xlfn.XLOOKUP(1,(OFFSET(IN_Verknüpfungen!$O$4,0,0,IN_Verknüpfungen!$A$2,1)=$A38)*(OFFSET(IN_Verknüpfungen!$P$4,0,0,IN_Verknüpfungen!$A$2,1)=V$3),OFFSET(IN_Verknüpfungen!$J$4,0,0,IN_Verknüpfungen!$A$2,1)))-SUM($G38:T38)</f>
        <v>#N/A</v>
      </c>
      <c r="V38" s="70" t="e" cm="1">
        <f t="array" aca="1" ref="V38" ca="1">_xlfn.NUMBERVALUE(_xlfn.XLOOKUP(1,(OFFSET(IN_Verknüpfungen!$O$4,0,0,IN_Verknüpfungen!$A$2,1)=$A38)*(OFFSET(IN_Verknüpfungen!$P$4,0,0,IN_Verknüpfungen!$A$2,1)=V$3+1),OFFSET(IN_Verknüpfungen!$F$4,0,0,IN_Verknüpfungen!$A$2,1)))-SUM($G38:U38)</f>
        <v>#N/A</v>
      </c>
      <c r="W38" s="70" t="e" cm="1">
        <f t="array" aca="1" ref="W38" ca="1">_xlfn.NUMBERVALUE(_xlfn.XLOOKUP(1,(OFFSET(IN_Verknüpfungen!$O$4,0,0,IN_Verknüpfungen!$A$2,1)=$A38)*(OFFSET(IN_Verknüpfungen!$P$4,0,0,IN_Verknüpfungen!$A$2,1)=X$3),OFFSET(IN_Verknüpfungen!$J$4,0,0,IN_Verknüpfungen!$A$2,1)))-SUM($G38:V38)</f>
        <v>#N/A</v>
      </c>
      <c r="X38" s="70" t="e" cm="1">
        <f t="array" aca="1" ref="X38" ca="1">_xlfn.NUMBERVALUE(_xlfn.XLOOKUP(1,(OFFSET(IN_Verknüpfungen!$O$4,0,0,IN_Verknüpfungen!$A$2,1)=$A38)*(OFFSET(IN_Verknüpfungen!$P$4,0,0,IN_Verknüpfungen!$A$2,1)=X$3+1),OFFSET(IN_Verknüpfungen!$F$4,0,0,IN_Verknüpfungen!$A$2,1)))-SUM($G38:W38)</f>
        <v>#N/A</v>
      </c>
      <c r="Y38" s="70" t="e" cm="1">
        <f t="array" aca="1" ref="Y38" ca="1">_xlfn.NUMBERVALUE(_xlfn.XLOOKUP(1,(OFFSET(IN_Verknüpfungen!$O$4,0,0,IN_Verknüpfungen!$A$2,1)=$A38)*(OFFSET(IN_Verknüpfungen!$P$4,0,0,IN_Verknüpfungen!$A$2,1)=Z$3),OFFSET(IN_Verknüpfungen!$J$4,0,0,IN_Verknüpfungen!$A$2,1)))-SUM($G38:X38)</f>
        <v>#N/A</v>
      </c>
      <c r="Z38" s="70" t="e" cm="1">
        <f t="array" aca="1" ref="Z38" ca="1">_xlfn.NUMBERVALUE(_xlfn.XLOOKUP(1,(OFFSET(IN_Verknüpfungen!$O$4,0,0,IN_Verknüpfungen!$A$2,1)=$A38)*(OFFSET(IN_Verknüpfungen!$P$4,0,0,IN_Verknüpfungen!$A$2,1)=Z$3+1),OFFSET(IN_Verknüpfungen!$F$4,0,0,IN_Verknüpfungen!$A$2,1)))-SUM($G38:Y38)</f>
        <v>#N/A</v>
      </c>
      <c r="AA38" s="70" t="e" cm="1">
        <f t="array" aca="1" ref="AA38" ca="1">_xlfn.NUMBERVALUE(_xlfn.XLOOKUP(1,(OFFSET(IN_Verknüpfungen!$O$4,0,0,IN_Verknüpfungen!$A$2,1)=$A38)*(OFFSET(IN_Verknüpfungen!$P$4,0,0,IN_Verknüpfungen!$A$2,1)=AB$3),OFFSET(IN_Verknüpfungen!$J$4,0,0,IN_Verknüpfungen!$A$2,1)))-SUM($G38:Z38)</f>
        <v>#N/A</v>
      </c>
      <c r="AB38" s="70" t="e" cm="1">
        <f t="array" aca="1" ref="AB38" ca="1">_xlfn.NUMBERVALUE(_xlfn.XLOOKUP(1,(OFFSET(IN_Verknüpfungen!$O$4,0,0,IN_Verknüpfungen!$A$2,1)=$A38)*(OFFSET(IN_Verknüpfungen!$P$4,0,0,IN_Verknüpfungen!$A$2,1)=AB$3+1),OFFSET(IN_Verknüpfungen!$F$4,0,0,IN_Verknüpfungen!$A$2,1)))-SUM($G38:AA38)</f>
        <v>#N/A</v>
      </c>
    </row>
    <row r="39" spans="1:28" x14ac:dyDescent="0.2">
      <c r="A39" s="56" t="str">
        <f ca="1"/>
        <v>Composition 36</v>
      </c>
      <c r="B39" s="55" t="str" cm="1">
        <f t="array" aca="1" ref="B39" ca="1">IF(A39&lt;&gt;"",_xlfn.XLOOKUP(Laufwege!A39,OFFSET(IN_Verknüpfungen!L$4,0,0,IN_Verknüpfungen!A$2,1),OFFSET(IN_Verknüpfungen!N$4,0,0,IN_Verknüpfungen!A$2,1),""),"")</f>
        <v>462-1.0</v>
      </c>
      <c r="C39" s="55">
        <f ca="1">IF(A39&lt;&gt;"",SUMIFS(OFFSET(IN_Verknüpfungen!M$4,0,0,IN_Verknüpfungen!A$2,1),OFFSET(IN_Verknüpfungen!O$4,0,0,IN_Verknüpfungen!A$2,1),Laufwege!A39),0)</f>
        <v>616124</v>
      </c>
      <c r="D39" s="55" cm="1">
        <f t="array" aca="1" ref="D39" ca="1">IF(B39&lt;&gt;"",_xlfn.XLOOKUP(B39,OFFSET(IN_Stammdaten!$A$4,0,0,IN_Stammdaten!$A$2,1),OFFSET(IN_Stammdaten!$C$4,0,0,IN_Stammdaten!$A$2,1),""),"")</f>
        <v>0</v>
      </c>
      <c r="E39" s="55" t="str">
        <f t="shared" ca="1" si="0"/>
        <v>nein</v>
      </c>
      <c r="F39" s="69" t="str">
        <f t="shared" ca="1" si="1"/>
        <v>Composition 36 (462-1.0)</v>
      </c>
      <c r="G39" s="70" cm="1">
        <f t="array" aca="1" ref="G39" ca="1">_xlfn.NUMBERVALUE(_xlfn.XLOOKUP(A39,OFFSET(IN_Verknüpfungen!$L$4,0,0,IN_Verknüpfungen!$A$2,1),OFFSET(IN_Verknüpfungen!$Q$4,0,0,IN_Verknüpfungen!$A$2,1)))</f>
        <v>0.20028935185185184</v>
      </c>
      <c r="H39" s="70" cm="1">
        <f t="array" aca="1" ref="H39" ca="1">_xlfn.NUMBERVALUE(_xlfn.XLOOKUP(A39,OFFSET(IN_Verknüpfungen!$L$4,0,0,IN_Verknüpfungen!$A$2,1),OFFSET(IN_Verknüpfungen!$F$4,0,0,IN_Verknüpfungen!$A$2,1)))-G39</f>
        <v>0.10221064814814815</v>
      </c>
      <c r="I39" s="70" cm="1">
        <f t="array" aca="1" ref="I39" ca="1">_xlfn.NUMBERVALUE(_xlfn.XLOOKUP(1,(OFFSET(IN_Verknüpfungen!$O$4,0,0,IN_Verknüpfungen!$A$2,1)=$A39)*(OFFSET(IN_Verknüpfungen!$P$4,0,0,IN_Verknüpfungen!$A$2,1)=J$3),OFFSET(IN_Verknüpfungen!$J$4,0,0,IN_Verknüpfungen!$A$2,1)))-SUM($G39:H39)</f>
        <v>4.4791666666667007E-3</v>
      </c>
      <c r="J39" s="70" cm="1">
        <f t="array" aca="1" ref="J39" ca="1">_xlfn.NUMBERVALUE(_xlfn.XLOOKUP(1,(OFFSET(IN_Verknüpfungen!$O$4,0,0,IN_Verknüpfungen!$A$2,1)=$A39)*(OFFSET(IN_Verknüpfungen!$P$4,0,0,IN_Verknüpfungen!$A$2,1)=J$3+1),OFFSET(IN_Verknüpfungen!$F$4,0,0,IN_Verknüpfungen!$A$2,1)))-SUM($G39:I39)</f>
        <v>8.7951388888888871E-2</v>
      </c>
      <c r="K39" s="70" cm="1">
        <f t="array" aca="1" ref="K39" ca="1">_xlfn.NUMBERVALUE(_xlfn.XLOOKUP(1,(OFFSET(IN_Verknüpfungen!$O$4,0,0,IN_Verknüpfungen!$A$2,1)=$A39)*(OFFSET(IN_Verknüpfungen!$P$4,0,0,IN_Verknüpfungen!$A$2,1)=L$3),OFFSET(IN_Verknüpfungen!$J$4,0,0,IN_Verknüpfungen!$A$2,1)))-SUM($G39:J39)</f>
        <v>2.7395833333333341E-2</v>
      </c>
      <c r="L39" s="70" cm="1">
        <f t="array" aca="1" ref="L39" ca="1">_xlfn.NUMBERVALUE(_xlfn.XLOOKUP(1,(OFFSET(IN_Verknüpfungen!$O$4,0,0,IN_Verknüpfungen!$A$2,1)=$A39)*(OFFSET(IN_Verknüpfungen!$P$4,0,0,IN_Verknüpfungen!$A$2,1)=L$3+1),OFFSET(IN_Verknüpfungen!$F$4,0,0,IN_Verknüpfungen!$A$2,1)))-SUM($G39:K39)</f>
        <v>8.8506944444444458E-2</v>
      </c>
      <c r="M39" s="70" cm="1">
        <f t="array" aca="1" ref="M39" ca="1">_xlfn.NUMBERVALUE(_xlfn.XLOOKUP(1,(OFFSET(IN_Verknüpfungen!$O$4,0,0,IN_Verknüpfungen!$A$2,1)=$A39)*(OFFSET(IN_Verknüpfungen!$P$4,0,0,IN_Verknüpfungen!$A$2,1)=N$3),OFFSET(IN_Verknüpfungen!$J$4,0,0,IN_Verknüpfungen!$A$2,1)))-SUM($G39:L39)</f>
        <v>4.4791666666665897E-3</v>
      </c>
      <c r="N39" s="70" t="e" cm="1">
        <f t="array" aca="1" ref="N39" ca="1">_xlfn.NUMBERVALUE(_xlfn.XLOOKUP(1,(OFFSET(IN_Verknüpfungen!$O$4,0,0,IN_Verknüpfungen!$A$2,1)=$A39)*(OFFSET(IN_Verknüpfungen!$P$4,0,0,IN_Verknüpfungen!$A$2,1)=N$3+1),OFFSET(IN_Verknüpfungen!$F$4,0,0,IN_Verknüpfungen!$A$2,1)))-SUM($G39:M39)</f>
        <v>#N/A</v>
      </c>
      <c r="O39" s="70" t="e" cm="1">
        <f t="array" aca="1" ref="O39" ca="1">_xlfn.NUMBERVALUE(_xlfn.XLOOKUP(1,(OFFSET(IN_Verknüpfungen!$O$4,0,0,IN_Verknüpfungen!$A$2,1)=$A39)*(OFFSET(IN_Verknüpfungen!$P$4,0,0,IN_Verknüpfungen!$A$2,1)=P$3),OFFSET(IN_Verknüpfungen!$J$4,0,0,IN_Verknüpfungen!$A$2,1)))-SUM($G39:N39)</f>
        <v>#N/A</v>
      </c>
      <c r="P39" s="70" t="e" cm="1">
        <f t="array" aca="1" ref="P39" ca="1">_xlfn.NUMBERVALUE(_xlfn.XLOOKUP(1,(OFFSET(IN_Verknüpfungen!$O$4,0,0,IN_Verknüpfungen!$A$2,1)=$A39)*(OFFSET(IN_Verknüpfungen!$P$4,0,0,IN_Verknüpfungen!$A$2,1)=P$3+1),OFFSET(IN_Verknüpfungen!$F$4,0,0,IN_Verknüpfungen!$A$2,1)))-SUM($G39:O39)</f>
        <v>#N/A</v>
      </c>
      <c r="Q39" s="70" t="e" cm="1">
        <f t="array" aca="1" ref="Q39" ca="1">_xlfn.NUMBERVALUE(_xlfn.XLOOKUP(1,(OFFSET(IN_Verknüpfungen!$O$4,0,0,IN_Verknüpfungen!$A$2,1)=$A39)*(OFFSET(IN_Verknüpfungen!$P$4,0,0,IN_Verknüpfungen!$A$2,1)=R$3),OFFSET(IN_Verknüpfungen!$J$4,0,0,IN_Verknüpfungen!$A$2,1)))-SUM($G39:P39)</f>
        <v>#N/A</v>
      </c>
      <c r="R39" s="70" t="e" cm="1">
        <f t="array" aca="1" ref="R39" ca="1">_xlfn.NUMBERVALUE(_xlfn.XLOOKUP(1,(OFFSET(IN_Verknüpfungen!$O$4,0,0,IN_Verknüpfungen!$A$2,1)=$A39)*(OFFSET(IN_Verknüpfungen!$P$4,0,0,IN_Verknüpfungen!$A$2,1)=R$3+1),OFFSET(IN_Verknüpfungen!$F$4,0,0,IN_Verknüpfungen!$A$2,1)))-SUM($G39:Q39)</f>
        <v>#N/A</v>
      </c>
      <c r="S39" s="70" t="e" cm="1">
        <f t="array" aca="1" ref="S39" ca="1">_xlfn.NUMBERVALUE(_xlfn.XLOOKUP(1,(OFFSET(IN_Verknüpfungen!$O$4,0,0,IN_Verknüpfungen!$A$2,1)=$A39)*(OFFSET(IN_Verknüpfungen!$P$4,0,0,IN_Verknüpfungen!$A$2,1)=T$3),OFFSET(IN_Verknüpfungen!$J$4,0,0,IN_Verknüpfungen!$A$2,1)))-SUM($G39:R39)</f>
        <v>#N/A</v>
      </c>
      <c r="T39" s="70" t="e" cm="1">
        <f t="array" aca="1" ref="T39" ca="1">_xlfn.NUMBERVALUE(_xlfn.XLOOKUP(1,(OFFSET(IN_Verknüpfungen!$O$4,0,0,IN_Verknüpfungen!$A$2,1)=$A39)*(OFFSET(IN_Verknüpfungen!$P$4,0,0,IN_Verknüpfungen!$A$2,1)=T$3+1),OFFSET(IN_Verknüpfungen!$F$4,0,0,IN_Verknüpfungen!$A$2,1)))-SUM($G39:S39)</f>
        <v>#N/A</v>
      </c>
      <c r="U39" s="70" t="e" cm="1">
        <f t="array" aca="1" ref="U39" ca="1">_xlfn.NUMBERVALUE(_xlfn.XLOOKUP(1,(OFFSET(IN_Verknüpfungen!$O$4,0,0,IN_Verknüpfungen!$A$2,1)=$A39)*(OFFSET(IN_Verknüpfungen!$P$4,0,0,IN_Verknüpfungen!$A$2,1)=V$3),OFFSET(IN_Verknüpfungen!$J$4,0,0,IN_Verknüpfungen!$A$2,1)))-SUM($G39:T39)</f>
        <v>#N/A</v>
      </c>
      <c r="V39" s="70" t="e" cm="1">
        <f t="array" aca="1" ref="V39" ca="1">_xlfn.NUMBERVALUE(_xlfn.XLOOKUP(1,(OFFSET(IN_Verknüpfungen!$O$4,0,0,IN_Verknüpfungen!$A$2,1)=$A39)*(OFFSET(IN_Verknüpfungen!$P$4,0,0,IN_Verknüpfungen!$A$2,1)=V$3+1),OFFSET(IN_Verknüpfungen!$F$4,0,0,IN_Verknüpfungen!$A$2,1)))-SUM($G39:U39)</f>
        <v>#N/A</v>
      </c>
      <c r="W39" s="70" t="e" cm="1">
        <f t="array" aca="1" ref="W39" ca="1">_xlfn.NUMBERVALUE(_xlfn.XLOOKUP(1,(OFFSET(IN_Verknüpfungen!$O$4,0,0,IN_Verknüpfungen!$A$2,1)=$A39)*(OFFSET(IN_Verknüpfungen!$P$4,0,0,IN_Verknüpfungen!$A$2,1)=X$3),OFFSET(IN_Verknüpfungen!$J$4,0,0,IN_Verknüpfungen!$A$2,1)))-SUM($G39:V39)</f>
        <v>#N/A</v>
      </c>
      <c r="X39" s="70" t="e" cm="1">
        <f t="array" aca="1" ref="X39" ca="1">_xlfn.NUMBERVALUE(_xlfn.XLOOKUP(1,(OFFSET(IN_Verknüpfungen!$O$4,0,0,IN_Verknüpfungen!$A$2,1)=$A39)*(OFFSET(IN_Verknüpfungen!$P$4,0,0,IN_Verknüpfungen!$A$2,1)=X$3+1),OFFSET(IN_Verknüpfungen!$F$4,0,0,IN_Verknüpfungen!$A$2,1)))-SUM($G39:W39)</f>
        <v>#N/A</v>
      </c>
      <c r="Y39" s="70" t="e" cm="1">
        <f t="array" aca="1" ref="Y39" ca="1">_xlfn.NUMBERVALUE(_xlfn.XLOOKUP(1,(OFFSET(IN_Verknüpfungen!$O$4,0,0,IN_Verknüpfungen!$A$2,1)=$A39)*(OFFSET(IN_Verknüpfungen!$P$4,0,0,IN_Verknüpfungen!$A$2,1)=Z$3),OFFSET(IN_Verknüpfungen!$J$4,0,0,IN_Verknüpfungen!$A$2,1)))-SUM($G39:X39)</f>
        <v>#N/A</v>
      </c>
      <c r="Z39" s="70" t="e" cm="1">
        <f t="array" aca="1" ref="Z39" ca="1">_xlfn.NUMBERVALUE(_xlfn.XLOOKUP(1,(OFFSET(IN_Verknüpfungen!$O$4,0,0,IN_Verknüpfungen!$A$2,1)=$A39)*(OFFSET(IN_Verknüpfungen!$P$4,0,0,IN_Verknüpfungen!$A$2,1)=Z$3+1),OFFSET(IN_Verknüpfungen!$F$4,0,0,IN_Verknüpfungen!$A$2,1)))-SUM($G39:Y39)</f>
        <v>#N/A</v>
      </c>
      <c r="AA39" s="70" t="e" cm="1">
        <f t="array" aca="1" ref="AA39" ca="1">_xlfn.NUMBERVALUE(_xlfn.XLOOKUP(1,(OFFSET(IN_Verknüpfungen!$O$4,0,0,IN_Verknüpfungen!$A$2,1)=$A39)*(OFFSET(IN_Verknüpfungen!$P$4,0,0,IN_Verknüpfungen!$A$2,1)=AB$3),OFFSET(IN_Verknüpfungen!$J$4,0,0,IN_Verknüpfungen!$A$2,1)))-SUM($G39:Z39)</f>
        <v>#N/A</v>
      </c>
      <c r="AB39" s="70" t="e" cm="1">
        <f t="array" aca="1" ref="AB39" ca="1">_xlfn.NUMBERVALUE(_xlfn.XLOOKUP(1,(OFFSET(IN_Verknüpfungen!$O$4,0,0,IN_Verknüpfungen!$A$2,1)=$A39)*(OFFSET(IN_Verknüpfungen!$P$4,0,0,IN_Verknüpfungen!$A$2,1)=AB$3+1),OFFSET(IN_Verknüpfungen!$F$4,0,0,IN_Verknüpfungen!$A$2,1)))-SUM($G39:AA39)</f>
        <v>#N/A</v>
      </c>
    </row>
    <row r="40" spans="1:28" x14ac:dyDescent="0.2">
      <c r="A40" s="56" t="str">
        <f ca="1"/>
        <v>Composition 37</v>
      </c>
      <c r="B40" s="55" t="str" cm="1">
        <f t="array" aca="1" ref="B40" ca="1">IF(A40&lt;&gt;"",_xlfn.XLOOKUP(Laufwege!A40,OFFSET(IN_Verknüpfungen!L$4,0,0,IN_Verknüpfungen!A$2,1),OFFSET(IN_Verknüpfungen!N$4,0,0,IN_Verknüpfungen!A$2,1),""),"")</f>
        <v>101-3.0</v>
      </c>
      <c r="C40" s="55">
        <f ca="1">IF(A40&lt;&gt;"",SUMIFS(OFFSET(IN_Verknüpfungen!M$4,0,0,IN_Verknüpfungen!A$2,1),OFFSET(IN_Verknüpfungen!O$4,0,0,IN_Verknüpfungen!A$2,1),Laufwege!A40),0)</f>
        <v>485331</v>
      </c>
      <c r="D40" s="55" cm="1">
        <f t="array" aca="1" ref="D40" ca="1">IF(B40&lt;&gt;"",_xlfn.XLOOKUP(B40,OFFSET(IN_Stammdaten!$A$4,0,0,IN_Stammdaten!$A$2,1),OFFSET(IN_Stammdaten!$C$4,0,0,IN_Stammdaten!$A$2,1),""),"")</f>
        <v>1010000</v>
      </c>
      <c r="E40" s="55" t="str">
        <f t="shared" ca="1" si="0"/>
        <v>nein</v>
      </c>
      <c r="F40" s="69" t="str">
        <f t="shared" ca="1" si="1"/>
        <v>Composition 37 (101-3.0)</v>
      </c>
      <c r="G40" s="70" cm="1">
        <f t="array" aca="1" ref="G40" ca="1">_xlfn.NUMBERVALUE(_xlfn.XLOOKUP(A40,OFFSET(IN_Verknüpfungen!$L$4,0,0,IN_Verknüpfungen!$A$2,1),OFFSET(IN_Verknüpfungen!$Q$4,0,0,IN_Verknüpfungen!$A$2,1)))</f>
        <v>0.24587962962962964</v>
      </c>
      <c r="H40" s="70" cm="1">
        <f t="array" aca="1" ref="H40" ca="1">_xlfn.NUMBERVALUE(_xlfn.XLOOKUP(A40,OFFSET(IN_Verknüpfungen!$L$4,0,0,IN_Verknüpfungen!$A$2,1),OFFSET(IN_Verknüpfungen!$F$4,0,0,IN_Verknüpfungen!$A$2,1)))-G40</f>
        <v>5.7199074074074069E-2</v>
      </c>
      <c r="I40" s="70" cm="1">
        <f t="array" aca="1" ref="I40" ca="1">_xlfn.NUMBERVALUE(_xlfn.XLOOKUP(1,(OFFSET(IN_Verknüpfungen!$O$4,0,0,IN_Verknüpfungen!$A$2,1)=$A40)*(OFFSET(IN_Verknüpfungen!$P$4,0,0,IN_Verknüpfungen!$A$2,1)=J$3),OFFSET(IN_Verknüpfungen!$J$4,0,0,IN_Verknüpfungen!$A$2,1)))-SUM($G40:H40)</f>
        <v>1.1273148148148115E-2</v>
      </c>
      <c r="J40" s="70" cm="1">
        <f t="array" aca="1" ref="J40" ca="1">_xlfn.NUMBERVALUE(_xlfn.XLOOKUP(1,(OFFSET(IN_Verknüpfungen!$O$4,0,0,IN_Verknüpfungen!$A$2,1)=$A40)*(OFFSET(IN_Verknüpfungen!$P$4,0,0,IN_Verknüpfungen!$A$2,1)=J$3+1),OFFSET(IN_Verknüpfungen!$F$4,0,0,IN_Verknüpfungen!$A$2,1)))-SUM($G40:I40)</f>
        <v>4.5462962962962983E-2</v>
      </c>
      <c r="K40" s="70" cm="1">
        <f t="array" aca="1" ref="K40" ca="1">_xlfn.NUMBERVALUE(_xlfn.XLOOKUP(1,(OFFSET(IN_Verknüpfungen!$O$4,0,0,IN_Verknüpfungen!$A$2,1)=$A40)*(OFFSET(IN_Verknüpfungen!$P$4,0,0,IN_Verknüpfungen!$A$2,1)=L$3),OFFSET(IN_Verknüpfungen!$J$4,0,0,IN_Verknüpfungen!$A$2,1)))-SUM($G40:J40)</f>
        <v>2.212962962962961E-2</v>
      </c>
      <c r="L40" s="70" cm="1">
        <f t="array" aca="1" ref="L40" ca="1">_xlfn.NUMBERVALUE(_xlfn.XLOOKUP(1,(OFFSET(IN_Verknüpfungen!$O$4,0,0,IN_Verknüpfungen!$A$2,1)=$A40)*(OFFSET(IN_Verknüpfungen!$P$4,0,0,IN_Verknüpfungen!$A$2,1)=L$3+1),OFFSET(IN_Verknüpfungen!$F$4,0,0,IN_Verknüpfungen!$A$2,1)))-SUM($G40:K40)</f>
        <v>4.6134259259259291E-2</v>
      </c>
      <c r="M40" s="70" cm="1">
        <f t="array" aca="1" ref="M40" ca="1">_xlfn.NUMBERVALUE(_xlfn.XLOOKUP(1,(OFFSET(IN_Verknüpfungen!$O$4,0,0,IN_Verknüpfungen!$A$2,1)=$A40)*(OFFSET(IN_Verknüpfungen!$P$4,0,0,IN_Verknüpfungen!$A$2,1)=N$3),OFFSET(IN_Verknüpfungen!$J$4,0,0,IN_Verknüpfungen!$A$2,1)))-SUM($G40:L40)</f>
        <v>1.1273148148148115E-2</v>
      </c>
      <c r="N40" s="70" cm="1">
        <f t="array" aca="1" ref="N40" ca="1">_xlfn.NUMBERVALUE(_xlfn.XLOOKUP(1,(OFFSET(IN_Verknüpfungen!$O$4,0,0,IN_Verknüpfungen!$A$2,1)=$A40)*(OFFSET(IN_Verknüpfungen!$P$4,0,0,IN_Verknüpfungen!$A$2,1)=N$3+1),OFFSET(IN_Verknüpfungen!$F$4,0,0,IN_Verknüpfungen!$A$2,1)))-SUM($G40:M40)</f>
        <v>4.5462962962962983E-2</v>
      </c>
      <c r="O40" s="70" cm="1">
        <f t="array" aca="1" ref="O40" ca="1">_xlfn.NUMBERVALUE(_xlfn.XLOOKUP(1,(OFFSET(IN_Verknüpfungen!$O$4,0,0,IN_Verknüpfungen!$A$2,1)=$A40)*(OFFSET(IN_Verknüpfungen!$P$4,0,0,IN_Verknüpfungen!$A$2,1)=P$3),OFFSET(IN_Verknüpfungen!$J$4,0,0,IN_Verknüpfungen!$A$2,1)))-SUM($G40:N40)</f>
        <v>2.212962962962961E-2</v>
      </c>
      <c r="P40" s="70" cm="1">
        <f t="array" aca="1" ref="P40" ca="1">_xlfn.NUMBERVALUE(_xlfn.XLOOKUP(1,(OFFSET(IN_Verknüpfungen!$O$4,0,0,IN_Verknüpfungen!$A$2,1)=$A40)*(OFFSET(IN_Verknüpfungen!$P$4,0,0,IN_Verknüpfungen!$A$2,1)=P$3+1),OFFSET(IN_Verknüpfungen!$F$4,0,0,IN_Verknüpfungen!$A$2,1)))-SUM($G40:O40)</f>
        <v>4.6134259259259291E-2</v>
      </c>
      <c r="Q40" s="70" cm="1">
        <f t="array" aca="1" ref="Q40" ca="1">_xlfn.NUMBERVALUE(_xlfn.XLOOKUP(1,(OFFSET(IN_Verknüpfungen!$O$4,0,0,IN_Verknüpfungen!$A$2,1)=$A40)*(OFFSET(IN_Verknüpfungen!$P$4,0,0,IN_Verknüpfungen!$A$2,1)=R$3),OFFSET(IN_Verknüpfungen!$J$4,0,0,IN_Verknüpfungen!$A$2,1)))-SUM($G40:P40)</f>
        <v>1.1273148148148171E-2</v>
      </c>
      <c r="R40" s="70" t="e" cm="1">
        <f t="array" aca="1" ref="R40" ca="1">_xlfn.NUMBERVALUE(_xlfn.XLOOKUP(1,(OFFSET(IN_Verknüpfungen!$O$4,0,0,IN_Verknüpfungen!$A$2,1)=$A40)*(OFFSET(IN_Verknüpfungen!$P$4,0,0,IN_Verknüpfungen!$A$2,1)=R$3+1),OFFSET(IN_Verknüpfungen!$F$4,0,0,IN_Verknüpfungen!$A$2,1)))-SUM($G40:Q40)</f>
        <v>#N/A</v>
      </c>
      <c r="S40" s="70" t="e" cm="1">
        <f t="array" aca="1" ref="S40" ca="1">_xlfn.NUMBERVALUE(_xlfn.XLOOKUP(1,(OFFSET(IN_Verknüpfungen!$O$4,0,0,IN_Verknüpfungen!$A$2,1)=$A40)*(OFFSET(IN_Verknüpfungen!$P$4,0,0,IN_Verknüpfungen!$A$2,1)=T$3),OFFSET(IN_Verknüpfungen!$J$4,0,0,IN_Verknüpfungen!$A$2,1)))-SUM($G40:R40)</f>
        <v>#N/A</v>
      </c>
      <c r="T40" s="70" t="e" cm="1">
        <f t="array" aca="1" ref="T40" ca="1">_xlfn.NUMBERVALUE(_xlfn.XLOOKUP(1,(OFFSET(IN_Verknüpfungen!$O$4,0,0,IN_Verknüpfungen!$A$2,1)=$A40)*(OFFSET(IN_Verknüpfungen!$P$4,0,0,IN_Verknüpfungen!$A$2,1)=T$3+1),OFFSET(IN_Verknüpfungen!$F$4,0,0,IN_Verknüpfungen!$A$2,1)))-SUM($G40:S40)</f>
        <v>#N/A</v>
      </c>
      <c r="U40" s="70" t="e" cm="1">
        <f t="array" aca="1" ref="U40" ca="1">_xlfn.NUMBERVALUE(_xlfn.XLOOKUP(1,(OFFSET(IN_Verknüpfungen!$O$4,0,0,IN_Verknüpfungen!$A$2,1)=$A40)*(OFFSET(IN_Verknüpfungen!$P$4,0,0,IN_Verknüpfungen!$A$2,1)=V$3),OFFSET(IN_Verknüpfungen!$J$4,0,0,IN_Verknüpfungen!$A$2,1)))-SUM($G40:T40)</f>
        <v>#N/A</v>
      </c>
      <c r="V40" s="70" t="e" cm="1">
        <f t="array" aca="1" ref="V40" ca="1">_xlfn.NUMBERVALUE(_xlfn.XLOOKUP(1,(OFFSET(IN_Verknüpfungen!$O$4,0,0,IN_Verknüpfungen!$A$2,1)=$A40)*(OFFSET(IN_Verknüpfungen!$P$4,0,0,IN_Verknüpfungen!$A$2,1)=V$3+1),OFFSET(IN_Verknüpfungen!$F$4,0,0,IN_Verknüpfungen!$A$2,1)))-SUM($G40:U40)</f>
        <v>#N/A</v>
      </c>
      <c r="W40" s="70" t="e" cm="1">
        <f t="array" aca="1" ref="W40" ca="1">_xlfn.NUMBERVALUE(_xlfn.XLOOKUP(1,(OFFSET(IN_Verknüpfungen!$O$4,0,0,IN_Verknüpfungen!$A$2,1)=$A40)*(OFFSET(IN_Verknüpfungen!$P$4,0,0,IN_Verknüpfungen!$A$2,1)=X$3),OFFSET(IN_Verknüpfungen!$J$4,0,0,IN_Verknüpfungen!$A$2,1)))-SUM($G40:V40)</f>
        <v>#N/A</v>
      </c>
      <c r="X40" s="70" t="e" cm="1">
        <f t="array" aca="1" ref="X40" ca="1">_xlfn.NUMBERVALUE(_xlfn.XLOOKUP(1,(OFFSET(IN_Verknüpfungen!$O$4,0,0,IN_Verknüpfungen!$A$2,1)=$A40)*(OFFSET(IN_Verknüpfungen!$P$4,0,0,IN_Verknüpfungen!$A$2,1)=X$3+1),OFFSET(IN_Verknüpfungen!$F$4,0,0,IN_Verknüpfungen!$A$2,1)))-SUM($G40:W40)</f>
        <v>#N/A</v>
      </c>
      <c r="Y40" s="70" t="e" cm="1">
        <f t="array" aca="1" ref="Y40" ca="1">_xlfn.NUMBERVALUE(_xlfn.XLOOKUP(1,(OFFSET(IN_Verknüpfungen!$O$4,0,0,IN_Verknüpfungen!$A$2,1)=$A40)*(OFFSET(IN_Verknüpfungen!$P$4,0,0,IN_Verknüpfungen!$A$2,1)=Z$3),OFFSET(IN_Verknüpfungen!$J$4,0,0,IN_Verknüpfungen!$A$2,1)))-SUM($G40:X40)</f>
        <v>#N/A</v>
      </c>
      <c r="Z40" s="70" t="e" cm="1">
        <f t="array" aca="1" ref="Z40" ca="1">_xlfn.NUMBERVALUE(_xlfn.XLOOKUP(1,(OFFSET(IN_Verknüpfungen!$O$4,0,0,IN_Verknüpfungen!$A$2,1)=$A40)*(OFFSET(IN_Verknüpfungen!$P$4,0,0,IN_Verknüpfungen!$A$2,1)=Z$3+1),OFFSET(IN_Verknüpfungen!$F$4,0,0,IN_Verknüpfungen!$A$2,1)))-SUM($G40:Y40)</f>
        <v>#N/A</v>
      </c>
      <c r="AA40" s="70" t="e" cm="1">
        <f t="array" aca="1" ref="AA40" ca="1">_xlfn.NUMBERVALUE(_xlfn.XLOOKUP(1,(OFFSET(IN_Verknüpfungen!$O$4,0,0,IN_Verknüpfungen!$A$2,1)=$A40)*(OFFSET(IN_Verknüpfungen!$P$4,0,0,IN_Verknüpfungen!$A$2,1)=AB$3),OFFSET(IN_Verknüpfungen!$J$4,0,0,IN_Verknüpfungen!$A$2,1)))-SUM($G40:Z40)</f>
        <v>#N/A</v>
      </c>
      <c r="AB40" s="70" t="e" cm="1">
        <f t="array" aca="1" ref="AB40" ca="1">_xlfn.NUMBERVALUE(_xlfn.XLOOKUP(1,(OFFSET(IN_Verknüpfungen!$O$4,0,0,IN_Verknüpfungen!$A$2,1)=$A40)*(OFFSET(IN_Verknüpfungen!$P$4,0,0,IN_Verknüpfungen!$A$2,1)=AB$3+1),OFFSET(IN_Verknüpfungen!$F$4,0,0,IN_Verknüpfungen!$A$2,1)))-SUM($G40:AA40)</f>
        <v>#N/A</v>
      </c>
    </row>
    <row r="41" spans="1:28" x14ac:dyDescent="0.2">
      <c r="A41" s="56" t="str">
        <f ca="1"/>
        <v>Composition 38</v>
      </c>
      <c r="B41" s="55" t="str" cm="1">
        <f t="array" aca="1" ref="B41" ca="1">IF(A41&lt;&gt;"",_xlfn.XLOOKUP(Laufwege!A41,OFFSET(IN_Verknüpfungen!L$4,0,0,IN_Verknüpfungen!A$2,1),OFFSET(IN_Verknüpfungen!N$4,0,0,IN_Verknüpfungen!A$2,1),""),"")</f>
        <v>146-3.2</v>
      </c>
      <c r="C41" s="55">
        <f ca="1">IF(A41&lt;&gt;"",SUMIFS(OFFSET(IN_Verknüpfungen!M$4,0,0,IN_Verknüpfungen!A$2,1),OFFSET(IN_Verknüpfungen!O$4,0,0,IN_Verknüpfungen!A$2,1),Laufwege!A41),0)</f>
        <v>645913</v>
      </c>
      <c r="D41" s="55" cm="1">
        <f t="array" aca="1" ref="D41" ca="1">IF(B41&lt;&gt;"",_xlfn.XLOOKUP(B41,OFFSET(IN_Stammdaten!$A$4,0,0,IN_Stammdaten!$A$2,1),OFFSET(IN_Stammdaten!$C$4,0,0,IN_Stammdaten!$A$2,1),""),"")</f>
        <v>0</v>
      </c>
      <c r="E41" s="55" t="str">
        <f t="shared" ca="1" si="0"/>
        <v>nein</v>
      </c>
      <c r="F41" s="69" t="str">
        <f t="shared" ca="1" si="1"/>
        <v>Composition 38 (146-3.2)</v>
      </c>
      <c r="G41" s="70" cm="1">
        <f t="array" aca="1" ref="G41" ca="1">_xlfn.NUMBERVALUE(_xlfn.XLOOKUP(A41,OFFSET(IN_Verknüpfungen!$L$4,0,0,IN_Verknüpfungen!$A$2,1),OFFSET(IN_Verknüpfungen!$Q$4,0,0,IN_Verknüpfungen!$A$2,1)))</f>
        <v>0.24369212962962963</v>
      </c>
      <c r="H41" s="70" cm="1">
        <f t="array" aca="1" ref="H41" ca="1">_xlfn.NUMBERVALUE(_xlfn.XLOOKUP(A41,OFFSET(IN_Verknüpfungen!$L$4,0,0,IN_Verknüpfungen!$A$2,1),OFFSET(IN_Verknüpfungen!$F$4,0,0,IN_Verknüpfungen!$A$2,1)))-G41</f>
        <v>6.0243055555555564E-2</v>
      </c>
      <c r="I41" s="70" cm="1">
        <f t="array" aca="1" ref="I41" ca="1">_xlfn.NUMBERVALUE(_xlfn.XLOOKUP(1,(OFFSET(IN_Verknüpfungen!$O$4,0,0,IN_Verknüpfungen!$A$2,1)=$A41)*(OFFSET(IN_Verknüpfungen!$P$4,0,0,IN_Verknüpfungen!$A$2,1)=J$3),OFFSET(IN_Verknüpfungen!$J$4,0,0,IN_Verknüpfungen!$A$2,1)))-SUM($G41:H41)</f>
        <v>1.0648148148148129E-2</v>
      </c>
      <c r="J41" s="70" cm="1">
        <f t="array" aca="1" ref="J41" ca="1">_xlfn.NUMBERVALUE(_xlfn.XLOOKUP(1,(OFFSET(IN_Verknüpfungen!$O$4,0,0,IN_Verknüpfungen!$A$2,1)=$A41)*(OFFSET(IN_Verknüpfungen!$P$4,0,0,IN_Verknüpfungen!$A$2,1)=J$3+1),OFFSET(IN_Verknüpfungen!$F$4,0,0,IN_Verknüpfungen!$A$2,1)))-SUM($G41:I41)</f>
        <v>0.12261574074074078</v>
      </c>
      <c r="K41" s="70" cm="1">
        <f t="array" aca="1" ref="K41" ca="1">_xlfn.NUMBERVALUE(_xlfn.XLOOKUP(1,(OFFSET(IN_Verknüpfungen!$O$4,0,0,IN_Verknüpfungen!$A$2,1)=$A41)*(OFFSET(IN_Verknüpfungen!$P$4,0,0,IN_Verknüpfungen!$A$2,1)=L$3),OFFSET(IN_Verknüpfungen!$J$4,0,0,IN_Verknüpfungen!$A$2,1)))-SUM($G41:J41)</f>
        <v>2.7499999999999969E-2</v>
      </c>
      <c r="L41" s="70" cm="1">
        <f t="array" aca="1" ref="L41" ca="1">_xlfn.NUMBERVALUE(_xlfn.XLOOKUP(1,(OFFSET(IN_Verknüpfungen!$O$4,0,0,IN_Verknüpfungen!$A$2,1)=$A41)*(OFFSET(IN_Verknüpfungen!$P$4,0,0,IN_Verknüpfungen!$A$2,1)=L$3+1),OFFSET(IN_Verknüpfungen!$F$4,0,0,IN_Verknüpfungen!$A$2,1)))-SUM($G41:K41)</f>
        <v>0.11508101851851849</v>
      </c>
      <c r="M41" s="70" cm="1">
        <f t="array" aca="1" ref="M41" ca="1">_xlfn.NUMBERVALUE(_xlfn.XLOOKUP(1,(OFFSET(IN_Verknüpfungen!$O$4,0,0,IN_Verknüpfungen!$A$2,1)=$A41)*(OFFSET(IN_Verknüpfungen!$P$4,0,0,IN_Verknüpfungen!$A$2,1)=N$3),OFFSET(IN_Verknüpfungen!$J$4,0,0,IN_Verknüpfungen!$A$2,1)))-SUM($G41:L41)</f>
        <v>2.1331018518518596E-2</v>
      </c>
      <c r="N41" s="70" t="e" cm="1">
        <f t="array" aca="1" ref="N41" ca="1">_xlfn.NUMBERVALUE(_xlfn.XLOOKUP(1,(OFFSET(IN_Verknüpfungen!$O$4,0,0,IN_Verknüpfungen!$A$2,1)=$A41)*(OFFSET(IN_Verknüpfungen!$P$4,0,0,IN_Verknüpfungen!$A$2,1)=N$3+1),OFFSET(IN_Verknüpfungen!$F$4,0,0,IN_Verknüpfungen!$A$2,1)))-SUM($G41:M41)</f>
        <v>#N/A</v>
      </c>
      <c r="O41" s="70" t="e" cm="1">
        <f t="array" aca="1" ref="O41" ca="1">_xlfn.NUMBERVALUE(_xlfn.XLOOKUP(1,(OFFSET(IN_Verknüpfungen!$O$4,0,0,IN_Verknüpfungen!$A$2,1)=$A41)*(OFFSET(IN_Verknüpfungen!$P$4,0,0,IN_Verknüpfungen!$A$2,1)=P$3),OFFSET(IN_Verknüpfungen!$J$4,0,0,IN_Verknüpfungen!$A$2,1)))-SUM($G41:N41)</f>
        <v>#N/A</v>
      </c>
      <c r="P41" s="70" t="e" cm="1">
        <f t="array" aca="1" ref="P41" ca="1">_xlfn.NUMBERVALUE(_xlfn.XLOOKUP(1,(OFFSET(IN_Verknüpfungen!$O$4,0,0,IN_Verknüpfungen!$A$2,1)=$A41)*(OFFSET(IN_Verknüpfungen!$P$4,0,0,IN_Verknüpfungen!$A$2,1)=P$3+1),OFFSET(IN_Verknüpfungen!$F$4,0,0,IN_Verknüpfungen!$A$2,1)))-SUM($G41:O41)</f>
        <v>#N/A</v>
      </c>
      <c r="Q41" s="70" t="e" cm="1">
        <f t="array" aca="1" ref="Q41" ca="1">_xlfn.NUMBERVALUE(_xlfn.XLOOKUP(1,(OFFSET(IN_Verknüpfungen!$O$4,0,0,IN_Verknüpfungen!$A$2,1)=$A41)*(OFFSET(IN_Verknüpfungen!$P$4,0,0,IN_Verknüpfungen!$A$2,1)=R$3),OFFSET(IN_Verknüpfungen!$J$4,0,0,IN_Verknüpfungen!$A$2,1)))-SUM($G41:P41)</f>
        <v>#N/A</v>
      </c>
      <c r="R41" s="70" t="e" cm="1">
        <f t="array" aca="1" ref="R41" ca="1">_xlfn.NUMBERVALUE(_xlfn.XLOOKUP(1,(OFFSET(IN_Verknüpfungen!$O$4,0,0,IN_Verknüpfungen!$A$2,1)=$A41)*(OFFSET(IN_Verknüpfungen!$P$4,0,0,IN_Verknüpfungen!$A$2,1)=R$3+1),OFFSET(IN_Verknüpfungen!$F$4,0,0,IN_Verknüpfungen!$A$2,1)))-SUM($G41:Q41)</f>
        <v>#N/A</v>
      </c>
      <c r="S41" s="70" t="e" cm="1">
        <f t="array" aca="1" ref="S41" ca="1">_xlfn.NUMBERVALUE(_xlfn.XLOOKUP(1,(OFFSET(IN_Verknüpfungen!$O$4,0,0,IN_Verknüpfungen!$A$2,1)=$A41)*(OFFSET(IN_Verknüpfungen!$P$4,0,0,IN_Verknüpfungen!$A$2,1)=T$3),OFFSET(IN_Verknüpfungen!$J$4,0,0,IN_Verknüpfungen!$A$2,1)))-SUM($G41:R41)</f>
        <v>#N/A</v>
      </c>
      <c r="T41" s="70" t="e" cm="1">
        <f t="array" aca="1" ref="T41" ca="1">_xlfn.NUMBERVALUE(_xlfn.XLOOKUP(1,(OFFSET(IN_Verknüpfungen!$O$4,0,0,IN_Verknüpfungen!$A$2,1)=$A41)*(OFFSET(IN_Verknüpfungen!$P$4,0,0,IN_Verknüpfungen!$A$2,1)=T$3+1),OFFSET(IN_Verknüpfungen!$F$4,0,0,IN_Verknüpfungen!$A$2,1)))-SUM($G41:S41)</f>
        <v>#N/A</v>
      </c>
      <c r="U41" s="70" t="e" cm="1">
        <f t="array" aca="1" ref="U41" ca="1">_xlfn.NUMBERVALUE(_xlfn.XLOOKUP(1,(OFFSET(IN_Verknüpfungen!$O$4,0,0,IN_Verknüpfungen!$A$2,1)=$A41)*(OFFSET(IN_Verknüpfungen!$P$4,0,0,IN_Verknüpfungen!$A$2,1)=V$3),OFFSET(IN_Verknüpfungen!$J$4,0,0,IN_Verknüpfungen!$A$2,1)))-SUM($G41:T41)</f>
        <v>#N/A</v>
      </c>
      <c r="V41" s="70" t="e" cm="1">
        <f t="array" aca="1" ref="V41" ca="1">_xlfn.NUMBERVALUE(_xlfn.XLOOKUP(1,(OFFSET(IN_Verknüpfungen!$O$4,0,0,IN_Verknüpfungen!$A$2,1)=$A41)*(OFFSET(IN_Verknüpfungen!$P$4,0,0,IN_Verknüpfungen!$A$2,1)=V$3+1),OFFSET(IN_Verknüpfungen!$F$4,0,0,IN_Verknüpfungen!$A$2,1)))-SUM($G41:U41)</f>
        <v>#N/A</v>
      </c>
      <c r="W41" s="70" t="e" cm="1">
        <f t="array" aca="1" ref="W41" ca="1">_xlfn.NUMBERVALUE(_xlfn.XLOOKUP(1,(OFFSET(IN_Verknüpfungen!$O$4,0,0,IN_Verknüpfungen!$A$2,1)=$A41)*(OFFSET(IN_Verknüpfungen!$P$4,0,0,IN_Verknüpfungen!$A$2,1)=X$3),OFFSET(IN_Verknüpfungen!$J$4,0,0,IN_Verknüpfungen!$A$2,1)))-SUM($G41:V41)</f>
        <v>#N/A</v>
      </c>
      <c r="X41" s="70" t="e" cm="1">
        <f t="array" aca="1" ref="X41" ca="1">_xlfn.NUMBERVALUE(_xlfn.XLOOKUP(1,(OFFSET(IN_Verknüpfungen!$O$4,0,0,IN_Verknüpfungen!$A$2,1)=$A41)*(OFFSET(IN_Verknüpfungen!$P$4,0,0,IN_Verknüpfungen!$A$2,1)=X$3+1),OFFSET(IN_Verknüpfungen!$F$4,0,0,IN_Verknüpfungen!$A$2,1)))-SUM($G41:W41)</f>
        <v>#N/A</v>
      </c>
      <c r="Y41" s="70" t="e" cm="1">
        <f t="array" aca="1" ref="Y41" ca="1">_xlfn.NUMBERVALUE(_xlfn.XLOOKUP(1,(OFFSET(IN_Verknüpfungen!$O$4,0,0,IN_Verknüpfungen!$A$2,1)=$A41)*(OFFSET(IN_Verknüpfungen!$P$4,0,0,IN_Verknüpfungen!$A$2,1)=Z$3),OFFSET(IN_Verknüpfungen!$J$4,0,0,IN_Verknüpfungen!$A$2,1)))-SUM($G41:X41)</f>
        <v>#N/A</v>
      </c>
      <c r="Z41" s="70" t="e" cm="1">
        <f t="array" aca="1" ref="Z41" ca="1">_xlfn.NUMBERVALUE(_xlfn.XLOOKUP(1,(OFFSET(IN_Verknüpfungen!$O$4,0,0,IN_Verknüpfungen!$A$2,1)=$A41)*(OFFSET(IN_Verknüpfungen!$P$4,0,0,IN_Verknüpfungen!$A$2,1)=Z$3+1),OFFSET(IN_Verknüpfungen!$F$4,0,0,IN_Verknüpfungen!$A$2,1)))-SUM($G41:Y41)</f>
        <v>#N/A</v>
      </c>
      <c r="AA41" s="70" t="e" cm="1">
        <f t="array" aca="1" ref="AA41" ca="1">_xlfn.NUMBERVALUE(_xlfn.XLOOKUP(1,(OFFSET(IN_Verknüpfungen!$O$4,0,0,IN_Verknüpfungen!$A$2,1)=$A41)*(OFFSET(IN_Verknüpfungen!$P$4,0,0,IN_Verknüpfungen!$A$2,1)=AB$3),OFFSET(IN_Verknüpfungen!$J$4,0,0,IN_Verknüpfungen!$A$2,1)))-SUM($G41:Z41)</f>
        <v>#N/A</v>
      </c>
      <c r="AB41" s="70" t="e" cm="1">
        <f t="array" aca="1" ref="AB41" ca="1">_xlfn.NUMBERVALUE(_xlfn.XLOOKUP(1,(OFFSET(IN_Verknüpfungen!$O$4,0,0,IN_Verknüpfungen!$A$2,1)=$A41)*(OFFSET(IN_Verknüpfungen!$P$4,0,0,IN_Verknüpfungen!$A$2,1)=AB$3+1),OFFSET(IN_Verknüpfungen!$F$4,0,0,IN_Verknüpfungen!$A$2,1)))-SUM($G41:AA41)</f>
        <v>#N/A</v>
      </c>
    </row>
    <row r="42" spans="1:28" x14ac:dyDescent="0.2">
      <c r="A42" s="56" t="str">
        <f ca="1"/>
        <v>Composition 39</v>
      </c>
      <c r="B42" s="55" t="str" cm="1">
        <f t="array" aca="1" ref="B42" ca="1">IF(A42&lt;&gt;"",_xlfn.XLOOKUP(Laufwege!A42,OFFSET(IN_Verknüpfungen!L$4,0,0,IN_Verknüpfungen!A$2,1),OFFSET(IN_Verknüpfungen!N$4,0,0,IN_Verknüpfungen!A$2,1),""),"")</f>
        <v>462-1.0</v>
      </c>
      <c r="C42" s="55">
        <f ca="1">IF(A42&lt;&gt;"",SUMIFS(OFFSET(IN_Verknüpfungen!M$4,0,0,IN_Verknüpfungen!A$2,1),OFFSET(IN_Verknüpfungen!O$4,0,0,IN_Verknüpfungen!A$2,1),Laufwege!A42),0)</f>
        <v>720802</v>
      </c>
      <c r="D42" s="55" cm="1">
        <f t="array" aca="1" ref="D42" ca="1">IF(B42&lt;&gt;"",_xlfn.XLOOKUP(B42,OFFSET(IN_Stammdaten!$A$4,0,0,IN_Stammdaten!$A$2,1),OFFSET(IN_Stammdaten!$C$4,0,0,IN_Stammdaten!$A$2,1),""),"")</f>
        <v>0</v>
      </c>
      <c r="E42" s="55" t="str">
        <f t="shared" ca="1" si="0"/>
        <v>nein</v>
      </c>
      <c r="F42" s="69" t="str">
        <f t="shared" ca="1" si="1"/>
        <v>Composition 39 (462-1.0)</v>
      </c>
      <c r="G42" s="70" cm="1">
        <f t="array" aca="1" ref="G42" ca="1">_xlfn.NUMBERVALUE(_xlfn.XLOOKUP(A42,OFFSET(IN_Verknüpfungen!$L$4,0,0,IN_Verknüpfungen!$A$2,1),OFFSET(IN_Verknüpfungen!$Q$4,0,0,IN_Verknüpfungen!$A$2,1)))</f>
        <v>0.20252314814814815</v>
      </c>
      <c r="H42" s="70" cm="1">
        <f t="array" aca="1" ref="H42" ca="1">_xlfn.NUMBERVALUE(_xlfn.XLOOKUP(A42,OFFSET(IN_Verknüpfungen!$L$4,0,0,IN_Verknüpfungen!$A$2,1),OFFSET(IN_Verknüpfungen!$F$4,0,0,IN_Verknüpfungen!$A$2,1)))-G42</f>
        <v>0.10379629629629628</v>
      </c>
      <c r="I42" s="70" cm="1">
        <f t="array" aca="1" ref="I42" ca="1">_xlfn.NUMBERVALUE(_xlfn.XLOOKUP(1,(OFFSET(IN_Verknüpfungen!$O$4,0,0,IN_Verknüpfungen!$A$2,1)=$A42)*(OFFSET(IN_Verknüpfungen!$P$4,0,0,IN_Verknüpfungen!$A$2,1)=J$3),OFFSET(IN_Verknüpfungen!$J$4,0,0,IN_Verknüpfungen!$A$2,1)))-SUM($G42:H42)</f>
        <v>1.9259259259259309E-2</v>
      </c>
      <c r="J42" s="70" cm="1">
        <f t="array" aca="1" ref="J42" ca="1">_xlfn.NUMBERVALUE(_xlfn.XLOOKUP(1,(OFFSET(IN_Verknüpfungen!$O$4,0,0,IN_Verknüpfungen!$A$2,1)=$A42)*(OFFSET(IN_Verknüpfungen!$P$4,0,0,IN_Verknüpfungen!$A$2,1)=J$3+1),OFFSET(IN_Verknüpfungen!$F$4,0,0,IN_Verknüpfungen!$A$2,1)))-SUM($G42:I42)</f>
        <v>9.909722222222217E-2</v>
      </c>
      <c r="K42" s="70" cm="1">
        <f t="array" aca="1" ref="K42" ca="1">_xlfn.NUMBERVALUE(_xlfn.XLOOKUP(1,(OFFSET(IN_Verknüpfungen!$O$4,0,0,IN_Verknüpfungen!$A$2,1)=$A42)*(OFFSET(IN_Verknüpfungen!$P$4,0,0,IN_Verknüpfungen!$A$2,1)=L$3),OFFSET(IN_Verknüpfungen!$J$4,0,0,IN_Verknüpfungen!$A$2,1)))-SUM($G42:J42)</f>
        <v>1.5254629629629646E-2</v>
      </c>
      <c r="L42" s="70" cm="1">
        <f t="array" aca="1" ref="L42" ca="1">_xlfn.NUMBERVALUE(_xlfn.XLOOKUP(1,(OFFSET(IN_Verknüpfungen!$O$4,0,0,IN_Verknüpfungen!$A$2,1)=$A42)*(OFFSET(IN_Verknüpfungen!$P$4,0,0,IN_Verknüpfungen!$A$2,1)=L$3+1),OFFSET(IN_Verknüpfungen!$F$4,0,0,IN_Verknüpfungen!$A$2,1)))-SUM($G42:K42)</f>
        <v>9.424768518518517E-2</v>
      </c>
      <c r="M42" s="70" cm="1">
        <f t="array" aca="1" ref="M42" ca="1">_xlfn.NUMBERVALUE(_xlfn.XLOOKUP(1,(OFFSET(IN_Verknüpfungen!$O$4,0,0,IN_Verknüpfungen!$A$2,1)=$A42)*(OFFSET(IN_Verknüpfungen!$P$4,0,0,IN_Verknüpfungen!$A$2,1)=N$3),OFFSET(IN_Verknüpfungen!$J$4,0,0,IN_Verknüpfungen!$A$2,1)))-SUM($G42:L42)</f>
        <v>2.0960648148148131E-2</v>
      </c>
      <c r="N42" s="70" t="e" cm="1">
        <f t="array" aca="1" ref="N42" ca="1">_xlfn.NUMBERVALUE(_xlfn.XLOOKUP(1,(OFFSET(IN_Verknüpfungen!$O$4,0,0,IN_Verknüpfungen!$A$2,1)=$A42)*(OFFSET(IN_Verknüpfungen!$P$4,0,0,IN_Verknüpfungen!$A$2,1)=N$3+1),OFFSET(IN_Verknüpfungen!$F$4,0,0,IN_Verknüpfungen!$A$2,1)))-SUM($G42:M42)</f>
        <v>#N/A</v>
      </c>
      <c r="O42" s="70" t="e" cm="1">
        <f t="array" aca="1" ref="O42" ca="1">_xlfn.NUMBERVALUE(_xlfn.XLOOKUP(1,(OFFSET(IN_Verknüpfungen!$O$4,0,0,IN_Verknüpfungen!$A$2,1)=$A42)*(OFFSET(IN_Verknüpfungen!$P$4,0,0,IN_Verknüpfungen!$A$2,1)=P$3),OFFSET(IN_Verknüpfungen!$J$4,0,0,IN_Verknüpfungen!$A$2,1)))-SUM($G42:N42)</f>
        <v>#N/A</v>
      </c>
      <c r="P42" s="70" t="e" cm="1">
        <f t="array" aca="1" ref="P42" ca="1">_xlfn.NUMBERVALUE(_xlfn.XLOOKUP(1,(OFFSET(IN_Verknüpfungen!$O$4,0,0,IN_Verknüpfungen!$A$2,1)=$A42)*(OFFSET(IN_Verknüpfungen!$P$4,0,0,IN_Verknüpfungen!$A$2,1)=P$3+1),OFFSET(IN_Verknüpfungen!$F$4,0,0,IN_Verknüpfungen!$A$2,1)))-SUM($G42:O42)</f>
        <v>#N/A</v>
      </c>
      <c r="Q42" s="70" t="e" cm="1">
        <f t="array" aca="1" ref="Q42" ca="1">_xlfn.NUMBERVALUE(_xlfn.XLOOKUP(1,(OFFSET(IN_Verknüpfungen!$O$4,0,0,IN_Verknüpfungen!$A$2,1)=$A42)*(OFFSET(IN_Verknüpfungen!$P$4,0,0,IN_Verknüpfungen!$A$2,1)=R$3),OFFSET(IN_Verknüpfungen!$J$4,0,0,IN_Verknüpfungen!$A$2,1)))-SUM($G42:P42)</f>
        <v>#N/A</v>
      </c>
      <c r="R42" s="70" t="e" cm="1">
        <f t="array" aca="1" ref="R42" ca="1">_xlfn.NUMBERVALUE(_xlfn.XLOOKUP(1,(OFFSET(IN_Verknüpfungen!$O$4,0,0,IN_Verknüpfungen!$A$2,1)=$A42)*(OFFSET(IN_Verknüpfungen!$P$4,0,0,IN_Verknüpfungen!$A$2,1)=R$3+1),OFFSET(IN_Verknüpfungen!$F$4,0,0,IN_Verknüpfungen!$A$2,1)))-SUM($G42:Q42)</f>
        <v>#N/A</v>
      </c>
      <c r="S42" s="70" t="e" cm="1">
        <f t="array" aca="1" ref="S42" ca="1">_xlfn.NUMBERVALUE(_xlfn.XLOOKUP(1,(OFFSET(IN_Verknüpfungen!$O$4,0,0,IN_Verknüpfungen!$A$2,1)=$A42)*(OFFSET(IN_Verknüpfungen!$P$4,0,0,IN_Verknüpfungen!$A$2,1)=T$3),OFFSET(IN_Verknüpfungen!$J$4,0,0,IN_Verknüpfungen!$A$2,1)))-SUM($G42:R42)</f>
        <v>#N/A</v>
      </c>
      <c r="T42" s="70" t="e" cm="1">
        <f t="array" aca="1" ref="T42" ca="1">_xlfn.NUMBERVALUE(_xlfn.XLOOKUP(1,(OFFSET(IN_Verknüpfungen!$O$4,0,0,IN_Verknüpfungen!$A$2,1)=$A42)*(OFFSET(IN_Verknüpfungen!$P$4,0,0,IN_Verknüpfungen!$A$2,1)=T$3+1),OFFSET(IN_Verknüpfungen!$F$4,0,0,IN_Verknüpfungen!$A$2,1)))-SUM($G42:S42)</f>
        <v>#N/A</v>
      </c>
      <c r="U42" s="70" t="e" cm="1">
        <f t="array" aca="1" ref="U42" ca="1">_xlfn.NUMBERVALUE(_xlfn.XLOOKUP(1,(OFFSET(IN_Verknüpfungen!$O$4,0,0,IN_Verknüpfungen!$A$2,1)=$A42)*(OFFSET(IN_Verknüpfungen!$P$4,0,0,IN_Verknüpfungen!$A$2,1)=V$3),OFFSET(IN_Verknüpfungen!$J$4,0,0,IN_Verknüpfungen!$A$2,1)))-SUM($G42:T42)</f>
        <v>#N/A</v>
      </c>
      <c r="V42" s="70" t="e" cm="1">
        <f t="array" aca="1" ref="V42" ca="1">_xlfn.NUMBERVALUE(_xlfn.XLOOKUP(1,(OFFSET(IN_Verknüpfungen!$O$4,0,0,IN_Verknüpfungen!$A$2,1)=$A42)*(OFFSET(IN_Verknüpfungen!$P$4,0,0,IN_Verknüpfungen!$A$2,1)=V$3+1),OFFSET(IN_Verknüpfungen!$F$4,0,0,IN_Verknüpfungen!$A$2,1)))-SUM($G42:U42)</f>
        <v>#N/A</v>
      </c>
      <c r="W42" s="70" t="e" cm="1">
        <f t="array" aca="1" ref="W42" ca="1">_xlfn.NUMBERVALUE(_xlfn.XLOOKUP(1,(OFFSET(IN_Verknüpfungen!$O$4,0,0,IN_Verknüpfungen!$A$2,1)=$A42)*(OFFSET(IN_Verknüpfungen!$P$4,0,0,IN_Verknüpfungen!$A$2,1)=X$3),OFFSET(IN_Verknüpfungen!$J$4,0,0,IN_Verknüpfungen!$A$2,1)))-SUM($G42:V42)</f>
        <v>#N/A</v>
      </c>
      <c r="X42" s="70" t="e" cm="1">
        <f t="array" aca="1" ref="X42" ca="1">_xlfn.NUMBERVALUE(_xlfn.XLOOKUP(1,(OFFSET(IN_Verknüpfungen!$O$4,0,0,IN_Verknüpfungen!$A$2,1)=$A42)*(OFFSET(IN_Verknüpfungen!$P$4,0,0,IN_Verknüpfungen!$A$2,1)=X$3+1),OFFSET(IN_Verknüpfungen!$F$4,0,0,IN_Verknüpfungen!$A$2,1)))-SUM($G42:W42)</f>
        <v>#N/A</v>
      </c>
      <c r="Y42" s="70" t="e" cm="1">
        <f t="array" aca="1" ref="Y42" ca="1">_xlfn.NUMBERVALUE(_xlfn.XLOOKUP(1,(OFFSET(IN_Verknüpfungen!$O$4,0,0,IN_Verknüpfungen!$A$2,1)=$A42)*(OFFSET(IN_Verknüpfungen!$P$4,0,0,IN_Verknüpfungen!$A$2,1)=Z$3),OFFSET(IN_Verknüpfungen!$J$4,0,0,IN_Verknüpfungen!$A$2,1)))-SUM($G42:X42)</f>
        <v>#N/A</v>
      </c>
      <c r="Z42" s="70" t="e" cm="1">
        <f t="array" aca="1" ref="Z42" ca="1">_xlfn.NUMBERVALUE(_xlfn.XLOOKUP(1,(OFFSET(IN_Verknüpfungen!$O$4,0,0,IN_Verknüpfungen!$A$2,1)=$A42)*(OFFSET(IN_Verknüpfungen!$P$4,0,0,IN_Verknüpfungen!$A$2,1)=Z$3+1),OFFSET(IN_Verknüpfungen!$F$4,0,0,IN_Verknüpfungen!$A$2,1)))-SUM($G42:Y42)</f>
        <v>#N/A</v>
      </c>
      <c r="AA42" s="70" t="e" cm="1">
        <f t="array" aca="1" ref="AA42" ca="1">_xlfn.NUMBERVALUE(_xlfn.XLOOKUP(1,(OFFSET(IN_Verknüpfungen!$O$4,0,0,IN_Verknüpfungen!$A$2,1)=$A42)*(OFFSET(IN_Verknüpfungen!$P$4,0,0,IN_Verknüpfungen!$A$2,1)=AB$3),OFFSET(IN_Verknüpfungen!$J$4,0,0,IN_Verknüpfungen!$A$2,1)))-SUM($G42:Z42)</f>
        <v>#N/A</v>
      </c>
      <c r="AB42" s="70" t="e" cm="1">
        <f t="array" aca="1" ref="AB42" ca="1">_xlfn.NUMBERVALUE(_xlfn.XLOOKUP(1,(OFFSET(IN_Verknüpfungen!$O$4,0,0,IN_Verknüpfungen!$A$2,1)=$A42)*(OFFSET(IN_Verknüpfungen!$P$4,0,0,IN_Verknüpfungen!$A$2,1)=AB$3+1),OFFSET(IN_Verknüpfungen!$F$4,0,0,IN_Verknüpfungen!$A$2,1)))-SUM($G42:AA42)</f>
        <v>#N/A</v>
      </c>
    </row>
    <row r="43" spans="1:28" x14ac:dyDescent="0.2">
      <c r="A43" s="56" t="str">
        <f ca="1"/>
        <v>Composition 40</v>
      </c>
      <c r="B43" s="55" t="str" cm="1">
        <f t="array" aca="1" ref="B43" ca="1">IF(A43&lt;&gt;"",_xlfn.XLOOKUP(Laufwege!A43,OFFSET(IN_Verknüpfungen!L$4,0,0,IN_Verknüpfungen!A$2,1),OFFSET(IN_Verknüpfungen!N$4,0,0,IN_Verknüpfungen!A$2,1),""),"")</f>
        <v>146-3.2</v>
      </c>
      <c r="C43" s="55">
        <f ca="1">IF(A43&lt;&gt;"",SUMIFS(OFFSET(IN_Verknüpfungen!M$4,0,0,IN_Verknüpfungen!A$2,1),OFFSET(IN_Verknüpfungen!O$4,0,0,IN_Verknüpfungen!A$2,1),Laufwege!A43),0)</f>
        <v>260991</v>
      </c>
      <c r="D43" s="55" cm="1">
        <f t="array" aca="1" ref="D43" ca="1">IF(B43&lt;&gt;"",_xlfn.XLOOKUP(B43,OFFSET(IN_Stammdaten!$A$4,0,0,IN_Stammdaten!$A$2,1),OFFSET(IN_Stammdaten!$C$4,0,0,IN_Stammdaten!$A$2,1),""),"")</f>
        <v>0</v>
      </c>
      <c r="E43" s="55" t="str">
        <f t="shared" ca="1" si="0"/>
        <v>nein</v>
      </c>
      <c r="F43" s="69" t="str">
        <f t="shared" ca="1" si="1"/>
        <v>Composition 40 (146-3.2)</v>
      </c>
      <c r="G43" s="70" cm="1">
        <f t="array" aca="1" ref="G43" ca="1">_xlfn.NUMBERVALUE(_xlfn.XLOOKUP(A43,OFFSET(IN_Verknüpfungen!$L$4,0,0,IN_Verknüpfungen!$A$2,1),OFFSET(IN_Verknüpfungen!$Q$4,0,0,IN_Verknüpfungen!$A$2,1)))</f>
        <v>0.25166666666666665</v>
      </c>
      <c r="H43" s="70" cm="1">
        <f t="array" aca="1" ref="H43" ca="1">_xlfn.NUMBERVALUE(_xlfn.XLOOKUP(A43,OFFSET(IN_Verknüpfungen!$L$4,0,0,IN_Verknüpfungen!$A$2,1),OFFSET(IN_Verknüpfungen!$F$4,0,0,IN_Verknüpfungen!$A$2,1)))-G43</f>
        <v>5.5081018518518543E-2</v>
      </c>
      <c r="I43" s="70" cm="1">
        <f t="array" aca="1" ref="I43" ca="1">_xlfn.NUMBERVALUE(_xlfn.XLOOKUP(1,(OFFSET(IN_Verknüpfungen!$O$4,0,0,IN_Verknüpfungen!$A$2,1)=$A43)*(OFFSET(IN_Verknüpfungen!$P$4,0,0,IN_Verknüpfungen!$A$2,1)=J$3),OFFSET(IN_Verknüpfungen!$J$4,0,0,IN_Verknüpfungen!$A$2,1)))-SUM($G43:H43)</f>
        <v>2.7060185185185159E-2</v>
      </c>
      <c r="J43" s="70" cm="1">
        <f t="array" aca="1" ref="J43" ca="1">_xlfn.NUMBERVALUE(_xlfn.XLOOKUP(1,(OFFSET(IN_Verknüpfungen!$O$4,0,0,IN_Verknüpfungen!$A$2,1)=$A43)*(OFFSET(IN_Verknüpfungen!$P$4,0,0,IN_Verknüpfungen!$A$2,1)=J$3+1),OFFSET(IN_Verknüpfungen!$F$4,0,0,IN_Verknüpfungen!$A$2,1)))-SUM($G43:I43)</f>
        <v>4.4652777777777819E-2</v>
      </c>
      <c r="K43" s="70" cm="1">
        <f t="array" aca="1" ref="K43" ca="1">_xlfn.NUMBERVALUE(_xlfn.XLOOKUP(1,(OFFSET(IN_Verknüpfungen!$O$4,0,0,IN_Verknüpfungen!$A$2,1)=$A43)*(OFFSET(IN_Verknüpfungen!$P$4,0,0,IN_Verknüpfungen!$A$2,1)=L$3),OFFSET(IN_Verknüpfungen!$J$4,0,0,IN_Verknüpfungen!$A$2,1)))-SUM($G43:J43)</f>
        <v>3.0185185185185148E-2</v>
      </c>
      <c r="L43" s="70" cm="1">
        <f t="array" aca="1" ref="L43" ca="1">_xlfn.NUMBERVALUE(_xlfn.XLOOKUP(1,(OFFSET(IN_Verknüpfungen!$O$4,0,0,IN_Verknüpfungen!$A$2,1)=$A43)*(OFFSET(IN_Verknüpfungen!$P$4,0,0,IN_Verknüpfungen!$A$2,1)=L$3+1),OFFSET(IN_Verknüpfungen!$F$4,0,0,IN_Verknüpfungen!$A$2,1)))-SUM($G43:K43)</f>
        <v>4.6504629629629646E-2</v>
      </c>
      <c r="M43" s="70" cm="1">
        <f t="array" aca="1" ref="M43" ca="1">_xlfn.NUMBERVALUE(_xlfn.XLOOKUP(1,(OFFSET(IN_Verknüpfungen!$O$4,0,0,IN_Verknüpfungen!$A$2,1)=$A43)*(OFFSET(IN_Verknüpfungen!$P$4,0,0,IN_Verknüpfungen!$A$2,1)=N$3),OFFSET(IN_Verknüpfungen!$J$4,0,0,IN_Verknüpfungen!$A$2,1)))-SUM($G43:L43)</f>
        <v>3.2835648148148155E-2</v>
      </c>
      <c r="N43" s="70" cm="1">
        <f t="array" aca="1" ref="N43" ca="1">_xlfn.NUMBERVALUE(_xlfn.XLOOKUP(1,(OFFSET(IN_Verknüpfungen!$O$4,0,0,IN_Verknüpfungen!$A$2,1)=$A43)*(OFFSET(IN_Verknüpfungen!$P$4,0,0,IN_Verknüpfungen!$A$2,1)=N$3+1),OFFSET(IN_Verknüpfungen!$F$4,0,0,IN_Verknüpfungen!$A$2,1)))-SUM($G43:M43)</f>
        <v>4.5671296296296293E-2</v>
      </c>
      <c r="O43" s="70" cm="1">
        <f t="array" aca="1" ref="O43" ca="1">_xlfn.NUMBERVALUE(_xlfn.XLOOKUP(1,(OFFSET(IN_Verknüpfungen!$O$4,0,0,IN_Verknüpfungen!$A$2,1)=$A43)*(OFFSET(IN_Verknüpfungen!$P$4,0,0,IN_Verknüpfungen!$A$2,1)=P$3),OFFSET(IN_Verknüpfungen!$J$4,0,0,IN_Verknüpfungen!$A$2,1)))-SUM($G43:N43)</f>
        <v>1.9351851851851842E-2</v>
      </c>
      <c r="P43" s="70" t="e" cm="1">
        <f t="array" aca="1" ref="P43" ca="1">_xlfn.NUMBERVALUE(_xlfn.XLOOKUP(1,(OFFSET(IN_Verknüpfungen!$O$4,0,0,IN_Verknüpfungen!$A$2,1)=$A43)*(OFFSET(IN_Verknüpfungen!$P$4,0,0,IN_Verknüpfungen!$A$2,1)=P$3+1),OFFSET(IN_Verknüpfungen!$F$4,0,0,IN_Verknüpfungen!$A$2,1)))-SUM($G43:O43)</f>
        <v>#N/A</v>
      </c>
      <c r="Q43" s="70" t="e" cm="1">
        <f t="array" aca="1" ref="Q43" ca="1">_xlfn.NUMBERVALUE(_xlfn.XLOOKUP(1,(OFFSET(IN_Verknüpfungen!$O$4,0,0,IN_Verknüpfungen!$A$2,1)=$A43)*(OFFSET(IN_Verknüpfungen!$P$4,0,0,IN_Verknüpfungen!$A$2,1)=R$3),OFFSET(IN_Verknüpfungen!$J$4,0,0,IN_Verknüpfungen!$A$2,1)))-SUM($G43:P43)</f>
        <v>#N/A</v>
      </c>
      <c r="R43" s="70" t="e" cm="1">
        <f t="array" aca="1" ref="R43" ca="1">_xlfn.NUMBERVALUE(_xlfn.XLOOKUP(1,(OFFSET(IN_Verknüpfungen!$O$4,0,0,IN_Verknüpfungen!$A$2,1)=$A43)*(OFFSET(IN_Verknüpfungen!$P$4,0,0,IN_Verknüpfungen!$A$2,1)=R$3+1),OFFSET(IN_Verknüpfungen!$F$4,0,0,IN_Verknüpfungen!$A$2,1)))-SUM($G43:Q43)</f>
        <v>#N/A</v>
      </c>
      <c r="S43" s="70" t="e" cm="1">
        <f t="array" aca="1" ref="S43" ca="1">_xlfn.NUMBERVALUE(_xlfn.XLOOKUP(1,(OFFSET(IN_Verknüpfungen!$O$4,0,0,IN_Verknüpfungen!$A$2,1)=$A43)*(OFFSET(IN_Verknüpfungen!$P$4,0,0,IN_Verknüpfungen!$A$2,1)=T$3),OFFSET(IN_Verknüpfungen!$J$4,0,0,IN_Verknüpfungen!$A$2,1)))-SUM($G43:R43)</f>
        <v>#N/A</v>
      </c>
      <c r="T43" s="70" t="e" cm="1">
        <f t="array" aca="1" ref="T43" ca="1">_xlfn.NUMBERVALUE(_xlfn.XLOOKUP(1,(OFFSET(IN_Verknüpfungen!$O$4,0,0,IN_Verknüpfungen!$A$2,1)=$A43)*(OFFSET(IN_Verknüpfungen!$P$4,0,0,IN_Verknüpfungen!$A$2,1)=T$3+1),OFFSET(IN_Verknüpfungen!$F$4,0,0,IN_Verknüpfungen!$A$2,1)))-SUM($G43:S43)</f>
        <v>#N/A</v>
      </c>
      <c r="U43" s="70" t="e" cm="1">
        <f t="array" aca="1" ref="U43" ca="1">_xlfn.NUMBERVALUE(_xlfn.XLOOKUP(1,(OFFSET(IN_Verknüpfungen!$O$4,0,0,IN_Verknüpfungen!$A$2,1)=$A43)*(OFFSET(IN_Verknüpfungen!$P$4,0,0,IN_Verknüpfungen!$A$2,1)=V$3),OFFSET(IN_Verknüpfungen!$J$4,0,0,IN_Verknüpfungen!$A$2,1)))-SUM($G43:T43)</f>
        <v>#N/A</v>
      </c>
      <c r="V43" s="70" t="e" cm="1">
        <f t="array" aca="1" ref="V43" ca="1">_xlfn.NUMBERVALUE(_xlfn.XLOOKUP(1,(OFFSET(IN_Verknüpfungen!$O$4,0,0,IN_Verknüpfungen!$A$2,1)=$A43)*(OFFSET(IN_Verknüpfungen!$P$4,0,0,IN_Verknüpfungen!$A$2,1)=V$3+1),OFFSET(IN_Verknüpfungen!$F$4,0,0,IN_Verknüpfungen!$A$2,1)))-SUM($G43:U43)</f>
        <v>#N/A</v>
      </c>
      <c r="W43" s="70" t="e" cm="1">
        <f t="array" aca="1" ref="W43" ca="1">_xlfn.NUMBERVALUE(_xlfn.XLOOKUP(1,(OFFSET(IN_Verknüpfungen!$O$4,0,0,IN_Verknüpfungen!$A$2,1)=$A43)*(OFFSET(IN_Verknüpfungen!$P$4,0,0,IN_Verknüpfungen!$A$2,1)=X$3),OFFSET(IN_Verknüpfungen!$J$4,0,0,IN_Verknüpfungen!$A$2,1)))-SUM($G43:V43)</f>
        <v>#N/A</v>
      </c>
      <c r="X43" s="70" t="e" cm="1">
        <f t="array" aca="1" ref="X43" ca="1">_xlfn.NUMBERVALUE(_xlfn.XLOOKUP(1,(OFFSET(IN_Verknüpfungen!$O$4,0,0,IN_Verknüpfungen!$A$2,1)=$A43)*(OFFSET(IN_Verknüpfungen!$P$4,0,0,IN_Verknüpfungen!$A$2,1)=X$3+1),OFFSET(IN_Verknüpfungen!$F$4,0,0,IN_Verknüpfungen!$A$2,1)))-SUM($G43:W43)</f>
        <v>#N/A</v>
      </c>
      <c r="Y43" s="70" t="e" cm="1">
        <f t="array" aca="1" ref="Y43" ca="1">_xlfn.NUMBERVALUE(_xlfn.XLOOKUP(1,(OFFSET(IN_Verknüpfungen!$O$4,0,0,IN_Verknüpfungen!$A$2,1)=$A43)*(OFFSET(IN_Verknüpfungen!$P$4,0,0,IN_Verknüpfungen!$A$2,1)=Z$3),OFFSET(IN_Verknüpfungen!$J$4,0,0,IN_Verknüpfungen!$A$2,1)))-SUM($G43:X43)</f>
        <v>#N/A</v>
      </c>
      <c r="Z43" s="70" t="e" cm="1">
        <f t="array" aca="1" ref="Z43" ca="1">_xlfn.NUMBERVALUE(_xlfn.XLOOKUP(1,(OFFSET(IN_Verknüpfungen!$O$4,0,0,IN_Verknüpfungen!$A$2,1)=$A43)*(OFFSET(IN_Verknüpfungen!$P$4,0,0,IN_Verknüpfungen!$A$2,1)=Z$3+1),OFFSET(IN_Verknüpfungen!$F$4,0,0,IN_Verknüpfungen!$A$2,1)))-SUM($G43:Y43)</f>
        <v>#N/A</v>
      </c>
      <c r="AA43" s="70" t="e" cm="1">
        <f t="array" aca="1" ref="AA43" ca="1">_xlfn.NUMBERVALUE(_xlfn.XLOOKUP(1,(OFFSET(IN_Verknüpfungen!$O$4,0,0,IN_Verknüpfungen!$A$2,1)=$A43)*(OFFSET(IN_Verknüpfungen!$P$4,0,0,IN_Verknüpfungen!$A$2,1)=AB$3),OFFSET(IN_Verknüpfungen!$J$4,0,0,IN_Verknüpfungen!$A$2,1)))-SUM($G43:Z43)</f>
        <v>#N/A</v>
      </c>
      <c r="AB43" s="70" t="e" cm="1">
        <f t="array" aca="1" ref="AB43" ca="1">_xlfn.NUMBERVALUE(_xlfn.XLOOKUP(1,(OFFSET(IN_Verknüpfungen!$O$4,0,0,IN_Verknüpfungen!$A$2,1)=$A43)*(OFFSET(IN_Verknüpfungen!$P$4,0,0,IN_Verknüpfungen!$A$2,1)=AB$3+1),OFFSET(IN_Verknüpfungen!$F$4,0,0,IN_Verknüpfungen!$A$2,1)))-SUM($G43:AA43)</f>
        <v>#N/A</v>
      </c>
    </row>
    <row r="44" spans="1:28" x14ac:dyDescent="0.2">
      <c r="A44" s="56" t="str">
        <f ca="1"/>
        <v>Composition 41</v>
      </c>
      <c r="B44" s="55" t="str" cm="1">
        <f t="array" aca="1" ref="B44" ca="1">IF(A44&lt;&gt;"",_xlfn.XLOOKUP(Laufwege!A44,OFFSET(IN_Verknüpfungen!L$4,0,0,IN_Verknüpfungen!A$2,1),OFFSET(IN_Verknüpfungen!N$4,0,0,IN_Verknüpfungen!A$2,1),""),"")</f>
        <v>146-3.2</v>
      </c>
      <c r="C44" s="55">
        <f ca="1">IF(A44&lt;&gt;"",SUMIFS(OFFSET(IN_Verknüpfungen!M$4,0,0,IN_Verknüpfungen!A$2,1),OFFSET(IN_Verknüpfungen!O$4,0,0,IN_Verknüpfungen!A$2,1),Laufwege!A44),0)</f>
        <v>468022</v>
      </c>
      <c r="D44" s="55" cm="1">
        <f t="array" aca="1" ref="D44" ca="1">IF(B44&lt;&gt;"",_xlfn.XLOOKUP(B44,OFFSET(IN_Stammdaten!$A$4,0,0,IN_Stammdaten!$A$2,1),OFFSET(IN_Stammdaten!$C$4,0,0,IN_Stammdaten!$A$2,1),""),"")</f>
        <v>0</v>
      </c>
      <c r="E44" s="55" t="str">
        <f t="shared" ca="1" si="0"/>
        <v>nein</v>
      </c>
      <c r="F44" s="69" t="str">
        <f t="shared" ca="1" si="1"/>
        <v>Composition 41 (146-3.2)</v>
      </c>
      <c r="G44" s="70" cm="1">
        <f t="array" aca="1" ref="G44" ca="1">_xlfn.NUMBERVALUE(_xlfn.XLOOKUP(A44,OFFSET(IN_Verknüpfungen!$L$4,0,0,IN_Verknüpfungen!$A$2,1),OFFSET(IN_Verknüpfungen!$Q$4,0,0,IN_Verknüpfungen!$A$2,1)))</f>
        <v>0.24187500000000001</v>
      </c>
      <c r="H44" s="70" cm="1">
        <f t="array" aca="1" ref="H44" ca="1">_xlfn.NUMBERVALUE(_xlfn.XLOOKUP(A44,OFFSET(IN_Verknüpfungen!$L$4,0,0,IN_Verknüpfungen!$A$2,1),OFFSET(IN_Verknüpfungen!$F$4,0,0,IN_Verknüpfungen!$A$2,1)))-G44</f>
        <v>6.712962962962965E-2</v>
      </c>
      <c r="I44" s="70" cm="1">
        <f t="array" aca="1" ref="I44" ca="1">_xlfn.NUMBERVALUE(_xlfn.XLOOKUP(1,(OFFSET(IN_Verknüpfungen!$O$4,0,0,IN_Verknüpfungen!$A$2,1)=$A44)*(OFFSET(IN_Verknüpfungen!$P$4,0,0,IN_Verknüpfungen!$A$2,1)=J$3),OFFSET(IN_Verknüpfungen!$J$4,0,0,IN_Verknüpfungen!$A$2,1)))-SUM($G44:H44)</f>
        <v>1.6701388888888835E-2</v>
      </c>
      <c r="J44" s="70" cm="1">
        <f t="array" aca="1" ref="J44" ca="1">_xlfn.NUMBERVALUE(_xlfn.XLOOKUP(1,(OFFSET(IN_Verknüpfungen!$O$4,0,0,IN_Verknüpfungen!$A$2,1)=$A44)*(OFFSET(IN_Verknüpfungen!$P$4,0,0,IN_Verknüpfungen!$A$2,1)=J$3+1),OFFSET(IN_Verknüpfungen!$F$4,0,0,IN_Verknüpfungen!$A$2,1)))-SUM($G44:I44)</f>
        <v>4.5254629629629672E-2</v>
      </c>
      <c r="K44" s="70" cm="1">
        <f t="array" aca="1" ref="K44" ca="1">_xlfn.NUMBERVALUE(_xlfn.XLOOKUP(1,(OFFSET(IN_Verknüpfungen!$O$4,0,0,IN_Verknüpfungen!$A$2,1)=$A44)*(OFFSET(IN_Verknüpfungen!$P$4,0,0,IN_Verknüpfungen!$A$2,1)=L$3),OFFSET(IN_Verknüpfungen!$J$4,0,0,IN_Verknüpfungen!$A$2,1)))-SUM($G44:J44)</f>
        <v>1.1041666666666672E-2</v>
      </c>
      <c r="L44" s="70" cm="1">
        <f t="array" aca="1" ref="L44" ca="1">_xlfn.NUMBERVALUE(_xlfn.XLOOKUP(1,(OFFSET(IN_Verknüpfungen!$O$4,0,0,IN_Verknüpfungen!$A$2,1)=$A44)*(OFFSET(IN_Verknüpfungen!$P$4,0,0,IN_Verknüpfungen!$A$2,1)=L$3+1),OFFSET(IN_Verknüpfungen!$F$4,0,0,IN_Verknüpfungen!$A$2,1)))-SUM($G44:K44)</f>
        <v>8.4259259259259256E-2</v>
      </c>
      <c r="M44" s="70" cm="1">
        <f t="array" aca="1" ref="M44" ca="1">_xlfn.NUMBERVALUE(_xlfn.XLOOKUP(1,(OFFSET(IN_Verknüpfungen!$O$4,0,0,IN_Verknüpfungen!$A$2,1)=$A44)*(OFFSET(IN_Verknüpfungen!$P$4,0,0,IN_Verknüpfungen!$A$2,1)=N$3),OFFSET(IN_Verknüpfungen!$J$4,0,0,IN_Verknüpfungen!$A$2,1)))-SUM($G44:L44)</f>
        <v>1.635416666666667E-2</v>
      </c>
      <c r="N44" s="70" cm="1">
        <f t="array" aca="1" ref="N44" ca="1">_xlfn.NUMBERVALUE(_xlfn.XLOOKUP(1,(OFFSET(IN_Verknüpfungen!$O$4,0,0,IN_Verknüpfungen!$A$2,1)=$A44)*(OFFSET(IN_Verknüpfungen!$P$4,0,0,IN_Verknüpfungen!$A$2,1)=N$3+1),OFFSET(IN_Verknüpfungen!$F$4,0,0,IN_Verknüpfungen!$A$2,1)))-SUM($G44:M44)</f>
        <v>7.7731481481481457E-2</v>
      </c>
      <c r="O44" s="70" cm="1">
        <f t="array" aca="1" ref="O44" ca="1">_xlfn.NUMBERVALUE(_xlfn.XLOOKUP(1,(OFFSET(IN_Verknüpfungen!$O$4,0,0,IN_Verknüpfungen!$A$2,1)=$A44)*(OFFSET(IN_Verknüpfungen!$P$4,0,0,IN_Verknüpfungen!$A$2,1)=P$3),OFFSET(IN_Verknüpfungen!$J$4,0,0,IN_Verknüpfungen!$A$2,1)))-SUM($G44:N44)</f>
        <v>1.2002314814814841E-2</v>
      </c>
      <c r="P44" s="70" t="e" cm="1">
        <f t="array" aca="1" ref="P44" ca="1">_xlfn.NUMBERVALUE(_xlfn.XLOOKUP(1,(OFFSET(IN_Verknüpfungen!$O$4,0,0,IN_Verknüpfungen!$A$2,1)=$A44)*(OFFSET(IN_Verknüpfungen!$P$4,0,0,IN_Verknüpfungen!$A$2,1)=P$3+1),OFFSET(IN_Verknüpfungen!$F$4,0,0,IN_Verknüpfungen!$A$2,1)))-SUM($G44:O44)</f>
        <v>#N/A</v>
      </c>
      <c r="Q44" s="70" t="e" cm="1">
        <f t="array" aca="1" ref="Q44" ca="1">_xlfn.NUMBERVALUE(_xlfn.XLOOKUP(1,(OFFSET(IN_Verknüpfungen!$O$4,0,0,IN_Verknüpfungen!$A$2,1)=$A44)*(OFFSET(IN_Verknüpfungen!$P$4,0,0,IN_Verknüpfungen!$A$2,1)=R$3),OFFSET(IN_Verknüpfungen!$J$4,0,0,IN_Verknüpfungen!$A$2,1)))-SUM($G44:P44)</f>
        <v>#N/A</v>
      </c>
      <c r="R44" s="70" t="e" cm="1">
        <f t="array" aca="1" ref="R44" ca="1">_xlfn.NUMBERVALUE(_xlfn.XLOOKUP(1,(OFFSET(IN_Verknüpfungen!$O$4,0,0,IN_Verknüpfungen!$A$2,1)=$A44)*(OFFSET(IN_Verknüpfungen!$P$4,0,0,IN_Verknüpfungen!$A$2,1)=R$3+1),OFFSET(IN_Verknüpfungen!$F$4,0,0,IN_Verknüpfungen!$A$2,1)))-SUM($G44:Q44)</f>
        <v>#N/A</v>
      </c>
      <c r="S44" s="70" t="e" cm="1">
        <f t="array" aca="1" ref="S44" ca="1">_xlfn.NUMBERVALUE(_xlfn.XLOOKUP(1,(OFFSET(IN_Verknüpfungen!$O$4,0,0,IN_Verknüpfungen!$A$2,1)=$A44)*(OFFSET(IN_Verknüpfungen!$P$4,0,0,IN_Verknüpfungen!$A$2,1)=T$3),OFFSET(IN_Verknüpfungen!$J$4,0,0,IN_Verknüpfungen!$A$2,1)))-SUM($G44:R44)</f>
        <v>#N/A</v>
      </c>
      <c r="T44" s="70" t="e" cm="1">
        <f t="array" aca="1" ref="T44" ca="1">_xlfn.NUMBERVALUE(_xlfn.XLOOKUP(1,(OFFSET(IN_Verknüpfungen!$O$4,0,0,IN_Verknüpfungen!$A$2,1)=$A44)*(OFFSET(IN_Verknüpfungen!$P$4,0,0,IN_Verknüpfungen!$A$2,1)=T$3+1),OFFSET(IN_Verknüpfungen!$F$4,0,0,IN_Verknüpfungen!$A$2,1)))-SUM($G44:S44)</f>
        <v>#N/A</v>
      </c>
      <c r="U44" s="70" t="e" cm="1">
        <f t="array" aca="1" ref="U44" ca="1">_xlfn.NUMBERVALUE(_xlfn.XLOOKUP(1,(OFFSET(IN_Verknüpfungen!$O$4,0,0,IN_Verknüpfungen!$A$2,1)=$A44)*(OFFSET(IN_Verknüpfungen!$P$4,0,0,IN_Verknüpfungen!$A$2,1)=V$3),OFFSET(IN_Verknüpfungen!$J$4,0,0,IN_Verknüpfungen!$A$2,1)))-SUM($G44:T44)</f>
        <v>#N/A</v>
      </c>
      <c r="V44" s="70" t="e" cm="1">
        <f t="array" aca="1" ref="V44" ca="1">_xlfn.NUMBERVALUE(_xlfn.XLOOKUP(1,(OFFSET(IN_Verknüpfungen!$O$4,0,0,IN_Verknüpfungen!$A$2,1)=$A44)*(OFFSET(IN_Verknüpfungen!$P$4,0,0,IN_Verknüpfungen!$A$2,1)=V$3+1),OFFSET(IN_Verknüpfungen!$F$4,0,0,IN_Verknüpfungen!$A$2,1)))-SUM($G44:U44)</f>
        <v>#N/A</v>
      </c>
      <c r="W44" s="70" t="e" cm="1">
        <f t="array" aca="1" ref="W44" ca="1">_xlfn.NUMBERVALUE(_xlfn.XLOOKUP(1,(OFFSET(IN_Verknüpfungen!$O$4,0,0,IN_Verknüpfungen!$A$2,1)=$A44)*(OFFSET(IN_Verknüpfungen!$P$4,0,0,IN_Verknüpfungen!$A$2,1)=X$3),OFFSET(IN_Verknüpfungen!$J$4,0,0,IN_Verknüpfungen!$A$2,1)))-SUM($G44:V44)</f>
        <v>#N/A</v>
      </c>
      <c r="X44" s="70" t="e" cm="1">
        <f t="array" aca="1" ref="X44" ca="1">_xlfn.NUMBERVALUE(_xlfn.XLOOKUP(1,(OFFSET(IN_Verknüpfungen!$O$4,0,0,IN_Verknüpfungen!$A$2,1)=$A44)*(OFFSET(IN_Verknüpfungen!$P$4,0,0,IN_Verknüpfungen!$A$2,1)=X$3+1),OFFSET(IN_Verknüpfungen!$F$4,0,0,IN_Verknüpfungen!$A$2,1)))-SUM($G44:W44)</f>
        <v>#N/A</v>
      </c>
      <c r="Y44" s="70" t="e" cm="1">
        <f t="array" aca="1" ref="Y44" ca="1">_xlfn.NUMBERVALUE(_xlfn.XLOOKUP(1,(OFFSET(IN_Verknüpfungen!$O$4,0,0,IN_Verknüpfungen!$A$2,1)=$A44)*(OFFSET(IN_Verknüpfungen!$P$4,0,0,IN_Verknüpfungen!$A$2,1)=Z$3),OFFSET(IN_Verknüpfungen!$J$4,0,0,IN_Verknüpfungen!$A$2,1)))-SUM($G44:X44)</f>
        <v>#N/A</v>
      </c>
      <c r="Z44" s="70" t="e" cm="1">
        <f t="array" aca="1" ref="Z44" ca="1">_xlfn.NUMBERVALUE(_xlfn.XLOOKUP(1,(OFFSET(IN_Verknüpfungen!$O$4,0,0,IN_Verknüpfungen!$A$2,1)=$A44)*(OFFSET(IN_Verknüpfungen!$P$4,0,0,IN_Verknüpfungen!$A$2,1)=Z$3+1),OFFSET(IN_Verknüpfungen!$F$4,0,0,IN_Verknüpfungen!$A$2,1)))-SUM($G44:Y44)</f>
        <v>#N/A</v>
      </c>
      <c r="AA44" s="70" t="e" cm="1">
        <f t="array" aca="1" ref="AA44" ca="1">_xlfn.NUMBERVALUE(_xlfn.XLOOKUP(1,(OFFSET(IN_Verknüpfungen!$O$4,0,0,IN_Verknüpfungen!$A$2,1)=$A44)*(OFFSET(IN_Verknüpfungen!$P$4,0,0,IN_Verknüpfungen!$A$2,1)=AB$3),OFFSET(IN_Verknüpfungen!$J$4,0,0,IN_Verknüpfungen!$A$2,1)))-SUM($G44:Z44)</f>
        <v>#N/A</v>
      </c>
      <c r="AB44" s="70" t="e" cm="1">
        <f t="array" aca="1" ref="AB44" ca="1">_xlfn.NUMBERVALUE(_xlfn.XLOOKUP(1,(OFFSET(IN_Verknüpfungen!$O$4,0,0,IN_Verknüpfungen!$A$2,1)=$A44)*(OFFSET(IN_Verknüpfungen!$P$4,0,0,IN_Verknüpfungen!$A$2,1)=AB$3+1),OFFSET(IN_Verknüpfungen!$F$4,0,0,IN_Verknüpfungen!$A$2,1)))-SUM($G44:AA44)</f>
        <v>#N/A</v>
      </c>
    </row>
    <row r="45" spans="1:28" x14ac:dyDescent="0.2">
      <c r="A45" s="56" t="str">
        <f ca="1"/>
        <v>Composition 42</v>
      </c>
      <c r="B45" s="55" t="str" cm="1">
        <f t="array" aca="1" ref="B45" ca="1">IF(A45&lt;&gt;"",_xlfn.XLOOKUP(Laufwege!A45,OFFSET(IN_Verknüpfungen!L$4,0,0,IN_Verknüpfungen!A$2,1),OFFSET(IN_Verknüpfungen!N$4,0,0,IN_Verknüpfungen!A$2,1),""),"")</f>
        <v>462-1.0</v>
      </c>
      <c r="C45" s="55">
        <f ca="1">IF(A45&lt;&gt;"",SUMIFS(OFFSET(IN_Verknüpfungen!M$4,0,0,IN_Verknüpfungen!A$2,1),OFFSET(IN_Verknüpfungen!O$4,0,0,IN_Verknüpfungen!A$2,1),Laufwege!A45),0)</f>
        <v>483168</v>
      </c>
      <c r="D45" s="55" cm="1">
        <f t="array" aca="1" ref="D45" ca="1">IF(B45&lt;&gt;"",_xlfn.XLOOKUP(B45,OFFSET(IN_Stammdaten!$A$4,0,0,IN_Stammdaten!$A$2,1),OFFSET(IN_Stammdaten!$C$4,0,0,IN_Stammdaten!$A$2,1),""),"")</f>
        <v>0</v>
      </c>
      <c r="E45" s="55" t="str">
        <f t="shared" ca="1" si="0"/>
        <v>nein</v>
      </c>
      <c r="F45" s="69" t="str">
        <f t="shared" ca="1" si="1"/>
        <v>Composition 42 (462-1.0)</v>
      </c>
      <c r="G45" s="70" cm="1">
        <f t="array" aca="1" ref="G45" ca="1">_xlfn.NUMBERVALUE(_xlfn.XLOOKUP(A45,OFFSET(IN_Verknüpfungen!$L$4,0,0,IN_Verknüpfungen!$A$2,1),OFFSET(IN_Verknüpfungen!$Q$4,0,0,IN_Verknüpfungen!$A$2,1)))</f>
        <v>0.21575231481481483</v>
      </c>
      <c r="H45" s="70" cm="1">
        <f t="array" aca="1" ref="H45" ca="1">_xlfn.NUMBERVALUE(_xlfn.XLOOKUP(A45,OFFSET(IN_Verknüpfungen!$L$4,0,0,IN_Verknüpfungen!$A$2,1),OFFSET(IN_Verknüpfungen!$F$4,0,0,IN_Verknüpfungen!$A$2,1)))-G45</f>
        <v>9.3263888888888868E-2</v>
      </c>
      <c r="I45" s="70" cm="1">
        <f t="array" aca="1" ref="I45" ca="1">_xlfn.NUMBERVALUE(_xlfn.XLOOKUP(1,(OFFSET(IN_Verknüpfungen!$O$4,0,0,IN_Verknüpfungen!$A$2,1)=$A45)*(OFFSET(IN_Verknüpfungen!$P$4,0,0,IN_Verknüpfungen!$A$2,1)=J$3),OFFSET(IN_Verknüpfungen!$J$4,0,0,IN_Verknüpfungen!$A$2,1)))-SUM($G45:H45)</f>
        <v>2.3622685185185177E-2</v>
      </c>
      <c r="J45" s="70" cm="1">
        <f t="array" aca="1" ref="J45" ca="1">_xlfn.NUMBERVALUE(_xlfn.XLOOKUP(1,(OFFSET(IN_Verknüpfungen!$O$4,0,0,IN_Verknüpfungen!$A$2,1)=$A45)*(OFFSET(IN_Verknüpfungen!$P$4,0,0,IN_Verknüpfungen!$A$2,1)=J$3+1),OFFSET(IN_Verknüpfungen!$F$4,0,0,IN_Verknüpfungen!$A$2,1)))-SUM($G45:I45)</f>
        <v>8.1597222222222265E-2</v>
      </c>
      <c r="K45" s="70" cm="1">
        <f t="array" aca="1" ref="K45" ca="1">_xlfn.NUMBERVALUE(_xlfn.XLOOKUP(1,(OFFSET(IN_Verknüpfungen!$O$4,0,0,IN_Verknüpfungen!$A$2,1)=$A45)*(OFFSET(IN_Verknüpfungen!$P$4,0,0,IN_Verknüpfungen!$A$2,1)=L$3),OFFSET(IN_Verknüpfungen!$J$4,0,0,IN_Verknüpfungen!$A$2,1)))-SUM($G45:J45)</f>
        <v>1.9699074074074063E-2</v>
      </c>
      <c r="L45" s="70" cm="1">
        <f t="array" aca="1" ref="L45" ca="1">_xlfn.NUMBERVALUE(_xlfn.XLOOKUP(1,(OFFSET(IN_Verknüpfungen!$O$4,0,0,IN_Verknüpfungen!$A$2,1)=$A45)*(OFFSET(IN_Verknüpfungen!$P$4,0,0,IN_Verknüpfungen!$A$2,1)=L$3+1),OFFSET(IN_Verknüpfungen!$F$4,0,0,IN_Verknüpfungen!$A$2,1)))-SUM($G45:K45)</f>
        <v>8.3414351851851809E-2</v>
      </c>
      <c r="M45" s="70" cm="1">
        <f t="array" aca="1" ref="M45" ca="1">_xlfn.NUMBERVALUE(_xlfn.XLOOKUP(1,(OFFSET(IN_Verknüpfungen!$O$4,0,0,IN_Verknüpfungen!$A$2,1)=$A45)*(OFFSET(IN_Verknüpfungen!$P$4,0,0,IN_Verknüpfungen!$A$2,1)=N$3),OFFSET(IN_Verknüpfungen!$J$4,0,0,IN_Verknüpfungen!$A$2,1)))-SUM($G45:L45)</f>
        <v>2.3622685185185177E-2</v>
      </c>
      <c r="N45" s="70" t="e" cm="1">
        <f t="array" aca="1" ref="N45" ca="1">_xlfn.NUMBERVALUE(_xlfn.XLOOKUP(1,(OFFSET(IN_Verknüpfungen!$O$4,0,0,IN_Verknüpfungen!$A$2,1)=$A45)*(OFFSET(IN_Verknüpfungen!$P$4,0,0,IN_Verknüpfungen!$A$2,1)=N$3+1),OFFSET(IN_Verknüpfungen!$F$4,0,0,IN_Verknüpfungen!$A$2,1)))-SUM($G45:M45)</f>
        <v>#N/A</v>
      </c>
      <c r="O45" s="70" t="e" cm="1">
        <f t="array" aca="1" ref="O45" ca="1">_xlfn.NUMBERVALUE(_xlfn.XLOOKUP(1,(OFFSET(IN_Verknüpfungen!$O$4,0,0,IN_Verknüpfungen!$A$2,1)=$A45)*(OFFSET(IN_Verknüpfungen!$P$4,0,0,IN_Verknüpfungen!$A$2,1)=P$3),OFFSET(IN_Verknüpfungen!$J$4,0,0,IN_Verknüpfungen!$A$2,1)))-SUM($G45:N45)</f>
        <v>#N/A</v>
      </c>
      <c r="P45" s="70" t="e" cm="1">
        <f t="array" aca="1" ref="P45" ca="1">_xlfn.NUMBERVALUE(_xlfn.XLOOKUP(1,(OFFSET(IN_Verknüpfungen!$O$4,0,0,IN_Verknüpfungen!$A$2,1)=$A45)*(OFFSET(IN_Verknüpfungen!$P$4,0,0,IN_Verknüpfungen!$A$2,1)=P$3+1),OFFSET(IN_Verknüpfungen!$F$4,0,0,IN_Verknüpfungen!$A$2,1)))-SUM($G45:O45)</f>
        <v>#N/A</v>
      </c>
      <c r="Q45" s="70" t="e" cm="1">
        <f t="array" aca="1" ref="Q45" ca="1">_xlfn.NUMBERVALUE(_xlfn.XLOOKUP(1,(OFFSET(IN_Verknüpfungen!$O$4,0,0,IN_Verknüpfungen!$A$2,1)=$A45)*(OFFSET(IN_Verknüpfungen!$P$4,0,0,IN_Verknüpfungen!$A$2,1)=R$3),OFFSET(IN_Verknüpfungen!$J$4,0,0,IN_Verknüpfungen!$A$2,1)))-SUM($G45:P45)</f>
        <v>#N/A</v>
      </c>
      <c r="R45" s="70" t="e" cm="1">
        <f t="array" aca="1" ref="R45" ca="1">_xlfn.NUMBERVALUE(_xlfn.XLOOKUP(1,(OFFSET(IN_Verknüpfungen!$O$4,0,0,IN_Verknüpfungen!$A$2,1)=$A45)*(OFFSET(IN_Verknüpfungen!$P$4,0,0,IN_Verknüpfungen!$A$2,1)=R$3+1),OFFSET(IN_Verknüpfungen!$F$4,0,0,IN_Verknüpfungen!$A$2,1)))-SUM($G45:Q45)</f>
        <v>#N/A</v>
      </c>
      <c r="S45" s="70" t="e" cm="1">
        <f t="array" aca="1" ref="S45" ca="1">_xlfn.NUMBERVALUE(_xlfn.XLOOKUP(1,(OFFSET(IN_Verknüpfungen!$O$4,0,0,IN_Verknüpfungen!$A$2,1)=$A45)*(OFFSET(IN_Verknüpfungen!$P$4,0,0,IN_Verknüpfungen!$A$2,1)=T$3),OFFSET(IN_Verknüpfungen!$J$4,0,0,IN_Verknüpfungen!$A$2,1)))-SUM($G45:R45)</f>
        <v>#N/A</v>
      </c>
      <c r="T45" s="70" t="e" cm="1">
        <f t="array" aca="1" ref="T45" ca="1">_xlfn.NUMBERVALUE(_xlfn.XLOOKUP(1,(OFFSET(IN_Verknüpfungen!$O$4,0,0,IN_Verknüpfungen!$A$2,1)=$A45)*(OFFSET(IN_Verknüpfungen!$P$4,0,0,IN_Verknüpfungen!$A$2,1)=T$3+1),OFFSET(IN_Verknüpfungen!$F$4,0,0,IN_Verknüpfungen!$A$2,1)))-SUM($G45:S45)</f>
        <v>#N/A</v>
      </c>
      <c r="U45" s="70" t="e" cm="1">
        <f t="array" aca="1" ref="U45" ca="1">_xlfn.NUMBERVALUE(_xlfn.XLOOKUP(1,(OFFSET(IN_Verknüpfungen!$O$4,0,0,IN_Verknüpfungen!$A$2,1)=$A45)*(OFFSET(IN_Verknüpfungen!$P$4,0,0,IN_Verknüpfungen!$A$2,1)=V$3),OFFSET(IN_Verknüpfungen!$J$4,0,0,IN_Verknüpfungen!$A$2,1)))-SUM($G45:T45)</f>
        <v>#N/A</v>
      </c>
      <c r="V45" s="70" t="e" cm="1">
        <f t="array" aca="1" ref="V45" ca="1">_xlfn.NUMBERVALUE(_xlfn.XLOOKUP(1,(OFFSET(IN_Verknüpfungen!$O$4,0,0,IN_Verknüpfungen!$A$2,1)=$A45)*(OFFSET(IN_Verknüpfungen!$P$4,0,0,IN_Verknüpfungen!$A$2,1)=V$3+1),OFFSET(IN_Verknüpfungen!$F$4,0,0,IN_Verknüpfungen!$A$2,1)))-SUM($G45:U45)</f>
        <v>#N/A</v>
      </c>
      <c r="W45" s="70" t="e" cm="1">
        <f t="array" aca="1" ref="W45" ca="1">_xlfn.NUMBERVALUE(_xlfn.XLOOKUP(1,(OFFSET(IN_Verknüpfungen!$O$4,0,0,IN_Verknüpfungen!$A$2,1)=$A45)*(OFFSET(IN_Verknüpfungen!$P$4,0,0,IN_Verknüpfungen!$A$2,1)=X$3),OFFSET(IN_Verknüpfungen!$J$4,0,0,IN_Verknüpfungen!$A$2,1)))-SUM($G45:V45)</f>
        <v>#N/A</v>
      </c>
      <c r="X45" s="70" t="e" cm="1">
        <f t="array" aca="1" ref="X45" ca="1">_xlfn.NUMBERVALUE(_xlfn.XLOOKUP(1,(OFFSET(IN_Verknüpfungen!$O$4,0,0,IN_Verknüpfungen!$A$2,1)=$A45)*(OFFSET(IN_Verknüpfungen!$P$4,0,0,IN_Verknüpfungen!$A$2,1)=X$3+1),OFFSET(IN_Verknüpfungen!$F$4,0,0,IN_Verknüpfungen!$A$2,1)))-SUM($G45:W45)</f>
        <v>#N/A</v>
      </c>
      <c r="Y45" s="70" t="e" cm="1">
        <f t="array" aca="1" ref="Y45" ca="1">_xlfn.NUMBERVALUE(_xlfn.XLOOKUP(1,(OFFSET(IN_Verknüpfungen!$O$4,0,0,IN_Verknüpfungen!$A$2,1)=$A45)*(OFFSET(IN_Verknüpfungen!$P$4,0,0,IN_Verknüpfungen!$A$2,1)=Z$3),OFFSET(IN_Verknüpfungen!$J$4,0,0,IN_Verknüpfungen!$A$2,1)))-SUM($G45:X45)</f>
        <v>#N/A</v>
      </c>
      <c r="Z45" s="70" t="e" cm="1">
        <f t="array" aca="1" ref="Z45" ca="1">_xlfn.NUMBERVALUE(_xlfn.XLOOKUP(1,(OFFSET(IN_Verknüpfungen!$O$4,0,0,IN_Verknüpfungen!$A$2,1)=$A45)*(OFFSET(IN_Verknüpfungen!$P$4,0,0,IN_Verknüpfungen!$A$2,1)=Z$3+1),OFFSET(IN_Verknüpfungen!$F$4,0,0,IN_Verknüpfungen!$A$2,1)))-SUM($G45:Y45)</f>
        <v>#N/A</v>
      </c>
      <c r="AA45" s="70" t="e" cm="1">
        <f t="array" aca="1" ref="AA45" ca="1">_xlfn.NUMBERVALUE(_xlfn.XLOOKUP(1,(OFFSET(IN_Verknüpfungen!$O$4,0,0,IN_Verknüpfungen!$A$2,1)=$A45)*(OFFSET(IN_Verknüpfungen!$P$4,0,0,IN_Verknüpfungen!$A$2,1)=AB$3),OFFSET(IN_Verknüpfungen!$J$4,0,0,IN_Verknüpfungen!$A$2,1)))-SUM($G45:Z45)</f>
        <v>#N/A</v>
      </c>
      <c r="AB45" s="70" t="e" cm="1">
        <f t="array" aca="1" ref="AB45" ca="1">_xlfn.NUMBERVALUE(_xlfn.XLOOKUP(1,(OFFSET(IN_Verknüpfungen!$O$4,0,0,IN_Verknüpfungen!$A$2,1)=$A45)*(OFFSET(IN_Verknüpfungen!$P$4,0,0,IN_Verknüpfungen!$A$2,1)=AB$3+1),OFFSET(IN_Verknüpfungen!$F$4,0,0,IN_Verknüpfungen!$A$2,1)))-SUM($G45:AA45)</f>
        <v>#N/A</v>
      </c>
    </row>
    <row r="46" spans="1:28" x14ac:dyDescent="0.2">
      <c r="A46" s="56" t="str">
        <f ca="1"/>
        <v>Composition 43</v>
      </c>
      <c r="B46" s="55" t="str" cm="1">
        <f t="array" aca="1" ref="B46" ca="1">IF(A46&lt;&gt;"",_xlfn.XLOOKUP(Laufwege!A46,OFFSET(IN_Verknüpfungen!L$4,0,0,IN_Verknüpfungen!A$2,1),OFFSET(IN_Verknüpfungen!N$4,0,0,IN_Verknüpfungen!A$2,1),""),"")</f>
        <v>146-3.2</v>
      </c>
      <c r="C46" s="55">
        <f ca="1">IF(A46&lt;&gt;"",SUMIFS(OFFSET(IN_Verknüpfungen!M$4,0,0,IN_Verknüpfungen!A$2,1),OFFSET(IN_Verknüpfungen!O$4,0,0,IN_Verknüpfungen!A$2,1),Laufwege!A46),0)</f>
        <v>544096</v>
      </c>
      <c r="D46" s="55" cm="1">
        <f t="array" aca="1" ref="D46" ca="1">IF(B46&lt;&gt;"",_xlfn.XLOOKUP(B46,OFFSET(IN_Stammdaten!$A$4,0,0,IN_Stammdaten!$A$2,1),OFFSET(IN_Stammdaten!$C$4,0,0,IN_Stammdaten!$A$2,1),""),"")</f>
        <v>0</v>
      </c>
      <c r="E46" s="55" t="str">
        <f t="shared" ca="1" si="0"/>
        <v>nein</v>
      </c>
      <c r="F46" s="69" t="str">
        <f t="shared" ca="1" si="1"/>
        <v>Composition 43 (146-3.2)</v>
      </c>
      <c r="G46" s="70" cm="1">
        <f t="array" aca="1" ref="G46" ca="1">_xlfn.NUMBERVALUE(_xlfn.XLOOKUP(A46,OFFSET(IN_Verknüpfungen!$L$4,0,0,IN_Verknüpfungen!$A$2,1),OFFSET(IN_Verknüpfungen!$Q$4,0,0,IN_Verknüpfungen!$A$2,1)))</f>
        <v>0.22444444444444445</v>
      </c>
      <c r="H46" s="70" cm="1">
        <f t="array" aca="1" ref="H46" ca="1">_xlfn.NUMBERVALUE(_xlfn.XLOOKUP(A46,OFFSET(IN_Verknüpfungen!$L$4,0,0,IN_Verknüpfungen!$A$2,1),OFFSET(IN_Verknüpfungen!$F$4,0,0,IN_Verknüpfungen!$A$2,1)))-G46</f>
        <v>8.5902777777777772E-2</v>
      </c>
      <c r="I46" s="70" cm="1">
        <f t="array" aca="1" ref="I46" ca="1">_xlfn.NUMBERVALUE(_xlfn.XLOOKUP(1,(OFFSET(IN_Verknüpfungen!$O$4,0,0,IN_Verknüpfungen!$A$2,1)=$A46)*(OFFSET(IN_Verknüpfungen!$P$4,0,0,IN_Verknüpfungen!$A$2,1)=J$3),OFFSET(IN_Verknüpfungen!$J$4,0,0,IN_Verknüpfungen!$A$2,1)))-SUM($G46:H46)</f>
        <v>1.2002314814814841E-2</v>
      </c>
      <c r="J46" s="70" cm="1">
        <f t="array" aca="1" ref="J46" ca="1">_xlfn.NUMBERVALUE(_xlfn.XLOOKUP(1,(OFFSET(IN_Verknüpfungen!$O$4,0,0,IN_Verknüpfungen!$A$2,1)=$A46)*(OFFSET(IN_Verknüpfungen!$P$4,0,0,IN_Verknüpfungen!$A$2,1)=J$3+1),OFFSET(IN_Verknüpfungen!$F$4,0,0,IN_Verknüpfungen!$A$2,1)))-SUM($G46:I46)</f>
        <v>4.5659722222222199E-2</v>
      </c>
      <c r="K46" s="70" cm="1">
        <f t="array" aca="1" ref="K46" ca="1">_xlfn.NUMBERVALUE(_xlfn.XLOOKUP(1,(OFFSET(IN_Verknüpfungen!$O$4,0,0,IN_Verknüpfungen!$A$2,1)=$A46)*(OFFSET(IN_Verknüpfungen!$P$4,0,0,IN_Verknüpfungen!$A$2,1)=L$3),OFFSET(IN_Verknüpfungen!$J$4,0,0,IN_Verknüpfungen!$A$2,1)))-SUM($G46:J46)</f>
        <v>1.9212962962962987E-2</v>
      </c>
      <c r="L46" s="70" cm="1">
        <f t="array" aca="1" ref="L46" ca="1">_xlfn.NUMBERVALUE(_xlfn.XLOOKUP(1,(OFFSET(IN_Verknüpfungen!$O$4,0,0,IN_Verknüpfungen!$A$2,1)=$A46)*(OFFSET(IN_Verknüpfungen!$P$4,0,0,IN_Verknüpfungen!$A$2,1)=L$3+1),OFFSET(IN_Verknüpfungen!$F$4,0,0,IN_Verknüpfungen!$A$2,1)))-SUM($G46:K46)</f>
        <v>5.070601851851847E-2</v>
      </c>
      <c r="M46" s="70" cm="1">
        <f t="array" aca="1" ref="M46" ca="1">_xlfn.NUMBERVALUE(_xlfn.XLOOKUP(1,(OFFSET(IN_Verknüpfungen!$O$4,0,0,IN_Verknüpfungen!$A$2,1)=$A46)*(OFFSET(IN_Verknüpfungen!$P$4,0,0,IN_Verknüpfungen!$A$2,1)=N$3),OFFSET(IN_Verknüpfungen!$J$4,0,0,IN_Verknüpfungen!$A$2,1)))-SUM($G46:L46)</f>
        <v>2.4548611111111118E-2</v>
      </c>
      <c r="N46" s="70" cm="1">
        <f t="array" aca="1" ref="N46" ca="1">_xlfn.NUMBERVALUE(_xlfn.XLOOKUP(1,(OFFSET(IN_Verknüpfungen!$O$4,0,0,IN_Verknüpfungen!$A$2,1)=$A46)*(OFFSET(IN_Verknüpfungen!$P$4,0,0,IN_Verknüpfungen!$A$2,1)=N$3+1),OFFSET(IN_Verknüpfungen!$F$4,0,0,IN_Verknüpfungen!$A$2,1)))-SUM($G46:M46)</f>
        <v>5.4861111111111138E-2</v>
      </c>
      <c r="O46" s="70" cm="1">
        <f t="array" aca="1" ref="O46" ca="1">_xlfn.NUMBERVALUE(_xlfn.XLOOKUP(1,(OFFSET(IN_Verknüpfungen!$O$4,0,0,IN_Verknüpfungen!$A$2,1)=$A46)*(OFFSET(IN_Verknüpfungen!$P$4,0,0,IN_Verknüpfungen!$A$2,1)=P$3),OFFSET(IN_Verknüpfungen!$J$4,0,0,IN_Verknüpfungen!$A$2,1)))-SUM($G46:N46)</f>
        <v>1.6701388888888835E-2</v>
      </c>
      <c r="P46" s="70" cm="1">
        <f t="array" aca="1" ref="P46" ca="1">_xlfn.NUMBERVALUE(_xlfn.XLOOKUP(1,(OFFSET(IN_Verknüpfungen!$O$4,0,0,IN_Verknüpfungen!$A$2,1)=$A46)*(OFFSET(IN_Verknüpfungen!$P$4,0,0,IN_Verknüpfungen!$A$2,1)=P$3+1),OFFSET(IN_Verknüpfungen!$F$4,0,0,IN_Verknüpfungen!$A$2,1)))-SUM($G46:O46)</f>
        <v>4.5243055555555634E-2</v>
      </c>
      <c r="Q46" s="70" cm="1">
        <f t="array" aca="1" ref="Q46" ca="1">_xlfn.NUMBERVALUE(_xlfn.XLOOKUP(1,(OFFSET(IN_Verknüpfungen!$O$4,0,0,IN_Verknüpfungen!$A$2,1)=$A46)*(OFFSET(IN_Verknüpfungen!$P$4,0,0,IN_Verknüpfungen!$A$2,1)=R$3),OFFSET(IN_Verknüpfungen!$J$4,0,0,IN_Verknüpfungen!$A$2,1)))-SUM($G46:P46)</f>
        <v>1.1053240740740655E-2</v>
      </c>
      <c r="R46" s="70" t="e" cm="1">
        <f t="array" aca="1" ref="R46" ca="1">_xlfn.NUMBERVALUE(_xlfn.XLOOKUP(1,(OFFSET(IN_Verknüpfungen!$O$4,0,0,IN_Verknüpfungen!$A$2,1)=$A46)*(OFFSET(IN_Verknüpfungen!$P$4,0,0,IN_Verknüpfungen!$A$2,1)=R$3+1),OFFSET(IN_Verknüpfungen!$F$4,0,0,IN_Verknüpfungen!$A$2,1)))-SUM($G46:Q46)</f>
        <v>#N/A</v>
      </c>
      <c r="S46" s="70" t="e" cm="1">
        <f t="array" aca="1" ref="S46" ca="1">_xlfn.NUMBERVALUE(_xlfn.XLOOKUP(1,(OFFSET(IN_Verknüpfungen!$O$4,0,0,IN_Verknüpfungen!$A$2,1)=$A46)*(OFFSET(IN_Verknüpfungen!$P$4,0,0,IN_Verknüpfungen!$A$2,1)=T$3),OFFSET(IN_Verknüpfungen!$J$4,0,0,IN_Verknüpfungen!$A$2,1)))-SUM($G46:R46)</f>
        <v>#N/A</v>
      </c>
      <c r="T46" s="70" t="e" cm="1">
        <f t="array" aca="1" ref="T46" ca="1">_xlfn.NUMBERVALUE(_xlfn.XLOOKUP(1,(OFFSET(IN_Verknüpfungen!$O$4,0,0,IN_Verknüpfungen!$A$2,1)=$A46)*(OFFSET(IN_Verknüpfungen!$P$4,0,0,IN_Verknüpfungen!$A$2,1)=T$3+1),OFFSET(IN_Verknüpfungen!$F$4,0,0,IN_Verknüpfungen!$A$2,1)))-SUM($G46:S46)</f>
        <v>#N/A</v>
      </c>
      <c r="U46" s="70" t="e" cm="1">
        <f t="array" aca="1" ref="U46" ca="1">_xlfn.NUMBERVALUE(_xlfn.XLOOKUP(1,(OFFSET(IN_Verknüpfungen!$O$4,0,0,IN_Verknüpfungen!$A$2,1)=$A46)*(OFFSET(IN_Verknüpfungen!$P$4,0,0,IN_Verknüpfungen!$A$2,1)=V$3),OFFSET(IN_Verknüpfungen!$J$4,0,0,IN_Verknüpfungen!$A$2,1)))-SUM($G46:T46)</f>
        <v>#N/A</v>
      </c>
      <c r="V46" s="70" t="e" cm="1">
        <f t="array" aca="1" ref="V46" ca="1">_xlfn.NUMBERVALUE(_xlfn.XLOOKUP(1,(OFFSET(IN_Verknüpfungen!$O$4,0,0,IN_Verknüpfungen!$A$2,1)=$A46)*(OFFSET(IN_Verknüpfungen!$P$4,0,0,IN_Verknüpfungen!$A$2,1)=V$3+1),OFFSET(IN_Verknüpfungen!$F$4,0,0,IN_Verknüpfungen!$A$2,1)))-SUM($G46:U46)</f>
        <v>#N/A</v>
      </c>
      <c r="W46" s="70" t="e" cm="1">
        <f t="array" aca="1" ref="W46" ca="1">_xlfn.NUMBERVALUE(_xlfn.XLOOKUP(1,(OFFSET(IN_Verknüpfungen!$O$4,0,0,IN_Verknüpfungen!$A$2,1)=$A46)*(OFFSET(IN_Verknüpfungen!$P$4,0,0,IN_Verknüpfungen!$A$2,1)=X$3),OFFSET(IN_Verknüpfungen!$J$4,0,0,IN_Verknüpfungen!$A$2,1)))-SUM($G46:V46)</f>
        <v>#N/A</v>
      </c>
      <c r="X46" s="70" t="e" cm="1">
        <f t="array" aca="1" ref="X46" ca="1">_xlfn.NUMBERVALUE(_xlfn.XLOOKUP(1,(OFFSET(IN_Verknüpfungen!$O$4,0,0,IN_Verknüpfungen!$A$2,1)=$A46)*(OFFSET(IN_Verknüpfungen!$P$4,0,0,IN_Verknüpfungen!$A$2,1)=X$3+1),OFFSET(IN_Verknüpfungen!$F$4,0,0,IN_Verknüpfungen!$A$2,1)))-SUM($G46:W46)</f>
        <v>#N/A</v>
      </c>
      <c r="Y46" s="70" t="e" cm="1">
        <f t="array" aca="1" ref="Y46" ca="1">_xlfn.NUMBERVALUE(_xlfn.XLOOKUP(1,(OFFSET(IN_Verknüpfungen!$O$4,0,0,IN_Verknüpfungen!$A$2,1)=$A46)*(OFFSET(IN_Verknüpfungen!$P$4,0,0,IN_Verknüpfungen!$A$2,1)=Z$3),OFFSET(IN_Verknüpfungen!$J$4,0,0,IN_Verknüpfungen!$A$2,1)))-SUM($G46:X46)</f>
        <v>#N/A</v>
      </c>
      <c r="Z46" s="70" t="e" cm="1">
        <f t="array" aca="1" ref="Z46" ca="1">_xlfn.NUMBERVALUE(_xlfn.XLOOKUP(1,(OFFSET(IN_Verknüpfungen!$O$4,0,0,IN_Verknüpfungen!$A$2,1)=$A46)*(OFFSET(IN_Verknüpfungen!$P$4,0,0,IN_Verknüpfungen!$A$2,1)=Z$3+1),OFFSET(IN_Verknüpfungen!$F$4,0,0,IN_Verknüpfungen!$A$2,1)))-SUM($G46:Y46)</f>
        <v>#N/A</v>
      </c>
      <c r="AA46" s="70" t="e" cm="1">
        <f t="array" aca="1" ref="AA46" ca="1">_xlfn.NUMBERVALUE(_xlfn.XLOOKUP(1,(OFFSET(IN_Verknüpfungen!$O$4,0,0,IN_Verknüpfungen!$A$2,1)=$A46)*(OFFSET(IN_Verknüpfungen!$P$4,0,0,IN_Verknüpfungen!$A$2,1)=AB$3),OFFSET(IN_Verknüpfungen!$J$4,0,0,IN_Verknüpfungen!$A$2,1)))-SUM($G46:Z46)</f>
        <v>#N/A</v>
      </c>
      <c r="AB46" s="70" t="e" cm="1">
        <f t="array" aca="1" ref="AB46" ca="1">_xlfn.NUMBERVALUE(_xlfn.XLOOKUP(1,(OFFSET(IN_Verknüpfungen!$O$4,0,0,IN_Verknüpfungen!$A$2,1)=$A46)*(OFFSET(IN_Verknüpfungen!$P$4,0,0,IN_Verknüpfungen!$A$2,1)=AB$3+1),OFFSET(IN_Verknüpfungen!$F$4,0,0,IN_Verknüpfungen!$A$2,1)))-SUM($G46:AA46)</f>
        <v>#N/A</v>
      </c>
    </row>
    <row r="47" spans="1:28" x14ac:dyDescent="0.2">
      <c r="A47" s="56" t="str">
        <f ca="1"/>
        <v>Composition 44</v>
      </c>
      <c r="B47" s="55" t="str" cm="1">
        <f t="array" aca="1" ref="B47" ca="1">IF(A47&lt;&gt;"",_xlfn.XLOOKUP(Laufwege!A47,OFFSET(IN_Verknüpfungen!L$4,0,0,IN_Verknüpfungen!A$2,1),OFFSET(IN_Verknüpfungen!N$4,0,0,IN_Verknüpfungen!A$2,1),""),"")</f>
        <v>462-1.0</v>
      </c>
      <c r="C47" s="55">
        <f ca="1">IF(A47&lt;&gt;"",SUMIFS(OFFSET(IN_Verknüpfungen!M$4,0,0,IN_Verknüpfungen!A$2,1),OFFSET(IN_Verknüpfungen!O$4,0,0,IN_Verknüpfungen!A$2,1),Laufwege!A47),0)</f>
        <v>616124</v>
      </c>
      <c r="D47" s="55" cm="1">
        <f t="array" aca="1" ref="D47" ca="1">IF(B47&lt;&gt;"",_xlfn.XLOOKUP(B47,OFFSET(IN_Stammdaten!$A$4,0,0,IN_Stammdaten!$A$2,1),OFFSET(IN_Stammdaten!$C$4,0,0,IN_Stammdaten!$A$2,1),""),"")</f>
        <v>0</v>
      </c>
      <c r="E47" s="55" t="str">
        <f t="shared" ca="1" si="0"/>
        <v>nein</v>
      </c>
      <c r="F47" s="69" t="str">
        <f t="shared" ca="1" si="1"/>
        <v>Composition 44 (462-1.0)</v>
      </c>
      <c r="G47" s="70" cm="1">
        <f t="array" aca="1" ref="G47" ca="1">_xlfn.NUMBERVALUE(_xlfn.XLOOKUP(A47,OFFSET(IN_Verknüpfungen!$L$4,0,0,IN_Verknüpfungen!$A$2,1),OFFSET(IN_Verknüpfungen!$Q$4,0,0,IN_Verknüpfungen!$A$2,1)))</f>
        <v>0.21843750000000001</v>
      </c>
      <c r="H47" s="70" cm="1">
        <f t="array" aca="1" ref="H47" ca="1">_xlfn.NUMBERVALUE(_xlfn.XLOOKUP(A47,OFFSET(IN_Verknüpfungen!$L$4,0,0,IN_Verknüpfungen!$A$2,1),OFFSET(IN_Verknüpfungen!$F$4,0,0,IN_Verknüpfungen!$A$2,1)))-G47</f>
        <v>9.3159722222222241E-2</v>
      </c>
      <c r="I47" s="70" cm="1">
        <f t="array" aca="1" ref="I47" ca="1">_xlfn.NUMBERVALUE(_xlfn.XLOOKUP(1,(OFFSET(IN_Verknüpfungen!$O$4,0,0,IN_Verknüpfungen!$A$2,1)=$A47)*(OFFSET(IN_Verknüpfungen!$P$4,0,0,IN_Verknüpfungen!$A$2,1)=J$3),OFFSET(IN_Verknüpfungen!$J$4,0,0,IN_Verknüpfungen!$A$2,1)))-SUM($G47:H47)</f>
        <v>2.7395833333333286E-2</v>
      </c>
      <c r="J47" s="70" cm="1">
        <f t="array" aca="1" ref="J47" ca="1">_xlfn.NUMBERVALUE(_xlfn.XLOOKUP(1,(OFFSET(IN_Verknüpfungen!$O$4,0,0,IN_Verknüpfungen!$A$2,1)=$A47)*(OFFSET(IN_Verknüpfungen!$P$4,0,0,IN_Verknüpfungen!$A$2,1)=J$3+1),OFFSET(IN_Verknüpfungen!$F$4,0,0,IN_Verknüpfungen!$A$2,1)))-SUM($G47:I47)</f>
        <v>8.8506944444444458E-2</v>
      </c>
      <c r="K47" s="70" cm="1">
        <f t="array" aca="1" ref="K47" ca="1">_xlfn.NUMBERVALUE(_xlfn.XLOOKUP(1,(OFFSET(IN_Verknüpfungen!$O$4,0,0,IN_Verknüpfungen!$A$2,1)=$A47)*(OFFSET(IN_Verknüpfungen!$P$4,0,0,IN_Verknüpfungen!$A$2,1)=L$3),OFFSET(IN_Verknüpfungen!$J$4,0,0,IN_Verknüpfungen!$A$2,1)))-SUM($G47:J47)</f>
        <v>4.4791666666667007E-3</v>
      </c>
      <c r="L47" s="70" cm="1">
        <f t="array" aca="1" ref="L47" ca="1">_xlfn.NUMBERVALUE(_xlfn.XLOOKUP(1,(OFFSET(IN_Verknüpfungen!$O$4,0,0,IN_Verknüpfungen!$A$2,1)=$A47)*(OFFSET(IN_Verknüpfungen!$P$4,0,0,IN_Verknüpfungen!$A$2,1)=L$3+1),OFFSET(IN_Verknüpfungen!$F$4,0,0,IN_Verknüpfungen!$A$2,1)))-SUM($G47:K47)</f>
        <v>8.7951388888888871E-2</v>
      </c>
      <c r="M47" s="70" cm="1">
        <f t="array" aca="1" ref="M47" ca="1">_xlfn.NUMBERVALUE(_xlfn.XLOOKUP(1,(OFFSET(IN_Verknüpfungen!$O$4,0,0,IN_Verknüpfungen!$A$2,1)=$A47)*(OFFSET(IN_Verknüpfungen!$P$4,0,0,IN_Verknüpfungen!$A$2,1)=N$3),OFFSET(IN_Verknüpfungen!$J$4,0,0,IN_Verknüpfungen!$A$2,1)))-SUM($G47:L47)</f>
        <v>2.7395833333333286E-2</v>
      </c>
      <c r="N47" s="70" t="e" cm="1">
        <f t="array" aca="1" ref="N47" ca="1">_xlfn.NUMBERVALUE(_xlfn.XLOOKUP(1,(OFFSET(IN_Verknüpfungen!$O$4,0,0,IN_Verknüpfungen!$A$2,1)=$A47)*(OFFSET(IN_Verknüpfungen!$P$4,0,0,IN_Verknüpfungen!$A$2,1)=N$3+1),OFFSET(IN_Verknüpfungen!$F$4,0,0,IN_Verknüpfungen!$A$2,1)))-SUM($G47:M47)</f>
        <v>#N/A</v>
      </c>
      <c r="O47" s="70" t="e" cm="1">
        <f t="array" aca="1" ref="O47" ca="1">_xlfn.NUMBERVALUE(_xlfn.XLOOKUP(1,(OFFSET(IN_Verknüpfungen!$O$4,0,0,IN_Verknüpfungen!$A$2,1)=$A47)*(OFFSET(IN_Verknüpfungen!$P$4,0,0,IN_Verknüpfungen!$A$2,1)=P$3),OFFSET(IN_Verknüpfungen!$J$4,0,0,IN_Verknüpfungen!$A$2,1)))-SUM($G47:N47)</f>
        <v>#N/A</v>
      </c>
      <c r="P47" s="70" t="e" cm="1">
        <f t="array" aca="1" ref="P47" ca="1">_xlfn.NUMBERVALUE(_xlfn.XLOOKUP(1,(OFFSET(IN_Verknüpfungen!$O$4,0,0,IN_Verknüpfungen!$A$2,1)=$A47)*(OFFSET(IN_Verknüpfungen!$P$4,0,0,IN_Verknüpfungen!$A$2,1)=P$3+1),OFFSET(IN_Verknüpfungen!$F$4,0,0,IN_Verknüpfungen!$A$2,1)))-SUM($G47:O47)</f>
        <v>#N/A</v>
      </c>
      <c r="Q47" s="70" t="e" cm="1">
        <f t="array" aca="1" ref="Q47" ca="1">_xlfn.NUMBERVALUE(_xlfn.XLOOKUP(1,(OFFSET(IN_Verknüpfungen!$O$4,0,0,IN_Verknüpfungen!$A$2,1)=$A47)*(OFFSET(IN_Verknüpfungen!$P$4,0,0,IN_Verknüpfungen!$A$2,1)=R$3),OFFSET(IN_Verknüpfungen!$J$4,0,0,IN_Verknüpfungen!$A$2,1)))-SUM($G47:P47)</f>
        <v>#N/A</v>
      </c>
      <c r="R47" s="70" t="e" cm="1">
        <f t="array" aca="1" ref="R47" ca="1">_xlfn.NUMBERVALUE(_xlfn.XLOOKUP(1,(OFFSET(IN_Verknüpfungen!$O$4,0,0,IN_Verknüpfungen!$A$2,1)=$A47)*(OFFSET(IN_Verknüpfungen!$P$4,0,0,IN_Verknüpfungen!$A$2,1)=R$3+1),OFFSET(IN_Verknüpfungen!$F$4,0,0,IN_Verknüpfungen!$A$2,1)))-SUM($G47:Q47)</f>
        <v>#N/A</v>
      </c>
      <c r="S47" s="70" t="e" cm="1">
        <f t="array" aca="1" ref="S47" ca="1">_xlfn.NUMBERVALUE(_xlfn.XLOOKUP(1,(OFFSET(IN_Verknüpfungen!$O$4,0,0,IN_Verknüpfungen!$A$2,1)=$A47)*(OFFSET(IN_Verknüpfungen!$P$4,0,0,IN_Verknüpfungen!$A$2,1)=T$3),OFFSET(IN_Verknüpfungen!$J$4,0,0,IN_Verknüpfungen!$A$2,1)))-SUM($G47:R47)</f>
        <v>#N/A</v>
      </c>
      <c r="T47" s="70" t="e" cm="1">
        <f t="array" aca="1" ref="T47" ca="1">_xlfn.NUMBERVALUE(_xlfn.XLOOKUP(1,(OFFSET(IN_Verknüpfungen!$O$4,0,0,IN_Verknüpfungen!$A$2,1)=$A47)*(OFFSET(IN_Verknüpfungen!$P$4,0,0,IN_Verknüpfungen!$A$2,1)=T$3+1),OFFSET(IN_Verknüpfungen!$F$4,0,0,IN_Verknüpfungen!$A$2,1)))-SUM($G47:S47)</f>
        <v>#N/A</v>
      </c>
      <c r="U47" s="70" t="e" cm="1">
        <f t="array" aca="1" ref="U47" ca="1">_xlfn.NUMBERVALUE(_xlfn.XLOOKUP(1,(OFFSET(IN_Verknüpfungen!$O$4,0,0,IN_Verknüpfungen!$A$2,1)=$A47)*(OFFSET(IN_Verknüpfungen!$P$4,0,0,IN_Verknüpfungen!$A$2,1)=V$3),OFFSET(IN_Verknüpfungen!$J$4,0,0,IN_Verknüpfungen!$A$2,1)))-SUM($G47:T47)</f>
        <v>#N/A</v>
      </c>
      <c r="V47" s="70" t="e" cm="1">
        <f t="array" aca="1" ref="V47" ca="1">_xlfn.NUMBERVALUE(_xlfn.XLOOKUP(1,(OFFSET(IN_Verknüpfungen!$O$4,0,0,IN_Verknüpfungen!$A$2,1)=$A47)*(OFFSET(IN_Verknüpfungen!$P$4,0,0,IN_Verknüpfungen!$A$2,1)=V$3+1),OFFSET(IN_Verknüpfungen!$F$4,0,0,IN_Verknüpfungen!$A$2,1)))-SUM($G47:U47)</f>
        <v>#N/A</v>
      </c>
      <c r="W47" s="70" t="e" cm="1">
        <f t="array" aca="1" ref="W47" ca="1">_xlfn.NUMBERVALUE(_xlfn.XLOOKUP(1,(OFFSET(IN_Verknüpfungen!$O$4,0,0,IN_Verknüpfungen!$A$2,1)=$A47)*(OFFSET(IN_Verknüpfungen!$P$4,0,0,IN_Verknüpfungen!$A$2,1)=X$3),OFFSET(IN_Verknüpfungen!$J$4,0,0,IN_Verknüpfungen!$A$2,1)))-SUM($G47:V47)</f>
        <v>#N/A</v>
      </c>
      <c r="X47" s="70" t="e" cm="1">
        <f t="array" aca="1" ref="X47" ca="1">_xlfn.NUMBERVALUE(_xlfn.XLOOKUP(1,(OFFSET(IN_Verknüpfungen!$O$4,0,0,IN_Verknüpfungen!$A$2,1)=$A47)*(OFFSET(IN_Verknüpfungen!$P$4,0,0,IN_Verknüpfungen!$A$2,1)=X$3+1),OFFSET(IN_Verknüpfungen!$F$4,0,0,IN_Verknüpfungen!$A$2,1)))-SUM($G47:W47)</f>
        <v>#N/A</v>
      </c>
      <c r="Y47" s="70" t="e" cm="1">
        <f t="array" aca="1" ref="Y47" ca="1">_xlfn.NUMBERVALUE(_xlfn.XLOOKUP(1,(OFFSET(IN_Verknüpfungen!$O$4,0,0,IN_Verknüpfungen!$A$2,1)=$A47)*(OFFSET(IN_Verknüpfungen!$P$4,0,0,IN_Verknüpfungen!$A$2,1)=Z$3),OFFSET(IN_Verknüpfungen!$J$4,0,0,IN_Verknüpfungen!$A$2,1)))-SUM($G47:X47)</f>
        <v>#N/A</v>
      </c>
      <c r="Z47" s="70" t="e" cm="1">
        <f t="array" aca="1" ref="Z47" ca="1">_xlfn.NUMBERVALUE(_xlfn.XLOOKUP(1,(OFFSET(IN_Verknüpfungen!$O$4,0,0,IN_Verknüpfungen!$A$2,1)=$A47)*(OFFSET(IN_Verknüpfungen!$P$4,0,0,IN_Verknüpfungen!$A$2,1)=Z$3+1),OFFSET(IN_Verknüpfungen!$F$4,0,0,IN_Verknüpfungen!$A$2,1)))-SUM($G47:Y47)</f>
        <v>#N/A</v>
      </c>
      <c r="AA47" s="70" t="e" cm="1">
        <f t="array" aca="1" ref="AA47" ca="1">_xlfn.NUMBERVALUE(_xlfn.XLOOKUP(1,(OFFSET(IN_Verknüpfungen!$O$4,0,0,IN_Verknüpfungen!$A$2,1)=$A47)*(OFFSET(IN_Verknüpfungen!$P$4,0,0,IN_Verknüpfungen!$A$2,1)=AB$3),OFFSET(IN_Verknüpfungen!$J$4,0,0,IN_Verknüpfungen!$A$2,1)))-SUM($G47:Z47)</f>
        <v>#N/A</v>
      </c>
      <c r="AB47" s="70" t="e" cm="1">
        <f t="array" aca="1" ref="AB47" ca="1">_xlfn.NUMBERVALUE(_xlfn.XLOOKUP(1,(OFFSET(IN_Verknüpfungen!$O$4,0,0,IN_Verknüpfungen!$A$2,1)=$A47)*(OFFSET(IN_Verknüpfungen!$P$4,0,0,IN_Verknüpfungen!$A$2,1)=AB$3+1),OFFSET(IN_Verknüpfungen!$F$4,0,0,IN_Verknüpfungen!$A$2,1)))-SUM($G47:AA47)</f>
        <v>#N/A</v>
      </c>
    </row>
    <row r="48" spans="1:28" x14ac:dyDescent="0.2">
      <c r="A48" s="56" t="str">
        <f ca="1"/>
        <v>Composition 45</v>
      </c>
      <c r="B48" s="55" t="str" cm="1">
        <f t="array" aca="1" ref="B48" ca="1">IF(A48&lt;&gt;"",_xlfn.XLOOKUP(Laufwege!A48,OFFSET(IN_Verknüpfungen!L$4,0,0,IN_Verknüpfungen!A$2,1),OFFSET(IN_Verknüpfungen!N$4,0,0,IN_Verknüpfungen!A$2,1),""),"")</f>
        <v>462-1.0</v>
      </c>
      <c r="C48" s="55">
        <f ca="1">IF(A48&lt;&gt;"",SUMIFS(OFFSET(IN_Verknüpfungen!M$4,0,0,IN_Verknüpfungen!A$2,1),OFFSET(IN_Verknüpfungen!O$4,0,0,IN_Verknüpfungen!A$2,1),Laufwege!A48),0)</f>
        <v>388970</v>
      </c>
      <c r="D48" s="55" cm="1">
        <f t="array" aca="1" ref="D48" ca="1">IF(B48&lt;&gt;"",_xlfn.XLOOKUP(B48,OFFSET(IN_Stammdaten!$A$4,0,0,IN_Stammdaten!$A$2,1),OFFSET(IN_Stammdaten!$C$4,0,0,IN_Stammdaten!$A$2,1),""),"")</f>
        <v>0</v>
      </c>
      <c r="E48" s="55" t="str">
        <f t="shared" ca="1" si="0"/>
        <v>nein</v>
      </c>
      <c r="F48" s="69" t="str">
        <f t="shared" ca="1" si="1"/>
        <v>Composition 45 (462-1.0)</v>
      </c>
      <c r="G48" s="70" cm="1">
        <f t="array" aca="1" ref="G48" ca="1">_xlfn.NUMBERVALUE(_xlfn.XLOOKUP(A48,OFFSET(IN_Verknüpfungen!$L$4,0,0,IN_Verknüpfungen!$A$2,1),OFFSET(IN_Verknüpfungen!$Q$4,0,0,IN_Verknüpfungen!$A$2,1)))</f>
        <v>0.21454861111111112</v>
      </c>
      <c r="H48" s="70" cm="1">
        <f t="array" aca="1" ref="H48" ca="1">_xlfn.NUMBERVALUE(_xlfn.XLOOKUP(A48,OFFSET(IN_Verknüpfungen!$L$4,0,0,IN_Verknüpfungen!$A$2,1),OFFSET(IN_Verknüpfungen!$F$4,0,0,IN_Verknüpfungen!$A$2,1)))-G48</f>
        <v>9.7777777777777741E-2</v>
      </c>
      <c r="I48" s="70" cm="1">
        <f t="array" aca="1" ref="I48" ca="1">_xlfn.NUMBERVALUE(_xlfn.XLOOKUP(1,(OFFSET(IN_Verknüpfungen!$O$4,0,0,IN_Verknüpfungen!$A$2,1)=$A48)*(OFFSET(IN_Verknüpfungen!$P$4,0,0,IN_Verknüpfungen!$A$2,1)=J$3),OFFSET(IN_Verknüpfungen!$J$4,0,0,IN_Verknüpfungen!$A$2,1)))-SUM($G48:H48)</f>
        <v>1.5208333333333379E-2</v>
      </c>
      <c r="J48" s="70" cm="1">
        <f t="array" aca="1" ref="J48" ca="1">_xlfn.NUMBERVALUE(_xlfn.XLOOKUP(1,(OFFSET(IN_Verknüpfungen!$O$4,0,0,IN_Verknüpfungen!$A$2,1)=$A48)*(OFFSET(IN_Verknüpfungen!$P$4,0,0,IN_Verknüpfungen!$A$2,1)=J$3+1),OFFSET(IN_Verknüpfungen!$F$4,0,0,IN_Verknüpfungen!$A$2,1)))-SUM($G48:I48)</f>
        <v>7.696759259259256E-2</v>
      </c>
      <c r="K48" s="70" cm="1">
        <f t="array" aca="1" ref="K48" ca="1">_xlfn.NUMBERVALUE(_xlfn.XLOOKUP(1,(OFFSET(IN_Verknüpfungen!$O$4,0,0,IN_Verknüpfungen!$A$2,1)=$A48)*(OFFSET(IN_Verknüpfungen!$P$4,0,0,IN_Verknüpfungen!$A$2,1)=L$3),OFFSET(IN_Verknüpfungen!$J$4,0,0,IN_Verknüpfungen!$A$2,1)))-SUM($G48:J48)</f>
        <v>3.6759259259259269E-2</v>
      </c>
      <c r="L48" s="70" cm="1">
        <f t="array" aca="1" ref="L48" ca="1">_xlfn.NUMBERVALUE(_xlfn.XLOOKUP(1,(OFFSET(IN_Verknüpfungen!$O$4,0,0,IN_Verknüpfungen!$A$2,1)=$A48)*(OFFSET(IN_Verknüpfungen!$P$4,0,0,IN_Verknüpfungen!$A$2,1)=L$3+1),OFFSET(IN_Verknüpfungen!$F$4,0,0,IN_Verknüpfungen!$A$2,1)))-SUM($G48:K48)</f>
        <v>7.9398148148148162E-2</v>
      </c>
      <c r="M48" s="70" cm="1">
        <f t="array" aca="1" ref="M48" ca="1">_xlfn.NUMBERVALUE(_xlfn.XLOOKUP(1,(OFFSET(IN_Verknüpfungen!$O$4,0,0,IN_Verknüpfungen!$A$2,1)=$A48)*(OFFSET(IN_Verknüpfungen!$P$4,0,0,IN_Verknüpfungen!$A$2,1)=N$3),OFFSET(IN_Verknüpfungen!$J$4,0,0,IN_Verknüpfungen!$A$2,1)))-SUM($G48:L48)</f>
        <v>1.5208333333333268E-2</v>
      </c>
      <c r="N48" s="70" t="e" cm="1">
        <f t="array" aca="1" ref="N48" ca="1">_xlfn.NUMBERVALUE(_xlfn.XLOOKUP(1,(OFFSET(IN_Verknüpfungen!$O$4,0,0,IN_Verknüpfungen!$A$2,1)=$A48)*(OFFSET(IN_Verknüpfungen!$P$4,0,0,IN_Verknüpfungen!$A$2,1)=N$3+1),OFFSET(IN_Verknüpfungen!$F$4,0,0,IN_Verknüpfungen!$A$2,1)))-SUM($G48:M48)</f>
        <v>#N/A</v>
      </c>
      <c r="O48" s="70" t="e" cm="1">
        <f t="array" aca="1" ref="O48" ca="1">_xlfn.NUMBERVALUE(_xlfn.XLOOKUP(1,(OFFSET(IN_Verknüpfungen!$O$4,0,0,IN_Verknüpfungen!$A$2,1)=$A48)*(OFFSET(IN_Verknüpfungen!$P$4,0,0,IN_Verknüpfungen!$A$2,1)=P$3),OFFSET(IN_Verknüpfungen!$J$4,0,0,IN_Verknüpfungen!$A$2,1)))-SUM($G48:N48)</f>
        <v>#N/A</v>
      </c>
      <c r="P48" s="70" t="e" cm="1">
        <f t="array" aca="1" ref="P48" ca="1">_xlfn.NUMBERVALUE(_xlfn.XLOOKUP(1,(OFFSET(IN_Verknüpfungen!$O$4,0,0,IN_Verknüpfungen!$A$2,1)=$A48)*(OFFSET(IN_Verknüpfungen!$P$4,0,0,IN_Verknüpfungen!$A$2,1)=P$3+1),OFFSET(IN_Verknüpfungen!$F$4,0,0,IN_Verknüpfungen!$A$2,1)))-SUM($G48:O48)</f>
        <v>#N/A</v>
      </c>
      <c r="Q48" s="70" t="e" cm="1">
        <f t="array" aca="1" ref="Q48" ca="1">_xlfn.NUMBERVALUE(_xlfn.XLOOKUP(1,(OFFSET(IN_Verknüpfungen!$O$4,0,0,IN_Verknüpfungen!$A$2,1)=$A48)*(OFFSET(IN_Verknüpfungen!$P$4,0,0,IN_Verknüpfungen!$A$2,1)=R$3),OFFSET(IN_Verknüpfungen!$J$4,0,0,IN_Verknüpfungen!$A$2,1)))-SUM($G48:P48)</f>
        <v>#N/A</v>
      </c>
      <c r="R48" s="70" t="e" cm="1">
        <f t="array" aca="1" ref="R48" ca="1">_xlfn.NUMBERVALUE(_xlfn.XLOOKUP(1,(OFFSET(IN_Verknüpfungen!$O$4,0,0,IN_Verknüpfungen!$A$2,1)=$A48)*(OFFSET(IN_Verknüpfungen!$P$4,0,0,IN_Verknüpfungen!$A$2,1)=R$3+1),OFFSET(IN_Verknüpfungen!$F$4,0,0,IN_Verknüpfungen!$A$2,1)))-SUM($G48:Q48)</f>
        <v>#N/A</v>
      </c>
      <c r="S48" s="70" t="e" cm="1">
        <f t="array" aca="1" ref="S48" ca="1">_xlfn.NUMBERVALUE(_xlfn.XLOOKUP(1,(OFFSET(IN_Verknüpfungen!$O$4,0,0,IN_Verknüpfungen!$A$2,1)=$A48)*(OFFSET(IN_Verknüpfungen!$P$4,0,0,IN_Verknüpfungen!$A$2,1)=T$3),OFFSET(IN_Verknüpfungen!$J$4,0,0,IN_Verknüpfungen!$A$2,1)))-SUM($G48:R48)</f>
        <v>#N/A</v>
      </c>
      <c r="T48" s="70" t="e" cm="1">
        <f t="array" aca="1" ref="T48" ca="1">_xlfn.NUMBERVALUE(_xlfn.XLOOKUP(1,(OFFSET(IN_Verknüpfungen!$O$4,0,0,IN_Verknüpfungen!$A$2,1)=$A48)*(OFFSET(IN_Verknüpfungen!$P$4,0,0,IN_Verknüpfungen!$A$2,1)=T$3+1),OFFSET(IN_Verknüpfungen!$F$4,0,0,IN_Verknüpfungen!$A$2,1)))-SUM($G48:S48)</f>
        <v>#N/A</v>
      </c>
      <c r="U48" s="70" t="e" cm="1">
        <f t="array" aca="1" ref="U48" ca="1">_xlfn.NUMBERVALUE(_xlfn.XLOOKUP(1,(OFFSET(IN_Verknüpfungen!$O$4,0,0,IN_Verknüpfungen!$A$2,1)=$A48)*(OFFSET(IN_Verknüpfungen!$P$4,0,0,IN_Verknüpfungen!$A$2,1)=V$3),OFFSET(IN_Verknüpfungen!$J$4,0,0,IN_Verknüpfungen!$A$2,1)))-SUM($G48:T48)</f>
        <v>#N/A</v>
      </c>
      <c r="V48" s="70" t="e" cm="1">
        <f t="array" aca="1" ref="V48" ca="1">_xlfn.NUMBERVALUE(_xlfn.XLOOKUP(1,(OFFSET(IN_Verknüpfungen!$O$4,0,0,IN_Verknüpfungen!$A$2,1)=$A48)*(OFFSET(IN_Verknüpfungen!$P$4,0,0,IN_Verknüpfungen!$A$2,1)=V$3+1),OFFSET(IN_Verknüpfungen!$F$4,0,0,IN_Verknüpfungen!$A$2,1)))-SUM($G48:U48)</f>
        <v>#N/A</v>
      </c>
      <c r="W48" s="70" t="e" cm="1">
        <f t="array" aca="1" ref="W48" ca="1">_xlfn.NUMBERVALUE(_xlfn.XLOOKUP(1,(OFFSET(IN_Verknüpfungen!$O$4,0,0,IN_Verknüpfungen!$A$2,1)=$A48)*(OFFSET(IN_Verknüpfungen!$P$4,0,0,IN_Verknüpfungen!$A$2,1)=X$3),OFFSET(IN_Verknüpfungen!$J$4,0,0,IN_Verknüpfungen!$A$2,1)))-SUM($G48:V48)</f>
        <v>#N/A</v>
      </c>
      <c r="X48" s="70" t="e" cm="1">
        <f t="array" aca="1" ref="X48" ca="1">_xlfn.NUMBERVALUE(_xlfn.XLOOKUP(1,(OFFSET(IN_Verknüpfungen!$O$4,0,0,IN_Verknüpfungen!$A$2,1)=$A48)*(OFFSET(IN_Verknüpfungen!$P$4,0,0,IN_Verknüpfungen!$A$2,1)=X$3+1),OFFSET(IN_Verknüpfungen!$F$4,0,0,IN_Verknüpfungen!$A$2,1)))-SUM($G48:W48)</f>
        <v>#N/A</v>
      </c>
      <c r="Y48" s="70" t="e" cm="1">
        <f t="array" aca="1" ref="Y48" ca="1">_xlfn.NUMBERVALUE(_xlfn.XLOOKUP(1,(OFFSET(IN_Verknüpfungen!$O$4,0,0,IN_Verknüpfungen!$A$2,1)=$A48)*(OFFSET(IN_Verknüpfungen!$P$4,0,0,IN_Verknüpfungen!$A$2,1)=Z$3),OFFSET(IN_Verknüpfungen!$J$4,0,0,IN_Verknüpfungen!$A$2,1)))-SUM($G48:X48)</f>
        <v>#N/A</v>
      </c>
      <c r="Z48" s="70" t="e" cm="1">
        <f t="array" aca="1" ref="Z48" ca="1">_xlfn.NUMBERVALUE(_xlfn.XLOOKUP(1,(OFFSET(IN_Verknüpfungen!$O$4,0,0,IN_Verknüpfungen!$A$2,1)=$A48)*(OFFSET(IN_Verknüpfungen!$P$4,0,0,IN_Verknüpfungen!$A$2,1)=Z$3+1),OFFSET(IN_Verknüpfungen!$F$4,0,0,IN_Verknüpfungen!$A$2,1)))-SUM($G48:Y48)</f>
        <v>#N/A</v>
      </c>
      <c r="AA48" s="70" t="e" cm="1">
        <f t="array" aca="1" ref="AA48" ca="1">_xlfn.NUMBERVALUE(_xlfn.XLOOKUP(1,(OFFSET(IN_Verknüpfungen!$O$4,0,0,IN_Verknüpfungen!$A$2,1)=$A48)*(OFFSET(IN_Verknüpfungen!$P$4,0,0,IN_Verknüpfungen!$A$2,1)=AB$3),OFFSET(IN_Verknüpfungen!$J$4,0,0,IN_Verknüpfungen!$A$2,1)))-SUM($G48:Z48)</f>
        <v>#N/A</v>
      </c>
      <c r="AB48" s="70" t="e" cm="1">
        <f t="array" aca="1" ref="AB48" ca="1">_xlfn.NUMBERVALUE(_xlfn.XLOOKUP(1,(OFFSET(IN_Verknüpfungen!$O$4,0,0,IN_Verknüpfungen!$A$2,1)=$A48)*(OFFSET(IN_Verknüpfungen!$P$4,0,0,IN_Verknüpfungen!$A$2,1)=AB$3+1),OFFSET(IN_Verknüpfungen!$F$4,0,0,IN_Verknüpfungen!$A$2,1)))-SUM($G48:AA48)</f>
        <v>#N/A</v>
      </c>
    </row>
    <row r="49" spans="1:28" x14ac:dyDescent="0.2">
      <c r="A49" s="56" t="str">
        <f ca="1"/>
        <v>Composition 46</v>
      </c>
      <c r="B49" s="55" t="str" cm="1">
        <f t="array" aca="1" ref="B49" ca="1">IF(A49&lt;&gt;"",_xlfn.XLOOKUP(Laufwege!A49,OFFSET(IN_Verknüpfungen!L$4,0,0,IN_Verknüpfungen!A$2,1),OFFSET(IN_Verknüpfungen!N$4,0,0,IN_Verknüpfungen!A$2,1),""),"")</f>
        <v>146-3.2</v>
      </c>
      <c r="C49" s="55">
        <f ca="1">IF(A49&lt;&gt;"",SUMIFS(OFFSET(IN_Verknüpfungen!M$4,0,0,IN_Verknüpfungen!A$2,1),OFFSET(IN_Verknüpfungen!O$4,0,0,IN_Verknüpfungen!A$2,1),Laufwege!A49),0)</f>
        <v>481856</v>
      </c>
      <c r="D49" s="55" cm="1">
        <f t="array" aca="1" ref="D49" ca="1">IF(B49&lt;&gt;"",_xlfn.XLOOKUP(B49,OFFSET(IN_Stammdaten!$A$4,0,0,IN_Stammdaten!$A$2,1),OFFSET(IN_Stammdaten!$C$4,0,0,IN_Stammdaten!$A$2,1),""),"")</f>
        <v>0</v>
      </c>
      <c r="E49" s="55" t="str">
        <f t="shared" ca="1" si="0"/>
        <v>nein</v>
      </c>
      <c r="F49" s="69" t="str">
        <f t="shared" ca="1" si="1"/>
        <v>Composition 46 (146-3.2)</v>
      </c>
      <c r="G49" s="70" cm="1">
        <f t="array" aca="1" ref="G49" ca="1">_xlfn.NUMBERVALUE(_xlfn.XLOOKUP(A49,OFFSET(IN_Verknüpfungen!$L$4,0,0,IN_Verknüpfungen!$A$2,1),OFFSET(IN_Verknüpfungen!$Q$4,0,0,IN_Verknüpfungen!$A$2,1)))</f>
        <v>0.25261574074074072</v>
      </c>
      <c r="H49" s="70" cm="1">
        <f t="array" aca="1" ref="H49" ca="1">_xlfn.NUMBERVALUE(_xlfn.XLOOKUP(A49,OFFSET(IN_Verknüpfungen!$L$4,0,0,IN_Verknüpfungen!$A$2,1),OFFSET(IN_Verknüpfungen!$F$4,0,0,IN_Verknüpfungen!$A$2,1)))-G49</f>
        <v>6.0312499999999991E-2</v>
      </c>
      <c r="I49" s="70" cm="1">
        <f t="array" aca="1" ref="I49" ca="1">_xlfn.NUMBERVALUE(_xlfn.XLOOKUP(1,(OFFSET(IN_Verknüpfungen!$O$4,0,0,IN_Verknüpfungen!$A$2,1)=$A49)*(OFFSET(IN_Verknüpfungen!$P$4,0,0,IN_Verknüpfungen!$A$2,1)=J$3),OFFSET(IN_Verknüpfungen!$J$4,0,0,IN_Verknüpfungen!$A$2,1)))-SUM($G49:H49)</f>
        <v>2.4548611111111118E-2</v>
      </c>
      <c r="J49" s="70" cm="1">
        <f t="array" aca="1" ref="J49" ca="1">_xlfn.NUMBERVALUE(_xlfn.XLOOKUP(1,(OFFSET(IN_Verknüpfungen!$O$4,0,0,IN_Verknüpfungen!$A$2,1)=$A49)*(OFFSET(IN_Verknüpfungen!$P$4,0,0,IN_Verknüpfungen!$A$2,1)=J$3+1),OFFSET(IN_Verknüpfungen!$F$4,0,0,IN_Verknüpfungen!$A$2,1)))-SUM($G49:I49)</f>
        <v>5.4861111111111138E-2</v>
      </c>
      <c r="K49" s="70" cm="1">
        <f t="array" aca="1" ref="K49" ca="1">_xlfn.NUMBERVALUE(_xlfn.XLOOKUP(1,(OFFSET(IN_Verknüpfungen!$O$4,0,0,IN_Verknüpfungen!$A$2,1)=$A49)*(OFFSET(IN_Verknüpfungen!$P$4,0,0,IN_Verknüpfungen!$A$2,1)=L$3),OFFSET(IN_Verknüpfungen!$J$4,0,0,IN_Verknüpfungen!$A$2,1)))-SUM($G49:J49)</f>
        <v>1.6701388888888891E-2</v>
      </c>
      <c r="L49" s="70" cm="1">
        <f t="array" aca="1" ref="L49" ca="1">_xlfn.NUMBERVALUE(_xlfn.XLOOKUP(1,(OFFSET(IN_Verknüpfungen!$O$4,0,0,IN_Verknüpfungen!$A$2,1)=$A49)*(OFFSET(IN_Verknüpfungen!$P$4,0,0,IN_Verknüpfungen!$A$2,1)=L$3+1),OFFSET(IN_Verknüpfungen!$F$4,0,0,IN_Verknüpfungen!$A$2,1)))-SUM($G49:K49)</f>
        <v>4.5254629629629617E-2</v>
      </c>
      <c r="M49" s="70" cm="1">
        <f t="array" aca="1" ref="M49" ca="1">_xlfn.NUMBERVALUE(_xlfn.XLOOKUP(1,(OFFSET(IN_Verknüpfungen!$O$4,0,0,IN_Verknüpfungen!$A$2,1)=$A49)*(OFFSET(IN_Verknüpfungen!$P$4,0,0,IN_Verknüpfungen!$A$2,1)=N$3),OFFSET(IN_Verknüpfungen!$J$4,0,0,IN_Verknüpfungen!$A$2,1)))-SUM($G49:L49)</f>
        <v>1.1041666666666672E-2</v>
      </c>
      <c r="N49" s="70" cm="1">
        <f t="array" aca="1" ref="N49" ca="1">_xlfn.NUMBERVALUE(_xlfn.XLOOKUP(1,(OFFSET(IN_Verknüpfungen!$O$4,0,0,IN_Verknüpfungen!$A$2,1)=$A49)*(OFFSET(IN_Verknüpfungen!$P$4,0,0,IN_Verknüpfungen!$A$2,1)=N$3+1),OFFSET(IN_Verknüpfungen!$F$4,0,0,IN_Verknüpfungen!$A$2,1)))-SUM($G49:M49)</f>
        <v>8.4259259259259311E-2</v>
      </c>
      <c r="O49" s="70" cm="1">
        <f t="array" aca="1" ref="O49" ca="1">_xlfn.NUMBERVALUE(_xlfn.XLOOKUP(1,(OFFSET(IN_Verknüpfungen!$O$4,0,0,IN_Verknüpfungen!$A$2,1)=$A49)*(OFFSET(IN_Verknüpfungen!$P$4,0,0,IN_Verknüpfungen!$A$2,1)=P$3),OFFSET(IN_Verknüpfungen!$J$4,0,0,IN_Verknüpfungen!$A$2,1)))-SUM($G49:N49)</f>
        <v>1.6354166666666559E-2</v>
      </c>
      <c r="P49" s="70" t="e" cm="1">
        <f t="array" aca="1" ref="P49" ca="1">_xlfn.NUMBERVALUE(_xlfn.XLOOKUP(1,(OFFSET(IN_Verknüpfungen!$O$4,0,0,IN_Verknüpfungen!$A$2,1)=$A49)*(OFFSET(IN_Verknüpfungen!$P$4,0,0,IN_Verknüpfungen!$A$2,1)=P$3+1),OFFSET(IN_Verknüpfungen!$F$4,0,0,IN_Verknüpfungen!$A$2,1)))-SUM($G49:O49)</f>
        <v>#N/A</v>
      </c>
      <c r="Q49" s="70" t="e" cm="1">
        <f t="array" aca="1" ref="Q49" ca="1">_xlfn.NUMBERVALUE(_xlfn.XLOOKUP(1,(OFFSET(IN_Verknüpfungen!$O$4,0,0,IN_Verknüpfungen!$A$2,1)=$A49)*(OFFSET(IN_Verknüpfungen!$P$4,0,0,IN_Verknüpfungen!$A$2,1)=R$3),OFFSET(IN_Verknüpfungen!$J$4,0,0,IN_Verknüpfungen!$A$2,1)))-SUM($G49:P49)</f>
        <v>#N/A</v>
      </c>
      <c r="R49" s="70" t="e" cm="1">
        <f t="array" aca="1" ref="R49" ca="1">_xlfn.NUMBERVALUE(_xlfn.XLOOKUP(1,(OFFSET(IN_Verknüpfungen!$O$4,0,0,IN_Verknüpfungen!$A$2,1)=$A49)*(OFFSET(IN_Verknüpfungen!$P$4,0,0,IN_Verknüpfungen!$A$2,1)=R$3+1),OFFSET(IN_Verknüpfungen!$F$4,0,0,IN_Verknüpfungen!$A$2,1)))-SUM($G49:Q49)</f>
        <v>#N/A</v>
      </c>
      <c r="S49" s="70" t="e" cm="1">
        <f t="array" aca="1" ref="S49" ca="1">_xlfn.NUMBERVALUE(_xlfn.XLOOKUP(1,(OFFSET(IN_Verknüpfungen!$O$4,0,0,IN_Verknüpfungen!$A$2,1)=$A49)*(OFFSET(IN_Verknüpfungen!$P$4,0,0,IN_Verknüpfungen!$A$2,1)=T$3),OFFSET(IN_Verknüpfungen!$J$4,0,0,IN_Verknüpfungen!$A$2,1)))-SUM($G49:R49)</f>
        <v>#N/A</v>
      </c>
      <c r="T49" s="70" t="e" cm="1">
        <f t="array" aca="1" ref="T49" ca="1">_xlfn.NUMBERVALUE(_xlfn.XLOOKUP(1,(OFFSET(IN_Verknüpfungen!$O$4,0,0,IN_Verknüpfungen!$A$2,1)=$A49)*(OFFSET(IN_Verknüpfungen!$P$4,0,0,IN_Verknüpfungen!$A$2,1)=T$3+1),OFFSET(IN_Verknüpfungen!$F$4,0,0,IN_Verknüpfungen!$A$2,1)))-SUM($G49:S49)</f>
        <v>#N/A</v>
      </c>
      <c r="U49" s="70" t="e" cm="1">
        <f t="array" aca="1" ref="U49" ca="1">_xlfn.NUMBERVALUE(_xlfn.XLOOKUP(1,(OFFSET(IN_Verknüpfungen!$O$4,0,0,IN_Verknüpfungen!$A$2,1)=$A49)*(OFFSET(IN_Verknüpfungen!$P$4,0,0,IN_Verknüpfungen!$A$2,1)=V$3),OFFSET(IN_Verknüpfungen!$J$4,0,0,IN_Verknüpfungen!$A$2,1)))-SUM($G49:T49)</f>
        <v>#N/A</v>
      </c>
      <c r="V49" s="70" t="e" cm="1">
        <f t="array" aca="1" ref="V49" ca="1">_xlfn.NUMBERVALUE(_xlfn.XLOOKUP(1,(OFFSET(IN_Verknüpfungen!$O$4,0,0,IN_Verknüpfungen!$A$2,1)=$A49)*(OFFSET(IN_Verknüpfungen!$P$4,0,0,IN_Verknüpfungen!$A$2,1)=V$3+1),OFFSET(IN_Verknüpfungen!$F$4,0,0,IN_Verknüpfungen!$A$2,1)))-SUM($G49:U49)</f>
        <v>#N/A</v>
      </c>
      <c r="W49" s="70" t="e" cm="1">
        <f t="array" aca="1" ref="W49" ca="1">_xlfn.NUMBERVALUE(_xlfn.XLOOKUP(1,(OFFSET(IN_Verknüpfungen!$O$4,0,0,IN_Verknüpfungen!$A$2,1)=$A49)*(OFFSET(IN_Verknüpfungen!$P$4,0,0,IN_Verknüpfungen!$A$2,1)=X$3),OFFSET(IN_Verknüpfungen!$J$4,0,0,IN_Verknüpfungen!$A$2,1)))-SUM($G49:V49)</f>
        <v>#N/A</v>
      </c>
      <c r="X49" s="70" t="e" cm="1">
        <f t="array" aca="1" ref="X49" ca="1">_xlfn.NUMBERVALUE(_xlfn.XLOOKUP(1,(OFFSET(IN_Verknüpfungen!$O$4,0,0,IN_Verknüpfungen!$A$2,1)=$A49)*(OFFSET(IN_Verknüpfungen!$P$4,0,0,IN_Verknüpfungen!$A$2,1)=X$3+1),OFFSET(IN_Verknüpfungen!$F$4,0,0,IN_Verknüpfungen!$A$2,1)))-SUM($G49:W49)</f>
        <v>#N/A</v>
      </c>
      <c r="Y49" s="70" t="e" cm="1">
        <f t="array" aca="1" ref="Y49" ca="1">_xlfn.NUMBERVALUE(_xlfn.XLOOKUP(1,(OFFSET(IN_Verknüpfungen!$O$4,0,0,IN_Verknüpfungen!$A$2,1)=$A49)*(OFFSET(IN_Verknüpfungen!$P$4,0,0,IN_Verknüpfungen!$A$2,1)=Z$3),OFFSET(IN_Verknüpfungen!$J$4,0,0,IN_Verknüpfungen!$A$2,1)))-SUM($G49:X49)</f>
        <v>#N/A</v>
      </c>
      <c r="Z49" s="70" t="e" cm="1">
        <f t="array" aca="1" ref="Z49" ca="1">_xlfn.NUMBERVALUE(_xlfn.XLOOKUP(1,(OFFSET(IN_Verknüpfungen!$O$4,0,0,IN_Verknüpfungen!$A$2,1)=$A49)*(OFFSET(IN_Verknüpfungen!$P$4,0,0,IN_Verknüpfungen!$A$2,1)=Z$3+1),OFFSET(IN_Verknüpfungen!$F$4,0,0,IN_Verknüpfungen!$A$2,1)))-SUM($G49:Y49)</f>
        <v>#N/A</v>
      </c>
      <c r="AA49" s="70" t="e" cm="1">
        <f t="array" aca="1" ref="AA49" ca="1">_xlfn.NUMBERVALUE(_xlfn.XLOOKUP(1,(OFFSET(IN_Verknüpfungen!$O$4,0,0,IN_Verknüpfungen!$A$2,1)=$A49)*(OFFSET(IN_Verknüpfungen!$P$4,0,0,IN_Verknüpfungen!$A$2,1)=AB$3),OFFSET(IN_Verknüpfungen!$J$4,0,0,IN_Verknüpfungen!$A$2,1)))-SUM($G49:Z49)</f>
        <v>#N/A</v>
      </c>
      <c r="AB49" s="70" t="e" cm="1">
        <f t="array" aca="1" ref="AB49" ca="1">_xlfn.NUMBERVALUE(_xlfn.XLOOKUP(1,(OFFSET(IN_Verknüpfungen!$O$4,0,0,IN_Verknüpfungen!$A$2,1)=$A49)*(OFFSET(IN_Verknüpfungen!$P$4,0,0,IN_Verknüpfungen!$A$2,1)=AB$3+1),OFFSET(IN_Verknüpfungen!$F$4,0,0,IN_Verknüpfungen!$A$2,1)))-SUM($G49:AA49)</f>
        <v>#N/A</v>
      </c>
    </row>
    <row r="50" spans="1:28" x14ac:dyDescent="0.2">
      <c r="A50" s="56" t="str">
        <f ca="1"/>
        <v>Composition 47</v>
      </c>
      <c r="B50" s="55" t="str" cm="1">
        <f t="array" aca="1" ref="B50" ca="1">IF(A50&lt;&gt;"",_xlfn.XLOOKUP(Laufwege!A50,OFFSET(IN_Verknüpfungen!L$4,0,0,IN_Verknüpfungen!A$2,1),OFFSET(IN_Verknüpfungen!N$4,0,0,IN_Verknüpfungen!A$2,1),""),"")</f>
        <v>146-3.2</v>
      </c>
      <c r="C50" s="55">
        <f ca="1">IF(A50&lt;&gt;"",SUMIFS(OFFSET(IN_Verknüpfungen!M$4,0,0,IN_Verknüpfungen!A$2,1),OFFSET(IN_Verknüpfungen!O$4,0,0,IN_Verknüpfungen!A$2,1),Laufwege!A50),0)</f>
        <v>645913</v>
      </c>
      <c r="D50" s="55" cm="1">
        <f t="array" aca="1" ref="D50" ca="1">IF(B50&lt;&gt;"",_xlfn.XLOOKUP(B50,OFFSET(IN_Stammdaten!$A$4,0,0,IN_Stammdaten!$A$2,1),OFFSET(IN_Stammdaten!$C$4,0,0,IN_Stammdaten!$A$2,1),""),"")</f>
        <v>0</v>
      </c>
      <c r="E50" s="55" t="str">
        <f t="shared" ca="1" si="0"/>
        <v>nein</v>
      </c>
      <c r="F50" s="69" t="str">
        <f t="shared" ca="1" si="1"/>
        <v>Composition 47 (146-3.2)</v>
      </c>
      <c r="G50" s="70" cm="1">
        <f t="array" aca="1" ref="G50" ca="1">_xlfn.NUMBERVALUE(_xlfn.XLOOKUP(A50,OFFSET(IN_Verknüpfungen!$L$4,0,0,IN_Verknüpfungen!$A$2,1),OFFSET(IN_Verknüpfungen!$Q$4,0,0,IN_Verknüpfungen!$A$2,1)))</f>
        <v>0.25711805555555556</v>
      </c>
      <c r="H50" s="70" cm="1">
        <f t="array" aca="1" ref="H50" ca="1">_xlfn.NUMBERVALUE(_xlfn.XLOOKUP(A50,OFFSET(IN_Verknüpfungen!$L$4,0,0,IN_Verknüpfungen!$A$2,1),OFFSET(IN_Verknüpfungen!$F$4,0,0,IN_Verknüpfungen!$A$2,1)))-G50</f>
        <v>5.7939814814814805E-2</v>
      </c>
      <c r="I50" s="70" cm="1">
        <f t="array" aca="1" ref="I50" ca="1">_xlfn.NUMBERVALUE(_xlfn.XLOOKUP(1,(OFFSET(IN_Verknüpfungen!$O$4,0,0,IN_Verknüpfungen!$A$2,1)=$A50)*(OFFSET(IN_Verknüpfungen!$P$4,0,0,IN_Verknüpfungen!$A$2,1)=J$3),OFFSET(IN_Verknüpfungen!$J$4,0,0,IN_Verknüpfungen!$A$2,1)))-SUM($G50:H50)</f>
        <v>2.3946759259259265E-2</v>
      </c>
      <c r="J50" s="70" cm="1">
        <f t="array" aca="1" ref="J50" ca="1">_xlfn.NUMBERVALUE(_xlfn.XLOOKUP(1,(OFFSET(IN_Verknüpfungen!$O$4,0,0,IN_Verknüpfungen!$A$2,1)=$A50)*(OFFSET(IN_Verknüpfungen!$P$4,0,0,IN_Verknüpfungen!$A$2,1)=J$3+1),OFFSET(IN_Verknüpfungen!$F$4,0,0,IN_Verknüpfungen!$A$2,1)))-SUM($G50:I50)</f>
        <v>4.8263888888888884E-2</v>
      </c>
      <c r="K50" s="70" cm="1">
        <f t="array" aca="1" ref="K50" ca="1">_xlfn.NUMBERVALUE(_xlfn.XLOOKUP(1,(OFFSET(IN_Verknüpfungen!$O$4,0,0,IN_Verknüpfungen!$A$2,1)=$A50)*(OFFSET(IN_Verknüpfungen!$P$4,0,0,IN_Verknüpfungen!$A$2,1)=L$3),OFFSET(IN_Verknüpfungen!$J$4,0,0,IN_Verknüpfungen!$A$2,1)))-SUM($G50:J50)</f>
        <v>1.0648148148148129E-2</v>
      </c>
      <c r="L50" s="70" cm="1">
        <f t="array" aca="1" ref="L50" ca="1">_xlfn.NUMBERVALUE(_xlfn.XLOOKUP(1,(OFFSET(IN_Verknüpfungen!$O$4,0,0,IN_Verknüpfungen!$A$2,1)=$A50)*(OFFSET(IN_Verknüpfungen!$P$4,0,0,IN_Verknüpfungen!$A$2,1)=L$3+1),OFFSET(IN_Verknüpfungen!$F$4,0,0,IN_Verknüpfungen!$A$2,1)))-SUM($G50:K50)</f>
        <v>0.12261574074074072</v>
      </c>
      <c r="M50" s="70" cm="1">
        <f t="array" aca="1" ref="M50" ca="1">_xlfn.NUMBERVALUE(_xlfn.XLOOKUP(1,(OFFSET(IN_Verknüpfungen!$O$4,0,0,IN_Verknüpfungen!$A$2,1)=$A50)*(OFFSET(IN_Verknüpfungen!$P$4,0,0,IN_Verknüpfungen!$A$2,1)=N$3),OFFSET(IN_Verknüpfungen!$J$4,0,0,IN_Verknüpfungen!$A$2,1)))-SUM($G50:L50)</f>
        <v>2.750000000000008E-2</v>
      </c>
      <c r="N50" s="70" t="e" cm="1">
        <f t="array" aca="1" ref="N50" ca="1">_xlfn.NUMBERVALUE(_xlfn.XLOOKUP(1,(OFFSET(IN_Verknüpfungen!$O$4,0,0,IN_Verknüpfungen!$A$2,1)=$A50)*(OFFSET(IN_Verknüpfungen!$P$4,0,0,IN_Verknüpfungen!$A$2,1)=N$3+1),OFFSET(IN_Verknüpfungen!$F$4,0,0,IN_Verknüpfungen!$A$2,1)))-SUM($G50:M50)</f>
        <v>#N/A</v>
      </c>
      <c r="O50" s="70" t="e" cm="1">
        <f t="array" aca="1" ref="O50" ca="1">_xlfn.NUMBERVALUE(_xlfn.XLOOKUP(1,(OFFSET(IN_Verknüpfungen!$O$4,0,0,IN_Verknüpfungen!$A$2,1)=$A50)*(OFFSET(IN_Verknüpfungen!$P$4,0,0,IN_Verknüpfungen!$A$2,1)=P$3),OFFSET(IN_Verknüpfungen!$J$4,0,0,IN_Verknüpfungen!$A$2,1)))-SUM($G50:N50)</f>
        <v>#N/A</v>
      </c>
      <c r="P50" s="70" t="e" cm="1">
        <f t="array" aca="1" ref="P50" ca="1">_xlfn.NUMBERVALUE(_xlfn.XLOOKUP(1,(OFFSET(IN_Verknüpfungen!$O$4,0,0,IN_Verknüpfungen!$A$2,1)=$A50)*(OFFSET(IN_Verknüpfungen!$P$4,0,0,IN_Verknüpfungen!$A$2,1)=P$3+1),OFFSET(IN_Verknüpfungen!$F$4,0,0,IN_Verknüpfungen!$A$2,1)))-SUM($G50:O50)</f>
        <v>#N/A</v>
      </c>
      <c r="Q50" s="70" t="e" cm="1">
        <f t="array" aca="1" ref="Q50" ca="1">_xlfn.NUMBERVALUE(_xlfn.XLOOKUP(1,(OFFSET(IN_Verknüpfungen!$O$4,0,0,IN_Verknüpfungen!$A$2,1)=$A50)*(OFFSET(IN_Verknüpfungen!$P$4,0,0,IN_Verknüpfungen!$A$2,1)=R$3),OFFSET(IN_Verknüpfungen!$J$4,0,0,IN_Verknüpfungen!$A$2,1)))-SUM($G50:P50)</f>
        <v>#N/A</v>
      </c>
      <c r="R50" s="70" t="e" cm="1">
        <f t="array" aca="1" ref="R50" ca="1">_xlfn.NUMBERVALUE(_xlfn.XLOOKUP(1,(OFFSET(IN_Verknüpfungen!$O$4,0,0,IN_Verknüpfungen!$A$2,1)=$A50)*(OFFSET(IN_Verknüpfungen!$P$4,0,0,IN_Verknüpfungen!$A$2,1)=R$3+1),OFFSET(IN_Verknüpfungen!$F$4,0,0,IN_Verknüpfungen!$A$2,1)))-SUM($G50:Q50)</f>
        <v>#N/A</v>
      </c>
      <c r="S50" s="70" t="e" cm="1">
        <f t="array" aca="1" ref="S50" ca="1">_xlfn.NUMBERVALUE(_xlfn.XLOOKUP(1,(OFFSET(IN_Verknüpfungen!$O$4,0,0,IN_Verknüpfungen!$A$2,1)=$A50)*(OFFSET(IN_Verknüpfungen!$P$4,0,0,IN_Verknüpfungen!$A$2,1)=T$3),OFFSET(IN_Verknüpfungen!$J$4,0,0,IN_Verknüpfungen!$A$2,1)))-SUM($G50:R50)</f>
        <v>#N/A</v>
      </c>
      <c r="T50" s="70" t="e" cm="1">
        <f t="array" aca="1" ref="T50" ca="1">_xlfn.NUMBERVALUE(_xlfn.XLOOKUP(1,(OFFSET(IN_Verknüpfungen!$O$4,0,0,IN_Verknüpfungen!$A$2,1)=$A50)*(OFFSET(IN_Verknüpfungen!$P$4,0,0,IN_Verknüpfungen!$A$2,1)=T$3+1),OFFSET(IN_Verknüpfungen!$F$4,0,0,IN_Verknüpfungen!$A$2,1)))-SUM($G50:S50)</f>
        <v>#N/A</v>
      </c>
      <c r="U50" s="70" t="e" cm="1">
        <f t="array" aca="1" ref="U50" ca="1">_xlfn.NUMBERVALUE(_xlfn.XLOOKUP(1,(OFFSET(IN_Verknüpfungen!$O$4,0,0,IN_Verknüpfungen!$A$2,1)=$A50)*(OFFSET(IN_Verknüpfungen!$P$4,0,0,IN_Verknüpfungen!$A$2,1)=V$3),OFFSET(IN_Verknüpfungen!$J$4,0,0,IN_Verknüpfungen!$A$2,1)))-SUM($G50:T50)</f>
        <v>#N/A</v>
      </c>
      <c r="V50" s="70" t="e" cm="1">
        <f t="array" aca="1" ref="V50" ca="1">_xlfn.NUMBERVALUE(_xlfn.XLOOKUP(1,(OFFSET(IN_Verknüpfungen!$O$4,0,0,IN_Verknüpfungen!$A$2,1)=$A50)*(OFFSET(IN_Verknüpfungen!$P$4,0,0,IN_Verknüpfungen!$A$2,1)=V$3+1),OFFSET(IN_Verknüpfungen!$F$4,0,0,IN_Verknüpfungen!$A$2,1)))-SUM($G50:U50)</f>
        <v>#N/A</v>
      </c>
      <c r="W50" s="70" t="e" cm="1">
        <f t="array" aca="1" ref="W50" ca="1">_xlfn.NUMBERVALUE(_xlfn.XLOOKUP(1,(OFFSET(IN_Verknüpfungen!$O$4,0,0,IN_Verknüpfungen!$A$2,1)=$A50)*(OFFSET(IN_Verknüpfungen!$P$4,0,0,IN_Verknüpfungen!$A$2,1)=X$3),OFFSET(IN_Verknüpfungen!$J$4,0,0,IN_Verknüpfungen!$A$2,1)))-SUM($G50:V50)</f>
        <v>#N/A</v>
      </c>
      <c r="X50" s="70" t="e" cm="1">
        <f t="array" aca="1" ref="X50" ca="1">_xlfn.NUMBERVALUE(_xlfn.XLOOKUP(1,(OFFSET(IN_Verknüpfungen!$O$4,0,0,IN_Verknüpfungen!$A$2,1)=$A50)*(OFFSET(IN_Verknüpfungen!$P$4,0,0,IN_Verknüpfungen!$A$2,1)=X$3+1),OFFSET(IN_Verknüpfungen!$F$4,0,0,IN_Verknüpfungen!$A$2,1)))-SUM($G50:W50)</f>
        <v>#N/A</v>
      </c>
      <c r="Y50" s="70" t="e" cm="1">
        <f t="array" aca="1" ref="Y50" ca="1">_xlfn.NUMBERVALUE(_xlfn.XLOOKUP(1,(OFFSET(IN_Verknüpfungen!$O$4,0,0,IN_Verknüpfungen!$A$2,1)=$A50)*(OFFSET(IN_Verknüpfungen!$P$4,0,0,IN_Verknüpfungen!$A$2,1)=Z$3),OFFSET(IN_Verknüpfungen!$J$4,0,0,IN_Verknüpfungen!$A$2,1)))-SUM($G50:X50)</f>
        <v>#N/A</v>
      </c>
      <c r="Z50" s="70" t="e" cm="1">
        <f t="array" aca="1" ref="Z50" ca="1">_xlfn.NUMBERVALUE(_xlfn.XLOOKUP(1,(OFFSET(IN_Verknüpfungen!$O$4,0,0,IN_Verknüpfungen!$A$2,1)=$A50)*(OFFSET(IN_Verknüpfungen!$P$4,0,0,IN_Verknüpfungen!$A$2,1)=Z$3+1),OFFSET(IN_Verknüpfungen!$F$4,0,0,IN_Verknüpfungen!$A$2,1)))-SUM($G50:Y50)</f>
        <v>#N/A</v>
      </c>
      <c r="AA50" s="70" t="e" cm="1">
        <f t="array" aca="1" ref="AA50" ca="1">_xlfn.NUMBERVALUE(_xlfn.XLOOKUP(1,(OFFSET(IN_Verknüpfungen!$O$4,0,0,IN_Verknüpfungen!$A$2,1)=$A50)*(OFFSET(IN_Verknüpfungen!$P$4,0,0,IN_Verknüpfungen!$A$2,1)=AB$3),OFFSET(IN_Verknüpfungen!$J$4,0,0,IN_Verknüpfungen!$A$2,1)))-SUM($G50:Z50)</f>
        <v>#N/A</v>
      </c>
      <c r="AB50" s="70" t="e" cm="1">
        <f t="array" aca="1" ref="AB50" ca="1">_xlfn.NUMBERVALUE(_xlfn.XLOOKUP(1,(OFFSET(IN_Verknüpfungen!$O$4,0,0,IN_Verknüpfungen!$A$2,1)=$A50)*(OFFSET(IN_Verknüpfungen!$P$4,0,0,IN_Verknüpfungen!$A$2,1)=AB$3+1),OFFSET(IN_Verknüpfungen!$F$4,0,0,IN_Verknüpfungen!$A$2,1)))-SUM($G50:AA50)</f>
        <v>#N/A</v>
      </c>
    </row>
    <row r="51" spans="1:28" x14ac:dyDescent="0.2">
      <c r="A51" s="56" t="str">
        <f ca="1"/>
        <v>Composition 48</v>
      </c>
      <c r="B51" s="55" t="str" cm="1">
        <f t="array" aca="1" ref="B51" ca="1">IF(A51&lt;&gt;"",_xlfn.XLOOKUP(Laufwege!A51,OFFSET(IN_Verknüpfungen!L$4,0,0,IN_Verknüpfungen!A$2,1),OFFSET(IN_Verknüpfungen!N$4,0,0,IN_Verknüpfungen!A$2,1),""),"")</f>
        <v>462-1.0</v>
      </c>
      <c r="C51" s="55">
        <f ca="1">IF(A51&lt;&gt;"",SUMIFS(OFFSET(IN_Verknüpfungen!M$4,0,0,IN_Verknüpfungen!A$2,1),OFFSET(IN_Verknüpfungen!O$4,0,0,IN_Verknüpfungen!A$2,1),Laufwege!A51),0)</f>
        <v>570966</v>
      </c>
      <c r="D51" s="55" cm="1">
        <f t="array" aca="1" ref="D51" ca="1">IF(B51&lt;&gt;"",_xlfn.XLOOKUP(B51,OFFSET(IN_Stammdaten!$A$4,0,0,IN_Stammdaten!$A$2,1),OFFSET(IN_Stammdaten!$C$4,0,0,IN_Stammdaten!$A$2,1),""),"")</f>
        <v>0</v>
      </c>
      <c r="E51" s="55" t="str">
        <f t="shared" ca="1" si="0"/>
        <v>nein</v>
      </c>
      <c r="F51" s="69" t="str">
        <f t="shared" ca="1" si="1"/>
        <v>Composition 48 (462-1.0)</v>
      </c>
      <c r="G51" s="70" cm="1">
        <f t="array" aca="1" ref="G51" ca="1">_xlfn.NUMBERVALUE(_xlfn.XLOOKUP(A51,OFFSET(IN_Verknüpfungen!$L$4,0,0,IN_Verknüpfungen!$A$2,1),OFFSET(IN_Verknüpfungen!$Q$4,0,0,IN_Verknüpfungen!$A$2,1)))</f>
        <v>0.24223379629629629</v>
      </c>
      <c r="H51" s="70" cm="1">
        <f t="array" aca="1" ref="H51" ca="1">_xlfn.NUMBERVALUE(_xlfn.XLOOKUP(A51,OFFSET(IN_Verknüpfungen!$L$4,0,0,IN_Verknüpfungen!$A$2,1),OFFSET(IN_Verknüpfungen!$F$4,0,0,IN_Verknüpfungen!$A$2,1)))-G51</f>
        <v>7.4062500000000003E-2</v>
      </c>
      <c r="I51" s="70" cm="1">
        <f t="array" aca="1" ref="I51" ca="1">_xlfn.NUMBERVALUE(_xlfn.XLOOKUP(1,(OFFSET(IN_Verknüpfungen!$O$4,0,0,IN_Verknüpfungen!$A$2,1)=$A51)*(OFFSET(IN_Verknüpfungen!$P$4,0,0,IN_Verknüpfungen!$A$2,1)=J$3),OFFSET(IN_Verknüpfungen!$J$4,0,0,IN_Verknüpfungen!$A$2,1)))-SUM($G51:H51)</f>
        <v>1.7951388888888864E-2</v>
      </c>
      <c r="J51" s="70" cm="1">
        <f t="array" aca="1" ref="J51" ca="1">_xlfn.NUMBERVALUE(_xlfn.XLOOKUP(1,(OFFSET(IN_Verknüpfungen!$O$4,0,0,IN_Verknüpfungen!$A$2,1)=$A51)*(OFFSET(IN_Verknüpfungen!$P$4,0,0,IN_Verknüpfungen!$A$2,1)=J$3+1),OFFSET(IN_Verknüpfungen!$F$4,0,0,IN_Verknüpfungen!$A$2,1)))-SUM($G51:I51)</f>
        <v>7.0069444444444462E-2</v>
      </c>
      <c r="K51" s="70" cm="1">
        <f t="array" aca="1" ref="K51" ca="1">_xlfn.NUMBERVALUE(_xlfn.XLOOKUP(1,(OFFSET(IN_Verknüpfungen!$O$4,0,0,IN_Verknüpfungen!$A$2,1)=$A51)*(OFFSET(IN_Verknüpfungen!$P$4,0,0,IN_Verknüpfungen!$A$2,1)=L$3),OFFSET(IN_Verknüpfungen!$J$4,0,0,IN_Verknüpfungen!$A$2,1)))-SUM($G51:J51)</f>
        <v>9.7916666666666985E-3</v>
      </c>
      <c r="L51" s="70" cm="1">
        <f t="array" aca="1" ref="L51" ca="1">_xlfn.NUMBERVALUE(_xlfn.XLOOKUP(1,(OFFSET(IN_Verknüpfungen!$O$4,0,0,IN_Verknüpfungen!$A$2,1)=$A51)*(OFFSET(IN_Verknüpfungen!$P$4,0,0,IN_Verknüpfungen!$A$2,1)=L$3+1),OFFSET(IN_Verknüpfungen!$F$4,0,0,IN_Verknüpfungen!$A$2,1)))-SUM($G51:K51)</f>
        <v>6.8854166666666661E-2</v>
      </c>
      <c r="M51" s="70" cm="1">
        <f t="array" aca="1" ref="M51" ca="1">_xlfn.NUMBERVALUE(_xlfn.XLOOKUP(1,(OFFSET(IN_Verknüpfungen!$O$4,0,0,IN_Verknüpfungen!$A$2,1)=$A51)*(OFFSET(IN_Verknüpfungen!$P$4,0,0,IN_Verknüpfungen!$A$2,1)=N$3),OFFSET(IN_Verknüpfungen!$J$4,0,0,IN_Verknüpfungen!$A$2,1)))-SUM($G51:L51)</f>
        <v>1.7951388888888864E-2</v>
      </c>
      <c r="N51" s="70" cm="1">
        <f t="array" aca="1" ref="N51" ca="1">_xlfn.NUMBERVALUE(_xlfn.XLOOKUP(1,(OFFSET(IN_Verknüpfungen!$O$4,0,0,IN_Verknüpfungen!$A$2,1)=$A51)*(OFFSET(IN_Verknüpfungen!$P$4,0,0,IN_Verknüpfungen!$A$2,1)=N$3+1),OFFSET(IN_Verknüpfungen!$F$4,0,0,IN_Verknüpfungen!$A$2,1)))-SUM($G51:M51)</f>
        <v>7.0069444444444406E-2</v>
      </c>
      <c r="O51" s="70" cm="1">
        <f t="array" aca="1" ref="O51" ca="1">_xlfn.NUMBERVALUE(_xlfn.XLOOKUP(1,(OFFSET(IN_Verknüpfungen!$O$4,0,0,IN_Verknüpfungen!$A$2,1)=$A51)*(OFFSET(IN_Verknüpfungen!$P$4,0,0,IN_Verknüpfungen!$A$2,1)=P$3),OFFSET(IN_Verknüpfungen!$J$4,0,0,IN_Verknüpfungen!$A$2,1)))-SUM($G51:N51)</f>
        <v>9.791666666666754E-3</v>
      </c>
      <c r="P51" s="70" t="e" cm="1">
        <f t="array" aca="1" ref="P51" ca="1">_xlfn.NUMBERVALUE(_xlfn.XLOOKUP(1,(OFFSET(IN_Verknüpfungen!$O$4,0,0,IN_Verknüpfungen!$A$2,1)=$A51)*(OFFSET(IN_Verknüpfungen!$P$4,0,0,IN_Verknüpfungen!$A$2,1)=P$3+1),OFFSET(IN_Verknüpfungen!$F$4,0,0,IN_Verknüpfungen!$A$2,1)))-SUM($G51:O51)</f>
        <v>#N/A</v>
      </c>
      <c r="Q51" s="70" t="e" cm="1">
        <f t="array" aca="1" ref="Q51" ca="1">_xlfn.NUMBERVALUE(_xlfn.XLOOKUP(1,(OFFSET(IN_Verknüpfungen!$O$4,0,0,IN_Verknüpfungen!$A$2,1)=$A51)*(OFFSET(IN_Verknüpfungen!$P$4,0,0,IN_Verknüpfungen!$A$2,1)=R$3),OFFSET(IN_Verknüpfungen!$J$4,0,0,IN_Verknüpfungen!$A$2,1)))-SUM($G51:P51)</f>
        <v>#N/A</v>
      </c>
      <c r="R51" s="70" t="e" cm="1">
        <f t="array" aca="1" ref="R51" ca="1">_xlfn.NUMBERVALUE(_xlfn.XLOOKUP(1,(OFFSET(IN_Verknüpfungen!$O$4,0,0,IN_Verknüpfungen!$A$2,1)=$A51)*(OFFSET(IN_Verknüpfungen!$P$4,0,0,IN_Verknüpfungen!$A$2,1)=R$3+1),OFFSET(IN_Verknüpfungen!$F$4,0,0,IN_Verknüpfungen!$A$2,1)))-SUM($G51:Q51)</f>
        <v>#N/A</v>
      </c>
      <c r="S51" s="70" t="e" cm="1">
        <f t="array" aca="1" ref="S51" ca="1">_xlfn.NUMBERVALUE(_xlfn.XLOOKUP(1,(OFFSET(IN_Verknüpfungen!$O$4,0,0,IN_Verknüpfungen!$A$2,1)=$A51)*(OFFSET(IN_Verknüpfungen!$P$4,0,0,IN_Verknüpfungen!$A$2,1)=T$3),OFFSET(IN_Verknüpfungen!$J$4,0,0,IN_Verknüpfungen!$A$2,1)))-SUM($G51:R51)</f>
        <v>#N/A</v>
      </c>
      <c r="T51" s="70" t="e" cm="1">
        <f t="array" aca="1" ref="T51" ca="1">_xlfn.NUMBERVALUE(_xlfn.XLOOKUP(1,(OFFSET(IN_Verknüpfungen!$O$4,0,0,IN_Verknüpfungen!$A$2,1)=$A51)*(OFFSET(IN_Verknüpfungen!$P$4,0,0,IN_Verknüpfungen!$A$2,1)=T$3+1),OFFSET(IN_Verknüpfungen!$F$4,0,0,IN_Verknüpfungen!$A$2,1)))-SUM($G51:S51)</f>
        <v>#N/A</v>
      </c>
      <c r="U51" s="70" t="e" cm="1">
        <f t="array" aca="1" ref="U51" ca="1">_xlfn.NUMBERVALUE(_xlfn.XLOOKUP(1,(OFFSET(IN_Verknüpfungen!$O$4,0,0,IN_Verknüpfungen!$A$2,1)=$A51)*(OFFSET(IN_Verknüpfungen!$P$4,0,0,IN_Verknüpfungen!$A$2,1)=V$3),OFFSET(IN_Verknüpfungen!$J$4,0,0,IN_Verknüpfungen!$A$2,1)))-SUM($G51:T51)</f>
        <v>#N/A</v>
      </c>
      <c r="V51" s="70" t="e" cm="1">
        <f t="array" aca="1" ref="V51" ca="1">_xlfn.NUMBERVALUE(_xlfn.XLOOKUP(1,(OFFSET(IN_Verknüpfungen!$O$4,0,0,IN_Verknüpfungen!$A$2,1)=$A51)*(OFFSET(IN_Verknüpfungen!$P$4,0,0,IN_Verknüpfungen!$A$2,1)=V$3+1),OFFSET(IN_Verknüpfungen!$F$4,0,0,IN_Verknüpfungen!$A$2,1)))-SUM($G51:U51)</f>
        <v>#N/A</v>
      </c>
      <c r="W51" s="70" t="e" cm="1">
        <f t="array" aca="1" ref="W51" ca="1">_xlfn.NUMBERVALUE(_xlfn.XLOOKUP(1,(OFFSET(IN_Verknüpfungen!$O$4,0,0,IN_Verknüpfungen!$A$2,1)=$A51)*(OFFSET(IN_Verknüpfungen!$P$4,0,0,IN_Verknüpfungen!$A$2,1)=X$3),OFFSET(IN_Verknüpfungen!$J$4,0,0,IN_Verknüpfungen!$A$2,1)))-SUM($G51:V51)</f>
        <v>#N/A</v>
      </c>
      <c r="X51" s="70" t="e" cm="1">
        <f t="array" aca="1" ref="X51" ca="1">_xlfn.NUMBERVALUE(_xlfn.XLOOKUP(1,(OFFSET(IN_Verknüpfungen!$O$4,0,0,IN_Verknüpfungen!$A$2,1)=$A51)*(OFFSET(IN_Verknüpfungen!$P$4,0,0,IN_Verknüpfungen!$A$2,1)=X$3+1),OFFSET(IN_Verknüpfungen!$F$4,0,0,IN_Verknüpfungen!$A$2,1)))-SUM($G51:W51)</f>
        <v>#N/A</v>
      </c>
      <c r="Y51" s="70" t="e" cm="1">
        <f t="array" aca="1" ref="Y51" ca="1">_xlfn.NUMBERVALUE(_xlfn.XLOOKUP(1,(OFFSET(IN_Verknüpfungen!$O$4,0,0,IN_Verknüpfungen!$A$2,1)=$A51)*(OFFSET(IN_Verknüpfungen!$P$4,0,0,IN_Verknüpfungen!$A$2,1)=Z$3),OFFSET(IN_Verknüpfungen!$J$4,0,0,IN_Verknüpfungen!$A$2,1)))-SUM($G51:X51)</f>
        <v>#N/A</v>
      </c>
      <c r="Z51" s="70" t="e" cm="1">
        <f t="array" aca="1" ref="Z51" ca="1">_xlfn.NUMBERVALUE(_xlfn.XLOOKUP(1,(OFFSET(IN_Verknüpfungen!$O$4,0,0,IN_Verknüpfungen!$A$2,1)=$A51)*(OFFSET(IN_Verknüpfungen!$P$4,0,0,IN_Verknüpfungen!$A$2,1)=Z$3+1),OFFSET(IN_Verknüpfungen!$F$4,0,0,IN_Verknüpfungen!$A$2,1)))-SUM($G51:Y51)</f>
        <v>#N/A</v>
      </c>
      <c r="AA51" s="70" t="e" cm="1">
        <f t="array" aca="1" ref="AA51" ca="1">_xlfn.NUMBERVALUE(_xlfn.XLOOKUP(1,(OFFSET(IN_Verknüpfungen!$O$4,0,0,IN_Verknüpfungen!$A$2,1)=$A51)*(OFFSET(IN_Verknüpfungen!$P$4,0,0,IN_Verknüpfungen!$A$2,1)=AB$3),OFFSET(IN_Verknüpfungen!$J$4,0,0,IN_Verknüpfungen!$A$2,1)))-SUM($G51:Z51)</f>
        <v>#N/A</v>
      </c>
      <c r="AB51" s="70" t="e" cm="1">
        <f t="array" aca="1" ref="AB51" ca="1">_xlfn.NUMBERVALUE(_xlfn.XLOOKUP(1,(OFFSET(IN_Verknüpfungen!$O$4,0,0,IN_Verknüpfungen!$A$2,1)=$A51)*(OFFSET(IN_Verknüpfungen!$P$4,0,0,IN_Verknüpfungen!$A$2,1)=AB$3+1),OFFSET(IN_Verknüpfungen!$F$4,0,0,IN_Verknüpfungen!$A$2,1)))-SUM($G51:AA51)</f>
        <v>#N/A</v>
      </c>
    </row>
    <row r="52" spans="1:28" x14ac:dyDescent="0.2">
      <c r="A52" s="56" t="str">
        <f ca="1"/>
        <v>Composition 49</v>
      </c>
      <c r="B52" s="55" t="str" cm="1">
        <f t="array" aca="1" ref="B52" ca="1">IF(A52&lt;&gt;"",_xlfn.XLOOKUP(Laufwege!A52,OFFSET(IN_Verknüpfungen!L$4,0,0,IN_Verknüpfungen!A$2,1),OFFSET(IN_Verknüpfungen!N$4,0,0,IN_Verknüpfungen!A$2,1),""),"")</f>
        <v>462-1.0</v>
      </c>
      <c r="C52" s="55">
        <f ca="1">IF(A52&lt;&gt;"",SUMIFS(OFFSET(IN_Verknüpfungen!M$4,0,0,IN_Verknüpfungen!A$2,1),OFFSET(IN_Verknüpfungen!O$4,0,0,IN_Verknüpfungen!A$2,1),Laufwege!A52),0)</f>
        <v>720962</v>
      </c>
      <c r="D52" s="55" cm="1">
        <f t="array" aca="1" ref="D52" ca="1">IF(B52&lt;&gt;"",_xlfn.XLOOKUP(B52,OFFSET(IN_Stammdaten!$A$4,0,0,IN_Stammdaten!$A$2,1),OFFSET(IN_Stammdaten!$C$4,0,0,IN_Stammdaten!$A$2,1),""),"")</f>
        <v>0</v>
      </c>
      <c r="E52" s="55" t="str">
        <f t="shared" ca="1" si="0"/>
        <v>nein</v>
      </c>
      <c r="F52" s="69" t="str">
        <f t="shared" ca="1" si="1"/>
        <v>Composition 49 (462-1.0)</v>
      </c>
      <c r="G52" s="70" cm="1">
        <f t="array" aca="1" ref="G52" ca="1">_xlfn.NUMBERVALUE(_xlfn.XLOOKUP(A52,OFFSET(IN_Verknüpfungen!$L$4,0,0,IN_Verknüpfungen!$A$2,1),OFFSET(IN_Verknüpfungen!$Q$4,0,0,IN_Verknüpfungen!$A$2,1)))</f>
        <v>0.20118055555555556</v>
      </c>
      <c r="H52" s="70" cm="1">
        <f t="array" aca="1" ref="H52" ca="1">_xlfn.NUMBERVALUE(_xlfn.XLOOKUP(A52,OFFSET(IN_Verknüpfungen!$L$4,0,0,IN_Verknüpfungen!$A$2,1),OFFSET(IN_Verknüpfungen!$F$4,0,0,IN_Verknüpfungen!$A$2,1)))-G52</f>
        <v>0.11662037037037035</v>
      </c>
      <c r="I52" s="70" cm="1">
        <f t="array" aca="1" ref="I52" ca="1">_xlfn.NUMBERVALUE(_xlfn.XLOOKUP(1,(OFFSET(IN_Verknüpfungen!$O$4,0,0,IN_Verknüpfungen!$A$2,1)=$A52)*(OFFSET(IN_Verknüpfungen!$P$4,0,0,IN_Verknüpfungen!$A$2,1)=J$3),OFFSET(IN_Verknüpfungen!$J$4,0,0,IN_Verknüpfungen!$A$2,1)))-SUM($G52:H52)</f>
        <v>2.293981481481483E-2</v>
      </c>
      <c r="J52" s="70" cm="1">
        <f t="array" aca="1" ref="J52" ca="1">_xlfn.NUMBERVALUE(_xlfn.XLOOKUP(1,(OFFSET(IN_Verknüpfungen!$O$4,0,0,IN_Verknüpfungen!$A$2,1)=$A52)*(OFFSET(IN_Verknüpfungen!$P$4,0,0,IN_Verknüpfungen!$A$2,1)=J$3+1),OFFSET(IN_Verknüpfungen!$F$4,0,0,IN_Verknüpfungen!$A$2,1)))-SUM($G52:I52)</f>
        <v>0.12287037037037035</v>
      </c>
      <c r="K52" s="70" cm="1">
        <f t="array" aca="1" ref="K52" ca="1">_xlfn.NUMBERVALUE(_xlfn.XLOOKUP(1,(OFFSET(IN_Verknüpfungen!$O$4,0,0,IN_Verknüpfungen!$A$2,1)=$A52)*(OFFSET(IN_Verknüpfungen!$P$4,0,0,IN_Verknüpfungen!$A$2,1)=L$3),OFFSET(IN_Verknüpfungen!$J$4,0,0,IN_Verknüpfungen!$A$2,1)))-SUM($G52:J52)</f>
        <v>1.6666666666666718E-2</v>
      </c>
      <c r="L52" s="70" t="e" cm="1">
        <f t="array" aca="1" ref="L52" ca="1">_xlfn.NUMBERVALUE(_xlfn.XLOOKUP(1,(OFFSET(IN_Verknüpfungen!$O$4,0,0,IN_Verknüpfungen!$A$2,1)=$A52)*(OFFSET(IN_Verknüpfungen!$P$4,0,0,IN_Verknüpfungen!$A$2,1)=L$3+1),OFFSET(IN_Verknüpfungen!$F$4,0,0,IN_Verknüpfungen!$A$2,1)))-SUM($G52:K52)</f>
        <v>#N/A</v>
      </c>
      <c r="M52" s="70" t="e" cm="1">
        <f t="array" aca="1" ref="M52" ca="1">_xlfn.NUMBERVALUE(_xlfn.XLOOKUP(1,(OFFSET(IN_Verknüpfungen!$O$4,0,0,IN_Verknüpfungen!$A$2,1)=$A52)*(OFFSET(IN_Verknüpfungen!$P$4,0,0,IN_Verknüpfungen!$A$2,1)=N$3),OFFSET(IN_Verknüpfungen!$J$4,0,0,IN_Verknüpfungen!$A$2,1)))-SUM($G52:L52)</f>
        <v>#N/A</v>
      </c>
      <c r="N52" s="70" t="e" cm="1">
        <f t="array" aca="1" ref="N52" ca="1">_xlfn.NUMBERVALUE(_xlfn.XLOOKUP(1,(OFFSET(IN_Verknüpfungen!$O$4,0,0,IN_Verknüpfungen!$A$2,1)=$A52)*(OFFSET(IN_Verknüpfungen!$P$4,0,0,IN_Verknüpfungen!$A$2,1)=N$3+1),OFFSET(IN_Verknüpfungen!$F$4,0,0,IN_Verknüpfungen!$A$2,1)))-SUM($G52:M52)</f>
        <v>#N/A</v>
      </c>
      <c r="O52" s="70" t="e" cm="1">
        <f t="array" aca="1" ref="O52" ca="1">_xlfn.NUMBERVALUE(_xlfn.XLOOKUP(1,(OFFSET(IN_Verknüpfungen!$O$4,0,0,IN_Verknüpfungen!$A$2,1)=$A52)*(OFFSET(IN_Verknüpfungen!$P$4,0,0,IN_Verknüpfungen!$A$2,1)=P$3),OFFSET(IN_Verknüpfungen!$J$4,0,0,IN_Verknüpfungen!$A$2,1)))-SUM($G52:N52)</f>
        <v>#N/A</v>
      </c>
      <c r="P52" s="70" t="e" cm="1">
        <f t="array" aca="1" ref="P52" ca="1">_xlfn.NUMBERVALUE(_xlfn.XLOOKUP(1,(OFFSET(IN_Verknüpfungen!$O$4,0,0,IN_Verknüpfungen!$A$2,1)=$A52)*(OFFSET(IN_Verknüpfungen!$P$4,0,0,IN_Verknüpfungen!$A$2,1)=P$3+1),OFFSET(IN_Verknüpfungen!$F$4,0,0,IN_Verknüpfungen!$A$2,1)))-SUM($G52:O52)</f>
        <v>#N/A</v>
      </c>
      <c r="Q52" s="70" t="e" cm="1">
        <f t="array" aca="1" ref="Q52" ca="1">_xlfn.NUMBERVALUE(_xlfn.XLOOKUP(1,(OFFSET(IN_Verknüpfungen!$O$4,0,0,IN_Verknüpfungen!$A$2,1)=$A52)*(OFFSET(IN_Verknüpfungen!$P$4,0,0,IN_Verknüpfungen!$A$2,1)=R$3),OFFSET(IN_Verknüpfungen!$J$4,0,0,IN_Verknüpfungen!$A$2,1)))-SUM($G52:P52)</f>
        <v>#N/A</v>
      </c>
      <c r="R52" s="70" t="e" cm="1">
        <f t="array" aca="1" ref="R52" ca="1">_xlfn.NUMBERVALUE(_xlfn.XLOOKUP(1,(OFFSET(IN_Verknüpfungen!$O$4,0,0,IN_Verknüpfungen!$A$2,1)=$A52)*(OFFSET(IN_Verknüpfungen!$P$4,0,0,IN_Verknüpfungen!$A$2,1)=R$3+1),OFFSET(IN_Verknüpfungen!$F$4,0,0,IN_Verknüpfungen!$A$2,1)))-SUM($G52:Q52)</f>
        <v>#N/A</v>
      </c>
      <c r="S52" s="70" t="e" cm="1">
        <f t="array" aca="1" ref="S52" ca="1">_xlfn.NUMBERVALUE(_xlfn.XLOOKUP(1,(OFFSET(IN_Verknüpfungen!$O$4,0,0,IN_Verknüpfungen!$A$2,1)=$A52)*(OFFSET(IN_Verknüpfungen!$P$4,0,0,IN_Verknüpfungen!$A$2,1)=T$3),OFFSET(IN_Verknüpfungen!$J$4,0,0,IN_Verknüpfungen!$A$2,1)))-SUM($G52:R52)</f>
        <v>#N/A</v>
      </c>
      <c r="T52" s="70" t="e" cm="1">
        <f t="array" aca="1" ref="T52" ca="1">_xlfn.NUMBERVALUE(_xlfn.XLOOKUP(1,(OFFSET(IN_Verknüpfungen!$O$4,0,0,IN_Verknüpfungen!$A$2,1)=$A52)*(OFFSET(IN_Verknüpfungen!$P$4,0,0,IN_Verknüpfungen!$A$2,1)=T$3+1),OFFSET(IN_Verknüpfungen!$F$4,0,0,IN_Verknüpfungen!$A$2,1)))-SUM($G52:S52)</f>
        <v>#N/A</v>
      </c>
      <c r="U52" s="70" t="e" cm="1">
        <f t="array" aca="1" ref="U52" ca="1">_xlfn.NUMBERVALUE(_xlfn.XLOOKUP(1,(OFFSET(IN_Verknüpfungen!$O$4,0,0,IN_Verknüpfungen!$A$2,1)=$A52)*(OFFSET(IN_Verknüpfungen!$P$4,0,0,IN_Verknüpfungen!$A$2,1)=V$3),OFFSET(IN_Verknüpfungen!$J$4,0,0,IN_Verknüpfungen!$A$2,1)))-SUM($G52:T52)</f>
        <v>#N/A</v>
      </c>
      <c r="V52" s="70" t="e" cm="1">
        <f t="array" aca="1" ref="V52" ca="1">_xlfn.NUMBERVALUE(_xlfn.XLOOKUP(1,(OFFSET(IN_Verknüpfungen!$O$4,0,0,IN_Verknüpfungen!$A$2,1)=$A52)*(OFFSET(IN_Verknüpfungen!$P$4,0,0,IN_Verknüpfungen!$A$2,1)=V$3+1),OFFSET(IN_Verknüpfungen!$F$4,0,0,IN_Verknüpfungen!$A$2,1)))-SUM($G52:U52)</f>
        <v>#N/A</v>
      </c>
      <c r="W52" s="70" t="e" cm="1">
        <f t="array" aca="1" ref="W52" ca="1">_xlfn.NUMBERVALUE(_xlfn.XLOOKUP(1,(OFFSET(IN_Verknüpfungen!$O$4,0,0,IN_Verknüpfungen!$A$2,1)=$A52)*(OFFSET(IN_Verknüpfungen!$P$4,0,0,IN_Verknüpfungen!$A$2,1)=X$3),OFFSET(IN_Verknüpfungen!$J$4,0,0,IN_Verknüpfungen!$A$2,1)))-SUM($G52:V52)</f>
        <v>#N/A</v>
      </c>
      <c r="X52" s="70" t="e" cm="1">
        <f t="array" aca="1" ref="X52" ca="1">_xlfn.NUMBERVALUE(_xlfn.XLOOKUP(1,(OFFSET(IN_Verknüpfungen!$O$4,0,0,IN_Verknüpfungen!$A$2,1)=$A52)*(OFFSET(IN_Verknüpfungen!$P$4,0,0,IN_Verknüpfungen!$A$2,1)=X$3+1),OFFSET(IN_Verknüpfungen!$F$4,0,0,IN_Verknüpfungen!$A$2,1)))-SUM($G52:W52)</f>
        <v>#N/A</v>
      </c>
      <c r="Y52" s="70" t="e" cm="1">
        <f t="array" aca="1" ref="Y52" ca="1">_xlfn.NUMBERVALUE(_xlfn.XLOOKUP(1,(OFFSET(IN_Verknüpfungen!$O$4,0,0,IN_Verknüpfungen!$A$2,1)=$A52)*(OFFSET(IN_Verknüpfungen!$P$4,0,0,IN_Verknüpfungen!$A$2,1)=Z$3),OFFSET(IN_Verknüpfungen!$J$4,0,0,IN_Verknüpfungen!$A$2,1)))-SUM($G52:X52)</f>
        <v>#N/A</v>
      </c>
      <c r="Z52" s="70" t="e" cm="1">
        <f t="array" aca="1" ref="Z52" ca="1">_xlfn.NUMBERVALUE(_xlfn.XLOOKUP(1,(OFFSET(IN_Verknüpfungen!$O$4,0,0,IN_Verknüpfungen!$A$2,1)=$A52)*(OFFSET(IN_Verknüpfungen!$P$4,0,0,IN_Verknüpfungen!$A$2,1)=Z$3+1),OFFSET(IN_Verknüpfungen!$F$4,0,0,IN_Verknüpfungen!$A$2,1)))-SUM($G52:Y52)</f>
        <v>#N/A</v>
      </c>
      <c r="AA52" s="70" t="e" cm="1">
        <f t="array" aca="1" ref="AA52" ca="1">_xlfn.NUMBERVALUE(_xlfn.XLOOKUP(1,(OFFSET(IN_Verknüpfungen!$O$4,0,0,IN_Verknüpfungen!$A$2,1)=$A52)*(OFFSET(IN_Verknüpfungen!$P$4,0,0,IN_Verknüpfungen!$A$2,1)=AB$3),OFFSET(IN_Verknüpfungen!$J$4,0,0,IN_Verknüpfungen!$A$2,1)))-SUM($G52:Z52)</f>
        <v>#N/A</v>
      </c>
      <c r="AB52" s="70" t="e" cm="1">
        <f t="array" aca="1" ref="AB52" ca="1">_xlfn.NUMBERVALUE(_xlfn.XLOOKUP(1,(OFFSET(IN_Verknüpfungen!$O$4,0,0,IN_Verknüpfungen!$A$2,1)=$A52)*(OFFSET(IN_Verknüpfungen!$P$4,0,0,IN_Verknüpfungen!$A$2,1)=AB$3+1),OFFSET(IN_Verknüpfungen!$F$4,0,0,IN_Verknüpfungen!$A$2,1)))-SUM($G52:AA52)</f>
        <v>#N/A</v>
      </c>
    </row>
    <row r="53" spans="1:28" x14ac:dyDescent="0.2">
      <c r="A53" s="56" t="str">
        <f ca="1"/>
        <v>Composition 50</v>
      </c>
      <c r="B53" s="55" t="str" cm="1">
        <f t="array" aca="1" ref="B53" ca="1">IF(A53&lt;&gt;"",_xlfn.XLOOKUP(Laufwege!A53,OFFSET(IN_Verknüpfungen!L$4,0,0,IN_Verknüpfungen!A$2,1),OFFSET(IN_Verknüpfungen!N$4,0,0,IN_Verknüpfungen!A$2,1),""),"")</f>
        <v>462-1.0</v>
      </c>
      <c r="C53" s="55">
        <f ca="1">IF(A53&lt;&gt;"",SUMIFS(OFFSET(IN_Verknüpfungen!M$4,0,0,IN_Verknüpfungen!A$2,1),OFFSET(IN_Verknüpfungen!O$4,0,0,IN_Verknüpfungen!A$2,1),Laufwege!A53),0)</f>
        <v>720802</v>
      </c>
      <c r="D53" s="55" cm="1">
        <f t="array" aca="1" ref="D53" ca="1">IF(B53&lt;&gt;"",_xlfn.XLOOKUP(B53,OFFSET(IN_Stammdaten!$A$4,0,0,IN_Stammdaten!$A$2,1),OFFSET(IN_Stammdaten!$C$4,0,0,IN_Stammdaten!$A$2,1),""),"")</f>
        <v>0</v>
      </c>
      <c r="E53" s="55" t="str">
        <f t="shared" ca="1" si="0"/>
        <v>nein</v>
      </c>
      <c r="F53" s="69" t="str">
        <f t="shared" ca="1" si="1"/>
        <v>Composition 50 (462-1.0)</v>
      </c>
      <c r="G53" s="70" cm="1">
        <f t="array" aca="1" ref="G53" ca="1">_xlfn.NUMBERVALUE(_xlfn.XLOOKUP(A53,OFFSET(IN_Verknüpfungen!$L$4,0,0,IN_Verknüpfungen!$A$2,1),OFFSET(IN_Verknüpfungen!$Q$4,0,0,IN_Verknüpfungen!$A$2,1)))</f>
        <v>0.21131944444444445</v>
      </c>
      <c r="H53" s="70" cm="1">
        <f t="array" aca="1" ref="H53" ca="1">_xlfn.NUMBERVALUE(_xlfn.XLOOKUP(A53,OFFSET(IN_Verknüpfungen!$L$4,0,0,IN_Verknüpfungen!$A$2,1),OFFSET(IN_Verknüpfungen!$F$4,0,0,IN_Verknüpfungen!$A$2,1)))-G53</f>
        <v>0.10745370370370372</v>
      </c>
      <c r="I53" s="70" cm="1">
        <f t="array" aca="1" ref="I53" ca="1">_xlfn.NUMBERVALUE(_xlfn.XLOOKUP(1,(OFFSET(IN_Verknüpfungen!$O$4,0,0,IN_Verknüpfungen!$A$2,1)=$A53)*(OFFSET(IN_Verknüpfungen!$P$4,0,0,IN_Verknüpfungen!$A$2,1)=J$3),OFFSET(IN_Verknüpfungen!$J$4,0,0,IN_Verknüpfungen!$A$2,1)))-SUM($G53:H53)</f>
        <v>1.749999999999996E-2</v>
      </c>
      <c r="J53" s="70" cm="1">
        <f t="array" aca="1" ref="J53" ca="1">_xlfn.NUMBERVALUE(_xlfn.XLOOKUP(1,(OFFSET(IN_Verknüpfungen!$O$4,0,0,IN_Verknüpfungen!$A$2,1)=$A53)*(OFFSET(IN_Verknüpfungen!$P$4,0,0,IN_Verknüpfungen!$A$2,1)=J$3+1),OFFSET(IN_Verknüpfungen!$F$4,0,0,IN_Verknüpfungen!$A$2,1)))-SUM($G53:I53)</f>
        <v>9.5046296296296295E-2</v>
      </c>
      <c r="K53" s="70" cm="1">
        <f t="array" aca="1" ref="K53" ca="1">_xlfn.NUMBERVALUE(_xlfn.XLOOKUP(1,(OFFSET(IN_Verknüpfungen!$O$4,0,0,IN_Verknüpfungen!$A$2,1)=$A53)*(OFFSET(IN_Verknüpfungen!$P$4,0,0,IN_Verknüpfungen!$A$2,1)=L$3),OFFSET(IN_Verknüpfungen!$J$4,0,0,IN_Verknüpfungen!$A$2,1)))-SUM($G53:J53)</f>
        <v>1.9259259259259309E-2</v>
      </c>
      <c r="L53" s="70" cm="1">
        <f t="array" aca="1" ref="L53" ca="1">_xlfn.NUMBERVALUE(_xlfn.XLOOKUP(1,(OFFSET(IN_Verknüpfungen!$O$4,0,0,IN_Verknüpfungen!$A$2,1)=$A53)*(OFFSET(IN_Verknüpfungen!$P$4,0,0,IN_Verknüpfungen!$A$2,1)=L$3+1),OFFSET(IN_Verknüpfungen!$F$4,0,0,IN_Verknüpfungen!$A$2,1)))-SUM($G53:K53)</f>
        <v>9.9097222222222225E-2</v>
      </c>
      <c r="M53" s="70" cm="1">
        <f t="array" aca="1" ref="M53" ca="1">_xlfn.NUMBERVALUE(_xlfn.XLOOKUP(1,(OFFSET(IN_Verknüpfungen!$O$4,0,0,IN_Verknüpfungen!$A$2,1)=$A53)*(OFFSET(IN_Verknüpfungen!$P$4,0,0,IN_Verknüpfungen!$A$2,1)=N$3),OFFSET(IN_Verknüpfungen!$J$4,0,0,IN_Verknüpfungen!$A$2,1)))-SUM($G53:L53)</f>
        <v>1.5254629629629646E-2</v>
      </c>
      <c r="N53" s="70" t="e" cm="1">
        <f t="array" aca="1" ref="N53" ca="1">_xlfn.NUMBERVALUE(_xlfn.XLOOKUP(1,(OFFSET(IN_Verknüpfungen!$O$4,0,0,IN_Verknüpfungen!$A$2,1)=$A53)*(OFFSET(IN_Verknüpfungen!$P$4,0,0,IN_Verknüpfungen!$A$2,1)=N$3+1),OFFSET(IN_Verknüpfungen!$F$4,0,0,IN_Verknüpfungen!$A$2,1)))-SUM($G53:M53)</f>
        <v>#N/A</v>
      </c>
      <c r="O53" s="70" t="e" cm="1">
        <f t="array" aca="1" ref="O53" ca="1">_xlfn.NUMBERVALUE(_xlfn.XLOOKUP(1,(OFFSET(IN_Verknüpfungen!$O$4,0,0,IN_Verknüpfungen!$A$2,1)=$A53)*(OFFSET(IN_Verknüpfungen!$P$4,0,0,IN_Verknüpfungen!$A$2,1)=P$3),OFFSET(IN_Verknüpfungen!$J$4,0,0,IN_Verknüpfungen!$A$2,1)))-SUM($G53:N53)</f>
        <v>#N/A</v>
      </c>
      <c r="P53" s="70" t="e" cm="1">
        <f t="array" aca="1" ref="P53" ca="1">_xlfn.NUMBERVALUE(_xlfn.XLOOKUP(1,(OFFSET(IN_Verknüpfungen!$O$4,0,0,IN_Verknüpfungen!$A$2,1)=$A53)*(OFFSET(IN_Verknüpfungen!$P$4,0,0,IN_Verknüpfungen!$A$2,1)=P$3+1),OFFSET(IN_Verknüpfungen!$F$4,0,0,IN_Verknüpfungen!$A$2,1)))-SUM($G53:O53)</f>
        <v>#N/A</v>
      </c>
      <c r="Q53" s="70" t="e" cm="1">
        <f t="array" aca="1" ref="Q53" ca="1">_xlfn.NUMBERVALUE(_xlfn.XLOOKUP(1,(OFFSET(IN_Verknüpfungen!$O$4,0,0,IN_Verknüpfungen!$A$2,1)=$A53)*(OFFSET(IN_Verknüpfungen!$P$4,0,0,IN_Verknüpfungen!$A$2,1)=R$3),OFFSET(IN_Verknüpfungen!$J$4,0,0,IN_Verknüpfungen!$A$2,1)))-SUM($G53:P53)</f>
        <v>#N/A</v>
      </c>
      <c r="R53" s="70" t="e" cm="1">
        <f t="array" aca="1" ref="R53" ca="1">_xlfn.NUMBERVALUE(_xlfn.XLOOKUP(1,(OFFSET(IN_Verknüpfungen!$O$4,0,0,IN_Verknüpfungen!$A$2,1)=$A53)*(OFFSET(IN_Verknüpfungen!$P$4,0,0,IN_Verknüpfungen!$A$2,1)=R$3+1),OFFSET(IN_Verknüpfungen!$F$4,0,0,IN_Verknüpfungen!$A$2,1)))-SUM($G53:Q53)</f>
        <v>#N/A</v>
      </c>
      <c r="S53" s="70" t="e" cm="1">
        <f t="array" aca="1" ref="S53" ca="1">_xlfn.NUMBERVALUE(_xlfn.XLOOKUP(1,(OFFSET(IN_Verknüpfungen!$O$4,0,0,IN_Verknüpfungen!$A$2,1)=$A53)*(OFFSET(IN_Verknüpfungen!$P$4,0,0,IN_Verknüpfungen!$A$2,1)=T$3),OFFSET(IN_Verknüpfungen!$J$4,0,0,IN_Verknüpfungen!$A$2,1)))-SUM($G53:R53)</f>
        <v>#N/A</v>
      </c>
      <c r="T53" s="70" t="e" cm="1">
        <f t="array" aca="1" ref="T53" ca="1">_xlfn.NUMBERVALUE(_xlfn.XLOOKUP(1,(OFFSET(IN_Verknüpfungen!$O$4,0,0,IN_Verknüpfungen!$A$2,1)=$A53)*(OFFSET(IN_Verknüpfungen!$P$4,0,0,IN_Verknüpfungen!$A$2,1)=T$3+1),OFFSET(IN_Verknüpfungen!$F$4,0,0,IN_Verknüpfungen!$A$2,1)))-SUM($G53:S53)</f>
        <v>#N/A</v>
      </c>
      <c r="U53" s="70" t="e" cm="1">
        <f t="array" aca="1" ref="U53" ca="1">_xlfn.NUMBERVALUE(_xlfn.XLOOKUP(1,(OFFSET(IN_Verknüpfungen!$O$4,0,0,IN_Verknüpfungen!$A$2,1)=$A53)*(OFFSET(IN_Verknüpfungen!$P$4,0,0,IN_Verknüpfungen!$A$2,1)=V$3),OFFSET(IN_Verknüpfungen!$J$4,0,0,IN_Verknüpfungen!$A$2,1)))-SUM($G53:T53)</f>
        <v>#N/A</v>
      </c>
      <c r="V53" s="70" t="e" cm="1">
        <f t="array" aca="1" ref="V53" ca="1">_xlfn.NUMBERVALUE(_xlfn.XLOOKUP(1,(OFFSET(IN_Verknüpfungen!$O$4,0,0,IN_Verknüpfungen!$A$2,1)=$A53)*(OFFSET(IN_Verknüpfungen!$P$4,0,0,IN_Verknüpfungen!$A$2,1)=V$3+1),OFFSET(IN_Verknüpfungen!$F$4,0,0,IN_Verknüpfungen!$A$2,1)))-SUM($G53:U53)</f>
        <v>#N/A</v>
      </c>
      <c r="W53" s="70" t="e" cm="1">
        <f t="array" aca="1" ref="W53" ca="1">_xlfn.NUMBERVALUE(_xlfn.XLOOKUP(1,(OFFSET(IN_Verknüpfungen!$O$4,0,0,IN_Verknüpfungen!$A$2,1)=$A53)*(OFFSET(IN_Verknüpfungen!$P$4,0,0,IN_Verknüpfungen!$A$2,1)=X$3),OFFSET(IN_Verknüpfungen!$J$4,0,0,IN_Verknüpfungen!$A$2,1)))-SUM($G53:V53)</f>
        <v>#N/A</v>
      </c>
      <c r="X53" s="70" t="e" cm="1">
        <f t="array" aca="1" ref="X53" ca="1">_xlfn.NUMBERVALUE(_xlfn.XLOOKUP(1,(OFFSET(IN_Verknüpfungen!$O$4,0,0,IN_Verknüpfungen!$A$2,1)=$A53)*(OFFSET(IN_Verknüpfungen!$P$4,0,0,IN_Verknüpfungen!$A$2,1)=X$3+1),OFFSET(IN_Verknüpfungen!$F$4,0,0,IN_Verknüpfungen!$A$2,1)))-SUM($G53:W53)</f>
        <v>#N/A</v>
      </c>
      <c r="Y53" s="70" t="e" cm="1">
        <f t="array" aca="1" ref="Y53" ca="1">_xlfn.NUMBERVALUE(_xlfn.XLOOKUP(1,(OFFSET(IN_Verknüpfungen!$O$4,0,0,IN_Verknüpfungen!$A$2,1)=$A53)*(OFFSET(IN_Verknüpfungen!$P$4,0,0,IN_Verknüpfungen!$A$2,1)=Z$3),OFFSET(IN_Verknüpfungen!$J$4,0,0,IN_Verknüpfungen!$A$2,1)))-SUM($G53:X53)</f>
        <v>#N/A</v>
      </c>
      <c r="Z53" s="70" t="e" cm="1">
        <f t="array" aca="1" ref="Z53" ca="1">_xlfn.NUMBERVALUE(_xlfn.XLOOKUP(1,(OFFSET(IN_Verknüpfungen!$O$4,0,0,IN_Verknüpfungen!$A$2,1)=$A53)*(OFFSET(IN_Verknüpfungen!$P$4,0,0,IN_Verknüpfungen!$A$2,1)=Z$3+1),OFFSET(IN_Verknüpfungen!$F$4,0,0,IN_Verknüpfungen!$A$2,1)))-SUM($G53:Y53)</f>
        <v>#N/A</v>
      </c>
      <c r="AA53" s="70" t="e" cm="1">
        <f t="array" aca="1" ref="AA53" ca="1">_xlfn.NUMBERVALUE(_xlfn.XLOOKUP(1,(OFFSET(IN_Verknüpfungen!$O$4,0,0,IN_Verknüpfungen!$A$2,1)=$A53)*(OFFSET(IN_Verknüpfungen!$P$4,0,0,IN_Verknüpfungen!$A$2,1)=AB$3),OFFSET(IN_Verknüpfungen!$J$4,0,0,IN_Verknüpfungen!$A$2,1)))-SUM($G53:Z53)</f>
        <v>#N/A</v>
      </c>
      <c r="AB53" s="70" t="e" cm="1">
        <f t="array" aca="1" ref="AB53" ca="1">_xlfn.NUMBERVALUE(_xlfn.XLOOKUP(1,(OFFSET(IN_Verknüpfungen!$O$4,0,0,IN_Verknüpfungen!$A$2,1)=$A53)*(OFFSET(IN_Verknüpfungen!$P$4,0,0,IN_Verknüpfungen!$A$2,1)=AB$3+1),OFFSET(IN_Verknüpfungen!$F$4,0,0,IN_Verknüpfungen!$A$2,1)))-SUM($G53:AA53)</f>
        <v>#N/A</v>
      </c>
    </row>
    <row r="54" spans="1:28" x14ac:dyDescent="0.2">
      <c r="A54" s="56" t="str">
        <f ca="1"/>
        <v>Composition 51</v>
      </c>
      <c r="B54" s="55" t="str" cm="1">
        <f t="array" aca="1" ref="B54" ca="1">IF(A54&lt;&gt;"",_xlfn.XLOOKUP(Laufwege!A54,OFFSET(IN_Verknüpfungen!L$4,0,0,IN_Verknüpfungen!A$2,1),OFFSET(IN_Verknüpfungen!N$4,0,0,IN_Verknüpfungen!A$2,1),""),"")</f>
        <v>462-1.0</v>
      </c>
      <c r="C54" s="55">
        <f ca="1">IF(A54&lt;&gt;"",SUMIFS(OFFSET(IN_Verknüpfungen!M$4,0,0,IN_Verknüpfungen!A$2,1),OFFSET(IN_Verknüpfungen!O$4,0,0,IN_Verknüpfungen!A$2,1),Laufwege!A54),0)</f>
        <v>959434</v>
      </c>
      <c r="D54" s="55" cm="1">
        <f t="array" aca="1" ref="D54" ca="1">IF(B54&lt;&gt;"",_xlfn.XLOOKUP(B54,OFFSET(IN_Stammdaten!$A$4,0,0,IN_Stammdaten!$A$2,1),OFFSET(IN_Stammdaten!$C$4,0,0,IN_Stammdaten!$A$2,1),""),"")</f>
        <v>0</v>
      </c>
      <c r="E54" s="55" t="str">
        <f t="shared" ca="1" si="0"/>
        <v>nein</v>
      </c>
      <c r="F54" s="69" t="str">
        <f t="shared" ca="1" si="1"/>
        <v>Composition 51 (462-1.0)</v>
      </c>
      <c r="G54" s="70" cm="1">
        <f t="array" aca="1" ref="G54" ca="1">_xlfn.NUMBERVALUE(_xlfn.XLOOKUP(A54,OFFSET(IN_Verknüpfungen!$L$4,0,0,IN_Verknüpfungen!$A$2,1),OFFSET(IN_Verknüpfungen!$Q$4,0,0,IN_Verknüpfungen!$A$2,1)))</f>
        <v>0.19938657407407406</v>
      </c>
      <c r="H54" s="70" cm="1">
        <f t="array" aca="1" ref="H54" ca="1">_xlfn.NUMBERVALUE(_xlfn.XLOOKUP(A54,OFFSET(IN_Verknüpfungen!$L$4,0,0,IN_Verknüpfungen!$A$2,1),OFFSET(IN_Verknüpfungen!$F$4,0,0,IN_Verknüpfungen!$A$2,1)))-G54</f>
        <v>0.12003472222222222</v>
      </c>
      <c r="I54" s="70" cm="1">
        <f t="array" aca="1" ref="I54" ca="1">_xlfn.NUMBERVALUE(_xlfn.XLOOKUP(1,(OFFSET(IN_Verknüpfungen!$O$4,0,0,IN_Verknüpfungen!$A$2,1)=$A54)*(OFFSET(IN_Verknüpfungen!$P$4,0,0,IN_Verknüpfungen!$A$2,1)=J$3),OFFSET(IN_Verknüpfungen!$J$4,0,0,IN_Verknüpfungen!$A$2,1)))-SUM($G54:H54)</f>
        <v>1.3518518518518541E-2</v>
      </c>
      <c r="J54" s="70" cm="1">
        <f t="array" aca="1" ref="J54" ca="1">_xlfn.NUMBERVALUE(_xlfn.XLOOKUP(1,(OFFSET(IN_Verknüpfungen!$O$4,0,0,IN_Verknüpfungen!$A$2,1)=$A54)*(OFFSET(IN_Verknüpfungen!$P$4,0,0,IN_Verknüpfungen!$A$2,1)=J$3+1),OFFSET(IN_Verknüpfungen!$F$4,0,0,IN_Verknüpfungen!$A$2,1)))-SUM($G54:I54)</f>
        <v>0.10984953703703704</v>
      </c>
      <c r="K54" s="70" cm="1">
        <f t="array" aca="1" ref="K54" ca="1">_xlfn.NUMBERVALUE(_xlfn.XLOOKUP(1,(OFFSET(IN_Verknüpfungen!$O$4,0,0,IN_Verknüpfungen!$A$2,1)=$A54)*(OFFSET(IN_Verknüpfungen!$P$4,0,0,IN_Verknüpfungen!$A$2,1)=L$3),OFFSET(IN_Verknüpfungen!$J$4,0,0,IN_Verknüpfungen!$A$2,1)))-SUM($G54:J54)</f>
        <v>2.2951388888888868E-2</v>
      </c>
      <c r="L54" s="70" cm="1">
        <f t="array" aca="1" ref="L54" ca="1">_xlfn.NUMBERVALUE(_xlfn.XLOOKUP(1,(OFFSET(IN_Verknüpfungen!$O$4,0,0,IN_Verknüpfungen!$A$2,1)=$A54)*(OFFSET(IN_Verknüpfungen!$P$4,0,0,IN_Verknüpfungen!$A$2,1)=L$3+1),OFFSET(IN_Verknüpfungen!$F$4,0,0,IN_Verknüpfungen!$A$2,1)))-SUM($G54:K54)</f>
        <v>0.12287037037037035</v>
      </c>
      <c r="M54" s="70" cm="1">
        <f t="array" aca="1" ref="M54" ca="1">_xlfn.NUMBERVALUE(_xlfn.XLOOKUP(1,(OFFSET(IN_Verknüpfungen!$O$4,0,0,IN_Verknüpfungen!$A$2,1)=$A54)*(OFFSET(IN_Verknüpfungen!$P$4,0,0,IN_Verknüpfungen!$A$2,1)=N$3),OFFSET(IN_Verknüpfungen!$J$4,0,0,IN_Verknüpfungen!$A$2,1)))-SUM($G54:L54)</f>
        <v>1.6666666666666718E-2</v>
      </c>
      <c r="N54" s="70" t="e" cm="1">
        <f t="array" aca="1" ref="N54" ca="1">_xlfn.NUMBERVALUE(_xlfn.XLOOKUP(1,(OFFSET(IN_Verknüpfungen!$O$4,0,0,IN_Verknüpfungen!$A$2,1)=$A54)*(OFFSET(IN_Verknüpfungen!$P$4,0,0,IN_Verknüpfungen!$A$2,1)=N$3+1),OFFSET(IN_Verknüpfungen!$F$4,0,0,IN_Verknüpfungen!$A$2,1)))-SUM($G54:M54)</f>
        <v>#N/A</v>
      </c>
      <c r="O54" s="70" t="e" cm="1">
        <f t="array" aca="1" ref="O54" ca="1">_xlfn.NUMBERVALUE(_xlfn.XLOOKUP(1,(OFFSET(IN_Verknüpfungen!$O$4,0,0,IN_Verknüpfungen!$A$2,1)=$A54)*(OFFSET(IN_Verknüpfungen!$P$4,0,0,IN_Verknüpfungen!$A$2,1)=P$3),OFFSET(IN_Verknüpfungen!$J$4,0,0,IN_Verknüpfungen!$A$2,1)))-SUM($G54:N54)</f>
        <v>#N/A</v>
      </c>
      <c r="P54" s="70" t="e" cm="1">
        <f t="array" aca="1" ref="P54" ca="1">_xlfn.NUMBERVALUE(_xlfn.XLOOKUP(1,(OFFSET(IN_Verknüpfungen!$O$4,0,0,IN_Verknüpfungen!$A$2,1)=$A54)*(OFFSET(IN_Verknüpfungen!$P$4,0,0,IN_Verknüpfungen!$A$2,1)=P$3+1),OFFSET(IN_Verknüpfungen!$F$4,0,0,IN_Verknüpfungen!$A$2,1)))-SUM($G54:O54)</f>
        <v>#N/A</v>
      </c>
      <c r="Q54" s="70" t="e" cm="1">
        <f t="array" aca="1" ref="Q54" ca="1">_xlfn.NUMBERVALUE(_xlfn.XLOOKUP(1,(OFFSET(IN_Verknüpfungen!$O$4,0,0,IN_Verknüpfungen!$A$2,1)=$A54)*(OFFSET(IN_Verknüpfungen!$P$4,0,0,IN_Verknüpfungen!$A$2,1)=R$3),OFFSET(IN_Verknüpfungen!$J$4,0,0,IN_Verknüpfungen!$A$2,1)))-SUM($G54:P54)</f>
        <v>#N/A</v>
      </c>
      <c r="R54" s="70" t="e" cm="1">
        <f t="array" aca="1" ref="R54" ca="1">_xlfn.NUMBERVALUE(_xlfn.XLOOKUP(1,(OFFSET(IN_Verknüpfungen!$O$4,0,0,IN_Verknüpfungen!$A$2,1)=$A54)*(OFFSET(IN_Verknüpfungen!$P$4,0,0,IN_Verknüpfungen!$A$2,1)=R$3+1),OFFSET(IN_Verknüpfungen!$F$4,0,0,IN_Verknüpfungen!$A$2,1)))-SUM($G54:Q54)</f>
        <v>#N/A</v>
      </c>
      <c r="S54" s="70" t="e" cm="1">
        <f t="array" aca="1" ref="S54" ca="1">_xlfn.NUMBERVALUE(_xlfn.XLOOKUP(1,(OFFSET(IN_Verknüpfungen!$O$4,0,0,IN_Verknüpfungen!$A$2,1)=$A54)*(OFFSET(IN_Verknüpfungen!$P$4,0,0,IN_Verknüpfungen!$A$2,1)=T$3),OFFSET(IN_Verknüpfungen!$J$4,0,0,IN_Verknüpfungen!$A$2,1)))-SUM($G54:R54)</f>
        <v>#N/A</v>
      </c>
      <c r="T54" s="70" t="e" cm="1">
        <f t="array" aca="1" ref="T54" ca="1">_xlfn.NUMBERVALUE(_xlfn.XLOOKUP(1,(OFFSET(IN_Verknüpfungen!$O$4,0,0,IN_Verknüpfungen!$A$2,1)=$A54)*(OFFSET(IN_Verknüpfungen!$P$4,0,0,IN_Verknüpfungen!$A$2,1)=T$3+1),OFFSET(IN_Verknüpfungen!$F$4,0,0,IN_Verknüpfungen!$A$2,1)))-SUM($G54:S54)</f>
        <v>#N/A</v>
      </c>
      <c r="U54" s="70" t="e" cm="1">
        <f t="array" aca="1" ref="U54" ca="1">_xlfn.NUMBERVALUE(_xlfn.XLOOKUP(1,(OFFSET(IN_Verknüpfungen!$O$4,0,0,IN_Verknüpfungen!$A$2,1)=$A54)*(OFFSET(IN_Verknüpfungen!$P$4,0,0,IN_Verknüpfungen!$A$2,1)=V$3),OFFSET(IN_Verknüpfungen!$J$4,0,0,IN_Verknüpfungen!$A$2,1)))-SUM($G54:T54)</f>
        <v>#N/A</v>
      </c>
      <c r="V54" s="70" t="e" cm="1">
        <f t="array" aca="1" ref="V54" ca="1">_xlfn.NUMBERVALUE(_xlfn.XLOOKUP(1,(OFFSET(IN_Verknüpfungen!$O$4,0,0,IN_Verknüpfungen!$A$2,1)=$A54)*(OFFSET(IN_Verknüpfungen!$P$4,0,0,IN_Verknüpfungen!$A$2,1)=V$3+1),OFFSET(IN_Verknüpfungen!$F$4,0,0,IN_Verknüpfungen!$A$2,1)))-SUM($G54:U54)</f>
        <v>#N/A</v>
      </c>
      <c r="W54" s="70" t="e" cm="1">
        <f t="array" aca="1" ref="W54" ca="1">_xlfn.NUMBERVALUE(_xlfn.XLOOKUP(1,(OFFSET(IN_Verknüpfungen!$O$4,0,0,IN_Verknüpfungen!$A$2,1)=$A54)*(OFFSET(IN_Verknüpfungen!$P$4,0,0,IN_Verknüpfungen!$A$2,1)=X$3),OFFSET(IN_Verknüpfungen!$J$4,0,0,IN_Verknüpfungen!$A$2,1)))-SUM($G54:V54)</f>
        <v>#N/A</v>
      </c>
      <c r="X54" s="70" t="e" cm="1">
        <f t="array" aca="1" ref="X54" ca="1">_xlfn.NUMBERVALUE(_xlfn.XLOOKUP(1,(OFFSET(IN_Verknüpfungen!$O$4,0,0,IN_Verknüpfungen!$A$2,1)=$A54)*(OFFSET(IN_Verknüpfungen!$P$4,0,0,IN_Verknüpfungen!$A$2,1)=X$3+1),OFFSET(IN_Verknüpfungen!$F$4,0,0,IN_Verknüpfungen!$A$2,1)))-SUM($G54:W54)</f>
        <v>#N/A</v>
      </c>
      <c r="Y54" s="70" t="e" cm="1">
        <f t="array" aca="1" ref="Y54" ca="1">_xlfn.NUMBERVALUE(_xlfn.XLOOKUP(1,(OFFSET(IN_Verknüpfungen!$O$4,0,0,IN_Verknüpfungen!$A$2,1)=$A54)*(OFFSET(IN_Verknüpfungen!$P$4,0,0,IN_Verknüpfungen!$A$2,1)=Z$3),OFFSET(IN_Verknüpfungen!$J$4,0,0,IN_Verknüpfungen!$A$2,1)))-SUM($G54:X54)</f>
        <v>#N/A</v>
      </c>
      <c r="Z54" s="70" t="e" cm="1">
        <f t="array" aca="1" ref="Z54" ca="1">_xlfn.NUMBERVALUE(_xlfn.XLOOKUP(1,(OFFSET(IN_Verknüpfungen!$O$4,0,0,IN_Verknüpfungen!$A$2,1)=$A54)*(OFFSET(IN_Verknüpfungen!$P$4,0,0,IN_Verknüpfungen!$A$2,1)=Z$3+1),OFFSET(IN_Verknüpfungen!$F$4,0,0,IN_Verknüpfungen!$A$2,1)))-SUM($G54:Y54)</f>
        <v>#N/A</v>
      </c>
      <c r="AA54" s="70" t="e" cm="1">
        <f t="array" aca="1" ref="AA54" ca="1">_xlfn.NUMBERVALUE(_xlfn.XLOOKUP(1,(OFFSET(IN_Verknüpfungen!$O$4,0,0,IN_Verknüpfungen!$A$2,1)=$A54)*(OFFSET(IN_Verknüpfungen!$P$4,0,0,IN_Verknüpfungen!$A$2,1)=AB$3),OFFSET(IN_Verknüpfungen!$J$4,0,0,IN_Verknüpfungen!$A$2,1)))-SUM($G54:Z54)</f>
        <v>#N/A</v>
      </c>
      <c r="AB54" s="70" t="e" cm="1">
        <f t="array" aca="1" ref="AB54" ca="1">_xlfn.NUMBERVALUE(_xlfn.XLOOKUP(1,(OFFSET(IN_Verknüpfungen!$O$4,0,0,IN_Verknüpfungen!$A$2,1)=$A54)*(OFFSET(IN_Verknüpfungen!$P$4,0,0,IN_Verknüpfungen!$A$2,1)=AB$3+1),OFFSET(IN_Verknüpfungen!$F$4,0,0,IN_Verknüpfungen!$A$2,1)))-SUM($G54:AA54)</f>
        <v>#N/A</v>
      </c>
    </row>
    <row r="55" spans="1:28" x14ac:dyDescent="0.2">
      <c r="A55" s="56" t="str">
        <f ca="1"/>
        <v>Composition 52</v>
      </c>
      <c r="B55" s="55" t="str" cm="1">
        <f t="array" aca="1" ref="B55" ca="1">IF(A55&lt;&gt;"",_xlfn.XLOOKUP(Laufwege!A55,OFFSET(IN_Verknüpfungen!L$4,0,0,IN_Verknüpfungen!A$2,1),OFFSET(IN_Verknüpfungen!N$4,0,0,IN_Verknüpfungen!A$2,1),""),"")</f>
        <v>462-1.0</v>
      </c>
      <c r="C55" s="55">
        <f ca="1">IF(A55&lt;&gt;"",SUMIFS(OFFSET(IN_Verknüpfungen!M$4,0,0,IN_Verknüpfungen!A$2,1),OFFSET(IN_Verknüpfungen!O$4,0,0,IN_Verknüpfungen!A$2,1),Laufwege!A55),0)</f>
        <v>571104</v>
      </c>
      <c r="D55" s="55" cm="1">
        <f t="array" aca="1" ref="D55" ca="1">IF(B55&lt;&gt;"",_xlfn.XLOOKUP(B55,OFFSET(IN_Stammdaten!$A$4,0,0,IN_Stammdaten!$A$2,1),OFFSET(IN_Stammdaten!$C$4,0,0,IN_Stammdaten!$A$2,1),""),"")</f>
        <v>0</v>
      </c>
      <c r="E55" s="55" t="str">
        <f t="shared" ca="1" si="0"/>
        <v>nein</v>
      </c>
      <c r="F55" s="69" t="str">
        <f t="shared" ca="1" si="1"/>
        <v>Composition 52 (462-1.0)</v>
      </c>
      <c r="G55" s="70" cm="1">
        <f t="array" aca="1" ref="G55" ca="1">_xlfn.NUMBERVALUE(_xlfn.XLOOKUP(A55,OFFSET(IN_Verknüpfungen!$L$4,0,0,IN_Verknüpfungen!$A$2,1),OFFSET(IN_Verknüpfungen!$Q$4,0,0,IN_Verknüpfungen!$A$2,1)))</f>
        <v>0.24194444444444443</v>
      </c>
      <c r="H55" s="70" cm="1">
        <f t="array" aca="1" ref="H55" ca="1">_xlfn.NUMBERVALUE(_xlfn.XLOOKUP(A55,OFFSET(IN_Verknüpfungen!$L$4,0,0,IN_Verknüpfungen!$A$2,1),OFFSET(IN_Verknüpfungen!$F$4,0,0,IN_Verknüpfungen!$A$2,1)))-G55</f>
        <v>7.9039351851851875E-2</v>
      </c>
      <c r="I55" s="70" cm="1">
        <f t="array" aca="1" ref="I55" ca="1">_xlfn.NUMBERVALUE(_xlfn.XLOOKUP(1,(OFFSET(IN_Verknüpfungen!$O$4,0,0,IN_Verknüpfungen!$A$2,1)=$A55)*(OFFSET(IN_Verknüpfungen!$P$4,0,0,IN_Verknüpfungen!$A$2,1)=J$3),OFFSET(IN_Verknüpfungen!$J$4,0,0,IN_Verknüpfungen!$A$2,1)))-SUM($G55:H55)</f>
        <v>9.791666666666643E-3</v>
      </c>
      <c r="J55" s="70" cm="1">
        <f t="array" aca="1" ref="J55" ca="1">_xlfn.NUMBERVALUE(_xlfn.XLOOKUP(1,(OFFSET(IN_Verknüpfungen!$O$4,0,0,IN_Verknüpfungen!$A$2,1)=$A55)*(OFFSET(IN_Verknüpfungen!$P$4,0,0,IN_Verknüpfungen!$A$2,1)=J$3+1),OFFSET(IN_Verknüpfungen!$F$4,0,0,IN_Verknüpfungen!$A$2,1)))-SUM($G55:I55)</f>
        <v>6.8854166666666661E-2</v>
      </c>
      <c r="K55" s="70" cm="1">
        <f t="array" aca="1" ref="K55" ca="1">_xlfn.NUMBERVALUE(_xlfn.XLOOKUP(1,(OFFSET(IN_Verknüpfungen!$O$4,0,0,IN_Verknüpfungen!$A$2,1)=$A55)*(OFFSET(IN_Verknüpfungen!$P$4,0,0,IN_Verknüpfungen!$A$2,1)=L$3),OFFSET(IN_Verknüpfungen!$J$4,0,0,IN_Verknüpfungen!$A$2,1)))-SUM($G55:J55)</f>
        <v>1.7951388888888919E-2</v>
      </c>
      <c r="L55" s="70" cm="1">
        <f t="array" aca="1" ref="L55" ca="1">_xlfn.NUMBERVALUE(_xlfn.XLOOKUP(1,(OFFSET(IN_Verknüpfungen!$O$4,0,0,IN_Verknüpfungen!$A$2,1)=$A55)*(OFFSET(IN_Verknüpfungen!$P$4,0,0,IN_Verknüpfungen!$A$2,1)=L$3+1),OFFSET(IN_Verknüpfungen!$F$4,0,0,IN_Verknüpfungen!$A$2,1)))-SUM($G55:K55)</f>
        <v>7.0069444444444406E-2</v>
      </c>
      <c r="M55" s="70" cm="1">
        <f t="array" aca="1" ref="M55" ca="1">_xlfn.NUMBERVALUE(_xlfn.XLOOKUP(1,(OFFSET(IN_Verknüpfungen!$O$4,0,0,IN_Verknüpfungen!$A$2,1)=$A55)*(OFFSET(IN_Verknüpfungen!$P$4,0,0,IN_Verknüpfungen!$A$2,1)=N$3),OFFSET(IN_Verknüpfungen!$J$4,0,0,IN_Verknüpfungen!$A$2,1)))-SUM($G55:L55)</f>
        <v>9.7916666666666985E-3</v>
      </c>
      <c r="N55" s="70" cm="1">
        <f t="array" aca="1" ref="N55" ca="1">_xlfn.NUMBERVALUE(_xlfn.XLOOKUP(1,(OFFSET(IN_Verknüpfungen!$O$4,0,0,IN_Verknüpfungen!$A$2,1)=$A55)*(OFFSET(IN_Verknüpfungen!$P$4,0,0,IN_Verknüpfungen!$A$2,1)=N$3+1),OFFSET(IN_Verknüpfungen!$F$4,0,0,IN_Verknüpfungen!$A$2,1)))-SUM($G55:M55)</f>
        <v>6.8854166666666661E-2</v>
      </c>
      <c r="O55" s="70" cm="1">
        <f t="array" aca="1" ref="O55" ca="1">_xlfn.NUMBERVALUE(_xlfn.XLOOKUP(1,(OFFSET(IN_Verknüpfungen!$O$4,0,0,IN_Verknüpfungen!$A$2,1)=$A55)*(OFFSET(IN_Verknüpfungen!$P$4,0,0,IN_Verknüpfungen!$A$2,1)=P$3),OFFSET(IN_Verknüpfungen!$J$4,0,0,IN_Verknüpfungen!$A$2,1)))-SUM($G55:N55)</f>
        <v>1.7951388888888919E-2</v>
      </c>
      <c r="P55" s="70" t="e" cm="1">
        <f t="array" aca="1" ref="P55" ca="1">_xlfn.NUMBERVALUE(_xlfn.XLOOKUP(1,(OFFSET(IN_Verknüpfungen!$O$4,0,0,IN_Verknüpfungen!$A$2,1)=$A55)*(OFFSET(IN_Verknüpfungen!$P$4,0,0,IN_Verknüpfungen!$A$2,1)=P$3+1),OFFSET(IN_Verknüpfungen!$F$4,0,0,IN_Verknüpfungen!$A$2,1)))-SUM($G55:O55)</f>
        <v>#N/A</v>
      </c>
      <c r="Q55" s="70" t="e" cm="1">
        <f t="array" aca="1" ref="Q55" ca="1">_xlfn.NUMBERVALUE(_xlfn.XLOOKUP(1,(OFFSET(IN_Verknüpfungen!$O$4,0,0,IN_Verknüpfungen!$A$2,1)=$A55)*(OFFSET(IN_Verknüpfungen!$P$4,0,0,IN_Verknüpfungen!$A$2,1)=R$3),OFFSET(IN_Verknüpfungen!$J$4,0,0,IN_Verknüpfungen!$A$2,1)))-SUM($G55:P55)</f>
        <v>#N/A</v>
      </c>
      <c r="R55" s="70" t="e" cm="1">
        <f t="array" aca="1" ref="R55" ca="1">_xlfn.NUMBERVALUE(_xlfn.XLOOKUP(1,(OFFSET(IN_Verknüpfungen!$O$4,0,0,IN_Verknüpfungen!$A$2,1)=$A55)*(OFFSET(IN_Verknüpfungen!$P$4,0,0,IN_Verknüpfungen!$A$2,1)=R$3+1),OFFSET(IN_Verknüpfungen!$F$4,0,0,IN_Verknüpfungen!$A$2,1)))-SUM($G55:Q55)</f>
        <v>#N/A</v>
      </c>
      <c r="S55" s="70" t="e" cm="1">
        <f t="array" aca="1" ref="S55" ca="1">_xlfn.NUMBERVALUE(_xlfn.XLOOKUP(1,(OFFSET(IN_Verknüpfungen!$O$4,0,0,IN_Verknüpfungen!$A$2,1)=$A55)*(OFFSET(IN_Verknüpfungen!$P$4,0,0,IN_Verknüpfungen!$A$2,1)=T$3),OFFSET(IN_Verknüpfungen!$J$4,0,0,IN_Verknüpfungen!$A$2,1)))-SUM($G55:R55)</f>
        <v>#N/A</v>
      </c>
      <c r="T55" s="70" t="e" cm="1">
        <f t="array" aca="1" ref="T55" ca="1">_xlfn.NUMBERVALUE(_xlfn.XLOOKUP(1,(OFFSET(IN_Verknüpfungen!$O$4,0,0,IN_Verknüpfungen!$A$2,1)=$A55)*(OFFSET(IN_Verknüpfungen!$P$4,0,0,IN_Verknüpfungen!$A$2,1)=T$3+1),OFFSET(IN_Verknüpfungen!$F$4,0,0,IN_Verknüpfungen!$A$2,1)))-SUM($G55:S55)</f>
        <v>#N/A</v>
      </c>
      <c r="U55" s="70" t="e" cm="1">
        <f t="array" aca="1" ref="U55" ca="1">_xlfn.NUMBERVALUE(_xlfn.XLOOKUP(1,(OFFSET(IN_Verknüpfungen!$O$4,0,0,IN_Verknüpfungen!$A$2,1)=$A55)*(OFFSET(IN_Verknüpfungen!$P$4,0,0,IN_Verknüpfungen!$A$2,1)=V$3),OFFSET(IN_Verknüpfungen!$J$4,0,0,IN_Verknüpfungen!$A$2,1)))-SUM($G55:T55)</f>
        <v>#N/A</v>
      </c>
      <c r="V55" s="70" t="e" cm="1">
        <f t="array" aca="1" ref="V55" ca="1">_xlfn.NUMBERVALUE(_xlfn.XLOOKUP(1,(OFFSET(IN_Verknüpfungen!$O$4,0,0,IN_Verknüpfungen!$A$2,1)=$A55)*(OFFSET(IN_Verknüpfungen!$P$4,0,0,IN_Verknüpfungen!$A$2,1)=V$3+1),OFFSET(IN_Verknüpfungen!$F$4,0,0,IN_Verknüpfungen!$A$2,1)))-SUM($G55:U55)</f>
        <v>#N/A</v>
      </c>
      <c r="W55" s="70" t="e" cm="1">
        <f t="array" aca="1" ref="W55" ca="1">_xlfn.NUMBERVALUE(_xlfn.XLOOKUP(1,(OFFSET(IN_Verknüpfungen!$O$4,0,0,IN_Verknüpfungen!$A$2,1)=$A55)*(OFFSET(IN_Verknüpfungen!$P$4,0,0,IN_Verknüpfungen!$A$2,1)=X$3),OFFSET(IN_Verknüpfungen!$J$4,0,0,IN_Verknüpfungen!$A$2,1)))-SUM($G55:V55)</f>
        <v>#N/A</v>
      </c>
      <c r="X55" s="70" t="e" cm="1">
        <f t="array" aca="1" ref="X55" ca="1">_xlfn.NUMBERVALUE(_xlfn.XLOOKUP(1,(OFFSET(IN_Verknüpfungen!$O$4,0,0,IN_Verknüpfungen!$A$2,1)=$A55)*(OFFSET(IN_Verknüpfungen!$P$4,0,0,IN_Verknüpfungen!$A$2,1)=X$3+1),OFFSET(IN_Verknüpfungen!$F$4,0,0,IN_Verknüpfungen!$A$2,1)))-SUM($G55:W55)</f>
        <v>#N/A</v>
      </c>
      <c r="Y55" s="70" t="e" cm="1">
        <f t="array" aca="1" ref="Y55" ca="1">_xlfn.NUMBERVALUE(_xlfn.XLOOKUP(1,(OFFSET(IN_Verknüpfungen!$O$4,0,0,IN_Verknüpfungen!$A$2,1)=$A55)*(OFFSET(IN_Verknüpfungen!$P$4,0,0,IN_Verknüpfungen!$A$2,1)=Z$3),OFFSET(IN_Verknüpfungen!$J$4,0,0,IN_Verknüpfungen!$A$2,1)))-SUM($G55:X55)</f>
        <v>#N/A</v>
      </c>
      <c r="Z55" s="70" t="e" cm="1">
        <f t="array" aca="1" ref="Z55" ca="1">_xlfn.NUMBERVALUE(_xlfn.XLOOKUP(1,(OFFSET(IN_Verknüpfungen!$O$4,0,0,IN_Verknüpfungen!$A$2,1)=$A55)*(OFFSET(IN_Verknüpfungen!$P$4,0,0,IN_Verknüpfungen!$A$2,1)=Z$3+1),OFFSET(IN_Verknüpfungen!$F$4,0,0,IN_Verknüpfungen!$A$2,1)))-SUM($G55:Y55)</f>
        <v>#N/A</v>
      </c>
      <c r="AA55" s="70" t="e" cm="1">
        <f t="array" aca="1" ref="AA55" ca="1">_xlfn.NUMBERVALUE(_xlfn.XLOOKUP(1,(OFFSET(IN_Verknüpfungen!$O$4,0,0,IN_Verknüpfungen!$A$2,1)=$A55)*(OFFSET(IN_Verknüpfungen!$P$4,0,0,IN_Verknüpfungen!$A$2,1)=AB$3),OFFSET(IN_Verknüpfungen!$J$4,0,0,IN_Verknüpfungen!$A$2,1)))-SUM($G55:Z55)</f>
        <v>#N/A</v>
      </c>
      <c r="AB55" s="70" t="e" cm="1">
        <f t="array" aca="1" ref="AB55" ca="1">_xlfn.NUMBERVALUE(_xlfn.XLOOKUP(1,(OFFSET(IN_Verknüpfungen!$O$4,0,0,IN_Verknüpfungen!$A$2,1)=$A55)*(OFFSET(IN_Verknüpfungen!$P$4,0,0,IN_Verknüpfungen!$A$2,1)=AB$3+1),OFFSET(IN_Verknüpfungen!$F$4,0,0,IN_Verknüpfungen!$A$2,1)))-SUM($G55:AA55)</f>
        <v>#N/A</v>
      </c>
    </row>
    <row r="56" spans="1:28" x14ac:dyDescent="0.2">
      <c r="A56" s="56" t="str">
        <f ca="1"/>
        <v>Composition 53</v>
      </c>
      <c r="B56" s="55" t="str" cm="1">
        <f t="array" aca="1" ref="B56" ca="1">IF(A56&lt;&gt;"",_xlfn.XLOOKUP(Laufwege!A56,OFFSET(IN_Verknüpfungen!L$4,0,0,IN_Verknüpfungen!A$2,1),OFFSET(IN_Verknüpfungen!N$4,0,0,IN_Verknüpfungen!A$2,1),""),"")</f>
        <v>462-1.0</v>
      </c>
      <c r="C56" s="55">
        <f ca="1">IF(A56&lt;&gt;"",SUMIFS(OFFSET(IN_Verknüpfungen!M$4,0,0,IN_Verknüpfungen!A$2,1),OFFSET(IN_Verknüpfungen!O$4,0,0,IN_Verknüpfungen!A$2,1),Laufwege!A56),0)</f>
        <v>388970</v>
      </c>
      <c r="D56" s="55" cm="1">
        <f t="array" aca="1" ref="D56" ca="1">IF(B56&lt;&gt;"",_xlfn.XLOOKUP(B56,OFFSET(IN_Stammdaten!$A$4,0,0,IN_Stammdaten!$A$2,1),OFFSET(IN_Stammdaten!$C$4,0,0,IN_Stammdaten!$A$2,1),""),"")</f>
        <v>0</v>
      </c>
      <c r="E56" s="55" t="str">
        <f t="shared" ca="1" si="0"/>
        <v>nein</v>
      </c>
      <c r="F56" s="69" t="str">
        <f t="shared" ca="1" si="1"/>
        <v>Composition 53 (462-1.0)</v>
      </c>
      <c r="G56" s="70" cm="1">
        <f t="array" aca="1" ref="G56" ca="1">_xlfn.NUMBERVALUE(_xlfn.XLOOKUP(A56,OFFSET(IN_Verknüpfungen!$L$4,0,0,IN_Verknüpfungen!$A$2,1),OFFSET(IN_Verknüpfungen!$Q$4,0,0,IN_Verknüpfungen!$A$2,1)))</f>
        <v>0.23659722222222221</v>
      </c>
      <c r="H56" s="70" cm="1">
        <f t="array" aca="1" ref="H56" ca="1">_xlfn.NUMBERVALUE(_xlfn.XLOOKUP(A56,OFFSET(IN_Verknüpfungen!$L$4,0,0,IN_Verknüpfungen!$A$2,1),OFFSET(IN_Verknüpfungen!$F$4,0,0,IN_Verknüpfungen!$A$2,1)))-G56</f>
        <v>8.4571759259259277E-2</v>
      </c>
      <c r="I56" s="70" cm="1">
        <f t="array" aca="1" ref="I56" ca="1">_xlfn.NUMBERVALUE(_xlfn.XLOOKUP(1,(OFFSET(IN_Verknüpfungen!$O$4,0,0,IN_Verknüpfungen!$A$2,1)=$A56)*(OFFSET(IN_Verknüpfungen!$P$4,0,0,IN_Verknüpfungen!$A$2,1)=J$3),OFFSET(IN_Verknüpfungen!$J$4,0,0,IN_Verknüpfungen!$A$2,1)))-SUM($G56:H56)</f>
        <v>3.6759259259259269E-2</v>
      </c>
      <c r="J56" s="70" cm="1">
        <f t="array" aca="1" ref="J56" ca="1">_xlfn.NUMBERVALUE(_xlfn.XLOOKUP(1,(OFFSET(IN_Verknüpfungen!$O$4,0,0,IN_Verknüpfungen!$A$2,1)=$A56)*(OFFSET(IN_Verknüpfungen!$P$4,0,0,IN_Verknüpfungen!$A$2,1)=J$3+1),OFFSET(IN_Verknüpfungen!$F$4,0,0,IN_Verknüpfungen!$A$2,1)))-SUM($G56:I56)</f>
        <v>7.9398148148148107E-2</v>
      </c>
      <c r="K56" s="70" cm="1">
        <f t="array" aca="1" ref="K56" ca="1">_xlfn.NUMBERVALUE(_xlfn.XLOOKUP(1,(OFFSET(IN_Verknüpfungen!$O$4,0,0,IN_Verknüpfungen!$A$2,1)=$A56)*(OFFSET(IN_Verknüpfungen!$P$4,0,0,IN_Verknüpfungen!$A$2,1)=L$3),OFFSET(IN_Verknüpfungen!$J$4,0,0,IN_Verknüpfungen!$A$2,1)))-SUM($G56:J56)</f>
        <v>1.5208333333333379E-2</v>
      </c>
      <c r="L56" s="70" cm="1">
        <f t="array" aca="1" ref="L56" ca="1">_xlfn.NUMBERVALUE(_xlfn.XLOOKUP(1,(OFFSET(IN_Verknüpfungen!$O$4,0,0,IN_Verknüpfungen!$A$2,1)=$A56)*(OFFSET(IN_Verknüpfungen!$P$4,0,0,IN_Verknüpfungen!$A$2,1)=L$3+1),OFFSET(IN_Verknüpfungen!$F$4,0,0,IN_Verknüpfungen!$A$2,1)))-SUM($G56:K56)</f>
        <v>7.696759259259256E-2</v>
      </c>
      <c r="M56" s="70" cm="1">
        <f t="array" aca="1" ref="M56" ca="1">_xlfn.NUMBERVALUE(_xlfn.XLOOKUP(1,(OFFSET(IN_Verknüpfungen!$O$4,0,0,IN_Verknüpfungen!$A$2,1)=$A56)*(OFFSET(IN_Verknüpfungen!$P$4,0,0,IN_Verknüpfungen!$A$2,1)=N$3),OFFSET(IN_Verknüpfungen!$J$4,0,0,IN_Verknüpfungen!$A$2,1)))-SUM($G56:L56)</f>
        <v>3.6759259259259269E-2</v>
      </c>
      <c r="N56" s="70" t="e" cm="1">
        <f t="array" aca="1" ref="N56" ca="1">_xlfn.NUMBERVALUE(_xlfn.XLOOKUP(1,(OFFSET(IN_Verknüpfungen!$O$4,0,0,IN_Verknüpfungen!$A$2,1)=$A56)*(OFFSET(IN_Verknüpfungen!$P$4,0,0,IN_Verknüpfungen!$A$2,1)=N$3+1),OFFSET(IN_Verknüpfungen!$F$4,0,0,IN_Verknüpfungen!$A$2,1)))-SUM($G56:M56)</f>
        <v>#N/A</v>
      </c>
      <c r="O56" s="70" t="e" cm="1">
        <f t="array" aca="1" ref="O56" ca="1">_xlfn.NUMBERVALUE(_xlfn.XLOOKUP(1,(OFFSET(IN_Verknüpfungen!$O$4,0,0,IN_Verknüpfungen!$A$2,1)=$A56)*(OFFSET(IN_Verknüpfungen!$P$4,0,0,IN_Verknüpfungen!$A$2,1)=P$3),OFFSET(IN_Verknüpfungen!$J$4,0,0,IN_Verknüpfungen!$A$2,1)))-SUM($G56:N56)</f>
        <v>#N/A</v>
      </c>
      <c r="P56" s="70" t="e" cm="1">
        <f t="array" aca="1" ref="P56" ca="1">_xlfn.NUMBERVALUE(_xlfn.XLOOKUP(1,(OFFSET(IN_Verknüpfungen!$O$4,0,0,IN_Verknüpfungen!$A$2,1)=$A56)*(OFFSET(IN_Verknüpfungen!$P$4,0,0,IN_Verknüpfungen!$A$2,1)=P$3+1),OFFSET(IN_Verknüpfungen!$F$4,0,0,IN_Verknüpfungen!$A$2,1)))-SUM($G56:O56)</f>
        <v>#N/A</v>
      </c>
      <c r="Q56" s="70" t="e" cm="1">
        <f t="array" aca="1" ref="Q56" ca="1">_xlfn.NUMBERVALUE(_xlfn.XLOOKUP(1,(OFFSET(IN_Verknüpfungen!$O$4,0,0,IN_Verknüpfungen!$A$2,1)=$A56)*(OFFSET(IN_Verknüpfungen!$P$4,0,0,IN_Verknüpfungen!$A$2,1)=R$3),OFFSET(IN_Verknüpfungen!$J$4,0,0,IN_Verknüpfungen!$A$2,1)))-SUM($G56:P56)</f>
        <v>#N/A</v>
      </c>
      <c r="R56" s="70" t="e" cm="1">
        <f t="array" aca="1" ref="R56" ca="1">_xlfn.NUMBERVALUE(_xlfn.XLOOKUP(1,(OFFSET(IN_Verknüpfungen!$O$4,0,0,IN_Verknüpfungen!$A$2,1)=$A56)*(OFFSET(IN_Verknüpfungen!$P$4,0,0,IN_Verknüpfungen!$A$2,1)=R$3+1),OFFSET(IN_Verknüpfungen!$F$4,0,0,IN_Verknüpfungen!$A$2,1)))-SUM($G56:Q56)</f>
        <v>#N/A</v>
      </c>
      <c r="S56" s="70" t="e" cm="1">
        <f t="array" aca="1" ref="S56" ca="1">_xlfn.NUMBERVALUE(_xlfn.XLOOKUP(1,(OFFSET(IN_Verknüpfungen!$O$4,0,0,IN_Verknüpfungen!$A$2,1)=$A56)*(OFFSET(IN_Verknüpfungen!$P$4,0,0,IN_Verknüpfungen!$A$2,1)=T$3),OFFSET(IN_Verknüpfungen!$J$4,0,0,IN_Verknüpfungen!$A$2,1)))-SUM($G56:R56)</f>
        <v>#N/A</v>
      </c>
      <c r="T56" s="70" t="e" cm="1">
        <f t="array" aca="1" ref="T56" ca="1">_xlfn.NUMBERVALUE(_xlfn.XLOOKUP(1,(OFFSET(IN_Verknüpfungen!$O$4,0,0,IN_Verknüpfungen!$A$2,1)=$A56)*(OFFSET(IN_Verknüpfungen!$P$4,0,0,IN_Verknüpfungen!$A$2,1)=T$3+1),OFFSET(IN_Verknüpfungen!$F$4,0,0,IN_Verknüpfungen!$A$2,1)))-SUM($G56:S56)</f>
        <v>#N/A</v>
      </c>
      <c r="U56" s="70" t="e" cm="1">
        <f t="array" aca="1" ref="U56" ca="1">_xlfn.NUMBERVALUE(_xlfn.XLOOKUP(1,(OFFSET(IN_Verknüpfungen!$O$4,0,0,IN_Verknüpfungen!$A$2,1)=$A56)*(OFFSET(IN_Verknüpfungen!$P$4,0,0,IN_Verknüpfungen!$A$2,1)=V$3),OFFSET(IN_Verknüpfungen!$J$4,0,0,IN_Verknüpfungen!$A$2,1)))-SUM($G56:T56)</f>
        <v>#N/A</v>
      </c>
      <c r="V56" s="70" t="e" cm="1">
        <f t="array" aca="1" ref="V56" ca="1">_xlfn.NUMBERVALUE(_xlfn.XLOOKUP(1,(OFFSET(IN_Verknüpfungen!$O$4,0,0,IN_Verknüpfungen!$A$2,1)=$A56)*(OFFSET(IN_Verknüpfungen!$P$4,0,0,IN_Verknüpfungen!$A$2,1)=V$3+1),OFFSET(IN_Verknüpfungen!$F$4,0,0,IN_Verknüpfungen!$A$2,1)))-SUM($G56:U56)</f>
        <v>#N/A</v>
      </c>
      <c r="W56" s="70" t="e" cm="1">
        <f t="array" aca="1" ref="W56" ca="1">_xlfn.NUMBERVALUE(_xlfn.XLOOKUP(1,(OFFSET(IN_Verknüpfungen!$O$4,0,0,IN_Verknüpfungen!$A$2,1)=$A56)*(OFFSET(IN_Verknüpfungen!$P$4,0,0,IN_Verknüpfungen!$A$2,1)=X$3),OFFSET(IN_Verknüpfungen!$J$4,0,0,IN_Verknüpfungen!$A$2,1)))-SUM($G56:V56)</f>
        <v>#N/A</v>
      </c>
      <c r="X56" s="70" t="e" cm="1">
        <f t="array" aca="1" ref="X56" ca="1">_xlfn.NUMBERVALUE(_xlfn.XLOOKUP(1,(OFFSET(IN_Verknüpfungen!$O$4,0,0,IN_Verknüpfungen!$A$2,1)=$A56)*(OFFSET(IN_Verknüpfungen!$P$4,0,0,IN_Verknüpfungen!$A$2,1)=X$3+1),OFFSET(IN_Verknüpfungen!$F$4,0,0,IN_Verknüpfungen!$A$2,1)))-SUM($G56:W56)</f>
        <v>#N/A</v>
      </c>
      <c r="Y56" s="70" t="e" cm="1">
        <f t="array" aca="1" ref="Y56" ca="1">_xlfn.NUMBERVALUE(_xlfn.XLOOKUP(1,(OFFSET(IN_Verknüpfungen!$O$4,0,0,IN_Verknüpfungen!$A$2,1)=$A56)*(OFFSET(IN_Verknüpfungen!$P$4,0,0,IN_Verknüpfungen!$A$2,1)=Z$3),OFFSET(IN_Verknüpfungen!$J$4,0,0,IN_Verknüpfungen!$A$2,1)))-SUM($G56:X56)</f>
        <v>#N/A</v>
      </c>
      <c r="Z56" s="70" t="e" cm="1">
        <f t="array" aca="1" ref="Z56" ca="1">_xlfn.NUMBERVALUE(_xlfn.XLOOKUP(1,(OFFSET(IN_Verknüpfungen!$O$4,0,0,IN_Verknüpfungen!$A$2,1)=$A56)*(OFFSET(IN_Verknüpfungen!$P$4,0,0,IN_Verknüpfungen!$A$2,1)=Z$3+1),OFFSET(IN_Verknüpfungen!$F$4,0,0,IN_Verknüpfungen!$A$2,1)))-SUM($G56:Y56)</f>
        <v>#N/A</v>
      </c>
      <c r="AA56" s="70" t="e" cm="1">
        <f t="array" aca="1" ref="AA56" ca="1">_xlfn.NUMBERVALUE(_xlfn.XLOOKUP(1,(OFFSET(IN_Verknüpfungen!$O$4,0,0,IN_Verknüpfungen!$A$2,1)=$A56)*(OFFSET(IN_Verknüpfungen!$P$4,0,0,IN_Verknüpfungen!$A$2,1)=AB$3),OFFSET(IN_Verknüpfungen!$J$4,0,0,IN_Verknüpfungen!$A$2,1)))-SUM($G56:Z56)</f>
        <v>#N/A</v>
      </c>
      <c r="AB56" s="70" t="e" cm="1">
        <f t="array" aca="1" ref="AB56" ca="1">_xlfn.NUMBERVALUE(_xlfn.XLOOKUP(1,(OFFSET(IN_Verknüpfungen!$O$4,0,0,IN_Verknüpfungen!$A$2,1)=$A56)*(OFFSET(IN_Verknüpfungen!$P$4,0,0,IN_Verknüpfungen!$A$2,1)=AB$3+1),OFFSET(IN_Verknüpfungen!$F$4,0,0,IN_Verknüpfungen!$A$2,1)))-SUM($G56:AA56)</f>
        <v>#N/A</v>
      </c>
    </row>
    <row r="57" spans="1:28" x14ac:dyDescent="0.2">
      <c r="A57" s="56" t="str">
        <f ca="1"/>
        <v>Composition 54</v>
      </c>
      <c r="B57" s="55" t="str" cm="1">
        <f t="array" aca="1" ref="B57" ca="1">IF(A57&lt;&gt;"",_xlfn.XLOOKUP(Laufwege!A57,OFFSET(IN_Verknüpfungen!L$4,0,0,IN_Verknüpfungen!A$2,1),OFFSET(IN_Verknüpfungen!N$4,0,0,IN_Verknüpfungen!A$2,1),""),"")</f>
        <v>462-1.0</v>
      </c>
      <c r="C57" s="55">
        <f ca="1">IF(A57&lt;&gt;"",SUMIFS(OFFSET(IN_Verknüpfungen!M$4,0,0,IN_Verknüpfungen!A$2,1),OFFSET(IN_Verknüpfungen!O$4,0,0,IN_Verknüpfungen!A$2,1),Laufwege!A57),0)</f>
        <v>628934</v>
      </c>
      <c r="D57" s="55" cm="1">
        <f t="array" aca="1" ref="D57" ca="1">IF(B57&lt;&gt;"",_xlfn.XLOOKUP(B57,OFFSET(IN_Stammdaten!$A$4,0,0,IN_Stammdaten!$A$2,1),OFFSET(IN_Stammdaten!$C$4,0,0,IN_Stammdaten!$A$2,1),""),"")</f>
        <v>0</v>
      </c>
      <c r="E57" s="55" t="str">
        <f t="shared" ca="1" si="0"/>
        <v>nein</v>
      </c>
      <c r="F57" s="69" t="str">
        <f t="shared" ca="1" si="1"/>
        <v>Composition 54 (462-1.0)</v>
      </c>
      <c r="G57" s="70" cm="1">
        <f t="array" aca="1" ref="G57" ca="1">_xlfn.NUMBERVALUE(_xlfn.XLOOKUP(A57,OFFSET(IN_Verknüpfungen!$L$4,0,0,IN_Verknüpfungen!$A$2,1),OFFSET(IN_Verknüpfungen!$Q$4,0,0,IN_Verknüpfungen!$A$2,1)))</f>
        <v>0.21657407407407409</v>
      </c>
      <c r="H57" s="70" cm="1">
        <f t="array" aca="1" ref="H57" ca="1">_xlfn.NUMBERVALUE(_xlfn.XLOOKUP(A57,OFFSET(IN_Verknüpfungen!$L$4,0,0,IN_Verknüpfungen!$A$2,1),OFFSET(IN_Verknüpfungen!$F$4,0,0,IN_Verknüpfungen!$A$2,1)))-G57</f>
        <v>0.10574074074074075</v>
      </c>
      <c r="I57" s="70" cm="1">
        <f t="array" aca="1" ref="I57" ca="1">_xlfn.NUMBERVALUE(_xlfn.XLOOKUP(1,(OFFSET(IN_Verknüpfungen!$O$4,0,0,IN_Verknüpfungen!$A$2,1)=$A57)*(OFFSET(IN_Verknüpfungen!$P$4,0,0,IN_Verknüpfungen!$A$2,1)=J$3),OFFSET(IN_Verknüpfungen!$J$4,0,0,IN_Verknüpfungen!$A$2,1)))-SUM($G57:H57)</f>
        <v>1.2847222222222232E-2</v>
      </c>
      <c r="J57" s="70" cm="1">
        <f t="array" aca="1" ref="J57" ca="1">_xlfn.NUMBERVALUE(_xlfn.XLOOKUP(1,(OFFSET(IN_Verknüpfungen!$O$4,0,0,IN_Verknüpfungen!$A$2,1)=$A57)*(OFFSET(IN_Verknüpfungen!$P$4,0,0,IN_Verknüpfungen!$A$2,1)=J$3+1),OFFSET(IN_Verknüpfungen!$F$4,0,0,IN_Verknüpfungen!$A$2,1)))-SUM($G57:I57)</f>
        <v>0.10399305555555555</v>
      </c>
      <c r="K57" s="70" cm="1">
        <f t="array" aca="1" ref="K57" ca="1">_xlfn.NUMBERVALUE(_xlfn.XLOOKUP(1,(OFFSET(IN_Verknüpfungen!$O$4,0,0,IN_Verknüpfungen!$A$2,1)=$A57)*(OFFSET(IN_Verknüpfungen!$P$4,0,0,IN_Verknüpfungen!$A$2,1)=L$3),OFFSET(IN_Verknüpfungen!$J$4,0,0,IN_Verknüpfungen!$A$2,1)))-SUM($G57:J57)</f>
        <v>1.1886574074074063E-2</v>
      </c>
      <c r="L57" s="70" cm="1">
        <f t="array" aca="1" ref="L57" ca="1">_xlfn.NUMBERVALUE(_xlfn.XLOOKUP(1,(OFFSET(IN_Verknüpfungen!$O$4,0,0,IN_Verknüpfungen!$A$2,1)=$A57)*(OFFSET(IN_Verknüpfungen!$P$4,0,0,IN_Verknüpfungen!$A$2,1)=L$3+1),OFFSET(IN_Verknüpfungen!$F$4,0,0,IN_Verknüpfungen!$A$2,1)))-SUM($G57:K57)</f>
        <v>0.10045138888888883</v>
      </c>
      <c r="M57" s="70" cm="1">
        <f t="array" aca="1" ref="M57" ca="1">_xlfn.NUMBERVALUE(_xlfn.XLOOKUP(1,(OFFSET(IN_Verknüpfungen!$O$4,0,0,IN_Verknüpfungen!$A$2,1)=$A57)*(OFFSET(IN_Verknüpfungen!$P$4,0,0,IN_Verknüpfungen!$A$2,1)=N$3),OFFSET(IN_Verknüpfungen!$J$4,0,0,IN_Verknüpfungen!$A$2,1)))-SUM($G57:L57)</f>
        <v>1.2060185185185257E-2</v>
      </c>
      <c r="N57" s="70" t="e" cm="1">
        <f t="array" aca="1" ref="N57" ca="1">_xlfn.NUMBERVALUE(_xlfn.XLOOKUP(1,(OFFSET(IN_Verknüpfungen!$O$4,0,0,IN_Verknüpfungen!$A$2,1)=$A57)*(OFFSET(IN_Verknüpfungen!$P$4,0,0,IN_Verknüpfungen!$A$2,1)=N$3+1),OFFSET(IN_Verknüpfungen!$F$4,0,0,IN_Verknüpfungen!$A$2,1)))-SUM($G57:M57)</f>
        <v>#N/A</v>
      </c>
      <c r="O57" s="70" t="e" cm="1">
        <f t="array" aca="1" ref="O57" ca="1">_xlfn.NUMBERVALUE(_xlfn.XLOOKUP(1,(OFFSET(IN_Verknüpfungen!$O$4,0,0,IN_Verknüpfungen!$A$2,1)=$A57)*(OFFSET(IN_Verknüpfungen!$P$4,0,0,IN_Verknüpfungen!$A$2,1)=P$3),OFFSET(IN_Verknüpfungen!$J$4,0,0,IN_Verknüpfungen!$A$2,1)))-SUM($G57:N57)</f>
        <v>#N/A</v>
      </c>
      <c r="P57" s="70" t="e" cm="1">
        <f t="array" aca="1" ref="P57" ca="1">_xlfn.NUMBERVALUE(_xlfn.XLOOKUP(1,(OFFSET(IN_Verknüpfungen!$O$4,0,0,IN_Verknüpfungen!$A$2,1)=$A57)*(OFFSET(IN_Verknüpfungen!$P$4,0,0,IN_Verknüpfungen!$A$2,1)=P$3+1),OFFSET(IN_Verknüpfungen!$F$4,0,0,IN_Verknüpfungen!$A$2,1)))-SUM($G57:O57)</f>
        <v>#N/A</v>
      </c>
      <c r="Q57" s="70" t="e" cm="1">
        <f t="array" aca="1" ref="Q57" ca="1">_xlfn.NUMBERVALUE(_xlfn.XLOOKUP(1,(OFFSET(IN_Verknüpfungen!$O$4,0,0,IN_Verknüpfungen!$A$2,1)=$A57)*(OFFSET(IN_Verknüpfungen!$P$4,0,0,IN_Verknüpfungen!$A$2,1)=R$3),OFFSET(IN_Verknüpfungen!$J$4,0,0,IN_Verknüpfungen!$A$2,1)))-SUM($G57:P57)</f>
        <v>#N/A</v>
      </c>
      <c r="R57" s="70" t="e" cm="1">
        <f t="array" aca="1" ref="R57" ca="1">_xlfn.NUMBERVALUE(_xlfn.XLOOKUP(1,(OFFSET(IN_Verknüpfungen!$O$4,0,0,IN_Verknüpfungen!$A$2,1)=$A57)*(OFFSET(IN_Verknüpfungen!$P$4,0,0,IN_Verknüpfungen!$A$2,1)=R$3+1),OFFSET(IN_Verknüpfungen!$F$4,0,0,IN_Verknüpfungen!$A$2,1)))-SUM($G57:Q57)</f>
        <v>#N/A</v>
      </c>
      <c r="S57" s="70" t="e" cm="1">
        <f t="array" aca="1" ref="S57" ca="1">_xlfn.NUMBERVALUE(_xlfn.XLOOKUP(1,(OFFSET(IN_Verknüpfungen!$O$4,0,0,IN_Verknüpfungen!$A$2,1)=$A57)*(OFFSET(IN_Verknüpfungen!$P$4,0,0,IN_Verknüpfungen!$A$2,1)=T$3),OFFSET(IN_Verknüpfungen!$J$4,0,0,IN_Verknüpfungen!$A$2,1)))-SUM($G57:R57)</f>
        <v>#N/A</v>
      </c>
      <c r="T57" s="70" t="e" cm="1">
        <f t="array" aca="1" ref="T57" ca="1">_xlfn.NUMBERVALUE(_xlfn.XLOOKUP(1,(OFFSET(IN_Verknüpfungen!$O$4,0,0,IN_Verknüpfungen!$A$2,1)=$A57)*(OFFSET(IN_Verknüpfungen!$P$4,0,0,IN_Verknüpfungen!$A$2,1)=T$3+1),OFFSET(IN_Verknüpfungen!$F$4,0,0,IN_Verknüpfungen!$A$2,1)))-SUM($G57:S57)</f>
        <v>#N/A</v>
      </c>
      <c r="U57" s="70" t="e" cm="1">
        <f t="array" aca="1" ref="U57" ca="1">_xlfn.NUMBERVALUE(_xlfn.XLOOKUP(1,(OFFSET(IN_Verknüpfungen!$O$4,0,0,IN_Verknüpfungen!$A$2,1)=$A57)*(OFFSET(IN_Verknüpfungen!$P$4,0,0,IN_Verknüpfungen!$A$2,1)=V$3),OFFSET(IN_Verknüpfungen!$J$4,0,0,IN_Verknüpfungen!$A$2,1)))-SUM($G57:T57)</f>
        <v>#N/A</v>
      </c>
      <c r="V57" s="70" t="e" cm="1">
        <f t="array" aca="1" ref="V57" ca="1">_xlfn.NUMBERVALUE(_xlfn.XLOOKUP(1,(OFFSET(IN_Verknüpfungen!$O$4,0,0,IN_Verknüpfungen!$A$2,1)=$A57)*(OFFSET(IN_Verknüpfungen!$P$4,0,0,IN_Verknüpfungen!$A$2,1)=V$3+1),OFFSET(IN_Verknüpfungen!$F$4,0,0,IN_Verknüpfungen!$A$2,1)))-SUM($G57:U57)</f>
        <v>#N/A</v>
      </c>
      <c r="W57" s="70" t="e" cm="1">
        <f t="array" aca="1" ref="W57" ca="1">_xlfn.NUMBERVALUE(_xlfn.XLOOKUP(1,(OFFSET(IN_Verknüpfungen!$O$4,0,0,IN_Verknüpfungen!$A$2,1)=$A57)*(OFFSET(IN_Verknüpfungen!$P$4,0,0,IN_Verknüpfungen!$A$2,1)=X$3),OFFSET(IN_Verknüpfungen!$J$4,0,0,IN_Verknüpfungen!$A$2,1)))-SUM($G57:V57)</f>
        <v>#N/A</v>
      </c>
      <c r="X57" s="70" t="e" cm="1">
        <f t="array" aca="1" ref="X57" ca="1">_xlfn.NUMBERVALUE(_xlfn.XLOOKUP(1,(OFFSET(IN_Verknüpfungen!$O$4,0,0,IN_Verknüpfungen!$A$2,1)=$A57)*(OFFSET(IN_Verknüpfungen!$P$4,0,0,IN_Verknüpfungen!$A$2,1)=X$3+1),OFFSET(IN_Verknüpfungen!$F$4,0,0,IN_Verknüpfungen!$A$2,1)))-SUM($G57:W57)</f>
        <v>#N/A</v>
      </c>
      <c r="Y57" s="70" t="e" cm="1">
        <f t="array" aca="1" ref="Y57" ca="1">_xlfn.NUMBERVALUE(_xlfn.XLOOKUP(1,(OFFSET(IN_Verknüpfungen!$O$4,0,0,IN_Verknüpfungen!$A$2,1)=$A57)*(OFFSET(IN_Verknüpfungen!$P$4,0,0,IN_Verknüpfungen!$A$2,1)=Z$3),OFFSET(IN_Verknüpfungen!$J$4,0,0,IN_Verknüpfungen!$A$2,1)))-SUM($G57:X57)</f>
        <v>#N/A</v>
      </c>
      <c r="Z57" s="70" t="e" cm="1">
        <f t="array" aca="1" ref="Z57" ca="1">_xlfn.NUMBERVALUE(_xlfn.XLOOKUP(1,(OFFSET(IN_Verknüpfungen!$O$4,0,0,IN_Verknüpfungen!$A$2,1)=$A57)*(OFFSET(IN_Verknüpfungen!$P$4,0,0,IN_Verknüpfungen!$A$2,1)=Z$3+1),OFFSET(IN_Verknüpfungen!$F$4,0,0,IN_Verknüpfungen!$A$2,1)))-SUM($G57:Y57)</f>
        <v>#N/A</v>
      </c>
      <c r="AA57" s="70" t="e" cm="1">
        <f t="array" aca="1" ref="AA57" ca="1">_xlfn.NUMBERVALUE(_xlfn.XLOOKUP(1,(OFFSET(IN_Verknüpfungen!$O$4,0,0,IN_Verknüpfungen!$A$2,1)=$A57)*(OFFSET(IN_Verknüpfungen!$P$4,0,0,IN_Verknüpfungen!$A$2,1)=AB$3),OFFSET(IN_Verknüpfungen!$J$4,0,0,IN_Verknüpfungen!$A$2,1)))-SUM($G57:Z57)</f>
        <v>#N/A</v>
      </c>
      <c r="AB57" s="70" t="e" cm="1">
        <f t="array" aca="1" ref="AB57" ca="1">_xlfn.NUMBERVALUE(_xlfn.XLOOKUP(1,(OFFSET(IN_Verknüpfungen!$O$4,0,0,IN_Verknüpfungen!$A$2,1)=$A57)*(OFFSET(IN_Verknüpfungen!$P$4,0,0,IN_Verknüpfungen!$A$2,1)=AB$3+1),OFFSET(IN_Verknüpfungen!$F$4,0,0,IN_Verknüpfungen!$A$2,1)))-SUM($G57:AA57)</f>
        <v>#N/A</v>
      </c>
    </row>
    <row r="58" spans="1:28" x14ac:dyDescent="0.2">
      <c r="A58" s="56" t="str">
        <f ca="1"/>
        <v>Composition 55</v>
      </c>
      <c r="B58" s="55" t="str" cm="1">
        <f t="array" aca="1" ref="B58" ca="1">IF(A58&lt;&gt;"",_xlfn.XLOOKUP(Laufwege!A58,OFFSET(IN_Verknüpfungen!L$4,0,0,IN_Verknüpfungen!A$2,1),OFFSET(IN_Verknüpfungen!N$4,0,0,IN_Verknüpfungen!A$2,1),""),"")</f>
        <v>462-1.0</v>
      </c>
      <c r="C58" s="55">
        <f ca="1">IF(A58&lt;&gt;"",SUMIFS(OFFSET(IN_Verknüpfungen!M$4,0,0,IN_Verknüpfungen!A$2,1),OFFSET(IN_Verknüpfungen!O$4,0,0,IN_Verknüpfungen!A$2,1),Laufwege!A58),0)</f>
        <v>638966</v>
      </c>
      <c r="D58" s="55" cm="1">
        <f t="array" aca="1" ref="D58" ca="1">IF(B58&lt;&gt;"",_xlfn.XLOOKUP(B58,OFFSET(IN_Stammdaten!$A$4,0,0,IN_Stammdaten!$A$2,1),OFFSET(IN_Stammdaten!$C$4,0,0,IN_Stammdaten!$A$2,1),""),"")</f>
        <v>0</v>
      </c>
      <c r="E58" s="55" t="str">
        <f t="shared" ca="1" si="0"/>
        <v>nein</v>
      </c>
      <c r="F58" s="69" t="str">
        <f t="shared" ca="1" si="1"/>
        <v>Composition 55 (462-1.0)</v>
      </c>
      <c r="G58" s="70" cm="1">
        <f t="array" aca="1" ref="G58" ca="1">_xlfn.NUMBERVALUE(_xlfn.XLOOKUP(A58,OFFSET(IN_Verknüpfungen!$L$4,0,0,IN_Verknüpfungen!$A$2,1),OFFSET(IN_Verknüpfungen!$Q$4,0,0,IN_Verknüpfungen!$A$2,1)))</f>
        <v>0.21733796296296296</v>
      </c>
      <c r="H58" s="70" cm="1">
        <f t="array" aca="1" ref="H58" ca="1">_xlfn.NUMBERVALUE(_xlfn.XLOOKUP(A58,OFFSET(IN_Verknüpfungen!$L$4,0,0,IN_Verknüpfungen!$A$2,1),OFFSET(IN_Verknüpfungen!$F$4,0,0,IN_Verknüpfungen!$A$2,1)))-G58</f>
        <v>0.10774305555555555</v>
      </c>
      <c r="I58" s="70" cm="1">
        <f t="array" aca="1" ref="I58" ca="1">_xlfn.NUMBERVALUE(_xlfn.XLOOKUP(1,(OFFSET(IN_Verknüpfungen!$O$4,0,0,IN_Verknüpfungen!$A$2,1)=$A58)*(OFFSET(IN_Verknüpfungen!$P$4,0,0,IN_Verknüpfungen!$A$2,1)=J$3),OFFSET(IN_Verknüpfungen!$J$4,0,0,IN_Verknüpfungen!$A$2,1)))-SUM($G58:H58)</f>
        <v>7.0023148148148362E-3</v>
      </c>
      <c r="J58" s="70" cm="1">
        <f t="array" aca="1" ref="J58" ca="1">_xlfn.NUMBERVALUE(_xlfn.XLOOKUP(1,(OFFSET(IN_Verknüpfungen!$O$4,0,0,IN_Verknüpfungen!$A$2,1)=$A58)*(OFFSET(IN_Verknüpfungen!$P$4,0,0,IN_Verknüpfungen!$A$2,1)=J$3+1),OFFSET(IN_Verknüpfungen!$F$4,0,0,IN_Verknüpfungen!$A$2,1)))-SUM($G58:I58)</f>
        <v>0.10886574074074074</v>
      </c>
      <c r="K58" s="70" cm="1">
        <f t="array" aca="1" ref="K58" ca="1">_xlfn.NUMBERVALUE(_xlfn.XLOOKUP(1,(OFFSET(IN_Verknüpfungen!$O$4,0,0,IN_Verknüpfungen!$A$2,1)=$A58)*(OFFSET(IN_Verknüpfungen!$P$4,0,0,IN_Verknüpfungen!$A$2,1)=L$3),OFFSET(IN_Verknüpfungen!$J$4,0,0,IN_Verknüpfungen!$A$2,1)))-SUM($G58:J58)</f>
        <v>1.0451388888888913E-2</v>
      </c>
      <c r="L58" s="70" cm="1">
        <f t="array" aca="1" ref="L58" ca="1">_xlfn.NUMBERVALUE(_xlfn.XLOOKUP(1,(OFFSET(IN_Verknüpfungen!$O$4,0,0,IN_Verknüpfungen!$A$2,1)=$A58)*(OFFSET(IN_Verknüpfungen!$P$4,0,0,IN_Verknüpfungen!$A$2,1)=L$3+1),OFFSET(IN_Verknüpfungen!$F$4,0,0,IN_Verknüpfungen!$A$2,1)))-SUM($G58:K58)</f>
        <v>0.10318287037037033</v>
      </c>
      <c r="M58" s="70" cm="1">
        <f t="array" aca="1" ref="M58" ca="1">_xlfn.NUMBERVALUE(_xlfn.XLOOKUP(1,(OFFSET(IN_Verknüpfungen!$O$4,0,0,IN_Verknüpfungen!$A$2,1)=$A58)*(OFFSET(IN_Verknüpfungen!$P$4,0,0,IN_Verknüpfungen!$A$2,1)=N$3),OFFSET(IN_Verknüpfungen!$J$4,0,0,IN_Verknüpfungen!$A$2,1)))-SUM($G58:L58)</f>
        <v>6.9907407407407973E-3</v>
      </c>
      <c r="N58" s="70" t="e" cm="1">
        <f t="array" aca="1" ref="N58" ca="1">_xlfn.NUMBERVALUE(_xlfn.XLOOKUP(1,(OFFSET(IN_Verknüpfungen!$O$4,0,0,IN_Verknüpfungen!$A$2,1)=$A58)*(OFFSET(IN_Verknüpfungen!$P$4,0,0,IN_Verknüpfungen!$A$2,1)=N$3+1),OFFSET(IN_Verknüpfungen!$F$4,0,0,IN_Verknüpfungen!$A$2,1)))-SUM($G58:M58)</f>
        <v>#N/A</v>
      </c>
      <c r="O58" s="70" t="e" cm="1">
        <f t="array" aca="1" ref="O58" ca="1">_xlfn.NUMBERVALUE(_xlfn.XLOOKUP(1,(OFFSET(IN_Verknüpfungen!$O$4,0,0,IN_Verknüpfungen!$A$2,1)=$A58)*(OFFSET(IN_Verknüpfungen!$P$4,0,0,IN_Verknüpfungen!$A$2,1)=P$3),OFFSET(IN_Verknüpfungen!$J$4,0,0,IN_Verknüpfungen!$A$2,1)))-SUM($G58:N58)</f>
        <v>#N/A</v>
      </c>
      <c r="P58" s="70" t="e" cm="1">
        <f t="array" aca="1" ref="P58" ca="1">_xlfn.NUMBERVALUE(_xlfn.XLOOKUP(1,(OFFSET(IN_Verknüpfungen!$O$4,0,0,IN_Verknüpfungen!$A$2,1)=$A58)*(OFFSET(IN_Verknüpfungen!$P$4,0,0,IN_Verknüpfungen!$A$2,1)=P$3+1),OFFSET(IN_Verknüpfungen!$F$4,0,0,IN_Verknüpfungen!$A$2,1)))-SUM($G58:O58)</f>
        <v>#N/A</v>
      </c>
      <c r="Q58" s="70" t="e" cm="1">
        <f t="array" aca="1" ref="Q58" ca="1">_xlfn.NUMBERVALUE(_xlfn.XLOOKUP(1,(OFFSET(IN_Verknüpfungen!$O$4,0,0,IN_Verknüpfungen!$A$2,1)=$A58)*(OFFSET(IN_Verknüpfungen!$P$4,0,0,IN_Verknüpfungen!$A$2,1)=R$3),OFFSET(IN_Verknüpfungen!$J$4,0,0,IN_Verknüpfungen!$A$2,1)))-SUM($G58:P58)</f>
        <v>#N/A</v>
      </c>
      <c r="R58" s="70" t="e" cm="1">
        <f t="array" aca="1" ref="R58" ca="1">_xlfn.NUMBERVALUE(_xlfn.XLOOKUP(1,(OFFSET(IN_Verknüpfungen!$O$4,0,0,IN_Verknüpfungen!$A$2,1)=$A58)*(OFFSET(IN_Verknüpfungen!$P$4,0,0,IN_Verknüpfungen!$A$2,1)=R$3+1),OFFSET(IN_Verknüpfungen!$F$4,0,0,IN_Verknüpfungen!$A$2,1)))-SUM($G58:Q58)</f>
        <v>#N/A</v>
      </c>
      <c r="S58" s="70" t="e" cm="1">
        <f t="array" aca="1" ref="S58" ca="1">_xlfn.NUMBERVALUE(_xlfn.XLOOKUP(1,(OFFSET(IN_Verknüpfungen!$O$4,0,0,IN_Verknüpfungen!$A$2,1)=$A58)*(OFFSET(IN_Verknüpfungen!$P$4,0,0,IN_Verknüpfungen!$A$2,1)=T$3),OFFSET(IN_Verknüpfungen!$J$4,0,0,IN_Verknüpfungen!$A$2,1)))-SUM($G58:R58)</f>
        <v>#N/A</v>
      </c>
      <c r="T58" s="70" t="e" cm="1">
        <f t="array" aca="1" ref="T58" ca="1">_xlfn.NUMBERVALUE(_xlfn.XLOOKUP(1,(OFFSET(IN_Verknüpfungen!$O$4,0,0,IN_Verknüpfungen!$A$2,1)=$A58)*(OFFSET(IN_Verknüpfungen!$P$4,0,0,IN_Verknüpfungen!$A$2,1)=T$3+1),OFFSET(IN_Verknüpfungen!$F$4,0,0,IN_Verknüpfungen!$A$2,1)))-SUM($G58:S58)</f>
        <v>#N/A</v>
      </c>
      <c r="U58" s="70" t="e" cm="1">
        <f t="array" aca="1" ref="U58" ca="1">_xlfn.NUMBERVALUE(_xlfn.XLOOKUP(1,(OFFSET(IN_Verknüpfungen!$O$4,0,0,IN_Verknüpfungen!$A$2,1)=$A58)*(OFFSET(IN_Verknüpfungen!$P$4,0,0,IN_Verknüpfungen!$A$2,1)=V$3),OFFSET(IN_Verknüpfungen!$J$4,0,0,IN_Verknüpfungen!$A$2,1)))-SUM($G58:T58)</f>
        <v>#N/A</v>
      </c>
      <c r="V58" s="70" t="e" cm="1">
        <f t="array" aca="1" ref="V58" ca="1">_xlfn.NUMBERVALUE(_xlfn.XLOOKUP(1,(OFFSET(IN_Verknüpfungen!$O$4,0,0,IN_Verknüpfungen!$A$2,1)=$A58)*(OFFSET(IN_Verknüpfungen!$P$4,0,0,IN_Verknüpfungen!$A$2,1)=V$3+1),OFFSET(IN_Verknüpfungen!$F$4,0,0,IN_Verknüpfungen!$A$2,1)))-SUM($G58:U58)</f>
        <v>#N/A</v>
      </c>
      <c r="W58" s="70" t="e" cm="1">
        <f t="array" aca="1" ref="W58" ca="1">_xlfn.NUMBERVALUE(_xlfn.XLOOKUP(1,(OFFSET(IN_Verknüpfungen!$O$4,0,0,IN_Verknüpfungen!$A$2,1)=$A58)*(OFFSET(IN_Verknüpfungen!$P$4,0,0,IN_Verknüpfungen!$A$2,1)=X$3),OFFSET(IN_Verknüpfungen!$J$4,0,0,IN_Verknüpfungen!$A$2,1)))-SUM($G58:V58)</f>
        <v>#N/A</v>
      </c>
      <c r="X58" s="70" t="e" cm="1">
        <f t="array" aca="1" ref="X58" ca="1">_xlfn.NUMBERVALUE(_xlfn.XLOOKUP(1,(OFFSET(IN_Verknüpfungen!$O$4,0,0,IN_Verknüpfungen!$A$2,1)=$A58)*(OFFSET(IN_Verknüpfungen!$P$4,0,0,IN_Verknüpfungen!$A$2,1)=X$3+1),OFFSET(IN_Verknüpfungen!$F$4,0,0,IN_Verknüpfungen!$A$2,1)))-SUM($G58:W58)</f>
        <v>#N/A</v>
      </c>
      <c r="Y58" s="70" t="e" cm="1">
        <f t="array" aca="1" ref="Y58" ca="1">_xlfn.NUMBERVALUE(_xlfn.XLOOKUP(1,(OFFSET(IN_Verknüpfungen!$O$4,0,0,IN_Verknüpfungen!$A$2,1)=$A58)*(OFFSET(IN_Verknüpfungen!$P$4,0,0,IN_Verknüpfungen!$A$2,1)=Z$3),OFFSET(IN_Verknüpfungen!$J$4,0,0,IN_Verknüpfungen!$A$2,1)))-SUM($G58:X58)</f>
        <v>#N/A</v>
      </c>
      <c r="Z58" s="70" t="e" cm="1">
        <f t="array" aca="1" ref="Z58" ca="1">_xlfn.NUMBERVALUE(_xlfn.XLOOKUP(1,(OFFSET(IN_Verknüpfungen!$O$4,0,0,IN_Verknüpfungen!$A$2,1)=$A58)*(OFFSET(IN_Verknüpfungen!$P$4,0,0,IN_Verknüpfungen!$A$2,1)=Z$3+1),OFFSET(IN_Verknüpfungen!$F$4,0,0,IN_Verknüpfungen!$A$2,1)))-SUM($G58:Y58)</f>
        <v>#N/A</v>
      </c>
      <c r="AA58" s="70" t="e" cm="1">
        <f t="array" aca="1" ref="AA58" ca="1">_xlfn.NUMBERVALUE(_xlfn.XLOOKUP(1,(OFFSET(IN_Verknüpfungen!$O$4,0,0,IN_Verknüpfungen!$A$2,1)=$A58)*(OFFSET(IN_Verknüpfungen!$P$4,0,0,IN_Verknüpfungen!$A$2,1)=AB$3),OFFSET(IN_Verknüpfungen!$J$4,0,0,IN_Verknüpfungen!$A$2,1)))-SUM($G58:Z58)</f>
        <v>#N/A</v>
      </c>
      <c r="AB58" s="70" t="e" cm="1">
        <f t="array" aca="1" ref="AB58" ca="1">_xlfn.NUMBERVALUE(_xlfn.XLOOKUP(1,(OFFSET(IN_Verknüpfungen!$O$4,0,0,IN_Verknüpfungen!$A$2,1)=$A58)*(OFFSET(IN_Verknüpfungen!$P$4,0,0,IN_Verknüpfungen!$A$2,1)=AB$3+1),OFFSET(IN_Verknüpfungen!$F$4,0,0,IN_Verknüpfungen!$A$2,1)))-SUM($G58:AA58)</f>
        <v>#N/A</v>
      </c>
    </row>
    <row r="59" spans="1:28" x14ac:dyDescent="0.2">
      <c r="A59" s="56" t="str">
        <f ca="1"/>
        <v>Composition 56</v>
      </c>
      <c r="B59" s="55" t="str" cm="1">
        <f t="array" aca="1" ref="B59" ca="1">IF(A59&lt;&gt;"",_xlfn.XLOOKUP(Laufwege!A59,OFFSET(IN_Verknüpfungen!L$4,0,0,IN_Verknüpfungen!A$2,1),OFFSET(IN_Verknüpfungen!N$4,0,0,IN_Verknüpfungen!A$2,1),""),"")</f>
        <v>146-3.2</v>
      </c>
      <c r="C59" s="55">
        <f ca="1">IF(A59&lt;&gt;"",SUMIFS(OFFSET(IN_Verknüpfungen!M$4,0,0,IN_Verknüpfungen!A$2,1),OFFSET(IN_Verknüpfungen!O$4,0,0,IN_Verknüpfungen!A$2,1),Laufwege!A59),0)</f>
        <v>261024</v>
      </c>
      <c r="D59" s="55" cm="1">
        <f t="array" aca="1" ref="D59" ca="1">IF(B59&lt;&gt;"",_xlfn.XLOOKUP(B59,OFFSET(IN_Stammdaten!$A$4,0,0,IN_Stammdaten!$A$2,1),OFFSET(IN_Stammdaten!$C$4,0,0,IN_Stammdaten!$A$2,1),""),"")</f>
        <v>0</v>
      </c>
      <c r="E59" s="55" t="str">
        <f t="shared" ca="1" si="0"/>
        <v>nein</v>
      </c>
      <c r="F59" s="69" t="str">
        <f t="shared" ca="1" si="1"/>
        <v>Composition 56 (146-3.2)</v>
      </c>
      <c r="G59" s="70" cm="1">
        <f t="array" aca="1" ref="G59" ca="1">_xlfn.NUMBERVALUE(_xlfn.XLOOKUP(A59,OFFSET(IN_Verknüpfungen!$L$4,0,0,IN_Verknüpfungen!$A$2,1),OFFSET(IN_Verknüpfungen!$Q$4,0,0,IN_Verknüpfungen!$A$2,1)))</f>
        <v>0.26324074074074072</v>
      </c>
      <c r="H59" s="70" cm="1">
        <f t="array" aca="1" ref="H59" ca="1">_xlfn.NUMBERVALUE(_xlfn.XLOOKUP(A59,OFFSET(IN_Verknüpfungen!$L$4,0,0,IN_Verknüpfungen!$A$2,1),OFFSET(IN_Verknüpfungen!$F$4,0,0,IN_Verknüpfungen!$A$2,1)))-G59</f>
        <v>6.2083333333333379E-2</v>
      </c>
      <c r="I59" s="70" cm="1">
        <f t="array" aca="1" ref="I59" ca="1">_xlfn.NUMBERVALUE(_xlfn.XLOOKUP(1,(OFFSET(IN_Verknüpfungen!$O$4,0,0,IN_Verknüpfungen!$A$2,1)=$A59)*(OFFSET(IN_Verknüpfungen!$P$4,0,0,IN_Verknüpfungen!$A$2,1)=J$3),OFFSET(IN_Verknüpfungen!$J$4,0,0,IN_Verknüpfungen!$A$2,1)))-SUM($G59:H59)</f>
        <v>1.9351851851851842E-2</v>
      </c>
      <c r="J59" s="70" cm="1">
        <f t="array" aca="1" ref="J59" ca="1">_xlfn.NUMBERVALUE(_xlfn.XLOOKUP(1,(OFFSET(IN_Verknüpfungen!$O$4,0,0,IN_Verknüpfungen!$A$2,1)=$A59)*(OFFSET(IN_Verknüpfungen!$P$4,0,0,IN_Verknüpfungen!$A$2,1)=J$3+1),OFFSET(IN_Verknüpfungen!$F$4,0,0,IN_Verknüpfungen!$A$2,1)))-SUM($G59:I59)</f>
        <v>4.5405092592592566E-2</v>
      </c>
      <c r="K59" s="70" cm="1">
        <f t="array" aca="1" ref="K59" ca="1">_xlfn.NUMBERVALUE(_xlfn.XLOOKUP(1,(OFFSET(IN_Verknüpfungen!$O$4,0,0,IN_Verknüpfungen!$A$2,1)=$A59)*(OFFSET(IN_Verknüpfungen!$P$4,0,0,IN_Verknüpfungen!$A$2,1)=L$3),OFFSET(IN_Verknüpfungen!$J$4,0,0,IN_Verknüpfungen!$A$2,1)))-SUM($G59:J59)</f>
        <v>2.7060185185185215E-2</v>
      </c>
      <c r="L59" s="70" cm="1">
        <f t="array" aca="1" ref="L59" ca="1">_xlfn.NUMBERVALUE(_xlfn.XLOOKUP(1,(OFFSET(IN_Verknüpfungen!$O$4,0,0,IN_Verknüpfungen!$A$2,1)=$A59)*(OFFSET(IN_Verknüpfungen!$P$4,0,0,IN_Verknüpfungen!$A$2,1)=L$3+1),OFFSET(IN_Verknüpfungen!$F$4,0,0,IN_Verknüpfungen!$A$2,1)))-SUM($G59:K59)</f>
        <v>4.4652777777777763E-2</v>
      </c>
      <c r="M59" s="70" cm="1">
        <f t="array" aca="1" ref="M59" ca="1">_xlfn.NUMBERVALUE(_xlfn.XLOOKUP(1,(OFFSET(IN_Verknüpfungen!$O$4,0,0,IN_Verknüpfungen!$A$2,1)=$A59)*(OFFSET(IN_Verknüpfungen!$P$4,0,0,IN_Verknüpfungen!$A$2,1)=N$3),OFFSET(IN_Verknüpfungen!$J$4,0,0,IN_Verknüpfungen!$A$2,1)))-SUM($G59:L59)</f>
        <v>3.0185185185185204E-2</v>
      </c>
      <c r="N59" s="70" cm="1">
        <f t="array" aca="1" ref="N59" ca="1">_xlfn.NUMBERVALUE(_xlfn.XLOOKUP(1,(OFFSET(IN_Verknüpfungen!$O$4,0,0,IN_Verknüpfungen!$A$2,1)=$A59)*(OFFSET(IN_Verknüpfungen!$P$4,0,0,IN_Verknüpfungen!$A$2,1)=N$3+1),OFFSET(IN_Verknüpfungen!$F$4,0,0,IN_Verknüpfungen!$A$2,1)))-SUM($G59:M59)</f>
        <v>4.650462962962959E-2</v>
      </c>
      <c r="O59" s="70" cm="1">
        <f t="array" aca="1" ref="O59" ca="1">_xlfn.NUMBERVALUE(_xlfn.XLOOKUP(1,(OFFSET(IN_Verknüpfungen!$O$4,0,0,IN_Verknüpfungen!$A$2,1)=$A59)*(OFFSET(IN_Verknüpfungen!$P$4,0,0,IN_Verknüpfungen!$A$2,1)=P$3),OFFSET(IN_Verknüpfungen!$J$4,0,0,IN_Verknüpfungen!$A$2,1)))-SUM($G59:N59)</f>
        <v>3.2835648148148211E-2</v>
      </c>
      <c r="P59" s="70" t="e" cm="1">
        <f t="array" aca="1" ref="P59" ca="1">_xlfn.NUMBERVALUE(_xlfn.XLOOKUP(1,(OFFSET(IN_Verknüpfungen!$O$4,0,0,IN_Verknüpfungen!$A$2,1)=$A59)*(OFFSET(IN_Verknüpfungen!$P$4,0,0,IN_Verknüpfungen!$A$2,1)=P$3+1),OFFSET(IN_Verknüpfungen!$F$4,0,0,IN_Verknüpfungen!$A$2,1)))-SUM($G59:O59)</f>
        <v>#N/A</v>
      </c>
      <c r="Q59" s="70" t="e" cm="1">
        <f t="array" aca="1" ref="Q59" ca="1">_xlfn.NUMBERVALUE(_xlfn.XLOOKUP(1,(OFFSET(IN_Verknüpfungen!$O$4,0,0,IN_Verknüpfungen!$A$2,1)=$A59)*(OFFSET(IN_Verknüpfungen!$P$4,0,0,IN_Verknüpfungen!$A$2,1)=R$3),OFFSET(IN_Verknüpfungen!$J$4,0,0,IN_Verknüpfungen!$A$2,1)))-SUM($G59:P59)</f>
        <v>#N/A</v>
      </c>
      <c r="R59" s="70" t="e" cm="1">
        <f t="array" aca="1" ref="R59" ca="1">_xlfn.NUMBERVALUE(_xlfn.XLOOKUP(1,(OFFSET(IN_Verknüpfungen!$O$4,0,0,IN_Verknüpfungen!$A$2,1)=$A59)*(OFFSET(IN_Verknüpfungen!$P$4,0,0,IN_Verknüpfungen!$A$2,1)=R$3+1),OFFSET(IN_Verknüpfungen!$F$4,0,0,IN_Verknüpfungen!$A$2,1)))-SUM($G59:Q59)</f>
        <v>#N/A</v>
      </c>
      <c r="S59" s="70" t="e" cm="1">
        <f t="array" aca="1" ref="S59" ca="1">_xlfn.NUMBERVALUE(_xlfn.XLOOKUP(1,(OFFSET(IN_Verknüpfungen!$O$4,0,0,IN_Verknüpfungen!$A$2,1)=$A59)*(OFFSET(IN_Verknüpfungen!$P$4,0,0,IN_Verknüpfungen!$A$2,1)=T$3),OFFSET(IN_Verknüpfungen!$J$4,0,0,IN_Verknüpfungen!$A$2,1)))-SUM($G59:R59)</f>
        <v>#N/A</v>
      </c>
      <c r="T59" s="70" t="e" cm="1">
        <f t="array" aca="1" ref="T59" ca="1">_xlfn.NUMBERVALUE(_xlfn.XLOOKUP(1,(OFFSET(IN_Verknüpfungen!$O$4,0,0,IN_Verknüpfungen!$A$2,1)=$A59)*(OFFSET(IN_Verknüpfungen!$P$4,0,0,IN_Verknüpfungen!$A$2,1)=T$3+1),OFFSET(IN_Verknüpfungen!$F$4,0,0,IN_Verknüpfungen!$A$2,1)))-SUM($G59:S59)</f>
        <v>#N/A</v>
      </c>
      <c r="U59" s="70" t="e" cm="1">
        <f t="array" aca="1" ref="U59" ca="1">_xlfn.NUMBERVALUE(_xlfn.XLOOKUP(1,(OFFSET(IN_Verknüpfungen!$O$4,0,0,IN_Verknüpfungen!$A$2,1)=$A59)*(OFFSET(IN_Verknüpfungen!$P$4,0,0,IN_Verknüpfungen!$A$2,1)=V$3),OFFSET(IN_Verknüpfungen!$J$4,0,0,IN_Verknüpfungen!$A$2,1)))-SUM($G59:T59)</f>
        <v>#N/A</v>
      </c>
      <c r="V59" s="70" t="e" cm="1">
        <f t="array" aca="1" ref="V59" ca="1">_xlfn.NUMBERVALUE(_xlfn.XLOOKUP(1,(OFFSET(IN_Verknüpfungen!$O$4,0,0,IN_Verknüpfungen!$A$2,1)=$A59)*(OFFSET(IN_Verknüpfungen!$P$4,0,0,IN_Verknüpfungen!$A$2,1)=V$3+1),OFFSET(IN_Verknüpfungen!$F$4,0,0,IN_Verknüpfungen!$A$2,1)))-SUM($G59:U59)</f>
        <v>#N/A</v>
      </c>
      <c r="W59" s="70" t="e" cm="1">
        <f t="array" aca="1" ref="W59" ca="1">_xlfn.NUMBERVALUE(_xlfn.XLOOKUP(1,(OFFSET(IN_Verknüpfungen!$O$4,0,0,IN_Verknüpfungen!$A$2,1)=$A59)*(OFFSET(IN_Verknüpfungen!$P$4,0,0,IN_Verknüpfungen!$A$2,1)=X$3),OFFSET(IN_Verknüpfungen!$J$4,0,0,IN_Verknüpfungen!$A$2,1)))-SUM($G59:V59)</f>
        <v>#N/A</v>
      </c>
      <c r="X59" s="70" t="e" cm="1">
        <f t="array" aca="1" ref="X59" ca="1">_xlfn.NUMBERVALUE(_xlfn.XLOOKUP(1,(OFFSET(IN_Verknüpfungen!$O$4,0,0,IN_Verknüpfungen!$A$2,1)=$A59)*(OFFSET(IN_Verknüpfungen!$P$4,0,0,IN_Verknüpfungen!$A$2,1)=X$3+1),OFFSET(IN_Verknüpfungen!$F$4,0,0,IN_Verknüpfungen!$A$2,1)))-SUM($G59:W59)</f>
        <v>#N/A</v>
      </c>
      <c r="Y59" s="70" t="e" cm="1">
        <f t="array" aca="1" ref="Y59" ca="1">_xlfn.NUMBERVALUE(_xlfn.XLOOKUP(1,(OFFSET(IN_Verknüpfungen!$O$4,0,0,IN_Verknüpfungen!$A$2,1)=$A59)*(OFFSET(IN_Verknüpfungen!$P$4,0,0,IN_Verknüpfungen!$A$2,1)=Z$3),OFFSET(IN_Verknüpfungen!$J$4,0,0,IN_Verknüpfungen!$A$2,1)))-SUM($G59:X59)</f>
        <v>#N/A</v>
      </c>
      <c r="Z59" s="70" t="e" cm="1">
        <f t="array" aca="1" ref="Z59" ca="1">_xlfn.NUMBERVALUE(_xlfn.XLOOKUP(1,(OFFSET(IN_Verknüpfungen!$O$4,0,0,IN_Verknüpfungen!$A$2,1)=$A59)*(OFFSET(IN_Verknüpfungen!$P$4,0,0,IN_Verknüpfungen!$A$2,1)=Z$3+1),OFFSET(IN_Verknüpfungen!$F$4,0,0,IN_Verknüpfungen!$A$2,1)))-SUM($G59:Y59)</f>
        <v>#N/A</v>
      </c>
      <c r="AA59" s="70" t="e" cm="1">
        <f t="array" aca="1" ref="AA59" ca="1">_xlfn.NUMBERVALUE(_xlfn.XLOOKUP(1,(OFFSET(IN_Verknüpfungen!$O$4,0,0,IN_Verknüpfungen!$A$2,1)=$A59)*(OFFSET(IN_Verknüpfungen!$P$4,0,0,IN_Verknüpfungen!$A$2,1)=AB$3),OFFSET(IN_Verknüpfungen!$J$4,0,0,IN_Verknüpfungen!$A$2,1)))-SUM($G59:Z59)</f>
        <v>#N/A</v>
      </c>
      <c r="AB59" s="70" t="e" cm="1">
        <f t="array" aca="1" ref="AB59" ca="1">_xlfn.NUMBERVALUE(_xlfn.XLOOKUP(1,(OFFSET(IN_Verknüpfungen!$O$4,0,0,IN_Verknüpfungen!$A$2,1)=$A59)*(OFFSET(IN_Verknüpfungen!$P$4,0,0,IN_Verknüpfungen!$A$2,1)=AB$3+1),OFFSET(IN_Verknüpfungen!$F$4,0,0,IN_Verknüpfungen!$A$2,1)))-SUM($G59:AA59)</f>
        <v>#N/A</v>
      </c>
    </row>
    <row r="60" spans="1:28" x14ac:dyDescent="0.2">
      <c r="A60" s="56" t="str">
        <f ca="1"/>
        <v>Composition 57</v>
      </c>
      <c r="B60" s="55" t="str" cm="1">
        <f t="array" aca="1" ref="B60" ca="1">IF(A60&lt;&gt;"",_xlfn.XLOOKUP(Laufwege!A60,OFFSET(IN_Verknüpfungen!L$4,0,0,IN_Verknüpfungen!A$2,1),OFFSET(IN_Verknüpfungen!N$4,0,0,IN_Verknüpfungen!A$2,1),""),"")</f>
        <v>462-1.0</v>
      </c>
      <c r="C60" s="55">
        <f ca="1">IF(A60&lt;&gt;"",SUMIFS(OFFSET(IN_Verknüpfungen!M$4,0,0,IN_Verknüpfungen!A$2,1),OFFSET(IN_Verknüpfungen!O$4,0,0,IN_Verknüpfungen!A$2,1),Laufwege!A60),0)</f>
        <v>720802</v>
      </c>
      <c r="D60" s="55" cm="1">
        <f t="array" aca="1" ref="D60" ca="1">IF(B60&lt;&gt;"",_xlfn.XLOOKUP(B60,OFFSET(IN_Stammdaten!$A$4,0,0,IN_Stammdaten!$A$2,1),OFFSET(IN_Stammdaten!$C$4,0,0,IN_Stammdaten!$A$2,1),""),"")</f>
        <v>0</v>
      </c>
      <c r="E60" s="55" t="str">
        <f t="shared" ca="1" si="0"/>
        <v>nein</v>
      </c>
      <c r="F60" s="69" t="str">
        <f t="shared" ca="1" si="1"/>
        <v>Composition 57 (462-1.0)</v>
      </c>
      <c r="G60" s="70" cm="1">
        <f t="array" aca="1" ref="G60" ca="1">_xlfn.NUMBERVALUE(_xlfn.XLOOKUP(A60,OFFSET(IN_Verknüpfungen!$L$4,0,0,IN_Verknüpfungen!$A$2,1),OFFSET(IN_Verknüpfungen!$Q$4,0,0,IN_Verknüpfungen!$A$2,1)))</f>
        <v>0.22396990740740741</v>
      </c>
      <c r="H60" s="70" cm="1">
        <f t="array" aca="1" ref="H60" ca="1">_xlfn.NUMBERVALUE(_xlfn.XLOOKUP(A60,OFFSET(IN_Verknüpfungen!$L$4,0,0,IN_Verknüpfungen!$A$2,1),OFFSET(IN_Verknüpfungen!$F$4,0,0,IN_Verknüpfungen!$A$2,1)))-G60</f>
        <v>0.10187499999999999</v>
      </c>
      <c r="I60" s="70" cm="1">
        <f t="array" aca="1" ref="I60" ca="1">_xlfn.NUMBERVALUE(_xlfn.XLOOKUP(1,(OFFSET(IN_Verknüpfungen!$O$4,0,0,IN_Verknüpfungen!$A$2,1)=$A60)*(OFFSET(IN_Verknüpfungen!$P$4,0,0,IN_Verknüpfungen!$A$2,1)=J$3),OFFSET(IN_Verknüpfungen!$J$4,0,0,IN_Verknüpfungen!$A$2,1)))-SUM($G60:H60)</f>
        <v>2.0960648148148131E-2</v>
      </c>
      <c r="J60" s="70" cm="1">
        <f t="array" aca="1" ref="J60" ca="1">_xlfn.NUMBERVALUE(_xlfn.XLOOKUP(1,(OFFSET(IN_Verknüpfungen!$O$4,0,0,IN_Verknüpfungen!$A$2,1)=$A60)*(OFFSET(IN_Verknüpfungen!$P$4,0,0,IN_Verknüpfungen!$A$2,1)=J$3+1),OFFSET(IN_Verknüpfungen!$F$4,0,0,IN_Verknüpfungen!$A$2,1)))-SUM($G60:I60)</f>
        <v>9.6967592592592633E-2</v>
      </c>
      <c r="K60" s="70" cm="1">
        <f t="array" aca="1" ref="K60" ca="1">_xlfn.NUMBERVALUE(_xlfn.XLOOKUP(1,(OFFSET(IN_Verknüpfungen!$O$4,0,0,IN_Verknüpfungen!$A$2,1)=$A60)*(OFFSET(IN_Verknüpfungen!$P$4,0,0,IN_Verknüpfungen!$A$2,1)=L$3),OFFSET(IN_Verknüpfungen!$J$4,0,0,IN_Verknüpfungen!$A$2,1)))-SUM($G60:J60)</f>
        <v>1.749999999999996E-2</v>
      </c>
      <c r="L60" s="70" cm="1">
        <f t="array" aca="1" ref="L60" ca="1">_xlfn.NUMBERVALUE(_xlfn.XLOOKUP(1,(OFFSET(IN_Verknüpfungen!$O$4,0,0,IN_Verknüpfungen!$A$2,1)=$A60)*(OFFSET(IN_Verknüpfungen!$P$4,0,0,IN_Verknüpfungen!$A$2,1)=L$3+1),OFFSET(IN_Verknüpfungen!$F$4,0,0,IN_Verknüpfungen!$A$2,1)))-SUM($G60:K60)</f>
        <v>9.5046296296296351E-2</v>
      </c>
      <c r="M60" s="70" cm="1">
        <f t="array" aca="1" ref="M60" ca="1">_xlfn.NUMBERVALUE(_xlfn.XLOOKUP(1,(OFFSET(IN_Verknüpfungen!$O$4,0,0,IN_Verknüpfungen!$A$2,1)=$A60)*(OFFSET(IN_Verknüpfungen!$P$4,0,0,IN_Verknüpfungen!$A$2,1)=N$3),OFFSET(IN_Verknüpfungen!$J$4,0,0,IN_Verknüpfungen!$A$2,1)))-SUM($G60:L60)</f>
        <v>1.9259259259259198E-2</v>
      </c>
      <c r="N60" s="70" t="e" cm="1">
        <f t="array" aca="1" ref="N60" ca="1">_xlfn.NUMBERVALUE(_xlfn.XLOOKUP(1,(OFFSET(IN_Verknüpfungen!$O$4,0,0,IN_Verknüpfungen!$A$2,1)=$A60)*(OFFSET(IN_Verknüpfungen!$P$4,0,0,IN_Verknüpfungen!$A$2,1)=N$3+1),OFFSET(IN_Verknüpfungen!$F$4,0,0,IN_Verknüpfungen!$A$2,1)))-SUM($G60:M60)</f>
        <v>#N/A</v>
      </c>
      <c r="O60" s="70" t="e" cm="1">
        <f t="array" aca="1" ref="O60" ca="1">_xlfn.NUMBERVALUE(_xlfn.XLOOKUP(1,(OFFSET(IN_Verknüpfungen!$O$4,0,0,IN_Verknüpfungen!$A$2,1)=$A60)*(OFFSET(IN_Verknüpfungen!$P$4,0,0,IN_Verknüpfungen!$A$2,1)=P$3),OFFSET(IN_Verknüpfungen!$J$4,0,0,IN_Verknüpfungen!$A$2,1)))-SUM($G60:N60)</f>
        <v>#N/A</v>
      </c>
      <c r="P60" s="70" t="e" cm="1">
        <f t="array" aca="1" ref="P60" ca="1">_xlfn.NUMBERVALUE(_xlfn.XLOOKUP(1,(OFFSET(IN_Verknüpfungen!$O$4,0,0,IN_Verknüpfungen!$A$2,1)=$A60)*(OFFSET(IN_Verknüpfungen!$P$4,0,0,IN_Verknüpfungen!$A$2,1)=P$3+1),OFFSET(IN_Verknüpfungen!$F$4,0,0,IN_Verknüpfungen!$A$2,1)))-SUM($G60:O60)</f>
        <v>#N/A</v>
      </c>
      <c r="Q60" s="70" t="e" cm="1">
        <f t="array" aca="1" ref="Q60" ca="1">_xlfn.NUMBERVALUE(_xlfn.XLOOKUP(1,(OFFSET(IN_Verknüpfungen!$O$4,0,0,IN_Verknüpfungen!$A$2,1)=$A60)*(OFFSET(IN_Verknüpfungen!$P$4,0,0,IN_Verknüpfungen!$A$2,1)=R$3),OFFSET(IN_Verknüpfungen!$J$4,0,0,IN_Verknüpfungen!$A$2,1)))-SUM($G60:P60)</f>
        <v>#N/A</v>
      </c>
      <c r="R60" s="70" t="e" cm="1">
        <f t="array" aca="1" ref="R60" ca="1">_xlfn.NUMBERVALUE(_xlfn.XLOOKUP(1,(OFFSET(IN_Verknüpfungen!$O$4,0,0,IN_Verknüpfungen!$A$2,1)=$A60)*(OFFSET(IN_Verknüpfungen!$P$4,0,0,IN_Verknüpfungen!$A$2,1)=R$3+1),OFFSET(IN_Verknüpfungen!$F$4,0,0,IN_Verknüpfungen!$A$2,1)))-SUM($G60:Q60)</f>
        <v>#N/A</v>
      </c>
      <c r="S60" s="70" t="e" cm="1">
        <f t="array" aca="1" ref="S60" ca="1">_xlfn.NUMBERVALUE(_xlfn.XLOOKUP(1,(OFFSET(IN_Verknüpfungen!$O$4,0,0,IN_Verknüpfungen!$A$2,1)=$A60)*(OFFSET(IN_Verknüpfungen!$P$4,0,0,IN_Verknüpfungen!$A$2,1)=T$3),OFFSET(IN_Verknüpfungen!$J$4,0,0,IN_Verknüpfungen!$A$2,1)))-SUM($G60:R60)</f>
        <v>#N/A</v>
      </c>
      <c r="T60" s="70" t="e" cm="1">
        <f t="array" aca="1" ref="T60" ca="1">_xlfn.NUMBERVALUE(_xlfn.XLOOKUP(1,(OFFSET(IN_Verknüpfungen!$O$4,0,0,IN_Verknüpfungen!$A$2,1)=$A60)*(OFFSET(IN_Verknüpfungen!$P$4,0,0,IN_Verknüpfungen!$A$2,1)=T$3+1),OFFSET(IN_Verknüpfungen!$F$4,0,0,IN_Verknüpfungen!$A$2,1)))-SUM($G60:S60)</f>
        <v>#N/A</v>
      </c>
      <c r="U60" s="70" t="e" cm="1">
        <f t="array" aca="1" ref="U60" ca="1">_xlfn.NUMBERVALUE(_xlfn.XLOOKUP(1,(OFFSET(IN_Verknüpfungen!$O$4,0,0,IN_Verknüpfungen!$A$2,1)=$A60)*(OFFSET(IN_Verknüpfungen!$P$4,0,0,IN_Verknüpfungen!$A$2,1)=V$3),OFFSET(IN_Verknüpfungen!$J$4,0,0,IN_Verknüpfungen!$A$2,1)))-SUM($G60:T60)</f>
        <v>#N/A</v>
      </c>
      <c r="V60" s="70" t="e" cm="1">
        <f t="array" aca="1" ref="V60" ca="1">_xlfn.NUMBERVALUE(_xlfn.XLOOKUP(1,(OFFSET(IN_Verknüpfungen!$O$4,0,0,IN_Verknüpfungen!$A$2,1)=$A60)*(OFFSET(IN_Verknüpfungen!$P$4,0,0,IN_Verknüpfungen!$A$2,1)=V$3+1),OFFSET(IN_Verknüpfungen!$F$4,0,0,IN_Verknüpfungen!$A$2,1)))-SUM($G60:U60)</f>
        <v>#N/A</v>
      </c>
      <c r="W60" s="70" t="e" cm="1">
        <f t="array" aca="1" ref="W60" ca="1">_xlfn.NUMBERVALUE(_xlfn.XLOOKUP(1,(OFFSET(IN_Verknüpfungen!$O$4,0,0,IN_Verknüpfungen!$A$2,1)=$A60)*(OFFSET(IN_Verknüpfungen!$P$4,0,0,IN_Verknüpfungen!$A$2,1)=X$3),OFFSET(IN_Verknüpfungen!$J$4,0,0,IN_Verknüpfungen!$A$2,1)))-SUM($G60:V60)</f>
        <v>#N/A</v>
      </c>
      <c r="X60" s="70" t="e" cm="1">
        <f t="array" aca="1" ref="X60" ca="1">_xlfn.NUMBERVALUE(_xlfn.XLOOKUP(1,(OFFSET(IN_Verknüpfungen!$O$4,0,0,IN_Verknüpfungen!$A$2,1)=$A60)*(OFFSET(IN_Verknüpfungen!$P$4,0,0,IN_Verknüpfungen!$A$2,1)=X$3+1),OFFSET(IN_Verknüpfungen!$F$4,0,0,IN_Verknüpfungen!$A$2,1)))-SUM($G60:W60)</f>
        <v>#N/A</v>
      </c>
      <c r="Y60" s="70" t="e" cm="1">
        <f t="array" aca="1" ref="Y60" ca="1">_xlfn.NUMBERVALUE(_xlfn.XLOOKUP(1,(OFFSET(IN_Verknüpfungen!$O$4,0,0,IN_Verknüpfungen!$A$2,1)=$A60)*(OFFSET(IN_Verknüpfungen!$P$4,0,0,IN_Verknüpfungen!$A$2,1)=Z$3),OFFSET(IN_Verknüpfungen!$J$4,0,0,IN_Verknüpfungen!$A$2,1)))-SUM($G60:X60)</f>
        <v>#N/A</v>
      </c>
      <c r="Z60" s="70" t="e" cm="1">
        <f t="array" aca="1" ref="Z60" ca="1">_xlfn.NUMBERVALUE(_xlfn.XLOOKUP(1,(OFFSET(IN_Verknüpfungen!$O$4,0,0,IN_Verknüpfungen!$A$2,1)=$A60)*(OFFSET(IN_Verknüpfungen!$P$4,0,0,IN_Verknüpfungen!$A$2,1)=Z$3+1),OFFSET(IN_Verknüpfungen!$F$4,0,0,IN_Verknüpfungen!$A$2,1)))-SUM($G60:Y60)</f>
        <v>#N/A</v>
      </c>
      <c r="AA60" s="70" t="e" cm="1">
        <f t="array" aca="1" ref="AA60" ca="1">_xlfn.NUMBERVALUE(_xlfn.XLOOKUP(1,(OFFSET(IN_Verknüpfungen!$O$4,0,0,IN_Verknüpfungen!$A$2,1)=$A60)*(OFFSET(IN_Verknüpfungen!$P$4,0,0,IN_Verknüpfungen!$A$2,1)=AB$3),OFFSET(IN_Verknüpfungen!$J$4,0,0,IN_Verknüpfungen!$A$2,1)))-SUM($G60:Z60)</f>
        <v>#N/A</v>
      </c>
      <c r="AB60" s="70" t="e" cm="1">
        <f t="array" aca="1" ref="AB60" ca="1">_xlfn.NUMBERVALUE(_xlfn.XLOOKUP(1,(OFFSET(IN_Verknüpfungen!$O$4,0,0,IN_Verknüpfungen!$A$2,1)=$A60)*(OFFSET(IN_Verknüpfungen!$P$4,0,0,IN_Verknüpfungen!$A$2,1)=AB$3+1),OFFSET(IN_Verknüpfungen!$F$4,0,0,IN_Verknüpfungen!$A$2,1)))-SUM($G60:AA60)</f>
        <v>#N/A</v>
      </c>
    </row>
    <row r="61" spans="1:28" x14ac:dyDescent="0.2">
      <c r="A61" s="56" t="str">
        <f ca="1"/>
        <v>Composition 58</v>
      </c>
      <c r="B61" s="55" t="str" cm="1">
        <f t="array" aca="1" ref="B61" ca="1">IF(A61&lt;&gt;"",_xlfn.XLOOKUP(Laufwege!A61,OFFSET(IN_Verknüpfungen!L$4,0,0,IN_Verknüpfungen!A$2,1),OFFSET(IN_Verknüpfungen!N$4,0,0,IN_Verknüpfungen!A$2,1),""),"")</f>
        <v>146-3.2</v>
      </c>
      <c r="C61" s="55">
        <f ca="1">IF(A61&lt;&gt;"",SUMIFS(OFFSET(IN_Verknüpfungen!M$4,0,0,IN_Verknüpfungen!A$2,1),OFFSET(IN_Verknüpfungen!O$4,0,0,IN_Verknüpfungen!A$2,1),Laufwege!A61),0)</f>
        <v>410269</v>
      </c>
      <c r="D61" s="55" cm="1">
        <f t="array" aca="1" ref="D61" ca="1">IF(B61&lt;&gt;"",_xlfn.XLOOKUP(B61,OFFSET(IN_Stammdaten!$A$4,0,0,IN_Stammdaten!$A$2,1),OFFSET(IN_Stammdaten!$C$4,0,0,IN_Stammdaten!$A$2,1),""),"")</f>
        <v>0</v>
      </c>
      <c r="E61" s="55" t="str">
        <f t="shared" ca="1" si="0"/>
        <v>nein</v>
      </c>
      <c r="F61" s="69" t="str">
        <f t="shared" ca="1" si="1"/>
        <v>Composition 58 (146-3.2)</v>
      </c>
      <c r="G61" s="70" cm="1">
        <f t="array" aca="1" ref="G61" ca="1">_xlfn.NUMBERVALUE(_xlfn.XLOOKUP(A61,OFFSET(IN_Verknüpfungen!$L$4,0,0,IN_Verknüpfungen!$A$2,1),OFFSET(IN_Verknüpfungen!$Q$4,0,0,IN_Verknüpfungen!$A$2,1)))</f>
        <v>0.27468749999999997</v>
      </c>
      <c r="H61" s="70" cm="1">
        <f t="array" aca="1" ref="H61" ca="1">_xlfn.NUMBERVALUE(_xlfn.XLOOKUP(A61,OFFSET(IN_Verknüpfungen!$L$4,0,0,IN_Verknüpfungen!$A$2,1),OFFSET(IN_Verknüpfungen!$F$4,0,0,IN_Verknüpfungen!$A$2,1)))-G61</f>
        <v>5.16550925925926E-2</v>
      </c>
      <c r="I61" s="70" cm="1">
        <f t="array" aca="1" ref="I61" ca="1">_xlfn.NUMBERVALUE(_xlfn.XLOOKUP(1,(OFFSET(IN_Verknüpfungen!$O$4,0,0,IN_Verknüpfungen!$A$2,1)=$A61)*(OFFSET(IN_Verknüpfungen!$P$4,0,0,IN_Verknüpfungen!$A$2,1)=J$3),OFFSET(IN_Verknüpfungen!$J$4,0,0,IN_Verknüpfungen!$A$2,1)))-SUM($G61:H61)</f>
        <v>1.9212962962962987E-2</v>
      </c>
      <c r="J61" s="70" cm="1">
        <f t="array" aca="1" ref="J61" ca="1">_xlfn.NUMBERVALUE(_xlfn.XLOOKUP(1,(OFFSET(IN_Verknüpfungen!$O$4,0,0,IN_Verknüpfungen!$A$2,1)=$A61)*(OFFSET(IN_Verknüpfungen!$P$4,0,0,IN_Verknüpfungen!$A$2,1)=J$3+1),OFFSET(IN_Verknüpfungen!$F$4,0,0,IN_Verknüpfungen!$A$2,1)))-SUM($G61:I61)</f>
        <v>5.0706018518518525E-2</v>
      </c>
      <c r="K61" s="70" cm="1">
        <f t="array" aca="1" ref="K61" ca="1">_xlfn.NUMBERVALUE(_xlfn.XLOOKUP(1,(OFFSET(IN_Verknüpfungen!$O$4,0,0,IN_Verknüpfungen!$A$2,1)=$A61)*(OFFSET(IN_Verknüpfungen!$P$4,0,0,IN_Verknüpfungen!$A$2,1)=L$3),OFFSET(IN_Verknüpfungen!$J$4,0,0,IN_Verknüpfungen!$A$2,1)))-SUM($G61:J61)</f>
        <v>2.4548611111111118E-2</v>
      </c>
      <c r="L61" s="70" cm="1">
        <f t="array" aca="1" ref="L61" ca="1">_xlfn.NUMBERVALUE(_xlfn.XLOOKUP(1,(OFFSET(IN_Verknüpfungen!$O$4,0,0,IN_Verknüpfungen!$A$2,1)=$A61)*(OFFSET(IN_Verknüpfungen!$P$4,0,0,IN_Verknüpfungen!$A$2,1)=L$3+1),OFFSET(IN_Verknüpfungen!$F$4,0,0,IN_Verknüpfungen!$A$2,1)))-SUM($G61:K61)</f>
        <v>5.4861111111111083E-2</v>
      </c>
      <c r="M61" s="70" cm="1">
        <f t="array" aca="1" ref="M61" ca="1">_xlfn.NUMBERVALUE(_xlfn.XLOOKUP(1,(OFFSET(IN_Verknüpfungen!$O$4,0,0,IN_Verknüpfungen!$A$2,1)=$A61)*(OFFSET(IN_Verknüpfungen!$P$4,0,0,IN_Verknüpfungen!$A$2,1)=N$3),OFFSET(IN_Verknüpfungen!$J$4,0,0,IN_Verknüpfungen!$A$2,1)))-SUM($G61:L61)</f>
        <v>1.6701388888888891E-2</v>
      </c>
      <c r="N61" s="70" cm="1">
        <f t="array" aca="1" ref="N61" ca="1">_xlfn.NUMBERVALUE(_xlfn.XLOOKUP(1,(OFFSET(IN_Verknüpfungen!$O$4,0,0,IN_Verknüpfungen!$A$2,1)=$A61)*(OFFSET(IN_Verknüpfungen!$P$4,0,0,IN_Verknüpfungen!$A$2,1)=N$3+1),OFFSET(IN_Verknüpfungen!$F$4,0,0,IN_Verknüpfungen!$A$2,1)))-SUM($G61:M61)</f>
        <v>4.5254629629629672E-2</v>
      </c>
      <c r="O61" s="70" cm="1">
        <f t="array" aca="1" ref="O61" ca="1">_xlfn.NUMBERVALUE(_xlfn.XLOOKUP(1,(OFFSET(IN_Verknüpfungen!$O$4,0,0,IN_Verknüpfungen!$A$2,1)=$A61)*(OFFSET(IN_Verknüpfungen!$P$4,0,0,IN_Verknüpfungen!$A$2,1)=P$3),OFFSET(IN_Verknüpfungen!$J$4,0,0,IN_Verknüpfungen!$A$2,1)))-SUM($G61:N61)</f>
        <v>1.1041666666666616E-2</v>
      </c>
      <c r="P61" s="70" t="e" cm="1">
        <f t="array" aca="1" ref="P61" ca="1">_xlfn.NUMBERVALUE(_xlfn.XLOOKUP(1,(OFFSET(IN_Verknüpfungen!$O$4,0,0,IN_Verknüpfungen!$A$2,1)=$A61)*(OFFSET(IN_Verknüpfungen!$P$4,0,0,IN_Verknüpfungen!$A$2,1)=P$3+1),OFFSET(IN_Verknüpfungen!$F$4,0,0,IN_Verknüpfungen!$A$2,1)))-SUM($G61:O61)</f>
        <v>#N/A</v>
      </c>
      <c r="Q61" s="70" t="e" cm="1">
        <f t="array" aca="1" ref="Q61" ca="1">_xlfn.NUMBERVALUE(_xlfn.XLOOKUP(1,(OFFSET(IN_Verknüpfungen!$O$4,0,0,IN_Verknüpfungen!$A$2,1)=$A61)*(OFFSET(IN_Verknüpfungen!$P$4,0,0,IN_Verknüpfungen!$A$2,1)=R$3),OFFSET(IN_Verknüpfungen!$J$4,0,0,IN_Verknüpfungen!$A$2,1)))-SUM($G61:P61)</f>
        <v>#N/A</v>
      </c>
      <c r="R61" s="70" t="e" cm="1">
        <f t="array" aca="1" ref="R61" ca="1">_xlfn.NUMBERVALUE(_xlfn.XLOOKUP(1,(OFFSET(IN_Verknüpfungen!$O$4,0,0,IN_Verknüpfungen!$A$2,1)=$A61)*(OFFSET(IN_Verknüpfungen!$P$4,0,0,IN_Verknüpfungen!$A$2,1)=R$3+1),OFFSET(IN_Verknüpfungen!$F$4,0,0,IN_Verknüpfungen!$A$2,1)))-SUM($G61:Q61)</f>
        <v>#N/A</v>
      </c>
      <c r="S61" s="70" t="e" cm="1">
        <f t="array" aca="1" ref="S61" ca="1">_xlfn.NUMBERVALUE(_xlfn.XLOOKUP(1,(OFFSET(IN_Verknüpfungen!$O$4,0,0,IN_Verknüpfungen!$A$2,1)=$A61)*(OFFSET(IN_Verknüpfungen!$P$4,0,0,IN_Verknüpfungen!$A$2,1)=T$3),OFFSET(IN_Verknüpfungen!$J$4,0,0,IN_Verknüpfungen!$A$2,1)))-SUM($G61:R61)</f>
        <v>#N/A</v>
      </c>
      <c r="T61" s="70" t="e" cm="1">
        <f t="array" aca="1" ref="T61" ca="1">_xlfn.NUMBERVALUE(_xlfn.XLOOKUP(1,(OFFSET(IN_Verknüpfungen!$O$4,0,0,IN_Verknüpfungen!$A$2,1)=$A61)*(OFFSET(IN_Verknüpfungen!$P$4,0,0,IN_Verknüpfungen!$A$2,1)=T$3+1),OFFSET(IN_Verknüpfungen!$F$4,0,0,IN_Verknüpfungen!$A$2,1)))-SUM($G61:S61)</f>
        <v>#N/A</v>
      </c>
      <c r="U61" s="70" t="e" cm="1">
        <f t="array" aca="1" ref="U61" ca="1">_xlfn.NUMBERVALUE(_xlfn.XLOOKUP(1,(OFFSET(IN_Verknüpfungen!$O$4,0,0,IN_Verknüpfungen!$A$2,1)=$A61)*(OFFSET(IN_Verknüpfungen!$P$4,0,0,IN_Verknüpfungen!$A$2,1)=V$3),OFFSET(IN_Verknüpfungen!$J$4,0,0,IN_Verknüpfungen!$A$2,1)))-SUM($G61:T61)</f>
        <v>#N/A</v>
      </c>
      <c r="V61" s="70" t="e" cm="1">
        <f t="array" aca="1" ref="V61" ca="1">_xlfn.NUMBERVALUE(_xlfn.XLOOKUP(1,(OFFSET(IN_Verknüpfungen!$O$4,0,0,IN_Verknüpfungen!$A$2,1)=$A61)*(OFFSET(IN_Verknüpfungen!$P$4,0,0,IN_Verknüpfungen!$A$2,1)=V$3+1),OFFSET(IN_Verknüpfungen!$F$4,0,0,IN_Verknüpfungen!$A$2,1)))-SUM($G61:U61)</f>
        <v>#N/A</v>
      </c>
      <c r="W61" s="70" t="e" cm="1">
        <f t="array" aca="1" ref="W61" ca="1">_xlfn.NUMBERVALUE(_xlfn.XLOOKUP(1,(OFFSET(IN_Verknüpfungen!$O$4,0,0,IN_Verknüpfungen!$A$2,1)=$A61)*(OFFSET(IN_Verknüpfungen!$P$4,0,0,IN_Verknüpfungen!$A$2,1)=X$3),OFFSET(IN_Verknüpfungen!$J$4,0,0,IN_Verknüpfungen!$A$2,1)))-SUM($G61:V61)</f>
        <v>#N/A</v>
      </c>
      <c r="X61" s="70" t="e" cm="1">
        <f t="array" aca="1" ref="X61" ca="1">_xlfn.NUMBERVALUE(_xlfn.XLOOKUP(1,(OFFSET(IN_Verknüpfungen!$O$4,0,0,IN_Verknüpfungen!$A$2,1)=$A61)*(OFFSET(IN_Verknüpfungen!$P$4,0,0,IN_Verknüpfungen!$A$2,1)=X$3+1),OFFSET(IN_Verknüpfungen!$F$4,0,0,IN_Verknüpfungen!$A$2,1)))-SUM($G61:W61)</f>
        <v>#N/A</v>
      </c>
      <c r="Y61" s="70" t="e" cm="1">
        <f t="array" aca="1" ref="Y61" ca="1">_xlfn.NUMBERVALUE(_xlfn.XLOOKUP(1,(OFFSET(IN_Verknüpfungen!$O$4,0,0,IN_Verknüpfungen!$A$2,1)=$A61)*(OFFSET(IN_Verknüpfungen!$P$4,0,0,IN_Verknüpfungen!$A$2,1)=Z$3),OFFSET(IN_Verknüpfungen!$J$4,0,0,IN_Verknüpfungen!$A$2,1)))-SUM($G61:X61)</f>
        <v>#N/A</v>
      </c>
      <c r="Z61" s="70" t="e" cm="1">
        <f t="array" aca="1" ref="Z61" ca="1">_xlfn.NUMBERVALUE(_xlfn.XLOOKUP(1,(OFFSET(IN_Verknüpfungen!$O$4,0,0,IN_Verknüpfungen!$A$2,1)=$A61)*(OFFSET(IN_Verknüpfungen!$P$4,0,0,IN_Verknüpfungen!$A$2,1)=Z$3+1),OFFSET(IN_Verknüpfungen!$F$4,0,0,IN_Verknüpfungen!$A$2,1)))-SUM($G61:Y61)</f>
        <v>#N/A</v>
      </c>
      <c r="AA61" s="70" t="e" cm="1">
        <f t="array" aca="1" ref="AA61" ca="1">_xlfn.NUMBERVALUE(_xlfn.XLOOKUP(1,(OFFSET(IN_Verknüpfungen!$O$4,0,0,IN_Verknüpfungen!$A$2,1)=$A61)*(OFFSET(IN_Verknüpfungen!$P$4,0,0,IN_Verknüpfungen!$A$2,1)=AB$3),OFFSET(IN_Verknüpfungen!$J$4,0,0,IN_Verknüpfungen!$A$2,1)))-SUM($G61:Z61)</f>
        <v>#N/A</v>
      </c>
      <c r="AB61" s="70" t="e" cm="1">
        <f t="array" aca="1" ref="AB61" ca="1">_xlfn.NUMBERVALUE(_xlfn.XLOOKUP(1,(OFFSET(IN_Verknüpfungen!$O$4,0,0,IN_Verknüpfungen!$A$2,1)=$A61)*(OFFSET(IN_Verknüpfungen!$P$4,0,0,IN_Verknüpfungen!$A$2,1)=AB$3+1),OFFSET(IN_Verknüpfungen!$F$4,0,0,IN_Verknüpfungen!$A$2,1)))-SUM($G61:AA61)</f>
        <v>#N/A</v>
      </c>
    </row>
    <row r="62" spans="1:28" x14ac:dyDescent="0.2">
      <c r="A62" s="56" t="str">
        <f ca="1"/>
        <v>Composition 59</v>
      </c>
      <c r="B62" s="55" t="str" cm="1">
        <f t="array" aca="1" ref="B62" ca="1">IF(A62&lt;&gt;"",_xlfn.XLOOKUP(Laufwege!A62,OFFSET(IN_Verknüpfungen!L$4,0,0,IN_Verknüpfungen!A$2,1),OFFSET(IN_Verknüpfungen!N$4,0,0,IN_Verknüpfungen!A$2,1),""),"")</f>
        <v>146-3.2</v>
      </c>
      <c r="C62" s="55">
        <f ca="1">IF(A62&lt;&gt;"",SUMIFS(OFFSET(IN_Verknüpfungen!M$4,0,0,IN_Verknüpfungen!A$2,1),OFFSET(IN_Verknüpfungen!O$4,0,0,IN_Verknüpfungen!A$2,1),Laufwege!A62),0)</f>
        <v>645913</v>
      </c>
      <c r="D62" s="55" cm="1">
        <f t="array" aca="1" ref="D62" ca="1">IF(B62&lt;&gt;"",_xlfn.XLOOKUP(B62,OFFSET(IN_Stammdaten!$A$4,0,0,IN_Stammdaten!$A$2,1),OFFSET(IN_Stammdaten!$C$4,0,0,IN_Stammdaten!$A$2,1),""),"")</f>
        <v>0</v>
      </c>
      <c r="E62" s="55" t="str">
        <f t="shared" ca="1" si="0"/>
        <v>nein</v>
      </c>
      <c r="F62" s="69" t="str">
        <f t="shared" ca="1" si="1"/>
        <v>Composition 59 (146-3.2)</v>
      </c>
      <c r="G62" s="70" cm="1">
        <f t="array" aca="1" ref="G62" ca="1">_xlfn.NUMBERVALUE(_xlfn.XLOOKUP(A62,OFFSET(IN_Verknüpfungen!$L$4,0,0,IN_Verknüpfungen!$A$2,1),OFFSET(IN_Verknüpfungen!$Q$4,0,0,IN_Verknüpfungen!$A$2,1)))</f>
        <v>0.20094907407407409</v>
      </c>
      <c r="H62" s="70" cm="1">
        <f t="array" aca="1" ref="H62" ca="1">_xlfn.NUMBERVALUE(_xlfn.XLOOKUP(A62,OFFSET(IN_Verknüpfungen!$L$4,0,0,IN_Verknüpfungen!$A$2,1),OFFSET(IN_Verknüpfungen!$F$4,0,0,IN_Verknüpfungen!$A$2,1)))-G62</f>
        <v>0.12883101851851853</v>
      </c>
      <c r="I62" s="70" cm="1">
        <f t="array" aca="1" ref="I62" ca="1">_xlfn.NUMBERVALUE(_xlfn.XLOOKUP(1,(OFFSET(IN_Verknüpfungen!$O$4,0,0,IN_Verknüpfungen!$A$2,1)=$A62)*(OFFSET(IN_Verknüpfungen!$P$4,0,0,IN_Verknüpfungen!$A$2,1)=J$3),OFFSET(IN_Verknüpfungen!$J$4,0,0,IN_Verknüpfungen!$A$2,1)))-SUM($G62:H62)</f>
        <v>2.1331018518518485E-2</v>
      </c>
      <c r="J62" s="70" cm="1">
        <f t="array" aca="1" ref="J62" ca="1">_xlfn.NUMBERVALUE(_xlfn.XLOOKUP(1,(OFFSET(IN_Verknüpfungen!$O$4,0,0,IN_Verknüpfungen!$A$2,1)=$A62)*(OFFSET(IN_Verknüpfungen!$P$4,0,0,IN_Verknüpfungen!$A$2,1)=J$3+1),OFFSET(IN_Verknüpfungen!$F$4,0,0,IN_Verknüpfungen!$A$2,1)))-SUM($G62:I62)</f>
        <v>4.7280092592592582E-2</v>
      </c>
      <c r="K62" s="70" cm="1">
        <f t="array" aca="1" ref="K62" ca="1">_xlfn.NUMBERVALUE(_xlfn.XLOOKUP(1,(OFFSET(IN_Verknüpfungen!$O$4,0,0,IN_Verknüpfungen!$A$2,1)=$A62)*(OFFSET(IN_Verknüpfungen!$P$4,0,0,IN_Verknüpfungen!$A$2,1)=L$3),OFFSET(IN_Verknüpfungen!$J$4,0,0,IN_Verknüpfungen!$A$2,1)))-SUM($G62:J62)</f>
        <v>2.3946759259259265E-2</v>
      </c>
      <c r="L62" s="70" cm="1">
        <f t="array" aca="1" ref="L62" ca="1">_xlfn.NUMBERVALUE(_xlfn.XLOOKUP(1,(OFFSET(IN_Verknüpfungen!$O$4,0,0,IN_Verknüpfungen!$A$2,1)=$A62)*(OFFSET(IN_Verknüpfungen!$P$4,0,0,IN_Verknüpfungen!$A$2,1)=L$3+1),OFFSET(IN_Verknüpfungen!$F$4,0,0,IN_Verknüpfungen!$A$2,1)))-SUM($G62:K62)</f>
        <v>4.8263888888888884E-2</v>
      </c>
      <c r="M62" s="70" cm="1">
        <f t="array" aca="1" ref="M62" ca="1">_xlfn.NUMBERVALUE(_xlfn.XLOOKUP(1,(OFFSET(IN_Verknüpfungen!$O$4,0,0,IN_Verknüpfungen!$A$2,1)=$A62)*(OFFSET(IN_Verknüpfungen!$P$4,0,0,IN_Verknüpfungen!$A$2,1)=N$3),OFFSET(IN_Verknüpfungen!$J$4,0,0,IN_Verknüpfungen!$A$2,1)))-SUM($G62:L62)</f>
        <v>1.0648148148148184E-2</v>
      </c>
      <c r="N62" s="70" t="e" cm="1">
        <f t="array" aca="1" ref="N62" ca="1">_xlfn.NUMBERVALUE(_xlfn.XLOOKUP(1,(OFFSET(IN_Verknüpfungen!$O$4,0,0,IN_Verknüpfungen!$A$2,1)=$A62)*(OFFSET(IN_Verknüpfungen!$P$4,0,0,IN_Verknüpfungen!$A$2,1)=N$3+1),OFFSET(IN_Verknüpfungen!$F$4,0,0,IN_Verknüpfungen!$A$2,1)))-SUM($G62:M62)</f>
        <v>#N/A</v>
      </c>
      <c r="O62" s="70" t="e" cm="1">
        <f t="array" aca="1" ref="O62" ca="1">_xlfn.NUMBERVALUE(_xlfn.XLOOKUP(1,(OFFSET(IN_Verknüpfungen!$O$4,0,0,IN_Verknüpfungen!$A$2,1)=$A62)*(OFFSET(IN_Verknüpfungen!$P$4,0,0,IN_Verknüpfungen!$A$2,1)=P$3),OFFSET(IN_Verknüpfungen!$J$4,0,0,IN_Verknüpfungen!$A$2,1)))-SUM($G62:N62)</f>
        <v>#N/A</v>
      </c>
      <c r="P62" s="70" t="e" cm="1">
        <f t="array" aca="1" ref="P62" ca="1">_xlfn.NUMBERVALUE(_xlfn.XLOOKUP(1,(OFFSET(IN_Verknüpfungen!$O$4,0,0,IN_Verknüpfungen!$A$2,1)=$A62)*(OFFSET(IN_Verknüpfungen!$P$4,0,0,IN_Verknüpfungen!$A$2,1)=P$3+1),OFFSET(IN_Verknüpfungen!$F$4,0,0,IN_Verknüpfungen!$A$2,1)))-SUM($G62:O62)</f>
        <v>#N/A</v>
      </c>
      <c r="Q62" s="70" t="e" cm="1">
        <f t="array" aca="1" ref="Q62" ca="1">_xlfn.NUMBERVALUE(_xlfn.XLOOKUP(1,(OFFSET(IN_Verknüpfungen!$O$4,0,0,IN_Verknüpfungen!$A$2,1)=$A62)*(OFFSET(IN_Verknüpfungen!$P$4,0,0,IN_Verknüpfungen!$A$2,1)=R$3),OFFSET(IN_Verknüpfungen!$J$4,0,0,IN_Verknüpfungen!$A$2,1)))-SUM($G62:P62)</f>
        <v>#N/A</v>
      </c>
      <c r="R62" s="70" t="e" cm="1">
        <f t="array" aca="1" ref="R62" ca="1">_xlfn.NUMBERVALUE(_xlfn.XLOOKUP(1,(OFFSET(IN_Verknüpfungen!$O$4,0,0,IN_Verknüpfungen!$A$2,1)=$A62)*(OFFSET(IN_Verknüpfungen!$P$4,0,0,IN_Verknüpfungen!$A$2,1)=R$3+1),OFFSET(IN_Verknüpfungen!$F$4,0,0,IN_Verknüpfungen!$A$2,1)))-SUM($G62:Q62)</f>
        <v>#N/A</v>
      </c>
      <c r="S62" s="70" t="e" cm="1">
        <f t="array" aca="1" ref="S62" ca="1">_xlfn.NUMBERVALUE(_xlfn.XLOOKUP(1,(OFFSET(IN_Verknüpfungen!$O$4,0,0,IN_Verknüpfungen!$A$2,1)=$A62)*(OFFSET(IN_Verknüpfungen!$P$4,0,0,IN_Verknüpfungen!$A$2,1)=T$3),OFFSET(IN_Verknüpfungen!$J$4,0,0,IN_Verknüpfungen!$A$2,1)))-SUM($G62:R62)</f>
        <v>#N/A</v>
      </c>
      <c r="T62" s="70" t="e" cm="1">
        <f t="array" aca="1" ref="T62" ca="1">_xlfn.NUMBERVALUE(_xlfn.XLOOKUP(1,(OFFSET(IN_Verknüpfungen!$O$4,0,0,IN_Verknüpfungen!$A$2,1)=$A62)*(OFFSET(IN_Verknüpfungen!$P$4,0,0,IN_Verknüpfungen!$A$2,1)=T$3+1),OFFSET(IN_Verknüpfungen!$F$4,0,0,IN_Verknüpfungen!$A$2,1)))-SUM($G62:S62)</f>
        <v>#N/A</v>
      </c>
      <c r="U62" s="70" t="e" cm="1">
        <f t="array" aca="1" ref="U62" ca="1">_xlfn.NUMBERVALUE(_xlfn.XLOOKUP(1,(OFFSET(IN_Verknüpfungen!$O$4,0,0,IN_Verknüpfungen!$A$2,1)=$A62)*(OFFSET(IN_Verknüpfungen!$P$4,0,0,IN_Verknüpfungen!$A$2,1)=V$3),OFFSET(IN_Verknüpfungen!$J$4,0,0,IN_Verknüpfungen!$A$2,1)))-SUM($G62:T62)</f>
        <v>#N/A</v>
      </c>
      <c r="V62" s="70" t="e" cm="1">
        <f t="array" aca="1" ref="V62" ca="1">_xlfn.NUMBERVALUE(_xlfn.XLOOKUP(1,(OFFSET(IN_Verknüpfungen!$O$4,0,0,IN_Verknüpfungen!$A$2,1)=$A62)*(OFFSET(IN_Verknüpfungen!$P$4,0,0,IN_Verknüpfungen!$A$2,1)=V$3+1),OFFSET(IN_Verknüpfungen!$F$4,0,0,IN_Verknüpfungen!$A$2,1)))-SUM($G62:U62)</f>
        <v>#N/A</v>
      </c>
      <c r="W62" s="70" t="e" cm="1">
        <f t="array" aca="1" ref="W62" ca="1">_xlfn.NUMBERVALUE(_xlfn.XLOOKUP(1,(OFFSET(IN_Verknüpfungen!$O$4,0,0,IN_Verknüpfungen!$A$2,1)=$A62)*(OFFSET(IN_Verknüpfungen!$P$4,0,0,IN_Verknüpfungen!$A$2,1)=X$3),OFFSET(IN_Verknüpfungen!$J$4,0,0,IN_Verknüpfungen!$A$2,1)))-SUM($G62:V62)</f>
        <v>#N/A</v>
      </c>
      <c r="X62" s="70" t="e" cm="1">
        <f t="array" aca="1" ref="X62" ca="1">_xlfn.NUMBERVALUE(_xlfn.XLOOKUP(1,(OFFSET(IN_Verknüpfungen!$O$4,0,0,IN_Verknüpfungen!$A$2,1)=$A62)*(OFFSET(IN_Verknüpfungen!$P$4,0,0,IN_Verknüpfungen!$A$2,1)=X$3+1),OFFSET(IN_Verknüpfungen!$F$4,0,0,IN_Verknüpfungen!$A$2,1)))-SUM($G62:W62)</f>
        <v>#N/A</v>
      </c>
      <c r="Y62" s="70" t="e" cm="1">
        <f t="array" aca="1" ref="Y62" ca="1">_xlfn.NUMBERVALUE(_xlfn.XLOOKUP(1,(OFFSET(IN_Verknüpfungen!$O$4,0,0,IN_Verknüpfungen!$A$2,1)=$A62)*(OFFSET(IN_Verknüpfungen!$P$4,0,0,IN_Verknüpfungen!$A$2,1)=Z$3),OFFSET(IN_Verknüpfungen!$J$4,0,0,IN_Verknüpfungen!$A$2,1)))-SUM($G62:X62)</f>
        <v>#N/A</v>
      </c>
      <c r="Z62" s="70" t="e" cm="1">
        <f t="array" aca="1" ref="Z62" ca="1">_xlfn.NUMBERVALUE(_xlfn.XLOOKUP(1,(OFFSET(IN_Verknüpfungen!$O$4,0,0,IN_Verknüpfungen!$A$2,1)=$A62)*(OFFSET(IN_Verknüpfungen!$P$4,0,0,IN_Verknüpfungen!$A$2,1)=Z$3+1),OFFSET(IN_Verknüpfungen!$F$4,0,0,IN_Verknüpfungen!$A$2,1)))-SUM($G62:Y62)</f>
        <v>#N/A</v>
      </c>
      <c r="AA62" s="70" t="e" cm="1">
        <f t="array" aca="1" ref="AA62" ca="1">_xlfn.NUMBERVALUE(_xlfn.XLOOKUP(1,(OFFSET(IN_Verknüpfungen!$O$4,0,0,IN_Verknüpfungen!$A$2,1)=$A62)*(OFFSET(IN_Verknüpfungen!$P$4,0,0,IN_Verknüpfungen!$A$2,1)=AB$3),OFFSET(IN_Verknüpfungen!$J$4,0,0,IN_Verknüpfungen!$A$2,1)))-SUM($G62:Z62)</f>
        <v>#N/A</v>
      </c>
      <c r="AB62" s="70" t="e" cm="1">
        <f t="array" aca="1" ref="AB62" ca="1">_xlfn.NUMBERVALUE(_xlfn.XLOOKUP(1,(OFFSET(IN_Verknüpfungen!$O$4,0,0,IN_Verknüpfungen!$A$2,1)=$A62)*(OFFSET(IN_Verknüpfungen!$P$4,0,0,IN_Verknüpfungen!$A$2,1)=AB$3+1),OFFSET(IN_Verknüpfungen!$F$4,0,0,IN_Verknüpfungen!$A$2,1)))-SUM($G62:AA62)</f>
        <v>#N/A</v>
      </c>
    </row>
    <row r="63" spans="1:28" x14ac:dyDescent="0.2">
      <c r="A63" s="56" t="str">
        <f ca="1"/>
        <v>Composition 60</v>
      </c>
      <c r="B63" s="55" t="str" cm="1">
        <f t="array" aca="1" ref="B63" ca="1">IF(A63&lt;&gt;"",_xlfn.XLOOKUP(Laufwege!A63,OFFSET(IN_Verknüpfungen!L$4,0,0,IN_Verknüpfungen!A$2,1),OFFSET(IN_Verknüpfungen!N$4,0,0,IN_Verknüpfungen!A$2,1),""),"")</f>
        <v>462-1.0</v>
      </c>
      <c r="C63" s="55">
        <f ca="1">IF(A63&lt;&gt;"",SUMIFS(OFFSET(IN_Verknüpfungen!M$4,0,0,IN_Verknüpfungen!A$2,1),OFFSET(IN_Verknüpfungen!O$4,0,0,IN_Verknüpfungen!A$2,1),Laufwege!A63),0)</f>
        <v>483168</v>
      </c>
      <c r="D63" s="55" cm="1">
        <f t="array" aca="1" ref="D63" ca="1">IF(B63&lt;&gt;"",_xlfn.XLOOKUP(B63,OFFSET(IN_Stammdaten!$A$4,0,0,IN_Stammdaten!$A$2,1),OFFSET(IN_Stammdaten!$C$4,0,0,IN_Stammdaten!$A$2,1),""),"")</f>
        <v>0</v>
      </c>
      <c r="E63" s="55" t="str">
        <f t="shared" ca="1" si="0"/>
        <v>nein</v>
      </c>
      <c r="F63" s="69" t="str">
        <f t="shared" ca="1" si="1"/>
        <v>Composition 60 (462-1.0)</v>
      </c>
      <c r="G63" s="70" cm="1">
        <f t="array" aca="1" ref="G63" ca="1">_xlfn.NUMBERVALUE(_xlfn.XLOOKUP(A63,OFFSET(IN_Verknüpfungen!$L$4,0,0,IN_Verknüpfungen!$A$2,1),OFFSET(IN_Verknüpfungen!$Q$4,0,0,IN_Verknüpfungen!$A$2,1)))</f>
        <v>0.23749999999999999</v>
      </c>
      <c r="H63" s="70" cm="1">
        <f t="array" aca="1" ref="H63" ca="1">_xlfn.NUMBERVALUE(_xlfn.XLOOKUP(A63,OFFSET(IN_Verknüpfungen!$L$4,0,0,IN_Verknüpfungen!$A$2,1),OFFSET(IN_Verknüpfungen!$F$4,0,0,IN_Verknüpfungen!$A$2,1)))-G63</f>
        <v>9.3402777777777779E-2</v>
      </c>
      <c r="I63" s="70" cm="1">
        <f t="array" aca="1" ref="I63" ca="1">_xlfn.NUMBERVALUE(_xlfn.XLOOKUP(1,(OFFSET(IN_Verknüpfungen!$O$4,0,0,IN_Verknüpfungen!$A$2,1)=$A63)*(OFFSET(IN_Verknüpfungen!$P$4,0,0,IN_Verknüpfungen!$A$2,1)=J$3),OFFSET(IN_Verknüpfungen!$J$4,0,0,IN_Verknüpfungen!$A$2,1)))-SUM($G63:H63)</f>
        <v>1.9699074074074063E-2</v>
      </c>
      <c r="J63" s="70" cm="1">
        <f t="array" aca="1" ref="J63" ca="1">_xlfn.NUMBERVALUE(_xlfn.XLOOKUP(1,(OFFSET(IN_Verknüpfungen!$O$4,0,0,IN_Verknüpfungen!$A$2,1)=$A63)*(OFFSET(IN_Verknüpfungen!$P$4,0,0,IN_Verknüpfungen!$A$2,1)=J$3+1),OFFSET(IN_Verknüpfungen!$F$4,0,0,IN_Verknüpfungen!$A$2,1)))-SUM($G63:I63)</f>
        <v>8.3414351851851865E-2</v>
      </c>
      <c r="K63" s="70" cm="1">
        <f t="array" aca="1" ref="K63" ca="1">_xlfn.NUMBERVALUE(_xlfn.XLOOKUP(1,(OFFSET(IN_Verknüpfungen!$O$4,0,0,IN_Verknüpfungen!$A$2,1)=$A63)*(OFFSET(IN_Verknüpfungen!$P$4,0,0,IN_Verknüpfungen!$A$2,1)=L$3),OFFSET(IN_Verknüpfungen!$J$4,0,0,IN_Verknüpfungen!$A$2,1)))-SUM($G63:J63)</f>
        <v>2.3622685185185177E-2</v>
      </c>
      <c r="L63" s="70" cm="1">
        <f t="array" aca="1" ref="L63" ca="1">_xlfn.NUMBERVALUE(_xlfn.XLOOKUP(1,(OFFSET(IN_Verknüpfungen!$O$4,0,0,IN_Verknüpfungen!$A$2,1)=$A63)*(OFFSET(IN_Verknüpfungen!$P$4,0,0,IN_Verknüpfungen!$A$2,1)=L$3+1),OFFSET(IN_Verknüpfungen!$F$4,0,0,IN_Verknüpfungen!$A$2,1)))-SUM($G63:K63)</f>
        <v>8.1597222222222265E-2</v>
      </c>
      <c r="M63" s="70" cm="1">
        <f t="array" aca="1" ref="M63" ca="1">_xlfn.NUMBERVALUE(_xlfn.XLOOKUP(1,(OFFSET(IN_Verknüpfungen!$O$4,0,0,IN_Verknüpfungen!$A$2,1)=$A63)*(OFFSET(IN_Verknüpfungen!$P$4,0,0,IN_Verknüpfungen!$A$2,1)=N$3),OFFSET(IN_Verknüpfungen!$J$4,0,0,IN_Verknüpfungen!$A$2,1)))-SUM($G63:L63)</f>
        <v>1.9699074074074008E-2</v>
      </c>
      <c r="N63" s="70" t="e" cm="1">
        <f t="array" aca="1" ref="N63" ca="1">_xlfn.NUMBERVALUE(_xlfn.XLOOKUP(1,(OFFSET(IN_Verknüpfungen!$O$4,0,0,IN_Verknüpfungen!$A$2,1)=$A63)*(OFFSET(IN_Verknüpfungen!$P$4,0,0,IN_Verknüpfungen!$A$2,1)=N$3+1),OFFSET(IN_Verknüpfungen!$F$4,0,0,IN_Verknüpfungen!$A$2,1)))-SUM($G63:M63)</f>
        <v>#N/A</v>
      </c>
      <c r="O63" s="70" t="e" cm="1">
        <f t="array" aca="1" ref="O63" ca="1">_xlfn.NUMBERVALUE(_xlfn.XLOOKUP(1,(OFFSET(IN_Verknüpfungen!$O$4,0,0,IN_Verknüpfungen!$A$2,1)=$A63)*(OFFSET(IN_Verknüpfungen!$P$4,0,0,IN_Verknüpfungen!$A$2,1)=P$3),OFFSET(IN_Verknüpfungen!$J$4,0,0,IN_Verknüpfungen!$A$2,1)))-SUM($G63:N63)</f>
        <v>#N/A</v>
      </c>
      <c r="P63" s="70" t="e" cm="1">
        <f t="array" aca="1" ref="P63" ca="1">_xlfn.NUMBERVALUE(_xlfn.XLOOKUP(1,(OFFSET(IN_Verknüpfungen!$O$4,0,0,IN_Verknüpfungen!$A$2,1)=$A63)*(OFFSET(IN_Verknüpfungen!$P$4,0,0,IN_Verknüpfungen!$A$2,1)=P$3+1),OFFSET(IN_Verknüpfungen!$F$4,0,0,IN_Verknüpfungen!$A$2,1)))-SUM($G63:O63)</f>
        <v>#N/A</v>
      </c>
      <c r="Q63" s="70" t="e" cm="1">
        <f t="array" aca="1" ref="Q63" ca="1">_xlfn.NUMBERVALUE(_xlfn.XLOOKUP(1,(OFFSET(IN_Verknüpfungen!$O$4,0,0,IN_Verknüpfungen!$A$2,1)=$A63)*(OFFSET(IN_Verknüpfungen!$P$4,0,0,IN_Verknüpfungen!$A$2,1)=R$3),OFFSET(IN_Verknüpfungen!$J$4,0,0,IN_Verknüpfungen!$A$2,1)))-SUM($G63:P63)</f>
        <v>#N/A</v>
      </c>
      <c r="R63" s="70" t="e" cm="1">
        <f t="array" aca="1" ref="R63" ca="1">_xlfn.NUMBERVALUE(_xlfn.XLOOKUP(1,(OFFSET(IN_Verknüpfungen!$O$4,0,0,IN_Verknüpfungen!$A$2,1)=$A63)*(OFFSET(IN_Verknüpfungen!$P$4,0,0,IN_Verknüpfungen!$A$2,1)=R$3+1),OFFSET(IN_Verknüpfungen!$F$4,0,0,IN_Verknüpfungen!$A$2,1)))-SUM($G63:Q63)</f>
        <v>#N/A</v>
      </c>
      <c r="S63" s="70" t="e" cm="1">
        <f t="array" aca="1" ref="S63" ca="1">_xlfn.NUMBERVALUE(_xlfn.XLOOKUP(1,(OFFSET(IN_Verknüpfungen!$O$4,0,0,IN_Verknüpfungen!$A$2,1)=$A63)*(OFFSET(IN_Verknüpfungen!$P$4,0,0,IN_Verknüpfungen!$A$2,1)=T$3),OFFSET(IN_Verknüpfungen!$J$4,0,0,IN_Verknüpfungen!$A$2,1)))-SUM($G63:R63)</f>
        <v>#N/A</v>
      </c>
      <c r="T63" s="70" t="e" cm="1">
        <f t="array" aca="1" ref="T63" ca="1">_xlfn.NUMBERVALUE(_xlfn.XLOOKUP(1,(OFFSET(IN_Verknüpfungen!$O$4,0,0,IN_Verknüpfungen!$A$2,1)=$A63)*(OFFSET(IN_Verknüpfungen!$P$4,0,0,IN_Verknüpfungen!$A$2,1)=T$3+1),OFFSET(IN_Verknüpfungen!$F$4,0,0,IN_Verknüpfungen!$A$2,1)))-SUM($G63:S63)</f>
        <v>#N/A</v>
      </c>
      <c r="U63" s="70" t="e" cm="1">
        <f t="array" aca="1" ref="U63" ca="1">_xlfn.NUMBERVALUE(_xlfn.XLOOKUP(1,(OFFSET(IN_Verknüpfungen!$O$4,0,0,IN_Verknüpfungen!$A$2,1)=$A63)*(OFFSET(IN_Verknüpfungen!$P$4,0,0,IN_Verknüpfungen!$A$2,1)=V$3),OFFSET(IN_Verknüpfungen!$J$4,0,0,IN_Verknüpfungen!$A$2,1)))-SUM($G63:T63)</f>
        <v>#N/A</v>
      </c>
      <c r="V63" s="70" t="e" cm="1">
        <f t="array" aca="1" ref="V63" ca="1">_xlfn.NUMBERVALUE(_xlfn.XLOOKUP(1,(OFFSET(IN_Verknüpfungen!$O$4,0,0,IN_Verknüpfungen!$A$2,1)=$A63)*(OFFSET(IN_Verknüpfungen!$P$4,0,0,IN_Verknüpfungen!$A$2,1)=V$3+1),OFFSET(IN_Verknüpfungen!$F$4,0,0,IN_Verknüpfungen!$A$2,1)))-SUM($G63:U63)</f>
        <v>#N/A</v>
      </c>
      <c r="W63" s="70" t="e" cm="1">
        <f t="array" aca="1" ref="W63" ca="1">_xlfn.NUMBERVALUE(_xlfn.XLOOKUP(1,(OFFSET(IN_Verknüpfungen!$O$4,0,0,IN_Verknüpfungen!$A$2,1)=$A63)*(OFFSET(IN_Verknüpfungen!$P$4,0,0,IN_Verknüpfungen!$A$2,1)=X$3),OFFSET(IN_Verknüpfungen!$J$4,0,0,IN_Verknüpfungen!$A$2,1)))-SUM($G63:V63)</f>
        <v>#N/A</v>
      </c>
      <c r="X63" s="70" t="e" cm="1">
        <f t="array" aca="1" ref="X63" ca="1">_xlfn.NUMBERVALUE(_xlfn.XLOOKUP(1,(OFFSET(IN_Verknüpfungen!$O$4,0,0,IN_Verknüpfungen!$A$2,1)=$A63)*(OFFSET(IN_Verknüpfungen!$P$4,0,0,IN_Verknüpfungen!$A$2,1)=X$3+1),OFFSET(IN_Verknüpfungen!$F$4,0,0,IN_Verknüpfungen!$A$2,1)))-SUM($G63:W63)</f>
        <v>#N/A</v>
      </c>
      <c r="Y63" s="70" t="e" cm="1">
        <f t="array" aca="1" ref="Y63" ca="1">_xlfn.NUMBERVALUE(_xlfn.XLOOKUP(1,(OFFSET(IN_Verknüpfungen!$O$4,0,0,IN_Verknüpfungen!$A$2,1)=$A63)*(OFFSET(IN_Verknüpfungen!$P$4,0,0,IN_Verknüpfungen!$A$2,1)=Z$3),OFFSET(IN_Verknüpfungen!$J$4,0,0,IN_Verknüpfungen!$A$2,1)))-SUM($G63:X63)</f>
        <v>#N/A</v>
      </c>
      <c r="Z63" s="70" t="e" cm="1">
        <f t="array" aca="1" ref="Z63" ca="1">_xlfn.NUMBERVALUE(_xlfn.XLOOKUP(1,(OFFSET(IN_Verknüpfungen!$O$4,0,0,IN_Verknüpfungen!$A$2,1)=$A63)*(OFFSET(IN_Verknüpfungen!$P$4,0,0,IN_Verknüpfungen!$A$2,1)=Z$3+1),OFFSET(IN_Verknüpfungen!$F$4,0,0,IN_Verknüpfungen!$A$2,1)))-SUM($G63:Y63)</f>
        <v>#N/A</v>
      </c>
      <c r="AA63" s="70" t="e" cm="1">
        <f t="array" aca="1" ref="AA63" ca="1">_xlfn.NUMBERVALUE(_xlfn.XLOOKUP(1,(OFFSET(IN_Verknüpfungen!$O$4,0,0,IN_Verknüpfungen!$A$2,1)=$A63)*(OFFSET(IN_Verknüpfungen!$P$4,0,0,IN_Verknüpfungen!$A$2,1)=AB$3),OFFSET(IN_Verknüpfungen!$J$4,0,0,IN_Verknüpfungen!$A$2,1)))-SUM($G63:Z63)</f>
        <v>#N/A</v>
      </c>
      <c r="AB63" s="70" t="e" cm="1">
        <f t="array" aca="1" ref="AB63" ca="1">_xlfn.NUMBERVALUE(_xlfn.XLOOKUP(1,(OFFSET(IN_Verknüpfungen!$O$4,0,0,IN_Verknüpfungen!$A$2,1)=$A63)*(OFFSET(IN_Verknüpfungen!$P$4,0,0,IN_Verknüpfungen!$A$2,1)=AB$3+1),OFFSET(IN_Verknüpfungen!$F$4,0,0,IN_Verknüpfungen!$A$2,1)))-SUM($G63:AA63)</f>
        <v>#N/A</v>
      </c>
    </row>
    <row r="64" spans="1:28" x14ac:dyDescent="0.2">
      <c r="A64" s="56" t="str">
        <f ca="1"/>
        <v>Composition 61</v>
      </c>
      <c r="B64" s="55" t="str" cm="1">
        <f t="array" aca="1" ref="B64" ca="1">IF(A64&lt;&gt;"",_xlfn.XLOOKUP(Laufwege!A64,OFFSET(IN_Verknüpfungen!L$4,0,0,IN_Verknüpfungen!A$2,1),OFFSET(IN_Verknüpfungen!N$4,0,0,IN_Verknüpfungen!A$2,1),""),"")</f>
        <v>462-1.0</v>
      </c>
      <c r="C64" s="55">
        <f ca="1">IF(A64&lt;&gt;"",SUMIFS(OFFSET(IN_Verknüpfungen!M$4,0,0,IN_Verknüpfungen!A$2,1),OFFSET(IN_Verknüpfungen!O$4,0,0,IN_Verknüpfungen!A$2,1),Laufwege!A64),0)</f>
        <v>628934</v>
      </c>
      <c r="D64" s="55" cm="1">
        <f t="array" aca="1" ref="D64" ca="1">IF(B64&lt;&gt;"",_xlfn.XLOOKUP(B64,OFFSET(IN_Stammdaten!$A$4,0,0,IN_Stammdaten!$A$2,1),OFFSET(IN_Stammdaten!$C$4,0,0,IN_Stammdaten!$A$2,1),""),"")</f>
        <v>0</v>
      </c>
      <c r="E64" s="55" t="str">
        <f t="shared" ca="1" si="0"/>
        <v>nein</v>
      </c>
      <c r="F64" s="69" t="str">
        <f t="shared" ca="1" si="1"/>
        <v>Composition 61 (462-1.0)</v>
      </c>
      <c r="G64" s="70" cm="1">
        <f t="array" aca="1" ref="G64" ca="1">_xlfn.NUMBERVALUE(_xlfn.XLOOKUP(A64,OFFSET(IN_Verknüpfungen!$L$4,0,0,IN_Verknüpfungen!$A$2,1),OFFSET(IN_Verknüpfungen!$Q$4,0,0,IN_Verknüpfungen!$A$2,1)))</f>
        <v>0.22418981481481481</v>
      </c>
      <c r="H64" s="70" cm="1">
        <f t="array" aca="1" ref="H64" ca="1">_xlfn.NUMBERVALUE(_xlfn.XLOOKUP(A64,OFFSET(IN_Verknüpfungen!$L$4,0,0,IN_Verknüpfungen!$A$2,1),OFFSET(IN_Verknüpfungen!$F$4,0,0,IN_Verknüpfungen!$A$2,1)))-G64</f>
        <v>0.11208333333333331</v>
      </c>
      <c r="I64" s="70" cm="1">
        <f t="array" aca="1" ref="I64" ca="1">_xlfn.NUMBERVALUE(_xlfn.XLOOKUP(1,(OFFSET(IN_Verknüpfungen!$O$4,0,0,IN_Verknüpfungen!$A$2,1)=$A64)*(OFFSET(IN_Verknüpfungen!$P$4,0,0,IN_Verknüpfungen!$A$2,1)=J$3),OFFSET(IN_Verknüpfungen!$J$4,0,0,IN_Verknüpfungen!$A$2,1)))-SUM($G64:H64)</f>
        <v>1.0601851851851862E-2</v>
      </c>
      <c r="J64" s="70" cm="1">
        <f t="array" aca="1" ref="J64" ca="1">_xlfn.NUMBERVALUE(_xlfn.XLOOKUP(1,(OFFSET(IN_Verknüpfungen!$O$4,0,0,IN_Verknüpfungen!$A$2,1)=$A64)*(OFFSET(IN_Verknüpfungen!$P$4,0,0,IN_Verknüpfungen!$A$2,1)=J$3+1),OFFSET(IN_Verknüpfungen!$F$4,0,0,IN_Verknüpfungen!$A$2,1)))-SUM($G64:I64)</f>
        <v>0.10043981481481484</v>
      </c>
      <c r="K64" s="70" cm="1">
        <f t="array" aca="1" ref="K64" ca="1">_xlfn.NUMBERVALUE(_xlfn.XLOOKUP(1,(OFFSET(IN_Verknüpfungen!$O$4,0,0,IN_Verknüpfungen!$A$2,1)=$A64)*(OFFSET(IN_Verknüpfungen!$P$4,0,0,IN_Verknüpfungen!$A$2,1)=L$3),OFFSET(IN_Verknüpfungen!$J$4,0,0,IN_Verknüpfungen!$A$2,1)))-SUM($G64:J64)</f>
        <v>1.2847222222222232E-2</v>
      </c>
      <c r="L64" s="70" cm="1">
        <f t="array" aca="1" ref="L64" ca="1">_xlfn.NUMBERVALUE(_xlfn.XLOOKUP(1,(OFFSET(IN_Verknüpfungen!$O$4,0,0,IN_Verknüpfungen!$A$2,1)=$A64)*(OFFSET(IN_Verknüpfungen!$P$4,0,0,IN_Verknüpfungen!$A$2,1)=L$3+1),OFFSET(IN_Verknüpfungen!$F$4,0,0,IN_Verknüpfungen!$A$2,1)))-SUM($G64:K64)</f>
        <v>0.10399305555555549</v>
      </c>
      <c r="M64" s="70" cm="1">
        <f t="array" aca="1" ref="M64" ca="1">_xlfn.NUMBERVALUE(_xlfn.XLOOKUP(1,(OFFSET(IN_Verknüpfungen!$O$4,0,0,IN_Verknüpfungen!$A$2,1)=$A64)*(OFFSET(IN_Verknüpfungen!$P$4,0,0,IN_Verknüpfungen!$A$2,1)=N$3),OFFSET(IN_Verknüpfungen!$J$4,0,0,IN_Verknüpfungen!$A$2,1)))-SUM($G64:L64)</f>
        <v>1.1886574074074119E-2</v>
      </c>
      <c r="N64" s="70" t="e" cm="1">
        <f t="array" aca="1" ref="N64" ca="1">_xlfn.NUMBERVALUE(_xlfn.XLOOKUP(1,(OFFSET(IN_Verknüpfungen!$O$4,0,0,IN_Verknüpfungen!$A$2,1)=$A64)*(OFFSET(IN_Verknüpfungen!$P$4,0,0,IN_Verknüpfungen!$A$2,1)=N$3+1),OFFSET(IN_Verknüpfungen!$F$4,0,0,IN_Verknüpfungen!$A$2,1)))-SUM($G64:M64)</f>
        <v>#N/A</v>
      </c>
      <c r="O64" s="70" t="e" cm="1">
        <f t="array" aca="1" ref="O64" ca="1">_xlfn.NUMBERVALUE(_xlfn.XLOOKUP(1,(OFFSET(IN_Verknüpfungen!$O$4,0,0,IN_Verknüpfungen!$A$2,1)=$A64)*(OFFSET(IN_Verknüpfungen!$P$4,0,0,IN_Verknüpfungen!$A$2,1)=P$3),OFFSET(IN_Verknüpfungen!$J$4,0,0,IN_Verknüpfungen!$A$2,1)))-SUM($G64:N64)</f>
        <v>#N/A</v>
      </c>
      <c r="P64" s="70" t="e" cm="1">
        <f t="array" aca="1" ref="P64" ca="1">_xlfn.NUMBERVALUE(_xlfn.XLOOKUP(1,(OFFSET(IN_Verknüpfungen!$O$4,0,0,IN_Verknüpfungen!$A$2,1)=$A64)*(OFFSET(IN_Verknüpfungen!$P$4,0,0,IN_Verknüpfungen!$A$2,1)=P$3+1),OFFSET(IN_Verknüpfungen!$F$4,0,0,IN_Verknüpfungen!$A$2,1)))-SUM($G64:O64)</f>
        <v>#N/A</v>
      </c>
      <c r="Q64" s="70" t="e" cm="1">
        <f t="array" aca="1" ref="Q64" ca="1">_xlfn.NUMBERVALUE(_xlfn.XLOOKUP(1,(OFFSET(IN_Verknüpfungen!$O$4,0,0,IN_Verknüpfungen!$A$2,1)=$A64)*(OFFSET(IN_Verknüpfungen!$P$4,0,0,IN_Verknüpfungen!$A$2,1)=R$3),OFFSET(IN_Verknüpfungen!$J$4,0,0,IN_Verknüpfungen!$A$2,1)))-SUM($G64:P64)</f>
        <v>#N/A</v>
      </c>
      <c r="R64" s="70" t="e" cm="1">
        <f t="array" aca="1" ref="R64" ca="1">_xlfn.NUMBERVALUE(_xlfn.XLOOKUP(1,(OFFSET(IN_Verknüpfungen!$O$4,0,0,IN_Verknüpfungen!$A$2,1)=$A64)*(OFFSET(IN_Verknüpfungen!$P$4,0,0,IN_Verknüpfungen!$A$2,1)=R$3+1),OFFSET(IN_Verknüpfungen!$F$4,0,0,IN_Verknüpfungen!$A$2,1)))-SUM($G64:Q64)</f>
        <v>#N/A</v>
      </c>
      <c r="S64" s="70" t="e" cm="1">
        <f t="array" aca="1" ref="S64" ca="1">_xlfn.NUMBERVALUE(_xlfn.XLOOKUP(1,(OFFSET(IN_Verknüpfungen!$O$4,0,0,IN_Verknüpfungen!$A$2,1)=$A64)*(OFFSET(IN_Verknüpfungen!$P$4,0,0,IN_Verknüpfungen!$A$2,1)=T$3),OFFSET(IN_Verknüpfungen!$J$4,0,0,IN_Verknüpfungen!$A$2,1)))-SUM($G64:R64)</f>
        <v>#N/A</v>
      </c>
      <c r="T64" s="70" t="e" cm="1">
        <f t="array" aca="1" ref="T64" ca="1">_xlfn.NUMBERVALUE(_xlfn.XLOOKUP(1,(OFFSET(IN_Verknüpfungen!$O$4,0,0,IN_Verknüpfungen!$A$2,1)=$A64)*(OFFSET(IN_Verknüpfungen!$P$4,0,0,IN_Verknüpfungen!$A$2,1)=T$3+1),OFFSET(IN_Verknüpfungen!$F$4,0,0,IN_Verknüpfungen!$A$2,1)))-SUM($G64:S64)</f>
        <v>#N/A</v>
      </c>
      <c r="U64" s="70" t="e" cm="1">
        <f t="array" aca="1" ref="U64" ca="1">_xlfn.NUMBERVALUE(_xlfn.XLOOKUP(1,(OFFSET(IN_Verknüpfungen!$O$4,0,0,IN_Verknüpfungen!$A$2,1)=$A64)*(OFFSET(IN_Verknüpfungen!$P$4,0,0,IN_Verknüpfungen!$A$2,1)=V$3),OFFSET(IN_Verknüpfungen!$J$4,0,0,IN_Verknüpfungen!$A$2,1)))-SUM($G64:T64)</f>
        <v>#N/A</v>
      </c>
      <c r="V64" s="70" t="e" cm="1">
        <f t="array" aca="1" ref="V64" ca="1">_xlfn.NUMBERVALUE(_xlfn.XLOOKUP(1,(OFFSET(IN_Verknüpfungen!$O$4,0,0,IN_Verknüpfungen!$A$2,1)=$A64)*(OFFSET(IN_Verknüpfungen!$P$4,0,0,IN_Verknüpfungen!$A$2,1)=V$3+1),OFFSET(IN_Verknüpfungen!$F$4,0,0,IN_Verknüpfungen!$A$2,1)))-SUM($G64:U64)</f>
        <v>#N/A</v>
      </c>
      <c r="W64" s="70" t="e" cm="1">
        <f t="array" aca="1" ref="W64" ca="1">_xlfn.NUMBERVALUE(_xlfn.XLOOKUP(1,(OFFSET(IN_Verknüpfungen!$O$4,0,0,IN_Verknüpfungen!$A$2,1)=$A64)*(OFFSET(IN_Verknüpfungen!$P$4,0,0,IN_Verknüpfungen!$A$2,1)=X$3),OFFSET(IN_Verknüpfungen!$J$4,0,0,IN_Verknüpfungen!$A$2,1)))-SUM($G64:V64)</f>
        <v>#N/A</v>
      </c>
      <c r="X64" s="70" t="e" cm="1">
        <f t="array" aca="1" ref="X64" ca="1">_xlfn.NUMBERVALUE(_xlfn.XLOOKUP(1,(OFFSET(IN_Verknüpfungen!$O$4,0,0,IN_Verknüpfungen!$A$2,1)=$A64)*(OFFSET(IN_Verknüpfungen!$P$4,0,0,IN_Verknüpfungen!$A$2,1)=X$3+1),OFFSET(IN_Verknüpfungen!$F$4,0,0,IN_Verknüpfungen!$A$2,1)))-SUM($G64:W64)</f>
        <v>#N/A</v>
      </c>
      <c r="Y64" s="70" t="e" cm="1">
        <f t="array" aca="1" ref="Y64" ca="1">_xlfn.NUMBERVALUE(_xlfn.XLOOKUP(1,(OFFSET(IN_Verknüpfungen!$O$4,0,0,IN_Verknüpfungen!$A$2,1)=$A64)*(OFFSET(IN_Verknüpfungen!$P$4,0,0,IN_Verknüpfungen!$A$2,1)=Z$3),OFFSET(IN_Verknüpfungen!$J$4,0,0,IN_Verknüpfungen!$A$2,1)))-SUM($G64:X64)</f>
        <v>#N/A</v>
      </c>
      <c r="Z64" s="70" t="e" cm="1">
        <f t="array" aca="1" ref="Z64" ca="1">_xlfn.NUMBERVALUE(_xlfn.XLOOKUP(1,(OFFSET(IN_Verknüpfungen!$O$4,0,0,IN_Verknüpfungen!$A$2,1)=$A64)*(OFFSET(IN_Verknüpfungen!$P$4,0,0,IN_Verknüpfungen!$A$2,1)=Z$3+1),OFFSET(IN_Verknüpfungen!$F$4,0,0,IN_Verknüpfungen!$A$2,1)))-SUM($G64:Y64)</f>
        <v>#N/A</v>
      </c>
      <c r="AA64" s="70" t="e" cm="1">
        <f t="array" aca="1" ref="AA64" ca="1">_xlfn.NUMBERVALUE(_xlfn.XLOOKUP(1,(OFFSET(IN_Verknüpfungen!$O$4,0,0,IN_Verknüpfungen!$A$2,1)=$A64)*(OFFSET(IN_Verknüpfungen!$P$4,0,0,IN_Verknüpfungen!$A$2,1)=AB$3),OFFSET(IN_Verknüpfungen!$J$4,0,0,IN_Verknüpfungen!$A$2,1)))-SUM($G64:Z64)</f>
        <v>#N/A</v>
      </c>
      <c r="AB64" s="70" t="e" cm="1">
        <f t="array" aca="1" ref="AB64" ca="1">_xlfn.NUMBERVALUE(_xlfn.XLOOKUP(1,(OFFSET(IN_Verknüpfungen!$O$4,0,0,IN_Verknüpfungen!$A$2,1)=$A64)*(OFFSET(IN_Verknüpfungen!$P$4,0,0,IN_Verknüpfungen!$A$2,1)=AB$3+1),OFFSET(IN_Verknüpfungen!$F$4,0,0,IN_Verknüpfungen!$A$2,1)))-SUM($G64:AA64)</f>
        <v>#N/A</v>
      </c>
    </row>
    <row r="65" spans="1:28" x14ac:dyDescent="0.2">
      <c r="A65" s="56" t="str">
        <f ca="1"/>
        <v>Composition 62</v>
      </c>
      <c r="B65" s="55" t="str" cm="1">
        <f t="array" aca="1" ref="B65" ca="1">IF(A65&lt;&gt;"",_xlfn.XLOOKUP(Laufwege!A65,OFFSET(IN_Verknüpfungen!L$4,0,0,IN_Verknüpfungen!A$2,1),OFFSET(IN_Verknüpfungen!N$4,0,0,IN_Verknüpfungen!A$2,1),""),"")</f>
        <v>462-1.0</v>
      </c>
      <c r="C65" s="55">
        <f ca="1">IF(A65&lt;&gt;"",SUMIFS(OFFSET(IN_Verknüpfungen!M$4,0,0,IN_Verknüpfungen!A$2,1),OFFSET(IN_Verknüpfungen!O$4,0,0,IN_Verknüpfungen!A$2,1),Laufwege!A65),0)</f>
        <v>638966</v>
      </c>
      <c r="D65" s="55" cm="1">
        <f t="array" aca="1" ref="D65" ca="1">IF(B65&lt;&gt;"",_xlfn.XLOOKUP(B65,OFFSET(IN_Stammdaten!$A$4,0,0,IN_Stammdaten!$A$2,1),OFFSET(IN_Stammdaten!$C$4,0,0,IN_Stammdaten!$A$2,1),""),"")</f>
        <v>0</v>
      </c>
      <c r="E65" s="55" t="str">
        <f t="shared" ca="1" si="0"/>
        <v>nein</v>
      </c>
      <c r="F65" s="69" t="str">
        <f t="shared" ca="1" si="1"/>
        <v>Composition 62 (462-1.0)</v>
      </c>
      <c r="G65" s="70" cm="1">
        <f t="array" aca="1" ref="G65" ca="1">_xlfn.NUMBERVALUE(_xlfn.XLOOKUP(A65,OFFSET(IN_Verknüpfungen!$L$4,0,0,IN_Verknüpfungen!$A$2,1),OFFSET(IN_Verknüpfungen!$Q$4,0,0,IN_Verknüpfungen!$A$2,1)))</f>
        <v>0.22474537037037037</v>
      </c>
      <c r="H65" s="70" cm="1">
        <f t="array" aca="1" ref="H65" ca="1">_xlfn.NUMBERVALUE(_xlfn.XLOOKUP(A65,OFFSET(IN_Verknüpfungen!$L$4,0,0,IN_Verknüpfungen!$A$2,1),OFFSET(IN_Verknüpfungen!$F$4,0,0,IN_Verknüpfungen!$A$2,1)))-G65</f>
        <v>0.11238425925925924</v>
      </c>
      <c r="I65" s="70" cm="1">
        <f t="array" aca="1" ref="I65" ca="1">_xlfn.NUMBERVALUE(_xlfn.XLOOKUP(1,(OFFSET(IN_Verknüpfungen!$O$4,0,0,IN_Verknüpfungen!$A$2,1)=$A65)*(OFFSET(IN_Verknüpfungen!$P$4,0,0,IN_Verknüpfungen!$A$2,1)=J$3),OFFSET(IN_Verknüpfungen!$J$4,0,0,IN_Verknüpfungen!$A$2,1)))-SUM($G65:H65)</f>
        <v>1.0451388888888913E-2</v>
      </c>
      <c r="J65" s="70" cm="1">
        <f t="array" aca="1" ref="J65" ca="1">_xlfn.NUMBERVALUE(_xlfn.XLOOKUP(1,(OFFSET(IN_Verknüpfungen!$O$4,0,0,IN_Verknüpfungen!$A$2,1)=$A65)*(OFFSET(IN_Verknüpfungen!$P$4,0,0,IN_Verknüpfungen!$A$2,1)=J$3+1),OFFSET(IN_Verknüpfungen!$F$4,0,0,IN_Verknüpfungen!$A$2,1)))-SUM($G65:I65)</f>
        <v>0.10249999999999998</v>
      </c>
      <c r="K65" s="70" cm="1">
        <f t="array" aca="1" ref="K65" ca="1">_xlfn.NUMBERVALUE(_xlfn.XLOOKUP(1,(OFFSET(IN_Verknüpfungen!$O$4,0,0,IN_Verknüpfungen!$A$2,1)=$A65)*(OFFSET(IN_Verknüpfungen!$P$4,0,0,IN_Verknüpfungen!$A$2,1)=L$3),OFFSET(IN_Verknüpfungen!$J$4,0,0,IN_Verknüpfungen!$A$2,1)))-SUM($G65:J65)</f>
        <v>7.0023148148148362E-3</v>
      </c>
      <c r="L65" s="70" cm="1">
        <f t="array" aca="1" ref="L65" ca="1">_xlfn.NUMBERVALUE(_xlfn.XLOOKUP(1,(OFFSET(IN_Verknüpfungen!$O$4,0,0,IN_Verknüpfungen!$A$2,1)=$A65)*(OFFSET(IN_Verknüpfungen!$P$4,0,0,IN_Verknüpfungen!$A$2,1)=L$3+1),OFFSET(IN_Verknüpfungen!$F$4,0,0,IN_Verknüpfungen!$A$2,1)))-SUM($G65:K65)</f>
        <v>0.10886574074074068</v>
      </c>
      <c r="M65" s="70" cm="1">
        <f t="array" aca="1" ref="M65" ca="1">_xlfn.NUMBERVALUE(_xlfn.XLOOKUP(1,(OFFSET(IN_Verknüpfungen!$O$4,0,0,IN_Verknüpfungen!$A$2,1)=$A65)*(OFFSET(IN_Verknüpfungen!$P$4,0,0,IN_Verknüpfungen!$A$2,1)=N$3),OFFSET(IN_Verknüpfungen!$J$4,0,0,IN_Verknüpfungen!$A$2,1)))-SUM($G65:L65)</f>
        <v>1.0451388888888968E-2</v>
      </c>
      <c r="N65" s="70" t="e" cm="1">
        <f t="array" aca="1" ref="N65" ca="1">_xlfn.NUMBERVALUE(_xlfn.XLOOKUP(1,(OFFSET(IN_Verknüpfungen!$O$4,0,0,IN_Verknüpfungen!$A$2,1)=$A65)*(OFFSET(IN_Verknüpfungen!$P$4,0,0,IN_Verknüpfungen!$A$2,1)=N$3+1),OFFSET(IN_Verknüpfungen!$F$4,0,0,IN_Verknüpfungen!$A$2,1)))-SUM($G65:M65)</f>
        <v>#N/A</v>
      </c>
      <c r="O65" s="70" t="e" cm="1">
        <f t="array" aca="1" ref="O65" ca="1">_xlfn.NUMBERVALUE(_xlfn.XLOOKUP(1,(OFFSET(IN_Verknüpfungen!$O$4,0,0,IN_Verknüpfungen!$A$2,1)=$A65)*(OFFSET(IN_Verknüpfungen!$P$4,0,0,IN_Verknüpfungen!$A$2,1)=P$3),OFFSET(IN_Verknüpfungen!$J$4,0,0,IN_Verknüpfungen!$A$2,1)))-SUM($G65:N65)</f>
        <v>#N/A</v>
      </c>
      <c r="P65" s="70" t="e" cm="1">
        <f t="array" aca="1" ref="P65" ca="1">_xlfn.NUMBERVALUE(_xlfn.XLOOKUP(1,(OFFSET(IN_Verknüpfungen!$O$4,0,0,IN_Verknüpfungen!$A$2,1)=$A65)*(OFFSET(IN_Verknüpfungen!$P$4,0,0,IN_Verknüpfungen!$A$2,1)=P$3+1),OFFSET(IN_Verknüpfungen!$F$4,0,0,IN_Verknüpfungen!$A$2,1)))-SUM($G65:O65)</f>
        <v>#N/A</v>
      </c>
      <c r="Q65" s="70" t="e" cm="1">
        <f t="array" aca="1" ref="Q65" ca="1">_xlfn.NUMBERVALUE(_xlfn.XLOOKUP(1,(OFFSET(IN_Verknüpfungen!$O$4,0,0,IN_Verknüpfungen!$A$2,1)=$A65)*(OFFSET(IN_Verknüpfungen!$P$4,0,0,IN_Verknüpfungen!$A$2,1)=R$3),OFFSET(IN_Verknüpfungen!$J$4,0,0,IN_Verknüpfungen!$A$2,1)))-SUM($G65:P65)</f>
        <v>#N/A</v>
      </c>
      <c r="R65" s="70" t="e" cm="1">
        <f t="array" aca="1" ref="R65" ca="1">_xlfn.NUMBERVALUE(_xlfn.XLOOKUP(1,(OFFSET(IN_Verknüpfungen!$O$4,0,0,IN_Verknüpfungen!$A$2,1)=$A65)*(OFFSET(IN_Verknüpfungen!$P$4,0,0,IN_Verknüpfungen!$A$2,1)=R$3+1),OFFSET(IN_Verknüpfungen!$F$4,0,0,IN_Verknüpfungen!$A$2,1)))-SUM($G65:Q65)</f>
        <v>#N/A</v>
      </c>
      <c r="S65" s="70" t="e" cm="1">
        <f t="array" aca="1" ref="S65" ca="1">_xlfn.NUMBERVALUE(_xlfn.XLOOKUP(1,(OFFSET(IN_Verknüpfungen!$O$4,0,0,IN_Verknüpfungen!$A$2,1)=$A65)*(OFFSET(IN_Verknüpfungen!$P$4,0,0,IN_Verknüpfungen!$A$2,1)=T$3),OFFSET(IN_Verknüpfungen!$J$4,0,0,IN_Verknüpfungen!$A$2,1)))-SUM($G65:R65)</f>
        <v>#N/A</v>
      </c>
      <c r="T65" s="70" t="e" cm="1">
        <f t="array" aca="1" ref="T65" ca="1">_xlfn.NUMBERVALUE(_xlfn.XLOOKUP(1,(OFFSET(IN_Verknüpfungen!$O$4,0,0,IN_Verknüpfungen!$A$2,1)=$A65)*(OFFSET(IN_Verknüpfungen!$P$4,0,0,IN_Verknüpfungen!$A$2,1)=T$3+1),OFFSET(IN_Verknüpfungen!$F$4,0,0,IN_Verknüpfungen!$A$2,1)))-SUM($G65:S65)</f>
        <v>#N/A</v>
      </c>
      <c r="U65" s="70" t="e" cm="1">
        <f t="array" aca="1" ref="U65" ca="1">_xlfn.NUMBERVALUE(_xlfn.XLOOKUP(1,(OFFSET(IN_Verknüpfungen!$O$4,0,0,IN_Verknüpfungen!$A$2,1)=$A65)*(OFFSET(IN_Verknüpfungen!$P$4,0,0,IN_Verknüpfungen!$A$2,1)=V$3),OFFSET(IN_Verknüpfungen!$J$4,0,0,IN_Verknüpfungen!$A$2,1)))-SUM($G65:T65)</f>
        <v>#N/A</v>
      </c>
      <c r="V65" s="70" t="e" cm="1">
        <f t="array" aca="1" ref="V65" ca="1">_xlfn.NUMBERVALUE(_xlfn.XLOOKUP(1,(OFFSET(IN_Verknüpfungen!$O$4,0,0,IN_Verknüpfungen!$A$2,1)=$A65)*(OFFSET(IN_Verknüpfungen!$P$4,0,0,IN_Verknüpfungen!$A$2,1)=V$3+1),OFFSET(IN_Verknüpfungen!$F$4,0,0,IN_Verknüpfungen!$A$2,1)))-SUM($G65:U65)</f>
        <v>#N/A</v>
      </c>
      <c r="W65" s="70" t="e" cm="1">
        <f t="array" aca="1" ref="W65" ca="1">_xlfn.NUMBERVALUE(_xlfn.XLOOKUP(1,(OFFSET(IN_Verknüpfungen!$O$4,0,0,IN_Verknüpfungen!$A$2,1)=$A65)*(OFFSET(IN_Verknüpfungen!$P$4,0,0,IN_Verknüpfungen!$A$2,1)=X$3),OFFSET(IN_Verknüpfungen!$J$4,0,0,IN_Verknüpfungen!$A$2,1)))-SUM($G65:V65)</f>
        <v>#N/A</v>
      </c>
      <c r="X65" s="70" t="e" cm="1">
        <f t="array" aca="1" ref="X65" ca="1">_xlfn.NUMBERVALUE(_xlfn.XLOOKUP(1,(OFFSET(IN_Verknüpfungen!$O$4,0,0,IN_Verknüpfungen!$A$2,1)=$A65)*(OFFSET(IN_Verknüpfungen!$P$4,0,0,IN_Verknüpfungen!$A$2,1)=X$3+1),OFFSET(IN_Verknüpfungen!$F$4,0,0,IN_Verknüpfungen!$A$2,1)))-SUM($G65:W65)</f>
        <v>#N/A</v>
      </c>
      <c r="Y65" s="70" t="e" cm="1">
        <f t="array" aca="1" ref="Y65" ca="1">_xlfn.NUMBERVALUE(_xlfn.XLOOKUP(1,(OFFSET(IN_Verknüpfungen!$O$4,0,0,IN_Verknüpfungen!$A$2,1)=$A65)*(OFFSET(IN_Verknüpfungen!$P$4,0,0,IN_Verknüpfungen!$A$2,1)=Z$3),OFFSET(IN_Verknüpfungen!$J$4,0,0,IN_Verknüpfungen!$A$2,1)))-SUM($G65:X65)</f>
        <v>#N/A</v>
      </c>
      <c r="Z65" s="70" t="e" cm="1">
        <f t="array" aca="1" ref="Z65" ca="1">_xlfn.NUMBERVALUE(_xlfn.XLOOKUP(1,(OFFSET(IN_Verknüpfungen!$O$4,0,0,IN_Verknüpfungen!$A$2,1)=$A65)*(OFFSET(IN_Verknüpfungen!$P$4,0,0,IN_Verknüpfungen!$A$2,1)=Z$3+1),OFFSET(IN_Verknüpfungen!$F$4,0,0,IN_Verknüpfungen!$A$2,1)))-SUM($G65:Y65)</f>
        <v>#N/A</v>
      </c>
      <c r="AA65" s="70" t="e" cm="1">
        <f t="array" aca="1" ref="AA65" ca="1">_xlfn.NUMBERVALUE(_xlfn.XLOOKUP(1,(OFFSET(IN_Verknüpfungen!$O$4,0,0,IN_Verknüpfungen!$A$2,1)=$A65)*(OFFSET(IN_Verknüpfungen!$P$4,0,0,IN_Verknüpfungen!$A$2,1)=AB$3),OFFSET(IN_Verknüpfungen!$J$4,0,0,IN_Verknüpfungen!$A$2,1)))-SUM($G65:Z65)</f>
        <v>#N/A</v>
      </c>
      <c r="AB65" s="70" t="e" cm="1">
        <f t="array" aca="1" ref="AB65" ca="1">_xlfn.NUMBERVALUE(_xlfn.XLOOKUP(1,(OFFSET(IN_Verknüpfungen!$O$4,0,0,IN_Verknüpfungen!$A$2,1)=$A65)*(OFFSET(IN_Verknüpfungen!$P$4,0,0,IN_Verknüpfungen!$A$2,1)=AB$3+1),OFFSET(IN_Verknüpfungen!$F$4,0,0,IN_Verknüpfungen!$A$2,1)))-SUM($G65:AA65)</f>
        <v>#N/A</v>
      </c>
    </row>
    <row r="66" spans="1:28" x14ac:dyDescent="0.2">
      <c r="A66" s="56" t="str">
        <f ca="1"/>
        <v>Composition 63</v>
      </c>
      <c r="B66" s="55" t="str" cm="1">
        <f t="array" aca="1" ref="B66" ca="1">IF(A66&lt;&gt;"",_xlfn.XLOOKUP(Laufwege!A66,OFFSET(IN_Verknüpfungen!L$4,0,0,IN_Verknüpfungen!A$2,1),OFFSET(IN_Verknüpfungen!N$4,0,0,IN_Verknüpfungen!A$2,1),""),"")</f>
        <v>462-1.0</v>
      </c>
      <c r="C66" s="55">
        <f ca="1">IF(A66&lt;&gt;"",SUMIFS(OFFSET(IN_Verknüpfungen!M$4,0,0,IN_Verknüpfungen!A$2,1),OFFSET(IN_Verknüpfungen!O$4,0,0,IN_Verknüpfungen!A$2,1),Laufwege!A66),0)</f>
        <v>721052</v>
      </c>
      <c r="D66" s="55" cm="1">
        <f t="array" aca="1" ref="D66" ca="1">IF(B66&lt;&gt;"",_xlfn.XLOOKUP(B66,OFFSET(IN_Stammdaten!$A$4,0,0,IN_Stammdaten!$A$2,1),OFFSET(IN_Stammdaten!$C$4,0,0,IN_Stammdaten!$A$2,1),""),"")</f>
        <v>0</v>
      </c>
      <c r="E66" s="55" t="str">
        <f t="shared" ca="1" si="0"/>
        <v>nein</v>
      </c>
      <c r="F66" s="69" t="str">
        <f t="shared" ca="1" si="1"/>
        <v>Composition 63 (462-1.0)</v>
      </c>
      <c r="G66" s="70" cm="1">
        <f t="array" aca="1" ref="G66" ca="1">_xlfn.NUMBERVALUE(_xlfn.XLOOKUP(A66,OFFSET(IN_Verknüpfungen!$L$4,0,0,IN_Verknüpfungen!$A$2,1),OFFSET(IN_Verknüpfungen!$Q$4,0,0,IN_Verknüpfungen!$A$2,1)))</f>
        <v>0.20427083333333335</v>
      </c>
      <c r="H66" s="70" cm="1">
        <f t="array" aca="1" ref="H66" ca="1">_xlfn.NUMBERVALUE(_xlfn.XLOOKUP(A66,OFFSET(IN_Verknüpfungen!$L$4,0,0,IN_Verknüpfungen!$A$2,1),OFFSET(IN_Verknüpfungen!$F$4,0,0,IN_Verknüpfungen!$A$2,1)))-G66</f>
        <v>0.13434027777777774</v>
      </c>
      <c r="I66" s="70" cm="1">
        <f t="array" aca="1" ref="I66" ca="1">_xlfn.NUMBERVALUE(_xlfn.XLOOKUP(1,(OFFSET(IN_Verknüpfungen!$O$4,0,0,IN_Verknüpfungen!$A$2,1)=$A66)*(OFFSET(IN_Verknüpfungen!$P$4,0,0,IN_Verknüpfungen!$A$2,1)=J$3),OFFSET(IN_Verknüpfungen!$J$4,0,0,IN_Verknüpfungen!$A$2,1)))-SUM($G66:H66)</f>
        <v>1.6666666666666718E-2</v>
      </c>
      <c r="J66" s="70" cm="1">
        <f t="array" aca="1" ref="J66" ca="1">_xlfn.NUMBERVALUE(_xlfn.XLOOKUP(1,(OFFSET(IN_Verknüpfungen!$O$4,0,0,IN_Verknüpfungen!$A$2,1)=$A66)*(OFFSET(IN_Verknüpfungen!$P$4,0,0,IN_Verknüpfungen!$A$2,1)=J$3+1),OFFSET(IN_Verknüpfungen!$F$4,0,0,IN_Verknüpfungen!$A$2,1)))-SUM($G66:I66)</f>
        <v>0.12371527777777774</v>
      </c>
      <c r="K66" s="70" cm="1">
        <f t="array" aca="1" ref="K66" ca="1">_xlfn.NUMBERVALUE(_xlfn.XLOOKUP(1,(OFFSET(IN_Verknüpfungen!$O$4,0,0,IN_Verknüpfungen!$A$2,1)=$A66)*(OFFSET(IN_Verknüpfungen!$P$4,0,0,IN_Verknüpfungen!$A$2,1)=L$3),OFFSET(IN_Verknüpfungen!$J$4,0,0,IN_Verknüpfungen!$A$2,1)))-SUM($G66:J66)</f>
        <v>2.4131944444444497E-2</v>
      </c>
      <c r="L66" s="70" t="e" cm="1">
        <f t="array" aca="1" ref="L66" ca="1">_xlfn.NUMBERVALUE(_xlfn.XLOOKUP(1,(OFFSET(IN_Verknüpfungen!$O$4,0,0,IN_Verknüpfungen!$A$2,1)=$A66)*(OFFSET(IN_Verknüpfungen!$P$4,0,0,IN_Verknüpfungen!$A$2,1)=L$3+1),OFFSET(IN_Verknüpfungen!$F$4,0,0,IN_Verknüpfungen!$A$2,1)))-SUM($G66:K66)</f>
        <v>#N/A</v>
      </c>
      <c r="M66" s="70" t="e" cm="1">
        <f t="array" aca="1" ref="M66" ca="1">_xlfn.NUMBERVALUE(_xlfn.XLOOKUP(1,(OFFSET(IN_Verknüpfungen!$O$4,0,0,IN_Verknüpfungen!$A$2,1)=$A66)*(OFFSET(IN_Verknüpfungen!$P$4,0,0,IN_Verknüpfungen!$A$2,1)=N$3),OFFSET(IN_Verknüpfungen!$J$4,0,0,IN_Verknüpfungen!$A$2,1)))-SUM($G66:L66)</f>
        <v>#N/A</v>
      </c>
      <c r="N66" s="70" t="e" cm="1">
        <f t="array" aca="1" ref="N66" ca="1">_xlfn.NUMBERVALUE(_xlfn.XLOOKUP(1,(OFFSET(IN_Verknüpfungen!$O$4,0,0,IN_Verknüpfungen!$A$2,1)=$A66)*(OFFSET(IN_Verknüpfungen!$P$4,0,0,IN_Verknüpfungen!$A$2,1)=N$3+1),OFFSET(IN_Verknüpfungen!$F$4,0,0,IN_Verknüpfungen!$A$2,1)))-SUM($G66:M66)</f>
        <v>#N/A</v>
      </c>
      <c r="O66" s="70" t="e" cm="1">
        <f t="array" aca="1" ref="O66" ca="1">_xlfn.NUMBERVALUE(_xlfn.XLOOKUP(1,(OFFSET(IN_Verknüpfungen!$O$4,0,0,IN_Verknüpfungen!$A$2,1)=$A66)*(OFFSET(IN_Verknüpfungen!$P$4,0,0,IN_Verknüpfungen!$A$2,1)=P$3),OFFSET(IN_Verknüpfungen!$J$4,0,0,IN_Verknüpfungen!$A$2,1)))-SUM($G66:N66)</f>
        <v>#N/A</v>
      </c>
      <c r="P66" s="70" t="e" cm="1">
        <f t="array" aca="1" ref="P66" ca="1">_xlfn.NUMBERVALUE(_xlfn.XLOOKUP(1,(OFFSET(IN_Verknüpfungen!$O$4,0,0,IN_Verknüpfungen!$A$2,1)=$A66)*(OFFSET(IN_Verknüpfungen!$P$4,0,0,IN_Verknüpfungen!$A$2,1)=P$3+1),OFFSET(IN_Verknüpfungen!$F$4,0,0,IN_Verknüpfungen!$A$2,1)))-SUM($G66:O66)</f>
        <v>#N/A</v>
      </c>
      <c r="Q66" s="70" t="e" cm="1">
        <f t="array" aca="1" ref="Q66" ca="1">_xlfn.NUMBERVALUE(_xlfn.XLOOKUP(1,(OFFSET(IN_Verknüpfungen!$O$4,0,0,IN_Verknüpfungen!$A$2,1)=$A66)*(OFFSET(IN_Verknüpfungen!$P$4,0,0,IN_Verknüpfungen!$A$2,1)=R$3),OFFSET(IN_Verknüpfungen!$J$4,0,0,IN_Verknüpfungen!$A$2,1)))-SUM($G66:P66)</f>
        <v>#N/A</v>
      </c>
      <c r="R66" s="70" t="e" cm="1">
        <f t="array" aca="1" ref="R66" ca="1">_xlfn.NUMBERVALUE(_xlfn.XLOOKUP(1,(OFFSET(IN_Verknüpfungen!$O$4,0,0,IN_Verknüpfungen!$A$2,1)=$A66)*(OFFSET(IN_Verknüpfungen!$P$4,0,0,IN_Verknüpfungen!$A$2,1)=R$3+1),OFFSET(IN_Verknüpfungen!$F$4,0,0,IN_Verknüpfungen!$A$2,1)))-SUM($G66:Q66)</f>
        <v>#N/A</v>
      </c>
      <c r="S66" s="70" t="e" cm="1">
        <f t="array" aca="1" ref="S66" ca="1">_xlfn.NUMBERVALUE(_xlfn.XLOOKUP(1,(OFFSET(IN_Verknüpfungen!$O$4,0,0,IN_Verknüpfungen!$A$2,1)=$A66)*(OFFSET(IN_Verknüpfungen!$P$4,0,0,IN_Verknüpfungen!$A$2,1)=T$3),OFFSET(IN_Verknüpfungen!$J$4,0,0,IN_Verknüpfungen!$A$2,1)))-SUM($G66:R66)</f>
        <v>#N/A</v>
      </c>
      <c r="T66" s="70" t="e" cm="1">
        <f t="array" aca="1" ref="T66" ca="1">_xlfn.NUMBERVALUE(_xlfn.XLOOKUP(1,(OFFSET(IN_Verknüpfungen!$O$4,0,0,IN_Verknüpfungen!$A$2,1)=$A66)*(OFFSET(IN_Verknüpfungen!$P$4,0,0,IN_Verknüpfungen!$A$2,1)=T$3+1),OFFSET(IN_Verknüpfungen!$F$4,0,0,IN_Verknüpfungen!$A$2,1)))-SUM($G66:S66)</f>
        <v>#N/A</v>
      </c>
      <c r="U66" s="70" t="e" cm="1">
        <f t="array" aca="1" ref="U66" ca="1">_xlfn.NUMBERVALUE(_xlfn.XLOOKUP(1,(OFFSET(IN_Verknüpfungen!$O$4,0,0,IN_Verknüpfungen!$A$2,1)=$A66)*(OFFSET(IN_Verknüpfungen!$P$4,0,0,IN_Verknüpfungen!$A$2,1)=V$3),OFFSET(IN_Verknüpfungen!$J$4,0,0,IN_Verknüpfungen!$A$2,1)))-SUM($G66:T66)</f>
        <v>#N/A</v>
      </c>
      <c r="V66" s="70" t="e" cm="1">
        <f t="array" aca="1" ref="V66" ca="1">_xlfn.NUMBERVALUE(_xlfn.XLOOKUP(1,(OFFSET(IN_Verknüpfungen!$O$4,0,0,IN_Verknüpfungen!$A$2,1)=$A66)*(OFFSET(IN_Verknüpfungen!$P$4,0,0,IN_Verknüpfungen!$A$2,1)=V$3+1),OFFSET(IN_Verknüpfungen!$F$4,0,0,IN_Verknüpfungen!$A$2,1)))-SUM($G66:U66)</f>
        <v>#N/A</v>
      </c>
      <c r="W66" s="70" t="e" cm="1">
        <f t="array" aca="1" ref="W66" ca="1">_xlfn.NUMBERVALUE(_xlfn.XLOOKUP(1,(OFFSET(IN_Verknüpfungen!$O$4,0,0,IN_Verknüpfungen!$A$2,1)=$A66)*(OFFSET(IN_Verknüpfungen!$P$4,0,0,IN_Verknüpfungen!$A$2,1)=X$3),OFFSET(IN_Verknüpfungen!$J$4,0,0,IN_Verknüpfungen!$A$2,1)))-SUM($G66:V66)</f>
        <v>#N/A</v>
      </c>
      <c r="X66" s="70" t="e" cm="1">
        <f t="array" aca="1" ref="X66" ca="1">_xlfn.NUMBERVALUE(_xlfn.XLOOKUP(1,(OFFSET(IN_Verknüpfungen!$O$4,0,0,IN_Verknüpfungen!$A$2,1)=$A66)*(OFFSET(IN_Verknüpfungen!$P$4,0,0,IN_Verknüpfungen!$A$2,1)=X$3+1),OFFSET(IN_Verknüpfungen!$F$4,0,0,IN_Verknüpfungen!$A$2,1)))-SUM($G66:W66)</f>
        <v>#N/A</v>
      </c>
      <c r="Y66" s="70" t="e" cm="1">
        <f t="array" aca="1" ref="Y66" ca="1">_xlfn.NUMBERVALUE(_xlfn.XLOOKUP(1,(OFFSET(IN_Verknüpfungen!$O$4,0,0,IN_Verknüpfungen!$A$2,1)=$A66)*(OFFSET(IN_Verknüpfungen!$P$4,0,0,IN_Verknüpfungen!$A$2,1)=Z$3),OFFSET(IN_Verknüpfungen!$J$4,0,0,IN_Verknüpfungen!$A$2,1)))-SUM($G66:X66)</f>
        <v>#N/A</v>
      </c>
      <c r="Z66" s="70" t="e" cm="1">
        <f t="array" aca="1" ref="Z66" ca="1">_xlfn.NUMBERVALUE(_xlfn.XLOOKUP(1,(OFFSET(IN_Verknüpfungen!$O$4,0,0,IN_Verknüpfungen!$A$2,1)=$A66)*(OFFSET(IN_Verknüpfungen!$P$4,0,0,IN_Verknüpfungen!$A$2,1)=Z$3+1),OFFSET(IN_Verknüpfungen!$F$4,0,0,IN_Verknüpfungen!$A$2,1)))-SUM($G66:Y66)</f>
        <v>#N/A</v>
      </c>
      <c r="AA66" s="70" t="e" cm="1">
        <f t="array" aca="1" ref="AA66" ca="1">_xlfn.NUMBERVALUE(_xlfn.XLOOKUP(1,(OFFSET(IN_Verknüpfungen!$O$4,0,0,IN_Verknüpfungen!$A$2,1)=$A66)*(OFFSET(IN_Verknüpfungen!$P$4,0,0,IN_Verknüpfungen!$A$2,1)=AB$3),OFFSET(IN_Verknüpfungen!$J$4,0,0,IN_Verknüpfungen!$A$2,1)))-SUM($G66:Z66)</f>
        <v>#N/A</v>
      </c>
      <c r="AB66" s="70" t="e" cm="1">
        <f t="array" aca="1" ref="AB66" ca="1">_xlfn.NUMBERVALUE(_xlfn.XLOOKUP(1,(OFFSET(IN_Verknüpfungen!$O$4,0,0,IN_Verknüpfungen!$A$2,1)=$A66)*(OFFSET(IN_Verknüpfungen!$P$4,0,0,IN_Verknüpfungen!$A$2,1)=AB$3+1),OFFSET(IN_Verknüpfungen!$F$4,0,0,IN_Verknüpfungen!$A$2,1)))-SUM($G66:AA66)</f>
        <v>#N/A</v>
      </c>
    </row>
    <row r="67" spans="1:28" x14ac:dyDescent="0.2">
      <c r="A67" s="56" t="str">
        <f ca="1"/>
        <v>Composition 64</v>
      </c>
      <c r="B67" s="55" t="str" cm="1">
        <f t="array" aca="1" ref="B67" ca="1">IF(A67&lt;&gt;"",_xlfn.XLOOKUP(Laufwege!A67,OFFSET(IN_Verknüpfungen!L$4,0,0,IN_Verknüpfungen!A$2,1),OFFSET(IN_Verknüpfungen!N$4,0,0,IN_Verknüpfungen!A$2,1),""),"")</f>
        <v>146-3.2</v>
      </c>
      <c r="C67" s="55">
        <f ca="1">IF(A67&lt;&gt;"",SUMIFS(OFFSET(IN_Verknüpfungen!M$4,0,0,IN_Verknüpfungen!A$2,1),OFFSET(IN_Verknüpfungen!O$4,0,0,IN_Verknüpfungen!A$2,1),Laufwege!A67),0)</f>
        <v>481858</v>
      </c>
      <c r="D67" s="55" cm="1">
        <f t="array" aca="1" ref="D67" ca="1">IF(B67&lt;&gt;"",_xlfn.XLOOKUP(B67,OFFSET(IN_Stammdaten!$A$4,0,0,IN_Stammdaten!$A$2,1),OFFSET(IN_Stammdaten!$C$4,0,0,IN_Stammdaten!$A$2,1),""),"")</f>
        <v>0</v>
      </c>
      <c r="E67" s="55" t="str">
        <f t="shared" ca="1" si="0"/>
        <v>nein</v>
      </c>
      <c r="F67" s="69" t="str">
        <f t="shared" ca="1" si="1"/>
        <v>Composition 64 (146-3.2)</v>
      </c>
      <c r="G67" s="70" cm="1">
        <f t="array" aca="1" ref="G67" ca="1">_xlfn.NUMBERVALUE(_xlfn.XLOOKUP(A67,OFFSET(IN_Verknüpfungen!$L$4,0,0,IN_Verknüpfungen!$A$2,1),OFFSET(IN_Verknüpfungen!$Q$4,0,0,IN_Verknüpfungen!$A$2,1)))</f>
        <v>0.25148148148148147</v>
      </c>
      <c r="H67" s="70" cm="1">
        <f t="array" aca="1" ref="H67" ca="1">_xlfn.NUMBERVALUE(_xlfn.XLOOKUP(A67,OFFSET(IN_Verknüpfungen!$L$4,0,0,IN_Verknüpfungen!$A$2,1),OFFSET(IN_Verknüpfungen!$F$4,0,0,IN_Verknüpfungen!$A$2,1)))-G67</f>
        <v>8.978009259259262E-2</v>
      </c>
      <c r="I67" s="70" cm="1">
        <f t="array" aca="1" ref="I67" ca="1">_xlfn.NUMBERVALUE(_xlfn.XLOOKUP(1,(OFFSET(IN_Verknüpfungen!$O$4,0,0,IN_Verknüpfungen!$A$2,1)=$A67)*(OFFSET(IN_Verknüpfungen!$P$4,0,0,IN_Verknüpfungen!$A$2,1)=J$3),OFFSET(IN_Verknüpfungen!$J$4,0,0,IN_Verknüpfungen!$A$2,1)))-SUM($G67:H67)</f>
        <v>1.635416666666667E-2</v>
      </c>
      <c r="J67" s="70" cm="1">
        <f t="array" aca="1" ref="J67" ca="1">_xlfn.NUMBERVALUE(_xlfn.XLOOKUP(1,(OFFSET(IN_Verknüpfungen!$O$4,0,0,IN_Verknüpfungen!$A$2,1)=$A67)*(OFFSET(IN_Verknüpfungen!$P$4,0,0,IN_Verknüpfungen!$A$2,1)=J$3+1),OFFSET(IN_Verknüpfungen!$F$4,0,0,IN_Verknüpfungen!$A$2,1)))-SUM($G67:I67)</f>
        <v>7.7731481481481457E-2</v>
      </c>
      <c r="K67" s="70" cm="1">
        <f t="array" aca="1" ref="K67" ca="1">_xlfn.NUMBERVALUE(_xlfn.XLOOKUP(1,(OFFSET(IN_Verknüpfungen!$O$4,0,0,IN_Verknüpfungen!$A$2,1)=$A67)*(OFFSET(IN_Verknüpfungen!$P$4,0,0,IN_Verknüpfungen!$A$2,1)=L$3),OFFSET(IN_Verknüpfungen!$J$4,0,0,IN_Verknüpfungen!$A$2,1)))-SUM($G67:J67)</f>
        <v>1.2002314814814841E-2</v>
      </c>
      <c r="L67" s="70" cm="1">
        <f t="array" aca="1" ref="L67" ca="1">_xlfn.NUMBERVALUE(_xlfn.XLOOKUP(1,(OFFSET(IN_Verknüpfungen!$O$4,0,0,IN_Verknüpfungen!$A$2,1)=$A67)*(OFFSET(IN_Verknüpfungen!$P$4,0,0,IN_Verknüpfungen!$A$2,1)=L$3+1),OFFSET(IN_Verknüpfungen!$F$4,0,0,IN_Verknüpfungen!$A$2,1)))-SUM($G67:K67)</f>
        <v>4.5659722222222199E-2</v>
      </c>
      <c r="M67" s="70" cm="1">
        <f t="array" aca="1" ref="M67" ca="1">_xlfn.NUMBERVALUE(_xlfn.XLOOKUP(1,(OFFSET(IN_Verknüpfungen!$O$4,0,0,IN_Verknüpfungen!$A$2,1)=$A67)*(OFFSET(IN_Verknüpfungen!$P$4,0,0,IN_Verknüpfungen!$A$2,1)=N$3),OFFSET(IN_Verknüpfungen!$J$4,0,0,IN_Verknüpfungen!$A$2,1)))-SUM($G67:L67)</f>
        <v>1.9212962962962987E-2</v>
      </c>
      <c r="N67" s="70" cm="1">
        <f t="array" aca="1" ref="N67" ca="1">_xlfn.NUMBERVALUE(_xlfn.XLOOKUP(1,(OFFSET(IN_Verknüpfungen!$O$4,0,0,IN_Verknüpfungen!$A$2,1)=$A67)*(OFFSET(IN_Verknüpfungen!$P$4,0,0,IN_Verknüpfungen!$A$2,1)=N$3+1),OFFSET(IN_Verknüpfungen!$F$4,0,0,IN_Verknüpfungen!$A$2,1)))-SUM($G67:M67)</f>
        <v>5.0706018518518525E-2</v>
      </c>
      <c r="O67" s="70" cm="1">
        <f t="array" aca="1" ref="O67" ca="1">_xlfn.NUMBERVALUE(_xlfn.XLOOKUP(1,(OFFSET(IN_Verknüpfungen!$O$4,0,0,IN_Verknüpfungen!$A$2,1)=$A67)*(OFFSET(IN_Verknüpfungen!$P$4,0,0,IN_Verknüpfungen!$A$2,1)=P$3),OFFSET(IN_Verknüpfungen!$J$4,0,0,IN_Verknüpfungen!$A$2,1)))-SUM($G67:N67)</f>
        <v>2.4548611111111063E-2</v>
      </c>
      <c r="P67" s="70" t="e" cm="1">
        <f t="array" aca="1" ref="P67" ca="1">_xlfn.NUMBERVALUE(_xlfn.XLOOKUP(1,(OFFSET(IN_Verknüpfungen!$O$4,0,0,IN_Verknüpfungen!$A$2,1)=$A67)*(OFFSET(IN_Verknüpfungen!$P$4,0,0,IN_Verknüpfungen!$A$2,1)=P$3+1),OFFSET(IN_Verknüpfungen!$F$4,0,0,IN_Verknüpfungen!$A$2,1)))-SUM($G67:O67)</f>
        <v>#N/A</v>
      </c>
      <c r="Q67" s="70" t="e" cm="1">
        <f t="array" aca="1" ref="Q67" ca="1">_xlfn.NUMBERVALUE(_xlfn.XLOOKUP(1,(OFFSET(IN_Verknüpfungen!$O$4,0,0,IN_Verknüpfungen!$A$2,1)=$A67)*(OFFSET(IN_Verknüpfungen!$P$4,0,0,IN_Verknüpfungen!$A$2,1)=R$3),OFFSET(IN_Verknüpfungen!$J$4,0,0,IN_Verknüpfungen!$A$2,1)))-SUM($G67:P67)</f>
        <v>#N/A</v>
      </c>
      <c r="R67" s="70" t="e" cm="1">
        <f t="array" aca="1" ref="R67" ca="1">_xlfn.NUMBERVALUE(_xlfn.XLOOKUP(1,(OFFSET(IN_Verknüpfungen!$O$4,0,0,IN_Verknüpfungen!$A$2,1)=$A67)*(OFFSET(IN_Verknüpfungen!$P$4,0,0,IN_Verknüpfungen!$A$2,1)=R$3+1),OFFSET(IN_Verknüpfungen!$F$4,0,0,IN_Verknüpfungen!$A$2,1)))-SUM($G67:Q67)</f>
        <v>#N/A</v>
      </c>
      <c r="S67" s="70" t="e" cm="1">
        <f t="array" aca="1" ref="S67" ca="1">_xlfn.NUMBERVALUE(_xlfn.XLOOKUP(1,(OFFSET(IN_Verknüpfungen!$O$4,0,0,IN_Verknüpfungen!$A$2,1)=$A67)*(OFFSET(IN_Verknüpfungen!$P$4,0,0,IN_Verknüpfungen!$A$2,1)=T$3),OFFSET(IN_Verknüpfungen!$J$4,0,0,IN_Verknüpfungen!$A$2,1)))-SUM($G67:R67)</f>
        <v>#N/A</v>
      </c>
      <c r="T67" s="70" t="e" cm="1">
        <f t="array" aca="1" ref="T67" ca="1">_xlfn.NUMBERVALUE(_xlfn.XLOOKUP(1,(OFFSET(IN_Verknüpfungen!$O$4,0,0,IN_Verknüpfungen!$A$2,1)=$A67)*(OFFSET(IN_Verknüpfungen!$P$4,0,0,IN_Verknüpfungen!$A$2,1)=T$3+1),OFFSET(IN_Verknüpfungen!$F$4,0,0,IN_Verknüpfungen!$A$2,1)))-SUM($G67:S67)</f>
        <v>#N/A</v>
      </c>
      <c r="U67" s="70" t="e" cm="1">
        <f t="array" aca="1" ref="U67" ca="1">_xlfn.NUMBERVALUE(_xlfn.XLOOKUP(1,(OFFSET(IN_Verknüpfungen!$O$4,0,0,IN_Verknüpfungen!$A$2,1)=$A67)*(OFFSET(IN_Verknüpfungen!$P$4,0,0,IN_Verknüpfungen!$A$2,1)=V$3),OFFSET(IN_Verknüpfungen!$J$4,0,0,IN_Verknüpfungen!$A$2,1)))-SUM($G67:T67)</f>
        <v>#N/A</v>
      </c>
      <c r="V67" s="70" t="e" cm="1">
        <f t="array" aca="1" ref="V67" ca="1">_xlfn.NUMBERVALUE(_xlfn.XLOOKUP(1,(OFFSET(IN_Verknüpfungen!$O$4,0,0,IN_Verknüpfungen!$A$2,1)=$A67)*(OFFSET(IN_Verknüpfungen!$P$4,0,0,IN_Verknüpfungen!$A$2,1)=V$3+1),OFFSET(IN_Verknüpfungen!$F$4,0,0,IN_Verknüpfungen!$A$2,1)))-SUM($G67:U67)</f>
        <v>#N/A</v>
      </c>
      <c r="W67" s="70" t="e" cm="1">
        <f t="array" aca="1" ref="W67" ca="1">_xlfn.NUMBERVALUE(_xlfn.XLOOKUP(1,(OFFSET(IN_Verknüpfungen!$O$4,0,0,IN_Verknüpfungen!$A$2,1)=$A67)*(OFFSET(IN_Verknüpfungen!$P$4,0,0,IN_Verknüpfungen!$A$2,1)=X$3),OFFSET(IN_Verknüpfungen!$J$4,0,0,IN_Verknüpfungen!$A$2,1)))-SUM($G67:V67)</f>
        <v>#N/A</v>
      </c>
      <c r="X67" s="70" t="e" cm="1">
        <f t="array" aca="1" ref="X67" ca="1">_xlfn.NUMBERVALUE(_xlfn.XLOOKUP(1,(OFFSET(IN_Verknüpfungen!$O$4,0,0,IN_Verknüpfungen!$A$2,1)=$A67)*(OFFSET(IN_Verknüpfungen!$P$4,0,0,IN_Verknüpfungen!$A$2,1)=X$3+1),OFFSET(IN_Verknüpfungen!$F$4,0,0,IN_Verknüpfungen!$A$2,1)))-SUM($G67:W67)</f>
        <v>#N/A</v>
      </c>
      <c r="Y67" s="70" t="e" cm="1">
        <f t="array" aca="1" ref="Y67" ca="1">_xlfn.NUMBERVALUE(_xlfn.XLOOKUP(1,(OFFSET(IN_Verknüpfungen!$O$4,0,0,IN_Verknüpfungen!$A$2,1)=$A67)*(OFFSET(IN_Verknüpfungen!$P$4,0,0,IN_Verknüpfungen!$A$2,1)=Z$3),OFFSET(IN_Verknüpfungen!$J$4,0,0,IN_Verknüpfungen!$A$2,1)))-SUM($G67:X67)</f>
        <v>#N/A</v>
      </c>
      <c r="Z67" s="70" t="e" cm="1">
        <f t="array" aca="1" ref="Z67" ca="1">_xlfn.NUMBERVALUE(_xlfn.XLOOKUP(1,(OFFSET(IN_Verknüpfungen!$O$4,0,0,IN_Verknüpfungen!$A$2,1)=$A67)*(OFFSET(IN_Verknüpfungen!$P$4,0,0,IN_Verknüpfungen!$A$2,1)=Z$3+1),OFFSET(IN_Verknüpfungen!$F$4,0,0,IN_Verknüpfungen!$A$2,1)))-SUM($G67:Y67)</f>
        <v>#N/A</v>
      </c>
      <c r="AA67" s="70" t="e" cm="1">
        <f t="array" aca="1" ref="AA67" ca="1">_xlfn.NUMBERVALUE(_xlfn.XLOOKUP(1,(OFFSET(IN_Verknüpfungen!$O$4,0,0,IN_Verknüpfungen!$A$2,1)=$A67)*(OFFSET(IN_Verknüpfungen!$P$4,0,0,IN_Verknüpfungen!$A$2,1)=AB$3),OFFSET(IN_Verknüpfungen!$J$4,0,0,IN_Verknüpfungen!$A$2,1)))-SUM($G67:Z67)</f>
        <v>#N/A</v>
      </c>
      <c r="AB67" s="70" t="e" cm="1">
        <f t="array" aca="1" ref="AB67" ca="1">_xlfn.NUMBERVALUE(_xlfn.XLOOKUP(1,(OFFSET(IN_Verknüpfungen!$O$4,0,0,IN_Verknüpfungen!$A$2,1)=$A67)*(OFFSET(IN_Verknüpfungen!$P$4,0,0,IN_Verknüpfungen!$A$2,1)=AB$3+1),OFFSET(IN_Verknüpfungen!$F$4,0,0,IN_Verknüpfungen!$A$2,1)))-SUM($G67:AA67)</f>
        <v>#N/A</v>
      </c>
    </row>
    <row r="68" spans="1:28" x14ac:dyDescent="0.2">
      <c r="A68" s="56" t="str">
        <f ca="1"/>
        <v>Composition 65</v>
      </c>
      <c r="B68" s="55" t="str" cm="1">
        <f t="array" aca="1" ref="B68" ca="1">IF(A68&lt;&gt;"",_xlfn.XLOOKUP(Laufwege!A68,OFFSET(IN_Verknüpfungen!L$4,0,0,IN_Verknüpfungen!A$2,1),OFFSET(IN_Verknüpfungen!N$4,0,0,IN_Verknüpfungen!A$2,1),""),"")</f>
        <v>462-1.0</v>
      </c>
      <c r="C68" s="55">
        <f ca="1">IF(A68&lt;&gt;"",SUMIFS(OFFSET(IN_Verknüpfungen!M$4,0,0,IN_Verknüpfungen!A$2,1),OFFSET(IN_Verknüpfungen!O$4,0,0,IN_Verknüpfungen!A$2,1),Laufwege!A68),0)</f>
        <v>720802</v>
      </c>
      <c r="D68" s="55" cm="1">
        <f t="array" aca="1" ref="D68" ca="1">IF(B68&lt;&gt;"",_xlfn.XLOOKUP(B68,OFFSET(IN_Stammdaten!$A$4,0,0,IN_Stammdaten!$A$2,1),OFFSET(IN_Stammdaten!$C$4,0,0,IN_Stammdaten!$A$2,1),""),"")</f>
        <v>0</v>
      </c>
      <c r="E68" s="55" t="str">
        <f t="shared" ca="1" si="0"/>
        <v>nein</v>
      </c>
      <c r="F68" s="69" t="str">
        <f t="shared" ca="1" si="1"/>
        <v>Composition 65 (462-1.0)</v>
      </c>
      <c r="G68" s="70" cm="1">
        <f t="array" aca="1" ref="G68" ca="1">_xlfn.NUMBERVALUE(_xlfn.XLOOKUP(A68,OFFSET(IN_Verknüpfungen!$L$4,0,0,IN_Verknüpfungen!$A$2,1),OFFSET(IN_Verknüpfungen!$Q$4,0,0,IN_Verknüpfungen!$A$2,1)))</f>
        <v>0.23225694444444445</v>
      </c>
      <c r="H68" s="70" cm="1">
        <f t="array" aca="1" ref="H68" ca="1">_xlfn.NUMBERVALUE(_xlfn.XLOOKUP(A68,OFFSET(IN_Verknüpfungen!$L$4,0,0,IN_Verknüpfungen!$A$2,1),OFFSET(IN_Verknüpfungen!$F$4,0,0,IN_Verknüpfungen!$A$2,1)))-G68</f>
        <v>0.10908564814814814</v>
      </c>
      <c r="I68" s="70" cm="1">
        <f t="array" aca="1" ref="I68" ca="1">_xlfn.NUMBERVALUE(_xlfn.XLOOKUP(1,(OFFSET(IN_Verknüpfungen!$O$4,0,0,IN_Verknüpfungen!$A$2,1)=$A68)*(OFFSET(IN_Verknüpfungen!$P$4,0,0,IN_Verknüpfungen!$A$2,1)=J$3),OFFSET(IN_Verknüpfungen!$J$4,0,0,IN_Verknüpfungen!$A$2,1)))-SUM($G68:H68)</f>
        <v>1.5254629629629646E-2</v>
      </c>
      <c r="J68" s="70" cm="1">
        <f t="array" aca="1" ref="J68" ca="1">_xlfn.NUMBERVALUE(_xlfn.XLOOKUP(1,(OFFSET(IN_Verknüpfungen!$O$4,0,0,IN_Verknüpfungen!$A$2,1)=$A68)*(OFFSET(IN_Verknüpfungen!$P$4,0,0,IN_Verknüpfungen!$A$2,1)=J$3+1),OFFSET(IN_Verknüpfungen!$F$4,0,0,IN_Verknüpfungen!$A$2,1)))-SUM($G68:I68)</f>
        <v>9.424768518518517E-2</v>
      </c>
      <c r="K68" s="70" cm="1">
        <f t="array" aca="1" ref="K68" ca="1">_xlfn.NUMBERVALUE(_xlfn.XLOOKUP(1,(OFFSET(IN_Verknüpfungen!$O$4,0,0,IN_Verknüpfungen!$A$2,1)=$A68)*(OFFSET(IN_Verknüpfungen!$P$4,0,0,IN_Verknüpfungen!$A$2,1)=L$3),OFFSET(IN_Verknüpfungen!$J$4,0,0,IN_Verknüpfungen!$A$2,1)))-SUM($G68:J68)</f>
        <v>2.0960648148148131E-2</v>
      </c>
      <c r="L68" s="70" cm="1">
        <f t="array" aca="1" ref="L68" ca="1">_xlfn.NUMBERVALUE(_xlfn.XLOOKUP(1,(OFFSET(IN_Verknüpfungen!$O$4,0,0,IN_Verknüpfungen!$A$2,1)=$A68)*(OFFSET(IN_Verknüpfungen!$P$4,0,0,IN_Verknüpfungen!$A$2,1)=L$3+1),OFFSET(IN_Verknüpfungen!$F$4,0,0,IN_Verknüpfungen!$A$2,1)))-SUM($G68:K68)</f>
        <v>9.6967592592592633E-2</v>
      </c>
      <c r="M68" s="70" cm="1">
        <f t="array" aca="1" ref="M68" ca="1">_xlfn.NUMBERVALUE(_xlfn.XLOOKUP(1,(OFFSET(IN_Verknüpfungen!$O$4,0,0,IN_Verknüpfungen!$A$2,1)=$A68)*(OFFSET(IN_Verknüpfungen!$P$4,0,0,IN_Verknüpfungen!$A$2,1)=N$3),OFFSET(IN_Verknüpfungen!$J$4,0,0,IN_Verknüpfungen!$A$2,1)))-SUM($G68:L68)</f>
        <v>1.749999999999996E-2</v>
      </c>
      <c r="N68" s="70" t="e" cm="1">
        <f t="array" aca="1" ref="N68" ca="1">_xlfn.NUMBERVALUE(_xlfn.XLOOKUP(1,(OFFSET(IN_Verknüpfungen!$O$4,0,0,IN_Verknüpfungen!$A$2,1)=$A68)*(OFFSET(IN_Verknüpfungen!$P$4,0,0,IN_Verknüpfungen!$A$2,1)=N$3+1),OFFSET(IN_Verknüpfungen!$F$4,0,0,IN_Verknüpfungen!$A$2,1)))-SUM($G68:M68)</f>
        <v>#N/A</v>
      </c>
      <c r="O68" s="70" t="e" cm="1">
        <f t="array" aca="1" ref="O68" ca="1">_xlfn.NUMBERVALUE(_xlfn.XLOOKUP(1,(OFFSET(IN_Verknüpfungen!$O$4,0,0,IN_Verknüpfungen!$A$2,1)=$A68)*(OFFSET(IN_Verknüpfungen!$P$4,0,0,IN_Verknüpfungen!$A$2,1)=P$3),OFFSET(IN_Verknüpfungen!$J$4,0,0,IN_Verknüpfungen!$A$2,1)))-SUM($G68:N68)</f>
        <v>#N/A</v>
      </c>
      <c r="P68" s="70" t="e" cm="1">
        <f t="array" aca="1" ref="P68" ca="1">_xlfn.NUMBERVALUE(_xlfn.XLOOKUP(1,(OFFSET(IN_Verknüpfungen!$O$4,0,0,IN_Verknüpfungen!$A$2,1)=$A68)*(OFFSET(IN_Verknüpfungen!$P$4,0,0,IN_Verknüpfungen!$A$2,1)=P$3+1),OFFSET(IN_Verknüpfungen!$F$4,0,0,IN_Verknüpfungen!$A$2,1)))-SUM($G68:O68)</f>
        <v>#N/A</v>
      </c>
      <c r="Q68" s="70" t="e" cm="1">
        <f t="array" aca="1" ref="Q68" ca="1">_xlfn.NUMBERVALUE(_xlfn.XLOOKUP(1,(OFFSET(IN_Verknüpfungen!$O$4,0,0,IN_Verknüpfungen!$A$2,1)=$A68)*(OFFSET(IN_Verknüpfungen!$P$4,0,0,IN_Verknüpfungen!$A$2,1)=R$3),OFFSET(IN_Verknüpfungen!$J$4,0,0,IN_Verknüpfungen!$A$2,1)))-SUM($G68:P68)</f>
        <v>#N/A</v>
      </c>
      <c r="R68" s="70" t="e" cm="1">
        <f t="array" aca="1" ref="R68" ca="1">_xlfn.NUMBERVALUE(_xlfn.XLOOKUP(1,(OFFSET(IN_Verknüpfungen!$O$4,0,0,IN_Verknüpfungen!$A$2,1)=$A68)*(OFFSET(IN_Verknüpfungen!$P$4,0,0,IN_Verknüpfungen!$A$2,1)=R$3+1),OFFSET(IN_Verknüpfungen!$F$4,0,0,IN_Verknüpfungen!$A$2,1)))-SUM($G68:Q68)</f>
        <v>#N/A</v>
      </c>
      <c r="S68" s="70" t="e" cm="1">
        <f t="array" aca="1" ref="S68" ca="1">_xlfn.NUMBERVALUE(_xlfn.XLOOKUP(1,(OFFSET(IN_Verknüpfungen!$O$4,0,0,IN_Verknüpfungen!$A$2,1)=$A68)*(OFFSET(IN_Verknüpfungen!$P$4,0,0,IN_Verknüpfungen!$A$2,1)=T$3),OFFSET(IN_Verknüpfungen!$J$4,0,0,IN_Verknüpfungen!$A$2,1)))-SUM($G68:R68)</f>
        <v>#N/A</v>
      </c>
      <c r="T68" s="70" t="e" cm="1">
        <f t="array" aca="1" ref="T68" ca="1">_xlfn.NUMBERVALUE(_xlfn.XLOOKUP(1,(OFFSET(IN_Verknüpfungen!$O$4,0,0,IN_Verknüpfungen!$A$2,1)=$A68)*(OFFSET(IN_Verknüpfungen!$P$4,0,0,IN_Verknüpfungen!$A$2,1)=T$3+1),OFFSET(IN_Verknüpfungen!$F$4,0,0,IN_Verknüpfungen!$A$2,1)))-SUM($G68:S68)</f>
        <v>#N/A</v>
      </c>
      <c r="U68" s="70" t="e" cm="1">
        <f t="array" aca="1" ref="U68" ca="1">_xlfn.NUMBERVALUE(_xlfn.XLOOKUP(1,(OFFSET(IN_Verknüpfungen!$O$4,0,0,IN_Verknüpfungen!$A$2,1)=$A68)*(OFFSET(IN_Verknüpfungen!$P$4,0,0,IN_Verknüpfungen!$A$2,1)=V$3),OFFSET(IN_Verknüpfungen!$J$4,0,0,IN_Verknüpfungen!$A$2,1)))-SUM($G68:T68)</f>
        <v>#N/A</v>
      </c>
      <c r="V68" s="70" t="e" cm="1">
        <f t="array" aca="1" ref="V68" ca="1">_xlfn.NUMBERVALUE(_xlfn.XLOOKUP(1,(OFFSET(IN_Verknüpfungen!$O$4,0,0,IN_Verknüpfungen!$A$2,1)=$A68)*(OFFSET(IN_Verknüpfungen!$P$4,0,0,IN_Verknüpfungen!$A$2,1)=V$3+1),OFFSET(IN_Verknüpfungen!$F$4,0,0,IN_Verknüpfungen!$A$2,1)))-SUM($G68:U68)</f>
        <v>#N/A</v>
      </c>
      <c r="W68" s="70" t="e" cm="1">
        <f t="array" aca="1" ref="W68" ca="1">_xlfn.NUMBERVALUE(_xlfn.XLOOKUP(1,(OFFSET(IN_Verknüpfungen!$O$4,0,0,IN_Verknüpfungen!$A$2,1)=$A68)*(OFFSET(IN_Verknüpfungen!$P$4,0,0,IN_Verknüpfungen!$A$2,1)=X$3),OFFSET(IN_Verknüpfungen!$J$4,0,0,IN_Verknüpfungen!$A$2,1)))-SUM($G68:V68)</f>
        <v>#N/A</v>
      </c>
      <c r="X68" s="70" t="e" cm="1">
        <f t="array" aca="1" ref="X68" ca="1">_xlfn.NUMBERVALUE(_xlfn.XLOOKUP(1,(OFFSET(IN_Verknüpfungen!$O$4,0,0,IN_Verknüpfungen!$A$2,1)=$A68)*(OFFSET(IN_Verknüpfungen!$P$4,0,0,IN_Verknüpfungen!$A$2,1)=X$3+1),OFFSET(IN_Verknüpfungen!$F$4,0,0,IN_Verknüpfungen!$A$2,1)))-SUM($G68:W68)</f>
        <v>#N/A</v>
      </c>
      <c r="Y68" s="70" t="e" cm="1">
        <f t="array" aca="1" ref="Y68" ca="1">_xlfn.NUMBERVALUE(_xlfn.XLOOKUP(1,(OFFSET(IN_Verknüpfungen!$O$4,0,0,IN_Verknüpfungen!$A$2,1)=$A68)*(OFFSET(IN_Verknüpfungen!$P$4,0,0,IN_Verknüpfungen!$A$2,1)=Z$3),OFFSET(IN_Verknüpfungen!$J$4,0,0,IN_Verknüpfungen!$A$2,1)))-SUM($G68:X68)</f>
        <v>#N/A</v>
      </c>
      <c r="Z68" s="70" t="e" cm="1">
        <f t="array" aca="1" ref="Z68" ca="1">_xlfn.NUMBERVALUE(_xlfn.XLOOKUP(1,(OFFSET(IN_Verknüpfungen!$O$4,0,0,IN_Verknüpfungen!$A$2,1)=$A68)*(OFFSET(IN_Verknüpfungen!$P$4,0,0,IN_Verknüpfungen!$A$2,1)=Z$3+1),OFFSET(IN_Verknüpfungen!$F$4,0,0,IN_Verknüpfungen!$A$2,1)))-SUM($G68:Y68)</f>
        <v>#N/A</v>
      </c>
      <c r="AA68" s="70" t="e" cm="1">
        <f t="array" aca="1" ref="AA68" ca="1">_xlfn.NUMBERVALUE(_xlfn.XLOOKUP(1,(OFFSET(IN_Verknüpfungen!$O$4,0,0,IN_Verknüpfungen!$A$2,1)=$A68)*(OFFSET(IN_Verknüpfungen!$P$4,0,0,IN_Verknüpfungen!$A$2,1)=AB$3),OFFSET(IN_Verknüpfungen!$J$4,0,0,IN_Verknüpfungen!$A$2,1)))-SUM($G68:Z68)</f>
        <v>#N/A</v>
      </c>
      <c r="AB68" s="70" t="e" cm="1">
        <f t="array" aca="1" ref="AB68" ca="1">_xlfn.NUMBERVALUE(_xlfn.XLOOKUP(1,(OFFSET(IN_Verknüpfungen!$O$4,0,0,IN_Verknüpfungen!$A$2,1)=$A68)*(OFFSET(IN_Verknüpfungen!$P$4,0,0,IN_Verknüpfungen!$A$2,1)=AB$3+1),OFFSET(IN_Verknüpfungen!$F$4,0,0,IN_Verknüpfungen!$A$2,1)))-SUM($G68:AA68)</f>
        <v>#N/A</v>
      </c>
    </row>
    <row r="69" spans="1:28" x14ac:dyDescent="0.2">
      <c r="A69" s="56" t="str">
        <f ca="1"/>
        <v>Composition 66</v>
      </c>
      <c r="B69" s="55" t="str" cm="1">
        <f t="array" aca="1" ref="B69" ca="1">IF(A69&lt;&gt;"",_xlfn.XLOOKUP(Laufwege!A69,OFFSET(IN_Verknüpfungen!L$4,0,0,IN_Verknüpfungen!A$2,1),OFFSET(IN_Verknüpfungen!N$4,0,0,IN_Verknüpfungen!A$2,1),""),"")</f>
        <v>462-1.0</v>
      </c>
      <c r="C69" s="55">
        <f ca="1">IF(A69&lt;&gt;"",SUMIFS(OFFSET(IN_Verknüpfungen!M$4,0,0,IN_Verknüpfungen!A$2,1),OFFSET(IN_Verknüpfungen!O$4,0,0,IN_Verknüpfungen!A$2,1),Laufwege!A69),0)</f>
        <v>628934</v>
      </c>
      <c r="D69" s="55" cm="1">
        <f t="array" aca="1" ref="D69" ca="1">IF(B69&lt;&gt;"",_xlfn.XLOOKUP(B69,OFFSET(IN_Stammdaten!$A$4,0,0,IN_Stammdaten!$A$2,1),OFFSET(IN_Stammdaten!$C$4,0,0,IN_Stammdaten!$A$2,1),""),"")</f>
        <v>0</v>
      </c>
      <c r="E69" s="55" t="str">
        <f t="shared" ref="E69:E116" ca="1" si="2">IF(A69&lt;&gt;"",IF(AND(D69&gt;0,C69&gt;D69),"ja","nein"),"")</f>
        <v>nein</v>
      </c>
      <c r="F69" s="69" t="str">
        <f t="shared" ref="F69:F116" ca="1" si="3">A69&amp;" ("&amp;B69&amp;")"</f>
        <v>Composition 66 (462-1.0)</v>
      </c>
      <c r="G69" s="70" cm="1">
        <f t="array" aca="1" ref="G69" ca="1">_xlfn.NUMBERVALUE(_xlfn.XLOOKUP(A69,OFFSET(IN_Verknüpfungen!$L$4,0,0,IN_Verknüpfungen!$A$2,1),OFFSET(IN_Verknüpfungen!$Q$4,0,0,IN_Verknüpfungen!$A$2,1)))</f>
        <v>0.23677083333333335</v>
      </c>
      <c r="H69" s="70" cm="1">
        <f t="array" aca="1" ref="H69" ca="1">_xlfn.NUMBERVALUE(_xlfn.XLOOKUP(A69,OFFSET(IN_Verknüpfungen!$L$4,0,0,IN_Verknüpfungen!$A$2,1),OFFSET(IN_Verknüpfungen!$F$4,0,0,IN_Verknüpfungen!$A$2,1)))-G69</f>
        <v>0.10638888888888889</v>
      </c>
      <c r="I69" s="70" cm="1">
        <f t="array" aca="1" ref="I69" ca="1">_xlfn.NUMBERVALUE(_xlfn.XLOOKUP(1,(OFFSET(IN_Verknüpfungen!$O$4,0,0,IN_Verknüpfungen!$A$2,1)=$A69)*(OFFSET(IN_Verknüpfungen!$P$4,0,0,IN_Verknüpfungen!$A$2,1)=J$3),OFFSET(IN_Verknüpfungen!$J$4,0,0,IN_Verknüpfungen!$A$2,1)))-SUM($G69:H69)</f>
        <v>1.2060185185185146E-2</v>
      </c>
      <c r="J69" s="70" cm="1">
        <f t="array" aca="1" ref="J69" ca="1">_xlfn.NUMBERVALUE(_xlfn.XLOOKUP(1,(OFFSET(IN_Verknüpfungen!$O$4,0,0,IN_Verknüpfungen!$A$2,1)=$A69)*(OFFSET(IN_Verknüpfungen!$P$4,0,0,IN_Verknüpfungen!$A$2,1)=J$3+1),OFFSET(IN_Verknüpfungen!$F$4,0,0,IN_Verknüpfungen!$A$2,1)))-SUM($G69:I69)</f>
        <v>0.10605324074074074</v>
      </c>
      <c r="K69" s="70" cm="1">
        <f t="array" aca="1" ref="K69" ca="1">_xlfn.NUMBERVALUE(_xlfn.XLOOKUP(1,(OFFSET(IN_Verknüpfungen!$O$4,0,0,IN_Verknüpfungen!$A$2,1)=$A69)*(OFFSET(IN_Verknüpfungen!$P$4,0,0,IN_Verknüpfungen!$A$2,1)=L$3),OFFSET(IN_Verknüpfungen!$J$4,0,0,IN_Verknüpfungen!$A$2,1)))-SUM($G69:J69)</f>
        <v>1.0601851851851862E-2</v>
      </c>
      <c r="L69" s="70" cm="1">
        <f t="array" aca="1" ref="L69" ca="1">_xlfn.NUMBERVALUE(_xlfn.XLOOKUP(1,(OFFSET(IN_Verknüpfungen!$O$4,0,0,IN_Verknüpfungen!$A$2,1)=$A69)*(OFFSET(IN_Verknüpfungen!$P$4,0,0,IN_Verknüpfungen!$A$2,1)=L$3+1),OFFSET(IN_Verknüpfungen!$F$4,0,0,IN_Verknüpfungen!$A$2,1)))-SUM($G69:K69)</f>
        <v>0.10043981481481484</v>
      </c>
      <c r="M69" s="70" cm="1">
        <f t="array" aca="1" ref="M69" ca="1">_xlfn.NUMBERVALUE(_xlfn.XLOOKUP(1,(OFFSET(IN_Verknüpfungen!$O$4,0,0,IN_Verknüpfungen!$A$2,1)=$A69)*(OFFSET(IN_Verknüpfungen!$P$4,0,0,IN_Verknüpfungen!$A$2,1)=N$3),OFFSET(IN_Verknüpfungen!$J$4,0,0,IN_Verknüpfungen!$A$2,1)))-SUM($G69:L69)</f>
        <v>1.2847222222222232E-2</v>
      </c>
      <c r="N69" s="70" t="e" cm="1">
        <f t="array" aca="1" ref="N69" ca="1">_xlfn.NUMBERVALUE(_xlfn.XLOOKUP(1,(OFFSET(IN_Verknüpfungen!$O$4,0,0,IN_Verknüpfungen!$A$2,1)=$A69)*(OFFSET(IN_Verknüpfungen!$P$4,0,0,IN_Verknüpfungen!$A$2,1)=N$3+1),OFFSET(IN_Verknüpfungen!$F$4,0,0,IN_Verknüpfungen!$A$2,1)))-SUM($G69:M69)</f>
        <v>#N/A</v>
      </c>
      <c r="O69" s="70" t="e" cm="1">
        <f t="array" aca="1" ref="O69" ca="1">_xlfn.NUMBERVALUE(_xlfn.XLOOKUP(1,(OFFSET(IN_Verknüpfungen!$O$4,0,0,IN_Verknüpfungen!$A$2,1)=$A69)*(OFFSET(IN_Verknüpfungen!$P$4,0,0,IN_Verknüpfungen!$A$2,1)=P$3),OFFSET(IN_Verknüpfungen!$J$4,0,0,IN_Verknüpfungen!$A$2,1)))-SUM($G69:N69)</f>
        <v>#N/A</v>
      </c>
      <c r="P69" s="70" t="e" cm="1">
        <f t="array" aca="1" ref="P69" ca="1">_xlfn.NUMBERVALUE(_xlfn.XLOOKUP(1,(OFFSET(IN_Verknüpfungen!$O$4,0,0,IN_Verknüpfungen!$A$2,1)=$A69)*(OFFSET(IN_Verknüpfungen!$P$4,0,0,IN_Verknüpfungen!$A$2,1)=P$3+1),OFFSET(IN_Verknüpfungen!$F$4,0,0,IN_Verknüpfungen!$A$2,1)))-SUM($G69:O69)</f>
        <v>#N/A</v>
      </c>
      <c r="Q69" s="70" t="e" cm="1">
        <f t="array" aca="1" ref="Q69" ca="1">_xlfn.NUMBERVALUE(_xlfn.XLOOKUP(1,(OFFSET(IN_Verknüpfungen!$O$4,0,0,IN_Verknüpfungen!$A$2,1)=$A69)*(OFFSET(IN_Verknüpfungen!$P$4,0,0,IN_Verknüpfungen!$A$2,1)=R$3),OFFSET(IN_Verknüpfungen!$J$4,0,0,IN_Verknüpfungen!$A$2,1)))-SUM($G69:P69)</f>
        <v>#N/A</v>
      </c>
      <c r="R69" s="70" t="e" cm="1">
        <f t="array" aca="1" ref="R69" ca="1">_xlfn.NUMBERVALUE(_xlfn.XLOOKUP(1,(OFFSET(IN_Verknüpfungen!$O$4,0,0,IN_Verknüpfungen!$A$2,1)=$A69)*(OFFSET(IN_Verknüpfungen!$P$4,0,0,IN_Verknüpfungen!$A$2,1)=R$3+1),OFFSET(IN_Verknüpfungen!$F$4,0,0,IN_Verknüpfungen!$A$2,1)))-SUM($G69:Q69)</f>
        <v>#N/A</v>
      </c>
      <c r="S69" s="70" t="e" cm="1">
        <f t="array" aca="1" ref="S69" ca="1">_xlfn.NUMBERVALUE(_xlfn.XLOOKUP(1,(OFFSET(IN_Verknüpfungen!$O$4,0,0,IN_Verknüpfungen!$A$2,1)=$A69)*(OFFSET(IN_Verknüpfungen!$P$4,0,0,IN_Verknüpfungen!$A$2,1)=T$3),OFFSET(IN_Verknüpfungen!$J$4,0,0,IN_Verknüpfungen!$A$2,1)))-SUM($G69:R69)</f>
        <v>#N/A</v>
      </c>
      <c r="T69" s="70" t="e" cm="1">
        <f t="array" aca="1" ref="T69" ca="1">_xlfn.NUMBERVALUE(_xlfn.XLOOKUP(1,(OFFSET(IN_Verknüpfungen!$O$4,0,0,IN_Verknüpfungen!$A$2,1)=$A69)*(OFFSET(IN_Verknüpfungen!$P$4,0,0,IN_Verknüpfungen!$A$2,1)=T$3+1),OFFSET(IN_Verknüpfungen!$F$4,0,0,IN_Verknüpfungen!$A$2,1)))-SUM($G69:S69)</f>
        <v>#N/A</v>
      </c>
      <c r="U69" s="70" t="e" cm="1">
        <f t="array" aca="1" ref="U69" ca="1">_xlfn.NUMBERVALUE(_xlfn.XLOOKUP(1,(OFFSET(IN_Verknüpfungen!$O$4,0,0,IN_Verknüpfungen!$A$2,1)=$A69)*(OFFSET(IN_Verknüpfungen!$P$4,0,0,IN_Verknüpfungen!$A$2,1)=V$3),OFFSET(IN_Verknüpfungen!$J$4,0,0,IN_Verknüpfungen!$A$2,1)))-SUM($G69:T69)</f>
        <v>#N/A</v>
      </c>
      <c r="V69" s="70" t="e" cm="1">
        <f t="array" aca="1" ref="V69" ca="1">_xlfn.NUMBERVALUE(_xlfn.XLOOKUP(1,(OFFSET(IN_Verknüpfungen!$O$4,0,0,IN_Verknüpfungen!$A$2,1)=$A69)*(OFFSET(IN_Verknüpfungen!$P$4,0,0,IN_Verknüpfungen!$A$2,1)=V$3+1),OFFSET(IN_Verknüpfungen!$F$4,0,0,IN_Verknüpfungen!$A$2,1)))-SUM($G69:U69)</f>
        <v>#N/A</v>
      </c>
      <c r="W69" s="70" t="e" cm="1">
        <f t="array" aca="1" ref="W69" ca="1">_xlfn.NUMBERVALUE(_xlfn.XLOOKUP(1,(OFFSET(IN_Verknüpfungen!$O$4,0,0,IN_Verknüpfungen!$A$2,1)=$A69)*(OFFSET(IN_Verknüpfungen!$P$4,0,0,IN_Verknüpfungen!$A$2,1)=X$3),OFFSET(IN_Verknüpfungen!$J$4,0,0,IN_Verknüpfungen!$A$2,1)))-SUM($G69:V69)</f>
        <v>#N/A</v>
      </c>
      <c r="X69" s="70" t="e" cm="1">
        <f t="array" aca="1" ref="X69" ca="1">_xlfn.NUMBERVALUE(_xlfn.XLOOKUP(1,(OFFSET(IN_Verknüpfungen!$O$4,0,0,IN_Verknüpfungen!$A$2,1)=$A69)*(OFFSET(IN_Verknüpfungen!$P$4,0,0,IN_Verknüpfungen!$A$2,1)=X$3+1),OFFSET(IN_Verknüpfungen!$F$4,0,0,IN_Verknüpfungen!$A$2,1)))-SUM($G69:W69)</f>
        <v>#N/A</v>
      </c>
      <c r="Y69" s="70" t="e" cm="1">
        <f t="array" aca="1" ref="Y69" ca="1">_xlfn.NUMBERVALUE(_xlfn.XLOOKUP(1,(OFFSET(IN_Verknüpfungen!$O$4,0,0,IN_Verknüpfungen!$A$2,1)=$A69)*(OFFSET(IN_Verknüpfungen!$P$4,0,0,IN_Verknüpfungen!$A$2,1)=Z$3),OFFSET(IN_Verknüpfungen!$J$4,0,0,IN_Verknüpfungen!$A$2,1)))-SUM($G69:X69)</f>
        <v>#N/A</v>
      </c>
      <c r="Z69" s="70" t="e" cm="1">
        <f t="array" aca="1" ref="Z69" ca="1">_xlfn.NUMBERVALUE(_xlfn.XLOOKUP(1,(OFFSET(IN_Verknüpfungen!$O$4,0,0,IN_Verknüpfungen!$A$2,1)=$A69)*(OFFSET(IN_Verknüpfungen!$P$4,0,0,IN_Verknüpfungen!$A$2,1)=Z$3+1),OFFSET(IN_Verknüpfungen!$F$4,0,0,IN_Verknüpfungen!$A$2,1)))-SUM($G69:Y69)</f>
        <v>#N/A</v>
      </c>
      <c r="AA69" s="70" t="e" cm="1">
        <f t="array" aca="1" ref="AA69" ca="1">_xlfn.NUMBERVALUE(_xlfn.XLOOKUP(1,(OFFSET(IN_Verknüpfungen!$O$4,0,0,IN_Verknüpfungen!$A$2,1)=$A69)*(OFFSET(IN_Verknüpfungen!$P$4,0,0,IN_Verknüpfungen!$A$2,1)=AB$3),OFFSET(IN_Verknüpfungen!$J$4,0,0,IN_Verknüpfungen!$A$2,1)))-SUM($G69:Z69)</f>
        <v>#N/A</v>
      </c>
      <c r="AB69" s="70" t="e" cm="1">
        <f t="array" aca="1" ref="AB69" ca="1">_xlfn.NUMBERVALUE(_xlfn.XLOOKUP(1,(OFFSET(IN_Verknüpfungen!$O$4,0,0,IN_Verknüpfungen!$A$2,1)=$A69)*(OFFSET(IN_Verknüpfungen!$P$4,0,0,IN_Verknüpfungen!$A$2,1)=AB$3+1),OFFSET(IN_Verknüpfungen!$F$4,0,0,IN_Verknüpfungen!$A$2,1)))-SUM($G69:AA69)</f>
        <v>#N/A</v>
      </c>
    </row>
    <row r="70" spans="1:28" x14ac:dyDescent="0.2">
      <c r="A70" s="56" t="str">
        <f ca="1"/>
        <v>Composition 67</v>
      </c>
      <c r="B70" s="55" t="str" cm="1">
        <f t="array" aca="1" ref="B70" ca="1">IF(A70&lt;&gt;"",_xlfn.XLOOKUP(Laufwege!A70,OFFSET(IN_Verknüpfungen!L$4,0,0,IN_Verknüpfungen!A$2,1),OFFSET(IN_Verknüpfungen!N$4,0,0,IN_Verknüpfungen!A$2,1),""),"")</f>
        <v>462-1.0</v>
      </c>
      <c r="C70" s="55">
        <f ca="1">IF(A70&lt;&gt;"",SUMIFS(OFFSET(IN_Verknüpfungen!M$4,0,0,IN_Verknüpfungen!A$2,1),OFFSET(IN_Verknüpfungen!O$4,0,0,IN_Verknüpfungen!A$2,1),Laufwege!A70),0)</f>
        <v>616124</v>
      </c>
      <c r="D70" s="55" cm="1">
        <f t="array" aca="1" ref="D70" ca="1">IF(B70&lt;&gt;"",_xlfn.XLOOKUP(B70,OFFSET(IN_Stammdaten!$A$4,0,0,IN_Stammdaten!$A$2,1),OFFSET(IN_Stammdaten!$C$4,0,0,IN_Stammdaten!$A$2,1),""),"")</f>
        <v>0</v>
      </c>
      <c r="E70" s="55" t="str">
        <f t="shared" ca="1" si="2"/>
        <v>nein</v>
      </c>
      <c r="F70" s="69" t="str">
        <f t="shared" ca="1" si="3"/>
        <v>Composition 67 (462-1.0)</v>
      </c>
      <c r="G70" s="70" cm="1">
        <f t="array" aca="1" ref="G70" ca="1">_xlfn.NUMBERVALUE(_xlfn.XLOOKUP(A70,OFFSET(IN_Verknüpfungen!$L$4,0,0,IN_Verknüpfungen!$A$2,1),OFFSET(IN_Verknüpfungen!$Q$4,0,0,IN_Verknüpfungen!$A$2,1)))</f>
        <v>0.24195601851851853</v>
      </c>
      <c r="H70" s="70" cm="1">
        <f t="array" aca="1" ref="H70" ca="1">_xlfn.NUMBERVALUE(_xlfn.XLOOKUP(A70,OFFSET(IN_Verknüpfungen!$L$4,0,0,IN_Verknüpfungen!$A$2,1),OFFSET(IN_Verknüpfungen!$F$4,0,0,IN_Verknüpfungen!$A$2,1)))-G70</f>
        <v>0.10221064814814815</v>
      </c>
      <c r="I70" s="70" cm="1">
        <f t="array" aca="1" ref="I70" ca="1">_xlfn.NUMBERVALUE(_xlfn.XLOOKUP(1,(OFFSET(IN_Verknüpfungen!$O$4,0,0,IN_Verknüpfungen!$A$2,1)=$A70)*(OFFSET(IN_Verknüpfungen!$P$4,0,0,IN_Verknüpfungen!$A$2,1)=J$3),OFFSET(IN_Verknüpfungen!$J$4,0,0,IN_Verknüpfungen!$A$2,1)))-SUM($G70:H70)</f>
        <v>4.4791666666666452E-3</v>
      </c>
      <c r="J70" s="70" cm="1">
        <f t="array" aca="1" ref="J70" ca="1">_xlfn.NUMBERVALUE(_xlfn.XLOOKUP(1,(OFFSET(IN_Verknüpfungen!$O$4,0,0,IN_Verknüpfungen!$A$2,1)=$A70)*(OFFSET(IN_Verknüpfungen!$P$4,0,0,IN_Verknüpfungen!$A$2,1)=J$3+1),OFFSET(IN_Verknüpfungen!$F$4,0,0,IN_Verknüpfungen!$A$2,1)))-SUM($G70:I70)</f>
        <v>8.7951388888888926E-2</v>
      </c>
      <c r="K70" s="70" cm="1">
        <f t="array" aca="1" ref="K70" ca="1">_xlfn.NUMBERVALUE(_xlfn.XLOOKUP(1,(OFFSET(IN_Verknüpfungen!$O$4,0,0,IN_Verknüpfungen!$A$2,1)=$A70)*(OFFSET(IN_Verknüpfungen!$P$4,0,0,IN_Verknüpfungen!$A$2,1)=L$3),OFFSET(IN_Verknüpfungen!$J$4,0,0,IN_Verknüpfungen!$A$2,1)))-SUM($G70:J70)</f>
        <v>2.7395833333333286E-2</v>
      </c>
      <c r="L70" s="70" cm="1">
        <f t="array" aca="1" ref="L70" ca="1">_xlfn.NUMBERVALUE(_xlfn.XLOOKUP(1,(OFFSET(IN_Verknüpfungen!$O$4,0,0,IN_Verknüpfungen!$A$2,1)=$A70)*(OFFSET(IN_Verknüpfungen!$P$4,0,0,IN_Verknüpfungen!$A$2,1)=L$3+1),OFFSET(IN_Verknüpfungen!$F$4,0,0,IN_Verknüpfungen!$A$2,1)))-SUM($G70:K70)</f>
        <v>8.8506944444444458E-2</v>
      </c>
      <c r="M70" s="70" cm="1">
        <f t="array" aca="1" ref="M70" ca="1">_xlfn.NUMBERVALUE(_xlfn.XLOOKUP(1,(OFFSET(IN_Verknüpfungen!$O$4,0,0,IN_Verknüpfungen!$A$2,1)=$A70)*(OFFSET(IN_Verknüpfungen!$P$4,0,0,IN_Verknüpfungen!$A$2,1)=N$3),OFFSET(IN_Verknüpfungen!$J$4,0,0,IN_Verknüpfungen!$A$2,1)))-SUM($G70:L70)</f>
        <v>4.4791666666667007E-3</v>
      </c>
      <c r="N70" s="70" t="e" cm="1">
        <f t="array" aca="1" ref="N70" ca="1">_xlfn.NUMBERVALUE(_xlfn.XLOOKUP(1,(OFFSET(IN_Verknüpfungen!$O$4,0,0,IN_Verknüpfungen!$A$2,1)=$A70)*(OFFSET(IN_Verknüpfungen!$P$4,0,0,IN_Verknüpfungen!$A$2,1)=N$3+1),OFFSET(IN_Verknüpfungen!$F$4,0,0,IN_Verknüpfungen!$A$2,1)))-SUM($G70:M70)</f>
        <v>#N/A</v>
      </c>
      <c r="O70" s="70" t="e" cm="1">
        <f t="array" aca="1" ref="O70" ca="1">_xlfn.NUMBERVALUE(_xlfn.XLOOKUP(1,(OFFSET(IN_Verknüpfungen!$O$4,0,0,IN_Verknüpfungen!$A$2,1)=$A70)*(OFFSET(IN_Verknüpfungen!$P$4,0,0,IN_Verknüpfungen!$A$2,1)=P$3),OFFSET(IN_Verknüpfungen!$J$4,0,0,IN_Verknüpfungen!$A$2,1)))-SUM($G70:N70)</f>
        <v>#N/A</v>
      </c>
      <c r="P70" s="70" t="e" cm="1">
        <f t="array" aca="1" ref="P70" ca="1">_xlfn.NUMBERVALUE(_xlfn.XLOOKUP(1,(OFFSET(IN_Verknüpfungen!$O$4,0,0,IN_Verknüpfungen!$A$2,1)=$A70)*(OFFSET(IN_Verknüpfungen!$P$4,0,0,IN_Verknüpfungen!$A$2,1)=P$3+1),OFFSET(IN_Verknüpfungen!$F$4,0,0,IN_Verknüpfungen!$A$2,1)))-SUM($G70:O70)</f>
        <v>#N/A</v>
      </c>
      <c r="Q70" s="70" t="e" cm="1">
        <f t="array" aca="1" ref="Q70" ca="1">_xlfn.NUMBERVALUE(_xlfn.XLOOKUP(1,(OFFSET(IN_Verknüpfungen!$O$4,0,0,IN_Verknüpfungen!$A$2,1)=$A70)*(OFFSET(IN_Verknüpfungen!$P$4,0,0,IN_Verknüpfungen!$A$2,1)=R$3),OFFSET(IN_Verknüpfungen!$J$4,0,0,IN_Verknüpfungen!$A$2,1)))-SUM($G70:P70)</f>
        <v>#N/A</v>
      </c>
      <c r="R70" s="70" t="e" cm="1">
        <f t="array" aca="1" ref="R70" ca="1">_xlfn.NUMBERVALUE(_xlfn.XLOOKUP(1,(OFFSET(IN_Verknüpfungen!$O$4,0,0,IN_Verknüpfungen!$A$2,1)=$A70)*(OFFSET(IN_Verknüpfungen!$P$4,0,0,IN_Verknüpfungen!$A$2,1)=R$3+1),OFFSET(IN_Verknüpfungen!$F$4,0,0,IN_Verknüpfungen!$A$2,1)))-SUM($G70:Q70)</f>
        <v>#N/A</v>
      </c>
      <c r="S70" s="70" t="e" cm="1">
        <f t="array" aca="1" ref="S70" ca="1">_xlfn.NUMBERVALUE(_xlfn.XLOOKUP(1,(OFFSET(IN_Verknüpfungen!$O$4,0,0,IN_Verknüpfungen!$A$2,1)=$A70)*(OFFSET(IN_Verknüpfungen!$P$4,0,0,IN_Verknüpfungen!$A$2,1)=T$3),OFFSET(IN_Verknüpfungen!$J$4,0,0,IN_Verknüpfungen!$A$2,1)))-SUM($G70:R70)</f>
        <v>#N/A</v>
      </c>
      <c r="T70" s="70" t="e" cm="1">
        <f t="array" aca="1" ref="T70" ca="1">_xlfn.NUMBERVALUE(_xlfn.XLOOKUP(1,(OFFSET(IN_Verknüpfungen!$O$4,0,0,IN_Verknüpfungen!$A$2,1)=$A70)*(OFFSET(IN_Verknüpfungen!$P$4,0,0,IN_Verknüpfungen!$A$2,1)=T$3+1),OFFSET(IN_Verknüpfungen!$F$4,0,0,IN_Verknüpfungen!$A$2,1)))-SUM($G70:S70)</f>
        <v>#N/A</v>
      </c>
      <c r="U70" s="70" t="e" cm="1">
        <f t="array" aca="1" ref="U70" ca="1">_xlfn.NUMBERVALUE(_xlfn.XLOOKUP(1,(OFFSET(IN_Verknüpfungen!$O$4,0,0,IN_Verknüpfungen!$A$2,1)=$A70)*(OFFSET(IN_Verknüpfungen!$P$4,0,0,IN_Verknüpfungen!$A$2,1)=V$3),OFFSET(IN_Verknüpfungen!$J$4,0,0,IN_Verknüpfungen!$A$2,1)))-SUM($G70:T70)</f>
        <v>#N/A</v>
      </c>
      <c r="V70" s="70" t="e" cm="1">
        <f t="array" aca="1" ref="V70" ca="1">_xlfn.NUMBERVALUE(_xlfn.XLOOKUP(1,(OFFSET(IN_Verknüpfungen!$O$4,0,0,IN_Verknüpfungen!$A$2,1)=$A70)*(OFFSET(IN_Verknüpfungen!$P$4,0,0,IN_Verknüpfungen!$A$2,1)=V$3+1),OFFSET(IN_Verknüpfungen!$F$4,0,0,IN_Verknüpfungen!$A$2,1)))-SUM($G70:U70)</f>
        <v>#N/A</v>
      </c>
      <c r="W70" s="70" t="e" cm="1">
        <f t="array" aca="1" ref="W70" ca="1">_xlfn.NUMBERVALUE(_xlfn.XLOOKUP(1,(OFFSET(IN_Verknüpfungen!$O$4,0,0,IN_Verknüpfungen!$A$2,1)=$A70)*(OFFSET(IN_Verknüpfungen!$P$4,0,0,IN_Verknüpfungen!$A$2,1)=X$3),OFFSET(IN_Verknüpfungen!$J$4,0,0,IN_Verknüpfungen!$A$2,1)))-SUM($G70:V70)</f>
        <v>#N/A</v>
      </c>
      <c r="X70" s="70" t="e" cm="1">
        <f t="array" aca="1" ref="X70" ca="1">_xlfn.NUMBERVALUE(_xlfn.XLOOKUP(1,(OFFSET(IN_Verknüpfungen!$O$4,0,0,IN_Verknüpfungen!$A$2,1)=$A70)*(OFFSET(IN_Verknüpfungen!$P$4,0,0,IN_Verknüpfungen!$A$2,1)=X$3+1),OFFSET(IN_Verknüpfungen!$F$4,0,0,IN_Verknüpfungen!$A$2,1)))-SUM($G70:W70)</f>
        <v>#N/A</v>
      </c>
      <c r="Y70" s="70" t="e" cm="1">
        <f t="array" aca="1" ref="Y70" ca="1">_xlfn.NUMBERVALUE(_xlfn.XLOOKUP(1,(OFFSET(IN_Verknüpfungen!$O$4,0,0,IN_Verknüpfungen!$A$2,1)=$A70)*(OFFSET(IN_Verknüpfungen!$P$4,0,0,IN_Verknüpfungen!$A$2,1)=Z$3),OFFSET(IN_Verknüpfungen!$J$4,0,0,IN_Verknüpfungen!$A$2,1)))-SUM($G70:X70)</f>
        <v>#N/A</v>
      </c>
      <c r="Z70" s="70" t="e" cm="1">
        <f t="array" aca="1" ref="Z70" ca="1">_xlfn.NUMBERVALUE(_xlfn.XLOOKUP(1,(OFFSET(IN_Verknüpfungen!$O$4,0,0,IN_Verknüpfungen!$A$2,1)=$A70)*(OFFSET(IN_Verknüpfungen!$P$4,0,0,IN_Verknüpfungen!$A$2,1)=Z$3+1),OFFSET(IN_Verknüpfungen!$F$4,0,0,IN_Verknüpfungen!$A$2,1)))-SUM($G70:Y70)</f>
        <v>#N/A</v>
      </c>
      <c r="AA70" s="70" t="e" cm="1">
        <f t="array" aca="1" ref="AA70" ca="1">_xlfn.NUMBERVALUE(_xlfn.XLOOKUP(1,(OFFSET(IN_Verknüpfungen!$O$4,0,0,IN_Verknüpfungen!$A$2,1)=$A70)*(OFFSET(IN_Verknüpfungen!$P$4,0,0,IN_Verknüpfungen!$A$2,1)=AB$3),OFFSET(IN_Verknüpfungen!$J$4,0,0,IN_Verknüpfungen!$A$2,1)))-SUM($G70:Z70)</f>
        <v>#N/A</v>
      </c>
      <c r="AB70" s="70" t="e" cm="1">
        <f t="array" aca="1" ref="AB70" ca="1">_xlfn.NUMBERVALUE(_xlfn.XLOOKUP(1,(OFFSET(IN_Verknüpfungen!$O$4,0,0,IN_Verknüpfungen!$A$2,1)=$A70)*(OFFSET(IN_Verknüpfungen!$P$4,0,0,IN_Verknüpfungen!$A$2,1)=AB$3+1),OFFSET(IN_Verknüpfungen!$F$4,0,0,IN_Verknüpfungen!$A$2,1)))-SUM($G70:AA70)</f>
        <v>#N/A</v>
      </c>
    </row>
    <row r="71" spans="1:28" x14ac:dyDescent="0.2">
      <c r="A71" s="56" t="str">
        <f ca="1"/>
        <v>Composition 68</v>
      </c>
      <c r="B71" s="55" t="str" cm="1">
        <f t="array" aca="1" ref="B71" ca="1">IF(A71&lt;&gt;"",_xlfn.XLOOKUP(Laufwege!A71,OFFSET(IN_Verknüpfungen!L$4,0,0,IN_Verknüpfungen!A$2,1),OFFSET(IN_Verknüpfungen!N$4,0,0,IN_Verknüpfungen!A$2,1),""),"")</f>
        <v>462-1.0</v>
      </c>
      <c r="C71" s="55">
        <f ca="1">IF(A71&lt;&gt;"",SUMIFS(OFFSET(IN_Verknüpfungen!M$4,0,0,IN_Verknüpfungen!A$2,1),OFFSET(IN_Verknüpfungen!O$4,0,0,IN_Verknüpfungen!A$2,1),Laufwege!A71),0)</f>
        <v>638966</v>
      </c>
      <c r="D71" s="55" cm="1">
        <f t="array" aca="1" ref="D71" ca="1">IF(B71&lt;&gt;"",_xlfn.XLOOKUP(B71,OFFSET(IN_Stammdaten!$A$4,0,0,IN_Stammdaten!$A$2,1),OFFSET(IN_Stammdaten!$C$4,0,0,IN_Stammdaten!$A$2,1),""),"")</f>
        <v>0</v>
      </c>
      <c r="E71" s="55" t="str">
        <f t="shared" ca="1" si="2"/>
        <v>nein</v>
      </c>
      <c r="F71" s="69" t="str">
        <f t="shared" ca="1" si="3"/>
        <v>Composition 68 (462-1.0)</v>
      </c>
      <c r="G71" s="70" cm="1">
        <f t="array" aca="1" ref="G71" ca="1">_xlfn.NUMBERVALUE(_xlfn.XLOOKUP(A71,OFFSET(IN_Verknüpfungen!$L$4,0,0,IN_Verknüpfungen!$A$2,1),OFFSET(IN_Verknüpfungen!$Q$4,0,0,IN_Verknüpfungen!$A$2,1)))</f>
        <v>0.2378587962962963</v>
      </c>
      <c r="H71" s="70" cm="1">
        <f t="array" aca="1" ref="H71" ca="1">_xlfn.NUMBERVALUE(_xlfn.XLOOKUP(A71,OFFSET(IN_Verknüpfungen!$L$4,0,0,IN_Verknüpfungen!$A$2,1),OFFSET(IN_Verknüpfungen!$F$4,0,0,IN_Verknüpfungen!$A$2,1)))-G71</f>
        <v>0.1083796296296296</v>
      </c>
      <c r="I71" s="70" cm="1">
        <f t="array" aca="1" ref="I71" ca="1">_xlfn.NUMBERVALUE(_xlfn.XLOOKUP(1,(OFFSET(IN_Verknüpfungen!$O$4,0,0,IN_Verknüpfungen!$A$2,1)=$A71)*(OFFSET(IN_Verknüpfungen!$P$4,0,0,IN_Verknüpfungen!$A$2,1)=J$3),OFFSET(IN_Verknüpfungen!$J$4,0,0,IN_Verknüpfungen!$A$2,1)))-SUM($G71:H71)</f>
        <v>7.0023148148148362E-3</v>
      </c>
      <c r="J71" s="70" cm="1">
        <f t="array" aca="1" ref="J71" ca="1">_xlfn.NUMBERVALUE(_xlfn.XLOOKUP(1,(OFFSET(IN_Verknüpfungen!$O$4,0,0,IN_Verknüpfungen!$A$2,1)=$A71)*(OFFSET(IN_Verknüpfungen!$P$4,0,0,IN_Verknüpfungen!$A$2,1)=J$3+1),OFFSET(IN_Verknüpfungen!$F$4,0,0,IN_Verknüpfungen!$A$2,1)))-SUM($G71:I71)</f>
        <v>0.10888888888888887</v>
      </c>
      <c r="K71" s="70" cm="1">
        <f t="array" aca="1" ref="K71" ca="1">_xlfn.NUMBERVALUE(_xlfn.XLOOKUP(1,(OFFSET(IN_Verknüpfungen!$O$4,0,0,IN_Verknüpfungen!$A$2,1)=$A71)*(OFFSET(IN_Verknüpfungen!$P$4,0,0,IN_Verknüpfungen!$A$2,1)=L$3),OFFSET(IN_Verknüpfungen!$J$4,0,0,IN_Verknüpfungen!$A$2,1)))-SUM($G71:J71)</f>
        <v>1.0451388888888913E-2</v>
      </c>
      <c r="L71" s="70" cm="1">
        <f t="array" aca="1" ref="L71" ca="1">_xlfn.NUMBERVALUE(_xlfn.XLOOKUP(1,(OFFSET(IN_Verknüpfungen!$O$4,0,0,IN_Verknüpfungen!$A$2,1)=$A71)*(OFFSET(IN_Verknüpfungen!$P$4,0,0,IN_Verknüpfungen!$A$2,1)=L$3+1),OFFSET(IN_Verknüpfungen!$F$4,0,0,IN_Verknüpfungen!$A$2,1)))-SUM($G71:K71)</f>
        <v>0.10250000000000004</v>
      </c>
      <c r="M71" s="70" cm="1">
        <f t="array" aca="1" ref="M71" ca="1">_xlfn.NUMBERVALUE(_xlfn.XLOOKUP(1,(OFFSET(IN_Verknüpfungen!$O$4,0,0,IN_Verknüpfungen!$A$2,1)=$A71)*(OFFSET(IN_Verknüpfungen!$P$4,0,0,IN_Verknüpfungen!$A$2,1)=N$3),OFFSET(IN_Verknüpfungen!$J$4,0,0,IN_Verknüpfungen!$A$2,1)))-SUM($G71:L71)</f>
        <v>7.0023148148147252E-3</v>
      </c>
      <c r="N71" s="70" t="e" cm="1">
        <f t="array" aca="1" ref="N71" ca="1">_xlfn.NUMBERVALUE(_xlfn.XLOOKUP(1,(OFFSET(IN_Verknüpfungen!$O$4,0,0,IN_Verknüpfungen!$A$2,1)=$A71)*(OFFSET(IN_Verknüpfungen!$P$4,0,0,IN_Verknüpfungen!$A$2,1)=N$3+1),OFFSET(IN_Verknüpfungen!$F$4,0,0,IN_Verknüpfungen!$A$2,1)))-SUM($G71:M71)</f>
        <v>#N/A</v>
      </c>
      <c r="O71" s="70" t="e" cm="1">
        <f t="array" aca="1" ref="O71" ca="1">_xlfn.NUMBERVALUE(_xlfn.XLOOKUP(1,(OFFSET(IN_Verknüpfungen!$O$4,0,0,IN_Verknüpfungen!$A$2,1)=$A71)*(OFFSET(IN_Verknüpfungen!$P$4,0,0,IN_Verknüpfungen!$A$2,1)=P$3),OFFSET(IN_Verknüpfungen!$J$4,0,0,IN_Verknüpfungen!$A$2,1)))-SUM($G71:N71)</f>
        <v>#N/A</v>
      </c>
      <c r="P71" s="70" t="e" cm="1">
        <f t="array" aca="1" ref="P71" ca="1">_xlfn.NUMBERVALUE(_xlfn.XLOOKUP(1,(OFFSET(IN_Verknüpfungen!$O$4,0,0,IN_Verknüpfungen!$A$2,1)=$A71)*(OFFSET(IN_Verknüpfungen!$P$4,0,0,IN_Verknüpfungen!$A$2,1)=P$3+1),OFFSET(IN_Verknüpfungen!$F$4,0,0,IN_Verknüpfungen!$A$2,1)))-SUM($G71:O71)</f>
        <v>#N/A</v>
      </c>
      <c r="Q71" s="70" t="e" cm="1">
        <f t="array" aca="1" ref="Q71" ca="1">_xlfn.NUMBERVALUE(_xlfn.XLOOKUP(1,(OFFSET(IN_Verknüpfungen!$O$4,0,0,IN_Verknüpfungen!$A$2,1)=$A71)*(OFFSET(IN_Verknüpfungen!$P$4,0,0,IN_Verknüpfungen!$A$2,1)=R$3),OFFSET(IN_Verknüpfungen!$J$4,0,0,IN_Verknüpfungen!$A$2,1)))-SUM($G71:P71)</f>
        <v>#N/A</v>
      </c>
      <c r="R71" s="70" t="e" cm="1">
        <f t="array" aca="1" ref="R71" ca="1">_xlfn.NUMBERVALUE(_xlfn.XLOOKUP(1,(OFFSET(IN_Verknüpfungen!$O$4,0,0,IN_Verknüpfungen!$A$2,1)=$A71)*(OFFSET(IN_Verknüpfungen!$P$4,0,0,IN_Verknüpfungen!$A$2,1)=R$3+1),OFFSET(IN_Verknüpfungen!$F$4,0,0,IN_Verknüpfungen!$A$2,1)))-SUM($G71:Q71)</f>
        <v>#N/A</v>
      </c>
      <c r="S71" s="70" t="e" cm="1">
        <f t="array" aca="1" ref="S71" ca="1">_xlfn.NUMBERVALUE(_xlfn.XLOOKUP(1,(OFFSET(IN_Verknüpfungen!$O$4,0,0,IN_Verknüpfungen!$A$2,1)=$A71)*(OFFSET(IN_Verknüpfungen!$P$4,0,0,IN_Verknüpfungen!$A$2,1)=T$3),OFFSET(IN_Verknüpfungen!$J$4,0,0,IN_Verknüpfungen!$A$2,1)))-SUM($G71:R71)</f>
        <v>#N/A</v>
      </c>
      <c r="T71" s="70" t="e" cm="1">
        <f t="array" aca="1" ref="T71" ca="1">_xlfn.NUMBERVALUE(_xlfn.XLOOKUP(1,(OFFSET(IN_Verknüpfungen!$O$4,0,0,IN_Verknüpfungen!$A$2,1)=$A71)*(OFFSET(IN_Verknüpfungen!$P$4,0,0,IN_Verknüpfungen!$A$2,1)=T$3+1),OFFSET(IN_Verknüpfungen!$F$4,0,0,IN_Verknüpfungen!$A$2,1)))-SUM($G71:S71)</f>
        <v>#N/A</v>
      </c>
      <c r="U71" s="70" t="e" cm="1">
        <f t="array" aca="1" ref="U71" ca="1">_xlfn.NUMBERVALUE(_xlfn.XLOOKUP(1,(OFFSET(IN_Verknüpfungen!$O$4,0,0,IN_Verknüpfungen!$A$2,1)=$A71)*(OFFSET(IN_Verknüpfungen!$P$4,0,0,IN_Verknüpfungen!$A$2,1)=V$3),OFFSET(IN_Verknüpfungen!$J$4,0,0,IN_Verknüpfungen!$A$2,1)))-SUM($G71:T71)</f>
        <v>#N/A</v>
      </c>
      <c r="V71" s="70" t="e" cm="1">
        <f t="array" aca="1" ref="V71" ca="1">_xlfn.NUMBERVALUE(_xlfn.XLOOKUP(1,(OFFSET(IN_Verknüpfungen!$O$4,0,0,IN_Verknüpfungen!$A$2,1)=$A71)*(OFFSET(IN_Verknüpfungen!$P$4,0,0,IN_Verknüpfungen!$A$2,1)=V$3+1),OFFSET(IN_Verknüpfungen!$F$4,0,0,IN_Verknüpfungen!$A$2,1)))-SUM($G71:U71)</f>
        <v>#N/A</v>
      </c>
      <c r="W71" s="70" t="e" cm="1">
        <f t="array" aca="1" ref="W71" ca="1">_xlfn.NUMBERVALUE(_xlfn.XLOOKUP(1,(OFFSET(IN_Verknüpfungen!$O$4,0,0,IN_Verknüpfungen!$A$2,1)=$A71)*(OFFSET(IN_Verknüpfungen!$P$4,0,0,IN_Verknüpfungen!$A$2,1)=X$3),OFFSET(IN_Verknüpfungen!$J$4,0,0,IN_Verknüpfungen!$A$2,1)))-SUM($G71:V71)</f>
        <v>#N/A</v>
      </c>
      <c r="X71" s="70" t="e" cm="1">
        <f t="array" aca="1" ref="X71" ca="1">_xlfn.NUMBERVALUE(_xlfn.XLOOKUP(1,(OFFSET(IN_Verknüpfungen!$O$4,0,0,IN_Verknüpfungen!$A$2,1)=$A71)*(OFFSET(IN_Verknüpfungen!$P$4,0,0,IN_Verknüpfungen!$A$2,1)=X$3+1),OFFSET(IN_Verknüpfungen!$F$4,0,0,IN_Verknüpfungen!$A$2,1)))-SUM($G71:W71)</f>
        <v>#N/A</v>
      </c>
      <c r="Y71" s="70" t="e" cm="1">
        <f t="array" aca="1" ref="Y71" ca="1">_xlfn.NUMBERVALUE(_xlfn.XLOOKUP(1,(OFFSET(IN_Verknüpfungen!$O$4,0,0,IN_Verknüpfungen!$A$2,1)=$A71)*(OFFSET(IN_Verknüpfungen!$P$4,0,0,IN_Verknüpfungen!$A$2,1)=Z$3),OFFSET(IN_Verknüpfungen!$J$4,0,0,IN_Verknüpfungen!$A$2,1)))-SUM($G71:X71)</f>
        <v>#N/A</v>
      </c>
      <c r="Z71" s="70" t="e" cm="1">
        <f t="array" aca="1" ref="Z71" ca="1">_xlfn.NUMBERVALUE(_xlfn.XLOOKUP(1,(OFFSET(IN_Verknüpfungen!$O$4,0,0,IN_Verknüpfungen!$A$2,1)=$A71)*(OFFSET(IN_Verknüpfungen!$P$4,0,0,IN_Verknüpfungen!$A$2,1)=Z$3+1),OFFSET(IN_Verknüpfungen!$F$4,0,0,IN_Verknüpfungen!$A$2,1)))-SUM($G71:Y71)</f>
        <v>#N/A</v>
      </c>
      <c r="AA71" s="70" t="e" cm="1">
        <f t="array" aca="1" ref="AA71" ca="1">_xlfn.NUMBERVALUE(_xlfn.XLOOKUP(1,(OFFSET(IN_Verknüpfungen!$O$4,0,0,IN_Verknüpfungen!$A$2,1)=$A71)*(OFFSET(IN_Verknüpfungen!$P$4,0,0,IN_Verknüpfungen!$A$2,1)=AB$3),OFFSET(IN_Verknüpfungen!$J$4,0,0,IN_Verknüpfungen!$A$2,1)))-SUM($G71:Z71)</f>
        <v>#N/A</v>
      </c>
      <c r="AB71" s="70" t="e" cm="1">
        <f t="array" aca="1" ref="AB71" ca="1">_xlfn.NUMBERVALUE(_xlfn.XLOOKUP(1,(OFFSET(IN_Verknüpfungen!$O$4,0,0,IN_Verknüpfungen!$A$2,1)=$A71)*(OFFSET(IN_Verknüpfungen!$P$4,0,0,IN_Verknüpfungen!$A$2,1)=AB$3+1),OFFSET(IN_Verknüpfungen!$F$4,0,0,IN_Verknüpfungen!$A$2,1)))-SUM($G71:AA71)</f>
        <v>#N/A</v>
      </c>
    </row>
    <row r="72" spans="1:28" x14ac:dyDescent="0.2">
      <c r="A72" s="56" t="str">
        <f ca="1"/>
        <v>Composition 69</v>
      </c>
      <c r="B72" s="55" t="str" cm="1">
        <f t="array" aca="1" ref="B72" ca="1">IF(A72&lt;&gt;"",_xlfn.XLOOKUP(Laufwege!A72,OFFSET(IN_Verknüpfungen!L$4,0,0,IN_Verknüpfungen!A$2,1),OFFSET(IN_Verknüpfungen!N$4,0,0,IN_Verknüpfungen!A$2,1),""),"")</f>
        <v>462-1.0</v>
      </c>
      <c r="C72" s="55">
        <f ca="1">IF(A72&lt;&gt;"",SUMIFS(OFFSET(IN_Verknüpfungen!M$4,0,0,IN_Verknüpfungen!A$2,1),OFFSET(IN_Verknüpfungen!O$4,0,0,IN_Verknüpfungen!A$2,1),Laufwege!A72),0)</f>
        <v>720802</v>
      </c>
      <c r="D72" s="55" cm="1">
        <f t="array" aca="1" ref="D72" ca="1">IF(B72&lt;&gt;"",_xlfn.XLOOKUP(B72,OFFSET(IN_Stammdaten!$A$4,0,0,IN_Stammdaten!$A$2,1),OFFSET(IN_Stammdaten!$C$4,0,0,IN_Stammdaten!$A$2,1),""),"")</f>
        <v>0</v>
      </c>
      <c r="E72" s="55" t="str">
        <f t="shared" ca="1" si="2"/>
        <v>nein</v>
      </c>
      <c r="F72" s="69" t="str">
        <f t="shared" ca="1" si="3"/>
        <v>Composition 69 (462-1.0)</v>
      </c>
      <c r="G72" s="70" cm="1">
        <f t="array" aca="1" ref="G72" ca="1">_xlfn.NUMBERVALUE(_xlfn.XLOOKUP(A72,OFFSET(IN_Verknüpfungen!$L$4,0,0,IN_Verknüpfungen!$A$2,1),OFFSET(IN_Verknüpfungen!$Q$4,0,0,IN_Verknüpfungen!$A$2,1)))</f>
        <v>0.2441898148148148</v>
      </c>
      <c r="H72" s="70" cm="1">
        <f t="array" aca="1" ref="H72" ca="1">_xlfn.NUMBERVALUE(_xlfn.XLOOKUP(A72,OFFSET(IN_Verknüpfungen!$L$4,0,0,IN_Verknüpfungen!$A$2,1),OFFSET(IN_Verknüpfungen!$F$4,0,0,IN_Verknüpfungen!$A$2,1)))-G72</f>
        <v>0.1037962962962963</v>
      </c>
      <c r="I72" s="70" cm="1">
        <f t="array" aca="1" ref="I72" ca="1">_xlfn.NUMBERVALUE(_xlfn.XLOOKUP(1,(OFFSET(IN_Verknüpfungen!$O$4,0,0,IN_Verknüpfungen!$A$2,1)=$A72)*(OFFSET(IN_Verknüpfungen!$P$4,0,0,IN_Verknüpfungen!$A$2,1)=J$3),OFFSET(IN_Verknüpfungen!$J$4,0,0,IN_Verknüpfungen!$A$2,1)))-SUM($G72:H72)</f>
        <v>1.9259259259259254E-2</v>
      </c>
      <c r="J72" s="70" cm="1">
        <f t="array" aca="1" ref="J72" ca="1">_xlfn.NUMBERVALUE(_xlfn.XLOOKUP(1,(OFFSET(IN_Verknüpfungen!$O$4,0,0,IN_Verknüpfungen!$A$2,1)=$A72)*(OFFSET(IN_Verknüpfungen!$P$4,0,0,IN_Verknüpfungen!$A$2,1)=J$3+1),OFFSET(IN_Verknüpfungen!$F$4,0,0,IN_Verknüpfungen!$A$2,1)))-SUM($G72:I72)</f>
        <v>9.9097222222222225E-2</v>
      </c>
      <c r="K72" s="70" cm="1">
        <f t="array" aca="1" ref="K72" ca="1">_xlfn.NUMBERVALUE(_xlfn.XLOOKUP(1,(OFFSET(IN_Verknüpfungen!$O$4,0,0,IN_Verknüpfungen!$A$2,1)=$A72)*(OFFSET(IN_Verknüpfungen!$P$4,0,0,IN_Verknüpfungen!$A$2,1)=L$3),OFFSET(IN_Verknüpfungen!$J$4,0,0,IN_Verknüpfungen!$A$2,1)))-SUM($G72:J72)</f>
        <v>1.5254629629629646E-2</v>
      </c>
      <c r="L72" s="70" cm="1">
        <f t="array" aca="1" ref="L72" ca="1">_xlfn.NUMBERVALUE(_xlfn.XLOOKUP(1,(OFFSET(IN_Verknüpfungen!$O$4,0,0,IN_Verknüpfungen!$A$2,1)=$A72)*(OFFSET(IN_Verknüpfungen!$P$4,0,0,IN_Verknüpfungen!$A$2,1)=L$3+1),OFFSET(IN_Verknüpfungen!$F$4,0,0,IN_Verknüpfungen!$A$2,1)))-SUM($G72:K72)</f>
        <v>9.4247685185185226E-2</v>
      </c>
      <c r="M72" s="70" cm="1">
        <f t="array" aca="1" ref="M72" ca="1">_xlfn.NUMBERVALUE(_xlfn.XLOOKUP(1,(OFFSET(IN_Verknüpfungen!$O$4,0,0,IN_Verknüpfungen!$A$2,1)=$A72)*(OFFSET(IN_Verknüpfungen!$P$4,0,0,IN_Verknüpfungen!$A$2,1)=N$3),OFFSET(IN_Verknüpfungen!$J$4,0,0,IN_Verknüpfungen!$A$2,1)))-SUM($G72:L72)</f>
        <v>2.0960648148148131E-2</v>
      </c>
      <c r="N72" s="70" t="e" cm="1">
        <f t="array" aca="1" ref="N72" ca="1">_xlfn.NUMBERVALUE(_xlfn.XLOOKUP(1,(OFFSET(IN_Verknüpfungen!$O$4,0,0,IN_Verknüpfungen!$A$2,1)=$A72)*(OFFSET(IN_Verknüpfungen!$P$4,0,0,IN_Verknüpfungen!$A$2,1)=N$3+1),OFFSET(IN_Verknüpfungen!$F$4,0,0,IN_Verknüpfungen!$A$2,1)))-SUM($G72:M72)</f>
        <v>#N/A</v>
      </c>
      <c r="O72" s="70" t="e" cm="1">
        <f t="array" aca="1" ref="O72" ca="1">_xlfn.NUMBERVALUE(_xlfn.XLOOKUP(1,(OFFSET(IN_Verknüpfungen!$O$4,0,0,IN_Verknüpfungen!$A$2,1)=$A72)*(OFFSET(IN_Verknüpfungen!$P$4,0,0,IN_Verknüpfungen!$A$2,1)=P$3),OFFSET(IN_Verknüpfungen!$J$4,0,0,IN_Verknüpfungen!$A$2,1)))-SUM($G72:N72)</f>
        <v>#N/A</v>
      </c>
      <c r="P72" s="70" t="e" cm="1">
        <f t="array" aca="1" ref="P72" ca="1">_xlfn.NUMBERVALUE(_xlfn.XLOOKUP(1,(OFFSET(IN_Verknüpfungen!$O$4,0,0,IN_Verknüpfungen!$A$2,1)=$A72)*(OFFSET(IN_Verknüpfungen!$P$4,0,0,IN_Verknüpfungen!$A$2,1)=P$3+1),OFFSET(IN_Verknüpfungen!$F$4,0,0,IN_Verknüpfungen!$A$2,1)))-SUM($G72:O72)</f>
        <v>#N/A</v>
      </c>
      <c r="Q72" s="70" t="e" cm="1">
        <f t="array" aca="1" ref="Q72" ca="1">_xlfn.NUMBERVALUE(_xlfn.XLOOKUP(1,(OFFSET(IN_Verknüpfungen!$O$4,0,0,IN_Verknüpfungen!$A$2,1)=$A72)*(OFFSET(IN_Verknüpfungen!$P$4,0,0,IN_Verknüpfungen!$A$2,1)=R$3),OFFSET(IN_Verknüpfungen!$J$4,0,0,IN_Verknüpfungen!$A$2,1)))-SUM($G72:P72)</f>
        <v>#N/A</v>
      </c>
      <c r="R72" s="70" t="e" cm="1">
        <f t="array" aca="1" ref="R72" ca="1">_xlfn.NUMBERVALUE(_xlfn.XLOOKUP(1,(OFFSET(IN_Verknüpfungen!$O$4,0,0,IN_Verknüpfungen!$A$2,1)=$A72)*(OFFSET(IN_Verknüpfungen!$P$4,0,0,IN_Verknüpfungen!$A$2,1)=R$3+1),OFFSET(IN_Verknüpfungen!$F$4,0,0,IN_Verknüpfungen!$A$2,1)))-SUM($G72:Q72)</f>
        <v>#N/A</v>
      </c>
      <c r="S72" s="70" t="e" cm="1">
        <f t="array" aca="1" ref="S72" ca="1">_xlfn.NUMBERVALUE(_xlfn.XLOOKUP(1,(OFFSET(IN_Verknüpfungen!$O$4,0,0,IN_Verknüpfungen!$A$2,1)=$A72)*(OFFSET(IN_Verknüpfungen!$P$4,0,0,IN_Verknüpfungen!$A$2,1)=T$3),OFFSET(IN_Verknüpfungen!$J$4,0,0,IN_Verknüpfungen!$A$2,1)))-SUM($G72:R72)</f>
        <v>#N/A</v>
      </c>
      <c r="T72" s="70" t="e" cm="1">
        <f t="array" aca="1" ref="T72" ca="1">_xlfn.NUMBERVALUE(_xlfn.XLOOKUP(1,(OFFSET(IN_Verknüpfungen!$O$4,0,0,IN_Verknüpfungen!$A$2,1)=$A72)*(OFFSET(IN_Verknüpfungen!$P$4,0,0,IN_Verknüpfungen!$A$2,1)=T$3+1),OFFSET(IN_Verknüpfungen!$F$4,0,0,IN_Verknüpfungen!$A$2,1)))-SUM($G72:S72)</f>
        <v>#N/A</v>
      </c>
      <c r="U72" s="70" t="e" cm="1">
        <f t="array" aca="1" ref="U72" ca="1">_xlfn.NUMBERVALUE(_xlfn.XLOOKUP(1,(OFFSET(IN_Verknüpfungen!$O$4,0,0,IN_Verknüpfungen!$A$2,1)=$A72)*(OFFSET(IN_Verknüpfungen!$P$4,0,0,IN_Verknüpfungen!$A$2,1)=V$3),OFFSET(IN_Verknüpfungen!$J$4,0,0,IN_Verknüpfungen!$A$2,1)))-SUM($G72:T72)</f>
        <v>#N/A</v>
      </c>
      <c r="V72" s="70" t="e" cm="1">
        <f t="array" aca="1" ref="V72" ca="1">_xlfn.NUMBERVALUE(_xlfn.XLOOKUP(1,(OFFSET(IN_Verknüpfungen!$O$4,0,0,IN_Verknüpfungen!$A$2,1)=$A72)*(OFFSET(IN_Verknüpfungen!$P$4,0,0,IN_Verknüpfungen!$A$2,1)=V$3+1),OFFSET(IN_Verknüpfungen!$F$4,0,0,IN_Verknüpfungen!$A$2,1)))-SUM($G72:U72)</f>
        <v>#N/A</v>
      </c>
      <c r="W72" s="70" t="e" cm="1">
        <f t="array" aca="1" ref="W72" ca="1">_xlfn.NUMBERVALUE(_xlfn.XLOOKUP(1,(OFFSET(IN_Verknüpfungen!$O$4,0,0,IN_Verknüpfungen!$A$2,1)=$A72)*(OFFSET(IN_Verknüpfungen!$P$4,0,0,IN_Verknüpfungen!$A$2,1)=X$3),OFFSET(IN_Verknüpfungen!$J$4,0,0,IN_Verknüpfungen!$A$2,1)))-SUM($G72:V72)</f>
        <v>#N/A</v>
      </c>
      <c r="X72" s="70" t="e" cm="1">
        <f t="array" aca="1" ref="X72" ca="1">_xlfn.NUMBERVALUE(_xlfn.XLOOKUP(1,(OFFSET(IN_Verknüpfungen!$O$4,0,0,IN_Verknüpfungen!$A$2,1)=$A72)*(OFFSET(IN_Verknüpfungen!$P$4,0,0,IN_Verknüpfungen!$A$2,1)=X$3+1),OFFSET(IN_Verknüpfungen!$F$4,0,0,IN_Verknüpfungen!$A$2,1)))-SUM($G72:W72)</f>
        <v>#N/A</v>
      </c>
      <c r="Y72" s="70" t="e" cm="1">
        <f t="array" aca="1" ref="Y72" ca="1">_xlfn.NUMBERVALUE(_xlfn.XLOOKUP(1,(OFFSET(IN_Verknüpfungen!$O$4,0,0,IN_Verknüpfungen!$A$2,1)=$A72)*(OFFSET(IN_Verknüpfungen!$P$4,0,0,IN_Verknüpfungen!$A$2,1)=Z$3),OFFSET(IN_Verknüpfungen!$J$4,0,0,IN_Verknüpfungen!$A$2,1)))-SUM($G72:X72)</f>
        <v>#N/A</v>
      </c>
      <c r="Z72" s="70" t="e" cm="1">
        <f t="array" aca="1" ref="Z72" ca="1">_xlfn.NUMBERVALUE(_xlfn.XLOOKUP(1,(OFFSET(IN_Verknüpfungen!$O$4,0,0,IN_Verknüpfungen!$A$2,1)=$A72)*(OFFSET(IN_Verknüpfungen!$P$4,0,0,IN_Verknüpfungen!$A$2,1)=Z$3+1),OFFSET(IN_Verknüpfungen!$F$4,0,0,IN_Verknüpfungen!$A$2,1)))-SUM($G72:Y72)</f>
        <v>#N/A</v>
      </c>
      <c r="AA72" s="70" t="e" cm="1">
        <f t="array" aca="1" ref="AA72" ca="1">_xlfn.NUMBERVALUE(_xlfn.XLOOKUP(1,(OFFSET(IN_Verknüpfungen!$O$4,0,0,IN_Verknüpfungen!$A$2,1)=$A72)*(OFFSET(IN_Verknüpfungen!$P$4,0,0,IN_Verknüpfungen!$A$2,1)=AB$3),OFFSET(IN_Verknüpfungen!$J$4,0,0,IN_Verknüpfungen!$A$2,1)))-SUM($G72:Z72)</f>
        <v>#N/A</v>
      </c>
      <c r="AB72" s="70" t="e" cm="1">
        <f t="array" aca="1" ref="AB72" ca="1">_xlfn.NUMBERVALUE(_xlfn.XLOOKUP(1,(OFFSET(IN_Verknüpfungen!$O$4,0,0,IN_Verknüpfungen!$A$2,1)=$A72)*(OFFSET(IN_Verknüpfungen!$P$4,0,0,IN_Verknüpfungen!$A$2,1)=AB$3+1),OFFSET(IN_Verknüpfungen!$F$4,0,0,IN_Verknüpfungen!$A$2,1)))-SUM($G72:AA72)</f>
        <v>#N/A</v>
      </c>
    </row>
    <row r="73" spans="1:28" x14ac:dyDescent="0.2">
      <c r="A73" s="56" t="str">
        <f ca="1"/>
        <v>Composition 70</v>
      </c>
      <c r="B73" s="55" t="str" cm="1">
        <f t="array" aca="1" ref="B73" ca="1">IF(A73&lt;&gt;"",_xlfn.XLOOKUP(Laufwege!A73,OFFSET(IN_Verknüpfungen!L$4,0,0,IN_Verknüpfungen!A$2,1),OFFSET(IN_Verknüpfungen!N$4,0,0,IN_Verknüpfungen!A$2,1),""),"")</f>
        <v>462-1.0</v>
      </c>
      <c r="C73" s="55">
        <f ca="1">IF(A73&lt;&gt;"",SUMIFS(OFFSET(IN_Verknüpfungen!M$4,0,0,IN_Verknüpfungen!A$2,1),OFFSET(IN_Verknüpfungen!O$4,0,0,IN_Verknüpfungen!A$2,1),Laufwege!A73),0)</f>
        <v>483168</v>
      </c>
      <c r="D73" s="55" cm="1">
        <f t="array" aca="1" ref="D73" ca="1">IF(B73&lt;&gt;"",_xlfn.XLOOKUP(B73,OFFSET(IN_Stammdaten!$A$4,0,0,IN_Stammdaten!$A$2,1),OFFSET(IN_Stammdaten!$C$4,0,0,IN_Stammdaten!$A$2,1),""),"")</f>
        <v>0</v>
      </c>
      <c r="E73" s="55" t="str">
        <f t="shared" ca="1" si="2"/>
        <v>nein</v>
      </c>
      <c r="F73" s="69" t="str">
        <f t="shared" ca="1" si="3"/>
        <v>Composition 70 (462-1.0)</v>
      </c>
      <c r="G73" s="70" cm="1">
        <f t="array" aca="1" ref="G73" ca="1">_xlfn.NUMBERVALUE(_xlfn.XLOOKUP(A73,OFFSET(IN_Verknüpfungen!$L$4,0,0,IN_Verknüpfungen!$A$2,1),OFFSET(IN_Verknüpfungen!$Q$4,0,0,IN_Verknüpfungen!$A$2,1)))</f>
        <v>0.25741898148148146</v>
      </c>
      <c r="H73" s="70" cm="1">
        <f t="array" aca="1" ref="H73" ca="1">_xlfn.NUMBERVALUE(_xlfn.XLOOKUP(A73,OFFSET(IN_Verknüpfungen!$L$4,0,0,IN_Verknüpfungen!$A$2,1),OFFSET(IN_Verknüpfungen!$F$4,0,0,IN_Verknüpfungen!$A$2,1)))-G73</f>
        <v>9.3263888888888924E-2</v>
      </c>
      <c r="I73" s="70" cm="1">
        <f t="array" aca="1" ref="I73" ca="1">_xlfn.NUMBERVALUE(_xlfn.XLOOKUP(1,(OFFSET(IN_Verknüpfungen!$O$4,0,0,IN_Verknüpfungen!$A$2,1)=$A73)*(OFFSET(IN_Verknüpfungen!$P$4,0,0,IN_Verknüpfungen!$A$2,1)=J$3),OFFSET(IN_Verknüpfungen!$J$4,0,0,IN_Verknüpfungen!$A$2,1)))-SUM($G73:H73)</f>
        <v>2.3622685185185177E-2</v>
      </c>
      <c r="J73" s="70" cm="1">
        <f t="array" aca="1" ref="J73" ca="1">_xlfn.NUMBERVALUE(_xlfn.XLOOKUP(1,(OFFSET(IN_Verknüpfungen!$O$4,0,0,IN_Verknüpfungen!$A$2,1)=$A73)*(OFFSET(IN_Verknüpfungen!$P$4,0,0,IN_Verknüpfungen!$A$2,1)=J$3+1),OFFSET(IN_Verknüpfungen!$F$4,0,0,IN_Verknüpfungen!$A$2,1)))-SUM($G73:I73)</f>
        <v>8.159722222222221E-2</v>
      </c>
      <c r="K73" s="70" cm="1">
        <f t="array" aca="1" ref="K73" ca="1">_xlfn.NUMBERVALUE(_xlfn.XLOOKUP(1,(OFFSET(IN_Verknüpfungen!$O$4,0,0,IN_Verknüpfungen!$A$2,1)=$A73)*(OFFSET(IN_Verknüpfungen!$P$4,0,0,IN_Verknüpfungen!$A$2,1)=L$3),OFFSET(IN_Verknüpfungen!$J$4,0,0,IN_Verknüpfungen!$A$2,1)))-SUM($G73:J73)</f>
        <v>1.9699074074074063E-2</v>
      </c>
      <c r="L73" s="70" cm="1">
        <f t="array" aca="1" ref="L73" ca="1">_xlfn.NUMBERVALUE(_xlfn.XLOOKUP(1,(OFFSET(IN_Verknüpfungen!$O$4,0,0,IN_Verknüpfungen!$A$2,1)=$A73)*(OFFSET(IN_Verknüpfungen!$P$4,0,0,IN_Verknüpfungen!$A$2,1)=L$3+1),OFFSET(IN_Verknüpfungen!$F$4,0,0,IN_Verknüpfungen!$A$2,1)))-SUM($G73:K73)</f>
        <v>8.341435185185192E-2</v>
      </c>
      <c r="M73" s="70" cm="1">
        <f t="array" aca="1" ref="M73" ca="1">_xlfn.NUMBERVALUE(_xlfn.XLOOKUP(1,(OFFSET(IN_Verknüpfungen!$O$4,0,0,IN_Verknüpfungen!$A$2,1)=$A73)*(OFFSET(IN_Verknüpfungen!$P$4,0,0,IN_Verknüpfungen!$A$2,1)=N$3),OFFSET(IN_Verknüpfungen!$J$4,0,0,IN_Verknüpfungen!$A$2,1)))-SUM($G73:L73)</f>
        <v>2.3622685185185177E-2</v>
      </c>
      <c r="N73" s="70" t="e" cm="1">
        <f t="array" aca="1" ref="N73" ca="1">_xlfn.NUMBERVALUE(_xlfn.XLOOKUP(1,(OFFSET(IN_Verknüpfungen!$O$4,0,0,IN_Verknüpfungen!$A$2,1)=$A73)*(OFFSET(IN_Verknüpfungen!$P$4,0,0,IN_Verknüpfungen!$A$2,1)=N$3+1),OFFSET(IN_Verknüpfungen!$F$4,0,0,IN_Verknüpfungen!$A$2,1)))-SUM($G73:M73)</f>
        <v>#N/A</v>
      </c>
      <c r="O73" s="70" t="e" cm="1">
        <f t="array" aca="1" ref="O73" ca="1">_xlfn.NUMBERVALUE(_xlfn.XLOOKUP(1,(OFFSET(IN_Verknüpfungen!$O$4,0,0,IN_Verknüpfungen!$A$2,1)=$A73)*(OFFSET(IN_Verknüpfungen!$P$4,0,0,IN_Verknüpfungen!$A$2,1)=P$3),OFFSET(IN_Verknüpfungen!$J$4,0,0,IN_Verknüpfungen!$A$2,1)))-SUM($G73:N73)</f>
        <v>#N/A</v>
      </c>
      <c r="P73" s="70" t="e" cm="1">
        <f t="array" aca="1" ref="P73" ca="1">_xlfn.NUMBERVALUE(_xlfn.XLOOKUP(1,(OFFSET(IN_Verknüpfungen!$O$4,0,0,IN_Verknüpfungen!$A$2,1)=$A73)*(OFFSET(IN_Verknüpfungen!$P$4,0,0,IN_Verknüpfungen!$A$2,1)=P$3+1),OFFSET(IN_Verknüpfungen!$F$4,0,0,IN_Verknüpfungen!$A$2,1)))-SUM($G73:O73)</f>
        <v>#N/A</v>
      </c>
      <c r="Q73" s="70" t="e" cm="1">
        <f t="array" aca="1" ref="Q73" ca="1">_xlfn.NUMBERVALUE(_xlfn.XLOOKUP(1,(OFFSET(IN_Verknüpfungen!$O$4,0,0,IN_Verknüpfungen!$A$2,1)=$A73)*(OFFSET(IN_Verknüpfungen!$P$4,0,0,IN_Verknüpfungen!$A$2,1)=R$3),OFFSET(IN_Verknüpfungen!$J$4,0,0,IN_Verknüpfungen!$A$2,1)))-SUM($G73:P73)</f>
        <v>#N/A</v>
      </c>
      <c r="R73" s="70" t="e" cm="1">
        <f t="array" aca="1" ref="R73" ca="1">_xlfn.NUMBERVALUE(_xlfn.XLOOKUP(1,(OFFSET(IN_Verknüpfungen!$O$4,0,0,IN_Verknüpfungen!$A$2,1)=$A73)*(OFFSET(IN_Verknüpfungen!$P$4,0,0,IN_Verknüpfungen!$A$2,1)=R$3+1),OFFSET(IN_Verknüpfungen!$F$4,0,0,IN_Verknüpfungen!$A$2,1)))-SUM($G73:Q73)</f>
        <v>#N/A</v>
      </c>
      <c r="S73" s="70" t="e" cm="1">
        <f t="array" aca="1" ref="S73" ca="1">_xlfn.NUMBERVALUE(_xlfn.XLOOKUP(1,(OFFSET(IN_Verknüpfungen!$O$4,0,0,IN_Verknüpfungen!$A$2,1)=$A73)*(OFFSET(IN_Verknüpfungen!$P$4,0,0,IN_Verknüpfungen!$A$2,1)=T$3),OFFSET(IN_Verknüpfungen!$J$4,0,0,IN_Verknüpfungen!$A$2,1)))-SUM($G73:R73)</f>
        <v>#N/A</v>
      </c>
      <c r="T73" s="70" t="e" cm="1">
        <f t="array" aca="1" ref="T73" ca="1">_xlfn.NUMBERVALUE(_xlfn.XLOOKUP(1,(OFFSET(IN_Verknüpfungen!$O$4,0,0,IN_Verknüpfungen!$A$2,1)=$A73)*(OFFSET(IN_Verknüpfungen!$P$4,0,0,IN_Verknüpfungen!$A$2,1)=T$3+1),OFFSET(IN_Verknüpfungen!$F$4,0,0,IN_Verknüpfungen!$A$2,1)))-SUM($G73:S73)</f>
        <v>#N/A</v>
      </c>
      <c r="U73" s="70" t="e" cm="1">
        <f t="array" aca="1" ref="U73" ca="1">_xlfn.NUMBERVALUE(_xlfn.XLOOKUP(1,(OFFSET(IN_Verknüpfungen!$O$4,0,0,IN_Verknüpfungen!$A$2,1)=$A73)*(OFFSET(IN_Verknüpfungen!$P$4,0,0,IN_Verknüpfungen!$A$2,1)=V$3),OFFSET(IN_Verknüpfungen!$J$4,0,0,IN_Verknüpfungen!$A$2,1)))-SUM($G73:T73)</f>
        <v>#N/A</v>
      </c>
      <c r="V73" s="70" t="e" cm="1">
        <f t="array" aca="1" ref="V73" ca="1">_xlfn.NUMBERVALUE(_xlfn.XLOOKUP(1,(OFFSET(IN_Verknüpfungen!$O$4,0,0,IN_Verknüpfungen!$A$2,1)=$A73)*(OFFSET(IN_Verknüpfungen!$P$4,0,0,IN_Verknüpfungen!$A$2,1)=V$3+1),OFFSET(IN_Verknüpfungen!$F$4,0,0,IN_Verknüpfungen!$A$2,1)))-SUM($G73:U73)</f>
        <v>#N/A</v>
      </c>
      <c r="W73" s="70" t="e" cm="1">
        <f t="array" aca="1" ref="W73" ca="1">_xlfn.NUMBERVALUE(_xlfn.XLOOKUP(1,(OFFSET(IN_Verknüpfungen!$O$4,0,0,IN_Verknüpfungen!$A$2,1)=$A73)*(OFFSET(IN_Verknüpfungen!$P$4,0,0,IN_Verknüpfungen!$A$2,1)=X$3),OFFSET(IN_Verknüpfungen!$J$4,0,0,IN_Verknüpfungen!$A$2,1)))-SUM($G73:V73)</f>
        <v>#N/A</v>
      </c>
      <c r="X73" s="70" t="e" cm="1">
        <f t="array" aca="1" ref="X73" ca="1">_xlfn.NUMBERVALUE(_xlfn.XLOOKUP(1,(OFFSET(IN_Verknüpfungen!$O$4,0,0,IN_Verknüpfungen!$A$2,1)=$A73)*(OFFSET(IN_Verknüpfungen!$P$4,0,0,IN_Verknüpfungen!$A$2,1)=X$3+1),OFFSET(IN_Verknüpfungen!$F$4,0,0,IN_Verknüpfungen!$A$2,1)))-SUM($G73:W73)</f>
        <v>#N/A</v>
      </c>
      <c r="Y73" s="70" t="e" cm="1">
        <f t="array" aca="1" ref="Y73" ca="1">_xlfn.NUMBERVALUE(_xlfn.XLOOKUP(1,(OFFSET(IN_Verknüpfungen!$O$4,0,0,IN_Verknüpfungen!$A$2,1)=$A73)*(OFFSET(IN_Verknüpfungen!$P$4,0,0,IN_Verknüpfungen!$A$2,1)=Z$3),OFFSET(IN_Verknüpfungen!$J$4,0,0,IN_Verknüpfungen!$A$2,1)))-SUM($G73:X73)</f>
        <v>#N/A</v>
      </c>
      <c r="Z73" s="70" t="e" cm="1">
        <f t="array" aca="1" ref="Z73" ca="1">_xlfn.NUMBERVALUE(_xlfn.XLOOKUP(1,(OFFSET(IN_Verknüpfungen!$O$4,0,0,IN_Verknüpfungen!$A$2,1)=$A73)*(OFFSET(IN_Verknüpfungen!$P$4,0,0,IN_Verknüpfungen!$A$2,1)=Z$3+1),OFFSET(IN_Verknüpfungen!$F$4,0,0,IN_Verknüpfungen!$A$2,1)))-SUM($G73:Y73)</f>
        <v>#N/A</v>
      </c>
      <c r="AA73" s="70" t="e" cm="1">
        <f t="array" aca="1" ref="AA73" ca="1">_xlfn.NUMBERVALUE(_xlfn.XLOOKUP(1,(OFFSET(IN_Verknüpfungen!$O$4,0,0,IN_Verknüpfungen!$A$2,1)=$A73)*(OFFSET(IN_Verknüpfungen!$P$4,0,0,IN_Verknüpfungen!$A$2,1)=AB$3),OFFSET(IN_Verknüpfungen!$J$4,0,0,IN_Verknüpfungen!$A$2,1)))-SUM($G73:Z73)</f>
        <v>#N/A</v>
      </c>
      <c r="AB73" s="70" t="e" cm="1">
        <f t="array" aca="1" ref="AB73" ca="1">_xlfn.NUMBERVALUE(_xlfn.XLOOKUP(1,(OFFSET(IN_Verknüpfungen!$O$4,0,0,IN_Verknüpfungen!$A$2,1)=$A73)*(OFFSET(IN_Verknüpfungen!$P$4,0,0,IN_Verknüpfungen!$A$2,1)=AB$3+1),OFFSET(IN_Verknüpfungen!$F$4,0,0,IN_Verknüpfungen!$A$2,1)))-SUM($G73:AA73)</f>
        <v>#N/A</v>
      </c>
    </row>
    <row r="74" spans="1:28" x14ac:dyDescent="0.2">
      <c r="A74" s="56" t="str">
        <f ca="1"/>
        <v>Composition 71</v>
      </c>
      <c r="B74" s="55" t="str" cm="1">
        <f t="array" aca="1" ref="B74" ca="1">IF(A74&lt;&gt;"",_xlfn.XLOOKUP(Laufwege!A74,OFFSET(IN_Verknüpfungen!L$4,0,0,IN_Verknüpfungen!A$2,1),OFFSET(IN_Verknüpfungen!N$4,0,0,IN_Verknüpfungen!A$2,1),""),"")</f>
        <v>146-3.2</v>
      </c>
      <c r="C74" s="55">
        <f ca="1">IF(A74&lt;&gt;"",SUMIFS(OFFSET(IN_Verknüpfungen!M$4,0,0,IN_Verknüpfungen!A$2,1),OFFSET(IN_Verknüpfungen!O$4,0,0,IN_Verknüpfungen!A$2,1),Laufwege!A74),0)</f>
        <v>410307</v>
      </c>
      <c r="D74" s="55" cm="1">
        <f t="array" aca="1" ref="D74" ca="1">IF(B74&lt;&gt;"",_xlfn.XLOOKUP(B74,OFFSET(IN_Stammdaten!$A$4,0,0,IN_Stammdaten!$A$2,1),OFFSET(IN_Stammdaten!$C$4,0,0,IN_Stammdaten!$A$2,1),""),"")</f>
        <v>0</v>
      </c>
      <c r="E74" s="55" t="str">
        <f t="shared" ca="1" si="2"/>
        <v>nein</v>
      </c>
      <c r="F74" s="69" t="str">
        <f t="shared" ca="1" si="3"/>
        <v>Composition 71 (146-3.2)</v>
      </c>
      <c r="G74" s="70" cm="1">
        <f t="array" aca="1" ref="G74" ca="1">_xlfn.NUMBERVALUE(_xlfn.XLOOKUP(A74,OFFSET(IN_Verknüpfungen!$L$4,0,0,IN_Verknüpfungen!$A$2,1),OFFSET(IN_Verknüpfungen!$Q$4,0,0,IN_Verknüpfungen!$A$2,1)))</f>
        <v>0.26611111111111113</v>
      </c>
      <c r="H74" s="70" cm="1">
        <f t="array" aca="1" ref="H74" ca="1">_xlfn.NUMBERVALUE(_xlfn.XLOOKUP(A74,OFFSET(IN_Verknüpfungen!$L$4,0,0,IN_Verknüpfungen!$A$2,1),OFFSET(IN_Verknüpfungen!$F$4,0,0,IN_Verknüpfungen!$A$2,1)))-G74</f>
        <v>8.5902777777777772E-2</v>
      </c>
      <c r="I74" s="70" cm="1">
        <f t="array" aca="1" ref="I74" ca="1">_xlfn.NUMBERVALUE(_xlfn.XLOOKUP(1,(OFFSET(IN_Verknüpfungen!$O$4,0,0,IN_Verknüpfungen!$A$2,1)=$A74)*(OFFSET(IN_Verknüpfungen!$P$4,0,0,IN_Verknüpfungen!$A$2,1)=J$3),OFFSET(IN_Verknüpfungen!$J$4,0,0,IN_Verknüpfungen!$A$2,1)))-SUM($G74:H74)</f>
        <v>1.2002314814814785E-2</v>
      </c>
      <c r="J74" s="70" cm="1">
        <f t="array" aca="1" ref="J74" ca="1">_xlfn.NUMBERVALUE(_xlfn.XLOOKUP(1,(OFFSET(IN_Verknüpfungen!$O$4,0,0,IN_Verknüpfungen!$A$2,1)=$A74)*(OFFSET(IN_Verknüpfungen!$P$4,0,0,IN_Verknüpfungen!$A$2,1)=J$3+1),OFFSET(IN_Verknüpfungen!$F$4,0,0,IN_Verknüpfungen!$A$2,1)))-SUM($G74:I74)</f>
        <v>4.5659722222222254E-2</v>
      </c>
      <c r="K74" s="70" cm="1">
        <f t="array" aca="1" ref="K74" ca="1">_xlfn.NUMBERVALUE(_xlfn.XLOOKUP(1,(OFFSET(IN_Verknüpfungen!$O$4,0,0,IN_Verknüpfungen!$A$2,1)=$A74)*(OFFSET(IN_Verknüpfungen!$P$4,0,0,IN_Verknüpfungen!$A$2,1)=L$3),OFFSET(IN_Verknüpfungen!$J$4,0,0,IN_Verknüpfungen!$A$2,1)))-SUM($G74:J74)</f>
        <v>1.9212962962962932E-2</v>
      </c>
      <c r="L74" s="70" cm="1">
        <f t="array" aca="1" ref="L74" ca="1">_xlfn.NUMBERVALUE(_xlfn.XLOOKUP(1,(OFFSET(IN_Verknüpfungen!$O$4,0,0,IN_Verknüpfungen!$A$2,1)=$A74)*(OFFSET(IN_Verknüpfungen!$P$4,0,0,IN_Verknüpfungen!$A$2,1)=L$3+1),OFFSET(IN_Verknüpfungen!$F$4,0,0,IN_Verknüpfungen!$A$2,1)))-SUM($G74:K74)</f>
        <v>5.0706018518518525E-2</v>
      </c>
      <c r="M74" s="70" cm="1">
        <f t="array" aca="1" ref="M74" ca="1">_xlfn.NUMBERVALUE(_xlfn.XLOOKUP(1,(OFFSET(IN_Verknüpfungen!$O$4,0,0,IN_Verknüpfungen!$A$2,1)=$A74)*(OFFSET(IN_Verknüpfungen!$P$4,0,0,IN_Verknüpfungen!$A$2,1)=N$3),OFFSET(IN_Verknüpfungen!$J$4,0,0,IN_Verknüpfungen!$A$2,1)))-SUM($G74:L74)</f>
        <v>2.4548611111111063E-2</v>
      </c>
      <c r="N74" s="70" cm="1">
        <f t="array" aca="1" ref="N74" ca="1">_xlfn.NUMBERVALUE(_xlfn.XLOOKUP(1,(OFFSET(IN_Verknüpfungen!$O$4,0,0,IN_Verknüpfungen!$A$2,1)=$A74)*(OFFSET(IN_Verknüpfungen!$P$4,0,0,IN_Verknüpfungen!$A$2,1)=N$3+1),OFFSET(IN_Verknüpfungen!$F$4,0,0,IN_Verknüpfungen!$A$2,1)))-SUM($G74:M74)</f>
        <v>5.4861111111111138E-2</v>
      </c>
      <c r="O74" s="70" cm="1">
        <f t="array" aca="1" ref="O74" ca="1">_xlfn.NUMBERVALUE(_xlfn.XLOOKUP(1,(OFFSET(IN_Verknüpfungen!$O$4,0,0,IN_Verknüpfungen!$A$2,1)=$A74)*(OFFSET(IN_Verknüpfungen!$P$4,0,0,IN_Verknüpfungen!$A$2,1)=P$3),OFFSET(IN_Verknüpfungen!$J$4,0,0,IN_Verknüpfungen!$A$2,1)))-SUM($G74:N74)</f>
        <v>1.6701388888888946E-2</v>
      </c>
      <c r="P74" s="70" t="e" cm="1">
        <f t="array" aca="1" ref="P74" ca="1">_xlfn.NUMBERVALUE(_xlfn.XLOOKUP(1,(OFFSET(IN_Verknüpfungen!$O$4,0,0,IN_Verknüpfungen!$A$2,1)=$A74)*(OFFSET(IN_Verknüpfungen!$P$4,0,0,IN_Verknüpfungen!$A$2,1)=P$3+1),OFFSET(IN_Verknüpfungen!$F$4,0,0,IN_Verknüpfungen!$A$2,1)))-SUM($G74:O74)</f>
        <v>#N/A</v>
      </c>
      <c r="Q74" s="70" t="e" cm="1">
        <f t="array" aca="1" ref="Q74" ca="1">_xlfn.NUMBERVALUE(_xlfn.XLOOKUP(1,(OFFSET(IN_Verknüpfungen!$O$4,0,0,IN_Verknüpfungen!$A$2,1)=$A74)*(OFFSET(IN_Verknüpfungen!$P$4,0,0,IN_Verknüpfungen!$A$2,1)=R$3),OFFSET(IN_Verknüpfungen!$J$4,0,0,IN_Verknüpfungen!$A$2,1)))-SUM($G74:P74)</f>
        <v>#N/A</v>
      </c>
      <c r="R74" s="70" t="e" cm="1">
        <f t="array" aca="1" ref="R74" ca="1">_xlfn.NUMBERVALUE(_xlfn.XLOOKUP(1,(OFFSET(IN_Verknüpfungen!$O$4,0,0,IN_Verknüpfungen!$A$2,1)=$A74)*(OFFSET(IN_Verknüpfungen!$P$4,0,0,IN_Verknüpfungen!$A$2,1)=R$3+1),OFFSET(IN_Verknüpfungen!$F$4,0,0,IN_Verknüpfungen!$A$2,1)))-SUM($G74:Q74)</f>
        <v>#N/A</v>
      </c>
      <c r="S74" s="70" t="e" cm="1">
        <f t="array" aca="1" ref="S74" ca="1">_xlfn.NUMBERVALUE(_xlfn.XLOOKUP(1,(OFFSET(IN_Verknüpfungen!$O$4,0,0,IN_Verknüpfungen!$A$2,1)=$A74)*(OFFSET(IN_Verknüpfungen!$P$4,0,0,IN_Verknüpfungen!$A$2,1)=T$3),OFFSET(IN_Verknüpfungen!$J$4,0,0,IN_Verknüpfungen!$A$2,1)))-SUM($G74:R74)</f>
        <v>#N/A</v>
      </c>
      <c r="T74" s="70" t="e" cm="1">
        <f t="array" aca="1" ref="T74" ca="1">_xlfn.NUMBERVALUE(_xlfn.XLOOKUP(1,(OFFSET(IN_Verknüpfungen!$O$4,0,0,IN_Verknüpfungen!$A$2,1)=$A74)*(OFFSET(IN_Verknüpfungen!$P$4,0,0,IN_Verknüpfungen!$A$2,1)=T$3+1),OFFSET(IN_Verknüpfungen!$F$4,0,0,IN_Verknüpfungen!$A$2,1)))-SUM($G74:S74)</f>
        <v>#N/A</v>
      </c>
      <c r="U74" s="70" t="e" cm="1">
        <f t="array" aca="1" ref="U74" ca="1">_xlfn.NUMBERVALUE(_xlfn.XLOOKUP(1,(OFFSET(IN_Verknüpfungen!$O$4,0,0,IN_Verknüpfungen!$A$2,1)=$A74)*(OFFSET(IN_Verknüpfungen!$P$4,0,0,IN_Verknüpfungen!$A$2,1)=V$3),OFFSET(IN_Verknüpfungen!$J$4,0,0,IN_Verknüpfungen!$A$2,1)))-SUM($G74:T74)</f>
        <v>#N/A</v>
      </c>
      <c r="V74" s="70" t="e" cm="1">
        <f t="array" aca="1" ref="V74" ca="1">_xlfn.NUMBERVALUE(_xlfn.XLOOKUP(1,(OFFSET(IN_Verknüpfungen!$O$4,0,0,IN_Verknüpfungen!$A$2,1)=$A74)*(OFFSET(IN_Verknüpfungen!$P$4,0,0,IN_Verknüpfungen!$A$2,1)=V$3+1),OFFSET(IN_Verknüpfungen!$F$4,0,0,IN_Verknüpfungen!$A$2,1)))-SUM($G74:U74)</f>
        <v>#N/A</v>
      </c>
      <c r="W74" s="70" t="e" cm="1">
        <f t="array" aca="1" ref="W74" ca="1">_xlfn.NUMBERVALUE(_xlfn.XLOOKUP(1,(OFFSET(IN_Verknüpfungen!$O$4,0,0,IN_Verknüpfungen!$A$2,1)=$A74)*(OFFSET(IN_Verknüpfungen!$P$4,0,0,IN_Verknüpfungen!$A$2,1)=X$3),OFFSET(IN_Verknüpfungen!$J$4,0,0,IN_Verknüpfungen!$A$2,1)))-SUM($G74:V74)</f>
        <v>#N/A</v>
      </c>
      <c r="X74" s="70" t="e" cm="1">
        <f t="array" aca="1" ref="X74" ca="1">_xlfn.NUMBERVALUE(_xlfn.XLOOKUP(1,(OFFSET(IN_Verknüpfungen!$O$4,0,0,IN_Verknüpfungen!$A$2,1)=$A74)*(OFFSET(IN_Verknüpfungen!$P$4,0,0,IN_Verknüpfungen!$A$2,1)=X$3+1),OFFSET(IN_Verknüpfungen!$F$4,0,0,IN_Verknüpfungen!$A$2,1)))-SUM($G74:W74)</f>
        <v>#N/A</v>
      </c>
      <c r="Y74" s="70" t="e" cm="1">
        <f t="array" aca="1" ref="Y74" ca="1">_xlfn.NUMBERVALUE(_xlfn.XLOOKUP(1,(OFFSET(IN_Verknüpfungen!$O$4,0,0,IN_Verknüpfungen!$A$2,1)=$A74)*(OFFSET(IN_Verknüpfungen!$P$4,0,0,IN_Verknüpfungen!$A$2,1)=Z$3),OFFSET(IN_Verknüpfungen!$J$4,0,0,IN_Verknüpfungen!$A$2,1)))-SUM($G74:X74)</f>
        <v>#N/A</v>
      </c>
      <c r="Z74" s="70" t="e" cm="1">
        <f t="array" aca="1" ref="Z74" ca="1">_xlfn.NUMBERVALUE(_xlfn.XLOOKUP(1,(OFFSET(IN_Verknüpfungen!$O$4,0,0,IN_Verknüpfungen!$A$2,1)=$A74)*(OFFSET(IN_Verknüpfungen!$P$4,0,0,IN_Verknüpfungen!$A$2,1)=Z$3+1),OFFSET(IN_Verknüpfungen!$F$4,0,0,IN_Verknüpfungen!$A$2,1)))-SUM($G74:Y74)</f>
        <v>#N/A</v>
      </c>
      <c r="AA74" s="70" t="e" cm="1">
        <f t="array" aca="1" ref="AA74" ca="1">_xlfn.NUMBERVALUE(_xlfn.XLOOKUP(1,(OFFSET(IN_Verknüpfungen!$O$4,0,0,IN_Verknüpfungen!$A$2,1)=$A74)*(OFFSET(IN_Verknüpfungen!$P$4,0,0,IN_Verknüpfungen!$A$2,1)=AB$3),OFFSET(IN_Verknüpfungen!$J$4,0,0,IN_Verknüpfungen!$A$2,1)))-SUM($G74:Z74)</f>
        <v>#N/A</v>
      </c>
      <c r="AB74" s="70" t="e" cm="1">
        <f t="array" aca="1" ref="AB74" ca="1">_xlfn.NUMBERVALUE(_xlfn.XLOOKUP(1,(OFFSET(IN_Verknüpfungen!$O$4,0,0,IN_Verknüpfungen!$A$2,1)=$A74)*(OFFSET(IN_Verknüpfungen!$P$4,0,0,IN_Verknüpfungen!$A$2,1)=AB$3+1),OFFSET(IN_Verknüpfungen!$F$4,0,0,IN_Verknüpfungen!$A$2,1)))-SUM($G74:AA74)</f>
        <v>#N/A</v>
      </c>
    </row>
    <row r="75" spans="1:28" x14ac:dyDescent="0.2">
      <c r="A75" s="56" t="str">
        <f ca="1"/>
        <v>Composition 72</v>
      </c>
      <c r="B75" s="55" t="str" cm="1">
        <f t="array" aca="1" ref="B75" ca="1">IF(A75&lt;&gt;"",_xlfn.XLOOKUP(Laufwege!A75,OFFSET(IN_Verknüpfungen!L$4,0,0,IN_Verknüpfungen!A$2,1),OFFSET(IN_Verknüpfungen!N$4,0,0,IN_Verknüpfungen!A$2,1),""),"")</f>
        <v>462-1.0</v>
      </c>
      <c r="C75" s="55">
        <f ca="1">IF(A75&lt;&gt;"",SUMIFS(OFFSET(IN_Verknüpfungen!M$4,0,0,IN_Verknüpfungen!A$2,1),OFFSET(IN_Verknüpfungen!O$4,0,0,IN_Verknüpfungen!A$2,1),Laufwege!A75),0)</f>
        <v>616124</v>
      </c>
      <c r="D75" s="55" cm="1">
        <f t="array" aca="1" ref="D75" ca="1">IF(B75&lt;&gt;"",_xlfn.XLOOKUP(B75,OFFSET(IN_Stammdaten!$A$4,0,0,IN_Stammdaten!$A$2,1),OFFSET(IN_Stammdaten!$C$4,0,0,IN_Stammdaten!$A$2,1),""),"")</f>
        <v>0</v>
      </c>
      <c r="E75" s="55" t="str">
        <f t="shared" ca="1" si="2"/>
        <v>nein</v>
      </c>
      <c r="F75" s="69" t="str">
        <f t="shared" ca="1" si="3"/>
        <v>Composition 72 (462-1.0)</v>
      </c>
      <c r="G75" s="70" cm="1">
        <f t="array" aca="1" ref="G75" ca="1">_xlfn.NUMBERVALUE(_xlfn.XLOOKUP(A75,OFFSET(IN_Verknüpfungen!$L$4,0,0,IN_Verknüpfungen!$A$2,1),OFFSET(IN_Verknüpfungen!$Q$4,0,0,IN_Verknüpfungen!$A$2,1)))</f>
        <v>0.26010416666666669</v>
      </c>
      <c r="H75" s="70" cm="1">
        <f t="array" aca="1" ref="H75" ca="1">_xlfn.NUMBERVALUE(_xlfn.XLOOKUP(A75,OFFSET(IN_Verknüpfungen!$L$4,0,0,IN_Verknüpfungen!$A$2,1),OFFSET(IN_Verknüpfungen!$F$4,0,0,IN_Verknüpfungen!$A$2,1)))-G75</f>
        <v>9.3159722222222185E-2</v>
      </c>
      <c r="I75" s="70" cm="1">
        <f t="array" aca="1" ref="I75" ca="1">_xlfn.NUMBERVALUE(_xlfn.XLOOKUP(1,(OFFSET(IN_Verknüpfungen!$O$4,0,0,IN_Verknüpfungen!$A$2,1)=$A75)*(OFFSET(IN_Verknüpfungen!$P$4,0,0,IN_Verknüpfungen!$A$2,1)=J$3),OFFSET(IN_Verknüpfungen!$J$4,0,0,IN_Verknüpfungen!$A$2,1)))-SUM($G75:H75)</f>
        <v>2.7395833333333341E-2</v>
      </c>
      <c r="J75" s="70" cm="1">
        <f t="array" aca="1" ref="J75" ca="1">_xlfn.NUMBERVALUE(_xlfn.XLOOKUP(1,(OFFSET(IN_Verknüpfungen!$O$4,0,0,IN_Verknüpfungen!$A$2,1)=$A75)*(OFFSET(IN_Verknüpfungen!$P$4,0,0,IN_Verknüpfungen!$A$2,1)=J$3+1),OFFSET(IN_Verknüpfungen!$F$4,0,0,IN_Verknüpfungen!$A$2,1)))-SUM($G75:I75)</f>
        <v>8.8506944444444458E-2</v>
      </c>
      <c r="K75" s="70" cm="1">
        <f t="array" aca="1" ref="K75" ca="1">_xlfn.NUMBERVALUE(_xlfn.XLOOKUP(1,(OFFSET(IN_Verknüpfungen!$O$4,0,0,IN_Verknüpfungen!$A$2,1)=$A75)*(OFFSET(IN_Verknüpfungen!$P$4,0,0,IN_Verknüpfungen!$A$2,1)=L$3),OFFSET(IN_Verknüpfungen!$J$4,0,0,IN_Verknüpfungen!$A$2,1)))-SUM($G75:J75)</f>
        <v>4.4791666666666452E-3</v>
      </c>
      <c r="L75" s="70" cm="1">
        <f t="array" aca="1" ref="L75" ca="1">_xlfn.NUMBERVALUE(_xlfn.XLOOKUP(1,(OFFSET(IN_Verknüpfungen!$O$4,0,0,IN_Verknüpfungen!$A$2,1)=$A75)*(OFFSET(IN_Verknüpfungen!$P$4,0,0,IN_Verknüpfungen!$A$2,1)=L$3+1),OFFSET(IN_Verknüpfungen!$F$4,0,0,IN_Verknüpfungen!$A$2,1)))-SUM($G75:K75)</f>
        <v>8.7951388888888871E-2</v>
      </c>
      <c r="M75" s="70" cm="1">
        <f t="array" aca="1" ref="M75" ca="1">_xlfn.NUMBERVALUE(_xlfn.XLOOKUP(1,(OFFSET(IN_Verknüpfungen!$O$4,0,0,IN_Verknüpfungen!$A$2,1)=$A75)*(OFFSET(IN_Verknüpfungen!$P$4,0,0,IN_Verknüpfungen!$A$2,1)=N$3),OFFSET(IN_Verknüpfungen!$J$4,0,0,IN_Verknüpfungen!$A$2,1)))-SUM($G75:L75)</f>
        <v>2.7395833333333397E-2</v>
      </c>
      <c r="N75" s="70" t="e" cm="1">
        <f t="array" aca="1" ref="N75" ca="1">_xlfn.NUMBERVALUE(_xlfn.XLOOKUP(1,(OFFSET(IN_Verknüpfungen!$O$4,0,0,IN_Verknüpfungen!$A$2,1)=$A75)*(OFFSET(IN_Verknüpfungen!$P$4,0,0,IN_Verknüpfungen!$A$2,1)=N$3+1),OFFSET(IN_Verknüpfungen!$F$4,0,0,IN_Verknüpfungen!$A$2,1)))-SUM($G75:M75)</f>
        <v>#N/A</v>
      </c>
      <c r="O75" s="70" t="e" cm="1">
        <f t="array" aca="1" ref="O75" ca="1">_xlfn.NUMBERVALUE(_xlfn.XLOOKUP(1,(OFFSET(IN_Verknüpfungen!$O$4,0,0,IN_Verknüpfungen!$A$2,1)=$A75)*(OFFSET(IN_Verknüpfungen!$P$4,0,0,IN_Verknüpfungen!$A$2,1)=P$3),OFFSET(IN_Verknüpfungen!$J$4,0,0,IN_Verknüpfungen!$A$2,1)))-SUM($G75:N75)</f>
        <v>#N/A</v>
      </c>
      <c r="P75" s="70" t="e" cm="1">
        <f t="array" aca="1" ref="P75" ca="1">_xlfn.NUMBERVALUE(_xlfn.XLOOKUP(1,(OFFSET(IN_Verknüpfungen!$O$4,0,0,IN_Verknüpfungen!$A$2,1)=$A75)*(OFFSET(IN_Verknüpfungen!$P$4,0,0,IN_Verknüpfungen!$A$2,1)=P$3+1),OFFSET(IN_Verknüpfungen!$F$4,0,0,IN_Verknüpfungen!$A$2,1)))-SUM($G75:O75)</f>
        <v>#N/A</v>
      </c>
      <c r="Q75" s="70" t="e" cm="1">
        <f t="array" aca="1" ref="Q75" ca="1">_xlfn.NUMBERVALUE(_xlfn.XLOOKUP(1,(OFFSET(IN_Verknüpfungen!$O$4,0,0,IN_Verknüpfungen!$A$2,1)=$A75)*(OFFSET(IN_Verknüpfungen!$P$4,0,0,IN_Verknüpfungen!$A$2,1)=R$3),OFFSET(IN_Verknüpfungen!$J$4,0,0,IN_Verknüpfungen!$A$2,1)))-SUM($G75:P75)</f>
        <v>#N/A</v>
      </c>
      <c r="R75" s="70" t="e" cm="1">
        <f t="array" aca="1" ref="R75" ca="1">_xlfn.NUMBERVALUE(_xlfn.XLOOKUP(1,(OFFSET(IN_Verknüpfungen!$O$4,0,0,IN_Verknüpfungen!$A$2,1)=$A75)*(OFFSET(IN_Verknüpfungen!$P$4,0,0,IN_Verknüpfungen!$A$2,1)=R$3+1),OFFSET(IN_Verknüpfungen!$F$4,0,0,IN_Verknüpfungen!$A$2,1)))-SUM($G75:Q75)</f>
        <v>#N/A</v>
      </c>
      <c r="S75" s="70" t="e" cm="1">
        <f t="array" aca="1" ref="S75" ca="1">_xlfn.NUMBERVALUE(_xlfn.XLOOKUP(1,(OFFSET(IN_Verknüpfungen!$O$4,0,0,IN_Verknüpfungen!$A$2,1)=$A75)*(OFFSET(IN_Verknüpfungen!$P$4,0,0,IN_Verknüpfungen!$A$2,1)=T$3),OFFSET(IN_Verknüpfungen!$J$4,0,0,IN_Verknüpfungen!$A$2,1)))-SUM($G75:R75)</f>
        <v>#N/A</v>
      </c>
      <c r="T75" s="70" t="e" cm="1">
        <f t="array" aca="1" ref="T75" ca="1">_xlfn.NUMBERVALUE(_xlfn.XLOOKUP(1,(OFFSET(IN_Verknüpfungen!$O$4,0,0,IN_Verknüpfungen!$A$2,1)=$A75)*(OFFSET(IN_Verknüpfungen!$P$4,0,0,IN_Verknüpfungen!$A$2,1)=T$3+1),OFFSET(IN_Verknüpfungen!$F$4,0,0,IN_Verknüpfungen!$A$2,1)))-SUM($G75:S75)</f>
        <v>#N/A</v>
      </c>
      <c r="U75" s="70" t="e" cm="1">
        <f t="array" aca="1" ref="U75" ca="1">_xlfn.NUMBERVALUE(_xlfn.XLOOKUP(1,(OFFSET(IN_Verknüpfungen!$O$4,0,0,IN_Verknüpfungen!$A$2,1)=$A75)*(OFFSET(IN_Verknüpfungen!$P$4,0,0,IN_Verknüpfungen!$A$2,1)=V$3),OFFSET(IN_Verknüpfungen!$J$4,0,0,IN_Verknüpfungen!$A$2,1)))-SUM($G75:T75)</f>
        <v>#N/A</v>
      </c>
      <c r="V75" s="70" t="e" cm="1">
        <f t="array" aca="1" ref="V75" ca="1">_xlfn.NUMBERVALUE(_xlfn.XLOOKUP(1,(OFFSET(IN_Verknüpfungen!$O$4,0,0,IN_Verknüpfungen!$A$2,1)=$A75)*(OFFSET(IN_Verknüpfungen!$P$4,0,0,IN_Verknüpfungen!$A$2,1)=V$3+1),OFFSET(IN_Verknüpfungen!$F$4,0,0,IN_Verknüpfungen!$A$2,1)))-SUM($G75:U75)</f>
        <v>#N/A</v>
      </c>
      <c r="W75" s="70" t="e" cm="1">
        <f t="array" aca="1" ref="W75" ca="1">_xlfn.NUMBERVALUE(_xlfn.XLOOKUP(1,(OFFSET(IN_Verknüpfungen!$O$4,0,0,IN_Verknüpfungen!$A$2,1)=$A75)*(OFFSET(IN_Verknüpfungen!$P$4,0,0,IN_Verknüpfungen!$A$2,1)=X$3),OFFSET(IN_Verknüpfungen!$J$4,0,0,IN_Verknüpfungen!$A$2,1)))-SUM($G75:V75)</f>
        <v>#N/A</v>
      </c>
      <c r="X75" s="70" t="e" cm="1">
        <f t="array" aca="1" ref="X75" ca="1">_xlfn.NUMBERVALUE(_xlfn.XLOOKUP(1,(OFFSET(IN_Verknüpfungen!$O$4,0,0,IN_Verknüpfungen!$A$2,1)=$A75)*(OFFSET(IN_Verknüpfungen!$P$4,0,0,IN_Verknüpfungen!$A$2,1)=X$3+1),OFFSET(IN_Verknüpfungen!$F$4,0,0,IN_Verknüpfungen!$A$2,1)))-SUM($G75:W75)</f>
        <v>#N/A</v>
      </c>
      <c r="Y75" s="70" t="e" cm="1">
        <f t="array" aca="1" ref="Y75" ca="1">_xlfn.NUMBERVALUE(_xlfn.XLOOKUP(1,(OFFSET(IN_Verknüpfungen!$O$4,0,0,IN_Verknüpfungen!$A$2,1)=$A75)*(OFFSET(IN_Verknüpfungen!$P$4,0,0,IN_Verknüpfungen!$A$2,1)=Z$3),OFFSET(IN_Verknüpfungen!$J$4,0,0,IN_Verknüpfungen!$A$2,1)))-SUM($G75:X75)</f>
        <v>#N/A</v>
      </c>
      <c r="Z75" s="70" t="e" cm="1">
        <f t="array" aca="1" ref="Z75" ca="1">_xlfn.NUMBERVALUE(_xlfn.XLOOKUP(1,(OFFSET(IN_Verknüpfungen!$O$4,0,0,IN_Verknüpfungen!$A$2,1)=$A75)*(OFFSET(IN_Verknüpfungen!$P$4,0,0,IN_Verknüpfungen!$A$2,1)=Z$3+1),OFFSET(IN_Verknüpfungen!$F$4,0,0,IN_Verknüpfungen!$A$2,1)))-SUM($G75:Y75)</f>
        <v>#N/A</v>
      </c>
      <c r="AA75" s="70" t="e" cm="1">
        <f t="array" aca="1" ref="AA75" ca="1">_xlfn.NUMBERVALUE(_xlfn.XLOOKUP(1,(OFFSET(IN_Verknüpfungen!$O$4,0,0,IN_Verknüpfungen!$A$2,1)=$A75)*(OFFSET(IN_Verknüpfungen!$P$4,0,0,IN_Verknüpfungen!$A$2,1)=AB$3),OFFSET(IN_Verknüpfungen!$J$4,0,0,IN_Verknüpfungen!$A$2,1)))-SUM($G75:Z75)</f>
        <v>#N/A</v>
      </c>
      <c r="AB75" s="70" t="e" cm="1">
        <f t="array" aca="1" ref="AB75" ca="1">_xlfn.NUMBERVALUE(_xlfn.XLOOKUP(1,(OFFSET(IN_Verknüpfungen!$O$4,0,0,IN_Verknüpfungen!$A$2,1)=$A75)*(OFFSET(IN_Verknüpfungen!$P$4,0,0,IN_Verknüpfungen!$A$2,1)=AB$3+1),OFFSET(IN_Verknüpfungen!$F$4,0,0,IN_Verknüpfungen!$A$2,1)))-SUM($G75:AA75)</f>
        <v>#N/A</v>
      </c>
    </row>
    <row r="76" spans="1:28" x14ac:dyDescent="0.2">
      <c r="A76" s="56" t="str">
        <f ca="1"/>
        <v>Composition 73</v>
      </c>
      <c r="B76" s="55" t="str" cm="1">
        <f t="array" aca="1" ref="B76" ca="1">IF(A76&lt;&gt;"",_xlfn.XLOOKUP(Laufwege!A76,OFFSET(IN_Verknüpfungen!L$4,0,0,IN_Verknüpfungen!A$2,1),OFFSET(IN_Verknüpfungen!N$4,0,0,IN_Verknüpfungen!A$2,1),""),"")</f>
        <v>146-3.2</v>
      </c>
      <c r="C76" s="55">
        <f ca="1">IF(A76&lt;&gt;"",SUMIFS(OFFSET(IN_Verknüpfungen!M$4,0,0,IN_Verknüpfungen!A$2,1),OFFSET(IN_Verknüpfungen!O$4,0,0,IN_Verknüpfungen!A$2,1),Laufwege!A76),0)</f>
        <v>645913</v>
      </c>
      <c r="D76" s="55" cm="1">
        <f t="array" aca="1" ref="D76" ca="1">IF(B76&lt;&gt;"",_xlfn.XLOOKUP(B76,OFFSET(IN_Stammdaten!$A$4,0,0,IN_Stammdaten!$A$2,1),OFFSET(IN_Stammdaten!$C$4,0,0,IN_Stammdaten!$A$2,1),""),"")</f>
        <v>0</v>
      </c>
      <c r="E76" s="55" t="str">
        <f t="shared" ca="1" si="2"/>
        <v>nein</v>
      </c>
      <c r="F76" s="69" t="str">
        <f t="shared" ca="1" si="3"/>
        <v>Composition 73 (146-3.2)</v>
      </c>
      <c r="G76" s="70" cm="1">
        <f t="array" aca="1" ref="G76" ca="1">_xlfn.NUMBERVALUE(_xlfn.XLOOKUP(A76,OFFSET(IN_Verknüpfungen!$L$4,0,0,IN_Verknüpfungen!$A$2,1),OFFSET(IN_Verknüpfungen!$Q$4,0,0,IN_Verknüpfungen!$A$2,1)))</f>
        <v>0.22592592592592592</v>
      </c>
      <c r="H76" s="70" cm="1">
        <f t="array" aca="1" ref="H76" ca="1">_xlfn.NUMBERVALUE(_xlfn.XLOOKUP(A76,OFFSET(IN_Verknüpfungen!$L$4,0,0,IN_Verknüpfungen!$A$2,1),OFFSET(IN_Verknüpfungen!$F$4,0,0,IN_Verknüpfungen!$A$2,1)))-G76</f>
        <v>0.12793981481481481</v>
      </c>
      <c r="I76" s="70" cm="1">
        <f t="array" aca="1" ref="I76" ca="1">_xlfn.NUMBERVALUE(_xlfn.XLOOKUP(1,(OFFSET(IN_Verknüpfungen!$O$4,0,0,IN_Verknüpfungen!$A$2,1)=$A76)*(OFFSET(IN_Verknüpfungen!$P$4,0,0,IN_Verknüpfungen!$A$2,1)=J$3),OFFSET(IN_Verknüpfungen!$J$4,0,0,IN_Verknüpfungen!$A$2,1)))-SUM($G76:H76)</f>
        <v>2.7500000000000024E-2</v>
      </c>
      <c r="J76" s="70" cm="1">
        <f t="array" aca="1" ref="J76" ca="1">_xlfn.NUMBERVALUE(_xlfn.XLOOKUP(1,(OFFSET(IN_Verknüpfungen!$O$4,0,0,IN_Verknüpfungen!$A$2,1)=$A76)*(OFFSET(IN_Verknüpfungen!$P$4,0,0,IN_Verknüpfungen!$A$2,1)=J$3+1),OFFSET(IN_Verknüpfungen!$F$4,0,0,IN_Verknüpfungen!$A$2,1)))-SUM($G76:I76)</f>
        <v>0.11508101851851849</v>
      </c>
      <c r="K76" s="70" cm="1">
        <f t="array" aca="1" ref="K76" ca="1">_xlfn.NUMBERVALUE(_xlfn.XLOOKUP(1,(OFFSET(IN_Verknüpfungen!$O$4,0,0,IN_Verknüpfungen!$A$2,1)=$A76)*(OFFSET(IN_Verknüpfungen!$P$4,0,0,IN_Verknüpfungen!$A$2,1)=L$3),OFFSET(IN_Verknüpfungen!$J$4,0,0,IN_Verknüpfungen!$A$2,1)))-SUM($G76:J76)</f>
        <v>2.1331018518518541E-2</v>
      </c>
      <c r="L76" s="70" cm="1">
        <f t="array" aca="1" ref="L76" ca="1">_xlfn.NUMBERVALUE(_xlfn.XLOOKUP(1,(OFFSET(IN_Verknüpfungen!$O$4,0,0,IN_Verknüpfungen!$A$2,1)=$A76)*(OFFSET(IN_Verknüpfungen!$P$4,0,0,IN_Verknüpfungen!$A$2,1)=L$3+1),OFFSET(IN_Verknüpfungen!$F$4,0,0,IN_Verknüpfungen!$A$2,1)))-SUM($G76:K76)</f>
        <v>4.7280092592592582E-2</v>
      </c>
      <c r="M76" s="70" cm="1">
        <f t="array" aca="1" ref="M76" ca="1">_xlfn.NUMBERVALUE(_xlfn.XLOOKUP(1,(OFFSET(IN_Verknüpfungen!$O$4,0,0,IN_Verknüpfungen!$A$2,1)=$A76)*(OFFSET(IN_Verknüpfungen!$P$4,0,0,IN_Verknüpfungen!$A$2,1)=N$3),OFFSET(IN_Verknüpfungen!$J$4,0,0,IN_Verknüpfungen!$A$2,1)))-SUM($G76:L76)</f>
        <v>2.3946759259259265E-2</v>
      </c>
      <c r="N76" s="70" t="e" cm="1">
        <f t="array" aca="1" ref="N76" ca="1">_xlfn.NUMBERVALUE(_xlfn.XLOOKUP(1,(OFFSET(IN_Verknüpfungen!$O$4,0,0,IN_Verknüpfungen!$A$2,1)=$A76)*(OFFSET(IN_Verknüpfungen!$P$4,0,0,IN_Verknüpfungen!$A$2,1)=N$3+1),OFFSET(IN_Verknüpfungen!$F$4,0,0,IN_Verknüpfungen!$A$2,1)))-SUM($G76:M76)</f>
        <v>#N/A</v>
      </c>
      <c r="O76" s="70" t="e" cm="1">
        <f t="array" aca="1" ref="O76" ca="1">_xlfn.NUMBERVALUE(_xlfn.XLOOKUP(1,(OFFSET(IN_Verknüpfungen!$O$4,0,0,IN_Verknüpfungen!$A$2,1)=$A76)*(OFFSET(IN_Verknüpfungen!$P$4,0,0,IN_Verknüpfungen!$A$2,1)=P$3),OFFSET(IN_Verknüpfungen!$J$4,0,0,IN_Verknüpfungen!$A$2,1)))-SUM($G76:N76)</f>
        <v>#N/A</v>
      </c>
      <c r="P76" s="70" t="e" cm="1">
        <f t="array" aca="1" ref="P76" ca="1">_xlfn.NUMBERVALUE(_xlfn.XLOOKUP(1,(OFFSET(IN_Verknüpfungen!$O$4,0,0,IN_Verknüpfungen!$A$2,1)=$A76)*(OFFSET(IN_Verknüpfungen!$P$4,0,0,IN_Verknüpfungen!$A$2,1)=P$3+1),OFFSET(IN_Verknüpfungen!$F$4,0,0,IN_Verknüpfungen!$A$2,1)))-SUM($G76:O76)</f>
        <v>#N/A</v>
      </c>
      <c r="Q76" s="70" t="e" cm="1">
        <f t="array" aca="1" ref="Q76" ca="1">_xlfn.NUMBERVALUE(_xlfn.XLOOKUP(1,(OFFSET(IN_Verknüpfungen!$O$4,0,0,IN_Verknüpfungen!$A$2,1)=$A76)*(OFFSET(IN_Verknüpfungen!$P$4,0,0,IN_Verknüpfungen!$A$2,1)=R$3),OFFSET(IN_Verknüpfungen!$J$4,0,0,IN_Verknüpfungen!$A$2,1)))-SUM($G76:P76)</f>
        <v>#N/A</v>
      </c>
      <c r="R76" s="70" t="e" cm="1">
        <f t="array" aca="1" ref="R76" ca="1">_xlfn.NUMBERVALUE(_xlfn.XLOOKUP(1,(OFFSET(IN_Verknüpfungen!$O$4,0,0,IN_Verknüpfungen!$A$2,1)=$A76)*(OFFSET(IN_Verknüpfungen!$P$4,0,0,IN_Verknüpfungen!$A$2,1)=R$3+1),OFFSET(IN_Verknüpfungen!$F$4,0,0,IN_Verknüpfungen!$A$2,1)))-SUM($G76:Q76)</f>
        <v>#N/A</v>
      </c>
      <c r="S76" s="70" t="e" cm="1">
        <f t="array" aca="1" ref="S76" ca="1">_xlfn.NUMBERVALUE(_xlfn.XLOOKUP(1,(OFFSET(IN_Verknüpfungen!$O$4,0,0,IN_Verknüpfungen!$A$2,1)=$A76)*(OFFSET(IN_Verknüpfungen!$P$4,0,0,IN_Verknüpfungen!$A$2,1)=T$3),OFFSET(IN_Verknüpfungen!$J$4,0,0,IN_Verknüpfungen!$A$2,1)))-SUM($G76:R76)</f>
        <v>#N/A</v>
      </c>
      <c r="T76" s="70" t="e" cm="1">
        <f t="array" aca="1" ref="T76" ca="1">_xlfn.NUMBERVALUE(_xlfn.XLOOKUP(1,(OFFSET(IN_Verknüpfungen!$O$4,0,0,IN_Verknüpfungen!$A$2,1)=$A76)*(OFFSET(IN_Verknüpfungen!$P$4,0,0,IN_Verknüpfungen!$A$2,1)=T$3+1),OFFSET(IN_Verknüpfungen!$F$4,0,0,IN_Verknüpfungen!$A$2,1)))-SUM($G76:S76)</f>
        <v>#N/A</v>
      </c>
      <c r="U76" s="70" t="e" cm="1">
        <f t="array" aca="1" ref="U76" ca="1">_xlfn.NUMBERVALUE(_xlfn.XLOOKUP(1,(OFFSET(IN_Verknüpfungen!$O$4,0,0,IN_Verknüpfungen!$A$2,1)=$A76)*(OFFSET(IN_Verknüpfungen!$P$4,0,0,IN_Verknüpfungen!$A$2,1)=V$3),OFFSET(IN_Verknüpfungen!$J$4,0,0,IN_Verknüpfungen!$A$2,1)))-SUM($G76:T76)</f>
        <v>#N/A</v>
      </c>
      <c r="V76" s="70" t="e" cm="1">
        <f t="array" aca="1" ref="V76" ca="1">_xlfn.NUMBERVALUE(_xlfn.XLOOKUP(1,(OFFSET(IN_Verknüpfungen!$O$4,0,0,IN_Verknüpfungen!$A$2,1)=$A76)*(OFFSET(IN_Verknüpfungen!$P$4,0,0,IN_Verknüpfungen!$A$2,1)=V$3+1),OFFSET(IN_Verknüpfungen!$F$4,0,0,IN_Verknüpfungen!$A$2,1)))-SUM($G76:U76)</f>
        <v>#N/A</v>
      </c>
      <c r="W76" s="70" t="e" cm="1">
        <f t="array" aca="1" ref="W76" ca="1">_xlfn.NUMBERVALUE(_xlfn.XLOOKUP(1,(OFFSET(IN_Verknüpfungen!$O$4,0,0,IN_Verknüpfungen!$A$2,1)=$A76)*(OFFSET(IN_Verknüpfungen!$P$4,0,0,IN_Verknüpfungen!$A$2,1)=X$3),OFFSET(IN_Verknüpfungen!$J$4,0,0,IN_Verknüpfungen!$A$2,1)))-SUM($G76:V76)</f>
        <v>#N/A</v>
      </c>
      <c r="X76" s="70" t="e" cm="1">
        <f t="array" aca="1" ref="X76" ca="1">_xlfn.NUMBERVALUE(_xlfn.XLOOKUP(1,(OFFSET(IN_Verknüpfungen!$O$4,0,0,IN_Verknüpfungen!$A$2,1)=$A76)*(OFFSET(IN_Verknüpfungen!$P$4,0,0,IN_Verknüpfungen!$A$2,1)=X$3+1),OFFSET(IN_Verknüpfungen!$F$4,0,0,IN_Verknüpfungen!$A$2,1)))-SUM($G76:W76)</f>
        <v>#N/A</v>
      </c>
      <c r="Y76" s="70" t="e" cm="1">
        <f t="array" aca="1" ref="Y76" ca="1">_xlfn.NUMBERVALUE(_xlfn.XLOOKUP(1,(OFFSET(IN_Verknüpfungen!$O$4,0,0,IN_Verknüpfungen!$A$2,1)=$A76)*(OFFSET(IN_Verknüpfungen!$P$4,0,0,IN_Verknüpfungen!$A$2,1)=Z$3),OFFSET(IN_Verknüpfungen!$J$4,0,0,IN_Verknüpfungen!$A$2,1)))-SUM($G76:X76)</f>
        <v>#N/A</v>
      </c>
      <c r="Z76" s="70" t="e" cm="1">
        <f t="array" aca="1" ref="Z76" ca="1">_xlfn.NUMBERVALUE(_xlfn.XLOOKUP(1,(OFFSET(IN_Verknüpfungen!$O$4,0,0,IN_Verknüpfungen!$A$2,1)=$A76)*(OFFSET(IN_Verknüpfungen!$P$4,0,0,IN_Verknüpfungen!$A$2,1)=Z$3+1),OFFSET(IN_Verknüpfungen!$F$4,0,0,IN_Verknüpfungen!$A$2,1)))-SUM($G76:Y76)</f>
        <v>#N/A</v>
      </c>
      <c r="AA76" s="70" t="e" cm="1">
        <f t="array" aca="1" ref="AA76" ca="1">_xlfn.NUMBERVALUE(_xlfn.XLOOKUP(1,(OFFSET(IN_Verknüpfungen!$O$4,0,0,IN_Verknüpfungen!$A$2,1)=$A76)*(OFFSET(IN_Verknüpfungen!$P$4,0,0,IN_Verknüpfungen!$A$2,1)=AB$3),OFFSET(IN_Verknüpfungen!$J$4,0,0,IN_Verknüpfungen!$A$2,1)))-SUM($G76:Z76)</f>
        <v>#N/A</v>
      </c>
      <c r="AB76" s="70" t="e" cm="1">
        <f t="array" aca="1" ref="AB76" ca="1">_xlfn.NUMBERVALUE(_xlfn.XLOOKUP(1,(OFFSET(IN_Verknüpfungen!$O$4,0,0,IN_Verknüpfungen!$A$2,1)=$A76)*(OFFSET(IN_Verknüpfungen!$P$4,0,0,IN_Verknüpfungen!$A$2,1)=AB$3+1),OFFSET(IN_Verknüpfungen!$F$4,0,0,IN_Verknüpfungen!$A$2,1)))-SUM($G76:AA76)</f>
        <v>#N/A</v>
      </c>
    </row>
    <row r="77" spans="1:28" x14ac:dyDescent="0.2">
      <c r="A77" s="56" t="str">
        <f ca="1"/>
        <v>Composition 74</v>
      </c>
      <c r="B77" s="55" t="str" cm="1">
        <f t="array" aca="1" ref="B77" ca="1">IF(A77&lt;&gt;"",_xlfn.XLOOKUP(Laufwege!A77,OFFSET(IN_Verknüpfungen!L$4,0,0,IN_Verknüpfungen!A$2,1),OFFSET(IN_Verknüpfungen!N$4,0,0,IN_Verknüpfungen!A$2,1),""),"")</f>
        <v>462-1.0</v>
      </c>
      <c r="C77" s="55">
        <f ca="1">IF(A77&lt;&gt;"",SUMIFS(OFFSET(IN_Verknüpfungen!M$4,0,0,IN_Verknüpfungen!A$2,1),OFFSET(IN_Verknüpfungen!O$4,0,0,IN_Verknüpfungen!A$2,1),Laufwege!A77),0)</f>
        <v>388970</v>
      </c>
      <c r="D77" s="55" cm="1">
        <f t="array" aca="1" ref="D77" ca="1">IF(B77&lt;&gt;"",_xlfn.XLOOKUP(B77,OFFSET(IN_Stammdaten!$A$4,0,0,IN_Stammdaten!$A$2,1),OFFSET(IN_Stammdaten!$C$4,0,0,IN_Stammdaten!$A$2,1),""),"")</f>
        <v>0</v>
      </c>
      <c r="E77" s="55" t="str">
        <f t="shared" ca="1" si="2"/>
        <v>nein</v>
      </c>
      <c r="F77" s="69" t="str">
        <f t="shared" ca="1" si="3"/>
        <v>Composition 74 (462-1.0)</v>
      </c>
      <c r="G77" s="70" cm="1">
        <f t="array" aca="1" ref="G77" ca="1">_xlfn.NUMBERVALUE(_xlfn.XLOOKUP(A77,OFFSET(IN_Verknüpfungen!$L$4,0,0,IN_Verknüpfungen!$A$2,1),OFFSET(IN_Verknüpfungen!$Q$4,0,0,IN_Verknüpfungen!$A$2,1)))</f>
        <v>0.25621527777777775</v>
      </c>
      <c r="H77" s="70" cm="1">
        <f t="array" aca="1" ref="H77" ca="1">_xlfn.NUMBERVALUE(_xlfn.XLOOKUP(A77,OFFSET(IN_Verknüpfungen!$L$4,0,0,IN_Verknüpfungen!$A$2,1),OFFSET(IN_Verknüpfungen!$F$4,0,0,IN_Verknüpfungen!$A$2,1)))-G77</f>
        <v>9.7777777777777797E-2</v>
      </c>
      <c r="I77" s="70" cm="1">
        <f t="array" aca="1" ref="I77" ca="1">_xlfn.NUMBERVALUE(_xlfn.XLOOKUP(1,(OFFSET(IN_Verknüpfungen!$O$4,0,0,IN_Verknüpfungen!$A$2,1)=$A77)*(OFFSET(IN_Verknüpfungen!$P$4,0,0,IN_Verknüpfungen!$A$2,1)=J$3),OFFSET(IN_Verknüpfungen!$J$4,0,0,IN_Verknüpfungen!$A$2,1)))-SUM($G77:H77)</f>
        <v>1.5208333333333324E-2</v>
      </c>
      <c r="J77" s="70" cm="1">
        <f t="array" aca="1" ref="J77" ca="1">_xlfn.NUMBERVALUE(_xlfn.XLOOKUP(1,(OFFSET(IN_Verknüpfungen!$O$4,0,0,IN_Verknüpfungen!$A$2,1)=$A77)*(OFFSET(IN_Verknüpfungen!$P$4,0,0,IN_Verknüpfungen!$A$2,1)=J$3+1),OFFSET(IN_Verknüpfungen!$F$4,0,0,IN_Verknüpfungen!$A$2,1)))-SUM($G77:I77)</f>
        <v>7.6967592592592615E-2</v>
      </c>
      <c r="K77" s="70" cm="1">
        <f t="array" aca="1" ref="K77" ca="1">_xlfn.NUMBERVALUE(_xlfn.XLOOKUP(1,(OFFSET(IN_Verknüpfungen!$O$4,0,0,IN_Verknüpfungen!$A$2,1)=$A77)*(OFFSET(IN_Verknüpfungen!$P$4,0,0,IN_Verknüpfungen!$A$2,1)=L$3),OFFSET(IN_Verknüpfungen!$J$4,0,0,IN_Verknüpfungen!$A$2,1)))-SUM($G77:J77)</f>
        <v>3.6759259259259269E-2</v>
      </c>
      <c r="L77" s="70" cm="1">
        <f t="array" aca="1" ref="L77" ca="1">_xlfn.NUMBERVALUE(_xlfn.XLOOKUP(1,(OFFSET(IN_Verknüpfungen!$O$4,0,0,IN_Verknüpfungen!$A$2,1)=$A77)*(OFFSET(IN_Verknüpfungen!$P$4,0,0,IN_Verknüpfungen!$A$2,1)=L$3+1),OFFSET(IN_Verknüpfungen!$F$4,0,0,IN_Verknüpfungen!$A$2,1)))-SUM($G77:K77)</f>
        <v>7.9398148148148107E-2</v>
      </c>
      <c r="M77" s="70" cm="1">
        <f t="array" aca="1" ref="M77" ca="1">_xlfn.NUMBERVALUE(_xlfn.XLOOKUP(1,(OFFSET(IN_Verknüpfungen!$O$4,0,0,IN_Verknüpfungen!$A$2,1)=$A77)*(OFFSET(IN_Verknüpfungen!$P$4,0,0,IN_Verknüpfungen!$A$2,1)=N$3),OFFSET(IN_Verknüpfungen!$J$4,0,0,IN_Verknüpfungen!$A$2,1)))-SUM($G77:L77)</f>
        <v>1.5208333333333379E-2</v>
      </c>
      <c r="N77" s="70" t="e" cm="1">
        <f t="array" aca="1" ref="N77" ca="1">_xlfn.NUMBERVALUE(_xlfn.XLOOKUP(1,(OFFSET(IN_Verknüpfungen!$O$4,0,0,IN_Verknüpfungen!$A$2,1)=$A77)*(OFFSET(IN_Verknüpfungen!$P$4,0,0,IN_Verknüpfungen!$A$2,1)=N$3+1),OFFSET(IN_Verknüpfungen!$F$4,0,0,IN_Verknüpfungen!$A$2,1)))-SUM($G77:M77)</f>
        <v>#N/A</v>
      </c>
      <c r="O77" s="70" t="e" cm="1">
        <f t="array" aca="1" ref="O77" ca="1">_xlfn.NUMBERVALUE(_xlfn.XLOOKUP(1,(OFFSET(IN_Verknüpfungen!$O$4,0,0,IN_Verknüpfungen!$A$2,1)=$A77)*(OFFSET(IN_Verknüpfungen!$P$4,0,0,IN_Verknüpfungen!$A$2,1)=P$3),OFFSET(IN_Verknüpfungen!$J$4,0,0,IN_Verknüpfungen!$A$2,1)))-SUM($G77:N77)</f>
        <v>#N/A</v>
      </c>
      <c r="P77" s="70" t="e" cm="1">
        <f t="array" aca="1" ref="P77" ca="1">_xlfn.NUMBERVALUE(_xlfn.XLOOKUP(1,(OFFSET(IN_Verknüpfungen!$O$4,0,0,IN_Verknüpfungen!$A$2,1)=$A77)*(OFFSET(IN_Verknüpfungen!$P$4,0,0,IN_Verknüpfungen!$A$2,1)=P$3+1),OFFSET(IN_Verknüpfungen!$F$4,0,0,IN_Verknüpfungen!$A$2,1)))-SUM($G77:O77)</f>
        <v>#N/A</v>
      </c>
      <c r="Q77" s="70" t="e" cm="1">
        <f t="array" aca="1" ref="Q77" ca="1">_xlfn.NUMBERVALUE(_xlfn.XLOOKUP(1,(OFFSET(IN_Verknüpfungen!$O$4,0,0,IN_Verknüpfungen!$A$2,1)=$A77)*(OFFSET(IN_Verknüpfungen!$P$4,0,0,IN_Verknüpfungen!$A$2,1)=R$3),OFFSET(IN_Verknüpfungen!$J$4,0,0,IN_Verknüpfungen!$A$2,1)))-SUM($G77:P77)</f>
        <v>#N/A</v>
      </c>
      <c r="R77" s="70" t="e" cm="1">
        <f t="array" aca="1" ref="R77" ca="1">_xlfn.NUMBERVALUE(_xlfn.XLOOKUP(1,(OFFSET(IN_Verknüpfungen!$O$4,0,0,IN_Verknüpfungen!$A$2,1)=$A77)*(OFFSET(IN_Verknüpfungen!$P$4,0,0,IN_Verknüpfungen!$A$2,1)=R$3+1),OFFSET(IN_Verknüpfungen!$F$4,0,0,IN_Verknüpfungen!$A$2,1)))-SUM($G77:Q77)</f>
        <v>#N/A</v>
      </c>
      <c r="S77" s="70" t="e" cm="1">
        <f t="array" aca="1" ref="S77" ca="1">_xlfn.NUMBERVALUE(_xlfn.XLOOKUP(1,(OFFSET(IN_Verknüpfungen!$O$4,0,0,IN_Verknüpfungen!$A$2,1)=$A77)*(OFFSET(IN_Verknüpfungen!$P$4,0,0,IN_Verknüpfungen!$A$2,1)=T$3),OFFSET(IN_Verknüpfungen!$J$4,0,0,IN_Verknüpfungen!$A$2,1)))-SUM($G77:R77)</f>
        <v>#N/A</v>
      </c>
      <c r="T77" s="70" t="e" cm="1">
        <f t="array" aca="1" ref="T77" ca="1">_xlfn.NUMBERVALUE(_xlfn.XLOOKUP(1,(OFFSET(IN_Verknüpfungen!$O$4,0,0,IN_Verknüpfungen!$A$2,1)=$A77)*(OFFSET(IN_Verknüpfungen!$P$4,0,0,IN_Verknüpfungen!$A$2,1)=T$3+1),OFFSET(IN_Verknüpfungen!$F$4,0,0,IN_Verknüpfungen!$A$2,1)))-SUM($G77:S77)</f>
        <v>#N/A</v>
      </c>
      <c r="U77" s="70" t="e" cm="1">
        <f t="array" aca="1" ref="U77" ca="1">_xlfn.NUMBERVALUE(_xlfn.XLOOKUP(1,(OFFSET(IN_Verknüpfungen!$O$4,0,0,IN_Verknüpfungen!$A$2,1)=$A77)*(OFFSET(IN_Verknüpfungen!$P$4,0,0,IN_Verknüpfungen!$A$2,1)=V$3),OFFSET(IN_Verknüpfungen!$J$4,0,0,IN_Verknüpfungen!$A$2,1)))-SUM($G77:T77)</f>
        <v>#N/A</v>
      </c>
      <c r="V77" s="70" t="e" cm="1">
        <f t="array" aca="1" ref="V77" ca="1">_xlfn.NUMBERVALUE(_xlfn.XLOOKUP(1,(OFFSET(IN_Verknüpfungen!$O$4,0,0,IN_Verknüpfungen!$A$2,1)=$A77)*(OFFSET(IN_Verknüpfungen!$P$4,0,0,IN_Verknüpfungen!$A$2,1)=V$3+1),OFFSET(IN_Verknüpfungen!$F$4,0,0,IN_Verknüpfungen!$A$2,1)))-SUM($G77:U77)</f>
        <v>#N/A</v>
      </c>
      <c r="W77" s="70" t="e" cm="1">
        <f t="array" aca="1" ref="W77" ca="1">_xlfn.NUMBERVALUE(_xlfn.XLOOKUP(1,(OFFSET(IN_Verknüpfungen!$O$4,0,0,IN_Verknüpfungen!$A$2,1)=$A77)*(OFFSET(IN_Verknüpfungen!$P$4,0,0,IN_Verknüpfungen!$A$2,1)=X$3),OFFSET(IN_Verknüpfungen!$J$4,0,0,IN_Verknüpfungen!$A$2,1)))-SUM($G77:V77)</f>
        <v>#N/A</v>
      </c>
      <c r="X77" s="70" t="e" cm="1">
        <f t="array" aca="1" ref="X77" ca="1">_xlfn.NUMBERVALUE(_xlfn.XLOOKUP(1,(OFFSET(IN_Verknüpfungen!$O$4,0,0,IN_Verknüpfungen!$A$2,1)=$A77)*(OFFSET(IN_Verknüpfungen!$P$4,0,0,IN_Verknüpfungen!$A$2,1)=X$3+1),OFFSET(IN_Verknüpfungen!$F$4,0,0,IN_Verknüpfungen!$A$2,1)))-SUM($G77:W77)</f>
        <v>#N/A</v>
      </c>
      <c r="Y77" s="70" t="e" cm="1">
        <f t="array" aca="1" ref="Y77" ca="1">_xlfn.NUMBERVALUE(_xlfn.XLOOKUP(1,(OFFSET(IN_Verknüpfungen!$O$4,0,0,IN_Verknüpfungen!$A$2,1)=$A77)*(OFFSET(IN_Verknüpfungen!$P$4,0,0,IN_Verknüpfungen!$A$2,1)=Z$3),OFFSET(IN_Verknüpfungen!$J$4,0,0,IN_Verknüpfungen!$A$2,1)))-SUM($G77:X77)</f>
        <v>#N/A</v>
      </c>
      <c r="Z77" s="70" t="e" cm="1">
        <f t="array" aca="1" ref="Z77" ca="1">_xlfn.NUMBERVALUE(_xlfn.XLOOKUP(1,(OFFSET(IN_Verknüpfungen!$O$4,0,0,IN_Verknüpfungen!$A$2,1)=$A77)*(OFFSET(IN_Verknüpfungen!$P$4,0,0,IN_Verknüpfungen!$A$2,1)=Z$3+1),OFFSET(IN_Verknüpfungen!$F$4,0,0,IN_Verknüpfungen!$A$2,1)))-SUM($G77:Y77)</f>
        <v>#N/A</v>
      </c>
      <c r="AA77" s="70" t="e" cm="1">
        <f t="array" aca="1" ref="AA77" ca="1">_xlfn.NUMBERVALUE(_xlfn.XLOOKUP(1,(OFFSET(IN_Verknüpfungen!$O$4,0,0,IN_Verknüpfungen!$A$2,1)=$A77)*(OFFSET(IN_Verknüpfungen!$P$4,0,0,IN_Verknüpfungen!$A$2,1)=AB$3),OFFSET(IN_Verknüpfungen!$J$4,0,0,IN_Verknüpfungen!$A$2,1)))-SUM($G77:Z77)</f>
        <v>#N/A</v>
      </c>
      <c r="AB77" s="70" t="e" cm="1">
        <f t="array" aca="1" ref="AB77" ca="1">_xlfn.NUMBERVALUE(_xlfn.XLOOKUP(1,(OFFSET(IN_Verknüpfungen!$O$4,0,0,IN_Verknüpfungen!$A$2,1)=$A77)*(OFFSET(IN_Verknüpfungen!$P$4,0,0,IN_Verknüpfungen!$A$2,1)=AB$3+1),OFFSET(IN_Verknüpfungen!$F$4,0,0,IN_Verknüpfungen!$A$2,1)))-SUM($G77:AA77)</f>
        <v>#N/A</v>
      </c>
    </row>
    <row r="78" spans="1:28" x14ac:dyDescent="0.2">
      <c r="A78" s="56" t="str">
        <f ca="1"/>
        <v>Composition 75</v>
      </c>
      <c r="B78" s="55" t="str" cm="1">
        <f t="array" aca="1" ref="B78" ca="1">IF(A78&lt;&gt;"",_xlfn.XLOOKUP(Laufwege!A78,OFFSET(IN_Verknüpfungen!L$4,0,0,IN_Verknüpfungen!A$2,1),OFFSET(IN_Verknüpfungen!N$4,0,0,IN_Verknüpfungen!A$2,1),""),"")</f>
        <v>462-1.0</v>
      </c>
      <c r="C78" s="55">
        <f ca="1">IF(A78&lt;&gt;"",SUMIFS(OFFSET(IN_Verknüpfungen!M$4,0,0,IN_Verknüpfungen!A$2,1),OFFSET(IN_Verknüpfungen!O$4,0,0,IN_Verknüpfungen!A$2,1),Laufwege!A78),0)</f>
        <v>718099</v>
      </c>
      <c r="D78" s="55" cm="1">
        <f t="array" aca="1" ref="D78" ca="1">IF(B78&lt;&gt;"",_xlfn.XLOOKUP(B78,OFFSET(IN_Stammdaten!$A$4,0,0,IN_Stammdaten!$A$2,1),OFFSET(IN_Stammdaten!$C$4,0,0,IN_Stammdaten!$A$2,1),""),"")</f>
        <v>0</v>
      </c>
      <c r="E78" s="55" t="str">
        <f t="shared" ca="1" si="2"/>
        <v>nein</v>
      </c>
      <c r="F78" s="69" t="str">
        <f t="shared" ca="1" si="3"/>
        <v>Composition 75 (462-1.0)</v>
      </c>
      <c r="G78" s="70" cm="1">
        <f t="array" aca="1" ref="G78" ca="1">_xlfn.NUMBERVALUE(_xlfn.XLOOKUP(A78,OFFSET(IN_Verknüpfungen!$L$4,0,0,IN_Verknüpfungen!$A$2,1),OFFSET(IN_Verknüpfungen!$Q$4,0,0,IN_Verknüpfungen!$A$2,1)))</f>
        <v>0.22194444444444444</v>
      </c>
      <c r="H78" s="70" cm="1">
        <f t="array" aca="1" ref="H78" ca="1">_xlfn.NUMBERVALUE(_xlfn.XLOOKUP(A78,OFFSET(IN_Verknüpfungen!$L$4,0,0,IN_Verknüpfungen!$A$2,1),OFFSET(IN_Verknüpfungen!$F$4,0,0,IN_Verknüpfungen!$A$2,1)))-G78</f>
        <v>0.1320486111111111</v>
      </c>
      <c r="I78" s="70" cm="1">
        <f t="array" aca="1" ref="I78" ca="1">_xlfn.NUMBERVALUE(_xlfn.XLOOKUP(1,(OFFSET(IN_Verknüpfungen!$O$4,0,0,IN_Verknüpfungen!$A$2,1)=$A78)*(OFFSET(IN_Verknüpfungen!$P$4,0,0,IN_Verknüpfungen!$A$2,1)=J$3),OFFSET(IN_Verknüpfungen!$J$4,0,0,IN_Verknüpfungen!$A$2,1)))-SUM($G78:H78)</f>
        <v>2.4131944444444442E-2</v>
      </c>
      <c r="J78" s="70" cm="1">
        <f t="array" aca="1" ref="J78" ca="1">_xlfn.NUMBERVALUE(_xlfn.XLOOKUP(1,(OFFSET(IN_Verknüpfungen!$O$4,0,0,IN_Verknüpfungen!$A$2,1)=$A78)*(OFFSET(IN_Verknüpfungen!$P$4,0,0,IN_Verknüpfungen!$A$2,1)=J$3+1),OFFSET(IN_Verknüpfungen!$F$4,0,0,IN_Verknüpfungen!$A$2,1)))-SUM($G78:I78)</f>
        <v>0.10796296296296298</v>
      </c>
      <c r="K78" s="70" cm="1">
        <f t="array" aca="1" ref="K78" ca="1">_xlfn.NUMBERVALUE(_xlfn.XLOOKUP(1,(OFFSET(IN_Verknüpfungen!$O$4,0,0,IN_Verknüpfungen!$A$2,1)=$A78)*(OFFSET(IN_Verknüpfungen!$P$4,0,0,IN_Verknüpfungen!$A$2,1)=L$3),OFFSET(IN_Verknüpfungen!$J$4,0,0,IN_Verknüpfungen!$A$2,1)))-SUM($G78:J78)</f>
        <v>1.3518518518518485E-2</v>
      </c>
      <c r="L78" s="70" t="e" cm="1">
        <f t="array" aca="1" ref="L78" ca="1">_xlfn.NUMBERVALUE(_xlfn.XLOOKUP(1,(OFFSET(IN_Verknüpfungen!$O$4,0,0,IN_Verknüpfungen!$A$2,1)=$A78)*(OFFSET(IN_Verknüpfungen!$P$4,0,0,IN_Verknüpfungen!$A$2,1)=L$3+1),OFFSET(IN_Verknüpfungen!$F$4,0,0,IN_Verknüpfungen!$A$2,1)))-SUM($G78:K78)</f>
        <v>#N/A</v>
      </c>
      <c r="M78" s="70" t="e" cm="1">
        <f t="array" aca="1" ref="M78" ca="1">_xlfn.NUMBERVALUE(_xlfn.XLOOKUP(1,(OFFSET(IN_Verknüpfungen!$O$4,0,0,IN_Verknüpfungen!$A$2,1)=$A78)*(OFFSET(IN_Verknüpfungen!$P$4,0,0,IN_Verknüpfungen!$A$2,1)=N$3),OFFSET(IN_Verknüpfungen!$J$4,0,0,IN_Verknüpfungen!$A$2,1)))-SUM($G78:L78)</f>
        <v>#N/A</v>
      </c>
      <c r="N78" s="70" t="e" cm="1">
        <f t="array" aca="1" ref="N78" ca="1">_xlfn.NUMBERVALUE(_xlfn.XLOOKUP(1,(OFFSET(IN_Verknüpfungen!$O$4,0,0,IN_Verknüpfungen!$A$2,1)=$A78)*(OFFSET(IN_Verknüpfungen!$P$4,0,0,IN_Verknüpfungen!$A$2,1)=N$3+1),OFFSET(IN_Verknüpfungen!$F$4,0,0,IN_Verknüpfungen!$A$2,1)))-SUM($G78:M78)</f>
        <v>#N/A</v>
      </c>
      <c r="O78" s="70" t="e" cm="1">
        <f t="array" aca="1" ref="O78" ca="1">_xlfn.NUMBERVALUE(_xlfn.XLOOKUP(1,(OFFSET(IN_Verknüpfungen!$O$4,0,0,IN_Verknüpfungen!$A$2,1)=$A78)*(OFFSET(IN_Verknüpfungen!$P$4,0,0,IN_Verknüpfungen!$A$2,1)=P$3),OFFSET(IN_Verknüpfungen!$J$4,0,0,IN_Verknüpfungen!$A$2,1)))-SUM($G78:N78)</f>
        <v>#N/A</v>
      </c>
      <c r="P78" s="70" t="e" cm="1">
        <f t="array" aca="1" ref="P78" ca="1">_xlfn.NUMBERVALUE(_xlfn.XLOOKUP(1,(OFFSET(IN_Verknüpfungen!$O$4,0,0,IN_Verknüpfungen!$A$2,1)=$A78)*(OFFSET(IN_Verknüpfungen!$P$4,0,0,IN_Verknüpfungen!$A$2,1)=P$3+1),OFFSET(IN_Verknüpfungen!$F$4,0,0,IN_Verknüpfungen!$A$2,1)))-SUM($G78:O78)</f>
        <v>#N/A</v>
      </c>
      <c r="Q78" s="70" t="e" cm="1">
        <f t="array" aca="1" ref="Q78" ca="1">_xlfn.NUMBERVALUE(_xlfn.XLOOKUP(1,(OFFSET(IN_Verknüpfungen!$O$4,0,0,IN_Verknüpfungen!$A$2,1)=$A78)*(OFFSET(IN_Verknüpfungen!$P$4,0,0,IN_Verknüpfungen!$A$2,1)=R$3),OFFSET(IN_Verknüpfungen!$J$4,0,0,IN_Verknüpfungen!$A$2,1)))-SUM($G78:P78)</f>
        <v>#N/A</v>
      </c>
      <c r="R78" s="70" t="e" cm="1">
        <f t="array" aca="1" ref="R78" ca="1">_xlfn.NUMBERVALUE(_xlfn.XLOOKUP(1,(OFFSET(IN_Verknüpfungen!$O$4,0,0,IN_Verknüpfungen!$A$2,1)=$A78)*(OFFSET(IN_Verknüpfungen!$P$4,0,0,IN_Verknüpfungen!$A$2,1)=R$3+1),OFFSET(IN_Verknüpfungen!$F$4,0,0,IN_Verknüpfungen!$A$2,1)))-SUM($G78:Q78)</f>
        <v>#N/A</v>
      </c>
      <c r="S78" s="70" t="e" cm="1">
        <f t="array" aca="1" ref="S78" ca="1">_xlfn.NUMBERVALUE(_xlfn.XLOOKUP(1,(OFFSET(IN_Verknüpfungen!$O$4,0,0,IN_Verknüpfungen!$A$2,1)=$A78)*(OFFSET(IN_Verknüpfungen!$P$4,0,0,IN_Verknüpfungen!$A$2,1)=T$3),OFFSET(IN_Verknüpfungen!$J$4,0,0,IN_Verknüpfungen!$A$2,1)))-SUM($G78:R78)</f>
        <v>#N/A</v>
      </c>
      <c r="T78" s="70" t="e" cm="1">
        <f t="array" aca="1" ref="T78" ca="1">_xlfn.NUMBERVALUE(_xlfn.XLOOKUP(1,(OFFSET(IN_Verknüpfungen!$O$4,0,0,IN_Verknüpfungen!$A$2,1)=$A78)*(OFFSET(IN_Verknüpfungen!$P$4,0,0,IN_Verknüpfungen!$A$2,1)=T$3+1),OFFSET(IN_Verknüpfungen!$F$4,0,0,IN_Verknüpfungen!$A$2,1)))-SUM($G78:S78)</f>
        <v>#N/A</v>
      </c>
      <c r="U78" s="70" t="e" cm="1">
        <f t="array" aca="1" ref="U78" ca="1">_xlfn.NUMBERVALUE(_xlfn.XLOOKUP(1,(OFFSET(IN_Verknüpfungen!$O$4,0,0,IN_Verknüpfungen!$A$2,1)=$A78)*(OFFSET(IN_Verknüpfungen!$P$4,0,0,IN_Verknüpfungen!$A$2,1)=V$3),OFFSET(IN_Verknüpfungen!$J$4,0,0,IN_Verknüpfungen!$A$2,1)))-SUM($G78:T78)</f>
        <v>#N/A</v>
      </c>
      <c r="V78" s="70" t="e" cm="1">
        <f t="array" aca="1" ref="V78" ca="1">_xlfn.NUMBERVALUE(_xlfn.XLOOKUP(1,(OFFSET(IN_Verknüpfungen!$O$4,0,0,IN_Verknüpfungen!$A$2,1)=$A78)*(OFFSET(IN_Verknüpfungen!$P$4,0,0,IN_Verknüpfungen!$A$2,1)=V$3+1),OFFSET(IN_Verknüpfungen!$F$4,0,0,IN_Verknüpfungen!$A$2,1)))-SUM($G78:U78)</f>
        <v>#N/A</v>
      </c>
      <c r="W78" s="70" t="e" cm="1">
        <f t="array" aca="1" ref="W78" ca="1">_xlfn.NUMBERVALUE(_xlfn.XLOOKUP(1,(OFFSET(IN_Verknüpfungen!$O$4,0,0,IN_Verknüpfungen!$A$2,1)=$A78)*(OFFSET(IN_Verknüpfungen!$P$4,0,0,IN_Verknüpfungen!$A$2,1)=X$3),OFFSET(IN_Verknüpfungen!$J$4,0,0,IN_Verknüpfungen!$A$2,1)))-SUM($G78:V78)</f>
        <v>#N/A</v>
      </c>
      <c r="X78" s="70" t="e" cm="1">
        <f t="array" aca="1" ref="X78" ca="1">_xlfn.NUMBERVALUE(_xlfn.XLOOKUP(1,(OFFSET(IN_Verknüpfungen!$O$4,0,0,IN_Verknüpfungen!$A$2,1)=$A78)*(OFFSET(IN_Verknüpfungen!$P$4,0,0,IN_Verknüpfungen!$A$2,1)=X$3+1),OFFSET(IN_Verknüpfungen!$F$4,0,0,IN_Verknüpfungen!$A$2,1)))-SUM($G78:W78)</f>
        <v>#N/A</v>
      </c>
      <c r="Y78" s="70" t="e" cm="1">
        <f t="array" aca="1" ref="Y78" ca="1">_xlfn.NUMBERVALUE(_xlfn.XLOOKUP(1,(OFFSET(IN_Verknüpfungen!$O$4,0,0,IN_Verknüpfungen!$A$2,1)=$A78)*(OFFSET(IN_Verknüpfungen!$P$4,0,0,IN_Verknüpfungen!$A$2,1)=Z$3),OFFSET(IN_Verknüpfungen!$J$4,0,0,IN_Verknüpfungen!$A$2,1)))-SUM($G78:X78)</f>
        <v>#N/A</v>
      </c>
      <c r="Z78" s="70" t="e" cm="1">
        <f t="array" aca="1" ref="Z78" ca="1">_xlfn.NUMBERVALUE(_xlfn.XLOOKUP(1,(OFFSET(IN_Verknüpfungen!$O$4,0,0,IN_Verknüpfungen!$A$2,1)=$A78)*(OFFSET(IN_Verknüpfungen!$P$4,0,0,IN_Verknüpfungen!$A$2,1)=Z$3+1),OFFSET(IN_Verknüpfungen!$F$4,0,0,IN_Verknüpfungen!$A$2,1)))-SUM($G78:Y78)</f>
        <v>#N/A</v>
      </c>
      <c r="AA78" s="70" t="e" cm="1">
        <f t="array" aca="1" ref="AA78" ca="1">_xlfn.NUMBERVALUE(_xlfn.XLOOKUP(1,(OFFSET(IN_Verknüpfungen!$O$4,0,0,IN_Verknüpfungen!$A$2,1)=$A78)*(OFFSET(IN_Verknüpfungen!$P$4,0,0,IN_Verknüpfungen!$A$2,1)=AB$3),OFFSET(IN_Verknüpfungen!$J$4,0,0,IN_Verknüpfungen!$A$2,1)))-SUM($G78:Z78)</f>
        <v>#N/A</v>
      </c>
      <c r="AB78" s="70" t="e" cm="1">
        <f t="array" aca="1" ref="AB78" ca="1">_xlfn.NUMBERVALUE(_xlfn.XLOOKUP(1,(OFFSET(IN_Verknüpfungen!$O$4,0,0,IN_Verknüpfungen!$A$2,1)=$A78)*(OFFSET(IN_Verknüpfungen!$P$4,0,0,IN_Verknüpfungen!$A$2,1)=AB$3+1),OFFSET(IN_Verknüpfungen!$F$4,0,0,IN_Verknüpfungen!$A$2,1)))-SUM($G78:AA78)</f>
        <v>#N/A</v>
      </c>
    </row>
    <row r="79" spans="1:28" x14ac:dyDescent="0.2">
      <c r="A79" s="56" t="str">
        <f ca="1"/>
        <v>Composition 76</v>
      </c>
      <c r="B79" s="55" t="str" cm="1">
        <f t="array" aca="1" ref="B79" ca="1">IF(A79&lt;&gt;"",_xlfn.XLOOKUP(Laufwege!A79,OFFSET(IN_Verknüpfungen!L$4,0,0,IN_Verknüpfungen!A$2,1),OFFSET(IN_Verknüpfungen!N$4,0,0,IN_Verknüpfungen!A$2,1),""),"")</f>
        <v>462-1.0</v>
      </c>
      <c r="C79" s="55">
        <f ca="1">IF(A79&lt;&gt;"",SUMIFS(OFFSET(IN_Verknüpfungen!M$4,0,0,IN_Verknüpfungen!A$2,1),OFFSET(IN_Verknüpfungen!O$4,0,0,IN_Verknüpfungen!A$2,1),Laufwege!A79),0)</f>
        <v>628934</v>
      </c>
      <c r="D79" s="55" cm="1">
        <f t="array" aca="1" ref="D79" ca="1">IF(B79&lt;&gt;"",_xlfn.XLOOKUP(B79,OFFSET(IN_Stammdaten!$A$4,0,0,IN_Stammdaten!$A$2,1),OFFSET(IN_Stammdaten!$C$4,0,0,IN_Stammdaten!$A$2,1),""),"")</f>
        <v>0</v>
      </c>
      <c r="E79" s="55" t="str">
        <f t="shared" ca="1" si="2"/>
        <v>nein</v>
      </c>
      <c r="F79" s="69" t="str">
        <f t="shared" ca="1" si="3"/>
        <v>Composition 76 (462-1.0)</v>
      </c>
      <c r="G79" s="70" cm="1">
        <f t="array" aca="1" ref="G79" ca="1">_xlfn.NUMBERVALUE(_xlfn.XLOOKUP(A79,OFFSET(IN_Verknüpfungen!$L$4,0,0,IN_Verknüpfungen!$A$2,1),OFFSET(IN_Verknüpfungen!$Q$4,0,0,IN_Verknüpfungen!$A$2,1)))</f>
        <v>0.24541666666666667</v>
      </c>
      <c r="H79" s="70" cm="1">
        <f t="array" aca="1" ref="H79" ca="1">_xlfn.NUMBERVALUE(_xlfn.XLOOKUP(A79,OFFSET(IN_Verknüpfungen!$L$4,0,0,IN_Verknüpfungen!$A$2,1),OFFSET(IN_Verknüpfungen!$F$4,0,0,IN_Verknüpfungen!$A$2,1)))-G79</f>
        <v>0.11040509259259257</v>
      </c>
      <c r="I79" s="70" cm="1">
        <f t="array" aca="1" ref="I79" ca="1">_xlfn.NUMBERVALUE(_xlfn.XLOOKUP(1,(OFFSET(IN_Verknüpfungen!$O$4,0,0,IN_Verknüpfungen!$A$2,1)=$A79)*(OFFSET(IN_Verknüpfungen!$P$4,0,0,IN_Verknüpfungen!$A$2,1)=J$3),OFFSET(IN_Verknüpfungen!$J$4,0,0,IN_Verknüpfungen!$A$2,1)))-SUM($G79:H79)</f>
        <v>1.1886574074074119E-2</v>
      </c>
      <c r="J79" s="70" cm="1">
        <f t="array" aca="1" ref="J79" ca="1">_xlfn.NUMBERVALUE(_xlfn.XLOOKUP(1,(OFFSET(IN_Verknüpfungen!$O$4,0,0,IN_Verknüpfungen!$A$2,1)=$A79)*(OFFSET(IN_Verknüpfungen!$P$4,0,0,IN_Verknüpfungen!$A$2,1)=J$3+1),OFFSET(IN_Verknüpfungen!$F$4,0,0,IN_Verknüpfungen!$A$2,1)))-SUM($G79:I79)</f>
        <v>0.10045138888888888</v>
      </c>
      <c r="K79" s="70" cm="1">
        <f t="array" aca="1" ref="K79" ca="1">_xlfn.NUMBERVALUE(_xlfn.XLOOKUP(1,(OFFSET(IN_Verknüpfungen!$O$4,0,0,IN_Verknüpfungen!$A$2,1)=$A79)*(OFFSET(IN_Verknüpfungen!$P$4,0,0,IN_Verknüpfungen!$A$2,1)=L$3),OFFSET(IN_Verknüpfungen!$J$4,0,0,IN_Verknüpfungen!$A$2,1)))-SUM($G79:J79)</f>
        <v>1.2060185185185146E-2</v>
      </c>
      <c r="L79" s="70" cm="1">
        <f t="array" aca="1" ref="L79" ca="1">_xlfn.NUMBERVALUE(_xlfn.XLOOKUP(1,(OFFSET(IN_Verknüpfungen!$O$4,0,0,IN_Verknüpfungen!$A$2,1)=$A79)*(OFFSET(IN_Verknüpfungen!$P$4,0,0,IN_Verknüpfungen!$A$2,1)=L$3+1),OFFSET(IN_Verknüpfungen!$F$4,0,0,IN_Verknüpfungen!$A$2,1)))-SUM($G79:K79)</f>
        <v>0.10605324074074074</v>
      </c>
      <c r="M79" s="70" cm="1">
        <f t="array" aca="1" ref="M79" ca="1">_xlfn.NUMBERVALUE(_xlfn.XLOOKUP(1,(OFFSET(IN_Verknüpfungen!$O$4,0,0,IN_Verknüpfungen!$A$2,1)=$A79)*(OFFSET(IN_Verknüpfungen!$P$4,0,0,IN_Verknüpfungen!$A$2,1)=N$3),OFFSET(IN_Verknüpfungen!$J$4,0,0,IN_Verknüpfungen!$A$2,1)))-SUM($G79:L79)</f>
        <v>1.0601851851851918E-2</v>
      </c>
      <c r="N79" s="70" t="e" cm="1">
        <f t="array" aca="1" ref="N79" ca="1">_xlfn.NUMBERVALUE(_xlfn.XLOOKUP(1,(OFFSET(IN_Verknüpfungen!$O$4,0,0,IN_Verknüpfungen!$A$2,1)=$A79)*(OFFSET(IN_Verknüpfungen!$P$4,0,0,IN_Verknüpfungen!$A$2,1)=N$3+1),OFFSET(IN_Verknüpfungen!$F$4,0,0,IN_Verknüpfungen!$A$2,1)))-SUM($G79:M79)</f>
        <v>#N/A</v>
      </c>
      <c r="O79" s="70" t="e" cm="1">
        <f t="array" aca="1" ref="O79" ca="1">_xlfn.NUMBERVALUE(_xlfn.XLOOKUP(1,(OFFSET(IN_Verknüpfungen!$O$4,0,0,IN_Verknüpfungen!$A$2,1)=$A79)*(OFFSET(IN_Verknüpfungen!$P$4,0,0,IN_Verknüpfungen!$A$2,1)=P$3),OFFSET(IN_Verknüpfungen!$J$4,0,0,IN_Verknüpfungen!$A$2,1)))-SUM($G79:N79)</f>
        <v>#N/A</v>
      </c>
      <c r="P79" s="70" t="e" cm="1">
        <f t="array" aca="1" ref="P79" ca="1">_xlfn.NUMBERVALUE(_xlfn.XLOOKUP(1,(OFFSET(IN_Verknüpfungen!$O$4,0,0,IN_Verknüpfungen!$A$2,1)=$A79)*(OFFSET(IN_Verknüpfungen!$P$4,0,0,IN_Verknüpfungen!$A$2,1)=P$3+1),OFFSET(IN_Verknüpfungen!$F$4,0,0,IN_Verknüpfungen!$A$2,1)))-SUM($G79:O79)</f>
        <v>#N/A</v>
      </c>
      <c r="Q79" s="70" t="e" cm="1">
        <f t="array" aca="1" ref="Q79" ca="1">_xlfn.NUMBERVALUE(_xlfn.XLOOKUP(1,(OFFSET(IN_Verknüpfungen!$O$4,0,0,IN_Verknüpfungen!$A$2,1)=$A79)*(OFFSET(IN_Verknüpfungen!$P$4,0,0,IN_Verknüpfungen!$A$2,1)=R$3),OFFSET(IN_Verknüpfungen!$J$4,0,0,IN_Verknüpfungen!$A$2,1)))-SUM($G79:P79)</f>
        <v>#N/A</v>
      </c>
      <c r="R79" s="70" t="e" cm="1">
        <f t="array" aca="1" ref="R79" ca="1">_xlfn.NUMBERVALUE(_xlfn.XLOOKUP(1,(OFFSET(IN_Verknüpfungen!$O$4,0,0,IN_Verknüpfungen!$A$2,1)=$A79)*(OFFSET(IN_Verknüpfungen!$P$4,0,0,IN_Verknüpfungen!$A$2,1)=R$3+1),OFFSET(IN_Verknüpfungen!$F$4,0,0,IN_Verknüpfungen!$A$2,1)))-SUM($G79:Q79)</f>
        <v>#N/A</v>
      </c>
      <c r="S79" s="70" t="e" cm="1">
        <f t="array" aca="1" ref="S79" ca="1">_xlfn.NUMBERVALUE(_xlfn.XLOOKUP(1,(OFFSET(IN_Verknüpfungen!$O$4,0,0,IN_Verknüpfungen!$A$2,1)=$A79)*(OFFSET(IN_Verknüpfungen!$P$4,0,0,IN_Verknüpfungen!$A$2,1)=T$3),OFFSET(IN_Verknüpfungen!$J$4,0,0,IN_Verknüpfungen!$A$2,1)))-SUM($G79:R79)</f>
        <v>#N/A</v>
      </c>
      <c r="T79" s="70" t="e" cm="1">
        <f t="array" aca="1" ref="T79" ca="1">_xlfn.NUMBERVALUE(_xlfn.XLOOKUP(1,(OFFSET(IN_Verknüpfungen!$O$4,0,0,IN_Verknüpfungen!$A$2,1)=$A79)*(OFFSET(IN_Verknüpfungen!$P$4,0,0,IN_Verknüpfungen!$A$2,1)=T$3+1),OFFSET(IN_Verknüpfungen!$F$4,0,0,IN_Verknüpfungen!$A$2,1)))-SUM($G79:S79)</f>
        <v>#N/A</v>
      </c>
      <c r="U79" s="70" t="e" cm="1">
        <f t="array" aca="1" ref="U79" ca="1">_xlfn.NUMBERVALUE(_xlfn.XLOOKUP(1,(OFFSET(IN_Verknüpfungen!$O$4,0,0,IN_Verknüpfungen!$A$2,1)=$A79)*(OFFSET(IN_Verknüpfungen!$P$4,0,0,IN_Verknüpfungen!$A$2,1)=V$3),OFFSET(IN_Verknüpfungen!$J$4,0,0,IN_Verknüpfungen!$A$2,1)))-SUM($G79:T79)</f>
        <v>#N/A</v>
      </c>
      <c r="V79" s="70" t="e" cm="1">
        <f t="array" aca="1" ref="V79" ca="1">_xlfn.NUMBERVALUE(_xlfn.XLOOKUP(1,(OFFSET(IN_Verknüpfungen!$O$4,0,0,IN_Verknüpfungen!$A$2,1)=$A79)*(OFFSET(IN_Verknüpfungen!$P$4,0,0,IN_Verknüpfungen!$A$2,1)=V$3+1),OFFSET(IN_Verknüpfungen!$F$4,0,0,IN_Verknüpfungen!$A$2,1)))-SUM($G79:U79)</f>
        <v>#N/A</v>
      </c>
      <c r="W79" s="70" t="e" cm="1">
        <f t="array" aca="1" ref="W79" ca="1">_xlfn.NUMBERVALUE(_xlfn.XLOOKUP(1,(OFFSET(IN_Verknüpfungen!$O$4,0,0,IN_Verknüpfungen!$A$2,1)=$A79)*(OFFSET(IN_Verknüpfungen!$P$4,0,0,IN_Verknüpfungen!$A$2,1)=X$3),OFFSET(IN_Verknüpfungen!$J$4,0,0,IN_Verknüpfungen!$A$2,1)))-SUM($G79:V79)</f>
        <v>#N/A</v>
      </c>
      <c r="X79" s="70" t="e" cm="1">
        <f t="array" aca="1" ref="X79" ca="1">_xlfn.NUMBERVALUE(_xlfn.XLOOKUP(1,(OFFSET(IN_Verknüpfungen!$O$4,0,0,IN_Verknüpfungen!$A$2,1)=$A79)*(OFFSET(IN_Verknüpfungen!$P$4,0,0,IN_Verknüpfungen!$A$2,1)=X$3+1),OFFSET(IN_Verknüpfungen!$F$4,0,0,IN_Verknüpfungen!$A$2,1)))-SUM($G79:W79)</f>
        <v>#N/A</v>
      </c>
      <c r="Y79" s="70" t="e" cm="1">
        <f t="array" aca="1" ref="Y79" ca="1">_xlfn.NUMBERVALUE(_xlfn.XLOOKUP(1,(OFFSET(IN_Verknüpfungen!$O$4,0,0,IN_Verknüpfungen!$A$2,1)=$A79)*(OFFSET(IN_Verknüpfungen!$P$4,0,0,IN_Verknüpfungen!$A$2,1)=Z$3),OFFSET(IN_Verknüpfungen!$J$4,0,0,IN_Verknüpfungen!$A$2,1)))-SUM($G79:X79)</f>
        <v>#N/A</v>
      </c>
      <c r="Z79" s="70" t="e" cm="1">
        <f t="array" aca="1" ref="Z79" ca="1">_xlfn.NUMBERVALUE(_xlfn.XLOOKUP(1,(OFFSET(IN_Verknüpfungen!$O$4,0,0,IN_Verknüpfungen!$A$2,1)=$A79)*(OFFSET(IN_Verknüpfungen!$P$4,0,0,IN_Verknüpfungen!$A$2,1)=Z$3+1),OFFSET(IN_Verknüpfungen!$F$4,0,0,IN_Verknüpfungen!$A$2,1)))-SUM($G79:Y79)</f>
        <v>#N/A</v>
      </c>
      <c r="AA79" s="70" t="e" cm="1">
        <f t="array" aca="1" ref="AA79" ca="1">_xlfn.NUMBERVALUE(_xlfn.XLOOKUP(1,(OFFSET(IN_Verknüpfungen!$O$4,0,0,IN_Verknüpfungen!$A$2,1)=$A79)*(OFFSET(IN_Verknüpfungen!$P$4,0,0,IN_Verknüpfungen!$A$2,1)=AB$3),OFFSET(IN_Verknüpfungen!$J$4,0,0,IN_Verknüpfungen!$A$2,1)))-SUM($G79:Z79)</f>
        <v>#N/A</v>
      </c>
      <c r="AB79" s="70" t="e" cm="1">
        <f t="array" aca="1" ref="AB79" ca="1">_xlfn.NUMBERVALUE(_xlfn.XLOOKUP(1,(OFFSET(IN_Verknüpfungen!$O$4,0,0,IN_Verknüpfungen!$A$2,1)=$A79)*(OFFSET(IN_Verknüpfungen!$P$4,0,0,IN_Verknüpfungen!$A$2,1)=AB$3+1),OFFSET(IN_Verknüpfungen!$F$4,0,0,IN_Verknüpfungen!$A$2,1)))-SUM($G79:AA79)</f>
        <v>#N/A</v>
      </c>
    </row>
    <row r="80" spans="1:28" x14ac:dyDescent="0.2">
      <c r="A80" s="56" t="str">
        <f ca="1"/>
        <v>Composition 77</v>
      </c>
      <c r="B80" s="55" t="str" cm="1">
        <f t="array" aca="1" ref="B80" ca="1">IF(A80&lt;&gt;"",_xlfn.XLOOKUP(Laufwege!A80,OFFSET(IN_Verknüpfungen!L$4,0,0,IN_Verknüpfungen!A$2,1),OFFSET(IN_Verknüpfungen!N$4,0,0,IN_Verknüpfungen!A$2,1),""),"")</f>
        <v>146-3.2</v>
      </c>
      <c r="C80" s="55">
        <f ca="1">IF(A80&lt;&gt;"",SUMIFS(OFFSET(IN_Verknüpfungen!M$4,0,0,IN_Verknüpfungen!A$2,1),OFFSET(IN_Verknüpfungen!O$4,0,0,IN_Verknüpfungen!A$2,1),Laufwege!A80),0)</f>
        <v>645913</v>
      </c>
      <c r="D80" s="55" cm="1">
        <f t="array" aca="1" ref="D80" ca="1">IF(B80&lt;&gt;"",_xlfn.XLOOKUP(B80,OFFSET(IN_Stammdaten!$A$4,0,0,IN_Stammdaten!$A$2,1),OFFSET(IN_Stammdaten!$C$4,0,0,IN_Stammdaten!$A$2,1),""),"")</f>
        <v>0</v>
      </c>
      <c r="E80" s="55" t="str">
        <f t="shared" ca="1" si="2"/>
        <v>nein</v>
      </c>
      <c r="F80" s="69" t="str">
        <f t="shared" ca="1" si="3"/>
        <v>Composition 77 (146-3.2)</v>
      </c>
      <c r="G80" s="70" cm="1">
        <f t="array" aca="1" ref="G80" ca="1">_xlfn.NUMBERVALUE(_xlfn.XLOOKUP(A80,OFFSET(IN_Verknüpfungen!$L$4,0,0,IN_Verknüpfungen!$A$2,1),OFFSET(IN_Verknüpfungen!$Q$4,0,0,IN_Verknüpfungen!$A$2,1)))</f>
        <v>0.29878472222222224</v>
      </c>
      <c r="H80" s="70" cm="1">
        <f t="array" aca="1" ref="H80" ca="1">_xlfn.NUMBERVALUE(_xlfn.XLOOKUP(A80,OFFSET(IN_Verknüpfungen!$L$4,0,0,IN_Verknüpfungen!$A$2,1),OFFSET(IN_Verknüpfungen!$F$4,0,0,IN_Verknüpfungen!$A$2,1)))-G80</f>
        <v>5.7939814814814805E-2</v>
      </c>
      <c r="I80" s="70" cm="1">
        <f t="array" aca="1" ref="I80" ca="1">_xlfn.NUMBERVALUE(_xlfn.XLOOKUP(1,(OFFSET(IN_Verknüpfungen!$O$4,0,0,IN_Verknüpfungen!$A$2,1)=$A80)*(OFFSET(IN_Verknüpfungen!$P$4,0,0,IN_Verknüpfungen!$A$2,1)=J$3),OFFSET(IN_Verknüpfungen!$J$4,0,0,IN_Verknüpfungen!$A$2,1)))-SUM($G80:H80)</f>
        <v>2.3946759259259265E-2</v>
      </c>
      <c r="J80" s="70" cm="1">
        <f t="array" aca="1" ref="J80" ca="1">_xlfn.NUMBERVALUE(_xlfn.XLOOKUP(1,(OFFSET(IN_Verknüpfungen!$O$4,0,0,IN_Verknüpfungen!$A$2,1)=$A80)*(OFFSET(IN_Verknüpfungen!$P$4,0,0,IN_Verknüpfungen!$A$2,1)=J$3+1),OFFSET(IN_Verknüpfungen!$F$4,0,0,IN_Verknüpfungen!$A$2,1)))-SUM($G80:I80)</f>
        <v>4.8263888888888884E-2</v>
      </c>
      <c r="K80" s="70" cm="1">
        <f t="array" aca="1" ref="K80" ca="1">_xlfn.NUMBERVALUE(_xlfn.XLOOKUP(1,(OFFSET(IN_Verknüpfungen!$O$4,0,0,IN_Verknüpfungen!$A$2,1)=$A80)*(OFFSET(IN_Verknüpfungen!$P$4,0,0,IN_Verknüpfungen!$A$2,1)=L$3),OFFSET(IN_Verknüpfungen!$J$4,0,0,IN_Verknüpfungen!$A$2,1)))-SUM($G80:J80)</f>
        <v>1.0648148148148129E-2</v>
      </c>
      <c r="L80" s="70" cm="1">
        <f t="array" aca="1" ref="L80" ca="1">_xlfn.NUMBERVALUE(_xlfn.XLOOKUP(1,(OFFSET(IN_Verknüpfungen!$O$4,0,0,IN_Verknüpfungen!$A$2,1)=$A80)*(OFFSET(IN_Verknüpfungen!$P$4,0,0,IN_Verknüpfungen!$A$2,1)=L$3+1),OFFSET(IN_Verknüpfungen!$F$4,0,0,IN_Verknüpfungen!$A$2,1)))-SUM($G80:K80)</f>
        <v>0.12261574074074078</v>
      </c>
      <c r="M80" s="70" cm="1">
        <f t="array" aca="1" ref="M80" ca="1">_xlfn.NUMBERVALUE(_xlfn.XLOOKUP(1,(OFFSET(IN_Verknüpfungen!$O$4,0,0,IN_Verknüpfungen!$A$2,1)=$A80)*(OFFSET(IN_Verknüpfungen!$P$4,0,0,IN_Verknüpfungen!$A$2,1)=N$3),OFFSET(IN_Verknüpfungen!$J$4,0,0,IN_Verknüpfungen!$A$2,1)))-SUM($G80:L80)</f>
        <v>2.7499999999999969E-2</v>
      </c>
      <c r="N80" s="70" t="e" cm="1">
        <f t="array" aca="1" ref="N80" ca="1">_xlfn.NUMBERVALUE(_xlfn.XLOOKUP(1,(OFFSET(IN_Verknüpfungen!$O$4,0,0,IN_Verknüpfungen!$A$2,1)=$A80)*(OFFSET(IN_Verknüpfungen!$P$4,0,0,IN_Verknüpfungen!$A$2,1)=N$3+1),OFFSET(IN_Verknüpfungen!$F$4,0,0,IN_Verknüpfungen!$A$2,1)))-SUM($G80:M80)</f>
        <v>#N/A</v>
      </c>
      <c r="O80" s="70" t="e" cm="1">
        <f t="array" aca="1" ref="O80" ca="1">_xlfn.NUMBERVALUE(_xlfn.XLOOKUP(1,(OFFSET(IN_Verknüpfungen!$O$4,0,0,IN_Verknüpfungen!$A$2,1)=$A80)*(OFFSET(IN_Verknüpfungen!$P$4,0,0,IN_Verknüpfungen!$A$2,1)=P$3),OFFSET(IN_Verknüpfungen!$J$4,0,0,IN_Verknüpfungen!$A$2,1)))-SUM($G80:N80)</f>
        <v>#N/A</v>
      </c>
      <c r="P80" s="70" t="e" cm="1">
        <f t="array" aca="1" ref="P80" ca="1">_xlfn.NUMBERVALUE(_xlfn.XLOOKUP(1,(OFFSET(IN_Verknüpfungen!$O$4,0,0,IN_Verknüpfungen!$A$2,1)=$A80)*(OFFSET(IN_Verknüpfungen!$P$4,0,0,IN_Verknüpfungen!$A$2,1)=P$3+1),OFFSET(IN_Verknüpfungen!$F$4,0,0,IN_Verknüpfungen!$A$2,1)))-SUM($G80:O80)</f>
        <v>#N/A</v>
      </c>
      <c r="Q80" s="70" t="e" cm="1">
        <f t="array" aca="1" ref="Q80" ca="1">_xlfn.NUMBERVALUE(_xlfn.XLOOKUP(1,(OFFSET(IN_Verknüpfungen!$O$4,0,0,IN_Verknüpfungen!$A$2,1)=$A80)*(OFFSET(IN_Verknüpfungen!$P$4,0,0,IN_Verknüpfungen!$A$2,1)=R$3),OFFSET(IN_Verknüpfungen!$J$4,0,0,IN_Verknüpfungen!$A$2,1)))-SUM($G80:P80)</f>
        <v>#N/A</v>
      </c>
      <c r="R80" s="70" t="e" cm="1">
        <f t="array" aca="1" ref="R80" ca="1">_xlfn.NUMBERVALUE(_xlfn.XLOOKUP(1,(OFFSET(IN_Verknüpfungen!$O$4,0,0,IN_Verknüpfungen!$A$2,1)=$A80)*(OFFSET(IN_Verknüpfungen!$P$4,0,0,IN_Verknüpfungen!$A$2,1)=R$3+1),OFFSET(IN_Verknüpfungen!$F$4,0,0,IN_Verknüpfungen!$A$2,1)))-SUM($G80:Q80)</f>
        <v>#N/A</v>
      </c>
      <c r="S80" s="70" t="e" cm="1">
        <f t="array" aca="1" ref="S80" ca="1">_xlfn.NUMBERVALUE(_xlfn.XLOOKUP(1,(OFFSET(IN_Verknüpfungen!$O$4,0,0,IN_Verknüpfungen!$A$2,1)=$A80)*(OFFSET(IN_Verknüpfungen!$P$4,0,0,IN_Verknüpfungen!$A$2,1)=T$3),OFFSET(IN_Verknüpfungen!$J$4,0,0,IN_Verknüpfungen!$A$2,1)))-SUM($G80:R80)</f>
        <v>#N/A</v>
      </c>
      <c r="T80" s="70" t="e" cm="1">
        <f t="array" aca="1" ref="T80" ca="1">_xlfn.NUMBERVALUE(_xlfn.XLOOKUP(1,(OFFSET(IN_Verknüpfungen!$O$4,0,0,IN_Verknüpfungen!$A$2,1)=$A80)*(OFFSET(IN_Verknüpfungen!$P$4,0,0,IN_Verknüpfungen!$A$2,1)=T$3+1),OFFSET(IN_Verknüpfungen!$F$4,0,0,IN_Verknüpfungen!$A$2,1)))-SUM($G80:S80)</f>
        <v>#N/A</v>
      </c>
      <c r="U80" s="70" t="e" cm="1">
        <f t="array" aca="1" ref="U80" ca="1">_xlfn.NUMBERVALUE(_xlfn.XLOOKUP(1,(OFFSET(IN_Verknüpfungen!$O$4,0,0,IN_Verknüpfungen!$A$2,1)=$A80)*(OFFSET(IN_Verknüpfungen!$P$4,0,0,IN_Verknüpfungen!$A$2,1)=V$3),OFFSET(IN_Verknüpfungen!$J$4,0,0,IN_Verknüpfungen!$A$2,1)))-SUM($G80:T80)</f>
        <v>#N/A</v>
      </c>
      <c r="V80" s="70" t="e" cm="1">
        <f t="array" aca="1" ref="V80" ca="1">_xlfn.NUMBERVALUE(_xlfn.XLOOKUP(1,(OFFSET(IN_Verknüpfungen!$O$4,0,0,IN_Verknüpfungen!$A$2,1)=$A80)*(OFFSET(IN_Verknüpfungen!$P$4,0,0,IN_Verknüpfungen!$A$2,1)=V$3+1),OFFSET(IN_Verknüpfungen!$F$4,0,0,IN_Verknüpfungen!$A$2,1)))-SUM($G80:U80)</f>
        <v>#N/A</v>
      </c>
      <c r="W80" s="70" t="e" cm="1">
        <f t="array" aca="1" ref="W80" ca="1">_xlfn.NUMBERVALUE(_xlfn.XLOOKUP(1,(OFFSET(IN_Verknüpfungen!$O$4,0,0,IN_Verknüpfungen!$A$2,1)=$A80)*(OFFSET(IN_Verknüpfungen!$P$4,0,0,IN_Verknüpfungen!$A$2,1)=X$3),OFFSET(IN_Verknüpfungen!$J$4,0,0,IN_Verknüpfungen!$A$2,1)))-SUM($G80:V80)</f>
        <v>#N/A</v>
      </c>
      <c r="X80" s="70" t="e" cm="1">
        <f t="array" aca="1" ref="X80" ca="1">_xlfn.NUMBERVALUE(_xlfn.XLOOKUP(1,(OFFSET(IN_Verknüpfungen!$O$4,0,0,IN_Verknüpfungen!$A$2,1)=$A80)*(OFFSET(IN_Verknüpfungen!$P$4,0,0,IN_Verknüpfungen!$A$2,1)=X$3+1),OFFSET(IN_Verknüpfungen!$F$4,0,0,IN_Verknüpfungen!$A$2,1)))-SUM($G80:W80)</f>
        <v>#N/A</v>
      </c>
      <c r="Y80" s="70" t="e" cm="1">
        <f t="array" aca="1" ref="Y80" ca="1">_xlfn.NUMBERVALUE(_xlfn.XLOOKUP(1,(OFFSET(IN_Verknüpfungen!$O$4,0,0,IN_Verknüpfungen!$A$2,1)=$A80)*(OFFSET(IN_Verknüpfungen!$P$4,0,0,IN_Verknüpfungen!$A$2,1)=Z$3),OFFSET(IN_Verknüpfungen!$J$4,0,0,IN_Verknüpfungen!$A$2,1)))-SUM($G80:X80)</f>
        <v>#N/A</v>
      </c>
      <c r="Z80" s="70" t="e" cm="1">
        <f t="array" aca="1" ref="Z80" ca="1">_xlfn.NUMBERVALUE(_xlfn.XLOOKUP(1,(OFFSET(IN_Verknüpfungen!$O$4,0,0,IN_Verknüpfungen!$A$2,1)=$A80)*(OFFSET(IN_Verknüpfungen!$P$4,0,0,IN_Verknüpfungen!$A$2,1)=Z$3+1),OFFSET(IN_Verknüpfungen!$F$4,0,0,IN_Verknüpfungen!$A$2,1)))-SUM($G80:Y80)</f>
        <v>#N/A</v>
      </c>
      <c r="AA80" s="70" t="e" cm="1">
        <f t="array" aca="1" ref="AA80" ca="1">_xlfn.NUMBERVALUE(_xlfn.XLOOKUP(1,(OFFSET(IN_Verknüpfungen!$O$4,0,0,IN_Verknüpfungen!$A$2,1)=$A80)*(OFFSET(IN_Verknüpfungen!$P$4,0,0,IN_Verknüpfungen!$A$2,1)=AB$3),OFFSET(IN_Verknüpfungen!$J$4,0,0,IN_Verknüpfungen!$A$2,1)))-SUM($G80:Z80)</f>
        <v>#N/A</v>
      </c>
      <c r="AB80" s="70" t="e" cm="1">
        <f t="array" aca="1" ref="AB80" ca="1">_xlfn.NUMBERVALUE(_xlfn.XLOOKUP(1,(OFFSET(IN_Verknüpfungen!$O$4,0,0,IN_Verknüpfungen!$A$2,1)=$A80)*(OFFSET(IN_Verknüpfungen!$P$4,0,0,IN_Verknüpfungen!$A$2,1)=AB$3+1),OFFSET(IN_Verknüpfungen!$F$4,0,0,IN_Verknüpfungen!$A$2,1)))-SUM($G80:AA80)</f>
        <v>#N/A</v>
      </c>
    </row>
    <row r="81" spans="1:28" x14ac:dyDescent="0.2">
      <c r="A81" s="56" t="str">
        <f ca="1"/>
        <v>Composition 78</v>
      </c>
      <c r="B81" s="55" t="str" cm="1">
        <f t="array" aca="1" ref="B81" ca="1">IF(A81&lt;&gt;"",_xlfn.XLOOKUP(Laufwege!A81,OFFSET(IN_Verknüpfungen!L$4,0,0,IN_Verknüpfungen!A$2,1),OFFSET(IN_Verknüpfungen!N$4,0,0,IN_Verknüpfungen!A$2,1),""),"")</f>
        <v>462-1.0</v>
      </c>
      <c r="C81" s="55">
        <f ca="1">IF(A81&lt;&gt;"",SUMIFS(OFFSET(IN_Verknüpfungen!M$4,0,0,IN_Verknüpfungen!A$2,1),OFFSET(IN_Verknüpfungen!O$4,0,0,IN_Verknüpfungen!A$2,1),Laufwege!A81),0)</f>
        <v>638966</v>
      </c>
      <c r="D81" s="55" cm="1">
        <f t="array" aca="1" ref="D81" ca="1">IF(B81&lt;&gt;"",_xlfn.XLOOKUP(B81,OFFSET(IN_Stammdaten!$A$4,0,0,IN_Stammdaten!$A$2,1),OFFSET(IN_Stammdaten!$C$4,0,0,IN_Stammdaten!$A$2,1),""),"")</f>
        <v>0</v>
      </c>
      <c r="E81" s="55" t="str">
        <f t="shared" ca="1" si="2"/>
        <v>nein</v>
      </c>
      <c r="F81" s="69" t="str">
        <f t="shared" ca="1" si="3"/>
        <v>Composition 78 (462-1.0)</v>
      </c>
      <c r="G81" s="70" cm="1">
        <f t="array" aca="1" ref="G81" ca="1">_xlfn.NUMBERVALUE(_xlfn.XLOOKUP(A81,OFFSET(IN_Verknüpfungen!$L$4,0,0,IN_Verknüpfungen!$A$2,1),OFFSET(IN_Verknüpfungen!$Q$4,0,0,IN_Verknüpfungen!$A$2,1)))</f>
        <v>0.24701388888888889</v>
      </c>
      <c r="H81" s="70" cm="1">
        <f t="array" aca="1" ref="H81" ca="1">_xlfn.NUMBERVALUE(_xlfn.XLOOKUP(A81,OFFSET(IN_Verknüpfungen!$L$4,0,0,IN_Verknüpfungen!$A$2,1),OFFSET(IN_Verknüpfungen!$F$4,0,0,IN_Verknüpfungen!$A$2,1)))-G81</f>
        <v>0.11060185185185187</v>
      </c>
      <c r="I81" s="70" cm="1">
        <f t="array" aca="1" ref="I81" ca="1">_xlfn.NUMBERVALUE(_xlfn.XLOOKUP(1,(OFFSET(IN_Verknüpfungen!$O$4,0,0,IN_Verknüpfungen!$A$2,1)=$A81)*(OFFSET(IN_Verknüpfungen!$P$4,0,0,IN_Verknüpfungen!$A$2,1)=J$3),OFFSET(IN_Verknüpfungen!$J$4,0,0,IN_Verknüpfungen!$A$2,1)))-SUM($G81:H81)</f>
        <v>1.0451388888888857E-2</v>
      </c>
      <c r="J81" s="70" cm="1">
        <f t="array" aca="1" ref="J81" ca="1">_xlfn.NUMBERVALUE(_xlfn.XLOOKUP(1,(OFFSET(IN_Verknüpfungen!$O$4,0,0,IN_Verknüpfungen!$A$2,1)=$A81)*(OFFSET(IN_Verknüpfungen!$P$4,0,0,IN_Verknüpfungen!$A$2,1)=J$3+1),OFFSET(IN_Verknüpfungen!$F$4,0,0,IN_Verknüpfungen!$A$2,1)))-SUM($G81:I81)</f>
        <v>0.10318287037037038</v>
      </c>
      <c r="K81" s="70" cm="1">
        <f t="array" aca="1" ref="K81" ca="1">_xlfn.NUMBERVALUE(_xlfn.XLOOKUP(1,(OFFSET(IN_Verknüpfungen!$O$4,0,0,IN_Verknüpfungen!$A$2,1)=$A81)*(OFFSET(IN_Verknüpfungen!$P$4,0,0,IN_Verknüpfungen!$A$2,1)=L$3),OFFSET(IN_Verknüpfungen!$J$4,0,0,IN_Verknüpfungen!$A$2,1)))-SUM($G81:J81)</f>
        <v>6.9907407407407418E-3</v>
      </c>
      <c r="L81" s="70" cm="1">
        <f t="array" aca="1" ref="L81" ca="1">_xlfn.NUMBERVALUE(_xlfn.XLOOKUP(1,(OFFSET(IN_Verknüpfungen!$O$4,0,0,IN_Verknüpfungen!$A$2,1)=$A81)*(OFFSET(IN_Verknüpfungen!$P$4,0,0,IN_Verknüpfungen!$A$2,1)=L$3+1),OFFSET(IN_Verknüpfungen!$F$4,0,0,IN_Verknüpfungen!$A$2,1)))-SUM($G81:K81)</f>
        <v>0.10888888888888892</v>
      </c>
      <c r="M81" s="70" cm="1">
        <f t="array" aca="1" ref="M81" ca="1">_xlfn.NUMBERVALUE(_xlfn.XLOOKUP(1,(OFFSET(IN_Verknüpfungen!$O$4,0,0,IN_Verknüpfungen!$A$2,1)=$A81)*(OFFSET(IN_Verknüpfungen!$P$4,0,0,IN_Verknüpfungen!$A$2,1)=N$3),OFFSET(IN_Verknüpfungen!$J$4,0,0,IN_Verknüpfungen!$A$2,1)))-SUM($G81:L81)</f>
        <v>1.0451388888888857E-2</v>
      </c>
      <c r="N81" s="70" t="e" cm="1">
        <f t="array" aca="1" ref="N81" ca="1">_xlfn.NUMBERVALUE(_xlfn.XLOOKUP(1,(OFFSET(IN_Verknüpfungen!$O$4,0,0,IN_Verknüpfungen!$A$2,1)=$A81)*(OFFSET(IN_Verknüpfungen!$P$4,0,0,IN_Verknüpfungen!$A$2,1)=N$3+1),OFFSET(IN_Verknüpfungen!$F$4,0,0,IN_Verknüpfungen!$A$2,1)))-SUM($G81:M81)</f>
        <v>#N/A</v>
      </c>
      <c r="O81" s="70" t="e" cm="1">
        <f t="array" aca="1" ref="O81" ca="1">_xlfn.NUMBERVALUE(_xlfn.XLOOKUP(1,(OFFSET(IN_Verknüpfungen!$O$4,0,0,IN_Verknüpfungen!$A$2,1)=$A81)*(OFFSET(IN_Verknüpfungen!$P$4,0,0,IN_Verknüpfungen!$A$2,1)=P$3),OFFSET(IN_Verknüpfungen!$J$4,0,0,IN_Verknüpfungen!$A$2,1)))-SUM($G81:N81)</f>
        <v>#N/A</v>
      </c>
      <c r="P81" s="70" t="e" cm="1">
        <f t="array" aca="1" ref="P81" ca="1">_xlfn.NUMBERVALUE(_xlfn.XLOOKUP(1,(OFFSET(IN_Verknüpfungen!$O$4,0,0,IN_Verknüpfungen!$A$2,1)=$A81)*(OFFSET(IN_Verknüpfungen!$P$4,0,0,IN_Verknüpfungen!$A$2,1)=P$3+1),OFFSET(IN_Verknüpfungen!$F$4,0,0,IN_Verknüpfungen!$A$2,1)))-SUM($G81:O81)</f>
        <v>#N/A</v>
      </c>
      <c r="Q81" s="70" t="e" cm="1">
        <f t="array" aca="1" ref="Q81" ca="1">_xlfn.NUMBERVALUE(_xlfn.XLOOKUP(1,(OFFSET(IN_Verknüpfungen!$O$4,0,0,IN_Verknüpfungen!$A$2,1)=$A81)*(OFFSET(IN_Verknüpfungen!$P$4,0,0,IN_Verknüpfungen!$A$2,1)=R$3),OFFSET(IN_Verknüpfungen!$J$4,0,0,IN_Verknüpfungen!$A$2,1)))-SUM($G81:P81)</f>
        <v>#N/A</v>
      </c>
      <c r="R81" s="70" t="e" cm="1">
        <f t="array" aca="1" ref="R81" ca="1">_xlfn.NUMBERVALUE(_xlfn.XLOOKUP(1,(OFFSET(IN_Verknüpfungen!$O$4,0,0,IN_Verknüpfungen!$A$2,1)=$A81)*(OFFSET(IN_Verknüpfungen!$P$4,0,0,IN_Verknüpfungen!$A$2,1)=R$3+1),OFFSET(IN_Verknüpfungen!$F$4,0,0,IN_Verknüpfungen!$A$2,1)))-SUM($G81:Q81)</f>
        <v>#N/A</v>
      </c>
      <c r="S81" s="70" t="e" cm="1">
        <f t="array" aca="1" ref="S81" ca="1">_xlfn.NUMBERVALUE(_xlfn.XLOOKUP(1,(OFFSET(IN_Verknüpfungen!$O$4,0,0,IN_Verknüpfungen!$A$2,1)=$A81)*(OFFSET(IN_Verknüpfungen!$P$4,0,0,IN_Verknüpfungen!$A$2,1)=T$3),OFFSET(IN_Verknüpfungen!$J$4,0,0,IN_Verknüpfungen!$A$2,1)))-SUM($G81:R81)</f>
        <v>#N/A</v>
      </c>
      <c r="T81" s="70" t="e" cm="1">
        <f t="array" aca="1" ref="T81" ca="1">_xlfn.NUMBERVALUE(_xlfn.XLOOKUP(1,(OFFSET(IN_Verknüpfungen!$O$4,0,0,IN_Verknüpfungen!$A$2,1)=$A81)*(OFFSET(IN_Verknüpfungen!$P$4,0,0,IN_Verknüpfungen!$A$2,1)=T$3+1),OFFSET(IN_Verknüpfungen!$F$4,0,0,IN_Verknüpfungen!$A$2,1)))-SUM($G81:S81)</f>
        <v>#N/A</v>
      </c>
      <c r="U81" s="70" t="e" cm="1">
        <f t="array" aca="1" ref="U81" ca="1">_xlfn.NUMBERVALUE(_xlfn.XLOOKUP(1,(OFFSET(IN_Verknüpfungen!$O$4,0,0,IN_Verknüpfungen!$A$2,1)=$A81)*(OFFSET(IN_Verknüpfungen!$P$4,0,0,IN_Verknüpfungen!$A$2,1)=V$3),OFFSET(IN_Verknüpfungen!$J$4,0,0,IN_Verknüpfungen!$A$2,1)))-SUM($G81:T81)</f>
        <v>#N/A</v>
      </c>
      <c r="V81" s="70" t="e" cm="1">
        <f t="array" aca="1" ref="V81" ca="1">_xlfn.NUMBERVALUE(_xlfn.XLOOKUP(1,(OFFSET(IN_Verknüpfungen!$O$4,0,0,IN_Verknüpfungen!$A$2,1)=$A81)*(OFFSET(IN_Verknüpfungen!$P$4,0,0,IN_Verknüpfungen!$A$2,1)=V$3+1),OFFSET(IN_Verknüpfungen!$F$4,0,0,IN_Verknüpfungen!$A$2,1)))-SUM($G81:U81)</f>
        <v>#N/A</v>
      </c>
      <c r="W81" s="70" t="e" cm="1">
        <f t="array" aca="1" ref="W81" ca="1">_xlfn.NUMBERVALUE(_xlfn.XLOOKUP(1,(OFFSET(IN_Verknüpfungen!$O$4,0,0,IN_Verknüpfungen!$A$2,1)=$A81)*(OFFSET(IN_Verknüpfungen!$P$4,0,0,IN_Verknüpfungen!$A$2,1)=X$3),OFFSET(IN_Verknüpfungen!$J$4,0,0,IN_Verknüpfungen!$A$2,1)))-SUM($G81:V81)</f>
        <v>#N/A</v>
      </c>
      <c r="X81" s="70" t="e" cm="1">
        <f t="array" aca="1" ref="X81" ca="1">_xlfn.NUMBERVALUE(_xlfn.XLOOKUP(1,(OFFSET(IN_Verknüpfungen!$O$4,0,0,IN_Verknüpfungen!$A$2,1)=$A81)*(OFFSET(IN_Verknüpfungen!$P$4,0,0,IN_Verknüpfungen!$A$2,1)=X$3+1),OFFSET(IN_Verknüpfungen!$F$4,0,0,IN_Verknüpfungen!$A$2,1)))-SUM($G81:W81)</f>
        <v>#N/A</v>
      </c>
      <c r="Y81" s="70" t="e" cm="1">
        <f t="array" aca="1" ref="Y81" ca="1">_xlfn.NUMBERVALUE(_xlfn.XLOOKUP(1,(OFFSET(IN_Verknüpfungen!$O$4,0,0,IN_Verknüpfungen!$A$2,1)=$A81)*(OFFSET(IN_Verknüpfungen!$P$4,0,0,IN_Verknüpfungen!$A$2,1)=Z$3),OFFSET(IN_Verknüpfungen!$J$4,0,0,IN_Verknüpfungen!$A$2,1)))-SUM($G81:X81)</f>
        <v>#N/A</v>
      </c>
      <c r="Z81" s="70" t="e" cm="1">
        <f t="array" aca="1" ref="Z81" ca="1">_xlfn.NUMBERVALUE(_xlfn.XLOOKUP(1,(OFFSET(IN_Verknüpfungen!$O$4,0,0,IN_Verknüpfungen!$A$2,1)=$A81)*(OFFSET(IN_Verknüpfungen!$P$4,0,0,IN_Verknüpfungen!$A$2,1)=Z$3+1),OFFSET(IN_Verknüpfungen!$F$4,0,0,IN_Verknüpfungen!$A$2,1)))-SUM($G81:Y81)</f>
        <v>#N/A</v>
      </c>
      <c r="AA81" s="70" t="e" cm="1">
        <f t="array" aca="1" ref="AA81" ca="1">_xlfn.NUMBERVALUE(_xlfn.XLOOKUP(1,(OFFSET(IN_Verknüpfungen!$O$4,0,0,IN_Verknüpfungen!$A$2,1)=$A81)*(OFFSET(IN_Verknüpfungen!$P$4,0,0,IN_Verknüpfungen!$A$2,1)=AB$3),OFFSET(IN_Verknüpfungen!$J$4,0,0,IN_Verknüpfungen!$A$2,1)))-SUM($G81:Z81)</f>
        <v>#N/A</v>
      </c>
      <c r="AB81" s="70" t="e" cm="1">
        <f t="array" aca="1" ref="AB81" ca="1">_xlfn.NUMBERVALUE(_xlfn.XLOOKUP(1,(OFFSET(IN_Verknüpfungen!$O$4,0,0,IN_Verknüpfungen!$A$2,1)=$A81)*(OFFSET(IN_Verknüpfungen!$P$4,0,0,IN_Verknüpfungen!$A$2,1)=AB$3+1),OFFSET(IN_Verknüpfungen!$F$4,0,0,IN_Verknüpfungen!$A$2,1)))-SUM($G81:AA81)</f>
        <v>#N/A</v>
      </c>
    </row>
    <row r="82" spans="1:28" x14ac:dyDescent="0.2">
      <c r="A82" s="56" t="str">
        <f ca="1"/>
        <v>Composition 79</v>
      </c>
      <c r="B82" s="55" t="str" cm="1">
        <f t="array" aca="1" ref="B82" ca="1">IF(A82&lt;&gt;"",_xlfn.XLOOKUP(Laufwege!A82,OFFSET(IN_Verknüpfungen!L$4,0,0,IN_Verknüpfungen!A$2,1),OFFSET(IN_Verknüpfungen!N$4,0,0,IN_Verknüpfungen!A$2,1),""),"")</f>
        <v>462-1.0</v>
      </c>
      <c r="C82" s="55">
        <f ca="1">IF(A82&lt;&gt;"",SUMIFS(OFFSET(IN_Verknüpfungen!M$4,0,0,IN_Verknüpfungen!A$2,1),OFFSET(IN_Verknüpfungen!O$4,0,0,IN_Verknüpfungen!A$2,1),Laufwege!A82),0)</f>
        <v>720962</v>
      </c>
      <c r="D82" s="55" cm="1">
        <f t="array" aca="1" ref="D82" ca="1">IF(B82&lt;&gt;"",_xlfn.XLOOKUP(B82,OFFSET(IN_Stammdaten!$A$4,0,0,IN_Stammdaten!$A$2,1),OFFSET(IN_Stammdaten!$C$4,0,0,IN_Stammdaten!$A$2,1),""),"")</f>
        <v>0</v>
      </c>
      <c r="E82" s="55" t="str">
        <f t="shared" ca="1" si="2"/>
        <v>nein</v>
      </c>
      <c r="F82" s="69" t="str">
        <f t="shared" ca="1" si="3"/>
        <v>Composition 79 (462-1.0)</v>
      </c>
      <c r="G82" s="70" cm="1">
        <f t="array" aca="1" ref="G82" ca="1">_xlfn.NUMBERVALUE(_xlfn.XLOOKUP(A82,OFFSET(IN_Verknüpfungen!$L$4,0,0,IN_Verknüpfungen!$A$2,1),OFFSET(IN_Verknüpfungen!$Q$4,0,0,IN_Verknüpfungen!$A$2,1)))</f>
        <v>0.24284722222222221</v>
      </c>
      <c r="H82" s="70" cm="1">
        <f t="array" aca="1" ref="H82" ca="1">_xlfn.NUMBERVALUE(_xlfn.XLOOKUP(A82,OFFSET(IN_Verknüpfungen!$L$4,0,0,IN_Verknüpfungen!$A$2,1),OFFSET(IN_Verknüpfungen!$F$4,0,0,IN_Verknüpfungen!$A$2,1)))-G82</f>
        <v>0.11660879629629628</v>
      </c>
      <c r="I82" s="70" cm="1">
        <f t="array" aca="1" ref="I82" ca="1">_xlfn.NUMBERVALUE(_xlfn.XLOOKUP(1,(OFFSET(IN_Verknüpfungen!$O$4,0,0,IN_Verknüpfungen!$A$2,1)=$A82)*(OFFSET(IN_Verknüpfungen!$P$4,0,0,IN_Verknüpfungen!$A$2,1)=J$3),OFFSET(IN_Verknüpfungen!$J$4,0,0,IN_Verknüpfungen!$A$2,1)))-SUM($G82:H82)</f>
        <v>2.2951388888888924E-2</v>
      </c>
      <c r="J82" s="70" cm="1">
        <f t="array" aca="1" ref="J82" ca="1">_xlfn.NUMBERVALUE(_xlfn.XLOOKUP(1,(OFFSET(IN_Verknüpfungen!$O$4,0,0,IN_Verknüpfungen!$A$2,1)=$A82)*(OFFSET(IN_Verknüpfungen!$P$4,0,0,IN_Verknüpfungen!$A$2,1)=J$3+1),OFFSET(IN_Verknüpfungen!$F$4,0,0,IN_Verknüpfungen!$A$2,1)))-SUM($G82:I82)</f>
        <v>0.12287037037037041</v>
      </c>
      <c r="K82" s="70" cm="1">
        <f t="array" aca="1" ref="K82" ca="1">_xlfn.NUMBERVALUE(_xlfn.XLOOKUP(1,(OFFSET(IN_Verknüpfungen!$O$4,0,0,IN_Verknüpfungen!$A$2,1)=$A82)*(OFFSET(IN_Verknüpfungen!$P$4,0,0,IN_Verknüpfungen!$A$2,1)=L$3),OFFSET(IN_Verknüpfungen!$J$4,0,0,IN_Verknüpfungen!$A$2,1)))-SUM($G82:J82)</f>
        <v>1.6666666666666607E-2</v>
      </c>
      <c r="L82" s="70" t="e" cm="1">
        <f t="array" aca="1" ref="L82" ca="1">_xlfn.NUMBERVALUE(_xlfn.XLOOKUP(1,(OFFSET(IN_Verknüpfungen!$O$4,0,0,IN_Verknüpfungen!$A$2,1)=$A82)*(OFFSET(IN_Verknüpfungen!$P$4,0,0,IN_Verknüpfungen!$A$2,1)=L$3+1),OFFSET(IN_Verknüpfungen!$F$4,0,0,IN_Verknüpfungen!$A$2,1)))-SUM($G82:K82)</f>
        <v>#N/A</v>
      </c>
      <c r="M82" s="70" t="e" cm="1">
        <f t="array" aca="1" ref="M82" ca="1">_xlfn.NUMBERVALUE(_xlfn.XLOOKUP(1,(OFFSET(IN_Verknüpfungen!$O$4,0,0,IN_Verknüpfungen!$A$2,1)=$A82)*(OFFSET(IN_Verknüpfungen!$P$4,0,0,IN_Verknüpfungen!$A$2,1)=N$3),OFFSET(IN_Verknüpfungen!$J$4,0,0,IN_Verknüpfungen!$A$2,1)))-SUM($G82:L82)</f>
        <v>#N/A</v>
      </c>
      <c r="N82" s="70" t="e" cm="1">
        <f t="array" aca="1" ref="N82" ca="1">_xlfn.NUMBERVALUE(_xlfn.XLOOKUP(1,(OFFSET(IN_Verknüpfungen!$O$4,0,0,IN_Verknüpfungen!$A$2,1)=$A82)*(OFFSET(IN_Verknüpfungen!$P$4,0,0,IN_Verknüpfungen!$A$2,1)=N$3+1),OFFSET(IN_Verknüpfungen!$F$4,0,0,IN_Verknüpfungen!$A$2,1)))-SUM($G82:M82)</f>
        <v>#N/A</v>
      </c>
      <c r="O82" s="70" t="e" cm="1">
        <f t="array" aca="1" ref="O82" ca="1">_xlfn.NUMBERVALUE(_xlfn.XLOOKUP(1,(OFFSET(IN_Verknüpfungen!$O$4,0,0,IN_Verknüpfungen!$A$2,1)=$A82)*(OFFSET(IN_Verknüpfungen!$P$4,0,0,IN_Verknüpfungen!$A$2,1)=P$3),OFFSET(IN_Verknüpfungen!$J$4,0,0,IN_Verknüpfungen!$A$2,1)))-SUM($G82:N82)</f>
        <v>#N/A</v>
      </c>
      <c r="P82" s="70" t="e" cm="1">
        <f t="array" aca="1" ref="P82" ca="1">_xlfn.NUMBERVALUE(_xlfn.XLOOKUP(1,(OFFSET(IN_Verknüpfungen!$O$4,0,0,IN_Verknüpfungen!$A$2,1)=$A82)*(OFFSET(IN_Verknüpfungen!$P$4,0,0,IN_Verknüpfungen!$A$2,1)=P$3+1),OFFSET(IN_Verknüpfungen!$F$4,0,0,IN_Verknüpfungen!$A$2,1)))-SUM($G82:O82)</f>
        <v>#N/A</v>
      </c>
      <c r="Q82" s="70" t="e" cm="1">
        <f t="array" aca="1" ref="Q82" ca="1">_xlfn.NUMBERVALUE(_xlfn.XLOOKUP(1,(OFFSET(IN_Verknüpfungen!$O$4,0,0,IN_Verknüpfungen!$A$2,1)=$A82)*(OFFSET(IN_Verknüpfungen!$P$4,0,0,IN_Verknüpfungen!$A$2,1)=R$3),OFFSET(IN_Verknüpfungen!$J$4,0,0,IN_Verknüpfungen!$A$2,1)))-SUM($G82:P82)</f>
        <v>#N/A</v>
      </c>
      <c r="R82" s="70" t="e" cm="1">
        <f t="array" aca="1" ref="R82" ca="1">_xlfn.NUMBERVALUE(_xlfn.XLOOKUP(1,(OFFSET(IN_Verknüpfungen!$O$4,0,0,IN_Verknüpfungen!$A$2,1)=$A82)*(OFFSET(IN_Verknüpfungen!$P$4,0,0,IN_Verknüpfungen!$A$2,1)=R$3+1),OFFSET(IN_Verknüpfungen!$F$4,0,0,IN_Verknüpfungen!$A$2,1)))-SUM($G82:Q82)</f>
        <v>#N/A</v>
      </c>
      <c r="S82" s="70" t="e" cm="1">
        <f t="array" aca="1" ref="S82" ca="1">_xlfn.NUMBERVALUE(_xlfn.XLOOKUP(1,(OFFSET(IN_Verknüpfungen!$O$4,0,0,IN_Verknüpfungen!$A$2,1)=$A82)*(OFFSET(IN_Verknüpfungen!$P$4,0,0,IN_Verknüpfungen!$A$2,1)=T$3),OFFSET(IN_Verknüpfungen!$J$4,0,0,IN_Verknüpfungen!$A$2,1)))-SUM($G82:R82)</f>
        <v>#N/A</v>
      </c>
      <c r="T82" s="70" t="e" cm="1">
        <f t="array" aca="1" ref="T82" ca="1">_xlfn.NUMBERVALUE(_xlfn.XLOOKUP(1,(OFFSET(IN_Verknüpfungen!$O$4,0,0,IN_Verknüpfungen!$A$2,1)=$A82)*(OFFSET(IN_Verknüpfungen!$P$4,0,0,IN_Verknüpfungen!$A$2,1)=T$3+1),OFFSET(IN_Verknüpfungen!$F$4,0,0,IN_Verknüpfungen!$A$2,1)))-SUM($G82:S82)</f>
        <v>#N/A</v>
      </c>
      <c r="U82" s="70" t="e" cm="1">
        <f t="array" aca="1" ref="U82" ca="1">_xlfn.NUMBERVALUE(_xlfn.XLOOKUP(1,(OFFSET(IN_Verknüpfungen!$O$4,0,0,IN_Verknüpfungen!$A$2,1)=$A82)*(OFFSET(IN_Verknüpfungen!$P$4,0,0,IN_Verknüpfungen!$A$2,1)=V$3),OFFSET(IN_Verknüpfungen!$J$4,0,0,IN_Verknüpfungen!$A$2,1)))-SUM($G82:T82)</f>
        <v>#N/A</v>
      </c>
      <c r="V82" s="70" t="e" cm="1">
        <f t="array" aca="1" ref="V82" ca="1">_xlfn.NUMBERVALUE(_xlfn.XLOOKUP(1,(OFFSET(IN_Verknüpfungen!$O$4,0,0,IN_Verknüpfungen!$A$2,1)=$A82)*(OFFSET(IN_Verknüpfungen!$P$4,0,0,IN_Verknüpfungen!$A$2,1)=V$3+1),OFFSET(IN_Verknüpfungen!$F$4,0,0,IN_Verknüpfungen!$A$2,1)))-SUM($G82:U82)</f>
        <v>#N/A</v>
      </c>
      <c r="W82" s="70" t="e" cm="1">
        <f t="array" aca="1" ref="W82" ca="1">_xlfn.NUMBERVALUE(_xlfn.XLOOKUP(1,(OFFSET(IN_Verknüpfungen!$O$4,0,0,IN_Verknüpfungen!$A$2,1)=$A82)*(OFFSET(IN_Verknüpfungen!$P$4,0,0,IN_Verknüpfungen!$A$2,1)=X$3),OFFSET(IN_Verknüpfungen!$J$4,0,0,IN_Verknüpfungen!$A$2,1)))-SUM($G82:V82)</f>
        <v>#N/A</v>
      </c>
      <c r="X82" s="70" t="e" cm="1">
        <f t="array" aca="1" ref="X82" ca="1">_xlfn.NUMBERVALUE(_xlfn.XLOOKUP(1,(OFFSET(IN_Verknüpfungen!$O$4,0,0,IN_Verknüpfungen!$A$2,1)=$A82)*(OFFSET(IN_Verknüpfungen!$P$4,0,0,IN_Verknüpfungen!$A$2,1)=X$3+1),OFFSET(IN_Verknüpfungen!$F$4,0,0,IN_Verknüpfungen!$A$2,1)))-SUM($G82:W82)</f>
        <v>#N/A</v>
      </c>
      <c r="Y82" s="70" t="e" cm="1">
        <f t="array" aca="1" ref="Y82" ca="1">_xlfn.NUMBERVALUE(_xlfn.XLOOKUP(1,(OFFSET(IN_Verknüpfungen!$O$4,0,0,IN_Verknüpfungen!$A$2,1)=$A82)*(OFFSET(IN_Verknüpfungen!$P$4,0,0,IN_Verknüpfungen!$A$2,1)=Z$3),OFFSET(IN_Verknüpfungen!$J$4,0,0,IN_Verknüpfungen!$A$2,1)))-SUM($G82:X82)</f>
        <v>#N/A</v>
      </c>
      <c r="Z82" s="70" t="e" cm="1">
        <f t="array" aca="1" ref="Z82" ca="1">_xlfn.NUMBERVALUE(_xlfn.XLOOKUP(1,(OFFSET(IN_Verknüpfungen!$O$4,0,0,IN_Verknüpfungen!$A$2,1)=$A82)*(OFFSET(IN_Verknüpfungen!$P$4,0,0,IN_Verknüpfungen!$A$2,1)=Z$3+1),OFFSET(IN_Verknüpfungen!$F$4,0,0,IN_Verknüpfungen!$A$2,1)))-SUM($G82:Y82)</f>
        <v>#N/A</v>
      </c>
      <c r="AA82" s="70" t="e" cm="1">
        <f t="array" aca="1" ref="AA82" ca="1">_xlfn.NUMBERVALUE(_xlfn.XLOOKUP(1,(OFFSET(IN_Verknüpfungen!$O$4,0,0,IN_Verknüpfungen!$A$2,1)=$A82)*(OFFSET(IN_Verknüpfungen!$P$4,0,0,IN_Verknüpfungen!$A$2,1)=AB$3),OFFSET(IN_Verknüpfungen!$J$4,0,0,IN_Verknüpfungen!$A$2,1)))-SUM($G82:Z82)</f>
        <v>#N/A</v>
      </c>
      <c r="AB82" s="70" t="e" cm="1">
        <f t="array" aca="1" ref="AB82" ca="1">_xlfn.NUMBERVALUE(_xlfn.XLOOKUP(1,(OFFSET(IN_Verknüpfungen!$O$4,0,0,IN_Verknüpfungen!$A$2,1)=$A82)*(OFFSET(IN_Verknüpfungen!$P$4,0,0,IN_Verknüpfungen!$A$2,1)=AB$3+1),OFFSET(IN_Verknüpfungen!$F$4,0,0,IN_Verknüpfungen!$A$2,1)))-SUM($G82:AA82)</f>
        <v>#N/A</v>
      </c>
    </row>
    <row r="83" spans="1:28" x14ac:dyDescent="0.2">
      <c r="A83" s="56" t="str">
        <f ca="1"/>
        <v>Composition 80</v>
      </c>
      <c r="B83" s="55" t="str" cm="1">
        <f t="array" aca="1" ref="B83" ca="1">IF(A83&lt;&gt;"",_xlfn.XLOOKUP(Laufwege!A83,OFFSET(IN_Verknüpfungen!L$4,0,0,IN_Verknüpfungen!A$2,1),OFFSET(IN_Verknüpfungen!N$4,0,0,IN_Verknüpfungen!A$2,1),""),"")</f>
        <v>462-1.0</v>
      </c>
      <c r="C83" s="55">
        <f ca="1">IF(A83&lt;&gt;"",SUMIFS(OFFSET(IN_Verknüpfungen!M$4,0,0,IN_Verknüpfungen!A$2,1),OFFSET(IN_Verknüpfungen!O$4,0,0,IN_Verknüpfungen!A$2,1),Laufwege!A83),0)</f>
        <v>720802</v>
      </c>
      <c r="D83" s="55" cm="1">
        <f t="array" aca="1" ref="D83" ca="1">IF(B83&lt;&gt;"",_xlfn.XLOOKUP(B83,OFFSET(IN_Stammdaten!$A$4,0,0,IN_Stammdaten!$A$2,1),OFFSET(IN_Stammdaten!$C$4,0,0,IN_Stammdaten!$A$2,1),""),"")</f>
        <v>0</v>
      </c>
      <c r="E83" s="55" t="str">
        <f t="shared" ca="1" si="2"/>
        <v>nein</v>
      </c>
      <c r="F83" s="69" t="str">
        <f t="shared" ca="1" si="3"/>
        <v>Composition 80 (462-1.0)</v>
      </c>
      <c r="G83" s="70" cm="1">
        <f t="array" aca="1" ref="G83" ca="1">_xlfn.NUMBERVALUE(_xlfn.XLOOKUP(A83,OFFSET(IN_Verknüpfungen!$L$4,0,0,IN_Verknüpfungen!$A$2,1),OFFSET(IN_Verknüpfungen!$Q$4,0,0,IN_Verknüpfungen!$A$2,1)))</f>
        <v>0.25298611111111113</v>
      </c>
      <c r="H83" s="70" cm="1">
        <f t="array" aca="1" ref="H83" ca="1">_xlfn.NUMBERVALUE(_xlfn.XLOOKUP(A83,OFFSET(IN_Verknüpfungen!$L$4,0,0,IN_Verknüpfungen!$A$2,1),OFFSET(IN_Verknüpfungen!$F$4,0,0,IN_Verknüpfungen!$A$2,1)))-G83</f>
        <v>0.10745370370370366</v>
      </c>
      <c r="I83" s="70" cm="1">
        <f t="array" aca="1" ref="I83" ca="1">_xlfn.NUMBERVALUE(_xlfn.XLOOKUP(1,(OFFSET(IN_Verknüpfungen!$O$4,0,0,IN_Verknüpfungen!$A$2,1)=$A83)*(OFFSET(IN_Verknüpfungen!$P$4,0,0,IN_Verknüpfungen!$A$2,1)=J$3),OFFSET(IN_Verknüpfungen!$J$4,0,0,IN_Verknüpfungen!$A$2,1)))-SUM($G83:H83)</f>
        <v>1.7500000000000016E-2</v>
      </c>
      <c r="J83" s="70" cm="1">
        <f t="array" aca="1" ref="J83" ca="1">_xlfn.NUMBERVALUE(_xlfn.XLOOKUP(1,(OFFSET(IN_Verknüpfungen!$O$4,0,0,IN_Verknüpfungen!$A$2,1)=$A83)*(OFFSET(IN_Verknüpfungen!$P$4,0,0,IN_Verknüpfungen!$A$2,1)=J$3+1),OFFSET(IN_Verknüpfungen!$F$4,0,0,IN_Verknüpfungen!$A$2,1)))-SUM($G83:I83)</f>
        <v>9.5046296296296295E-2</v>
      </c>
      <c r="K83" s="70" cm="1">
        <f t="array" aca="1" ref="K83" ca="1">_xlfn.NUMBERVALUE(_xlfn.XLOOKUP(1,(OFFSET(IN_Verknüpfungen!$O$4,0,0,IN_Verknüpfungen!$A$2,1)=$A83)*(OFFSET(IN_Verknüpfungen!$P$4,0,0,IN_Verknüpfungen!$A$2,1)=L$3),OFFSET(IN_Verknüpfungen!$J$4,0,0,IN_Verknüpfungen!$A$2,1)))-SUM($G83:J83)</f>
        <v>1.9259259259259254E-2</v>
      </c>
      <c r="L83" s="70" cm="1">
        <f t="array" aca="1" ref="L83" ca="1">_xlfn.NUMBERVALUE(_xlfn.XLOOKUP(1,(OFFSET(IN_Verknüpfungen!$O$4,0,0,IN_Verknüpfungen!$A$2,1)=$A83)*(OFFSET(IN_Verknüpfungen!$P$4,0,0,IN_Verknüpfungen!$A$2,1)=L$3+1),OFFSET(IN_Verknüpfungen!$F$4,0,0,IN_Verknüpfungen!$A$2,1)))-SUM($G83:K83)</f>
        <v>9.9097222222222225E-2</v>
      </c>
      <c r="M83" s="70" cm="1">
        <f t="array" aca="1" ref="M83" ca="1">_xlfn.NUMBERVALUE(_xlfn.XLOOKUP(1,(OFFSET(IN_Verknüpfungen!$O$4,0,0,IN_Verknüpfungen!$A$2,1)=$A83)*(OFFSET(IN_Verknüpfungen!$P$4,0,0,IN_Verknüpfungen!$A$2,1)=N$3),OFFSET(IN_Verknüpfungen!$J$4,0,0,IN_Verknüpfungen!$A$2,1)))-SUM($G83:L83)</f>
        <v>1.5254629629629646E-2</v>
      </c>
      <c r="N83" s="70" t="e" cm="1">
        <f t="array" aca="1" ref="N83" ca="1">_xlfn.NUMBERVALUE(_xlfn.XLOOKUP(1,(OFFSET(IN_Verknüpfungen!$O$4,0,0,IN_Verknüpfungen!$A$2,1)=$A83)*(OFFSET(IN_Verknüpfungen!$P$4,0,0,IN_Verknüpfungen!$A$2,1)=N$3+1),OFFSET(IN_Verknüpfungen!$F$4,0,0,IN_Verknüpfungen!$A$2,1)))-SUM($G83:M83)</f>
        <v>#N/A</v>
      </c>
      <c r="O83" s="70" t="e" cm="1">
        <f t="array" aca="1" ref="O83" ca="1">_xlfn.NUMBERVALUE(_xlfn.XLOOKUP(1,(OFFSET(IN_Verknüpfungen!$O$4,0,0,IN_Verknüpfungen!$A$2,1)=$A83)*(OFFSET(IN_Verknüpfungen!$P$4,0,0,IN_Verknüpfungen!$A$2,1)=P$3),OFFSET(IN_Verknüpfungen!$J$4,0,0,IN_Verknüpfungen!$A$2,1)))-SUM($G83:N83)</f>
        <v>#N/A</v>
      </c>
      <c r="P83" s="70" t="e" cm="1">
        <f t="array" aca="1" ref="P83" ca="1">_xlfn.NUMBERVALUE(_xlfn.XLOOKUP(1,(OFFSET(IN_Verknüpfungen!$O$4,0,0,IN_Verknüpfungen!$A$2,1)=$A83)*(OFFSET(IN_Verknüpfungen!$P$4,0,0,IN_Verknüpfungen!$A$2,1)=P$3+1),OFFSET(IN_Verknüpfungen!$F$4,0,0,IN_Verknüpfungen!$A$2,1)))-SUM($G83:O83)</f>
        <v>#N/A</v>
      </c>
      <c r="Q83" s="70" t="e" cm="1">
        <f t="array" aca="1" ref="Q83" ca="1">_xlfn.NUMBERVALUE(_xlfn.XLOOKUP(1,(OFFSET(IN_Verknüpfungen!$O$4,0,0,IN_Verknüpfungen!$A$2,1)=$A83)*(OFFSET(IN_Verknüpfungen!$P$4,0,0,IN_Verknüpfungen!$A$2,1)=R$3),OFFSET(IN_Verknüpfungen!$J$4,0,0,IN_Verknüpfungen!$A$2,1)))-SUM($G83:P83)</f>
        <v>#N/A</v>
      </c>
      <c r="R83" s="70" t="e" cm="1">
        <f t="array" aca="1" ref="R83" ca="1">_xlfn.NUMBERVALUE(_xlfn.XLOOKUP(1,(OFFSET(IN_Verknüpfungen!$O$4,0,0,IN_Verknüpfungen!$A$2,1)=$A83)*(OFFSET(IN_Verknüpfungen!$P$4,0,0,IN_Verknüpfungen!$A$2,1)=R$3+1),OFFSET(IN_Verknüpfungen!$F$4,0,0,IN_Verknüpfungen!$A$2,1)))-SUM($G83:Q83)</f>
        <v>#N/A</v>
      </c>
      <c r="S83" s="70" t="e" cm="1">
        <f t="array" aca="1" ref="S83" ca="1">_xlfn.NUMBERVALUE(_xlfn.XLOOKUP(1,(OFFSET(IN_Verknüpfungen!$O$4,0,0,IN_Verknüpfungen!$A$2,1)=$A83)*(OFFSET(IN_Verknüpfungen!$P$4,0,0,IN_Verknüpfungen!$A$2,1)=T$3),OFFSET(IN_Verknüpfungen!$J$4,0,0,IN_Verknüpfungen!$A$2,1)))-SUM($G83:R83)</f>
        <v>#N/A</v>
      </c>
      <c r="T83" s="70" t="e" cm="1">
        <f t="array" aca="1" ref="T83" ca="1">_xlfn.NUMBERVALUE(_xlfn.XLOOKUP(1,(OFFSET(IN_Verknüpfungen!$O$4,0,0,IN_Verknüpfungen!$A$2,1)=$A83)*(OFFSET(IN_Verknüpfungen!$P$4,0,0,IN_Verknüpfungen!$A$2,1)=T$3+1),OFFSET(IN_Verknüpfungen!$F$4,0,0,IN_Verknüpfungen!$A$2,1)))-SUM($G83:S83)</f>
        <v>#N/A</v>
      </c>
      <c r="U83" s="70" t="e" cm="1">
        <f t="array" aca="1" ref="U83" ca="1">_xlfn.NUMBERVALUE(_xlfn.XLOOKUP(1,(OFFSET(IN_Verknüpfungen!$O$4,0,0,IN_Verknüpfungen!$A$2,1)=$A83)*(OFFSET(IN_Verknüpfungen!$P$4,0,0,IN_Verknüpfungen!$A$2,1)=V$3),OFFSET(IN_Verknüpfungen!$J$4,0,0,IN_Verknüpfungen!$A$2,1)))-SUM($G83:T83)</f>
        <v>#N/A</v>
      </c>
      <c r="V83" s="70" t="e" cm="1">
        <f t="array" aca="1" ref="V83" ca="1">_xlfn.NUMBERVALUE(_xlfn.XLOOKUP(1,(OFFSET(IN_Verknüpfungen!$O$4,0,0,IN_Verknüpfungen!$A$2,1)=$A83)*(OFFSET(IN_Verknüpfungen!$P$4,0,0,IN_Verknüpfungen!$A$2,1)=V$3+1),OFFSET(IN_Verknüpfungen!$F$4,0,0,IN_Verknüpfungen!$A$2,1)))-SUM($G83:U83)</f>
        <v>#N/A</v>
      </c>
      <c r="W83" s="70" t="e" cm="1">
        <f t="array" aca="1" ref="W83" ca="1">_xlfn.NUMBERVALUE(_xlfn.XLOOKUP(1,(OFFSET(IN_Verknüpfungen!$O$4,0,0,IN_Verknüpfungen!$A$2,1)=$A83)*(OFFSET(IN_Verknüpfungen!$P$4,0,0,IN_Verknüpfungen!$A$2,1)=X$3),OFFSET(IN_Verknüpfungen!$J$4,0,0,IN_Verknüpfungen!$A$2,1)))-SUM($G83:V83)</f>
        <v>#N/A</v>
      </c>
      <c r="X83" s="70" t="e" cm="1">
        <f t="array" aca="1" ref="X83" ca="1">_xlfn.NUMBERVALUE(_xlfn.XLOOKUP(1,(OFFSET(IN_Verknüpfungen!$O$4,0,0,IN_Verknüpfungen!$A$2,1)=$A83)*(OFFSET(IN_Verknüpfungen!$P$4,0,0,IN_Verknüpfungen!$A$2,1)=X$3+1),OFFSET(IN_Verknüpfungen!$F$4,0,0,IN_Verknüpfungen!$A$2,1)))-SUM($G83:W83)</f>
        <v>#N/A</v>
      </c>
      <c r="Y83" s="70" t="e" cm="1">
        <f t="array" aca="1" ref="Y83" ca="1">_xlfn.NUMBERVALUE(_xlfn.XLOOKUP(1,(OFFSET(IN_Verknüpfungen!$O$4,0,0,IN_Verknüpfungen!$A$2,1)=$A83)*(OFFSET(IN_Verknüpfungen!$P$4,0,0,IN_Verknüpfungen!$A$2,1)=Z$3),OFFSET(IN_Verknüpfungen!$J$4,0,0,IN_Verknüpfungen!$A$2,1)))-SUM($G83:X83)</f>
        <v>#N/A</v>
      </c>
      <c r="Z83" s="70" t="e" cm="1">
        <f t="array" aca="1" ref="Z83" ca="1">_xlfn.NUMBERVALUE(_xlfn.XLOOKUP(1,(OFFSET(IN_Verknüpfungen!$O$4,0,0,IN_Verknüpfungen!$A$2,1)=$A83)*(OFFSET(IN_Verknüpfungen!$P$4,0,0,IN_Verknüpfungen!$A$2,1)=Z$3+1),OFFSET(IN_Verknüpfungen!$F$4,0,0,IN_Verknüpfungen!$A$2,1)))-SUM($G83:Y83)</f>
        <v>#N/A</v>
      </c>
      <c r="AA83" s="70" t="e" cm="1">
        <f t="array" aca="1" ref="AA83" ca="1">_xlfn.NUMBERVALUE(_xlfn.XLOOKUP(1,(OFFSET(IN_Verknüpfungen!$O$4,0,0,IN_Verknüpfungen!$A$2,1)=$A83)*(OFFSET(IN_Verknüpfungen!$P$4,0,0,IN_Verknüpfungen!$A$2,1)=AB$3),OFFSET(IN_Verknüpfungen!$J$4,0,0,IN_Verknüpfungen!$A$2,1)))-SUM($G83:Z83)</f>
        <v>#N/A</v>
      </c>
      <c r="AB83" s="70" t="e" cm="1">
        <f t="array" aca="1" ref="AB83" ca="1">_xlfn.NUMBERVALUE(_xlfn.XLOOKUP(1,(OFFSET(IN_Verknüpfungen!$O$4,0,0,IN_Verknüpfungen!$A$2,1)=$A83)*(OFFSET(IN_Verknüpfungen!$P$4,0,0,IN_Verknüpfungen!$A$2,1)=AB$3+1),OFFSET(IN_Verknüpfungen!$F$4,0,0,IN_Verknüpfungen!$A$2,1)))-SUM($G83:AA83)</f>
        <v>#N/A</v>
      </c>
    </row>
    <row r="84" spans="1:28" x14ac:dyDescent="0.2">
      <c r="A84" s="56" t="str">
        <f ca="1"/>
        <v>Composition 81</v>
      </c>
      <c r="B84" s="55" t="str" cm="1">
        <f t="array" aca="1" ref="B84" ca="1">IF(A84&lt;&gt;"",_xlfn.XLOOKUP(Laufwege!A84,OFFSET(IN_Verknüpfungen!L$4,0,0,IN_Verknüpfungen!A$2,1),OFFSET(IN_Verknüpfungen!N$4,0,0,IN_Verknüpfungen!A$2,1),""),"")</f>
        <v>462-1.0</v>
      </c>
      <c r="C84" s="55">
        <f ca="1">IF(A84&lt;&gt;"",SUMIFS(OFFSET(IN_Verknüpfungen!M$4,0,0,IN_Verknüpfungen!A$2,1),OFFSET(IN_Verknüpfungen!O$4,0,0,IN_Verknüpfungen!A$2,1),Laufwege!A84),0)</f>
        <v>718189</v>
      </c>
      <c r="D84" s="55" cm="1">
        <f t="array" aca="1" ref="D84" ca="1">IF(B84&lt;&gt;"",_xlfn.XLOOKUP(B84,OFFSET(IN_Stammdaten!$A$4,0,0,IN_Stammdaten!$A$2,1),OFFSET(IN_Stammdaten!$C$4,0,0,IN_Stammdaten!$A$2,1),""),"")</f>
        <v>0</v>
      </c>
      <c r="E84" s="55" t="str">
        <f t="shared" ca="1" si="2"/>
        <v>nein</v>
      </c>
      <c r="F84" s="69" t="str">
        <f t="shared" ca="1" si="3"/>
        <v>Composition 81 (462-1.0)</v>
      </c>
      <c r="G84" s="70" cm="1">
        <f t="array" aca="1" ref="G84" ca="1">_xlfn.NUMBERVALUE(_xlfn.XLOOKUP(A84,OFFSET(IN_Verknüpfungen!$L$4,0,0,IN_Verknüpfungen!$A$2,1),OFFSET(IN_Verknüpfungen!$Q$4,0,0,IN_Verknüpfungen!$A$2,1)))</f>
        <v>0.24105324074074075</v>
      </c>
      <c r="H84" s="70" cm="1">
        <f t="array" aca="1" ref="H84" ca="1">_xlfn.NUMBERVALUE(_xlfn.XLOOKUP(A84,OFFSET(IN_Verknüpfungen!$L$4,0,0,IN_Verknüpfungen!$A$2,1),OFFSET(IN_Verknüpfungen!$F$4,0,0,IN_Verknüpfungen!$A$2,1)))-G84</f>
        <v>0.12003472222222222</v>
      </c>
      <c r="I84" s="70" cm="1">
        <f t="array" aca="1" ref="I84" ca="1">_xlfn.NUMBERVALUE(_xlfn.XLOOKUP(1,(OFFSET(IN_Verknüpfungen!$O$4,0,0,IN_Verknüpfungen!$A$2,1)=$A84)*(OFFSET(IN_Verknüpfungen!$P$4,0,0,IN_Verknüpfungen!$A$2,1)=J$3),OFFSET(IN_Verknüpfungen!$J$4,0,0,IN_Verknüpfungen!$A$2,1)))-SUM($G84:H84)</f>
        <v>1.3518518518518485E-2</v>
      </c>
      <c r="J84" s="70" cm="1">
        <f t="array" aca="1" ref="J84" ca="1">_xlfn.NUMBERVALUE(_xlfn.XLOOKUP(1,(OFFSET(IN_Verknüpfungen!$O$4,0,0,IN_Verknüpfungen!$A$2,1)=$A84)*(OFFSET(IN_Verknüpfungen!$P$4,0,0,IN_Verknüpfungen!$A$2,1)=J$3+1),OFFSET(IN_Verknüpfungen!$F$4,0,0,IN_Verknüpfungen!$A$2,1)))-SUM($G84:I84)</f>
        <v>0.10986111111111113</v>
      </c>
      <c r="K84" s="70" cm="1">
        <f t="array" aca="1" ref="K84" ca="1">_xlfn.NUMBERVALUE(_xlfn.XLOOKUP(1,(OFFSET(IN_Verknüpfungen!$O$4,0,0,IN_Verknüpfungen!$A$2,1)=$A84)*(OFFSET(IN_Verknüpfungen!$P$4,0,0,IN_Verknüpfungen!$A$2,1)=L$3),OFFSET(IN_Verknüpfungen!$J$4,0,0,IN_Verknüpfungen!$A$2,1)))-SUM($G84:J84)</f>
        <v>2.293981481481483E-2</v>
      </c>
      <c r="L84" s="70" t="e" cm="1">
        <f t="array" aca="1" ref="L84" ca="1">_xlfn.NUMBERVALUE(_xlfn.XLOOKUP(1,(OFFSET(IN_Verknüpfungen!$O$4,0,0,IN_Verknüpfungen!$A$2,1)=$A84)*(OFFSET(IN_Verknüpfungen!$P$4,0,0,IN_Verknüpfungen!$A$2,1)=L$3+1),OFFSET(IN_Verknüpfungen!$F$4,0,0,IN_Verknüpfungen!$A$2,1)))-SUM($G84:K84)</f>
        <v>#N/A</v>
      </c>
      <c r="M84" s="70" t="e" cm="1">
        <f t="array" aca="1" ref="M84" ca="1">_xlfn.NUMBERVALUE(_xlfn.XLOOKUP(1,(OFFSET(IN_Verknüpfungen!$O$4,0,0,IN_Verknüpfungen!$A$2,1)=$A84)*(OFFSET(IN_Verknüpfungen!$P$4,0,0,IN_Verknüpfungen!$A$2,1)=N$3),OFFSET(IN_Verknüpfungen!$J$4,0,0,IN_Verknüpfungen!$A$2,1)))-SUM($G84:L84)</f>
        <v>#N/A</v>
      </c>
      <c r="N84" s="70" t="e" cm="1">
        <f t="array" aca="1" ref="N84" ca="1">_xlfn.NUMBERVALUE(_xlfn.XLOOKUP(1,(OFFSET(IN_Verknüpfungen!$O$4,0,0,IN_Verknüpfungen!$A$2,1)=$A84)*(OFFSET(IN_Verknüpfungen!$P$4,0,0,IN_Verknüpfungen!$A$2,1)=N$3+1),OFFSET(IN_Verknüpfungen!$F$4,0,0,IN_Verknüpfungen!$A$2,1)))-SUM($G84:M84)</f>
        <v>#N/A</v>
      </c>
      <c r="O84" s="70" t="e" cm="1">
        <f t="array" aca="1" ref="O84" ca="1">_xlfn.NUMBERVALUE(_xlfn.XLOOKUP(1,(OFFSET(IN_Verknüpfungen!$O$4,0,0,IN_Verknüpfungen!$A$2,1)=$A84)*(OFFSET(IN_Verknüpfungen!$P$4,0,0,IN_Verknüpfungen!$A$2,1)=P$3),OFFSET(IN_Verknüpfungen!$J$4,0,0,IN_Verknüpfungen!$A$2,1)))-SUM($G84:N84)</f>
        <v>#N/A</v>
      </c>
      <c r="P84" s="70" t="e" cm="1">
        <f t="array" aca="1" ref="P84" ca="1">_xlfn.NUMBERVALUE(_xlfn.XLOOKUP(1,(OFFSET(IN_Verknüpfungen!$O$4,0,0,IN_Verknüpfungen!$A$2,1)=$A84)*(OFFSET(IN_Verknüpfungen!$P$4,0,0,IN_Verknüpfungen!$A$2,1)=P$3+1),OFFSET(IN_Verknüpfungen!$F$4,0,0,IN_Verknüpfungen!$A$2,1)))-SUM($G84:O84)</f>
        <v>#N/A</v>
      </c>
      <c r="Q84" s="70" t="e" cm="1">
        <f t="array" aca="1" ref="Q84" ca="1">_xlfn.NUMBERVALUE(_xlfn.XLOOKUP(1,(OFFSET(IN_Verknüpfungen!$O$4,0,0,IN_Verknüpfungen!$A$2,1)=$A84)*(OFFSET(IN_Verknüpfungen!$P$4,0,0,IN_Verknüpfungen!$A$2,1)=R$3),OFFSET(IN_Verknüpfungen!$J$4,0,0,IN_Verknüpfungen!$A$2,1)))-SUM($G84:P84)</f>
        <v>#N/A</v>
      </c>
      <c r="R84" s="70" t="e" cm="1">
        <f t="array" aca="1" ref="R84" ca="1">_xlfn.NUMBERVALUE(_xlfn.XLOOKUP(1,(OFFSET(IN_Verknüpfungen!$O$4,0,0,IN_Verknüpfungen!$A$2,1)=$A84)*(OFFSET(IN_Verknüpfungen!$P$4,0,0,IN_Verknüpfungen!$A$2,1)=R$3+1),OFFSET(IN_Verknüpfungen!$F$4,0,0,IN_Verknüpfungen!$A$2,1)))-SUM($G84:Q84)</f>
        <v>#N/A</v>
      </c>
      <c r="S84" s="70" t="e" cm="1">
        <f t="array" aca="1" ref="S84" ca="1">_xlfn.NUMBERVALUE(_xlfn.XLOOKUP(1,(OFFSET(IN_Verknüpfungen!$O$4,0,0,IN_Verknüpfungen!$A$2,1)=$A84)*(OFFSET(IN_Verknüpfungen!$P$4,0,0,IN_Verknüpfungen!$A$2,1)=T$3),OFFSET(IN_Verknüpfungen!$J$4,0,0,IN_Verknüpfungen!$A$2,1)))-SUM($G84:R84)</f>
        <v>#N/A</v>
      </c>
      <c r="T84" s="70" t="e" cm="1">
        <f t="array" aca="1" ref="T84" ca="1">_xlfn.NUMBERVALUE(_xlfn.XLOOKUP(1,(OFFSET(IN_Verknüpfungen!$O$4,0,0,IN_Verknüpfungen!$A$2,1)=$A84)*(OFFSET(IN_Verknüpfungen!$P$4,0,0,IN_Verknüpfungen!$A$2,1)=T$3+1),OFFSET(IN_Verknüpfungen!$F$4,0,0,IN_Verknüpfungen!$A$2,1)))-SUM($G84:S84)</f>
        <v>#N/A</v>
      </c>
      <c r="U84" s="70" t="e" cm="1">
        <f t="array" aca="1" ref="U84" ca="1">_xlfn.NUMBERVALUE(_xlfn.XLOOKUP(1,(OFFSET(IN_Verknüpfungen!$O$4,0,0,IN_Verknüpfungen!$A$2,1)=$A84)*(OFFSET(IN_Verknüpfungen!$P$4,0,0,IN_Verknüpfungen!$A$2,1)=V$3),OFFSET(IN_Verknüpfungen!$J$4,0,0,IN_Verknüpfungen!$A$2,1)))-SUM($G84:T84)</f>
        <v>#N/A</v>
      </c>
      <c r="V84" s="70" t="e" cm="1">
        <f t="array" aca="1" ref="V84" ca="1">_xlfn.NUMBERVALUE(_xlfn.XLOOKUP(1,(OFFSET(IN_Verknüpfungen!$O$4,0,0,IN_Verknüpfungen!$A$2,1)=$A84)*(OFFSET(IN_Verknüpfungen!$P$4,0,0,IN_Verknüpfungen!$A$2,1)=V$3+1),OFFSET(IN_Verknüpfungen!$F$4,0,0,IN_Verknüpfungen!$A$2,1)))-SUM($G84:U84)</f>
        <v>#N/A</v>
      </c>
      <c r="W84" s="70" t="e" cm="1">
        <f t="array" aca="1" ref="W84" ca="1">_xlfn.NUMBERVALUE(_xlfn.XLOOKUP(1,(OFFSET(IN_Verknüpfungen!$O$4,0,0,IN_Verknüpfungen!$A$2,1)=$A84)*(OFFSET(IN_Verknüpfungen!$P$4,0,0,IN_Verknüpfungen!$A$2,1)=X$3),OFFSET(IN_Verknüpfungen!$J$4,0,0,IN_Verknüpfungen!$A$2,1)))-SUM($G84:V84)</f>
        <v>#N/A</v>
      </c>
      <c r="X84" s="70" t="e" cm="1">
        <f t="array" aca="1" ref="X84" ca="1">_xlfn.NUMBERVALUE(_xlfn.XLOOKUP(1,(OFFSET(IN_Verknüpfungen!$O$4,0,0,IN_Verknüpfungen!$A$2,1)=$A84)*(OFFSET(IN_Verknüpfungen!$P$4,0,0,IN_Verknüpfungen!$A$2,1)=X$3+1),OFFSET(IN_Verknüpfungen!$F$4,0,0,IN_Verknüpfungen!$A$2,1)))-SUM($G84:W84)</f>
        <v>#N/A</v>
      </c>
      <c r="Y84" s="70" t="e" cm="1">
        <f t="array" aca="1" ref="Y84" ca="1">_xlfn.NUMBERVALUE(_xlfn.XLOOKUP(1,(OFFSET(IN_Verknüpfungen!$O$4,0,0,IN_Verknüpfungen!$A$2,1)=$A84)*(OFFSET(IN_Verknüpfungen!$P$4,0,0,IN_Verknüpfungen!$A$2,1)=Z$3),OFFSET(IN_Verknüpfungen!$J$4,0,0,IN_Verknüpfungen!$A$2,1)))-SUM($G84:X84)</f>
        <v>#N/A</v>
      </c>
      <c r="Z84" s="70" t="e" cm="1">
        <f t="array" aca="1" ref="Z84" ca="1">_xlfn.NUMBERVALUE(_xlfn.XLOOKUP(1,(OFFSET(IN_Verknüpfungen!$O$4,0,0,IN_Verknüpfungen!$A$2,1)=$A84)*(OFFSET(IN_Verknüpfungen!$P$4,0,0,IN_Verknüpfungen!$A$2,1)=Z$3+1),OFFSET(IN_Verknüpfungen!$F$4,0,0,IN_Verknüpfungen!$A$2,1)))-SUM($G84:Y84)</f>
        <v>#N/A</v>
      </c>
      <c r="AA84" s="70" t="e" cm="1">
        <f t="array" aca="1" ref="AA84" ca="1">_xlfn.NUMBERVALUE(_xlfn.XLOOKUP(1,(OFFSET(IN_Verknüpfungen!$O$4,0,0,IN_Verknüpfungen!$A$2,1)=$A84)*(OFFSET(IN_Verknüpfungen!$P$4,0,0,IN_Verknüpfungen!$A$2,1)=AB$3),OFFSET(IN_Verknüpfungen!$J$4,0,0,IN_Verknüpfungen!$A$2,1)))-SUM($G84:Z84)</f>
        <v>#N/A</v>
      </c>
      <c r="AB84" s="70" t="e" cm="1">
        <f t="array" aca="1" ref="AB84" ca="1">_xlfn.NUMBERVALUE(_xlfn.XLOOKUP(1,(OFFSET(IN_Verknüpfungen!$O$4,0,0,IN_Verknüpfungen!$A$2,1)=$A84)*(OFFSET(IN_Verknüpfungen!$P$4,0,0,IN_Verknüpfungen!$A$2,1)=AB$3+1),OFFSET(IN_Verknüpfungen!$F$4,0,0,IN_Verknüpfungen!$A$2,1)))-SUM($G84:AA84)</f>
        <v>#N/A</v>
      </c>
    </row>
    <row r="85" spans="1:28" x14ac:dyDescent="0.2">
      <c r="A85" s="56" t="str">
        <f ca="1"/>
        <v>Composition 82</v>
      </c>
      <c r="B85" s="55" t="str" cm="1">
        <f t="array" aca="1" ref="B85" ca="1">IF(A85&lt;&gt;"",_xlfn.XLOOKUP(Laufwege!A85,OFFSET(IN_Verknüpfungen!L$4,0,0,IN_Verknüpfungen!A$2,1),OFFSET(IN_Verknüpfungen!N$4,0,0,IN_Verknüpfungen!A$2,1),""),"")</f>
        <v>462-1.0</v>
      </c>
      <c r="C85" s="55">
        <f ca="1">IF(A85&lt;&gt;"",SUMIFS(OFFSET(IN_Verknüpfungen!M$4,0,0,IN_Verknüpfungen!A$2,1),OFFSET(IN_Verknüpfungen!O$4,0,0,IN_Verknüpfungen!A$2,1),Laufwege!A85),0)</f>
        <v>388970</v>
      </c>
      <c r="D85" s="55" cm="1">
        <f t="array" aca="1" ref="D85" ca="1">IF(B85&lt;&gt;"",_xlfn.XLOOKUP(B85,OFFSET(IN_Stammdaten!$A$4,0,0,IN_Stammdaten!$A$2,1),OFFSET(IN_Stammdaten!$C$4,0,0,IN_Stammdaten!$A$2,1),""),"")</f>
        <v>0</v>
      </c>
      <c r="E85" s="55" t="str">
        <f t="shared" ca="1" si="2"/>
        <v>nein</v>
      </c>
      <c r="F85" s="69" t="str">
        <f t="shared" ca="1" si="3"/>
        <v>Composition 82 (462-1.0)</v>
      </c>
      <c r="G85" s="70" cm="1">
        <f t="array" aca="1" ref="G85" ca="1">_xlfn.NUMBERVALUE(_xlfn.XLOOKUP(A85,OFFSET(IN_Verknüpfungen!$L$4,0,0,IN_Verknüpfungen!$A$2,1),OFFSET(IN_Verknüpfungen!$Q$4,0,0,IN_Verknüpfungen!$A$2,1)))</f>
        <v>0.27826388888888887</v>
      </c>
      <c r="H85" s="70" cm="1">
        <f t="array" aca="1" ref="H85" ca="1">_xlfn.NUMBERVALUE(_xlfn.XLOOKUP(A85,OFFSET(IN_Verknüpfungen!$L$4,0,0,IN_Verknüpfungen!$A$2,1),OFFSET(IN_Verknüpfungen!$F$4,0,0,IN_Verknüpfungen!$A$2,1)))-G85</f>
        <v>8.4571759259259305E-2</v>
      </c>
      <c r="I85" s="70" cm="1">
        <f t="array" aca="1" ref="I85" ca="1">_xlfn.NUMBERVALUE(_xlfn.XLOOKUP(1,(OFFSET(IN_Verknüpfungen!$O$4,0,0,IN_Verknüpfungen!$A$2,1)=$A85)*(OFFSET(IN_Verknüpfungen!$P$4,0,0,IN_Verknüpfungen!$A$2,1)=J$3),OFFSET(IN_Verknüpfungen!$J$4,0,0,IN_Verknüpfungen!$A$2,1)))-SUM($G85:H85)</f>
        <v>3.6759259259259214E-2</v>
      </c>
      <c r="J85" s="70" cm="1">
        <f t="array" aca="1" ref="J85" ca="1">_xlfn.NUMBERVALUE(_xlfn.XLOOKUP(1,(OFFSET(IN_Verknüpfungen!$O$4,0,0,IN_Verknüpfungen!$A$2,1)=$A85)*(OFFSET(IN_Verknüpfungen!$P$4,0,0,IN_Verknüpfungen!$A$2,1)=J$3+1),OFFSET(IN_Verknüpfungen!$F$4,0,0,IN_Verknüpfungen!$A$2,1)))-SUM($G85:I85)</f>
        <v>7.9398148148148162E-2</v>
      </c>
      <c r="K85" s="70" cm="1">
        <f t="array" aca="1" ref="K85" ca="1">_xlfn.NUMBERVALUE(_xlfn.XLOOKUP(1,(OFFSET(IN_Verknüpfungen!$O$4,0,0,IN_Verknüpfungen!$A$2,1)=$A85)*(OFFSET(IN_Verknüpfungen!$P$4,0,0,IN_Verknüpfungen!$A$2,1)=L$3),OFFSET(IN_Verknüpfungen!$J$4,0,0,IN_Verknüpfungen!$A$2,1)))-SUM($G85:J85)</f>
        <v>1.5208333333333324E-2</v>
      </c>
      <c r="L85" s="70" cm="1">
        <f t="array" aca="1" ref="L85" ca="1">_xlfn.NUMBERVALUE(_xlfn.XLOOKUP(1,(OFFSET(IN_Verknüpfungen!$O$4,0,0,IN_Verknüpfungen!$A$2,1)=$A85)*(OFFSET(IN_Verknüpfungen!$P$4,0,0,IN_Verknüpfungen!$A$2,1)=L$3+1),OFFSET(IN_Verknüpfungen!$F$4,0,0,IN_Verknüpfungen!$A$2,1)))-SUM($G85:K85)</f>
        <v>7.696759259259256E-2</v>
      </c>
      <c r="M85" s="70" cm="1">
        <f t="array" aca="1" ref="M85" ca="1">_xlfn.NUMBERVALUE(_xlfn.XLOOKUP(1,(OFFSET(IN_Verknüpfungen!$O$4,0,0,IN_Verknüpfungen!$A$2,1)=$A85)*(OFFSET(IN_Verknüpfungen!$P$4,0,0,IN_Verknüpfungen!$A$2,1)=N$3),OFFSET(IN_Verknüpfungen!$J$4,0,0,IN_Verknüpfungen!$A$2,1)))-SUM($G85:L85)</f>
        <v>3.6759259259259269E-2</v>
      </c>
      <c r="N85" s="70" t="e" cm="1">
        <f t="array" aca="1" ref="N85" ca="1">_xlfn.NUMBERVALUE(_xlfn.XLOOKUP(1,(OFFSET(IN_Verknüpfungen!$O$4,0,0,IN_Verknüpfungen!$A$2,1)=$A85)*(OFFSET(IN_Verknüpfungen!$P$4,0,0,IN_Verknüpfungen!$A$2,1)=N$3+1),OFFSET(IN_Verknüpfungen!$F$4,0,0,IN_Verknüpfungen!$A$2,1)))-SUM($G85:M85)</f>
        <v>#N/A</v>
      </c>
      <c r="O85" s="70" t="e" cm="1">
        <f t="array" aca="1" ref="O85" ca="1">_xlfn.NUMBERVALUE(_xlfn.XLOOKUP(1,(OFFSET(IN_Verknüpfungen!$O$4,0,0,IN_Verknüpfungen!$A$2,1)=$A85)*(OFFSET(IN_Verknüpfungen!$P$4,0,0,IN_Verknüpfungen!$A$2,1)=P$3),OFFSET(IN_Verknüpfungen!$J$4,0,0,IN_Verknüpfungen!$A$2,1)))-SUM($G85:N85)</f>
        <v>#N/A</v>
      </c>
      <c r="P85" s="70" t="e" cm="1">
        <f t="array" aca="1" ref="P85" ca="1">_xlfn.NUMBERVALUE(_xlfn.XLOOKUP(1,(OFFSET(IN_Verknüpfungen!$O$4,0,0,IN_Verknüpfungen!$A$2,1)=$A85)*(OFFSET(IN_Verknüpfungen!$P$4,0,0,IN_Verknüpfungen!$A$2,1)=P$3+1),OFFSET(IN_Verknüpfungen!$F$4,0,0,IN_Verknüpfungen!$A$2,1)))-SUM($G85:O85)</f>
        <v>#N/A</v>
      </c>
      <c r="Q85" s="70" t="e" cm="1">
        <f t="array" aca="1" ref="Q85" ca="1">_xlfn.NUMBERVALUE(_xlfn.XLOOKUP(1,(OFFSET(IN_Verknüpfungen!$O$4,0,0,IN_Verknüpfungen!$A$2,1)=$A85)*(OFFSET(IN_Verknüpfungen!$P$4,0,0,IN_Verknüpfungen!$A$2,1)=R$3),OFFSET(IN_Verknüpfungen!$J$4,0,0,IN_Verknüpfungen!$A$2,1)))-SUM($G85:P85)</f>
        <v>#N/A</v>
      </c>
      <c r="R85" s="70" t="e" cm="1">
        <f t="array" aca="1" ref="R85" ca="1">_xlfn.NUMBERVALUE(_xlfn.XLOOKUP(1,(OFFSET(IN_Verknüpfungen!$O$4,0,0,IN_Verknüpfungen!$A$2,1)=$A85)*(OFFSET(IN_Verknüpfungen!$P$4,0,0,IN_Verknüpfungen!$A$2,1)=R$3+1),OFFSET(IN_Verknüpfungen!$F$4,0,0,IN_Verknüpfungen!$A$2,1)))-SUM($G85:Q85)</f>
        <v>#N/A</v>
      </c>
      <c r="S85" s="70" t="e" cm="1">
        <f t="array" aca="1" ref="S85" ca="1">_xlfn.NUMBERVALUE(_xlfn.XLOOKUP(1,(OFFSET(IN_Verknüpfungen!$O$4,0,0,IN_Verknüpfungen!$A$2,1)=$A85)*(OFFSET(IN_Verknüpfungen!$P$4,0,0,IN_Verknüpfungen!$A$2,1)=T$3),OFFSET(IN_Verknüpfungen!$J$4,0,0,IN_Verknüpfungen!$A$2,1)))-SUM($G85:R85)</f>
        <v>#N/A</v>
      </c>
      <c r="T85" s="70" t="e" cm="1">
        <f t="array" aca="1" ref="T85" ca="1">_xlfn.NUMBERVALUE(_xlfn.XLOOKUP(1,(OFFSET(IN_Verknüpfungen!$O$4,0,0,IN_Verknüpfungen!$A$2,1)=$A85)*(OFFSET(IN_Verknüpfungen!$P$4,0,0,IN_Verknüpfungen!$A$2,1)=T$3+1),OFFSET(IN_Verknüpfungen!$F$4,0,0,IN_Verknüpfungen!$A$2,1)))-SUM($G85:S85)</f>
        <v>#N/A</v>
      </c>
      <c r="U85" s="70" t="e" cm="1">
        <f t="array" aca="1" ref="U85" ca="1">_xlfn.NUMBERVALUE(_xlfn.XLOOKUP(1,(OFFSET(IN_Verknüpfungen!$O$4,0,0,IN_Verknüpfungen!$A$2,1)=$A85)*(OFFSET(IN_Verknüpfungen!$P$4,0,0,IN_Verknüpfungen!$A$2,1)=V$3),OFFSET(IN_Verknüpfungen!$J$4,0,0,IN_Verknüpfungen!$A$2,1)))-SUM($G85:T85)</f>
        <v>#N/A</v>
      </c>
      <c r="V85" s="70" t="e" cm="1">
        <f t="array" aca="1" ref="V85" ca="1">_xlfn.NUMBERVALUE(_xlfn.XLOOKUP(1,(OFFSET(IN_Verknüpfungen!$O$4,0,0,IN_Verknüpfungen!$A$2,1)=$A85)*(OFFSET(IN_Verknüpfungen!$P$4,0,0,IN_Verknüpfungen!$A$2,1)=V$3+1),OFFSET(IN_Verknüpfungen!$F$4,0,0,IN_Verknüpfungen!$A$2,1)))-SUM($G85:U85)</f>
        <v>#N/A</v>
      </c>
      <c r="W85" s="70" t="e" cm="1">
        <f t="array" aca="1" ref="W85" ca="1">_xlfn.NUMBERVALUE(_xlfn.XLOOKUP(1,(OFFSET(IN_Verknüpfungen!$O$4,0,0,IN_Verknüpfungen!$A$2,1)=$A85)*(OFFSET(IN_Verknüpfungen!$P$4,0,0,IN_Verknüpfungen!$A$2,1)=X$3),OFFSET(IN_Verknüpfungen!$J$4,0,0,IN_Verknüpfungen!$A$2,1)))-SUM($G85:V85)</f>
        <v>#N/A</v>
      </c>
      <c r="X85" s="70" t="e" cm="1">
        <f t="array" aca="1" ref="X85" ca="1">_xlfn.NUMBERVALUE(_xlfn.XLOOKUP(1,(OFFSET(IN_Verknüpfungen!$O$4,0,0,IN_Verknüpfungen!$A$2,1)=$A85)*(OFFSET(IN_Verknüpfungen!$P$4,0,0,IN_Verknüpfungen!$A$2,1)=X$3+1),OFFSET(IN_Verknüpfungen!$F$4,0,0,IN_Verknüpfungen!$A$2,1)))-SUM($G85:W85)</f>
        <v>#N/A</v>
      </c>
      <c r="Y85" s="70" t="e" cm="1">
        <f t="array" aca="1" ref="Y85" ca="1">_xlfn.NUMBERVALUE(_xlfn.XLOOKUP(1,(OFFSET(IN_Verknüpfungen!$O$4,0,0,IN_Verknüpfungen!$A$2,1)=$A85)*(OFFSET(IN_Verknüpfungen!$P$4,0,0,IN_Verknüpfungen!$A$2,1)=Z$3),OFFSET(IN_Verknüpfungen!$J$4,0,0,IN_Verknüpfungen!$A$2,1)))-SUM($G85:X85)</f>
        <v>#N/A</v>
      </c>
      <c r="Z85" s="70" t="e" cm="1">
        <f t="array" aca="1" ref="Z85" ca="1">_xlfn.NUMBERVALUE(_xlfn.XLOOKUP(1,(OFFSET(IN_Verknüpfungen!$O$4,0,0,IN_Verknüpfungen!$A$2,1)=$A85)*(OFFSET(IN_Verknüpfungen!$P$4,0,0,IN_Verknüpfungen!$A$2,1)=Z$3+1),OFFSET(IN_Verknüpfungen!$F$4,0,0,IN_Verknüpfungen!$A$2,1)))-SUM($G85:Y85)</f>
        <v>#N/A</v>
      </c>
      <c r="AA85" s="70" t="e" cm="1">
        <f t="array" aca="1" ref="AA85" ca="1">_xlfn.NUMBERVALUE(_xlfn.XLOOKUP(1,(OFFSET(IN_Verknüpfungen!$O$4,0,0,IN_Verknüpfungen!$A$2,1)=$A85)*(OFFSET(IN_Verknüpfungen!$P$4,0,0,IN_Verknüpfungen!$A$2,1)=AB$3),OFFSET(IN_Verknüpfungen!$J$4,0,0,IN_Verknüpfungen!$A$2,1)))-SUM($G85:Z85)</f>
        <v>#N/A</v>
      </c>
      <c r="AB85" s="70" t="e" cm="1">
        <f t="array" aca="1" ref="AB85" ca="1">_xlfn.NUMBERVALUE(_xlfn.XLOOKUP(1,(OFFSET(IN_Verknüpfungen!$O$4,0,0,IN_Verknüpfungen!$A$2,1)=$A85)*(OFFSET(IN_Verknüpfungen!$P$4,0,0,IN_Verknüpfungen!$A$2,1)=AB$3+1),OFFSET(IN_Verknüpfungen!$F$4,0,0,IN_Verknüpfungen!$A$2,1)))-SUM($G85:AA85)</f>
        <v>#N/A</v>
      </c>
    </row>
    <row r="86" spans="1:28" x14ac:dyDescent="0.2">
      <c r="A86" s="56" t="str">
        <f ca="1"/>
        <v>Composition 83</v>
      </c>
      <c r="B86" s="55" t="str" cm="1">
        <f t="array" aca="1" ref="B86" ca="1">IF(A86&lt;&gt;"",_xlfn.XLOOKUP(Laufwege!A86,OFFSET(IN_Verknüpfungen!L$4,0,0,IN_Verknüpfungen!A$2,1),OFFSET(IN_Verknüpfungen!N$4,0,0,IN_Verknüpfungen!A$2,1),""),"")</f>
        <v>462-1.0</v>
      </c>
      <c r="C86" s="55">
        <f ca="1">IF(A86&lt;&gt;"",SUMIFS(OFFSET(IN_Verknüpfungen!M$4,0,0,IN_Verknüpfungen!A$2,1),OFFSET(IN_Verknüpfungen!O$4,0,0,IN_Verknüpfungen!A$2,1),Laufwege!A86),0)</f>
        <v>628934</v>
      </c>
      <c r="D86" s="55" cm="1">
        <f t="array" aca="1" ref="D86" ca="1">IF(B86&lt;&gt;"",_xlfn.XLOOKUP(B86,OFFSET(IN_Stammdaten!$A$4,0,0,IN_Stammdaten!$A$2,1),OFFSET(IN_Stammdaten!$C$4,0,0,IN_Stammdaten!$A$2,1),""),"")</f>
        <v>0</v>
      </c>
      <c r="E86" s="55" t="str">
        <f t="shared" ca="1" si="2"/>
        <v>nein</v>
      </c>
      <c r="F86" s="69" t="str">
        <f t="shared" ca="1" si="3"/>
        <v>Composition 83 (462-1.0)</v>
      </c>
      <c r="G86" s="70" cm="1">
        <f t="array" aca="1" ref="G86" ca="1">_xlfn.NUMBERVALUE(_xlfn.XLOOKUP(A86,OFFSET(IN_Verknüpfungen!$L$4,0,0,IN_Verknüpfungen!$A$2,1),OFFSET(IN_Verknüpfungen!$Q$4,0,0,IN_Verknüpfungen!$A$2,1)))</f>
        <v>0.25824074074074072</v>
      </c>
      <c r="H86" s="70" cm="1">
        <f t="array" aca="1" ref="H86" ca="1">_xlfn.NUMBERVALUE(_xlfn.XLOOKUP(A86,OFFSET(IN_Verknüpfungen!$L$4,0,0,IN_Verknüpfungen!$A$2,1),OFFSET(IN_Verknüpfungen!$F$4,0,0,IN_Verknüpfungen!$A$2,1)))-G86</f>
        <v>0.10574074074074075</v>
      </c>
      <c r="I86" s="70" cm="1">
        <f t="array" aca="1" ref="I86" ca="1">_xlfn.NUMBERVALUE(_xlfn.XLOOKUP(1,(OFFSET(IN_Verknüpfungen!$O$4,0,0,IN_Verknüpfungen!$A$2,1)=$A86)*(OFFSET(IN_Verknüpfungen!$P$4,0,0,IN_Verknüpfungen!$A$2,1)=J$3),OFFSET(IN_Verknüpfungen!$J$4,0,0,IN_Verknüpfungen!$A$2,1)))-SUM($G86:H86)</f>
        <v>1.2847222222222232E-2</v>
      </c>
      <c r="J86" s="70" cm="1">
        <f t="array" aca="1" ref="J86" ca="1">_xlfn.NUMBERVALUE(_xlfn.XLOOKUP(1,(OFFSET(IN_Verknüpfungen!$O$4,0,0,IN_Verknüpfungen!$A$2,1)=$A86)*(OFFSET(IN_Verknüpfungen!$P$4,0,0,IN_Verknüpfungen!$A$2,1)=J$3+1),OFFSET(IN_Verknüpfungen!$F$4,0,0,IN_Verknüpfungen!$A$2,1)))-SUM($G86:I86)</f>
        <v>0.10399305555555555</v>
      </c>
      <c r="K86" s="70" cm="1">
        <f t="array" aca="1" ref="K86" ca="1">_xlfn.NUMBERVALUE(_xlfn.XLOOKUP(1,(OFFSET(IN_Verknüpfungen!$O$4,0,0,IN_Verknüpfungen!$A$2,1)=$A86)*(OFFSET(IN_Verknüpfungen!$P$4,0,0,IN_Verknüpfungen!$A$2,1)=L$3),OFFSET(IN_Verknüpfungen!$J$4,0,0,IN_Verknüpfungen!$A$2,1)))-SUM($G86:J86)</f>
        <v>1.1886574074074119E-2</v>
      </c>
      <c r="L86" s="70" cm="1">
        <f t="array" aca="1" ref="L86" ca="1">_xlfn.NUMBERVALUE(_xlfn.XLOOKUP(1,(OFFSET(IN_Verknüpfungen!$O$4,0,0,IN_Verknüpfungen!$A$2,1)=$A86)*(OFFSET(IN_Verknüpfungen!$P$4,0,0,IN_Verknüpfungen!$A$2,1)=L$3+1),OFFSET(IN_Verknüpfungen!$F$4,0,0,IN_Verknüpfungen!$A$2,1)))-SUM($G86:K86)</f>
        <v>0.10045138888888888</v>
      </c>
      <c r="M86" s="70" cm="1">
        <f t="array" aca="1" ref="M86" ca="1">_xlfn.NUMBERVALUE(_xlfn.XLOOKUP(1,(OFFSET(IN_Verknüpfungen!$O$4,0,0,IN_Verknüpfungen!$A$2,1)=$A86)*(OFFSET(IN_Verknüpfungen!$P$4,0,0,IN_Verknüpfungen!$A$2,1)=N$3),OFFSET(IN_Verknüpfungen!$J$4,0,0,IN_Verknüpfungen!$A$2,1)))-SUM($G86:L86)</f>
        <v>1.2060185185185146E-2</v>
      </c>
      <c r="N86" s="70" t="e" cm="1">
        <f t="array" aca="1" ref="N86" ca="1">_xlfn.NUMBERVALUE(_xlfn.XLOOKUP(1,(OFFSET(IN_Verknüpfungen!$O$4,0,0,IN_Verknüpfungen!$A$2,1)=$A86)*(OFFSET(IN_Verknüpfungen!$P$4,0,0,IN_Verknüpfungen!$A$2,1)=N$3+1),OFFSET(IN_Verknüpfungen!$F$4,0,0,IN_Verknüpfungen!$A$2,1)))-SUM($G86:M86)</f>
        <v>#N/A</v>
      </c>
      <c r="O86" s="70" t="e" cm="1">
        <f t="array" aca="1" ref="O86" ca="1">_xlfn.NUMBERVALUE(_xlfn.XLOOKUP(1,(OFFSET(IN_Verknüpfungen!$O$4,0,0,IN_Verknüpfungen!$A$2,1)=$A86)*(OFFSET(IN_Verknüpfungen!$P$4,0,0,IN_Verknüpfungen!$A$2,1)=P$3),OFFSET(IN_Verknüpfungen!$J$4,0,0,IN_Verknüpfungen!$A$2,1)))-SUM($G86:N86)</f>
        <v>#N/A</v>
      </c>
      <c r="P86" s="70" t="e" cm="1">
        <f t="array" aca="1" ref="P86" ca="1">_xlfn.NUMBERVALUE(_xlfn.XLOOKUP(1,(OFFSET(IN_Verknüpfungen!$O$4,0,0,IN_Verknüpfungen!$A$2,1)=$A86)*(OFFSET(IN_Verknüpfungen!$P$4,0,0,IN_Verknüpfungen!$A$2,1)=P$3+1),OFFSET(IN_Verknüpfungen!$F$4,0,0,IN_Verknüpfungen!$A$2,1)))-SUM($G86:O86)</f>
        <v>#N/A</v>
      </c>
      <c r="Q86" s="70" t="e" cm="1">
        <f t="array" aca="1" ref="Q86" ca="1">_xlfn.NUMBERVALUE(_xlfn.XLOOKUP(1,(OFFSET(IN_Verknüpfungen!$O$4,0,0,IN_Verknüpfungen!$A$2,1)=$A86)*(OFFSET(IN_Verknüpfungen!$P$4,0,0,IN_Verknüpfungen!$A$2,1)=R$3),OFFSET(IN_Verknüpfungen!$J$4,0,0,IN_Verknüpfungen!$A$2,1)))-SUM($G86:P86)</f>
        <v>#N/A</v>
      </c>
      <c r="R86" s="70" t="e" cm="1">
        <f t="array" aca="1" ref="R86" ca="1">_xlfn.NUMBERVALUE(_xlfn.XLOOKUP(1,(OFFSET(IN_Verknüpfungen!$O$4,0,0,IN_Verknüpfungen!$A$2,1)=$A86)*(OFFSET(IN_Verknüpfungen!$P$4,0,0,IN_Verknüpfungen!$A$2,1)=R$3+1),OFFSET(IN_Verknüpfungen!$F$4,0,0,IN_Verknüpfungen!$A$2,1)))-SUM($G86:Q86)</f>
        <v>#N/A</v>
      </c>
      <c r="S86" s="70" t="e" cm="1">
        <f t="array" aca="1" ref="S86" ca="1">_xlfn.NUMBERVALUE(_xlfn.XLOOKUP(1,(OFFSET(IN_Verknüpfungen!$O$4,0,0,IN_Verknüpfungen!$A$2,1)=$A86)*(OFFSET(IN_Verknüpfungen!$P$4,0,0,IN_Verknüpfungen!$A$2,1)=T$3),OFFSET(IN_Verknüpfungen!$J$4,0,0,IN_Verknüpfungen!$A$2,1)))-SUM($G86:R86)</f>
        <v>#N/A</v>
      </c>
      <c r="T86" s="70" t="e" cm="1">
        <f t="array" aca="1" ref="T86" ca="1">_xlfn.NUMBERVALUE(_xlfn.XLOOKUP(1,(OFFSET(IN_Verknüpfungen!$O$4,0,0,IN_Verknüpfungen!$A$2,1)=$A86)*(OFFSET(IN_Verknüpfungen!$P$4,0,0,IN_Verknüpfungen!$A$2,1)=T$3+1),OFFSET(IN_Verknüpfungen!$F$4,0,0,IN_Verknüpfungen!$A$2,1)))-SUM($G86:S86)</f>
        <v>#N/A</v>
      </c>
      <c r="U86" s="70" t="e" cm="1">
        <f t="array" aca="1" ref="U86" ca="1">_xlfn.NUMBERVALUE(_xlfn.XLOOKUP(1,(OFFSET(IN_Verknüpfungen!$O$4,0,0,IN_Verknüpfungen!$A$2,1)=$A86)*(OFFSET(IN_Verknüpfungen!$P$4,0,0,IN_Verknüpfungen!$A$2,1)=V$3),OFFSET(IN_Verknüpfungen!$J$4,0,0,IN_Verknüpfungen!$A$2,1)))-SUM($G86:T86)</f>
        <v>#N/A</v>
      </c>
      <c r="V86" s="70" t="e" cm="1">
        <f t="array" aca="1" ref="V86" ca="1">_xlfn.NUMBERVALUE(_xlfn.XLOOKUP(1,(OFFSET(IN_Verknüpfungen!$O$4,0,0,IN_Verknüpfungen!$A$2,1)=$A86)*(OFFSET(IN_Verknüpfungen!$P$4,0,0,IN_Verknüpfungen!$A$2,1)=V$3+1),OFFSET(IN_Verknüpfungen!$F$4,0,0,IN_Verknüpfungen!$A$2,1)))-SUM($G86:U86)</f>
        <v>#N/A</v>
      </c>
      <c r="W86" s="70" t="e" cm="1">
        <f t="array" aca="1" ref="W86" ca="1">_xlfn.NUMBERVALUE(_xlfn.XLOOKUP(1,(OFFSET(IN_Verknüpfungen!$O$4,0,0,IN_Verknüpfungen!$A$2,1)=$A86)*(OFFSET(IN_Verknüpfungen!$P$4,0,0,IN_Verknüpfungen!$A$2,1)=X$3),OFFSET(IN_Verknüpfungen!$J$4,0,0,IN_Verknüpfungen!$A$2,1)))-SUM($G86:V86)</f>
        <v>#N/A</v>
      </c>
      <c r="X86" s="70" t="e" cm="1">
        <f t="array" aca="1" ref="X86" ca="1">_xlfn.NUMBERVALUE(_xlfn.XLOOKUP(1,(OFFSET(IN_Verknüpfungen!$O$4,0,0,IN_Verknüpfungen!$A$2,1)=$A86)*(OFFSET(IN_Verknüpfungen!$P$4,0,0,IN_Verknüpfungen!$A$2,1)=X$3+1),OFFSET(IN_Verknüpfungen!$F$4,0,0,IN_Verknüpfungen!$A$2,1)))-SUM($G86:W86)</f>
        <v>#N/A</v>
      </c>
      <c r="Y86" s="70" t="e" cm="1">
        <f t="array" aca="1" ref="Y86" ca="1">_xlfn.NUMBERVALUE(_xlfn.XLOOKUP(1,(OFFSET(IN_Verknüpfungen!$O$4,0,0,IN_Verknüpfungen!$A$2,1)=$A86)*(OFFSET(IN_Verknüpfungen!$P$4,0,0,IN_Verknüpfungen!$A$2,1)=Z$3),OFFSET(IN_Verknüpfungen!$J$4,0,0,IN_Verknüpfungen!$A$2,1)))-SUM($G86:X86)</f>
        <v>#N/A</v>
      </c>
      <c r="Z86" s="70" t="e" cm="1">
        <f t="array" aca="1" ref="Z86" ca="1">_xlfn.NUMBERVALUE(_xlfn.XLOOKUP(1,(OFFSET(IN_Verknüpfungen!$O$4,0,0,IN_Verknüpfungen!$A$2,1)=$A86)*(OFFSET(IN_Verknüpfungen!$P$4,0,0,IN_Verknüpfungen!$A$2,1)=Z$3+1),OFFSET(IN_Verknüpfungen!$F$4,0,0,IN_Verknüpfungen!$A$2,1)))-SUM($G86:Y86)</f>
        <v>#N/A</v>
      </c>
      <c r="AA86" s="70" t="e" cm="1">
        <f t="array" aca="1" ref="AA86" ca="1">_xlfn.NUMBERVALUE(_xlfn.XLOOKUP(1,(OFFSET(IN_Verknüpfungen!$O$4,0,0,IN_Verknüpfungen!$A$2,1)=$A86)*(OFFSET(IN_Verknüpfungen!$P$4,0,0,IN_Verknüpfungen!$A$2,1)=AB$3),OFFSET(IN_Verknüpfungen!$J$4,0,0,IN_Verknüpfungen!$A$2,1)))-SUM($G86:Z86)</f>
        <v>#N/A</v>
      </c>
      <c r="AB86" s="70" t="e" cm="1">
        <f t="array" aca="1" ref="AB86" ca="1">_xlfn.NUMBERVALUE(_xlfn.XLOOKUP(1,(OFFSET(IN_Verknüpfungen!$O$4,0,0,IN_Verknüpfungen!$A$2,1)=$A86)*(OFFSET(IN_Verknüpfungen!$P$4,0,0,IN_Verknüpfungen!$A$2,1)=AB$3+1),OFFSET(IN_Verknüpfungen!$F$4,0,0,IN_Verknüpfungen!$A$2,1)))-SUM($G86:AA86)</f>
        <v>#N/A</v>
      </c>
    </row>
    <row r="87" spans="1:28" x14ac:dyDescent="0.2">
      <c r="A87" s="56" t="str">
        <f ca="1"/>
        <v>Composition 84</v>
      </c>
      <c r="B87" s="55" t="str" cm="1">
        <f t="array" aca="1" ref="B87" ca="1">IF(A87&lt;&gt;"",_xlfn.XLOOKUP(Laufwege!A87,OFFSET(IN_Verknüpfungen!L$4,0,0,IN_Verknüpfungen!A$2,1),OFFSET(IN_Verknüpfungen!N$4,0,0,IN_Verknüpfungen!A$2,1),""),"")</f>
        <v>462-1.0</v>
      </c>
      <c r="C87" s="55">
        <f ca="1">IF(A87&lt;&gt;"",SUMIFS(OFFSET(IN_Verknüpfungen!M$4,0,0,IN_Verknüpfungen!A$2,1),OFFSET(IN_Verknüpfungen!O$4,0,0,IN_Verknüpfungen!A$2,1),Laufwege!A87),0)</f>
        <v>638966</v>
      </c>
      <c r="D87" s="55" cm="1">
        <f t="array" aca="1" ref="D87" ca="1">IF(B87&lt;&gt;"",_xlfn.XLOOKUP(B87,OFFSET(IN_Stammdaten!$A$4,0,0,IN_Stammdaten!$A$2,1),OFFSET(IN_Stammdaten!$C$4,0,0,IN_Stammdaten!$A$2,1),""),"")</f>
        <v>0</v>
      </c>
      <c r="E87" s="55" t="str">
        <f t="shared" ca="1" si="2"/>
        <v>nein</v>
      </c>
      <c r="F87" s="69" t="str">
        <f t="shared" ca="1" si="3"/>
        <v>Composition 84 (462-1.0)</v>
      </c>
      <c r="G87" s="70" cm="1">
        <f t="array" aca="1" ref="G87" ca="1">_xlfn.NUMBERVALUE(_xlfn.XLOOKUP(A87,OFFSET(IN_Verknüpfungen!$L$4,0,0,IN_Verknüpfungen!$A$2,1),OFFSET(IN_Verknüpfungen!$Q$4,0,0,IN_Verknüpfungen!$A$2,1)))</f>
        <v>0.25900462962962961</v>
      </c>
      <c r="H87" s="70" cm="1">
        <f t="array" aca="1" ref="H87" ca="1">_xlfn.NUMBERVALUE(_xlfn.XLOOKUP(A87,OFFSET(IN_Verknüpfungen!$L$4,0,0,IN_Verknüpfungen!$A$2,1),OFFSET(IN_Verknüpfungen!$F$4,0,0,IN_Verknüpfungen!$A$2,1)))-G87</f>
        <v>0.10774305555555558</v>
      </c>
      <c r="I87" s="70" cm="1">
        <f t="array" aca="1" ref="I87" ca="1">_xlfn.NUMBERVALUE(_xlfn.XLOOKUP(1,(OFFSET(IN_Verknüpfungen!$O$4,0,0,IN_Verknüpfungen!$A$2,1)=$A87)*(OFFSET(IN_Verknüpfungen!$P$4,0,0,IN_Verknüpfungen!$A$2,1)=J$3),OFFSET(IN_Verknüpfungen!$J$4,0,0,IN_Verknüpfungen!$A$2,1)))-SUM($G87:H87)</f>
        <v>7.0023148148148362E-3</v>
      </c>
      <c r="J87" s="70" cm="1">
        <f t="array" aca="1" ref="J87" ca="1">_xlfn.NUMBERVALUE(_xlfn.XLOOKUP(1,(OFFSET(IN_Verknüpfungen!$O$4,0,0,IN_Verknüpfungen!$A$2,1)=$A87)*(OFFSET(IN_Verknüpfungen!$P$4,0,0,IN_Verknüpfungen!$A$2,1)=J$3+1),OFFSET(IN_Verknüpfungen!$F$4,0,0,IN_Verknüpfungen!$A$2,1)))-SUM($G87:I87)</f>
        <v>0.10886574074074074</v>
      </c>
      <c r="K87" s="70" cm="1">
        <f t="array" aca="1" ref="K87" ca="1">_xlfn.NUMBERVALUE(_xlfn.XLOOKUP(1,(OFFSET(IN_Verknüpfungen!$O$4,0,0,IN_Verknüpfungen!$A$2,1)=$A87)*(OFFSET(IN_Verknüpfungen!$P$4,0,0,IN_Verknüpfungen!$A$2,1)=L$3),OFFSET(IN_Verknüpfungen!$J$4,0,0,IN_Verknüpfungen!$A$2,1)))-SUM($G87:J87)</f>
        <v>1.0451388888888857E-2</v>
      </c>
      <c r="L87" s="70" cm="1">
        <f t="array" aca="1" ref="L87" ca="1">_xlfn.NUMBERVALUE(_xlfn.XLOOKUP(1,(OFFSET(IN_Verknüpfungen!$O$4,0,0,IN_Verknüpfungen!$A$2,1)=$A87)*(OFFSET(IN_Verknüpfungen!$P$4,0,0,IN_Verknüpfungen!$A$2,1)=L$3+1),OFFSET(IN_Verknüpfungen!$F$4,0,0,IN_Verknüpfungen!$A$2,1)))-SUM($G87:K87)</f>
        <v>0.10318287037037033</v>
      </c>
      <c r="M87" s="70" cm="1">
        <f t="array" aca="1" ref="M87" ca="1">_xlfn.NUMBERVALUE(_xlfn.XLOOKUP(1,(OFFSET(IN_Verknüpfungen!$O$4,0,0,IN_Verknüpfungen!$A$2,1)=$A87)*(OFFSET(IN_Verknüpfungen!$P$4,0,0,IN_Verknüpfungen!$A$2,1)=N$3),OFFSET(IN_Verknüpfungen!$J$4,0,0,IN_Verknüpfungen!$A$2,1)))-SUM($G87:L87)</f>
        <v>6.9907407407407973E-3</v>
      </c>
      <c r="N87" s="70" t="e" cm="1">
        <f t="array" aca="1" ref="N87" ca="1">_xlfn.NUMBERVALUE(_xlfn.XLOOKUP(1,(OFFSET(IN_Verknüpfungen!$O$4,0,0,IN_Verknüpfungen!$A$2,1)=$A87)*(OFFSET(IN_Verknüpfungen!$P$4,0,0,IN_Verknüpfungen!$A$2,1)=N$3+1),OFFSET(IN_Verknüpfungen!$F$4,0,0,IN_Verknüpfungen!$A$2,1)))-SUM($G87:M87)</f>
        <v>#N/A</v>
      </c>
      <c r="O87" s="70" t="e" cm="1">
        <f t="array" aca="1" ref="O87" ca="1">_xlfn.NUMBERVALUE(_xlfn.XLOOKUP(1,(OFFSET(IN_Verknüpfungen!$O$4,0,0,IN_Verknüpfungen!$A$2,1)=$A87)*(OFFSET(IN_Verknüpfungen!$P$4,0,0,IN_Verknüpfungen!$A$2,1)=P$3),OFFSET(IN_Verknüpfungen!$J$4,0,0,IN_Verknüpfungen!$A$2,1)))-SUM($G87:N87)</f>
        <v>#N/A</v>
      </c>
      <c r="P87" s="70" t="e" cm="1">
        <f t="array" aca="1" ref="P87" ca="1">_xlfn.NUMBERVALUE(_xlfn.XLOOKUP(1,(OFFSET(IN_Verknüpfungen!$O$4,0,0,IN_Verknüpfungen!$A$2,1)=$A87)*(OFFSET(IN_Verknüpfungen!$P$4,0,0,IN_Verknüpfungen!$A$2,1)=P$3+1),OFFSET(IN_Verknüpfungen!$F$4,0,0,IN_Verknüpfungen!$A$2,1)))-SUM($G87:O87)</f>
        <v>#N/A</v>
      </c>
      <c r="Q87" s="70" t="e" cm="1">
        <f t="array" aca="1" ref="Q87" ca="1">_xlfn.NUMBERVALUE(_xlfn.XLOOKUP(1,(OFFSET(IN_Verknüpfungen!$O$4,0,0,IN_Verknüpfungen!$A$2,1)=$A87)*(OFFSET(IN_Verknüpfungen!$P$4,0,0,IN_Verknüpfungen!$A$2,1)=R$3),OFFSET(IN_Verknüpfungen!$J$4,0,0,IN_Verknüpfungen!$A$2,1)))-SUM($G87:P87)</f>
        <v>#N/A</v>
      </c>
      <c r="R87" s="70" t="e" cm="1">
        <f t="array" aca="1" ref="R87" ca="1">_xlfn.NUMBERVALUE(_xlfn.XLOOKUP(1,(OFFSET(IN_Verknüpfungen!$O$4,0,0,IN_Verknüpfungen!$A$2,1)=$A87)*(OFFSET(IN_Verknüpfungen!$P$4,0,0,IN_Verknüpfungen!$A$2,1)=R$3+1),OFFSET(IN_Verknüpfungen!$F$4,0,0,IN_Verknüpfungen!$A$2,1)))-SUM($G87:Q87)</f>
        <v>#N/A</v>
      </c>
      <c r="S87" s="70" t="e" cm="1">
        <f t="array" aca="1" ref="S87" ca="1">_xlfn.NUMBERVALUE(_xlfn.XLOOKUP(1,(OFFSET(IN_Verknüpfungen!$O$4,0,0,IN_Verknüpfungen!$A$2,1)=$A87)*(OFFSET(IN_Verknüpfungen!$P$4,0,0,IN_Verknüpfungen!$A$2,1)=T$3),OFFSET(IN_Verknüpfungen!$J$4,0,0,IN_Verknüpfungen!$A$2,1)))-SUM($G87:R87)</f>
        <v>#N/A</v>
      </c>
      <c r="T87" s="70" t="e" cm="1">
        <f t="array" aca="1" ref="T87" ca="1">_xlfn.NUMBERVALUE(_xlfn.XLOOKUP(1,(OFFSET(IN_Verknüpfungen!$O$4,0,0,IN_Verknüpfungen!$A$2,1)=$A87)*(OFFSET(IN_Verknüpfungen!$P$4,0,0,IN_Verknüpfungen!$A$2,1)=T$3+1),OFFSET(IN_Verknüpfungen!$F$4,0,0,IN_Verknüpfungen!$A$2,1)))-SUM($G87:S87)</f>
        <v>#N/A</v>
      </c>
      <c r="U87" s="70" t="e" cm="1">
        <f t="array" aca="1" ref="U87" ca="1">_xlfn.NUMBERVALUE(_xlfn.XLOOKUP(1,(OFFSET(IN_Verknüpfungen!$O$4,0,0,IN_Verknüpfungen!$A$2,1)=$A87)*(OFFSET(IN_Verknüpfungen!$P$4,0,0,IN_Verknüpfungen!$A$2,1)=V$3),OFFSET(IN_Verknüpfungen!$J$4,0,0,IN_Verknüpfungen!$A$2,1)))-SUM($G87:T87)</f>
        <v>#N/A</v>
      </c>
      <c r="V87" s="70" t="e" cm="1">
        <f t="array" aca="1" ref="V87" ca="1">_xlfn.NUMBERVALUE(_xlfn.XLOOKUP(1,(OFFSET(IN_Verknüpfungen!$O$4,0,0,IN_Verknüpfungen!$A$2,1)=$A87)*(OFFSET(IN_Verknüpfungen!$P$4,0,0,IN_Verknüpfungen!$A$2,1)=V$3+1),OFFSET(IN_Verknüpfungen!$F$4,0,0,IN_Verknüpfungen!$A$2,1)))-SUM($G87:U87)</f>
        <v>#N/A</v>
      </c>
      <c r="W87" s="70" t="e" cm="1">
        <f t="array" aca="1" ref="W87" ca="1">_xlfn.NUMBERVALUE(_xlfn.XLOOKUP(1,(OFFSET(IN_Verknüpfungen!$O$4,0,0,IN_Verknüpfungen!$A$2,1)=$A87)*(OFFSET(IN_Verknüpfungen!$P$4,0,0,IN_Verknüpfungen!$A$2,1)=X$3),OFFSET(IN_Verknüpfungen!$J$4,0,0,IN_Verknüpfungen!$A$2,1)))-SUM($G87:V87)</f>
        <v>#N/A</v>
      </c>
      <c r="X87" s="70" t="e" cm="1">
        <f t="array" aca="1" ref="X87" ca="1">_xlfn.NUMBERVALUE(_xlfn.XLOOKUP(1,(OFFSET(IN_Verknüpfungen!$O$4,0,0,IN_Verknüpfungen!$A$2,1)=$A87)*(OFFSET(IN_Verknüpfungen!$P$4,0,0,IN_Verknüpfungen!$A$2,1)=X$3+1),OFFSET(IN_Verknüpfungen!$F$4,0,0,IN_Verknüpfungen!$A$2,1)))-SUM($G87:W87)</f>
        <v>#N/A</v>
      </c>
      <c r="Y87" s="70" t="e" cm="1">
        <f t="array" aca="1" ref="Y87" ca="1">_xlfn.NUMBERVALUE(_xlfn.XLOOKUP(1,(OFFSET(IN_Verknüpfungen!$O$4,0,0,IN_Verknüpfungen!$A$2,1)=$A87)*(OFFSET(IN_Verknüpfungen!$P$4,0,0,IN_Verknüpfungen!$A$2,1)=Z$3),OFFSET(IN_Verknüpfungen!$J$4,0,0,IN_Verknüpfungen!$A$2,1)))-SUM($G87:X87)</f>
        <v>#N/A</v>
      </c>
      <c r="Z87" s="70" t="e" cm="1">
        <f t="array" aca="1" ref="Z87" ca="1">_xlfn.NUMBERVALUE(_xlfn.XLOOKUP(1,(OFFSET(IN_Verknüpfungen!$O$4,0,0,IN_Verknüpfungen!$A$2,1)=$A87)*(OFFSET(IN_Verknüpfungen!$P$4,0,0,IN_Verknüpfungen!$A$2,1)=Z$3+1),OFFSET(IN_Verknüpfungen!$F$4,0,0,IN_Verknüpfungen!$A$2,1)))-SUM($G87:Y87)</f>
        <v>#N/A</v>
      </c>
      <c r="AA87" s="70" t="e" cm="1">
        <f t="array" aca="1" ref="AA87" ca="1">_xlfn.NUMBERVALUE(_xlfn.XLOOKUP(1,(OFFSET(IN_Verknüpfungen!$O$4,0,0,IN_Verknüpfungen!$A$2,1)=$A87)*(OFFSET(IN_Verknüpfungen!$P$4,0,0,IN_Verknüpfungen!$A$2,1)=AB$3),OFFSET(IN_Verknüpfungen!$J$4,0,0,IN_Verknüpfungen!$A$2,1)))-SUM($G87:Z87)</f>
        <v>#N/A</v>
      </c>
      <c r="AB87" s="70" t="e" cm="1">
        <f t="array" aca="1" ref="AB87" ca="1">_xlfn.NUMBERVALUE(_xlfn.XLOOKUP(1,(OFFSET(IN_Verknüpfungen!$O$4,0,0,IN_Verknüpfungen!$A$2,1)=$A87)*(OFFSET(IN_Verknüpfungen!$P$4,0,0,IN_Verknüpfungen!$A$2,1)=AB$3+1),OFFSET(IN_Verknüpfungen!$F$4,0,0,IN_Verknüpfungen!$A$2,1)))-SUM($G87:AA87)</f>
        <v>#N/A</v>
      </c>
    </row>
    <row r="88" spans="1:28" x14ac:dyDescent="0.2">
      <c r="A88" s="56" t="str">
        <f ca="1"/>
        <v>Composition 85</v>
      </c>
      <c r="B88" s="55" t="str" cm="1">
        <f t="array" aca="1" ref="B88" ca="1">IF(A88&lt;&gt;"",_xlfn.XLOOKUP(Laufwege!A88,OFFSET(IN_Verknüpfungen!L$4,0,0,IN_Verknüpfungen!A$2,1),OFFSET(IN_Verknüpfungen!N$4,0,0,IN_Verknüpfungen!A$2,1),""),"")</f>
        <v>462-1.0</v>
      </c>
      <c r="C88" s="55">
        <f ca="1">IF(A88&lt;&gt;"",SUMIFS(OFFSET(IN_Verknüpfungen!M$4,0,0,IN_Verknüpfungen!A$2,1),OFFSET(IN_Verknüpfungen!O$4,0,0,IN_Verknüpfungen!A$2,1),Laufwege!A88),0)</f>
        <v>720802</v>
      </c>
      <c r="D88" s="55" cm="1">
        <f t="array" aca="1" ref="D88" ca="1">IF(B88&lt;&gt;"",_xlfn.XLOOKUP(B88,OFFSET(IN_Stammdaten!$A$4,0,0,IN_Stammdaten!$A$2,1),OFFSET(IN_Stammdaten!$C$4,0,0,IN_Stammdaten!$A$2,1),""),"")</f>
        <v>0</v>
      </c>
      <c r="E88" s="55" t="str">
        <f t="shared" ca="1" si="2"/>
        <v>nein</v>
      </c>
      <c r="F88" s="69" t="str">
        <f t="shared" ca="1" si="3"/>
        <v>Composition 85 (462-1.0)</v>
      </c>
      <c r="G88" s="70" cm="1">
        <f t="array" aca="1" ref="G88" ca="1">_xlfn.NUMBERVALUE(_xlfn.XLOOKUP(A88,OFFSET(IN_Verknüpfungen!$L$4,0,0,IN_Verknüpfungen!$A$2,1),OFFSET(IN_Verknüpfungen!$Q$4,0,0,IN_Verknüpfungen!$A$2,1)))</f>
        <v>0.26563657407407409</v>
      </c>
      <c r="H88" s="70" cm="1">
        <f t="array" aca="1" ref="H88" ca="1">_xlfn.NUMBERVALUE(_xlfn.XLOOKUP(A88,OFFSET(IN_Verknüpfungen!$L$4,0,0,IN_Verknüpfungen!$A$2,1),OFFSET(IN_Verknüpfungen!$F$4,0,0,IN_Verknüpfungen!$A$2,1)))-G88</f>
        <v>0.10187499999999999</v>
      </c>
      <c r="I88" s="70" cm="1">
        <f t="array" aca="1" ref="I88" ca="1">_xlfn.NUMBERVALUE(_xlfn.XLOOKUP(1,(OFFSET(IN_Verknüpfungen!$O$4,0,0,IN_Verknüpfungen!$A$2,1)=$A88)*(OFFSET(IN_Verknüpfungen!$P$4,0,0,IN_Verknüpfungen!$A$2,1)=J$3),OFFSET(IN_Verknüpfungen!$J$4,0,0,IN_Verknüpfungen!$A$2,1)))-SUM($G88:H88)</f>
        <v>2.0960648148148131E-2</v>
      </c>
      <c r="J88" s="70" cm="1">
        <f t="array" aca="1" ref="J88" ca="1">_xlfn.NUMBERVALUE(_xlfn.XLOOKUP(1,(OFFSET(IN_Verknüpfungen!$O$4,0,0,IN_Verknüpfungen!$A$2,1)=$A88)*(OFFSET(IN_Verknüpfungen!$P$4,0,0,IN_Verknüpfungen!$A$2,1)=J$3+1),OFFSET(IN_Verknüpfungen!$F$4,0,0,IN_Verknüpfungen!$A$2,1)))-SUM($G88:I88)</f>
        <v>9.6956018518518539E-2</v>
      </c>
      <c r="K88" s="70" cm="1">
        <f t="array" aca="1" ref="K88" ca="1">_xlfn.NUMBERVALUE(_xlfn.XLOOKUP(1,(OFFSET(IN_Verknüpfungen!$O$4,0,0,IN_Verknüpfungen!$A$2,1)=$A88)*(OFFSET(IN_Verknüpfungen!$P$4,0,0,IN_Verknüpfungen!$A$2,1)=L$3),OFFSET(IN_Verknüpfungen!$J$4,0,0,IN_Verknüpfungen!$A$2,1)))-SUM($G88:J88)</f>
        <v>1.751157407407411E-2</v>
      </c>
      <c r="L88" s="70" cm="1">
        <f t="array" aca="1" ref="L88" ca="1">_xlfn.NUMBERVALUE(_xlfn.XLOOKUP(1,(OFFSET(IN_Verknüpfungen!$O$4,0,0,IN_Verknüpfungen!$A$2,1)=$A88)*(OFFSET(IN_Verknüpfungen!$P$4,0,0,IN_Verknüpfungen!$A$2,1)=L$3+1),OFFSET(IN_Verknüpfungen!$F$4,0,0,IN_Verknüpfungen!$A$2,1)))-SUM($G88:K88)</f>
        <v>9.504629629629624E-2</v>
      </c>
      <c r="M88" s="70" cm="1">
        <f t="array" aca="1" ref="M88" ca="1">_xlfn.NUMBERVALUE(_xlfn.XLOOKUP(1,(OFFSET(IN_Verknüpfungen!$O$4,0,0,IN_Verknüpfungen!$A$2,1)=$A88)*(OFFSET(IN_Verknüpfungen!$P$4,0,0,IN_Verknüpfungen!$A$2,1)=N$3),OFFSET(IN_Verknüpfungen!$J$4,0,0,IN_Verknüpfungen!$A$2,1)))-SUM($G88:L88)</f>
        <v>1.9259259259259309E-2</v>
      </c>
      <c r="N88" s="70" t="e" cm="1">
        <f t="array" aca="1" ref="N88" ca="1">_xlfn.NUMBERVALUE(_xlfn.XLOOKUP(1,(OFFSET(IN_Verknüpfungen!$O$4,0,0,IN_Verknüpfungen!$A$2,1)=$A88)*(OFFSET(IN_Verknüpfungen!$P$4,0,0,IN_Verknüpfungen!$A$2,1)=N$3+1),OFFSET(IN_Verknüpfungen!$F$4,0,0,IN_Verknüpfungen!$A$2,1)))-SUM($G88:M88)</f>
        <v>#N/A</v>
      </c>
      <c r="O88" s="70" t="e" cm="1">
        <f t="array" aca="1" ref="O88" ca="1">_xlfn.NUMBERVALUE(_xlfn.XLOOKUP(1,(OFFSET(IN_Verknüpfungen!$O$4,0,0,IN_Verknüpfungen!$A$2,1)=$A88)*(OFFSET(IN_Verknüpfungen!$P$4,0,0,IN_Verknüpfungen!$A$2,1)=P$3),OFFSET(IN_Verknüpfungen!$J$4,0,0,IN_Verknüpfungen!$A$2,1)))-SUM($G88:N88)</f>
        <v>#N/A</v>
      </c>
      <c r="P88" s="70" t="e" cm="1">
        <f t="array" aca="1" ref="P88" ca="1">_xlfn.NUMBERVALUE(_xlfn.XLOOKUP(1,(OFFSET(IN_Verknüpfungen!$O$4,0,0,IN_Verknüpfungen!$A$2,1)=$A88)*(OFFSET(IN_Verknüpfungen!$P$4,0,0,IN_Verknüpfungen!$A$2,1)=P$3+1),OFFSET(IN_Verknüpfungen!$F$4,0,0,IN_Verknüpfungen!$A$2,1)))-SUM($G88:O88)</f>
        <v>#N/A</v>
      </c>
      <c r="Q88" s="70" t="e" cm="1">
        <f t="array" aca="1" ref="Q88" ca="1">_xlfn.NUMBERVALUE(_xlfn.XLOOKUP(1,(OFFSET(IN_Verknüpfungen!$O$4,0,0,IN_Verknüpfungen!$A$2,1)=$A88)*(OFFSET(IN_Verknüpfungen!$P$4,0,0,IN_Verknüpfungen!$A$2,1)=R$3),OFFSET(IN_Verknüpfungen!$J$4,0,0,IN_Verknüpfungen!$A$2,1)))-SUM($G88:P88)</f>
        <v>#N/A</v>
      </c>
      <c r="R88" s="70" t="e" cm="1">
        <f t="array" aca="1" ref="R88" ca="1">_xlfn.NUMBERVALUE(_xlfn.XLOOKUP(1,(OFFSET(IN_Verknüpfungen!$O$4,0,0,IN_Verknüpfungen!$A$2,1)=$A88)*(OFFSET(IN_Verknüpfungen!$P$4,0,0,IN_Verknüpfungen!$A$2,1)=R$3+1),OFFSET(IN_Verknüpfungen!$F$4,0,0,IN_Verknüpfungen!$A$2,1)))-SUM($G88:Q88)</f>
        <v>#N/A</v>
      </c>
      <c r="S88" s="70" t="e" cm="1">
        <f t="array" aca="1" ref="S88" ca="1">_xlfn.NUMBERVALUE(_xlfn.XLOOKUP(1,(OFFSET(IN_Verknüpfungen!$O$4,0,0,IN_Verknüpfungen!$A$2,1)=$A88)*(OFFSET(IN_Verknüpfungen!$P$4,0,0,IN_Verknüpfungen!$A$2,1)=T$3),OFFSET(IN_Verknüpfungen!$J$4,0,0,IN_Verknüpfungen!$A$2,1)))-SUM($G88:R88)</f>
        <v>#N/A</v>
      </c>
      <c r="T88" s="70" t="e" cm="1">
        <f t="array" aca="1" ref="T88" ca="1">_xlfn.NUMBERVALUE(_xlfn.XLOOKUP(1,(OFFSET(IN_Verknüpfungen!$O$4,0,0,IN_Verknüpfungen!$A$2,1)=$A88)*(OFFSET(IN_Verknüpfungen!$P$4,0,0,IN_Verknüpfungen!$A$2,1)=T$3+1),OFFSET(IN_Verknüpfungen!$F$4,0,0,IN_Verknüpfungen!$A$2,1)))-SUM($G88:S88)</f>
        <v>#N/A</v>
      </c>
      <c r="U88" s="70" t="e" cm="1">
        <f t="array" aca="1" ref="U88" ca="1">_xlfn.NUMBERVALUE(_xlfn.XLOOKUP(1,(OFFSET(IN_Verknüpfungen!$O$4,0,0,IN_Verknüpfungen!$A$2,1)=$A88)*(OFFSET(IN_Verknüpfungen!$P$4,0,0,IN_Verknüpfungen!$A$2,1)=V$3),OFFSET(IN_Verknüpfungen!$J$4,0,0,IN_Verknüpfungen!$A$2,1)))-SUM($G88:T88)</f>
        <v>#N/A</v>
      </c>
      <c r="V88" s="70" t="e" cm="1">
        <f t="array" aca="1" ref="V88" ca="1">_xlfn.NUMBERVALUE(_xlfn.XLOOKUP(1,(OFFSET(IN_Verknüpfungen!$O$4,0,0,IN_Verknüpfungen!$A$2,1)=$A88)*(OFFSET(IN_Verknüpfungen!$P$4,0,0,IN_Verknüpfungen!$A$2,1)=V$3+1),OFFSET(IN_Verknüpfungen!$F$4,0,0,IN_Verknüpfungen!$A$2,1)))-SUM($G88:U88)</f>
        <v>#N/A</v>
      </c>
      <c r="W88" s="70" t="e" cm="1">
        <f t="array" aca="1" ref="W88" ca="1">_xlfn.NUMBERVALUE(_xlfn.XLOOKUP(1,(OFFSET(IN_Verknüpfungen!$O$4,0,0,IN_Verknüpfungen!$A$2,1)=$A88)*(OFFSET(IN_Verknüpfungen!$P$4,0,0,IN_Verknüpfungen!$A$2,1)=X$3),OFFSET(IN_Verknüpfungen!$J$4,0,0,IN_Verknüpfungen!$A$2,1)))-SUM($G88:V88)</f>
        <v>#N/A</v>
      </c>
      <c r="X88" s="70" t="e" cm="1">
        <f t="array" aca="1" ref="X88" ca="1">_xlfn.NUMBERVALUE(_xlfn.XLOOKUP(1,(OFFSET(IN_Verknüpfungen!$O$4,0,0,IN_Verknüpfungen!$A$2,1)=$A88)*(OFFSET(IN_Verknüpfungen!$P$4,0,0,IN_Verknüpfungen!$A$2,1)=X$3+1),OFFSET(IN_Verknüpfungen!$F$4,0,0,IN_Verknüpfungen!$A$2,1)))-SUM($G88:W88)</f>
        <v>#N/A</v>
      </c>
      <c r="Y88" s="70" t="e" cm="1">
        <f t="array" aca="1" ref="Y88" ca="1">_xlfn.NUMBERVALUE(_xlfn.XLOOKUP(1,(OFFSET(IN_Verknüpfungen!$O$4,0,0,IN_Verknüpfungen!$A$2,1)=$A88)*(OFFSET(IN_Verknüpfungen!$P$4,0,0,IN_Verknüpfungen!$A$2,1)=Z$3),OFFSET(IN_Verknüpfungen!$J$4,0,0,IN_Verknüpfungen!$A$2,1)))-SUM($G88:X88)</f>
        <v>#N/A</v>
      </c>
      <c r="Z88" s="70" t="e" cm="1">
        <f t="array" aca="1" ref="Z88" ca="1">_xlfn.NUMBERVALUE(_xlfn.XLOOKUP(1,(OFFSET(IN_Verknüpfungen!$O$4,0,0,IN_Verknüpfungen!$A$2,1)=$A88)*(OFFSET(IN_Verknüpfungen!$P$4,0,0,IN_Verknüpfungen!$A$2,1)=Z$3+1),OFFSET(IN_Verknüpfungen!$F$4,0,0,IN_Verknüpfungen!$A$2,1)))-SUM($G88:Y88)</f>
        <v>#N/A</v>
      </c>
      <c r="AA88" s="70" t="e" cm="1">
        <f t="array" aca="1" ref="AA88" ca="1">_xlfn.NUMBERVALUE(_xlfn.XLOOKUP(1,(OFFSET(IN_Verknüpfungen!$O$4,0,0,IN_Verknüpfungen!$A$2,1)=$A88)*(OFFSET(IN_Verknüpfungen!$P$4,0,0,IN_Verknüpfungen!$A$2,1)=AB$3),OFFSET(IN_Verknüpfungen!$J$4,0,0,IN_Verknüpfungen!$A$2,1)))-SUM($G88:Z88)</f>
        <v>#N/A</v>
      </c>
      <c r="AB88" s="70" t="e" cm="1">
        <f t="array" aca="1" ref="AB88" ca="1">_xlfn.NUMBERVALUE(_xlfn.XLOOKUP(1,(OFFSET(IN_Verknüpfungen!$O$4,0,0,IN_Verknüpfungen!$A$2,1)=$A88)*(OFFSET(IN_Verknüpfungen!$P$4,0,0,IN_Verknüpfungen!$A$2,1)=AB$3+1),OFFSET(IN_Verknüpfungen!$F$4,0,0,IN_Verknüpfungen!$A$2,1)))-SUM($G88:AA88)</f>
        <v>#N/A</v>
      </c>
    </row>
    <row r="89" spans="1:28" x14ac:dyDescent="0.2">
      <c r="A89" s="56" t="str">
        <f ca="1"/>
        <v>Composition 86</v>
      </c>
      <c r="B89" s="55" t="str" cm="1">
        <f t="array" aca="1" ref="B89" ca="1">IF(A89&lt;&gt;"",_xlfn.XLOOKUP(Laufwege!A89,OFFSET(IN_Verknüpfungen!L$4,0,0,IN_Verknüpfungen!A$2,1),OFFSET(IN_Verknüpfungen!N$4,0,0,IN_Verknüpfungen!A$2,1),""),"")</f>
        <v>146-3.2</v>
      </c>
      <c r="C89" s="55">
        <f ca="1">IF(A89&lt;&gt;"",SUMIFS(OFFSET(IN_Verknüpfungen!M$4,0,0,IN_Verknüpfungen!A$2,1),OFFSET(IN_Verknüpfungen!O$4,0,0,IN_Verknüpfungen!A$2,1),Laufwege!A89),0)</f>
        <v>645913</v>
      </c>
      <c r="D89" s="55" cm="1">
        <f t="array" aca="1" ref="D89" ca="1">IF(B89&lt;&gt;"",_xlfn.XLOOKUP(B89,OFFSET(IN_Stammdaten!$A$4,0,0,IN_Stammdaten!$A$2,1),OFFSET(IN_Stammdaten!$C$4,0,0,IN_Stammdaten!$A$2,1),""),"")</f>
        <v>0</v>
      </c>
      <c r="E89" s="55" t="str">
        <f t="shared" ca="1" si="2"/>
        <v>nein</v>
      </c>
      <c r="F89" s="69" t="str">
        <f t="shared" ca="1" si="3"/>
        <v>Composition 86 (146-3.2)</v>
      </c>
      <c r="G89" s="70" cm="1">
        <f t="array" aca="1" ref="G89" ca="1">_xlfn.NUMBERVALUE(_xlfn.XLOOKUP(A89,OFFSET(IN_Verknüpfungen!$L$4,0,0,IN_Verknüpfungen!$A$2,1),OFFSET(IN_Verknüpfungen!$Q$4,0,0,IN_Verknüpfungen!$A$2,1)))</f>
        <v>0.24261574074074074</v>
      </c>
      <c r="H89" s="70" cm="1">
        <f t="array" aca="1" ref="H89" ca="1">_xlfn.NUMBERVALUE(_xlfn.XLOOKUP(A89,OFFSET(IN_Verknüpfungen!$L$4,0,0,IN_Verknüpfungen!$A$2,1),OFFSET(IN_Verknüpfungen!$F$4,0,0,IN_Verknüpfungen!$A$2,1)))-G89</f>
        <v>0.1288310185185185</v>
      </c>
      <c r="I89" s="70" cm="1">
        <f t="array" aca="1" ref="I89" ca="1">_xlfn.NUMBERVALUE(_xlfn.XLOOKUP(1,(OFFSET(IN_Verknüpfungen!$O$4,0,0,IN_Verknüpfungen!$A$2,1)=$A89)*(OFFSET(IN_Verknüpfungen!$P$4,0,0,IN_Verknüpfungen!$A$2,1)=J$3),OFFSET(IN_Verknüpfungen!$J$4,0,0,IN_Verknüpfungen!$A$2,1)))-SUM($G89:H89)</f>
        <v>2.1331018518518541E-2</v>
      </c>
      <c r="J89" s="70" cm="1">
        <f t="array" aca="1" ref="J89" ca="1">_xlfn.NUMBERVALUE(_xlfn.XLOOKUP(1,(OFFSET(IN_Verknüpfungen!$O$4,0,0,IN_Verknüpfungen!$A$2,1)=$A89)*(OFFSET(IN_Verknüpfungen!$P$4,0,0,IN_Verknüpfungen!$A$2,1)=J$3+1),OFFSET(IN_Verknüpfungen!$F$4,0,0,IN_Verknüpfungen!$A$2,1)))-SUM($G89:I89)</f>
        <v>4.7280092592592582E-2</v>
      </c>
      <c r="K89" s="70" cm="1">
        <f t="array" aca="1" ref="K89" ca="1">_xlfn.NUMBERVALUE(_xlfn.XLOOKUP(1,(OFFSET(IN_Verknüpfungen!$O$4,0,0,IN_Verknüpfungen!$A$2,1)=$A89)*(OFFSET(IN_Verknüpfungen!$P$4,0,0,IN_Verknüpfungen!$A$2,1)=L$3),OFFSET(IN_Verknüpfungen!$J$4,0,0,IN_Verknüpfungen!$A$2,1)))-SUM($G89:J89)</f>
        <v>2.3946759259259265E-2</v>
      </c>
      <c r="L89" s="70" cm="1">
        <f t="array" aca="1" ref="L89" ca="1">_xlfn.NUMBERVALUE(_xlfn.XLOOKUP(1,(OFFSET(IN_Verknüpfungen!$O$4,0,0,IN_Verknüpfungen!$A$2,1)=$A89)*(OFFSET(IN_Verknüpfungen!$P$4,0,0,IN_Verknüpfungen!$A$2,1)=L$3+1),OFFSET(IN_Verknüpfungen!$F$4,0,0,IN_Verknüpfungen!$A$2,1)))-SUM($G89:K89)</f>
        <v>4.8263888888888884E-2</v>
      </c>
      <c r="M89" s="70" cm="1">
        <f t="array" aca="1" ref="M89" ca="1">_xlfn.NUMBERVALUE(_xlfn.XLOOKUP(1,(OFFSET(IN_Verknüpfungen!$O$4,0,0,IN_Verknüpfungen!$A$2,1)=$A89)*(OFFSET(IN_Verknüpfungen!$P$4,0,0,IN_Verknüpfungen!$A$2,1)=N$3),OFFSET(IN_Verknüpfungen!$J$4,0,0,IN_Verknüpfungen!$A$2,1)))-SUM($G89:L89)</f>
        <v>1.0648148148148184E-2</v>
      </c>
      <c r="N89" s="70" t="e" cm="1">
        <f t="array" aca="1" ref="N89" ca="1">_xlfn.NUMBERVALUE(_xlfn.XLOOKUP(1,(OFFSET(IN_Verknüpfungen!$O$4,0,0,IN_Verknüpfungen!$A$2,1)=$A89)*(OFFSET(IN_Verknüpfungen!$P$4,0,0,IN_Verknüpfungen!$A$2,1)=N$3+1),OFFSET(IN_Verknüpfungen!$F$4,0,0,IN_Verknüpfungen!$A$2,1)))-SUM($G89:M89)</f>
        <v>#N/A</v>
      </c>
      <c r="O89" s="70" t="e" cm="1">
        <f t="array" aca="1" ref="O89" ca="1">_xlfn.NUMBERVALUE(_xlfn.XLOOKUP(1,(OFFSET(IN_Verknüpfungen!$O$4,0,0,IN_Verknüpfungen!$A$2,1)=$A89)*(OFFSET(IN_Verknüpfungen!$P$4,0,0,IN_Verknüpfungen!$A$2,1)=P$3),OFFSET(IN_Verknüpfungen!$J$4,0,0,IN_Verknüpfungen!$A$2,1)))-SUM($G89:N89)</f>
        <v>#N/A</v>
      </c>
      <c r="P89" s="70" t="e" cm="1">
        <f t="array" aca="1" ref="P89" ca="1">_xlfn.NUMBERVALUE(_xlfn.XLOOKUP(1,(OFFSET(IN_Verknüpfungen!$O$4,0,0,IN_Verknüpfungen!$A$2,1)=$A89)*(OFFSET(IN_Verknüpfungen!$P$4,0,0,IN_Verknüpfungen!$A$2,1)=P$3+1),OFFSET(IN_Verknüpfungen!$F$4,0,0,IN_Verknüpfungen!$A$2,1)))-SUM($G89:O89)</f>
        <v>#N/A</v>
      </c>
      <c r="Q89" s="70" t="e" cm="1">
        <f t="array" aca="1" ref="Q89" ca="1">_xlfn.NUMBERVALUE(_xlfn.XLOOKUP(1,(OFFSET(IN_Verknüpfungen!$O$4,0,0,IN_Verknüpfungen!$A$2,1)=$A89)*(OFFSET(IN_Verknüpfungen!$P$4,0,0,IN_Verknüpfungen!$A$2,1)=R$3),OFFSET(IN_Verknüpfungen!$J$4,0,0,IN_Verknüpfungen!$A$2,1)))-SUM($G89:P89)</f>
        <v>#N/A</v>
      </c>
      <c r="R89" s="70" t="e" cm="1">
        <f t="array" aca="1" ref="R89" ca="1">_xlfn.NUMBERVALUE(_xlfn.XLOOKUP(1,(OFFSET(IN_Verknüpfungen!$O$4,0,0,IN_Verknüpfungen!$A$2,1)=$A89)*(OFFSET(IN_Verknüpfungen!$P$4,0,0,IN_Verknüpfungen!$A$2,1)=R$3+1),OFFSET(IN_Verknüpfungen!$F$4,0,0,IN_Verknüpfungen!$A$2,1)))-SUM($G89:Q89)</f>
        <v>#N/A</v>
      </c>
      <c r="S89" s="70" t="e" cm="1">
        <f t="array" aca="1" ref="S89" ca="1">_xlfn.NUMBERVALUE(_xlfn.XLOOKUP(1,(OFFSET(IN_Verknüpfungen!$O$4,0,0,IN_Verknüpfungen!$A$2,1)=$A89)*(OFFSET(IN_Verknüpfungen!$P$4,0,0,IN_Verknüpfungen!$A$2,1)=T$3),OFFSET(IN_Verknüpfungen!$J$4,0,0,IN_Verknüpfungen!$A$2,1)))-SUM($G89:R89)</f>
        <v>#N/A</v>
      </c>
      <c r="T89" s="70" t="e" cm="1">
        <f t="array" aca="1" ref="T89" ca="1">_xlfn.NUMBERVALUE(_xlfn.XLOOKUP(1,(OFFSET(IN_Verknüpfungen!$O$4,0,0,IN_Verknüpfungen!$A$2,1)=$A89)*(OFFSET(IN_Verknüpfungen!$P$4,0,0,IN_Verknüpfungen!$A$2,1)=T$3+1),OFFSET(IN_Verknüpfungen!$F$4,0,0,IN_Verknüpfungen!$A$2,1)))-SUM($G89:S89)</f>
        <v>#N/A</v>
      </c>
      <c r="U89" s="70" t="e" cm="1">
        <f t="array" aca="1" ref="U89" ca="1">_xlfn.NUMBERVALUE(_xlfn.XLOOKUP(1,(OFFSET(IN_Verknüpfungen!$O$4,0,0,IN_Verknüpfungen!$A$2,1)=$A89)*(OFFSET(IN_Verknüpfungen!$P$4,0,0,IN_Verknüpfungen!$A$2,1)=V$3),OFFSET(IN_Verknüpfungen!$J$4,0,0,IN_Verknüpfungen!$A$2,1)))-SUM($G89:T89)</f>
        <v>#N/A</v>
      </c>
      <c r="V89" s="70" t="e" cm="1">
        <f t="array" aca="1" ref="V89" ca="1">_xlfn.NUMBERVALUE(_xlfn.XLOOKUP(1,(OFFSET(IN_Verknüpfungen!$O$4,0,0,IN_Verknüpfungen!$A$2,1)=$A89)*(OFFSET(IN_Verknüpfungen!$P$4,0,0,IN_Verknüpfungen!$A$2,1)=V$3+1),OFFSET(IN_Verknüpfungen!$F$4,0,0,IN_Verknüpfungen!$A$2,1)))-SUM($G89:U89)</f>
        <v>#N/A</v>
      </c>
      <c r="W89" s="70" t="e" cm="1">
        <f t="array" aca="1" ref="W89" ca="1">_xlfn.NUMBERVALUE(_xlfn.XLOOKUP(1,(OFFSET(IN_Verknüpfungen!$O$4,0,0,IN_Verknüpfungen!$A$2,1)=$A89)*(OFFSET(IN_Verknüpfungen!$P$4,0,0,IN_Verknüpfungen!$A$2,1)=X$3),OFFSET(IN_Verknüpfungen!$J$4,0,0,IN_Verknüpfungen!$A$2,1)))-SUM($G89:V89)</f>
        <v>#N/A</v>
      </c>
      <c r="X89" s="70" t="e" cm="1">
        <f t="array" aca="1" ref="X89" ca="1">_xlfn.NUMBERVALUE(_xlfn.XLOOKUP(1,(OFFSET(IN_Verknüpfungen!$O$4,0,0,IN_Verknüpfungen!$A$2,1)=$A89)*(OFFSET(IN_Verknüpfungen!$P$4,0,0,IN_Verknüpfungen!$A$2,1)=X$3+1),OFFSET(IN_Verknüpfungen!$F$4,0,0,IN_Verknüpfungen!$A$2,1)))-SUM($G89:W89)</f>
        <v>#N/A</v>
      </c>
      <c r="Y89" s="70" t="e" cm="1">
        <f t="array" aca="1" ref="Y89" ca="1">_xlfn.NUMBERVALUE(_xlfn.XLOOKUP(1,(OFFSET(IN_Verknüpfungen!$O$4,0,0,IN_Verknüpfungen!$A$2,1)=$A89)*(OFFSET(IN_Verknüpfungen!$P$4,0,0,IN_Verknüpfungen!$A$2,1)=Z$3),OFFSET(IN_Verknüpfungen!$J$4,0,0,IN_Verknüpfungen!$A$2,1)))-SUM($G89:X89)</f>
        <v>#N/A</v>
      </c>
      <c r="Z89" s="70" t="e" cm="1">
        <f t="array" aca="1" ref="Z89" ca="1">_xlfn.NUMBERVALUE(_xlfn.XLOOKUP(1,(OFFSET(IN_Verknüpfungen!$O$4,0,0,IN_Verknüpfungen!$A$2,1)=$A89)*(OFFSET(IN_Verknüpfungen!$P$4,0,0,IN_Verknüpfungen!$A$2,1)=Z$3+1),OFFSET(IN_Verknüpfungen!$F$4,0,0,IN_Verknüpfungen!$A$2,1)))-SUM($G89:Y89)</f>
        <v>#N/A</v>
      </c>
      <c r="AA89" s="70" t="e" cm="1">
        <f t="array" aca="1" ref="AA89" ca="1">_xlfn.NUMBERVALUE(_xlfn.XLOOKUP(1,(OFFSET(IN_Verknüpfungen!$O$4,0,0,IN_Verknüpfungen!$A$2,1)=$A89)*(OFFSET(IN_Verknüpfungen!$P$4,0,0,IN_Verknüpfungen!$A$2,1)=AB$3),OFFSET(IN_Verknüpfungen!$J$4,0,0,IN_Verknüpfungen!$A$2,1)))-SUM($G89:Z89)</f>
        <v>#N/A</v>
      </c>
      <c r="AB89" s="70" t="e" cm="1">
        <f t="array" aca="1" ref="AB89" ca="1">_xlfn.NUMBERVALUE(_xlfn.XLOOKUP(1,(OFFSET(IN_Verknüpfungen!$O$4,0,0,IN_Verknüpfungen!$A$2,1)=$A89)*(OFFSET(IN_Verknüpfungen!$P$4,0,0,IN_Verknüpfungen!$A$2,1)=AB$3+1),OFFSET(IN_Verknüpfungen!$F$4,0,0,IN_Verknüpfungen!$A$2,1)))-SUM($G89:AA89)</f>
        <v>#N/A</v>
      </c>
    </row>
    <row r="90" spans="1:28" x14ac:dyDescent="0.2">
      <c r="A90" s="56" t="str">
        <f ca="1"/>
        <v>Composition 87</v>
      </c>
      <c r="B90" s="55" t="str" cm="1">
        <f t="array" aca="1" ref="B90" ca="1">IF(A90&lt;&gt;"",_xlfn.XLOOKUP(Laufwege!A90,OFFSET(IN_Verknüpfungen!L$4,0,0,IN_Verknüpfungen!A$2,1),OFFSET(IN_Verknüpfungen!N$4,0,0,IN_Verknüpfungen!A$2,1),""),"")</f>
        <v>462-1.0</v>
      </c>
      <c r="C90" s="55">
        <f ca="1">IF(A90&lt;&gt;"",SUMIFS(OFFSET(IN_Verknüpfungen!M$4,0,0,IN_Verknüpfungen!A$2,1),OFFSET(IN_Verknüpfungen!O$4,0,0,IN_Verknüpfungen!A$2,1),Laufwege!A90),0)</f>
        <v>483168</v>
      </c>
      <c r="D90" s="55" cm="1">
        <f t="array" aca="1" ref="D90" ca="1">IF(B90&lt;&gt;"",_xlfn.XLOOKUP(B90,OFFSET(IN_Stammdaten!$A$4,0,0,IN_Stammdaten!$A$2,1),OFFSET(IN_Stammdaten!$C$4,0,0,IN_Stammdaten!$A$2,1),""),"")</f>
        <v>0</v>
      </c>
      <c r="E90" s="55" t="str">
        <f t="shared" ca="1" si="2"/>
        <v>nein</v>
      </c>
      <c r="F90" s="69" t="str">
        <f t="shared" ca="1" si="3"/>
        <v>Composition 87 (462-1.0)</v>
      </c>
      <c r="G90" s="70" cm="1">
        <f t="array" aca="1" ref="G90" ca="1">_xlfn.NUMBERVALUE(_xlfn.XLOOKUP(A90,OFFSET(IN_Verknüpfungen!$L$4,0,0,IN_Verknüpfungen!$A$2,1),OFFSET(IN_Verknüpfungen!$Q$4,0,0,IN_Verknüpfungen!$A$2,1)))</f>
        <v>0.27916666666666667</v>
      </c>
      <c r="H90" s="70" cm="1">
        <f t="array" aca="1" ref="H90" ca="1">_xlfn.NUMBERVALUE(_xlfn.XLOOKUP(A90,OFFSET(IN_Verknüpfungen!$L$4,0,0,IN_Verknüpfungen!$A$2,1),OFFSET(IN_Verknüpfungen!$F$4,0,0,IN_Verknüpfungen!$A$2,1)))-G90</f>
        <v>9.3402777777777779E-2</v>
      </c>
      <c r="I90" s="70" cm="1">
        <f t="array" aca="1" ref="I90" ca="1">_xlfn.NUMBERVALUE(_xlfn.XLOOKUP(1,(OFFSET(IN_Verknüpfungen!$O$4,0,0,IN_Verknüpfungen!$A$2,1)=$A90)*(OFFSET(IN_Verknüpfungen!$P$4,0,0,IN_Verknüpfungen!$A$2,1)=J$3),OFFSET(IN_Verknüpfungen!$J$4,0,0,IN_Verknüpfungen!$A$2,1)))-SUM($G90:H90)</f>
        <v>1.9699074074074063E-2</v>
      </c>
      <c r="J90" s="70" cm="1">
        <f t="array" aca="1" ref="J90" ca="1">_xlfn.NUMBERVALUE(_xlfn.XLOOKUP(1,(OFFSET(IN_Verknüpfungen!$O$4,0,0,IN_Verknüpfungen!$A$2,1)=$A90)*(OFFSET(IN_Verknüpfungen!$P$4,0,0,IN_Verknüpfungen!$A$2,1)=J$3+1),OFFSET(IN_Verknüpfungen!$F$4,0,0,IN_Verknüpfungen!$A$2,1)))-SUM($G90:I90)</f>
        <v>8.3414351851851865E-2</v>
      </c>
      <c r="K90" s="70" cm="1">
        <f t="array" aca="1" ref="K90" ca="1">_xlfn.NUMBERVALUE(_xlfn.XLOOKUP(1,(OFFSET(IN_Verknüpfungen!$O$4,0,0,IN_Verknüpfungen!$A$2,1)=$A90)*(OFFSET(IN_Verknüpfungen!$P$4,0,0,IN_Verknüpfungen!$A$2,1)=L$3),OFFSET(IN_Verknüpfungen!$J$4,0,0,IN_Verknüpfungen!$A$2,1)))-SUM($G90:J90)</f>
        <v>2.3622685185185177E-2</v>
      </c>
      <c r="L90" s="70" cm="1">
        <f t="array" aca="1" ref="L90" ca="1">_xlfn.NUMBERVALUE(_xlfn.XLOOKUP(1,(OFFSET(IN_Verknüpfungen!$O$4,0,0,IN_Verknüpfungen!$A$2,1)=$A90)*(OFFSET(IN_Verknüpfungen!$P$4,0,0,IN_Verknüpfungen!$A$2,1)=L$3+1),OFFSET(IN_Verknüpfungen!$F$4,0,0,IN_Verknüpfungen!$A$2,1)))-SUM($G90:K90)</f>
        <v>8.159722222222221E-2</v>
      </c>
      <c r="M90" s="70" cm="1">
        <f t="array" aca="1" ref="M90" ca="1">_xlfn.NUMBERVALUE(_xlfn.XLOOKUP(1,(OFFSET(IN_Verknüpfungen!$O$4,0,0,IN_Verknüpfungen!$A$2,1)=$A90)*(OFFSET(IN_Verknüpfungen!$P$4,0,0,IN_Verknüpfungen!$A$2,1)=N$3),OFFSET(IN_Verknüpfungen!$J$4,0,0,IN_Verknüpfungen!$A$2,1)))-SUM($G90:L90)</f>
        <v>1.9699074074074119E-2</v>
      </c>
      <c r="N90" s="70" t="e" cm="1">
        <f t="array" aca="1" ref="N90" ca="1">_xlfn.NUMBERVALUE(_xlfn.XLOOKUP(1,(OFFSET(IN_Verknüpfungen!$O$4,0,0,IN_Verknüpfungen!$A$2,1)=$A90)*(OFFSET(IN_Verknüpfungen!$P$4,0,0,IN_Verknüpfungen!$A$2,1)=N$3+1),OFFSET(IN_Verknüpfungen!$F$4,0,0,IN_Verknüpfungen!$A$2,1)))-SUM($G90:M90)</f>
        <v>#N/A</v>
      </c>
      <c r="O90" s="70" t="e" cm="1">
        <f t="array" aca="1" ref="O90" ca="1">_xlfn.NUMBERVALUE(_xlfn.XLOOKUP(1,(OFFSET(IN_Verknüpfungen!$O$4,0,0,IN_Verknüpfungen!$A$2,1)=$A90)*(OFFSET(IN_Verknüpfungen!$P$4,0,0,IN_Verknüpfungen!$A$2,1)=P$3),OFFSET(IN_Verknüpfungen!$J$4,0,0,IN_Verknüpfungen!$A$2,1)))-SUM($G90:N90)</f>
        <v>#N/A</v>
      </c>
      <c r="P90" s="70" t="e" cm="1">
        <f t="array" aca="1" ref="P90" ca="1">_xlfn.NUMBERVALUE(_xlfn.XLOOKUP(1,(OFFSET(IN_Verknüpfungen!$O$4,0,0,IN_Verknüpfungen!$A$2,1)=$A90)*(OFFSET(IN_Verknüpfungen!$P$4,0,0,IN_Verknüpfungen!$A$2,1)=P$3+1),OFFSET(IN_Verknüpfungen!$F$4,0,0,IN_Verknüpfungen!$A$2,1)))-SUM($G90:O90)</f>
        <v>#N/A</v>
      </c>
      <c r="Q90" s="70" t="e" cm="1">
        <f t="array" aca="1" ref="Q90" ca="1">_xlfn.NUMBERVALUE(_xlfn.XLOOKUP(1,(OFFSET(IN_Verknüpfungen!$O$4,0,0,IN_Verknüpfungen!$A$2,1)=$A90)*(OFFSET(IN_Verknüpfungen!$P$4,0,0,IN_Verknüpfungen!$A$2,1)=R$3),OFFSET(IN_Verknüpfungen!$J$4,0,0,IN_Verknüpfungen!$A$2,1)))-SUM($G90:P90)</f>
        <v>#N/A</v>
      </c>
      <c r="R90" s="70" t="e" cm="1">
        <f t="array" aca="1" ref="R90" ca="1">_xlfn.NUMBERVALUE(_xlfn.XLOOKUP(1,(OFFSET(IN_Verknüpfungen!$O$4,0,0,IN_Verknüpfungen!$A$2,1)=$A90)*(OFFSET(IN_Verknüpfungen!$P$4,0,0,IN_Verknüpfungen!$A$2,1)=R$3+1),OFFSET(IN_Verknüpfungen!$F$4,0,0,IN_Verknüpfungen!$A$2,1)))-SUM($G90:Q90)</f>
        <v>#N/A</v>
      </c>
      <c r="S90" s="70" t="e" cm="1">
        <f t="array" aca="1" ref="S90" ca="1">_xlfn.NUMBERVALUE(_xlfn.XLOOKUP(1,(OFFSET(IN_Verknüpfungen!$O$4,0,0,IN_Verknüpfungen!$A$2,1)=$A90)*(OFFSET(IN_Verknüpfungen!$P$4,0,0,IN_Verknüpfungen!$A$2,1)=T$3),OFFSET(IN_Verknüpfungen!$J$4,0,0,IN_Verknüpfungen!$A$2,1)))-SUM($G90:R90)</f>
        <v>#N/A</v>
      </c>
      <c r="T90" s="70" t="e" cm="1">
        <f t="array" aca="1" ref="T90" ca="1">_xlfn.NUMBERVALUE(_xlfn.XLOOKUP(1,(OFFSET(IN_Verknüpfungen!$O$4,0,0,IN_Verknüpfungen!$A$2,1)=$A90)*(OFFSET(IN_Verknüpfungen!$P$4,0,0,IN_Verknüpfungen!$A$2,1)=T$3+1),OFFSET(IN_Verknüpfungen!$F$4,0,0,IN_Verknüpfungen!$A$2,1)))-SUM($G90:S90)</f>
        <v>#N/A</v>
      </c>
      <c r="U90" s="70" t="e" cm="1">
        <f t="array" aca="1" ref="U90" ca="1">_xlfn.NUMBERVALUE(_xlfn.XLOOKUP(1,(OFFSET(IN_Verknüpfungen!$O$4,0,0,IN_Verknüpfungen!$A$2,1)=$A90)*(OFFSET(IN_Verknüpfungen!$P$4,0,0,IN_Verknüpfungen!$A$2,1)=V$3),OFFSET(IN_Verknüpfungen!$J$4,0,0,IN_Verknüpfungen!$A$2,1)))-SUM($G90:T90)</f>
        <v>#N/A</v>
      </c>
      <c r="V90" s="70" t="e" cm="1">
        <f t="array" aca="1" ref="V90" ca="1">_xlfn.NUMBERVALUE(_xlfn.XLOOKUP(1,(OFFSET(IN_Verknüpfungen!$O$4,0,0,IN_Verknüpfungen!$A$2,1)=$A90)*(OFFSET(IN_Verknüpfungen!$P$4,0,0,IN_Verknüpfungen!$A$2,1)=V$3+1),OFFSET(IN_Verknüpfungen!$F$4,0,0,IN_Verknüpfungen!$A$2,1)))-SUM($G90:U90)</f>
        <v>#N/A</v>
      </c>
      <c r="W90" s="70" t="e" cm="1">
        <f t="array" aca="1" ref="W90" ca="1">_xlfn.NUMBERVALUE(_xlfn.XLOOKUP(1,(OFFSET(IN_Verknüpfungen!$O$4,0,0,IN_Verknüpfungen!$A$2,1)=$A90)*(OFFSET(IN_Verknüpfungen!$P$4,0,0,IN_Verknüpfungen!$A$2,1)=X$3),OFFSET(IN_Verknüpfungen!$J$4,0,0,IN_Verknüpfungen!$A$2,1)))-SUM($G90:V90)</f>
        <v>#N/A</v>
      </c>
      <c r="X90" s="70" t="e" cm="1">
        <f t="array" aca="1" ref="X90" ca="1">_xlfn.NUMBERVALUE(_xlfn.XLOOKUP(1,(OFFSET(IN_Verknüpfungen!$O$4,0,0,IN_Verknüpfungen!$A$2,1)=$A90)*(OFFSET(IN_Verknüpfungen!$P$4,0,0,IN_Verknüpfungen!$A$2,1)=X$3+1),OFFSET(IN_Verknüpfungen!$F$4,0,0,IN_Verknüpfungen!$A$2,1)))-SUM($G90:W90)</f>
        <v>#N/A</v>
      </c>
      <c r="Y90" s="70" t="e" cm="1">
        <f t="array" aca="1" ref="Y90" ca="1">_xlfn.NUMBERVALUE(_xlfn.XLOOKUP(1,(OFFSET(IN_Verknüpfungen!$O$4,0,0,IN_Verknüpfungen!$A$2,1)=$A90)*(OFFSET(IN_Verknüpfungen!$P$4,0,0,IN_Verknüpfungen!$A$2,1)=Z$3),OFFSET(IN_Verknüpfungen!$J$4,0,0,IN_Verknüpfungen!$A$2,1)))-SUM($G90:X90)</f>
        <v>#N/A</v>
      </c>
      <c r="Z90" s="70" t="e" cm="1">
        <f t="array" aca="1" ref="Z90" ca="1">_xlfn.NUMBERVALUE(_xlfn.XLOOKUP(1,(OFFSET(IN_Verknüpfungen!$O$4,0,0,IN_Verknüpfungen!$A$2,1)=$A90)*(OFFSET(IN_Verknüpfungen!$P$4,0,0,IN_Verknüpfungen!$A$2,1)=Z$3+1),OFFSET(IN_Verknüpfungen!$F$4,0,0,IN_Verknüpfungen!$A$2,1)))-SUM($G90:Y90)</f>
        <v>#N/A</v>
      </c>
      <c r="AA90" s="70" t="e" cm="1">
        <f t="array" aca="1" ref="AA90" ca="1">_xlfn.NUMBERVALUE(_xlfn.XLOOKUP(1,(OFFSET(IN_Verknüpfungen!$O$4,0,0,IN_Verknüpfungen!$A$2,1)=$A90)*(OFFSET(IN_Verknüpfungen!$P$4,0,0,IN_Verknüpfungen!$A$2,1)=AB$3),OFFSET(IN_Verknüpfungen!$J$4,0,0,IN_Verknüpfungen!$A$2,1)))-SUM($G90:Z90)</f>
        <v>#N/A</v>
      </c>
      <c r="AB90" s="70" t="e" cm="1">
        <f t="array" aca="1" ref="AB90" ca="1">_xlfn.NUMBERVALUE(_xlfn.XLOOKUP(1,(OFFSET(IN_Verknüpfungen!$O$4,0,0,IN_Verknüpfungen!$A$2,1)=$A90)*(OFFSET(IN_Verknüpfungen!$P$4,0,0,IN_Verknüpfungen!$A$2,1)=AB$3+1),OFFSET(IN_Verknüpfungen!$F$4,0,0,IN_Verknüpfungen!$A$2,1)))-SUM($G90:AA90)</f>
        <v>#N/A</v>
      </c>
    </row>
    <row r="91" spans="1:28" x14ac:dyDescent="0.2">
      <c r="A91" s="56" t="str">
        <f ca="1"/>
        <v>Composition 88</v>
      </c>
      <c r="B91" s="55" t="str" cm="1">
        <f t="array" aca="1" ref="B91" ca="1">IF(A91&lt;&gt;"",_xlfn.XLOOKUP(Laufwege!A91,OFFSET(IN_Verknüpfungen!L$4,0,0,IN_Verknüpfungen!A$2,1),OFFSET(IN_Verknüpfungen!N$4,0,0,IN_Verknüpfungen!A$2,1),""),"")</f>
        <v>462-1.0</v>
      </c>
      <c r="C91" s="55">
        <f ca="1">IF(A91&lt;&gt;"",SUMIFS(OFFSET(IN_Verknüpfungen!M$4,0,0,IN_Verknüpfungen!A$2,1),OFFSET(IN_Verknüpfungen!O$4,0,0,IN_Verknüpfungen!A$2,1),Laufwege!A91),0)</f>
        <v>628934</v>
      </c>
      <c r="D91" s="55" cm="1">
        <f t="array" aca="1" ref="D91" ca="1">IF(B91&lt;&gt;"",_xlfn.XLOOKUP(B91,OFFSET(IN_Stammdaten!$A$4,0,0,IN_Stammdaten!$A$2,1),OFFSET(IN_Stammdaten!$C$4,0,0,IN_Stammdaten!$A$2,1),""),"")</f>
        <v>0</v>
      </c>
      <c r="E91" s="55" t="str">
        <f t="shared" ca="1" si="2"/>
        <v>nein</v>
      </c>
      <c r="F91" s="69" t="str">
        <f t="shared" ca="1" si="3"/>
        <v>Composition 88 (462-1.0)</v>
      </c>
      <c r="G91" s="70" cm="1">
        <f t="array" aca="1" ref="G91" ca="1">_xlfn.NUMBERVALUE(_xlfn.XLOOKUP(A91,OFFSET(IN_Verknüpfungen!$L$4,0,0,IN_Verknüpfungen!$A$2,1),OFFSET(IN_Verknüpfungen!$Q$4,0,0,IN_Verknüpfungen!$A$2,1)))</f>
        <v>0.2658564814814815</v>
      </c>
      <c r="H91" s="70" cm="1">
        <f t="array" aca="1" ref="H91" ca="1">_xlfn.NUMBERVALUE(_xlfn.XLOOKUP(A91,OFFSET(IN_Verknüpfungen!$L$4,0,0,IN_Verknüpfungen!$A$2,1),OFFSET(IN_Verknüpfungen!$F$4,0,0,IN_Verknüpfungen!$A$2,1)))-G91</f>
        <v>0.11208333333333331</v>
      </c>
      <c r="I91" s="70" cm="1">
        <f t="array" aca="1" ref="I91" ca="1">_xlfn.NUMBERVALUE(_xlfn.XLOOKUP(1,(OFFSET(IN_Verknüpfungen!$O$4,0,0,IN_Verknüpfungen!$A$2,1)=$A91)*(OFFSET(IN_Verknüpfungen!$P$4,0,0,IN_Verknüpfungen!$A$2,1)=J$3),OFFSET(IN_Verknüpfungen!$J$4,0,0,IN_Verknüpfungen!$A$2,1)))-SUM($G91:H91)</f>
        <v>1.0601851851851862E-2</v>
      </c>
      <c r="J91" s="70" cm="1">
        <f t="array" aca="1" ref="J91" ca="1">_xlfn.NUMBERVALUE(_xlfn.XLOOKUP(1,(OFFSET(IN_Verknüpfungen!$O$4,0,0,IN_Verknüpfungen!$A$2,1)=$A91)*(OFFSET(IN_Verknüpfungen!$P$4,0,0,IN_Verknüpfungen!$A$2,1)=J$3+1),OFFSET(IN_Verknüpfungen!$F$4,0,0,IN_Verknüpfungen!$A$2,1)))-SUM($G91:I91)</f>
        <v>0.10043981481481479</v>
      </c>
      <c r="K91" s="70" cm="1">
        <f t="array" aca="1" ref="K91" ca="1">_xlfn.NUMBERVALUE(_xlfn.XLOOKUP(1,(OFFSET(IN_Verknüpfungen!$O$4,0,0,IN_Verknüpfungen!$A$2,1)=$A91)*(OFFSET(IN_Verknüpfungen!$P$4,0,0,IN_Verknüpfungen!$A$2,1)=L$3),OFFSET(IN_Verknüpfungen!$J$4,0,0,IN_Verknüpfungen!$A$2,1)))-SUM($G91:J91)</f>
        <v>1.2847222222222232E-2</v>
      </c>
      <c r="L91" s="70" cm="1">
        <f t="array" aca="1" ref="L91" ca="1">_xlfn.NUMBERVALUE(_xlfn.XLOOKUP(1,(OFFSET(IN_Verknüpfungen!$O$4,0,0,IN_Verknüpfungen!$A$2,1)=$A91)*(OFFSET(IN_Verknüpfungen!$P$4,0,0,IN_Verknüpfungen!$A$2,1)=L$3+1),OFFSET(IN_Verknüpfungen!$F$4,0,0,IN_Verknüpfungen!$A$2,1)))-SUM($G91:K91)</f>
        <v>0.1039930555555556</v>
      </c>
      <c r="M91" s="70" cm="1">
        <f t="array" aca="1" ref="M91" ca="1">_xlfn.NUMBERVALUE(_xlfn.XLOOKUP(1,(OFFSET(IN_Verknüpfungen!$O$4,0,0,IN_Verknüpfungen!$A$2,1)=$A91)*(OFFSET(IN_Verknüpfungen!$P$4,0,0,IN_Verknüpfungen!$A$2,1)=N$3),OFFSET(IN_Verknüpfungen!$J$4,0,0,IN_Verknüpfungen!$A$2,1)))-SUM($G91:L91)</f>
        <v>1.1886574074074008E-2</v>
      </c>
      <c r="N91" s="70" t="e" cm="1">
        <f t="array" aca="1" ref="N91" ca="1">_xlfn.NUMBERVALUE(_xlfn.XLOOKUP(1,(OFFSET(IN_Verknüpfungen!$O$4,0,0,IN_Verknüpfungen!$A$2,1)=$A91)*(OFFSET(IN_Verknüpfungen!$P$4,0,0,IN_Verknüpfungen!$A$2,1)=N$3+1),OFFSET(IN_Verknüpfungen!$F$4,0,0,IN_Verknüpfungen!$A$2,1)))-SUM($G91:M91)</f>
        <v>#N/A</v>
      </c>
      <c r="O91" s="70" t="e" cm="1">
        <f t="array" aca="1" ref="O91" ca="1">_xlfn.NUMBERVALUE(_xlfn.XLOOKUP(1,(OFFSET(IN_Verknüpfungen!$O$4,0,0,IN_Verknüpfungen!$A$2,1)=$A91)*(OFFSET(IN_Verknüpfungen!$P$4,0,0,IN_Verknüpfungen!$A$2,1)=P$3),OFFSET(IN_Verknüpfungen!$J$4,0,0,IN_Verknüpfungen!$A$2,1)))-SUM($G91:N91)</f>
        <v>#N/A</v>
      </c>
      <c r="P91" s="70" t="e" cm="1">
        <f t="array" aca="1" ref="P91" ca="1">_xlfn.NUMBERVALUE(_xlfn.XLOOKUP(1,(OFFSET(IN_Verknüpfungen!$O$4,0,0,IN_Verknüpfungen!$A$2,1)=$A91)*(OFFSET(IN_Verknüpfungen!$P$4,0,0,IN_Verknüpfungen!$A$2,1)=P$3+1),OFFSET(IN_Verknüpfungen!$F$4,0,0,IN_Verknüpfungen!$A$2,1)))-SUM($G91:O91)</f>
        <v>#N/A</v>
      </c>
      <c r="Q91" s="70" t="e" cm="1">
        <f t="array" aca="1" ref="Q91" ca="1">_xlfn.NUMBERVALUE(_xlfn.XLOOKUP(1,(OFFSET(IN_Verknüpfungen!$O$4,0,0,IN_Verknüpfungen!$A$2,1)=$A91)*(OFFSET(IN_Verknüpfungen!$P$4,0,0,IN_Verknüpfungen!$A$2,1)=R$3),OFFSET(IN_Verknüpfungen!$J$4,0,0,IN_Verknüpfungen!$A$2,1)))-SUM($G91:P91)</f>
        <v>#N/A</v>
      </c>
      <c r="R91" s="70" t="e" cm="1">
        <f t="array" aca="1" ref="R91" ca="1">_xlfn.NUMBERVALUE(_xlfn.XLOOKUP(1,(OFFSET(IN_Verknüpfungen!$O$4,0,0,IN_Verknüpfungen!$A$2,1)=$A91)*(OFFSET(IN_Verknüpfungen!$P$4,0,0,IN_Verknüpfungen!$A$2,1)=R$3+1),OFFSET(IN_Verknüpfungen!$F$4,0,0,IN_Verknüpfungen!$A$2,1)))-SUM($G91:Q91)</f>
        <v>#N/A</v>
      </c>
      <c r="S91" s="70" t="e" cm="1">
        <f t="array" aca="1" ref="S91" ca="1">_xlfn.NUMBERVALUE(_xlfn.XLOOKUP(1,(OFFSET(IN_Verknüpfungen!$O$4,0,0,IN_Verknüpfungen!$A$2,1)=$A91)*(OFFSET(IN_Verknüpfungen!$P$4,0,0,IN_Verknüpfungen!$A$2,1)=T$3),OFFSET(IN_Verknüpfungen!$J$4,0,0,IN_Verknüpfungen!$A$2,1)))-SUM($G91:R91)</f>
        <v>#N/A</v>
      </c>
      <c r="T91" s="70" t="e" cm="1">
        <f t="array" aca="1" ref="T91" ca="1">_xlfn.NUMBERVALUE(_xlfn.XLOOKUP(1,(OFFSET(IN_Verknüpfungen!$O$4,0,0,IN_Verknüpfungen!$A$2,1)=$A91)*(OFFSET(IN_Verknüpfungen!$P$4,0,0,IN_Verknüpfungen!$A$2,1)=T$3+1),OFFSET(IN_Verknüpfungen!$F$4,0,0,IN_Verknüpfungen!$A$2,1)))-SUM($G91:S91)</f>
        <v>#N/A</v>
      </c>
      <c r="U91" s="70" t="e" cm="1">
        <f t="array" aca="1" ref="U91" ca="1">_xlfn.NUMBERVALUE(_xlfn.XLOOKUP(1,(OFFSET(IN_Verknüpfungen!$O$4,0,0,IN_Verknüpfungen!$A$2,1)=$A91)*(OFFSET(IN_Verknüpfungen!$P$4,0,0,IN_Verknüpfungen!$A$2,1)=V$3),OFFSET(IN_Verknüpfungen!$J$4,0,0,IN_Verknüpfungen!$A$2,1)))-SUM($G91:T91)</f>
        <v>#N/A</v>
      </c>
      <c r="V91" s="70" t="e" cm="1">
        <f t="array" aca="1" ref="V91" ca="1">_xlfn.NUMBERVALUE(_xlfn.XLOOKUP(1,(OFFSET(IN_Verknüpfungen!$O$4,0,0,IN_Verknüpfungen!$A$2,1)=$A91)*(OFFSET(IN_Verknüpfungen!$P$4,0,0,IN_Verknüpfungen!$A$2,1)=V$3+1),OFFSET(IN_Verknüpfungen!$F$4,0,0,IN_Verknüpfungen!$A$2,1)))-SUM($G91:U91)</f>
        <v>#N/A</v>
      </c>
      <c r="W91" s="70" t="e" cm="1">
        <f t="array" aca="1" ref="W91" ca="1">_xlfn.NUMBERVALUE(_xlfn.XLOOKUP(1,(OFFSET(IN_Verknüpfungen!$O$4,0,0,IN_Verknüpfungen!$A$2,1)=$A91)*(OFFSET(IN_Verknüpfungen!$P$4,0,0,IN_Verknüpfungen!$A$2,1)=X$3),OFFSET(IN_Verknüpfungen!$J$4,0,0,IN_Verknüpfungen!$A$2,1)))-SUM($G91:V91)</f>
        <v>#N/A</v>
      </c>
      <c r="X91" s="70" t="e" cm="1">
        <f t="array" aca="1" ref="X91" ca="1">_xlfn.NUMBERVALUE(_xlfn.XLOOKUP(1,(OFFSET(IN_Verknüpfungen!$O$4,0,0,IN_Verknüpfungen!$A$2,1)=$A91)*(OFFSET(IN_Verknüpfungen!$P$4,0,0,IN_Verknüpfungen!$A$2,1)=X$3+1),OFFSET(IN_Verknüpfungen!$F$4,0,0,IN_Verknüpfungen!$A$2,1)))-SUM($G91:W91)</f>
        <v>#N/A</v>
      </c>
      <c r="Y91" s="70" t="e" cm="1">
        <f t="array" aca="1" ref="Y91" ca="1">_xlfn.NUMBERVALUE(_xlfn.XLOOKUP(1,(OFFSET(IN_Verknüpfungen!$O$4,0,0,IN_Verknüpfungen!$A$2,1)=$A91)*(OFFSET(IN_Verknüpfungen!$P$4,0,0,IN_Verknüpfungen!$A$2,1)=Z$3),OFFSET(IN_Verknüpfungen!$J$4,0,0,IN_Verknüpfungen!$A$2,1)))-SUM($G91:X91)</f>
        <v>#N/A</v>
      </c>
      <c r="Z91" s="70" t="e" cm="1">
        <f t="array" aca="1" ref="Z91" ca="1">_xlfn.NUMBERVALUE(_xlfn.XLOOKUP(1,(OFFSET(IN_Verknüpfungen!$O$4,0,0,IN_Verknüpfungen!$A$2,1)=$A91)*(OFFSET(IN_Verknüpfungen!$P$4,0,0,IN_Verknüpfungen!$A$2,1)=Z$3+1),OFFSET(IN_Verknüpfungen!$F$4,0,0,IN_Verknüpfungen!$A$2,1)))-SUM($G91:Y91)</f>
        <v>#N/A</v>
      </c>
      <c r="AA91" s="70" t="e" cm="1">
        <f t="array" aca="1" ref="AA91" ca="1">_xlfn.NUMBERVALUE(_xlfn.XLOOKUP(1,(OFFSET(IN_Verknüpfungen!$O$4,0,0,IN_Verknüpfungen!$A$2,1)=$A91)*(OFFSET(IN_Verknüpfungen!$P$4,0,0,IN_Verknüpfungen!$A$2,1)=AB$3),OFFSET(IN_Verknüpfungen!$J$4,0,0,IN_Verknüpfungen!$A$2,1)))-SUM($G91:Z91)</f>
        <v>#N/A</v>
      </c>
      <c r="AB91" s="70" t="e" cm="1">
        <f t="array" aca="1" ref="AB91" ca="1">_xlfn.NUMBERVALUE(_xlfn.XLOOKUP(1,(OFFSET(IN_Verknüpfungen!$O$4,0,0,IN_Verknüpfungen!$A$2,1)=$A91)*(OFFSET(IN_Verknüpfungen!$P$4,0,0,IN_Verknüpfungen!$A$2,1)=AB$3+1),OFFSET(IN_Verknüpfungen!$F$4,0,0,IN_Verknüpfungen!$A$2,1)))-SUM($G91:AA91)</f>
        <v>#N/A</v>
      </c>
    </row>
    <row r="92" spans="1:28" x14ac:dyDescent="0.2">
      <c r="A92" s="56" t="str">
        <f ca="1"/>
        <v>Composition 89</v>
      </c>
      <c r="B92" s="55" t="str" cm="1">
        <f t="array" aca="1" ref="B92" ca="1">IF(A92&lt;&gt;"",_xlfn.XLOOKUP(Laufwege!A92,OFFSET(IN_Verknüpfungen!L$4,0,0,IN_Verknüpfungen!A$2,1),OFFSET(IN_Verknüpfungen!N$4,0,0,IN_Verknüpfungen!A$2,1),""),"")</f>
        <v>462-1.0</v>
      </c>
      <c r="C92" s="55">
        <f ca="1">IF(A92&lt;&gt;"",SUMIFS(OFFSET(IN_Verknüpfungen!M$4,0,0,IN_Verknüpfungen!A$2,1),OFFSET(IN_Verknüpfungen!O$4,0,0,IN_Verknüpfungen!A$2,1),Laufwege!A92),0)</f>
        <v>638966</v>
      </c>
      <c r="D92" s="55" cm="1">
        <f t="array" aca="1" ref="D92" ca="1">IF(B92&lt;&gt;"",_xlfn.XLOOKUP(B92,OFFSET(IN_Stammdaten!$A$4,0,0,IN_Stammdaten!$A$2,1),OFFSET(IN_Stammdaten!$C$4,0,0,IN_Stammdaten!$A$2,1),""),"")</f>
        <v>0</v>
      </c>
      <c r="E92" s="55" t="str">
        <f t="shared" ca="1" si="2"/>
        <v>nein</v>
      </c>
      <c r="F92" s="69" t="str">
        <f t="shared" ca="1" si="3"/>
        <v>Composition 89 (462-1.0)</v>
      </c>
      <c r="G92" s="70" cm="1">
        <f t="array" aca="1" ref="G92" ca="1">_xlfn.NUMBERVALUE(_xlfn.XLOOKUP(A92,OFFSET(IN_Verknüpfungen!$L$4,0,0,IN_Verknüpfungen!$A$2,1),OFFSET(IN_Verknüpfungen!$Q$4,0,0,IN_Verknüpfungen!$A$2,1)))</f>
        <v>0.26641203703703703</v>
      </c>
      <c r="H92" s="70" cm="1">
        <f t="array" aca="1" ref="H92" ca="1">_xlfn.NUMBERVALUE(_xlfn.XLOOKUP(A92,OFFSET(IN_Verknüpfungen!$L$4,0,0,IN_Verknüpfungen!$A$2,1),OFFSET(IN_Verknüpfungen!$F$4,0,0,IN_Verknüpfungen!$A$2,1)))-G92</f>
        <v>0.11238425925925927</v>
      </c>
      <c r="I92" s="70" cm="1">
        <f t="array" aca="1" ref="I92" ca="1">_xlfn.NUMBERVALUE(_xlfn.XLOOKUP(1,(OFFSET(IN_Verknüpfungen!$O$4,0,0,IN_Verknüpfungen!$A$2,1)=$A92)*(OFFSET(IN_Verknüpfungen!$P$4,0,0,IN_Verknüpfungen!$A$2,1)=J$3),OFFSET(IN_Verknüpfungen!$J$4,0,0,IN_Verknüpfungen!$A$2,1)))-SUM($G92:H92)</f>
        <v>1.0451388888888913E-2</v>
      </c>
      <c r="J92" s="70" cm="1">
        <f t="array" aca="1" ref="J92" ca="1">_xlfn.NUMBERVALUE(_xlfn.XLOOKUP(1,(OFFSET(IN_Verknüpfungen!$O$4,0,0,IN_Verknüpfungen!$A$2,1)=$A92)*(OFFSET(IN_Verknüpfungen!$P$4,0,0,IN_Verknüpfungen!$A$2,1)=J$3+1),OFFSET(IN_Verknüpfungen!$F$4,0,0,IN_Verknüpfungen!$A$2,1)))-SUM($G92:I92)</f>
        <v>0.10249999999999998</v>
      </c>
      <c r="K92" s="70" cm="1">
        <f t="array" aca="1" ref="K92" ca="1">_xlfn.NUMBERVALUE(_xlfn.XLOOKUP(1,(OFFSET(IN_Verknüpfungen!$O$4,0,0,IN_Verknüpfungen!$A$2,1)=$A92)*(OFFSET(IN_Verknüpfungen!$P$4,0,0,IN_Verknüpfungen!$A$2,1)=L$3),OFFSET(IN_Verknüpfungen!$J$4,0,0,IN_Verknüpfungen!$A$2,1)))-SUM($G92:J92)</f>
        <v>7.0023148148148362E-3</v>
      </c>
      <c r="L92" s="70" cm="1">
        <f t="array" aca="1" ref="L92" ca="1">_xlfn.NUMBERVALUE(_xlfn.XLOOKUP(1,(OFFSET(IN_Verknüpfungen!$O$4,0,0,IN_Verknüpfungen!$A$2,1)=$A92)*(OFFSET(IN_Verknüpfungen!$P$4,0,0,IN_Verknüpfungen!$A$2,1)=L$3+1),OFFSET(IN_Verknüpfungen!$F$4,0,0,IN_Verknüpfungen!$A$2,1)))-SUM($G92:K92)</f>
        <v>0.10886574074074074</v>
      </c>
      <c r="M92" s="70" cm="1">
        <f t="array" aca="1" ref="M92" ca="1">_xlfn.NUMBERVALUE(_xlfn.XLOOKUP(1,(OFFSET(IN_Verknüpfungen!$O$4,0,0,IN_Verknüpfungen!$A$2,1)=$A92)*(OFFSET(IN_Verknüpfungen!$P$4,0,0,IN_Verknüpfungen!$A$2,1)=N$3),OFFSET(IN_Verknüpfungen!$J$4,0,0,IN_Verknüpfungen!$A$2,1)))-SUM($G92:L92)</f>
        <v>1.0451388888888857E-2</v>
      </c>
      <c r="N92" s="70" t="e" cm="1">
        <f t="array" aca="1" ref="N92" ca="1">_xlfn.NUMBERVALUE(_xlfn.XLOOKUP(1,(OFFSET(IN_Verknüpfungen!$O$4,0,0,IN_Verknüpfungen!$A$2,1)=$A92)*(OFFSET(IN_Verknüpfungen!$P$4,0,0,IN_Verknüpfungen!$A$2,1)=N$3+1),OFFSET(IN_Verknüpfungen!$F$4,0,0,IN_Verknüpfungen!$A$2,1)))-SUM($G92:M92)</f>
        <v>#N/A</v>
      </c>
      <c r="O92" s="70" t="e" cm="1">
        <f t="array" aca="1" ref="O92" ca="1">_xlfn.NUMBERVALUE(_xlfn.XLOOKUP(1,(OFFSET(IN_Verknüpfungen!$O$4,0,0,IN_Verknüpfungen!$A$2,1)=$A92)*(OFFSET(IN_Verknüpfungen!$P$4,0,0,IN_Verknüpfungen!$A$2,1)=P$3),OFFSET(IN_Verknüpfungen!$J$4,0,0,IN_Verknüpfungen!$A$2,1)))-SUM($G92:N92)</f>
        <v>#N/A</v>
      </c>
      <c r="P92" s="70" t="e" cm="1">
        <f t="array" aca="1" ref="P92" ca="1">_xlfn.NUMBERVALUE(_xlfn.XLOOKUP(1,(OFFSET(IN_Verknüpfungen!$O$4,0,0,IN_Verknüpfungen!$A$2,1)=$A92)*(OFFSET(IN_Verknüpfungen!$P$4,0,0,IN_Verknüpfungen!$A$2,1)=P$3+1),OFFSET(IN_Verknüpfungen!$F$4,0,0,IN_Verknüpfungen!$A$2,1)))-SUM($G92:O92)</f>
        <v>#N/A</v>
      </c>
      <c r="Q92" s="70" t="e" cm="1">
        <f t="array" aca="1" ref="Q92" ca="1">_xlfn.NUMBERVALUE(_xlfn.XLOOKUP(1,(OFFSET(IN_Verknüpfungen!$O$4,0,0,IN_Verknüpfungen!$A$2,1)=$A92)*(OFFSET(IN_Verknüpfungen!$P$4,0,0,IN_Verknüpfungen!$A$2,1)=R$3),OFFSET(IN_Verknüpfungen!$J$4,0,0,IN_Verknüpfungen!$A$2,1)))-SUM($G92:P92)</f>
        <v>#N/A</v>
      </c>
      <c r="R92" s="70" t="e" cm="1">
        <f t="array" aca="1" ref="R92" ca="1">_xlfn.NUMBERVALUE(_xlfn.XLOOKUP(1,(OFFSET(IN_Verknüpfungen!$O$4,0,0,IN_Verknüpfungen!$A$2,1)=$A92)*(OFFSET(IN_Verknüpfungen!$P$4,0,0,IN_Verknüpfungen!$A$2,1)=R$3+1),OFFSET(IN_Verknüpfungen!$F$4,0,0,IN_Verknüpfungen!$A$2,1)))-SUM($G92:Q92)</f>
        <v>#N/A</v>
      </c>
      <c r="S92" s="70" t="e" cm="1">
        <f t="array" aca="1" ref="S92" ca="1">_xlfn.NUMBERVALUE(_xlfn.XLOOKUP(1,(OFFSET(IN_Verknüpfungen!$O$4,0,0,IN_Verknüpfungen!$A$2,1)=$A92)*(OFFSET(IN_Verknüpfungen!$P$4,0,0,IN_Verknüpfungen!$A$2,1)=T$3),OFFSET(IN_Verknüpfungen!$J$4,0,0,IN_Verknüpfungen!$A$2,1)))-SUM($G92:R92)</f>
        <v>#N/A</v>
      </c>
      <c r="T92" s="70" t="e" cm="1">
        <f t="array" aca="1" ref="T92" ca="1">_xlfn.NUMBERVALUE(_xlfn.XLOOKUP(1,(OFFSET(IN_Verknüpfungen!$O$4,0,0,IN_Verknüpfungen!$A$2,1)=$A92)*(OFFSET(IN_Verknüpfungen!$P$4,0,0,IN_Verknüpfungen!$A$2,1)=T$3+1),OFFSET(IN_Verknüpfungen!$F$4,0,0,IN_Verknüpfungen!$A$2,1)))-SUM($G92:S92)</f>
        <v>#N/A</v>
      </c>
      <c r="U92" s="70" t="e" cm="1">
        <f t="array" aca="1" ref="U92" ca="1">_xlfn.NUMBERVALUE(_xlfn.XLOOKUP(1,(OFFSET(IN_Verknüpfungen!$O$4,0,0,IN_Verknüpfungen!$A$2,1)=$A92)*(OFFSET(IN_Verknüpfungen!$P$4,0,0,IN_Verknüpfungen!$A$2,1)=V$3),OFFSET(IN_Verknüpfungen!$J$4,0,0,IN_Verknüpfungen!$A$2,1)))-SUM($G92:T92)</f>
        <v>#N/A</v>
      </c>
      <c r="V92" s="70" t="e" cm="1">
        <f t="array" aca="1" ref="V92" ca="1">_xlfn.NUMBERVALUE(_xlfn.XLOOKUP(1,(OFFSET(IN_Verknüpfungen!$O$4,0,0,IN_Verknüpfungen!$A$2,1)=$A92)*(OFFSET(IN_Verknüpfungen!$P$4,0,0,IN_Verknüpfungen!$A$2,1)=V$3+1),OFFSET(IN_Verknüpfungen!$F$4,0,0,IN_Verknüpfungen!$A$2,1)))-SUM($G92:U92)</f>
        <v>#N/A</v>
      </c>
      <c r="W92" s="70" t="e" cm="1">
        <f t="array" aca="1" ref="W92" ca="1">_xlfn.NUMBERVALUE(_xlfn.XLOOKUP(1,(OFFSET(IN_Verknüpfungen!$O$4,0,0,IN_Verknüpfungen!$A$2,1)=$A92)*(OFFSET(IN_Verknüpfungen!$P$4,0,0,IN_Verknüpfungen!$A$2,1)=X$3),OFFSET(IN_Verknüpfungen!$J$4,0,0,IN_Verknüpfungen!$A$2,1)))-SUM($G92:V92)</f>
        <v>#N/A</v>
      </c>
      <c r="X92" s="70" t="e" cm="1">
        <f t="array" aca="1" ref="X92" ca="1">_xlfn.NUMBERVALUE(_xlfn.XLOOKUP(1,(OFFSET(IN_Verknüpfungen!$O$4,0,0,IN_Verknüpfungen!$A$2,1)=$A92)*(OFFSET(IN_Verknüpfungen!$P$4,0,0,IN_Verknüpfungen!$A$2,1)=X$3+1),OFFSET(IN_Verknüpfungen!$F$4,0,0,IN_Verknüpfungen!$A$2,1)))-SUM($G92:W92)</f>
        <v>#N/A</v>
      </c>
      <c r="Y92" s="70" t="e" cm="1">
        <f t="array" aca="1" ref="Y92" ca="1">_xlfn.NUMBERVALUE(_xlfn.XLOOKUP(1,(OFFSET(IN_Verknüpfungen!$O$4,0,0,IN_Verknüpfungen!$A$2,1)=$A92)*(OFFSET(IN_Verknüpfungen!$P$4,0,0,IN_Verknüpfungen!$A$2,1)=Z$3),OFFSET(IN_Verknüpfungen!$J$4,0,0,IN_Verknüpfungen!$A$2,1)))-SUM($G92:X92)</f>
        <v>#N/A</v>
      </c>
      <c r="Z92" s="70" t="e" cm="1">
        <f t="array" aca="1" ref="Z92" ca="1">_xlfn.NUMBERVALUE(_xlfn.XLOOKUP(1,(OFFSET(IN_Verknüpfungen!$O$4,0,0,IN_Verknüpfungen!$A$2,1)=$A92)*(OFFSET(IN_Verknüpfungen!$P$4,0,0,IN_Verknüpfungen!$A$2,1)=Z$3+1),OFFSET(IN_Verknüpfungen!$F$4,0,0,IN_Verknüpfungen!$A$2,1)))-SUM($G92:Y92)</f>
        <v>#N/A</v>
      </c>
      <c r="AA92" s="70" t="e" cm="1">
        <f t="array" aca="1" ref="AA92" ca="1">_xlfn.NUMBERVALUE(_xlfn.XLOOKUP(1,(OFFSET(IN_Verknüpfungen!$O$4,0,0,IN_Verknüpfungen!$A$2,1)=$A92)*(OFFSET(IN_Verknüpfungen!$P$4,0,0,IN_Verknüpfungen!$A$2,1)=AB$3),OFFSET(IN_Verknüpfungen!$J$4,0,0,IN_Verknüpfungen!$A$2,1)))-SUM($G92:Z92)</f>
        <v>#N/A</v>
      </c>
      <c r="AB92" s="70" t="e" cm="1">
        <f t="array" aca="1" ref="AB92" ca="1">_xlfn.NUMBERVALUE(_xlfn.XLOOKUP(1,(OFFSET(IN_Verknüpfungen!$O$4,0,0,IN_Verknüpfungen!$A$2,1)=$A92)*(OFFSET(IN_Verknüpfungen!$P$4,0,0,IN_Verknüpfungen!$A$2,1)=AB$3+1),OFFSET(IN_Verknüpfungen!$F$4,0,0,IN_Verknüpfungen!$A$2,1)))-SUM($G92:AA92)</f>
        <v>#N/A</v>
      </c>
    </row>
    <row r="93" spans="1:28" x14ac:dyDescent="0.2">
      <c r="A93" s="56" t="str">
        <f ca="1"/>
        <v>Composition 90</v>
      </c>
      <c r="B93" s="55" t="str" cm="1">
        <f t="array" aca="1" ref="B93" ca="1">IF(A93&lt;&gt;"",_xlfn.XLOOKUP(Laufwege!A93,OFFSET(IN_Verknüpfungen!L$4,0,0,IN_Verknüpfungen!A$2,1),OFFSET(IN_Verknüpfungen!N$4,0,0,IN_Verknüpfungen!A$2,1),""),"")</f>
        <v>462-1.0</v>
      </c>
      <c r="C93" s="55">
        <f ca="1">IF(A93&lt;&gt;"",SUMIFS(OFFSET(IN_Verknüpfungen!M$4,0,0,IN_Verknüpfungen!A$2,1),OFFSET(IN_Verknüpfungen!O$4,0,0,IN_Verknüpfungen!A$2,1),Laufwege!A93),0)</f>
        <v>721052</v>
      </c>
      <c r="D93" s="55" cm="1">
        <f t="array" aca="1" ref="D93" ca="1">IF(B93&lt;&gt;"",_xlfn.XLOOKUP(B93,OFFSET(IN_Stammdaten!$A$4,0,0,IN_Stammdaten!$A$2,1),OFFSET(IN_Stammdaten!$C$4,0,0,IN_Stammdaten!$A$2,1),""),"")</f>
        <v>0</v>
      </c>
      <c r="E93" s="55" t="str">
        <f t="shared" ca="1" si="2"/>
        <v>nein</v>
      </c>
      <c r="F93" s="69" t="str">
        <f t="shared" ca="1" si="3"/>
        <v>Composition 90 (462-1.0)</v>
      </c>
      <c r="G93" s="70" cm="1">
        <f t="array" aca="1" ref="G93" ca="1">_xlfn.NUMBERVALUE(_xlfn.XLOOKUP(A93,OFFSET(IN_Verknüpfungen!$L$4,0,0,IN_Verknüpfungen!$A$2,1),OFFSET(IN_Verknüpfungen!$Q$4,0,0,IN_Verknüpfungen!$A$2,1)))</f>
        <v>0.2459375</v>
      </c>
      <c r="H93" s="70" cm="1">
        <f t="array" aca="1" ref="H93" ca="1">_xlfn.NUMBERVALUE(_xlfn.XLOOKUP(A93,OFFSET(IN_Verknüpfungen!$L$4,0,0,IN_Verknüpfungen!$A$2,1),OFFSET(IN_Verknüpfungen!$F$4,0,0,IN_Verknüpfungen!$A$2,1)))-G93</f>
        <v>0.13434027777777777</v>
      </c>
      <c r="I93" s="70" cm="1">
        <f t="array" aca="1" ref="I93" ca="1">_xlfn.NUMBERVALUE(_xlfn.XLOOKUP(1,(OFFSET(IN_Verknüpfungen!$O$4,0,0,IN_Verknüpfungen!$A$2,1)=$A93)*(OFFSET(IN_Verknüpfungen!$P$4,0,0,IN_Verknüpfungen!$A$2,1)=J$3),OFFSET(IN_Verknüpfungen!$J$4,0,0,IN_Verknüpfungen!$A$2,1)))-SUM($G93:H93)</f>
        <v>1.6666666666666663E-2</v>
      </c>
      <c r="J93" s="70" cm="1">
        <f t="array" aca="1" ref="J93" ca="1">_xlfn.NUMBERVALUE(_xlfn.XLOOKUP(1,(OFFSET(IN_Verknüpfungen!$O$4,0,0,IN_Verknüpfungen!$A$2,1)=$A93)*(OFFSET(IN_Verknüpfungen!$P$4,0,0,IN_Verknüpfungen!$A$2,1)=J$3+1),OFFSET(IN_Verknüpfungen!$F$4,0,0,IN_Verknüpfungen!$A$2,1)))-SUM($G93:I93)</f>
        <v>0.1237152777777778</v>
      </c>
      <c r="K93" s="70" cm="1">
        <f t="array" aca="1" ref="K93" ca="1">_xlfn.NUMBERVALUE(_xlfn.XLOOKUP(1,(OFFSET(IN_Verknüpfungen!$O$4,0,0,IN_Verknüpfungen!$A$2,1)=$A93)*(OFFSET(IN_Verknüpfungen!$P$4,0,0,IN_Verknüpfungen!$A$2,1)=L$3),OFFSET(IN_Verknüpfungen!$J$4,0,0,IN_Verknüpfungen!$A$2,1)))-SUM($G93:J93)</f>
        <v>2.4131944444444442E-2</v>
      </c>
      <c r="L93" s="70" t="e" cm="1">
        <f t="array" aca="1" ref="L93" ca="1">_xlfn.NUMBERVALUE(_xlfn.XLOOKUP(1,(OFFSET(IN_Verknüpfungen!$O$4,0,0,IN_Verknüpfungen!$A$2,1)=$A93)*(OFFSET(IN_Verknüpfungen!$P$4,0,0,IN_Verknüpfungen!$A$2,1)=L$3+1),OFFSET(IN_Verknüpfungen!$F$4,0,0,IN_Verknüpfungen!$A$2,1)))-SUM($G93:K93)</f>
        <v>#N/A</v>
      </c>
      <c r="M93" s="70" t="e" cm="1">
        <f t="array" aca="1" ref="M93" ca="1">_xlfn.NUMBERVALUE(_xlfn.XLOOKUP(1,(OFFSET(IN_Verknüpfungen!$O$4,0,0,IN_Verknüpfungen!$A$2,1)=$A93)*(OFFSET(IN_Verknüpfungen!$P$4,0,0,IN_Verknüpfungen!$A$2,1)=N$3),OFFSET(IN_Verknüpfungen!$J$4,0,0,IN_Verknüpfungen!$A$2,1)))-SUM($G93:L93)</f>
        <v>#N/A</v>
      </c>
      <c r="N93" s="70" t="e" cm="1">
        <f t="array" aca="1" ref="N93" ca="1">_xlfn.NUMBERVALUE(_xlfn.XLOOKUP(1,(OFFSET(IN_Verknüpfungen!$O$4,0,0,IN_Verknüpfungen!$A$2,1)=$A93)*(OFFSET(IN_Verknüpfungen!$P$4,0,0,IN_Verknüpfungen!$A$2,1)=N$3+1),OFFSET(IN_Verknüpfungen!$F$4,0,0,IN_Verknüpfungen!$A$2,1)))-SUM($G93:M93)</f>
        <v>#N/A</v>
      </c>
      <c r="O93" s="70" t="e" cm="1">
        <f t="array" aca="1" ref="O93" ca="1">_xlfn.NUMBERVALUE(_xlfn.XLOOKUP(1,(OFFSET(IN_Verknüpfungen!$O$4,0,0,IN_Verknüpfungen!$A$2,1)=$A93)*(OFFSET(IN_Verknüpfungen!$P$4,0,0,IN_Verknüpfungen!$A$2,1)=P$3),OFFSET(IN_Verknüpfungen!$J$4,0,0,IN_Verknüpfungen!$A$2,1)))-SUM($G93:N93)</f>
        <v>#N/A</v>
      </c>
      <c r="P93" s="70" t="e" cm="1">
        <f t="array" aca="1" ref="P93" ca="1">_xlfn.NUMBERVALUE(_xlfn.XLOOKUP(1,(OFFSET(IN_Verknüpfungen!$O$4,0,0,IN_Verknüpfungen!$A$2,1)=$A93)*(OFFSET(IN_Verknüpfungen!$P$4,0,0,IN_Verknüpfungen!$A$2,1)=P$3+1),OFFSET(IN_Verknüpfungen!$F$4,0,0,IN_Verknüpfungen!$A$2,1)))-SUM($G93:O93)</f>
        <v>#N/A</v>
      </c>
      <c r="Q93" s="70" t="e" cm="1">
        <f t="array" aca="1" ref="Q93" ca="1">_xlfn.NUMBERVALUE(_xlfn.XLOOKUP(1,(OFFSET(IN_Verknüpfungen!$O$4,0,0,IN_Verknüpfungen!$A$2,1)=$A93)*(OFFSET(IN_Verknüpfungen!$P$4,0,0,IN_Verknüpfungen!$A$2,1)=R$3),OFFSET(IN_Verknüpfungen!$J$4,0,0,IN_Verknüpfungen!$A$2,1)))-SUM($G93:P93)</f>
        <v>#N/A</v>
      </c>
      <c r="R93" s="70" t="e" cm="1">
        <f t="array" aca="1" ref="R93" ca="1">_xlfn.NUMBERVALUE(_xlfn.XLOOKUP(1,(OFFSET(IN_Verknüpfungen!$O$4,0,0,IN_Verknüpfungen!$A$2,1)=$A93)*(OFFSET(IN_Verknüpfungen!$P$4,0,0,IN_Verknüpfungen!$A$2,1)=R$3+1),OFFSET(IN_Verknüpfungen!$F$4,0,0,IN_Verknüpfungen!$A$2,1)))-SUM($G93:Q93)</f>
        <v>#N/A</v>
      </c>
      <c r="S93" s="70" t="e" cm="1">
        <f t="array" aca="1" ref="S93" ca="1">_xlfn.NUMBERVALUE(_xlfn.XLOOKUP(1,(OFFSET(IN_Verknüpfungen!$O$4,0,0,IN_Verknüpfungen!$A$2,1)=$A93)*(OFFSET(IN_Verknüpfungen!$P$4,0,0,IN_Verknüpfungen!$A$2,1)=T$3),OFFSET(IN_Verknüpfungen!$J$4,0,0,IN_Verknüpfungen!$A$2,1)))-SUM($G93:R93)</f>
        <v>#N/A</v>
      </c>
      <c r="T93" s="70" t="e" cm="1">
        <f t="array" aca="1" ref="T93" ca="1">_xlfn.NUMBERVALUE(_xlfn.XLOOKUP(1,(OFFSET(IN_Verknüpfungen!$O$4,0,0,IN_Verknüpfungen!$A$2,1)=$A93)*(OFFSET(IN_Verknüpfungen!$P$4,0,0,IN_Verknüpfungen!$A$2,1)=T$3+1),OFFSET(IN_Verknüpfungen!$F$4,0,0,IN_Verknüpfungen!$A$2,1)))-SUM($G93:S93)</f>
        <v>#N/A</v>
      </c>
      <c r="U93" s="70" t="e" cm="1">
        <f t="array" aca="1" ref="U93" ca="1">_xlfn.NUMBERVALUE(_xlfn.XLOOKUP(1,(OFFSET(IN_Verknüpfungen!$O$4,0,0,IN_Verknüpfungen!$A$2,1)=$A93)*(OFFSET(IN_Verknüpfungen!$P$4,0,0,IN_Verknüpfungen!$A$2,1)=V$3),OFFSET(IN_Verknüpfungen!$J$4,0,0,IN_Verknüpfungen!$A$2,1)))-SUM($G93:T93)</f>
        <v>#N/A</v>
      </c>
      <c r="V93" s="70" t="e" cm="1">
        <f t="array" aca="1" ref="V93" ca="1">_xlfn.NUMBERVALUE(_xlfn.XLOOKUP(1,(OFFSET(IN_Verknüpfungen!$O$4,0,0,IN_Verknüpfungen!$A$2,1)=$A93)*(OFFSET(IN_Verknüpfungen!$P$4,0,0,IN_Verknüpfungen!$A$2,1)=V$3+1),OFFSET(IN_Verknüpfungen!$F$4,0,0,IN_Verknüpfungen!$A$2,1)))-SUM($G93:U93)</f>
        <v>#N/A</v>
      </c>
      <c r="W93" s="70" t="e" cm="1">
        <f t="array" aca="1" ref="W93" ca="1">_xlfn.NUMBERVALUE(_xlfn.XLOOKUP(1,(OFFSET(IN_Verknüpfungen!$O$4,0,0,IN_Verknüpfungen!$A$2,1)=$A93)*(OFFSET(IN_Verknüpfungen!$P$4,0,0,IN_Verknüpfungen!$A$2,1)=X$3),OFFSET(IN_Verknüpfungen!$J$4,0,0,IN_Verknüpfungen!$A$2,1)))-SUM($G93:V93)</f>
        <v>#N/A</v>
      </c>
      <c r="X93" s="70" t="e" cm="1">
        <f t="array" aca="1" ref="X93" ca="1">_xlfn.NUMBERVALUE(_xlfn.XLOOKUP(1,(OFFSET(IN_Verknüpfungen!$O$4,0,0,IN_Verknüpfungen!$A$2,1)=$A93)*(OFFSET(IN_Verknüpfungen!$P$4,0,0,IN_Verknüpfungen!$A$2,1)=X$3+1),OFFSET(IN_Verknüpfungen!$F$4,0,0,IN_Verknüpfungen!$A$2,1)))-SUM($G93:W93)</f>
        <v>#N/A</v>
      </c>
      <c r="Y93" s="70" t="e" cm="1">
        <f t="array" aca="1" ref="Y93" ca="1">_xlfn.NUMBERVALUE(_xlfn.XLOOKUP(1,(OFFSET(IN_Verknüpfungen!$O$4,0,0,IN_Verknüpfungen!$A$2,1)=$A93)*(OFFSET(IN_Verknüpfungen!$P$4,0,0,IN_Verknüpfungen!$A$2,1)=Z$3),OFFSET(IN_Verknüpfungen!$J$4,0,0,IN_Verknüpfungen!$A$2,1)))-SUM($G93:X93)</f>
        <v>#N/A</v>
      </c>
      <c r="Z93" s="70" t="e" cm="1">
        <f t="array" aca="1" ref="Z93" ca="1">_xlfn.NUMBERVALUE(_xlfn.XLOOKUP(1,(OFFSET(IN_Verknüpfungen!$O$4,0,0,IN_Verknüpfungen!$A$2,1)=$A93)*(OFFSET(IN_Verknüpfungen!$P$4,0,0,IN_Verknüpfungen!$A$2,1)=Z$3+1),OFFSET(IN_Verknüpfungen!$F$4,0,0,IN_Verknüpfungen!$A$2,1)))-SUM($G93:Y93)</f>
        <v>#N/A</v>
      </c>
      <c r="AA93" s="70" t="e" cm="1">
        <f t="array" aca="1" ref="AA93" ca="1">_xlfn.NUMBERVALUE(_xlfn.XLOOKUP(1,(OFFSET(IN_Verknüpfungen!$O$4,0,0,IN_Verknüpfungen!$A$2,1)=$A93)*(OFFSET(IN_Verknüpfungen!$P$4,0,0,IN_Verknüpfungen!$A$2,1)=AB$3),OFFSET(IN_Verknüpfungen!$J$4,0,0,IN_Verknüpfungen!$A$2,1)))-SUM($G93:Z93)</f>
        <v>#N/A</v>
      </c>
      <c r="AB93" s="70" t="e" cm="1">
        <f t="array" aca="1" ref="AB93" ca="1">_xlfn.NUMBERVALUE(_xlfn.XLOOKUP(1,(OFFSET(IN_Verknüpfungen!$O$4,0,0,IN_Verknüpfungen!$A$2,1)=$A93)*(OFFSET(IN_Verknüpfungen!$P$4,0,0,IN_Verknüpfungen!$A$2,1)=AB$3+1),OFFSET(IN_Verknüpfungen!$F$4,0,0,IN_Verknüpfungen!$A$2,1)))-SUM($G93:AA93)</f>
        <v>#N/A</v>
      </c>
    </row>
    <row r="94" spans="1:28" x14ac:dyDescent="0.2">
      <c r="A94" s="56" t="str">
        <f ca="1"/>
        <v>Composition 91</v>
      </c>
      <c r="B94" s="55" t="str" cm="1">
        <f t="array" aca="1" ref="B94" ca="1">IF(A94&lt;&gt;"",_xlfn.XLOOKUP(Laufwege!A94,OFFSET(IN_Verknüpfungen!L$4,0,0,IN_Verknüpfungen!A$2,1),OFFSET(IN_Verknüpfungen!N$4,0,0,IN_Verknüpfungen!A$2,1),""),"")</f>
        <v>462-1.0</v>
      </c>
      <c r="C94" s="55">
        <f ca="1">IF(A94&lt;&gt;"",SUMIFS(OFFSET(IN_Verknüpfungen!M$4,0,0,IN_Verknüpfungen!A$2,1),OFFSET(IN_Verknüpfungen!O$4,0,0,IN_Verknüpfungen!A$2,1),Laufwege!A94),0)</f>
        <v>540576</v>
      </c>
      <c r="D94" s="55" cm="1">
        <f t="array" aca="1" ref="D94" ca="1">IF(B94&lt;&gt;"",_xlfn.XLOOKUP(B94,OFFSET(IN_Stammdaten!$A$4,0,0,IN_Stammdaten!$A$2,1),OFFSET(IN_Stammdaten!$C$4,0,0,IN_Stammdaten!$A$2,1),""),"")</f>
        <v>0</v>
      </c>
      <c r="E94" s="55" t="str">
        <f t="shared" ca="1" si="2"/>
        <v>nein</v>
      </c>
      <c r="F94" s="69" t="str">
        <f t="shared" ca="1" si="3"/>
        <v>Composition 91 (462-1.0)</v>
      </c>
      <c r="G94" s="70" cm="1">
        <f t="array" aca="1" ref="G94" ca="1">_xlfn.NUMBERVALUE(_xlfn.XLOOKUP(A94,OFFSET(IN_Verknüpfungen!$L$4,0,0,IN_Verknüpfungen!$A$2,1),OFFSET(IN_Verknüpfungen!$Q$4,0,0,IN_Verknüpfungen!$A$2,1)))</f>
        <v>0.27392361111111113</v>
      </c>
      <c r="H94" s="70" cm="1">
        <f t="array" aca="1" ref="H94" ca="1">_xlfn.NUMBERVALUE(_xlfn.XLOOKUP(A94,OFFSET(IN_Verknüpfungen!$L$4,0,0,IN_Verknüpfungen!$A$2,1),OFFSET(IN_Verknüpfungen!$F$4,0,0,IN_Verknüpfungen!$A$2,1)))-G94</f>
        <v>0.10908564814814814</v>
      </c>
      <c r="I94" s="70" cm="1">
        <f t="array" aca="1" ref="I94" ca="1">_xlfn.NUMBERVALUE(_xlfn.XLOOKUP(1,(OFFSET(IN_Verknüpfungen!$O$4,0,0,IN_Verknüpfungen!$A$2,1)=$A94)*(OFFSET(IN_Verknüpfungen!$P$4,0,0,IN_Verknüpfungen!$A$2,1)=J$3),OFFSET(IN_Verknüpfungen!$J$4,0,0,IN_Verknüpfungen!$A$2,1)))-SUM($G94:H94)</f>
        <v>1.525462962962959E-2</v>
      </c>
      <c r="J94" s="70" cm="1">
        <f t="array" aca="1" ref="J94" ca="1">_xlfn.NUMBERVALUE(_xlfn.XLOOKUP(1,(OFFSET(IN_Verknüpfungen!$O$4,0,0,IN_Verknüpfungen!$A$2,1)=$A94)*(OFFSET(IN_Verknüpfungen!$P$4,0,0,IN_Verknüpfungen!$A$2,1)=J$3+1),OFFSET(IN_Verknüpfungen!$F$4,0,0,IN_Verknüpfungen!$A$2,1)))-SUM($G94:I94)</f>
        <v>9.4247685185185226E-2</v>
      </c>
      <c r="K94" s="70" cm="1">
        <f t="array" aca="1" ref="K94" ca="1">_xlfn.NUMBERVALUE(_xlfn.XLOOKUP(1,(OFFSET(IN_Verknüpfungen!$O$4,0,0,IN_Verknüpfungen!$A$2,1)=$A94)*(OFFSET(IN_Verknüpfungen!$P$4,0,0,IN_Verknüpfungen!$A$2,1)=L$3),OFFSET(IN_Verknüpfungen!$J$4,0,0,IN_Verknüpfungen!$A$2,1)))-SUM($G94:J94)</f>
        <v>2.0960648148148131E-2</v>
      </c>
      <c r="L94" s="70" t="e" cm="1">
        <f t="array" aca="1" ref="L94" ca="1">_xlfn.NUMBERVALUE(_xlfn.XLOOKUP(1,(OFFSET(IN_Verknüpfungen!$O$4,0,0,IN_Verknüpfungen!$A$2,1)=$A94)*(OFFSET(IN_Verknüpfungen!$P$4,0,0,IN_Verknüpfungen!$A$2,1)=L$3+1),OFFSET(IN_Verknüpfungen!$F$4,0,0,IN_Verknüpfungen!$A$2,1)))-SUM($G94:K94)</f>
        <v>#N/A</v>
      </c>
      <c r="M94" s="70" t="e" cm="1">
        <f t="array" aca="1" ref="M94" ca="1">_xlfn.NUMBERVALUE(_xlfn.XLOOKUP(1,(OFFSET(IN_Verknüpfungen!$O$4,0,0,IN_Verknüpfungen!$A$2,1)=$A94)*(OFFSET(IN_Verknüpfungen!$P$4,0,0,IN_Verknüpfungen!$A$2,1)=N$3),OFFSET(IN_Verknüpfungen!$J$4,0,0,IN_Verknüpfungen!$A$2,1)))-SUM($G94:L94)</f>
        <v>#N/A</v>
      </c>
      <c r="N94" s="70" t="e" cm="1">
        <f t="array" aca="1" ref="N94" ca="1">_xlfn.NUMBERVALUE(_xlfn.XLOOKUP(1,(OFFSET(IN_Verknüpfungen!$O$4,0,0,IN_Verknüpfungen!$A$2,1)=$A94)*(OFFSET(IN_Verknüpfungen!$P$4,0,0,IN_Verknüpfungen!$A$2,1)=N$3+1),OFFSET(IN_Verknüpfungen!$F$4,0,0,IN_Verknüpfungen!$A$2,1)))-SUM($G94:M94)</f>
        <v>#N/A</v>
      </c>
      <c r="O94" s="70" t="e" cm="1">
        <f t="array" aca="1" ref="O94" ca="1">_xlfn.NUMBERVALUE(_xlfn.XLOOKUP(1,(OFFSET(IN_Verknüpfungen!$O$4,0,0,IN_Verknüpfungen!$A$2,1)=$A94)*(OFFSET(IN_Verknüpfungen!$P$4,0,0,IN_Verknüpfungen!$A$2,1)=P$3),OFFSET(IN_Verknüpfungen!$J$4,0,0,IN_Verknüpfungen!$A$2,1)))-SUM($G94:N94)</f>
        <v>#N/A</v>
      </c>
      <c r="P94" s="70" t="e" cm="1">
        <f t="array" aca="1" ref="P94" ca="1">_xlfn.NUMBERVALUE(_xlfn.XLOOKUP(1,(OFFSET(IN_Verknüpfungen!$O$4,0,0,IN_Verknüpfungen!$A$2,1)=$A94)*(OFFSET(IN_Verknüpfungen!$P$4,0,0,IN_Verknüpfungen!$A$2,1)=P$3+1),OFFSET(IN_Verknüpfungen!$F$4,0,0,IN_Verknüpfungen!$A$2,1)))-SUM($G94:O94)</f>
        <v>#N/A</v>
      </c>
      <c r="Q94" s="70" t="e" cm="1">
        <f t="array" aca="1" ref="Q94" ca="1">_xlfn.NUMBERVALUE(_xlfn.XLOOKUP(1,(OFFSET(IN_Verknüpfungen!$O$4,0,0,IN_Verknüpfungen!$A$2,1)=$A94)*(OFFSET(IN_Verknüpfungen!$P$4,0,0,IN_Verknüpfungen!$A$2,1)=R$3),OFFSET(IN_Verknüpfungen!$J$4,0,0,IN_Verknüpfungen!$A$2,1)))-SUM($G94:P94)</f>
        <v>#N/A</v>
      </c>
      <c r="R94" s="70" t="e" cm="1">
        <f t="array" aca="1" ref="R94" ca="1">_xlfn.NUMBERVALUE(_xlfn.XLOOKUP(1,(OFFSET(IN_Verknüpfungen!$O$4,0,0,IN_Verknüpfungen!$A$2,1)=$A94)*(OFFSET(IN_Verknüpfungen!$P$4,0,0,IN_Verknüpfungen!$A$2,1)=R$3+1),OFFSET(IN_Verknüpfungen!$F$4,0,0,IN_Verknüpfungen!$A$2,1)))-SUM($G94:Q94)</f>
        <v>#N/A</v>
      </c>
      <c r="S94" s="70" t="e" cm="1">
        <f t="array" aca="1" ref="S94" ca="1">_xlfn.NUMBERVALUE(_xlfn.XLOOKUP(1,(OFFSET(IN_Verknüpfungen!$O$4,0,0,IN_Verknüpfungen!$A$2,1)=$A94)*(OFFSET(IN_Verknüpfungen!$P$4,0,0,IN_Verknüpfungen!$A$2,1)=T$3),OFFSET(IN_Verknüpfungen!$J$4,0,0,IN_Verknüpfungen!$A$2,1)))-SUM($G94:R94)</f>
        <v>#N/A</v>
      </c>
      <c r="T94" s="70" t="e" cm="1">
        <f t="array" aca="1" ref="T94" ca="1">_xlfn.NUMBERVALUE(_xlfn.XLOOKUP(1,(OFFSET(IN_Verknüpfungen!$O$4,0,0,IN_Verknüpfungen!$A$2,1)=$A94)*(OFFSET(IN_Verknüpfungen!$P$4,0,0,IN_Verknüpfungen!$A$2,1)=T$3+1),OFFSET(IN_Verknüpfungen!$F$4,0,0,IN_Verknüpfungen!$A$2,1)))-SUM($G94:S94)</f>
        <v>#N/A</v>
      </c>
      <c r="U94" s="70" t="e" cm="1">
        <f t="array" aca="1" ref="U94" ca="1">_xlfn.NUMBERVALUE(_xlfn.XLOOKUP(1,(OFFSET(IN_Verknüpfungen!$O$4,0,0,IN_Verknüpfungen!$A$2,1)=$A94)*(OFFSET(IN_Verknüpfungen!$P$4,0,0,IN_Verknüpfungen!$A$2,1)=V$3),OFFSET(IN_Verknüpfungen!$J$4,0,0,IN_Verknüpfungen!$A$2,1)))-SUM($G94:T94)</f>
        <v>#N/A</v>
      </c>
      <c r="V94" s="70" t="e" cm="1">
        <f t="array" aca="1" ref="V94" ca="1">_xlfn.NUMBERVALUE(_xlfn.XLOOKUP(1,(OFFSET(IN_Verknüpfungen!$O$4,0,0,IN_Verknüpfungen!$A$2,1)=$A94)*(OFFSET(IN_Verknüpfungen!$P$4,0,0,IN_Verknüpfungen!$A$2,1)=V$3+1),OFFSET(IN_Verknüpfungen!$F$4,0,0,IN_Verknüpfungen!$A$2,1)))-SUM($G94:U94)</f>
        <v>#N/A</v>
      </c>
      <c r="W94" s="70" t="e" cm="1">
        <f t="array" aca="1" ref="W94" ca="1">_xlfn.NUMBERVALUE(_xlfn.XLOOKUP(1,(OFFSET(IN_Verknüpfungen!$O$4,0,0,IN_Verknüpfungen!$A$2,1)=$A94)*(OFFSET(IN_Verknüpfungen!$P$4,0,0,IN_Verknüpfungen!$A$2,1)=X$3),OFFSET(IN_Verknüpfungen!$J$4,0,0,IN_Verknüpfungen!$A$2,1)))-SUM($G94:V94)</f>
        <v>#N/A</v>
      </c>
      <c r="X94" s="70" t="e" cm="1">
        <f t="array" aca="1" ref="X94" ca="1">_xlfn.NUMBERVALUE(_xlfn.XLOOKUP(1,(OFFSET(IN_Verknüpfungen!$O$4,0,0,IN_Verknüpfungen!$A$2,1)=$A94)*(OFFSET(IN_Verknüpfungen!$P$4,0,0,IN_Verknüpfungen!$A$2,1)=X$3+1),OFFSET(IN_Verknüpfungen!$F$4,0,0,IN_Verknüpfungen!$A$2,1)))-SUM($G94:W94)</f>
        <v>#N/A</v>
      </c>
      <c r="Y94" s="70" t="e" cm="1">
        <f t="array" aca="1" ref="Y94" ca="1">_xlfn.NUMBERVALUE(_xlfn.XLOOKUP(1,(OFFSET(IN_Verknüpfungen!$O$4,0,0,IN_Verknüpfungen!$A$2,1)=$A94)*(OFFSET(IN_Verknüpfungen!$P$4,0,0,IN_Verknüpfungen!$A$2,1)=Z$3),OFFSET(IN_Verknüpfungen!$J$4,0,0,IN_Verknüpfungen!$A$2,1)))-SUM($G94:X94)</f>
        <v>#N/A</v>
      </c>
      <c r="Z94" s="70" t="e" cm="1">
        <f t="array" aca="1" ref="Z94" ca="1">_xlfn.NUMBERVALUE(_xlfn.XLOOKUP(1,(OFFSET(IN_Verknüpfungen!$O$4,0,0,IN_Verknüpfungen!$A$2,1)=$A94)*(OFFSET(IN_Verknüpfungen!$P$4,0,0,IN_Verknüpfungen!$A$2,1)=Z$3+1),OFFSET(IN_Verknüpfungen!$F$4,0,0,IN_Verknüpfungen!$A$2,1)))-SUM($G94:Y94)</f>
        <v>#N/A</v>
      </c>
      <c r="AA94" s="70" t="e" cm="1">
        <f t="array" aca="1" ref="AA94" ca="1">_xlfn.NUMBERVALUE(_xlfn.XLOOKUP(1,(OFFSET(IN_Verknüpfungen!$O$4,0,0,IN_Verknüpfungen!$A$2,1)=$A94)*(OFFSET(IN_Verknüpfungen!$P$4,0,0,IN_Verknüpfungen!$A$2,1)=AB$3),OFFSET(IN_Verknüpfungen!$J$4,0,0,IN_Verknüpfungen!$A$2,1)))-SUM($G94:Z94)</f>
        <v>#N/A</v>
      </c>
      <c r="AB94" s="70" t="e" cm="1">
        <f t="array" aca="1" ref="AB94" ca="1">_xlfn.NUMBERVALUE(_xlfn.XLOOKUP(1,(OFFSET(IN_Verknüpfungen!$O$4,0,0,IN_Verknüpfungen!$A$2,1)=$A94)*(OFFSET(IN_Verknüpfungen!$P$4,0,0,IN_Verknüpfungen!$A$2,1)=AB$3+1),OFFSET(IN_Verknüpfungen!$F$4,0,0,IN_Verknüpfungen!$A$2,1)))-SUM($G94:AA94)</f>
        <v>#N/A</v>
      </c>
    </row>
    <row r="95" spans="1:28" x14ac:dyDescent="0.2">
      <c r="A95" s="56" t="str">
        <f ca="1"/>
        <v>Composition 92</v>
      </c>
      <c r="B95" s="55" t="str" cm="1">
        <f t="array" aca="1" ref="B95" ca="1">IF(A95&lt;&gt;"",_xlfn.XLOOKUP(Laufwege!A95,OFFSET(IN_Verknüpfungen!L$4,0,0,IN_Verknüpfungen!A$2,1),OFFSET(IN_Verknüpfungen!N$4,0,0,IN_Verknüpfungen!A$2,1),""),"")</f>
        <v>462-1.0</v>
      </c>
      <c r="C95" s="55">
        <f ca="1">IF(A95&lt;&gt;"",SUMIFS(OFFSET(IN_Verknüpfungen!M$4,0,0,IN_Verknüpfungen!A$2,1),OFFSET(IN_Verknüpfungen!O$4,0,0,IN_Verknüpfungen!A$2,1),Laufwege!A95),0)</f>
        <v>628934</v>
      </c>
      <c r="D95" s="55" cm="1">
        <f t="array" aca="1" ref="D95" ca="1">IF(B95&lt;&gt;"",_xlfn.XLOOKUP(B95,OFFSET(IN_Stammdaten!$A$4,0,0,IN_Stammdaten!$A$2,1),OFFSET(IN_Stammdaten!$C$4,0,0,IN_Stammdaten!$A$2,1),""),"")</f>
        <v>0</v>
      </c>
      <c r="E95" s="55" t="str">
        <f t="shared" ca="1" si="2"/>
        <v>nein</v>
      </c>
      <c r="F95" s="69" t="str">
        <f t="shared" ca="1" si="3"/>
        <v>Composition 92 (462-1.0)</v>
      </c>
      <c r="G95" s="70" cm="1">
        <f t="array" aca="1" ref="G95" ca="1">_xlfn.NUMBERVALUE(_xlfn.XLOOKUP(A95,OFFSET(IN_Verknüpfungen!$L$4,0,0,IN_Verknüpfungen!$A$2,1),OFFSET(IN_Verknüpfungen!$Q$4,0,0,IN_Verknüpfungen!$A$2,1)))</f>
        <v>0.2784375</v>
      </c>
      <c r="H95" s="70" cm="1">
        <f t="array" aca="1" ref="H95" ca="1">_xlfn.NUMBERVALUE(_xlfn.XLOOKUP(A95,OFFSET(IN_Verknüpfungen!$L$4,0,0,IN_Verknüpfungen!$A$2,1),OFFSET(IN_Verknüpfungen!$F$4,0,0,IN_Verknüpfungen!$A$2,1)))-G95</f>
        <v>0.10638888888888887</v>
      </c>
      <c r="I95" s="70" cm="1">
        <f t="array" aca="1" ref="I95" ca="1">_xlfn.NUMBERVALUE(_xlfn.XLOOKUP(1,(OFFSET(IN_Verknüpfungen!$O$4,0,0,IN_Verknüpfungen!$A$2,1)=$A95)*(OFFSET(IN_Verknüpfungen!$P$4,0,0,IN_Verknüpfungen!$A$2,1)=J$3),OFFSET(IN_Verknüpfungen!$J$4,0,0,IN_Verknüpfungen!$A$2,1)))-SUM($G95:H95)</f>
        <v>1.2060185185185202E-2</v>
      </c>
      <c r="J95" s="70" cm="1">
        <f t="array" aca="1" ref="J95" ca="1">_xlfn.NUMBERVALUE(_xlfn.XLOOKUP(1,(OFFSET(IN_Verknüpfungen!$O$4,0,0,IN_Verknüpfungen!$A$2,1)=$A95)*(OFFSET(IN_Verknüpfungen!$P$4,0,0,IN_Verknüpfungen!$A$2,1)=J$3+1),OFFSET(IN_Verknüpfungen!$F$4,0,0,IN_Verknüpfungen!$A$2,1)))-SUM($G95:I95)</f>
        <v>0.1060532407407408</v>
      </c>
      <c r="K95" s="70" cm="1">
        <f t="array" aca="1" ref="K95" ca="1">_xlfn.NUMBERVALUE(_xlfn.XLOOKUP(1,(OFFSET(IN_Verknüpfungen!$O$4,0,0,IN_Verknüpfungen!$A$2,1)=$A95)*(OFFSET(IN_Verknüpfungen!$P$4,0,0,IN_Verknüpfungen!$A$2,1)=L$3),OFFSET(IN_Verknüpfungen!$J$4,0,0,IN_Verknüpfungen!$A$2,1)))-SUM($G95:J95)</f>
        <v>1.0601851851851807E-2</v>
      </c>
      <c r="L95" s="70" cm="1">
        <f t="array" aca="1" ref="L95" ca="1">_xlfn.NUMBERVALUE(_xlfn.XLOOKUP(1,(OFFSET(IN_Verknüpfungen!$O$4,0,0,IN_Verknüpfungen!$A$2,1)=$A95)*(OFFSET(IN_Verknüpfungen!$P$4,0,0,IN_Verknüpfungen!$A$2,1)=L$3+1),OFFSET(IN_Verknüpfungen!$F$4,0,0,IN_Verknüpfungen!$A$2,1)))-SUM($G95:K95)</f>
        <v>0.10043981481481479</v>
      </c>
      <c r="M95" s="70" cm="1">
        <f t="array" aca="1" ref="M95" ca="1">_xlfn.NUMBERVALUE(_xlfn.XLOOKUP(1,(OFFSET(IN_Verknüpfungen!$O$4,0,0,IN_Verknüpfungen!$A$2,1)=$A95)*(OFFSET(IN_Verknüpfungen!$P$4,0,0,IN_Verknüpfungen!$A$2,1)=N$3),OFFSET(IN_Verknüpfungen!$J$4,0,0,IN_Verknüpfungen!$A$2,1)))-SUM($G95:L95)</f>
        <v>1.2847222222222232E-2</v>
      </c>
      <c r="N95" s="70" t="e" cm="1">
        <f t="array" aca="1" ref="N95" ca="1">_xlfn.NUMBERVALUE(_xlfn.XLOOKUP(1,(OFFSET(IN_Verknüpfungen!$O$4,0,0,IN_Verknüpfungen!$A$2,1)=$A95)*(OFFSET(IN_Verknüpfungen!$P$4,0,0,IN_Verknüpfungen!$A$2,1)=N$3+1),OFFSET(IN_Verknüpfungen!$F$4,0,0,IN_Verknüpfungen!$A$2,1)))-SUM($G95:M95)</f>
        <v>#N/A</v>
      </c>
      <c r="O95" s="70" t="e" cm="1">
        <f t="array" aca="1" ref="O95" ca="1">_xlfn.NUMBERVALUE(_xlfn.XLOOKUP(1,(OFFSET(IN_Verknüpfungen!$O$4,0,0,IN_Verknüpfungen!$A$2,1)=$A95)*(OFFSET(IN_Verknüpfungen!$P$4,0,0,IN_Verknüpfungen!$A$2,1)=P$3),OFFSET(IN_Verknüpfungen!$J$4,0,0,IN_Verknüpfungen!$A$2,1)))-SUM($G95:N95)</f>
        <v>#N/A</v>
      </c>
      <c r="P95" s="70" t="e" cm="1">
        <f t="array" aca="1" ref="P95" ca="1">_xlfn.NUMBERVALUE(_xlfn.XLOOKUP(1,(OFFSET(IN_Verknüpfungen!$O$4,0,0,IN_Verknüpfungen!$A$2,1)=$A95)*(OFFSET(IN_Verknüpfungen!$P$4,0,0,IN_Verknüpfungen!$A$2,1)=P$3+1),OFFSET(IN_Verknüpfungen!$F$4,0,0,IN_Verknüpfungen!$A$2,1)))-SUM($G95:O95)</f>
        <v>#N/A</v>
      </c>
      <c r="Q95" s="70" t="e" cm="1">
        <f t="array" aca="1" ref="Q95" ca="1">_xlfn.NUMBERVALUE(_xlfn.XLOOKUP(1,(OFFSET(IN_Verknüpfungen!$O$4,0,0,IN_Verknüpfungen!$A$2,1)=$A95)*(OFFSET(IN_Verknüpfungen!$P$4,0,0,IN_Verknüpfungen!$A$2,1)=R$3),OFFSET(IN_Verknüpfungen!$J$4,0,0,IN_Verknüpfungen!$A$2,1)))-SUM($G95:P95)</f>
        <v>#N/A</v>
      </c>
      <c r="R95" s="70" t="e" cm="1">
        <f t="array" aca="1" ref="R95" ca="1">_xlfn.NUMBERVALUE(_xlfn.XLOOKUP(1,(OFFSET(IN_Verknüpfungen!$O$4,0,0,IN_Verknüpfungen!$A$2,1)=$A95)*(OFFSET(IN_Verknüpfungen!$P$4,0,0,IN_Verknüpfungen!$A$2,1)=R$3+1),OFFSET(IN_Verknüpfungen!$F$4,0,0,IN_Verknüpfungen!$A$2,1)))-SUM($G95:Q95)</f>
        <v>#N/A</v>
      </c>
      <c r="S95" s="70" t="e" cm="1">
        <f t="array" aca="1" ref="S95" ca="1">_xlfn.NUMBERVALUE(_xlfn.XLOOKUP(1,(OFFSET(IN_Verknüpfungen!$O$4,0,0,IN_Verknüpfungen!$A$2,1)=$A95)*(OFFSET(IN_Verknüpfungen!$P$4,0,0,IN_Verknüpfungen!$A$2,1)=T$3),OFFSET(IN_Verknüpfungen!$J$4,0,0,IN_Verknüpfungen!$A$2,1)))-SUM($G95:R95)</f>
        <v>#N/A</v>
      </c>
      <c r="T95" s="70" t="e" cm="1">
        <f t="array" aca="1" ref="T95" ca="1">_xlfn.NUMBERVALUE(_xlfn.XLOOKUP(1,(OFFSET(IN_Verknüpfungen!$O$4,0,0,IN_Verknüpfungen!$A$2,1)=$A95)*(OFFSET(IN_Verknüpfungen!$P$4,0,0,IN_Verknüpfungen!$A$2,1)=T$3+1),OFFSET(IN_Verknüpfungen!$F$4,0,0,IN_Verknüpfungen!$A$2,1)))-SUM($G95:S95)</f>
        <v>#N/A</v>
      </c>
      <c r="U95" s="70" t="e" cm="1">
        <f t="array" aca="1" ref="U95" ca="1">_xlfn.NUMBERVALUE(_xlfn.XLOOKUP(1,(OFFSET(IN_Verknüpfungen!$O$4,0,0,IN_Verknüpfungen!$A$2,1)=$A95)*(OFFSET(IN_Verknüpfungen!$P$4,0,0,IN_Verknüpfungen!$A$2,1)=V$3),OFFSET(IN_Verknüpfungen!$J$4,0,0,IN_Verknüpfungen!$A$2,1)))-SUM($G95:T95)</f>
        <v>#N/A</v>
      </c>
      <c r="V95" s="70" t="e" cm="1">
        <f t="array" aca="1" ref="V95" ca="1">_xlfn.NUMBERVALUE(_xlfn.XLOOKUP(1,(OFFSET(IN_Verknüpfungen!$O$4,0,0,IN_Verknüpfungen!$A$2,1)=$A95)*(OFFSET(IN_Verknüpfungen!$P$4,0,0,IN_Verknüpfungen!$A$2,1)=V$3+1),OFFSET(IN_Verknüpfungen!$F$4,0,0,IN_Verknüpfungen!$A$2,1)))-SUM($G95:U95)</f>
        <v>#N/A</v>
      </c>
      <c r="W95" s="70" t="e" cm="1">
        <f t="array" aca="1" ref="W95" ca="1">_xlfn.NUMBERVALUE(_xlfn.XLOOKUP(1,(OFFSET(IN_Verknüpfungen!$O$4,0,0,IN_Verknüpfungen!$A$2,1)=$A95)*(OFFSET(IN_Verknüpfungen!$P$4,0,0,IN_Verknüpfungen!$A$2,1)=X$3),OFFSET(IN_Verknüpfungen!$J$4,0,0,IN_Verknüpfungen!$A$2,1)))-SUM($G95:V95)</f>
        <v>#N/A</v>
      </c>
      <c r="X95" s="70" t="e" cm="1">
        <f t="array" aca="1" ref="X95" ca="1">_xlfn.NUMBERVALUE(_xlfn.XLOOKUP(1,(OFFSET(IN_Verknüpfungen!$O$4,0,0,IN_Verknüpfungen!$A$2,1)=$A95)*(OFFSET(IN_Verknüpfungen!$P$4,0,0,IN_Verknüpfungen!$A$2,1)=X$3+1),OFFSET(IN_Verknüpfungen!$F$4,0,0,IN_Verknüpfungen!$A$2,1)))-SUM($G95:W95)</f>
        <v>#N/A</v>
      </c>
      <c r="Y95" s="70" t="e" cm="1">
        <f t="array" aca="1" ref="Y95" ca="1">_xlfn.NUMBERVALUE(_xlfn.XLOOKUP(1,(OFFSET(IN_Verknüpfungen!$O$4,0,0,IN_Verknüpfungen!$A$2,1)=$A95)*(OFFSET(IN_Verknüpfungen!$P$4,0,0,IN_Verknüpfungen!$A$2,1)=Z$3),OFFSET(IN_Verknüpfungen!$J$4,0,0,IN_Verknüpfungen!$A$2,1)))-SUM($G95:X95)</f>
        <v>#N/A</v>
      </c>
      <c r="Z95" s="70" t="e" cm="1">
        <f t="array" aca="1" ref="Z95" ca="1">_xlfn.NUMBERVALUE(_xlfn.XLOOKUP(1,(OFFSET(IN_Verknüpfungen!$O$4,0,0,IN_Verknüpfungen!$A$2,1)=$A95)*(OFFSET(IN_Verknüpfungen!$P$4,0,0,IN_Verknüpfungen!$A$2,1)=Z$3+1),OFFSET(IN_Verknüpfungen!$F$4,0,0,IN_Verknüpfungen!$A$2,1)))-SUM($G95:Y95)</f>
        <v>#N/A</v>
      </c>
      <c r="AA95" s="70" t="e" cm="1">
        <f t="array" aca="1" ref="AA95" ca="1">_xlfn.NUMBERVALUE(_xlfn.XLOOKUP(1,(OFFSET(IN_Verknüpfungen!$O$4,0,0,IN_Verknüpfungen!$A$2,1)=$A95)*(OFFSET(IN_Verknüpfungen!$P$4,0,0,IN_Verknüpfungen!$A$2,1)=AB$3),OFFSET(IN_Verknüpfungen!$J$4,0,0,IN_Verknüpfungen!$A$2,1)))-SUM($G95:Z95)</f>
        <v>#N/A</v>
      </c>
      <c r="AB95" s="70" t="e" cm="1">
        <f t="array" aca="1" ref="AB95" ca="1">_xlfn.NUMBERVALUE(_xlfn.XLOOKUP(1,(OFFSET(IN_Verknüpfungen!$O$4,0,0,IN_Verknüpfungen!$A$2,1)=$A95)*(OFFSET(IN_Verknüpfungen!$P$4,0,0,IN_Verknüpfungen!$A$2,1)=AB$3+1),OFFSET(IN_Verknüpfungen!$F$4,0,0,IN_Verknüpfungen!$A$2,1)))-SUM($G95:AA95)</f>
        <v>#N/A</v>
      </c>
    </row>
    <row r="96" spans="1:28" x14ac:dyDescent="0.2">
      <c r="A96" s="56" t="str">
        <f ca="1"/>
        <v>Composition 93</v>
      </c>
      <c r="B96" s="55" t="str" cm="1">
        <f t="array" aca="1" ref="B96" ca="1">IF(A96&lt;&gt;"",_xlfn.XLOOKUP(Laufwege!A96,OFFSET(IN_Verknüpfungen!L$4,0,0,IN_Verknüpfungen!A$2,1),OFFSET(IN_Verknüpfungen!N$4,0,0,IN_Verknüpfungen!A$2,1),""),"")</f>
        <v>462-1.0</v>
      </c>
      <c r="C96" s="55">
        <f ca="1">IF(A96&lt;&gt;"",SUMIFS(OFFSET(IN_Verknüpfungen!M$4,0,0,IN_Verknüpfungen!A$2,1),OFFSET(IN_Verknüpfungen!O$4,0,0,IN_Verknüpfungen!A$2,1),Laufwege!A96),0)</f>
        <v>616124</v>
      </c>
      <c r="D96" s="55" cm="1">
        <f t="array" aca="1" ref="D96" ca="1">IF(B96&lt;&gt;"",_xlfn.XLOOKUP(B96,OFFSET(IN_Stammdaten!$A$4,0,0,IN_Stammdaten!$A$2,1),OFFSET(IN_Stammdaten!$C$4,0,0,IN_Stammdaten!$A$2,1),""),"")</f>
        <v>0</v>
      </c>
      <c r="E96" s="55" t="str">
        <f t="shared" ca="1" si="2"/>
        <v>nein</v>
      </c>
      <c r="F96" s="69" t="str">
        <f t="shared" ca="1" si="3"/>
        <v>Composition 93 (462-1.0)</v>
      </c>
      <c r="G96" s="70" cm="1">
        <f t="array" aca="1" ref="G96" ca="1">_xlfn.NUMBERVALUE(_xlfn.XLOOKUP(A96,OFFSET(IN_Verknüpfungen!$L$4,0,0,IN_Verknüpfungen!$A$2,1),OFFSET(IN_Verknüpfungen!$Q$4,0,0,IN_Verknüpfungen!$A$2,1)))</f>
        <v>0.28362268518518519</v>
      </c>
      <c r="H96" s="70" cm="1">
        <f t="array" aca="1" ref="H96" ca="1">_xlfn.NUMBERVALUE(_xlfn.XLOOKUP(A96,OFFSET(IN_Verknüpfungen!$L$4,0,0,IN_Verknüpfungen!$A$2,1),OFFSET(IN_Verknüpfungen!$F$4,0,0,IN_Verknüpfungen!$A$2,1)))-G96</f>
        <v>0.10221064814814812</v>
      </c>
      <c r="I96" s="70" cm="1">
        <f t="array" aca="1" ref="I96" ca="1">_xlfn.NUMBERVALUE(_xlfn.XLOOKUP(1,(OFFSET(IN_Verknüpfungen!$O$4,0,0,IN_Verknüpfungen!$A$2,1)=$A96)*(OFFSET(IN_Verknüpfungen!$P$4,0,0,IN_Verknüpfungen!$A$2,1)=J$3),OFFSET(IN_Verknüpfungen!$J$4,0,0,IN_Verknüpfungen!$A$2,1)))-SUM($G96:H96)</f>
        <v>4.4791666666667007E-3</v>
      </c>
      <c r="J96" s="70" cm="1">
        <f t="array" aca="1" ref="J96" ca="1">_xlfn.NUMBERVALUE(_xlfn.XLOOKUP(1,(OFFSET(IN_Verknüpfungen!$O$4,0,0,IN_Verknüpfungen!$A$2,1)=$A96)*(OFFSET(IN_Verknüpfungen!$P$4,0,0,IN_Verknüpfungen!$A$2,1)=J$3+1),OFFSET(IN_Verknüpfungen!$F$4,0,0,IN_Verknüpfungen!$A$2,1)))-SUM($G96:I96)</f>
        <v>8.7951388888888871E-2</v>
      </c>
      <c r="K96" s="70" cm="1">
        <f t="array" aca="1" ref="K96" ca="1">_xlfn.NUMBERVALUE(_xlfn.XLOOKUP(1,(OFFSET(IN_Verknüpfungen!$O$4,0,0,IN_Verknüpfungen!$A$2,1)=$A96)*(OFFSET(IN_Verknüpfungen!$P$4,0,0,IN_Verknüpfungen!$A$2,1)=L$3),OFFSET(IN_Verknüpfungen!$J$4,0,0,IN_Verknüpfungen!$A$2,1)))-SUM($G96:J96)</f>
        <v>2.7395833333333341E-2</v>
      </c>
      <c r="L96" s="70" cm="1">
        <f t="array" aca="1" ref="L96" ca="1">_xlfn.NUMBERVALUE(_xlfn.XLOOKUP(1,(OFFSET(IN_Verknüpfungen!$O$4,0,0,IN_Verknüpfungen!$A$2,1)=$A96)*(OFFSET(IN_Verknüpfungen!$P$4,0,0,IN_Verknüpfungen!$A$2,1)=L$3+1),OFFSET(IN_Verknüpfungen!$F$4,0,0,IN_Verknüpfungen!$A$2,1)))-SUM($G96:K96)</f>
        <v>8.8506944444444402E-2</v>
      </c>
      <c r="M96" s="70" cm="1">
        <f t="array" aca="1" ref="M96" ca="1">_xlfn.NUMBERVALUE(_xlfn.XLOOKUP(1,(OFFSET(IN_Verknüpfungen!$O$4,0,0,IN_Verknüpfungen!$A$2,1)=$A96)*(OFFSET(IN_Verknüpfungen!$P$4,0,0,IN_Verknüpfungen!$A$2,1)=N$3),OFFSET(IN_Verknüpfungen!$J$4,0,0,IN_Verknüpfungen!$A$2,1)))-SUM($G96:L96)</f>
        <v>4.4791666666667007E-3</v>
      </c>
      <c r="N96" s="70" t="e" cm="1">
        <f t="array" aca="1" ref="N96" ca="1">_xlfn.NUMBERVALUE(_xlfn.XLOOKUP(1,(OFFSET(IN_Verknüpfungen!$O$4,0,0,IN_Verknüpfungen!$A$2,1)=$A96)*(OFFSET(IN_Verknüpfungen!$P$4,0,0,IN_Verknüpfungen!$A$2,1)=N$3+1),OFFSET(IN_Verknüpfungen!$F$4,0,0,IN_Verknüpfungen!$A$2,1)))-SUM($G96:M96)</f>
        <v>#N/A</v>
      </c>
      <c r="O96" s="70" t="e" cm="1">
        <f t="array" aca="1" ref="O96" ca="1">_xlfn.NUMBERVALUE(_xlfn.XLOOKUP(1,(OFFSET(IN_Verknüpfungen!$O$4,0,0,IN_Verknüpfungen!$A$2,1)=$A96)*(OFFSET(IN_Verknüpfungen!$P$4,0,0,IN_Verknüpfungen!$A$2,1)=P$3),OFFSET(IN_Verknüpfungen!$J$4,0,0,IN_Verknüpfungen!$A$2,1)))-SUM($G96:N96)</f>
        <v>#N/A</v>
      </c>
      <c r="P96" s="70" t="e" cm="1">
        <f t="array" aca="1" ref="P96" ca="1">_xlfn.NUMBERVALUE(_xlfn.XLOOKUP(1,(OFFSET(IN_Verknüpfungen!$O$4,0,0,IN_Verknüpfungen!$A$2,1)=$A96)*(OFFSET(IN_Verknüpfungen!$P$4,0,0,IN_Verknüpfungen!$A$2,1)=P$3+1),OFFSET(IN_Verknüpfungen!$F$4,0,0,IN_Verknüpfungen!$A$2,1)))-SUM($G96:O96)</f>
        <v>#N/A</v>
      </c>
      <c r="Q96" s="70" t="e" cm="1">
        <f t="array" aca="1" ref="Q96" ca="1">_xlfn.NUMBERVALUE(_xlfn.XLOOKUP(1,(OFFSET(IN_Verknüpfungen!$O$4,0,0,IN_Verknüpfungen!$A$2,1)=$A96)*(OFFSET(IN_Verknüpfungen!$P$4,0,0,IN_Verknüpfungen!$A$2,1)=R$3),OFFSET(IN_Verknüpfungen!$J$4,0,0,IN_Verknüpfungen!$A$2,1)))-SUM($G96:P96)</f>
        <v>#N/A</v>
      </c>
      <c r="R96" s="70" t="e" cm="1">
        <f t="array" aca="1" ref="R96" ca="1">_xlfn.NUMBERVALUE(_xlfn.XLOOKUP(1,(OFFSET(IN_Verknüpfungen!$O$4,0,0,IN_Verknüpfungen!$A$2,1)=$A96)*(OFFSET(IN_Verknüpfungen!$P$4,0,0,IN_Verknüpfungen!$A$2,1)=R$3+1),OFFSET(IN_Verknüpfungen!$F$4,0,0,IN_Verknüpfungen!$A$2,1)))-SUM($G96:Q96)</f>
        <v>#N/A</v>
      </c>
      <c r="S96" s="70" t="e" cm="1">
        <f t="array" aca="1" ref="S96" ca="1">_xlfn.NUMBERVALUE(_xlfn.XLOOKUP(1,(OFFSET(IN_Verknüpfungen!$O$4,0,0,IN_Verknüpfungen!$A$2,1)=$A96)*(OFFSET(IN_Verknüpfungen!$P$4,0,0,IN_Verknüpfungen!$A$2,1)=T$3),OFFSET(IN_Verknüpfungen!$J$4,0,0,IN_Verknüpfungen!$A$2,1)))-SUM($G96:R96)</f>
        <v>#N/A</v>
      </c>
      <c r="T96" s="70" t="e" cm="1">
        <f t="array" aca="1" ref="T96" ca="1">_xlfn.NUMBERVALUE(_xlfn.XLOOKUP(1,(OFFSET(IN_Verknüpfungen!$O$4,0,0,IN_Verknüpfungen!$A$2,1)=$A96)*(OFFSET(IN_Verknüpfungen!$P$4,0,0,IN_Verknüpfungen!$A$2,1)=T$3+1),OFFSET(IN_Verknüpfungen!$F$4,0,0,IN_Verknüpfungen!$A$2,1)))-SUM($G96:S96)</f>
        <v>#N/A</v>
      </c>
      <c r="U96" s="70" t="e" cm="1">
        <f t="array" aca="1" ref="U96" ca="1">_xlfn.NUMBERVALUE(_xlfn.XLOOKUP(1,(OFFSET(IN_Verknüpfungen!$O$4,0,0,IN_Verknüpfungen!$A$2,1)=$A96)*(OFFSET(IN_Verknüpfungen!$P$4,0,0,IN_Verknüpfungen!$A$2,1)=V$3),OFFSET(IN_Verknüpfungen!$J$4,0,0,IN_Verknüpfungen!$A$2,1)))-SUM($G96:T96)</f>
        <v>#N/A</v>
      </c>
      <c r="V96" s="70" t="e" cm="1">
        <f t="array" aca="1" ref="V96" ca="1">_xlfn.NUMBERVALUE(_xlfn.XLOOKUP(1,(OFFSET(IN_Verknüpfungen!$O$4,0,0,IN_Verknüpfungen!$A$2,1)=$A96)*(OFFSET(IN_Verknüpfungen!$P$4,0,0,IN_Verknüpfungen!$A$2,1)=V$3+1),OFFSET(IN_Verknüpfungen!$F$4,0,0,IN_Verknüpfungen!$A$2,1)))-SUM($G96:U96)</f>
        <v>#N/A</v>
      </c>
      <c r="W96" s="70" t="e" cm="1">
        <f t="array" aca="1" ref="W96" ca="1">_xlfn.NUMBERVALUE(_xlfn.XLOOKUP(1,(OFFSET(IN_Verknüpfungen!$O$4,0,0,IN_Verknüpfungen!$A$2,1)=$A96)*(OFFSET(IN_Verknüpfungen!$P$4,0,0,IN_Verknüpfungen!$A$2,1)=X$3),OFFSET(IN_Verknüpfungen!$J$4,0,0,IN_Verknüpfungen!$A$2,1)))-SUM($G96:V96)</f>
        <v>#N/A</v>
      </c>
      <c r="X96" s="70" t="e" cm="1">
        <f t="array" aca="1" ref="X96" ca="1">_xlfn.NUMBERVALUE(_xlfn.XLOOKUP(1,(OFFSET(IN_Verknüpfungen!$O$4,0,0,IN_Verknüpfungen!$A$2,1)=$A96)*(OFFSET(IN_Verknüpfungen!$P$4,0,0,IN_Verknüpfungen!$A$2,1)=X$3+1),OFFSET(IN_Verknüpfungen!$F$4,0,0,IN_Verknüpfungen!$A$2,1)))-SUM($G96:W96)</f>
        <v>#N/A</v>
      </c>
      <c r="Y96" s="70" t="e" cm="1">
        <f t="array" aca="1" ref="Y96" ca="1">_xlfn.NUMBERVALUE(_xlfn.XLOOKUP(1,(OFFSET(IN_Verknüpfungen!$O$4,0,0,IN_Verknüpfungen!$A$2,1)=$A96)*(OFFSET(IN_Verknüpfungen!$P$4,0,0,IN_Verknüpfungen!$A$2,1)=Z$3),OFFSET(IN_Verknüpfungen!$J$4,0,0,IN_Verknüpfungen!$A$2,1)))-SUM($G96:X96)</f>
        <v>#N/A</v>
      </c>
      <c r="Z96" s="70" t="e" cm="1">
        <f t="array" aca="1" ref="Z96" ca="1">_xlfn.NUMBERVALUE(_xlfn.XLOOKUP(1,(OFFSET(IN_Verknüpfungen!$O$4,0,0,IN_Verknüpfungen!$A$2,1)=$A96)*(OFFSET(IN_Verknüpfungen!$P$4,0,0,IN_Verknüpfungen!$A$2,1)=Z$3+1),OFFSET(IN_Verknüpfungen!$F$4,0,0,IN_Verknüpfungen!$A$2,1)))-SUM($G96:Y96)</f>
        <v>#N/A</v>
      </c>
      <c r="AA96" s="70" t="e" cm="1">
        <f t="array" aca="1" ref="AA96" ca="1">_xlfn.NUMBERVALUE(_xlfn.XLOOKUP(1,(OFFSET(IN_Verknüpfungen!$O$4,0,0,IN_Verknüpfungen!$A$2,1)=$A96)*(OFFSET(IN_Verknüpfungen!$P$4,0,0,IN_Verknüpfungen!$A$2,1)=AB$3),OFFSET(IN_Verknüpfungen!$J$4,0,0,IN_Verknüpfungen!$A$2,1)))-SUM($G96:Z96)</f>
        <v>#N/A</v>
      </c>
      <c r="AB96" s="70" t="e" cm="1">
        <f t="array" aca="1" ref="AB96" ca="1">_xlfn.NUMBERVALUE(_xlfn.XLOOKUP(1,(OFFSET(IN_Verknüpfungen!$O$4,0,0,IN_Verknüpfungen!$A$2,1)=$A96)*(OFFSET(IN_Verknüpfungen!$P$4,0,0,IN_Verknüpfungen!$A$2,1)=AB$3+1),OFFSET(IN_Verknüpfungen!$F$4,0,0,IN_Verknüpfungen!$A$2,1)))-SUM($G96:AA96)</f>
        <v>#N/A</v>
      </c>
    </row>
    <row r="97" spans="1:28" x14ac:dyDescent="0.2">
      <c r="A97" s="56" t="str">
        <f ca="1"/>
        <v>Composition 94</v>
      </c>
      <c r="B97" s="55" t="str" cm="1">
        <f t="array" aca="1" ref="B97" ca="1">IF(A97&lt;&gt;"",_xlfn.XLOOKUP(Laufwege!A97,OFFSET(IN_Verknüpfungen!L$4,0,0,IN_Verknüpfungen!A$2,1),OFFSET(IN_Verknüpfungen!N$4,0,0,IN_Verknüpfungen!A$2,1),""),"")</f>
        <v>462-1.0</v>
      </c>
      <c r="C97" s="55">
        <f ca="1">IF(A97&lt;&gt;"",SUMIFS(OFFSET(IN_Verknüpfungen!M$4,0,0,IN_Verknüpfungen!A$2,1),OFFSET(IN_Verknüpfungen!O$4,0,0,IN_Verknüpfungen!A$2,1),Laufwege!A97),0)</f>
        <v>638966</v>
      </c>
      <c r="D97" s="55" cm="1">
        <f t="array" aca="1" ref="D97" ca="1">IF(B97&lt;&gt;"",_xlfn.XLOOKUP(B97,OFFSET(IN_Stammdaten!$A$4,0,0,IN_Stammdaten!$A$2,1),OFFSET(IN_Stammdaten!$C$4,0,0,IN_Stammdaten!$A$2,1),""),"")</f>
        <v>0</v>
      </c>
      <c r="E97" s="55" t="str">
        <f t="shared" ca="1" si="2"/>
        <v>nein</v>
      </c>
      <c r="F97" s="69" t="str">
        <f t="shared" ca="1" si="3"/>
        <v>Composition 94 (462-1.0)</v>
      </c>
      <c r="G97" s="70" cm="1">
        <f t="array" aca="1" ref="G97" ca="1">_xlfn.NUMBERVALUE(_xlfn.XLOOKUP(A97,OFFSET(IN_Verknüpfungen!$L$4,0,0,IN_Verknüpfungen!$A$2,1),OFFSET(IN_Verknüpfungen!$Q$4,0,0,IN_Verknüpfungen!$A$2,1)))</f>
        <v>0.27952546296296299</v>
      </c>
      <c r="H97" s="70" cm="1">
        <f t="array" aca="1" ref="H97" ca="1">_xlfn.NUMBERVALUE(_xlfn.XLOOKUP(A97,OFFSET(IN_Verknüpfungen!$L$4,0,0,IN_Verknüpfungen!$A$2,1),OFFSET(IN_Verknüpfungen!$F$4,0,0,IN_Verknüpfungen!$A$2,1)))-G97</f>
        <v>0.1083912037037037</v>
      </c>
      <c r="I97" s="70" cm="1">
        <f t="array" aca="1" ref="I97" ca="1">_xlfn.NUMBERVALUE(_xlfn.XLOOKUP(1,(OFFSET(IN_Verknüpfungen!$O$4,0,0,IN_Verknüpfungen!$A$2,1)=$A97)*(OFFSET(IN_Verknüpfungen!$P$4,0,0,IN_Verknüpfungen!$A$2,1)=J$3),OFFSET(IN_Verknüpfungen!$J$4,0,0,IN_Verknüpfungen!$A$2,1)))-SUM($G97:H97)</f>
        <v>6.9907407407407418E-3</v>
      </c>
      <c r="J97" s="70" cm="1">
        <f t="array" aca="1" ref="J97" ca="1">_xlfn.NUMBERVALUE(_xlfn.XLOOKUP(1,(OFFSET(IN_Verknüpfungen!$O$4,0,0,IN_Verknüpfungen!$A$2,1)=$A97)*(OFFSET(IN_Verknüpfungen!$P$4,0,0,IN_Verknüpfungen!$A$2,1)=J$3+1),OFFSET(IN_Verknüpfungen!$F$4,0,0,IN_Verknüpfungen!$A$2,1)))-SUM($G97:I97)</f>
        <v>0.10888888888888887</v>
      </c>
      <c r="K97" s="70" cm="1">
        <f t="array" aca="1" ref="K97" ca="1">_xlfn.NUMBERVALUE(_xlfn.XLOOKUP(1,(OFFSET(IN_Verknüpfungen!$O$4,0,0,IN_Verknüpfungen!$A$2,1)=$A97)*(OFFSET(IN_Verknüpfungen!$P$4,0,0,IN_Verknüpfungen!$A$2,1)=L$3),OFFSET(IN_Verknüpfungen!$J$4,0,0,IN_Verknüpfungen!$A$2,1)))-SUM($G97:J97)</f>
        <v>1.0451388888888857E-2</v>
      </c>
      <c r="L97" s="70" cm="1">
        <f t="array" aca="1" ref="L97" ca="1">_xlfn.NUMBERVALUE(_xlfn.XLOOKUP(1,(OFFSET(IN_Verknüpfungen!$O$4,0,0,IN_Verknüpfungen!$A$2,1)=$A97)*(OFFSET(IN_Verknüpfungen!$P$4,0,0,IN_Verknüpfungen!$A$2,1)=L$3+1),OFFSET(IN_Verknüpfungen!$F$4,0,0,IN_Verknüpfungen!$A$2,1)))-SUM($G97:K97)</f>
        <v>0.10250000000000004</v>
      </c>
      <c r="M97" s="70" cm="1">
        <f t="array" aca="1" ref="M97" ca="1">_xlfn.NUMBERVALUE(_xlfn.XLOOKUP(1,(OFFSET(IN_Verknüpfungen!$O$4,0,0,IN_Verknüpfungen!$A$2,1)=$A97)*(OFFSET(IN_Verknüpfungen!$P$4,0,0,IN_Verknüpfungen!$A$2,1)=N$3),OFFSET(IN_Verknüpfungen!$J$4,0,0,IN_Verknüpfungen!$A$2,1)))-SUM($G97:L97)</f>
        <v>7.0023148148148362E-3</v>
      </c>
      <c r="N97" s="70" t="e" cm="1">
        <f t="array" aca="1" ref="N97" ca="1">_xlfn.NUMBERVALUE(_xlfn.XLOOKUP(1,(OFFSET(IN_Verknüpfungen!$O$4,0,0,IN_Verknüpfungen!$A$2,1)=$A97)*(OFFSET(IN_Verknüpfungen!$P$4,0,0,IN_Verknüpfungen!$A$2,1)=N$3+1),OFFSET(IN_Verknüpfungen!$F$4,0,0,IN_Verknüpfungen!$A$2,1)))-SUM($G97:M97)</f>
        <v>#N/A</v>
      </c>
      <c r="O97" s="70" t="e" cm="1">
        <f t="array" aca="1" ref="O97" ca="1">_xlfn.NUMBERVALUE(_xlfn.XLOOKUP(1,(OFFSET(IN_Verknüpfungen!$O$4,0,0,IN_Verknüpfungen!$A$2,1)=$A97)*(OFFSET(IN_Verknüpfungen!$P$4,0,0,IN_Verknüpfungen!$A$2,1)=P$3),OFFSET(IN_Verknüpfungen!$J$4,0,0,IN_Verknüpfungen!$A$2,1)))-SUM($G97:N97)</f>
        <v>#N/A</v>
      </c>
      <c r="P97" s="70" t="e" cm="1">
        <f t="array" aca="1" ref="P97" ca="1">_xlfn.NUMBERVALUE(_xlfn.XLOOKUP(1,(OFFSET(IN_Verknüpfungen!$O$4,0,0,IN_Verknüpfungen!$A$2,1)=$A97)*(OFFSET(IN_Verknüpfungen!$P$4,0,0,IN_Verknüpfungen!$A$2,1)=P$3+1),OFFSET(IN_Verknüpfungen!$F$4,0,0,IN_Verknüpfungen!$A$2,1)))-SUM($G97:O97)</f>
        <v>#N/A</v>
      </c>
      <c r="Q97" s="70" t="e" cm="1">
        <f t="array" aca="1" ref="Q97" ca="1">_xlfn.NUMBERVALUE(_xlfn.XLOOKUP(1,(OFFSET(IN_Verknüpfungen!$O$4,0,0,IN_Verknüpfungen!$A$2,1)=$A97)*(OFFSET(IN_Verknüpfungen!$P$4,0,0,IN_Verknüpfungen!$A$2,1)=R$3),OFFSET(IN_Verknüpfungen!$J$4,0,0,IN_Verknüpfungen!$A$2,1)))-SUM($G97:P97)</f>
        <v>#N/A</v>
      </c>
      <c r="R97" s="70" t="e" cm="1">
        <f t="array" aca="1" ref="R97" ca="1">_xlfn.NUMBERVALUE(_xlfn.XLOOKUP(1,(OFFSET(IN_Verknüpfungen!$O$4,0,0,IN_Verknüpfungen!$A$2,1)=$A97)*(OFFSET(IN_Verknüpfungen!$P$4,0,0,IN_Verknüpfungen!$A$2,1)=R$3+1),OFFSET(IN_Verknüpfungen!$F$4,0,0,IN_Verknüpfungen!$A$2,1)))-SUM($G97:Q97)</f>
        <v>#N/A</v>
      </c>
      <c r="S97" s="70" t="e" cm="1">
        <f t="array" aca="1" ref="S97" ca="1">_xlfn.NUMBERVALUE(_xlfn.XLOOKUP(1,(OFFSET(IN_Verknüpfungen!$O$4,0,0,IN_Verknüpfungen!$A$2,1)=$A97)*(OFFSET(IN_Verknüpfungen!$P$4,0,0,IN_Verknüpfungen!$A$2,1)=T$3),OFFSET(IN_Verknüpfungen!$J$4,0,0,IN_Verknüpfungen!$A$2,1)))-SUM($G97:R97)</f>
        <v>#N/A</v>
      </c>
      <c r="T97" s="70" t="e" cm="1">
        <f t="array" aca="1" ref="T97" ca="1">_xlfn.NUMBERVALUE(_xlfn.XLOOKUP(1,(OFFSET(IN_Verknüpfungen!$O$4,0,0,IN_Verknüpfungen!$A$2,1)=$A97)*(OFFSET(IN_Verknüpfungen!$P$4,0,0,IN_Verknüpfungen!$A$2,1)=T$3+1),OFFSET(IN_Verknüpfungen!$F$4,0,0,IN_Verknüpfungen!$A$2,1)))-SUM($G97:S97)</f>
        <v>#N/A</v>
      </c>
      <c r="U97" s="70" t="e" cm="1">
        <f t="array" aca="1" ref="U97" ca="1">_xlfn.NUMBERVALUE(_xlfn.XLOOKUP(1,(OFFSET(IN_Verknüpfungen!$O$4,0,0,IN_Verknüpfungen!$A$2,1)=$A97)*(OFFSET(IN_Verknüpfungen!$P$4,0,0,IN_Verknüpfungen!$A$2,1)=V$3),OFFSET(IN_Verknüpfungen!$J$4,0,0,IN_Verknüpfungen!$A$2,1)))-SUM($G97:T97)</f>
        <v>#N/A</v>
      </c>
      <c r="V97" s="70" t="e" cm="1">
        <f t="array" aca="1" ref="V97" ca="1">_xlfn.NUMBERVALUE(_xlfn.XLOOKUP(1,(OFFSET(IN_Verknüpfungen!$O$4,0,0,IN_Verknüpfungen!$A$2,1)=$A97)*(OFFSET(IN_Verknüpfungen!$P$4,0,0,IN_Verknüpfungen!$A$2,1)=V$3+1),OFFSET(IN_Verknüpfungen!$F$4,0,0,IN_Verknüpfungen!$A$2,1)))-SUM($G97:U97)</f>
        <v>#N/A</v>
      </c>
      <c r="W97" s="70" t="e" cm="1">
        <f t="array" aca="1" ref="W97" ca="1">_xlfn.NUMBERVALUE(_xlfn.XLOOKUP(1,(OFFSET(IN_Verknüpfungen!$O$4,0,0,IN_Verknüpfungen!$A$2,1)=$A97)*(OFFSET(IN_Verknüpfungen!$P$4,0,0,IN_Verknüpfungen!$A$2,1)=X$3),OFFSET(IN_Verknüpfungen!$J$4,0,0,IN_Verknüpfungen!$A$2,1)))-SUM($G97:V97)</f>
        <v>#N/A</v>
      </c>
      <c r="X97" s="70" t="e" cm="1">
        <f t="array" aca="1" ref="X97" ca="1">_xlfn.NUMBERVALUE(_xlfn.XLOOKUP(1,(OFFSET(IN_Verknüpfungen!$O$4,0,0,IN_Verknüpfungen!$A$2,1)=$A97)*(OFFSET(IN_Verknüpfungen!$P$4,0,0,IN_Verknüpfungen!$A$2,1)=X$3+1),OFFSET(IN_Verknüpfungen!$F$4,0,0,IN_Verknüpfungen!$A$2,1)))-SUM($G97:W97)</f>
        <v>#N/A</v>
      </c>
      <c r="Y97" s="70" t="e" cm="1">
        <f t="array" aca="1" ref="Y97" ca="1">_xlfn.NUMBERVALUE(_xlfn.XLOOKUP(1,(OFFSET(IN_Verknüpfungen!$O$4,0,0,IN_Verknüpfungen!$A$2,1)=$A97)*(OFFSET(IN_Verknüpfungen!$P$4,0,0,IN_Verknüpfungen!$A$2,1)=Z$3),OFFSET(IN_Verknüpfungen!$J$4,0,0,IN_Verknüpfungen!$A$2,1)))-SUM($G97:X97)</f>
        <v>#N/A</v>
      </c>
      <c r="Z97" s="70" t="e" cm="1">
        <f t="array" aca="1" ref="Z97" ca="1">_xlfn.NUMBERVALUE(_xlfn.XLOOKUP(1,(OFFSET(IN_Verknüpfungen!$O$4,0,0,IN_Verknüpfungen!$A$2,1)=$A97)*(OFFSET(IN_Verknüpfungen!$P$4,0,0,IN_Verknüpfungen!$A$2,1)=Z$3+1),OFFSET(IN_Verknüpfungen!$F$4,0,0,IN_Verknüpfungen!$A$2,1)))-SUM($G97:Y97)</f>
        <v>#N/A</v>
      </c>
      <c r="AA97" s="70" t="e" cm="1">
        <f t="array" aca="1" ref="AA97" ca="1">_xlfn.NUMBERVALUE(_xlfn.XLOOKUP(1,(OFFSET(IN_Verknüpfungen!$O$4,0,0,IN_Verknüpfungen!$A$2,1)=$A97)*(OFFSET(IN_Verknüpfungen!$P$4,0,0,IN_Verknüpfungen!$A$2,1)=AB$3),OFFSET(IN_Verknüpfungen!$J$4,0,0,IN_Verknüpfungen!$A$2,1)))-SUM($G97:Z97)</f>
        <v>#N/A</v>
      </c>
      <c r="AB97" s="70" t="e" cm="1">
        <f t="array" aca="1" ref="AB97" ca="1">_xlfn.NUMBERVALUE(_xlfn.XLOOKUP(1,(OFFSET(IN_Verknüpfungen!$O$4,0,0,IN_Verknüpfungen!$A$2,1)=$A97)*(OFFSET(IN_Verknüpfungen!$P$4,0,0,IN_Verknüpfungen!$A$2,1)=AB$3+1),OFFSET(IN_Verknüpfungen!$F$4,0,0,IN_Verknüpfungen!$A$2,1)))-SUM($G97:AA97)</f>
        <v>#N/A</v>
      </c>
    </row>
    <row r="98" spans="1:28" x14ac:dyDescent="0.2">
      <c r="A98" s="56" t="str">
        <f ca="1"/>
        <v>Composition 95</v>
      </c>
      <c r="B98" s="55" t="str" cm="1">
        <f t="array" aca="1" ref="B98" ca="1">IF(A98&lt;&gt;"",_xlfn.XLOOKUP(Laufwege!A98,OFFSET(IN_Verknüpfungen!L$4,0,0,IN_Verknüpfungen!A$2,1),OFFSET(IN_Verknüpfungen!N$4,0,0,IN_Verknüpfungen!A$2,1),""),"")</f>
        <v>462-1.0</v>
      </c>
      <c r="C98" s="55">
        <f ca="1">IF(A98&lt;&gt;"",SUMIFS(OFFSET(IN_Verknüpfungen!M$4,0,0,IN_Verknüpfungen!A$2,1),OFFSET(IN_Verknüpfungen!O$4,0,0,IN_Verknüpfungen!A$2,1),Laufwege!A98),0)</f>
        <v>540627</v>
      </c>
      <c r="D98" s="55" cm="1">
        <f t="array" aca="1" ref="D98" ca="1">IF(B98&lt;&gt;"",_xlfn.XLOOKUP(B98,OFFSET(IN_Stammdaten!$A$4,0,0,IN_Stammdaten!$A$2,1),OFFSET(IN_Stammdaten!$C$4,0,0,IN_Stammdaten!$A$2,1),""),"")</f>
        <v>0</v>
      </c>
      <c r="E98" s="55" t="str">
        <f t="shared" ca="1" si="2"/>
        <v>nein</v>
      </c>
      <c r="F98" s="69" t="str">
        <f t="shared" ca="1" si="3"/>
        <v>Composition 95 (462-1.0)</v>
      </c>
      <c r="G98" s="70" cm="1">
        <f t="array" aca="1" ref="G98" ca="1">_xlfn.NUMBERVALUE(_xlfn.XLOOKUP(A98,OFFSET(IN_Verknüpfungen!$L$4,0,0,IN_Verknüpfungen!$A$2,1),OFFSET(IN_Verknüpfungen!$Q$4,0,0,IN_Verknüpfungen!$A$2,1)))</f>
        <v>0.28585648148148146</v>
      </c>
      <c r="H98" s="70" cm="1">
        <f t="array" aca="1" ref="H98" ca="1">_xlfn.NUMBERVALUE(_xlfn.XLOOKUP(A98,OFFSET(IN_Verknüpfungen!$L$4,0,0,IN_Verknüpfungen!$A$2,1),OFFSET(IN_Verknüpfungen!$F$4,0,0,IN_Verknüpfungen!$A$2,1)))-G98</f>
        <v>0.10379629629629633</v>
      </c>
      <c r="I98" s="70" cm="1">
        <f t="array" aca="1" ref="I98" ca="1">_xlfn.NUMBERVALUE(_xlfn.XLOOKUP(1,(OFFSET(IN_Verknüpfungen!$O$4,0,0,IN_Verknüpfungen!$A$2,1)=$A98)*(OFFSET(IN_Verknüpfungen!$P$4,0,0,IN_Verknüpfungen!$A$2,1)=J$3),OFFSET(IN_Verknüpfungen!$J$4,0,0,IN_Verknüpfungen!$A$2,1)))-SUM($G98:H98)</f>
        <v>1.9259259259259254E-2</v>
      </c>
      <c r="J98" s="70" cm="1">
        <f t="array" aca="1" ref="J98" ca="1">_xlfn.NUMBERVALUE(_xlfn.XLOOKUP(1,(OFFSET(IN_Verknüpfungen!$O$4,0,0,IN_Verknüpfungen!$A$2,1)=$A98)*(OFFSET(IN_Verknüpfungen!$P$4,0,0,IN_Verknüpfungen!$A$2,1)=J$3+1),OFFSET(IN_Verknüpfungen!$F$4,0,0,IN_Verknüpfungen!$A$2,1)))-SUM($G98:I98)</f>
        <v>9.909722222222217E-2</v>
      </c>
      <c r="K98" s="70" cm="1">
        <f t="array" aca="1" ref="K98" ca="1">_xlfn.NUMBERVALUE(_xlfn.XLOOKUP(1,(OFFSET(IN_Verknüpfungen!$O$4,0,0,IN_Verknüpfungen!$A$2,1)=$A98)*(OFFSET(IN_Verknüpfungen!$P$4,0,0,IN_Verknüpfungen!$A$2,1)=L$3),OFFSET(IN_Verknüpfungen!$J$4,0,0,IN_Verknüpfungen!$A$2,1)))-SUM($G98:J98)</f>
        <v>1.5254629629629646E-2</v>
      </c>
      <c r="L98" s="70" t="e" cm="1">
        <f t="array" aca="1" ref="L98" ca="1">_xlfn.NUMBERVALUE(_xlfn.XLOOKUP(1,(OFFSET(IN_Verknüpfungen!$O$4,0,0,IN_Verknüpfungen!$A$2,1)=$A98)*(OFFSET(IN_Verknüpfungen!$P$4,0,0,IN_Verknüpfungen!$A$2,1)=L$3+1),OFFSET(IN_Verknüpfungen!$F$4,0,0,IN_Verknüpfungen!$A$2,1)))-SUM($G98:K98)</f>
        <v>#N/A</v>
      </c>
      <c r="M98" s="70" t="e" cm="1">
        <f t="array" aca="1" ref="M98" ca="1">_xlfn.NUMBERVALUE(_xlfn.XLOOKUP(1,(OFFSET(IN_Verknüpfungen!$O$4,0,0,IN_Verknüpfungen!$A$2,1)=$A98)*(OFFSET(IN_Verknüpfungen!$P$4,0,0,IN_Verknüpfungen!$A$2,1)=N$3),OFFSET(IN_Verknüpfungen!$J$4,0,0,IN_Verknüpfungen!$A$2,1)))-SUM($G98:L98)</f>
        <v>#N/A</v>
      </c>
      <c r="N98" s="70" t="e" cm="1">
        <f t="array" aca="1" ref="N98" ca="1">_xlfn.NUMBERVALUE(_xlfn.XLOOKUP(1,(OFFSET(IN_Verknüpfungen!$O$4,0,0,IN_Verknüpfungen!$A$2,1)=$A98)*(OFFSET(IN_Verknüpfungen!$P$4,0,0,IN_Verknüpfungen!$A$2,1)=N$3+1),OFFSET(IN_Verknüpfungen!$F$4,0,0,IN_Verknüpfungen!$A$2,1)))-SUM($G98:M98)</f>
        <v>#N/A</v>
      </c>
      <c r="O98" s="70" t="e" cm="1">
        <f t="array" aca="1" ref="O98" ca="1">_xlfn.NUMBERVALUE(_xlfn.XLOOKUP(1,(OFFSET(IN_Verknüpfungen!$O$4,0,0,IN_Verknüpfungen!$A$2,1)=$A98)*(OFFSET(IN_Verknüpfungen!$P$4,0,0,IN_Verknüpfungen!$A$2,1)=P$3),OFFSET(IN_Verknüpfungen!$J$4,0,0,IN_Verknüpfungen!$A$2,1)))-SUM($G98:N98)</f>
        <v>#N/A</v>
      </c>
      <c r="P98" s="70" t="e" cm="1">
        <f t="array" aca="1" ref="P98" ca="1">_xlfn.NUMBERVALUE(_xlfn.XLOOKUP(1,(OFFSET(IN_Verknüpfungen!$O$4,0,0,IN_Verknüpfungen!$A$2,1)=$A98)*(OFFSET(IN_Verknüpfungen!$P$4,0,0,IN_Verknüpfungen!$A$2,1)=P$3+1),OFFSET(IN_Verknüpfungen!$F$4,0,0,IN_Verknüpfungen!$A$2,1)))-SUM($G98:O98)</f>
        <v>#N/A</v>
      </c>
      <c r="Q98" s="70" t="e" cm="1">
        <f t="array" aca="1" ref="Q98" ca="1">_xlfn.NUMBERVALUE(_xlfn.XLOOKUP(1,(OFFSET(IN_Verknüpfungen!$O$4,0,0,IN_Verknüpfungen!$A$2,1)=$A98)*(OFFSET(IN_Verknüpfungen!$P$4,0,0,IN_Verknüpfungen!$A$2,1)=R$3),OFFSET(IN_Verknüpfungen!$J$4,0,0,IN_Verknüpfungen!$A$2,1)))-SUM($G98:P98)</f>
        <v>#N/A</v>
      </c>
      <c r="R98" s="70" t="e" cm="1">
        <f t="array" aca="1" ref="R98" ca="1">_xlfn.NUMBERVALUE(_xlfn.XLOOKUP(1,(OFFSET(IN_Verknüpfungen!$O$4,0,0,IN_Verknüpfungen!$A$2,1)=$A98)*(OFFSET(IN_Verknüpfungen!$P$4,0,0,IN_Verknüpfungen!$A$2,1)=R$3+1),OFFSET(IN_Verknüpfungen!$F$4,0,0,IN_Verknüpfungen!$A$2,1)))-SUM($G98:Q98)</f>
        <v>#N/A</v>
      </c>
      <c r="S98" s="70" t="e" cm="1">
        <f t="array" aca="1" ref="S98" ca="1">_xlfn.NUMBERVALUE(_xlfn.XLOOKUP(1,(OFFSET(IN_Verknüpfungen!$O$4,0,0,IN_Verknüpfungen!$A$2,1)=$A98)*(OFFSET(IN_Verknüpfungen!$P$4,0,0,IN_Verknüpfungen!$A$2,1)=T$3),OFFSET(IN_Verknüpfungen!$J$4,0,0,IN_Verknüpfungen!$A$2,1)))-SUM($G98:R98)</f>
        <v>#N/A</v>
      </c>
      <c r="T98" s="70" t="e" cm="1">
        <f t="array" aca="1" ref="T98" ca="1">_xlfn.NUMBERVALUE(_xlfn.XLOOKUP(1,(OFFSET(IN_Verknüpfungen!$O$4,0,0,IN_Verknüpfungen!$A$2,1)=$A98)*(OFFSET(IN_Verknüpfungen!$P$4,0,0,IN_Verknüpfungen!$A$2,1)=T$3+1),OFFSET(IN_Verknüpfungen!$F$4,0,0,IN_Verknüpfungen!$A$2,1)))-SUM($G98:S98)</f>
        <v>#N/A</v>
      </c>
      <c r="U98" s="70" t="e" cm="1">
        <f t="array" aca="1" ref="U98" ca="1">_xlfn.NUMBERVALUE(_xlfn.XLOOKUP(1,(OFFSET(IN_Verknüpfungen!$O$4,0,0,IN_Verknüpfungen!$A$2,1)=$A98)*(OFFSET(IN_Verknüpfungen!$P$4,0,0,IN_Verknüpfungen!$A$2,1)=V$3),OFFSET(IN_Verknüpfungen!$J$4,0,0,IN_Verknüpfungen!$A$2,1)))-SUM($G98:T98)</f>
        <v>#N/A</v>
      </c>
      <c r="V98" s="70" t="e" cm="1">
        <f t="array" aca="1" ref="V98" ca="1">_xlfn.NUMBERVALUE(_xlfn.XLOOKUP(1,(OFFSET(IN_Verknüpfungen!$O$4,0,0,IN_Verknüpfungen!$A$2,1)=$A98)*(OFFSET(IN_Verknüpfungen!$P$4,0,0,IN_Verknüpfungen!$A$2,1)=V$3+1),OFFSET(IN_Verknüpfungen!$F$4,0,0,IN_Verknüpfungen!$A$2,1)))-SUM($G98:U98)</f>
        <v>#N/A</v>
      </c>
      <c r="W98" s="70" t="e" cm="1">
        <f t="array" aca="1" ref="W98" ca="1">_xlfn.NUMBERVALUE(_xlfn.XLOOKUP(1,(OFFSET(IN_Verknüpfungen!$O$4,0,0,IN_Verknüpfungen!$A$2,1)=$A98)*(OFFSET(IN_Verknüpfungen!$P$4,0,0,IN_Verknüpfungen!$A$2,1)=X$3),OFFSET(IN_Verknüpfungen!$J$4,0,0,IN_Verknüpfungen!$A$2,1)))-SUM($G98:V98)</f>
        <v>#N/A</v>
      </c>
      <c r="X98" s="70" t="e" cm="1">
        <f t="array" aca="1" ref="X98" ca="1">_xlfn.NUMBERVALUE(_xlfn.XLOOKUP(1,(OFFSET(IN_Verknüpfungen!$O$4,0,0,IN_Verknüpfungen!$A$2,1)=$A98)*(OFFSET(IN_Verknüpfungen!$P$4,0,0,IN_Verknüpfungen!$A$2,1)=X$3+1),OFFSET(IN_Verknüpfungen!$F$4,0,0,IN_Verknüpfungen!$A$2,1)))-SUM($G98:W98)</f>
        <v>#N/A</v>
      </c>
      <c r="Y98" s="70" t="e" cm="1">
        <f t="array" aca="1" ref="Y98" ca="1">_xlfn.NUMBERVALUE(_xlfn.XLOOKUP(1,(OFFSET(IN_Verknüpfungen!$O$4,0,0,IN_Verknüpfungen!$A$2,1)=$A98)*(OFFSET(IN_Verknüpfungen!$P$4,0,0,IN_Verknüpfungen!$A$2,1)=Z$3),OFFSET(IN_Verknüpfungen!$J$4,0,0,IN_Verknüpfungen!$A$2,1)))-SUM($G98:X98)</f>
        <v>#N/A</v>
      </c>
      <c r="Z98" s="70" t="e" cm="1">
        <f t="array" aca="1" ref="Z98" ca="1">_xlfn.NUMBERVALUE(_xlfn.XLOOKUP(1,(OFFSET(IN_Verknüpfungen!$O$4,0,0,IN_Verknüpfungen!$A$2,1)=$A98)*(OFFSET(IN_Verknüpfungen!$P$4,0,0,IN_Verknüpfungen!$A$2,1)=Z$3+1),OFFSET(IN_Verknüpfungen!$F$4,0,0,IN_Verknüpfungen!$A$2,1)))-SUM($G98:Y98)</f>
        <v>#N/A</v>
      </c>
      <c r="AA98" s="70" t="e" cm="1">
        <f t="array" aca="1" ref="AA98" ca="1">_xlfn.NUMBERVALUE(_xlfn.XLOOKUP(1,(OFFSET(IN_Verknüpfungen!$O$4,0,0,IN_Verknüpfungen!$A$2,1)=$A98)*(OFFSET(IN_Verknüpfungen!$P$4,0,0,IN_Verknüpfungen!$A$2,1)=AB$3),OFFSET(IN_Verknüpfungen!$J$4,0,0,IN_Verknüpfungen!$A$2,1)))-SUM($G98:Z98)</f>
        <v>#N/A</v>
      </c>
      <c r="AB98" s="70" t="e" cm="1">
        <f t="array" aca="1" ref="AB98" ca="1">_xlfn.NUMBERVALUE(_xlfn.XLOOKUP(1,(OFFSET(IN_Verknüpfungen!$O$4,0,0,IN_Verknüpfungen!$A$2,1)=$A98)*(OFFSET(IN_Verknüpfungen!$P$4,0,0,IN_Verknüpfungen!$A$2,1)=AB$3+1),OFFSET(IN_Verknüpfungen!$F$4,0,0,IN_Verknüpfungen!$A$2,1)))-SUM($G98:AA98)</f>
        <v>#N/A</v>
      </c>
    </row>
    <row r="99" spans="1:28" x14ac:dyDescent="0.2">
      <c r="A99" s="56" t="str">
        <f ca="1"/>
        <v>Composition 96</v>
      </c>
      <c r="B99" s="55" t="str" cm="1">
        <f t="array" aca="1" ref="B99" ca="1">IF(A99&lt;&gt;"",_xlfn.XLOOKUP(Laufwege!A99,OFFSET(IN_Verknüpfungen!L$4,0,0,IN_Verknüpfungen!A$2,1),OFFSET(IN_Verknüpfungen!N$4,0,0,IN_Verknüpfungen!A$2,1),""),"")</f>
        <v>462-1.0</v>
      </c>
      <c r="C99" s="55">
        <f ca="1">IF(A99&lt;&gt;"",SUMIFS(OFFSET(IN_Verknüpfungen!M$4,0,0,IN_Verknüpfungen!A$2,1),OFFSET(IN_Verknüpfungen!O$4,0,0,IN_Verknüpfungen!A$2,1),Laufwege!A99),0)</f>
        <v>718099</v>
      </c>
      <c r="D99" s="55" cm="1">
        <f t="array" aca="1" ref="D99" ca="1">IF(B99&lt;&gt;"",_xlfn.XLOOKUP(B99,OFFSET(IN_Stammdaten!$A$4,0,0,IN_Stammdaten!$A$2,1),OFFSET(IN_Stammdaten!$C$4,0,0,IN_Stammdaten!$A$2,1),""),"")</f>
        <v>0</v>
      </c>
      <c r="E99" s="55" t="str">
        <f t="shared" ca="1" si="2"/>
        <v>nein</v>
      </c>
      <c r="F99" s="69" t="str">
        <f t="shared" ca="1" si="3"/>
        <v>Composition 96 (462-1.0)</v>
      </c>
      <c r="G99" s="70" cm="1">
        <f t="array" aca="1" ref="G99" ca="1">_xlfn.NUMBERVALUE(_xlfn.XLOOKUP(A99,OFFSET(IN_Verknüpfungen!$L$4,0,0,IN_Verknüpfungen!$A$2,1),OFFSET(IN_Verknüpfungen!$Q$4,0,0,IN_Verknüpfungen!$A$2,1)))</f>
        <v>0.26361111111111113</v>
      </c>
      <c r="H99" s="70" cm="1">
        <f t="array" aca="1" ref="H99" ca="1">_xlfn.NUMBERVALUE(_xlfn.XLOOKUP(A99,OFFSET(IN_Verknüpfungen!$L$4,0,0,IN_Verknüpfungen!$A$2,1),OFFSET(IN_Verknüpfungen!$F$4,0,0,IN_Verknüpfungen!$A$2,1)))-G99</f>
        <v>0.1320486111111111</v>
      </c>
      <c r="I99" s="70" cm="1">
        <f t="array" aca="1" ref="I99" ca="1">_xlfn.NUMBERVALUE(_xlfn.XLOOKUP(1,(OFFSET(IN_Verknüpfungen!$O$4,0,0,IN_Verknüpfungen!$A$2,1)=$A99)*(OFFSET(IN_Verknüpfungen!$P$4,0,0,IN_Verknüpfungen!$A$2,1)=J$3),OFFSET(IN_Verknüpfungen!$J$4,0,0,IN_Verknüpfungen!$A$2,1)))-SUM($G99:H99)</f>
        <v>2.4131944444444442E-2</v>
      </c>
      <c r="J99" s="70" cm="1">
        <f t="array" aca="1" ref="J99" ca="1">_xlfn.NUMBERVALUE(_xlfn.XLOOKUP(1,(OFFSET(IN_Verknüpfungen!$O$4,0,0,IN_Verknüpfungen!$A$2,1)=$A99)*(OFFSET(IN_Verknüpfungen!$P$4,0,0,IN_Verknüpfungen!$A$2,1)=J$3+1),OFFSET(IN_Verknüpfungen!$F$4,0,0,IN_Verknüpfungen!$A$2,1)))-SUM($G99:I99)</f>
        <v>0.10796296296296293</v>
      </c>
      <c r="K99" s="70" cm="1">
        <f t="array" aca="1" ref="K99" ca="1">_xlfn.NUMBERVALUE(_xlfn.XLOOKUP(1,(OFFSET(IN_Verknüpfungen!$O$4,0,0,IN_Verknüpfungen!$A$2,1)=$A99)*(OFFSET(IN_Verknüpfungen!$P$4,0,0,IN_Verknüpfungen!$A$2,1)=L$3),OFFSET(IN_Verknüpfungen!$J$4,0,0,IN_Verknüpfungen!$A$2,1)))-SUM($G99:J99)</f>
        <v>1.3518518518518596E-2</v>
      </c>
      <c r="L99" s="70" t="e" cm="1">
        <f t="array" aca="1" ref="L99" ca="1">_xlfn.NUMBERVALUE(_xlfn.XLOOKUP(1,(OFFSET(IN_Verknüpfungen!$O$4,0,0,IN_Verknüpfungen!$A$2,1)=$A99)*(OFFSET(IN_Verknüpfungen!$P$4,0,0,IN_Verknüpfungen!$A$2,1)=L$3+1),OFFSET(IN_Verknüpfungen!$F$4,0,0,IN_Verknüpfungen!$A$2,1)))-SUM($G99:K99)</f>
        <v>#N/A</v>
      </c>
      <c r="M99" s="70" t="e" cm="1">
        <f t="array" aca="1" ref="M99" ca="1">_xlfn.NUMBERVALUE(_xlfn.XLOOKUP(1,(OFFSET(IN_Verknüpfungen!$O$4,0,0,IN_Verknüpfungen!$A$2,1)=$A99)*(OFFSET(IN_Verknüpfungen!$P$4,0,0,IN_Verknüpfungen!$A$2,1)=N$3),OFFSET(IN_Verknüpfungen!$J$4,0,0,IN_Verknüpfungen!$A$2,1)))-SUM($G99:L99)</f>
        <v>#N/A</v>
      </c>
      <c r="N99" s="70" t="e" cm="1">
        <f t="array" aca="1" ref="N99" ca="1">_xlfn.NUMBERVALUE(_xlfn.XLOOKUP(1,(OFFSET(IN_Verknüpfungen!$O$4,0,0,IN_Verknüpfungen!$A$2,1)=$A99)*(OFFSET(IN_Verknüpfungen!$P$4,0,0,IN_Verknüpfungen!$A$2,1)=N$3+1),OFFSET(IN_Verknüpfungen!$F$4,0,0,IN_Verknüpfungen!$A$2,1)))-SUM($G99:M99)</f>
        <v>#N/A</v>
      </c>
      <c r="O99" s="70" t="e" cm="1">
        <f t="array" aca="1" ref="O99" ca="1">_xlfn.NUMBERVALUE(_xlfn.XLOOKUP(1,(OFFSET(IN_Verknüpfungen!$O$4,0,0,IN_Verknüpfungen!$A$2,1)=$A99)*(OFFSET(IN_Verknüpfungen!$P$4,0,0,IN_Verknüpfungen!$A$2,1)=P$3),OFFSET(IN_Verknüpfungen!$J$4,0,0,IN_Verknüpfungen!$A$2,1)))-SUM($G99:N99)</f>
        <v>#N/A</v>
      </c>
      <c r="P99" s="70" t="e" cm="1">
        <f t="array" aca="1" ref="P99" ca="1">_xlfn.NUMBERVALUE(_xlfn.XLOOKUP(1,(OFFSET(IN_Verknüpfungen!$O$4,0,0,IN_Verknüpfungen!$A$2,1)=$A99)*(OFFSET(IN_Verknüpfungen!$P$4,0,0,IN_Verknüpfungen!$A$2,1)=P$3+1),OFFSET(IN_Verknüpfungen!$F$4,0,0,IN_Verknüpfungen!$A$2,1)))-SUM($G99:O99)</f>
        <v>#N/A</v>
      </c>
      <c r="Q99" s="70" t="e" cm="1">
        <f t="array" aca="1" ref="Q99" ca="1">_xlfn.NUMBERVALUE(_xlfn.XLOOKUP(1,(OFFSET(IN_Verknüpfungen!$O$4,0,0,IN_Verknüpfungen!$A$2,1)=$A99)*(OFFSET(IN_Verknüpfungen!$P$4,0,0,IN_Verknüpfungen!$A$2,1)=R$3),OFFSET(IN_Verknüpfungen!$J$4,0,0,IN_Verknüpfungen!$A$2,1)))-SUM($G99:P99)</f>
        <v>#N/A</v>
      </c>
      <c r="R99" s="70" t="e" cm="1">
        <f t="array" aca="1" ref="R99" ca="1">_xlfn.NUMBERVALUE(_xlfn.XLOOKUP(1,(OFFSET(IN_Verknüpfungen!$O$4,0,0,IN_Verknüpfungen!$A$2,1)=$A99)*(OFFSET(IN_Verknüpfungen!$P$4,0,0,IN_Verknüpfungen!$A$2,1)=R$3+1),OFFSET(IN_Verknüpfungen!$F$4,0,0,IN_Verknüpfungen!$A$2,1)))-SUM($G99:Q99)</f>
        <v>#N/A</v>
      </c>
      <c r="S99" s="70" t="e" cm="1">
        <f t="array" aca="1" ref="S99" ca="1">_xlfn.NUMBERVALUE(_xlfn.XLOOKUP(1,(OFFSET(IN_Verknüpfungen!$O$4,0,0,IN_Verknüpfungen!$A$2,1)=$A99)*(OFFSET(IN_Verknüpfungen!$P$4,0,0,IN_Verknüpfungen!$A$2,1)=T$3),OFFSET(IN_Verknüpfungen!$J$4,0,0,IN_Verknüpfungen!$A$2,1)))-SUM($G99:R99)</f>
        <v>#N/A</v>
      </c>
      <c r="T99" s="70" t="e" cm="1">
        <f t="array" aca="1" ref="T99" ca="1">_xlfn.NUMBERVALUE(_xlfn.XLOOKUP(1,(OFFSET(IN_Verknüpfungen!$O$4,0,0,IN_Verknüpfungen!$A$2,1)=$A99)*(OFFSET(IN_Verknüpfungen!$P$4,0,0,IN_Verknüpfungen!$A$2,1)=T$3+1),OFFSET(IN_Verknüpfungen!$F$4,0,0,IN_Verknüpfungen!$A$2,1)))-SUM($G99:S99)</f>
        <v>#N/A</v>
      </c>
      <c r="U99" s="70" t="e" cm="1">
        <f t="array" aca="1" ref="U99" ca="1">_xlfn.NUMBERVALUE(_xlfn.XLOOKUP(1,(OFFSET(IN_Verknüpfungen!$O$4,0,0,IN_Verknüpfungen!$A$2,1)=$A99)*(OFFSET(IN_Verknüpfungen!$P$4,0,0,IN_Verknüpfungen!$A$2,1)=V$3),OFFSET(IN_Verknüpfungen!$J$4,0,0,IN_Verknüpfungen!$A$2,1)))-SUM($G99:T99)</f>
        <v>#N/A</v>
      </c>
      <c r="V99" s="70" t="e" cm="1">
        <f t="array" aca="1" ref="V99" ca="1">_xlfn.NUMBERVALUE(_xlfn.XLOOKUP(1,(OFFSET(IN_Verknüpfungen!$O$4,0,0,IN_Verknüpfungen!$A$2,1)=$A99)*(OFFSET(IN_Verknüpfungen!$P$4,0,0,IN_Verknüpfungen!$A$2,1)=V$3+1),OFFSET(IN_Verknüpfungen!$F$4,0,0,IN_Verknüpfungen!$A$2,1)))-SUM($G99:U99)</f>
        <v>#N/A</v>
      </c>
      <c r="W99" s="70" t="e" cm="1">
        <f t="array" aca="1" ref="W99" ca="1">_xlfn.NUMBERVALUE(_xlfn.XLOOKUP(1,(OFFSET(IN_Verknüpfungen!$O$4,0,0,IN_Verknüpfungen!$A$2,1)=$A99)*(OFFSET(IN_Verknüpfungen!$P$4,0,0,IN_Verknüpfungen!$A$2,1)=X$3),OFFSET(IN_Verknüpfungen!$J$4,0,0,IN_Verknüpfungen!$A$2,1)))-SUM($G99:V99)</f>
        <v>#N/A</v>
      </c>
      <c r="X99" s="70" t="e" cm="1">
        <f t="array" aca="1" ref="X99" ca="1">_xlfn.NUMBERVALUE(_xlfn.XLOOKUP(1,(OFFSET(IN_Verknüpfungen!$O$4,0,0,IN_Verknüpfungen!$A$2,1)=$A99)*(OFFSET(IN_Verknüpfungen!$P$4,0,0,IN_Verknüpfungen!$A$2,1)=X$3+1),OFFSET(IN_Verknüpfungen!$F$4,0,0,IN_Verknüpfungen!$A$2,1)))-SUM($G99:W99)</f>
        <v>#N/A</v>
      </c>
      <c r="Y99" s="70" t="e" cm="1">
        <f t="array" aca="1" ref="Y99" ca="1">_xlfn.NUMBERVALUE(_xlfn.XLOOKUP(1,(OFFSET(IN_Verknüpfungen!$O$4,0,0,IN_Verknüpfungen!$A$2,1)=$A99)*(OFFSET(IN_Verknüpfungen!$P$4,0,0,IN_Verknüpfungen!$A$2,1)=Z$3),OFFSET(IN_Verknüpfungen!$J$4,0,0,IN_Verknüpfungen!$A$2,1)))-SUM($G99:X99)</f>
        <v>#N/A</v>
      </c>
      <c r="Z99" s="70" t="e" cm="1">
        <f t="array" aca="1" ref="Z99" ca="1">_xlfn.NUMBERVALUE(_xlfn.XLOOKUP(1,(OFFSET(IN_Verknüpfungen!$O$4,0,0,IN_Verknüpfungen!$A$2,1)=$A99)*(OFFSET(IN_Verknüpfungen!$P$4,0,0,IN_Verknüpfungen!$A$2,1)=Z$3+1),OFFSET(IN_Verknüpfungen!$F$4,0,0,IN_Verknüpfungen!$A$2,1)))-SUM($G99:Y99)</f>
        <v>#N/A</v>
      </c>
      <c r="AA99" s="70" t="e" cm="1">
        <f t="array" aca="1" ref="AA99" ca="1">_xlfn.NUMBERVALUE(_xlfn.XLOOKUP(1,(OFFSET(IN_Verknüpfungen!$O$4,0,0,IN_Verknüpfungen!$A$2,1)=$A99)*(OFFSET(IN_Verknüpfungen!$P$4,0,0,IN_Verknüpfungen!$A$2,1)=AB$3),OFFSET(IN_Verknüpfungen!$J$4,0,0,IN_Verknüpfungen!$A$2,1)))-SUM($G99:Z99)</f>
        <v>#N/A</v>
      </c>
      <c r="AB99" s="70" t="e" cm="1">
        <f t="array" aca="1" ref="AB99" ca="1">_xlfn.NUMBERVALUE(_xlfn.XLOOKUP(1,(OFFSET(IN_Verknüpfungen!$O$4,0,0,IN_Verknüpfungen!$A$2,1)=$A99)*(OFFSET(IN_Verknüpfungen!$P$4,0,0,IN_Verknüpfungen!$A$2,1)=AB$3+1),OFFSET(IN_Verknüpfungen!$F$4,0,0,IN_Verknüpfungen!$A$2,1)))-SUM($G99:AA99)</f>
        <v>#N/A</v>
      </c>
    </row>
    <row r="100" spans="1:28" x14ac:dyDescent="0.2">
      <c r="A100" s="56" t="str">
        <f ca="1"/>
        <v>Composition 97</v>
      </c>
      <c r="B100" s="55" t="str" cm="1">
        <f t="array" aca="1" ref="B100" ca="1">IF(A100&lt;&gt;"",_xlfn.XLOOKUP(Laufwege!A100,OFFSET(IN_Verknüpfungen!L$4,0,0,IN_Verknüpfungen!A$2,1),OFFSET(IN_Verknüpfungen!N$4,0,0,IN_Verknüpfungen!A$2,1),""),"")</f>
        <v>462-1.0</v>
      </c>
      <c r="C100" s="55">
        <f ca="1">IF(A100&lt;&gt;"",SUMIFS(OFFSET(IN_Verknüpfungen!M$4,0,0,IN_Verknüpfungen!A$2,1),OFFSET(IN_Verknüpfungen!O$4,0,0,IN_Verknüpfungen!A$2,1),Laufwege!A100),0)</f>
        <v>472325</v>
      </c>
      <c r="D100" s="55" cm="1">
        <f t="array" aca="1" ref="D100" ca="1">IF(B100&lt;&gt;"",_xlfn.XLOOKUP(B100,OFFSET(IN_Stammdaten!$A$4,0,0,IN_Stammdaten!$A$2,1),OFFSET(IN_Stammdaten!$C$4,0,0,IN_Stammdaten!$A$2,1),""),"")</f>
        <v>0</v>
      </c>
      <c r="E100" s="55" t="str">
        <f t="shared" ca="1" si="2"/>
        <v>nein</v>
      </c>
      <c r="F100" s="69" t="str">
        <f t="shared" ca="1" si="3"/>
        <v>Composition 97 (462-1.0)</v>
      </c>
      <c r="G100" s="70" cm="1">
        <f t="array" aca="1" ref="G100" ca="1">_xlfn.NUMBERVALUE(_xlfn.XLOOKUP(A100,OFFSET(IN_Verknüpfungen!$L$4,0,0,IN_Verknüpfungen!$A$2,1),OFFSET(IN_Verknüpfungen!$Q$4,0,0,IN_Verknüpfungen!$A$2,1)))</f>
        <v>0.28708333333333336</v>
      </c>
      <c r="H100" s="70" cm="1">
        <f t="array" aca="1" ref="H100" ca="1">_xlfn.NUMBERVALUE(_xlfn.XLOOKUP(A100,OFFSET(IN_Verknüpfungen!$L$4,0,0,IN_Verknüpfungen!$A$2,1),OFFSET(IN_Verknüpfungen!$F$4,0,0,IN_Verknüpfungen!$A$2,1)))-G100</f>
        <v>0.11040509259259257</v>
      </c>
      <c r="I100" s="70" cm="1">
        <f t="array" aca="1" ref="I100" ca="1">_xlfn.NUMBERVALUE(_xlfn.XLOOKUP(1,(OFFSET(IN_Verknüpfungen!$O$4,0,0,IN_Verknüpfungen!$A$2,1)=$A100)*(OFFSET(IN_Verknüpfungen!$P$4,0,0,IN_Verknüpfungen!$A$2,1)=J$3),OFFSET(IN_Verknüpfungen!$J$4,0,0,IN_Verknüpfungen!$A$2,1)))-SUM($G100:H100)</f>
        <v>1.1886574074074063E-2</v>
      </c>
      <c r="J100" s="70" cm="1">
        <f t="array" aca="1" ref="J100" ca="1">_xlfn.NUMBERVALUE(_xlfn.XLOOKUP(1,(OFFSET(IN_Verknüpfungen!$O$4,0,0,IN_Verknüpfungen!$A$2,1)=$A100)*(OFFSET(IN_Verknüpfungen!$P$4,0,0,IN_Verknüpfungen!$A$2,1)=J$3+1),OFFSET(IN_Verknüpfungen!$F$4,0,0,IN_Verknüpfungen!$A$2,1)))-SUM($G100:I100)</f>
        <v>0.10045138888888888</v>
      </c>
      <c r="K100" s="70" cm="1">
        <f t="array" aca="1" ref="K100" ca="1">_xlfn.NUMBERVALUE(_xlfn.XLOOKUP(1,(OFFSET(IN_Verknüpfungen!$O$4,0,0,IN_Verknüpfungen!$A$2,1)=$A100)*(OFFSET(IN_Verknüpfungen!$P$4,0,0,IN_Verknüpfungen!$A$2,1)=L$3),OFFSET(IN_Verknüpfungen!$J$4,0,0,IN_Verknüpfungen!$A$2,1)))-SUM($G100:J100)</f>
        <v>1.2060185185185257E-2</v>
      </c>
      <c r="L100" s="70" t="e" cm="1">
        <f t="array" aca="1" ref="L100" ca="1">_xlfn.NUMBERVALUE(_xlfn.XLOOKUP(1,(OFFSET(IN_Verknüpfungen!$O$4,0,0,IN_Verknüpfungen!$A$2,1)=$A100)*(OFFSET(IN_Verknüpfungen!$P$4,0,0,IN_Verknüpfungen!$A$2,1)=L$3+1),OFFSET(IN_Verknüpfungen!$F$4,0,0,IN_Verknüpfungen!$A$2,1)))-SUM($G100:K100)</f>
        <v>#N/A</v>
      </c>
      <c r="M100" s="70" t="e" cm="1">
        <f t="array" aca="1" ref="M100" ca="1">_xlfn.NUMBERVALUE(_xlfn.XLOOKUP(1,(OFFSET(IN_Verknüpfungen!$O$4,0,0,IN_Verknüpfungen!$A$2,1)=$A100)*(OFFSET(IN_Verknüpfungen!$P$4,0,0,IN_Verknüpfungen!$A$2,1)=N$3),OFFSET(IN_Verknüpfungen!$J$4,0,0,IN_Verknüpfungen!$A$2,1)))-SUM($G100:L100)</f>
        <v>#N/A</v>
      </c>
      <c r="N100" s="70" t="e" cm="1">
        <f t="array" aca="1" ref="N100" ca="1">_xlfn.NUMBERVALUE(_xlfn.XLOOKUP(1,(OFFSET(IN_Verknüpfungen!$O$4,0,0,IN_Verknüpfungen!$A$2,1)=$A100)*(OFFSET(IN_Verknüpfungen!$P$4,0,0,IN_Verknüpfungen!$A$2,1)=N$3+1),OFFSET(IN_Verknüpfungen!$F$4,0,0,IN_Verknüpfungen!$A$2,1)))-SUM($G100:M100)</f>
        <v>#N/A</v>
      </c>
      <c r="O100" s="70" t="e" cm="1">
        <f t="array" aca="1" ref="O100" ca="1">_xlfn.NUMBERVALUE(_xlfn.XLOOKUP(1,(OFFSET(IN_Verknüpfungen!$O$4,0,0,IN_Verknüpfungen!$A$2,1)=$A100)*(OFFSET(IN_Verknüpfungen!$P$4,0,0,IN_Verknüpfungen!$A$2,1)=P$3),OFFSET(IN_Verknüpfungen!$J$4,0,0,IN_Verknüpfungen!$A$2,1)))-SUM($G100:N100)</f>
        <v>#N/A</v>
      </c>
      <c r="P100" s="70" t="e" cm="1">
        <f t="array" aca="1" ref="P100" ca="1">_xlfn.NUMBERVALUE(_xlfn.XLOOKUP(1,(OFFSET(IN_Verknüpfungen!$O$4,0,0,IN_Verknüpfungen!$A$2,1)=$A100)*(OFFSET(IN_Verknüpfungen!$P$4,0,0,IN_Verknüpfungen!$A$2,1)=P$3+1),OFFSET(IN_Verknüpfungen!$F$4,0,0,IN_Verknüpfungen!$A$2,1)))-SUM($G100:O100)</f>
        <v>#N/A</v>
      </c>
      <c r="Q100" s="70" t="e" cm="1">
        <f t="array" aca="1" ref="Q100" ca="1">_xlfn.NUMBERVALUE(_xlfn.XLOOKUP(1,(OFFSET(IN_Verknüpfungen!$O$4,0,0,IN_Verknüpfungen!$A$2,1)=$A100)*(OFFSET(IN_Verknüpfungen!$P$4,0,0,IN_Verknüpfungen!$A$2,1)=R$3),OFFSET(IN_Verknüpfungen!$J$4,0,0,IN_Verknüpfungen!$A$2,1)))-SUM($G100:P100)</f>
        <v>#N/A</v>
      </c>
      <c r="R100" s="70" t="e" cm="1">
        <f t="array" aca="1" ref="R100" ca="1">_xlfn.NUMBERVALUE(_xlfn.XLOOKUP(1,(OFFSET(IN_Verknüpfungen!$O$4,0,0,IN_Verknüpfungen!$A$2,1)=$A100)*(OFFSET(IN_Verknüpfungen!$P$4,0,0,IN_Verknüpfungen!$A$2,1)=R$3+1),OFFSET(IN_Verknüpfungen!$F$4,0,0,IN_Verknüpfungen!$A$2,1)))-SUM($G100:Q100)</f>
        <v>#N/A</v>
      </c>
      <c r="S100" s="70" t="e" cm="1">
        <f t="array" aca="1" ref="S100" ca="1">_xlfn.NUMBERVALUE(_xlfn.XLOOKUP(1,(OFFSET(IN_Verknüpfungen!$O$4,0,0,IN_Verknüpfungen!$A$2,1)=$A100)*(OFFSET(IN_Verknüpfungen!$P$4,0,0,IN_Verknüpfungen!$A$2,1)=T$3),OFFSET(IN_Verknüpfungen!$J$4,0,0,IN_Verknüpfungen!$A$2,1)))-SUM($G100:R100)</f>
        <v>#N/A</v>
      </c>
      <c r="T100" s="70" t="e" cm="1">
        <f t="array" aca="1" ref="T100" ca="1">_xlfn.NUMBERVALUE(_xlfn.XLOOKUP(1,(OFFSET(IN_Verknüpfungen!$O$4,0,0,IN_Verknüpfungen!$A$2,1)=$A100)*(OFFSET(IN_Verknüpfungen!$P$4,0,0,IN_Verknüpfungen!$A$2,1)=T$3+1),OFFSET(IN_Verknüpfungen!$F$4,0,0,IN_Verknüpfungen!$A$2,1)))-SUM($G100:S100)</f>
        <v>#N/A</v>
      </c>
      <c r="U100" s="70" t="e" cm="1">
        <f t="array" aca="1" ref="U100" ca="1">_xlfn.NUMBERVALUE(_xlfn.XLOOKUP(1,(OFFSET(IN_Verknüpfungen!$O$4,0,0,IN_Verknüpfungen!$A$2,1)=$A100)*(OFFSET(IN_Verknüpfungen!$P$4,0,0,IN_Verknüpfungen!$A$2,1)=V$3),OFFSET(IN_Verknüpfungen!$J$4,0,0,IN_Verknüpfungen!$A$2,1)))-SUM($G100:T100)</f>
        <v>#N/A</v>
      </c>
      <c r="V100" s="70" t="e" cm="1">
        <f t="array" aca="1" ref="V100" ca="1">_xlfn.NUMBERVALUE(_xlfn.XLOOKUP(1,(OFFSET(IN_Verknüpfungen!$O$4,0,0,IN_Verknüpfungen!$A$2,1)=$A100)*(OFFSET(IN_Verknüpfungen!$P$4,0,0,IN_Verknüpfungen!$A$2,1)=V$3+1),OFFSET(IN_Verknüpfungen!$F$4,0,0,IN_Verknüpfungen!$A$2,1)))-SUM($G100:U100)</f>
        <v>#N/A</v>
      </c>
      <c r="W100" s="70" t="e" cm="1">
        <f t="array" aca="1" ref="W100" ca="1">_xlfn.NUMBERVALUE(_xlfn.XLOOKUP(1,(OFFSET(IN_Verknüpfungen!$O$4,0,0,IN_Verknüpfungen!$A$2,1)=$A100)*(OFFSET(IN_Verknüpfungen!$P$4,0,0,IN_Verknüpfungen!$A$2,1)=X$3),OFFSET(IN_Verknüpfungen!$J$4,0,0,IN_Verknüpfungen!$A$2,1)))-SUM($G100:V100)</f>
        <v>#N/A</v>
      </c>
      <c r="X100" s="70" t="e" cm="1">
        <f t="array" aca="1" ref="X100" ca="1">_xlfn.NUMBERVALUE(_xlfn.XLOOKUP(1,(OFFSET(IN_Verknüpfungen!$O$4,0,0,IN_Verknüpfungen!$A$2,1)=$A100)*(OFFSET(IN_Verknüpfungen!$P$4,0,0,IN_Verknüpfungen!$A$2,1)=X$3+1),OFFSET(IN_Verknüpfungen!$F$4,0,0,IN_Verknüpfungen!$A$2,1)))-SUM($G100:W100)</f>
        <v>#N/A</v>
      </c>
      <c r="Y100" s="70" t="e" cm="1">
        <f t="array" aca="1" ref="Y100" ca="1">_xlfn.NUMBERVALUE(_xlfn.XLOOKUP(1,(OFFSET(IN_Verknüpfungen!$O$4,0,0,IN_Verknüpfungen!$A$2,1)=$A100)*(OFFSET(IN_Verknüpfungen!$P$4,0,0,IN_Verknüpfungen!$A$2,1)=Z$3),OFFSET(IN_Verknüpfungen!$J$4,0,0,IN_Verknüpfungen!$A$2,1)))-SUM($G100:X100)</f>
        <v>#N/A</v>
      </c>
      <c r="Z100" s="70" t="e" cm="1">
        <f t="array" aca="1" ref="Z100" ca="1">_xlfn.NUMBERVALUE(_xlfn.XLOOKUP(1,(OFFSET(IN_Verknüpfungen!$O$4,0,0,IN_Verknüpfungen!$A$2,1)=$A100)*(OFFSET(IN_Verknüpfungen!$P$4,0,0,IN_Verknüpfungen!$A$2,1)=Z$3+1),OFFSET(IN_Verknüpfungen!$F$4,0,0,IN_Verknüpfungen!$A$2,1)))-SUM($G100:Y100)</f>
        <v>#N/A</v>
      </c>
      <c r="AA100" s="70" t="e" cm="1">
        <f t="array" aca="1" ref="AA100" ca="1">_xlfn.NUMBERVALUE(_xlfn.XLOOKUP(1,(OFFSET(IN_Verknüpfungen!$O$4,0,0,IN_Verknüpfungen!$A$2,1)=$A100)*(OFFSET(IN_Verknüpfungen!$P$4,0,0,IN_Verknüpfungen!$A$2,1)=AB$3),OFFSET(IN_Verknüpfungen!$J$4,0,0,IN_Verknüpfungen!$A$2,1)))-SUM($G100:Z100)</f>
        <v>#N/A</v>
      </c>
      <c r="AB100" s="70" t="e" cm="1">
        <f t="array" aca="1" ref="AB100" ca="1">_xlfn.NUMBERVALUE(_xlfn.XLOOKUP(1,(OFFSET(IN_Verknüpfungen!$O$4,0,0,IN_Verknüpfungen!$A$2,1)=$A100)*(OFFSET(IN_Verknüpfungen!$P$4,0,0,IN_Verknüpfungen!$A$2,1)=AB$3+1),OFFSET(IN_Verknüpfungen!$F$4,0,0,IN_Verknüpfungen!$A$2,1)))-SUM($G100:AA100)</f>
        <v>#N/A</v>
      </c>
    </row>
    <row r="101" spans="1:28" x14ac:dyDescent="0.2">
      <c r="A101" s="56" t="str">
        <f ca="1"/>
        <v>Composition 98</v>
      </c>
      <c r="B101" s="55" t="str" cm="1">
        <f t="array" aca="1" ref="B101" ca="1">IF(A101&lt;&gt;"",_xlfn.XLOOKUP(Laufwege!A101,OFFSET(IN_Verknüpfungen!L$4,0,0,IN_Verknüpfungen!A$2,1),OFFSET(IN_Verknüpfungen!N$4,0,0,IN_Verknüpfungen!A$2,1),""),"")</f>
        <v>462-1.0</v>
      </c>
      <c r="C101" s="55">
        <f ca="1">IF(A101&lt;&gt;"",SUMIFS(OFFSET(IN_Verknüpfungen!M$4,0,0,IN_Verknüpfungen!A$2,1),OFFSET(IN_Verknüpfungen!O$4,0,0,IN_Verknüpfungen!A$2,1),Laufwege!A101),0)</f>
        <v>479247</v>
      </c>
      <c r="D101" s="55" cm="1">
        <f t="array" aca="1" ref="D101" ca="1">IF(B101&lt;&gt;"",_xlfn.XLOOKUP(B101,OFFSET(IN_Stammdaten!$A$4,0,0,IN_Stammdaten!$A$2,1),OFFSET(IN_Stammdaten!$C$4,0,0,IN_Stammdaten!$A$2,1),""),"")</f>
        <v>0</v>
      </c>
      <c r="E101" s="55" t="str">
        <f t="shared" ca="1" si="2"/>
        <v>nein</v>
      </c>
      <c r="F101" s="69" t="str">
        <f t="shared" ca="1" si="3"/>
        <v>Composition 98 (462-1.0)</v>
      </c>
      <c r="G101" s="70" cm="1">
        <f t="array" aca="1" ref="G101" ca="1">_xlfn.NUMBERVALUE(_xlfn.XLOOKUP(A101,OFFSET(IN_Verknüpfungen!$L$4,0,0,IN_Verknüpfungen!$A$2,1),OFFSET(IN_Verknüpfungen!$Q$4,0,0,IN_Verknüpfungen!$A$2,1)))</f>
        <v>0.28868055555555555</v>
      </c>
      <c r="H101" s="70" cm="1">
        <f t="array" aca="1" ref="H101" ca="1">_xlfn.NUMBERVALUE(_xlfn.XLOOKUP(A101,OFFSET(IN_Verknüpfungen!$L$4,0,0,IN_Verknüpfungen!$A$2,1),OFFSET(IN_Verknüpfungen!$F$4,0,0,IN_Verknüpfungen!$A$2,1)))-G101</f>
        <v>0.11060185185185184</v>
      </c>
      <c r="I101" s="70" cm="1">
        <f t="array" aca="1" ref="I101" ca="1">_xlfn.NUMBERVALUE(_xlfn.XLOOKUP(1,(OFFSET(IN_Verknüpfungen!$O$4,0,0,IN_Verknüpfungen!$A$2,1)=$A101)*(OFFSET(IN_Verknüpfungen!$P$4,0,0,IN_Verknüpfungen!$A$2,1)=J$3),OFFSET(IN_Verknüpfungen!$J$4,0,0,IN_Verknüpfungen!$A$2,1)))-SUM($G101:H101)</f>
        <v>1.0451388888888913E-2</v>
      </c>
      <c r="J101" s="70" cm="1">
        <f t="array" aca="1" ref="J101" ca="1">_xlfn.NUMBERVALUE(_xlfn.XLOOKUP(1,(OFFSET(IN_Verknüpfungen!$O$4,0,0,IN_Verknüpfungen!$A$2,1)=$A101)*(OFFSET(IN_Verknüpfungen!$P$4,0,0,IN_Verknüpfungen!$A$2,1)=J$3+1),OFFSET(IN_Verknüpfungen!$F$4,0,0,IN_Verknüpfungen!$A$2,1)))-SUM($G101:I101)</f>
        <v>0.10318287037037038</v>
      </c>
      <c r="K101" s="70" cm="1">
        <f t="array" aca="1" ref="K101" ca="1">_xlfn.NUMBERVALUE(_xlfn.XLOOKUP(1,(OFFSET(IN_Verknüpfungen!$O$4,0,0,IN_Verknüpfungen!$A$2,1)=$A101)*(OFFSET(IN_Verknüpfungen!$P$4,0,0,IN_Verknüpfungen!$A$2,1)=L$3),OFFSET(IN_Verknüpfungen!$J$4,0,0,IN_Verknüpfungen!$A$2,1)))-SUM($G101:J101)</f>
        <v>6.9907407407406863E-3</v>
      </c>
      <c r="L101" s="70" t="e" cm="1">
        <f t="array" aca="1" ref="L101" ca="1">_xlfn.NUMBERVALUE(_xlfn.XLOOKUP(1,(OFFSET(IN_Verknüpfungen!$O$4,0,0,IN_Verknüpfungen!$A$2,1)=$A101)*(OFFSET(IN_Verknüpfungen!$P$4,0,0,IN_Verknüpfungen!$A$2,1)=L$3+1),OFFSET(IN_Verknüpfungen!$F$4,0,0,IN_Verknüpfungen!$A$2,1)))-SUM($G101:K101)</f>
        <v>#N/A</v>
      </c>
      <c r="M101" s="70" t="e" cm="1">
        <f t="array" aca="1" ref="M101" ca="1">_xlfn.NUMBERVALUE(_xlfn.XLOOKUP(1,(OFFSET(IN_Verknüpfungen!$O$4,0,0,IN_Verknüpfungen!$A$2,1)=$A101)*(OFFSET(IN_Verknüpfungen!$P$4,0,0,IN_Verknüpfungen!$A$2,1)=N$3),OFFSET(IN_Verknüpfungen!$J$4,0,0,IN_Verknüpfungen!$A$2,1)))-SUM($G101:L101)</f>
        <v>#N/A</v>
      </c>
      <c r="N101" s="70" t="e" cm="1">
        <f t="array" aca="1" ref="N101" ca="1">_xlfn.NUMBERVALUE(_xlfn.XLOOKUP(1,(OFFSET(IN_Verknüpfungen!$O$4,0,0,IN_Verknüpfungen!$A$2,1)=$A101)*(OFFSET(IN_Verknüpfungen!$P$4,0,0,IN_Verknüpfungen!$A$2,1)=N$3+1),OFFSET(IN_Verknüpfungen!$F$4,0,0,IN_Verknüpfungen!$A$2,1)))-SUM($G101:M101)</f>
        <v>#N/A</v>
      </c>
      <c r="O101" s="70" t="e" cm="1">
        <f t="array" aca="1" ref="O101" ca="1">_xlfn.NUMBERVALUE(_xlfn.XLOOKUP(1,(OFFSET(IN_Verknüpfungen!$O$4,0,0,IN_Verknüpfungen!$A$2,1)=$A101)*(OFFSET(IN_Verknüpfungen!$P$4,0,0,IN_Verknüpfungen!$A$2,1)=P$3),OFFSET(IN_Verknüpfungen!$J$4,0,0,IN_Verknüpfungen!$A$2,1)))-SUM($G101:N101)</f>
        <v>#N/A</v>
      </c>
      <c r="P101" s="70" t="e" cm="1">
        <f t="array" aca="1" ref="P101" ca="1">_xlfn.NUMBERVALUE(_xlfn.XLOOKUP(1,(OFFSET(IN_Verknüpfungen!$O$4,0,0,IN_Verknüpfungen!$A$2,1)=$A101)*(OFFSET(IN_Verknüpfungen!$P$4,0,0,IN_Verknüpfungen!$A$2,1)=P$3+1),OFFSET(IN_Verknüpfungen!$F$4,0,0,IN_Verknüpfungen!$A$2,1)))-SUM($G101:O101)</f>
        <v>#N/A</v>
      </c>
      <c r="Q101" s="70" t="e" cm="1">
        <f t="array" aca="1" ref="Q101" ca="1">_xlfn.NUMBERVALUE(_xlfn.XLOOKUP(1,(OFFSET(IN_Verknüpfungen!$O$4,0,0,IN_Verknüpfungen!$A$2,1)=$A101)*(OFFSET(IN_Verknüpfungen!$P$4,0,0,IN_Verknüpfungen!$A$2,1)=R$3),OFFSET(IN_Verknüpfungen!$J$4,0,0,IN_Verknüpfungen!$A$2,1)))-SUM($G101:P101)</f>
        <v>#N/A</v>
      </c>
      <c r="R101" s="70" t="e" cm="1">
        <f t="array" aca="1" ref="R101" ca="1">_xlfn.NUMBERVALUE(_xlfn.XLOOKUP(1,(OFFSET(IN_Verknüpfungen!$O$4,0,0,IN_Verknüpfungen!$A$2,1)=$A101)*(OFFSET(IN_Verknüpfungen!$P$4,0,0,IN_Verknüpfungen!$A$2,1)=R$3+1),OFFSET(IN_Verknüpfungen!$F$4,0,0,IN_Verknüpfungen!$A$2,1)))-SUM($G101:Q101)</f>
        <v>#N/A</v>
      </c>
      <c r="S101" s="70" t="e" cm="1">
        <f t="array" aca="1" ref="S101" ca="1">_xlfn.NUMBERVALUE(_xlfn.XLOOKUP(1,(OFFSET(IN_Verknüpfungen!$O$4,0,0,IN_Verknüpfungen!$A$2,1)=$A101)*(OFFSET(IN_Verknüpfungen!$P$4,0,0,IN_Verknüpfungen!$A$2,1)=T$3),OFFSET(IN_Verknüpfungen!$J$4,0,0,IN_Verknüpfungen!$A$2,1)))-SUM($G101:R101)</f>
        <v>#N/A</v>
      </c>
      <c r="T101" s="70" t="e" cm="1">
        <f t="array" aca="1" ref="T101" ca="1">_xlfn.NUMBERVALUE(_xlfn.XLOOKUP(1,(OFFSET(IN_Verknüpfungen!$O$4,0,0,IN_Verknüpfungen!$A$2,1)=$A101)*(OFFSET(IN_Verknüpfungen!$P$4,0,0,IN_Verknüpfungen!$A$2,1)=T$3+1),OFFSET(IN_Verknüpfungen!$F$4,0,0,IN_Verknüpfungen!$A$2,1)))-SUM($G101:S101)</f>
        <v>#N/A</v>
      </c>
      <c r="U101" s="70" t="e" cm="1">
        <f t="array" aca="1" ref="U101" ca="1">_xlfn.NUMBERVALUE(_xlfn.XLOOKUP(1,(OFFSET(IN_Verknüpfungen!$O$4,0,0,IN_Verknüpfungen!$A$2,1)=$A101)*(OFFSET(IN_Verknüpfungen!$P$4,0,0,IN_Verknüpfungen!$A$2,1)=V$3),OFFSET(IN_Verknüpfungen!$J$4,0,0,IN_Verknüpfungen!$A$2,1)))-SUM($G101:T101)</f>
        <v>#N/A</v>
      </c>
      <c r="V101" s="70" t="e" cm="1">
        <f t="array" aca="1" ref="V101" ca="1">_xlfn.NUMBERVALUE(_xlfn.XLOOKUP(1,(OFFSET(IN_Verknüpfungen!$O$4,0,0,IN_Verknüpfungen!$A$2,1)=$A101)*(OFFSET(IN_Verknüpfungen!$P$4,0,0,IN_Verknüpfungen!$A$2,1)=V$3+1),OFFSET(IN_Verknüpfungen!$F$4,0,0,IN_Verknüpfungen!$A$2,1)))-SUM($G101:U101)</f>
        <v>#N/A</v>
      </c>
      <c r="W101" s="70" t="e" cm="1">
        <f t="array" aca="1" ref="W101" ca="1">_xlfn.NUMBERVALUE(_xlfn.XLOOKUP(1,(OFFSET(IN_Verknüpfungen!$O$4,0,0,IN_Verknüpfungen!$A$2,1)=$A101)*(OFFSET(IN_Verknüpfungen!$P$4,0,0,IN_Verknüpfungen!$A$2,1)=X$3),OFFSET(IN_Verknüpfungen!$J$4,0,0,IN_Verknüpfungen!$A$2,1)))-SUM($G101:V101)</f>
        <v>#N/A</v>
      </c>
      <c r="X101" s="70" t="e" cm="1">
        <f t="array" aca="1" ref="X101" ca="1">_xlfn.NUMBERVALUE(_xlfn.XLOOKUP(1,(OFFSET(IN_Verknüpfungen!$O$4,0,0,IN_Verknüpfungen!$A$2,1)=$A101)*(OFFSET(IN_Verknüpfungen!$P$4,0,0,IN_Verknüpfungen!$A$2,1)=X$3+1),OFFSET(IN_Verknüpfungen!$F$4,0,0,IN_Verknüpfungen!$A$2,1)))-SUM($G101:W101)</f>
        <v>#N/A</v>
      </c>
      <c r="Y101" s="70" t="e" cm="1">
        <f t="array" aca="1" ref="Y101" ca="1">_xlfn.NUMBERVALUE(_xlfn.XLOOKUP(1,(OFFSET(IN_Verknüpfungen!$O$4,0,0,IN_Verknüpfungen!$A$2,1)=$A101)*(OFFSET(IN_Verknüpfungen!$P$4,0,0,IN_Verknüpfungen!$A$2,1)=Z$3),OFFSET(IN_Verknüpfungen!$J$4,0,0,IN_Verknüpfungen!$A$2,1)))-SUM($G101:X101)</f>
        <v>#N/A</v>
      </c>
      <c r="Z101" s="70" t="e" cm="1">
        <f t="array" aca="1" ref="Z101" ca="1">_xlfn.NUMBERVALUE(_xlfn.XLOOKUP(1,(OFFSET(IN_Verknüpfungen!$O$4,0,0,IN_Verknüpfungen!$A$2,1)=$A101)*(OFFSET(IN_Verknüpfungen!$P$4,0,0,IN_Verknüpfungen!$A$2,1)=Z$3+1),OFFSET(IN_Verknüpfungen!$F$4,0,0,IN_Verknüpfungen!$A$2,1)))-SUM($G101:Y101)</f>
        <v>#N/A</v>
      </c>
      <c r="AA101" s="70" t="e" cm="1">
        <f t="array" aca="1" ref="AA101" ca="1">_xlfn.NUMBERVALUE(_xlfn.XLOOKUP(1,(OFFSET(IN_Verknüpfungen!$O$4,0,0,IN_Verknüpfungen!$A$2,1)=$A101)*(OFFSET(IN_Verknüpfungen!$P$4,0,0,IN_Verknüpfungen!$A$2,1)=AB$3),OFFSET(IN_Verknüpfungen!$J$4,0,0,IN_Verknüpfungen!$A$2,1)))-SUM($G101:Z101)</f>
        <v>#N/A</v>
      </c>
      <c r="AB101" s="70" t="e" cm="1">
        <f t="array" aca="1" ref="AB101" ca="1">_xlfn.NUMBERVALUE(_xlfn.XLOOKUP(1,(OFFSET(IN_Verknüpfungen!$O$4,0,0,IN_Verknüpfungen!$A$2,1)=$A101)*(OFFSET(IN_Verknüpfungen!$P$4,0,0,IN_Verknüpfungen!$A$2,1)=AB$3+1),OFFSET(IN_Verknüpfungen!$F$4,0,0,IN_Verknüpfungen!$A$2,1)))-SUM($G101:AA101)</f>
        <v>#N/A</v>
      </c>
    </row>
    <row r="102" spans="1:28" x14ac:dyDescent="0.2">
      <c r="A102" s="56" t="str">
        <f ca="1"/>
        <v>Composition 99</v>
      </c>
      <c r="B102" s="55" t="str" cm="1">
        <f t="array" aca="1" ref="B102" ca="1">IF(A102&lt;&gt;"",_xlfn.XLOOKUP(Laufwege!A102,OFFSET(IN_Verknüpfungen!L$4,0,0,IN_Verknüpfungen!A$2,1),OFFSET(IN_Verknüpfungen!N$4,0,0,IN_Verknüpfungen!A$2,1),""),"")</f>
        <v>462-1.0</v>
      </c>
      <c r="C102" s="55">
        <f ca="1">IF(A102&lt;&gt;"",SUMIFS(OFFSET(IN_Verknüpfungen!M$4,0,0,IN_Verknüpfungen!A$2,1),OFFSET(IN_Verknüpfungen!O$4,0,0,IN_Verknüpfungen!A$2,1),Laufwege!A102),0)</f>
        <v>720962</v>
      </c>
      <c r="D102" s="55" cm="1">
        <f t="array" aca="1" ref="D102" ca="1">IF(B102&lt;&gt;"",_xlfn.XLOOKUP(B102,OFFSET(IN_Stammdaten!$A$4,0,0,IN_Stammdaten!$A$2,1),OFFSET(IN_Stammdaten!$C$4,0,0,IN_Stammdaten!$A$2,1),""),"")</f>
        <v>0</v>
      </c>
      <c r="E102" s="55" t="str">
        <f t="shared" ca="1" si="2"/>
        <v>nein</v>
      </c>
      <c r="F102" s="69" t="str">
        <f t="shared" ca="1" si="3"/>
        <v>Composition 99 (462-1.0)</v>
      </c>
      <c r="G102" s="70" cm="1">
        <f t="array" aca="1" ref="G102" ca="1">_xlfn.NUMBERVALUE(_xlfn.XLOOKUP(A102,OFFSET(IN_Verknüpfungen!$L$4,0,0,IN_Verknüpfungen!$A$2,1),OFFSET(IN_Verknüpfungen!$Q$4,0,0,IN_Verknüpfungen!$A$2,1)))</f>
        <v>0.2845138888888889</v>
      </c>
      <c r="H102" s="70" cm="1">
        <f t="array" aca="1" ref="H102" ca="1">_xlfn.NUMBERVALUE(_xlfn.XLOOKUP(A102,OFFSET(IN_Verknüpfungen!$L$4,0,0,IN_Verknüpfungen!$A$2,1),OFFSET(IN_Verknüpfungen!$F$4,0,0,IN_Verknüpfungen!$A$2,1)))-G102</f>
        <v>0.11662037037037037</v>
      </c>
      <c r="I102" s="70" cm="1">
        <f t="array" aca="1" ref="I102" ca="1">_xlfn.NUMBERVALUE(_xlfn.XLOOKUP(1,(OFFSET(IN_Verknüpfungen!$O$4,0,0,IN_Verknüpfungen!$A$2,1)=$A102)*(OFFSET(IN_Verknüpfungen!$P$4,0,0,IN_Verknüpfungen!$A$2,1)=J$3),OFFSET(IN_Verknüpfungen!$J$4,0,0,IN_Verknüpfungen!$A$2,1)))-SUM($G102:H102)</f>
        <v>2.2939814814814774E-2</v>
      </c>
      <c r="J102" s="70" cm="1">
        <f t="array" aca="1" ref="J102" ca="1">_xlfn.NUMBERVALUE(_xlfn.XLOOKUP(1,(OFFSET(IN_Verknüpfungen!$O$4,0,0,IN_Verknüpfungen!$A$2,1)=$A102)*(OFFSET(IN_Verknüpfungen!$P$4,0,0,IN_Verknüpfungen!$A$2,1)=J$3+1),OFFSET(IN_Verknüpfungen!$F$4,0,0,IN_Verknüpfungen!$A$2,1)))-SUM($G102:I102)</f>
        <v>0.12287037037037041</v>
      </c>
      <c r="K102" s="70" cm="1">
        <f t="array" aca="1" ref="K102" ca="1">_xlfn.NUMBERVALUE(_xlfn.XLOOKUP(1,(OFFSET(IN_Verknüpfungen!$O$4,0,0,IN_Verknüpfungen!$A$2,1)=$A102)*(OFFSET(IN_Verknüpfungen!$P$4,0,0,IN_Verknüpfungen!$A$2,1)=L$3),OFFSET(IN_Verknüpfungen!$J$4,0,0,IN_Verknüpfungen!$A$2,1)))-SUM($G102:J102)</f>
        <v>1.6666666666666607E-2</v>
      </c>
      <c r="L102" s="70" t="e" cm="1">
        <f t="array" aca="1" ref="L102" ca="1">_xlfn.NUMBERVALUE(_xlfn.XLOOKUP(1,(OFFSET(IN_Verknüpfungen!$O$4,0,0,IN_Verknüpfungen!$A$2,1)=$A102)*(OFFSET(IN_Verknüpfungen!$P$4,0,0,IN_Verknüpfungen!$A$2,1)=L$3+1),OFFSET(IN_Verknüpfungen!$F$4,0,0,IN_Verknüpfungen!$A$2,1)))-SUM($G102:K102)</f>
        <v>#N/A</v>
      </c>
      <c r="M102" s="70" t="e" cm="1">
        <f t="array" aca="1" ref="M102" ca="1">_xlfn.NUMBERVALUE(_xlfn.XLOOKUP(1,(OFFSET(IN_Verknüpfungen!$O$4,0,0,IN_Verknüpfungen!$A$2,1)=$A102)*(OFFSET(IN_Verknüpfungen!$P$4,0,0,IN_Verknüpfungen!$A$2,1)=N$3),OFFSET(IN_Verknüpfungen!$J$4,0,0,IN_Verknüpfungen!$A$2,1)))-SUM($G102:L102)</f>
        <v>#N/A</v>
      </c>
      <c r="N102" s="70" t="e" cm="1">
        <f t="array" aca="1" ref="N102" ca="1">_xlfn.NUMBERVALUE(_xlfn.XLOOKUP(1,(OFFSET(IN_Verknüpfungen!$O$4,0,0,IN_Verknüpfungen!$A$2,1)=$A102)*(OFFSET(IN_Verknüpfungen!$P$4,0,0,IN_Verknüpfungen!$A$2,1)=N$3+1),OFFSET(IN_Verknüpfungen!$F$4,0,0,IN_Verknüpfungen!$A$2,1)))-SUM($G102:M102)</f>
        <v>#N/A</v>
      </c>
      <c r="O102" s="70" t="e" cm="1">
        <f t="array" aca="1" ref="O102" ca="1">_xlfn.NUMBERVALUE(_xlfn.XLOOKUP(1,(OFFSET(IN_Verknüpfungen!$O$4,0,0,IN_Verknüpfungen!$A$2,1)=$A102)*(OFFSET(IN_Verknüpfungen!$P$4,0,0,IN_Verknüpfungen!$A$2,1)=P$3),OFFSET(IN_Verknüpfungen!$J$4,0,0,IN_Verknüpfungen!$A$2,1)))-SUM($G102:N102)</f>
        <v>#N/A</v>
      </c>
      <c r="P102" s="70" t="e" cm="1">
        <f t="array" aca="1" ref="P102" ca="1">_xlfn.NUMBERVALUE(_xlfn.XLOOKUP(1,(OFFSET(IN_Verknüpfungen!$O$4,0,0,IN_Verknüpfungen!$A$2,1)=$A102)*(OFFSET(IN_Verknüpfungen!$P$4,0,0,IN_Verknüpfungen!$A$2,1)=P$3+1),OFFSET(IN_Verknüpfungen!$F$4,0,0,IN_Verknüpfungen!$A$2,1)))-SUM($G102:O102)</f>
        <v>#N/A</v>
      </c>
      <c r="Q102" s="70" t="e" cm="1">
        <f t="array" aca="1" ref="Q102" ca="1">_xlfn.NUMBERVALUE(_xlfn.XLOOKUP(1,(OFFSET(IN_Verknüpfungen!$O$4,0,0,IN_Verknüpfungen!$A$2,1)=$A102)*(OFFSET(IN_Verknüpfungen!$P$4,0,0,IN_Verknüpfungen!$A$2,1)=R$3),OFFSET(IN_Verknüpfungen!$J$4,0,0,IN_Verknüpfungen!$A$2,1)))-SUM($G102:P102)</f>
        <v>#N/A</v>
      </c>
      <c r="R102" s="70" t="e" cm="1">
        <f t="array" aca="1" ref="R102" ca="1">_xlfn.NUMBERVALUE(_xlfn.XLOOKUP(1,(OFFSET(IN_Verknüpfungen!$O$4,0,0,IN_Verknüpfungen!$A$2,1)=$A102)*(OFFSET(IN_Verknüpfungen!$P$4,0,0,IN_Verknüpfungen!$A$2,1)=R$3+1),OFFSET(IN_Verknüpfungen!$F$4,0,0,IN_Verknüpfungen!$A$2,1)))-SUM($G102:Q102)</f>
        <v>#N/A</v>
      </c>
      <c r="S102" s="70" t="e" cm="1">
        <f t="array" aca="1" ref="S102" ca="1">_xlfn.NUMBERVALUE(_xlfn.XLOOKUP(1,(OFFSET(IN_Verknüpfungen!$O$4,0,0,IN_Verknüpfungen!$A$2,1)=$A102)*(OFFSET(IN_Verknüpfungen!$P$4,0,0,IN_Verknüpfungen!$A$2,1)=T$3),OFFSET(IN_Verknüpfungen!$J$4,0,0,IN_Verknüpfungen!$A$2,1)))-SUM($G102:R102)</f>
        <v>#N/A</v>
      </c>
      <c r="T102" s="70" t="e" cm="1">
        <f t="array" aca="1" ref="T102" ca="1">_xlfn.NUMBERVALUE(_xlfn.XLOOKUP(1,(OFFSET(IN_Verknüpfungen!$O$4,0,0,IN_Verknüpfungen!$A$2,1)=$A102)*(OFFSET(IN_Verknüpfungen!$P$4,0,0,IN_Verknüpfungen!$A$2,1)=T$3+1),OFFSET(IN_Verknüpfungen!$F$4,0,0,IN_Verknüpfungen!$A$2,1)))-SUM($G102:S102)</f>
        <v>#N/A</v>
      </c>
      <c r="U102" s="70" t="e" cm="1">
        <f t="array" aca="1" ref="U102" ca="1">_xlfn.NUMBERVALUE(_xlfn.XLOOKUP(1,(OFFSET(IN_Verknüpfungen!$O$4,0,0,IN_Verknüpfungen!$A$2,1)=$A102)*(OFFSET(IN_Verknüpfungen!$P$4,0,0,IN_Verknüpfungen!$A$2,1)=V$3),OFFSET(IN_Verknüpfungen!$J$4,0,0,IN_Verknüpfungen!$A$2,1)))-SUM($G102:T102)</f>
        <v>#N/A</v>
      </c>
      <c r="V102" s="70" t="e" cm="1">
        <f t="array" aca="1" ref="V102" ca="1">_xlfn.NUMBERVALUE(_xlfn.XLOOKUP(1,(OFFSET(IN_Verknüpfungen!$O$4,0,0,IN_Verknüpfungen!$A$2,1)=$A102)*(OFFSET(IN_Verknüpfungen!$P$4,0,0,IN_Verknüpfungen!$A$2,1)=V$3+1),OFFSET(IN_Verknüpfungen!$F$4,0,0,IN_Verknüpfungen!$A$2,1)))-SUM($G102:U102)</f>
        <v>#N/A</v>
      </c>
      <c r="W102" s="70" t="e" cm="1">
        <f t="array" aca="1" ref="W102" ca="1">_xlfn.NUMBERVALUE(_xlfn.XLOOKUP(1,(OFFSET(IN_Verknüpfungen!$O$4,0,0,IN_Verknüpfungen!$A$2,1)=$A102)*(OFFSET(IN_Verknüpfungen!$P$4,0,0,IN_Verknüpfungen!$A$2,1)=X$3),OFFSET(IN_Verknüpfungen!$J$4,0,0,IN_Verknüpfungen!$A$2,1)))-SUM($G102:V102)</f>
        <v>#N/A</v>
      </c>
      <c r="X102" s="70" t="e" cm="1">
        <f t="array" aca="1" ref="X102" ca="1">_xlfn.NUMBERVALUE(_xlfn.XLOOKUP(1,(OFFSET(IN_Verknüpfungen!$O$4,0,0,IN_Verknüpfungen!$A$2,1)=$A102)*(OFFSET(IN_Verknüpfungen!$P$4,0,0,IN_Verknüpfungen!$A$2,1)=X$3+1),OFFSET(IN_Verknüpfungen!$F$4,0,0,IN_Verknüpfungen!$A$2,1)))-SUM($G102:W102)</f>
        <v>#N/A</v>
      </c>
      <c r="Y102" s="70" t="e" cm="1">
        <f t="array" aca="1" ref="Y102" ca="1">_xlfn.NUMBERVALUE(_xlfn.XLOOKUP(1,(OFFSET(IN_Verknüpfungen!$O$4,0,0,IN_Verknüpfungen!$A$2,1)=$A102)*(OFFSET(IN_Verknüpfungen!$P$4,0,0,IN_Verknüpfungen!$A$2,1)=Z$3),OFFSET(IN_Verknüpfungen!$J$4,0,0,IN_Verknüpfungen!$A$2,1)))-SUM($G102:X102)</f>
        <v>#N/A</v>
      </c>
      <c r="Z102" s="70" t="e" cm="1">
        <f t="array" aca="1" ref="Z102" ca="1">_xlfn.NUMBERVALUE(_xlfn.XLOOKUP(1,(OFFSET(IN_Verknüpfungen!$O$4,0,0,IN_Verknüpfungen!$A$2,1)=$A102)*(OFFSET(IN_Verknüpfungen!$P$4,0,0,IN_Verknüpfungen!$A$2,1)=Z$3+1),OFFSET(IN_Verknüpfungen!$F$4,0,0,IN_Verknüpfungen!$A$2,1)))-SUM($G102:Y102)</f>
        <v>#N/A</v>
      </c>
      <c r="AA102" s="70" t="e" cm="1">
        <f t="array" aca="1" ref="AA102" ca="1">_xlfn.NUMBERVALUE(_xlfn.XLOOKUP(1,(OFFSET(IN_Verknüpfungen!$O$4,0,0,IN_Verknüpfungen!$A$2,1)=$A102)*(OFFSET(IN_Verknüpfungen!$P$4,0,0,IN_Verknüpfungen!$A$2,1)=AB$3),OFFSET(IN_Verknüpfungen!$J$4,0,0,IN_Verknüpfungen!$A$2,1)))-SUM($G102:Z102)</f>
        <v>#N/A</v>
      </c>
      <c r="AB102" s="70" t="e" cm="1">
        <f t="array" aca="1" ref="AB102" ca="1">_xlfn.NUMBERVALUE(_xlfn.XLOOKUP(1,(OFFSET(IN_Verknüpfungen!$O$4,0,0,IN_Verknüpfungen!$A$2,1)=$A102)*(OFFSET(IN_Verknüpfungen!$P$4,0,0,IN_Verknüpfungen!$A$2,1)=AB$3+1),OFFSET(IN_Verknüpfungen!$F$4,0,0,IN_Verknüpfungen!$A$2,1)))-SUM($G102:AA102)</f>
        <v>#N/A</v>
      </c>
    </row>
    <row r="103" spans="1:28" x14ac:dyDescent="0.2">
      <c r="A103" s="56" t="str">
        <f ca="1"/>
        <v>Composition 100</v>
      </c>
      <c r="B103" s="55" t="str" cm="1">
        <f t="array" aca="1" ref="B103" ca="1">IF(A103&lt;&gt;"",_xlfn.XLOOKUP(Laufwege!A103,OFFSET(IN_Verknüpfungen!L$4,0,0,IN_Verknüpfungen!A$2,1),OFFSET(IN_Verknüpfungen!N$4,0,0,IN_Verknüpfungen!A$2,1),""),"")</f>
        <v>462-1.0</v>
      </c>
      <c r="C103" s="55">
        <f ca="1">IF(A103&lt;&gt;"",SUMIFS(OFFSET(IN_Verknüpfungen!M$4,0,0,IN_Verknüpfungen!A$2,1),OFFSET(IN_Verknüpfungen!O$4,0,0,IN_Verknüpfungen!A$2,1),Laufwege!A103),0)</f>
        <v>540576</v>
      </c>
      <c r="D103" s="55" cm="1">
        <f t="array" aca="1" ref="D103" ca="1">IF(B103&lt;&gt;"",_xlfn.XLOOKUP(B103,OFFSET(IN_Stammdaten!$A$4,0,0,IN_Stammdaten!$A$2,1),OFFSET(IN_Stammdaten!$C$4,0,0,IN_Stammdaten!$A$2,1),""),"")</f>
        <v>0</v>
      </c>
      <c r="E103" s="55" t="str">
        <f t="shared" ca="1" si="2"/>
        <v>nein</v>
      </c>
      <c r="F103" s="69" t="str">
        <f t="shared" ca="1" si="3"/>
        <v>Composition 100 (462-1.0)</v>
      </c>
      <c r="G103" s="70" cm="1">
        <f t="array" aca="1" ref="G103" ca="1">_xlfn.NUMBERVALUE(_xlfn.XLOOKUP(A103,OFFSET(IN_Verknüpfungen!$L$4,0,0,IN_Verknüpfungen!$A$2,1),OFFSET(IN_Verknüpfungen!$Q$4,0,0,IN_Verknüpfungen!$A$2,1)))</f>
        <v>0.29465277777777776</v>
      </c>
      <c r="H103" s="70" cm="1">
        <f t="array" aca="1" ref="H103" ca="1">_xlfn.NUMBERVALUE(_xlfn.XLOOKUP(A103,OFFSET(IN_Verknüpfungen!$L$4,0,0,IN_Verknüpfungen!$A$2,1),OFFSET(IN_Verknüpfungen!$F$4,0,0,IN_Verknüpfungen!$A$2,1)))-G103</f>
        <v>0.10744212962962962</v>
      </c>
      <c r="I103" s="70" cm="1">
        <f t="array" aca="1" ref="I103" ca="1">_xlfn.NUMBERVALUE(_xlfn.XLOOKUP(1,(OFFSET(IN_Verknüpfungen!$O$4,0,0,IN_Verknüpfungen!$A$2,1)=$A103)*(OFFSET(IN_Verknüpfungen!$P$4,0,0,IN_Verknüpfungen!$A$2,1)=J$3),OFFSET(IN_Verknüpfungen!$J$4,0,0,IN_Verknüpfungen!$A$2,1)))-SUM($G103:H103)</f>
        <v>1.751157407407411E-2</v>
      </c>
      <c r="J103" s="70" cm="1">
        <f t="array" aca="1" ref="J103" ca="1">_xlfn.NUMBERVALUE(_xlfn.XLOOKUP(1,(OFFSET(IN_Verknüpfungen!$O$4,0,0,IN_Verknüpfungen!$A$2,1)=$A103)*(OFFSET(IN_Verknüpfungen!$P$4,0,0,IN_Verknüpfungen!$A$2,1)=J$3+1),OFFSET(IN_Verknüpfungen!$F$4,0,0,IN_Verknüpfungen!$A$2,1)))-SUM($G103:I103)</f>
        <v>9.504629629629624E-2</v>
      </c>
      <c r="K103" s="70" cm="1">
        <f t="array" aca="1" ref="K103" ca="1">_xlfn.NUMBERVALUE(_xlfn.XLOOKUP(1,(OFFSET(IN_Verknüpfungen!$O$4,0,0,IN_Verknüpfungen!$A$2,1)=$A103)*(OFFSET(IN_Verknüpfungen!$P$4,0,0,IN_Verknüpfungen!$A$2,1)=L$3),OFFSET(IN_Verknüpfungen!$J$4,0,0,IN_Verknüpfungen!$A$2,1)))-SUM($G103:J103)</f>
        <v>1.9259259259259309E-2</v>
      </c>
      <c r="L103" s="70" t="e" cm="1">
        <f t="array" aca="1" ref="L103" ca="1">_xlfn.NUMBERVALUE(_xlfn.XLOOKUP(1,(OFFSET(IN_Verknüpfungen!$O$4,0,0,IN_Verknüpfungen!$A$2,1)=$A103)*(OFFSET(IN_Verknüpfungen!$P$4,0,0,IN_Verknüpfungen!$A$2,1)=L$3+1),OFFSET(IN_Verknüpfungen!$F$4,0,0,IN_Verknüpfungen!$A$2,1)))-SUM($G103:K103)</f>
        <v>#N/A</v>
      </c>
      <c r="M103" s="70" t="e" cm="1">
        <f t="array" aca="1" ref="M103" ca="1">_xlfn.NUMBERVALUE(_xlfn.XLOOKUP(1,(OFFSET(IN_Verknüpfungen!$O$4,0,0,IN_Verknüpfungen!$A$2,1)=$A103)*(OFFSET(IN_Verknüpfungen!$P$4,0,0,IN_Verknüpfungen!$A$2,1)=N$3),OFFSET(IN_Verknüpfungen!$J$4,0,0,IN_Verknüpfungen!$A$2,1)))-SUM($G103:L103)</f>
        <v>#N/A</v>
      </c>
      <c r="N103" s="70" t="e" cm="1">
        <f t="array" aca="1" ref="N103" ca="1">_xlfn.NUMBERVALUE(_xlfn.XLOOKUP(1,(OFFSET(IN_Verknüpfungen!$O$4,0,0,IN_Verknüpfungen!$A$2,1)=$A103)*(OFFSET(IN_Verknüpfungen!$P$4,0,0,IN_Verknüpfungen!$A$2,1)=N$3+1),OFFSET(IN_Verknüpfungen!$F$4,0,0,IN_Verknüpfungen!$A$2,1)))-SUM($G103:M103)</f>
        <v>#N/A</v>
      </c>
      <c r="O103" s="70" t="e" cm="1">
        <f t="array" aca="1" ref="O103" ca="1">_xlfn.NUMBERVALUE(_xlfn.XLOOKUP(1,(OFFSET(IN_Verknüpfungen!$O$4,0,0,IN_Verknüpfungen!$A$2,1)=$A103)*(OFFSET(IN_Verknüpfungen!$P$4,0,0,IN_Verknüpfungen!$A$2,1)=P$3),OFFSET(IN_Verknüpfungen!$J$4,0,0,IN_Verknüpfungen!$A$2,1)))-SUM($G103:N103)</f>
        <v>#N/A</v>
      </c>
      <c r="P103" s="70" t="e" cm="1">
        <f t="array" aca="1" ref="P103" ca="1">_xlfn.NUMBERVALUE(_xlfn.XLOOKUP(1,(OFFSET(IN_Verknüpfungen!$O$4,0,0,IN_Verknüpfungen!$A$2,1)=$A103)*(OFFSET(IN_Verknüpfungen!$P$4,0,0,IN_Verknüpfungen!$A$2,1)=P$3+1),OFFSET(IN_Verknüpfungen!$F$4,0,0,IN_Verknüpfungen!$A$2,1)))-SUM($G103:O103)</f>
        <v>#N/A</v>
      </c>
      <c r="Q103" s="70" t="e" cm="1">
        <f t="array" aca="1" ref="Q103" ca="1">_xlfn.NUMBERVALUE(_xlfn.XLOOKUP(1,(OFFSET(IN_Verknüpfungen!$O$4,0,0,IN_Verknüpfungen!$A$2,1)=$A103)*(OFFSET(IN_Verknüpfungen!$P$4,0,0,IN_Verknüpfungen!$A$2,1)=R$3),OFFSET(IN_Verknüpfungen!$J$4,0,0,IN_Verknüpfungen!$A$2,1)))-SUM($G103:P103)</f>
        <v>#N/A</v>
      </c>
      <c r="R103" s="70" t="e" cm="1">
        <f t="array" aca="1" ref="R103" ca="1">_xlfn.NUMBERVALUE(_xlfn.XLOOKUP(1,(OFFSET(IN_Verknüpfungen!$O$4,0,0,IN_Verknüpfungen!$A$2,1)=$A103)*(OFFSET(IN_Verknüpfungen!$P$4,0,0,IN_Verknüpfungen!$A$2,1)=R$3+1),OFFSET(IN_Verknüpfungen!$F$4,0,0,IN_Verknüpfungen!$A$2,1)))-SUM($G103:Q103)</f>
        <v>#N/A</v>
      </c>
      <c r="S103" s="70" t="e" cm="1">
        <f t="array" aca="1" ref="S103" ca="1">_xlfn.NUMBERVALUE(_xlfn.XLOOKUP(1,(OFFSET(IN_Verknüpfungen!$O$4,0,0,IN_Verknüpfungen!$A$2,1)=$A103)*(OFFSET(IN_Verknüpfungen!$P$4,0,0,IN_Verknüpfungen!$A$2,1)=T$3),OFFSET(IN_Verknüpfungen!$J$4,0,0,IN_Verknüpfungen!$A$2,1)))-SUM($G103:R103)</f>
        <v>#N/A</v>
      </c>
      <c r="T103" s="70" t="e" cm="1">
        <f t="array" aca="1" ref="T103" ca="1">_xlfn.NUMBERVALUE(_xlfn.XLOOKUP(1,(OFFSET(IN_Verknüpfungen!$O$4,0,0,IN_Verknüpfungen!$A$2,1)=$A103)*(OFFSET(IN_Verknüpfungen!$P$4,0,0,IN_Verknüpfungen!$A$2,1)=T$3+1),OFFSET(IN_Verknüpfungen!$F$4,0,0,IN_Verknüpfungen!$A$2,1)))-SUM($G103:S103)</f>
        <v>#N/A</v>
      </c>
      <c r="U103" s="70" t="e" cm="1">
        <f t="array" aca="1" ref="U103" ca="1">_xlfn.NUMBERVALUE(_xlfn.XLOOKUP(1,(OFFSET(IN_Verknüpfungen!$O$4,0,0,IN_Verknüpfungen!$A$2,1)=$A103)*(OFFSET(IN_Verknüpfungen!$P$4,0,0,IN_Verknüpfungen!$A$2,1)=V$3),OFFSET(IN_Verknüpfungen!$J$4,0,0,IN_Verknüpfungen!$A$2,1)))-SUM($G103:T103)</f>
        <v>#N/A</v>
      </c>
      <c r="V103" s="70" t="e" cm="1">
        <f t="array" aca="1" ref="V103" ca="1">_xlfn.NUMBERVALUE(_xlfn.XLOOKUP(1,(OFFSET(IN_Verknüpfungen!$O$4,0,0,IN_Verknüpfungen!$A$2,1)=$A103)*(OFFSET(IN_Verknüpfungen!$P$4,0,0,IN_Verknüpfungen!$A$2,1)=V$3+1),OFFSET(IN_Verknüpfungen!$F$4,0,0,IN_Verknüpfungen!$A$2,1)))-SUM($G103:U103)</f>
        <v>#N/A</v>
      </c>
      <c r="W103" s="70" t="e" cm="1">
        <f t="array" aca="1" ref="W103" ca="1">_xlfn.NUMBERVALUE(_xlfn.XLOOKUP(1,(OFFSET(IN_Verknüpfungen!$O$4,0,0,IN_Verknüpfungen!$A$2,1)=$A103)*(OFFSET(IN_Verknüpfungen!$P$4,0,0,IN_Verknüpfungen!$A$2,1)=X$3),OFFSET(IN_Verknüpfungen!$J$4,0,0,IN_Verknüpfungen!$A$2,1)))-SUM($G103:V103)</f>
        <v>#N/A</v>
      </c>
      <c r="X103" s="70" t="e" cm="1">
        <f t="array" aca="1" ref="X103" ca="1">_xlfn.NUMBERVALUE(_xlfn.XLOOKUP(1,(OFFSET(IN_Verknüpfungen!$O$4,0,0,IN_Verknüpfungen!$A$2,1)=$A103)*(OFFSET(IN_Verknüpfungen!$P$4,0,0,IN_Verknüpfungen!$A$2,1)=X$3+1),OFFSET(IN_Verknüpfungen!$F$4,0,0,IN_Verknüpfungen!$A$2,1)))-SUM($G103:W103)</f>
        <v>#N/A</v>
      </c>
      <c r="Y103" s="70" t="e" cm="1">
        <f t="array" aca="1" ref="Y103" ca="1">_xlfn.NUMBERVALUE(_xlfn.XLOOKUP(1,(OFFSET(IN_Verknüpfungen!$O$4,0,0,IN_Verknüpfungen!$A$2,1)=$A103)*(OFFSET(IN_Verknüpfungen!$P$4,0,0,IN_Verknüpfungen!$A$2,1)=Z$3),OFFSET(IN_Verknüpfungen!$J$4,0,0,IN_Verknüpfungen!$A$2,1)))-SUM($G103:X103)</f>
        <v>#N/A</v>
      </c>
      <c r="Z103" s="70" t="e" cm="1">
        <f t="array" aca="1" ref="Z103" ca="1">_xlfn.NUMBERVALUE(_xlfn.XLOOKUP(1,(OFFSET(IN_Verknüpfungen!$O$4,0,0,IN_Verknüpfungen!$A$2,1)=$A103)*(OFFSET(IN_Verknüpfungen!$P$4,0,0,IN_Verknüpfungen!$A$2,1)=Z$3+1),OFFSET(IN_Verknüpfungen!$F$4,0,0,IN_Verknüpfungen!$A$2,1)))-SUM($G103:Y103)</f>
        <v>#N/A</v>
      </c>
      <c r="AA103" s="70" t="e" cm="1">
        <f t="array" aca="1" ref="AA103" ca="1">_xlfn.NUMBERVALUE(_xlfn.XLOOKUP(1,(OFFSET(IN_Verknüpfungen!$O$4,0,0,IN_Verknüpfungen!$A$2,1)=$A103)*(OFFSET(IN_Verknüpfungen!$P$4,0,0,IN_Verknüpfungen!$A$2,1)=AB$3),OFFSET(IN_Verknüpfungen!$J$4,0,0,IN_Verknüpfungen!$A$2,1)))-SUM($G103:Z103)</f>
        <v>#N/A</v>
      </c>
      <c r="AB103" s="70" t="e" cm="1">
        <f t="array" aca="1" ref="AB103" ca="1">_xlfn.NUMBERVALUE(_xlfn.XLOOKUP(1,(OFFSET(IN_Verknüpfungen!$O$4,0,0,IN_Verknüpfungen!$A$2,1)=$A103)*(OFFSET(IN_Verknüpfungen!$P$4,0,0,IN_Verknüpfungen!$A$2,1)=AB$3+1),OFFSET(IN_Verknüpfungen!$F$4,0,0,IN_Verknüpfungen!$A$2,1)))-SUM($G103:AA103)</f>
        <v>#N/A</v>
      </c>
    </row>
    <row r="104" spans="1:28" x14ac:dyDescent="0.2">
      <c r="A104" s="56" t="str">
        <f ca="1"/>
        <v>Composition 101</v>
      </c>
      <c r="B104" s="55" t="str" cm="1">
        <f t="array" aca="1" ref="B104" ca="1">IF(A104&lt;&gt;"",_xlfn.XLOOKUP(Laufwege!A104,OFFSET(IN_Verknüpfungen!L$4,0,0,IN_Verknüpfungen!A$2,1),OFFSET(IN_Verknüpfungen!N$4,0,0,IN_Verknüpfungen!A$2,1),""),"")</f>
        <v>462-1.0</v>
      </c>
      <c r="C104" s="55">
        <f ca="1">IF(A104&lt;&gt;"",SUMIFS(OFFSET(IN_Verknüpfungen!M$4,0,0,IN_Verknüpfungen!A$2,1),OFFSET(IN_Verknüpfungen!O$4,0,0,IN_Verknüpfungen!A$2,1),Laufwege!A104),0)</f>
        <v>718189</v>
      </c>
      <c r="D104" s="55" cm="1">
        <f t="array" aca="1" ref="D104" ca="1">IF(B104&lt;&gt;"",_xlfn.XLOOKUP(B104,OFFSET(IN_Stammdaten!$A$4,0,0,IN_Stammdaten!$A$2,1),OFFSET(IN_Stammdaten!$C$4,0,0,IN_Stammdaten!$A$2,1),""),"")</f>
        <v>0</v>
      </c>
      <c r="E104" s="55" t="str">
        <f t="shared" ca="1" si="2"/>
        <v>nein</v>
      </c>
      <c r="F104" s="69" t="str">
        <f t="shared" ca="1" si="3"/>
        <v>Composition 101 (462-1.0)</v>
      </c>
      <c r="G104" s="70" cm="1">
        <f t="array" aca="1" ref="G104" ca="1">_xlfn.NUMBERVALUE(_xlfn.XLOOKUP(A104,OFFSET(IN_Verknüpfungen!$L$4,0,0,IN_Verknüpfungen!$A$2,1),OFFSET(IN_Verknüpfungen!$Q$4,0,0,IN_Verknüpfungen!$A$2,1)))</f>
        <v>0.28271990740740743</v>
      </c>
      <c r="H104" s="70" cm="1">
        <f t="array" aca="1" ref="H104" ca="1">_xlfn.NUMBERVALUE(_xlfn.XLOOKUP(A104,OFFSET(IN_Verknüpfungen!$L$4,0,0,IN_Verknüpfungen!$A$2,1),OFFSET(IN_Verknüpfungen!$F$4,0,0,IN_Verknüpfungen!$A$2,1)))-G104</f>
        <v>0.12003472222222222</v>
      </c>
      <c r="I104" s="70" cm="1">
        <f t="array" aca="1" ref="I104" ca="1">_xlfn.NUMBERVALUE(_xlfn.XLOOKUP(1,(OFFSET(IN_Verknüpfungen!$O$4,0,0,IN_Verknüpfungen!$A$2,1)=$A104)*(OFFSET(IN_Verknüpfungen!$P$4,0,0,IN_Verknüpfungen!$A$2,1)=J$3),OFFSET(IN_Verknüpfungen!$J$4,0,0,IN_Verknüpfungen!$A$2,1)))-SUM($G104:H104)</f>
        <v>1.3518518518518485E-2</v>
      </c>
      <c r="J104" s="70" cm="1">
        <f t="array" aca="1" ref="J104" ca="1">_xlfn.NUMBERVALUE(_xlfn.XLOOKUP(1,(OFFSET(IN_Verknüpfungen!$O$4,0,0,IN_Verknüpfungen!$A$2,1)=$A104)*(OFFSET(IN_Verknüpfungen!$P$4,0,0,IN_Verknüpfungen!$A$2,1)=J$3+1),OFFSET(IN_Verknüpfungen!$F$4,0,0,IN_Verknüpfungen!$A$2,1)))-SUM($G104:I104)</f>
        <v>0.10986111111111113</v>
      </c>
      <c r="K104" s="70" cm="1">
        <f t="array" aca="1" ref="K104" ca="1">_xlfn.NUMBERVALUE(_xlfn.XLOOKUP(1,(OFFSET(IN_Verknüpfungen!$O$4,0,0,IN_Verknüpfungen!$A$2,1)=$A104)*(OFFSET(IN_Verknüpfungen!$P$4,0,0,IN_Verknüpfungen!$A$2,1)=L$3),OFFSET(IN_Verknüpfungen!$J$4,0,0,IN_Verknüpfungen!$A$2,1)))-SUM($G104:J104)</f>
        <v>2.2939814814814774E-2</v>
      </c>
      <c r="L104" s="70" t="e" cm="1">
        <f t="array" aca="1" ref="L104" ca="1">_xlfn.NUMBERVALUE(_xlfn.XLOOKUP(1,(OFFSET(IN_Verknüpfungen!$O$4,0,0,IN_Verknüpfungen!$A$2,1)=$A104)*(OFFSET(IN_Verknüpfungen!$P$4,0,0,IN_Verknüpfungen!$A$2,1)=L$3+1),OFFSET(IN_Verknüpfungen!$F$4,0,0,IN_Verknüpfungen!$A$2,1)))-SUM($G104:K104)</f>
        <v>#N/A</v>
      </c>
      <c r="M104" s="70" t="e" cm="1">
        <f t="array" aca="1" ref="M104" ca="1">_xlfn.NUMBERVALUE(_xlfn.XLOOKUP(1,(OFFSET(IN_Verknüpfungen!$O$4,0,0,IN_Verknüpfungen!$A$2,1)=$A104)*(OFFSET(IN_Verknüpfungen!$P$4,0,0,IN_Verknüpfungen!$A$2,1)=N$3),OFFSET(IN_Verknüpfungen!$J$4,0,0,IN_Verknüpfungen!$A$2,1)))-SUM($G104:L104)</f>
        <v>#N/A</v>
      </c>
      <c r="N104" s="70" t="e" cm="1">
        <f t="array" aca="1" ref="N104" ca="1">_xlfn.NUMBERVALUE(_xlfn.XLOOKUP(1,(OFFSET(IN_Verknüpfungen!$O$4,0,0,IN_Verknüpfungen!$A$2,1)=$A104)*(OFFSET(IN_Verknüpfungen!$P$4,0,0,IN_Verknüpfungen!$A$2,1)=N$3+1),OFFSET(IN_Verknüpfungen!$F$4,0,0,IN_Verknüpfungen!$A$2,1)))-SUM($G104:M104)</f>
        <v>#N/A</v>
      </c>
      <c r="O104" s="70" t="e" cm="1">
        <f t="array" aca="1" ref="O104" ca="1">_xlfn.NUMBERVALUE(_xlfn.XLOOKUP(1,(OFFSET(IN_Verknüpfungen!$O$4,0,0,IN_Verknüpfungen!$A$2,1)=$A104)*(OFFSET(IN_Verknüpfungen!$P$4,0,0,IN_Verknüpfungen!$A$2,1)=P$3),OFFSET(IN_Verknüpfungen!$J$4,0,0,IN_Verknüpfungen!$A$2,1)))-SUM($G104:N104)</f>
        <v>#N/A</v>
      </c>
      <c r="P104" s="70" t="e" cm="1">
        <f t="array" aca="1" ref="P104" ca="1">_xlfn.NUMBERVALUE(_xlfn.XLOOKUP(1,(OFFSET(IN_Verknüpfungen!$O$4,0,0,IN_Verknüpfungen!$A$2,1)=$A104)*(OFFSET(IN_Verknüpfungen!$P$4,0,0,IN_Verknüpfungen!$A$2,1)=P$3+1),OFFSET(IN_Verknüpfungen!$F$4,0,0,IN_Verknüpfungen!$A$2,1)))-SUM($G104:O104)</f>
        <v>#N/A</v>
      </c>
      <c r="Q104" s="70" t="e" cm="1">
        <f t="array" aca="1" ref="Q104" ca="1">_xlfn.NUMBERVALUE(_xlfn.XLOOKUP(1,(OFFSET(IN_Verknüpfungen!$O$4,0,0,IN_Verknüpfungen!$A$2,1)=$A104)*(OFFSET(IN_Verknüpfungen!$P$4,0,0,IN_Verknüpfungen!$A$2,1)=R$3),OFFSET(IN_Verknüpfungen!$J$4,0,0,IN_Verknüpfungen!$A$2,1)))-SUM($G104:P104)</f>
        <v>#N/A</v>
      </c>
      <c r="R104" s="70" t="e" cm="1">
        <f t="array" aca="1" ref="R104" ca="1">_xlfn.NUMBERVALUE(_xlfn.XLOOKUP(1,(OFFSET(IN_Verknüpfungen!$O$4,0,0,IN_Verknüpfungen!$A$2,1)=$A104)*(OFFSET(IN_Verknüpfungen!$P$4,0,0,IN_Verknüpfungen!$A$2,1)=R$3+1),OFFSET(IN_Verknüpfungen!$F$4,0,0,IN_Verknüpfungen!$A$2,1)))-SUM($G104:Q104)</f>
        <v>#N/A</v>
      </c>
      <c r="S104" s="70" t="e" cm="1">
        <f t="array" aca="1" ref="S104" ca="1">_xlfn.NUMBERVALUE(_xlfn.XLOOKUP(1,(OFFSET(IN_Verknüpfungen!$O$4,0,0,IN_Verknüpfungen!$A$2,1)=$A104)*(OFFSET(IN_Verknüpfungen!$P$4,0,0,IN_Verknüpfungen!$A$2,1)=T$3),OFFSET(IN_Verknüpfungen!$J$4,0,0,IN_Verknüpfungen!$A$2,1)))-SUM($G104:R104)</f>
        <v>#N/A</v>
      </c>
      <c r="T104" s="70" t="e" cm="1">
        <f t="array" aca="1" ref="T104" ca="1">_xlfn.NUMBERVALUE(_xlfn.XLOOKUP(1,(OFFSET(IN_Verknüpfungen!$O$4,0,0,IN_Verknüpfungen!$A$2,1)=$A104)*(OFFSET(IN_Verknüpfungen!$P$4,0,0,IN_Verknüpfungen!$A$2,1)=T$3+1),OFFSET(IN_Verknüpfungen!$F$4,0,0,IN_Verknüpfungen!$A$2,1)))-SUM($G104:S104)</f>
        <v>#N/A</v>
      </c>
      <c r="U104" s="70" t="e" cm="1">
        <f t="array" aca="1" ref="U104" ca="1">_xlfn.NUMBERVALUE(_xlfn.XLOOKUP(1,(OFFSET(IN_Verknüpfungen!$O$4,0,0,IN_Verknüpfungen!$A$2,1)=$A104)*(OFFSET(IN_Verknüpfungen!$P$4,0,0,IN_Verknüpfungen!$A$2,1)=V$3),OFFSET(IN_Verknüpfungen!$J$4,0,0,IN_Verknüpfungen!$A$2,1)))-SUM($G104:T104)</f>
        <v>#N/A</v>
      </c>
      <c r="V104" s="70" t="e" cm="1">
        <f t="array" aca="1" ref="V104" ca="1">_xlfn.NUMBERVALUE(_xlfn.XLOOKUP(1,(OFFSET(IN_Verknüpfungen!$O$4,0,0,IN_Verknüpfungen!$A$2,1)=$A104)*(OFFSET(IN_Verknüpfungen!$P$4,0,0,IN_Verknüpfungen!$A$2,1)=V$3+1),OFFSET(IN_Verknüpfungen!$F$4,0,0,IN_Verknüpfungen!$A$2,1)))-SUM($G104:U104)</f>
        <v>#N/A</v>
      </c>
      <c r="W104" s="70" t="e" cm="1">
        <f t="array" aca="1" ref="W104" ca="1">_xlfn.NUMBERVALUE(_xlfn.XLOOKUP(1,(OFFSET(IN_Verknüpfungen!$O$4,0,0,IN_Verknüpfungen!$A$2,1)=$A104)*(OFFSET(IN_Verknüpfungen!$P$4,0,0,IN_Verknüpfungen!$A$2,1)=X$3),OFFSET(IN_Verknüpfungen!$J$4,0,0,IN_Verknüpfungen!$A$2,1)))-SUM($G104:V104)</f>
        <v>#N/A</v>
      </c>
      <c r="X104" s="70" t="e" cm="1">
        <f t="array" aca="1" ref="X104" ca="1">_xlfn.NUMBERVALUE(_xlfn.XLOOKUP(1,(OFFSET(IN_Verknüpfungen!$O$4,0,0,IN_Verknüpfungen!$A$2,1)=$A104)*(OFFSET(IN_Verknüpfungen!$P$4,0,0,IN_Verknüpfungen!$A$2,1)=X$3+1),OFFSET(IN_Verknüpfungen!$F$4,0,0,IN_Verknüpfungen!$A$2,1)))-SUM($G104:W104)</f>
        <v>#N/A</v>
      </c>
      <c r="Y104" s="70" t="e" cm="1">
        <f t="array" aca="1" ref="Y104" ca="1">_xlfn.NUMBERVALUE(_xlfn.XLOOKUP(1,(OFFSET(IN_Verknüpfungen!$O$4,0,0,IN_Verknüpfungen!$A$2,1)=$A104)*(OFFSET(IN_Verknüpfungen!$P$4,0,0,IN_Verknüpfungen!$A$2,1)=Z$3),OFFSET(IN_Verknüpfungen!$J$4,0,0,IN_Verknüpfungen!$A$2,1)))-SUM($G104:X104)</f>
        <v>#N/A</v>
      </c>
      <c r="Z104" s="70" t="e" cm="1">
        <f t="array" aca="1" ref="Z104" ca="1">_xlfn.NUMBERVALUE(_xlfn.XLOOKUP(1,(OFFSET(IN_Verknüpfungen!$O$4,0,0,IN_Verknüpfungen!$A$2,1)=$A104)*(OFFSET(IN_Verknüpfungen!$P$4,0,0,IN_Verknüpfungen!$A$2,1)=Z$3+1),OFFSET(IN_Verknüpfungen!$F$4,0,0,IN_Verknüpfungen!$A$2,1)))-SUM($G104:Y104)</f>
        <v>#N/A</v>
      </c>
      <c r="AA104" s="70" t="e" cm="1">
        <f t="array" aca="1" ref="AA104" ca="1">_xlfn.NUMBERVALUE(_xlfn.XLOOKUP(1,(OFFSET(IN_Verknüpfungen!$O$4,0,0,IN_Verknüpfungen!$A$2,1)=$A104)*(OFFSET(IN_Verknüpfungen!$P$4,0,0,IN_Verknüpfungen!$A$2,1)=AB$3),OFFSET(IN_Verknüpfungen!$J$4,0,0,IN_Verknüpfungen!$A$2,1)))-SUM($G104:Z104)</f>
        <v>#N/A</v>
      </c>
      <c r="AB104" s="70" t="e" cm="1">
        <f t="array" aca="1" ref="AB104" ca="1">_xlfn.NUMBERVALUE(_xlfn.XLOOKUP(1,(OFFSET(IN_Verknüpfungen!$O$4,0,0,IN_Verknüpfungen!$A$2,1)=$A104)*(OFFSET(IN_Verknüpfungen!$P$4,0,0,IN_Verknüpfungen!$A$2,1)=AB$3+1),OFFSET(IN_Verknüpfungen!$F$4,0,0,IN_Verknüpfungen!$A$2,1)))-SUM($G104:AA104)</f>
        <v>#N/A</v>
      </c>
    </row>
    <row r="105" spans="1:28" x14ac:dyDescent="0.2">
      <c r="A105" s="56" t="str">
        <f ca="1"/>
        <v>Composition 102</v>
      </c>
      <c r="B105" s="55" t="str" cm="1">
        <f t="array" aca="1" ref="B105" ca="1">IF(A105&lt;&gt;"",_xlfn.XLOOKUP(Laufwege!A105,OFFSET(IN_Verknüpfungen!L$4,0,0,IN_Verknüpfungen!A$2,1),OFFSET(IN_Verknüpfungen!N$4,0,0,IN_Verknüpfungen!A$2,1),""),"")</f>
        <v>462-1.0</v>
      </c>
      <c r="C105" s="55">
        <f ca="1">IF(A105&lt;&gt;"",SUMIFS(OFFSET(IN_Verknüpfungen!M$4,0,0,IN_Verknüpfungen!A$2,1),OFFSET(IN_Verknüpfungen!O$4,0,0,IN_Verknüpfungen!A$2,1),Laufwege!A105),0)</f>
        <v>471076</v>
      </c>
      <c r="D105" s="55" cm="1">
        <f t="array" aca="1" ref="D105" ca="1">IF(B105&lt;&gt;"",_xlfn.XLOOKUP(B105,OFFSET(IN_Stammdaten!$A$4,0,0,IN_Stammdaten!$A$2,1),OFFSET(IN_Stammdaten!$C$4,0,0,IN_Stammdaten!$A$2,1),""),"")</f>
        <v>0</v>
      </c>
      <c r="E105" s="55" t="str">
        <f t="shared" ca="1" si="2"/>
        <v>nein</v>
      </c>
      <c r="F105" s="69" t="str">
        <f t="shared" ca="1" si="3"/>
        <v>Composition 102 (462-1.0)</v>
      </c>
      <c r="G105" s="70" cm="1">
        <f t="array" aca="1" ref="G105" ca="1">_xlfn.NUMBERVALUE(_xlfn.XLOOKUP(A105,OFFSET(IN_Verknüpfungen!$L$4,0,0,IN_Verknüpfungen!$A$2,1),OFFSET(IN_Verknüpfungen!$Q$4,0,0,IN_Verknüpfungen!$A$2,1)))</f>
        <v>0.2999074074074074</v>
      </c>
      <c r="H105" s="70" cm="1">
        <f t="array" aca="1" ref="H105" ca="1">_xlfn.NUMBERVALUE(_xlfn.XLOOKUP(A105,OFFSET(IN_Verknüpfungen!$L$4,0,0,IN_Verknüpfungen!$A$2,1),OFFSET(IN_Verknüpfungen!$F$4,0,0,IN_Verknüpfungen!$A$2,1)))-G105</f>
        <v>0.10574074074074075</v>
      </c>
      <c r="I105" s="70" cm="1">
        <f t="array" aca="1" ref="I105" ca="1">_xlfn.NUMBERVALUE(_xlfn.XLOOKUP(1,(OFFSET(IN_Verknüpfungen!$O$4,0,0,IN_Verknüpfungen!$A$2,1)=$A105)*(OFFSET(IN_Verknüpfungen!$P$4,0,0,IN_Verknüpfungen!$A$2,1)=J$3),OFFSET(IN_Verknüpfungen!$J$4,0,0,IN_Verknüpfungen!$A$2,1)))-SUM($G105:H105)</f>
        <v>1.2847222222222232E-2</v>
      </c>
      <c r="J105" s="70" cm="1">
        <f t="array" aca="1" ref="J105" ca="1">_xlfn.NUMBERVALUE(_xlfn.XLOOKUP(1,(OFFSET(IN_Verknüpfungen!$O$4,0,0,IN_Verknüpfungen!$A$2,1)=$A105)*(OFFSET(IN_Verknüpfungen!$P$4,0,0,IN_Verknüpfungen!$A$2,1)=J$3+1),OFFSET(IN_Verknüpfungen!$F$4,0,0,IN_Verknüpfungen!$A$2,1)))-SUM($G105:I105)</f>
        <v>0.10399305555555555</v>
      </c>
      <c r="K105" s="70" cm="1">
        <f t="array" aca="1" ref="K105" ca="1">_xlfn.NUMBERVALUE(_xlfn.XLOOKUP(1,(OFFSET(IN_Verknüpfungen!$O$4,0,0,IN_Verknüpfungen!$A$2,1)=$A105)*(OFFSET(IN_Verknüpfungen!$P$4,0,0,IN_Verknüpfungen!$A$2,1)=L$3),OFFSET(IN_Verknüpfungen!$J$4,0,0,IN_Verknüpfungen!$A$2,1)))-SUM($G105:J105)</f>
        <v>1.1886574074074119E-2</v>
      </c>
      <c r="L105" s="70" t="e" cm="1">
        <f t="array" aca="1" ref="L105" ca="1">_xlfn.NUMBERVALUE(_xlfn.XLOOKUP(1,(OFFSET(IN_Verknüpfungen!$O$4,0,0,IN_Verknüpfungen!$A$2,1)=$A105)*(OFFSET(IN_Verknüpfungen!$P$4,0,0,IN_Verknüpfungen!$A$2,1)=L$3+1),OFFSET(IN_Verknüpfungen!$F$4,0,0,IN_Verknüpfungen!$A$2,1)))-SUM($G105:K105)</f>
        <v>#N/A</v>
      </c>
      <c r="M105" s="70" t="e" cm="1">
        <f t="array" aca="1" ref="M105" ca="1">_xlfn.NUMBERVALUE(_xlfn.XLOOKUP(1,(OFFSET(IN_Verknüpfungen!$O$4,0,0,IN_Verknüpfungen!$A$2,1)=$A105)*(OFFSET(IN_Verknüpfungen!$P$4,0,0,IN_Verknüpfungen!$A$2,1)=N$3),OFFSET(IN_Verknüpfungen!$J$4,0,0,IN_Verknüpfungen!$A$2,1)))-SUM($G105:L105)</f>
        <v>#N/A</v>
      </c>
      <c r="N105" s="70" t="e" cm="1">
        <f t="array" aca="1" ref="N105" ca="1">_xlfn.NUMBERVALUE(_xlfn.XLOOKUP(1,(OFFSET(IN_Verknüpfungen!$O$4,0,0,IN_Verknüpfungen!$A$2,1)=$A105)*(OFFSET(IN_Verknüpfungen!$P$4,0,0,IN_Verknüpfungen!$A$2,1)=N$3+1),OFFSET(IN_Verknüpfungen!$F$4,0,0,IN_Verknüpfungen!$A$2,1)))-SUM($G105:M105)</f>
        <v>#N/A</v>
      </c>
      <c r="O105" s="70" t="e" cm="1">
        <f t="array" aca="1" ref="O105" ca="1">_xlfn.NUMBERVALUE(_xlfn.XLOOKUP(1,(OFFSET(IN_Verknüpfungen!$O$4,0,0,IN_Verknüpfungen!$A$2,1)=$A105)*(OFFSET(IN_Verknüpfungen!$P$4,0,0,IN_Verknüpfungen!$A$2,1)=P$3),OFFSET(IN_Verknüpfungen!$J$4,0,0,IN_Verknüpfungen!$A$2,1)))-SUM($G105:N105)</f>
        <v>#N/A</v>
      </c>
      <c r="P105" s="70" t="e" cm="1">
        <f t="array" aca="1" ref="P105" ca="1">_xlfn.NUMBERVALUE(_xlfn.XLOOKUP(1,(OFFSET(IN_Verknüpfungen!$O$4,0,0,IN_Verknüpfungen!$A$2,1)=$A105)*(OFFSET(IN_Verknüpfungen!$P$4,0,0,IN_Verknüpfungen!$A$2,1)=P$3+1),OFFSET(IN_Verknüpfungen!$F$4,0,0,IN_Verknüpfungen!$A$2,1)))-SUM($G105:O105)</f>
        <v>#N/A</v>
      </c>
      <c r="Q105" s="70" t="e" cm="1">
        <f t="array" aca="1" ref="Q105" ca="1">_xlfn.NUMBERVALUE(_xlfn.XLOOKUP(1,(OFFSET(IN_Verknüpfungen!$O$4,0,0,IN_Verknüpfungen!$A$2,1)=$A105)*(OFFSET(IN_Verknüpfungen!$P$4,0,0,IN_Verknüpfungen!$A$2,1)=R$3),OFFSET(IN_Verknüpfungen!$J$4,0,0,IN_Verknüpfungen!$A$2,1)))-SUM($G105:P105)</f>
        <v>#N/A</v>
      </c>
      <c r="R105" s="70" t="e" cm="1">
        <f t="array" aca="1" ref="R105" ca="1">_xlfn.NUMBERVALUE(_xlfn.XLOOKUP(1,(OFFSET(IN_Verknüpfungen!$O$4,0,0,IN_Verknüpfungen!$A$2,1)=$A105)*(OFFSET(IN_Verknüpfungen!$P$4,0,0,IN_Verknüpfungen!$A$2,1)=R$3+1),OFFSET(IN_Verknüpfungen!$F$4,0,0,IN_Verknüpfungen!$A$2,1)))-SUM($G105:Q105)</f>
        <v>#N/A</v>
      </c>
      <c r="S105" s="70" t="e" cm="1">
        <f t="array" aca="1" ref="S105" ca="1">_xlfn.NUMBERVALUE(_xlfn.XLOOKUP(1,(OFFSET(IN_Verknüpfungen!$O$4,0,0,IN_Verknüpfungen!$A$2,1)=$A105)*(OFFSET(IN_Verknüpfungen!$P$4,0,0,IN_Verknüpfungen!$A$2,1)=T$3),OFFSET(IN_Verknüpfungen!$J$4,0,0,IN_Verknüpfungen!$A$2,1)))-SUM($G105:R105)</f>
        <v>#N/A</v>
      </c>
      <c r="T105" s="70" t="e" cm="1">
        <f t="array" aca="1" ref="T105" ca="1">_xlfn.NUMBERVALUE(_xlfn.XLOOKUP(1,(OFFSET(IN_Verknüpfungen!$O$4,0,0,IN_Verknüpfungen!$A$2,1)=$A105)*(OFFSET(IN_Verknüpfungen!$P$4,0,0,IN_Verknüpfungen!$A$2,1)=T$3+1),OFFSET(IN_Verknüpfungen!$F$4,0,0,IN_Verknüpfungen!$A$2,1)))-SUM($G105:S105)</f>
        <v>#N/A</v>
      </c>
      <c r="U105" s="70" t="e" cm="1">
        <f t="array" aca="1" ref="U105" ca="1">_xlfn.NUMBERVALUE(_xlfn.XLOOKUP(1,(OFFSET(IN_Verknüpfungen!$O$4,0,0,IN_Verknüpfungen!$A$2,1)=$A105)*(OFFSET(IN_Verknüpfungen!$P$4,0,0,IN_Verknüpfungen!$A$2,1)=V$3),OFFSET(IN_Verknüpfungen!$J$4,0,0,IN_Verknüpfungen!$A$2,1)))-SUM($G105:T105)</f>
        <v>#N/A</v>
      </c>
      <c r="V105" s="70" t="e" cm="1">
        <f t="array" aca="1" ref="V105" ca="1">_xlfn.NUMBERVALUE(_xlfn.XLOOKUP(1,(OFFSET(IN_Verknüpfungen!$O$4,0,0,IN_Verknüpfungen!$A$2,1)=$A105)*(OFFSET(IN_Verknüpfungen!$P$4,0,0,IN_Verknüpfungen!$A$2,1)=V$3+1),OFFSET(IN_Verknüpfungen!$F$4,0,0,IN_Verknüpfungen!$A$2,1)))-SUM($G105:U105)</f>
        <v>#N/A</v>
      </c>
      <c r="W105" s="70" t="e" cm="1">
        <f t="array" aca="1" ref="W105" ca="1">_xlfn.NUMBERVALUE(_xlfn.XLOOKUP(1,(OFFSET(IN_Verknüpfungen!$O$4,0,0,IN_Verknüpfungen!$A$2,1)=$A105)*(OFFSET(IN_Verknüpfungen!$P$4,0,0,IN_Verknüpfungen!$A$2,1)=X$3),OFFSET(IN_Verknüpfungen!$J$4,0,0,IN_Verknüpfungen!$A$2,1)))-SUM($G105:V105)</f>
        <v>#N/A</v>
      </c>
      <c r="X105" s="70" t="e" cm="1">
        <f t="array" aca="1" ref="X105" ca="1">_xlfn.NUMBERVALUE(_xlfn.XLOOKUP(1,(OFFSET(IN_Verknüpfungen!$O$4,0,0,IN_Verknüpfungen!$A$2,1)=$A105)*(OFFSET(IN_Verknüpfungen!$P$4,0,0,IN_Verknüpfungen!$A$2,1)=X$3+1),OFFSET(IN_Verknüpfungen!$F$4,0,0,IN_Verknüpfungen!$A$2,1)))-SUM($G105:W105)</f>
        <v>#N/A</v>
      </c>
      <c r="Y105" s="70" t="e" cm="1">
        <f t="array" aca="1" ref="Y105" ca="1">_xlfn.NUMBERVALUE(_xlfn.XLOOKUP(1,(OFFSET(IN_Verknüpfungen!$O$4,0,0,IN_Verknüpfungen!$A$2,1)=$A105)*(OFFSET(IN_Verknüpfungen!$P$4,0,0,IN_Verknüpfungen!$A$2,1)=Z$3),OFFSET(IN_Verknüpfungen!$J$4,0,0,IN_Verknüpfungen!$A$2,1)))-SUM($G105:X105)</f>
        <v>#N/A</v>
      </c>
      <c r="Z105" s="70" t="e" cm="1">
        <f t="array" aca="1" ref="Z105" ca="1">_xlfn.NUMBERVALUE(_xlfn.XLOOKUP(1,(OFFSET(IN_Verknüpfungen!$O$4,0,0,IN_Verknüpfungen!$A$2,1)=$A105)*(OFFSET(IN_Verknüpfungen!$P$4,0,0,IN_Verknüpfungen!$A$2,1)=Z$3+1),OFFSET(IN_Verknüpfungen!$F$4,0,0,IN_Verknüpfungen!$A$2,1)))-SUM($G105:Y105)</f>
        <v>#N/A</v>
      </c>
      <c r="AA105" s="70" t="e" cm="1">
        <f t="array" aca="1" ref="AA105" ca="1">_xlfn.NUMBERVALUE(_xlfn.XLOOKUP(1,(OFFSET(IN_Verknüpfungen!$O$4,0,0,IN_Verknüpfungen!$A$2,1)=$A105)*(OFFSET(IN_Verknüpfungen!$P$4,0,0,IN_Verknüpfungen!$A$2,1)=AB$3),OFFSET(IN_Verknüpfungen!$J$4,0,0,IN_Verknüpfungen!$A$2,1)))-SUM($G105:Z105)</f>
        <v>#N/A</v>
      </c>
      <c r="AB105" s="70" t="e" cm="1">
        <f t="array" aca="1" ref="AB105" ca="1">_xlfn.NUMBERVALUE(_xlfn.XLOOKUP(1,(OFFSET(IN_Verknüpfungen!$O$4,0,0,IN_Verknüpfungen!$A$2,1)=$A105)*(OFFSET(IN_Verknüpfungen!$P$4,0,0,IN_Verknüpfungen!$A$2,1)=AB$3+1),OFFSET(IN_Verknüpfungen!$F$4,0,0,IN_Verknüpfungen!$A$2,1)))-SUM($G105:AA105)</f>
        <v>#N/A</v>
      </c>
    </row>
    <row r="106" spans="1:28" x14ac:dyDescent="0.2">
      <c r="A106" s="56" t="str">
        <f ca="1"/>
        <v>Composition 103</v>
      </c>
      <c r="B106" s="55" t="str" cm="1">
        <f t="array" aca="1" ref="B106" ca="1">IF(A106&lt;&gt;"",_xlfn.XLOOKUP(Laufwege!A106,OFFSET(IN_Verknüpfungen!L$4,0,0,IN_Verknüpfungen!A$2,1),OFFSET(IN_Verknüpfungen!N$4,0,0,IN_Verknüpfungen!A$2,1),""),"")</f>
        <v>462-1.0</v>
      </c>
      <c r="C106" s="55">
        <f ca="1">IF(A106&lt;&gt;"",SUMIFS(OFFSET(IN_Verknüpfungen!M$4,0,0,IN_Verknüpfungen!A$2,1),OFFSET(IN_Verknüpfungen!O$4,0,0,IN_Verknüpfungen!A$2,1),Laufwege!A106),0)</f>
        <v>479202</v>
      </c>
      <c r="D106" s="55" cm="1">
        <f t="array" aca="1" ref="D106" ca="1">IF(B106&lt;&gt;"",_xlfn.XLOOKUP(B106,OFFSET(IN_Stammdaten!$A$4,0,0,IN_Stammdaten!$A$2,1),OFFSET(IN_Stammdaten!$C$4,0,0,IN_Stammdaten!$A$2,1),""),"")</f>
        <v>0</v>
      </c>
      <c r="E106" s="55" t="str">
        <f t="shared" ca="1" si="2"/>
        <v>nein</v>
      </c>
      <c r="F106" s="69" t="str">
        <f t="shared" ca="1" si="3"/>
        <v>Composition 103 (462-1.0)</v>
      </c>
      <c r="G106" s="70" cm="1">
        <f t="array" aca="1" ref="G106" ca="1">_xlfn.NUMBERVALUE(_xlfn.XLOOKUP(A106,OFFSET(IN_Verknüpfungen!$L$4,0,0,IN_Verknüpfungen!$A$2,1),OFFSET(IN_Verknüpfungen!$Q$4,0,0,IN_Verknüpfungen!$A$2,1)))</f>
        <v>0.3006712962962963</v>
      </c>
      <c r="H106" s="70" cm="1">
        <f t="array" aca="1" ref="H106" ca="1">_xlfn.NUMBERVALUE(_xlfn.XLOOKUP(A106,OFFSET(IN_Verknüpfungen!$L$4,0,0,IN_Verknüpfungen!$A$2,1),OFFSET(IN_Verknüpfungen!$F$4,0,0,IN_Verknüpfungen!$A$2,1)))-G106</f>
        <v>0.10774305555555558</v>
      </c>
      <c r="I106" s="70" cm="1">
        <f t="array" aca="1" ref="I106" ca="1">_xlfn.NUMBERVALUE(_xlfn.XLOOKUP(1,(OFFSET(IN_Verknüpfungen!$O$4,0,0,IN_Verknüpfungen!$A$2,1)=$A106)*(OFFSET(IN_Verknüpfungen!$P$4,0,0,IN_Verknüpfungen!$A$2,1)=J$3),OFFSET(IN_Verknüpfungen!$J$4,0,0,IN_Verknüpfungen!$A$2,1)))-SUM($G106:H106)</f>
        <v>7.0023148148147807E-3</v>
      </c>
      <c r="J106" s="70" cm="1">
        <f t="array" aca="1" ref="J106" ca="1">_xlfn.NUMBERVALUE(_xlfn.XLOOKUP(1,(OFFSET(IN_Verknüpfungen!$O$4,0,0,IN_Verknüpfungen!$A$2,1)=$A106)*(OFFSET(IN_Verknüpfungen!$P$4,0,0,IN_Verknüpfungen!$A$2,1)=J$3+1),OFFSET(IN_Verknüpfungen!$F$4,0,0,IN_Verknüpfungen!$A$2,1)))-SUM($G106:I106)</f>
        <v>0.10886574074074074</v>
      </c>
      <c r="K106" s="70" cm="1">
        <f t="array" aca="1" ref="K106" ca="1">_xlfn.NUMBERVALUE(_xlfn.XLOOKUP(1,(OFFSET(IN_Verknüpfungen!$O$4,0,0,IN_Verknüpfungen!$A$2,1)=$A106)*(OFFSET(IN_Verknüpfungen!$P$4,0,0,IN_Verknüpfungen!$A$2,1)=L$3),OFFSET(IN_Verknüpfungen!$J$4,0,0,IN_Verknüpfungen!$A$2,1)))-SUM($G106:J106)</f>
        <v>1.0451388888888857E-2</v>
      </c>
      <c r="L106" s="70" t="e" cm="1">
        <f t="array" aca="1" ref="L106" ca="1">_xlfn.NUMBERVALUE(_xlfn.XLOOKUP(1,(OFFSET(IN_Verknüpfungen!$O$4,0,0,IN_Verknüpfungen!$A$2,1)=$A106)*(OFFSET(IN_Verknüpfungen!$P$4,0,0,IN_Verknüpfungen!$A$2,1)=L$3+1),OFFSET(IN_Verknüpfungen!$F$4,0,0,IN_Verknüpfungen!$A$2,1)))-SUM($G106:K106)</f>
        <v>#N/A</v>
      </c>
      <c r="M106" s="70" t="e" cm="1">
        <f t="array" aca="1" ref="M106" ca="1">_xlfn.NUMBERVALUE(_xlfn.XLOOKUP(1,(OFFSET(IN_Verknüpfungen!$O$4,0,0,IN_Verknüpfungen!$A$2,1)=$A106)*(OFFSET(IN_Verknüpfungen!$P$4,0,0,IN_Verknüpfungen!$A$2,1)=N$3),OFFSET(IN_Verknüpfungen!$J$4,0,0,IN_Verknüpfungen!$A$2,1)))-SUM($G106:L106)</f>
        <v>#N/A</v>
      </c>
      <c r="N106" s="70" t="e" cm="1">
        <f t="array" aca="1" ref="N106" ca="1">_xlfn.NUMBERVALUE(_xlfn.XLOOKUP(1,(OFFSET(IN_Verknüpfungen!$O$4,0,0,IN_Verknüpfungen!$A$2,1)=$A106)*(OFFSET(IN_Verknüpfungen!$P$4,0,0,IN_Verknüpfungen!$A$2,1)=N$3+1),OFFSET(IN_Verknüpfungen!$F$4,0,0,IN_Verknüpfungen!$A$2,1)))-SUM($G106:M106)</f>
        <v>#N/A</v>
      </c>
      <c r="O106" s="70" t="e" cm="1">
        <f t="array" aca="1" ref="O106" ca="1">_xlfn.NUMBERVALUE(_xlfn.XLOOKUP(1,(OFFSET(IN_Verknüpfungen!$O$4,0,0,IN_Verknüpfungen!$A$2,1)=$A106)*(OFFSET(IN_Verknüpfungen!$P$4,0,0,IN_Verknüpfungen!$A$2,1)=P$3),OFFSET(IN_Verknüpfungen!$J$4,0,0,IN_Verknüpfungen!$A$2,1)))-SUM($G106:N106)</f>
        <v>#N/A</v>
      </c>
      <c r="P106" s="70" t="e" cm="1">
        <f t="array" aca="1" ref="P106" ca="1">_xlfn.NUMBERVALUE(_xlfn.XLOOKUP(1,(OFFSET(IN_Verknüpfungen!$O$4,0,0,IN_Verknüpfungen!$A$2,1)=$A106)*(OFFSET(IN_Verknüpfungen!$P$4,0,0,IN_Verknüpfungen!$A$2,1)=P$3+1),OFFSET(IN_Verknüpfungen!$F$4,0,0,IN_Verknüpfungen!$A$2,1)))-SUM($G106:O106)</f>
        <v>#N/A</v>
      </c>
      <c r="Q106" s="70" t="e" cm="1">
        <f t="array" aca="1" ref="Q106" ca="1">_xlfn.NUMBERVALUE(_xlfn.XLOOKUP(1,(OFFSET(IN_Verknüpfungen!$O$4,0,0,IN_Verknüpfungen!$A$2,1)=$A106)*(OFFSET(IN_Verknüpfungen!$P$4,0,0,IN_Verknüpfungen!$A$2,1)=R$3),OFFSET(IN_Verknüpfungen!$J$4,0,0,IN_Verknüpfungen!$A$2,1)))-SUM($G106:P106)</f>
        <v>#N/A</v>
      </c>
      <c r="R106" s="70" t="e" cm="1">
        <f t="array" aca="1" ref="R106" ca="1">_xlfn.NUMBERVALUE(_xlfn.XLOOKUP(1,(OFFSET(IN_Verknüpfungen!$O$4,0,0,IN_Verknüpfungen!$A$2,1)=$A106)*(OFFSET(IN_Verknüpfungen!$P$4,0,0,IN_Verknüpfungen!$A$2,1)=R$3+1),OFFSET(IN_Verknüpfungen!$F$4,0,0,IN_Verknüpfungen!$A$2,1)))-SUM($G106:Q106)</f>
        <v>#N/A</v>
      </c>
      <c r="S106" s="70" t="e" cm="1">
        <f t="array" aca="1" ref="S106" ca="1">_xlfn.NUMBERVALUE(_xlfn.XLOOKUP(1,(OFFSET(IN_Verknüpfungen!$O$4,0,0,IN_Verknüpfungen!$A$2,1)=$A106)*(OFFSET(IN_Verknüpfungen!$P$4,0,0,IN_Verknüpfungen!$A$2,1)=T$3),OFFSET(IN_Verknüpfungen!$J$4,0,0,IN_Verknüpfungen!$A$2,1)))-SUM($G106:R106)</f>
        <v>#N/A</v>
      </c>
      <c r="T106" s="70" t="e" cm="1">
        <f t="array" aca="1" ref="T106" ca="1">_xlfn.NUMBERVALUE(_xlfn.XLOOKUP(1,(OFFSET(IN_Verknüpfungen!$O$4,0,0,IN_Verknüpfungen!$A$2,1)=$A106)*(OFFSET(IN_Verknüpfungen!$P$4,0,0,IN_Verknüpfungen!$A$2,1)=T$3+1),OFFSET(IN_Verknüpfungen!$F$4,0,0,IN_Verknüpfungen!$A$2,1)))-SUM($G106:S106)</f>
        <v>#N/A</v>
      </c>
      <c r="U106" s="70" t="e" cm="1">
        <f t="array" aca="1" ref="U106" ca="1">_xlfn.NUMBERVALUE(_xlfn.XLOOKUP(1,(OFFSET(IN_Verknüpfungen!$O$4,0,0,IN_Verknüpfungen!$A$2,1)=$A106)*(OFFSET(IN_Verknüpfungen!$P$4,0,0,IN_Verknüpfungen!$A$2,1)=V$3),OFFSET(IN_Verknüpfungen!$J$4,0,0,IN_Verknüpfungen!$A$2,1)))-SUM($G106:T106)</f>
        <v>#N/A</v>
      </c>
      <c r="V106" s="70" t="e" cm="1">
        <f t="array" aca="1" ref="V106" ca="1">_xlfn.NUMBERVALUE(_xlfn.XLOOKUP(1,(OFFSET(IN_Verknüpfungen!$O$4,0,0,IN_Verknüpfungen!$A$2,1)=$A106)*(OFFSET(IN_Verknüpfungen!$P$4,0,0,IN_Verknüpfungen!$A$2,1)=V$3+1),OFFSET(IN_Verknüpfungen!$F$4,0,0,IN_Verknüpfungen!$A$2,1)))-SUM($G106:U106)</f>
        <v>#N/A</v>
      </c>
      <c r="W106" s="70" t="e" cm="1">
        <f t="array" aca="1" ref="W106" ca="1">_xlfn.NUMBERVALUE(_xlfn.XLOOKUP(1,(OFFSET(IN_Verknüpfungen!$O$4,0,0,IN_Verknüpfungen!$A$2,1)=$A106)*(OFFSET(IN_Verknüpfungen!$P$4,0,0,IN_Verknüpfungen!$A$2,1)=X$3),OFFSET(IN_Verknüpfungen!$J$4,0,0,IN_Verknüpfungen!$A$2,1)))-SUM($G106:V106)</f>
        <v>#N/A</v>
      </c>
      <c r="X106" s="70" t="e" cm="1">
        <f t="array" aca="1" ref="X106" ca="1">_xlfn.NUMBERVALUE(_xlfn.XLOOKUP(1,(OFFSET(IN_Verknüpfungen!$O$4,0,0,IN_Verknüpfungen!$A$2,1)=$A106)*(OFFSET(IN_Verknüpfungen!$P$4,0,0,IN_Verknüpfungen!$A$2,1)=X$3+1),OFFSET(IN_Verknüpfungen!$F$4,0,0,IN_Verknüpfungen!$A$2,1)))-SUM($G106:W106)</f>
        <v>#N/A</v>
      </c>
      <c r="Y106" s="70" t="e" cm="1">
        <f t="array" aca="1" ref="Y106" ca="1">_xlfn.NUMBERVALUE(_xlfn.XLOOKUP(1,(OFFSET(IN_Verknüpfungen!$O$4,0,0,IN_Verknüpfungen!$A$2,1)=$A106)*(OFFSET(IN_Verknüpfungen!$P$4,0,0,IN_Verknüpfungen!$A$2,1)=Z$3),OFFSET(IN_Verknüpfungen!$J$4,0,0,IN_Verknüpfungen!$A$2,1)))-SUM($G106:X106)</f>
        <v>#N/A</v>
      </c>
      <c r="Z106" s="70" t="e" cm="1">
        <f t="array" aca="1" ref="Z106" ca="1">_xlfn.NUMBERVALUE(_xlfn.XLOOKUP(1,(OFFSET(IN_Verknüpfungen!$O$4,0,0,IN_Verknüpfungen!$A$2,1)=$A106)*(OFFSET(IN_Verknüpfungen!$P$4,0,0,IN_Verknüpfungen!$A$2,1)=Z$3+1),OFFSET(IN_Verknüpfungen!$F$4,0,0,IN_Verknüpfungen!$A$2,1)))-SUM($G106:Y106)</f>
        <v>#N/A</v>
      </c>
      <c r="AA106" s="70" t="e" cm="1">
        <f t="array" aca="1" ref="AA106" ca="1">_xlfn.NUMBERVALUE(_xlfn.XLOOKUP(1,(OFFSET(IN_Verknüpfungen!$O$4,0,0,IN_Verknüpfungen!$A$2,1)=$A106)*(OFFSET(IN_Verknüpfungen!$P$4,0,0,IN_Verknüpfungen!$A$2,1)=AB$3),OFFSET(IN_Verknüpfungen!$J$4,0,0,IN_Verknüpfungen!$A$2,1)))-SUM($G106:Z106)</f>
        <v>#N/A</v>
      </c>
      <c r="AB106" s="70" t="e" cm="1">
        <f t="array" aca="1" ref="AB106" ca="1">_xlfn.NUMBERVALUE(_xlfn.XLOOKUP(1,(OFFSET(IN_Verknüpfungen!$O$4,0,0,IN_Verknüpfungen!$A$2,1)=$A106)*(OFFSET(IN_Verknüpfungen!$P$4,0,0,IN_Verknüpfungen!$A$2,1)=AB$3+1),OFFSET(IN_Verknüpfungen!$F$4,0,0,IN_Verknüpfungen!$A$2,1)))-SUM($G106:AA106)</f>
        <v>#N/A</v>
      </c>
    </row>
    <row r="107" spans="1:28" x14ac:dyDescent="0.2">
      <c r="A107" s="56" t="str">
        <f ca="1"/>
        <v>Composition 104</v>
      </c>
      <c r="B107" s="55" t="str" cm="1">
        <f t="array" aca="1" ref="B107" ca="1">IF(A107&lt;&gt;"",_xlfn.XLOOKUP(Laufwege!A107,OFFSET(IN_Verknüpfungen!L$4,0,0,IN_Verknüpfungen!A$2,1),OFFSET(IN_Verknüpfungen!N$4,0,0,IN_Verknüpfungen!A$2,1),""),"")</f>
        <v>462-1.0</v>
      </c>
      <c r="C107" s="55">
        <f ca="1">IF(A107&lt;&gt;"",SUMIFS(OFFSET(IN_Verknüpfungen!M$4,0,0,IN_Verknüpfungen!A$2,1),OFFSET(IN_Verknüpfungen!O$4,0,0,IN_Verknüpfungen!A$2,1),Laufwege!A107),0)</f>
        <v>540627</v>
      </c>
      <c r="D107" s="55" cm="1">
        <f t="array" aca="1" ref="D107" ca="1">IF(B107&lt;&gt;"",_xlfn.XLOOKUP(B107,OFFSET(IN_Stammdaten!$A$4,0,0,IN_Stammdaten!$A$2,1),OFFSET(IN_Stammdaten!$C$4,0,0,IN_Stammdaten!$A$2,1),""),"")</f>
        <v>0</v>
      </c>
      <c r="E107" s="55" t="str">
        <f t="shared" ca="1" si="2"/>
        <v>nein</v>
      </c>
      <c r="F107" s="69" t="str">
        <f t="shared" ca="1" si="3"/>
        <v>Composition 104 (462-1.0)</v>
      </c>
      <c r="G107" s="70" cm="1">
        <f t="array" aca="1" ref="G107" ca="1">_xlfn.NUMBERVALUE(_xlfn.XLOOKUP(A107,OFFSET(IN_Verknüpfungen!$L$4,0,0,IN_Verknüpfungen!$A$2,1),OFFSET(IN_Verknüpfungen!$Q$4,0,0,IN_Verknüpfungen!$A$2,1)))</f>
        <v>0.30730324074074072</v>
      </c>
      <c r="H107" s="70" cm="1">
        <f t="array" aca="1" ref="H107" ca="1">_xlfn.NUMBERVALUE(_xlfn.XLOOKUP(A107,OFFSET(IN_Verknüpfungen!$L$4,0,0,IN_Verknüpfungen!$A$2,1),OFFSET(IN_Verknüpfungen!$F$4,0,0,IN_Verknüpfungen!$A$2,1)))-G107</f>
        <v>0.10187499999999999</v>
      </c>
      <c r="I107" s="70" cm="1">
        <f t="array" aca="1" ref="I107" ca="1">_xlfn.NUMBERVALUE(_xlfn.XLOOKUP(1,(OFFSET(IN_Verknüpfungen!$O$4,0,0,IN_Verknüpfungen!$A$2,1)=$A107)*(OFFSET(IN_Verknüpfungen!$P$4,0,0,IN_Verknüpfungen!$A$2,1)=J$3),OFFSET(IN_Verknüpfungen!$J$4,0,0,IN_Verknüpfungen!$A$2,1)))-SUM($G107:H107)</f>
        <v>2.0960648148148187E-2</v>
      </c>
      <c r="J107" s="70" cm="1">
        <f t="array" aca="1" ref="J107" ca="1">_xlfn.NUMBERVALUE(_xlfn.XLOOKUP(1,(OFFSET(IN_Verknüpfungen!$O$4,0,0,IN_Verknüpfungen!$A$2,1)=$A107)*(OFFSET(IN_Verknüpfungen!$P$4,0,0,IN_Verknüpfungen!$A$2,1)=J$3+1),OFFSET(IN_Verknüpfungen!$F$4,0,0,IN_Verknüpfungen!$A$2,1)))-SUM($G107:I107)</f>
        <v>9.6967592592592633E-2</v>
      </c>
      <c r="K107" s="70" cm="1">
        <f t="array" aca="1" ref="K107" ca="1">_xlfn.NUMBERVALUE(_xlfn.XLOOKUP(1,(OFFSET(IN_Verknüpfungen!$O$4,0,0,IN_Verknüpfungen!$A$2,1)=$A107)*(OFFSET(IN_Verknüpfungen!$P$4,0,0,IN_Verknüpfungen!$A$2,1)=L$3),OFFSET(IN_Verknüpfungen!$J$4,0,0,IN_Verknüpfungen!$A$2,1)))-SUM($G107:J107)</f>
        <v>1.749999999999996E-2</v>
      </c>
      <c r="L107" s="70" t="e" cm="1">
        <f t="array" aca="1" ref="L107" ca="1">_xlfn.NUMBERVALUE(_xlfn.XLOOKUP(1,(OFFSET(IN_Verknüpfungen!$O$4,0,0,IN_Verknüpfungen!$A$2,1)=$A107)*(OFFSET(IN_Verknüpfungen!$P$4,0,0,IN_Verknüpfungen!$A$2,1)=L$3+1),OFFSET(IN_Verknüpfungen!$F$4,0,0,IN_Verknüpfungen!$A$2,1)))-SUM($G107:K107)</f>
        <v>#N/A</v>
      </c>
      <c r="M107" s="70" t="e" cm="1">
        <f t="array" aca="1" ref="M107" ca="1">_xlfn.NUMBERVALUE(_xlfn.XLOOKUP(1,(OFFSET(IN_Verknüpfungen!$O$4,0,0,IN_Verknüpfungen!$A$2,1)=$A107)*(OFFSET(IN_Verknüpfungen!$P$4,0,0,IN_Verknüpfungen!$A$2,1)=N$3),OFFSET(IN_Verknüpfungen!$J$4,0,0,IN_Verknüpfungen!$A$2,1)))-SUM($G107:L107)</f>
        <v>#N/A</v>
      </c>
      <c r="N107" s="70" t="e" cm="1">
        <f t="array" aca="1" ref="N107" ca="1">_xlfn.NUMBERVALUE(_xlfn.XLOOKUP(1,(OFFSET(IN_Verknüpfungen!$O$4,0,0,IN_Verknüpfungen!$A$2,1)=$A107)*(OFFSET(IN_Verknüpfungen!$P$4,0,0,IN_Verknüpfungen!$A$2,1)=N$3+1),OFFSET(IN_Verknüpfungen!$F$4,0,0,IN_Verknüpfungen!$A$2,1)))-SUM($G107:M107)</f>
        <v>#N/A</v>
      </c>
      <c r="O107" s="70" t="e" cm="1">
        <f t="array" aca="1" ref="O107" ca="1">_xlfn.NUMBERVALUE(_xlfn.XLOOKUP(1,(OFFSET(IN_Verknüpfungen!$O$4,0,0,IN_Verknüpfungen!$A$2,1)=$A107)*(OFFSET(IN_Verknüpfungen!$P$4,0,0,IN_Verknüpfungen!$A$2,1)=P$3),OFFSET(IN_Verknüpfungen!$J$4,0,0,IN_Verknüpfungen!$A$2,1)))-SUM($G107:N107)</f>
        <v>#N/A</v>
      </c>
      <c r="P107" s="70" t="e" cm="1">
        <f t="array" aca="1" ref="P107" ca="1">_xlfn.NUMBERVALUE(_xlfn.XLOOKUP(1,(OFFSET(IN_Verknüpfungen!$O$4,0,0,IN_Verknüpfungen!$A$2,1)=$A107)*(OFFSET(IN_Verknüpfungen!$P$4,0,0,IN_Verknüpfungen!$A$2,1)=P$3+1),OFFSET(IN_Verknüpfungen!$F$4,0,0,IN_Verknüpfungen!$A$2,1)))-SUM($G107:O107)</f>
        <v>#N/A</v>
      </c>
      <c r="Q107" s="70" t="e" cm="1">
        <f t="array" aca="1" ref="Q107" ca="1">_xlfn.NUMBERVALUE(_xlfn.XLOOKUP(1,(OFFSET(IN_Verknüpfungen!$O$4,0,0,IN_Verknüpfungen!$A$2,1)=$A107)*(OFFSET(IN_Verknüpfungen!$P$4,0,0,IN_Verknüpfungen!$A$2,1)=R$3),OFFSET(IN_Verknüpfungen!$J$4,0,0,IN_Verknüpfungen!$A$2,1)))-SUM($G107:P107)</f>
        <v>#N/A</v>
      </c>
      <c r="R107" s="70" t="e" cm="1">
        <f t="array" aca="1" ref="R107" ca="1">_xlfn.NUMBERVALUE(_xlfn.XLOOKUP(1,(OFFSET(IN_Verknüpfungen!$O$4,0,0,IN_Verknüpfungen!$A$2,1)=$A107)*(OFFSET(IN_Verknüpfungen!$P$4,0,0,IN_Verknüpfungen!$A$2,1)=R$3+1),OFFSET(IN_Verknüpfungen!$F$4,0,0,IN_Verknüpfungen!$A$2,1)))-SUM($G107:Q107)</f>
        <v>#N/A</v>
      </c>
      <c r="S107" s="70" t="e" cm="1">
        <f t="array" aca="1" ref="S107" ca="1">_xlfn.NUMBERVALUE(_xlfn.XLOOKUP(1,(OFFSET(IN_Verknüpfungen!$O$4,0,0,IN_Verknüpfungen!$A$2,1)=$A107)*(OFFSET(IN_Verknüpfungen!$P$4,0,0,IN_Verknüpfungen!$A$2,1)=T$3),OFFSET(IN_Verknüpfungen!$J$4,0,0,IN_Verknüpfungen!$A$2,1)))-SUM($G107:R107)</f>
        <v>#N/A</v>
      </c>
      <c r="T107" s="70" t="e" cm="1">
        <f t="array" aca="1" ref="T107" ca="1">_xlfn.NUMBERVALUE(_xlfn.XLOOKUP(1,(OFFSET(IN_Verknüpfungen!$O$4,0,0,IN_Verknüpfungen!$A$2,1)=$A107)*(OFFSET(IN_Verknüpfungen!$P$4,0,0,IN_Verknüpfungen!$A$2,1)=T$3+1),OFFSET(IN_Verknüpfungen!$F$4,0,0,IN_Verknüpfungen!$A$2,1)))-SUM($G107:S107)</f>
        <v>#N/A</v>
      </c>
      <c r="U107" s="70" t="e" cm="1">
        <f t="array" aca="1" ref="U107" ca="1">_xlfn.NUMBERVALUE(_xlfn.XLOOKUP(1,(OFFSET(IN_Verknüpfungen!$O$4,0,0,IN_Verknüpfungen!$A$2,1)=$A107)*(OFFSET(IN_Verknüpfungen!$P$4,0,0,IN_Verknüpfungen!$A$2,1)=V$3),OFFSET(IN_Verknüpfungen!$J$4,0,0,IN_Verknüpfungen!$A$2,1)))-SUM($G107:T107)</f>
        <v>#N/A</v>
      </c>
      <c r="V107" s="70" t="e" cm="1">
        <f t="array" aca="1" ref="V107" ca="1">_xlfn.NUMBERVALUE(_xlfn.XLOOKUP(1,(OFFSET(IN_Verknüpfungen!$O$4,0,0,IN_Verknüpfungen!$A$2,1)=$A107)*(OFFSET(IN_Verknüpfungen!$P$4,0,0,IN_Verknüpfungen!$A$2,1)=V$3+1),OFFSET(IN_Verknüpfungen!$F$4,0,0,IN_Verknüpfungen!$A$2,1)))-SUM($G107:U107)</f>
        <v>#N/A</v>
      </c>
      <c r="W107" s="70" t="e" cm="1">
        <f t="array" aca="1" ref="W107" ca="1">_xlfn.NUMBERVALUE(_xlfn.XLOOKUP(1,(OFFSET(IN_Verknüpfungen!$O$4,0,0,IN_Verknüpfungen!$A$2,1)=$A107)*(OFFSET(IN_Verknüpfungen!$P$4,0,0,IN_Verknüpfungen!$A$2,1)=X$3),OFFSET(IN_Verknüpfungen!$J$4,0,0,IN_Verknüpfungen!$A$2,1)))-SUM($G107:V107)</f>
        <v>#N/A</v>
      </c>
      <c r="X107" s="70" t="e" cm="1">
        <f t="array" aca="1" ref="X107" ca="1">_xlfn.NUMBERVALUE(_xlfn.XLOOKUP(1,(OFFSET(IN_Verknüpfungen!$O$4,0,0,IN_Verknüpfungen!$A$2,1)=$A107)*(OFFSET(IN_Verknüpfungen!$P$4,0,0,IN_Verknüpfungen!$A$2,1)=X$3+1),OFFSET(IN_Verknüpfungen!$F$4,0,0,IN_Verknüpfungen!$A$2,1)))-SUM($G107:W107)</f>
        <v>#N/A</v>
      </c>
      <c r="Y107" s="70" t="e" cm="1">
        <f t="array" aca="1" ref="Y107" ca="1">_xlfn.NUMBERVALUE(_xlfn.XLOOKUP(1,(OFFSET(IN_Verknüpfungen!$O$4,0,0,IN_Verknüpfungen!$A$2,1)=$A107)*(OFFSET(IN_Verknüpfungen!$P$4,0,0,IN_Verknüpfungen!$A$2,1)=Z$3),OFFSET(IN_Verknüpfungen!$J$4,0,0,IN_Verknüpfungen!$A$2,1)))-SUM($G107:X107)</f>
        <v>#N/A</v>
      </c>
      <c r="Z107" s="70" t="e" cm="1">
        <f t="array" aca="1" ref="Z107" ca="1">_xlfn.NUMBERVALUE(_xlfn.XLOOKUP(1,(OFFSET(IN_Verknüpfungen!$O$4,0,0,IN_Verknüpfungen!$A$2,1)=$A107)*(OFFSET(IN_Verknüpfungen!$P$4,0,0,IN_Verknüpfungen!$A$2,1)=Z$3+1),OFFSET(IN_Verknüpfungen!$F$4,0,0,IN_Verknüpfungen!$A$2,1)))-SUM($G107:Y107)</f>
        <v>#N/A</v>
      </c>
      <c r="AA107" s="70" t="e" cm="1">
        <f t="array" aca="1" ref="AA107" ca="1">_xlfn.NUMBERVALUE(_xlfn.XLOOKUP(1,(OFFSET(IN_Verknüpfungen!$O$4,0,0,IN_Verknüpfungen!$A$2,1)=$A107)*(OFFSET(IN_Verknüpfungen!$P$4,0,0,IN_Verknüpfungen!$A$2,1)=AB$3),OFFSET(IN_Verknüpfungen!$J$4,0,0,IN_Verknüpfungen!$A$2,1)))-SUM($G107:Z107)</f>
        <v>#N/A</v>
      </c>
      <c r="AB107" s="70" t="e" cm="1">
        <f t="array" aca="1" ref="AB107" ca="1">_xlfn.NUMBERVALUE(_xlfn.XLOOKUP(1,(OFFSET(IN_Verknüpfungen!$O$4,0,0,IN_Verknüpfungen!$A$2,1)=$A107)*(OFFSET(IN_Verknüpfungen!$P$4,0,0,IN_Verknüpfungen!$A$2,1)=AB$3+1),OFFSET(IN_Verknüpfungen!$F$4,0,0,IN_Verknüpfungen!$A$2,1)))-SUM($G107:AA107)</f>
        <v>#N/A</v>
      </c>
    </row>
    <row r="108" spans="1:28" x14ac:dyDescent="0.2">
      <c r="A108" s="56" t="str">
        <f ca="1"/>
        <v>Composition 105</v>
      </c>
      <c r="B108" s="55" t="str" cm="1">
        <f t="array" aca="1" ref="B108" ca="1">IF(A108&lt;&gt;"",_xlfn.XLOOKUP(Laufwege!A108,OFFSET(IN_Verknüpfungen!L$4,0,0,IN_Verknüpfungen!A$2,1),OFFSET(IN_Verknüpfungen!N$4,0,0,IN_Verknüpfungen!A$2,1),""),"")</f>
        <v>146-3.2</v>
      </c>
      <c r="C108" s="55">
        <f ca="1">IF(A108&lt;&gt;"",SUMIFS(OFFSET(IN_Verknüpfungen!M$4,0,0,IN_Verknüpfungen!A$2,1),OFFSET(IN_Verknüpfungen!O$4,0,0,IN_Verknüpfungen!A$2,1),Laufwege!A108),0)</f>
        <v>645913</v>
      </c>
      <c r="D108" s="55" cm="1">
        <f t="array" aca="1" ref="D108" ca="1">IF(B108&lt;&gt;"",_xlfn.XLOOKUP(B108,OFFSET(IN_Stammdaten!$A$4,0,0,IN_Stammdaten!$A$2,1),OFFSET(IN_Stammdaten!$C$4,0,0,IN_Stammdaten!$A$2,1),""),"")</f>
        <v>0</v>
      </c>
      <c r="E108" s="55" t="str">
        <f t="shared" ca="1" si="2"/>
        <v>nein</v>
      </c>
      <c r="F108" s="69" t="str">
        <f t="shared" ca="1" si="3"/>
        <v>Composition 105 (146-3.2)</v>
      </c>
      <c r="G108" s="70" cm="1">
        <f t="array" aca="1" ref="G108" ca="1">_xlfn.NUMBERVALUE(_xlfn.XLOOKUP(A108,OFFSET(IN_Verknüpfungen!$L$4,0,0,IN_Verknüpfungen!$A$2,1),OFFSET(IN_Verknüpfungen!$Q$4,0,0,IN_Verknüpfungen!$A$2,1)))</f>
        <v>0.2842824074074074</v>
      </c>
      <c r="H108" s="70" cm="1">
        <f t="array" aca="1" ref="H108" ca="1">_xlfn.NUMBERVALUE(_xlfn.XLOOKUP(A108,OFFSET(IN_Verknüpfungen!$L$4,0,0,IN_Verknüpfungen!$A$2,1),OFFSET(IN_Verknüpfungen!$F$4,0,0,IN_Verknüpfungen!$A$2,1)))-G108</f>
        <v>0.12883101851851853</v>
      </c>
      <c r="I108" s="70" cm="1">
        <f t="array" aca="1" ref="I108" ca="1">_xlfn.NUMBERVALUE(_xlfn.XLOOKUP(1,(OFFSET(IN_Verknüpfungen!$O$4,0,0,IN_Verknüpfungen!$A$2,1)=$A108)*(OFFSET(IN_Verknüpfungen!$P$4,0,0,IN_Verknüpfungen!$A$2,1)=J$3),OFFSET(IN_Verknüpfungen!$J$4,0,0,IN_Verknüpfungen!$A$2,1)))-SUM($G108:H108)</f>
        <v>2.1331018518518541E-2</v>
      </c>
      <c r="J108" s="70" cm="1">
        <f t="array" aca="1" ref="J108" ca="1">_xlfn.NUMBERVALUE(_xlfn.XLOOKUP(1,(OFFSET(IN_Verknüpfungen!$O$4,0,0,IN_Verknüpfungen!$A$2,1)=$A108)*(OFFSET(IN_Verknüpfungen!$P$4,0,0,IN_Verknüpfungen!$A$2,1)=J$3+1),OFFSET(IN_Verknüpfungen!$F$4,0,0,IN_Verknüpfungen!$A$2,1)))-SUM($G108:I108)</f>
        <v>4.7280092592592582E-2</v>
      </c>
      <c r="K108" s="70" cm="1">
        <f t="array" aca="1" ref="K108" ca="1">_xlfn.NUMBERVALUE(_xlfn.XLOOKUP(1,(OFFSET(IN_Verknüpfungen!$O$4,0,0,IN_Verknüpfungen!$A$2,1)=$A108)*(OFFSET(IN_Verknüpfungen!$P$4,0,0,IN_Verknüpfungen!$A$2,1)=L$3),OFFSET(IN_Verknüpfungen!$J$4,0,0,IN_Verknüpfungen!$A$2,1)))-SUM($G108:J108)</f>
        <v>2.3946759259259209E-2</v>
      </c>
      <c r="L108" s="70" cm="1">
        <f t="array" aca="1" ref="L108" ca="1">_xlfn.NUMBERVALUE(_xlfn.XLOOKUP(1,(OFFSET(IN_Verknüpfungen!$O$4,0,0,IN_Verknüpfungen!$A$2,1)=$A108)*(OFFSET(IN_Verknüpfungen!$P$4,0,0,IN_Verknüpfungen!$A$2,1)=L$3+1),OFFSET(IN_Verknüpfungen!$F$4,0,0,IN_Verknüpfungen!$A$2,1)))-SUM($G108:K108)</f>
        <v>4.8263888888888884E-2</v>
      </c>
      <c r="M108" s="70" cm="1">
        <f t="array" aca="1" ref="M108" ca="1">_xlfn.NUMBERVALUE(_xlfn.XLOOKUP(1,(OFFSET(IN_Verknüpfungen!$O$4,0,0,IN_Verknüpfungen!$A$2,1)=$A108)*(OFFSET(IN_Verknüpfungen!$P$4,0,0,IN_Verknüpfungen!$A$2,1)=N$3),OFFSET(IN_Verknüpfungen!$J$4,0,0,IN_Verknüpfungen!$A$2,1)))-SUM($G108:L108)</f>
        <v>1.0648148148148184E-2</v>
      </c>
      <c r="N108" s="70" t="e" cm="1">
        <f t="array" aca="1" ref="N108" ca="1">_xlfn.NUMBERVALUE(_xlfn.XLOOKUP(1,(OFFSET(IN_Verknüpfungen!$O$4,0,0,IN_Verknüpfungen!$A$2,1)=$A108)*(OFFSET(IN_Verknüpfungen!$P$4,0,0,IN_Verknüpfungen!$A$2,1)=N$3+1),OFFSET(IN_Verknüpfungen!$F$4,0,0,IN_Verknüpfungen!$A$2,1)))-SUM($G108:M108)</f>
        <v>#N/A</v>
      </c>
      <c r="O108" s="70" t="e" cm="1">
        <f t="array" aca="1" ref="O108" ca="1">_xlfn.NUMBERVALUE(_xlfn.XLOOKUP(1,(OFFSET(IN_Verknüpfungen!$O$4,0,0,IN_Verknüpfungen!$A$2,1)=$A108)*(OFFSET(IN_Verknüpfungen!$P$4,0,0,IN_Verknüpfungen!$A$2,1)=P$3),OFFSET(IN_Verknüpfungen!$J$4,0,0,IN_Verknüpfungen!$A$2,1)))-SUM($G108:N108)</f>
        <v>#N/A</v>
      </c>
      <c r="P108" s="70" t="e" cm="1">
        <f t="array" aca="1" ref="P108" ca="1">_xlfn.NUMBERVALUE(_xlfn.XLOOKUP(1,(OFFSET(IN_Verknüpfungen!$O$4,0,0,IN_Verknüpfungen!$A$2,1)=$A108)*(OFFSET(IN_Verknüpfungen!$P$4,0,0,IN_Verknüpfungen!$A$2,1)=P$3+1),OFFSET(IN_Verknüpfungen!$F$4,0,0,IN_Verknüpfungen!$A$2,1)))-SUM($G108:O108)</f>
        <v>#N/A</v>
      </c>
      <c r="Q108" s="70" t="e" cm="1">
        <f t="array" aca="1" ref="Q108" ca="1">_xlfn.NUMBERVALUE(_xlfn.XLOOKUP(1,(OFFSET(IN_Verknüpfungen!$O$4,0,0,IN_Verknüpfungen!$A$2,1)=$A108)*(OFFSET(IN_Verknüpfungen!$P$4,0,0,IN_Verknüpfungen!$A$2,1)=R$3),OFFSET(IN_Verknüpfungen!$J$4,0,0,IN_Verknüpfungen!$A$2,1)))-SUM($G108:P108)</f>
        <v>#N/A</v>
      </c>
      <c r="R108" s="70" t="e" cm="1">
        <f t="array" aca="1" ref="R108" ca="1">_xlfn.NUMBERVALUE(_xlfn.XLOOKUP(1,(OFFSET(IN_Verknüpfungen!$O$4,0,0,IN_Verknüpfungen!$A$2,1)=$A108)*(OFFSET(IN_Verknüpfungen!$P$4,0,0,IN_Verknüpfungen!$A$2,1)=R$3+1),OFFSET(IN_Verknüpfungen!$F$4,0,0,IN_Verknüpfungen!$A$2,1)))-SUM($G108:Q108)</f>
        <v>#N/A</v>
      </c>
      <c r="S108" s="70" t="e" cm="1">
        <f t="array" aca="1" ref="S108" ca="1">_xlfn.NUMBERVALUE(_xlfn.XLOOKUP(1,(OFFSET(IN_Verknüpfungen!$O$4,0,0,IN_Verknüpfungen!$A$2,1)=$A108)*(OFFSET(IN_Verknüpfungen!$P$4,0,0,IN_Verknüpfungen!$A$2,1)=T$3),OFFSET(IN_Verknüpfungen!$J$4,0,0,IN_Verknüpfungen!$A$2,1)))-SUM($G108:R108)</f>
        <v>#N/A</v>
      </c>
      <c r="T108" s="70" t="e" cm="1">
        <f t="array" aca="1" ref="T108" ca="1">_xlfn.NUMBERVALUE(_xlfn.XLOOKUP(1,(OFFSET(IN_Verknüpfungen!$O$4,0,0,IN_Verknüpfungen!$A$2,1)=$A108)*(OFFSET(IN_Verknüpfungen!$P$4,0,0,IN_Verknüpfungen!$A$2,1)=T$3+1),OFFSET(IN_Verknüpfungen!$F$4,0,0,IN_Verknüpfungen!$A$2,1)))-SUM($G108:S108)</f>
        <v>#N/A</v>
      </c>
      <c r="U108" s="70" t="e" cm="1">
        <f t="array" aca="1" ref="U108" ca="1">_xlfn.NUMBERVALUE(_xlfn.XLOOKUP(1,(OFFSET(IN_Verknüpfungen!$O$4,0,0,IN_Verknüpfungen!$A$2,1)=$A108)*(OFFSET(IN_Verknüpfungen!$P$4,0,0,IN_Verknüpfungen!$A$2,1)=V$3),OFFSET(IN_Verknüpfungen!$J$4,0,0,IN_Verknüpfungen!$A$2,1)))-SUM($G108:T108)</f>
        <v>#N/A</v>
      </c>
      <c r="V108" s="70" t="e" cm="1">
        <f t="array" aca="1" ref="V108" ca="1">_xlfn.NUMBERVALUE(_xlfn.XLOOKUP(1,(OFFSET(IN_Verknüpfungen!$O$4,0,0,IN_Verknüpfungen!$A$2,1)=$A108)*(OFFSET(IN_Verknüpfungen!$P$4,0,0,IN_Verknüpfungen!$A$2,1)=V$3+1),OFFSET(IN_Verknüpfungen!$F$4,0,0,IN_Verknüpfungen!$A$2,1)))-SUM($G108:U108)</f>
        <v>#N/A</v>
      </c>
      <c r="W108" s="70" t="e" cm="1">
        <f t="array" aca="1" ref="W108" ca="1">_xlfn.NUMBERVALUE(_xlfn.XLOOKUP(1,(OFFSET(IN_Verknüpfungen!$O$4,0,0,IN_Verknüpfungen!$A$2,1)=$A108)*(OFFSET(IN_Verknüpfungen!$P$4,0,0,IN_Verknüpfungen!$A$2,1)=X$3),OFFSET(IN_Verknüpfungen!$J$4,0,0,IN_Verknüpfungen!$A$2,1)))-SUM($G108:V108)</f>
        <v>#N/A</v>
      </c>
      <c r="X108" s="70" t="e" cm="1">
        <f t="array" aca="1" ref="X108" ca="1">_xlfn.NUMBERVALUE(_xlfn.XLOOKUP(1,(OFFSET(IN_Verknüpfungen!$O$4,0,0,IN_Verknüpfungen!$A$2,1)=$A108)*(OFFSET(IN_Verknüpfungen!$P$4,0,0,IN_Verknüpfungen!$A$2,1)=X$3+1),OFFSET(IN_Verknüpfungen!$F$4,0,0,IN_Verknüpfungen!$A$2,1)))-SUM($G108:W108)</f>
        <v>#N/A</v>
      </c>
      <c r="Y108" s="70" t="e" cm="1">
        <f t="array" aca="1" ref="Y108" ca="1">_xlfn.NUMBERVALUE(_xlfn.XLOOKUP(1,(OFFSET(IN_Verknüpfungen!$O$4,0,0,IN_Verknüpfungen!$A$2,1)=$A108)*(OFFSET(IN_Verknüpfungen!$P$4,0,0,IN_Verknüpfungen!$A$2,1)=Z$3),OFFSET(IN_Verknüpfungen!$J$4,0,0,IN_Verknüpfungen!$A$2,1)))-SUM($G108:X108)</f>
        <v>#N/A</v>
      </c>
      <c r="Z108" s="70" t="e" cm="1">
        <f t="array" aca="1" ref="Z108" ca="1">_xlfn.NUMBERVALUE(_xlfn.XLOOKUP(1,(OFFSET(IN_Verknüpfungen!$O$4,0,0,IN_Verknüpfungen!$A$2,1)=$A108)*(OFFSET(IN_Verknüpfungen!$P$4,0,0,IN_Verknüpfungen!$A$2,1)=Z$3+1),OFFSET(IN_Verknüpfungen!$F$4,0,0,IN_Verknüpfungen!$A$2,1)))-SUM($G108:Y108)</f>
        <v>#N/A</v>
      </c>
      <c r="AA108" s="70" t="e" cm="1">
        <f t="array" aca="1" ref="AA108" ca="1">_xlfn.NUMBERVALUE(_xlfn.XLOOKUP(1,(OFFSET(IN_Verknüpfungen!$O$4,0,0,IN_Verknüpfungen!$A$2,1)=$A108)*(OFFSET(IN_Verknüpfungen!$P$4,0,0,IN_Verknüpfungen!$A$2,1)=AB$3),OFFSET(IN_Verknüpfungen!$J$4,0,0,IN_Verknüpfungen!$A$2,1)))-SUM($G108:Z108)</f>
        <v>#N/A</v>
      </c>
      <c r="AB108" s="70" t="e" cm="1">
        <f t="array" aca="1" ref="AB108" ca="1">_xlfn.NUMBERVALUE(_xlfn.XLOOKUP(1,(OFFSET(IN_Verknüpfungen!$O$4,0,0,IN_Verknüpfungen!$A$2,1)=$A108)*(OFFSET(IN_Verknüpfungen!$P$4,0,0,IN_Verknüpfungen!$A$2,1)=AB$3+1),OFFSET(IN_Verknüpfungen!$F$4,0,0,IN_Verknüpfungen!$A$2,1)))-SUM($G108:AA108)</f>
        <v>#N/A</v>
      </c>
    </row>
    <row r="109" spans="1:28" x14ac:dyDescent="0.2">
      <c r="A109" s="56" t="str">
        <f ca="1"/>
        <v>Composition 106</v>
      </c>
      <c r="B109" s="55" t="str" cm="1">
        <f t="array" aca="1" ref="B109" ca="1">IF(A109&lt;&gt;"",_xlfn.XLOOKUP(Laufwege!A109,OFFSET(IN_Verknüpfungen!L$4,0,0,IN_Verknüpfungen!A$2,1),OFFSET(IN_Verknüpfungen!N$4,0,0,IN_Verknüpfungen!A$2,1),""),"")</f>
        <v>462-1.0</v>
      </c>
      <c r="C109" s="55">
        <f ca="1">IF(A109&lt;&gt;"",SUMIFS(OFFSET(IN_Verknüpfungen!M$4,0,0,IN_Verknüpfungen!A$2,1),OFFSET(IN_Verknüpfungen!O$4,0,0,IN_Verknüpfungen!A$2,1),Laufwege!A109),0)</f>
        <v>472325</v>
      </c>
      <c r="D109" s="55" cm="1">
        <f t="array" aca="1" ref="D109" ca="1">IF(B109&lt;&gt;"",_xlfn.XLOOKUP(B109,OFFSET(IN_Stammdaten!$A$4,0,0,IN_Stammdaten!$A$2,1),OFFSET(IN_Stammdaten!$C$4,0,0,IN_Stammdaten!$A$2,1),""),"")</f>
        <v>0</v>
      </c>
      <c r="E109" s="55" t="str">
        <f t="shared" ca="1" si="2"/>
        <v>nein</v>
      </c>
      <c r="F109" s="69" t="str">
        <f t="shared" ca="1" si="3"/>
        <v>Composition 106 (462-1.0)</v>
      </c>
      <c r="G109" s="70" cm="1">
        <f t="array" aca="1" ref="G109" ca="1">_xlfn.NUMBERVALUE(_xlfn.XLOOKUP(A109,OFFSET(IN_Verknüpfungen!$L$4,0,0,IN_Verknüpfungen!$A$2,1),OFFSET(IN_Verknüpfungen!$Q$4,0,0,IN_Verknüpfungen!$A$2,1)))</f>
        <v>0.30752314814814813</v>
      </c>
      <c r="H109" s="70" cm="1">
        <f t="array" aca="1" ref="H109" ca="1">_xlfn.NUMBERVALUE(_xlfn.XLOOKUP(A109,OFFSET(IN_Verknüpfungen!$L$4,0,0,IN_Verknüpfungen!$A$2,1),OFFSET(IN_Verknüpfungen!$F$4,0,0,IN_Verknüpfungen!$A$2,1)))-G109</f>
        <v>0.11208333333333337</v>
      </c>
      <c r="I109" s="70" cm="1">
        <f t="array" aca="1" ref="I109" ca="1">_xlfn.NUMBERVALUE(_xlfn.XLOOKUP(1,(OFFSET(IN_Verknüpfungen!$O$4,0,0,IN_Verknüpfungen!$A$2,1)=$A109)*(OFFSET(IN_Verknüpfungen!$P$4,0,0,IN_Verknüpfungen!$A$2,1)=J$3),OFFSET(IN_Verknüpfungen!$J$4,0,0,IN_Verknüpfungen!$A$2,1)))-SUM($G109:H109)</f>
        <v>1.0601851851851862E-2</v>
      </c>
      <c r="J109" s="70" cm="1">
        <f t="array" aca="1" ref="J109" ca="1">_xlfn.NUMBERVALUE(_xlfn.XLOOKUP(1,(OFFSET(IN_Verknüpfungen!$O$4,0,0,IN_Verknüpfungen!$A$2,1)=$A109)*(OFFSET(IN_Verknüpfungen!$P$4,0,0,IN_Verknüpfungen!$A$2,1)=J$3+1),OFFSET(IN_Verknüpfungen!$F$4,0,0,IN_Verknüpfungen!$A$2,1)))-SUM($G109:I109)</f>
        <v>0.10043981481481484</v>
      </c>
      <c r="K109" s="70" cm="1">
        <f t="array" aca="1" ref="K109" ca="1">_xlfn.NUMBERVALUE(_xlfn.XLOOKUP(1,(OFFSET(IN_Verknüpfungen!$O$4,0,0,IN_Verknüpfungen!$A$2,1)=$A109)*(OFFSET(IN_Verknüpfungen!$P$4,0,0,IN_Verknüpfungen!$A$2,1)=L$3),OFFSET(IN_Verknüpfungen!$J$4,0,0,IN_Verknüpfungen!$A$2,1)))-SUM($G109:J109)</f>
        <v>1.2847222222222121E-2</v>
      </c>
      <c r="L109" s="70" t="e" cm="1">
        <f t="array" aca="1" ref="L109" ca="1">_xlfn.NUMBERVALUE(_xlfn.XLOOKUP(1,(OFFSET(IN_Verknüpfungen!$O$4,0,0,IN_Verknüpfungen!$A$2,1)=$A109)*(OFFSET(IN_Verknüpfungen!$P$4,0,0,IN_Verknüpfungen!$A$2,1)=L$3+1),OFFSET(IN_Verknüpfungen!$F$4,0,0,IN_Verknüpfungen!$A$2,1)))-SUM($G109:K109)</f>
        <v>#N/A</v>
      </c>
      <c r="M109" s="70" t="e" cm="1">
        <f t="array" aca="1" ref="M109" ca="1">_xlfn.NUMBERVALUE(_xlfn.XLOOKUP(1,(OFFSET(IN_Verknüpfungen!$O$4,0,0,IN_Verknüpfungen!$A$2,1)=$A109)*(OFFSET(IN_Verknüpfungen!$P$4,0,0,IN_Verknüpfungen!$A$2,1)=N$3),OFFSET(IN_Verknüpfungen!$J$4,0,0,IN_Verknüpfungen!$A$2,1)))-SUM($G109:L109)</f>
        <v>#N/A</v>
      </c>
      <c r="N109" s="70" t="e" cm="1">
        <f t="array" aca="1" ref="N109" ca="1">_xlfn.NUMBERVALUE(_xlfn.XLOOKUP(1,(OFFSET(IN_Verknüpfungen!$O$4,0,0,IN_Verknüpfungen!$A$2,1)=$A109)*(OFFSET(IN_Verknüpfungen!$P$4,0,0,IN_Verknüpfungen!$A$2,1)=N$3+1),OFFSET(IN_Verknüpfungen!$F$4,0,0,IN_Verknüpfungen!$A$2,1)))-SUM($G109:M109)</f>
        <v>#N/A</v>
      </c>
      <c r="O109" s="70" t="e" cm="1">
        <f t="array" aca="1" ref="O109" ca="1">_xlfn.NUMBERVALUE(_xlfn.XLOOKUP(1,(OFFSET(IN_Verknüpfungen!$O$4,0,0,IN_Verknüpfungen!$A$2,1)=$A109)*(OFFSET(IN_Verknüpfungen!$P$4,0,0,IN_Verknüpfungen!$A$2,1)=P$3),OFFSET(IN_Verknüpfungen!$J$4,0,0,IN_Verknüpfungen!$A$2,1)))-SUM($G109:N109)</f>
        <v>#N/A</v>
      </c>
      <c r="P109" s="70" t="e" cm="1">
        <f t="array" aca="1" ref="P109" ca="1">_xlfn.NUMBERVALUE(_xlfn.XLOOKUP(1,(OFFSET(IN_Verknüpfungen!$O$4,0,0,IN_Verknüpfungen!$A$2,1)=$A109)*(OFFSET(IN_Verknüpfungen!$P$4,0,0,IN_Verknüpfungen!$A$2,1)=P$3+1),OFFSET(IN_Verknüpfungen!$F$4,0,0,IN_Verknüpfungen!$A$2,1)))-SUM($G109:O109)</f>
        <v>#N/A</v>
      </c>
      <c r="Q109" s="70" t="e" cm="1">
        <f t="array" aca="1" ref="Q109" ca="1">_xlfn.NUMBERVALUE(_xlfn.XLOOKUP(1,(OFFSET(IN_Verknüpfungen!$O$4,0,0,IN_Verknüpfungen!$A$2,1)=$A109)*(OFFSET(IN_Verknüpfungen!$P$4,0,0,IN_Verknüpfungen!$A$2,1)=R$3),OFFSET(IN_Verknüpfungen!$J$4,0,0,IN_Verknüpfungen!$A$2,1)))-SUM($G109:P109)</f>
        <v>#N/A</v>
      </c>
      <c r="R109" s="70" t="e" cm="1">
        <f t="array" aca="1" ref="R109" ca="1">_xlfn.NUMBERVALUE(_xlfn.XLOOKUP(1,(OFFSET(IN_Verknüpfungen!$O$4,0,0,IN_Verknüpfungen!$A$2,1)=$A109)*(OFFSET(IN_Verknüpfungen!$P$4,0,0,IN_Verknüpfungen!$A$2,1)=R$3+1),OFFSET(IN_Verknüpfungen!$F$4,0,0,IN_Verknüpfungen!$A$2,1)))-SUM($G109:Q109)</f>
        <v>#N/A</v>
      </c>
      <c r="S109" s="70" t="e" cm="1">
        <f t="array" aca="1" ref="S109" ca="1">_xlfn.NUMBERVALUE(_xlfn.XLOOKUP(1,(OFFSET(IN_Verknüpfungen!$O$4,0,0,IN_Verknüpfungen!$A$2,1)=$A109)*(OFFSET(IN_Verknüpfungen!$P$4,0,0,IN_Verknüpfungen!$A$2,1)=T$3),OFFSET(IN_Verknüpfungen!$J$4,0,0,IN_Verknüpfungen!$A$2,1)))-SUM($G109:R109)</f>
        <v>#N/A</v>
      </c>
      <c r="T109" s="70" t="e" cm="1">
        <f t="array" aca="1" ref="T109" ca="1">_xlfn.NUMBERVALUE(_xlfn.XLOOKUP(1,(OFFSET(IN_Verknüpfungen!$O$4,0,0,IN_Verknüpfungen!$A$2,1)=$A109)*(OFFSET(IN_Verknüpfungen!$P$4,0,0,IN_Verknüpfungen!$A$2,1)=T$3+1),OFFSET(IN_Verknüpfungen!$F$4,0,0,IN_Verknüpfungen!$A$2,1)))-SUM($G109:S109)</f>
        <v>#N/A</v>
      </c>
      <c r="U109" s="70" t="e" cm="1">
        <f t="array" aca="1" ref="U109" ca="1">_xlfn.NUMBERVALUE(_xlfn.XLOOKUP(1,(OFFSET(IN_Verknüpfungen!$O$4,0,0,IN_Verknüpfungen!$A$2,1)=$A109)*(OFFSET(IN_Verknüpfungen!$P$4,0,0,IN_Verknüpfungen!$A$2,1)=V$3),OFFSET(IN_Verknüpfungen!$J$4,0,0,IN_Verknüpfungen!$A$2,1)))-SUM($G109:T109)</f>
        <v>#N/A</v>
      </c>
      <c r="V109" s="70" t="e" cm="1">
        <f t="array" aca="1" ref="V109" ca="1">_xlfn.NUMBERVALUE(_xlfn.XLOOKUP(1,(OFFSET(IN_Verknüpfungen!$O$4,0,0,IN_Verknüpfungen!$A$2,1)=$A109)*(OFFSET(IN_Verknüpfungen!$P$4,0,0,IN_Verknüpfungen!$A$2,1)=V$3+1),OFFSET(IN_Verknüpfungen!$F$4,0,0,IN_Verknüpfungen!$A$2,1)))-SUM($G109:U109)</f>
        <v>#N/A</v>
      </c>
      <c r="W109" s="70" t="e" cm="1">
        <f t="array" aca="1" ref="W109" ca="1">_xlfn.NUMBERVALUE(_xlfn.XLOOKUP(1,(OFFSET(IN_Verknüpfungen!$O$4,0,0,IN_Verknüpfungen!$A$2,1)=$A109)*(OFFSET(IN_Verknüpfungen!$P$4,0,0,IN_Verknüpfungen!$A$2,1)=X$3),OFFSET(IN_Verknüpfungen!$J$4,0,0,IN_Verknüpfungen!$A$2,1)))-SUM($G109:V109)</f>
        <v>#N/A</v>
      </c>
      <c r="X109" s="70" t="e" cm="1">
        <f t="array" aca="1" ref="X109" ca="1">_xlfn.NUMBERVALUE(_xlfn.XLOOKUP(1,(OFFSET(IN_Verknüpfungen!$O$4,0,0,IN_Verknüpfungen!$A$2,1)=$A109)*(OFFSET(IN_Verknüpfungen!$P$4,0,0,IN_Verknüpfungen!$A$2,1)=X$3+1),OFFSET(IN_Verknüpfungen!$F$4,0,0,IN_Verknüpfungen!$A$2,1)))-SUM($G109:W109)</f>
        <v>#N/A</v>
      </c>
      <c r="Y109" s="70" t="e" cm="1">
        <f t="array" aca="1" ref="Y109" ca="1">_xlfn.NUMBERVALUE(_xlfn.XLOOKUP(1,(OFFSET(IN_Verknüpfungen!$O$4,0,0,IN_Verknüpfungen!$A$2,1)=$A109)*(OFFSET(IN_Verknüpfungen!$P$4,0,0,IN_Verknüpfungen!$A$2,1)=Z$3),OFFSET(IN_Verknüpfungen!$J$4,0,0,IN_Verknüpfungen!$A$2,1)))-SUM($G109:X109)</f>
        <v>#N/A</v>
      </c>
      <c r="Z109" s="70" t="e" cm="1">
        <f t="array" aca="1" ref="Z109" ca="1">_xlfn.NUMBERVALUE(_xlfn.XLOOKUP(1,(OFFSET(IN_Verknüpfungen!$O$4,0,0,IN_Verknüpfungen!$A$2,1)=$A109)*(OFFSET(IN_Verknüpfungen!$P$4,0,0,IN_Verknüpfungen!$A$2,1)=Z$3+1),OFFSET(IN_Verknüpfungen!$F$4,0,0,IN_Verknüpfungen!$A$2,1)))-SUM($G109:Y109)</f>
        <v>#N/A</v>
      </c>
      <c r="AA109" s="70" t="e" cm="1">
        <f t="array" aca="1" ref="AA109" ca="1">_xlfn.NUMBERVALUE(_xlfn.XLOOKUP(1,(OFFSET(IN_Verknüpfungen!$O$4,0,0,IN_Verknüpfungen!$A$2,1)=$A109)*(OFFSET(IN_Verknüpfungen!$P$4,0,0,IN_Verknüpfungen!$A$2,1)=AB$3),OFFSET(IN_Verknüpfungen!$J$4,0,0,IN_Verknüpfungen!$A$2,1)))-SUM($G109:Z109)</f>
        <v>#N/A</v>
      </c>
      <c r="AB109" s="70" t="e" cm="1">
        <f t="array" aca="1" ref="AB109" ca="1">_xlfn.NUMBERVALUE(_xlfn.XLOOKUP(1,(OFFSET(IN_Verknüpfungen!$O$4,0,0,IN_Verknüpfungen!$A$2,1)=$A109)*(OFFSET(IN_Verknüpfungen!$P$4,0,0,IN_Verknüpfungen!$A$2,1)=AB$3+1),OFFSET(IN_Verknüpfungen!$F$4,0,0,IN_Verknüpfungen!$A$2,1)))-SUM($G109:AA109)</f>
        <v>#N/A</v>
      </c>
    </row>
    <row r="110" spans="1:28" x14ac:dyDescent="0.2">
      <c r="A110" s="56" t="str">
        <f ca="1"/>
        <v>Composition 107</v>
      </c>
      <c r="B110" s="55" t="str" cm="1">
        <f t="array" aca="1" ref="B110" ca="1">IF(A110&lt;&gt;"",_xlfn.XLOOKUP(Laufwege!A110,OFFSET(IN_Verknüpfungen!L$4,0,0,IN_Verknüpfungen!A$2,1),OFFSET(IN_Verknüpfungen!N$4,0,0,IN_Verknüpfungen!A$2,1),""),"")</f>
        <v>462-1.0</v>
      </c>
      <c r="C110" s="55">
        <f ca="1">IF(A110&lt;&gt;"",SUMIFS(OFFSET(IN_Verknüpfungen!M$4,0,0,IN_Verknüpfungen!A$2,1),OFFSET(IN_Verknüpfungen!O$4,0,0,IN_Verknüpfungen!A$2,1),Laufwege!A110),0)</f>
        <v>479247</v>
      </c>
      <c r="D110" s="55" cm="1">
        <f t="array" aca="1" ref="D110" ca="1">IF(B110&lt;&gt;"",_xlfn.XLOOKUP(B110,OFFSET(IN_Stammdaten!$A$4,0,0,IN_Stammdaten!$A$2,1),OFFSET(IN_Stammdaten!$C$4,0,0,IN_Stammdaten!$A$2,1),""),"")</f>
        <v>0</v>
      </c>
      <c r="E110" s="55" t="str">
        <f t="shared" ca="1" si="2"/>
        <v>nein</v>
      </c>
      <c r="F110" s="69" t="str">
        <f t="shared" ca="1" si="3"/>
        <v>Composition 107 (462-1.0)</v>
      </c>
      <c r="G110" s="70" cm="1">
        <f t="array" aca="1" ref="G110" ca="1">_xlfn.NUMBERVALUE(_xlfn.XLOOKUP(A110,OFFSET(IN_Verknüpfungen!$L$4,0,0,IN_Verknüpfungen!$A$2,1),OFFSET(IN_Verknüpfungen!$Q$4,0,0,IN_Verknüpfungen!$A$2,1)))</f>
        <v>0.30807870370370372</v>
      </c>
      <c r="H110" s="70" cm="1">
        <f t="array" aca="1" ref="H110" ca="1">_xlfn.NUMBERVALUE(_xlfn.XLOOKUP(A110,OFFSET(IN_Verknüpfungen!$L$4,0,0,IN_Verknüpfungen!$A$2,1),OFFSET(IN_Verknüpfungen!$F$4,0,0,IN_Verknüpfungen!$A$2,1)))-G110</f>
        <v>0.11238425925925927</v>
      </c>
      <c r="I110" s="70" cm="1">
        <f t="array" aca="1" ref="I110" ca="1">_xlfn.NUMBERVALUE(_xlfn.XLOOKUP(1,(OFFSET(IN_Verknüpfungen!$O$4,0,0,IN_Verknüpfungen!$A$2,1)=$A110)*(OFFSET(IN_Verknüpfungen!$P$4,0,0,IN_Verknüpfungen!$A$2,1)=J$3),OFFSET(IN_Verknüpfungen!$J$4,0,0,IN_Verknüpfungen!$A$2,1)))-SUM($G110:H110)</f>
        <v>1.0451388888888857E-2</v>
      </c>
      <c r="J110" s="70" cm="1">
        <f t="array" aca="1" ref="J110" ca="1">_xlfn.NUMBERVALUE(_xlfn.XLOOKUP(1,(OFFSET(IN_Verknüpfungen!$O$4,0,0,IN_Verknüpfungen!$A$2,1)=$A110)*(OFFSET(IN_Verknüpfungen!$P$4,0,0,IN_Verknüpfungen!$A$2,1)=J$3+1),OFFSET(IN_Verknüpfungen!$F$4,0,0,IN_Verknüpfungen!$A$2,1)))-SUM($G110:I110)</f>
        <v>0.10249999999999998</v>
      </c>
      <c r="K110" s="70" cm="1">
        <f t="array" aca="1" ref="K110" ca="1">_xlfn.NUMBERVALUE(_xlfn.XLOOKUP(1,(OFFSET(IN_Verknüpfungen!$O$4,0,0,IN_Verknüpfungen!$A$2,1)=$A110)*(OFFSET(IN_Verknüpfungen!$P$4,0,0,IN_Verknüpfungen!$A$2,1)=L$3),OFFSET(IN_Verknüpfungen!$J$4,0,0,IN_Verknüpfungen!$A$2,1)))-SUM($G110:J110)</f>
        <v>7.0023148148148362E-3</v>
      </c>
      <c r="L110" s="70" t="e" cm="1">
        <f t="array" aca="1" ref="L110" ca="1">_xlfn.NUMBERVALUE(_xlfn.XLOOKUP(1,(OFFSET(IN_Verknüpfungen!$O$4,0,0,IN_Verknüpfungen!$A$2,1)=$A110)*(OFFSET(IN_Verknüpfungen!$P$4,0,0,IN_Verknüpfungen!$A$2,1)=L$3+1),OFFSET(IN_Verknüpfungen!$F$4,0,0,IN_Verknüpfungen!$A$2,1)))-SUM($G110:K110)</f>
        <v>#N/A</v>
      </c>
      <c r="M110" s="70" t="e" cm="1">
        <f t="array" aca="1" ref="M110" ca="1">_xlfn.NUMBERVALUE(_xlfn.XLOOKUP(1,(OFFSET(IN_Verknüpfungen!$O$4,0,0,IN_Verknüpfungen!$A$2,1)=$A110)*(OFFSET(IN_Verknüpfungen!$P$4,0,0,IN_Verknüpfungen!$A$2,1)=N$3),OFFSET(IN_Verknüpfungen!$J$4,0,0,IN_Verknüpfungen!$A$2,1)))-SUM($G110:L110)</f>
        <v>#N/A</v>
      </c>
      <c r="N110" s="70" t="e" cm="1">
        <f t="array" aca="1" ref="N110" ca="1">_xlfn.NUMBERVALUE(_xlfn.XLOOKUP(1,(OFFSET(IN_Verknüpfungen!$O$4,0,0,IN_Verknüpfungen!$A$2,1)=$A110)*(OFFSET(IN_Verknüpfungen!$P$4,0,0,IN_Verknüpfungen!$A$2,1)=N$3+1),OFFSET(IN_Verknüpfungen!$F$4,0,0,IN_Verknüpfungen!$A$2,1)))-SUM($G110:M110)</f>
        <v>#N/A</v>
      </c>
      <c r="O110" s="70" t="e" cm="1">
        <f t="array" aca="1" ref="O110" ca="1">_xlfn.NUMBERVALUE(_xlfn.XLOOKUP(1,(OFFSET(IN_Verknüpfungen!$O$4,0,0,IN_Verknüpfungen!$A$2,1)=$A110)*(OFFSET(IN_Verknüpfungen!$P$4,0,0,IN_Verknüpfungen!$A$2,1)=P$3),OFFSET(IN_Verknüpfungen!$J$4,0,0,IN_Verknüpfungen!$A$2,1)))-SUM($G110:N110)</f>
        <v>#N/A</v>
      </c>
      <c r="P110" s="70" t="e" cm="1">
        <f t="array" aca="1" ref="P110" ca="1">_xlfn.NUMBERVALUE(_xlfn.XLOOKUP(1,(OFFSET(IN_Verknüpfungen!$O$4,0,0,IN_Verknüpfungen!$A$2,1)=$A110)*(OFFSET(IN_Verknüpfungen!$P$4,0,0,IN_Verknüpfungen!$A$2,1)=P$3+1),OFFSET(IN_Verknüpfungen!$F$4,0,0,IN_Verknüpfungen!$A$2,1)))-SUM($G110:O110)</f>
        <v>#N/A</v>
      </c>
      <c r="Q110" s="70" t="e" cm="1">
        <f t="array" aca="1" ref="Q110" ca="1">_xlfn.NUMBERVALUE(_xlfn.XLOOKUP(1,(OFFSET(IN_Verknüpfungen!$O$4,0,0,IN_Verknüpfungen!$A$2,1)=$A110)*(OFFSET(IN_Verknüpfungen!$P$4,0,0,IN_Verknüpfungen!$A$2,1)=R$3),OFFSET(IN_Verknüpfungen!$J$4,0,0,IN_Verknüpfungen!$A$2,1)))-SUM($G110:P110)</f>
        <v>#N/A</v>
      </c>
      <c r="R110" s="70" t="e" cm="1">
        <f t="array" aca="1" ref="R110" ca="1">_xlfn.NUMBERVALUE(_xlfn.XLOOKUP(1,(OFFSET(IN_Verknüpfungen!$O$4,0,0,IN_Verknüpfungen!$A$2,1)=$A110)*(OFFSET(IN_Verknüpfungen!$P$4,0,0,IN_Verknüpfungen!$A$2,1)=R$3+1),OFFSET(IN_Verknüpfungen!$F$4,0,0,IN_Verknüpfungen!$A$2,1)))-SUM($G110:Q110)</f>
        <v>#N/A</v>
      </c>
      <c r="S110" s="70" t="e" cm="1">
        <f t="array" aca="1" ref="S110" ca="1">_xlfn.NUMBERVALUE(_xlfn.XLOOKUP(1,(OFFSET(IN_Verknüpfungen!$O$4,0,0,IN_Verknüpfungen!$A$2,1)=$A110)*(OFFSET(IN_Verknüpfungen!$P$4,0,0,IN_Verknüpfungen!$A$2,1)=T$3),OFFSET(IN_Verknüpfungen!$J$4,0,0,IN_Verknüpfungen!$A$2,1)))-SUM($G110:R110)</f>
        <v>#N/A</v>
      </c>
      <c r="T110" s="70" t="e" cm="1">
        <f t="array" aca="1" ref="T110" ca="1">_xlfn.NUMBERVALUE(_xlfn.XLOOKUP(1,(OFFSET(IN_Verknüpfungen!$O$4,0,0,IN_Verknüpfungen!$A$2,1)=$A110)*(OFFSET(IN_Verknüpfungen!$P$4,0,0,IN_Verknüpfungen!$A$2,1)=T$3+1),OFFSET(IN_Verknüpfungen!$F$4,0,0,IN_Verknüpfungen!$A$2,1)))-SUM($G110:S110)</f>
        <v>#N/A</v>
      </c>
      <c r="U110" s="70" t="e" cm="1">
        <f t="array" aca="1" ref="U110" ca="1">_xlfn.NUMBERVALUE(_xlfn.XLOOKUP(1,(OFFSET(IN_Verknüpfungen!$O$4,0,0,IN_Verknüpfungen!$A$2,1)=$A110)*(OFFSET(IN_Verknüpfungen!$P$4,0,0,IN_Verknüpfungen!$A$2,1)=V$3),OFFSET(IN_Verknüpfungen!$J$4,0,0,IN_Verknüpfungen!$A$2,1)))-SUM($G110:T110)</f>
        <v>#N/A</v>
      </c>
      <c r="V110" s="70" t="e" cm="1">
        <f t="array" aca="1" ref="V110" ca="1">_xlfn.NUMBERVALUE(_xlfn.XLOOKUP(1,(OFFSET(IN_Verknüpfungen!$O$4,0,0,IN_Verknüpfungen!$A$2,1)=$A110)*(OFFSET(IN_Verknüpfungen!$P$4,0,0,IN_Verknüpfungen!$A$2,1)=V$3+1),OFFSET(IN_Verknüpfungen!$F$4,0,0,IN_Verknüpfungen!$A$2,1)))-SUM($G110:U110)</f>
        <v>#N/A</v>
      </c>
      <c r="W110" s="70" t="e" cm="1">
        <f t="array" aca="1" ref="W110" ca="1">_xlfn.NUMBERVALUE(_xlfn.XLOOKUP(1,(OFFSET(IN_Verknüpfungen!$O$4,0,0,IN_Verknüpfungen!$A$2,1)=$A110)*(OFFSET(IN_Verknüpfungen!$P$4,0,0,IN_Verknüpfungen!$A$2,1)=X$3),OFFSET(IN_Verknüpfungen!$J$4,0,0,IN_Verknüpfungen!$A$2,1)))-SUM($G110:V110)</f>
        <v>#N/A</v>
      </c>
      <c r="X110" s="70" t="e" cm="1">
        <f t="array" aca="1" ref="X110" ca="1">_xlfn.NUMBERVALUE(_xlfn.XLOOKUP(1,(OFFSET(IN_Verknüpfungen!$O$4,0,0,IN_Verknüpfungen!$A$2,1)=$A110)*(OFFSET(IN_Verknüpfungen!$P$4,0,0,IN_Verknüpfungen!$A$2,1)=X$3+1),OFFSET(IN_Verknüpfungen!$F$4,0,0,IN_Verknüpfungen!$A$2,1)))-SUM($G110:W110)</f>
        <v>#N/A</v>
      </c>
      <c r="Y110" s="70" t="e" cm="1">
        <f t="array" aca="1" ref="Y110" ca="1">_xlfn.NUMBERVALUE(_xlfn.XLOOKUP(1,(OFFSET(IN_Verknüpfungen!$O$4,0,0,IN_Verknüpfungen!$A$2,1)=$A110)*(OFFSET(IN_Verknüpfungen!$P$4,0,0,IN_Verknüpfungen!$A$2,1)=Z$3),OFFSET(IN_Verknüpfungen!$J$4,0,0,IN_Verknüpfungen!$A$2,1)))-SUM($G110:X110)</f>
        <v>#N/A</v>
      </c>
      <c r="Z110" s="70" t="e" cm="1">
        <f t="array" aca="1" ref="Z110" ca="1">_xlfn.NUMBERVALUE(_xlfn.XLOOKUP(1,(OFFSET(IN_Verknüpfungen!$O$4,0,0,IN_Verknüpfungen!$A$2,1)=$A110)*(OFFSET(IN_Verknüpfungen!$P$4,0,0,IN_Verknüpfungen!$A$2,1)=Z$3+1),OFFSET(IN_Verknüpfungen!$F$4,0,0,IN_Verknüpfungen!$A$2,1)))-SUM($G110:Y110)</f>
        <v>#N/A</v>
      </c>
      <c r="AA110" s="70" t="e" cm="1">
        <f t="array" aca="1" ref="AA110" ca="1">_xlfn.NUMBERVALUE(_xlfn.XLOOKUP(1,(OFFSET(IN_Verknüpfungen!$O$4,0,0,IN_Verknüpfungen!$A$2,1)=$A110)*(OFFSET(IN_Verknüpfungen!$P$4,0,0,IN_Verknüpfungen!$A$2,1)=AB$3),OFFSET(IN_Verknüpfungen!$J$4,0,0,IN_Verknüpfungen!$A$2,1)))-SUM($G110:Z110)</f>
        <v>#N/A</v>
      </c>
      <c r="AB110" s="70" t="e" cm="1">
        <f t="array" aca="1" ref="AB110" ca="1">_xlfn.NUMBERVALUE(_xlfn.XLOOKUP(1,(OFFSET(IN_Verknüpfungen!$O$4,0,0,IN_Verknüpfungen!$A$2,1)=$A110)*(OFFSET(IN_Verknüpfungen!$P$4,0,0,IN_Verknüpfungen!$A$2,1)=AB$3+1),OFFSET(IN_Verknüpfungen!$F$4,0,0,IN_Verknüpfungen!$A$2,1)))-SUM($G110:AA110)</f>
        <v>#N/A</v>
      </c>
    </row>
    <row r="111" spans="1:28" x14ac:dyDescent="0.2">
      <c r="A111" s="56" t="str">
        <f ca="1"/>
        <v>Composition 108</v>
      </c>
      <c r="B111" s="55" t="str" cm="1">
        <f t="array" aca="1" ref="B111" ca="1">IF(A111&lt;&gt;"",_xlfn.XLOOKUP(Laufwege!A111,OFFSET(IN_Verknüpfungen!L$4,0,0,IN_Verknüpfungen!A$2,1),OFFSET(IN_Verknüpfungen!N$4,0,0,IN_Verknüpfungen!A$2,1),""),"")</f>
        <v>462-1.0</v>
      </c>
      <c r="C111" s="55">
        <f ca="1">IF(A111&lt;&gt;"",SUMIFS(OFFSET(IN_Verknüpfungen!M$4,0,0,IN_Verknüpfungen!A$2,1),OFFSET(IN_Verknüpfungen!O$4,0,0,IN_Verknüpfungen!A$2,1),Laufwege!A111),0)</f>
        <v>721052</v>
      </c>
      <c r="D111" s="55" cm="1">
        <f t="array" aca="1" ref="D111" ca="1">IF(B111&lt;&gt;"",_xlfn.XLOOKUP(B111,OFFSET(IN_Stammdaten!$A$4,0,0,IN_Stammdaten!$A$2,1),OFFSET(IN_Stammdaten!$C$4,0,0,IN_Stammdaten!$A$2,1),""),"")</f>
        <v>0</v>
      </c>
      <c r="E111" s="55" t="str">
        <f t="shared" ca="1" si="2"/>
        <v>nein</v>
      </c>
      <c r="F111" s="69" t="str">
        <f t="shared" ca="1" si="3"/>
        <v>Composition 108 (462-1.0)</v>
      </c>
      <c r="G111" s="70" cm="1">
        <f t="array" aca="1" ref="G111" ca="1">_xlfn.NUMBERVALUE(_xlfn.XLOOKUP(A111,OFFSET(IN_Verknüpfungen!$L$4,0,0,IN_Verknüpfungen!$A$2,1),OFFSET(IN_Verknüpfungen!$Q$4,0,0,IN_Verknüpfungen!$A$2,1)))</f>
        <v>0.28760416666666666</v>
      </c>
      <c r="H111" s="70" cm="1">
        <f t="array" aca="1" ref="H111" ca="1">_xlfn.NUMBERVALUE(_xlfn.XLOOKUP(A111,OFFSET(IN_Verknüpfungen!$L$4,0,0,IN_Verknüpfungen!$A$2,1),OFFSET(IN_Verknüpfungen!$F$4,0,0,IN_Verknüpfungen!$A$2,1)))-G111</f>
        <v>0.13434027777777779</v>
      </c>
      <c r="I111" s="70" cm="1">
        <f t="array" aca="1" ref="I111" ca="1">_xlfn.NUMBERVALUE(_xlfn.XLOOKUP(1,(OFFSET(IN_Verknüpfungen!$O$4,0,0,IN_Verknüpfungen!$A$2,1)=$A111)*(OFFSET(IN_Verknüpfungen!$P$4,0,0,IN_Verknüpfungen!$A$2,1)=J$3),OFFSET(IN_Verknüpfungen!$J$4,0,0,IN_Verknüpfungen!$A$2,1)))-SUM($G111:H111)</f>
        <v>1.6666666666666663E-2</v>
      </c>
      <c r="J111" s="70" cm="1">
        <f t="array" aca="1" ref="J111" ca="1">_xlfn.NUMBERVALUE(_xlfn.XLOOKUP(1,(OFFSET(IN_Verknüpfungen!$O$4,0,0,IN_Verknüpfungen!$A$2,1)=$A111)*(OFFSET(IN_Verknüpfungen!$P$4,0,0,IN_Verknüpfungen!$A$2,1)=J$3+1),OFFSET(IN_Verknüpfungen!$F$4,0,0,IN_Verknüpfungen!$A$2,1)))-SUM($G111:I111)</f>
        <v>0.12371527777777774</v>
      </c>
      <c r="K111" s="70" cm="1">
        <f t="array" aca="1" ref="K111" ca="1">_xlfn.NUMBERVALUE(_xlfn.XLOOKUP(1,(OFFSET(IN_Verknüpfungen!$O$4,0,0,IN_Verknüpfungen!$A$2,1)=$A111)*(OFFSET(IN_Verknüpfungen!$P$4,0,0,IN_Verknüpfungen!$A$2,1)=L$3),OFFSET(IN_Verknüpfungen!$J$4,0,0,IN_Verknüpfungen!$A$2,1)))-SUM($G111:J111)</f>
        <v>2.4131944444444442E-2</v>
      </c>
      <c r="L111" s="70" t="e" cm="1">
        <f t="array" aca="1" ref="L111" ca="1">_xlfn.NUMBERVALUE(_xlfn.XLOOKUP(1,(OFFSET(IN_Verknüpfungen!$O$4,0,0,IN_Verknüpfungen!$A$2,1)=$A111)*(OFFSET(IN_Verknüpfungen!$P$4,0,0,IN_Verknüpfungen!$A$2,1)=L$3+1),OFFSET(IN_Verknüpfungen!$F$4,0,0,IN_Verknüpfungen!$A$2,1)))-SUM($G111:K111)</f>
        <v>#N/A</v>
      </c>
      <c r="M111" s="70" t="e" cm="1">
        <f t="array" aca="1" ref="M111" ca="1">_xlfn.NUMBERVALUE(_xlfn.XLOOKUP(1,(OFFSET(IN_Verknüpfungen!$O$4,0,0,IN_Verknüpfungen!$A$2,1)=$A111)*(OFFSET(IN_Verknüpfungen!$P$4,0,0,IN_Verknüpfungen!$A$2,1)=N$3),OFFSET(IN_Verknüpfungen!$J$4,0,0,IN_Verknüpfungen!$A$2,1)))-SUM($G111:L111)</f>
        <v>#N/A</v>
      </c>
      <c r="N111" s="70" t="e" cm="1">
        <f t="array" aca="1" ref="N111" ca="1">_xlfn.NUMBERVALUE(_xlfn.XLOOKUP(1,(OFFSET(IN_Verknüpfungen!$O$4,0,0,IN_Verknüpfungen!$A$2,1)=$A111)*(OFFSET(IN_Verknüpfungen!$P$4,0,0,IN_Verknüpfungen!$A$2,1)=N$3+1),OFFSET(IN_Verknüpfungen!$F$4,0,0,IN_Verknüpfungen!$A$2,1)))-SUM($G111:M111)</f>
        <v>#N/A</v>
      </c>
      <c r="O111" s="70" t="e" cm="1">
        <f t="array" aca="1" ref="O111" ca="1">_xlfn.NUMBERVALUE(_xlfn.XLOOKUP(1,(OFFSET(IN_Verknüpfungen!$O$4,0,0,IN_Verknüpfungen!$A$2,1)=$A111)*(OFFSET(IN_Verknüpfungen!$P$4,0,0,IN_Verknüpfungen!$A$2,1)=P$3),OFFSET(IN_Verknüpfungen!$J$4,0,0,IN_Verknüpfungen!$A$2,1)))-SUM($G111:N111)</f>
        <v>#N/A</v>
      </c>
      <c r="P111" s="70" t="e" cm="1">
        <f t="array" aca="1" ref="P111" ca="1">_xlfn.NUMBERVALUE(_xlfn.XLOOKUP(1,(OFFSET(IN_Verknüpfungen!$O$4,0,0,IN_Verknüpfungen!$A$2,1)=$A111)*(OFFSET(IN_Verknüpfungen!$P$4,0,0,IN_Verknüpfungen!$A$2,1)=P$3+1),OFFSET(IN_Verknüpfungen!$F$4,0,0,IN_Verknüpfungen!$A$2,1)))-SUM($G111:O111)</f>
        <v>#N/A</v>
      </c>
      <c r="Q111" s="70" t="e" cm="1">
        <f t="array" aca="1" ref="Q111" ca="1">_xlfn.NUMBERVALUE(_xlfn.XLOOKUP(1,(OFFSET(IN_Verknüpfungen!$O$4,0,0,IN_Verknüpfungen!$A$2,1)=$A111)*(OFFSET(IN_Verknüpfungen!$P$4,0,0,IN_Verknüpfungen!$A$2,1)=R$3),OFFSET(IN_Verknüpfungen!$J$4,0,0,IN_Verknüpfungen!$A$2,1)))-SUM($G111:P111)</f>
        <v>#N/A</v>
      </c>
      <c r="R111" s="70" t="e" cm="1">
        <f t="array" aca="1" ref="R111" ca="1">_xlfn.NUMBERVALUE(_xlfn.XLOOKUP(1,(OFFSET(IN_Verknüpfungen!$O$4,0,0,IN_Verknüpfungen!$A$2,1)=$A111)*(OFFSET(IN_Verknüpfungen!$P$4,0,0,IN_Verknüpfungen!$A$2,1)=R$3+1),OFFSET(IN_Verknüpfungen!$F$4,0,0,IN_Verknüpfungen!$A$2,1)))-SUM($G111:Q111)</f>
        <v>#N/A</v>
      </c>
      <c r="S111" s="70" t="e" cm="1">
        <f t="array" aca="1" ref="S111" ca="1">_xlfn.NUMBERVALUE(_xlfn.XLOOKUP(1,(OFFSET(IN_Verknüpfungen!$O$4,0,0,IN_Verknüpfungen!$A$2,1)=$A111)*(OFFSET(IN_Verknüpfungen!$P$4,0,0,IN_Verknüpfungen!$A$2,1)=T$3),OFFSET(IN_Verknüpfungen!$J$4,0,0,IN_Verknüpfungen!$A$2,1)))-SUM($G111:R111)</f>
        <v>#N/A</v>
      </c>
      <c r="T111" s="70" t="e" cm="1">
        <f t="array" aca="1" ref="T111" ca="1">_xlfn.NUMBERVALUE(_xlfn.XLOOKUP(1,(OFFSET(IN_Verknüpfungen!$O$4,0,0,IN_Verknüpfungen!$A$2,1)=$A111)*(OFFSET(IN_Verknüpfungen!$P$4,0,0,IN_Verknüpfungen!$A$2,1)=T$3+1),OFFSET(IN_Verknüpfungen!$F$4,0,0,IN_Verknüpfungen!$A$2,1)))-SUM($G111:S111)</f>
        <v>#N/A</v>
      </c>
      <c r="U111" s="70" t="e" cm="1">
        <f t="array" aca="1" ref="U111" ca="1">_xlfn.NUMBERVALUE(_xlfn.XLOOKUP(1,(OFFSET(IN_Verknüpfungen!$O$4,0,0,IN_Verknüpfungen!$A$2,1)=$A111)*(OFFSET(IN_Verknüpfungen!$P$4,0,0,IN_Verknüpfungen!$A$2,1)=V$3),OFFSET(IN_Verknüpfungen!$J$4,0,0,IN_Verknüpfungen!$A$2,1)))-SUM($G111:T111)</f>
        <v>#N/A</v>
      </c>
      <c r="V111" s="70" t="e" cm="1">
        <f t="array" aca="1" ref="V111" ca="1">_xlfn.NUMBERVALUE(_xlfn.XLOOKUP(1,(OFFSET(IN_Verknüpfungen!$O$4,0,0,IN_Verknüpfungen!$A$2,1)=$A111)*(OFFSET(IN_Verknüpfungen!$P$4,0,0,IN_Verknüpfungen!$A$2,1)=V$3+1),OFFSET(IN_Verknüpfungen!$F$4,0,0,IN_Verknüpfungen!$A$2,1)))-SUM($G111:U111)</f>
        <v>#N/A</v>
      </c>
      <c r="W111" s="70" t="e" cm="1">
        <f t="array" aca="1" ref="W111" ca="1">_xlfn.NUMBERVALUE(_xlfn.XLOOKUP(1,(OFFSET(IN_Verknüpfungen!$O$4,0,0,IN_Verknüpfungen!$A$2,1)=$A111)*(OFFSET(IN_Verknüpfungen!$P$4,0,0,IN_Verknüpfungen!$A$2,1)=X$3),OFFSET(IN_Verknüpfungen!$J$4,0,0,IN_Verknüpfungen!$A$2,1)))-SUM($G111:V111)</f>
        <v>#N/A</v>
      </c>
      <c r="X111" s="70" t="e" cm="1">
        <f t="array" aca="1" ref="X111" ca="1">_xlfn.NUMBERVALUE(_xlfn.XLOOKUP(1,(OFFSET(IN_Verknüpfungen!$O$4,0,0,IN_Verknüpfungen!$A$2,1)=$A111)*(OFFSET(IN_Verknüpfungen!$P$4,0,0,IN_Verknüpfungen!$A$2,1)=X$3+1),OFFSET(IN_Verknüpfungen!$F$4,0,0,IN_Verknüpfungen!$A$2,1)))-SUM($G111:W111)</f>
        <v>#N/A</v>
      </c>
      <c r="Y111" s="70" t="e" cm="1">
        <f t="array" aca="1" ref="Y111" ca="1">_xlfn.NUMBERVALUE(_xlfn.XLOOKUP(1,(OFFSET(IN_Verknüpfungen!$O$4,0,0,IN_Verknüpfungen!$A$2,1)=$A111)*(OFFSET(IN_Verknüpfungen!$P$4,0,0,IN_Verknüpfungen!$A$2,1)=Z$3),OFFSET(IN_Verknüpfungen!$J$4,0,0,IN_Verknüpfungen!$A$2,1)))-SUM($G111:X111)</f>
        <v>#N/A</v>
      </c>
      <c r="Z111" s="70" t="e" cm="1">
        <f t="array" aca="1" ref="Z111" ca="1">_xlfn.NUMBERVALUE(_xlfn.XLOOKUP(1,(OFFSET(IN_Verknüpfungen!$O$4,0,0,IN_Verknüpfungen!$A$2,1)=$A111)*(OFFSET(IN_Verknüpfungen!$P$4,0,0,IN_Verknüpfungen!$A$2,1)=Z$3+1),OFFSET(IN_Verknüpfungen!$F$4,0,0,IN_Verknüpfungen!$A$2,1)))-SUM($G111:Y111)</f>
        <v>#N/A</v>
      </c>
      <c r="AA111" s="70" t="e" cm="1">
        <f t="array" aca="1" ref="AA111" ca="1">_xlfn.NUMBERVALUE(_xlfn.XLOOKUP(1,(OFFSET(IN_Verknüpfungen!$O$4,0,0,IN_Verknüpfungen!$A$2,1)=$A111)*(OFFSET(IN_Verknüpfungen!$P$4,0,0,IN_Verknüpfungen!$A$2,1)=AB$3),OFFSET(IN_Verknüpfungen!$J$4,0,0,IN_Verknüpfungen!$A$2,1)))-SUM($G111:Z111)</f>
        <v>#N/A</v>
      </c>
      <c r="AB111" s="70" t="e" cm="1">
        <f t="array" aca="1" ref="AB111" ca="1">_xlfn.NUMBERVALUE(_xlfn.XLOOKUP(1,(OFFSET(IN_Verknüpfungen!$O$4,0,0,IN_Verknüpfungen!$A$2,1)=$A111)*(OFFSET(IN_Verknüpfungen!$P$4,0,0,IN_Verknüpfungen!$A$2,1)=AB$3+1),OFFSET(IN_Verknüpfungen!$F$4,0,0,IN_Verknüpfungen!$A$2,1)))-SUM($G111:AA111)</f>
        <v>#N/A</v>
      </c>
    </row>
    <row r="112" spans="1:28" x14ac:dyDescent="0.2">
      <c r="A112" s="56" t="str">
        <f ca="1"/>
        <v>Composition 109</v>
      </c>
      <c r="B112" s="55" t="str" cm="1">
        <f t="array" aca="1" ref="B112" ca="1">IF(A112&lt;&gt;"",_xlfn.XLOOKUP(Laufwege!A112,OFFSET(IN_Verknüpfungen!L$4,0,0,IN_Verknüpfungen!A$2,1),OFFSET(IN_Verknüpfungen!N$4,0,0,IN_Verknüpfungen!A$2,1),""),"")</f>
        <v>462-1.0</v>
      </c>
      <c r="C112" s="55">
        <f ca="1">IF(A112&lt;&gt;"",SUMIFS(OFFSET(IN_Verknüpfungen!M$4,0,0,IN_Verknüpfungen!A$2,1),OFFSET(IN_Verknüpfungen!O$4,0,0,IN_Verknüpfungen!A$2,1),Laufwege!A112),0)</f>
        <v>471076</v>
      </c>
      <c r="D112" s="55" cm="1">
        <f t="array" aca="1" ref="D112" ca="1">IF(B112&lt;&gt;"",_xlfn.XLOOKUP(B112,OFFSET(IN_Stammdaten!$A$4,0,0,IN_Stammdaten!$A$2,1),OFFSET(IN_Stammdaten!$C$4,0,0,IN_Stammdaten!$A$2,1),""),"")</f>
        <v>0</v>
      </c>
      <c r="E112" s="55" t="str">
        <f t="shared" ca="1" si="2"/>
        <v>nein</v>
      </c>
      <c r="F112" s="69" t="str">
        <f t="shared" ca="1" si="3"/>
        <v>Composition 109 (462-1.0)</v>
      </c>
      <c r="G112" s="70" cm="1">
        <f t="array" aca="1" ref="G112" ca="1">_xlfn.NUMBERVALUE(_xlfn.XLOOKUP(A112,OFFSET(IN_Verknüpfungen!$L$4,0,0,IN_Verknüpfungen!$A$2,1),OFFSET(IN_Verknüpfungen!$Q$4,0,0,IN_Verknüpfungen!$A$2,1)))</f>
        <v>0.32010416666666669</v>
      </c>
      <c r="H112" s="70" cm="1">
        <f t="array" aca="1" ref="H112" ca="1">_xlfn.NUMBERVALUE(_xlfn.XLOOKUP(A112,OFFSET(IN_Verknüpfungen!$L$4,0,0,IN_Verknüpfungen!$A$2,1),OFFSET(IN_Verknüpfungen!$F$4,0,0,IN_Verknüpfungen!$A$2,1)))-G112</f>
        <v>0.10638888888888887</v>
      </c>
      <c r="I112" s="70" cm="1">
        <f t="array" aca="1" ref="I112" ca="1">_xlfn.NUMBERVALUE(_xlfn.XLOOKUP(1,(OFFSET(IN_Verknüpfungen!$O$4,0,0,IN_Verknüpfungen!$A$2,1)=$A112)*(OFFSET(IN_Verknüpfungen!$P$4,0,0,IN_Verknüpfungen!$A$2,1)=J$3),OFFSET(IN_Verknüpfungen!$J$4,0,0,IN_Verknüpfungen!$A$2,1)))-SUM($G112:H112)</f>
        <v>1.2060185185185202E-2</v>
      </c>
      <c r="J112" s="70" cm="1">
        <f t="array" aca="1" ref="J112" ca="1">_xlfn.NUMBERVALUE(_xlfn.XLOOKUP(1,(OFFSET(IN_Verknüpfungen!$O$4,0,0,IN_Verknüpfungen!$A$2,1)=$A112)*(OFFSET(IN_Verknüpfungen!$P$4,0,0,IN_Verknüpfungen!$A$2,1)=J$3+1),OFFSET(IN_Verknüpfungen!$F$4,0,0,IN_Verknüpfungen!$A$2,1)))-SUM($G112:I112)</f>
        <v>0.10605324074074074</v>
      </c>
      <c r="K112" s="70" cm="1">
        <f t="array" aca="1" ref="K112" ca="1">_xlfn.NUMBERVALUE(_xlfn.XLOOKUP(1,(OFFSET(IN_Verknüpfungen!$O$4,0,0,IN_Verknüpfungen!$A$2,1)=$A112)*(OFFSET(IN_Verknüpfungen!$P$4,0,0,IN_Verknüpfungen!$A$2,1)=L$3),OFFSET(IN_Verknüpfungen!$J$4,0,0,IN_Verknüpfungen!$A$2,1)))-SUM($G112:J112)</f>
        <v>1.0601851851851807E-2</v>
      </c>
      <c r="L112" s="70" t="e" cm="1">
        <f t="array" aca="1" ref="L112" ca="1">_xlfn.NUMBERVALUE(_xlfn.XLOOKUP(1,(OFFSET(IN_Verknüpfungen!$O$4,0,0,IN_Verknüpfungen!$A$2,1)=$A112)*(OFFSET(IN_Verknüpfungen!$P$4,0,0,IN_Verknüpfungen!$A$2,1)=L$3+1),OFFSET(IN_Verknüpfungen!$F$4,0,0,IN_Verknüpfungen!$A$2,1)))-SUM($G112:K112)</f>
        <v>#N/A</v>
      </c>
      <c r="M112" s="70" t="e" cm="1">
        <f t="array" aca="1" ref="M112" ca="1">_xlfn.NUMBERVALUE(_xlfn.XLOOKUP(1,(OFFSET(IN_Verknüpfungen!$O$4,0,0,IN_Verknüpfungen!$A$2,1)=$A112)*(OFFSET(IN_Verknüpfungen!$P$4,0,0,IN_Verknüpfungen!$A$2,1)=N$3),OFFSET(IN_Verknüpfungen!$J$4,0,0,IN_Verknüpfungen!$A$2,1)))-SUM($G112:L112)</f>
        <v>#N/A</v>
      </c>
      <c r="N112" s="70" t="e" cm="1">
        <f t="array" aca="1" ref="N112" ca="1">_xlfn.NUMBERVALUE(_xlfn.XLOOKUP(1,(OFFSET(IN_Verknüpfungen!$O$4,0,0,IN_Verknüpfungen!$A$2,1)=$A112)*(OFFSET(IN_Verknüpfungen!$P$4,0,0,IN_Verknüpfungen!$A$2,1)=N$3+1),OFFSET(IN_Verknüpfungen!$F$4,0,0,IN_Verknüpfungen!$A$2,1)))-SUM($G112:M112)</f>
        <v>#N/A</v>
      </c>
      <c r="O112" s="70" t="e" cm="1">
        <f t="array" aca="1" ref="O112" ca="1">_xlfn.NUMBERVALUE(_xlfn.XLOOKUP(1,(OFFSET(IN_Verknüpfungen!$O$4,0,0,IN_Verknüpfungen!$A$2,1)=$A112)*(OFFSET(IN_Verknüpfungen!$P$4,0,0,IN_Verknüpfungen!$A$2,1)=P$3),OFFSET(IN_Verknüpfungen!$J$4,0,0,IN_Verknüpfungen!$A$2,1)))-SUM($G112:N112)</f>
        <v>#N/A</v>
      </c>
      <c r="P112" s="70" t="e" cm="1">
        <f t="array" aca="1" ref="P112" ca="1">_xlfn.NUMBERVALUE(_xlfn.XLOOKUP(1,(OFFSET(IN_Verknüpfungen!$O$4,0,0,IN_Verknüpfungen!$A$2,1)=$A112)*(OFFSET(IN_Verknüpfungen!$P$4,0,0,IN_Verknüpfungen!$A$2,1)=P$3+1),OFFSET(IN_Verknüpfungen!$F$4,0,0,IN_Verknüpfungen!$A$2,1)))-SUM($G112:O112)</f>
        <v>#N/A</v>
      </c>
      <c r="Q112" s="70" t="e" cm="1">
        <f t="array" aca="1" ref="Q112" ca="1">_xlfn.NUMBERVALUE(_xlfn.XLOOKUP(1,(OFFSET(IN_Verknüpfungen!$O$4,0,0,IN_Verknüpfungen!$A$2,1)=$A112)*(OFFSET(IN_Verknüpfungen!$P$4,0,0,IN_Verknüpfungen!$A$2,1)=R$3),OFFSET(IN_Verknüpfungen!$J$4,0,0,IN_Verknüpfungen!$A$2,1)))-SUM($G112:P112)</f>
        <v>#N/A</v>
      </c>
      <c r="R112" s="70" t="e" cm="1">
        <f t="array" aca="1" ref="R112" ca="1">_xlfn.NUMBERVALUE(_xlfn.XLOOKUP(1,(OFFSET(IN_Verknüpfungen!$O$4,0,0,IN_Verknüpfungen!$A$2,1)=$A112)*(OFFSET(IN_Verknüpfungen!$P$4,0,0,IN_Verknüpfungen!$A$2,1)=R$3+1),OFFSET(IN_Verknüpfungen!$F$4,0,0,IN_Verknüpfungen!$A$2,1)))-SUM($G112:Q112)</f>
        <v>#N/A</v>
      </c>
      <c r="S112" s="70" t="e" cm="1">
        <f t="array" aca="1" ref="S112" ca="1">_xlfn.NUMBERVALUE(_xlfn.XLOOKUP(1,(OFFSET(IN_Verknüpfungen!$O$4,0,0,IN_Verknüpfungen!$A$2,1)=$A112)*(OFFSET(IN_Verknüpfungen!$P$4,0,0,IN_Verknüpfungen!$A$2,1)=T$3),OFFSET(IN_Verknüpfungen!$J$4,0,0,IN_Verknüpfungen!$A$2,1)))-SUM($G112:R112)</f>
        <v>#N/A</v>
      </c>
      <c r="T112" s="70" t="e" cm="1">
        <f t="array" aca="1" ref="T112" ca="1">_xlfn.NUMBERVALUE(_xlfn.XLOOKUP(1,(OFFSET(IN_Verknüpfungen!$O$4,0,0,IN_Verknüpfungen!$A$2,1)=$A112)*(OFFSET(IN_Verknüpfungen!$P$4,0,0,IN_Verknüpfungen!$A$2,1)=T$3+1),OFFSET(IN_Verknüpfungen!$F$4,0,0,IN_Verknüpfungen!$A$2,1)))-SUM($G112:S112)</f>
        <v>#N/A</v>
      </c>
      <c r="U112" s="70" t="e" cm="1">
        <f t="array" aca="1" ref="U112" ca="1">_xlfn.NUMBERVALUE(_xlfn.XLOOKUP(1,(OFFSET(IN_Verknüpfungen!$O$4,0,0,IN_Verknüpfungen!$A$2,1)=$A112)*(OFFSET(IN_Verknüpfungen!$P$4,0,0,IN_Verknüpfungen!$A$2,1)=V$3),OFFSET(IN_Verknüpfungen!$J$4,0,0,IN_Verknüpfungen!$A$2,1)))-SUM($G112:T112)</f>
        <v>#N/A</v>
      </c>
      <c r="V112" s="70" t="e" cm="1">
        <f t="array" aca="1" ref="V112" ca="1">_xlfn.NUMBERVALUE(_xlfn.XLOOKUP(1,(OFFSET(IN_Verknüpfungen!$O$4,0,0,IN_Verknüpfungen!$A$2,1)=$A112)*(OFFSET(IN_Verknüpfungen!$P$4,0,0,IN_Verknüpfungen!$A$2,1)=V$3+1),OFFSET(IN_Verknüpfungen!$F$4,0,0,IN_Verknüpfungen!$A$2,1)))-SUM($G112:U112)</f>
        <v>#N/A</v>
      </c>
      <c r="W112" s="70" t="e" cm="1">
        <f t="array" aca="1" ref="W112" ca="1">_xlfn.NUMBERVALUE(_xlfn.XLOOKUP(1,(OFFSET(IN_Verknüpfungen!$O$4,0,0,IN_Verknüpfungen!$A$2,1)=$A112)*(OFFSET(IN_Verknüpfungen!$P$4,0,0,IN_Verknüpfungen!$A$2,1)=X$3),OFFSET(IN_Verknüpfungen!$J$4,0,0,IN_Verknüpfungen!$A$2,1)))-SUM($G112:V112)</f>
        <v>#N/A</v>
      </c>
      <c r="X112" s="70" t="e" cm="1">
        <f t="array" aca="1" ref="X112" ca="1">_xlfn.NUMBERVALUE(_xlfn.XLOOKUP(1,(OFFSET(IN_Verknüpfungen!$O$4,0,0,IN_Verknüpfungen!$A$2,1)=$A112)*(OFFSET(IN_Verknüpfungen!$P$4,0,0,IN_Verknüpfungen!$A$2,1)=X$3+1),OFFSET(IN_Verknüpfungen!$F$4,0,0,IN_Verknüpfungen!$A$2,1)))-SUM($G112:W112)</f>
        <v>#N/A</v>
      </c>
      <c r="Y112" s="70" t="e" cm="1">
        <f t="array" aca="1" ref="Y112" ca="1">_xlfn.NUMBERVALUE(_xlfn.XLOOKUP(1,(OFFSET(IN_Verknüpfungen!$O$4,0,0,IN_Verknüpfungen!$A$2,1)=$A112)*(OFFSET(IN_Verknüpfungen!$P$4,0,0,IN_Verknüpfungen!$A$2,1)=Z$3),OFFSET(IN_Verknüpfungen!$J$4,0,0,IN_Verknüpfungen!$A$2,1)))-SUM($G112:X112)</f>
        <v>#N/A</v>
      </c>
      <c r="Z112" s="70" t="e" cm="1">
        <f t="array" aca="1" ref="Z112" ca="1">_xlfn.NUMBERVALUE(_xlfn.XLOOKUP(1,(OFFSET(IN_Verknüpfungen!$O$4,0,0,IN_Verknüpfungen!$A$2,1)=$A112)*(OFFSET(IN_Verknüpfungen!$P$4,0,0,IN_Verknüpfungen!$A$2,1)=Z$3+1),OFFSET(IN_Verknüpfungen!$F$4,0,0,IN_Verknüpfungen!$A$2,1)))-SUM($G112:Y112)</f>
        <v>#N/A</v>
      </c>
      <c r="AA112" s="70" t="e" cm="1">
        <f t="array" aca="1" ref="AA112" ca="1">_xlfn.NUMBERVALUE(_xlfn.XLOOKUP(1,(OFFSET(IN_Verknüpfungen!$O$4,0,0,IN_Verknüpfungen!$A$2,1)=$A112)*(OFFSET(IN_Verknüpfungen!$P$4,0,0,IN_Verknüpfungen!$A$2,1)=AB$3),OFFSET(IN_Verknüpfungen!$J$4,0,0,IN_Verknüpfungen!$A$2,1)))-SUM($G112:Z112)</f>
        <v>#N/A</v>
      </c>
      <c r="AB112" s="70" t="e" cm="1">
        <f t="array" aca="1" ref="AB112" ca="1">_xlfn.NUMBERVALUE(_xlfn.XLOOKUP(1,(OFFSET(IN_Verknüpfungen!$O$4,0,0,IN_Verknüpfungen!$A$2,1)=$A112)*(OFFSET(IN_Verknüpfungen!$P$4,0,0,IN_Verknüpfungen!$A$2,1)=AB$3+1),OFFSET(IN_Verknüpfungen!$F$4,0,0,IN_Verknüpfungen!$A$2,1)))-SUM($G112:AA112)</f>
        <v>#N/A</v>
      </c>
    </row>
    <row r="113" spans="1:28" x14ac:dyDescent="0.2">
      <c r="A113" s="56" t="str">
        <f ca="1"/>
        <v>Composition 110</v>
      </c>
      <c r="B113" s="55" t="str" cm="1">
        <f t="array" aca="1" ref="B113" ca="1">IF(A113&lt;&gt;"",_xlfn.XLOOKUP(Laufwege!A113,OFFSET(IN_Verknüpfungen!L$4,0,0,IN_Verknüpfungen!A$2,1),OFFSET(IN_Verknüpfungen!N$4,0,0,IN_Verknüpfungen!A$2,1),""),"")</f>
        <v>462-1.0</v>
      </c>
      <c r="C113" s="55">
        <f ca="1">IF(A113&lt;&gt;"",SUMIFS(OFFSET(IN_Verknüpfungen!M$4,0,0,IN_Verknüpfungen!A$2,1),OFFSET(IN_Verknüpfungen!O$4,0,0,IN_Verknüpfungen!A$2,1),Laufwege!A113),0)</f>
        <v>479202</v>
      </c>
      <c r="D113" s="55" cm="1">
        <f t="array" aca="1" ref="D113" ca="1">IF(B113&lt;&gt;"",_xlfn.XLOOKUP(B113,OFFSET(IN_Stammdaten!$A$4,0,0,IN_Stammdaten!$A$2,1),OFFSET(IN_Stammdaten!$C$4,0,0,IN_Stammdaten!$A$2,1),""),"")</f>
        <v>0</v>
      </c>
      <c r="E113" s="55" t="str">
        <f t="shared" ca="1" si="2"/>
        <v>nein</v>
      </c>
      <c r="F113" s="69" t="str">
        <f t="shared" ca="1" si="3"/>
        <v>Composition 110 (462-1.0)</v>
      </c>
      <c r="G113" s="70" cm="1">
        <f t="array" aca="1" ref="G113" ca="1">_xlfn.NUMBERVALUE(_xlfn.XLOOKUP(A113,OFFSET(IN_Verknüpfungen!$L$4,0,0,IN_Verknüpfungen!$A$2,1),OFFSET(IN_Verknüpfungen!$Q$4,0,0,IN_Verknüpfungen!$A$2,1)))</f>
        <v>0.32119212962962962</v>
      </c>
      <c r="H113" s="70" cm="1">
        <f t="array" aca="1" ref="H113" ca="1">_xlfn.NUMBERVALUE(_xlfn.XLOOKUP(A113,OFFSET(IN_Verknüpfungen!$L$4,0,0,IN_Verknüpfungen!$A$2,1),OFFSET(IN_Verknüpfungen!$F$4,0,0,IN_Verknüpfungen!$A$2,1)))-G113</f>
        <v>0.1083912037037037</v>
      </c>
      <c r="I113" s="70" cm="1">
        <f t="array" aca="1" ref="I113" ca="1">_xlfn.NUMBERVALUE(_xlfn.XLOOKUP(1,(OFFSET(IN_Verknüpfungen!$O$4,0,0,IN_Verknüpfungen!$A$2,1)=$A113)*(OFFSET(IN_Verknüpfungen!$P$4,0,0,IN_Verknüpfungen!$A$2,1)=J$3),OFFSET(IN_Verknüpfungen!$J$4,0,0,IN_Verknüpfungen!$A$2,1)))-SUM($G113:H113)</f>
        <v>6.9907407407407418E-3</v>
      </c>
      <c r="J113" s="70" cm="1">
        <f t="array" aca="1" ref="J113" ca="1">_xlfn.NUMBERVALUE(_xlfn.XLOOKUP(1,(OFFSET(IN_Verknüpfungen!$O$4,0,0,IN_Verknüpfungen!$A$2,1)=$A113)*(OFFSET(IN_Verknüpfungen!$P$4,0,0,IN_Verknüpfungen!$A$2,1)=J$3+1),OFFSET(IN_Verknüpfungen!$F$4,0,0,IN_Verknüpfungen!$A$2,1)))-SUM($G113:I113)</f>
        <v>0.10888888888888887</v>
      </c>
      <c r="K113" s="70" cm="1">
        <f t="array" aca="1" ref="K113" ca="1">_xlfn.NUMBERVALUE(_xlfn.XLOOKUP(1,(OFFSET(IN_Verknüpfungen!$O$4,0,0,IN_Verknüpfungen!$A$2,1)=$A113)*(OFFSET(IN_Verknüpfungen!$P$4,0,0,IN_Verknüpfungen!$A$2,1)=L$3),OFFSET(IN_Verknüpfungen!$J$4,0,0,IN_Verknüpfungen!$A$2,1)))-SUM($G113:J113)</f>
        <v>1.0451388888888968E-2</v>
      </c>
      <c r="L113" s="70" t="e" cm="1">
        <f t="array" aca="1" ref="L113" ca="1">_xlfn.NUMBERVALUE(_xlfn.XLOOKUP(1,(OFFSET(IN_Verknüpfungen!$O$4,0,0,IN_Verknüpfungen!$A$2,1)=$A113)*(OFFSET(IN_Verknüpfungen!$P$4,0,0,IN_Verknüpfungen!$A$2,1)=L$3+1),OFFSET(IN_Verknüpfungen!$F$4,0,0,IN_Verknüpfungen!$A$2,1)))-SUM($G113:K113)</f>
        <v>#N/A</v>
      </c>
      <c r="M113" s="70" t="e" cm="1">
        <f t="array" aca="1" ref="M113" ca="1">_xlfn.NUMBERVALUE(_xlfn.XLOOKUP(1,(OFFSET(IN_Verknüpfungen!$O$4,0,0,IN_Verknüpfungen!$A$2,1)=$A113)*(OFFSET(IN_Verknüpfungen!$P$4,0,0,IN_Verknüpfungen!$A$2,1)=N$3),OFFSET(IN_Verknüpfungen!$J$4,0,0,IN_Verknüpfungen!$A$2,1)))-SUM($G113:L113)</f>
        <v>#N/A</v>
      </c>
      <c r="N113" s="70" t="e" cm="1">
        <f t="array" aca="1" ref="N113" ca="1">_xlfn.NUMBERVALUE(_xlfn.XLOOKUP(1,(OFFSET(IN_Verknüpfungen!$O$4,0,0,IN_Verknüpfungen!$A$2,1)=$A113)*(OFFSET(IN_Verknüpfungen!$P$4,0,0,IN_Verknüpfungen!$A$2,1)=N$3+1),OFFSET(IN_Verknüpfungen!$F$4,0,0,IN_Verknüpfungen!$A$2,1)))-SUM($G113:M113)</f>
        <v>#N/A</v>
      </c>
      <c r="O113" s="70" t="e" cm="1">
        <f t="array" aca="1" ref="O113" ca="1">_xlfn.NUMBERVALUE(_xlfn.XLOOKUP(1,(OFFSET(IN_Verknüpfungen!$O$4,0,0,IN_Verknüpfungen!$A$2,1)=$A113)*(OFFSET(IN_Verknüpfungen!$P$4,0,0,IN_Verknüpfungen!$A$2,1)=P$3),OFFSET(IN_Verknüpfungen!$J$4,0,0,IN_Verknüpfungen!$A$2,1)))-SUM($G113:N113)</f>
        <v>#N/A</v>
      </c>
      <c r="P113" s="70" t="e" cm="1">
        <f t="array" aca="1" ref="P113" ca="1">_xlfn.NUMBERVALUE(_xlfn.XLOOKUP(1,(OFFSET(IN_Verknüpfungen!$O$4,0,0,IN_Verknüpfungen!$A$2,1)=$A113)*(OFFSET(IN_Verknüpfungen!$P$4,0,0,IN_Verknüpfungen!$A$2,1)=P$3+1),OFFSET(IN_Verknüpfungen!$F$4,0,0,IN_Verknüpfungen!$A$2,1)))-SUM($G113:O113)</f>
        <v>#N/A</v>
      </c>
      <c r="Q113" s="70" t="e" cm="1">
        <f t="array" aca="1" ref="Q113" ca="1">_xlfn.NUMBERVALUE(_xlfn.XLOOKUP(1,(OFFSET(IN_Verknüpfungen!$O$4,0,0,IN_Verknüpfungen!$A$2,1)=$A113)*(OFFSET(IN_Verknüpfungen!$P$4,0,0,IN_Verknüpfungen!$A$2,1)=R$3),OFFSET(IN_Verknüpfungen!$J$4,0,0,IN_Verknüpfungen!$A$2,1)))-SUM($G113:P113)</f>
        <v>#N/A</v>
      </c>
      <c r="R113" s="70" t="e" cm="1">
        <f t="array" aca="1" ref="R113" ca="1">_xlfn.NUMBERVALUE(_xlfn.XLOOKUP(1,(OFFSET(IN_Verknüpfungen!$O$4,0,0,IN_Verknüpfungen!$A$2,1)=$A113)*(OFFSET(IN_Verknüpfungen!$P$4,0,0,IN_Verknüpfungen!$A$2,1)=R$3+1),OFFSET(IN_Verknüpfungen!$F$4,0,0,IN_Verknüpfungen!$A$2,1)))-SUM($G113:Q113)</f>
        <v>#N/A</v>
      </c>
      <c r="S113" s="70" t="e" cm="1">
        <f t="array" aca="1" ref="S113" ca="1">_xlfn.NUMBERVALUE(_xlfn.XLOOKUP(1,(OFFSET(IN_Verknüpfungen!$O$4,0,0,IN_Verknüpfungen!$A$2,1)=$A113)*(OFFSET(IN_Verknüpfungen!$P$4,0,0,IN_Verknüpfungen!$A$2,1)=T$3),OFFSET(IN_Verknüpfungen!$J$4,0,0,IN_Verknüpfungen!$A$2,1)))-SUM($G113:R113)</f>
        <v>#N/A</v>
      </c>
      <c r="T113" s="70" t="e" cm="1">
        <f t="array" aca="1" ref="T113" ca="1">_xlfn.NUMBERVALUE(_xlfn.XLOOKUP(1,(OFFSET(IN_Verknüpfungen!$O$4,0,0,IN_Verknüpfungen!$A$2,1)=$A113)*(OFFSET(IN_Verknüpfungen!$P$4,0,0,IN_Verknüpfungen!$A$2,1)=T$3+1),OFFSET(IN_Verknüpfungen!$F$4,0,0,IN_Verknüpfungen!$A$2,1)))-SUM($G113:S113)</f>
        <v>#N/A</v>
      </c>
      <c r="U113" s="70" t="e" cm="1">
        <f t="array" aca="1" ref="U113" ca="1">_xlfn.NUMBERVALUE(_xlfn.XLOOKUP(1,(OFFSET(IN_Verknüpfungen!$O$4,0,0,IN_Verknüpfungen!$A$2,1)=$A113)*(OFFSET(IN_Verknüpfungen!$P$4,0,0,IN_Verknüpfungen!$A$2,1)=V$3),OFFSET(IN_Verknüpfungen!$J$4,0,0,IN_Verknüpfungen!$A$2,1)))-SUM($G113:T113)</f>
        <v>#N/A</v>
      </c>
      <c r="V113" s="70" t="e" cm="1">
        <f t="array" aca="1" ref="V113" ca="1">_xlfn.NUMBERVALUE(_xlfn.XLOOKUP(1,(OFFSET(IN_Verknüpfungen!$O$4,0,0,IN_Verknüpfungen!$A$2,1)=$A113)*(OFFSET(IN_Verknüpfungen!$P$4,0,0,IN_Verknüpfungen!$A$2,1)=V$3+1),OFFSET(IN_Verknüpfungen!$F$4,0,0,IN_Verknüpfungen!$A$2,1)))-SUM($G113:U113)</f>
        <v>#N/A</v>
      </c>
      <c r="W113" s="70" t="e" cm="1">
        <f t="array" aca="1" ref="W113" ca="1">_xlfn.NUMBERVALUE(_xlfn.XLOOKUP(1,(OFFSET(IN_Verknüpfungen!$O$4,0,0,IN_Verknüpfungen!$A$2,1)=$A113)*(OFFSET(IN_Verknüpfungen!$P$4,0,0,IN_Verknüpfungen!$A$2,1)=X$3),OFFSET(IN_Verknüpfungen!$J$4,0,0,IN_Verknüpfungen!$A$2,1)))-SUM($G113:V113)</f>
        <v>#N/A</v>
      </c>
      <c r="X113" s="70" t="e" cm="1">
        <f t="array" aca="1" ref="X113" ca="1">_xlfn.NUMBERVALUE(_xlfn.XLOOKUP(1,(OFFSET(IN_Verknüpfungen!$O$4,0,0,IN_Verknüpfungen!$A$2,1)=$A113)*(OFFSET(IN_Verknüpfungen!$P$4,0,0,IN_Verknüpfungen!$A$2,1)=X$3+1),OFFSET(IN_Verknüpfungen!$F$4,0,0,IN_Verknüpfungen!$A$2,1)))-SUM($G113:W113)</f>
        <v>#N/A</v>
      </c>
      <c r="Y113" s="70" t="e" cm="1">
        <f t="array" aca="1" ref="Y113" ca="1">_xlfn.NUMBERVALUE(_xlfn.XLOOKUP(1,(OFFSET(IN_Verknüpfungen!$O$4,0,0,IN_Verknüpfungen!$A$2,1)=$A113)*(OFFSET(IN_Verknüpfungen!$P$4,0,0,IN_Verknüpfungen!$A$2,1)=Z$3),OFFSET(IN_Verknüpfungen!$J$4,0,0,IN_Verknüpfungen!$A$2,1)))-SUM($G113:X113)</f>
        <v>#N/A</v>
      </c>
      <c r="Z113" s="70" t="e" cm="1">
        <f t="array" aca="1" ref="Z113" ca="1">_xlfn.NUMBERVALUE(_xlfn.XLOOKUP(1,(OFFSET(IN_Verknüpfungen!$O$4,0,0,IN_Verknüpfungen!$A$2,1)=$A113)*(OFFSET(IN_Verknüpfungen!$P$4,0,0,IN_Verknüpfungen!$A$2,1)=Z$3+1),OFFSET(IN_Verknüpfungen!$F$4,0,0,IN_Verknüpfungen!$A$2,1)))-SUM($G113:Y113)</f>
        <v>#N/A</v>
      </c>
      <c r="AA113" s="70" t="e" cm="1">
        <f t="array" aca="1" ref="AA113" ca="1">_xlfn.NUMBERVALUE(_xlfn.XLOOKUP(1,(OFFSET(IN_Verknüpfungen!$O$4,0,0,IN_Verknüpfungen!$A$2,1)=$A113)*(OFFSET(IN_Verknüpfungen!$P$4,0,0,IN_Verknüpfungen!$A$2,1)=AB$3),OFFSET(IN_Verknüpfungen!$J$4,0,0,IN_Verknüpfungen!$A$2,1)))-SUM($G113:Z113)</f>
        <v>#N/A</v>
      </c>
      <c r="AB113" s="70" t="e" cm="1">
        <f t="array" aca="1" ref="AB113" ca="1">_xlfn.NUMBERVALUE(_xlfn.XLOOKUP(1,(OFFSET(IN_Verknüpfungen!$O$4,0,0,IN_Verknüpfungen!$A$2,1)=$A113)*(OFFSET(IN_Verknüpfungen!$P$4,0,0,IN_Verknüpfungen!$A$2,1)=AB$3+1),OFFSET(IN_Verknüpfungen!$F$4,0,0,IN_Verknüpfungen!$A$2,1)))-SUM($G113:AA113)</f>
        <v>#N/A</v>
      </c>
    </row>
    <row r="114" spans="1:28" x14ac:dyDescent="0.2">
      <c r="A114" s="56" t="str">
        <f ca="1"/>
        <v>Composition 111</v>
      </c>
      <c r="B114" s="55" t="str" cm="1">
        <f t="array" aca="1" ref="B114" ca="1">IF(A114&lt;&gt;"",_xlfn.XLOOKUP(Laufwege!A114,OFFSET(IN_Verknüpfungen!L$4,0,0,IN_Verknüpfungen!A$2,1),OFFSET(IN_Verknüpfungen!N$4,0,0,IN_Verknüpfungen!A$2,1),""),"")</f>
        <v>462-1.0</v>
      </c>
      <c r="C114" s="55">
        <f ca="1">IF(A114&lt;&gt;"",SUMIFS(OFFSET(IN_Verknüpfungen!M$4,0,0,IN_Verknüpfungen!A$2,1),OFFSET(IN_Verknüpfungen!O$4,0,0,IN_Verknüpfungen!A$2,1),Laufwege!A114),0)</f>
        <v>718099</v>
      </c>
      <c r="D114" s="55" cm="1">
        <f t="array" aca="1" ref="D114" ca="1">IF(B114&lt;&gt;"",_xlfn.XLOOKUP(B114,OFFSET(IN_Stammdaten!$A$4,0,0,IN_Stammdaten!$A$2,1),OFFSET(IN_Stammdaten!$C$4,0,0,IN_Stammdaten!$A$2,1),""),"")</f>
        <v>0</v>
      </c>
      <c r="E114" s="55" t="str">
        <f t="shared" ca="1" si="2"/>
        <v>nein</v>
      </c>
      <c r="F114" s="69" t="str">
        <f t="shared" ca="1" si="3"/>
        <v>Composition 111 (462-1.0)</v>
      </c>
      <c r="G114" s="70" cm="1">
        <f t="array" aca="1" ref="G114" ca="1">_xlfn.NUMBERVALUE(_xlfn.XLOOKUP(A114,OFFSET(IN_Verknüpfungen!$L$4,0,0,IN_Verknüpfungen!$A$2,1),OFFSET(IN_Verknüpfungen!$Q$4,0,0,IN_Verknüpfungen!$A$2,1)))</f>
        <v>0.30527777777777776</v>
      </c>
      <c r="H114" s="70" cm="1">
        <f t="array" aca="1" ref="H114" ca="1">_xlfn.NUMBERVALUE(_xlfn.XLOOKUP(A114,OFFSET(IN_Verknüpfungen!$L$4,0,0,IN_Verknüpfungen!$A$2,1),OFFSET(IN_Verknüpfungen!$F$4,0,0,IN_Verknüpfungen!$A$2,1)))-G114</f>
        <v>0.1320486111111111</v>
      </c>
      <c r="I114" s="70" cm="1">
        <f t="array" aca="1" ref="I114" ca="1">_xlfn.NUMBERVALUE(_xlfn.XLOOKUP(1,(OFFSET(IN_Verknüpfungen!$O$4,0,0,IN_Verknüpfungen!$A$2,1)=$A114)*(OFFSET(IN_Verknüpfungen!$P$4,0,0,IN_Verknüpfungen!$A$2,1)=J$3),OFFSET(IN_Verknüpfungen!$J$4,0,0,IN_Verknüpfungen!$A$2,1)))-SUM($G114:H114)</f>
        <v>2.4131944444444497E-2</v>
      </c>
      <c r="J114" s="70" cm="1">
        <f t="array" aca="1" ref="J114" ca="1">_xlfn.NUMBERVALUE(_xlfn.XLOOKUP(1,(OFFSET(IN_Verknüpfungen!$O$4,0,0,IN_Verknüpfungen!$A$2,1)=$A114)*(OFFSET(IN_Verknüpfungen!$P$4,0,0,IN_Verknüpfungen!$A$2,1)=J$3+1),OFFSET(IN_Verknüpfungen!$F$4,0,0,IN_Verknüpfungen!$A$2,1)))-SUM($G114:I114)</f>
        <v>0.10796296296296298</v>
      </c>
      <c r="K114" s="70" cm="1">
        <f t="array" aca="1" ref="K114" ca="1">_xlfn.NUMBERVALUE(_xlfn.XLOOKUP(1,(OFFSET(IN_Verknüpfungen!$O$4,0,0,IN_Verknüpfungen!$A$2,1)=$A114)*(OFFSET(IN_Verknüpfungen!$P$4,0,0,IN_Verknüpfungen!$A$2,1)=L$3),OFFSET(IN_Verknüpfungen!$J$4,0,0,IN_Verknüpfungen!$A$2,1)))-SUM($G114:J114)</f>
        <v>1.3518518518518485E-2</v>
      </c>
      <c r="L114" s="70" t="e" cm="1">
        <f t="array" aca="1" ref="L114" ca="1">_xlfn.NUMBERVALUE(_xlfn.XLOOKUP(1,(OFFSET(IN_Verknüpfungen!$O$4,0,0,IN_Verknüpfungen!$A$2,1)=$A114)*(OFFSET(IN_Verknüpfungen!$P$4,0,0,IN_Verknüpfungen!$A$2,1)=L$3+1),OFFSET(IN_Verknüpfungen!$F$4,0,0,IN_Verknüpfungen!$A$2,1)))-SUM($G114:K114)</f>
        <v>#N/A</v>
      </c>
      <c r="M114" s="70" t="e" cm="1">
        <f t="array" aca="1" ref="M114" ca="1">_xlfn.NUMBERVALUE(_xlfn.XLOOKUP(1,(OFFSET(IN_Verknüpfungen!$O$4,0,0,IN_Verknüpfungen!$A$2,1)=$A114)*(OFFSET(IN_Verknüpfungen!$P$4,0,0,IN_Verknüpfungen!$A$2,1)=N$3),OFFSET(IN_Verknüpfungen!$J$4,0,0,IN_Verknüpfungen!$A$2,1)))-SUM($G114:L114)</f>
        <v>#N/A</v>
      </c>
      <c r="N114" s="70" t="e" cm="1">
        <f t="array" aca="1" ref="N114" ca="1">_xlfn.NUMBERVALUE(_xlfn.XLOOKUP(1,(OFFSET(IN_Verknüpfungen!$O$4,0,0,IN_Verknüpfungen!$A$2,1)=$A114)*(OFFSET(IN_Verknüpfungen!$P$4,0,0,IN_Verknüpfungen!$A$2,1)=N$3+1),OFFSET(IN_Verknüpfungen!$F$4,0,0,IN_Verknüpfungen!$A$2,1)))-SUM($G114:M114)</f>
        <v>#N/A</v>
      </c>
      <c r="O114" s="70" t="e" cm="1">
        <f t="array" aca="1" ref="O114" ca="1">_xlfn.NUMBERVALUE(_xlfn.XLOOKUP(1,(OFFSET(IN_Verknüpfungen!$O$4,0,0,IN_Verknüpfungen!$A$2,1)=$A114)*(OFFSET(IN_Verknüpfungen!$P$4,0,0,IN_Verknüpfungen!$A$2,1)=P$3),OFFSET(IN_Verknüpfungen!$J$4,0,0,IN_Verknüpfungen!$A$2,1)))-SUM($G114:N114)</f>
        <v>#N/A</v>
      </c>
      <c r="P114" s="70" t="e" cm="1">
        <f t="array" aca="1" ref="P114" ca="1">_xlfn.NUMBERVALUE(_xlfn.XLOOKUP(1,(OFFSET(IN_Verknüpfungen!$O$4,0,0,IN_Verknüpfungen!$A$2,1)=$A114)*(OFFSET(IN_Verknüpfungen!$P$4,0,0,IN_Verknüpfungen!$A$2,1)=P$3+1),OFFSET(IN_Verknüpfungen!$F$4,0,0,IN_Verknüpfungen!$A$2,1)))-SUM($G114:O114)</f>
        <v>#N/A</v>
      </c>
      <c r="Q114" s="70" t="e" cm="1">
        <f t="array" aca="1" ref="Q114" ca="1">_xlfn.NUMBERVALUE(_xlfn.XLOOKUP(1,(OFFSET(IN_Verknüpfungen!$O$4,0,0,IN_Verknüpfungen!$A$2,1)=$A114)*(OFFSET(IN_Verknüpfungen!$P$4,0,0,IN_Verknüpfungen!$A$2,1)=R$3),OFFSET(IN_Verknüpfungen!$J$4,0,0,IN_Verknüpfungen!$A$2,1)))-SUM($G114:P114)</f>
        <v>#N/A</v>
      </c>
      <c r="R114" s="70" t="e" cm="1">
        <f t="array" aca="1" ref="R114" ca="1">_xlfn.NUMBERVALUE(_xlfn.XLOOKUP(1,(OFFSET(IN_Verknüpfungen!$O$4,0,0,IN_Verknüpfungen!$A$2,1)=$A114)*(OFFSET(IN_Verknüpfungen!$P$4,0,0,IN_Verknüpfungen!$A$2,1)=R$3+1),OFFSET(IN_Verknüpfungen!$F$4,0,0,IN_Verknüpfungen!$A$2,1)))-SUM($G114:Q114)</f>
        <v>#N/A</v>
      </c>
      <c r="S114" s="70" t="e" cm="1">
        <f t="array" aca="1" ref="S114" ca="1">_xlfn.NUMBERVALUE(_xlfn.XLOOKUP(1,(OFFSET(IN_Verknüpfungen!$O$4,0,0,IN_Verknüpfungen!$A$2,1)=$A114)*(OFFSET(IN_Verknüpfungen!$P$4,0,0,IN_Verknüpfungen!$A$2,1)=T$3),OFFSET(IN_Verknüpfungen!$J$4,0,0,IN_Verknüpfungen!$A$2,1)))-SUM($G114:R114)</f>
        <v>#N/A</v>
      </c>
      <c r="T114" s="70" t="e" cm="1">
        <f t="array" aca="1" ref="T114" ca="1">_xlfn.NUMBERVALUE(_xlfn.XLOOKUP(1,(OFFSET(IN_Verknüpfungen!$O$4,0,0,IN_Verknüpfungen!$A$2,1)=$A114)*(OFFSET(IN_Verknüpfungen!$P$4,0,0,IN_Verknüpfungen!$A$2,1)=T$3+1),OFFSET(IN_Verknüpfungen!$F$4,0,0,IN_Verknüpfungen!$A$2,1)))-SUM($G114:S114)</f>
        <v>#N/A</v>
      </c>
      <c r="U114" s="70" t="e" cm="1">
        <f t="array" aca="1" ref="U114" ca="1">_xlfn.NUMBERVALUE(_xlfn.XLOOKUP(1,(OFFSET(IN_Verknüpfungen!$O$4,0,0,IN_Verknüpfungen!$A$2,1)=$A114)*(OFFSET(IN_Verknüpfungen!$P$4,0,0,IN_Verknüpfungen!$A$2,1)=V$3),OFFSET(IN_Verknüpfungen!$J$4,0,0,IN_Verknüpfungen!$A$2,1)))-SUM($G114:T114)</f>
        <v>#N/A</v>
      </c>
      <c r="V114" s="70" t="e" cm="1">
        <f t="array" aca="1" ref="V114" ca="1">_xlfn.NUMBERVALUE(_xlfn.XLOOKUP(1,(OFFSET(IN_Verknüpfungen!$O$4,0,0,IN_Verknüpfungen!$A$2,1)=$A114)*(OFFSET(IN_Verknüpfungen!$P$4,0,0,IN_Verknüpfungen!$A$2,1)=V$3+1),OFFSET(IN_Verknüpfungen!$F$4,0,0,IN_Verknüpfungen!$A$2,1)))-SUM($G114:U114)</f>
        <v>#N/A</v>
      </c>
      <c r="W114" s="70" t="e" cm="1">
        <f t="array" aca="1" ref="W114" ca="1">_xlfn.NUMBERVALUE(_xlfn.XLOOKUP(1,(OFFSET(IN_Verknüpfungen!$O$4,0,0,IN_Verknüpfungen!$A$2,1)=$A114)*(OFFSET(IN_Verknüpfungen!$P$4,0,0,IN_Verknüpfungen!$A$2,1)=X$3),OFFSET(IN_Verknüpfungen!$J$4,0,0,IN_Verknüpfungen!$A$2,1)))-SUM($G114:V114)</f>
        <v>#N/A</v>
      </c>
      <c r="X114" s="70" t="e" cm="1">
        <f t="array" aca="1" ref="X114" ca="1">_xlfn.NUMBERVALUE(_xlfn.XLOOKUP(1,(OFFSET(IN_Verknüpfungen!$O$4,0,0,IN_Verknüpfungen!$A$2,1)=$A114)*(OFFSET(IN_Verknüpfungen!$P$4,0,0,IN_Verknüpfungen!$A$2,1)=X$3+1),OFFSET(IN_Verknüpfungen!$F$4,0,0,IN_Verknüpfungen!$A$2,1)))-SUM($G114:W114)</f>
        <v>#N/A</v>
      </c>
      <c r="Y114" s="70" t="e" cm="1">
        <f t="array" aca="1" ref="Y114" ca="1">_xlfn.NUMBERVALUE(_xlfn.XLOOKUP(1,(OFFSET(IN_Verknüpfungen!$O$4,0,0,IN_Verknüpfungen!$A$2,1)=$A114)*(OFFSET(IN_Verknüpfungen!$P$4,0,0,IN_Verknüpfungen!$A$2,1)=Z$3),OFFSET(IN_Verknüpfungen!$J$4,0,0,IN_Verknüpfungen!$A$2,1)))-SUM($G114:X114)</f>
        <v>#N/A</v>
      </c>
      <c r="Z114" s="70" t="e" cm="1">
        <f t="array" aca="1" ref="Z114" ca="1">_xlfn.NUMBERVALUE(_xlfn.XLOOKUP(1,(OFFSET(IN_Verknüpfungen!$O$4,0,0,IN_Verknüpfungen!$A$2,1)=$A114)*(OFFSET(IN_Verknüpfungen!$P$4,0,0,IN_Verknüpfungen!$A$2,1)=Z$3+1),OFFSET(IN_Verknüpfungen!$F$4,0,0,IN_Verknüpfungen!$A$2,1)))-SUM($G114:Y114)</f>
        <v>#N/A</v>
      </c>
      <c r="AA114" s="70" t="e" cm="1">
        <f t="array" aca="1" ref="AA114" ca="1">_xlfn.NUMBERVALUE(_xlfn.XLOOKUP(1,(OFFSET(IN_Verknüpfungen!$O$4,0,0,IN_Verknüpfungen!$A$2,1)=$A114)*(OFFSET(IN_Verknüpfungen!$P$4,0,0,IN_Verknüpfungen!$A$2,1)=AB$3),OFFSET(IN_Verknüpfungen!$J$4,0,0,IN_Verknüpfungen!$A$2,1)))-SUM($G114:Z114)</f>
        <v>#N/A</v>
      </c>
      <c r="AB114" s="70" t="e" cm="1">
        <f t="array" aca="1" ref="AB114" ca="1">_xlfn.NUMBERVALUE(_xlfn.XLOOKUP(1,(OFFSET(IN_Verknüpfungen!$O$4,0,0,IN_Verknüpfungen!$A$2,1)=$A114)*(OFFSET(IN_Verknüpfungen!$P$4,0,0,IN_Verknüpfungen!$A$2,1)=AB$3+1),OFFSET(IN_Verknüpfungen!$F$4,0,0,IN_Verknüpfungen!$A$2,1)))-SUM($G114:AA114)</f>
        <v>#N/A</v>
      </c>
    </row>
    <row r="115" spans="1:28" x14ac:dyDescent="0.2">
      <c r="A115" s="56" t="str">
        <f ca="1"/>
        <v>Composition 112</v>
      </c>
      <c r="B115" s="55" t="str" cm="1">
        <f t="array" aca="1" ref="B115" ca="1">IF(A115&lt;&gt;"",_xlfn.XLOOKUP(Laufwege!A115,OFFSET(IN_Verknüpfungen!L$4,0,0,IN_Verknüpfungen!A$2,1),OFFSET(IN_Verknüpfungen!N$4,0,0,IN_Verknüpfungen!A$2,1),""),"")</f>
        <v>462-1.0</v>
      </c>
      <c r="C115" s="55">
        <f ca="1">IF(A115&lt;&gt;"",SUMIFS(OFFSET(IN_Verknüpfungen!M$4,0,0,IN_Verknüpfungen!A$2,1),OFFSET(IN_Verknüpfungen!O$4,0,0,IN_Verknüpfungen!A$2,1),Laufwege!A115),0)</f>
        <v>718189</v>
      </c>
      <c r="D115" s="55" cm="1">
        <f t="array" aca="1" ref="D115" ca="1">IF(B115&lt;&gt;"",_xlfn.XLOOKUP(B115,OFFSET(IN_Stammdaten!$A$4,0,0,IN_Stammdaten!$A$2,1),OFFSET(IN_Stammdaten!$C$4,0,0,IN_Stammdaten!$A$2,1),""),"")</f>
        <v>0</v>
      </c>
      <c r="E115" s="55" t="str">
        <f t="shared" ca="1" si="2"/>
        <v>nein</v>
      </c>
      <c r="F115" s="69" t="str">
        <f t="shared" ca="1" si="3"/>
        <v>Composition 112 (462-1.0)</v>
      </c>
      <c r="G115" s="70" cm="1">
        <f t="array" aca="1" ref="G115" ca="1">_xlfn.NUMBERVALUE(_xlfn.XLOOKUP(A115,OFFSET(IN_Verknüpfungen!$L$4,0,0,IN_Verknüpfungen!$A$2,1),OFFSET(IN_Verknüpfungen!$Q$4,0,0,IN_Verknüpfungen!$A$2,1)))</f>
        <v>0.32438657407407406</v>
      </c>
      <c r="H115" s="70" cm="1">
        <f t="array" aca="1" ref="H115" ca="1">_xlfn.NUMBERVALUE(_xlfn.XLOOKUP(A115,OFFSET(IN_Verknüpfungen!$L$4,0,0,IN_Verknüpfungen!$A$2,1),OFFSET(IN_Verknüpfungen!$F$4,0,0,IN_Verknüpfungen!$A$2,1)))-G115</f>
        <v>0.12003472222222222</v>
      </c>
      <c r="I115" s="70" cm="1">
        <f t="array" aca="1" ref="I115" ca="1">_xlfn.NUMBERVALUE(_xlfn.XLOOKUP(1,(OFFSET(IN_Verknüpfungen!$O$4,0,0,IN_Verknüpfungen!$A$2,1)=$A115)*(OFFSET(IN_Verknüpfungen!$P$4,0,0,IN_Verknüpfungen!$A$2,1)=J$3),OFFSET(IN_Verknüpfungen!$J$4,0,0,IN_Verknüpfungen!$A$2,1)))-SUM($G115:H115)</f>
        <v>1.3518518518518541E-2</v>
      </c>
      <c r="J115" s="70" cm="1">
        <f t="array" aca="1" ref="J115" ca="1">_xlfn.NUMBERVALUE(_xlfn.XLOOKUP(1,(OFFSET(IN_Verknüpfungen!$O$4,0,0,IN_Verknüpfungen!$A$2,1)=$A115)*(OFFSET(IN_Verknüpfungen!$P$4,0,0,IN_Verknüpfungen!$A$2,1)=J$3+1),OFFSET(IN_Verknüpfungen!$F$4,0,0,IN_Verknüpfungen!$A$2,1)))-SUM($G115:I115)</f>
        <v>0.10986111111111108</v>
      </c>
      <c r="K115" s="70" cm="1">
        <f t="array" aca="1" ref="K115" ca="1">_xlfn.NUMBERVALUE(_xlfn.XLOOKUP(1,(OFFSET(IN_Verknüpfungen!$O$4,0,0,IN_Verknüpfungen!$A$2,1)=$A115)*(OFFSET(IN_Verknüpfungen!$P$4,0,0,IN_Verknüpfungen!$A$2,1)=L$3),OFFSET(IN_Verknüpfungen!$J$4,0,0,IN_Verknüpfungen!$A$2,1)))-SUM($G115:J115)</f>
        <v>2.2939814814814885E-2</v>
      </c>
      <c r="L115" s="70" t="e" cm="1">
        <f t="array" aca="1" ref="L115" ca="1">_xlfn.NUMBERVALUE(_xlfn.XLOOKUP(1,(OFFSET(IN_Verknüpfungen!$O$4,0,0,IN_Verknüpfungen!$A$2,1)=$A115)*(OFFSET(IN_Verknüpfungen!$P$4,0,0,IN_Verknüpfungen!$A$2,1)=L$3+1),OFFSET(IN_Verknüpfungen!$F$4,0,0,IN_Verknüpfungen!$A$2,1)))-SUM($G115:K115)</f>
        <v>#N/A</v>
      </c>
      <c r="M115" s="70" t="e" cm="1">
        <f t="array" aca="1" ref="M115" ca="1">_xlfn.NUMBERVALUE(_xlfn.XLOOKUP(1,(OFFSET(IN_Verknüpfungen!$O$4,0,0,IN_Verknüpfungen!$A$2,1)=$A115)*(OFFSET(IN_Verknüpfungen!$P$4,0,0,IN_Verknüpfungen!$A$2,1)=N$3),OFFSET(IN_Verknüpfungen!$J$4,0,0,IN_Verknüpfungen!$A$2,1)))-SUM($G115:L115)</f>
        <v>#N/A</v>
      </c>
      <c r="N115" s="70" t="e" cm="1">
        <f t="array" aca="1" ref="N115" ca="1">_xlfn.NUMBERVALUE(_xlfn.XLOOKUP(1,(OFFSET(IN_Verknüpfungen!$O$4,0,0,IN_Verknüpfungen!$A$2,1)=$A115)*(OFFSET(IN_Verknüpfungen!$P$4,0,0,IN_Verknüpfungen!$A$2,1)=N$3+1),OFFSET(IN_Verknüpfungen!$F$4,0,0,IN_Verknüpfungen!$A$2,1)))-SUM($G115:M115)</f>
        <v>#N/A</v>
      </c>
      <c r="O115" s="70" t="e" cm="1">
        <f t="array" aca="1" ref="O115" ca="1">_xlfn.NUMBERVALUE(_xlfn.XLOOKUP(1,(OFFSET(IN_Verknüpfungen!$O$4,0,0,IN_Verknüpfungen!$A$2,1)=$A115)*(OFFSET(IN_Verknüpfungen!$P$4,0,0,IN_Verknüpfungen!$A$2,1)=P$3),OFFSET(IN_Verknüpfungen!$J$4,0,0,IN_Verknüpfungen!$A$2,1)))-SUM($G115:N115)</f>
        <v>#N/A</v>
      </c>
      <c r="P115" s="70" t="e" cm="1">
        <f t="array" aca="1" ref="P115" ca="1">_xlfn.NUMBERVALUE(_xlfn.XLOOKUP(1,(OFFSET(IN_Verknüpfungen!$O$4,0,0,IN_Verknüpfungen!$A$2,1)=$A115)*(OFFSET(IN_Verknüpfungen!$P$4,0,0,IN_Verknüpfungen!$A$2,1)=P$3+1),OFFSET(IN_Verknüpfungen!$F$4,0,0,IN_Verknüpfungen!$A$2,1)))-SUM($G115:O115)</f>
        <v>#N/A</v>
      </c>
      <c r="Q115" s="70" t="e" cm="1">
        <f t="array" aca="1" ref="Q115" ca="1">_xlfn.NUMBERVALUE(_xlfn.XLOOKUP(1,(OFFSET(IN_Verknüpfungen!$O$4,0,0,IN_Verknüpfungen!$A$2,1)=$A115)*(OFFSET(IN_Verknüpfungen!$P$4,0,0,IN_Verknüpfungen!$A$2,1)=R$3),OFFSET(IN_Verknüpfungen!$J$4,0,0,IN_Verknüpfungen!$A$2,1)))-SUM($G115:P115)</f>
        <v>#N/A</v>
      </c>
      <c r="R115" s="70" t="e" cm="1">
        <f t="array" aca="1" ref="R115" ca="1">_xlfn.NUMBERVALUE(_xlfn.XLOOKUP(1,(OFFSET(IN_Verknüpfungen!$O$4,0,0,IN_Verknüpfungen!$A$2,1)=$A115)*(OFFSET(IN_Verknüpfungen!$P$4,0,0,IN_Verknüpfungen!$A$2,1)=R$3+1),OFFSET(IN_Verknüpfungen!$F$4,0,0,IN_Verknüpfungen!$A$2,1)))-SUM($G115:Q115)</f>
        <v>#N/A</v>
      </c>
      <c r="S115" s="70" t="e" cm="1">
        <f t="array" aca="1" ref="S115" ca="1">_xlfn.NUMBERVALUE(_xlfn.XLOOKUP(1,(OFFSET(IN_Verknüpfungen!$O$4,0,0,IN_Verknüpfungen!$A$2,1)=$A115)*(OFFSET(IN_Verknüpfungen!$P$4,0,0,IN_Verknüpfungen!$A$2,1)=T$3),OFFSET(IN_Verknüpfungen!$J$4,0,0,IN_Verknüpfungen!$A$2,1)))-SUM($G115:R115)</f>
        <v>#N/A</v>
      </c>
      <c r="T115" s="70" t="e" cm="1">
        <f t="array" aca="1" ref="T115" ca="1">_xlfn.NUMBERVALUE(_xlfn.XLOOKUP(1,(OFFSET(IN_Verknüpfungen!$O$4,0,0,IN_Verknüpfungen!$A$2,1)=$A115)*(OFFSET(IN_Verknüpfungen!$P$4,0,0,IN_Verknüpfungen!$A$2,1)=T$3+1),OFFSET(IN_Verknüpfungen!$F$4,0,0,IN_Verknüpfungen!$A$2,1)))-SUM($G115:S115)</f>
        <v>#N/A</v>
      </c>
      <c r="U115" s="70" t="e" cm="1">
        <f t="array" aca="1" ref="U115" ca="1">_xlfn.NUMBERVALUE(_xlfn.XLOOKUP(1,(OFFSET(IN_Verknüpfungen!$O$4,0,0,IN_Verknüpfungen!$A$2,1)=$A115)*(OFFSET(IN_Verknüpfungen!$P$4,0,0,IN_Verknüpfungen!$A$2,1)=V$3),OFFSET(IN_Verknüpfungen!$J$4,0,0,IN_Verknüpfungen!$A$2,1)))-SUM($G115:T115)</f>
        <v>#N/A</v>
      </c>
      <c r="V115" s="70" t="e" cm="1">
        <f t="array" aca="1" ref="V115" ca="1">_xlfn.NUMBERVALUE(_xlfn.XLOOKUP(1,(OFFSET(IN_Verknüpfungen!$O$4,0,0,IN_Verknüpfungen!$A$2,1)=$A115)*(OFFSET(IN_Verknüpfungen!$P$4,0,0,IN_Verknüpfungen!$A$2,1)=V$3+1),OFFSET(IN_Verknüpfungen!$F$4,0,0,IN_Verknüpfungen!$A$2,1)))-SUM($G115:U115)</f>
        <v>#N/A</v>
      </c>
      <c r="W115" s="70" t="e" cm="1">
        <f t="array" aca="1" ref="W115" ca="1">_xlfn.NUMBERVALUE(_xlfn.XLOOKUP(1,(OFFSET(IN_Verknüpfungen!$O$4,0,0,IN_Verknüpfungen!$A$2,1)=$A115)*(OFFSET(IN_Verknüpfungen!$P$4,0,0,IN_Verknüpfungen!$A$2,1)=X$3),OFFSET(IN_Verknüpfungen!$J$4,0,0,IN_Verknüpfungen!$A$2,1)))-SUM($G115:V115)</f>
        <v>#N/A</v>
      </c>
      <c r="X115" s="70" t="e" cm="1">
        <f t="array" aca="1" ref="X115" ca="1">_xlfn.NUMBERVALUE(_xlfn.XLOOKUP(1,(OFFSET(IN_Verknüpfungen!$O$4,0,0,IN_Verknüpfungen!$A$2,1)=$A115)*(OFFSET(IN_Verknüpfungen!$P$4,0,0,IN_Verknüpfungen!$A$2,1)=X$3+1),OFFSET(IN_Verknüpfungen!$F$4,0,0,IN_Verknüpfungen!$A$2,1)))-SUM($G115:W115)</f>
        <v>#N/A</v>
      </c>
      <c r="Y115" s="70" t="e" cm="1">
        <f t="array" aca="1" ref="Y115" ca="1">_xlfn.NUMBERVALUE(_xlfn.XLOOKUP(1,(OFFSET(IN_Verknüpfungen!$O$4,0,0,IN_Verknüpfungen!$A$2,1)=$A115)*(OFFSET(IN_Verknüpfungen!$P$4,0,0,IN_Verknüpfungen!$A$2,1)=Z$3),OFFSET(IN_Verknüpfungen!$J$4,0,0,IN_Verknüpfungen!$A$2,1)))-SUM($G115:X115)</f>
        <v>#N/A</v>
      </c>
      <c r="Z115" s="70" t="e" cm="1">
        <f t="array" aca="1" ref="Z115" ca="1">_xlfn.NUMBERVALUE(_xlfn.XLOOKUP(1,(OFFSET(IN_Verknüpfungen!$O$4,0,0,IN_Verknüpfungen!$A$2,1)=$A115)*(OFFSET(IN_Verknüpfungen!$P$4,0,0,IN_Verknüpfungen!$A$2,1)=Z$3+1),OFFSET(IN_Verknüpfungen!$F$4,0,0,IN_Verknüpfungen!$A$2,1)))-SUM($G115:Y115)</f>
        <v>#N/A</v>
      </c>
      <c r="AA115" s="70" t="e" cm="1">
        <f t="array" aca="1" ref="AA115" ca="1">_xlfn.NUMBERVALUE(_xlfn.XLOOKUP(1,(OFFSET(IN_Verknüpfungen!$O$4,0,0,IN_Verknüpfungen!$A$2,1)=$A115)*(OFFSET(IN_Verknüpfungen!$P$4,0,0,IN_Verknüpfungen!$A$2,1)=AB$3),OFFSET(IN_Verknüpfungen!$J$4,0,0,IN_Verknüpfungen!$A$2,1)))-SUM($G115:Z115)</f>
        <v>#N/A</v>
      </c>
      <c r="AB115" s="70" t="e" cm="1">
        <f t="array" aca="1" ref="AB115" ca="1">_xlfn.NUMBERVALUE(_xlfn.XLOOKUP(1,(OFFSET(IN_Verknüpfungen!$O$4,0,0,IN_Verknüpfungen!$A$2,1)=$A115)*(OFFSET(IN_Verknüpfungen!$P$4,0,0,IN_Verknüpfungen!$A$2,1)=AB$3+1),OFFSET(IN_Verknüpfungen!$F$4,0,0,IN_Verknüpfungen!$A$2,1)))-SUM($G115:AA115)</f>
        <v>#N/A</v>
      </c>
    </row>
    <row r="116" spans="1:28" x14ac:dyDescent="0.2">
      <c r="A116" s="56" t="str">
        <f ca="1"/>
        <v>Composition 113</v>
      </c>
      <c r="B116" s="55" t="str" cm="1">
        <f t="array" aca="1" ref="B116" ca="1">IF(A116&lt;&gt;"",_xlfn.XLOOKUP(Laufwege!A116,OFFSET(IN_Verknüpfungen!L$4,0,0,IN_Verknüpfungen!A$2,1),OFFSET(IN_Verknüpfungen!N$4,0,0,IN_Verknüpfungen!A$2,1),""),"")</f>
        <v>146-3.2</v>
      </c>
      <c r="C116" s="55">
        <f ca="1">IF(A116&lt;&gt;"",SUMIFS(OFFSET(IN_Verknüpfungen!M$4,0,0,IN_Verknüpfungen!A$2,1),OFFSET(IN_Verknüpfungen!O$4,0,0,IN_Verknüpfungen!A$2,1),Laufwege!A116),0)</f>
        <v>645913</v>
      </c>
      <c r="D116" s="55" cm="1">
        <f t="array" aca="1" ref="D116" ca="1">IF(B116&lt;&gt;"",_xlfn.XLOOKUP(B116,OFFSET(IN_Stammdaten!$A$4,0,0,IN_Stammdaten!$A$2,1),OFFSET(IN_Stammdaten!$C$4,0,0,IN_Stammdaten!$A$2,1),""),"")</f>
        <v>0</v>
      </c>
      <c r="E116" s="55" t="str">
        <f t="shared" ca="1" si="2"/>
        <v>nein</v>
      </c>
      <c r="F116" s="69" t="str">
        <f t="shared" ca="1" si="3"/>
        <v>Composition 113 (146-3.2)</v>
      </c>
      <c r="G116" s="70" cm="1">
        <f t="array" aca="1" ref="G116" ca="1">_xlfn.NUMBERVALUE(_xlfn.XLOOKUP(A116,OFFSET(IN_Verknüpfungen!$L$4,0,0,IN_Verknüpfungen!$A$2,1),OFFSET(IN_Verknüpfungen!$Q$4,0,0,IN_Verknüpfungen!$A$2,1)))</f>
        <v>0.32594907407407409</v>
      </c>
      <c r="H116" s="70" cm="1">
        <f t="array" aca="1" ref="H116" ca="1">_xlfn.NUMBERVALUE(_xlfn.XLOOKUP(A116,OFFSET(IN_Verknüpfungen!$L$4,0,0,IN_Verknüpfungen!$A$2,1),OFFSET(IN_Verknüpfungen!$F$4,0,0,IN_Verknüpfungen!$A$2,1)))-G116</f>
        <v>0.12883101851851853</v>
      </c>
      <c r="I116" s="70" cm="1">
        <f t="array" aca="1" ref="I116" ca="1">_xlfn.NUMBERVALUE(_xlfn.XLOOKUP(1,(OFFSET(IN_Verknüpfungen!$O$4,0,0,IN_Verknüpfungen!$A$2,1)=$A116)*(OFFSET(IN_Verknüpfungen!$P$4,0,0,IN_Verknüpfungen!$A$2,1)=J$3),OFFSET(IN_Verknüpfungen!$J$4,0,0,IN_Verknüpfungen!$A$2,1)))-SUM($G116:H116)</f>
        <v>2.1331018518518485E-2</v>
      </c>
      <c r="J116" s="70" cm="1">
        <f t="array" aca="1" ref="J116" ca="1">_xlfn.NUMBERVALUE(_xlfn.XLOOKUP(1,(OFFSET(IN_Verknüpfungen!$O$4,0,0,IN_Verknüpfungen!$A$2,1)=$A116)*(OFFSET(IN_Verknüpfungen!$P$4,0,0,IN_Verknüpfungen!$A$2,1)=J$3+1),OFFSET(IN_Verknüpfungen!$F$4,0,0,IN_Verknüpfungen!$A$2,1)))-SUM($G116:I116)</f>
        <v>4.7280092592592637E-2</v>
      </c>
      <c r="K116" s="70" cm="1">
        <f t="array" aca="1" ref="K116" ca="1">_xlfn.NUMBERVALUE(_xlfn.XLOOKUP(1,(OFFSET(IN_Verknüpfungen!$O$4,0,0,IN_Verknüpfungen!$A$2,1)=$A116)*(OFFSET(IN_Verknüpfungen!$P$4,0,0,IN_Verknüpfungen!$A$2,1)=L$3),OFFSET(IN_Verknüpfungen!$J$4,0,0,IN_Verknüpfungen!$A$2,1)))-SUM($G116:J116)</f>
        <v>2.3946759259259265E-2</v>
      </c>
      <c r="L116" s="70" cm="1">
        <f t="array" aca="1" ref="L116" ca="1">_xlfn.NUMBERVALUE(_xlfn.XLOOKUP(1,(OFFSET(IN_Verknüpfungen!$O$4,0,0,IN_Verknüpfungen!$A$2,1)=$A116)*(OFFSET(IN_Verknüpfungen!$P$4,0,0,IN_Verknüpfungen!$A$2,1)=L$3+1),OFFSET(IN_Verknüpfungen!$F$4,0,0,IN_Verknüpfungen!$A$2,1)))-SUM($G116:K116)</f>
        <v>4.8263888888888884E-2</v>
      </c>
      <c r="M116" s="70" cm="1">
        <f t="array" aca="1" ref="M116" ca="1">_xlfn.NUMBERVALUE(_xlfn.XLOOKUP(1,(OFFSET(IN_Verknüpfungen!$O$4,0,0,IN_Verknüpfungen!$A$2,1)=$A116)*(OFFSET(IN_Verknüpfungen!$P$4,0,0,IN_Verknüpfungen!$A$2,1)=N$3),OFFSET(IN_Verknüpfungen!$J$4,0,0,IN_Verknüpfungen!$A$2,1)))-SUM($G116:L116)</f>
        <v>1.0648148148148073E-2</v>
      </c>
      <c r="N116" s="70" t="e" cm="1">
        <f t="array" aca="1" ref="N116" ca="1">_xlfn.NUMBERVALUE(_xlfn.XLOOKUP(1,(OFFSET(IN_Verknüpfungen!$O$4,0,0,IN_Verknüpfungen!$A$2,1)=$A116)*(OFFSET(IN_Verknüpfungen!$P$4,0,0,IN_Verknüpfungen!$A$2,1)=N$3+1),OFFSET(IN_Verknüpfungen!$F$4,0,0,IN_Verknüpfungen!$A$2,1)))-SUM($G116:M116)</f>
        <v>#N/A</v>
      </c>
      <c r="O116" s="70" t="e" cm="1">
        <f t="array" aca="1" ref="O116" ca="1">_xlfn.NUMBERVALUE(_xlfn.XLOOKUP(1,(OFFSET(IN_Verknüpfungen!$O$4,0,0,IN_Verknüpfungen!$A$2,1)=$A116)*(OFFSET(IN_Verknüpfungen!$P$4,0,0,IN_Verknüpfungen!$A$2,1)=P$3),OFFSET(IN_Verknüpfungen!$J$4,0,0,IN_Verknüpfungen!$A$2,1)))-SUM($G116:N116)</f>
        <v>#N/A</v>
      </c>
      <c r="P116" s="70" t="e" cm="1">
        <f t="array" aca="1" ref="P116" ca="1">_xlfn.NUMBERVALUE(_xlfn.XLOOKUP(1,(OFFSET(IN_Verknüpfungen!$O$4,0,0,IN_Verknüpfungen!$A$2,1)=$A116)*(OFFSET(IN_Verknüpfungen!$P$4,0,0,IN_Verknüpfungen!$A$2,1)=P$3+1),OFFSET(IN_Verknüpfungen!$F$4,0,0,IN_Verknüpfungen!$A$2,1)))-SUM($G116:O116)</f>
        <v>#N/A</v>
      </c>
      <c r="Q116" s="70" t="e" cm="1">
        <f t="array" aca="1" ref="Q116" ca="1">_xlfn.NUMBERVALUE(_xlfn.XLOOKUP(1,(OFFSET(IN_Verknüpfungen!$O$4,0,0,IN_Verknüpfungen!$A$2,1)=$A116)*(OFFSET(IN_Verknüpfungen!$P$4,0,0,IN_Verknüpfungen!$A$2,1)=R$3),OFFSET(IN_Verknüpfungen!$J$4,0,0,IN_Verknüpfungen!$A$2,1)))-SUM($G116:P116)</f>
        <v>#N/A</v>
      </c>
      <c r="R116" s="70" t="e" cm="1">
        <f t="array" aca="1" ref="R116" ca="1">_xlfn.NUMBERVALUE(_xlfn.XLOOKUP(1,(OFFSET(IN_Verknüpfungen!$O$4,0,0,IN_Verknüpfungen!$A$2,1)=$A116)*(OFFSET(IN_Verknüpfungen!$P$4,0,0,IN_Verknüpfungen!$A$2,1)=R$3+1),OFFSET(IN_Verknüpfungen!$F$4,0,0,IN_Verknüpfungen!$A$2,1)))-SUM($G116:Q116)</f>
        <v>#N/A</v>
      </c>
      <c r="S116" s="70" t="e" cm="1">
        <f t="array" aca="1" ref="S116" ca="1">_xlfn.NUMBERVALUE(_xlfn.XLOOKUP(1,(OFFSET(IN_Verknüpfungen!$O$4,0,0,IN_Verknüpfungen!$A$2,1)=$A116)*(OFFSET(IN_Verknüpfungen!$P$4,0,0,IN_Verknüpfungen!$A$2,1)=T$3),OFFSET(IN_Verknüpfungen!$J$4,0,0,IN_Verknüpfungen!$A$2,1)))-SUM($G116:R116)</f>
        <v>#N/A</v>
      </c>
      <c r="T116" s="70" t="e" cm="1">
        <f t="array" aca="1" ref="T116" ca="1">_xlfn.NUMBERVALUE(_xlfn.XLOOKUP(1,(OFFSET(IN_Verknüpfungen!$O$4,0,0,IN_Verknüpfungen!$A$2,1)=$A116)*(OFFSET(IN_Verknüpfungen!$P$4,0,0,IN_Verknüpfungen!$A$2,1)=T$3+1),OFFSET(IN_Verknüpfungen!$F$4,0,0,IN_Verknüpfungen!$A$2,1)))-SUM($G116:S116)</f>
        <v>#N/A</v>
      </c>
      <c r="U116" s="70" t="e" cm="1">
        <f t="array" aca="1" ref="U116" ca="1">_xlfn.NUMBERVALUE(_xlfn.XLOOKUP(1,(OFFSET(IN_Verknüpfungen!$O$4,0,0,IN_Verknüpfungen!$A$2,1)=$A116)*(OFFSET(IN_Verknüpfungen!$P$4,0,0,IN_Verknüpfungen!$A$2,1)=V$3),OFFSET(IN_Verknüpfungen!$J$4,0,0,IN_Verknüpfungen!$A$2,1)))-SUM($G116:T116)</f>
        <v>#N/A</v>
      </c>
      <c r="V116" s="70" t="e" cm="1">
        <f t="array" aca="1" ref="V116" ca="1">_xlfn.NUMBERVALUE(_xlfn.XLOOKUP(1,(OFFSET(IN_Verknüpfungen!$O$4,0,0,IN_Verknüpfungen!$A$2,1)=$A116)*(OFFSET(IN_Verknüpfungen!$P$4,0,0,IN_Verknüpfungen!$A$2,1)=V$3+1),OFFSET(IN_Verknüpfungen!$F$4,0,0,IN_Verknüpfungen!$A$2,1)))-SUM($G116:U116)</f>
        <v>#N/A</v>
      </c>
      <c r="W116" s="70" t="e" cm="1">
        <f t="array" aca="1" ref="W116" ca="1">_xlfn.NUMBERVALUE(_xlfn.XLOOKUP(1,(OFFSET(IN_Verknüpfungen!$O$4,0,0,IN_Verknüpfungen!$A$2,1)=$A116)*(OFFSET(IN_Verknüpfungen!$P$4,0,0,IN_Verknüpfungen!$A$2,1)=X$3),OFFSET(IN_Verknüpfungen!$J$4,0,0,IN_Verknüpfungen!$A$2,1)))-SUM($G116:V116)</f>
        <v>#N/A</v>
      </c>
      <c r="X116" s="70" t="e" cm="1">
        <f t="array" aca="1" ref="X116" ca="1">_xlfn.NUMBERVALUE(_xlfn.XLOOKUP(1,(OFFSET(IN_Verknüpfungen!$O$4,0,0,IN_Verknüpfungen!$A$2,1)=$A116)*(OFFSET(IN_Verknüpfungen!$P$4,0,0,IN_Verknüpfungen!$A$2,1)=X$3+1),OFFSET(IN_Verknüpfungen!$F$4,0,0,IN_Verknüpfungen!$A$2,1)))-SUM($G116:W116)</f>
        <v>#N/A</v>
      </c>
      <c r="Y116" s="70" t="e" cm="1">
        <f t="array" aca="1" ref="Y116" ca="1">_xlfn.NUMBERVALUE(_xlfn.XLOOKUP(1,(OFFSET(IN_Verknüpfungen!$O$4,0,0,IN_Verknüpfungen!$A$2,1)=$A116)*(OFFSET(IN_Verknüpfungen!$P$4,0,0,IN_Verknüpfungen!$A$2,1)=Z$3),OFFSET(IN_Verknüpfungen!$J$4,0,0,IN_Verknüpfungen!$A$2,1)))-SUM($G116:X116)</f>
        <v>#N/A</v>
      </c>
      <c r="Z116" s="70" t="e" cm="1">
        <f t="array" aca="1" ref="Z116" ca="1">_xlfn.NUMBERVALUE(_xlfn.XLOOKUP(1,(OFFSET(IN_Verknüpfungen!$O$4,0,0,IN_Verknüpfungen!$A$2,1)=$A116)*(OFFSET(IN_Verknüpfungen!$P$4,0,0,IN_Verknüpfungen!$A$2,1)=Z$3+1),OFFSET(IN_Verknüpfungen!$F$4,0,0,IN_Verknüpfungen!$A$2,1)))-SUM($G116:Y116)</f>
        <v>#N/A</v>
      </c>
      <c r="AA116" s="70" t="e" cm="1">
        <f t="array" aca="1" ref="AA116" ca="1">_xlfn.NUMBERVALUE(_xlfn.XLOOKUP(1,(OFFSET(IN_Verknüpfungen!$O$4,0,0,IN_Verknüpfungen!$A$2,1)=$A116)*(OFFSET(IN_Verknüpfungen!$P$4,0,0,IN_Verknüpfungen!$A$2,1)=AB$3),OFFSET(IN_Verknüpfungen!$J$4,0,0,IN_Verknüpfungen!$A$2,1)))-SUM($G116:Z116)</f>
        <v>#N/A</v>
      </c>
      <c r="AB116" s="70" t="e" cm="1">
        <f t="array" aca="1" ref="AB116" ca="1">_xlfn.NUMBERVALUE(_xlfn.XLOOKUP(1,(OFFSET(IN_Verknüpfungen!$O$4,0,0,IN_Verknüpfungen!$A$2,1)=$A116)*(OFFSET(IN_Verknüpfungen!$P$4,0,0,IN_Verknüpfungen!$A$2,1)=AB$3+1),OFFSET(IN_Verknüpfungen!$F$4,0,0,IN_Verknüpfungen!$A$2,1)))-SUM($G116:AA116)</f>
        <v>#N/A</v>
      </c>
    </row>
    <row r="117" spans="1:28" x14ac:dyDescent="0.2">
      <c r="F117" s="69"/>
      <c r="G117" s="70"/>
      <c r="H117" s="70"/>
      <c r="I117" s="70"/>
      <c r="J117" s="70"/>
      <c r="K117" s="70"/>
      <c r="L117" s="70"/>
      <c r="M117" s="70"/>
      <c r="N117" s="70"/>
    </row>
  </sheetData>
  <pageMargins left="0.7" right="0.7" top="0.78740157499999996" bottom="0.78740157499999996"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9B626-C029-4DF6-BAD5-0AFDFBEDB3EB}">
  <sheetPr codeName="Tabelle1">
    <outlinePr summaryBelow="0" summaryRight="0"/>
  </sheetPr>
  <dimension ref="A1:K1095"/>
  <sheetViews>
    <sheetView workbookViewId="0">
      <selection activeCell="K15" sqref="K15"/>
    </sheetView>
  </sheetViews>
  <sheetFormatPr baseColWidth="10" defaultColWidth="11.42578125" defaultRowHeight="12.75" x14ac:dyDescent="0.2"/>
  <cols>
    <col min="1" max="1" width="11.42578125" style="2" customWidth="1"/>
    <col min="2" max="2" width="21.7109375" style="2" bestFit="1" customWidth="1"/>
    <col min="3" max="3" width="32" style="2" customWidth="1"/>
    <col min="4" max="4" width="8.5703125" style="2" customWidth="1"/>
    <col min="5" max="5" width="39.7109375" style="2" customWidth="1"/>
    <col min="6" max="6" width="11.5703125" style="2" customWidth="1"/>
    <col min="7" max="7" width="19" style="2" customWidth="1"/>
    <col min="8" max="8" width="18.5703125" style="2" customWidth="1"/>
    <col min="9" max="9" width="21.7109375" style="2" customWidth="1"/>
    <col min="10" max="10" width="20.28515625" style="2" customWidth="1"/>
    <col min="11" max="11" width="19.7109375" style="2" customWidth="1"/>
    <col min="12" max="16384" width="11.42578125" style="2"/>
  </cols>
  <sheetData>
    <row r="1" spans="1:11" s="6" customFormat="1" ht="16.350000000000001" customHeight="1" x14ac:dyDescent="0.2">
      <c r="A1" s="5" t="s">
        <v>669</v>
      </c>
      <c r="B1" s="5" t="s">
        <v>670</v>
      </c>
      <c r="C1" s="5" t="s">
        <v>671</v>
      </c>
      <c r="D1" s="5" t="s">
        <v>2038</v>
      </c>
      <c r="E1" s="5" t="s">
        <v>673</v>
      </c>
      <c r="F1" s="5" t="s">
        <v>674</v>
      </c>
      <c r="G1" s="5" t="s">
        <v>675</v>
      </c>
      <c r="H1" s="5" t="s">
        <v>676</v>
      </c>
      <c r="I1" s="5" t="s">
        <v>677</v>
      </c>
      <c r="J1" s="5" t="s">
        <v>678</v>
      </c>
      <c r="K1" s="5" t="s">
        <v>679</v>
      </c>
    </row>
    <row r="2" spans="1:11" s="3" customFormat="1" ht="16.350000000000001" customHeight="1" x14ac:dyDescent="0.2">
      <c r="A2" s="39" t="s">
        <v>686</v>
      </c>
      <c r="B2" s="39" t="s">
        <v>423</v>
      </c>
      <c r="C2" s="39" t="s">
        <v>437</v>
      </c>
      <c r="D2" s="39"/>
      <c r="E2" s="39" t="s">
        <v>687</v>
      </c>
      <c r="F2" s="39" t="s">
        <v>688</v>
      </c>
      <c r="G2" s="39" t="s">
        <v>689</v>
      </c>
      <c r="H2" s="39" t="s">
        <v>690</v>
      </c>
      <c r="I2" s="39" t="s">
        <v>691</v>
      </c>
      <c r="J2" s="39" t="s">
        <v>692</v>
      </c>
      <c r="K2" s="39" t="s">
        <v>693</v>
      </c>
    </row>
    <row r="3" spans="1:11" s="3" customFormat="1" ht="16.350000000000001" customHeight="1" x14ac:dyDescent="0.2">
      <c r="A3" s="39" t="s">
        <v>686</v>
      </c>
      <c r="B3" s="39" t="s">
        <v>434</v>
      </c>
      <c r="C3" s="39" t="s">
        <v>426</v>
      </c>
      <c r="D3" s="39"/>
      <c r="E3" s="39" t="s">
        <v>694</v>
      </c>
      <c r="F3" s="39" t="s">
        <v>688</v>
      </c>
      <c r="G3" s="39" t="s">
        <v>753</v>
      </c>
      <c r="H3" s="39" t="s">
        <v>754</v>
      </c>
      <c r="I3" s="39" t="s">
        <v>691</v>
      </c>
      <c r="J3" s="39" t="s">
        <v>754</v>
      </c>
      <c r="K3" s="39" t="s">
        <v>755</v>
      </c>
    </row>
    <row r="4" spans="1:11" s="3" customFormat="1" ht="16.350000000000001" customHeight="1" x14ac:dyDescent="0.2">
      <c r="A4" s="39" t="s">
        <v>686</v>
      </c>
      <c r="B4" s="39" t="s">
        <v>77</v>
      </c>
      <c r="C4" s="39" t="s">
        <v>69</v>
      </c>
      <c r="D4" s="39"/>
      <c r="E4" s="39" t="s">
        <v>811</v>
      </c>
      <c r="F4" s="39" t="s">
        <v>688</v>
      </c>
      <c r="G4" s="39" t="s">
        <v>812</v>
      </c>
      <c r="H4" s="39" t="s">
        <v>813</v>
      </c>
      <c r="I4" s="39" t="s">
        <v>691</v>
      </c>
      <c r="J4" s="39" t="s">
        <v>813</v>
      </c>
      <c r="K4" s="39" t="s">
        <v>814</v>
      </c>
    </row>
    <row r="5" spans="1:11" s="3" customFormat="1" ht="16.350000000000001" customHeight="1" x14ac:dyDescent="0.2">
      <c r="A5" s="39" t="s">
        <v>686</v>
      </c>
      <c r="B5" s="39" t="s">
        <v>603</v>
      </c>
      <c r="C5" s="39" t="s">
        <v>617</v>
      </c>
      <c r="D5" s="39"/>
      <c r="E5" s="39" t="s">
        <v>723</v>
      </c>
      <c r="F5" s="39" t="s">
        <v>688</v>
      </c>
      <c r="G5" s="39" t="s">
        <v>724</v>
      </c>
      <c r="H5" s="39" t="s">
        <v>725</v>
      </c>
      <c r="I5" s="39" t="s">
        <v>691</v>
      </c>
      <c r="J5" s="39" t="s">
        <v>725</v>
      </c>
      <c r="K5" s="39" t="s">
        <v>726</v>
      </c>
    </row>
    <row r="6" spans="1:11" s="3" customFormat="1" ht="16.350000000000001" customHeight="1" x14ac:dyDescent="0.2">
      <c r="A6" s="39" t="s">
        <v>686</v>
      </c>
      <c r="B6" s="39" t="s">
        <v>614</v>
      </c>
      <c r="C6" s="39" t="s">
        <v>606</v>
      </c>
      <c r="D6" s="39"/>
      <c r="E6" s="39" t="s">
        <v>727</v>
      </c>
      <c r="F6" s="39" t="s">
        <v>688</v>
      </c>
      <c r="G6" s="39" t="s">
        <v>784</v>
      </c>
      <c r="H6" s="39" t="s">
        <v>785</v>
      </c>
      <c r="I6" s="39" t="s">
        <v>691</v>
      </c>
      <c r="J6" s="39" t="s">
        <v>785</v>
      </c>
      <c r="K6" s="39" t="s">
        <v>786</v>
      </c>
    </row>
    <row r="7" spans="1:11" s="3" customFormat="1" ht="16.350000000000001" customHeight="1" x14ac:dyDescent="0.2">
      <c r="A7" s="39" t="s">
        <v>686</v>
      </c>
      <c r="B7" s="39" t="s">
        <v>64</v>
      </c>
      <c r="C7" s="39" t="s">
        <v>80</v>
      </c>
      <c r="D7" s="39"/>
      <c r="E7" s="39" t="s">
        <v>723</v>
      </c>
      <c r="F7" s="39" t="s">
        <v>688</v>
      </c>
      <c r="G7" s="39" t="s">
        <v>840</v>
      </c>
      <c r="H7" s="39" t="s">
        <v>841</v>
      </c>
      <c r="I7" s="39" t="s">
        <v>817</v>
      </c>
      <c r="J7" s="39" t="s">
        <v>841</v>
      </c>
      <c r="K7" s="39" t="s">
        <v>842</v>
      </c>
    </row>
    <row r="8" spans="1:11" s="3" customFormat="1" ht="16.350000000000001" customHeight="1" x14ac:dyDescent="0.2">
      <c r="A8" s="39" t="s">
        <v>686</v>
      </c>
      <c r="B8" s="39" t="s">
        <v>467</v>
      </c>
      <c r="C8" s="39" t="s">
        <v>481</v>
      </c>
      <c r="D8" s="39"/>
      <c r="E8" s="39" t="s">
        <v>867</v>
      </c>
      <c r="F8" s="39" t="s">
        <v>688</v>
      </c>
      <c r="G8" s="39" t="s">
        <v>868</v>
      </c>
      <c r="H8" s="39" t="s">
        <v>869</v>
      </c>
      <c r="I8" s="39" t="s">
        <v>691</v>
      </c>
      <c r="J8" s="39" t="s">
        <v>869</v>
      </c>
      <c r="K8" s="39" t="s">
        <v>870</v>
      </c>
    </row>
    <row r="9" spans="1:11" s="3" customFormat="1" ht="16.350000000000001" customHeight="1" x14ac:dyDescent="0.2">
      <c r="A9" s="39" t="s">
        <v>686</v>
      </c>
      <c r="B9" s="39" t="s">
        <v>478</v>
      </c>
      <c r="C9" s="39" t="s">
        <v>496</v>
      </c>
      <c r="D9" s="39"/>
      <c r="E9" s="39" t="s">
        <v>871</v>
      </c>
      <c r="F9" s="39" t="s">
        <v>688</v>
      </c>
      <c r="G9" s="39" t="s">
        <v>891</v>
      </c>
      <c r="H9" s="39" t="s">
        <v>892</v>
      </c>
      <c r="I9" s="39" t="s">
        <v>817</v>
      </c>
      <c r="J9" s="39" t="s">
        <v>892</v>
      </c>
      <c r="K9" s="39" t="s">
        <v>893</v>
      </c>
    </row>
    <row r="10" spans="1:11" s="3" customFormat="1" ht="16.350000000000001" customHeight="1" x14ac:dyDescent="0.2">
      <c r="A10" s="39" t="s">
        <v>686</v>
      </c>
      <c r="B10" s="39" t="s">
        <v>88</v>
      </c>
      <c r="C10" s="39" t="s">
        <v>102</v>
      </c>
      <c r="D10" s="39"/>
      <c r="E10" s="39" t="s">
        <v>723</v>
      </c>
      <c r="F10" s="39" t="s">
        <v>688</v>
      </c>
      <c r="G10" s="39" t="s">
        <v>2039</v>
      </c>
      <c r="H10" s="39" t="s">
        <v>951</v>
      </c>
      <c r="I10" s="39" t="s">
        <v>691</v>
      </c>
      <c r="J10" s="39" t="s">
        <v>951</v>
      </c>
      <c r="K10" s="39" t="s">
        <v>952</v>
      </c>
    </row>
    <row r="11" spans="1:11" s="3" customFormat="1" ht="16.350000000000001" customHeight="1" x14ac:dyDescent="0.2">
      <c r="A11" s="39" t="s">
        <v>686</v>
      </c>
      <c r="B11" s="39" t="s">
        <v>515</v>
      </c>
      <c r="C11" s="39" t="s">
        <v>529</v>
      </c>
      <c r="D11" s="39"/>
      <c r="E11" s="39" t="s">
        <v>929</v>
      </c>
      <c r="F11" s="39" t="s">
        <v>688</v>
      </c>
      <c r="G11" s="39" t="s">
        <v>2040</v>
      </c>
      <c r="H11" s="39" t="s">
        <v>930</v>
      </c>
      <c r="I11" s="39" t="s">
        <v>691</v>
      </c>
      <c r="J11" s="39" t="s">
        <v>930</v>
      </c>
      <c r="K11" s="39" t="s">
        <v>931</v>
      </c>
    </row>
    <row r="12" spans="1:11" s="3" customFormat="1" ht="16.350000000000001" customHeight="1" x14ac:dyDescent="0.2">
      <c r="A12" s="39" t="s">
        <v>686</v>
      </c>
      <c r="B12" s="39" t="s">
        <v>537</v>
      </c>
      <c r="C12" s="39" t="s">
        <v>551</v>
      </c>
      <c r="D12" s="39"/>
      <c r="E12" s="39" t="s">
        <v>971</v>
      </c>
      <c r="F12" s="39" t="s">
        <v>688</v>
      </c>
      <c r="G12" s="39" t="s">
        <v>972</v>
      </c>
      <c r="H12" s="39" t="s">
        <v>973</v>
      </c>
      <c r="I12" s="39" t="s">
        <v>691</v>
      </c>
      <c r="J12" s="39" t="s">
        <v>973</v>
      </c>
      <c r="K12" s="39" t="s">
        <v>974</v>
      </c>
    </row>
    <row r="13" spans="1:11" s="3" customFormat="1" ht="16.350000000000001" customHeight="1" x14ac:dyDescent="0.2">
      <c r="A13" s="39" t="s">
        <v>686</v>
      </c>
      <c r="B13" s="39" t="s">
        <v>570</v>
      </c>
      <c r="C13" s="39" t="s">
        <v>584</v>
      </c>
      <c r="D13" s="39"/>
      <c r="E13" s="39" t="s">
        <v>990</v>
      </c>
      <c r="F13" s="39" t="s">
        <v>688</v>
      </c>
      <c r="G13" s="39" t="s">
        <v>991</v>
      </c>
      <c r="H13" s="39" t="s">
        <v>992</v>
      </c>
      <c r="I13" s="39" t="s">
        <v>691</v>
      </c>
      <c r="J13" s="39" t="s">
        <v>992</v>
      </c>
      <c r="K13" s="39" t="s">
        <v>993</v>
      </c>
    </row>
    <row r="14" spans="1:11" s="3" customFormat="1" ht="16.350000000000001" customHeight="1" x14ac:dyDescent="0.2">
      <c r="A14" s="39" t="s">
        <v>686</v>
      </c>
      <c r="B14" s="39" t="s">
        <v>280</v>
      </c>
      <c r="C14" s="39" t="s">
        <v>272</v>
      </c>
      <c r="D14" s="39"/>
      <c r="E14" s="39" t="s">
        <v>875</v>
      </c>
      <c r="F14" s="39" t="s">
        <v>688</v>
      </c>
      <c r="G14" s="39" t="s">
        <v>912</v>
      </c>
      <c r="H14" s="39" t="s">
        <v>913</v>
      </c>
      <c r="I14" s="39" t="s">
        <v>691</v>
      </c>
      <c r="J14" s="39" t="s">
        <v>913</v>
      </c>
      <c r="K14" s="39" t="s">
        <v>914</v>
      </c>
    </row>
    <row r="15" spans="1:11" s="3" customFormat="1" ht="16.350000000000001" customHeight="1" x14ac:dyDescent="0.2">
      <c r="A15" s="39" t="s">
        <v>686</v>
      </c>
      <c r="B15" s="39" t="s">
        <v>493</v>
      </c>
      <c r="C15" s="39" t="s">
        <v>507</v>
      </c>
      <c r="D15" s="39"/>
      <c r="E15" s="39" t="s">
        <v>875</v>
      </c>
      <c r="F15" s="39" t="s">
        <v>688</v>
      </c>
      <c r="G15" s="39" t="s">
        <v>1018</v>
      </c>
      <c r="H15" s="39" t="s">
        <v>1019</v>
      </c>
      <c r="I15" s="39" t="s">
        <v>691</v>
      </c>
      <c r="J15" s="39" t="s">
        <v>1019</v>
      </c>
      <c r="K15" s="39" t="s">
        <v>1020</v>
      </c>
    </row>
    <row r="16" spans="1:11" s="3" customFormat="1" ht="16.350000000000001" customHeight="1" x14ac:dyDescent="0.2">
      <c r="A16" s="39" t="s">
        <v>686</v>
      </c>
      <c r="B16" s="39" t="s">
        <v>302</v>
      </c>
      <c r="C16" s="39" t="s">
        <v>327</v>
      </c>
      <c r="D16" s="39"/>
      <c r="E16" s="39" t="s">
        <v>727</v>
      </c>
      <c r="F16" s="39" t="s">
        <v>688</v>
      </c>
      <c r="G16" s="39" t="s">
        <v>1061</v>
      </c>
      <c r="H16" s="39" t="s">
        <v>1062</v>
      </c>
      <c r="I16" s="39" t="s">
        <v>691</v>
      </c>
      <c r="J16" s="39" t="s">
        <v>1062</v>
      </c>
      <c r="K16" s="39" t="s">
        <v>1063</v>
      </c>
    </row>
    <row r="17" spans="1:11" s="3" customFormat="1" ht="16.350000000000001" customHeight="1" x14ac:dyDescent="0.2">
      <c r="A17" s="39" t="s">
        <v>686</v>
      </c>
      <c r="B17" s="39" t="s">
        <v>243</v>
      </c>
      <c r="C17" s="39" t="s">
        <v>284</v>
      </c>
      <c r="D17" s="39"/>
      <c r="E17" s="39" t="s">
        <v>915</v>
      </c>
      <c r="F17" s="39" t="s">
        <v>688</v>
      </c>
      <c r="G17" s="39" t="s">
        <v>1002</v>
      </c>
      <c r="H17" s="39" t="s">
        <v>1003</v>
      </c>
      <c r="I17" s="39" t="s">
        <v>691</v>
      </c>
      <c r="J17" s="39" t="s">
        <v>1003</v>
      </c>
      <c r="K17" s="39" t="s">
        <v>1004</v>
      </c>
    </row>
    <row r="18" spans="1:11" s="3" customFormat="1" ht="16.350000000000001" customHeight="1" x14ac:dyDescent="0.2">
      <c r="A18" s="39" t="s">
        <v>686</v>
      </c>
      <c r="B18" s="39" t="s">
        <v>426</v>
      </c>
      <c r="C18" s="39" t="s">
        <v>438</v>
      </c>
      <c r="D18" s="39"/>
      <c r="E18" s="39" t="s">
        <v>687</v>
      </c>
      <c r="F18" s="39" t="s">
        <v>688</v>
      </c>
      <c r="G18" s="39" t="s">
        <v>756</v>
      </c>
      <c r="H18" s="39" t="s">
        <v>757</v>
      </c>
      <c r="I18" s="39" t="s">
        <v>691</v>
      </c>
      <c r="J18" s="39" t="s">
        <v>758</v>
      </c>
      <c r="K18" s="39" t="s">
        <v>759</v>
      </c>
    </row>
    <row r="19" spans="1:11" s="3" customFormat="1" ht="16.350000000000001" customHeight="1" x14ac:dyDescent="0.2">
      <c r="A19" s="39" t="s">
        <v>686</v>
      </c>
      <c r="B19" s="39" t="s">
        <v>437</v>
      </c>
      <c r="C19" s="39" t="s">
        <v>427</v>
      </c>
      <c r="D19" s="39"/>
      <c r="E19" s="39" t="s">
        <v>694</v>
      </c>
      <c r="F19" s="39" t="s">
        <v>688</v>
      </c>
      <c r="G19" s="39" t="s">
        <v>695</v>
      </c>
      <c r="H19" s="39" t="s">
        <v>696</v>
      </c>
      <c r="I19" s="39" t="s">
        <v>691</v>
      </c>
      <c r="J19" s="39" t="s">
        <v>696</v>
      </c>
      <c r="K19" s="39" t="s">
        <v>697</v>
      </c>
    </row>
    <row r="20" spans="1:11" s="3" customFormat="1" ht="16.350000000000001" customHeight="1" x14ac:dyDescent="0.2">
      <c r="A20" s="39" t="s">
        <v>686</v>
      </c>
      <c r="B20" s="39" t="s">
        <v>291</v>
      </c>
      <c r="C20" s="39" t="s">
        <v>306</v>
      </c>
      <c r="D20" s="39"/>
      <c r="E20" s="39" t="s">
        <v>1080</v>
      </c>
      <c r="F20" s="39" t="s">
        <v>688</v>
      </c>
      <c r="G20" s="39" t="s">
        <v>1081</v>
      </c>
      <c r="H20" s="39" t="s">
        <v>1082</v>
      </c>
      <c r="I20" s="39" t="s">
        <v>691</v>
      </c>
      <c r="J20" s="39" t="s">
        <v>1082</v>
      </c>
      <c r="K20" s="39" t="s">
        <v>730</v>
      </c>
    </row>
    <row r="21" spans="1:11" s="3" customFormat="1" ht="16.350000000000001" customHeight="1" x14ac:dyDescent="0.2">
      <c r="A21" s="39" t="s">
        <v>686</v>
      </c>
      <c r="B21" s="39" t="s">
        <v>368</v>
      </c>
      <c r="C21" s="39" t="s">
        <v>361</v>
      </c>
      <c r="D21" s="39"/>
      <c r="E21" s="39" t="s">
        <v>1107</v>
      </c>
      <c r="F21" s="39" t="s">
        <v>688</v>
      </c>
      <c r="G21" s="39" t="s">
        <v>1108</v>
      </c>
      <c r="H21" s="39" t="s">
        <v>1109</v>
      </c>
      <c r="I21" s="39" t="s">
        <v>691</v>
      </c>
      <c r="J21" s="39" t="s">
        <v>1109</v>
      </c>
      <c r="K21" s="39" t="s">
        <v>1110</v>
      </c>
    </row>
    <row r="22" spans="1:11" s="3" customFormat="1" ht="16.350000000000001" customHeight="1" x14ac:dyDescent="0.2">
      <c r="A22" s="39" t="s">
        <v>686</v>
      </c>
      <c r="B22" s="39" t="s">
        <v>357</v>
      </c>
      <c r="C22" s="39" t="s">
        <v>372</v>
      </c>
      <c r="D22" s="39" t="s">
        <v>2041</v>
      </c>
      <c r="E22" s="39" t="s">
        <v>1111</v>
      </c>
      <c r="F22" s="39" t="s">
        <v>948</v>
      </c>
      <c r="G22" s="39" t="s">
        <v>1159</v>
      </c>
      <c r="H22" s="39" t="s">
        <v>1160</v>
      </c>
      <c r="I22" s="39" t="s">
        <v>691</v>
      </c>
      <c r="J22" s="39" t="s">
        <v>1161</v>
      </c>
      <c r="K22" s="39" t="s">
        <v>1162</v>
      </c>
    </row>
    <row r="23" spans="1:11" s="3" customFormat="1" ht="16.350000000000001" customHeight="1" x14ac:dyDescent="0.2">
      <c r="A23" s="39" t="s">
        <v>686</v>
      </c>
      <c r="B23" s="39" t="s">
        <v>80</v>
      </c>
      <c r="C23" s="39" t="s">
        <v>70</v>
      </c>
      <c r="D23" s="39"/>
      <c r="E23" s="39" t="s">
        <v>811</v>
      </c>
      <c r="F23" s="39" t="s">
        <v>688</v>
      </c>
      <c r="G23" s="39" t="s">
        <v>843</v>
      </c>
      <c r="H23" s="39" t="s">
        <v>844</v>
      </c>
      <c r="I23" s="39" t="s">
        <v>691</v>
      </c>
      <c r="J23" s="39" t="s">
        <v>844</v>
      </c>
      <c r="K23" s="39" t="s">
        <v>845</v>
      </c>
    </row>
    <row r="24" spans="1:11" s="3" customFormat="1" ht="16.350000000000001" customHeight="1" x14ac:dyDescent="0.2">
      <c r="A24" s="39" t="s">
        <v>686</v>
      </c>
      <c r="B24" s="39" t="s">
        <v>99</v>
      </c>
      <c r="C24" s="39" t="s">
        <v>92</v>
      </c>
      <c r="D24" s="39"/>
      <c r="E24" s="39" t="s">
        <v>953</v>
      </c>
      <c r="F24" s="39" t="s">
        <v>688</v>
      </c>
      <c r="G24" s="39" t="s">
        <v>1039</v>
      </c>
      <c r="H24" s="39" t="s">
        <v>1040</v>
      </c>
      <c r="I24" s="39" t="s">
        <v>691</v>
      </c>
      <c r="J24" s="39" t="s">
        <v>1040</v>
      </c>
      <c r="K24" s="39" t="s">
        <v>1041</v>
      </c>
    </row>
    <row r="25" spans="1:11" s="3" customFormat="1" ht="16.350000000000001" customHeight="1" x14ac:dyDescent="0.2">
      <c r="A25" s="39" t="s">
        <v>686</v>
      </c>
      <c r="B25" s="39" t="s">
        <v>606</v>
      </c>
      <c r="C25" s="39" t="s">
        <v>618</v>
      </c>
      <c r="D25" s="39"/>
      <c r="E25" s="39" t="s">
        <v>723</v>
      </c>
      <c r="F25" s="39" t="s">
        <v>688</v>
      </c>
      <c r="G25" s="39" t="s">
        <v>787</v>
      </c>
      <c r="H25" s="39" t="s">
        <v>788</v>
      </c>
      <c r="I25" s="39" t="s">
        <v>691</v>
      </c>
      <c r="J25" s="39" t="s">
        <v>788</v>
      </c>
      <c r="K25" s="39" t="s">
        <v>789</v>
      </c>
    </row>
    <row r="26" spans="1:11" s="3" customFormat="1" ht="16.350000000000001" customHeight="1" x14ac:dyDescent="0.2">
      <c r="A26" s="39" t="s">
        <v>686</v>
      </c>
      <c r="B26" s="39" t="s">
        <v>559</v>
      </c>
      <c r="C26" s="39" t="s">
        <v>574</v>
      </c>
      <c r="D26" s="39"/>
      <c r="E26" s="39" t="s">
        <v>1097</v>
      </c>
      <c r="F26" s="39" t="s">
        <v>688</v>
      </c>
      <c r="G26" s="39" t="s">
        <v>1098</v>
      </c>
      <c r="H26" s="39" t="s">
        <v>1099</v>
      </c>
      <c r="I26" s="39" t="s">
        <v>691</v>
      </c>
      <c r="J26" s="39" t="s">
        <v>1099</v>
      </c>
      <c r="K26" s="39" t="s">
        <v>1100</v>
      </c>
    </row>
    <row r="27" spans="1:11" s="3" customFormat="1" ht="16.350000000000001" customHeight="1" x14ac:dyDescent="0.2">
      <c r="A27" s="39" t="s">
        <v>686</v>
      </c>
      <c r="B27" s="39" t="s">
        <v>617</v>
      </c>
      <c r="C27" s="39" t="s">
        <v>607</v>
      </c>
      <c r="D27" s="39"/>
      <c r="E27" s="39" t="s">
        <v>727</v>
      </c>
      <c r="F27" s="39" t="s">
        <v>688</v>
      </c>
      <c r="G27" s="39" t="s">
        <v>728</v>
      </c>
      <c r="H27" s="39" t="s">
        <v>729</v>
      </c>
      <c r="I27" s="39" t="s">
        <v>691</v>
      </c>
      <c r="J27" s="39" t="s">
        <v>729</v>
      </c>
      <c r="K27" s="39" t="s">
        <v>730</v>
      </c>
    </row>
    <row r="28" spans="1:11" s="3" customFormat="1" ht="16.350000000000001" customHeight="1" x14ac:dyDescent="0.2">
      <c r="A28" s="39" t="s">
        <v>686</v>
      </c>
      <c r="B28" s="39" t="s">
        <v>69</v>
      </c>
      <c r="C28" s="39" t="s">
        <v>81</v>
      </c>
      <c r="D28" s="39"/>
      <c r="E28" s="39" t="s">
        <v>723</v>
      </c>
      <c r="F28" s="39" t="s">
        <v>688</v>
      </c>
      <c r="G28" s="39" t="s">
        <v>815</v>
      </c>
      <c r="H28" s="39" t="s">
        <v>816</v>
      </c>
      <c r="I28" s="39" t="s">
        <v>817</v>
      </c>
      <c r="J28" s="39" t="s">
        <v>816</v>
      </c>
      <c r="K28" s="39" t="s">
        <v>818</v>
      </c>
    </row>
    <row r="29" spans="1:11" s="3" customFormat="1" ht="16.350000000000001" customHeight="1" x14ac:dyDescent="0.2">
      <c r="A29" s="39" t="s">
        <v>686</v>
      </c>
      <c r="B29" s="39" t="s">
        <v>526</v>
      </c>
      <c r="C29" s="39" t="s">
        <v>519</v>
      </c>
      <c r="D29" s="39"/>
      <c r="E29" s="39" t="s">
        <v>932</v>
      </c>
      <c r="F29" s="39" t="s">
        <v>688</v>
      </c>
      <c r="G29" s="39" t="s">
        <v>1123</v>
      </c>
      <c r="H29" s="39" t="s">
        <v>1124</v>
      </c>
      <c r="I29" s="39" t="s">
        <v>691</v>
      </c>
      <c r="J29" s="39" t="s">
        <v>1124</v>
      </c>
      <c r="K29" s="39" t="s">
        <v>1125</v>
      </c>
    </row>
    <row r="30" spans="1:11" s="3" customFormat="1" ht="16.350000000000001" customHeight="1" x14ac:dyDescent="0.2">
      <c r="A30" s="39" t="s">
        <v>686</v>
      </c>
      <c r="B30" s="39" t="s">
        <v>548</v>
      </c>
      <c r="C30" s="39" t="s">
        <v>541</v>
      </c>
      <c r="D30" s="39"/>
      <c r="E30" s="39" t="s">
        <v>929</v>
      </c>
      <c r="F30" s="39" t="s">
        <v>688</v>
      </c>
      <c r="G30" s="39" t="s">
        <v>1141</v>
      </c>
      <c r="H30" s="39" t="s">
        <v>1142</v>
      </c>
      <c r="I30" s="39" t="s">
        <v>691</v>
      </c>
      <c r="J30" s="39" t="s">
        <v>1142</v>
      </c>
      <c r="K30" s="39" t="s">
        <v>1143</v>
      </c>
    </row>
    <row r="31" spans="1:11" s="3" customFormat="1" ht="16.350000000000001" customHeight="1" x14ac:dyDescent="0.2">
      <c r="A31" s="39" t="s">
        <v>686</v>
      </c>
      <c r="B31" s="39" t="s">
        <v>504</v>
      </c>
      <c r="C31" s="39" t="s">
        <v>471</v>
      </c>
      <c r="D31" s="39"/>
      <c r="E31" s="39" t="s">
        <v>871</v>
      </c>
      <c r="F31" s="39" t="s">
        <v>688</v>
      </c>
      <c r="G31" s="39" t="s">
        <v>1229</v>
      </c>
      <c r="H31" s="39" t="s">
        <v>1230</v>
      </c>
      <c r="I31" s="39" t="s">
        <v>817</v>
      </c>
      <c r="J31" s="39" t="s">
        <v>1230</v>
      </c>
      <c r="K31" s="39" t="s">
        <v>1231</v>
      </c>
    </row>
    <row r="32" spans="1:11" s="3" customFormat="1" ht="16.350000000000001" customHeight="1" x14ac:dyDescent="0.2">
      <c r="A32" s="39" t="s">
        <v>686</v>
      </c>
      <c r="B32" s="39" t="s">
        <v>324</v>
      </c>
      <c r="C32" s="39" t="s">
        <v>383</v>
      </c>
      <c r="D32" s="39"/>
      <c r="E32" s="39" t="s">
        <v>1064</v>
      </c>
      <c r="F32" s="39" t="s">
        <v>688</v>
      </c>
      <c r="G32" s="39" t="s">
        <v>1213</v>
      </c>
      <c r="H32" s="39" t="s">
        <v>1214</v>
      </c>
      <c r="I32" s="39" t="s">
        <v>691</v>
      </c>
      <c r="J32" s="39" t="s">
        <v>1215</v>
      </c>
      <c r="K32" s="39" t="s">
        <v>1216</v>
      </c>
    </row>
    <row r="33" spans="1:11" s="3" customFormat="1" ht="16.350000000000001" customHeight="1" x14ac:dyDescent="0.2">
      <c r="A33" s="39" t="s">
        <v>686</v>
      </c>
      <c r="B33" s="39" t="s">
        <v>254</v>
      </c>
      <c r="C33" s="39" t="s">
        <v>247</v>
      </c>
      <c r="D33" s="39"/>
      <c r="E33" s="39" t="s">
        <v>875</v>
      </c>
      <c r="F33" s="39" t="s">
        <v>688</v>
      </c>
      <c r="G33" s="39" t="s">
        <v>1183</v>
      </c>
      <c r="H33" s="39" t="s">
        <v>1184</v>
      </c>
      <c r="I33" s="39" t="s">
        <v>691</v>
      </c>
      <c r="J33" s="39" t="s">
        <v>1184</v>
      </c>
      <c r="K33" s="39" t="s">
        <v>1185</v>
      </c>
    </row>
    <row r="34" spans="1:11" s="3" customFormat="1" ht="16.350000000000001" customHeight="1" x14ac:dyDescent="0.2">
      <c r="A34" s="39" t="s">
        <v>686</v>
      </c>
      <c r="B34" s="39" t="s">
        <v>313</v>
      </c>
      <c r="C34" s="39" t="s">
        <v>295</v>
      </c>
      <c r="D34" s="39"/>
      <c r="E34" s="39" t="s">
        <v>727</v>
      </c>
      <c r="F34" s="39" t="s">
        <v>688</v>
      </c>
      <c r="G34" s="39" t="s">
        <v>1199</v>
      </c>
      <c r="H34" s="39" t="s">
        <v>872</v>
      </c>
      <c r="I34" s="39" t="s">
        <v>691</v>
      </c>
      <c r="J34" s="39" t="s">
        <v>872</v>
      </c>
      <c r="K34" s="39" t="s">
        <v>1200</v>
      </c>
    </row>
    <row r="35" spans="1:11" s="3" customFormat="1" ht="16.350000000000001" customHeight="1" x14ac:dyDescent="0.2">
      <c r="A35" s="39" t="s">
        <v>686</v>
      </c>
      <c r="B35" s="39" t="s">
        <v>470</v>
      </c>
      <c r="C35" s="39" t="s">
        <v>482</v>
      </c>
      <c r="D35" s="39"/>
      <c r="E35" s="39" t="s">
        <v>867</v>
      </c>
      <c r="F35" s="39" t="s">
        <v>688</v>
      </c>
      <c r="G35" s="39" t="s">
        <v>1249</v>
      </c>
      <c r="H35" s="39" t="s">
        <v>1250</v>
      </c>
      <c r="I35" s="39" t="s">
        <v>691</v>
      </c>
      <c r="J35" s="39" t="s">
        <v>1250</v>
      </c>
      <c r="K35" s="39" t="s">
        <v>1251</v>
      </c>
    </row>
    <row r="36" spans="1:11" s="3" customFormat="1" ht="16.350000000000001" customHeight="1" x14ac:dyDescent="0.2">
      <c r="A36" s="39" t="s">
        <v>686</v>
      </c>
      <c r="B36" s="39" t="s">
        <v>636</v>
      </c>
      <c r="C36" s="39" t="s">
        <v>629</v>
      </c>
      <c r="D36" s="39" t="s">
        <v>2041</v>
      </c>
      <c r="E36" s="39" t="s">
        <v>727</v>
      </c>
      <c r="F36" s="39" t="s">
        <v>688</v>
      </c>
      <c r="G36" s="39" t="s">
        <v>1173</v>
      </c>
      <c r="H36" s="39" t="s">
        <v>1174</v>
      </c>
      <c r="I36" s="39" t="s">
        <v>691</v>
      </c>
      <c r="J36" s="39" t="s">
        <v>1174</v>
      </c>
      <c r="K36" s="39" t="s">
        <v>1175</v>
      </c>
    </row>
    <row r="37" spans="1:11" s="3" customFormat="1" ht="16.350000000000001" customHeight="1" x14ac:dyDescent="0.2">
      <c r="A37" s="39" t="s">
        <v>686</v>
      </c>
      <c r="B37" s="39" t="s">
        <v>481</v>
      </c>
      <c r="C37" s="39" t="s">
        <v>497</v>
      </c>
      <c r="D37" s="39"/>
      <c r="E37" s="39" t="s">
        <v>871</v>
      </c>
      <c r="F37" s="39" t="s">
        <v>688</v>
      </c>
      <c r="G37" s="39" t="s">
        <v>872</v>
      </c>
      <c r="H37" s="39" t="s">
        <v>873</v>
      </c>
      <c r="I37" s="39" t="s">
        <v>817</v>
      </c>
      <c r="J37" s="39" t="s">
        <v>873</v>
      </c>
      <c r="K37" s="39" t="s">
        <v>874</v>
      </c>
    </row>
    <row r="38" spans="1:11" s="3" customFormat="1" ht="16.350000000000001" customHeight="1" x14ac:dyDescent="0.2">
      <c r="A38" s="39" t="s">
        <v>686</v>
      </c>
      <c r="B38" s="39" t="s">
        <v>658</v>
      </c>
      <c r="C38" s="39" t="s">
        <v>651</v>
      </c>
      <c r="D38" s="39"/>
      <c r="E38" s="39" t="s">
        <v>1176</v>
      </c>
      <c r="F38" s="39" t="s">
        <v>688</v>
      </c>
      <c r="G38" s="39" t="s">
        <v>1286</v>
      </c>
      <c r="H38" s="39" t="s">
        <v>1287</v>
      </c>
      <c r="I38" s="39" t="s">
        <v>691</v>
      </c>
      <c r="J38" s="39" t="s">
        <v>1287</v>
      </c>
      <c r="K38" s="39" t="s">
        <v>1288</v>
      </c>
    </row>
    <row r="39" spans="1:11" s="3" customFormat="1" ht="16.350000000000001" customHeight="1" x14ac:dyDescent="0.2">
      <c r="A39" s="39" t="s">
        <v>686</v>
      </c>
      <c r="B39" s="39" t="s">
        <v>269</v>
      </c>
      <c r="C39" s="39" t="s">
        <v>258</v>
      </c>
      <c r="D39" s="39"/>
      <c r="E39" s="39" t="s">
        <v>915</v>
      </c>
      <c r="F39" s="39" t="s">
        <v>688</v>
      </c>
      <c r="G39" s="39" t="s">
        <v>1269</v>
      </c>
      <c r="H39" s="39" t="s">
        <v>1270</v>
      </c>
      <c r="I39" s="39" t="s">
        <v>691</v>
      </c>
      <c r="J39" s="39" t="s">
        <v>1271</v>
      </c>
      <c r="K39" s="39" t="s">
        <v>1272</v>
      </c>
    </row>
    <row r="40" spans="1:11" s="3" customFormat="1" ht="16.350000000000001" customHeight="1" x14ac:dyDescent="0.2">
      <c r="A40" s="39" t="s">
        <v>686</v>
      </c>
      <c r="B40" s="39" t="s">
        <v>91</v>
      </c>
      <c r="C40" s="39" t="s">
        <v>103</v>
      </c>
      <c r="D40" s="39"/>
      <c r="E40" s="39" t="s">
        <v>723</v>
      </c>
      <c r="F40" s="39" t="s">
        <v>688</v>
      </c>
      <c r="G40" s="39" t="s">
        <v>2042</v>
      </c>
      <c r="H40" s="39" t="s">
        <v>1344</v>
      </c>
      <c r="I40" s="39" t="s">
        <v>691</v>
      </c>
      <c r="J40" s="39" t="s">
        <v>1344</v>
      </c>
      <c r="K40" s="39" t="s">
        <v>1345</v>
      </c>
    </row>
    <row r="41" spans="1:11" s="3" customFormat="1" ht="16.350000000000001" customHeight="1" x14ac:dyDescent="0.2">
      <c r="A41" s="39" t="s">
        <v>686</v>
      </c>
      <c r="B41" s="39" t="s">
        <v>518</v>
      </c>
      <c r="C41" s="39" t="s">
        <v>530</v>
      </c>
      <c r="D41" s="39"/>
      <c r="E41" s="39" t="s">
        <v>929</v>
      </c>
      <c r="F41" s="39" t="s">
        <v>688</v>
      </c>
      <c r="G41" s="39" t="s">
        <v>1312</v>
      </c>
      <c r="H41" s="39" t="s">
        <v>1313</v>
      </c>
      <c r="I41" s="39" t="s">
        <v>691</v>
      </c>
      <c r="J41" s="39" t="s">
        <v>1313</v>
      </c>
      <c r="K41" s="39" t="s">
        <v>1314</v>
      </c>
    </row>
    <row r="42" spans="1:11" s="3" customFormat="1" ht="16.350000000000001" customHeight="1" x14ac:dyDescent="0.2">
      <c r="A42" s="39" t="s">
        <v>686</v>
      </c>
      <c r="B42" s="39" t="s">
        <v>335</v>
      </c>
      <c r="C42" s="39" t="s">
        <v>350</v>
      </c>
      <c r="D42" s="39" t="s">
        <v>2041</v>
      </c>
      <c r="E42" s="39" t="s">
        <v>1111</v>
      </c>
      <c r="F42" s="39" t="s">
        <v>948</v>
      </c>
      <c r="G42" s="39" t="s">
        <v>1361</v>
      </c>
      <c r="H42" s="39" t="s">
        <v>1362</v>
      </c>
      <c r="I42" s="39" t="s">
        <v>691</v>
      </c>
      <c r="J42" s="39" t="s">
        <v>1363</v>
      </c>
      <c r="K42" s="39" t="s">
        <v>1364</v>
      </c>
    </row>
    <row r="43" spans="1:11" s="3" customFormat="1" ht="16.350000000000001" customHeight="1" x14ac:dyDescent="0.2">
      <c r="A43" s="39" t="s">
        <v>686</v>
      </c>
      <c r="B43" s="39" t="s">
        <v>379</v>
      </c>
      <c r="C43" s="39" t="s">
        <v>394</v>
      </c>
      <c r="D43" s="39"/>
      <c r="E43" s="39" t="s">
        <v>1068</v>
      </c>
      <c r="F43" s="39" t="s">
        <v>688</v>
      </c>
      <c r="G43" s="39" t="s">
        <v>1327</v>
      </c>
      <c r="H43" s="39" t="s">
        <v>1328</v>
      </c>
      <c r="I43" s="39" t="s">
        <v>691</v>
      </c>
      <c r="J43" s="39" t="s">
        <v>1329</v>
      </c>
      <c r="K43" s="39" t="s">
        <v>1330</v>
      </c>
    </row>
    <row r="44" spans="1:11" s="3" customFormat="1" ht="16.350000000000001" customHeight="1" x14ac:dyDescent="0.2">
      <c r="A44" s="39" t="s">
        <v>686</v>
      </c>
      <c r="B44" s="39" t="s">
        <v>540</v>
      </c>
      <c r="C44" s="39" t="s">
        <v>552</v>
      </c>
      <c r="D44" s="39"/>
      <c r="E44" s="39" t="s">
        <v>971</v>
      </c>
      <c r="F44" s="39" t="s">
        <v>688</v>
      </c>
      <c r="G44" s="39" t="s">
        <v>1373</v>
      </c>
      <c r="H44" s="39" t="s">
        <v>1374</v>
      </c>
      <c r="I44" s="39" t="s">
        <v>691</v>
      </c>
      <c r="J44" s="39" t="s">
        <v>1374</v>
      </c>
      <c r="K44" s="39" t="s">
        <v>1375</v>
      </c>
    </row>
    <row r="45" spans="1:11" s="3" customFormat="1" ht="16.350000000000001" customHeight="1" x14ac:dyDescent="0.2">
      <c r="A45" s="39" t="s">
        <v>686</v>
      </c>
      <c r="B45" s="39" t="s">
        <v>573</v>
      </c>
      <c r="C45" s="39" t="s">
        <v>585</v>
      </c>
      <c r="D45" s="39"/>
      <c r="E45" s="39" t="s">
        <v>990</v>
      </c>
      <c r="F45" s="39" t="s">
        <v>688</v>
      </c>
      <c r="G45" s="39" t="s">
        <v>1388</v>
      </c>
      <c r="H45" s="39" t="s">
        <v>1389</v>
      </c>
      <c r="I45" s="39" t="s">
        <v>691</v>
      </c>
      <c r="J45" s="39" t="s">
        <v>1389</v>
      </c>
      <c r="K45" s="39" t="s">
        <v>1390</v>
      </c>
    </row>
    <row r="46" spans="1:11" s="3" customFormat="1" ht="16.350000000000001" customHeight="1" x14ac:dyDescent="0.2">
      <c r="A46" s="39" t="s">
        <v>686</v>
      </c>
      <c r="B46" s="39" t="s">
        <v>283</v>
      </c>
      <c r="C46" s="39" t="s">
        <v>273</v>
      </c>
      <c r="D46" s="39"/>
      <c r="E46" s="39" t="s">
        <v>875</v>
      </c>
      <c r="F46" s="39" t="s">
        <v>688</v>
      </c>
      <c r="G46" s="39" t="s">
        <v>1296</v>
      </c>
      <c r="H46" s="39" t="s">
        <v>1297</v>
      </c>
      <c r="I46" s="39" t="s">
        <v>691</v>
      </c>
      <c r="J46" s="39" t="s">
        <v>1297</v>
      </c>
      <c r="K46" s="39" t="s">
        <v>1298</v>
      </c>
    </row>
    <row r="47" spans="1:11" s="3" customFormat="1" ht="16.350000000000001" customHeight="1" x14ac:dyDescent="0.2">
      <c r="A47" s="39" t="s">
        <v>686</v>
      </c>
      <c r="B47" s="39" t="s">
        <v>496</v>
      </c>
      <c r="C47" s="39" t="s">
        <v>508</v>
      </c>
      <c r="D47" s="39"/>
      <c r="E47" s="39" t="s">
        <v>875</v>
      </c>
      <c r="F47" s="39" t="s">
        <v>688</v>
      </c>
      <c r="G47" s="39" t="s">
        <v>894</v>
      </c>
      <c r="H47" s="39" t="s">
        <v>895</v>
      </c>
      <c r="I47" s="39" t="s">
        <v>691</v>
      </c>
      <c r="J47" s="39" t="s">
        <v>895</v>
      </c>
      <c r="K47" s="39" t="s">
        <v>896</v>
      </c>
    </row>
    <row r="48" spans="1:11" s="3" customFormat="1" ht="16.350000000000001" customHeight="1" x14ac:dyDescent="0.2">
      <c r="A48" s="39" t="s">
        <v>686</v>
      </c>
      <c r="B48" s="39" t="s">
        <v>144</v>
      </c>
      <c r="C48" s="39" t="s">
        <v>115</v>
      </c>
      <c r="D48" s="39"/>
      <c r="E48" s="39" t="s">
        <v>994</v>
      </c>
      <c r="F48" s="39" t="s">
        <v>688</v>
      </c>
      <c r="G48" s="39" t="s">
        <v>1398</v>
      </c>
      <c r="H48" s="39" t="s">
        <v>1399</v>
      </c>
      <c r="I48" s="39" t="s">
        <v>691</v>
      </c>
      <c r="J48" s="39" t="s">
        <v>1399</v>
      </c>
      <c r="K48" s="39" t="s">
        <v>1400</v>
      </c>
    </row>
    <row r="49" spans="1:11" s="3" customFormat="1" ht="16.350000000000001" customHeight="1" x14ac:dyDescent="0.2">
      <c r="A49" s="39" t="s">
        <v>686</v>
      </c>
      <c r="B49" s="39" t="s">
        <v>390</v>
      </c>
      <c r="C49" s="39" t="s">
        <v>317</v>
      </c>
      <c r="D49" s="39"/>
      <c r="E49" s="39" t="s">
        <v>1064</v>
      </c>
      <c r="F49" s="39" t="s">
        <v>688</v>
      </c>
      <c r="G49" s="39" t="s">
        <v>1445</v>
      </c>
      <c r="H49" s="39" t="s">
        <v>1446</v>
      </c>
      <c r="I49" s="39" t="s">
        <v>691</v>
      </c>
      <c r="J49" s="39" t="s">
        <v>1447</v>
      </c>
      <c r="K49" s="39" t="s">
        <v>1448</v>
      </c>
    </row>
    <row r="50" spans="1:11" s="3" customFormat="1" ht="16.350000000000001" customHeight="1" x14ac:dyDescent="0.2">
      <c r="A50" s="39" t="s">
        <v>686</v>
      </c>
      <c r="B50" s="39" t="s">
        <v>305</v>
      </c>
      <c r="C50" s="39" t="s">
        <v>328</v>
      </c>
      <c r="D50" s="39"/>
      <c r="E50" s="39" t="s">
        <v>727</v>
      </c>
      <c r="F50" s="39" t="s">
        <v>688</v>
      </c>
      <c r="G50" s="39" t="s">
        <v>1420</v>
      </c>
      <c r="H50" s="39" t="s">
        <v>1421</v>
      </c>
      <c r="I50" s="39" t="s">
        <v>691</v>
      </c>
      <c r="J50" s="39" t="s">
        <v>1421</v>
      </c>
      <c r="K50" s="39" t="s">
        <v>1422</v>
      </c>
    </row>
    <row r="51" spans="1:11" s="3" customFormat="1" ht="16.350000000000001" customHeight="1" x14ac:dyDescent="0.2">
      <c r="A51" s="39" t="s">
        <v>686</v>
      </c>
      <c r="B51" s="39" t="s">
        <v>625</v>
      </c>
      <c r="C51" s="39" t="s">
        <v>641</v>
      </c>
      <c r="D51" s="39"/>
      <c r="E51" s="39" t="s">
        <v>1176</v>
      </c>
      <c r="F51" s="39" t="s">
        <v>688</v>
      </c>
      <c r="G51" s="39" t="s">
        <v>1470</v>
      </c>
      <c r="H51" s="39" t="s">
        <v>1471</v>
      </c>
      <c r="I51" s="39" t="s">
        <v>691</v>
      </c>
      <c r="J51" s="39" t="s">
        <v>1471</v>
      </c>
      <c r="K51" s="39" t="s">
        <v>1472</v>
      </c>
    </row>
    <row r="52" spans="1:11" s="3" customFormat="1" ht="16.350000000000001" customHeight="1" x14ac:dyDescent="0.2">
      <c r="A52" s="39" t="s">
        <v>686</v>
      </c>
      <c r="B52" s="39" t="s">
        <v>246</v>
      </c>
      <c r="C52" s="39" t="s">
        <v>285</v>
      </c>
      <c r="D52" s="39"/>
      <c r="E52" s="39" t="s">
        <v>915</v>
      </c>
      <c r="F52" s="39" t="s">
        <v>688</v>
      </c>
      <c r="G52" s="39" t="s">
        <v>1407</v>
      </c>
      <c r="H52" s="39" t="s">
        <v>1408</v>
      </c>
      <c r="I52" s="39" t="s">
        <v>691</v>
      </c>
      <c r="J52" s="39" t="s">
        <v>1408</v>
      </c>
      <c r="K52" s="39" t="s">
        <v>1409</v>
      </c>
    </row>
    <row r="53" spans="1:11" s="3" customFormat="1" ht="16.350000000000001" customHeight="1" x14ac:dyDescent="0.2">
      <c r="A53" s="39" t="s">
        <v>686</v>
      </c>
      <c r="B53" s="39" t="s">
        <v>647</v>
      </c>
      <c r="C53" s="39" t="s">
        <v>663</v>
      </c>
      <c r="D53" s="39"/>
      <c r="E53" s="39" t="s">
        <v>723</v>
      </c>
      <c r="F53" s="39" t="s">
        <v>688</v>
      </c>
      <c r="G53" s="39" t="s">
        <v>1434</v>
      </c>
      <c r="H53" s="39" t="s">
        <v>1435</v>
      </c>
      <c r="I53" s="39" t="s">
        <v>691</v>
      </c>
      <c r="J53" s="39" t="s">
        <v>1436</v>
      </c>
      <c r="K53" s="39" t="s">
        <v>1437</v>
      </c>
    </row>
    <row r="54" spans="1:11" s="3" customFormat="1" ht="16.350000000000001" customHeight="1" x14ac:dyDescent="0.2">
      <c r="A54" s="39" t="s">
        <v>686</v>
      </c>
      <c r="B54" s="39" t="s">
        <v>427</v>
      </c>
      <c r="C54" s="39" t="s">
        <v>439</v>
      </c>
      <c r="D54" s="39"/>
      <c r="E54" s="39" t="s">
        <v>687</v>
      </c>
      <c r="F54" s="39" t="s">
        <v>688</v>
      </c>
      <c r="G54" s="39" t="s">
        <v>698</v>
      </c>
      <c r="H54" s="39" t="s">
        <v>699</v>
      </c>
      <c r="I54" s="39" t="s">
        <v>691</v>
      </c>
      <c r="J54" s="39" t="s">
        <v>700</v>
      </c>
      <c r="K54" s="39" t="s">
        <v>701</v>
      </c>
    </row>
    <row r="55" spans="1:11" s="3" customFormat="1" ht="16.350000000000001" customHeight="1" x14ac:dyDescent="0.2">
      <c r="A55" s="39" t="s">
        <v>686</v>
      </c>
      <c r="B55" s="39" t="s">
        <v>438</v>
      </c>
      <c r="C55" s="39" t="s">
        <v>428</v>
      </c>
      <c r="D55" s="39"/>
      <c r="E55" s="39" t="s">
        <v>694</v>
      </c>
      <c r="F55" s="39" t="s">
        <v>688</v>
      </c>
      <c r="G55" s="39" t="s">
        <v>760</v>
      </c>
      <c r="H55" s="39" t="s">
        <v>761</v>
      </c>
      <c r="I55" s="39" t="s">
        <v>691</v>
      </c>
      <c r="J55" s="39" t="s">
        <v>761</v>
      </c>
      <c r="K55" s="39" t="s">
        <v>762</v>
      </c>
    </row>
    <row r="56" spans="1:11" s="3" customFormat="1" ht="16.350000000000001" customHeight="1" x14ac:dyDescent="0.2">
      <c r="A56" s="39" t="s">
        <v>686</v>
      </c>
      <c r="B56" s="39" t="s">
        <v>294</v>
      </c>
      <c r="C56" s="39" t="s">
        <v>307</v>
      </c>
      <c r="D56" s="39"/>
      <c r="E56" s="39" t="s">
        <v>1080</v>
      </c>
      <c r="F56" s="39" t="s">
        <v>688</v>
      </c>
      <c r="G56" s="39" t="s">
        <v>1479</v>
      </c>
      <c r="H56" s="39" t="s">
        <v>1480</v>
      </c>
      <c r="I56" s="39" t="s">
        <v>691</v>
      </c>
      <c r="J56" s="39" t="s">
        <v>1480</v>
      </c>
      <c r="K56" s="39" t="s">
        <v>792</v>
      </c>
    </row>
    <row r="57" spans="1:11" s="3" customFormat="1" ht="16.350000000000001" customHeight="1" x14ac:dyDescent="0.2">
      <c r="A57" s="39" t="s">
        <v>686</v>
      </c>
      <c r="B57" s="39" t="s">
        <v>371</v>
      </c>
      <c r="C57" s="39" t="s">
        <v>362</v>
      </c>
      <c r="D57" s="39"/>
      <c r="E57" s="39" t="s">
        <v>1107</v>
      </c>
      <c r="F57" s="39" t="s">
        <v>688</v>
      </c>
      <c r="G57" s="39" t="s">
        <v>1500</v>
      </c>
      <c r="H57" s="39" t="s">
        <v>1501</v>
      </c>
      <c r="I57" s="39" t="s">
        <v>691</v>
      </c>
      <c r="J57" s="39" t="s">
        <v>1501</v>
      </c>
      <c r="K57" s="39" t="s">
        <v>1502</v>
      </c>
    </row>
    <row r="58" spans="1:11" s="3" customFormat="1" ht="16.350000000000001" customHeight="1" x14ac:dyDescent="0.2">
      <c r="A58" s="39" t="s">
        <v>686</v>
      </c>
      <c r="B58" s="39" t="s">
        <v>346</v>
      </c>
      <c r="C58" s="39" t="s">
        <v>340</v>
      </c>
      <c r="D58" s="39"/>
      <c r="E58" s="39" t="s">
        <v>1365</v>
      </c>
      <c r="F58" s="39" t="s">
        <v>688</v>
      </c>
      <c r="G58" s="39" t="s">
        <v>1460</v>
      </c>
      <c r="H58" s="39" t="s">
        <v>1461</v>
      </c>
      <c r="I58" s="39" t="s">
        <v>691</v>
      </c>
      <c r="J58" s="39" t="s">
        <v>1461</v>
      </c>
      <c r="K58" s="39" t="s">
        <v>1462</v>
      </c>
    </row>
    <row r="59" spans="1:11" s="3" customFormat="1" ht="16.350000000000001" customHeight="1" x14ac:dyDescent="0.2">
      <c r="A59" s="39" t="s">
        <v>686</v>
      </c>
      <c r="B59" s="39" t="s">
        <v>412</v>
      </c>
      <c r="C59" s="39" t="s">
        <v>406</v>
      </c>
      <c r="D59" s="39"/>
      <c r="E59" s="39" t="s">
        <v>1517</v>
      </c>
      <c r="F59" s="39" t="s">
        <v>688</v>
      </c>
      <c r="G59" s="39" t="s">
        <v>1530</v>
      </c>
      <c r="H59" s="39" t="s">
        <v>1531</v>
      </c>
      <c r="I59" s="39" t="s">
        <v>691</v>
      </c>
      <c r="J59" s="39" t="s">
        <v>1531</v>
      </c>
      <c r="K59" s="39" t="s">
        <v>1532</v>
      </c>
    </row>
    <row r="60" spans="1:11" s="3" customFormat="1" ht="16.350000000000001" customHeight="1" x14ac:dyDescent="0.2">
      <c r="A60" s="39" t="s">
        <v>686</v>
      </c>
      <c r="B60" s="39" t="s">
        <v>360</v>
      </c>
      <c r="C60" s="39" t="s">
        <v>373</v>
      </c>
      <c r="D60" s="39" t="s">
        <v>2041</v>
      </c>
      <c r="E60" s="39" t="s">
        <v>1111</v>
      </c>
      <c r="F60" s="39" t="s">
        <v>948</v>
      </c>
      <c r="G60" s="39" t="s">
        <v>1540</v>
      </c>
      <c r="H60" s="39" t="s">
        <v>1541</v>
      </c>
      <c r="I60" s="39" t="s">
        <v>691</v>
      </c>
      <c r="J60" s="39" t="s">
        <v>1542</v>
      </c>
      <c r="K60" s="39" t="s">
        <v>1543</v>
      </c>
    </row>
    <row r="61" spans="1:11" s="3" customFormat="1" ht="16.350000000000001" customHeight="1" x14ac:dyDescent="0.2">
      <c r="A61" s="39" t="s">
        <v>686</v>
      </c>
      <c r="B61" s="39" t="s">
        <v>81</v>
      </c>
      <c r="C61" s="39" t="s">
        <v>71</v>
      </c>
      <c r="D61" s="39"/>
      <c r="E61" s="39" t="s">
        <v>811</v>
      </c>
      <c r="F61" s="39" t="s">
        <v>688</v>
      </c>
      <c r="G61" s="39" t="s">
        <v>819</v>
      </c>
      <c r="H61" s="39" t="s">
        <v>820</v>
      </c>
      <c r="I61" s="39" t="s">
        <v>691</v>
      </c>
      <c r="J61" s="39" t="s">
        <v>820</v>
      </c>
      <c r="K61" s="39" t="s">
        <v>821</v>
      </c>
    </row>
    <row r="62" spans="1:11" s="3" customFormat="1" ht="16.350000000000001" customHeight="1" x14ac:dyDescent="0.2">
      <c r="A62" s="39" t="s">
        <v>686</v>
      </c>
      <c r="B62" s="39" t="s">
        <v>102</v>
      </c>
      <c r="C62" s="39" t="s">
        <v>93</v>
      </c>
      <c r="D62" s="39"/>
      <c r="E62" s="39" t="s">
        <v>953</v>
      </c>
      <c r="F62" s="39" t="s">
        <v>688</v>
      </c>
      <c r="G62" s="39" t="s">
        <v>954</v>
      </c>
      <c r="H62" s="39" t="s">
        <v>955</v>
      </c>
      <c r="I62" s="39" t="s">
        <v>691</v>
      </c>
      <c r="J62" s="39" t="s">
        <v>955</v>
      </c>
      <c r="K62" s="39" t="s">
        <v>956</v>
      </c>
    </row>
    <row r="63" spans="1:11" s="3" customFormat="1" ht="16.350000000000001" customHeight="1" x14ac:dyDescent="0.2">
      <c r="A63" s="39" t="s">
        <v>686</v>
      </c>
      <c r="B63" s="39" t="s">
        <v>607</v>
      </c>
      <c r="C63" s="39" t="s">
        <v>619</v>
      </c>
      <c r="D63" s="39"/>
      <c r="E63" s="39" t="s">
        <v>723</v>
      </c>
      <c r="F63" s="39" t="s">
        <v>688</v>
      </c>
      <c r="G63" s="39" t="s">
        <v>731</v>
      </c>
      <c r="H63" s="39" t="s">
        <v>732</v>
      </c>
      <c r="I63" s="39" t="s">
        <v>691</v>
      </c>
      <c r="J63" s="39" t="s">
        <v>732</v>
      </c>
      <c r="K63" s="39" t="s">
        <v>733</v>
      </c>
    </row>
    <row r="64" spans="1:11" s="3" customFormat="1" ht="16.350000000000001" customHeight="1" x14ac:dyDescent="0.2">
      <c r="A64" s="39" t="s">
        <v>686</v>
      </c>
      <c r="B64" s="39" t="s">
        <v>562</v>
      </c>
      <c r="C64" s="39" t="s">
        <v>575</v>
      </c>
      <c r="D64" s="39"/>
      <c r="E64" s="39" t="s">
        <v>1097</v>
      </c>
      <c r="F64" s="39" t="s">
        <v>688</v>
      </c>
      <c r="G64" s="39" t="s">
        <v>1491</v>
      </c>
      <c r="H64" s="39" t="s">
        <v>1492</v>
      </c>
      <c r="I64" s="39" t="s">
        <v>691</v>
      </c>
      <c r="J64" s="39" t="s">
        <v>1492</v>
      </c>
      <c r="K64" s="39" t="s">
        <v>1493</v>
      </c>
    </row>
    <row r="65" spans="1:11" s="3" customFormat="1" ht="16.350000000000001" customHeight="1" x14ac:dyDescent="0.2">
      <c r="A65" s="39" t="s">
        <v>686</v>
      </c>
      <c r="B65" s="39" t="s">
        <v>618</v>
      </c>
      <c r="C65" s="39" t="s">
        <v>608</v>
      </c>
      <c r="D65" s="39"/>
      <c r="E65" s="39" t="s">
        <v>727</v>
      </c>
      <c r="F65" s="39" t="s">
        <v>688</v>
      </c>
      <c r="G65" s="39" t="s">
        <v>790</v>
      </c>
      <c r="H65" s="39" t="s">
        <v>791</v>
      </c>
      <c r="I65" s="39" t="s">
        <v>691</v>
      </c>
      <c r="J65" s="39" t="s">
        <v>791</v>
      </c>
      <c r="K65" s="39" t="s">
        <v>792</v>
      </c>
    </row>
    <row r="66" spans="1:11" s="3" customFormat="1" ht="16.350000000000001" customHeight="1" x14ac:dyDescent="0.2">
      <c r="A66" s="39" t="s">
        <v>686</v>
      </c>
      <c r="B66" s="39" t="s">
        <v>133</v>
      </c>
      <c r="C66" s="39" t="s">
        <v>149</v>
      </c>
      <c r="D66" s="39"/>
      <c r="E66" s="39" t="s">
        <v>723</v>
      </c>
      <c r="F66" s="39" t="s">
        <v>688</v>
      </c>
      <c r="G66" s="39" t="s">
        <v>1521</v>
      </c>
      <c r="H66" s="39" t="s">
        <v>1522</v>
      </c>
      <c r="I66" s="39" t="s">
        <v>691</v>
      </c>
      <c r="J66" s="39" t="s">
        <v>1522</v>
      </c>
      <c r="K66" s="39" t="s">
        <v>1523</v>
      </c>
    </row>
    <row r="67" spans="1:11" s="3" customFormat="1" ht="16.350000000000001" customHeight="1" x14ac:dyDescent="0.2">
      <c r="A67" s="39" t="s">
        <v>686</v>
      </c>
      <c r="B67" s="39" t="s">
        <v>70</v>
      </c>
      <c r="C67" s="39" t="s">
        <v>82</v>
      </c>
      <c r="D67" s="39"/>
      <c r="E67" s="39" t="s">
        <v>723</v>
      </c>
      <c r="F67" s="39" t="s">
        <v>688</v>
      </c>
      <c r="G67" s="39" t="s">
        <v>846</v>
      </c>
      <c r="H67" s="39" t="s">
        <v>847</v>
      </c>
      <c r="I67" s="39" t="s">
        <v>817</v>
      </c>
      <c r="J67" s="39" t="s">
        <v>847</v>
      </c>
      <c r="K67" s="39" t="s">
        <v>848</v>
      </c>
    </row>
    <row r="68" spans="1:11" s="3" customFormat="1" ht="16.350000000000001" customHeight="1" x14ac:dyDescent="0.2">
      <c r="A68" s="39" t="s">
        <v>686</v>
      </c>
      <c r="B68" s="39" t="s">
        <v>199</v>
      </c>
      <c r="C68" s="39" t="s">
        <v>192</v>
      </c>
      <c r="D68" s="39"/>
      <c r="E68" s="39" t="s">
        <v>811</v>
      </c>
      <c r="F68" s="39" t="s">
        <v>688</v>
      </c>
      <c r="G68" s="39" t="s">
        <v>1563</v>
      </c>
      <c r="H68" s="39" t="s">
        <v>1564</v>
      </c>
      <c r="I68" s="39" t="s">
        <v>691</v>
      </c>
      <c r="J68" s="39" t="s">
        <v>1564</v>
      </c>
      <c r="K68" s="39" t="s">
        <v>1565</v>
      </c>
    </row>
    <row r="69" spans="1:11" s="3" customFormat="1" ht="16.350000000000001" customHeight="1" x14ac:dyDescent="0.2">
      <c r="A69" s="39" t="s">
        <v>686</v>
      </c>
      <c r="B69" s="39" t="s">
        <v>529</v>
      </c>
      <c r="C69" s="39" t="s">
        <v>520</v>
      </c>
      <c r="D69" s="39"/>
      <c r="E69" s="39" t="s">
        <v>932</v>
      </c>
      <c r="F69" s="39" t="s">
        <v>688</v>
      </c>
      <c r="G69" s="39" t="s">
        <v>933</v>
      </c>
      <c r="H69" s="39" t="s">
        <v>934</v>
      </c>
      <c r="I69" s="39" t="s">
        <v>691</v>
      </c>
      <c r="J69" s="39" t="s">
        <v>934</v>
      </c>
      <c r="K69" s="39" t="s">
        <v>935</v>
      </c>
    </row>
    <row r="70" spans="1:11" s="3" customFormat="1" ht="16.350000000000001" customHeight="1" x14ac:dyDescent="0.2">
      <c r="A70" s="39" t="s">
        <v>686</v>
      </c>
      <c r="B70" s="39" t="s">
        <v>551</v>
      </c>
      <c r="C70" s="39" t="s">
        <v>542</v>
      </c>
      <c r="D70" s="39"/>
      <c r="E70" s="39" t="s">
        <v>929</v>
      </c>
      <c r="F70" s="39" t="s">
        <v>688</v>
      </c>
      <c r="G70" s="39" t="s">
        <v>975</v>
      </c>
      <c r="H70" s="39" t="s">
        <v>976</v>
      </c>
      <c r="I70" s="39" t="s">
        <v>691</v>
      </c>
      <c r="J70" s="39" t="s">
        <v>976</v>
      </c>
      <c r="K70" s="39" t="s">
        <v>977</v>
      </c>
    </row>
    <row r="71" spans="1:11" s="3" customFormat="1" ht="16.350000000000001" customHeight="1" x14ac:dyDescent="0.2">
      <c r="A71" s="39" t="s">
        <v>686</v>
      </c>
      <c r="B71" s="39" t="s">
        <v>401</v>
      </c>
      <c r="C71" s="39" t="s">
        <v>461</v>
      </c>
      <c r="D71" s="39"/>
      <c r="E71" s="39" t="s">
        <v>1068</v>
      </c>
      <c r="F71" s="39" t="s">
        <v>688</v>
      </c>
      <c r="G71" s="39" t="s">
        <v>1514</v>
      </c>
      <c r="H71" s="39" t="s">
        <v>1515</v>
      </c>
      <c r="I71" s="39" t="s">
        <v>691</v>
      </c>
      <c r="J71" s="39" t="s">
        <v>1515</v>
      </c>
      <c r="K71" s="39" t="s">
        <v>1516</v>
      </c>
    </row>
    <row r="72" spans="1:11" s="3" customFormat="1" ht="16.350000000000001" customHeight="1" x14ac:dyDescent="0.2">
      <c r="A72" s="39" t="s">
        <v>686</v>
      </c>
      <c r="B72" s="39" t="s">
        <v>221</v>
      </c>
      <c r="C72" s="39" t="s">
        <v>170</v>
      </c>
      <c r="D72" s="39"/>
      <c r="E72" s="39" t="s">
        <v>1068</v>
      </c>
      <c r="F72" s="39" t="s">
        <v>688</v>
      </c>
      <c r="G72" s="39" t="s">
        <v>1572</v>
      </c>
      <c r="H72" s="39" t="s">
        <v>1573</v>
      </c>
      <c r="I72" s="39" t="s">
        <v>817</v>
      </c>
      <c r="J72" s="39" t="s">
        <v>1573</v>
      </c>
      <c r="K72" s="39" t="s">
        <v>1574</v>
      </c>
    </row>
    <row r="73" spans="1:11" s="3" customFormat="1" ht="16.350000000000001" customHeight="1" x14ac:dyDescent="0.2">
      <c r="A73" s="39" t="s">
        <v>686</v>
      </c>
      <c r="B73" s="39" t="s">
        <v>507</v>
      </c>
      <c r="C73" s="39" t="s">
        <v>472</v>
      </c>
      <c r="D73" s="39"/>
      <c r="E73" s="39" t="s">
        <v>871</v>
      </c>
      <c r="F73" s="39" t="s">
        <v>688</v>
      </c>
      <c r="G73" s="39" t="s">
        <v>1021</v>
      </c>
      <c r="H73" s="39" t="s">
        <v>1022</v>
      </c>
      <c r="I73" s="39" t="s">
        <v>817</v>
      </c>
      <c r="J73" s="39" t="s">
        <v>1022</v>
      </c>
      <c r="K73" s="39" t="s">
        <v>1023</v>
      </c>
    </row>
    <row r="74" spans="1:11" s="3" customFormat="1" ht="16.350000000000001" customHeight="1" x14ac:dyDescent="0.2">
      <c r="A74" s="39" t="s">
        <v>686</v>
      </c>
      <c r="B74" s="39" t="s">
        <v>327</v>
      </c>
      <c r="C74" s="39" t="s">
        <v>384</v>
      </c>
      <c r="D74" s="39"/>
      <c r="E74" s="39" t="s">
        <v>1064</v>
      </c>
      <c r="F74" s="39" t="s">
        <v>688</v>
      </c>
      <c r="G74" s="39" t="s">
        <v>1065</v>
      </c>
      <c r="H74" s="39" t="s">
        <v>1066</v>
      </c>
      <c r="I74" s="39" t="s">
        <v>691</v>
      </c>
      <c r="J74" s="39" t="s">
        <v>1066</v>
      </c>
      <c r="K74" s="39" t="s">
        <v>1067</v>
      </c>
    </row>
    <row r="75" spans="1:11" s="3" customFormat="1" ht="16.350000000000001" customHeight="1" x14ac:dyDescent="0.2">
      <c r="A75" s="39" t="s">
        <v>686</v>
      </c>
      <c r="B75" s="39" t="s">
        <v>257</v>
      </c>
      <c r="C75" s="39" t="s">
        <v>248</v>
      </c>
      <c r="D75" s="39"/>
      <c r="E75" s="39" t="s">
        <v>875</v>
      </c>
      <c r="F75" s="39" t="s">
        <v>688</v>
      </c>
      <c r="G75" s="39" t="s">
        <v>1579</v>
      </c>
      <c r="H75" s="39" t="s">
        <v>1580</v>
      </c>
      <c r="I75" s="39" t="s">
        <v>691</v>
      </c>
      <c r="J75" s="39" t="s">
        <v>1580</v>
      </c>
      <c r="K75" s="39" t="s">
        <v>1581</v>
      </c>
    </row>
    <row r="76" spans="1:11" s="3" customFormat="1" ht="16.350000000000001" customHeight="1" x14ac:dyDescent="0.2">
      <c r="A76" s="39" t="s">
        <v>686</v>
      </c>
      <c r="B76" s="39" t="s">
        <v>316</v>
      </c>
      <c r="C76" s="39" t="s">
        <v>296</v>
      </c>
      <c r="D76" s="39"/>
      <c r="E76" s="39" t="s">
        <v>727</v>
      </c>
      <c r="F76" s="39" t="s">
        <v>688</v>
      </c>
      <c r="G76" s="39" t="s">
        <v>1601</v>
      </c>
      <c r="H76" s="39" t="s">
        <v>1252</v>
      </c>
      <c r="I76" s="39" t="s">
        <v>691</v>
      </c>
      <c r="J76" s="39" t="s">
        <v>1252</v>
      </c>
      <c r="K76" s="39" t="s">
        <v>1602</v>
      </c>
    </row>
    <row r="77" spans="1:11" s="3" customFormat="1" ht="16.350000000000001" customHeight="1" x14ac:dyDescent="0.2">
      <c r="A77" s="39" t="s">
        <v>686</v>
      </c>
      <c r="B77" s="39" t="s">
        <v>122</v>
      </c>
      <c r="C77" s="39" t="s">
        <v>138</v>
      </c>
      <c r="D77" s="39"/>
      <c r="E77" s="39" t="s">
        <v>994</v>
      </c>
      <c r="F77" s="39" t="s">
        <v>688</v>
      </c>
      <c r="G77" s="39" t="s">
        <v>1592</v>
      </c>
      <c r="H77" s="39" t="s">
        <v>1593</v>
      </c>
      <c r="I77" s="39" t="s">
        <v>691</v>
      </c>
      <c r="J77" s="39" t="s">
        <v>1593</v>
      </c>
      <c r="K77" s="39" t="s">
        <v>1594</v>
      </c>
    </row>
    <row r="78" spans="1:11" s="3" customFormat="1" ht="16.350000000000001" customHeight="1" x14ac:dyDescent="0.2">
      <c r="A78" s="39" t="s">
        <v>686</v>
      </c>
      <c r="B78" s="39" t="s">
        <v>471</v>
      </c>
      <c r="C78" s="39" t="s">
        <v>483</v>
      </c>
      <c r="D78" s="39"/>
      <c r="E78" s="39" t="s">
        <v>867</v>
      </c>
      <c r="F78" s="39" t="s">
        <v>688</v>
      </c>
      <c r="G78" s="39" t="s">
        <v>1232</v>
      </c>
      <c r="H78" s="39" t="s">
        <v>1233</v>
      </c>
      <c r="I78" s="39" t="s">
        <v>691</v>
      </c>
      <c r="J78" s="39" t="s">
        <v>1233</v>
      </c>
      <c r="K78" s="39" t="s">
        <v>1234</v>
      </c>
    </row>
    <row r="79" spans="1:11" s="3" customFormat="1" ht="16.350000000000001" customHeight="1" x14ac:dyDescent="0.2">
      <c r="A79" s="39" t="s">
        <v>686</v>
      </c>
      <c r="B79" s="39" t="s">
        <v>639</v>
      </c>
      <c r="C79" s="39" t="s">
        <v>630</v>
      </c>
      <c r="D79" s="39" t="s">
        <v>2041</v>
      </c>
      <c r="E79" s="39" t="s">
        <v>727</v>
      </c>
      <c r="F79" s="39" t="s">
        <v>688</v>
      </c>
      <c r="G79" s="39" t="s">
        <v>1554</v>
      </c>
      <c r="H79" s="39" t="s">
        <v>1555</v>
      </c>
      <c r="I79" s="39" t="s">
        <v>691</v>
      </c>
      <c r="J79" s="39" t="s">
        <v>1555</v>
      </c>
      <c r="K79" s="39" t="s">
        <v>1556</v>
      </c>
    </row>
    <row r="80" spans="1:11" s="3" customFormat="1" ht="16.350000000000001" customHeight="1" x14ac:dyDescent="0.2">
      <c r="A80" s="39" t="s">
        <v>686</v>
      </c>
      <c r="B80" s="39" t="s">
        <v>482</v>
      </c>
      <c r="C80" s="39" t="s">
        <v>498</v>
      </c>
      <c r="D80" s="39"/>
      <c r="E80" s="39" t="s">
        <v>871</v>
      </c>
      <c r="F80" s="39" t="s">
        <v>688</v>
      </c>
      <c r="G80" s="39" t="s">
        <v>1252</v>
      </c>
      <c r="H80" s="39" t="s">
        <v>1253</v>
      </c>
      <c r="I80" s="39" t="s">
        <v>817</v>
      </c>
      <c r="J80" s="39" t="s">
        <v>1253</v>
      </c>
      <c r="K80" s="39" t="s">
        <v>1254</v>
      </c>
    </row>
    <row r="81" spans="1:11" s="3" customFormat="1" ht="16.350000000000001" customHeight="1" x14ac:dyDescent="0.2">
      <c r="A81" s="39" t="s">
        <v>686</v>
      </c>
      <c r="B81" s="39" t="s">
        <v>592</v>
      </c>
      <c r="C81" s="39" t="s">
        <v>564</v>
      </c>
      <c r="D81" s="39"/>
      <c r="E81" s="39" t="s">
        <v>990</v>
      </c>
      <c r="F81" s="39" t="s">
        <v>688</v>
      </c>
      <c r="G81" s="39" t="s">
        <v>1611</v>
      </c>
      <c r="H81" s="39" t="s">
        <v>1612</v>
      </c>
      <c r="I81" s="39" t="s">
        <v>691</v>
      </c>
      <c r="J81" s="39" t="s">
        <v>1613</v>
      </c>
      <c r="K81" s="39" t="s">
        <v>1614</v>
      </c>
    </row>
    <row r="82" spans="1:11" s="3" customFormat="1" ht="16.350000000000001" customHeight="1" x14ac:dyDescent="0.2">
      <c r="A82" s="39" t="s">
        <v>686</v>
      </c>
      <c r="B82" s="39" t="s">
        <v>661</v>
      </c>
      <c r="C82" s="39" t="s">
        <v>652</v>
      </c>
      <c r="D82" s="39"/>
      <c r="E82" s="39" t="s">
        <v>1176</v>
      </c>
      <c r="F82" s="39" t="s">
        <v>688</v>
      </c>
      <c r="G82" s="39" t="s">
        <v>1621</v>
      </c>
      <c r="H82" s="39" t="s">
        <v>1622</v>
      </c>
      <c r="I82" s="39" t="s">
        <v>691</v>
      </c>
      <c r="J82" s="39" t="s">
        <v>1622</v>
      </c>
      <c r="K82" s="39" t="s">
        <v>1623</v>
      </c>
    </row>
    <row r="83" spans="1:11" s="3" customFormat="1" ht="16.350000000000001" customHeight="1" x14ac:dyDescent="0.2">
      <c r="A83" s="39" t="s">
        <v>686</v>
      </c>
      <c r="B83" s="39" t="s">
        <v>210</v>
      </c>
      <c r="C83" s="39" t="s">
        <v>204</v>
      </c>
      <c r="D83" s="39"/>
      <c r="E83" s="39" t="s">
        <v>990</v>
      </c>
      <c r="F83" s="39" t="s">
        <v>688</v>
      </c>
      <c r="G83" s="39" t="s">
        <v>1523</v>
      </c>
      <c r="H83" s="39" t="s">
        <v>1631</v>
      </c>
      <c r="I83" s="39" t="s">
        <v>691</v>
      </c>
      <c r="J83" s="39" t="s">
        <v>1631</v>
      </c>
      <c r="K83" s="39" t="s">
        <v>1632</v>
      </c>
    </row>
    <row r="84" spans="1:11" s="3" customFormat="1" ht="16.350000000000001" customHeight="1" x14ac:dyDescent="0.2">
      <c r="A84" s="39" t="s">
        <v>686</v>
      </c>
      <c r="B84" s="39" t="s">
        <v>232</v>
      </c>
      <c r="C84" s="39" t="s">
        <v>226</v>
      </c>
      <c r="D84" s="39"/>
      <c r="E84" s="39" t="s">
        <v>811</v>
      </c>
      <c r="F84" s="39" t="s">
        <v>688</v>
      </c>
      <c r="G84" s="39" t="s">
        <v>1639</v>
      </c>
      <c r="H84" s="39" t="s">
        <v>1640</v>
      </c>
      <c r="I84" s="39" t="s">
        <v>691</v>
      </c>
      <c r="J84" s="39" t="s">
        <v>1640</v>
      </c>
      <c r="K84" s="39" t="s">
        <v>1641</v>
      </c>
    </row>
    <row r="85" spans="1:11" s="3" customFormat="1" ht="16.350000000000001" customHeight="1" x14ac:dyDescent="0.2">
      <c r="A85" s="39" t="s">
        <v>686</v>
      </c>
      <c r="B85" s="39" t="s">
        <v>272</v>
      </c>
      <c r="C85" s="39" t="s">
        <v>259</v>
      </c>
      <c r="D85" s="39"/>
      <c r="E85" s="39" t="s">
        <v>915</v>
      </c>
      <c r="F85" s="39" t="s">
        <v>688</v>
      </c>
      <c r="G85" s="39" t="s">
        <v>916</v>
      </c>
      <c r="H85" s="39" t="s">
        <v>917</v>
      </c>
      <c r="I85" s="39" t="s">
        <v>691</v>
      </c>
      <c r="J85" s="39" t="s">
        <v>918</v>
      </c>
      <c r="K85" s="39" t="s">
        <v>919</v>
      </c>
    </row>
    <row r="86" spans="1:11" s="3" customFormat="1" ht="16.350000000000001" customHeight="1" x14ac:dyDescent="0.2">
      <c r="A86" s="39" t="s">
        <v>686</v>
      </c>
      <c r="B86" s="39" t="s">
        <v>456</v>
      </c>
      <c r="C86" s="39" t="s">
        <v>450</v>
      </c>
      <c r="D86" s="39"/>
      <c r="E86" s="39" t="s">
        <v>1517</v>
      </c>
      <c r="F86" s="39" t="s">
        <v>688</v>
      </c>
      <c r="G86" s="39" t="s">
        <v>1647</v>
      </c>
      <c r="H86" s="39" t="s">
        <v>1648</v>
      </c>
      <c r="I86" s="39" t="s">
        <v>691</v>
      </c>
      <c r="J86" s="39" t="s">
        <v>1648</v>
      </c>
      <c r="K86" s="39" t="s">
        <v>1649</v>
      </c>
    </row>
    <row r="87" spans="1:11" s="3" customFormat="1" ht="16.350000000000001" customHeight="1" x14ac:dyDescent="0.2">
      <c r="A87" s="39" t="s">
        <v>686</v>
      </c>
      <c r="B87" s="39" t="s">
        <v>92</v>
      </c>
      <c r="C87" s="39" t="s">
        <v>104</v>
      </c>
      <c r="D87" s="39"/>
      <c r="E87" s="39" t="s">
        <v>723</v>
      </c>
      <c r="F87" s="39" t="s">
        <v>688</v>
      </c>
      <c r="G87" s="39" t="s">
        <v>2043</v>
      </c>
      <c r="H87" s="39" t="s">
        <v>1044</v>
      </c>
      <c r="I87" s="39" t="s">
        <v>691</v>
      </c>
      <c r="J87" s="39" t="s">
        <v>1044</v>
      </c>
      <c r="K87" s="39" t="s">
        <v>1045</v>
      </c>
    </row>
    <row r="88" spans="1:11" s="3" customFormat="1" ht="16.350000000000001" customHeight="1" x14ac:dyDescent="0.2">
      <c r="A88" s="39" t="s">
        <v>686</v>
      </c>
      <c r="B88" s="39" t="s">
        <v>110</v>
      </c>
      <c r="C88" s="39" t="s">
        <v>127</v>
      </c>
      <c r="D88" s="39"/>
      <c r="E88" s="39" t="s">
        <v>723</v>
      </c>
      <c r="F88" s="39" t="s">
        <v>688</v>
      </c>
      <c r="G88" s="39" t="s">
        <v>1665</v>
      </c>
      <c r="H88" s="39" t="s">
        <v>1666</v>
      </c>
      <c r="I88" s="39" t="s">
        <v>691</v>
      </c>
      <c r="J88" s="39" t="s">
        <v>1666</v>
      </c>
      <c r="K88" s="39" t="s">
        <v>1667</v>
      </c>
    </row>
    <row r="89" spans="1:11" s="3" customFormat="1" ht="16.350000000000001" customHeight="1" x14ac:dyDescent="0.2">
      <c r="A89" s="39" t="s">
        <v>686</v>
      </c>
      <c r="B89" s="39" t="s">
        <v>177</v>
      </c>
      <c r="C89" s="39" t="s">
        <v>215</v>
      </c>
      <c r="D89" s="39"/>
      <c r="E89" s="39" t="s">
        <v>811</v>
      </c>
      <c r="F89" s="39" t="s">
        <v>688</v>
      </c>
      <c r="G89" s="39" t="s">
        <v>1674</v>
      </c>
      <c r="H89" s="39" t="s">
        <v>1675</v>
      </c>
      <c r="I89" s="39" t="s">
        <v>691</v>
      </c>
      <c r="J89" s="39" t="s">
        <v>1675</v>
      </c>
      <c r="K89" s="39" t="s">
        <v>1676</v>
      </c>
    </row>
    <row r="90" spans="1:11" s="3" customFormat="1" ht="16.350000000000001" customHeight="1" x14ac:dyDescent="0.2">
      <c r="A90" s="39" t="s">
        <v>686</v>
      </c>
      <c r="B90" s="39" t="s">
        <v>519</v>
      </c>
      <c r="C90" s="39" t="s">
        <v>531</v>
      </c>
      <c r="D90" s="39"/>
      <c r="E90" s="39" t="s">
        <v>929</v>
      </c>
      <c r="F90" s="39" t="s">
        <v>688</v>
      </c>
      <c r="G90" s="39" t="s">
        <v>1126</v>
      </c>
      <c r="H90" s="39" t="s">
        <v>1127</v>
      </c>
      <c r="I90" s="39" t="s">
        <v>691</v>
      </c>
      <c r="J90" s="39" t="s">
        <v>1127</v>
      </c>
      <c r="K90" s="39" t="s">
        <v>1128</v>
      </c>
    </row>
    <row r="91" spans="1:11" s="3" customFormat="1" ht="16.350000000000001" customHeight="1" x14ac:dyDescent="0.2">
      <c r="A91" s="39" t="s">
        <v>686</v>
      </c>
      <c r="B91" s="39" t="s">
        <v>338</v>
      </c>
      <c r="C91" s="39" t="s">
        <v>351</v>
      </c>
      <c r="D91" s="39" t="s">
        <v>2041</v>
      </c>
      <c r="E91" s="39" t="s">
        <v>1111</v>
      </c>
      <c r="F91" s="39" t="s">
        <v>948</v>
      </c>
      <c r="G91" s="39" t="s">
        <v>1682</v>
      </c>
      <c r="H91" s="39" t="s">
        <v>1683</v>
      </c>
      <c r="I91" s="39" t="s">
        <v>691</v>
      </c>
      <c r="J91" s="39" t="s">
        <v>1684</v>
      </c>
      <c r="K91" s="39" t="s">
        <v>1685</v>
      </c>
    </row>
    <row r="92" spans="1:11" s="3" customFormat="1" ht="16.350000000000001" customHeight="1" x14ac:dyDescent="0.2">
      <c r="A92" s="39" t="s">
        <v>686</v>
      </c>
      <c r="B92" s="39" t="s">
        <v>382</v>
      </c>
      <c r="C92" s="39" t="s">
        <v>395</v>
      </c>
      <c r="D92" s="39"/>
      <c r="E92" s="39" t="s">
        <v>1068</v>
      </c>
      <c r="F92" s="39" t="s">
        <v>688</v>
      </c>
      <c r="G92" s="39" t="s">
        <v>1653</v>
      </c>
      <c r="H92" s="39" t="s">
        <v>1654</v>
      </c>
      <c r="I92" s="39" t="s">
        <v>691</v>
      </c>
      <c r="J92" s="39" t="s">
        <v>1655</v>
      </c>
      <c r="K92" s="39" t="s">
        <v>1656</v>
      </c>
    </row>
    <row r="93" spans="1:11" s="3" customFormat="1" ht="16.350000000000001" customHeight="1" x14ac:dyDescent="0.2">
      <c r="A93" s="39" t="s">
        <v>686</v>
      </c>
      <c r="B93" s="39" t="s">
        <v>155</v>
      </c>
      <c r="C93" s="39" t="s">
        <v>237</v>
      </c>
      <c r="D93" s="39"/>
      <c r="E93" s="39" t="s">
        <v>1068</v>
      </c>
      <c r="F93" s="39" t="s">
        <v>688</v>
      </c>
      <c r="G93" s="39" t="s">
        <v>1693</v>
      </c>
      <c r="H93" s="39" t="s">
        <v>1694</v>
      </c>
      <c r="I93" s="39" t="s">
        <v>817</v>
      </c>
      <c r="J93" s="39" t="s">
        <v>1695</v>
      </c>
      <c r="K93" s="39" t="s">
        <v>763</v>
      </c>
    </row>
    <row r="94" spans="1:11" s="3" customFormat="1" ht="16.350000000000001" customHeight="1" x14ac:dyDescent="0.2">
      <c r="A94" s="39" t="s">
        <v>686</v>
      </c>
      <c r="B94" s="39" t="s">
        <v>541</v>
      </c>
      <c r="C94" s="39" t="s">
        <v>553</v>
      </c>
      <c r="D94" s="39"/>
      <c r="E94" s="39" t="s">
        <v>971</v>
      </c>
      <c r="F94" s="39" t="s">
        <v>688</v>
      </c>
      <c r="G94" s="39" t="s">
        <v>1144</v>
      </c>
      <c r="H94" s="39" t="s">
        <v>1145</v>
      </c>
      <c r="I94" s="39" t="s">
        <v>691</v>
      </c>
      <c r="J94" s="39" t="s">
        <v>1145</v>
      </c>
      <c r="K94" s="39" t="s">
        <v>1146</v>
      </c>
    </row>
    <row r="95" spans="1:11" s="3" customFormat="1" ht="16.350000000000001" customHeight="1" x14ac:dyDescent="0.2">
      <c r="A95" s="39" t="s">
        <v>686</v>
      </c>
      <c r="B95" s="39" t="s">
        <v>574</v>
      </c>
      <c r="C95" s="39" t="s">
        <v>586</v>
      </c>
      <c r="D95" s="39"/>
      <c r="E95" s="39" t="s">
        <v>990</v>
      </c>
      <c r="F95" s="39" t="s">
        <v>688</v>
      </c>
      <c r="G95" s="39" t="s">
        <v>1101</v>
      </c>
      <c r="H95" s="39" t="s">
        <v>1102</v>
      </c>
      <c r="I95" s="39" t="s">
        <v>691</v>
      </c>
      <c r="J95" s="39" t="s">
        <v>1102</v>
      </c>
      <c r="K95" s="39" t="s">
        <v>1103</v>
      </c>
    </row>
    <row r="96" spans="1:11" s="3" customFormat="1" ht="16.350000000000001" customHeight="1" x14ac:dyDescent="0.2">
      <c r="A96" s="39" t="s">
        <v>686</v>
      </c>
      <c r="B96" s="39" t="s">
        <v>284</v>
      </c>
      <c r="C96" s="39" t="s">
        <v>274</v>
      </c>
      <c r="D96" s="39"/>
      <c r="E96" s="39" t="s">
        <v>875</v>
      </c>
      <c r="F96" s="39" t="s">
        <v>688</v>
      </c>
      <c r="G96" s="39" t="s">
        <v>1005</v>
      </c>
      <c r="H96" s="39" t="s">
        <v>1006</v>
      </c>
      <c r="I96" s="39" t="s">
        <v>691</v>
      </c>
      <c r="J96" s="39" t="s">
        <v>1006</v>
      </c>
      <c r="K96" s="39" t="s">
        <v>1007</v>
      </c>
    </row>
    <row r="97" spans="1:11" s="3" customFormat="1" ht="16.350000000000001" customHeight="1" x14ac:dyDescent="0.2">
      <c r="A97" s="39" t="s">
        <v>686</v>
      </c>
      <c r="B97" s="39" t="s">
        <v>497</v>
      </c>
      <c r="C97" s="39" t="s">
        <v>509</v>
      </c>
      <c r="D97" s="39"/>
      <c r="E97" s="39" t="s">
        <v>875</v>
      </c>
      <c r="F97" s="39" t="s">
        <v>688</v>
      </c>
      <c r="G97" s="39" t="s">
        <v>876</v>
      </c>
      <c r="H97" s="39" t="s">
        <v>877</v>
      </c>
      <c r="I97" s="39" t="s">
        <v>691</v>
      </c>
      <c r="J97" s="39" t="s">
        <v>877</v>
      </c>
      <c r="K97" s="39" t="s">
        <v>878</v>
      </c>
    </row>
    <row r="98" spans="1:11" s="3" customFormat="1" ht="16.350000000000001" customHeight="1" x14ac:dyDescent="0.2">
      <c r="A98" s="39" t="s">
        <v>686</v>
      </c>
      <c r="B98" s="39" t="s">
        <v>147</v>
      </c>
      <c r="C98" s="39" t="s">
        <v>116</v>
      </c>
      <c r="D98" s="39"/>
      <c r="E98" s="39" t="s">
        <v>994</v>
      </c>
      <c r="F98" s="39" t="s">
        <v>688</v>
      </c>
      <c r="G98" s="39" t="s">
        <v>1702</v>
      </c>
      <c r="H98" s="39" t="s">
        <v>1703</v>
      </c>
      <c r="I98" s="39" t="s">
        <v>691</v>
      </c>
      <c r="J98" s="39" t="s">
        <v>1703</v>
      </c>
      <c r="K98" s="39" t="s">
        <v>1704</v>
      </c>
    </row>
    <row r="99" spans="1:11" s="3" customFormat="1" ht="16.350000000000001" customHeight="1" x14ac:dyDescent="0.2">
      <c r="A99" s="39" t="s">
        <v>686</v>
      </c>
      <c r="B99" s="39" t="s">
        <v>393</v>
      </c>
      <c r="C99" s="39" t="s">
        <v>318</v>
      </c>
      <c r="D99" s="39"/>
      <c r="E99" s="39" t="s">
        <v>1064</v>
      </c>
      <c r="F99" s="39" t="s">
        <v>688</v>
      </c>
      <c r="G99" s="39" t="s">
        <v>1722</v>
      </c>
      <c r="H99" s="39" t="s">
        <v>1723</v>
      </c>
      <c r="I99" s="39" t="s">
        <v>691</v>
      </c>
      <c r="J99" s="39" t="s">
        <v>1724</v>
      </c>
      <c r="K99" s="39" t="s">
        <v>1725</v>
      </c>
    </row>
    <row r="100" spans="1:11" s="3" customFormat="1" ht="16.350000000000001" customHeight="1" x14ac:dyDescent="0.2">
      <c r="A100" s="39" t="s">
        <v>686</v>
      </c>
      <c r="B100" s="39" t="s">
        <v>306</v>
      </c>
      <c r="C100" s="39" t="s">
        <v>329</v>
      </c>
      <c r="D100" s="39"/>
      <c r="E100" s="39" t="s">
        <v>727</v>
      </c>
      <c r="F100" s="39" t="s">
        <v>688</v>
      </c>
      <c r="G100" s="39" t="s">
        <v>1083</v>
      </c>
      <c r="H100" s="39" t="s">
        <v>1084</v>
      </c>
      <c r="I100" s="39" t="s">
        <v>691</v>
      </c>
      <c r="J100" s="39" t="s">
        <v>1084</v>
      </c>
      <c r="K100" s="39" t="s">
        <v>1085</v>
      </c>
    </row>
    <row r="101" spans="1:11" s="3" customFormat="1" ht="16.350000000000001" customHeight="1" x14ac:dyDescent="0.2">
      <c r="A101" s="39" t="s">
        <v>686</v>
      </c>
      <c r="B101" s="39" t="s">
        <v>628</v>
      </c>
      <c r="C101" s="39" t="s">
        <v>642</v>
      </c>
      <c r="D101" s="39"/>
      <c r="E101" s="39" t="s">
        <v>1176</v>
      </c>
      <c r="F101" s="39" t="s">
        <v>688</v>
      </c>
      <c r="G101" s="39" t="s">
        <v>1753</v>
      </c>
      <c r="H101" s="39" t="s">
        <v>1754</v>
      </c>
      <c r="I101" s="39" t="s">
        <v>691</v>
      </c>
      <c r="J101" s="39" t="s">
        <v>1754</v>
      </c>
      <c r="K101" s="39" t="s">
        <v>1755</v>
      </c>
    </row>
    <row r="102" spans="1:11" s="3" customFormat="1" ht="16.350000000000001" customHeight="1" x14ac:dyDescent="0.2">
      <c r="A102" s="39" t="s">
        <v>686</v>
      </c>
      <c r="B102" s="39" t="s">
        <v>188</v>
      </c>
      <c r="C102" s="39" t="s">
        <v>182</v>
      </c>
      <c r="D102" s="39"/>
      <c r="E102" s="39" t="s">
        <v>990</v>
      </c>
      <c r="F102" s="39" t="s">
        <v>688</v>
      </c>
      <c r="G102" s="39" t="s">
        <v>1767</v>
      </c>
      <c r="H102" s="39" t="s">
        <v>1768</v>
      </c>
      <c r="I102" s="39" t="s">
        <v>691</v>
      </c>
      <c r="J102" s="39" t="s">
        <v>1768</v>
      </c>
      <c r="K102" s="39" t="s">
        <v>1769</v>
      </c>
    </row>
    <row r="103" spans="1:11" s="3" customFormat="1" ht="16.350000000000001" customHeight="1" x14ac:dyDescent="0.2">
      <c r="A103" s="39" t="s">
        <v>686</v>
      </c>
      <c r="B103" s="39" t="s">
        <v>247</v>
      </c>
      <c r="C103" s="39" t="s">
        <v>286</v>
      </c>
      <c r="D103" s="39"/>
      <c r="E103" s="39" t="s">
        <v>915</v>
      </c>
      <c r="F103" s="39" t="s">
        <v>688</v>
      </c>
      <c r="G103" s="39" t="s">
        <v>1186</v>
      </c>
      <c r="H103" s="39" t="s">
        <v>1187</v>
      </c>
      <c r="I103" s="39" t="s">
        <v>691</v>
      </c>
      <c r="J103" s="39" t="s">
        <v>1187</v>
      </c>
      <c r="K103" s="39" t="s">
        <v>1188</v>
      </c>
    </row>
    <row r="104" spans="1:11" s="3" customFormat="1" ht="16.350000000000001" customHeight="1" x14ac:dyDescent="0.2">
      <c r="A104" s="39" t="s">
        <v>686</v>
      </c>
      <c r="B104" s="39" t="s">
        <v>650</v>
      </c>
      <c r="C104" s="39" t="s">
        <v>664</v>
      </c>
      <c r="D104" s="39"/>
      <c r="E104" s="39" t="s">
        <v>723</v>
      </c>
      <c r="F104" s="39" t="s">
        <v>688</v>
      </c>
      <c r="G104" s="39" t="s">
        <v>1711</v>
      </c>
      <c r="H104" s="39" t="s">
        <v>1712</v>
      </c>
      <c r="I104" s="39" t="s">
        <v>691</v>
      </c>
      <c r="J104" s="39" t="s">
        <v>1713</v>
      </c>
      <c r="K104" s="39" t="s">
        <v>1714</v>
      </c>
    </row>
    <row r="105" spans="1:11" s="3" customFormat="1" ht="16.350000000000001" customHeight="1" x14ac:dyDescent="0.2">
      <c r="A105" s="39" t="s">
        <v>686</v>
      </c>
      <c r="B105" s="39" t="s">
        <v>166</v>
      </c>
      <c r="C105" s="39" t="s">
        <v>160</v>
      </c>
      <c r="D105" s="39"/>
      <c r="E105" s="39" t="s">
        <v>811</v>
      </c>
      <c r="F105" s="39" t="s">
        <v>688</v>
      </c>
      <c r="G105" s="39" t="s">
        <v>1656</v>
      </c>
      <c r="H105" s="39" t="s">
        <v>1784</v>
      </c>
      <c r="I105" s="39" t="s">
        <v>691</v>
      </c>
      <c r="J105" s="39" t="s">
        <v>1784</v>
      </c>
      <c r="K105" s="39" t="s">
        <v>1785</v>
      </c>
    </row>
    <row r="106" spans="1:11" s="3" customFormat="1" ht="16.350000000000001" customHeight="1" x14ac:dyDescent="0.2">
      <c r="A106" s="39" t="s">
        <v>686</v>
      </c>
      <c r="B106" s="39" t="s">
        <v>428</v>
      </c>
      <c r="C106" s="39" t="s">
        <v>440</v>
      </c>
      <c r="D106" s="39"/>
      <c r="E106" s="39" t="s">
        <v>687</v>
      </c>
      <c r="F106" s="39" t="s">
        <v>688</v>
      </c>
      <c r="G106" s="39" t="s">
        <v>763</v>
      </c>
      <c r="H106" s="39" t="s">
        <v>764</v>
      </c>
      <c r="I106" s="39" t="s">
        <v>691</v>
      </c>
      <c r="J106" s="39" t="s">
        <v>765</v>
      </c>
      <c r="K106" s="39" t="s">
        <v>766</v>
      </c>
    </row>
    <row r="107" spans="1:11" s="3" customFormat="1" ht="16.350000000000001" customHeight="1" x14ac:dyDescent="0.2">
      <c r="A107" s="39" t="s">
        <v>686</v>
      </c>
      <c r="B107" s="39" t="s">
        <v>439</v>
      </c>
      <c r="C107" s="39" t="s">
        <v>429</v>
      </c>
      <c r="D107" s="39"/>
      <c r="E107" s="39" t="s">
        <v>694</v>
      </c>
      <c r="F107" s="39" t="s">
        <v>688</v>
      </c>
      <c r="G107" s="39" t="s">
        <v>702</v>
      </c>
      <c r="H107" s="39" t="s">
        <v>703</v>
      </c>
      <c r="I107" s="39" t="s">
        <v>691</v>
      </c>
      <c r="J107" s="39" t="s">
        <v>703</v>
      </c>
      <c r="K107" s="39" t="s">
        <v>704</v>
      </c>
    </row>
    <row r="108" spans="1:11" s="3" customFormat="1" ht="16.350000000000001" customHeight="1" x14ac:dyDescent="0.2">
      <c r="A108" s="39" t="s">
        <v>686</v>
      </c>
      <c r="B108" s="39" t="s">
        <v>445</v>
      </c>
      <c r="C108" s="39" t="s">
        <v>418</v>
      </c>
      <c r="D108" s="39"/>
      <c r="E108" s="39" t="s">
        <v>1068</v>
      </c>
      <c r="F108" s="39" t="s">
        <v>688</v>
      </c>
      <c r="G108" s="39" t="s">
        <v>1753</v>
      </c>
      <c r="H108" s="39" t="s">
        <v>1762</v>
      </c>
      <c r="I108" s="39" t="s">
        <v>691</v>
      </c>
      <c r="J108" s="39" t="s">
        <v>1762</v>
      </c>
      <c r="K108" s="39" t="s">
        <v>1763</v>
      </c>
    </row>
    <row r="109" spans="1:11" s="3" customFormat="1" ht="16.350000000000001" customHeight="1" x14ac:dyDescent="0.2">
      <c r="A109" s="39" t="s">
        <v>686</v>
      </c>
      <c r="B109" s="39" t="s">
        <v>295</v>
      </c>
      <c r="C109" s="39" t="s">
        <v>308</v>
      </c>
      <c r="D109" s="39"/>
      <c r="E109" s="39" t="s">
        <v>1080</v>
      </c>
      <c r="F109" s="39" t="s">
        <v>688</v>
      </c>
      <c r="G109" s="39" t="s">
        <v>1201</v>
      </c>
      <c r="H109" s="39" t="s">
        <v>1202</v>
      </c>
      <c r="I109" s="39" t="s">
        <v>691</v>
      </c>
      <c r="J109" s="39" t="s">
        <v>1202</v>
      </c>
      <c r="K109" s="39" t="s">
        <v>736</v>
      </c>
    </row>
    <row r="110" spans="1:11" s="3" customFormat="1" ht="16.350000000000001" customHeight="1" x14ac:dyDescent="0.2">
      <c r="A110" s="39" t="s">
        <v>686</v>
      </c>
      <c r="B110" s="39" t="s">
        <v>372</v>
      </c>
      <c r="C110" s="39" t="s">
        <v>363</v>
      </c>
      <c r="D110" s="39"/>
      <c r="E110" s="39" t="s">
        <v>1107</v>
      </c>
      <c r="F110" s="39" t="s">
        <v>688</v>
      </c>
      <c r="G110" s="39" t="s">
        <v>1163</v>
      </c>
      <c r="H110" s="39" t="s">
        <v>1164</v>
      </c>
      <c r="I110" s="39" t="s">
        <v>691</v>
      </c>
      <c r="J110" s="39" t="s">
        <v>1164</v>
      </c>
      <c r="K110" s="39" t="s">
        <v>1165</v>
      </c>
    </row>
    <row r="111" spans="1:11" s="3" customFormat="1" ht="16.350000000000001" customHeight="1" x14ac:dyDescent="0.2">
      <c r="A111" s="39" t="s">
        <v>686</v>
      </c>
      <c r="B111" s="39" t="s">
        <v>349</v>
      </c>
      <c r="C111" s="39" t="s">
        <v>341</v>
      </c>
      <c r="D111" s="39"/>
      <c r="E111" s="39" t="s">
        <v>1365</v>
      </c>
      <c r="F111" s="39" t="s">
        <v>688</v>
      </c>
      <c r="G111" s="39" t="s">
        <v>1733</v>
      </c>
      <c r="H111" s="39" t="s">
        <v>1734</v>
      </c>
      <c r="I111" s="39" t="s">
        <v>691</v>
      </c>
      <c r="J111" s="39" t="s">
        <v>1734</v>
      </c>
      <c r="K111" s="39" t="s">
        <v>1735</v>
      </c>
    </row>
    <row r="112" spans="1:11" s="3" customFormat="1" ht="16.350000000000001" customHeight="1" x14ac:dyDescent="0.2">
      <c r="A112" s="39" t="s">
        <v>686</v>
      </c>
      <c r="B112" s="39" t="s">
        <v>581</v>
      </c>
      <c r="C112" s="39" t="s">
        <v>598</v>
      </c>
      <c r="D112" s="39"/>
      <c r="E112" s="39" t="s">
        <v>994</v>
      </c>
      <c r="F112" s="39" t="s">
        <v>688</v>
      </c>
      <c r="G112" s="39" t="s">
        <v>1743</v>
      </c>
      <c r="H112" s="39" t="s">
        <v>1744</v>
      </c>
      <c r="I112" s="39" t="s">
        <v>691</v>
      </c>
      <c r="J112" s="39" t="s">
        <v>1744</v>
      </c>
      <c r="K112" s="39" t="s">
        <v>1745</v>
      </c>
    </row>
    <row r="113" spans="1:11" s="3" customFormat="1" ht="16.350000000000001" customHeight="1" x14ac:dyDescent="0.2">
      <c r="A113" s="39" t="s">
        <v>686</v>
      </c>
      <c r="B113" s="39" t="s">
        <v>415</v>
      </c>
      <c r="C113" s="39" t="s">
        <v>407</v>
      </c>
      <c r="D113" s="39"/>
      <c r="E113" s="39" t="s">
        <v>1517</v>
      </c>
      <c r="F113" s="39" t="s">
        <v>688</v>
      </c>
      <c r="G113" s="39" t="s">
        <v>1807</v>
      </c>
      <c r="H113" s="39" t="s">
        <v>1808</v>
      </c>
      <c r="I113" s="39" t="s">
        <v>691</v>
      </c>
      <c r="J113" s="39" t="s">
        <v>1808</v>
      </c>
      <c r="K113" s="39" t="s">
        <v>1809</v>
      </c>
    </row>
    <row r="114" spans="1:11" s="3" customFormat="1" ht="16.350000000000001" customHeight="1" x14ac:dyDescent="0.2">
      <c r="A114" s="39" t="s">
        <v>686</v>
      </c>
      <c r="B114" s="39" t="s">
        <v>361</v>
      </c>
      <c r="C114" s="39" t="s">
        <v>374</v>
      </c>
      <c r="D114" s="39" t="s">
        <v>2041</v>
      </c>
      <c r="E114" s="39" t="s">
        <v>1111</v>
      </c>
      <c r="F114" s="39" t="s">
        <v>948</v>
      </c>
      <c r="G114" s="39" t="s">
        <v>1112</v>
      </c>
      <c r="H114" s="39" t="s">
        <v>1113</v>
      </c>
      <c r="I114" s="39" t="s">
        <v>691</v>
      </c>
      <c r="J114" s="39" t="s">
        <v>1114</v>
      </c>
      <c r="K114" s="39" t="s">
        <v>1115</v>
      </c>
    </row>
    <row r="115" spans="1:11" s="3" customFormat="1" ht="16.350000000000001" customHeight="1" x14ac:dyDescent="0.2">
      <c r="A115" s="39" t="s">
        <v>686</v>
      </c>
      <c r="B115" s="39" t="s">
        <v>82</v>
      </c>
      <c r="C115" s="39" t="s">
        <v>72</v>
      </c>
      <c r="D115" s="39"/>
      <c r="E115" s="39" t="s">
        <v>811</v>
      </c>
      <c r="F115" s="39" t="s">
        <v>688</v>
      </c>
      <c r="G115" s="39" t="s">
        <v>849</v>
      </c>
      <c r="H115" s="39" t="s">
        <v>850</v>
      </c>
      <c r="I115" s="39" t="s">
        <v>691</v>
      </c>
      <c r="J115" s="39" t="s">
        <v>850</v>
      </c>
      <c r="K115" s="39" t="s">
        <v>851</v>
      </c>
    </row>
    <row r="116" spans="1:11" s="3" customFormat="1" ht="16.350000000000001" customHeight="1" x14ac:dyDescent="0.2">
      <c r="A116" s="39" t="s">
        <v>686</v>
      </c>
      <c r="B116" s="39" t="s">
        <v>103</v>
      </c>
      <c r="C116" s="39" t="s">
        <v>94</v>
      </c>
      <c r="D116" s="39"/>
      <c r="E116" s="39" t="s">
        <v>953</v>
      </c>
      <c r="F116" s="39" t="s">
        <v>688</v>
      </c>
      <c r="G116" s="39" t="s">
        <v>1346</v>
      </c>
      <c r="H116" s="39" t="s">
        <v>1347</v>
      </c>
      <c r="I116" s="39" t="s">
        <v>691</v>
      </c>
      <c r="J116" s="39" t="s">
        <v>1347</v>
      </c>
      <c r="K116" s="39" t="s">
        <v>1348</v>
      </c>
    </row>
    <row r="117" spans="1:11" s="3" customFormat="1" ht="16.350000000000001" customHeight="1" x14ac:dyDescent="0.2">
      <c r="A117" s="39" t="s">
        <v>686</v>
      </c>
      <c r="B117" s="39" t="s">
        <v>608</v>
      </c>
      <c r="C117" s="39" t="s">
        <v>620</v>
      </c>
      <c r="D117" s="39"/>
      <c r="E117" s="39" t="s">
        <v>723</v>
      </c>
      <c r="F117" s="39" t="s">
        <v>688</v>
      </c>
      <c r="G117" s="39" t="s">
        <v>793</v>
      </c>
      <c r="H117" s="39" t="s">
        <v>794</v>
      </c>
      <c r="I117" s="39" t="s">
        <v>691</v>
      </c>
      <c r="J117" s="39" t="s">
        <v>794</v>
      </c>
      <c r="K117" s="39" t="s">
        <v>795</v>
      </c>
    </row>
    <row r="118" spans="1:11" s="3" customFormat="1" ht="16.350000000000001" customHeight="1" x14ac:dyDescent="0.2">
      <c r="A118" s="39" t="s">
        <v>686</v>
      </c>
      <c r="B118" s="39" t="s">
        <v>563</v>
      </c>
      <c r="C118" s="39" t="s">
        <v>576</v>
      </c>
      <c r="D118" s="39"/>
      <c r="E118" s="39" t="s">
        <v>1097</v>
      </c>
      <c r="F118" s="39" t="s">
        <v>688</v>
      </c>
      <c r="G118" s="39" t="s">
        <v>1775</v>
      </c>
      <c r="H118" s="39" t="s">
        <v>1776</v>
      </c>
      <c r="I118" s="39" t="s">
        <v>691</v>
      </c>
      <c r="J118" s="39" t="s">
        <v>1776</v>
      </c>
      <c r="K118" s="39" t="s">
        <v>1777</v>
      </c>
    </row>
    <row r="119" spans="1:11" s="3" customFormat="1" ht="16.350000000000001" customHeight="1" x14ac:dyDescent="0.2">
      <c r="A119" s="39" t="s">
        <v>686</v>
      </c>
      <c r="B119" s="39" t="s">
        <v>619</v>
      </c>
      <c r="C119" s="39" t="s">
        <v>609</v>
      </c>
      <c r="D119" s="39"/>
      <c r="E119" s="39" t="s">
        <v>727</v>
      </c>
      <c r="F119" s="39" t="s">
        <v>688</v>
      </c>
      <c r="G119" s="39" t="s">
        <v>734</v>
      </c>
      <c r="H119" s="39" t="s">
        <v>735</v>
      </c>
      <c r="I119" s="39" t="s">
        <v>691</v>
      </c>
      <c r="J119" s="39" t="s">
        <v>735</v>
      </c>
      <c r="K119" s="39" t="s">
        <v>736</v>
      </c>
    </row>
    <row r="120" spans="1:11" s="3" customFormat="1" ht="16.350000000000001" customHeight="1" x14ac:dyDescent="0.2">
      <c r="A120" s="39" t="s">
        <v>686</v>
      </c>
      <c r="B120" s="39" t="s">
        <v>136</v>
      </c>
      <c r="C120" s="39" t="s">
        <v>150</v>
      </c>
      <c r="D120" s="39"/>
      <c r="E120" s="39" t="s">
        <v>723</v>
      </c>
      <c r="F120" s="39" t="s">
        <v>688</v>
      </c>
      <c r="G120" s="39" t="s">
        <v>1798</v>
      </c>
      <c r="H120" s="39" t="s">
        <v>1799</v>
      </c>
      <c r="I120" s="39" t="s">
        <v>691</v>
      </c>
      <c r="J120" s="39" t="s">
        <v>1799</v>
      </c>
      <c r="K120" s="39" t="s">
        <v>1800</v>
      </c>
    </row>
    <row r="121" spans="1:11" s="3" customFormat="1" ht="16.350000000000001" customHeight="1" x14ac:dyDescent="0.2">
      <c r="A121" s="39" t="s">
        <v>686</v>
      </c>
      <c r="B121" s="39" t="s">
        <v>71</v>
      </c>
      <c r="C121" s="39" t="s">
        <v>83</v>
      </c>
      <c r="D121" s="39"/>
      <c r="E121" s="39" t="s">
        <v>723</v>
      </c>
      <c r="F121" s="39" t="s">
        <v>688</v>
      </c>
      <c r="G121" s="39" t="s">
        <v>822</v>
      </c>
      <c r="H121" s="39" t="s">
        <v>823</v>
      </c>
      <c r="I121" s="39" t="s">
        <v>817</v>
      </c>
      <c r="J121" s="39" t="s">
        <v>823</v>
      </c>
      <c r="K121" s="39" t="s">
        <v>824</v>
      </c>
    </row>
    <row r="122" spans="1:11" s="3" customFormat="1" ht="16.350000000000001" customHeight="1" x14ac:dyDescent="0.2">
      <c r="A122" s="39" t="s">
        <v>686</v>
      </c>
      <c r="B122" s="39" t="s">
        <v>202</v>
      </c>
      <c r="C122" s="39" t="s">
        <v>193</v>
      </c>
      <c r="D122" s="39"/>
      <c r="E122" s="39" t="s">
        <v>811</v>
      </c>
      <c r="F122" s="39" t="s">
        <v>688</v>
      </c>
      <c r="G122" s="39" t="s">
        <v>1821</v>
      </c>
      <c r="H122" s="39" t="s">
        <v>1822</v>
      </c>
      <c r="I122" s="39" t="s">
        <v>691</v>
      </c>
      <c r="J122" s="39" t="s">
        <v>1822</v>
      </c>
      <c r="K122" s="39" t="s">
        <v>1823</v>
      </c>
    </row>
    <row r="123" spans="1:11" s="3" customFormat="1" ht="16.350000000000001" customHeight="1" x14ac:dyDescent="0.2">
      <c r="A123" s="39" t="s">
        <v>686</v>
      </c>
      <c r="B123" s="39" t="s">
        <v>530</v>
      </c>
      <c r="C123" s="39" t="s">
        <v>521</v>
      </c>
      <c r="D123" s="39"/>
      <c r="E123" s="39" t="s">
        <v>932</v>
      </c>
      <c r="F123" s="39" t="s">
        <v>688</v>
      </c>
      <c r="G123" s="39" t="s">
        <v>1315</v>
      </c>
      <c r="H123" s="39" t="s">
        <v>1316</v>
      </c>
      <c r="I123" s="39" t="s">
        <v>691</v>
      </c>
      <c r="J123" s="39" t="s">
        <v>1316</v>
      </c>
      <c r="K123" s="39" t="s">
        <v>1317</v>
      </c>
    </row>
    <row r="124" spans="1:11" s="3" customFormat="1" ht="16.350000000000001" customHeight="1" x14ac:dyDescent="0.2">
      <c r="A124" s="39" t="s">
        <v>686</v>
      </c>
      <c r="B124" s="39" t="s">
        <v>552</v>
      </c>
      <c r="C124" s="39" t="s">
        <v>543</v>
      </c>
      <c r="D124" s="39"/>
      <c r="E124" s="39" t="s">
        <v>929</v>
      </c>
      <c r="F124" s="39" t="s">
        <v>688</v>
      </c>
      <c r="G124" s="39" t="s">
        <v>1376</v>
      </c>
      <c r="H124" s="39" t="s">
        <v>1377</v>
      </c>
      <c r="I124" s="39" t="s">
        <v>691</v>
      </c>
      <c r="J124" s="39" t="s">
        <v>1377</v>
      </c>
      <c r="K124" s="39" t="s">
        <v>1378</v>
      </c>
    </row>
    <row r="125" spans="1:11" s="3" customFormat="1" ht="16.350000000000001" customHeight="1" x14ac:dyDescent="0.2">
      <c r="A125" s="39" t="s">
        <v>686</v>
      </c>
      <c r="B125" s="39" t="s">
        <v>404</v>
      </c>
      <c r="C125" s="39" t="s">
        <v>462</v>
      </c>
      <c r="D125" s="39"/>
      <c r="E125" s="39" t="s">
        <v>1068</v>
      </c>
      <c r="F125" s="39" t="s">
        <v>688</v>
      </c>
      <c r="G125" s="39" t="s">
        <v>1791</v>
      </c>
      <c r="H125" s="39" t="s">
        <v>1792</v>
      </c>
      <c r="I125" s="39" t="s">
        <v>691</v>
      </c>
      <c r="J125" s="39" t="s">
        <v>1793</v>
      </c>
      <c r="K125" s="39" t="s">
        <v>1794</v>
      </c>
    </row>
    <row r="126" spans="1:11" s="3" customFormat="1" ht="16.350000000000001" customHeight="1" x14ac:dyDescent="0.2">
      <c r="A126" s="39" t="s">
        <v>686</v>
      </c>
      <c r="B126" s="39" t="s">
        <v>224</v>
      </c>
      <c r="C126" s="39" t="s">
        <v>171</v>
      </c>
      <c r="D126" s="39"/>
      <c r="E126" s="39" t="s">
        <v>1068</v>
      </c>
      <c r="F126" s="39" t="s">
        <v>688</v>
      </c>
      <c r="G126" s="39" t="s">
        <v>1830</v>
      </c>
      <c r="H126" s="39" t="s">
        <v>1831</v>
      </c>
      <c r="I126" s="39" t="s">
        <v>817</v>
      </c>
      <c r="J126" s="39" t="s">
        <v>1831</v>
      </c>
      <c r="K126" s="39" t="s">
        <v>1832</v>
      </c>
    </row>
    <row r="127" spans="1:11" s="3" customFormat="1" ht="16.350000000000001" customHeight="1" x14ac:dyDescent="0.2">
      <c r="A127" s="39" t="s">
        <v>686</v>
      </c>
      <c r="B127" s="39" t="s">
        <v>508</v>
      </c>
      <c r="C127" s="39" t="s">
        <v>473</v>
      </c>
      <c r="D127" s="39"/>
      <c r="E127" s="39" t="s">
        <v>871</v>
      </c>
      <c r="F127" s="39" t="s">
        <v>688</v>
      </c>
      <c r="G127" s="39" t="s">
        <v>897</v>
      </c>
      <c r="H127" s="39" t="s">
        <v>898</v>
      </c>
      <c r="I127" s="39" t="s">
        <v>817</v>
      </c>
      <c r="J127" s="39" t="s">
        <v>898</v>
      </c>
      <c r="K127" s="39" t="s">
        <v>899</v>
      </c>
    </row>
    <row r="128" spans="1:11" s="3" customFormat="1" ht="16.350000000000001" customHeight="1" x14ac:dyDescent="0.2">
      <c r="A128" s="39" t="s">
        <v>686</v>
      </c>
      <c r="B128" s="39" t="s">
        <v>328</v>
      </c>
      <c r="C128" s="39" t="s">
        <v>385</v>
      </c>
      <c r="D128" s="39"/>
      <c r="E128" s="39" t="s">
        <v>1064</v>
      </c>
      <c r="F128" s="39" t="s">
        <v>688</v>
      </c>
      <c r="G128" s="39" t="s">
        <v>1423</v>
      </c>
      <c r="H128" s="39" t="s">
        <v>1424</v>
      </c>
      <c r="I128" s="39" t="s">
        <v>691</v>
      </c>
      <c r="J128" s="39" t="s">
        <v>1424</v>
      </c>
      <c r="K128" s="39" t="s">
        <v>1425</v>
      </c>
    </row>
    <row r="129" spans="1:11" s="3" customFormat="1" ht="16.350000000000001" customHeight="1" x14ac:dyDescent="0.2">
      <c r="A129" s="39" t="s">
        <v>686</v>
      </c>
      <c r="B129" s="39" t="s">
        <v>258</v>
      </c>
      <c r="C129" s="39" t="s">
        <v>249</v>
      </c>
      <c r="D129" s="39"/>
      <c r="E129" s="39" t="s">
        <v>875</v>
      </c>
      <c r="F129" s="39" t="s">
        <v>688</v>
      </c>
      <c r="G129" s="39" t="s">
        <v>1273</v>
      </c>
      <c r="H129" s="39" t="s">
        <v>1274</v>
      </c>
      <c r="I129" s="39" t="s">
        <v>691</v>
      </c>
      <c r="J129" s="39" t="s">
        <v>1274</v>
      </c>
      <c r="K129" s="39" t="s">
        <v>1275</v>
      </c>
    </row>
    <row r="130" spans="1:11" s="3" customFormat="1" ht="16.350000000000001" customHeight="1" x14ac:dyDescent="0.2">
      <c r="A130" s="39" t="s">
        <v>686</v>
      </c>
      <c r="B130" s="39" t="s">
        <v>317</v>
      </c>
      <c r="C130" s="39" t="s">
        <v>297</v>
      </c>
      <c r="D130" s="39"/>
      <c r="E130" s="39" t="s">
        <v>727</v>
      </c>
      <c r="F130" s="39" t="s">
        <v>688</v>
      </c>
      <c r="G130" s="39" t="s">
        <v>1449</v>
      </c>
      <c r="H130" s="39" t="s">
        <v>1235</v>
      </c>
      <c r="I130" s="39" t="s">
        <v>691</v>
      </c>
      <c r="J130" s="39" t="s">
        <v>1235</v>
      </c>
      <c r="K130" s="39" t="s">
        <v>1450</v>
      </c>
    </row>
    <row r="131" spans="1:11" s="3" customFormat="1" ht="16.350000000000001" customHeight="1" x14ac:dyDescent="0.2">
      <c r="A131" s="39" t="s">
        <v>686</v>
      </c>
      <c r="B131" s="39" t="s">
        <v>125</v>
      </c>
      <c r="C131" s="39" t="s">
        <v>139</v>
      </c>
      <c r="D131" s="39"/>
      <c r="E131" s="39" t="s">
        <v>994</v>
      </c>
      <c r="F131" s="39" t="s">
        <v>688</v>
      </c>
      <c r="G131" s="39" t="s">
        <v>1838</v>
      </c>
      <c r="H131" s="39" t="s">
        <v>1839</v>
      </c>
      <c r="I131" s="39" t="s">
        <v>691</v>
      </c>
      <c r="J131" s="39" t="s">
        <v>1839</v>
      </c>
      <c r="K131" s="39" t="s">
        <v>1840</v>
      </c>
    </row>
    <row r="132" spans="1:11" s="3" customFormat="1" ht="16.350000000000001" customHeight="1" x14ac:dyDescent="0.2">
      <c r="A132" s="39" t="s">
        <v>686</v>
      </c>
      <c r="B132" s="39" t="s">
        <v>472</v>
      </c>
      <c r="C132" s="39" t="s">
        <v>484</v>
      </c>
      <c r="D132" s="39"/>
      <c r="E132" s="39" t="s">
        <v>867</v>
      </c>
      <c r="F132" s="39" t="s">
        <v>688</v>
      </c>
      <c r="G132" s="39" t="s">
        <v>1024</v>
      </c>
      <c r="H132" s="39" t="s">
        <v>1025</v>
      </c>
      <c r="I132" s="39" t="s">
        <v>691</v>
      </c>
      <c r="J132" s="39" t="s">
        <v>1025</v>
      </c>
      <c r="K132" s="39" t="s">
        <v>1026</v>
      </c>
    </row>
    <row r="133" spans="1:11" s="3" customFormat="1" ht="16.350000000000001" customHeight="1" x14ac:dyDescent="0.2">
      <c r="A133" s="39" t="s">
        <v>686</v>
      </c>
      <c r="B133" s="39" t="s">
        <v>640</v>
      </c>
      <c r="C133" s="39" t="s">
        <v>631</v>
      </c>
      <c r="D133" s="39" t="s">
        <v>2041</v>
      </c>
      <c r="E133" s="39" t="s">
        <v>727</v>
      </c>
      <c r="F133" s="39" t="s">
        <v>688</v>
      </c>
      <c r="G133" s="39" t="s">
        <v>1813</v>
      </c>
      <c r="H133" s="39" t="s">
        <v>1814</v>
      </c>
      <c r="I133" s="39" t="s">
        <v>691</v>
      </c>
      <c r="J133" s="39" t="s">
        <v>1814</v>
      </c>
      <c r="K133" s="39" t="s">
        <v>1815</v>
      </c>
    </row>
    <row r="134" spans="1:11" s="3" customFormat="1" ht="16.350000000000001" customHeight="1" x14ac:dyDescent="0.2">
      <c r="A134" s="39" t="s">
        <v>686</v>
      </c>
      <c r="B134" s="39" t="s">
        <v>483</v>
      </c>
      <c r="C134" s="39" t="s">
        <v>499</v>
      </c>
      <c r="D134" s="39"/>
      <c r="E134" s="39" t="s">
        <v>871</v>
      </c>
      <c r="F134" s="39" t="s">
        <v>688</v>
      </c>
      <c r="G134" s="39" t="s">
        <v>1235</v>
      </c>
      <c r="H134" s="39" t="s">
        <v>1236</v>
      </c>
      <c r="I134" s="39" t="s">
        <v>817</v>
      </c>
      <c r="J134" s="39" t="s">
        <v>1236</v>
      </c>
      <c r="K134" s="39" t="s">
        <v>1237</v>
      </c>
    </row>
    <row r="135" spans="1:11" s="3" customFormat="1" ht="16.350000000000001" customHeight="1" x14ac:dyDescent="0.2">
      <c r="A135" s="39" t="s">
        <v>686</v>
      </c>
      <c r="B135" s="39" t="s">
        <v>595</v>
      </c>
      <c r="C135" s="39" t="s">
        <v>565</v>
      </c>
      <c r="D135" s="39"/>
      <c r="E135" s="39" t="s">
        <v>990</v>
      </c>
      <c r="F135" s="39" t="s">
        <v>688</v>
      </c>
      <c r="G135" s="39" t="s">
        <v>1848</v>
      </c>
      <c r="H135" s="39" t="s">
        <v>1849</v>
      </c>
      <c r="I135" s="39" t="s">
        <v>691</v>
      </c>
      <c r="J135" s="39" t="s">
        <v>1850</v>
      </c>
      <c r="K135" s="39" t="s">
        <v>1851</v>
      </c>
    </row>
    <row r="136" spans="1:11" s="3" customFormat="1" ht="16.350000000000001" customHeight="1" x14ac:dyDescent="0.2">
      <c r="A136" s="39" t="s">
        <v>686</v>
      </c>
      <c r="B136" s="39" t="s">
        <v>662</v>
      </c>
      <c r="C136" s="39" t="s">
        <v>653</v>
      </c>
      <c r="D136" s="39"/>
      <c r="E136" s="39" t="s">
        <v>1176</v>
      </c>
      <c r="F136" s="39" t="s">
        <v>688</v>
      </c>
      <c r="G136" s="39" t="s">
        <v>1858</v>
      </c>
      <c r="H136" s="39" t="s">
        <v>1859</v>
      </c>
      <c r="I136" s="39" t="s">
        <v>691</v>
      </c>
      <c r="J136" s="39" t="s">
        <v>1859</v>
      </c>
      <c r="K136" s="39" t="s">
        <v>1860</v>
      </c>
    </row>
    <row r="137" spans="1:11" s="3" customFormat="1" ht="16.350000000000001" customHeight="1" x14ac:dyDescent="0.2">
      <c r="A137" s="39" t="s">
        <v>686</v>
      </c>
      <c r="B137" s="39" t="s">
        <v>213</v>
      </c>
      <c r="C137" s="39" t="s">
        <v>205</v>
      </c>
      <c r="D137" s="39"/>
      <c r="E137" s="39" t="s">
        <v>990</v>
      </c>
      <c r="F137" s="39" t="s">
        <v>688</v>
      </c>
      <c r="G137" s="39" t="s">
        <v>1800</v>
      </c>
      <c r="H137" s="39" t="s">
        <v>1868</v>
      </c>
      <c r="I137" s="39" t="s">
        <v>691</v>
      </c>
      <c r="J137" s="39" t="s">
        <v>1868</v>
      </c>
      <c r="K137" s="39" t="s">
        <v>1869</v>
      </c>
    </row>
    <row r="138" spans="1:11" s="3" customFormat="1" ht="16.350000000000001" customHeight="1" x14ac:dyDescent="0.2">
      <c r="A138" s="39" t="s">
        <v>686</v>
      </c>
      <c r="B138" s="39" t="s">
        <v>235</v>
      </c>
      <c r="C138" s="39" t="s">
        <v>227</v>
      </c>
      <c r="D138" s="39"/>
      <c r="E138" s="39" t="s">
        <v>811</v>
      </c>
      <c r="F138" s="39" t="s">
        <v>688</v>
      </c>
      <c r="G138" s="39" t="s">
        <v>1876</v>
      </c>
      <c r="H138" s="39" t="s">
        <v>1877</v>
      </c>
      <c r="I138" s="39" t="s">
        <v>691</v>
      </c>
      <c r="J138" s="39" t="s">
        <v>1877</v>
      </c>
      <c r="K138" s="39" t="s">
        <v>1878</v>
      </c>
    </row>
    <row r="139" spans="1:11" s="3" customFormat="1" ht="16.350000000000001" customHeight="1" x14ac:dyDescent="0.2">
      <c r="A139" s="39" t="s">
        <v>686</v>
      </c>
      <c r="B139" s="39" t="s">
        <v>273</v>
      </c>
      <c r="C139" s="39" t="s">
        <v>260</v>
      </c>
      <c r="D139" s="39"/>
      <c r="E139" s="39" t="s">
        <v>915</v>
      </c>
      <c r="F139" s="39" t="s">
        <v>688</v>
      </c>
      <c r="G139" s="39" t="s">
        <v>1299</v>
      </c>
      <c r="H139" s="39" t="s">
        <v>1300</v>
      </c>
      <c r="I139" s="39" t="s">
        <v>691</v>
      </c>
      <c r="J139" s="39" t="s">
        <v>1301</v>
      </c>
      <c r="K139" s="39" t="s">
        <v>1302</v>
      </c>
    </row>
    <row r="140" spans="1:11" s="3" customFormat="1" ht="16.350000000000001" customHeight="1" x14ac:dyDescent="0.2">
      <c r="A140" s="39" t="s">
        <v>686</v>
      </c>
      <c r="B140" s="39" t="s">
        <v>459</v>
      </c>
      <c r="C140" s="39" t="s">
        <v>451</v>
      </c>
      <c r="D140" s="39"/>
      <c r="E140" s="39" t="s">
        <v>1517</v>
      </c>
      <c r="F140" s="39" t="s">
        <v>688</v>
      </c>
      <c r="G140" s="39" t="s">
        <v>1884</v>
      </c>
      <c r="H140" s="39" t="s">
        <v>1885</v>
      </c>
      <c r="I140" s="39" t="s">
        <v>691</v>
      </c>
      <c r="J140" s="39" t="s">
        <v>1885</v>
      </c>
      <c r="K140" s="39" t="s">
        <v>1886</v>
      </c>
    </row>
    <row r="141" spans="1:11" s="3" customFormat="1" ht="16.350000000000001" customHeight="1" x14ac:dyDescent="0.2">
      <c r="A141" s="39" t="s">
        <v>686</v>
      </c>
      <c r="B141" s="39" t="s">
        <v>93</v>
      </c>
      <c r="C141" s="39" t="s">
        <v>105</v>
      </c>
      <c r="D141" s="39"/>
      <c r="E141" s="39" t="s">
        <v>723</v>
      </c>
      <c r="F141" s="39" t="s">
        <v>688</v>
      </c>
      <c r="G141" s="39" t="s">
        <v>2044</v>
      </c>
      <c r="H141" s="39" t="s">
        <v>959</v>
      </c>
      <c r="I141" s="39" t="s">
        <v>691</v>
      </c>
      <c r="J141" s="39" t="s">
        <v>959</v>
      </c>
      <c r="K141" s="39" t="s">
        <v>960</v>
      </c>
    </row>
    <row r="142" spans="1:11" s="3" customFormat="1" ht="16.350000000000001" customHeight="1" x14ac:dyDescent="0.2">
      <c r="A142" s="39" t="s">
        <v>686</v>
      </c>
      <c r="B142" s="39" t="s">
        <v>114</v>
      </c>
      <c r="C142" s="39" t="s">
        <v>128</v>
      </c>
      <c r="D142" s="39"/>
      <c r="E142" s="39" t="s">
        <v>723</v>
      </c>
      <c r="F142" s="39" t="s">
        <v>688</v>
      </c>
      <c r="G142" s="39" t="s">
        <v>1889</v>
      </c>
      <c r="H142" s="39" t="s">
        <v>1890</v>
      </c>
      <c r="I142" s="39" t="s">
        <v>691</v>
      </c>
      <c r="J142" s="39" t="s">
        <v>1890</v>
      </c>
      <c r="K142" s="39" t="s">
        <v>1891</v>
      </c>
    </row>
    <row r="143" spans="1:11" s="3" customFormat="1" ht="16.350000000000001" customHeight="1" x14ac:dyDescent="0.2">
      <c r="A143" s="39" t="s">
        <v>686</v>
      </c>
      <c r="B143" s="39" t="s">
        <v>180</v>
      </c>
      <c r="C143" s="39" t="s">
        <v>216</v>
      </c>
      <c r="D143" s="39"/>
      <c r="E143" s="39" t="s">
        <v>811</v>
      </c>
      <c r="F143" s="39" t="s">
        <v>688</v>
      </c>
      <c r="G143" s="39" t="s">
        <v>1895</v>
      </c>
      <c r="H143" s="39" t="s">
        <v>1896</v>
      </c>
      <c r="I143" s="39" t="s">
        <v>691</v>
      </c>
      <c r="J143" s="39" t="s">
        <v>1896</v>
      </c>
      <c r="K143" s="39" t="s">
        <v>1897</v>
      </c>
    </row>
    <row r="144" spans="1:11" s="3" customFormat="1" ht="16.350000000000001" customHeight="1" x14ac:dyDescent="0.2">
      <c r="A144" s="39" t="s">
        <v>686</v>
      </c>
      <c r="B144" s="39" t="s">
        <v>520</v>
      </c>
      <c r="C144" s="39" t="s">
        <v>532</v>
      </c>
      <c r="D144" s="39"/>
      <c r="E144" s="39" t="s">
        <v>929</v>
      </c>
      <c r="F144" s="39" t="s">
        <v>688</v>
      </c>
      <c r="G144" s="39" t="s">
        <v>936</v>
      </c>
      <c r="H144" s="39" t="s">
        <v>937</v>
      </c>
      <c r="I144" s="39" t="s">
        <v>691</v>
      </c>
      <c r="J144" s="39" t="s">
        <v>937</v>
      </c>
      <c r="K144" s="39" t="s">
        <v>938</v>
      </c>
    </row>
    <row r="145" spans="1:11" s="3" customFormat="1" ht="16.350000000000001" customHeight="1" x14ac:dyDescent="0.2">
      <c r="A145" s="39" t="s">
        <v>686</v>
      </c>
      <c r="B145" s="39" t="s">
        <v>339</v>
      </c>
      <c r="C145" s="39" t="s">
        <v>352</v>
      </c>
      <c r="D145" s="39" t="s">
        <v>2041</v>
      </c>
      <c r="E145" s="39" t="s">
        <v>1111</v>
      </c>
      <c r="F145" s="39" t="s">
        <v>948</v>
      </c>
      <c r="G145" s="39" t="s">
        <v>1903</v>
      </c>
      <c r="H145" s="39" t="s">
        <v>1904</v>
      </c>
      <c r="I145" s="39" t="s">
        <v>691</v>
      </c>
      <c r="J145" s="39" t="s">
        <v>1905</v>
      </c>
      <c r="K145" s="39" t="s">
        <v>1906</v>
      </c>
    </row>
    <row r="146" spans="1:11" s="3" customFormat="1" ht="16.350000000000001" customHeight="1" x14ac:dyDescent="0.2">
      <c r="A146" s="39" t="s">
        <v>686</v>
      </c>
      <c r="B146" s="39" t="s">
        <v>383</v>
      </c>
      <c r="C146" s="39" t="s">
        <v>396</v>
      </c>
      <c r="D146" s="39"/>
      <c r="E146" s="39" t="s">
        <v>1068</v>
      </c>
      <c r="F146" s="39" t="s">
        <v>688</v>
      </c>
      <c r="G146" s="39" t="s">
        <v>1217</v>
      </c>
      <c r="H146" s="39" t="s">
        <v>1218</v>
      </c>
      <c r="I146" s="39" t="s">
        <v>691</v>
      </c>
      <c r="J146" s="39" t="s">
        <v>1219</v>
      </c>
      <c r="K146" s="39" t="s">
        <v>1220</v>
      </c>
    </row>
    <row r="147" spans="1:11" s="3" customFormat="1" ht="16.350000000000001" customHeight="1" x14ac:dyDescent="0.2">
      <c r="A147" s="39" t="s">
        <v>686</v>
      </c>
      <c r="B147" s="39" t="s">
        <v>158</v>
      </c>
      <c r="C147" s="39" t="s">
        <v>238</v>
      </c>
      <c r="D147" s="39"/>
      <c r="E147" s="39" t="s">
        <v>1068</v>
      </c>
      <c r="F147" s="39" t="s">
        <v>688</v>
      </c>
      <c r="G147" s="39" t="s">
        <v>1914</v>
      </c>
      <c r="H147" s="39" t="s">
        <v>1915</v>
      </c>
      <c r="I147" s="39" t="s">
        <v>817</v>
      </c>
      <c r="J147" s="39" t="s">
        <v>1915</v>
      </c>
      <c r="K147" s="39" t="s">
        <v>705</v>
      </c>
    </row>
    <row r="148" spans="1:11" s="3" customFormat="1" ht="16.350000000000001" customHeight="1" x14ac:dyDescent="0.2">
      <c r="A148" s="39" t="s">
        <v>686</v>
      </c>
      <c r="B148" s="39" t="s">
        <v>542</v>
      </c>
      <c r="C148" s="39" t="s">
        <v>554</v>
      </c>
      <c r="D148" s="39"/>
      <c r="E148" s="39" t="s">
        <v>971</v>
      </c>
      <c r="F148" s="39" t="s">
        <v>688</v>
      </c>
      <c r="G148" s="39" t="s">
        <v>978</v>
      </c>
      <c r="H148" s="39" t="s">
        <v>979</v>
      </c>
      <c r="I148" s="39" t="s">
        <v>691</v>
      </c>
      <c r="J148" s="39" t="s">
        <v>979</v>
      </c>
      <c r="K148" s="39" t="s">
        <v>980</v>
      </c>
    </row>
    <row r="149" spans="1:11" s="3" customFormat="1" ht="16.350000000000001" customHeight="1" x14ac:dyDescent="0.2">
      <c r="A149" s="39" t="s">
        <v>686</v>
      </c>
      <c r="B149" s="39" t="s">
        <v>575</v>
      </c>
      <c r="C149" s="39" t="s">
        <v>587</v>
      </c>
      <c r="D149" s="39"/>
      <c r="E149" s="39" t="s">
        <v>990</v>
      </c>
      <c r="F149" s="39" t="s">
        <v>688</v>
      </c>
      <c r="G149" s="39" t="s">
        <v>1494</v>
      </c>
      <c r="H149" s="39" t="s">
        <v>1495</v>
      </c>
      <c r="I149" s="39" t="s">
        <v>691</v>
      </c>
      <c r="J149" s="39" t="s">
        <v>1495</v>
      </c>
      <c r="K149" s="39" t="s">
        <v>1496</v>
      </c>
    </row>
    <row r="150" spans="1:11" s="3" customFormat="1" ht="16.350000000000001" customHeight="1" x14ac:dyDescent="0.2">
      <c r="A150" s="39" t="s">
        <v>686</v>
      </c>
      <c r="B150" s="39" t="s">
        <v>285</v>
      </c>
      <c r="C150" s="39" t="s">
        <v>275</v>
      </c>
      <c r="D150" s="39"/>
      <c r="E150" s="39" t="s">
        <v>875</v>
      </c>
      <c r="F150" s="39" t="s">
        <v>688</v>
      </c>
      <c r="G150" s="39" t="s">
        <v>1410</v>
      </c>
      <c r="H150" s="39" t="s">
        <v>1411</v>
      </c>
      <c r="I150" s="39" t="s">
        <v>691</v>
      </c>
      <c r="J150" s="39" t="s">
        <v>1411</v>
      </c>
      <c r="K150" s="39" t="s">
        <v>1412</v>
      </c>
    </row>
    <row r="151" spans="1:11" s="3" customFormat="1" ht="16.350000000000001" customHeight="1" x14ac:dyDescent="0.2">
      <c r="A151" s="39" t="s">
        <v>686</v>
      </c>
      <c r="B151" s="39" t="s">
        <v>498</v>
      </c>
      <c r="C151" s="39" t="s">
        <v>510</v>
      </c>
      <c r="D151" s="39"/>
      <c r="E151" s="39" t="s">
        <v>875</v>
      </c>
      <c r="F151" s="39" t="s">
        <v>688</v>
      </c>
      <c r="G151" s="39" t="s">
        <v>1255</v>
      </c>
      <c r="H151" s="39" t="s">
        <v>1256</v>
      </c>
      <c r="I151" s="39" t="s">
        <v>691</v>
      </c>
      <c r="J151" s="39" t="s">
        <v>1256</v>
      </c>
      <c r="K151" s="39" t="s">
        <v>1257</v>
      </c>
    </row>
    <row r="152" spans="1:11" s="3" customFormat="1" ht="16.350000000000001" customHeight="1" x14ac:dyDescent="0.2">
      <c r="A152" s="39" t="s">
        <v>686</v>
      </c>
      <c r="B152" s="39" t="s">
        <v>148</v>
      </c>
      <c r="C152" s="39" t="s">
        <v>117</v>
      </c>
      <c r="D152" s="39"/>
      <c r="E152" s="39" t="s">
        <v>994</v>
      </c>
      <c r="F152" s="39" t="s">
        <v>688</v>
      </c>
      <c r="G152" s="39" t="s">
        <v>1922</v>
      </c>
      <c r="H152" s="39" t="s">
        <v>1923</v>
      </c>
      <c r="I152" s="39" t="s">
        <v>691</v>
      </c>
      <c r="J152" s="39" t="s">
        <v>1923</v>
      </c>
      <c r="K152" s="39" t="s">
        <v>1924</v>
      </c>
    </row>
    <row r="153" spans="1:11" s="3" customFormat="1" ht="16.350000000000001" customHeight="1" x14ac:dyDescent="0.2">
      <c r="A153" s="39" t="s">
        <v>686</v>
      </c>
      <c r="B153" s="39" t="s">
        <v>394</v>
      </c>
      <c r="C153" s="39" t="s">
        <v>319</v>
      </c>
      <c r="D153" s="39"/>
      <c r="E153" s="39" t="s">
        <v>1064</v>
      </c>
      <c r="F153" s="39" t="s">
        <v>688</v>
      </c>
      <c r="G153" s="39" t="s">
        <v>1331</v>
      </c>
      <c r="H153" s="39" t="s">
        <v>1332</v>
      </c>
      <c r="I153" s="39" t="s">
        <v>691</v>
      </c>
      <c r="J153" s="39" t="s">
        <v>1333</v>
      </c>
      <c r="K153" s="39" t="s">
        <v>1334</v>
      </c>
    </row>
    <row r="154" spans="1:11" s="3" customFormat="1" ht="16.350000000000001" customHeight="1" x14ac:dyDescent="0.2">
      <c r="A154" s="39" t="s">
        <v>686</v>
      </c>
      <c r="B154" s="39" t="s">
        <v>307</v>
      </c>
      <c r="C154" s="39" t="s">
        <v>330</v>
      </c>
      <c r="D154" s="39"/>
      <c r="E154" s="39" t="s">
        <v>727</v>
      </c>
      <c r="F154" s="39" t="s">
        <v>688</v>
      </c>
      <c r="G154" s="39" t="s">
        <v>1481</v>
      </c>
      <c r="H154" s="39" t="s">
        <v>1482</v>
      </c>
      <c r="I154" s="39" t="s">
        <v>691</v>
      </c>
      <c r="J154" s="39" t="s">
        <v>1482</v>
      </c>
      <c r="K154" s="39" t="s">
        <v>1483</v>
      </c>
    </row>
    <row r="155" spans="1:11" s="3" customFormat="1" ht="16.350000000000001" customHeight="1" x14ac:dyDescent="0.2">
      <c r="A155" s="39" t="s">
        <v>686</v>
      </c>
      <c r="B155" s="39" t="s">
        <v>629</v>
      </c>
      <c r="C155" s="39" t="s">
        <v>643</v>
      </c>
      <c r="D155" s="39"/>
      <c r="E155" s="39" t="s">
        <v>1176</v>
      </c>
      <c r="F155" s="39" t="s">
        <v>688</v>
      </c>
      <c r="G155" s="39" t="s">
        <v>1177</v>
      </c>
      <c r="H155" s="39" t="s">
        <v>1178</v>
      </c>
      <c r="I155" s="39" t="s">
        <v>691</v>
      </c>
      <c r="J155" s="39" t="s">
        <v>1178</v>
      </c>
      <c r="K155" s="39" t="s">
        <v>1179</v>
      </c>
    </row>
    <row r="156" spans="1:11" s="3" customFormat="1" ht="16.350000000000001" customHeight="1" x14ac:dyDescent="0.2">
      <c r="A156" s="39" t="s">
        <v>686</v>
      </c>
      <c r="B156" s="39" t="s">
        <v>191</v>
      </c>
      <c r="C156" s="39" t="s">
        <v>183</v>
      </c>
      <c r="D156" s="39"/>
      <c r="E156" s="39" t="s">
        <v>990</v>
      </c>
      <c r="F156" s="39" t="s">
        <v>688</v>
      </c>
      <c r="G156" s="39" t="s">
        <v>1933</v>
      </c>
      <c r="H156" s="39" t="s">
        <v>1934</v>
      </c>
      <c r="I156" s="39" t="s">
        <v>691</v>
      </c>
      <c r="J156" s="39" t="s">
        <v>1934</v>
      </c>
      <c r="K156" s="39" t="s">
        <v>1935</v>
      </c>
    </row>
    <row r="157" spans="1:11" s="3" customFormat="1" ht="16.350000000000001" customHeight="1" x14ac:dyDescent="0.2">
      <c r="A157" s="39" t="s">
        <v>686</v>
      </c>
      <c r="B157" s="39" t="s">
        <v>248</v>
      </c>
      <c r="C157" s="39" t="s">
        <v>287</v>
      </c>
      <c r="D157" s="39"/>
      <c r="E157" s="39" t="s">
        <v>915</v>
      </c>
      <c r="F157" s="39" t="s">
        <v>688</v>
      </c>
      <c r="G157" s="39" t="s">
        <v>1582</v>
      </c>
      <c r="H157" s="39" t="s">
        <v>1583</v>
      </c>
      <c r="I157" s="39" t="s">
        <v>691</v>
      </c>
      <c r="J157" s="39" t="s">
        <v>1583</v>
      </c>
      <c r="K157" s="39" t="s">
        <v>1584</v>
      </c>
    </row>
    <row r="158" spans="1:11" s="3" customFormat="1" ht="16.350000000000001" customHeight="1" x14ac:dyDescent="0.2">
      <c r="A158" s="39" t="s">
        <v>686</v>
      </c>
      <c r="B158" s="39" t="s">
        <v>651</v>
      </c>
      <c r="C158" s="39" t="s">
        <v>665</v>
      </c>
      <c r="D158" s="39"/>
      <c r="E158" s="39" t="s">
        <v>723</v>
      </c>
      <c r="F158" s="39" t="s">
        <v>688</v>
      </c>
      <c r="G158" s="39" t="s">
        <v>1289</v>
      </c>
      <c r="H158" s="39" t="s">
        <v>1290</v>
      </c>
      <c r="I158" s="39" t="s">
        <v>691</v>
      </c>
      <c r="J158" s="39" t="s">
        <v>1291</v>
      </c>
      <c r="K158" s="39" t="s">
        <v>1292</v>
      </c>
    </row>
    <row r="159" spans="1:11" s="3" customFormat="1" ht="16.350000000000001" customHeight="1" x14ac:dyDescent="0.2">
      <c r="A159" s="39" t="s">
        <v>686</v>
      </c>
      <c r="B159" s="39" t="s">
        <v>169</v>
      </c>
      <c r="C159" s="39" t="s">
        <v>161</v>
      </c>
      <c r="D159" s="39"/>
      <c r="E159" s="39" t="s">
        <v>811</v>
      </c>
      <c r="F159" s="39" t="s">
        <v>688</v>
      </c>
      <c r="G159" s="39" t="s">
        <v>1220</v>
      </c>
      <c r="H159" s="39" t="s">
        <v>1939</v>
      </c>
      <c r="I159" s="39" t="s">
        <v>691</v>
      </c>
      <c r="J159" s="39" t="s">
        <v>1939</v>
      </c>
      <c r="K159" s="39" t="s">
        <v>1940</v>
      </c>
    </row>
    <row r="160" spans="1:11" s="3" customFormat="1" ht="16.350000000000001" customHeight="1" x14ac:dyDescent="0.2">
      <c r="A160" s="39" t="s">
        <v>686</v>
      </c>
      <c r="B160" s="39" t="s">
        <v>429</v>
      </c>
      <c r="C160" s="39" t="s">
        <v>441</v>
      </c>
      <c r="D160" s="39"/>
      <c r="E160" s="39" t="s">
        <v>687</v>
      </c>
      <c r="F160" s="39" t="s">
        <v>688</v>
      </c>
      <c r="G160" s="39" t="s">
        <v>705</v>
      </c>
      <c r="H160" s="39" t="s">
        <v>706</v>
      </c>
      <c r="I160" s="39" t="s">
        <v>691</v>
      </c>
      <c r="J160" s="39" t="s">
        <v>707</v>
      </c>
      <c r="K160" s="39" t="s">
        <v>708</v>
      </c>
    </row>
    <row r="161" spans="1:11" s="3" customFormat="1" ht="16.350000000000001" customHeight="1" x14ac:dyDescent="0.2">
      <c r="A161" s="39" t="s">
        <v>686</v>
      </c>
      <c r="B161" s="39" t="s">
        <v>440</v>
      </c>
      <c r="C161" s="39" t="s">
        <v>430</v>
      </c>
      <c r="D161" s="39"/>
      <c r="E161" s="39" t="s">
        <v>694</v>
      </c>
      <c r="F161" s="39" t="s">
        <v>688</v>
      </c>
      <c r="G161" s="39" t="s">
        <v>767</v>
      </c>
      <c r="H161" s="39" t="s">
        <v>768</v>
      </c>
      <c r="I161" s="39" t="s">
        <v>691</v>
      </c>
      <c r="J161" s="39" t="s">
        <v>768</v>
      </c>
      <c r="K161" s="39" t="s">
        <v>769</v>
      </c>
    </row>
    <row r="162" spans="1:11" s="3" customFormat="1" ht="16.350000000000001" customHeight="1" x14ac:dyDescent="0.2">
      <c r="A162" s="39" t="s">
        <v>686</v>
      </c>
      <c r="B162" s="39" t="s">
        <v>448</v>
      </c>
      <c r="C162" s="39" t="s">
        <v>419</v>
      </c>
      <c r="D162" s="39"/>
      <c r="E162" s="39" t="s">
        <v>1068</v>
      </c>
      <c r="F162" s="39" t="s">
        <v>688</v>
      </c>
      <c r="G162" s="39" t="s">
        <v>1177</v>
      </c>
      <c r="H162" s="39" t="s">
        <v>1928</v>
      </c>
      <c r="I162" s="39" t="s">
        <v>691</v>
      </c>
      <c r="J162" s="39" t="s">
        <v>1928</v>
      </c>
      <c r="K162" s="39" t="s">
        <v>1929</v>
      </c>
    </row>
    <row r="163" spans="1:11" s="3" customFormat="1" ht="16.350000000000001" customHeight="1" x14ac:dyDescent="0.2">
      <c r="A163" s="39" t="s">
        <v>686</v>
      </c>
      <c r="B163" s="39" t="s">
        <v>296</v>
      </c>
      <c r="C163" s="39" t="s">
        <v>309</v>
      </c>
      <c r="D163" s="39"/>
      <c r="E163" s="39" t="s">
        <v>1080</v>
      </c>
      <c r="F163" s="39" t="s">
        <v>688</v>
      </c>
      <c r="G163" s="39" t="s">
        <v>1603</v>
      </c>
      <c r="H163" s="39" t="s">
        <v>1604</v>
      </c>
      <c r="I163" s="39" t="s">
        <v>691</v>
      </c>
      <c r="J163" s="39" t="s">
        <v>1604</v>
      </c>
      <c r="K163" s="39" t="s">
        <v>798</v>
      </c>
    </row>
    <row r="164" spans="1:11" s="3" customFormat="1" ht="16.350000000000001" customHeight="1" x14ac:dyDescent="0.2">
      <c r="A164" s="39" t="s">
        <v>686</v>
      </c>
      <c r="B164" s="39" t="s">
        <v>373</v>
      </c>
      <c r="C164" s="39" t="s">
        <v>364</v>
      </c>
      <c r="D164" s="39"/>
      <c r="E164" s="39" t="s">
        <v>1107</v>
      </c>
      <c r="F164" s="39" t="s">
        <v>688</v>
      </c>
      <c r="G164" s="39" t="s">
        <v>1544</v>
      </c>
      <c r="H164" s="39" t="s">
        <v>1545</v>
      </c>
      <c r="I164" s="39" t="s">
        <v>691</v>
      </c>
      <c r="J164" s="39" t="s">
        <v>1545</v>
      </c>
      <c r="K164" s="39" t="s">
        <v>1546</v>
      </c>
    </row>
    <row r="165" spans="1:11" s="3" customFormat="1" ht="16.350000000000001" customHeight="1" x14ac:dyDescent="0.2">
      <c r="A165" s="39" t="s">
        <v>686</v>
      </c>
      <c r="B165" s="39" t="s">
        <v>350</v>
      </c>
      <c r="C165" s="39" t="s">
        <v>342</v>
      </c>
      <c r="D165" s="39"/>
      <c r="E165" s="39" t="s">
        <v>1365</v>
      </c>
      <c r="F165" s="39" t="s">
        <v>688</v>
      </c>
      <c r="G165" s="39" t="s">
        <v>1366</v>
      </c>
      <c r="H165" s="39" t="s">
        <v>1367</v>
      </c>
      <c r="I165" s="39" t="s">
        <v>691</v>
      </c>
      <c r="J165" s="39" t="s">
        <v>1367</v>
      </c>
      <c r="K165" s="39" t="s">
        <v>1368</v>
      </c>
    </row>
    <row r="166" spans="1:11" s="3" customFormat="1" ht="16.350000000000001" customHeight="1" x14ac:dyDescent="0.2">
      <c r="A166" s="39" t="s">
        <v>686</v>
      </c>
      <c r="B166" s="39" t="s">
        <v>584</v>
      </c>
      <c r="C166" s="39" t="s">
        <v>599</v>
      </c>
      <c r="D166" s="39"/>
      <c r="E166" s="39" t="s">
        <v>994</v>
      </c>
      <c r="F166" s="39" t="s">
        <v>688</v>
      </c>
      <c r="G166" s="39" t="s">
        <v>995</v>
      </c>
      <c r="H166" s="39" t="s">
        <v>996</v>
      </c>
      <c r="I166" s="39" t="s">
        <v>691</v>
      </c>
      <c r="J166" s="39" t="s">
        <v>996</v>
      </c>
      <c r="K166" s="39" t="s">
        <v>997</v>
      </c>
    </row>
    <row r="167" spans="1:11" s="3" customFormat="1" ht="16.350000000000001" customHeight="1" x14ac:dyDescent="0.2">
      <c r="A167" s="39" t="s">
        <v>686</v>
      </c>
      <c r="B167" s="39" t="s">
        <v>416</v>
      </c>
      <c r="C167" s="39" t="s">
        <v>408</v>
      </c>
      <c r="D167" s="39"/>
      <c r="E167" s="39" t="s">
        <v>1517</v>
      </c>
      <c r="F167" s="39" t="s">
        <v>688</v>
      </c>
      <c r="G167" s="39" t="s">
        <v>1956</v>
      </c>
      <c r="H167" s="39" t="s">
        <v>1957</v>
      </c>
      <c r="I167" s="39" t="s">
        <v>691</v>
      </c>
      <c r="J167" s="39" t="s">
        <v>1957</v>
      </c>
      <c r="K167" s="39" t="s">
        <v>1958</v>
      </c>
    </row>
    <row r="168" spans="1:11" s="3" customFormat="1" ht="16.350000000000001" customHeight="1" x14ac:dyDescent="0.2">
      <c r="A168" s="39" t="s">
        <v>686</v>
      </c>
      <c r="B168" s="39" t="s">
        <v>362</v>
      </c>
      <c r="C168" s="39" t="s">
        <v>375</v>
      </c>
      <c r="D168" s="39" t="s">
        <v>2041</v>
      </c>
      <c r="E168" s="39" t="s">
        <v>1111</v>
      </c>
      <c r="F168" s="39" t="s">
        <v>948</v>
      </c>
      <c r="G168" s="39" t="s">
        <v>1503</v>
      </c>
      <c r="H168" s="39" t="s">
        <v>1504</v>
      </c>
      <c r="I168" s="39" t="s">
        <v>691</v>
      </c>
      <c r="J168" s="39" t="s">
        <v>1505</v>
      </c>
      <c r="K168" s="39" t="s">
        <v>1506</v>
      </c>
    </row>
    <row r="169" spans="1:11" s="3" customFormat="1" ht="16.350000000000001" customHeight="1" x14ac:dyDescent="0.2">
      <c r="A169" s="39" t="s">
        <v>686</v>
      </c>
      <c r="B169" s="39" t="s">
        <v>83</v>
      </c>
      <c r="C169" s="39" t="s">
        <v>73</v>
      </c>
      <c r="D169" s="39"/>
      <c r="E169" s="39" t="s">
        <v>811</v>
      </c>
      <c r="F169" s="39" t="s">
        <v>688</v>
      </c>
      <c r="G169" s="39" t="s">
        <v>825</v>
      </c>
      <c r="H169" s="39" t="s">
        <v>826</v>
      </c>
      <c r="I169" s="39" t="s">
        <v>691</v>
      </c>
      <c r="J169" s="39" t="s">
        <v>826</v>
      </c>
      <c r="K169" s="39" t="s">
        <v>827</v>
      </c>
    </row>
    <row r="170" spans="1:11" s="3" customFormat="1" ht="16.350000000000001" customHeight="1" x14ac:dyDescent="0.2">
      <c r="A170" s="39" t="s">
        <v>686</v>
      </c>
      <c r="B170" s="39" t="s">
        <v>104</v>
      </c>
      <c r="C170" s="39" t="s">
        <v>95</v>
      </c>
      <c r="D170" s="39"/>
      <c r="E170" s="39" t="s">
        <v>953</v>
      </c>
      <c r="F170" s="39" t="s">
        <v>688</v>
      </c>
      <c r="G170" s="39" t="s">
        <v>1046</v>
      </c>
      <c r="H170" s="39" t="s">
        <v>1047</v>
      </c>
      <c r="I170" s="39" t="s">
        <v>691</v>
      </c>
      <c r="J170" s="39" t="s">
        <v>1048</v>
      </c>
      <c r="K170" s="39" t="s">
        <v>1049</v>
      </c>
    </row>
    <row r="171" spans="1:11" s="3" customFormat="1" ht="16.350000000000001" customHeight="1" x14ac:dyDescent="0.2">
      <c r="A171" s="39" t="s">
        <v>686</v>
      </c>
      <c r="B171" s="39" t="s">
        <v>609</v>
      </c>
      <c r="C171" s="39" t="s">
        <v>621</v>
      </c>
      <c r="D171" s="39"/>
      <c r="E171" s="39" t="s">
        <v>723</v>
      </c>
      <c r="F171" s="39" t="s">
        <v>688</v>
      </c>
      <c r="G171" s="39" t="s">
        <v>737</v>
      </c>
      <c r="H171" s="39" t="s">
        <v>738</v>
      </c>
      <c r="I171" s="39" t="s">
        <v>691</v>
      </c>
      <c r="J171" s="39" t="s">
        <v>738</v>
      </c>
      <c r="K171" s="39" t="s">
        <v>739</v>
      </c>
    </row>
    <row r="172" spans="1:11" s="3" customFormat="1" ht="16.350000000000001" customHeight="1" x14ac:dyDescent="0.2">
      <c r="A172" s="39" t="s">
        <v>686</v>
      </c>
      <c r="B172" s="39" t="s">
        <v>564</v>
      </c>
      <c r="C172" s="39" t="s">
        <v>577</v>
      </c>
      <c r="D172" s="39"/>
      <c r="E172" s="39" t="s">
        <v>1097</v>
      </c>
      <c r="F172" s="39" t="s">
        <v>688</v>
      </c>
      <c r="G172" s="39" t="s">
        <v>1615</v>
      </c>
      <c r="H172" s="39" t="s">
        <v>1616</v>
      </c>
      <c r="I172" s="39" t="s">
        <v>691</v>
      </c>
      <c r="J172" s="39" t="s">
        <v>1616</v>
      </c>
      <c r="K172" s="39" t="s">
        <v>1617</v>
      </c>
    </row>
    <row r="173" spans="1:11" s="3" customFormat="1" ht="16.350000000000001" customHeight="1" x14ac:dyDescent="0.2">
      <c r="A173" s="39" t="s">
        <v>686</v>
      </c>
      <c r="B173" s="39" t="s">
        <v>620</v>
      </c>
      <c r="C173" s="39" t="s">
        <v>610</v>
      </c>
      <c r="D173" s="39"/>
      <c r="E173" s="39" t="s">
        <v>727</v>
      </c>
      <c r="F173" s="39" t="s">
        <v>688</v>
      </c>
      <c r="G173" s="39" t="s">
        <v>796</v>
      </c>
      <c r="H173" s="39" t="s">
        <v>797</v>
      </c>
      <c r="I173" s="39" t="s">
        <v>691</v>
      </c>
      <c r="J173" s="39" t="s">
        <v>797</v>
      </c>
      <c r="K173" s="39" t="s">
        <v>798</v>
      </c>
    </row>
    <row r="174" spans="1:11" s="3" customFormat="1" ht="16.350000000000001" customHeight="1" x14ac:dyDescent="0.2">
      <c r="A174" s="39" t="s">
        <v>686</v>
      </c>
      <c r="B174" s="39" t="s">
        <v>137</v>
      </c>
      <c r="C174" s="39" t="s">
        <v>151</v>
      </c>
      <c r="D174" s="39"/>
      <c r="E174" s="39" t="s">
        <v>723</v>
      </c>
      <c r="F174" s="39" t="s">
        <v>688</v>
      </c>
      <c r="G174" s="39" t="s">
        <v>1949</v>
      </c>
      <c r="H174" s="39" t="s">
        <v>1950</v>
      </c>
      <c r="I174" s="39" t="s">
        <v>691</v>
      </c>
      <c r="J174" s="39" t="s">
        <v>1951</v>
      </c>
      <c r="K174" s="39" t="s">
        <v>1952</v>
      </c>
    </row>
    <row r="175" spans="1:11" s="3" customFormat="1" ht="16.350000000000001" customHeight="1" x14ac:dyDescent="0.2">
      <c r="A175" s="39" t="s">
        <v>686</v>
      </c>
      <c r="B175" s="39" t="s">
        <v>72</v>
      </c>
      <c r="C175" s="39" t="s">
        <v>84</v>
      </c>
      <c r="D175" s="39"/>
      <c r="E175" s="39" t="s">
        <v>723</v>
      </c>
      <c r="F175" s="39" t="s">
        <v>688</v>
      </c>
      <c r="G175" s="39" t="s">
        <v>852</v>
      </c>
      <c r="H175" s="39" t="s">
        <v>853</v>
      </c>
      <c r="I175" s="39" t="s">
        <v>817</v>
      </c>
      <c r="J175" s="39" t="s">
        <v>853</v>
      </c>
      <c r="K175" s="39" t="s">
        <v>854</v>
      </c>
    </row>
    <row r="176" spans="1:11" s="3" customFormat="1" ht="16.350000000000001" customHeight="1" x14ac:dyDescent="0.2">
      <c r="A176" s="39" t="s">
        <v>686</v>
      </c>
      <c r="B176" s="39" t="s">
        <v>203</v>
      </c>
      <c r="C176" s="39" t="s">
        <v>194</v>
      </c>
      <c r="D176" s="39"/>
      <c r="E176" s="39" t="s">
        <v>811</v>
      </c>
      <c r="F176" s="39" t="s">
        <v>688</v>
      </c>
      <c r="G176" s="39" t="s">
        <v>1962</v>
      </c>
      <c r="H176" s="39" t="s">
        <v>1963</v>
      </c>
      <c r="I176" s="39" t="s">
        <v>691</v>
      </c>
      <c r="J176" s="39" t="s">
        <v>1963</v>
      </c>
      <c r="K176" s="39" t="s">
        <v>1964</v>
      </c>
    </row>
    <row r="177" spans="1:11" s="3" customFormat="1" ht="16.350000000000001" customHeight="1" x14ac:dyDescent="0.2">
      <c r="A177" s="39" t="s">
        <v>686</v>
      </c>
      <c r="B177" s="39" t="s">
        <v>531</v>
      </c>
      <c r="C177" s="39" t="s">
        <v>522</v>
      </c>
      <c r="D177" s="39"/>
      <c r="E177" s="39" t="s">
        <v>932</v>
      </c>
      <c r="F177" s="39" t="s">
        <v>688</v>
      </c>
      <c r="G177" s="39" t="s">
        <v>1129</v>
      </c>
      <c r="H177" s="39" t="s">
        <v>1130</v>
      </c>
      <c r="I177" s="39" t="s">
        <v>691</v>
      </c>
      <c r="J177" s="39" t="s">
        <v>1130</v>
      </c>
      <c r="K177" s="39" t="s">
        <v>1131</v>
      </c>
    </row>
    <row r="178" spans="1:11" s="3" customFormat="1" ht="16.350000000000001" customHeight="1" x14ac:dyDescent="0.2">
      <c r="A178" s="39" t="s">
        <v>686</v>
      </c>
      <c r="B178" s="39" t="s">
        <v>553</v>
      </c>
      <c r="C178" s="39" t="s">
        <v>544</v>
      </c>
      <c r="D178" s="39"/>
      <c r="E178" s="39" t="s">
        <v>929</v>
      </c>
      <c r="F178" s="39" t="s">
        <v>688</v>
      </c>
      <c r="G178" s="39" t="s">
        <v>1147</v>
      </c>
      <c r="H178" s="39" t="s">
        <v>1148</v>
      </c>
      <c r="I178" s="39" t="s">
        <v>691</v>
      </c>
      <c r="J178" s="39" t="s">
        <v>1148</v>
      </c>
      <c r="K178" s="39" t="s">
        <v>1149</v>
      </c>
    </row>
    <row r="179" spans="1:11" s="3" customFormat="1" ht="16.350000000000001" customHeight="1" x14ac:dyDescent="0.2">
      <c r="A179" s="39" t="s">
        <v>686</v>
      </c>
      <c r="B179" s="39" t="s">
        <v>405</v>
      </c>
      <c r="C179" s="39" t="s">
        <v>463</v>
      </c>
      <c r="D179" s="39"/>
      <c r="E179" s="39" t="s">
        <v>1068</v>
      </c>
      <c r="F179" s="39" t="s">
        <v>688</v>
      </c>
      <c r="G179" s="39" t="s">
        <v>1943</v>
      </c>
      <c r="H179" s="39" t="s">
        <v>1944</v>
      </c>
      <c r="I179" s="39" t="s">
        <v>691</v>
      </c>
      <c r="J179" s="39" t="s">
        <v>1944</v>
      </c>
      <c r="K179" s="39" t="s">
        <v>1945</v>
      </c>
    </row>
    <row r="180" spans="1:11" s="3" customFormat="1" ht="16.350000000000001" customHeight="1" x14ac:dyDescent="0.2">
      <c r="A180" s="39" t="s">
        <v>686</v>
      </c>
      <c r="B180" s="39" t="s">
        <v>225</v>
      </c>
      <c r="C180" s="39" t="s">
        <v>172</v>
      </c>
      <c r="D180" s="39"/>
      <c r="E180" s="39" t="s">
        <v>1068</v>
      </c>
      <c r="F180" s="39" t="s">
        <v>688</v>
      </c>
      <c r="G180" s="39" t="s">
        <v>1968</v>
      </c>
      <c r="H180" s="39" t="s">
        <v>1969</v>
      </c>
      <c r="I180" s="39" t="s">
        <v>817</v>
      </c>
      <c r="J180" s="39" t="s">
        <v>1969</v>
      </c>
      <c r="K180" s="39" t="s">
        <v>1970</v>
      </c>
    </row>
    <row r="181" spans="1:11" s="3" customFormat="1" ht="16.350000000000001" customHeight="1" x14ac:dyDescent="0.2">
      <c r="A181" s="39" t="s">
        <v>686</v>
      </c>
      <c r="B181" s="39" t="s">
        <v>509</v>
      </c>
      <c r="C181" s="39" t="s">
        <v>474</v>
      </c>
      <c r="D181" s="39"/>
      <c r="E181" s="39" t="s">
        <v>871</v>
      </c>
      <c r="F181" s="39" t="s">
        <v>688</v>
      </c>
      <c r="G181" s="39" t="s">
        <v>879</v>
      </c>
      <c r="H181" s="39" t="s">
        <v>880</v>
      </c>
      <c r="I181" s="39" t="s">
        <v>817</v>
      </c>
      <c r="J181" s="39" t="s">
        <v>880</v>
      </c>
      <c r="K181" s="39" t="s">
        <v>881</v>
      </c>
    </row>
    <row r="182" spans="1:11" s="3" customFormat="1" ht="16.350000000000001" customHeight="1" x14ac:dyDescent="0.2">
      <c r="A182" s="39" t="s">
        <v>686</v>
      </c>
      <c r="B182" s="39" t="s">
        <v>329</v>
      </c>
      <c r="C182" s="39" t="s">
        <v>386</v>
      </c>
      <c r="D182" s="39"/>
      <c r="E182" s="39" t="s">
        <v>1064</v>
      </c>
      <c r="F182" s="39" t="s">
        <v>688</v>
      </c>
      <c r="G182" s="39" t="s">
        <v>1086</v>
      </c>
      <c r="H182" s="39" t="s">
        <v>1087</v>
      </c>
      <c r="I182" s="39" t="s">
        <v>691</v>
      </c>
      <c r="J182" s="39" t="s">
        <v>1087</v>
      </c>
      <c r="K182" s="39" t="s">
        <v>1088</v>
      </c>
    </row>
    <row r="183" spans="1:11" s="3" customFormat="1" ht="16.350000000000001" customHeight="1" x14ac:dyDescent="0.2">
      <c r="A183" s="39" t="s">
        <v>686</v>
      </c>
      <c r="B183" s="39" t="s">
        <v>259</v>
      </c>
      <c r="C183" s="39" t="s">
        <v>250</v>
      </c>
      <c r="D183" s="39"/>
      <c r="E183" s="39" t="s">
        <v>875</v>
      </c>
      <c r="F183" s="39" t="s">
        <v>688</v>
      </c>
      <c r="G183" s="39" t="s">
        <v>920</v>
      </c>
      <c r="H183" s="39" t="s">
        <v>921</v>
      </c>
      <c r="I183" s="39" t="s">
        <v>691</v>
      </c>
      <c r="J183" s="39" t="s">
        <v>921</v>
      </c>
      <c r="K183" s="39" t="s">
        <v>922</v>
      </c>
    </row>
    <row r="184" spans="1:11" s="3" customFormat="1" ht="16.350000000000001" customHeight="1" x14ac:dyDescent="0.2">
      <c r="A184" s="39" t="s">
        <v>686</v>
      </c>
      <c r="B184" s="39" t="s">
        <v>318</v>
      </c>
      <c r="C184" s="39" t="s">
        <v>298</v>
      </c>
      <c r="D184" s="39"/>
      <c r="E184" s="39" t="s">
        <v>727</v>
      </c>
      <c r="F184" s="39" t="s">
        <v>688</v>
      </c>
      <c r="G184" s="39" t="s">
        <v>1726</v>
      </c>
      <c r="H184" s="39" t="s">
        <v>1027</v>
      </c>
      <c r="I184" s="39" t="s">
        <v>691</v>
      </c>
      <c r="J184" s="39" t="s">
        <v>1027</v>
      </c>
      <c r="K184" s="39" t="s">
        <v>1727</v>
      </c>
    </row>
    <row r="185" spans="1:11" s="3" customFormat="1" ht="16.350000000000001" customHeight="1" x14ac:dyDescent="0.2">
      <c r="A185" s="39" t="s">
        <v>686</v>
      </c>
      <c r="B185" s="39" t="s">
        <v>126</v>
      </c>
      <c r="C185" s="39" t="s">
        <v>140</v>
      </c>
      <c r="D185" s="39"/>
      <c r="E185" s="39" t="s">
        <v>994</v>
      </c>
      <c r="F185" s="39" t="s">
        <v>688</v>
      </c>
      <c r="G185" s="39" t="s">
        <v>1973</v>
      </c>
      <c r="H185" s="39" t="s">
        <v>1974</v>
      </c>
      <c r="I185" s="39" t="s">
        <v>691</v>
      </c>
      <c r="J185" s="39" t="s">
        <v>1974</v>
      </c>
      <c r="K185" s="39" t="s">
        <v>1975</v>
      </c>
    </row>
    <row r="186" spans="1:11" s="3" customFormat="1" ht="16.350000000000001" customHeight="1" x14ac:dyDescent="0.2">
      <c r="A186" s="39" t="s">
        <v>686</v>
      </c>
      <c r="B186" s="39" t="s">
        <v>473</v>
      </c>
      <c r="C186" s="39" t="s">
        <v>485</v>
      </c>
      <c r="D186" s="39"/>
      <c r="E186" s="39" t="s">
        <v>867</v>
      </c>
      <c r="F186" s="39" t="s">
        <v>688</v>
      </c>
      <c r="G186" s="39" t="s">
        <v>900</v>
      </c>
      <c r="H186" s="39" t="s">
        <v>901</v>
      </c>
      <c r="I186" s="39" t="s">
        <v>691</v>
      </c>
      <c r="J186" s="39" t="s">
        <v>901</v>
      </c>
      <c r="K186" s="39" t="s">
        <v>902</v>
      </c>
    </row>
    <row r="187" spans="1:11" s="3" customFormat="1" ht="16.350000000000001" customHeight="1" x14ac:dyDescent="0.2">
      <c r="A187" s="39" t="s">
        <v>686</v>
      </c>
      <c r="B187" s="39" t="s">
        <v>641</v>
      </c>
      <c r="C187" s="39" t="s">
        <v>632</v>
      </c>
      <c r="D187" s="39" t="s">
        <v>2041</v>
      </c>
      <c r="E187" s="39" t="s">
        <v>727</v>
      </c>
      <c r="F187" s="39" t="s">
        <v>688</v>
      </c>
      <c r="G187" s="39" t="s">
        <v>1473</v>
      </c>
      <c r="H187" s="39" t="s">
        <v>1474</v>
      </c>
      <c r="I187" s="39" t="s">
        <v>691</v>
      </c>
      <c r="J187" s="39" t="s">
        <v>1474</v>
      </c>
      <c r="K187" s="39" t="s">
        <v>1475</v>
      </c>
    </row>
    <row r="188" spans="1:11" s="3" customFormat="1" ht="16.350000000000001" customHeight="1" x14ac:dyDescent="0.2">
      <c r="A188" s="39" t="s">
        <v>686</v>
      </c>
      <c r="B188" s="39" t="s">
        <v>484</v>
      </c>
      <c r="C188" s="39" t="s">
        <v>500</v>
      </c>
      <c r="D188" s="39"/>
      <c r="E188" s="39" t="s">
        <v>871</v>
      </c>
      <c r="F188" s="39" t="s">
        <v>688</v>
      </c>
      <c r="G188" s="39" t="s">
        <v>1027</v>
      </c>
      <c r="H188" s="39" t="s">
        <v>1028</v>
      </c>
      <c r="I188" s="39" t="s">
        <v>817</v>
      </c>
      <c r="J188" s="39" t="s">
        <v>1028</v>
      </c>
      <c r="K188" s="39" t="s">
        <v>1029</v>
      </c>
    </row>
    <row r="189" spans="1:11" s="3" customFormat="1" ht="16.350000000000001" customHeight="1" x14ac:dyDescent="0.2">
      <c r="A189" s="39" t="s">
        <v>686</v>
      </c>
      <c r="B189" s="39" t="s">
        <v>596</v>
      </c>
      <c r="C189" s="39" t="s">
        <v>566</v>
      </c>
      <c r="D189" s="39"/>
      <c r="E189" s="39" t="s">
        <v>990</v>
      </c>
      <c r="F189" s="39" t="s">
        <v>688</v>
      </c>
      <c r="G189" s="39" t="s">
        <v>1979</v>
      </c>
      <c r="H189" s="39" t="s">
        <v>1980</v>
      </c>
      <c r="I189" s="39" t="s">
        <v>691</v>
      </c>
      <c r="J189" s="39" t="s">
        <v>1981</v>
      </c>
      <c r="K189" s="39" t="s">
        <v>1982</v>
      </c>
    </row>
    <row r="190" spans="1:11" s="3" customFormat="1" ht="16.350000000000001" customHeight="1" x14ac:dyDescent="0.2">
      <c r="A190" s="39" t="s">
        <v>686</v>
      </c>
      <c r="B190" s="39" t="s">
        <v>663</v>
      </c>
      <c r="C190" s="39" t="s">
        <v>654</v>
      </c>
      <c r="D190" s="39"/>
      <c r="E190" s="39" t="s">
        <v>1176</v>
      </c>
      <c r="F190" s="39" t="s">
        <v>688</v>
      </c>
      <c r="G190" s="39" t="s">
        <v>1438</v>
      </c>
      <c r="H190" s="39" t="s">
        <v>1439</v>
      </c>
      <c r="I190" s="39" t="s">
        <v>691</v>
      </c>
      <c r="J190" s="39" t="s">
        <v>1439</v>
      </c>
      <c r="K190" s="39" t="s">
        <v>1440</v>
      </c>
    </row>
    <row r="191" spans="1:11" s="3" customFormat="1" ht="16.350000000000001" customHeight="1" x14ac:dyDescent="0.2">
      <c r="A191" s="39" t="s">
        <v>686</v>
      </c>
      <c r="B191" s="39" t="s">
        <v>214</v>
      </c>
      <c r="C191" s="39" t="s">
        <v>206</v>
      </c>
      <c r="D191" s="39"/>
      <c r="E191" s="39" t="s">
        <v>990</v>
      </c>
      <c r="F191" s="39" t="s">
        <v>688</v>
      </c>
      <c r="G191" s="39" t="s">
        <v>1952</v>
      </c>
      <c r="H191" s="39" t="s">
        <v>1989</v>
      </c>
      <c r="I191" s="39" t="s">
        <v>691</v>
      </c>
      <c r="J191" s="39" t="s">
        <v>1989</v>
      </c>
      <c r="K191" s="39" t="s">
        <v>1990</v>
      </c>
    </row>
    <row r="192" spans="1:11" s="3" customFormat="1" ht="16.350000000000001" customHeight="1" x14ac:dyDescent="0.2">
      <c r="A192" s="39" t="s">
        <v>686</v>
      </c>
      <c r="B192" s="39" t="s">
        <v>236</v>
      </c>
      <c r="C192" s="39" t="s">
        <v>228</v>
      </c>
      <c r="D192" s="39"/>
      <c r="E192" s="39" t="s">
        <v>811</v>
      </c>
      <c r="F192" s="39" t="s">
        <v>688</v>
      </c>
      <c r="G192" s="39" t="s">
        <v>1994</v>
      </c>
      <c r="H192" s="39" t="s">
        <v>1995</v>
      </c>
      <c r="I192" s="39" t="s">
        <v>691</v>
      </c>
      <c r="J192" s="39" t="s">
        <v>1995</v>
      </c>
      <c r="K192" s="39" t="s">
        <v>1996</v>
      </c>
    </row>
    <row r="193" spans="1:11" s="3" customFormat="1" ht="16.350000000000001" customHeight="1" x14ac:dyDescent="0.2">
      <c r="A193" s="39" t="s">
        <v>686</v>
      </c>
      <c r="B193" s="39" t="s">
        <v>274</v>
      </c>
      <c r="C193" s="39" t="s">
        <v>261</v>
      </c>
      <c r="D193" s="39"/>
      <c r="E193" s="39" t="s">
        <v>915</v>
      </c>
      <c r="F193" s="39" t="s">
        <v>688</v>
      </c>
      <c r="G193" s="39" t="s">
        <v>1008</v>
      </c>
      <c r="H193" s="39" t="s">
        <v>1009</v>
      </c>
      <c r="I193" s="39" t="s">
        <v>691</v>
      </c>
      <c r="J193" s="39" t="s">
        <v>1010</v>
      </c>
      <c r="K193" s="39" t="s">
        <v>1011</v>
      </c>
    </row>
    <row r="194" spans="1:11" s="3" customFormat="1" ht="16.350000000000001" customHeight="1" x14ac:dyDescent="0.2">
      <c r="A194" s="39" t="s">
        <v>686</v>
      </c>
      <c r="B194" s="39" t="s">
        <v>460</v>
      </c>
      <c r="C194" s="39" t="s">
        <v>452</v>
      </c>
      <c r="D194" s="39"/>
      <c r="E194" s="39" t="s">
        <v>1517</v>
      </c>
      <c r="F194" s="39" t="s">
        <v>688</v>
      </c>
      <c r="G194" s="39" t="s">
        <v>2000</v>
      </c>
      <c r="H194" s="39" t="s">
        <v>2001</v>
      </c>
      <c r="I194" s="39" t="s">
        <v>691</v>
      </c>
      <c r="J194" s="39" t="s">
        <v>2001</v>
      </c>
      <c r="K194" s="39" t="s">
        <v>2002</v>
      </c>
    </row>
    <row r="195" spans="1:11" s="3" customFormat="1" ht="16.350000000000001" customHeight="1" x14ac:dyDescent="0.2">
      <c r="A195" s="39" t="s">
        <v>686</v>
      </c>
      <c r="B195" s="39" t="s">
        <v>94</v>
      </c>
      <c r="C195" s="39" t="s">
        <v>106</v>
      </c>
      <c r="D195" s="39"/>
      <c r="E195" s="39" t="s">
        <v>723</v>
      </c>
      <c r="F195" s="39" t="s">
        <v>688</v>
      </c>
      <c r="G195" s="39" t="s">
        <v>2045</v>
      </c>
      <c r="H195" s="39" t="s">
        <v>2046</v>
      </c>
      <c r="I195" s="39" t="s">
        <v>691</v>
      </c>
      <c r="J195" s="39" t="s">
        <v>1351</v>
      </c>
      <c r="K195" s="39" t="s">
        <v>1352</v>
      </c>
    </row>
    <row r="196" spans="1:11" s="3" customFormat="1" ht="16.350000000000001" customHeight="1" x14ac:dyDescent="0.2">
      <c r="A196" s="39" t="s">
        <v>686</v>
      </c>
      <c r="B196" s="39" t="s">
        <v>115</v>
      </c>
      <c r="C196" s="39" t="s">
        <v>129</v>
      </c>
      <c r="D196" s="39"/>
      <c r="E196" s="39" t="s">
        <v>723</v>
      </c>
      <c r="F196" s="39" t="s">
        <v>688</v>
      </c>
      <c r="G196" s="39" t="s">
        <v>1401</v>
      </c>
      <c r="H196" s="39" t="s">
        <v>1402</v>
      </c>
      <c r="I196" s="39" t="s">
        <v>691</v>
      </c>
      <c r="J196" s="39" t="s">
        <v>1402</v>
      </c>
      <c r="K196" s="39" t="s">
        <v>1403</v>
      </c>
    </row>
    <row r="197" spans="1:11" s="3" customFormat="1" ht="16.350000000000001" customHeight="1" x14ac:dyDescent="0.2">
      <c r="A197" s="39" t="s">
        <v>686</v>
      </c>
      <c r="B197" s="39" t="s">
        <v>181</v>
      </c>
      <c r="C197" s="39" t="s">
        <v>217</v>
      </c>
      <c r="D197" s="39"/>
      <c r="E197" s="39" t="s">
        <v>811</v>
      </c>
      <c r="F197" s="39" t="s">
        <v>688</v>
      </c>
      <c r="G197" s="39" t="s">
        <v>2005</v>
      </c>
      <c r="H197" s="39" t="s">
        <v>2006</v>
      </c>
      <c r="I197" s="39" t="s">
        <v>691</v>
      </c>
      <c r="J197" s="39" t="s">
        <v>2006</v>
      </c>
      <c r="K197" s="39" t="s">
        <v>2007</v>
      </c>
    </row>
    <row r="198" spans="1:11" s="3" customFormat="1" ht="16.350000000000001" customHeight="1" x14ac:dyDescent="0.2">
      <c r="A198" s="39" t="s">
        <v>686</v>
      </c>
      <c r="B198" s="39" t="s">
        <v>521</v>
      </c>
      <c r="C198" s="39" t="s">
        <v>533</v>
      </c>
      <c r="D198" s="39"/>
      <c r="E198" s="39" t="s">
        <v>929</v>
      </c>
      <c r="F198" s="39" t="s">
        <v>688</v>
      </c>
      <c r="G198" s="39" t="s">
        <v>1318</v>
      </c>
      <c r="H198" s="39" t="s">
        <v>1319</v>
      </c>
      <c r="I198" s="39" t="s">
        <v>691</v>
      </c>
      <c r="J198" s="39" t="s">
        <v>1319</v>
      </c>
      <c r="K198" s="39" t="s">
        <v>1320</v>
      </c>
    </row>
    <row r="199" spans="1:11" s="3" customFormat="1" ht="16.350000000000001" customHeight="1" x14ac:dyDescent="0.2">
      <c r="A199" s="39" t="s">
        <v>686</v>
      </c>
      <c r="B199" s="39" t="s">
        <v>340</v>
      </c>
      <c r="C199" s="39" t="s">
        <v>353</v>
      </c>
      <c r="D199" s="39" t="s">
        <v>2041</v>
      </c>
      <c r="E199" s="39" t="s">
        <v>1111</v>
      </c>
      <c r="F199" s="39" t="s">
        <v>948</v>
      </c>
      <c r="G199" s="39" t="s">
        <v>1463</v>
      </c>
      <c r="H199" s="39" t="s">
        <v>1464</v>
      </c>
      <c r="I199" s="39" t="s">
        <v>691</v>
      </c>
      <c r="J199" s="39" t="s">
        <v>1465</v>
      </c>
      <c r="K199" s="39" t="s">
        <v>1466</v>
      </c>
    </row>
    <row r="200" spans="1:11" s="3" customFormat="1" ht="16.350000000000001" customHeight="1" x14ac:dyDescent="0.2">
      <c r="A200" s="39" t="s">
        <v>686</v>
      </c>
      <c r="B200" s="39" t="s">
        <v>384</v>
      </c>
      <c r="C200" s="39" t="s">
        <v>397</v>
      </c>
      <c r="D200" s="39"/>
      <c r="E200" s="39" t="s">
        <v>1068</v>
      </c>
      <c r="F200" s="39" t="s">
        <v>688</v>
      </c>
      <c r="G200" s="39" t="s">
        <v>1069</v>
      </c>
      <c r="H200" s="39" t="s">
        <v>1070</v>
      </c>
      <c r="I200" s="39" t="s">
        <v>691</v>
      </c>
      <c r="J200" s="39" t="s">
        <v>1071</v>
      </c>
      <c r="K200" s="39" t="s">
        <v>1072</v>
      </c>
    </row>
    <row r="201" spans="1:11" s="3" customFormat="1" ht="16.350000000000001" customHeight="1" x14ac:dyDescent="0.2">
      <c r="A201" s="39" t="s">
        <v>686</v>
      </c>
      <c r="B201" s="39" t="s">
        <v>159</v>
      </c>
      <c r="C201" s="39" t="s">
        <v>239</v>
      </c>
      <c r="D201" s="39"/>
      <c r="E201" s="39" t="s">
        <v>1068</v>
      </c>
      <c r="F201" s="39" t="s">
        <v>688</v>
      </c>
      <c r="G201" s="39" t="s">
        <v>2010</v>
      </c>
      <c r="H201" s="39" t="s">
        <v>2011</v>
      </c>
      <c r="I201" s="39" t="s">
        <v>817</v>
      </c>
      <c r="J201" s="39" t="s">
        <v>2011</v>
      </c>
      <c r="K201" s="39" t="s">
        <v>770</v>
      </c>
    </row>
    <row r="202" spans="1:11" s="3" customFormat="1" ht="16.350000000000001" customHeight="1" x14ac:dyDescent="0.2">
      <c r="A202" s="39" t="s">
        <v>686</v>
      </c>
      <c r="B202" s="39" t="s">
        <v>543</v>
      </c>
      <c r="C202" s="39" t="s">
        <v>555</v>
      </c>
      <c r="D202" s="39"/>
      <c r="E202" s="39" t="s">
        <v>971</v>
      </c>
      <c r="F202" s="39" t="s">
        <v>688</v>
      </c>
      <c r="G202" s="39" t="s">
        <v>1379</v>
      </c>
      <c r="H202" s="39" t="s">
        <v>1380</v>
      </c>
      <c r="I202" s="39" t="s">
        <v>691</v>
      </c>
      <c r="J202" s="39" t="s">
        <v>1380</v>
      </c>
      <c r="K202" s="39" t="s">
        <v>1381</v>
      </c>
    </row>
    <row r="203" spans="1:11" s="3" customFormat="1" ht="16.350000000000001" customHeight="1" x14ac:dyDescent="0.2">
      <c r="A203" s="39" t="s">
        <v>686</v>
      </c>
      <c r="B203" s="39" t="s">
        <v>576</v>
      </c>
      <c r="C203" s="39" t="s">
        <v>588</v>
      </c>
      <c r="D203" s="39"/>
      <c r="E203" s="39" t="s">
        <v>990</v>
      </c>
      <c r="F203" s="39" t="s">
        <v>688</v>
      </c>
      <c r="G203" s="39" t="s">
        <v>1778</v>
      </c>
      <c r="H203" s="39" t="s">
        <v>1779</v>
      </c>
      <c r="I203" s="39" t="s">
        <v>691</v>
      </c>
      <c r="J203" s="39" t="s">
        <v>1779</v>
      </c>
      <c r="K203" s="39" t="s">
        <v>1780</v>
      </c>
    </row>
    <row r="204" spans="1:11" s="3" customFormat="1" ht="16.350000000000001" customHeight="1" x14ac:dyDescent="0.2">
      <c r="A204" s="39" t="s">
        <v>686</v>
      </c>
      <c r="B204" s="39" t="s">
        <v>286</v>
      </c>
      <c r="C204" s="39" t="s">
        <v>276</v>
      </c>
      <c r="D204" s="39"/>
      <c r="E204" s="39" t="s">
        <v>875</v>
      </c>
      <c r="F204" s="39" t="s">
        <v>688</v>
      </c>
      <c r="G204" s="39" t="s">
        <v>1189</v>
      </c>
      <c r="H204" s="39" t="s">
        <v>1190</v>
      </c>
      <c r="I204" s="39" t="s">
        <v>691</v>
      </c>
      <c r="J204" s="39" t="s">
        <v>1190</v>
      </c>
      <c r="K204" s="39" t="s">
        <v>1191</v>
      </c>
    </row>
    <row r="205" spans="1:11" s="3" customFormat="1" ht="16.350000000000001" customHeight="1" x14ac:dyDescent="0.2">
      <c r="A205" s="39" t="s">
        <v>686</v>
      </c>
      <c r="B205" s="39" t="s">
        <v>499</v>
      </c>
      <c r="C205" s="39" t="s">
        <v>511</v>
      </c>
      <c r="D205" s="39"/>
      <c r="E205" s="39" t="s">
        <v>875</v>
      </c>
      <c r="F205" s="39" t="s">
        <v>688</v>
      </c>
      <c r="G205" s="39" t="s">
        <v>1238</v>
      </c>
      <c r="H205" s="39" t="s">
        <v>1239</v>
      </c>
      <c r="I205" s="39" t="s">
        <v>691</v>
      </c>
      <c r="J205" s="39" t="s">
        <v>1239</v>
      </c>
      <c r="K205" s="39" t="s">
        <v>1240</v>
      </c>
    </row>
    <row r="206" spans="1:11" s="3" customFormat="1" ht="16.350000000000001" customHeight="1" x14ac:dyDescent="0.2">
      <c r="A206" s="39" t="s">
        <v>686</v>
      </c>
      <c r="B206" s="39" t="s">
        <v>149</v>
      </c>
      <c r="C206" s="39" t="s">
        <v>118</v>
      </c>
      <c r="D206" s="39"/>
      <c r="E206" s="39" t="s">
        <v>994</v>
      </c>
      <c r="F206" s="39" t="s">
        <v>688</v>
      </c>
      <c r="G206" s="39" t="s">
        <v>1524</v>
      </c>
      <c r="H206" s="39" t="s">
        <v>1525</v>
      </c>
      <c r="I206" s="39" t="s">
        <v>691</v>
      </c>
      <c r="J206" s="39" t="s">
        <v>1525</v>
      </c>
      <c r="K206" s="39" t="s">
        <v>1526</v>
      </c>
    </row>
    <row r="207" spans="1:11" s="3" customFormat="1" ht="16.350000000000001" customHeight="1" x14ac:dyDescent="0.2">
      <c r="A207" s="39" t="s">
        <v>686</v>
      </c>
      <c r="B207" s="39" t="s">
        <v>395</v>
      </c>
      <c r="C207" s="39" t="s">
        <v>320</v>
      </c>
      <c r="D207" s="39"/>
      <c r="E207" s="39" t="s">
        <v>1064</v>
      </c>
      <c r="F207" s="39" t="s">
        <v>688</v>
      </c>
      <c r="G207" s="39" t="s">
        <v>1657</v>
      </c>
      <c r="H207" s="39" t="s">
        <v>1658</v>
      </c>
      <c r="I207" s="39" t="s">
        <v>691</v>
      </c>
      <c r="J207" s="39" t="s">
        <v>1659</v>
      </c>
      <c r="K207" s="39" t="s">
        <v>1660</v>
      </c>
    </row>
    <row r="208" spans="1:11" s="3" customFormat="1" ht="16.350000000000001" customHeight="1" x14ac:dyDescent="0.2">
      <c r="A208" s="39" t="s">
        <v>686</v>
      </c>
      <c r="B208" s="39" t="s">
        <v>308</v>
      </c>
      <c r="C208" s="39" t="s">
        <v>331</v>
      </c>
      <c r="D208" s="39"/>
      <c r="E208" s="39" t="s">
        <v>727</v>
      </c>
      <c r="F208" s="39" t="s">
        <v>688</v>
      </c>
      <c r="G208" s="39" t="s">
        <v>1203</v>
      </c>
      <c r="H208" s="39" t="s">
        <v>1204</v>
      </c>
      <c r="I208" s="39" t="s">
        <v>691</v>
      </c>
      <c r="J208" s="39" t="s">
        <v>1204</v>
      </c>
      <c r="K208" s="39" t="s">
        <v>1205</v>
      </c>
    </row>
    <row r="209" spans="1:11" s="3" customFormat="1" ht="16.350000000000001" customHeight="1" x14ac:dyDescent="0.2">
      <c r="A209" s="39" t="s">
        <v>686</v>
      </c>
      <c r="B209" s="39" t="s">
        <v>630</v>
      </c>
      <c r="C209" s="39" t="s">
        <v>644</v>
      </c>
      <c r="D209" s="39"/>
      <c r="E209" s="39" t="s">
        <v>1176</v>
      </c>
      <c r="F209" s="39" t="s">
        <v>688</v>
      </c>
      <c r="G209" s="39" t="s">
        <v>1557</v>
      </c>
      <c r="H209" s="39" t="s">
        <v>1558</v>
      </c>
      <c r="I209" s="39" t="s">
        <v>691</v>
      </c>
      <c r="J209" s="39" t="s">
        <v>1558</v>
      </c>
      <c r="K209" s="39" t="s">
        <v>1559</v>
      </c>
    </row>
    <row r="210" spans="1:11" s="3" customFormat="1" ht="16.350000000000001" customHeight="1" x14ac:dyDescent="0.2">
      <c r="A210" s="39" t="s">
        <v>686</v>
      </c>
      <c r="B210" s="39" t="s">
        <v>192</v>
      </c>
      <c r="C210" s="39" t="s">
        <v>184</v>
      </c>
      <c r="D210" s="39"/>
      <c r="E210" s="39" t="s">
        <v>990</v>
      </c>
      <c r="F210" s="39" t="s">
        <v>688</v>
      </c>
      <c r="G210" s="39" t="s">
        <v>1566</v>
      </c>
      <c r="H210" s="39" t="s">
        <v>1567</v>
      </c>
      <c r="I210" s="39" t="s">
        <v>691</v>
      </c>
      <c r="J210" s="39" t="s">
        <v>1567</v>
      </c>
      <c r="K210" s="39" t="s">
        <v>1568</v>
      </c>
    </row>
    <row r="211" spans="1:11" s="3" customFormat="1" ht="16.350000000000001" customHeight="1" x14ac:dyDescent="0.2">
      <c r="A211" s="39" t="s">
        <v>686</v>
      </c>
      <c r="B211" s="39" t="s">
        <v>249</v>
      </c>
      <c r="C211" s="39" t="s">
        <v>288</v>
      </c>
      <c r="D211" s="39"/>
      <c r="E211" s="39" t="s">
        <v>915</v>
      </c>
      <c r="F211" s="39" t="s">
        <v>688</v>
      </c>
      <c r="G211" s="39" t="s">
        <v>1276</v>
      </c>
      <c r="H211" s="39" t="s">
        <v>1277</v>
      </c>
      <c r="I211" s="39" t="s">
        <v>691</v>
      </c>
      <c r="J211" s="39" t="s">
        <v>1277</v>
      </c>
      <c r="K211" s="39" t="s">
        <v>1278</v>
      </c>
    </row>
    <row r="212" spans="1:11" s="3" customFormat="1" ht="16.350000000000001" customHeight="1" x14ac:dyDescent="0.2">
      <c r="A212" s="39" t="s">
        <v>686</v>
      </c>
      <c r="B212" s="39" t="s">
        <v>652</v>
      </c>
      <c r="C212" s="39" t="s">
        <v>666</v>
      </c>
      <c r="D212" s="39"/>
      <c r="E212" s="39" t="s">
        <v>723</v>
      </c>
      <c r="F212" s="39" t="s">
        <v>688</v>
      </c>
      <c r="G212" s="39" t="s">
        <v>1624</v>
      </c>
      <c r="H212" s="39" t="s">
        <v>1625</v>
      </c>
      <c r="I212" s="39" t="s">
        <v>691</v>
      </c>
      <c r="J212" s="39" t="s">
        <v>1626</v>
      </c>
      <c r="K212" s="39" t="s">
        <v>1627</v>
      </c>
    </row>
    <row r="213" spans="1:11" s="3" customFormat="1" ht="16.350000000000001" customHeight="1" x14ac:dyDescent="0.2">
      <c r="A213" s="39" t="s">
        <v>686</v>
      </c>
      <c r="B213" s="39" t="s">
        <v>170</v>
      </c>
      <c r="C213" s="39" t="s">
        <v>162</v>
      </c>
      <c r="D213" s="39"/>
      <c r="E213" s="39" t="s">
        <v>811</v>
      </c>
      <c r="F213" s="39" t="s">
        <v>688</v>
      </c>
      <c r="G213" s="39" t="s">
        <v>1072</v>
      </c>
      <c r="H213" s="39" t="s">
        <v>1575</v>
      </c>
      <c r="I213" s="39" t="s">
        <v>691</v>
      </c>
      <c r="J213" s="39" t="s">
        <v>1575</v>
      </c>
      <c r="K213" s="39" t="s">
        <v>1576</v>
      </c>
    </row>
    <row r="214" spans="1:11" s="3" customFormat="1" ht="16.350000000000001" customHeight="1" x14ac:dyDescent="0.2">
      <c r="A214" s="39" t="s">
        <v>686</v>
      </c>
      <c r="B214" s="39" t="s">
        <v>430</v>
      </c>
      <c r="C214" s="39" t="s">
        <v>442</v>
      </c>
      <c r="D214" s="39"/>
      <c r="E214" s="39" t="s">
        <v>687</v>
      </c>
      <c r="F214" s="39" t="s">
        <v>688</v>
      </c>
      <c r="G214" s="39" t="s">
        <v>770</v>
      </c>
      <c r="H214" s="39" t="s">
        <v>771</v>
      </c>
      <c r="I214" s="39" t="s">
        <v>691</v>
      </c>
      <c r="J214" s="39" t="s">
        <v>772</v>
      </c>
      <c r="K214" s="39" t="s">
        <v>773</v>
      </c>
    </row>
    <row r="215" spans="1:11" s="3" customFormat="1" ht="16.350000000000001" customHeight="1" x14ac:dyDescent="0.2">
      <c r="A215" s="39" t="s">
        <v>686</v>
      </c>
      <c r="B215" s="39" t="s">
        <v>441</v>
      </c>
      <c r="C215" s="39" t="s">
        <v>431</v>
      </c>
      <c r="D215" s="39"/>
      <c r="E215" s="39" t="s">
        <v>694</v>
      </c>
      <c r="F215" s="39" t="s">
        <v>688</v>
      </c>
      <c r="G215" s="39" t="s">
        <v>709</v>
      </c>
      <c r="H215" s="39" t="s">
        <v>710</v>
      </c>
      <c r="I215" s="39" t="s">
        <v>691</v>
      </c>
      <c r="J215" s="39" t="s">
        <v>710</v>
      </c>
      <c r="K215" s="39" t="s">
        <v>711</v>
      </c>
    </row>
    <row r="216" spans="1:11" s="3" customFormat="1" ht="16.350000000000001" customHeight="1" x14ac:dyDescent="0.2">
      <c r="A216" s="39" t="s">
        <v>686</v>
      </c>
      <c r="B216" s="39" t="s">
        <v>449</v>
      </c>
      <c r="C216" s="39" t="s">
        <v>420</v>
      </c>
      <c r="D216" s="39"/>
      <c r="E216" s="39" t="s">
        <v>1068</v>
      </c>
      <c r="F216" s="39" t="s">
        <v>688</v>
      </c>
      <c r="G216" s="39" t="s">
        <v>1557</v>
      </c>
      <c r="H216" s="39" t="s">
        <v>2015</v>
      </c>
      <c r="I216" s="39" t="s">
        <v>691</v>
      </c>
      <c r="J216" s="39" t="s">
        <v>2015</v>
      </c>
      <c r="K216" s="39" t="s">
        <v>2016</v>
      </c>
    </row>
    <row r="217" spans="1:11" s="3" customFormat="1" ht="16.350000000000001" customHeight="1" x14ac:dyDescent="0.2">
      <c r="A217" s="39" t="s">
        <v>686</v>
      </c>
      <c r="B217" s="39" t="s">
        <v>297</v>
      </c>
      <c r="C217" s="39" t="s">
        <v>310</v>
      </c>
      <c r="D217" s="39"/>
      <c r="E217" s="39" t="s">
        <v>1080</v>
      </c>
      <c r="F217" s="39" t="s">
        <v>688</v>
      </c>
      <c r="G217" s="39" t="s">
        <v>1451</v>
      </c>
      <c r="H217" s="39" t="s">
        <v>1452</v>
      </c>
      <c r="I217" s="39" t="s">
        <v>691</v>
      </c>
      <c r="J217" s="39" t="s">
        <v>1452</v>
      </c>
      <c r="K217" s="39" t="s">
        <v>742</v>
      </c>
    </row>
    <row r="218" spans="1:11" s="3" customFormat="1" ht="16.350000000000001" customHeight="1" x14ac:dyDescent="0.2">
      <c r="A218" s="39" t="s">
        <v>686</v>
      </c>
      <c r="B218" s="39" t="s">
        <v>374</v>
      </c>
      <c r="C218" s="39" t="s">
        <v>365</v>
      </c>
      <c r="D218" s="39"/>
      <c r="E218" s="39" t="s">
        <v>1107</v>
      </c>
      <c r="F218" s="39" t="s">
        <v>688</v>
      </c>
      <c r="G218" s="39" t="s">
        <v>1116</v>
      </c>
      <c r="H218" s="39" t="s">
        <v>1117</v>
      </c>
      <c r="I218" s="39" t="s">
        <v>691</v>
      </c>
      <c r="J218" s="39" t="s">
        <v>1117</v>
      </c>
      <c r="K218" s="39" t="s">
        <v>1118</v>
      </c>
    </row>
    <row r="219" spans="1:11" s="3" customFormat="1" ht="16.350000000000001" customHeight="1" x14ac:dyDescent="0.2">
      <c r="A219" s="39" t="s">
        <v>686</v>
      </c>
      <c r="B219" s="39" t="s">
        <v>351</v>
      </c>
      <c r="C219" s="39" t="s">
        <v>343</v>
      </c>
      <c r="D219" s="39"/>
      <c r="E219" s="39" t="s">
        <v>1365</v>
      </c>
      <c r="F219" s="39" t="s">
        <v>688</v>
      </c>
      <c r="G219" s="39" t="s">
        <v>1686</v>
      </c>
      <c r="H219" s="39" t="s">
        <v>1687</v>
      </c>
      <c r="I219" s="39" t="s">
        <v>691</v>
      </c>
      <c r="J219" s="39" t="s">
        <v>1687</v>
      </c>
      <c r="K219" s="39" t="s">
        <v>1688</v>
      </c>
    </row>
    <row r="220" spans="1:11" s="3" customFormat="1" ht="16.350000000000001" customHeight="1" x14ac:dyDescent="0.2">
      <c r="A220" s="39" t="s">
        <v>686</v>
      </c>
      <c r="B220" s="39" t="s">
        <v>585</v>
      </c>
      <c r="C220" s="39" t="s">
        <v>600</v>
      </c>
      <c r="D220" s="39"/>
      <c r="E220" s="39" t="s">
        <v>994</v>
      </c>
      <c r="F220" s="39" t="s">
        <v>688</v>
      </c>
      <c r="G220" s="39" t="s">
        <v>1391</v>
      </c>
      <c r="H220" s="39" t="s">
        <v>1392</v>
      </c>
      <c r="I220" s="39" t="s">
        <v>691</v>
      </c>
      <c r="J220" s="39" t="s">
        <v>1392</v>
      </c>
      <c r="K220" s="39" t="s">
        <v>1393</v>
      </c>
    </row>
    <row r="221" spans="1:11" s="3" customFormat="1" ht="16.350000000000001" customHeight="1" x14ac:dyDescent="0.2">
      <c r="A221" s="39" t="s">
        <v>686</v>
      </c>
      <c r="B221" s="39" t="s">
        <v>363</v>
      </c>
      <c r="C221" s="39" t="s">
        <v>376</v>
      </c>
      <c r="D221" s="39" t="s">
        <v>2041</v>
      </c>
      <c r="E221" s="39" t="s">
        <v>1111</v>
      </c>
      <c r="F221" s="39" t="s">
        <v>948</v>
      </c>
      <c r="G221" s="39" t="s">
        <v>1166</v>
      </c>
      <c r="H221" s="39" t="s">
        <v>1167</v>
      </c>
      <c r="I221" s="39" t="s">
        <v>691</v>
      </c>
      <c r="J221" s="39" t="s">
        <v>1168</v>
      </c>
      <c r="K221" s="39" t="s">
        <v>1169</v>
      </c>
    </row>
    <row r="222" spans="1:11" s="3" customFormat="1" ht="16.350000000000001" customHeight="1" x14ac:dyDescent="0.2">
      <c r="A222" s="39" t="s">
        <v>686</v>
      </c>
      <c r="B222" s="39" t="s">
        <v>417</v>
      </c>
      <c r="C222" s="39" t="s">
        <v>409</v>
      </c>
      <c r="D222" s="39"/>
      <c r="E222" s="39" t="s">
        <v>1517</v>
      </c>
      <c r="F222" s="39" t="s">
        <v>688</v>
      </c>
      <c r="G222" s="39" t="s">
        <v>2020</v>
      </c>
      <c r="H222" s="39" t="s">
        <v>1167</v>
      </c>
      <c r="I222" s="39" t="s">
        <v>691</v>
      </c>
      <c r="J222" s="39" t="s">
        <v>1167</v>
      </c>
      <c r="K222" s="39" t="s">
        <v>2021</v>
      </c>
    </row>
    <row r="223" spans="1:11" s="3" customFormat="1" ht="16.350000000000001" customHeight="1" x14ac:dyDescent="0.2">
      <c r="A223" s="39" t="s">
        <v>686</v>
      </c>
      <c r="B223" s="39" t="s">
        <v>84</v>
      </c>
      <c r="C223" s="39" t="s">
        <v>74</v>
      </c>
      <c r="D223" s="39"/>
      <c r="E223" s="39" t="s">
        <v>811</v>
      </c>
      <c r="F223" s="39" t="s">
        <v>688</v>
      </c>
      <c r="G223" s="39" t="s">
        <v>855</v>
      </c>
      <c r="H223" s="39" t="s">
        <v>856</v>
      </c>
      <c r="I223" s="39" t="s">
        <v>691</v>
      </c>
      <c r="J223" s="39" t="s">
        <v>856</v>
      </c>
      <c r="K223" s="39" t="s">
        <v>857</v>
      </c>
    </row>
    <row r="224" spans="1:11" s="3" customFormat="1" ht="16.350000000000001" customHeight="1" x14ac:dyDescent="0.2">
      <c r="A224" s="39" t="s">
        <v>686</v>
      </c>
      <c r="B224" s="39" t="s">
        <v>105</v>
      </c>
      <c r="C224" s="39" t="s">
        <v>96</v>
      </c>
      <c r="D224" s="39"/>
      <c r="E224" s="39" t="s">
        <v>953</v>
      </c>
      <c r="F224" s="39" t="s">
        <v>688</v>
      </c>
      <c r="G224" s="39" t="s">
        <v>961</v>
      </c>
      <c r="H224" s="39" t="s">
        <v>962</v>
      </c>
      <c r="I224" s="39" t="s">
        <v>691</v>
      </c>
      <c r="J224" s="39" t="s">
        <v>962</v>
      </c>
      <c r="K224" s="39" t="s">
        <v>963</v>
      </c>
    </row>
    <row r="225" spans="1:11" s="3" customFormat="1" ht="16.350000000000001" customHeight="1" x14ac:dyDescent="0.2">
      <c r="A225" s="39" t="s">
        <v>686</v>
      </c>
      <c r="B225" s="39" t="s">
        <v>610</v>
      </c>
      <c r="C225" s="39" t="s">
        <v>622</v>
      </c>
      <c r="D225" s="39"/>
      <c r="E225" s="39" t="s">
        <v>723</v>
      </c>
      <c r="F225" s="39" t="s">
        <v>688</v>
      </c>
      <c r="G225" s="39" t="s">
        <v>799</v>
      </c>
      <c r="H225" s="39" t="s">
        <v>800</v>
      </c>
      <c r="I225" s="39" t="s">
        <v>691</v>
      </c>
      <c r="J225" s="39" t="s">
        <v>800</v>
      </c>
      <c r="K225" s="39" t="s">
        <v>801</v>
      </c>
    </row>
    <row r="226" spans="1:11" s="3" customFormat="1" ht="16.350000000000001" customHeight="1" x14ac:dyDescent="0.2">
      <c r="A226" s="39" t="s">
        <v>686</v>
      </c>
      <c r="B226" s="39" t="s">
        <v>565</v>
      </c>
      <c r="C226" s="39" t="s">
        <v>578</v>
      </c>
      <c r="D226" s="39"/>
      <c r="E226" s="39" t="s">
        <v>1097</v>
      </c>
      <c r="F226" s="39" t="s">
        <v>688</v>
      </c>
      <c r="G226" s="39" t="s">
        <v>1852</v>
      </c>
      <c r="H226" s="39" t="s">
        <v>1853</v>
      </c>
      <c r="I226" s="39" t="s">
        <v>691</v>
      </c>
      <c r="J226" s="39" t="s">
        <v>1853</v>
      </c>
      <c r="K226" s="39" t="s">
        <v>1854</v>
      </c>
    </row>
    <row r="227" spans="1:11" s="3" customFormat="1" ht="16.350000000000001" customHeight="1" x14ac:dyDescent="0.2">
      <c r="A227" s="39" t="s">
        <v>686</v>
      </c>
      <c r="B227" s="39" t="s">
        <v>621</v>
      </c>
      <c r="C227" s="39" t="s">
        <v>611</v>
      </c>
      <c r="D227" s="39"/>
      <c r="E227" s="39" t="s">
        <v>727</v>
      </c>
      <c r="F227" s="39" t="s">
        <v>688</v>
      </c>
      <c r="G227" s="39" t="s">
        <v>740</v>
      </c>
      <c r="H227" s="39" t="s">
        <v>741</v>
      </c>
      <c r="I227" s="39" t="s">
        <v>691</v>
      </c>
      <c r="J227" s="39" t="s">
        <v>741</v>
      </c>
      <c r="K227" s="39" t="s">
        <v>742</v>
      </c>
    </row>
    <row r="228" spans="1:11" s="3" customFormat="1" ht="16.350000000000001" customHeight="1" x14ac:dyDescent="0.2">
      <c r="A228" s="39" t="s">
        <v>686</v>
      </c>
      <c r="B228" s="39" t="s">
        <v>138</v>
      </c>
      <c r="C228" s="39" t="s">
        <v>152</v>
      </c>
      <c r="D228" s="39"/>
      <c r="E228" s="39" t="s">
        <v>723</v>
      </c>
      <c r="F228" s="39" t="s">
        <v>688</v>
      </c>
      <c r="G228" s="39" t="s">
        <v>1595</v>
      </c>
      <c r="H228" s="39" t="s">
        <v>1596</v>
      </c>
      <c r="I228" s="39" t="s">
        <v>691</v>
      </c>
      <c r="J228" s="39" t="s">
        <v>1596</v>
      </c>
      <c r="K228" s="39" t="s">
        <v>1597</v>
      </c>
    </row>
    <row r="229" spans="1:11" s="3" customFormat="1" ht="16.350000000000001" customHeight="1" x14ac:dyDescent="0.2">
      <c r="A229" s="39" t="s">
        <v>686</v>
      </c>
      <c r="B229" s="39" t="s">
        <v>73</v>
      </c>
      <c r="C229" s="39" t="s">
        <v>85</v>
      </c>
      <c r="D229" s="39"/>
      <c r="E229" s="39" t="s">
        <v>723</v>
      </c>
      <c r="F229" s="39" t="s">
        <v>688</v>
      </c>
      <c r="G229" s="39" t="s">
        <v>828</v>
      </c>
      <c r="H229" s="39" t="s">
        <v>829</v>
      </c>
      <c r="I229" s="39" t="s">
        <v>817</v>
      </c>
      <c r="J229" s="39" t="s">
        <v>829</v>
      </c>
      <c r="K229" s="39" t="s">
        <v>830</v>
      </c>
    </row>
    <row r="230" spans="1:11" s="3" customFormat="1" ht="16.350000000000001" customHeight="1" x14ac:dyDescent="0.2">
      <c r="A230" s="39" t="s">
        <v>686</v>
      </c>
      <c r="B230" s="39" t="s">
        <v>204</v>
      </c>
      <c r="C230" s="39" t="s">
        <v>195</v>
      </c>
      <c r="D230" s="39"/>
      <c r="E230" s="39" t="s">
        <v>811</v>
      </c>
      <c r="F230" s="39" t="s">
        <v>688</v>
      </c>
      <c r="G230" s="39" t="s">
        <v>1633</v>
      </c>
      <c r="H230" s="39" t="s">
        <v>1634</v>
      </c>
      <c r="I230" s="39" t="s">
        <v>691</v>
      </c>
      <c r="J230" s="39" t="s">
        <v>1634</v>
      </c>
      <c r="K230" s="39" t="s">
        <v>1635</v>
      </c>
    </row>
    <row r="231" spans="1:11" s="3" customFormat="1" ht="16.350000000000001" customHeight="1" x14ac:dyDescent="0.2">
      <c r="A231" s="39" t="s">
        <v>686</v>
      </c>
      <c r="B231" s="39" t="s">
        <v>532</v>
      </c>
      <c r="C231" s="39" t="s">
        <v>523</v>
      </c>
      <c r="D231" s="39"/>
      <c r="E231" s="39" t="s">
        <v>932</v>
      </c>
      <c r="F231" s="39" t="s">
        <v>688</v>
      </c>
      <c r="G231" s="39" t="s">
        <v>939</v>
      </c>
      <c r="H231" s="39" t="s">
        <v>940</v>
      </c>
      <c r="I231" s="39" t="s">
        <v>691</v>
      </c>
      <c r="J231" s="39" t="s">
        <v>940</v>
      </c>
      <c r="K231" s="39" t="s">
        <v>941</v>
      </c>
    </row>
    <row r="232" spans="1:11" s="3" customFormat="1" ht="16.350000000000001" customHeight="1" x14ac:dyDescent="0.2">
      <c r="A232" s="39" t="s">
        <v>686</v>
      </c>
      <c r="B232" s="39" t="s">
        <v>554</v>
      </c>
      <c r="C232" s="39" t="s">
        <v>545</v>
      </c>
      <c r="D232" s="39"/>
      <c r="E232" s="39" t="s">
        <v>929</v>
      </c>
      <c r="F232" s="39" t="s">
        <v>688</v>
      </c>
      <c r="G232" s="39" t="s">
        <v>981</v>
      </c>
      <c r="H232" s="39" t="s">
        <v>982</v>
      </c>
      <c r="I232" s="39" t="s">
        <v>691</v>
      </c>
      <c r="J232" s="39" t="s">
        <v>982</v>
      </c>
      <c r="K232" s="39" t="s">
        <v>983</v>
      </c>
    </row>
    <row r="233" spans="1:11" s="3" customFormat="1" ht="16.350000000000001" customHeight="1" x14ac:dyDescent="0.2">
      <c r="A233" s="39" t="s">
        <v>686</v>
      </c>
      <c r="B233" s="39" t="s">
        <v>406</v>
      </c>
      <c r="C233" s="39" t="s">
        <v>464</v>
      </c>
      <c r="D233" s="39"/>
      <c r="E233" s="39" t="s">
        <v>1068</v>
      </c>
      <c r="F233" s="39" t="s">
        <v>688</v>
      </c>
      <c r="G233" s="39" t="s">
        <v>1533</v>
      </c>
      <c r="H233" s="39" t="s">
        <v>1534</v>
      </c>
      <c r="I233" s="39" t="s">
        <v>691</v>
      </c>
      <c r="J233" s="39" t="s">
        <v>1535</v>
      </c>
      <c r="K233" s="39" t="s">
        <v>1536</v>
      </c>
    </row>
    <row r="234" spans="1:11" s="3" customFormat="1" ht="16.350000000000001" customHeight="1" x14ac:dyDescent="0.2">
      <c r="A234" s="39" t="s">
        <v>686</v>
      </c>
      <c r="B234" s="39" t="s">
        <v>226</v>
      </c>
      <c r="C234" s="39" t="s">
        <v>173</v>
      </c>
      <c r="D234" s="39"/>
      <c r="E234" s="39" t="s">
        <v>1068</v>
      </c>
      <c r="F234" s="39" t="s">
        <v>688</v>
      </c>
      <c r="G234" s="39" t="s">
        <v>1642</v>
      </c>
      <c r="H234" s="39" t="s">
        <v>1643</v>
      </c>
      <c r="I234" s="39" t="s">
        <v>817</v>
      </c>
      <c r="J234" s="39" t="s">
        <v>1643</v>
      </c>
      <c r="K234" s="39" t="s">
        <v>1644</v>
      </c>
    </row>
    <row r="235" spans="1:11" s="3" customFormat="1" ht="16.350000000000001" customHeight="1" x14ac:dyDescent="0.2">
      <c r="A235" s="39" t="s">
        <v>686</v>
      </c>
      <c r="B235" s="39" t="s">
        <v>510</v>
      </c>
      <c r="C235" s="39" t="s">
        <v>475</v>
      </c>
      <c r="D235" s="39"/>
      <c r="E235" s="39" t="s">
        <v>871</v>
      </c>
      <c r="F235" s="39" t="s">
        <v>688</v>
      </c>
      <c r="G235" s="39" t="s">
        <v>1258</v>
      </c>
      <c r="H235" s="39" t="s">
        <v>1259</v>
      </c>
      <c r="I235" s="39" t="s">
        <v>817</v>
      </c>
      <c r="J235" s="39" t="s">
        <v>1259</v>
      </c>
      <c r="K235" s="39" t="s">
        <v>1260</v>
      </c>
    </row>
    <row r="236" spans="1:11" s="3" customFormat="1" ht="16.350000000000001" customHeight="1" x14ac:dyDescent="0.2">
      <c r="A236" s="39" t="s">
        <v>686</v>
      </c>
      <c r="B236" s="39" t="s">
        <v>330</v>
      </c>
      <c r="C236" s="39" t="s">
        <v>387</v>
      </c>
      <c r="D236" s="39"/>
      <c r="E236" s="39" t="s">
        <v>1064</v>
      </c>
      <c r="F236" s="39" t="s">
        <v>688</v>
      </c>
      <c r="G236" s="39" t="s">
        <v>1484</v>
      </c>
      <c r="H236" s="39" t="s">
        <v>1485</v>
      </c>
      <c r="I236" s="39" t="s">
        <v>691</v>
      </c>
      <c r="J236" s="39" t="s">
        <v>1485</v>
      </c>
      <c r="K236" s="39" t="s">
        <v>1486</v>
      </c>
    </row>
    <row r="237" spans="1:11" s="3" customFormat="1" ht="16.350000000000001" customHeight="1" x14ac:dyDescent="0.2">
      <c r="A237" s="39" t="s">
        <v>686</v>
      </c>
      <c r="B237" s="39" t="s">
        <v>260</v>
      </c>
      <c r="C237" s="39" t="s">
        <v>251</v>
      </c>
      <c r="D237" s="39"/>
      <c r="E237" s="39" t="s">
        <v>875</v>
      </c>
      <c r="F237" s="39" t="s">
        <v>688</v>
      </c>
      <c r="G237" s="39" t="s">
        <v>1303</v>
      </c>
      <c r="H237" s="39" t="s">
        <v>1304</v>
      </c>
      <c r="I237" s="39" t="s">
        <v>691</v>
      </c>
      <c r="J237" s="39" t="s">
        <v>1304</v>
      </c>
      <c r="K237" s="39" t="s">
        <v>1305</v>
      </c>
    </row>
    <row r="238" spans="1:11" s="3" customFormat="1" ht="16.350000000000001" customHeight="1" x14ac:dyDescent="0.2">
      <c r="A238" s="39" t="s">
        <v>686</v>
      </c>
      <c r="B238" s="39" t="s">
        <v>319</v>
      </c>
      <c r="C238" s="39" t="s">
        <v>299</v>
      </c>
      <c r="D238" s="39"/>
      <c r="E238" s="39" t="s">
        <v>727</v>
      </c>
      <c r="F238" s="39" t="s">
        <v>688</v>
      </c>
      <c r="G238" s="39" t="s">
        <v>1335</v>
      </c>
      <c r="H238" s="39" t="s">
        <v>903</v>
      </c>
      <c r="I238" s="39" t="s">
        <v>691</v>
      </c>
      <c r="J238" s="39" t="s">
        <v>903</v>
      </c>
      <c r="K238" s="39" t="s">
        <v>1336</v>
      </c>
    </row>
    <row r="239" spans="1:11" s="3" customFormat="1" ht="16.350000000000001" customHeight="1" x14ac:dyDescent="0.2">
      <c r="A239" s="39" t="s">
        <v>686</v>
      </c>
      <c r="B239" s="39" t="s">
        <v>127</v>
      </c>
      <c r="C239" s="39" t="s">
        <v>141</v>
      </c>
      <c r="D239" s="39"/>
      <c r="E239" s="39" t="s">
        <v>994</v>
      </c>
      <c r="F239" s="39" t="s">
        <v>688</v>
      </c>
      <c r="G239" s="39" t="s">
        <v>1668</v>
      </c>
      <c r="H239" s="39" t="s">
        <v>1669</v>
      </c>
      <c r="I239" s="39" t="s">
        <v>691</v>
      </c>
      <c r="J239" s="39" t="s">
        <v>1669</v>
      </c>
      <c r="K239" s="39" t="s">
        <v>1670</v>
      </c>
    </row>
    <row r="240" spans="1:11" s="3" customFormat="1" ht="16.350000000000001" customHeight="1" x14ac:dyDescent="0.2">
      <c r="A240" s="39" t="s">
        <v>686</v>
      </c>
      <c r="B240" s="39" t="s">
        <v>474</v>
      </c>
      <c r="C240" s="39" t="s">
        <v>486</v>
      </c>
      <c r="D240" s="39"/>
      <c r="E240" s="39" t="s">
        <v>867</v>
      </c>
      <c r="F240" s="39" t="s">
        <v>688</v>
      </c>
      <c r="G240" s="39" t="s">
        <v>882</v>
      </c>
      <c r="H240" s="39" t="s">
        <v>883</v>
      </c>
      <c r="I240" s="39" t="s">
        <v>691</v>
      </c>
      <c r="J240" s="39" t="s">
        <v>883</v>
      </c>
      <c r="K240" s="39" t="s">
        <v>884</v>
      </c>
    </row>
    <row r="241" spans="1:11" s="3" customFormat="1" ht="16.350000000000001" customHeight="1" x14ac:dyDescent="0.2">
      <c r="A241" s="39" t="s">
        <v>686</v>
      </c>
      <c r="B241" s="39" t="s">
        <v>642</v>
      </c>
      <c r="C241" s="39" t="s">
        <v>633</v>
      </c>
      <c r="D241" s="39" t="s">
        <v>2041</v>
      </c>
      <c r="E241" s="39" t="s">
        <v>727</v>
      </c>
      <c r="F241" s="39" t="s">
        <v>688</v>
      </c>
      <c r="G241" s="39" t="s">
        <v>1756</v>
      </c>
      <c r="H241" s="39" t="s">
        <v>1757</v>
      </c>
      <c r="I241" s="39" t="s">
        <v>691</v>
      </c>
      <c r="J241" s="39" t="s">
        <v>1757</v>
      </c>
      <c r="K241" s="39" t="s">
        <v>1758</v>
      </c>
    </row>
    <row r="242" spans="1:11" s="3" customFormat="1" ht="16.350000000000001" customHeight="1" x14ac:dyDescent="0.2">
      <c r="A242" s="39" t="s">
        <v>686</v>
      </c>
      <c r="B242" s="39" t="s">
        <v>485</v>
      </c>
      <c r="C242" s="39" t="s">
        <v>501</v>
      </c>
      <c r="D242" s="39"/>
      <c r="E242" s="39" t="s">
        <v>871</v>
      </c>
      <c r="F242" s="39" t="s">
        <v>688</v>
      </c>
      <c r="G242" s="39" t="s">
        <v>903</v>
      </c>
      <c r="H242" s="39" t="s">
        <v>904</v>
      </c>
      <c r="I242" s="39" t="s">
        <v>817</v>
      </c>
      <c r="J242" s="39" t="s">
        <v>904</v>
      </c>
      <c r="K242" s="39" t="s">
        <v>905</v>
      </c>
    </row>
    <row r="243" spans="1:11" s="3" customFormat="1" ht="16.350000000000001" customHeight="1" x14ac:dyDescent="0.2">
      <c r="A243" s="39" t="s">
        <v>686</v>
      </c>
      <c r="B243" s="39" t="s">
        <v>597</v>
      </c>
      <c r="C243" s="39" t="s">
        <v>567</v>
      </c>
      <c r="D243" s="39"/>
      <c r="E243" s="39" t="s">
        <v>990</v>
      </c>
      <c r="F243" s="39" t="s">
        <v>688</v>
      </c>
      <c r="G243" s="39" t="s">
        <v>2025</v>
      </c>
      <c r="H243" s="39" t="s">
        <v>2026</v>
      </c>
      <c r="I243" s="39" t="s">
        <v>691</v>
      </c>
      <c r="J243" s="39" t="s">
        <v>2027</v>
      </c>
      <c r="K243" s="39" t="s">
        <v>2028</v>
      </c>
    </row>
    <row r="244" spans="1:11" s="3" customFormat="1" ht="16.350000000000001" customHeight="1" x14ac:dyDescent="0.2">
      <c r="A244" s="39" t="s">
        <v>686</v>
      </c>
      <c r="B244" s="39" t="s">
        <v>664</v>
      </c>
      <c r="C244" s="39" t="s">
        <v>655</v>
      </c>
      <c r="D244" s="39"/>
      <c r="E244" s="39" t="s">
        <v>1176</v>
      </c>
      <c r="F244" s="39" t="s">
        <v>688</v>
      </c>
      <c r="G244" s="39" t="s">
        <v>1715</v>
      </c>
      <c r="H244" s="39" t="s">
        <v>1716</v>
      </c>
      <c r="I244" s="39" t="s">
        <v>691</v>
      </c>
      <c r="J244" s="39" t="s">
        <v>1716</v>
      </c>
      <c r="K244" s="39" t="s">
        <v>1717</v>
      </c>
    </row>
    <row r="245" spans="1:11" s="3" customFormat="1" ht="16.350000000000001" customHeight="1" x14ac:dyDescent="0.2">
      <c r="A245" s="39" t="s">
        <v>686</v>
      </c>
      <c r="B245" s="39" t="s">
        <v>215</v>
      </c>
      <c r="C245" s="39" t="s">
        <v>207</v>
      </c>
      <c r="D245" s="39"/>
      <c r="E245" s="39" t="s">
        <v>990</v>
      </c>
      <c r="F245" s="39" t="s">
        <v>688</v>
      </c>
      <c r="G245" s="39" t="s">
        <v>1597</v>
      </c>
      <c r="H245" s="39" t="s">
        <v>1677</v>
      </c>
      <c r="I245" s="39" t="s">
        <v>691</v>
      </c>
      <c r="J245" s="39" t="s">
        <v>1677</v>
      </c>
      <c r="K245" s="39" t="s">
        <v>1678</v>
      </c>
    </row>
    <row r="246" spans="1:11" s="3" customFormat="1" ht="16.350000000000001" customHeight="1" x14ac:dyDescent="0.2">
      <c r="A246" s="39" t="s">
        <v>686</v>
      </c>
      <c r="B246" s="39" t="s">
        <v>237</v>
      </c>
      <c r="C246" s="39" t="s">
        <v>229</v>
      </c>
      <c r="D246" s="39"/>
      <c r="E246" s="39" t="s">
        <v>811</v>
      </c>
      <c r="F246" s="39" t="s">
        <v>688</v>
      </c>
      <c r="G246" s="39" t="s">
        <v>1696</v>
      </c>
      <c r="H246" s="39" t="s">
        <v>1697</v>
      </c>
      <c r="I246" s="39" t="s">
        <v>691</v>
      </c>
      <c r="J246" s="39" t="s">
        <v>1697</v>
      </c>
      <c r="K246" s="39" t="s">
        <v>1698</v>
      </c>
    </row>
    <row r="247" spans="1:11" s="3" customFormat="1" ht="16.350000000000001" customHeight="1" x14ac:dyDescent="0.2">
      <c r="A247" s="39" t="s">
        <v>686</v>
      </c>
      <c r="B247" s="39" t="s">
        <v>275</v>
      </c>
      <c r="C247" s="39" t="s">
        <v>262</v>
      </c>
      <c r="D247" s="39"/>
      <c r="E247" s="39" t="s">
        <v>915</v>
      </c>
      <c r="F247" s="39" t="s">
        <v>688</v>
      </c>
      <c r="G247" s="39" t="s">
        <v>1413</v>
      </c>
      <c r="H247" s="39" t="s">
        <v>1414</v>
      </c>
      <c r="I247" s="39" t="s">
        <v>691</v>
      </c>
      <c r="J247" s="39" t="s">
        <v>1415</v>
      </c>
      <c r="K247" s="39" t="s">
        <v>1416</v>
      </c>
    </row>
    <row r="248" spans="1:11" s="3" customFormat="1" ht="16.350000000000001" customHeight="1" x14ac:dyDescent="0.2">
      <c r="A248" s="39" t="s">
        <v>686</v>
      </c>
      <c r="B248" s="39" t="s">
        <v>461</v>
      </c>
      <c r="C248" s="39" t="s">
        <v>453</v>
      </c>
      <c r="D248" s="39"/>
      <c r="E248" s="39" t="s">
        <v>1517</v>
      </c>
      <c r="F248" s="39" t="s">
        <v>688</v>
      </c>
      <c r="G248" s="39" t="s">
        <v>1518</v>
      </c>
      <c r="H248" s="39" t="s">
        <v>1519</v>
      </c>
      <c r="I248" s="39" t="s">
        <v>691</v>
      </c>
      <c r="J248" s="39" t="s">
        <v>1519</v>
      </c>
      <c r="K248" s="39" t="s">
        <v>1520</v>
      </c>
    </row>
    <row r="249" spans="1:11" s="3" customFormat="1" ht="16.350000000000001" customHeight="1" x14ac:dyDescent="0.2">
      <c r="A249" s="39" t="s">
        <v>686</v>
      </c>
      <c r="B249" s="39" t="s">
        <v>95</v>
      </c>
      <c r="C249" s="39" t="s">
        <v>107</v>
      </c>
      <c r="D249" s="39"/>
      <c r="E249" s="39" t="s">
        <v>723</v>
      </c>
      <c r="F249" s="39" t="s">
        <v>688</v>
      </c>
      <c r="G249" s="39" t="s">
        <v>2047</v>
      </c>
      <c r="H249" s="39" t="s">
        <v>2048</v>
      </c>
      <c r="I249" s="39" t="s">
        <v>691</v>
      </c>
      <c r="J249" s="39" t="s">
        <v>1052</v>
      </c>
      <c r="K249" s="39" t="s">
        <v>1053</v>
      </c>
    </row>
    <row r="250" spans="1:11" s="3" customFormat="1" ht="16.350000000000001" customHeight="1" x14ac:dyDescent="0.2">
      <c r="A250" s="39" t="s">
        <v>686</v>
      </c>
      <c r="B250" s="39" t="s">
        <v>116</v>
      </c>
      <c r="C250" s="39" t="s">
        <v>130</v>
      </c>
      <c r="D250" s="39"/>
      <c r="E250" s="39" t="s">
        <v>723</v>
      </c>
      <c r="F250" s="39" t="s">
        <v>688</v>
      </c>
      <c r="G250" s="39" t="s">
        <v>1705</v>
      </c>
      <c r="H250" s="39" t="s">
        <v>1706</v>
      </c>
      <c r="I250" s="39" t="s">
        <v>691</v>
      </c>
      <c r="J250" s="39" t="s">
        <v>1706</v>
      </c>
      <c r="K250" s="39" t="s">
        <v>1707</v>
      </c>
    </row>
    <row r="251" spans="1:11" s="3" customFormat="1" ht="16.350000000000001" customHeight="1" x14ac:dyDescent="0.2">
      <c r="A251" s="39" t="s">
        <v>686</v>
      </c>
      <c r="B251" s="39" t="s">
        <v>182</v>
      </c>
      <c r="C251" s="39" t="s">
        <v>218</v>
      </c>
      <c r="D251" s="39"/>
      <c r="E251" s="39" t="s">
        <v>811</v>
      </c>
      <c r="F251" s="39" t="s">
        <v>688</v>
      </c>
      <c r="G251" s="39" t="s">
        <v>1770</v>
      </c>
      <c r="H251" s="39" t="s">
        <v>1771</v>
      </c>
      <c r="I251" s="39" t="s">
        <v>691</v>
      </c>
      <c r="J251" s="39" t="s">
        <v>1771</v>
      </c>
      <c r="K251" s="39" t="s">
        <v>1772</v>
      </c>
    </row>
    <row r="252" spans="1:11" s="3" customFormat="1" ht="16.350000000000001" customHeight="1" x14ac:dyDescent="0.2">
      <c r="A252" s="39" t="s">
        <v>686</v>
      </c>
      <c r="B252" s="39" t="s">
        <v>522</v>
      </c>
      <c r="C252" s="39" t="s">
        <v>534</v>
      </c>
      <c r="D252" s="39"/>
      <c r="E252" s="39" t="s">
        <v>929</v>
      </c>
      <c r="F252" s="39" t="s">
        <v>688</v>
      </c>
      <c r="G252" s="39" t="s">
        <v>1132</v>
      </c>
      <c r="H252" s="39" t="s">
        <v>1133</v>
      </c>
      <c r="I252" s="39" t="s">
        <v>691</v>
      </c>
      <c r="J252" s="39" t="s">
        <v>1133</v>
      </c>
      <c r="K252" s="39" t="s">
        <v>1134</v>
      </c>
    </row>
    <row r="253" spans="1:11" s="3" customFormat="1" ht="16.350000000000001" customHeight="1" x14ac:dyDescent="0.2">
      <c r="A253" s="39" t="s">
        <v>686</v>
      </c>
      <c r="B253" s="39" t="s">
        <v>341</v>
      </c>
      <c r="C253" s="39" t="s">
        <v>354</v>
      </c>
      <c r="D253" s="39" t="s">
        <v>2041</v>
      </c>
      <c r="E253" s="39" t="s">
        <v>1111</v>
      </c>
      <c r="F253" s="39" t="s">
        <v>948</v>
      </c>
      <c r="G253" s="39" t="s">
        <v>1736</v>
      </c>
      <c r="H253" s="39" t="s">
        <v>1737</v>
      </c>
      <c r="I253" s="39" t="s">
        <v>691</v>
      </c>
      <c r="J253" s="39" t="s">
        <v>1738</v>
      </c>
      <c r="K253" s="39" t="s">
        <v>1739</v>
      </c>
    </row>
    <row r="254" spans="1:11" s="3" customFormat="1" ht="16.350000000000001" customHeight="1" x14ac:dyDescent="0.2">
      <c r="A254" s="39" t="s">
        <v>686</v>
      </c>
      <c r="B254" s="39" t="s">
        <v>385</v>
      </c>
      <c r="C254" s="39" t="s">
        <v>398</v>
      </c>
      <c r="D254" s="39"/>
      <c r="E254" s="39" t="s">
        <v>1068</v>
      </c>
      <c r="F254" s="39" t="s">
        <v>688</v>
      </c>
      <c r="G254" s="39" t="s">
        <v>1426</v>
      </c>
      <c r="H254" s="39" t="s">
        <v>1427</v>
      </c>
      <c r="I254" s="39" t="s">
        <v>691</v>
      </c>
      <c r="J254" s="39" t="s">
        <v>1428</v>
      </c>
      <c r="K254" s="39" t="s">
        <v>1429</v>
      </c>
    </row>
    <row r="255" spans="1:11" s="3" customFormat="1" ht="16.350000000000001" customHeight="1" x14ac:dyDescent="0.2">
      <c r="A255" s="39" t="s">
        <v>686</v>
      </c>
      <c r="B255" s="39" t="s">
        <v>160</v>
      </c>
      <c r="C255" s="39" t="s">
        <v>240</v>
      </c>
      <c r="D255" s="39"/>
      <c r="E255" s="39" t="s">
        <v>1068</v>
      </c>
      <c r="F255" s="39" t="s">
        <v>688</v>
      </c>
      <c r="G255" s="39" t="s">
        <v>1786</v>
      </c>
      <c r="H255" s="39" t="s">
        <v>1787</v>
      </c>
      <c r="I255" s="39" t="s">
        <v>817</v>
      </c>
      <c r="J255" s="39" t="s">
        <v>1787</v>
      </c>
      <c r="K255" s="39" t="s">
        <v>712</v>
      </c>
    </row>
    <row r="256" spans="1:11" s="3" customFormat="1" ht="16.350000000000001" customHeight="1" x14ac:dyDescent="0.2">
      <c r="A256" s="39" t="s">
        <v>686</v>
      </c>
      <c r="B256" s="39" t="s">
        <v>544</v>
      </c>
      <c r="C256" s="39" t="s">
        <v>556</v>
      </c>
      <c r="D256" s="39"/>
      <c r="E256" s="39" t="s">
        <v>971</v>
      </c>
      <c r="F256" s="39" t="s">
        <v>688</v>
      </c>
      <c r="G256" s="39" t="s">
        <v>1150</v>
      </c>
      <c r="H256" s="39" t="s">
        <v>1151</v>
      </c>
      <c r="I256" s="39" t="s">
        <v>691</v>
      </c>
      <c r="J256" s="39" t="s">
        <v>1151</v>
      </c>
      <c r="K256" s="39" t="s">
        <v>1152</v>
      </c>
    </row>
    <row r="257" spans="1:11" s="3" customFormat="1" ht="16.350000000000001" customHeight="1" x14ac:dyDescent="0.2">
      <c r="A257" s="39" t="s">
        <v>686</v>
      </c>
      <c r="B257" s="39" t="s">
        <v>577</v>
      </c>
      <c r="C257" s="39" t="s">
        <v>589</v>
      </c>
      <c r="D257" s="39"/>
      <c r="E257" s="39" t="s">
        <v>990</v>
      </c>
      <c r="F257" s="39" t="s">
        <v>688</v>
      </c>
      <c r="G257" s="39" t="s">
        <v>1618</v>
      </c>
      <c r="H257" s="39" t="s">
        <v>1619</v>
      </c>
      <c r="I257" s="39" t="s">
        <v>691</v>
      </c>
      <c r="J257" s="39" t="s">
        <v>1619</v>
      </c>
      <c r="K257" s="39" t="s">
        <v>1620</v>
      </c>
    </row>
    <row r="258" spans="1:11" s="3" customFormat="1" ht="16.350000000000001" customHeight="1" x14ac:dyDescent="0.2">
      <c r="A258" s="39" t="s">
        <v>686</v>
      </c>
      <c r="B258" s="39" t="s">
        <v>287</v>
      </c>
      <c r="C258" s="39" t="s">
        <v>277</v>
      </c>
      <c r="D258" s="39"/>
      <c r="E258" s="39" t="s">
        <v>875</v>
      </c>
      <c r="F258" s="39" t="s">
        <v>688</v>
      </c>
      <c r="G258" s="39" t="s">
        <v>1585</v>
      </c>
      <c r="H258" s="39" t="s">
        <v>1586</v>
      </c>
      <c r="I258" s="39" t="s">
        <v>691</v>
      </c>
      <c r="J258" s="39" t="s">
        <v>1586</v>
      </c>
      <c r="K258" s="39" t="s">
        <v>1587</v>
      </c>
    </row>
    <row r="259" spans="1:11" s="3" customFormat="1" ht="16.350000000000001" customHeight="1" x14ac:dyDescent="0.2">
      <c r="A259" s="39" t="s">
        <v>686</v>
      </c>
      <c r="B259" s="39" t="s">
        <v>500</v>
      </c>
      <c r="C259" s="39" t="s">
        <v>512</v>
      </c>
      <c r="D259" s="39"/>
      <c r="E259" s="39" t="s">
        <v>875</v>
      </c>
      <c r="F259" s="39" t="s">
        <v>688</v>
      </c>
      <c r="G259" s="39" t="s">
        <v>1030</v>
      </c>
      <c r="H259" s="39" t="s">
        <v>1031</v>
      </c>
      <c r="I259" s="39" t="s">
        <v>691</v>
      </c>
      <c r="J259" s="39" t="s">
        <v>1031</v>
      </c>
      <c r="K259" s="39" t="s">
        <v>1032</v>
      </c>
    </row>
    <row r="260" spans="1:11" s="3" customFormat="1" ht="16.350000000000001" customHeight="1" x14ac:dyDescent="0.2">
      <c r="A260" s="39" t="s">
        <v>686</v>
      </c>
      <c r="B260" s="39" t="s">
        <v>150</v>
      </c>
      <c r="C260" s="39" t="s">
        <v>119</v>
      </c>
      <c r="D260" s="39"/>
      <c r="E260" s="39" t="s">
        <v>994</v>
      </c>
      <c r="F260" s="39" t="s">
        <v>688</v>
      </c>
      <c r="G260" s="39" t="s">
        <v>1801</v>
      </c>
      <c r="H260" s="39" t="s">
        <v>1802</v>
      </c>
      <c r="I260" s="39" t="s">
        <v>691</v>
      </c>
      <c r="J260" s="39" t="s">
        <v>1802</v>
      </c>
      <c r="K260" s="39" t="s">
        <v>1803</v>
      </c>
    </row>
    <row r="261" spans="1:11" s="3" customFormat="1" ht="16.350000000000001" customHeight="1" x14ac:dyDescent="0.2">
      <c r="A261" s="39" t="s">
        <v>686</v>
      </c>
      <c r="B261" s="39" t="s">
        <v>396</v>
      </c>
      <c r="C261" s="39" t="s">
        <v>321</v>
      </c>
      <c r="D261" s="39"/>
      <c r="E261" s="39" t="s">
        <v>1064</v>
      </c>
      <c r="F261" s="39" t="s">
        <v>688</v>
      </c>
      <c r="G261" s="39" t="s">
        <v>1221</v>
      </c>
      <c r="H261" s="39" t="s">
        <v>1222</v>
      </c>
      <c r="I261" s="39" t="s">
        <v>691</v>
      </c>
      <c r="J261" s="39" t="s">
        <v>1223</v>
      </c>
      <c r="K261" s="39" t="s">
        <v>1224</v>
      </c>
    </row>
    <row r="262" spans="1:11" s="3" customFormat="1" ht="16.350000000000001" customHeight="1" x14ac:dyDescent="0.2">
      <c r="A262" s="39" t="s">
        <v>686</v>
      </c>
      <c r="B262" s="39" t="s">
        <v>309</v>
      </c>
      <c r="C262" s="39" t="s">
        <v>332</v>
      </c>
      <c r="D262" s="39"/>
      <c r="E262" s="39" t="s">
        <v>727</v>
      </c>
      <c r="F262" s="39" t="s">
        <v>688</v>
      </c>
      <c r="G262" s="39" t="s">
        <v>1605</v>
      </c>
      <c r="H262" s="39" t="s">
        <v>1606</v>
      </c>
      <c r="I262" s="39" t="s">
        <v>691</v>
      </c>
      <c r="J262" s="39" t="s">
        <v>1606</v>
      </c>
      <c r="K262" s="39" t="s">
        <v>1607</v>
      </c>
    </row>
    <row r="263" spans="1:11" s="3" customFormat="1" ht="16.350000000000001" customHeight="1" x14ac:dyDescent="0.2">
      <c r="A263" s="39" t="s">
        <v>686</v>
      </c>
      <c r="B263" s="39" t="s">
        <v>631</v>
      </c>
      <c r="C263" s="39" t="s">
        <v>645</v>
      </c>
      <c r="D263" s="39"/>
      <c r="E263" s="39" t="s">
        <v>1176</v>
      </c>
      <c r="F263" s="39" t="s">
        <v>688</v>
      </c>
      <c r="G263" s="39" t="s">
        <v>1650</v>
      </c>
      <c r="H263" s="39" t="s">
        <v>1816</v>
      </c>
      <c r="I263" s="39" t="s">
        <v>691</v>
      </c>
      <c r="J263" s="39" t="s">
        <v>1816</v>
      </c>
      <c r="K263" s="39" t="s">
        <v>1817</v>
      </c>
    </row>
    <row r="264" spans="1:11" s="3" customFormat="1" ht="16.350000000000001" customHeight="1" x14ac:dyDescent="0.2">
      <c r="A264" s="39" t="s">
        <v>686</v>
      </c>
      <c r="B264" s="39" t="s">
        <v>193</v>
      </c>
      <c r="C264" s="39" t="s">
        <v>185</v>
      </c>
      <c r="D264" s="39"/>
      <c r="E264" s="39" t="s">
        <v>990</v>
      </c>
      <c r="F264" s="39" t="s">
        <v>688</v>
      </c>
      <c r="G264" s="39" t="s">
        <v>1824</v>
      </c>
      <c r="H264" s="39" t="s">
        <v>1825</v>
      </c>
      <c r="I264" s="39" t="s">
        <v>691</v>
      </c>
      <c r="J264" s="39" t="s">
        <v>1825</v>
      </c>
      <c r="K264" s="39" t="s">
        <v>1826</v>
      </c>
    </row>
    <row r="265" spans="1:11" s="3" customFormat="1" ht="16.350000000000001" customHeight="1" x14ac:dyDescent="0.2">
      <c r="A265" s="39" t="s">
        <v>686</v>
      </c>
      <c r="B265" s="39" t="s">
        <v>250</v>
      </c>
      <c r="C265" s="39" t="s">
        <v>289</v>
      </c>
      <c r="D265" s="39"/>
      <c r="E265" s="39" t="s">
        <v>915</v>
      </c>
      <c r="F265" s="39" t="s">
        <v>688</v>
      </c>
      <c r="G265" s="39" t="s">
        <v>923</v>
      </c>
      <c r="H265" s="39" t="s">
        <v>924</v>
      </c>
      <c r="I265" s="39" t="s">
        <v>691</v>
      </c>
      <c r="J265" s="39" t="s">
        <v>924</v>
      </c>
      <c r="K265" s="39" t="s">
        <v>925</v>
      </c>
    </row>
    <row r="266" spans="1:11" s="3" customFormat="1" ht="16.350000000000001" customHeight="1" x14ac:dyDescent="0.2">
      <c r="A266" s="39" t="s">
        <v>686</v>
      </c>
      <c r="B266" s="39" t="s">
        <v>653</v>
      </c>
      <c r="C266" s="39" t="s">
        <v>667</v>
      </c>
      <c r="D266" s="39"/>
      <c r="E266" s="39" t="s">
        <v>723</v>
      </c>
      <c r="F266" s="39" t="s">
        <v>688</v>
      </c>
      <c r="G266" s="39" t="s">
        <v>1861</v>
      </c>
      <c r="H266" s="39" t="s">
        <v>1862</v>
      </c>
      <c r="I266" s="39" t="s">
        <v>691</v>
      </c>
      <c r="J266" s="39" t="s">
        <v>1863</v>
      </c>
      <c r="K266" s="39" t="s">
        <v>1864</v>
      </c>
    </row>
    <row r="267" spans="1:11" s="3" customFormat="1" ht="16.350000000000001" customHeight="1" x14ac:dyDescent="0.2">
      <c r="A267" s="39" t="s">
        <v>686</v>
      </c>
      <c r="B267" s="39" t="s">
        <v>171</v>
      </c>
      <c r="C267" s="39" t="s">
        <v>163</v>
      </c>
      <c r="D267" s="39"/>
      <c r="E267" s="39" t="s">
        <v>811</v>
      </c>
      <c r="F267" s="39" t="s">
        <v>688</v>
      </c>
      <c r="G267" s="39" t="s">
        <v>1429</v>
      </c>
      <c r="H267" s="39" t="s">
        <v>1833</v>
      </c>
      <c r="I267" s="39" t="s">
        <v>691</v>
      </c>
      <c r="J267" s="39" t="s">
        <v>1833</v>
      </c>
      <c r="K267" s="39" t="s">
        <v>1834</v>
      </c>
    </row>
    <row r="268" spans="1:11" s="3" customFormat="1" ht="16.350000000000001" customHeight="1" x14ac:dyDescent="0.2">
      <c r="A268" s="39" t="s">
        <v>686</v>
      </c>
      <c r="B268" s="39" t="s">
        <v>431</v>
      </c>
      <c r="C268" s="39" t="s">
        <v>443</v>
      </c>
      <c r="D268" s="39"/>
      <c r="E268" s="39" t="s">
        <v>687</v>
      </c>
      <c r="F268" s="39" t="s">
        <v>688</v>
      </c>
      <c r="G268" s="39" t="s">
        <v>712</v>
      </c>
      <c r="H268" s="39" t="s">
        <v>713</v>
      </c>
      <c r="I268" s="39" t="s">
        <v>691</v>
      </c>
      <c r="J268" s="39" t="s">
        <v>714</v>
      </c>
      <c r="K268" s="39" t="s">
        <v>715</v>
      </c>
    </row>
    <row r="269" spans="1:11" s="3" customFormat="1" ht="16.350000000000001" customHeight="1" x14ac:dyDescent="0.2">
      <c r="A269" s="39" t="s">
        <v>686</v>
      </c>
      <c r="B269" s="39" t="s">
        <v>442</v>
      </c>
      <c r="C269" s="39" t="s">
        <v>432</v>
      </c>
      <c r="D269" s="39"/>
      <c r="E269" s="39" t="s">
        <v>694</v>
      </c>
      <c r="F269" s="39" t="s">
        <v>688</v>
      </c>
      <c r="G269" s="39" t="s">
        <v>774</v>
      </c>
      <c r="H269" s="39" t="s">
        <v>775</v>
      </c>
      <c r="I269" s="39" t="s">
        <v>691</v>
      </c>
      <c r="J269" s="39" t="s">
        <v>775</v>
      </c>
      <c r="K269" s="39" t="s">
        <v>776</v>
      </c>
    </row>
    <row r="270" spans="1:11" s="3" customFormat="1" ht="16.350000000000001" customHeight="1" x14ac:dyDescent="0.2">
      <c r="A270" s="39" t="s">
        <v>686</v>
      </c>
      <c r="B270" s="39" t="s">
        <v>450</v>
      </c>
      <c r="C270" s="39" t="s">
        <v>421</v>
      </c>
      <c r="D270" s="39"/>
      <c r="E270" s="39" t="s">
        <v>1068</v>
      </c>
      <c r="F270" s="39" t="s">
        <v>688</v>
      </c>
      <c r="G270" s="39" t="s">
        <v>1650</v>
      </c>
      <c r="H270" s="39" t="s">
        <v>1651</v>
      </c>
      <c r="I270" s="39" t="s">
        <v>691</v>
      </c>
      <c r="J270" s="39" t="s">
        <v>1651</v>
      </c>
      <c r="K270" s="39" t="s">
        <v>1652</v>
      </c>
    </row>
    <row r="271" spans="1:11" s="3" customFormat="1" ht="16.350000000000001" customHeight="1" x14ac:dyDescent="0.2">
      <c r="A271" s="39" t="s">
        <v>686</v>
      </c>
      <c r="B271" s="39" t="s">
        <v>298</v>
      </c>
      <c r="C271" s="39" t="s">
        <v>311</v>
      </c>
      <c r="D271" s="39"/>
      <c r="E271" s="39" t="s">
        <v>1080</v>
      </c>
      <c r="F271" s="39" t="s">
        <v>688</v>
      </c>
      <c r="G271" s="39" t="s">
        <v>1728</v>
      </c>
      <c r="H271" s="39" t="s">
        <v>1729</v>
      </c>
      <c r="I271" s="39" t="s">
        <v>691</v>
      </c>
      <c r="J271" s="39" t="s">
        <v>1729</v>
      </c>
      <c r="K271" s="39" t="s">
        <v>804</v>
      </c>
    </row>
    <row r="272" spans="1:11" s="3" customFormat="1" ht="16.350000000000001" customHeight="1" x14ac:dyDescent="0.2">
      <c r="A272" s="39" t="s">
        <v>686</v>
      </c>
      <c r="B272" s="39" t="s">
        <v>375</v>
      </c>
      <c r="C272" s="39" t="s">
        <v>366</v>
      </c>
      <c r="D272" s="39"/>
      <c r="E272" s="39" t="s">
        <v>1107</v>
      </c>
      <c r="F272" s="39" t="s">
        <v>688</v>
      </c>
      <c r="G272" s="39" t="s">
        <v>1507</v>
      </c>
      <c r="H272" s="39" t="s">
        <v>1508</v>
      </c>
      <c r="I272" s="39" t="s">
        <v>691</v>
      </c>
      <c r="J272" s="39" t="s">
        <v>1508</v>
      </c>
      <c r="K272" s="39" t="s">
        <v>1509</v>
      </c>
    </row>
    <row r="273" spans="1:11" s="3" customFormat="1" ht="16.350000000000001" customHeight="1" x14ac:dyDescent="0.2">
      <c r="A273" s="39" t="s">
        <v>686</v>
      </c>
      <c r="B273" s="39" t="s">
        <v>352</v>
      </c>
      <c r="C273" s="39" t="s">
        <v>344</v>
      </c>
      <c r="D273" s="39"/>
      <c r="E273" s="39" t="s">
        <v>1365</v>
      </c>
      <c r="F273" s="39" t="s">
        <v>688</v>
      </c>
      <c r="G273" s="39" t="s">
        <v>1907</v>
      </c>
      <c r="H273" s="39" t="s">
        <v>1908</v>
      </c>
      <c r="I273" s="39" t="s">
        <v>691</v>
      </c>
      <c r="J273" s="39" t="s">
        <v>1908</v>
      </c>
      <c r="K273" s="39" t="s">
        <v>1909</v>
      </c>
    </row>
    <row r="274" spans="1:11" s="3" customFormat="1" ht="16.350000000000001" customHeight="1" x14ac:dyDescent="0.2">
      <c r="A274" s="39" t="s">
        <v>686</v>
      </c>
      <c r="B274" s="39" t="s">
        <v>586</v>
      </c>
      <c r="C274" s="39" t="s">
        <v>601</v>
      </c>
      <c r="D274" s="39"/>
      <c r="E274" s="39" t="s">
        <v>994</v>
      </c>
      <c r="F274" s="39" t="s">
        <v>688</v>
      </c>
      <c r="G274" s="39" t="s">
        <v>1104</v>
      </c>
      <c r="H274" s="39" t="s">
        <v>1105</v>
      </c>
      <c r="I274" s="39" t="s">
        <v>691</v>
      </c>
      <c r="J274" s="39" t="s">
        <v>1105</v>
      </c>
      <c r="K274" s="39" t="s">
        <v>1106</v>
      </c>
    </row>
    <row r="275" spans="1:11" s="3" customFormat="1" ht="16.350000000000001" customHeight="1" x14ac:dyDescent="0.2">
      <c r="A275" s="39" t="s">
        <v>686</v>
      </c>
      <c r="B275" s="39" t="s">
        <v>418</v>
      </c>
      <c r="C275" s="39" t="s">
        <v>410</v>
      </c>
      <c r="D275" s="39"/>
      <c r="E275" s="39" t="s">
        <v>1517</v>
      </c>
      <c r="F275" s="39" t="s">
        <v>688</v>
      </c>
      <c r="G275" s="39" t="s">
        <v>1764</v>
      </c>
      <c r="H275" s="39" t="s">
        <v>1765</v>
      </c>
      <c r="I275" s="39" t="s">
        <v>691</v>
      </c>
      <c r="J275" s="39" t="s">
        <v>1765</v>
      </c>
      <c r="K275" s="39" t="s">
        <v>1766</v>
      </c>
    </row>
    <row r="276" spans="1:11" s="3" customFormat="1" ht="16.350000000000001" customHeight="1" x14ac:dyDescent="0.2">
      <c r="A276" s="39" t="s">
        <v>686</v>
      </c>
      <c r="B276" s="39" t="s">
        <v>364</v>
      </c>
      <c r="C276" s="39" t="s">
        <v>377</v>
      </c>
      <c r="D276" s="39" t="s">
        <v>2041</v>
      </c>
      <c r="E276" s="39" t="s">
        <v>1111</v>
      </c>
      <c r="F276" s="39" t="s">
        <v>948</v>
      </c>
      <c r="G276" s="39" t="s">
        <v>1547</v>
      </c>
      <c r="H276" s="39" t="s">
        <v>1548</v>
      </c>
      <c r="I276" s="39" t="s">
        <v>691</v>
      </c>
      <c r="J276" s="39" t="s">
        <v>1549</v>
      </c>
      <c r="K276" s="39" t="s">
        <v>1550</v>
      </c>
    </row>
    <row r="277" spans="1:11" s="3" customFormat="1" ht="16.350000000000001" customHeight="1" x14ac:dyDescent="0.2">
      <c r="A277" s="39" t="s">
        <v>686</v>
      </c>
      <c r="B277" s="39" t="s">
        <v>85</v>
      </c>
      <c r="C277" s="39" t="s">
        <v>75</v>
      </c>
      <c r="D277" s="39"/>
      <c r="E277" s="39" t="s">
        <v>811</v>
      </c>
      <c r="F277" s="39" t="s">
        <v>688</v>
      </c>
      <c r="G277" s="39" t="s">
        <v>831</v>
      </c>
      <c r="H277" s="39" t="s">
        <v>832</v>
      </c>
      <c r="I277" s="39" t="s">
        <v>691</v>
      </c>
      <c r="J277" s="39" t="s">
        <v>832</v>
      </c>
      <c r="K277" s="39" t="s">
        <v>833</v>
      </c>
    </row>
    <row r="278" spans="1:11" s="3" customFormat="1" ht="16.350000000000001" customHeight="1" x14ac:dyDescent="0.2">
      <c r="A278" s="39" t="s">
        <v>686</v>
      </c>
      <c r="B278" s="39" t="s">
        <v>106</v>
      </c>
      <c r="C278" s="39" t="s">
        <v>97</v>
      </c>
      <c r="D278" s="39"/>
      <c r="E278" s="39" t="s">
        <v>953</v>
      </c>
      <c r="F278" s="39" t="s">
        <v>688</v>
      </c>
      <c r="G278" s="39" t="s">
        <v>1353</v>
      </c>
      <c r="H278" s="39" t="s">
        <v>1354</v>
      </c>
      <c r="I278" s="39" t="s">
        <v>691</v>
      </c>
      <c r="J278" s="39" t="s">
        <v>1355</v>
      </c>
      <c r="K278" s="39" t="s">
        <v>1356</v>
      </c>
    </row>
    <row r="279" spans="1:11" s="3" customFormat="1" ht="16.350000000000001" customHeight="1" x14ac:dyDescent="0.2">
      <c r="A279" s="39" t="s">
        <v>686</v>
      </c>
      <c r="B279" s="39" t="s">
        <v>611</v>
      </c>
      <c r="C279" s="39" t="s">
        <v>623</v>
      </c>
      <c r="D279" s="39"/>
      <c r="E279" s="39" t="s">
        <v>723</v>
      </c>
      <c r="F279" s="39" t="s">
        <v>688</v>
      </c>
      <c r="G279" s="39" t="s">
        <v>743</v>
      </c>
      <c r="H279" s="39" t="s">
        <v>744</v>
      </c>
      <c r="I279" s="39" t="s">
        <v>691</v>
      </c>
      <c r="J279" s="39" t="s">
        <v>745</v>
      </c>
      <c r="K279" s="39" t="s">
        <v>746</v>
      </c>
    </row>
    <row r="280" spans="1:11" s="3" customFormat="1" ht="16.350000000000001" customHeight="1" x14ac:dyDescent="0.2">
      <c r="A280" s="39" t="s">
        <v>686</v>
      </c>
      <c r="B280" s="39" t="s">
        <v>566</v>
      </c>
      <c r="C280" s="39" t="s">
        <v>579</v>
      </c>
      <c r="D280" s="39"/>
      <c r="E280" s="39" t="s">
        <v>1097</v>
      </c>
      <c r="F280" s="39" t="s">
        <v>688</v>
      </c>
      <c r="G280" s="39" t="s">
        <v>1983</v>
      </c>
      <c r="H280" s="39" t="s">
        <v>1984</v>
      </c>
      <c r="I280" s="39" t="s">
        <v>691</v>
      </c>
      <c r="J280" s="39" t="s">
        <v>1984</v>
      </c>
      <c r="K280" s="39" t="s">
        <v>1985</v>
      </c>
    </row>
    <row r="281" spans="1:11" s="3" customFormat="1" ht="16.350000000000001" customHeight="1" x14ac:dyDescent="0.2">
      <c r="A281" s="39" t="s">
        <v>686</v>
      </c>
      <c r="B281" s="39" t="s">
        <v>622</v>
      </c>
      <c r="C281" s="39" t="s">
        <v>612</v>
      </c>
      <c r="D281" s="39"/>
      <c r="E281" s="39" t="s">
        <v>727</v>
      </c>
      <c r="F281" s="39" t="s">
        <v>688</v>
      </c>
      <c r="G281" s="39" t="s">
        <v>802</v>
      </c>
      <c r="H281" s="39" t="s">
        <v>803</v>
      </c>
      <c r="I281" s="39" t="s">
        <v>691</v>
      </c>
      <c r="J281" s="39" t="s">
        <v>803</v>
      </c>
      <c r="K281" s="39" t="s">
        <v>804</v>
      </c>
    </row>
    <row r="282" spans="1:11" s="3" customFormat="1" ht="16.350000000000001" customHeight="1" x14ac:dyDescent="0.2">
      <c r="A282" s="39" t="s">
        <v>686</v>
      </c>
      <c r="B282" s="39" t="s">
        <v>139</v>
      </c>
      <c r="C282" s="39" t="s">
        <v>153</v>
      </c>
      <c r="D282" s="39"/>
      <c r="E282" s="39" t="s">
        <v>723</v>
      </c>
      <c r="F282" s="39" t="s">
        <v>688</v>
      </c>
      <c r="G282" s="39" t="s">
        <v>1841</v>
      </c>
      <c r="H282" s="39" t="s">
        <v>1842</v>
      </c>
      <c r="I282" s="39" t="s">
        <v>691</v>
      </c>
      <c r="J282" s="39" t="s">
        <v>1843</v>
      </c>
      <c r="K282" s="39" t="s">
        <v>1844</v>
      </c>
    </row>
    <row r="283" spans="1:11" s="3" customFormat="1" ht="16.350000000000001" customHeight="1" x14ac:dyDescent="0.2">
      <c r="A283" s="39" t="s">
        <v>686</v>
      </c>
      <c r="B283" s="39" t="s">
        <v>74</v>
      </c>
      <c r="C283" s="39" t="s">
        <v>86</v>
      </c>
      <c r="D283" s="39"/>
      <c r="E283" s="39" t="s">
        <v>723</v>
      </c>
      <c r="F283" s="39" t="s">
        <v>688</v>
      </c>
      <c r="G283" s="39" t="s">
        <v>858</v>
      </c>
      <c r="H283" s="39" t="s">
        <v>859</v>
      </c>
      <c r="I283" s="39" t="s">
        <v>817</v>
      </c>
      <c r="J283" s="39" t="s">
        <v>859</v>
      </c>
      <c r="K283" s="39" t="s">
        <v>860</v>
      </c>
    </row>
    <row r="284" spans="1:11" s="3" customFormat="1" ht="16.350000000000001" customHeight="1" x14ac:dyDescent="0.2">
      <c r="A284" s="39" t="s">
        <v>686</v>
      </c>
      <c r="B284" s="39" t="s">
        <v>205</v>
      </c>
      <c r="C284" s="39" t="s">
        <v>196</v>
      </c>
      <c r="D284" s="39"/>
      <c r="E284" s="39" t="s">
        <v>811</v>
      </c>
      <c r="F284" s="39" t="s">
        <v>688</v>
      </c>
      <c r="G284" s="39" t="s">
        <v>1870</v>
      </c>
      <c r="H284" s="39" t="s">
        <v>1871</v>
      </c>
      <c r="I284" s="39" t="s">
        <v>691</v>
      </c>
      <c r="J284" s="39" t="s">
        <v>1871</v>
      </c>
      <c r="K284" s="39" t="s">
        <v>1872</v>
      </c>
    </row>
    <row r="285" spans="1:11" s="3" customFormat="1" ht="16.350000000000001" customHeight="1" x14ac:dyDescent="0.2">
      <c r="A285" s="39" t="s">
        <v>686</v>
      </c>
      <c r="B285" s="39" t="s">
        <v>533</v>
      </c>
      <c r="C285" s="39" t="s">
        <v>524</v>
      </c>
      <c r="D285" s="39"/>
      <c r="E285" s="39" t="s">
        <v>932</v>
      </c>
      <c r="F285" s="39" t="s">
        <v>688</v>
      </c>
      <c r="G285" s="39" t="s">
        <v>1321</v>
      </c>
      <c r="H285" s="39" t="s">
        <v>1322</v>
      </c>
      <c r="I285" s="39" t="s">
        <v>691</v>
      </c>
      <c r="J285" s="39" t="s">
        <v>1322</v>
      </c>
      <c r="K285" s="39" t="s">
        <v>1323</v>
      </c>
    </row>
    <row r="286" spans="1:11" s="3" customFormat="1" ht="16.350000000000001" customHeight="1" x14ac:dyDescent="0.2">
      <c r="A286" s="39" t="s">
        <v>686</v>
      </c>
      <c r="B286" s="39" t="s">
        <v>555</v>
      </c>
      <c r="C286" s="39" t="s">
        <v>546</v>
      </c>
      <c r="D286" s="39"/>
      <c r="E286" s="39" t="s">
        <v>929</v>
      </c>
      <c r="F286" s="39" t="s">
        <v>688</v>
      </c>
      <c r="G286" s="39" t="s">
        <v>1382</v>
      </c>
      <c r="H286" s="39" t="s">
        <v>1383</v>
      </c>
      <c r="I286" s="39" t="s">
        <v>691</v>
      </c>
      <c r="J286" s="39" t="s">
        <v>1383</v>
      </c>
      <c r="K286" s="39" t="s">
        <v>1384</v>
      </c>
    </row>
    <row r="287" spans="1:11" s="3" customFormat="1" ht="16.350000000000001" customHeight="1" x14ac:dyDescent="0.2">
      <c r="A287" s="39" t="s">
        <v>686</v>
      </c>
      <c r="B287" s="39" t="s">
        <v>407</v>
      </c>
      <c r="C287" s="39" t="s">
        <v>465</v>
      </c>
      <c r="D287" s="39"/>
      <c r="E287" s="39" t="s">
        <v>1068</v>
      </c>
      <c r="F287" s="39" t="s">
        <v>688</v>
      </c>
      <c r="G287" s="39" t="s">
        <v>1810</v>
      </c>
      <c r="H287" s="39" t="s">
        <v>1811</v>
      </c>
      <c r="I287" s="39" t="s">
        <v>691</v>
      </c>
      <c r="J287" s="39" t="s">
        <v>1811</v>
      </c>
      <c r="K287" s="39" t="s">
        <v>1812</v>
      </c>
    </row>
    <row r="288" spans="1:11" s="3" customFormat="1" ht="16.350000000000001" customHeight="1" x14ac:dyDescent="0.2">
      <c r="A288" s="39" t="s">
        <v>686</v>
      </c>
      <c r="B288" s="39" t="s">
        <v>227</v>
      </c>
      <c r="C288" s="39" t="s">
        <v>174</v>
      </c>
      <c r="D288" s="39"/>
      <c r="E288" s="39" t="s">
        <v>1068</v>
      </c>
      <c r="F288" s="39" t="s">
        <v>688</v>
      </c>
      <c r="G288" s="39" t="s">
        <v>1879</v>
      </c>
      <c r="H288" s="39" t="s">
        <v>1880</v>
      </c>
      <c r="I288" s="39" t="s">
        <v>817</v>
      </c>
      <c r="J288" s="39" t="s">
        <v>1880</v>
      </c>
      <c r="K288" s="39" t="s">
        <v>1881</v>
      </c>
    </row>
    <row r="289" spans="1:11" s="3" customFormat="1" ht="16.350000000000001" customHeight="1" x14ac:dyDescent="0.2">
      <c r="A289" s="39" t="s">
        <v>686</v>
      </c>
      <c r="B289" s="39" t="s">
        <v>511</v>
      </c>
      <c r="C289" s="39" t="s">
        <v>476</v>
      </c>
      <c r="D289" s="39"/>
      <c r="E289" s="39" t="s">
        <v>871</v>
      </c>
      <c r="F289" s="39" t="s">
        <v>688</v>
      </c>
      <c r="G289" s="39" t="s">
        <v>1241</v>
      </c>
      <c r="H289" s="39" t="s">
        <v>1242</v>
      </c>
      <c r="I289" s="39" t="s">
        <v>817</v>
      </c>
      <c r="J289" s="39" t="s">
        <v>1242</v>
      </c>
      <c r="K289" s="39" t="s">
        <v>1243</v>
      </c>
    </row>
    <row r="290" spans="1:11" s="3" customFormat="1" ht="16.350000000000001" customHeight="1" x14ac:dyDescent="0.2">
      <c r="A290" s="39" t="s">
        <v>686</v>
      </c>
      <c r="B290" s="39" t="s">
        <v>331</v>
      </c>
      <c r="C290" s="39" t="s">
        <v>388</v>
      </c>
      <c r="D290" s="39"/>
      <c r="E290" s="39" t="s">
        <v>1064</v>
      </c>
      <c r="F290" s="39" t="s">
        <v>688</v>
      </c>
      <c r="G290" s="39" t="s">
        <v>1206</v>
      </c>
      <c r="H290" s="39" t="s">
        <v>1207</v>
      </c>
      <c r="I290" s="39" t="s">
        <v>691</v>
      </c>
      <c r="J290" s="39" t="s">
        <v>1207</v>
      </c>
      <c r="K290" s="39" t="s">
        <v>1208</v>
      </c>
    </row>
    <row r="291" spans="1:11" s="3" customFormat="1" ht="16.350000000000001" customHeight="1" x14ac:dyDescent="0.2">
      <c r="A291" s="39" t="s">
        <v>686</v>
      </c>
      <c r="B291" s="39" t="s">
        <v>261</v>
      </c>
      <c r="C291" s="39" t="s">
        <v>252</v>
      </c>
      <c r="D291" s="39"/>
      <c r="E291" s="39" t="s">
        <v>875</v>
      </c>
      <c r="F291" s="39" t="s">
        <v>688</v>
      </c>
      <c r="G291" s="39" t="s">
        <v>1012</v>
      </c>
      <c r="H291" s="39" t="s">
        <v>1013</v>
      </c>
      <c r="I291" s="39" t="s">
        <v>691</v>
      </c>
      <c r="J291" s="39" t="s">
        <v>1013</v>
      </c>
      <c r="K291" s="39" t="s">
        <v>1014</v>
      </c>
    </row>
    <row r="292" spans="1:11" s="3" customFormat="1" ht="16.350000000000001" customHeight="1" x14ac:dyDescent="0.2">
      <c r="A292" s="39" t="s">
        <v>686</v>
      </c>
      <c r="B292" s="39" t="s">
        <v>320</v>
      </c>
      <c r="C292" s="39" t="s">
        <v>300</v>
      </c>
      <c r="D292" s="39"/>
      <c r="E292" s="39" t="s">
        <v>727</v>
      </c>
      <c r="F292" s="39" t="s">
        <v>688</v>
      </c>
      <c r="G292" s="39" t="s">
        <v>1661</v>
      </c>
      <c r="H292" s="39" t="s">
        <v>885</v>
      </c>
      <c r="I292" s="39" t="s">
        <v>691</v>
      </c>
      <c r="J292" s="39" t="s">
        <v>885</v>
      </c>
      <c r="K292" s="39" t="s">
        <v>1662</v>
      </c>
    </row>
    <row r="293" spans="1:11" s="3" customFormat="1" ht="16.350000000000001" customHeight="1" x14ac:dyDescent="0.2">
      <c r="A293" s="39" t="s">
        <v>686</v>
      </c>
      <c r="B293" s="39" t="s">
        <v>128</v>
      </c>
      <c r="C293" s="39" t="s">
        <v>142</v>
      </c>
      <c r="D293" s="39"/>
      <c r="E293" s="39" t="s">
        <v>994</v>
      </c>
      <c r="F293" s="39" t="s">
        <v>688</v>
      </c>
      <c r="G293" s="39" t="s">
        <v>1892</v>
      </c>
      <c r="H293" s="39" t="s">
        <v>1893</v>
      </c>
      <c r="I293" s="39" t="s">
        <v>691</v>
      </c>
      <c r="J293" s="39" t="s">
        <v>1893</v>
      </c>
      <c r="K293" s="39" t="s">
        <v>1894</v>
      </c>
    </row>
    <row r="294" spans="1:11" s="3" customFormat="1" ht="16.350000000000001" customHeight="1" x14ac:dyDescent="0.2">
      <c r="A294" s="39" t="s">
        <v>686</v>
      </c>
      <c r="B294" s="39" t="s">
        <v>475</v>
      </c>
      <c r="C294" s="39" t="s">
        <v>487</v>
      </c>
      <c r="D294" s="39"/>
      <c r="E294" s="39" t="s">
        <v>867</v>
      </c>
      <c r="F294" s="39" t="s">
        <v>688</v>
      </c>
      <c r="G294" s="39" t="s">
        <v>1261</v>
      </c>
      <c r="H294" s="39" t="s">
        <v>1262</v>
      </c>
      <c r="I294" s="39" t="s">
        <v>691</v>
      </c>
      <c r="J294" s="39" t="s">
        <v>1262</v>
      </c>
      <c r="K294" s="39" t="s">
        <v>1263</v>
      </c>
    </row>
    <row r="295" spans="1:11" s="3" customFormat="1" ht="16.350000000000001" customHeight="1" x14ac:dyDescent="0.2">
      <c r="A295" s="39" t="s">
        <v>686</v>
      </c>
      <c r="B295" s="39" t="s">
        <v>643</v>
      </c>
      <c r="C295" s="39" t="s">
        <v>634</v>
      </c>
      <c r="D295" s="39" t="s">
        <v>2041</v>
      </c>
      <c r="E295" s="39" t="s">
        <v>727</v>
      </c>
      <c r="F295" s="39" t="s">
        <v>688</v>
      </c>
      <c r="G295" s="39" t="s">
        <v>1180</v>
      </c>
      <c r="H295" s="39" t="s">
        <v>1181</v>
      </c>
      <c r="I295" s="39" t="s">
        <v>691</v>
      </c>
      <c r="J295" s="39" t="s">
        <v>1181</v>
      </c>
      <c r="K295" s="39" t="s">
        <v>1182</v>
      </c>
    </row>
    <row r="296" spans="1:11" s="3" customFormat="1" ht="16.350000000000001" customHeight="1" x14ac:dyDescent="0.2">
      <c r="A296" s="39" t="s">
        <v>686</v>
      </c>
      <c r="B296" s="39" t="s">
        <v>486</v>
      </c>
      <c r="C296" s="39" t="s">
        <v>502</v>
      </c>
      <c r="D296" s="39"/>
      <c r="E296" s="39" t="s">
        <v>871</v>
      </c>
      <c r="F296" s="39" t="s">
        <v>688</v>
      </c>
      <c r="G296" s="39" t="s">
        <v>885</v>
      </c>
      <c r="H296" s="39" t="s">
        <v>886</v>
      </c>
      <c r="I296" s="39" t="s">
        <v>817</v>
      </c>
      <c r="J296" s="39" t="s">
        <v>886</v>
      </c>
      <c r="K296" s="39" t="s">
        <v>887</v>
      </c>
    </row>
    <row r="297" spans="1:11" s="3" customFormat="1" ht="16.350000000000001" customHeight="1" x14ac:dyDescent="0.2">
      <c r="A297" s="39" t="s">
        <v>686</v>
      </c>
      <c r="B297" s="39" t="s">
        <v>598</v>
      </c>
      <c r="C297" s="39" t="s">
        <v>568</v>
      </c>
      <c r="D297" s="39"/>
      <c r="E297" s="39" t="s">
        <v>990</v>
      </c>
      <c r="F297" s="39" t="s">
        <v>688</v>
      </c>
      <c r="G297" s="39" t="s">
        <v>1746</v>
      </c>
      <c r="H297" s="39" t="s">
        <v>1747</v>
      </c>
      <c r="I297" s="39" t="s">
        <v>691</v>
      </c>
      <c r="J297" s="39" t="s">
        <v>1748</v>
      </c>
      <c r="K297" s="39" t="s">
        <v>1749</v>
      </c>
    </row>
    <row r="298" spans="1:11" s="3" customFormat="1" ht="16.350000000000001" customHeight="1" x14ac:dyDescent="0.2">
      <c r="A298" s="39" t="s">
        <v>686</v>
      </c>
      <c r="B298" s="39" t="s">
        <v>665</v>
      </c>
      <c r="C298" s="39" t="s">
        <v>656</v>
      </c>
      <c r="D298" s="39"/>
      <c r="E298" s="39" t="s">
        <v>1176</v>
      </c>
      <c r="F298" s="39" t="s">
        <v>688</v>
      </c>
      <c r="G298" s="39" t="s">
        <v>1293</v>
      </c>
      <c r="H298" s="39" t="s">
        <v>1294</v>
      </c>
      <c r="I298" s="39" t="s">
        <v>691</v>
      </c>
      <c r="J298" s="39" t="s">
        <v>1294</v>
      </c>
      <c r="K298" s="39" t="s">
        <v>1295</v>
      </c>
    </row>
    <row r="299" spans="1:11" s="3" customFormat="1" ht="16.350000000000001" customHeight="1" x14ac:dyDescent="0.2">
      <c r="A299" s="39" t="s">
        <v>686</v>
      </c>
      <c r="B299" s="39" t="s">
        <v>216</v>
      </c>
      <c r="C299" s="39" t="s">
        <v>208</v>
      </c>
      <c r="D299" s="39"/>
      <c r="E299" s="39" t="s">
        <v>990</v>
      </c>
      <c r="F299" s="39" t="s">
        <v>688</v>
      </c>
      <c r="G299" s="39" t="s">
        <v>1844</v>
      </c>
      <c r="H299" s="39" t="s">
        <v>1898</v>
      </c>
      <c r="I299" s="39" t="s">
        <v>691</v>
      </c>
      <c r="J299" s="39" t="s">
        <v>1898</v>
      </c>
      <c r="K299" s="39" t="s">
        <v>1899</v>
      </c>
    </row>
    <row r="300" spans="1:11" s="3" customFormat="1" ht="16.350000000000001" customHeight="1" x14ac:dyDescent="0.2">
      <c r="A300" s="39" t="s">
        <v>686</v>
      </c>
      <c r="B300" s="39" t="s">
        <v>238</v>
      </c>
      <c r="C300" s="39" t="s">
        <v>230</v>
      </c>
      <c r="D300" s="39"/>
      <c r="E300" s="39" t="s">
        <v>811</v>
      </c>
      <c r="F300" s="39" t="s">
        <v>688</v>
      </c>
      <c r="G300" s="39" t="s">
        <v>1916</v>
      </c>
      <c r="H300" s="39" t="s">
        <v>1917</v>
      </c>
      <c r="I300" s="39" t="s">
        <v>691</v>
      </c>
      <c r="J300" s="39" t="s">
        <v>1917</v>
      </c>
      <c r="K300" s="39" t="s">
        <v>1918</v>
      </c>
    </row>
    <row r="301" spans="1:11" s="3" customFormat="1" ht="16.350000000000001" customHeight="1" x14ac:dyDescent="0.2">
      <c r="A301" s="39" t="s">
        <v>686</v>
      </c>
      <c r="B301" s="39" t="s">
        <v>276</v>
      </c>
      <c r="C301" s="39" t="s">
        <v>263</v>
      </c>
      <c r="D301" s="39"/>
      <c r="E301" s="39" t="s">
        <v>915</v>
      </c>
      <c r="F301" s="39" t="s">
        <v>688</v>
      </c>
      <c r="G301" s="39" t="s">
        <v>1192</v>
      </c>
      <c r="H301" s="39" t="s">
        <v>1193</v>
      </c>
      <c r="I301" s="39" t="s">
        <v>691</v>
      </c>
      <c r="J301" s="39" t="s">
        <v>1194</v>
      </c>
      <c r="K301" s="39" t="s">
        <v>1195</v>
      </c>
    </row>
    <row r="302" spans="1:11" s="3" customFormat="1" ht="16.350000000000001" customHeight="1" x14ac:dyDescent="0.2">
      <c r="A302" s="39" t="s">
        <v>686</v>
      </c>
      <c r="B302" s="39" t="s">
        <v>462</v>
      </c>
      <c r="C302" s="39" t="s">
        <v>454</v>
      </c>
      <c r="D302" s="39"/>
      <c r="E302" s="39" t="s">
        <v>1517</v>
      </c>
      <c r="F302" s="39" t="s">
        <v>688</v>
      </c>
      <c r="G302" s="39" t="s">
        <v>1795</v>
      </c>
      <c r="H302" s="39" t="s">
        <v>1796</v>
      </c>
      <c r="I302" s="39" t="s">
        <v>691</v>
      </c>
      <c r="J302" s="39" t="s">
        <v>1796</v>
      </c>
      <c r="K302" s="39" t="s">
        <v>1797</v>
      </c>
    </row>
    <row r="303" spans="1:11" s="3" customFormat="1" ht="16.350000000000001" customHeight="1" x14ac:dyDescent="0.2">
      <c r="A303" s="39" t="s">
        <v>686</v>
      </c>
      <c r="B303" s="39" t="s">
        <v>96</v>
      </c>
      <c r="C303" s="39" t="s">
        <v>108</v>
      </c>
      <c r="D303" s="39"/>
      <c r="E303" s="39" t="s">
        <v>723</v>
      </c>
      <c r="F303" s="39" t="s">
        <v>688</v>
      </c>
      <c r="G303" s="39" t="s">
        <v>2049</v>
      </c>
      <c r="H303" s="39" t="s">
        <v>966</v>
      </c>
      <c r="I303" s="39" t="s">
        <v>691</v>
      </c>
      <c r="J303" s="39" t="s">
        <v>966</v>
      </c>
      <c r="K303" s="39" t="s">
        <v>967</v>
      </c>
    </row>
    <row r="304" spans="1:11" s="3" customFormat="1" ht="16.350000000000001" customHeight="1" x14ac:dyDescent="0.2">
      <c r="A304" s="39" t="s">
        <v>686</v>
      </c>
      <c r="B304" s="39" t="s">
        <v>117</v>
      </c>
      <c r="C304" s="39" t="s">
        <v>131</v>
      </c>
      <c r="D304" s="39"/>
      <c r="E304" s="39" t="s">
        <v>723</v>
      </c>
      <c r="F304" s="39" t="s">
        <v>688</v>
      </c>
      <c r="G304" s="39" t="s">
        <v>1925</v>
      </c>
      <c r="H304" s="39" t="s">
        <v>1926</v>
      </c>
      <c r="I304" s="39" t="s">
        <v>691</v>
      </c>
      <c r="J304" s="39" t="s">
        <v>1926</v>
      </c>
      <c r="K304" s="39" t="s">
        <v>1927</v>
      </c>
    </row>
    <row r="305" spans="1:11" s="3" customFormat="1" ht="16.350000000000001" customHeight="1" x14ac:dyDescent="0.2">
      <c r="A305" s="39" t="s">
        <v>686</v>
      </c>
      <c r="B305" s="39" t="s">
        <v>183</v>
      </c>
      <c r="C305" s="39" t="s">
        <v>219</v>
      </c>
      <c r="D305" s="39"/>
      <c r="E305" s="39" t="s">
        <v>811</v>
      </c>
      <c r="F305" s="39" t="s">
        <v>688</v>
      </c>
      <c r="G305" s="39" t="s">
        <v>1936</v>
      </c>
      <c r="H305" s="39" t="s">
        <v>1937</v>
      </c>
      <c r="I305" s="39" t="s">
        <v>691</v>
      </c>
      <c r="J305" s="39" t="s">
        <v>1937</v>
      </c>
      <c r="K305" s="39" t="s">
        <v>1938</v>
      </c>
    </row>
    <row r="306" spans="1:11" s="3" customFormat="1" ht="16.350000000000001" customHeight="1" x14ac:dyDescent="0.2">
      <c r="A306" s="39" t="s">
        <v>686</v>
      </c>
      <c r="B306" s="39" t="s">
        <v>523</v>
      </c>
      <c r="C306" s="39" t="s">
        <v>535</v>
      </c>
      <c r="D306" s="39"/>
      <c r="E306" s="39" t="s">
        <v>929</v>
      </c>
      <c r="F306" s="39" t="s">
        <v>688</v>
      </c>
      <c r="G306" s="39" t="s">
        <v>942</v>
      </c>
      <c r="H306" s="39" t="s">
        <v>943</v>
      </c>
      <c r="I306" s="39" t="s">
        <v>691</v>
      </c>
      <c r="J306" s="39" t="s">
        <v>943</v>
      </c>
      <c r="K306" s="39" t="s">
        <v>944</v>
      </c>
    </row>
    <row r="307" spans="1:11" s="3" customFormat="1" ht="16.350000000000001" customHeight="1" x14ac:dyDescent="0.2">
      <c r="A307" s="39" t="s">
        <v>686</v>
      </c>
      <c r="B307" s="39" t="s">
        <v>342</v>
      </c>
      <c r="C307" s="39" t="s">
        <v>355</v>
      </c>
      <c r="D307" s="39" t="s">
        <v>2041</v>
      </c>
      <c r="E307" s="39" t="s">
        <v>1111</v>
      </c>
      <c r="F307" s="39" t="s">
        <v>948</v>
      </c>
      <c r="G307" s="39" t="s">
        <v>1369</v>
      </c>
      <c r="H307" s="39" t="s">
        <v>1370</v>
      </c>
      <c r="I307" s="39" t="s">
        <v>691</v>
      </c>
      <c r="J307" s="39" t="s">
        <v>1371</v>
      </c>
      <c r="K307" s="39" t="s">
        <v>1372</v>
      </c>
    </row>
    <row r="308" spans="1:11" s="3" customFormat="1" ht="16.350000000000001" customHeight="1" x14ac:dyDescent="0.2">
      <c r="A308" s="39" t="s">
        <v>686</v>
      </c>
      <c r="B308" s="39" t="s">
        <v>386</v>
      </c>
      <c r="C308" s="39" t="s">
        <v>399</v>
      </c>
      <c r="D308" s="39"/>
      <c r="E308" s="39" t="s">
        <v>1068</v>
      </c>
      <c r="F308" s="39" t="s">
        <v>688</v>
      </c>
      <c r="G308" s="39" t="s">
        <v>1089</v>
      </c>
      <c r="H308" s="39" t="s">
        <v>1090</v>
      </c>
      <c r="I308" s="39" t="s">
        <v>691</v>
      </c>
      <c r="J308" s="39" t="s">
        <v>1091</v>
      </c>
      <c r="K308" s="39" t="s">
        <v>1092</v>
      </c>
    </row>
    <row r="309" spans="1:11" s="3" customFormat="1" ht="16.350000000000001" customHeight="1" x14ac:dyDescent="0.2">
      <c r="A309" s="39" t="s">
        <v>686</v>
      </c>
      <c r="B309" s="39" t="s">
        <v>161</v>
      </c>
      <c r="C309" s="39" t="s">
        <v>241</v>
      </c>
      <c r="D309" s="39"/>
      <c r="E309" s="39" t="s">
        <v>1068</v>
      </c>
      <c r="F309" s="39" t="s">
        <v>688</v>
      </c>
      <c r="G309" s="39" t="s">
        <v>1941</v>
      </c>
      <c r="H309" s="39" t="s">
        <v>1942</v>
      </c>
      <c r="I309" s="39" t="s">
        <v>817</v>
      </c>
      <c r="J309" s="39" t="s">
        <v>1942</v>
      </c>
      <c r="K309" s="39" t="s">
        <v>777</v>
      </c>
    </row>
    <row r="310" spans="1:11" s="3" customFormat="1" ht="16.350000000000001" customHeight="1" x14ac:dyDescent="0.2">
      <c r="A310" s="39" t="s">
        <v>686</v>
      </c>
      <c r="B310" s="39" t="s">
        <v>545</v>
      </c>
      <c r="C310" s="39" t="s">
        <v>557</v>
      </c>
      <c r="D310" s="39"/>
      <c r="E310" s="39" t="s">
        <v>971</v>
      </c>
      <c r="F310" s="39" t="s">
        <v>688</v>
      </c>
      <c r="G310" s="39" t="s">
        <v>984</v>
      </c>
      <c r="H310" s="39" t="s">
        <v>985</v>
      </c>
      <c r="I310" s="39" t="s">
        <v>691</v>
      </c>
      <c r="J310" s="39" t="s">
        <v>985</v>
      </c>
      <c r="K310" s="39" t="s">
        <v>986</v>
      </c>
    </row>
    <row r="311" spans="1:11" s="3" customFormat="1" ht="16.350000000000001" customHeight="1" x14ac:dyDescent="0.2">
      <c r="A311" s="39" t="s">
        <v>686</v>
      </c>
      <c r="B311" s="39" t="s">
        <v>578</v>
      </c>
      <c r="C311" s="39" t="s">
        <v>590</v>
      </c>
      <c r="D311" s="39"/>
      <c r="E311" s="39" t="s">
        <v>990</v>
      </c>
      <c r="F311" s="39" t="s">
        <v>688</v>
      </c>
      <c r="G311" s="39" t="s">
        <v>1855</v>
      </c>
      <c r="H311" s="39" t="s">
        <v>1856</v>
      </c>
      <c r="I311" s="39" t="s">
        <v>691</v>
      </c>
      <c r="J311" s="39" t="s">
        <v>1856</v>
      </c>
      <c r="K311" s="39" t="s">
        <v>1857</v>
      </c>
    </row>
    <row r="312" spans="1:11" s="3" customFormat="1" ht="16.350000000000001" customHeight="1" x14ac:dyDescent="0.2">
      <c r="A312" s="39" t="s">
        <v>686</v>
      </c>
      <c r="B312" s="39" t="s">
        <v>288</v>
      </c>
      <c r="C312" s="39" t="s">
        <v>278</v>
      </c>
      <c r="D312" s="39"/>
      <c r="E312" s="39" t="s">
        <v>875</v>
      </c>
      <c r="F312" s="39" t="s">
        <v>688</v>
      </c>
      <c r="G312" s="39" t="s">
        <v>1279</v>
      </c>
      <c r="H312" s="39" t="s">
        <v>1280</v>
      </c>
      <c r="I312" s="39" t="s">
        <v>691</v>
      </c>
      <c r="J312" s="39" t="s">
        <v>1280</v>
      </c>
      <c r="K312" s="39" t="s">
        <v>1281</v>
      </c>
    </row>
    <row r="313" spans="1:11" s="3" customFormat="1" ht="16.350000000000001" customHeight="1" x14ac:dyDescent="0.2">
      <c r="A313" s="39" t="s">
        <v>686</v>
      </c>
      <c r="B313" s="39" t="s">
        <v>501</v>
      </c>
      <c r="C313" s="39" t="s">
        <v>513</v>
      </c>
      <c r="D313" s="39"/>
      <c r="E313" s="39" t="s">
        <v>875</v>
      </c>
      <c r="F313" s="39" t="s">
        <v>688</v>
      </c>
      <c r="G313" s="39" t="s">
        <v>906</v>
      </c>
      <c r="H313" s="39" t="s">
        <v>907</v>
      </c>
      <c r="I313" s="39" t="s">
        <v>691</v>
      </c>
      <c r="J313" s="39" t="s">
        <v>907</v>
      </c>
      <c r="K313" s="39" t="s">
        <v>908</v>
      </c>
    </row>
    <row r="314" spans="1:11" s="3" customFormat="1" ht="16.350000000000001" customHeight="1" x14ac:dyDescent="0.2">
      <c r="A314" s="39" t="s">
        <v>686</v>
      </c>
      <c r="B314" s="39" t="s">
        <v>151</v>
      </c>
      <c r="C314" s="39" t="s">
        <v>120</v>
      </c>
      <c r="D314" s="39"/>
      <c r="E314" s="39" t="s">
        <v>994</v>
      </c>
      <c r="F314" s="39" t="s">
        <v>688</v>
      </c>
      <c r="G314" s="39" t="s">
        <v>1953</v>
      </c>
      <c r="H314" s="39" t="s">
        <v>1954</v>
      </c>
      <c r="I314" s="39" t="s">
        <v>691</v>
      </c>
      <c r="J314" s="39" t="s">
        <v>1954</v>
      </c>
      <c r="K314" s="39" t="s">
        <v>1955</v>
      </c>
    </row>
    <row r="315" spans="1:11" s="3" customFormat="1" ht="16.350000000000001" customHeight="1" x14ac:dyDescent="0.2">
      <c r="A315" s="39" t="s">
        <v>686</v>
      </c>
      <c r="B315" s="39" t="s">
        <v>397</v>
      </c>
      <c r="C315" s="39" t="s">
        <v>322</v>
      </c>
      <c r="D315" s="39"/>
      <c r="E315" s="39" t="s">
        <v>1064</v>
      </c>
      <c r="F315" s="39" t="s">
        <v>688</v>
      </c>
      <c r="G315" s="39" t="s">
        <v>1073</v>
      </c>
      <c r="H315" s="39" t="s">
        <v>1074</v>
      </c>
      <c r="I315" s="39" t="s">
        <v>691</v>
      </c>
      <c r="J315" s="39" t="s">
        <v>1075</v>
      </c>
      <c r="K315" s="39" t="s">
        <v>1076</v>
      </c>
    </row>
    <row r="316" spans="1:11" s="3" customFormat="1" ht="16.350000000000001" customHeight="1" x14ac:dyDescent="0.2">
      <c r="A316" s="39" t="s">
        <v>686</v>
      </c>
      <c r="B316" s="39" t="s">
        <v>310</v>
      </c>
      <c r="C316" s="39" t="s">
        <v>333</v>
      </c>
      <c r="D316" s="39"/>
      <c r="E316" s="39" t="s">
        <v>727</v>
      </c>
      <c r="F316" s="39" t="s">
        <v>688</v>
      </c>
      <c r="G316" s="39" t="s">
        <v>1453</v>
      </c>
      <c r="H316" s="39" t="s">
        <v>1454</v>
      </c>
      <c r="I316" s="39" t="s">
        <v>691</v>
      </c>
      <c r="J316" s="39" t="s">
        <v>1454</v>
      </c>
      <c r="K316" s="39" t="s">
        <v>1455</v>
      </c>
    </row>
    <row r="317" spans="1:11" s="3" customFormat="1" ht="16.350000000000001" customHeight="1" x14ac:dyDescent="0.2">
      <c r="A317" s="39" t="s">
        <v>686</v>
      </c>
      <c r="B317" s="39" t="s">
        <v>632</v>
      </c>
      <c r="C317" s="39" t="s">
        <v>646</v>
      </c>
      <c r="D317" s="39"/>
      <c r="E317" s="39" t="s">
        <v>1176</v>
      </c>
      <c r="F317" s="39" t="s">
        <v>688</v>
      </c>
      <c r="G317" s="39" t="s">
        <v>1476</v>
      </c>
      <c r="H317" s="39" t="s">
        <v>1477</v>
      </c>
      <c r="I317" s="39" t="s">
        <v>691</v>
      </c>
      <c r="J317" s="39" t="s">
        <v>1477</v>
      </c>
      <c r="K317" s="39" t="s">
        <v>1478</v>
      </c>
    </row>
    <row r="318" spans="1:11" s="3" customFormat="1" ht="16.350000000000001" customHeight="1" x14ac:dyDescent="0.2">
      <c r="A318" s="39" t="s">
        <v>686</v>
      </c>
      <c r="B318" s="39" t="s">
        <v>194</v>
      </c>
      <c r="C318" s="39" t="s">
        <v>186</v>
      </c>
      <c r="D318" s="39"/>
      <c r="E318" s="39" t="s">
        <v>990</v>
      </c>
      <c r="F318" s="39" t="s">
        <v>688</v>
      </c>
      <c r="G318" s="39" t="s">
        <v>1965</v>
      </c>
      <c r="H318" s="39" t="s">
        <v>1966</v>
      </c>
      <c r="I318" s="39" t="s">
        <v>691</v>
      </c>
      <c r="J318" s="39" t="s">
        <v>1966</v>
      </c>
      <c r="K318" s="39" t="s">
        <v>1967</v>
      </c>
    </row>
    <row r="319" spans="1:11" s="3" customFormat="1" ht="16.350000000000001" customHeight="1" x14ac:dyDescent="0.2">
      <c r="A319" s="39" t="s">
        <v>686</v>
      </c>
      <c r="B319" s="39" t="s">
        <v>251</v>
      </c>
      <c r="C319" s="39" t="s">
        <v>290</v>
      </c>
      <c r="D319" s="39"/>
      <c r="E319" s="39" t="s">
        <v>915</v>
      </c>
      <c r="F319" s="39" t="s">
        <v>688</v>
      </c>
      <c r="G319" s="39" t="s">
        <v>1306</v>
      </c>
      <c r="H319" s="39" t="s">
        <v>1307</v>
      </c>
      <c r="I319" s="39" t="s">
        <v>691</v>
      </c>
      <c r="J319" s="39" t="s">
        <v>1307</v>
      </c>
      <c r="K319" s="39" t="s">
        <v>1308</v>
      </c>
    </row>
    <row r="320" spans="1:11" s="3" customFormat="1" ht="16.350000000000001" customHeight="1" x14ac:dyDescent="0.2">
      <c r="A320" s="39" t="s">
        <v>686</v>
      </c>
      <c r="B320" s="39" t="s">
        <v>654</v>
      </c>
      <c r="C320" s="39" t="s">
        <v>668</v>
      </c>
      <c r="D320" s="39"/>
      <c r="E320" s="39" t="s">
        <v>723</v>
      </c>
      <c r="F320" s="39" t="s">
        <v>688</v>
      </c>
      <c r="G320" s="39" t="s">
        <v>1441</v>
      </c>
      <c r="H320" s="39" t="s">
        <v>1442</v>
      </c>
      <c r="I320" s="39" t="s">
        <v>691</v>
      </c>
      <c r="J320" s="39" t="s">
        <v>1443</v>
      </c>
      <c r="K320" s="39" t="s">
        <v>1444</v>
      </c>
    </row>
    <row r="321" spans="1:11" s="3" customFormat="1" ht="16.350000000000001" customHeight="1" x14ac:dyDescent="0.2">
      <c r="A321" s="39" t="s">
        <v>686</v>
      </c>
      <c r="B321" s="39" t="s">
        <v>172</v>
      </c>
      <c r="C321" s="39" t="s">
        <v>164</v>
      </c>
      <c r="D321" s="39"/>
      <c r="E321" s="39" t="s">
        <v>811</v>
      </c>
      <c r="F321" s="39" t="s">
        <v>688</v>
      </c>
      <c r="G321" s="39" t="s">
        <v>1092</v>
      </c>
      <c r="H321" s="39" t="s">
        <v>1971</v>
      </c>
      <c r="I321" s="39" t="s">
        <v>691</v>
      </c>
      <c r="J321" s="39" t="s">
        <v>1971</v>
      </c>
      <c r="K321" s="39" t="s">
        <v>1972</v>
      </c>
    </row>
    <row r="322" spans="1:11" s="3" customFormat="1" ht="16.350000000000001" customHeight="1" x14ac:dyDescent="0.2">
      <c r="A322" s="39" t="s">
        <v>686</v>
      </c>
      <c r="B322" s="39" t="s">
        <v>432</v>
      </c>
      <c r="C322" s="39" t="s">
        <v>444</v>
      </c>
      <c r="D322" s="39"/>
      <c r="E322" s="39" t="s">
        <v>687</v>
      </c>
      <c r="F322" s="39" t="s">
        <v>688</v>
      </c>
      <c r="G322" s="39" t="s">
        <v>777</v>
      </c>
      <c r="H322" s="39" t="s">
        <v>778</v>
      </c>
      <c r="I322" s="39" t="s">
        <v>691</v>
      </c>
      <c r="J322" s="39" t="s">
        <v>779</v>
      </c>
      <c r="K322" s="39" t="s">
        <v>780</v>
      </c>
    </row>
    <row r="323" spans="1:11" s="3" customFormat="1" ht="16.350000000000001" customHeight="1" x14ac:dyDescent="0.2">
      <c r="A323" s="39" t="s">
        <v>686</v>
      </c>
      <c r="B323" s="39" t="s">
        <v>443</v>
      </c>
      <c r="C323" s="39" t="s">
        <v>433</v>
      </c>
      <c r="D323" s="39"/>
      <c r="E323" s="39" t="s">
        <v>694</v>
      </c>
      <c r="F323" s="39" t="s">
        <v>688</v>
      </c>
      <c r="G323" s="39" t="s">
        <v>716</v>
      </c>
      <c r="H323" s="39" t="s">
        <v>717</v>
      </c>
      <c r="I323" s="39" t="s">
        <v>691</v>
      </c>
      <c r="J323" s="39" t="s">
        <v>717</v>
      </c>
      <c r="K323" s="39" t="s">
        <v>718</v>
      </c>
    </row>
    <row r="324" spans="1:11" s="3" customFormat="1" ht="16.350000000000001" customHeight="1" x14ac:dyDescent="0.2">
      <c r="A324" s="39" t="s">
        <v>686</v>
      </c>
      <c r="B324" s="39" t="s">
        <v>451</v>
      </c>
      <c r="C324" s="39" t="s">
        <v>422</v>
      </c>
      <c r="D324" s="39"/>
      <c r="E324" s="39" t="s">
        <v>1068</v>
      </c>
      <c r="F324" s="39" t="s">
        <v>688</v>
      </c>
      <c r="G324" s="39" t="s">
        <v>1476</v>
      </c>
      <c r="H324" s="39" t="s">
        <v>1887</v>
      </c>
      <c r="I324" s="39" t="s">
        <v>691</v>
      </c>
      <c r="J324" s="39" t="s">
        <v>1887</v>
      </c>
      <c r="K324" s="39" t="s">
        <v>1888</v>
      </c>
    </row>
    <row r="325" spans="1:11" s="3" customFormat="1" ht="16.350000000000001" customHeight="1" x14ac:dyDescent="0.2">
      <c r="A325" s="39" t="s">
        <v>686</v>
      </c>
      <c r="B325" s="39" t="s">
        <v>299</v>
      </c>
      <c r="C325" s="39" t="s">
        <v>312</v>
      </c>
      <c r="D325" s="39"/>
      <c r="E325" s="39" t="s">
        <v>1080</v>
      </c>
      <c r="F325" s="39" t="s">
        <v>688</v>
      </c>
      <c r="G325" s="39" t="s">
        <v>1337</v>
      </c>
      <c r="H325" s="39" t="s">
        <v>1338</v>
      </c>
      <c r="I325" s="39" t="s">
        <v>691</v>
      </c>
      <c r="J325" s="39" t="s">
        <v>1338</v>
      </c>
      <c r="K325" s="39" t="s">
        <v>749</v>
      </c>
    </row>
    <row r="326" spans="1:11" s="3" customFormat="1" ht="16.350000000000001" customHeight="1" x14ac:dyDescent="0.2">
      <c r="A326" s="39" t="s">
        <v>686</v>
      </c>
      <c r="B326" s="39" t="s">
        <v>376</v>
      </c>
      <c r="C326" s="39" t="s">
        <v>367</v>
      </c>
      <c r="D326" s="39"/>
      <c r="E326" s="39" t="s">
        <v>1107</v>
      </c>
      <c r="F326" s="39" t="s">
        <v>688</v>
      </c>
      <c r="G326" s="39" t="s">
        <v>1170</v>
      </c>
      <c r="H326" s="39" t="s">
        <v>1171</v>
      </c>
      <c r="I326" s="39" t="s">
        <v>691</v>
      </c>
      <c r="J326" s="39" t="s">
        <v>1171</v>
      </c>
      <c r="K326" s="39" t="s">
        <v>1172</v>
      </c>
    </row>
    <row r="327" spans="1:11" s="3" customFormat="1" ht="16.350000000000001" customHeight="1" x14ac:dyDescent="0.2">
      <c r="A327" s="39" t="s">
        <v>686</v>
      </c>
      <c r="B327" s="39" t="s">
        <v>353</v>
      </c>
      <c r="C327" s="39" t="s">
        <v>345</v>
      </c>
      <c r="D327" s="39"/>
      <c r="E327" s="39" t="s">
        <v>1365</v>
      </c>
      <c r="F327" s="39" t="s">
        <v>688</v>
      </c>
      <c r="G327" s="39" t="s">
        <v>1467</v>
      </c>
      <c r="H327" s="39" t="s">
        <v>1468</v>
      </c>
      <c r="I327" s="39" t="s">
        <v>691</v>
      </c>
      <c r="J327" s="39" t="s">
        <v>1468</v>
      </c>
      <c r="K327" s="39" t="s">
        <v>1469</v>
      </c>
    </row>
    <row r="328" spans="1:11" s="3" customFormat="1" ht="16.350000000000001" customHeight="1" x14ac:dyDescent="0.2">
      <c r="A328" s="39" t="s">
        <v>686</v>
      </c>
      <c r="B328" s="39" t="s">
        <v>587</v>
      </c>
      <c r="C328" s="39" t="s">
        <v>602</v>
      </c>
      <c r="D328" s="39"/>
      <c r="E328" s="39" t="s">
        <v>994</v>
      </c>
      <c r="F328" s="39" t="s">
        <v>688</v>
      </c>
      <c r="G328" s="39" t="s">
        <v>1497</v>
      </c>
      <c r="H328" s="39" t="s">
        <v>1498</v>
      </c>
      <c r="I328" s="39" t="s">
        <v>691</v>
      </c>
      <c r="J328" s="39" t="s">
        <v>1498</v>
      </c>
      <c r="K328" s="39" t="s">
        <v>1499</v>
      </c>
    </row>
    <row r="329" spans="1:11" s="3" customFormat="1" ht="16.350000000000001" customHeight="1" x14ac:dyDescent="0.2">
      <c r="A329" s="39" t="s">
        <v>686</v>
      </c>
      <c r="B329" s="39" t="s">
        <v>419</v>
      </c>
      <c r="C329" s="39" t="s">
        <v>411</v>
      </c>
      <c r="D329" s="39"/>
      <c r="E329" s="39" t="s">
        <v>1517</v>
      </c>
      <c r="F329" s="39" t="s">
        <v>688</v>
      </c>
      <c r="G329" s="39" t="s">
        <v>1930</v>
      </c>
      <c r="H329" s="39" t="s">
        <v>1931</v>
      </c>
      <c r="I329" s="39" t="s">
        <v>691</v>
      </c>
      <c r="J329" s="39" t="s">
        <v>1931</v>
      </c>
      <c r="K329" s="39" t="s">
        <v>1932</v>
      </c>
    </row>
    <row r="330" spans="1:11" s="3" customFormat="1" ht="16.350000000000001" customHeight="1" x14ac:dyDescent="0.2">
      <c r="A330" s="39" t="s">
        <v>686</v>
      </c>
      <c r="B330" s="39" t="s">
        <v>365</v>
      </c>
      <c r="C330" s="39" t="s">
        <v>378</v>
      </c>
      <c r="D330" s="39" t="s">
        <v>2041</v>
      </c>
      <c r="E330" s="39" t="s">
        <v>1111</v>
      </c>
      <c r="F330" s="39" t="s">
        <v>948</v>
      </c>
      <c r="G330" s="39" t="s">
        <v>1119</v>
      </c>
      <c r="H330" s="39" t="s">
        <v>1120</v>
      </c>
      <c r="I330" s="39" t="s">
        <v>691</v>
      </c>
      <c r="J330" s="39" t="s">
        <v>1121</v>
      </c>
      <c r="K330" s="39" t="s">
        <v>1122</v>
      </c>
    </row>
    <row r="331" spans="1:11" s="3" customFormat="1" ht="16.350000000000001" customHeight="1" x14ac:dyDescent="0.2">
      <c r="A331" s="39" t="s">
        <v>686</v>
      </c>
      <c r="B331" s="39" t="s">
        <v>86</v>
      </c>
      <c r="C331" s="39" t="s">
        <v>76</v>
      </c>
      <c r="D331" s="39"/>
      <c r="E331" s="39" t="s">
        <v>811</v>
      </c>
      <c r="F331" s="39" t="s">
        <v>688</v>
      </c>
      <c r="G331" s="39" t="s">
        <v>861</v>
      </c>
      <c r="H331" s="39" t="s">
        <v>862</v>
      </c>
      <c r="I331" s="39" t="s">
        <v>691</v>
      </c>
      <c r="J331" s="39" t="s">
        <v>862</v>
      </c>
      <c r="K331" s="39" t="s">
        <v>863</v>
      </c>
    </row>
    <row r="332" spans="1:11" s="3" customFormat="1" ht="16.350000000000001" customHeight="1" x14ac:dyDescent="0.2">
      <c r="A332" s="39" t="s">
        <v>686</v>
      </c>
      <c r="B332" s="39" t="s">
        <v>107</v>
      </c>
      <c r="C332" s="39" t="s">
        <v>98</v>
      </c>
      <c r="D332" s="39"/>
      <c r="E332" s="39" t="s">
        <v>953</v>
      </c>
      <c r="F332" s="39" t="s">
        <v>688</v>
      </c>
      <c r="G332" s="39" t="s">
        <v>1054</v>
      </c>
      <c r="H332" s="39" t="s">
        <v>1055</v>
      </c>
      <c r="I332" s="39" t="s">
        <v>691</v>
      </c>
      <c r="J332" s="39" t="s">
        <v>1055</v>
      </c>
      <c r="K332" s="39" t="s">
        <v>1056</v>
      </c>
    </row>
    <row r="333" spans="1:11" s="3" customFormat="1" ht="16.350000000000001" customHeight="1" x14ac:dyDescent="0.2">
      <c r="A333" s="39" t="s">
        <v>686</v>
      </c>
      <c r="B333" s="39" t="s">
        <v>612</v>
      </c>
      <c r="C333" s="39" t="s">
        <v>624</v>
      </c>
      <c r="D333" s="39"/>
      <c r="E333" s="39" t="s">
        <v>723</v>
      </c>
      <c r="F333" s="39" t="s">
        <v>688</v>
      </c>
      <c r="G333" s="39" t="s">
        <v>805</v>
      </c>
      <c r="H333" s="39" t="s">
        <v>806</v>
      </c>
      <c r="I333" s="39" t="s">
        <v>691</v>
      </c>
      <c r="J333" s="39" t="s">
        <v>806</v>
      </c>
      <c r="K333" s="39" t="s">
        <v>807</v>
      </c>
    </row>
    <row r="334" spans="1:11" s="3" customFormat="1" ht="16.350000000000001" customHeight="1" x14ac:dyDescent="0.2">
      <c r="A334" s="39" t="s">
        <v>686</v>
      </c>
      <c r="B334" s="39" t="s">
        <v>567</v>
      </c>
      <c r="C334" s="39" t="s">
        <v>580</v>
      </c>
      <c r="D334" s="39"/>
      <c r="E334" s="39" t="s">
        <v>1097</v>
      </c>
      <c r="F334" s="39" t="s">
        <v>688</v>
      </c>
      <c r="G334" s="39" t="s">
        <v>2029</v>
      </c>
      <c r="H334" s="39" t="s">
        <v>2030</v>
      </c>
      <c r="I334" s="39" t="s">
        <v>691</v>
      </c>
      <c r="J334" s="39" t="s">
        <v>2030</v>
      </c>
      <c r="K334" s="39" t="s">
        <v>2031</v>
      </c>
    </row>
    <row r="335" spans="1:11" s="3" customFormat="1" ht="16.350000000000001" customHeight="1" x14ac:dyDescent="0.2">
      <c r="A335" s="39" t="s">
        <v>686</v>
      </c>
      <c r="B335" s="39" t="s">
        <v>623</v>
      </c>
      <c r="C335" s="39" t="s">
        <v>613</v>
      </c>
      <c r="D335" s="39"/>
      <c r="E335" s="39" t="s">
        <v>727</v>
      </c>
      <c r="F335" s="39" t="s">
        <v>688</v>
      </c>
      <c r="G335" s="39" t="s">
        <v>747</v>
      </c>
      <c r="H335" s="39" t="s">
        <v>748</v>
      </c>
      <c r="I335" s="39" t="s">
        <v>691</v>
      </c>
      <c r="J335" s="39" t="s">
        <v>748</v>
      </c>
      <c r="K335" s="39" t="s">
        <v>749</v>
      </c>
    </row>
    <row r="336" spans="1:11" s="3" customFormat="1" ht="16.350000000000001" customHeight="1" x14ac:dyDescent="0.2">
      <c r="A336" s="39" t="s">
        <v>686</v>
      </c>
      <c r="B336" s="39" t="s">
        <v>140</v>
      </c>
      <c r="C336" s="39" t="s">
        <v>154</v>
      </c>
      <c r="D336" s="39"/>
      <c r="E336" s="39" t="s">
        <v>723</v>
      </c>
      <c r="F336" s="39" t="s">
        <v>688</v>
      </c>
      <c r="G336" s="39" t="s">
        <v>1976</v>
      </c>
      <c r="H336" s="39" t="s">
        <v>1977</v>
      </c>
      <c r="I336" s="39" t="s">
        <v>691</v>
      </c>
      <c r="J336" s="39" t="s">
        <v>1977</v>
      </c>
      <c r="K336" s="39" t="s">
        <v>1978</v>
      </c>
    </row>
    <row r="337" spans="1:11" x14ac:dyDescent="0.2">
      <c r="A337" s="39" t="s">
        <v>686</v>
      </c>
      <c r="B337" s="39" t="s">
        <v>75</v>
      </c>
      <c r="C337" s="39" t="s">
        <v>87</v>
      </c>
      <c r="D337" s="39"/>
      <c r="E337" s="39" t="s">
        <v>723</v>
      </c>
      <c r="F337" s="39" t="s">
        <v>688</v>
      </c>
      <c r="G337" s="39" t="s">
        <v>834</v>
      </c>
      <c r="H337" s="39" t="s">
        <v>835</v>
      </c>
      <c r="I337" s="39" t="s">
        <v>817</v>
      </c>
      <c r="J337" s="39" t="s">
        <v>835</v>
      </c>
      <c r="K337" s="39" t="s">
        <v>836</v>
      </c>
    </row>
    <row r="338" spans="1:11" x14ac:dyDescent="0.2">
      <c r="A338" s="39" t="s">
        <v>686</v>
      </c>
      <c r="B338" s="39" t="s">
        <v>206</v>
      </c>
      <c r="C338" s="39" t="s">
        <v>197</v>
      </c>
      <c r="D338" s="39"/>
      <c r="E338" s="39" t="s">
        <v>811</v>
      </c>
      <c r="F338" s="39" t="s">
        <v>688</v>
      </c>
      <c r="G338" s="39" t="s">
        <v>1991</v>
      </c>
      <c r="H338" s="39" t="s">
        <v>1992</v>
      </c>
      <c r="I338" s="39" t="s">
        <v>691</v>
      </c>
      <c r="J338" s="39" t="s">
        <v>1992</v>
      </c>
      <c r="K338" s="39" t="s">
        <v>1993</v>
      </c>
    </row>
    <row r="339" spans="1:11" x14ac:dyDescent="0.2">
      <c r="A339" s="39" t="s">
        <v>686</v>
      </c>
      <c r="B339" s="39" t="s">
        <v>534</v>
      </c>
      <c r="C339" s="39" t="s">
        <v>525</v>
      </c>
      <c r="D339" s="39"/>
      <c r="E339" s="39" t="s">
        <v>932</v>
      </c>
      <c r="F339" s="39" t="s">
        <v>688</v>
      </c>
      <c r="G339" s="39" t="s">
        <v>1135</v>
      </c>
      <c r="H339" s="39" t="s">
        <v>1136</v>
      </c>
      <c r="I339" s="39" t="s">
        <v>691</v>
      </c>
      <c r="J339" s="39" t="s">
        <v>1136</v>
      </c>
      <c r="K339" s="39" t="s">
        <v>1137</v>
      </c>
    </row>
    <row r="340" spans="1:11" x14ac:dyDescent="0.2">
      <c r="A340" s="39" t="s">
        <v>686</v>
      </c>
      <c r="B340" s="39" t="s">
        <v>556</v>
      </c>
      <c r="C340" s="39" t="s">
        <v>547</v>
      </c>
      <c r="D340" s="39"/>
      <c r="E340" s="39" t="s">
        <v>929</v>
      </c>
      <c r="F340" s="39" t="s">
        <v>688</v>
      </c>
      <c r="G340" s="39" t="s">
        <v>1153</v>
      </c>
      <c r="H340" s="39" t="s">
        <v>1154</v>
      </c>
      <c r="I340" s="39" t="s">
        <v>691</v>
      </c>
      <c r="J340" s="39" t="s">
        <v>1154</v>
      </c>
      <c r="K340" s="39" t="s">
        <v>1155</v>
      </c>
    </row>
    <row r="341" spans="1:11" x14ac:dyDescent="0.2">
      <c r="A341" s="39" t="s">
        <v>686</v>
      </c>
      <c r="B341" s="39" t="s">
        <v>408</v>
      </c>
      <c r="C341" s="39" t="s">
        <v>466</v>
      </c>
      <c r="D341" s="39"/>
      <c r="E341" s="39" t="s">
        <v>1068</v>
      </c>
      <c r="F341" s="39" t="s">
        <v>688</v>
      </c>
      <c r="G341" s="39" t="s">
        <v>1959</v>
      </c>
      <c r="H341" s="39" t="s">
        <v>1960</v>
      </c>
      <c r="I341" s="39" t="s">
        <v>691</v>
      </c>
      <c r="J341" s="39" t="s">
        <v>1960</v>
      </c>
      <c r="K341" s="39" t="s">
        <v>1961</v>
      </c>
    </row>
    <row r="342" spans="1:11" x14ac:dyDescent="0.2">
      <c r="A342" s="39" t="s">
        <v>686</v>
      </c>
      <c r="B342" s="39" t="s">
        <v>228</v>
      </c>
      <c r="C342" s="39" t="s">
        <v>175</v>
      </c>
      <c r="D342" s="39"/>
      <c r="E342" s="39" t="s">
        <v>1068</v>
      </c>
      <c r="F342" s="39" t="s">
        <v>688</v>
      </c>
      <c r="G342" s="39" t="s">
        <v>1997</v>
      </c>
      <c r="H342" s="39" t="s">
        <v>1998</v>
      </c>
      <c r="I342" s="39" t="s">
        <v>817</v>
      </c>
      <c r="J342" s="39" t="s">
        <v>1998</v>
      </c>
      <c r="K342" s="39" t="s">
        <v>1999</v>
      </c>
    </row>
    <row r="343" spans="1:11" x14ac:dyDescent="0.2">
      <c r="A343" s="39" t="s">
        <v>686</v>
      </c>
      <c r="B343" s="39" t="s">
        <v>512</v>
      </c>
      <c r="C343" s="39" t="s">
        <v>477</v>
      </c>
      <c r="D343" s="39"/>
      <c r="E343" s="39" t="s">
        <v>871</v>
      </c>
      <c r="F343" s="39" t="s">
        <v>688</v>
      </c>
      <c r="G343" s="39" t="s">
        <v>1033</v>
      </c>
      <c r="H343" s="39" t="s">
        <v>1034</v>
      </c>
      <c r="I343" s="39" t="s">
        <v>817</v>
      </c>
      <c r="J343" s="39" t="s">
        <v>1034</v>
      </c>
      <c r="K343" s="39" t="s">
        <v>1035</v>
      </c>
    </row>
    <row r="344" spans="1:11" x14ac:dyDescent="0.2">
      <c r="A344" s="39" t="s">
        <v>686</v>
      </c>
      <c r="B344" s="39" t="s">
        <v>332</v>
      </c>
      <c r="C344" s="39" t="s">
        <v>389</v>
      </c>
      <c r="D344" s="39"/>
      <c r="E344" s="39" t="s">
        <v>1064</v>
      </c>
      <c r="F344" s="39" t="s">
        <v>688</v>
      </c>
      <c r="G344" s="39" t="s">
        <v>1608</v>
      </c>
      <c r="H344" s="39" t="s">
        <v>1609</v>
      </c>
      <c r="I344" s="39" t="s">
        <v>691</v>
      </c>
      <c r="J344" s="39" t="s">
        <v>1609</v>
      </c>
      <c r="K344" s="39" t="s">
        <v>1610</v>
      </c>
    </row>
    <row r="345" spans="1:11" x14ac:dyDescent="0.2">
      <c r="A345" s="39" t="s">
        <v>686</v>
      </c>
      <c r="B345" s="39" t="s">
        <v>262</v>
      </c>
      <c r="C345" s="39" t="s">
        <v>253</v>
      </c>
      <c r="D345" s="39"/>
      <c r="E345" s="39" t="s">
        <v>875</v>
      </c>
      <c r="F345" s="39" t="s">
        <v>688</v>
      </c>
      <c r="G345" s="39" t="s">
        <v>1417</v>
      </c>
      <c r="H345" s="39" t="s">
        <v>1418</v>
      </c>
      <c r="I345" s="39" t="s">
        <v>691</v>
      </c>
      <c r="J345" s="39" t="s">
        <v>1418</v>
      </c>
      <c r="K345" s="39" t="s">
        <v>1419</v>
      </c>
    </row>
    <row r="346" spans="1:11" x14ac:dyDescent="0.2">
      <c r="A346" s="39" t="s">
        <v>686</v>
      </c>
      <c r="B346" s="39" t="s">
        <v>321</v>
      </c>
      <c r="C346" s="39" t="s">
        <v>301</v>
      </c>
      <c r="D346" s="39"/>
      <c r="E346" s="39" t="s">
        <v>727</v>
      </c>
      <c r="F346" s="39" t="s">
        <v>688</v>
      </c>
      <c r="G346" s="39" t="s">
        <v>1225</v>
      </c>
      <c r="H346" s="39" t="s">
        <v>1226</v>
      </c>
      <c r="I346" s="39" t="s">
        <v>691</v>
      </c>
      <c r="J346" s="39" t="s">
        <v>1227</v>
      </c>
      <c r="K346" s="39" t="s">
        <v>1228</v>
      </c>
    </row>
    <row r="347" spans="1:11" x14ac:dyDescent="0.2">
      <c r="A347" s="39" t="s">
        <v>686</v>
      </c>
      <c r="B347" s="39" t="s">
        <v>129</v>
      </c>
      <c r="C347" s="39" t="s">
        <v>143</v>
      </c>
      <c r="D347" s="39"/>
      <c r="E347" s="39" t="s">
        <v>994</v>
      </c>
      <c r="F347" s="39" t="s">
        <v>688</v>
      </c>
      <c r="G347" s="39" t="s">
        <v>1404</v>
      </c>
      <c r="H347" s="39" t="s">
        <v>1405</v>
      </c>
      <c r="I347" s="39" t="s">
        <v>691</v>
      </c>
      <c r="J347" s="39" t="s">
        <v>1405</v>
      </c>
      <c r="K347" s="39" t="s">
        <v>1406</v>
      </c>
    </row>
    <row r="348" spans="1:11" x14ac:dyDescent="0.2">
      <c r="A348" s="39" t="s">
        <v>686</v>
      </c>
      <c r="B348" s="39" t="s">
        <v>476</v>
      </c>
      <c r="C348" s="39" t="s">
        <v>488</v>
      </c>
      <c r="D348" s="39"/>
      <c r="E348" s="39" t="s">
        <v>867</v>
      </c>
      <c r="F348" s="39" t="s">
        <v>688</v>
      </c>
      <c r="G348" s="39" t="s">
        <v>1244</v>
      </c>
      <c r="H348" s="39" t="s">
        <v>1245</v>
      </c>
      <c r="I348" s="39" t="s">
        <v>691</v>
      </c>
      <c r="J348" s="39" t="s">
        <v>1245</v>
      </c>
      <c r="K348" s="39" t="s">
        <v>1246</v>
      </c>
    </row>
    <row r="349" spans="1:11" x14ac:dyDescent="0.2">
      <c r="A349" s="39" t="s">
        <v>686</v>
      </c>
      <c r="B349" s="39" t="s">
        <v>644</v>
      </c>
      <c r="C349" s="39" t="s">
        <v>635</v>
      </c>
      <c r="D349" s="39" t="s">
        <v>2041</v>
      </c>
      <c r="E349" s="39" t="s">
        <v>727</v>
      </c>
      <c r="F349" s="39" t="s">
        <v>688</v>
      </c>
      <c r="G349" s="39" t="s">
        <v>1560</v>
      </c>
      <c r="H349" s="39" t="s">
        <v>1561</v>
      </c>
      <c r="I349" s="39" t="s">
        <v>691</v>
      </c>
      <c r="J349" s="39" t="s">
        <v>1561</v>
      </c>
      <c r="K349" s="39" t="s">
        <v>1562</v>
      </c>
    </row>
    <row r="350" spans="1:11" x14ac:dyDescent="0.2">
      <c r="A350" s="39" t="s">
        <v>686</v>
      </c>
      <c r="B350" s="39" t="s">
        <v>487</v>
      </c>
      <c r="C350" s="39" t="s">
        <v>503</v>
      </c>
      <c r="D350" s="39"/>
      <c r="E350" s="39" t="s">
        <v>871</v>
      </c>
      <c r="F350" s="39" t="s">
        <v>688</v>
      </c>
      <c r="G350" s="39" t="s">
        <v>1227</v>
      </c>
      <c r="H350" s="39" t="s">
        <v>1264</v>
      </c>
      <c r="I350" s="39" t="s">
        <v>817</v>
      </c>
      <c r="J350" s="39" t="s">
        <v>1264</v>
      </c>
      <c r="K350" s="39" t="s">
        <v>1265</v>
      </c>
    </row>
    <row r="351" spans="1:11" x14ac:dyDescent="0.2">
      <c r="A351" s="39" t="s">
        <v>686</v>
      </c>
      <c r="B351" s="39" t="s">
        <v>599</v>
      </c>
      <c r="C351" s="39" t="s">
        <v>569</v>
      </c>
      <c r="D351" s="39"/>
      <c r="E351" s="39" t="s">
        <v>990</v>
      </c>
      <c r="F351" s="39" t="s">
        <v>688</v>
      </c>
      <c r="G351" s="39" t="s">
        <v>998</v>
      </c>
      <c r="H351" s="39" t="s">
        <v>999</v>
      </c>
      <c r="I351" s="39" t="s">
        <v>691</v>
      </c>
      <c r="J351" s="39" t="s">
        <v>1000</v>
      </c>
      <c r="K351" s="39" t="s">
        <v>1001</v>
      </c>
    </row>
    <row r="352" spans="1:11" ht="24" x14ac:dyDescent="0.2">
      <c r="A352" s="39" t="s">
        <v>686</v>
      </c>
      <c r="B352" s="39" t="s">
        <v>666</v>
      </c>
      <c r="C352" s="39" t="s">
        <v>657</v>
      </c>
      <c r="D352" s="39"/>
      <c r="E352" s="39" t="s">
        <v>1176</v>
      </c>
      <c r="F352" s="39" t="s">
        <v>688</v>
      </c>
      <c r="G352" s="39" t="s">
        <v>1628</v>
      </c>
      <c r="H352" s="39" t="s">
        <v>1629</v>
      </c>
      <c r="I352" s="39" t="s">
        <v>691</v>
      </c>
      <c r="J352" s="39" t="s">
        <v>1629</v>
      </c>
      <c r="K352" s="39" t="s">
        <v>1630</v>
      </c>
    </row>
    <row r="353" spans="1:11" x14ac:dyDescent="0.2">
      <c r="A353" s="39" t="s">
        <v>686</v>
      </c>
      <c r="B353" s="39" t="s">
        <v>217</v>
      </c>
      <c r="C353" s="39" t="s">
        <v>209</v>
      </c>
      <c r="D353" s="39"/>
      <c r="E353" s="39" t="s">
        <v>990</v>
      </c>
      <c r="F353" s="39" t="s">
        <v>688</v>
      </c>
      <c r="G353" s="39" t="s">
        <v>1978</v>
      </c>
      <c r="H353" s="39" t="s">
        <v>2008</v>
      </c>
      <c r="I353" s="39" t="s">
        <v>691</v>
      </c>
      <c r="J353" s="39" t="s">
        <v>2008</v>
      </c>
      <c r="K353" s="39" t="s">
        <v>2009</v>
      </c>
    </row>
    <row r="354" spans="1:11" x14ac:dyDescent="0.2">
      <c r="A354" s="39" t="s">
        <v>686</v>
      </c>
      <c r="B354" s="39" t="s">
        <v>239</v>
      </c>
      <c r="C354" s="39" t="s">
        <v>231</v>
      </c>
      <c r="D354" s="39"/>
      <c r="E354" s="39" t="s">
        <v>811</v>
      </c>
      <c r="F354" s="39" t="s">
        <v>688</v>
      </c>
      <c r="G354" s="39" t="s">
        <v>2012</v>
      </c>
      <c r="H354" s="39" t="s">
        <v>2013</v>
      </c>
      <c r="I354" s="39" t="s">
        <v>691</v>
      </c>
      <c r="J354" s="39" t="s">
        <v>2013</v>
      </c>
      <c r="K354" s="39" t="s">
        <v>2014</v>
      </c>
    </row>
    <row r="355" spans="1:11" x14ac:dyDescent="0.2">
      <c r="A355" s="39" t="s">
        <v>686</v>
      </c>
      <c r="B355" s="39" t="s">
        <v>277</v>
      </c>
      <c r="C355" s="39" t="s">
        <v>264</v>
      </c>
      <c r="D355" s="39"/>
      <c r="E355" s="39" t="s">
        <v>915</v>
      </c>
      <c r="F355" s="39" t="s">
        <v>688</v>
      </c>
      <c r="G355" s="39" t="s">
        <v>1588</v>
      </c>
      <c r="H355" s="39" t="s">
        <v>1589</v>
      </c>
      <c r="I355" s="39" t="s">
        <v>691</v>
      </c>
      <c r="J355" s="39" t="s">
        <v>1590</v>
      </c>
      <c r="K355" s="39" t="s">
        <v>1591</v>
      </c>
    </row>
    <row r="356" spans="1:11" x14ac:dyDescent="0.2">
      <c r="A356" s="39" t="s">
        <v>686</v>
      </c>
      <c r="B356" s="39" t="s">
        <v>463</v>
      </c>
      <c r="C356" s="39" t="s">
        <v>455</v>
      </c>
      <c r="D356" s="39"/>
      <c r="E356" s="39" t="s">
        <v>1517</v>
      </c>
      <c r="F356" s="39" t="s">
        <v>688</v>
      </c>
      <c r="G356" s="39" t="s">
        <v>1946</v>
      </c>
      <c r="H356" s="39" t="s">
        <v>1947</v>
      </c>
      <c r="I356" s="39" t="s">
        <v>691</v>
      </c>
      <c r="J356" s="39" t="s">
        <v>1947</v>
      </c>
      <c r="K356" s="39" t="s">
        <v>1948</v>
      </c>
    </row>
    <row r="357" spans="1:11" x14ac:dyDescent="0.2">
      <c r="A357" s="39" t="s">
        <v>686</v>
      </c>
      <c r="B357" s="39" t="s">
        <v>97</v>
      </c>
      <c r="C357" s="39" t="s">
        <v>109</v>
      </c>
      <c r="D357" s="39"/>
      <c r="E357" s="39" t="s">
        <v>723</v>
      </c>
      <c r="F357" s="39" t="s">
        <v>688</v>
      </c>
      <c r="G357" s="39" t="s">
        <v>2050</v>
      </c>
      <c r="H357" s="39" t="s">
        <v>1359</v>
      </c>
      <c r="I357" s="39" t="s">
        <v>691</v>
      </c>
      <c r="J357" s="39" t="s">
        <v>1359</v>
      </c>
      <c r="K357" s="39" t="s">
        <v>1360</v>
      </c>
    </row>
    <row r="358" spans="1:11" x14ac:dyDescent="0.2">
      <c r="A358" s="39" t="s">
        <v>686</v>
      </c>
      <c r="B358" s="39" t="s">
        <v>118</v>
      </c>
      <c r="C358" s="39" t="s">
        <v>132</v>
      </c>
      <c r="D358" s="39"/>
      <c r="E358" s="39" t="s">
        <v>723</v>
      </c>
      <c r="F358" s="39" t="s">
        <v>688</v>
      </c>
      <c r="G358" s="39" t="s">
        <v>1527</v>
      </c>
      <c r="H358" s="39" t="s">
        <v>1528</v>
      </c>
      <c r="I358" s="39" t="s">
        <v>691</v>
      </c>
      <c r="J358" s="39" t="s">
        <v>1528</v>
      </c>
      <c r="K358" s="39" t="s">
        <v>1529</v>
      </c>
    </row>
    <row r="359" spans="1:11" x14ac:dyDescent="0.2">
      <c r="A359" s="39" t="s">
        <v>686</v>
      </c>
      <c r="B359" s="39" t="s">
        <v>184</v>
      </c>
      <c r="C359" s="39" t="s">
        <v>220</v>
      </c>
      <c r="D359" s="39"/>
      <c r="E359" s="39" t="s">
        <v>811</v>
      </c>
      <c r="F359" s="39" t="s">
        <v>688</v>
      </c>
      <c r="G359" s="39" t="s">
        <v>1569</v>
      </c>
      <c r="H359" s="39" t="s">
        <v>1570</v>
      </c>
      <c r="I359" s="39" t="s">
        <v>691</v>
      </c>
      <c r="J359" s="39" t="s">
        <v>1570</v>
      </c>
      <c r="K359" s="39" t="s">
        <v>1571</v>
      </c>
    </row>
    <row r="360" spans="1:11" x14ac:dyDescent="0.2">
      <c r="A360" s="39" t="s">
        <v>686</v>
      </c>
      <c r="B360" s="39" t="s">
        <v>524</v>
      </c>
      <c r="C360" s="39" t="s">
        <v>536</v>
      </c>
      <c r="D360" s="39"/>
      <c r="E360" s="39" t="s">
        <v>929</v>
      </c>
      <c r="F360" s="39" t="s">
        <v>688</v>
      </c>
      <c r="G360" s="39" t="s">
        <v>1324</v>
      </c>
      <c r="H360" s="39" t="s">
        <v>1325</v>
      </c>
      <c r="I360" s="39" t="s">
        <v>691</v>
      </c>
      <c r="J360" s="39" t="s">
        <v>1325</v>
      </c>
      <c r="K360" s="39" t="s">
        <v>1326</v>
      </c>
    </row>
    <row r="361" spans="1:11" x14ac:dyDescent="0.2">
      <c r="A361" s="39" t="s">
        <v>686</v>
      </c>
      <c r="B361" s="39" t="s">
        <v>343</v>
      </c>
      <c r="C361" s="39" t="s">
        <v>356</v>
      </c>
      <c r="D361" s="39" t="s">
        <v>2041</v>
      </c>
      <c r="E361" s="39" t="s">
        <v>1111</v>
      </c>
      <c r="F361" s="39" t="s">
        <v>948</v>
      </c>
      <c r="G361" s="39" t="s">
        <v>1689</v>
      </c>
      <c r="H361" s="39" t="s">
        <v>1690</v>
      </c>
      <c r="I361" s="39" t="s">
        <v>691</v>
      </c>
      <c r="J361" s="39" t="s">
        <v>1691</v>
      </c>
      <c r="K361" s="39" t="s">
        <v>1692</v>
      </c>
    </row>
    <row r="362" spans="1:11" x14ac:dyDescent="0.2">
      <c r="A362" s="39" t="s">
        <v>686</v>
      </c>
      <c r="B362" s="39" t="s">
        <v>387</v>
      </c>
      <c r="C362" s="39" t="s">
        <v>400</v>
      </c>
      <c r="D362" s="39"/>
      <c r="E362" s="39" t="s">
        <v>1068</v>
      </c>
      <c r="F362" s="39" t="s">
        <v>688</v>
      </c>
      <c r="G362" s="39" t="s">
        <v>1487</v>
      </c>
      <c r="H362" s="39" t="s">
        <v>1488</v>
      </c>
      <c r="I362" s="39" t="s">
        <v>691</v>
      </c>
      <c r="J362" s="39" t="s">
        <v>1489</v>
      </c>
      <c r="K362" s="39" t="s">
        <v>1490</v>
      </c>
    </row>
    <row r="363" spans="1:11" x14ac:dyDescent="0.2">
      <c r="A363" s="39" t="s">
        <v>686</v>
      </c>
      <c r="B363" s="39" t="s">
        <v>162</v>
      </c>
      <c r="C363" s="39" t="s">
        <v>242</v>
      </c>
      <c r="D363" s="39"/>
      <c r="E363" s="39" t="s">
        <v>1068</v>
      </c>
      <c r="F363" s="39" t="s">
        <v>688</v>
      </c>
      <c r="G363" s="39" t="s">
        <v>1577</v>
      </c>
      <c r="H363" s="39" t="s">
        <v>1578</v>
      </c>
      <c r="I363" s="39" t="s">
        <v>817</v>
      </c>
      <c r="J363" s="39" t="s">
        <v>1578</v>
      </c>
      <c r="K363" s="39" t="s">
        <v>719</v>
      </c>
    </row>
    <row r="364" spans="1:11" x14ac:dyDescent="0.2">
      <c r="A364" s="39" t="s">
        <v>686</v>
      </c>
      <c r="B364" s="39" t="s">
        <v>546</v>
      </c>
      <c r="C364" s="39" t="s">
        <v>558</v>
      </c>
      <c r="D364" s="39"/>
      <c r="E364" s="39" t="s">
        <v>971</v>
      </c>
      <c r="F364" s="39" t="s">
        <v>688</v>
      </c>
      <c r="G364" s="39" t="s">
        <v>1385</v>
      </c>
      <c r="H364" s="39" t="s">
        <v>1386</v>
      </c>
      <c r="I364" s="39" t="s">
        <v>691</v>
      </c>
      <c r="J364" s="39" t="s">
        <v>1386</v>
      </c>
      <c r="K364" s="39" t="s">
        <v>1387</v>
      </c>
    </row>
    <row r="365" spans="1:11" x14ac:dyDescent="0.2">
      <c r="A365" s="39" t="s">
        <v>686</v>
      </c>
      <c r="B365" s="39" t="s">
        <v>579</v>
      </c>
      <c r="C365" s="39" t="s">
        <v>591</v>
      </c>
      <c r="D365" s="39"/>
      <c r="E365" s="39" t="s">
        <v>990</v>
      </c>
      <c r="F365" s="39" t="s">
        <v>688</v>
      </c>
      <c r="G365" s="39" t="s">
        <v>1986</v>
      </c>
      <c r="H365" s="39" t="s">
        <v>1987</v>
      </c>
      <c r="I365" s="39" t="s">
        <v>691</v>
      </c>
      <c r="J365" s="39" t="s">
        <v>1987</v>
      </c>
      <c r="K365" s="39" t="s">
        <v>1988</v>
      </c>
    </row>
    <row r="366" spans="1:11" x14ac:dyDescent="0.2">
      <c r="A366" s="39" t="s">
        <v>686</v>
      </c>
      <c r="B366" s="39" t="s">
        <v>289</v>
      </c>
      <c r="C366" s="39" t="s">
        <v>279</v>
      </c>
      <c r="D366" s="39"/>
      <c r="E366" s="39" t="s">
        <v>875</v>
      </c>
      <c r="F366" s="39" t="s">
        <v>688</v>
      </c>
      <c r="G366" s="39" t="s">
        <v>926</v>
      </c>
      <c r="H366" s="39" t="s">
        <v>927</v>
      </c>
      <c r="I366" s="39" t="s">
        <v>691</v>
      </c>
      <c r="J366" s="39" t="s">
        <v>927</v>
      </c>
      <c r="K366" s="39" t="s">
        <v>928</v>
      </c>
    </row>
    <row r="367" spans="1:11" x14ac:dyDescent="0.2">
      <c r="A367" s="39" t="s">
        <v>686</v>
      </c>
      <c r="B367" s="39" t="s">
        <v>502</v>
      </c>
      <c r="C367" s="39" t="s">
        <v>514</v>
      </c>
      <c r="D367" s="39"/>
      <c r="E367" s="39" t="s">
        <v>875</v>
      </c>
      <c r="F367" s="39" t="s">
        <v>688</v>
      </c>
      <c r="G367" s="39" t="s">
        <v>888</v>
      </c>
      <c r="H367" s="39" t="s">
        <v>889</v>
      </c>
      <c r="I367" s="39" t="s">
        <v>691</v>
      </c>
      <c r="J367" s="39" t="s">
        <v>889</v>
      </c>
      <c r="K367" s="39" t="s">
        <v>890</v>
      </c>
    </row>
    <row r="368" spans="1:11" x14ac:dyDescent="0.2">
      <c r="A368" s="39" t="s">
        <v>686</v>
      </c>
      <c r="B368" s="39" t="s">
        <v>152</v>
      </c>
      <c r="C368" s="39" t="s">
        <v>121</v>
      </c>
      <c r="D368" s="39"/>
      <c r="E368" s="39" t="s">
        <v>994</v>
      </c>
      <c r="F368" s="39" t="s">
        <v>688</v>
      </c>
      <c r="G368" s="39" t="s">
        <v>1598</v>
      </c>
      <c r="H368" s="39" t="s">
        <v>1599</v>
      </c>
      <c r="I368" s="39" t="s">
        <v>691</v>
      </c>
      <c r="J368" s="39" t="s">
        <v>1599</v>
      </c>
      <c r="K368" s="39" t="s">
        <v>1600</v>
      </c>
    </row>
    <row r="369" spans="1:11" x14ac:dyDescent="0.2">
      <c r="A369" s="39" t="s">
        <v>686</v>
      </c>
      <c r="B369" s="39" t="s">
        <v>398</v>
      </c>
      <c r="C369" s="39" t="s">
        <v>323</v>
      </c>
      <c r="D369" s="39"/>
      <c r="E369" s="39" t="s">
        <v>1064</v>
      </c>
      <c r="F369" s="39" t="s">
        <v>688</v>
      </c>
      <c r="G369" s="39" t="s">
        <v>1430</v>
      </c>
      <c r="H369" s="39" t="s">
        <v>1431</v>
      </c>
      <c r="I369" s="39" t="s">
        <v>691</v>
      </c>
      <c r="J369" s="39" t="s">
        <v>1432</v>
      </c>
      <c r="K369" s="39" t="s">
        <v>1433</v>
      </c>
    </row>
    <row r="370" spans="1:11" x14ac:dyDescent="0.2">
      <c r="A370" s="39" t="s">
        <v>686</v>
      </c>
      <c r="B370" s="39" t="s">
        <v>311</v>
      </c>
      <c r="C370" s="39" t="s">
        <v>334</v>
      </c>
      <c r="D370" s="39"/>
      <c r="E370" s="39" t="s">
        <v>727</v>
      </c>
      <c r="F370" s="39" t="s">
        <v>688</v>
      </c>
      <c r="G370" s="39" t="s">
        <v>1730</v>
      </c>
      <c r="H370" s="39" t="s">
        <v>1731</v>
      </c>
      <c r="I370" s="39" t="s">
        <v>691</v>
      </c>
      <c r="J370" s="39" t="s">
        <v>1731</v>
      </c>
      <c r="K370" s="39" t="s">
        <v>1732</v>
      </c>
    </row>
    <row r="371" spans="1:11" x14ac:dyDescent="0.2">
      <c r="A371" s="39" t="s">
        <v>686</v>
      </c>
      <c r="B371" s="39" t="s">
        <v>633</v>
      </c>
      <c r="C371" s="39" t="s">
        <v>638</v>
      </c>
      <c r="D371" s="39"/>
      <c r="E371" s="39" t="s">
        <v>1176</v>
      </c>
      <c r="F371" s="39" t="s">
        <v>688</v>
      </c>
      <c r="G371" s="39" t="s">
        <v>1759</v>
      </c>
      <c r="H371" s="39" t="s">
        <v>1760</v>
      </c>
      <c r="I371" s="39" t="s">
        <v>691</v>
      </c>
      <c r="J371" s="39" t="s">
        <v>1760</v>
      </c>
      <c r="K371" s="39" t="s">
        <v>1761</v>
      </c>
    </row>
    <row r="372" spans="1:11" x14ac:dyDescent="0.2">
      <c r="A372" s="39" t="s">
        <v>686</v>
      </c>
      <c r="B372" s="39" t="s">
        <v>195</v>
      </c>
      <c r="C372" s="39" t="s">
        <v>187</v>
      </c>
      <c r="D372" s="39"/>
      <c r="E372" s="39" t="s">
        <v>990</v>
      </c>
      <c r="F372" s="39" t="s">
        <v>688</v>
      </c>
      <c r="G372" s="39" t="s">
        <v>1636</v>
      </c>
      <c r="H372" s="39" t="s">
        <v>1637</v>
      </c>
      <c r="I372" s="39" t="s">
        <v>691</v>
      </c>
      <c r="J372" s="39" t="s">
        <v>1637</v>
      </c>
      <c r="K372" s="39" t="s">
        <v>1638</v>
      </c>
    </row>
    <row r="373" spans="1:11" x14ac:dyDescent="0.2">
      <c r="A373" s="39" t="s">
        <v>686</v>
      </c>
      <c r="B373" s="39" t="s">
        <v>252</v>
      </c>
      <c r="C373" s="39" t="s">
        <v>282</v>
      </c>
      <c r="D373" s="39"/>
      <c r="E373" s="39" t="s">
        <v>915</v>
      </c>
      <c r="F373" s="39" t="s">
        <v>688</v>
      </c>
      <c r="G373" s="39" t="s">
        <v>1015</v>
      </c>
      <c r="H373" s="39" t="s">
        <v>1016</v>
      </c>
      <c r="I373" s="39" t="s">
        <v>691</v>
      </c>
      <c r="J373" s="39" t="s">
        <v>1016</v>
      </c>
      <c r="K373" s="39" t="s">
        <v>1017</v>
      </c>
    </row>
    <row r="374" spans="1:11" x14ac:dyDescent="0.2">
      <c r="A374" s="39" t="s">
        <v>686</v>
      </c>
      <c r="B374" s="39" t="s">
        <v>655</v>
      </c>
      <c r="C374" s="39" t="s">
        <v>660</v>
      </c>
      <c r="D374" s="39"/>
      <c r="E374" s="39" t="s">
        <v>723</v>
      </c>
      <c r="F374" s="39" t="s">
        <v>688</v>
      </c>
      <c r="G374" s="39" t="s">
        <v>1718</v>
      </c>
      <c r="H374" s="39" t="s">
        <v>1719</v>
      </c>
      <c r="I374" s="39" t="s">
        <v>691</v>
      </c>
      <c r="J374" s="39" t="s">
        <v>1720</v>
      </c>
      <c r="K374" s="39" t="s">
        <v>1721</v>
      </c>
    </row>
    <row r="375" spans="1:11" x14ac:dyDescent="0.2">
      <c r="A375" s="39" t="s">
        <v>686</v>
      </c>
      <c r="B375" s="39" t="s">
        <v>173</v>
      </c>
      <c r="C375" s="39" t="s">
        <v>165</v>
      </c>
      <c r="D375" s="39"/>
      <c r="E375" s="39" t="s">
        <v>811</v>
      </c>
      <c r="F375" s="39" t="s">
        <v>688</v>
      </c>
      <c r="G375" s="39" t="s">
        <v>1490</v>
      </c>
      <c r="H375" s="39" t="s">
        <v>1645</v>
      </c>
      <c r="I375" s="39" t="s">
        <v>691</v>
      </c>
      <c r="J375" s="39" t="s">
        <v>1645</v>
      </c>
      <c r="K375" s="39" t="s">
        <v>1646</v>
      </c>
    </row>
    <row r="376" spans="1:11" x14ac:dyDescent="0.2">
      <c r="A376" s="39" t="s">
        <v>686</v>
      </c>
      <c r="B376" s="39" t="s">
        <v>433</v>
      </c>
      <c r="C376" s="39" t="s">
        <v>436</v>
      </c>
      <c r="D376" s="39"/>
      <c r="E376" s="39" t="s">
        <v>687</v>
      </c>
      <c r="F376" s="39" t="s">
        <v>688</v>
      </c>
      <c r="G376" s="39" t="s">
        <v>719</v>
      </c>
      <c r="H376" s="39" t="s">
        <v>720</v>
      </c>
      <c r="I376" s="39" t="s">
        <v>691</v>
      </c>
      <c r="J376" s="39" t="s">
        <v>721</v>
      </c>
      <c r="K376" s="39" t="s">
        <v>722</v>
      </c>
    </row>
    <row r="377" spans="1:11" x14ac:dyDescent="0.2">
      <c r="A377" s="39" t="s">
        <v>686</v>
      </c>
      <c r="B377" s="39" t="s">
        <v>444</v>
      </c>
      <c r="C377" s="39" t="s">
        <v>425</v>
      </c>
      <c r="D377" s="39"/>
      <c r="E377" s="39" t="s">
        <v>694</v>
      </c>
      <c r="F377" s="39" t="s">
        <v>688</v>
      </c>
      <c r="G377" s="39" t="s">
        <v>781</v>
      </c>
      <c r="H377" s="39" t="s">
        <v>782</v>
      </c>
      <c r="I377" s="39" t="s">
        <v>691</v>
      </c>
      <c r="J377" s="39" t="s">
        <v>782</v>
      </c>
      <c r="K377" s="39" t="s">
        <v>783</v>
      </c>
    </row>
    <row r="378" spans="1:11" x14ac:dyDescent="0.2">
      <c r="A378" s="39" t="s">
        <v>686</v>
      </c>
      <c r="B378" s="39" t="s">
        <v>452</v>
      </c>
      <c r="C378" s="39" t="s">
        <v>414</v>
      </c>
      <c r="D378" s="39"/>
      <c r="E378" s="39" t="s">
        <v>1068</v>
      </c>
      <c r="F378" s="39" t="s">
        <v>688</v>
      </c>
      <c r="G378" s="39" t="s">
        <v>1759</v>
      </c>
      <c r="H378" s="39" t="s">
        <v>2003</v>
      </c>
      <c r="I378" s="39" t="s">
        <v>691</v>
      </c>
      <c r="J378" s="39" t="s">
        <v>2003</v>
      </c>
      <c r="K378" s="39" t="s">
        <v>2004</v>
      </c>
    </row>
    <row r="379" spans="1:11" x14ac:dyDescent="0.2">
      <c r="A379" s="39" t="s">
        <v>686</v>
      </c>
      <c r="B379" s="39" t="s">
        <v>300</v>
      </c>
      <c r="C379" s="39" t="s">
        <v>304</v>
      </c>
      <c r="D379" s="39"/>
      <c r="E379" s="39" t="s">
        <v>1080</v>
      </c>
      <c r="F379" s="39" t="s">
        <v>688</v>
      </c>
      <c r="G379" s="39" t="s">
        <v>1663</v>
      </c>
      <c r="H379" s="39" t="s">
        <v>1664</v>
      </c>
      <c r="I379" s="39" t="s">
        <v>691</v>
      </c>
      <c r="J379" s="39" t="s">
        <v>1664</v>
      </c>
      <c r="K379" s="39" t="s">
        <v>810</v>
      </c>
    </row>
    <row r="380" spans="1:11" x14ac:dyDescent="0.2">
      <c r="A380" s="39" t="s">
        <v>686</v>
      </c>
      <c r="B380" s="39" t="s">
        <v>377</v>
      </c>
      <c r="C380" s="39" t="s">
        <v>359</v>
      </c>
      <c r="D380" s="39"/>
      <c r="E380" s="39" t="s">
        <v>1107</v>
      </c>
      <c r="F380" s="39" t="s">
        <v>688</v>
      </c>
      <c r="G380" s="39" t="s">
        <v>1551</v>
      </c>
      <c r="H380" s="39" t="s">
        <v>1552</v>
      </c>
      <c r="I380" s="39" t="s">
        <v>691</v>
      </c>
      <c r="J380" s="39" t="s">
        <v>1552</v>
      </c>
      <c r="K380" s="39" t="s">
        <v>1553</v>
      </c>
    </row>
    <row r="381" spans="1:11" x14ac:dyDescent="0.2">
      <c r="A381" s="39" t="s">
        <v>686</v>
      </c>
      <c r="B381" s="39" t="s">
        <v>354</v>
      </c>
      <c r="C381" s="39" t="s">
        <v>337</v>
      </c>
      <c r="D381" s="39"/>
      <c r="E381" s="39" t="s">
        <v>1365</v>
      </c>
      <c r="F381" s="39" t="s">
        <v>688</v>
      </c>
      <c r="G381" s="39" t="s">
        <v>1740</v>
      </c>
      <c r="H381" s="39" t="s">
        <v>1741</v>
      </c>
      <c r="I381" s="39" t="s">
        <v>691</v>
      </c>
      <c r="J381" s="39" t="s">
        <v>1741</v>
      </c>
      <c r="K381" s="39" t="s">
        <v>1742</v>
      </c>
    </row>
    <row r="382" spans="1:11" x14ac:dyDescent="0.2">
      <c r="A382" s="39" t="s">
        <v>686</v>
      </c>
      <c r="B382" s="39" t="s">
        <v>588</v>
      </c>
      <c r="C382" s="39" t="s">
        <v>594</v>
      </c>
      <c r="D382" s="39"/>
      <c r="E382" s="39" t="s">
        <v>994</v>
      </c>
      <c r="F382" s="39" t="s">
        <v>688</v>
      </c>
      <c r="G382" s="39" t="s">
        <v>1781</v>
      </c>
      <c r="H382" s="39" t="s">
        <v>1782</v>
      </c>
      <c r="I382" s="39" t="s">
        <v>691</v>
      </c>
      <c r="J382" s="39" t="s">
        <v>1782</v>
      </c>
      <c r="K382" s="39" t="s">
        <v>1783</v>
      </c>
    </row>
    <row r="383" spans="1:11" x14ac:dyDescent="0.2">
      <c r="A383" s="39" t="s">
        <v>686</v>
      </c>
      <c r="B383" s="39" t="s">
        <v>420</v>
      </c>
      <c r="C383" s="39" t="s">
        <v>403</v>
      </c>
      <c r="D383" s="39"/>
      <c r="E383" s="39" t="s">
        <v>1517</v>
      </c>
      <c r="F383" s="39" t="s">
        <v>688</v>
      </c>
      <c r="G383" s="39" t="s">
        <v>2017</v>
      </c>
      <c r="H383" s="39" t="s">
        <v>2018</v>
      </c>
      <c r="I383" s="39" t="s">
        <v>691</v>
      </c>
      <c r="J383" s="39" t="s">
        <v>2018</v>
      </c>
      <c r="K383" s="39" t="s">
        <v>2019</v>
      </c>
    </row>
    <row r="384" spans="1:11" x14ac:dyDescent="0.2">
      <c r="A384" s="39" t="s">
        <v>686</v>
      </c>
      <c r="B384" s="39" t="s">
        <v>366</v>
      </c>
      <c r="C384" s="39" t="s">
        <v>370</v>
      </c>
      <c r="D384" s="39" t="s">
        <v>2041</v>
      </c>
      <c r="E384" s="39" t="s">
        <v>1111</v>
      </c>
      <c r="F384" s="39" t="s">
        <v>948</v>
      </c>
      <c r="G384" s="39" t="s">
        <v>1510</v>
      </c>
      <c r="H384" s="39" t="s">
        <v>1511</v>
      </c>
      <c r="I384" s="39" t="s">
        <v>691</v>
      </c>
      <c r="J384" s="39" t="s">
        <v>1512</v>
      </c>
      <c r="K384" s="39" t="s">
        <v>1513</v>
      </c>
    </row>
    <row r="385" spans="1:11" x14ac:dyDescent="0.2">
      <c r="A385" s="39" t="s">
        <v>686</v>
      </c>
      <c r="B385" s="39" t="s">
        <v>87</v>
      </c>
      <c r="C385" s="39" t="s">
        <v>68</v>
      </c>
      <c r="D385" s="39"/>
      <c r="E385" s="39" t="s">
        <v>811</v>
      </c>
      <c r="F385" s="39" t="s">
        <v>688</v>
      </c>
      <c r="G385" s="39" t="s">
        <v>837</v>
      </c>
      <c r="H385" s="39" t="s">
        <v>838</v>
      </c>
      <c r="I385" s="39" t="s">
        <v>691</v>
      </c>
      <c r="J385" s="39" t="s">
        <v>838</v>
      </c>
      <c r="K385" s="39" t="s">
        <v>839</v>
      </c>
    </row>
    <row r="386" spans="1:11" x14ac:dyDescent="0.2">
      <c r="A386" s="39" t="s">
        <v>686</v>
      </c>
      <c r="B386" s="39" t="s">
        <v>108</v>
      </c>
      <c r="C386" s="39" t="s">
        <v>90</v>
      </c>
      <c r="D386" s="39"/>
      <c r="E386" s="39" t="s">
        <v>953</v>
      </c>
      <c r="F386" s="39" t="s">
        <v>688</v>
      </c>
      <c r="G386" s="39" t="s">
        <v>968</v>
      </c>
      <c r="H386" s="39" t="s">
        <v>969</v>
      </c>
      <c r="I386" s="39" t="s">
        <v>691</v>
      </c>
      <c r="J386" s="39" t="s">
        <v>969</v>
      </c>
      <c r="K386" s="39" t="s">
        <v>970</v>
      </c>
    </row>
    <row r="387" spans="1:11" x14ac:dyDescent="0.2">
      <c r="A387" s="39" t="s">
        <v>686</v>
      </c>
      <c r="B387" s="39" t="s">
        <v>613</v>
      </c>
      <c r="C387" s="39" t="s">
        <v>616</v>
      </c>
      <c r="D387" s="39"/>
      <c r="E387" s="39" t="s">
        <v>723</v>
      </c>
      <c r="F387" s="39" t="s">
        <v>688</v>
      </c>
      <c r="G387" s="39" t="s">
        <v>750</v>
      </c>
      <c r="H387" s="39" t="s">
        <v>751</v>
      </c>
      <c r="I387" s="39" t="s">
        <v>691</v>
      </c>
      <c r="J387" s="39" t="s">
        <v>751</v>
      </c>
      <c r="K387" s="39" t="s">
        <v>752</v>
      </c>
    </row>
    <row r="388" spans="1:11" x14ac:dyDescent="0.2">
      <c r="A388" s="39" t="s">
        <v>686</v>
      </c>
      <c r="B388" s="39" t="s">
        <v>568</v>
      </c>
      <c r="C388" s="39" t="s">
        <v>572</v>
      </c>
      <c r="D388" s="39"/>
      <c r="E388" s="39" t="s">
        <v>1097</v>
      </c>
      <c r="F388" s="39" t="s">
        <v>688</v>
      </c>
      <c r="G388" s="39" t="s">
        <v>1750</v>
      </c>
      <c r="H388" s="39" t="s">
        <v>1751</v>
      </c>
      <c r="I388" s="39" t="s">
        <v>691</v>
      </c>
      <c r="J388" s="39" t="s">
        <v>1751</v>
      </c>
      <c r="K388" s="39" t="s">
        <v>1752</v>
      </c>
    </row>
    <row r="389" spans="1:11" x14ac:dyDescent="0.2">
      <c r="A389" s="39" t="s">
        <v>686</v>
      </c>
      <c r="B389" s="39" t="s">
        <v>624</v>
      </c>
      <c r="C389" s="39" t="s">
        <v>605</v>
      </c>
      <c r="D389" s="39"/>
      <c r="E389" s="39" t="s">
        <v>727</v>
      </c>
      <c r="F389" s="39" t="s">
        <v>688</v>
      </c>
      <c r="G389" s="39" t="s">
        <v>808</v>
      </c>
      <c r="H389" s="39" t="s">
        <v>809</v>
      </c>
      <c r="I389" s="39" t="s">
        <v>691</v>
      </c>
      <c r="J389" s="39" t="s">
        <v>809</v>
      </c>
      <c r="K389" s="39" t="s">
        <v>810</v>
      </c>
    </row>
    <row r="390" spans="1:11" x14ac:dyDescent="0.2">
      <c r="A390" s="39" t="s">
        <v>686</v>
      </c>
      <c r="B390" s="39" t="s">
        <v>141</v>
      </c>
      <c r="C390" s="39" t="s">
        <v>146</v>
      </c>
      <c r="D390" s="39"/>
      <c r="E390" s="39" t="s">
        <v>723</v>
      </c>
      <c r="F390" s="39" t="s">
        <v>688</v>
      </c>
      <c r="G390" s="39" t="s">
        <v>1671</v>
      </c>
      <c r="H390" s="39" t="s">
        <v>1672</v>
      </c>
      <c r="I390" s="39" t="s">
        <v>691</v>
      </c>
      <c r="J390" s="39" t="s">
        <v>1672</v>
      </c>
      <c r="K390" s="39" t="s">
        <v>1673</v>
      </c>
    </row>
    <row r="391" spans="1:11" x14ac:dyDescent="0.2">
      <c r="A391" s="39" t="s">
        <v>686</v>
      </c>
      <c r="B391" s="39" t="s">
        <v>76</v>
      </c>
      <c r="C391" s="39" t="s">
        <v>79</v>
      </c>
      <c r="D391" s="39"/>
      <c r="E391" s="39" t="s">
        <v>723</v>
      </c>
      <c r="F391" s="39" t="s">
        <v>688</v>
      </c>
      <c r="G391" s="39" t="s">
        <v>864</v>
      </c>
      <c r="H391" s="39" t="s">
        <v>865</v>
      </c>
      <c r="I391" s="39" t="s">
        <v>817</v>
      </c>
      <c r="J391" s="39" t="s">
        <v>865</v>
      </c>
      <c r="K391" s="39" t="s">
        <v>866</v>
      </c>
    </row>
    <row r="392" spans="1:11" x14ac:dyDescent="0.2">
      <c r="A392" s="39" t="s">
        <v>686</v>
      </c>
      <c r="B392" s="39" t="s">
        <v>207</v>
      </c>
      <c r="C392" s="39" t="s">
        <v>198</v>
      </c>
      <c r="D392" s="39"/>
      <c r="E392" s="39" t="s">
        <v>811</v>
      </c>
      <c r="F392" s="39" t="s">
        <v>688</v>
      </c>
      <c r="G392" s="39" t="s">
        <v>1679</v>
      </c>
      <c r="H392" s="39" t="s">
        <v>1680</v>
      </c>
      <c r="I392" s="39" t="s">
        <v>691</v>
      </c>
      <c r="J392" s="39" t="s">
        <v>1680</v>
      </c>
      <c r="K392" s="39" t="s">
        <v>1681</v>
      </c>
    </row>
    <row r="393" spans="1:11" x14ac:dyDescent="0.2">
      <c r="A393" s="39" t="s">
        <v>686</v>
      </c>
      <c r="B393" s="39" t="s">
        <v>535</v>
      </c>
      <c r="C393" s="39" t="s">
        <v>517</v>
      </c>
      <c r="D393" s="39"/>
      <c r="E393" s="39" t="s">
        <v>932</v>
      </c>
      <c r="F393" s="39" t="s">
        <v>688</v>
      </c>
      <c r="G393" s="39" t="s">
        <v>945</v>
      </c>
      <c r="H393" s="39" t="s">
        <v>946</v>
      </c>
      <c r="I393" s="39" t="s">
        <v>691</v>
      </c>
      <c r="J393" s="39" t="s">
        <v>946</v>
      </c>
      <c r="K393" s="39" t="s">
        <v>947</v>
      </c>
    </row>
    <row r="394" spans="1:11" x14ac:dyDescent="0.2">
      <c r="A394" s="39" t="s">
        <v>686</v>
      </c>
      <c r="B394" s="39" t="s">
        <v>557</v>
      </c>
      <c r="C394" s="39" t="s">
        <v>539</v>
      </c>
      <c r="D394" s="39"/>
      <c r="E394" s="39" t="s">
        <v>929</v>
      </c>
      <c r="F394" s="39" t="s">
        <v>688</v>
      </c>
      <c r="G394" s="39" t="s">
        <v>987</v>
      </c>
      <c r="H394" s="39" t="s">
        <v>988</v>
      </c>
      <c r="I394" s="39" t="s">
        <v>691</v>
      </c>
      <c r="J394" s="39" t="s">
        <v>988</v>
      </c>
      <c r="K394" s="39" t="s">
        <v>989</v>
      </c>
    </row>
    <row r="395" spans="1:11" x14ac:dyDescent="0.2">
      <c r="A395" s="39" t="s">
        <v>686</v>
      </c>
      <c r="B395" s="39" t="s">
        <v>409</v>
      </c>
      <c r="C395" s="39" t="s">
        <v>458</v>
      </c>
      <c r="D395" s="39"/>
      <c r="E395" s="39" t="s">
        <v>1068</v>
      </c>
      <c r="F395" s="39" t="s">
        <v>688</v>
      </c>
      <c r="G395" s="39" t="s">
        <v>2022</v>
      </c>
      <c r="H395" s="39" t="s">
        <v>2023</v>
      </c>
      <c r="I395" s="39" t="s">
        <v>691</v>
      </c>
      <c r="J395" s="39" t="s">
        <v>2023</v>
      </c>
      <c r="K395" s="39" t="s">
        <v>2024</v>
      </c>
    </row>
    <row r="396" spans="1:11" x14ac:dyDescent="0.2">
      <c r="A396" s="39" t="s">
        <v>686</v>
      </c>
      <c r="B396" s="39" t="s">
        <v>229</v>
      </c>
      <c r="C396" s="39" t="s">
        <v>176</v>
      </c>
      <c r="D396" s="39"/>
      <c r="E396" s="39" t="s">
        <v>1068</v>
      </c>
      <c r="F396" s="39" t="s">
        <v>688</v>
      </c>
      <c r="G396" s="39" t="s">
        <v>1699</v>
      </c>
      <c r="H396" s="39" t="s">
        <v>1700</v>
      </c>
      <c r="I396" s="39" t="s">
        <v>817</v>
      </c>
      <c r="J396" s="39" t="s">
        <v>1700</v>
      </c>
      <c r="K396" s="39" t="s">
        <v>1701</v>
      </c>
    </row>
    <row r="397" spans="1:11" x14ac:dyDescent="0.2">
      <c r="A397" s="39" t="s">
        <v>686</v>
      </c>
      <c r="B397" s="39" t="s">
        <v>513</v>
      </c>
      <c r="C397" s="39" t="s">
        <v>469</v>
      </c>
      <c r="D397" s="39"/>
      <c r="E397" s="39" t="s">
        <v>871</v>
      </c>
      <c r="F397" s="39" t="s">
        <v>688</v>
      </c>
      <c r="G397" s="39" t="s">
        <v>909</v>
      </c>
      <c r="H397" s="39" t="s">
        <v>910</v>
      </c>
      <c r="I397" s="39" t="s">
        <v>817</v>
      </c>
      <c r="J397" s="39" t="s">
        <v>910</v>
      </c>
      <c r="K397" s="39" t="s">
        <v>911</v>
      </c>
    </row>
    <row r="398" spans="1:11" x14ac:dyDescent="0.2">
      <c r="A398" s="39" t="s">
        <v>686</v>
      </c>
      <c r="B398" s="39" t="s">
        <v>333</v>
      </c>
      <c r="C398" s="39" t="s">
        <v>381</v>
      </c>
      <c r="D398" s="39"/>
      <c r="E398" s="39" t="s">
        <v>1064</v>
      </c>
      <c r="F398" s="39" t="s">
        <v>688</v>
      </c>
      <c r="G398" s="39" t="s">
        <v>1456</v>
      </c>
      <c r="H398" s="39" t="s">
        <v>1457</v>
      </c>
      <c r="I398" s="39" t="s">
        <v>691</v>
      </c>
      <c r="J398" s="39" t="s">
        <v>1458</v>
      </c>
      <c r="K398" s="39" t="s">
        <v>1459</v>
      </c>
    </row>
    <row r="399" spans="1:11" x14ac:dyDescent="0.2">
      <c r="A399" s="39" t="s">
        <v>686</v>
      </c>
      <c r="B399" s="39" t="s">
        <v>263</v>
      </c>
      <c r="C399" s="39" t="s">
        <v>245</v>
      </c>
      <c r="D399" s="39"/>
      <c r="E399" s="39" t="s">
        <v>875</v>
      </c>
      <c r="F399" s="39" t="s">
        <v>688</v>
      </c>
      <c r="G399" s="39" t="s">
        <v>1196</v>
      </c>
      <c r="H399" s="39" t="s">
        <v>1197</v>
      </c>
      <c r="I399" s="39" t="s">
        <v>691</v>
      </c>
      <c r="J399" s="39" t="s">
        <v>1197</v>
      </c>
      <c r="K399" s="39" t="s">
        <v>1198</v>
      </c>
    </row>
    <row r="400" spans="1:11" x14ac:dyDescent="0.2">
      <c r="A400" s="39" t="s">
        <v>686</v>
      </c>
      <c r="B400" s="39" t="s">
        <v>322</v>
      </c>
      <c r="C400" s="39" t="s">
        <v>293</v>
      </c>
      <c r="D400" s="39"/>
      <c r="E400" s="39" t="s">
        <v>727</v>
      </c>
      <c r="F400" s="39" t="s">
        <v>688</v>
      </c>
      <c r="G400" s="39" t="s">
        <v>1077</v>
      </c>
      <c r="H400" s="39" t="s">
        <v>1078</v>
      </c>
      <c r="I400" s="39" t="s">
        <v>691</v>
      </c>
      <c r="J400" s="39" t="s">
        <v>1078</v>
      </c>
      <c r="K400" s="39" t="s">
        <v>1079</v>
      </c>
    </row>
    <row r="401" spans="1:11" x14ac:dyDescent="0.2">
      <c r="A401" s="39" t="s">
        <v>686</v>
      </c>
      <c r="B401" s="39" t="s">
        <v>130</v>
      </c>
      <c r="C401" s="39" t="s">
        <v>135</v>
      </c>
      <c r="D401" s="39"/>
      <c r="E401" s="39" t="s">
        <v>994</v>
      </c>
      <c r="F401" s="39" t="s">
        <v>688</v>
      </c>
      <c r="G401" s="39" t="s">
        <v>1708</v>
      </c>
      <c r="H401" s="39" t="s">
        <v>1709</v>
      </c>
      <c r="I401" s="39" t="s">
        <v>691</v>
      </c>
      <c r="J401" s="39" t="s">
        <v>1709</v>
      </c>
      <c r="K401" s="39" t="s">
        <v>1710</v>
      </c>
    </row>
    <row r="402" spans="1:11" x14ac:dyDescent="0.2">
      <c r="A402" s="39" t="s">
        <v>686</v>
      </c>
      <c r="B402" s="39" t="s">
        <v>477</v>
      </c>
      <c r="C402" s="39" t="s">
        <v>480</v>
      </c>
      <c r="D402" s="39"/>
      <c r="E402" s="39" t="s">
        <v>867</v>
      </c>
      <c r="F402" s="39" t="s">
        <v>688</v>
      </c>
      <c r="G402" s="39" t="s">
        <v>1036</v>
      </c>
      <c r="H402" s="39" t="s">
        <v>1037</v>
      </c>
      <c r="I402" s="39" t="s">
        <v>691</v>
      </c>
      <c r="J402" s="39" t="s">
        <v>1037</v>
      </c>
      <c r="K402" s="39" t="s">
        <v>1038</v>
      </c>
    </row>
    <row r="403" spans="1:11" x14ac:dyDescent="0.2">
      <c r="A403" s="39" t="s">
        <v>686</v>
      </c>
      <c r="B403" s="39" t="s">
        <v>645</v>
      </c>
      <c r="C403" s="39" t="s">
        <v>627</v>
      </c>
      <c r="D403" s="39" t="s">
        <v>2041</v>
      </c>
      <c r="E403" s="39" t="s">
        <v>727</v>
      </c>
      <c r="F403" s="39" t="s">
        <v>688</v>
      </c>
      <c r="G403" s="39" t="s">
        <v>1818</v>
      </c>
      <c r="H403" s="39" t="s">
        <v>1819</v>
      </c>
      <c r="I403" s="39" t="s">
        <v>691</v>
      </c>
      <c r="J403" s="39" t="s">
        <v>1819</v>
      </c>
      <c r="K403" s="39" t="s">
        <v>1820</v>
      </c>
    </row>
    <row r="404" spans="1:11" x14ac:dyDescent="0.2">
      <c r="A404" s="39" t="s">
        <v>686</v>
      </c>
      <c r="B404" s="39" t="s">
        <v>488</v>
      </c>
      <c r="C404" s="39" t="s">
        <v>495</v>
      </c>
      <c r="D404" s="39"/>
      <c r="E404" s="39" t="s">
        <v>871</v>
      </c>
      <c r="F404" s="39" t="s">
        <v>688</v>
      </c>
      <c r="G404" s="39" t="s">
        <v>1078</v>
      </c>
      <c r="H404" s="39" t="s">
        <v>1247</v>
      </c>
      <c r="I404" s="39" t="s">
        <v>817</v>
      </c>
      <c r="J404" s="39" t="s">
        <v>1247</v>
      </c>
      <c r="K404" s="39" t="s">
        <v>1248</v>
      </c>
    </row>
    <row r="405" spans="1:11" x14ac:dyDescent="0.2">
      <c r="A405" s="39" t="s">
        <v>686</v>
      </c>
      <c r="B405" s="39" t="s">
        <v>600</v>
      </c>
      <c r="C405" s="39" t="s">
        <v>561</v>
      </c>
      <c r="D405" s="39"/>
      <c r="E405" s="39" t="s">
        <v>990</v>
      </c>
      <c r="F405" s="39" t="s">
        <v>688</v>
      </c>
      <c r="G405" s="39" t="s">
        <v>1394</v>
      </c>
      <c r="H405" s="39" t="s">
        <v>1395</v>
      </c>
      <c r="I405" s="39" t="s">
        <v>691</v>
      </c>
      <c r="J405" s="39" t="s">
        <v>1396</v>
      </c>
      <c r="K405" s="39" t="s">
        <v>1397</v>
      </c>
    </row>
    <row r="406" spans="1:11" ht="24" x14ac:dyDescent="0.2">
      <c r="A406" s="39" t="s">
        <v>686</v>
      </c>
      <c r="B406" s="39" t="s">
        <v>667</v>
      </c>
      <c r="C406" s="39" t="s">
        <v>649</v>
      </c>
      <c r="D406" s="39"/>
      <c r="E406" s="39" t="s">
        <v>1176</v>
      </c>
      <c r="F406" s="39" t="s">
        <v>688</v>
      </c>
      <c r="G406" s="39" t="s">
        <v>1865</v>
      </c>
      <c r="H406" s="39" t="s">
        <v>1866</v>
      </c>
      <c r="I406" s="39" t="s">
        <v>691</v>
      </c>
      <c r="J406" s="39" t="s">
        <v>1866</v>
      </c>
      <c r="K406" s="39" t="s">
        <v>1867</v>
      </c>
    </row>
    <row r="407" spans="1:11" x14ac:dyDescent="0.2">
      <c r="A407" s="39" t="s">
        <v>686</v>
      </c>
      <c r="B407" s="39" t="s">
        <v>218</v>
      </c>
      <c r="C407" s="39" t="s">
        <v>201</v>
      </c>
      <c r="D407" s="39"/>
      <c r="E407" s="39" t="s">
        <v>990</v>
      </c>
      <c r="F407" s="39" t="s">
        <v>688</v>
      </c>
      <c r="G407" s="39" t="s">
        <v>1673</v>
      </c>
      <c r="H407" s="39" t="s">
        <v>1773</v>
      </c>
      <c r="I407" s="39" t="s">
        <v>691</v>
      </c>
      <c r="J407" s="39" t="s">
        <v>1773</v>
      </c>
      <c r="K407" s="39" t="s">
        <v>1774</v>
      </c>
    </row>
    <row r="408" spans="1:11" x14ac:dyDescent="0.2">
      <c r="A408" s="39" t="s">
        <v>686</v>
      </c>
      <c r="B408" s="39" t="s">
        <v>240</v>
      </c>
      <c r="C408" s="39" t="s">
        <v>223</v>
      </c>
      <c r="D408" s="39"/>
      <c r="E408" s="39" t="s">
        <v>811</v>
      </c>
      <c r="F408" s="39" t="s">
        <v>688</v>
      </c>
      <c r="G408" s="39" t="s">
        <v>1788</v>
      </c>
      <c r="H408" s="39" t="s">
        <v>1789</v>
      </c>
      <c r="I408" s="39" t="s">
        <v>691</v>
      </c>
      <c r="J408" s="39" t="s">
        <v>1789</v>
      </c>
      <c r="K408" s="39" t="s">
        <v>1790</v>
      </c>
    </row>
    <row r="409" spans="1:11" x14ac:dyDescent="0.2">
      <c r="A409" s="39" t="s">
        <v>686</v>
      </c>
      <c r="B409" s="39" t="s">
        <v>278</v>
      </c>
      <c r="C409" s="39" t="s">
        <v>256</v>
      </c>
      <c r="D409" s="39"/>
      <c r="E409" s="39" t="s">
        <v>915</v>
      </c>
      <c r="F409" s="39" t="s">
        <v>688</v>
      </c>
      <c r="G409" s="39" t="s">
        <v>1282</v>
      </c>
      <c r="H409" s="39" t="s">
        <v>1283</v>
      </c>
      <c r="I409" s="39" t="s">
        <v>691</v>
      </c>
      <c r="J409" s="39" t="s">
        <v>1284</v>
      </c>
      <c r="K409" s="39" t="s">
        <v>1285</v>
      </c>
    </row>
    <row r="410" spans="1:11" x14ac:dyDescent="0.2">
      <c r="A410" s="39" t="s">
        <v>686</v>
      </c>
      <c r="B410" s="39" t="s">
        <v>464</v>
      </c>
      <c r="C410" s="39" t="s">
        <v>447</v>
      </c>
      <c r="D410" s="39"/>
      <c r="E410" s="39" t="s">
        <v>1517</v>
      </c>
      <c r="F410" s="39" t="s">
        <v>688</v>
      </c>
      <c r="G410" s="39" t="s">
        <v>1537</v>
      </c>
      <c r="H410" s="39" t="s">
        <v>1538</v>
      </c>
      <c r="I410" s="39" t="s">
        <v>691</v>
      </c>
      <c r="J410" s="39" t="s">
        <v>1538</v>
      </c>
      <c r="K410" s="39" t="s">
        <v>1539</v>
      </c>
    </row>
    <row r="411" spans="1:11" x14ac:dyDescent="0.2">
      <c r="A411" s="39" t="s">
        <v>686</v>
      </c>
      <c r="B411" s="39" t="s">
        <v>98</v>
      </c>
      <c r="C411" s="39" t="s">
        <v>101</v>
      </c>
      <c r="D411" s="39"/>
      <c r="E411" s="39" t="s">
        <v>723</v>
      </c>
      <c r="F411" s="39" t="s">
        <v>688</v>
      </c>
      <c r="G411" s="39" t="s">
        <v>2051</v>
      </c>
      <c r="H411" s="39" t="s">
        <v>1059</v>
      </c>
      <c r="I411" s="39" t="s">
        <v>691</v>
      </c>
      <c r="J411" s="39" t="s">
        <v>1059</v>
      </c>
      <c r="K411" s="39" t="s">
        <v>1060</v>
      </c>
    </row>
    <row r="412" spans="1:11" x14ac:dyDescent="0.2">
      <c r="A412" s="39" t="s">
        <v>686</v>
      </c>
      <c r="B412" s="39" t="s">
        <v>119</v>
      </c>
      <c r="C412" s="39" t="s">
        <v>124</v>
      </c>
      <c r="D412" s="39"/>
      <c r="E412" s="39" t="s">
        <v>723</v>
      </c>
      <c r="F412" s="39" t="s">
        <v>688</v>
      </c>
      <c r="G412" s="39" t="s">
        <v>1804</v>
      </c>
      <c r="H412" s="39" t="s">
        <v>1805</v>
      </c>
      <c r="I412" s="39" t="s">
        <v>691</v>
      </c>
      <c r="J412" s="39" t="s">
        <v>1805</v>
      </c>
      <c r="K412" s="39" t="s">
        <v>1806</v>
      </c>
    </row>
    <row r="413" spans="1:11" x14ac:dyDescent="0.2">
      <c r="A413" s="39" t="s">
        <v>686</v>
      </c>
      <c r="B413" s="39" t="s">
        <v>185</v>
      </c>
      <c r="C413" s="39" t="s">
        <v>212</v>
      </c>
      <c r="D413" s="39"/>
      <c r="E413" s="39" t="s">
        <v>811</v>
      </c>
      <c r="F413" s="39" t="s">
        <v>688</v>
      </c>
      <c r="G413" s="39" t="s">
        <v>1827</v>
      </c>
      <c r="H413" s="39" t="s">
        <v>1828</v>
      </c>
      <c r="I413" s="39" t="s">
        <v>691</v>
      </c>
      <c r="J413" s="39" t="s">
        <v>1828</v>
      </c>
      <c r="K413" s="39" t="s">
        <v>1829</v>
      </c>
    </row>
    <row r="414" spans="1:11" x14ac:dyDescent="0.2">
      <c r="A414" s="39" t="s">
        <v>686</v>
      </c>
      <c r="B414" s="39" t="s">
        <v>525</v>
      </c>
      <c r="C414" s="39" t="s">
        <v>528</v>
      </c>
      <c r="D414" s="39"/>
      <c r="E414" s="39" t="s">
        <v>929</v>
      </c>
      <c r="F414" s="39" t="s">
        <v>688</v>
      </c>
      <c r="G414" s="39" t="s">
        <v>1138</v>
      </c>
      <c r="H414" s="39" t="s">
        <v>1139</v>
      </c>
      <c r="I414" s="39" t="s">
        <v>691</v>
      </c>
      <c r="J414" s="39" t="s">
        <v>1139</v>
      </c>
      <c r="K414" s="39" t="s">
        <v>1140</v>
      </c>
    </row>
    <row r="415" spans="1:11" x14ac:dyDescent="0.2">
      <c r="A415" s="39" t="s">
        <v>686</v>
      </c>
      <c r="B415" s="39" t="s">
        <v>344</v>
      </c>
      <c r="C415" s="39" t="s">
        <v>348</v>
      </c>
      <c r="D415" s="39" t="s">
        <v>2041</v>
      </c>
      <c r="E415" s="39" t="s">
        <v>1111</v>
      </c>
      <c r="F415" s="39" t="s">
        <v>948</v>
      </c>
      <c r="G415" s="39" t="s">
        <v>1910</v>
      </c>
      <c r="H415" s="39" t="s">
        <v>1911</v>
      </c>
      <c r="I415" s="39" t="s">
        <v>691</v>
      </c>
      <c r="J415" s="39" t="s">
        <v>1912</v>
      </c>
      <c r="K415" s="39" t="s">
        <v>1913</v>
      </c>
    </row>
    <row r="416" spans="1:11" x14ac:dyDescent="0.2">
      <c r="A416" s="39" t="s">
        <v>686</v>
      </c>
      <c r="B416" s="39" t="s">
        <v>388</v>
      </c>
      <c r="C416" s="39" t="s">
        <v>392</v>
      </c>
      <c r="D416" s="39"/>
      <c r="E416" s="39" t="s">
        <v>1068</v>
      </c>
      <c r="F416" s="39" t="s">
        <v>688</v>
      </c>
      <c r="G416" s="39" t="s">
        <v>1209</v>
      </c>
      <c r="H416" s="39" t="s">
        <v>1210</v>
      </c>
      <c r="I416" s="39" t="s">
        <v>691</v>
      </c>
      <c r="J416" s="39" t="s">
        <v>1211</v>
      </c>
      <c r="K416" s="39" t="s">
        <v>1212</v>
      </c>
    </row>
    <row r="417" spans="1:11" x14ac:dyDescent="0.2">
      <c r="A417" s="39" t="s">
        <v>686</v>
      </c>
      <c r="B417" s="39" t="s">
        <v>163</v>
      </c>
      <c r="C417" s="39" t="s">
        <v>234</v>
      </c>
      <c r="D417" s="39"/>
      <c r="E417" s="39" t="s">
        <v>1068</v>
      </c>
      <c r="F417" s="39" t="s">
        <v>688</v>
      </c>
      <c r="G417" s="39" t="s">
        <v>1835</v>
      </c>
      <c r="H417" s="39" t="s">
        <v>1836</v>
      </c>
      <c r="I417" s="39" t="s">
        <v>817</v>
      </c>
      <c r="J417" s="39" t="s">
        <v>1836</v>
      </c>
      <c r="K417" s="39" t="s">
        <v>1837</v>
      </c>
    </row>
    <row r="418" spans="1:11" x14ac:dyDescent="0.2">
      <c r="A418" s="39" t="s">
        <v>686</v>
      </c>
      <c r="B418" s="39" t="s">
        <v>547</v>
      </c>
      <c r="C418" s="39" t="s">
        <v>550</v>
      </c>
      <c r="D418" s="39"/>
      <c r="E418" s="39" t="s">
        <v>971</v>
      </c>
      <c r="F418" s="39" t="s">
        <v>688</v>
      </c>
      <c r="G418" s="39" t="s">
        <v>1156</v>
      </c>
      <c r="H418" s="39" t="s">
        <v>1157</v>
      </c>
      <c r="I418" s="39" t="s">
        <v>691</v>
      </c>
      <c r="J418" s="39" t="s">
        <v>1157</v>
      </c>
      <c r="K418" s="39" t="s">
        <v>1158</v>
      </c>
    </row>
    <row r="419" spans="1:11" x14ac:dyDescent="0.2">
      <c r="A419" s="39" t="s">
        <v>686</v>
      </c>
      <c r="B419" s="39" t="s">
        <v>580</v>
      </c>
      <c r="C419" s="39" t="s">
        <v>583</v>
      </c>
      <c r="D419" s="39"/>
      <c r="E419" s="39" t="s">
        <v>990</v>
      </c>
      <c r="F419" s="39" t="s">
        <v>688</v>
      </c>
      <c r="G419" s="39" t="s">
        <v>2032</v>
      </c>
      <c r="H419" s="39" t="s">
        <v>2033</v>
      </c>
      <c r="I419" s="39" t="s">
        <v>691</v>
      </c>
      <c r="J419" s="39" t="s">
        <v>2033</v>
      </c>
      <c r="K419" s="39" t="s">
        <v>2034</v>
      </c>
    </row>
    <row r="420" spans="1:11" x14ac:dyDescent="0.2">
      <c r="A420" s="39" t="s">
        <v>686</v>
      </c>
      <c r="B420" s="39" t="s">
        <v>290</v>
      </c>
      <c r="C420" s="39" t="s">
        <v>271</v>
      </c>
      <c r="D420" s="39"/>
      <c r="E420" s="39" t="s">
        <v>875</v>
      </c>
      <c r="F420" s="39" t="s">
        <v>688</v>
      </c>
      <c r="G420" s="39" t="s">
        <v>1309</v>
      </c>
      <c r="H420" s="39" t="s">
        <v>1310</v>
      </c>
      <c r="I420" s="39" t="s">
        <v>691</v>
      </c>
      <c r="J420" s="39" t="s">
        <v>1310</v>
      </c>
      <c r="K420" s="39" t="s">
        <v>1311</v>
      </c>
    </row>
    <row r="421" spans="1:11" x14ac:dyDescent="0.2">
      <c r="A421" s="39" t="s">
        <v>686</v>
      </c>
      <c r="B421" s="39" t="s">
        <v>503</v>
      </c>
      <c r="C421" s="39" t="s">
        <v>506</v>
      </c>
      <c r="D421" s="39"/>
      <c r="E421" s="39" t="s">
        <v>875</v>
      </c>
      <c r="F421" s="39" t="s">
        <v>688</v>
      </c>
      <c r="G421" s="39" t="s">
        <v>1266</v>
      </c>
      <c r="H421" s="39" t="s">
        <v>1267</v>
      </c>
      <c r="I421" s="39" t="s">
        <v>691</v>
      </c>
      <c r="J421" s="39" t="s">
        <v>1267</v>
      </c>
      <c r="K421" s="39" t="s">
        <v>1268</v>
      </c>
    </row>
    <row r="422" spans="1:11" x14ac:dyDescent="0.2">
      <c r="A422" s="39" t="s">
        <v>686</v>
      </c>
      <c r="B422" s="39" t="s">
        <v>153</v>
      </c>
      <c r="C422" s="39" t="s">
        <v>113</v>
      </c>
      <c r="D422" s="39"/>
      <c r="E422" s="39" t="s">
        <v>994</v>
      </c>
      <c r="F422" s="39" t="s">
        <v>688</v>
      </c>
      <c r="G422" s="39" t="s">
        <v>1845</v>
      </c>
      <c r="H422" s="39" t="s">
        <v>1846</v>
      </c>
      <c r="I422" s="39" t="s">
        <v>691</v>
      </c>
      <c r="J422" s="39" t="s">
        <v>1846</v>
      </c>
      <c r="K422" s="39" t="s">
        <v>1847</v>
      </c>
    </row>
    <row r="423" spans="1:11" x14ac:dyDescent="0.2">
      <c r="A423" s="39" t="s">
        <v>686</v>
      </c>
      <c r="B423" s="39" t="s">
        <v>399</v>
      </c>
      <c r="C423" s="39" t="s">
        <v>315</v>
      </c>
      <c r="D423" s="39"/>
      <c r="E423" s="39" t="s">
        <v>1064</v>
      </c>
      <c r="F423" s="39" t="s">
        <v>688</v>
      </c>
      <c r="G423" s="39" t="s">
        <v>1093</v>
      </c>
      <c r="H423" s="39" t="s">
        <v>1094</v>
      </c>
      <c r="I423" s="39" t="s">
        <v>691</v>
      </c>
      <c r="J423" s="39" t="s">
        <v>1095</v>
      </c>
      <c r="K423" s="39" t="s">
        <v>1096</v>
      </c>
    </row>
    <row r="424" spans="1:11" x14ac:dyDescent="0.2">
      <c r="A424" s="39" t="s">
        <v>686</v>
      </c>
      <c r="B424" s="39" t="s">
        <v>312</v>
      </c>
      <c r="C424" s="39" t="s">
        <v>326</v>
      </c>
      <c r="D424" s="39"/>
      <c r="E424" s="39" t="s">
        <v>727</v>
      </c>
      <c r="F424" s="39" t="s">
        <v>688</v>
      </c>
      <c r="G424" s="39" t="s">
        <v>1339</v>
      </c>
      <c r="H424" s="39" t="s">
        <v>1340</v>
      </c>
      <c r="I424" s="39" t="s">
        <v>691</v>
      </c>
      <c r="J424" s="39" t="s">
        <v>1340</v>
      </c>
      <c r="K424" s="39" t="s">
        <v>1341</v>
      </c>
    </row>
    <row r="425" spans="1:11" x14ac:dyDescent="0.2">
      <c r="A425" s="39" t="s">
        <v>686</v>
      </c>
      <c r="B425" s="39" t="s">
        <v>196</v>
      </c>
      <c r="C425" s="39" t="s">
        <v>179</v>
      </c>
      <c r="D425" s="39"/>
      <c r="E425" s="39" t="s">
        <v>990</v>
      </c>
      <c r="F425" s="39" t="s">
        <v>688</v>
      </c>
      <c r="G425" s="39" t="s">
        <v>1873</v>
      </c>
      <c r="H425" s="39" t="s">
        <v>1874</v>
      </c>
      <c r="I425" s="39" t="s">
        <v>691</v>
      </c>
      <c r="J425" s="39" t="s">
        <v>1874</v>
      </c>
      <c r="K425" s="39" t="s">
        <v>1875</v>
      </c>
    </row>
    <row r="426" spans="1:11" x14ac:dyDescent="0.2">
      <c r="A426" s="39" t="s">
        <v>686</v>
      </c>
      <c r="B426" s="39" t="s">
        <v>174</v>
      </c>
      <c r="C426" s="39" t="s">
        <v>157</v>
      </c>
      <c r="D426" s="39"/>
      <c r="E426" s="39" t="s">
        <v>811</v>
      </c>
      <c r="F426" s="39" t="s">
        <v>688</v>
      </c>
      <c r="G426" s="39" t="s">
        <v>1212</v>
      </c>
      <c r="H426" s="39" t="s">
        <v>1882</v>
      </c>
      <c r="I426" s="39" t="s">
        <v>691</v>
      </c>
      <c r="J426" s="39" t="s">
        <v>1882</v>
      </c>
      <c r="K426" s="39" t="s">
        <v>1883</v>
      </c>
    </row>
    <row r="427" spans="1:11" x14ac:dyDescent="0.2">
      <c r="A427" s="39" t="s">
        <v>686</v>
      </c>
      <c r="B427" s="39" t="s">
        <v>208</v>
      </c>
      <c r="C427" s="39" t="s">
        <v>190</v>
      </c>
      <c r="D427" s="39"/>
      <c r="E427" s="39" t="s">
        <v>811</v>
      </c>
      <c r="F427" s="39" t="s">
        <v>688</v>
      </c>
      <c r="G427" s="39" t="s">
        <v>1900</v>
      </c>
      <c r="H427" s="39" t="s">
        <v>1901</v>
      </c>
      <c r="I427" s="39" t="s">
        <v>691</v>
      </c>
      <c r="J427" s="39" t="s">
        <v>1901</v>
      </c>
      <c r="K427" s="39" t="s">
        <v>1902</v>
      </c>
    </row>
    <row r="428" spans="1:11" x14ac:dyDescent="0.2">
      <c r="A428" s="39" t="s">
        <v>686</v>
      </c>
      <c r="B428" s="39" t="s">
        <v>230</v>
      </c>
      <c r="C428" s="39" t="s">
        <v>168</v>
      </c>
      <c r="D428" s="39"/>
      <c r="E428" s="39" t="s">
        <v>1068</v>
      </c>
      <c r="F428" s="39" t="s">
        <v>688</v>
      </c>
      <c r="G428" s="39" t="s">
        <v>1919</v>
      </c>
      <c r="H428" s="39" t="s">
        <v>1920</v>
      </c>
      <c r="I428" s="39" t="s">
        <v>817</v>
      </c>
      <c r="J428" s="39" t="s">
        <v>1920</v>
      </c>
      <c r="K428" s="39" t="s">
        <v>1921</v>
      </c>
    </row>
    <row r="429" spans="1:11" x14ac:dyDescent="0.2">
      <c r="A429" s="31"/>
      <c r="B429" s="31"/>
      <c r="C429" s="31"/>
      <c r="D429" s="31"/>
      <c r="E429" s="31"/>
      <c r="F429" s="31"/>
      <c r="G429" s="31"/>
      <c r="H429" s="32"/>
      <c r="I429" s="33"/>
      <c r="J429" s="32"/>
      <c r="K429" s="31"/>
    </row>
    <row r="430" spans="1:11" x14ac:dyDescent="0.2">
      <c r="A430" s="31"/>
      <c r="B430" s="31"/>
      <c r="C430" s="31"/>
      <c r="D430" s="31"/>
      <c r="E430" s="31"/>
      <c r="F430" s="31"/>
      <c r="G430" s="31"/>
      <c r="H430" s="32"/>
      <c r="I430" s="33"/>
      <c r="J430" s="32"/>
      <c r="K430" s="31"/>
    </row>
    <row r="431" spans="1:11" x14ac:dyDescent="0.2">
      <c r="A431" s="31"/>
      <c r="B431" s="31"/>
      <c r="C431" s="31"/>
      <c r="D431" s="33"/>
      <c r="E431" s="31"/>
      <c r="F431" s="31"/>
      <c r="G431" s="31"/>
      <c r="H431" s="32"/>
      <c r="I431" s="33"/>
      <c r="J431" s="32"/>
      <c r="K431" s="31"/>
    </row>
    <row r="432" spans="1:11" x14ac:dyDescent="0.2">
      <c r="A432" s="31"/>
      <c r="B432" s="31"/>
      <c r="C432" s="31"/>
      <c r="D432" s="31"/>
      <c r="E432" s="31"/>
      <c r="F432" s="31"/>
      <c r="G432" s="31"/>
      <c r="H432" s="32"/>
      <c r="I432" s="33"/>
      <c r="J432" s="32"/>
      <c r="K432" s="31"/>
    </row>
    <row r="433" spans="1:11" x14ac:dyDescent="0.2">
      <c r="A433" s="31"/>
      <c r="B433" s="31"/>
      <c r="C433" s="31"/>
      <c r="D433" s="31"/>
      <c r="E433" s="31"/>
      <c r="F433" s="31"/>
      <c r="G433" s="31"/>
      <c r="H433" s="32"/>
      <c r="I433" s="33"/>
      <c r="J433" s="32"/>
      <c r="K433" s="31"/>
    </row>
    <row r="434" spans="1:11" x14ac:dyDescent="0.2">
      <c r="A434" s="31"/>
      <c r="B434" s="31"/>
      <c r="C434" s="31"/>
      <c r="D434" s="31"/>
      <c r="E434" s="31"/>
      <c r="F434" s="31"/>
      <c r="G434" s="31"/>
      <c r="H434" s="32"/>
      <c r="I434" s="33"/>
      <c r="J434" s="32"/>
      <c r="K434" s="31"/>
    </row>
    <row r="435" spans="1:11" x14ac:dyDescent="0.2">
      <c r="A435" s="31"/>
      <c r="B435" s="31"/>
      <c r="C435" s="31"/>
      <c r="D435" s="31"/>
      <c r="E435" s="31"/>
      <c r="F435" s="31"/>
      <c r="G435" s="31"/>
      <c r="H435" s="32"/>
      <c r="I435" s="33"/>
      <c r="J435" s="32"/>
      <c r="K435" s="31"/>
    </row>
    <row r="436" spans="1:11" x14ac:dyDescent="0.2">
      <c r="A436" s="31"/>
      <c r="B436" s="31"/>
      <c r="C436" s="31"/>
      <c r="D436" s="31"/>
      <c r="E436" s="31"/>
      <c r="F436" s="31"/>
      <c r="G436" s="31"/>
      <c r="H436" s="32"/>
      <c r="I436" s="33"/>
      <c r="J436" s="32"/>
      <c r="K436" s="31"/>
    </row>
    <row r="437" spans="1:11" x14ac:dyDescent="0.2">
      <c r="A437" s="31"/>
      <c r="B437" s="31"/>
      <c r="C437" s="31"/>
      <c r="D437" s="33"/>
      <c r="E437" s="31"/>
      <c r="F437" s="31"/>
      <c r="G437" s="31"/>
      <c r="H437" s="32"/>
      <c r="I437" s="33"/>
      <c r="J437" s="32"/>
      <c r="K437" s="31"/>
    </row>
    <row r="438" spans="1:11" x14ac:dyDescent="0.2">
      <c r="A438" s="31"/>
      <c r="B438" s="31"/>
      <c r="C438" s="31"/>
      <c r="D438" s="31"/>
      <c r="E438" s="31"/>
      <c r="F438" s="31"/>
      <c r="G438" s="31"/>
      <c r="H438" s="32"/>
      <c r="I438" s="33"/>
      <c r="J438" s="32"/>
      <c r="K438" s="31"/>
    </row>
    <row r="439" spans="1:11" x14ac:dyDescent="0.2">
      <c r="A439" s="31"/>
      <c r="B439" s="31"/>
      <c r="C439" s="31"/>
      <c r="D439" s="31"/>
      <c r="E439" s="31"/>
      <c r="F439" s="31"/>
      <c r="G439" s="31"/>
      <c r="H439" s="32"/>
      <c r="I439" s="33"/>
      <c r="J439" s="32"/>
      <c r="K439" s="31"/>
    </row>
    <row r="440" spans="1:11" x14ac:dyDescent="0.2">
      <c r="A440" s="31"/>
      <c r="B440" s="31"/>
      <c r="C440" s="31"/>
      <c r="D440" s="31"/>
      <c r="E440" s="31"/>
      <c r="F440" s="31"/>
      <c r="G440" s="31"/>
      <c r="H440" s="32"/>
      <c r="I440" s="33"/>
      <c r="J440" s="32"/>
      <c r="K440" s="31"/>
    </row>
    <row r="441" spans="1:11" x14ac:dyDescent="0.2">
      <c r="A441" s="31"/>
      <c r="B441" s="31"/>
      <c r="C441" s="31"/>
      <c r="D441" s="31"/>
      <c r="E441" s="31"/>
      <c r="F441" s="31"/>
      <c r="G441" s="31"/>
      <c r="H441" s="32"/>
      <c r="I441" s="33"/>
      <c r="J441" s="32"/>
      <c r="K441" s="31"/>
    </row>
    <row r="442" spans="1:11" x14ac:dyDescent="0.2">
      <c r="A442" s="31"/>
      <c r="B442" s="31"/>
      <c r="C442" s="31"/>
      <c r="D442" s="31"/>
      <c r="E442" s="31"/>
      <c r="F442" s="31"/>
      <c r="G442" s="31"/>
      <c r="H442" s="32"/>
      <c r="I442" s="33"/>
      <c r="J442" s="32"/>
      <c r="K442" s="31"/>
    </row>
    <row r="443" spans="1:11" x14ac:dyDescent="0.2">
      <c r="A443" s="31"/>
      <c r="B443" s="31"/>
      <c r="C443" s="31"/>
      <c r="D443" s="31"/>
      <c r="E443" s="31"/>
      <c r="F443" s="31"/>
      <c r="G443" s="31"/>
      <c r="H443" s="32"/>
      <c r="I443" s="33"/>
      <c r="J443" s="32"/>
      <c r="K443" s="31"/>
    </row>
    <row r="444" spans="1:11" x14ac:dyDescent="0.2">
      <c r="A444" s="31"/>
      <c r="B444" s="31"/>
      <c r="C444" s="31"/>
      <c r="D444" s="31"/>
      <c r="E444" s="31"/>
      <c r="F444" s="31"/>
      <c r="G444" s="31"/>
      <c r="H444" s="32"/>
      <c r="I444" s="33"/>
      <c r="J444" s="32"/>
      <c r="K444" s="31"/>
    </row>
    <row r="445" spans="1:11" x14ac:dyDescent="0.2">
      <c r="A445" s="31"/>
      <c r="B445" s="31"/>
      <c r="C445" s="31"/>
      <c r="D445" s="31"/>
      <c r="E445" s="31"/>
      <c r="F445" s="31"/>
      <c r="G445" s="31"/>
      <c r="H445" s="32"/>
      <c r="I445" s="33"/>
      <c r="J445" s="32"/>
      <c r="K445" s="31"/>
    </row>
    <row r="446" spans="1:11" x14ac:dyDescent="0.2">
      <c r="A446" s="31"/>
      <c r="B446" s="31"/>
      <c r="C446" s="31"/>
      <c r="D446" s="31"/>
      <c r="E446" s="31"/>
      <c r="F446" s="31"/>
      <c r="G446" s="31"/>
      <c r="H446" s="32"/>
      <c r="I446" s="33"/>
      <c r="J446" s="32"/>
      <c r="K446" s="31"/>
    </row>
    <row r="447" spans="1:11" x14ac:dyDescent="0.2">
      <c r="A447" s="31"/>
      <c r="B447" s="31"/>
      <c r="C447" s="31"/>
      <c r="D447" s="31"/>
      <c r="E447" s="31"/>
      <c r="F447" s="31"/>
      <c r="G447" s="31"/>
      <c r="H447" s="32"/>
      <c r="I447" s="33"/>
      <c r="J447" s="32"/>
      <c r="K447" s="31"/>
    </row>
    <row r="448" spans="1:11" x14ac:dyDescent="0.2">
      <c r="A448" s="31"/>
      <c r="B448" s="31"/>
      <c r="C448" s="31"/>
      <c r="D448" s="31"/>
      <c r="E448" s="31"/>
      <c r="F448" s="31"/>
      <c r="G448" s="31"/>
      <c r="H448" s="32"/>
      <c r="I448" s="33"/>
      <c r="J448" s="32"/>
      <c r="K448" s="31"/>
    </row>
    <row r="449" spans="1:11" x14ac:dyDescent="0.2">
      <c r="A449" s="31"/>
      <c r="B449" s="31"/>
      <c r="C449" s="31"/>
      <c r="D449" s="31"/>
      <c r="E449" s="31"/>
      <c r="F449" s="31"/>
      <c r="G449" s="31"/>
      <c r="H449" s="32"/>
      <c r="I449" s="33"/>
      <c r="J449" s="32"/>
      <c r="K449" s="31"/>
    </row>
    <row r="450" spans="1:11" x14ac:dyDescent="0.2">
      <c r="A450" s="31"/>
      <c r="B450" s="31"/>
      <c r="C450" s="31"/>
      <c r="D450" s="31"/>
      <c r="E450" s="31"/>
      <c r="F450" s="31"/>
      <c r="G450" s="31"/>
      <c r="H450" s="32"/>
      <c r="I450" s="33"/>
      <c r="J450" s="32"/>
      <c r="K450" s="31"/>
    </row>
    <row r="451" spans="1:11" x14ac:dyDescent="0.2">
      <c r="A451" s="31"/>
      <c r="B451" s="31"/>
      <c r="C451" s="31"/>
      <c r="D451" s="31"/>
      <c r="E451" s="31"/>
      <c r="F451" s="31"/>
      <c r="G451" s="31"/>
      <c r="H451" s="32"/>
      <c r="I451" s="33"/>
      <c r="J451" s="32"/>
      <c r="K451" s="31"/>
    </row>
    <row r="452" spans="1:11" x14ac:dyDescent="0.2">
      <c r="A452" s="31"/>
      <c r="B452" s="31"/>
      <c r="C452" s="31"/>
      <c r="D452" s="31"/>
      <c r="E452" s="31"/>
      <c r="F452" s="31"/>
      <c r="G452" s="31"/>
      <c r="H452" s="32"/>
      <c r="I452" s="33"/>
      <c r="J452" s="32"/>
      <c r="K452" s="31"/>
    </row>
    <row r="453" spans="1:11" x14ac:dyDescent="0.2">
      <c r="A453" s="31"/>
      <c r="B453" s="31"/>
      <c r="C453" s="31"/>
      <c r="D453" s="33"/>
      <c r="E453" s="31"/>
      <c r="F453" s="31"/>
      <c r="G453" s="31"/>
      <c r="H453" s="32"/>
      <c r="I453" s="33"/>
      <c r="J453" s="32"/>
      <c r="K453" s="31"/>
    </row>
    <row r="454" spans="1:11" x14ac:dyDescent="0.2">
      <c r="A454" s="31"/>
      <c r="B454" s="31"/>
      <c r="C454" s="31"/>
      <c r="D454" s="33"/>
      <c r="E454" s="31"/>
      <c r="F454" s="31"/>
      <c r="G454" s="31"/>
      <c r="H454" s="32"/>
      <c r="I454" s="33"/>
      <c r="J454" s="32"/>
      <c r="K454" s="31"/>
    </row>
    <row r="455" spans="1:11" x14ac:dyDescent="0.2">
      <c r="A455" s="31"/>
      <c r="B455" s="31"/>
      <c r="C455" s="31"/>
      <c r="D455" s="31"/>
      <c r="E455" s="31"/>
      <c r="F455" s="31"/>
      <c r="G455" s="31"/>
      <c r="H455" s="32"/>
      <c r="I455" s="33"/>
      <c r="J455" s="32"/>
      <c r="K455" s="31"/>
    </row>
    <row r="456" spans="1:11" x14ac:dyDescent="0.2">
      <c r="A456" s="31"/>
      <c r="B456" s="31"/>
      <c r="C456" s="31"/>
      <c r="D456" s="31"/>
      <c r="E456" s="31"/>
      <c r="F456" s="31"/>
      <c r="G456" s="31"/>
      <c r="H456" s="32"/>
      <c r="I456" s="33"/>
      <c r="J456" s="32"/>
      <c r="K456" s="31"/>
    </row>
    <row r="457" spans="1:11" x14ac:dyDescent="0.2">
      <c r="A457" s="31"/>
      <c r="B457" s="31"/>
      <c r="C457" s="31"/>
      <c r="D457" s="31"/>
      <c r="E457" s="31"/>
      <c r="F457" s="31"/>
      <c r="G457" s="31"/>
      <c r="H457" s="32"/>
      <c r="I457" s="33"/>
      <c r="J457" s="32"/>
      <c r="K457" s="31"/>
    </row>
    <row r="458" spans="1:11" x14ac:dyDescent="0.2">
      <c r="A458" s="31"/>
      <c r="B458" s="31"/>
      <c r="C458" s="31"/>
      <c r="D458" s="31"/>
      <c r="E458" s="31"/>
      <c r="F458" s="31"/>
      <c r="G458" s="31"/>
      <c r="H458" s="32"/>
      <c r="I458" s="33"/>
      <c r="J458" s="32"/>
      <c r="K458" s="31"/>
    </row>
    <row r="459" spans="1:11" x14ac:dyDescent="0.2">
      <c r="A459" s="31"/>
      <c r="B459" s="31"/>
      <c r="C459" s="31"/>
      <c r="D459" s="31"/>
      <c r="E459" s="31"/>
      <c r="F459" s="31"/>
      <c r="G459" s="31"/>
      <c r="H459" s="32"/>
      <c r="I459" s="33"/>
      <c r="J459" s="32"/>
      <c r="K459" s="31"/>
    </row>
    <row r="460" spans="1:11" x14ac:dyDescent="0.2">
      <c r="A460" s="31"/>
      <c r="B460" s="31"/>
      <c r="C460" s="31"/>
      <c r="D460" s="31"/>
      <c r="E460" s="31"/>
      <c r="F460" s="31"/>
      <c r="G460" s="31"/>
      <c r="H460" s="32"/>
      <c r="I460" s="33"/>
      <c r="J460" s="32"/>
      <c r="K460" s="31"/>
    </row>
    <row r="461" spans="1:11" x14ac:dyDescent="0.2">
      <c r="A461" s="31"/>
      <c r="B461" s="31"/>
      <c r="C461" s="31"/>
      <c r="D461" s="31"/>
      <c r="E461" s="31"/>
      <c r="F461" s="31"/>
      <c r="G461" s="31"/>
      <c r="H461" s="32"/>
      <c r="I461" s="33"/>
      <c r="J461" s="32"/>
      <c r="K461" s="31"/>
    </row>
    <row r="462" spans="1:11" x14ac:dyDescent="0.2">
      <c r="A462" s="31"/>
      <c r="B462" s="31"/>
      <c r="C462" s="31"/>
      <c r="D462" s="31"/>
      <c r="E462" s="31"/>
      <c r="F462" s="31"/>
      <c r="G462" s="31"/>
      <c r="H462" s="32"/>
      <c r="I462" s="33"/>
      <c r="J462" s="32"/>
      <c r="K462" s="31"/>
    </row>
    <row r="463" spans="1:11" x14ac:dyDescent="0.2">
      <c r="A463" s="31"/>
      <c r="B463" s="31"/>
      <c r="C463" s="31"/>
      <c r="D463" s="31"/>
      <c r="E463" s="31"/>
      <c r="F463" s="31"/>
      <c r="G463" s="31"/>
      <c r="H463" s="32"/>
      <c r="I463" s="33"/>
      <c r="J463" s="32"/>
      <c r="K463" s="31"/>
    </row>
    <row r="464" spans="1:11" x14ac:dyDescent="0.2">
      <c r="A464" s="31"/>
      <c r="B464" s="31"/>
      <c r="C464" s="31"/>
      <c r="D464" s="31"/>
      <c r="E464" s="31"/>
      <c r="F464" s="31"/>
      <c r="G464" s="31"/>
      <c r="H464" s="32"/>
      <c r="I464" s="33"/>
      <c r="J464" s="32"/>
      <c r="K464" s="31"/>
    </row>
    <row r="465" spans="1:11" x14ac:dyDescent="0.2">
      <c r="A465" s="31"/>
      <c r="B465" s="31"/>
      <c r="C465" s="31"/>
      <c r="D465" s="31"/>
      <c r="E465" s="31"/>
      <c r="F465" s="31"/>
      <c r="G465" s="31"/>
      <c r="H465" s="32"/>
      <c r="I465" s="33"/>
      <c r="J465" s="32"/>
      <c r="K465" s="31"/>
    </row>
    <row r="466" spans="1:11" x14ac:dyDescent="0.2">
      <c r="A466" s="31"/>
      <c r="B466" s="31"/>
      <c r="C466" s="31"/>
      <c r="D466" s="31"/>
      <c r="E466" s="31"/>
      <c r="F466" s="31"/>
      <c r="G466" s="31"/>
      <c r="H466" s="32"/>
      <c r="I466" s="33"/>
      <c r="J466" s="32"/>
      <c r="K466" s="31"/>
    </row>
    <row r="467" spans="1:11" x14ac:dyDescent="0.2">
      <c r="A467" s="31"/>
      <c r="B467" s="31"/>
      <c r="C467" s="31"/>
      <c r="D467" s="31"/>
      <c r="E467" s="31"/>
      <c r="F467" s="31"/>
      <c r="G467" s="31"/>
      <c r="H467" s="32"/>
      <c r="I467" s="33"/>
      <c r="J467" s="32"/>
      <c r="K467" s="31"/>
    </row>
    <row r="468" spans="1:11" x14ac:dyDescent="0.2">
      <c r="A468" s="31"/>
      <c r="B468" s="31"/>
      <c r="C468" s="31"/>
      <c r="D468" s="31"/>
      <c r="E468" s="31"/>
      <c r="F468" s="31"/>
      <c r="G468" s="31"/>
      <c r="H468" s="32"/>
      <c r="I468" s="33"/>
      <c r="J468" s="32"/>
      <c r="K468" s="31"/>
    </row>
    <row r="469" spans="1:11" x14ac:dyDescent="0.2">
      <c r="A469" s="31"/>
      <c r="B469" s="31"/>
      <c r="C469" s="31"/>
      <c r="D469" s="31"/>
      <c r="E469" s="31"/>
      <c r="F469" s="31"/>
      <c r="G469" s="31"/>
      <c r="H469" s="32"/>
      <c r="I469" s="33"/>
      <c r="J469" s="32"/>
      <c r="K469" s="31"/>
    </row>
    <row r="470" spans="1:11" x14ac:dyDescent="0.2">
      <c r="A470" s="31"/>
      <c r="B470" s="31"/>
      <c r="C470" s="31"/>
      <c r="D470" s="31"/>
      <c r="E470" s="31"/>
      <c r="F470" s="31"/>
      <c r="G470" s="31"/>
      <c r="H470" s="32"/>
      <c r="I470" s="33"/>
      <c r="J470" s="32"/>
      <c r="K470" s="31"/>
    </row>
    <row r="471" spans="1:11" x14ac:dyDescent="0.2">
      <c r="A471" s="31"/>
      <c r="B471" s="31"/>
      <c r="C471" s="31"/>
      <c r="D471" s="33"/>
      <c r="E471" s="31"/>
      <c r="F471" s="31"/>
      <c r="G471" s="31"/>
      <c r="H471" s="32"/>
      <c r="I471" s="33"/>
      <c r="J471" s="32"/>
      <c r="K471" s="31"/>
    </row>
    <row r="472" spans="1:11" x14ac:dyDescent="0.2">
      <c r="A472" s="31"/>
      <c r="B472" s="31"/>
      <c r="C472" s="31"/>
      <c r="D472" s="31"/>
      <c r="E472" s="31"/>
      <c r="F472" s="31"/>
      <c r="G472" s="31"/>
      <c r="H472" s="32"/>
      <c r="I472" s="33"/>
      <c r="J472" s="32"/>
      <c r="K472" s="31"/>
    </row>
    <row r="473" spans="1:11" x14ac:dyDescent="0.2">
      <c r="A473" s="31"/>
      <c r="B473" s="31"/>
      <c r="C473" s="31"/>
      <c r="D473" s="31"/>
      <c r="E473" s="31"/>
      <c r="F473" s="31"/>
      <c r="G473" s="31"/>
      <c r="H473" s="32"/>
      <c r="I473" s="33"/>
      <c r="J473" s="32"/>
      <c r="K473" s="31"/>
    </row>
    <row r="474" spans="1:11" x14ac:dyDescent="0.2">
      <c r="A474" s="31"/>
      <c r="B474" s="31"/>
      <c r="C474" s="31"/>
      <c r="D474" s="31"/>
      <c r="E474" s="31"/>
      <c r="F474" s="31"/>
      <c r="G474" s="31"/>
      <c r="H474" s="32"/>
      <c r="I474" s="33"/>
      <c r="J474" s="32"/>
      <c r="K474" s="31"/>
    </row>
    <row r="475" spans="1:11" x14ac:dyDescent="0.2">
      <c r="A475" s="31"/>
      <c r="B475" s="31"/>
      <c r="C475" s="31"/>
      <c r="D475" s="31"/>
      <c r="E475" s="31"/>
      <c r="F475" s="31"/>
      <c r="G475" s="31"/>
      <c r="H475" s="32"/>
      <c r="I475" s="33"/>
      <c r="J475" s="32"/>
      <c r="K475" s="31"/>
    </row>
    <row r="476" spans="1:11" x14ac:dyDescent="0.2">
      <c r="A476" s="31"/>
      <c r="B476" s="31"/>
      <c r="C476" s="31"/>
      <c r="D476" s="31"/>
      <c r="E476" s="31"/>
      <c r="F476" s="31"/>
      <c r="G476" s="31"/>
      <c r="H476" s="32"/>
      <c r="I476" s="33"/>
      <c r="J476" s="32"/>
      <c r="K476" s="31"/>
    </row>
    <row r="477" spans="1:11" x14ac:dyDescent="0.2">
      <c r="A477" s="31"/>
      <c r="B477" s="31"/>
      <c r="C477" s="31"/>
      <c r="D477" s="31"/>
      <c r="E477" s="31"/>
      <c r="F477" s="31"/>
      <c r="G477" s="31"/>
      <c r="H477" s="32"/>
      <c r="I477" s="33"/>
      <c r="J477" s="32"/>
      <c r="K477" s="31"/>
    </row>
    <row r="478" spans="1:11" x14ac:dyDescent="0.2">
      <c r="A478" s="31"/>
      <c r="B478" s="31"/>
      <c r="C478" s="31"/>
      <c r="D478" s="31"/>
      <c r="E478" s="31"/>
      <c r="F478" s="31"/>
      <c r="G478" s="31"/>
      <c r="H478" s="32"/>
      <c r="I478" s="33"/>
      <c r="J478" s="32"/>
      <c r="K478" s="31"/>
    </row>
    <row r="479" spans="1:11" x14ac:dyDescent="0.2">
      <c r="A479" s="31"/>
      <c r="B479" s="31"/>
      <c r="C479" s="31"/>
      <c r="D479" s="31"/>
      <c r="E479" s="31"/>
      <c r="F479" s="31"/>
      <c r="G479" s="31"/>
      <c r="H479" s="32"/>
      <c r="I479" s="33"/>
      <c r="J479" s="32"/>
      <c r="K479" s="31"/>
    </row>
    <row r="480" spans="1:11" x14ac:dyDescent="0.2">
      <c r="A480" s="31"/>
      <c r="B480" s="31"/>
      <c r="C480" s="31"/>
      <c r="D480" s="31"/>
      <c r="E480" s="31"/>
      <c r="F480" s="31"/>
      <c r="G480" s="31"/>
      <c r="H480" s="32"/>
      <c r="I480" s="33"/>
      <c r="J480" s="32"/>
      <c r="K480" s="31"/>
    </row>
    <row r="481" spans="1:11" x14ac:dyDescent="0.2">
      <c r="A481" s="31"/>
      <c r="B481" s="31"/>
      <c r="C481" s="31"/>
      <c r="D481" s="33"/>
      <c r="E481" s="31"/>
      <c r="F481" s="31"/>
      <c r="G481" s="31"/>
      <c r="H481" s="32"/>
      <c r="I481" s="33"/>
      <c r="J481" s="32"/>
      <c r="K481" s="31"/>
    </row>
    <row r="482" spans="1:11" x14ac:dyDescent="0.2">
      <c r="A482" s="31"/>
      <c r="B482" s="31"/>
      <c r="C482" s="31"/>
      <c r="D482" s="31"/>
      <c r="E482" s="31"/>
      <c r="F482" s="31"/>
      <c r="G482" s="31"/>
      <c r="H482" s="32"/>
      <c r="I482" s="33"/>
      <c r="J482" s="32"/>
      <c r="K482" s="31"/>
    </row>
    <row r="483" spans="1:11" x14ac:dyDescent="0.2">
      <c r="A483" s="31"/>
      <c r="B483" s="31"/>
      <c r="C483" s="31"/>
      <c r="D483" s="31"/>
      <c r="E483" s="31"/>
      <c r="F483" s="31"/>
      <c r="G483" s="31"/>
      <c r="H483" s="32"/>
      <c r="I483" s="33"/>
      <c r="J483" s="32"/>
      <c r="K483" s="31"/>
    </row>
    <row r="484" spans="1:11" x14ac:dyDescent="0.2">
      <c r="A484" s="31"/>
      <c r="B484" s="31"/>
      <c r="C484" s="31"/>
      <c r="D484" s="31"/>
      <c r="E484" s="31"/>
      <c r="F484" s="31"/>
      <c r="G484" s="31"/>
      <c r="H484" s="32"/>
      <c r="I484" s="33"/>
      <c r="J484" s="32"/>
      <c r="K484" s="31"/>
    </row>
    <row r="485" spans="1:11" x14ac:dyDescent="0.2">
      <c r="A485" s="31"/>
      <c r="B485" s="31"/>
      <c r="C485" s="31"/>
      <c r="D485" s="31"/>
      <c r="E485" s="31"/>
      <c r="F485" s="31"/>
      <c r="G485" s="31"/>
      <c r="H485" s="32"/>
      <c r="I485" s="33"/>
      <c r="J485" s="32"/>
      <c r="K485" s="31"/>
    </row>
    <row r="486" spans="1:11" x14ac:dyDescent="0.2">
      <c r="A486" s="31"/>
      <c r="B486" s="31"/>
      <c r="C486" s="31"/>
      <c r="D486" s="31"/>
      <c r="E486" s="31"/>
      <c r="F486" s="31"/>
      <c r="G486" s="31"/>
      <c r="H486" s="32"/>
      <c r="I486" s="33"/>
      <c r="J486" s="32"/>
      <c r="K486" s="31"/>
    </row>
    <row r="487" spans="1:11" x14ac:dyDescent="0.2">
      <c r="A487" s="31"/>
      <c r="B487" s="31"/>
      <c r="C487" s="31"/>
      <c r="D487" s="33"/>
      <c r="E487" s="31"/>
      <c r="F487" s="31"/>
      <c r="G487" s="31"/>
      <c r="H487" s="32"/>
      <c r="I487" s="33"/>
      <c r="J487" s="32"/>
      <c r="K487" s="31"/>
    </row>
    <row r="488" spans="1:11" x14ac:dyDescent="0.2">
      <c r="A488" s="31"/>
      <c r="B488" s="31"/>
      <c r="C488" s="31"/>
      <c r="D488" s="31"/>
      <c r="E488" s="31"/>
      <c r="F488" s="31"/>
      <c r="G488" s="31"/>
      <c r="H488" s="32"/>
      <c r="I488" s="33"/>
      <c r="J488" s="32"/>
      <c r="K488" s="31"/>
    </row>
    <row r="489" spans="1:11" x14ac:dyDescent="0.2">
      <c r="A489" s="31"/>
      <c r="B489" s="31"/>
      <c r="C489" s="31"/>
      <c r="D489" s="31"/>
      <c r="E489" s="31"/>
      <c r="F489" s="31"/>
      <c r="G489" s="31"/>
      <c r="H489" s="32"/>
      <c r="I489" s="33"/>
      <c r="J489" s="32"/>
      <c r="K489" s="31"/>
    </row>
    <row r="490" spans="1:11" x14ac:dyDescent="0.2">
      <c r="A490" s="31"/>
      <c r="B490" s="31"/>
      <c r="C490" s="31"/>
      <c r="D490" s="31"/>
      <c r="E490" s="31"/>
      <c r="F490" s="31"/>
      <c r="G490" s="31"/>
      <c r="H490" s="32"/>
      <c r="I490" s="33"/>
      <c r="J490" s="32"/>
      <c r="K490" s="31"/>
    </row>
    <row r="491" spans="1:11" x14ac:dyDescent="0.2">
      <c r="A491" s="31"/>
      <c r="B491" s="31"/>
      <c r="C491" s="31"/>
      <c r="D491" s="31"/>
      <c r="E491" s="31"/>
      <c r="F491" s="31"/>
      <c r="G491" s="31"/>
      <c r="H491" s="32"/>
      <c r="I491" s="33"/>
      <c r="J491" s="32"/>
      <c r="K491" s="31"/>
    </row>
    <row r="492" spans="1:11" x14ac:dyDescent="0.2">
      <c r="A492" s="31"/>
      <c r="B492" s="31"/>
      <c r="C492" s="31"/>
      <c r="D492" s="31"/>
      <c r="E492" s="31"/>
      <c r="F492" s="31"/>
      <c r="G492" s="31"/>
      <c r="H492" s="32"/>
      <c r="I492" s="33"/>
      <c r="J492" s="32"/>
      <c r="K492" s="31"/>
    </row>
    <row r="493" spans="1:11" x14ac:dyDescent="0.2">
      <c r="A493" s="31"/>
      <c r="B493" s="31"/>
      <c r="C493" s="31"/>
      <c r="D493" s="31"/>
      <c r="E493" s="31"/>
      <c r="F493" s="31"/>
      <c r="G493" s="31"/>
      <c r="H493" s="32"/>
      <c r="I493" s="33"/>
      <c r="J493" s="32"/>
      <c r="K493" s="31"/>
    </row>
    <row r="494" spans="1:11" x14ac:dyDescent="0.2">
      <c r="A494" s="31"/>
      <c r="B494" s="31"/>
      <c r="C494" s="31"/>
      <c r="D494" s="31"/>
      <c r="E494" s="31"/>
      <c r="F494" s="31"/>
      <c r="G494" s="31"/>
      <c r="H494" s="32"/>
      <c r="I494" s="33"/>
      <c r="J494" s="32"/>
      <c r="K494" s="31"/>
    </row>
    <row r="495" spans="1:11" x14ac:dyDescent="0.2">
      <c r="A495" s="31"/>
      <c r="B495" s="31"/>
      <c r="C495" s="31"/>
      <c r="D495" s="31"/>
      <c r="E495" s="31"/>
      <c r="F495" s="31"/>
      <c r="G495" s="31"/>
      <c r="H495" s="32"/>
      <c r="I495" s="33"/>
      <c r="J495" s="32"/>
      <c r="K495" s="31"/>
    </row>
    <row r="496" spans="1:11" x14ac:dyDescent="0.2">
      <c r="A496" s="31"/>
      <c r="B496" s="31"/>
      <c r="C496" s="31"/>
      <c r="D496" s="31"/>
      <c r="E496" s="31"/>
      <c r="F496" s="31"/>
      <c r="G496" s="31"/>
      <c r="H496" s="32"/>
      <c r="I496" s="33"/>
      <c r="J496" s="32"/>
      <c r="K496" s="31"/>
    </row>
    <row r="497" spans="1:11" x14ac:dyDescent="0.2">
      <c r="A497" s="31"/>
      <c r="B497" s="31"/>
      <c r="C497" s="31"/>
      <c r="D497" s="31"/>
      <c r="E497" s="31"/>
      <c r="F497" s="31"/>
      <c r="G497" s="31"/>
      <c r="H497" s="32"/>
      <c r="I497" s="33"/>
      <c r="J497" s="32"/>
      <c r="K497" s="31"/>
    </row>
    <row r="498" spans="1:11" x14ac:dyDescent="0.2">
      <c r="A498" s="31"/>
      <c r="B498" s="31"/>
      <c r="C498" s="31"/>
      <c r="D498" s="31"/>
      <c r="E498" s="31"/>
      <c r="F498" s="31"/>
      <c r="G498" s="31"/>
      <c r="H498" s="32"/>
      <c r="I498" s="33"/>
      <c r="J498" s="32"/>
      <c r="K498" s="31"/>
    </row>
    <row r="499" spans="1:11" x14ac:dyDescent="0.2">
      <c r="A499" s="31"/>
      <c r="B499" s="31"/>
      <c r="C499" s="31"/>
      <c r="D499" s="31"/>
      <c r="E499" s="31"/>
      <c r="F499" s="31"/>
      <c r="G499" s="31"/>
      <c r="H499" s="32"/>
      <c r="I499" s="33"/>
      <c r="J499" s="32"/>
      <c r="K499" s="31"/>
    </row>
    <row r="500" spans="1:11" x14ac:dyDescent="0.2">
      <c r="A500" s="31"/>
      <c r="B500" s="31"/>
      <c r="C500" s="31"/>
      <c r="D500" s="31"/>
      <c r="E500" s="31"/>
      <c r="F500" s="31"/>
      <c r="G500" s="31"/>
      <c r="H500" s="32"/>
      <c r="I500" s="33"/>
      <c r="J500" s="32"/>
      <c r="K500" s="31"/>
    </row>
    <row r="501" spans="1:11" x14ac:dyDescent="0.2">
      <c r="A501" s="31"/>
      <c r="B501" s="31"/>
      <c r="C501" s="31"/>
      <c r="D501" s="31"/>
      <c r="E501" s="31"/>
      <c r="F501" s="31"/>
      <c r="G501" s="31"/>
      <c r="H501" s="32"/>
      <c r="I501" s="33"/>
      <c r="J501" s="32"/>
      <c r="K501" s="31"/>
    </row>
    <row r="502" spans="1:11" x14ac:dyDescent="0.2">
      <c r="A502" s="31"/>
      <c r="B502" s="31"/>
      <c r="C502" s="31"/>
      <c r="D502" s="31"/>
      <c r="E502" s="31"/>
      <c r="F502" s="31"/>
      <c r="G502" s="31"/>
      <c r="H502" s="32"/>
      <c r="I502" s="33"/>
      <c r="J502" s="32"/>
      <c r="K502" s="31"/>
    </row>
    <row r="503" spans="1:11" x14ac:dyDescent="0.2">
      <c r="A503" s="31"/>
      <c r="B503" s="31"/>
      <c r="C503" s="31"/>
      <c r="D503" s="33"/>
      <c r="E503" s="31"/>
      <c r="F503" s="31"/>
      <c r="G503" s="31"/>
      <c r="H503" s="32"/>
      <c r="I503" s="33"/>
      <c r="J503" s="32"/>
      <c r="K503" s="31"/>
    </row>
    <row r="504" spans="1:11" x14ac:dyDescent="0.2">
      <c r="A504" s="31"/>
      <c r="B504" s="31"/>
      <c r="C504" s="31"/>
      <c r="D504" s="33"/>
      <c r="E504" s="31"/>
      <c r="F504" s="31"/>
      <c r="G504" s="31"/>
      <c r="H504" s="32"/>
      <c r="I504" s="33"/>
      <c r="J504" s="32"/>
      <c r="K504" s="31"/>
    </row>
    <row r="505" spans="1:11" x14ac:dyDescent="0.2">
      <c r="A505" s="31"/>
      <c r="B505" s="31"/>
      <c r="C505" s="31"/>
      <c r="D505" s="31"/>
      <c r="E505" s="31"/>
      <c r="F505" s="31"/>
      <c r="G505" s="31"/>
      <c r="H505" s="32"/>
      <c r="I505" s="33"/>
      <c r="J505" s="32"/>
      <c r="K505" s="31"/>
    </row>
    <row r="506" spans="1:11" x14ac:dyDescent="0.2">
      <c r="A506" s="31"/>
      <c r="B506" s="31"/>
      <c r="C506" s="31"/>
      <c r="D506" s="31"/>
      <c r="E506" s="31"/>
      <c r="F506" s="31"/>
      <c r="G506" s="31"/>
      <c r="H506" s="32"/>
      <c r="I506" s="33"/>
      <c r="J506" s="32"/>
      <c r="K506" s="31"/>
    </row>
    <row r="507" spans="1:11" x14ac:dyDescent="0.2">
      <c r="A507" s="31"/>
      <c r="B507" s="31"/>
      <c r="C507" s="31"/>
      <c r="D507" s="31"/>
      <c r="E507" s="31"/>
      <c r="F507" s="31"/>
      <c r="G507" s="31"/>
      <c r="H507" s="32"/>
      <c r="I507" s="33"/>
      <c r="J507" s="32"/>
      <c r="K507" s="31"/>
    </row>
    <row r="508" spans="1:11" x14ac:dyDescent="0.2">
      <c r="A508" s="31"/>
      <c r="B508" s="31"/>
      <c r="C508" s="31"/>
      <c r="D508" s="31"/>
      <c r="E508" s="31"/>
      <c r="F508" s="31"/>
      <c r="G508" s="31"/>
      <c r="H508" s="32"/>
      <c r="I508" s="33"/>
      <c r="J508" s="32"/>
      <c r="K508" s="31"/>
    </row>
    <row r="509" spans="1:11" x14ac:dyDescent="0.2">
      <c r="A509" s="31"/>
      <c r="B509" s="31"/>
      <c r="C509" s="31"/>
      <c r="D509" s="31"/>
      <c r="E509" s="31"/>
      <c r="F509" s="31"/>
      <c r="G509" s="31"/>
      <c r="H509" s="32"/>
      <c r="I509" s="33"/>
      <c r="J509" s="32"/>
      <c r="K509" s="31"/>
    </row>
    <row r="510" spans="1:11" x14ac:dyDescent="0.2">
      <c r="A510" s="31"/>
      <c r="B510" s="31"/>
      <c r="C510" s="31"/>
      <c r="D510" s="31"/>
      <c r="E510" s="31"/>
      <c r="F510" s="31"/>
      <c r="G510" s="31"/>
      <c r="H510" s="32"/>
      <c r="I510" s="33"/>
      <c r="J510" s="32"/>
      <c r="K510" s="31"/>
    </row>
    <row r="511" spans="1:11" x14ac:dyDescent="0.2">
      <c r="A511" s="31"/>
      <c r="B511" s="31"/>
      <c r="C511" s="31"/>
      <c r="D511" s="31"/>
      <c r="E511" s="31"/>
      <c r="F511" s="31"/>
      <c r="G511" s="31"/>
      <c r="H511" s="32"/>
      <c r="I511" s="33"/>
      <c r="J511" s="32"/>
      <c r="K511" s="31"/>
    </row>
    <row r="512" spans="1:11" x14ac:dyDescent="0.2">
      <c r="A512" s="31"/>
      <c r="B512" s="31"/>
      <c r="C512" s="31"/>
      <c r="D512" s="31"/>
      <c r="E512" s="31"/>
      <c r="F512" s="31"/>
      <c r="G512" s="31"/>
      <c r="H512" s="32"/>
      <c r="I512" s="33"/>
      <c r="J512" s="32"/>
      <c r="K512" s="31"/>
    </row>
    <row r="513" spans="1:11" x14ac:dyDescent="0.2">
      <c r="A513" s="31"/>
      <c r="B513" s="31"/>
      <c r="C513" s="31"/>
      <c r="D513" s="33"/>
      <c r="E513" s="31"/>
      <c r="F513" s="31"/>
      <c r="G513" s="31"/>
      <c r="H513" s="32"/>
      <c r="I513" s="33"/>
      <c r="J513" s="32"/>
      <c r="K513" s="31"/>
    </row>
    <row r="514" spans="1:11" x14ac:dyDescent="0.2">
      <c r="A514" s="31"/>
      <c r="B514" s="31"/>
      <c r="C514" s="31"/>
      <c r="D514" s="31"/>
      <c r="E514" s="31"/>
      <c r="F514" s="31"/>
      <c r="G514" s="31"/>
      <c r="H514" s="32"/>
      <c r="I514" s="33"/>
      <c r="J514" s="32"/>
      <c r="K514" s="31"/>
    </row>
    <row r="515" spans="1:11" x14ac:dyDescent="0.2">
      <c r="A515" s="31"/>
      <c r="B515" s="31"/>
      <c r="C515" s="31"/>
      <c r="D515" s="31"/>
      <c r="E515" s="31"/>
      <c r="F515" s="31"/>
      <c r="G515" s="31"/>
      <c r="H515" s="32"/>
      <c r="I515" s="33"/>
      <c r="J515" s="32"/>
      <c r="K515" s="31"/>
    </row>
    <row r="516" spans="1:11" x14ac:dyDescent="0.2">
      <c r="A516" s="31"/>
      <c r="B516" s="31"/>
      <c r="C516" s="31"/>
      <c r="D516" s="31"/>
      <c r="E516" s="31"/>
      <c r="F516" s="31"/>
      <c r="G516" s="31"/>
      <c r="H516" s="32"/>
      <c r="I516" s="33"/>
      <c r="J516" s="32"/>
      <c r="K516" s="31"/>
    </row>
    <row r="517" spans="1:11" x14ac:dyDescent="0.2">
      <c r="A517" s="31"/>
      <c r="B517" s="31"/>
      <c r="C517" s="31"/>
      <c r="D517" s="31"/>
      <c r="E517" s="31"/>
      <c r="F517" s="31"/>
      <c r="G517" s="31"/>
      <c r="H517" s="32"/>
      <c r="I517" s="33"/>
      <c r="J517" s="32"/>
      <c r="K517" s="31"/>
    </row>
    <row r="518" spans="1:11" x14ac:dyDescent="0.2">
      <c r="A518" s="31"/>
      <c r="B518" s="31"/>
      <c r="C518" s="31"/>
      <c r="D518" s="31"/>
      <c r="E518" s="31"/>
      <c r="F518" s="31"/>
      <c r="G518" s="31"/>
      <c r="H518" s="32"/>
      <c r="I518" s="33"/>
      <c r="J518" s="32"/>
      <c r="K518" s="31"/>
    </row>
    <row r="519" spans="1:11" x14ac:dyDescent="0.2">
      <c r="A519" s="31"/>
      <c r="B519" s="31"/>
      <c r="C519" s="31"/>
      <c r="D519" s="31"/>
      <c r="E519" s="31"/>
      <c r="F519" s="31"/>
      <c r="G519" s="31"/>
      <c r="H519" s="32"/>
      <c r="I519" s="33"/>
      <c r="J519" s="32"/>
      <c r="K519" s="31"/>
    </row>
    <row r="520" spans="1:11" x14ac:dyDescent="0.2">
      <c r="A520" s="31"/>
      <c r="B520" s="31"/>
      <c r="C520" s="31"/>
      <c r="D520" s="31"/>
      <c r="E520" s="31"/>
      <c r="F520" s="31"/>
      <c r="G520" s="31"/>
      <c r="H520" s="32"/>
      <c r="I520" s="33"/>
      <c r="J520" s="32"/>
      <c r="K520" s="31"/>
    </row>
    <row r="521" spans="1:11" x14ac:dyDescent="0.2">
      <c r="A521" s="31"/>
      <c r="B521" s="31"/>
      <c r="C521" s="31"/>
      <c r="D521" s="33"/>
      <c r="E521" s="31"/>
      <c r="F521" s="31"/>
      <c r="G521" s="31"/>
      <c r="H521" s="32"/>
      <c r="I521" s="33"/>
      <c r="J521" s="32"/>
      <c r="K521" s="31"/>
    </row>
    <row r="522" spans="1:11" x14ac:dyDescent="0.2">
      <c r="A522" s="31"/>
      <c r="B522" s="31"/>
      <c r="C522" s="31"/>
      <c r="D522" s="31"/>
      <c r="E522" s="31"/>
      <c r="F522" s="31"/>
      <c r="G522" s="31"/>
      <c r="H522" s="32"/>
      <c r="I522" s="33"/>
      <c r="J522" s="32"/>
      <c r="K522" s="31"/>
    </row>
    <row r="523" spans="1:11" x14ac:dyDescent="0.2">
      <c r="A523" s="31"/>
      <c r="B523" s="31"/>
      <c r="C523" s="31"/>
      <c r="D523" s="31"/>
      <c r="E523" s="31"/>
      <c r="F523" s="31"/>
      <c r="G523" s="31"/>
      <c r="H523" s="32"/>
      <c r="I523" s="33"/>
      <c r="J523" s="32"/>
      <c r="K523" s="31"/>
    </row>
    <row r="524" spans="1:11" x14ac:dyDescent="0.2">
      <c r="A524" s="31"/>
      <c r="B524" s="31"/>
      <c r="C524" s="31"/>
      <c r="D524" s="31"/>
      <c r="E524" s="31"/>
      <c r="F524" s="31"/>
      <c r="G524" s="31"/>
      <c r="H524" s="32"/>
      <c r="I524" s="33"/>
      <c r="J524" s="32"/>
      <c r="K524" s="31"/>
    </row>
    <row r="525" spans="1:11" x14ac:dyDescent="0.2">
      <c r="A525" s="31"/>
      <c r="B525" s="31"/>
      <c r="C525" s="31"/>
      <c r="D525" s="31"/>
      <c r="E525" s="31"/>
      <c r="F525" s="31"/>
      <c r="G525" s="31"/>
      <c r="H525" s="32"/>
      <c r="I525" s="33"/>
      <c r="J525" s="32"/>
      <c r="K525" s="31"/>
    </row>
    <row r="526" spans="1:11" x14ac:dyDescent="0.2">
      <c r="A526" s="31"/>
      <c r="B526" s="31"/>
      <c r="C526" s="31"/>
      <c r="D526" s="31"/>
      <c r="E526" s="31"/>
      <c r="F526" s="31"/>
      <c r="G526" s="31"/>
      <c r="H526" s="32"/>
      <c r="I526" s="33"/>
      <c r="J526" s="32"/>
      <c r="K526" s="31"/>
    </row>
    <row r="527" spans="1:11" x14ac:dyDescent="0.2">
      <c r="A527" s="31"/>
      <c r="B527" s="31"/>
      <c r="C527" s="31"/>
      <c r="D527" s="31"/>
      <c r="E527" s="31"/>
      <c r="F527" s="31"/>
      <c r="G527" s="31"/>
      <c r="H527" s="32"/>
      <c r="I527" s="33"/>
      <c r="J527" s="32"/>
      <c r="K527" s="31"/>
    </row>
    <row r="528" spans="1:11" x14ac:dyDescent="0.2">
      <c r="A528" s="31"/>
      <c r="B528" s="31"/>
      <c r="C528" s="31"/>
      <c r="D528" s="31"/>
      <c r="E528" s="31"/>
      <c r="F528" s="31"/>
      <c r="G528" s="31"/>
      <c r="H528" s="32"/>
      <c r="I528" s="33"/>
      <c r="J528" s="32"/>
      <c r="K528" s="31"/>
    </row>
    <row r="529" spans="1:11" x14ac:dyDescent="0.2">
      <c r="A529" s="31"/>
      <c r="B529" s="31"/>
      <c r="C529" s="31"/>
      <c r="D529" s="31"/>
      <c r="E529" s="31"/>
      <c r="F529" s="31"/>
      <c r="G529" s="31"/>
      <c r="H529" s="32"/>
      <c r="I529" s="33"/>
      <c r="J529" s="32"/>
      <c r="K529" s="31"/>
    </row>
    <row r="530" spans="1:11" x14ac:dyDescent="0.2">
      <c r="A530" s="31"/>
      <c r="B530" s="31"/>
      <c r="C530" s="31"/>
      <c r="D530" s="31"/>
      <c r="E530" s="31"/>
      <c r="F530" s="31"/>
      <c r="G530" s="31"/>
      <c r="H530" s="32"/>
      <c r="I530" s="33"/>
      <c r="J530" s="32"/>
      <c r="K530" s="31"/>
    </row>
    <row r="531" spans="1:11" x14ac:dyDescent="0.2">
      <c r="A531" s="31"/>
      <c r="B531" s="31"/>
      <c r="C531" s="31"/>
      <c r="D531" s="33"/>
      <c r="E531" s="31"/>
      <c r="F531" s="31"/>
      <c r="G531" s="31"/>
      <c r="H531" s="32"/>
      <c r="I531" s="33"/>
      <c r="J531" s="32"/>
      <c r="K531" s="31"/>
    </row>
    <row r="532" spans="1:11" x14ac:dyDescent="0.2">
      <c r="A532" s="31"/>
      <c r="B532" s="31"/>
      <c r="C532" s="31"/>
      <c r="D532" s="31"/>
      <c r="E532" s="31"/>
      <c r="F532" s="31"/>
      <c r="G532" s="31"/>
      <c r="H532" s="32"/>
      <c r="I532" s="33"/>
      <c r="J532" s="32"/>
      <c r="K532" s="31"/>
    </row>
    <row r="533" spans="1:11" x14ac:dyDescent="0.2">
      <c r="A533" s="31"/>
      <c r="B533" s="31"/>
      <c r="C533" s="31"/>
      <c r="D533" s="31"/>
      <c r="E533" s="31"/>
      <c r="F533" s="31"/>
      <c r="G533" s="31"/>
      <c r="H533" s="32"/>
      <c r="I533" s="33"/>
      <c r="J533" s="32"/>
      <c r="K533" s="31"/>
    </row>
    <row r="534" spans="1:11" x14ac:dyDescent="0.2">
      <c r="A534" s="31"/>
      <c r="B534" s="31"/>
      <c r="C534" s="31"/>
      <c r="D534" s="31"/>
      <c r="E534" s="31"/>
      <c r="F534" s="31"/>
      <c r="G534" s="31"/>
      <c r="H534" s="32"/>
      <c r="I534" s="33"/>
      <c r="J534" s="32"/>
      <c r="K534" s="31"/>
    </row>
    <row r="535" spans="1:11" x14ac:dyDescent="0.2">
      <c r="A535" s="31"/>
      <c r="B535" s="31"/>
      <c r="C535" s="31"/>
      <c r="D535" s="31"/>
      <c r="E535" s="31"/>
      <c r="F535" s="31"/>
      <c r="G535" s="31"/>
      <c r="H535" s="32"/>
      <c r="I535" s="33"/>
      <c r="J535" s="32"/>
      <c r="K535" s="31"/>
    </row>
    <row r="536" spans="1:11" x14ac:dyDescent="0.2">
      <c r="A536" s="31"/>
      <c r="B536" s="31"/>
      <c r="C536" s="31"/>
      <c r="D536" s="31"/>
      <c r="E536" s="31"/>
      <c r="F536" s="31"/>
      <c r="G536" s="31"/>
      <c r="H536" s="32"/>
      <c r="I536" s="33"/>
      <c r="J536" s="32"/>
      <c r="K536" s="31"/>
    </row>
    <row r="537" spans="1:11" x14ac:dyDescent="0.2">
      <c r="A537" s="31"/>
      <c r="B537" s="31"/>
      <c r="C537" s="31"/>
      <c r="D537" s="33"/>
      <c r="E537" s="31"/>
      <c r="F537" s="31"/>
      <c r="G537" s="31"/>
      <c r="H537" s="32"/>
      <c r="I537" s="33"/>
      <c r="J537" s="32"/>
      <c r="K537" s="31"/>
    </row>
    <row r="538" spans="1:11" x14ac:dyDescent="0.2">
      <c r="A538" s="31"/>
      <c r="B538" s="31"/>
      <c r="C538" s="31"/>
      <c r="D538" s="31"/>
      <c r="E538" s="31"/>
      <c r="F538" s="31"/>
      <c r="G538" s="31"/>
      <c r="H538" s="32"/>
      <c r="I538" s="33"/>
      <c r="J538" s="32"/>
      <c r="K538" s="31"/>
    </row>
    <row r="539" spans="1:11" x14ac:dyDescent="0.2">
      <c r="A539" s="31"/>
      <c r="B539" s="31"/>
      <c r="C539" s="31"/>
      <c r="D539" s="31"/>
      <c r="E539" s="31"/>
      <c r="F539" s="31"/>
      <c r="G539" s="31"/>
      <c r="H539" s="32"/>
      <c r="I539" s="33"/>
      <c r="J539" s="32"/>
      <c r="K539" s="31"/>
    </row>
    <row r="540" spans="1:11" x14ac:dyDescent="0.2">
      <c r="A540" s="31"/>
      <c r="B540" s="31"/>
      <c r="C540" s="31"/>
      <c r="D540" s="31"/>
      <c r="E540" s="31"/>
      <c r="F540" s="31"/>
      <c r="G540" s="31"/>
      <c r="H540" s="32"/>
      <c r="I540" s="33"/>
      <c r="J540" s="32"/>
      <c r="K540" s="31"/>
    </row>
    <row r="541" spans="1:11" x14ac:dyDescent="0.2">
      <c r="A541" s="31"/>
      <c r="B541" s="31"/>
      <c r="C541" s="31"/>
      <c r="D541" s="31"/>
      <c r="E541" s="31"/>
      <c r="F541" s="31"/>
      <c r="G541" s="31"/>
      <c r="H541" s="32"/>
      <c r="I541" s="33"/>
      <c r="J541" s="32"/>
      <c r="K541" s="31"/>
    </row>
    <row r="542" spans="1:11" x14ac:dyDescent="0.2">
      <c r="A542" s="31"/>
      <c r="B542" s="31"/>
      <c r="C542" s="31"/>
      <c r="D542" s="31"/>
      <c r="E542" s="31"/>
      <c r="F542" s="31"/>
      <c r="G542" s="31"/>
      <c r="H542" s="32"/>
      <c r="I542" s="33"/>
      <c r="J542" s="32"/>
      <c r="K542" s="31"/>
    </row>
    <row r="543" spans="1:11" x14ac:dyDescent="0.2">
      <c r="A543" s="31"/>
      <c r="B543" s="31"/>
      <c r="C543" s="31"/>
      <c r="D543" s="31"/>
      <c r="E543" s="31"/>
      <c r="F543" s="31"/>
      <c r="G543" s="31"/>
      <c r="H543" s="32"/>
      <c r="I543" s="33"/>
      <c r="J543" s="32"/>
      <c r="K543" s="31"/>
    </row>
    <row r="544" spans="1:11" x14ac:dyDescent="0.2">
      <c r="A544" s="31"/>
      <c r="B544" s="31"/>
      <c r="C544" s="31"/>
      <c r="D544" s="31"/>
      <c r="E544" s="31"/>
      <c r="F544" s="31"/>
      <c r="G544" s="31"/>
      <c r="H544" s="32"/>
      <c r="I544" s="33"/>
      <c r="J544" s="32"/>
      <c r="K544" s="31"/>
    </row>
    <row r="545" spans="1:11" x14ac:dyDescent="0.2">
      <c r="A545" s="31"/>
      <c r="B545" s="31"/>
      <c r="C545" s="31"/>
      <c r="D545" s="31"/>
      <c r="E545" s="31"/>
      <c r="F545" s="31"/>
      <c r="G545" s="31"/>
      <c r="H545" s="32"/>
      <c r="I545" s="33"/>
      <c r="J545" s="32"/>
      <c r="K545" s="31"/>
    </row>
    <row r="546" spans="1:11" x14ac:dyDescent="0.2">
      <c r="A546" s="31"/>
      <c r="B546" s="31"/>
      <c r="C546" s="31"/>
      <c r="D546" s="31"/>
      <c r="E546" s="31"/>
      <c r="F546" s="31"/>
      <c r="G546" s="31"/>
      <c r="H546" s="32"/>
      <c r="I546" s="33"/>
      <c r="J546" s="32"/>
      <c r="K546" s="31"/>
    </row>
    <row r="547" spans="1:11" x14ac:dyDescent="0.2">
      <c r="A547" s="31"/>
      <c r="B547" s="31"/>
      <c r="C547" s="31"/>
      <c r="D547" s="31"/>
      <c r="E547" s="31"/>
      <c r="F547" s="31"/>
      <c r="G547" s="31"/>
      <c r="H547" s="32"/>
      <c r="I547" s="33"/>
      <c r="J547" s="32"/>
      <c r="K547" s="31"/>
    </row>
    <row r="548" spans="1:11" x14ac:dyDescent="0.2">
      <c r="A548" s="31"/>
      <c r="B548" s="31"/>
      <c r="C548" s="31"/>
      <c r="D548" s="31"/>
      <c r="E548" s="31"/>
      <c r="F548" s="31"/>
      <c r="G548" s="31"/>
      <c r="H548" s="32"/>
      <c r="I548" s="33"/>
      <c r="J548" s="32"/>
      <c r="K548" s="31"/>
    </row>
    <row r="549" spans="1:11" x14ac:dyDescent="0.2">
      <c r="A549" s="31"/>
      <c r="B549" s="31"/>
      <c r="C549" s="31"/>
      <c r="D549" s="31"/>
      <c r="E549" s="31"/>
      <c r="F549" s="31"/>
      <c r="G549" s="31"/>
      <c r="H549" s="32"/>
      <c r="I549" s="33"/>
      <c r="J549" s="32"/>
      <c r="K549" s="31"/>
    </row>
    <row r="550" spans="1:11" x14ac:dyDescent="0.2">
      <c r="A550" s="31"/>
      <c r="B550" s="31"/>
      <c r="C550" s="31"/>
      <c r="D550" s="31"/>
      <c r="E550" s="31"/>
      <c r="F550" s="31"/>
      <c r="G550" s="31"/>
      <c r="H550" s="32"/>
      <c r="I550" s="33"/>
      <c r="J550" s="32"/>
      <c r="K550" s="31"/>
    </row>
    <row r="551" spans="1:11" x14ac:dyDescent="0.2">
      <c r="A551" s="31"/>
      <c r="B551" s="31"/>
      <c r="C551" s="31"/>
      <c r="D551" s="31"/>
      <c r="E551" s="31"/>
      <c r="F551" s="31"/>
      <c r="G551" s="31"/>
      <c r="H551" s="32"/>
      <c r="I551" s="33"/>
      <c r="J551" s="32"/>
      <c r="K551" s="31"/>
    </row>
    <row r="552" spans="1:11" x14ac:dyDescent="0.2">
      <c r="A552" s="31"/>
      <c r="B552" s="31"/>
      <c r="C552" s="31"/>
      <c r="D552" s="31"/>
      <c r="E552" s="31"/>
      <c r="F552" s="31"/>
      <c r="G552" s="31"/>
      <c r="H552" s="32"/>
      <c r="I552" s="33"/>
      <c r="J552" s="32"/>
      <c r="K552" s="31"/>
    </row>
    <row r="553" spans="1:11" x14ac:dyDescent="0.2">
      <c r="A553" s="31"/>
      <c r="B553" s="31"/>
      <c r="C553" s="31"/>
      <c r="D553" s="33"/>
      <c r="E553" s="31"/>
      <c r="F553" s="31"/>
      <c r="G553" s="31"/>
      <c r="H553" s="32"/>
      <c r="I553" s="33"/>
      <c r="J553" s="32"/>
      <c r="K553" s="31"/>
    </row>
    <row r="554" spans="1:11" x14ac:dyDescent="0.2">
      <c r="A554" s="31"/>
      <c r="B554" s="31"/>
      <c r="C554" s="31"/>
      <c r="D554" s="33"/>
      <c r="E554" s="31"/>
      <c r="F554" s="31"/>
      <c r="G554" s="31"/>
      <c r="H554" s="32"/>
      <c r="I554" s="33"/>
      <c r="J554" s="32"/>
      <c r="K554" s="31"/>
    </row>
    <row r="555" spans="1:11" x14ac:dyDescent="0.2">
      <c r="A555" s="31"/>
      <c r="B555" s="31"/>
      <c r="C555" s="31"/>
      <c r="D555" s="31"/>
      <c r="E555" s="31"/>
      <c r="F555" s="31"/>
      <c r="G555" s="31"/>
      <c r="H555" s="32"/>
      <c r="I555" s="33"/>
      <c r="J555" s="32"/>
      <c r="K555" s="31"/>
    </row>
    <row r="556" spans="1:11" x14ac:dyDescent="0.2">
      <c r="A556" s="31"/>
      <c r="B556" s="31"/>
      <c r="C556" s="31"/>
      <c r="D556" s="31"/>
      <c r="E556" s="31"/>
      <c r="F556" s="31"/>
      <c r="G556" s="31"/>
      <c r="H556" s="32"/>
      <c r="I556" s="33"/>
      <c r="J556" s="32"/>
      <c r="K556" s="31"/>
    </row>
    <row r="557" spans="1:11" x14ac:dyDescent="0.2">
      <c r="A557" s="31"/>
      <c r="B557" s="31"/>
      <c r="C557" s="31"/>
      <c r="D557" s="31"/>
      <c r="E557" s="31"/>
      <c r="F557" s="31"/>
      <c r="G557" s="31"/>
      <c r="H557" s="32"/>
      <c r="I557" s="33"/>
      <c r="J557" s="32"/>
      <c r="K557" s="31"/>
    </row>
    <row r="558" spans="1:11" x14ac:dyDescent="0.2">
      <c r="A558" s="31"/>
      <c r="B558" s="31"/>
      <c r="C558" s="31"/>
      <c r="D558" s="31"/>
      <c r="E558" s="31"/>
      <c r="F558" s="31"/>
      <c r="G558" s="31"/>
      <c r="H558" s="32"/>
      <c r="I558" s="33"/>
      <c r="J558" s="32"/>
      <c r="K558" s="31"/>
    </row>
    <row r="559" spans="1:11" x14ac:dyDescent="0.2">
      <c r="A559" s="31"/>
      <c r="B559" s="31"/>
      <c r="C559" s="31"/>
      <c r="D559" s="31"/>
      <c r="E559" s="31"/>
      <c r="F559" s="31"/>
      <c r="G559" s="31"/>
      <c r="H559" s="32"/>
      <c r="I559" s="33"/>
      <c r="J559" s="32"/>
      <c r="K559" s="31"/>
    </row>
    <row r="560" spans="1:11" x14ac:dyDescent="0.2">
      <c r="A560" s="31"/>
      <c r="B560" s="31"/>
      <c r="C560" s="31"/>
      <c r="D560" s="31"/>
      <c r="E560" s="31"/>
      <c r="F560" s="31"/>
      <c r="G560" s="31"/>
      <c r="H560" s="32"/>
      <c r="I560" s="33"/>
      <c r="J560" s="32"/>
      <c r="K560" s="31"/>
    </row>
    <row r="561" spans="1:11" x14ac:dyDescent="0.2">
      <c r="A561" s="31"/>
      <c r="B561" s="31"/>
      <c r="C561" s="31"/>
      <c r="D561" s="31"/>
      <c r="E561" s="31"/>
      <c r="F561" s="31"/>
      <c r="G561" s="31"/>
      <c r="H561" s="32"/>
      <c r="I561" s="33"/>
      <c r="J561" s="32"/>
      <c r="K561" s="31"/>
    </row>
    <row r="562" spans="1:11" x14ac:dyDescent="0.2">
      <c r="A562" s="31"/>
      <c r="B562" s="31"/>
      <c r="C562" s="31"/>
      <c r="D562" s="31"/>
      <c r="E562" s="31"/>
      <c r="F562" s="31"/>
      <c r="G562" s="31"/>
      <c r="H562" s="32"/>
      <c r="I562" s="33"/>
      <c r="J562" s="32"/>
      <c r="K562" s="31"/>
    </row>
    <row r="563" spans="1:11" x14ac:dyDescent="0.2">
      <c r="A563" s="31"/>
      <c r="B563" s="31"/>
      <c r="C563" s="31"/>
      <c r="D563" s="31"/>
      <c r="E563" s="31"/>
      <c r="F563" s="31"/>
      <c r="G563" s="31"/>
      <c r="H563" s="32"/>
      <c r="I563" s="33"/>
      <c r="J563" s="32"/>
      <c r="K563" s="31"/>
    </row>
    <row r="564" spans="1:11" x14ac:dyDescent="0.2">
      <c r="A564" s="31"/>
      <c r="B564" s="31"/>
      <c r="C564" s="31"/>
      <c r="D564" s="31"/>
      <c r="E564" s="31"/>
      <c r="F564" s="31"/>
      <c r="G564" s="31"/>
      <c r="H564" s="32"/>
      <c r="I564" s="33"/>
      <c r="J564" s="32"/>
      <c r="K564" s="31"/>
    </row>
    <row r="565" spans="1:11" x14ac:dyDescent="0.2">
      <c r="A565" s="31"/>
      <c r="B565" s="31"/>
      <c r="C565" s="31"/>
      <c r="D565" s="31"/>
      <c r="E565" s="31"/>
      <c r="F565" s="31"/>
      <c r="G565" s="31"/>
      <c r="H565" s="32"/>
      <c r="I565" s="33"/>
      <c r="J565" s="32"/>
      <c r="K565" s="31"/>
    </row>
    <row r="566" spans="1:11" x14ac:dyDescent="0.2">
      <c r="A566" s="31"/>
      <c r="B566" s="31"/>
      <c r="C566" s="31"/>
      <c r="D566" s="31"/>
      <c r="E566" s="31"/>
      <c r="F566" s="31"/>
      <c r="G566" s="31"/>
      <c r="H566" s="32"/>
      <c r="I566" s="33"/>
      <c r="J566" s="32"/>
      <c r="K566" s="31"/>
    </row>
    <row r="567" spans="1:11" x14ac:dyDescent="0.2">
      <c r="A567" s="31"/>
      <c r="B567" s="31"/>
      <c r="C567" s="31"/>
      <c r="D567" s="31"/>
      <c r="E567" s="31"/>
      <c r="F567" s="31"/>
      <c r="G567" s="31"/>
      <c r="H567" s="32"/>
      <c r="I567" s="33"/>
      <c r="J567" s="32"/>
      <c r="K567" s="31"/>
    </row>
    <row r="568" spans="1:11" x14ac:dyDescent="0.2">
      <c r="A568" s="31"/>
      <c r="B568" s="31"/>
      <c r="C568" s="31"/>
      <c r="D568" s="31"/>
      <c r="E568" s="31"/>
      <c r="F568" s="31"/>
      <c r="G568" s="31"/>
      <c r="H568" s="32"/>
      <c r="I568" s="33"/>
      <c r="J568" s="32"/>
      <c r="K568" s="31"/>
    </row>
    <row r="569" spans="1:11" x14ac:dyDescent="0.2">
      <c r="A569" s="31"/>
      <c r="B569" s="31"/>
      <c r="C569" s="31"/>
      <c r="D569" s="31"/>
      <c r="E569" s="31"/>
      <c r="F569" s="31"/>
      <c r="G569" s="31"/>
      <c r="H569" s="32"/>
      <c r="I569" s="33"/>
      <c r="J569" s="32"/>
      <c r="K569" s="31"/>
    </row>
    <row r="570" spans="1:11" x14ac:dyDescent="0.2">
      <c r="A570" s="31"/>
      <c r="B570" s="31"/>
      <c r="C570" s="31"/>
      <c r="D570" s="31"/>
      <c r="E570" s="31"/>
      <c r="F570" s="31"/>
      <c r="G570" s="31"/>
      <c r="H570" s="32"/>
      <c r="I570" s="33"/>
      <c r="J570" s="32"/>
      <c r="K570" s="31"/>
    </row>
    <row r="571" spans="1:11" x14ac:dyDescent="0.2">
      <c r="A571" s="31"/>
      <c r="B571" s="31"/>
      <c r="C571" s="31"/>
      <c r="D571" s="31"/>
      <c r="E571" s="31"/>
      <c r="F571" s="31"/>
      <c r="G571" s="31"/>
      <c r="H571" s="32"/>
      <c r="I571" s="33"/>
      <c r="J571" s="32"/>
      <c r="K571" s="31"/>
    </row>
    <row r="572" spans="1:11" x14ac:dyDescent="0.2">
      <c r="A572" s="31"/>
      <c r="B572" s="31"/>
      <c r="C572" s="31"/>
      <c r="D572" s="33"/>
      <c r="E572" s="31"/>
      <c r="F572" s="31"/>
      <c r="G572" s="31"/>
      <c r="H572" s="32"/>
      <c r="I572" s="33"/>
      <c r="J572" s="32"/>
      <c r="K572" s="31"/>
    </row>
    <row r="573" spans="1:11" x14ac:dyDescent="0.2">
      <c r="A573" s="31"/>
      <c r="B573" s="31"/>
      <c r="C573" s="31"/>
      <c r="D573" s="31"/>
      <c r="E573" s="31"/>
      <c r="F573" s="31"/>
      <c r="G573" s="31"/>
      <c r="H573" s="32"/>
      <c r="I573" s="33"/>
      <c r="J573" s="32"/>
      <c r="K573" s="31"/>
    </row>
    <row r="574" spans="1:11" x14ac:dyDescent="0.2">
      <c r="A574" s="31"/>
      <c r="B574" s="31"/>
      <c r="C574" s="31"/>
      <c r="D574" s="31"/>
      <c r="E574" s="31"/>
      <c r="F574" s="31"/>
      <c r="G574" s="31"/>
      <c r="H574" s="32"/>
      <c r="I574" s="33"/>
      <c r="J574" s="32"/>
      <c r="K574" s="31"/>
    </row>
    <row r="575" spans="1:11" x14ac:dyDescent="0.2">
      <c r="A575" s="31"/>
      <c r="B575" s="31"/>
      <c r="C575" s="31"/>
      <c r="D575" s="31"/>
      <c r="E575" s="31"/>
      <c r="F575" s="31"/>
      <c r="G575" s="31"/>
      <c r="H575" s="32"/>
      <c r="I575" s="33"/>
      <c r="J575" s="32"/>
      <c r="K575" s="31"/>
    </row>
    <row r="576" spans="1:11" x14ac:dyDescent="0.2">
      <c r="A576" s="31"/>
      <c r="B576" s="31"/>
      <c r="C576" s="31"/>
      <c r="D576" s="31"/>
      <c r="E576" s="31"/>
      <c r="F576" s="31"/>
      <c r="G576" s="31"/>
      <c r="H576" s="32"/>
      <c r="I576" s="33"/>
      <c r="J576" s="32"/>
      <c r="K576" s="31"/>
    </row>
    <row r="577" spans="1:11" x14ac:dyDescent="0.2">
      <c r="A577" s="31"/>
      <c r="B577" s="31"/>
      <c r="C577" s="31"/>
      <c r="D577" s="31"/>
      <c r="E577" s="31"/>
      <c r="F577" s="31"/>
      <c r="G577" s="31"/>
      <c r="H577" s="32"/>
      <c r="I577" s="33"/>
      <c r="J577" s="32"/>
      <c r="K577" s="31"/>
    </row>
    <row r="578" spans="1:11" x14ac:dyDescent="0.2">
      <c r="A578" s="31"/>
      <c r="B578" s="31"/>
      <c r="C578" s="31"/>
      <c r="D578" s="31"/>
      <c r="E578" s="31"/>
      <c r="F578" s="31"/>
      <c r="G578" s="31"/>
      <c r="H578" s="32"/>
      <c r="I578" s="33"/>
      <c r="J578" s="32"/>
      <c r="K578" s="31"/>
    </row>
    <row r="579" spans="1:11" x14ac:dyDescent="0.2">
      <c r="A579" s="31"/>
      <c r="B579" s="31"/>
      <c r="C579" s="31"/>
      <c r="D579" s="31"/>
      <c r="E579" s="31"/>
      <c r="F579" s="31"/>
      <c r="G579" s="31"/>
      <c r="H579" s="32"/>
      <c r="I579" s="33"/>
      <c r="J579" s="32"/>
      <c r="K579" s="31"/>
    </row>
    <row r="580" spans="1:11" x14ac:dyDescent="0.2">
      <c r="A580" s="31"/>
      <c r="B580" s="31"/>
      <c r="C580" s="31"/>
      <c r="D580" s="31"/>
      <c r="E580" s="31"/>
      <c r="F580" s="31"/>
      <c r="G580" s="31"/>
      <c r="H580" s="32"/>
      <c r="I580" s="33"/>
      <c r="J580" s="32"/>
      <c r="K580" s="31"/>
    </row>
    <row r="581" spans="1:11" x14ac:dyDescent="0.2">
      <c r="A581" s="31"/>
      <c r="B581" s="31"/>
      <c r="C581" s="31"/>
      <c r="D581" s="31"/>
      <c r="E581" s="31"/>
      <c r="F581" s="31"/>
      <c r="G581" s="31"/>
      <c r="H581" s="32"/>
      <c r="I581" s="33"/>
      <c r="J581" s="32"/>
      <c r="K581" s="31"/>
    </row>
    <row r="582" spans="1:11" x14ac:dyDescent="0.2">
      <c r="A582" s="31"/>
      <c r="B582" s="31"/>
      <c r="C582" s="31"/>
      <c r="D582" s="31"/>
      <c r="E582" s="31"/>
      <c r="F582" s="31"/>
      <c r="G582" s="31"/>
      <c r="H582" s="32"/>
      <c r="I582" s="33"/>
      <c r="J582" s="32"/>
      <c r="K582" s="31"/>
    </row>
    <row r="583" spans="1:11" x14ac:dyDescent="0.2">
      <c r="A583" s="31"/>
      <c r="B583" s="31"/>
      <c r="C583" s="31"/>
      <c r="D583" s="31"/>
      <c r="E583" s="31"/>
      <c r="F583" s="31"/>
      <c r="G583" s="31"/>
      <c r="H583" s="32"/>
      <c r="I583" s="33"/>
      <c r="J583" s="32"/>
      <c r="K583" s="31"/>
    </row>
    <row r="584" spans="1:11" x14ac:dyDescent="0.2">
      <c r="A584" s="31"/>
      <c r="B584" s="31"/>
      <c r="C584" s="31"/>
      <c r="D584" s="31"/>
      <c r="E584" s="31"/>
      <c r="F584" s="31"/>
      <c r="G584" s="31"/>
      <c r="H584" s="32"/>
      <c r="I584" s="33"/>
      <c r="J584" s="32"/>
      <c r="K584" s="31"/>
    </row>
    <row r="585" spans="1:11" x14ac:dyDescent="0.2">
      <c r="A585" s="31"/>
      <c r="B585" s="31"/>
      <c r="C585" s="31"/>
      <c r="D585" s="31"/>
      <c r="E585" s="31"/>
      <c r="F585" s="31"/>
      <c r="G585" s="31"/>
      <c r="H585" s="32"/>
      <c r="I585" s="33"/>
      <c r="J585" s="32"/>
      <c r="K585" s="31"/>
    </row>
    <row r="586" spans="1:11" x14ac:dyDescent="0.2">
      <c r="A586" s="31"/>
      <c r="B586" s="31"/>
      <c r="C586" s="31"/>
      <c r="D586" s="33"/>
      <c r="E586" s="31"/>
      <c r="F586" s="31"/>
      <c r="G586" s="31"/>
      <c r="H586" s="32"/>
      <c r="I586" s="33"/>
      <c r="J586" s="32"/>
      <c r="K586" s="31"/>
    </row>
    <row r="587" spans="1:11" x14ac:dyDescent="0.2">
      <c r="A587" s="31"/>
      <c r="B587" s="31"/>
      <c r="C587" s="31"/>
      <c r="D587" s="31"/>
      <c r="E587" s="31"/>
      <c r="F587" s="31"/>
      <c r="G587" s="31"/>
      <c r="H587" s="32"/>
      <c r="I587" s="33"/>
      <c r="J587" s="32"/>
      <c r="K587" s="31"/>
    </row>
    <row r="588" spans="1:11" x14ac:dyDescent="0.2">
      <c r="A588" s="31"/>
      <c r="B588" s="31"/>
      <c r="C588" s="31"/>
      <c r="D588" s="31"/>
      <c r="E588" s="31"/>
      <c r="F588" s="31"/>
      <c r="G588" s="31"/>
      <c r="H588" s="32"/>
      <c r="I588" s="33"/>
      <c r="J588" s="32"/>
      <c r="K588" s="31"/>
    </row>
    <row r="589" spans="1:11" x14ac:dyDescent="0.2">
      <c r="A589" s="31"/>
      <c r="B589" s="31"/>
      <c r="C589" s="31"/>
      <c r="D589" s="31"/>
      <c r="E589" s="31"/>
      <c r="F589" s="31"/>
      <c r="G589" s="31"/>
      <c r="H589" s="32"/>
      <c r="I589" s="33"/>
      <c r="J589" s="32"/>
      <c r="K589" s="31"/>
    </row>
    <row r="590" spans="1:11" x14ac:dyDescent="0.2">
      <c r="A590" s="31"/>
      <c r="B590" s="31"/>
      <c r="C590" s="31"/>
      <c r="D590" s="31"/>
      <c r="E590" s="31"/>
      <c r="F590" s="31"/>
      <c r="G590" s="31"/>
      <c r="H590" s="32"/>
      <c r="I590" s="33"/>
      <c r="J590" s="32"/>
      <c r="K590" s="31"/>
    </row>
    <row r="591" spans="1:11" x14ac:dyDescent="0.2">
      <c r="A591" s="31"/>
      <c r="B591" s="31"/>
      <c r="C591" s="31"/>
      <c r="D591" s="31"/>
      <c r="E591" s="31"/>
      <c r="F591" s="31"/>
      <c r="G591" s="31"/>
      <c r="H591" s="32"/>
      <c r="I591" s="33"/>
      <c r="J591" s="32"/>
      <c r="K591" s="31"/>
    </row>
    <row r="592" spans="1:11" x14ac:dyDescent="0.2">
      <c r="A592" s="31"/>
      <c r="B592" s="31"/>
      <c r="C592" s="31"/>
      <c r="D592" s="31"/>
      <c r="E592" s="31"/>
      <c r="F592" s="31"/>
      <c r="G592" s="31"/>
      <c r="H592" s="32"/>
      <c r="I592" s="33"/>
      <c r="J592" s="32"/>
      <c r="K592" s="31"/>
    </row>
    <row r="593" spans="1:11" x14ac:dyDescent="0.2">
      <c r="A593" s="31"/>
      <c r="B593" s="31"/>
      <c r="C593" s="31"/>
      <c r="D593" s="31"/>
      <c r="E593" s="31"/>
      <c r="F593" s="31"/>
      <c r="G593" s="31"/>
      <c r="H593" s="32"/>
      <c r="I593" s="33"/>
      <c r="J593" s="32"/>
      <c r="K593" s="31"/>
    </row>
    <row r="594" spans="1:11" x14ac:dyDescent="0.2">
      <c r="A594" s="31"/>
      <c r="B594" s="31"/>
      <c r="C594" s="31"/>
      <c r="D594" s="31"/>
      <c r="E594" s="31"/>
      <c r="F594" s="31"/>
      <c r="G594" s="31"/>
      <c r="H594" s="32"/>
      <c r="I594" s="33"/>
      <c r="J594" s="32"/>
      <c r="K594" s="31"/>
    </row>
    <row r="595" spans="1:11" x14ac:dyDescent="0.2">
      <c r="A595" s="31"/>
      <c r="B595" s="31"/>
      <c r="C595" s="31"/>
      <c r="D595" s="31"/>
      <c r="E595" s="31"/>
      <c r="F595" s="31"/>
      <c r="G595" s="31"/>
      <c r="H595" s="32"/>
      <c r="I595" s="33"/>
      <c r="J595" s="32"/>
      <c r="K595" s="31"/>
    </row>
    <row r="596" spans="1:11" x14ac:dyDescent="0.2">
      <c r="A596" s="31"/>
      <c r="B596" s="31"/>
      <c r="C596" s="31"/>
      <c r="D596" s="31"/>
      <c r="E596" s="31"/>
      <c r="F596" s="31"/>
      <c r="G596" s="31"/>
      <c r="H596" s="32"/>
      <c r="I596" s="33"/>
      <c r="J596" s="32"/>
      <c r="K596" s="31"/>
    </row>
    <row r="597" spans="1:11" x14ac:dyDescent="0.2">
      <c r="A597" s="31"/>
      <c r="B597" s="31"/>
      <c r="C597" s="31"/>
      <c r="D597" s="31"/>
      <c r="E597" s="31"/>
      <c r="F597" s="31"/>
      <c r="G597" s="31"/>
      <c r="H597" s="32"/>
      <c r="I597" s="33"/>
      <c r="J597" s="32"/>
      <c r="K597" s="31"/>
    </row>
    <row r="598" spans="1:11" x14ac:dyDescent="0.2">
      <c r="A598" s="31"/>
      <c r="B598" s="31"/>
      <c r="C598" s="31"/>
      <c r="D598" s="31"/>
      <c r="E598" s="31"/>
      <c r="F598" s="31"/>
      <c r="G598" s="31"/>
      <c r="H598" s="32"/>
      <c r="I598" s="33"/>
      <c r="J598" s="32"/>
      <c r="K598" s="31"/>
    </row>
    <row r="599" spans="1:11" x14ac:dyDescent="0.2">
      <c r="A599" s="31"/>
      <c r="B599" s="31"/>
      <c r="C599" s="31"/>
      <c r="D599" s="31"/>
      <c r="E599" s="31"/>
      <c r="F599" s="31"/>
      <c r="G599" s="31"/>
      <c r="H599" s="32"/>
      <c r="I599" s="33"/>
      <c r="J599" s="32"/>
      <c r="K599" s="31"/>
    </row>
    <row r="600" spans="1:11" x14ac:dyDescent="0.2">
      <c r="A600" s="31"/>
      <c r="B600" s="31"/>
      <c r="C600" s="31"/>
      <c r="D600" s="31"/>
      <c r="E600" s="31"/>
      <c r="F600" s="31"/>
      <c r="G600" s="31"/>
      <c r="H600" s="32"/>
      <c r="I600" s="33"/>
      <c r="J600" s="32"/>
      <c r="K600" s="31"/>
    </row>
    <row r="601" spans="1:11" x14ac:dyDescent="0.2">
      <c r="A601" s="31"/>
      <c r="B601" s="31"/>
      <c r="C601" s="31"/>
      <c r="D601" s="31"/>
      <c r="E601" s="31"/>
      <c r="F601" s="31"/>
      <c r="G601" s="31"/>
      <c r="H601" s="32"/>
      <c r="I601" s="33"/>
      <c r="J601" s="32"/>
      <c r="K601" s="31"/>
    </row>
    <row r="602" spans="1:11" x14ac:dyDescent="0.2">
      <c r="A602" s="31"/>
      <c r="B602" s="31"/>
      <c r="C602" s="31"/>
      <c r="D602" s="31"/>
      <c r="E602" s="31"/>
      <c r="F602" s="31"/>
      <c r="G602" s="31"/>
      <c r="H602" s="32"/>
      <c r="I602" s="33"/>
      <c r="J602" s="32"/>
      <c r="K602" s="31"/>
    </row>
    <row r="603" spans="1:11" x14ac:dyDescent="0.2">
      <c r="A603" s="31"/>
      <c r="B603" s="31"/>
      <c r="C603" s="31"/>
      <c r="D603" s="31"/>
      <c r="E603" s="31"/>
      <c r="F603" s="31"/>
      <c r="G603" s="31"/>
      <c r="H603" s="32"/>
      <c r="I603" s="33"/>
      <c r="J603" s="32"/>
      <c r="K603" s="31"/>
    </row>
    <row r="604" spans="1:11" x14ac:dyDescent="0.2">
      <c r="A604" s="31"/>
      <c r="B604" s="31"/>
      <c r="C604" s="31"/>
      <c r="D604" s="31"/>
      <c r="E604" s="31"/>
      <c r="F604" s="31"/>
      <c r="G604" s="31"/>
      <c r="H604" s="32"/>
      <c r="I604" s="33"/>
      <c r="J604" s="32"/>
      <c r="K604" s="31"/>
    </row>
    <row r="605" spans="1:11" x14ac:dyDescent="0.2">
      <c r="A605" s="31"/>
      <c r="B605" s="31"/>
      <c r="C605" s="31"/>
      <c r="D605" s="31"/>
      <c r="E605" s="31"/>
      <c r="F605" s="31"/>
      <c r="G605" s="31"/>
      <c r="H605" s="32"/>
      <c r="I605" s="33"/>
      <c r="J605" s="32"/>
      <c r="K605" s="31"/>
    </row>
    <row r="606" spans="1:11" x14ac:dyDescent="0.2">
      <c r="A606" s="31"/>
      <c r="B606" s="31"/>
      <c r="C606" s="31"/>
      <c r="D606" s="31"/>
      <c r="E606" s="31"/>
      <c r="F606" s="31"/>
      <c r="G606" s="31"/>
      <c r="H606" s="32"/>
      <c r="I606" s="33"/>
      <c r="J606" s="32"/>
      <c r="K606" s="31"/>
    </row>
    <row r="607" spans="1:11" x14ac:dyDescent="0.2">
      <c r="A607" s="31"/>
      <c r="B607" s="31"/>
      <c r="C607" s="31"/>
      <c r="D607" s="31"/>
      <c r="E607" s="31"/>
      <c r="F607" s="31"/>
      <c r="G607" s="31"/>
      <c r="H607" s="32"/>
      <c r="I607" s="33"/>
      <c r="J607" s="32"/>
      <c r="K607" s="31"/>
    </row>
    <row r="608" spans="1:11" x14ac:dyDescent="0.2">
      <c r="A608" s="31"/>
      <c r="B608" s="31"/>
      <c r="C608" s="31"/>
      <c r="D608" s="31"/>
      <c r="E608" s="31"/>
      <c r="F608" s="31"/>
      <c r="G608" s="31"/>
      <c r="H608" s="32"/>
      <c r="I608" s="33"/>
      <c r="J608" s="32"/>
      <c r="K608" s="31"/>
    </row>
    <row r="609" spans="1:11" x14ac:dyDescent="0.2">
      <c r="A609" s="31"/>
      <c r="B609" s="31"/>
      <c r="C609" s="31"/>
      <c r="D609" s="31"/>
      <c r="E609" s="31"/>
      <c r="F609" s="31"/>
      <c r="G609" s="31"/>
      <c r="H609" s="32"/>
      <c r="I609" s="33"/>
      <c r="J609" s="32"/>
      <c r="K609" s="31"/>
    </row>
    <row r="610" spans="1:11" x14ac:dyDescent="0.2">
      <c r="A610" s="31"/>
      <c r="B610" s="31"/>
      <c r="C610" s="31"/>
      <c r="D610" s="31"/>
      <c r="E610" s="31"/>
      <c r="F610" s="31"/>
      <c r="G610" s="31"/>
      <c r="H610" s="32"/>
      <c r="I610" s="33"/>
      <c r="J610" s="32"/>
      <c r="K610" s="31"/>
    </row>
    <row r="611" spans="1:11" x14ac:dyDescent="0.2">
      <c r="A611" s="31"/>
      <c r="B611" s="31"/>
      <c r="C611" s="31"/>
      <c r="D611" s="31"/>
      <c r="E611" s="31"/>
      <c r="F611" s="31"/>
      <c r="G611" s="31"/>
      <c r="H611" s="32"/>
      <c r="I611" s="33"/>
      <c r="J611" s="32"/>
      <c r="K611" s="31"/>
    </row>
    <row r="612" spans="1:11" x14ac:dyDescent="0.2">
      <c r="A612" s="31"/>
      <c r="B612" s="31"/>
      <c r="C612" s="31"/>
      <c r="D612" s="31"/>
      <c r="E612" s="31"/>
      <c r="F612" s="31"/>
      <c r="G612" s="31"/>
      <c r="H612" s="32"/>
      <c r="I612" s="33"/>
      <c r="J612" s="32"/>
      <c r="K612" s="31"/>
    </row>
    <row r="613" spans="1:11" x14ac:dyDescent="0.2">
      <c r="A613" s="31"/>
      <c r="B613" s="31"/>
      <c r="C613" s="31"/>
      <c r="D613" s="33"/>
      <c r="E613" s="31"/>
      <c r="F613" s="31"/>
      <c r="G613" s="31"/>
      <c r="H613" s="32"/>
      <c r="I613" s="33"/>
      <c r="J613" s="32"/>
      <c r="K613" s="31"/>
    </row>
    <row r="614" spans="1:11" x14ac:dyDescent="0.2">
      <c r="A614" s="31"/>
      <c r="B614" s="31"/>
      <c r="C614" s="31"/>
      <c r="D614" s="31"/>
      <c r="E614" s="31"/>
      <c r="F614" s="31"/>
      <c r="G614" s="31"/>
      <c r="H614" s="32"/>
      <c r="I614" s="33"/>
      <c r="J614" s="32"/>
      <c r="K614" s="31"/>
    </row>
    <row r="615" spans="1:11" x14ac:dyDescent="0.2">
      <c r="A615" s="31"/>
      <c r="B615" s="31"/>
      <c r="C615" s="31"/>
      <c r="D615" s="31"/>
      <c r="E615" s="31"/>
      <c r="F615" s="31"/>
      <c r="G615" s="31"/>
      <c r="H615" s="32"/>
      <c r="I615" s="33"/>
      <c r="J615" s="32"/>
      <c r="K615" s="31"/>
    </row>
    <row r="616" spans="1:11" x14ac:dyDescent="0.2">
      <c r="A616" s="31"/>
      <c r="B616" s="31"/>
      <c r="C616" s="31"/>
      <c r="D616" s="31"/>
      <c r="E616" s="31"/>
      <c r="F616" s="31"/>
      <c r="G616" s="31"/>
      <c r="H616" s="32"/>
      <c r="I616" s="33"/>
      <c r="J616" s="32"/>
      <c r="K616" s="31"/>
    </row>
    <row r="617" spans="1:11" x14ac:dyDescent="0.2">
      <c r="A617" s="31"/>
      <c r="B617" s="31"/>
      <c r="C617" s="31"/>
      <c r="D617" s="31"/>
      <c r="E617" s="31"/>
      <c r="F617" s="31"/>
      <c r="G617" s="31"/>
      <c r="H617" s="32"/>
      <c r="I617" s="33"/>
      <c r="J617" s="32"/>
      <c r="K617" s="31"/>
    </row>
    <row r="618" spans="1:11" x14ac:dyDescent="0.2">
      <c r="A618" s="31"/>
      <c r="B618" s="31"/>
      <c r="C618" s="31"/>
      <c r="D618" s="31"/>
      <c r="E618" s="31"/>
      <c r="F618" s="31"/>
      <c r="G618" s="31"/>
      <c r="H618" s="32"/>
      <c r="I618" s="33"/>
      <c r="J618" s="32"/>
      <c r="K618" s="31"/>
    </row>
    <row r="619" spans="1:11" x14ac:dyDescent="0.2">
      <c r="A619" s="31"/>
      <c r="B619" s="31"/>
      <c r="C619" s="31"/>
      <c r="D619" s="31"/>
      <c r="E619" s="31"/>
      <c r="F619" s="31"/>
      <c r="G619" s="31"/>
      <c r="H619" s="32"/>
      <c r="I619" s="33"/>
      <c r="J619" s="32"/>
      <c r="K619" s="31"/>
    </row>
    <row r="620" spans="1:11" x14ac:dyDescent="0.2">
      <c r="A620" s="31"/>
      <c r="B620" s="31"/>
      <c r="C620" s="31"/>
      <c r="D620" s="31"/>
      <c r="E620" s="31"/>
      <c r="F620" s="31"/>
      <c r="G620" s="31"/>
      <c r="H620" s="32"/>
      <c r="I620" s="33"/>
      <c r="J620" s="32"/>
      <c r="K620" s="31"/>
    </row>
    <row r="621" spans="1:11" x14ac:dyDescent="0.2">
      <c r="A621" s="31"/>
      <c r="B621" s="31"/>
      <c r="C621" s="31"/>
      <c r="D621" s="31"/>
      <c r="E621" s="31"/>
      <c r="F621" s="31"/>
      <c r="G621" s="31"/>
      <c r="H621" s="32"/>
      <c r="I621" s="33"/>
      <c r="J621" s="32"/>
      <c r="K621" s="31"/>
    </row>
    <row r="622" spans="1:11" x14ac:dyDescent="0.2">
      <c r="A622" s="31"/>
      <c r="B622" s="31"/>
      <c r="C622" s="31"/>
      <c r="D622" s="31"/>
      <c r="E622" s="31"/>
      <c r="F622" s="31"/>
      <c r="G622" s="31"/>
      <c r="H622" s="32"/>
      <c r="I622" s="33"/>
      <c r="J622" s="32"/>
      <c r="K622" s="31"/>
    </row>
    <row r="623" spans="1:11" x14ac:dyDescent="0.2">
      <c r="A623" s="31"/>
      <c r="B623" s="31"/>
      <c r="C623" s="31"/>
      <c r="D623" s="31"/>
      <c r="E623" s="31"/>
      <c r="F623" s="31"/>
      <c r="G623" s="31"/>
      <c r="H623" s="32"/>
      <c r="I623" s="33"/>
      <c r="J623" s="32"/>
      <c r="K623" s="31"/>
    </row>
    <row r="624" spans="1:11" x14ac:dyDescent="0.2">
      <c r="A624" s="31"/>
      <c r="B624" s="31"/>
      <c r="C624" s="31"/>
      <c r="D624" s="31"/>
      <c r="E624" s="31"/>
      <c r="F624" s="31"/>
      <c r="G624" s="31"/>
      <c r="H624" s="32"/>
      <c r="I624" s="33"/>
      <c r="J624" s="32"/>
      <c r="K624" s="31"/>
    </row>
    <row r="625" spans="1:11" x14ac:dyDescent="0.2">
      <c r="A625" s="31"/>
      <c r="B625" s="31"/>
      <c r="C625" s="31"/>
      <c r="D625" s="31"/>
      <c r="E625" s="31"/>
      <c r="F625" s="31"/>
      <c r="G625" s="31"/>
      <c r="H625" s="32"/>
      <c r="I625" s="33"/>
      <c r="J625" s="32"/>
      <c r="K625" s="31"/>
    </row>
    <row r="626" spans="1:11" x14ac:dyDescent="0.2">
      <c r="A626" s="31"/>
      <c r="B626" s="31"/>
      <c r="C626" s="31"/>
      <c r="D626" s="31"/>
      <c r="E626" s="31"/>
      <c r="F626" s="31"/>
      <c r="G626" s="31"/>
      <c r="H626" s="32"/>
      <c r="I626" s="33"/>
      <c r="J626" s="32"/>
      <c r="K626" s="31"/>
    </row>
    <row r="627" spans="1:11" x14ac:dyDescent="0.2">
      <c r="A627" s="31"/>
      <c r="B627" s="31"/>
      <c r="C627" s="31"/>
      <c r="D627" s="31"/>
      <c r="E627" s="31"/>
      <c r="F627" s="31"/>
      <c r="G627" s="31"/>
      <c r="H627" s="32"/>
      <c r="I627" s="33"/>
      <c r="J627" s="32"/>
      <c r="K627" s="31"/>
    </row>
    <row r="628" spans="1:11" x14ac:dyDescent="0.2">
      <c r="A628" s="31"/>
      <c r="B628" s="31"/>
      <c r="C628" s="31"/>
      <c r="D628" s="31"/>
      <c r="E628" s="31"/>
      <c r="F628" s="31"/>
      <c r="G628" s="31"/>
      <c r="H628" s="32"/>
      <c r="I628" s="33"/>
      <c r="J628" s="32"/>
      <c r="K628" s="31"/>
    </row>
    <row r="629" spans="1:11" x14ac:dyDescent="0.2">
      <c r="A629" s="31"/>
      <c r="B629" s="31"/>
      <c r="C629" s="31"/>
      <c r="D629" s="31"/>
      <c r="E629" s="31"/>
      <c r="F629" s="31"/>
      <c r="G629" s="31"/>
      <c r="H629" s="32"/>
      <c r="I629" s="33"/>
      <c r="J629" s="32"/>
      <c r="K629" s="31"/>
    </row>
    <row r="630" spans="1:11" x14ac:dyDescent="0.2">
      <c r="A630" s="31"/>
      <c r="B630" s="31"/>
      <c r="C630" s="31"/>
      <c r="D630" s="31"/>
      <c r="E630" s="31"/>
      <c r="F630" s="31"/>
      <c r="G630" s="31"/>
      <c r="H630" s="32"/>
      <c r="I630" s="33"/>
      <c r="J630" s="32"/>
      <c r="K630" s="31"/>
    </row>
    <row r="631" spans="1:11" x14ac:dyDescent="0.2">
      <c r="A631" s="31"/>
      <c r="B631" s="31"/>
      <c r="C631" s="31"/>
      <c r="D631" s="31"/>
      <c r="E631" s="31"/>
      <c r="F631" s="31"/>
      <c r="G631" s="31"/>
      <c r="H631" s="32"/>
      <c r="I631" s="33"/>
      <c r="J631" s="32"/>
      <c r="K631" s="31"/>
    </row>
    <row r="632" spans="1:11" x14ac:dyDescent="0.2">
      <c r="A632" s="31"/>
      <c r="B632" s="31"/>
      <c r="C632" s="31"/>
      <c r="D632" s="31"/>
      <c r="E632" s="31"/>
      <c r="F632" s="31"/>
      <c r="G632" s="31"/>
      <c r="H632" s="32"/>
      <c r="I632" s="33"/>
      <c r="J632" s="32"/>
      <c r="K632" s="31"/>
    </row>
    <row r="633" spans="1:11" x14ac:dyDescent="0.2">
      <c r="A633" s="31"/>
      <c r="B633" s="31"/>
      <c r="C633" s="31"/>
      <c r="D633" s="31"/>
      <c r="E633" s="31"/>
      <c r="F633" s="31"/>
      <c r="G633" s="31"/>
      <c r="H633" s="32"/>
      <c r="I633" s="33"/>
      <c r="J633" s="32"/>
      <c r="K633" s="31"/>
    </row>
    <row r="634" spans="1:11" x14ac:dyDescent="0.2">
      <c r="A634" s="31"/>
      <c r="B634" s="31"/>
      <c r="C634" s="31"/>
      <c r="D634" s="31"/>
      <c r="E634" s="31"/>
      <c r="F634" s="31"/>
      <c r="G634" s="31"/>
      <c r="H634" s="32"/>
      <c r="I634" s="33"/>
      <c r="J634" s="32"/>
      <c r="K634" s="31"/>
    </row>
    <row r="635" spans="1:11" x14ac:dyDescent="0.2">
      <c r="A635" s="31"/>
      <c r="B635" s="31"/>
      <c r="C635" s="31"/>
      <c r="D635" s="31"/>
      <c r="E635" s="31"/>
      <c r="F635" s="31"/>
      <c r="G635" s="31"/>
      <c r="H635" s="32"/>
      <c r="I635" s="33"/>
      <c r="J635" s="32"/>
      <c r="K635" s="31"/>
    </row>
    <row r="636" spans="1:11" x14ac:dyDescent="0.2">
      <c r="A636" s="31"/>
      <c r="B636" s="31"/>
      <c r="C636" s="31"/>
      <c r="D636" s="31"/>
      <c r="E636" s="31"/>
      <c r="F636" s="31"/>
      <c r="G636" s="31"/>
      <c r="H636" s="32"/>
      <c r="I636" s="33"/>
      <c r="J636" s="32"/>
      <c r="K636" s="31"/>
    </row>
    <row r="637" spans="1:11" x14ac:dyDescent="0.2">
      <c r="A637" s="31"/>
      <c r="B637" s="31"/>
      <c r="C637" s="31"/>
      <c r="D637" s="31"/>
      <c r="E637" s="31"/>
      <c r="F637" s="31"/>
      <c r="G637" s="31"/>
      <c r="H637" s="32"/>
      <c r="I637" s="33"/>
      <c r="J637" s="32"/>
      <c r="K637" s="31"/>
    </row>
    <row r="638" spans="1:11" x14ac:dyDescent="0.2">
      <c r="A638" s="31"/>
      <c r="B638" s="31"/>
      <c r="C638" s="31"/>
      <c r="D638" s="31"/>
      <c r="E638" s="31"/>
      <c r="F638" s="31"/>
      <c r="G638" s="31"/>
      <c r="H638" s="32"/>
      <c r="I638" s="33"/>
      <c r="J638" s="32"/>
      <c r="K638" s="31"/>
    </row>
    <row r="639" spans="1:11" x14ac:dyDescent="0.2">
      <c r="A639" s="31"/>
      <c r="B639" s="31"/>
      <c r="C639" s="31"/>
      <c r="D639" s="31"/>
      <c r="E639" s="31"/>
      <c r="F639" s="31"/>
      <c r="G639" s="31"/>
      <c r="H639" s="32"/>
      <c r="I639" s="33"/>
      <c r="J639" s="32"/>
      <c r="K639" s="31"/>
    </row>
    <row r="640" spans="1:11" x14ac:dyDescent="0.2">
      <c r="A640" s="31"/>
      <c r="B640" s="31"/>
      <c r="C640" s="31"/>
      <c r="D640" s="31"/>
      <c r="E640" s="31"/>
      <c r="F640" s="31"/>
      <c r="G640" s="31"/>
      <c r="H640" s="32"/>
      <c r="I640" s="33"/>
      <c r="J640" s="32"/>
      <c r="K640" s="31"/>
    </row>
    <row r="641" spans="1:11" x14ac:dyDescent="0.2">
      <c r="A641" s="31"/>
      <c r="B641" s="31"/>
      <c r="C641" s="31"/>
      <c r="D641" s="31"/>
      <c r="E641" s="31"/>
      <c r="F641" s="31"/>
      <c r="G641" s="31"/>
      <c r="H641" s="32"/>
      <c r="I641" s="33"/>
      <c r="J641" s="32"/>
      <c r="K641" s="31"/>
    </row>
    <row r="642" spans="1:11" x14ac:dyDescent="0.2">
      <c r="A642" s="31"/>
      <c r="B642" s="31"/>
      <c r="C642" s="31"/>
      <c r="D642" s="31"/>
      <c r="E642" s="31"/>
      <c r="F642" s="31"/>
      <c r="G642" s="31"/>
      <c r="H642" s="32"/>
      <c r="I642" s="33"/>
      <c r="J642" s="32"/>
      <c r="K642" s="31"/>
    </row>
    <row r="643" spans="1:11" x14ac:dyDescent="0.2">
      <c r="A643" s="31"/>
      <c r="B643" s="31"/>
      <c r="C643" s="31"/>
      <c r="D643" s="31"/>
      <c r="E643" s="31"/>
      <c r="F643" s="31"/>
      <c r="G643" s="31"/>
      <c r="H643" s="32"/>
      <c r="I643" s="33"/>
      <c r="J643" s="32"/>
      <c r="K643" s="31"/>
    </row>
    <row r="644" spans="1:11" x14ac:dyDescent="0.2">
      <c r="A644" s="31"/>
      <c r="B644" s="31"/>
      <c r="C644" s="31"/>
      <c r="D644" s="31"/>
      <c r="E644" s="31"/>
      <c r="F644" s="31"/>
      <c r="G644" s="31"/>
      <c r="H644" s="32"/>
      <c r="I644" s="33"/>
      <c r="J644" s="32"/>
      <c r="K644" s="31"/>
    </row>
    <row r="645" spans="1:11" x14ac:dyDescent="0.2">
      <c r="A645" s="31"/>
      <c r="B645" s="31"/>
      <c r="C645" s="31"/>
      <c r="D645" s="31"/>
      <c r="E645" s="31"/>
      <c r="F645" s="31"/>
      <c r="G645" s="31"/>
      <c r="H645" s="32"/>
      <c r="I645" s="33"/>
      <c r="J645" s="32"/>
      <c r="K645" s="31"/>
    </row>
    <row r="646" spans="1:11" x14ac:dyDescent="0.2">
      <c r="A646" s="31"/>
      <c r="B646" s="31"/>
      <c r="C646" s="31"/>
      <c r="D646" s="31"/>
      <c r="E646" s="31"/>
      <c r="F646" s="31"/>
      <c r="G646" s="31"/>
      <c r="H646" s="32"/>
      <c r="I646" s="33"/>
      <c r="J646" s="32"/>
      <c r="K646" s="31"/>
    </row>
    <row r="647" spans="1:11" x14ac:dyDescent="0.2">
      <c r="A647" s="31"/>
      <c r="B647" s="31"/>
      <c r="C647" s="31"/>
      <c r="D647" s="31"/>
      <c r="E647" s="31"/>
      <c r="F647" s="31"/>
      <c r="G647" s="31"/>
      <c r="H647" s="32"/>
      <c r="I647" s="33"/>
      <c r="J647" s="32"/>
      <c r="K647" s="31"/>
    </row>
    <row r="648" spans="1:11" x14ac:dyDescent="0.2">
      <c r="A648" s="31"/>
      <c r="B648" s="31"/>
      <c r="C648" s="31"/>
      <c r="D648" s="31"/>
      <c r="E648" s="31"/>
      <c r="F648" s="31"/>
      <c r="G648" s="31"/>
      <c r="H648" s="32"/>
      <c r="I648" s="33"/>
      <c r="J648" s="32"/>
      <c r="K648" s="31"/>
    </row>
    <row r="649" spans="1:11" x14ac:dyDescent="0.2">
      <c r="A649" s="31"/>
      <c r="B649" s="31"/>
      <c r="C649" s="31"/>
      <c r="D649" s="31"/>
      <c r="E649" s="31"/>
      <c r="F649" s="31"/>
      <c r="G649" s="31"/>
      <c r="H649" s="32"/>
      <c r="I649" s="33"/>
      <c r="J649" s="32"/>
      <c r="K649" s="31"/>
    </row>
    <row r="650" spans="1:11" x14ac:dyDescent="0.2">
      <c r="A650" s="31"/>
      <c r="B650" s="31"/>
      <c r="C650" s="31"/>
      <c r="D650" s="31"/>
      <c r="E650" s="31"/>
      <c r="F650" s="31"/>
      <c r="G650" s="31"/>
      <c r="H650" s="32"/>
      <c r="I650" s="33"/>
      <c r="J650" s="32"/>
      <c r="K650" s="31"/>
    </row>
    <row r="651" spans="1:11" x14ac:dyDescent="0.2">
      <c r="A651" s="31"/>
      <c r="B651" s="31"/>
      <c r="C651" s="31"/>
      <c r="D651" s="31"/>
      <c r="E651" s="31"/>
      <c r="F651" s="31"/>
      <c r="G651" s="31"/>
      <c r="H651" s="32"/>
      <c r="I651" s="33"/>
      <c r="J651" s="32"/>
      <c r="K651" s="31"/>
    </row>
    <row r="652" spans="1:11" x14ac:dyDescent="0.2">
      <c r="A652" s="31"/>
      <c r="B652" s="31"/>
      <c r="C652" s="31"/>
      <c r="D652" s="31"/>
      <c r="E652" s="31"/>
      <c r="F652" s="31"/>
      <c r="G652" s="31"/>
      <c r="H652" s="32"/>
      <c r="I652" s="33"/>
      <c r="J652" s="32"/>
      <c r="K652" s="31"/>
    </row>
    <row r="653" spans="1:11" x14ac:dyDescent="0.2">
      <c r="A653" s="31"/>
      <c r="B653" s="31"/>
      <c r="C653" s="31"/>
      <c r="D653" s="31"/>
      <c r="E653" s="31"/>
      <c r="F653" s="31"/>
      <c r="G653" s="31"/>
      <c r="H653" s="32"/>
      <c r="I653" s="33"/>
      <c r="J653" s="32"/>
      <c r="K653" s="31"/>
    </row>
    <row r="654" spans="1:11" x14ac:dyDescent="0.2">
      <c r="A654" s="31"/>
      <c r="B654" s="31"/>
      <c r="C654" s="31"/>
      <c r="D654" s="31"/>
      <c r="E654" s="31"/>
      <c r="F654" s="31"/>
      <c r="G654" s="31"/>
      <c r="H654" s="32"/>
      <c r="I654" s="33"/>
      <c r="J654" s="32"/>
      <c r="K654" s="31"/>
    </row>
    <row r="655" spans="1:11" x14ac:dyDescent="0.2">
      <c r="A655" s="31"/>
      <c r="B655" s="31"/>
      <c r="C655" s="31"/>
      <c r="D655" s="31"/>
      <c r="E655" s="31"/>
      <c r="F655" s="31"/>
      <c r="G655" s="31"/>
      <c r="H655" s="32"/>
      <c r="I655" s="33"/>
      <c r="J655" s="32"/>
      <c r="K655" s="31"/>
    </row>
    <row r="656" spans="1:11" x14ac:dyDescent="0.2">
      <c r="A656" s="31"/>
      <c r="B656" s="31"/>
      <c r="C656" s="31"/>
      <c r="D656" s="31"/>
      <c r="E656" s="31"/>
      <c r="F656" s="31"/>
      <c r="G656" s="31"/>
      <c r="H656" s="32"/>
      <c r="I656" s="33"/>
      <c r="J656" s="32"/>
      <c r="K656" s="31"/>
    </row>
    <row r="657" spans="1:11" x14ac:dyDescent="0.2">
      <c r="A657" s="31"/>
      <c r="B657" s="31"/>
      <c r="C657" s="31"/>
      <c r="D657" s="31"/>
      <c r="E657" s="31"/>
      <c r="F657" s="31"/>
      <c r="G657" s="31"/>
      <c r="H657" s="32"/>
      <c r="I657" s="33"/>
      <c r="J657" s="32"/>
      <c r="K657" s="31"/>
    </row>
    <row r="658" spans="1:11" x14ac:dyDescent="0.2">
      <c r="A658" s="31"/>
      <c r="B658" s="31"/>
      <c r="C658" s="31"/>
      <c r="D658" s="31"/>
      <c r="E658" s="31"/>
      <c r="F658" s="31"/>
      <c r="G658" s="31"/>
      <c r="H658" s="32"/>
      <c r="I658" s="33"/>
      <c r="J658" s="32"/>
      <c r="K658" s="31"/>
    </row>
    <row r="659" spans="1:11" x14ac:dyDescent="0.2">
      <c r="A659" s="31"/>
      <c r="B659" s="31"/>
      <c r="C659" s="31"/>
      <c r="D659" s="31"/>
      <c r="E659" s="31"/>
      <c r="F659" s="31"/>
      <c r="G659" s="31"/>
      <c r="H659" s="32"/>
      <c r="I659" s="33"/>
      <c r="J659" s="32"/>
      <c r="K659" s="31"/>
    </row>
    <row r="660" spans="1:11" x14ac:dyDescent="0.2">
      <c r="A660" s="31"/>
      <c r="B660" s="31"/>
      <c r="C660" s="31"/>
      <c r="D660" s="31"/>
      <c r="E660" s="31"/>
      <c r="F660" s="31"/>
      <c r="G660" s="31"/>
      <c r="H660" s="32"/>
      <c r="I660" s="33"/>
      <c r="J660" s="32"/>
      <c r="K660" s="31"/>
    </row>
    <row r="661" spans="1:11" x14ac:dyDescent="0.2">
      <c r="A661" s="31"/>
      <c r="B661" s="31"/>
      <c r="C661" s="31"/>
      <c r="D661" s="31"/>
      <c r="E661" s="31"/>
      <c r="F661" s="31"/>
      <c r="G661" s="31"/>
      <c r="H661" s="32"/>
      <c r="I661" s="33"/>
      <c r="J661" s="32"/>
      <c r="K661" s="31"/>
    </row>
    <row r="662" spans="1:11" x14ac:dyDescent="0.2">
      <c r="A662" s="31"/>
      <c r="B662" s="31"/>
      <c r="C662" s="31"/>
      <c r="D662" s="31"/>
      <c r="E662" s="31"/>
      <c r="F662" s="31"/>
      <c r="G662" s="31"/>
      <c r="H662" s="32"/>
      <c r="I662" s="33"/>
      <c r="J662" s="32"/>
      <c r="K662" s="31"/>
    </row>
    <row r="663" spans="1:11" x14ac:dyDescent="0.2">
      <c r="A663" s="31"/>
      <c r="B663" s="31"/>
      <c r="C663" s="31"/>
      <c r="D663" s="31"/>
      <c r="E663" s="31"/>
      <c r="F663" s="31"/>
      <c r="G663" s="31"/>
      <c r="H663" s="32"/>
      <c r="I663" s="33"/>
      <c r="J663" s="32"/>
      <c r="K663" s="31"/>
    </row>
    <row r="664" spans="1:11" x14ac:dyDescent="0.2">
      <c r="A664" s="31"/>
      <c r="B664" s="31"/>
      <c r="C664" s="31"/>
      <c r="D664" s="31"/>
      <c r="E664" s="31"/>
      <c r="F664" s="31"/>
      <c r="G664" s="31"/>
      <c r="H664" s="32"/>
      <c r="I664" s="33"/>
      <c r="J664" s="32"/>
      <c r="K664" s="31"/>
    </row>
    <row r="665" spans="1:11" x14ac:dyDescent="0.2">
      <c r="A665" s="31"/>
      <c r="B665" s="31"/>
      <c r="C665" s="31"/>
      <c r="D665" s="31"/>
      <c r="E665" s="31"/>
      <c r="F665" s="31"/>
      <c r="G665" s="31"/>
      <c r="H665" s="32"/>
      <c r="I665" s="33"/>
      <c r="J665" s="32"/>
      <c r="K665" s="31"/>
    </row>
    <row r="666" spans="1:11" x14ac:dyDescent="0.2">
      <c r="A666" s="31"/>
      <c r="B666" s="31"/>
      <c r="C666" s="31"/>
      <c r="D666" s="31"/>
      <c r="E666" s="31"/>
      <c r="F666" s="31"/>
      <c r="G666" s="31"/>
      <c r="H666" s="32"/>
      <c r="I666" s="33"/>
      <c r="J666" s="32"/>
      <c r="K666" s="31"/>
    </row>
    <row r="667" spans="1:11" x14ac:dyDescent="0.2">
      <c r="A667" s="31"/>
      <c r="B667" s="31"/>
      <c r="C667" s="31"/>
      <c r="D667" s="31"/>
      <c r="E667" s="31"/>
      <c r="F667" s="31"/>
      <c r="G667" s="31"/>
      <c r="H667" s="32"/>
      <c r="I667" s="33"/>
      <c r="J667" s="32"/>
      <c r="K667" s="31"/>
    </row>
    <row r="668" spans="1:11" x14ac:dyDescent="0.2">
      <c r="A668" s="31"/>
      <c r="B668" s="31"/>
      <c r="C668" s="31"/>
      <c r="D668" s="31"/>
      <c r="E668" s="31"/>
      <c r="F668" s="31"/>
      <c r="G668" s="31"/>
      <c r="H668" s="32"/>
      <c r="I668" s="33"/>
      <c r="J668" s="32"/>
      <c r="K668" s="31"/>
    </row>
    <row r="669" spans="1:11" x14ac:dyDescent="0.2">
      <c r="A669" s="31"/>
      <c r="B669" s="31"/>
      <c r="C669" s="31"/>
      <c r="D669" s="31"/>
      <c r="E669" s="31"/>
      <c r="F669" s="31"/>
      <c r="G669" s="31"/>
      <c r="H669" s="32"/>
      <c r="I669" s="33"/>
      <c r="J669" s="32"/>
      <c r="K669" s="31"/>
    </row>
    <row r="670" spans="1:11" x14ac:dyDescent="0.2">
      <c r="A670" s="31"/>
      <c r="B670" s="31"/>
      <c r="C670" s="31"/>
      <c r="D670" s="31"/>
      <c r="E670" s="31"/>
      <c r="F670" s="31"/>
      <c r="G670" s="31"/>
      <c r="H670" s="32"/>
      <c r="I670" s="33"/>
      <c r="J670" s="32"/>
      <c r="K670" s="31"/>
    </row>
    <row r="671" spans="1:11" x14ac:dyDescent="0.2">
      <c r="A671" s="31"/>
      <c r="B671" s="31"/>
      <c r="C671" s="31"/>
      <c r="D671" s="31"/>
      <c r="E671" s="31"/>
      <c r="F671" s="31"/>
      <c r="G671" s="31"/>
      <c r="H671" s="32"/>
      <c r="I671" s="33"/>
      <c r="J671" s="32"/>
      <c r="K671" s="31"/>
    </row>
    <row r="672" spans="1:11" x14ac:dyDescent="0.2">
      <c r="A672" s="31"/>
      <c r="B672" s="31"/>
      <c r="C672" s="31"/>
      <c r="D672" s="31"/>
      <c r="E672" s="31"/>
      <c r="F672" s="31"/>
      <c r="G672" s="31"/>
      <c r="H672" s="32"/>
      <c r="I672" s="33"/>
      <c r="J672" s="32"/>
      <c r="K672" s="31"/>
    </row>
    <row r="673" spans="1:11" x14ac:dyDescent="0.2">
      <c r="A673" s="31"/>
      <c r="B673" s="31"/>
      <c r="C673" s="31"/>
      <c r="D673" s="31"/>
      <c r="E673" s="31"/>
      <c r="F673" s="31"/>
      <c r="G673" s="31"/>
      <c r="H673" s="32"/>
      <c r="I673" s="33"/>
      <c r="J673" s="32"/>
      <c r="K673" s="31"/>
    </row>
    <row r="674" spans="1:11" x14ac:dyDescent="0.2">
      <c r="A674" s="31"/>
      <c r="B674" s="31"/>
      <c r="C674" s="31"/>
      <c r="D674" s="31"/>
      <c r="E674" s="31"/>
      <c r="F674" s="31"/>
      <c r="G674" s="31"/>
      <c r="H674" s="32"/>
      <c r="I674" s="33"/>
      <c r="J674" s="32"/>
      <c r="K674" s="31"/>
    </row>
    <row r="675" spans="1:11" x14ac:dyDescent="0.2">
      <c r="A675" s="31"/>
      <c r="B675" s="31"/>
      <c r="C675" s="31"/>
      <c r="D675" s="31"/>
      <c r="E675" s="31"/>
      <c r="F675" s="31"/>
      <c r="G675" s="31"/>
      <c r="H675" s="32"/>
      <c r="I675" s="33"/>
      <c r="J675" s="32"/>
      <c r="K675" s="31"/>
    </row>
    <row r="676" spans="1:11" x14ac:dyDescent="0.2">
      <c r="A676" s="31"/>
      <c r="B676" s="31"/>
      <c r="C676" s="31"/>
      <c r="D676" s="31"/>
      <c r="E676" s="31"/>
      <c r="F676" s="31"/>
      <c r="G676" s="31"/>
      <c r="H676" s="32"/>
      <c r="I676" s="33"/>
      <c r="J676" s="32"/>
      <c r="K676" s="31"/>
    </row>
    <row r="677" spans="1:11" x14ac:dyDescent="0.2">
      <c r="A677" s="31"/>
      <c r="B677" s="31"/>
      <c r="C677" s="31"/>
      <c r="D677" s="31"/>
      <c r="E677" s="31"/>
      <c r="F677" s="31"/>
      <c r="G677" s="31"/>
      <c r="H677" s="32"/>
      <c r="I677" s="33"/>
      <c r="J677" s="32"/>
      <c r="K677" s="31"/>
    </row>
    <row r="678" spans="1:11" x14ac:dyDescent="0.2">
      <c r="A678" s="31"/>
      <c r="B678" s="31"/>
      <c r="C678" s="31"/>
      <c r="D678" s="31"/>
      <c r="E678" s="31"/>
      <c r="F678" s="31"/>
      <c r="G678" s="31"/>
      <c r="H678" s="32"/>
      <c r="I678" s="33"/>
      <c r="J678" s="32"/>
      <c r="K678" s="31"/>
    </row>
    <row r="679" spans="1:11" x14ac:dyDescent="0.2">
      <c r="A679" s="31"/>
      <c r="B679" s="31"/>
      <c r="C679" s="31"/>
      <c r="D679" s="31"/>
      <c r="E679" s="31"/>
      <c r="F679" s="31"/>
      <c r="G679" s="31"/>
      <c r="H679" s="32"/>
      <c r="I679" s="33"/>
      <c r="J679" s="32"/>
      <c r="K679" s="31"/>
    </row>
    <row r="680" spans="1:11" x14ac:dyDescent="0.2">
      <c r="A680" s="31"/>
      <c r="B680" s="31"/>
      <c r="C680" s="31"/>
      <c r="D680" s="31"/>
      <c r="E680" s="31"/>
      <c r="F680" s="31"/>
      <c r="G680" s="31"/>
      <c r="H680" s="32"/>
      <c r="I680" s="33"/>
      <c r="J680" s="32"/>
      <c r="K680" s="31"/>
    </row>
    <row r="681" spans="1:11" x14ac:dyDescent="0.2">
      <c r="A681" s="31"/>
      <c r="B681" s="31"/>
      <c r="C681" s="31"/>
      <c r="D681" s="31"/>
      <c r="E681" s="31"/>
      <c r="F681" s="31"/>
      <c r="G681" s="31"/>
      <c r="H681" s="32"/>
      <c r="I681" s="33"/>
      <c r="J681" s="32"/>
      <c r="K681" s="31"/>
    </row>
    <row r="682" spans="1:11" x14ac:dyDescent="0.2">
      <c r="A682" s="31"/>
      <c r="B682" s="31"/>
      <c r="C682" s="31"/>
      <c r="D682" s="31"/>
      <c r="E682" s="31"/>
      <c r="F682" s="31"/>
      <c r="G682" s="31"/>
      <c r="H682" s="32"/>
      <c r="I682" s="33"/>
      <c r="J682" s="32"/>
      <c r="K682" s="31"/>
    </row>
    <row r="683" spans="1:11" x14ac:dyDescent="0.2">
      <c r="A683" s="31"/>
      <c r="B683" s="31"/>
      <c r="C683" s="31"/>
      <c r="D683" s="31"/>
      <c r="E683" s="31"/>
      <c r="F683" s="31"/>
      <c r="G683" s="31"/>
      <c r="H683" s="32"/>
      <c r="I683" s="33"/>
      <c r="J683" s="32"/>
      <c r="K683" s="31"/>
    </row>
    <row r="684" spans="1:11" x14ac:dyDescent="0.2">
      <c r="A684" s="31"/>
      <c r="B684" s="31"/>
      <c r="C684" s="31"/>
      <c r="D684" s="31"/>
      <c r="E684" s="31"/>
      <c r="F684" s="31"/>
      <c r="G684" s="31"/>
      <c r="H684" s="32"/>
      <c r="I684" s="33"/>
      <c r="J684" s="32"/>
      <c r="K684" s="31"/>
    </row>
    <row r="685" spans="1:11" x14ac:dyDescent="0.2">
      <c r="A685" s="31"/>
      <c r="B685" s="31"/>
      <c r="C685" s="31"/>
      <c r="D685" s="31"/>
      <c r="E685" s="31"/>
      <c r="F685" s="31"/>
      <c r="G685" s="31"/>
      <c r="H685" s="32"/>
      <c r="I685" s="33"/>
      <c r="J685" s="32"/>
      <c r="K685" s="31"/>
    </row>
    <row r="686" spans="1:11" x14ac:dyDescent="0.2">
      <c r="A686" s="31"/>
      <c r="B686" s="31"/>
      <c r="C686" s="31"/>
      <c r="D686" s="31"/>
      <c r="E686" s="31"/>
      <c r="F686" s="31"/>
      <c r="G686" s="31"/>
      <c r="H686" s="32"/>
      <c r="I686" s="33"/>
      <c r="J686" s="32"/>
      <c r="K686" s="31"/>
    </row>
    <row r="687" spans="1:11" x14ac:dyDescent="0.2">
      <c r="A687" s="31"/>
      <c r="B687" s="31"/>
      <c r="C687" s="31"/>
      <c r="D687" s="31"/>
      <c r="E687" s="31"/>
      <c r="F687" s="31"/>
      <c r="G687" s="31"/>
      <c r="H687" s="32"/>
      <c r="I687" s="33"/>
      <c r="J687" s="32"/>
      <c r="K687" s="31"/>
    </row>
    <row r="688" spans="1:11" x14ac:dyDescent="0.2">
      <c r="A688" s="31"/>
      <c r="B688" s="31"/>
      <c r="C688" s="31"/>
      <c r="D688" s="31"/>
      <c r="E688" s="31"/>
      <c r="F688" s="31"/>
      <c r="G688" s="31"/>
      <c r="H688" s="32"/>
      <c r="I688" s="33"/>
      <c r="J688" s="32"/>
      <c r="K688" s="31"/>
    </row>
    <row r="689" spans="1:11" x14ac:dyDescent="0.2">
      <c r="A689" s="31"/>
      <c r="B689" s="31"/>
      <c r="C689" s="31"/>
      <c r="D689" s="31"/>
      <c r="E689" s="31"/>
      <c r="F689" s="31"/>
      <c r="G689" s="31"/>
      <c r="H689" s="32"/>
      <c r="I689" s="33"/>
      <c r="J689" s="32"/>
      <c r="K689" s="31"/>
    </row>
    <row r="690" spans="1:11" x14ac:dyDescent="0.2">
      <c r="A690" s="31"/>
      <c r="B690" s="31"/>
      <c r="C690" s="31"/>
      <c r="D690" s="31"/>
      <c r="E690" s="31"/>
      <c r="F690" s="31"/>
      <c r="G690" s="31"/>
      <c r="H690" s="32"/>
      <c r="I690" s="33"/>
      <c r="J690" s="32"/>
      <c r="K690" s="31"/>
    </row>
    <row r="691" spans="1:11" x14ac:dyDescent="0.2">
      <c r="A691" s="31"/>
      <c r="B691" s="31"/>
      <c r="C691" s="31"/>
      <c r="D691" s="31"/>
      <c r="E691" s="31"/>
      <c r="F691" s="31"/>
      <c r="G691" s="31"/>
      <c r="H691" s="32"/>
      <c r="I691" s="33"/>
      <c r="J691" s="32"/>
      <c r="K691" s="31"/>
    </row>
    <row r="692" spans="1:11" x14ac:dyDescent="0.2">
      <c r="A692" s="31"/>
      <c r="B692" s="31"/>
      <c r="C692" s="31"/>
      <c r="D692" s="31"/>
      <c r="E692" s="31"/>
      <c r="F692" s="31"/>
      <c r="G692" s="31"/>
      <c r="H692" s="32"/>
      <c r="I692" s="33"/>
      <c r="J692" s="32"/>
      <c r="K692" s="31"/>
    </row>
    <row r="693" spans="1:11" x14ac:dyDescent="0.2">
      <c r="A693" s="31"/>
      <c r="B693" s="31"/>
      <c r="C693" s="31"/>
      <c r="D693" s="31"/>
      <c r="E693" s="31"/>
      <c r="F693" s="31"/>
      <c r="G693" s="31"/>
      <c r="H693" s="32"/>
      <c r="I693" s="33"/>
      <c r="J693" s="32"/>
      <c r="K693" s="31"/>
    </row>
    <row r="694" spans="1:11" x14ac:dyDescent="0.2">
      <c r="A694" s="31"/>
      <c r="B694" s="31"/>
      <c r="C694" s="31"/>
      <c r="D694" s="31"/>
      <c r="E694" s="31"/>
      <c r="F694" s="31"/>
      <c r="G694" s="31"/>
      <c r="H694" s="32"/>
      <c r="I694" s="33"/>
      <c r="J694" s="32"/>
      <c r="K694" s="31"/>
    </row>
    <row r="695" spans="1:11" x14ac:dyDescent="0.2">
      <c r="A695" s="31"/>
      <c r="B695" s="31"/>
      <c r="C695" s="31"/>
      <c r="D695" s="31"/>
      <c r="E695" s="31"/>
      <c r="F695" s="31"/>
      <c r="G695" s="31"/>
      <c r="H695" s="32"/>
      <c r="I695" s="33"/>
      <c r="J695" s="32"/>
      <c r="K695" s="31"/>
    </row>
    <row r="696" spans="1:11" x14ac:dyDescent="0.2">
      <c r="A696" s="31"/>
      <c r="B696" s="31"/>
      <c r="C696" s="31"/>
      <c r="D696" s="31"/>
      <c r="E696" s="31"/>
      <c r="F696" s="31"/>
      <c r="G696" s="31"/>
      <c r="H696" s="32"/>
      <c r="I696" s="33"/>
      <c r="J696" s="32"/>
      <c r="K696" s="31"/>
    </row>
    <row r="697" spans="1:11" x14ac:dyDescent="0.2">
      <c r="A697" s="31"/>
      <c r="B697" s="31"/>
      <c r="C697" s="31"/>
      <c r="D697" s="31"/>
      <c r="E697" s="31"/>
      <c r="F697" s="31"/>
      <c r="G697" s="31"/>
      <c r="H697" s="32"/>
      <c r="I697" s="33"/>
      <c r="J697" s="32"/>
      <c r="K697" s="31"/>
    </row>
    <row r="698" spans="1:11" x14ac:dyDescent="0.2">
      <c r="A698" s="31"/>
      <c r="B698" s="31"/>
      <c r="C698" s="31"/>
      <c r="D698" s="31"/>
      <c r="E698" s="31"/>
      <c r="F698" s="31"/>
      <c r="G698" s="31"/>
      <c r="H698" s="32"/>
      <c r="I698" s="33"/>
      <c r="J698" s="32"/>
      <c r="K698" s="31"/>
    </row>
    <row r="699" spans="1:11" x14ac:dyDescent="0.2">
      <c r="A699" s="31"/>
      <c r="B699" s="31"/>
      <c r="C699" s="31"/>
      <c r="D699" s="31"/>
      <c r="E699" s="31"/>
      <c r="F699" s="31"/>
      <c r="G699" s="31"/>
      <c r="H699" s="32"/>
      <c r="I699" s="33"/>
      <c r="J699" s="32"/>
      <c r="K699" s="31"/>
    </row>
    <row r="700" spans="1:11" x14ac:dyDescent="0.2">
      <c r="A700" s="31"/>
      <c r="B700" s="31"/>
      <c r="C700" s="31"/>
      <c r="D700" s="31"/>
      <c r="E700" s="31"/>
      <c r="F700" s="31"/>
      <c r="G700" s="31"/>
      <c r="H700" s="32"/>
      <c r="I700" s="33"/>
      <c r="J700" s="32"/>
      <c r="K700" s="31"/>
    </row>
    <row r="701" spans="1:11" x14ac:dyDescent="0.2">
      <c r="A701" s="31"/>
      <c r="B701" s="31"/>
      <c r="C701" s="31"/>
      <c r="D701" s="31"/>
      <c r="E701" s="31"/>
      <c r="F701" s="31"/>
      <c r="G701" s="31"/>
      <c r="H701" s="32"/>
      <c r="I701" s="33"/>
      <c r="J701" s="32"/>
      <c r="K701" s="31"/>
    </row>
    <row r="702" spans="1:11" x14ac:dyDescent="0.2">
      <c r="A702" s="31"/>
      <c r="B702" s="31"/>
      <c r="C702" s="31"/>
      <c r="D702" s="31"/>
      <c r="E702" s="31"/>
      <c r="F702" s="31"/>
      <c r="G702" s="31"/>
      <c r="H702" s="32"/>
      <c r="I702" s="33"/>
      <c r="J702" s="32"/>
      <c r="K702" s="31"/>
    </row>
    <row r="703" spans="1:11" x14ac:dyDescent="0.2">
      <c r="A703" s="31"/>
      <c r="B703" s="31"/>
      <c r="C703" s="31"/>
      <c r="D703" s="31"/>
      <c r="E703" s="31"/>
      <c r="F703" s="31"/>
      <c r="G703" s="31"/>
      <c r="H703" s="32"/>
      <c r="I703" s="33"/>
      <c r="J703" s="32"/>
      <c r="K703" s="31"/>
    </row>
    <row r="704" spans="1:11" x14ac:dyDescent="0.2">
      <c r="A704" s="31"/>
      <c r="B704" s="31"/>
      <c r="C704" s="31"/>
      <c r="D704" s="31"/>
      <c r="E704" s="31"/>
      <c r="F704" s="31"/>
      <c r="G704" s="31"/>
      <c r="H704" s="32"/>
      <c r="I704" s="33"/>
      <c r="J704" s="32"/>
      <c r="K704" s="31"/>
    </row>
    <row r="705" spans="1:11" x14ac:dyDescent="0.2">
      <c r="A705" s="31"/>
      <c r="B705" s="31"/>
      <c r="C705" s="31"/>
      <c r="D705" s="31"/>
      <c r="E705" s="31"/>
      <c r="F705" s="31"/>
      <c r="G705" s="31"/>
      <c r="H705" s="32"/>
      <c r="I705" s="33"/>
      <c r="J705" s="32"/>
      <c r="K705" s="31"/>
    </row>
    <row r="706" spans="1:11" x14ac:dyDescent="0.2">
      <c r="A706" s="31"/>
      <c r="B706" s="31"/>
      <c r="C706" s="31"/>
      <c r="D706" s="31"/>
      <c r="E706" s="31"/>
      <c r="F706" s="31"/>
      <c r="G706" s="31"/>
      <c r="H706" s="32"/>
      <c r="I706" s="33"/>
      <c r="J706" s="32"/>
      <c r="K706" s="31"/>
    </row>
    <row r="707" spans="1:11" x14ac:dyDescent="0.2">
      <c r="A707" s="31"/>
      <c r="B707" s="31"/>
      <c r="C707" s="31"/>
      <c r="D707" s="31"/>
      <c r="E707" s="31"/>
      <c r="F707" s="31"/>
      <c r="G707" s="31"/>
      <c r="H707" s="32"/>
      <c r="I707" s="33"/>
      <c r="J707" s="32"/>
      <c r="K707" s="31"/>
    </row>
    <row r="708" spans="1:11" x14ac:dyDescent="0.2">
      <c r="A708" s="31"/>
      <c r="B708" s="31"/>
      <c r="C708" s="31"/>
      <c r="D708" s="31"/>
      <c r="E708" s="31"/>
      <c r="F708" s="31"/>
      <c r="G708" s="31"/>
      <c r="H708" s="32"/>
      <c r="I708" s="33"/>
      <c r="J708" s="32"/>
      <c r="K708" s="31"/>
    </row>
    <row r="709" spans="1:11" x14ac:dyDescent="0.2">
      <c r="A709" s="31"/>
      <c r="B709" s="31"/>
      <c r="C709" s="31"/>
      <c r="D709" s="31"/>
      <c r="E709" s="31"/>
      <c r="F709" s="31"/>
      <c r="G709" s="31"/>
      <c r="H709" s="32"/>
      <c r="I709" s="33"/>
      <c r="J709" s="32"/>
      <c r="K709" s="31"/>
    </row>
    <row r="710" spans="1:11" x14ac:dyDescent="0.2">
      <c r="A710" s="31"/>
      <c r="B710" s="31"/>
      <c r="C710" s="31"/>
      <c r="D710" s="31"/>
      <c r="E710" s="31"/>
      <c r="F710" s="31"/>
      <c r="G710" s="31"/>
      <c r="H710" s="32"/>
      <c r="I710" s="33"/>
      <c r="J710" s="32"/>
      <c r="K710" s="31"/>
    </row>
    <row r="711" spans="1:11" x14ac:dyDescent="0.2">
      <c r="A711" s="31"/>
      <c r="B711" s="31"/>
      <c r="C711" s="31"/>
      <c r="D711" s="31"/>
      <c r="E711" s="31"/>
      <c r="F711" s="31"/>
      <c r="G711" s="31"/>
      <c r="H711" s="32"/>
      <c r="I711" s="33"/>
      <c r="J711" s="32"/>
      <c r="K711" s="31"/>
    </row>
    <row r="712" spans="1:11" x14ac:dyDescent="0.2">
      <c r="A712" s="31"/>
      <c r="B712" s="31"/>
      <c r="C712" s="31"/>
      <c r="D712" s="31"/>
      <c r="E712" s="31"/>
      <c r="F712" s="31"/>
      <c r="G712" s="31"/>
      <c r="H712" s="32"/>
      <c r="I712" s="33"/>
      <c r="J712" s="32"/>
      <c r="K712" s="31"/>
    </row>
    <row r="713" spans="1:11" x14ac:dyDescent="0.2">
      <c r="A713" s="31"/>
      <c r="B713" s="31"/>
      <c r="C713" s="31"/>
      <c r="D713" s="31"/>
      <c r="E713" s="31"/>
      <c r="F713" s="31"/>
      <c r="G713" s="31"/>
      <c r="H713" s="32"/>
      <c r="I713" s="33"/>
      <c r="J713" s="32"/>
      <c r="K713" s="31"/>
    </row>
    <row r="714" spans="1:11" x14ac:dyDescent="0.2">
      <c r="A714" s="31"/>
      <c r="B714" s="31"/>
      <c r="C714" s="31"/>
      <c r="D714" s="31"/>
      <c r="E714" s="31"/>
      <c r="F714" s="31"/>
      <c r="G714" s="31"/>
      <c r="H714" s="32"/>
      <c r="I714" s="33"/>
      <c r="J714" s="32"/>
      <c r="K714" s="31"/>
    </row>
    <row r="715" spans="1:11" x14ac:dyDescent="0.2">
      <c r="A715" s="31"/>
      <c r="B715" s="31"/>
      <c r="C715" s="31"/>
      <c r="D715" s="31"/>
      <c r="E715" s="31"/>
      <c r="F715" s="31"/>
      <c r="G715" s="31"/>
      <c r="H715" s="32"/>
      <c r="I715" s="33"/>
      <c r="J715" s="32"/>
      <c r="K715" s="31"/>
    </row>
    <row r="716" spans="1:11" x14ac:dyDescent="0.2">
      <c r="A716" s="31"/>
      <c r="B716" s="31"/>
      <c r="C716" s="31"/>
      <c r="D716" s="31"/>
      <c r="E716" s="31"/>
      <c r="F716" s="31"/>
      <c r="G716" s="31"/>
      <c r="H716" s="32"/>
      <c r="I716" s="33"/>
      <c r="J716" s="32"/>
      <c r="K716" s="31"/>
    </row>
    <row r="717" spans="1:11" x14ac:dyDescent="0.2">
      <c r="A717" s="31"/>
      <c r="B717" s="31"/>
      <c r="C717" s="31"/>
      <c r="D717" s="31"/>
      <c r="E717" s="31"/>
      <c r="F717" s="31"/>
      <c r="G717" s="31"/>
      <c r="H717" s="32"/>
      <c r="I717" s="33"/>
      <c r="J717" s="32"/>
      <c r="K717" s="31"/>
    </row>
    <row r="718" spans="1:11" x14ac:dyDescent="0.2">
      <c r="A718" s="31"/>
      <c r="B718" s="31"/>
      <c r="C718" s="31"/>
      <c r="D718" s="31"/>
      <c r="E718" s="31"/>
      <c r="F718" s="31"/>
      <c r="G718" s="31"/>
      <c r="H718" s="32"/>
      <c r="I718" s="33"/>
      <c r="J718" s="32"/>
      <c r="K718" s="31"/>
    </row>
    <row r="719" spans="1:11" x14ac:dyDescent="0.2">
      <c r="A719" s="31"/>
      <c r="B719" s="31"/>
      <c r="C719" s="31"/>
      <c r="D719" s="31"/>
      <c r="E719" s="31"/>
      <c r="F719" s="31"/>
      <c r="G719" s="31"/>
      <c r="H719" s="32"/>
      <c r="I719" s="33"/>
      <c r="J719" s="32"/>
      <c r="K719" s="31"/>
    </row>
    <row r="720" spans="1:11" x14ac:dyDescent="0.2">
      <c r="A720" s="31"/>
      <c r="B720" s="31"/>
      <c r="C720" s="31"/>
      <c r="D720" s="31"/>
      <c r="E720" s="31"/>
      <c r="F720" s="31"/>
      <c r="G720" s="31"/>
      <c r="H720" s="32"/>
      <c r="I720" s="33"/>
      <c r="J720" s="32"/>
      <c r="K720" s="31"/>
    </row>
    <row r="721" spans="1:11" x14ac:dyDescent="0.2">
      <c r="A721" s="31"/>
      <c r="B721" s="31"/>
      <c r="C721" s="31"/>
      <c r="D721" s="31"/>
      <c r="E721" s="31"/>
      <c r="F721" s="31"/>
      <c r="G721" s="31"/>
      <c r="H721" s="32"/>
      <c r="I721" s="33"/>
      <c r="J721" s="32"/>
      <c r="K721" s="31"/>
    </row>
    <row r="722" spans="1:11" x14ac:dyDescent="0.2">
      <c r="A722" s="31"/>
      <c r="B722" s="31"/>
      <c r="C722" s="31"/>
      <c r="D722" s="31"/>
      <c r="E722" s="31"/>
      <c r="F722" s="31"/>
      <c r="G722" s="31"/>
      <c r="H722" s="32"/>
      <c r="I722" s="33"/>
      <c r="J722" s="32"/>
      <c r="K722" s="31"/>
    </row>
    <row r="723" spans="1:11" x14ac:dyDescent="0.2">
      <c r="A723" s="31"/>
      <c r="B723" s="31"/>
      <c r="C723" s="31"/>
      <c r="D723" s="31"/>
      <c r="E723" s="31"/>
      <c r="F723" s="31"/>
      <c r="G723" s="31"/>
      <c r="H723" s="32"/>
      <c r="I723" s="33"/>
      <c r="J723" s="32"/>
      <c r="K723" s="31"/>
    </row>
    <row r="724" spans="1:11" x14ac:dyDescent="0.2">
      <c r="A724" s="31"/>
      <c r="B724" s="31"/>
      <c r="C724" s="31"/>
      <c r="D724" s="31"/>
      <c r="E724" s="31"/>
      <c r="F724" s="31"/>
      <c r="G724" s="31"/>
      <c r="H724" s="32"/>
      <c r="I724" s="33"/>
      <c r="J724" s="32"/>
      <c r="K724" s="31"/>
    </row>
    <row r="725" spans="1:11" x14ac:dyDescent="0.2">
      <c r="A725" s="31"/>
      <c r="B725" s="31"/>
      <c r="C725" s="31"/>
      <c r="D725" s="31"/>
      <c r="E725" s="31"/>
      <c r="F725" s="31"/>
      <c r="G725" s="31"/>
      <c r="H725" s="32"/>
      <c r="I725" s="33"/>
      <c r="J725" s="32"/>
      <c r="K725" s="31"/>
    </row>
    <row r="726" spans="1:11" x14ac:dyDescent="0.2">
      <c r="A726" s="31"/>
      <c r="B726" s="31"/>
      <c r="C726" s="31"/>
      <c r="D726" s="31"/>
      <c r="E726" s="31"/>
      <c r="F726" s="31"/>
      <c r="G726" s="31"/>
      <c r="H726" s="32"/>
      <c r="I726" s="33"/>
      <c r="J726" s="32"/>
      <c r="K726" s="31"/>
    </row>
    <row r="727" spans="1:11" x14ac:dyDescent="0.2">
      <c r="A727" s="31"/>
      <c r="B727" s="31"/>
      <c r="C727" s="31"/>
      <c r="D727" s="31"/>
      <c r="E727" s="31"/>
      <c r="F727" s="31"/>
      <c r="G727" s="31"/>
      <c r="H727" s="32"/>
      <c r="I727" s="33"/>
      <c r="J727" s="32"/>
      <c r="K727" s="31"/>
    </row>
    <row r="728" spans="1:11" x14ac:dyDescent="0.2">
      <c r="A728" s="31"/>
      <c r="B728" s="31"/>
      <c r="C728" s="31"/>
      <c r="D728" s="31"/>
      <c r="E728" s="31"/>
      <c r="F728" s="31"/>
      <c r="G728" s="31"/>
      <c r="H728" s="32"/>
      <c r="I728" s="33"/>
      <c r="J728" s="32"/>
      <c r="K728" s="31"/>
    </row>
    <row r="729" spans="1:11" x14ac:dyDescent="0.2">
      <c r="A729" s="31"/>
      <c r="B729" s="31"/>
      <c r="C729" s="31"/>
      <c r="D729" s="31"/>
      <c r="E729" s="31"/>
      <c r="F729" s="31"/>
      <c r="G729" s="31"/>
      <c r="H729" s="32"/>
      <c r="I729" s="33"/>
      <c r="J729" s="32"/>
      <c r="K729" s="31"/>
    </row>
    <row r="730" spans="1:11" x14ac:dyDescent="0.2">
      <c r="A730" s="31"/>
      <c r="B730" s="31"/>
      <c r="C730" s="31"/>
      <c r="D730" s="31"/>
      <c r="E730" s="31"/>
      <c r="F730" s="31"/>
      <c r="G730" s="31"/>
      <c r="H730" s="32"/>
      <c r="I730" s="33"/>
      <c r="J730" s="32"/>
      <c r="K730" s="31"/>
    </row>
    <row r="731" spans="1:11" x14ac:dyDescent="0.2">
      <c r="A731" s="31"/>
      <c r="B731" s="31"/>
      <c r="C731" s="31"/>
      <c r="D731" s="31"/>
      <c r="E731" s="31"/>
      <c r="F731" s="31"/>
      <c r="G731" s="31"/>
      <c r="H731" s="32"/>
      <c r="I731" s="33"/>
      <c r="J731" s="32"/>
      <c r="K731" s="31"/>
    </row>
    <row r="732" spans="1:11" x14ac:dyDescent="0.2">
      <c r="A732" s="31"/>
      <c r="B732" s="31"/>
      <c r="C732" s="31"/>
      <c r="D732" s="31"/>
      <c r="E732" s="31"/>
      <c r="F732" s="31"/>
      <c r="G732" s="31"/>
      <c r="H732" s="32"/>
      <c r="I732" s="33"/>
      <c r="J732" s="32"/>
      <c r="K732" s="31"/>
    </row>
    <row r="733" spans="1:11" x14ac:dyDescent="0.2">
      <c r="A733" s="31"/>
      <c r="B733" s="31"/>
      <c r="C733" s="31"/>
      <c r="D733" s="31"/>
      <c r="E733" s="31"/>
      <c r="F733" s="31"/>
      <c r="G733" s="31"/>
      <c r="H733" s="32"/>
      <c r="I733" s="33"/>
      <c r="J733" s="32"/>
      <c r="K733" s="31"/>
    </row>
    <row r="734" spans="1:11" x14ac:dyDescent="0.2">
      <c r="A734" s="31"/>
      <c r="B734" s="31"/>
      <c r="C734" s="31"/>
      <c r="D734" s="31"/>
      <c r="E734" s="31"/>
      <c r="F734" s="31"/>
      <c r="G734" s="31"/>
      <c r="H734" s="32"/>
      <c r="I734" s="33"/>
      <c r="J734" s="32"/>
      <c r="K734" s="31"/>
    </row>
    <row r="735" spans="1:11" x14ac:dyDescent="0.2">
      <c r="A735" s="31"/>
      <c r="B735" s="31"/>
      <c r="C735" s="31"/>
      <c r="D735" s="31"/>
      <c r="E735" s="31"/>
      <c r="F735" s="31"/>
      <c r="G735" s="31"/>
      <c r="H735" s="32"/>
      <c r="I735" s="33"/>
      <c r="J735" s="32"/>
      <c r="K735" s="31"/>
    </row>
    <row r="736" spans="1:11" x14ac:dyDescent="0.2">
      <c r="A736" s="31"/>
      <c r="B736" s="31"/>
      <c r="C736" s="31"/>
      <c r="D736" s="31"/>
      <c r="E736" s="31"/>
      <c r="F736" s="31"/>
      <c r="G736" s="31"/>
      <c r="H736" s="32"/>
      <c r="I736" s="33"/>
      <c r="J736" s="32"/>
      <c r="K736" s="31"/>
    </row>
    <row r="737" spans="1:11" x14ac:dyDescent="0.2">
      <c r="A737" s="31"/>
      <c r="B737" s="31"/>
      <c r="C737" s="31"/>
      <c r="D737" s="31"/>
      <c r="E737" s="31"/>
      <c r="F737" s="31"/>
      <c r="G737" s="31"/>
      <c r="H737" s="32"/>
      <c r="I737" s="33"/>
      <c r="J737" s="32"/>
      <c r="K737" s="31"/>
    </row>
    <row r="738" spans="1:11" x14ac:dyDescent="0.2">
      <c r="A738" s="31"/>
      <c r="B738" s="31"/>
      <c r="C738" s="31"/>
      <c r="D738" s="31"/>
      <c r="E738" s="31"/>
      <c r="F738" s="31"/>
      <c r="G738" s="31"/>
      <c r="H738" s="32"/>
      <c r="I738" s="33"/>
      <c r="J738" s="32"/>
      <c r="K738" s="31"/>
    </row>
    <row r="739" spans="1:11" x14ac:dyDescent="0.2">
      <c r="A739" s="31"/>
      <c r="B739" s="31"/>
      <c r="C739" s="31"/>
      <c r="D739" s="31"/>
      <c r="E739" s="31"/>
      <c r="F739" s="31"/>
      <c r="G739" s="31"/>
      <c r="H739" s="32"/>
      <c r="I739" s="33"/>
      <c r="J739" s="32"/>
      <c r="K739" s="31"/>
    </row>
    <row r="740" spans="1:11" x14ac:dyDescent="0.2">
      <c r="A740" s="31"/>
      <c r="B740" s="31"/>
      <c r="C740" s="31"/>
      <c r="D740" s="31"/>
      <c r="E740" s="31"/>
      <c r="F740" s="31"/>
      <c r="G740" s="31"/>
      <c r="H740" s="32"/>
      <c r="I740" s="33"/>
      <c r="J740" s="32"/>
      <c r="K740" s="31"/>
    </row>
    <row r="741" spans="1:11" x14ac:dyDescent="0.2">
      <c r="A741" s="31"/>
      <c r="B741" s="31"/>
      <c r="C741" s="31"/>
      <c r="D741" s="31"/>
      <c r="E741" s="31"/>
      <c r="F741" s="31"/>
      <c r="G741" s="31"/>
      <c r="H741" s="32"/>
      <c r="I741" s="33"/>
      <c r="J741" s="32"/>
      <c r="K741" s="31"/>
    </row>
    <row r="742" spans="1:11" x14ac:dyDescent="0.2">
      <c r="A742" s="31"/>
      <c r="B742" s="31"/>
      <c r="C742" s="31"/>
      <c r="D742" s="31"/>
      <c r="E742" s="31"/>
      <c r="F742" s="31"/>
      <c r="G742" s="31"/>
      <c r="H742" s="32"/>
      <c r="I742" s="33"/>
      <c r="J742" s="32"/>
      <c r="K742" s="31"/>
    </row>
    <row r="743" spans="1:11" x14ac:dyDescent="0.2">
      <c r="A743" s="31"/>
      <c r="B743" s="31"/>
      <c r="C743" s="31"/>
      <c r="D743" s="31"/>
      <c r="E743" s="31"/>
      <c r="F743" s="31"/>
      <c r="G743" s="31"/>
      <c r="H743" s="32"/>
      <c r="I743" s="33"/>
      <c r="J743" s="32"/>
      <c r="K743" s="31"/>
    </row>
    <row r="744" spans="1:11" x14ac:dyDescent="0.2">
      <c r="A744" s="31"/>
      <c r="B744" s="31"/>
      <c r="C744" s="31"/>
      <c r="D744" s="31"/>
      <c r="E744" s="31"/>
      <c r="F744" s="31"/>
      <c r="G744" s="31"/>
      <c r="H744" s="32"/>
      <c r="I744" s="33"/>
      <c r="J744" s="32"/>
      <c r="K744" s="31"/>
    </row>
    <row r="745" spans="1:11" x14ac:dyDescent="0.2">
      <c r="A745" s="31"/>
      <c r="B745" s="31"/>
      <c r="C745" s="31"/>
      <c r="D745" s="31"/>
      <c r="E745" s="31"/>
      <c r="F745" s="31"/>
      <c r="G745" s="31"/>
      <c r="H745" s="32"/>
      <c r="I745" s="33"/>
      <c r="J745" s="32"/>
      <c r="K745" s="31"/>
    </row>
    <row r="746" spans="1:11" x14ac:dyDescent="0.2">
      <c r="A746" s="31"/>
      <c r="B746" s="31"/>
      <c r="C746" s="31"/>
      <c r="D746" s="31"/>
      <c r="E746" s="31"/>
      <c r="F746" s="31"/>
      <c r="G746" s="31"/>
      <c r="H746" s="32"/>
      <c r="I746" s="33"/>
      <c r="J746" s="32"/>
      <c r="K746" s="31"/>
    </row>
    <row r="747" spans="1:11" x14ac:dyDescent="0.2">
      <c r="A747" s="31"/>
      <c r="B747" s="31"/>
      <c r="C747" s="31"/>
      <c r="D747" s="31"/>
      <c r="E747" s="31"/>
      <c r="F747" s="31"/>
      <c r="G747" s="31"/>
      <c r="H747" s="32"/>
      <c r="I747" s="33"/>
      <c r="J747" s="32"/>
      <c r="K747" s="31"/>
    </row>
    <row r="748" spans="1:11" x14ac:dyDescent="0.2">
      <c r="A748" s="31"/>
      <c r="B748" s="31"/>
      <c r="C748" s="31"/>
      <c r="D748" s="31"/>
      <c r="E748" s="31"/>
      <c r="F748" s="31"/>
      <c r="G748" s="31"/>
      <c r="H748" s="32"/>
      <c r="I748" s="33"/>
      <c r="J748" s="32"/>
      <c r="K748" s="31"/>
    </row>
    <row r="749" spans="1:11" x14ac:dyDescent="0.2">
      <c r="A749" s="31"/>
      <c r="B749" s="31"/>
      <c r="C749" s="31"/>
      <c r="D749" s="31"/>
      <c r="E749" s="31"/>
      <c r="F749" s="31"/>
      <c r="G749" s="31"/>
      <c r="H749" s="32"/>
      <c r="I749" s="33"/>
      <c r="J749" s="32"/>
      <c r="K749" s="31"/>
    </row>
    <row r="750" spans="1:11" x14ac:dyDescent="0.2">
      <c r="A750" s="31"/>
      <c r="B750" s="31"/>
      <c r="C750" s="31"/>
      <c r="D750" s="31"/>
      <c r="E750" s="31"/>
      <c r="F750" s="31"/>
      <c r="G750" s="31"/>
      <c r="H750" s="32"/>
      <c r="I750" s="33"/>
      <c r="J750" s="32"/>
      <c r="K750" s="31"/>
    </row>
    <row r="751" spans="1:11" x14ac:dyDescent="0.2">
      <c r="A751" s="31"/>
      <c r="B751" s="31"/>
      <c r="C751" s="31"/>
      <c r="D751" s="31"/>
      <c r="E751" s="31"/>
      <c r="F751" s="31"/>
      <c r="G751" s="31"/>
      <c r="H751" s="32"/>
      <c r="I751" s="33"/>
      <c r="J751" s="32"/>
      <c r="K751" s="31"/>
    </row>
    <row r="752" spans="1:11" x14ac:dyDescent="0.2">
      <c r="A752" s="31"/>
      <c r="B752" s="31"/>
      <c r="C752" s="31"/>
      <c r="D752" s="31"/>
      <c r="E752" s="31"/>
      <c r="F752" s="31"/>
      <c r="G752" s="31"/>
      <c r="H752" s="32"/>
      <c r="I752" s="33"/>
      <c r="J752" s="32"/>
      <c r="K752" s="31"/>
    </row>
    <row r="753" spans="1:11" x14ac:dyDescent="0.2">
      <c r="A753" s="31"/>
      <c r="B753" s="31"/>
      <c r="C753" s="31"/>
      <c r="D753" s="31"/>
      <c r="E753" s="31"/>
      <c r="F753" s="31"/>
      <c r="G753" s="31"/>
      <c r="H753" s="32"/>
      <c r="I753" s="33"/>
      <c r="J753" s="32"/>
      <c r="K753" s="31"/>
    </row>
    <row r="754" spans="1:11" x14ac:dyDescent="0.2">
      <c r="A754" s="31"/>
      <c r="B754" s="31"/>
      <c r="C754" s="31"/>
      <c r="D754" s="31"/>
      <c r="E754" s="31"/>
      <c r="F754" s="31"/>
      <c r="G754" s="31"/>
      <c r="H754" s="32"/>
      <c r="I754" s="33"/>
      <c r="J754" s="32"/>
      <c r="K754" s="31"/>
    </row>
    <row r="755" spans="1:11" x14ac:dyDescent="0.2">
      <c r="A755" s="31"/>
      <c r="B755" s="31"/>
      <c r="C755" s="31"/>
      <c r="D755" s="31"/>
      <c r="E755" s="31"/>
      <c r="F755" s="31"/>
      <c r="G755" s="31"/>
      <c r="H755" s="32"/>
      <c r="I755" s="33"/>
      <c r="J755" s="32"/>
      <c r="K755" s="31"/>
    </row>
    <row r="756" spans="1:11" x14ac:dyDescent="0.2">
      <c r="A756" s="31"/>
      <c r="B756" s="31"/>
      <c r="C756" s="31"/>
      <c r="D756" s="31"/>
      <c r="E756" s="31"/>
      <c r="F756" s="31"/>
      <c r="G756" s="31"/>
      <c r="H756" s="32"/>
      <c r="I756" s="33"/>
      <c r="J756" s="32"/>
      <c r="K756" s="31"/>
    </row>
    <row r="757" spans="1:11" x14ac:dyDescent="0.2">
      <c r="A757" s="31"/>
      <c r="B757" s="31"/>
      <c r="C757" s="31"/>
      <c r="D757" s="31"/>
      <c r="E757" s="31"/>
      <c r="F757" s="31"/>
      <c r="G757" s="31"/>
      <c r="H757" s="32"/>
      <c r="I757" s="33"/>
      <c r="J757" s="32"/>
      <c r="K757" s="31"/>
    </row>
    <row r="758" spans="1:11" x14ac:dyDescent="0.2">
      <c r="A758" s="31"/>
      <c r="B758" s="31"/>
      <c r="C758" s="31"/>
      <c r="D758" s="31"/>
      <c r="E758" s="31"/>
      <c r="F758" s="31"/>
      <c r="G758" s="31"/>
      <c r="H758" s="32"/>
      <c r="I758" s="33"/>
      <c r="J758" s="32"/>
      <c r="K758" s="31"/>
    </row>
    <row r="759" spans="1:11" x14ac:dyDescent="0.2">
      <c r="A759" s="31"/>
      <c r="B759" s="31"/>
      <c r="C759" s="31"/>
      <c r="D759" s="31"/>
      <c r="E759" s="31"/>
      <c r="F759" s="31"/>
      <c r="G759" s="31"/>
      <c r="H759" s="32"/>
      <c r="I759" s="33"/>
      <c r="J759" s="32"/>
      <c r="K759" s="31"/>
    </row>
    <row r="760" spans="1:11" x14ac:dyDescent="0.2">
      <c r="A760" s="31"/>
      <c r="B760" s="31"/>
      <c r="C760" s="31"/>
      <c r="D760" s="31"/>
      <c r="E760" s="31"/>
      <c r="F760" s="31"/>
      <c r="G760" s="31"/>
      <c r="H760" s="32"/>
      <c r="I760" s="33"/>
      <c r="J760" s="32"/>
      <c r="K760" s="31"/>
    </row>
    <row r="761" spans="1:11" x14ac:dyDescent="0.2">
      <c r="A761" s="31"/>
      <c r="B761" s="31"/>
      <c r="C761" s="31"/>
      <c r="D761" s="31"/>
      <c r="E761" s="31"/>
      <c r="F761" s="31"/>
      <c r="G761" s="31"/>
      <c r="H761" s="32"/>
      <c r="I761" s="33"/>
      <c r="J761" s="32"/>
      <c r="K761" s="31"/>
    </row>
    <row r="762" spans="1:11" x14ac:dyDescent="0.2">
      <c r="A762" s="31"/>
      <c r="B762" s="31"/>
      <c r="C762" s="31"/>
      <c r="D762" s="31"/>
      <c r="E762" s="31"/>
      <c r="F762" s="31"/>
      <c r="G762" s="31"/>
      <c r="H762" s="32"/>
      <c r="I762" s="33"/>
      <c r="J762" s="32"/>
      <c r="K762" s="31"/>
    </row>
    <row r="763" spans="1:11" x14ac:dyDescent="0.2">
      <c r="A763" s="31"/>
      <c r="B763" s="31"/>
      <c r="C763" s="31"/>
      <c r="D763" s="31"/>
      <c r="E763" s="31"/>
      <c r="F763" s="31"/>
      <c r="G763" s="31"/>
      <c r="H763" s="32"/>
      <c r="I763" s="33"/>
      <c r="J763" s="32"/>
      <c r="K763" s="31"/>
    </row>
    <row r="764" spans="1:11" x14ac:dyDescent="0.2">
      <c r="A764" s="31"/>
      <c r="B764" s="31"/>
      <c r="C764" s="31"/>
      <c r="D764" s="31"/>
      <c r="E764" s="31"/>
      <c r="F764" s="31"/>
      <c r="G764" s="31"/>
      <c r="H764" s="32"/>
      <c r="I764" s="33"/>
      <c r="J764" s="32"/>
      <c r="K764" s="31"/>
    </row>
    <row r="765" spans="1:11" x14ac:dyDescent="0.2">
      <c r="A765" s="31"/>
      <c r="B765" s="31"/>
      <c r="C765" s="31"/>
      <c r="D765" s="31"/>
      <c r="E765" s="31"/>
      <c r="F765" s="31"/>
      <c r="G765" s="31"/>
      <c r="H765" s="32"/>
      <c r="I765" s="33"/>
      <c r="J765" s="32"/>
      <c r="K765" s="31"/>
    </row>
    <row r="766" spans="1:11" x14ac:dyDescent="0.2">
      <c r="A766" s="31"/>
      <c r="B766" s="31"/>
      <c r="C766" s="31"/>
      <c r="D766" s="31"/>
      <c r="E766" s="31"/>
      <c r="F766" s="31"/>
      <c r="G766" s="31"/>
      <c r="H766" s="32"/>
      <c r="I766" s="33"/>
      <c r="J766" s="32"/>
      <c r="K766" s="31"/>
    </row>
    <row r="767" spans="1:11" x14ac:dyDescent="0.2">
      <c r="A767" s="31"/>
      <c r="B767" s="31"/>
      <c r="C767" s="31"/>
      <c r="D767" s="31"/>
      <c r="E767" s="31"/>
      <c r="F767" s="31"/>
      <c r="G767" s="31"/>
      <c r="H767" s="32"/>
      <c r="I767" s="33"/>
      <c r="J767" s="32"/>
      <c r="K767" s="31"/>
    </row>
    <row r="768" spans="1:11" x14ac:dyDescent="0.2">
      <c r="A768" s="31"/>
      <c r="B768" s="31"/>
      <c r="C768" s="31"/>
      <c r="D768" s="31"/>
      <c r="E768" s="31"/>
      <c r="F768" s="31"/>
      <c r="G768" s="31"/>
      <c r="H768" s="32"/>
      <c r="I768" s="33"/>
      <c r="J768" s="32"/>
      <c r="K768" s="31"/>
    </row>
    <row r="769" spans="1:11" x14ac:dyDescent="0.2">
      <c r="A769" s="31"/>
      <c r="B769" s="31"/>
      <c r="C769" s="31"/>
      <c r="D769" s="31"/>
      <c r="E769" s="31"/>
      <c r="F769" s="31"/>
      <c r="G769" s="31"/>
      <c r="H769" s="32"/>
      <c r="I769" s="33"/>
      <c r="J769" s="32"/>
      <c r="K769" s="31"/>
    </row>
    <row r="770" spans="1:11" x14ac:dyDescent="0.2">
      <c r="A770" s="31"/>
      <c r="B770" s="31"/>
      <c r="C770" s="31"/>
      <c r="D770" s="31"/>
      <c r="E770" s="31"/>
      <c r="F770" s="31"/>
      <c r="G770" s="31"/>
      <c r="H770" s="32"/>
      <c r="I770" s="33"/>
      <c r="J770" s="32"/>
      <c r="K770" s="31"/>
    </row>
    <row r="771" spans="1:11" x14ac:dyDescent="0.2">
      <c r="A771" s="31"/>
      <c r="B771" s="31"/>
      <c r="C771" s="31"/>
      <c r="D771" s="31"/>
      <c r="E771" s="31"/>
      <c r="F771" s="31"/>
      <c r="G771" s="31"/>
      <c r="H771" s="32"/>
      <c r="I771" s="33"/>
      <c r="J771" s="32"/>
      <c r="K771" s="31"/>
    </row>
    <row r="772" spans="1:11" x14ac:dyDescent="0.2">
      <c r="A772" s="31"/>
      <c r="B772" s="31"/>
      <c r="C772" s="31"/>
      <c r="D772" s="31"/>
      <c r="E772" s="31"/>
      <c r="F772" s="31"/>
      <c r="G772" s="31"/>
      <c r="H772" s="32"/>
      <c r="I772" s="33"/>
      <c r="J772" s="32"/>
      <c r="K772" s="31"/>
    </row>
    <row r="773" spans="1:11" x14ac:dyDescent="0.2">
      <c r="A773" s="31"/>
      <c r="B773" s="31"/>
      <c r="C773" s="31"/>
      <c r="D773" s="31"/>
      <c r="E773" s="31"/>
      <c r="F773" s="31"/>
      <c r="G773" s="31"/>
      <c r="H773" s="32"/>
      <c r="I773" s="33"/>
      <c r="J773" s="32"/>
      <c r="K773" s="31"/>
    </row>
    <row r="774" spans="1:11" x14ac:dyDescent="0.2">
      <c r="A774" s="31"/>
      <c r="B774" s="31"/>
      <c r="C774" s="31"/>
      <c r="D774" s="31"/>
      <c r="E774" s="31"/>
      <c r="F774" s="31"/>
      <c r="G774" s="31"/>
      <c r="H774" s="32"/>
      <c r="I774" s="33"/>
      <c r="J774" s="32"/>
      <c r="K774" s="31"/>
    </row>
    <row r="775" spans="1:11" x14ac:dyDescent="0.2">
      <c r="A775" s="31"/>
      <c r="B775" s="31"/>
      <c r="C775" s="31"/>
      <c r="D775" s="31"/>
      <c r="E775" s="31"/>
      <c r="F775" s="31"/>
      <c r="G775" s="31"/>
      <c r="H775" s="32"/>
      <c r="I775" s="33"/>
      <c r="J775" s="32"/>
      <c r="K775" s="31"/>
    </row>
    <row r="776" spans="1:11" x14ac:dyDescent="0.2">
      <c r="A776" s="31"/>
      <c r="B776" s="31"/>
      <c r="C776" s="31"/>
      <c r="D776" s="31"/>
      <c r="E776" s="31"/>
      <c r="F776" s="31"/>
      <c r="G776" s="31"/>
      <c r="H776" s="32"/>
      <c r="I776" s="33"/>
      <c r="J776" s="32"/>
      <c r="K776" s="31"/>
    </row>
    <row r="777" spans="1:11" x14ac:dyDescent="0.2">
      <c r="A777" s="31"/>
      <c r="B777" s="31"/>
      <c r="C777" s="31"/>
      <c r="D777" s="31"/>
      <c r="E777" s="31"/>
      <c r="F777" s="31"/>
      <c r="G777" s="31"/>
      <c r="H777" s="32"/>
      <c r="I777" s="33"/>
      <c r="J777" s="32"/>
      <c r="K777" s="31"/>
    </row>
    <row r="778" spans="1:11" x14ac:dyDescent="0.2">
      <c r="A778" s="31"/>
      <c r="B778" s="31"/>
      <c r="C778" s="31"/>
      <c r="D778" s="31"/>
      <c r="E778" s="31"/>
      <c r="F778" s="31"/>
      <c r="G778" s="31"/>
      <c r="H778" s="32"/>
      <c r="I778" s="33"/>
      <c r="J778" s="32"/>
      <c r="K778" s="31"/>
    </row>
    <row r="779" spans="1:11" x14ac:dyDescent="0.2">
      <c r="A779" s="31"/>
      <c r="B779" s="31"/>
      <c r="C779" s="31"/>
      <c r="D779" s="31"/>
      <c r="E779" s="31"/>
      <c r="F779" s="31"/>
      <c r="G779" s="31"/>
      <c r="H779" s="32"/>
      <c r="I779" s="33"/>
      <c r="J779" s="32"/>
      <c r="K779" s="31"/>
    </row>
    <row r="780" spans="1:11" x14ac:dyDescent="0.2">
      <c r="A780" s="31"/>
      <c r="B780" s="31"/>
      <c r="C780" s="31"/>
      <c r="D780" s="31"/>
      <c r="E780" s="31"/>
      <c r="F780" s="31"/>
      <c r="G780" s="31"/>
      <c r="H780" s="32"/>
      <c r="I780" s="33"/>
      <c r="J780" s="32"/>
      <c r="K780" s="31"/>
    </row>
    <row r="781" spans="1:11" x14ac:dyDescent="0.2">
      <c r="A781" s="31"/>
      <c r="B781" s="31"/>
      <c r="C781" s="31"/>
      <c r="D781" s="31"/>
      <c r="E781" s="31"/>
      <c r="F781" s="31"/>
      <c r="G781" s="31"/>
      <c r="H781" s="32"/>
      <c r="I781" s="33"/>
      <c r="J781" s="32"/>
      <c r="K781" s="31"/>
    </row>
    <row r="782" spans="1:11" x14ac:dyDescent="0.2">
      <c r="A782" s="31"/>
      <c r="B782" s="31"/>
      <c r="C782" s="31"/>
      <c r="D782" s="31"/>
      <c r="E782" s="31"/>
      <c r="F782" s="31"/>
      <c r="G782" s="31"/>
      <c r="H782" s="32"/>
      <c r="I782" s="33"/>
      <c r="J782" s="32"/>
      <c r="K782" s="31"/>
    </row>
    <row r="783" spans="1:11" x14ac:dyDescent="0.2">
      <c r="A783" s="31"/>
      <c r="B783" s="31"/>
      <c r="C783" s="31"/>
      <c r="D783" s="31"/>
      <c r="E783" s="31"/>
      <c r="F783" s="31"/>
      <c r="G783" s="31"/>
      <c r="H783" s="32"/>
      <c r="I783" s="33"/>
      <c r="J783" s="32"/>
      <c r="K783" s="31"/>
    </row>
    <row r="784" spans="1:11" x14ac:dyDescent="0.2">
      <c r="A784" s="31"/>
      <c r="B784" s="31"/>
      <c r="C784" s="31"/>
      <c r="D784" s="31"/>
      <c r="E784" s="31"/>
      <c r="F784" s="31"/>
      <c r="G784" s="31"/>
      <c r="H784" s="32"/>
      <c r="I784" s="33"/>
      <c r="J784" s="32"/>
      <c r="K784" s="31"/>
    </row>
    <row r="785" spans="1:11" x14ac:dyDescent="0.2">
      <c r="A785" s="31"/>
      <c r="B785" s="31"/>
      <c r="C785" s="31"/>
      <c r="D785" s="31"/>
      <c r="E785" s="31"/>
      <c r="F785" s="31"/>
      <c r="G785" s="31"/>
      <c r="H785" s="32"/>
      <c r="I785" s="33"/>
      <c r="J785" s="32"/>
      <c r="K785" s="31"/>
    </row>
    <row r="786" spans="1:11" x14ac:dyDescent="0.2">
      <c r="A786" s="31"/>
      <c r="B786" s="31"/>
      <c r="C786" s="31"/>
      <c r="D786" s="31"/>
      <c r="E786" s="31"/>
      <c r="F786" s="31"/>
      <c r="G786" s="31"/>
      <c r="H786" s="32"/>
      <c r="I786" s="33"/>
      <c r="J786" s="32"/>
      <c r="K786" s="31"/>
    </row>
    <row r="787" spans="1:11" x14ac:dyDescent="0.2">
      <c r="A787" s="31"/>
      <c r="B787" s="31"/>
      <c r="C787" s="31"/>
      <c r="D787" s="31"/>
      <c r="E787" s="31"/>
      <c r="F787" s="31"/>
      <c r="G787" s="31"/>
      <c r="H787" s="32"/>
      <c r="I787" s="33"/>
      <c r="J787" s="32"/>
      <c r="K787" s="31"/>
    </row>
    <row r="788" spans="1:11" x14ac:dyDescent="0.2">
      <c r="A788" s="31"/>
      <c r="B788" s="31"/>
      <c r="C788" s="31"/>
      <c r="D788" s="31"/>
      <c r="E788" s="31"/>
      <c r="F788" s="31"/>
      <c r="G788" s="31"/>
      <c r="H788" s="32"/>
      <c r="I788" s="33"/>
      <c r="J788" s="32"/>
      <c r="K788" s="31"/>
    </row>
    <row r="789" spans="1:11" x14ac:dyDescent="0.2">
      <c r="A789" s="31"/>
      <c r="B789" s="31"/>
      <c r="C789" s="31"/>
      <c r="D789" s="31"/>
      <c r="E789" s="31"/>
      <c r="F789" s="31"/>
      <c r="G789" s="31"/>
      <c r="H789" s="32"/>
      <c r="I789" s="33"/>
      <c r="J789" s="32"/>
      <c r="K789" s="31"/>
    </row>
    <row r="790" spans="1:11" x14ac:dyDescent="0.2">
      <c r="A790" s="31"/>
      <c r="B790" s="31"/>
      <c r="C790" s="31"/>
      <c r="D790" s="31"/>
      <c r="E790" s="31"/>
      <c r="F790" s="31"/>
      <c r="G790" s="31"/>
      <c r="H790" s="32"/>
      <c r="I790" s="33"/>
      <c r="J790" s="32"/>
      <c r="K790" s="31"/>
    </row>
    <row r="791" spans="1:11" x14ac:dyDescent="0.2">
      <c r="A791" s="31"/>
      <c r="B791" s="31"/>
      <c r="C791" s="31"/>
      <c r="D791" s="31"/>
      <c r="E791" s="31"/>
      <c r="F791" s="31"/>
      <c r="G791" s="31"/>
      <c r="H791" s="32"/>
      <c r="I791" s="33"/>
      <c r="J791" s="32"/>
      <c r="K791" s="31"/>
    </row>
    <row r="792" spans="1:11" x14ac:dyDescent="0.2">
      <c r="A792" s="31"/>
      <c r="B792" s="31"/>
      <c r="C792" s="31"/>
      <c r="D792" s="31"/>
      <c r="E792" s="31"/>
      <c r="F792" s="31"/>
      <c r="G792" s="31"/>
      <c r="H792" s="32"/>
      <c r="I792" s="33"/>
      <c r="J792" s="32"/>
      <c r="K792" s="31"/>
    </row>
    <row r="793" spans="1:11" x14ac:dyDescent="0.2">
      <c r="A793" s="31"/>
      <c r="B793" s="31"/>
      <c r="C793" s="31"/>
      <c r="D793" s="31"/>
      <c r="E793" s="31"/>
      <c r="F793" s="31"/>
      <c r="G793" s="31"/>
      <c r="H793" s="32"/>
      <c r="I793" s="33"/>
      <c r="J793" s="32"/>
      <c r="K793" s="31"/>
    </row>
    <row r="794" spans="1:11" x14ac:dyDescent="0.2">
      <c r="A794" s="31"/>
      <c r="B794" s="31"/>
      <c r="C794" s="31"/>
      <c r="D794" s="31"/>
      <c r="E794" s="31"/>
      <c r="F794" s="31"/>
      <c r="G794" s="31"/>
      <c r="H794" s="32"/>
      <c r="I794" s="33"/>
      <c r="J794" s="32"/>
      <c r="K794" s="31"/>
    </row>
    <row r="795" spans="1:11" x14ac:dyDescent="0.2">
      <c r="A795" s="31"/>
      <c r="B795" s="31"/>
      <c r="C795" s="31"/>
      <c r="D795" s="31"/>
      <c r="E795" s="31"/>
      <c r="F795" s="31"/>
      <c r="G795" s="31"/>
      <c r="H795" s="32"/>
      <c r="I795" s="33"/>
      <c r="J795" s="32"/>
      <c r="K795" s="31"/>
    </row>
    <row r="796" spans="1:11" x14ac:dyDescent="0.2">
      <c r="A796" s="31"/>
      <c r="B796" s="31"/>
      <c r="C796" s="31"/>
      <c r="D796" s="31"/>
      <c r="E796" s="31"/>
      <c r="F796" s="31"/>
      <c r="G796" s="31"/>
      <c r="H796" s="32"/>
      <c r="I796" s="33"/>
      <c r="J796" s="32"/>
      <c r="K796" s="31"/>
    </row>
    <row r="797" spans="1:11" x14ac:dyDescent="0.2">
      <c r="A797" s="31"/>
      <c r="B797" s="31"/>
      <c r="C797" s="31"/>
      <c r="D797" s="31"/>
      <c r="E797" s="31"/>
      <c r="F797" s="31"/>
      <c r="G797" s="31"/>
      <c r="H797" s="32"/>
      <c r="I797" s="33"/>
      <c r="J797" s="32"/>
      <c r="K797" s="31"/>
    </row>
    <row r="798" spans="1:11" x14ac:dyDescent="0.2">
      <c r="A798" s="31"/>
      <c r="B798" s="31"/>
      <c r="C798" s="31"/>
      <c r="D798" s="31"/>
      <c r="E798" s="31"/>
      <c r="F798" s="31"/>
      <c r="G798" s="31"/>
      <c r="H798" s="32"/>
      <c r="I798" s="33"/>
      <c r="J798" s="32"/>
      <c r="K798" s="31"/>
    </row>
    <row r="799" spans="1:11" x14ac:dyDescent="0.2">
      <c r="A799" s="31"/>
      <c r="B799" s="31"/>
      <c r="C799" s="31"/>
      <c r="D799" s="31"/>
      <c r="E799" s="31"/>
      <c r="F799" s="31"/>
      <c r="G799" s="31"/>
      <c r="H799" s="32"/>
      <c r="I799" s="33"/>
      <c r="J799" s="32"/>
      <c r="K799" s="31"/>
    </row>
    <row r="800" spans="1:11" x14ac:dyDescent="0.2">
      <c r="A800" s="31"/>
      <c r="B800" s="31"/>
      <c r="C800" s="31"/>
      <c r="D800" s="31"/>
      <c r="E800" s="31"/>
      <c r="F800" s="31"/>
      <c r="G800" s="31"/>
      <c r="H800" s="32"/>
      <c r="I800" s="33"/>
      <c r="J800" s="32"/>
      <c r="K800" s="31"/>
    </row>
    <row r="801" spans="1:11" x14ac:dyDescent="0.2">
      <c r="A801" s="31"/>
      <c r="B801" s="31"/>
      <c r="C801" s="31"/>
      <c r="D801" s="31"/>
      <c r="E801" s="31"/>
      <c r="F801" s="31"/>
      <c r="G801" s="31"/>
      <c r="H801" s="32"/>
      <c r="I801" s="33"/>
      <c r="J801" s="32"/>
      <c r="K801" s="31"/>
    </row>
    <row r="802" spans="1:11" x14ac:dyDescent="0.2">
      <c r="A802" s="31"/>
      <c r="B802" s="31"/>
      <c r="C802" s="31"/>
      <c r="D802" s="31"/>
      <c r="E802" s="31"/>
      <c r="F802" s="31"/>
      <c r="G802" s="31"/>
      <c r="H802" s="32"/>
      <c r="I802" s="33"/>
      <c r="J802" s="32"/>
      <c r="K802" s="31"/>
    </row>
    <row r="803" spans="1:11" x14ac:dyDescent="0.2">
      <c r="A803" s="31"/>
      <c r="B803" s="31"/>
      <c r="C803" s="31"/>
      <c r="D803" s="31"/>
      <c r="E803" s="31"/>
      <c r="F803" s="31"/>
      <c r="G803" s="31"/>
      <c r="H803" s="32"/>
      <c r="I803" s="33"/>
      <c r="J803" s="32"/>
      <c r="K803" s="31"/>
    </row>
    <row r="804" spans="1:11" x14ac:dyDescent="0.2">
      <c r="A804" s="31"/>
      <c r="B804" s="31"/>
      <c r="C804" s="31"/>
      <c r="D804" s="31"/>
      <c r="E804" s="31"/>
      <c r="F804" s="31"/>
      <c r="G804" s="31"/>
      <c r="H804" s="32"/>
      <c r="I804" s="33"/>
      <c r="J804" s="32"/>
      <c r="K804" s="31"/>
    </row>
    <row r="805" spans="1:11" x14ac:dyDescent="0.2">
      <c r="A805" s="31"/>
      <c r="B805" s="31"/>
      <c r="C805" s="31"/>
      <c r="D805" s="31"/>
      <c r="E805" s="31"/>
      <c r="F805" s="31"/>
      <c r="G805" s="31"/>
      <c r="H805" s="32"/>
      <c r="I805" s="33"/>
      <c r="J805" s="32"/>
      <c r="K805" s="31"/>
    </row>
    <row r="806" spans="1:11" x14ac:dyDescent="0.2">
      <c r="A806" s="31"/>
      <c r="B806" s="31"/>
      <c r="C806" s="31"/>
      <c r="D806" s="31"/>
      <c r="E806" s="31"/>
      <c r="F806" s="31"/>
      <c r="G806" s="31"/>
      <c r="H806" s="32"/>
      <c r="I806" s="33"/>
      <c r="J806" s="32"/>
      <c r="K806" s="31"/>
    </row>
    <row r="807" spans="1:11" x14ac:dyDescent="0.2">
      <c r="A807" s="31"/>
      <c r="B807" s="31"/>
      <c r="C807" s="31"/>
      <c r="D807" s="31"/>
      <c r="E807" s="31"/>
      <c r="F807" s="31"/>
      <c r="G807" s="31"/>
      <c r="H807" s="32"/>
      <c r="I807" s="33"/>
      <c r="J807" s="32"/>
      <c r="K807" s="31"/>
    </row>
    <row r="808" spans="1:11" x14ac:dyDescent="0.2">
      <c r="A808" s="31"/>
      <c r="B808" s="31"/>
      <c r="C808" s="31"/>
      <c r="D808" s="31"/>
      <c r="E808" s="31"/>
      <c r="F808" s="31"/>
      <c r="G808" s="31"/>
      <c r="H808" s="32"/>
      <c r="I808" s="33"/>
      <c r="J808" s="32"/>
      <c r="K808" s="31"/>
    </row>
    <row r="809" spans="1:11" x14ac:dyDescent="0.2">
      <c r="A809" s="31"/>
      <c r="B809" s="31"/>
      <c r="C809" s="31"/>
      <c r="D809" s="31"/>
      <c r="E809" s="31"/>
      <c r="F809" s="31"/>
      <c r="G809" s="31"/>
      <c r="H809" s="32"/>
      <c r="I809" s="33"/>
      <c r="J809" s="32"/>
      <c r="K809" s="31"/>
    </row>
    <row r="810" spans="1:11" x14ac:dyDescent="0.2">
      <c r="A810" s="31"/>
      <c r="B810" s="31"/>
      <c r="C810" s="31"/>
      <c r="D810" s="31"/>
      <c r="E810" s="31"/>
      <c r="F810" s="31"/>
      <c r="G810" s="31"/>
      <c r="H810" s="32"/>
      <c r="I810" s="33"/>
      <c r="J810" s="32"/>
      <c r="K810" s="31"/>
    </row>
    <row r="811" spans="1:11" x14ac:dyDescent="0.2">
      <c r="A811" s="31"/>
      <c r="B811" s="31"/>
      <c r="C811" s="31"/>
      <c r="D811" s="31"/>
      <c r="E811" s="31"/>
      <c r="F811" s="31"/>
      <c r="G811" s="31"/>
      <c r="H811" s="32"/>
      <c r="I811" s="33"/>
      <c r="J811" s="32"/>
      <c r="K811" s="31"/>
    </row>
    <row r="812" spans="1:11" x14ac:dyDescent="0.2">
      <c r="A812" s="31"/>
      <c r="B812" s="31"/>
      <c r="C812" s="31"/>
      <c r="D812" s="31"/>
      <c r="E812" s="31"/>
      <c r="F812" s="31"/>
      <c r="G812" s="31"/>
      <c r="H812" s="32"/>
      <c r="I812" s="33"/>
      <c r="J812" s="32"/>
      <c r="K812" s="31"/>
    </row>
    <row r="813" spans="1:11" x14ac:dyDescent="0.2">
      <c r="A813" s="31"/>
      <c r="B813" s="31"/>
      <c r="C813" s="31"/>
      <c r="D813" s="31"/>
      <c r="E813" s="31"/>
      <c r="F813" s="31"/>
      <c r="G813" s="31"/>
      <c r="H813" s="32"/>
      <c r="I813" s="33"/>
      <c r="J813" s="32"/>
      <c r="K813" s="31"/>
    </row>
    <row r="814" spans="1:11" x14ac:dyDescent="0.2">
      <c r="A814" s="31"/>
      <c r="B814" s="31"/>
      <c r="C814" s="31"/>
      <c r="D814" s="31"/>
      <c r="E814" s="31"/>
      <c r="F814" s="31"/>
      <c r="G814" s="31"/>
      <c r="H814" s="32"/>
      <c r="I814" s="33"/>
      <c r="J814" s="32"/>
      <c r="K814" s="31"/>
    </row>
    <row r="815" spans="1:11" x14ac:dyDescent="0.2">
      <c r="A815" s="31"/>
      <c r="B815" s="31"/>
      <c r="C815" s="31"/>
      <c r="D815" s="31"/>
      <c r="E815" s="31"/>
      <c r="F815" s="31"/>
      <c r="G815" s="31"/>
      <c r="H815" s="32"/>
      <c r="I815" s="33"/>
      <c r="J815" s="32"/>
      <c r="K815" s="31"/>
    </row>
    <row r="816" spans="1:11" x14ac:dyDescent="0.2">
      <c r="A816" s="31"/>
      <c r="B816" s="31"/>
      <c r="C816" s="31"/>
      <c r="D816" s="31"/>
      <c r="E816" s="31"/>
      <c r="F816" s="31"/>
      <c r="G816" s="31"/>
      <c r="H816" s="32"/>
      <c r="I816" s="33"/>
      <c r="J816" s="32"/>
      <c r="K816" s="31"/>
    </row>
    <row r="817" spans="1:11" x14ac:dyDescent="0.2">
      <c r="A817" s="31"/>
      <c r="B817" s="31"/>
      <c r="C817" s="31"/>
      <c r="D817" s="31"/>
      <c r="E817" s="31"/>
      <c r="F817" s="31"/>
      <c r="G817" s="31"/>
      <c r="H817" s="32"/>
      <c r="I817" s="33"/>
      <c r="J817" s="32"/>
      <c r="K817" s="31"/>
    </row>
    <row r="818" spans="1:11" x14ac:dyDescent="0.2">
      <c r="A818" s="31"/>
      <c r="B818" s="31"/>
      <c r="C818" s="31"/>
      <c r="D818" s="31"/>
      <c r="E818" s="31"/>
      <c r="F818" s="31"/>
      <c r="G818" s="31"/>
      <c r="H818" s="32"/>
      <c r="I818" s="33"/>
      <c r="J818" s="32"/>
      <c r="K818" s="31"/>
    </row>
    <row r="819" spans="1:11" x14ac:dyDescent="0.2">
      <c r="A819" s="31"/>
      <c r="B819" s="31"/>
      <c r="C819" s="31"/>
      <c r="D819" s="31"/>
      <c r="E819" s="31"/>
      <c r="F819" s="31"/>
      <c r="G819" s="31"/>
      <c r="H819" s="32"/>
      <c r="I819" s="33"/>
      <c r="J819" s="32"/>
      <c r="K819" s="31"/>
    </row>
    <row r="820" spans="1:11" x14ac:dyDescent="0.2">
      <c r="A820" s="31"/>
      <c r="B820" s="31"/>
      <c r="C820" s="31"/>
      <c r="D820" s="31"/>
      <c r="E820" s="31"/>
      <c r="F820" s="31"/>
      <c r="G820" s="31"/>
      <c r="H820" s="32"/>
      <c r="I820" s="33"/>
      <c r="J820" s="32"/>
      <c r="K820" s="31"/>
    </row>
    <row r="821" spans="1:11" x14ac:dyDescent="0.2">
      <c r="A821" s="31"/>
      <c r="B821" s="31"/>
      <c r="C821" s="31"/>
      <c r="D821" s="31"/>
      <c r="E821" s="31"/>
      <c r="F821" s="31"/>
      <c r="G821" s="31"/>
      <c r="H821" s="32"/>
      <c r="I821" s="33"/>
      <c r="J821" s="32"/>
      <c r="K821" s="31"/>
    </row>
    <row r="822" spans="1:11" x14ac:dyDescent="0.2">
      <c r="A822" s="31"/>
      <c r="B822" s="31"/>
      <c r="C822" s="31"/>
      <c r="D822" s="31"/>
      <c r="E822" s="31"/>
      <c r="F822" s="31"/>
      <c r="G822" s="31"/>
      <c r="H822" s="32"/>
      <c r="I822" s="33"/>
      <c r="J822" s="32"/>
      <c r="K822" s="31"/>
    </row>
    <row r="823" spans="1:11" x14ac:dyDescent="0.2">
      <c r="A823" s="31"/>
      <c r="B823" s="31"/>
      <c r="C823" s="31"/>
      <c r="D823" s="31"/>
      <c r="E823" s="31"/>
      <c r="F823" s="31"/>
      <c r="G823" s="31"/>
      <c r="H823" s="32"/>
      <c r="I823" s="33"/>
      <c r="J823" s="32"/>
      <c r="K823" s="31"/>
    </row>
    <row r="824" spans="1:11" x14ac:dyDescent="0.2">
      <c r="A824" s="31"/>
      <c r="B824" s="31"/>
      <c r="C824" s="31"/>
      <c r="D824" s="31"/>
      <c r="E824" s="31"/>
      <c r="F824" s="31"/>
      <c r="G824" s="31"/>
      <c r="H824" s="32"/>
      <c r="I824" s="33"/>
      <c r="J824" s="32"/>
      <c r="K824" s="31"/>
    </row>
    <row r="825" spans="1:11" x14ac:dyDescent="0.2">
      <c r="A825" s="31"/>
      <c r="B825" s="31"/>
      <c r="C825" s="31"/>
      <c r="D825" s="31"/>
      <c r="E825" s="31"/>
      <c r="F825" s="31"/>
      <c r="G825" s="31"/>
      <c r="H825" s="32"/>
      <c r="I825" s="33"/>
      <c r="J825" s="32"/>
      <c r="K825" s="31"/>
    </row>
    <row r="826" spans="1:11" x14ac:dyDescent="0.2">
      <c r="A826" s="31"/>
      <c r="B826" s="31"/>
      <c r="C826" s="31"/>
      <c r="D826" s="31"/>
      <c r="E826" s="31"/>
      <c r="F826" s="31"/>
      <c r="G826" s="31"/>
      <c r="H826" s="32"/>
      <c r="I826" s="33"/>
      <c r="J826" s="32"/>
      <c r="K826" s="31"/>
    </row>
    <row r="827" spans="1:11" x14ac:dyDescent="0.2">
      <c r="A827" s="31"/>
      <c r="B827" s="31"/>
      <c r="C827" s="31"/>
      <c r="D827" s="31"/>
      <c r="E827" s="31"/>
      <c r="F827" s="31"/>
      <c r="G827" s="31"/>
      <c r="H827" s="32"/>
      <c r="I827" s="33"/>
      <c r="J827" s="32"/>
      <c r="K827" s="31"/>
    </row>
    <row r="828" spans="1:11" x14ac:dyDescent="0.2">
      <c r="A828" s="31"/>
      <c r="B828" s="31"/>
      <c r="C828" s="31"/>
      <c r="D828" s="31"/>
      <c r="E828" s="31"/>
      <c r="F828" s="31"/>
      <c r="G828" s="31"/>
      <c r="H828" s="32"/>
      <c r="I828" s="33"/>
      <c r="J828" s="32"/>
      <c r="K828" s="31"/>
    </row>
    <row r="829" spans="1:11" x14ac:dyDescent="0.2">
      <c r="A829" s="31"/>
      <c r="B829" s="31"/>
      <c r="C829" s="31"/>
      <c r="D829" s="31"/>
      <c r="E829" s="31"/>
      <c r="F829" s="31"/>
      <c r="G829" s="31"/>
      <c r="H829" s="32"/>
      <c r="I829" s="33"/>
      <c r="J829" s="32"/>
      <c r="K829" s="31"/>
    </row>
    <row r="830" spans="1:11" x14ac:dyDescent="0.2">
      <c r="A830" s="31"/>
      <c r="B830" s="31"/>
      <c r="C830" s="31"/>
      <c r="D830" s="31"/>
      <c r="E830" s="31"/>
      <c r="F830" s="31"/>
      <c r="G830" s="31"/>
      <c r="H830" s="32"/>
      <c r="I830" s="33"/>
      <c r="J830" s="32"/>
      <c r="K830" s="31"/>
    </row>
    <row r="831" spans="1:11" x14ac:dyDescent="0.2">
      <c r="A831" s="31"/>
      <c r="B831" s="31"/>
      <c r="C831" s="31"/>
      <c r="D831" s="31"/>
      <c r="E831" s="31"/>
      <c r="F831" s="31"/>
      <c r="G831" s="31"/>
      <c r="H831" s="32"/>
      <c r="I831" s="33"/>
      <c r="J831" s="32"/>
      <c r="K831" s="31"/>
    </row>
    <row r="832" spans="1:11" x14ac:dyDescent="0.2">
      <c r="A832" s="31"/>
      <c r="B832" s="31"/>
      <c r="C832" s="31"/>
      <c r="D832" s="31"/>
      <c r="E832" s="31"/>
      <c r="F832" s="31"/>
      <c r="G832" s="31"/>
      <c r="H832" s="32"/>
      <c r="I832" s="33"/>
      <c r="J832" s="32"/>
      <c r="K832" s="31"/>
    </row>
    <row r="833" spans="1:11" x14ac:dyDescent="0.2">
      <c r="A833" s="31"/>
      <c r="B833" s="31"/>
      <c r="C833" s="31"/>
      <c r="D833" s="31"/>
      <c r="E833" s="31"/>
      <c r="F833" s="31"/>
      <c r="G833" s="31"/>
      <c r="H833" s="32"/>
      <c r="I833" s="33"/>
      <c r="J833" s="32"/>
      <c r="K833" s="31"/>
    </row>
    <row r="834" spans="1:11" x14ac:dyDescent="0.2">
      <c r="A834" s="31"/>
      <c r="B834" s="31"/>
      <c r="C834" s="31"/>
      <c r="D834" s="31"/>
      <c r="E834" s="31"/>
      <c r="F834" s="31"/>
      <c r="G834" s="31"/>
      <c r="H834" s="32"/>
      <c r="I834" s="33"/>
      <c r="J834" s="32"/>
      <c r="K834" s="31"/>
    </row>
    <row r="835" spans="1:11" x14ac:dyDescent="0.2">
      <c r="A835" s="31"/>
      <c r="B835" s="31"/>
      <c r="C835" s="31"/>
      <c r="D835" s="31"/>
      <c r="E835" s="31"/>
      <c r="F835" s="31"/>
      <c r="G835" s="31"/>
      <c r="H835" s="32"/>
      <c r="I835" s="33"/>
      <c r="J835" s="32"/>
      <c r="K835" s="31"/>
    </row>
    <row r="836" spans="1:11" x14ac:dyDescent="0.2">
      <c r="A836" s="31"/>
      <c r="B836" s="31"/>
      <c r="C836" s="31"/>
      <c r="D836" s="31"/>
      <c r="E836" s="31"/>
      <c r="F836" s="31"/>
      <c r="G836" s="31"/>
      <c r="H836" s="32"/>
      <c r="I836" s="33"/>
      <c r="J836" s="32"/>
      <c r="K836" s="31"/>
    </row>
    <row r="837" spans="1:11" x14ac:dyDescent="0.2">
      <c r="A837" s="31"/>
      <c r="B837" s="31"/>
      <c r="C837" s="31"/>
      <c r="D837" s="31"/>
      <c r="E837" s="31"/>
      <c r="F837" s="31"/>
      <c r="G837" s="31"/>
      <c r="H837" s="32"/>
      <c r="I837" s="33"/>
      <c r="J837" s="32"/>
      <c r="K837" s="31"/>
    </row>
    <row r="838" spans="1:11" x14ac:dyDescent="0.2">
      <c r="A838" s="31"/>
      <c r="B838" s="31"/>
      <c r="C838" s="31"/>
      <c r="D838" s="31"/>
      <c r="E838" s="31"/>
      <c r="F838" s="31"/>
      <c r="G838" s="31"/>
      <c r="H838" s="32"/>
      <c r="I838" s="33"/>
      <c r="J838" s="32"/>
      <c r="K838" s="31"/>
    </row>
    <row r="839" spans="1:11" x14ac:dyDescent="0.2">
      <c r="A839" s="31"/>
      <c r="B839" s="31"/>
      <c r="C839" s="31"/>
      <c r="D839" s="31"/>
      <c r="E839" s="31"/>
      <c r="F839" s="31"/>
      <c r="G839" s="31"/>
      <c r="H839" s="32"/>
      <c r="I839" s="33"/>
      <c r="J839" s="32"/>
      <c r="K839" s="31"/>
    </row>
    <row r="840" spans="1:11" x14ac:dyDescent="0.2">
      <c r="A840" s="31"/>
      <c r="B840" s="31"/>
      <c r="C840" s="31"/>
      <c r="D840" s="31"/>
      <c r="E840" s="31"/>
      <c r="F840" s="31"/>
      <c r="G840" s="31"/>
      <c r="H840" s="32"/>
      <c r="I840" s="33"/>
      <c r="J840" s="32"/>
      <c r="K840" s="31"/>
    </row>
    <row r="841" spans="1:11" x14ac:dyDescent="0.2">
      <c r="A841" s="31"/>
      <c r="B841" s="31"/>
      <c r="C841" s="31"/>
      <c r="D841" s="31"/>
      <c r="E841" s="31"/>
      <c r="F841" s="31"/>
      <c r="G841" s="31"/>
      <c r="H841" s="32"/>
      <c r="I841" s="33"/>
      <c r="J841" s="32"/>
      <c r="K841" s="31"/>
    </row>
    <row r="842" spans="1:11" x14ac:dyDescent="0.2">
      <c r="A842" s="31"/>
      <c r="B842" s="31"/>
      <c r="C842" s="31"/>
      <c r="D842" s="31"/>
      <c r="E842" s="31"/>
      <c r="F842" s="31"/>
      <c r="G842" s="31"/>
      <c r="H842" s="32"/>
      <c r="I842" s="33"/>
      <c r="J842" s="32"/>
      <c r="K842" s="31"/>
    </row>
    <row r="843" spans="1:11" x14ac:dyDescent="0.2">
      <c r="A843" s="31"/>
      <c r="B843" s="31"/>
      <c r="C843" s="31"/>
      <c r="D843" s="31"/>
      <c r="E843" s="31"/>
      <c r="F843" s="31"/>
      <c r="G843" s="31"/>
      <c r="H843" s="32"/>
      <c r="I843" s="33"/>
      <c r="J843" s="32"/>
      <c r="K843" s="31"/>
    </row>
    <row r="844" spans="1:11" x14ac:dyDescent="0.2">
      <c r="A844" s="31"/>
      <c r="B844" s="31"/>
      <c r="C844" s="31"/>
      <c r="D844" s="31"/>
      <c r="E844" s="31"/>
      <c r="F844" s="31"/>
      <c r="G844" s="31"/>
      <c r="H844" s="32"/>
      <c r="I844" s="33"/>
      <c r="J844" s="32"/>
      <c r="K844" s="31"/>
    </row>
    <row r="845" spans="1:11" x14ac:dyDescent="0.2">
      <c r="A845" s="31"/>
      <c r="B845" s="31"/>
      <c r="C845" s="31"/>
      <c r="D845" s="31"/>
      <c r="E845" s="31"/>
      <c r="F845" s="31"/>
      <c r="G845" s="31"/>
      <c r="H845" s="32"/>
      <c r="I845" s="33"/>
      <c r="J845" s="32"/>
      <c r="K845" s="31"/>
    </row>
    <row r="846" spans="1:11" x14ac:dyDescent="0.2">
      <c r="A846" s="31"/>
      <c r="B846" s="31"/>
      <c r="C846" s="31"/>
      <c r="D846" s="31"/>
      <c r="E846" s="31"/>
      <c r="F846" s="31"/>
      <c r="G846" s="31"/>
      <c r="H846" s="32"/>
      <c r="I846" s="33"/>
      <c r="J846" s="32"/>
      <c r="K846" s="31"/>
    </row>
    <row r="847" spans="1:11" x14ac:dyDescent="0.2">
      <c r="A847" s="31"/>
      <c r="B847" s="31"/>
      <c r="C847" s="31"/>
      <c r="D847" s="31"/>
      <c r="E847" s="31"/>
      <c r="F847" s="31"/>
      <c r="G847" s="31"/>
      <c r="H847" s="32"/>
      <c r="I847" s="33"/>
      <c r="J847" s="32"/>
      <c r="K847" s="31"/>
    </row>
    <row r="848" spans="1:11" x14ac:dyDescent="0.2">
      <c r="A848" s="31"/>
      <c r="B848" s="31"/>
      <c r="C848" s="31"/>
      <c r="D848" s="31"/>
      <c r="E848" s="31"/>
      <c r="F848" s="31"/>
      <c r="G848" s="31"/>
      <c r="H848" s="32"/>
      <c r="I848" s="33"/>
      <c r="J848" s="32"/>
      <c r="K848" s="31"/>
    </row>
    <row r="849" spans="1:11" x14ac:dyDescent="0.2">
      <c r="A849" s="31"/>
      <c r="B849" s="31"/>
      <c r="C849" s="31"/>
      <c r="D849" s="31"/>
      <c r="E849" s="31"/>
      <c r="F849" s="31"/>
      <c r="G849" s="31"/>
      <c r="H849" s="32"/>
      <c r="I849" s="33"/>
      <c r="J849" s="32"/>
      <c r="K849" s="31"/>
    </row>
    <row r="850" spans="1:11" x14ac:dyDescent="0.2">
      <c r="A850" s="31"/>
      <c r="B850" s="31"/>
      <c r="C850" s="31"/>
      <c r="D850" s="31"/>
      <c r="E850" s="31"/>
      <c r="F850" s="31"/>
      <c r="G850" s="31"/>
      <c r="H850" s="32"/>
      <c r="I850" s="33"/>
      <c r="J850" s="32"/>
      <c r="K850" s="31"/>
    </row>
    <row r="851" spans="1:11" x14ac:dyDescent="0.2">
      <c r="A851" s="31"/>
      <c r="B851" s="31"/>
      <c r="C851" s="31"/>
      <c r="D851" s="31"/>
      <c r="E851" s="31"/>
      <c r="F851" s="31"/>
      <c r="G851" s="31"/>
      <c r="H851" s="32"/>
      <c r="I851" s="33"/>
      <c r="J851" s="32"/>
      <c r="K851" s="31"/>
    </row>
    <row r="852" spans="1:11" x14ac:dyDescent="0.2">
      <c r="A852" s="31"/>
      <c r="B852" s="31"/>
      <c r="C852" s="31"/>
      <c r="D852" s="31"/>
      <c r="E852" s="31"/>
      <c r="F852" s="31"/>
      <c r="G852" s="31"/>
      <c r="H852" s="32"/>
      <c r="I852" s="33"/>
      <c r="J852" s="32"/>
      <c r="K852" s="31"/>
    </row>
    <row r="853" spans="1:11" x14ac:dyDescent="0.2">
      <c r="A853" s="31"/>
      <c r="B853" s="31"/>
      <c r="C853" s="31"/>
      <c r="D853" s="31"/>
      <c r="E853" s="31"/>
      <c r="F853" s="31"/>
      <c r="G853" s="31"/>
      <c r="H853" s="32"/>
      <c r="I853" s="33"/>
      <c r="J853" s="32"/>
      <c r="K853" s="31"/>
    </row>
    <row r="854" spans="1:11" x14ac:dyDescent="0.2">
      <c r="A854" s="31"/>
      <c r="B854" s="31"/>
      <c r="C854" s="31"/>
      <c r="D854" s="31"/>
      <c r="E854" s="31"/>
      <c r="F854" s="31"/>
      <c r="G854" s="31"/>
      <c r="H854" s="32"/>
      <c r="I854" s="33"/>
      <c r="J854" s="32"/>
      <c r="K854" s="31"/>
    </row>
    <row r="855" spans="1:11" x14ac:dyDescent="0.2">
      <c r="A855" s="31"/>
      <c r="B855" s="31"/>
      <c r="C855" s="31"/>
      <c r="D855" s="31"/>
      <c r="E855" s="31"/>
      <c r="F855" s="31"/>
      <c r="G855" s="31"/>
      <c r="H855" s="32"/>
      <c r="I855" s="33"/>
      <c r="J855" s="32"/>
      <c r="K855" s="31"/>
    </row>
    <row r="856" spans="1:11" x14ac:dyDescent="0.2">
      <c r="A856" s="31"/>
      <c r="B856" s="31"/>
      <c r="C856" s="31"/>
      <c r="D856" s="31"/>
      <c r="E856" s="31"/>
      <c r="F856" s="31"/>
      <c r="G856" s="31"/>
      <c r="H856" s="32"/>
      <c r="I856" s="33"/>
      <c r="J856" s="32"/>
      <c r="K856" s="31"/>
    </row>
    <row r="857" spans="1:11" x14ac:dyDescent="0.2">
      <c r="A857" s="31"/>
      <c r="B857" s="31"/>
      <c r="C857" s="31"/>
      <c r="D857" s="31"/>
      <c r="E857" s="31"/>
      <c r="F857" s="31"/>
      <c r="G857" s="31"/>
      <c r="H857" s="32"/>
      <c r="I857" s="33"/>
      <c r="J857" s="32"/>
      <c r="K857" s="31"/>
    </row>
    <row r="858" spans="1:11" x14ac:dyDescent="0.2">
      <c r="A858" s="31"/>
      <c r="B858" s="31"/>
      <c r="C858" s="31"/>
      <c r="D858" s="31"/>
      <c r="E858" s="31"/>
      <c r="F858" s="31"/>
      <c r="G858" s="31"/>
      <c r="H858" s="32"/>
      <c r="I858" s="33"/>
      <c r="J858" s="32"/>
      <c r="K858" s="31"/>
    </row>
    <row r="859" spans="1:11" x14ac:dyDescent="0.2">
      <c r="A859" s="31"/>
      <c r="B859" s="31"/>
      <c r="C859" s="31"/>
      <c r="D859" s="31"/>
      <c r="E859" s="31"/>
      <c r="F859" s="31"/>
      <c r="G859" s="31"/>
      <c r="H859" s="32"/>
      <c r="I859" s="33"/>
      <c r="J859" s="32"/>
      <c r="K859" s="31"/>
    </row>
    <row r="860" spans="1:11" x14ac:dyDescent="0.2">
      <c r="A860" s="31"/>
      <c r="B860" s="31"/>
      <c r="C860" s="31"/>
      <c r="D860" s="31"/>
      <c r="E860" s="31"/>
      <c r="F860" s="31"/>
      <c r="G860" s="31"/>
      <c r="H860" s="32"/>
      <c r="I860" s="33"/>
      <c r="J860" s="32"/>
      <c r="K860" s="31"/>
    </row>
    <row r="861" spans="1:11" x14ac:dyDescent="0.2">
      <c r="A861" s="31"/>
      <c r="B861" s="31"/>
      <c r="C861" s="31"/>
      <c r="D861" s="31"/>
      <c r="E861" s="31"/>
      <c r="F861" s="31"/>
      <c r="G861" s="31"/>
      <c r="H861" s="32"/>
      <c r="I861" s="33"/>
      <c r="J861" s="32"/>
      <c r="K861" s="31"/>
    </row>
    <row r="862" spans="1:11" x14ac:dyDescent="0.2">
      <c r="A862" s="31"/>
      <c r="B862" s="31"/>
      <c r="C862" s="31"/>
      <c r="D862" s="31"/>
      <c r="E862" s="31"/>
      <c r="F862" s="31"/>
      <c r="G862" s="31"/>
      <c r="H862" s="32"/>
      <c r="I862" s="33"/>
      <c r="J862" s="32"/>
      <c r="K862" s="31"/>
    </row>
    <row r="863" spans="1:11" x14ac:dyDescent="0.2">
      <c r="A863" s="31"/>
      <c r="B863" s="31"/>
      <c r="C863" s="31"/>
      <c r="D863" s="31"/>
      <c r="E863" s="31"/>
      <c r="F863" s="31"/>
      <c r="G863" s="31"/>
      <c r="H863" s="32"/>
      <c r="I863" s="33"/>
      <c r="J863" s="32"/>
      <c r="K863" s="31"/>
    </row>
    <row r="864" spans="1:11" x14ac:dyDescent="0.2">
      <c r="A864" s="31"/>
      <c r="B864" s="31"/>
      <c r="C864" s="31"/>
      <c r="D864" s="31"/>
      <c r="E864" s="31"/>
      <c r="F864" s="31"/>
      <c r="G864" s="31"/>
      <c r="H864" s="32"/>
      <c r="I864" s="33"/>
      <c r="J864" s="32"/>
      <c r="K864" s="31"/>
    </row>
    <row r="865" spans="1:11" x14ac:dyDescent="0.2">
      <c r="A865" s="31"/>
      <c r="B865" s="31"/>
      <c r="C865" s="31"/>
      <c r="D865" s="31"/>
      <c r="E865" s="31"/>
      <c r="F865" s="31"/>
      <c r="G865" s="31"/>
      <c r="H865" s="32"/>
      <c r="I865" s="33"/>
      <c r="J865" s="32"/>
      <c r="K865" s="31"/>
    </row>
    <row r="866" spans="1:11" x14ac:dyDescent="0.2">
      <c r="A866" s="31"/>
      <c r="B866" s="31"/>
      <c r="C866" s="31"/>
      <c r="D866" s="31"/>
      <c r="E866" s="31"/>
      <c r="F866" s="31"/>
      <c r="G866" s="31"/>
      <c r="H866" s="32"/>
      <c r="I866" s="33"/>
      <c r="J866" s="32"/>
      <c r="K866" s="31"/>
    </row>
    <row r="867" spans="1:11" x14ac:dyDescent="0.2">
      <c r="A867" s="31"/>
      <c r="B867" s="31"/>
      <c r="C867" s="31"/>
      <c r="D867" s="31"/>
      <c r="E867" s="31"/>
      <c r="F867" s="31"/>
      <c r="G867" s="31"/>
      <c r="H867" s="32"/>
      <c r="I867" s="33"/>
      <c r="J867" s="32"/>
      <c r="K867" s="31"/>
    </row>
    <row r="868" spans="1:11" x14ac:dyDescent="0.2">
      <c r="A868" s="31"/>
      <c r="B868" s="31"/>
      <c r="C868" s="31"/>
      <c r="D868" s="31"/>
      <c r="E868" s="31"/>
      <c r="F868" s="31"/>
      <c r="G868" s="31"/>
      <c r="H868" s="32"/>
      <c r="I868" s="33"/>
      <c r="J868" s="32"/>
      <c r="K868" s="31"/>
    </row>
    <row r="869" spans="1:11" x14ac:dyDescent="0.2">
      <c r="A869" s="31"/>
      <c r="B869" s="31"/>
      <c r="C869" s="31"/>
      <c r="D869" s="31"/>
      <c r="E869" s="31"/>
      <c r="F869" s="31"/>
      <c r="G869" s="31"/>
      <c r="H869" s="32"/>
      <c r="I869" s="33"/>
      <c r="J869" s="32"/>
      <c r="K869" s="31"/>
    </row>
    <row r="870" spans="1:11" x14ac:dyDescent="0.2">
      <c r="A870" s="31"/>
      <c r="B870" s="31"/>
      <c r="C870" s="31"/>
      <c r="D870" s="31"/>
      <c r="E870" s="31"/>
      <c r="F870" s="31"/>
      <c r="G870" s="31"/>
      <c r="H870" s="32"/>
      <c r="I870" s="33"/>
      <c r="J870" s="32"/>
      <c r="K870" s="31"/>
    </row>
    <row r="871" spans="1:11" x14ac:dyDescent="0.2">
      <c r="A871" s="31"/>
      <c r="B871" s="31"/>
      <c r="C871" s="31"/>
      <c r="D871" s="31"/>
      <c r="E871" s="31"/>
      <c r="F871" s="31"/>
      <c r="G871" s="31"/>
      <c r="H871" s="32"/>
      <c r="I871" s="33"/>
      <c r="J871" s="32"/>
      <c r="K871" s="31"/>
    </row>
    <row r="872" spans="1:11" x14ac:dyDescent="0.2">
      <c r="A872" s="31"/>
      <c r="B872" s="31"/>
      <c r="C872" s="31"/>
      <c r="D872" s="31"/>
      <c r="E872" s="31"/>
      <c r="F872" s="31"/>
      <c r="G872" s="31"/>
      <c r="H872" s="32"/>
      <c r="I872" s="33"/>
      <c r="J872" s="32"/>
      <c r="K872" s="31"/>
    </row>
    <row r="873" spans="1:11" x14ac:dyDescent="0.2">
      <c r="A873" s="31"/>
      <c r="B873" s="31"/>
      <c r="C873" s="31"/>
      <c r="D873" s="31"/>
      <c r="E873" s="31"/>
      <c r="F873" s="31"/>
      <c r="G873" s="31"/>
      <c r="H873" s="32"/>
      <c r="I873" s="33"/>
      <c r="J873" s="32"/>
      <c r="K873" s="31"/>
    </row>
    <row r="874" spans="1:11" x14ac:dyDescent="0.2">
      <c r="A874" s="31"/>
      <c r="B874" s="31"/>
      <c r="C874" s="31"/>
      <c r="D874" s="31"/>
      <c r="E874" s="31"/>
      <c r="F874" s="31"/>
      <c r="G874" s="31"/>
      <c r="H874" s="32"/>
      <c r="I874" s="33"/>
      <c r="J874" s="32"/>
      <c r="K874" s="31"/>
    </row>
    <row r="875" spans="1:11" x14ac:dyDescent="0.2">
      <c r="A875" s="31"/>
      <c r="B875" s="31"/>
      <c r="C875" s="31"/>
      <c r="D875" s="31"/>
      <c r="E875" s="31"/>
      <c r="F875" s="31"/>
      <c r="G875" s="31"/>
      <c r="H875" s="32"/>
      <c r="I875" s="33"/>
      <c r="J875" s="32"/>
      <c r="K875" s="31"/>
    </row>
    <row r="876" spans="1:11" x14ac:dyDescent="0.2">
      <c r="A876" s="31"/>
      <c r="B876" s="31"/>
      <c r="C876" s="31"/>
      <c r="D876" s="31"/>
      <c r="E876" s="31"/>
      <c r="F876" s="31"/>
      <c r="G876" s="31"/>
      <c r="H876" s="32"/>
      <c r="I876" s="33"/>
      <c r="J876" s="32"/>
      <c r="K876" s="31"/>
    </row>
    <row r="877" spans="1:11" x14ac:dyDescent="0.2">
      <c r="A877" s="31"/>
      <c r="B877" s="31"/>
      <c r="C877" s="31"/>
      <c r="D877" s="31"/>
      <c r="E877" s="31"/>
      <c r="F877" s="31"/>
      <c r="G877" s="31"/>
      <c r="H877" s="32"/>
      <c r="I877" s="33"/>
      <c r="J877" s="32"/>
      <c r="K877" s="31"/>
    </row>
    <row r="878" spans="1:11" x14ac:dyDescent="0.2">
      <c r="A878" s="31"/>
      <c r="B878" s="31"/>
      <c r="C878" s="31"/>
      <c r="D878" s="31"/>
      <c r="E878" s="31"/>
      <c r="F878" s="31"/>
      <c r="G878" s="31"/>
      <c r="H878" s="32"/>
      <c r="I878" s="33"/>
      <c r="J878" s="32"/>
      <c r="K878" s="31"/>
    </row>
    <row r="879" spans="1:11" x14ac:dyDescent="0.2">
      <c r="A879" s="31"/>
      <c r="B879" s="31"/>
      <c r="C879" s="31"/>
      <c r="D879" s="31"/>
      <c r="E879" s="31"/>
      <c r="F879" s="31"/>
      <c r="G879" s="31"/>
      <c r="H879" s="32"/>
      <c r="I879" s="33"/>
      <c r="J879" s="32"/>
      <c r="K879" s="31"/>
    </row>
    <row r="880" spans="1:11" x14ac:dyDescent="0.2">
      <c r="A880" s="31"/>
      <c r="B880" s="31"/>
      <c r="C880" s="31"/>
      <c r="D880" s="31"/>
      <c r="E880" s="31"/>
      <c r="F880" s="31"/>
      <c r="G880" s="31"/>
      <c r="H880" s="32"/>
      <c r="I880" s="33"/>
      <c r="J880" s="32"/>
      <c r="K880" s="31"/>
    </row>
    <row r="881" spans="1:11" x14ac:dyDescent="0.2">
      <c r="A881" s="31"/>
      <c r="B881" s="31"/>
      <c r="C881" s="31"/>
      <c r="D881" s="31"/>
      <c r="E881" s="31"/>
      <c r="F881" s="31"/>
      <c r="G881" s="31"/>
      <c r="H881" s="32"/>
      <c r="I881" s="33"/>
      <c r="J881" s="32"/>
      <c r="K881" s="31"/>
    </row>
    <row r="882" spans="1:11" x14ac:dyDescent="0.2">
      <c r="A882" s="31"/>
      <c r="B882" s="31"/>
      <c r="C882" s="31"/>
      <c r="D882" s="31"/>
      <c r="E882" s="31"/>
      <c r="F882" s="31"/>
      <c r="G882" s="31"/>
      <c r="H882" s="32"/>
      <c r="I882" s="33"/>
      <c r="J882" s="32"/>
      <c r="K882" s="31"/>
    </row>
    <row r="883" spans="1:11" x14ac:dyDescent="0.2">
      <c r="A883" s="31"/>
      <c r="B883" s="31"/>
      <c r="C883" s="31"/>
      <c r="D883" s="31"/>
      <c r="E883" s="31"/>
      <c r="F883" s="31"/>
      <c r="G883" s="31"/>
      <c r="H883" s="32"/>
      <c r="I883" s="33"/>
      <c r="J883" s="32"/>
      <c r="K883" s="31"/>
    </row>
    <row r="884" spans="1:11" x14ac:dyDescent="0.2">
      <c r="A884" s="31"/>
      <c r="B884" s="31"/>
      <c r="C884" s="31"/>
      <c r="D884" s="31"/>
      <c r="E884" s="31"/>
      <c r="F884" s="31"/>
      <c r="G884" s="31"/>
      <c r="H884" s="32"/>
      <c r="I884" s="33"/>
      <c r="J884" s="32"/>
      <c r="K884" s="31"/>
    </row>
    <row r="885" spans="1:11" x14ac:dyDescent="0.2">
      <c r="A885" s="31"/>
      <c r="B885" s="31"/>
      <c r="C885" s="31"/>
      <c r="D885" s="31"/>
      <c r="E885" s="31"/>
      <c r="F885" s="31"/>
      <c r="G885" s="31"/>
      <c r="H885" s="32"/>
      <c r="I885" s="33"/>
      <c r="J885" s="32"/>
      <c r="K885" s="31"/>
    </row>
    <row r="886" spans="1:11" x14ac:dyDescent="0.2">
      <c r="A886" s="31"/>
      <c r="B886" s="31"/>
      <c r="C886" s="31"/>
      <c r="D886" s="31"/>
      <c r="E886" s="31"/>
      <c r="F886" s="31"/>
      <c r="G886" s="31"/>
      <c r="H886" s="32"/>
      <c r="I886" s="33"/>
      <c r="J886" s="32"/>
      <c r="K886" s="31"/>
    </row>
    <row r="887" spans="1:11" x14ac:dyDescent="0.2">
      <c r="A887" s="31"/>
      <c r="B887" s="31"/>
      <c r="C887" s="31"/>
      <c r="D887" s="31"/>
      <c r="E887" s="31"/>
      <c r="F887" s="31"/>
      <c r="G887" s="31"/>
      <c r="H887" s="32"/>
      <c r="I887" s="33"/>
      <c r="J887" s="32"/>
      <c r="K887" s="31"/>
    </row>
    <row r="888" spans="1:11" x14ac:dyDescent="0.2">
      <c r="A888" s="31"/>
      <c r="B888" s="31"/>
      <c r="C888" s="31"/>
      <c r="D888" s="31"/>
      <c r="E888" s="31"/>
      <c r="F888" s="31"/>
      <c r="G888" s="31"/>
      <c r="H888" s="32"/>
      <c r="I888" s="33"/>
      <c r="J888" s="32"/>
      <c r="K888" s="31"/>
    </row>
    <row r="889" spans="1:11" x14ac:dyDescent="0.2">
      <c r="A889" s="31"/>
      <c r="B889" s="31"/>
      <c r="C889" s="31"/>
      <c r="D889" s="31"/>
      <c r="E889" s="31"/>
      <c r="F889" s="31"/>
      <c r="G889" s="31"/>
      <c r="H889" s="32"/>
      <c r="I889" s="33"/>
      <c r="J889" s="32"/>
      <c r="K889" s="31"/>
    </row>
    <row r="890" spans="1:11" x14ac:dyDescent="0.2">
      <c r="A890" s="31"/>
      <c r="B890" s="31"/>
      <c r="C890" s="31"/>
      <c r="D890" s="31"/>
      <c r="E890" s="31"/>
      <c r="F890" s="31"/>
      <c r="G890" s="31"/>
      <c r="H890" s="32"/>
      <c r="I890" s="33"/>
      <c r="J890" s="32"/>
      <c r="K890" s="31"/>
    </row>
    <row r="891" spans="1:11" x14ac:dyDescent="0.2">
      <c r="A891" s="31"/>
      <c r="B891" s="31"/>
      <c r="C891" s="31"/>
      <c r="D891" s="31"/>
      <c r="E891" s="31"/>
      <c r="F891" s="31"/>
      <c r="G891" s="31"/>
      <c r="H891" s="32"/>
      <c r="I891" s="33"/>
      <c r="J891" s="32"/>
      <c r="K891" s="31"/>
    </row>
    <row r="892" spans="1:11" x14ac:dyDescent="0.2">
      <c r="A892" s="31"/>
      <c r="B892" s="31"/>
      <c r="C892" s="31"/>
      <c r="D892" s="31"/>
      <c r="E892" s="31"/>
      <c r="F892" s="31"/>
      <c r="G892" s="31"/>
      <c r="H892" s="32"/>
      <c r="I892" s="33"/>
      <c r="J892" s="32"/>
      <c r="K892" s="31"/>
    </row>
    <row r="893" spans="1:11" x14ac:dyDescent="0.2">
      <c r="A893" s="31"/>
      <c r="B893" s="31"/>
      <c r="C893" s="31"/>
      <c r="D893" s="31"/>
      <c r="E893" s="31"/>
      <c r="F893" s="31"/>
      <c r="G893" s="31"/>
      <c r="H893" s="32"/>
      <c r="I893" s="33"/>
      <c r="J893" s="32"/>
      <c r="K893" s="31"/>
    </row>
    <row r="894" spans="1:11" x14ac:dyDescent="0.2">
      <c r="A894" s="31"/>
      <c r="B894" s="31"/>
      <c r="C894" s="31"/>
      <c r="D894" s="31"/>
      <c r="E894" s="31"/>
      <c r="F894" s="31"/>
      <c r="G894" s="31"/>
      <c r="H894" s="32"/>
      <c r="I894" s="33"/>
      <c r="J894" s="32"/>
      <c r="K894" s="31"/>
    </row>
    <row r="895" spans="1:11" x14ac:dyDescent="0.2">
      <c r="A895" s="31"/>
      <c r="B895" s="31"/>
      <c r="C895" s="31"/>
      <c r="D895" s="31"/>
      <c r="E895" s="31"/>
      <c r="F895" s="31"/>
      <c r="G895" s="31"/>
      <c r="H895" s="32"/>
      <c r="I895" s="33"/>
      <c r="J895" s="32"/>
      <c r="K895" s="31"/>
    </row>
    <row r="896" spans="1:11" x14ac:dyDescent="0.2">
      <c r="A896" s="31"/>
      <c r="B896" s="31"/>
      <c r="C896" s="31"/>
      <c r="D896" s="31"/>
      <c r="E896" s="31"/>
      <c r="F896" s="31"/>
      <c r="G896" s="31"/>
      <c r="H896" s="32"/>
      <c r="I896" s="33"/>
      <c r="J896" s="32"/>
      <c r="K896" s="31"/>
    </row>
    <row r="897" spans="1:11" x14ac:dyDescent="0.2">
      <c r="A897" s="31"/>
      <c r="B897" s="31"/>
      <c r="C897" s="31"/>
      <c r="D897" s="31"/>
      <c r="E897" s="31"/>
      <c r="F897" s="31"/>
      <c r="G897" s="31"/>
      <c r="H897" s="32"/>
      <c r="I897" s="33"/>
      <c r="J897" s="32"/>
      <c r="K897" s="31"/>
    </row>
    <row r="898" spans="1:11" x14ac:dyDescent="0.2">
      <c r="A898" s="31"/>
      <c r="B898" s="31"/>
      <c r="C898" s="31"/>
      <c r="D898" s="31"/>
      <c r="E898" s="31"/>
      <c r="F898" s="31"/>
      <c r="G898" s="31"/>
      <c r="H898" s="32"/>
      <c r="I898" s="33"/>
      <c r="J898" s="32"/>
      <c r="K898" s="31"/>
    </row>
    <row r="899" spans="1:11" x14ac:dyDescent="0.2">
      <c r="A899" s="31"/>
      <c r="B899" s="31"/>
      <c r="C899" s="31"/>
      <c r="D899" s="31"/>
      <c r="E899" s="31"/>
      <c r="F899" s="31"/>
      <c r="G899" s="31"/>
      <c r="H899" s="32"/>
      <c r="I899" s="33"/>
      <c r="J899" s="32"/>
      <c r="K899" s="31"/>
    </row>
    <row r="900" spans="1:11" x14ac:dyDescent="0.2">
      <c r="A900" s="31"/>
      <c r="B900" s="31"/>
      <c r="C900" s="31"/>
      <c r="D900" s="31"/>
      <c r="E900" s="31"/>
      <c r="F900" s="31"/>
      <c r="G900" s="31"/>
      <c r="H900" s="32"/>
      <c r="I900" s="33"/>
      <c r="J900" s="32"/>
      <c r="K900" s="31"/>
    </row>
    <row r="901" spans="1:11" x14ac:dyDescent="0.2">
      <c r="A901" s="31"/>
      <c r="B901" s="31"/>
      <c r="C901" s="31"/>
      <c r="D901" s="31"/>
      <c r="E901" s="31"/>
      <c r="F901" s="31"/>
      <c r="G901" s="31"/>
      <c r="H901" s="32"/>
      <c r="I901" s="33"/>
      <c r="J901" s="32"/>
      <c r="K901" s="31"/>
    </row>
    <row r="902" spans="1:11" x14ac:dyDescent="0.2">
      <c r="A902" s="31"/>
      <c r="B902" s="31"/>
      <c r="C902" s="31"/>
      <c r="D902" s="31"/>
      <c r="E902" s="31"/>
      <c r="F902" s="31"/>
      <c r="G902" s="31"/>
      <c r="H902" s="32"/>
      <c r="I902" s="33"/>
      <c r="J902" s="32"/>
      <c r="K902" s="31"/>
    </row>
    <row r="903" spans="1:11" x14ac:dyDescent="0.2">
      <c r="A903" s="31"/>
      <c r="B903" s="31"/>
      <c r="C903" s="31"/>
      <c r="D903" s="31"/>
      <c r="E903" s="31"/>
      <c r="F903" s="31"/>
      <c r="G903" s="31"/>
      <c r="H903" s="32"/>
      <c r="I903" s="33"/>
      <c r="J903" s="32"/>
      <c r="K903" s="31"/>
    </row>
    <row r="904" spans="1:11" x14ac:dyDescent="0.2">
      <c r="A904" s="31"/>
      <c r="B904" s="31"/>
      <c r="C904" s="31"/>
      <c r="D904" s="31"/>
      <c r="E904" s="31"/>
      <c r="F904" s="31"/>
      <c r="G904" s="31"/>
      <c r="H904" s="32"/>
      <c r="I904" s="33"/>
      <c r="J904" s="32"/>
      <c r="K904" s="31"/>
    </row>
    <row r="905" spans="1:11" x14ac:dyDescent="0.2">
      <c r="A905" s="31"/>
      <c r="B905" s="31"/>
      <c r="C905" s="31"/>
      <c r="D905" s="31"/>
      <c r="E905" s="31"/>
      <c r="F905" s="31"/>
      <c r="G905" s="31"/>
      <c r="H905" s="32"/>
      <c r="I905" s="33"/>
      <c r="J905" s="32"/>
      <c r="K905" s="31"/>
    </row>
    <row r="906" spans="1:11" x14ac:dyDescent="0.2">
      <c r="A906" s="31"/>
      <c r="B906" s="31"/>
      <c r="C906" s="31"/>
      <c r="D906" s="31"/>
      <c r="E906" s="31"/>
      <c r="F906" s="31"/>
      <c r="G906" s="31"/>
      <c r="H906" s="32"/>
      <c r="I906" s="33"/>
      <c r="J906" s="32"/>
      <c r="K906" s="31"/>
    </row>
    <row r="907" spans="1:11" x14ac:dyDescent="0.2">
      <c r="A907" s="31"/>
      <c r="B907" s="31"/>
      <c r="C907" s="31"/>
      <c r="D907" s="31"/>
      <c r="E907" s="31"/>
      <c r="F907" s="31"/>
      <c r="G907" s="31"/>
      <c r="H907" s="32"/>
      <c r="I907" s="33"/>
      <c r="J907" s="32"/>
      <c r="K907" s="31"/>
    </row>
    <row r="908" spans="1:11" x14ac:dyDescent="0.2">
      <c r="A908" s="31"/>
      <c r="B908" s="31"/>
      <c r="C908" s="31"/>
      <c r="D908" s="31"/>
      <c r="E908" s="31"/>
      <c r="F908" s="31"/>
      <c r="G908" s="31"/>
      <c r="H908" s="32"/>
      <c r="I908" s="33"/>
      <c r="J908" s="32"/>
      <c r="K908" s="31"/>
    </row>
    <row r="909" spans="1:11" x14ac:dyDescent="0.2">
      <c r="A909" s="31"/>
      <c r="B909" s="31"/>
      <c r="C909" s="31"/>
      <c r="D909" s="31"/>
      <c r="E909" s="31"/>
      <c r="F909" s="31"/>
      <c r="G909" s="31"/>
      <c r="H909" s="32"/>
      <c r="I909" s="33"/>
      <c r="J909" s="32"/>
      <c r="K909" s="31"/>
    </row>
    <row r="910" spans="1:11" x14ac:dyDescent="0.2">
      <c r="A910" s="31"/>
      <c r="B910" s="31"/>
      <c r="C910" s="31"/>
      <c r="D910" s="31"/>
      <c r="E910" s="31"/>
      <c r="F910" s="31"/>
      <c r="G910" s="31"/>
      <c r="H910" s="32"/>
      <c r="I910" s="33"/>
      <c r="J910" s="32"/>
      <c r="K910" s="31"/>
    </row>
    <row r="911" spans="1:11" x14ac:dyDescent="0.2">
      <c r="A911" s="31"/>
      <c r="B911" s="31"/>
      <c r="C911" s="31"/>
      <c r="D911" s="31"/>
      <c r="E911" s="31"/>
      <c r="F911" s="31"/>
      <c r="G911" s="31"/>
      <c r="H911" s="32"/>
      <c r="I911" s="33"/>
      <c r="J911" s="32"/>
      <c r="K911" s="31"/>
    </row>
    <row r="912" spans="1:11" x14ac:dyDescent="0.2">
      <c r="A912" s="31"/>
      <c r="B912" s="31"/>
      <c r="C912" s="31"/>
      <c r="D912" s="31"/>
      <c r="E912" s="31"/>
      <c r="F912" s="31"/>
      <c r="G912" s="31"/>
      <c r="H912" s="32"/>
      <c r="I912" s="33"/>
      <c r="J912" s="32"/>
      <c r="K912" s="31"/>
    </row>
    <row r="913" spans="1:11" x14ac:dyDescent="0.2">
      <c r="A913" s="31"/>
      <c r="B913" s="31"/>
      <c r="C913" s="31"/>
      <c r="D913" s="31"/>
      <c r="E913" s="31"/>
      <c r="F913" s="31"/>
      <c r="G913" s="31"/>
      <c r="H913" s="32"/>
      <c r="I913" s="33"/>
      <c r="J913" s="32"/>
      <c r="K913" s="31"/>
    </row>
    <row r="914" spans="1:11" x14ac:dyDescent="0.2">
      <c r="A914" s="31"/>
      <c r="B914" s="31"/>
      <c r="C914" s="31"/>
      <c r="D914" s="31"/>
      <c r="E914" s="31"/>
      <c r="F914" s="31"/>
      <c r="G914" s="31"/>
      <c r="H914" s="32"/>
      <c r="I914" s="33"/>
      <c r="J914" s="32"/>
      <c r="K914" s="31"/>
    </row>
    <row r="915" spans="1:11" x14ac:dyDescent="0.2">
      <c r="A915" s="31"/>
      <c r="B915" s="31"/>
      <c r="C915" s="31"/>
      <c r="D915" s="31"/>
      <c r="E915" s="31"/>
      <c r="F915" s="31"/>
      <c r="G915" s="31"/>
      <c r="H915" s="32"/>
      <c r="I915" s="33"/>
      <c r="J915" s="32"/>
      <c r="K915" s="31"/>
    </row>
    <row r="916" spans="1:11" x14ac:dyDescent="0.2">
      <c r="A916" s="31"/>
      <c r="B916" s="31"/>
      <c r="C916" s="31"/>
      <c r="D916" s="31"/>
      <c r="E916" s="31"/>
      <c r="F916" s="31"/>
      <c r="G916" s="31"/>
      <c r="H916" s="32"/>
      <c r="I916" s="33"/>
      <c r="J916" s="32"/>
      <c r="K916" s="31"/>
    </row>
    <row r="917" spans="1:11" x14ac:dyDescent="0.2">
      <c r="A917" s="31"/>
      <c r="B917" s="31"/>
      <c r="C917" s="31"/>
      <c r="D917" s="31"/>
      <c r="E917" s="31"/>
      <c r="F917" s="31"/>
      <c r="G917" s="31"/>
      <c r="H917" s="32"/>
      <c r="I917" s="33"/>
      <c r="J917" s="32"/>
      <c r="K917" s="31"/>
    </row>
    <row r="918" spans="1:11" x14ac:dyDescent="0.2">
      <c r="A918" s="31"/>
      <c r="B918" s="31"/>
      <c r="C918" s="31"/>
      <c r="D918" s="31"/>
      <c r="E918" s="31"/>
      <c r="F918" s="31"/>
      <c r="G918" s="31"/>
      <c r="H918" s="32"/>
      <c r="I918" s="33"/>
      <c r="J918" s="32"/>
      <c r="K918" s="31"/>
    </row>
    <row r="919" spans="1:11" x14ac:dyDescent="0.2">
      <c r="A919" s="31"/>
      <c r="B919" s="31"/>
      <c r="C919" s="31"/>
      <c r="D919" s="31"/>
      <c r="E919" s="31"/>
      <c r="F919" s="31"/>
      <c r="G919" s="31"/>
      <c r="H919" s="32"/>
      <c r="I919" s="33"/>
      <c r="J919" s="32"/>
      <c r="K919" s="31"/>
    </row>
    <row r="920" spans="1:11" x14ac:dyDescent="0.2">
      <c r="A920" s="31"/>
      <c r="B920" s="31"/>
      <c r="C920" s="31"/>
      <c r="D920" s="31"/>
      <c r="E920" s="31"/>
      <c r="F920" s="31"/>
      <c r="G920" s="31"/>
      <c r="H920" s="32"/>
      <c r="I920" s="33"/>
      <c r="J920" s="32"/>
      <c r="K920" s="31"/>
    </row>
    <row r="921" spans="1:11" x14ac:dyDescent="0.2">
      <c r="A921" s="31"/>
      <c r="B921" s="31"/>
      <c r="C921" s="31"/>
      <c r="D921" s="31"/>
      <c r="E921" s="31"/>
      <c r="F921" s="31"/>
      <c r="G921" s="31"/>
      <c r="H921" s="32"/>
      <c r="I921" s="33"/>
      <c r="J921" s="32"/>
      <c r="K921" s="31"/>
    </row>
    <row r="922" spans="1:11" x14ac:dyDescent="0.2">
      <c r="A922" s="31"/>
      <c r="B922" s="31"/>
      <c r="C922" s="31"/>
      <c r="D922" s="31"/>
      <c r="E922" s="31"/>
      <c r="F922" s="31"/>
      <c r="G922" s="31"/>
      <c r="H922" s="32"/>
      <c r="I922" s="33"/>
      <c r="J922" s="32"/>
      <c r="K922" s="31"/>
    </row>
    <row r="923" spans="1:11" x14ac:dyDescent="0.2">
      <c r="A923" s="31"/>
      <c r="B923" s="31"/>
      <c r="C923" s="31"/>
      <c r="D923" s="31"/>
      <c r="E923" s="31"/>
      <c r="F923" s="31"/>
      <c r="G923" s="31"/>
      <c r="H923" s="32"/>
      <c r="I923" s="33"/>
      <c r="J923" s="32"/>
      <c r="K923" s="31"/>
    </row>
    <row r="924" spans="1:11" x14ac:dyDescent="0.2">
      <c r="A924" s="31"/>
      <c r="B924" s="31"/>
      <c r="C924" s="31"/>
      <c r="D924" s="31"/>
      <c r="E924" s="31"/>
      <c r="F924" s="31"/>
      <c r="G924" s="31"/>
      <c r="H924" s="32"/>
      <c r="I924" s="33"/>
      <c r="J924" s="32"/>
      <c r="K924" s="31"/>
    </row>
    <row r="925" spans="1:11" x14ac:dyDescent="0.2">
      <c r="A925" s="31"/>
      <c r="B925" s="31"/>
      <c r="C925" s="31"/>
      <c r="D925" s="31"/>
      <c r="E925" s="31"/>
      <c r="F925" s="31"/>
      <c r="G925" s="31"/>
      <c r="H925" s="32"/>
      <c r="I925" s="33"/>
      <c r="J925" s="32"/>
      <c r="K925" s="31"/>
    </row>
    <row r="926" spans="1:11" x14ac:dyDescent="0.2">
      <c r="A926" s="31"/>
      <c r="B926" s="31"/>
      <c r="C926" s="31"/>
      <c r="D926" s="31"/>
      <c r="E926" s="31"/>
      <c r="F926" s="31"/>
      <c r="G926" s="31"/>
      <c r="H926" s="32"/>
      <c r="I926" s="33"/>
      <c r="J926" s="32"/>
      <c r="K926" s="31"/>
    </row>
    <row r="927" spans="1:11" x14ac:dyDescent="0.2">
      <c r="A927" s="31"/>
      <c r="B927" s="31"/>
      <c r="C927" s="31"/>
      <c r="D927" s="31"/>
      <c r="E927" s="31"/>
      <c r="F927" s="31"/>
      <c r="G927" s="31"/>
      <c r="H927" s="32"/>
      <c r="I927" s="33"/>
      <c r="J927" s="32"/>
      <c r="K927" s="31"/>
    </row>
    <row r="928" spans="1:11" x14ac:dyDescent="0.2">
      <c r="A928" s="31"/>
      <c r="B928" s="31"/>
      <c r="C928" s="31"/>
      <c r="D928" s="31"/>
      <c r="E928" s="31"/>
      <c r="F928" s="31"/>
      <c r="G928" s="31"/>
      <c r="H928" s="32"/>
      <c r="I928" s="33"/>
      <c r="J928" s="32"/>
      <c r="K928" s="31"/>
    </row>
    <row r="929" spans="1:11" x14ac:dyDescent="0.2">
      <c r="A929" s="31"/>
      <c r="B929" s="31"/>
      <c r="C929" s="31"/>
      <c r="D929" s="31"/>
      <c r="E929" s="31"/>
      <c r="F929" s="31"/>
      <c r="G929" s="31"/>
      <c r="H929" s="32"/>
      <c r="I929" s="33"/>
      <c r="J929" s="32"/>
      <c r="K929" s="31"/>
    </row>
    <row r="930" spans="1:11" x14ac:dyDescent="0.2">
      <c r="A930" s="31"/>
      <c r="B930" s="31"/>
      <c r="C930" s="31"/>
      <c r="D930" s="31"/>
      <c r="E930" s="31"/>
      <c r="F930" s="31"/>
      <c r="G930" s="31"/>
      <c r="H930" s="32"/>
      <c r="I930" s="33"/>
      <c r="J930" s="32"/>
      <c r="K930" s="31"/>
    </row>
    <row r="931" spans="1:11" x14ac:dyDescent="0.2">
      <c r="A931" s="31"/>
      <c r="B931" s="31"/>
      <c r="C931" s="31"/>
      <c r="D931" s="31"/>
      <c r="E931" s="31"/>
      <c r="F931" s="31"/>
      <c r="G931" s="31"/>
      <c r="H931" s="32"/>
      <c r="I931" s="33"/>
      <c r="J931" s="32"/>
      <c r="K931" s="31"/>
    </row>
    <row r="932" spans="1:11" x14ac:dyDescent="0.2">
      <c r="A932" s="31"/>
      <c r="B932" s="31"/>
      <c r="C932" s="31"/>
      <c r="D932" s="31"/>
      <c r="E932" s="31"/>
      <c r="F932" s="31"/>
      <c r="G932" s="31"/>
      <c r="H932" s="32"/>
      <c r="I932" s="33"/>
      <c r="J932" s="32"/>
      <c r="K932" s="31"/>
    </row>
    <row r="933" spans="1:11" x14ac:dyDescent="0.2">
      <c r="A933" s="31"/>
      <c r="B933" s="31"/>
      <c r="C933" s="31"/>
      <c r="D933" s="31"/>
      <c r="E933" s="31"/>
      <c r="F933" s="31"/>
      <c r="G933" s="31"/>
      <c r="H933" s="32"/>
      <c r="I933" s="33"/>
      <c r="J933" s="32"/>
      <c r="K933" s="31"/>
    </row>
    <row r="934" spans="1:11" x14ac:dyDescent="0.2">
      <c r="A934" s="31"/>
      <c r="B934" s="31"/>
      <c r="C934" s="31"/>
      <c r="D934" s="31"/>
      <c r="E934" s="31"/>
      <c r="F934" s="31"/>
      <c r="G934" s="31"/>
      <c r="H934" s="32"/>
      <c r="I934" s="33"/>
      <c r="J934" s="32"/>
      <c r="K934" s="31"/>
    </row>
    <row r="935" spans="1:11" x14ac:dyDescent="0.2">
      <c r="A935" s="31"/>
      <c r="B935" s="31"/>
      <c r="C935" s="31"/>
      <c r="D935" s="31"/>
      <c r="E935" s="31"/>
      <c r="F935" s="31"/>
      <c r="G935" s="31"/>
      <c r="H935" s="32"/>
      <c r="I935" s="33"/>
      <c r="J935" s="32"/>
      <c r="K935" s="31"/>
    </row>
    <row r="936" spans="1:11" x14ac:dyDescent="0.2">
      <c r="A936" s="31"/>
      <c r="B936" s="31"/>
      <c r="C936" s="31"/>
      <c r="D936" s="31"/>
      <c r="E936" s="31"/>
      <c r="F936" s="31"/>
      <c r="G936" s="31"/>
      <c r="H936" s="32"/>
      <c r="I936" s="33"/>
      <c r="J936" s="32"/>
      <c r="K936" s="31"/>
    </row>
    <row r="937" spans="1:11" x14ac:dyDescent="0.2">
      <c r="A937" s="31"/>
      <c r="B937" s="31"/>
      <c r="C937" s="31"/>
      <c r="D937" s="31"/>
      <c r="E937" s="31"/>
      <c r="F937" s="31"/>
      <c r="G937" s="31"/>
      <c r="H937" s="32"/>
      <c r="I937" s="33"/>
      <c r="J937" s="32"/>
      <c r="K937" s="31"/>
    </row>
    <row r="938" spans="1:11" x14ac:dyDescent="0.2">
      <c r="A938" s="31"/>
      <c r="B938" s="31"/>
      <c r="C938" s="31"/>
      <c r="D938" s="31"/>
      <c r="E938" s="31"/>
      <c r="F938" s="31"/>
      <c r="G938" s="31"/>
      <c r="H938" s="32"/>
      <c r="I938" s="33"/>
      <c r="J938" s="32"/>
      <c r="K938" s="31"/>
    </row>
    <row r="939" spans="1:11" x14ac:dyDescent="0.2">
      <c r="A939" s="31"/>
      <c r="B939" s="31"/>
      <c r="C939" s="31"/>
      <c r="D939" s="31"/>
      <c r="E939" s="31"/>
      <c r="F939" s="31"/>
      <c r="G939" s="31"/>
      <c r="H939" s="32"/>
      <c r="I939" s="33"/>
      <c r="J939" s="32"/>
      <c r="K939" s="31"/>
    </row>
    <row r="940" spans="1:11" x14ac:dyDescent="0.2">
      <c r="A940" s="31"/>
      <c r="B940" s="31"/>
      <c r="C940" s="31"/>
      <c r="D940" s="31"/>
      <c r="E940" s="31"/>
      <c r="F940" s="31"/>
      <c r="G940" s="31"/>
      <c r="H940" s="32"/>
      <c r="I940" s="33"/>
      <c r="J940" s="32"/>
      <c r="K940" s="31"/>
    </row>
    <row r="941" spans="1:11" x14ac:dyDescent="0.2">
      <c r="A941" s="31"/>
      <c r="B941" s="31"/>
      <c r="C941" s="31"/>
      <c r="D941" s="31"/>
      <c r="E941" s="31"/>
      <c r="F941" s="31"/>
      <c r="G941" s="31"/>
      <c r="H941" s="32"/>
      <c r="I941" s="33"/>
      <c r="J941" s="32"/>
      <c r="K941" s="31"/>
    </row>
    <row r="942" spans="1:11" x14ac:dyDescent="0.2">
      <c r="A942" s="31"/>
      <c r="B942" s="31"/>
      <c r="C942" s="31"/>
      <c r="D942" s="31"/>
      <c r="E942" s="31"/>
      <c r="F942" s="31"/>
      <c r="G942" s="31"/>
      <c r="H942" s="32"/>
      <c r="I942" s="33"/>
      <c r="J942" s="32"/>
      <c r="K942" s="31"/>
    </row>
    <row r="943" spans="1:11" x14ac:dyDescent="0.2">
      <c r="A943" s="31"/>
      <c r="B943" s="31"/>
      <c r="C943" s="31"/>
      <c r="D943" s="31"/>
      <c r="E943" s="31"/>
      <c r="F943" s="31"/>
      <c r="G943" s="31"/>
      <c r="H943" s="32"/>
      <c r="I943" s="33"/>
      <c r="J943" s="32"/>
      <c r="K943" s="31"/>
    </row>
    <row r="944" spans="1:11" x14ac:dyDescent="0.2">
      <c r="A944" s="31"/>
      <c r="B944" s="31"/>
      <c r="C944" s="31"/>
      <c r="D944" s="31"/>
      <c r="E944" s="31"/>
      <c r="F944" s="31"/>
      <c r="G944" s="31"/>
      <c r="H944" s="32"/>
      <c r="I944" s="33"/>
      <c r="J944" s="32"/>
      <c r="K944" s="31"/>
    </row>
    <row r="945" spans="1:11" x14ac:dyDescent="0.2">
      <c r="A945" s="31"/>
      <c r="B945" s="31"/>
      <c r="C945" s="31"/>
      <c r="D945" s="31"/>
      <c r="E945" s="31"/>
      <c r="F945" s="31"/>
      <c r="G945" s="31"/>
      <c r="H945" s="32"/>
      <c r="I945" s="33"/>
      <c r="J945" s="32"/>
      <c r="K945" s="31"/>
    </row>
    <row r="946" spans="1:11" x14ac:dyDescent="0.2">
      <c r="A946" s="31"/>
      <c r="B946" s="31"/>
      <c r="C946" s="31"/>
      <c r="D946" s="31"/>
      <c r="E946" s="31"/>
      <c r="F946" s="31"/>
      <c r="G946" s="31"/>
      <c r="H946" s="32"/>
      <c r="I946" s="33"/>
      <c r="J946" s="32"/>
      <c r="K946" s="31"/>
    </row>
    <row r="947" spans="1:11" x14ac:dyDescent="0.2">
      <c r="A947" s="31"/>
      <c r="B947" s="31"/>
      <c r="C947" s="31"/>
      <c r="D947" s="31"/>
      <c r="E947" s="31"/>
      <c r="F947" s="31"/>
      <c r="G947" s="31"/>
      <c r="H947" s="32"/>
      <c r="I947" s="33"/>
      <c r="J947" s="32"/>
      <c r="K947" s="31"/>
    </row>
    <row r="948" spans="1:11" x14ac:dyDescent="0.2">
      <c r="A948" s="31"/>
      <c r="B948" s="31"/>
      <c r="C948" s="31"/>
      <c r="D948" s="31"/>
      <c r="E948" s="31"/>
      <c r="F948" s="31"/>
      <c r="G948" s="31"/>
      <c r="H948" s="32"/>
      <c r="I948" s="33"/>
      <c r="J948" s="32"/>
      <c r="K948" s="31"/>
    </row>
    <row r="949" spans="1:11" x14ac:dyDescent="0.2">
      <c r="A949" s="31"/>
      <c r="B949" s="31"/>
      <c r="C949" s="31"/>
      <c r="D949" s="31"/>
      <c r="E949" s="31"/>
      <c r="F949" s="31"/>
      <c r="G949" s="31"/>
      <c r="H949" s="32"/>
      <c r="I949" s="33"/>
      <c r="J949" s="32"/>
      <c r="K949" s="31"/>
    </row>
    <row r="950" spans="1:11" x14ac:dyDescent="0.2">
      <c r="A950" s="31"/>
      <c r="B950" s="31"/>
      <c r="C950" s="31"/>
      <c r="D950" s="31"/>
      <c r="E950" s="31"/>
      <c r="F950" s="31"/>
      <c r="G950" s="31"/>
      <c r="H950" s="32"/>
      <c r="I950" s="33"/>
      <c r="J950" s="32"/>
      <c r="K950" s="31"/>
    </row>
    <row r="951" spans="1:11" x14ac:dyDescent="0.2">
      <c r="A951" s="31"/>
      <c r="B951" s="31"/>
      <c r="C951" s="31"/>
      <c r="D951" s="31"/>
      <c r="E951" s="31"/>
      <c r="F951" s="31"/>
      <c r="G951" s="31"/>
      <c r="H951" s="32"/>
      <c r="I951" s="33"/>
      <c r="J951" s="32"/>
      <c r="K951" s="31"/>
    </row>
    <row r="952" spans="1:11" x14ac:dyDescent="0.2">
      <c r="A952" s="31"/>
      <c r="B952" s="31"/>
      <c r="C952" s="31"/>
      <c r="D952" s="31"/>
      <c r="E952" s="31"/>
      <c r="F952" s="31"/>
      <c r="G952" s="31"/>
      <c r="H952" s="32"/>
      <c r="I952" s="33"/>
      <c r="J952" s="32"/>
      <c r="K952" s="31"/>
    </row>
    <row r="953" spans="1:11" x14ac:dyDescent="0.2">
      <c r="A953" s="31"/>
      <c r="B953" s="31"/>
      <c r="C953" s="31"/>
      <c r="D953" s="31"/>
      <c r="E953" s="31"/>
      <c r="F953" s="31"/>
      <c r="G953" s="31"/>
      <c r="H953" s="32"/>
      <c r="I953" s="33"/>
      <c r="J953" s="32"/>
      <c r="K953" s="31"/>
    </row>
    <row r="954" spans="1:11" x14ac:dyDescent="0.2">
      <c r="A954" s="31"/>
      <c r="B954" s="31"/>
      <c r="C954" s="31"/>
      <c r="D954" s="31"/>
      <c r="E954" s="31"/>
      <c r="F954" s="31"/>
      <c r="G954" s="31"/>
      <c r="H954" s="32"/>
      <c r="I954" s="33"/>
      <c r="J954" s="32"/>
      <c r="K954" s="31"/>
    </row>
    <row r="955" spans="1:11" x14ac:dyDescent="0.2">
      <c r="A955" s="31"/>
      <c r="B955" s="31"/>
      <c r="C955" s="31"/>
      <c r="D955" s="31"/>
      <c r="E955" s="31"/>
      <c r="F955" s="31"/>
      <c r="G955" s="31"/>
      <c r="H955" s="32"/>
      <c r="I955" s="33"/>
      <c r="J955" s="32"/>
      <c r="K955" s="31"/>
    </row>
    <row r="956" spans="1:11" x14ac:dyDescent="0.2">
      <c r="A956" s="31"/>
      <c r="B956" s="31"/>
      <c r="C956" s="31"/>
      <c r="D956" s="31"/>
      <c r="E956" s="31"/>
      <c r="F956" s="31"/>
      <c r="G956" s="31"/>
      <c r="H956" s="32"/>
      <c r="I956" s="33"/>
      <c r="J956" s="32"/>
      <c r="K956" s="31"/>
    </row>
    <row r="957" spans="1:11" x14ac:dyDescent="0.2">
      <c r="A957" s="31"/>
      <c r="B957" s="31"/>
      <c r="C957" s="31"/>
      <c r="D957" s="31"/>
      <c r="E957" s="31"/>
      <c r="F957" s="31"/>
      <c r="G957" s="31"/>
      <c r="H957" s="32"/>
      <c r="I957" s="33"/>
      <c r="J957" s="32"/>
      <c r="K957" s="31"/>
    </row>
    <row r="958" spans="1:11" x14ac:dyDescent="0.2">
      <c r="A958" s="31"/>
      <c r="B958" s="31"/>
      <c r="C958" s="31"/>
      <c r="D958" s="31"/>
      <c r="E958" s="31"/>
      <c r="F958" s="31"/>
      <c r="G958" s="31"/>
      <c r="H958" s="32"/>
      <c r="I958" s="33"/>
      <c r="J958" s="32"/>
      <c r="K958" s="31"/>
    </row>
    <row r="959" spans="1:11" x14ac:dyDescent="0.2">
      <c r="A959" s="31"/>
      <c r="B959" s="31"/>
      <c r="C959" s="31"/>
      <c r="D959" s="31"/>
      <c r="E959" s="31"/>
      <c r="F959" s="31"/>
      <c r="G959" s="31"/>
      <c r="H959" s="32"/>
      <c r="I959" s="33"/>
      <c r="J959" s="32"/>
      <c r="K959" s="31"/>
    </row>
    <row r="960" spans="1:11" x14ac:dyDescent="0.2">
      <c r="A960" s="31"/>
      <c r="B960" s="31"/>
      <c r="C960" s="31"/>
      <c r="D960" s="31"/>
      <c r="E960" s="31"/>
      <c r="F960" s="31"/>
      <c r="G960" s="31"/>
      <c r="H960" s="32"/>
      <c r="I960" s="33"/>
      <c r="J960" s="32"/>
      <c r="K960" s="31"/>
    </row>
    <row r="961" spans="1:11" x14ac:dyDescent="0.2">
      <c r="A961" s="31"/>
      <c r="B961" s="31"/>
      <c r="C961" s="31"/>
      <c r="D961" s="31"/>
      <c r="E961" s="31"/>
      <c r="F961" s="31"/>
      <c r="G961" s="31"/>
      <c r="H961" s="32"/>
      <c r="I961" s="33"/>
      <c r="J961" s="32"/>
      <c r="K961" s="31"/>
    </row>
    <row r="962" spans="1:11" x14ac:dyDescent="0.2">
      <c r="A962" s="31"/>
      <c r="B962" s="31"/>
      <c r="C962" s="31"/>
      <c r="D962" s="31"/>
      <c r="E962" s="31"/>
      <c r="F962" s="31"/>
      <c r="G962" s="31"/>
      <c r="H962" s="32"/>
      <c r="I962" s="33"/>
      <c r="J962" s="32"/>
      <c r="K962" s="31"/>
    </row>
    <row r="963" spans="1:11" x14ac:dyDescent="0.2">
      <c r="A963" s="31"/>
      <c r="B963" s="31"/>
      <c r="C963" s="31"/>
      <c r="D963" s="31"/>
      <c r="E963" s="31"/>
      <c r="F963" s="31"/>
      <c r="G963" s="31"/>
      <c r="H963" s="32"/>
      <c r="I963" s="33"/>
      <c r="J963" s="32"/>
      <c r="K963" s="31"/>
    </row>
    <row r="964" spans="1:11" x14ac:dyDescent="0.2">
      <c r="A964" s="31"/>
      <c r="B964" s="31"/>
      <c r="C964" s="31"/>
      <c r="D964" s="31"/>
      <c r="E964" s="31"/>
      <c r="F964" s="31"/>
      <c r="G964" s="31"/>
      <c r="H964" s="32"/>
      <c r="I964" s="33"/>
      <c r="J964" s="32"/>
      <c r="K964" s="31"/>
    </row>
    <row r="965" spans="1:11" x14ac:dyDescent="0.2">
      <c r="A965" s="31"/>
      <c r="B965" s="31"/>
      <c r="C965" s="31"/>
      <c r="D965" s="31"/>
      <c r="E965" s="31"/>
      <c r="F965" s="31"/>
      <c r="G965" s="31"/>
      <c r="H965" s="32"/>
      <c r="I965" s="33"/>
      <c r="J965" s="32"/>
      <c r="K965" s="31"/>
    </row>
    <row r="966" spans="1:11" x14ac:dyDescent="0.2">
      <c r="A966" s="31"/>
      <c r="B966" s="31"/>
      <c r="C966" s="31"/>
      <c r="D966" s="31"/>
      <c r="E966" s="31"/>
      <c r="F966" s="31"/>
      <c r="G966" s="31"/>
      <c r="H966" s="32"/>
      <c r="I966" s="33"/>
      <c r="J966" s="32"/>
      <c r="K966" s="31"/>
    </row>
    <row r="967" spans="1:11" x14ac:dyDescent="0.2">
      <c r="A967" s="31"/>
      <c r="B967" s="31"/>
      <c r="C967" s="31"/>
      <c r="D967" s="31"/>
      <c r="E967" s="31"/>
      <c r="F967" s="31"/>
      <c r="G967" s="31"/>
      <c r="H967" s="32"/>
      <c r="I967" s="33"/>
      <c r="J967" s="32"/>
      <c r="K967" s="31"/>
    </row>
    <row r="968" spans="1:11" x14ac:dyDescent="0.2">
      <c r="A968" s="31"/>
      <c r="B968" s="31"/>
      <c r="C968" s="31"/>
      <c r="D968" s="31"/>
      <c r="E968" s="31"/>
      <c r="F968" s="31"/>
      <c r="G968" s="31"/>
      <c r="H968" s="32"/>
      <c r="I968" s="33"/>
      <c r="J968" s="32"/>
      <c r="K968" s="31"/>
    </row>
    <row r="969" spans="1:11" x14ac:dyDescent="0.2">
      <c r="A969" s="31"/>
      <c r="B969" s="31"/>
      <c r="C969" s="31"/>
      <c r="D969" s="31"/>
      <c r="E969" s="31"/>
      <c r="F969" s="31"/>
      <c r="G969" s="31"/>
      <c r="H969" s="32"/>
      <c r="I969" s="33"/>
      <c r="J969" s="32"/>
      <c r="K969" s="31"/>
    </row>
    <row r="970" spans="1:11" x14ac:dyDescent="0.2">
      <c r="A970" s="31"/>
      <c r="B970" s="31"/>
      <c r="C970" s="31"/>
      <c r="D970" s="31"/>
      <c r="E970" s="31"/>
      <c r="F970" s="31"/>
      <c r="G970" s="31"/>
      <c r="H970" s="32"/>
      <c r="I970" s="33"/>
      <c r="J970" s="32"/>
      <c r="K970" s="31"/>
    </row>
    <row r="971" spans="1:11" x14ac:dyDescent="0.2">
      <c r="A971" s="31"/>
      <c r="B971" s="31"/>
      <c r="C971" s="31"/>
      <c r="D971" s="31"/>
      <c r="E971" s="31"/>
      <c r="F971" s="31"/>
      <c r="G971" s="31"/>
      <c r="H971" s="32"/>
      <c r="I971" s="33"/>
      <c r="J971" s="32"/>
      <c r="K971" s="31"/>
    </row>
    <row r="972" spans="1:11" x14ac:dyDescent="0.2">
      <c r="A972" s="31"/>
      <c r="B972" s="31"/>
      <c r="C972" s="31"/>
      <c r="D972" s="31"/>
      <c r="E972" s="31"/>
      <c r="F972" s="31"/>
      <c r="G972" s="31"/>
      <c r="H972" s="32"/>
      <c r="I972" s="33"/>
      <c r="J972" s="32"/>
      <c r="K972" s="31"/>
    </row>
    <row r="973" spans="1:11" x14ac:dyDescent="0.2">
      <c r="A973" s="31"/>
      <c r="B973" s="31"/>
      <c r="C973" s="31"/>
      <c r="D973" s="31"/>
      <c r="E973" s="31"/>
      <c r="F973" s="31"/>
      <c r="G973" s="31"/>
      <c r="H973" s="32"/>
      <c r="I973" s="33"/>
      <c r="J973" s="32"/>
      <c r="K973" s="31"/>
    </row>
    <row r="974" spans="1:11" x14ac:dyDescent="0.2">
      <c r="A974" s="31"/>
      <c r="B974" s="31"/>
      <c r="C974" s="31"/>
      <c r="D974" s="31"/>
      <c r="E974" s="31"/>
      <c r="F974" s="31"/>
      <c r="G974" s="31"/>
      <c r="H974" s="32"/>
      <c r="I974" s="33"/>
      <c r="J974" s="32"/>
      <c r="K974" s="31"/>
    </row>
    <row r="975" spans="1:11" x14ac:dyDescent="0.2">
      <c r="A975" s="31"/>
      <c r="B975" s="31"/>
      <c r="C975" s="31"/>
      <c r="D975" s="31"/>
      <c r="E975" s="31"/>
      <c r="F975" s="31"/>
      <c r="G975" s="31"/>
      <c r="H975" s="32"/>
      <c r="I975" s="33"/>
      <c r="J975" s="32"/>
      <c r="K975" s="31"/>
    </row>
    <row r="976" spans="1:11" x14ac:dyDescent="0.2">
      <c r="A976" s="31"/>
      <c r="B976" s="31"/>
      <c r="C976" s="31"/>
      <c r="D976" s="31"/>
      <c r="E976" s="31"/>
      <c r="F976" s="31"/>
      <c r="G976" s="31"/>
      <c r="H976" s="32"/>
      <c r="I976" s="33"/>
      <c r="J976" s="32"/>
      <c r="K976" s="31"/>
    </row>
    <row r="977" spans="1:11" x14ac:dyDescent="0.2">
      <c r="A977" s="31"/>
      <c r="B977" s="31"/>
      <c r="C977" s="31"/>
      <c r="D977" s="31"/>
      <c r="E977" s="31"/>
      <c r="F977" s="31"/>
      <c r="G977" s="31"/>
      <c r="H977" s="32"/>
      <c r="I977" s="33"/>
      <c r="J977" s="32"/>
      <c r="K977" s="31"/>
    </row>
    <row r="978" spans="1:11" x14ac:dyDescent="0.2">
      <c r="A978" s="31"/>
      <c r="B978" s="31"/>
      <c r="C978" s="31"/>
      <c r="D978" s="31"/>
      <c r="E978" s="31"/>
      <c r="F978" s="31"/>
      <c r="G978" s="31"/>
      <c r="H978" s="32"/>
      <c r="I978" s="33"/>
      <c r="J978" s="32"/>
      <c r="K978" s="31"/>
    </row>
    <row r="979" spans="1:11" x14ac:dyDescent="0.2">
      <c r="A979" s="31"/>
      <c r="B979" s="31"/>
      <c r="C979" s="31"/>
      <c r="D979" s="31"/>
      <c r="E979" s="31"/>
      <c r="F979" s="31"/>
      <c r="G979" s="31"/>
      <c r="H979" s="32"/>
      <c r="I979" s="33"/>
      <c r="J979" s="32"/>
      <c r="K979" s="31"/>
    </row>
    <row r="980" spans="1:11" x14ac:dyDescent="0.2">
      <c r="A980" s="31"/>
      <c r="B980" s="31"/>
      <c r="C980" s="31"/>
      <c r="D980" s="31"/>
      <c r="E980" s="31"/>
      <c r="F980" s="31"/>
      <c r="G980" s="31"/>
      <c r="H980" s="32"/>
      <c r="I980" s="33"/>
      <c r="J980" s="32"/>
      <c r="K980" s="31"/>
    </row>
    <row r="981" spans="1:11" x14ac:dyDescent="0.2">
      <c r="A981" s="31"/>
      <c r="B981" s="31"/>
      <c r="C981" s="31"/>
      <c r="D981" s="31"/>
      <c r="E981" s="31"/>
      <c r="F981" s="31"/>
      <c r="G981" s="31"/>
      <c r="H981" s="32"/>
      <c r="I981" s="33"/>
      <c r="J981" s="32"/>
      <c r="K981" s="31"/>
    </row>
    <row r="982" spans="1:11" x14ac:dyDescent="0.2">
      <c r="A982" s="31"/>
      <c r="B982" s="31"/>
      <c r="C982" s="31"/>
      <c r="D982" s="31"/>
      <c r="E982" s="31"/>
      <c r="F982" s="31"/>
      <c r="G982" s="31"/>
      <c r="H982" s="32"/>
      <c r="I982" s="33"/>
      <c r="J982" s="32"/>
      <c r="K982" s="31"/>
    </row>
    <row r="983" spans="1:11" x14ac:dyDescent="0.2">
      <c r="A983" s="31"/>
      <c r="B983" s="31"/>
      <c r="C983" s="31"/>
      <c r="D983" s="31"/>
      <c r="E983" s="31"/>
      <c r="F983" s="31"/>
      <c r="G983" s="31"/>
      <c r="H983" s="32"/>
      <c r="I983" s="33"/>
      <c r="J983" s="32"/>
      <c r="K983" s="31"/>
    </row>
    <row r="984" spans="1:11" x14ac:dyDescent="0.2">
      <c r="A984" s="31"/>
      <c r="B984" s="31"/>
      <c r="C984" s="31"/>
      <c r="D984" s="31"/>
      <c r="E984" s="31"/>
      <c r="F984" s="31"/>
      <c r="G984" s="31"/>
      <c r="H984" s="32"/>
      <c r="I984" s="33"/>
      <c r="J984" s="32"/>
      <c r="K984" s="31"/>
    </row>
    <row r="985" spans="1:11" x14ac:dyDescent="0.2">
      <c r="A985" s="31"/>
      <c r="B985" s="31"/>
      <c r="C985" s="31"/>
      <c r="D985" s="31"/>
      <c r="E985" s="31"/>
      <c r="F985" s="31"/>
      <c r="G985" s="31"/>
      <c r="H985" s="32"/>
      <c r="I985" s="33"/>
      <c r="J985" s="32"/>
      <c r="K985" s="31"/>
    </row>
    <row r="986" spans="1:11" x14ac:dyDescent="0.2">
      <c r="A986" s="31"/>
      <c r="B986" s="31"/>
      <c r="C986" s="31"/>
      <c r="D986" s="31"/>
      <c r="E986" s="31"/>
      <c r="F986" s="31"/>
      <c r="G986" s="31"/>
      <c r="H986" s="32"/>
      <c r="I986" s="33"/>
      <c r="J986" s="32"/>
      <c r="K986" s="31"/>
    </row>
    <row r="987" spans="1:11" x14ac:dyDescent="0.2">
      <c r="A987" s="31"/>
      <c r="B987" s="31"/>
      <c r="C987" s="31"/>
      <c r="D987" s="31"/>
      <c r="E987" s="31"/>
      <c r="F987" s="31"/>
      <c r="G987" s="31"/>
      <c r="H987" s="32"/>
      <c r="I987" s="33"/>
      <c r="J987" s="32"/>
      <c r="K987" s="31"/>
    </row>
    <row r="988" spans="1:11" x14ac:dyDescent="0.2">
      <c r="A988" s="31"/>
      <c r="B988" s="31"/>
      <c r="C988" s="31"/>
      <c r="D988" s="31"/>
      <c r="E988" s="31"/>
      <c r="F988" s="31"/>
      <c r="G988" s="31"/>
      <c r="H988" s="32"/>
      <c r="I988" s="33"/>
      <c r="J988" s="32"/>
      <c r="K988" s="31"/>
    </row>
    <row r="989" spans="1:11" x14ac:dyDescent="0.2">
      <c r="A989" s="31"/>
      <c r="B989" s="31"/>
      <c r="C989" s="31"/>
      <c r="D989" s="31"/>
      <c r="E989" s="31"/>
      <c r="F989" s="31"/>
      <c r="G989" s="31"/>
      <c r="H989" s="32"/>
      <c r="I989" s="33"/>
      <c r="J989" s="32"/>
      <c r="K989" s="31"/>
    </row>
    <row r="990" spans="1:11" x14ac:dyDescent="0.2">
      <c r="A990" s="31"/>
      <c r="B990" s="31"/>
      <c r="C990" s="31"/>
      <c r="D990" s="31"/>
      <c r="E990" s="31"/>
      <c r="F990" s="31"/>
      <c r="G990" s="31"/>
      <c r="H990" s="32"/>
      <c r="I990" s="33"/>
      <c r="J990" s="32"/>
      <c r="K990" s="31"/>
    </row>
    <row r="991" spans="1:11" x14ac:dyDescent="0.2">
      <c r="A991" s="31"/>
      <c r="B991" s="31"/>
      <c r="C991" s="31"/>
      <c r="D991" s="31"/>
      <c r="E991" s="31"/>
      <c r="F991" s="31"/>
      <c r="G991" s="31"/>
      <c r="H991" s="32"/>
      <c r="I991" s="33"/>
      <c r="J991" s="32"/>
      <c r="K991" s="31"/>
    </row>
    <row r="992" spans="1:11" x14ac:dyDescent="0.2">
      <c r="A992" s="31"/>
      <c r="B992" s="31"/>
      <c r="C992" s="31"/>
      <c r="D992" s="31"/>
      <c r="E992" s="31"/>
      <c r="F992" s="31"/>
      <c r="G992" s="31"/>
      <c r="H992" s="32"/>
      <c r="I992" s="33"/>
      <c r="J992" s="32"/>
      <c r="K992" s="31"/>
    </row>
    <row r="993" spans="1:11" x14ac:dyDescent="0.2">
      <c r="A993" s="31"/>
      <c r="B993" s="31"/>
      <c r="C993" s="31"/>
      <c r="D993" s="31"/>
      <c r="E993" s="31"/>
      <c r="F993" s="31"/>
      <c r="G993" s="31"/>
      <c r="H993" s="32"/>
      <c r="I993" s="33"/>
      <c r="J993" s="32"/>
      <c r="K993" s="31"/>
    </row>
    <row r="994" spans="1:11" x14ac:dyDescent="0.2">
      <c r="A994" s="31"/>
      <c r="B994" s="31"/>
      <c r="C994" s="31"/>
      <c r="D994" s="31"/>
      <c r="E994" s="31"/>
      <c r="F994" s="31"/>
      <c r="G994" s="31"/>
      <c r="H994" s="32"/>
      <c r="I994" s="33"/>
      <c r="J994" s="32"/>
      <c r="K994" s="31"/>
    </row>
    <row r="995" spans="1:11" x14ac:dyDescent="0.2">
      <c r="A995" s="31"/>
      <c r="B995" s="31"/>
      <c r="C995" s="31"/>
      <c r="D995" s="31"/>
      <c r="E995" s="31"/>
      <c r="F995" s="31"/>
      <c r="G995" s="31"/>
      <c r="H995" s="32"/>
      <c r="I995" s="33"/>
      <c r="J995" s="32"/>
      <c r="K995" s="31"/>
    </row>
    <row r="996" spans="1:11" x14ac:dyDescent="0.2">
      <c r="A996" s="31"/>
      <c r="B996" s="31"/>
      <c r="C996" s="31"/>
      <c r="D996" s="31"/>
      <c r="E996" s="31"/>
      <c r="F996" s="31"/>
      <c r="G996" s="31"/>
      <c r="H996" s="32"/>
      <c r="I996" s="33"/>
      <c r="J996" s="32"/>
      <c r="K996" s="31"/>
    </row>
    <row r="997" spans="1:11" x14ac:dyDescent="0.2">
      <c r="A997" s="31"/>
      <c r="B997" s="31"/>
      <c r="C997" s="31"/>
      <c r="D997" s="31"/>
      <c r="E997" s="31"/>
      <c r="F997" s="31"/>
      <c r="G997" s="31"/>
      <c r="H997" s="32"/>
      <c r="I997" s="33"/>
      <c r="J997" s="32"/>
      <c r="K997" s="31"/>
    </row>
    <row r="998" spans="1:11" x14ac:dyDescent="0.2">
      <c r="A998" s="31"/>
      <c r="B998" s="31"/>
      <c r="C998" s="31"/>
      <c r="D998" s="31"/>
      <c r="E998" s="31"/>
      <c r="F998" s="31"/>
      <c r="G998" s="31"/>
      <c r="H998" s="32"/>
      <c r="I998" s="33"/>
      <c r="J998" s="32"/>
      <c r="K998" s="31"/>
    </row>
    <row r="999" spans="1:11" x14ac:dyDescent="0.2">
      <c r="A999" s="31"/>
      <c r="B999" s="31"/>
      <c r="C999" s="31"/>
      <c r="D999" s="31"/>
      <c r="E999" s="31"/>
      <c r="F999" s="31"/>
      <c r="G999" s="31"/>
      <c r="H999" s="32"/>
      <c r="I999" s="33"/>
      <c r="J999" s="32"/>
      <c r="K999" s="31"/>
    </row>
    <row r="1000" spans="1:11" x14ac:dyDescent="0.2">
      <c r="A1000" s="31"/>
      <c r="B1000" s="31"/>
      <c r="C1000" s="31"/>
      <c r="D1000" s="31"/>
      <c r="E1000" s="31"/>
      <c r="F1000" s="31"/>
      <c r="G1000" s="31"/>
      <c r="H1000" s="32"/>
      <c r="I1000" s="33"/>
      <c r="J1000" s="32"/>
      <c r="K1000" s="31"/>
    </row>
    <row r="1001" spans="1:11" x14ac:dyDescent="0.2">
      <c r="A1001" s="31"/>
      <c r="B1001" s="31"/>
      <c r="C1001" s="31"/>
      <c r="D1001" s="31"/>
      <c r="E1001" s="31"/>
      <c r="F1001" s="31"/>
      <c r="G1001" s="31"/>
      <c r="H1001" s="32"/>
      <c r="I1001" s="33"/>
      <c r="J1001" s="32"/>
      <c r="K1001" s="31"/>
    </row>
    <row r="1002" spans="1:11" x14ac:dyDescent="0.2">
      <c r="A1002" s="31"/>
      <c r="B1002" s="31"/>
      <c r="C1002" s="31"/>
      <c r="D1002" s="31"/>
      <c r="E1002" s="31"/>
      <c r="F1002" s="31"/>
      <c r="G1002" s="31"/>
      <c r="H1002" s="32"/>
      <c r="I1002" s="33"/>
      <c r="J1002" s="32"/>
      <c r="K1002" s="31"/>
    </row>
    <row r="1003" spans="1:11" x14ac:dyDescent="0.2">
      <c r="A1003" s="31"/>
      <c r="B1003" s="31"/>
      <c r="C1003" s="31"/>
      <c r="D1003" s="31"/>
      <c r="E1003" s="31"/>
      <c r="F1003" s="31"/>
      <c r="G1003" s="31"/>
      <c r="H1003" s="32"/>
      <c r="I1003" s="33"/>
      <c r="J1003" s="32"/>
      <c r="K1003" s="31"/>
    </row>
    <row r="1004" spans="1:11" x14ac:dyDescent="0.2">
      <c r="A1004" s="31"/>
      <c r="B1004" s="31"/>
      <c r="C1004" s="31"/>
      <c r="D1004" s="31"/>
      <c r="E1004" s="31"/>
      <c r="F1004" s="31"/>
      <c r="G1004" s="31"/>
      <c r="H1004" s="32"/>
      <c r="I1004" s="33"/>
      <c r="J1004" s="32"/>
      <c r="K1004" s="31"/>
    </row>
    <row r="1005" spans="1:11" x14ac:dyDescent="0.2">
      <c r="A1005" s="31"/>
      <c r="B1005" s="31"/>
      <c r="C1005" s="31"/>
      <c r="D1005" s="31"/>
      <c r="E1005" s="31"/>
      <c r="F1005" s="31"/>
      <c r="G1005" s="31"/>
      <c r="H1005" s="32"/>
      <c r="I1005" s="33"/>
      <c r="J1005" s="32"/>
      <c r="K1005" s="31"/>
    </row>
    <row r="1006" spans="1:11" x14ac:dyDescent="0.2">
      <c r="A1006" s="31"/>
      <c r="B1006" s="31"/>
      <c r="C1006" s="31"/>
      <c r="D1006" s="31"/>
      <c r="E1006" s="31"/>
      <c r="F1006" s="31"/>
      <c r="G1006" s="31"/>
      <c r="H1006" s="32"/>
      <c r="I1006" s="33"/>
      <c r="J1006" s="32"/>
      <c r="K1006" s="31"/>
    </row>
    <row r="1007" spans="1:11" x14ac:dyDescent="0.2">
      <c r="A1007" s="31"/>
      <c r="B1007" s="31"/>
      <c r="C1007" s="31"/>
      <c r="D1007" s="31"/>
      <c r="E1007" s="31"/>
      <c r="F1007" s="31"/>
      <c r="G1007" s="31"/>
      <c r="H1007" s="32"/>
      <c r="I1007" s="33"/>
      <c r="J1007" s="32"/>
      <c r="K1007" s="31"/>
    </row>
    <row r="1008" spans="1:11" x14ac:dyDescent="0.2">
      <c r="A1008" s="31"/>
      <c r="B1008" s="31"/>
      <c r="C1008" s="31"/>
      <c r="D1008" s="31"/>
      <c r="E1008" s="31"/>
      <c r="F1008" s="31"/>
      <c r="G1008" s="31"/>
      <c r="H1008" s="32"/>
      <c r="I1008" s="33"/>
      <c r="J1008" s="32"/>
      <c r="K1008" s="31"/>
    </row>
    <row r="1009" spans="1:11" x14ac:dyDescent="0.2">
      <c r="A1009" s="31"/>
      <c r="B1009" s="31"/>
      <c r="C1009" s="31"/>
      <c r="D1009" s="31"/>
      <c r="E1009" s="31"/>
      <c r="F1009" s="31"/>
      <c r="G1009" s="31"/>
      <c r="H1009" s="32"/>
      <c r="I1009" s="33"/>
      <c r="J1009" s="32"/>
      <c r="K1009" s="31"/>
    </row>
    <row r="1010" spans="1:11" x14ac:dyDescent="0.2">
      <c r="A1010" s="31"/>
      <c r="B1010" s="31"/>
      <c r="C1010" s="31"/>
      <c r="D1010" s="31"/>
      <c r="E1010" s="31"/>
      <c r="F1010" s="31"/>
      <c r="G1010" s="31"/>
      <c r="H1010" s="32"/>
      <c r="I1010" s="33"/>
      <c r="J1010" s="32"/>
      <c r="K1010" s="31"/>
    </row>
    <row r="1011" spans="1:11" x14ac:dyDescent="0.2">
      <c r="A1011" s="31"/>
      <c r="B1011" s="31"/>
      <c r="C1011" s="31"/>
      <c r="D1011" s="31"/>
      <c r="E1011" s="31"/>
      <c r="F1011" s="31"/>
      <c r="G1011" s="31"/>
      <c r="H1011" s="32"/>
      <c r="I1011" s="33"/>
      <c r="J1011" s="32"/>
      <c r="K1011" s="31"/>
    </row>
    <row r="1012" spans="1:11" x14ac:dyDescent="0.2">
      <c r="A1012" s="31"/>
      <c r="B1012" s="31"/>
      <c r="C1012" s="31"/>
      <c r="D1012" s="31"/>
      <c r="E1012" s="31"/>
      <c r="F1012" s="31"/>
      <c r="G1012" s="31"/>
      <c r="H1012" s="32"/>
      <c r="I1012" s="33"/>
      <c r="J1012" s="32"/>
      <c r="K1012" s="31"/>
    </row>
    <row r="1013" spans="1:11" x14ac:dyDescent="0.2">
      <c r="A1013" s="31"/>
      <c r="B1013" s="31"/>
      <c r="C1013" s="31"/>
      <c r="D1013" s="31"/>
      <c r="E1013" s="31"/>
      <c r="F1013" s="31"/>
      <c r="G1013" s="31"/>
      <c r="H1013" s="32"/>
      <c r="I1013" s="33"/>
      <c r="J1013" s="32"/>
      <c r="K1013" s="31"/>
    </row>
    <row r="1014" spans="1:11" x14ac:dyDescent="0.2">
      <c r="A1014" s="31"/>
      <c r="B1014" s="31"/>
      <c r="C1014" s="31"/>
      <c r="D1014" s="31"/>
      <c r="E1014" s="31"/>
      <c r="F1014" s="31"/>
      <c r="G1014" s="31"/>
      <c r="H1014" s="32"/>
      <c r="I1014" s="33"/>
      <c r="J1014" s="32"/>
      <c r="K1014" s="31"/>
    </row>
    <row r="1015" spans="1:11" x14ac:dyDescent="0.2">
      <c r="A1015" s="31"/>
      <c r="B1015" s="31"/>
      <c r="C1015" s="31"/>
      <c r="D1015" s="31"/>
      <c r="E1015" s="31"/>
      <c r="F1015" s="31"/>
      <c r="G1015" s="31"/>
      <c r="H1015" s="32"/>
      <c r="I1015" s="33"/>
      <c r="J1015" s="32"/>
      <c r="K1015" s="31"/>
    </row>
    <row r="1016" spans="1:11" x14ac:dyDescent="0.2">
      <c r="A1016" s="31"/>
      <c r="B1016" s="31"/>
      <c r="C1016" s="31"/>
      <c r="D1016" s="31"/>
      <c r="E1016" s="31"/>
      <c r="F1016" s="31"/>
      <c r="G1016" s="31"/>
      <c r="H1016" s="32"/>
      <c r="I1016" s="33"/>
      <c r="J1016" s="32"/>
      <c r="K1016" s="31"/>
    </row>
    <row r="1017" spans="1:11" x14ac:dyDescent="0.2">
      <c r="A1017" s="31"/>
      <c r="B1017" s="31"/>
      <c r="C1017" s="31"/>
      <c r="D1017" s="31"/>
      <c r="E1017" s="31"/>
      <c r="F1017" s="31"/>
      <c r="G1017" s="31"/>
      <c r="H1017" s="32"/>
      <c r="I1017" s="33"/>
      <c r="J1017" s="32"/>
      <c r="K1017" s="31"/>
    </row>
    <row r="1018" spans="1:11" x14ac:dyDescent="0.2">
      <c r="A1018" s="31"/>
      <c r="B1018" s="31"/>
      <c r="C1018" s="31"/>
      <c r="D1018" s="31"/>
      <c r="E1018" s="31"/>
      <c r="F1018" s="31"/>
      <c r="G1018" s="31"/>
      <c r="H1018" s="32"/>
      <c r="I1018" s="33"/>
      <c r="J1018" s="32"/>
      <c r="K1018" s="31"/>
    </row>
    <row r="1019" spans="1:11" x14ac:dyDescent="0.2">
      <c r="A1019" s="31"/>
      <c r="B1019" s="31"/>
      <c r="C1019" s="31"/>
      <c r="D1019" s="31"/>
      <c r="E1019" s="31"/>
      <c r="F1019" s="31"/>
      <c r="G1019" s="31"/>
      <c r="H1019" s="32"/>
      <c r="I1019" s="33"/>
      <c r="J1019" s="32"/>
      <c r="K1019" s="31"/>
    </row>
    <row r="1020" spans="1:11" x14ac:dyDescent="0.2">
      <c r="A1020" s="31"/>
      <c r="B1020" s="31"/>
      <c r="C1020" s="31"/>
      <c r="D1020" s="31"/>
      <c r="E1020" s="31"/>
      <c r="F1020" s="31"/>
      <c r="G1020" s="31"/>
      <c r="H1020" s="32"/>
      <c r="I1020" s="33"/>
      <c r="J1020" s="32"/>
      <c r="K1020" s="31"/>
    </row>
    <row r="1021" spans="1:11" x14ac:dyDescent="0.2">
      <c r="A1021" s="31"/>
      <c r="B1021" s="31"/>
      <c r="C1021" s="31"/>
      <c r="D1021" s="31"/>
      <c r="E1021" s="31"/>
      <c r="F1021" s="31"/>
      <c r="G1021" s="31"/>
      <c r="H1021" s="32"/>
      <c r="I1021" s="33"/>
      <c r="J1021" s="32"/>
      <c r="K1021" s="31"/>
    </row>
    <row r="1022" spans="1:11" x14ac:dyDescent="0.2">
      <c r="A1022" s="31"/>
      <c r="B1022" s="31"/>
      <c r="C1022" s="31"/>
      <c r="D1022" s="31"/>
      <c r="E1022" s="31"/>
      <c r="F1022" s="31"/>
      <c r="G1022" s="31"/>
      <c r="H1022" s="32"/>
      <c r="I1022" s="33"/>
      <c r="J1022" s="32"/>
      <c r="K1022" s="31"/>
    </row>
    <row r="1023" spans="1:11" x14ac:dyDescent="0.2">
      <c r="A1023" s="31"/>
      <c r="B1023" s="31"/>
      <c r="C1023" s="31"/>
      <c r="D1023" s="31"/>
      <c r="E1023" s="31"/>
      <c r="F1023" s="31"/>
      <c r="G1023" s="31"/>
      <c r="H1023" s="32"/>
      <c r="I1023" s="33"/>
      <c r="J1023" s="32"/>
      <c r="K1023" s="31"/>
    </row>
    <row r="1024" spans="1:11" x14ac:dyDescent="0.2">
      <c r="A1024" s="31"/>
      <c r="B1024" s="31"/>
      <c r="C1024" s="31"/>
      <c r="D1024" s="31"/>
      <c r="E1024" s="31"/>
      <c r="F1024" s="31"/>
      <c r="G1024" s="31"/>
      <c r="H1024" s="32"/>
      <c r="I1024" s="33"/>
      <c r="J1024" s="32"/>
      <c r="K1024" s="31"/>
    </row>
    <row r="1025" spans="1:11" x14ac:dyDescent="0.2">
      <c r="A1025" s="31"/>
      <c r="B1025" s="31"/>
      <c r="C1025" s="31"/>
      <c r="D1025" s="31"/>
      <c r="E1025" s="31"/>
      <c r="F1025" s="31"/>
      <c r="G1025" s="31"/>
      <c r="H1025" s="31"/>
      <c r="I1025" s="33"/>
      <c r="J1025" s="32"/>
      <c r="K1025" s="31"/>
    </row>
    <row r="1026" spans="1:11" x14ac:dyDescent="0.2">
      <c r="A1026" s="31"/>
      <c r="B1026" s="31"/>
      <c r="C1026" s="31"/>
      <c r="D1026" s="31"/>
      <c r="E1026" s="31"/>
      <c r="F1026" s="31"/>
      <c r="G1026" s="31"/>
      <c r="H1026" s="31"/>
      <c r="I1026" s="33"/>
      <c r="J1026" s="32"/>
      <c r="K1026" s="31"/>
    </row>
    <row r="1027" spans="1:11" x14ac:dyDescent="0.2">
      <c r="A1027" s="31"/>
      <c r="B1027" s="31"/>
      <c r="C1027" s="31"/>
      <c r="D1027" s="31"/>
      <c r="E1027" s="31"/>
      <c r="F1027" s="31"/>
      <c r="G1027" s="31"/>
      <c r="H1027" s="31"/>
      <c r="I1027" s="33"/>
      <c r="J1027" s="32"/>
      <c r="K1027" s="31"/>
    </row>
    <row r="1028" spans="1:11" x14ac:dyDescent="0.2">
      <c r="A1028" s="31"/>
      <c r="B1028" s="31"/>
      <c r="C1028" s="31"/>
      <c r="D1028" s="31"/>
      <c r="E1028" s="31"/>
      <c r="F1028" s="31"/>
      <c r="G1028" s="31"/>
      <c r="H1028" s="31"/>
      <c r="I1028" s="33"/>
      <c r="J1028" s="32"/>
      <c r="K1028" s="31"/>
    </row>
    <row r="1029" spans="1:11" x14ac:dyDescent="0.2">
      <c r="A1029" s="31"/>
      <c r="B1029" s="31"/>
      <c r="C1029" s="31"/>
      <c r="D1029" s="31"/>
      <c r="E1029" s="31"/>
      <c r="F1029" s="31"/>
      <c r="G1029" s="31"/>
      <c r="H1029" s="31"/>
      <c r="I1029" s="33"/>
      <c r="J1029" s="32"/>
      <c r="K1029" s="31"/>
    </row>
    <row r="1030" spans="1:11" x14ac:dyDescent="0.2">
      <c r="A1030" s="31"/>
      <c r="B1030" s="31"/>
      <c r="C1030" s="31"/>
      <c r="D1030" s="31"/>
      <c r="E1030" s="31"/>
      <c r="F1030" s="31"/>
      <c r="G1030" s="31"/>
      <c r="H1030" s="31"/>
      <c r="I1030" s="33"/>
      <c r="J1030" s="32"/>
      <c r="K1030" s="31"/>
    </row>
    <row r="1031" spans="1:11" x14ac:dyDescent="0.2">
      <c r="A1031" s="31"/>
      <c r="B1031" s="31"/>
      <c r="C1031" s="31"/>
      <c r="D1031" s="31"/>
      <c r="E1031" s="31"/>
      <c r="F1031" s="31"/>
      <c r="G1031" s="31"/>
      <c r="H1031" s="31"/>
      <c r="I1031" s="33"/>
      <c r="J1031" s="32"/>
      <c r="K1031" s="31"/>
    </row>
    <row r="1032" spans="1:11" x14ac:dyDescent="0.2">
      <c r="A1032" s="31"/>
      <c r="B1032" s="31"/>
      <c r="C1032" s="31"/>
      <c r="D1032" s="31"/>
      <c r="E1032" s="31"/>
      <c r="F1032" s="31"/>
      <c r="G1032" s="31"/>
      <c r="H1032" s="31"/>
      <c r="I1032" s="33"/>
      <c r="J1032" s="32"/>
      <c r="K1032" s="31"/>
    </row>
    <row r="1033" spans="1:11" x14ac:dyDescent="0.2">
      <c r="A1033" s="31"/>
      <c r="B1033" s="31"/>
      <c r="C1033" s="31"/>
      <c r="D1033" s="31"/>
      <c r="E1033" s="31"/>
      <c r="F1033" s="31"/>
      <c r="G1033" s="31"/>
      <c r="H1033" s="31"/>
      <c r="I1033" s="33"/>
      <c r="J1033" s="32"/>
      <c r="K1033" s="31"/>
    </row>
    <row r="1034" spans="1:11" x14ac:dyDescent="0.2">
      <c r="A1034" s="31"/>
      <c r="B1034" s="31"/>
      <c r="C1034" s="31"/>
      <c r="D1034" s="31"/>
      <c r="E1034" s="31"/>
      <c r="F1034" s="31"/>
      <c r="G1034" s="31"/>
      <c r="H1034" s="31"/>
      <c r="I1034" s="33"/>
      <c r="J1034" s="32"/>
      <c r="K1034" s="31"/>
    </row>
    <row r="1035" spans="1:11" x14ac:dyDescent="0.2">
      <c r="A1035" s="31"/>
      <c r="B1035" s="31"/>
      <c r="C1035" s="31"/>
      <c r="D1035" s="31"/>
      <c r="E1035" s="31"/>
      <c r="F1035" s="31"/>
      <c r="G1035" s="31"/>
      <c r="H1035" s="31"/>
      <c r="I1035" s="33"/>
      <c r="J1035" s="32"/>
      <c r="K1035" s="31"/>
    </row>
    <row r="1036" spans="1:11" x14ac:dyDescent="0.2">
      <c r="A1036" s="31"/>
      <c r="B1036" s="31"/>
      <c r="C1036" s="31"/>
      <c r="D1036" s="31"/>
      <c r="E1036" s="31"/>
      <c r="F1036" s="31"/>
      <c r="G1036" s="31"/>
      <c r="H1036" s="31"/>
      <c r="I1036" s="33"/>
      <c r="J1036" s="32"/>
      <c r="K1036" s="31"/>
    </row>
    <row r="1037" spans="1:11" x14ac:dyDescent="0.2">
      <c r="A1037" s="31"/>
      <c r="B1037" s="31"/>
      <c r="C1037" s="31"/>
      <c r="D1037" s="31"/>
      <c r="E1037" s="31"/>
      <c r="F1037" s="31"/>
      <c r="G1037" s="31"/>
      <c r="H1037" s="31"/>
      <c r="I1037" s="33"/>
      <c r="J1037" s="32"/>
      <c r="K1037" s="31"/>
    </row>
    <row r="1038" spans="1:11" x14ac:dyDescent="0.2">
      <c r="A1038" s="31"/>
      <c r="B1038" s="31"/>
      <c r="C1038" s="31"/>
      <c r="D1038" s="31"/>
      <c r="E1038" s="31"/>
      <c r="F1038" s="31"/>
      <c r="G1038" s="31"/>
      <c r="H1038" s="31"/>
      <c r="I1038" s="33"/>
      <c r="J1038" s="32"/>
      <c r="K1038" s="31"/>
    </row>
    <row r="1039" spans="1:11" x14ac:dyDescent="0.2">
      <c r="A1039" s="31"/>
      <c r="B1039" s="31"/>
      <c r="C1039" s="31"/>
      <c r="D1039" s="31"/>
      <c r="E1039" s="31"/>
      <c r="F1039" s="31"/>
      <c r="G1039" s="31"/>
      <c r="H1039" s="31"/>
      <c r="I1039" s="33"/>
      <c r="J1039" s="32"/>
      <c r="K1039" s="31"/>
    </row>
    <row r="1040" spans="1:11" x14ac:dyDescent="0.2">
      <c r="A1040" s="31"/>
      <c r="B1040" s="31"/>
      <c r="C1040" s="31"/>
      <c r="D1040" s="31"/>
      <c r="E1040" s="31"/>
      <c r="F1040" s="31"/>
      <c r="G1040" s="31"/>
      <c r="H1040" s="31"/>
      <c r="I1040" s="33"/>
      <c r="J1040" s="32"/>
      <c r="K1040" s="31"/>
    </row>
    <row r="1041" spans="1:11" x14ac:dyDescent="0.2">
      <c r="A1041" s="31"/>
      <c r="B1041" s="31"/>
      <c r="C1041" s="31"/>
      <c r="D1041" s="31"/>
      <c r="E1041" s="31"/>
      <c r="F1041" s="31"/>
      <c r="G1041" s="31"/>
      <c r="H1041" s="31"/>
      <c r="I1041" s="33"/>
      <c r="J1041" s="32"/>
      <c r="K1041" s="31"/>
    </row>
    <row r="1042" spans="1:11" x14ac:dyDescent="0.2">
      <c r="A1042" s="31"/>
      <c r="B1042" s="31"/>
      <c r="C1042" s="31"/>
      <c r="D1042" s="31"/>
      <c r="E1042" s="31"/>
      <c r="F1042" s="31"/>
      <c r="G1042" s="31"/>
      <c r="H1042" s="31"/>
      <c r="I1042" s="33"/>
      <c r="J1042" s="32"/>
      <c r="K1042" s="31"/>
    </row>
    <row r="1043" spans="1:11" x14ac:dyDescent="0.2">
      <c r="A1043" s="31"/>
      <c r="B1043" s="31"/>
      <c r="C1043" s="31"/>
      <c r="D1043" s="31"/>
      <c r="E1043" s="31"/>
      <c r="F1043" s="31"/>
      <c r="G1043" s="31"/>
      <c r="H1043" s="31"/>
      <c r="I1043" s="33"/>
      <c r="J1043" s="32"/>
      <c r="K1043" s="31"/>
    </row>
    <row r="1044" spans="1:11" x14ac:dyDescent="0.2">
      <c r="A1044" s="31"/>
      <c r="B1044" s="31"/>
      <c r="C1044" s="31"/>
      <c r="D1044" s="31"/>
      <c r="E1044" s="31"/>
      <c r="F1044" s="31"/>
      <c r="G1044" s="31"/>
      <c r="H1044" s="31"/>
      <c r="I1044" s="33"/>
      <c r="J1044" s="32"/>
      <c r="K1044" s="31"/>
    </row>
    <row r="1045" spans="1:11" x14ac:dyDescent="0.2">
      <c r="A1045" s="31"/>
      <c r="B1045" s="31"/>
      <c r="C1045" s="31"/>
      <c r="D1045" s="31"/>
      <c r="E1045" s="31"/>
      <c r="F1045" s="31"/>
      <c r="G1045" s="31"/>
      <c r="H1045" s="31"/>
      <c r="I1045" s="33"/>
      <c r="J1045" s="32"/>
      <c r="K1045" s="31"/>
    </row>
    <row r="1046" spans="1:11" x14ac:dyDescent="0.2">
      <c r="A1046" s="31"/>
      <c r="B1046" s="31"/>
      <c r="C1046" s="31"/>
      <c r="D1046" s="31"/>
      <c r="E1046" s="31"/>
      <c r="F1046" s="31"/>
      <c r="G1046" s="31"/>
      <c r="H1046" s="31"/>
      <c r="I1046" s="33"/>
      <c r="J1046" s="32"/>
      <c r="K1046" s="31"/>
    </row>
    <row r="1047" spans="1:11" x14ac:dyDescent="0.2">
      <c r="A1047" s="31"/>
      <c r="B1047" s="31"/>
      <c r="C1047" s="31"/>
      <c r="D1047" s="31"/>
      <c r="E1047" s="31"/>
      <c r="F1047" s="31"/>
      <c r="G1047" s="31"/>
      <c r="H1047" s="31"/>
      <c r="I1047" s="33"/>
      <c r="J1047" s="32"/>
      <c r="K1047" s="31"/>
    </row>
    <row r="1048" spans="1:11" x14ac:dyDescent="0.2">
      <c r="A1048" s="31"/>
      <c r="B1048" s="31"/>
      <c r="C1048" s="31"/>
      <c r="D1048" s="31"/>
      <c r="E1048" s="31"/>
      <c r="F1048" s="31"/>
      <c r="G1048" s="31"/>
      <c r="H1048" s="31"/>
      <c r="I1048" s="33"/>
      <c r="J1048" s="32"/>
      <c r="K1048" s="31"/>
    </row>
    <row r="1049" spans="1:11" x14ac:dyDescent="0.2">
      <c r="A1049" s="31"/>
      <c r="B1049" s="31"/>
      <c r="C1049" s="31"/>
      <c r="D1049" s="31"/>
      <c r="E1049" s="31"/>
      <c r="F1049" s="31"/>
      <c r="G1049" s="31"/>
      <c r="H1049" s="31"/>
      <c r="I1049" s="33"/>
      <c r="J1049" s="32"/>
      <c r="K1049" s="31"/>
    </row>
    <row r="1050" spans="1:11" x14ac:dyDescent="0.2">
      <c r="A1050" s="31"/>
      <c r="B1050" s="31"/>
      <c r="C1050" s="31"/>
      <c r="D1050" s="31"/>
      <c r="E1050" s="31"/>
      <c r="F1050" s="31"/>
      <c r="G1050" s="31"/>
      <c r="H1050" s="31"/>
      <c r="I1050" s="33"/>
      <c r="J1050" s="32"/>
      <c r="K1050" s="31"/>
    </row>
    <row r="1051" spans="1:11" x14ac:dyDescent="0.2">
      <c r="A1051" s="31"/>
      <c r="B1051" s="31"/>
      <c r="C1051" s="31"/>
      <c r="D1051" s="31"/>
      <c r="E1051" s="31"/>
      <c r="F1051" s="31"/>
      <c r="G1051" s="31"/>
      <c r="H1051" s="31"/>
      <c r="I1051" s="33"/>
      <c r="J1051" s="32"/>
      <c r="K1051" s="31"/>
    </row>
    <row r="1052" spans="1:11" x14ac:dyDescent="0.2">
      <c r="A1052" s="31"/>
      <c r="B1052" s="31"/>
      <c r="C1052" s="31"/>
      <c r="D1052" s="31"/>
      <c r="E1052" s="31"/>
      <c r="F1052" s="31"/>
      <c r="G1052" s="31"/>
      <c r="H1052" s="31"/>
      <c r="I1052" s="33"/>
      <c r="J1052" s="32"/>
      <c r="K1052" s="31"/>
    </row>
    <row r="1053" spans="1:11" x14ac:dyDescent="0.2">
      <c r="A1053" s="31"/>
      <c r="B1053" s="31"/>
      <c r="C1053" s="31"/>
      <c r="D1053" s="31"/>
      <c r="E1053" s="31"/>
      <c r="F1053" s="31"/>
      <c r="G1053" s="31"/>
      <c r="H1053" s="31"/>
      <c r="I1053" s="33"/>
      <c r="J1053" s="32"/>
      <c r="K1053" s="31"/>
    </row>
    <row r="1054" spans="1:11" x14ac:dyDescent="0.2">
      <c r="A1054" s="31"/>
      <c r="B1054" s="31"/>
      <c r="C1054" s="31"/>
      <c r="D1054" s="31"/>
      <c r="E1054" s="31"/>
      <c r="F1054" s="31"/>
      <c r="G1054" s="31"/>
      <c r="H1054" s="31"/>
      <c r="I1054" s="33"/>
      <c r="J1054" s="32"/>
      <c r="K1054" s="31"/>
    </row>
    <row r="1055" spans="1:11" x14ac:dyDescent="0.2">
      <c r="A1055" s="31"/>
      <c r="B1055" s="31"/>
      <c r="C1055" s="31"/>
      <c r="D1055" s="31"/>
      <c r="E1055" s="31"/>
      <c r="F1055" s="31"/>
      <c r="G1055" s="31"/>
      <c r="H1055" s="31"/>
      <c r="I1055" s="33"/>
      <c r="J1055" s="32"/>
      <c r="K1055" s="31"/>
    </row>
    <row r="1056" spans="1:11" x14ac:dyDescent="0.2">
      <c r="A1056" s="31"/>
      <c r="B1056" s="31"/>
      <c r="C1056" s="31"/>
      <c r="D1056" s="31"/>
      <c r="E1056" s="31"/>
      <c r="F1056" s="31"/>
      <c r="G1056" s="31"/>
      <c r="H1056" s="31"/>
      <c r="I1056" s="33"/>
      <c r="J1056" s="32"/>
      <c r="K1056" s="31"/>
    </row>
    <row r="1057" spans="1:11" x14ac:dyDescent="0.2">
      <c r="A1057" s="31"/>
      <c r="B1057" s="31"/>
      <c r="C1057" s="31"/>
      <c r="D1057" s="31"/>
      <c r="E1057" s="31"/>
      <c r="F1057" s="31"/>
      <c r="G1057" s="31"/>
      <c r="H1057" s="31"/>
      <c r="I1057" s="33"/>
      <c r="J1057" s="32"/>
      <c r="K1057" s="31"/>
    </row>
    <row r="1058" spans="1:11" x14ac:dyDescent="0.2">
      <c r="A1058" s="31"/>
      <c r="B1058" s="31"/>
      <c r="C1058" s="31"/>
      <c r="D1058" s="31"/>
      <c r="E1058" s="31"/>
      <c r="F1058" s="31"/>
      <c r="G1058" s="31"/>
      <c r="H1058" s="31"/>
      <c r="I1058" s="33"/>
      <c r="J1058" s="32"/>
      <c r="K1058" s="31"/>
    </row>
    <row r="1059" spans="1:11" x14ac:dyDescent="0.2">
      <c r="A1059" s="31"/>
      <c r="B1059" s="31"/>
      <c r="C1059" s="31"/>
      <c r="D1059" s="31"/>
      <c r="E1059" s="31"/>
      <c r="F1059" s="31"/>
      <c r="G1059" s="31"/>
      <c r="H1059" s="31"/>
      <c r="I1059" s="33"/>
      <c r="J1059" s="32"/>
      <c r="K1059" s="31"/>
    </row>
    <row r="1060" spans="1:11" x14ac:dyDescent="0.2">
      <c r="A1060" s="31"/>
      <c r="B1060" s="31"/>
      <c r="C1060" s="31"/>
      <c r="D1060" s="31"/>
      <c r="E1060" s="31"/>
      <c r="F1060" s="31"/>
      <c r="G1060" s="31"/>
      <c r="H1060" s="31"/>
      <c r="I1060" s="33"/>
      <c r="J1060" s="32"/>
      <c r="K1060" s="31"/>
    </row>
    <row r="1061" spans="1:11" x14ac:dyDescent="0.2">
      <c r="A1061" s="31"/>
      <c r="B1061" s="31"/>
      <c r="C1061" s="31"/>
      <c r="D1061" s="31"/>
      <c r="E1061" s="31"/>
      <c r="F1061" s="31"/>
      <c r="G1061" s="31"/>
      <c r="H1061" s="31"/>
      <c r="I1061" s="33"/>
      <c r="J1061" s="32"/>
      <c r="K1061" s="31"/>
    </row>
    <row r="1062" spans="1:11" x14ac:dyDescent="0.2">
      <c r="A1062" s="31"/>
      <c r="B1062" s="31"/>
      <c r="C1062" s="31"/>
      <c r="D1062" s="31"/>
      <c r="E1062" s="31"/>
      <c r="F1062" s="31"/>
      <c r="G1062" s="31"/>
      <c r="H1062" s="31"/>
      <c r="I1062" s="33"/>
      <c r="J1062" s="32"/>
      <c r="K1062" s="31"/>
    </row>
    <row r="1063" spans="1:11" x14ac:dyDescent="0.2">
      <c r="A1063" s="31"/>
      <c r="B1063" s="31"/>
      <c r="C1063" s="31"/>
      <c r="D1063" s="31"/>
      <c r="E1063" s="31"/>
      <c r="F1063" s="31"/>
      <c r="G1063" s="31"/>
      <c r="H1063" s="31"/>
      <c r="I1063" s="33"/>
      <c r="J1063" s="32"/>
      <c r="K1063" s="31"/>
    </row>
    <row r="1064" spans="1:11" x14ac:dyDescent="0.2">
      <c r="A1064" s="31"/>
      <c r="B1064" s="31"/>
      <c r="C1064" s="31"/>
      <c r="D1064" s="31"/>
      <c r="E1064" s="31"/>
      <c r="F1064" s="31"/>
      <c r="G1064" s="31"/>
      <c r="H1064" s="31"/>
      <c r="I1064" s="33"/>
      <c r="J1064" s="32"/>
      <c r="K1064" s="31"/>
    </row>
    <row r="1065" spans="1:11" x14ac:dyDescent="0.2">
      <c r="A1065" s="31"/>
      <c r="B1065" s="31"/>
      <c r="C1065" s="31"/>
      <c r="D1065" s="31"/>
      <c r="E1065" s="31"/>
      <c r="F1065" s="31"/>
      <c r="G1065" s="31"/>
      <c r="H1065" s="31"/>
      <c r="I1065" s="33"/>
      <c r="J1065" s="32"/>
      <c r="K1065" s="31"/>
    </row>
    <row r="1066" spans="1:11" x14ac:dyDescent="0.2">
      <c r="A1066" s="31"/>
      <c r="B1066" s="31"/>
      <c r="C1066" s="31"/>
      <c r="D1066" s="31"/>
      <c r="E1066" s="31"/>
      <c r="F1066" s="31"/>
      <c r="G1066" s="31"/>
      <c r="H1066" s="31"/>
      <c r="I1066" s="33"/>
      <c r="J1066" s="32"/>
      <c r="K1066" s="31"/>
    </row>
    <row r="1067" spans="1:11" x14ac:dyDescent="0.2">
      <c r="A1067" s="31"/>
      <c r="B1067" s="31"/>
      <c r="C1067" s="31"/>
      <c r="D1067" s="31"/>
      <c r="E1067" s="31"/>
      <c r="F1067" s="31"/>
      <c r="G1067" s="31"/>
      <c r="H1067" s="31"/>
      <c r="I1067" s="33"/>
      <c r="J1067" s="32"/>
      <c r="K1067" s="31"/>
    </row>
    <row r="1068" spans="1:11" x14ac:dyDescent="0.2">
      <c r="A1068" s="31"/>
      <c r="B1068" s="31"/>
      <c r="C1068" s="31"/>
      <c r="D1068" s="31"/>
      <c r="E1068" s="31"/>
      <c r="F1068" s="31"/>
      <c r="G1068" s="31"/>
      <c r="H1068" s="31"/>
      <c r="I1068" s="33"/>
      <c r="J1068" s="32"/>
      <c r="K1068" s="31"/>
    </row>
    <row r="1069" spans="1:11" x14ac:dyDescent="0.2">
      <c r="A1069" s="31"/>
      <c r="B1069" s="31"/>
      <c r="C1069" s="31"/>
      <c r="D1069" s="31"/>
      <c r="E1069" s="31"/>
      <c r="F1069" s="31"/>
      <c r="G1069" s="31"/>
      <c r="H1069" s="31"/>
      <c r="I1069" s="33"/>
      <c r="J1069" s="32"/>
      <c r="K1069" s="31"/>
    </row>
    <row r="1070" spans="1:11" x14ac:dyDescent="0.2">
      <c r="A1070" s="31"/>
      <c r="B1070" s="31"/>
      <c r="C1070" s="31"/>
      <c r="D1070" s="31"/>
      <c r="E1070" s="31"/>
      <c r="F1070" s="31"/>
      <c r="G1070" s="31"/>
      <c r="H1070" s="31"/>
      <c r="I1070" s="33"/>
      <c r="J1070" s="32"/>
      <c r="K1070" s="31"/>
    </row>
    <row r="1071" spans="1:11" x14ac:dyDescent="0.2">
      <c r="A1071" s="31"/>
      <c r="B1071" s="31"/>
      <c r="C1071" s="31"/>
      <c r="D1071" s="31"/>
      <c r="E1071" s="31"/>
      <c r="F1071" s="31"/>
      <c r="G1071" s="31"/>
      <c r="H1071" s="31"/>
      <c r="I1071" s="33"/>
      <c r="J1071" s="32"/>
      <c r="K1071" s="31"/>
    </row>
    <row r="1072" spans="1:11" x14ac:dyDescent="0.2">
      <c r="A1072" s="31"/>
      <c r="B1072" s="31"/>
      <c r="C1072" s="31"/>
      <c r="D1072" s="31"/>
      <c r="E1072" s="31"/>
      <c r="F1072" s="31"/>
      <c r="G1072" s="31"/>
      <c r="H1072" s="31"/>
      <c r="I1072" s="33"/>
      <c r="J1072" s="32"/>
      <c r="K1072" s="31"/>
    </row>
    <row r="1073" spans="1:11" x14ac:dyDescent="0.2">
      <c r="A1073" s="31"/>
      <c r="B1073" s="31"/>
      <c r="C1073" s="31"/>
      <c r="D1073" s="31"/>
      <c r="E1073" s="31"/>
      <c r="F1073" s="31"/>
      <c r="G1073" s="31"/>
      <c r="H1073" s="31"/>
      <c r="I1073" s="33"/>
      <c r="J1073" s="32"/>
      <c r="K1073" s="31"/>
    </row>
    <row r="1074" spans="1:11" x14ac:dyDescent="0.2">
      <c r="A1074" s="31"/>
      <c r="B1074" s="31"/>
      <c r="C1074" s="31"/>
      <c r="D1074" s="31"/>
      <c r="E1074" s="31"/>
      <c r="F1074" s="31"/>
      <c r="G1074" s="31"/>
      <c r="H1074" s="31"/>
      <c r="I1074" s="33"/>
      <c r="J1074" s="32"/>
      <c r="K1074" s="31"/>
    </row>
    <row r="1075" spans="1:11" x14ac:dyDescent="0.2">
      <c r="A1075" s="31"/>
      <c r="B1075" s="31"/>
      <c r="C1075" s="31"/>
      <c r="D1075" s="31"/>
      <c r="E1075" s="31"/>
      <c r="F1075" s="31"/>
      <c r="G1075" s="31"/>
      <c r="H1075" s="31"/>
      <c r="I1075" s="33"/>
      <c r="J1075" s="32"/>
      <c r="K1075" s="31"/>
    </row>
    <row r="1076" spans="1:11" x14ac:dyDescent="0.2">
      <c r="A1076" s="31"/>
      <c r="B1076" s="31"/>
      <c r="C1076" s="31"/>
      <c r="D1076" s="31"/>
      <c r="E1076" s="31"/>
      <c r="F1076" s="31"/>
      <c r="G1076" s="31"/>
      <c r="H1076" s="31"/>
      <c r="I1076" s="33"/>
      <c r="J1076" s="32"/>
      <c r="K1076" s="31"/>
    </row>
    <row r="1077" spans="1:11" x14ac:dyDescent="0.2">
      <c r="A1077" s="31"/>
      <c r="B1077" s="31"/>
      <c r="C1077" s="31"/>
      <c r="D1077" s="31"/>
      <c r="E1077" s="31"/>
      <c r="F1077" s="31"/>
      <c r="G1077" s="31"/>
      <c r="H1077" s="31"/>
      <c r="I1077" s="33"/>
      <c r="J1077" s="32"/>
      <c r="K1077" s="31"/>
    </row>
    <row r="1078" spans="1:11" x14ac:dyDescent="0.2">
      <c r="A1078" s="31"/>
      <c r="B1078" s="31"/>
      <c r="C1078" s="31"/>
      <c r="D1078" s="31"/>
      <c r="E1078" s="31"/>
      <c r="F1078" s="31"/>
      <c r="G1078" s="31"/>
      <c r="H1078" s="31"/>
      <c r="I1078" s="33"/>
      <c r="J1078" s="32"/>
      <c r="K1078" s="31"/>
    </row>
    <row r="1079" spans="1:11" x14ac:dyDescent="0.2">
      <c r="A1079" s="31"/>
      <c r="B1079" s="31"/>
      <c r="C1079" s="31"/>
      <c r="D1079" s="31"/>
      <c r="E1079" s="31"/>
      <c r="F1079" s="31"/>
      <c r="G1079" s="31"/>
      <c r="H1079" s="31"/>
      <c r="I1079" s="33"/>
      <c r="J1079" s="32"/>
      <c r="K1079" s="31"/>
    </row>
    <row r="1080" spans="1:11" x14ac:dyDescent="0.2">
      <c r="A1080" s="31"/>
      <c r="B1080" s="31"/>
      <c r="C1080" s="31"/>
      <c r="D1080" s="31"/>
      <c r="E1080" s="31"/>
      <c r="F1080" s="31"/>
      <c r="G1080" s="31"/>
      <c r="H1080" s="31"/>
      <c r="I1080" s="33"/>
      <c r="J1080" s="32"/>
      <c r="K1080" s="31"/>
    </row>
    <row r="1081" spans="1:11" x14ac:dyDescent="0.2">
      <c r="A1081" s="31"/>
      <c r="B1081" s="31"/>
      <c r="C1081" s="31"/>
      <c r="D1081" s="31"/>
      <c r="E1081" s="31"/>
      <c r="F1081" s="31"/>
      <c r="G1081" s="31"/>
      <c r="H1081" s="31"/>
      <c r="I1081" s="33"/>
      <c r="J1081" s="32"/>
      <c r="K1081" s="31"/>
    </row>
    <row r="1082" spans="1:11" x14ac:dyDescent="0.2">
      <c r="A1082" s="31"/>
      <c r="B1082" s="31"/>
      <c r="C1082" s="31"/>
      <c r="D1082" s="31"/>
      <c r="E1082" s="31"/>
      <c r="F1082" s="31"/>
      <c r="G1082" s="31"/>
      <c r="H1082" s="31"/>
      <c r="I1082" s="33"/>
      <c r="J1082" s="32"/>
      <c r="K1082" s="31"/>
    </row>
    <row r="1083" spans="1:11" x14ac:dyDescent="0.2">
      <c r="A1083" s="31"/>
      <c r="B1083" s="31"/>
      <c r="C1083" s="31"/>
      <c r="D1083" s="31"/>
      <c r="E1083" s="31"/>
      <c r="F1083" s="31"/>
      <c r="G1083" s="31"/>
      <c r="H1083" s="31"/>
      <c r="I1083" s="33"/>
      <c r="J1083" s="32"/>
      <c r="K1083" s="31"/>
    </row>
    <row r="1084" spans="1:11" x14ac:dyDescent="0.2">
      <c r="A1084" s="31"/>
      <c r="B1084" s="31"/>
      <c r="C1084" s="31"/>
      <c r="D1084" s="31"/>
      <c r="E1084" s="31"/>
      <c r="F1084" s="31"/>
      <c r="G1084" s="31"/>
      <c r="H1084" s="31"/>
      <c r="I1084" s="33"/>
      <c r="J1084" s="32"/>
      <c r="K1084" s="31"/>
    </row>
    <row r="1085" spans="1:11" x14ac:dyDescent="0.2">
      <c r="A1085" s="31"/>
      <c r="B1085" s="31"/>
      <c r="C1085" s="31"/>
      <c r="D1085" s="31"/>
      <c r="E1085" s="31"/>
      <c r="F1085" s="31"/>
      <c r="G1085" s="31"/>
      <c r="H1085" s="31"/>
      <c r="I1085" s="33"/>
      <c r="J1085" s="32"/>
      <c r="K1085" s="31"/>
    </row>
    <row r="1086" spans="1:11" x14ac:dyDescent="0.2">
      <c r="A1086" s="31"/>
      <c r="B1086" s="31"/>
      <c r="C1086" s="31"/>
      <c r="D1086" s="31"/>
      <c r="E1086" s="31"/>
      <c r="F1086" s="31"/>
      <c r="G1086" s="31"/>
      <c r="H1086" s="31"/>
      <c r="I1086" s="33"/>
      <c r="J1086" s="32"/>
      <c r="K1086" s="31"/>
    </row>
    <row r="1087" spans="1:11" x14ac:dyDescent="0.2">
      <c r="A1087" s="31"/>
      <c r="B1087" s="31"/>
      <c r="C1087" s="31"/>
      <c r="D1087" s="31"/>
      <c r="E1087" s="31"/>
      <c r="F1087" s="31"/>
      <c r="G1087" s="31"/>
      <c r="H1087" s="31"/>
      <c r="I1087" s="33"/>
      <c r="J1087" s="32"/>
      <c r="K1087" s="31"/>
    </row>
    <row r="1088" spans="1:11" x14ac:dyDescent="0.2">
      <c r="A1088" s="31"/>
      <c r="B1088" s="31"/>
      <c r="C1088" s="31"/>
      <c r="D1088" s="31"/>
      <c r="E1088" s="31"/>
      <c r="F1088" s="31"/>
      <c r="G1088" s="31"/>
      <c r="H1088" s="31"/>
      <c r="I1088" s="33"/>
      <c r="J1088" s="32"/>
      <c r="K1088" s="31"/>
    </row>
    <row r="1089" spans="1:11" x14ac:dyDescent="0.2">
      <c r="A1089" s="31"/>
      <c r="B1089" s="31"/>
      <c r="C1089" s="31"/>
      <c r="D1089" s="31"/>
      <c r="E1089" s="31"/>
      <c r="F1089" s="31"/>
      <c r="G1089" s="31"/>
      <c r="H1089" s="31"/>
      <c r="I1089" s="33"/>
      <c r="J1089" s="32"/>
      <c r="K1089" s="31"/>
    </row>
    <row r="1090" spans="1:11" x14ac:dyDescent="0.2">
      <c r="A1090" s="31"/>
      <c r="B1090" s="31"/>
      <c r="C1090" s="31"/>
      <c r="D1090" s="31"/>
      <c r="E1090" s="31"/>
      <c r="F1090" s="31"/>
      <c r="G1090" s="31"/>
      <c r="H1090" s="31"/>
      <c r="I1090" s="33"/>
      <c r="J1090" s="32"/>
      <c r="K1090" s="31"/>
    </row>
    <row r="1091" spans="1:11" x14ac:dyDescent="0.2">
      <c r="A1091" s="31"/>
      <c r="B1091" s="31"/>
      <c r="C1091" s="31"/>
      <c r="D1091" s="31"/>
      <c r="E1091" s="31"/>
      <c r="F1091" s="31"/>
      <c r="G1091" s="31"/>
      <c r="H1091" s="31"/>
      <c r="I1091" s="33"/>
      <c r="J1091" s="32"/>
      <c r="K1091" s="31"/>
    </row>
    <row r="1092" spans="1:11" x14ac:dyDescent="0.2">
      <c r="A1092" s="31"/>
      <c r="B1092" s="31"/>
      <c r="C1092" s="31"/>
      <c r="D1092" s="31"/>
      <c r="E1092" s="31"/>
      <c r="F1092" s="31"/>
      <c r="G1092" s="31"/>
      <c r="H1092" s="31"/>
      <c r="I1092" s="33"/>
      <c r="J1092" s="32"/>
      <c r="K1092" s="31"/>
    </row>
    <row r="1093" spans="1:11" x14ac:dyDescent="0.2">
      <c r="A1093" s="31"/>
      <c r="B1093" s="31"/>
      <c r="C1093" s="31"/>
      <c r="D1093" s="31"/>
      <c r="E1093" s="31"/>
      <c r="F1093" s="31"/>
      <c r="G1093" s="31"/>
      <c r="H1093" s="31"/>
      <c r="I1093" s="33"/>
      <c r="J1093" s="32"/>
      <c r="K1093" s="31"/>
    </row>
    <row r="1094" spans="1:11" x14ac:dyDescent="0.2">
      <c r="A1094" s="31"/>
      <c r="B1094" s="31"/>
      <c r="C1094" s="31"/>
      <c r="D1094" s="31"/>
      <c r="E1094" s="31"/>
      <c r="F1094" s="31"/>
      <c r="G1094" s="31"/>
      <c r="H1094" s="31"/>
      <c r="I1094" s="33"/>
      <c r="J1094" s="32"/>
      <c r="K1094" s="31"/>
    </row>
    <row r="1095" spans="1:11" x14ac:dyDescent="0.2">
      <c r="A1095" s="31"/>
      <c r="B1095" s="31"/>
      <c r="C1095" s="31"/>
      <c r="D1095" s="31"/>
      <c r="E1095" s="31"/>
      <c r="F1095" s="31"/>
      <c r="G1095" s="31"/>
      <c r="H1095" s="31"/>
      <c r="I1095" s="33"/>
      <c r="J1095" s="32"/>
      <c r="K1095" s="31"/>
    </row>
  </sheetData>
  <printOptions horizontalCentered="1"/>
  <pageMargins left="0.7" right="0.7" top="0.78740157499999996" bottom="0.78740157499999996" header="0.3" footer="0.3"/>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C386B-645A-44D2-8CD0-778BAC736377}">
  <sheetPr codeName="Tabelle2"/>
  <dimension ref="D1:O2000"/>
  <sheetViews>
    <sheetView showGridLines="0" workbookViewId="0">
      <selection activeCell="A42" sqref="A41:A42"/>
    </sheetView>
  </sheetViews>
  <sheetFormatPr baseColWidth="10" defaultColWidth="11.42578125" defaultRowHeight="12.75" x14ac:dyDescent="0.2"/>
  <cols>
    <col min="1" max="1" width="41.7109375" customWidth="1"/>
    <col min="2" max="2" width="20.7109375" bestFit="1" customWidth="1"/>
    <col min="3" max="3" width="13.28515625" customWidth="1"/>
    <col min="4" max="7" width="20.7109375" bestFit="1" customWidth="1"/>
    <col min="8" max="8" width="19.28515625" bestFit="1" customWidth="1"/>
    <col min="10" max="11" width="20.7109375" bestFit="1" customWidth="1"/>
    <col min="12" max="12" width="36" bestFit="1" customWidth="1"/>
  </cols>
  <sheetData>
    <row r="1" spans="4:15" x14ac:dyDescent="0.2">
      <c r="D1" s="1" t="s">
        <v>670</v>
      </c>
      <c r="E1" t="s">
        <v>671</v>
      </c>
      <c r="G1" s="1" t="s">
        <v>670</v>
      </c>
      <c r="J1" s="1"/>
      <c r="K1" s="1"/>
      <c r="L1" s="1"/>
      <c r="M1" s="4" t="s">
        <v>2052</v>
      </c>
    </row>
    <row r="2" spans="4:15" x14ac:dyDescent="0.2">
      <c r="E2" t="str">
        <f>+IFERROR(VLOOKUP(D2,Daten_Verknüpfungen!$B$2:$C$2000,2,FALSE),"")</f>
        <v/>
      </c>
      <c r="I2" t="str">
        <f>+IFERROR(MATCH(J2,$D$2:$D$2000,0),"")</f>
        <v/>
      </c>
      <c r="J2">
        <f>+D2</f>
        <v>0</v>
      </c>
      <c r="K2" s="1" t="str">
        <f>+IFERROR(VLOOKUP(J2,$D$2:$E$2000,2,FALSE),"")</f>
        <v/>
      </c>
      <c r="M2" s="1" t="b">
        <f>ISERROR(MATCH($D2,$J$2:$J$21,FALSE))</f>
        <v>0</v>
      </c>
      <c r="O2" s="1"/>
    </row>
    <row r="3" spans="4:15" x14ac:dyDescent="0.2">
      <c r="E3" t="str">
        <f>+IFERROR(VLOOKUP(D3,Daten_Verknüpfungen!$B$2:$C$2000,2,FALSE),"")</f>
        <v/>
      </c>
      <c r="I3" t="str">
        <f t="shared" ref="I3:I53" si="0">+IFERROR(MATCH(J3,$D$2:$D$2000,0),"")</f>
        <v/>
      </c>
      <c r="J3" t="str">
        <f>+K2</f>
        <v/>
      </c>
      <c r="K3" s="1" t="str">
        <f>+IFERROR(VLOOKUP(J3,$D$2:$E$2000,2,FALSE),"")</f>
        <v/>
      </c>
    </row>
    <row r="4" spans="4:15" x14ac:dyDescent="0.2">
      <c r="E4" t="str">
        <f>+IFERROR(VLOOKUP(D4,Daten_Verknüpfungen!$B$2:$C$2000,2,FALSE),"")</f>
        <v/>
      </c>
      <c r="I4" t="str">
        <f t="shared" si="0"/>
        <v/>
      </c>
      <c r="J4" t="str">
        <f t="shared" ref="J4:J53" si="1">+K3</f>
        <v/>
      </c>
      <c r="K4" s="1" t="str">
        <f t="shared" ref="K4:K53" si="2">+IFERROR(VLOOKUP(J4,$D$2:$E$2000,2,FALSE),"")</f>
        <v/>
      </c>
    </row>
    <row r="5" spans="4:15" x14ac:dyDescent="0.2">
      <c r="E5" t="str">
        <f>+IFERROR(VLOOKUP(D5,Daten_Verknüpfungen!$B$2:$C$2000,2,FALSE),"")</f>
        <v/>
      </c>
      <c r="I5" t="str">
        <f t="shared" si="0"/>
        <v/>
      </c>
      <c r="J5" t="str">
        <f t="shared" si="1"/>
        <v/>
      </c>
      <c r="K5" s="1" t="str">
        <f t="shared" si="2"/>
        <v/>
      </c>
    </row>
    <row r="6" spans="4:15" x14ac:dyDescent="0.2">
      <c r="E6" t="str">
        <f>+IFERROR(VLOOKUP(D6,Daten_Verknüpfungen!$B$2:$C$2000,2,FALSE),"")</f>
        <v/>
      </c>
      <c r="I6" t="str">
        <f t="shared" si="0"/>
        <v/>
      </c>
      <c r="J6" t="str">
        <f t="shared" si="1"/>
        <v/>
      </c>
      <c r="K6" s="1" t="str">
        <f t="shared" si="2"/>
        <v/>
      </c>
    </row>
    <row r="7" spans="4:15" x14ac:dyDescent="0.2">
      <c r="E7" t="str">
        <f>+IFERROR(VLOOKUP(D7,Daten_Verknüpfungen!$B$2:$C$2000,2,FALSE),"")</f>
        <v/>
      </c>
      <c r="I7" t="str">
        <f t="shared" si="0"/>
        <v/>
      </c>
      <c r="J7" t="str">
        <f t="shared" si="1"/>
        <v/>
      </c>
      <c r="K7" s="1" t="str">
        <f t="shared" si="2"/>
        <v/>
      </c>
    </row>
    <row r="8" spans="4:15" x14ac:dyDescent="0.2">
      <c r="E8" t="str">
        <f>+IFERROR(VLOOKUP(D8,Daten_Verknüpfungen!$B$2:$C$2000,2,FALSE),"")</f>
        <v/>
      </c>
      <c r="I8" t="str">
        <f t="shared" si="0"/>
        <v/>
      </c>
      <c r="J8" t="str">
        <f t="shared" si="1"/>
        <v/>
      </c>
      <c r="K8" s="1" t="str">
        <f t="shared" si="2"/>
        <v/>
      </c>
    </row>
    <row r="9" spans="4:15" x14ac:dyDescent="0.2">
      <c r="E9" t="str">
        <f>+IFERROR(VLOOKUP(D9,Daten_Verknüpfungen!$B$2:$C$2000,2,FALSE),"")</f>
        <v/>
      </c>
      <c r="I9" t="str">
        <f t="shared" si="0"/>
        <v/>
      </c>
      <c r="J9" t="str">
        <f t="shared" si="1"/>
        <v/>
      </c>
      <c r="K9" s="1" t="str">
        <f t="shared" si="2"/>
        <v/>
      </c>
    </row>
    <row r="10" spans="4:15" x14ac:dyDescent="0.2">
      <c r="E10" t="str">
        <f>+IFERROR(VLOOKUP(D10,Daten_Verknüpfungen!$B$2:$C$2000,2,FALSE),"")</f>
        <v/>
      </c>
      <c r="I10" t="str">
        <f t="shared" si="0"/>
        <v/>
      </c>
      <c r="J10" t="str">
        <f t="shared" si="1"/>
        <v/>
      </c>
      <c r="K10" s="1" t="str">
        <f t="shared" si="2"/>
        <v/>
      </c>
    </row>
    <row r="11" spans="4:15" x14ac:dyDescent="0.2">
      <c r="E11" t="str">
        <f>+IFERROR(VLOOKUP(D11,Daten_Verknüpfungen!$B$2:$C$2000,2,FALSE),"")</f>
        <v/>
      </c>
      <c r="I11" t="str">
        <f t="shared" si="0"/>
        <v/>
      </c>
      <c r="J11" t="str">
        <f t="shared" si="1"/>
        <v/>
      </c>
      <c r="K11" s="1" t="str">
        <f t="shared" si="2"/>
        <v/>
      </c>
    </row>
    <row r="12" spans="4:15" x14ac:dyDescent="0.2">
      <c r="E12" t="str">
        <f>+IFERROR(VLOOKUP(D12,Daten_Verknüpfungen!$B$2:$C$2000,2,FALSE),"")</f>
        <v/>
      </c>
      <c r="I12" t="str">
        <f t="shared" si="0"/>
        <v/>
      </c>
      <c r="J12" t="str">
        <f t="shared" si="1"/>
        <v/>
      </c>
      <c r="K12" s="1" t="str">
        <f t="shared" si="2"/>
        <v/>
      </c>
    </row>
    <row r="13" spans="4:15" x14ac:dyDescent="0.2">
      <c r="E13" t="str">
        <f>+IFERROR(VLOOKUP(D13,Daten_Verknüpfungen!$B$2:$C$2000,2,FALSE),"")</f>
        <v/>
      </c>
      <c r="I13" t="str">
        <f t="shared" si="0"/>
        <v/>
      </c>
      <c r="J13" t="str">
        <f t="shared" si="1"/>
        <v/>
      </c>
      <c r="K13" s="1" t="str">
        <f t="shared" si="2"/>
        <v/>
      </c>
    </row>
    <row r="14" spans="4:15" x14ac:dyDescent="0.2">
      <c r="E14" t="str">
        <f>+IFERROR(VLOOKUP(D14,Daten_Verknüpfungen!$B$2:$C$2000,2,FALSE),"")</f>
        <v/>
      </c>
      <c r="I14" t="str">
        <f t="shared" si="0"/>
        <v/>
      </c>
      <c r="J14" t="str">
        <f t="shared" si="1"/>
        <v/>
      </c>
      <c r="K14" s="1" t="str">
        <f t="shared" si="2"/>
        <v/>
      </c>
    </row>
    <row r="15" spans="4:15" x14ac:dyDescent="0.2">
      <c r="E15" t="str">
        <f>+IFERROR(VLOOKUP(D15,Daten_Verknüpfungen!$B$2:$C$2000,2,FALSE),"")</f>
        <v/>
      </c>
      <c r="I15" t="str">
        <f t="shared" si="0"/>
        <v/>
      </c>
      <c r="J15" t="str">
        <f t="shared" si="1"/>
        <v/>
      </c>
      <c r="K15" s="1" t="str">
        <f t="shared" si="2"/>
        <v/>
      </c>
    </row>
    <row r="16" spans="4:15" x14ac:dyDescent="0.2">
      <c r="E16" t="str">
        <f>+IFERROR(VLOOKUP(D16,Daten_Verknüpfungen!$B$2:$C$2000,2,FALSE),"")</f>
        <v/>
      </c>
      <c r="I16" t="str">
        <f t="shared" si="0"/>
        <v/>
      </c>
      <c r="J16" t="str">
        <f t="shared" si="1"/>
        <v/>
      </c>
      <c r="K16" s="1" t="str">
        <f t="shared" si="2"/>
        <v/>
      </c>
    </row>
    <row r="17" spans="5:11" x14ac:dyDescent="0.2">
      <c r="E17" t="str">
        <f>+IFERROR(VLOOKUP(D17,Daten_Verknüpfungen!$B$2:$C$2000,2,FALSE),"")</f>
        <v/>
      </c>
      <c r="I17" t="str">
        <f t="shared" si="0"/>
        <v/>
      </c>
      <c r="J17" t="str">
        <f t="shared" si="1"/>
        <v/>
      </c>
      <c r="K17" s="1" t="str">
        <f t="shared" si="2"/>
        <v/>
      </c>
    </row>
    <row r="18" spans="5:11" x14ac:dyDescent="0.2">
      <c r="E18" t="str">
        <f>+IFERROR(VLOOKUP(D18,Daten_Verknüpfungen!$B$2:$C$2000,2,FALSE),"")</f>
        <v/>
      </c>
      <c r="I18" t="str">
        <f t="shared" si="0"/>
        <v/>
      </c>
      <c r="J18" t="str">
        <f t="shared" si="1"/>
        <v/>
      </c>
      <c r="K18" s="1" t="str">
        <f t="shared" si="2"/>
        <v/>
      </c>
    </row>
    <row r="19" spans="5:11" x14ac:dyDescent="0.2">
      <c r="E19" t="str">
        <f>+IFERROR(VLOOKUP(D19,Daten_Verknüpfungen!$B$2:$C$2000,2,FALSE),"")</f>
        <v/>
      </c>
      <c r="I19" t="str">
        <f t="shared" si="0"/>
        <v/>
      </c>
      <c r="J19" t="str">
        <f t="shared" si="1"/>
        <v/>
      </c>
      <c r="K19" s="1" t="str">
        <f t="shared" si="2"/>
        <v/>
      </c>
    </row>
    <row r="20" spans="5:11" x14ac:dyDescent="0.2">
      <c r="E20" t="str">
        <f>+IFERROR(VLOOKUP(D20,Daten_Verknüpfungen!$B$2:$C$2000,2,FALSE),"")</f>
        <v/>
      </c>
      <c r="I20" t="str">
        <f t="shared" si="0"/>
        <v/>
      </c>
      <c r="J20" t="str">
        <f t="shared" si="1"/>
        <v/>
      </c>
      <c r="K20" s="1" t="str">
        <f t="shared" si="2"/>
        <v/>
      </c>
    </row>
    <row r="21" spans="5:11" x14ac:dyDescent="0.2">
      <c r="E21" t="str">
        <f>+IFERROR(VLOOKUP(D21,Daten_Verknüpfungen!$B$2:$C$2000,2,FALSE),"")</f>
        <v/>
      </c>
      <c r="I21" t="str">
        <f t="shared" si="0"/>
        <v/>
      </c>
      <c r="J21" t="str">
        <f t="shared" si="1"/>
        <v/>
      </c>
      <c r="K21" s="1" t="str">
        <f t="shared" si="2"/>
        <v/>
      </c>
    </row>
    <row r="22" spans="5:11" x14ac:dyDescent="0.2">
      <c r="E22" t="str">
        <f>+IFERROR(VLOOKUP(D22,Daten_Verknüpfungen!$B$2:$C$2000,2,FALSE),"")</f>
        <v/>
      </c>
      <c r="I22" t="str">
        <f t="shared" si="0"/>
        <v/>
      </c>
      <c r="J22" t="str">
        <f t="shared" si="1"/>
        <v/>
      </c>
      <c r="K22" s="1" t="str">
        <f t="shared" si="2"/>
        <v/>
      </c>
    </row>
    <row r="23" spans="5:11" x14ac:dyDescent="0.2">
      <c r="E23" t="str">
        <f>+IFERROR(VLOOKUP(D23,Daten_Verknüpfungen!$B$2:$C$2000,2,FALSE),"")</f>
        <v/>
      </c>
      <c r="I23" t="str">
        <f t="shared" si="0"/>
        <v/>
      </c>
      <c r="J23" t="str">
        <f t="shared" si="1"/>
        <v/>
      </c>
      <c r="K23" s="1" t="str">
        <f t="shared" si="2"/>
        <v/>
      </c>
    </row>
    <row r="24" spans="5:11" x14ac:dyDescent="0.2">
      <c r="E24" t="str">
        <f>+IFERROR(VLOOKUP(D24,Daten_Verknüpfungen!$B$2:$C$2000,2,FALSE),"")</f>
        <v/>
      </c>
      <c r="I24" t="str">
        <f t="shared" si="0"/>
        <v/>
      </c>
      <c r="J24" t="str">
        <f t="shared" si="1"/>
        <v/>
      </c>
      <c r="K24" s="1" t="str">
        <f t="shared" si="2"/>
        <v/>
      </c>
    </row>
    <row r="25" spans="5:11" x14ac:dyDescent="0.2">
      <c r="E25" t="str">
        <f>+IFERROR(VLOOKUP(D25,Daten_Verknüpfungen!$B$2:$C$2000,2,FALSE),"")</f>
        <v/>
      </c>
      <c r="I25" t="str">
        <f t="shared" si="0"/>
        <v/>
      </c>
      <c r="J25" t="str">
        <f t="shared" si="1"/>
        <v/>
      </c>
      <c r="K25" s="1" t="str">
        <f t="shared" si="2"/>
        <v/>
      </c>
    </row>
    <row r="26" spans="5:11" x14ac:dyDescent="0.2">
      <c r="E26" t="str">
        <f>+IFERROR(VLOOKUP(D26,Daten_Verknüpfungen!$B$2:$C$2000,2,FALSE),"")</f>
        <v/>
      </c>
      <c r="I26" t="str">
        <f t="shared" si="0"/>
        <v/>
      </c>
      <c r="J26" t="str">
        <f t="shared" si="1"/>
        <v/>
      </c>
      <c r="K26" s="1" t="str">
        <f t="shared" si="2"/>
        <v/>
      </c>
    </row>
    <row r="27" spans="5:11" x14ac:dyDescent="0.2">
      <c r="E27" t="str">
        <f>+IFERROR(VLOOKUP(D27,Daten_Verknüpfungen!$B$2:$C$2000,2,FALSE),"")</f>
        <v/>
      </c>
      <c r="I27" t="str">
        <f t="shared" si="0"/>
        <v/>
      </c>
      <c r="J27" t="str">
        <f t="shared" si="1"/>
        <v/>
      </c>
      <c r="K27" s="1" t="str">
        <f t="shared" si="2"/>
        <v/>
      </c>
    </row>
    <row r="28" spans="5:11" x14ac:dyDescent="0.2">
      <c r="E28" t="str">
        <f>+IFERROR(VLOOKUP(D28,Daten_Verknüpfungen!$B$2:$C$2000,2,FALSE),"")</f>
        <v/>
      </c>
      <c r="I28" t="str">
        <f t="shared" si="0"/>
        <v/>
      </c>
      <c r="J28" t="str">
        <f t="shared" si="1"/>
        <v/>
      </c>
      <c r="K28" s="1" t="str">
        <f t="shared" si="2"/>
        <v/>
      </c>
    </row>
    <row r="29" spans="5:11" x14ac:dyDescent="0.2">
      <c r="E29" t="str">
        <f>+IFERROR(VLOOKUP(D29,Daten_Verknüpfungen!$B$2:$C$2000,2,FALSE),"")</f>
        <v/>
      </c>
      <c r="I29" t="str">
        <f t="shared" si="0"/>
        <v/>
      </c>
      <c r="J29" t="str">
        <f t="shared" si="1"/>
        <v/>
      </c>
      <c r="K29" s="1" t="str">
        <f t="shared" si="2"/>
        <v/>
      </c>
    </row>
    <row r="30" spans="5:11" x14ac:dyDescent="0.2">
      <c r="E30" t="str">
        <f>+IFERROR(VLOOKUP(D30,Daten_Verknüpfungen!$B$2:$C$2000,2,FALSE),"")</f>
        <v/>
      </c>
      <c r="I30" t="str">
        <f t="shared" si="0"/>
        <v/>
      </c>
      <c r="J30" t="str">
        <f t="shared" si="1"/>
        <v/>
      </c>
      <c r="K30" s="1" t="str">
        <f t="shared" si="2"/>
        <v/>
      </c>
    </row>
    <row r="31" spans="5:11" x14ac:dyDescent="0.2">
      <c r="E31" t="str">
        <f>+IFERROR(VLOOKUP(D31,Daten_Verknüpfungen!$B$2:$C$2000,2,FALSE),"")</f>
        <v/>
      </c>
      <c r="I31" t="str">
        <f t="shared" si="0"/>
        <v/>
      </c>
      <c r="J31" t="str">
        <f t="shared" si="1"/>
        <v/>
      </c>
      <c r="K31" s="1" t="str">
        <f t="shared" si="2"/>
        <v/>
      </c>
    </row>
    <row r="32" spans="5:11" x14ac:dyDescent="0.2">
      <c r="E32" t="str">
        <f>+IFERROR(VLOOKUP(D32,Daten_Verknüpfungen!$B$2:$C$2000,2,FALSE),"")</f>
        <v/>
      </c>
      <c r="I32" t="str">
        <f t="shared" si="0"/>
        <v/>
      </c>
      <c r="J32" t="str">
        <f t="shared" si="1"/>
        <v/>
      </c>
      <c r="K32" s="1" t="str">
        <f t="shared" si="2"/>
        <v/>
      </c>
    </row>
    <row r="33" spans="5:11" x14ac:dyDescent="0.2">
      <c r="E33" t="str">
        <f>+IFERROR(VLOOKUP(D33,Daten_Verknüpfungen!$B$2:$C$2000,2,FALSE),"")</f>
        <v/>
      </c>
      <c r="I33" t="str">
        <f t="shared" si="0"/>
        <v/>
      </c>
      <c r="J33" t="str">
        <f t="shared" si="1"/>
        <v/>
      </c>
      <c r="K33" s="1" t="str">
        <f t="shared" si="2"/>
        <v/>
      </c>
    </row>
    <row r="34" spans="5:11" x14ac:dyDescent="0.2">
      <c r="E34" t="str">
        <f>+IFERROR(VLOOKUP(D34,Daten_Verknüpfungen!$B$2:$C$2000,2,FALSE),"")</f>
        <v/>
      </c>
      <c r="I34" t="str">
        <f t="shared" si="0"/>
        <v/>
      </c>
      <c r="J34" t="str">
        <f t="shared" si="1"/>
        <v/>
      </c>
      <c r="K34" s="1" t="str">
        <f t="shared" si="2"/>
        <v/>
      </c>
    </row>
    <row r="35" spans="5:11" x14ac:dyDescent="0.2">
      <c r="E35" t="str">
        <f>+IFERROR(VLOOKUP(D35,Daten_Verknüpfungen!$B$2:$C$2000,2,FALSE),"")</f>
        <v/>
      </c>
      <c r="I35" t="str">
        <f t="shared" si="0"/>
        <v/>
      </c>
      <c r="J35" t="str">
        <f t="shared" si="1"/>
        <v/>
      </c>
      <c r="K35" s="1" t="str">
        <f t="shared" si="2"/>
        <v/>
      </c>
    </row>
    <row r="36" spans="5:11" x14ac:dyDescent="0.2">
      <c r="E36" t="str">
        <f>+IFERROR(VLOOKUP(D36,Daten_Verknüpfungen!$B$2:$C$2000,2,FALSE),"")</f>
        <v/>
      </c>
      <c r="I36" t="str">
        <f t="shared" si="0"/>
        <v/>
      </c>
      <c r="J36" t="str">
        <f t="shared" si="1"/>
        <v/>
      </c>
      <c r="K36" s="1" t="str">
        <f t="shared" si="2"/>
        <v/>
      </c>
    </row>
    <row r="37" spans="5:11" x14ac:dyDescent="0.2">
      <c r="E37" t="str">
        <f>+IFERROR(VLOOKUP(D37,Daten_Verknüpfungen!$B$2:$C$2000,2,FALSE),"")</f>
        <v/>
      </c>
      <c r="I37" t="str">
        <f t="shared" si="0"/>
        <v/>
      </c>
      <c r="J37" t="str">
        <f t="shared" si="1"/>
        <v/>
      </c>
      <c r="K37" s="1" t="str">
        <f t="shared" si="2"/>
        <v/>
      </c>
    </row>
    <row r="38" spans="5:11" x14ac:dyDescent="0.2">
      <c r="E38" t="str">
        <f>+IFERROR(VLOOKUP(D38,Daten_Verknüpfungen!$B$2:$C$2000,2,FALSE),"")</f>
        <v/>
      </c>
      <c r="I38" t="str">
        <f t="shared" si="0"/>
        <v/>
      </c>
      <c r="J38" t="str">
        <f t="shared" si="1"/>
        <v/>
      </c>
      <c r="K38" s="1" t="str">
        <f t="shared" si="2"/>
        <v/>
      </c>
    </row>
    <row r="39" spans="5:11" x14ac:dyDescent="0.2">
      <c r="E39" t="str">
        <f>+IFERROR(VLOOKUP(D39,Daten_Verknüpfungen!$B$2:$C$2000,2,FALSE),"")</f>
        <v/>
      </c>
      <c r="I39" t="str">
        <f t="shared" si="0"/>
        <v/>
      </c>
      <c r="J39" t="str">
        <f t="shared" si="1"/>
        <v/>
      </c>
      <c r="K39" s="1" t="str">
        <f t="shared" si="2"/>
        <v/>
      </c>
    </row>
    <row r="40" spans="5:11" x14ac:dyDescent="0.2">
      <c r="E40" t="str">
        <f>+IFERROR(VLOOKUP(D40,Daten_Verknüpfungen!$B$2:$C$2000,2,FALSE),"")</f>
        <v/>
      </c>
      <c r="I40" t="str">
        <f t="shared" si="0"/>
        <v/>
      </c>
      <c r="J40" t="str">
        <f t="shared" si="1"/>
        <v/>
      </c>
      <c r="K40" s="1" t="str">
        <f t="shared" si="2"/>
        <v/>
      </c>
    </row>
    <row r="41" spans="5:11" x14ac:dyDescent="0.2">
      <c r="E41" t="str">
        <f>+IFERROR(VLOOKUP(D41,Daten_Verknüpfungen!$B$2:$C$2000,2,FALSE),"")</f>
        <v/>
      </c>
      <c r="I41" t="str">
        <f t="shared" si="0"/>
        <v/>
      </c>
      <c r="J41" t="str">
        <f t="shared" si="1"/>
        <v/>
      </c>
      <c r="K41" s="1" t="str">
        <f t="shared" si="2"/>
        <v/>
      </c>
    </row>
    <row r="42" spans="5:11" x14ac:dyDescent="0.2">
      <c r="E42" t="str">
        <f>+IFERROR(VLOOKUP(D42,Daten_Verknüpfungen!$B$2:$C$2000,2,FALSE),"")</f>
        <v/>
      </c>
      <c r="I42" t="str">
        <f t="shared" si="0"/>
        <v/>
      </c>
      <c r="J42" t="str">
        <f t="shared" si="1"/>
        <v/>
      </c>
      <c r="K42" s="1" t="str">
        <f t="shared" si="2"/>
        <v/>
      </c>
    </row>
    <row r="43" spans="5:11" x14ac:dyDescent="0.2">
      <c r="E43" t="str">
        <f>+IFERROR(VLOOKUP(D43,Daten_Verknüpfungen!$B$2:$C$2000,2,FALSE),"")</f>
        <v/>
      </c>
      <c r="I43" t="str">
        <f t="shared" si="0"/>
        <v/>
      </c>
      <c r="J43" t="str">
        <f t="shared" si="1"/>
        <v/>
      </c>
      <c r="K43" s="1" t="str">
        <f t="shared" si="2"/>
        <v/>
      </c>
    </row>
    <row r="44" spans="5:11" x14ac:dyDescent="0.2">
      <c r="E44" t="str">
        <f>+IFERROR(VLOOKUP(D44,Daten_Verknüpfungen!$B$2:$C$2000,2,FALSE),"")</f>
        <v/>
      </c>
      <c r="I44" t="str">
        <f t="shared" si="0"/>
        <v/>
      </c>
      <c r="J44" t="str">
        <f t="shared" si="1"/>
        <v/>
      </c>
      <c r="K44" s="1" t="str">
        <f t="shared" si="2"/>
        <v/>
      </c>
    </row>
    <row r="45" spans="5:11" x14ac:dyDescent="0.2">
      <c r="E45" t="str">
        <f>+IFERROR(VLOOKUP(D45,Daten_Verknüpfungen!$B$2:$C$2000,2,FALSE),"")</f>
        <v/>
      </c>
      <c r="I45" t="str">
        <f t="shared" si="0"/>
        <v/>
      </c>
      <c r="J45" t="str">
        <f t="shared" si="1"/>
        <v/>
      </c>
      <c r="K45" s="1" t="str">
        <f t="shared" si="2"/>
        <v/>
      </c>
    </row>
    <row r="46" spans="5:11" x14ac:dyDescent="0.2">
      <c r="E46" t="str">
        <f>+IFERROR(VLOOKUP(D46,Daten_Verknüpfungen!$B$2:$C$2000,2,FALSE),"")</f>
        <v/>
      </c>
      <c r="I46" t="str">
        <f t="shared" si="0"/>
        <v/>
      </c>
      <c r="J46" t="str">
        <f t="shared" si="1"/>
        <v/>
      </c>
      <c r="K46" s="1" t="str">
        <f t="shared" si="2"/>
        <v/>
      </c>
    </row>
    <row r="47" spans="5:11" x14ac:dyDescent="0.2">
      <c r="E47" t="str">
        <f>+IFERROR(VLOOKUP(D47,Daten_Verknüpfungen!$B$2:$C$2000,2,FALSE),"")</f>
        <v/>
      </c>
      <c r="I47" t="str">
        <f t="shared" si="0"/>
        <v/>
      </c>
      <c r="J47" t="str">
        <f t="shared" si="1"/>
        <v/>
      </c>
      <c r="K47" s="1" t="str">
        <f t="shared" si="2"/>
        <v/>
      </c>
    </row>
    <row r="48" spans="5:11" x14ac:dyDescent="0.2">
      <c r="E48" t="str">
        <f>+IFERROR(VLOOKUP(D48,Daten_Verknüpfungen!$B$2:$C$2000,2,FALSE),"")</f>
        <v/>
      </c>
      <c r="I48" t="str">
        <f t="shared" si="0"/>
        <v/>
      </c>
      <c r="J48" t="str">
        <f t="shared" si="1"/>
        <v/>
      </c>
      <c r="K48" s="1" t="str">
        <f t="shared" si="2"/>
        <v/>
      </c>
    </row>
    <row r="49" spans="5:11" x14ac:dyDescent="0.2">
      <c r="E49" t="str">
        <f>+IFERROR(VLOOKUP(D49,Daten_Verknüpfungen!$B$2:$C$2000,2,FALSE),"")</f>
        <v/>
      </c>
      <c r="I49" t="str">
        <f t="shared" si="0"/>
        <v/>
      </c>
      <c r="J49" t="str">
        <f t="shared" si="1"/>
        <v/>
      </c>
      <c r="K49" s="1" t="str">
        <f t="shared" si="2"/>
        <v/>
      </c>
    </row>
    <row r="50" spans="5:11" x14ac:dyDescent="0.2">
      <c r="E50" t="str">
        <f>+IFERROR(VLOOKUP(D50,Daten_Verknüpfungen!$B$2:$C$2000,2,FALSE),"")</f>
        <v/>
      </c>
      <c r="I50" t="str">
        <f t="shared" si="0"/>
        <v/>
      </c>
      <c r="J50" t="str">
        <f t="shared" si="1"/>
        <v/>
      </c>
      <c r="K50" s="1" t="str">
        <f t="shared" si="2"/>
        <v/>
      </c>
    </row>
    <row r="51" spans="5:11" x14ac:dyDescent="0.2">
      <c r="E51" t="str">
        <f>+IFERROR(VLOOKUP(D51,Daten_Verknüpfungen!$B$2:$C$2000,2,FALSE),"")</f>
        <v/>
      </c>
      <c r="I51" t="str">
        <f t="shared" si="0"/>
        <v/>
      </c>
      <c r="J51" t="str">
        <f t="shared" si="1"/>
        <v/>
      </c>
      <c r="K51" s="1" t="str">
        <f t="shared" si="2"/>
        <v/>
      </c>
    </row>
    <row r="52" spans="5:11" x14ac:dyDescent="0.2">
      <c r="E52" t="str">
        <f>+IFERROR(VLOOKUP(D52,Daten_Verknüpfungen!$B$2:$C$2000,2,FALSE),"")</f>
        <v/>
      </c>
      <c r="I52" t="str">
        <f t="shared" si="0"/>
        <v/>
      </c>
      <c r="J52" t="str">
        <f t="shared" si="1"/>
        <v/>
      </c>
      <c r="K52" s="1" t="str">
        <f t="shared" si="2"/>
        <v/>
      </c>
    </row>
    <row r="53" spans="5:11" x14ac:dyDescent="0.2">
      <c r="E53" t="str">
        <f>+IFERROR(VLOOKUP(D53,Daten_Verknüpfungen!$B$2:$C$2000,2,FALSE),"")</f>
        <v/>
      </c>
      <c r="I53" t="str">
        <f t="shared" si="0"/>
        <v/>
      </c>
      <c r="J53" t="str">
        <f t="shared" si="1"/>
        <v/>
      </c>
      <c r="K53" s="1" t="str">
        <f t="shared" si="2"/>
        <v/>
      </c>
    </row>
    <row r="54" spans="5:11" x14ac:dyDescent="0.2">
      <c r="E54" t="str">
        <f>+IFERROR(VLOOKUP(D54,Daten_Verknüpfungen!$B$2:$C$2000,2,FALSE),"")</f>
        <v/>
      </c>
    </row>
    <row r="55" spans="5:11" x14ac:dyDescent="0.2">
      <c r="E55" t="str">
        <f>+IFERROR(VLOOKUP(D55,Daten_Verknüpfungen!$B$2:$C$2000,2,FALSE),"")</f>
        <v/>
      </c>
    </row>
    <row r="56" spans="5:11" x14ac:dyDescent="0.2">
      <c r="E56" t="str">
        <f>+IFERROR(VLOOKUP(D56,Daten_Verknüpfungen!$B$2:$C$2000,2,FALSE),"")</f>
        <v/>
      </c>
    </row>
    <row r="57" spans="5:11" x14ac:dyDescent="0.2">
      <c r="E57" t="str">
        <f>+IFERROR(VLOOKUP(D57,Daten_Verknüpfungen!$B$2:$C$2000,2,FALSE),"")</f>
        <v/>
      </c>
    </row>
    <row r="58" spans="5:11" x14ac:dyDescent="0.2">
      <c r="E58" t="str">
        <f>+IFERROR(VLOOKUP(D58,Daten_Verknüpfungen!$B$2:$C$2000,2,FALSE),"")</f>
        <v/>
      </c>
    </row>
    <row r="59" spans="5:11" x14ac:dyDescent="0.2">
      <c r="E59" t="str">
        <f>+IFERROR(VLOOKUP(D59,Daten_Verknüpfungen!$B$2:$C$2000,2,FALSE),"")</f>
        <v/>
      </c>
    </row>
    <row r="60" spans="5:11" x14ac:dyDescent="0.2">
      <c r="E60" t="str">
        <f>+IFERROR(VLOOKUP(D60,Daten_Verknüpfungen!$B$2:$C$2000,2,FALSE),"")</f>
        <v/>
      </c>
    </row>
    <row r="61" spans="5:11" x14ac:dyDescent="0.2">
      <c r="E61" t="str">
        <f>+IFERROR(VLOOKUP(D61,Daten_Verknüpfungen!$B$2:$C$2000,2,FALSE),"")</f>
        <v/>
      </c>
    </row>
    <row r="62" spans="5:11" x14ac:dyDescent="0.2">
      <c r="E62" t="str">
        <f>+IFERROR(VLOOKUP(D62,Daten_Verknüpfungen!$B$2:$C$2000,2,FALSE),"")</f>
        <v/>
      </c>
    </row>
    <row r="63" spans="5:11" x14ac:dyDescent="0.2">
      <c r="E63" t="str">
        <f>+IFERROR(VLOOKUP(D63,Daten_Verknüpfungen!$B$2:$C$2000,2,FALSE),"")</f>
        <v/>
      </c>
    </row>
    <row r="64" spans="5:11" x14ac:dyDescent="0.2">
      <c r="E64" t="str">
        <f>+IFERROR(VLOOKUP(D64,Daten_Verknüpfungen!$B$2:$C$2000,2,FALSE),"")</f>
        <v/>
      </c>
    </row>
    <row r="65" spans="5:5" x14ac:dyDescent="0.2">
      <c r="E65" t="str">
        <f>+IFERROR(VLOOKUP(D65,Daten_Verknüpfungen!$B$2:$C$2000,2,FALSE),"")</f>
        <v/>
      </c>
    </row>
    <row r="66" spans="5:5" x14ac:dyDescent="0.2">
      <c r="E66" t="str">
        <f>+IFERROR(VLOOKUP(D66,Daten_Verknüpfungen!$B$2:$C$2000,2,FALSE),"")</f>
        <v/>
      </c>
    </row>
    <row r="67" spans="5:5" x14ac:dyDescent="0.2">
      <c r="E67" t="str">
        <f>+IFERROR(VLOOKUP(D67,Daten_Verknüpfungen!$B$2:$C$2000,2,FALSE),"")</f>
        <v/>
      </c>
    </row>
    <row r="68" spans="5:5" x14ac:dyDescent="0.2">
      <c r="E68" t="str">
        <f>+IFERROR(VLOOKUP(D68,Daten_Verknüpfungen!$B$2:$C$2000,2,FALSE),"")</f>
        <v/>
      </c>
    </row>
    <row r="69" spans="5:5" x14ac:dyDescent="0.2">
      <c r="E69" t="str">
        <f>+IFERROR(VLOOKUP(D69,Daten_Verknüpfungen!$B$2:$C$2000,2,FALSE),"")</f>
        <v/>
      </c>
    </row>
    <row r="70" spans="5:5" x14ac:dyDescent="0.2">
      <c r="E70" t="str">
        <f>+IFERROR(VLOOKUP(D70,Daten_Verknüpfungen!$B$2:$C$2000,2,FALSE),"")</f>
        <v/>
      </c>
    </row>
    <row r="71" spans="5:5" x14ac:dyDescent="0.2">
      <c r="E71" t="str">
        <f>+IFERROR(VLOOKUP(D71,Daten_Verknüpfungen!$B$2:$C$2000,2,FALSE),"")</f>
        <v/>
      </c>
    </row>
    <row r="72" spans="5:5" x14ac:dyDescent="0.2">
      <c r="E72" t="str">
        <f>+IFERROR(VLOOKUP(D72,Daten_Verknüpfungen!$B$2:$C$2000,2,FALSE),"")</f>
        <v/>
      </c>
    </row>
    <row r="73" spans="5:5" x14ac:dyDescent="0.2">
      <c r="E73" t="str">
        <f>+IFERROR(VLOOKUP(D73,Daten_Verknüpfungen!$B$2:$C$2000,2,FALSE),"")</f>
        <v/>
      </c>
    </row>
    <row r="74" spans="5:5" x14ac:dyDescent="0.2">
      <c r="E74" t="str">
        <f>+IFERROR(VLOOKUP(D74,Daten_Verknüpfungen!$B$2:$C$2000,2,FALSE),"")</f>
        <v/>
      </c>
    </row>
    <row r="75" spans="5:5" x14ac:dyDescent="0.2">
      <c r="E75" t="str">
        <f>+IFERROR(VLOOKUP(D75,Daten_Verknüpfungen!$B$2:$C$2000,2,FALSE),"")</f>
        <v/>
      </c>
    </row>
    <row r="76" spans="5:5" x14ac:dyDescent="0.2">
      <c r="E76" t="str">
        <f>+IFERROR(VLOOKUP(D76,Daten_Verknüpfungen!$B$2:$C$2000,2,FALSE),"")</f>
        <v/>
      </c>
    </row>
    <row r="77" spans="5:5" x14ac:dyDescent="0.2">
      <c r="E77" t="str">
        <f>+IFERROR(VLOOKUP(D77,Daten_Verknüpfungen!$B$2:$C$2000,2,FALSE),"")</f>
        <v/>
      </c>
    </row>
    <row r="78" spans="5:5" x14ac:dyDescent="0.2">
      <c r="E78" t="str">
        <f>+IFERROR(VLOOKUP(D78,Daten_Verknüpfungen!$B$2:$C$2000,2,FALSE),"")</f>
        <v/>
      </c>
    </row>
    <row r="79" spans="5:5" x14ac:dyDescent="0.2">
      <c r="E79" t="str">
        <f>+IFERROR(VLOOKUP(D79,Daten_Verknüpfungen!$B$2:$C$2000,2,FALSE),"")</f>
        <v/>
      </c>
    </row>
    <row r="80" spans="5:5" x14ac:dyDescent="0.2">
      <c r="E80" t="str">
        <f>+IFERROR(VLOOKUP(D80,Daten_Verknüpfungen!$B$2:$C$2000,2,FALSE),"")</f>
        <v/>
      </c>
    </row>
    <row r="81" spans="5:5" x14ac:dyDescent="0.2">
      <c r="E81" t="str">
        <f>+IFERROR(VLOOKUP(D81,Daten_Verknüpfungen!$B$2:$C$2000,2,FALSE),"")</f>
        <v/>
      </c>
    </row>
    <row r="82" spans="5:5" x14ac:dyDescent="0.2">
      <c r="E82" t="str">
        <f>+IFERROR(VLOOKUP(D82,Daten_Verknüpfungen!$B$2:$C$2000,2,FALSE),"")</f>
        <v/>
      </c>
    </row>
    <row r="83" spans="5:5" x14ac:dyDescent="0.2">
      <c r="E83" t="str">
        <f>+IFERROR(VLOOKUP(D83,Daten_Verknüpfungen!$B$2:$C$2000,2,FALSE),"")</f>
        <v/>
      </c>
    </row>
    <row r="84" spans="5:5" x14ac:dyDescent="0.2">
      <c r="E84" t="str">
        <f>+IFERROR(VLOOKUP(D84,Daten_Verknüpfungen!$B$2:$C$2000,2,FALSE),"")</f>
        <v/>
      </c>
    </row>
    <row r="85" spans="5:5" x14ac:dyDescent="0.2">
      <c r="E85" t="str">
        <f>+IFERROR(VLOOKUP(D85,Daten_Verknüpfungen!$B$2:$C$2000,2,FALSE),"")</f>
        <v/>
      </c>
    </row>
    <row r="86" spans="5:5" x14ac:dyDescent="0.2">
      <c r="E86" t="str">
        <f>+IFERROR(VLOOKUP(D86,Daten_Verknüpfungen!$B$2:$C$2000,2,FALSE),"")</f>
        <v/>
      </c>
    </row>
    <row r="87" spans="5:5" x14ac:dyDescent="0.2">
      <c r="E87" t="str">
        <f>+IFERROR(VLOOKUP(D87,Daten_Verknüpfungen!$B$2:$C$2000,2,FALSE),"")</f>
        <v/>
      </c>
    </row>
    <row r="88" spans="5:5" x14ac:dyDescent="0.2">
      <c r="E88" t="str">
        <f>+IFERROR(VLOOKUP(D88,Daten_Verknüpfungen!$B$2:$C$2000,2,FALSE),"")</f>
        <v/>
      </c>
    </row>
    <row r="89" spans="5:5" x14ac:dyDescent="0.2">
      <c r="E89" t="str">
        <f>+IFERROR(VLOOKUP(D89,Daten_Verknüpfungen!$B$2:$C$2000,2,FALSE),"")</f>
        <v/>
      </c>
    </row>
    <row r="90" spans="5:5" x14ac:dyDescent="0.2">
      <c r="E90" t="str">
        <f>+IFERROR(VLOOKUP(D90,Daten_Verknüpfungen!$B$2:$C$2000,2,FALSE),"")</f>
        <v/>
      </c>
    </row>
    <row r="91" spans="5:5" x14ac:dyDescent="0.2">
      <c r="E91" t="str">
        <f>+IFERROR(VLOOKUP(D91,Daten_Verknüpfungen!$B$2:$C$2000,2,FALSE),"")</f>
        <v/>
      </c>
    </row>
    <row r="92" spans="5:5" x14ac:dyDescent="0.2">
      <c r="E92" t="str">
        <f>+IFERROR(VLOOKUP(D92,Daten_Verknüpfungen!$B$2:$C$2000,2,FALSE),"")</f>
        <v/>
      </c>
    </row>
    <row r="93" spans="5:5" x14ac:dyDescent="0.2">
      <c r="E93" t="str">
        <f>+IFERROR(VLOOKUP(D93,Daten_Verknüpfungen!$B$2:$C$2000,2,FALSE),"")</f>
        <v/>
      </c>
    </row>
    <row r="94" spans="5:5" x14ac:dyDescent="0.2">
      <c r="E94" t="str">
        <f>+IFERROR(VLOOKUP(D94,Daten_Verknüpfungen!$B$2:$C$2000,2,FALSE),"")</f>
        <v/>
      </c>
    </row>
    <row r="95" spans="5:5" x14ac:dyDescent="0.2">
      <c r="E95" t="str">
        <f>+IFERROR(VLOOKUP(D95,Daten_Verknüpfungen!$B$2:$C$2000,2,FALSE),"")</f>
        <v/>
      </c>
    </row>
    <row r="96" spans="5:5" x14ac:dyDescent="0.2">
      <c r="E96" t="str">
        <f>+IFERROR(VLOOKUP(D96,Daten_Verknüpfungen!$B$2:$C$2000,2,FALSE),"")</f>
        <v/>
      </c>
    </row>
    <row r="97" spans="5:5" x14ac:dyDescent="0.2">
      <c r="E97" t="str">
        <f>+IFERROR(VLOOKUP(D97,Daten_Verknüpfungen!$B$2:$C$2000,2,FALSE),"")</f>
        <v/>
      </c>
    </row>
    <row r="98" spans="5:5" x14ac:dyDescent="0.2">
      <c r="E98" t="str">
        <f>+IFERROR(VLOOKUP(D98,Daten_Verknüpfungen!$B$2:$C$2000,2,FALSE),"")</f>
        <v/>
      </c>
    </row>
    <row r="99" spans="5:5" x14ac:dyDescent="0.2">
      <c r="E99" t="str">
        <f>+IFERROR(VLOOKUP(D99,Daten_Verknüpfungen!$B$2:$C$2000,2,FALSE),"")</f>
        <v/>
      </c>
    </row>
    <row r="100" spans="5:5" x14ac:dyDescent="0.2">
      <c r="E100" t="str">
        <f>+IFERROR(VLOOKUP(D100,Daten_Verknüpfungen!$B$2:$C$2000,2,FALSE),"")</f>
        <v/>
      </c>
    </row>
    <row r="101" spans="5:5" x14ac:dyDescent="0.2">
      <c r="E101" t="str">
        <f>+IFERROR(VLOOKUP(D101,Daten_Verknüpfungen!$B$2:$C$2000,2,FALSE),"")</f>
        <v/>
      </c>
    </row>
    <row r="102" spans="5:5" x14ac:dyDescent="0.2">
      <c r="E102" t="str">
        <f>+IFERROR(VLOOKUP(D102,Daten_Verknüpfungen!$B$2:$C$2000,2,FALSE),"")</f>
        <v/>
      </c>
    </row>
    <row r="103" spans="5:5" x14ac:dyDescent="0.2">
      <c r="E103" t="str">
        <f>+IFERROR(VLOOKUP(D103,Daten_Verknüpfungen!$B$2:$C$2000,2,FALSE),"")</f>
        <v/>
      </c>
    </row>
    <row r="104" spans="5:5" x14ac:dyDescent="0.2">
      <c r="E104" t="str">
        <f>+IFERROR(VLOOKUP(D104,Daten_Verknüpfungen!$B$2:$C$2000,2,FALSE),"")</f>
        <v/>
      </c>
    </row>
    <row r="105" spans="5:5" x14ac:dyDescent="0.2">
      <c r="E105" t="str">
        <f>+IFERROR(VLOOKUP(D105,Daten_Verknüpfungen!$B$2:$C$2000,2,FALSE),"")</f>
        <v/>
      </c>
    </row>
    <row r="106" spans="5:5" x14ac:dyDescent="0.2">
      <c r="E106" t="str">
        <f>+IFERROR(VLOOKUP(D106,Daten_Verknüpfungen!$B$2:$C$2000,2,FALSE),"")</f>
        <v/>
      </c>
    </row>
    <row r="107" spans="5:5" x14ac:dyDescent="0.2">
      <c r="E107" t="str">
        <f>+IFERROR(VLOOKUP(D107,Daten_Verknüpfungen!$B$2:$C$2000,2,FALSE),"")</f>
        <v/>
      </c>
    </row>
    <row r="108" spans="5:5" x14ac:dyDescent="0.2">
      <c r="E108" t="str">
        <f>+IFERROR(VLOOKUP(D108,Daten_Verknüpfungen!$B$2:$C$2000,2,FALSE),"")</f>
        <v/>
      </c>
    </row>
    <row r="109" spans="5:5" x14ac:dyDescent="0.2">
      <c r="E109" t="str">
        <f>+IFERROR(VLOOKUP(D109,Daten_Verknüpfungen!$B$2:$C$2000,2,FALSE),"")</f>
        <v/>
      </c>
    </row>
    <row r="110" spans="5:5" x14ac:dyDescent="0.2">
      <c r="E110" t="str">
        <f>+IFERROR(VLOOKUP(D110,Daten_Verknüpfungen!$B$2:$C$2000,2,FALSE),"")</f>
        <v/>
      </c>
    </row>
    <row r="111" spans="5:5" x14ac:dyDescent="0.2">
      <c r="E111" t="str">
        <f>+IFERROR(VLOOKUP(D111,Daten_Verknüpfungen!$B$2:$C$2000,2,FALSE),"")</f>
        <v/>
      </c>
    </row>
    <row r="112" spans="5:5" x14ac:dyDescent="0.2">
      <c r="E112" t="str">
        <f>+IFERROR(VLOOKUP(D112,Daten_Verknüpfungen!$B$2:$C$2000,2,FALSE),"")</f>
        <v/>
      </c>
    </row>
    <row r="113" spans="5:5" x14ac:dyDescent="0.2">
      <c r="E113" t="str">
        <f>+IFERROR(VLOOKUP(D113,Daten_Verknüpfungen!$B$2:$C$2000,2,FALSE),"")</f>
        <v/>
      </c>
    </row>
    <row r="114" spans="5:5" x14ac:dyDescent="0.2">
      <c r="E114" t="str">
        <f>+IFERROR(VLOOKUP(D114,Daten_Verknüpfungen!$B$2:$C$2000,2,FALSE),"")</f>
        <v/>
      </c>
    </row>
    <row r="115" spans="5:5" x14ac:dyDescent="0.2">
      <c r="E115" t="str">
        <f>+IFERROR(VLOOKUP(D115,Daten_Verknüpfungen!$B$2:$C$2000,2,FALSE),"")</f>
        <v/>
      </c>
    </row>
    <row r="116" spans="5:5" x14ac:dyDescent="0.2">
      <c r="E116" t="str">
        <f>+IFERROR(VLOOKUP(D116,Daten_Verknüpfungen!$B$2:$C$2000,2,FALSE),"")</f>
        <v/>
      </c>
    </row>
    <row r="117" spans="5:5" x14ac:dyDescent="0.2">
      <c r="E117" t="str">
        <f>+IFERROR(VLOOKUP(D117,Daten_Verknüpfungen!$B$2:$C$2000,2,FALSE),"")</f>
        <v/>
      </c>
    </row>
    <row r="118" spans="5:5" x14ac:dyDescent="0.2">
      <c r="E118" t="str">
        <f>+IFERROR(VLOOKUP(D118,Daten_Verknüpfungen!$B$2:$C$2000,2,FALSE),"")</f>
        <v/>
      </c>
    </row>
    <row r="119" spans="5:5" x14ac:dyDescent="0.2">
      <c r="E119" t="str">
        <f>+IFERROR(VLOOKUP(D119,Daten_Verknüpfungen!$B$2:$C$2000,2,FALSE),"")</f>
        <v/>
      </c>
    </row>
    <row r="120" spans="5:5" x14ac:dyDescent="0.2">
      <c r="E120" t="str">
        <f>+IFERROR(VLOOKUP(D120,Daten_Verknüpfungen!$B$2:$C$2000,2,FALSE),"")</f>
        <v/>
      </c>
    </row>
    <row r="121" spans="5:5" x14ac:dyDescent="0.2">
      <c r="E121" t="str">
        <f>+IFERROR(VLOOKUP(D121,Daten_Verknüpfungen!$B$2:$C$2000,2,FALSE),"")</f>
        <v/>
      </c>
    </row>
    <row r="122" spans="5:5" x14ac:dyDescent="0.2">
      <c r="E122" t="str">
        <f>+IFERROR(VLOOKUP(D122,Daten_Verknüpfungen!$B$2:$C$2000,2,FALSE),"")</f>
        <v/>
      </c>
    </row>
    <row r="123" spans="5:5" x14ac:dyDescent="0.2">
      <c r="E123" t="str">
        <f>+IFERROR(VLOOKUP(D123,Daten_Verknüpfungen!$B$2:$C$2000,2,FALSE),"")</f>
        <v/>
      </c>
    </row>
    <row r="124" spans="5:5" x14ac:dyDescent="0.2">
      <c r="E124" t="str">
        <f>+IFERROR(VLOOKUP(D124,Daten_Verknüpfungen!$B$2:$C$2000,2,FALSE),"")</f>
        <v/>
      </c>
    </row>
    <row r="125" spans="5:5" x14ac:dyDescent="0.2">
      <c r="E125" t="str">
        <f>+IFERROR(VLOOKUP(D125,Daten_Verknüpfungen!$B$2:$C$2000,2,FALSE),"")</f>
        <v/>
      </c>
    </row>
    <row r="126" spans="5:5" x14ac:dyDescent="0.2">
      <c r="E126" t="str">
        <f>+IFERROR(VLOOKUP(D126,Daten_Verknüpfungen!$B$2:$C$2000,2,FALSE),"")</f>
        <v/>
      </c>
    </row>
    <row r="127" spans="5:5" x14ac:dyDescent="0.2">
      <c r="E127" t="str">
        <f>+IFERROR(VLOOKUP(D127,Daten_Verknüpfungen!$B$2:$C$2000,2,FALSE),"")</f>
        <v/>
      </c>
    </row>
    <row r="128" spans="5:5" x14ac:dyDescent="0.2">
      <c r="E128" t="str">
        <f>+IFERROR(VLOOKUP(D128,Daten_Verknüpfungen!$B$2:$C$2000,2,FALSE),"")</f>
        <v/>
      </c>
    </row>
    <row r="129" spans="5:5" x14ac:dyDescent="0.2">
      <c r="E129" t="str">
        <f>+IFERROR(VLOOKUP(D129,Daten_Verknüpfungen!$B$2:$C$2000,2,FALSE),"")</f>
        <v/>
      </c>
    </row>
    <row r="130" spans="5:5" x14ac:dyDescent="0.2">
      <c r="E130" t="str">
        <f>+IFERROR(VLOOKUP(D130,Daten_Verknüpfungen!$B$2:$C$2000,2,FALSE),"")</f>
        <v/>
      </c>
    </row>
    <row r="131" spans="5:5" x14ac:dyDescent="0.2">
      <c r="E131" t="str">
        <f>+IFERROR(VLOOKUP(D131,Daten_Verknüpfungen!$B$2:$C$2000,2,FALSE),"")</f>
        <v/>
      </c>
    </row>
    <row r="132" spans="5:5" x14ac:dyDescent="0.2">
      <c r="E132" t="str">
        <f>+IFERROR(VLOOKUP(D132,Daten_Verknüpfungen!$B$2:$C$2000,2,FALSE),"")</f>
        <v/>
      </c>
    </row>
    <row r="133" spans="5:5" x14ac:dyDescent="0.2">
      <c r="E133" t="str">
        <f>+IFERROR(VLOOKUP(D133,Daten_Verknüpfungen!$B$2:$C$2000,2,FALSE),"")</f>
        <v/>
      </c>
    </row>
    <row r="134" spans="5:5" x14ac:dyDescent="0.2">
      <c r="E134" t="str">
        <f>+IFERROR(VLOOKUP(D134,Daten_Verknüpfungen!$B$2:$C$2000,2,FALSE),"")</f>
        <v/>
      </c>
    </row>
    <row r="135" spans="5:5" x14ac:dyDescent="0.2">
      <c r="E135" t="str">
        <f>+IFERROR(VLOOKUP(D135,Daten_Verknüpfungen!$B$2:$C$2000,2,FALSE),"")</f>
        <v/>
      </c>
    </row>
    <row r="136" spans="5:5" x14ac:dyDescent="0.2">
      <c r="E136" t="str">
        <f>+IFERROR(VLOOKUP(D136,Daten_Verknüpfungen!$B$2:$C$2000,2,FALSE),"")</f>
        <v/>
      </c>
    </row>
    <row r="137" spans="5:5" x14ac:dyDescent="0.2">
      <c r="E137" t="str">
        <f>+IFERROR(VLOOKUP(D137,Daten_Verknüpfungen!$B$2:$C$2000,2,FALSE),"")</f>
        <v/>
      </c>
    </row>
    <row r="138" spans="5:5" x14ac:dyDescent="0.2">
      <c r="E138" t="str">
        <f>+IFERROR(VLOOKUP(D138,Daten_Verknüpfungen!$B$2:$C$2000,2,FALSE),"")</f>
        <v/>
      </c>
    </row>
    <row r="139" spans="5:5" x14ac:dyDescent="0.2">
      <c r="E139" t="str">
        <f>+IFERROR(VLOOKUP(D139,Daten_Verknüpfungen!$B$2:$C$2000,2,FALSE),"")</f>
        <v/>
      </c>
    </row>
    <row r="140" spans="5:5" x14ac:dyDescent="0.2">
      <c r="E140" t="str">
        <f>+IFERROR(VLOOKUP(D140,Daten_Verknüpfungen!$B$2:$C$2000,2,FALSE),"")</f>
        <v/>
      </c>
    </row>
    <row r="141" spans="5:5" x14ac:dyDescent="0.2">
      <c r="E141" t="str">
        <f>+IFERROR(VLOOKUP(D141,Daten_Verknüpfungen!$B$2:$C$2000,2,FALSE),"")</f>
        <v/>
      </c>
    </row>
    <row r="142" spans="5:5" x14ac:dyDescent="0.2">
      <c r="E142" t="str">
        <f>+IFERROR(VLOOKUP(D142,Daten_Verknüpfungen!$B$2:$C$2000,2,FALSE),"")</f>
        <v/>
      </c>
    </row>
    <row r="143" spans="5:5" x14ac:dyDescent="0.2">
      <c r="E143" t="str">
        <f>+IFERROR(VLOOKUP(D143,Daten_Verknüpfungen!$B$2:$C$2000,2,FALSE),"")</f>
        <v/>
      </c>
    </row>
    <row r="144" spans="5:5" x14ac:dyDescent="0.2">
      <c r="E144" t="str">
        <f>+IFERROR(VLOOKUP(D144,Daten_Verknüpfungen!$B$2:$C$2000,2,FALSE),"")</f>
        <v/>
      </c>
    </row>
    <row r="145" spans="5:5" x14ac:dyDescent="0.2">
      <c r="E145" t="str">
        <f>+IFERROR(VLOOKUP(D145,Daten_Verknüpfungen!$B$2:$C$2000,2,FALSE),"")</f>
        <v/>
      </c>
    </row>
    <row r="146" spans="5:5" x14ac:dyDescent="0.2">
      <c r="E146" t="str">
        <f>+IFERROR(VLOOKUP(D146,Daten_Verknüpfungen!$B$2:$C$2000,2,FALSE),"")</f>
        <v/>
      </c>
    </row>
    <row r="147" spans="5:5" x14ac:dyDescent="0.2">
      <c r="E147" t="str">
        <f>+IFERROR(VLOOKUP(D147,Daten_Verknüpfungen!$B$2:$C$2000,2,FALSE),"")</f>
        <v/>
      </c>
    </row>
    <row r="148" spans="5:5" x14ac:dyDescent="0.2">
      <c r="E148" t="str">
        <f>+IFERROR(VLOOKUP(D148,Daten_Verknüpfungen!$B$2:$C$2000,2,FALSE),"")</f>
        <v/>
      </c>
    </row>
    <row r="149" spans="5:5" x14ac:dyDescent="0.2">
      <c r="E149" t="str">
        <f>+IFERROR(VLOOKUP(D149,Daten_Verknüpfungen!$B$2:$C$2000,2,FALSE),"")</f>
        <v/>
      </c>
    </row>
    <row r="150" spans="5:5" x14ac:dyDescent="0.2">
      <c r="E150" t="str">
        <f>+IFERROR(VLOOKUP(D150,Daten_Verknüpfungen!$B$2:$C$2000,2,FALSE),"")</f>
        <v/>
      </c>
    </row>
    <row r="151" spans="5:5" x14ac:dyDescent="0.2">
      <c r="E151" t="str">
        <f>+IFERROR(VLOOKUP(D151,Daten_Verknüpfungen!$B$2:$C$2000,2,FALSE),"")</f>
        <v/>
      </c>
    </row>
    <row r="152" spans="5:5" x14ac:dyDescent="0.2">
      <c r="E152" t="str">
        <f>+IFERROR(VLOOKUP(D152,Daten_Verknüpfungen!$B$2:$C$2000,2,FALSE),"")</f>
        <v/>
      </c>
    </row>
    <row r="153" spans="5:5" x14ac:dyDescent="0.2">
      <c r="E153" t="str">
        <f>+IFERROR(VLOOKUP(D153,Daten_Verknüpfungen!$B$2:$C$2000,2,FALSE),"")</f>
        <v/>
      </c>
    </row>
    <row r="154" spans="5:5" x14ac:dyDescent="0.2">
      <c r="E154" t="str">
        <f>+IFERROR(VLOOKUP(D154,Daten_Verknüpfungen!$B$2:$C$2000,2,FALSE),"")</f>
        <v/>
      </c>
    </row>
    <row r="155" spans="5:5" x14ac:dyDescent="0.2">
      <c r="E155" t="str">
        <f>+IFERROR(VLOOKUP(D155,Daten_Verknüpfungen!$B$2:$C$2000,2,FALSE),"")</f>
        <v/>
      </c>
    </row>
    <row r="156" spans="5:5" x14ac:dyDescent="0.2">
      <c r="E156" t="str">
        <f>+IFERROR(VLOOKUP(D156,Daten_Verknüpfungen!$B$2:$C$2000,2,FALSE),"")</f>
        <v/>
      </c>
    </row>
    <row r="157" spans="5:5" x14ac:dyDescent="0.2">
      <c r="E157" t="str">
        <f>+IFERROR(VLOOKUP(D157,Daten_Verknüpfungen!$B$2:$C$2000,2,FALSE),"")</f>
        <v/>
      </c>
    </row>
    <row r="158" spans="5:5" x14ac:dyDescent="0.2">
      <c r="E158" t="str">
        <f>+IFERROR(VLOOKUP(D158,Daten_Verknüpfungen!$B$2:$C$2000,2,FALSE),"")</f>
        <v/>
      </c>
    </row>
    <row r="159" spans="5:5" x14ac:dyDescent="0.2">
      <c r="E159" t="str">
        <f>+IFERROR(VLOOKUP(D159,Daten_Verknüpfungen!$B$2:$C$2000,2,FALSE),"")</f>
        <v/>
      </c>
    </row>
    <row r="160" spans="5:5" x14ac:dyDescent="0.2">
      <c r="E160" t="str">
        <f>+IFERROR(VLOOKUP(D160,Daten_Verknüpfungen!$B$2:$C$2000,2,FALSE),"")</f>
        <v/>
      </c>
    </row>
    <row r="161" spans="5:5" x14ac:dyDescent="0.2">
      <c r="E161" t="str">
        <f>+IFERROR(VLOOKUP(D161,Daten_Verknüpfungen!$B$2:$C$2000,2,FALSE),"")</f>
        <v/>
      </c>
    </row>
    <row r="162" spans="5:5" x14ac:dyDescent="0.2">
      <c r="E162" t="str">
        <f>+IFERROR(VLOOKUP(D162,Daten_Verknüpfungen!$B$2:$C$2000,2,FALSE),"")</f>
        <v/>
      </c>
    </row>
    <row r="163" spans="5:5" x14ac:dyDescent="0.2">
      <c r="E163" t="str">
        <f>+IFERROR(VLOOKUP(D163,Daten_Verknüpfungen!$B$2:$C$2000,2,FALSE),"")</f>
        <v/>
      </c>
    </row>
    <row r="164" spans="5:5" x14ac:dyDescent="0.2">
      <c r="E164" t="str">
        <f>+IFERROR(VLOOKUP(D164,Daten_Verknüpfungen!$B$2:$C$2000,2,FALSE),"")</f>
        <v/>
      </c>
    </row>
    <row r="165" spans="5:5" x14ac:dyDescent="0.2">
      <c r="E165" t="str">
        <f>+IFERROR(VLOOKUP(D165,Daten_Verknüpfungen!$B$2:$C$2000,2,FALSE),"")</f>
        <v/>
      </c>
    </row>
    <row r="166" spans="5:5" x14ac:dyDescent="0.2">
      <c r="E166" t="str">
        <f>+IFERROR(VLOOKUP(D166,Daten_Verknüpfungen!$B$2:$C$2000,2,FALSE),"")</f>
        <v/>
      </c>
    </row>
    <row r="167" spans="5:5" x14ac:dyDescent="0.2">
      <c r="E167" t="str">
        <f>+IFERROR(VLOOKUP(D167,Daten_Verknüpfungen!$B$2:$C$2000,2,FALSE),"")</f>
        <v/>
      </c>
    </row>
    <row r="168" spans="5:5" x14ac:dyDescent="0.2">
      <c r="E168" t="str">
        <f>+IFERROR(VLOOKUP(D168,Daten_Verknüpfungen!$B$2:$C$2000,2,FALSE),"")</f>
        <v/>
      </c>
    </row>
    <row r="169" spans="5:5" x14ac:dyDescent="0.2">
      <c r="E169" t="str">
        <f>+IFERROR(VLOOKUP(D169,Daten_Verknüpfungen!$B$2:$C$2000,2,FALSE),"")</f>
        <v/>
      </c>
    </row>
    <row r="170" spans="5:5" x14ac:dyDescent="0.2">
      <c r="E170" t="str">
        <f>+IFERROR(VLOOKUP(D170,Daten_Verknüpfungen!$B$2:$C$2000,2,FALSE),"")</f>
        <v/>
      </c>
    </row>
    <row r="171" spans="5:5" x14ac:dyDescent="0.2">
      <c r="E171" t="str">
        <f>+IFERROR(VLOOKUP(D171,Daten_Verknüpfungen!$B$2:$C$2000,2,FALSE),"")</f>
        <v/>
      </c>
    </row>
    <row r="172" spans="5:5" x14ac:dyDescent="0.2">
      <c r="E172" t="str">
        <f>+IFERROR(VLOOKUP(D172,Daten_Verknüpfungen!$B$2:$C$2000,2,FALSE),"")</f>
        <v/>
      </c>
    </row>
    <row r="173" spans="5:5" x14ac:dyDescent="0.2">
      <c r="E173" t="str">
        <f>+IFERROR(VLOOKUP(D173,Daten_Verknüpfungen!$B$2:$C$2000,2,FALSE),"")</f>
        <v/>
      </c>
    </row>
    <row r="174" spans="5:5" x14ac:dyDescent="0.2">
      <c r="E174" t="str">
        <f>+IFERROR(VLOOKUP(D174,Daten_Verknüpfungen!$B$2:$C$2000,2,FALSE),"")</f>
        <v/>
      </c>
    </row>
    <row r="175" spans="5:5" x14ac:dyDescent="0.2">
      <c r="E175" t="str">
        <f>+IFERROR(VLOOKUP(D175,Daten_Verknüpfungen!$B$2:$C$2000,2,FALSE),"")</f>
        <v/>
      </c>
    </row>
    <row r="176" spans="5:5" x14ac:dyDescent="0.2">
      <c r="E176" t="str">
        <f>+IFERROR(VLOOKUP(D176,Daten_Verknüpfungen!$B$2:$C$2000,2,FALSE),"")</f>
        <v/>
      </c>
    </row>
    <row r="177" spans="5:5" x14ac:dyDescent="0.2">
      <c r="E177" t="str">
        <f>+IFERROR(VLOOKUP(D177,Daten_Verknüpfungen!$B$2:$C$2000,2,FALSE),"")</f>
        <v/>
      </c>
    </row>
    <row r="178" spans="5:5" x14ac:dyDescent="0.2">
      <c r="E178" t="str">
        <f>+IFERROR(VLOOKUP(D178,Daten_Verknüpfungen!$B$2:$C$2000,2,FALSE),"")</f>
        <v/>
      </c>
    </row>
    <row r="179" spans="5:5" x14ac:dyDescent="0.2">
      <c r="E179" t="str">
        <f>+IFERROR(VLOOKUP(D179,Daten_Verknüpfungen!$B$2:$C$2000,2,FALSE),"")</f>
        <v/>
      </c>
    </row>
    <row r="180" spans="5:5" x14ac:dyDescent="0.2">
      <c r="E180" t="str">
        <f>+IFERROR(VLOOKUP(D180,Daten_Verknüpfungen!$B$2:$C$2000,2,FALSE),"")</f>
        <v/>
      </c>
    </row>
    <row r="181" spans="5:5" x14ac:dyDescent="0.2">
      <c r="E181" t="str">
        <f>+IFERROR(VLOOKUP(D181,Daten_Verknüpfungen!$B$2:$C$2000,2,FALSE),"")</f>
        <v/>
      </c>
    </row>
    <row r="182" spans="5:5" x14ac:dyDescent="0.2">
      <c r="E182" t="str">
        <f>+IFERROR(VLOOKUP(D182,Daten_Verknüpfungen!$B$2:$C$2000,2,FALSE),"")</f>
        <v/>
      </c>
    </row>
    <row r="183" spans="5:5" x14ac:dyDescent="0.2">
      <c r="E183" t="str">
        <f>+IFERROR(VLOOKUP(D183,Daten_Verknüpfungen!$B$2:$C$2000,2,FALSE),"")</f>
        <v/>
      </c>
    </row>
    <row r="184" spans="5:5" x14ac:dyDescent="0.2">
      <c r="E184" t="str">
        <f>+IFERROR(VLOOKUP(D184,Daten_Verknüpfungen!$B$2:$C$2000,2,FALSE),"")</f>
        <v/>
      </c>
    </row>
    <row r="185" spans="5:5" x14ac:dyDescent="0.2">
      <c r="E185" t="str">
        <f>+IFERROR(VLOOKUP(D185,Daten_Verknüpfungen!$B$2:$C$2000,2,FALSE),"")</f>
        <v/>
      </c>
    </row>
    <row r="186" spans="5:5" x14ac:dyDescent="0.2">
      <c r="E186" t="str">
        <f>+IFERROR(VLOOKUP(D186,Daten_Verknüpfungen!$B$2:$C$2000,2,FALSE),"")</f>
        <v/>
      </c>
    </row>
    <row r="187" spans="5:5" x14ac:dyDescent="0.2">
      <c r="E187" t="str">
        <f>+IFERROR(VLOOKUP(D187,Daten_Verknüpfungen!$B$2:$C$2000,2,FALSE),"")</f>
        <v/>
      </c>
    </row>
    <row r="188" spans="5:5" x14ac:dyDescent="0.2">
      <c r="E188" t="str">
        <f>+IFERROR(VLOOKUP(D188,Daten_Verknüpfungen!$B$2:$C$2000,2,FALSE),"")</f>
        <v/>
      </c>
    </row>
    <row r="189" spans="5:5" x14ac:dyDescent="0.2">
      <c r="E189" t="str">
        <f>+IFERROR(VLOOKUP(D189,Daten_Verknüpfungen!$B$2:$C$2000,2,FALSE),"")</f>
        <v/>
      </c>
    </row>
    <row r="190" spans="5:5" x14ac:dyDescent="0.2">
      <c r="E190" t="str">
        <f>+IFERROR(VLOOKUP(D190,Daten_Verknüpfungen!$B$2:$C$2000,2,FALSE),"")</f>
        <v/>
      </c>
    </row>
    <row r="191" spans="5:5" x14ac:dyDescent="0.2">
      <c r="E191" t="str">
        <f>+IFERROR(VLOOKUP(D191,Daten_Verknüpfungen!$B$2:$C$2000,2,FALSE),"")</f>
        <v/>
      </c>
    </row>
    <row r="192" spans="5:5" x14ac:dyDescent="0.2">
      <c r="E192" t="str">
        <f>+IFERROR(VLOOKUP(D192,Daten_Verknüpfungen!$B$2:$C$2000,2,FALSE),"")</f>
        <v/>
      </c>
    </row>
    <row r="193" spans="5:5" x14ac:dyDescent="0.2">
      <c r="E193" t="str">
        <f>+IFERROR(VLOOKUP(D193,Daten_Verknüpfungen!$B$2:$C$2000,2,FALSE),"")</f>
        <v/>
      </c>
    </row>
    <row r="194" spans="5:5" x14ac:dyDescent="0.2">
      <c r="E194" t="str">
        <f>+IFERROR(VLOOKUP(D194,Daten_Verknüpfungen!$B$2:$C$2000,2,FALSE),"")</f>
        <v/>
      </c>
    </row>
    <row r="195" spans="5:5" x14ac:dyDescent="0.2">
      <c r="E195" t="str">
        <f>+IFERROR(VLOOKUP(D195,Daten_Verknüpfungen!$B$2:$C$2000,2,FALSE),"")</f>
        <v/>
      </c>
    </row>
    <row r="196" spans="5:5" x14ac:dyDescent="0.2">
      <c r="E196" t="str">
        <f>+IFERROR(VLOOKUP(D196,Daten_Verknüpfungen!$B$2:$C$2000,2,FALSE),"")</f>
        <v/>
      </c>
    </row>
    <row r="197" spans="5:5" x14ac:dyDescent="0.2">
      <c r="E197" t="str">
        <f>+IFERROR(VLOOKUP(D197,Daten_Verknüpfungen!$B$2:$C$2000,2,FALSE),"")</f>
        <v/>
      </c>
    </row>
    <row r="198" spans="5:5" x14ac:dyDescent="0.2">
      <c r="E198" t="str">
        <f>+IFERROR(VLOOKUP(D198,Daten_Verknüpfungen!$B$2:$C$2000,2,FALSE),"")</f>
        <v/>
      </c>
    </row>
    <row r="199" spans="5:5" x14ac:dyDescent="0.2">
      <c r="E199" t="str">
        <f>+IFERROR(VLOOKUP(D199,Daten_Verknüpfungen!$B$2:$C$2000,2,FALSE),"")</f>
        <v/>
      </c>
    </row>
    <row r="200" spans="5:5" x14ac:dyDescent="0.2">
      <c r="E200" t="str">
        <f>+IFERROR(VLOOKUP(D200,Daten_Verknüpfungen!$B$2:$C$2000,2,FALSE),"")</f>
        <v/>
      </c>
    </row>
    <row r="201" spans="5:5" x14ac:dyDescent="0.2">
      <c r="E201" t="str">
        <f>+IFERROR(VLOOKUP(D201,Daten_Verknüpfungen!$B$2:$C$2000,2,FALSE),"")</f>
        <v/>
      </c>
    </row>
    <row r="202" spans="5:5" x14ac:dyDescent="0.2">
      <c r="E202" t="str">
        <f>+IFERROR(VLOOKUP(D202,Daten_Verknüpfungen!$B$2:$C$2000,2,FALSE),"")</f>
        <v/>
      </c>
    </row>
    <row r="203" spans="5:5" x14ac:dyDescent="0.2">
      <c r="E203" t="str">
        <f>+IFERROR(VLOOKUP(D203,Daten_Verknüpfungen!$B$2:$C$2000,2,FALSE),"")</f>
        <v/>
      </c>
    </row>
    <row r="204" spans="5:5" x14ac:dyDescent="0.2">
      <c r="E204" t="str">
        <f>+IFERROR(VLOOKUP(D204,Daten_Verknüpfungen!$B$2:$C$2000,2,FALSE),"")</f>
        <v/>
      </c>
    </row>
    <row r="205" spans="5:5" x14ac:dyDescent="0.2">
      <c r="E205" t="str">
        <f>+IFERROR(VLOOKUP(D205,Daten_Verknüpfungen!$B$2:$C$2000,2,FALSE),"")</f>
        <v/>
      </c>
    </row>
    <row r="206" spans="5:5" x14ac:dyDescent="0.2">
      <c r="E206" t="str">
        <f>+IFERROR(VLOOKUP(D206,Daten_Verknüpfungen!$B$2:$C$2000,2,FALSE),"")</f>
        <v/>
      </c>
    </row>
    <row r="207" spans="5:5" x14ac:dyDescent="0.2">
      <c r="E207" t="str">
        <f>+IFERROR(VLOOKUP(D207,Daten_Verknüpfungen!$B$2:$C$2000,2,FALSE),"")</f>
        <v/>
      </c>
    </row>
    <row r="208" spans="5:5" x14ac:dyDescent="0.2">
      <c r="E208" t="str">
        <f>+IFERROR(VLOOKUP(D208,Daten_Verknüpfungen!$B$2:$C$2000,2,FALSE),"")</f>
        <v/>
      </c>
    </row>
    <row r="209" spans="5:5" x14ac:dyDescent="0.2">
      <c r="E209" t="str">
        <f>+IFERROR(VLOOKUP(D209,Daten_Verknüpfungen!$B$2:$C$2000,2,FALSE),"")</f>
        <v/>
      </c>
    </row>
    <row r="210" spans="5:5" x14ac:dyDescent="0.2">
      <c r="E210" t="str">
        <f>+IFERROR(VLOOKUP(D210,Daten_Verknüpfungen!$B$2:$C$2000,2,FALSE),"")</f>
        <v/>
      </c>
    </row>
    <row r="211" spans="5:5" x14ac:dyDescent="0.2">
      <c r="E211" t="str">
        <f>+IFERROR(VLOOKUP(D211,Daten_Verknüpfungen!$B$2:$C$2000,2,FALSE),"")</f>
        <v/>
      </c>
    </row>
    <row r="212" spans="5:5" x14ac:dyDescent="0.2">
      <c r="E212" t="str">
        <f>+IFERROR(VLOOKUP(D212,Daten_Verknüpfungen!$B$2:$C$2000,2,FALSE),"")</f>
        <v/>
      </c>
    </row>
    <row r="213" spans="5:5" x14ac:dyDescent="0.2">
      <c r="E213" t="str">
        <f>+IFERROR(VLOOKUP(D213,Daten_Verknüpfungen!$B$2:$C$2000,2,FALSE),"")</f>
        <v/>
      </c>
    </row>
    <row r="214" spans="5:5" x14ac:dyDescent="0.2">
      <c r="E214" t="str">
        <f>+IFERROR(VLOOKUP(D214,Daten_Verknüpfungen!$B$2:$C$2000,2,FALSE),"")</f>
        <v/>
      </c>
    </row>
    <row r="215" spans="5:5" x14ac:dyDescent="0.2">
      <c r="E215" t="str">
        <f>+IFERROR(VLOOKUP(D215,Daten_Verknüpfungen!$B$2:$C$2000,2,FALSE),"")</f>
        <v/>
      </c>
    </row>
    <row r="216" spans="5:5" x14ac:dyDescent="0.2">
      <c r="E216" t="str">
        <f>+IFERROR(VLOOKUP(D216,Daten_Verknüpfungen!$B$2:$C$2000,2,FALSE),"")</f>
        <v/>
      </c>
    </row>
    <row r="217" spans="5:5" x14ac:dyDescent="0.2">
      <c r="E217" t="str">
        <f>+IFERROR(VLOOKUP(D217,Daten_Verknüpfungen!$B$2:$C$2000,2,FALSE),"")</f>
        <v/>
      </c>
    </row>
    <row r="218" spans="5:5" x14ac:dyDescent="0.2">
      <c r="E218" t="str">
        <f>+IFERROR(VLOOKUP(D218,Daten_Verknüpfungen!$B$2:$C$2000,2,FALSE),"")</f>
        <v/>
      </c>
    </row>
    <row r="219" spans="5:5" x14ac:dyDescent="0.2">
      <c r="E219" t="str">
        <f>+IFERROR(VLOOKUP(D219,Daten_Verknüpfungen!$B$2:$C$2000,2,FALSE),"")</f>
        <v/>
      </c>
    </row>
    <row r="220" spans="5:5" x14ac:dyDescent="0.2">
      <c r="E220" t="str">
        <f>+IFERROR(VLOOKUP(D220,Daten_Verknüpfungen!$B$2:$C$2000,2,FALSE),"")</f>
        <v/>
      </c>
    </row>
    <row r="221" spans="5:5" x14ac:dyDescent="0.2">
      <c r="E221" t="str">
        <f>+IFERROR(VLOOKUP(D221,Daten_Verknüpfungen!$B$2:$C$2000,2,FALSE),"")</f>
        <v/>
      </c>
    </row>
    <row r="222" spans="5:5" x14ac:dyDescent="0.2">
      <c r="E222" t="str">
        <f>+IFERROR(VLOOKUP(D222,Daten_Verknüpfungen!$B$2:$C$2000,2,FALSE),"")</f>
        <v/>
      </c>
    </row>
    <row r="223" spans="5:5" x14ac:dyDescent="0.2">
      <c r="E223" t="str">
        <f>+IFERROR(VLOOKUP(D223,Daten_Verknüpfungen!$B$2:$C$2000,2,FALSE),"")</f>
        <v/>
      </c>
    </row>
    <row r="224" spans="5:5" x14ac:dyDescent="0.2">
      <c r="E224" t="str">
        <f>+IFERROR(VLOOKUP(D224,Daten_Verknüpfungen!$B$2:$C$2000,2,FALSE),"")</f>
        <v/>
      </c>
    </row>
    <row r="225" spans="5:5" x14ac:dyDescent="0.2">
      <c r="E225" t="str">
        <f>+IFERROR(VLOOKUP(D225,Daten_Verknüpfungen!$B$2:$C$2000,2,FALSE),"")</f>
        <v/>
      </c>
    </row>
    <row r="226" spans="5:5" x14ac:dyDescent="0.2">
      <c r="E226" t="str">
        <f>+IFERROR(VLOOKUP(D226,Daten_Verknüpfungen!$B$2:$C$2000,2,FALSE),"")</f>
        <v/>
      </c>
    </row>
    <row r="227" spans="5:5" x14ac:dyDescent="0.2">
      <c r="E227" t="str">
        <f>+IFERROR(VLOOKUP(D227,Daten_Verknüpfungen!$B$2:$C$2000,2,FALSE),"")</f>
        <v/>
      </c>
    </row>
    <row r="228" spans="5:5" x14ac:dyDescent="0.2">
      <c r="E228" t="str">
        <f>+IFERROR(VLOOKUP(D228,Daten_Verknüpfungen!$B$2:$C$2000,2,FALSE),"")</f>
        <v/>
      </c>
    </row>
    <row r="229" spans="5:5" x14ac:dyDescent="0.2">
      <c r="E229" t="str">
        <f>+IFERROR(VLOOKUP(D229,Daten_Verknüpfungen!$B$2:$C$2000,2,FALSE),"")</f>
        <v/>
      </c>
    </row>
    <row r="230" spans="5:5" x14ac:dyDescent="0.2">
      <c r="E230" t="str">
        <f>+IFERROR(VLOOKUP(D230,Daten_Verknüpfungen!$B$2:$C$2000,2,FALSE),"")</f>
        <v/>
      </c>
    </row>
    <row r="231" spans="5:5" x14ac:dyDescent="0.2">
      <c r="E231" t="str">
        <f>+IFERROR(VLOOKUP(D231,Daten_Verknüpfungen!$B$2:$C$2000,2,FALSE),"")</f>
        <v/>
      </c>
    </row>
    <row r="232" spans="5:5" x14ac:dyDescent="0.2">
      <c r="E232" t="str">
        <f>+IFERROR(VLOOKUP(D232,Daten_Verknüpfungen!$B$2:$C$2000,2,FALSE),"")</f>
        <v/>
      </c>
    </row>
    <row r="233" spans="5:5" x14ac:dyDescent="0.2">
      <c r="E233" t="str">
        <f>+IFERROR(VLOOKUP(D233,Daten_Verknüpfungen!$B$2:$C$2000,2,FALSE),"")</f>
        <v/>
      </c>
    </row>
    <row r="234" spans="5:5" x14ac:dyDescent="0.2">
      <c r="E234" t="str">
        <f>+IFERROR(VLOOKUP(D234,Daten_Verknüpfungen!$B$2:$C$2000,2,FALSE),"")</f>
        <v/>
      </c>
    </row>
    <row r="235" spans="5:5" x14ac:dyDescent="0.2">
      <c r="E235" t="str">
        <f>+IFERROR(VLOOKUP(D235,Daten_Verknüpfungen!$B$2:$C$2000,2,FALSE),"")</f>
        <v/>
      </c>
    </row>
    <row r="236" spans="5:5" x14ac:dyDescent="0.2">
      <c r="E236" t="str">
        <f>+IFERROR(VLOOKUP(D236,Daten_Verknüpfungen!$B$2:$C$2000,2,FALSE),"")</f>
        <v/>
      </c>
    </row>
    <row r="237" spans="5:5" x14ac:dyDescent="0.2">
      <c r="E237" t="str">
        <f>+IFERROR(VLOOKUP(D237,Daten_Verknüpfungen!$B$2:$C$2000,2,FALSE),"")</f>
        <v/>
      </c>
    </row>
    <row r="238" spans="5:5" x14ac:dyDescent="0.2">
      <c r="E238" t="str">
        <f>+IFERROR(VLOOKUP(D238,Daten_Verknüpfungen!$B$2:$C$2000,2,FALSE),"")</f>
        <v/>
      </c>
    </row>
    <row r="239" spans="5:5" x14ac:dyDescent="0.2">
      <c r="E239" t="str">
        <f>+IFERROR(VLOOKUP(D239,Daten_Verknüpfungen!$B$2:$C$2000,2,FALSE),"")</f>
        <v/>
      </c>
    </row>
    <row r="240" spans="5:5" x14ac:dyDescent="0.2">
      <c r="E240" t="str">
        <f>+IFERROR(VLOOKUP(D240,Daten_Verknüpfungen!$B$2:$C$2000,2,FALSE),"")</f>
        <v/>
      </c>
    </row>
    <row r="241" spans="5:5" x14ac:dyDescent="0.2">
      <c r="E241" t="str">
        <f>+IFERROR(VLOOKUP(D241,Daten_Verknüpfungen!$B$2:$C$2000,2,FALSE),"")</f>
        <v/>
      </c>
    </row>
    <row r="242" spans="5:5" x14ac:dyDescent="0.2">
      <c r="E242" t="str">
        <f>+IFERROR(VLOOKUP(D242,Daten_Verknüpfungen!$B$2:$C$2000,2,FALSE),"")</f>
        <v/>
      </c>
    </row>
    <row r="243" spans="5:5" x14ac:dyDescent="0.2">
      <c r="E243" t="str">
        <f>+IFERROR(VLOOKUP(D243,Daten_Verknüpfungen!$B$2:$C$2000,2,FALSE),"")</f>
        <v/>
      </c>
    </row>
    <row r="244" spans="5:5" x14ac:dyDescent="0.2">
      <c r="E244" t="str">
        <f>+IFERROR(VLOOKUP(D244,Daten_Verknüpfungen!$B$2:$C$2000,2,FALSE),"")</f>
        <v/>
      </c>
    </row>
    <row r="245" spans="5:5" x14ac:dyDescent="0.2">
      <c r="E245" t="str">
        <f>+IFERROR(VLOOKUP(D245,Daten_Verknüpfungen!$B$2:$C$2000,2,FALSE),"")</f>
        <v/>
      </c>
    </row>
    <row r="246" spans="5:5" x14ac:dyDescent="0.2">
      <c r="E246" t="str">
        <f>+IFERROR(VLOOKUP(D246,Daten_Verknüpfungen!$B$2:$C$2000,2,FALSE),"")</f>
        <v/>
      </c>
    </row>
    <row r="247" spans="5:5" x14ac:dyDescent="0.2">
      <c r="E247" t="str">
        <f>+IFERROR(VLOOKUP(D247,Daten_Verknüpfungen!$B$2:$C$2000,2,FALSE),"")</f>
        <v/>
      </c>
    </row>
    <row r="248" spans="5:5" x14ac:dyDescent="0.2">
      <c r="E248" t="str">
        <f>+IFERROR(VLOOKUP(D248,Daten_Verknüpfungen!$B$2:$C$2000,2,FALSE),"")</f>
        <v/>
      </c>
    </row>
    <row r="249" spans="5:5" x14ac:dyDescent="0.2">
      <c r="E249" t="str">
        <f>+IFERROR(VLOOKUP(D249,Daten_Verknüpfungen!$B$2:$C$2000,2,FALSE),"")</f>
        <v/>
      </c>
    </row>
    <row r="250" spans="5:5" x14ac:dyDescent="0.2">
      <c r="E250" t="str">
        <f>+IFERROR(VLOOKUP(D250,Daten_Verknüpfungen!$B$2:$C$2000,2,FALSE),"")</f>
        <v/>
      </c>
    </row>
    <row r="251" spans="5:5" x14ac:dyDescent="0.2">
      <c r="E251" t="str">
        <f>+IFERROR(VLOOKUP(D251,Daten_Verknüpfungen!$B$2:$C$2000,2,FALSE),"")</f>
        <v/>
      </c>
    </row>
    <row r="252" spans="5:5" x14ac:dyDescent="0.2">
      <c r="E252" t="str">
        <f>+IFERROR(VLOOKUP(D252,Daten_Verknüpfungen!$B$2:$C$2000,2,FALSE),"")</f>
        <v/>
      </c>
    </row>
    <row r="253" spans="5:5" x14ac:dyDescent="0.2">
      <c r="E253" t="str">
        <f>+IFERROR(VLOOKUP(D253,Daten_Verknüpfungen!$B$2:$C$2000,2,FALSE),"")</f>
        <v/>
      </c>
    </row>
    <row r="254" spans="5:5" x14ac:dyDescent="0.2">
      <c r="E254" t="str">
        <f>+IFERROR(VLOOKUP(D254,Daten_Verknüpfungen!$B$2:$C$2000,2,FALSE),"")</f>
        <v/>
      </c>
    </row>
    <row r="255" spans="5:5" x14ac:dyDescent="0.2">
      <c r="E255" t="str">
        <f>+IFERROR(VLOOKUP(D255,Daten_Verknüpfungen!$B$2:$C$2000,2,FALSE),"")</f>
        <v/>
      </c>
    </row>
    <row r="256" spans="5:5" x14ac:dyDescent="0.2">
      <c r="E256" t="str">
        <f>+IFERROR(VLOOKUP(D256,Daten_Verknüpfungen!$B$2:$C$2000,2,FALSE),"")</f>
        <v/>
      </c>
    </row>
    <row r="257" spans="5:5" x14ac:dyDescent="0.2">
      <c r="E257" t="str">
        <f>+IFERROR(VLOOKUP(D257,Daten_Verknüpfungen!$B$2:$C$2000,2,FALSE),"")</f>
        <v/>
      </c>
    </row>
    <row r="258" spans="5:5" x14ac:dyDescent="0.2">
      <c r="E258" t="str">
        <f>+IFERROR(VLOOKUP(D258,Daten_Verknüpfungen!$B$2:$C$2000,2,FALSE),"")</f>
        <v/>
      </c>
    </row>
    <row r="259" spans="5:5" x14ac:dyDescent="0.2">
      <c r="E259" t="str">
        <f>+IFERROR(VLOOKUP(D259,Daten_Verknüpfungen!$B$2:$C$2000,2,FALSE),"")</f>
        <v/>
      </c>
    </row>
    <row r="260" spans="5:5" x14ac:dyDescent="0.2">
      <c r="E260" t="str">
        <f>+IFERROR(VLOOKUP(D260,Daten_Verknüpfungen!$B$2:$C$2000,2,FALSE),"")</f>
        <v/>
      </c>
    </row>
    <row r="261" spans="5:5" x14ac:dyDescent="0.2">
      <c r="E261" t="str">
        <f>+IFERROR(VLOOKUP(D261,Daten_Verknüpfungen!$B$2:$C$2000,2,FALSE),"")</f>
        <v/>
      </c>
    </row>
    <row r="262" spans="5:5" x14ac:dyDescent="0.2">
      <c r="E262" t="str">
        <f>+IFERROR(VLOOKUP(D262,Daten_Verknüpfungen!$B$2:$C$2000,2,FALSE),"")</f>
        <v/>
      </c>
    </row>
    <row r="263" spans="5:5" x14ac:dyDescent="0.2">
      <c r="E263" t="str">
        <f>+IFERROR(VLOOKUP(D263,Daten_Verknüpfungen!$B$2:$C$2000,2,FALSE),"")</f>
        <v/>
      </c>
    </row>
    <row r="264" spans="5:5" x14ac:dyDescent="0.2">
      <c r="E264" t="str">
        <f>+IFERROR(VLOOKUP(D264,Daten_Verknüpfungen!$B$2:$C$2000,2,FALSE),"")</f>
        <v/>
      </c>
    </row>
    <row r="265" spans="5:5" x14ac:dyDescent="0.2">
      <c r="E265" t="str">
        <f>+IFERROR(VLOOKUP(D265,Daten_Verknüpfungen!$B$2:$C$2000,2,FALSE),"")</f>
        <v/>
      </c>
    </row>
    <row r="266" spans="5:5" x14ac:dyDescent="0.2">
      <c r="E266" t="str">
        <f>+IFERROR(VLOOKUP(D266,Daten_Verknüpfungen!$B$2:$C$2000,2,FALSE),"")</f>
        <v/>
      </c>
    </row>
    <row r="267" spans="5:5" x14ac:dyDescent="0.2">
      <c r="E267" t="str">
        <f>+IFERROR(VLOOKUP(D267,Daten_Verknüpfungen!$B$2:$C$2000,2,FALSE),"")</f>
        <v/>
      </c>
    </row>
    <row r="268" spans="5:5" x14ac:dyDescent="0.2">
      <c r="E268" t="str">
        <f>+IFERROR(VLOOKUP(D268,Daten_Verknüpfungen!$B$2:$C$2000,2,FALSE),"")</f>
        <v/>
      </c>
    </row>
    <row r="269" spans="5:5" x14ac:dyDescent="0.2">
      <c r="E269" t="str">
        <f>+IFERROR(VLOOKUP(D269,Daten_Verknüpfungen!$B$2:$C$2000,2,FALSE),"")</f>
        <v/>
      </c>
    </row>
    <row r="270" spans="5:5" x14ac:dyDescent="0.2">
      <c r="E270" t="str">
        <f>+IFERROR(VLOOKUP(D270,Daten_Verknüpfungen!$B$2:$C$2000,2,FALSE),"")</f>
        <v/>
      </c>
    </row>
    <row r="271" spans="5:5" x14ac:dyDescent="0.2">
      <c r="E271" t="str">
        <f>+IFERROR(VLOOKUP(D271,Daten_Verknüpfungen!$B$2:$C$2000,2,FALSE),"")</f>
        <v/>
      </c>
    </row>
    <row r="272" spans="5:5" x14ac:dyDescent="0.2">
      <c r="E272" t="str">
        <f>+IFERROR(VLOOKUP(D272,Daten_Verknüpfungen!$B$2:$C$2000,2,FALSE),"")</f>
        <v/>
      </c>
    </row>
    <row r="273" spans="5:5" x14ac:dyDescent="0.2">
      <c r="E273" t="str">
        <f>+IFERROR(VLOOKUP(D273,Daten_Verknüpfungen!$B$2:$C$2000,2,FALSE),"")</f>
        <v/>
      </c>
    </row>
    <row r="274" spans="5:5" x14ac:dyDescent="0.2">
      <c r="E274" t="str">
        <f>+IFERROR(VLOOKUP(D274,Daten_Verknüpfungen!$B$2:$C$2000,2,FALSE),"")</f>
        <v/>
      </c>
    </row>
    <row r="275" spans="5:5" x14ac:dyDescent="0.2">
      <c r="E275" t="str">
        <f>+IFERROR(VLOOKUP(D275,Daten_Verknüpfungen!$B$2:$C$2000,2,FALSE),"")</f>
        <v/>
      </c>
    </row>
    <row r="276" spans="5:5" x14ac:dyDescent="0.2">
      <c r="E276" t="str">
        <f>+IFERROR(VLOOKUP(D276,Daten_Verknüpfungen!$B$2:$C$2000,2,FALSE),"")</f>
        <v/>
      </c>
    </row>
    <row r="277" spans="5:5" x14ac:dyDescent="0.2">
      <c r="E277" t="str">
        <f>+IFERROR(VLOOKUP(D277,Daten_Verknüpfungen!$B$2:$C$2000,2,FALSE),"")</f>
        <v/>
      </c>
    </row>
    <row r="278" spans="5:5" x14ac:dyDescent="0.2">
      <c r="E278" t="str">
        <f>+IFERROR(VLOOKUP(D278,Daten_Verknüpfungen!$B$2:$C$2000,2,FALSE),"")</f>
        <v/>
      </c>
    </row>
    <row r="279" spans="5:5" x14ac:dyDescent="0.2">
      <c r="E279" t="str">
        <f>+IFERROR(VLOOKUP(D279,Daten_Verknüpfungen!$B$2:$C$2000,2,FALSE),"")</f>
        <v/>
      </c>
    </row>
    <row r="280" spans="5:5" x14ac:dyDescent="0.2">
      <c r="E280" t="str">
        <f>+IFERROR(VLOOKUP(D280,Daten_Verknüpfungen!$B$2:$C$2000,2,FALSE),"")</f>
        <v/>
      </c>
    </row>
    <row r="281" spans="5:5" x14ac:dyDescent="0.2">
      <c r="E281" t="str">
        <f>+IFERROR(VLOOKUP(D281,Daten_Verknüpfungen!$B$2:$C$2000,2,FALSE),"")</f>
        <v/>
      </c>
    </row>
    <row r="282" spans="5:5" x14ac:dyDescent="0.2">
      <c r="E282" t="str">
        <f>+IFERROR(VLOOKUP(D282,Daten_Verknüpfungen!$B$2:$C$2000,2,FALSE),"")</f>
        <v/>
      </c>
    </row>
    <row r="283" spans="5:5" x14ac:dyDescent="0.2">
      <c r="E283" t="str">
        <f>+IFERROR(VLOOKUP(D283,Daten_Verknüpfungen!$B$2:$C$2000,2,FALSE),"")</f>
        <v/>
      </c>
    </row>
    <row r="284" spans="5:5" x14ac:dyDescent="0.2">
      <c r="E284" t="str">
        <f>+IFERROR(VLOOKUP(D284,Daten_Verknüpfungen!$B$2:$C$2000,2,FALSE),"")</f>
        <v/>
      </c>
    </row>
    <row r="285" spans="5:5" x14ac:dyDescent="0.2">
      <c r="E285" t="str">
        <f>+IFERROR(VLOOKUP(D285,Daten_Verknüpfungen!$B$2:$C$2000,2,FALSE),"")</f>
        <v/>
      </c>
    </row>
    <row r="286" spans="5:5" x14ac:dyDescent="0.2">
      <c r="E286" t="str">
        <f>+IFERROR(VLOOKUP(D286,Daten_Verknüpfungen!$B$2:$C$2000,2,FALSE),"")</f>
        <v/>
      </c>
    </row>
    <row r="287" spans="5:5" x14ac:dyDescent="0.2">
      <c r="E287" t="str">
        <f>+IFERROR(VLOOKUP(D287,Daten_Verknüpfungen!$B$2:$C$2000,2,FALSE),"")</f>
        <v/>
      </c>
    </row>
    <row r="288" spans="5:5" x14ac:dyDescent="0.2">
      <c r="E288" t="str">
        <f>+IFERROR(VLOOKUP(D288,Daten_Verknüpfungen!$B$2:$C$2000,2,FALSE),"")</f>
        <v/>
      </c>
    </row>
    <row r="289" spans="5:5" x14ac:dyDescent="0.2">
      <c r="E289" t="str">
        <f>+IFERROR(VLOOKUP(D289,Daten_Verknüpfungen!$B$2:$C$2000,2,FALSE),"")</f>
        <v/>
      </c>
    </row>
    <row r="290" spans="5:5" x14ac:dyDescent="0.2">
      <c r="E290" t="str">
        <f>+IFERROR(VLOOKUP(D290,Daten_Verknüpfungen!$B$2:$C$2000,2,FALSE),"")</f>
        <v/>
      </c>
    </row>
    <row r="291" spans="5:5" x14ac:dyDescent="0.2">
      <c r="E291" t="str">
        <f>+IFERROR(VLOOKUP(D291,Daten_Verknüpfungen!$B$2:$C$2000,2,FALSE),"")</f>
        <v/>
      </c>
    </row>
    <row r="292" spans="5:5" x14ac:dyDescent="0.2">
      <c r="E292" t="str">
        <f>+IFERROR(VLOOKUP(D292,Daten_Verknüpfungen!$B$2:$C$2000,2,FALSE),"")</f>
        <v/>
      </c>
    </row>
    <row r="293" spans="5:5" x14ac:dyDescent="0.2">
      <c r="E293" t="str">
        <f>+IFERROR(VLOOKUP(D293,Daten_Verknüpfungen!$B$2:$C$2000,2,FALSE),"")</f>
        <v/>
      </c>
    </row>
    <row r="294" spans="5:5" x14ac:dyDescent="0.2">
      <c r="E294" t="str">
        <f>+IFERROR(VLOOKUP(D294,Daten_Verknüpfungen!$B$2:$C$2000,2,FALSE),"")</f>
        <v/>
      </c>
    </row>
    <row r="295" spans="5:5" x14ac:dyDescent="0.2">
      <c r="E295" t="str">
        <f>+IFERROR(VLOOKUP(D295,Daten_Verknüpfungen!$B$2:$C$2000,2,FALSE),"")</f>
        <v/>
      </c>
    </row>
    <row r="296" spans="5:5" x14ac:dyDescent="0.2">
      <c r="E296" t="str">
        <f>+IFERROR(VLOOKUP(D296,Daten_Verknüpfungen!$B$2:$C$2000,2,FALSE),"")</f>
        <v/>
      </c>
    </row>
    <row r="297" spans="5:5" x14ac:dyDescent="0.2">
      <c r="E297" t="str">
        <f>+IFERROR(VLOOKUP(D297,Daten_Verknüpfungen!$B$2:$C$2000,2,FALSE),"")</f>
        <v/>
      </c>
    </row>
    <row r="298" spans="5:5" x14ac:dyDescent="0.2">
      <c r="E298" t="str">
        <f>+IFERROR(VLOOKUP(D298,Daten_Verknüpfungen!$B$2:$C$2000,2,FALSE),"")</f>
        <v/>
      </c>
    </row>
    <row r="299" spans="5:5" x14ac:dyDescent="0.2">
      <c r="E299" t="str">
        <f>+IFERROR(VLOOKUP(D299,Daten_Verknüpfungen!$B$2:$C$2000,2,FALSE),"")</f>
        <v/>
      </c>
    </row>
    <row r="300" spans="5:5" x14ac:dyDescent="0.2">
      <c r="E300" t="str">
        <f>+IFERROR(VLOOKUP(D300,Daten_Verknüpfungen!$B$2:$C$2000,2,FALSE),"")</f>
        <v/>
      </c>
    </row>
    <row r="301" spans="5:5" x14ac:dyDescent="0.2">
      <c r="E301" t="str">
        <f>+IFERROR(VLOOKUP(D301,Daten_Verknüpfungen!$B$2:$C$2000,2,FALSE),"")</f>
        <v/>
      </c>
    </row>
    <row r="302" spans="5:5" x14ac:dyDescent="0.2">
      <c r="E302" t="str">
        <f>+IFERROR(VLOOKUP(D302,Daten_Verknüpfungen!$B$2:$C$2000,2,FALSE),"")</f>
        <v/>
      </c>
    </row>
    <row r="303" spans="5:5" x14ac:dyDescent="0.2">
      <c r="E303" t="str">
        <f>+IFERROR(VLOOKUP(D303,Daten_Verknüpfungen!$B$2:$C$2000,2,FALSE),"")</f>
        <v/>
      </c>
    </row>
    <row r="304" spans="5:5" x14ac:dyDescent="0.2">
      <c r="E304" t="str">
        <f>+IFERROR(VLOOKUP(D304,Daten_Verknüpfungen!$B$2:$C$2000,2,FALSE),"")</f>
        <v/>
      </c>
    </row>
    <row r="305" spans="5:5" x14ac:dyDescent="0.2">
      <c r="E305" t="str">
        <f>+IFERROR(VLOOKUP(D305,Daten_Verknüpfungen!$B$2:$C$2000,2,FALSE),"")</f>
        <v/>
      </c>
    </row>
    <row r="306" spans="5:5" x14ac:dyDescent="0.2">
      <c r="E306" t="str">
        <f>+IFERROR(VLOOKUP(D306,Daten_Verknüpfungen!$B$2:$C$2000,2,FALSE),"")</f>
        <v/>
      </c>
    </row>
    <row r="307" spans="5:5" x14ac:dyDescent="0.2">
      <c r="E307" t="str">
        <f>+IFERROR(VLOOKUP(D307,Daten_Verknüpfungen!$B$2:$C$2000,2,FALSE),"")</f>
        <v/>
      </c>
    </row>
    <row r="308" spans="5:5" x14ac:dyDescent="0.2">
      <c r="E308" t="str">
        <f>+IFERROR(VLOOKUP(D308,Daten_Verknüpfungen!$B$2:$C$2000,2,FALSE),"")</f>
        <v/>
      </c>
    </row>
    <row r="309" spans="5:5" x14ac:dyDescent="0.2">
      <c r="E309" t="str">
        <f>+IFERROR(VLOOKUP(D309,Daten_Verknüpfungen!$B$2:$C$2000,2,FALSE),"")</f>
        <v/>
      </c>
    </row>
    <row r="310" spans="5:5" x14ac:dyDescent="0.2">
      <c r="E310" t="str">
        <f>+IFERROR(VLOOKUP(D310,Daten_Verknüpfungen!$B$2:$C$2000,2,FALSE),"")</f>
        <v/>
      </c>
    </row>
    <row r="311" spans="5:5" x14ac:dyDescent="0.2">
      <c r="E311" t="str">
        <f>+IFERROR(VLOOKUP(D311,Daten_Verknüpfungen!$B$2:$C$2000,2,FALSE),"")</f>
        <v/>
      </c>
    </row>
    <row r="312" spans="5:5" x14ac:dyDescent="0.2">
      <c r="E312" t="str">
        <f>+IFERROR(VLOOKUP(D312,Daten_Verknüpfungen!$B$2:$C$2000,2,FALSE),"")</f>
        <v/>
      </c>
    </row>
    <row r="313" spans="5:5" x14ac:dyDescent="0.2">
      <c r="E313" t="str">
        <f>+IFERROR(VLOOKUP(D313,Daten_Verknüpfungen!$B$2:$C$2000,2,FALSE),"")</f>
        <v/>
      </c>
    </row>
    <row r="314" spans="5:5" x14ac:dyDescent="0.2">
      <c r="E314" t="str">
        <f>+IFERROR(VLOOKUP(D314,Daten_Verknüpfungen!$B$2:$C$2000,2,FALSE),"")</f>
        <v/>
      </c>
    </row>
    <row r="315" spans="5:5" x14ac:dyDescent="0.2">
      <c r="E315" t="str">
        <f>+IFERROR(VLOOKUP(D315,Daten_Verknüpfungen!$B$2:$C$2000,2,FALSE),"")</f>
        <v/>
      </c>
    </row>
    <row r="316" spans="5:5" x14ac:dyDescent="0.2">
      <c r="E316" t="str">
        <f>+IFERROR(VLOOKUP(D316,Daten_Verknüpfungen!$B$2:$C$2000,2,FALSE),"")</f>
        <v/>
      </c>
    </row>
    <row r="317" spans="5:5" x14ac:dyDescent="0.2">
      <c r="E317" t="str">
        <f>+IFERROR(VLOOKUP(D317,Daten_Verknüpfungen!$B$2:$C$2000,2,FALSE),"")</f>
        <v/>
      </c>
    </row>
    <row r="318" spans="5:5" x14ac:dyDescent="0.2">
      <c r="E318" t="str">
        <f>+IFERROR(VLOOKUP(D318,Daten_Verknüpfungen!$B$2:$C$2000,2,FALSE),"")</f>
        <v/>
      </c>
    </row>
    <row r="319" spans="5:5" x14ac:dyDescent="0.2">
      <c r="E319" t="str">
        <f>+IFERROR(VLOOKUP(D319,Daten_Verknüpfungen!$B$2:$C$2000,2,FALSE),"")</f>
        <v/>
      </c>
    </row>
    <row r="320" spans="5:5" x14ac:dyDescent="0.2">
      <c r="E320" t="str">
        <f>+IFERROR(VLOOKUP(D320,Daten_Verknüpfungen!$B$2:$C$2000,2,FALSE),"")</f>
        <v/>
      </c>
    </row>
    <row r="321" spans="5:5" x14ac:dyDescent="0.2">
      <c r="E321" t="str">
        <f>+IFERROR(VLOOKUP(D321,Daten_Verknüpfungen!$B$2:$C$2000,2,FALSE),"")</f>
        <v/>
      </c>
    </row>
    <row r="322" spans="5:5" x14ac:dyDescent="0.2">
      <c r="E322" t="str">
        <f>+IFERROR(VLOOKUP(D322,Daten_Verknüpfungen!$B$2:$C$2000,2,FALSE),"")</f>
        <v/>
      </c>
    </row>
    <row r="323" spans="5:5" x14ac:dyDescent="0.2">
      <c r="E323" t="str">
        <f>+IFERROR(VLOOKUP(D323,Daten_Verknüpfungen!$B$2:$C$2000,2,FALSE),"")</f>
        <v/>
      </c>
    </row>
    <row r="324" spans="5:5" x14ac:dyDescent="0.2">
      <c r="E324" t="str">
        <f>+IFERROR(VLOOKUP(D324,Daten_Verknüpfungen!$B$2:$C$2000,2,FALSE),"")</f>
        <v/>
      </c>
    </row>
    <row r="325" spans="5:5" x14ac:dyDescent="0.2">
      <c r="E325" t="str">
        <f>+IFERROR(VLOOKUP(D325,Daten_Verknüpfungen!$B$2:$C$2000,2,FALSE),"")</f>
        <v/>
      </c>
    </row>
    <row r="326" spans="5:5" x14ac:dyDescent="0.2">
      <c r="E326" t="str">
        <f>+IFERROR(VLOOKUP(D326,Daten_Verknüpfungen!$B$2:$C$2000,2,FALSE),"")</f>
        <v/>
      </c>
    </row>
    <row r="327" spans="5:5" x14ac:dyDescent="0.2">
      <c r="E327" t="str">
        <f>+IFERROR(VLOOKUP(D327,Daten_Verknüpfungen!$B$2:$C$2000,2,FALSE),"")</f>
        <v/>
      </c>
    </row>
    <row r="328" spans="5:5" x14ac:dyDescent="0.2">
      <c r="E328" t="str">
        <f>+IFERROR(VLOOKUP(D328,Daten_Verknüpfungen!$B$2:$C$2000,2,FALSE),"")</f>
        <v/>
      </c>
    </row>
    <row r="329" spans="5:5" x14ac:dyDescent="0.2">
      <c r="E329" t="str">
        <f>+IFERROR(VLOOKUP(D329,Daten_Verknüpfungen!$B$2:$C$2000,2,FALSE),"")</f>
        <v/>
      </c>
    </row>
    <row r="330" spans="5:5" x14ac:dyDescent="0.2">
      <c r="E330" t="str">
        <f>+IFERROR(VLOOKUP(D330,Daten_Verknüpfungen!$B$2:$C$2000,2,FALSE),"")</f>
        <v/>
      </c>
    </row>
    <row r="331" spans="5:5" x14ac:dyDescent="0.2">
      <c r="E331" t="str">
        <f>+IFERROR(VLOOKUP(D331,Daten_Verknüpfungen!$B$2:$C$2000,2,FALSE),"")</f>
        <v/>
      </c>
    </row>
    <row r="332" spans="5:5" x14ac:dyDescent="0.2">
      <c r="E332" t="str">
        <f>+IFERROR(VLOOKUP(D332,Daten_Verknüpfungen!$B$2:$C$2000,2,FALSE),"")</f>
        <v/>
      </c>
    </row>
    <row r="333" spans="5:5" x14ac:dyDescent="0.2">
      <c r="E333" t="str">
        <f>+IFERROR(VLOOKUP(D333,Daten_Verknüpfungen!$B$2:$C$2000,2,FALSE),"")</f>
        <v/>
      </c>
    </row>
    <row r="334" spans="5:5" x14ac:dyDescent="0.2">
      <c r="E334" t="str">
        <f>+IFERROR(VLOOKUP(D334,Daten_Verknüpfungen!$B$2:$C$2000,2,FALSE),"")</f>
        <v/>
      </c>
    </row>
    <row r="335" spans="5:5" x14ac:dyDescent="0.2">
      <c r="E335" t="str">
        <f>+IFERROR(VLOOKUP(D335,Daten_Verknüpfungen!$B$2:$C$2000,2,FALSE),"")</f>
        <v/>
      </c>
    </row>
    <row r="336" spans="5:5" x14ac:dyDescent="0.2">
      <c r="E336" t="str">
        <f>+IFERROR(VLOOKUP(D336,Daten_Verknüpfungen!$B$2:$C$2000,2,FALSE),"")</f>
        <v/>
      </c>
    </row>
    <row r="337" spans="5:5" x14ac:dyDescent="0.2">
      <c r="E337" t="str">
        <f>+IFERROR(VLOOKUP(D337,Daten_Verknüpfungen!$B$2:$C$2000,2,FALSE),"")</f>
        <v/>
      </c>
    </row>
    <row r="338" spans="5:5" x14ac:dyDescent="0.2">
      <c r="E338" t="str">
        <f>+IFERROR(VLOOKUP(D338,Daten_Verknüpfungen!$B$2:$C$2000,2,FALSE),"")</f>
        <v/>
      </c>
    </row>
    <row r="339" spans="5:5" x14ac:dyDescent="0.2">
      <c r="E339" t="str">
        <f>+IFERROR(VLOOKUP(D339,Daten_Verknüpfungen!$B$2:$C$2000,2,FALSE),"")</f>
        <v/>
      </c>
    </row>
    <row r="340" spans="5:5" x14ac:dyDescent="0.2">
      <c r="E340" t="str">
        <f>+IFERROR(VLOOKUP(D340,Daten_Verknüpfungen!$B$2:$C$2000,2,FALSE),"")</f>
        <v/>
      </c>
    </row>
    <row r="341" spans="5:5" x14ac:dyDescent="0.2">
      <c r="E341" t="str">
        <f>+IFERROR(VLOOKUP(D341,Daten_Verknüpfungen!$B$2:$C$2000,2,FALSE),"")</f>
        <v/>
      </c>
    </row>
    <row r="342" spans="5:5" x14ac:dyDescent="0.2">
      <c r="E342" t="str">
        <f>+IFERROR(VLOOKUP(D342,Daten_Verknüpfungen!$B$2:$C$2000,2,FALSE),"")</f>
        <v/>
      </c>
    </row>
    <row r="343" spans="5:5" x14ac:dyDescent="0.2">
      <c r="E343" t="str">
        <f>+IFERROR(VLOOKUP(D343,Daten_Verknüpfungen!$B$2:$C$2000,2,FALSE),"")</f>
        <v/>
      </c>
    </row>
    <row r="344" spans="5:5" x14ac:dyDescent="0.2">
      <c r="E344" t="str">
        <f>+IFERROR(VLOOKUP(D344,Daten_Verknüpfungen!$B$2:$C$2000,2,FALSE),"")</f>
        <v/>
      </c>
    </row>
    <row r="345" spans="5:5" x14ac:dyDescent="0.2">
      <c r="E345" t="str">
        <f>+IFERROR(VLOOKUP(D345,Daten_Verknüpfungen!$B$2:$C$2000,2,FALSE),"")</f>
        <v/>
      </c>
    </row>
    <row r="346" spans="5:5" x14ac:dyDescent="0.2">
      <c r="E346" t="str">
        <f>+IFERROR(VLOOKUP(D346,Daten_Verknüpfungen!$B$2:$C$2000,2,FALSE),"")</f>
        <v/>
      </c>
    </row>
    <row r="347" spans="5:5" x14ac:dyDescent="0.2">
      <c r="E347" t="str">
        <f>+IFERROR(VLOOKUP(D347,Daten_Verknüpfungen!$B$2:$C$2000,2,FALSE),"")</f>
        <v/>
      </c>
    </row>
    <row r="348" spans="5:5" x14ac:dyDescent="0.2">
      <c r="E348" t="str">
        <f>+IFERROR(VLOOKUP(D348,Daten_Verknüpfungen!$B$2:$C$2000,2,FALSE),"")</f>
        <v/>
      </c>
    </row>
    <row r="349" spans="5:5" x14ac:dyDescent="0.2">
      <c r="E349" t="str">
        <f>+IFERROR(VLOOKUP(D349,Daten_Verknüpfungen!$B$2:$C$2000,2,FALSE),"")</f>
        <v/>
      </c>
    </row>
    <row r="350" spans="5:5" x14ac:dyDescent="0.2">
      <c r="E350" t="str">
        <f>+IFERROR(VLOOKUP(D350,Daten_Verknüpfungen!$B$2:$C$2000,2,FALSE),"")</f>
        <v/>
      </c>
    </row>
    <row r="351" spans="5:5" x14ac:dyDescent="0.2">
      <c r="E351" t="str">
        <f>+IFERROR(VLOOKUP(D351,Daten_Verknüpfungen!$B$2:$C$2000,2,FALSE),"")</f>
        <v/>
      </c>
    </row>
    <row r="352" spans="5:5" x14ac:dyDescent="0.2">
      <c r="E352" t="str">
        <f>+IFERROR(VLOOKUP(D352,Daten_Verknüpfungen!$B$2:$C$2000,2,FALSE),"")</f>
        <v/>
      </c>
    </row>
    <row r="353" spans="5:5" x14ac:dyDescent="0.2">
      <c r="E353" t="str">
        <f>+IFERROR(VLOOKUP(D353,Daten_Verknüpfungen!$B$2:$C$2000,2,FALSE),"")</f>
        <v/>
      </c>
    </row>
    <row r="354" spans="5:5" x14ac:dyDescent="0.2">
      <c r="E354" t="str">
        <f>+IFERROR(VLOOKUP(D354,Daten_Verknüpfungen!$B$2:$C$2000,2,FALSE),"")</f>
        <v/>
      </c>
    </row>
    <row r="355" spans="5:5" x14ac:dyDescent="0.2">
      <c r="E355" t="str">
        <f>+IFERROR(VLOOKUP(D355,Daten_Verknüpfungen!$B$2:$C$2000,2,FALSE),"")</f>
        <v/>
      </c>
    </row>
    <row r="356" spans="5:5" x14ac:dyDescent="0.2">
      <c r="E356" t="str">
        <f>+IFERROR(VLOOKUP(D356,Daten_Verknüpfungen!$B$2:$C$2000,2,FALSE),"")</f>
        <v/>
      </c>
    </row>
    <row r="357" spans="5:5" x14ac:dyDescent="0.2">
      <c r="E357" t="str">
        <f>+IFERROR(VLOOKUP(D357,Daten_Verknüpfungen!$B$2:$C$2000,2,FALSE),"")</f>
        <v/>
      </c>
    </row>
    <row r="358" spans="5:5" x14ac:dyDescent="0.2">
      <c r="E358" t="str">
        <f>+IFERROR(VLOOKUP(D358,Daten_Verknüpfungen!$B$2:$C$2000,2,FALSE),"")</f>
        <v/>
      </c>
    </row>
    <row r="359" spans="5:5" x14ac:dyDescent="0.2">
      <c r="E359" t="str">
        <f>+IFERROR(VLOOKUP(D359,Daten_Verknüpfungen!$B$2:$C$2000,2,FALSE),"")</f>
        <v/>
      </c>
    </row>
    <row r="360" spans="5:5" x14ac:dyDescent="0.2">
      <c r="E360" t="str">
        <f>+IFERROR(VLOOKUP(D360,Daten_Verknüpfungen!$B$2:$C$2000,2,FALSE),"")</f>
        <v/>
      </c>
    </row>
    <row r="361" spans="5:5" x14ac:dyDescent="0.2">
      <c r="E361" t="str">
        <f>+IFERROR(VLOOKUP(D361,Daten_Verknüpfungen!$B$2:$C$2000,2,FALSE),"")</f>
        <v/>
      </c>
    </row>
    <row r="362" spans="5:5" x14ac:dyDescent="0.2">
      <c r="E362" t="str">
        <f>+IFERROR(VLOOKUP(D362,Daten_Verknüpfungen!$B$2:$C$2000,2,FALSE),"")</f>
        <v/>
      </c>
    </row>
    <row r="363" spans="5:5" x14ac:dyDescent="0.2">
      <c r="E363" t="str">
        <f>+IFERROR(VLOOKUP(D363,Daten_Verknüpfungen!$B$2:$C$2000,2,FALSE),"")</f>
        <v/>
      </c>
    </row>
    <row r="364" spans="5:5" x14ac:dyDescent="0.2">
      <c r="E364" t="str">
        <f>+IFERROR(VLOOKUP(D364,Daten_Verknüpfungen!$B$2:$C$2000,2,FALSE),"")</f>
        <v/>
      </c>
    </row>
    <row r="365" spans="5:5" x14ac:dyDescent="0.2">
      <c r="E365" t="str">
        <f>+IFERROR(VLOOKUP(D365,Daten_Verknüpfungen!$B$2:$C$2000,2,FALSE),"")</f>
        <v/>
      </c>
    </row>
    <row r="366" spans="5:5" x14ac:dyDescent="0.2">
      <c r="E366" t="str">
        <f>+IFERROR(VLOOKUP(D366,Daten_Verknüpfungen!$B$2:$C$2000,2,FALSE),"")</f>
        <v/>
      </c>
    </row>
    <row r="367" spans="5:5" x14ac:dyDescent="0.2">
      <c r="E367" t="str">
        <f>+IFERROR(VLOOKUP(D367,Daten_Verknüpfungen!$B$2:$C$2000,2,FALSE),"")</f>
        <v/>
      </c>
    </row>
    <row r="368" spans="5:5" x14ac:dyDescent="0.2">
      <c r="E368" t="str">
        <f>+IFERROR(VLOOKUP(D368,Daten_Verknüpfungen!$B$2:$C$2000,2,FALSE),"")</f>
        <v/>
      </c>
    </row>
    <row r="369" spans="5:5" x14ac:dyDescent="0.2">
      <c r="E369" t="str">
        <f>+IFERROR(VLOOKUP(D369,Daten_Verknüpfungen!$B$2:$C$2000,2,FALSE),"")</f>
        <v/>
      </c>
    </row>
    <row r="370" spans="5:5" x14ac:dyDescent="0.2">
      <c r="E370" t="str">
        <f>+IFERROR(VLOOKUP(D370,Daten_Verknüpfungen!$B$2:$C$2000,2,FALSE),"")</f>
        <v/>
      </c>
    </row>
    <row r="371" spans="5:5" x14ac:dyDescent="0.2">
      <c r="E371" t="str">
        <f>+IFERROR(VLOOKUP(D371,Daten_Verknüpfungen!$B$2:$C$2000,2,FALSE),"")</f>
        <v/>
      </c>
    </row>
    <row r="372" spans="5:5" x14ac:dyDescent="0.2">
      <c r="E372" t="str">
        <f>+IFERROR(VLOOKUP(D372,Daten_Verknüpfungen!$B$2:$C$2000,2,FALSE),"")</f>
        <v/>
      </c>
    </row>
    <row r="373" spans="5:5" x14ac:dyDescent="0.2">
      <c r="E373" t="str">
        <f>+IFERROR(VLOOKUP(D373,Daten_Verknüpfungen!$B$2:$C$2000,2,FALSE),"")</f>
        <v/>
      </c>
    </row>
    <row r="374" spans="5:5" x14ac:dyDescent="0.2">
      <c r="E374" t="str">
        <f>+IFERROR(VLOOKUP(D374,Daten_Verknüpfungen!$B$2:$C$2000,2,FALSE),"")</f>
        <v/>
      </c>
    </row>
    <row r="375" spans="5:5" x14ac:dyDescent="0.2">
      <c r="E375" t="str">
        <f>+IFERROR(VLOOKUP(D375,Daten_Verknüpfungen!$B$2:$C$2000,2,FALSE),"")</f>
        <v/>
      </c>
    </row>
    <row r="376" spans="5:5" x14ac:dyDescent="0.2">
      <c r="E376" t="str">
        <f>+IFERROR(VLOOKUP(D376,Daten_Verknüpfungen!$B$2:$C$2000,2,FALSE),"")</f>
        <v/>
      </c>
    </row>
    <row r="377" spans="5:5" x14ac:dyDescent="0.2">
      <c r="E377" t="str">
        <f>+IFERROR(VLOOKUP(D377,Daten_Verknüpfungen!$B$2:$C$2000,2,FALSE),"")</f>
        <v/>
      </c>
    </row>
    <row r="378" spans="5:5" x14ac:dyDescent="0.2">
      <c r="E378" t="str">
        <f>+IFERROR(VLOOKUP(D378,Daten_Verknüpfungen!$B$2:$C$2000,2,FALSE),"")</f>
        <v/>
      </c>
    </row>
    <row r="379" spans="5:5" x14ac:dyDescent="0.2">
      <c r="E379" t="str">
        <f>+IFERROR(VLOOKUP(D379,Daten_Verknüpfungen!$B$2:$C$2000,2,FALSE),"")</f>
        <v/>
      </c>
    </row>
    <row r="380" spans="5:5" x14ac:dyDescent="0.2">
      <c r="E380" t="str">
        <f>+IFERROR(VLOOKUP(D380,Daten_Verknüpfungen!$B$2:$C$2000,2,FALSE),"")</f>
        <v/>
      </c>
    </row>
    <row r="381" spans="5:5" x14ac:dyDescent="0.2">
      <c r="E381" t="str">
        <f>+IFERROR(VLOOKUP(D381,Daten_Verknüpfungen!$B$2:$C$2000,2,FALSE),"")</f>
        <v/>
      </c>
    </row>
    <row r="382" spans="5:5" x14ac:dyDescent="0.2">
      <c r="E382" t="str">
        <f>+IFERROR(VLOOKUP(D382,Daten_Verknüpfungen!$B$2:$C$2000,2,FALSE),"")</f>
        <v/>
      </c>
    </row>
    <row r="383" spans="5:5" x14ac:dyDescent="0.2">
      <c r="E383" t="str">
        <f>+IFERROR(VLOOKUP(D383,Daten_Verknüpfungen!$B$2:$C$2000,2,FALSE),"")</f>
        <v/>
      </c>
    </row>
    <row r="384" spans="5:5" x14ac:dyDescent="0.2">
      <c r="E384" t="str">
        <f>+IFERROR(VLOOKUP(D384,Daten_Verknüpfungen!$B$2:$C$2000,2,FALSE),"")</f>
        <v/>
      </c>
    </row>
    <row r="385" spans="5:5" x14ac:dyDescent="0.2">
      <c r="E385" t="str">
        <f>+IFERROR(VLOOKUP(D385,Daten_Verknüpfungen!$B$2:$C$2000,2,FALSE),"")</f>
        <v/>
      </c>
    </row>
    <row r="386" spans="5:5" x14ac:dyDescent="0.2">
      <c r="E386" t="str">
        <f>+IFERROR(VLOOKUP(D386,Daten_Verknüpfungen!$B$2:$C$2000,2,FALSE),"")</f>
        <v/>
      </c>
    </row>
    <row r="387" spans="5:5" x14ac:dyDescent="0.2">
      <c r="E387" t="str">
        <f>+IFERROR(VLOOKUP(D387,Daten_Verknüpfungen!$B$2:$C$2000,2,FALSE),"")</f>
        <v/>
      </c>
    </row>
    <row r="388" spans="5:5" x14ac:dyDescent="0.2">
      <c r="E388" t="str">
        <f>+IFERROR(VLOOKUP(D388,Daten_Verknüpfungen!$B$2:$C$2000,2,FALSE),"")</f>
        <v/>
      </c>
    </row>
    <row r="389" spans="5:5" x14ac:dyDescent="0.2">
      <c r="E389" t="str">
        <f>+IFERROR(VLOOKUP(D389,Daten_Verknüpfungen!$B$2:$C$2000,2,FALSE),"")</f>
        <v/>
      </c>
    </row>
    <row r="390" spans="5:5" x14ac:dyDescent="0.2">
      <c r="E390" t="str">
        <f>+IFERROR(VLOOKUP(D390,Daten_Verknüpfungen!$B$2:$C$2000,2,FALSE),"")</f>
        <v/>
      </c>
    </row>
    <row r="391" spans="5:5" x14ac:dyDescent="0.2">
      <c r="E391" t="str">
        <f>+IFERROR(VLOOKUP(D391,Daten_Verknüpfungen!$B$2:$C$2000,2,FALSE),"")</f>
        <v/>
      </c>
    </row>
    <row r="392" spans="5:5" x14ac:dyDescent="0.2">
      <c r="E392" t="str">
        <f>+IFERROR(VLOOKUP(D392,Daten_Verknüpfungen!$B$2:$C$2000,2,FALSE),"")</f>
        <v/>
      </c>
    </row>
    <row r="393" spans="5:5" x14ac:dyDescent="0.2">
      <c r="E393" t="str">
        <f>+IFERROR(VLOOKUP(D393,Daten_Verknüpfungen!$B$2:$C$2000,2,FALSE),"")</f>
        <v/>
      </c>
    </row>
    <row r="394" spans="5:5" x14ac:dyDescent="0.2">
      <c r="E394" t="str">
        <f>+IFERROR(VLOOKUP(D394,Daten_Verknüpfungen!$B$2:$C$2000,2,FALSE),"")</f>
        <v/>
      </c>
    </row>
    <row r="395" spans="5:5" x14ac:dyDescent="0.2">
      <c r="E395" t="str">
        <f>+IFERROR(VLOOKUP(D395,Daten_Verknüpfungen!$B$2:$C$2000,2,FALSE),"")</f>
        <v/>
      </c>
    </row>
    <row r="396" spans="5:5" x14ac:dyDescent="0.2">
      <c r="E396" t="str">
        <f>+IFERROR(VLOOKUP(D396,Daten_Verknüpfungen!$B$2:$C$2000,2,FALSE),"")</f>
        <v/>
      </c>
    </row>
    <row r="397" spans="5:5" x14ac:dyDescent="0.2">
      <c r="E397" t="str">
        <f>+IFERROR(VLOOKUP(D397,Daten_Verknüpfungen!$B$2:$C$2000,2,FALSE),"")</f>
        <v/>
      </c>
    </row>
    <row r="398" spans="5:5" x14ac:dyDescent="0.2">
      <c r="E398" t="str">
        <f>+IFERROR(VLOOKUP(D398,Daten_Verknüpfungen!$B$2:$C$2000,2,FALSE),"")</f>
        <v/>
      </c>
    </row>
    <row r="399" spans="5:5" x14ac:dyDescent="0.2">
      <c r="E399" t="str">
        <f>+IFERROR(VLOOKUP(D399,Daten_Verknüpfungen!$B$2:$C$2000,2,FALSE),"")</f>
        <v/>
      </c>
    </row>
    <row r="400" spans="5:5" x14ac:dyDescent="0.2">
      <c r="E400" t="str">
        <f>+IFERROR(VLOOKUP(D400,Daten_Verknüpfungen!$B$2:$C$2000,2,FALSE),"")</f>
        <v/>
      </c>
    </row>
    <row r="401" spans="5:5" x14ac:dyDescent="0.2">
      <c r="E401" t="str">
        <f>+IFERROR(VLOOKUP(D401,Daten_Verknüpfungen!$B$2:$C$2000,2,FALSE),"")</f>
        <v/>
      </c>
    </row>
    <row r="402" spans="5:5" x14ac:dyDescent="0.2">
      <c r="E402" t="str">
        <f>+IFERROR(VLOOKUP(D402,Daten_Verknüpfungen!$B$2:$C$2000,2,FALSE),"")</f>
        <v/>
      </c>
    </row>
    <row r="403" spans="5:5" x14ac:dyDescent="0.2">
      <c r="E403" t="str">
        <f>+IFERROR(VLOOKUP(D403,Daten_Verknüpfungen!$B$2:$C$2000,2,FALSE),"")</f>
        <v/>
      </c>
    </row>
    <row r="404" spans="5:5" x14ac:dyDescent="0.2">
      <c r="E404" t="str">
        <f>+IFERROR(VLOOKUP(D404,Daten_Verknüpfungen!$B$2:$C$2000,2,FALSE),"")</f>
        <v/>
      </c>
    </row>
    <row r="405" spans="5:5" x14ac:dyDescent="0.2">
      <c r="E405" t="str">
        <f>+IFERROR(VLOOKUP(D405,Daten_Verknüpfungen!$B$2:$C$2000,2,FALSE),"")</f>
        <v/>
      </c>
    </row>
    <row r="406" spans="5:5" x14ac:dyDescent="0.2">
      <c r="E406" t="str">
        <f>+IFERROR(VLOOKUP(D406,Daten_Verknüpfungen!$B$2:$C$2000,2,FALSE),"")</f>
        <v/>
      </c>
    </row>
    <row r="407" spans="5:5" x14ac:dyDescent="0.2">
      <c r="E407" t="str">
        <f>+IFERROR(VLOOKUP(D407,Daten_Verknüpfungen!$B$2:$C$2000,2,FALSE),"")</f>
        <v/>
      </c>
    </row>
    <row r="408" spans="5:5" x14ac:dyDescent="0.2">
      <c r="E408" t="str">
        <f>+IFERROR(VLOOKUP(D408,Daten_Verknüpfungen!$B$2:$C$2000,2,FALSE),"")</f>
        <v/>
      </c>
    </row>
    <row r="409" spans="5:5" x14ac:dyDescent="0.2">
      <c r="E409" t="str">
        <f>+IFERROR(VLOOKUP(D409,Daten_Verknüpfungen!$B$2:$C$2000,2,FALSE),"")</f>
        <v/>
      </c>
    </row>
    <row r="410" spans="5:5" x14ac:dyDescent="0.2">
      <c r="E410" t="str">
        <f>+IFERROR(VLOOKUP(D410,Daten_Verknüpfungen!$B$2:$C$2000,2,FALSE),"")</f>
        <v/>
      </c>
    </row>
    <row r="411" spans="5:5" x14ac:dyDescent="0.2">
      <c r="E411" t="str">
        <f>+IFERROR(VLOOKUP(D411,Daten_Verknüpfungen!$B$2:$C$2000,2,FALSE),"")</f>
        <v/>
      </c>
    </row>
    <row r="412" spans="5:5" x14ac:dyDescent="0.2">
      <c r="E412" t="str">
        <f>+IFERROR(VLOOKUP(D412,Daten_Verknüpfungen!$B$2:$C$2000,2,FALSE),"")</f>
        <v/>
      </c>
    </row>
    <row r="413" spans="5:5" x14ac:dyDescent="0.2">
      <c r="E413" t="str">
        <f>+IFERROR(VLOOKUP(D413,Daten_Verknüpfungen!$B$2:$C$2000,2,FALSE),"")</f>
        <v/>
      </c>
    </row>
    <row r="414" spans="5:5" x14ac:dyDescent="0.2">
      <c r="E414" t="str">
        <f>+IFERROR(VLOOKUP(D414,Daten_Verknüpfungen!$B$2:$C$2000,2,FALSE),"")</f>
        <v/>
      </c>
    </row>
    <row r="415" spans="5:5" x14ac:dyDescent="0.2">
      <c r="E415" t="str">
        <f>+IFERROR(VLOOKUP(D415,Daten_Verknüpfungen!$B$2:$C$2000,2,FALSE),"")</f>
        <v/>
      </c>
    </row>
    <row r="416" spans="5:5" x14ac:dyDescent="0.2">
      <c r="E416" t="str">
        <f>+IFERROR(VLOOKUP(D416,Daten_Verknüpfungen!$B$2:$C$2000,2,FALSE),"")</f>
        <v/>
      </c>
    </row>
    <row r="417" spans="5:5" x14ac:dyDescent="0.2">
      <c r="E417" t="str">
        <f>+IFERROR(VLOOKUP(D417,Daten_Verknüpfungen!$B$2:$C$2000,2,FALSE),"")</f>
        <v/>
      </c>
    </row>
    <row r="418" spans="5:5" x14ac:dyDescent="0.2">
      <c r="E418" t="str">
        <f>+IFERROR(VLOOKUP(D418,Daten_Verknüpfungen!$B$2:$C$2000,2,FALSE),"")</f>
        <v/>
      </c>
    </row>
    <row r="419" spans="5:5" x14ac:dyDescent="0.2">
      <c r="E419" t="str">
        <f>+IFERROR(VLOOKUP(D419,Daten_Verknüpfungen!$B$2:$C$2000,2,FALSE),"")</f>
        <v/>
      </c>
    </row>
    <row r="420" spans="5:5" x14ac:dyDescent="0.2">
      <c r="E420" t="str">
        <f>+IFERROR(VLOOKUP(D420,Daten_Verknüpfungen!$B$2:$C$2000,2,FALSE),"")</f>
        <v/>
      </c>
    </row>
    <row r="421" spans="5:5" x14ac:dyDescent="0.2">
      <c r="E421" t="str">
        <f>+IFERROR(VLOOKUP(D421,Daten_Verknüpfungen!$B$2:$C$2000,2,FALSE),"")</f>
        <v/>
      </c>
    </row>
    <row r="422" spans="5:5" x14ac:dyDescent="0.2">
      <c r="E422" t="str">
        <f>+IFERROR(VLOOKUP(D422,Daten_Verknüpfungen!$B$2:$C$2000,2,FALSE),"")</f>
        <v/>
      </c>
    </row>
    <row r="423" spans="5:5" x14ac:dyDescent="0.2">
      <c r="E423" t="str">
        <f>+IFERROR(VLOOKUP(D423,Daten_Verknüpfungen!$B$2:$C$2000,2,FALSE),"")</f>
        <v/>
      </c>
    </row>
    <row r="424" spans="5:5" x14ac:dyDescent="0.2">
      <c r="E424" t="str">
        <f>+IFERROR(VLOOKUP(D424,Daten_Verknüpfungen!$B$2:$C$2000,2,FALSE),"")</f>
        <v/>
      </c>
    </row>
    <row r="425" spans="5:5" x14ac:dyDescent="0.2">
      <c r="E425" t="str">
        <f>+IFERROR(VLOOKUP(D425,Daten_Verknüpfungen!$B$2:$C$2000,2,FALSE),"")</f>
        <v/>
      </c>
    </row>
    <row r="426" spans="5:5" x14ac:dyDescent="0.2">
      <c r="E426" t="str">
        <f>+IFERROR(VLOOKUP(D426,Daten_Verknüpfungen!$B$2:$C$2000,2,FALSE),"")</f>
        <v/>
      </c>
    </row>
    <row r="427" spans="5:5" x14ac:dyDescent="0.2">
      <c r="E427" t="str">
        <f>+IFERROR(VLOOKUP(D427,Daten_Verknüpfungen!$B$2:$C$2000,2,FALSE),"")</f>
        <v/>
      </c>
    </row>
    <row r="428" spans="5:5" x14ac:dyDescent="0.2">
      <c r="E428" t="str">
        <f>+IFERROR(VLOOKUP(D428,Daten_Verknüpfungen!$B$2:$C$2000,2,FALSE),"")</f>
        <v/>
      </c>
    </row>
    <row r="429" spans="5:5" x14ac:dyDescent="0.2">
      <c r="E429" t="str">
        <f>+IFERROR(VLOOKUP(D429,Daten_Verknüpfungen!$B$2:$C$2000,2,FALSE),"")</f>
        <v/>
      </c>
    </row>
    <row r="430" spans="5:5" x14ac:dyDescent="0.2">
      <c r="E430" t="str">
        <f>+IFERROR(VLOOKUP(D430,Daten_Verknüpfungen!$B$2:$C$2000,2,FALSE),"")</f>
        <v/>
      </c>
    </row>
    <row r="431" spans="5:5" x14ac:dyDescent="0.2">
      <c r="E431" t="str">
        <f>+IFERROR(VLOOKUP(D431,Daten_Verknüpfungen!$B$2:$C$2000,2,FALSE),"")</f>
        <v/>
      </c>
    </row>
    <row r="432" spans="5:5" x14ac:dyDescent="0.2">
      <c r="E432" t="str">
        <f>+IFERROR(VLOOKUP(D432,Daten_Verknüpfungen!$B$2:$C$2000,2,FALSE),"")</f>
        <v/>
      </c>
    </row>
    <row r="433" spans="5:5" x14ac:dyDescent="0.2">
      <c r="E433" t="str">
        <f>+IFERROR(VLOOKUP(D433,Daten_Verknüpfungen!$B$2:$C$2000,2,FALSE),"")</f>
        <v/>
      </c>
    </row>
    <row r="434" spans="5:5" x14ac:dyDescent="0.2">
      <c r="E434" t="str">
        <f>+IFERROR(VLOOKUP(D434,Daten_Verknüpfungen!$B$2:$C$2000,2,FALSE),"")</f>
        <v/>
      </c>
    </row>
    <row r="435" spans="5:5" x14ac:dyDescent="0.2">
      <c r="E435" t="str">
        <f>+IFERROR(VLOOKUP(D435,Daten_Verknüpfungen!$B$2:$C$2000,2,FALSE),"")</f>
        <v/>
      </c>
    </row>
    <row r="436" spans="5:5" x14ac:dyDescent="0.2">
      <c r="E436" t="str">
        <f>+IFERROR(VLOOKUP(D436,Daten_Verknüpfungen!$B$2:$C$2000,2,FALSE),"")</f>
        <v/>
      </c>
    </row>
    <row r="437" spans="5:5" x14ac:dyDescent="0.2">
      <c r="E437" t="str">
        <f>+IFERROR(VLOOKUP(D437,Daten_Verknüpfungen!$B$2:$C$2000,2,FALSE),"")</f>
        <v/>
      </c>
    </row>
    <row r="438" spans="5:5" x14ac:dyDescent="0.2">
      <c r="E438" t="str">
        <f>+IFERROR(VLOOKUP(D438,Daten_Verknüpfungen!$B$2:$C$2000,2,FALSE),"")</f>
        <v/>
      </c>
    </row>
    <row r="439" spans="5:5" x14ac:dyDescent="0.2">
      <c r="E439" t="str">
        <f>+IFERROR(VLOOKUP(D439,Daten_Verknüpfungen!$B$2:$C$2000,2,FALSE),"")</f>
        <v/>
      </c>
    </row>
    <row r="440" spans="5:5" x14ac:dyDescent="0.2">
      <c r="E440" t="str">
        <f>+IFERROR(VLOOKUP(D440,Daten_Verknüpfungen!$B$2:$C$2000,2,FALSE),"")</f>
        <v/>
      </c>
    </row>
    <row r="441" spans="5:5" x14ac:dyDescent="0.2">
      <c r="E441" t="str">
        <f>+IFERROR(VLOOKUP(D441,Daten_Verknüpfungen!$B$2:$C$2000,2,FALSE),"")</f>
        <v/>
      </c>
    </row>
    <row r="442" spans="5:5" x14ac:dyDescent="0.2">
      <c r="E442" t="str">
        <f>+IFERROR(VLOOKUP(D442,Daten_Verknüpfungen!$B$2:$C$2000,2,FALSE),"")</f>
        <v/>
      </c>
    </row>
    <row r="443" spans="5:5" x14ac:dyDescent="0.2">
      <c r="E443" t="str">
        <f>+IFERROR(VLOOKUP(D443,Daten_Verknüpfungen!$B$2:$C$2000,2,FALSE),"")</f>
        <v/>
      </c>
    </row>
    <row r="444" spans="5:5" x14ac:dyDescent="0.2">
      <c r="E444" t="str">
        <f>+IFERROR(VLOOKUP(D444,Daten_Verknüpfungen!$B$2:$C$2000,2,FALSE),"")</f>
        <v/>
      </c>
    </row>
    <row r="445" spans="5:5" x14ac:dyDescent="0.2">
      <c r="E445" t="str">
        <f>+IFERROR(VLOOKUP(D445,Daten_Verknüpfungen!$B$2:$C$2000,2,FALSE),"")</f>
        <v/>
      </c>
    </row>
    <row r="446" spans="5:5" x14ac:dyDescent="0.2">
      <c r="E446" t="str">
        <f>+IFERROR(VLOOKUP(D446,Daten_Verknüpfungen!$B$2:$C$2000,2,FALSE),"")</f>
        <v/>
      </c>
    </row>
    <row r="447" spans="5:5" x14ac:dyDescent="0.2">
      <c r="E447" t="str">
        <f>+IFERROR(VLOOKUP(D447,Daten_Verknüpfungen!$B$2:$C$2000,2,FALSE),"")</f>
        <v/>
      </c>
    </row>
    <row r="448" spans="5:5" x14ac:dyDescent="0.2">
      <c r="E448" t="str">
        <f>+IFERROR(VLOOKUP(D448,Daten_Verknüpfungen!$B$2:$C$2000,2,FALSE),"")</f>
        <v/>
      </c>
    </row>
    <row r="449" spans="5:5" x14ac:dyDescent="0.2">
      <c r="E449" t="str">
        <f>+IFERROR(VLOOKUP(D449,Daten_Verknüpfungen!$B$2:$C$2000,2,FALSE),"")</f>
        <v/>
      </c>
    </row>
    <row r="450" spans="5:5" x14ac:dyDescent="0.2">
      <c r="E450" t="str">
        <f>+IFERROR(VLOOKUP(D450,Daten_Verknüpfungen!$B$2:$C$2000,2,FALSE),"")</f>
        <v/>
      </c>
    </row>
    <row r="451" spans="5:5" x14ac:dyDescent="0.2">
      <c r="E451" t="str">
        <f>+IFERROR(VLOOKUP(D451,Daten_Verknüpfungen!$B$2:$C$2000,2,FALSE),"")</f>
        <v/>
      </c>
    </row>
    <row r="452" spans="5:5" x14ac:dyDescent="0.2">
      <c r="E452" t="str">
        <f>+IFERROR(VLOOKUP(D452,Daten_Verknüpfungen!$B$2:$C$2000,2,FALSE),"")</f>
        <v/>
      </c>
    </row>
    <row r="453" spans="5:5" x14ac:dyDescent="0.2">
      <c r="E453" t="str">
        <f>+IFERROR(VLOOKUP(D453,Daten_Verknüpfungen!$B$2:$C$2000,2,FALSE),"")</f>
        <v/>
      </c>
    </row>
    <row r="454" spans="5:5" x14ac:dyDescent="0.2">
      <c r="E454" t="str">
        <f>+IFERROR(VLOOKUP(D454,Daten_Verknüpfungen!$B$2:$C$2000,2,FALSE),"")</f>
        <v/>
      </c>
    </row>
    <row r="455" spans="5:5" x14ac:dyDescent="0.2">
      <c r="E455" t="str">
        <f>+IFERROR(VLOOKUP(D455,Daten_Verknüpfungen!$B$2:$C$2000,2,FALSE),"")</f>
        <v/>
      </c>
    </row>
    <row r="456" spans="5:5" x14ac:dyDescent="0.2">
      <c r="E456" t="str">
        <f>+IFERROR(VLOOKUP(D456,Daten_Verknüpfungen!$B$2:$C$2000,2,FALSE),"")</f>
        <v/>
      </c>
    </row>
    <row r="457" spans="5:5" x14ac:dyDescent="0.2">
      <c r="E457" t="str">
        <f>+IFERROR(VLOOKUP(D457,Daten_Verknüpfungen!$B$2:$C$2000,2,FALSE),"")</f>
        <v/>
      </c>
    </row>
    <row r="458" spans="5:5" x14ac:dyDescent="0.2">
      <c r="E458" t="str">
        <f>+IFERROR(VLOOKUP(D458,Daten_Verknüpfungen!$B$2:$C$2000,2,FALSE),"")</f>
        <v/>
      </c>
    </row>
    <row r="459" spans="5:5" x14ac:dyDescent="0.2">
      <c r="E459" t="str">
        <f>+IFERROR(VLOOKUP(D459,Daten_Verknüpfungen!$B$2:$C$2000,2,FALSE),"")</f>
        <v/>
      </c>
    </row>
    <row r="460" spans="5:5" x14ac:dyDescent="0.2">
      <c r="E460" t="str">
        <f>+IFERROR(VLOOKUP(D460,Daten_Verknüpfungen!$B$2:$C$2000,2,FALSE),"")</f>
        <v/>
      </c>
    </row>
    <row r="461" spans="5:5" x14ac:dyDescent="0.2">
      <c r="E461" t="str">
        <f>+IFERROR(VLOOKUP(D461,Daten_Verknüpfungen!$B$2:$C$2000,2,FALSE),"")</f>
        <v/>
      </c>
    </row>
    <row r="462" spans="5:5" x14ac:dyDescent="0.2">
      <c r="E462" t="str">
        <f>+IFERROR(VLOOKUP(D462,Daten_Verknüpfungen!$B$2:$C$2000,2,FALSE),"")</f>
        <v/>
      </c>
    </row>
    <row r="463" spans="5:5" x14ac:dyDescent="0.2">
      <c r="E463" t="str">
        <f>+IFERROR(VLOOKUP(D463,Daten_Verknüpfungen!$B$2:$C$2000,2,FALSE),"")</f>
        <v/>
      </c>
    </row>
    <row r="464" spans="5:5" x14ac:dyDescent="0.2">
      <c r="E464" t="str">
        <f>+IFERROR(VLOOKUP(D464,Daten_Verknüpfungen!$B$2:$C$2000,2,FALSE),"")</f>
        <v/>
      </c>
    </row>
    <row r="465" spans="5:5" x14ac:dyDescent="0.2">
      <c r="E465" t="str">
        <f>+IFERROR(VLOOKUP(D465,Daten_Verknüpfungen!$B$2:$C$2000,2,FALSE),"")</f>
        <v/>
      </c>
    </row>
    <row r="466" spans="5:5" x14ac:dyDescent="0.2">
      <c r="E466" t="str">
        <f>+IFERROR(VLOOKUP(D466,Daten_Verknüpfungen!$B$2:$C$2000,2,FALSE),"")</f>
        <v/>
      </c>
    </row>
    <row r="467" spans="5:5" x14ac:dyDescent="0.2">
      <c r="E467" t="str">
        <f>+IFERROR(VLOOKUP(D467,Daten_Verknüpfungen!$B$2:$C$2000,2,FALSE),"")</f>
        <v/>
      </c>
    </row>
    <row r="468" spans="5:5" x14ac:dyDescent="0.2">
      <c r="E468" t="str">
        <f>+IFERROR(VLOOKUP(D468,Daten_Verknüpfungen!$B$2:$C$2000,2,FALSE),"")</f>
        <v/>
      </c>
    </row>
    <row r="469" spans="5:5" x14ac:dyDescent="0.2">
      <c r="E469" t="str">
        <f>+IFERROR(VLOOKUP(D469,Daten_Verknüpfungen!$B$2:$C$2000,2,FALSE),"")</f>
        <v/>
      </c>
    </row>
    <row r="470" spans="5:5" x14ac:dyDescent="0.2">
      <c r="E470" t="str">
        <f>+IFERROR(VLOOKUP(D470,Daten_Verknüpfungen!$B$2:$C$2000,2,FALSE),"")</f>
        <v/>
      </c>
    </row>
    <row r="471" spans="5:5" x14ac:dyDescent="0.2">
      <c r="E471" t="str">
        <f>+IFERROR(VLOOKUP(D471,Daten_Verknüpfungen!$B$2:$C$2000,2,FALSE),"")</f>
        <v/>
      </c>
    </row>
    <row r="472" spans="5:5" x14ac:dyDescent="0.2">
      <c r="E472" t="str">
        <f>+IFERROR(VLOOKUP(D472,Daten_Verknüpfungen!$B$2:$C$2000,2,FALSE),"")</f>
        <v/>
      </c>
    </row>
    <row r="473" spans="5:5" x14ac:dyDescent="0.2">
      <c r="E473" t="str">
        <f>+IFERROR(VLOOKUP(D473,Daten_Verknüpfungen!$B$2:$C$2000,2,FALSE),"")</f>
        <v/>
      </c>
    </row>
    <row r="474" spans="5:5" x14ac:dyDescent="0.2">
      <c r="E474" t="str">
        <f>+IFERROR(VLOOKUP(D474,Daten_Verknüpfungen!$B$2:$C$2000,2,FALSE),"")</f>
        <v/>
      </c>
    </row>
    <row r="475" spans="5:5" x14ac:dyDescent="0.2">
      <c r="E475" t="str">
        <f>+IFERROR(VLOOKUP(D475,Daten_Verknüpfungen!$B$2:$C$2000,2,FALSE),"")</f>
        <v/>
      </c>
    </row>
    <row r="476" spans="5:5" x14ac:dyDescent="0.2">
      <c r="E476" t="str">
        <f>+IFERROR(VLOOKUP(D476,Daten_Verknüpfungen!$B$2:$C$2000,2,FALSE),"")</f>
        <v/>
      </c>
    </row>
    <row r="477" spans="5:5" x14ac:dyDescent="0.2">
      <c r="E477" t="str">
        <f>+IFERROR(VLOOKUP(D477,Daten_Verknüpfungen!$B$2:$C$2000,2,FALSE),"")</f>
        <v/>
      </c>
    </row>
    <row r="478" spans="5:5" x14ac:dyDescent="0.2">
      <c r="E478" t="str">
        <f>+IFERROR(VLOOKUP(D478,Daten_Verknüpfungen!$B$2:$C$2000,2,FALSE),"")</f>
        <v/>
      </c>
    </row>
    <row r="479" spans="5:5" x14ac:dyDescent="0.2">
      <c r="E479" t="str">
        <f>+IFERROR(VLOOKUP(D479,Daten_Verknüpfungen!$B$2:$C$2000,2,FALSE),"")</f>
        <v/>
      </c>
    </row>
    <row r="480" spans="5:5" x14ac:dyDescent="0.2">
      <c r="E480" t="str">
        <f>+IFERROR(VLOOKUP(D480,Daten_Verknüpfungen!$B$2:$C$2000,2,FALSE),"")</f>
        <v/>
      </c>
    </row>
    <row r="481" spans="5:5" x14ac:dyDescent="0.2">
      <c r="E481" t="str">
        <f>+IFERROR(VLOOKUP(D481,Daten_Verknüpfungen!$B$2:$C$2000,2,FALSE),"")</f>
        <v/>
      </c>
    </row>
    <row r="482" spans="5:5" x14ac:dyDescent="0.2">
      <c r="E482" t="str">
        <f>+IFERROR(VLOOKUP(D482,Daten_Verknüpfungen!$B$2:$C$2000,2,FALSE),"")</f>
        <v/>
      </c>
    </row>
    <row r="483" spans="5:5" x14ac:dyDescent="0.2">
      <c r="E483" t="str">
        <f>+IFERROR(VLOOKUP(D483,Daten_Verknüpfungen!$B$2:$C$2000,2,FALSE),"")</f>
        <v/>
      </c>
    </row>
    <row r="484" spans="5:5" x14ac:dyDescent="0.2">
      <c r="E484" t="str">
        <f>+IFERROR(VLOOKUP(D484,Daten_Verknüpfungen!$B$2:$C$2000,2,FALSE),"")</f>
        <v/>
      </c>
    </row>
    <row r="485" spans="5:5" x14ac:dyDescent="0.2">
      <c r="E485" t="str">
        <f>+IFERROR(VLOOKUP(D485,Daten_Verknüpfungen!$B$2:$C$2000,2,FALSE),"")</f>
        <v/>
      </c>
    </row>
    <row r="486" spans="5:5" x14ac:dyDescent="0.2">
      <c r="E486" t="str">
        <f>+IFERROR(VLOOKUP(D486,Daten_Verknüpfungen!$B$2:$C$2000,2,FALSE),"")</f>
        <v/>
      </c>
    </row>
    <row r="487" spans="5:5" x14ac:dyDescent="0.2">
      <c r="E487" t="str">
        <f>+IFERROR(VLOOKUP(D487,Daten_Verknüpfungen!$B$2:$C$2000,2,FALSE),"")</f>
        <v/>
      </c>
    </row>
    <row r="488" spans="5:5" x14ac:dyDescent="0.2">
      <c r="E488" t="str">
        <f>+IFERROR(VLOOKUP(D488,Daten_Verknüpfungen!$B$2:$C$2000,2,FALSE),"")</f>
        <v/>
      </c>
    </row>
    <row r="489" spans="5:5" x14ac:dyDescent="0.2">
      <c r="E489" t="str">
        <f>+IFERROR(VLOOKUP(D489,Daten_Verknüpfungen!$B$2:$C$2000,2,FALSE),"")</f>
        <v/>
      </c>
    </row>
    <row r="490" spans="5:5" x14ac:dyDescent="0.2">
      <c r="E490" t="str">
        <f>+IFERROR(VLOOKUP(D490,Daten_Verknüpfungen!$B$2:$C$2000,2,FALSE),"")</f>
        <v/>
      </c>
    </row>
    <row r="491" spans="5:5" x14ac:dyDescent="0.2">
      <c r="E491" t="str">
        <f>+IFERROR(VLOOKUP(D491,Daten_Verknüpfungen!$B$2:$C$2000,2,FALSE),"")</f>
        <v/>
      </c>
    </row>
    <row r="492" spans="5:5" x14ac:dyDescent="0.2">
      <c r="E492" t="str">
        <f>+IFERROR(VLOOKUP(D492,Daten_Verknüpfungen!$B$2:$C$2000,2,FALSE),"")</f>
        <v/>
      </c>
    </row>
    <row r="493" spans="5:5" x14ac:dyDescent="0.2">
      <c r="E493" t="str">
        <f>+IFERROR(VLOOKUP(D493,Daten_Verknüpfungen!$B$2:$C$2000,2,FALSE),"")</f>
        <v/>
      </c>
    </row>
    <row r="494" spans="5:5" x14ac:dyDescent="0.2">
      <c r="E494" t="str">
        <f>+IFERROR(VLOOKUP(D494,Daten_Verknüpfungen!$B$2:$C$2000,2,FALSE),"")</f>
        <v/>
      </c>
    </row>
    <row r="495" spans="5:5" x14ac:dyDescent="0.2">
      <c r="E495" t="str">
        <f>+IFERROR(VLOOKUP(D495,Daten_Verknüpfungen!$B$2:$C$2000,2,FALSE),"")</f>
        <v/>
      </c>
    </row>
    <row r="496" spans="5:5" x14ac:dyDescent="0.2">
      <c r="E496" t="str">
        <f>+IFERROR(VLOOKUP(D496,Daten_Verknüpfungen!$B$2:$C$2000,2,FALSE),"")</f>
        <v/>
      </c>
    </row>
    <row r="497" spans="5:5" x14ac:dyDescent="0.2">
      <c r="E497" t="str">
        <f>+IFERROR(VLOOKUP(D497,Daten_Verknüpfungen!$B$2:$C$2000,2,FALSE),"")</f>
        <v/>
      </c>
    </row>
    <row r="498" spans="5:5" x14ac:dyDescent="0.2">
      <c r="E498" t="str">
        <f>+IFERROR(VLOOKUP(D498,Daten_Verknüpfungen!$B$2:$C$2000,2,FALSE),"")</f>
        <v/>
      </c>
    </row>
    <row r="499" spans="5:5" x14ac:dyDescent="0.2">
      <c r="E499" t="str">
        <f>+IFERROR(VLOOKUP(D499,Daten_Verknüpfungen!$B$2:$C$2000,2,FALSE),"")</f>
        <v/>
      </c>
    </row>
    <row r="500" spans="5:5" x14ac:dyDescent="0.2">
      <c r="E500" t="str">
        <f>+IFERROR(VLOOKUP(D500,Daten_Verknüpfungen!$B$2:$C$2000,2,FALSE),"")</f>
        <v/>
      </c>
    </row>
    <row r="501" spans="5:5" x14ac:dyDescent="0.2">
      <c r="E501" t="str">
        <f>+IFERROR(VLOOKUP(D501,Daten_Verknüpfungen!$B$2:$C$2000,2,FALSE),"")</f>
        <v/>
      </c>
    </row>
    <row r="502" spans="5:5" x14ac:dyDescent="0.2">
      <c r="E502" t="str">
        <f>+IFERROR(VLOOKUP(D502,Daten_Verknüpfungen!$B$2:$C$2000,2,FALSE),"")</f>
        <v/>
      </c>
    </row>
    <row r="503" spans="5:5" x14ac:dyDescent="0.2">
      <c r="E503" t="str">
        <f>+IFERROR(VLOOKUP(D503,Daten_Verknüpfungen!$B$2:$C$2000,2,FALSE),"")</f>
        <v/>
      </c>
    </row>
    <row r="504" spans="5:5" x14ac:dyDescent="0.2">
      <c r="E504" t="str">
        <f>+IFERROR(VLOOKUP(D504,Daten_Verknüpfungen!$B$2:$C$2000,2,FALSE),"")</f>
        <v/>
      </c>
    </row>
    <row r="505" spans="5:5" x14ac:dyDescent="0.2">
      <c r="E505" t="str">
        <f>+IFERROR(VLOOKUP(D505,Daten_Verknüpfungen!$B$2:$C$2000,2,FALSE),"")</f>
        <v/>
      </c>
    </row>
    <row r="506" spans="5:5" x14ac:dyDescent="0.2">
      <c r="E506" t="str">
        <f>+IFERROR(VLOOKUP(D506,Daten_Verknüpfungen!$B$2:$C$2000,2,FALSE),"")</f>
        <v/>
      </c>
    </row>
    <row r="507" spans="5:5" x14ac:dyDescent="0.2">
      <c r="E507" t="str">
        <f>+IFERROR(VLOOKUP(D507,Daten_Verknüpfungen!$B$2:$C$2000,2,FALSE),"")</f>
        <v/>
      </c>
    </row>
    <row r="508" spans="5:5" x14ac:dyDescent="0.2">
      <c r="E508" t="str">
        <f>+IFERROR(VLOOKUP(D508,Daten_Verknüpfungen!$B$2:$C$2000,2,FALSE),"")</f>
        <v/>
      </c>
    </row>
    <row r="509" spans="5:5" x14ac:dyDescent="0.2">
      <c r="E509" t="str">
        <f>+IFERROR(VLOOKUP(D509,Daten_Verknüpfungen!$B$2:$C$2000,2,FALSE),"")</f>
        <v/>
      </c>
    </row>
    <row r="510" spans="5:5" x14ac:dyDescent="0.2">
      <c r="E510" t="str">
        <f>+IFERROR(VLOOKUP(D510,Daten_Verknüpfungen!$B$2:$C$2000,2,FALSE),"")</f>
        <v/>
      </c>
    </row>
    <row r="511" spans="5:5" x14ac:dyDescent="0.2">
      <c r="E511" t="str">
        <f>+IFERROR(VLOOKUP(D511,Daten_Verknüpfungen!$B$2:$C$2000,2,FALSE),"")</f>
        <v/>
      </c>
    </row>
    <row r="512" spans="5:5" x14ac:dyDescent="0.2">
      <c r="E512" t="str">
        <f>+IFERROR(VLOOKUP(D512,Daten_Verknüpfungen!$B$2:$C$2000,2,FALSE),"")</f>
        <v/>
      </c>
    </row>
    <row r="513" spans="5:5" x14ac:dyDescent="0.2">
      <c r="E513" t="str">
        <f>+IFERROR(VLOOKUP(D513,Daten_Verknüpfungen!$B$2:$C$2000,2,FALSE),"")</f>
        <v/>
      </c>
    </row>
    <row r="514" spans="5:5" x14ac:dyDescent="0.2">
      <c r="E514" t="str">
        <f>+IFERROR(VLOOKUP(D514,Daten_Verknüpfungen!$B$2:$C$2000,2,FALSE),"")</f>
        <v/>
      </c>
    </row>
    <row r="515" spans="5:5" x14ac:dyDescent="0.2">
      <c r="E515" t="str">
        <f>+IFERROR(VLOOKUP(D515,Daten_Verknüpfungen!$B$2:$C$2000,2,FALSE),"")</f>
        <v/>
      </c>
    </row>
    <row r="516" spans="5:5" x14ac:dyDescent="0.2">
      <c r="E516" t="str">
        <f>+IFERROR(VLOOKUP(D516,Daten_Verknüpfungen!$B$2:$C$2000,2,FALSE),"")</f>
        <v/>
      </c>
    </row>
    <row r="517" spans="5:5" x14ac:dyDescent="0.2">
      <c r="E517" t="str">
        <f>+IFERROR(VLOOKUP(D517,Daten_Verknüpfungen!$B$2:$C$2000,2,FALSE),"")</f>
        <v/>
      </c>
    </row>
    <row r="518" spans="5:5" x14ac:dyDescent="0.2">
      <c r="E518" t="str">
        <f>+IFERROR(VLOOKUP(D518,Daten_Verknüpfungen!$B$2:$C$2000,2,FALSE),"")</f>
        <v/>
      </c>
    </row>
    <row r="519" spans="5:5" x14ac:dyDescent="0.2">
      <c r="E519" t="str">
        <f>+IFERROR(VLOOKUP(D519,Daten_Verknüpfungen!$B$2:$C$2000,2,FALSE),"")</f>
        <v/>
      </c>
    </row>
    <row r="520" spans="5:5" x14ac:dyDescent="0.2">
      <c r="E520" t="str">
        <f>+IFERROR(VLOOKUP(D520,Daten_Verknüpfungen!$B$2:$C$2000,2,FALSE),"")</f>
        <v/>
      </c>
    </row>
    <row r="521" spans="5:5" x14ac:dyDescent="0.2">
      <c r="E521" t="str">
        <f>+IFERROR(VLOOKUP(D521,Daten_Verknüpfungen!$B$2:$C$2000,2,FALSE),"")</f>
        <v/>
      </c>
    </row>
    <row r="522" spans="5:5" x14ac:dyDescent="0.2">
      <c r="E522" t="str">
        <f>+IFERROR(VLOOKUP(D522,Daten_Verknüpfungen!$B$2:$C$2000,2,FALSE),"")</f>
        <v/>
      </c>
    </row>
    <row r="523" spans="5:5" x14ac:dyDescent="0.2">
      <c r="E523" t="str">
        <f>+IFERROR(VLOOKUP(D523,Daten_Verknüpfungen!$B$2:$C$2000,2,FALSE),"")</f>
        <v/>
      </c>
    </row>
    <row r="524" spans="5:5" x14ac:dyDescent="0.2">
      <c r="E524" t="str">
        <f>+IFERROR(VLOOKUP(D524,Daten_Verknüpfungen!$B$2:$C$2000,2,FALSE),"")</f>
        <v/>
      </c>
    </row>
    <row r="525" spans="5:5" x14ac:dyDescent="0.2">
      <c r="E525" t="str">
        <f>+IFERROR(VLOOKUP(D525,Daten_Verknüpfungen!$B$2:$C$2000,2,FALSE),"")</f>
        <v/>
      </c>
    </row>
    <row r="526" spans="5:5" x14ac:dyDescent="0.2">
      <c r="E526" t="str">
        <f>+IFERROR(VLOOKUP(D526,Daten_Verknüpfungen!$B$2:$C$2000,2,FALSE),"")</f>
        <v/>
      </c>
    </row>
    <row r="527" spans="5:5" x14ac:dyDescent="0.2">
      <c r="E527" t="str">
        <f>+IFERROR(VLOOKUP(D527,Daten_Verknüpfungen!$B$2:$C$2000,2,FALSE),"")</f>
        <v/>
      </c>
    </row>
    <row r="528" spans="5:5" x14ac:dyDescent="0.2">
      <c r="E528" t="str">
        <f>+IFERROR(VLOOKUP(D528,Daten_Verknüpfungen!$B$2:$C$2000,2,FALSE),"")</f>
        <v/>
      </c>
    </row>
    <row r="529" spans="5:5" x14ac:dyDescent="0.2">
      <c r="E529" t="str">
        <f>+IFERROR(VLOOKUP(D529,Daten_Verknüpfungen!$B$2:$C$2000,2,FALSE),"")</f>
        <v/>
      </c>
    </row>
    <row r="530" spans="5:5" x14ac:dyDescent="0.2">
      <c r="E530" t="str">
        <f>+IFERROR(VLOOKUP(D530,Daten_Verknüpfungen!$B$2:$C$2000,2,FALSE),"")</f>
        <v/>
      </c>
    </row>
    <row r="531" spans="5:5" x14ac:dyDescent="0.2">
      <c r="E531" t="str">
        <f>+IFERROR(VLOOKUP(D531,Daten_Verknüpfungen!$B$2:$C$2000,2,FALSE),"")</f>
        <v/>
      </c>
    </row>
    <row r="532" spans="5:5" x14ac:dyDescent="0.2">
      <c r="E532" t="str">
        <f>+IFERROR(VLOOKUP(D532,Daten_Verknüpfungen!$B$2:$C$2000,2,FALSE),"")</f>
        <v/>
      </c>
    </row>
    <row r="533" spans="5:5" x14ac:dyDescent="0.2">
      <c r="E533" t="str">
        <f>+IFERROR(VLOOKUP(D533,Daten_Verknüpfungen!$B$2:$C$2000,2,FALSE),"")</f>
        <v/>
      </c>
    </row>
    <row r="534" spans="5:5" x14ac:dyDescent="0.2">
      <c r="E534" t="str">
        <f>+IFERROR(VLOOKUP(D534,Daten_Verknüpfungen!$B$2:$C$2000,2,FALSE),"")</f>
        <v/>
      </c>
    </row>
    <row r="535" spans="5:5" x14ac:dyDescent="0.2">
      <c r="E535" t="str">
        <f>+IFERROR(VLOOKUP(D535,Daten_Verknüpfungen!$B$2:$C$2000,2,FALSE),"")</f>
        <v/>
      </c>
    </row>
    <row r="536" spans="5:5" x14ac:dyDescent="0.2">
      <c r="E536" t="str">
        <f>+IFERROR(VLOOKUP(D536,Daten_Verknüpfungen!$B$2:$C$2000,2,FALSE),"")</f>
        <v/>
      </c>
    </row>
    <row r="537" spans="5:5" x14ac:dyDescent="0.2">
      <c r="E537" t="str">
        <f>+IFERROR(VLOOKUP(D537,Daten_Verknüpfungen!$B$2:$C$2000,2,FALSE),"")</f>
        <v/>
      </c>
    </row>
    <row r="538" spans="5:5" x14ac:dyDescent="0.2">
      <c r="E538" t="str">
        <f>+IFERROR(VLOOKUP(D538,Daten_Verknüpfungen!$B$2:$C$2000,2,FALSE),"")</f>
        <v/>
      </c>
    </row>
    <row r="539" spans="5:5" x14ac:dyDescent="0.2">
      <c r="E539" t="str">
        <f>+IFERROR(VLOOKUP(D539,Daten_Verknüpfungen!$B$2:$C$2000,2,FALSE),"")</f>
        <v/>
      </c>
    </row>
    <row r="540" spans="5:5" x14ac:dyDescent="0.2">
      <c r="E540" t="str">
        <f>+IFERROR(VLOOKUP(D540,Daten_Verknüpfungen!$B$2:$C$2000,2,FALSE),"")</f>
        <v/>
      </c>
    </row>
    <row r="541" spans="5:5" x14ac:dyDescent="0.2">
      <c r="E541" t="str">
        <f>+IFERROR(VLOOKUP(D541,Daten_Verknüpfungen!$B$2:$C$2000,2,FALSE),"")</f>
        <v/>
      </c>
    </row>
    <row r="542" spans="5:5" x14ac:dyDescent="0.2">
      <c r="E542" t="str">
        <f>+IFERROR(VLOOKUP(D542,Daten_Verknüpfungen!$B$2:$C$2000,2,FALSE),"")</f>
        <v/>
      </c>
    </row>
    <row r="543" spans="5:5" x14ac:dyDescent="0.2">
      <c r="E543" t="str">
        <f>+IFERROR(VLOOKUP(D543,Daten_Verknüpfungen!$B$2:$C$2000,2,FALSE),"")</f>
        <v/>
      </c>
    </row>
    <row r="544" spans="5:5" x14ac:dyDescent="0.2">
      <c r="E544" t="str">
        <f>+IFERROR(VLOOKUP(D544,Daten_Verknüpfungen!$B$2:$C$2000,2,FALSE),"")</f>
        <v/>
      </c>
    </row>
    <row r="545" spans="5:5" x14ac:dyDescent="0.2">
      <c r="E545" t="str">
        <f>+IFERROR(VLOOKUP(D545,Daten_Verknüpfungen!$B$2:$C$2000,2,FALSE),"")</f>
        <v/>
      </c>
    </row>
    <row r="546" spans="5:5" x14ac:dyDescent="0.2">
      <c r="E546" t="str">
        <f>+IFERROR(VLOOKUP(D546,Daten_Verknüpfungen!$B$2:$C$2000,2,FALSE),"")</f>
        <v/>
      </c>
    </row>
    <row r="547" spans="5:5" x14ac:dyDescent="0.2">
      <c r="E547" t="str">
        <f>+IFERROR(VLOOKUP(D547,Daten_Verknüpfungen!$B$2:$C$2000,2,FALSE),"")</f>
        <v/>
      </c>
    </row>
    <row r="548" spans="5:5" x14ac:dyDescent="0.2">
      <c r="E548" t="str">
        <f>+IFERROR(VLOOKUP(D548,Daten_Verknüpfungen!$B$2:$C$2000,2,FALSE),"")</f>
        <v/>
      </c>
    </row>
    <row r="549" spans="5:5" x14ac:dyDescent="0.2">
      <c r="E549" t="str">
        <f>+IFERROR(VLOOKUP(D549,Daten_Verknüpfungen!$B$2:$C$2000,2,FALSE),"")</f>
        <v/>
      </c>
    </row>
    <row r="550" spans="5:5" x14ac:dyDescent="0.2">
      <c r="E550" t="str">
        <f>+IFERROR(VLOOKUP(D550,Daten_Verknüpfungen!$B$2:$C$2000,2,FALSE),"")</f>
        <v/>
      </c>
    </row>
    <row r="551" spans="5:5" x14ac:dyDescent="0.2">
      <c r="E551" t="str">
        <f>+IFERROR(VLOOKUP(D551,Daten_Verknüpfungen!$B$2:$C$2000,2,FALSE),"")</f>
        <v/>
      </c>
    </row>
    <row r="552" spans="5:5" x14ac:dyDescent="0.2">
      <c r="E552" t="str">
        <f>+IFERROR(VLOOKUP(D552,Daten_Verknüpfungen!$B$2:$C$2000,2,FALSE),"")</f>
        <v/>
      </c>
    </row>
    <row r="553" spans="5:5" x14ac:dyDescent="0.2">
      <c r="E553" t="str">
        <f>+IFERROR(VLOOKUP(D553,Daten_Verknüpfungen!$B$2:$C$2000,2,FALSE),"")</f>
        <v/>
      </c>
    </row>
    <row r="554" spans="5:5" x14ac:dyDescent="0.2">
      <c r="E554" t="str">
        <f>+IFERROR(VLOOKUP(D554,Daten_Verknüpfungen!$B$2:$C$2000,2,FALSE),"")</f>
        <v/>
      </c>
    </row>
    <row r="555" spans="5:5" x14ac:dyDescent="0.2">
      <c r="E555" t="str">
        <f>+IFERROR(VLOOKUP(D555,Daten_Verknüpfungen!$B$2:$C$2000,2,FALSE),"")</f>
        <v/>
      </c>
    </row>
    <row r="556" spans="5:5" x14ac:dyDescent="0.2">
      <c r="E556" t="str">
        <f>+IFERROR(VLOOKUP(D556,Daten_Verknüpfungen!$B$2:$C$2000,2,FALSE),"")</f>
        <v/>
      </c>
    </row>
    <row r="557" spans="5:5" x14ac:dyDescent="0.2">
      <c r="E557" t="str">
        <f>+IFERROR(VLOOKUP(D557,Daten_Verknüpfungen!$B$2:$C$2000,2,FALSE),"")</f>
        <v/>
      </c>
    </row>
    <row r="558" spans="5:5" x14ac:dyDescent="0.2">
      <c r="E558" t="str">
        <f>+IFERROR(VLOOKUP(D558,Daten_Verknüpfungen!$B$2:$C$2000,2,FALSE),"")</f>
        <v/>
      </c>
    </row>
    <row r="559" spans="5:5" x14ac:dyDescent="0.2">
      <c r="E559" t="str">
        <f>+IFERROR(VLOOKUP(D559,Daten_Verknüpfungen!$B$2:$C$2000,2,FALSE),"")</f>
        <v/>
      </c>
    </row>
    <row r="560" spans="5:5" x14ac:dyDescent="0.2">
      <c r="E560" t="str">
        <f>+IFERROR(VLOOKUP(D560,Daten_Verknüpfungen!$B$2:$C$2000,2,FALSE),"")</f>
        <v/>
      </c>
    </row>
    <row r="561" spans="5:5" x14ac:dyDescent="0.2">
      <c r="E561" t="str">
        <f>+IFERROR(VLOOKUP(D561,Daten_Verknüpfungen!$B$2:$C$2000,2,FALSE),"")</f>
        <v/>
      </c>
    </row>
    <row r="562" spans="5:5" x14ac:dyDescent="0.2">
      <c r="E562" t="str">
        <f>+IFERROR(VLOOKUP(D562,Daten_Verknüpfungen!$B$2:$C$2000,2,FALSE),"")</f>
        <v/>
      </c>
    </row>
    <row r="563" spans="5:5" x14ac:dyDescent="0.2">
      <c r="E563" t="str">
        <f>+IFERROR(VLOOKUP(D563,Daten_Verknüpfungen!$B$2:$C$2000,2,FALSE),"")</f>
        <v/>
      </c>
    </row>
    <row r="564" spans="5:5" x14ac:dyDescent="0.2">
      <c r="E564" t="str">
        <f>+IFERROR(VLOOKUP(D564,Daten_Verknüpfungen!$B$2:$C$2000,2,FALSE),"")</f>
        <v/>
      </c>
    </row>
    <row r="565" spans="5:5" x14ac:dyDescent="0.2">
      <c r="E565" t="str">
        <f>+IFERROR(VLOOKUP(D565,Daten_Verknüpfungen!$B$2:$C$2000,2,FALSE),"")</f>
        <v/>
      </c>
    </row>
    <row r="566" spans="5:5" x14ac:dyDescent="0.2">
      <c r="E566" t="str">
        <f>+IFERROR(VLOOKUP(D566,Daten_Verknüpfungen!$B$2:$C$2000,2,FALSE),"")</f>
        <v/>
      </c>
    </row>
    <row r="567" spans="5:5" x14ac:dyDescent="0.2">
      <c r="E567" t="str">
        <f>+IFERROR(VLOOKUP(D567,Daten_Verknüpfungen!$B$2:$C$2000,2,FALSE),"")</f>
        <v/>
      </c>
    </row>
    <row r="568" spans="5:5" x14ac:dyDescent="0.2">
      <c r="E568" t="str">
        <f>+IFERROR(VLOOKUP(D568,Daten_Verknüpfungen!$B$2:$C$2000,2,FALSE),"")</f>
        <v/>
      </c>
    </row>
    <row r="569" spans="5:5" x14ac:dyDescent="0.2">
      <c r="E569" t="str">
        <f>+IFERROR(VLOOKUP(D569,Daten_Verknüpfungen!$B$2:$C$2000,2,FALSE),"")</f>
        <v/>
      </c>
    </row>
    <row r="570" spans="5:5" x14ac:dyDescent="0.2">
      <c r="E570" t="str">
        <f>+IFERROR(VLOOKUP(D570,Daten_Verknüpfungen!$B$2:$C$2000,2,FALSE),"")</f>
        <v/>
      </c>
    </row>
    <row r="571" spans="5:5" x14ac:dyDescent="0.2">
      <c r="E571" t="str">
        <f>+IFERROR(VLOOKUP(D571,Daten_Verknüpfungen!$B$2:$C$2000,2,FALSE),"")</f>
        <v/>
      </c>
    </row>
    <row r="572" spans="5:5" x14ac:dyDescent="0.2">
      <c r="E572" t="str">
        <f>+IFERROR(VLOOKUP(D572,Daten_Verknüpfungen!$B$2:$C$2000,2,FALSE),"")</f>
        <v/>
      </c>
    </row>
    <row r="573" spans="5:5" x14ac:dyDescent="0.2">
      <c r="E573" t="str">
        <f>+IFERROR(VLOOKUP(D573,Daten_Verknüpfungen!$B$2:$C$2000,2,FALSE),"")</f>
        <v/>
      </c>
    </row>
    <row r="574" spans="5:5" x14ac:dyDescent="0.2">
      <c r="E574" t="str">
        <f>+IFERROR(VLOOKUP(D574,Daten_Verknüpfungen!$B$2:$C$2000,2,FALSE),"")</f>
        <v/>
      </c>
    </row>
    <row r="575" spans="5:5" x14ac:dyDescent="0.2">
      <c r="E575" t="str">
        <f>+IFERROR(VLOOKUP(D575,Daten_Verknüpfungen!$B$2:$C$2000,2,FALSE),"")</f>
        <v/>
      </c>
    </row>
    <row r="576" spans="5:5" x14ac:dyDescent="0.2">
      <c r="E576" t="str">
        <f>+IFERROR(VLOOKUP(D576,Daten_Verknüpfungen!$B$2:$C$2000,2,FALSE),"")</f>
        <v/>
      </c>
    </row>
    <row r="577" spans="5:5" x14ac:dyDescent="0.2">
      <c r="E577" t="str">
        <f>+IFERROR(VLOOKUP(D577,Daten_Verknüpfungen!$B$2:$C$2000,2,FALSE),"")</f>
        <v/>
      </c>
    </row>
    <row r="578" spans="5:5" x14ac:dyDescent="0.2">
      <c r="E578" t="str">
        <f>+IFERROR(VLOOKUP(D578,Daten_Verknüpfungen!$B$2:$C$2000,2,FALSE),"")</f>
        <v/>
      </c>
    </row>
    <row r="579" spans="5:5" x14ac:dyDescent="0.2">
      <c r="E579" t="str">
        <f>+IFERROR(VLOOKUP(D579,Daten_Verknüpfungen!$B$2:$C$2000,2,FALSE),"")</f>
        <v/>
      </c>
    </row>
    <row r="580" spans="5:5" x14ac:dyDescent="0.2">
      <c r="E580" t="str">
        <f>+IFERROR(VLOOKUP(D580,Daten_Verknüpfungen!$B$2:$C$2000,2,FALSE),"")</f>
        <v/>
      </c>
    </row>
    <row r="581" spans="5:5" x14ac:dyDescent="0.2">
      <c r="E581" t="str">
        <f>+IFERROR(VLOOKUP(D581,Daten_Verknüpfungen!$B$2:$C$2000,2,FALSE),"")</f>
        <v/>
      </c>
    </row>
    <row r="582" spans="5:5" x14ac:dyDescent="0.2">
      <c r="E582" t="str">
        <f>+IFERROR(VLOOKUP(D582,Daten_Verknüpfungen!$B$2:$C$2000,2,FALSE),"")</f>
        <v/>
      </c>
    </row>
    <row r="583" spans="5:5" x14ac:dyDescent="0.2">
      <c r="E583" t="str">
        <f>+IFERROR(VLOOKUP(D583,Daten_Verknüpfungen!$B$2:$C$2000,2,FALSE),"")</f>
        <v/>
      </c>
    </row>
    <row r="584" spans="5:5" x14ac:dyDescent="0.2">
      <c r="E584" t="str">
        <f>+IFERROR(VLOOKUP(D584,Daten_Verknüpfungen!$B$2:$C$2000,2,FALSE),"")</f>
        <v/>
      </c>
    </row>
    <row r="585" spans="5:5" x14ac:dyDescent="0.2">
      <c r="E585" t="str">
        <f>+IFERROR(VLOOKUP(D585,Daten_Verknüpfungen!$B$2:$C$2000,2,FALSE),"")</f>
        <v/>
      </c>
    </row>
    <row r="586" spans="5:5" x14ac:dyDescent="0.2">
      <c r="E586" t="str">
        <f>+IFERROR(VLOOKUP(D586,Daten_Verknüpfungen!$B$2:$C$2000,2,FALSE),"")</f>
        <v/>
      </c>
    </row>
    <row r="587" spans="5:5" x14ac:dyDescent="0.2">
      <c r="E587" t="str">
        <f>+IFERROR(VLOOKUP(D587,Daten_Verknüpfungen!$B$2:$C$2000,2,FALSE),"")</f>
        <v/>
      </c>
    </row>
    <row r="588" spans="5:5" x14ac:dyDescent="0.2">
      <c r="E588" t="str">
        <f>+IFERROR(VLOOKUP(D588,Daten_Verknüpfungen!$B$2:$C$2000,2,FALSE),"")</f>
        <v/>
      </c>
    </row>
    <row r="589" spans="5:5" x14ac:dyDescent="0.2">
      <c r="E589" t="str">
        <f>+IFERROR(VLOOKUP(D589,Daten_Verknüpfungen!$B$2:$C$2000,2,FALSE),"")</f>
        <v/>
      </c>
    </row>
    <row r="590" spans="5:5" x14ac:dyDescent="0.2">
      <c r="E590" t="str">
        <f>+IFERROR(VLOOKUP(D590,Daten_Verknüpfungen!$B$2:$C$2000,2,FALSE),"")</f>
        <v/>
      </c>
    </row>
    <row r="591" spans="5:5" x14ac:dyDescent="0.2">
      <c r="E591" t="str">
        <f>+IFERROR(VLOOKUP(D591,Daten_Verknüpfungen!$B$2:$C$2000,2,FALSE),"")</f>
        <v/>
      </c>
    </row>
    <row r="592" spans="5:5" x14ac:dyDescent="0.2">
      <c r="E592" t="str">
        <f>+IFERROR(VLOOKUP(D592,Daten_Verknüpfungen!$B$2:$C$2000,2,FALSE),"")</f>
        <v/>
      </c>
    </row>
    <row r="593" spans="5:5" x14ac:dyDescent="0.2">
      <c r="E593" t="str">
        <f>+IFERROR(VLOOKUP(D593,Daten_Verknüpfungen!$B$2:$C$2000,2,FALSE),"")</f>
        <v/>
      </c>
    </row>
    <row r="594" spans="5:5" x14ac:dyDescent="0.2">
      <c r="E594" t="str">
        <f>+IFERROR(VLOOKUP(D594,Daten_Verknüpfungen!$B$2:$C$2000,2,FALSE),"")</f>
        <v/>
      </c>
    </row>
    <row r="595" spans="5:5" x14ac:dyDescent="0.2">
      <c r="E595" t="str">
        <f>+IFERROR(VLOOKUP(D595,Daten_Verknüpfungen!$B$2:$C$2000,2,FALSE),"")</f>
        <v/>
      </c>
    </row>
    <row r="596" spans="5:5" x14ac:dyDescent="0.2">
      <c r="E596" t="str">
        <f>+IFERROR(VLOOKUP(D596,Daten_Verknüpfungen!$B$2:$C$2000,2,FALSE),"")</f>
        <v/>
      </c>
    </row>
    <row r="597" spans="5:5" x14ac:dyDescent="0.2">
      <c r="E597" t="str">
        <f>+IFERROR(VLOOKUP(D597,Daten_Verknüpfungen!$B$2:$C$2000,2,FALSE),"")</f>
        <v/>
      </c>
    </row>
    <row r="598" spans="5:5" x14ac:dyDescent="0.2">
      <c r="E598" t="str">
        <f>+IFERROR(VLOOKUP(D598,Daten_Verknüpfungen!$B$2:$C$2000,2,FALSE),"")</f>
        <v/>
      </c>
    </row>
    <row r="599" spans="5:5" x14ac:dyDescent="0.2">
      <c r="E599" t="str">
        <f>+IFERROR(VLOOKUP(D599,Daten_Verknüpfungen!$B$2:$C$2000,2,FALSE),"")</f>
        <v/>
      </c>
    </row>
    <row r="600" spans="5:5" x14ac:dyDescent="0.2">
      <c r="E600" t="str">
        <f>+IFERROR(VLOOKUP(D600,Daten_Verknüpfungen!$B$2:$C$2000,2,FALSE),"")</f>
        <v/>
      </c>
    </row>
    <row r="601" spans="5:5" x14ac:dyDescent="0.2">
      <c r="E601" t="str">
        <f>+IFERROR(VLOOKUP(D601,Daten_Verknüpfungen!$B$2:$C$2000,2,FALSE),"")</f>
        <v/>
      </c>
    </row>
    <row r="602" spans="5:5" x14ac:dyDescent="0.2">
      <c r="E602" t="str">
        <f>+IFERROR(VLOOKUP(D602,Daten_Verknüpfungen!$B$2:$C$2000,2,FALSE),"")</f>
        <v/>
      </c>
    </row>
    <row r="603" spans="5:5" x14ac:dyDescent="0.2">
      <c r="E603" t="str">
        <f>+IFERROR(VLOOKUP(D603,Daten_Verknüpfungen!$B$2:$C$2000,2,FALSE),"")</f>
        <v/>
      </c>
    </row>
    <row r="604" spans="5:5" x14ac:dyDescent="0.2">
      <c r="E604" t="str">
        <f>+IFERROR(VLOOKUP(D604,Daten_Verknüpfungen!$B$2:$C$2000,2,FALSE),"")</f>
        <v/>
      </c>
    </row>
    <row r="605" spans="5:5" x14ac:dyDescent="0.2">
      <c r="E605" t="str">
        <f>+IFERROR(VLOOKUP(D605,Daten_Verknüpfungen!$B$2:$C$2000,2,FALSE),"")</f>
        <v/>
      </c>
    </row>
    <row r="606" spans="5:5" x14ac:dyDescent="0.2">
      <c r="E606" t="str">
        <f>+IFERROR(VLOOKUP(D606,Daten_Verknüpfungen!$B$2:$C$2000,2,FALSE),"")</f>
        <v/>
      </c>
    </row>
    <row r="607" spans="5:5" x14ac:dyDescent="0.2">
      <c r="E607" t="str">
        <f>+IFERROR(VLOOKUP(D607,Daten_Verknüpfungen!$B$2:$C$2000,2,FALSE),"")</f>
        <v/>
      </c>
    </row>
    <row r="608" spans="5:5" x14ac:dyDescent="0.2">
      <c r="E608" t="str">
        <f>+IFERROR(VLOOKUP(D608,Daten_Verknüpfungen!$B$2:$C$2000,2,FALSE),"")</f>
        <v/>
      </c>
    </row>
    <row r="609" spans="5:5" x14ac:dyDescent="0.2">
      <c r="E609" t="str">
        <f>+IFERROR(VLOOKUP(D609,Daten_Verknüpfungen!$B$2:$C$2000,2,FALSE),"")</f>
        <v/>
      </c>
    </row>
    <row r="610" spans="5:5" x14ac:dyDescent="0.2">
      <c r="E610" t="str">
        <f>+IFERROR(VLOOKUP(D610,Daten_Verknüpfungen!$B$2:$C$2000,2,FALSE),"")</f>
        <v/>
      </c>
    </row>
    <row r="611" spans="5:5" x14ac:dyDescent="0.2">
      <c r="E611" t="str">
        <f>+IFERROR(VLOOKUP(D611,Daten_Verknüpfungen!$B$2:$C$2000,2,FALSE),"")</f>
        <v/>
      </c>
    </row>
    <row r="612" spans="5:5" x14ac:dyDescent="0.2">
      <c r="E612" t="str">
        <f>+IFERROR(VLOOKUP(D612,Daten_Verknüpfungen!$B$2:$C$2000,2,FALSE),"")</f>
        <v/>
      </c>
    </row>
    <row r="613" spans="5:5" x14ac:dyDescent="0.2">
      <c r="E613" t="str">
        <f>+IFERROR(VLOOKUP(D613,Daten_Verknüpfungen!$B$2:$C$2000,2,FALSE),"")</f>
        <v/>
      </c>
    </row>
    <row r="614" spans="5:5" x14ac:dyDescent="0.2">
      <c r="E614" t="str">
        <f>+IFERROR(VLOOKUP(D614,Daten_Verknüpfungen!$B$2:$C$2000,2,FALSE),"")</f>
        <v/>
      </c>
    </row>
    <row r="615" spans="5:5" x14ac:dyDescent="0.2">
      <c r="E615" t="str">
        <f>+IFERROR(VLOOKUP(D615,Daten_Verknüpfungen!$B$2:$C$2000,2,FALSE),"")</f>
        <v/>
      </c>
    </row>
    <row r="616" spans="5:5" x14ac:dyDescent="0.2">
      <c r="E616" t="str">
        <f>+IFERROR(VLOOKUP(D616,Daten_Verknüpfungen!$B$2:$C$2000,2,FALSE),"")</f>
        <v/>
      </c>
    </row>
    <row r="617" spans="5:5" x14ac:dyDescent="0.2">
      <c r="E617" t="str">
        <f>+IFERROR(VLOOKUP(D617,Daten_Verknüpfungen!$B$2:$C$2000,2,FALSE),"")</f>
        <v/>
      </c>
    </row>
    <row r="618" spans="5:5" x14ac:dyDescent="0.2">
      <c r="E618" t="str">
        <f>+IFERROR(VLOOKUP(D618,Daten_Verknüpfungen!$B$2:$C$2000,2,FALSE),"")</f>
        <v/>
      </c>
    </row>
    <row r="619" spans="5:5" x14ac:dyDescent="0.2">
      <c r="E619" t="str">
        <f>+IFERROR(VLOOKUP(D619,Daten_Verknüpfungen!$B$2:$C$2000,2,FALSE),"")</f>
        <v/>
      </c>
    </row>
    <row r="620" spans="5:5" x14ac:dyDescent="0.2">
      <c r="E620" t="str">
        <f>+IFERROR(VLOOKUP(D620,Daten_Verknüpfungen!$B$2:$C$2000,2,FALSE),"")</f>
        <v/>
      </c>
    </row>
    <row r="621" spans="5:5" x14ac:dyDescent="0.2">
      <c r="E621" t="str">
        <f>+IFERROR(VLOOKUP(D621,Daten_Verknüpfungen!$B$2:$C$2000,2,FALSE),"")</f>
        <v/>
      </c>
    </row>
    <row r="622" spans="5:5" x14ac:dyDescent="0.2">
      <c r="E622" t="str">
        <f>+IFERROR(VLOOKUP(D622,Daten_Verknüpfungen!$B$2:$C$2000,2,FALSE),"")</f>
        <v/>
      </c>
    </row>
    <row r="623" spans="5:5" x14ac:dyDescent="0.2">
      <c r="E623" t="str">
        <f>+IFERROR(VLOOKUP(D623,Daten_Verknüpfungen!$B$2:$C$2000,2,FALSE),"")</f>
        <v/>
      </c>
    </row>
    <row r="624" spans="5:5" x14ac:dyDescent="0.2">
      <c r="E624" t="str">
        <f>+IFERROR(VLOOKUP(D624,Daten_Verknüpfungen!$B$2:$C$2000,2,FALSE),"")</f>
        <v/>
      </c>
    </row>
    <row r="625" spans="5:5" x14ac:dyDescent="0.2">
      <c r="E625" t="str">
        <f>+IFERROR(VLOOKUP(D625,Daten_Verknüpfungen!$B$2:$C$2000,2,FALSE),"")</f>
        <v/>
      </c>
    </row>
    <row r="626" spans="5:5" x14ac:dyDescent="0.2">
      <c r="E626" t="str">
        <f>+IFERROR(VLOOKUP(D626,Daten_Verknüpfungen!$B$2:$C$2000,2,FALSE),"")</f>
        <v/>
      </c>
    </row>
    <row r="627" spans="5:5" x14ac:dyDescent="0.2">
      <c r="E627" t="str">
        <f>+IFERROR(VLOOKUP(D627,Daten_Verknüpfungen!$B$2:$C$2000,2,FALSE),"")</f>
        <v/>
      </c>
    </row>
    <row r="628" spans="5:5" x14ac:dyDescent="0.2">
      <c r="E628" t="str">
        <f>+IFERROR(VLOOKUP(D628,Daten_Verknüpfungen!$B$2:$C$2000,2,FALSE),"")</f>
        <v/>
      </c>
    </row>
    <row r="629" spans="5:5" x14ac:dyDescent="0.2">
      <c r="E629" t="str">
        <f>+IFERROR(VLOOKUP(D629,Daten_Verknüpfungen!$B$2:$C$2000,2,FALSE),"")</f>
        <v/>
      </c>
    </row>
    <row r="630" spans="5:5" x14ac:dyDescent="0.2">
      <c r="E630" t="str">
        <f>+IFERROR(VLOOKUP(D630,Daten_Verknüpfungen!$B$2:$C$2000,2,FALSE),"")</f>
        <v/>
      </c>
    </row>
    <row r="631" spans="5:5" x14ac:dyDescent="0.2">
      <c r="E631" t="str">
        <f>+IFERROR(VLOOKUP(D631,Daten_Verknüpfungen!$B$2:$C$2000,2,FALSE),"")</f>
        <v/>
      </c>
    </row>
    <row r="632" spans="5:5" x14ac:dyDescent="0.2">
      <c r="E632" t="str">
        <f>+IFERROR(VLOOKUP(D632,Daten_Verknüpfungen!$B$2:$C$2000,2,FALSE),"")</f>
        <v/>
      </c>
    </row>
    <row r="633" spans="5:5" x14ac:dyDescent="0.2">
      <c r="E633" t="str">
        <f>+IFERROR(VLOOKUP(D633,Daten_Verknüpfungen!$B$2:$C$2000,2,FALSE),"")</f>
        <v/>
      </c>
    </row>
    <row r="634" spans="5:5" x14ac:dyDescent="0.2">
      <c r="E634" t="str">
        <f>+IFERROR(VLOOKUP(D634,Daten_Verknüpfungen!$B$2:$C$2000,2,FALSE),"")</f>
        <v/>
      </c>
    </row>
    <row r="635" spans="5:5" x14ac:dyDescent="0.2">
      <c r="E635" t="str">
        <f>+IFERROR(VLOOKUP(D635,Daten_Verknüpfungen!$B$2:$C$2000,2,FALSE),"")</f>
        <v/>
      </c>
    </row>
    <row r="636" spans="5:5" x14ac:dyDescent="0.2">
      <c r="E636" t="str">
        <f>+IFERROR(VLOOKUP(D636,Daten_Verknüpfungen!$B$2:$C$2000,2,FALSE),"")</f>
        <v/>
      </c>
    </row>
    <row r="637" spans="5:5" x14ac:dyDescent="0.2">
      <c r="E637" t="str">
        <f>+IFERROR(VLOOKUP(D637,Daten_Verknüpfungen!$B$2:$C$2000,2,FALSE),"")</f>
        <v/>
      </c>
    </row>
    <row r="638" spans="5:5" x14ac:dyDescent="0.2">
      <c r="E638" t="str">
        <f>+IFERROR(VLOOKUP(D638,Daten_Verknüpfungen!$B$2:$C$2000,2,FALSE),"")</f>
        <v/>
      </c>
    </row>
    <row r="639" spans="5:5" x14ac:dyDescent="0.2">
      <c r="E639" t="str">
        <f>+IFERROR(VLOOKUP(D639,Daten_Verknüpfungen!$B$2:$C$2000,2,FALSE),"")</f>
        <v/>
      </c>
    </row>
    <row r="640" spans="5:5" x14ac:dyDescent="0.2">
      <c r="E640" t="str">
        <f>+IFERROR(VLOOKUP(D640,Daten_Verknüpfungen!$B$2:$C$2000,2,FALSE),"")</f>
        <v/>
      </c>
    </row>
    <row r="641" spans="5:5" x14ac:dyDescent="0.2">
      <c r="E641" t="str">
        <f>+IFERROR(VLOOKUP(D641,Daten_Verknüpfungen!$B$2:$C$2000,2,FALSE),"")</f>
        <v/>
      </c>
    </row>
    <row r="642" spans="5:5" x14ac:dyDescent="0.2">
      <c r="E642" t="str">
        <f>+IFERROR(VLOOKUP(D642,Daten_Verknüpfungen!$B$2:$C$2000,2,FALSE),"")</f>
        <v/>
      </c>
    </row>
    <row r="643" spans="5:5" x14ac:dyDescent="0.2">
      <c r="E643" t="str">
        <f>+IFERROR(VLOOKUP(D643,Daten_Verknüpfungen!$B$2:$C$2000,2,FALSE),"")</f>
        <v/>
      </c>
    </row>
    <row r="644" spans="5:5" x14ac:dyDescent="0.2">
      <c r="E644" t="str">
        <f>+IFERROR(VLOOKUP(D644,Daten_Verknüpfungen!$B$2:$C$2000,2,FALSE),"")</f>
        <v/>
      </c>
    </row>
    <row r="645" spans="5:5" x14ac:dyDescent="0.2">
      <c r="E645" t="str">
        <f>+IFERROR(VLOOKUP(D645,Daten_Verknüpfungen!$B$2:$C$2000,2,FALSE),"")</f>
        <v/>
      </c>
    </row>
    <row r="646" spans="5:5" x14ac:dyDescent="0.2">
      <c r="E646" t="str">
        <f>+IFERROR(VLOOKUP(D646,Daten_Verknüpfungen!$B$2:$C$2000,2,FALSE),"")</f>
        <v/>
      </c>
    </row>
    <row r="647" spans="5:5" x14ac:dyDescent="0.2">
      <c r="E647" t="str">
        <f>+IFERROR(VLOOKUP(D647,Daten_Verknüpfungen!$B$2:$C$2000,2,FALSE),"")</f>
        <v/>
      </c>
    </row>
    <row r="648" spans="5:5" x14ac:dyDescent="0.2">
      <c r="E648" t="str">
        <f>+IFERROR(VLOOKUP(D648,Daten_Verknüpfungen!$B$2:$C$2000,2,FALSE),"")</f>
        <v/>
      </c>
    </row>
    <row r="649" spans="5:5" x14ac:dyDescent="0.2">
      <c r="E649" t="str">
        <f>+IFERROR(VLOOKUP(D649,Daten_Verknüpfungen!$B$2:$C$2000,2,FALSE),"")</f>
        <v/>
      </c>
    </row>
    <row r="650" spans="5:5" x14ac:dyDescent="0.2">
      <c r="E650" t="str">
        <f>+IFERROR(VLOOKUP(D650,Daten_Verknüpfungen!$B$2:$C$2000,2,FALSE),"")</f>
        <v/>
      </c>
    </row>
    <row r="651" spans="5:5" x14ac:dyDescent="0.2">
      <c r="E651" t="str">
        <f>+IFERROR(VLOOKUP(D651,Daten_Verknüpfungen!$B$2:$C$2000,2,FALSE),"")</f>
        <v/>
      </c>
    </row>
    <row r="652" spans="5:5" x14ac:dyDescent="0.2">
      <c r="E652" t="str">
        <f>+IFERROR(VLOOKUP(D652,Daten_Verknüpfungen!$B$2:$C$2000,2,FALSE),"")</f>
        <v/>
      </c>
    </row>
    <row r="653" spans="5:5" x14ac:dyDescent="0.2">
      <c r="E653" t="str">
        <f>+IFERROR(VLOOKUP(D653,Daten_Verknüpfungen!$B$2:$C$2000,2,FALSE),"")</f>
        <v/>
      </c>
    </row>
    <row r="654" spans="5:5" x14ac:dyDescent="0.2">
      <c r="E654" t="str">
        <f>+IFERROR(VLOOKUP(D654,Daten_Verknüpfungen!$B$2:$C$2000,2,FALSE),"")</f>
        <v/>
      </c>
    </row>
    <row r="655" spans="5:5" x14ac:dyDescent="0.2">
      <c r="E655" t="str">
        <f>+IFERROR(VLOOKUP(D655,Daten_Verknüpfungen!$B$2:$C$2000,2,FALSE),"")</f>
        <v/>
      </c>
    </row>
    <row r="656" spans="5:5" x14ac:dyDescent="0.2">
      <c r="E656" t="str">
        <f>+IFERROR(VLOOKUP(D656,Daten_Verknüpfungen!$B$2:$C$2000,2,FALSE),"")</f>
        <v/>
      </c>
    </row>
    <row r="657" spans="5:5" x14ac:dyDescent="0.2">
      <c r="E657" t="str">
        <f>+IFERROR(VLOOKUP(D657,Daten_Verknüpfungen!$B$2:$C$2000,2,FALSE),"")</f>
        <v/>
      </c>
    </row>
    <row r="658" spans="5:5" x14ac:dyDescent="0.2">
      <c r="E658" t="str">
        <f>+IFERROR(VLOOKUP(D658,Daten_Verknüpfungen!$B$2:$C$2000,2,FALSE),"")</f>
        <v/>
      </c>
    </row>
    <row r="659" spans="5:5" x14ac:dyDescent="0.2">
      <c r="E659" t="str">
        <f>+IFERROR(VLOOKUP(D659,Daten_Verknüpfungen!$B$2:$C$2000,2,FALSE),"")</f>
        <v/>
      </c>
    </row>
    <row r="660" spans="5:5" x14ac:dyDescent="0.2">
      <c r="E660" t="str">
        <f>+IFERROR(VLOOKUP(D660,Daten_Verknüpfungen!$B$2:$C$2000,2,FALSE),"")</f>
        <v/>
      </c>
    </row>
    <row r="661" spans="5:5" x14ac:dyDescent="0.2">
      <c r="E661" t="str">
        <f>+IFERROR(VLOOKUP(D661,Daten_Verknüpfungen!$B$2:$C$2000,2,FALSE),"")</f>
        <v/>
      </c>
    </row>
    <row r="662" spans="5:5" x14ac:dyDescent="0.2">
      <c r="E662" t="str">
        <f>+IFERROR(VLOOKUP(D662,Daten_Verknüpfungen!$B$2:$C$2000,2,FALSE),"")</f>
        <v/>
      </c>
    </row>
    <row r="663" spans="5:5" x14ac:dyDescent="0.2">
      <c r="E663" t="str">
        <f>+IFERROR(VLOOKUP(D663,Daten_Verknüpfungen!$B$2:$C$2000,2,FALSE),"")</f>
        <v/>
      </c>
    </row>
    <row r="664" spans="5:5" x14ac:dyDescent="0.2">
      <c r="E664" t="str">
        <f>+IFERROR(VLOOKUP(D664,Daten_Verknüpfungen!$B$2:$C$2000,2,FALSE),"")</f>
        <v/>
      </c>
    </row>
    <row r="665" spans="5:5" x14ac:dyDescent="0.2">
      <c r="E665" t="str">
        <f>+IFERROR(VLOOKUP(D665,Daten_Verknüpfungen!$B$2:$C$2000,2,FALSE),"")</f>
        <v/>
      </c>
    </row>
    <row r="666" spans="5:5" x14ac:dyDescent="0.2">
      <c r="E666" t="str">
        <f>+IFERROR(VLOOKUP(D666,Daten_Verknüpfungen!$B$2:$C$2000,2,FALSE),"")</f>
        <v/>
      </c>
    </row>
    <row r="667" spans="5:5" x14ac:dyDescent="0.2">
      <c r="E667" t="str">
        <f>+IFERROR(VLOOKUP(D667,Daten_Verknüpfungen!$B$2:$C$2000,2,FALSE),"")</f>
        <v/>
      </c>
    </row>
    <row r="668" spans="5:5" x14ac:dyDescent="0.2">
      <c r="E668" t="str">
        <f>+IFERROR(VLOOKUP(D668,Daten_Verknüpfungen!$B$2:$C$2000,2,FALSE),"")</f>
        <v/>
      </c>
    </row>
    <row r="669" spans="5:5" x14ac:dyDescent="0.2">
      <c r="E669" t="str">
        <f>+IFERROR(VLOOKUP(D669,Daten_Verknüpfungen!$B$2:$C$2000,2,FALSE),"")</f>
        <v/>
      </c>
    </row>
    <row r="670" spans="5:5" x14ac:dyDescent="0.2">
      <c r="E670" t="str">
        <f>+IFERROR(VLOOKUP(D670,Daten_Verknüpfungen!$B$2:$C$2000,2,FALSE),"")</f>
        <v/>
      </c>
    </row>
    <row r="671" spans="5:5" x14ac:dyDescent="0.2">
      <c r="E671" t="str">
        <f>+IFERROR(VLOOKUP(D671,Daten_Verknüpfungen!$B$2:$C$2000,2,FALSE),"")</f>
        <v/>
      </c>
    </row>
    <row r="672" spans="5:5" x14ac:dyDescent="0.2">
      <c r="E672" t="str">
        <f>+IFERROR(VLOOKUP(D672,Daten_Verknüpfungen!$B$2:$C$2000,2,FALSE),"")</f>
        <v/>
      </c>
    </row>
    <row r="673" spans="5:5" x14ac:dyDescent="0.2">
      <c r="E673" t="str">
        <f>+IFERROR(VLOOKUP(D673,Daten_Verknüpfungen!$B$2:$C$2000,2,FALSE),"")</f>
        <v/>
      </c>
    </row>
    <row r="674" spans="5:5" x14ac:dyDescent="0.2">
      <c r="E674" t="str">
        <f>+IFERROR(VLOOKUP(D674,Daten_Verknüpfungen!$B$2:$C$2000,2,FALSE),"")</f>
        <v/>
      </c>
    </row>
    <row r="675" spans="5:5" x14ac:dyDescent="0.2">
      <c r="E675" t="str">
        <f>+IFERROR(VLOOKUP(D675,Daten_Verknüpfungen!$B$2:$C$2000,2,FALSE),"")</f>
        <v/>
      </c>
    </row>
    <row r="676" spans="5:5" x14ac:dyDescent="0.2">
      <c r="E676" t="str">
        <f>+IFERROR(VLOOKUP(D676,Daten_Verknüpfungen!$B$2:$C$2000,2,FALSE),"")</f>
        <v/>
      </c>
    </row>
    <row r="677" spans="5:5" x14ac:dyDescent="0.2">
      <c r="E677" t="str">
        <f>+IFERROR(VLOOKUP(D677,Daten_Verknüpfungen!$B$2:$C$2000,2,FALSE),"")</f>
        <v/>
      </c>
    </row>
    <row r="678" spans="5:5" x14ac:dyDescent="0.2">
      <c r="E678" t="str">
        <f>+IFERROR(VLOOKUP(D678,Daten_Verknüpfungen!$B$2:$C$2000,2,FALSE),"")</f>
        <v/>
      </c>
    </row>
    <row r="679" spans="5:5" x14ac:dyDescent="0.2">
      <c r="E679" t="str">
        <f>+IFERROR(VLOOKUP(D679,Daten_Verknüpfungen!$B$2:$C$2000,2,FALSE),"")</f>
        <v/>
      </c>
    </row>
    <row r="680" spans="5:5" x14ac:dyDescent="0.2">
      <c r="E680" t="str">
        <f>+IFERROR(VLOOKUP(D680,Daten_Verknüpfungen!$B$2:$C$2000,2,FALSE),"")</f>
        <v/>
      </c>
    </row>
    <row r="681" spans="5:5" x14ac:dyDescent="0.2">
      <c r="E681" t="str">
        <f>+IFERROR(VLOOKUP(D681,Daten_Verknüpfungen!$B$2:$C$2000,2,FALSE),"")</f>
        <v/>
      </c>
    </row>
    <row r="682" spans="5:5" x14ac:dyDescent="0.2">
      <c r="E682" t="str">
        <f>+IFERROR(VLOOKUP(D682,Daten_Verknüpfungen!$B$2:$C$2000,2,FALSE),"")</f>
        <v/>
      </c>
    </row>
    <row r="683" spans="5:5" x14ac:dyDescent="0.2">
      <c r="E683" t="str">
        <f>+IFERROR(VLOOKUP(D683,Daten_Verknüpfungen!$B$2:$C$2000,2,FALSE),"")</f>
        <v/>
      </c>
    </row>
    <row r="684" spans="5:5" x14ac:dyDescent="0.2">
      <c r="E684" t="str">
        <f>+IFERROR(VLOOKUP(D684,Daten_Verknüpfungen!$B$2:$C$2000,2,FALSE),"")</f>
        <v/>
      </c>
    </row>
    <row r="685" spans="5:5" x14ac:dyDescent="0.2">
      <c r="E685" t="str">
        <f>+IFERROR(VLOOKUP(D685,Daten_Verknüpfungen!$B$2:$C$2000,2,FALSE),"")</f>
        <v/>
      </c>
    </row>
    <row r="686" spans="5:5" x14ac:dyDescent="0.2">
      <c r="E686" t="str">
        <f>+IFERROR(VLOOKUP(D686,Daten_Verknüpfungen!$B$2:$C$2000,2,FALSE),"")</f>
        <v/>
      </c>
    </row>
    <row r="687" spans="5:5" x14ac:dyDescent="0.2">
      <c r="E687" t="str">
        <f>+IFERROR(VLOOKUP(D687,Daten_Verknüpfungen!$B$2:$C$2000,2,FALSE),"")</f>
        <v/>
      </c>
    </row>
    <row r="688" spans="5:5" x14ac:dyDescent="0.2">
      <c r="E688" t="str">
        <f>+IFERROR(VLOOKUP(D688,Daten_Verknüpfungen!$B$2:$C$2000,2,FALSE),"")</f>
        <v/>
      </c>
    </row>
    <row r="689" spans="5:5" x14ac:dyDescent="0.2">
      <c r="E689" t="str">
        <f>+IFERROR(VLOOKUP(D689,Daten_Verknüpfungen!$B$2:$C$2000,2,FALSE),"")</f>
        <v/>
      </c>
    </row>
    <row r="690" spans="5:5" x14ac:dyDescent="0.2">
      <c r="E690" t="str">
        <f>+IFERROR(VLOOKUP(D690,Daten_Verknüpfungen!$B$2:$C$2000,2,FALSE),"")</f>
        <v/>
      </c>
    </row>
    <row r="691" spans="5:5" x14ac:dyDescent="0.2">
      <c r="E691" t="str">
        <f>+IFERROR(VLOOKUP(D691,Daten_Verknüpfungen!$B$2:$C$2000,2,FALSE),"")</f>
        <v/>
      </c>
    </row>
    <row r="692" spans="5:5" x14ac:dyDescent="0.2">
      <c r="E692" t="str">
        <f>+IFERROR(VLOOKUP(D692,Daten_Verknüpfungen!$B$2:$C$2000,2,FALSE),"")</f>
        <v/>
      </c>
    </row>
    <row r="693" spans="5:5" x14ac:dyDescent="0.2">
      <c r="E693" t="str">
        <f>+IFERROR(VLOOKUP(D693,Daten_Verknüpfungen!$B$2:$C$2000,2,FALSE),"")</f>
        <v/>
      </c>
    </row>
    <row r="694" spans="5:5" x14ac:dyDescent="0.2">
      <c r="E694" t="str">
        <f>+IFERROR(VLOOKUP(D694,Daten_Verknüpfungen!$B$2:$C$2000,2,FALSE),"")</f>
        <v/>
      </c>
    </row>
    <row r="695" spans="5:5" x14ac:dyDescent="0.2">
      <c r="E695" t="str">
        <f>+IFERROR(VLOOKUP(D695,Daten_Verknüpfungen!$B$2:$C$2000,2,FALSE),"")</f>
        <v/>
      </c>
    </row>
    <row r="696" spans="5:5" x14ac:dyDescent="0.2">
      <c r="E696" t="str">
        <f>+IFERROR(VLOOKUP(D696,Daten_Verknüpfungen!$B$2:$C$2000,2,FALSE),"")</f>
        <v/>
      </c>
    </row>
    <row r="697" spans="5:5" x14ac:dyDescent="0.2">
      <c r="E697" t="str">
        <f>+IFERROR(VLOOKUP(D697,Daten_Verknüpfungen!$B$2:$C$2000,2,FALSE),"")</f>
        <v/>
      </c>
    </row>
    <row r="698" spans="5:5" x14ac:dyDescent="0.2">
      <c r="E698" t="str">
        <f>+IFERROR(VLOOKUP(D698,Daten_Verknüpfungen!$B$2:$C$2000,2,FALSE),"")</f>
        <v/>
      </c>
    </row>
    <row r="699" spans="5:5" x14ac:dyDescent="0.2">
      <c r="E699" t="str">
        <f>+IFERROR(VLOOKUP(D699,Daten_Verknüpfungen!$B$2:$C$2000,2,FALSE),"")</f>
        <v/>
      </c>
    </row>
    <row r="700" spans="5:5" x14ac:dyDescent="0.2">
      <c r="E700" t="str">
        <f>+IFERROR(VLOOKUP(D700,Daten_Verknüpfungen!$B$2:$C$2000,2,FALSE),"")</f>
        <v/>
      </c>
    </row>
    <row r="701" spans="5:5" x14ac:dyDescent="0.2">
      <c r="E701" t="str">
        <f>+IFERROR(VLOOKUP(D701,Daten_Verknüpfungen!$B$2:$C$2000,2,FALSE),"")</f>
        <v/>
      </c>
    </row>
    <row r="702" spans="5:5" x14ac:dyDescent="0.2">
      <c r="E702" t="str">
        <f>+IFERROR(VLOOKUP(D702,Daten_Verknüpfungen!$B$2:$C$2000,2,FALSE),"")</f>
        <v/>
      </c>
    </row>
    <row r="703" spans="5:5" x14ac:dyDescent="0.2">
      <c r="E703" t="str">
        <f>+IFERROR(VLOOKUP(D703,Daten_Verknüpfungen!$B$2:$C$2000,2,FALSE),"")</f>
        <v/>
      </c>
    </row>
    <row r="704" spans="5:5" x14ac:dyDescent="0.2">
      <c r="E704" t="str">
        <f>+IFERROR(VLOOKUP(D704,Daten_Verknüpfungen!$B$2:$C$2000,2,FALSE),"")</f>
        <v/>
      </c>
    </row>
    <row r="705" spans="5:5" x14ac:dyDescent="0.2">
      <c r="E705" t="str">
        <f>+IFERROR(VLOOKUP(D705,Daten_Verknüpfungen!$B$2:$C$2000,2,FALSE),"")</f>
        <v/>
      </c>
    </row>
    <row r="706" spans="5:5" x14ac:dyDescent="0.2">
      <c r="E706" t="str">
        <f>+IFERROR(VLOOKUP(D706,Daten_Verknüpfungen!$B$2:$C$2000,2,FALSE),"")</f>
        <v/>
      </c>
    </row>
    <row r="707" spans="5:5" x14ac:dyDescent="0.2">
      <c r="E707" t="str">
        <f>+IFERROR(VLOOKUP(D707,Daten_Verknüpfungen!$B$2:$C$2000,2,FALSE),"")</f>
        <v/>
      </c>
    </row>
    <row r="708" spans="5:5" x14ac:dyDescent="0.2">
      <c r="E708" t="str">
        <f>+IFERROR(VLOOKUP(D708,Daten_Verknüpfungen!$B$2:$C$2000,2,FALSE),"")</f>
        <v/>
      </c>
    </row>
    <row r="709" spans="5:5" x14ac:dyDescent="0.2">
      <c r="E709" t="str">
        <f>+IFERROR(VLOOKUP(D709,Daten_Verknüpfungen!$B$2:$C$2000,2,FALSE),"")</f>
        <v/>
      </c>
    </row>
    <row r="710" spans="5:5" x14ac:dyDescent="0.2">
      <c r="E710" t="str">
        <f>+IFERROR(VLOOKUP(D710,Daten_Verknüpfungen!$B$2:$C$2000,2,FALSE),"")</f>
        <v/>
      </c>
    </row>
    <row r="711" spans="5:5" x14ac:dyDescent="0.2">
      <c r="E711" t="str">
        <f>+IFERROR(VLOOKUP(D711,Daten_Verknüpfungen!$B$2:$C$2000,2,FALSE),"")</f>
        <v/>
      </c>
    </row>
    <row r="712" spans="5:5" x14ac:dyDescent="0.2">
      <c r="E712" t="str">
        <f>+IFERROR(VLOOKUP(D712,Daten_Verknüpfungen!$B$2:$C$2000,2,FALSE),"")</f>
        <v/>
      </c>
    </row>
    <row r="713" spans="5:5" x14ac:dyDescent="0.2">
      <c r="E713" t="str">
        <f>+IFERROR(VLOOKUP(D713,Daten_Verknüpfungen!$B$2:$C$2000,2,FALSE),"")</f>
        <v/>
      </c>
    </row>
    <row r="714" spans="5:5" x14ac:dyDescent="0.2">
      <c r="E714" t="str">
        <f>+IFERROR(VLOOKUP(D714,Daten_Verknüpfungen!$B$2:$C$2000,2,FALSE),"")</f>
        <v/>
      </c>
    </row>
    <row r="715" spans="5:5" x14ac:dyDescent="0.2">
      <c r="E715" t="str">
        <f>+IFERROR(VLOOKUP(D715,Daten_Verknüpfungen!$B$2:$C$2000,2,FALSE),"")</f>
        <v/>
      </c>
    </row>
    <row r="716" spans="5:5" x14ac:dyDescent="0.2">
      <c r="E716" t="str">
        <f>+IFERROR(VLOOKUP(D716,Daten_Verknüpfungen!$B$2:$C$2000,2,FALSE),"")</f>
        <v/>
      </c>
    </row>
    <row r="717" spans="5:5" x14ac:dyDescent="0.2">
      <c r="E717" t="str">
        <f>+IFERROR(VLOOKUP(D717,Daten_Verknüpfungen!$B$2:$C$2000,2,FALSE),"")</f>
        <v/>
      </c>
    </row>
    <row r="718" spans="5:5" x14ac:dyDescent="0.2">
      <c r="E718" t="str">
        <f>+IFERROR(VLOOKUP(D718,Daten_Verknüpfungen!$B$2:$C$2000,2,FALSE),"")</f>
        <v/>
      </c>
    </row>
    <row r="719" spans="5:5" x14ac:dyDescent="0.2">
      <c r="E719" t="str">
        <f>+IFERROR(VLOOKUP(D719,Daten_Verknüpfungen!$B$2:$C$2000,2,FALSE),"")</f>
        <v/>
      </c>
    </row>
    <row r="720" spans="5:5" x14ac:dyDescent="0.2">
      <c r="E720" t="str">
        <f>+IFERROR(VLOOKUP(D720,Daten_Verknüpfungen!$B$2:$C$2000,2,FALSE),"")</f>
        <v/>
      </c>
    </row>
    <row r="721" spans="5:5" x14ac:dyDescent="0.2">
      <c r="E721" t="str">
        <f>+IFERROR(VLOOKUP(D721,Daten_Verknüpfungen!$B$2:$C$2000,2,FALSE),"")</f>
        <v/>
      </c>
    </row>
    <row r="722" spans="5:5" x14ac:dyDescent="0.2">
      <c r="E722" t="str">
        <f>+IFERROR(VLOOKUP(D722,Daten_Verknüpfungen!$B$2:$C$2000,2,FALSE),"")</f>
        <v/>
      </c>
    </row>
    <row r="723" spans="5:5" x14ac:dyDescent="0.2">
      <c r="E723" t="str">
        <f>+IFERROR(VLOOKUP(D723,Daten_Verknüpfungen!$B$2:$C$2000,2,FALSE),"")</f>
        <v/>
      </c>
    </row>
    <row r="724" spans="5:5" x14ac:dyDescent="0.2">
      <c r="E724" t="str">
        <f>+IFERROR(VLOOKUP(D724,Daten_Verknüpfungen!$B$2:$C$2000,2,FALSE),"")</f>
        <v/>
      </c>
    </row>
    <row r="725" spans="5:5" x14ac:dyDescent="0.2">
      <c r="E725" t="str">
        <f>+IFERROR(VLOOKUP(D725,Daten_Verknüpfungen!$B$2:$C$2000,2,FALSE),"")</f>
        <v/>
      </c>
    </row>
    <row r="726" spans="5:5" x14ac:dyDescent="0.2">
      <c r="E726" t="str">
        <f>+IFERROR(VLOOKUP(D726,Daten_Verknüpfungen!$B$2:$C$2000,2,FALSE),"")</f>
        <v/>
      </c>
    </row>
    <row r="727" spans="5:5" x14ac:dyDescent="0.2">
      <c r="E727" t="str">
        <f>+IFERROR(VLOOKUP(D727,Daten_Verknüpfungen!$B$2:$C$2000,2,FALSE),"")</f>
        <v/>
      </c>
    </row>
    <row r="728" spans="5:5" x14ac:dyDescent="0.2">
      <c r="E728" t="str">
        <f>+IFERROR(VLOOKUP(D728,Daten_Verknüpfungen!$B$2:$C$2000,2,FALSE),"")</f>
        <v/>
      </c>
    </row>
    <row r="729" spans="5:5" x14ac:dyDescent="0.2">
      <c r="E729" t="str">
        <f>+IFERROR(VLOOKUP(D729,Daten_Verknüpfungen!$B$2:$C$2000,2,FALSE),"")</f>
        <v/>
      </c>
    </row>
    <row r="730" spans="5:5" x14ac:dyDescent="0.2">
      <c r="E730" t="str">
        <f>+IFERROR(VLOOKUP(D730,Daten_Verknüpfungen!$B$2:$C$2000,2,FALSE),"")</f>
        <v/>
      </c>
    </row>
    <row r="731" spans="5:5" x14ac:dyDescent="0.2">
      <c r="E731" t="str">
        <f>+IFERROR(VLOOKUP(D731,Daten_Verknüpfungen!$B$2:$C$2000,2,FALSE),"")</f>
        <v/>
      </c>
    </row>
    <row r="732" spans="5:5" x14ac:dyDescent="0.2">
      <c r="E732" t="str">
        <f>+IFERROR(VLOOKUP(D732,Daten_Verknüpfungen!$B$2:$C$2000,2,FALSE),"")</f>
        <v/>
      </c>
    </row>
    <row r="733" spans="5:5" x14ac:dyDescent="0.2">
      <c r="E733" t="str">
        <f>+IFERROR(VLOOKUP(D733,Daten_Verknüpfungen!$B$2:$C$2000,2,FALSE),"")</f>
        <v/>
      </c>
    </row>
    <row r="734" spans="5:5" x14ac:dyDescent="0.2">
      <c r="E734" t="str">
        <f>+IFERROR(VLOOKUP(D734,Daten_Verknüpfungen!$B$2:$C$2000,2,FALSE),"")</f>
        <v/>
      </c>
    </row>
    <row r="735" spans="5:5" x14ac:dyDescent="0.2">
      <c r="E735" t="str">
        <f>+IFERROR(VLOOKUP(D735,Daten_Verknüpfungen!$B$2:$C$2000,2,FALSE),"")</f>
        <v/>
      </c>
    </row>
    <row r="736" spans="5:5" x14ac:dyDescent="0.2">
      <c r="E736" t="str">
        <f>+IFERROR(VLOOKUP(D736,Daten_Verknüpfungen!$B$2:$C$2000,2,FALSE),"")</f>
        <v/>
      </c>
    </row>
    <row r="737" spans="5:5" x14ac:dyDescent="0.2">
      <c r="E737" t="str">
        <f>+IFERROR(VLOOKUP(D737,Daten_Verknüpfungen!$B$2:$C$2000,2,FALSE),"")</f>
        <v/>
      </c>
    </row>
    <row r="738" spans="5:5" x14ac:dyDescent="0.2">
      <c r="E738" t="str">
        <f>+IFERROR(VLOOKUP(D738,Daten_Verknüpfungen!$B$2:$C$2000,2,FALSE),"")</f>
        <v/>
      </c>
    </row>
    <row r="739" spans="5:5" x14ac:dyDescent="0.2">
      <c r="E739" t="str">
        <f>+IFERROR(VLOOKUP(D739,Daten_Verknüpfungen!$B$2:$C$2000,2,FALSE),"")</f>
        <v/>
      </c>
    </row>
    <row r="740" spans="5:5" x14ac:dyDescent="0.2">
      <c r="E740" t="str">
        <f>+IFERROR(VLOOKUP(D740,Daten_Verknüpfungen!$B$2:$C$2000,2,FALSE),"")</f>
        <v/>
      </c>
    </row>
    <row r="741" spans="5:5" x14ac:dyDescent="0.2">
      <c r="E741" t="str">
        <f>+IFERROR(VLOOKUP(D741,Daten_Verknüpfungen!$B$2:$C$2000,2,FALSE),"")</f>
        <v/>
      </c>
    </row>
    <row r="742" spans="5:5" x14ac:dyDescent="0.2">
      <c r="E742" t="str">
        <f>+IFERROR(VLOOKUP(D742,Daten_Verknüpfungen!$B$2:$C$2000,2,FALSE),"")</f>
        <v/>
      </c>
    </row>
    <row r="743" spans="5:5" x14ac:dyDescent="0.2">
      <c r="E743" t="str">
        <f>+IFERROR(VLOOKUP(D743,Daten_Verknüpfungen!$B$2:$C$2000,2,FALSE),"")</f>
        <v/>
      </c>
    </row>
    <row r="744" spans="5:5" x14ac:dyDescent="0.2">
      <c r="E744" t="str">
        <f>+IFERROR(VLOOKUP(D744,Daten_Verknüpfungen!$B$2:$C$2000,2,FALSE),"")</f>
        <v/>
      </c>
    </row>
    <row r="745" spans="5:5" x14ac:dyDescent="0.2">
      <c r="E745" t="str">
        <f>+IFERROR(VLOOKUP(D745,Daten_Verknüpfungen!$B$2:$C$2000,2,FALSE),"")</f>
        <v/>
      </c>
    </row>
    <row r="746" spans="5:5" x14ac:dyDescent="0.2">
      <c r="E746" t="str">
        <f>+IFERROR(VLOOKUP(D746,Daten_Verknüpfungen!$B$2:$C$2000,2,FALSE),"")</f>
        <v/>
      </c>
    </row>
    <row r="747" spans="5:5" x14ac:dyDescent="0.2">
      <c r="E747" t="str">
        <f>+IFERROR(VLOOKUP(D747,Daten_Verknüpfungen!$B$2:$C$2000,2,FALSE),"")</f>
        <v/>
      </c>
    </row>
    <row r="748" spans="5:5" x14ac:dyDescent="0.2">
      <c r="E748" t="str">
        <f>+IFERROR(VLOOKUP(D748,Daten_Verknüpfungen!$B$2:$C$2000,2,FALSE),"")</f>
        <v/>
      </c>
    </row>
    <row r="749" spans="5:5" x14ac:dyDescent="0.2">
      <c r="E749" t="str">
        <f>+IFERROR(VLOOKUP(D749,Daten_Verknüpfungen!$B$2:$C$2000,2,FALSE),"")</f>
        <v/>
      </c>
    </row>
    <row r="750" spans="5:5" x14ac:dyDescent="0.2">
      <c r="E750" t="str">
        <f>+IFERROR(VLOOKUP(D750,Daten_Verknüpfungen!$B$2:$C$2000,2,FALSE),"")</f>
        <v/>
      </c>
    </row>
    <row r="751" spans="5:5" x14ac:dyDescent="0.2">
      <c r="E751" t="str">
        <f>+IFERROR(VLOOKUP(D751,Daten_Verknüpfungen!$B$2:$C$2000,2,FALSE),"")</f>
        <v/>
      </c>
    </row>
    <row r="752" spans="5:5" x14ac:dyDescent="0.2">
      <c r="E752" t="str">
        <f>+IFERROR(VLOOKUP(D752,Daten_Verknüpfungen!$B$2:$C$2000,2,FALSE),"")</f>
        <v/>
      </c>
    </row>
    <row r="753" spans="5:5" x14ac:dyDescent="0.2">
      <c r="E753" t="str">
        <f>+IFERROR(VLOOKUP(D753,Daten_Verknüpfungen!$B$2:$C$2000,2,FALSE),"")</f>
        <v/>
      </c>
    </row>
    <row r="754" spans="5:5" x14ac:dyDescent="0.2">
      <c r="E754" t="str">
        <f>+IFERROR(VLOOKUP(D754,Daten_Verknüpfungen!$B$2:$C$2000,2,FALSE),"")</f>
        <v/>
      </c>
    </row>
    <row r="755" spans="5:5" x14ac:dyDescent="0.2">
      <c r="E755" t="str">
        <f>+IFERROR(VLOOKUP(D755,Daten_Verknüpfungen!$B$2:$C$2000,2,FALSE),"")</f>
        <v/>
      </c>
    </row>
    <row r="756" spans="5:5" x14ac:dyDescent="0.2">
      <c r="E756" t="str">
        <f>+IFERROR(VLOOKUP(D756,Daten_Verknüpfungen!$B$2:$C$2000,2,FALSE),"")</f>
        <v/>
      </c>
    </row>
    <row r="757" spans="5:5" x14ac:dyDescent="0.2">
      <c r="E757" t="str">
        <f>+IFERROR(VLOOKUP(D757,Daten_Verknüpfungen!$B$2:$C$2000,2,FALSE),"")</f>
        <v/>
      </c>
    </row>
    <row r="758" spans="5:5" x14ac:dyDescent="0.2">
      <c r="E758" t="str">
        <f>+IFERROR(VLOOKUP(D758,Daten_Verknüpfungen!$B$2:$C$2000,2,FALSE),"")</f>
        <v/>
      </c>
    </row>
    <row r="759" spans="5:5" x14ac:dyDescent="0.2">
      <c r="E759" t="str">
        <f>+IFERROR(VLOOKUP(D759,Daten_Verknüpfungen!$B$2:$C$2000,2,FALSE),"")</f>
        <v/>
      </c>
    </row>
    <row r="760" spans="5:5" x14ac:dyDescent="0.2">
      <c r="E760" t="str">
        <f>+IFERROR(VLOOKUP(D760,Daten_Verknüpfungen!$B$2:$C$2000,2,FALSE),"")</f>
        <v/>
      </c>
    </row>
    <row r="761" spans="5:5" x14ac:dyDescent="0.2">
      <c r="E761" t="str">
        <f>+IFERROR(VLOOKUP(D761,Daten_Verknüpfungen!$B$2:$C$2000,2,FALSE),"")</f>
        <v/>
      </c>
    </row>
    <row r="762" spans="5:5" x14ac:dyDescent="0.2">
      <c r="E762" t="str">
        <f>+IFERROR(VLOOKUP(D762,Daten_Verknüpfungen!$B$2:$C$2000,2,FALSE),"")</f>
        <v/>
      </c>
    </row>
    <row r="763" spans="5:5" x14ac:dyDescent="0.2">
      <c r="E763" t="str">
        <f>+IFERROR(VLOOKUP(D763,Daten_Verknüpfungen!$B$2:$C$2000,2,FALSE),"")</f>
        <v/>
      </c>
    </row>
    <row r="764" spans="5:5" x14ac:dyDescent="0.2">
      <c r="E764" t="str">
        <f>+IFERROR(VLOOKUP(D764,Daten_Verknüpfungen!$B$2:$C$2000,2,FALSE),"")</f>
        <v/>
      </c>
    </row>
    <row r="765" spans="5:5" x14ac:dyDescent="0.2">
      <c r="E765" t="str">
        <f>+IFERROR(VLOOKUP(D765,Daten_Verknüpfungen!$B$2:$C$2000,2,FALSE),"")</f>
        <v/>
      </c>
    </row>
    <row r="766" spans="5:5" x14ac:dyDescent="0.2">
      <c r="E766" t="str">
        <f>+IFERROR(VLOOKUP(D766,Daten_Verknüpfungen!$B$2:$C$2000,2,FALSE),"")</f>
        <v/>
      </c>
    </row>
    <row r="767" spans="5:5" x14ac:dyDescent="0.2">
      <c r="E767" t="str">
        <f>+IFERROR(VLOOKUP(D767,Daten_Verknüpfungen!$B$2:$C$2000,2,FALSE),"")</f>
        <v/>
      </c>
    </row>
    <row r="768" spans="5:5" x14ac:dyDescent="0.2">
      <c r="E768" t="str">
        <f>+IFERROR(VLOOKUP(D768,Daten_Verknüpfungen!$B$2:$C$2000,2,FALSE),"")</f>
        <v/>
      </c>
    </row>
    <row r="769" spans="5:5" x14ac:dyDescent="0.2">
      <c r="E769" t="str">
        <f>+IFERROR(VLOOKUP(D769,Daten_Verknüpfungen!$B$2:$C$2000,2,FALSE),"")</f>
        <v/>
      </c>
    </row>
    <row r="770" spans="5:5" x14ac:dyDescent="0.2">
      <c r="E770" t="str">
        <f>+IFERROR(VLOOKUP(D770,Daten_Verknüpfungen!$B$2:$C$2000,2,FALSE),"")</f>
        <v/>
      </c>
    </row>
    <row r="771" spans="5:5" x14ac:dyDescent="0.2">
      <c r="E771" t="str">
        <f>+IFERROR(VLOOKUP(D771,Daten_Verknüpfungen!$B$2:$C$2000,2,FALSE),"")</f>
        <v/>
      </c>
    </row>
    <row r="772" spans="5:5" x14ac:dyDescent="0.2">
      <c r="E772" t="str">
        <f>+IFERROR(VLOOKUP(D772,Daten_Verknüpfungen!$B$2:$C$2000,2,FALSE),"")</f>
        <v/>
      </c>
    </row>
    <row r="773" spans="5:5" x14ac:dyDescent="0.2">
      <c r="E773" t="str">
        <f>+IFERROR(VLOOKUP(D773,Daten_Verknüpfungen!$B$2:$C$2000,2,FALSE),"")</f>
        <v/>
      </c>
    </row>
    <row r="774" spans="5:5" x14ac:dyDescent="0.2">
      <c r="E774" t="str">
        <f>+IFERROR(VLOOKUP(D774,Daten_Verknüpfungen!$B$2:$C$2000,2,FALSE),"")</f>
        <v/>
      </c>
    </row>
    <row r="775" spans="5:5" x14ac:dyDescent="0.2">
      <c r="E775" t="str">
        <f>+IFERROR(VLOOKUP(D775,Daten_Verknüpfungen!$B$2:$C$2000,2,FALSE),"")</f>
        <v/>
      </c>
    </row>
    <row r="776" spans="5:5" x14ac:dyDescent="0.2">
      <c r="E776" t="str">
        <f>+IFERROR(VLOOKUP(D776,Daten_Verknüpfungen!$B$2:$C$2000,2,FALSE),"")</f>
        <v/>
      </c>
    </row>
    <row r="777" spans="5:5" x14ac:dyDescent="0.2">
      <c r="E777" t="str">
        <f>+IFERROR(VLOOKUP(D777,Daten_Verknüpfungen!$B$2:$C$2000,2,FALSE),"")</f>
        <v/>
      </c>
    </row>
    <row r="778" spans="5:5" x14ac:dyDescent="0.2">
      <c r="E778" t="str">
        <f>+IFERROR(VLOOKUP(D778,Daten_Verknüpfungen!$B$2:$C$2000,2,FALSE),"")</f>
        <v/>
      </c>
    </row>
    <row r="779" spans="5:5" x14ac:dyDescent="0.2">
      <c r="E779" t="str">
        <f>+IFERROR(VLOOKUP(D779,Daten_Verknüpfungen!$B$2:$C$2000,2,FALSE),"")</f>
        <v/>
      </c>
    </row>
    <row r="780" spans="5:5" x14ac:dyDescent="0.2">
      <c r="E780" t="str">
        <f>+IFERROR(VLOOKUP(D780,Daten_Verknüpfungen!$B$2:$C$2000,2,FALSE),"")</f>
        <v/>
      </c>
    </row>
    <row r="781" spans="5:5" x14ac:dyDescent="0.2">
      <c r="E781" t="str">
        <f>+IFERROR(VLOOKUP(D781,Daten_Verknüpfungen!$B$2:$C$2000,2,FALSE),"")</f>
        <v/>
      </c>
    </row>
    <row r="782" spans="5:5" x14ac:dyDescent="0.2">
      <c r="E782" t="str">
        <f>+IFERROR(VLOOKUP(D782,Daten_Verknüpfungen!$B$2:$C$2000,2,FALSE),"")</f>
        <v/>
      </c>
    </row>
    <row r="783" spans="5:5" x14ac:dyDescent="0.2">
      <c r="E783" t="str">
        <f>+IFERROR(VLOOKUP(D783,Daten_Verknüpfungen!$B$2:$C$2000,2,FALSE),"")</f>
        <v/>
      </c>
    </row>
    <row r="784" spans="5:5" x14ac:dyDescent="0.2">
      <c r="E784" t="str">
        <f>+IFERROR(VLOOKUP(D784,Daten_Verknüpfungen!$B$2:$C$2000,2,FALSE),"")</f>
        <v/>
      </c>
    </row>
    <row r="785" spans="5:5" x14ac:dyDescent="0.2">
      <c r="E785" t="str">
        <f>+IFERROR(VLOOKUP(D785,Daten_Verknüpfungen!$B$2:$C$2000,2,FALSE),"")</f>
        <v/>
      </c>
    </row>
    <row r="786" spans="5:5" x14ac:dyDescent="0.2">
      <c r="E786" t="str">
        <f>+IFERROR(VLOOKUP(D786,Daten_Verknüpfungen!$B$2:$C$2000,2,FALSE),"")</f>
        <v/>
      </c>
    </row>
    <row r="787" spans="5:5" x14ac:dyDescent="0.2">
      <c r="E787" t="str">
        <f>+IFERROR(VLOOKUP(D787,Daten_Verknüpfungen!$B$2:$C$2000,2,FALSE),"")</f>
        <v/>
      </c>
    </row>
    <row r="788" spans="5:5" x14ac:dyDescent="0.2">
      <c r="E788" t="str">
        <f>+IFERROR(VLOOKUP(D788,Daten_Verknüpfungen!$B$2:$C$2000,2,FALSE),"")</f>
        <v/>
      </c>
    </row>
    <row r="789" spans="5:5" x14ac:dyDescent="0.2">
      <c r="E789" t="str">
        <f>+IFERROR(VLOOKUP(D789,Daten_Verknüpfungen!$B$2:$C$2000,2,FALSE),"")</f>
        <v/>
      </c>
    </row>
    <row r="790" spans="5:5" x14ac:dyDescent="0.2">
      <c r="E790" t="str">
        <f>+IFERROR(VLOOKUP(D790,Daten_Verknüpfungen!$B$2:$C$2000,2,FALSE),"")</f>
        <v/>
      </c>
    </row>
    <row r="791" spans="5:5" x14ac:dyDescent="0.2">
      <c r="E791" t="str">
        <f>+IFERROR(VLOOKUP(D791,Daten_Verknüpfungen!$B$2:$C$2000,2,FALSE),"")</f>
        <v/>
      </c>
    </row>
    <row r="792" spans="5:5" x14ac:dyDescent="0.2">
      <c r="E792" t="str">
        <f>+IFERROR(VLOOKUP(D792,Daten_Verknüpfungen!$B$2:$C$2000,2,FALSE),"")</f>
        <v/>
      </c>
    </row>
    <row r="793" spans="5:5" x14ac:dyDescent="0.2">
      <c r="E793" t="str">
        <f>+IFERROR(VLOOKUP(D793,Daten_Verknüpfungen!$B$2:$C$2000,2,FALSE),"")</f>
        <v/>
      </c>
    </row>
    <row r="794" spans="5:5" x14ac:dyDescent="0.2">
      <c r="E794" t="str">
        <f>+IFERROR(VLOOKUP(D794,Daten_Verknüpfungen!$B$2:$C$2000,2,FALSE),"")</f>
        <v/>
      </c>
    </row>
    <row r="795" spans="5:5" x14ac:dyDescent="0.2">
      <c r="E795" t="str">
        <f>+IFERROR(VLOOKUP(D795,Daten_Verknüpfungen!$B$2:$C$2000,2,FALSE),"")</f>
        <v/>
      </c>
    </row>
    <row r="796" spans="5:5" x14ac:dyDescent="0.2">
      <c r="E796" t="str">
        <f>+IFERROR(VLOOKUP(D796,Daten_Verknüpfungen!$B$2:$C$2000,2,FALSE),"")</f>
        <v/>
      </c>
    </row>
    <row r="797" spans="5:5" x14ac:dyDescent="0.2">
      <c r="E797" t="str">
        <f>+IFERROR(VLOOKUP(D797,Daten_Verknüpfungen!$B$2:$C$2000,2,FALSE),"")</f>
        <v/>
      </c>
    </row>
    <row r="798" spans="5:5" x14ac:dyDescent="0.2">
      <c r="E798" t="str">
        <f>+IFERROR(VLOOKUP(D798,Daten_Verknüpfungen!$B$2:$C$2000,2,FALSE),"")</f>
        <v/>
      </c>
    </row>
    <row r="799" spans="5:5" x14ac:dyDescent="0.2">
      <c r="E799" t="str">
        <f>+IFERROR(VLOOKUP(D799,Daten_Verknüpfungen!$B$2:$C$2000,2,FALSE),"")</f>
        <v/>
      </c>
    </row>
    <row r="800" spans="5:5" x14ac:dyDescent="0.2">
      <c r="E800" t="str">
        <f>+IFERROR(VLOOKUP(D800,Daten_Verknüpfungen!$B$2:$C$2000,2,FALSE),"")</f>
        <v/>
      </c>
    </row>
    <row r="801" spans="5:5" x14ac:dyDescent="0.2">
      <c r="E801" t="str">
        <f>+IFERROR(VLOOKUP(D801,Daten_Verknüpfungen!$B$2:$C$2000,2,FALSE),"")</f>
        <v/>
      </c>
    </row>
    <row r="802" spans="5:5" x14ac:dyDescent="0.2">
      <c r="E802" t="str">
        <f>+IFERROR(VLOOKUP(D802,Daten_Verknüpfungen!$B$2:$C$2000,2,FALSE),"")</f>
        <v/>
      </c>
    </row>
    <row r="803" spans="5:5" x14ac:dyDescent="0.2">
      <c r="E803" t="str">
        <f>+IFERROR(VLOOKUP(D803,Daten_Verknüpfungen!$B$2:$C$2000,2,FALSE),"")</f>
        <v/>
      </c>
    </row>
    <row r="804" spans="5:5" x14ac:dyDescent="0.2">
      <c r="E804" t="str">
        <f>+IFERROR(VLOOKUP(D804,Daten_Verknüpfungen!$B$2:$C$2000,2,FALSE),"")</f>
        <v/>
      </c>
    </row>
    <row r="805" spans="5:5" x14ac:dyDescent="0.2">
      <c r="E805" t="str">
        <f>+IFERROR(VLOOKUP(D805,Daten_Verknüpfungen!$B$2:$C$2000,2,FALSE),"")</f>
        <v/>
      </c>
    </row>
    <row r="806" spans="5:5" x14ac:dyDescent="0.2">
      <c r="E806" t="str">
        <f>+IFERROR(VLOOKUP(D806,Daten_Verknüpfungen!$B$2:$C$2000,2,FALSE),"")</f>
        <v/>
      </c>
    </row>
    <row r="807" spans="5:5" x14ac:dyDescent="0.2">
      <c r="E807" t="str">
        <f>+IFERROR(VLOOKUP(D807,Daten_Verknüpfungen!$B$2:$C$2000,2,FALSE),"")</f>
        <v/>
      </c>
    </row>
    <row r="808" spans="5:5" x14ac:dyDescent="0.2">
      <c r="E808" t="str">
        <f>+IFERROR(VLOOKUP(D808,Daten_Verknüpfungen!$B$2:$C$2000,2,FALSE),"")</f>
        <v/>
      </c>
    </row>
    <row r="809" spans="5:5" x14ac:dyDescent="0.2">
      <c r="E809" t="str">
        <f>+IFERROR(VLOOKUP(D809,Daten_Verknüpfungen!$B$2:$C$2000,2,FALSE),"")</f>
        <v/>
      </c>
    </row>
    <row r="810" spans="5:5" x14ac:dyDescent="0.2">
      <c r="E810" t="str">
        <f>+IFERROR(VLOOKUP(D810,Daten_Verknüpfungen!$B$2:$C$2000,2,FALSE),"")</f>
        <v/>
      </c>
    </row>
    <row r="811" spans="5:5" x14ac:dyDescent="0.2">
      <c r="E811" t="str">
        <f>+IFERROR(VLOOKUP(D811,Daten_Verknüpfungen!$B$2:$C$2000,2,FALSE),"")</f>
        <v/>
      </c>
    </row>
    <row r="812" spans="5:5" x14ac:dyDescent="0.2">
      <c r="E812" t="str">
        <f>+IFERROR(VLOOKUP(D812,Daten_Verknüpfungen!$B$2:$C$2000,2,FALSE),"")</f>
        <v/>
      </c>
    </row>
    <row r="813" spans="5:5" x14ac:dyDescent="0.2">
      <c r="E813" t="str">
        <f>+IFERROR(VLOOKUP(D813,Daten_Verknüpfungen!$B$2:$C$2000,2,FALSE),"")</f>
        <v/>
      </c>
    </row>
    <row r="814" spans="5:5" x14ac:dyDescent="0.2">
      <c r="E814" t="str">
        <f>+IFERROR(VLOOKUP(D814,Daten_Verknüpfungen!$B$2:$C$2000,2,FALSE),"")</f>
        <v/>
      </c>
    </row>
    <row r="815" spans="5:5" x14ac:dyDescent="0.2">
      <c r="E815" t="str">
        <f>+IFERROR(VLOOKUP(D815,Daten_Verknüpfungen!$B$2:$C$2000,2,FALSE),"")</f>
        <v/>
      </c>
    </row>
    <row r="816" spans="5:5" x14ac:dyDescent="0.2">
      <c r="E816" t="str">
        <f>+IFERROR(VLOOKUP(D816,Daten_Verknüpfungen!$B$2:$C$2000,2,FALSE),"")</f>
        <v/>
      </c>
    </row>
    <row r="817" spans="5:5" x14ac:dyDescent="0.2">
      <c r="E817" t="str">
        <f>+IFERROR(VLOOKUP(D817,Daten_Verknüpfungen!$B$2:$C$2000,2,FALSE),"")</f>
        <v/>
      </c>
    </row>
    <row r="818" spans="5:5" x14ac:dyDescent="0.2">
      <c r="E818" t="str">
        <f>+IFERROR(VLOOKUP(D818,Daten_Verknüpfungen!$B$2:$C$2000,2,FALSE),"")</f>
        <v/>
      </c>
    </row>
    <row r="819" spans="5:5" x14ac:dyDescent="0.2">
      <c r="E819" t="str">
        <f>+IFERROR(VLOOKUP(D819,Daten_Verknüpfungen!$B$2:$C$2000,2,FALSE),"")</f>
        <v/>
      </c>
    </row>
    <row r="820" spans="5:5" x14ac:dyDescent="0.2">
      <c r="E820" t="str">
        <f>+IFERROR(VLOOKUP(D820,Daten_Verknüpfungen!$B$2:$C$2000,2,FALSE),"")</f>
        <v/>
      </c>
    </row>
    <row r="821" spans="5:5" x14ac:dyDescent="0.2">
      <c r="E821" t="str">
        <f>+IFERROR(VLOOKUP(D821,Daten_Verknüpfungen!$B$2:$C$2000,2,FALSE),"")</f>
        <v/>
      </c>
    </row>
    <row r="822" spans="5:5" x14ac:dyDescent="0.2">
      <c r="E822" t="str">
        <f>+IFERROR(VLOOKUP(D822,Daten_Verknüpfungen!$B$2:$C$2000,2,FALSE),"")</f>
        <v/>
      </c>
    </row>
    <row r="823" spans="5:5" x14ac:dyDescent="0.2">
      <c r="E823" t="str">
        <f>+IFERROR(VLOOKUP(D823,Daten_Verknüpfungen!$B$2:$C$2000,2,FALSE),"")</f>
        <v/>
      </c>
    </row>
    <row r="824" spans="5:5" x14ac:dyDescent="0.2">
      <c r="E824" t="str">
        <f>+IFERROR(VLOOKUP(D824,Daten_Verknüpfungen!$B$2:$C$2000,2,FALSE),"")</f>
        <v/>
      </c>
    </row>
    <row r="825" spans="5:5" x14ac:dyDescent="0.2">
      <c r="E825" t="str">
        <f>+IFERROR(VLOOKUP(D825,Daten_Verknüpfungen!$B$2:$C$2000,2,FALSE),"")</f>
        <v/>
      </c>
    </row>
    <row r="826" spans="5:5" x14ac:dyDescent="0.2">
      <c r="E826" t="str">
        <f>+IFERROR(VLOOKUP(D826,Daten_Verknüpfungen!$B$2:$C$2000,2,FALSE),"")</f>
        <v/>
      </c>
    </row>
    <row r="827" spans="5:5" x14ac:dyDescent="0.2">
      <c r="E827" t="str">
        <f>+IFERROR(VLOOKUP(D827,Daten_Verknüpfungen!$B$2:$C$2000,2,FALSE),"")</f>
        <v/>
      </c>
    </row>
    <row r="828" spans="5:5" x14ac:dyDescent="0.2">
      <c r="E828" t="str">
        <f>+IFERROR(VLOOKUP(D828,Daten_Verknüpfungen!$B$2:$C$2000,2,FALSE),"")</f>
        <v/>
      </c>
    </row>
    <row r="829" spans="5:5" x14ac:dyDescent="0.2">
      <c r="E829" t="str">
        <f>+IFERROR(VLOOKUP(D829,Daten_Verknüpfungen!$B$2:$C$2000,2,FALSE),"")</f>
        <v/>
      </c>
    </row>
    <row r="830" spans="5:5" x14ac:dyDescent="0.2">
      <c r="E830" t="str">
        <f>+IFERROR(VLOOKUP(D830,Daten_Verknüpfungen!$B$2:$C$2000,2,FALSE),"")</f>
        <v/>
      </c>
    </row>
    <row r="831" spans="5:5" x14ac:dyDescent="0.2">
      <c r="E831" t="str">
        <f>+IFERROR(VLOOKUP(D831,Daten_Verknüpfungen!$B$2:$C$2000,2,FALSE),"")</f>
        <v/>
      </c>
    </row>
    <row r="832" spans="5:5" x14ac:dyDescent="0.2">
      <c r="E832" t="str">
        <f>+IFERROR(VLOOKUP(D832,Daten_Verknüpfungen!$B$2:$C$2000,2,FALSE),"")</f>
        <v/>
      </c>
    </row>
    <row r="833" spans="5:5" x14ac:dyDescent="0.2">
      <c r="E833" t="str">
        <f>+IFERROR(VLOOKUP(D833,Daten_Verknüpfungen!$B$2:$C$2000,2,FALSE),"")</f>
        <v/>
      </c>
    </row>
    <row r="834" spans="5:5" x14ac:dyDescent="0.2">
      <c r="E834" t="str">
        <f>+IFERROR(VLOOKUP(D834,Daten_Verknüpfungen!$B$2:$C$2000,2,FALSE),"")</f>
        <v/>
      </c>
    </row>
    <row r="835" spans="5:5" x14ac:dyDescent="0.2">
      <c r="E835" t="str">
        <f>+IFERROR(VLOOKUP(D835,Daten_Verknüpfungen!$B$2:$C$2000,2,FALSE),"")</f>
        <v/>
      </c>
    </row>
    <row r="836" spans="5:5" x14ac:dyDescent="0.2">
      <c r="E836" t="str">
        <f>+IFERROR(VLOOKUP(D836,Daten_Verknüpfungen!$B$2:$C$2000,2,FALSE),"")</f>
        <v/>
      </c>
    </row>
    <row r="837" spans="5:5" x14ac:dyDescent="0.2">
      <c r="E837" t="str">
        <f>+IFERROR(VLOOKUP(D837,Daten_Verknüpfungen!$B$2:$C$2000,2,FALSE),"")</f>
        <v/>
      </c>
    </row>
    <row r="838" spans="5:5" x14ac:dyDescent="0.2">
      <c r="E838" t="str">
        <f>+IFERROR(VLOOKUP(D838,Daten_Verknüpfungen!$B$2:$C$2000,2,FALSE),"")</f>
        <v/>
      </c>
    </row>
    <row r="839" spans="5:5" x14ac:dyDescent="0.2">
      <c r="E839" t="str">
        <f>+IFERROR(VLOOKUP(D839,Daten_Verknüpfungen!$B$2:$C$2000,2,FALSE),"")</f>
        <v/>
      </c>
    </row>
    <row r="840" spans="5:5" x14ac:dyDescent="0.2">
      <c r="E840" t="str">
        <f>+IFERROR(VLOOKUP(D840,Daten_Verknüpfungen!$B$2:$C$2000,2,FALSE),"")</f>
        <v/>
      </c>
    </row>
    <row r="841" spans="5:5" x14ac:dyDescent="0.2">
      <c r="E841" t="str">
        <f>+IFERROR(VLOOKUP(D841,Daten_Verknüpfungen!$B$2:$C$2000,2,FALSE),"")</f>
        <v/>
      </c>
    </row>
    <row r="842" spans="5:5" x14ac:dyDescent="0.2">
      <c r="E842" t="str">
        <f>+IFERROR(VLOOKUP(D842,Daten_Verknüpfungen!$B$2:$C$2000,2,FALSE),"")</f>
        <v/>
      </c>
    </row>
    <row r="843" spans="5:5" x14ac:dyDescent="0.2">
      <c r="E843" t="str">
        <f>+IFERROR(VLOOKUP(D843,Daten_Verknüpfungen!$B$2:$C$2000,2,FALSE),"")</f>
        <v/>
      </c>
    </row>
    <row r="844" spans="5:5" x14ac:dyDescent="0.2">
      <c r="E844" t="str">
        <f>+IFERROR(VLOOKUP(D844,Daten_Verknüpfungen!$B$2:$C$2000,2,FALSE),"")</f>
        <v/>
      </c>
    </row>
    <row r="845" spans="5:5" x14ac:dyDescent="0.2">
      <c r="E845" t="str">
        <f>+IFERROR(VLOOKUP(D845,Daten_Verknüpfungen!$B$2:$C$2000,2,FALSE),"")</f>
        <v/>
      </c>
    </row>
    <row r="846" spans="5:5" x14ac:dyDescent="0.2">
      <c r="E846" t="str">
        <f>+IFERROR(VLOOKUP(D846,Daten_Verknüpfungen!$B$2:$C$2000,2,FALSE),"")</f>
        <v/>
      </c>
    </row>
    <row r="847" spans="5:5" x14ac:dyDescent="0.2">
      <c r="E847" t="str">
        <f>+IFERROR(VLOOKUP(D847,Daten_Verknüpfungen!$B$2:$C$2000,2,FALSE),"")</f>
        <v/>
      </c>
    </row>
    <row r="848" spans="5:5" x14ac:dyDescent="0.2">
      <c r="E848" t="str">
        <f>+IFERROR(VLOOKUP(D848,Daten_Verknüpfungen!$B$2:$C$2000,2,FALSE),"")</f>
        <v/>
      </c>
    </row>
    <row r="849" spans="5:5" x14ac:dyDescent="0.2">
      <c r="E849" t="str">
        <f>+IFERROR(VLOOKUP(D849,Daten_Verknüpfungen!$B$2:$C$2000,2,FALSE),"")</f>
        <v/>
      </c>
    </row>
    <row r="850" spans="5:5" x14ac:dyDescent="0.2">
      <c r="E850" t="str">
        <f>+IFERROR(VLOOKUP(D850,Daten_Verknüpfungen!$B$2:$C$2000,2,FALSE),"")</f>
        <v/>
      </c>
    </row>
    <row r="851" spans="5:5" x14ac:dyDescent="0.2">
      <c r="E851" t="str">
        <f>+IFERROR(VLOOKUP(D851,Daten_Verknüpfungen!$B$2:$C$2000,2,FALSE),"")</f>
        <v/>
      </c>
    </row>
    <row r="852" spans="5:5" x14ac:dyDescent="0.2">
      <c r="E852" t="str">
        <f>+IFERROR(VLOOKUP(D852,Daten_Verknüpfungen!$B$2:$C$2000,2,FALSE),"")</f>
        <v/>
      </c>
    </row>
    <row r="853" spans="5:5" x14ac:dyDescent="0.2">
      <c r="E853" t="str">
        <f>+IFERROR(VLOOKUP(D853,Daten_Verknüpfungen!$B$2:$C$2000,2,FALSE),"")</f>
        <v/>
      </c>
    </row>
    <row r="854" spans="5:5" x14ac:dyDescent="0.2">
      <c r="E854" t="str">
        <f>+IFERROR(VLOOKUP(D854,Daten_Verknüpfungen!$B$2:$C$2000,2,FALSE),"")</f>
        <v/>
      </c>
    </row>
    <row r="855" spans="5:5" x14ac:dyDescent="0.2">
      <c r="E855" t="str">
        <f>+IFERROR(VLOOKUP(D855,Daten_Verknüpfungen!$B$2:$C$2000,2,FALSE),"")</f>
        <v/>
      </c>
    </row>
    <row r="856" spans="5:5" x14ac:dyDescent="0.2">
      <c r="E856" t="str">
        <f>+IFERROR(VLOOKUP(D856,Daten_Verknüpfungen!$B$2:$C$2000,2,FALSE),"")</f>
        <v/>
      </c>
    </row>
    <row r="857" spans="5:5" x14ac:dyDescent="0.2">
      <c r="E857" t="str">
        <f>+IFERROR(VLOOKUP(D857,Daten_Verknüpfungen!$B$2:$C$2000,2,FALSE),"")</f>
        <v/>
      </c>
    </row>
    <row r="858" spans="5:5" x14ac:dyDescent="0.2">
      <c r="E858" t="str">
        <f>+IFERROR(VLOOKUP(D858,Daten_Verknüpfungen!$B$2:$C$2000,2,FALSE),"")</f>
        <v/>
      </c>
    </row>
    <row r="859" spans="5:5" x14ac:dyDescent="0.2">
      <c r="E859" t="str">
        <f>+IFERROR(VLOOKUP(D859,Daten_Verknüpfungen!$B$2:$C$2000,2,FALSE),"")</f>
        <v/>
      </c>
    </row>
    <row r="860" spans="5:5" x14ac:dyDescent="0.2">
      <c r="E860" t="str">
        <f>+IFERROR(VLOOKUP(D860,Daten_Verknüpfungen!$B$2:$C$2000,2,FALSE),"")</f>
        <v/>
      </c>
    </row>
    <row r="861" spans="5:5" x14ac:dyDescent="0.2">
      <c r="E861" t="str">
        <f>+IFERROR(VLOOKUP(D861,Daten_Verknüpfungen!$B$2:$C$2000,2,FALSE),"")</f>
        <v/>
      </c>
    </row>
    <row r="862" spans="5:5" x14ac:dyDescent="0.2">
      <c r="E862" t="str">
        <f>+IFERROR(VLOOKUP(D862,Daten_Verknüpfungen!$B$2:$C$2000,2,FALSE),"")</f>
        <v/>
      </c>
    </row>
    <row r="863" spans="5:5" x14ac:dyDescent="0.2">
      <c r="E863" t="str">
        <f>+IFERROR(VLOOKUP(D863,Daten_Verknüpfungen!$B$2:$C$2000,2,FALSE),"")</f>
        <v/>
      </c>
    </row>
    <row r="864" spans="5:5" x14ac:dyDescent="0.2">
      <c r="E864" t="str">
        <f>+IFERROR(VLOOKUP(D864,Daten_Verknüpfungen!$B$2:$C$2000,2,FALSE),"")</f>
        <v/>
      </c>
    </row>
    <row r="865" spans="5:5" x14ac:dyDescent="0.2">
      <c r="E865" t="str">
        <f>+IFERROR(VLOOKUP(D865,Daten_Verknüpfungen!$B$2:$C$2000,2,FALSE),"")</f>
        <v/>
      </c>
    </row>
    <row r="866" spans="5:5" x14ac:dyDescent="0.2">
      <c r="E866" t="str">
        <f>+IFERROR(VLOOKUP(D866,Daten_Verknüpfungen!$B$2:$C$2000,2,FALSE),"")</f>
        <v/>
      </c>
    </row>
    <row r="867" spans="5:5" x14ac:dyDescent="0.2">
      <c r="E867" t="str">
        <f>+IFERROR(VLOOKUP(D867,Daten_Verknüpfungen!$B$2:$C$2000,2,FALSE),"")</f>
        <v/>
      </c>
    </row>
    <row r="868" spans="5:5" x14ac:dyDescent="0.2">
      <c r="E868" t="str">
        <f>+IFERROR(VLOOKUP(D868,Daten_Verknüpfungen!$B$2:$C$2000,2,FALSE),"")</f>
        <v/>
      </c>
    </row>
    <row r="869" spans="5:5" x14ac:dyDescent="0.2">
      <c r="E869" t="str">
        <f>+IFERROR(VLOOKUP(D869,Daten_Verknüpfungen!$B$2:$C$2000,2,FALSE),"")</f>
        <v/>
      </c>
    </row>
    <row r="870" spans="5:5" x14ac:dyDescent="0.2">
      <c r="E870" t="str">
        <f>+IFERROR(VLOOKUP(D870,Daten_Verknüpfungen!$B$2:$C$2000,2,FALSE),"")</f>
        <v/>
      </c>
    </row>
    <row r="871" spans="5:5" x14ac:dyDescent="0.2">
      <c r="E871" t="str">
        <f>+IFERROR(VLOOKUP(D871,Daten_Verknüpfungen!$B$2:$C$2000,2,FALSE),"")</f>
        <v/>
      </c>
    </row>
    <row r="872" spans="5:5" x14ac:dyDescent="0.2">
      <c r="E872" t="str">
        <f>+IFERROR(VLOOKUP(D872,Daten_Verknüpfungen!$B$2:$C$2000,2,FALSE),"")</f>
        <v/>
      </c>
    </row>
    <row r="873" spans="5:5" x14ac:dyDescent="0.2">
      <c r="E873" t="str">
        <f>+IFERROR(VLOOKUP(D873,Daten_Verknüpfungen!$B$2:$C$2000,2,FALSE),"")</f>
        <v/>
      </c>
    </row>
    <row r="874" spans="5:5" x14ac:dyDescent="0.2">
      <c r="E874" t="str">
        <f>+IFERROR(VLOOKUP(D874,Daten_Verknüpfungen!$B$2:$C$2000,2,FALSE),"")</f>
        <v/>
      </c>
    </row>
    <row r="875" spans="5:5" x14ac:dyDescent="0.2">
      <c r="E875" t="str">
        <f>+IFERROR(VLOOKUP(D875,Daten_Verknüpfungen!$B$2:$C$2000,2,FALSE),"")</f>
        <v/>
      </c>
    </row>
    <row r="876" spans="5:5" x14ac:dyDescent="0.2">
      <c r="E876" t="str">
        <f>+IFERROR(VLOOKUP(D876,Daten_Verknüpfungen!$B$2:$C$2000,2,FALSE),"")</f>
        <v/>
      </c>
    </row>
    <row r="877" spans="5:5" x14ac:dyDescent="0.2">
      <c r="E877" t="str">
        <f>+IFERROR(VLOOKUP(D877,Daten_Verknüpfungen!$B$2:$C$2000,2,FALSE),"")</f>
        <v/>
      </c>
    </row>
    <row r="878" spans="5:5" x14ac:dyDescent="0.2">
      <c r="E878" t="str">
        <f>+IFERROR(VLOOKUP(D878,Daten_Verknüpfungen!$B$2:$C$2000,2,FALSE),"")</f>
        <v/>
      </c>
    </row>
    <row r="879" spans="5:5" x14ac:dyDescent="0.2">
      <c r="E879" t="str">
        <f>+IFERROR(VLOOKUP(D879,Daten_Verknüpfungen!$B$2:$C$2000,2,FALSE),"")</f>
        <v/>
      </c>
    </row>
    <row r="880" spans="5:5" x14ac:dyDescent="0.2">
      <c r="E880" t="str">
        <f>+IFERROR(VLOOKUP(D880,Daten_Verknüpfungen!$B$2:$C$2000,2,FALSE),"")</f>
        <v/>
      </c>
    </row>
    <row r="881" spans="5:5" x14ac:dyDescent="0.2">
      <c r="E881" t="str">
        <f>+IFERROR(VLOOKUP(D881,Daten_Verknüpfungen!$B$2:$C$2000,2,FALSE),"")</f>
        <v/>
      </c>
    </row>
    <row r="882" spans="5:5" x14ac:dyDescent="0.2">
      <c r="E882" t="str">
        <f>+IFERROR(VLOOKUP(D882,Daten_Verknüpfungen!$B$2:$C$2000,2,FALSE),"")</f>
        <v/>
      </c>
    </row>
    <row r="883" spans="5:5" x14ac:dyDescent="0.2">
      <c r="E883" t="str">
        <f>+IFERROR(VLOOKUP(D883,Daten_Verknüpfungen!$B$2:$C$2000,2,FALSE),"")</f>
        <v/>
      </c>
    </row>
    <row r="884" spans="5:5" x14ac:dyDescent="0.2">
      <c r="E884" t="str">
        <f>+IFERROR(VLOOKUP(D884,Daten_Verknüpfungen!$B$2:$C$2000,2,FALSE),"")</f>
        <v/>
      </c>
    </row>
    <row r="885" spans="5:5" x14ac:dyDescent="0.2">
      <c r="E885" t="str">
        <f>+IFERROR(VLOOKUP(D885,Daten_Verknüpfungen!$B$2:$C$2000,2,FALSE),"")</f>
        <v/>
      </c>
    </row>
    <row r="886" spans="5:5" x14ac:dyDescent="0.2">
      <c r="E886" t="str">
        <f>+IFERROR(VLOOKUP(D886,Daten_Verknüpfungen!$B$2:$C$2000,2,FALSE),"")</f>
        <v/>
      </c>
    </row>
    <row r="887" spans="5:5" x14ac:dyDescent="0.2">
      <c r="E887" t="str">
        <f>+IFERROR(VLOOKUP(D887,Daten_Verknüpfungen!$B$2:$C$2000,2,FALSE),"")</f>
        <v/>
      </c>
    </row>
    <row r="888" spans="5:5" x14ac:dyDescent="0.2">
      <c r="E888" t="str">
        <f>+IFERROR(VLOOKUP(D888,Daten_Verknüpfungen!$B$2:$C$2000,2,FALSE),"")</f>
        <v/>
      </c>
    </row>
    <row r="889" spans="5:5" x14ac:dyDescent="0.2">
      <c r="E889" t="str">
        <f>+IFERROR(VLOOKUP(D889,Daten_Verknüpfungen!$B$2:$C$2000,2,FALSE),"")</f>
        <v/>
      </c>
    </row>
    <row r="890" spans="5:5" x14ac:dyDescent="0.2">
      <c r="E890" t="str">
        <f>+IFERROR(VLOOKUP(D890,Daten_Verknüpfungen!$B$2:$C$2000,2,FALSE),"")</f>
        <v/>
      </c>
    </row>
    <row r="891" spans="5:5" x14ac:dyDescent="0.2">
      <c r="E891" t="str">
        <f>+IFERROR(VLOOKUP(D891,Daten_Verknüpfungen!$B$2:$C$2000,2,FALSE),"")</f>
        <v/>
      </c>
    </row>
    <row r="892" spans="5:5" x14ac:dyDescent="0.2">
      <c r="E892" t="str">
        <f>+IFERROR(VLOOKUP(D892,Daten_Verknüpfungen!$B$2:$C$2000,2,FALSE),"")</f>
        <v/>
      </c>
    </row>
    <row r="893" spans="5:5" x14ac:dyDescent="0.2">
      <c r="E893" t="str">
        <f>+IFERROR(VLOOKUP(D893,Daten_Verknüpfungen!$B$2:$C$2000,2,FALSE),"")</f>
        <v/>
      </c>
    </row>
    <row r="894" spans="5:5" x14ac:dyDescent="0.2">
      <c r="E894" t="str">
        <f>+IFERROR(VLOOKUP(D894,Daten_Verknüpfungen!$B$2:$C$2000,2,FALSE),"")</f>
        <v/>
      </c>
    </row>
    <row r="895" spans="5:5" x14ac:dyDescent="0.2">
      <c r="E895" t="str">
        <f>+IFERROR(VLOOKUP(D895,Daten_Verknüpfungen!$B$2:$C$2000,2,FALSE),"")</f>
        <v/>
      </c>
    </row>
    <row r="896" spans="5:5" x14ac:dyDescent="0.2">
      <c r="E896" t="str">
        <f>+IFERROR(VLOOKUP(D896,Daten_Verknüpfungen!$B$2:$C$2000,2,FALSE),"")</f>
        <v/>
      </c>
    </row>
    <row r="897" spans="5:5" x14ac:dyDescent="0.2">
      <c r="E897" t="str">
        <f>+IFERROR(VLOOKUP(D897,Daten_Verknüpfungen!$B$2:$C$2000,2,FALSE),"")</f>
        <v/>
      </c>
    </row>
    <row r="898" spans="5:5" x14ac:dyDescent="0.2">
      <c r="E898" t="str">
        <f>+IFERROR(VLOOKUP(D898,Daten_Verknüpfungen!$B$2:$C$2000,2,FALSE),"")</f>
        <v/>
      </c>
    </row>
    <row r="899" spans="5:5" x14ac:dyDescent="0.2">
      <c r="E899" t="str">
        <f>+IFERROR(VLOOKUP(D899,Daten_Verknüpfungen!$B$2:$C$2000,2,FALSE),"")</f>
        <v/>
      </c>
    </row>
    <row r="900" spans="5:5" x14ac:dyDescent="0.2">
      <c r="E900" t="str">
        <f>+IFERROR(VLOOKUP(D900,Daten_Verknüpfungen!$B$2:$C$2000,2,FALSE),"")</f>
        <v/>
      </c>
    </row>
    <row r="901" spans="5:5" x14ac:dyDescent="0.2">
      <c r="E901" t="str">
        <f>+IFERROR(VLOOKUP(D901,Daten_Verknüpfungen!$B$2:$C$2000,2,FALSE),"")</f>
        <v/>
      </c>
    </row>
    <row r="902" spans="5:5" x14ac:dyDescent="0.2">
      <c r="E902" t="str">
        <f>+IFERROR(VLOOKUP(D902,Daten_Verknüpfungen!$B$2:$C$2000,2,FALSE),"")</f>
        <v/>
      </c>
    </row>
    <row r="903" spans="5:5" x14ac:dyDescent="0.2">
      <c r="E903" t="str">
        <f>+IFERROR(VLOOKUP(D903,Daten_Verknüpfungen!$B$2:$C$2000,2,FALSE),"")</f>
        <v/>
      </c>
    </row>
    <row r="904" spans="5:5" x14ac:dyDescent="0.2">
      <c r="E904" t="str">
        <f>+IFERROR(VLOOKUP(D904,Daten_Verknüpfungen!$B$2:$C$2000,2,FALSE),"")</f>
        <v/>
      </c>
    </row>
    <row r="905" spans="5:5" x14ac:dyDescent="0.2">
      <c r="E905" t="str">
        <f>+IFERROR(VLOOKUP(D905,Daten_Verknüpfungen!$B$2:$C$2000,2,FALSE),"")</f>
        <v/>
      </c>
    </row>
    <row r="906" spans="5:5" x14ac:dyDescent="0.2">
      <c r="E906" t="str">
        <f>+IFERROR(VLOOKUP(D906,Daten_Verknüpfungen!$B$2:$C$2000,2,FALSE),"")</f>
        <v/>
      </c>
    </row>
    <row r="907" spans="5:5" x14ac:dyDescent="0.2">
      <c r="E907" t="str">
        <f>+IFERROR(VLOOKUP(D907,Daten_Verknüpfungen!$B$2:$C$2000,2,FALSE),"")</f>
        <v/>
      </c>
    </row>
    <row r="908" spans="5:5" x14ac:dyDescent="0.2">
      <c r="E908" t="str">
        <f>+IFERROR(VLOOKUP(D908,Daten_Verknüpfungen!$B$2:$C$2000,2,FALSE),"")</f>
        <v/>
      </c>
    </row>
    <row r="909" spans="5:5" x14ac:dyDescent="0.2">
      <c r="E909" t="str">
        <f>+IFERROR(VLOOKUP(D909,Daten_Verknüpfungen!$B$2:$C$2000,2,FALSE),"")</f>
        <v/>
      </c>
    </row>
    <row r="910" spans="5:5" x14ac:dyDescent="0.2">
      <c r="E910" t="str">
        <f>+IFERROR(VLOOKUP(D910,Daten_Verknüpfungen!$B$2:$C$2000,2,FALSE),"")</f>
        <v/>
      </c>
    </row>
    <row r="911" spans="5:5" x14ac:dyDescent="0.2">
      <c r="E911" t="str">
        <f>+IFERROR(VLOOKUP(D911,Daten_Verknüpfungen!$B$2:$C$2000,2,FALSE),"")</f>
        <v/>
      </c>
    </row>
    <row r="912" spans="5:5" x14ac:dyDescent="0.2">
      <c r="E912" t="str">
        <f>+IFERROR(VLOOKUP(D912,Daten_Verknüpfungen!$B$2:$C$2000,2,FALSE),"")</f>
        <v/>
      </c>
    </row>
    <row r="913" spans="5:5" x14ac:dyDescent="0.2">
      <c r="E913" t="str">
        <f>+IFERROR(VLOOKUP(D913,Daten_Verknüpfungen!$B$2:$C$2000,2,FALSE),"")</f>
        <v/>
      </c>
    </row>
    <row r="914" spans="5:5" x14ac:dyDescent="0.2">
      <c r="E914" t="str">
        <f>+IFERROR(VLOOKUP(D914,Daten_Verknüpfungen!$B$2:$C$2000,2,FALSE),"")</f>
        <v/>
      </c>
    </row>
    <row r="915" spans="5:5" x14ac:dyDescent="0.2">
      <c r="E915" t="str">
        <f>+IFERROR(VLOOKUP(D915,Daten_Verknüpfungen!$B$2:$C$2000,2,FALSE),"")</f>
        <v/>
      </c>
    </row>
    <row r="916" spans="5:5" x14ac:dyDescent="0.2">
      <c r="E916" t="str">
        <f>+IFERROR(VLOOKUP(D916,Daten_Verknüpfungen!$B$2:$C$2000,2,FALSE),"")</f>
        <v/>
      </c>
    </row>
    <row r="917" spans="5:5" x14ac:dyDescent="0.2">
      <c r="E917" t="str">
        <f>+IFERROR(VLOOKUP(D917,Daten_Verknüpfungen!$B$2:$C$2000,2,FALSE),"")</f>
        <v/>
      </c>
    </row>
    <row r="918" spans="5:5" x14ac:dyDescent="0.2">
      <c r="E918" t="str">
        <f>+IFERROR(VLOOKUP(D918,Daten_Verknüpfungen!$B$2:$C$2000,2,FALSE),"")</f>
        <v/>
      </c>
    </row>
    <row r="919" spans="5:5" x14ac:dyDescent="0.2">
      <c r="E919" t="str">
        <f>+IFERROR(VLOOKUP(D919,Daten_Verknüpfungen!$B$2:$C$2000,2,FALSE),"")</f>
        <v/>
      </c>
    </row>
    <row r="920" spans="5:5" x14ac:dyDescent="0.2">
      <c r="E920" t="str">
        <f>+IFERROR(VLOOKUP(D920,Daten_Verknüpfungen!$B$2:$C$2000,2,FALSE),"")</f>
        <v/>
      </c>
    </row>
    <row r="921" spans="5:5" x14ac:dyDescent="0.2">
      <c r="E921" t="str">
        <f>+IFERROR(VLOOKUP(D921,Daten_Verknüpfungen!$B$2:$C$2000,2,FALSE),"")</f>
        <v/>
      </c>
    </row>
    <row r="922" spans="5:5" x14ac:dyDescent="0.2">
      <c r="E922" t="str">
        <f>+IFERROR(VLOOKUP(D922,Daten_Verknüpfungen!$B$2:$C$2000,2,FALSE),"")</f>
        <v/>
      </c>
    </row>
    <row r="923" spans="5:5" x14ac:dyDescent="0.2">
      <c r="E923" t="str">
        <f>+IFERROR(VLOOKUP(D923,Daten_Verknüpfungen!$B$2:$C$2000,2,FALSE),"")</f>
        <v/>
      </c>
    </row>
    <row r="924" spans="5:5" x14ac:dyDescent="0.2">
      <c r="E924" t="str">
        <f>+IFERROR(VLOOKUP(D924,Daten_Verknüpfungen!$B$2:$C$2000,2,FALSE),"")</f>
        <v/>
      </c>
    </row>
    <row r="925" spans="5:5" x14ac:dyDescent="0.2">
      <c r="E925" t="str">
        <f>+IFERROR(VLOOKUP(D925,Daten_Verknüpfungen!$B$2:$C$2000,2,FALSE),"")</f>
        <v/>
      </c>
    </row>
    <row r="926" spans="5:5" x14ac:dyDescent="0.2">
      <c r="E926" t="str">
        <f>+IFERROR(VLOOKUP(D926,Daten_Verknüpfungen!$B$2:$C$2000,2,FALSE),"")</f>
        <v/>
      </c>
    </row>
    <row r="927" spans="5:5" x14ac:dyDescent="0.2">
      <c r="E927" t="str">
        <f>+IFERROR(VLOOKUP(D927,Daten_Verknüpfungen!$B$2:$C$2000,2,FALSE),"")</f>
        <v/>
      </c>
    </row>
    <row r="928" spans="5:5" x14ac:dyDescent="0.2">
      <c r="E928" t="str">
        <f>+IFERROR(VLOOKUP(D928,Daten_Verknüpfungen!$B$2:$C$2000,2,FALSE),"")</f>
        <v/>
      </c>
    </row>
    <row r="929" spans="5:5" x14ac:dyDescent="0.2">
      <c r="E929" t="str">
        <f>+IFERROR(VLOOKUP(D929,Daten_Verknüpfungen!$B$2:$C$2000,2,FALSE),"")</f>
        <v/>
      </c>
    </row>
    <row r="930" spans="5:5" x14ac:dyDescent="0.2">
      <c r="E930" t="str">
        <f>+IFERROR(VLOOKUP(D930,Daten_Verknüpfungen!$B$2:$C$2000,2,FALSE),"")</f>
        <v/>
      </c>
    </row>
    <row r="931" spans="5:5" x14ac:dyDescent="0.2">
      <c r="E931" t="str">
        <f>+IFERROR(VLOOKUP(D931,Daten_Verknüpfungen!$B$2:$C$2000,2,FALSE),"")</f>
        <v/>
      </c>
    </row>
    <row r="932" spans="5:5" x14ac:dyDescent="0.2">
      <c r="E932" t="str">
        <f>+IFERROR(VLOOKUP(D932,Daten_Verknüpfungen!$B$2:$C$2000,2,FALSE),"")</f>
        <v/>
      </c>
    </row>
    <row r="933" spans="5:5" x14ac:dyDescent="0.2">
      <c r="E933" t="str">
        <f>+IFERROR(VLOOKUP(D933,Daten_Verknüpfungen!$B$2:$C$2000,2,FALSE),"")</f>
        <v/>
      </c>
    </row>
    <row r="934" spans="5:5" x14ac:dyDescent="0.2">
      <c r="E934" t="str">
        <f>+IFERROR(VLOOKUP(D934,Daten_Verknüpfungen!$B$2:$C$2000,2,FALSE),"")</f>
        <v/>
      </c>
    </row>
    <row r="935" spans="5:5" x14ac:dyDescent="0.2">
      <c r="E935" t="str">
        <f>+IFERROR(VLOOKUP(D935,Daten_Verknüpfungen!$B$2:$C$2000,2,FALSE),"")</f>
        <v/>
      </c>
    </row>
    <row r="936" spans="5:5" x14ac:dyDescent="0.2">
      <c r="E936" t="str">
        <f>+IFERROR(VLOOKUP(D936,Daten_Verknüpfungen!$B$2:$C$2000,2,FALSE),"")</f>
        <v/>
      </c>
    </row>
    <row r="937" spans="5:5" x14ac:dyDescent="0.2">
      <c r="E937" t="str">
        <f>+IFERROR(VLOOKUP(D937,Daten_Verknüpfungen!$B$2:$C$2000,2,FALSE),"")</f>
        <v/>
      </c>
    </row>
    <row r="938" spans="5:5" x14ac:dyDescent="0.2">
      <c r="E938" t="str">
        <f>+IFERROR(VLOOKUP(D938,Daten_Verknüpfungen!$B$2:$C$2000,2,FALSE),"")</f>
        <v/>
      </c>
    </row>
    <row r="939" spans="5:5" x14ac:dyDescent="0.2">
      <c r="E939" t="str">
        <f>+IFERROR(VLOOKUP(D939,Daten_Verknüpfungen!$B$2:$C$2000,2,FALSE),"")</f>
        <v/>
      </c>
    </row>
    <row r="940" spans="5:5" x14ac:dyDescent="0.2">
      <c r="E940" t="str">
        <f>+IFERROR(VLOOKUP(D940,Daten_Verknüpfungen!$B$2:$C$2000,2,FALSE),"")</f>
        <v/>
      </c>
    </row>
    <row r="941" spans="5:5" x14ac:dyDescent="0.2">
      <c r="E941" t="str">
        <f>+IFERROR(VLOOKUP(D941,Daten_Verknüpfungen!$B$2:$C$2000,2,FALSE),"")</f>
        <v/>
      </c>
    </row>
    <row r="942" spans="5:5" x14ac:dyDescent="0.2">
      <c r="E942" t="str">
        <f>+IFERROR(VLOOKUP(D942,Daten_Verknüpfungen!$B$2:$C$2000,2,FALSE),"")</f>
        <v/>
      </c>
    </row>
    <row r="943" spans="5:5" x14ac:dyDescent="0.2">
      <c r="E943" t="str">
        <f>+IFERROR(VLOOKUP(D943,Daten_Verknüpfungen!$B$2:$C$2000,2,FALSE),"")</f>
        <v/>
      </c>
    </row>
    <row r="944" spans="5:5" x14ac:dyDescent="0.2">
      <c r="E944" t="str">
        <f>+IFERROR(VLOOKUP(D944,Daten_Verknüpfungen!$B$2:$C$2000,2,FALSE),"")</f>
        <v/>
      </c>
    </row>
    <row r="945" spans="5:5" x14ac:dyDescent="0.2">
      <c r="E945" t="str">
        <f>+IFERROR(VLOOKUP(D945,Daten_Verknüpfungen!$B$2:$C$2000,2,FALSE),"")</f>
        <v/>
      </c>
    </row>
    <row r="946" spans="5:5" x14ac:dyDescent="0.2">
      <c r="E946" t="str">
        <f>+IFERROR(VLOOKUP(D946,Daten_Verknüpfungen!$B$2:$C$2000,2,FALSE),"")</f>
        <v/>
      </c>
    </row>
    <row r="947" spans="5:5" x14ac:dyDescent="0.2">
      <c r="E947" t="str">
        <f>+IFERROR(VLOOKUP(D947,Daten_Verknüpfungen!$B$2:$C$2000,2,FALSE),"")</f>
        <v/>
      </c>
    </row>
    <row r="948" spans="5:5" x14ac:dyDescent="0.2">
      <c r="E948" t="str">
        <f>+IFERROR(VLOOKUP(D948,Daten_Verknüpfungen!$B$2:$C$2000,2,FALSE),"")</f>
        <v/>
      </c>
    </row>
    <row r="949" spans="5:5" x14ac:dyDescent="0.2">
      <c r="E949" t="str">
        <f>+IFERROR(VLOOKUP(D949,Daten_Verknüpfungen!$B$2:$C$2000,2,FALSE),"")</f>
        <v/>
      </c>
    </row>
    <row r="950" spans="5:5" x14ac:dyDescent="0.2">
      <c r="E950" t="str">
        <f>+IFERROR(VLOOKUP(D950,Daten_Verknüpfungen!$B$2:$C$2000,2,FALSE),"")</f>
        <v/>
      </c>
    </row>
    <row r="951" spans="5:5" x14ac:dyDescent="0.2">
      <c r="E951" t="str">
        <f>+IFERROR(VLOOKUP(D951,Daten_Verknüpfungen!$B$2:$C$2000,2,FALSE),"")</f>
        <v/>
      </c>
    </row>
    <row r="952" spans="5:5" x14ac:dyDescent="0.2">
      <c r="E952" t="str">
        <f>+IFERROR(VLOOKUP(D952,Daten_Verknüpfungen!$B$2:$C$2000,2,FALSE),"")</f>
        <v/>
      </c>
    </row>
    <row r="953" spans="5:5" x14ac:dyDescent="0.2">
      <c r="E953" t="str">
        <f>+IFERROR(VLOOKUP(D953,Daten_Verknüpfungen!$B$2:$C$2000,2,FALSE),"")</f>
        <v/>
      </c>
    </row>
    <row r="954" spans="5:5" x14ac:dyDescent="0.2">
      <c r="E954" t="str">
        <f>+IFERROR(VLOOKUP(D954,Daten_Verknüpfungen!$B$2:$C$2000,2,FALSE),"")</f>
        <v/>
      </c>
    </row>
    <row r="955" spans="5:5" x14ac:dyDescent="0.2">
      <c r="E955" t="str">
        <f>+IFERROR(VLOOKUP(D955,Daten_Verknüpfungen!$B$2:$C$2000,2,FALSE),"")</f>
        <v/>
      </c>
    </row>
    <row r="956" spans="5:5" x14ac:dyDescent="0.2">
      <c r="E956" t="str">
        <f>+IFERROR(VLOOKUP(D956,Daten_Verknüpfungen!$B$2:$C$2000,2,FALSE),"")</f>
        <v/>
      </c>
    </row>
    <row r="957" spans="5:5" x14ac:dyDescent="0.2">
      <c r="E957" t="str">
        <f>+IFERROR(VLOOKUP(D957,Daten_Verknüpfungen!$B$2:$C$2000,2,FALSE),"")</f>
        <v/>
      </c>
    </row>
    <row r="958" spans="5:5" x14ac:dyDescent="0.2">
      <c r="E958" t="str">
        <f>+IFERROR(VLOOKUP(D958,Daten_Verknüpfungen!$B$2:$C$2000,2,FALSE),"")</f>
        <v/>
      </c>
    </row>
    <row r="959" spans="5:5" x14ac:dyDescent="0.2">
      <c r="E959" t="str">
        <f>+IFERROR(VLOOKUP(D959,Daten_Verknüpfungen!$B$2:$C$2000,2,FALSE),"")</f>
        <v/>
      </c>
    </row>
    <row r="960" spans="5:5" x14ac:dyDescent="0.2">
      <c r="E960" t="str">
        <f>+IFERROR(VLOOKUP(D960,Daten_Verknüpfungen!$B$2:$C$2000,2,FALSE),"")</f>
        <v/>
      </c>
    </row>
    <row r="961" spans="5:5" x14ac:dyDescent="0.2">
      <c r="E961" t="str">
        <f>+IFERROR(VLOOKUP(D961,Daten_Verknüpfungen!$B$2:$C$2000,2,FALSE),"")</f>
        <v/>
      </c>
    </row>
    <row r="962" spans="5:5" x14ac:dyDescent="0.2">
      <c r="E962" t="str">
        <f>+IFERROR(VLOOKUP(D962,Daten_Verknüpfungen!$B$2:$C$2000,2,FALSE),"")</f>
        <v/>
      </c>
    </row>
    <row r="963" spans="5:5" x14ac:dyDescent="0.2">
      <c r="E963" t="str">
        <f>+IFERROR(VLOOKUP(D963,Daten_Verknüpfungen!$B$2:$C$2000,2,FALSE),"")</f>
        <v/>
      </c>
    </row>
    <row r="964" spans="5:5" x14ac:dyDescent="0.2">
      <c r="E964" t="str">
        <f>+IFERROR(VLOOKUP(D964,Daten_Verknüpfungen!$B$2:$C$2000,2,FALSE),"")</f>
        <v/>
      </c>
    </row>
    <row r="965" spans="5:5" x14ac:dyDescent="0.2">
      <c r="E965" t="str">
        <f>+IFERROR(VLOOKUP(D965,Daten_Verknüpfungen!$B$2:$C$2000,2,FALSE),"")</f>
        <v/>
      </c>
    </row>
    <row r="966" spans="5:5" x14ac:dyDescent="0.2">
      <c r="E966" t="str">
        <f>+IFERROR(VLOOKUP(D966,Daten_Verknüpfungen!$B$2:$C$2000,2,FALSE),"")</f>
        <v/>
      </c>
    </row>
    <row r="967" spans="5:5" x14ac:dyDescent="0.2">
      <c r="E967" t="str">
        <f>+IFERROR(VLOOKUP(D967,Daten_Verknüpfungen!$B$2:$C$2000,2,FALSE),"")</f>
        <v/>
      </c>
    </row>
    <row r="968" spans="5:5" x14ac:dyDescent="0.2">
      <c r="E968" t="str">
        <f>+IFERROR(VLOOKUP(D968,Daten_Verknüpfungen!$B$2:$C$2000,2,FALSE),"")</f>
        <v/>
      </c>
    </row>
    <row r="969" spans="5:5" x14ac:dyDescent="0.2">
      <c r="E969" t="str">
        <f>+IFERROR(VLOOKUP(D969,Daten_Verknüpfungen!$B$2:$C$2000,2,FALSE),"")</f>
        <v/>
      </c>
    </row>
    <row r="970" spans="5:5" x14ac:dyDescent="0.2">
      <c r="E970" t="str">
        <f>+IFERROR(VLOOKUP(D970,Daten_Verknüpfungen!$B$2:$C$2000,2,FALSE),"")</f>
        <v/>
      </c>
    </row>
    <row r="971" spans="5:5" x14ac:dyDescent="0.2">
      <c r="E971" t="str">
        <f>+IFERROR(VLOOKUP(D971,Daten_Verknüpfungen!$B$2:$C$2000,2,FALSE),"")</f>
        <v/>
      </c>
    </row>
    <row r="972" spans="5:5" x14ac:dyDescent="0.2">
      <c r="E972" t="str">
        <f>+IFERROR(VLOOKUP(D972,Daten_Verknüpfungen!$B$2:$C$2000,2,FALSE),"")</f>
        <v/>
      </c>
    </row>
    <row r="973" spans="5:5" x14ac:dyDescent="0.2">
      <c r="E973" t="str">
        <f>+IFERROR(VLOOKUP(D973,Daten_Verknüpfungen!$B$2:$C$2000,2,FALSE),"")</f>
        <v/>
      </c>
    </row>
    <row r="974" spans="5:5" x14ac:dyDescent="0.2">
      <c r="E974" t="str">
        <f>+IFERROR(VLOOKUP(D974,Daten_Verknüpfungen!$B$2:$C$2000,2,FALSE),"")</f>
        <v/>
      </c>
    </row>
    <row r="975" spans="5:5" x14ac:dyDescent="0.2">
      <c r="E975" t="str">
        <f>+IFERROR(VLOOKUP(D975,Daten_Verknüpfungen!$B$2:$C$2000,2,FALSE),"")</f>
        <v/>
      </c>
    </row>
    <row r="976" spans="5:5" x14ac:dyDescent="0.2">
      <c r="E976" t="str">
        <f>+IFERROR(VLOOKUP(D976,Daten_Verknüpfungen!$B$2:$C$2000,2,FALSE),"")</f>
        <v/>
      </c>
    </row>
    <row r="977" spans="5:5" x14ac:dyDescent="0.2">
      <c r="E977" t="str">
        <f>+IFERROR(VLOOKUP(D977,Daten_Verknüpfungen!$B$2:$C$2000,2,FALSE),"")</f>
        <v/>
      </c>
    </row>
    <row r="978" spans="5:5" x14ac:dyDescent="0.2">
      <c r="E978" t="str">
        <f>+IFERROR(VLOOKUP(D978,Daten_Verknüpfungen!$B$2:$C$2000,2,FALSE),"")</f>
        <v/>
      </c>
    </row>
    <row r="979" spans="5:5" x14ac:dyDescent="0.2">
      <c r="E979" t="str">
        <f>+IFERROR(VLOOKUP(D979,Daten_Verknüpfungen!$B$2:$C$2000,2,FALSE),"")</f>
        <v/>
      </c>
    </row>
    <row r="980" spans="5:5" x14ac:dyDescent="0.2">
      <c r="E980" t="str">
        <f>+IFERROR(VLOOKUP(D980,Daten_Verknüpfungen!$B$2:$C$2000,2,FALSE),"")</f>
        <v/>
      </c>
    </row>
    <row r="981" spans="5:5" x14ac:dyDescent="0.2">
      <c r="E981" t="str">
        <f>+IFERROR(VLOOKUP(D981,Daten_Verknüpfungen!$B$2:$C$2000,2,FALSE),"")</f>
        <v/>
      </c>
    </row>
    <row r="982" spans="5:5" x14ac:dyDescent="0.2">
      <c r="E982" t="str">
        <f>+IFERROR(VLOOKUP(D982,Daten_Verknüpfungen!$B$2:$C$2000,2,FALSE),"")</f>
        <v/>
      </c>
    </row>
    <row r="983" spans="5:5" x14ac:dyDescent="0.2">
      <c r="E983" t="str">
        <f>+IFERROR(VLOOKUP(D983,Daten_Verknüpfungen!$B$2:$C$2000,2,FALSE),"")</f>
        <v/>
      </c>
    </row>
    <row r="984" spans="5:5" x14ac:dyDescent="0.2">
      <c r="E984" t="str">
        <f>+IFERROR(VLOOKUP(D984,Daten_Verknüpfungen!$B$2:$C$2000,2,FALSE),"")</f>
        <v/>
      </c>
    </row>
    <row r="985" spans="5:5" x14ac:dyDescent="0.2">
      <c r="E985" t="str">
        <f>+IFERROR(VLOOKUP(D985,Daten_Verknüpfungen!$B$2:$C$2000,2,FALSE),"")</f>
        <v/>
      </c>
    </row>
    <row r="986" spans="5:5" x14ac:dyDescent="0.2">
      <c r="E986" t="str">
        <f>+IFERROR(VLOOKUP(D986,Daten_Verknüpfungen!$B$2:$C$2000,2,FALSE),"")</f>
        <v/>
      </c>
    </row>
    <row r="987" spans="5:5" x14ac:dyDescent="0.2">
      <c r="E987" t="str">
        <f>+IFERROR(VLOOKUP(D987,Daten_Verknüpfungen!$B$2:$C$2000,2,FALSE),"")</f>
        <v/>
      </c>
    </row>
    <row r="988" spans="5:5" x14ac:dyDescent="0.2">
      <c r="E988" t="str">
        <f>+IFERROR(VLOOKUP(D988,Daten_Verknüpfungen!$B$2:$C$2000,2,FALSE),"")</f>
        <v/>
      </c>
    </row>
    <row r="989" spans="5:5" x14ac:dyDescent="0.2">
      <c r="E989" t="str">
        <f>+IFERROR(VLOOKUP(D989,Daten_Verknüpfungen!$B$2:$C$2000,2,FALSE),"")</f>
        <v/>
      </c>
    </row>
    <row r="990" spans="5:5" x14ac:dyDescent="0.2">
      <c r="E990" t="str">
        <f>+IFERROR(VLOOKUP(D990,Daten_Verknüpfungen!$B$2:$C$2000,2,FALSE),"")</f>
        <v/>
      </c>
    </row>
    <row r="991" spans="5:5" x14ac:dyDescent="0.2">
      <c r="E991" t="str">
        <f>+IFERROR(VLOOKUP(D991,Daten_Verknüpfungen!$B$2:$C$2000,2,FALSE),"")</f>
        <v/>
      </c>
    </row>
    <row r="992" spans="5:5" x14ac:dyDescent="0.2">
      <c r="E992" t="str">
        <f>+IFERROR(VLOOKUP(D992,Daten_Verknüpfungen!$B$2:$C$2000,2,FALSE),"")</f>
        <v/>
      </c>
    </row>
    <row r="993" spans="5:5" x14ac:dyDescent="0.2">
      <c r="E993" t="str">
        <f>+IFERROR(VLOOKUP(D993,Daten_Verknüpfungen!$B$2:$C$2000,2,FALSE),"")</f>
        <v/>
      </c>
    </row>
    <row r="994" spans="5:5" x14ac:dyDescent="0.2">
      <c r="E994" t="str">
        <f>+IFERROR(VLOOKUP(D994,Daten_Verknüpfungen!$B$2:$C$2000,2,FALSE),"")</f>
        <v/>
      </c>
    </row>
    <row r="995" spans="5:5" x14ac:dyDescent="0.2">
      <c r="E995" t="str">
        <f>+IFERROR(VLOOKUP(D995,Daten_Verknüpfungen!$B$2:$C$2000,2,FALSE),"")</f>
        <v/>
      </c>
    </row>
    <row r="996" spans="5:5" x14ac:dyDescent="0.2">
      <c r="E996" t="str">
        <f>+IFERROR(VLOOKUP(D996,Daten_Verknüpfungen!$B$2:$C$2000,2,FALSE),"")</f>
        <v/>
      </c>
    </row>
    <row r="997" spans="5:5" x14ac:dyDescent="0.2">
      <c r="E997" t="str">
        <f>+IFERROR(VLOOKUP(D997,Daten_Verknüpfungen!$B$2:$C$2000,2,FALSE),"")</f>
        <v/>
      </c>
    </row>
    <row r="998" spans="5:5" x14ac:dyDescent="0.2">
      <c r="E998" t="str">
        <f>+IFERROR(VLOOKUP(D998,Daten_Verknüpfungen!$B$2:$C$2000,2,FALSE),"")</f>
        <v/>
      </c>
    </row>
    <row r="999" spans="5:5" x14ac:dyDescent="0.2">
      <c r="E999" t="str">
        <f>+IFERROR(VLOOKUP(D999,Daten_Verknüpfungen!$B$2:$C$2000,2,FALSE),"")</f>
        <v/>
      </c>
    </row>
    <row r="1000" spans="5:5" x14ac:dyDescent="0.2">
      <c r="E1000" t="str">
        <f>+IFERROR(VLOOKUP(D1000,Daten_Verknüpfungen!$B$2:$C$2000,2,FALSE),"")</f>
        <v/>
      </c>
    </row>
    <row r="1001" spans="5:5" x14ac:dyDescent="0.2">
      <c r="E1001" t="str">
        <f>+IFERROR(VLOOKUP(D1001,Daten_Verknüpfungen!$B$2:$C$2000,2,FALSE),"")</f>
        <v/>
      </c>
    </row>
    <row r="1002" spans="5:5" x14ac:dyDescent="0.2">
      <c r="E1002" t="str">
        <f>+IFERROR(VLOOKUP(D1002,Daten_Verknüpfungen!$B$2:$C$2000,2,FALSE),"")</f>
        <v/>
      </c>
    </row>
    <row r="1003" spans="5:5" x14ac:dyDescent="0.2">
      <c r="E1003" t="str">
        <f>+IFERROR(VLOOKUP(D1003,Daten_Verknüpfungen!$B$2:$C$2000,2,FALSE),"")</f>
        <v/>
      </c>
    </row>
    <row r="1004" spans="5:5" x14ac:dyDescent="0.2">
      <c r="E1004" t="str">
        <f>+IFERROR(VLOOKUP(D1004,Daten_Verknüpfungen!$B$2:$C$2000,2,FALSE),"")</f>
        <v/>
      </c>
    </row>
    <row r="1005" spans="5:5" x14ac:dyDescent="0.2">
      <c r="E1005" t="str">
        <f>+IFERROR(VLOOKUP(D1005,Daten_Verknüpfungen!$B$2:$C$2000,2,FALSE),"")</f>
        <v/>
      </c>
    </row>
    <row r="1006" spans="5:5" x14ac:dyDescent="0.2">
      <c r="E1006" t="str">
        <f>+IFERROR(VLOOKUP(D1006,Daten_Verknüpfungen!$B$2:$C$2000,2,FALSE),"")</f>
        <v/>
      </c>
    </row>
    <row r="1007" spans="5:5" x14ac:dyDescent="0.2">
      <c r="E1007" t="str">
        <f>+IFERROR(VLOOKUP(D1007,Daten_Verknüpfungen!$B$2:$C$2000,2,FALSE),"")</f>
        <v/>
      </c>
    </row>
    <row r="1008" spans="5:5" x14ac:dyDescent="0.2">
      <c r="E1008" t="str">
        <f>+IFERROR(VLOOKUP(D1008,Daten_Verknüpfungen!$B$2:$C$2000,2,FALSE),"")</f>
        <v/>
      </c>
    </row>
    <row r="1009" spans="5:5" x14ac:dyDescent="0.2">
      <c r="E1009" t="str">
        <f>+IFERROR(VLOOKUP(D1009,Daten_Verknüpfungen!$B$2:$C$2000,2,FALSE),"")</f>
        <v/>
      </c>
    </row>
    <row r="1010" spans="5:5" x14ac:dyDescent="0.2">
      <c r="E1010" t="str">
        <f>+IFERROR(VLOOKUP(D1010,Daten_Verknüpfungen!$B$2:$C$2000,2,FALSE),"")</f>
        <v/>
      </c>
    </row>
    <row r="1011" spans="5:5" x14ac:dyDescent="0.2">
      <c r="E1011" t="str">
        <f>+IFERROR(VLOOKUP(D1011,Daten_Verknüpfungen!$B$2:$C$2000,2,FALSE),"")</f>
        <v/>
      </c>
    </row>
    <row r="1012" spans="5:5" x14ac:dyDescent="0.2">
      <c r="E1012" t="str">
        <f>+IFERROR(VLOOKUP(D1012,Daten_Verknüpfungen!$B$2:$C$2000,2,FALSE),"")</f>
        <v/>
      </c>
    </row>
    <row r="1013" spans="5:5" x14ac:dyDescent="0.2">
      <c r="E1013" t="str">
        <f>+IFERROR(VLOOKUP(D1013,Daten_Verknüpfungen!$B$2:$C$2000,2,FALSE),"")</f>
        <v/>
      </c>
    </row>
    <row r="1014" spans="5:5" x14ac:dyDescent="0.2">
      <c r="E1014" t="str">
        <f>+IFERROR(VLOOKUP(D1014,Daten_Verknüpfungen!$B$2:$C$2000,2,FALSE),"")</f>
        <v/>
      </c>
    </row>
    <row r="1015" spans="5:5" x14ac:dyDescent="0.2">
      <c r="E1015" t="str">
        <f>+IFERROR(VLOOKUP(D1015,Daten_Verknüpfungen!$B$2:$C$2000,2,FALSE),"")</f>
        <v/>
      </c>
    </row>
    <row r="1016" spans="5:5" x14ac:dyDescent="0.2">
      <c r="E1016" t="str">
        <f>+IFERROR(VLOOKUP(D1016,Daten_Verknüpfungen!$B$2:$C$2000,2,FALSE),"")</f>
        <v/>
      </c>
    </row>
    <row r="1017" spans="5:5" x14ac:dyDescent="0.2">
      <c r="E1017" t="str">
        <f>+IFERROR(VLOOKUP(D1017,Daten_Verknüpfungen!$B$2:$C$2000,2,FALSE),"")</f>
        <v/>
      </c>
    </row>
    <row r="1018" spans="5:5" x14ac:dyDescent="0.2">
      <c r="E1018" t="str">
        <f>+IFERROR(VLOOKUP(D1018,Daten_Verknüpfungen!$B$2:$C$2000,2,FALSE),"")</f>
        <v/>
      </c>
    </row>
    <row r="1019" spans="5:5" x14ac:dyDescent="0.2">
      <c r="E1019" t="str">
        <f>+IFERROR(VLOOKUP(D1019,Daten_Verknüpfungen!$B$2:$C$2000,2,FALSE),"")</f>
        <v/>
      </c>
    </row>
    <row r="1020" spans="5:5" x14ac:dyDescent="0.2">
      <c r="E1020" t="str">
        <f>+IFERROR(VLOOKUP(D1020,Daten_Verknüpfungen!$B$2:$C$2000,2,FALSE),"")</f>
        <v/>
      </c>
    </row>
    <row r="1021" spans="5:5" x14ac:dyDescent="0.2">
      <c r="E1021" t="str">
        <f>+IFERROR(VLOOKUP(D1021,Daten_Verknüpfungen!$B$2:$C$2000,2,FALSE),"")</f>
        <v/>
      </c>
    </row>
    <row r="1022" spans="5:5" x14ac:dyDescent="0.2">
      <c r="E1022" t="str">
        <f>+IFERROR(VLOOKUP(D1022,Daten_Verknüpfungen!$B$2:$C$2000,2,FALSE),"")</f>
        <v/>
      </c>
    </row>
    <row r="1023" spans="5:5" x14ac:dyDescent="0.2">
      <c r="E1023" t="str">
        <f>+IFERROR(VLOOKUP(D1023,Daten_Verknüpfungen!$B$2:$C$2000,2,FALSE),"")</f>
        <v/>
      </c>
    </row>
    <row r="1024" spans="5:5" x14ac:dyDescent="0.2">
      <c r="E1024" t="str">
        <f>+IFERROR(VLOOKUP(D1024,Daten_Verknüpfungen!$B$2:$C$2000,2,FALSE),"")</f>
        <v/>
      </c>
    </row>
    <row r="1025" spans="5:5" x14ac:dyDescent="0.2">
      <c r="E1025" t="str">
        <f>+IFERROR(VLOOKUP(D1025,Daten_Verknüpfungen!$B$2:$C$2000,2,FALSE),"")</f>
        <v/>
      </c>
    </row>
    <row r="1026" spans="5:5" x14ac:dyDescent="0.2">
      <c r="E1026" t="str">
        <f>+IFERROR(VLOOKUP(D1026,Daten_Verknüpfungen!$B$2:$C$2000,2,FALSE),"")</f>
        <v/>
      </c>
    </row>
    <row r="1027" spans="5:5" x14ac:dyDescent="0.2">
      <c r="E1027" t="str">
        <f>+IFERROR(VLOOKUP(D1027,Daten_Verknüpfungen!$B$2:$C$2000,2,FALSE),"")</f>
        <v/>
      </c>
    </row>
    <row r="1028" spans="5:5" x14ac:dyDescent="0.2">
      <c r="E1028" t="str">
        <f>+IFERROR(VLOOKUP(D1028,Daten_Verknüpfungen!$B$2:$C$2000,2,FALSE),"")</f>
        <v/>
      </c>
    </row>
    <row r="1029" spans="5:5" x14ac:dyDescent="0.2">
      <c r="E1029" t="str">
        <f>+IFERROR(VLOOKUP(D1029,Daten_Verknüpfungen!$B$2:$C$2000,2,FALSE),"")</f>
        <v/>
      </c>
    </row>
    <row r="1030" spans="5:5" x14ac:dyDescent="0.2">
      <c r="E1030" t="str">
        <f>+IFERROR(VLOOKUP(D1030,Daten_Verknüpfungen!$B$2:$C$2000,2,FALSE),"")</f>
        <v/>
      </c>
    </row>
    <row r="1031" spans="5:5" x14ac:dyDescent="0.2">
      <c r="E1031" t="str">
        <f>+IFERROR(VLOOKUP(D1031,Daten_Verknüpfungen!$B$2:$C$2000,2,FALSE),"")</f>
        <v/>
      </c>
    </row>
    <row r="1032" spans="5:5" x14ac:dyDescent="0.2">
      <c r="E1032" t="str">
        <f>+IFERROR(VLOOKUP(D1032,Daten_Verknüpfungen!$B$2:$C$2000,2,FALSE),"")</f>
        <v/>
      </c>
    </row>
    <row r="1033" spans="5:5" x14ac:dyDescent="0.2">
      <c r="E1033" t="str">
        <f>+IFERROR(VLOOKUP(D1033,Daten_Verknüpfungen!$B$2:$C$2000,2,FALSE),"")</f>
        <v/>
      </c>
    </row>
    <row r="1034" spans="5:5" x14ac:dyDescent="0.2">
      <c r="E1034" t="str">
        <f>+IFERROR(VLOOKUP(D1034,Daten_Verknüpfungen!$B$2:$C$2000,2,FALSE),"")</f>
        <v/>
      </c>
    </row>
    <row r="1035" spans="5:5" x14ac:dyDescent="0.2">
      <c r="E1035" t="str">
        <f>+IFERROR(VLOOKUP(D1035,Daten_Verknüpfungen!$B$2:$C$2000,2,FALSE),"")</f>
        <v/>
      </c>
    </row>
    <row r="1036" spans="5:5" x14ac:dyDescent="0.2">
      <c r="E1036" t="str">
        <f>+IFERROR(VLOOKUP(D1036,Daten_Verknüpfungen!$B$2:$C$2000,2,FALSE),"")</f>
        <v/>
      </c>
    </row>
    <row r="1037" spans="5:5" x14ac:dyDescent="0.2">
      <c r="E1037" t="str">
        <f>+IFERROR(VLOOKUP(D1037,Daten_Verknüpfungen!$B$2:$C$2000,2,FALSE),"")</f>
        <v/>
      </c>
    </row>
    <row r="1038" spans="5:5" x14ac:dyDescent="0.2">
      <c r="E1038" t="str">
        <f>+IFERROR(VLOOKUP(D1038,Daten_Verknüpfungen!$B$2:$C$2000,2,FALSE),"")</f>
        <v/>
      </c>
    </row>
    <row r="1039" spans="5:5" x14ac:dyDescent="0.2">
      <c r="E1039" t="str">
        <f>+IFERROR(VLOOKUP(D1039,Daten_Verknüpfungen!$B$2:$C$2000,2,FALSE),"")</f>
        <v/>
      </c>
    </row>
    <row r="1040" spans="5:5" x14ac:dyDescent="0.2">
      <c r="E1040" t="str">
        <f>+IFERROR(VLOOKUP(D1040,Daten_Verknüpfungen!$B$2:$C$2000,2,FALSE),"")</f>
        <v/>
      </c>
    </row>
    <row r="1041" spans="5:5" x14ac:dyDescent="0.2">
      <c r="E1041" t="str">
        <f>+IFERROR(VLOOKUP(D1041,Daten_Verknüpfungen!$B$2:$C$2000,2,FALSE),"")</f>
        <v/>
      </c>
    </row>
    <row r="1042" spans="5:5" x14ac:dyDescent="0.2">
      <c r="E1042" t="str">
        <f>+IFERROR(VLOOKUP(D1042,Daten_Verknüpfungen!$B$2:$C$2000,2,FALSE),"")</f>
        <v/>
      </c>
    </row>
    <row r="1043" spans="5:5" x14ac:dyDescent="0.2">
      <c r="E1043" t="str">
        <f>+IFERROR(VLOOKUP(D1043,Daten_Verknüpfungen!$B$2:$C$2000,2,FALSE),"")</f>
        <v/>
      </c>
    </row>
    <row r="1044" spans="5:5" x14ac:dyDescent="0.2">
      <c r="E1044" t="str">
        <f>+IFERROR(VLOOKUP(D1044,Daten_Verknüpfungen!$B$2:$C$2000,2,FALSE),"")</f>
        <v/>
      </c>
    </row>
    <row r="1045" spans="5:5" x14ac:dyDescent="0.2">
      <c r="E1045" t="str">
        <f>+IFERROR(VLOOKUP(D1045,Daten_Verknüpfungen!$B$2:$C$2000,2,FALSE),"")</f>
        <v/>
      </c>
    </row>
    <row r="1046" spans="5:5" x14ac:dyDescent="0.2">
      <c r="E1046" t="str">
        <f>+IFERROR(VLOOKUP(D1046,Daten_Verknüpfungen!$B$2:$C$2000,2,FALSE),"")</f>
        <v/>
      </c>
    </row>
    <row r="1047" spans="5:5" x14ac:dyDescent="0.2">
      <c r="E1047" t="str">
        <f>+IFERROR(VLOOKUP(D1047,Daten_Verknüpfungen!$B$2:$C$2000,2,FALSE),"")</f>
        <v/>
      </c>
    </row>
    <row r="1048" spans="5:5" x14ac:dyDescent="0.2">
      <c r="E1048" t="str">
        <f>+IFERROR(VLOOKUP(D1048,Daten_Verknüpfungen!$B$2:$C$2000,2,FALSE),"")</f>
        <v/>
      </c>
    </row>
    <row r="1049" spans="5:5" x14ac:dyDescent="0.2">
      <c r="E1049" t="str">
        <f>+IFERROR(VLOOKUP(D1049,Daten_Verknüpfungen!$B$2:$C$2000,2,FALSE),"")</f>
        <v/>
      </c>
    </row>
    <row r="1050" spans="5:5" x14ac:dyDescent="0.2">
      <c r="E1050" t="str">
        <f>+IFERROR(VLOOKUP(D1050,Daten_Verknüpfungen!$B$2:$C$2000,2,FALSE),"")</f>
        <v/>
      </c>
    </row>
    <row r="1051" spans="5:5" x14ac:dyDescent="0.2">
      <c r="E1051" t="str">
        <f>+IFERROR(VLOOKUP(D1051,Daten_Verknüpfungen!$B$2:$C$2000,2,FALSE),"")</f>
        <v/>
      </c>
    </row>
    <row r="1052" spans="5:5" x14ac:dyDescent="0.2">
      <c r="E1052" t="str">
        <f>+IFERROR(VLOOKUP(D1052,Daten_Verknüpfungen!$B$2:$C$2000,2,FALSE),"")</f>
        <v/>
      </c>
    </row>
    <row r="1053" spans="5:5" x14ac:dyDescent="0.2">
      <c r="E1053" t="str">
        <f>+IFERROR(VLOOKUP(D1053,Daten_Verknüpfungen!$B$2:$C$2000,2,FALSE),"")</f>
        <v/>
      </c>
    </row>
    <row r="1054" spans="5:5" x14ac:dyDescent="0.2">
      <c r="E1054" t="str">
        <f>+IFERROR(VLOOKUP(D1054,Daten_Verknüpfungen!$B$2:$C$2000,2,FALSE),"")</f>
        <v/>
      </c>
    </row>
    <row r="1055" spans="5:5" x14ac:dyDescent="0.2">
      <c r="E1055" t="str">
        <f>+IFERROR(VLOOKUP(D1055,Daten_Verknüpfungen!$B$2:$C$2000,2,FALSE),"")</f>
        <v/>
      </c>
    </row>
    <row r="1056" spans="5:5" x14ac:dyDescent="0.2">
      <c r="E1056" t="str">
        <f>+IFERROR(VLOOKUP(D1056,Daten_Verknüpfungen!$B$2:$C$2000,2,FALSE),"")</f>
        <v/>
      </c>
    </row>
    <row r="1057" spans="5:5" x14ac:dyDescent="0.2">
      <c r="E1057" t="str">
        <f>+IFERROR(VLOOKUP(D1057,Daten_Verknüpfungen!$B$2:$C$2000,2,FALSE),"")</f>
        <v/>
      </c>
    </row>
    <row r="1058" spans="5:5" x14ac:dyDescent="0.2">
      <c r="E1058" t="str">
        <f>+IFERROR(VLOOKUP(D1058,Daten_Verknüpfungen!$B$2:$C$2000,2,FALSE),"")</f>
        <v/>
      </c>
    </row>
    <row r="1059" spans="5:5" x14ac:dyDescent="0.2">
      <c r="E1059" t="str">
        <f>+IFERROR(VLOOKUP(D1059,Daten_Verknüpfungen!$B$2:$C$2000,2,FALSE),"")</f>
        <v/>
      </c>
    </row>
    <row r="1060" spans="5:5" x14ac:dyDescent="0.2">
      <c r="E1060" t="str">
        <f>+IFERROR(VLOOKUP(D1060,Daten_Verknüpfungen!$B$2:$C$2000,2,FALSE),"")</f>
        <v/>
      </c>
    </row>
    <row r="1061" spans="5:5" x14ac:dyDescent="0.2">
      <c r="E1061" t="str">
        <f>+IFERROR(VLOOKUP(D1061,Daten_Verknüpfungen!$B$2:$C$2000,2,FALSE),"")</f>
        <v/>
      </c>
    </row>
    <row r="1062" spans="5:5" x14ac:dyDescent="0.2">
      <c r="E1062" t="str">
        <f>+IFERROR(VLOOKUP(D1062,Daten_Verknüpfungen!$B$2:$C$2000,2,FALSE),"")</f>
        <v/>
      </c>
    </row>
    <row r="1063" spans="5:5" x14ac:dyDescent="0.2">
      <c r="E1063" t="str">
        <f>+IFERROR(VLOOKUP(D1063,Daten_Verknüpfungen!$B$2:$C$2000,2,FALSE),"")</f>
        <v/>
      </c>
    </row>
    <row r="1064" spans="5:5" x14ac:dyDescent="0.2">
      <c r="E1064" t="str">
        <f>+IFERROR(VLOOKUP(D1064,Daten_Verknüpfungen!$B$2:$C$2000,2,FALSE),"")</f>
        <v/>
      </c>
    </row>
    <row r="1065" spans="5:5" x14ac:dyDescent="0.2">
      <c r="E1065" t="str">
        <f>+IFERROR(VLOOKUP(D1065,Daten_Verknüpfungen!$B$2:$C$2000,2,FALSE),"")</f>
        <v/>
      </c>
    </row>
    <row r="1066" spans="5:5" x14ac:dyDescent="0.2">
      <c r="E1066" t="str">
        <f>+IFERROR(VLOOKUP(D1066,Daten_Verknüpfungen!$B$2:$C$2000,2,FALSE),"")</f>
        <v/>
      </c>
    </row>
    <row r="1067" spans="5:5" x14ac:dyDescent="0.2">
      <c r="E1067" t="str">
        <f>+IFERROR(VLOOKUP(D1067,Daten_Verknüpfungen!$B$2:$C$2000,2,FALSE),"")</f>
        <v/>
      </c>
    </row>
    <row r="1068" spans="5:5" x14ac:dyDescent="0.2">
      <c r="E1068" t="str">
        <f>+IFERROR(VLOOKUP(D1068,Daten_Verknüpfungen!$B$2:$C$2000,2,FALSE),"")</f>
        <v/>
      </c>
    </row>
    <row r="1069" spans="5:5" x14ac:dyDescent="0.2">
      <c r="E1069" t="str">
        <f>+IFERROR(VLOOKUP(D1069,Daten_Verknüpfungen!$B$2:$C$2000,2,FALSE),"")</f>
        <v/>
      </c>
    </row>
    <row r="1070" spans="5:5" x14ac:dyDescent="0.2">
      <c r="E1070" t="str">
        <f>+IFERROR(VLOOKUP(D1070,Daten_Verknüpfungen!$B$2:$C$2000,2,FALSE),"")</f>
        <v/>
      </c>
    </row>
    <row r="1071" spans="5:5" x14ac:dyDescent="0.2">
      <c r="E1071" t="str">
        <f>+IFERROR(VLOOKUP(D1071,Daten_Verknüpfungen!$B$2:$C$2000,2,FALSE),"")</f>
        <v/>
      </c>
    </row>
    <row r="1072" spans="5:5" x14ac:dyDescent="0.2">
      <c r="E1072" t="str">
        <f>+IFERROR(VLOOKUP(D1072,Daten_Verknüpfungen!$B$2:$C$2000,2,FALSE),"")</f>
        <v/>
      </c>
    </row>
    <row r="1073" spans="5:5" x14ac:dyDescent="0.2">
      <c r="E1073" t="str">
        <f>+IFERROR(VLOOKUP(D1073,Daten_Verknüpfungen!$B$2:$C$2000,2,FALSE),"")</f>
        <v/>
      </c>
    </row>
    <row r="1074" spans="5:5" x14ac:dyDescent="0.2">
      <c r="E1074" t="str">
        <f>+IFERROR(VLOOKUP(D1074,Daten_Verknüpfungen!$B$2:$C$2000,2,FALSE),"")</f>
        <v/>
      </c>
    </row>
    <row r="1075" spans="5:5" x14ac:dyDescent="0.2">
      <c r="E1075" t="str">
        <f>+IFERROR(VLOOKUP(D1075,Daten_Verknüpfungen!$B$2:$C$2000,2,FALSE),"")</f>
        <v/>
      </c>
    </row>
    <row r="1076" spans="5:5" x14ac:dyDescent="0.2">
      <c r="E1076" t="str">
        <f>+IFERROR(VLOOKUP(D1076,Daten_Verknüpfungen!$B$2:$C$2000,2,FALSE),"")</f>
        <v/>
      </c>
    </row>
    <row r="1077" spans="5:5" x14ac:dyDescent="0.2">
      <c r="E1077" t="str">
        <f>+IFERROR(VLOOKUP(D1077,Daten_Verknüpfungen!$B$2:$C$2000,2,FALSE),"")</f>
        <v/>
      </c>
    </row>
    <row r="1078" spans="5:5" x14ac:dyDescent="0.2">
      <c r="E1078" t="str">
        <f>+IFERROR(VLOOKUP(D1078,Daten_Verknüpfungen!$B$2:$C$2000,2,FALSE),"")</f>
        <v/>
      </c>
    </row>
    <row r="1079" spans="5:5" x14ac:dyDescent="0.2">
      <c r="E1079" t="str">
        <f>+IFERROR(VLOOKUP(D1079,Daten_Verknüpfungen!$B$2:$C$2000,2,FALSE),"")</f>
        <v/>
      </c>
    </row>
    <row r="1080" spans="5:5" x14ac:dyDescent="0.2">
      <c r="E1080" t="str">
        <f>+IFERROR(VLOOKUP(D1080,Daten_Verknüpfungen!$B$2:$C$2000,2,FALSE),"")</f>
        <v/>
      </c>
    </row>
    <row r="1081" spans="5:5" x14ac:dyDescent="0.2">
      <c r="E1081" t="str">
        <f>+IFERROR(VLOOKUP(D1081,Daten_Verknüpfungen!$B$2:$C$2000,2,FALSE),"")</f>
        <v/>
      </c>
    </row>
    <row r="1082" spans="5:5" x14ac:dyDescent="0.2">
      <c r="E1082" t="str">
        <f>+IFERROR(VLOOKUP(D1082,Daten_Verknüpfungen!$B$2:$C$2000,2,FALSE),"")</f>
        <v/>
      </c>
    </row>
    <row r="1083" spans="5:5" x14ac:dyDescent="0.2">
      <c r="E1083" t="str">
        <f>+IFERROR(VLOOKUP(D1083,Daten_Verknüpfungen!$B$2:$C$2000,2,FALSE),"")</f>
        <v/>
      </c>
    </row>
    <row r="1084" spans="5:5" x14ac:dyDescent="0.2">
      <c r="E1084" t="str">
        <f>+IFERROR(VLOOKUP(D1084,Daten_Verknüpfungen!$B$2:$C$2000,2,FALSE),"")</f>
        <v/>
      </c>
    </row>
    <row r="1085" spans="5:5" x14ac:dyDescent="0.2">
      <c r="E1085" t="str">
        <f>+IFERROR(VLOOKUP(D1085,Daten_Verknüpfungen!$B$2:$C$2000,2,FALSE),"")</f>
        <v/>
      </c>
    </row>
    <row r="1086" spans="5:5" x14ac:dyDescent="0.2">
      <c r="E1086" t="str">
        <f>+IFERROR(VLOOKUP(D1086,Daten_Verknüpfungen!$B$2:$C$2000,2,FALSE),"")</f>
        <v/>
      </c>
    </row>
    <row r="1087" spans="5:5" x14ac:dyDescent="0.2">
      <c r="E1087" t="str">
        <f>+IFERROR(VLOOKUP(D1087,Daten_Verknüpfungen!$B$2:$C$2000,2,FALSE),"")</f>
        <v/>
      </c>
    </row>
    <row r="1088" spans="5:5" x14ac:dyDescent="0.2">
      <c r="E1088" t="str">
        <f>+IFERROR(VLOOKUP(D1088,Daten_Verknüpfungen!$B$2:$C$2000,2,FALSE),"")</f>
        <v/>
      </c>
    </row>
    <row r="1089" spans="5:5" x14ac:dyDescent="0.2">
      <c r="E1089" t="str">
        <f>+IFERROR(VLOOKUP(D1089,Daten_Verknüpfungen!$B$2:$C$2000,2,FALSE),"")</f>
        <v/>
      </c>
    </row>
    <row r="1090" spans="5:5" x14ac:dyDescent="0.2">
      <c r="E1090" t="str">
        <f>+IFERROR(VLOOKUP(D1090,Daten_Verknüpfungen!$B$2:$C$2000,2,FALSE),"")</f>
        <v/>
      </c>
    </row>
    <row r="1091" spans="5:5" x14ac:dyDescent="0.2">
      <c r="E1091" t="str">
        <f>+IFERROR(VLOOKUP(D1091,Daten_Verknüpfungen!$B$2:$C$2000,2,FALSE),"")</f>
        <v/>
      </c>
    </row>
    <row r="1092" spans="5:5" x14ac:dyDescent="0.2">
      <c r="E1092" t="str">
        <f>+IFERROR(VLOOKUP(D1092,Daten_Verknüpfungen!$B$2:$C$2000,2,FALSE),"")</f>
        <v/>
      </c>
    </row>
    <row r="1093" spans="5:5" x14ac:dyDescent="0.2">
      <c r="E1093" t="str">
        <f>+IFERROR(VLOOKUP(D1093,Daten_Verknüpfungen!$B$2:$C$2000,2,FALSE),"")</f>
        <v/>
      </c>
    </row>
    <row r="1094" spans="5:5" x14ac:dyDescent="0.2">
      <c r="E1094" t="str">
        <f>+IFERROR(VLOOKUP(D1094,Daten_Verknüpfungen!$B$2:$C$2000,2,FALSE),"")</f>
        <v/>
      </c>
    </row>
    <row r="1095" spans="5:5" x14ac:dyDescent="0.2">
      <c r="E1095" t="str">
        <f>+IFERROR(VLOOKUP(D1095,Daten_Verknüpfungen!$B$2:$C$2000,2,FALSE),"")</f>
        <v/>
      </c>
    </row>
    <row r="1096" spans="5:5" x14ac:dyDescent="0.2">
      <c r="E1096" t="str">
        <f>+IFERROR(VLOOKUP(D1096,Daten_Verknüpfungen!$B$2:$C$2000,2,FALSE),"")</f>
        <v/>
      </c>
    </row>
    <row r="1097" spans="5:5" x14ac:dyDescent="0.2">
      <c r="E1097" t="str">
        <f>+IFERROR(VLOOKUP(D1097,Daten_Verknüpfungen!$B$2:$C$2000,2,FALSE),"")</f>
        <v/>
      </c>
    </row>
    <row r="1098" spans="5:5" x14ac:dyDescent="0.2">
      <c r="E1098" t="str">
        <f>+IFERROR(VLOOKUP(D1098,Daten_Verknüpfungen!$B$2:$C$2000,2,FALSE),"")</f>
        <v/>
      </c>
    </row>
    <row r="1099" spans="5:5" x14ac:dyDescent="0.2">
      <c r="E1099" t="str">
        <f>+IFERROR(VLOOKUP(D1099,Daten_Verknüpfungen!$B$2:$C$2000,2,FALSE),"")</f>
        <v/>
      </c>
    </row>
    <row r="1100" spans="5:5" x14ac:dyDescent="0.2">
      <c r="E1100" t="str">
        <f>+IFERROR(VLOOKUP(D1100,Daten_Verknüpfungen!$B$2:$C$2000,2,FALSE),"")</f>
        <v/>
      </c>
    </row>
    <row r="1101" spans="5:5" x14ac:dyDescent="0.2">
      <c r="E1101" t="str">
        <f>+IFERROR(VLOOKUP(D1101,Daten_Verknüpfungen!$B$2:$C$2000,2,FALSE),"")</f>
        <v/>
      </c>
    </row>
    <row r="1102" spans="5:5" x14ac:dyDescent="0.2">
      <c r="E1102" t="str">
        <f>+IFERROR(VLOOKUP(D1102,Daten_Verknüpfungen!$B$2:$C$2000,2,FALSE),"")</f>
        <v/>
      </c>
    </row>
    <row r="1103" spans="5:5" x14ac:dyDescent="0.2">
      <c r="E1103" t="str">
        <f>+IFERROR(VLOOKUP(D1103,Daten_Verknüpfungen!$B$2:$C$2000,2,FALSE),"")</f>
        <v/>
      </c>
    </row>
    <row r="1104" spans="5:5" x14ac:dyDescent="0.2">
      <c r="E1104" t="str">
        <f>+IFERROR(VLOOKUP(D1104,Daten_Verknüpfungen!$B$2:$C$2000,2,FALSE),"")</f>
        <v/>
      </c>
    </row>
    <row r="1105" spans="5:5" x14ac:dyDescent="0.2">
      <c r="E1105" t="str">
        <f>+IFERROR(VLOOKUP(D1105,Daten_Verknüpfungen!$B$2:$C$2000,2,FALSE),"")</f>
        <v/>
      </c>
    </row>
    <row r="1106" spans="5:5" x14ac:dyDescent="0.2">
      <c r="E1106" t="str">
        <f>+IFERROR(VLOOKUP(D1106,Daten_Verknüpfungen!$B$2:$C$2000,2,FALSE),"")</f>
        <v/>
      </c>
    </row>
    <row r="1107" spans="5:5" x14ac:dyDescent="0.2">
      <c r="E1107" t="str">
        <f>+IFERROR(VLOOKUP(D1107,Daten_Verknüpfungen!$B$2:$C$2000,2,FALSE),"")</f>
        <v/>
      </c>
    </row>
    <row r="1108" spans="5:5" x14ac:dyDescent="0.2">
      <c r="E1108" t="str">
        <f>+IFERROR(VLOOKUP(D1108,Daten_Verknüpfungen!$B$2:$C$2000,2,FALSE),"")</f>
        <v/>
      </c>
    </row>
    <row r="1109" spans="5:5" x14ac:dyDescent="0.2">
      <c r="E1109" t="str">
        <f>+IFERROR(VLOOKUP(D1109,Daten_Verknüpfungen!$B$2:$C$2000,2,FALSE),"")</f>
        <v/>
      </c>
    </row>
    <row r="1110" spans="5:5" x14ac:dyDescent="0.2">
      <c r="E1110" t="str">
        <f>+IFERROR(VLOOKUP(D1110,Daten_Verknüpfungen!$B$2:$C$2000,2,FALSE),"")</f>
        <v/>
      </c>
    </row>
    <row r="1111" spans="5:5" x14ac:dyDescent="0.2">
      <c r="E1111" t="str">
        <f>+IFERROR(VLOOKUP(D1111,Daten_Verknüpfungen!$B$2:$C$2000,2,FALSE),"")</f>
        <v/>
      </c>
    </row>
    <row r="1112" spans="5:5" x14ac:dyDescent="0.2">
      <c r="E1112" t="str">
        <f>+IFERROR(VLOOKUP(D1112,Daten_Verknüpfungen!$B$2:$C$2000,2,FALSE),"")</f>
        <v/>
      </c>
    </row>
    <row r="1113" spans="5:5" x14ac:dyDescent="0.2">
      <c r="E1113" t="str">
        <f>+IFERROR(VLOOKUP(D1113,Daten_Verknüpfungen!$B$2:$C$2000,2,FALSE),"")</f>
        <v/>
      </c>
    </row>
    <row r="1114" spans="5:5" x14ac:dyDescent="0.2">
      <c r="E1114" t="str">
        <f>+IFERROR(VLOOKUP(D1114,Daten_Verknüpfungen!$B$2:$C$2000,2,FALSE),"")</f>
        <v/>
      </c>
    </row>
    <row r="1115" spans="5:5" x14ac:dyDescent="0.2">
      <c r="E1115" t="str">
        <f>+IFERROR(VLOOKUP(D1115,Daten_Verknüpfungen!$B$2:$C$2000,2,FALSE),"")</f>
        <v/>
      </c>
    </row>
    <row r="1116" spans="5:5" x14ac:dyDescent="0.2">
      <c r="E1116" t="str">
        <f>+IFERROR(VLOOKUP(D1116,Daten_Verknüpfungen!$B$2:$C$2000,2,FALSE),"")</f>
        <v/>
      </c>
    </row>
    <row r="1117" spans="5:5" x14ac:dyDescent="0.2">
      <c r="E1117" t="str">
        <f>+IFERROR(VLOOKUP(D1117,Daten_Verknüpfungen!$B$2:$C$2000,2,FALSE),"")</f>
        <v/>
      </c>
    </row>
    <row r="1118" spans="5:5" x14ac:dyDescent="0.2">
      <c r="E1118" t="str">
        <f>+IFERROR(VLOOKUP(D1118,Daten_Verknüpfungen!$B$2:$C$2000,2,FALSE),"")</f>
        <v/>
      </c>
    </row>
    <row r="1119" spans="5:5" x14ac:dyDescent="0.2">
      <c r="E1119" t="str">
        <f>+IFERROR(VLOOKUP(D1119,Daten_Verknüpfungen!$B$2:$C$2000,2,FALSE),"")</f>
        <v/>
      </c>
    </row>
    <row r="1120" spans="5:5" x14ac:dyDescent="0.2">
      <c r="E1120" t="str">
        <f>+IFERROR(VLOOKUP(D1120,Daten_Verknüpfungen!$B$2:$C$2000,2,FALSE),"")</f>
        <v/>
      </c>
    </row>
    <row r="1121" spans="5:5" x14ac:dyDescent="0.2">
      <c r="E1121" t="str">
        <f>+IFERROR(VLOOKUP(D1121,Daten_Verknüpfungen!$B$2:$C$2000,2,FALSE),"")</f>
        <v/>
      </c>
    </row>
    <row r="1122" spans="5:5" x14ac:dyDescent="0.2">
      <c r="E1122" t="str">
        <f>+IFERROR(VLOOKUP(D1122,Daten_Verknüpfungen!$B$2:$C$2000,2,FALSE),"")</f>
        <v/>
      </c>
    </row>
    <row r="1123" spans="5:5" x14ac:dyDescent="0.2">
      <c r="E1123" t="str">
        <f>+IFERROR(VLOOKUP(D1123,Daten_Verknüpfungen!$B$2:$C$2000,2,FALSE),"")</f>
        <v/>
      </c>
    </row>
    <row r="1124" spans="5:5" x14ac:dyDescent="0.2">
      <c r="E1124" t="str">
        <f>+IFERROR(VLOOKUP(D1124,Daten_Verknüpfungen!$B$2:$C$2000,2,FALSE),"")</f>
        <v/>
      </c>
    </row>
    <row r="1125" spans="5:5" x14ac:dyDescent="0.2">
      <c r="E1125" t="str">
        <f>+IFERROR(VLOOKUP(D1125,Daten_Verknüpfungen!$B$2:$C$2000,2,FALSE),"")</f>
        <v/>
      </c>
    </row>
    <row r="1126" spans="5:5" x14ac:dyDescent="0.2">
      <c r="E1126" t="str">
        <f>+IFERROR(VLOOKUP(D1126,Daten_Verknüpfungen!$B$2:$C$2000,2,FALSE),"")</f>
        <v/>
      </c>
    </row>
    <row r="1127" spans="5:5" x14ac:dyDescent="0.2">
      <c r="E1127" t="str">
        <f>+IFERROR(VLOOKUP(D1127,Daten_Verknüpfungen!$B$2:$C$2000,2,FALSE),"")</f>
        <v/>
      </c>
    </row>
    <row r="1128" spans="5:5" x14ac:dyDescent="0.2">
      <c r="E1128" t="str">
        <f>+IFERROR(VLOOKUP(D1128,Daten_Verknüpfungen!$B$2:$C$2000,2,FALSE),"")</f>
        <v/>
      </c>
    </row>
    <row r="1129" spans="5:5" x14ac:dyDescent="0.2">
      <c r="E1129" t="str">
        <f>+IFERROR(VLOOKUP(D1129,Daten_Verknüpfungen!$B$2:$C$2000,2,FALSE),"")</f>
        <v/>
      </c>
    </row>
    <row r="1130" spans="5:5" x14ac:dyDescent="0.2">
      <c r="E1130" t="str">
        <f>+IFERROR(VLOOKUP(D1130,Daten_Verknüpfungen!$B$2:$C$2000,2,FALSE),"")</f>
        <v/>
      </c>
    </row>
    <row r="1131" spans="5:5" x14ac:dyDescent="0.2">
      <c r="E1131" t="str">
        <f>+IFERROR(VLOOKUP(D1131,Daten_Verknüpfungen!$B$2:$C$2000,2,FALSE),"")</f>
        <v/>
      </c>
    </row>
    <row r="1132" spans="5:5" x14ac:dyDescent="0.2">
      <c r="E1132" t="str">
        <f>+IFERROR(VLOOKUP(D1132,Daten_Verknüpfungen!$B$2:$C$2000,2,FALSE),"")</f>
        <v/>
      </c>
    </row>
    <row r="1133" spans="5:5" x14ac:dyDescent="0.2">
      <c r="E1133" t="str">
        <f>+IFERROR(VLOOKUP(D1133,Daten_Verknüpfungen!$B$2:$C$2000,2,FALSE),"")</f>
        <v/>
      </c>
    </row>
    <row r="1134" spans="5:5" x14ac:dyDescent="0.2">
      <c r="E1134" t="str">
        <f>+IFERROR(VLOOKUP(D1134,Daten_Verknüpfungen!$B$2:$C$2000,2,FALSE),"")</f>
        <v/>
      </c>
    </row>
    <row r="1135" spans="5:5" x14ac:dyDescent="0.2">
      <c r="E1135" t="str">
        <f>+IFERROR(VLOOKUP(D1135,Daten_Verknüpfungen!$B$2:$C$2000,2,FALSE),"")</f>
        <v/>
      </c>
    </row>
    <row r="1136" spans="5:5" x14ac:dyDescent="0.2">
      <c r="E1136" t="str">
        <f>+IFERROR(VLOOKUP(D1136,Daten_Verknüpfungen!$B$2:$C$2000,2,FALSE),"")</f>
        <v/>
      </c>
    </row>
    <row r="1137" spans="5:5" x14ac:dyDescent="0.2">
      <c r="E1137" t="str">
        <f>+IFERROR(VLOOKUP(D1137,Daten_Verknüpfungen!$B$2:$C$2000,2,FALSE),"")</f>
        <v/>
      </c>
    </row>
    <row r="1138" spans="5:5" x14ac:dyDescent="0.2">
      <c r="E1138" t="str">
        <f>+IFERROR(VLOOKUP(D1138,Daten_Verknüpfungen!$B$2:$C$2000,2,FALSE),"")</f>
        <v/>
      </c>
    </row>
    <row r="1139" spans="5:5" x14ac:dyDescent="0.2">
      <c r="E1139" t="str">
        <f>+IFERROR(VLOOKUP(D1139,Daten_Verknüpfungen!$B$2:$C$2000,2,FALSE),"")</f>
        <v/>
      </c>
    </row>
    <row r="1140" spans="5:5" x14ac:dyDescent="0.2">
      <c r="E1140" t="str">
        <f>+IFERROR(VLOOKUP(D1140,Daten_Verknüpfungen!$B$2:$C$2000,2,FALSE),"")</f>
        <v/>
      </c>
    </row>
    <row r="1141" spans="5:5" x14ac:dyDescent="0.2">
      <c r="E1141" t="str">
        <f>+IFERROR(VLOOKUP(D1141,Daten_Verknüpfungen!$B$2:$C$2000,2,FALSE),"")</f>
        <v/>
      </c>
    </row>
    <row r="1142" spans="5:5" x14ac:dyDescent="0.2">
      <c r="E1142" t="str">
        <f>+IFERROR(VLOOKUP(D1142,Daten_Verknüpfungen!$B$2:$C$2000,2,FALSE),"")</f>
        <v/>
      </c>
    </row>
    <row r="1143" spans="5:5" x14ac:dyDescent="0.2">
      <c r="E1143" t="str">
        <f>+IFERROR(VLOOKUP(D1143,Daten_Verknüpfungen!$B$2:$C$2000,2,FALSE),"")</f>
        <v/>
      </c>
    </row>
    <row r="1144" spans="5:5" x14ac:dyDescent="0.2">
      <c r="E1144" t="str">
        <f>+IFERROR(VLOOKUP(D1144,Daten_Verknüpfungen!$B$2:$C$2000,2,FALSE),"")</f>
        <v/>
      </c>
    </row>
    <row r="1145" spans="5:5" x14ac:dyDescent="0.2">
      <c r="E1145" t="str">
        <f>+IFERROR(VLOOKUP(D1145,Daten_Verknüpfungen!$B$2:$C$2000,2,FALSE),"")</f>
        <v/>
      </c>
    </row>
    <row r="1146" spans="5:5" x14ac:dyDescent="0.2">
      <c r="E1146" t="str">
        <f>+IFERROR(VLOOKUP(D1146,Daten_Verknüpfungen!$B$2:$C$2000,2,FALSE),"")</f>
        <v/>
      </c>
    </row>
    <row r="1147" spans="5:5" x14ac:dyDescent="0.2">
      <c r="E1147" t="str">
        <f>+IFERROR(VLOOKUP(D1147,Daten_Verknüpfungen!$B$2:$C$2000,2,FALSE),"")</f>
        <v/>
      </c>
    </row>
    <row r="1148" spans="5:5" x14ac:dyDescent="0.2">
      <c r="E1148" t="str">
        <f>+IFERROR(VLOOKUP(D1148,Daten_Verknüpfungen!$B$2:$C$2000,2,FALSE),"")</f>
        <v/>
      </c>
    </row>
    <row r="1149" spans="5:5" x14ac:dyDescent="0.2">
      <c r="E1149" t="str">
        <f>+IFERROR(VLOOKUP(D1149,Daten_Verknüpfungen!$B$2:$C$2000,2,FALSE),"")</f>
        <v/>
      </c>
    </row>
    <row r="1150" spans="5:5" x14ac:dyDescent="0.2">
      <c r="E1150" t="str">
        <f>+IFERROR(VLOOKUP(D1150,Daten_Verknüpfungen!$B$2:$C$2000,2,FALSE),"")</f>
        <v/>
      </c>
    </row>
    <row r="1151" spans="5:5" x14ac:dyDescent="0.2">
      <c r="E1151" t="str">
        <f>+IFERROR(VLOOKUP(D1151,Daten_Verknüpfungen!$B$2:$C$2000,2,FALSE),"")</f>
        <v/>
      </c>
    </row>
    <row r="1152" spans="5:5" x14ac:dyDescent="0.2">
      <c r="E1152" t="str">
        <f>+IFERROR(VLOOKUP(D1152,Daten_Verknüpfungen!$B$2:$C$2000,2,FALSE),"")</f>
        <v/>
      </c>
    </row>
    <row r="1153" spans="5:5" x14ac:dyDescent="0.2">
      <c r="E1153" t="str">
        <f>+IFERROR(VLOOKUP(D1153,Daten_Verknüpfungen!$B$2:$C$2000,2,FALSE),"")</f>
        <v/>
      </c>
    </row>
    <row r="1154" spans="5:5" x14ac:dyDescent="0.2">
      <c r="E1154" t="str">
        <f>+IFERROR(VLOOKUP(D1154,Daten_Verknüpfungen!$B$2:$C$2000,2,FALSE),"")</f>
        <v/>
      </c>
    </row>
    <row r="1155" spans="5:5" x14ac:dyDescent="0.2">
      <c r="E1155" t="str">
        <f>+IFERROR(VLOOKUP(D1155,Daten_Verknüpfungen!$B$2:$C$2000,2,FALSE),"")</f>
        <v/>
      </c>
    </row>
    <row r="1156" spans="5:5" x14ac:dyDescent="0.2">
      <c r="E1156" t="str">
        <f>+IFERROR(VLOOKUP(D1156,Daten_Verknüpfungen!$B$2:$C$2000,2,FALSE),"")</f>
        <v/>
      </c>
    </row>
    <row r="1157" spans="5:5" x14ac:dyDescent="0.2">
      <c r="E1157" t="str">
        <f>+IFERROR(VLOOKUP(D1157,Daten_Verknüpfungen!$B$2:$C$2000,2,FALSE),"")</f>
        <v/>
      </c>
    </row>
    <row r="1158" spans="5:5" x14ac:dyDescent="0.2">
      <c r="E1158" t="str">
        <f>+IFERROR(VLOOKUP(D1158,Daten_Verknüpfungen!$B$2:$C$2000,2,FALSE),"")</f>
        <v/>
      </c>
    </row>
    <row r="1159" spans="5:5" x14ac:dyDescent="0.2">
      <c r="E1159" t="str">
        <f>+IFERROR(VLOOKUP(D1159,Daten_Verknüpfungen!$B$2:$C$2000,2,FALSE),"")</f>
        <v/>
      </c>
    </row>
    <row r="1160" spans="5:5" x14ac:dyDescent="0.2">
      <c r="E1160" t="str">
        <f>+IFERROR(VLOOKUP(D1160,Daten_Verknüpfungen!$B$2:$C$2000,2,FALSE),"")</f>
        <v/>
      </c>
    </row>
    <row r="1161" spans="5:5" x14ac:dyDescent="0.2">
      <c r="E1161" t="str">
        <f>+IFERROR(VLOOKUP(D1161,Daten_Verknüpfungen!$B$2:$C$2000,2,FALSE),"")</f>
        <v/>
      </c>
    </row>
    <row r="1162" spans="5:5" x14ac:dyDescent="0.2">
      <c r="E1162" t="str">
        <f>+IFERROR(VLOOKUP(D1162,Daten_Verknüpfungen!$B$2:$C$2000,2,FALSE),"")</f>
        <v/>
      </c>
    </row>
    <row r="1163" spans="5:5" x14ac:dyDescent="0.2">
      <c r="E1163" t="str">
        <f>+IFERROR(VLOOKUP(D1163,Daten_Verknüpfungen!$B$2:$C$2000,2,FALSE),"")</f>
        <v/>
      </c>
    </row>
    <row r="1164" spans="5:5" x14ac:dyDescent="0.2">
      <c r="E1164" t="str">
        <f>+IFERROR(VLOOKUP(D1164,Daten_Verknüpfungen!$B$2:$C$2000,2,FALSE),"")</f>
        <v/>
      </c>
    </row>
    <row r="1165" spans="5:5" x14ac:dyDescent="0.2">
      <c r="E1165" t="str">
        <f>+IFERROR(VLOOKUP(D1165,Daten_Verknüpfungen!$B$2:$C$2000,2,FALSE),"")</f>
        <v/>
      </c>
    </row>
    <row r="1166" spans="5:5" x14ac:dyDescent="0.2">
      <c r="E1166" t="str">
        <f>+IFERROR(VLOOKUP(D1166,Daten_Verknüpfungen!$B$2:$C$2000,2,FALSE),"")</f>
        <v/>
      </c>
    </row>
    <row r="1167" spans="5:5" x14ac:dyDescent="0.2">
      <c r="E1167" t="str">
        <f>+IFERROR(VLOOKUP(D1167,Daten_Verknüpfungen!$B$2:$C$2000,2,FALSE),"")</f>
        <v/>
      </c>
    </row>
    <row r="1168" spans="5:5" x14ac:dyDescent="0.2">
      <c r="E1168" t="str">
        <f>+IFERROR(VLOOKUP(D1168,Daten_Verknüpfungen!$B$2:$C$2000,2,FALSE),"")</f>
        <v/>
      </c>
    </row>
    <row r="1169" spans="5:5" x14ac:dyDescent="0.2">
      <c r="E1169" t="str">
        <f>+IFERROR(VLOOKUP(D1169,Daten_Verknüpfungen!$B$2:$C$2000,2,FALSE),"")</f>
        <v/>
      </c>
    </row>
    <row r="1170" spans="5:5" x14ac:dyDescent="0.2">
      <c r="E1170" t="str">
        <f>+IFERROR(VLOOKUP(D1170,Daten_Verknüpfungen!$B$2:$C$2000,2,FALSE),"")</f>
        <v/>
      </c>
    </row>
    <row r="1171" spans="5:5" x14ac:dyDescent="0.2">
      <c r="E1171" t="str">
        <f>+IFERROR(VLOOKUP(D1171,Daten_Verknüpfungen!$B$2:$C$2000,2,FALSE),"")</f>
        <v/>
      </c>
    </row>
    <row r="1172" spans="5:5" x14ac:dyDescent="0.2">
      <c r="E1172" t="str">
        <f>+IFERROR(VLOOKUP(D1172,Daten_Verknüpfungen!$B$2:$C$2000,2,FALSE),"")</f>
        <v/>
      </c>
    </row>
    <row r="1173" spans="5:5" x14ac:dyDescent="0.2">
      <c r="E1173" t="str">
        <f>+IFERROR(VLOOKUP(D1173,Daten_Verknüpfungen!$B$2:$C$2000,2,FALSE),"")</f>
        <v/>
      </c>
    </row>
    <row r="1174" spans="5:5" x14ac:dyDescent="0.2">
      <c r="E1174" t="str">
        <f>+IFERROR(VLOOKUP(D1174,Daten_Verknüpfungen!$B$2:$C$2000,2,FALSE),"")</f>
        <v/>
      </c>
    </row>
    <row r="1175" spans="5:5" x14ac:dyDescent="0.2">
      <c r="E1175" t="str">
        <f>+IFERROR(VLOOKUP(D1175,Daten_Verknüpfungen!$B$2:$C$2000,2,FALSE),"")</f>
        <v/>
      </c>
    </row>
    <row r="1176" spans="5:5" x14ac:dyDescent="0.2">
      <c r="E1176" t="str">
        <f>+IFERROR(VLOOKUP(D1176,Daten_Verknüpfungen!$B$2:$C$2000,2,FALSE),"")</f>
        <v/>
      </c>
    </row>
    <row r="1177" spans="5:5" x14ac:dyDescent="0.2">
      <c r="E1177" t="str">
        <f>+IFERROR(VLOOKUP(D1177,Daten_Verknüpfungen!$B$2:$C$2000,2,FALSE),"")</f>
        <v/>
      </c>
    </row>
    <row r="1178" spans="5:5" x14ac:dyDescent="0.2">
      <c r="E1178" t="str">
        <f>+IFERROR(VLOOKUP(D1178,Daten_Verknüpfungen!$B$2:$C$2000,2,FALSE),"")</f>
        <v/>
      </c>
    </row>
    <row r="1179" spans="5:5" x14ac:dyDescent="0.2">
      <c r="E1179" t="str">
        <f>+IFERROR(VLOOKUP(D1179,Daten_Verknüpfungen!$B$2:$C$2000,2,FALSE),"")</f>
        <v/>
      </c>
    </row>
    <row r="1180" spans="5:5" x14ac:dyDescent="0.2">
      <c r="E1180" t="str">
        <f>+IFERROR(VLOOKUP(D1180,Daten_Verknüpfungen!$B$2:$C$2000,2,FALSE),"")</f>
        <v/>
      </c>
    </row>
    <row r="1181" spans="5:5" x14ac:dyDescent="0.2">
      <c r="E1181" t="str">
        <f>+IFERROR(VLOOKUP(D1181,Daten_Verknüpfungen!$B$2:$C$2000,2,FALSE),"")</f>
        <v/>
      </c>
    </row>
    <row r="1182" spans="5:5" x14ac:dyDescent="0.2">
      <c r="E1182" t="str">
        <f>+IFERROR(VLOOKUP(D1182,Daten_Verknüpfungen!$B$2:$C$2000,2,FALSE),"")</f>
        <v/>
      </c>
    </row>
    <row r="1183" spans="5:5" x14ac:dyDescent="0.2">
      <c r="E1183" t="str">
        <f>+IFERROR(VLOOKUP(D1183,Daten_Verknüpfungen!$B$2:$C$2000,2,FALSE),"")</f>
        <v/>
      </c>
    </row>
    <row r="1184" spans="5:5" x14ac:dyDescent="0.2">
      <c r="E1184" t="str">
        <f>+IFERROR(VLOOKUP(D1184,Daten_Verknüpfungen!$B$2:$C$2000,2,FALSE),"")</f>
        <v/>
      </c>
    </row>
    <row r="1185" spans="5:5" x14ac:dyDescent="0.2">
      <c r="E1185" t="str">
        <f>+IFERROR(VLOOKUP(D1185,Daten_Verknüpfungen!$B$2:$C$2000,2,FALSE),"")</f>
        <v/>
      </c>
    </row>
    <row r="1186" spans="5:5" x14ac:dyDescent="0.2">
      <c r="E1186" t="str">
        <f>+IFERROR(VLOOKUP(D1186,Daten_Verknüpfungen!$B$2:$C$2000,2,FALSE),"")</f>
        <v/>
      </c>
    </row>
    <row r="1187" spans="5:5" x14ac:dyDescent="0.2">
      <c r="E1187" t="str">
        <f>+IFERROR(VLOOKUP(D1187,Daten_Verknüpfungen!$B$2:$C$2000,2,FALSE),"")</f>
        <v/>
      </c>
    </row>
    <row r="1188" spans="5:5" x14ac:dyDescent="0.2">
      <c r="E1188" t="str">
        <f>+IFERROR(VLOOKUP(D1188,Daten_Verknüpfungen!$B$2:$C$2000,2,FALSE),"")</f>
        <v/>
      </c>
    </row>
    <row r="1189" spans="5:5" x14ac:dyDescent="0.2">
      <c r="E1189" t="str">
        <f>+IFERROR(VLOOKUP(D1189,Daten_Verknüpfungen!$B$2:$C$2000,2,FALSE),"")</f>
        <v/>
      </c>
    </row>
    <row r="1190" spans="5:5" x14ac:dyDescent="0.2">
      <c r="E1190" t="str">
        <f>+IFERROR(VLOOKUP(D1190,Daten_Verknüpfungen!$B$2:$C$2000,2,FALSE),"")</f>
        <v/>
      </c>
    </row>
    <row r="1191" spans="5:5" x14ac:dyDescent="0.2">
      <c r="E1191" t="str">
        <f>+IFERROR(VLOOKUP(D1191,Daten_Verknüpfungen!$B$2:$C$2000,2,FALSE),"")</f>
        <v/>
      </c>
    </row>
    <row r="1192" spans="5:5" x14ac:dyDescent="0.2">
      <c r="E1192" t="str">
        <f>+IFERROR(VLOOKUP(D1192,Daten_Verknüpfungen!$B$2:$C$2000,2,FALSE),"")</f>
        <v/>
      </c>
    </row>
    <row r="1193" spans="5:5" x14ac:dyDescent="0.2">
      <c r="E1193" t="str">
        <f>+IFERROR(VLOOKUP(D1193,Daten_Verknüpfungen!$B$2:$C$2000,2,FALSE),"")</f>
        <v/>
      </c>
    </row>
    <row r="1194" spans="5:5" x14ac:dyDescent="0.2">
      <c r="E1194" t="str">
        <f>+IFERROR(VLOOKUP(D1194,Daten_Verknüpfungen!$B$2:$C$2000,2,FALSE),"")</f>
        <v/>
      </c>
    </row>
    <row r="1195" spans="5:5" x14ac:dyDescent="0.2">
      <c r="E1195" t="str">
        <f>+IFERROR(VLOOKUP(D1195,Daten_Verknüpfungen!$B$2:$C$2000,2,FALSE),"")</f>
        <v/>
      </c>
    </row>
    <row r="1196" spans="5:5" x14ac:dyDescent="0.2">
      <c r="E1196" t="str">
        <f>+IFERROR(VLOOKUP(D1196,Daten_Verknüpfungen!$B$2:$C$2000,2,FALSE),"")</f>
        <v/>
      </c>
    </row>
    <row r="1197" spans="5:5" x14ac:dyDescent="0.2">
      <c r="E1197" t="str">
        <f>+IFERROR(VLOOKUP(D1197,Daten_Verknüpfungen!$B$2:$C$2000,2,FALSE),"")</f>
        <v/>
      </c>
    </row>
    <row r="1198" spans="5:5" x14ac:dyDescent="0.2">
      <c r="E1198" t="str">
        <f>+IFERROR(VLOOKUP(D1198,Daten_Verknüpfungen!$B$2:$C$2000,2,FALSE),"")</f>
        <v/>
      </c>
    </row>
    <row r="1199" spans="5:5" x14ac:dyDescent="0.2">
      <c r="E1199" t="str">
        <f>+IFERROR(VLOOKUP(D1199,Daten_Verknüpfungen!$B$2:$C$2000,2,FALSE),"")</f>
        <v/>
      </c>
    </row>
    <row r="1200" spans="5:5" x14ac:dyDescent="0.2">
      <c r="E1200" t="str">
        <f>+IFERROR(VLOOKUP(D1200,Daten_Verknüpfungen!$B$2:$C$2000,2,FALSE),"")</f>
        <v/>
      </c>
    </row>
    <row r="1201" spans="5:5" x14ac:dyDescent="0.2">
      <c r="E1201" t="str">
        <f>+IFERROR(VLOOKUP(D1201,Daten_Verknüpfungen!$B$2:$C$2000,2,FALSE),"")</f>
        <v/>
      </c>
    </row>
    <row r="1202" spans="5:5" x14ac:dyDescent="0.2">
      <c r="E1202" t="str">
        <f>+IFERROR(VLOOKUP(D1202,Daten_Verknüpfungen!$B$2:$C$2000,2,FALSE),"")</f>
        <v/>
      </c>
    </row>
    <row r="1203" spans="5:5" x14ac:dyDescent="0.2">
      <c r="E1203" t="str">
        <f>+IFERROR(VLOOKUP(D1203,Daten_Verknüpfungen!$B$2:$C$2000,2,FALSE),"")</f>
        <v/>
      </c>
    </row>
    <row r="1204" spans="5:5" x14ac:dyDescent="0.2">
      <c r="E1204" t="str">
        <f>+IFERROR(VLOOKUP(D1204,Daten_Verknüpfungen!$B$2:$C$2000,2,FALSE),"")</f>
        <v/>
      </c>
    </row>
    <row r="1205" spans="5:5" x14ac:dyDescent="0.2">
      <c r="E1205" t="str">
        <f>+IFERROR(VLOOKUP(D1205,Daten_Verknüpfungen!$B$2:$C$2000,2,FALSE),"")</f>
        <v/>
      </c>
    </row>
    <row r="1206" spans="5:5" x14ac:dyDescent="0.2">
      <c r="E1206" t="str">
        <f>+IFERROR(VLOOKUP(D1206,Daten_Verknüpfungen!$B$2:$C$2000,2,FALSE),"")</f>
        <v/>
      </c>
    </row>
    <row r="1207" spans="5:5" x14ac:dyDescent="0.2">
      <c r="E1207" t="str">
        <f>+IFERROR(VLOOKUP(D1207,Daten_Verknüpfungen!$B$2:$C$2000,2,FALSE),"")</f>
        <v/>
      </c>
    </row>
    <row r="1208" spans="5:5" x14ac:dyDescent="0.2">
      <c r="E1208" t="str">
        <f>+IFERROR(VLOOKUP(D1208,Daten_Verknüpfungen!$B$2:$C$2000,2,FALSE),"")</f>
        <v/>
      </c>
    </row>
    <row r="1209" spans="5:5" x14ac:dyDescent="0.2">
      <c r="E1209" t="str">
        <f>+IFERROR(VLOOKUP(D1209,Daten_Verknüpfungen!$B$2:$C$2000,2,FALSE),"")</f>
        <v/>
      </c>
    </row>
    <row r="1210" spans="5:5" x14ac:dyDescent="0.2">
      <c r="E1210" t="str">
        <f>+IFERROR(VLOOKUP(D1210,Daten_Verknüpfungen!$B$2:$C$2000,2,FALSE),"")</f>
        <v/>
      </c>
    </row>
    <row r="1211" spans="5:5" x14ac:dyDescent="0.2">
      <c r="E1211" t="str">
        <f>+IFERROR(VLOOKUP(D1211,Daten_Verknüpfungen!$B$2:$C$2000,2,FALSE),"")</f>
        <v/>
      </c>
    </row>
    <row r="1212" spans="5:5" x14ac:dyDescent="0.2">
      <c r="E1212" t="str">
        <f>+IFERROR(VLOOKUP(D1212,Daten_Verknüpfungen!$B$2:$C$2000,2,FALSE),"")</f>
        <v/>
      </c>
    </row>
    <row r="1213" spans="5:5" x14ac:dyDescent="0.2">
      <c r="E1213" t="str">
        <f>+IFERROR(VLOOKUP(D1213,Daten_Verknüpfungen!$B$2:$C$2000,2,FALSE),"")</f>
        <v/>
      </c>
    </row>
    <row r="1214" spans="5:5" x14ac:dyDescent="0.2">
      <c r="E1214" t="str">
        <f>+IFERROR(VLOOKUP(D1214,Daten_Verknüpfungen!$B$2:$C$2000,2,FALSE),"")</f>
        <v/>
      </c>
    </row>
    <row r="1215" spans="5:5" x14ac:dyDescent="0.2">
      <c r="E1215" t="str">
        <f>+IFERROR(VLOOKUP(D1215,Daten_Verknüpfungen!$B$2:$C$2000,2,FALSE),"")</f>
        <v/>
      </c>
    </row>
    <row r="1216" spans="5:5" x14ac:dyDescent="0.2">
      <c r="E1216" t="str">
        <f>+IFERROR(VLOOKUP(D1216,Daten_Verknüpfungen!$B$2:$C$2000,2,FALSE),"")</f>
        <v/>
      </c>
    </row>
    <row r="1217" spans="5:5" x14ac:dyDescent="0.2">
      <c r="E1217" t="str">
        <f>+IFERROR(VLOOKUP(D1217,Daten_Verknüpfungen!$B$2:$C$2000,2,FALSE),"")</f>
        <v/>
      </c>
    </row>
    <row r="1218" spans="5:5" x14ac:dyDescent="0.2">
      <c r="E1218" t="str">
        <f>+IFERROR(VLOOKUP(D1218,Daten_Verknüpfungen!$B$2:$C$2000,2,FALSE),"")</f>
        <v/>
      </c>
    </row>
    <row r="1219" spans="5:5" x14ac:dyDescent="0.2">
      <c r="E1219" t="str">
        <f>+IFERROR(VLOOKUP(D1219,Daten_Verknüpfungen!$B$2:$C$2000,2,FALSE),"")</f>
        <v/>
      </c>
    </row>
    <row r="1220" spans="5:5" x14ac:dyDescent="0.2">
      <c r="E1220" t="str">
        <f>+IFERROR(VLOOKUP(D1220,Daten_Verknüpfungen!$B$2:$C$2000,2,FALSE),"")</f>
        <v/>
      </c>
    </row>
    <row r="1221" spans="5:5" x14ac:dyDescent="0.2">
      <c r="E1221" t="str">
        <f>+IFERROR(VLOOKUP(D1221,Daten_Verknüpfungen!$B$2:$C$2000,2,FALSE),"")</f>
        <v/>
      </c>
    </row>
    <row r="1222" spans="5:5" x14ac:dyDescent="0.2">
      <c r="E1222" t="str">
        <f>+IFERROR(VLOOKUP(D1222,Daten_Verknüpfungen!$B$2:$C$2000,2,FALSE),"")</f>
        <v/>
      </c>
    </row>
    <row r="1223" spans="5:5" x14ac:dyDescent="0.2">
      <c r="E1223" t="str">
        <f>+IFERROR(VLOOKUP(D1223,Daten_Verknüpfungen!$B$2:$C$2000,2,FALSE),"")</f>
        <v/>
      </c>
    </row>
    <row r="1224" spans="5:5" x14ac:dyDescent="0.2">
      <c r="E1224" t="str">
        <f>+IFERROR(VLOOKUP(D1224,Daten_Verknüpfungen!$B$2:$C$2000,2,FALSE),"")</f>
        <v/>
      </c>
    </row>
    <row r="1225" spans="5:5" x14ac:dyDescent="0.2">
      <c r="E1225" t="str">
        <f>+IFERROR(VLOOKUP(D1225,Daten_Verknüpfungen!$B$2:$C$2000,2,FALSE),"")</f>
        <v/>
      </c>
    </row>
    <row r="1226" spans="5:5" x14ac:dyDescent="0.2">
      <c r="E1226" t="str">
        <f>+IFERROR(VLOOKUP(D1226,Daten_Verknüpfungen!$B$2:$C$2000,2,FALSE),"")</f>
        <v/>
      </c>
    </row>
    <row r="1227" spans="5:5" x14ac:dyDescent="0.2">
      <c r="E1227" t="str">
        <f>+IFERROR(VLOOKUP(D1227,Daten_Verknüpfungen!$B$2:$C$2000,2,FALSE),"")</f>
        <v/>
      </c>
    </row>
    <row r="1228" spans="5:5" x14ac:dyDescent="0.2">
      <c r="E1228" t="str">
        <f>+IFERROR(VLOOKUP(D1228,Daten_Verknüpfungen!$B$2:$C$2000,2,FALSE),"")</f>
        <v/>
      </c>
    </row>
    <row r="1229" spans="5:5" x14ac:dyDescent="0.2">
      <c r="E1229" t="str">
        <f>+IFERROR(VLOOKUP(D1229,Daten_Verknüpfungen!$B$2:$C$2000,2,FALSE),"")</f>
        <v/>
      </c>
    </row>
    <row r="1230" spans="5:5" x14ac:dyDescent="0.2">
      <c r="E1230" t="str">
        <f>+IFERROR(VLOOKUP(D1230,Daten_Verknüpfungen!$B$2:$C$2000,2,FALSE),"")</f>
        <v/>
      </c>
    </row>
    <row r="1231" spans="5:5" x14ac:dyDescent="0.2">
      <c r="E1231" t="str">
        <f>+IFERROR(VLOOKUP(D1231,Daten_Verknüpfungen!$B$2:$C$2000,2,FALSE),"")</f>
        <v/>
      </c>
    </row>
    <row r="1232" spans="5:5" x14ac:dyDescent="0.2">
      <c r="E1232" t="str">
        <f>+IFERROR(VLOOKUP(D1232,Daten_Verknüpfungen!$B$2:$C$2000,2,FALSE),"")</f>
        <v/>
      </c>
    </row>
    <row r="1233" spans="5:5" x14ac:dyDescent="0.2">
      <c r="E1233" t="str">
        <f>+IFERROR(VLOOKUP(D1233,Daten_Verknüpfungen!$B$2:$C$2000,2,FALSE),"")</f>
        <v/>
      </c>
    </row>
    <row r="1234" spans="5:5" x14ac:dyDescent="0.2">
      <c r="E1234" t="str">
        <f>+IFERROR(VLOOKUP(D1234,Daten_Verknüpfungen!$B$2:$C$2000,2,FALSE),"")</f>
        <v/>
      </c>
    </row>
    <row r="1235" spans="5:5" x14ac:dyDescent="0.2">
      <c r="E1235" t="str">
        <f>+IFERROR(VLOOKUP(D1235,Daten_Verknüpfungen!$B$2:$C$2000,2,FALSE),"")</f>
        <v/>
      </c>
    </row>
    <row r="1236" spans="5:5" x14ac:dyDescent="0.2">
      <c r="E1236" t="str">
        <f>+IFERROR(VLOOKUP(D1236,Daten_Verknüpfungen!$B$2:$C$2000,2,FALSE),"")</f>
        <v/>
      </c>
    </row>
    <row r="1237" spans="5:5" x14ac:dyDescent="0.2">
      <c r="E1237" t="str">
        <f>+IFERROR(VLOOKUP(D1237,Daten_Verknüpfungen!$B$2:$C$2000,2,FALSE),"")</f>
        <v/>
      </c>
    </row>
    <row r="1238" spans="5:5" x14ac:dyDescent="0.2">
      <c r="E1238" t="str">
        <f>+IFERROR(VLOOKUP(D1238,Daten_Verknüpfungen!$B$2:$C$2000,2,FALSE),"")</f>
        <v/>
      </c>
    </row>
    <row r="1239" spans="5:5" x14ac:dyDescent="0.2">
      <c r="E1239" t="str">
        <f>+IFERROR(VLOOKUP(D1239,Daten_Verknüpfungen!$B$2:$C$2000,2,FALSE),"")</f>
        <v/>
      </c>
    </row>
    <row r="1240" spans="5:5" x14ac:dyDescent="0.2">
      <c r="E1240" t="str">
        <f>+IFERROR(VLOOKUP(D1240,Daten_Verknüpfungen!$B$2:$C$2000,2,FALSE),"")</f>
        <v/>
      </c>
    </row>
    <row r="1241" spans="5:5" x14ac:dyDescent="0.2">
      <c r="E1241" t="str">
        <f>+IFERROR(VLOOKUP(D1241,Daten_Verknüpfungen!$B$2:$C$2000,2,FALSE),"")</f>
        <v/>
      </c>
    </row>
    <row r="1242" spans="5:5" x14ac:dyDescent="0.2">
      <c r="E1242" t="str">
        <f>+IFERROR(VLOOKUP(D1242,Daten_Verknüpfungen!$B$2:$C$2000,2,FALSE),"")</f>
        <v/>
      </c>
    </row>
    <row r="1243" spans="5:5" x14ac:dyDescent="0.2">
      <c r="E1243" t="str">
        <f>+IFERROR(VLOOKUP(D1243,Daten_Verknüpfungen!$B$2:$C$2000,2,FALSE),"")</f>
        <v/>
      </c>
    </row>
    <row r="1244" spans="5:5" x14ac:dyDescent="0.2">
      <c r="E1244" t="str">
        <f>+IFERROR(VLOOKUP(D1244,Daten_Verknüpfungen!$B$2:$C$2000,2,FALSE),"")</f>
        <v/>
      </c>
    </row>
    <row r="1245" spans="5:5" x14ac:dyDescent="0.2">
      <c r="E1245" t="str">
        <f>+IFERROR(VLOOKUP(D1245,Daten_Verknüpfungen!$B$2:$C$2000,2,FALSE),"")</f>
        <v/>
      </c>
    </row>
    <row r="1246" spans="5:5" x14ac:dyDescent="0.2">
      <c r="E1246" t="str">
        <f>+IFERROR(VLOOKUP(D1246,Daten_Verknüpfungen!$B$2:$C$2000,2,FALSE),"")</f>
        <v/>
      </c>
    </row>
    <row r="1247" spans="5:5" x14ac:dyDescent="0.2">
      <c r="E1247" t="str">
        <f>+IFERROR(VLOOKUP(D1247,Daten_Verknüpfungen!$B$2:$C$2000,2,FALSE),"")</f>
        <v/>
      </c>
    </row>
    <row r="1248" spans="5:5" x14ac:dyDescent="0.2">
      <c r="E1248" t="str">
        <f>+IFERROR(VLOOKUP(D1248,Daten_Verknüpfungen!$B$2:$C$2000,2,FALSE),"")</f>
        <v/>
      </c>
    </row>
    <row r="1249" spans="5:5" x14ac:dyDescent="0.2">
      <c r="E1249" t="str">
        <f>+IFERROR(VLOOKUP(D1249,Daten_Verknüpfungen!$B$2:$C$2000,2,FALSE),"")</f>
        <v/>
      </c>
    </row>
    <row r="1250" spans="5:5" x14ac:dyDescent="0.2">
      <c r="E1250" t="str">
        <f>+IFERROR(VLOOKUP(D1250,Daten_Verknüpfungen!$B$2:$C$2000,2,FALSE),"")</f>
        <v/>
      </c>
    </row>
    <row r="1251" spans="5:5" x14ac:dyDescent="0.2">
      <c r="E1251" t="str">
        <f>+IFERROR(VLOOKUP(D1251,Daten_Verknüpfungen!$B$2:$C$2000,2,FALSE),"")</f>
        <v/>
      </c>
    </row>
    <row r="1252" spans="5:5" x14ac:dyDescent="0.2">
      <c r="E1252" t="str">
        <f>+IFERROR(VLOOKUP(D1252,Daten_Verknüpfungen!$B$2:$C$2000,2,FALSE),"")</f>
        <v/>
      </c>
    </row>
    <row r="1253" spans="5:5" x14ac:dyDescent="0.2">
      <c r="E1253" t="str">
        <f>+IFERROR(VLOOKUP(D1253,Daten_Verknüpfungen!$B$2:$C$2000,2,FALSE),"")</f>
        <v/>
      </c>
    </row>
    <row r="1254" spans="5:5" x14ac:dyDescent="0.2">
      <c r="E1254" t="str">
        <f>+IFERROR(VLOOKUP(D1254,Daten_Verknüpfungen!$B$2:$C$2000,2,FALSE),"")</f>
        <v/>
      </c>
    </row>
    <row r="1255" spans="5:5" x14ac:dyDescent="0.2">
      <c r="E1255" t="str">
        <f>+IFERROR(VLOOKUP(D1255,Daten_Verknüpfungen!$B$2:$C$2000,2,FALSE),"")</f>
        <v/>
      </c>
    </row>
    <row r="1256" spans="5:5" x14ac:dyDescent="0.2">
      <c r="E1256" t="str">
        <f>+IFERROR(VLOOKUP(D1256,Daten_Verknüpfungen!$B$2:$C$2000,2,FALSE),"")</f>
        <v/>
      </c>
    </row>
    <row r="1257" spans="5:5" x14ac:dyDescent="0.2">
      <c r="E1257" t="str">
        <f>+IFERROR(VLOOKUP(D1257,Daten_Verknüpfungen!$B$2:$C$2000,2,FALSE),"")</f>
        <v/>
      </c>
    </row>
    <row r="1258" spans="5:5" x14ac:dyDescent="0.2">
      <c r="E1258" t="str">
        <f>+IFERROR(VLOOKUP(D1258,Daten_Verknüpfungen!$B$2:$C$2000,2,FALSE),"")</f>
        <v/>
      </c>
    </row>
    <row r="1259" spans="5:5" x14ac:dyDescent="0.2">
      <c r="E1259" t="str">
        <f>+IFERROR(VLOOKUP(D1259,Daten_Verknüpfungen!$B$2:$C$2000,2,FALSE),"")</f>
        <v/>
      </c>
    </row>
    <row r="1260" spans="5:5" x14ac:dyDescent="0.2">
      <c r="E1260" t="str">
        <f>+IFERROR(VLOOKUP(D1260,Daten_Verknüpfungen!$B$2:$C$2000,2,FALSE),"")</f>
        <v/>
      </c>
    </row>
    <row r="1261" spans="5:5" x14ac:dyDescent="0.2">
      <c r="E1261" t="str">
        <f>+IFERROR(VLOOKUP(D1261,Daten_Verknüpfungen!$B$2:$C$2000,2,FALSE),"")</f>
        <v/>
      </c>
    </row>
    <row r="1262" spans="5:5" x14ac:dyDescent="0.2">
      <c r="E1262" t="str">
        <f>+IFERROR(VLOOKUP(D1262,Daten_Verknüpfungen!$B$2:$C$2000,2,FALSE),"")</f>
        <v/>
      </c>
    </row>
    <row r="1263" spans="5:5" x14ac:dyDescent="0.2">
      <c r="E1263" t="str">
        <f>+IFERROR(VLOOKUP(D1263,Daten_Verknüpfungen!$B$2:$C$2000,2,FALSE),"")</f>
        <v/>
      </c>
    </row>
    <row r="1264" spans="5:5" x14ac:dyDescent="0.2">
      <c r="E1264" t="str">
        <f>+IFERROR(VLOOKUP(D1264,Daten_Verknüpfungen!$B$2:$C$2000,2,FALSE),"")</f>
        <v/>
      </c>
    </row>
    <row r="1265" spans="5:5" x14ac:dyDescent="0.2">
      <c r="E1265" t="str">
        <f>+IFERROR(VLOOKUP(D1265,Daten_Verknüpfungen!$B$2:$C$2000,2,FALSE),"")</f>
        <v/>
      </c>
    </row>
    <row r="1266" spans="5:5" x14ac:dyDescent="0.2">
      <c r="E1266" t="str">
        <f>+IFERROR(VLOOKUP(D1266,Daten_Verknüpfungen!$B$2:$C$2000,2,FALSE),"")</f>
        <v/>
      </c>
    </row>
    <row r="1267" spans="5:5" x14ac:dyDescent="0.2">
      <c r="E1267" t="str">
        <f>+IFERROR(VLOOKUP(D1267,Daten_Verknüpfungen!$B$2:$C$2000,2,FALSE),"")</f>
        <v/>
      </c>
    </row>
    <row r="1268" spans="5:5" x14ac:dyDescent="0.2">
      <c r="E1268" t="str">
        <f>+IFERROR(VLOOKUP(D1268,Daten_Verknüpfungen!$B$2:$C$2000,2,FALSE),"")</f>
        <v/>
      </c>
    </row>
    <row r="1269" spans="5:5" x14ac:dyDescent="0.2">
      <c r="E1269" t="str">
        <f>+IFERROR(VLOOKUP(D1269,Daten_Verknüpfungen!$B$2:$C$2000,2,FALSE),"")</f>
        <v/>
      </c>
    </row>
    <row r="1270" spans="5:5" x14ac:dyDescent="0.2">
      <c r="E1270" t="str">
        <f>+IFERROR(VLOOKUP(D1270,Daten_Verknüpfungen!$B$2:$C$2000,2,FALSE),"")</f>
        <v/>
      </c>
    </row>
    <row r="1271" spans="5:5" x14ac:dyDescent="0.2">
      <c r="E1271" t="str">
        <f>+IFERROR(VLOOKUP(D1271,Daten_Verknüpfungen!$B$2:$C$2000,2,FALSE),"")</f>
        <v/>
      </c>
    </row>
    <row r="1272" spans="5:5" x14ac:dyDescent="0.2">
      <c r="E1272" t="str">
        <f>+IFERROR(VLOOKUP(D1272,Daten_Verknüpfungen!$B$2:$C$2000,2,FALSE),"")</f>
        <v/>
      </c>
    </row>
    <row r="1273" spans="5:5" x14ac:dyDescent="0.2">
      <c r="E1273" t="str">
        <f>+IFERROR(VLOOKUP(D1273,Daten_Verknüpfungen!$B$2:$C$2000,2,FALSE),"")</f>
        <v/>
      </c>
    </row>
    <row r="1274" spans="5:5" x14ac:dyDescent="0.2">
      <c r="E1274" t="str">
        <f>+IFERROR(VLOOKUP(D1274,Daten_Verknüpfungen!$B$2:$C$2000,2,FALSE),"")</f>
        <v/>
      </c>
    </row>
    <row r="1275" spans="5:5" x14ac:dyDescent="0.2">
      <c r="E1275" t="str">
        <f>+IFERROR(VLOOKUP(D1275,Daten_Verknüpfungen!$B$2:$C$2000,2,FALSE),"")</f>
        <v/>
      </c>
    </row>
    <row r="1276" spans="5:5" x14ac:dyDescent="0.2">
      <c r="E1276" t="str">
        <f>+IFERROR(VLOOKUP(D1276,Daten_Verknüpfungen!$B$2:$C$2000,2,FALSE),"")</f>
        <v/>
      </c>
    </row>
    <row r="1277" spans="5:5" x14ac:dyDescent="0.2">
      <c r="E1277" t="str">
        <f>+IFERROR(VLOOKUP(D1277,Daten_Verknüpfungen!$B$2:$C$2000,2,FALSE),"")</f>
        <v/>
      </c>
    </row>
    <row r="1278" spans="5:5" x14ac:dyDescent="0.2">
      <c r="E1278" t="str">
        <f>+IFERROR(VLOOKUP(D1278,Daten_Verknüpfungen!$B$2:$C$2000,2,FALSE),"")</f>
        <v/>
      </c>
    </row>
    <row r="1279" spans="5:5" x14ac:dyDescent="0.2">
      <c r="E1279" t="str">
        <f>+IFERROR(VLOOKUP(D1279,Daten_Verknüpfungen!$B$2:$C$2000,2,FALSE),"")</f>
        <v/>
      </c>
    </row>
    <row r="1280" spans="5:5" x14ac:dyDescent="0.2">
      <c r="E1280" t="str">
        <f>+IFERROR(VLOOKUP(D1280,Daten_Verknüpfungen!$B$2:$C$2000,2,FALSE),"")</f>
        <v/>
      </c>
    </row>
    <row r="1281" spans="5:5" x14ac:dyDescent="0.2">
      <c r="E1281" t="str">
        <f>+IFERROR(VLOOKUP(D1281,Daten_Verknüpfungen!$B$2:$C$2000,2,FALSE),"")</f>
        <v/>
      </c>
    </row>
    <row r="1282" spans="5:5" x14ac:dyDescent="0.2">
      <c r="E1282" t="str">
        <f>+IFERROR(VLOOKUP(D1282,Daten_Verknüpfungen!$B$2:$C$2000,2,FALSE),"")</f>
        <v/>
      </c>
    </row>
    <row r="1283" spans="5:5" x14ac:dyDescent="0.2">
      <c r="E1283" t="str">
        <f>+IFERROR(VLOOKUP(D1283,Daten_Verknüpfungen!$B$2:$C$2000,2,FALSE),"")</f>
        <v/>
      </c>
    </row>
    <row r="1284" spans="5:5" x14ac:dyDescent="0.2">
      <c r="E1284" t="str">
        <f>+IFERROR(VLOOKUP(D1284,Daten_Verknüpfungen!$B$2:$C$2000,2,FALSE),"")</f>
        <v/>
      </c>
    </row>
    <row r="1285" spans="5:5" x14ac:dyDescent="0.2">
      <c r="E1285" t="str">
        <f>+IFERROR(VLOOKUP(D1285,Daten_Verknüpfungen!$B$2:$C$2000,2,FALSE),"")</f>
        <v/>
      </c>
    </row>
    <row r="1286" spans="5:5" x14ac:dyDescent="0.2">
      <c r="E1286" t="str">
        <f>+IFERROR(VLOOKUP(D1286,Daten_Verknüpfungen!$B$2:$C$2000,2,FALSE),"")</f>
        <v/>
      </c>
    </row>
    <row r="1287" spans="5:5" x14ac:dyDescent="0.2">
      <c r="E1287" t="str">
        <f>+IFERROR(VLOOKUP(D1287,Daten_Verknüpfungen!$B$2:$C$2000,2,FALSE),"")</f>
        <v/>
      </c>
    </row>
    <row r="1288" spans="5:5" x14ac:dyDescent="0.2">
      <c r="E1288" t="str">
        <f>+IFERROR(VLOOKUP(D1288,Daten_Verknüpfungen!$B$2:$C$2000,2,FALSE),"")</f>
        <v/>
      </c>
    </row>
    <row r="1289" spans="5:5" x14ac:dyDescent="0.2">
      <c r="E1289" t="str">
        <f>+IFERROR(VLOOKUP(D1289,Daten_Verknüpfungen!$B$2:$C$2000,2,FALSE),"")</f>
        <v/>
      </c>
    </row>
    <row r="1290" spans="5:5" x14ac:dyDescent="0.2">
      <c r="E1290" t="str">
        <f>+IFERROR(VLOOKUP(D1290,Daten_Verknüpfungen!$B$2:$C$2000,2,FALSE),"")</f>
        <v/>
      </c>
    </row>
    <row r="1291" spans="5:5" x14ac:dyDescent="0.2">
      <c r="E1291" t="str">
        <f>+IFERROR(VLOOKUP(D1291,Daten_Verknüpfungen!$B$2:$C$2000,2,FALSE),"")</f>
        <v/>
      </c>
    </row>
    <row r="1292" spans="5:5" x14ac:dyDescent="0.2">
      <c r="E1292" t="str">
        <f>+IFERROR(VLOOKUP(D1292,Daten_Verknüpfungen!$B$2:$C$2000,2,FALSE),"")</f>
        <v/>
      </c>
    </row>
    <row r="1293" spans="5:5" x14ac:dyDescent="0.2">
      <c r="E1293" t="str">
        <f>+IFERROR(VLOOKUP(D1293,Daten_Verknüpfungen!$B$2:$C$2000,2,FALSE),"")</f>
        <v/>
      </c>
    </row>
    <row r="1294" spans="5:5" x14ac:dyDescent="0.2">
      <c r="E1294" t="str">
        <f>+IFERROR(VLOOKUP(D1294,Daten_Verknüpfungen!$B$2:$C$2000,2,FALSE),"")</f>
        <v/>
      </c>
    </row>
    <row r="1295" spans="5:5" x14ac:dyDescent="0.2">
      <c r="E1295" t="str">
        <f>+IFERROR(VLOOKUP(D1295,Daten_Verknüpfungen!$B$2:$C$2000,2,FALSE),"")</f>
        <v/>
      </c>
    </row>
    <row r="1296" spans="5:5" x14ac:dyDescent="0.2">
      <c r="E1296" t="str">
        <f>+IFERROR(VLOOKUP(D1296,Daten_Verknüpfungen!$B$2:$C$2000,2,FALSE),"")</f>
        <v/>
      </c>
    </row>
    <row r="1297" spans="5:5" x14ac:dyDescent="0.2">
      <c r="E1297" t="str">
        <f>+IFERROR(VLOOKUP(D1297,Daten_Verknüpfungen!$B$2:$C$2000,2,FALSE),"")</f>
        <v/>
      </c>
    </row>
    <row r="1298" spans="5:5" x14ac:dyDescent="0.2">
      <c r="E1298" t="str">
        <f>+IFERROR(VLOOKUP(D1298,Daten_Verknüpfungen!$B$2:$C$2000,2,FALSE),"")</f>
        <v/>
      </c>
    </row>
    <row r="1299" spans="5:5" x14ac:dyDescent="0.2">
      <c r="E1299" t="str">
        <f>+IFERROR(VLOOKUP(D1299,Daten_Verknüpfungen!$B$2:$C$2000,2,FALSE),"")</f>
        <v/>
      </c>
    </row>
    <row r="1300" spans="5:5" x14ac:dyDescent="0.2">
      <c r="E1300" t="str">
        <f>+IFERROR(VLOOKUP(D1300,Daten_Verknüpfungen!$B$2:$C$2000,2,FALSE),"")</f>
        <v/>
      </c>
    </row>
    <row r="1301" spans="5:5" x14ac:dyDescent="0.2">
      <c r="E1301" t="str">
        <f>+IFERROR(VLOOKUP(D1301,Daten_Verknüpfungen!$B$2:$C$2000,2,FALSE),"")</f>
        <v/>
      </c>
    </row>
    <row r="1302" spans="5:5" x14ac:dyDescent="0.2">
      <c r="E1302" t="str">
        <f>+IFERROR(VLOOKUP(D1302,Daten_Verknüpfungen!$B$2:$C$2000,2,FALSE),"")</f>
        <v/>
      </c>
    </row>
    <row r="1303" spans="5:5" x14ac:dyDescent="0.2">
      <c r="E1303" t="str">
        <f>+IFERROR(VLOOKUP(D1303,Daten_Verknüpfungen!$B$2:$C$2000,2,FALSE),"")</f>
        <v/>
      </c>
    </row>
    <row r="1304" spans="5:5" x14ac:dyDescent="0.2">
      <c r="E1304" t="str">
        <f>+IFERROR(VLOOKUP(D1304,Daten_Verknüpfungen!$B$2:$C$2000,2,FALSE),"")</f>
        <v/>
      </c>
    </row>
    <row r="1305" spans="5:5" x14ac:dyDescent="0.2">
      <c r="E1305" t="str">
        <f>+IFERROR(VLOOKUP(D1305,Daten_Verknüpfungen!$B$2:$C$2000,2,FALSE),"")</f>
        <v/>
      </c>
    </row>
    <row r="1306" spans="5:5" x14ac:dyDescent="0.2">
      <c r="E1306" t="str">
        <f>+IFERROR(VLOOKUP(D1306,Daten_Verknüpfungen!$B$2:$C$2000,2,FALSE),"")</f>
        <v/>
      </c>
    </row>
    <row r="1307" spans="5:5" x14ac:dyDescent="0.2">
      <c r="E1307" t="str">
        <f>+IFERROR(VLOOKUP(D1307,Daten_Verknüpfungen!$B$2:$C$2000,2,FALSE),"")</f>
        <v/>
      </c>
    </row>
    <row r="1308" spans="5:5" x14ac:dyDescent="0.2">
      <c r="E1308" t="str">
        <f>+IFERROR(VLOOKUP(D1308,Daten_Verknüpfungen!$B$2:$C$2000,2,FALSE),"")</f>
        <v/>
      </c>
    </row>
    <row r="1309" spans="5:5" x14ac:dyDescent="0.2">
      <c r="E1309" t="str">
        <f>+IFERROR(VLOOKUP(D1309,Daten_Verknüpfungen!$B$2:$C$2000,2,FALSE),"")</f>
        <v/>
      </c>
    </row>
    <row r="1310" spans="5:5" x14ac:dyDescent="0.2">
      <c r="E1310" t="str">
        <f>+IFERROR(VLOOKUP(D1310,Daten_Verknüpfungen!$B$2:$C$2000,2,FALSE),"")</f>
        <v/>
      </c>
    </row>
    <row r="1311" spans="5:5" x14ac:dyDescent="0.2">
      <c r="E1311" t="str">
        <f>+IFERROR(VLOOKUP(D1311,Daten_Verknüpfungen!$B$2:$C$2000,2,FALSE),"")</f>
        <v/>
      </c>
    </row>
    <row r="1312" spans="5:5" x14ac:dyDescent="0.2">
      <c r="E1312" t="str">
        <f>+IFERROR(VLOOKUP(D1312,Daten_Verknüpfungen!$B$2:$C$2000,2,FALSE),"")</f>
        <v/>
      </c>
    </row>
    <row r="1313" spans="5:5" x14ac:dyDescent="0.2">
      <c r="E1313" t="str">
        <f>+IFERROR(VLOOKUP(D1313,Daten_Verknüpfungen!$B$2:$C$2000,2,FALSE),"")</f>
        <v/>
      </c>
    </row>
    <row r="1314" spans="5:5" x14ac:dyDescent="0.2">
      <c r="E1314" t="str">
        <f>+IFERROR(VLOOKUP(D1314,Daten_Verknüpfungen!$B$2:$C$2000,2,FALSE),"")</f>
        <v/>
      </c>
    </row>
    <row r="1315" spans="5:5" x14ac:dyDescent="0.2">
      <c r="E1315" t="str">
        <f>+IFERROR(VLOOKUP(D1315,Daten_Verknüpfungen!$B$2:$C$2000,2,FALSE),"")</f>
        <v/>
      </c>
    </row>
    <row r="1316" spans="5:5" x14ac:dyDescent="0.2">
      <c r="E1316" t="str">
        <f>+IFERROR(VLOOKUP(D1316,Daten_Verknüpfungen!$B$2:$C$2000,2,FALSE),"")</f>
        <v/>
      </c>
    </row>
    <row r="1317" spans="5:5" x14ac:dyDescent="0.2">
      <c r="E1317" t="str">
        <f>+IFERROR(VLOOKUP(D1317,Daten_Verknüpfungen!$B$2:$C$2000,2,FALSE),"")</f>
        <v/>
      </c>
    </row>
    <row r="1318" spans="5:5" x14ac:dyDescent="0.2">
      <c r="E1318" t="str">
        <f>+IFERROR(VLOOKUP(D1318,Daten_Verknüpfungen!$B$2:$C$2000,2,FALSE),"")</f>
        <v/>
      </c>
    </row>
    <row r="1319" spans="5:5" x14ac:dyDescent="0.2">
      <c r="E1319" t="str">
        <f>+IFERROR(VLOOKUP(D1319,Daten_Verknüpfungen!$B$2:$C$2000,2,FALSE),"")</f>
        <v/>
      </c>
    </row>
    <row r="1320" spans="5:5" x14ac:dyDescent="0.2">
      <c r="E1320" t="str">
        <f>+IFERROR(VLOOKUP(D1320,Daten_Verknüpfungen!$B$2:$C$2000,2,FALSE),"")</f>
        <v/>
      </c>
    </row>
    <row r="1321" spans="5:5" x14ac:dyDescent="0.2">
      <c r="E1321" t="str">
        <f>+IFERROR(VLOOKUP(D1321,Daten_Verknüpfungen!$B$2:$C$2000,2,FALSE),"")</f>
        <v/>
      </c>
    </row>
    <row r="1322" spans="5:5" x14ac:dyDescent="0.2">
      <c r="E1322" t="str">
        <f>+IFERROR(VLOOKUP(D1322,Daten_Verknüpfungen!$B$2:$C$2000,2,FALSE),"")</f>
        <v/>
      </c>
    </row>
    <row r="1323" spans="5:5" x14ac:dyDescent="0.2">
      <c r="E1323" t="str">
        <f>+IFERROR(VLOOKUP(D1323,Daten_Verknüpfungen!$B$2:$C$2000,2,FALSE),"")</f>
        <v/>
      </c>
    </row>
    <row r="1324" spans="5:5" x14ac:dyDescent="0.2">
      <c r="E1324" t="str">
        <f>+IFERROR(VLOOKUP(D1324,Daten_Verknüpfungen!$B$2:$C$2000,2,FALSE),"")</f>
        <v/>
      </c>
    </row>
    <row r="1325" spans="5:5" x14ac:dyDescent="0.2">
      <c r="E1325" t="str">
        <f>+IFERROR(VLOOKUP(D1325,Daten_Verknüpfungen!$B$2:$C$2000,2,FALSE),"")</f>
        <v/>
      </c>
    </row>
    <row r="1326" spans="5:5" x14ac:dyDescent="0.2">
      <c r="E1326" t="str">
        <f>+IFERROR(VLOOKUP(D1326,Daten_Verknüpfungen!$B$2:$C$2000,2,FALSE),"")</f>
        <v/>
      </c>
    </row>
    <row r="1327" spans="5:5" x14ac:dyDescent="0.2">
      <c r="E1327" t="str">
        <f>+IFERROR(VLOOKUP(D1327,Daten_Verknüpfungen!$B$2:$C$2000,2,FALSE),"")</f>
        <v/>
      </c>
    </row>
    <row r="1328" spans="5:5" x14ac:dyDescent="0.2">
      <c r="E1328" t="str">
        <f>+IFERROR(VLOOKUP(D1328,Daten_Verknüpfungen!$B$2:$C$2000,2,FALSE),"")</f>
        <v/>
      </c>
    </row>
    <row r="1329" spans="5:5" x14ac:dyDescent="0.2">
      <c r="E1329" t="str">
        <f>+IFERROR(VLOOKUP(D1329,Daten_Verknüpfungen!$B$2:$C$2000,2,FALSE),"")</f>
        <v/>
      </c>
    </row>
    <row r="1330" spans="5:5" x14ac:dyDescent="0.2">
      <c r="E1330" t="str">
        <f>+IFERROR(VLOOKUP(D1330,Daten_Verknüpfungen!$B$2:$C$2000,2,FALSE),"")</f>
        <v/>
      </c>
    </row>
    <row r="1331" spans="5:5" x14ac:dyDescent="0.2">
      <c r="E1331" t="str">
        <f>+IFERROR(VLOOKUP(D1331,Daten_Verknüpfungen!$B$2:$C$2000,2,FALSE),"")</f>
        <v/>
      </c>
    </row>
    <row r="1332" spans="5:5" x14ac:dyDescent="0.2">
      <c r="E1332" t="str">
        <f>+IFERROR(VLOOKUP(D1332,Daten_Verknüpfungen!$B$2:$C$2000,2,FALSE),"")</f>
        <v/>
      </c>
    </row>
    <row r="1333" spans="5:5" x14ac:dyDescent="0.2">
      <c r="E1333" t="str">
        <f>+IFERROR(VLOOKUP(D1333,Daten_Verknüpfungen!$B$2:$C$2000,2,FALSE),"")</f>
        <v/>
      </c>
    </row>
    <row r="1334" spans="5:5" x14ac:dyDescent="0.2">
      <c r="E1334" t="str">
        <f>+IFERROR(VLOOKUP(D1334,Daten_Verknüpfungen!$B$2:$C$2000,2,FALSE),"")</f>
        <v/>
      </c>
    </row>
    <row r="1335" spans="5:5" x14ac:dyDescent="0.2">
      <c r="E1335" t="str">
        <f>+IFERROR(VLOOKUP(D1335,Daten_Verknüpfungen!$B$2:$C$2000,2,FALSE),"")</f>
        <v/>
      </c>
    </row>
    <row r="1336" spans="5:5" x14ac:dyDescent="0.2">
      <c r="E1336" t="str">
        <f>+IFERROR(VLOOKUP(D1336,Daten_Verknüpfungen!$B$2:$C$2000,2,FALSE),"")</f>
        <v/>
      </c>
    </row>
    <row r="1337" spans="5:5" x14ac:dyDescent="0.2">
      <c r="E1337" t="str">
        <f>+IFERROR(VLOOKUP(D1337,Daten_Verknüpfungen!$B$2:$C$2000,2,FALSE),"")</f>
        <v/>
      </c>
    </row>
    <row r="1338" spans="5:5" x14ac:dyDescent="0.2">
      <c r="E1338" t="str">
        <f>+IFERROR(VLOOKUP(D1338,Daten_Verknüpfungen!$B$2:$C$2000,2,FALSE),"")</f>
        <v/>
      </c>
    </row>
    <row r="1339" spans="5:5" x14ac:dyDescent="0.2">
      <c r="E1339" t="str">
        <f>+IFERROR(VLOOKUP(D1339,Daten_Verknüpfungen!$B$2:$C$2000,2,FALSE),"")</f>
        <v/>
      </c>
    </row>
    <row r="1340" spans="5:5" x14ac:dyDescent="0.2">
      <c r="E1340" t="str">
        <f>+IFERROR(VLOOKUP(D1340,Daten_Verknüpfungen!$B$2:$C$2000,2,FALSE),"")</f>
        <v/>
      </c>
    </row>
    <row r="1341" spans="5:5" x14ac:dyDescent="0.2">
      <c r="E1341" t="str">
        <f>+IFERROR(VLOOKUP(D1341,Daten_Verknüpfungen!$B$2:$C$2000,2,FALSE),"")</f>
        <v/>
      </c>
    </row>
    <row r="1342" spans="5:5" x14ac:dyDescent="0.2">
      <c r="E1342" t="str">
        <f>+IFERROR(VLOOKUP(D1342,Daten_Verknüpfungen!$B$2:$C$2000,2,FALSE),"")</f>
        <v/>
      </c>
    </row>
    <row r="1343" spans="5:5" x14ac:dyDescent="0.2">
      <c r="E1343" t="str">
        <f>+IFERROR(VLOOKUP(D1343,Daten_Verknüpfungen!$B$2:$C$2000,2,FALSE),"")</f>
        <v/>
      </c>
    </row>
    <row r="1344" spans="5:5" x14ac:dyDescent="0.2">
      <c r="E1344" t="str">
        <f>+IFERROR(VLOOKUP(D1344,Daten_Verknüpfungen!$B$2:$C$2000,2,FALSE),"")</f>
        <v/>
      </c>
    </row>
    <row r="1345" spans="5:5" x14ac:dyDescent="0.2">
      <c r="E1345" t="str">
        <f>+IFERROR(VLOOKUP(D1345,Daten_Verknüpfungen!$B$2:$C$2000,2,FALSE),"")</f>
        <v/>
      </c>
    </row>
    <row r="1346" spans="5:5" x14ac:dyDescent="0.2">
      <c r="E1346" t="str">
        <f>+IFERROR(VLOOKUP(D1346,Daten_Verknüpfungen!$B$2:$C$2000,2,FALSE),"")</f>
        <v/>
      </c>
    </row>
    <row r="1347" spans="5:5" x14ac:dyDescent="0.2">
      <c r="E1347" t="str">
        <f>+IFERROR(VLOOKUP(D1347,Daten_Verknüpfungen!$B$2:$C$2000,2,FALSE),"")</f>
        <v/>
      </c>
    </row>
    <row r="1348" spans="5:5" x14ac:dyDescent="0.2">
      <c r="E1348" t="str">
        <f>+IFERROR(VLOOKUP(D1348,Daten_Verknüpfungen!$B$2:$C$2000,2,FALSE),"")</f>
        <v/>
      </c>
    </row>
    <row r="1349" spans="5:5" x14ac:dyDescent="0.2">
      <c r="E1349" t="str">
        <f>+IFERROR(VLOOKUP(D1349,Daten_Verknüpfungen!$B$2:$C$2000,2,FALSE),"")</f>
        <v/>
      </c>
    </row>
    <row r="1350" spans="5:5" x14ac:dyDescent="0.2">
      <c r="E1350" t="str">
        <f>+IFERROR(VLOOKUP(D1350,Daten_Verknüpfungen!$B$2:$C$2000,2,FALSE),"")</f>
        <v/>
      </c>
    </row>
    <row r="1351" spans="5:5" x14ac:dyDescent="0.2">
      <c r="E1351" t="str">
        <f>+IFERROR(VLOOKUP(D1351,Daten_Verknüpfungen!$B$2:$C$2000,2,FALSE),"")</f>
        <v/>
      </c>
    </row>
    <row r="1352" spans="5:5" x14ac:dyDescent="0.2">
      <c r="E1352" t="str">
        <f>+IFERROR(VLOOKUP(D1352,Daten_Verknüpfungen!$B$2:$C$2000,2,FALSE),"")</f>
        <v/>
      </c>
    </row>
    <row r="1353" spans="5:5" x14ac:dyDescent="0.2">
      <c r="E1353" t="str">
        <f>+IFERROR(VLOOKUP(D1353,Daten_Verknüpfungen!$B$2:$C$2000,2,FALSE),"")</f>
        <v/>
      </c>
    </row>
    <row r="1354" spans="5:5" x14ac:dyDescent="0.2">
      <c r="E1354" t="str">
        <f>+IFERROR(VLOOKUP(D1354,Daten_Verknüpfungen!$B$2:$C$2000,2,FALSE),"")</f>
        <v/>
      </c>
    </row>
    <row r="1355" spans="5:5" x14ac:dyDescent="0.2">
      <c r="E1355" t="str">
        <f>+IFERROR(VLOOKUP(D1355,Daten_Verknüpfungen!$B$2:$C$2000,2,FALSE),"")</f>
        <v/>
      </c>
    </row>
    <row r="1356" spans="5:5" x14ac:dyDescent="0.2">
      <c r="E1356" t="str">
        <f>+IFERROR(VLOOKUP(D1356,Daten_Verknüpfungen!$B$2:$C$2000,2,FALSE),"")</f>
        <v/>
      </c>
    </row>
    <row r="1357" spans="5:5" x14ac:dyDescent="0.2">
      <c r="E1357" t="str">
        <f>+IFERROR(VLOOKUP(D1357,Daten_Verknüpfungen!$B$2:$C$2000,2,FALSE),"")</f>
        <v/>
      </c>
    </row>
    <row r="1358" spans="5:5" x14ac:dyDescent="0.2">
      <c r="E1358" t="str">
        <f>+IFERROR(VLOOKUP(D1358,Daten_Verknüpfungen!$B$2:$C$2000,2,FALSE),"")</f>
        <v/>
      </c>
    </row>
    <row r="1359" spans="5:5" x14ac:dyDescent="0.2">
      <c r="E1359" t="str">
        <f>+IFERROR(VLOOKUP(D1359,Daten_Verknüpfungen!$B$2:$C$2000,2,FALSE),"")</f>
        <v/>
      </c>
    </row>
    <row r="1360" spans="5:5" x14ac:dyDescent="0.2">
      <c r="E1360" t="str">
        <f>+IFERROR(VLOOKUP(D1360,Daten_Verknüpfungen!$B$2:$C$2000,2,FALSE),"")</f>
        <v/>
      </c>
    </row>
    <row r="1361" spans="5:5" x14ac:dyDescent="0.2">
      <c r="E1361" t="str">
        <f>+IFERROR(VLOOKUP(D1361,Daten_Verknüpfungen!$B$2:$C$2000,2,FALSE),"")</f>
        <v/>
      </c>
    </row>
    <row r="1362" spans="5:5" x14ac:dyDescent="0.2">
      <c r="E1362" t="str">
        <f>+IFERROR(VLOOKUP(D1362,Daten_Verknüpfungen!$B$2:$C$2000,2,FALSE),"")</f>
        <v/>
      </c>
    </row>
    <row r="1363" spans="5:5" x14ac:dyDescent="0.2">
      <c r="E1363" t="str">
        <f>+IFERROR(VLOOKUP(D1363,Daten_Verknüpfungen!$B$2:$C$2000,2,FALSE),"")</f>
        <v/>
      </c>
    </row>
    <row r="1364" spans="5:5" x14ac:dyDescent="0.2">
      <c r="E1364" t="str">
        <f>+IFERROR(VLOOKUP(D1364,Daten_Verknüpfungen!$B$2:$C$2000,2,FALSE),"")</f>
        <v/>
      </c>
    </row>
    <row r="1365" spans="5:5" x14ac:dyDescent="0.2">
      <c r="E1365" t="str">
        <f>+IFERROR(VLOOKUP(D1365,Daten_Verknüpfungen!$B$2:$C$2000,2,FALSE),"")</f>
        <v/>
      </c>
    </row>
    <row r="1366" spans="5:5" x14ac:dyDescent="0.2">
      <c r="E1366" t="str">
        <f>+IFERROR(VLOOKUP(D1366,Daten_Verknüpfungen!$B$2:$C$2000,2,FALSE),"")</f>
        <v/>
      </c>
    </row>
    <row r="1367" spans="5:5" x14ac:dyDescent="0.2">
      <c r="E1367" t="str">
        <f>+IFERROR(VLOOKUP(D1367,Daten_Verknüpfungen!$B$2:$C$2000,2,FALSE),"")</f>
        <v/>
      </c>
    </row>
    <row r="1368" spans="5:5" x14ac:dyDescent="0.2">
      <c r="E1368" t="str">
        <f>+IFERROR(VLOOKUP(D1368,Daten_Verknüpfungen!$B$2:$C$2000,2,FALSE),"")</f>
        <v/>
      </c>
    </row>
    <row r="1369" spans="5:5" x14ac:dyDescent="0.2">
      <c r="E1369" t="str">
        <f>+IFERROR(VLOOKUP(D1369,Daten_Verknüpfungen!$B$2:$C$2000,2,FALSE),"")</f>
        <v/>
      </c>
    </row>
    <row r="1370" spans="5:5" x14ac:dyDescent="0.2">
      <c r="E1370" t="str">
        <f>+IFERROR(VLOOKUP(D1370,Daten_Verknüpfungen!$B$2:$C$2000,2,FALSE),"")</f>
        <v/>
      </c>
    </row>
    <row r="1371" spans="5:5" x14ac:dyDescent="0.2">
      <c r="E1371" t="str">
        <f>+IFERROR(VLOOKUP(D1371,Daten_Verknüpfungen!$B$2:$C$2000,2,FALSE),"")</f>
        <v/>
      </c>
    </row>
    <row r="1372" spans="5:5" x14ac:dyDescent="0.2">
      <c r="E1372" t="str">
        <f>+IFERROR(VLOOKUP(D1372,Daten_Verknüpfungen!$B$2:$C$2000,2,FALSE),"")</f>
        <v/>
      </c>
    </row>
    <row r="1373" spans="5:5" x14ac:dyDescent="0.2">
      <c r="E1373" t="str">
        <f>+IFERROR(VLOOKUP(D1373,Daten_Verknüpfungen!$B$2:$C$2000,2,FALSE),"")</f>
        <v/>
      </c>
    </row>
    <row r="1374" spans="5:5" x14ac:dyDescent="0.2">
      <c r="E1374" t="str">
        <f>+IFERROR(VLOOKUP(D1374,Daten_Verknüpfungen!$B$2:$C$2000,2,FALSE),"")</f>
        <v/>
      </c>
    </row>
    <row r="1375" spans="5:5" x14ac:dyDescent="0.2">
      <c r="E1375" t="str">
        <f>+IFERROR(VLOOKUP(D1375,Daten_Verknüpfungen!$B$2:$C$2000,2,FALSE),"")</f>
        <v/>
      </c>
    </row>
    <row r="1376" spans="5:5" x14ac:dyDescent="0.2">
      <c r="E1376" t="str">
        <f>+IFERROR(VLOOKUP(D1376,Daten_Verknüpfungen!$B$2:$C$2000,2,FALSE),"")</f>
        <v/>
      </c>
    </row>
    <row r="1377" spans="5:5" x14ac:dyDescent="0.2">
      <c r="E1377" t="str">
        <f>+IFERROR(VLOOKUP(D1377,Daten_Verknüpfungen!$B$2:$C$2000,2,FALSE),"")</f>
        <v/>
      </c>
    </row>
    <row r="1378" spans="5:5" x14ac:dyDescent="0.2">
      <c r="E1378" t="str">
        <f>+IFERROR(VLOOKUP(D1378,Daten_Verknüpfungen!$B$2:$C$2000,2,FALSE),"")</f>
        <v/>
      </c>
    </row>
    <row r="1379" spans="5:5" x14ac:dyDescent="0.2">
      <c r="E1379" t="str">
        <f>+IFERROR(VLOOKUP(D1379,Daten_Verknüpfungen!$B$2:$C$2000,2,FALSE),"")</f>
        <v/>
      </c>
    </row>
    <row r="1380" spans="5:5" x14ac:dyDescent="0.2">
      <c r="E1380" t="str">
        <f>+IFERROR(VLOOKUP(D1380,Daten_Verknüpfungen!$B$2:$C$2000,2,FALSE),"")</f>
        <v/>
      </c>
    </row>
    <row r="1381" spans="5:5" x14ac:dyDescent="0.2">
      <c r="E1381" t="str">
        <f>+IFERROR(VLOOKUP(D1381,Daten_Verknüpfungen!$B$2:$C$2000,2,FALSE),"")</f>
        <v/>
      </c>
    </row>
    <row r="1382" spans="5:5" x14ac:dyDescent="0.2">
      <c r="E1382" t="str">
        <f>+IFERROR(VLOOKUP(D1382,Daten_Verknüpfungen!$B$2:$C$2000,2,FALSE),"")</f>
        <v/>
      </c>
    </row>
    <row r="1383" spans="5:5" x14ac:dyDescent="0.2">
      <c r="E1383" t="str">
        <f>+IFERROR(VLOOKUP(D1383,Daten_Verknüpfungen!$B$2:$C$2000,2,FALSE),"")</f>
        <v/>
      </c>
    </row>
    <row r="1384" spans="5:5" x14ac:dyDescent="0.2">
      <c r="E1384" t="str">
        <f>+IFERROR(VLOOKUP(D1384,Daten_Verknüpfungen!$B$2:$C$2000,2,FALSE),"")</f>
        <v/>
      </c>
    </row>
    <row r="1385" spans="5:5" x14ac:dyDescent="0.2">
      <c r="E1385" t="str">
        <f>+IFERROR(VLOOKUP(D1385,Daten_Verknüpfungen!$B$2:$C$2000,2,FALSE),"")</f>
        <v/>
      </c>
    </row>
    <row r="1386" spans="5:5" x14ac:dyDescent="0.2">
      <c r="E1386" t="str">
        <f>+IFERROR(VLOOKUP(D1386,Daten_Verknüpfungen!$B$2:$C$2000,2,FALSE),"")</f>
        <v/>
      </c>
    </row>
    <row r="1387" spans="5:5" x14ac:dyDescent="0.2">
      <c r="E1387" t="str">
        <f>+IFERROR(VLOOKUP(D1387,Daten_Verknüpfungen!$B$2:$C$2000,2,FALSE),"")</f>
        <v/>
      </c>
    </row>
    <row r="1388" spans="5:5" x14ac:dyDescent="0.2">
      <c r="E1388" t="str">
        <f>+IFERROR(VLOOKUP(D1388,Daten_Verknüpfungen!$B$2:$C$2000,2,FALSE),"")</f>
        <v/>
      </c>
    </row>
    <row r="1389" spans="5:5" x14ac:dyDescent="0.2">
      <c r="E1389" t="str">
        <f>+IFERROR(VLOOKUP(D1389,Daten_Verknüpfungen!$B$2:$C$2000,2,FALSE),"")</f>
        <v/>
      </c>
    </row>
    <row r="1390" spans="5:5" x14ac:dyDescent="0.2">
      <c r="E1390" t="str">
        <f>+IFERROR(VLOOKUP(D1390,Daten_Verknüpfungen!$B$2:$C$2000,2,FALSE),"")</f>
        <v/>
      </c>
    </row>
    <row r="1391" spans="5:5" x14ac:dyDescent="0.2">
      <c r="E1391" t="str">
        <f>+IFERROR(VLOOKUP(D1391,Daten_Verknüpfungen!$B$2:$C$2000,2,FALSE),"")</f>
        <v/>
      </c>
    </row>
    <row r="1392" spans="5:5" x14ac:dyDescent="0.2">
      <c r="E1392" t="str">
        <f>+IFERROR(VLOOKUP(D1392,Daten_Verknüpfungen!$B$2:$C$2000,2,FALSE),"")</f>
        <v/>
      </c>
    </row>
    <row r="1393" spans="5:5" x14ac:dyDescent="0.2">
      <c r="E1393" t="str">
        <f>+IFERROR(VLOOKUP(D1393,Daten_Verknüpfungen!$B$2:$C$2000,2,FALSE),"")</f>
        <v/>
      </c>
    </row>
    <row r="1394" spans="5:5" x14ac:dyDescent="0.2">
      <c r="E1394" t="str">
        <f>+IFERROR(VLOOKUP(D1394,Daten_Verknüpfungen!$B$2:$C$2000,2,FALSE),"")</f>
        <v/>
      </c>
    </row>
    <row r="1395" spans="5:5" x14ac:dyDescent="0.2">
      <c r="E1395" t="str">
        <f>+IFERROR(VLOOKUP(D1395,Daten_Verknüpfungen!$B$2:$C$2000,2,FALSE),"")</f>
        <v/>
      </c>
    </row>
    <row r="1396" spans="5:5" x14ac:dyDescent="0.2">
      <c r="E1396" t="str">
        <f>+IFERROR(VLOOKUP(D1396,Daten_Verknüpfungen!$B$2:$C$2000,2,FALSE),"")</f>
        <v/>
      </c>
    </row>
    <row r="1397" spans="5:5" x14ac:dyDescent="0.2">
      <c r="E1397" t="str">
        <f>+IFERROR(VLOOKUP(D1397,Daten_Verknüpfungen!$B$2:$C$2000,2,FALSE),"")</f>
        <v/>
      </c>
    </row>
    <row r="1398" spans="5:5" x14ac:dyDescent="0.2">
      <c r="E1398" t="str">
        <f>+IFERROR(VLOOKUP(D1398,Daten_Verknüpfungen!$B$2:$C$2000,2,FALSE),"")</f>
        <v/>
      </c>
    </row>
    <row r="1399" spans="5:5" x14ac:dyDescent="0.2">
      <c r="E1399" t="str">
        <f>+IFERROR(VLOOKUP(D1399,Daten_Verknüpfungen!$B$2:$C$2000,2,FALSE),"")</f>
        <v/>
      </c>
    </row>
    <row r="1400" spans="5:5" x14ac:dyDescent="0.2">
      <c r="E1400" t="str">
        <f>+IFERROR(VLOOKUP(D1400,Daten_Verknüpfungen!$B$2:$C$2000,2,FALSE),"")</f>
        <v/>
      </c>
    </row>
    <row r="1401" spans="5:5" x14ac:dyDescent="0.2">
      <c r="E1401" t="str">
        <f>+IFERROR(VLOOKUP(D1401,Daten_Verknüpfungen!$B$2:$C$2000,2,FALSE),"")</f>
        <v/>
      </c>
    </row>
    <row r="1402" spans="5:5" x14ac:dyDescent="0.2">
      <c r="E1402" t="str">
        <f>+IFERROR(VLOOKUP(D1402,Daten_Verknüpfungen!$B$2:$C$2000,2,FALSE),"")</f>
        <v/>
      </c>
    </row>
    <row r="1403" spans="5:5" x14ac:dyDescent="0.2">
      <c r="E1403" t="str">
        <f>+IFERROR(VLOOKUP(D1403,Daten_Verknüpfungen!$B$2:$C$2000,2,FALSE),"")</f>
        <v/>
      </c>
    </row>
    <row r="1404" spans="5:5" x14ac:dyDescent="0.2">
      <c r="E1404" t="str">
        <f>+IFERROR(VLOOKUP(D1404,Daten_Verknüpfungen!$B$2:$C$2000,2,FALSE),"")</f>
        <v/>
      </c>
    </row>
    <row r="1405" spans="5:5" x14ac:dyDescent="0.2">
      <c r="E1405" t="str">
        <f>+IFERROR(VLOOKUP(D1405,Daten_Verknüpfungen!$B$2:$C$2000,2,FALSE),"")</f>
        <v/>
      </c>
    </row>
    <row r="1406" spans="5:5" x14ac:dyDescent="0.2">
      <c r="E1406" t="str">
        <f>+IFERROR(VLOOKUP(D1406,Daten_Verknüpfungen!$B$2:$C$2000,2,FALSE),"")</f>
        <v/>
      </c>
    </row>
    <row r="1407" spans="5:5" x14ac:dyDescent="0.2">
      <c r="E1407" t="str">
        <f>+IFERROR(VLOOKUP(D1407,Daten_Verknüpfungen!$B$2:$C$2000,2,FALSE),"")</f>
        <v/>
      </c>
    </row>
    <row r="1408" spans="5:5" x14ac:dyDescent="0.2">
      <c r="E1408" t="str">
        <f>+IFERROR(VLOOKUP(D1408,Daten_Verknüpfungen!$B$2:$C$2000,2,FALSE),"")</f>
        <v/>
      </c>
    </row>
    <row r="1409" spans="5:5" x14ac:dyDescent="0.2">
      <c r="E1409" t="str">
        <f>+IFERROR(VLOOKUP(D1409,Daten_Verknüpfungen!$B$2:$C$2000,2,FALSE),"")</f>
        <v/>
      </c>
    </row>
    <row r="1410" spans="5:5" x14ac:dyDescent="0.2">
      <c r="E1410" t="str">
        <f>+IFERROR(VLOOKUP(D1410,Daten_Verknüpfungen!$B$2:$C$2000,2,FALSE),"")</f>
        <v/>
      </c>
    </row>
    <row r="1411" spans="5:5" x14ac:dyDescent="0.2">
      <c r="E1411" t="str">
        <f>+IFERROR(VLOOKUP(D1411,Daten_Verknüpfungen!$B$2:$C$2000,2,FALSE),"")</f>
        <v/>
      </c>
    </row>
    <row r="1412" spans="5:5" x14ac:dyDescent="0.2">
      <c r="E1412" t="str">
        <f>+IFERROR(VLOOKUP(D1412,Daten_Verknüpfungen!$B$2:$C$2000,2,FALSE),"")</f>
        <v/>
      </c>
    </row>
    <row r="1413" spans="5:5" x14ac:dyDescent="0.2">
      <c r="E1413" t="str">
        <f>+IFERROR(VLOOKUP(D1413,Daten_Verknüpfungen!$B$2:$C$2000,2,FALSE),"")</f>
        <v/>
      </c>
    </row>
    <row r="1414" spans="5:5" x14ac:dyDescent="0.2">
      <c r="E1414" t="str">
        <f>+IFERROR(VLOOKUP(D1414,Daten_Verknüpfungen!$B$2:$C$2000,2,FALSE),"")</f>
        <v/>
      </c>
    </row>
    <row r="1415" spans="5:5" x14ac:dyDescent="0.2">
      <c r="E1415" t="str">
        <f>+IFERROR(VLOOKUP(D1415,Daten_Verknüpfungen!$B$2:$C$2000,2,FALSE),"")</f>
        <v/>
      </c>
    </row>
    <row r="1416" spans="5:5" x14ac:dyDescent="0.2">
      <c r="E1416" t="str">
        <f>+IFERROR(VLOOKUP(D1416,Daten_Verknüpfungen!$B$2:$C$2000,2,FALSE),"")</f>
        <v/>
      </c>
    </row>
    <row r="1417" spans="5:5" x14ac:dyDescent="0.2">
      <c r="E1417" t="str">
        <f>+IFERROR(VLOOKUP(D1417,Daten_Verknüpfungen!$B$2:$C$2000,2,FALSE),"")</f>
        <v/>
      </c>
    </row>
    <row r="1418" spans="5:5" x14ac:dyDescent="0.2">
      <c r="E1418" t="str">
        <f>+IFERROR(VLOOKUP(D1418,Daten_Verknüpfungen!$B$2:$C$2000,2,FALSE),"")</f>
        <v/>
      </c>
    </row>
    <row r="1419" spans="5:5" x14ac:dyDescent="0.2">
      <c r="E1419" t="str">
        <f>+IFERROR(VLOOKUP(D1419,Daten_Verknüpfungen!$B$2:$C$2000,2,FALSE),"")</f>
        <v/>
      </c>
    </row>
    <row r="1420" spans="5:5" x14ac:dyDescent="0.2">
      <c r="E1420" t="str">
        <f>+IFERROR(VLOOKUP(D1420,Daten_Verknüpfungen!$B$2:$C$2000,2,FALSE),"")</f>
        <v/>
      </c>
    </row>
    <row r="1421" spans="5:5" x14ac:dyDescent="0.2">
      <c r="E1421" t="str">
        <f>+IFERROR(VLOOKUP(D1421,Daten_Verknüpfungen!$B$2:$C$2000,2,FALSE),"")</f>
        <v/>
      </c>
    </row>
    <row r="1422" spans="5:5" x14ac:dyDescent="0.2">
      <c r="E1422" t="str">
        <f>+IFERROR(VLOOKUP(D1422,Daten_Verknüpfungen!$B$2:$C$2000,2,FALSE),"")</f>
        <v/>
      </c>
    </row>
    <row r="1423" spans="5:5" x14ac:dyDescent="0.2">
      <c r="E1423" t="str">
        <f>+IFERROR(VLOOKUP(D1423,Daten_Verknüpfungen!$B$2:$C$2000,2,FALSE),"")</f>
        <v/>
      </c>
    </row>
    <row r="1424" spans="5:5" x14ac:dyDescent="0.2">
      <c r="E1424" t="str">
        <f>+IFERROR(VLOOKUP(D1424,Daten_Verknüpfungen!$B$2:$C$2000,2,FALSE),"")</f>
        <v/>
      </c>
    </row>
    <row r="1425" spans="5:5" x14ac:dyDescent="0.2">
      <c r="E1425" t="str">
        <f>+IFERROR(VLOOKUP(D1425,Daten_Verknüpfungen!$B$2:$C$2000,2,FALSE),"")</f>
        <v/>
      </c>
    </row>
    <row r="1426" spans="5:5" x14ac:dyDescent="0.2">
      <c r="E1426" t="str">
        <f>+IFERROR(VLOOKUP(D1426,Daten_Verknüpfungen!$B$2:$C$2000,2,FALSE),"")</f>
        <v/>
      </c>
    </row>
    <row r="1427" spans="5:5" x14ac:dyDescent="0.2">
      <c r="E1427" t="str">
        <f>+IFERROR(VLOOKUP(D1427,Daten_Verknüpfungen!$B$2:$C$2000,2,FALSE),"")</f>
        <v/>
      </c>
    </row>
    <row r="1428" spans="5:5" x14ac:dyDescent="0.2">
      <c r="E1428" t="str">
        <f>+IFERROR(VLOOKUP(D1428,Daten_Verknüpfungen!$B$2:$C$2000,2,FALSE),"")</f>
        <v/>
      </c>
    </row>
    <row r="1429" spans="5:5" x14ac:dyDescent="0.2">
      <c r="E1429" t="str">
        <f>+IFERROR(VLOOKUP(D1429,Daten_Verknüpfungen!$B$2:$C$2000,2,FALSE),"")</f>
        <v/>
      </c>
    </row>
    <row r="1430" spans="5:5" x14ac:dyDescent="0.2">
      <c r="E1430" t="str">
        <f>+IFERROR(VLOOKUP(D1430,Daten_Verknüpfungen!$B$2:$C$2000,2,FALSE),"")</f>
        <v/>
      </c>
    </row>
    <row r="1431" spans="5:5" x14ac:dyDescent="0.2">
      <c r="E1431" t="str">
        <f>+IFERROR(VLOOKUP(D1431,Daten_Verknüpfungen!$B$2:$C$2000,2,FALSE),"")</f>
        <v/>
      </c>
    </row>
    <row r="1432" spans="5:5" x14ac:dyDescent="0.2">
      <c r="E1432" t="str">
        <f>+IFERROR(VLOOKUP(D1432,Daten_Verknüpfungen!$B$2:$C$2000,2,FALSE),"")</f>
        <v/>
      </c>
    </row>
    <row r="1433" spans="5:5" x14ac:dyDescent="0.2">
      <c r="E1433" t="str">
        <f>+IFERROR(VLOOKUP(D1433,Daten_Verknüpfungen!$B$2:$C$2000,2,FALSE),"")</f>
        <v/>
      </c>
    </row>
    <row r="1434" spans="5:5" x14ac:dyDescent="0.2">
      <c r="E1434" t="str">
        <f>+IFERROR(VLOOKUP(D1434,Daten_Verknüpfungen!$B$2:$C$2000,2,FALSE),"")</f>
        <v/>
      </c>
    </row>
    <row r="1435" spans="5:5" x14ac:dyDescent="0.2">
      <c r="E1435" t="str">
        <f>+IFERROR(VLOOKUP(D1435,Daten_Verknüpfungen!$B$2:$C$2000,2,FALSE),"")</f>
        <v/>
      </c>
    </row>
    <row r="1436" spans="5:5" x14ac:dyDescent="0.2">
      <c r="E1436" t="str">
        <f>+IFERROR(VLOOKUP(D1436,Daten_Verknüpfungen!$B$2:$C$2000,2,FALSE),"")</f>
        <v/>
      </c>
    </row>
    <row r="1437" spans="5:5" x14ac:dyDescent="0.2">
      <c r="E1437" t="str">
        <f>+IFERROR(VLOOKUP(D1437,Daten_Verknüpfungen!$B$2:$C$2000,2,FALSE),"")</f>
        <v/>
      </c>
    </row>
    <row r="1438" spans="5:5" x14ac:dyDescent="0.2">
      <c r="E1438" t="str">
        <f>+IFERROR(VLOOKUP(D1438,Daten_Verknüpfungen!$B$2:$C$2000,2,FALSE),"")</f>
        <v/>
      </c>
    </row>
    <row r="1439" spans="5:5" x14ac:dyDescent="0.2">
      <c r="E1439" t="str">
        <f>+IFERROR(VLOOKUP(D1439,Daten_Verknüpfungen!$B$2:$C$2000,2,FALSE),"")</f>
        <v/>
      </c>
    </row>
    <row r="1440" spans="5:5" x14ac:dyDescent="0.2">
      <c r="E1440" t="str">
        <f>+IFERROR(VLOOKUP(D1440,Daten_Verknüpfungen!$B$2:$C$2000,2,FALSE),"")</f>
        <v/>
      </c>
    </row>
    <row r="1441" spans="5:5" x14ac:dyDescent="0.2">
      <c r="E1441" t="str">
        <f>+IFERROR(VLOOKUP(D1441,Daten_Verknüpfungen!$B$2:$C$2000,2,FALSE),"")</f>
        <v/>
      </c>
    </row>
    <row r="1442" spans="5:5" x14ac:dyDescent="0.2">
      <c r="E1442" t="str">
        <f>+IFERROR(VLOOKUP(D1442,Daten_Verknüpfungen!$B$2:$C$2000,2,FALSE),"")</f>
        <v/>
      </c>
    </row>
    <row r="1443" spans="5:5" x14ac:dyDescent="0.2">
      <c r="E1443" t="str">
        <f>+IFERROR(VLOOKUP(D1443,Daten_Verknüpfungen!$B$2:$C$2000,2,FALSE),"")</f>
        <v/>
      </c>
    </row>
    <row r="1444" spans="5:5" x14ac:dyDescent="0.2">
      <c r="E1444" t="str">
        <f>+IFERROR(VLOOKUP(D1444,Daten_Verknüpfungen!$B$2:$C$2000,2,FALSE),"")</f>
        <v/>
      </c>
    </row>
    <row r="1445" spans="5:5" x14ac:dyDescent="0.2">
      <c r="E1445" t="str">
        <f>+IFERROR(VLOOKUP(D1445,Daten_Verknüpfungen!$B$2:$C$2000,2,FALSE),"")</f>
        <v/>
      </c>
    </row>
    <row r="1446" spans="5:5" x14ac:dyDescent="0.2">
      <c r="E1446" t="str">
        <f>+IFERROR(VLOOKUP(D1446,Daten_Verknüpfungen!$B$2:$C$2000,2,FALSE),"")</f>
        <v/>
      </c>
    </row>
    <row r="1447" spans="5:5" x14ac:dyDescent="0.2">
      <c r="E1447" t="str">
        <f>+IFERROR(VLOOKUP(D1447,Daten_Verknüpfungen!$B$2:$C$2000,2,FALSE),"")</f>
        <v/>
      </c>
    </row>
    <row r="1448" spans="5:5" x14ac:dyDescent="0.2">
      <c r="E1448" t="str">
        <f>+IFERROR(VLOOKUP(D1448,Daten_Verknüpfungen!$B$2:$C$2000,2,FALSE),"")</f>
        <v/>
      </c>
    </row>
    <row r="1449" spans="5:5" x14ac:dyDescent="0.2">
      <c r="E1449" t="str">
        <f>+IFERROR(VLOOKUP(D1449,Daten_Verknüpfungen!$B$2:$C$2000,2,FALSE),"")</f>
        <v/>
      </c>
    </row>
    <row r="1450" spans="5:5" x14ac:dyDescent="0.2">
      <c r="E1450" t="str">
        <f>+IFERROR(VLOOKUP(D1450,Daten_Verknüpfungen!$B$2:$C$2000,2,FALSE),"")</f>
        <v/>
      </c>
    </row>
    <row r="1451" spans="5:5" x14ac:dyDescent="0.2">
      <c r="E1451" t="str">
        <f>+IFERROR(VLOOKUP(D1451,Daten_Verknüpfungen!$B$2:$C$2000,2,FALSE),"")</f>
        <v/>
      </c>
    </row>
    <row r="1452" spans="5:5" x14ac:dyDescent="0.2">
      <c r="E1452" t="str">
        <f>+IFERROR(VLOOKUP(D1452,Daten_Verknüpfungen!$B$2:$C$2000,2,FALSE),"")</f>
        <v/>
      </c>
    </row>
    <row r="1453" spans="5:5" x14ac:dyDescent="0.2">
      <c r="E1453" t="str">
        <f>+IFERROR(VLOOKUP(D1453,Daten_Verknüpfungen!$B$2:$C$2000,2,FALSE),"")</f>
        <v/>
      </c>
    </row>
    <row r="1454" spans="5:5" x14ac:dyDescent="0.2">
      <c r="E1454" t="str">
        <f>+IFERROR(VLOOKUP(D1454,Daten_Verknüpfungen!$B$2:$C$2000,2,FALSE),"")</f>
        <v/>
      </c>
    </row>
    <row r="1455" spans="5:5" x14ac:dyDescent="0.2">
      <c r="E1455" t="str">
        <f>+IFERROR(VLOOKUP(D1455,Daten_Verknüpfungen!$B$2:$C$2000,2,FALSE),"")</f>
        <v/>
      </c>
    </row>
    <row r="1456" spans="5:5" x14ac:dyDescent="0.2">
      <c r="E1456" t="str">
        <f>+IFERROR(VLOOKUP(D1456,Daten_Verknüpfungen!$B$2:$C$2000,2,FALSE),"")</f>
        <v/>
      </c>
    </row>
    <row r="1457" spans="5:5" x14ac:dyDescent="0.2">
      <c r="E1457" t="str">
        <f>+IFERROR(VLOOKUP(D1457,Daten_Verknüpfungen!$B$2:$C$2000,2,FALSE),"")</f>
        <v/>
      </c>
    </row>
    <row r="1458" spans="5:5" x14ac:dyDescent="0.2">
      <c r="E1458" t="str">
        <f>+IFERROR(VLOOKUP(D1458,Daten_Verknüpfungen!$B$2:$C$2000,2,FALSE),"")</f>
        <v/>
      </c>
    </row>
    <row r="1459" spans="5:5" x14ac:dyDescent="0.2">
      <c r="E1459" t="str">
        <f>+IFERROR(VLOOKUP(D1459,Daten_Verknüpfungen!$B$2:$C$2000,2,FALSE),"")</f>
        <v/>
      </c>
    </row>
    <row r="1460" spans="5:5" x14ac:dyDescent="0.2">
      <c r="E1460" t="str">
        <f>+IFERROR(VLOOKUP(D1460,Daten_Verknüpfungen!$B$2:$C$2000,2,FALSE),"")</f>
        <v/>
      </c>
    </row>
    <row r="1461" spans="5:5" x14ac:dyDescent="0.2">
      <c r="E1461" t="str">
        <f>+IFERROR(VLOOKUP(D1461,Daten_Verknüpfungen!$B$2:$C$2000,2,FALSE),"")</f>
        <v/>
      </c>
    </row>
    <row r="1462" spans="5:5" x14ac:dyDescent="0.2">
      <c r="E1462" t="str">
        <f>+IFERROR(VLOOKUP(D1462,Daten_Verknüpfungen!$B$2:$C$2000,2,FALSE),"")</f>
        <v/>
      </c>
    </row>
    <row r="1463" spans="5:5" x14ac:dyDescent="0.2">
      <c r="E1463" t="str">
        <f>+IFERROR(VLOOKUP(D1463,Daten_Verknüpfungen!$B$2:$C$2000,2,FALSE),"")</f>
        <v/>
      </c>
    </row>
    <row r="1464" spans="5:5" x14ac:dyDescent="0.2">
      <c r="E1464" t="str">
        <f>+IFERROR(VLOOKUP(D1464,Daten_Verknüpfungen!$B$2:$C$2000,2,FALSE),"")</f>
        <v/>
      </c>
    </row>
    <row r="1465" spans="5:5" x14ac:dyDescent="0.2">
      <c r="E1465" t="str">
        <f>+IFERROR(VLOOKUP(D1465,Daten_Verknüpfungen!$B$2:$C$2000,2,FALSE),"")</f>
        <v/>
      </c>
    </row>
    <row r="1466" spans="5:5" x14ac:dyDescent="0.2">
      <c r="E1466" t="str">
        <f>+IFERROR(VLOOKUP(D1466,Daten_Verknüpfungen!$B$2:$C$2000,2,FALSE),"")</f>
        <v/>
      </c>
    </row>
    <row r="1467" spans="5:5" x14ac:dyDescent="0.2">
      <c r="E1467" t="str">
        <f>+IFERROR(VLOOKUP(D1467,Daten_Verknüpfungen!$B$2:$C$2000,2,FALSE),"")</f>
        <v/>
      </c>
    </row>
    <row r="1468" spans="5:5" x14ac:dyDescent="0.2">
      <c r="E1468" t="str">
        <f>+IFERROR(VLOOKUP(D1468,Daten_Verknüpfungen!$B$2:$C$2000,2,FALSE),"")</f>
        <v/>
      </c>
    </row>
    <row r="1469" spans="5:5" x14ac:dyDescent="0.2">
      <c r="E1469" t="str">
        <f>+IFERROR(VLOOKUP(D1469,Daten_Verknüpfungen!$B$2:$C$2000,2,FALSE),"")</f>
        <v/>
      </c>
    </row>
    <row r="1470" spans="5:5" x14ac:dyDescent="0.2">
      <c r="E1470" t="str">
        <f>+IFERROR(VLOOKUP(D1470,Daten_Verknüpfungen!$B$2:$C$2000,2,FALSE),"")</f>
        <v/>
      </c>
    </row>
    <row r="1471" spans="5:5" x14ac:dyDescent="0.2">
      <c r="E1471" t="str">
        <f>+IFERROR(VLOOKUP(D1471,Daten_Verknüpfungen!$B$2:$C$2000,2,FALSE),"")</f>
        <v/>
      </c>
    </row>
    <row r="1472" spans="5:5" x14ac:dyDescent="0.2">
      <c r="E1472" t="str">
        <f>+IFERROR(VLOOKUP(D1472,Daten_Verknüpfungen!$B$2:$C$2000,2,FALSE),"")</f>
        <v/>
      </c>
    </row>
    <row r="1473" spans="5:5" x14ac:dyDescent="0.2">
      <c r="E1473" t="str">
        <f>+IFERROR(VLOOKUP(D1473,Daten_Verknüpfungen!$B$2:$C$2000,2,FALSE),"")</f>
        <v/>
      </c>
    </row>
    <row r="1474" spans="5:5" x14ac:dyDescent="0.2">
      <c r="E1474" t="str">
        <f>+IFERROR(VLOOKUP(D1474,Daten_Verknüpfungen!$B$2:$C$2000,2,FALSE),"")</f>
        <v/>
      </c>
    </row>
    <row r="1475" spans="5:5" x14ac:dyDescent="0.2">
      <c r="E1475" t="str">
        <f>+IFERROR(VLOOKUP(D1475,Daten_Verknüpfungen!$B$2:$C$2000,2,FALSE),"")</f>
        <v/>
      </c>
    </row>
    <row r="1476" spans="5:5" x14ac:dyDescent="0.2">
      <c r="E1476" t="str">
        <f>+IFERROR(VLOOKUP(D1476,Daten_Verknüpfungen!$B$2:$C$2000,2,FALSE),"")</f>
        <v/>
      </c>
    </row>
    <row r="1477" spans="5:5" x14ac:dyDescent="0.2">
      <c r="E1477" t="str">
        <f>+IFERROR(VLOOKUP(D1477,Daten_Verknüpfungen!$B$2:$C$2000,2,FALSE),"")</f>
        <v/>
      </c>
    </row>
    <row r="1478" spans="5:5" x14ac:dyDescent="0.2">
      <c r="E1478" t="str">
        <f>+IFERROR(VLOOKUP(D1478,Daten_Verknüpfungen!$B$2:$C$2000,2,FALSE),"")</f>
        <v/>
      </c>
    </row>
    <row r="1479" spans="5:5" x14ac:dyDescent="0.2">
      <c r="E1479" t="str">
        <f>+IFERROR(VLOOKUP(D1479,Daten_Verknüpfungen!$B$2:$C$2000,2,FALSE),"")</f>
        <v/>
      </c>
    </row>
    <row r="1480" spans="5:5" x14ac:dyDescent="0.2">
      <c r="E1480" t="str">
        <f>+IFERROR(VLOOKUP(D1480,Daten_Verknüpfungen!$B$2:$C$2000,2,FALSE),"")</f>
        <v/>
      </c>
    </row>
    <row r="1481" spans="5:5" x14ac:dyDescent="0.2">
      <c r="E1481" t="str">
        <f>+IFERROR(VLOOKUP(D1481,Daten_Verknüpfungen!$B$2:$C$2000,2,FALSE),"")</f>
        <v/>
      </c>
    </row>
    <row r="1482" spans="5:5" x14ac:dyDescent="0.2">
      <c r="E1482" t="str">
        <f>+IFERROR(VLOOKUP(D1482,Daten_Verknüpfungen!$B$2:$C$2000,2,FALSE),"")</f>
        <v/>
      </c>
    </row>
    <row r="1483" spans="5:5" x14ac:dyDescent="0.2">
      <c r="E1483" t="str">
        <f>+IFERROR(VLOOKUP(D1483,Daten_Verknüpfungen!$B$2:$C$2000,2,FALSE),"")</f>
        <v/>
      </c>
    </row>
    <row r="1484" spans="5:5" x14ac:dyDescent="0.2">
      <c r="E1484" t="str">
        <f>+IFERROR(VLOOKUP(D1484,Daten_Verknüpfungen!$B$2:$C$2000,2,FALSE),"")</f>
        <v/>
      </c>
    </row>
    <row r="1485" spans="5:5" x14ac:dyDescent="0.2">
      <c r="E1485" t="str">
        <f>+IFERROR(VLOOKUP(D1485,Daten_Verknüpfungen!$B$2:$C$2000,2,FALSE),"")</f>
        <v/>
      </c>
    </row>
    <row r="1486" spans="5:5" x14ac:dyDescent="0.2">
      <c r="E1486" t="str">
        <f>+IFERROR(VLOOKUP(D1486,Daten_Verknüpfungen!$B$2:$C$2000,2,FALSE),"")</f>
        <v/>
      </c>
    </row>
    <row r="1487" spans="5:5" x14ac:dyDescent="0.2">
      <c r="E1487" t="str">
        <f>+IFERROR(VLOOKUP(D1487,Daten_Verknüpfungen!$B$2:$C$2000,2,FALSE),"")</f>
        <v/>
      </c>
    </row>
    <row r="1488" spans="5:5" x14ac:dyDescent="0.2">
      <c r="E1488" t="str">
        <f>+IFERROR(VLOOKUP(D1488,Daten_Verknüpfungen!$B$2:$C$2000,2,FALSE),"")</f>
        <v/>
      </c>
    </row>
    <row r="1489" spans="5:5" x14ac:dyDescent="0.2">
      <c r="E1489" t="str">
        <f>+IFERROR(VLOOKUP(D1489,Daten_Verknüpfungen!$B$2:$C$2000,2,FALSE),"")</f>
        <v/>
      </c>
    </row>
    <row r="1490" spans="5:5" x14ac:dyDescent="0.2">
      <c r="E1490" t="str">
        <f>+IFERROR(VLOOKUP(D1490,Daten_Verknüpfungen!$B$2:$C$2000,2,FALSE),"")</f>
        <v/>
      </c>
    </row>
    <row r="1491" spans="5:5" x14ac:dyDescent="0.2">
      <c r="E1491" t="str">
        <f>+IFERROR(VLOOKUP(D1491,Daten_Verknüpfungen!$B$2:$C$2000,2,FALSE),"")</f>
        <v/>
      </c>
    </row>
    <row r="1492" spans="5:5" x14ac:dyDescent="0.2">
      <c r="E1492" t="str">
        <f>+IFERROR(VLOOKUP(D1492,Daten_Verknüpfungen!$B$2:$C$2000,2,FALSE),"")</f>
        <v/>
      </c>
    </row>
    <row r="1493" spans="5:5" x14ac:dyDescent="0.2">
      <c r="E1493" t="str">
        <f>+IFERROR(VLOOKUP(D1493,Daten_Verknüpfungen!$B$2:$C$2000,2,FALSE),"")</f>
        <v/>
      </c>
    </row>
    <row r="1494" spans="5:5" x14ac:dyDescent="0.2">
      <c r="E1494" t="str">
        <f>+IFERROR(VLOOKUP(D1494,Daten_Verknüpfungen!$B$2:$C$2000,2,FALSE),"")</f>
        <v/>
      </c>
    </row>
    <row r="1495" spans="5:5" x14ac:dyDescent="0.2">
      <c r="E1495" t="str">
        <f>+IFERROR(VLOOKUP(D1495,Daten_Verknüpfungen!$B$2:$C$2000,2,FALSE),"")</f>
        <v/>
      </c>
    </row>
    <row r="1496" spans="5:5" x14ac:dyDescent="0.2">
      <c r="E1496" t="str">
        <f>+IFERROR(VLOOKUP(D1496,Daten_Verknüpfungen!$B$2:$C$2000,2,FALSE),"")</f>
        <v/>
      </c>
    </row>
    <row r="1497" spans="5:5" x14ac:dyDescent="0.2">
      <c r="E1497" t="str">
        <f>+IFERROR(VLOOKUP(D1497,Daten_Verknüpfungen!$B$2:$C$2000,2,FALSE),"")</f>
        <v/>
      </c>
    </row>
    <row r="1498" spans="5:5" x14ac:dyDescent="0.2">
      <c r="E1498" t="str">
        <f>+IFERROR(VLOOKUP(D1498,Daten_Verknüpfungen!$B$2:$C$2000,2,FALSE),"")</f>
        <v/>
      </c>
    </row>
    <row r="1499" spans="5:5" x14ac:dyDescent="0.2">
      <c r="E1499" t="str">
        <f>+IFERROR(VLOOKUP(D1499,Daten_Verknüpfungen!$B$2:$C$2000,2,FALSE),"")</f>
        <v/>
      </c>
    </row>
    <row r="1500" spans="5:5" x14ac:dyDescent="0.2">
      <c r="E1500" t="str">
        <f>+IFERROR(VLOOKUP(D1500,Daten_Verknüpfungen!$B$2:$C$2000,2,FALSE),"")</f>
        <v/>
      </c>
    </row>
    <row r="1501" spans="5:5" x14ac:dyDescent="0.2">
      <c r="E1501" t="str">
        <f>+IFERROR(VLOOKUP(D1501,Daten_Verknüpfungen!$B$2:$C$2000,2,FALSE),"")</f>
        <v/>
      </c>
    </row>
    <row r="1502" spans="5:5" x14ac:dyDescent="0.2">
      <c r="E1502" t="str">
        <f>+IFERROR(VLOOKUP(D1502,Daten_Verknüpfungen!$B$2:$C$2000,2,FALSE),"")</f>
        <v/>
      </c>
    </row>
    <row r="1503" spans="5:5" x14ac:dyDescent="0.2">
      <c r="E1503" t="str">
        <f>+IFERROR(VLOOKUP(D1503,Daten_Verknüpfungen!$B$2:$C$2000,2,FALSE),"")</f>
        <v/>
      </c>
    </row>
    <row r="1504" spans="5:5" x14ac:dyDescent="0.2">
      <c r="E1504" t="str">
        <f>+IFERROR(VLOOKUP(D1504,Daten_Verknüpfungen!$B$2:$C$2000,2,FALSE),"")</f>
        <v/>
      </c>
    </row>
    <row r="1505" spans="5:5" x14ac:dyDescent="0.2">
      <c r="E1505" t="str">
        <f>+IFERROR(VLOOKUP(D1505,Daten_Verknüpfungen!$B$2:$C$2000,2,FALSE),"")</f>
        <v/>
      </c>
    </row>
    <row r="1506" spans="5:5" x14ac:dyDescent="0.2">
      <c r="E1506" t="str">
        <f>+IFERROR(VLOOKUP(D1506,Daten_Verknüpfungen!$B$2:$C$2000,2,FALSE),"")</f>
        <v/>
      </c>
    </row>
    <row r="1507" spans="5:5" x14ac:dyDescent="0.2">
      <c r="E1507" t="str">
        <f>+IFERROR(VLOOKUP(D1507,Daten_Verknüpfungen!$B$2:$C$2000,2,FALSE),"")</f>
        <v/>
      </c>
    </row>
    <row r="1508" spans="5:5" x14ac:dyDescent="0.2">
      <c r="E1508" t="str">
        <f>+IFERROR(VLOOKUP(D1508,Daten_Verknüpfungen!$B$2:$C$2000,2,FALSE),"")</f>
        <v/>
      </c>
    </row>
    <row r="1509" spans="5:5" x14ac:dyDescent="0.2">
      <c r="E1509" t="str">
        <f>+IFERROR(VLOOKUP(D1509,Daten_Verknüpfungen!$B$2:$C$2000,2,FALSE),"")</f>
        <v/>
      </c>
    </row>
    <row r="1510" spans="5:5" x14ac:dyDescent="0.2">
      <c r="E1510" t="str">
        <f>+IFERROR(VLOOKUP(D1510,Daten_Verknüpfungen!$B$2:$C$2000,2,FALSE),"")</f>
        <v/>
      </c>
    </row>
    <row r="1511" spans="5:5" x14ac:dyDescent="0.2">
      <c r="E1511" t="str">
        <f>+IFERROR(VLOOKUP(D1511,Daten_Verknüpfungen!$B$2:$C$2000,2,FALSE),"")</f>
        <v/>
      </c>
    </row>
    <row r="1512" spans="5:5" x14ac:dyDescent="0.2">
      <c r="E1512" t="str">
        <f>+IFERROR(VLOOKUP(D1512,Daten_Verknüpfungen!$B$2:$C$2000,2,FALSE),"")</f>
        <v/>
      </c>
    </row>
    <row r="1513" spans="5:5" x14ac:dyDescent="0.2">
      <c r="E1513" t="str">
        <f>+IFERROR(VLOOKUP(D1513,Daten_Verknüpfungen!$B$2:$C$2000,2,FALSE),"")</f>
        <v/>
      </c>
    </row>
    <row r="1514" spans="5:5" x14ac:dyDescent="0.2">
      <c r="E1514" t="str">
        <f>+IFERROR(VLOOKUP(D1514,Daten_Verknüpfungen!$B$2:$C$2000,2,FALSE),"")</f>
        <v/>
      </c>
    </row>
    <row r="1515" spans="5:5" x14ac:dyDescent="0.2">
      <c r="E1515" t="str">
        <f>+IFERROR(VLOOKUP(D1515,Daten_Verknüpfungen!$B$2:$C$2000,2,FALSE),"")</f>
        <v/>
      </c>
    </row>
    <row r="1516" spans="5:5" x14ac:dyDescent="0.2">
      <c r="E1516" t="str">
        <f>+IFERROR(VLOOKUP(D1516,Daten_Verknüpfungen!$B$2:$C$2000,2,FALSE),"")</f>
        <v/>
      </c>
    </row>
    <row r="1517" spans="5:5" x14ac:dyDescent="0.2">
      <c r="E1517" t="str">
        <f>+IFERROR(VLOOKUP(D1517,Daten_Verknüpfungen!$B$2:$C$2000,2,FALSE),"")</f>
        <v/>
      </c>
    </row>
    <row r="1518" spans="5:5" x14ac:dyDescent="0.2">
      <c r="E1518" t="str">
        <f>+IFERROR(VLOOKUP(D1518,Daten_Verknüpfungen!$B$2:$C$2000,2,FALSE),"")</f>
        <v/>
      </c>
    </row>
    <row r="1519" spans="5:5" x14ac:dyDescent="0.2">
      <c r="E1519" t="str">
        <f>+IFERROR(VLOOKUP(D1519,Daten_Verknüpfungen!$B$2:$C$2000,2,FALSE),"")</f>
        <v/>
      </c>
    </row>
    <row r="1520" spans="5:5" x14ac:dyDescent="0.2">
      <c r="E1520" t="str">
        <f>+IFERROR(VLOOKUP(D1520,Daten_Verknüpfungen!$B$2:$C$2000,2,FALSE),"")</f>
        <v/>
      </c>
    </row>
    <row r="1521" spans="5:5" x14ac:dyDescent="0.2">
      <c r="E1521" t="str">
        <f>+IFERROR(VLOOKUP(D1521,Daten_Verknüpfungen!$B$2:$C$2000,2,FALSE),"")</f>
        <v/>
      </c>
    </row>
    <row r="1522" spans="5:5" x14ac:dyDescent="0.2">
      <c r="E1522" t="str">
        <f>+IFERROR(VLOOKUP(D1522,Daten_Verknüpfungen!$B$2:$C$2000,2,FALSE),"")</f>
        <v/>
      </c>
    </row>
    <row r="1523" spans="5:5" x14ac:dyDescent="0.2">
      <c r="E1523" t="str">
        <f>+IFERROR(VLOOKUP(D1523,Daten_Verknüpfungen!$B$2:$C$2000,2,FALSE),"")</f>
        <v/>
      </c>
    </row>
    <row r="1524" spans="5:5" x14ac:dyDescent="0.2">
      <c r="E1524" t="str">
        <f>+IFERROR(VLOOKUP(D1524,Daten_Verknüpfungen!$B$2:$C$2000,2,FALSE),"")</f>
        <v/>
      </c>
    </row>
    <row r="1525" spans="5:5" x14ac:dyDescent="0.2">
      <c r="E1525" t="str">
        <f>+IFERROR(VLOOKUP(D1525,Daten_Verknüpfungen!$B$2:$C$2000,2,FALSE),"")</f>
        <v/>
      </c>
    </row>
    <row r="1526" spans="5:5" x14ac:dyDescent="0.2">
      <c r="E1526" t="str">
        <f>+IFERROR(VLOOKUP(D1526,Daten_Verknüpfungen!$B$2:$C$2000,2,FALSE),"")</f>
        <v/>
      </c>
    </row>
    <row r="1527" spans="5:5" x14ac:dyDescent="0.2">
      <c r="E1527" t="str">
        <f>+IFERROR(VLOOKUP(D1527,Daten_Verknüpfungen!$B$2:$C$2000,2,FALSE),"")</f>
        <v/>
      </c>
    </row>
    <row r="1528" spans="5:5" x14ac:dyDescent="0.2">
      <c r="E1528" t="str">
        <f>+IFERROR(VLOOKUP(D1528,Daten_Verknüpfungen!$B$2:$C$2000,2,FALSE),"")</f>
        <v/>
      </c>
    </row>
    <row r="1529" spans="5:5" x14ac:dyDescent="0.2">
      <c r="E1529" t="str">
        <f>+IFERROR(VLOOKUP(D1529,Daten_Verknüpfungen!$B$2:$C$2000,2,FALSE),"")</f>
        <v/>
      </c>
    </row>
    <row r="1530" spans="5:5" x14ac:dyDescent="0.2">
      <c r="E1530" t="str">
        <f>+IFERROR(VLOOKUP(D1530,Daten_Verknüpfungen!$B$2:$C$2000,2,FALSE),"")</f>
        <v/>
      </c>
    </row>
    <row r="1531" spans="5:5" x14ac:dyDescent="0.2">
      <c r="E1531" t="str">
        <f>+IFERROR(VLOOKUP(D1531,Daten_Verknüpfungen!$B$2:$C$2000,2,FALSE),"")</f>
        <v/>
      </c>
    </row>
    <row r="1532" spans="5:5" x14ac:dyDescent="0.2">
      <c r="E1532" t="str">
        <f>+IFERROR(VLOOKUP(D1532,Daten_Verknüpfungen!$B$2:$C$2000,2,FALSE),"")</f>
        <v/>
      </c>
    </row>
    <row r="1533" spans="5:5" x14ac:dyDescent="0.2">
      <c r="E1533" t="str">
        <f>+IFERROR(VLOOKUP(D1533,Daten_Verknüpfungen!$B$2:$C$2000,2,FALSE),"")</f>
        <v/>
      </c>
    </row>
    <row r="1534" spans="5:5" x14ac:dyDescent="0.2">
      <c r="E1534" t="str">
        <f>+IFERROR(VLOOKUP(D1534,Daten_Verknüpfungen!$B$2:$C$2000,2,FALSE),"")</f>
        <v/>
      </c>
    </row>
    <row r="1535" spans="5:5" x14ac:dyDescent="0.2">
      <c r="E1535" t="str">
        <f>+IFERROR(VLOOKUP(D1535,Daten_Verknüpfungen!$B$2:$C$2000,2,FALSE),"")</f>
        <v/>
      </c>
    </row>
    <row r="1536" spans="5:5" x14ac:dyDescent="0.2">
      <c r="E1536" t="str">
        <f>+IFERROR(VLOOKUP(D1536,Daten_Verknüpfungen!$B$2:$C$2000,2,FALSE),"")</f>
        <v/>
      </c>
    </row>
    <row r="1537" spans="5:5" x14ac:dyDescent="0.2">
      <c r="E1537" t="str">
        <f>+IFERROR(VLOOKUP(D1537,Daten_Verknüpfungen!$B$2:$C$2000,2,FALSE),"")</f>
        <v/>
      </c>
    </row>
    <row r="1538" spans="5:5" x14ac:dyDescent="0.2">
      <c r="E1538" t="str">
        <f>+IFERROR(VLOOKUP(D1538,Daten_Verknüpfungen!$B$2:$C$2000,2,FALSE),"")</f>
        <v/>
      </c>
    </row>
    <row r="1539" spans="5:5" x14ac:dyDescent="0.2">
      <c r="E1539" t="str">
        <f>+IFERROR(VLOOKUP(D1539,Daten_Verknüpfungen!$B$2:$C$2000,2,FALSE),"")</f>
        <v/>
      </c>
    </row>
    <row r="1540" spans="5:5" x14ac:dyDescent="0.2">
      <c r="E1540" t="str">
        <f>+IFERROR(VLOOKUP(D1540,Daten_Verknüpfungen!$B$2:$C$2000,2,FALSE),"")</f>
        <v/>
      </c>
    </row>
    <row r="1541" spans="5:5" x14ac:dyDescent="0.2">
      <c r="E1541" t="str">
        <f>+IFERROR(VLOOKUP(D1541,Daten_Verknüpfungen!$B$2:$C$2000,2,FALSE),"")</f>
        <v/>
      </c>
    </row>
    <row r="1542" spans="5:5" x14ac:dyDescent="0.2">
      <c r="E1542" t="str">
        <f>+IFERROR(VLOOKUP(D1542,Daten_Verknüpfungen!$B$2:$C$2000,2,FALSE),"")</f>
        <v/>
      </c>
    </row>
    <row r="1543" spans="5:5" x14ac:dyDescent="0.2">
      <c r="E1543" t="str">
        <f>+IFERROR(VLOOKUP(D1543,Daten_Verknüpfungen!$B$2:$C$2000,2,FALSE),"")</f>
        <v/>
      </c>
    </row>
    <row r="1544" spans="5:5" x14ac:dyDescent="0.2">
      <c r="E1544" t="str">
        <f>+IFERROR(VLOOKUP(D1544,Daten_Verknüpfungen!$B$2:$C$2000,2,FALSE),"")</f>
        <v/>
      </c>
    </row>
    <row r="1545" spans="5:5" x14ac:dyDescent="0.2">
      <c r="E1545" t="str">
        <f>+IFERROR(VLOOKUP(D1545,Daten_Verknüpfungen!$B$2:$C$2000,2,FALSE),"")</f>
        <v/>
      </c>
    </row>
    <row r="1546" spans="5:5" x14ac:dyDescent="0.2">
      <c r="E1546" t="str">
        <f>+IFERROR(VLOOKUP(D1546,Daten_Verknüpfungen!$B$2:$C$2000,2,FALSE),"")</f>
        <v/>
      </c>
    </row>
    <row r="1547" spans="5:5" x14ac:dyDescent="0.2">
      <c r="E1547" t="str">
        <f>+IFERROR(VLOOKUP(D1547,Daten_Verknüpfungen!$B$2:$C$2000,2,FALSE),"")</f>
        <v/>
      </c>
    </row>
    <row r="1548" spans="5:5" x14ac:dyDescent="0.2">
      <c r="E1548" t="str">
        <f>+IFERROR(VLOOKUP(D1548,Daten_Verknüpfungen!$B$2:$C$2000,2,FALSE),"")</f>
        <v/>
      </c>
    </row>
    <row r="1549" spans="5:5" x14ac:dyDescent="0.2">
      <c r="E1549" t="str">
        <f>+IFERROR(VLOOKUP(D1549,Daten_Verknüpfungen!$B$2:$C$2000,2,FALSE),"")</f>
        <v/>
      </c>
    </row>
    <row r="1550" spans="5:5" x14ac:dyDescent="0.2">
      <c r="E1550" t="str">
        <f>+IFERROR(VLOOKUP(D1550,Daten_Verknüpfungen!$B$2:$C$2000,2,FALSE),"")</f>
        <v/>
      </c>
    </row>
    <row r="1551" spans="5:5" x14ac:dyDescent="0.2">
      <c r="E1551" t="str">
        <f>+IFERROR(VLOOKUP(D1551,Daten_Verknüpfungen!$B$2:$C$2000,2,FALSE),"")</f>
        <v/>
      </c>
    </row>
    <row r="1552" spans="5:5" x14ac:dyDescent="0.2">
      <c r="E1552" t="str">
        <f>+IFERROR(VLOOKUP(D1552,Daten_Verknüpfungen!$B$2:$C$2000,2,FALSE),"")</f>
        <v/>
      </c>
    </row>
    <row r="1553" spans="5:5" x14ac:dyDescent="0.2">
      <c r="E1553" t="str">
        <f>+IFERROR(VLOOKUP(D1553,Daten_Verknüpfungen!$B$2:$C$2000,2,FALSE),"")</f>
        <v/>
      </c>
    </row>
    <row r="1554" spans="5:5" x14ac:dyDescent="0.2">
      <c r="E1554" t="str">
        <f>+IFERROR(VLOOKUP(D1554,Daten_Verknüpfungen!$B$2:$C$2000,2,FALSE),"")</f>
        <v/>
      </c>
    </row>
    <row r="1555" spans="5:5" x14ac:dyDescent="0.2">
      <c r="E1555" t="str">
        <f>+IFERROR(VLOOKUP(D1555,Daten_Verknüpfungen!$B$2:$C$2000,2,FALSE),"")</f>
        <v/>
      </c>
    </row>
    <row r="1556" spans="5:5" x14ac:dyDescent="0.2">
      <c r="E1556" t="str">
        <f>+IFERROR(VLOOKUP(D1556,Daten_Verknüpfungen!$B$2:$C$2000,2,FALSE),"")</f>
        <v/>
      </c>
    </row>
    <row r="1557" spans="5:5" x14ac:dyDescent="0.2">
      <c r="E1557" t="str">
        <f>+IFERROR(VLOOKUP(D1557,Daten_Verknüpfungen!$B$2:$C$2000,2,FALSE),"")</f>
        <v/>
      </c>
    </row>
    <row r="1558" spans="5:5" x14ac:dyDescent="0.2">
      <c r="E1558" t="str">
        <f>+IFERROR(VLOOKUP(D1558,Daten_Verknüpfungen!$B$2:$C$2000,2,FALSE),"")</f>
        <v/>
      </c>
    </row>
    <row r="1559" spans="5:5" x14ac:dyDescent="0.2">
      <c r="E1559" t="str">
        <f>+IFERROR(VLOOKUP(D1559,Daten_Verknüpfungen!$B$2:$C$2000,2,FALSE),"")</f>
        <v/>
      </c>
    </row>
    <row r="1560" spans="5:5" x14ac:dyDescent="0.2">
      <c r="E1560" t="str">
        <f>+IFERROR(VLOOKUP(D1560,Daten_Verknüpfungen!$B$2:$C$2000,2,FALSE),"")</f>
        <v/>
      </c>
    </row>
    <row r="1561" spans="5:5" x14ac:dyDescent="0.2">
      <c r="E1561" t="str">
        <f>+IFERROR(VLOOKUP(D1561,Daten_Verknüpfungen!$B$2:$C$2000,2,FALSE),"")</f>
        <v/>
      </c>
    </row>
    <row r="1562" spans="5:5" x14ac:dyDescent="0.2">
      <c r="E1562" t="str">
        <f>+IFERROR(VLOOKUP(D1562,Daten_Verknüpfungen!$B$2:$C$2000,2,FALSE),"")</f>
        <v/>
      </c>
    </row>
    <row r="1563" spans="5:5" x14ac:dyDescent="0.2">
      <c r="E1563" t="str">
        <f>+IFERROR(VLOOKUP(D1563,Daten_Verknüpfungen!$B$2:$C$2000,2,FALSE),"")</f>
        <v/>
      </c>
    </row>
    <row r="1564" spans="5:5" x14ac:dyDescent="0.2">
      <c r="E1564" t="str">
        <f>+IFERROR(VLOOKUP(D1564,Daten_Verknüpfungen!$B$2:$C$2000,2,FALSE),"")</f>
        <v/>
      </c>
    </row>
    <row r="1565" spans="5:5" x14ac:dyDescent="0.2">
      <c r="E1565" t="str">
        <f>+IFERROR(VLOOKUP(D1565,Daten_Verknüpfungen!$B$2:$C$2000,2,FALSE),"")</f>
        <v/>
      </c>
    </row>
    <row r="1566" spans="5:5" x14ac:dyDescent="0.2">
      <c r="E1566" t="str">
        <f>+IFERROR(VLOOKUP(D1566,Daten_Verknüpfungen!$B$2:$C$2000,2,FALSE),"")</f>
        <v/>
      </c>
    </row>
    <row r="1567" spans="5:5" x14ac:dyDescent="0.2">
      <c r="E1567" t="str">
        <f>+IFERROR(VLOOKUP(D1567,Daten_Verknüpfungen!$B$2:$C$2000,2,FALSE),"")</f>
        <v/>
      </c>
    </row>
    <row r="1568" spans="5:5" x14ac:dyDescent="0.2">
      <c r="E1568" t="str">
        <f>+IFERROR(VLOOKUP(D1568,Daten_Verknüpfungen!$B$2:$C$2000,2,FALSE),"")</f>
        <v/>
      </c>
    </row>
    <row r="1569" spans="5:5" x14ac:dyDescent="0.2">
      <c r="E1569" t="str">
        <f>+IFERROR(VLOOKUP(D1569,Daten_Verknüpfungen!$B$2:$C$2000,2,FALSE),"")</f>
        <v/>
      </c>
    </row>
    <row r="1570" spans="5:5" x14ac:dyDescent="0.2">
      <c r="E1570" t="str">
        <f>+IFERROR(VLOOKUP(D1570,Daten_Verknüpfungen!$B$2:$C$2000,2,FALSE),"")</f>
        <v/>
      </c>
    </row>
    <row r="1571" spans="5:5" x14ac:dyDescent="0.2">
      <c r="E1571" t="str">
        <f>+IFERROR(VLOOKUP(D1571,Daten_Verknüpfungen!$B$2:$C$2000,2,FALSE),"")</f>
        <v/>
      </c>
    </row>
    <row r="1572" spans="5:5" x14ac:dyDescent="0.2">
      <c r="E1572" t="str">
        <f>+IFERROR(VLOOKUP(D1572,Daten_Verknüpfungen!$B$2:$C$2000,2,FALSE),"")</f>
        <v/>
      </c>
    </row>
    <row r="1573" spans="5:5" x14ac:dyDescent="0.2">
      <c r="E1573" t="str">
        <f>+IFERROR(VLOOKUP(D1573,Daten_Verknüpfungen!$B$2:$C$2000,2,FALSE),"")</f>
        <v/>
      </c>
    </row>
    <row r="1574" spans="5:5" x14ac:dyDescent="0.2">
      <c r="E1574" t="str">
        <f>+IFERROR(VLOOKUP(D1574,Daten_Verknüpfungen!$B$2:$C$2000,2,FALSE),"")</f>
        <v/>
      </c>
    </row>
    <row r="1575" spans="5:5" x14ac:dyDescent="0.2">
      <c r="E1575" t="str">
        <f>+IFERROR(VLOOKUP(D1575,Daten_Verknüpfungen!$B$2:$C$2000,2,FALSE),"")</f>
        <v/>
      </c>
    </row>
    <row r="1576" spans="5:5" x14ac:dyDescent="0.2">
      <c r="E1576" t="str">
        <f>+IFERROR(VLOOKUP(D1576,Daten_Verknüpfungen!$B$2:$C$2000,2,FALSE),"")</f>
        <v/>
      </c>
    </row>
    <row r="1577" spans="5:5" x14ac:dyDescent="0.2">
      <c r="E1577" t="str">
        <f>+IFERROR(VLOOKUP(D1577,Daten_Verknüpfungen!$B$2:$C$2000,2,FALSE),"")</f>
        <v/>
      </c>
    </row>
    <row r="1578" spans="5:5" x14ac:dyDescent="0.2">
      <c r="E1578" t="str">
        <f>+IFERROR(VLOOKUP(D1578,Daten_Verknüpfungen!$B$2:$C$2000,2,FALSE),"")</f>
        <v/>
      </c>
    </row>
    <row r="1579" spans="5:5" x14ac:dyDescent="0.2">
      <c r="E1579" t="str">
        <f>+IFERROR(VLOOKUP(D1579,Daten_Verknüpfungen!$B$2:$C$2000,2,FALSE),"")</f>
        <v/>
      </c>
    </row>
    <row r="1580" spans="5:5" x14ac:dyDescent="0.2">
      <c r="E1580" t="str">
        <f>+IFERROR(VLOOKUP(D1580,Daten_Verknüpfungen!$B$2:$C$2000,2,FALSE),"")</f>
        <v/>
      </c>
    </row>
    <row r="1581" spans="5:5" x14ac:dyDescent="0.2">
      <c r="E1581" t="str">
        <f>+IFERROR(VLOOKUP(D1581,Daten_Verknüpfungen!$B$2:$C$2000,2,FALSE),"")</f>
        <v/>
      </c>
    </row>
    <row r="1582" spans="5:5" x14ac:dyDescent="0.2">
      <c r="E1582" t="str">
        <f>+IFERROR(VLOOKUP(D1582,Daten_Verknüpfungen!$B$2:$C$2000,2,FALSE),"")</f>
        <v/>
      </c>
    </row>
    <row r="1583" spans="5:5" x14ac:dyDescent="0.2">
      <c r="E1583" t="str">
        <f>+IFERROR(VLOOKUP(D1583,Daten_Verknüpfungen!$B$2:$C$2000,2,FALSE),"")</f>
        <v/>
      </c>
    </row>
    <row r="1584" spans="5:5" x14ac:dyDescent="0.2">
      <c r="E1584" t="str">
        <f>+IFERROR(VLOOKUP(D1584,Daten_Verknüpfungen!$B$2:$C$2000,2,FALSE),"")</f>
        <v/>
      </c>
    </row>
    <row r="1585" spans="5:5" x14ac:dyDescent="0.2">
      <c r="E1585" t="str">
        <f>+IFERROR(VLOOKUP(D1585,Daten_Verknüpfungen!$B$2:$C$2000,2,FALSE),"")</f>
        <v/>
      </c>
    </row>
    <row r="1586" spans="5:5" x14ac:dyDescent="0.2">
      <c r="E1586" t="str">
        <f>+IFERROR(VLOOKUP(D1586,Daten_Verknüpfungen!$B$2:$C$2000,2,FALSE),"")</f>
        <v/>
      </c>
    </row>
    <row r="1587" spans="5:5" x14ac:dyDescent="0.2">
      <c r="E1587" t="str">
        <f>+IFERROR(VLOOKUP(D1587,Daten_Verknüpfungen!$B$2:$C$2000,2,FALSE),"")</f>
        <v/>
      </c>
    </row>
    <row r="1588" spans="5:5" x14ac:dyDescent="0.2">
      <c r="E1588" t="str">
        <f>+IFERROR(VLOOKUP(D1588,Daten_Verknüpfungen!$B$2:$C$2000,2,FALSE),"")</f>
        <v/>
      </c>
    </row>
    <row r="1589" spans="5:5" x14ac:dyDescent="0.2">
      <c r="E1589" t="str">
        <f>+IFERROR(VLOOKUP(D1589,Daten_Verknüpfungen!$B$2:$C$2000,2,FALSE),"")</f>
        <v/>
      </c>
    </row>
    <row r="1590" spans="5:5" x14ac:dyDescent="0.2">
      <c r="E1590" t="str">
        <f>+IFERROR(VLOOKUP(D1590,Daten_Verknüpfungen!$B$2:$C$2000,2,FALSE),"")</f>
        <v/>
      </c>
    </row>
    <row r="1591" spans="5:5" x14ac:dyDescent="0.2">
      <c r="E1591" t="str">
        <f>+IFERROR(VLOOKUP(D1591,Daten_Verknüpfungen!$B$2:$C$2000,2,FALSE),"")</f>
        <v/>
      </c>
    </row>
    <row r="1592" spans="5:5" x14ac:dyDescent="0.2">
      <c r="E1592" t="str">
        <f>+IFERROR(VLOOKUP(D1592,Daten_Verknüpfungen!$B$2:$C$2000,2,FALSE),"")</f>
        <v/>
      </c>
    </row>
    <row r="1593" spans="5:5" x14ac:dyDescent="0.2">
      <c r="E1593" t="str">
        <f>+IFERROR(VLOOKUP(D1593,Daten_Verknüpfungen!$B$2:$C$2000,2,FALSE),"")</f>
        <v/>
      </c>
    </row>
    <row r="1594" spans="5:5" x14ac:dyDescent="0.2">
      <c r="E1594" t="str">
        <f>+IFERROR(VLOOKUP(D1594,Daten_Verknüpfungen!$B$2:$C$2000,2,FALSE),"")</f>
        <v/>
      </c>
    </row>
    <row r="1595" spans="5:5" x14ac:dyDescent="0.2">
      <c r="E1595" t="str">
        <f>+IFERROR(VLOOKUP(D1595,Daten_Verknüpfungen!$B$2:$C$2000,2,FALSE),"")</f>
        <v/>
      </c>
    </row>
    <row r="1596" spans="5:5" x14ac:dyDescent="0.2">
      <c r="E1596" t="str">
        <f>+IFERROR(VLOOKUP(D1596,Daten_Verknüpfungen!$B$2:$C$2000,2,FALSE),"")</f>
        <v/>
      </c>
    </row>
    <row r="1597" spans="5:5" x14ac:dyDescent="0.2">
      <c r="E1597" t="str">
        <f>+IFERROR(VLOOKUP(D1597,Daten_Verknüpfungen!$B$2:$C$2000,2,FALSE),"")</f>
        <v/>
      </c>
    </row>
    <row r="1598" spans="5:5" x14ac:dyDescent="0.2">
      <c r="E1598" t="str">
        <f>+IFERROR(VLOOKUP(D1598,Daten_Verknüpfungen!$B$2:$C$2000,2,FALSE),"")</f>
        <v/>
      </c>
    </row>
    <row r="1599" spans="5:5" x14ac:dyDescent="0.2">
      <c r="E1599" t="str">
        <f>+IFERROR(VLOOKUP(D1599,Daten_Verknüpfungen!$B$2:$C$2000,2,FALSE),"")</f>
        <v/>
      </c>
    </row>
    <row r="1600" spans="5:5" x14ac:dyDescent="0.2">
      <c r="E1600" t="str">
        <f>+IFERROR(VLOOKUP(D1600,Daten_Verknüpfungen!$B$2:$C$2000,2,FALSE),"")</f>
        <v/>
      </c>
    </row>
    <row r="1601" spans="5:5" x14ac:dyDescent="0.2">
      <c r="E1601" t="str">
        <f>+IFERROR(VLOOKUP(D1601,Daten_Verknüpfungen!$B$2:$C$2000,2,FALSE),"")</f>
        <v/>
      </c>
    </row>
    <row r="1602" spans="5:5" x14ac:dyDescent="0.2">
      <c r="E1602" t="str">
        <f>+IFERROR(VLOOKUP(D1602,Daten_Verknüpfungen!$B$2:$C$2000,2,FALSE),"")</f>
        <v/>
      </c>
    </row>
    <row r="1603" spans="5:5" x14ac:dyDescent="0.2">
      <c r="E1603" t="str">
        <f>+IFERROR(VLOOKUP(D1603,Daten_Verknüpfungen!$B$2:$C$2000,2,FALSE),"")</f>
        <v/>
      </c>
    </row>
    <row r="1604" spans="5:5" x14ac:dyDescent="0.2">
      <c r="E1604" t="str">
        <f>+IFERROR(VLOOKUP(D1604,Daten_Verknüpfungen!$B$2:$C$2000,2,FALSE),"")</f>
        <v/>
      </c>
    </row>
    <row r="1605" spans="5:5" x14ac:dyDescent="0.2">
      <c r="E1605" t="str">
        <f>+IFERROR(VLOOKUP(D1605,Daten_Verknüpfungen!$B$2:$C$2000,2,FALSE),"")</f>
        <v/>
      </c>
    </row>
    <row r="1606" spans="5:5" x14ac:dyDescent="0.2">
      <c r="E1606" t="str">
        <f>+IFERROR(VLOOKUP(D1606,Daten_Verknüpfungen!$B$2:$C$2000,2,FALSE),"")</f>
        <v/>
      </c>
    </row>
    <row r="1607" spans="5:5" x14ac:dyDescent="0.2">
      <c r="E1607" t="str">
        <f>+IFERROR(VLOOKUP(D1607,Daten_Verknüpfungen!$B$2:$C$2000,2,FALSE),"")</f>
        <v/>
      </c>
    </row>
    <row r="1608" spans="5:5" x14ac:dyDescent="0.2">
      <c r="E1608" t="str">
        <f>+IFERROR(VLOOKUP(D1608,Daten_Verknüpfungen!$B$2:$C$2000,2,FALSE),"")</f>
        <v/>
      </c>
    </row>
    <row r="1609" spans="5:5" x14ac:dyDescent="0.2">
      <c r="E1609" t="str">
        <f>+IFERROR(VLOOKUP(D1609,Daten_Verknüpfungen!$B$2:$C$2000,2,FALSE),"")</f>
        <v/>
      </c>
    </row>
    <row r="1610" spans="5:5" x14ac:dyDescent="0.2">
      <c r="E1610" t="str">
        <f>+IFERROR(VLOOKUP(D1610,Daten_Verknüpfungen!$B$2:$C$2000,2,FALSE),"")</f>
        <v/>
      </c>
    </row>
    <row r="1611" spans="5:5" x14ac:dyDescent="0.2">
      <c r="E1611" t="str">
        <f>+IFERROR(VLOOKUP(D1611,Daten_Verknüpfungen!$B$2:$C$2000,2,FALSE),"")</f>
        <v/>
      </c>
    </row>
    <row r="1612" spans="5:5" x14ac:dyDescent="0.2">
      <c r="E1612" t="str">
        <f>+IFERROR(VLOOKUP(D1612,Daten_Verknüpfungen!$B$2:$C$2000,2,FALSE),"")</f>
        <v/>
      </c>
    </row>
    <row r="1613" spans="5:5" x14ac:dyDescent="0.2">
      <c r="E1613" t="str">
        <f>+IFERROR(VLOOKUP(D1613,Daten_Verknüpfungen!$B$2:$C$2000,2,FALSE),"")</f>
        <v/>
      </c>
    </row>
    <row r="1614" spans="5:5" x14ac:dyDescent="0.2">
      <c r="E1614" t="str">
        <f>+IFERROR(VLOOKUP(D1614,Daten_Verknüpfungen!$B$2:$C$2000,2,FALSE),"")</f>
        <v/>
      </c>
    </row>
    <row r="1615" spans="5:5" x14ac:dyDescent="0.2">
      <c r="E1615" t="str">
        <f>+IFERROR(VLOOKUP(D1615,Daten_Verknüpfungen!$B$2:$C$2000,2,FALSE),"")</f>
        <v/>
      </c>
    </row>
    <row r="1616" spans="5:5" x14ac:dyDescent="0.2">
      <c r="E1616" t="str">
        <f>+IFERROR(VLOOKUP(D1616,Daten_Verknüpfungen!$B$2:$C$2000,2,FALSE),"")</f>
        <v/>
      </c>
    </row>
    <row r="1617" spans="5:5" x14ac:dyDescent="0.2">
      <c r="E1617" t="str">
        <f>+IFERROR(VLOOKUP(D1617,Daten_Verknüpfungen!$B$2:$C$2000,2,FALSE),"")</f>
        <v/>
      </c>
    </row>
    <row r="1618" spans="5:5" x14ac:dyDescent="0.2">
      <c r="E1618" t="str">
        <f>+IFERROR(VLOOKUP(D1618,Daten_Verknüpfungen!$B$2:$C$2000,2,FALSE),"")</f>
        <v/>
      </c>
    </row>
    <row r="1619" spans="5:5" x14ac:dyDescent="0.2">
      <c r="E1619" t="str">
        <f>+IFERROR(VLOOKUP(D1619,Daten_Verknüpfungen!$B$2:$C$2000,2,FALSE),"")</f>
        <v/>
      </c>
    </row>
    <row r="1620" spans="5:5" x14ac:dyDescent="0.2">
      <c r="E1620" t="str">
        <f>+IFERROR(VLOOKUP(D1620,Daten_Verknüpfungen!$B$2:$C$2000,2,FALSE),"")</f>
        <v/>
      </c>
    </row>
    <row r="1621" spans="5:5" x14ac:dyDescent="0.2">
      <c r="E1621" t="str">
        <f>+IFERROR(VLOOKUP(D1621,Daten_Verknüpfungen!$B$2:$C$2000,2,FALSE),"")</f>
        <v/>
      </c>
    </row>
    <row r="1622" spans="5:5" x14ac:dyDescent="0.2">
      <c r="E1622" t="str">
        <f>+IFERROR(VLOOKUP(D1622,Daten_Verknüpfungen!$B$2:$C$2000,2,FALSE),"")</f>
        <v/>
      </c>
    </row>
    <row r="1623" spans="5:5" x14ac:dyDescent="0.2">
      <c r="E1623" t="str">
        <f>+IFERROR(VLOOKUP(D1623,Daten_Verknüpfungen!$B$2:$C$2000,2,FALSE),"")</f>
        <v/>
      </c>
    </row>
    <row r="1624" spans="5:5" x14ac:dyDescent="0.2">
      <c r="E1624" t="str">
        <f>+IFERROR(VLOOKUP(D1624,Daten_Verknüpfungen!$B$2:$C$2000,2,FALSE),"")</f>
        <v/>
      </c>
    </row>
    <row r="1625" spans="5:5" x14ac:dyDescent="0.2">
      <c r="E1625" t="str">
        <f>+IFERROR(VLOOKUP(D1625,Daten_Verknüpfungen!$B$2:$C$2000,2,FALSE),"")</f>
        <v/>
      </c>
    </row>
    <row r="1626" spans="5:5" x14ac:dyDescent="0.2">
      <c r="E1626" t="str">
        <f>+IFERROR(VLOOKUP(D1626,Daten_Verknüpfungen!$B$2:$C$2000,2,FALSE),"")</f>
        <v/>
      </c>
    </row>
    <row r="1627" spans="5:5" x14ac:dyDescent="0.2">
      <c r="E1627" t="str">
        <f>+IFERROR(VLOOKUP(D1627,Daten_Verknüpfungen!$B$2:$C$2000,2,FALSE),"")</f>
        <v/>
      </c>
    </row>
    <row r="1628" spans="5:5" x14ac:dyDescent="0.2">
      <c r="E1628" t="str">
        <f>+IFERROR(VLOOKUP(D1628,Daten_Verknüpfungen!$B$2:$C$2000,2,FALSE),"")</f>
        <v/>
      </c>
    </row>
    <row r="1629" spans="5:5" x14ac:dyDescent="0.2">
      <c r="E1629" t="str">
        <f>+IFERROR(VLOOKUP(D1629,Daten_Verknüpfungen!$B$2:$C$2000,2,FALSE),"")</f>
        <v/>
      </c>
    </row>
    <row r="1630" spans="5:5" x14ac:dyDescent="0.2">
      <c r="E1630" t="str">
        <f>+IFERROR(VLOOKUP(D1630,Daten_Verknüpfungen!$B$2:$C$2000,2,FALSE),"")</f>
        <v/>
      </c>
    </row>
    <row r="1631" spans="5:5" x14ac:dyDescent="0.2">
      <c r="E1631" t="str">
        <f>+IFERROR(VLOOKUP(D1631,Daten_Verknüpfungen!$B$2:$C$2000,2,FALSE),"")</f>
        <v/>
      </c>
    </row>
    <row r="1632" spans="5:5" x14ac:dyDescent="0.2">
      <c r="E1632" t="str">
        <f>+IFERROR(VLOOKUP(D1632,Daten_Verknüpfungen!$B$2:$C$2000,2,FALSE),"")</f>
        <v/>
      </c>
    </row>
    <row r="1633" spans="5:5" x14ac:dyDescent="0.2">
      <c r="E1633" t="str">
        <f>+IFERROR(VLOOKUP(D1633,Daten_Verknüpfungen!$B$2:$C$2000,2,FALSE),"")</f>
        <v/>
      </c>
    </row>
    <row r="1634" spans="5:5" x14ac:dyDescent="0.2">
      <c r="E1634" t="str">
        <f>+IFERROR(VLOOKUP(D1634,Daten_Verknüpfungen!$B$2:$C$2000,2,FALSE),"")</f>
        <v/>
      </c>
    </row>
    <row r="1635" spans="5:5" x14ac:dyDescent="0.2">
      <c r="E1635" t="str">
        <f>+IFERROR(VLOOKUP(D1635,Daten_Verknüpfungen!$B$2:$C$2000,2,FALSE),"")</f>
        <v/>
      </c>
    </row>
    <row r="1636" spans="5:5" x14ac:dyDescent="0.2">
      <c r="E1636" t="str">
        <f>+IFERROR(VLOOKUP(D1636,Daten_Verknüpfungen!$B$2:$C$2000,2,FALSE),"")</f>
        <v/>
      </c>
    </row>
    <row r="1637" spans="5:5" x14ac:dyDescent="0.2">
      <c r="E1637" t="str">
        <f>+IFERROR(VLOOKUP(D1637,Daten_Verknüpfungen!$B$2:$C$2000,2,FALSE),"")</f>
        <v/>
      </c>
    </row>
    <row r="1638" spans="5:5" x14ac:dyDescent="0.2">
      <c r="E1638" t="str">
        <f>+IFERROR(VLOOKUP(D1638,Daten_Verknüpfungen!$B$2:$C$2000,2,FALSE),"")</f>
        <v/>
      </c>
    </row>
    <row r="1639" spans="5:5" x14ac:dyDescent="0.2">
      <c r="E1639" t="str">
        <f>+IFERROR(VLOOKUP(D1639,Daten_Verknüpfungen!$B$2:$C$2000,2,FALSE),"")</f>
        <v/>
      </c>
    </row>
    <row r="1640" spans="5:5" x14ac:dyDescent="0.2">
      <c r="E1640" t="str">
        <f>+IFERROR(VLOOKUP(D1640,Daten_Verknüpfungen!$B$2:$C$2000,2,FALSE),"")</f>
        <v/>
      </c>
    </row>
    <row r="1641" spans="5:5" x14ac:dyDescent="0.2">
      <c r="E1641" t="str">
        <f>+IFERROR(VLOOKUP(D1641,Daten_Verknüpfungen!$B$2:$C$2000,2,FALSE),"")</f>
        <v/>
      </c>
    </row>
    <row r="1642" spans="5:5" x14ac:dyDescent="0.2">
      <c r="E1642" t="str">
        <f>+IFERROR(VLOOKUP(D1642,Daten_Verknüpfungen!$B$2:$C$2000,2,FALSE),"")</f>
        <v/>
      </c>
    </row>
    <row r="1643" spans="5:5" x14ac:dyDescent="0.2">
      <c r="E1643" t="str">
        <f>+IFERROR(VLOOKUP(D1643,Daten_Verknüpfungen!$B$2:$C$2000,2,FALSE),"")</f>
        <v/>
      </c>
    </row>
    <row r="1644" spans="5:5" x14ac:dyDescent="0.2">
      <c r="E1644" t="str">
        <f>+IFERROR(VLOOKUP(D1644,Daten_Verknüpfungen!$B$2:$C$2000,2,FALSE),"")</f>
        <v/>
      </c>
    </row>
    <row r="1645" spans="5:5" x14ac:dyDescent="0.2">
      <c r="E1645" t="str">
        <f>+IFERROR(VLOOKUP(D1645,Daten_Verknüpfungen!$B$2:$C$2000,2,FALSE),"")</f>
        <v/>
      </c>
    </row>
    <row r="1646" spans="5:5" x14ac:dyDescent="0.2">
      <c r="E1646" t="str">
        <f>+IFERROR(VLOOKUP(D1646,Daten_Verknüpfungen!$B$2:$C$2000,2,FALSE),"")</f>
        <v/>
      </c>
    </row>
    <row r="1647" spans="5:5" x14ac:dyDescent="0.2">
      <c r="E1647" t="str">
        <f>+IFERROR(VLOOKUP(D1647,Daten_Verknüpfungen!$B$2:$C$2000,2,FALSE),"")</f>
        <v/>
      </c>
    </row>
    <row r="1648" spans="5:5" x14ac:dyDescent="0.2">
      <c r="E1648" t="str">
        <f>+IFERROR(VLOOKUP(D1648,Daten_Verknüpfungen!$B$2:$C$2000,2,FALSE),"")</f>
        <v/>
      </c>
    </row>
    <row r="1649" spans="5:5" x14ac:dyDescent="0.2">
      <c r="E1649" t="str">
        <f>+IFERROR(VLOOKUP(D1649,Daten_Verknüpfungen!$B$2:$C$2000,2,FALSE),"")</f>
        <v/>
      </c>
    </row>
    <row r="1650" spans="5:5" x14ac:dyDescent="0.2">
      <c r="E1650" t="str">
        <f>+IFERROR(VLOOKUP(D1650,Daten_Verknüpfungen!$B$2:$C$2000,2,FALSE),"")</f>
        <v/>
      </c>
    </row>
    <row r="1651" spans="5:5" x14ac:dyDescent="0.2">
      <c r="E1651" t="str">
        <f>+IFERROR(VLOOKUP(D1651,Daten_Verknüpfungen!$B$2:$C$2000,2,FALSE),"")</f>
        <v/>
      </c>
    </row>
    <row r="1652" spans="5:5" x14ac:dyDescent="0.2">
      <c r="E1652" t="str">
        <f>+IFERROR(VLOOKUP(D1652,Daten_Verknüpfungen!$B$2:$C$2000,2,FALSE),"")</f>
        <v/>
      </c>
    </row>
    <row r="1653" spans="5:5" x14ac:dyDescent="0.2">
      <c r="E1653" t="str">
        <f>+IFERROR(VLOOKUP(D1653,Daten_Verknüpfungen!$B$2:$C$2000,2,FALSE),"")</f>
        <v/>
      </c>
    </row>
    <row r="1654" spans="5:5" x14ac:dyDescent="0.2">
      <c r="E1654" t="str">
        <f>+IFERROR(VLOOKUP(D1654,Daten_Verknüpfungen!$B$2:$C$2000,2,FALSE),"")</f>
        <v/>
      </c>
    </row>
    <row r="1655" spans="5:5" x14ac:dyDescent="0.2">
      <c r="E1655" t="str">
        <f>+IFERROR(VLOOKUP(D1655,Daten_Verknüpfungen!$B$2:$C$2000,2,FALSE),"")</f>
        <v/>
      </c>
    </row>
    <row r="1656" spans="5:5" x14ac:dyDescent="0.2">
      <c r="E1656" t="str">
        <f>+IFERROR(VLOOKUP(D1656,Daten_Verknüpfungen!$B$2:$C$2000,2,FALSE),"")</f>
        <v/>
      </c>
    </row>
    <row r="1657" spans="5:5" x14ac:dyDescent="0.2">
      <c r="E1657" t="str">
        <f>+IFERROR(VLOOKUP(D1657,Daten_Verknüpfungen!$B$2:$C$2000,2,FALSE),"")</f>
        <v/>
      </c>
    </row>
    <row r="1658" spans="5:5" x14ac:dyDescent="0.2">
      <c r="E1658" t="str">
        <f>+IFERROR(VLOOKUP(D1658,Daten_Verknüpfungen!$B$2:$C$2000,2,FALSE),"")</f>
        <v/>
      </c>
    </row>
    <row r="1659" spans="5:5" x14ac:dyDescent="0.2">
      <c r="E1659" t="str">
        <f>+IFERROR(VLOOKUP(D1659,Daten_Verknüpfungen!$B$2:$C$2000,2,FALSE),"")</f>
        <v/>
      </c>
    </row>
    <row r="1660" spans="5:5" x14ac:dyDescent="0.2">
      <c r="E1660" t="str">
        <f>+IFERROR(VLOOKUP(D1660,Daten_Verknüpfungen!$B$2:$C$2000,2,FALSE),"")</f>
        <v/>
      </c>
    </row>
    <row r="1661" spans="5:5" x14ac:dyDescent="0.2">
      <c r="E1661" t="str">
        <f>+IFERROR(VLOOKUP(D1661,Daten_Verknüpfungen!$B$2:$C$2000,2,FALSE),"")</f>
        <v/>
      </c>
    </row>
    <row r="1662" spans="5:5" x14ac:dyDescent="0.2">
      <c r="E1662" t="str">
        <f>+IFERROR(VLOOKUP(D1662,Daten_Verknüpfungen!$B$2:$C$2000,2,FALSE),"")</f>
        <v/>
      </c>
    </row>
    <row r="1663" spans="5:5" x14ac:dyDescent="0.2">
      <c r="E1663" t="str">
        <f>+IFERROR(VLOOKUP(D1663,Daten_Verknüpfungen!$B$2:$C$2000,2,FALSE),"")</f>
        <v/>
      </c>
    </row>
    <row r="1664" spans="5:5" x14ac:dyDescent="0.2">
      <c r="E1664" t="str">
        <f>+IFERROR(VLOOKUP(D1664,Daten_Verknüpfungen!$B$2:$C$2000,2,FALSE),"")</f>
        <v/>
      </c>
    </row>
    <row r="1665" spans="5:5" x14ac:dyDescent="0.2">
      <c r="E1665" t="str">
        <f>+IFERROR(VLOOKUP(D1665,Daten_Verknüpfungen!$B$2:$C$2000,2,FALSE),"")</f>
        <v/>
      </c>
    </row>
    <row r="1666" spans="5:5" x14ac:dyDescent="0.2">
      <c r="E1666" t="str">
        <f>+IFERROR(VLOOKUP(D1666,Daten_Verknüpfungen!$B$2:$C$2000,2,FALSE),"")</f>
        <v/>
      </c>
    </row>
    <row r="1667" spans="5:5" x14ac:dyDescent="0.2">
      <c r="E1667" t="str">
        <f>+IFERROR(VLOOKUP(D1667,Daten_Verknüpfungen!$B$2:$C$2000,2,FALSE),"")</f>
        <v/>
      </c>
    </row>
    <row r="1668" spans="5:5" x14ac:dyDescent="0.2">
      <c r="E1668" t="str">
        <f>+IFERROR(VLOOKUP(D1668,Daten_Verknüpfungen!$B$2:$C$2000,2,FALSE),"")</f>
        <v/>
      </c>
    </row>
    <row r="1669" spans="5:5" x14ac:dyDescent="0.2">
      <c r="E1669" t="str">
        <f>+IFERROR(VLOOKUP(D1669,Daten_Verknüpfungen!$B$2:$C$2000,2,FALSE),"")</f>
        <v/>
      </c>
    </row>
    <row r="1670" spans="5:5" x14ac:dyDescent="0.2">
      <c r="E1670" t="str">
        <f>+IFERROR(VLOOKUP(D1670,Daten_Verknüpfungen!$B$2:$C$2000,2,FALSE),"")</f>
        <v/>
      </c>
    </row>
    <row r="1671" spans="5:5" x14ac:dyDescent="0.2">
      <c r="E1671" t="str">
        <f>+IFERROR(VLOOKUP(D1671,Daten_Verknüpfungen!$B$2:$C$2000,2,FALSE),"")</f>
        <v/>
      </c>
    </row>
    <row r="1672" spans="5:5" x14ac:dyDescent="0.2">
      <c r="E1672" t="str">
        <f>+IFERROR(VLOOKUP(D1672,Daten_Verknüpfungen!$B$2:$C$2000,2,FALSE),"")</f>
        <v/>
      </c>
    </row>
    <row r="1673" spans="5:5" x14ac:dyDescent="0.2">
      <c r="E1673" t="str">
        <f>+IFERROR(VLOOKUP(D1673,Daten_Verknüpfungen!$B$2:$C$2000,2,FALSE),"")</f>
        <v/>
      </c>
    </row>
    <row r="1674" spans="5:5" x14ac:dyDescent="0.2">
      <c r="E1674" t="str">
        <f>+IFERROR(VLOOKUP(D1674,Daten_Verknüpfungen!$B$2:$C$2000,2,FALSE),"")</f>
        <v/>
      </c>
    </row>
    <row r="1675" spans="5:5" x14ac:dyDescent="0.2">
      <c r="E1675" t="str">
        <f>+IFERROR(VLOOKUP(D1675,Daten_Verknüpfungen!$B$2:$C$2000,2,FALSE),"")</f>
        <v/>
      </c>
    </row>
    <row r="1676" spans="5:5" x14ac:dyDescent="0.2">
      <c r="E1676" t="str">
        <f>+IFERROR(VLOOKUP(D1676,Daten_Verknüpfungen!$B$2:$C$2000,2,FALSE),"")</f>
        <v/>
      </c>
    </row>
    <row r="1677" spans="5:5" x14ac:dyDescent="0.2">
      <c r="E1677" t="str">
        <f>+IFERROR(VLOOKUP(D1677,Daten_Verknüpfungen!$B$2:$C$2000,2,FALSE),"")</f>
        <v/>
      </c>
    </row>
    <row r="1678" spans="5:5" x14ac:dyDescent="0.2">
      <c r="E1678" t="str">
        <f>+IFERROR(VLOOKUP(D1678,Daten_Verknüpfungen!$B$2:$C$2000,2,FALSE),"")</f>
        <v/>
      </c>
    </row>
    <row r="1679" spans="5:5" x14ac:dyDescent="0.2">
      <c r="E1679" t="str">
        <f>+IFERROR(VLOOKUP(D1679,Daten_Verknüpfungen!$B$2:$C$2000,2,FALSE),"")</f>
        <v/>
      </c>
    </row>
    <row r="1680" spans="5:5" x14ac:dyDescent="0.2">
      <c r="E1680" t="str">
        <f>+IFERROR(VLOOKUP(D1680,Daten_Verknüpfungen!$B$2:$C$2000,2,FALSE),"")</f>
        <v/>
      </c>
    </row>
    <row r="1681" spans="5:5" x14ac:dyDescent="0.2">
      <c r="E1681" t="str">
        <f>+IFERROR(VLOOKUP(D1681,Daten_Verknüpfungen!$B$2:$C$2000,2,FALSE),"")</f>
        <v/>
      </c>
    </row>
    <row r="1682" spans="5:5" x14ac:dyDescent="0.2">
      <c r="E1682" t="str">
        <f>+IFERROR(VLOOKUP(D1682,Daten_Verknüpfungen!$B$2:$C$2000,2,FALSE),"")</f>
        <v/>
      </c>
    </row>
    <row r="1683" spans="5:5" x14ac:dyDescent="0.2">
      <c r="E1683" t="str">
        <f>+IFERROR(VLOOKUP(D1683,Daten_Verknüpfungen!$B$2:$C$2000,2,FALSE),"")</f>
        <v/>
      </c>
    </row>
    <row r="1684" spans="5:5" x14ac:dyDescent="0.2">
      <c r="E1684" t="str">
        <f>+IFERROR(VLOOKUP(D1684,Daten_Verknüpfungen!$B$2:$C$2000,2,FALSE),"")</f>
        <v/>
      </c>
    </row>
    <row r="1685" spans="5:5" x14ac:dyDescent="0.2">
      <c r="E1685" t="str">
        <f>+IFERROR(VLOOKUP(D1685,Daten_Verknüpfungen!$B$2:$C$2000,2,FALSE),"")</f>
        <v/>
      </c>
    </row>
    <row r="1686" spans="5:5" x14ac:dyDescent="0.2">
      <c r="E1686" t="str">
        <f>+IFERROR(VLOOKUP(D1686,Daten_Verknüpfungen!$B$2:$C$2000,2,FALSE),"")</f>
        <v/>
      </c>
    </row>
    <row r="1687" spans="5:5" x14ac:dyDescent="0.2">
      <c r="E1687" t="str">
        <f>+IFERROR(VLOOKUP(D1687,Daten_Verknüpfungen!$B$2:$C$2000,2,FALSE),"")</f>
        <v/>
      </c>
    </row>
    <row r="1688" spans="5:5" x14ac:dyDescent="0.2">
      <c r="E1688" t="str">
        <f>+IFERROR(VLOOKUP(D1688,Daten_Verknüpfungen!$B$2:$C$2000,2,FALSE),"")</f>
        <v/>
      </c>
    </row>
    <row r="1689" spans="5:5" x14ac:dyDescent="0.2">
      <c r="E1689" t="str">
        <f>+IFERROR(VLOOKUP(D1689,Daten_Verknüpfungen!$B$2:$C$2000,2,FALSE),"")</f>
        <v/>
      </c>
    </row>
    <row r="1690" spans="5:5" x14ac:dyDescent="0.2">
      <c r="E1690" t="str">
        <f>+IFERROR(VLOOKUP(D1690,Daten_Verknüpfungen!$B$2:$C$2000,2,FALSE),"")</f>
        <v/>
      </c>
    </row>
    <row r="1691" spans="5:5" x14ac:dyDescent="0.2">
      <c r="E1691" t="str">
        <f>+IFERROR(VLOOKUP(D1691,Daten_Verknüpfungen!$B$2:$C$2000,2,FALSE),"")</f>
        <v/>
      </c>
    </row>
    <row r="1692" spans="5:5" x14ac:dyDescent="0.2">
      <c r="E1692" t="str">
        <f>+IFERROR(VLOOKUP(D1692,Daten_Verknüpfungen!$B$2:$C$2000,2,FALSE),"")</f>
        <v/>
      </c>
    </row>
    <row r="1693" spans="5:5" x14ac:dyDescent="0.2">
      <c r="E1693" t="str">
        <f>+IFERROR(VLOOKUP(D1693,Daten_Verknüpfungen!$B$2:$C$2000,2,FALSE),"")</f>
        <v/>
      </c>
    </row>
    <row r="1694" spans="5:5" x14ac:dyDescent="0.2">
      <c r="E1694" t="str">
        <f>+IFERROR(VLOOKUP(D1694,Daten_Verknüpfungen!$B$2:$C$2000,2,FALSE),"")</f>
        <v/>
      </c>
    </row>
    <row r="1695" spans="5:5" x14ac:dyDescent="0.2">
      <c r="E1695" t="str">
        <f>+IFERROR(VLOOKUP(D1695,Daten_Verknüpfungen!$B$2:$C$2000,2,FALSE),"")</f>
        <v/>
      </c>
    </row>
    <row r="1696" spans="5:5" x14ac:dyDescent="0.2">
      <c r="E1696" t="str">
        <f>+IFERROR(VLOOKUP(D1696,Daten_Verknüpfungen!$B$2:$C$2000,2,FALSE),"")</f>
        <v/>
      </c>
    </row>
    <row r="1697" spans="5:5" x14ac:dyDescent="0.2">
      <c r="E1697" t="str">
        <f>+IFERROR(VLOOKUP(D1697,Daten_Verknüpfungen!$B$2:$C$2000,2,FALSE),"")</f>
        <v/>
      </c>
    </row>
    <row r="1698" spans="5:5" x14ac:dyDescent="0.2">
      <c r="E1698" t="str">
        <f>+IFERROR(VLOOKUP(D1698,Daten_Verknüpfungen!$B$2:$C$2000,2,FALSE),"")</f>
        <v/>
      </c>
    </row>
    <row r="1699" spans="5:5" x14ac:dyDescent="0.2">
      <c r="E1699" t="str">
        <f>+IFERROR(VLOOKUP(D1699,Daten_Verknüpfungen!$B$2:$C$2000,2,FALSE),"")</f>
        <v/>
      </c>
    </row>
    <row r="1700" spans="5:5" x14ac:dyDescent="0.2">
      <c r="E1700" t="str">
        <f>+IFERROR(VLOOKUP(D1700,Daten_Verknüpfungen!$B$2:$C$2000,2,FALSE),"")</f>
        <v/>
      </c>
    </row>
    <row r="1701" spans="5:5" x14ac:dyDescent="0.2">
      <c r="E1701" t="str">
        <f>+IFERROR(VLOOKUP(D1701,Daten_Verknüpfungen!$B$2:$C$2000,2,FALSE),"")</f>
        <v/>
      </c>
    </row>
    <row r="1702" spans="5:5" x14ac:dyDescent="0.2">
      <c r="E1702" t="str">
        <f>+IFERROR(VLOOKUP(D1702,Daten_Verknüpfungen!$B$2:$C$2000,2,FALSE),"")</f>
        <v/>
      </c>
    </row>
    <row r="1703" spans="5:5" x14ac:dyDescent="0.2">
      <c r="E1703" t="str">
        <f>+IFERROR(VLOOKUP(D1703,Daten_Verknüpfungen!$B$2:$C$2000,2,FALSE),"")</f>
        <v/>
      </c>
    </row>
    <row r="1704" spans="5:5" x14ac:dyDescent="0.2">
      <c r="E1704" t="str">
        <f>+IFERROR(VLOOKUP(D1704,Daten_Verknüpfungen!$B$2:$C$2000,2,FALSE),"")</f>
        <v/>
      </c>
    </row>
    <row r="1705" spans="5:5" x14ac:dyDescent="0.2">
      <c r="E1705" t="str">
        <f>+IFERROR(VLOOKUP(D1705,Daten_Verknüpfungen!$B$2:$C$2000,2,FALSE),"")</f>
        <v/>
      </c>
    </row>
    <row r="1706" spans="5:5" x14ac:dyDescent="0.2">
      <c r="E1706" t="str">
        <f>+IFERROR(VLOOKUP(D1706,Daten_Verknüpfungen!$B$2:$C$2000,2,FALSE),"")</f>
        <v/>
      </c>
    </row>
    <row r="1707" spans="5:5" x14ac:dyDescent="0.2">
      <c r="E1707" t="str">
        <f>+IFERROR(VLOOKUP(D1707,Daten_Verknüpfungen!$B$2:$C$2000,2,FALSE),"")</f>
        <v/>
      </c>
    </row>
    <row r="1708" spans="5:5" x14ac:dyDescent="0.2">
      <c r="E1708" t="str">
        <f>+IFERROR(VLOOKUP(D1708,Daten_Verknüpfungen!$B$2:$C$2000,2,FALSE),"")</f>
        <v/>
      </c>
    </row>
    <row r="1709" spans="5:5" x14ac:dyDescent="0.2">
      <c r="E1709" t="str">
        <f>+IFERROR(VLOOKUP(D1709,Daten_Verknüpfungen!$B$2:$C$2000,2,FALSE),"")</f>
        <v/>
      </c>
    </row>
    <row r="1710" spans="5:5" x14ac:dyDescent="0.2">
      <c r="E1710" t="str">
        <f>+IFERROR(VLOOKUP(D1710,Daten_Verknüpfungen!$B$2:$C$2000,2,FALSE),"")</f>
        <v/>
      </c>
    </row>
    <row r="1711" spans="5:5" x14ac:dyDescent="0.2">
      <c r="E1711" t="str">
        <f>+IFERROR(VLOOKUP(D1711,Daten_Verknüpfungen!$B$2:$C$2000,2,FALSE),"")</f>
        <v/>
      </c>
    </row>
    <row r="1712" spans="5:5" x14ac:dyDescent="0.2">
      <c r="E1712" t="str">
        <f>+IFERROR(VLOOKUP(D1712,Daten_Verknüpfungen!$B$2:$C$2000,2,FALSE),"")</f>
        <v/>
      </c>
    </row>
    <row r="1713" spans="5:5" x14ac:dyDescent="0.2">
      <c r="E1713" t="str">
        <f>+IFERROR(VLOOKUP(D1713,Daten_Verknüpfungen!$B$2:$C$2000,2,FALSE),"")</f>
        <v/>
      </c>
    </row>
    <row r="1714" spans="5:5" x14ac:dyDescent="0.2">
      <c r="E1714" t="str">
        <f>+IFERROR(VLOOKUP(D1714,Daten_Verknüpfungen!$B$2:$C$2000,2,FALSE),"")</f>
        <v/>
      </c>
    </row>
    <row r="1715" spans="5:5" x14ac:dyDescent="0.2">
      <c r="E1715" t="str">
        <f>+IFERROR(VLOOKUP(D1715,Daten_Verknüpfungen!$B$2:$C$2000,2,FALSE),"")</f>
        <v/>
      </c>
    </row>
    <row r="1716" spans="5:5" x14ac:dyDescent="0.2">
      <c r="E1716" t="str">
        <f>+IFERROR(VLOOKUP(D1716,Daten_Verknüpfungen!$B$2:$C$2000,2,FALSE),"")</f>
        <v/>
      </c>
    </row>
    <row r="1717" spans="5:5" x14ac:dyDescent="0.2">
      <c r="E1717" t="str">
        <f>+IFERROR(VLOOKUP(D1717,Daten_Verknüpfungen!$B$2:$C$2000,2,FALSE),"")</f>
        <v/>
      </c>
    </row>
    <row r="1718" spans="5:5" x14ac:dyDescent="0.2">
      <c r="E1718" t="str">
        <f>+IFERROR(VLOOKUP(D1718,Daten_Verknüpfungen!$B$2:$C$2000,2,FALSE),"")</f>
        <v/>
      </c>
    </row>
    <row r="1719" spans="5:5" x14ac:dyDescent="0.2">
      <c r="E1719" t="str">
        <f>+IFERROR(VLOOKUP(D1719,Daten_Verknüpfungen!$B$2:$C$2000,2,FALSE),"")</f>
        <v/>
      </c>
    </row>
    <row r="1720" spans="5:5" x14ac:dyDescent="0.2">
      <c r="E1720" t="str">
        <f>+IFERROR(VLOOKUP(D1720,Daten_Verknüpfungen!$B$2:$C$2000,2,FALSE),"")</f>
        <v/>
      </c>
    </row>
    <row r="1721" spans="5:5" x14ac:dyDescent="0.2">
      <c r="E1721" t="str">
        <f>+IFERROR(VLOOKUP(D1721,Daten_Verknüpfungen!$B$2:$C$2000,2,FALSE),"")</f>
        <v/>
      </c>
    </row>
    <row r="1722" spans="5:5" x14ac:dyDescent="0.2">
      <c r="E1722" t="str">
        <f>+IFERROR(VLOOKUP(D1722,Daten_Verknüpfungen!$B$2:$C$2000,2,FALSE),"")</f>
        <v/>
      </c>
    </row>
    <row r="1723" spans="5:5" x14ac:dyDescent="0.2">
      <c r="E1723" t="str">
        <f>+IFERROR(VLOOKUP(D1723,Daten_Verknüpfungen!$B$2:$C$2000,2,FALSE),"")</f>
        <v/>
      </c>
    </row>
    <row r="1724" spans="5:5" x14ac:dyDescent="0.2">
      <c r="E1724" t="str">
        <f>+IFERROR(VLOOKUP(D1724,Daten_Verknüpfungen!$B$2:$C$2000,2,FALSE),"")</f>
        <v/>
      </c>
    </row>
    <row r="1725" spans="5:5" x14ac:dyDescent="0.2">
      <c r="E1725" t="str">
        <f>+IFERROR(VLOOKUP(D1725,Daten_Verknüpfungen!$B$2:$C$2000,2,FALSE),"")</f>
        <v/>
      </c>
    </row>
    <row r="1726" spans="5:5" x14ac:dyDescent="0.2">
      <c r="E1726" t="str">
        <f>+IFERROR(VLOOKUP(D1726,Daten_Verknüpfungen!$B$2:$C$2000,2,FALSE),"")</f>
        <v/>
      </c>
    </row>
    <row r="1727" spans="5:5" x14ac:dyDescent="0.2">
      <c r="E1727" t="str">
        <f>+IFERROR(VLOOKUP(D1727,Daten_Verknüpfungen!$B$2:$C$2000,2,FALSE),"")</f>
        <v/>
      </c>
    </row>
    <row r="1728" spans="5:5" x14ac:dyDescent="0.2">
      <c r="E1728" t="str">
        <f>+IFERROR(VLOOKUP(D1728,Daten_Verknüpfungen!$B$2:$C$2000,2,FALSE),"")</f>
        <v/>
      </c>
    </row>
    <row r="1729" spans="5:5" x14ac:dyDescent="0.2">
      <c r="E1729" t="str">
        <f>+IFERROR(VLOOKUP(D1729,Daten_Verknüpfungen!$B$2:$C$2000,2,FALSE),"")</f>
        <v/>
      </c>
    </row>
    <row r="1730" spans="5:5" x14ac:dyDescent="0.2">
      <c r="E1730" t="str">
        <f>+IFERROR(VLOOKUP(D1730,Daten_Verknüpfungen!$B$2:$C$2000,2,FALSE),"")</f>
        <v/>
      </c>
    </row>
    <row r="1731" spans="5:5" x14ac:dyDescent="0.2">
      <c r="E1731" t="str">
        <f>+IFERROR(VLOOKUP(D1731,Daten_Verknüpfungen!$B$2:$C$2000,2,FALSE),"")</f>
        <v/>
      </c>
    </row>
    <row r="1732" spans="5:5" x14ac:dyDescent="0.2">
      <c r="E1732" t="str">
        <f>+IFERROR(VLOOKUP(D1732,Daten_Verknüpfungen!$B$2:$C$2000,2,FALSE),"")</f>
        <v/>
      </c>
    </row>
    <row r="1733" spans="5:5" x14ac:dyDescent="0.2">
      <c r="E1733" t="str">
        <f>+IFERROR(VLOOKUP(D1733,Daten_Verknüpfungen!$B$2:$C$2000,2,FALSE),"")</f>
        <v/>
      </c>
    </row>
    <row r="1734" spans="5:5" x14ac:dyDescent="0.2">
      <c r="E1734" t="str">
        <f>+IFERROR(VLOOKUP(D1734,Daten_Verknüpfungen!$B$2:$C$2000,2,FALSE),"")</f>
        <v/>
      </c>
    </row>
    <row r="1735" spans="5:5" x14ac:dyDescent="0.2">
      <c r="E1735" t="str">
        <f>+IFERROR(VLOOKUP(D1735,Daten_Verknüpfungen!$B$2:$C$2000,2,FALSE),"")</f>
        <v/>
      </c>
    </row>
    <row r="1736" spans="5:5" x14ac:dyDescent="0.2">
      <c r="E1736" t="str">
        <f>+IFERROR(VLOOKUP(D1736,Daten_Verknüpfungen!$B$2:$C$2000,2,FALSE),"")</f>
        <v/>
      </c>
    </row>
    <row r="1737" spans="5:5" x14ac:dyDescent="0.2">
      <c r="E1737" t="str">
        <f>+IFERROR(VLOOKUP(D1737,Daten_Verknüpfungen!$B$2:$C$2000,2,FALSE),"")</f>
        <v/>
      </c>
    </row>
    <row r="1738" spans="5:5" x14ac:dyDescent="0.2">
      <c r="E1738" t="str">
        <f>+IFERROR(VLOOKUP(D1738,Daten_Verknüpfungen!$B$2:$C$2000,2,FALSE),"")</f>
        <v/>
      </c>
    </row>
    <row r="1739" spans="5:5" x14ac:dyDescent="0.2">
      <c r="E1739" t="str">
        <f>+IFERROR(VLOOKUP(D1739,Daten_Verknüpfungen!$B$2:$C$2000,2,FALSE),"")</f>
        <v/>
      </c>
    </row>
    <row r="1740" spans="5:5" x14ac:dyDescent="0.2">
      <c r="E1740" t="str">
        <f>+IFERROR(VLOOKUP(D1740,Daten_Verknüpfungen!$B$2:$C$2000,2,FALSE),"")</f>
        <v/>
      </c>
    </row>
    <row r="1741" spans="5:5" x14ac:dyDescent="0.2">
      <c r="E1741" t="str">
        <f>+IFERROR(VLOOKUP(D1741,Daten_Verknüpfungen!$B$2:$C$2000,2,FALSE),"")</f>
        <v/>
      </c>
    </row>
    <row r="1742" spans="5:5" x14ac:dyDescent="0.2">
      <c r="E1742" t="str">
        <f>+IFERROR(VLOOKUP(D1742,Daten_Verknüpfungen!$B$2:$C$2000,2,FALSE),"")</f>
        <v/>
      </c>
    </row>
    <row r="1743" spans="5:5" x14ac:dyDescent="0.2">
      <c r="E1743" t="str">
        <f>+IFERROR(VLOOKUP(D1743,Daten_Verknüpfungen!$B$2:$C$2000,2,FALSE),"")</f>
        <v/>
      </c>
    </row>
    <row r="1744" spans="5:5" x14ac:dyDescent="0.2">
      <c r="E1744" t="str">
        <f>+IFERROR(VLOOKUP(D1744,Daten_Verknüpfungen!$B$2:$C$2000,2,FALSE),"")</f>
        <v/>
      </c>
    </row>
    <row r="1745" spans="5:5" x14ac:dyDescent="0.2">
      <c r="E1745" t="str">
        <f>+IFERROR(VLOOKUP(D1745,Daten_Verknüpfungen!$B$2:$C$2000,2,FALSE),"")</f>
        <v/>
      </c>
    </row>
    <row r="1746" spans="5:5" x14ac:dyDescent="0.2">
      <c r="E1746" t="str">
        <f>+IFERROR(VLOOKUP(D1746,Daten_Verknüpfungen!$B$2:$C$2000,2,FALSE),"")</f>
        <v/>
      </c>
    </row>
    <row r="1747" spans="5:5" x14ac:dyDescent="0.2">
      <c r="E1747" t="str">
        <f>+IFERROR(VLOOKUP(D1747,Daten_Verknüpfungen!$B$2:$C$2000,2,FALSE),"")</f>
        <v/>
      </c>
    </row>
    <row r="1748" spans="5:5" x14ac:dyDescent="0.2">
      <c r="E1748" t="str">
        <f>+IFERROR(VLOOKUP(D1748,Daten_Verknüpfungen!$B$2:$C$2000,2,FALSE),"")</f>
        <v/>
      </c>
    </row>
    <row r="1749" spans="5:5" x14ac:dyDescent="0.2">
      <c r="E1749" t="str">
        <f>+IFERROR(VLOOKUP(D1749,Daten_Verknüpfungen!$B$2:$C$2000,2,FALSE),"")</f>
        <v/>
      </c>
    </row>
    <row r="1750" spans="5:5" x14ac:dyDescent="0.2">
      <c r="E1750" t="str">
        <f>+IFERROR(VLOOKUP(D1750,Daten_Verknüpfungen!$B$2:$C$2000,2,FALSE),"")</f>
        <v/>
      </c>
    </row>
    <row r="1751" spans="5:5" x14ac:dyDescent="0.2">
      <c r="E1751" t="str">
        <f>+IFERROR(VLOOKUP(D1751,Daten_Verknüpfungen!$B$2:$C$2000,2,FALSE),"")</f>
        <v/>
      </c>
    </row>
    <row r="1752" spans="5:5" x14ac:dyDescent="0.2">
      <c r="E1752" t="str">
        <f>+IFERROR(VLOOKUP(D1752,Daten_Verknüpfungen!$B$2:$C$2000,2,FALSE),"")</f>
        <v/>
      </c>
    </row>
    <row r="1753" spans="5:5" x14ac:dyDescent="0.2">
      <c r="E1753" t="str">
        <f>+IFERROR(VLOOKUP(D1753,Daten_Verknüpfungen!$B$2:$C$2000,2,FALSE),"")</f>
        <v/>
      </c>
    </row>
    <row r="1754" spans="5:5" x14ac:dyDescent="0.2">
      <c r="E1754" t="str">
        <f>+IFERROR(VLOOKUP(D1754,Daten_Verknüpfungen!$B$2:$C$2000,2,FALSE),"")</f>
        <v/>
      </c>
    </row>
    <row r="1755" spans="5:5" x14ac:dyDescent="0.2">
      <c r="E1755" t="str">
        <f>+IFERROR(VLOOKUP(D1755,Daten_Verknüpfungen!$B$2:$C$2000,2,FALSE),"")</f>
        <v/>
      </c>
    </row>
    <row r="1756" spans="5:5" x14ac:dyDescent="0.2">
      <c r="E1756" t="str">
        <f>+IFERROR(VLOOKUP(D1756,Daten_Verknüpfungen!$B$2:$C$2000,2,FALSE),"")</f>
        <v/>
      </c>
    </row>
    <row r="1757" spans="5:5" x14ac:dyDescent="0.2">
      <c r="E1757" t="str">
        <f>+IFERROR(VLOOKUP(D1757,Daten_Verknüpfungen!$B$2:$C$2000,2,FALSE),"")</f>
        <v/>
      </c>
    </row>
    <row r="1758" spans="5:5" x14ac:dyDescent="0.2">
      <c r="E1758" t="str">
        <f>+IFERROR(VLOOKUP(D1758,Daten_Verknüpfungen!$B$2:$C$2000,2,FALSE),"")</f>
        <v/>
      </c>
    </row>
    <row r="1759" spans="5:5" x14ac:dyDescent="0.2">
      <c r="E1759" t="str">
        <f>+IFERROR(VLOOKUP(D1759,Daten_Verknüpfungen!$B$2:$C$2000,2,FALSE),"")</f>
        <v/>
      </c>
    </row>
    <row r="1760" spans="5:5" x14ac:dyDescent="0.2">
      <c r="E1760" t="str">
        <f>+IFERROR(VLOOKUP(D1760,Daten_Verknüpfungen!$B$2:$C$2000,2,FALSE),"")</f>
        <v/>
      </c>
    </row>
    <row r="1761" spans="5:5" x14ac:dyDescent="0.2">
      <c r="E1761" t="str">
        <f>+IFERROR(VLOOKUP(D1761,Daten_Verknüpfungen!$B$2:$C$2000,2,FALSE),"")</f>
        <v/>
      </c>
    </row>
    <row r="1762" spans="5:5" x14ac:dyDescent="0.2">
      <c r="E1762" t="str">
        <f>+IFERROR(VLOOKUP(D1762,Daten_Verknüpfungen!$B$2:$C$2000,2,FALSE),"")</f>
        <v/>
      </c>
    </row>
    <row r="1763" spans="5:5" x14ac:dyDescent="0.2">
      <c r="E1763" t="str">
        <f>+IFERROR(VLOOKUP(D1763,Daten_Verknüpfungen!$B$2:$C$2000,2,FALSE),"")</f>
        <v/>
      </c>
    </row>
    <row r="1764" spans="5:5" x14ac:dyDescent="0.2">
      <c r="E1764" t="str">
        <f>+IFERROR(VLOOKUP(D1764,Daten_Verknüpfungen!$B$2:$C$2000,2,FALSE),"")</f>
        <v/>
      </c>
    </row>
    <row r="1765" spans="5:5" x14ac:dyDescent="0.2">
      <c r="E1765" t="str">
        <f>+IFERROR(VLOOKUP(D1765,Daten_Verknüpfungen!$B$2:$C$2000,2,FALSE),"")</f>
        <v/>
      </c>
    </row>
    <row r="1766" spans="5:5" x14ac:dyDescent="0.2">
      <c r="E1766" t="str">
        <f>+IFERROR(VLOOKUP(D1766,Daten_Verknüpfungen!$B$2:$C$2000,2,FALSE),"")</f>
        <v/>
      </c>
    </row>
    <row r="1767" spans="5:5" x14ac:dyDescent="0.2">
      <c r="E1767" t="str">
        <f>+IFERROR(VLOOKUP(D1767,Daten_Verknüpfungen!$B$2:$C$2000,2,FALSE),"")</f>
        <v/>
      </c>
    </row>
    <row r="1768" spans="5:5" x14ac:dyDescent="0.2">
      <c r="E1768" t="str">
        <f>+IFERROR(VLOOKUP(D1768,Daten_Verknüpfungen!$B$2:$C$2000,2,FALSE),"")</f>
        <v/>
      </c>
    </row>
    <row r="1769" spans="5:5" x14ac:dyDescent="0.2">
      <c r="E1769" t="str">
        <f>+IFERROR(VLOOKUP(D1769,Daten_Verknüpfungen!$B$2:$C$2000,2,FALSE),"")</f>
        <v/>
      </c>
    </row>
    <row r="1770" spans="5:5" x14ac:dyDescent="0.2">
      <c r="E1770" t="str">
        <f>+IFERROR(VLOOKUP(D1770,Daten_Verknüpfungen!$B$2:$C$2000,2,FALSE),"")</f>
        <v/>
      </c>
    </row>
    <row r="1771" spans="5:5" x14ac:dyDescent="0.2">
      <c r="E1771" t="str">
        <f>+IFERROR(VLOOKUP(D1771,Daten_Verknüpfungen!$B$2:$C$2000,2,FALSE),"")</f>
        <v/>
      </c>
    </row>
    <row r="1772" spans="5:5" x14ac:dyDescent="0.2">
      <c r="E1772" t="str">
        <f>+IFERROR(VLOOKUP(D1772,Daten_Verknüpfungen!$B$2:$C$2000,2,FALSE),"")</f>
        <v/>
      </c>
    </row>
    <row r="1773" spans="5:5" x14ac:dyDescent="0.2">
      <c r="E1773" t="str">
        <f>+IFERROR(VLOOKUP(D1773,Daten_Verknüpfungen!$B$2:$C$2000,2,FALSE),"")</f>
        <v/>
      </c>
    </row>
    <row r="1774" spans="5:5" x14ac:dyDescent="0.2">
      <c r="E1774" t="str">
        <f>+IFERROR(VLOOKUP(D1774,Daten_Verknüpfungen!$B$2:$C$2000,2,FALSE),"")</f>
        <v/>
      </c>
    </row>
    <row r="1775" spans="5:5" x14ac:dyDescent="0.2">
      <c r="E1775" t="str">
        <f>+IFERROR(VLOOKUP(D1775,Daten_Verknüpfungen!$B$2:$C$2000,2,FALSE),"")</f>
        <v/>
      </c>
    </row>
    <row r="1776" spans="5:5" x14ac:dyDescent="0.2">
      <c r="E1776" t="str">
        <f>+IFERROR(VLOOKUP(D1776,Daten_Verknüpfungen!$B$2:$C$2000,2,FALSE),"")</f>
        <v/>
      </c>
    </row>
    <row r="1777" spans="5:5" x14ac:dyDescent="0.2">
      <c r="E1777" t="str">
        <f>+IFERROR(VLOOKUP(D1777,Daten_Verknüpfungen!$B$2:$C$2000,2,FALSE),"")</f>
        <v/>
      </c>
    </row>
    <row r="1778" spans="5:5" x14ac:dyDescent="0.2">
      <c r="E1778" t="str">
        <f>+IFERROR(VLOOKUP(D1778,Daten_Verknüpfungen!$B$2:$C$2000,2,FALSE),"")</f>
        <v/>
      </c>
    </row>
    <row r="1779" spans="5:5" x14ac:dyDescent="0.2">
      <c r="E1779" t="str">
        <f>+IFERROR(VLOOKUP(D1779,Daten_Verknüpfungen!$B$2:$C$2000,2,FALSE),"")</f>
        <v/>
      </c>
    </row>
    <row r="1780" spans="5:5" x14ac:dyDescent="0.2">
      <c r="E1780" t="str">
        <f>+IFERROR(VLOOKUP(D1780,Daten_Verknüpfungen!$B$2:$C$2000,2,FALSE),"")</f>
        <v/>
      </c>
    </row>
    <row r="1781" spans="5:5" x14ac:dyDescent="0.2">
      <c r="E1781" t="str">
        <f>+IFERROR(VLOOKUP(D1781,Daten_Verknüpfungen!$B$2:$C$2000,2,FALSE),"")</f>
        <v/>
      </c>
    </row>
    <row r="1782" spans="5:5" x14ac:dyDescent="0.2">
      <c r="E1782" t="str">
        <f>+IFERROR(VLOOKUP(D1782,Daten_Verknüpfungen!$B$2:$C$2000,2,FALSE),"")</f>
        <v/>
      </c>
    </row>
    <row r="1783" spans="5:5" x14ac:dyDescent="0.2">
      <c r="E1783" t="str">
        <f>+IFERROR(VLOOKUP(D1783,Daten_Verknüpfungen!$B$2:$C$2000,2,FALSE),"")</f>
        <v/>
      </c>
    </row>
    <row r="1784" spans="5:5" x14ac:dyDescent="0.2">
      <c r="E1784" t="str">
        <f>+IFERROR(VLOOKUP(D1784,Daten_Verknüpfungen!$B$2:$C$2000,2,FALSE),"")</f>
        <v/>
      </c>
    </row>
    <row r="1785" spans="5:5" x14ac:dyDescent="0.2">
      <c r="E1785" t="str">
        <f>+IFERROR(VLOOKUP(D1785,Daten_Verknüpfungen!$B$2:$C$2000,2,FALSE),"")</f>
        <v/>
      </c>
    </row>
    <row r="1786" spans="5:5" x14ac:dyDescent="0.2">
      <c r="E1786" t="str">
        <f>+IFERROR(VLOOKUP(D1786,Daten_Verknüpfungen!$B$2:$C$2000,2,FALSE),"")</f>
        <v/>
      </c>
    </row>
    <row r="1787" spans="5:5" x14ac:dyDescent="0.2">
      <c r="E1787" t="str">
        <f>+IFERROR(VLOOKUP(D1787,Daten_Verknüpfungen!$B$2:$C$2000,2,FALSE),"")</f>
        <v/>
      </c>
    </row>
    <row r="1788" spans="5:5" x14ac:dyDescent="0.2">
      <c r="E1788" t="str">
        <f>+IFERROR(VLOOKUP(D1788,Daten_Verknüpfungen!$B$2:$C$2000,2,FALSE),"")</f>
        <v/>
      </c>
    </row>
    <row r="1789" spans="5:5" x14ac:dyDescent="0.2">
      <c r="E1789" t="str">
        <f>+IFERROR(VLOOKUP(D1789,Daten_Verknüpfungen!$B$2:$C$2000,2,FALSE),"")</f>
        <v/>
      </c>
    </row>
    <row r="1790" spans="5:5" x14ac:dyDescent="0.2">
      <c r="E1790" t="str">
        <f>+IFERROR(VLOOKUP(D1790,Daten_Verknüpfungen!$B$2:$C$2000,2,FALSE),"")</f>
        <v/>
      </c>
    </row>
    <row r="1791" spans="5:5" x14ac:dyDescent="0.2">
      <c r="E1791" t="str">
        <f>+IFERROR(VLOOKUP(D1791,Daten_Verknüpfungen!$B$2:$C$2000,2,FALSE),"")</f>
        <v/>
      </c>
    </row>
    <row r="1792" spans="5:5" x14ac:dyDescent="0.2">
      <c r="E1792" t="str">
        <f>+IFERROR(VLOOKUP(D1792,Daten_Verknüpfungen!$B$2:$C$2000,2,FALSE),"")</f>
        <v/>
      </c>
    </row>
    <row r="1793" spans="5:5" x14ac:dyDescent="0.2">
      <c r="E1793" t="str">
        <f>+IFERROR(VLOOKUP(D1793,Daten_Verknüpfungen!$B$2:$C$2000,2,FALSE),"")</f>
        <v/>
      </c>
    </row>
    <row r="1794" spans="5:5" x14ac:dyDescent="0.2">
      <c r="E1794" t="str">
        <f>+IFERROR(VLOOKUP(D1794,Daten_Verknüpfungen!$B$2:$C$2000,2,FALSE),"")</f>
        <v/>
      </c>
    </row>
    <row r="1795" spans="5:5" x14ac:dyDescent="0.2">
      <c r="E1795" t="str">
        <f>+IFERROR(VLOOKUP(D1795,Daten_Verknüpfungen!$B$2:$C$2000,2,FALSE),"")</f>
        <v/>
      </c>
    </row>
    <row r="1796" spans="5:5" x14ac:dyDescent="0.2">
      <c r="E1796" t="str">
        <f>+IFERROR(VLOOKUP(D1796,Daten_Verknüpfungen!$B$2:$C$2000,2,FALSE),"")</f>
        <v/>
      </c>
    </row>
    <row r="1797" spans="5:5" x14ac:dyDescent="0.2">
      <c r="E1797" t="str">
        <f>+IFERROR(VLOOKUP(D1797,Daten_Verknüpfungen!$B$2:$C$2000,2,FALSE),"")</f>
        <v/>
      </c>
    </row>
    <row r="1798" spans="5:5" x14ac:dyDescent="0.2">
      <c r="E1798" t="str">
        <f>+IFERROR(VLOOKUP(D1798,Daten_Verknüpfungen!$B$2:$C$2000,2,FALSE),"")</f>
        <v/>
      </c>
    </row>
    <row r="1799" spans="5:5" x14ac:dyDescent="0.2">
      <c r="E1799" t="str">
        <f>+IFERROR(VLOOKUP(D1799,Daten_Verknüpfungen!$B$2:$C$2000,2,FALSE),"")</f>
        <v/>
      </c>
    </row>
    <row r="1800" spans="5:5" x14ac:dyDescent="0.2">
      <c r="E1800" t="str">
        <f>+IFERROR(VLOOKUP(D1800,Daten_Verknüpfungen!$B$2:$C$2000,2,FALSE),"")</f>
        <v/>
      </c>
    </row>
    <row r="1801" spans="5:5" x14ac:dyDescent="0.2">
      <c r="E1801" t="str">
        <f>+IFERROR(VLOOKUP(D1801,Daten_Verknüpfungen!$B$2:$C$2000,2,FALSE),"")</f>
        <v/>
      </c>
    </row>
    <row r="1802" spans="5:5" x14ac:dyDescent="0.2">
      <c r="E1802" t="str">
        <f>+IFERROR(VLOOKUP(D1802,Daten_Verknüpfungen!$B$2:$C$2000,2,FALSE),"")</f>
        <v/>
      </c>
    </row>
    <row r="1803" spans="5:5" x14ac:dyDescent="0.2">
      <c r="E1803" t="str">
        <f>+IFERROR(VLOOKUP(D1803,Daten_Verknüpfungen!$B$2:$C$2000,2,FALSE),"")</f>
        <v/>
      </c>
    </row>
    <row r="1804" spans="5:5" x14ac:dyDescent="0.2">
      <c r="E1804" t="str">
        <f>+IFERROR(VLOOKUP(D1804,Daten_Verknüpfungen!$B$2:$C$2000,2,FALSE),"")</f>
        <v/>
      </c>
    </row>
    <row r="1805" spans="5:5" x14ac:dyDescent="0.2">
      <c r="E1805" t="str">
        <f>+IFERROR(VLOOKUP(D1805,Daten_Verknüpfungen!$B$2:$C$2000,2,FALSE),"")</f>
        <v/>
      </c>
    </row>
    <row r="1806" spans="5:5" x14ac:dyDescent="0.2">
      <c r="E1806" t="str">
        <f>+IFERROR(VLOOKUP(D1806,Daten_Verknüpfungen!$B$2:$C$2000,2,FALSE),"")</f>
        <v/>
      </c>
    </row>
    <row r="1807" spans="5:5" x14ac:dyDescent="0.2">
      <c r="E1807" t="str">
        <f>+IFERROR(VLOOKUP(D1807,Daten_Verknüpfungen!$B$2:$C$2000,2,FALSE),"")</f>
        <v/>
      </c>
    </row>
    <row r="1808" spans="5:5" x14ac:dyDescent="0.2">
      <c r="E1808" t="str">
        <f>+IFERROR(VLOOKUP(D1808,Daten_Verknüpfungen!$B$2:$C$2000,2,FALSE),"")</f>
        <v/>
      </c>
    </row>
    <row r="1809" spans="5:5" x14ac:dyDescent="0.2">
      <c r="E1809" t="str">
        <f>+IFERROR(VLOOKUP(D1809,Daten_Verknüpfungen!$B$2:$C$2000,2,FALSE),"")</f>
        <v/>
      </c>
    </row>
    <row r="1810" spans="5:5" x14ac:dyDescent="0.2">
      <c r="E1810" t="str">
        <f>+IFERROR(VLOOKUP(D1810,Daten_Verknüpfungen!$B$2:$C$2000,2,FALSE),"")</f>
        <v/>
      </c>
    </row>
    <row r="1811" spans="5:5" x14ac:dyDescent="0.2">
      <c r="E1811" t="str">
        <f>+IFERROR(VLOOKUP(D1811,Daten_Verknüpfungen!$B$2:$C$2000,2,FALSE),"")</f>
        <v/>
      </c>
    </row>
    <row r="1812" spans="5:5" x14ac:dyDescent="0.2">
      <c r="E1812" t="str">
        <f>+IFERROR(VLOOKUP(D1812,Daten_Verknüpfungen!$B$2:$C$2000,2,FALSE),"")</f>
        <v/>
      </c>
    </row>
    <row r="1813" spans="5:5" x14ac:dyDescent="0.2">
      <c r="E1813" t="str">
        <f>+IFERROR(VLOOKUP(D1813,Daten_Verknüpfungen!$B$2:$C$2000,2,FALSE),"")</f>
        <v/>
      </c>
    </row>
    <row r="1814" spans="5:5" x14ac:dyDescent="0.2">
      <c r="E1814" t="str">
        <f>+IFERROR(VLOOKUP(D1814,Daten_Verknüpfungen!$B$2:$C$2000,2,FALSE),"")</f>
        <v/>
      </c>
    </row>
    <row r="1815" spans="5:5" x14ac:dyDescent="0.2">
      <c r="E1815" t="str">
        <f>+IFERROR(VLOOKUP(D1815,Daten_Verknüpfungen!$B$2:$C$2000,2,FALSE),"")</f>
        <v/>
      </c>
    </row>
    <row r="1816" spans="5:5" x14ac:dyDescent="0.2">
      <c r="E1816" t="str">
        <f>+IFERROR(VLOOKUP(D1816,Daten_Verknüpfungen!$B$2:$C$2000,2,FALSE),"")</f>
        <v/>
      </c>
    </row>
    <row r="1817" spans="5:5" x14ac:dyDescent="0.2">
      <c r="E1817" t="str">
        <f>+IFERROR(VLOOKUP(D1817,Daten_Verknüpfungen!$B$2:$C$2000,2,FALSE),"")</f>
        <v/>
      </c>
    </row>
    <row r="1818" spans="5:5" x14ac:dyDescent="0.2">
      <c r="E1818" t="str">
        <f>+IFERROR(VLOOKUP(D1818,Daten_Verknüpfungen!$B$2:$C$2000,2,FALSE),"")</f>
        <v/>
      </c>
    </row>
    <row r="1819" spans="5:5" x14ac:dyDescent="0.2">
      <c r="E1819" t="str">
        <f>+IFERROR(VLOOKUP(D1819,Daten_Verknüpfungen!$B$2:$C$2000,2,FALSE),"")</f>
        <v/>
      </c>
    </row>
    <row r="1820" spans="5:5" x14ac:dyDescent="0.2">
      <c r="E1820" t="str">
        <f>+IFERROR(VLOOKUP(D1820,Daten_Verknüpfungen!$B$2:$C$2000,2,FALSE),"")</f>
        <v/>
      </c>
    </row>
    <row r="1821" spans="5:5" x14ac:dyDescent="0.2">
      <c r="E1821" t="str">
        <f>+IFERROR(VLOOKUP(D1821,Daten_Verknüpfungen!$B$2:$C$2000,2,FALSE),"")</f>
        <v/>
      </c>
    </row>
    <row r="1822" spans="5:5" x14ac:dyDescent="0.2">
      <c r="E1822" t="str">
        <f>+IFERROR(VLOOKUP(D1822,Daten_Verknüpfungen!$B$2:$C$2000,2,FALSE),"")</f>
        <v/>
      </c>
    </row>
    <row r="1823" spans="5:5" x14ac:dyDescent="0.2">
      <c r="E1823" t="str">
        <f>+IFERROR(VLOOKUP(D1823,Daten_Verknüpfungen!$B$2:$C$2000,2,FALSE),"")</f>
        <v/>
      </c>
    </row>
    <row r="1824" spans="5:5" x14ac:dyDescent="0.2">
      <c r="E1824" t="str">
        <f>+IFERROR(VLOOKUP(D1824,Daten_Verknüpfungen!$B$2:$C$2000,2,FALSE),"")</f>
        <v/>
      </c>
    </row>
    <row r="1825" spans="5:5" x14ac:dyDescent="0.2">
      <c r="E1825" t="str">
        <f>+IFERROR(VLOOKUP(D1825,Daten_Verknüpfungen!$B$2:$C$2000,2,FALSE),"")</f>
        <v/>
      </c>
    </row>
    <row r="1826" spans="5:5" x14ac:dyDescent="0.2">
      <c r="E1826" t="str">
        <f>+IFERROR(VLOOKUP(D1826,Daten_Verknüpfungen!$B$2:$C$2000,2,FALSE),"")</f>
        <v/>
      </c>
    </row>
    <row r="1827" spans="5:5" x14ac:dyDescent="0.2">
      <c r="E1827" t="str">
        <f>+IFERROR(VLOOKUP(D1827,Daten_Verknüpfungen!$B$2:$C$2000,2,FALSE),"")</f>
        <v/>
      </c>
    </row>
    <row r="1828" spans="5:5" x14ac:dyDescent="0.2">
      <c r="E1828" t="str">
        <f>+IFERROR(VLOOKUP(D1828,Daten_Verknüpfungen!$B$2:$C$2000,2,FALSE),"")</f>
        <v/>
      </c>
    </row>
    <row r="1829" spans="5:5" x14ac:dyDescent="0.2">
      <c r="E1829" t="str">
        <f>+IFERROR(VLOOKUP(D1829,Daten_Verknüpfungen!$B$2:$C$2000,2,FALSE),"")</f>
        <v/>
      </c>
    </row>
    <row r="1830" spans="5:5" x14ac:dyDescent="0.2">
      <c r="E1830" t="str">
        <f>+IFERROR(VLOOKUP(D1830,Daten_Verknüpfungen!$B$2:$C$2000,2,FALSE),"")</f>
        <v/>
      </c>
    </row>
    <row r="1831" spans="5:5" x14ac:dyDescent="0.2">
      <c r="E1831" t="str">
        <f>+IFERROR(VLOOKUP(D1831,Daten_Verknüpfungen!$B$2:$C$2000,2,FALSE),"")</f>
        <v/>
      </c>
    </row>
    <row r="1832" spans="5:5" x14ac:dyDescent="0.2">
      <c r="E1832" t="str">
        <f>+IFERROR(VLOOKUP(D1832,Daten_Verknüpfungen!$B$2:$C$2000,2,FALSE),"")</f>
        <v/>
      </c>
    </row>
    <row r="1833" spans="5:5" x14ac:dyDescent="0.2">
      <c r="E1833" t="str">
        <f>+IFERROR(VLOOKUP(D1833,Daten_Verknüpfungen!$B$2:$C$2000,2,FALSE),"")</f>
        <v/>
      </c>
    </row>
    <row r="1834" spans="5:5" x14ac:dyDescent="0.2">
      <c r="E1834" t="str">
        <f>+IFERROR(VLOOKUP(D1834,Daten_Verknüpfungen!$B$2:$C$2000,2,FALSE),"")</f>
        <v/>
      </c>
    </row>
    <row r="1835" spans="5:5" x14ac:dyDescent="0.2">
      <c r="E1835" t="str">
        <f>+IFERROR(VLOOKUP(D1835,Daten_Verknüpfungen!$B$2:$C$2000,2,FALSE),"")</f>
        <v/>
      </c>
    </row>
    <row r="1836" spans="5:5" x14ac:dyDescent="0.2">
      <c r="E1836" t="str">
        <f>+IFERROR(VLOOKUP(D1836,Daten_Verknüpfungen!$B$2:$C$2000,2,FALSE),"")</f>
        <v/>
      </c>
    </row>
    <row r="1837" spans="5:5" x14ac:dyDescent="0.2">
      <c r="E1837" t="str">
        <f>+IFERROR(VLOOKUP(D1837,Daten_Verknüpfungen!$B$2:$C$2000,2,FALSE),"")</f>
        <v/>
      </c>
    </row>
    <row r="1838" spans="5:5" x14ac:dyDescent="0.2">
      <c r="E1838" t="str">
        <f>+IFERROR(VLOOKUP(D1838,Daten_Verknüpfungen!$B$2:$C$2000,2,FALSE),"")</f>
        <v/>
      </c>
    </row>
    <row r="1839" spans="5:5" x14ac:dyDescent="0.2">
      <c r="E1839" t="str">
        <f>+IFERROR(VLOOKUP(D1839,Daten_Verknüpfungen!$B$2:$C$2000,2,FALSE),"")</f>
        <v/>
      </c>
    </row>
    <row r="1840" spans="5:5" x14ac:dyDescent="0.2">
      <c r="E1840" t="str">
        <f>+IFERROR(VLOOKUP(D1840,Daten_Verknüpfungen!$B$2:$C$2000,2,FALSE),"")</f>
        <v/>
      </c>
    </row>
    <row r="1841" spans="5:5" x14ac:dyDescent="0.2">
      <c r="E1841" t="str">
        <f>+IFERROR(VLOOKUP(D1841,Daten_Verknüpfungen!$B$2:$C$2000,2,FALSE),"")</f>
        <v/>
      </c>
    </row>
    <row r="1842" spans="5:5" x14ac:dyDescent="0.2">
      <c r="E1842" t="str">
        <f>+IFERROR(VLOOKUP(D1842,Daten_Verknüpfungen!$B$2:$C$2000,2,FALSE),"")</f>
        <v/>
      </c>
    </row>
    <row r="1843" spans="5:5" x14ac:dyDescent="0.2">
      <c r="E1843" t="str">
        <f>+IFERROR(VLOOKUP(D1843,Daten_Verknüpfungen!$B$2:$C$2000,2,FALSE),"")</f>
        <v/>
      </c>
    </row>
    <row r="1844" spans="5:5" x14ac:dyDescent="0.2">
      <c r="E1844" t="str">
        <f>+IFERROR(VLOOKUP(D1844,Daten_Verknüpfungen!$B$2:$C$2000,2,FALSE),"")</f>
        <v/>
      </c>
    </row>
    <row r="1845" spans="5:5" x14ac:dyDescent="0.2">
      <c r="E1845" t="str">
        <f>+IFERROR(VLOOKUP(D1845,Daten_Verknüpfungen!$B$2:$C$2000,2,FALSE),"")</f>
        <v/>
      </c>
    </row>
    <row r="1846" spans="5:5" x14ac:dyDescent="0.2">
      <c r="E1846" t="str">
        <f>+IFERROR(VLOOKUP(D1846,Daten_Verknüpfungen!$B$2:$C$2000,2,FALSE),"")</f>
        <v/>
      </c>
    </row>
    <row r="1847" spans="5:5" x14ac:dyDescent="0.2">
      <c r="E1847" t="str">
        <f>+IFERROR(VLOOKUP(D1847,Daten_Verknüpfungen!$B$2:$C$2000,2,FALSE),"")</f>
        <v/>
      </c>
    </row>
    <row r="1848" spans="5:5" x14ac:dyDescent="0.2">
      <c r="E1848" t="str">
        <f>+IFERROR(VLOOKUP(D1848,Daten_Verknüpfungen!$B$2:$C$2000,2,FALSE),"")</f>
        <v/>
      </c>
    </row>
    <row r="1849" spans="5:5" x14ac:dyDescent="0.2">
      <c r="E1849" t="str">
        <f>+IFERROR(VLOOKUP(D1849,Daten_Verknüpfungen!$B$2:$C$2000,2,FALSE),"")</f>
        <v/>
      </c>
    </row>
    <row r="1850" spans="5:5" x14ac:dyDescent="0.2">
      <c r="E1850" t="str">
        <f>+IFERROR(VLOOKUP(D1850,Daten_Verknüpfungen!$B$2:$C$2000,2,FALSE),"")</f>
        <v/>
      </c>
    </row>
    <row r="1851" spans="5:5" x14ac:dyDescent="0.2">
      <c r="E1851" t="str">
        <f>+IFERROR(VLOOKUP(D1851,Daten_Verknüpfungen!$B$2:$C$2000,2,FALSE),"")</f>
        <v/>
      </c>
    </row>
    <row r="1852" spans="5:5" x14ac:dyDescent="0.2">
      <c r="E1852" t="str">
        <f>+IFERROR(VLOOKUP(D1852,Daten_Verknüpfungen!$B$2:$C$2000,2,FALSE),"")</f>
        <v/>
      </c>
    </row>
    <row r="1853" spans="5:5" x14ac:dyDescent="0.2">
      <c r="E1853" t="str">
        <f>+IFERROR(VLOOKUP(D1853,Daten_Verknüpfungen!$B$2:$C$2000,2,FALSE),"")</f>
        <v/>
      </c>
    </row>
    <row r="1854" spans="5:5" x14ac:dyDescent="0.2">
      <c r="E1854" t="str">
        <f>+IFERROR(VLOOKUP(D1854,Daten_Verknüpfungen!$B$2:$C$2000,2,FALSE),"")</f>
        <v/>
      </c>
    </row>
    <row r="1855" spans="5:5" x14ac:dyDescent="0.2">
      <c r="E1855" t="str">
        <f>+IFERROR(VLOOKUP(D1855,Daten_Verknüpfungen!$B$2:$C$2000,2,FALSE),"")</f>
        <v/>
      </c>
    </row>
    <row r="1856" spans="5:5" x14ac:dyDescent="0.2">
      <c r="E1856" t="str">
        <f>+IFERROR(VLOOKUP(D1856,Daten_Verknüpfungen!$B$2:$C$2000,2,FALSE),"")</f>
        <v/>
      </c>
    </row>
    <row r="1857" spans="5:5" x14ac:dyDescent="0.2">
      <c r="E1857" t="str">
        <f>+IFERROR(VLOOKUP(D1857,Daten_Verknüpfungen!$B$2:$C$2000,2,FALSE),"")</f>
        <v/>
      </c>
    </row>
    <row r="1858" spans="5:5" x14ac:dyDescent="0.2">
      <c r="E1858" t="str">
        <f>+IFERROR(VLOOKUP(D1858,Daten_Verknüpfungen!$B$2:$C$2000,2,FALSE),"")</f>
        <v/>
      </c>
    </row>
    <row r="1859" spans="5:5" x14ac:dyDescent="0.2">
      <c r="E1859" t="str">
        <f>+IFERROR(VLOOKUP(D1859,Daten_Verknüpfungen!$B$2:$C$2000,2,FALSE),"")</f>
        <v/>
      </c>
    </row>
    <row r="1860" spans="5:5" x14ac:dyDescent="0.2">
      <c r="E1860" t="str">
        <f>+IFERROR(VLOOKUP(D1860,Daten_Verknüpfungen!$B$2:$C$2000,2,FALSE),"")</f>
        <v/>
      </c>
    </row>
    <row r="1861" spans="5:5" x14ac:dyDescent="0.2">
      <c r="E1861" t="str">
        <f>+IFERROR(VLOOKUP(D1861,Daten_Verknüpfungen!$B$2:$C$2000,2,FALSE),"")</f>
        <v/>
      </c>
    </row>
    <row r="1862" spans="5:5" x14ac:dyDescent="0.2">
      <c r="E1862" t="str">
        <f>+IFERROR(VLOOKUP(D1862,Daten_Verknüpfungen!$B$2:$C$2000,2,FALSE),"")</f>
        <v/>
      </c>
    </row>
    <row r="1863" spans="5:5" x14ac:dyDescent="0.2">
      <c r="E1863" t="str">
        <f>+IFERROR(VLOOKUP(D1863,Daten_Verknüpfungen!$B$2:$C$2000,2,FALSE),"")</f>
        <v/>
      </c>
    </row>
    <row r="1864" spans="5:5" x14ac:dyDescent="0.2">
      <c r="E1864" t="str">
        <f>+IFERROR(VLOOKUP(D1864,Daten_Verknüpfungen!$B$2:$C$2000,2,FALSE),"")</f>
        <v/>
      </c>
    </row>
    <row r="1865" spans="5:5" x14ac:dyDescent="0.2">
      <c r="E1865" t="str">
        <f>+IFERROR(VLOOKUP(D1865,Daten_Verknüpfungen!$B$2:$C$2000,2,FALSE),"")</f>
        <v/>
      </c>
    </row>
    <row r="1866" spans="5:5" x14ac:dyDescent="0.2">
      <c r="E1866" t="str">
        <f>+IFERROR(VLOOKUP(D1866,Daten_Verknüpfungen!$B$2:$C$2000,2,FALSE),"")</f>
        <v/>
      </c>
    </row>
    <row r="1867" spans="5:5" x14ac:dyDescent="0.2">
      <c r="E1867" t="str">
        <f>+IFERROR(VLOOKUP(D1867,Daten_Verknüpfungen!$B$2:$C$2000,2,FALSE),"")</f>
        <v/>
      </c>
    </row>
    <row r="1868" spans="5:5" x14ac:dyDescent="0.2">
      <c r="E1868" t="str">
        <f>+IFERROR(VLOOKUP(D1868,Daten_Verknüpfungen!$B$2:$C$2000,2,FALSE),"")</f>
        <v/>
      </c>
    </row>
    <row r="1869" spans="5:5" x14ac:dyDescent="0.2">
      <c r="E1869" t="str">
        <f>+IFERROR(VLOOKUP(D1869,Daten_Verknüpfungen!$B$2:$C$2000,2,FALSE),"")</f>
        <v/>
      </c>
    </row>
    <row r="1870" spans="5:5" x14ac:dyDescent="0.2">
      <c r="E1870" t="str">
        <f>+IFERROR(VLOOKUP(D1870,Daten_Verknüpfungen!$B$2:$C$2000,2,FALSE),"")</f>
        <v/>
      </c>
    </row>
    <row r="1871" spans="5:5" x14ac:dyDescent="0.2">
      <c r="E1871" t="str">
        <f>+IFERROR(VLOOKUP(D1871,Daten_Verknüpfungen!$B$2:$C$2000,2,FALSE),"")</f>
        <v/>
      </c>
    </row>
    <row r="1872" spans="5:5" x14ac:dyDescent="0.2">
      <c r="E1872" t="str">
        <f>+IFERROR(VLOOKUP(D1872,Daten_Verknüpfungen!$B$2:$C$2000,2,FALSE),"")</f>
        <v/>
      </c>
    </row>
    <row r="1873" spans="5:5" x14ac:dyDescent="0.2">
      <c r="E1873" t="str">
        <f>+IFERROR(VLOOKUP(D1873,Daten_Verknüpfungen!$B$2:$C$2000,2,FALSE),"")</f>
        <v/>
      </c>
    </row>
    <row r="1874" spans="5:5" x14ac:dyDescent="0.2">
      <c r="E1874" t="str">
        <f>+IFERROR(VLOOKUP(D1874,Daten_Verknüpfungen!$B$2:$C$2000,2,FALSE),"")</f>
        <v/>
      </c>
    </row>
    <row r="1875" spans="5:5" x14ac:dyDescent="0.2">
      <c r="E1875" t="str">
        <f>+IFERROR(VLOOKUP(D1875,Daten_Verknüpfungen!$B$2:$C$2000,2,FALSE),"")</f>
        <v/>
      </c>
    </row>
    <row r="1876" spans="5:5" x14ac:dyDescent="0.2">
      <c r="E1876" t="str">
        <f>+IFERROR(VLOOKUP(D1876,Daten_Verknüpfungen!$B$2:$C$2000,2,FALSE),"")</f>
        <v/>
      </c>
    </row>
    <row r="1877" spans="5:5" x14ac:dyDescent="0.2">
      <c r="E1877" t="str">
        <f>+IFERROR(VLOOKUP(D1877,Daten_Verknüpfungen!$B$2:$C$2000,2,FALSE),"")</f>
        <v/>
      </c>
    </row>
    <row r="1878" spans="5:5" x14ac:dyDescent="0.2">
      <c r="E1878" t="str">
        <f>+IFERROR(VLOOKUP(D1878,Daten_Verknüpfungen!$B$2:$C$2000,2,FALSE),"")</f>
        <v/>
      </c>
    </row>
    <row r="1879" spans="5:5" x14ac:dyDescent="0.2">
      <c r="E1879" t="str">
        <f>+IFERROR(VLOOKUP(D1879,Daten_Verknüpfungen!$B$2:$C$2000,2,FALSE),"")</f>
        <v/>
      </c>
    </row>
    <row r="1880" spans="5:5" x14ac:dyDescent="0.2">
      <c r="E1880" t="str">
        <f>+IFERROR(VLOOKUP(D1880,Daten_Verknüpfungen!$B$2:$C$2000,2,FALSE),"")</f>
        <v/>
      </c>
    </row>
    <row r="1881" spans="5:5" x14ac:dyDescent="0.2">
      <c r="E1881" t="str">
        <f>+IFERROR(VLOOKUP(D1881,Daten_Verknüpfungen!$B$2:$C$2000,2,FALSE),"")</f>
        <v/>
      </c>
    </row>
    <row r="1882" spans="5:5" x14ac:dyDescent="0.2">
      <c r="E1882" t="str">
        <f>+IFERROR(VLOOKUP(D1882,Daten_Verknüpfungen!$B$2:$C$2000,2,FALSE),"")</f>
        <v/>
      </c>
    </row>
    <row r="1883" spans="5:5" x14ac:dyDescent="0.2">
      <c r="E1883" t="str">
        <f>+IFERROR(VLOOKUP(D1883,Daten_Verknüpfungen!$B$2:$C$2000,2,FALSE),"")</f>
        <v/>
      </c>
    </row>
    <row r="1884" spans="5:5" x14ac:dyDescent="0.2">
      <c r="E1884" t="str">
        <f>+IFERROR(VLOOKUP(D1884,Daten_Verknüpfungen!$B$2:$C$2000,2,FALSE),"")</f>
        <v/>
      </c>
    </row>
    <row r="1885" spans="5:5" x14ac:dyDescent="0.2">
      <c r="E1885" t="str">
        <f>+IFERROR(VLOOKUP(D1885,Daten_Verknüpfungen!$B$2:$C$2000,2,FALSE),"")</f>
        <v/>
      </c>
    </row>
    <row r="1886" spans="5:5" x14ac:dyDescent="0.2">
      <c r="E1886" t="str">
        <f>+IFERROR(VLOOKUP(D1886,Daten_Verknüpfungen!$B$2:$C$2000,2,FALSE),"")</f>
        <v/>
      </c>
    </row>
    <row r="1887" spans="5:5" x14ac:dyDescent="0.2">
      <c r="E1887" t="str">
        <f>+IFERROR(VLOOKUP(D1887,Daten_Verknüpfungen!$B$2:$C$2000,2,FALSE),"")</f>
        <v/>
      </c>
    </row>
    <row r="1888" spans="5:5" x14ac:dyDescent="0.2">
      <c r="E1888" t="str">
        <f>+IFERROR(VLOOKUP(D1888,Daten_Verknüpfungen!$B$2:$C$2000,2,FALSE),"")</f>
        <v/>
      </c>
    </row>
    <row r="1889" spans="5:5" x14ac:dyDescent="0.2">
      <c r="E1889" t="str">
        <f>+IFERROR(VLOOKUP(D1889,Daten_Verknüpfungen!$B$2:$C$2000,2,FALSE),"")</f>
        <v/>
      </c>
    </row>
    <row r="1890" spans="5:5" x14ac:dyDescent="0.2">
      <c r="E1890" t="str">
        <f>+IFERROR(VLOOKUP(D1890,Daten_Verknüpfungen!$B$2:$C$2000,2,FALSE),"")</f>
        <v/>
      </c>
    </row>
    <row r="1891" spans="5:5" x14ac:dyDescent="0.2">
      <c r="E1891" t="str">
        <f>+IFERROR(VLOOKUP(D1891,Daten_Verknüpfungen!$B$2:$C$2000,2,FALSE),"")</f>
        <v/>
      </c>
    </row>
    <row r="1892" spans="5:5" x14ac:dyDescent="0.2">
      <c r="E1892" t="str">
        <f>+IFERROR(VLOOKUP(D1892,Daten_Verknüpfungen!$B$2:$C$2000,2,FALSE),"")</f>
        <v/>
      </c>
    </row>
    <row r="1893" spans="5:5" x14ac:dyDescent="0.2">
      <c r="E1893" t="str">
        <f>+IFERROR(VLOOKUP(D1893,Daten_Verknüpfungen!$B$2:$C$2000,2,FALSE),"")</f>
        <v/>
      </c>
    </row>
    <row r="1894" spans="5:5" x14ac:dyDescent="0.2">
      <c r="E1894" t="str">
        <f>+IFERROR(VLOOKUP(D1894,Daten_Verknüpfungen!$B$2:$C$2000,2,FALSE),"")</f>
        <v/>
      </c>
    </row>
    <row r="1895" spans="5:5" x14ac:dyDescent="0.2">
      <c r="E1895" t="str">
        <f>+IFERROR(VLOOKUP(D1895,Daten_Verknüpfungen!$B$2:$C$2000,2,FALSE),"")</f>
        <v/>
      </c>
    </row>
    <row r="1896" spans="5:5" x14ac:dyDescent="0.2">
      <c r="E1896" t="str">
        <f>+IFERROR(VLOOKUP(D1896,Daten_Verknüpfungen!$B$2:$C$2000,2,FALSE),"")</f>
        <v/>
      </c>
    </row>
    <row r="1897" spans="5:5" x14ac:dyDescent="0.2">
      <c r="E1897" t="str">
        <f>+IFERROR(VLOOKUP(D1897,Daten_Verknüpfungen!$B$2:$C$2000,2,FALSE),"")</f>
        <v/>
      </c>
    </row>
    <row r="1898" spans="5:5" x14ac:dyDescent="0.2">
      <c r="E1898" t="str">
        <f>+IFERROR(VLOOKUP(D1898,Daten_Verknüpfungen!$B$2:$C$2000,2,FALSE),"")</f>
        <v/>
      </c>
    </row>
    <row r="1899" spans="5:5" x14ac:dyDescent="0.2">
      <c r="E1899" t="str">
        <f>+IFERROR(VLOOKUP(D1899,Daten_Verknüpfungen!$B$2:$C$2000,2,FALSE),"")</f>
        <v/>
      </c>
    </row>
    <row r="1900" spans="5:5" x14ac:dyDescent="0.2">
      <c r="E1900" t="str">
        <f>+IFERROR(VLOOKUP(D1900,Daten_Verknüpfungen!$B$2:$C$2000,2,FALSE),"")</f>
        <v/>
      </c>
    </row>
    <row r="1901" spans="5:5" x14ac:dyDescent="0.2">
      <c r="E1901" t="str">
        <f>+IFERROR(VLOOKUP(D1901,Daten_Verknüpfungen!$B$2:$C$2000,2,FALSE),"")</f>
        <v/>
      </c>
    </row>
    <row r="1902" spans="5:5" x14ac:dyDescent="0.2">
      <c r="E1902" t="str">
        <f>+IFERROR(VLOOKUP(D1902,Daten_Verknüpfungen!$B$2:$C$2000,2,FALSE),"")</f>
        <v/>
      </c>
    </row>
    <row r="1903" spans="5:5" x14ac:dyDescent="0.2">
      <c r="E1903" t="str">
        <f>+IFERROR(VLOOKUP(D1903,Daten_Verknüpfungen!$B$2:$C$2000,2,FALSE),"")</f>
        <v/>
      </c>
    </row>
    <row r="1904" spans="5:5" x14ac:dyDescent="0.2">
      <c r="E1904" t="str">
        <f>+IFERROR(VLOOKUP(D1904,Daten_Verknüpfungen!$B$2:$C$2000,2,FALSE),"")</f>
        <v/>
      </c>
    </row>
    <row r="1905" spans="5:5" x14ac:dyDescent="0.2">
      <c r="E1905" t="str">
        <f>+IFERROR(VLOOKUP(D1905,Daten_Verknüpfungen!$B$2:$C$2000,2,FALSE),"")</f>
        <v/>
      </c>
    </row>
    <row r="1906" spans="5:5" x14ac:dyDescent="0.2">
      <c r="E1906" t="str">
        <f>+IFERROR(VLOOKUP(D1906,Daten_Verknüpfungen!$B$2:$C$2000,2,FALSE),"")</f>
        <v/>
      </c>
    </row>
    <row r="1907" spans="5:5" x14ac:dyDescent="0.2">
      <c r="E1907" t="str">
        <f>+IFERROR(VLOOKUP(D1907,Daten_Verknüpfungen!$B$2:$C$2000,2,FALSE),"")</f>
        <v/>
      </c>
    </row>
    <row r="1908" spans="5:5" x14ac:dyDescent="0.2">
      <c r="E1908" t="str">
        <f>+IFERROR(VLOOKUP(D1908,Daten_Verknüpfungen!$B$2:$C$2000,2,FALSE),"")</f>
        <v/>
      </c>
    </row>
    <row r="1909" spans="5:5" x14ac:dyDescent="0.2">
      <c r="E1909" t="str">
        <f>+IFERROR(VLOOKUP(D1909,Daten_Verknüpfungen!$B$2:$C$2000,2,FALSE),"")</f>
        <v/>
      </c>
    </row>
    <row r="1910" spans="5:5" x14ac:dyDescent="0.2">
      <c r="E1910" t="str">
        <f>+IFERROR(VLOOKUP(D1910,Daten_Verknüpfungen!$B$2:$C$2000,2,FALSE),"")</f>
        <v/>
      </c>
    </row>
    <row r="1911" spans="5:5" x14ac:dyDescent="0.2">
      <c r="E1911" t="str">
        <f>+IFERROR(VLOOKUP(D1911,Daten_Verknüpfungen!$B$2:$C$2000,2,FALSE),"")</f>
        <v/>
      </c>
    </row>
    <row r="1912" spans="5:5" x14ac:dyDescent="0.2">
      <c r="E1912" t="str">
        <f>+IFERROR(VLOOKUP(D1912,Daten_Verknüpfungen!$B$2:$C$2000,2,FALSE),"")</f>
        <v/>
      </c>
    </row>
    <row r="1913" spans="5:5" x14ac:dyDescent="0.2">
      <c r="E1913" t="str">
        <f>+IFERROR(VLOOKUP(D1913,Daten_Verknüpfungen!$B$2:$C$2000,2,FALSE),"")</f>
        <v/>
      </c>
    </row>
    <row r="1914" spans="5:5" x14ac:dyDescent="0.2">
      <c r="E1914" t="str">
        <f>+IFERROR(VLOOKUP(D1914,Daten_Verknüpfungen!$B$2:$C$2000,2,FALSE),"")</f>
        <v/>
      </c>
    </row>
    <row r="1915" spans="5:5" x14ac:dyDescent="0.2">
      <c r="E1915" t="str">
        <f>+IFERROR(VLOOKUP(D1915,Daten_Verknüpfungen!$B$2:$C$2000,2,FALSE),"")</f>
        <v/>
      </c>
    </row>
    <row r="1916" spans="5:5" x14ac:dyDescent="0.2">
      <c r="E1916" t="str">
        <f>+IFERROR(VLOOKUP(D1916,Daten_Verknüpfungen!$B$2:$C$2000,2,FALSE),"")</f>
        <v/>
      </c>
    </row>
    <row r="1917" spans="5:5" x14ac:dyDescent="0.2">
      <c r="E1917" t="str">
        <f>+IFERROR(VLOOKUP(D1917,Daten_Verknüpfungen!$B$2:$C$2000,2,FALSE),"")</f>
        <v/>
      </c>
    </row>
    <row r="1918" spans="5:5" x14ac:dyDescent="0.2">
      <c r="E1918" t="str">
        <f>+IFERROR(VLOOKUP(D1918,Daten_Verknüpfungen!$B$2:$C$2000,2,FALSE),"")</f>
        <v/>
      </c>
    </row>
    <row r="1919" spans="5:5" x14ac:dyDescent="0.2">
      <c r="E1919" t="str">
        <f>+IFERROR(VLOOKUP(D1919,Daten_Verknüpfungen!$B$2:$C$2000,2,FALSE),"")</f>
        <v/>
      </c>
    </row>
    <row r="1920" spans="5:5" x14ac:dyDescent="0.2">
      <c r="E1920" t="str">
        <f>+IFERROR(VLOOKUP(D1920,Daten_Verknüpfungen!$B$2:$C$2000,2,FALSE),"")</f>
        <v/>
      </c>
    </row>
    <row r="1921" spans="5:5" x14ac:dyDescent="0.2">
      <c r="E1921" t="str">
        <f>+IFERROR(VLOOKUP(D1921,Daten_Verknüpfungen!$B$2:$C$2000,2,FALSE),"")</f>
        <v/>
      </c>
    </row>
    <row r="1922" spans="5:5" x14ac:dyDescent="0.2">
      <c r="E1922" t="str">
        <f>+IFERROR(VLOOKUP(D1922,Daten_Verknüpfungen!$B$2:$C$2000,2,FALSE),"")</f>
        <v/>
      </c>
    </row>
    <row r="1923" spans="5:5" x14ac:dyDescent="0.2">
      <c r="E1923" t="str">
        <f>+IFERROR(VLOOKUP(D1923,Daten_Verknüpfungen!$B$2:$C$2000,2,FALSE),"")</f>
        <v/>
      </c>
    </row>
    <row r="1924" spans="5:5" x14ac:dyDescent="0.2">
      <c r="E1924" t="str">
        <f>+IFERROR(VLOOKUP(D1924,Daten_Verknüpfungen!$B$2:$C$2000,2,FALSE),"")</f>
        <v/>
      </c>
    </row>
    <row r="1925" spans="5:5" x14ac:dyDescent="0.2">
      <c r="E1925" t="str">
        <f>+IFERROR(VLOOKUP(D1925,Daten_Verknüpfungen!$B$2:$C$2000,2,FALSE),"")</f>
        <v/>
      </c>
    </row>
    <row r="1926" spans="5:5" x14ac:dyDescent="0.2">
      <c r="E1926" t="str">
        <f>+IFERROR(VLOOKUP(D1926,Daten_Verknüpfungen!$B$2:$C$2000,2,FALSE),"")</f>
        <v/>
      </c>
    </row>
    <row r="1927" spans="5:5" x14ac:dyDescent="0.2">
      <c r="E1927" t="str">
        <f>+IFERROR(VLOOKUP(D1927,Daten_Verknüpfungen!$B$2:$C$2000,2,FALSE),"")</f>
        <v/>
      </c>
    </row>
    <row r="1928" spans="5:5" x14ac:dyDescent="0.2">
      <c r="E1928" t="str">
        <f>+IFERROR(VLOOKUP(D1928,Daten_Verknüpfungen!$B$2:$C$2000,2,FALSE),"")</f>
        <v/>
      </c>
    </row>
    <row r="1929" spans="5:5" x14ac:dyDescent="0.2">
      <c r="E1929" t="str">
        <f>+IFERROR(VLOOKUP(D1929,Daten_Verknüpfungen!$B$2:$C$2000,2,FALSE),"")</f>
        <v/>
      </c>
    </row>
    <row r="1930" spans="5:5" x14ac:dyDescent="0.2">
      <c r="E1930" t="str">
        <f>+IFERROR(VLOOKUP(D1930,Daten_Verknüpfungen!$B$2:$C$2000,2,FALSE),"")</f>
        <v/>
      </c>
    </row>
    <row r="1931" spans="5:5" x14ac:dyDescent="0.2">
      <c r="E1931" t="str">
        <f>+IFERROR(VLOOKUP(D1931,Daten_Verknüpfungen!$B$2:$C$2000,2,FALSE),"")</f>
        <v/>
      </c>
    </row>
    <row r="1932" spans="5:5" x14ac:dyDescent="0.2">
      <c r="E1932" t="str">
        <f>+IFERROR(VLOOKUP(D1932,Daten_Verknüpfungen!$B$2:$C$2000,2,FALSE),"")</f>
        <v/>
      </c>
    </row>
    <row r="1933" spans="5:5" x14ac:dyDescent="0.2">
      <c r="E1933" t="str">
        <f>+IFERROR(VLOOKUP(D1933,Daten_Verknüpfungen!$B$2:$C$2000,2,FALSE),"")</f>
        <v/>
      </c>
    </row>
    <row r="1934" spans="5:5" x14ac:dyDescent="0.2">
      <c r="E1934" t="str">
        <f>+IFERROR(VLOOKUP(D1934,Daten_Verknüpfungen!$B$2:$C$2000,2,FALSE),"")</f>
        <v/>
      </c>
    </row>
    <row r="1935" spans="5:5" x14ac:dyDescent="0.2">
      <c r="E1935" t="str">
        <f>+IFERROR(VLOOKUP(D1935,Daten_Verknüpfungen!$B$2:$C$2000,2,FALSE),"")</f>
        <v/>
      </c>
    </row>
    <row r="1936" spans="5:5" x14ac:dyDescent="0.2">
      <c r="E1936" t="str">
        <f>+IFERROR(VLOOKUP(D1936,Daten_Verknüpfungen!$B$2:$C$2000,2,FALSE),"")</f>
        <v/>
      </c>
    </row>
    <row r="1937" spans="5:5" x14ac:dyDescent="0.2">
      <c r="E1937" t="str">
        <f>+IFERROR(VLOOKUP(D1937,Daten_Verknüpfungen!$B$2:$C$2000,2,FALSE),"")</f>
        <v/>
      </c>
    </row>
    <row r="1938" spans="5:5" x14ac:dyDescent="0.2">
      <c r="E1938" t="str">
        <f>+IFERROR(VLOOKUP(D1938,Daten_Verknüpfungen!$B$2:$C$2000,2,FALSE),"")</f>
        <v/>
      </c>
    </row>
    <row r="1939" spans="5:5" x14ac:dyDescent="0.2">
      <c r="E1939" t="str">
        <f>+IFERROR(VLOOKUP(D1939,Daten_Verknüpfungen!$B$2:$C$2000,2,FALSE),"")</f>
        <v/>
      </c>
    </row>
    <row r="1940" spans="5:5" x14ac:dyDescent="0.2">
      <c r="E1940" t="str">
        <f>+IFERROR(VLOOKUP(D1940,Daten_Verknüpfungen!$B$2:$C$2000,2,FALSE),"")</f>
        <v/>
      </c>
    </row>
    <row r="1941" spans="5:5" x14ac:dyDescent="0.2">
      <c r="E1941" t="str">
        <f>+IFERROR(VLOOKUP(D1941,Daten_Verknüpfungen!$B$2:$C$2000,2,FALSE),"")</f>
        <v/>
      </c>
    </row>
    <row r="1942" spans="5:5" x14ac:dyDescent="0.2">
      <c r="E1942" t="str">
        <f>+IFERROR(VLOOKUP(D1942,Daten_Verknüpfungen!$B$2:$C$2000,2,FALSE),"")</f>
        <v/>
      </c>
    </row>
    <row r="1943" spans="5:5" x14ac:dyDescent="0.2">
      <c r="E1943" t="str">
        <f>+IFERROR(VLOOKUP(D1943,Daten_Verknüpfungen!$B$2:$C$2000,2,FALSE),"")</f>
        <v/>
      </c>
    </row>
    <row r="1944" spans="5:5" x14ac:dyDescent="0.2">
      <c r="E1944" t="str">
        <f>+IFERROR(VLOOKUP(D1944,Daten_Verknüpfungen!$B$2:$C$2000,2,FALSE),"")</f>
        <v/>
      </c>
    </row>
    <row r="1945" spans="5:5" x14ac:dyDescent="0.2">
      <c r="E1945" t="str">
        <f>+IFERROR(VLOOKUP(D1945,Daten_Verknüpfungen!$B$2:$C$2000,2,FALSE),"")</f>
        <v/>
      </c>
    </row>
    <row r="1946" spans="5:5" x14ac:dyDescent="0.2">
      <c r="E1946" t="str">
        <f>+IFERROR(VLOOKUP(D1946,Daten_Verknüpfungen!$B$2:$C$2000,2,FALSE),"")</f>
        <v/>
      </c>
    </row>
    <row r="1947" spans="5:5" x14ac:dyDescent="0.2">
      <c r="E1947" t="str">
        <f>+IFERROR(VLOOKUP(D1947,Daten_Verknüpfungen!$B$2:$C$2000,2,FALSE),"")</f>
        <v/>
      </c>
    </row>
    <row r="1948" spans="5:5" x14ac:dyDescent="0.2">
      <c r="E1948" t="str">
        <f>+IFERROR(VLOOKUP(D1948,Daten_Verknüpfungen!$B$2:$C$2000,2,FALSE),"")</f>
        <v/>
      </c>
    </row>
    <row r="1949" spans="5:5" x14ac:dyDescent="0.2">
      <c r="E1949" t="str">
        <f>+IFERROR(VLOOKUP(D1949,Daten_Verknüpfungen!$B$2:$C$2000,2,FALSE),"")</f>
        <v/>
      </c>
    </row>
    <row r="1950" spans="5:5" x14ac:dyDescent="0.2">
      <c r="E1950" t="str">
        <f>+IFERROR(VLOOKUP(D1950,Daten_Verknüpfungen!$B$2:$C$2000,2,FALSE),"")</f>
        <v/>
      </c>
    </row>
    <row r="1951" spans="5:5" x14ac:dyDescent="0.2">
      <c r="E1951" t="str">
        <f>+IFERROR(VLOOKUP(D1951,Daten_Verknüpfungen!$B$2:$C$2000,2,FALSE),"")</f>
        <v/>
      </c>
    </row>
    <row r="1952" spans="5:5" x14ac:dyDescent="0.2">
      <c r="E1952" t="str">
        <f>+IFERROR(VLOOKUP(D1952,Daten_Verknüpfungen!$B$2:$C$2000,2,FALSE),"")</f>
        <v/>
      </c>
    </row>
    <row r="1953" spans="5:5" x14ac:dyDescent="0.2">
      <c r="E1953" t="str">
        <f>+IFERROR(VLOOKUP(D1953,Daten_Verknüpfungen!$B$2:$C$2000,2,FALSE),"")</f>
        <v/>
      </c>
    </row>
    <row r="1954" spans="5:5" x14ac:dyDescent="0.2">
      <c r="E1954" t="str">
        <f>+IFERROR(VLOOKUP(D1954,Daten_Verknüpfungen!$B$2:$C$2000,2,FALSE),"")</f>
        <v/>
      </c>
    </row>
    <row r="1955" spans="5:5" x14ac:dyDescent="0.2">
      <c r="E1955" t="str">
        <f>+IFERROR(VLOOKUP(D1955,Daten_Verknüpfungen!$B$2:$C$2000,2,FALSE),"")</f>
        <v/>
      </c>
    </row>
    <row r="1956" spans="5:5" x14ac:dyDescent="0.2">
      <c r="E1956" t="str">
        <f>+IFERROR(VLOOKUP(D1956,Daten_Verknüpfungen!$B$2:$C$2000,2,FALSE),"")</f>
        <v/>
      </c>
    </row>
    <row r="1957" spans="5:5" x14ac:dyDescent="0.2">
      <c r="E1957" t="str">
        <f>+IFERROR(VLOOKUP(D1957,Daten_Verknüpfungen!$B$2:$C$2000,2,FALSE),"")</f>
        <v/>
      </c>
    </row>
    <row r="1958" spans="5:5" x14ac:dyDescent="0.2">
      <c r="E1958" t="str">
        <f>+IFERROR(VLOOKUP(D1958,Daten_Verknüpfungen!$B$2:$C$2000,2,FALSE),"")</f>
        <v/>
      </c>
    </row>
    <row r="1959" spans="5:5" x14ac:dyDescent="0.2">
      <c r="E1959" t="str">
        <f>+IFERROR(VLOOKUP(D1959,Daten_Verknüpfungen!$B$2:$C$2000,2,FALSE),"")</f>
        <v/>
      </c>
    </row>
    <row r="1960" spans="5:5" x14ac:dyDescent="0.2">
      <c r="E1960" t="str">
        <f>+IFERROR(VLOOKUP(D1960,Daten_Verknüpfungen!$B$2:$C$2000,2,FALSE),"")</f>
        <v/>
      </c>
    </row>
    <row r="1961" spans="5:5" x14ac:dyDescent="0.2">
      <c r="E1961" t="str">
        <f>+IFERROR(VLOOKUP(D1961,Daten_Verknüpfungen!$B$2:$C$2000,2,FALSE),"")</f>
        <v/>
      </c>
    </row>
    <row r="1962" spans="5:5" x14ac:dyDescent="0.2">
      <c r="E1962" t="str">
        <f>+IFERROR(VLOOKUP(D1962,Daten_Verknüpfungen!$B$2:$C$2000,2,FALSE),"")</f>
        <v/>
      </c>
    </row>
    <row r="1963" spans="5:5" x14ac:dyDescent="0.2">
      <c r="E1963" t="str">
        <f>+IFERROR(VLOOKUP(D1963,Daten_Verknüpfungen!$B$2:$C$2000,2,FALSE),"")</f>
        <v/>
      </c>
    </row>
    <row r="1964" spans="5:5" x14ac:dyDescent="0.2">
      <c r="E1964" t="str">
        <f>+IFERROR(VLOOKUP(D1964,Daten_Verknüpfungen!$B$2:$C$2000,2,FALSE),"")</f>
        <v/>
      </c>
    </row>
    <row r="1965" spans="5:5" x14ac:dyDescent="0.2">
      <c r="E1965" t="str">
        <f>+IFERROR(VLOOKUP(D1965,Daten_Verknüpfungen!$B$2:$C$2000,2,FALSE),"")</f>
        <v/>
      </c>
    </row>
    <row r="1966" spans="5:5" x14ac:dyDescent="0.2">
      <c r="E1966" t="str">
        <f>+IFERROR(VLOOKUP(D1966,Daten_Verknüpfungen!$B$2:$C$2000,2,FALSE),"")</f>
        <v/>
      </c>
    </row>
    <row r="1967" spans="5:5" x14ac:dyDescent="0.2">
      <c r="E1967" t="str">
        <f>+IFERROR(VLOOKUP(D1967,Daten_Verknüpfungen!$B$2:$C$2000,2,FALSE),"")</f>
        <v/>
      </c>
    </row>
    <row r="1968" spans="5:5" x14ac:dyDescent="0.2">
      <c r="E1968" t="str">
        <f>+IFERROR(VLOOKUP(D1968,Daten_Verknüpfungen!$B$2:$C$2000,2,FALSE),"")</f>
        <v/>
      </c>
    </row>
    <row r="1969" spans="5:5" x14ac:dyDescent="0.2">
      <c r="E1969" t="str">
        <f>+IFERROR(VLOOKUP(D1969,Daten_Verknüpfungen!$B$2:$C$2000,2,FALSE),"")</f>
        <v/>
      </c>
    </row>
    <row r="1970" spans="5:5" x14ac:dyDescent="0.2">
      <c r="E1970" t="str">
        <f>+IFERROR(VLOOKUP(D1970,Daten_Verknüpfungen!$B$2:$C$2000,2,FALSE),"")</f>
        <v/>
      </c>
    </row>
    <row r="1971" spans="5:5" x14ac:dyDescent="0.2">
      <c r="E1971" t="str">
        <f>+IFERROR(VLOOKUP(D1971,Daten_Verknüpfungen!$B$2:$C$2000,2,FALSE),"")</f>
        <v/>
      </c>
    </row>
    <row r="1972" spans="5:5" x14ac:dyDescent="0.2">
      <c r="E1972" t="str">
        <f>+IFERROR(VLOOKUP(D1972,Daten_Verknüpfungen!$B$2:$C$2000,2,FALSE),"")</f>
        <v/>
      </c>
    </row>
    <row r="1973" spans="5:5" x14ac:dyDescent="0.2">
      <c r="E1973" t="str">
        <f>+IFERROR(VLOOKUP(D1973,Daten_Verknüpfungen!$B$2:$C$2000,2,FALSE),"")</f>
        <v/>
      </c>
    </row>
    <row r="1974" spans="5:5" x14ac:dyDescent="0.2">
      <c r="E1974" t="str">
        <f>+IFERROR(VLOOKUP(D1974,Daten_Verknüpfungen!$B$2:$C$2000,2,FALSE),"")</f>
        <v/>
      </c>
    </row>
    <row r="1975" spans="5:5" x14ac:dyDescent="0.2">
      <c r="E1975" t="str">
        <f>+IFERROR(VLOOKUP(D1975,Daten_Verknüpfungen!$B$2:$C$2000,2,FALSE),"")</f>
        <v/>
      </c>
    </row>
    <row r="1976" spans="5:5" x14ac:dyDescent="0.2">
      <c r="E1976" t="str">
        <f>+IFERROR(VLOOKUP(D1976,Daten_Verknüpfungen!$B$2:$C$2000,2,FALSE),"")</f>
        <v/>
      </c>
    </row>
    <row r="1977" spans="5:5" x14ac:dyDescent="0.2">
      <c r="E1977" t="str">
        <f>+IFERROR(VLOOKUP(D1977,Daten_Verknüpfungen!$B$2:$C$2000,2,FALSE),"")</f>
        <v/>
      </c>
    </row>
    <row r="1978" spans="5:5" x14ac:dyDescent="0.2">
      <c r="E1978" t="str">
        <f>+IFERROR(VLOOKUP(D1978,Daten_Verknüpfungen!$B$2:$C$2000,2,FALSE),"")</f>
        <v/>
      </c>
    </row>
    <row r="1979" spans="5:5" x14ac:dyDescent="0.2">
      <c r="E1979" t="str">
        <f>+IFERROR(VLOOKUP(D1979,Daten_Verknüpfungen!$B$2:$C$2000,2,FALSE),"")</f>
        <v/>
      </c>
    </row>
    <row r="1980" spans="5:5" x14ac:dyDescent="0.2">
      <c r="E1980" t="str">
        <f>+IFERROR(VLOOKUP(D1980,Daten_Verknüpfungen!$B$2:$C$2000,2,FALSE),"")</f>
        <v/>
      </c>
    </row>
    <row r="1981" spans="5:5" x14ac:dyDescent="0.2">
      <c r="E1981" t="str">
        <f>+IFERROR(VLOOKUP(D1981,Daten_Verknüpfungen!$B$2:$C$2000,2,FALSE),"")</f>
        <v/>
      </c>
    </row>
    <row r="1982" spans="5:5" x14ac:dyDescent="0.2">
      <c r="E1982" t="str">
        <f>+IFERROR(VLOOKUP(D1982,Daten_Verknüpfungen!$B$2:$C$2000,2,FALSE),"")</f>
        <v/>
      </c>
    </row>
    <row r="1983" spans="5:5" x14ac:dyDescent="0.2">
      <c r="E1983" t="str">
        <f>+IFERROR(VLOOKUP(D1983,Daten_Verknüpfungen!$B$2:$C$2000,2,FALSE),"")</f>
        <v/>
      </c>
    </row>
    <row r="1984" spans="5:5" x14ac:dyDescent="0.2">
      <c r="E1984" t="str">
        <f>+IFERROR(VLOOKUP(D1984,Daten_Verknüpfungen!$B$2:$C$2000,2,FALSE),"")</f>
        <v/>
      </c>
    </row>
    <row r="1985" spans="5:5" x14ac:dyDescent="0.2">
      <c r="E1985" t="str">
        <f>+IFERROR(VLOOKUP(D1985,Daten_Verknüpfungen!$B$2:$C$2000,2,FALSE),"")</f>
        <v/>
      </c>
    </row>
    <row r="1986" spans="5:5" x14ac:dyDescent="0.2">
      <c r="E1986" t="str">
        <f>+IFERROR(VLOOKUP(D1986,Daten_Verknüpfungen!$B$2:$C$2000,2,FALSE),"")</f>
        <v/>
      </c>
    </row>
    <row r="1987" spans="5:5" x14ac:dyDescent="0.2">
      <c r="E1987" t="str">
        <f>+IFERROR(VLOOKUP(D1987,Daten_Verknüpfungen!$B$2:$C$2000,2,FALSE),"")</f>
        <v/>
      </c>
    </row>
    <row r="1988" spans="5:5" x14ac:dyDescent="0.2">
      <c r="E1988" t="str">
        <f>+IFERROR(VLOOKUP(D1988,Daten_Verknüpfungen!$B$2:$C$2000,2,FALSE),"")</f>
        <v/>
      </c>
    </row>
    <row r="1989" spans="5:5" x14ac:dyDescent="0.2">
      <c r="E1989" t="str">
        <f>+IFERROR(VLOOKUP(D1989,Daten_Verknüpfungen!$B$2:$C$2000,2,FALSE),"")</f>
        <v/>
      </c>
    </row>
    <row r="1990" spans="5:5" x14ac:dyDescent="0.2">
      <c r="E1990" t="str">
        <f>+IFERROR(VLOOKUP(D1990,Daten_Verknüpfungen!$B$2:$C$2000,2,FALSE),"")</f>
        <v/>
      </c>
    </row>
    <row r="1991" spans="5:5" x14ac:dyDescent="0.2">
      <c r="E1991" t="str">
        <f>+IFERROR(VLOOKUP(D1991,Daten_Verknüpfungen!$B$2:$C$2000,2,FALSE),"")</f>
        <v/>
      </c>
    </row>
    <row r="1992" spans="5:5" x14ac:dyDescent="0.2">
      <c r="E1992" t="str">
        <f>+IFERROR(VLOOKUP(D1992,Daten_Verknüpfungen!$B$2:$C$2000,2,FALSE),"")</f>
        <v/>
      </c>
    </row>
    <row r="1993" spans="5:5" x14ac:dyDescent="0.2">
      <c r="E1993" t="str">
        <f>+IFERROR(VLOOKUP(D1993,Daten_Verknüpfungen!$B$2:$C$2000,2,FALSE),"")</f>
        <v/>
      </c>
    </row>
    <row r="1994" spans="5:5" x14ac:dyDescent="0.2">
      <c r="E1994" t="str">
        <f>+IFERROR(VLOOKUP(D1994,Daten_Verknüpfungen!$B$2:$C$2000,2,FALSE),"")</f>
        <v/>
      </c>
    </row>
    <row r="1995" spans="5:5" x14ac:dyDescent="0.2">
      <c r="E1995" t="str">
        <f>+IFERROR(VLOOKUP(D1995,Daten_Verknüpfungen!$B$2:$C$2000,2,FALSE),"")</f>
        <v/>
      </c>
    </row>
    <row r="1996" spans="5:5" x14ac:dyDescent="0.2">
      <c r="E1996" t="str">
        <f>+IFERROR(VLOOKUP(D1996,Daten_Verknüpfungen!$B$2:$C$2000,2,FALSE),"")</f>
        <v/>
      </c>
    </row>
    <row r="1997" spans="5:5" x14ac:dyDescent="0.2">
      <c r="E1997" t="str">
        <f>+IFERROR(VLOOKUP(D1997,Daten_Verknüpfungen!$B$2:$C$2000,2,FALSE),"")</f>
        <v/>
      </c>
    </row>
    <row r="1998" spans="5:5" x14ac:dyDescent="0.2">
      <c r="E1998" t="str">
        <f>+IFERROR(VLOOKUP(D1998,Daten_Verknüpfungen!$B$2:$C$2000,2,FALSE),"")</f>
        <v/>
      </c>
    </row>
    <row r="1999" spans="5:5" x14ac:dyDescent="0.2">
      <c r="E1999" t="str">
        <f>+IFERROR(VLOOKUP(D1999,Daten_Verknüpfungen!$B$2:$C$2000,2,FALSE),"")</f>
        <v/>
      </c>
    </row>
    <row r="2000" spans="5:5" x14ac:dyDescent="0.2">
      <c r="E2000" t="str">
        <f>+IFERROR(VLOOKUP(D2000,Daten_Verknüpfungen!$B$2:$C$2000,2,FALSE),"")</f>
        <v/>
      </c>
    </row>
  </sheetData>
  <conditionalFormatting sqref="M6">
    <cfRule type="expression" dxfId="2" priority="8956">
      <formula>MATCH($D6,$J$2:$J$21,FALSE)</formula>
    </cfRule>
    <cfRule type="expression" dxfId="1" priority="8957">
      <formula>MATCH($D6,$J$2:$J$21,FALSE)</formula>
    </cfRule>
  </conditionalFormatting>
  <conditionalFormatting sqref="P2:P336">
    <cfRule type="expression" dxfId="0" priority="8955">
      <formula>ISERR(MATCH(P2,$J$2:$J$21,0))</formula>
    </cfRule>
  </conditionalFormatting>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9B23E-2720-4DC8-9835-555FCE7C5ED9}">
  <sheetPr codeName="Tabelle3"/>
  <dimension ref="A1:EB53"/>
  <sheetViews>
    <sheetView showGridLines="0" topLeftCell="K1" workbookViewId="0">
      <selection activeCell="AB1" sqref="AB1"/>
    </sheetView>
  </sheetViews>
  <sheetFormatPr baseColWidth="10" defaultColWidth="11.42578125" defaultRowHeight="12.75" x14ac:dyDescent="0.2"/>
  <cols>
    <col min="1" max="1" width="25.7109375" customWidth="1"/>
    <col min="2" max="2" width="22.7109375" customWidth="1"/>
    <col min="3" max="3" width="18.7109375" bestFit="1" customWidth="1"/>
    <col min="4" max="4" width="23" customWidth="1"/>
    <col min="5" max="5" width="20.7109375" bestFit="1" customWidth="1"/>
    <col min="6" max="6" width="24.42578125" customWidth="1"/>
    <col min="7" max="7" width="19.42578125" customWidth="1"/>
    <col min="8" max="8" width="15.28515625" customWidth="1"/>
    <col min="10" max="10" width="16.7109375" customWidth="1"/>
    <col min="14" max="14" width="20" bestFit="1" customWidth="1"/>
    <col min="66" max="66" width="16.42578125" bestFit="1" customWidth="1"/>
    <col min="107" max="107" width="19.28515625" bestFit="1" customWidth="1"/>
    <col min="108" max="108" width="19.42578125" bestFit="1" customWidth="1"/>
    <col min="109" max="109" width="17.5703125" customWidth="1"/>
    <col min="112" max="112" width="25.28515625" customWidth="1"/>
  </cols>
  <sheetData>
    <row r="1" spans="1:132" s="20" customFormat="1" ht="14.25" customHeight="1" x14ac:dyDescent="0.2">
      <c r="A1" s="40" t="s">
        <v>2053</v>
      </c>
      <c r="B1" s="20" t="s">
        <v>2054</v>
      </c>
      <c r="C1" s="41" t="s">
        <v>2055</v>
      </c>
      <c r="D1" s="20" t="s">
        <v>2056</v>
      </c>
      <c r="E1" s="20" t="s">
        <v>2057</v>
      </c>
      <c r="F1" s="20" t="s">
        <v>2058</v>
      </c>
      <c r="G1" s="20" t="s">
        <v>2059</v>
      </c>
      <c r="H1" s="20" t="s">
        <v>2060</v>
      </c>
      <c r="I1" s="20" t="s">
        <v>2061</v>
      </c>
      <c r="J1" s="20" t="s">
        <v>2062</v>
      </c>
      <c r="K1" s="20" t="s">
        <v>2063</v>
      </c>
      <c r="L1" s="20" t="s">
        <v>2064</v>
      </c>
      <c r="M1" s="20" t="s">
        <v>2065</v>
      </c>
      <c r="N1" s="42" t="s">
        <v>2066</v>
      </c>
      <c r="O1" s="20" t="s">
        <v>2067</v>
      </c>
      <c r="P1" s="20" t="s">
        <v>2068</v>
      </c>
      <c r="Q1" s="20" t="s">
        <v>2069</v>
      </c>
      <c r="R1" s="20" t="s">
        <v>2070</v>
      </c>
      <c r="S1" s="20" t="s">
        <v>2071</v>
      </c>
      <c r="T1" s="20" t="s">
        <v>2072</v>
      </c>
      <c r="U1" s="20" t="s">
        <v>2073</v>
      </c>
      <c r="V1" s="20" t="s">
        <v>2074</v>
      </c>
      <c r="W1" s="20" t="s">
        <v>2075</v>
      </c>
      <c r="X1" s="20" t="s">
        <v>2076</v>
      </c>
      <c r="Y1" s="20" t="s">
        <v>2077</v>
      </c>
      <c r="Z1" s="20" t="s">
        <v>2078</v>
      </c>
      <c r="AA1" s="20" t="s">
        <v>2079</v>
      </c>
      <c r="AB1" s="20" t="s">
        <v>2080</v>
      </c>
      <c r="AC1" s="20" t="s">
        <v>2081</v>
      </c>
      <c r="AD1" s="20" t="s">
        <v>2082</v>
      </c>
      <c r="AE1" s="20" t="s">
        <v>2083</v>
      </c>
      <c r="AF1" s="20" t="s">
        <v>2084</v>
      </c>
      <c r="AG1" s="20" t="s">
        <v>2085</v>
      </c>
      <c r="AH1" s="20" t="s">
        <v>2086</v>
      </c>
      <c r="AI1" s="20" t="s">
        <v>2087</v>
      </c>
      <c r="AJ1" s="20" t="s">
        <v>2088</v>
      </c>
      <c r="AK1" s="20" t="s">
        <v>2089</v>
      </c>
      <c r="AL1" s="20" t="s">
        <v>2090</v>
      </c>
      <c r="AM1" s="20" t="s">
        <v>2091</v>
      </c>
      <c r="AN1" s="20" t="s">
        <v>2092</v>
      </c>
      <c r="AO1" s="20" t="s">
        <v>2093</v>
      </c>
      <c r="AP1" s="20" t="s">
        <v>2094</v>
      </c>
      <c r="AQ1" s="20" t="s">
        <v>2095</v>
      </c>
      <c r="AR1" s="20" t="s">
        <v>2096</v>
      </c>
      <c r="AS1" s="20" t="s">
        <v>2097</v>
      </c>
      <c r="AT1" s="20" t="s">
        <v>2098</v>
      </c>
      <c r="AU1" s="20" t="s">
        <v>2099</v>
      </c>
      <c r="AV1" s="20" t="s">
        <v>2100</v>
      </c>
      <c r="AW1" s="20" t="s">
        <v>2101</v>
      </c>
      <c r="AX1" s="20" t="s">
        <v>2102</v>
      </c>
      <c r="AY1" s="20" t="s">
        <v>2103</v>
      </c>
      <c r="AZ1" s="20" t="s">
        <v>2104</v>
      </c>
      <c r="BA1" s="20" t="s">
        <v>2105</v>
      </c>
      <c r="BB1" s="20" t="s">
        <v>2106</v>
      </c>
      <c r="BC1" s="20" t="s">
        <v>2107</v>
      </c>
      <c r="BD1" s="20" t="s">
        <v>2108</v>
      </c>
      <c r="BE1" s="20" t="s">
        <v>2109</v>
      </c>
      <c r="BF1" s="20" t="s">
        <v>2110</v>
      </c>
      <c r="BG1" s="20" t="s">
        <v>2111</v>
      </c>
      <c r="BH1" s="20" t="s">
        <v>2112</v>
      </c>
      <c r="BI1" s="20" t="s">
        <v>2113</v>
      </c>
      <c r="BJ1" s="20" t="s">
        <v>2114</v>
      </c>
      <c r="BK1" s="20" t="s">
        <v>2115</v>
      </c>
      <c r="BL1" s="20" t="s">
        <v>2116</v>
      </c>
      <c r="BM1" s="20" t="s">
        <v>2117</v>
      </c>
      <c r="BN1" s="20" t="s">
        <v>2118</v>
      </c>
      <c r="BO1" s="20" t="s">
        <v>2119</v>
      </c>
      <c r="BP1" s="20" t="s">
        <v>2120</v>
      </c>
      <c r="BQ1" s="20" t="s">
        <v>2121</v>
      </c>
      <c r="BR1" s="20" t="s">
        <v>2122</v>
      </c>
      <c r="BS1" s="20" t="s">
        <v>2123</v>
      </c>
      <c r="BT1" s="20" t="s">
        <v>2124</v>
      </c>
      <c r="BU1" s="20" t="s">
        <v>2125</v>
      </c>
      <c r="BV1" s="20" t="s">
        <v>2126</v>
      </c>
      <c r="BW1" s="20" t="s">
        <v>2127</v>
      </c>
      <c r="BX1" s="20" t="s">
        <v>2128</v>
      </c>
      <c r="BY1" s="20" t="s">
        <v>2129</v>
      </c>
      <c r="BZ1" s="20" t="s">
        <v>2130</v>
      </c>
      <c r="CA1" s="20" t="s">
        <v>2131</v>
      </c>
      <c r="CB1" s="20" t="s">
        <v>2132</v>
      </c>
      <c r="CC1" s="20" t="s">
        <v>2133</v>
      </c>
      <c r="CD1" s="20" t="s">
        <v>2134</v>
      </c>
      <c r="CE1" s="20" t="s">
        <v>2135</v>
      </c>
      <c r="CF1" s="20" t="s">
        <v>2136</v>
      </c>
      <c r="CG1" s="20" t="s">
        <v>2137</v>
      </c>
      <c r="CH1" s="20" t="s">
        <v>2138</v>
      </c>
      <c r="CI1" s="20" t="s">
        <v>2139</v>
      </c>
      <c r="CJ1" s="20" t="s">
        <v>2140</v>
      </c>
      <c r="CK1" s="20" t="s">
        <v>2141</v>
      </c>
      <c r="CL1" s="20" t="s">
        <v>2142</v>
      </c>
      <c r="CM1" s="20" t="s">
        <v>2143</v>
      </c>
      <c r="CN1" s="20" t="s">
        <v>2144</v>
      </c>
      <c r="CO1" s="20" t="s">
        <v>2145</v>
      </c>
      <c r="CP1" s="20" t="s">
        <v>2146</v>
      </c>
      <c r="CQ1" s="20" t="s">
        <v>2147</v>
      </c>
      <c r="CR1" s="20" t="s">
        <v>2148</v>
      </c>
      <c r="CS1" s="20" t="s">
        <v>2149</v>
      </c>
      <c r="CT1" s="20" t="s">
        <v>2150</v>
      </c>
      <c r="CU1" s="20" t="s">
        <v>2151</v>
      </c>
      <c r="CV1" s="20" t="s">
        <v>2152</v>
      </c>
      <c r="CW1" s="20" t="s">
        <v>2153</v>
      </c>
      <c r="CX1" s="20" t="s">
        <v>2154</v>
      </c>
      <c r="CY1" s="20" t="s">
        <v>2155</v>
      </c>
      <c r="CZ1" s="20" t="s">
        <v>2156</v>
      </c>
      <c r="DA1" s="20" t="s">
        <v>2157</v>
      </c>
      <c r="DB1" s="20" t="s">
        <v>2158</v>
      </c>
      <c r="DC1" s="20" t="s">
        <v>2159</v>
      </c>
      <c r="DD1" s="20" t="s">
        <v>2160</v>
      </c>
      <c r="DE1" s="20" t="s">
        <v>2161</v>
      </c>
      <c r="DF1" s="20" t="s">
        <v>2162</v>
      </c>
      <c r="DG1" s="20" t="s">
        <v>2163</v>
      </c>
      <c r="DH1" s="20" t="s">
        <v>2164</v>
      </c>
      <c r="DI1" s="20" t="s">
        <v>2165</v>
      </c>
    </row>
    <row r="2" spans="1:132" x14ac:dyDescent="0.2">
      <c r="A2" t="s">
        <v>423</v>
      </c>
      <c r="B2" t="s">
        <v>434</v>
      </c>
      <c r="C2" s="1" t="s">
        <v>77</v>
      </c>
      <c r="D2" t="s">
        <v>603</v>
      </c>
      <c r="E2" t="s">
        <v>614</v>
      </c>
      <c r="F2" s="1" t="s">
        <v>64</v>
      </c>
      <c r="G2" t="s">
        <v>467</v>
      </c>
      <c r="H2" t="s">
        <v>478</v>
      </c>
      <c r="I2" t="s">
        <v>88</v>
      </c>
      <c r="J2" t="s">
        <v>515</v>
      </c>
      <c r="K2" t="s">
        <v>537</v>
      </c>
      <c r="L2" t="s">
        <v>570</v>
      </c>
      <c r="M2" t="s">
        <v>280</v>
      </c>
      <c r="N2" t="s">
        <v>493</v>
      </c>
      <c r="O2" t="s">
        <v>302</v>
      </c>
      <c r="P2" t="s">
        <v>243</v>
      </c>
      <c r="Q2" t="s">
        <v>291</v>
      </c>
      <c r="R2" t="s">
        <v>368</v>
      </c>
      <c r="S2" t="s">
        <v>357</v>
      </c>
      <c r="T2" t="s">
        <v>99</v>
      </c>
      <c r="U2" t="s">
        <v>559</v>
      </c>
      <c r="V2" t="s">
        <v>526</v>
      </c>
      <c r="W2" t="s">
        <v>548</v>
      </c>
      <c r="X2" t="s">
        <v>504</v>
      </c>
      <c r="Y2" t="s">
        <v>324</v>
      </c>
      <c r="Z2" t="s">
        <v>254</v>
      </c>
      <c r="AA2" t="s">
        <v>313</v>
      </c>
      <c r="AB2" t="s">
        <v>470</v>
      </c>
      <c r="AC2" t="s">
        <v>636</v>
      </c>
      <c r="AD2" t="s">
        <v>658</v>
      </c>
      <c r="AE2" t="s">
        <v>269</v>
      </c>
      <c r="AF2" t="s">
        <v>91</v>
      </c>
      <c r="AG2" t="s">
        <v>518</v>
      </c>
      <c r="AH2" t="s">
        <v>335</v>
      </c>
      <c r="AI2" t="s">
        <v>379</v>
      </c>
      <c r="AJ2" t="s">
        <v>540</v>
      </c>
      <c r="AK2" t="s">
        <v>573</v>
      </c>
      <c r="AL2" t="s">
        <v>283</v>
      </c>
      <c r="AM2" t="s">
        <v>144</v>
      </c>
      <c r="AN2" t="s">
        <v>390</v>
      </c>
      <c r="AO2" t="s">
        <v>305</v>
      </c>
      <c r="AP2" t="s">
        <v>625</v>
      </c>
      <c r="AQ2" t="s">
        <v>246</v>
      </c>
      <c r="AR2" t="s">
        <v>647</v>
      </c>
      <c r="AS2" t="s">
        <v>294</v>
      </c>
      <c r="AT2" t="s">
        <v>371</v>
      </c>
      <c r="AU2" t="s">
        <v>346</v>
      </c>
      <c r="AV2" t="s">
        <v>412</v>
      </c>
      <c r="AW2" t="s">
        <v>360</v>
      </c>
      <c r="AX2" t="s">
        <v>562</v>
      </c>
      <c r="AY2" t="s">
        <v>133</v>
      </c>
      <c r="AZ2" t="s">
        <v>199</v>
      </c>
      <c r="BA2" t="s">
        <v>401</v>
      </c>
      <c r="BB2" t="s">
        <v>221</v>
      </c>
      <c r="BC2" t="s">
        <v>257</v>
      </c>
      <c r="BD2" t="s">
        <v>316</v>
      </c>
      <c r="BE2" t="s">
        <v>122</v>
      </c>
      <c r="BF2" t="s">
        <v>639</v>
      </c>
      <c r="BG2" t="s">
        <v>592</v>
      </c>
      <c r="BH2" t="s">
        <v>661</v>
      </c>
      <c r="BI2" t="s">
        <v>210</v>
      </c>
      <c r="BJ2" t="s">
        <v>232</v>
      </c>
      <c r="BK2" t="s">
        <v>456</v>
      </c>
      <c r="BL2" t="s">
        <v>110</v>
      </c>
      <c r="BM2" t="s">
        <v>177</v>
      </c>
      <c r="BN2" t="s">
        <v>338</v>
      </c>
      <c r="BO2" t="s">
        <v>382</v>
      </c>
      <c r="BP2" t="s">
        <v>155</v>
      </c>
      <c r="BQ2" t="s">
        <v>147</v>
      </c>
      <c r="BR2" t="s">
        <v>393</v>
      </c>
      <c r="BS2" t="s">
        <v>628</v>
      </c>
      <c r="BT2" t="s">
        <v>188</v>
      </c>
      <c r="BU2" t="s">
        <v>650</v>
      </c>
      <c r="BV2" t="s">
        <v>166</v>
      </c>
      <c r="BW2" t="s">
        <v>445</v>
      </c>
      <c r="BX2" t="s">
        <v>349</v>
      </c>
      <c r="BY2" t="s">
        <v>581</v>
      </c>
      <c r="BZ2" t="s">
        <v>415</v>
      </c>
      <c r="CA2" t="s">
        <v>563</v>
      </c>
      <c r="CB2" t="s">
        <v>136</v>
      </c>
      <c r="CC2" t="s">
        <v>202</v>
      </c>
      <c r="CD2" t="s">
        <v>404</v>
      </c>
      <c r="CE2" s="1" t="s">
        <v>224</v>
      </c>
      <c r="CF2" t="s">
        <v>125</v>
      </c>
      <c r="CG2" t="s">
        <v>640</v>
      </c>
      <c r="CH2" t="s">
        <v>595</v>
      </c>
      <c r="CI2" t="s">
        <v>662</v>
      </c>
      <c r="CJ2" t="s">
        <v>213</v>
      </c>
      <c r="CK2" t="s">
        <v>235</v>
      </c>
      <c r="CL2" t="s">
        <v>459</v>
      </c>
      <c r="CM2" t="s">
        <v>114</v>
      </c>
      <c r="CN2" t="s">
        <v>180</v>
      </c>
      <c r="CO2" t="s">
        <v>339</v>
      </c>
      <c r="CP2" t="s">
        <v>158</v>
      </c>
      <c r="CQ2" t="s">
        <v>148</v>
      </c>
      <c r="CR2" t="s">
        <v>191</v>
      </c>
      <c r="CS2" t="s">
        <v>169</v>
      </c>
      <c r="CT2" t="s">
        <v>448</v>
      </c>
      <c r="CU2" t="s">
        <v>416</v>
      </c>
      <c r="CV2" t="s">
        <v>137</v>
      </c>
      <c r="CW2" t="s">
        <v>203</v>
      </c>
      <c r="CX2" t="s">
        <v>405</v>
      </c>
      <c r="CY2" t="s">
        <v>225</v>
      </c>
      <c r="CZ2" t="s">
        <v>126</v>
      </c>
      <c r="DA2" t="s">
        <v>596</v>
      </c>
      <c r="DB2" t="s">
        <v>214</v>
      </c>
      <c r="DC2" t="s">
        <v>236</v>
      </c>
      <c r="DD2" t="s">
        <v>460</v>
      </c>
      <c r="DE2" t="s">
        <v>181</v>
      </c>
      <c r="DF2" t="s">
        <v>159</v>
      </c>
      <c r="DG2" t="s">
        <v>449</v>
      </c>
      <c r="DH2" t="s">
        <v>417</v>
      </c>
      <c r="DI2" t="s">
        <v>597</v>
      </c>
      <c r="DV2" s="1"/>
      <c r="EB2" s="1"/>
    </row>
    <row r="3" spans="1:132" x14ac:dyDescent="0.2">
      <c r="A3" t="s">
        <v>437</v>
      </c>
      <c r="B3" t="s">
        <v>426</v>
      </c>
      <c r="C3" t="s">
        <v>69</v>
      </c>
      <c r="D3" t="s">
        <v>617</v>
      </c>
      <c r="E3" t="s">
        <v>606</v>
      </c>
      <c r="F3" t="s">
        <v>80</v>
      </c>
      <c r="G3" t="s">
        <v>481</v>
      </c>
      <c r="H3" t="s">
        <v>496</v>
      </c>
      <c r="I3" t="s">
        <v>102</v>
      </c>
      <c r="J3" t="s">
        <v>529</v>
      </c>
      <c r="K3" t="s">
        <v>551</v>
      </c>
      <c r="L3" t="s">
        <v>584</v>
      </c>
      <c r="M3" t="s">
        <v>272</v>
      </c>
      <c r="N3" t="s">
        <v>507</v>
      </c>
      <c r="O3" t="s">
        <v>327</v>
      </c>
      <c r="P3" t="s">
        <v>284</v>
      </c>
      <c r="Q3" t="s">
        <v>306</v>
      </c>
      <c r="R3" t="s">
        <v>361</v>
      </c>
      <c r="S3" t="s">
        <v>372</v>
      </c>
      <c r="T3" s="1" t="s">
        <v>92</v>
      </c>
      <c r="U3" t="s">
        <v>574</v>
      </c>
      <c r="V3" t="s">
        <v>519</v>
      </c>
      <c r="W3" t="s">
        <v>541</v>
      </c>
      <c r="X3" t="s">
        <v>471</v>
      </c>
      <c r="Y3" t="s">
        <v>383</v>
      </c>
      <c r="Z3" t="s">
        <v>247</v>
      </c>
      <c r="AA3" t="s">
        <v>295</v>
      </c>
      <c r="AB3" t="s">
        <v>482</v>
      </c>
      <c r="AC3" t="s">
        <v>629</v>
      </c>
      <c r="AD3" t="s">
        <v>651</v>
      </c>
      <c r="AE3" t="s">
        <v>258</v>
      </c>
      <c r="AF3" t="s">
        <v>103</v>
      </c>
      <c r="AG3" t="s">
        <v>530</v>
      </c>
      <c r="AH3" t="s">
        <v>350</v>
      </c>
      <c r="AI3" t="s">
        <v>394</v>
      </c>
      <c r="AJ3" t="s">
        <v>552</v>
      </c>
      <c r="AK3" t="s">
        <v>585</v>
      </c>
      <c r="AL3" t="s">
        <v>273</v>
      </c>
      <c r="AM3" t="s">
        <v>115</v>
      </c>
      <c r="AN3" t="s">
        <v>317</v>
      </c>
      <c r="AO3" t="s">
        <v>328</v>
      </c>
      <c r="AP3" t="s">
        <v>641</v>
      </c>
      <c r="AQ3" t="s">
        <v>285</v>
      </c>
      <c r="AR3" t="s">
        <v>663</v>
      </c>
      <c r="AS3" t="s">
        <v>307</v>
      </c>
      <c r="AT3" t="s">
        <v>362</v>
      </c>
      <c r="AU3" t="s">
        <v>340</v>
      </c>
      <c r="AV3" t="s">
        <v>406</v>
      </c>
      <c r="AW3" t="s">
        <v>373</v>
      </c>
      <c r="AX3" t="s">
        <v>575</v>
      </c>
      <c r="AY3" t="s">
        <v>149</v>
      </c>
      <c r="AZ3" t="s">
        <v>192</v>
      </c>
      <c r="BA3" t="s">
        <v>461</v>
      </c>
      <c r="BB3" t="s">
        <v>170</v>
      </c>
      <c r="BC3" t="s">
        <v>248</v>
      </c>
      <c r="BD3" t="s">
        <v>296</v>
      </c>
      <c r="BE3" t="s">
        <v>138</v>
      </c>
      <c r="BF3" t="s">
        <v>630</v>
      </c>
      <c r="BG3" t="s">
        <v>564</v>
      </c>
      <c r="BH3" t="s">
        <v>652</v>
      </c>
      <c r="BI3" t="s">
        <v>204</v>
      </c>
      <c r="BJ3" t="s">
        <v>226</v>
      </c>
      <c r="BK3" t="s">
        <v>450</v>
      </c>
      <c r="BL3" t="s">
        <v>127</v>
      </c>
      <c r="BM3" t="s">
        <v>215</v>
      </c>
      <c r="BN3" t="s">
        <v>351</v>
      </c>
      <c r="BO3" t="s">
        <v>395</v>
      </c>
      <c r="BP3" t="s">
        <v>237</v>
      </c>
      <c r="BQ3" t="s">
        <v>116</v>
      </c>
      <c r="BR3" t="s">
        <v>318</v>
      </c>
      <c r="BS3" t="s">
        <v>642</v>
      </c>
      <c r="BT3" t="s">
        <v>182</v>
      </c>
      <c r="BU3" t="s">
        <v>664</v>
      </c>
      <c r="BV3" t="s">
        <v>160</v>
      </c>
      <c r="BW3" t="s">
        <v>418</v>
      </c>
      <c r="BX3" t="s">
        <v>341</v>
      </c>
      <c r="BY3" t="s">
        <v>598</v>
      </c>
      <c r="BZ3" t="s">
        <v>407</v>
      </c>
      <c r="CA3" t="s">
        <v>576</v>
      </c>
      <c r="CB3" t="s">
        <v>150</v>
      </c>
      <c r="CC3" t="s">
        <v>193</v>
      </c>
      <c r="CD3" t="s">
        <v>462</v>
      </c>
      <c r="CE3" t="s">
        <v>171</v>
      </c>
      <c r="CF3" t="s">
        <v>139</v>
      </c>
      <c r="CG3" t="s">
        <v>631</v>
      </c>
      <c r="CH3" t="s">
        <v>565</v>
      </c>
      <c r="CI3" t="s">
        <v>653</v>
      </c>
      <c r="CJ3" t="s">
        <v>205</v>
      </c>
      <c r="CK3" t="s">
        <v>227</v>
      </c>
      <c r="CL3" t="s">
        <v>451</v>
      </c>
      <c r="CM3" t="s">
        <v>128</v>
      </c>
      <c r="CN3" t="s">
        <v>216</v>
      </c>
      <c r="CO3" t="s">
        <v>352</v>
      </c>
      <c r="CP3" t="s">
        <v>238</v>
      </c>
      <c r="CQ3" t="s">
        <v>117</v>
      </c>
      <c r="CR3" t="s">
        <v>183</v>
      </c>
      <c r="CS3" t="s">
        <v>161</v>
      </c>
      <c r="CT3" t="s">
        <v>419</v>
      </c>
      <c r="CU3" t="s">
        <v>408</v>
      </c>
      <c r="CV3" t="s">
        <v>151</v>
      </c>
      <c r="CW3" t="s">
        <v>194</v>
      </c>
      <c r="CX3" t="s">
        <v>463</v>
      </c>
      <c r="CY3" t="s">
        <v>172</v>
      </c>
      <c r="CZ3" t="s">
        <v>140</v>
      </c>
      <c r="DA3" t="s">
        <v>566</v>
      </c>
      <c r="DB3" t="s">
        <v>206</v>
      </c>
      <c r="DC3" t="s">
        <v>228</v>
      </c>
      <c r="DD3" t="s">
        <v>452</v>
      </c>
      <c r="DE3" t="s">
        <v>217</v>
      </c>
      <c r="DF3" t="s">
        <v>239</v>
      </c>
      <c r="DG3" t="s">
        <v>420</v>
      </c>
      <c r="DH3" t="s">
        <v>409</v>
      </c>
      <c r="DI3" t="s">
        <v>567</v>
      </c>
    </row>
    <row r="4" spans="1:132" x14ac:dyDescent="0.2">
      <c r="A4" t="s">
        <v>427</v>
      </c>
      <c r="B4" t="s">
        <v>438</v>
      </c>
      <c r="C4" t="s">
        <v>81</v>
      </c>
      <c r="D4" t="s">
        <v>607</v>
      </c>
      <c r="E4" t="s">
        <v>618</v>
      </c>
      <c r="F4" t="s">
        <v>70</v>
      </c>
      <c r="G4" t="s">
        <v>497</v>
      </c>
      <c r="H4" t="s">
        <v>508</v>
      </c>
      <c r="I4" t="s">
        <v>93</v>
      </c>
      <c r="J4" t="s">
        <v>520</v>
      </c>
      <c r="K4" t="s">
        <v>542</v>
      </c>
      <c r="L4" t="s">
        <v>599</v>
      </c>
      <c r="M4" t="s">
        <v>259</v>
      </c>
      <c r="N4" t="s">
        <v>472</v>
      </c>
      <c r="O4" t="s">
        <v>384</v>
      </c>
      <c r="P4" t="s">
        <v>274</v>
      </c>
      <c r="Q4" t="s">
        <v>329</v>
      </c>
      <c r="R4" t="s">
        <v>374</v>
      </c>
      <c r="S4" t="s">
        <v>363</v>
      </c>
      <c r="T4" t="s">
        <v>104</v>
      </c>
      <c r="U4" t="s">
        <v>586</v>
      </c>
      <c r="V4" t="s">
        <v>531</v>
      </c>
      <c r="W4" t="s">
        <v>553</v>
      </c>
      <c r="X4" t="s">
        <v>483</v>
      </c>
      <c r="Y4" t="s">
        <v>396</v>
      </c>
      <c r="Z4" t="s">
        <v>286</v>
      </c>
      <c r="AA4" t="s">
        <v>308</v>
      </c>
      <c r="AB4" t="s">
        <v>498</v>
      </c>
      <c r="AC4" t="s">
        <v>643</v>
      </c>
      <c r="AD4" t="s">
        <v>665</v>
      </c>
      <c r="AE4" t="s">
        <v>249</v>
      </c>
      <c r="AF4" t="s">
        <v>94</v>
      </c>
      <c r="AG4" t="s">
        <v>521</v>
      </c>
      <c r="AH4" t="s">
        <v>342</v>
      </c>
      <c r="AI4" t="s">
        <v>319</v>
      </c>
      <c r="AJ4" t="s">
        <v>543</v>
      </c>
      <c r="AK4" t="s">
        <v>600</v>
      </c>
      <c r="AL4" t="s">
        <v>260</v>
      </c>
      <c r="AM4" t="s">
        <v>129</v>
      </c>
      <c r="AN4" t="s">
        <v>297</v>
      </c>
      <c r="AO4" t="s">
        <v>385</v>
      </c>
      <c r="AP4" t="s">
        <v>632</v>
      </c>
      <c r="AQ4" t="s">
        <v>275</v>
      </c>
      <c r="AR4" t="s">
        <v>654</v>
      </c>
      <c r="AS4" t="s">
        <v>330</v>
      </c>
      <c r="AT4" t="s">
        <v>375</v>
      </c>
      <c r="AU4" t="s">
        <v>353</v>
      </c>
      <c r="AV4" t="s">
        <v>464</v>
      </c>
      <c r="AW4" t="s">
        <v>364</v>
      </c>
      <c r="AX4" t="s">
        <v>587</v>
      </c>
      <c r="AY4" t="s">
        <v>118</v>
      </c>
      <c r="AZ4" t="s">
        <v>184</v>
      </c>
      <c r="BA4" t="s">
        <v>453</v>
      </c>
      <c r="BB4" t="s">
        <v>162</v>
      </c>
      <c r="BC4" t="s">
        <v>287</v>
      </c>
      <c r="BD4" t="s">
        <v>309</v>
      </c>
      <c r="BE4" t="s">
        <v>152</v>
      </c>
      <c r="BF4" t="s">
        <v>644</v>
      </c>
      <c r="BG4" t="s">
        <v>577</v>
      </c>
      <c r="BH4" t="s">
        <v>666</v>
      </c>
      <c r="BI4" t="s">
        <v>195</v>
      </c>
      <c r="BJ4" t="s">
        <v>173</v>
      </c>
      <c r="BK4" t="s">
        <v>421</v>
      </c>
      <c r="BL4" t="s">
        <v>141</v>
      </c>
      <c r="BM4" t="s">
        <v>207</v>
      </c>
      <c r="BN4" t="s">
        <v>343</v>
      </c>
      <c r="BO4" t="s">
        <v>320</v>
      </c>
      <c r="BP4" t="s">
        <v>229</v>
      </c>
      <c r="BQ4" t="s">
        <v>130</v>
      </c>
      <c r="BR4" t="s">
        <v>298</v>
      </c>
      <c r="BS4" t="s">
        <v>633</v>
      </c>
      <c r="BT4" t="s">
        <v>218</v>
      </c>
      <c r="BU4" t="s">
        <v>655</v>
      </c>
      <c r="BV4" t="s">
        <v>240</v>
      </c>
      <c r="BW4" t="s">
        <v>410</v>
      </c>
      <c r="BX4" t="s">
        <v>354</v>
      </c>
      <c r="BY4" t="s">
        <v>568</v>
      </c>
      <c r="BZ4" t="s">
        <v>465</v>
      </c>
      <c r="CA4" t="s">
        <v>588</v>
      </c>
      <c r="CB4" t="s">
        <v>119</v>
      </c>
      <c r="CC4" t="s">
        <v>185</v>
      </c>
      <c r="CD4" t="s">
        <v>454</v>
      </c>
      <c r="CE4" t="s">
        <v>163</v>
      </c>
      <c r="CF4" t="s">
        <v>153</v>
      </c>
      <c r="CG4" t="s">
        <v>645</v>
      </c>
      <c r="CH4" t="s">
        <v>578</v>
      </c>
      <c r="CI4" t="s">
        <v>667</v>
      </c>
      <c r="CJ4" t="s">
        <v>196</v>
      </c>
      <c r="CK4" t="s">
        <v>174</v>
      </c>
      <c r="CL4" t="s">
        <v>422</v>
      </c>
      <c r="CM4" t="s">
        <v>142</v>
      </c>
      <c r="CN4" t="s">
        <v>208</v>
      </c>
      <c r="CO4" t="s">
        <v>344</v>
      </c>
      <c r="CP4" t="s">
        <v>230</v>
      </c>
      <c r="CQ4" t="s">
        <v>131</v>
      </c>
      <c r="CR4" t="s">
        <v>219</v>
      </c>
      <c r="CS4" t="s">
        <v>241</v>
      </c>
      <c r="CT4" t="s">
        <v>411</v>
      </c>
      <c r="CU4" t="s">
        <v>466</v>
      </c>
      <c r="CV4" t="s">
        <v>120</v>
      </c>
      <c r="CW4" t="s">
        <v>186</v>
      </c>
      <c r="CX4" t="s">
        <v>455</v>
      </c>
      <c r="CY4" t="s">
        <v>164</v>
      </c>
      <c r="CZ4" t="s">
        <v>154</v>
      </c>
      <c r="DA4" t="s">
        <v>579</v>
      </c>
      <c r="DB4" t="s">
        <v>197</v>
      </c>
      <c r="DC4" t="s">
        <v>175</v>
      </c>
      <c r="DD4" t="s">
        <v>414</v>
      </c>
      <c r="DE4" t="s">
        <v>209</v>
      </c>
      <c r="DF4" t="s">
        <v>231</v>
      </c>
      <c r="DG4" t="s">
        <v>403</v>
      </c>
      <c r="DH4" t="s">
        <v>458</v>
      </c>
      <c r="DI4" t="s">
        <v>580</v>
      </c>
    </row>
    <row r="5" spans="1:132" x14ac:dyDescent="0.2">
      <c r="A5" t="s">
        <v>439</v>
      </c>
      <c r="B5" t="s">
        <v>428</v>
      </c>
      <c r="C5" t="s">
        <v>71</v>
      </c>
      <c r="D5" t="s">
        <v>619</v>
      </c>
      <c r="E5" t="s">
        <v>608</v>
      </c>
      <c r="F5" t="s">
        <v>82</v>
      </c>
      <c r="G5" t="s">
        <v>509</v>
      </c>
      <c r="H5" t="s">
        <v>473</v>
      </c>
      <c r="I5" t="s">
        <v>105</v>
      </c>
      <c r="J5" t="s">
        <v>532</v>
      </c>
      <c r="K5" t="s">
        <v>554</v>
      </c>
      <c r="L5" t="s">
        <v>569</v>
      </c>
      <c r="M5" t="s">
        <v>250</v>
      </c>
      <c r="N5" t="s">
        <v>484</v>
      </c>
      <c r="O5" t="s">
        <v>397</v>
      </c>
      <c r="P5" t="s">
        <v>261</v>
      </c>
      <c r="Q5" t="s">
        <v>386</v>
      </c>
      <c r="R5" t="s">
        <v>365</v>
      </c>
      <c r="S5" t="s">
        <v>376</v>
      </c>
      <c r="T5" t="s">
        <v>95</v>
      </c>
      <c r="U5" t="s">
        <v>601</v>
      </c>
      <c r="V5" t="s">
        <v>522</v>
      </c>
      <c r="W5" t="s">
        <v>544</v>
      </c>
      <c r="X5" t="s">
        <v>499</v>
      </c>
      <c r="Y5" t="s">
        <v>321</v>
      </c>
      <c r="Z5" t="s">
        <v>276</v>
      </c>
      <c r="AA5" t="s">
        <v>331</v>
      </c>
      <c r="AB5" t="s">
        <v>510</v>
      </c>
      <c r="AC5" t="s">
        <v>634</v>
      </c>
      <c r="AD5" t="s">
        <v>656</v>
      </c>
      <c r="AE5" t="s">
        <v>288</v>
      </c>
      <c r="AF5" t="s">
        <v>106</v>
      </c>
      <c r="AG5" t="s">
        <v>533</v>
      </c>
      <c r="AH5" t="s">
        <v>355</v>
      </c>
      <c r="AI5" t="s">
        <v>299</v>
      </c>
      <c r="AJ5" t="s">
        <v>555</v>
      </c>
      <c r="AK5" t="s">
        <v>561</v>
      </c>
      <c r="AL5" t="s">
        <v>251</v>
      </c>
      <c r="AM5" t="s">
        <v>143</v>
      </c>
      <c r="AN5" t="s">
        <v>310</v>
      </c>
      <c r="AO5" t="s">
        <v>398</v>
      </c>
      <c r="AP5" t="s">
        <v>646</v>
      </c>
      <c r="AQ5" t="s">
        <v>262</v>
      </c>
      <c r="AR5" t="s">
        <v>668</v>
      </c>
      <c r="AS5" t="s">
        <v>387</v>
      </c>
      <c r="AT5" t="s">
        <v>366</v>
      </c>
      <c r="AU5" t="s">
        <v>345</v>
      </c>
      <c r="AV5" t="s">
        <v>447</v>
      </c>
      <c r="AW5" t="s">
        <v>377</v>
      </c>
      <c r="AX5" t="s">
        <v>602</v>
      </c>
      <c r="AY5" t="s">
        <v>132</v>
      </c>
      <c r="AZ5" t="s">
        <v>220</v>
      </c>
      <c r="BA5" t="s">
        <v>2166</v>
      </c>
      <c r="BB5" t="s">
        <v>242</v>
      </c>
      <c r="BC5" t="s">
        <v>277</v>
      </c>
      <c r="BD5" t="s">
        <v>332</v>
      </c>
      <c r="BE5" t="s">
        <v>121</v>
      </c>
      <c r="BF5" t="s">
        <v>635</v>
      </c>
      <c r="BG5" t="s">
        <v>589</v>
      </c>
      <c r="BH5" t="s">
        <v>657</v>
      </c>
      <c r="BI5" t="s">
        <v>187</v>
      </c>
      <c r="BJ5" t="s">
        <v>165</v>
      </c>
      <c r="BK5" t="s">
        <v>2166</v>
      </c>
      <c r="BL5" t="s">
        <v>146</v>
      </c>
      <c r="BM5" t="s">
        <v>198</v>
      </c>
      <c r="BN5" t="s">
        <v>356</v>
      </c>
      <c r="BO5" t="s">
        <v>300</v>
      </c>
      <c r="BP5" t="s">
        <v>176</v>
      </c>
      <c r="BQ5" t="s">
        <v>135</v>
      </c>
      <c r="BR5" t="s">
        <v>311</v>
      </c>
      <c r="BS5" t="s">
        <v>638</v>
      </c>
      <c r="BT5" t="s">
        <v>201</v>
      </c>
      <c r="BU5" t="s">
        <v>660</v>
      </c>
      <c r="BV5" t="s">
        <v>223</v>
      </c>
      <c r="BW5" t="s">
        <v>2166</v>
      </c>
      <c r="BX5" t="s">
        <v>337</v>
      </c>
      <c r="BY5" t="s">
        <v>572</v>
      </c>
      <c r="BZ5" t="s">
        <v>2166</v>
      </c>
      <c r="CA5" t="s">
        <v>594</v>
      </c>
      <c r="CB5" t="s">
        <v>124</v>
      </c>
      <c r="CC5" t="s">
        <v>212</v>
      </c>
      <c r="CD5" t="s">
        <v>2166</v>
      </c>
      <c r="CE5" t="s">
        <v>234</v>
      </c>
      <c r="CF5" t="s">
        <v>113</v>
      </c>
      <c r="CG5" t="s">
        <v>627</v>
      </c>
      <c r="CH5" t="s">
        <v>590</v>
      </c>
      <c r="CI5" t="s">
        <v>649</v>
      </c>
      <c r="CJ5" t="s">
        <v>179</v>
      </c>
      <c r="CK5" t="s">
        <v>157</v>
      </c>
      <c r="CL5" t="s">
        <v>2166</v>
      </c>
      <c r="CM5" t="s">
        <v>2166</v>
      </c>
      <c r="CN5" t="s">
        <v>190</v>
      </c>
      <c r="CO5" t="s">
        <v>348</v>
      </c>
      <c r="CP5" t="s">
        <v>168</v>
      </c>
      <c r="CQ5" t="s">
        <v>2166</v>
      </c>
      <c r="CR5" t="s">
        <v>2166</v>
      </c>
      <c r="CS5" t="s">
        <v>2166</v>
      </c>
      <c r="CT5" t="s">
        <v>2166</v>
      </c>
      <c r="CU5" t="s">
        <v>2166</v>
      </c>
      <c r="CV5" t="s">
        <v>2166</v>
      </c>
      <c r="CW5" t="s">
        <v>2166</v>
      </c>
      <c r="CX5" t="s">
        <v>2166</v>
      </c>
      <c r="CY5" t="s">
        <v>2166</v>
      </c>
      <c r="CZ5" t="s">
        <v>2166</v>
      </c>
      <c r="DA5" t="s">
        <v>591</v>
      </c>
      <c r="DB5" t="s">
        <v>2166</v>
      </c>
      <c r="DC5" t="s">
        <v>2166</v>
      </c>
      <c r="DD5" t="s">
        <v>2166</v>
      </c>
      <c r="DE5" t="s">
        <v>2166</v>
      </c>
      <c r="DF5" t="s">
        <v>2166</v>
      </c>
      <c r="DG5" t="s">
        <v>2166</v>
      </c>
      <c r="DH5" t="s">
        <v>2166</v>
      </c>
      <c r="DI5" t="s">
        <v>583</v>
      </c>
    </row>
    <row r="6" spans="1:132" x14ac:dyDescent="0.2">
      <c r="A6" t="s">
        <v>429</v>
      </c>
      <c r="B6" t="s">
        <v>440</v>
      </c>
      <c r="C6" t="s">
        <v>83</v>
      </c>
      <c r="D6" t="s">
        <v>609</v>
      </c>
      <c r="E6" t="s">
        <v>620</v>
      </c>
      <c r="F6" t="s">
        <v>72</v>
      </c>
      <c r="G6" t="s">
        <v>474</v>
      </c>
      <c r="H6" t="s">
        <v>485</v>
      </c>
      <c r="I6" t="s">
        <v>96</v>
      </c>
      <c r="J6" t="s">
        <v>523</v>
      </c>
      <c r="K6" t="s">
        <v>545</v>
      </c>
      <c r="L6" t="s">
        <v>2166</v>
      </c>
      <c r="M6" t="s">
        <v>289</v>
      </c>
      <c r="N6" t="s">
        <v>500</v>
      </c>
      <c r="O6" t="s">
        <v>322</v>
      </c>
      <c r="P6" t="s">
        <v>252</v>
      </c>
      <c r="Q6" t="s">
        <v>399</v>
      </c>
      <c r="R6" t="s">
        <v>378</v>
      </c>
      <c r="S6" t="s">
        <v>367</v>
      </c>
      <c r="T6" t="s">
        <v>107</v>
      </c>
      <c r="U6" t="s">
        <v>2166</v>
      </c>
      <c r="V6" t="s">
        <v>534</v>
      </c>
      <c r="W6" t="s">
        <v>556</v>
      </c>
      <c r="X6" t="s">
        <v>511</v>
      </c>
      <c r="Y6" t="s">
        <v>301</v>
      </c>
      <c r="Z6" t="s">
        <v>263</v>
      </c>
      <c r="AA6" t="s">
        <v>388</v>
      </c>
      <c r="AB6" t="s">
        <v>475</v>
      </c>
      <c r="AC6" t="s">
        <v>2166</v>
      </c>
      <c r="AD6" t="s">
        <v>2166</v>
      </c>
      <c r="AE6" t="s">
        <v>278</v>
      </c>
      <c r="AF6" t="s">
        <v>97</v>
      </c>
      <c r="AG6" t="s">
        <v>524</v>
      </c>
      <c r="AH6" t="s">
        <v>2166</v>
      </c>
      <c r="AI6" t="s">
        <v>312</v>
      </c>
      <c r="AJ6" t="s">
        <v>546</v>
      </c>
      <c r="AK6" t="s">
        <v>2166</v>
      </c>
      <c r="AL6" t="s">
        <v>290</v>
      </c>
      <c r="AM6" t="s">
        <v>2166</v>
      </c>
      <c r="AN6" t="s">
        <v>333</v>
      </c>
      <c r="AO6" t="s">
        <v>323</v>
      </c>
      <c r="AP6" t="s">
        <v>2166</v>
      </c>
      <c r="AQ6" t="s">
        <v>253</v>
      </c>
      <c r="AR6" t="s">
        <v>2166</v>
      </c>
      <c r="AS6" t="s">
        <v>400</v>
      </c>
      <c r="AT6" t="s">
        <v>370</v>
      </c>
      <c r="AU6" t="s">
        <v>2166</v>
      </c>
      <c r="AV6" t="s">
        <v>2166</v>
      </c>
      <c r="AW6" t="s">
        <v>359</v>
      </c>
      <c r="AX6" t="s">
        <v>2166</v>
      </c>
      <c r="AY6" t="s">
        <v>2166</v>
      </c>
      <c r="AZ6" t="s">
        <v>2166</v>
      </c>
      <c r="BA6" t="s">
        <v>2166</v>
      </c>
      <c r="BB6" t="s">
        <v>2166</v>
      </c>
      <c r="BC6" t="s">
        <v>264</v>
      </c>
      <c r="BD6" t="s">
        <v>389</v>
      </c>
      <c r="BE6" t="s">
        <v>2166</v>
      </c>
      <c r="BF6" t="s">
        <v>2166</v>
      </c>
      <c r="BG6" t="s">
        <v>2166</v>
      </c>
      <c r="BH6" t="s">
        <v>2166</v>
      </c>
      <c r="BI6" t="s">
        <v>2166</v>
      </c>
      <c r="BJ6" t="s">
        <v>2166</v>
      </c>
      <c r="BK6" t="s">
        <v>2166</v>
      </c>
      <c r="BL6" t="s">
        <v>2166</v>
      </c>
      <c r="BM6" t="s">
        <v>2166</v>
      </c>
      <c r="BN6" t="s">
        <v>2166</v>
      </c>
      <c r="BO6" t="s">
        <v>304</v>
      </c>
      <c r="BP6" t="s">
        <v>2166</v>
      </c>
      <c r="BQ6" t="s">
        <v>2166</v>
      </c>
      <c r="BR6" t="s">
        <v>334</v>
      </c>
      <c r="BS6" t="s">
        <v>2166</v>
      </c>
      <c r="BT6" t="s">
        <v>2166</v>
      </c>
      <c r="BU6" t="s">
        <v>2166</v>
      </c>
      <c r="BV6" t="s">
        <v>2166</v>
      </c>
      <c r="BW6" t="s">
        <v>2166</v>
      </c>
      <c r="BX6" t="s">
        <v>2166</v>
      </c>
      <c r="BY6" t="s">
        <v>2166</v>
      </c>
      <c r="BZ6" t="s">
        <v>2166</v>
      </c>
      <c r="CA6" t="s">
        <v>2166</v>
      </c>
      <c r="CB6" t="s">
        <v>2166</v>
      </c>
      <c r="CC6" t="s">
        <v>2166</v>
      </c>
      <c r="CD6" t="s">
        <v>2166</v>
      </c>
      <c r="CE6" t="s">
        <v>2166</v>
      </c>
      <c r="CF6" t="s">
        <v>2166</v>
      </c>
      <c r="CG6" t="s">
        <v>2166</v>
      </c>
      <c r="CH6" t="s">
        <v>2166</v>
      </c>
      <c r="CI6" t="s">
        <v>2166</v>
      </c>
      <c r="CJ6" t="s">
        <v>2166</v>
      </c>
      <c r="CK6" t="s">
        <v>2166</v>
      </c>
      <c r="CL6" t="s">
        <v>2166</v>
      </c>
      <c r="CM6" t="s">
        <v>2166</v>
      </c>
      <c r="CN6" t="s">
        <v>2166</v>
      </c>
      <c r="CO6" t="s">
        <v>2166</v>
      </c>
      <c r="CP6" t="s">
        <v>2166</v>
      </c>
      <c r="CQ6" t="s">
        <v>2166</v>
      </c>
      <c r="CR6" t="s">
        <v>2166</v>
      </c>
      <c r="CS6" t="s">
        <v>2166</v>
      </c>
      <c r="CT6" t="s">
        <v>2166</v>
      </c>
      <c r="CU6" t="s">
        <v>2166</v>
      </c>
      <c r="CV6" t="s">
        <v>2166</v>
      </c>
      <c r="CW6" t="s">
        <v>2166</v>
      </c>
      <c r="CX6" t="s">
        <v>2166</v>
      </c>
      <c r="CY6" t="s">
        <v>2166</v>
      </c>
      <c r="CZ6" t="s">
        <v>2166</v>
      </c>
      <c r="DA6" t="s">
        <v>2166</v>
      </c>
      <c r="DB6" t="s">
        <v>2166</v>
      </c>
      <c r="DC6" t="s">
        <v>2166</v>
      </c>
      <c r="DD6" t="s">
        <v>2166</v>
      </c>
      <c r="DE6" t="s">
        <v>2166</v>
      </c>
      <c r="DF6" t="s">
        <v>2166</v>
      </c>
      <c r="DG6" t="s">
        <v>2166</v>
      </c>
      <c r="DH6" t="s">
        <v>2166</v>
      </c>
      <c r="DI6" t="s">
        <v>2166</v>
      </c>
    </row>
    <row r="7" spans="1:132" x14ac:dyDescent="0.2">
      <c r="A7" t="s">
        <v>441</v>
      </c>
      <c r="B7" t="s">
        <v>430</v>
      </c>
      <c r="C7" t="s">
        <v>73</v>
      </c>
      <c r="D7" t="s">
        <v>621</v>
      </c>
      <c r="E7" t="s">
        <v>610</v>
      </c>
      <c r="F7" t="s">
        <v>84</v>
      </c>
      <c r="G7" t="s">
        <v>486</v>
      </c>
      <c r="H7" t="s">
        <v>501</v>
      </c>
      <c r="I7" t="s">
        <v>108</v>
      </c>
      <c r="J7" t="s">
        <v>535</v>
      </c>
      <c r="K7" t="s">
        <v>557</v>
      </c>
      <c r="L7" t="s">
        <v>2166</v>
      </c>
      <c r="M7" t="s">
        <v>279</v>
      </c>
      <c r="N7" t="s">
        <v>512</v>
      </c>
      <c r="O7" t="s">
        <v>293</v>
      </c>
      <c r="P7" t="s">
        <v>282</v>
      </c>
      <c r="Q7" t="s">
        <v>315</v>
      </c>
      <c r="R7" t="s">
        <v>2166</v>
      </c>
      <c r="S7" t="s">
        <v>2166</v>
      </c>
      <c r="T7" t="s">
        <v>98</v>
      </c>
      <c r="U7" t="s">
        <v>2166</v>
      </c>
      <c r="V7" t="s">
        <v>525</v>
      </c>
      <c r="W7" t="s">
        <v>547</v>
      </c>
      <c r="X7" t="s">
        <v>476</v>
      </c>
      <c r="Y7" t="s">
        <v>2166</v>
      </c>
      <c r="Z7" t="s">
        <v>245</v>
      </c>
      <c r="AA7" t="s">
        <v>392</v>
      </c>
      <c r="AB7" t="s">
        <v>487</v>
      </c>
      <c r="AC7" t="s">
        <v>2166</v>
      </c>
      <c r="AD7" t="s">
        <v>2166</v>
      </c>
      <c r="AE7" t="s">
        <v>256</v>
      </c>
      <c r="AF7" t="s">
        <v>109</v>
      </c>
      <c r="AG7" t="s">
        <v>536</v>
      </c>
      <c r="AH7" t="s">
        <v>2166</v>
      </c>
      <c r="AI7" t="s">
        <v>326</v>
      </c>
      <c r="AJ7" t="s">
        <v>558</v>
      </c>
      <c r="AK7" t="s">
        <v>2166</v>
      </c>
      <c r="AL7" t="s">
        <v>271</v>
      </c>
      <c r="AM7" t="s">
        <v>2166</v>
      </c>
      <c r="AN7" t="s">
        <v>381</v>
      </c>
      <c r="AO7" t="s">
        <v>2166</v>
      </c>
      <c r="AP7" t="s">
        <v>2166</v>
      </c>
      <c r="AQ7" t="s">
        <v>2166</v>
      </c>
      <c r="AR7" t="s">
        <v>2166</v>
      </c>
      <c r="AS7" t="s">
        <v>2166</v>
      </c>
      <c r="AT7" t="s">
        <v>2166</v>
      </c>
      <c r="AU7" t="s">
        <v>2166</v>
      </c>
      <c r="AV7" t="s">
        <v>2166</v>
      </c>
      <c r="AW7" t="s">
        <v>2166</v>
      </c>
      <c r="AX7" t="s">
        <v>2166</v>
      </c>
      <c r="AY7" t="s">
        <v>2166</v>
      </c>
      <c r="AZ7" t="s">
        <v>2166</v>
      </c>
      <c r="BA7" t="s">
        <v>2166</v>
      </c>
      <c r="BB7" t="s">
        <v>2166</v>
      </c>
      <c r="BC7" t="s">
        <v>2166</v>
      </c>
      <c r="BD7" t="s">
        <v>2166</v>
      </c>
      <c r="BE7" t="s">
        <v>2166</v>
      </c>
      <c r="BF7" t="s">
        <v>2166</v>
      </c>
      <c r="BG7" t="s">
        <v>2166</v>
      </c>
      <c r="BH7" t="s">
        <v>2166</v>
      </c>
      <c r="BI7" t="s">
        <v>2166</v>
      </c>
      <c r="BJ7" t="s">
        <v>2166</v>
      </c>
      <c r="BK7" t="s">
        <v>2166</v>
      </c>
      <c r="BL7" t="s">
        <v>2166</v>
      </c>
      <c r="BM7" t="s">
        <v>2166</v>
      </c>
      <c r="BN7" t="s">
        <v>2166</v>
      </c>
      <c r="BO7" t="s">
        <v>2166</v>
      </c>
      <c r="BP7" t="s">
        <v>2166</v>
      </c>
      <c r="BQ7" t="s">
        <v>2166</v>
      </c>
      <c r="BR7" t="s">
        <v>2166</v>
      </c>
      <c r="BS7" t="s">
        <v>2166</v>
      </c>
      <c r="BT7" t="s">
        <v>2166</v>
      </c>
      <c r="BU7" t="s">
        <v>2166</v>
      </c>
      <c r="BV7" t="s">
        <v>2166</v>
      </c>
      <c r="BW7" t="s">
        <v>2166</v>
      </c>
      <c r="BX7" t="s">
        <v>2166</v>
      </c>
      <c r="BY7" t="s">
        <v>2166</v>
      </c>
      <c r="BZ7" t="s">
        <v>2166</v>
      </c>
      <c r="CA7" t="s">
        <v>2166</v>
      </c>
      <c r="CB7" t="s">
        <v>2166</v>
      </c>
      <c r="CC7" t="s">
        <v>2166</v>
      </c>
      <c r="CD7" t="s">
        <v>2166</v>
      </c>
      <c r="CE7" t="s">
        <v>2166</v>
      </c>
      <c r="CF7" t="s">
        <v>2166</v>
      </c>
      <c r="CG7" t="s">
        <v>2166</v>
      </c>
      <c r="CH7" t="s">
        <v>2166</v>
      </c>
      <c r="CI7" t="s">
        <v>2166</v>
      </c>
      <c r="CJ7" t="s">
        <v>2166</v>
      </c>
      <c r="CK7" t="s">
        <v>2166</v>
      </c>
      <c r="CL7" t="s">
        <v>2166</v>
      </c>
      <c r="CM7" t="s">
        <v>2166</v>
      </c>
      <c r="CN7" t="s">
        <v>2166</v>
      </c>
      <c r="CO7" t="s">
        <v>2166</v>
      </c>
      <c r="CP7" t="s">
        <v>2166</v>
      </c>
      <c r="CQ7" t="s">
        <v>2166</v>
      </c>
      <c r="CR7" t="s">
        <v>2166</v>
      </c>
      <c r="CS7" t="s">
        <v>2166</v>
      </c>
      <c r="CT7" t="s">
        <v>2166</v>
      </c>
      <c r="CU7" t="s">
        <v>2166</v>
      </c>
      <c r="CV7" t="s">
        <v>2166</v>
      </c>
      <c r="CW7" t="s">
        <v>2166</v>
      </c>
      <c r="CX7" t="s">
        <v>2166</v>
      </c>
      <c r="CY7" t="s">
        <v>2166</v>
      </c>
      <c r="CZ7" t="s">
        <v>2166</v>
      </c>
      <c r="DA7" t="s">
        <v>2166</v>
      </c>
      <c r="DB7" t="s">
        <v>2166</v>
      </c>
      <c r="DC7" t="s">
        <v>2166</v>
      </c>
      <c r="DD7" t="s">
        <v>2166</v>
      </c>
      <c r="DE7" t="s">
        <v>2166</v>
      </c>
      <c r="DF7" t="s">
        <v>2166</v>
      </c>
      <c r="DG7" t="s">
        <v>2166</v>
      </c>
      <c r="DH7" t="s">
        <v>2166</v>
      </c>
      <c r="DI7" t="s">
        <v>2166</v>
      </c>
    </row>
    <row r="8" spans="1:132" x14ac:dyDescent="0.2">
      <c r="A8" t="s">
        <v>431</v>
      </c>
      <c r="B8" t="s">
        <v>442</v>
      </c>
      <c r="C8" t="s">
        <v>85</v>
      </c>
      <c r="D8" t="s">
        <v>611</v>
      </c>
      <c r="E8" t="s">
        <v>622</v>
      </c>
      <c r="F8" t="s">
        <v>74</v>
      </c>
      <c r="G8" t="s">
        <v>502</v>
      </c>
      <c r="H8" t="s">
        <v>513</v>
      </c>
      <c r="I8" t="s">
        <v>90</v>
      </c>
      <c r="J8" t="s">
        <v>517</v>
      </c>
      <c r="K8" t="s">
        <v>539</v>
      </c>
      <c r="L8" t="s">
        <v>2166</v>
      </c>
      <c r="M8" t="s">
        <v>2166</v>
      </c>
      <c r="N8" t="s">
        <v>477</v>
      </c>
      <c r="O8" t="s">
        <v>2166</v>
      </c>
      <c r="P8" t="s">
        <v>2166</v>
      </c>
      <c r="Q8" t="s">
        <v>2166</v>
      </c>
      <c r="R8" t="s">
        <v>2166</v>
      </c>
      <c r="S8" t="s">
        <v>2166</v>
      </c>
      <c r="T8" t="s">
        <v>101</v>
      </c>
      <c r="U8" t="s">
        <v>2166</v>
      </c>
      <c r="V8" t="s">
        <v>528</v>
      </c>
      <c r="W8" t="s">
        <v>550</v>
      </c>
      <c r="X8" t="s">
        <v>488</v>
      </c>
      <c r="Y8" t="s">
        <v>2166</v>
      </c>
      <c r="Z8" t="s">
        <v>2166</v>
      </c>
      <c r="AA8" t="s">
        <v>2166</v>
      </c>
      <c r="AB8" t="s">
        <v>503</v>
      </c>
      <c r="AC8" t="s">
        <v>2166</v>
      </c>
      <c r="AD8" t="s">
        <v>2166</v>
      </c>
      <c r="AE8" t="s">
        <v>2166</v>
      </c>
      <c r="AF8" t="s">
        <v>2166</v>
      </c>
      <c r="AG8" t="s">
        <v>2166</v>
      </c>
      <c r="AH8" t="s">
        <v>2166</v>
      </c>
      <c r="AI8" t="s">
        <v>2166</v>
      </c>
      <c r="AJ8" t="s">
        <v>2166</v>
      </c>
      <c r="AK8" t="s">
        <v>2166</v>
      </c>
      <c r="AL8" t="s">
        <v>2166</v>
      </c>
      <c r="AM8" t="s">
        <v>2166</v>
      </c>
      <c r="AN8" t="s">
        <v>2166</v>
      </c>
      <c r="AO8" t="s">
        <v>2166</v>
      </c>
      <c r="AP8" t="s">
        <v>2166</v>
      </c>
      <c r="AQ8" t="s">
        <v>2166</v>
      </c>
      <c r="AR8" t="s">
        <v>2166</v>
      </c>
      <c r="AS8" t="s">
        <v>2166</v>
      </c>
      <c r="AT8" t="s">
        <v>2166</v>
      </c>
      <c r="AU8" t="s">
        <v>2166</v>
      </c>
      <c r="AV8" t="s">
        <v>2166</v>
      </c>
      <c r="AW8" t="s">
        <v>2166</v>
      </c>
      <c r="AX8" t="s">
        <v>2166</v>
      </c>
      <c r="AY8" t="s">
        <v>2166</v>
      </c>
      <c r="AZ8" t="s">
        <v>2166</v>
      </c>
      <c r="BA8" t="s">
        <v>2166</v>
      </c>
      <c r="BB8" t="s">
        <v>2166</v>
      </c>
      <c r="BC8" t="s">
        <v>2166</v>
      </c>
      <c r="BD8" t="s">
        <v>2166</v>
      </c>
      <c r="BE8" t="s">
        <v>2166</v>
      </c>
      <c r="BF8" t="s">
        <v>2166</v>
      </c>
      <c r="BG8" t="s">
        <v>2166</v>
      </c>
      <c r="BH8" t="s">
        <v>2166</v>
      </c>
      <c r="BI8" t="s">
        <v>2166</v>
      </c>
      <c r="BJ8" t="s">
        <v>2166</v>
      </c>
      <c r="BK8" t="s">
        <v>2166</v>
      </c>
      <c r="BL8" t="s">
        <v>2166</v>
      </c>
      <c r="BM8" t="s">
        <v>2166</v>
      </c>
      <c r="BN8" t="s">
        <v>2166</v>
      </c>
      <c r="BO8" t="s">
        <v>2166</v>
      </c>
      <c r="BP8" t="s">
        <v>2166</v>
      </c>
      <c r="BQ8" t="s">
        <v>2166</v>
      </c>
      <c r="BR8" t="s">
        <v>2166</v>
      </c>
      <c r="BS8" t="s">
        <v>2166</v>
      </c>
      <c r="BT8" t="s">
        <v>2166</v>
      </c>
      <c r="BU8" t="s">
        <v>2166</v>
      </c>
      <c r="BV8" t="s">
        <v>2166</v>
      </c>
      <c r="BW8" t="s">
        <v>2166</v>
      </c>
      <c r="BX8" t="s">
        <v>2166</v>
      </c>
      <c r="BY8" t="s">
        <v>2166</v>
      </c>
      <c r="BZ8" t="s">
        <v>2166</v>
      </c>
      <c r="CA8" t="s">
        <v>2166</v>
      </c>
      <c r="CB8" t="s">
        <v>2166</v>
      </c>
      <c r="CC8" t="s">
        <v>2166</v>
      </c>
      <c r="CD8" t="s">
        <v>2166</v>
      </c>
      <c r="CE8" t="s">
        <v>2166</v>
      </c>
      <c r="CF8" t="s">
        <v>2166</v>
      </c>
      <c r="CG8" t="s">
        <v>2166</v>
      </c>
      <c r="CH8" t="s">
        <v>2166</v>
      </c>
      <c r="CI8" t="s">
        <v>2166</v>
      </c>
      <c r="CJ8" t="s">
        <v>2166</v>
      </c>
      <c r="CK8" t="s">
        <v>2166</v>
      </c>
      <c r="CL8" t="s">
        <v>2166</v>
      </c>
      <c r="CM8" t="s">
        <v>2166</v>
      </c>
      <c r="CN8" t="s">
        <v>2166</v>
      </c>
      <c r="CO8" t="s">
        <v>2166</v>
      </c>
      <c r="CP8" t="s">
        <v>2166</v>
      </c>
      <c r="CQ8" t="s">
        <v>2166</v>
      </c>
      <c r="CR8" t="s">
        <v>2166</v>
      </c>
      <c r="CS8" t="s">
        <v>2166</v>
      </c>
      <c r="CT8" t="s">
        <v>2166</v>
      </c>
      <c r="CU8" t="s">
        <v>2166</v>
      </c>
      <c r="CV8" t="s">
        <v>2166</v>
      </c>
      <c r="CW8" t="s">
        <v>2166</v>
      </c>
      <c r="CX8" t="s">
        <v>2166</v>
      </c>
      <c r="CY8" t="s">
        <v>2166</v>
      </c>
      <c r="CZ8" t="s">
        <v>2166</v>
      </c>
      <c r="DA8" t="s">
        <v>2166</v>
      </c>
      <c r="DB8" t="s">
        <v>2166</v>
      </c>
      <c r="DC8" t="s">
        <v>2166</v>
      </c>
      <c r="DD8" t="s">
        <v>2166</v>
      </c>
      <c r="DE8" t="s">
        <v>2166</v>
      </c>
      <c r="DF8" t="s">
        <v>2166</v>
      </c>
      <c r="DG8" t="s">
        <v>2166</v>
      </c>
      <c r="DH8" t="s">
        <v>2166</v>
      </c>
      <c r="DI8" t="s">
        <v>2166</v>
      </c>
    </row>
    <row r="9" spans="1:132" x14ac:dyDescent="0.2">
      <c r="A9" t="s">
        <v>443</v>
      </c>
      <c r="B9" t="s">
        <v>432</v>
      </c>
      <c r="C9" t="s">
        <v>75</v>
      </c>
      <c r="D9" t="s">
        <v>623</v>
      </c>
      <c r="E9" t="s">
        <v>612</v>
      </c>
      <c r="F9" t="s">
        <v>86</v>
      </c>
      <c r="G9" t="s">
        <v>514</v>
      </c>
      <c r="H9" t="s">
        <v>469</v>
      </c>
      <c r="I9" t="s">
        <v>2166</v>
      </c>
      <c r="J9" t="s">
        <v>2166</v>
      </c>
      <c r="K9" t="s">
        <v>2166</v>
      </c>
      <c r="L9" t="s">
        <v>2166</v>
      </c>
      <c r="M9" t="s">
        <v>2166</v>
      </c>
      <c r="N9" t="s">
        <v>480</v>
      </c>
      <c r="O9" t="s">
        <v>2166</v>
      </c>
      <c r="P9" t="s">
        <v>2166</v>
      </c>
      <c r="Q9" t="s">
        <v>2166</v>
      </c>
      <c r="R9" t="s">
        <v>2166</v>
      </c>
      <c r="S9" t="s">
        <v>2166</v>
      </c>
      <c r="T9" t="s">
        <v>2166</v>
      </c>
      <c r="U9" t="s">
        <v>2166</v>
      </c>
      <c r="V9" t="s">
        <v>2166</v>
      </c>
      <c r="W9" t="s">
        <v>2166</v>
      </c>
      <c r="X9" t="s">
        <v>495</v>
      </c>
      <c r="Y9" t="s">
        <v>2166</v>
      </c>
      <c r="Z9" t="s">
        <v>2166</v>
      </c>
      <c r="AA9" t="s">
        <v>2166</v>
      </c>
      <c r="AB9" t="s">
        <v>506</v>
      </c>
      <c r="AC9" t="s">
        <v>2166</v>
      </c>
      <c r="AD9" t="s">
        <v>2166</v>
      </c>
      <c r="AE9" t="s">
        <v>2166</v>
      </c>
      <c r="AF9" t="s">
        <v>2166</v>
      </c>
      <c r="AG9" t="s">
        <v>2166</v>
      </c>
      <c r="AH9" t="s">
        <v>2166</v>
      </c>
      <c r="AI9" t="s">
        <v>2166</v>
      </c>
      <c r="AJ9" t="s">
        <v>2166</v>
      </c>
      <c r="AK9" t="s">
        <v>2166</v>
      </c>
      <c r="AL9" t="s">
        <v>2166</v>
      </c>
      <c r="AM9" t="s">
        <v>2166</v>
      </c>
      <c r="AN9" t="s">
        <v>2166</v>
      </c>
      <c r="AO9" t="s">
        <v>2166</v>
      </c>
      <c r="AP9" t="s">
        <v>2166</v>
      </c>
      <c r="AQ9" t="s">
        <v>2166</v>
      </c>
      <c r="AR9" t="s">
        <v>2166</v>
      </c>
      <c r="AS9" t="s">
        <v>2166</v>
      </c>
      <c r="AT9" t="s">
        <v>2166</v>
      </c>
      <c r="AU9" t="s">
        <v>2166</v>
      </c>
      <c r="AV9" t="s">
        <v>2166</v>
      </c>
      <c r="AW9" t="s">
        <v>2166</v>
      </c>
      <c r="AX9" t="s">
        <v>2166</v>
      </c>
      <c r="AY9" t="s">
        <v>2166</v>
      </c>
      <c r="AZ9" t="s">
        <v>2166</v>
      </c>
      <c r="BA9" t="s">
        <v>2166</v>
      </c>
      <c r="BB9" t="s">
        <v>2166</v>
      </c>
      <c r="BC9" t="s">
        <v>2166</v>
      </c>
      <c r="BD9" t="s">
        <v>2166</v>
      </c>
      <c r="BE9" t="s">
        <v>2166</v>
      </c>
      <c r="BF9" t="s">
        <v>2166</v>
      </c>
      <c r="BG9" t="s">
        <v>2166</v>
      </c>
      <c r="BH9" t="s">
        <v>2166</v>
      </c>
      <c r="BI9" t="s">
        <v>2166</v>
      </c>
      <c r="BJ9" t="s">
        <v>2166</v>
      </c>
      <c r="BK9" t="s">
        <v>2166</v>
      </c>
      <c r="BL9" t="s">
        <v>2166</v>
      </c>
      <c r="BM9" t="s">
        <v>2166</v>
      </c>
      <c r="BN9" t="s">
        <v>2166</v>
      </c>
      <c r="BO9" t="s">
        <v>2166</v>
      </c>
      <c r="BP9" t="s">
        <v>2166</v>
      </c>
      <c r="BQ9" t="s">
        <v>2166</v>
      </c>
      <c r="BR9" t="s">
        <v>2166</v>
      </c>
      <c r="BS9" t="s">
        <v>2166</v>
      </c>
      <c r="BT9" t="s">
        <v>2166</v>
      </c>
      <c r="BU9" t="s">
        <v>2166</v>
      </c>
      <c r="BV9" t="s">
        <v>2166</v>
      </c>
      <c r="BW9" t="s">
        <v>2166</v>
      </c>
      <c r="BX9" t="s">
        <v>2166</v>
      </c>
      <c r="BY9" t="s">
        <v>2166</v>
      </c>
      <c r="BZ9" t="s">
        <v>2166</v>
      </c>
      <c r="CA9" t="s">
        <v>2166</v>
      </c>
      <c r="CB9" t="s">
        <v>2166</v>
      </c>
      <c r="CC9" t="s">
        <v>2166</v>
      </c>
      <c r="CD9" t="s">
        <v>2166</v>
      </c>
      <c r="CE9" t="s">
        <v>2166</v>
      </c>
      <c r="CF9" t="s">
        <v>2166</v>
      </c>
      <c r="CG9" t="s">
        <v>2166</v>
      </c>
      <c r="CH9" t="s">
        <v>2166</v>
      </c>
      <c r="CI9" t="s">
        <v>2166</v>
      </c>
      <c r="CJ9" t="s">
        <v>2166</v>
      </c>
      <c r="CK9" t="s">
        <v>2166</v>
      </c>
      <c r="CL9" t="s">
        <v>2166</v>
      </c>
      <c r="CM9" t="s">
        <v>2166</v>
      </c>
      <c r="CN9" t="s">
        <v>2166</v>
      </c>
      <c r="CO9" t="s">
        <v>2166</v>
      </c>
      <c r="CP9" t="s">
        <v>2166</v>
      </c>
      <c r="CQ9" t="s">
        <v>2166</v>
      </c>
      <c r="CR9" t="s">
        <v>2166</v>
      </c>
      <c r="CS9" t="s">
        <v>2166</v>
      </c>
      <c r="CT9" t="s">
        <v>2166</v>
      </c>
      <c r="CU9" t="s">
        <v>2166</v>
      </c>
      <c r="CV9" t="s">
        <v>2166</v>
      </c>
      <c r="CW9" t="s">
        <v>2166</v>
      </c>
      <c r="CX9" t="s">
        <v>2166</v>
      </c>
      <c r="CY9" t="s">
        <v>2166</v>
      </c>
      <c r="CZ9" t="s">
        <v>2166</v>
      </c>
      <c r="DA9" t="s">
        <v>2166</v>
      </c>
      <c r="DB9" t="s">
        <v>2166</v>
      </c>
      <c r="DC9" t="s">
        <v>2166</v>
      </c>
      <c r="DD9" t="s">
        <v>2166</v>
      </c>
      <c r="DE9" t="s">
        <v>2166</v>
      </c>
      <c r="DF9" t="s">
        <v>2166</v>
      </c>
      <c r="DG9" t="s">
        <v>2166</v>
      </c>
      <c r="DH9" t="s">
        <v>2166</v>
      </c>
      <c r="DI9" t="s">
        <v>2166</v>
      </c>
    </row>
    <row r="10" spans="1:132" x14ac:dyDescent="0.2">
      <c r="A10" t="s">
        <v>433</v>
      </c>
      <c r="B10" t="s">
        <v>444</v>
      </c>
      <c r="C10" t="s">
        <v>87</v>
      </c>
      <c r="D10" t="s">
        <v>613</v>
      </c>
      <c r="E10" t="s">
        <v>624</v>
      </c>
      <c r="F10" t="s">
        <v>76</v>
      </c>
      <c r="G10" t="s">
        <v>2166</v>
      </c>
      <c r="H10" t="s">
        <v>2166</v>
      </c>
      <c r="I10" t="s">
        <v>2166</v>
      </c>
      <c r="J10" t="s">
        <v>2166</v>
      </c>
      <c r="K10" t="s">
        <v>2166</v>
      </c>
      <c r="L10" t="s">
        <v>2166</v>
      </c>
      <c r="M10" t="s">
        <v>2166</v>
      </c>
      <c r="N10" t="s">
        <v>2166</v>
      </c>
      <c r="O10" t="s">
        <v>2166</v>
      </c>
      <c r="P10" t="s">
        <v>2166</v>
      </c>
      <c r="Q10" t="s">
        <v>2166</v>
      </c>
      <c r="R10" t="s">
        <v>2166</v>
      </c>
      <c r="S10" t="s">
        <v>2166</v>
      </c>
      <c r="T10" t="s">
        <v>2166</v>
      </c>
      <c r="U10" t="s">
        <v>2166</v>
      </c>
      <c r="V10" t="s">
        <v>2166</v>
      </c>
      <c r="W10" t="s">
        <v>2166</v>
      </c>
      <c r="X10" t="s">
        <v>2166</v>
      </c>
      <c r="Y10" t="s">
        <v>2166</v>
      </c>
      <c r="Z10" t="s">
        <v>2166</v>
      </c>
      <c r="AA10" t="s">
        <v>2166</v>
      </c>
      <c r="AB10" t="s">
        <v>2166</v>
      </c>
      <c r="AC10" t="s">
        <v>2166</v>
      </c>
      <c r="AD10" t="s">
        <v>2166</v>
      </c>
      <c r="AE10" t="s">
        <v>2166</v>
      </c>
      <c r="AF10" t="s">
        <v>2166</v>
      </c>
      <c r="AG10" t="s">
        <v>2166</v>
      </c>
      <c r="AH10" t="s">
        <v>2166</v>
      </c>
      <c r="AI10" t="s">
        <v>2166</v>
      </c>
      <c r="AJ10" t="s">
        <v>2166</v>
      </c>
      <c r="AK10" t="s">
        <v>2166</v>
      </c>
      <c r="AL10" t="s">
        <v>2166</v>
      </c>
      <c r="AM10" t="s">
        <v>2166</v>
      </c>
      <c r="AN10" t="s">
        <v>2166</v>
      </c>
      <c r="AO10" t="s">
        <v>2166</v>
      </c>
      <c r="AP10" t="s">
        <v>2166</v>
      </c>
      <c r="AQ10" t="s">
        <v>2166</v>
      </c>
      <c r="AR10" t="s">
        <v>2166</v>
      </c>
      <c r="AS10" t="s">
        <v>2166</v>
      </c>
      <c r="AT10" t="s">
        <v>2166</v>
      </c>
      <c r="AU10" t="s">
        <v>2166</v>
      </c>
      <c r="AV10" t="s">
        <v>2166</v>
      </c>
      <c r="AW10" t="s">
        <v>2166</v>
      </c>
      <c r="AX10" t="s">
        <v>2166</v>
      </c>
      <c r="AY10" t="s">
        <v>2166</v>
      </c>
      <c r="AZ10" t="s">
        <v>2166</v>
      </c>
      <c r="BA10" t="s">
        <v>2166</v>
      </c>
      <c r="BB10" t="s">
        <v>2166</v>
      </c>
      <c r="BC10" t="s">
        <v>2166</v>
      </c>
      <c r="BD10" t="s">
        <v>2166</v>
      </c>
      <c r="BE10" t="s">
        <v>2166</v>
      </c>
      <c r="BF10" t="s">
        <v>2166</v>
      </c>
      <c r="BG10" t="s">
        <v>2166</v>
      </c>
      <c r="BH10" t="s">
        <v>2166</v>
      </c>
      <c r="BI10" t="s">
        <v>2166</v>
      </c>
      <c r="BJ10" t="s">
        <v>2166</v>
      </c>
      <c r="BK10" t="s">
        <v>2166</v>
      </c>
      <c r="BL10" t="s">
        <v>2166</v>
      </c>
      <c r="BM10" t="s">
        <v>2166</v>
      </c>
      <c r="BN10" t="s">
        <v>2166</v>
      </c>
      <c r="BO10" t="s">
        <v>2166</v>
      </c>
      <c r="BP10" t="s">
        <v>2166</v>
      </c>
      <c r="BQ10" t="s">
        <v>2166</v>
      </c>
      <c r="BR10" t="s">
        <v>2166</v>
      </c>
      <c r="BS10" t="s">
        <v>2166</v>
      </c>
      <c r="BT10" t="s">
        <v>2166</v>
      </c>
      <c r="BU10" t="s">
        <v>2166</v>
      </c>
      <c r="BV10" t="s">
        <v>2166</v>
      </c>
      <c r="BW10" t="s">
        <v>2166</v>
      </c>
      <c r="BX10" t="s">
        <v>2166</v>
      </c>
      <c r="BY10" t="s">
        <v>2166</v>
      </c>
      <c r="BZ10" t="s">
        <v>2166</v>
      </c>
      <c r="CA10" t="s">
        <v>2166</v>
      </c>
      <c r="CB10" t="s">
        <v>2166</v>
      </c>
      <c r="CC10" t="s">
        <v>2166</v>
      </c>
      <c r="CD10" t="s">
        <v>2166</v>
      </c>
      <c r="CE10" t="s">
        <v>2166</v>
      </c>
      <c r="CF10" t="s">
        <v>2166</v>
      </c>
      <c r="CG10" t="s">
        <v>2166</v>
      </c>
      <c r="CH10" t="s">
        <v>2166</v>
      </c>
      <c r="CI10" t="s">
        <v>2166</v>
      </c>
      <c r="CJ10" t="s">
        <v>2166</v>
      </c>
      <c r="CK10" t="s">
        <v>2166</v>
      </c>
      <c r="CL10" t="s">
        <v>2166</v>
      </c>
      <c r="CM10" t="s">
        <v>2166</v>
      </c>
      <c r="CN10" t="s">
        <v>2166</v>
      </c>
      <c r="CO10" t="s">
        <v>2166</v>
      </c>
      <c r="CP10" t="s">
        <v>2166</v>
      </c>
      <c r="CQ10" t="s">
        <v>2166</v>
      </c>
      <c r="CR10" t="s">
        <v>2166</v>
      </c>
      <c r="CS10" t="s">
        <v>2166</v>
      </c>
      <c r="CT10" t="s">
        <v>2166</v>
      </c>
      <c r="CU10" t="s">
        <v>2166</v>
      </c>
      <c r="CV10" t="s">
        <v>2166</v>
      </c>
      <c r="CW10" t="s">
        <v>2166</v>
      </c>
      <c r="CX10" t="s">
        <v>2166</v>
      </c>
      <c r="CY10" t="s">
        <v>2166</v>
      </c>
      <c r="CZ10" t="s">
        <v>2166</v>
      </c>
      <c r="DA10" t="s">
        <v>2166</v>
      </c>
      <c r="DB10" t="s">
        <v>2166</v>
      </c>
      <c r="DC10" t="s">
        <v>2166</v>
      </c>
      <c r="DD10" t="s">
        <v>2166</v>
      </c>
      <c r="DE10" t="s">
        <v>2166</v>
      </c>
      <c r="DF10" t="s">
        <v>2166</v>
      </c>
      <c r="DG10" t="s">
        <v>2166</v>
      </c>
      <c r="DH10" t="s">
        <v>2166</v>
      </c>
      <c r="DI10" t="s">
        <v>2166</v>
      </c>
    </row>
    <row r="11" spans="1:132" x14ac:dyDescent="0.2">
      <c r="A11" s="1" t="s">
        <v>436</v>
      </c>
      <c r="B11" t="s">
        <v>425</v>
      </c>
      <c r="C11" s="1" t="s">
        <v>68</v>
      </c>
      <c r="D11" t="s">
        <v>616</v>
      </c>
      <c r="E11" t="s">
        <v>605</v>
      </c>
      <c r="F11" s="1" t="s">
        <v>79</v>
      </c>
      <c r="G11" t="s">
        <v>2166</v>
      </c>
      <c r="H11" t="s">
        <v>2166</v>
      </c>
      <c r="I11" t="s">
        <v>2166</v>
      </c>
      <c r="J11" t="s">
        <v>2166</v>
      </c>
      <c r="K11" t="s">
        <v>2166</v>
      </c>
      <c r="L11" t="s">
        <v>2166</v>
      </c>
      <c r="M11" t="s">
        <v>2166</v>
      </c>
      <c r="N11" t="s">
        <v>2166</v>
      </c>
      <c r="O11" t="s">
        <v>2166</v>
      </c>
      <c r="P11" t="s">
        <v>2166</v>
      </c>
      <c r="Q11" t="s">
        <v>2166</v>
      </c>
      <c r="R11" t="s">
        <v>2166</v>
      </c>
      <c r="S11" t="s">
        <v>2166</v>
      </c>
      <c r="T11" t="s">
        <v>2166</v>
      </c>
      <c r="U11" t="s">
        <v>2166</v>
      </c>
      <c r="V11" t="s">
        <v>2166</v>
      </c>
      <c r="W11" t="s">
        <v>2166</v>
      </c>
      <c r="X11" t="s">
        <v>2166</v>
      </c>
      <c r="Y11" t="s">
        <v>2166</v>
      </c>
      <c r="Z11" t="s">
        <v>2166</v>
      </c>
      <c r="AA11" t="s">
        <v>2166</v>
      </c>
      <c r="AB11" t="s">
        <v>2166</v>
      </c>
      <c r="AC11" t="s">
        <v>2166</v>
      </c>
      <c r="AD11" t="s">
        <v>2166</v>
      </c>
      <c r="AE11" t="s">
        <v>2166</v>
      </c>
      <c r="AF11" t="s">
        <v>2166</v>
      </c>
      <c r="AG11" t="s">
        <v>2166</v>
      </c>
      <c r="AH11" t="s">
        <v>2166</v>
      </c>
      <c r="AI11" t="s">
        <v>2166</v>
      </c>
      <c r="AJ11" t="s">
        <v>2166</v>
      </c>
      <c r="AK11" t="s">
        <v>2166</v>
      </c>
      <c r="AL11" t="s">
        <v>2166</v>
      </c>
      <c r="AM11" t="s">
        <v>2166</v>
      </c>
      <c r="AN11" t="s">
        <v>2166</v>
      </c>
      <c r="AO11" t="s">
        <v>2166</v>
      </c>
      <c r="AP11" t="s">
        <v>2166</v>
      </c>
      <c r="AQ11" t="s">
        <v>2166</v>
      </c>
      <c r="AR11" t="s">
        <v>2166</v>
      </c>
      <c r="AS11" t="s">
        <v>2166</v>
      </c>
      <c r="AT11" t="s">
        <v>2166</v>
      </c>
      <c r="AU11" t="s">
        <v>2166</v>
      </c>
      <c r="AV11" t="s">
        <v>2166</v>
      </c>
      <c r="AW11" t="s">
        <v>2166</v>
      </c>
      <c r="AX11" t="s">
        <v>2166</v>
      </c>
      <c r="AY11" t="s">
        <v>2166</v>
      </c>
      <c r="AZ11" t="s">
        <v>2166</v>
      </c>
      <c r="BA11" t="s">
        <v>2166</v>
      </c>
      <c r="BB11" t="s">
        <v>2166</v>
      </c>
      <c r="BC11" t="s">
        <v>2166</v>
      </c>
      <c r="BD11" t="s">
        <v>2166</v>
      </c>
      <c r="BE11" t="s">
        <v>2166</v>
      </c>
      <c r="BF11" t="s">
        <v>2166</v>
      </c>
      <c r="BG11" t="s">
        <v>2166</v>
      </c>
      <c r="BH11" t="s">
        <v>2166</v>
      </c>
      <c r="BI11" t="s">
        <v>2166</v>
      </c>
      <c r="BJ11" t="s">
        <v>2166</v>
      </c>
      <c r="BK11" t="s">
        <v>2166</v>
      </c>
      <c r="BL11" t="s">
        <v>2166</v>
      </c>
      <c r="BM11" t="s">
        <v>2166</v>
      </c>
      <c r="BN11" t="s">
        <v>2166</v>
      </c>
      <c r="BO11" t="s">
        <v>2166</v>
      </c>
      <c r="BP11" t="s">
        <v>2166</v>
      </c>
      <c r="BQ11" t="s">
        <v>2166</v>
      </c>
      <c r="BR11" t="s">
        <v>2166</v>
      </c>
      <c r="BS11" t="s">
        <v>2166</v>
      </c>
      <c r="BT11" t="s">
        <v>2166</v>
      </c>
      <c r="BU11" t="s">
        <v>2166</v>
      </c>
      <c r="BV11" t="s">
        <v>2166</v>
      </c>
      <c r="BW11" t="s">
        <v>2166</v>
      </c>
      <c r="BX11" t="s">
        <v>2166</v>
      </c>
      <c r="BY11" t="s">
        <v>2166</v>
      </c>
      <c r="BZ11" t="s">
        <v>2166</v>
      </c>
      <c r="CA11" t="s">
        <v>2166</v>
      </c>
      <c r="CB11" t="s">
        <v>2166</v>
      </c>
      <c r="CC11" t="s">
        <v>2166</v>
      </c>
      <c r="CD11" t="s">
        <v>2166</v>
      </c>
      <c r="CE11" t="s">
        <v>2166</v>
      </c>
      <c r="CF11" t="s">
        <v>2166</v>
      </c>
      <c r="CG11" t="s">
        <v>2166</v>
      </c>
      <c r="CH11" t="s">
        <v>2166</v>
      </c>
      <c r="CI11" t="s">
        <v>2166</v>
      </c>
      <c r="CJ11" t="s">
        <v>2166</v>
      </c>
      <c r="CK11" t="s">
        <v>2166</v>
      </c>
      <c r="CL11" t="s">
        <v>2166</v>
      </c>
      <c r="CM11" t="s">
        <v>2166</v>
      </c>
      <c r="CN11" t="s">
        <v>2166</v>
      </c>
      <c r="CO11" t="s">
        <v>2166</v>
      </c>
      <c r="CP11" t="s">
        <v>2166</v>
      </c>
      <c r="CQ11" t="s">
        <v>2166</v>
      </c>
      <c r="CR11" t="s">
        <v>2166</v>
      </c>
      <c r="CS11" t="s">
        <v>2166</v>
      </c>
      <c r="CT11" t="s">
        <v>2166</v>
      </c>
      <c r="CU11" t="s">
        <v>2166</v>
      </c>
      <c r="CV11" t="s">
        <v>2166</v>
      </c>
      <c r="CW11" t="s">
        <v>2166</v>
      </c>
      <c r="CX11" t="s">
        <v>2166</v>
      </c>
      <c r="CY11" t="s">
        <v>2166</v>
      </c>
      <c r="CZ11" t="s">
        <v>2166</v>
      </c>
      <c r="DA11" t="s">
        <v>2166</v>
      </c>
      <c r="DB11" t="s">
        <v>2166</v>
      </c>
      <c r="DC11" t="s">
        <v>2166</v>
      </c>
      <c r="DD11" t="s">
        <v>2166</v>
      </c>
      <c r="DE11" t="s">
        <v>2166</v>
      </c>
      <c r="DF11" t="s">
        <v>2166</v>
      </c>
      <c r="DG11" t="s">
        <v>2166</v>
      </c>
      <c r="DH11" t="s">
        <v>2166</v>
      </c>
      <c r="DI11" t="s">
        <v>2166</v>
      </c>
    </row>
    <row r="12" spans="1:132" x14ac:dyDescent="0.2">
      <c r="A12" t="s">
        <v>2166</v>
      </c>
      <c r="B12" t="s">
        <v>2166</v>
      </c>
      <c r="C12" t="s">
        <v>2166</v>
      </c>
      <c r="D12" t="s">
        <v>2166</v>
      </c>
      <c r="E12" t="s">
        <v>2166</v>
      </c>
      <c r="F12" t="s">
        <v>2166</v>
      </c>
      <c r="G12" t="s">
        <v>2166</v>
      </c>
      <c r="H12" t="s">
        <v>2166</v>
      </c>
      <c r="I12" t="s">
        <v>2166</v>
      </c>
      <c r="J12" t="s">
        <v>2166</v>
      </c>
      <c r="K12" t="s">
        <v>2166</v>
      </c>
      <c r="L12" t="s">
        <v>2166</v>
      </c>
      <c r="M12" t="s">
        <v>2166</v>
      </c>
      <c r="N12" t="s">
        <v>2166</v>
      </c>
      <c r="O12" t="s">
        <v>2166</v>
      </c>
      <c r="P12" t="s">
        <v>2166</v>
      </c>
      <c r="Q12" t="s">
        <v>2166</v>
      </c>
      <c r="R12" t="s">
        <v>2166</v>
      </c>
      <c r="S12" t="s">
        <v>2166</v>
      </c>
      <c r="T12" t="s">
        <v>2166</v>
      </c>
      <c r="U12" t="s">
        <v>2166</v>
      </c>
      <c r="V12" t="s">
        <v>2166</v>
      </c>
      <c r="W12" t="s">
        <v>2166</v>
      </c>
      <c r="X12" t="s">
        <v>2166</v>
      </c>
      <c r="Y12" t="s">
        <v>2166</v>
      </c>
      <c r="Z12" t="s">
        <v>2166</v>
      </c>
      <c r="AA12" t="s">
        <v>2166</v>
      </c>
      <c r="AB12" t="s">
        <v>2166</v>
      </c>
      <c r="AC12" t="s">
        <v>2166</v>
      </c>
      <c r="AD12" t="s">
        <v>2166</v>
      </c>
      <c r="AE12" t="s">
        <v>2166</v>
      </c>
      <c r="AF12" t="s">
        <v>2166</v>
      </c>
      <c r="AG12" t="s">
        <v>2166</v>
      </c>
      <c r="AH12" t="s">
        <v>2166</v>
      </c>
      <c r="AI12" t="s">
        <v>2166</v>
      </c>
      <c r="AJ12" t="s">
        <v>2166</v>
      </c>
      <c r="AK12" t="s">
        <v>2166</v>
      </c>
      <c r="AL12" t="s">
        <v>2166</v>
      </c>
      <c r="AM12" t="s">
        <v>2166</v>
      </c>
      <c r="AN12" t="s">
        <v>2166</v>
      </c>
      <c r="AO12" t="s">
        <v>2166</v>
      </c>
      <c r="AP12" t="s">
        <v>2166</v>
      </c>
      <c r="AQ12" t="s">
        <v>2166</v>
      </c>
      <c r="AR12" t="s">
        <v>2166</v>
      </c>
      <c r="AS12" t="s">
        <v>2166</v>
      </c>
      <c r="AT12" t="s">
        <v>2166</v>
      </c>
      <c r="AU12" t="s">
        <v>2166</v>
      </c>
      <c r="AV12" t="s">
        <v>2166</v>
      </c>
      <c r="AW12" t="s">
        <v>2166</v>
      </c>
      <c r="AX12" t="s">
        <v>2166</v>
      </c>
      <c r="AY12" t="s">
        <v>2166</v>
      </c>
      <c r="AZ12" t="s">
        <v>2166</v>
      </c>
      <c r="BA12" t="s">
        <v>2166</v>
      </c>
      <c r="BB12" t="s">
        <v>2166</v>
      </c>
      <c r="BC12" t="s">
        <v>2166</v>
      </c>
      <c r="BD12" t="s">
        <v>2166</v>
      </c>
      <c r="BE12" t="s">
        <v>2166</v>
      </c>
      <c r="BF12" t="s">
        <v>2166</v>
      </c>
      <c r="BG12" t="s">
        <v>2166</v>
      </c>
      <c r="BH12" t="s">
        <v>2166</v>
      </c>
      <c r="BI12" t="s">
        <v>2166</v>
      </c>
      <c r="BJ12" t="s">
        <v>2166</v>
      </c>
      <c r="BK12" t="s">
        <v>2166</v>
      </c>
      <c r="BL12" t="s">
        <v>2166</v>
      </c>
      <c r="BM12" t="s">
        <v>2166</v>
      </c>
      <c r="BN12" t="s">
        <v>2166</v>
      </c>
      <c r="BO12" t="s">
        <v>2166</v>
      </c>
      <c r="BP12" t="s">
        <v>2166</v>
      </c>
      <c r="BQ12" t="s">
        <v>2166</v>
      </c>
      <c r="BR12" t="s">
        <v>2166</v>
      </c>
      <c r="BS12" t="s">
        <v>2166</v>
      </c>
      <c r="BT12" t="s">
        <v>2166</v>
      </c>
      <c r="BU12" t="s">
        <v>2166</v>
      </c>
      <c r="BV12" t="s">
        <v>2166</v>
      </c>
      <c r="BW12" t="s">
        <v>2166</v>
      </c>
      <c r="BX12" t="s">
        <v>2166</v>
      </c>
      <c r="BY12" t="s">
        <v>2166</v>
      </c>
      <c r="BZ12" t="s">
        <v>2166</v>
      </c>
      <c r="CA12" t="s">
        <v>2166</v>
      </c>
      <c r="CB12" t="s">
        <v>2166</v>
      </c>
      <c r="CC12" t="s">
        <v>2166</v>
      </c>
      <c r="CD12" t="s">
        <v>2166</v>
      </c>
      <c r="CE12" t="s">
        <v>2166</v>
      </c>
      <c r="CF12" t="s">
        <v>2166</v>
      </c>
      <c r="CG12" t="s">
        <v>2166</v>
      </c>
      <c r="CH12" t="s">
        <v>2166</v>
      </c>
      <c r="CI12" t="s">
        <v>2166</v>
      </c>
      <c r="CJ12" t="s">
        <v>2166</v>
      </c>
      <c r="CK12" t="s">
        <v>2166</v>
      </c>
      <c r="CL12" t="s">
        <v>2166</v>
      </c>
      <c r="CM12" t="s">
        <v>2166</v>
      </c>
      <c r="CN12" t="s">
        <v>2166</v>
      </c>
      <c r="CO12" t="s">
        <v>2166</v>
      </c>
      <c r="CP12" t="s">
        <v>2166</v>
      </c>
      <c r="CQ12" t="s">
        <v>2166</v>
      </c>
      <c r="CR12" t="s">
        <v>2166</v>
      </c>
      <c r="CS12" t="s">
        <v>2166</v>
      </c>
      <c r="CT12" t="s">
        <v>2166</v>
      </c>
      <c r="CU12" t="s">
        <v>2166</v>
      </c>
      <c r="CV12" t="s">
        <v>2166</v>
      </c>
      <c r="CW12" t="s">
        <v>2166</v>
      </c>
      <c r="CX12" t="s">
        <v>2166</v>
      </c>
      <c r="CY12" t="s">
        <v>2166</v>
      </c>
      <c r="CZ12" t="s">
        <v>2166</v>
      </c>
      <c r="DA12" t="s">
        <v>2166</v>
      </c>
      <c r="DB12" t="s">
        <v>2166</v>
      </c>
      <c r="DC12" t="s">
        <v>2166</v>
      </c>
      <c r="DD12" t="s">
        <v>2166</v>
      </c>
      <c r="DE12" t="s">
        <v>2166</v>
      </c>
      <c r="DF12" t="s">
        <v>2166</v>
      </c>
      <c r="DG12" t="s">
        <v>2166</v>
      </c>
      <c r="DH12" t="s">
        <v>2166</v>
      </c>
      <c r="DI12" t="s">
        <v>2166</v>
      </c>
    </row>
    <row r="13" spans="1:132" x14ac:dyDescent="0.2">
      <c r="A13" t="s">
        <v>2166</v>
      </c>
      <c r="B13" t="s">
        <v>2166</v>
      </c>
      <c r="C13" t="s">
        <v>2166</v>
      </c>
      <c r="D13" t="s">
        <v>2166</v>
      </c>
      <c r="E13" t="s">
        <v>2166</v>
      </c>
      <c r="F13" t="s">
        <v>2166</v>
      </c>
      <c r="G13" t="s">
        <v>2166</v>
      </c>
      <c r="H13" t="s">
        <v>2166</v>
      </c>
      <c r="I13" t="s">
        <v>2166</v>
      </c>
      <c r="J13" t="s">
        <v>2166</v>
      </c>
      <c r="K13" t="s">
        <v>2166</v>
      </c>
      <c r="L13" t="s">
        <v>2166</v>
      </c>
      <c r="M13" t="s">
        <v>2166</v>
      </c>
      <c r="N13" t="s">
        <v>2166</v>
      </c>
      <c r="O13" t="s">
        <v>2166</v>
      </c>
      <c r="P13" t="s">
        <v>2166</v>
      </c>
      <c r="Q13" t="s">
        <v>2166</v>
      </c>
      <c r="R13" t="s">
        <v>2166</v>
      </c>
      <c r="S13" t="s">
        <v>2166</v>
      </c>
      <c r="T13" t="s">
        <v>2166</v>
      </c>
      <c r="U13" t="s">
        <v>2166</v>
      </c>
      <c r="V13" t="s">
        <v>2166</v>
      </c>
      <c r="W13" t="s">
        <v>2166</v>
      </c>
      <c r="X13" t="s">
        <v>2166</v>
      </c>
      <c r="Y13" t="s">
        <v>2166</v>
      </c>
      <c r="Z13" t="s">
        <v>2166</v>
      </c>
      <c r="AA13" t="s">
        <v>2166</v>
      </c>
      <c r="AB13" t="s">
        <v>2166</v>
      </c>
      <c r="AC13" t="s">
        <v>2166</v>
      </c>
      <c r="AD13" t="s">
        <v>2166</v>
      </c>
      <c r="AE13" t="s">
        <v>2166</v>
      </c>
      <c r="AF13" t="s">
        <v>2166</v>
      </c>
      <c r="AG13" t="s">
        <v>2166</v>
      </c>
      <c r="AH13" t="s">
        <v>2166</v>
      </c>
      <c r="AI13" t="s">
        <v>2166</v>
      </c>
      <c r="AJ13" t="s">
        <v>2166</v>
      </c>
      <c r="AK13" t="s">
        <v>2166</v>
      </c>
      <c r="AL13" t="s">
        <v>2166</v>
      </c>
      <c r="AM13" t="s">
        <v>2166</v>
      </c>
      <c r="AN13" t="s">
        <v>2166</v>
      </c>
      <c r="AO13" t="s">
        <v>2166</v>
      </c>
      <c r="AP13" t="s">
        <v>2166</v>
      </c>
      <c r="AQ13" t="s">
        <v>2166</v>
      </c>
      <c r="AR13" t="s">
        <v>2166</v>
      </c>
      <c r="AS13" t="s">
        <v>2166</v>
      </c>
      <c r="AT13" t="s">
        <v>2166</v>
      </c>
      <c r="AU13" t="s">
        <v>2166</v>
      </c>
      <c r="AV13" t="s">
        <v>2166</v>
      </c>
      <c r="AW13" t="s">
        <v>2166</v>
      </c>
      <c r="AX13" t="s">
        <v>2166</v>
      </c>
      <c r="AY13" t="s">
        <v>2166</v>
      </c>
      <c r="AZ13" t="s">
        <v>2166</v>
      </c>
      <c r="BA13" t="s">
        <v>2166</v>
      </c>
      <c r="BB13" t="s">
        <v>2166</v>
      </c>
      <c r="BC13" t="s">
        <v>2166</v>
      </c>
      <c r="BD13" t="s">
        <v>2166</v>
      </c>
      <c r="BE13" t="s">
        <v>2166</v>
      </c>
      <c r="BF13" t="s">
        <v>2166</v>
      </c>
      <c r="BG13" t="s">
        <v>2166</v>
      </c>
      <c r="BH13" t="s">
        <v>2166</v>
      </c>
      <c r="BI13" t="s">
        <v>2166</v>
      </c>
      <c r="BJ13" t="s">
        <v>2166</v>
      </c>
      <c r="BK13" t="s">
        <v>2166</v>
      </c>
      <c r="BL13" t="s">
        <v>2166</v>
      </c>
      <c r="BM13" t="s">
        <v>2166</v>
      </c>
      <c r="BN13" t="s">
        <v>2166</v>
      </c>
      <c r="BO13" t="s">
        <v>2166</v>
      </c>
      <c r="BP13" t="s">
        <v>2166</v>
      </c>
      <c r="BQ13" t="s">
        <v>2166</v>
      </c>
      <c r="BR13" t="s">
        <v>2166</v>
      </c>
      <c r="BS13" t="s">
        <v>2166</v>
      </c>
      <c r="BT13" t="s">
        <v>2166</v>
      </c>
      <c r="BU13" t="s">
        <v>2166</v>
      </c>
      <c r="BV13" t="s">
        <v>2166</v>
      </c>
      <c r="BW13" t="s">
        <v>2166</v>
      </c>
      <c r="BX13" t="s">
        <v>2166</v>
      </c>
      <c r="BY13" t="s">
        <v>2166</v>
      </c>
      <c r="BZ13" t="s">
        <v>2166</v>
      </c>
      <c r="CA13" t="s">
        <v>2166</v>
      </c>
      <c r="CB13" t="s">
        <v>2166</v>
      </c>
      <c r="CC13" t="s">
        <v>2166</v>
      </c>
      <c r="CD13" t="s">
        <v>2166</v>
      </c>
      <c r="CE13" t="s">
        <v>2166</v>
      </c>
      <c r="CF13" t="s">
        <v>2166</v>
      </c>
      <c r="CG13" t="s">
        <v>2166</v>
      </c>
      <c r="CH13" t="s">
        <v>2166</v>
      </c>
      <c r="CI13" t="s">
        <v>2166</v>
      </c>
      <c r="CJ13" t="s">
        <v>2166</v>
      </c>
      <c r="CK13" t="s">
        <v>2166</v>
      </c>
      <c r="CL13" t="s">
        <v>2166</v>
      </c>
      <c r="CM13" t="s">
        <v>2166</v>
      </c>
      <c r="CN13" t="s">
        <v>2166</v>
      </c>
      <c r="CO13" t="s">
        <v>2166</v>
      </c>
      <c r="CP13" t="s">
        <v>2166</v>
      </c>
      <c r="CQ13" t="s">
        <v>2166</v>
      </c>
      <c r="CR13" t="s">
        <v>2166</v>
      </c>
      <c r="CS13" t="s">
        <v>2166</v>
      </c>
      <c r="CT13" t="s">
        <v>2166</v>
      </c>
      <c r="CU13" t="s">
        <v>2166</v>
      </c>
      <c r="CV13" t="s">
        <v>2166</v>
      </c>
      <c r="CW13" t="s">
        <v>2166</v>
      </c>
      <c r="CX13" t="s">
        <v>2166</v>
      </c>
      <c r="CY13" t="s">
        <v>2166</v>
      </c>
      <c r="CZ13" t="s">
        <v>2166</v>
      </c>
      <c r="DA13" t="s">
        <v>2166</v>
      </c>
      <c r="DB13" t="s">
        <v>2166</v>
      </c>
      <c r="DC13" t="s">
        <v>2166</v>
      </c>
      <c r="DD13" t="s">
        <v>2166</v>
      </c>
      <c r="DE13" t="s">
        <v>2166</v>
      </c>
      <c r="DF13" t="s">
        <v>2166</v>
      </c>
      <c r="DG13" t="s">
        <v>2166</v>
      </c>
      <c r="DH13" t="s">
        <v>2166</v>
      </c>
      <c r="DI13" t="s">
        <v>2166</v>
      </c>
    </row>
    <row r="14" spans="1:132" x14ac:dyDescent="0.2">
      <c r="A14" t="s">
        <v>2166</v>
      </c>
      <c r="B14" t="s">
        <v>2166</v>
      </c>
      <c r="C14" t="s">
        <v>2166</v>
      </c>
      <c r="D14" t="s">
        <v>2166</v>
      </c>
      <c r="E14" t="s">
        <v>2166</v>
      </c>
      <c r="F14" t="s">
        <v>2166</v>
      </c>
      <c r="G14" t="s">
        <v>2166</v>
      </c>
      <c r="H14" t="s">
        <v>2166</v>
      </c>
      <c r="I14" t="s">
        <v>2166</v>
      </c>
      <c r="J14" t="s">
        <v>2166</v>
      </c>
      <c r="K14" t="s">
        <v>2166</v>
      </c>
      <c r="L14" t="s">
        <v>2166</v>
      </c>
      <c r="M14" t="s">
        <v>2166</v>
      </c>
      <c r="N14" t="s">
        <v>2166</v>
      </c>
      <c r="O14" t="s">
        <v>2166</v>
      </c>
      <c r="P14" t="s">
        <v>2166</v>
      </c>
      <c r="Q14" t="s">
        <v>2166</v>
      </c>
      <c r="R14" t="s">
        <v>2166</v>
      </c>
      <c r="S14" t="s">
        <v>2166</v>
      </c>
      <c r="T14" t="s">
        <v>2166</v>
      </c>
      <c r="U14" t="s">
        <v>2166</v>
      </c>
      <c r="V14" t="s">
        <v>2166</v>
      </c>
      <c r="W14" t="s">
        <v>2166</v>
      </c>
      <c r="X14" t="s">
        <v>2166</v>
      </c>
      <c r="Y14" t="s">
        <v>2166</v>
      </c>
      <c r="Z14" t="s">
        <v>2166</v>
      </c>
      <c r="AA14" t="s">
        <v>2166</v>
      </c>
      <c r="AB14" t="s">
        <v>2166</v>
      </c>
      <c r="AC14" t="s">
        <v>2166</v>
      </c>
      <c r="AD14" t="s">
        <v>2166</v>
      </c>
      <c r="AE14" t="s">
        <v>2166</v>
      </c>
      <c r="AF14" t="s">
        <v>2166</v>
      </c>
      <c r="AG14" t="s">
        <v>2166</v>
      </c>
      <c r="AH14" t="s">
        <v>2166</v>
      </c>
      <c r="AI14" t="s">
        <v>2166</v>
      </c>
      <c r="AJ14" t="s">
        <v>2166</v>
      </c>
      <c r="AK14" t="s">
        <v>2166</v>
      </c>
      <c r="AL14" t="s">
        <v>2166</v>
      </c>
      <c r="AM14" t="s">
        <v>2166</v>
      </c>
      <c r="AN14" t="s">
        <v>2166</v>
      </c>
      <c r="AO14" t="s">
        <v>2166</v>
      </c>
      <c r="AP14" t="s">
        <v>2166</v>
      </c>
      <c r="AQ14" t="s">
        <v>2166</v>
      </c>
      <c r="AR14" t="s">
        <v>2166</v>
      </c>
      <c r="AS14" t="s">
        <v>2166</v>
      </c>
      <c r="AT14" t="s">
        <v>2166</v>
      </c>
      <c r="AU14" t="s">
        <v>2166</v>
      </c>
      <c r="AV14" t="s">
        <v>2166</v>
      </c>
      <c r="AW14" t="s">
        <v>2166</v>
      </c>
      <c r="AX14" t="s">
        <v>2166</v>
      </c>
      <c r="AY14" t="s">
        <v>2166</v>
      </c>
      <c r="AZ14" t="s">
        <v>2166</v>
      </c>
      <c r="BA14" t="s">
        <v>2166</v>
      </c>
      <c r="BB14" t="s">
        <v>2166</v>
      </c>
      <c r="BC14" t="s">
        <v>2166</v>
      </c>
      <c r="BD14" t="s">
        <v>2166</v>
      </c>
      <c r="BE14" t="s">
        <v>2166</v>
      </c>
      <c r="BF14" t="s">
        <v>2166</v>
      </c>
      <c r="BG14" t="s">
        <v>2166</v>
      </c>
      <c r="BH14" t="s">
        <v>2166</v>
      </c>
      <c r="BI14" t="s">
        <v>2166</v>
      </c>
      <c r="BJ14" t="s">
        <v>2166</v>
      </c>
      <c r="BK14" t="s">
        <v>2166</v>
      </c>
      <c r="BL14" t="s">
        <v>2166</v>
      </c>
      <c r="BM14" t="s">
        <v>2166</v>
      </c>
      <c r="BN14" t="s">
        <v>2166</v>
      </c>
      <c r="BO14" t="s">
        <v>2166</v>
      </c>
      <c r="BP14" t="s">
        <v>2166</v>
      </c>
      <c r="BQ14" t="s">
        <v>2166</v>
      </c>
      <c r="BR14" t="s">
        <v>2166</v>
      </c>
      <c r="BS14" t="s">
        <v>2166</v>
      </c>
      <c r="BT14" t="s">
        <v>2166</v>
      </c>
      <c r="BU14" t="s">
        <v>2166</v>
      </c>
      <c r="BV14" t="s">
        <v>2166</v>
      </c>
      <c r="BW14" t="s">
        <v>2166</v>
      </c>
      <c r="BX14" t="s">
        <v>2166</v>
      </c>
      <c r="BY14" t="s">
        <v>2166</v>
      </c>
      <c r="BZ14" t="s">
        <v>2166</v>
      </c>
      <c r="CA14" t="s">
        <v>2166</v>
      </c>
      <c r="CB14" t="s">
        <v>2166</v>
      </c>
      <c r="CC14" t="s">
        <v>2166</v>
      </c>
      <c r="CD14" t="s">
        <v>2166</v>
      </c>
      <c r="CE14" t="s">
        <v>2166</v>
      </c>
      <c r="CF14" t="s">
        <v>2166</v>
      </c>
      <c r="CG14" t="s">
        <v>2166</v>
      </c>
      <c r="CH14" t="s">
        <v>2166</v>
      </c>
      <c r="CI14" t="s">
        <v>2166</v>
      </c>
      <c r="CJ14" t="s">
        <v>2166</v>
      </c>
      <c r="CK14" t="s">
        <v>2166</v>
      </c>
      <c r="CL14" t="s">
        <v>2166</v>
      </c>
      <c r="CM14" t="s">
        <v>2166</v>
      </c>
      <c r="CN14" t="s">
        <v>2166</v>
      </c>
      <c r="CO14" t="s">
        <v>2166</v>
      </c>
      <c r="CP14" t="s">
        <v>2166</v>
      </c>
      <c r="CQ14" t="s">
        <v>2166</v>
      </c>
      <c r="CR14" t="s">
        <v>2166</v>
      </c>
      <c r="CS14" t="s">
        <v>2166</v>
      </c>
      <c r="CT14" t="s">
        <v>2166</v>
      </c>
      <c r="CU14" t="s">
        <v>2166</v>
      </c>
      <c r="CV14" t="s">
        <v>2166</v>
      </c>
      <c r="CW14" t="s">
        <v>2166</v>
      </c>
      <c r="CX14" t="s">
        <v>2166</v>
      </c>
      <c r="CY14" t="s">
        <v>2166</v>
      </c>
      <c r="CZ14" t="s">
        <v>2166</v>
      </c>
      <c r="DA14" t="s">
        <v>2166</v>
      </c>
      <c r="DB14" t="s">
        <v>2166</v>
      </c>
      <c r="DC14" t="s">
        <v>2166</v>
      </c>
      <c r="DD14" t="s">
        <v>2166</v>
      </c>
      <c r="DE14" t="s">
        <v>2166</v>
      </c>
      <c r="DF14" t="s">
        <v>2166</v>
      </c>
      <c r="DG14" t="s">
        <v>2166</v>
      </c>
      <c r="DH14" t="s">
        <v>2166</v>
      </c>
      <c r="DI14" t="s">
        <v>2166</v>
      </c>
    </row>
    <row r="15" spans="1:132" x14ac:dyDescent="0.2">
      <c r="A15" t="s">
        <v>2166</v>
      </c>
      <c r="B15" t="s">
        <v>2166</v>
      </c>
      <c r="C15" t="s">
        <v>2166</v>
      </c>
      <c r="D15" t="s">
        <v>2166</v>
      </c>
      <c r="E15" t="s">
        <v>2166</v>
      </c>
      <c r="F15" t="s">
        <v>2166</v>
      </c>
      <c r="G15" t="s">
        <v>2166</v>
      </c>
      <c r="H15" t="s">
        <v>2166</v>
      </c>
      <c r="I15" t="s">
        <v>2166</v>
      </c>
      <c r="J15" t="s">
        <v>2166</v>
      </c>
      <c r="K15" t="s">
        <v>2166</v>
      </c>
      <c r="L15" t="s">
        <v>2166</v>
      </c>
      <c r="M15" t="s">
        <v>2166</v>
      </c>
      <c r="N15" t="s">
        <v>2166</v>
      </c>
      <c r="O15" t="s">
        <v>2166</v>
      </c>
      <c r="P15" t="s">
        <v>2166</v>
      </c>
      <c r="Q15" t="s">
        <v>2166</v>
      </c>
      <c r="R15" t="s">
        <v>2166</v>
      </c>
      <c r="S15" t="s">
        <v>2166</v>
      </c>
      <c r="T15" t="s">
        <v>2166</v>
      </c>
      <c r="U15" t="s">
        <v>2166</v>
      </c>
      <c r="V15" t="s">
        <v>2166</v>
      </c>
      <c r="W15" t="s">
        <v>2166</v>
      </c>
      <c r="X15" t="s">
        <v>2166</v>
      </c>
      <c r="Y15" t="s">
        <v>2166</v>
      </c>
      <c r="Z15" t="s">
        <v>2166</v>
      </c>
      <c r="AA15" t="s">
        <v>2166</v>
      </c>
      <c r="AB15" t="s">
        <v>2166</v>
      </c>
      <c r="AC15" t="s">
        <v>2166</v>
      </c>
      <c r="AD15" t="s">
        <v>2166</v>
      </c>
      <c r="AE15" t="s">
        <v>2166</v>
      </c>
      <c r="AF15" t="s">
        <v>2166</v>
      </c>
      <c r="AG15" t="s">
        <v>2166</v>
      </c>
      <c r="AH15" t="s">
        <v>2166</v>
      </c>
      <c r="AI15" t="s">
        <v>2166</v>
      </c>
      <c r="AJ15" t="s">
        <v>2166</v>
      </c>
      <c r="AK15" t="s">
        <v>2166</v>
      </c>
      <c r="AL15" t="s">
        <v>2166</v>
      </c>
      <c r="AM15" t="s">
        <v>2166</v>
      </c>
      <c r="AN15" t="s">
        <v>2166</v>
      </c>
      <c r="AO15" t="s">
        <v>2166</v>
      </c>
      <c r="AP15" t="s">
        <v>2166</v>
      </c>
      <c r="AQ15" t="s">
        <v>2166</v>
      </c>
      <c r="AR15" t="s">
        <v>2166</v>
      </c>
      <c r="AS15" t="s">
        <v>2166</v>
      </c>
      <c r="AT15" t="s">
        <v>2166</v>
      </c>
      <c r="AU15" t="s">
        <v>2166</v>
      </c>
      <c r="AV15" t="s">
        <v>2166</v>
      </c>
      <c r="AW15" t="s">
        <v>2166</v>
      </c>
      <c r="AX15" t="s">
        <v>2166</v>
      </c>
      <c r="AY15" t="s">
        <v>2166</v>
      </c>
      <c r="AZ15" t="s">
        <v>2166</v>
      </c>
      <c r="BA15" t="s">
        <v>2166</v>
      </c>
      <c r="BB15" t="s">
        <v>2166</v>
      </c>
      <c r="BC15" t="s">
        <v>2166</v>
      </c>
      <c r="BD15" t="s">
        <v>2166</v>
      </c>
      <c r="BE15" t="s">
        <v>2166</v>
      </c>
      <c r="BF15" t="s">
        <v>2166</v>
      </c>
      <c r="BG15" t="s">
        <v>2166</v>
      </c>
      <c r="BH15" t="s">
        <v>2166</v>
      </c>
      <c r="BI15" t="s">
        <v>2166</v>
      </c>
      <c r="BJ15" t="s">
        <v>2166</v>
      </c>
      <c r="BK15" t="s">
        <v>2166</v>
      </c>
      <c r="BL15" t="s">
        <v>2166</v>
      </c>
      <c r="BM15" t="s">
        <v>2166</v>
      </c>
      <c r="BN15" t="s">
        <v>2166</v>
      </c>
      <c r="BO15" t="s">
        <v>2166</v>
      </c>
      <c r="BP15" t="s">
        <v>2166</v>
      </c>
      <c r="BQ15" t="s">
        <v>2166</v>
      </c>
      <c r="BR15" t="s">
        <v>2166</v>
      </c>
      <c r="BS15" t="s">
        <v>2166</v>
      </c>
      <c r="BT15" t="s">
        <v>2166</v>
      </c>
      <c r="BU15" t="s">
        <v>2166</v>
      </c>
      <c r="BV15" t="s">
        <v>2166</v>
      </c>
      <c r="BW15" t="s">
        <v>2166</v>
      </c>
      <c r="BX15" t="s">
        <v>2166</v>
      </c>
      <c r="BY15" t="s">
        <v>2166</v>
      </c>
      <c r="BZ15" t="s">
        <v>2166</v>
      </c>
      <c r="CA15" t="s">
        <v>2166</v>
      </c>
      <c r="CB15" t="s">
        <v>2166</v>
      </c>
      <c r="CC15" t="s">
        <v>2166</v>
      </c>
      <c r="CD15" t="s">
        <v>2166</v>
      </c>
      <c r="CE15" t="s">
        <v>2166</v>
      </c>
      <c r="CF15" t="s">
        <v>2166</v>
      </c>
      <c r="CG15" t="s">
        <v>2166</v>
      </c>
      <c r="CH15" t="s">
        <v>2166</v>
      </c>
      <c r="CI15" t="s">
        <v>2166</v>
      </c>
      <c r="CJ15" t="s">
        <v>2166</v>
      </c>
      <c r="CK15" t="s">
        <v>2166</v>
      </c>
      <c r="CL15" t="s">
        <v>2166</v>
      </c>
      <c r="CM15" t="s">
        <v>2166</v>
      </c>
      <c r="CN15" t="s">
        <v>2166</v>
      </c>
      <c r="CO15" t="s">
        <v>2166</v>
      </c>
      <c r="CP15" t="s">
        <v>2166</v>
      </c>
      <c r="CQ15" t="s">
        <v>2166</v>
      </c>
      <c r="CR15" t="s">
        <v>2166</v>
      </c>
      <c r="CS15" t="s">
        <v>2166</v>
      </c>
      <c r="CT15" t="s">
        <v>2166</v>
      </c>
      <c r="CU15" t="s">
        <v>2166</v>
      </c>
      <c r="CV15" t="s">
        <v>2166</v>
      </c>
      <c r="CW15" t="s">
        <v>2166</v>
      </c>
      <c r="CX15" t="s">
        <v>2166</v>
      </c>
      <c r="CY15" t="s">
        <v>2166</v>
      </c>
      <c r="CZ15" t="s">
        <v>2166</v>
      </c>
      <c r="DA15" t="s">
        <v>2166</v>
      </c>
      <c r="DB15" t="s">
        <v>2166</v>
      </c>
      <c r="DC15" t="s">
        <v>2166</v>
      </c>
      <c r="DD15" t="s">
        <v>2166</v>
      </c>
      <c r="DE15" t="s">
        <v>2166</v>
      </c>
      <c r="DF15" t="s">
        <v>2166</v>
      </c>
      <c r="DG15" t="s">
        <v>2166</v>
      </c>
      <c r="DH15" t="s">
        <v>2166</v>
      </c>
      <c r="DI15" t="s">
        <v>2166</v>
      </c>
    </row>
    <row r="16" spans="1:132" x14ac:dyDescent="0.2">
      <c r="A16" t="s">
        <v>2166</v>
      </c>
      <c r="B16" t="s">
        <v>2166</v>
      </c>
      <c r="C16" t="s">
        <v>2166</v>
      </c>
      <c r="D16" t="s">
        <v>2166</v>
      </c>
      <c r="E16" t="s">
        <v>2166</v>
      </c>
      <c r="F16" t="s">
        <v>2166</v>
      </c>
      <c r="G16" t="s">
        <v>2166</v>
      </c>
      <c r="H16" t="s">
        <v>2166</v>
      </c>
      <c r="I16" t="s">
        <v>2166</v>
      </c>
      <c r="J16" t="s">
        <v>2166</v>
      </c>
      <c r="K16" t="s">
        <v>2166</v>
      </c>
      <c r="L16" t="s">
        <v>2166</v>
      </c>
      <c r="M16" t="s">
        <v>2166</v>
      </c>
      <c r="N16" t="s">
        <v>2166</v>
      </c>
      <c r="O16" t="s">
        <v>2166</v>
      </c>
      <c r="P16" t="s">
        <v>2166</v>
      </c>
      <c r="Q16" t="s">
        <v>2166</v>
      </c>
      <c r="R16" t="s">
        <v>2166</v>
      </c>
      <c r="S16" t="s">
        <v>2166</v>
      </c>
      <c r="T16" t="s">
        <v>2166</v>
      </c>
      <c r="U16" t="s">
        <v>2166</v>
      </c>
      <c r="V16" t="s">
        <v>2166</v>
      </c>
      <c r="W16" t="s">
        <v>2166</v>
      </c>
      <c r="X16" t="s">
        <v>2166</v>
      </c>
      <c r="Y16" t="s">
        <v>2166</v>
      </c>
      <c r="Z16" t="s">
        <v>2166</v>
      </c>
      <c r="AA16" t="s">
        <v>2166</v>
      </c>
      <c r="AB16" t="s">
        <v>2166</v>
      </c>
      <c r="AC16" t="s">
        <v>2166</v>
      </c>
      <c r="AD16" t="s">
        <v>2166</v>
      </c>
      <c r="AE16" t="s">
        <v>2166</v>
      </c>
      <c r="AF16" t="s">
        <v>2166</v>
      </c>
      <c r="AG16" t="s">
        <v>2166</v>
      </c>
      <c r="AH16" t="s">
        <v>2166</v>
      </c>
      <c r="AI16" t="s">
        <v>2166</v>
      </c>
      <c r="AJ16" t="s">
        <v>2166</v>
      </c>
      <c r="AK16" t="s">
        <v>2166</v>
      </c>
      <c r="AL16" t="s">
        <v>2166</v>
      </c>
      <c r="AM16" t="s">
        <v>2166</v>
      </c>
      <c r="AN16" t="s">
        <v>2166</v>
      </c>
      <c r="AO16" t="s">
        <v>2166</v>
      </c>
      <c r="AP16" t="s">
        <v>2166</v>
      </c>
      <c r="AQ16" t="s">
        <v>2166</v>
      </c>
      <c r="AR16" t="s">
        <v>2166</v>
      </c>
      <c r="AS16" t="s">
        <v>2166</v>
      </c>
      <c r="AT16" t="s">
        <v>2166</v>
      </c>
      <c r="AU16" t="s">
        <v>2166</v>
      </c>
      <c r="AV16" t="s">
        <v>2166</v>
      </c>
      <c r="AW16" t="s">
        <v>2166</v>
      </c>
      <c r="AX16" t="s">
        <v>2166</v>
      </c>
      <c r="AY16" t="s">
        <v>2166</v>
      </c>
      <c r="AZ16" t="s">
        <v>2166</v>
      </c>
      <c r="BA16" t="s">
        <v>2166</v>
      </c>
      <c r="BB16" t="s">
        <v>2166</v>
      </c>
      <c r="BC16" t="s">
        <v>2166</v>
      </c>
      <c r="BD16" t="s">
        <v>2166</v>
      </c>
      <c r="BE16" t="s">
        <v>2166</v>
      </c>
      <c r="BF16" t="s">
        <v>2166</v>
      </c>
      <c r="BG16" t="s">
        <v>2166</v>
      </c>
      <c r="BH16" t="s">
        <v>2166</v>
      </c>
      <c r="BI16" t="s">
        <v>2166</v>
      </c>
      <c r="BJ16" t="s">
        <v>2166</v>
      </c>
      <c r="BK16" t="s">
        <v>2166</v>
      </c>
      <c r="BL16" t="s">
        <v>2166</v>
      </c>
      <c r="BM16" t="s">
        <v>2166</v>
      </c>
      <c r="BN16" t="s">
        <v>2166</v>
      </c>
      <c r="BO16" t="s">
        <v>2166</v>
      </c>
      <c r="BP16" t="s">
        <v>2166</v>
      </c>
      <c r="BQ16" t="s">
        <v>2166</v>
      </c>
      <c r="BR16" t="s">
        <v>2166</v>
      </c>
      <c r="BS16" t="s">
        <v>2166</v>
      </c>
      <c r="BT16" t="s">
        <v>2166</v>
      </c>
      <c r="BU16" t="s">
        <v>2166</v>
      </c>
      <c r="BV16" t="s">
        <v>2166</v>
      </c>
      <c r="BW16" t="s">
        <v>2166</v>
      </c>
      <c r="BX16" t="s">
        <v>2166</v>
      </c>
      <c r="BY16" t="s">
        <v>2166</v>
      </c>
      <c r="BZ16" t="s">
        <v>2166</v>
      </c>
      <c r="CA16" t="s">
        <v>2166</v>
      </c>
      <c r="CB16" t="s">
        <v>2166</v>
      </c>
      <c r="CC16" t="s">
        <v>2166</v>
      </c>
      <c r="CD16" t="s">
        <v>2166</v>
      </c>
      <c r="CE16" t="s">
        <v>2166</v>
      </c>
      <c r="CF16" t="s">
        <v>2166</v>
      </c>
      <c r="CG16" t="s">
        <v>2166</v>
      </c>
      <c r="CH16" t="s">
        <v>2166</v>
      </c>
      <c r="CI16" t="s">
        <v>2166</v>
      </c>
      <c r="CJ16" t="s">
        <v>2166</v>
      </c>
      <c r="CK16" t="s">
        <v>2166</v>
      </c>
      <c r="CL16" t="s">
        <v>2166</v>
      </c>
      <c r="CM16" t="s">
        <v>2166</v>
      </c>
      <c r="CN16" t="s">
        <v>2166</v>
      </c>
      <c r="CO16" t="s">
        <v>2166</v>
      </c>
      <c r="CP16" t="s">
        <v>2166</v>
      </c>
      <c r="CQ16" t="s">
        <v>2166</v>
      </c>
      <c r="CR16" t="s">
        <v>2166</v>
      </c>
      <c r="CS16" t="s">
        <v>2166</v>
      </c>
      <c r="CT16" t="s">
        <v>2166</v>
      </c>
      <c r="CU16" t="s">
        <v>2166</v>
      </c>
      <c r="CV16" t="s">
        <v>2166</v>
      </c>
      <c r="CW16" t="s">
        <v>2166</v>
      </c>
      <c r="CX16" t="s">
        <v>2166</v>
      </c>
      <c r="CY16" t="s">
        <v>2166</v>
      </c>
      <c r="CZ16" t="s">
        <v>2166</v>
      </c>
      <c r="DA16" t="s">
        <v>2166</v>
      </c>
      <c r="DB16" t="s">
        <v>2166</v>
      </c>
      <c r="DC16" t="s">
        <v>2166</v>
      </c>
      <c r="DD16" t="s">
        <v>2166</v>
      </c>
      <c r="DE16" t="s">
        <v>2166</v>
      </c>
      <c r="DF16" t="s">
        <v>2166</v>
      </c>
      <c r="DG16" t="s">
        <v>2166</v>
      </c>
      <c r="DH16" t="s">
        <v>2166</v>
      </c>
      <c r="DI16" t="s">
        <v>2166</v>
      </c>
    </row>
    <row r="17" spans="1:113" x14ac:dyDescent="0.2">
      <c r="A17" t="s">
        <v>2166</v>
      </c>
      <c r="B17" t="s">
        <v>2166</v>
      </c>
      <c r="C17" t="s">
        <v>2166</v>
      </c>
      <c r="D17" t="s">
        <v>2166</v>
      </c>
      <c r="E17" t="s">
        <v>2166</v>
      </c>
      <c r="F17" t="s">
        <v>2166</v>
      </c>
      <c r="G17" t="s">
        <v>2166</v>
      </c>
      <c r="H17" t="s">
        <v>2166</v>
      </c>
      <c r="I17" t="s">
        <v>2166</v>
      </c>
      <c r="J17" t="s">
        <v>2166</v>
      </c>
      <c r="K17" t="s">
        <v>2166</v>
      </c>
      <c r="L17" t="s">
        <v>2166</v>
      </c>
      <c r="M17" t="s">
        <v>2166</v>
      </c>
      <c r="N17" t="s">
        <v>2166</v>
      </c>
      <c r="O17" t="s">
        <v>2166</v>
      </c>
      <c r="P17" t="s">
        <v>2166</v>
      </c>
      <c r="Q17" t="s">
        <v>2166</v>
      </c>
      <c r="R17" t="s">
        <v>2166</v>
      </c>
      <c r="S17" t="s">
        <v>2166</v>
      </c>
      <c r="T17" t="s">
        <v>2166</v>
      </c>
      <c r="U17" t="s">
        <v>2166</v>
      </c>
      <c r="V17" t="s">
        <v>2166</v>
      </c>
      <c r="W17" t="s">
        <v>2166</v>
      </c>
      <c r="X17" t="s">
        <v>2166</v>
      </c>
      <c r="Y17" t="s">
        <v>2166</v>
      </c>
      <c r="Z17" t="s">
        <v>2166</v>
      </c>
      <c r="AA17" t="s">
        <v>2166</v>
      </c>
      <c r="AB17" t="s">
        <v>2166</v>
      </c>
      <c r="AC17" t="s">
        <v>2166</v>
      </c>
      <c r="AD17" t="s">
        <v>2166</v>
      </c>
      <c r="AE17" t="s">
        <v>2166</v>
      </c>
      <c r="AF17" t="s">
        <v>2166</v>
      </c>
      <c r="AG17" t="s">
        <v>2166</v>
      </c>
      <c r="AH17" t="s">
        <v>2166</v>
      </c>
      <c r="AI17" t="s">
        <v>2166</v>
      </c>
      <c r="AJ17" t="s">
        <v>2166</v>
      </c>
      <c r="AK17" t="s">
        <v>2166</v>
      </c>
      <c r="AL17" t="s">
        <v>2166</v>
      </c>
      <c r="AM17" t="s">
        <v>2166</v>
      </c>
      <c r="AN17" t="s">
        <v>2166</v>
      </c>
      <c r="AO17" t="s">
        <v>2166</v>
      </c>
      <c r="AP17" t="s">
        <v>2166</v>
      </c>
      <c r="AQ17" t="s">
        <v>2166</v>
      </c>
      <c r="AR17" t="s">
        <v>2166</v>
      </c>
      <c r="AS17" t="s">
        <v>2166</v>
      </c>
      <c r="AT17" t="s">
        <v>2166</v>
      </c>
      <c r="AU17" t="s">
        <v>2166</v>
      </c>
      <c r="AV17" t="s">
        <v>2166</v>
      </c>
      <c r="AW17" t="s">
        <v>2166</v>
      </c>
      <c r="AX17" t="s">
        <v>2166</v>
      </c>
      <c r="AY17" t="s">
        <v>2166</v>
      </c>
      <c r="AZ17" t="s">
        <v>2166</v>
      </c>
      <c r="BA17" t="s">
        <v>2166</v>
      </c>
      <c r="BB17" t="s">
        <v>2166</v>
      </c>
      <c r="BC17" t="s">
        <v>2166</v>
      </c>
      <c r="BD17" t="s">
        <v>2166</v>
      </c>
      <c r="BE17" t="s">
        <v>2166</v>
      </c>
      <c r="BF17" t="s">
        <v>2166</v>
      </c>
      <c r="BG17" t="s">
        <v>2166</v>
      </c>
      <c r="BH17" t="s">
        <v>2166</v>
      </c>
      <c r="BI17" t="s">
        <v>2166</v>
      </c>
      <c r="BJ17" t="s">
        <v>2166</v>
      </c>
      <c r="BK17" t="s">
        <v>2166</v>
      </c>
      <c r="BL17" t="s">
        <v>2166</v>
      </c>
      <c r="BM17" t="s">
        <v>2166</v>
      </c>
      <c r="BN17" t="s">
        <v>2166</v>
      </c>
      <c r="BO17" t="s">
        <v>2166</v>
      </c>
      <c r="BP17" t="s">
        <v>2166</v>
      </c>
      <c r="BQ17" t="s">
        <v>2166</v>
      </c>
      <c r="BR17" t="s">
        <v>2166</v>
      </c>
      <c r="BS17" t="s">
        <v>2166</v>
      </c>
      <c r="BT17" t="s">
        <v>2166</v>
      </c>
      <c r="BU17" t="s">
        <v>2166</v>
      </c>
      <c r="BV17" t="s">
        <v>2166</v>
      </c>
      <c r="BW17" t="s">
        <v>2166</v>
      </c>
      <c r="BX17" t="s">
        <v>2166</v>
      </c>
      <c r="BY17" t="s">
        <v>2166</v>
      </c>
      <c r="BZ17" t="s">
        <v>2166</v>
      </c>
      <c r="CA17" t="s">
        <v>2166</v>
      </c>
      <c r="CB17" t="s">
        <v>2166</v>
      </c>
      <c r="CC17" t="s">
        <v>2166</v>
      </c>
      <c r="CD17" t="s">
        <v>2166</v>
      </c>
      <c r="CE17" t="s">
        <v>2166</v>
      </c>
      <c r="CF17" t="s">
        <v>2166</v>
      </c>
      <c r="CG17" t="s">
        <v>2166</v>
      </c>
      <c r="CH17" t="s">
        <v>2166</v>
      </c>
      <c r="CI17" t="s">
        <v>2166</v>
      </c>
      <c r="CJ17" t="s">
        <v>2166</v>
      </c>
      <c r="CK17" t="s">
        <v>2166</v>
      </c>
      <c r="CL17" t="s">
        <v>2166</v>
      </c>
      <c r="CM17" t="s">
        <v>2166</v>
      </c>
      <c r="CN17" t="s">
        <v>2166</v>
      </c>
      <c r="CO17" t="s">
        <v>2166</v>
      </c>
      <c r="CP17" t="s">
        <v>2166</v>
      </c>
      <c r="CQ17" t="s">
        <v>2166</v>
      </c>
      <c r="CR17" t="s">
        <v>2166</v>
      </c>
      <c r="CS17" t="s">
        <v>2166</v>
      </c>
      <c r="CT17" t="s">
        <v>2166</v>
      </c>
      <c r="CU17" t="s">
        <v>2166</v>
      </c>
      <c r="CV17" t="s">
        <v>2166</v>
      </c>
      <c r="CW17" t="s">
        <v>2166</v>
      </c>
      <c r="CX17" t="s">
        <v>2166</v>
      </c>
      <c r="CY17" t="s">
        <v>2166</v>
      </c>
      <c r="CZ17" t="s">
        <v>2166</v>
      </c>
      <c r="DA17" t="s">
        <v>2166</v>
      </c>
      <c r="DB17" t="s">
        <v>2166</v>
      </c>
      <c r="DC17" t="s">
        <v>2166</v>
      </c>
      <c r="DD17" t="s">
        <v>2166</v>
      </c>
      <c r="DE17" t="s">
        <v>2166</v>
      </c>
      <c r="DF17" t="s">
        <v>2166</v>
      </c>
      <c r="DG17" t="s">
        <v>2166</v>
      </c>
      <c r="DH17" t="s">
        <v>2166</v>
      </c>
      <c r="DI17" t="s">
        <v>2166</v>
      </c>
    </row>
    <row r="18" spans="1:113" x14ac:dyDescent="0.2">
      <c r="A18" t="s">
        <v>2166</v>
      </c>
      <c r="B18" t="s">
        <v>2166</v>
      </c>
      <c r="C18" t="s">
        <v>2166</v>
      </c>
      <c r="D18" t="s">
        <v>2166</v>
      </c>
      <c r="E18" t="s">
        <v>2166</v>
      </c>
      <c r="F18" t="s">
        <v>2166</v>
      </c>
      <c r="G18" t="s">
        <v>2166</v>
      </c>
      <c r="H18" t="s">
        <v>2166</v>
      </c>
      <c r="I18" t="s">
        <v>2166</v>
      </c>
      <c r="J18" t="s">
        <v>2166</v>
      </c>
      <c r="K18" t="s">
        <v>2166</v>
      </c>
      <c r="L18" t="s">
        <v>2166</v>
      </c>
      <c r="M18" t="s">
        <v>2166</v>
      </c>
      <c r="N18" t="s">
        <v>2166</v>
      </c>
      <c r="O18" t="s">
        <v>2166</v>
      </c>
      <c r="P18" t="s">
        <v>2166</v>
      </c>
      <c r="Q18" t="s">
        <v>2166</v>
      </c>
      <c r="R18" t="s">
        <v>2166</v>
      </c>
      <c r="S18" t="s">
        <v>2166</v>
      </c>
      <c r="T18" t="s">
        <v>2166</v>
      </c>
      <c r="U18" t="s">
        <v>2166</v>
      </c>
      <c r="V18" t="s">
        <v>2166</v>
      </c>
      <c r="W18" t="s">
        <v>2166</v>
      </c>
      <c r="X18" t="s">
        <v>2166</v>
      </c>
      <c r="Y18" t="s">
        <v>2166</v>
      </c>
      <c r="Z18" t="s">
        <v>2166</v>
      </c>
      <c r="AA18" t="s">
        <v>2166</v>
      </c>
      <c r="AB18" t="s">
        <v>2166</v>
      </c>
      <c r="AC18" t="s">
        <v>2166</v>
      </c>
      <c r="AD18" t="s">
        <v>2166</v>
      </c>
      <c r="AE18" t="s">
        <v>2166</v>
      </c>
      <c r="AF18" t="s">
        <v>2166</v>
      </c>
      <c r="AG18" t="s">
        <v>2166</v>
      </c>
      <c r="AH18" t="s">
        <v>2166</v>
      </c>
      <c r="AI18" t="s">
        <v>2166</v>
      </c>
      <c r="AJ18" t="s">
        <v>2166</v>
      </c>
      <c r="AK18" t="s">
        <v>2166</v>
      </c>
      <c r="AL18" t="s">
        <v>2166</v>
      </c>
      <c r="AM18" t="s">
        <v>2166</v>
      </c>
      <c r="AN18" t="s">
        <v>2166</v>
      </c>
      <c r="AO18" t="s">
        <v>2166</v>
      </c>
      <c r="AP18" t="s">
        <v>2166</v>
      </c>
      <c r="AQ18" t="s">
        <v>2166</v>
      </c>
      <c r="AR18" t="s">
        <v>2166</v>
      </c>
      <c r="AS18" t="s">
        <v>2166</v>
      </c>
      <c r="AT18" t="s">
        <v>2166</v>
      </c>
      <c r="AU18" t="s">
        <v>2166</v>
      </c>
      <c r="AV18" t="s">
        <v>2166</v>
      </c>
      <c r="AW18" t="s">
        <v>2166</v>
      </c>
      <c r="AX18" t="s">
        <v>2166</v>
      </c>
      <c r="AY18" t="s">
        <v>2166</v>
      </c>
      <c r="AZ18" t="s">
        <v>2166</v>
      </c>
      <c r="BA18" t="s">
        <v>2166</v>
      </c>
      <c r="BB18" t="s">
        <v>2166</v>
      </c>
      <c r="BC18" t="s">
        <v>2166</v>
      </c>
      <c r="BD18" t="s">
        <v>2166</v>
      </c>
      <c r="BE18" t="s">
        <v>2166</v>
      </c>
      <c r="BF18" t="s">
        <v>2166</v>
      </c>
      <c r="BG18" t="s">
        <v>2166</v>
      </c>
      <c r="BH18" t="s">
        <v>2166</v>
      </c>
      <c r="BI18" t="s">
        <v>2166</v>
      </c>
      <c r="BJ18" t="s">
        <v>2166</v>
      </c>
      <c r="BK18" t="s">
        <v>2166</v>
      </c>
      <c r="BL18" t="s">
        <v>2166</v>
      </c>
      <c r="BM18" t="s">
        <v>2166</v>
      </c>
      <c r="BN18" t="s">
        <v>2166</v>
      </c>
      <c r="BO18" t="s">
        <v>2166</v>
      </c>
      <c r="BP18" t="s">
        <v>2166</v>
      </c>
      <c r="BQ18" t="s">
        <v>2166</v>
      </c>
      <c r="BR18" t="s">
        <v>2166</v>
      </c>
      <c r="BS18" t="s">
        <v>2166</v>
      </c>
      <c r="BT18" t="s">
        <v>2166</v>
      </c>
      <c r="BU18" t="s">
        <v>2166</v>
      </c>
      <c r="BV18" t="s">
        <v>2166</v>
      </c>
      <c r="BW18" t="s">
        <v>2166</v>
      </c>
      <c r="BX18" t="s">
        <v>2166</v>
      </c>
      <c r="BY18" t="s">
        <v>2166</v>
      </c>
      <c r="BZ18" t="s">
        <v>2166</v>
      </c>
      <c r="CA18" t="s">
        <v>2166</v>
      </c>
      <c r="CB18" t="s">
        <v>2166</v>
      </c>
      <c r="CC18" t="s">
        <v>2166</v>
      </c>
      <c r="CD18" t="s">
        <v>2166</v>
      </c>
      <c r="CE18" t="s">
        <v>2166</v>
      </c>
      <c r="CF18" t="s">
        <v>2166</v>
      </c>
      <c r="CG18" t="s">
        <v>2166</v>
      </c>
      <c r="CH18" t="s">
        <v>2166</v>
      </c>
      <c r="CI18" t="s">
        <v>2166</v>
      </c>
      <c r="CJ18" t="s">
        <v>2166</v>
      </c>
      <c r="CK18" t="s">
        <v>2166</v>
      </c>
      <c r="CL18" t="s">
        <v>2166</v>
      </c>
      <c r="CM18" t="s">
        <v>2166</v>
      </c>
      <c r="CN18" t="s">
        <v>2166</v>
      </c>
      <c r="CO18" t="s">
        <v>2166</v>
      </c>
      <c r="CP18" t="s">
        <v>2166</v>
      </c>
      <c r="CQ18" t="s">
        <v>2166</v>
      </c>
      <c r="CR18" t="s">
        <v>2166</v>
      </c>
      <c r="CS18" t="s">
        <v>2166</v>
      </c>
      <c r="CT18" t="s">
        <v>2166</v>
      </c>
      <c r="CU18" t="s">
        <v>2166</v>
      </c>
      <c r="CV18" t="s">
        <v>2166</v>
      </c>
      <c r="CW18" t="s">
        <v>2166</v>
      </c>
      <c r="CX18" t="s">
        <v>2166</v>
      </c>
      <c r="CY18" t="s">
        <v>2166</v>
      </c>
      <c r="CZ18" t="s">
        <v>2166</v>
      </c>
      <c r="DA18" t="s">
        <v>2166</v>
      </c>
      <c r="DB18" t="s">
        <v>2166</v>
      </c>
      <c r="DC18" t="s">
        <v>2166</v>
      </c>
      <c r="DD18" t="s">
        <v>2166</v>
      </c>
      <c r="DE18" t="s">
        <v>2166</v>
      </c>
      <c r="DF18" t="s">
        <v>2166</v>
      </c>
      <c r="DG18" t="s">
        <v>2166</v>
      </c>
      <c r="DH18" t="s">
        <v>2166</v>
      </c>
      <c r="DI18" t="s">
        <v>2166</v>
      </c>
    </row>
    <row r="19" spans="1:113" x14ac:dyDescent="0.2">
      <c r="A19" t="s">
        <v>2166</v>
      </c>
      <c r="B19" t="s">
        <v>2166</v>
      </c>
      <c r="C19" t="s">
        <v>2166</v>
      </c>
      <c r="D19" t="s">
        <v>2166</v>
      </c>
      <c r="E19" t="s">
        <v>2166</v>
      </c>
      <c r="F19" t="s">
        <v>2166</v>
      </c>
      <c r="G19" t="s">
        <v>2166</v>
      </c>
      <c r="H19" t="s">
        <v>2166</v>
      </c>
      <c r="I19" t="s">
        <v>2166</v>
      </c>
      <c r="J19" t="s">
        <v>2166</v>
      </c>
      <c r="K19" t="s">
        <v>2166</v>
      </c>
      <c r="L19" t="s">
        <v>2166</v>
      </c>
      <c r="M19" t="s">
        <v>2166</v>
      </c>
      <c r="N19" t="s">
        <v>2166</v>
      </c>
      <c r="O19" t="s">
        <v>2166</v>
      </c>
      <c r="P19" t="s">
        <v>2166</v>
      </c>
      <c r="Q19" t="s">
        <v>2166</v>
      </c>
      <c r="R19" t="s">
        <v>2166</v>
      </c>
      <c r="S19" t="s">
        <v>2166</v>
      </c>
      <c r="T19" t="s">
        <v>2166</v>
      </c>
      <c r="U19" t="s">
        <v>2166</v>
      </c>
      <c r="V19" t="s">
        <v>2166</v>
      </c>
      <c r="W19" t="s">
        <v>2166</v>
      </c>
      <c r="X19" t="s">
        <v>2166</v>
      </c>
      <c r="Y19" t="s">
        <v>2166</v>
      </c>
      <c r="Z19" t="s">
        <v>2166</v>
      </c>
      <c r="AA19" t="s">
        <v>2166</v>
      </c>
      <c r="AB19" t="s">
        <v>2166</v>
      </c>
      <c r="AC19" t="s">
        <v>2166</v>
      </c>
      <c r="AD19" t="s">
        <v>2166</v>
      </c>
      <c r="AE19" t="s">
        <v>2166</v>
      </c>
      <c r="AF19" t="s">
        <v>2166</v>
      </c>
      <c r="AG19" t="s">
        <v>2166</v>
      </c>
      <c r="AH19" t="s">
        <v>2166</v>
      </c>
      <c r="AI19" t="s">
        <v>2166</v>
      </c>
      <c r="AJ19" t="s">
        <v>2166</v>
      </c>
      <c r="AK19" t="s">
        <v>2166</v>
      </c>
      <c r="AL19" t="s">
        <v>2166</v>
      </c>
      <c r="AM19" t="s">
        <v>2166</v>
      </c>
      <c r="AN19" t="s">
        <v>2166</v>
      </c>
      <c r="AO19" t="s">
        <v>2166</v>
      </c>
      <c r="AP19" t="s">
        <v>2166</v>
      </c>
      <c r="AQ19" t="s">
        <v>2166</v>
      </c>
      <c r="AR19" t="s">
        <v>2166</v>
      </c>
      <c r="AS19" t="s">
        <v>2166</v>
      </c>
      <c r="AT19" t="s">
        <v>2166</v>
      </c>
      <c r="AU19" t="s">
        <v>2166</v>
      </c>
      <c r="AV19" t="s">
        <v>2166</v>
      </c>
      <c r="AW19" t="s">
        <v>2166</v>
      </c>
      <c r="AX19" t="s">
        <v>2166</v>
      </c>
      <c r="AY19" t="s">
        <v>2166</v>
      </c>
      <c r="AZ19" t="s">
        <v>2166</v>
      </c>
      <c r="BA19" t="s">
        <v>2166</v>
      </c>
      <c r="BB19" t="s">
        <v>2166</v>
      </c>
      <c r="BC19" t="s">
        <v>2166</v>
      </c>
      <c r="BD19" t="s">
        <v>2166</v>
      </c>
      <c r="BE19" t="s">
        <v>2166</v>
      </c>
      <c r="BF19" t="s">
        <v>2166</v>
      </c>
      <c r="BG19" t="s">
        <v>2166</v>
      </c>
      <c r="BH19" t="s">
        <v>2166</v>
      </c>
      <c r="BI19" t="s">
        <v>2166</v>
      </c>
      <c r="BJ19" t="s">
        <v>2166</v>
      </c>
      <c r="BK19" t="s">
        <v>2166</v>
      </c>
      <c r="BL19" t="s">
        <v>2166</v>
      </c>
      <c r="BM19" t="s">
        <v>2166</v>
      </c>
      <c r="BN19" t="s">
        <v>2166</v>
      </c>
      <c r="BO19" t="s">
        <v>2166</v>
      </c>
      <c r="BP19" t="s">
        <v>2166</v>
      </c>
      <c r="BQ19" t="s">
        <v>2166</v>
      </c>
      <c r="BR19" t="s">
        <v>2166</v>
      </c>
      <c r="BS19" t="s">
        <v>2166</v>
      </c>
      <c r="BT19" t="s">
        <v>2166</v>
      </c>
      <c r="BU19" t="s">
        <v>2166</v>
      </c>
      <c r="BV19" t="s">
        <v>2166</v>
      </c>
      <c r="BW19" t="s">
        <v>2166</v>
      </c>
      <c r="BX19" t="s">
        <v>2166</v>
      </c>
      <c r="BY19" t="s">
        <v>2166</v>
      </c>
      <c r="BZ19" t="s">
        <v>2166</v>
      </c>
      <c r="CA19" t="s">
        <v>2166</v>
      </c>
      <c r="CB19" t="s">
        <v>2166</v>
      </c>
      <c r="CC19" t="s">
        <v>2166</v>
      </c>
      <c r="CD19" t="s">
        <v>2166</v>
      </c>
      <c r="CE19" t="s">
        <v>2166</v>
      </c>
      <c r="CF19" t="s">
        <v>2166</v>
      </c>
      <c r="CG19" t="s">
        <v>2166</v>
      </c>
      <c r="CH19" t="s">
        <v>2166</v>
      </c>
      <c r="CI19" t="s">
        <v>2166</v>
      </c>
      <c r="CJ19" t="s">
        <v>2166</v>
      </c>
      <c r="CK19" t="s">
        <v>2166</v>
      </c>
      <c r="CL19" t="s">
        <v>2166</v>
      </c>
      <c r="CM19" t="s">
        <v>2166</v>
      </c>
      <c r="CN19" t="s">
        <v>2166</v>
      </c>
      <c r="CO19" t="s">
        <v>2166</v>
      </c>
      <c r="CP19" t="s">
        <v>2166</v>
      </c>
      <c r="CQ19" t="s">
        <v>2166</v>
      </c>
      <c r="CR19" t="s">
        <v>2166</v>
      </c>
      <c r="CS19" t="s">
        <v>2166</v>
      </c>
      <c r="CT19" t="s">
        <v>2166</v>
      </c>
      <c r="CU19" t="s">
        <v>2166</v>
      </c>
      <c r="CV19" t="s">
        <v>2166</v>
      </c>
      <c r="CW19" t="s">
        <v>2166</v>
      </c>
      <c r="CX19" t="s">
        <v>2166</v>
      </c>
      <c r="CY19" t="s">
        <v>2166</v>
      </c>
      <c r="CZ19" t="s">
        <v>2166</v>
      </c>
      <c r="DA19" t="s">
        <v>2166</v>
      </c>
      <c r="DB19" t="s">
        <v>2166</v>
      </c>
      <c r="DC19" t="s">
        <v>2166</v>
      </c>
      <c r="DD19" t="s">
        <v>2166</v>
      </c>
      <c r="DE19" t="s">
        <v>2166</v>
      </c>
      <c r="DF19" t="s">
        <v>2166</v>
      </c>
      <c r="DG19" t="s">
        <v>2166</v>
      </c>
      <c r="DH19" t="s">
        <v>2166</v>
      </c>
      <c r="DI19" t="s">
        <v>2166</v>
      </c>
    </row>
    <row r="20" spans="1:113" x14ac:dyDescent="0.2">
      <c r="A20" t="s">
        <v>2166</v>
      </c>
      <c r="B20" t="s">
        <v>2166</v>
      </c>
      <c r="C20" t="s">
        <v>2166</v>
      </c>
      <c r="D20" t="s">
        <v>2166</v>
      </c>
      <c r="E20" t="s">
        <v>2166</v>
      </c>
      <c r="F20" t="s">
        <v>2166</v>
      </c>
      <c r="G20" t="s">
        <v>2166</v>
      </c>
      <c r="H20" t="s">
        <v>2166</v>
      </c>
      <c r="I20" t="s">
        <v>2166</v>
      </c>
      <c r="J20" t="s">
        <v>2166</v>
      </c>
      <c r="K20" t="s">
        <v>2166</v>
      </c>
      <c r="L20" t="s">
        <v>2166</v>
      </c>
      <c r="M20" t="s">
        <v>2166</v>
      </c>
      <c r="N20" t="s">
        <v>2166</v>
      </c>
      <c r="O20" t="s">
        <v>2166</v>
      </c>
      <c r="P20" t="s">
        <v>2166</v>
      </c>
      <c r="Q20" t="s">
        <v>2166</v>
      </c>
      <c r="R20" t="s">
        <v>2166</v>
      </c>
      <c r="S20" t="s">
        <v>2166</v>
      </c>
      <c r="T20" t="s">
        <v>2166</v>
      </c>
      <c r="U20" t="s">
        <v>2166</v>
      </c>
      <c r="V20" t="s">
        <v>2166</v>
      </c>
      <c r="W20" t="s">
        <v>2166</v>
      </c>
      <c r="X20" t="s">
        <v>2166</v>
      </c>
      <c r="Y20" t="s">
        <v>2166</v>
      </c>
      <c r="Z20" t="s">
        <v>2166</v>
      </c>
      <c r="AA20" t="s">
        <v>2166</v>
      </c>
      <c r="AB20" t="s">
        <v>2166</v>
      </c>
      <c r="AC20" t="s">
        <v>2166</v>
      </c>
      <c r="AD20" t="s">
        <v>2166</v>
      </c>
      <c r="AE20" t="s">
        <v>2166</v>
      </c>
      <c r="AF20" t="s">
        <v>2166</v>
      </c>
      <c r="AG20" t="s">
        <v>2166</v>
      </c>
      <c r="AH20" t="s">
        <v>2166</v>
      </c>
      <c r="AI20" t="s">
        <v>2166</v>
      </c>
      <c r="AJ20" t="s">
        <v>2166</v>
      </c>
      <c r="AK20" t="s">
        <v>2166</v>
      </c>
      <c r="AL20" t="s">
        <v>2166</v>
      </c>
      <c r="AM20" t="s">
        <v>2166</v>
      </c>
      <c r="AN20" t="s">
        <v>2166</v>
      </c>
      <c r="AO20" t="s">
        <v>2166</v>
      </c>
      <c r="AP20" t="s">
        <v>2166</v>
      </c>
      <c r="AQ20" t="s">
        <v>2166</v>
      </c>
      <c r="AR20" t="s">
        <v>2166</v>
      </c>
      <c r="AS20" t="s">
        <v>2166</v>
      </c>
      <c r="AT20" t="s">
        <v>2166</v>
      </c>
      <c r="AU20" t="s">
        <v>2166</v>
      </c>
      <c r="AV20" t="s">
        <v>2166</v>
      </c>
      <c r="AW20" t="s">
        <v>2166</v>
      </c>
      <c r="AX20" t="s">
        <v>2166</v>
      </c>
      <c r="AY20" t="s">
        <v>2166</v>
      </c>
      <c r="AZ20" t="s">
        <v>2166</v>
      </c>
      <c r="BA20" t="s">
        <v>2166</v>
      </c>
      <c r="BB20" t="s">
        <v>2166</v>
      </c>
      <c r="BC20" t="s">
        <v>2166</v>
      </c>
      <c r="BD20" t="s">
        <v>2166</v>
      </c>
      <c r="BE20" t="s">
        <v>2166</v>
      </c>
      <c r="BF20" t="s">
        <v>2166</v>
      </c>
      <c r="BG20" t="s">
        <v>2166</v>
      </c>
      <c r="BH20" t="s">
        <v>2166</v>
      </c>
      <c r="BI20" t="s">
        <v>2166</v>
      </c>
      <c r="BJ20" t="s">
        <v>2166</v>
      </c>
      <c r="BK20" t="s">
        <v>2166</v>
      </c>
      <c r="BL20" t="s">
        <v>2166</v>
      </c>
      <c r="BM20" t="s">
        <v>2166</v>
      </c>
      <c r="BN20" t="s">
        <v>2166</v>
      </c>
      <c r="BO20" t="s">
        <v>2166</v>
      </c>
      <c r="BP20" t="s">
        <v>2166</v>
      </c>
      <c r="BQ20" t="s">
        <v>2166</v>
      </c>
      <c r="BR20" t="s">
        <v>2166</v>
      </c>
      <c r="BS20" t="s">
        <v>2166</v>
      </c>
      <c r="BT20" t="s">
        <v>2166</v>
      </c>
      <c r="BU20" t="s">
        <v>2166</v>
      </c>
      <c r="BV20" t="s">
        <v>2166</v>
      </c>
      <c r="BW20" t="s">
        <v>2166</v>
      </c>
      <c r="BX20" t="s">
        <v>2166</v>
      </c>
      <c r="BY20" t="s">
        <v>2166</v>
      </c>
      <c r="BZ20" t="s">
        <v>2166</v>
      </c>
      <c r="CA20" t="s">
        <v>2166</v>
      </c>
      <c r="CB20" t="s">
        <v>2166</v>
      </c>
      <c r="CC20" t="s">
        <v>2166</v>
      </c>
      <c r="CD20" t="s">
        <v>2166</v>
      </c>
      <c r="CE20" t="s">
        <v>2166</v>
      </c>
      <c r="CF20" t="s">
        <v>2166</v>
      </c>
      <c r="CG20" t="s">
        <v>2166</v>
      </c>
      <c r="CH20" t="s">
        <v>2166</v>
      </c>
      <c r="CI20" t="s">
        <v>2166</v>
      </c>
      <c r="CJ20" t="s">
        <v>2166</v>
      </c>
      <c r="CK20" t="s">
        <v>2166</v>
      </c>
      <c r="CL20" t="s">
        <v>2166</v>
      </c>
      <c r="CM20" t="s">
        <v>2166</v>
      </c>
      <c r="CN20" t="s">
        <v>2166</v>
      </c>
      <c r="CO20" t="s">
        <v>2166</v>
      </c>
      <c r="CP20" t="s">
        <v>2166</v>
      </c>
      <c r="CQ20" t="s">
        <v>2166</v>
      </c>
      <c r="CR20" t="s">
        <v>2166</v>
      </c>
      <c r="CS20" t="s">
        <v>2166</v>
      </c>
      <c r="CT20" t="s">
        <v>2166</v>
      </c>
      <c r="CU20" t="s">
        <v>2166</v>
      </c>
      <c r="CV20" t="s">
        <v>2166</v>
      </c>
      <c r="CW20" t="s">
        <v>2166</v>
      </c>
      <c r="CX20" t="s">
        <v>2166</v>
      </c>
      <c r="CY20" t="s">
        <v>2166</v>
      </c>
      <c r="CZ20" t="s">
        <v>2166</v>
      </c>
      <c r="DA20" t="s">
        <v>2166</v>
      </c>
      <c r="DB20" t="s">
        <v>2166</v>
      </c>
      <c r="DC20" t="s">
        <v>2166</v>
      </c>
      <c r="DD20" t="s">
        <v>2166</v>
      </c>
      <c r="DE20" t="s">
        <v>2166</v>
      </c>
      <c r="DF20" t="s">
        <v>2166</v>
      </c>
      <c r="DG20" t="s">
        <v>2166</v>
      </c>
      <c r="DH20" t="s">
        <v>2166</v>
      </c>
      <c r="DI20" t="s">
        <v>2166</v>
      </c>
    </row>
    <row r="21" spans="1:113" x14ac:dyDescent="0.2">
      <c r="A21" t="s">
        <v>2166</v>
      </c>
      <c r="B21" t="s">
        <v>2166</v>
      </c>
      <c r="C21" t="s">
        <v>2166</v>
      </c>
      <c r="D21" t="s">
        <v>2166</v>
      </c>
      <c r="E21" t="s">
        <v>2166</v>
      </c>
      <c r="F21" s="1" t="s">
        <v>2166</v>
      </c>
      <c r="G21" t="s">
        <v>2166</v>
      </c>
      <c r="H21" t="s">
        <v>2166</v>
      </c>
      <c r="I21" t="s">
        <v>2166</v>
      </c>
      <c r="J21" t="s">
        <v>2166</v>
      </c>
      <c r="K21" t="s">
        <v>2166</v>
      </c>
      <c r="L21" t="s">
        <v>2166</v>
      </c>
      <c r="M21" t="s">
        <v>2166</v>
      </c>
      <c r="N21" t="s">
        <v>2166</v>
      </c>
      <c r="O21" t="s">
        <v>2166</v>
      </c>
      <c r="P21" t="s">
        <v>2166</v>
      </c>
      <c r="Q21" t="s">
        <v>2166</v>
      </c>
      <c r="R21" t="s">
        <v>2166</v>
      </c>
      <c r="S21" t="s">
        <v>2166</v>
      </c>
      <c r="T21" t="s">
        <v>2166</v>
      </c>
      <c r="U21" t="s">
        <v>2166</v>
      </c>
      <c r="V21" t="s">
        <v>2166</v>
      </c>
      <c r="W21" t="s">
        <v>2166</v>
      </c>
      <c r="X21" t="s">
        <v>2166</v>
      </c>
      <c r="Y21" t="s">
        <v>2166</v>
      </c>
      <c r="Z21" t="s">
        <v>2166</v>
      </c>
      <c r="AA21" t="s">
        <v>2166</v>
      </c>
      <c r="AB21" t="s">
        <v>2166</v>
      </c>
      <c r="AC21" t="s">
        <v>2166</v>
      </c>
      <c r="AD21" t="s">
        <v>2166</v>
      </c>
      <c r="AE21" t="s">
        <v>2166</v>
      </c>
      <c r="AF21" t="s">
        <v>2166</v>
      </c>
      <c r="AG21" t="s">
        <v>2166</v>
      </c>
      <c r="AH21" t="s">
        <v>2166</v>
      </c>
      <c r="AI21" t="s">
        <v>2166</v>
      </c>
      <c r="AJ21" t="s">
        <v>2166</v>
      </c>
      <c r="AK21" t="s">
        <v>2166</v>
      </c>
      <c r="AL21" t="s">
        <v>2166</v>
      </c>
      <c r="AM21" t="s">
        <v>2166</v>
      </c>
      <c r="AN21" t="s">
        <v>2166</v>
      </c>
      <c r="AO21" t="s">
        <v>2166</v>
      </c>
      <c r="AP21" t="s">
        <v>2166</v>
      </c>
      <c r="AQ21" t="s">
        <v>2166</v>
      </c>
      <c r="AR21" t="s">
        <v>2166</v>
      </c>
      <c r="AS21" t="s">
        <v>2166</v>
      </c>
      <c r="AT21" t="s">
        <v>2166</v>
      </c>
      <c r="AU21" t="s">
        <v>2166</v>
      </c>
      <c r="AV21" t="s">
        <v>2166</v>
      </c>
      <c r="AW21" t="s">
        <v>2166</v>
      </c>
      <c r="AX21" t="s">
        <v>2166</v>
      </c>
      <c r="AY21" t="s">
        <v>2166</v>
      </c>
      <c r="AZ21" t="s">
        <v>2166</v>
      </c>
      <c r="BA21" t="s">
        <v>2166</v>
      </c>
      <c r="BB21" t="s">
        <v>2166</v>
      </c>
      <c r="BC21" t="s">
        <v>2166</v>
      </c>
      <c r="BD21" t="s">
        <v>2166</v>
      </c>
      <c r="BE21" t="s">
        <v>2166</v>
      </c>
      <c r="BF21" t="s">
        <v>2166</v>
      </c>
      <c r="BG21" t="s">
        <v>2166</v>
      </c>
      <c r="BH21" t="s">
        <v>2166</v>
      </c>
      <c r="BI21" t="s">
        <v>2166</v>
      </c>
      <c r="BJ21" t="s">
        <v>2166</v>
      </c>
      <c r="BK21" t="s">
        <v>2166</v>
      </c>
      <c r="BL21" t="s">
        <v>2166</v>
      </c>
      <c r="BM21" t="s">
        <v>2166</v>
      </c>
      <c r="BN21" t="s">
        <v>2166</v>
      </c>
      <c r="BO21" t="s">
        <v>2166</v>
      </c>
      <c r="BP21" t="s">
        <v>2166</v>
      </c>
      <c r="BQ21" t="s">
        <v>2166</v>
      </c>
      <c r="BR21" t="s">
        <v>2166</v>
      </c>
      <c r="BS21" t="s">
        <v>2166</v>
      </c>
      <c r="BT21" t="s">
        <v>2166</v>
      </c>
      <c r="BU21" t="s">
        <v>2166</v>
      </c>
      <c r="BV21" t="s">
        <v>2166</v>
      </c>
      <c r="BW21" t="s">
        <v>2166</v>
      </c>
      <c r="BX21" t="s">
        <v>2166</v>
      </c>
      <c r="BY21" t="s">
        <v>2166</v>
      </c>
      <c r="BZ21" t="s">
        <v>2166</v>
      </c>
      <c r="CA21" t="s">
        <v>2166</v>
      </c>
      <c r="CB21" t="s">
        <v>2166</v>
      </c>
      <c r="CC21" t="s">
        <v>2166</v>
      </c>
      <c r="CD21" t="s">
        <v>2166</v>
      </c>
      <c r="CE21" t="s">
        <v>2166</v>
      </c>
      <c r="CF21" t="s">
        <v>2166</v>
      </c>
      <c r="CG21" t="s">
        <v>2166</v>
      </c>
      <c r="CH21" t="s">
        <v>2166</v>
      </c>
      <c r="CI21" t="s">
        <v>2166</v>
      </c>
      <c r="CJ21" t="s">
        <v>2166</v>
      </c>
      <c r="CK21" t="s">
        <v>2166</v>
      </c>
      <c r="CL21" t="s">
        <v>2166</v>
      </c>
      <c r="CM21" t="s">
        <v>2166</v>
      </c>
      <c r="CN21" t="s">
        <v>2166</v>
      </c>
      <c r="CO21" t="s">
        <v>2166</v>
      </c>
      <c r="CP21" t="s">
        <v>2166</v>
      </c>
      <c r="CQ21" t="s">
        <v>2166</v>
      </c>
      <c r="CR21" t="s">
        <v>2166</v>
      </c>
      <c r="CS21" t="s">
        <v>2166</v>
      </c>
      <c r="CT21" t="s">
        <v>2166</v>
      </c>
      <c r="CU21" t="s">
        <v>2166</v>
      </c>
      <c r="CV21" t="s">
        <v>2166</v>
      </c>
      <c r="CW21" t="s">
        <v>2166</v>
      </c>
      <c r="CX21" t="s">
        <v>2166</v>
      </c>
      <c r="CY21" t="s">
        <v>2166</v>
      </c>
      <c r="CZ21" t="s">
        <v>2166</v>
      </c>
      <c r="DA21" t="s">
        <v>2166</v>
      </c>
      <c r="DB21" t="s">
        <v>2166</v>
      </c>
      <c r="DC21" t="s">
        <v>2166</v>
      </c>
      <c r="DD21" t="s">
        <v>2166</v>
      </c>
      <c r="DE21" t="s">
        <v>2166</v>
      </c>
      <c r="DF21" t="s">
        <v>2166</v>
      </c>
      <c r="DG21" t="s">
        <v>2166</v>
      </c>
      <c r="DH21" t="s">
        <v>2166</v>
      </c>
      <c r="DI21" t="s">
        <v>2166</v>
      </c>
    </row>
    <row r="22" spans="1:113" x14ac:dyDescent="0.2">
      <c r="A22" t="s">
        <v>2166</v>
      </c>
      <c r="B22" t="s">
        <v>2166</v>
      </c>
      <c r="C22" t="s">
        <v>2166</v>
      </c>
      <c r="D22" t="s">
        <v>2166</v>
      </c>
      <c r="E22" t="s">
        <v>2166</v>
      </c>
      <c r="F22" t="s">
        <v>2166</v>
      </c>
      <c r="G22" t="s">
        <v>2166</v>
      </c>
      <c r="H22" t="s">
        <v>2166</v>
      </c>
      <c r="I22" t="s">
        <v>2166</v>
      </c>
      <c r="J22" t="s">
        <v>2166</v>
      </c>
      <c r="K22" t="s">
        <v>2166</v>
      </c>
      <c r="L22" t="s">
        <v>2166</v>
      </c>
      <c r="M22" t="s">
        <v>2166</v>
      </c>
      <c r="N22" t="s">
        <v>2166</v>
      </c>
      <c r="O22" t="s">
        <v>2166</v>
      </c>
      <c r="P22" t="s">
        <v>2166</v>
      </c>
      <c r="Q22" t="s">
        <v>2166</v>
      </c>
      <c r="R22" t="s">
        <v>2166</v>
      </c>
      <c r="S22" t="s">
        <v>2166</v>
      </c>
      <c r="T22" t="s">
        <v>2166</v>
      </c>
      <c r="U22" t="s">
        <v>2166</v>
      </c>
      <c r="V22" t="s">
        <v>2166</v>
      </c>
      <c r="W22" t="s">
        <v>2166</v>
      </c>
      <c r="X22" t="s">
        <v>2166</v>
      </c>
      <c r="Y22" t="s">
        <v>2166</v>
      </c>
      <c r="Z22" t="s">
        <v>2166</v>
      </c>
      <c r="AA22" t="s">
        <v>2166</v>
      </c>
      <c r="AB22" t="s">
        <v>2166</v>
      </c>
      <c r="AC22" t="s">
        <v>2166</v>
      </c>
      <c r="AD22" t="s">
        <v>2166</v>
      </c>
      <c r="AE22" t="s">
        <v>2166</v>
      </c>
      <c r="AF22" t="s">
        <v>2166</v>
      </c>
      <c r="AG22" t="s">
        <v>2166</v>
      </c>
      <c r="AH22" t="s">
        <v>2166</v>
      </c>
      <c r="AI22" t="s">
        <v>2166</v>
      </c>
      <c r="AJ22" t="s">
        <v>2166</v>
      </c>
      <c r="AK22" t="s">
        <v>2166</v>
      </c>
      <c r="AL22" t="s">
        <v>2166</v>
      </c>
      <c r="AM22" t="s">
        <v>2166</v>
      </c>
      <c r="AN22" t="s">
        <v>2166</v>
      </c>
      <c r="AO22" t="s">
        <v>2166</v>
      </c>
      <c r="AP22" t="s">
        <v>2166</v>
      </c>
      <c r="AQ22" t="s">
        <v>2166</v>
      </c>
      <c r="AR22" t="s">
        <v>2166</v>
      </c>
      <c r="AS22" t="s">
        <v>2166</v>
      </c>
      <c r="AT22" t="s">
        <v>2166</v>
      </c>
      <c r="AU22" t="s">
        <v>2166</v>
      </c>
      <c r="AV22" t="s">
        <v>2166</v>
      </c>
      <c r="AW22" t="s">
        <v>2166</v>
      </c>
      <c r="AX22" t="s">
        <v>2166</v>
      </c>
      <c r="AY22" t="s">
        <v>2166</v>
      </c>
      <c r="AZ22" t="s">
        <v>2166</v>
      </c>
      <c r="BA22" t="s">
        <v>2166</v>
      </c>
      <c r="BB22" t="s">
        <v>2166</v>
      </c>
      <c r="BC22" t="s">
        <v>2166</v>
      </c>
      <c r="BD22" t="s">
        <v>2166</v>
      </c>
      <c r="BE22" t="s">
        <v>2166</v>
      </c>
      <c r="BF22" t="s">
        <v>2166</v>
      </c>
      <c r="BG22" t="s">
        <v>2166</v>
      </c>
      <c r="BH22" t="s">
        <v>2166</v>
      </c>
      <c r="BI22" t="s">
        <v>2166</v>
      </c>
      <c r="BJ22" t="s">
        <v>2166</v>
      </c>
      <c r="BK22" t="s">
        <v>2166</v>
      </c>
      <c r="BL22" t="s">
        <v>2166</v>
      </c>
      <c r="BM22" t="s">
        <v>2166</v>
      </c>
      <c r="BN22" t="s">
        <v>2166</v>
      </c>
      <c r="BO22" t="s">
        <v>2166</v>
      </c>
      <c r="BP22" t="s">
        <v>2166</v>
      </c>
      <c r="BQ22" t="s">
        <v>2166</v>
      </c>
      <c r="BR22" t="s">
        <v>2166</v>
      </c>
      <c r="BS22" t="s">
        <v>2166</v>
      </c>
      <c r="BT22" t="s">
        <v>2166</v>
      </c>
      <c r="BU22" t="s">
        <v>2166</v>
      </c>
      <c r="BV22" t="s">
        <v>2166</v>
      </c>
      <c r="BW22" t="s">
        <v>2166</v>
      </c>
      <c r="BX22" t="s">
        <v>2166</v>
      </c>
      <c r="BY22" t="s">
        <v>2166</v>
      </c>
      <c r="BZ22" t="s">
        <v>2166</v>
      </c>
      <c r="CA22" t="s">
        <v>2166</v>
      </c>
      <c r="CB22" t="s">
        <v>2166</v>
      </c>
      <c r="CC22" t="s">
        <v>2166</v>
      </c>
      <c r="CD22" t="s">
        <v>2166</v>
      </c>
      <c r="CE22" t="s">
        <v>2166</v>
      </c>
      <c r="CF22" t="s">
        <v>2166</v>
      </c>
      <c r="CG22" t="s">
        <v>2166</v>
      </c>
      <c r="CH22" t="s">
        <v>2166</v>
      </c>
      <c r="CI22" t="s">
        <v>2166</v>
      </c>
      <c r="CJ22" t="s">
        <v>2166</v>
      </c>
      <c r="CK22" t="s">
        <v>2166</v>
      </c>
      <c r="CL22" t="s">
        <v>2166</v>
      </c>
      <c r="CM22" t="s">
        <v>2166</v>
      </c>
      <c r="CN22" t="s">
        <v>2166</v>
      </c>
      <c r="CO22" t="s">
        <v>2166</v>
      </c>
      <c r="CP22" t="s">
        <v>2166</v>
      </c>
      <c r="CQ22" t="s">
        <v>2166</v>
      </c>
      <c r="CR22" t="s">
        <v>2166</v>
      </c>
      <c r="CS22" t="s">
        <v>2166</v>
      </c>
      <c r="CT22" t="s">
        <v>2166</v>
      </c>
      <c r="CU22" t="s">
        <v>2166</v>
      </c>
      <c r="CV22" t="s">
        <v>2166</v>
      </c>
      <c r="CW22" t="s">
        <v>2166</v>
      </c>
      <c r="CX22" t="s">
        <v>2166</v>
      </c>
      <c r="CY22" t="s">
        <v>2166</v>
      </c>
      <c r="CZ22" t="s">
        <v>2166</v>
      </c>
      <c r="DA22" t="s">
        <v>2166</v>
      </c>
      <c r="DB22" t="s">
        <v>2166</v>
      </c>
      <c r="DC22" t="s">
        <v>2166</v>
      </c>
      <c r="DD22" t="s">
        <v>2166</v>
      </c>
      <c r="DE22" t="s">
        <v>2166</v>
      </c>
      <c r="DF22" t="s">
        <v>2166</v>
      </c>
      <c r="DG22" t="s">
        <v>2166</v>
      </c>
      <c r="DH22" t="s">
        <v>2166</v>
      </c>
      <c r="DI22" t="s">
        <v>2166</v>
      </c>
    </row>
    <row r="23" spans="1:113" x14ac:dyDescent="0.2">
      <c r="A23" t="s">
        <v>2166</v>
      </c>
      <c r="B23" t="s">
        <v>2166</v>
      </c>
      <c r="C23" t="s">
        <v>2166</v>
      </c>
      <c r="D23" t="s">
        <v>2166</v>
      </c>
      <c r="E23" t="s">
        <v>2166</v>
      </c>
      <c r="F23" t="s">
        <v>2166</v>
      </c>
      <c r="G23" t="s">
        <v>2166</v>
      </c>
      <c r="H23" t="s">
        <v>2166</v>
      </c>
      <c r="I23" t="s">
        <v>2166</v>
      </c>
      <c r="J23" t="s">
        <v>2166</v>
      </c>
      <c r="K23" t="s">
        <v>2166</v>
      </c>
      <c r="L23" t="s">
        <v>2166</v>
      </c>
      <c r="M23" t="s">
        <v>2166</v>
      </c>
      <c r="N23" t="s">
        <v>2166</v>
      </c>
      <c r="O23" t="s">
        <v>2166</v>
      </c>
      <c r="P23" t="s">
        <v>2166</v>
      </c>
      <c r="Q23" t="s">
        <v>2166</v>
      </c>
      <c r="R23" t="s">
        <v>2166</v>
      </c>
      <c r="S23" t="s">
        <v>2166</v>
      </c>
      <c r="T23" t="s">
        <v>2166</v>
      </c>
      <c r="U23" t="s">
        <v>2166</v>
      </c>
      <c r="V23" t="s">
        <v>2166</v>
      </c>
      <c r="W23" t="s">
        <v>2166</v>
      </c>
      <c r="X23" t="s">
        <v>2166</v>
      </c>
      <c r="Y23" t="s">
        <v>2166</v>
      </c>
      <c r="Z23" t="s">
        <v>2166</v>
      </c>
      <c r="AA23" t="s">
        <v>2166</v>
      </c>
      <c r="AB23" t="s">
        <v>2166</v>
      </c>
      <c r="AC23" t="s">
        <v>2166</v>
      </c>
      <c r="AD23" t="s">
        <v>2166</v>
      </c>
      <c r="AE23" t="s">
        <v>2166</v>
      </c>
      <c r="AF23" t="s">
        <v>2166</v>
      </c>
      <c r="AG23" t="s">
        <v>2166</v>
      </c>
      <c r="AH23" t="s">
        <v>2166</v>
      </c>
      <c r="AI23" t="s">
        <v>2166</v>
      </c>
      <c r="AJ23" t="s">
        <v>2166</v>
      </c>
      <c r="AK23" t="s">
        <v>2166</v>
      </c>
      <c r="AL23" t="s">
        <v>2166</v>
      </c>
      <c r="AM23" t="s">
        <v>2166</v>
      </c>
      <c r="AN23" t="s">
        <v>2166</v>
      </c>
      <c r="AO23" t="s">
        <v>2166</v>
      </c>
      <c r="AP23" t="s">
        <v>2166</v>
      </c>
      <c r="AQ23" t="s">
        <v>2166</v>
      </c>
      <c r="AR23" t="s">
        <v>2166</v>
      </c>
      <c r="AS23" t="s">
        <v>2166</v>
      </c>
      <c r="AT23" t="s">
        <v>2166</v>
      </c>
      <c r="AU23" t="s">
        <v>2166</v>
      </c>
      <c r="AV23" t="s">
        <v>2166</v>
      </c>
      <c r="AW23" t="s">
        <v>2166</v>
      </c>
      <c r="AX23" t="s">
        <v>2166</v>
      </c>
      <c r="AY23" t="s">
        <v>2166</v>
      </c>
      <c r="AZ23" t="s">
        <v>2166</v>
      </c>
      <c r="BA23" t="s">
        <v>2166</v>
      </c>
      <c r="BB23" t="s">
        <v>2166</v>
      </c>
      <c r="BC23" t="s">
        <v>2166</v>
      </c>
      <c r="BD23" t="s">
        <v>2166</v>
      </c>
      <c r="BE23" t="s">
        <v>2166</v>
      </c>
      <c r="BF23" t="s">
        <v>2166</v>
      </c>
      <c r="BG23" t="s">
        <v>2166</v>
      </c>
      <c r="BH23" t="s">
        <v>2166</v>
      </c>
      <c r="BI23" t="s">
        <v>2166</v>
      </c>
      <c r="BJ23" t="s">
        <v>2166</v>
      </c>
      <c r="BK23" t="s">
        <v>2166</v>
      </c>
      <c r="BL23" t="s">
        <v>2166</v>
      </c>
      <c r="BM23" t="s">
        <v>2166</v>
      </c>
      <c r="BN23" t="s">
        <v>2166</v>
      </c>
      <c r="BO23" t="s">
        <v>2166</v>
      </c>
      <c r="BP23" t="s">
        <v>2166</v>
      </c>
      <c r="BQ23" t="s">
        <v>2166</v>
      </c>
      <c r="BR23" t="s">
        <v>2166</v>
      </c>
      <c r="BS23" t="s">
        <v>2166</v>
      </c>
      <c r="BT23" t="s">
        <v>2166</v>
      </c>
      <c r="BU23" t="s">
        <v>2166</v>
      </c>
      <c r="BV23" t="s">
        <v>2166</v>
      </c>
      <c r="BW23" t="s">
        <v>2166</v>
      </c>
      <c r="BX23" t="s">
        <v>2166</v>
      </c>
      <c r="BY23" t="s">
        <v>2166</v>
      </c>
      <c r="BZ23" t="s">
        <v>2166</v>
      </c>
      <c r="CA23" t="s">
        <v>2166</v>
      </c>
      <c r="CB23" t="s">
        <v>2166</v>
      </c>
      <c r="CC23" t="s">
        <v>2166</v>
      </c>
      <c r="CD23" t="s">
        <v>2166</v>
      </c>
      <c r="CE23" t="s">
        <v>2166</v>
      </c>
      <c r="CF23" t="s">
        <v>2166</v>
      </c>
      <c r="CG23" t="s">
        <v>2166</v>
      </c>
      <c r="CH23" t="s">
        <v>2166</v>
      </c>
      <c r="CI23" t="s">
        <v>2166</v>
      </c>
      <c r="CJ23" t="s">
        <v>2166</v>
      </c>
      <c r="CK23" t="s">
        <v>2166</v>
      </c>
      <c r="CL23" t="s">
        <v>2166</v>
      </c>
      <c r="CM23" t="s">
        <v>2166</v>
      </c>
      <c r="CN23" t="s">
        <v>2166</v>
      </c>
      <c r="CO23" t="s">
        <v>2166</v>
      </c>
      <c r="CP23" t="s">
        <v>2166</v>
      </c>
      <c r="CQ23" t="s">
        <v>2166</v>
      </c>
      <c r="CR23" t="s">
        <v>2166</v>
      </c>
      <c r="CS23" t="s">
        <v>2166</v>
      </c>
      <c r="CT23" t="s">
        <v>2166</v>
      </c>
      <c r="CU23" t="s">
        <v>2166</v>
      </c>
      <c r="CV23" t="s">
        <v>2166</v>
      </c>
      <c r="CW23" t="s">
        <v>2166</v>
      </c>
      <c r="CX23" t="s">
        <v>2166</v>
      </c>
      <c r="CY23" t="s">
        <v>2166</v>
      </c>
      <c r="CZ23" t="s">
        <v>2166</v>
      </c>
      <c r="DA23" t="s">
        <v>2166</v>
      </c>
      <c r="DB23" t="s">
        <v>2166</v>
      </c>
      <c r="DC23" t="s">
        <v>2166</v>
      </c>
      <c r="DD23" t="s">
        <v>2166</v>
      </c>
      <c r="DE23" t="s">
        <v>2166</v>
      </c>
      <c r="DF23" t="s">
        <v>2166</v>
      </c>
      <c r="DG23" t="s">
        <v>2166</v>
      </c>
      <c r="DH23" t="s">
        <v>2166</v>
      </c>
      <c r="DI23" t="s">
        <v>2166</v>
      </c>
    </row>
    <row r="24" spans="1:113" x14ac:dyDescent="0.2">
      <c r="A24" t="s">
        <v>2166</v>
      </c>
      <c r="B24" t="s">
        <v>2166</v>
      </c>
      <c r="C24" t="s">
        <v>2166</v>
      </c>
      <c r="D24" t="s">
        <v>2166</v>
      </c>
      <c r="E24" t="s">
        <v>2166</v>
      </c>
      <c r="F24" t="s">
        <v>2166</v>
      </c>
      <c r="G24" t="s">
        <v>2166</v>
      </c>
      <c r="H24" t="s">
        <v>2166</v>
      </c>
      <c r="I24" t="s">
        <v>2166</v>
      </c>
      <c r="J24" t="s">
        <v>2166</v>
      </c>
      <c r="K24" t="s">
        <v>2166</v>
      </c>
      <c r="L24" t="s">
        <v>2166</v>
      </c>
      <c r="M24" t="s">
        <v>2166</v>
      </c>
      <c r="N24" t="s">
        <v>2166</v>
      </c>
      <c r="O24" t="s">
        <v>2166</v>
      </c>
      <c r="P24" t="s">
        <v>2166</v>
      </c>
      <c r="Q24" t="s">
        <v>2166</v>
      </c>
      <c r="R24" t="s">
        <v>2166</v>
      </c>
      <c r="S24" t="s">
        <v>2166</v>
      </c>
      <c r="T24" t="s">
        <v>2166</v>
      </c>
      <c r="U24" t="s">
        <v>2166</v>
      </c>
      <c r="V24" t="s">
        <v>2166</v>
      </c>
      <c r="W24" t="s">
        <v>2166</v>
      </c>
      <c r="X24" t="s">
        <v>2166</v>
      </c>
      <c r="Y24" t="s">
        <v>2166</v>
      </c>
      <c r="Z24" t="s">
        <v>2166</v>
      </c>
      <c r="AA24" t="s">
        <v>2166</v>
      </c>
      <c r="AB24" t="s">
        <v>2166</v>
      </c>
      <c r="AC24" t="s">
        <v>2166</v>
      </c>
      <c r="AD24" t="s">
        <v>2166</v>
      </c>
      <c r="AE24" t="s">
        <v>2166</v>
      </c>
      <c r="AF24" t="s">
        <v>2166</v>
      </c>
      <c r="AG24" t="s">
        <v>2166</v>
      </c>
      <c r="AH24" t="s">
        <v>2166</v>
      </c>
      <c r="AI24" t="s">
        <v>2166</v>
      </c>
      <c r="AJ24" t="s">
        <v>2166</v>
      </c>
      <c r="AK24" t="s">
        <v>2166</v>
      </c>
      <c r="AL24" t="s">
        <v>2166</v>
      </c>
      <c r="AM24" t="s">
        <v>2166</v>
      </c>
      <c r="AN24" t="s">
        <v>2166</v>
      </c>
      <c r="AO24" t="s">
        <v>2166</v>
      </c>
      <c r="AP24" t="s">
        <v>2166</v>
      </c>
      <c r="AQ24" t="s">
        <v>2166</v>
      </c>
      <c r="AR24" t="s">
        <v>2166</v>
      </c>
      <c r="AS24" t="s">
        <v>2166</v>
      </c>
      <c r="AT24" t="s">
        <v>2166</v>
      </c>
      <c r="AU24" t="s">
        <v>2166</v>
      </c>
      <c r="AV24" t="s">
        <v>2166</v>
      </c>
      <c r="AW24" t="s">
        <v>2166</v>
      </c>
      <c r="AX24" t="s">
        <v>2166</v>
      </c>
      <c r="AY24" t="s">
        <v>2166</v>
      </c>
      <c r="AZ24" t="s">
        <v>2166</v>
      </c>
      <c r="BA24" t="s">
        <v>2166</v>
      </c>
      <c r="BB24" t="s">
        <v>2166</v>
      </c>
      <c r="BC24" t="s">
        <v>2166</v>
      </c>
      <c r="BD24" t="s">
        <v>2166</v>
      </c>
      <c r="BE24" t="s">
        <v>2166</v>
      </c>
      <c r="BF24" t="s">
        <v>2166</v>
      </c>
      <c r="BG24" t="s">
        <v>2166</v>
      </c>
      <c r="BH24" t="s">
        <v>2166</v>
      </c>
      <c r="BI24" t="s">
        <v>2166</v>
      </c>
      <c r="BJ24" t="s">
        <v>2166</v>
      </c>
      <c r="BK24" t="s">
        <v>2166</v>
      </c>
      <c r="BL24" t="s">
        <v>2166</v>
      </c>
      <c r="BM24" t="s">
        <v>2166</v>
      </c>
      <c r="BN24" t="s">
        <v>2166</v>
      </c>
      <c r="BO24" t="s">
        <v>2166</v>
      </c>
      <c r="BP24" t="s">
        <v>2166</v>
      </c>
      <c r="BQ24" t="s">
        <v>2166</v>
      </c>
      <c r="BR24" t="s">
        <v>2166</v>
      </c>
      <c r="BS24" t="s">
        <v>2166</v>
      </c>
      <c r="BT24" t="s">
        <v>2166</v>
      </c>
      <c r="BU24" t="s">
        <v>2166</v>
      </c>
      <c r="BV24" t="s">
        <v>2166</v>
      </c>
      <c r="BW24" t="s">
        <v>2166</v>
      </c>
      <c r="BX24" t="s">
        <v>2166</v>
      </c>
      <c r="BY24" t="s">
        <v>2166</v>
      </c>
      <c r="BZ24" t="s">
        <v>2166</v>
      </c>
      <c r="CA24" t="s">
        <v>2166</v>
      </c>
      <c r="CB24" t="s">
        <v>2166</v>
      </c>
      <c r="CC24" t="s">
        <v>2166</v>
      </c>
      <c r="CD24" t="s">
        <v>2166</v>
      </c>
      <c r="CE24" t="s">
        <v>2166</v>
      </c>
      <c r="CF24" t="s">
        <v>2166</v>
      </c>
      <c r="CG24" t="s">
        <v>2166</v>
      </c>
      <c r="CH24" t="s">
        <v>2166</v>
      </c>
      <c r="CI24" t="s">
        <v>2166</v>
      </c>
      <c r="CJ24" t="s">
        <v>2166</v>
      </c>
      <c r="CK24" t="s">
        <v>2166</v>
      </c>
      <c r="CL24" t="s">
        <v>2166</v>
      </c>
      <c r="CM24" t="s">
        <v>2166</v>
      </c>
      <c r="CN24" t="s">
        <v>2166</v>
      </c>
      <c r="CO24" t="s">
        <v>2166</v>
      </c>
      <c r="CP24" t="s">
        <v>2166</v>
      </c>
      <c r="CQ24" t="s">
        <v>2166</v>
      </c>
      <c r="CR24" t="s">
        <v>2166</v>
      </c>
      <c r="CS24" t="s">
        <v>2166</v>
      </c>
      <c r="CT24" t="s">
        <v>2166</v>
      </c>
      <c r="CU24" t="s">
        <v>2166</v>
      </c>
      <c r="CV24" t="s">
        <v>2166</v>
      </c>
      <c r="CW24" t="s">
        <v>2166</v>
      </c>
      <c r="CX24" t="s">
        <v>2166</v>
      </c>
      <c r="CY24" t="s">
        <v>2166</v>
      </c>
      <c r="CZ24" t="s">
        <v>2166</v>
      </c>
      <c r="DA24" t="s">
        <v>2166</v>
      </c>
      <c r="DB24" t="s">
        <v>2166</v>
      </c>
      <c r="DC24" t="s">
        <v>2166</v>
      </c>
      <c r="DD24" t="s">
        <v>2166</v>
      </c>
      <c r="DE24" t="s">
        <v>2166</v>
      </c>
      <c r="DF24" t="s">
        <v>2166</v>
      </c>
      <c r="DG24" t="s">
        <v>2166</v>
      </c>
      <c r="DH24" t="s">
        <v>2166</v>
      </c>
      <c r="DI24" t="s">
        <v>2166</v>
      </c>
    </row>
    <row r="25" spans="1:113" x14ac:dyDescent="0.2">
      <c r="A25" t="s">
        <v>2166</v>
      </c>
      <c r="B25" t="s">
        <v>2166</v>
      </c>
      <c r="C25" t="s">
        <v>2166</v>
      </c>
      <c r="D25" t="s">
        <v>2166</v>
      </c>
      <c r="E25" t="s">
        <v>2166</v>
      </c>
      <c r="F25" t="s">
        <v>2166</v>
      </c>
      <c r="G25" t="s">
        <v>2166</v>
      </c>
      <c r="H25" t="s">
        <v>2166</v>
      </c>
      <c r="I25" t="s">
        <v>2166</v>
      </c>
      <c r="J25" t="s">
        <v>2166</v>
      </c>
      <c r="K25" t="s">
        <v>2166</v>
      </c>
      <c r="L25" t="s">
        <v>2166</v>
      </c>
      <c r="M25" t="s">
        <v>2166</v>
      </c>
      <c r="N25" t="s">
        <v>2166</v>
      </c>
      <c r="O25" t="s">
        <v>2166</v>
      </c>
      <c r="P25" t="s">
        <v>2166</v>
      </c>
      <c r="Q25" t="s">
        <v>2166</v>
      </c>
      <c r="R25" t="s">
        <v>2166</v>
      </c>
      <c r="S25" t="s">
        <v>2166</v>
      </c>
      <c r="T25" t="s">
        <v>2166</v>
      </c>
      <c r="U25" t="s">
        <v>2166</v>
      </c>
      <c r="V25" t="s">
        <v>2166</v>
      </c>
      <c r="W25" t="s">
        <v>2166</v>
      </c>
      <c r="X25" t="s">
        <v>2166</v>
      </c>
      <c r="Y25" t="s">
        <v>2166</v>
      </c>
      <c r="Z25" t="s">
        <v>2166</v>
      </c>
      <c r="AA25" t="s">
        <v>2166</v>
      </c>
      <c r="AB25" t="s">
        <v>2166</v>
      </c>
      <c r="AC25" t="s">
        <v>2166</v>
      </c>
      <c r="AD25" t="s">
        <v>2166</v>
      </c>
      <c r="AE25" t="s">
        <v>2166</v>
      </c>
      <c r="AF25" t="s">
        <v>2166</v>
      </c>
      <c r="AG25" t="s">
        <v>2166</v>
      </c>
      <c r="AH25" t="s">
        <v>2166</v>
      </c>
      <c r="AI25" t="s">
        <v>2166</v>
      </c>
      <c r="AJ25" t="s">
        <v>2166</v>
      </c>
      <c r="AK25" t="s">
        <v>2166</v>
      </c>
      <c r="AL25" t="s">
        <v>2166</v>
      </c>
      <c r="AM25" t="s">
        <v>2166</v>
      </c>
      <c r="AN25" t="s">
        <v>2166</v>
      </c>
      <c r="AO25" t="s">
        <v>2166</v>
      </c>
      <c r="AP25" t="s">
        <v>2166</v>
      </c>
      <c r="AQ25" t="s">
        <v>2166</v>
      </c>
      <c r="AR25" t="s">
        <v>2166</v>
      </c>
      <c r="AS25" t="s">
        <v>2166</v>
      </c>
      <c r="AT25" t="s">
        <v>2166</v>
      </c>
      <c r="AU25" t="s">
        <v>2166</v>
      </c>
      <c r="AV25" t="s">
        <v>2166</v>
      </c>
      <c r="AW25" t="s">
        <v>2166</v>
      </c>
      <c r="AX25" t="s">
        <v>2166</v>
      </c>
      <c r="AY25" t="s">
        <v>2166</v>
      </c>
      <c r="AZ25" t="s">
        <v>2166</v>
      </c>
      <c r="BA25" t="s">
        <v>2166</v>
      </c>
      <c r="BB25" t="s">
        <v>2166</v>
      </c>
      <c r="BC25" t="s">
        <v>2166</v>
      </c>
      <c r="BD25" t="s">
        <v>2166</v>
      </c>
      <c r="BE25" t="s">
        <v>2166</v>
      </c>
      <c r="BF25" t="s">
        <v>2166</v>
      </c>
      <c r="BG25" t="s">
        <v>2166</v>
      </c>
      <c r="BH25" t="s">
        <v>2166</v>
      </c>
      <c r="BI25" t="s">
        <v>2166</v>
      </c>
      <c r="BJ25" t="s">
        <v>2166</v>
      </c>
      <c r="BK25" t="s">
        <v>2166</v>
      </c>
      <c r="BL25" t="s">
        <v>2166</v>
      </c>
      <c r="BM25" t="s">
        <v>2166</v>
      </c>
      <c r="BN25" t="s">
        <v>2166</v>
      </c>
      <c r="BO25" t="s">
        <v>2166</v>
      </c>
      <c r="BP25" t="s">
        <v>2166</v>
      </c>
      <c r="BQ25" t="s">
        <v>2166</v>
      </c>
      <c r="BR25" t="s">
        <v>2166</v>
      </c>
      <c r="BS25" t="s">
        <v>2166</v>
      </c>
      <c r="BT25" t="s">
        <v>2166</v>
      </c>
      <c r="BU25" t="s">
        <v>2166</v>
      </c>
      <c r="BV25" t="s">
        <v>2166</v>
      </c>
      <c r="BW25" t="s">
        <v>2166</v>
      </c>
      <c r="BX25" t="s">
        <v>2166</v>
      </c>
      <c r="BY25" t="s">
        <v>2166</v>
      </c>
      <c r="BZ25" t="s">
        <v>2166</v>
      </c>
      <c r="CA25" t="s">
        <v>2166</v>
      </c>
      <c r="CB25" t="s">
        <v>2166</v>
      </c>
      <c r="CC25" t="s">
        <v>2166</v>
      </c>
      <c r="CD25" t="s">
        <v>2166</v>
      </c>
      <c r="CE25" t="s">
        <v>2166</v>
      </c>
      <c r="CF25" t="s">
        <v>2166</v>
      </c>
      <c r="CG25" t="s">
        <v>2166</v>
      </c>
      <c r="CH25" t="s">
        <v>2166</v>
      </c>
      <c r="CI25" t="s">
        <v>2166</v>
      </c>
      <c r="CJ25" t="s">
        <v>2166</v>
      </c>
      <c r="CK25" t="s">
        <v>2166</v>
      </c>
      <c r="CL25" t="s">
        <v>2166</v>
      </c>
      <c r="CM25" t="s">
        <v>2166</v>
      </c>
      <c r="CN25" t="s">
        <v>2166</v>
      </c>
      <c r="CO25" t="s">
        <v>2166</v>
      </c>
      <c r="CP25" t="s">
        <v>2166</v>
      </c>
      <c r="CQ25" t="s">
        <v>2166</v>
      </c>
      <c r="CR25" t="s">
        <v>2166</v>
      </c>
      <c r="CS25" t="s">
        <v>2166</v>
      </c>
      <c r="CT25" t="s">
        <v>2166</v>
      </c>
      <c r="CU25" t="s">
        <v>2166</v>
      </c>
      <c r="CV25" t="s">
        <v>2166</v>
      </c>
      <c r="CW25" t="s">
        <v>2166</v>
      </c>
      <c r="CX25" t="s">
        <v>2166</v>
      </c>
      <c r="CY25" t="s">
        <v>2166</v>
      </c>
      <c r="CZ25" t="s">
        <v>2166</v>
      </c>
      <c r="DA25" t="s">
        <v>2166</v>
      </c>
      <c r="DB25" t="s">
        <v>2166</v>
      </c>
      <c r="DC25" t="s">
        <v>2166</v>
      </c>
      <c r="DD25" t="s">
        <v>2166</v>
      </c>
      <c r="DE25" t="s">
        <v>2166</v>
      </c>
      <c r="DF25" t="s">
        <v>2166</v>
      </c>
      <c r="DG25" t="s">
        <v>2166</v>
      </c>
      <c r="DH25" t="s">
        <v>2166</v>
      </c>
      <c r="DI25" t="s">
        <v>2166</v>
      </c>
    </row>
    <row r="26" spans="1:113" x14ac:dyDescent="0.2">
      <c r="A26" t="s">
        <v>2166</v>
      </c>
      <c r="B26" t="s">
        <v>2166</v>
      </c>
      <c r="C26" t="s">
        <v>2166</v>
      </c>
      <c r="D26" t="s">
        <v>2166</v>
      </c>
      <c r="E26" t="s">
        <v>2166</v>
      </c>
      <c r="F26" t="s">
        <v>2166</v>
      </c>
      <c r="G26" t="s">
        <v>2166</v>
      </c>
      <c r="H26" t="s">
        <v>2166</v>
      </c>
      <c r="I26" t="s">
        <v>2166</v>
      </c>
      <c r="J26" t="s">
        <v>2166</v>
      </c>
      <c r="K26" t="s">
        <v>2166</v>
      </c>
      <c r="L26" t="s">
        <v>2166</v>
      </c>
      <c r="M26" t="s">
        <v>2166</v>
      </c>
      <c r="N26" t="s">
        <v>2166</v>
      </c>
      <c r="O26" t="s">
        <v>2166</v>
      </c>
      <c r="P26" t="s">
        <v>2166</v>
      </c>
      <c r="Q26" t="s">
        <v>2166</v>
      </c>
      <c r="R26" t="s">
        <v>2166</v>
      </c>
      <c r="S26" t="s">
        <v>2166</v>
      </c>
      <c r="T26" t="s">
        <v>2166</v>
      </c>
      <c r="U26" t="s">
        <v>2166</v>
      </c>
      <c r="V26" t="s">
        <v>2166</v>
      </c>
      <c r="W26" t="s">
        <v>2166</v>
      </c>
      <c r="X26" t="s">
        <v>2166</v>
      </c>
      <c r="Y26" t="s">
        <v>2166</v>
      </c>
      <c r="Z26" t="s">
        <v>2166</v>
      </c>
      <c r="AA26" t="s">
        <v>2166</v>
      </c>
      <c r="AB26" t="s">
        <v>2166</v>
      </c>
      <c r="AC26" t="s">
        <v>2166</v>
      </c>
      <c r="AD26" t="s">
        <v>2166</v>
      </c>
      <c r="AE26" t="s">
        <v>2166</v>
      </c>
      <c r="AF26" t="s">
        <v>2166</v>
      </c>
      <c r="AG26" t="s">
        <v>2166</v>
      </c>
      <c r="AH26" t="s">
        <v>2166</v>
      </c>
      <c r="AI26" t="s">
        <v>2166</v>
      </c>
      <c r="AJ26" t="s">
        <v>2166</v>
      </c>
      <c r="AK26" t="s">
        <v>2166</v>
      </c>
      <c r="AL26" t="s">
        <v>2166</v>
      </c>
      <c r="AM26" t="s">
        <v>2166</v>
      </c>
      <c r="AN26" t="s">
        <v>2166</v>
      </c>
      <c r="AO26" t="s">
        <v>2166</v>
      </c>
      <c r="AP26" t="s">
        <v>2166</v>
      </c>
      <c r="AQ26" t="s">
        <v>2166</v>
      </c>
      <c r="AR26" t="s">
        <v>2166</v>
      </c>
      <c r="AS26" t="s">
        <v>2166</v>
      </c>
      <c r="AT26" t="s">
        <v>2166</v>
      </c>
      <c r="AU26" t="s">
        <v>2166</v>
      </c>
      <c r="AV26" t="s">
        <v>2166</v>
      </c>
      <c r="AW26" t="s">
        <v>2166</v>
      </c>
      <c r="AX26" t="s">
        <v>2166</v>
      </c>
      <c r="AY26" t="s">
        <v>2166</v>
      </c>
      <c r="AZ26" t="s">
        <v>2166</v>
      </c>
      <c r="BA26" t="s">
        <v>2166</v>
      </c>
      <c r="BB26" t="s">
        <v>2166</v>
      </c>
      <c r="BC26" t="s">
        <v>2166</v>
      </c>
      <c r="BD26" t="s">
        <v>2166</v>
      </c>
      <c r="BE26" t="s">
        <v>2166</v>
      </c>
      <c r="BF26" t="s">
        <v>2166</v>
      </c>
      <c r="BG26" t="s">
        <v>2166</v>
      </c>
      <c r="BH26" t="s">
        <v>2166</v>
      </c>
      <c r="BI26" t="s">
        <v>2166</v>
      </c>
      <c r="BJ26" t="s">
        <v>2166</v>
      </c>
      <c r="BK26" t="s">
        <v>2166</v>
      </c>
      <c r="BL26" t="s">
        <v>2166</v>
      </c>
      <c r="BM26" t="s">
        <v>2166</v>
      </c>
      <c r="BN26" t="s">
        <v>2166</v>
      </c>
      <c r="BO26" t="s">
        <v>2166</v>
      </c>
      <c r="BP26" t="s">
        <v>2166</v>
      </c>
      <c r="BQ26" t="s">
        <v>2166</v>
      </c>
      <c r="BR26" t="s">
        <v>2166</v>
      </c>
      <c r="BS26" t="s">
        <v>2166</v>
      </c>
      <c r="BT26" t="s">
        <v>2166</v>
      </c>
      <c r="BU26" t="s">
        <v>2166</v>
      </c>
      <c r="BV26" t="s">
        <v>2166</v>
      </c>
      <c r="BW26" t="s">
        <v>2166</v>
      </c>
      <c r="BX26" t="s">
        <v>2166</v>
      </c>
      <c r="BY26" t="s">
        <v>2166</v>
      </c>
      <c r="BZ26" t="s">
        <v>2166</v>
      </c>
      <c r="CA26" t="s">
        <v>2166</v>
      </c>
      <c r="CB26" t="s">
        <v>2166</v>
      </c>
      <c r="CC26" t="s">
        <v>2166</v>
      </c>
      <c r="CD26" t="s">
        <v>2166</v>
      </c>
      <c r="CE26" t="s">
        <v>2166</v>
      </c>
      <c r="CF26" t="s">
        <v>2166</v>
      </c>
      <c r="CG26" t="s">
        <v>2166</v>
      </c>
      <c r="CH26" t="s">
        <v>2166</v>
      </c>
      <c r="CI26" t="s">
        <v>2166</v>
      </c>
      <c r="CJ26" t="s">
        <v>2166</v>
      </c>
      <c r="CK26" t="s">
        <v>2166</v>
      </c>
      <c r="CL26" t="s">
        <v>2166</v>
      </c>
      <c r="CM26" t="s">
        <v>2166</v>
      </c>
      <c r="CN26" t="s">
        <v>2166</v>
      </c>
      <c r="CO26" t="s">
        <v>2166</v>
      </c>
      <c r="CP26" t="s">
        <v>2166</v>
      </c>
      <c r="CQ26" t="s">
        <v>2166</v>
      </c>
      <c r="CR26" t="s">
        <v>2166</v>
      </c>
      <c r="CS26" t="s">
        <v>2166</v>
      </c>
      <c r="CT26" t="s">
        <v>2166</v>
      </c>
      <c r="CU26" t="s">
        <v>2166</v>
      </c>
      <c r="CV26" t="s">
        <v>2166</v>
      </c>
      <c r="CW26" t="s">
        <v>2166</v>
      </c>
      <c r="CX26" t="s">
        <v>2166</v>
      </c>
      <c r="CY26" t="s">
        <v>2166</v>
      </c>
      <c r="CZ26" t="s">
        <v>2166</v>
      </c>
      <c r="DA26" t="s">
        <v>2166</v>
      </c>
      <c r="DB26" t="s">
        <v>2166</v>
      </c>
      <c r="DC26" t="s">
        <v>2166</v>
      </c>
      <c r="DD26" t="s">
        <v>2166</v>
      </c>
      <c r="DE26" t="s">
        <v>2166</v>
      </c>
      <c r="DF26" t="s">
        <v>2166</v>
      </c>
      <c r="DG26" t="s">
        <v>2166</v>
      </c>
      <c r="DH26" t="s">
        <v>2166</v>
      </c>
      <c r="DI26" t="s">
        <v>2166</v>
      </c>
    </row>
    <row r="27" spans="1:113" x14ac:dyDescent="0.2">
      <c r="A27" t="s">
        <v>2166</v>
      </c>
      <c r="B27" t="s">
        <v>2166</v>
      </c>
      <c r="C27" t="s">
        <v>2166</v>
      </c>
      <c r="D27" t="s">
        <v>2166</v>
      </c>
      <c r="E27" t="s">
        <v>2166</v>
      </c>
      <c r="F27" t="s">
        <v>2166</v>
      </c>
      <c r="G27" t="s">
        <v>2166</v>
      </c>
      <c r="H27" t="s">
        <v>2166</v>
      </c>
      <c r="I27" t="s">
        <v>2166</v>
      </c>
      <c r="J27" t="s">
        <v>2166</v>
      </c>
      <c r="K27" t="s">
        <v>2166</v>
      </c>
      <c r="L27" t="s">
        <v>2166</v>
      </c>
      <c r="M27" t="s">
        <v>2166</v>
      </c>
      <c r="N27" t="s">
        <v>2166</v>
      </c>
      <c r="O27" t="s">
        <v>2166</v>
      </c>
      <c r="P27" t="s">
        <v>2166</v>
      </c>
      <c r="Q27" t="s">
        <v>2166</v>
      </c>
      <c r="R27" t="s">
        <v>2166</v>
      </c>
      <c r="S27" t="s">
        <v>2166</v>
      </c>
      <c r="T27" t="s">
        <v>2166</v>
      </c>
      <c r="U27" t="s">
        <v>2166</v>
      </c>
      <c r="V27" t="s">
        <v>2166</v>
      </c>
      <c r="W27" t="s">
        <v>2166</v>
      </c>
      <c r="X27" t="s">
        <v>2166</v>
      </c>
      <c r="Y27" t="s">
        <v>2166</v>
      </c>
      <c r="Z27" t="s">
        <v>2166</v>
      </c>
      <c r="AA27" t="s">
        <v>2166</v>
      </c>
      <c r="AB27" t="s">
        <v>2166</v>
      </c>
      <c r="AC27" t="s">
        <v>2166</v>
      </c>
      <c r="AD27" t="s">
        <v>2166</v>
      </c>
      <c r="AE27" t="s">
        <v>2166</v>
      </c>
      <c r="AF27" t="s">
        <v>2166</v>
      </c>
      <c r="AG27" t="s">
        <v>2166</v>
      </c>
      <c r="AH27" t="s">
        <v>2166</v>
      </c>
      <c r="AI27" t="s">
        <v>2166</v>
      </c>
      <c r="AJ27" t="s">
        <v>2166</v>
      </c>
      <c r="AK27" t="s">
        <v>2166</v>
      </c>
      <c r="AL27" t="s">
        <v>2166</v>
      </c>
      <c r="AM27" t="s">
        <v>2166</v>
      </c>
      <c r="AN27" t="s">
        <v>2166</v>
      </c>
      <c r="AO27" t="s">
        <v>2166</v>
      </c>
      <c r="AP27" t="s">
        <v>2166</v>
      </c>
      <c r="AQ27" t="s">
        <v>2166</v>
      </c>
      <c r="AR27" t="s">
        <v>2166</v>
      </c>
      <c r="AS27" t="s">
        <v>2166</v>
      </c>
      <c r="AT27" t="s">
        <v>2166</v>
      </c>
      <c r="AU27" t="s">
        <v>2166</v>
      </c>
      <c r="AV27" t="s">
        <v>2166</v>
      </c>
      <c r="AW27" t="s">
        <v>2166</v>
      </c>
      <c r="AX27" t="s">
        <v>2166</v>
      </c>
      <c r="AY27" t="s">
        <v>2166</v>
      </c>
      <c r="AZ27" t="s">
        <v>2166</v>
      </c>
      <c r="BA27" t="s">
        <v>2166</v>
      </c>
      <c r="BB27" t="s">
        <v>2166</v>
      </c>
      <c r="BC27" t="s">
        <v>2166</v>
      </c>
      <c r="BD27" t="s">
        <v>2166</v>
      </c>
      <c r="BE27" t="s">
        <v>2166</v>
      </c>
      <c r="BF27" t="s">
        <v>2166</v>
      </c>
      <c r="BG27" t="s">
        <v>2166</v>
      </c>
      <c r="BH27" t="s">
        <v>2166</v>
      </c>
      <c r="BI27" t="s">
        <v>2166</v>
      </c>
      <c r="BJ27" t="s">
        <v>2166</v>
      </c>
      <c r="BK27" t="s">
        <v>2166</v>
      </c>
      <c r="BL27" t="s">
        <v>2166</v>
      </c>
      <c r="BM27" t="s">
        <v>2166</v>
      </c>
      <c r="BN27" t="s">
        <v>2166</v>
      </c>
      <c r="BO27" t="s">
        <v>2166</v>
      </c>
      <c r="BP27" t="s">
        <v>2166</v>
      </c>
      <c r="BQ27" t="s">
        <v>2166</v>
      </c>
      <c r="BR27" t="s">
        <v>2166</v>
      </c>
      <c r="BS27" t="s">
        <v>2166</v>
      </c>
      <c r="BT27" t="s">
        <v>2166</v>
      </c>
      <c r="BU27" t="s">
        <v>2166</v>
      </c>
      <c r="BV27" t="s">
        <v>2166</v>
      </c>
      <c r="BW27" t="s">
        <v>2166</v>
      </c>
      <c r="BX27" t="s">
        <v>2166</v>
      </c>
      <c r="BY27" t="s">
        <v>2166</v>
      </c>
      <c r="BZ27" t="s">
        <v>2166</v>
      </c>
      <c r="CA27" t="s">
        <v>2166</v>
      </c>
      <c r="CB27" t="s">
        <v>2166</v>
      </c>
      <c r="CC27" t="s">
        <v>2166</v>
      </c>
      <c r="CD27" t="s">
        <v>2166</v>
      </c>
      <c r="CE27" t="s">
        <v>2166</v>
      </c>
      <c r="CF27" t="s">
        <v>2166</v>
      </c>
      <c r="CG27" t="s">
        <v>2166</v>
      </c>
      <c r="CH27" t="s">
        <v>2166</v>
      </c>
      <c r="CI27" t="s">
        <v>2166</v>
      </c>
      <c r="CJ27" t="s">
        <v>2166</v>
      </c>
      <c r="CK27" t="s">
        <v>2166</v>
      </c>
      <c r="CL27" t="s">
        <v>2166</v>
      </c>
      <c r="CM27" t="s">
        <v>2166</v>
      </c>
      <c r="CN27" t="s">
        <v>2166</v>
      </c>
      <c r="CO27" t="s">
        <v>2166</v>
      </c>
      <c r="CP27" t="s">
        <v>2166</v>
      </c>
      <c r="CQ27" t="s">
        <v>2166</v>
      </c>
      <c r="CR27" t="s">
        <v>2166</v>
      </c>
      <c r="CS27" t="s">
        <v>2166</v>
      </c>
      <c r="CT27" t="s">
        <v>2166</v>
      </c>
      <c r="CU27" t="s">
        <v>2166</v>
      </c>
      <c r="CV27" t="s">
        <v>2166</v>
      </c>
      <c r="CW27" t="s">
        <v>2166</v>
      </c>
      <c r="CX27" t="s">
        <v>2166</v>
      </c>
      <c r="CY27" t="s">
        <v>2166</v>
      </c>
      <c r="CZ27" t="s">
        <v>2166</v>
      </c>
      <c r="DA27" t="s">
        <v>2166</v>
      </c>
      <c r="DB27" t="s">
        <v>2166</v>
      </c>
      <c r="DC27" t="s">
        <v>2166</v>
      </c>
      <c r="DD27" t="s">
        <v>2166</v>
      </c>
      <c r="DE27" t="s">
        <v>2166</v>
      </c>
      <c r="DF27" t="s">
        <v>2166</v>
      </c>
      <c r="DG27" t="s">
        <v>2166</v>
      </c>
      <c r="DH27" t="s">
        <v>2166</v>
      </c>
      <c r="DI27" t="s">
        <v>2166</v>
      </c>
    </row>
    <row r="28" spans="1:113" x14ac:dyDescent="0.2">
      <c r="A28" t="s">
        <v>2166</v>
      </c>
      <c r="B28" t="s">
        <v>2166</v>
      </c>
      <c r="C28" t="s">
        <v>2166</v>
      </c>
      <c r="D28" t="s">
        <v>2166</v>
      </c>
      <c r="E28" t="s">
        <v>2166</v>
      </c>
      <c r="F28" t="s">
        <v>2166</v>
      </c>
      <c r="G28" t="s">
        <v>2166</v>
      </c>
      <c r="H28" t="s">
        <v>2166</v>
      </c>
      <c r="I28" t="s">
        <v>2166</v>
      </c>
      <c r="J28" t="s">
        <v>2166</v>
      </c>
      <c r="K28" t="s">
        <v>2166</v>
      </c>
      <c r="L28" t="s">
        <v>2166</v>
      </c>
      <c r="M28" t="s">
        <v>2166</v>
      </c>
      <c r="N28" t="s">
        <v>2166</v>
      </c>
      <c r="O28" t="s">
        <v>2166</v>
      </c>
      <c r="P28" t="s">
        <v>2166</v>
      </c>
      <c r="Q28" t="s">
        <v>2166</v>
      </c>
      <c r="R28" t="s">
        <v>2166</v>
      </c>
      <c r="S28" t="s">
        <v>2166</v>
      </c>
      <c r="T28" t="s">
        <v>2166</v>
      </c>
      <c r="U28" t="s">
        <v>2166</v>
      </c>
      <c r="V28" t="s">
        <v>2166</v>
      </c>
      <c r="W28" t="s">
        <v>2166</v>
      </c>
      <c r="X28" t="s">
        <v>2166</v>
      </c>
      <c r="Y28" t="s">
        <v>2166</v>
      </c>
      <c r="Z28" t="s">
        <v>2166</v>
      </c>
      <c r="AA28" t="s">
        <v>2166</v>
      </c>
      <c r="AB28" t="s">
        <v>2166</v>
      </c>
      <c r="AC28" t="s">
        <v>2166</v>
      </c>
      <c r="AD28" t="s">
        <v>2166</v>
      </c>
      <c r="AE28" t="s">
        <v>2166</v>
      </c>
      <c r="AF28" t="s">
        <v>2166</v>
      </c>
      <c r="AG28" t="s">
        <v>2166</v>
      </c>
      <c r="AH28" t="s">
        <v>2166</v>
      </c>
      <c r="AI28" t="s">
        <v>2166</v>
      </c>
      <c r="AJ28" t="s">
        <v>2166</v>
      </c>
      <c r="AK28" t="s">
        <v>2166</v>
      </c>
      <c r="AL28" t="s">
        <v>2166</v>
      </c>
      <c r="AM28" t="s">
        <v>2166</v>
      </c>
      <c r="AN28" t="s">
        <v>2166</v>
      </c>
      <c r="AO28" t="s">
        <v>2166</v>
      </c>
      <c r="AP28" t="s">
        <v>2166</v>
      </c>
      <c r="AQ28" t="s">
        <v>2166</v>
      </c>
      <c r="AR28" t="s">
        <v>2166</v>
      </c>
      <c r="AS28" t="s">
        <v>2166</v>
      </c>
      <c r="AT28" t="s">
        <v>2166</v>
      </c>
      <c r="AU28" t="s">
        <v>2166</v>
      </c>
      <c r="AV28" t="s">
        <v>2166</v>
      </c>
      <c r="AW28" t="s">
        <v>2166</v>
      </c>
      <c r="AX28" t="s">
        <v>2166</v>
      </c>
      <c r="AY28" t="s">
        <v>2166</v>
      </c>
      <c r="AZ28" t="s">
        <v>2166</v>
      </c>
      <c r="BA28" t="s">
        <v>2166</v>
      </c>
      <c r="BB28" t="s">
        <v>2166</v>
      </c>
      <c r="BC28" t="s">
        <v>2166</v>
      </c>
      <c r="BD28" t="s">
        <v>2166</v>
      </c>
      <c r="BE28" t="s">
        <v>2166</v>
      </c>
      <c r="BF28" t="s">
        <v>2166</v>
      </c>
      <c r="BG28" t="s">
        <v>2166</v>
      </c>
      <c r="BH28" t="s">
        <v>2166</v>
      </c>
      <c r="BI28" t="s">
        <v>2166</v>
      </c>
      <c r="BJ28" t="s">
        <v>2166</v>
      </c>
      <c r="BK28" t="s">
        <v>2166</v>
      </c>
      <c r="BL28" t="s">
        <v>2166</v>
      </c>
      <c r="BM28" t="s">
        <v>2166</v>
      </c>
      <c r="BN28" t="s">
        <v>2166</v>
      </c>
      <c r="BO28" t="s">
        <v>2166</v>
      </c>
      <c r="BP28" t="s">
        <v>2166</v>
      </c>
      <c r="BQ28" t="s">
        <v>2166</v>
      </c>
      <c r="BR28" t="s">
        <v>2166</v>
      </c>
      <c r="BS28" t="s">
        <v>2166</v>
      </c>
      <c r="BT28" t="s">
        <v>2166</v>
      </c>
      <c r="BU28" t="s">
        <v>2166</v>
      </c>
      <c r="BV28" t="s">
        <v>2166</v>
      </c>
      <c r="BW28" t="s">
        <v>2166</v>
      </c>
      <c r="BX28" t="s">
        <v>2166</v>
      </c>
      <c r="BY28" t="s">
        <v>2166</v>
      </c>
      <c r="BZ28" t="s">
        <v>2166</v>
      </c>
      <c r="CA28" t="s">
        <v>2166</v>
      </c>
      <c r="CB28" t="s">
        <v>2166</v>
      </c>
      <c r="CC28" t="s">
        <v>2166</v>
      </c>
      <c r="CD28" t="s">
        <v>2166</v>
      </c>
      <c r="CE28" t="s">
        <v>2166</v>
      </c>
      <c r="CF28" t="s">
        <v>2166</v>
      </c>
      <c r="CG28" t="s">
        <v>2166</v>
      </c>
      <c r="CH28" t="s">
        <v>2166</v>
      </c>
      <c r="CI28" t="s">
        <v>2166</v>
      </c>
      <c r="CJ28" t="s">
        <v>2166</v>
      </c>
      <c r="CK28" t="s">
        <v>2166</v>
      </c>
      <c r="CL28" t="s">
        <v>2166</v>
      </c>
      <c r="CM28" t="s">
        <v>2166</v>
      </c>
      <c r="CN28" t="s">
        <v>2166</v>
      </c>
      <c r="CO28" t="s">
        <v>2166</v>
      </c>
      <c r="CP28" t="s">
        <v>2166</v>
      </c>
      <c r="CQ28" t="s">
        <v>2166</v>
      </c>
      <c r="CR28" t="s">
        <v>2166</v>
      </c>
      <c r="CS28" t="s">
        <v>2166</v>
      </c>
      <c r="CT28" t="s">
        <v>2166</v>
      </c>
      <c r="CU28" t="s">
        <v>2166</v>
      </c>
      <c r="CV28" t="s">
        <v>2166</v>
      </c>
      <c r="CW28" t="s">
        <v>2166</v>
      </c>
      <c r="CX28" t="s">
        <v>2166</v>
      </c>
      <c r="CY28" t="s">
        <v>2166</v>
      </c>
      <c r="CZ28" t="s">
        <v>2166</v>
      </c>
      <c r="DA28" t="s">
        <v>2166</v>
      </c>
      <c r="DB28" t="s">
        <v>2166</v>
      </c>
      <c r="DC28" t="s">
        <v>2166</v>
      </c>
      <c r="DD28" t="s">
        <v>2166</v>
      </c>
      <c r="DE28" t="s">
        <v>2166</v>
      </c>
      <c r="DF28" t="s">
        <v>2166</v>
      </c>
      <c r="DG28" t="s">
        <v>2166</v>
      </c>
      <c r="DH28" t="s">
        <v>2166</v>
      </c>
      <c r="DI28" t="s">
        <v>2166</v>
      </c>
    </row>
    <row r="29" spans="1:113" x14ac:dyDescent="0.2">
      <c r="A29" t="s">
        <v>2166</v>
      </c>
      <c r="B29" t="s">
        <v>2166</v>
      </c>
      <c r="C29" t="s">
        <v>2166</v>
      </c>
      <c r="D29" t="s">
        <v>2166</v>
      </c>
      <c r="E29" t="s">
        <v>2166</v>
      </c>
      <c r="F29" t="s">
        <v>2166</v>
      </c>
      <c r="G29" t="s">
        <v>2166</v>
      </c>
      <c r="H29" t="s">
        <v>2166</v>
      </c>
      <c r="I29" t="s">
        <v>2166</v>
      </c>
      <c r="J29" t="s">
        <v>2166</v>
      </c>
      <c r="K29" t="s">
        <v>2166</v>
      </c>
      <c r="L29" t="s">
        <v>2166</v>
      </c>
      <c r="M29" t="s">
        <v>2166</v>
      </c>
      <c r="N29" t="s">
        <v>2166</v>
      </c>
      <c r="O29" t="s">
        <v>2166</v>
      </c>
      <c r="P29" t="s">
        <v>2166</v>
      </c>
      <c r="Q29" t="s">
        <v>2166</v>
      </c>
      <c r="R29" t="s">
        <v>2166</v>
      </c>
      <c r="S29" t="s">
        <v>2166</v>
      </c>
      <c r="T29" t="s">
        <v>2166</v>
      </c>
      <c r="U29" t="s">
        <v>2166</v>
      </c>
      <c r="V29" t="s">
        <v>2166</v>
      </c>
      <c r="W29" t="s">
        <v>2166</v>
      </c>
      <c r="X29" t="s">
        <v>2166</v>
      </c>
      <c r="Y29" t="s">
        <v>2166</v>
      </c>
      <c r="Z29" t="s">
        <v>2166</v>
      </c>
      <c r="AA29" t="s">
        <v>2166</v>
      </c>
      <c r="AB29" t="s">
        <v>2166</v>
      </c>
      <c r="AC29" t="s">
        <v>2166</v>
      </c>
      <c r="AD29" t="s">
        <v>2166</v>
      </c>
      <c r="AE29" t="s">
        <v>2166</v>
      </c>
      <c r="AF29" t="s">
        <v>2166</v>
      </c>
      <c r="AG29" t="s">
        <v>2166</v>
      </c>
      <c r="AH29" t="s">
        <v>2166</v>
      </c>
      <c r="AI29" t="s">
        <v>2166</v>
      </c>
      <c r="AJ29" t="s">
        <v>2166</v>
      </c>
      <c r="AK29" t="s">
        <v>2166</v>
      </c>
      <c r="AL29" t="s">
        <v>2166</v>
      </c>
      <c r="AM29" t="s">
        <v>2166</v>
      </c>
      <c r="AN29" t="s">
        <v>2166</v>
      </c>
      <c r="AO29" t="s">
        <v>2166</v>
      </c>
      <c r="AP29" t="s">
        <v>2166</v>
      </c>
      <c r="AQ29" t="s">
        <v>2166</v>
      </c>
      <c r="AR29" t="s">
        <v>2166</v>
      </c>
      <c r="AS29" t="s">
        <v>2166</v>
      </c>
      <c r="AT29" t="s">
        <v>2166</v>
      </c>
      <c r="AU29" t="s">
        <v>2166</v>
      </c>
      <c r="AV29" t="s">
        <v>2166</v>
      </c>
      <c r="AW29" t="s">
        <v>2166</v>
      </c>
      <c r="AX29" t="s">
        <v>2166</v>
      </c>
      <c r="AY29" t="s">
        <v>2166</v>
      </c>
      <c r="AZ29" t="s">
        <v>2166</v>
      </c>
      <c r="BA29" t="s">
        <v>2166</v>
      </c>
      <c r="BB29" t="s">
        <v>2166</v>
      </c>
      <c r="BC29" t="s">
        <v>2166</v>
      </c>
      <c r="BD29" t="s">
        <v>2166</v>
      </c>
      <c r="BE29" t="s">
        <v>2166</v>
      </c>
      <c r="BF29" t="s">
        <v>2166</v>
      </c>
      <c r="BG29" t="s">
        <v>2166</v>
      </c>
      <c r="BH29" t="s">
        <v>2166</v>
      </c>
      <c r="BI29" t="s">
        <v>2166</v>
      </c>
      <c r="BJ29" t="s">
        <v>2166</v>
      </c>
      <c r="BK29" t="s">
        <v>2166</v>
      </c>
      <c r="BL29" t="s">
        <v>2166</v>
      </c>
      <c r="BM29" t="s">
        <v>2166</v>
      </c>
      <c r="BN29" t="s">
        <v>2166</v>
      </c>
      <c r="BO29" t="s">
        <v>2166</v>
      </c>
      <c r="BP29" t="s">
        <v>2166</v>
      </c>
      <c r="BQ29" t="s">
        <v>2166</v>
      </c>
      <c r="BR29" t="s">
        <v>2166</v>
      </c>
      <c r="BS29" t="s">
        <v>2166</v>
      </c>
      <c r="BT29" t="s">
        <v>2166</v>
      </c>
      <c r="BU29" t="s">
        <v>2166</v>
      </c>
      <c r="BV29" t="s">
        <v>2166</v>
      </c>
      <c r="BW29" t="s">
        <v>2166</v>
      </c>
      <c r="BX29" t="s">
        <v>2166</v>
      </c>
      <c r="BY29" t="s">
        <v>2166</v>
      </c>
      <c r="BZ29" t="s">
        <v>2166</v>
      </c>
      <c r="CA29" t="s">
        <v>2166</v>
      </c>
      <c r="CB29" t="s">
        <v>2166</v>
      </c>
      <c r="CC29" t="s">
        <v>2166</v>
      </c>
      <c r="CD29" t="s">
        <v>2166</v>
      </c>
      <c r="CE29" t="s">
        <v>2166</v>
      </c>
      <c r="CF29" t="s">
        <v>2166</v>
      </c>
      <c r="CG29" t="s">
        <v>2166</v>
      </c>
      <c r="CH29" t="s">
        <v>2166</v>
      </c>
      <c r="CI29" t="s">
        <v>2166</v>
      </c>
      <c r="CJ29" t="s">
        <v>2166</v>
      </c>
      <c r="CK29" t="s">
        <v>2166</v>
      </c>
      <c r="CL29" t="s">
        <v>2166</v>
      </c>
      <c r="CM29" t="s">
        <v>2166</v>
      </c>
      <c r="CN29" t="s">
        <v>2166</v>
      </c>
      <c r="CO29" t="s">
        <v>2166</v>
      </c>
      <c r="CP29" t="s">
        <v>2166</v>
      </c>
      <c r="CQ29" t="s">
        <v>2166</v>
      </c>
      <c r="CR29" t="s">
        <v>2166</v>
      </c>
      <c r="CS29" t="s">
        <v>2166</v>
      </c>
      <c r="CT29" t="s">
        <v>2166</v>
      </c>
      <c r="CU29" t="s">
        <v>2166</v>
      </c>
      <c r="CV29" t="s">
        <v>2166</v>
      </c>
      <c r="CW29" t="s">
        <v>2166</v>
      </c>
      <c r="CX29" t="s">
        <v>2166</v>
      </c>
      <c r="CY29" t="s">
        <v>2166</v>
      </c>
      <c r="CZ29" t="s">
        <v>2166</v>
      </c>
      <c r="DA29" t="s">
        <v>2166</v>
      </c>
      <c r="DB29" t="s">
        <v>2166</v>
      </c>
      <c r="DC29" t="s">
        <v>2166</v>
      </c>
      <c r="DD29" t="s">
        <v>2166</v>
      </c>
      <c r="DE29" t="s">
        <v>2166</v>
      </c>
      <c r="DF29" t="s">
        <v>2166</v>
      </c>
      <c r="DG29" t="s">
        <v>2166</v>
      </c>
      <c r="DH29" t="s">
        <v>2166</v>
      </c>
      <c r="DI29" t="s">
        <v>2166</v>
      </c>
    </row>
    <row r="30" spans="1:113" x14ac:dyDescent="0.2">
      <c r="A30" t="s">
        <v>2166</v>
      </c>
      <c r="B30" t="s">
        <v>2166</v>
      </c>
      <c r="C30" t="s">
        <v>2166</v>
      </c>
      <c r="D30" t="s">
        <v>2166</v>
      </c>
      <c r="E30" t="s">
        <v>2166</v>
      </c>
      <c r="F30" t="s">
        <v>2166</v>
      </c>
      <c r="G30" t="s">
        <v>2166</v>
      </c>
      <c r="H30" t="s">
        <v>2166</v>
      </c>
      <c r="I30" t="s">
        <v>2166</v>
      </c>
      <c r="J30" t="s">
        <v>2166</v>
      </c>
      <c r="K30" t="s">
        <v>2166</v>
      </c>
      <c r="L30" t="s">
        <v>2166</v>
      </c>
      <c r="M30" t="s">
        <v>2166</v>
      </c>
      <c r="N30" t="s">
        <v>2166</v>
      </c>
      <c r="O30" t="s">
        <v>2166</v>
      </c>
      <c r="P30" t="s">
        <v>2166</v>
      </c>
      <c r="Q30" t="s">
        <v>2166</v>
      </c>
      <c r="R30" t="s">
        <v>2166</v>
      </c>
      <c r="S30" t="s">
        <v>2166</v>
      </c>
      <c r="T30" t="s">
        <v>2166</v>
      </c>
      <c r="U30" t="s">
        <v>2166</v>
      </c>
      <c r="V30" t="s">
        <v>2166</v>
      </c>
      <c r="W30" t="s">
        <v>2166</v>
      </c>
      <c r="X30" t="s">
        <v>2166</v>
      </c>
      <c r="Y30" t="s">
        <v>2166</v>
      </c>
      <c r="Z30" t="s">
        <v>2166</v>
      </c>
      <c r="AA30" t="s">
        <v>2166</v>
      </c>
      <c r="AB30" t="s">
        <v>2166</v>
      </c>
      <c r="AC30" t="s">
        <v>2166</v>
      </c>
      <c r="AD30" t="s">
        <v>2166</v>
      </c>
      <c r="AE30" t="s">
        <v>2166</v>
      </c>
      <c r="AF30" t="s">
        <v>2166</v>
      </c>
      <c r="AG30" t="s">
        <v>2166</v>
      </c>
      <c r="AH30" t="s">
        <v>2166</v>
      </c>
      <c r="AI30" t="s">
        <v>2166</v>
      </c>
      <c r="AJ30" t="s">
        <v>2166</v>
      </c>
      <c r="AK30" t="s">
        <v>2166</v>
      </c>
      <c r="AL30" t="s">
        <v>2166</v>
      </c>
      <c r="AM30" t="s">
        <v>2166</v>
      </c>
      <c r="AN30" t="s">
        <v>2166</v>
      </c>
      <c r="AO30" t="s">
        <v>2166</v>
      </c>
      <c r="AP30" t="s">
        <v>2166</v>
      </c>
      <c r="AQ30" t="s">
        <v>2166</v>
      </c>
      <c r="AR30" t="s">
        <v>2166</v>
      </c>
      <c r="AS30" t="s">
        <v>2166</v>
      </c>
      <c r="AT30" t="s">
        <v>2166</v>
      </c>
      <c r="AU30" t="s">
        <v>2166</v>
      </c>
      <c r="AV30" t="s">
        <v>2166</v>
      </c>
      <c r="AW30" t="s">
        <v>2166</v>
      </c>
      <c r="AX30" t="s">
        <v>2166</v>
      </c>
      <c r="AY30" t="s">
        <v>2166</v>
      </c>
      <c r="AZ30" t="s">
        <v>2166</v>
      </c>
      <c r="BA30" t="s">
        <v>2166</v>
      </c>
      <c r="BB30" t="s">
        <v>2166</v>
      </c>
      <c r="BC30" t="s">
        <v>2166</v>
      </c>
      <c r="BD30" t="s">
        <v>2166</v>
      </c>
      <c r="BE30" t="s">
        <v>2166</v>
      </c>
      <c r="BF30" t="s">
        <v>2166</v>
      </c>
      <c r="BG30" t="s">
        <v>2166</v>
      </c>
      <c r="BH30" t="s">
        <v>2166</v>
      </c>
      <c r="BI30" t="s">
        <v>2166</v>
      </c>
      <c r="BJ30" t="s">
        <v>2166</v>
      </c>
      <c r="BK30" t="s">
        <v>2166</v>
      </c>
      <c r="BL30" t="s">
        <v>2166</v>
      </c>
      <c r="BM30" t="s">
        <v>2166</v>
      </c>
      <c r="BN30" t="s">
        <v>2166</v>
      </c>
      <c r="BO30" t="s">
        <v>2166</v>
      </c>
      <c r="BP30" t="s">
        <v>2166</v>
      </c>
      <c r="BQ30" t="s">
        <v>2166</v>
      </c>
      <c r="BR30" t="s">
        <v>2166</v>
      </c>
      <c r="BS30" t="s">
        <v>2166</v>
      </c>
      <c r="BT30" t="s">
        <v>2166</v>
      </c>
      <c r="BU30" t="s">
        <v>2166</v>
      </c>
      <c r="BV30" t="s">
        <v>2166</v>
      </c>
      <c r="BW30" t="s">
        <v>2166</v>
      </c>
      <c r="BX30" t="s">
        <v>2166</v>
      </c>
      <c r="BY30" t="s">
        <v>2166</v>
      </c>
      <c r="BZ30" t="s">
        <v>2166</v>
      </c>
      <c r="CA30" t="s">
        <v>2166</v>
      </c>
      <c r="CB30" t="s">
        <v>2166</v>
      </c>
      <c r="CC30" t="s">
        <v>2166</v>
      </c>
      <c r="CD30" t="s">
        <v>2166</v>
      </c>
      <c r="CE30" t="s">
        <v>2166</v>
      </c>
      <c r="CF30" t="s">
        <v>2166</v>
      </c>
      <c r="CG30" t="s">
        <v>2166</v>
      </c>
      <c r="CH30" t="s">
        <v>2166</v>
      </c>
      <c r="CI30" t="s">
        <v>2166</v>
      </c>
      <c r="CJ30" t="s">
        <v>2166</v>
      </c>
      <c r="CK30" t="s">
        <v>2166</v>
      </c>
      <c r="CL30" t="s">
        <v>2166</v>
      </c>
      <c r="CM30" t="s">
        <v>2166</v>
      </c>
      <c r="CN30" t="s">
        <v>2166</v>
      </c>
      <c r="CO30" t="s">
        <v>2166</v>
      </c>
      <c r="CP30" t="s">
        <v>2166</v>
      </c>
      <c r="CQ30" t="s">
        <v>2166</v>
      </c>
      <c r="CR30" t="s">
        <v>2166</v>
      </c>
      <c r="CS30" t="s">
        <v>2166</v>
      </c>
      <c r="CT30" t="s">
        <v>2166</v>
      </c>
      <c r="CU30" t="s">
        <v>2166</v>
      </c>
      <c r="CV30" t="s">
        <v>2166</v>
      </c>
      <c r="CW30" t="s">
        <v>2166</v>
      </c>
      <c r="CX30" t="s">
        <v>2166</v>
      </c>
      <c r="CY30" t="s">
        <v>2166</v>
      </c>
      <c r="CZ30" t="s">
        <v>2166</v>
      </c>
      <c r="DA30" t="s">
        <v>2166</v>
      </c>
      <c r="DB30" t="s">
        <v>2166</v>
      </c>
      <c r="DC30" t="s">
        <v>2166</v>
      </c>
      <c r="DD30" t="s">
        <v>2166</v>
      </c>
      <c r="DE30" t="s">
        <v>2166</v>
      </c>
      <c r="DF30" t="s">
        <v>2166</v>
      </c>
      <c r="DG30" t="s">
        <v>2166</v>
      </c>
      <c r="DH30" t="s">
        <v>2166</v>
      </c>
      <c r="DI30" t="s">
        <v>2166</v>
      </c>
    </row>
    <row r="31" spans="1:113" x14ac:dyDescent="0.2">
      <c r="A31" t="s">
        <v>2166</v>
      </c>
      <c r="B31" t="s">
        <v>2166</v>
      </c>
      <c r="C31" t="s">
        <v>2166</v>
      </c>
      <c r="D31" t="s">
        <v>2166</v>
      </c>
      <c r="E31" t="s">
        <v>2166</v>
      </c>
      <c r="F31" t="s">
        <v>2166</v>
      </c>
      <c r="G31" t="s">
        <v>2166</v>
      </c>
      <c r="H31" t="s">
        <v>2166</v>
      </c>
      <c r="I31" t="s">
        <v>2166</v>
      </c>
      <c r="J31" t="s">
        <v>2166</v>
      </c>
      <c r="K31" t="s">
        <v>2166</v>
      </c>
      <c r="L31" t="s">
        <v>2166</v>
      </c>
      <c r="M31" t="s">
        <v>2166</v>
      </c>
      <c r="N31" t="s">
        <v>2166</v>
      </c>
      <c r="O31" t="s">
        <v>2166</v>
      </c>
      <c r="P31" t="s">
        <v>2166</v>
      </c>
      <c r="Q31" t="s">
        <v>2166</v>
      </c>
      <c r="R31" t="s">
        <v>2166</v>
      </c>
      <c r="S31" t="s">
        <v>2166</v>
      </c>
      <c r="T31" t="s">
        <v>2166</v>
      </c>
      <c r="U31" t="s">
        <v>2166</v>
      </c>
      <c r="V31" t="s">
        <v>2166</v>
      </c>
      <c r="W31" t="s">
        <v>2166</v>
      </c>
      <c r="X31" t="s">
        <v>2166</v>
      </c>
      <c r="Y31" t="s">
        <v>2166</v>
      </c>
      <c r="Z31" t="s">
        <v>2166</v>
      </c>
      <c r="AA31" t="s">
        <v>2166</v>
      </c>
      <c r="AB31" t="s">
        <v>2166</v>
      </c>
      <c r="AC31" t="s">
        <v>2166</v>
      </c>
      <c r="AD31" t="s">
        <v>2166</v>
      </c>
      <c r="AE31" t="s">
        <v>2166</v>
      </c>
      <c r="AF31" t="s">
        <v>2166</v>
      </c>
      <c r="AG31" t="s">
        <v>2166</v>
      </c>
      <c r="AH31" t="s">
        <v>2166</v>
      </c>
      <c r="AI31" t="s">
        <v>2166</v>
      </c>
      <c r="AJ31" t="s">
        <v>2166</v>
      </c>
      <c r="AK31" t="s">
        <v>2166</v>
      </c>
      <c r="AL31" t="s">
        <v>2166</v>
      </c>
      <c r="AM31" t="s">
        <v>2166</v>
      </c>
      <c r="AN31" t="s">
        <v>2166</v>
      </c>
      <c r="AO31" t="s">
        <v>2166</v>
      </c>
      <c r="AP31" t="s">
        <v>2166</v>
      </c>
      <c r="AQ31" t="s">
        <v>2166</v>
      </c>
      <c r="AR31" t="s">
        <v>2166</v>
      </c>
      <c r="AS31" t="s">
        <v>2166</v>
      </c>
      <c r="AT31" t="s">
        <v>2166</v>
      </c>
      <c r="AU31" t="s">
        <v>2166</v>
      </c>
      <c r="AV31" t="s">
        <v>2166</v>
      </c>
      <c r="AW31" t="s">
        <v>2166</v>
      </c>
      <c r="AX31" t="s">
        <v>2166</v>
      </c>
      <c r="AY31" t="s">
        <v>2166</v>
      </c>
      <c r="AZ31" t="s">
        <v>2166</v>
      </c>
      <c r="BA31" t="s">
        <v>2166</v>
      </c>
      <c r="BB31" t="s">
        <v>2166</v>
      </c>
      <c r="BC31" t="s">
        <v>2166</v>
      </c>
      <c r="BD31" t="s">
        <v>2166</v>
      </c>
      <c r="BE31" t="s">
        <v>2166</v>
      </c>
      <c r="BF31" t="s">
        <v>2166</v>
      </c>
      <c r="BG31" t="s">
        <v>2166</v>
      </c>
      <c r="BH31" t="s">
        <v>2166</v>
      </c>
      <c r="BI31" t="s">
        <v>2166</v>
      </c>
      <c r="BJ31" t="s">
        <v>2166</v>
      </c>
      <c r="BK31" t="s">
        <v>2166</v>
      </c>
      <c r="BL31" t="s">
        <v>2166</v>
      </c>
      <c r="BM31" t="s">
        <v>2166</v>
      </c>
      <c r="BN31" t="s">
        <v>2166</v>
      </c>
      <c r="BO31" t="s">
        <v>2166</v>
      </c>
      <c r="BP31" t="s">
        <v>2166</v>
      </c>
      <c r="BQ31" t="s">
        <v>2166</v>
      </c>
      <c r="BR31" t="s">
        <v>2166</v>
      </c>
      <c r="BS31" t="s">
        <v>2166</v>
      </c>
      <c r="BT31" t="s">
        <v>2166</v>
      </c>
      <c r="BU31" t="s">
        <v>2166</v>
      </c>
      <c r="BV31" t="s">
        <v>2166</v>
      </c>
      <c r="BW31" t="s">
        <v>2166</v>
      </c>
      <c r="BX31" t="s">
        <v>2166</v>
      </c>
      <c r="BY31" t="s">
        <v>2166</v>
      </c>
      <c r="BZ31" t="s">
        <v>2166</v>
      </c>
      <c r="CA31" t="s">
        <v>2166</v>
      </c>
      <c r="CB31" t="s">
        <v>2166</v>
      </c>
      <c r="CC31" t="s">
        <v>2166</v>
      </c>
      <c r="CD31" t="s">
        <v>2166</v>
      </c>
      <c r="CE31" t="s">
        <v>2166</v>
      </c>
      <c r="CF31" t="s">
        <v>2166</v>
      </c>
      <c r="CG31" t="s">
        <v>2166</v>
      </c>
      <c r="CH31" t="s">
        <v>2166</v>
      </c>
      <c r="CI31" t="s">
        <v>2166</v>
      </c>
      <c r="CJ31" t="s">
        <v>2166</v>
      </c>
      <c r="CK31" t="s">
        <v>2166</v>
      </c>
      <c r="CL31" t="s">
        <v>2166</v>
      </c>
      <c r="CM31" t="s">
        <v>2166</v>
      </c>
      <c r="CN31" t="s">
        <v>2166</v>
      </c>
      <c r="CO31" t="s">
        <v>2166</v>
      </c>
      <c r="CP31" t="s">
        <v>2166</v>
      </c>
      <c r="CQ31" t="s">
        <v>2166</v>
      </c>
      <c r="CR31" t="s">
        <v>2166</v>
      </c>
      <c r="CS31" t="s">
        <v>2166</v>
      </c>
      <c r="CT31" t="s">
        <v>2166</v>
      </c>
      <c r="CU31" t="s">
        <v>2166</v>
      </c>
      <c r="CV31" t="s">
        <v>2166</v>
      </c>
      <c r="CW31" t="s">
        <v>2166</v>
      </c>
      <c r="CX31" t="s">
        <v>2166</v>
      </c>
      <c r="CY31" t="s">
        <v>2166</v>
      </c>
      <c r="CZ31" t="s">
        <v>2166</v>
      </c>
      <c r="DA31" t="s">
        <v>2166</v>
      </c>
      <c r="DB31" t="s">
        <v>2166</v>
      </c>
      <c r="DC31" t="s">
        <v>2166</v>
      </c>
      <c r="DD31" t="s">
        <v>2166</v>
      </c>
      <c r="DE31" t="s">
        <v>2166</v>
      </c>
      <c r="DF31" t="s">
        <v>2166</v>
      </c>
      <c r="DG31" t="s">
        <v>2166</v>
      </c>
      <c r="DH31" t="s">
        <v>2166</v>
      </c>
      <c r="DI31" t="s">
        <v>2166</v>
      </c>
    </row>
    <row r="32" spans="1:113" x14ac:dyDescent="0.2">
      <c r="A32" t="s">
        <v>2166</v>
      </c>
      <c r="B32" t="s">
        <v>2166</v>
      </c>
      <c r="C32" t="s">
        <v>2166</v>
      </c>
      <c r="D32" t="s">
        <v>2166</v>
      </c>
      <c r="E32" t="s">
        <v>2166</v>
      </c>
      <c r="F32" t="s">
        <v>2166</v>
      </c>
      <c r="G32" t="s">
        <v>2166</v>
      </c>
      <c r="H32" t="s">
        <v>2166</v>
      </c>
      <c r="I32" t="s">
        <v>2166</v>
      </c>
      <c r="J32" t="s">
        <v>2166</v>
      </c>
      <c r="K32" t="s">
        <v>2166</v>
      </c>
      <c r="L32" t="s">
        <v>2166</v>
      </c>
      <c r="M32" t="s">
        <v>2166</v>
      </c>
      <c r="N32" t="s">
        <v>2166</v>
      </c>
      <c r="O32" t="s">
        <v>2166</v>
      </c>
      <c r="P32" t="s">
        <v>2166</v>
      </c>
      <c r="Q32" t="s">
        <v>2166</v>
      </c>
      <c r="R32" t="s">
        <v>2166</v>
      </c>
      <c r="S32" t="s">
        <v>2166</v>
      </c>
      <c r="T32" t="s">
        <v>2166</v>
      </c>
      <c r="U32" t="s">
        <v>2166</v>
      </c>
      <c r="V32" t="s">
        <v>2166</v>
      </c>
      <c r="W32" t="s">
        <v>2166</v>
      </c>
      <c r="X32" t="s">
        <v>2166</v>
      </c>
      <c r="Y32" t="s">
        <v>2166</v>
      </c>
      <c r="Z32" t="s">
        <v>2166</v>
      </c>
      <c r="AA32" t="s">
        <v>2166</v>
      </c>
      <c r="AB32" t="s">
        <v>2166</v>
      </c>
      <c r="AC32" t="s">
        <v>2166</v>
      </c>
      <c r="AD32" t="s">
        <v>2166</v>
      </c>
      <c r="AE32" t="s">
        <v>2166</v>
      </c>
      <c r="AF32" t="s">
        <v>2166</v>
      </c>
      <c r="AG32" t="s">
        <v>2166</v>
      </c>
      <c r="AH32" t="s">
        <v>2166</v>
      </c>
      <c r="AI32" t="s">
        <v>2166</v>
      </c>
      <c r="AJ32" t="s">
        <v>2166</v>
      </c>
      <c r="AK32" t="s">
        <v>2166</v>
      </c>
      <c r="AL32" t="s">
        <v>2166</v>
      </c>
      <c r="AM32" t="s">
        <v>2166</v>
      </c>
      <c r="AN32" t="s">
        <v>2166</v>
      </c>
      <c r="AO32" t="s">
        <v>2166</v>
      </c>
      <c r="AP32" t="s">
        <v>2166</v>
      </c>
      <c r="AQ32" t="s">
        <v>2166</v>
      </c>
      <c r="AR32" t="s">
        <v>2166</v>
      </c>
      <c r="AS32" t="s">
        <v>2166</v>
      </c>
      <c r="AT32" t="s">
        <v>2166</v>
      </c>
      <c r="AU32" t="s">
        <v>2166</v>
      </c>
      <c r="AV32" t="s">
        <v>2166</v>
      </c>
      <c r="AW32" t="s">
        <v>2166</v>
      </c>
      <c r="AX32" t="s">
        <v>2166</v>
      </c>
      <c r="AY32" t="s">
        <v>2166</v>
      </c>
      <c r="AZ32" t="s">
        <v>2166</v>
      </c>
      <c r="BA32" t="s">
        <v>2166</v>
      </c>
      <c r="BB32" t="s">
        <v>2166</v>
      </c>
      <c r="BC32" t="s">
        <v>2166</v>
      </c>
      <c r="BD32" t="s">
        <v>2166</v>
      </c>
      <c r="BE32" t="s">
        <v>2166</v>
      </c>
      <c r="BF32" t="s">
        <v>2166</v>
      </c>
      <c r="BG32" t="s">
        <v>2166</v>
      </c>
      <c r="BH32" t="s">
        <v>2166</v>
      </c>
      <c r="BI32" t="s">
        <v>2166</v>
      </c>
      <c r="BJ32" t="s">
        <v>2166</v>
      </c>
      <c r="BK32" t="s">
        <v>2166</v>
      </c>
      <c r="BL32" t="s">
        <v>2166</v>
      </c>
      <c r="BM32" t="s">
        <v>2166</v>
      </c>
      <c r="BN32" t="s">
        <v>2166</v>
      </c>
      <c r="BO32" t="s">
        <v>2166</v>
      </c>
      <c r="BP32" t="s">
        <v>2166</v>
      </c>
      <c r="BQ32" t="s">
        <v>2166</v>
      </c>
      <c r="BR32" t="s">
        <v>2166</v>
      </c>
      <c r="BS32" t="s">
        <v>2166</v>
      </c>
      <c r="BT32" t="s">
        <v>2166</v>
      </c>
      <c r="BU32" t="s">
        <v>2166</v>
      </c>
      <c r="BV32" t="s">
        <v>2166</v>
      </c>
      <c r="BW32" t="s">
        <v>2166</v>
      </c>
      <c r="BX32" t="s">
        <v>2166</v>
      </c>
      <c r="BY32" t="s">
        <v>2166</v>
      </c>
      <c r="BZ32" t="s">
        <v>2166</v>
      </c>
      <c r="CA32" t="s">
        <v>2166</v>
      </c>
      <c r="CB32" t="s">
        <v>2166</v>
      </c>
      <c r="CC32" t="s">
        <v>2166</v>
      </c>
      <c r="CD32" t="s">
        <v>2166</v>
      </c>
      <c r="CE32" t="s">
        <v>2166</v>
      </c>
      <c r="CF32" t="s">
        <v>2166</v>
      </c>
      <c r="CG32" t="s">
        <v>2166</v>
      </c>
      <c r="CH32" t="s">
        <v>2166</v>
      </c>
      <c r="CI32" t="s">
        <v>2166</v>
      </c>
      <c r="CJ32" t="s">
        <v>2166</v>
      </c>
      <c r="CK32" t="s">
        <v>2166</v>
      </c>
      <c r="CL32" t="s">
        <v>2166</v>
      </c>
      <c r="CM32" t="s">
        <v>2166</v>
      </c>
      <c r="CN32" t="s">
        <v>2166</v>
      </c>
      <c r="CO32" t="s">
        <v>2166</v>
      </c>
      <c r="CP32" t="s">
        <v>2166</v>
      </c>
      <c r="CQ32" t="s">
        <v>2166</v>
      </c>
      <c r="CR32" t="s">
        <v>2166</v>
      </c>
      <c r="CS32" t="s">
        <v>2166</v>
      </c>
      <c r="CT32" t="s">
        <v>2166</v>
      </c>
      <c r="CU32" t="s">
        <v>2166</v>
      </c>
      <c r="CV32" t="s">
        <v>2166</v>
      </c>
      <c r="CW32" t="s">
        <v>2166</v>
      </c>
      <c r="CX32" t="s">
        <v>2166</v>
      </c>
      <c r="CY32" t="s">
        <v>2166</v>
      </c>
      <c r="CZ32" t="s">
        <v>2166</v>
      </c>
      <c r="DA32" t="s">
        <v>2166</v>
      </c>
      <c r="DB32" t="s">
        <v>2166</v>
      </c>
      <c r="DC32" t="s">
        <v>2166</v>
      </c>
      <c r="DD32" t="s">
        <v>2166</v>
      </c>
      <c r="DE32" t="s">
        <v>2166</v>
      </c>
      <c r="DF32" t="s">
        <v>2166</v>
      </c>
      <c r="DG32" t="s">
        <v>2166</v>
      </c>
      <c r="DH32" t="s">
        <v>2166</v>
      </c>
      <c r="DI32" t="s">
        <v>2166</v>
      </c>
    </row>
    <row r="33" spans="1:113" x14ac:dyDescent="0.2">
      <c r="A33" t="s">
        <v>2166</v>
      </c>
      <c r="B33" t="s">
        <v>2166</v>
      </c>
      <c r="C33" t="s">
        <v>2166</v>
      </c>
      <c r="D33" t="s">
        <v>2166</v>
      </c>
      <c r="E33" t="s">
        <v>2166</v>
      </c>
      <c r="F33" t="s">
        <v>2166</v>
      </c>
      <c r="G33" t="s">
        <v>2166</v>
      </c>
      <c r="H33" t="s">
        <v>2166</v>
      </c>
      <c r="I33" t="s">
        <v>2166</v>
      </c>
      <c r="J33" t="s">
        <v>2166</v>
      </c>
      <c r="K33" t="s">
        <v>2166</v>
      </c>
      <c r="L33" t="s">
        <v>2166</v>
      </c>
      <c r="M33" t="s">
        <v>2166</v>
      </c>
      <c r="N33" t="s">
        <v>2166</v>
      </c>
      <c r="O33" t="s">
        <v>2166</v>
      </c>
      <c r="P33" t="s">
        <v>2166</v>
      </c>
      <c r="Q33" t="s">
        <v>2166</v>
      </c>
      <c r="R33" t="s">
        <v>2166</v>
      </c>
      <c r="S33" t="s">
        <v>2166</v>
      </c>
      <c r="T33" t="s">
        <v>2166</v>
      </c>
      <c r="U33" t="s">
        <v>2166</v>
      </c>
      <c r="V33" t="s">
        <v>2166</v>
      </c>
      <c r="W33" t="s">
        <v>2166</v>
      </c>
      <c r="X33" t="s">
        <v>2166</v>
      </c>
      <c r="Y33" t="s">
        <v>2166</v>
      </c>
      <c r="Z33" t="s">
        <v>2166</v>
      </c>
      <c r="AA33" t="s">
        <v>2166</v>
      </c>
      <c r="AB33" t="s">
        <v>2166</v>
      </c>
      <c r="AC33" t="s">
        <v>2166</v>
      </c>
      <c r="AD33" t="s">
        <v>2166</v>
      </c>
      <c r="AE33" t="s">
        <v>2166</v>
      </c>
      <c r="AF33" t="s">
        <v>2166</v>
      </c>
      <c r="AG33" t="s">
        <v>2166</v>
      </c>
      <c r="AH33" t="s">
        <v>2166</v>
      </c>
      <c r="AI33" t="s">
        <v>2166</v>
      </c>
      <c r="AJ33" t="s">
        <v>2166</v>
      </c>
      <c r="AK33" t="s">
        <v>2166</v>
      </c>
      <c r="AL33" t="s">
        <v>2166</v>
      </c>
      <c r="AM33" t="s">
        <v>2166</v>
      </c>
      <c r="AN33" t="s">
        <v>2166</v>
      </c>
      <c r="AO33" t="s">
        <v>2166</v>
      </c>
      <c r="AP33" t="s">
        <v>2166</v>
      </c>
      <c r="AQ33" t="s">
        <v>2166</v>
      </c>
      <c r="AR33" t="s">
        <v>2166</v>
      </c>
      <c r="AS33" t="s">
        <v>2166</v>
      </c>
      <c r="AT33" t="s">
        <v>2166</v>
      </c>
      <c r="AU33" t="s">
        <v>2166</v>
      </c>
      <c r="AV33" t="s">
        <v>2166</v>
      </c>
      <c r="AW33" t="s">
        <v>2166</v>
      </c>
      <c r="AX33" t="s">
        <v>2166</v>
      </c>
      <c r="AY33" t="s">
        <v>2166</v>
      </c>
      <c r="AZ33" t="s">
        <v>2166</v>
      </c>
      <c r="BA33" t="s">
        <v>2166</v>
      </c>
      <c r="BB33" t="s">
        <v>2166</v>
      </c>
      <c r="BC33" t="s">
        <v>2166</v>
      </c>
      <c r="BD33" t="s">
        <v>2166</v>
      </c>
      <c r="BE33" t="s">
        <v>2166</v>
      </c>
      <c r="BF33" t="s">
        <v>2166</v>
      </c>
      <c r="BG33" t="s">
        <v>2166</v>
      </c>
      <c r="BH33" t="s">
        <v>2166</v>
      </c>
      <c r="BI33" t="s">
        <v>2166</v>
      </c>
      <c r="BJ33" t="s">
        <v>2166</v>
      </c>
      <c r="BK33" t="s">
        <v>2166</v>
      </c>
      <c r="BL33" t="s">
        <v>2166</v>
      </c>
      <c r="BM33" t="s">
        <v>2166</v>
      </c>
      <c r="BN33" t="s">
        <v>2166</v>
      </c>
      <c r="BO33" t="s">
        <v>2166</v>
      </c>
      <c r="BP33" t="s">
        <v>2166</v>
      </c>
      <c r="BQ33" t="s">
        <v>2166</v>
      </c>
      <c r="BR33" t="s">
        <v>2166</v>
      </c>
      <c r="BS33" t="s">
        <v>2166</v>
      </c>
      <c r="BT33" t="s">
        <v>2166</v>
      </c>
      <c r="BU33" t="s">
        <v>2166</v>
      </c>
      <c r="BV33" t="s">
        <v>2166</v>
      </c>
      <c r="BW33" t="s">
        <v>2166</v>
      </c>
      <c r="BX33" t="s">
        <v>2166</v>
      </c>
      <c r="BY33" t="s">
        <v>2166</v>
      </c>
      <c r="BZ33" t="s">
        <v>2166</v>
      </c>
      <c r="CA33" t="s">
        <v>2166</v>
      </c>
      <c r="CB33" t="s">
        <v>2166</v>
      </c>
      <c r="CC33" t="s">
        <v>2166</v>
      </c>
      <c r="CD33" t="s">
        <v>2166</v>
      </c>
      <c r="CE33" t="s">
        <v>2166</v>
      </c>
      <c r="CF33" t="s">
        <v>2166</v>
      </c>
      <c r="CG33" t="s">
        <v>2166</v>
      </c>
      <c r="CH33" t="s">
        <v>2166</v>
      </c>
      <c r="CI33" t="s">
        <v>2166</v>
      </c>
      <c r="CJ33" t="s">
        <v>2166</v>
      </c>
      <c r="CK33" t="s">
        <v>2166</v>
      </c>
      <c r="CL33" t="s">
        <v>2166</v>
      </c>
      <c r="CM33" t="s">
        <v>2166</v>
      </c>
      <c r="CN33" t="s">
        <v>2166</v>
      </c>
      <c r="CO33" t="s">
        <v>2166</v>
      </c>
      <c r="CP33" t="s">
        <v>2166</v>
      </c>
      <c r="CQ33" t="s">
        <v>2166</v>
      </c>
      <c r="CR33" t="s">
        <v>2166</v>
      </c>
      <c r="CS33" t="s">
        <v>2166</v>
      </c>
      <c r="CT33" t="s">
        <v>2166</v>
      </c>
      <c r="CU33" t="s">
        <v>2166</v>
      </c>
      <c r="CV33" t="s">
        <v>2166</v>
      </c>
      <c r="CW33" t="s">
        <v>2166</v>
      </c>
      <c r="CX33" t="s">
        <v>2166</v>
      </c>
      <c r="CY33" t="s">
        <v>2166</v>
      </c>
      <c r="CZ33" t="s">
        <v>2166</v>
      </c>
      <c r="DA33" t="s">
        <v>2166</v>
      </c>
      <c r="DB33" t="s">
        <v>2166</v>
      </c>
      <c r="DC33" t="s">
        <v>2166</v>
      </c>
      <c r="DD33" t="s">
        <v>2166</v>
      </c>
      <c r="DE33" t="s">
        <v>2166</v>
      </c>
      <c r="DF33" t="s">
        <v>2166</v>
      </c>
      <c r="DG33" t="s">
        <v>2166</v>
      </c>
      <c r="DH33" t="s">
        <v>2166</v>
      </c>
      <c r="DI33" t="s">
        <v>2166</v>
      </c>
    </row>
    <row r="34" spans="1:113" x14ac:dyDescent="0.2">
      <c r="A34" t="s">
        <v>2166</v>
      </c>
      <c r="B34" t="s">
        <v>2166</v>
      </c>
      <c r="C34" t="s">
        <v>2166</v>
      </c>
      <c r="D34" t="s">
        <v>2166</v>
      </c>
      <c r="E34" t="s">
        <v>2166</v>
      </c>
      <c r="F34" t="s">
        <v>2166</v>
      </c>
      <c r="G34" t="s">
        <v>2166</v>
      </c>
      <c r="H34" t="s">
        <v>2166</v>
      </c>
      <c r="I34" t="s">
        <v>2166</v>
      </c>
      <c r="J34" t="s">
        <v>2166</v>
      </c>
      <c r="K34" t="s">
        <v>2166</v>
      </c>
      <c r="L34" t="s">
        <v>2166</v>
      </c>
      <c r="M34" t="s">
        <v>2166</v>
      </c>
      <c r="N34" t="s">
        <v>2166</v>
      </c>
      <c r="O34" t="s">
        <v>2166</v>
      </c>
      <c r="P34" t="s">
        <v>2166</v>
      </c>
      <c r="Q34" t="s">
        <v>2166</v>
      </c>
      <c r="R34" t="s">
        <v>2166</v>
      </c>
      <c r="S34" t="s">
        <v>2166</v>
      </c>
      <c r="T34" t="s">
        <v>2166</v>
      </c>
      <c r="U34" t="s">
        <v>2166</v>
      </c>
      <c r="V34" t="s">
        <v>2166</v>
      </c>
      <c r="W34" t="s">
        <v>2166</v>
      </c>
      <c r="X34" t="s">
        <v>2166</v>
      </c>
      <c r="Y34" t="s">
        <v>2166</v>
      </c>
      <c r="Z34" t="s">
        <v>2166</v>
      </c>
      <c r="AA34" t="s">
        <v>2166</v>
      </c>
      <c r="AB34" t="s">
        <v>2166</v>
      </c>
      <c r="AC34" t="s">
        <v>2166</v>
      </c>
      <c r="AD34" t="s">
        <v>2166</v>
      </c>
      <c r="AE34" t="s">
        <v>2166</v>
      </c>
      <c r="AF34" t="s">
        <v>2166</v>
      </c>
      <c r="AG34" t="s">
        <v>2166</v>
      </c>
      <c r="AH34" t="s">
        <v>2166</v>
      </c>
      <c r="AI34" t="s">
        <v>2166</v>
      </c>
      <c r="AJ34" t="s">
        <v>2166</v>
      </c>
      <c r="AK34" t="s">
        <v>2166</v>
      </c>
      <c r="AL34" t="s">
        <v>2166</v>
      </c>
      <c r="AM34" t="s">
        <v>2166</v>
      </c>
      <c r="AN34" t="s">
        <v>2166</v>
      </c>
      <c r="AO34" t="s">
        <v>2166</v>
      </c>
      <c r="AP34" t="s">
        <v>2166</v>
      </c>
      <c r="AQ34" t="s">
        <v>2166</v>
      </c>
      <c r="AR34" t="s">
        <v>2166</v>
      </c>
      <c r="AS34" t="s">
        <v>2166</v>
      </c>
      <c r="AT34" t="s">
        <v>2166</v>
      </c>
      <c r="AU34" t="s">
        <v>2166</v>
      </c>
      <c r="AV34" t="s">
        <v>2166</v>
      </c>
      <c r="AW34" t="s">
        <v>2166</v>
      </c>
      <c r="AX34" t="s">
        <v>2166</v>
      </c>
      <c r="AY34" t="s">
        <v>2166</v>
      </c>
      <c r="AZ34" t="s">
        <v>2166</v>
      </c>
      <c r="BA34" t="s">
        <v>2166</v>
      </c>
      <c r="BB34" t="s">
        <v>2166</v>
      </c>
      <c r="BC34" t="s">
        <v>2166</v>
      </c>
      <c r="BD34" t="s">
        <v>2166</v>
      </c>
      <c r="BE34" t="s">
        <v>2166</v>
      </c>
      <c r="BF34" t="s">
        <v>2166</v>
      </c>
      <c r="BG34" t="s">
        <v>2166</v>
      </c>
      <c r="BH34" t="s">
        <v>2166</v>
      </c>
      <c r="BI34" t="s">
        <v>2166</v>
      </c>
      <c r="BJ34" t="s">
        <v>2166</v>
      </c>
      <c r="BK34" t="s">
        <v>2166</v>
      </c>
      <c r="BL34" t="s">
        <v>2166</v>
      </c>
      <c r="BM34" t="s">
        <v>2166</v>
      </c>
      <c r="BN34" t="s">
        <v>2166</v>
      </c>
      <c r="BO34" t="s">
        <v>2166</v>
      </c>
      <c r="BP34" t="s">
        <v>2166</v>
      </c>
      <c r="BQ34" t="s">
        <v>2166</v>
      </c>
      <c r="BR34" t="s">
        <v>2166</v>
      </c>
      <c r="BS34" t="s">
        <v>2166</v>
      </c>
      <c r="BT34" t="s">
        <v>2166</v>
      </c>
      <c r="BU34" t="s">
        <v>2166</v>
      </c>
      <c r="BV34" t="s">
        <v>2166</v>
      </c>
      <c r="BW34" t="s">
        <v>2166</v>
      </c>
      <c r="BX34" t="s">
        <v>2166</v>
      </c>
      <c r="BY34" t="s">
        <v>2166</v>
      </c>
      <c r="BZ34" t="s">
        <v>2166</v>
      </c>
      <c r="CA34" t="s">
        <v>2166</v>
      </c>
      <c r="CB34" t="s">
        <v>2166</v>
      </c>
      <c r="CC34" t="s">
        <v>2166</v>
      </c>
      <c r="CD34" t="s">
        <v>2166</v>
      </c>
      <c r="CE34" t="s">
        <v>2166</v>
      </c>
      <c r="CF34" t="s">
        <v>2166</v>
      </c>
      <c r="CG34" t="s">
        <v>2166</v>
      </c>
      <c r="CH34" t="s">
        <v>2166</v>
      </c>
      <c r="CI34" t="s">
        <v>2166</v>
      </c>
      <c r="CJ34" t="s">
        <v>2166</v>
      </c>
      <c r="CK34" t="s">
        <v>2166</v>
      </c>
      <c r="CL34" t="s">
        <v>2166</v>
      </c>
      <c r="CM34" t="s">
        <v>2166</v>
      </c>
      <c r="CN34" t="s">
        <v>2166</v>
      </c>
      <c r="CO34" t="s">
        <v>2166</v>
      </c>
      <c r="CP34" t="s">
        <v>2166</v>
      </c>
      <c r="CQ34" t="s">
        <v>2166</v>
      </c>
      <c r="CR34" t="s">
        <v>2166</v>
      </c>
      <c r="CS34" t="s">
        <v>2166</v>
      </c>
      <c r="CT34" t="s">
        <v>2166</v>
      </c>
      <c r="CU34" t="s">
        <v>2166</v>
      </c>
      <c r="CV34" t="s">
        <v>2166</v>
      </c>
      <c r="CW34" t="s">
        <v>2166</v>
      </c>
      <c r="CX34" t="s">
        <v>2166</v>
      </c>
      <c r="CY34" t="s">
        <v>2166</v>
      </c>
      <c r="CZ34" t="s">
        <v>2166</v>
      </c>
      <c r="DA34" t="s">
        <v>2166</v>
      </c>
      <c r="DB34" t="s">
        <v>2166</v>
      </c>
      <c r="DC34" t="s">
        <v>2166</v>
      </c>
      <c r="DD34" t="s">
        <v>2166</v>
      </c>
      <c r="DE34" t="s">
        <v>2166</v>
      </c>
      <c r="DF34" t="s">
        <v>2166</v>
      </c>
      <c r="DG34" t="s">
        <v>2166</v>
      </c>
      <c r="DH34" t="s">
        <v>2166</v>
      </c>
      <c r="DI34" t="s">
        <v>2166</v>
      </c>
    </row>
    <row r="35" spans="1:113" x14ac:dyDescent="0.2">
      <c r="A35" t="s">
        <v>2166</v>
      </c>
      <c r="B35" t="s">
        <v>2166</v>
      </c>
      <c r="C35" t="s">
        <v>2166</v>
      </c>
      <c r="D35" t="s">
        <v>2166</v>
      </c>
      <c r="E35" t="s">
        <v>2166</v>
      </c>
      <c r="F35" t="s">
        <v>2166</v>
      </c>
      <c r="G35" t="s">
        <v>2166</v>
      </c>
      <c r="H35" t="s">
        <v>2166</v>
      </c>
      <c r="I35" t="s">
        <v>2166</v>
      </c>
      <c r="J35" t="s">
        <v>2166</v>
      </c>
      <c r="K35" t="s">
        <v>2166</v>
      </c>
      <c r="L35" t="s">
        <v>2166</v>
      </c>
      <c r="M35" t="s">
        <v>2166</v>
      </c>
      <c r="N35" t="s">
        <v>2166</v>
      </c>
      <c r="O35" t="s">
        <v>2166</v>
      </c>
      <c r="P35" t="s">
        <v>2166</v>
      </c>
      <c r="Q35" t="s">
        <v>2166</v>
      </c>
      <c r="R35" t="s">
        <v>2166</v>
      </c>
      <c r="S35" t="s">
        <v>2166</v>
      </c>
      <c r="T35" t="s">
        <v>2166</v>
      </c>
      <c r="U35" t="s">
        <v>2166</v>
      </c>
      <c r="V35" t="s">
        <v>2166</v>
      </c>
      <c r="W35" t="s">
        <v>2166</v>
      </c>
      <c r="X35" t="s">
        <v>2166</v>
      </c>
      <c r="Y35" t="s">
        <v>2166</v>
      </c>
      <c r="Z35" t="s">
        <v>2166</v>
      </c>
      <c r="AA35" t="s">
        <v>2166</v>
      </c>
      <c r="AB35" t="s">
        <v>2166</v>
      </c>
      <c r="AC35" t="s">
        <v>2166</v>
      </c>
      <c r="AD35" t="s">
        <v>2166</v>
      </c>
      <c r="AE35" t="s">
        <v>2166</v>
      </c>
      <c r="AF35" t="s">
        <v>2166</v>
      </c>
      <c r="AG35" t="s">
        <v>2166</v>
      </c>
      <c r="AH35" t="s">
        <v>2166</v>
      </c>
      <c r="AI35" t="s">
        <v>2166</v>
      </c>
      <c r="AJ35" t="s">
        <v>2166</v>
      </c>
      <c r="AK35" t="s">
        <v>2166</v>
      </c>
      <c r="AL35" t="s">
        <v>2166</v>
      </c>
      <c r="AM35" t="s">
        <v>2166</v>
      </c>
      <c r="AN35" t="s">
        <v>2166</v>
      </c>
      <c r="AO35" t="s">
        <v>2166</v>
      </c>
      <c r="AP35" t="s">
        <v>2166</v>
      </c>
      <c r="AQ35" t="s">
        <v>2166</v>
      </c>
      <c r="AR35" t="s">
        <v>2166</v>
      </c>
      <c r="AS35" t="s">
        <v>2166</v>
      </c>
      <c r="AT35" t="s">
        <v>2166</v>
      </c>
      <c r="AU35" t="s">
        <v>2166</v>
      </c>
      <c r="AV35" t="s">
        <v>2166</v>
      </c>
      <c r="AW35" t="s">
        <v>2166</v>
      </c>
      <c r="AX35" t="s">
        <v>2166</v>
      </c>
      <c r="AY35" t="s">
        <v>2166</v>
      </c>
      <c r="AZ35" t="s">
        <v>2166</v>
      </c>
      <c r="BA35" t="s">
        <v>2166</v>
      </c>
      <c r="BB35" t="s">
        <v>2166</v>
      </c>
      <c r="BC35" t="s">
        <v>2166</v>
      </c>
      <c r="BD35" t="s">
        <v>2166</v>
      </c>
      <c r="BE35" t="s">
        <v>2166</v>
      </c>
      <c r="BF35" t="s">
        <v>2166</v>
      </c>
      <c r="BG35" t="s">
        <v>2166</v>
      </c>
      <c r="BH35" t="s">
        <v>2166</v>
      </c>
      <c r="BI35" t="s">
        <v>2166</v>
      </c>
      <c r="BJ35" t="s">
        <v>2166</v>
      </c>
      <c r="BK35" t="s">
        <v>2166</v>
      </c>
      <c r="BL35" t="s">
        <v>2166</v>
      </c>
      <c r="BM35" t="s">
        <v>2166</v>
      </c>
      <c r="BN35" t="s">
        <v>2166</v>
      </c>
      <c r="BO35" t="s">
        <v>2166</v>
      </c>
      <c r="BP35" t="s">
        <v>2166</v>
      </c>
      <c r="BQ35" t="s">
        <v>2166</v>
      </c>
      <c r="BR35" t="s">
        <v>2166</v>
      </c>
      <c r="BS35" t="s">
        <v>2166</v>
      </c>
      <c r="BT35" t="s">
        <v>2166</v>
      </c>
      <c r="BU35" t="s">
        <v>2166</v>
      </c>
      <c r="BV35" t="s">
        <v>2166</v>
      </c>
      <c r="BW35" t="s">
        <v>2166</v>
      </c>
      <c r="BX35" t="s">
        <v>2166</v>
      </c>
      <c r="BY35" t="s">
        <v>2166</v>
      </c>
      <c r="BZ35" t="s">
        <v>2166</v>
      </c>
      <c r="CA35" t="s">
        <v>2166</v>
      </c>
      <c r="CB35" t="s">
        <v>2166</v>
      </c>
      <c r="CC35" t="s">
        <v>2166</v>
      </c>
      <c r="CD35" t="s">
        <v>2166</v>
      </c>
      <c r="CE35" t="s">
        <v>2166</v>
      </c>
      <c r="CF35" t="s">
        <v>2166</v>
      </c>
      <c r="CG35" t="s">
        <v>2166</v>
      </c>
      <c r="CH35" t="s">
        <v>2166</v>
      </c>
      <c r="CI35" t="s">
        <v>2166</v>
      </c>
      <c r="CJ35" t="s">
        <v>2166</v>
      </c>
      <c r="CK35" t="s">
        <v>2166</v>
      </c>
      <c r="CL35" t="s">
        <v>2166</v>
      </c>
      <c r="CM35" t="s">
        <v>2166</v>
      </c>
      <c r="CN35" t="s">
        <v>2166</v>
      </c>
      <c r="CO35" t="s">
        <v>2166</v>
      </c>
      <c r="CP35" t="s">
        <v>2166</v>
      </c>
      <c r="CQ35" t="s">
        <v>2166</v>
      </c>
      <c r="CR35" t="s">
        <v>2166</v>
      </c>
      <c r="CS35" t="s">
        <v>2166</v>
      </c>
      <c r="CT35" t="s">
        <v>2166</v>
      </c>
      <c r="CU35" t="s">
        <v>2166</v>
      </c>
      <c r="CV35" t="s">
        <v>2166</v>
      </c>
      <c r="CW35" t="s">
        <v>2166</v>
      </c>
      <c r="CX35" t="s">
        <v>2166</v>
      </c>
      <c r="CY35" t="s">
        <v>2166</v>
      </c>
      <c r="CZ35" t="s">
        <v>2166</v>
      </c>
      <c r="DA35" t="s">
        <v>2166</v>
      </c>
      <c r="DB35" t="s">
        <v>2166</v>
      </c>
      <c r="DC35" t="s">
        <v>2166</v>
      </c>
      <c r="DD35" t="s">
        <v>2166</v>
      </c>
      <c r="DE35" t="s">
        <v>2166</v>
      </c>
      <c r="DF35" t="s">
        <v>2166</v>
      </c>
      <c r="DG35" t="s">
        <v>2166</v>
      </c>
      <c r="DH35" t="s">
        <v>2166</v>
      </c>
      <c r="DI35" t="s">
        <v>2166</v>
      </c>
    </row>
    <row r="36" spans="1:113" x14ac:dyDescent="0.2">
      <c r="A36" t="s">
        <v>2166</v>
      </c>
      <c r="B36" t="s">
        <v>2166</v>
      </c>
      <c r="C36" t="s">
        <v>2166</v>
      </c>
      <c r="D36" t="s">
        <v>2166</v>
      </c>
      <c r="E36" t="s">
        <v>2166</v>
      </c>
      <c r="F36" t="s">
        <v>2166</v>
      </c>
      <c r="G36" t="s">
        <v>2166</v>
      </c>
      <c r="H36" t="s">
        <v>2166</v>
      </c>
      <c r="I36" t="s">
        <v>2166</v>
      </c>
      <c r="J36" t="s">
        <v>2166</v>
      </c>
      <c r="K36" t="s">
        <v>2166</v>
      </c>
      <c r="L36" t="s">
        <v>2166</v>
      </c>
      <c r="M36" t="s">
        <v>2166</v>
      </c>
      <c r="N36" t="s">
        <v>2166</v>
      </c>
      <c r="O36" t="s">
        <v>2166</v>
      </c>
      <c r="P36" t="s">
        <v>2166</v>
      </c>
      <c r="Q36" t="s">
        <v>2166</v>
      </c>
      <c r="R36" t="s">
        <v>2166</v>
      </c>
      <c r="S36" t="s">
        <v>2166</v>
      </c>
      <c r="T36" t="s">
        <v>2166</v>
      </c>
      <c r="U36" t="s">
        <v>2166</v>
      </c>
      <c r="V36" t="s">
        <v>2166</v>
      </c>
      <c r="W36" t="s">
        <v>2166</v>
      </c>
      <c r="X36" t="s">
        <v>2166</v>
      </c>
      <c r="Y36" t="s">
        <v>2166</v>
      </c>
      <c r="Z36" t="s">
        <v>2166</v>
      </c>
      <c r="AA36" t="s">
        <v>2166</v>
      </c>
      <c r="AB36" t="s">
        <v>2166</v>
      </c>
      <c r="AC36" t="s">
        <v>2166</v>
      </c>
      <c r="AD36" t="s">
        <v>2166</v>
      </c>
      <c r="AE36" t="s">
        <v>2166</v>
      </c>
      <c r="AF36" t="s">
        <v>2166</v>
      </c>
      <c r="AG36" t="s">
        <v>2166</v>
      </c>
      <c r="AH36" t="s">
        <v>2166</v>
      </c>
      <c r="AI36" t="s">
        <v>2166</v>
      </c>
      <c r="AJ36" t="s">
        <v>2166</v>
      </c>
      <c r="AK36" t="s">
        <v>2166</v>
      </c>
      <c r="AL36" t="s">
        <v>2166</v>
      </c>
      <c r="AM36" t="s">
        <v>2166</v>
      </c>
      <c r="AN36" t="s">
        <v>2166</v>
      </c>
      <c r="AO36" t="s">
        <v>2166</v>
      </c>
      <c r="AP36" t="s">
        <v>2166</v>
      </c>
      <c r="AQ36" t="s">
        <v>2166</v>
      </c>
      <c r="AR36" t="s">
        <v>2166</v>
      </c>
      <c r="AS36" t="s">
        <v>2166</v>
      </c>
      <c r="AT36" t="s">
        <v>2166</v>
      </c>
      <c r="AU36" t="s">
        <v>2166</v>
      </c>
      <c r="AV36" t="s">
        <v>2166</v>
      </c>
      <c r="AW36" t="s">
        <v>2166</v>
      </c>
      <c r="AX36" t="s">
        <v>2166</v>
      </c>
      <c r="AY36" t="s">
        <v>2166</v>
      </c>
      <c r="AZ36" t="s">
        <v>2166</v>
      </c>
      <c r="BA36" t="s">
        <v>2166</v>
      </c>
      <c r="BB36" t="s">
        <v>2166</v>
      </c>
      <c r="BC36" t="s">
        <v>2166</v>
      </c>
      <c r="BD36" t="s">
        <v>2166</v>
      </c>
      <c r="BE36" t="s">
        <v>2166</v>
      </c>
      <c r="BF36" t="s">
        <v>2166</v>
      </c>
      <c r="BG36" t="s">
        <v>2166</v>
      </c>
      <c r="BH36" t="s">
        <v>2166</v>
      </c>
      <c r="BI36" t="s">
        <v>2166</v>
      </c>
      <c r="BJ36" t="s">
        <v>2166</v>
      </c>
      <c r="BK36" t="s">
        <v>2166</v>
      </c>
      <c r="BL36" t="s">
        <v>2166</v>
      </c>
      <c r="BM36" t="s">
        <v>2166</v>
      </c>
      <c r="BN36" t="s">
        <v>2166</v>
      </c>
      <c r="BO36" t="s">
        <v>2166</v>
      </c>
      <c r="BP36" t="s">
        <v>2166</v>
      </c>
      <c r="BQ36" t="s">
        <v>2166</v>
      </c>
      <c r="BR36" t="s">
        <v>2166</v>
      </c>
      <c r="BS36" t="s">
        <v>2166</v>
      </c>
      <c r="BT36" t="s">
        <v>2166</v>
      </c>
      <c r="BU36" t="s">
        <v>2166</v>
      </c>
      <c r="BV36" t="s">
        <v>2166</v>
      </c>
      <c r="BW36" t="s">
        <v>2166</v>
      </c>
      <c r="BX36" t="s">
        <v>2166</v>
      </c>
      <c r="BY36" t="s">
        <v>2166</v>
      </c>
      <c r="BZ36" t="s">
        <v>2166</v>
      </c>
      <c r="CA36" t="s">
        <v>2166</v>
      </c>
      <c r="CB36" t="s">
        <v>2166</v>
      </c>
      <c r="CC36" t="s">
        <v>2166</v>
      </c>
      <c r="CD36" t="s">
        <v>2166</v>
      </c>
      <c r="CE36" t="s">
        <v>2166</v>
      </c>
      <c r="CF36" t="s">
        <v>2166</v>
      </c>
      <c r="CG36" t="s">
        <v>2166</v>
      </c>
      <c r="CH36" t="s">
        <v>2166</v>
      </c>
      <c r="CI36" t="s">
        <v>2166</v>
      </c>
      <c r="CJ36" t="s">
        <v>2166</v>
      </c>
      <c r="CK36" t="s">
        <v>2166</v>
      </c>
      <c r="CL36" t="s">
        <v>2166</v>
      </c>
      <c r="CM36" t="s">
        <v>2166</v>
      </c>
      <c r="CN36" t="s">
        <v>2166</v>
      </c>
      <c r="CO36" t="s">
        <v>2166</v>
      </c>
      <c r="CP36" t="s">
        <v>2166</v>
      </c>
      <c r="CQ36" t="s">
        <v>2166</v>
      </c>
      <c r="CR36" t="s">
        <v>2166</v>
      </c>
      <c r="CS36" t="s">
        <v>2166</v>
      </c>
      <c r="CT36" t="s">
        <v>2166</v>
      </c>
      <c r="CU36" t="s">
        <v>2166</v>
      </c>
      <c r="CV36" t="s">
        <v>2166</v>
      </c>
      <c r="CW36" t="s">
        <v>2166</v>
      </c>
      <c r="CX36" t="s">
        <v>2166</v>
      </c>
      <c r="CY36" t="s">
        <v>2166</v>
      </c>
      <c r="CZ36" t="s">
        <v>2166</v>
      </c>
      <c r="DA36" t="s">
        <v>2166</v>
      </c>
      <c r="DB36" t="s">
        <v>2166</v>
      </c>
      <c r="DC36" t="s">
        <v>2166</v>
      </c>
      <c r="DD36" t="s">
        <v>2166</v>
      </c>
      <c r="DE36" t="s">
        <v>2166</v>
      </c>
      <c r="DF36" t="s">
        <v>2166</v>
      </c>
      <c r="DG36" t="s">
        <v>2166</v>
      </c>
      <c r="DH36" t="s">
        <v>2166</v>
      </c>
      <c r="DI36" t="s">
        <v>2166</v>
      </c>
    </row>
    <row r="37" spans="1:113" x14ac:dyDescent="0.2">
      <c r="A37" t="s">
        <v>2166</v>
      </c>
      <c r="B37" t="s">
        <v>2166</v>
      </c>
      <c r="C37" t="s">
        <v>2166</v>
      </c>
      <c r="D37" t="s">
        <v>2166</v>
      </c>
      <c r="E37" t="s">
        <v>2166</v>
      </c>
      <c r="F37" t="s">
        <v>2166</v>
      </c>
      <c r="G37" t="s">
        <v>2166</v>
      </c>
      <c r="H37" t="s">
        <v>2166</v>
      </c>
      <c r="I37" t="s">
        <v>2166</v>
      </c>
      <c r="J37" t="s">
        <v>2166</v>
      </c>
      <c r="K37" t="s">
        <v>2166</v>
      </c>
      <c r="L37" t="s">
        <v>2166</v>
      </c>
      <c r="M37" t="s">
        <v>2166</v>
      </c>
      <c r="N37" t="s">
        <v>2166</v>
      </c>
      <c r="O37" t="s">
        <v>2166</v>
      </c>
      <c r="P37" t="s">
        <v>2166</v>
      </c>
      <c r="Q37" t="s">
        <v>2166</v>
      </c>
      <c r="R37" t="s">
        <v>2166</v>
      </c>
      <c r="S37" t="s">
        <v>2166</v>
      </c>
      <c r="T37" t="s">
        <v>2166</v>
      </c>
      <c r="U37" t="s">
        <v>2166</v>
      </c>
      <c r="V37" t="s">
        <v>2166</v>
      </c>
      <c r="W37" t="s">
        <v>2166</v>
      </c>
      <c r="X37" t="s">
        <v>2166</v>
      </c>
      <c r="Y37" t="s">
        <v>2166</v>
      </c>
      <c r="Z37" t="s">
        <v>2166</v>
      </c>
      <c r="AA37" t="s">
        <v>2166</v>
      </c>
      <c r="AB37" t="s">
        <v>2166</v>
      </c>
      <c r="AC37" t="s">
        <v>2166</v>
      </c>
      <c r="AD37" t="s">
        <v>2166</v>
      </c>
      <c r="AE37" t="s">
        <v>2166</v>
      </c>
      <c r="AF37" t="s">
        <v>2166</v>
      </c>
      <c r="AG37" t="s">
        <v>2166</v>
      </c>
      <c r="AH37" t="s">
        <v>2166</v>
      </c>
      <c r="AI37" t="s">
        <v>2166</v>
      </c>
      <c r="AJ37" t="s">
        <v>2166</v>
      </c>
      <c r="AK37" t="s">
        <v>2166</v>
      </c>
      <c r="AL37" t="s">
        <v>2166</v>
      </c>
      <c r="AM37" t="s">
        <v>2166</v>
      </c>
      <c r="AN37" t="s">
        <v>2166</v>
      </c>
      <c r="AO37" t="s">
        <v>2166</v>
      </c>
      <c r="AP37" t="s">
        <v>2166</v>
      </c>
      <c r="AQ37" t="s">
        <v>2166</v>
      </c>
      <c r="AR37" t="s">
        <v>2166</v>
      </c>
      <c r="AS37" t="s">
        <v>2166</v>
      </c>
      <c r="AT37" t="s">
        <v>2166</v>
      </c>
      <c r="AU37" t="s">
        <v>2166</v>
      </c>
      <c r="AV37" t="s">
        <v>2166</v>
      </c>
      <c r="AW37" t="s">
        <v>2166</v>
      </c>
      <c r="AX37" t="s">
        <v>2166</v>
      </c>
      <c r="AY37" t="s">
        <v>2166</v>
      </c>
      <c r="AZ37" t="s">
        <v>2166</v>
      </c>
      <c r="BA37" t="s">
        <v>2166</v>
      </c>
      <c r="BB37" t="s">
        <v>2166</v>
      </c>
      <c r="BC37" t="s">
        <v>2166</v>
      </c>
      <c r="BD37" t="s">
        <v>2166</v>
      </c>
      <c r="BE37" t="s">
        <v>2166</v>
      </c>
      <c r="BF37" t="s">
        <v>2166</v>
      </c>
      <c r="BG37" t="s">
        <v>2166</v>
      </c>
      <c r="BH37" t="s">
        <v>2166</v>
      </c>
      <c r="BI37" t="s">
        <v>2166</v>
      </c>
      <c r="BJ37" t="s">
        <v>2166</v>
      </c>
      <c r="BK37" t="s">
        <v>2166</v>
      </c>
      <c r="BL37" t="s">
        <v>2166</v>
      </c>
      <c r="BM37" t="s">
        <v>2166</v>
      </c>
      <c r="BN37" t="s">
        <v>2166</v>
      </c>
      <c r="BO37" t="s">
        <v>2166</v>
      </c>
      <c r="BP37" t="s">
        <v>2166</v>
      </c>
      <c r="BQ37" t="s">
        <v>2166</v>
      </c>
      <c r="BR37" t="s">
        <v>2166</v>
      </c>
      <c r="BS37" t="s">
        <v>2166</v>
      </c>
      <c r="BT37" t="s">
        <v>2166</v>
      </c>
      <c r="BU37" t="s">
        <v>2166</v>
      </c>
      <c r="BV37" t="s">
        <v>2166</v>
      </c>
      <c r="BW37" t="s">
        <v>2166</v>
      </c>
      <c r="BX37" t="s">
        <v>2166</v>
      </c>
      <c r="BY37" t="s">
        <v>2166</v>
      </c>
      <c r="BZ37" t="s">
        <v>2166</v>
      </c>
      <c r="CA37" t="s">
        <v>2166</v>
      </c>
      <c r="CB37" t="s">
        <v>2166</v>
      </c>
      <c r="CC37" t="s">
        <v>2166</v>
      </c>
      <c r="CD37" t="s">
        <v>2166</v>
      </c>
      <c r="CE37" t="s">
        <v>2166</v>
      </c>
      <c r="CF37" t="s">
        <v>2166</v>
      </c>
      <c r="CG37" t="s">
        <v>2166</v>
      </c>
      <c r="CH37" t="s">
        <v>2166</v>
      </c>
      <c r="CI37" t="s">
        <v>2166</v>
      </c>
      <c r="CJ37" t="s">
        <v>2166</v>
      </c>
      <c r="CK37" t="s">
        <v>2166</v>
      </c>
      <c r="CL37" t="s">
        <v>2166</v>
      </c>
      <c r="CM37" t="s">
        <v>2166</v>
      </c>
      <c r="CN37" t="s">
        <v>2166</v>
      </c>
      <c r="CO37" t="s">
        <v>2166</v>
      </c>
      <c r="CP37" t="s">
        <v>2166</v>
      </c>
      <c r="CQ37" t="s">
        <v>2166</v>
      </c>
      <c r="CR37" t="s">
        <v>2166</v>
      </c>
      <c r="CS37" t="s">
        <v>2166</v>
      </c>
      <c r="CT37" t="s">
        <v>2166</v>
      </c>
      <c r="CU37" t="s">
        <v>2166</v>
      </c>
      <c r="CV37" t="s">
        <v>2166</v>
      </c>
      <c r="CW37" t="s">
        <v>2166</v>
      </c>
      <c r="CX37" t="s">
        <v>2166</v>
      </c>
      <c r="CY37" t="s">
        <v>2166</v>
      </c>
      <c r="CZ37" t="s">
        <v>2166</v>
      </c>
      <c r="DA37" t="s">
        <v>2166</v>
      </c>
      <c r="DB37" t="s">
        <v>2166</v>
      </c>
      <c r="DC37" t="s">
        <v>2166</v>
      </c>
      <c r="DD37" t="s">
        <v>2166</v>
      </c>
      <c r="DE37" t="s">
        <v>2166</v>
      </c>
      <c r="DF37" t="s">
        <v>2166</v>
      </c>
      <c r="DG37" t="s">
        <v>2166</v>
      </c>
      <c r="DH37" t="s">
        <v>2166</v>
      </c>
      <c r="DI37" t="s">
        <v>2166</v>
      </c>
    </row>
    <row r="38" spans="1:113" x14ac:dyDescent="0.2">
      <c r="A38" t="s">
        <v>2166</v>
      </c>
      <c r="B38" t="s">
        <v>2166</v>
      </c>
      <c r="C38" t="s">
        <v>2166</v>
      </c>
      <c r="D38" t="s">
        <v>2166</v>
      </c>
      <c r="E38" t="s">
        <v>2166</v>
      </c>
      <c r="F38" t="s">
        <v>2166</v>
      </c>
      <c r="G38" t="s">
        <v>2166</v>
      </c>
      <c r="H38" t="s">
        <v>2166</v>
      </c>
      <c r="I38" t="s">
        <v>2166</v>
      </c>
      <c r="J38" t="s">
        <v>2166</v>
      </c>
      <c r="K38" t="s">
        <v>2166</v>
      </c>
      <c r="L38" t="s">
        <v>2166</v>
      </c>
      <c r="M38" t="s">
        <v>2166</v>
      </c>
      <c r="N38" t="s">
        <v>2166</v>
      </c>
      <c r="O38" t="s">
        <v>2166</v>
      </c>
      <c r="P38" t="s">
        <v>2166</v>
      </c>
      <c r="Q38" t="s">
        <v>2166</v>
      </c>
      <c r="R38" t="s">
        <v>2166</v>
      </c>
      <c r="S38" t="s">
        <v>2166</v>
      </c>
      <c r="T38" t="s">
        <v>2166</v>
      </c>
      <c r="U38" t="s">
        <v>2166</v>
      </c>
      <c r="V38" t="s">
        <v>2166</v>
      </c>
      <c r="W38" t="s">
        <v>2166</v>
      </c>
      <c r="X38" t="s">
        <v>2166</v>
      </c>
      <c r="Y38" t="s">
        <v>2166</v>
      </c>
      <c r="Z38" t="s">
        <v>2166</v>
      </c>
      <c r="AA38" t="s">
        <v>2166</v>
      </c>
      <c r="AB38" t="s">
        <v>2166</v>
      </c>
      <c r="AC38" t="s">
        <v>2166</v>
      </c>
      <c r="AD38" t="s">
        <v>2166</v>
      </c>
      <c r="AE38" t="s">
        <v>2166</v>
      </c>
      <c r="AF38" t="s">
        <v>2166</v>
      </c>
      <c r="AG38" t="s">
        <v>2166</v>
      </c>
      <c r="AH38" t="s">
        <v>2166</v>
      </c>
      <c r="AI38" t="s">
        <v>2166</v>
      </c>
      <c r="AJ38" t="s">
        <v>2166</v>
      </c>
      <c r="AK38" t="s">
        <v>2166</v>
      </c>
      <c r="AL38" t="s">
        <v>2166</v>
      </c>
      <c r="AM38" t="s">
        <v>2166</v>
      </c>
      <c r="AN38" t="s">
        <v>2166</v>
      </c>
      <c r="AO38" t="s">
        <v>2166</v>
      </c>
      <c r="AP38" t="s">
        <v>2166</v>
      </c>
      <c r="AQ38" t="s">
        <v>2166</v>
      </c>
      <c r="AR38" t="s">
        <v>2166</v>
      </c>
      <c r="AS38" t="s">
        <v>2166</v>
      </c>
      <c r="AT38" t="s">
        <v>2166</v>
      </c>
      <c r="AU38" t="s">
        <v>2166</v>
      </c>
      <c r="AV38" t="s">
        <v>2166</v>
      </c>
      <c r="AW38" t="s">
        <v>2166</v>
      </c>
      <c r="AX38" t="s">
        <v>2166</v>
      </c>
      <c r="AY38" t="s">
        <v>2166</v>
      </c>
      <c r="AZ38" t="s">
        <v>2166</v>
      </c>
      <c r="BA38" t="s">
        <v>2166</v>
      </c>
      <c r="BB38" t="s">
        <v>2166</v>
      </c>
      <c r="BC38" t="s">
        <v>2166</v>
      </c>
      <c r="BD38" t="s">
        <v>2166</v>
      </c>
      <c r="BE38" t="s">
        <v>2166</v>
      </c>
      <c r="BF38" t="s">
        <v>2166</v>
      </c>
      <c r="BG38" t="s">
        <v>2166</v>
      </c>
      <c r="BH38" t="s">
        <v>2166</v>
      </c>
      <c r="BI38" t="s">
        <v>2166</v>
      </c>
      <c r="BJ38" t="s">
        <v>2166</v>
      </c>
      <c r="BK38" t="s">
        <v>2166</v>
      </c>
      <c r="BL38" t="s">
        <v>2166</v>
      </c>
      <c r="BM38" t="s">
        <v>2166</v>
      </c>
      <c r="BN38" t="s">
        <v>2166</v>
      </c>
      <c r="BO38" t="s">
        <v>2166</v>
      </c>
      <c r="BP38" t="s">
        <v>2166</v>
      </c>
      <c r="BQ38" t="s">
        <v>2166</v>
      </c>
      <c r="BR38" t="s">
        <v>2166</v>
      </c>
      <c r="BS38" t="s">
        <v>2166</v>
      </c>
      <c r="BT38" t="s">
        <v>2166</v>
      </c>
      <c r="BU38" t="s">
        <v>2166</v>
      </c>
      <c r="BV38" t="s">
        <v>2166</v>
      </c>
      <c r="BW38" t="s">
        <v>2166</v>
      </c>
      <c r="BX38" t="s">
        <v>2166</v>
      </c>
      <c r="BY38" t="s">
        <v>2166</v>
      </c>
      <c r="BZ38" t="s">
        <v>2166</v>
      </c>
      <c r="CA38" t="s">
        <v>2166</v>
      </c>
      <c r="CB38" t="s">
        <v>2166</v>
      </c>
      <c r="CC38" t="s">
        <v>2166</v>
      </c>
      <c r="CD38" t="s">
        <v>2166</v>
      </c>
      <c r="CE38" t="s">
        <v>2166</v>
      </c>
      <c r="CF38" t="s">
        <v>2166</v>
      </c>
      <c r="CG38" t="s">
        <v>2166</v>
      </c>
      <c r="CH38" t="s">
        <v>2166</v>
      </c>
      <c r="CI38" t="s">
        <v>2166</v>
      </c>
      <c r="CJ38" t="s">
        <v>2166</v>
      </c>
      <c r="CK38" t="s">
        <v>2166</v>
      </c>
      <c r="CL38" t="s">
        <v>2166</v>
      </c>
      <c r="CM38" t="s">
        <v>2166</v>
      </c>
      <c r="CN38" t="s">
        <v>2166</v>
      </c>
      <c r="CO38" t="s">
        <v>2166</v>
      </c>
      <c r="CP38" t="s">
        <v>2166</v>
      </c>
      <c r="CQ38" t="s">
        <v>2166</v>
      </c>
      <c r="CR38" t="s">
        <v>2166</v>
      </c>
      <c r="CS38" t="s">
        <v>2166</v>
      </c>
      <c r="CT38" t="s">
        <v>2166</v>
      </c>
      <c r="CU38" t="s">
        <v>2166</v>
      </c>
      <c r="CV38" t="s">
        <v>2166</v>
      </c>
      <c r="CW38" t="s">
        <v>2166</v>
      </c>
      <c r="CX38" t="s">
        <v>2166</v>
      </c>
      <c r="CY38" t="s">
        <v>2166</v>
      </c>
      <c r="CZ38" t="s">
        <v>2166</v>
      </c>
      <c r="DA38" t="s">
        <v>2166</v>
      </c>
      <c r="DB38" t="s">
        <v>2166</v>
      </c>
      <c r="DC38" t="s">
        <v>2166</v>
      </c>
      <c r="DD38" t="s">
        <v>2166</v>
      </c>
      <c r="DE38" t="s">
        <v>2166</v>
      </c>
      <c r="DF38" t="s">
        <v>2166</v>
      </c>
      <c r="DG38" t="s">
        <v>2166</v>
      </c>
      <c r="DH38" t="s">
        <v>2166</v>
      </c>
      <c r="DI38" t="s">
        <v>2166</v>
      </c>
    </row>
    <row r="39" spans="1:113" x14ac:dyDescent="0.2">
      <c r="A39" t="s">
        <v>2166</v>
      </c>
      <c r="B39" t="s">
        <v>2166</v>
      </c>
      <c r="C39" t="s">
        <v>2166</v>
      </c>
      <c r="D39" t="s">
        <v>2166</v>
      </c>
      <c r="E39" t="s">
        <v>2166</v>
      </c>
      <c r="F39" t="s">
        <v>2166</v>
      </c>
      <c r="G39" t="s">
        <v>2166</v>
      </c>
      <c r="H39" t="s">
        <v>2166</v>
      </c>
      <c r="I39" t="s">
        <v>2166</v>
      </c>
      <c r="J39" t="s">
        <v>2166</v>
      </c>
      <c r="K39" t="s">
        <v>2166</v>
      </c>
      <c r="L39" t="s">
        <v>2166</v>
      </c>
      <c r="M39" t="s">
        <v>2166</v>
      </c>
      <c r="N39" t="s">
        <v>2166</v>
      </c>
      <c r="O39" t="s">
        <v>2166</v>
      </c>
      <c r="P39" t="s">
        <v>2166</v>
      </c>
      <c r="Q39" t="s">
        <v>2166</v>
      </c>
      <c r="R39" t="s">
        <v>2166</v>
      </c>
      <c r="S39" t="s">
        <v>2166</v>
      </c>
      <c r="T39" t="s">
        <v>2166</v>
      </c>
      <c r="U39" t="s">
        <v>2166</v>
      </c>
      <c r="V39" t="s">
        <v>2166</v>
      </c>
      <c r="W39" t="s">
        <v>2166</v>
      </c>
      <c r="X39" t="s">
        <v>2166</v>
      </c>
      <c r="Y39" t="s">
        <v>2166</v>
      </c>
      <c r="Z39" t="s">
        <v>2166</v>
      </c>
      <c r="AA39" t="s">
        <v>2166</v>
      </c>
      <c r="AB39" t="s">
        <v>2166</v>
      </c>
      <c r="AC39" t="s">
        <v>2166</v>
      </c>
      <c r="AD39" t="s">
        <v>2166</v>
      </c>
      <c r="AE39" t="s">
        <v>2166</v>
      </c>
      <c r="AF39" t="s">
        <v>2166</v>
      </c>
      <c r="AG39" t="s">
        <v>2166</v>
      </c>
      <c r="AH39" t="s">
        <v>2166</v>
      </c>
      <c r="AI39" t="s">
        <v>2166</v>
      </c>
      <c r="AJ39" t="s">
        <v>2166</v>
      </c>
      <c r="AK39" t="s">
        <v>2166</v>
      </c>
      <c r="AL39" t="s">
        <v>2166</v>
      </c>
      <c r="AM39" t="s">
        <v>2166</v>
      </c>
      <c r="AN39" t="s">
        <v>2166</v>
      </c>
      <c r="AO39" t="s">
        <v>2166</v>
      </c>
      <c r="AP39" t="s">
        <v>2166</v>
      </c>
      <c r="AQ39" t="s">
        <v>2166</v>
      </c>
      <c r="AR39" t="s">
        <v>2166</v>
      </c>
      <c r="AS39" t="s">
        <v>2166</v>
      </c>
      <c r="AT39" t="s">
        <v>2166</v>
      </c>
      <c r="AU39" t="s">
        <v>2166</v>
      </c>
      <c r="AV39" t="s">
        <v>2166</v>
      </c>
      <c r="AW39" t="s">
        <v>2166</v>
      </c>
      <c r="AX39" t="s">
        <v>2166</v>
      </c>
      <c r="AY39" t="s">
        <v>2166</v>
      </c>
      <c r="AZ39" t="s">
        <v>2166</v>
      </c>
      <c r="BA39" t="s">
        <v>2166</v>
      </c>
      <c r="BB39" t="s">
        <v>2166</v>
      </c>
      <c r="BC39" t="s">
        <v>2166</v>
      </c>
      <c r="BD39" t="s">
        <v>2166</v>
      </c>
      <c r="BE39" t="s">
        <v>2166</v>
      </c>
      <c r="BF39" t="s">
        <v>2166</v>
      </c>
      <c r="BG39" t="s">
        <v>2166</v>
      </c>
      <c r="BH39" t="s">
        <v>2166</v>
      </c>
      <c r="BI39" t="s">
        <v>2166</v>
      </c>
      <c r="BJ39" t="s">
        <v>2166</v>
      </c>
      <c r="BK39" t="s">
        <v>2166</v>
      </c>
      <c r="BL39" t="s">
        <v>2166</v>
      </c>
      <c r="BM39" t="s">
        <v>2166</v>
      </c>
      <c r="BN39" t="s">
        <v>2166</v>
      </c>
      <c r="BO39" t="s">
        <v>2166</v>
      </c>
      <c r="BP39" t="s">
        <v>2166</v>
      </c>
      <c r="BQ39" t="s">
        <v>2166</v>
      </c>
      <c r="BR39" t="s">
        <v>2166</v>
      </c>
      <c r="BS39" t="s">
        <v>2166</v>
      </c>
      <c r="BT39" t="s">
        <v>2166</v>
      </c>
      <c r="BU39" t="s">
        <v>2166</v>
      </c>
      <c r="BV39" t="s">
        <v>2166</v>
      </c>
      <c r="BW39" t="s">
        <v>2166</v>
      </c>
      <c r="BX39" t="s">
        <v>2166</v>
      </c>
      <c r="BY39" t="s">
        <v>2166</v>
      </c>
      <c r="BZ39" t="s">
        <v>2166</v>
      </c>
      <c r="CA39" t="s">
        <v>2166</v>
      </c>
      <c r="CB39" t="s">
        <v>2166</v>
      </c>
      <c r="CC39" t="s">
        <v>2166</v>
      </c>
      <c r="CD39" t="s">
        <v>2166</v>
      </c>
      <c r="CE39" t="s">
        <v>2166</v>
      </c>
      <c r="CF39" t="s">
        <v>2166</v>
      </c>
      <c r="CG39" t="s">
        <v>2166</v>
      </c>
      <c r="CH39" t="s">
        <v>2166</v>
      </c>
      <c r="CI39" t="s">
        <v>2166</v>
      </c>
      <c r="CJ39" t="s">
        <v>2166</v>
      </c>
      <c r="CK39" t="s">
        <v>2166</v>
      </c>
      <c r="CL39" t="s">
        <v>2166</v>
      </c>
      <c r="CM39" t="s">
        <v>2166</v>
      </c>
      <c r="CN39" t="s">
        <v>2166</v>
      </c>
      <c r="CO39" t="s">
        <v>2166</v>
      </c>
      <c r="CP39" t="s">
        <v>2166</v>
      </c>
      <c r="CQ39" t="s">
        <v>2166</v>
      </c>
      <c r="CR39" t="s">
        <v>2166</v>
      </c>
      <c r="CS39" t="s">
        <v>2166</v>
      </c>
      <c r="CT39" t="s">
        <v>2166</v>
      </c>
      <c r="CU39" t="s">
        <v>2166</v>
      </c>
      <c r="CV39" t="s">
        <v>2166</v>
      </c>
      <c r="CW39" t="s">
        <v>2166</v>
      </c>
      <c r="CX39" t="s">
        <v>2166</v>
      </c>
      <c r="CY39" t="s">
        <v>2166</v>
      </c>
      <c r="CZ39" t="s">
        <v>2166</v>
      </c>
      <c r="DA39" t="s">
        <v>2166</v>
      </c>
      <c r="DB39" t="s">
        <v>2166</v>
      </c>
      <c r="DC39" t="s">
        <v>2166</v>
      </c>
      <c r="DD39" t="s">
        <v>2166</v>
      </c>
      <c r="DE39" t="s">
        <v>2166</v>
      </c>
      <c r="DF39" t="s">
        <v>2166</v>
      </c>
      <c r="DG39" t="s">
        <v>2166</v>
      </c>
      <c r="DH39" t="s">
        <v>2166</v>
      </c>
      <c r="DI39" t="s">
        <v>2166</v>
      </c>
    </row>
    <row r="40" spans="1:113" x14ac:dyDescent="0.2">
      <c r="A40" t="s">
        <v>2166</v>
      </c>
      <c r="B40" t="s">
        <v>2166</v>
      </c>
      <c r="C40" t="s">
        <v>2166</v>
      </c>
      <c r="D40" t="s">
        <v>2166</v>
      </c>
      <c r="E40" t="s">
        <v>2166</v>
      </c>
      <c r="F40" t="s">
        <v>2166</v>
      </c>
      <c r="G40" t="s">
        <v>2166</v>
      </c>
      <c r="H40" t="s">
        <v>2166</v>
      </c>
      <c r="I40" t="s">
        <v>2166</v>
      </c>
      <c r="J40" t="s">
        <v>2166</v>
      </c>
      <c r="K40" t="s">
        <v>2166</v>
      </c>
      <c r="L40" t="s">
        <v>2166</v>
      </c>
      <c r="M40" t="s">
        <v>2166</v>
      </c>
      <c r="N40" t="s">
        <v>2166</v>
      </c>
      <c r="O40" t="s">
        <v>2166</v>
      </c>
      <c r="P40" t="s">
        <v>2166</v>
      </c>
      <c r="Q40" t="s">
        <v>2166</v>
      </c>
      <c r="R40" t="s">
        <v>2166</v>
      </c>
      <c r="S40" t="s">
        <v>2166</v>
      </c>
      <c r="T40" t="s">
        <v>2166</v>
      </c>
      <c r="U40" t="s">
        <v>2166</v>
      </c>
      <c r="V40" t="s">
        <v>2166</v>
      </c>
      <c r="W40" t="s">
        <v>2166</v>
      </c>
      <c r="X40" t="s">
        <v>2166</v>
      </c>
      <c r="Y40" t="s">
        <v>2166</v>
      </c>
      <c r="Z40" t="s">
        <v>2166</v>
      </c>
      <c r="AA40" t="s">
        <v>2166</v>
      </c>
      <c r="AB40" t="s">
        <v>2166</v>
      </c>
      <c r="AC40" t="s">
        <v>2166</v>
      </c>
      <c r="AD40" t="s">
        <v>2166</v>
      </c>
      <c r="AE40" t="s">
        <v>2166</v>
      </c>
      <c r="AF40" t="s">
        <v>2166</v>
      </c>
      <c r="AG40" t="s">
        <v>2166</v>
      </c>
      <c r="AH40" t="s">
        <v>2166</v>
      </c>
      <c r="AI40" t="s">
        <v>2166</v>
      </c>
      <c r="AJ40" t="s">
        <v>2166</v>
      </c>
      <c r="AK40" t="s">
        <v>2166</v>
      </c>
      <c r="AL40" t="s">
        <v>2166</v>
      </c>
      <c r="AM40" t="s">
        <v>2166</v>
      </c>
      <c r="AN40" t="s">
        <v>2166</v>
      </c>
      <c r="AO40" t="s">
        <v>2166</v>
      </c>
      <c r="AP40" t="s">
        <v>2166</v>
      </c>
      <c r="AQ40" t="s">
        <v>2166</v>
      </c>
      <c r="AR40" t="s">
        <v>2166</v>
      </c>
      <c r="AS40" t="s">
        <v>2166</v>
      </c>
      <c r="AT40" t="s">
        <v>2166</v>
      </c>
      <c r="AU40" t="s">
        <v>2166</v>
      </c>
      <c r="AV40" t="s">
        <v>2166</v>
      </c>
      <c r="AW40" t="s">
        <v>2166</v>
      </c>
      <c r="AX40" t="s">
        <v>2166</v>
      </c>
      <c r="AY40" t="s">
        <v>2166</v>
      </c>
      <c r="AZ40" t="s">
        <v>2166</v>
      </c>
      <c r="BA40" t="s">
        <v>2166</v>
      </c>
      <c r="BB40" t="s">
        <v>2166</v>
      </c>
      <c r="BC40" t="s">
        <v>2166</v>
      </c>
      <c r="BD40" t="s">
        <v>2166</v>
      </c>
      <c r="BE40" t="s">
        <v>2166</v>
      </c>
      <c r="BF40" t="s">
        <v>2166</v>
      </c>
      <c r="BG40" t="s">
        <v>2166</v>
      </c>
      <c r="BH40" t="s">
        <v>2166</v>
      </c>
      <c r="BI40" t="s">
        <v>2166</v>
      </c>
      <c r="BJ40" t="s">
        <v>2166</v>
      </c>
      <c r="BK40" t="s">
        <v>2166</v>
      </c>
      <c r="BL40" t="s">
        <v>2166</v>
      </c>
      <c r="BM40" t="s">
        <v>2166</v>
      </c>
      <c r="BN40" t="s">
        <v>2166</v>
      </c>
      <c r="BO40" t="s">
        <v>2166</v>
      </c>
      <c r="BP40" t="s">
        <v>2166</v>
      </c>
      <c r="BQ40" t="s">
        <v>2166</v>
      </c>
      <c r="BR40" t="s">
        <v>2166</v>
      </c>
      <c r="BS40" t="s">
        <v>2166</v>
      </c>
      <c r="BT40" t="s">
        <v>2166</v>
      </c>
      <c r="BU40" t="s">
        <v>2166</v>
      </c>
      <c r="BV40" t="s">
        <v>2166</v>
      </c>
      <c r="BW40" t="s">
        <v>2166</v>
      </c>
      <c r="BX40" t="s">
        <v>2166</v>
      </c>
      <c r="BY40" t="s">
        <v>2166</v>
      </c>
      <c r="BZ40" t="s">
        <v>2166</v>
      </c>
      <c r="CA40" t="s">
        <v>2166</v>
      </c>
      <c r="CB40" t="s">
        <v>2166</v>
      </c>
      <c r="CC40" t="s">
        <v>2166</v>
      </c>
      <c r="CD40" t="s">
        <v>2166</v>
      </c>
      <c r="CE40" t="s">
        <v>2166</v>
      </c>
      <c r="CF40" t="s">
        <v>2166</v>
      </c>
      <c r="CG40" t="s">
        <v>2166</v>
      </c>
      <c r="CH40" t="s">
        <v>2166</v>
      </c>
      <c r="CI40" t="s">
        <v>2166</v>
      </c>
      <c r="CJ40" t="s">
        <v>2166</v>
      </c>
      <c r="CK40" t="s">
        <v>2166</v>
      </c>
      <c r="CL40" t="s">
        <v>2166</v>
      </c>
      <c r="CM40" t="s">
        <v>2166</v>
      </c>
      <c r="CN40" t="s">
        <v>2166</v>
      </c>
      <c r="CO40" t="s">
        <v>2166</v>
      </c>
      <c r="CP40" t="s">
        <v>2166</v>
      </c>
      <c r="CQ40" t="s">
        <v>2166</v>
      </c>
      <c r="CR40" t="s">
        <v>2166</v>
      </c>
      <c r="CS40" t="s">
        <v>2166</v>
      </c>
      <c r="CT40" t="s">
        <v>2166</v>
      </c>
      <c r="CU40" t="s">
        <v>2166</v>
      </c>
      <c r="CV40" t="s">
        <v>2166</v>
      </c>
      <c r="CW40" t="s">
        <v>2166</v>
      </c>
      <c r="CX40" t="s">
        <v>2166</v>
      </c>
      <c r="CY40" t="s">
        <v>2166</v>
      </c>
      <c r="CZ40" t="s">
        <v>2166</v>
      </c>
      <c r="DA40" t="s">
        <v>2166</v>
      </c>
      <c r="DB40" t="s">
        <v>2166</v>
      </c>
      <c r="DC40" t="s">
        <v>2166</v>
      </c>
      <c r="DD40" t="s">
        <v>2166</v>
      </c>
      <c r="DE40" t="s">
        <v>2166</v>
      </c>
      <c r="DF40" t="s">
        <v>2166</v>
      </c>
      <c r="DG40" t="s">
        <v>2166</v>
      </c>
      <c r="DH40" t="s">
        <v>2166</v>
      </c>
      <c r="DI40" t="s">
        <v>2166</v>
      </c>
    </row>
    <row r="41" spans="1:113" x14ac:dyDescent="0.2">
      <c r="A41" t="s">
        <v>2166</v>
      </c>
      <c r="B41" t="s">
        <v>2166</v>
      </c>
      <c r="C41" t="s">
        <v>2166</v>
      </c>
      <c r="D41" t="s">
        <v>2166</v>
      </c>
      <c r="E41" t="s">
        <v>2166</v>
      </c>
      <c r="F41" t="s">
        <v>2166</v>
      </c>
      <c r="G41" t="s">
        <v>2166</v>
      </c>
      <c r="H41" t="s">
        <v>2166</v>
      </c>
      <c r="I41" t="s">
        <v>2166</v>
      </c>
      <c r="J41" t="s">
        <v>2166</v>
      </c>
      <c r="K41" t="s">
        <v>2166</v>
      </c>
      <c r="L41" t="s">
        <v>2166</v>
      </c>
      <c r="M41" t="s">
        <v>2166</v>
      </c>
      <c r="N41" t="s">
        <v>2166</v>
      </c>
      <c r="O41" t="s">
        <v>2166</v>
      </c>
      <c r="P41" t="s">
        <v>2166</v>
      </c>
      <c r="Q41" t="s">
        <v>2166</v>
      </c>
      <c r="R41" t="s">
        <v>2166</v>
      </c>
      <c r="S41" t="s">
        <v>2166</v>
      </c>
      <c r="T41" t="s">
        <v>2166</v>
      </c>
      <c r="U41" t="s">
        <v>2166</v>
      </c>
      <c r="V41" t="s">
        <v>2166</v>
      </c>
      <c r="W41" t="s">
        <v>2166</v>
      </c>
      <c r="X41" t="s">
        <v>2166</v>
      </c>
      <c r="Y41" t="s">
        <v>2166</v>
      </c>
      <c r="Z41" t="s">
        <v>2166</v>
      </c>
      <c r="AA41" t="s">
        <v>2166</v>
      </c>
      <c r="AB41" t="s">
        <v>2166</v>
      </c>
      <c r="AC41" t="s">
        <v>2166</v>
      </c>
      <c r="AD41" t="s">
        <v>2166</v>
      </c>
      <c r="AE41" t="s">
        <v>2166</v>
      </c>
      <c r="AF41" t="s">
        <v>2166</v>
      </c>
      <c r="AG41" t="s">
        <v>2166</v>
      </c>
      <c r="AH41" t="s">
        <v>2166</v>
      </c>
      <c r="AI41" t="s">
        <v>2166</v>
      </c>
      <c r="AJ41" t="s">
        <v>2166</v>
      </c>
      <c r="AK41" t="s">
        <v>2166</v>
      </c>
      <c r="AL41" t="s">
        <v>2166</v>
      </c>
      <c r="AM41" t="s">
        <v>2166</v>
      </c>
      <c r="AN41" t="s">
        <v>2166</v>
      </c>
      <c r="AO41" t="s">
        <v>2166</v>
      </c>
      <c r="AP41" t="s">
        <v>2166</v>
      </c>
      <c r="AQ41" t="s">
        <v>2166</v>
      </c>
      <c r="AR41" t="s">
        <v>2166</v>
      </c>
      <c r="AS41" t="s">
        <v>2166</v>
      </c>
      <c r="AT41" t="s">
        <v>2166</v>
      </c>
      <c r="AU41" t="s">
        <v>2166</v>
      </c>
      <c r="AV41" t="s">
        <v>2166</v>
      </c>
      <c r="AW41" t="s">
        <v>2166</v>
      </c>
      <c r="AX41" t="s">
        <v>2166</v>
      </c>
      <c r="AY41" t="s">
        <v>2166</v>
      </c>
      <c r="AZ41" t="s">
        <v>2166</v>
      </c>
      <c r="BA41" t="s">
        <v>2166</v>
      </c>
      <c r="BB41" t="s">
        <v>2166</v>
      </c>
      <c r="BC41" t="s">
        <v>2166</v>
      </c>
      <c r="BD41" t="s">
        <v>2166</v>
      </c>
      <c r="BE41" t="s">
        <v>2166</v>
      </c>
      <c r="BF41" t="s">
        <v>2166</v>
      </c>
      <c r="BG41" t="s">
        <v>2166</v>
      </c>
      <c r="BH41" t="s">
        <v>2166</v>
      </c>
      <c r="BI41" t="s">
        <v>2166</v>
      </c>
      <c r="BJ41" t="s">
        <v>2166</v>
      </c>
      <c r="BK41" t="s">
        <v>2166</v>
      </c>
      <c r="BL41" t="s">
        <v>2166</v>
      </c>
      <c r="BM41" t="s">
        <v>2166</v>
      </c>
      <c r="BN41" t="s">
        <v>2166</v>
      </c>
      <c r="BO41" t="s">
        <v>2166</v>
      </c>
      <c r="BP41" t="s">
        <v>2166</v>
      </c>
      <c r="BQ41" t="s">
        <v>2166</v>
      </c>
      <c r="BR41" t="s">
        <v>2166</v>
      </c>
      <c r="BS41" t="s">
        <v>2166</v>
      </c>
      <c r="BT41" t="s">
        <v>2166</v>
      </c>
      <c r="BU41" t="s">
        <v>2166</v>
      </c>
      <c r="BV41" t="s">
        <v>2166</v>
      </c>
      <c r="BW41" t="s">
        <v>2166</v>
      </c>
      <c r="BX41" t="s">
        <v>2166</v>
      </c>
      <c r="BY41" t="s">
        <v>2166</v>
      </c>
      <c r="BZ41" t="s">
        <v>2166</v>
      </c>
      <c r="CA41" t="s">
        <v>2166</v>
      </c>
      <c r="CB41" t="s">
        <v>2166</v>
      </c>
      <c r="CC41" t="s">
        <v>2166</v>
      </c>
      <c r="CD41" t="s">
        <v>2166</v>
      </c>
      <c r="CE41" t="s">
        <v>2166</v>
      </c>
      <c r="CF41" t="s">
        <v>2166</v>
      </c>
      <c r="CG41" t="s">
        <v>2166</v>
      </c>
      <c r="CH41" t="s">
        <v>2166</v>
      </c>
      <c r="CI41" t="s">
        <v>2166</v>
      </c>
      <c r="CJ41" t="s">
        <v>2166</v>
      </c>
      <c r="CK41" t="s">
        <v>2166</v>
      </c>
      <c r="CL41" t="s">
        <v>2166</v>
      </c>
      <c r="CM41" t="s">
        <v>2166</v>
      </c>
      <c r="CN41" t="s">
        <v>2166</v>
      </c>
      <c r="CO41" t="s">
        <v>2166</v>
      </c>
      <c r="CP41" t="s">
        <v>2166</v>
      </c>
      <c r="CQ41" t="s">
        <v>2166</v>
      </c>
      <c r="CR41" t="s">
        <v>2166</v>
      </c>
      <c r="CS41" t="s">
        <v>2166</v>
      </c>
      <c r="CT41" t="s">
        <v>2166</v>
      </c>
      <c r="CU41" t="s">
        <v>2166</v>
      </c>
      <c r="CV41" t="s">
        <v>2166</v>
      </c>
      <c r="CW41" t="s">
        <v>2166</v>
      </c>
      <c r="CX41" t="s">
        <v>2166</v>
      </c>
      <c r="CY41" t="s">
        <v>2166</v>
      </c>
      <c r="CZ41" t="s">
        <v>2166</v>
      </c>
      <c r="DA41" t="s">
        <v>2166</v>
      </c>
      <c r="DB41" t="s">
        <v>2166</v>
      </c>
      <c r="DC41" t="s">
        <v>2166</v>
      </c>
      <c r="DD41" t="s">
        <v>2166</v>
      </c>
      <c r="DE41" t="s">
        <v>2166</v>
      </c>
      <c r="DF41" t="s">
        <v>2166</v>
      </c>
      <c r="DG41" t="s">
        <v>2166</v>
      </c>
      <c r="DH41" t="s">
        <v>2166</v>
      </c>
      <c r="DI41" t="s">
        <v>2166</v>
      </c>
    </row>
    <row r="42" spans="1:113" x14ac:dyDescent="0.2">
      <c r="A42" t="s">
        <v>2166</v>
      </c>
      <c r="B42" t="s">
        <v>2166</v>
      </c>
      <c r="C42" t="s">
        <v>2166</v>
      </c>
      <c r="D42" t="s">
        <v>2166</v>
      </c>
      <c r="E42" t="s">
        <v>2166</v>
      </c>
      <c r="F42" t="s">
        <v>2166</v>
      </c>
      <c r="G42" t="s">
        <v>2166</v>
      </c>
      <c r="H42" t="s">
        <v>2166</v>
      </c>
      <c r="I42" t="s">
        <v>2166</v>
      </c>
      <c r="J42" t="s">
        <v>2166</v>
      </c>
      <c r="K42" t="s">
        <v>2166</v>
      </c>
      <c r="L42" t="s">
        <v>2166</v>
      </c>
      <c r="M42" t="s">
        <v>2166</v>
      </c>
      <c r="N42" t="s">
        <v>2166</v>
      </c>
      <c r="O42" t="s">
        <v>2166</v>
      </c>
      <c r="P42" t="s">
        <v>2166</v>
      </c>
      <c r="Q42" t="s">
        <v>2166</v>
      </c>
      <c r="R42" t="s">
        <v>2166</v>
      </c>
      <c r="S42" t="s">
        <v>2166</v>
      </c>
      <c r="T42" t="s">
        <v>2166</v>
      </c>
      <c r="U42" t="s">
        <v>2166</v>
      </c>
      <c r="V42" t="s">
        <v>2166</v>
      </c>
      <c r="W42" t="s">
        <v>2166</v>
      </c>
      <c r="X42" t="s">
        <v>2166</v>
      </c>
      <c r="Y42" t="s">
        <v>2166</v>
      </c>
      <c r="Z42" t="s">
        <v>2166</v>
      </c>
      <c r="AA42" t="s">
        <v>2166</v>
      </c>
      <c r="AB42" t="s">
        <v>2166</v>
      </c>
      <c r="AC42" t="s">
        <v>2166</v>
      </c>
      <c r="AD42" t="s">
        <v>2166</v>
      </c>
      <c r="AE42" t="s">
        <v>2166</v>
      </c>
      <c r="AF42" t="s">
        <v>2166</v>
      </c>
      <c r="AG42" t="s">
        <v>2166</v>
      </c>
      <c r="AH42" t="s">
        <v>2166</v>
      </c>
      <c r="AI42" t="s">
        <v>2166</v>
      </c>
      <c r="AJ42" t="s">
        <v>2166</v>
      </c>
      <c r="AK42" t="s">
        <v>2166</v>
      </c>
      <c r="AL42" t="s">
        <v>2166</v>
      </c>
      <c r="AM42" t="s">
        <v>2166</v>
      </c>
      <c r="AN42" t="s">
        <v>2166</v>
      </c>
      <c r="AO42" t="s">
        <v>2166</v>
      </c>
      <c r="AP42" t="s">
        <v>2166</v>
      </c>
      <c r="AQ42" t="s">
        <v>2166</v>
      </c>
      <c r="AR42" t="s">
        <v>2166</v>
      </c>
      <c r="AS42" t="s">
        <v>2166</v>
      </c>
      <c r="AT42" t="s">
        <v>2166</v>
      </c>
      <c r="AU42" t="s">
        <v>2166</v>
      </c>
      <c r="AV42" t="s">
        <v>2166</v>
      </c>
      <c r="AW42" t="s">
        <v>2166</v>
      </c>
      <c r="AX42" t="s">
        <v>2166</v>
      </c>
      <c r="AY42" t="s">
        <v>2166</v>
      </c>
      <c r="AZ42" t="s">
        <v>2166</v>
      </c>
      <c r="BA42" t="s">
        <v>2166</v>
      </c>
      <c r="BB42" t="s">
        <v>2166</v>
      </c>
      <c r="BC42" t="s">
        <v>2166</v>
      </c>
      <c r="BD42" t="s">
        <v>2166</v>
      </c>
      <c r="BE42" t="s">
        <v>2166</v>
      </c>
      <c r="BF42" t="s">
        <v>2166</v>
      </c>
      <c r="BG42" t="s">
        <v>2166</v>
      </c>
      <c r="BH42" t="s">
        <v>2166</v>
      </c>
      <c r="BI42" t="s">
        <v>2166</v>
      </c>
      <c r="BJ42" t="s">
        <v>2166</v>
      </c>
      <c r="BK42" t="s">
        <v>2166</v>
      </c>
      <c r="BL42" t="s">
        <v>2166</v>
      </c>
      <c r="BM42" t="s">
        <v>2166</v>
      </c>
      <c r="BN42" t="s">
        <v>2166</v>
      </c>
      <c r="BO42" t="s">
        <v>2166</v>
      </c>
      <c r="BP42" t="s">
        <v>2166</v>
      </c>
      <c r="BQ42" t="s">
        <v>2166</v>
      </c>
      <c r="BR42" t="s">
        <v>2166</v>
      </c>
      <c r="BS42" t="s">
        <v>2166</v>
      </c>
      <c r="BT42" t="s">
        <v>2166</v>
      </c>
      <c r="BU42" t="s">
        <v>2166</v>
      </c>
      <c r="BV42" t="s">
        <v>2166</v>
      </c>
      <c r="BW42" t="s">
        <v>2166</v>
      </c>
      <c r="BX42" t="s">
        <v>2166</v>
      </c>
      <c r="BY42" t="s">
        <v>2166</v>
      </c>
      <c r="BZ42" t="s">
        <v>2166</v>
      </c>
      <c r="CA42" t="s">
        <v>2166</v>
      </c>
      <c r="CB42" t="s">
        <v>2166</v>
      </c>
      <c r="CC42" t="s">
        <v>2166</v>
      </c>
      <c r="CD42" t="s">
        <v>2166</v>
      </c>
      <c r="CE42" t="s">
        <v>2166</v>
      </c>
      <c r="CF42" t="s">
        <v>2166</v>
      </c>
      <c r="CG42" t="s">
        <v>2166</v>
      </c>
      <c r="CH42" t="s">
        <v>2166</v>
      </c>
      <c r="CI42" t="s">
        <v>2166</v>
      </c>
      <c r="CJ42" t="s">
        <v>2166</v>
      </c>
      <c r="CK42" t="s">
        <v>2166</v>
      </c>
      <c r="CL42" t="s">
        <v>2166</v>
      </c>
      <c r="CM42" t="s">
        <v>2166</v>
      </c>
      <c r="CN42" t="s">
        <v>2166</v>
      </c>
      <c r="CO42" t="s">
        <v>2166</v>
      </c>
      <c r="CP42" t="s">
        <v>2166</v>
      </c>
      <c r="CQ42" t="s">
        <v>2166</v>
      </c>
      <c r="CR42" t="s">
        <v>2166</v>
      </c>
      <c r="CS42" t="s">
        <v>2166</v>
      </c>
      <c r="CT42" t="s">
        <v>2166</v>
      </c>
      <c r="CU42" t="s">
        <v>2166</v>
      </c>
      <c r="CV42" t="s">
        <v>2166</v>
      </c>
      <c r="CW42" t="s">
        <v>2166</v>
      </c>
      <c r="CX42" t="s">
        <v>2166</v>
      </c>
      <c r="CY42" t="s">
        <v>2166</v>
      </c>
      <c r="CZ42" t="s">
        <v>2166</v>
      </c>
      <c r="DA42" t="s">
        <v>2166</v>
      </c>
      <c r="DB42" t="s">
        <v>2166</v>
      </c>
      <c r="DC42" t="s">
        <v>2166</v>
      </c>
      <c r="DD42" t="s">
        <v>2166</v>
      </c>
      <c r="DE42" t="s">
        <v>2166</v>
      </c>
      <c r="DF42" t="s">
        <v>2166</v>
      </c>
      <c r="DG42" t="s">
        <v>2166</v>
      </c>
      <c r="DH42" t="s">
        <v>2166</v>
      </c>
      <c r="DI42" t="s">
        <v>2166</v>
      </c>
    </row>
    <row r="43" spans="1:113" x14ac:dyDescent="0.2">
      <c r="A43" t="s">
        <v>2166</v>
      </c>
      <c r="B43" t="s">
        <v>2166</v>
      </c>
      <c r="C43" t="s">
        <v>2166</v>
      </c>
      <c r="D43" t="s">
        <v>2166</v>
      </c>
      <c r="E43" t="s">
        <v>2166</v>
      </c>
      <c r="F43" t="s">
        <v>2166</v>
      </c>
      <c r="G43" t="s">
        <v>2166</v>
      </c>
      <c r="H43" t="s">
        <v>2166</v>
      </c>
      <c r="I43" t="s">
        <v>2166</v>
      </c>
      <c r="J43" t="s">
        <v>2166</v>
      </c>
      <c r="K43" t="s">
        <v>2166</v>
      </c>
      <c r="L43" t="s">
        <v>2166</v>
      </c>
      <c r="M43" t="s">
        <v>2166</v>
      </c>
      <c r="N43" t="s">
        <v>2166</v>
      </c>
      <c r="O43" t="s">
        <v>2166</v>
      </c>
      <c r="P43" t="s">
        <v>2166</v>
      </c>
      <c r="Q43" t="s">
        <v>2166</v>
      </c>
      <c r="R43" t="s">
        <v>2166</v>
      </c>
      <c r="S43" t="s">
        <v>2166</v>
      </c>
      <c r="T43" t="s">
        <v>2166</v>
      </c>
      <c r="U43" t="s">
        <v>2166</v>
      </c>
      <c r="V43" t="s">
        <v>2166</v>
      </c>
      <c r="W43" t="s">
        <v>2166</v>
      </c>
      <c r="X43" t="s">
        <v>2166</v>
      </c>
      <c r="Y43" t="s">
        <v>2166</v>
      </c>
      <c r="Z43" t="s">
        <v>2166</v>
      </c>
      <c r="AA43" t="s">
        <v>2166</v>
      </c>
      <c r="AB43" t="s">
        <v>2166</v>
      </c>
      <c r="AC43" t="s">
        <v>2166</v>
      </c>
      <c r="AD43" t="s">
        <v>2166</v>
      </c>
      <c r="AE43" t="s">
        <v>2166</v>
      </c>
      <c r="AF43" t="s">
        <v>2166</v>
      </c>
      <c r="AG43" t="s">
        <v>2166</v>
      </c>
      <c r="AH43" t="s">
        <v>2166</v>
      </c>
      <c r="AI43" t="s">
        <v>2166</v>
      </c>
      <c r="AJ43" t="s">
        <v>2166</v>
      </c>
      <c r="AK43" t="s">
        <v>2166</v>
      </c>
      <c r="AL43" t="s">
        <v>2166</v>
      </c>
      <c r="AM43" t="s">
        <v>2166</v>
      </c>
      <c r="AN43" t="s">
        <v>2166</v>
      </c>
      <c r="AO43" t="s">
        <v>2166</v>
      </c>
      <c r="AP43" t="s">
        <v>2166</v>
      </c>
      <c r="AQ43" t="s">
        <v>2166</v>
      </c>
      <c r="AR43" t="s">
        <v>2166</v>
      </c>
      <c r="AS43" t="s">
        <v>2166</v>
      </c>
      <c r="AT43" t="s">
        <v>2166</v>
      </c>
      <c r="AU43" t="s">
        <v>2166</v>
      </c>
      <c r="AV43" t="s">
        <v>2166</v>
      </c>
      <c r="AW43" t="s">
        <v>2166</v>
      </c>
      <c r="AX43" t="s">
        <v>2166</v>
      </c>
      <c r="AY43" t="s">
        <v>2166</v>
      </c>
      <c r="AZ43" t="s">
        <v>2166</v>
      </c>
      <c r="BA43" t="s">
        <v>2166</v>
      </c>
      <c r="BB43" t="s">
        <v>2166</v>
      </c>
      <c r="BC43" t="s">
        <v>2166</v>
      </c>
      <c r="BD43" t="s">
        <v>2166</v>
      </c>
      <c r="BE43" t="s">
        <v>2166</v>
      </c>
      <c r="BF43" t="s">
        <v>2166</v>
      </c>
      <c r="BG43" t="s">
        <v>2166</v>
      </c>
      <c r="BH43" t="s">
        <v>2166</v>
      </c>
      <c r="BI43" t="s">
        <v>2166</v>
      </c>
      <c r="BJ43" t="s">
        <v>2166</v>
      </c>
      <c r="BK43" t="s">
        <v>2166</v>
      </c>
      <c r="BL43" t="s">
        <v>2166</v>
      </c>
      <c r="BM43" t="s">
        <v>2166</v>
      </c>
      <c r="BN43" t="s">
        <v>2166</v>
      </c>
      <c r="BO43" t="s">
        <v>2166</v>
      </c>
      <c r="BP43" t="s">
        <v>2166</v>
      </c>
      <c r="BQ43" t="s">
        <v>2166</v>
      </c>
      <c r="BR43" t="s">
        <v>2166</v>
      </c>
      <c r="BS43" t="s">
        <v>2166</v>
      </c>
      <c r="BT43" t="s">
        <v>2166</v>
      </c>
      <c r="BU43" t="s">
        <v>2166</v>
      </c>
      <c r="BV43" t="s">
        <v>2166</v>
      </c>
      <c r="BW43" t="s">
        <v>2166</v>
      </c>
      <c r="BX43" t="s">
        <v>2166</v>
      </c>
      <c r="BY43" t="s">
        <v>2166</v>
      </c>
      <c r="BZ43" t="s">
        <v>2166</v>
      </c>
      <c r="CA43" t="s">
        <v>2166</v>
      </c>
      <c r="CB43" t="s">
        <v>2166</v>
      </c>
      <c r="CC43" t="s">
        <v>2166</v>
      </c>
      <c r="CD43" t="s">
        <v>2166</v>
      </c>
      <c r="CE43" t="s">
        <v>2166</v>
      </c>
      <c r="CF43" t="s">
        <v>2166</v>
      </c>
      <c r="CG43" t="s">
        <v>2166</v>
      </c>
      <c r="CH43" t="s">
        <v>2166</v>
      </c>
      <c r="CI43" t="s">
        <v>2166</v>
      </c>
      <c r="CJ43" t="s">
        <v>2166</v>
      </c>
      <c r="CK43" t="s">
        <v>2166</v>
      </c>
      <c r="CL43" t="s">
        <v>2166</v>
      </c>
      <c r="CM43" t="s">
        <v>2166</v>
      </c>
      <c r="CN43" t="s">
        <v>2166</v>
      </c>
      <c r="CO43" t="s">
        <v>2166</v>
      </c>
      <c r="CP43" t="s">
        <v>2166</v>
      </c>
      <c r="CQ43" t="s">
        <v>2166</v>
      </c>
      <c r="CR43" t="s">
        <v>2166</v>
      </c>
      <c r="CS43" t="s">
        <v>2166</v>
      </c>
      <c r="CT43" t="s">
        <v>2166</v>
      </c>
      <c r="CU43" t="s">
        <v>2166</v>
      </c>
      <c r="CV43" t="s">
        <v>2166</v>
      </c>
      <c r="CW43" t="s">
        <v>2166</v>
      </c>
      <c r="CX43" t="s">
        <v>2166</v>
      </c>
      <c r="CY43" t="s">
        <v>2166</v>
      </c>
      <c r="CZ43" t="s">
        <v>2166</v>
      </c>
      <c r="DA43" t="s">
        <v>2166</v>
      </c>
      <c r="DB43" t="s">
        <v>2166</v>
      </c>
      <c r="DC43" t="s">
        <v>2166</v>
      </c>
      <c r="DD43" t="s">
        <v>2166</v>
      </c>
      <c r="DE43" t="s">
        <v>2166</v>
      </c>
      <c r="DF43" t="s">
        <v>2166</v>
      </c>
      <c r="DG43" t="s">
        <v>2166</v>
      </c>
      <c r="DH43" t="s">
        <v>2166</v>
      </c>
      <c r="DI43" t="s">
        <v>2166</v>
      </c>
    </row>
    <row r="44" spans="1:113" x14ac:dyDescent="0.2">
      <c r="A44" t="s">
        <v>2166</v>
      </c>
      <c r="B44" t="s">
        <v>2166</v>
      </c>
      <c r="C44" t="s">
        <v>2166</v>
      </c>
      <c r="D44" t="s">
        <v>2166</v>
      </c>
      <c r="E44" t="s">
        <v>2166</v>
      </c>
      <c r="F44" t="s">
        <v>2166</v>
      </c>
      <c r="G44" t="s">
        <v>2166</v>
      </c>
      <c r="H44" t="s">
        <v>2166</v>
      </c>
      <c r="I44" t="s">
        <v>2166</v>
      </c>
      <c r="J44" t="s">
        <v>2166</v>
      </c>
      <c r="K44" t="s">
        <v>2166</v>
      </c>
      <c r="L44" t="s">
        <v>2166</v>
      </c>
      <c r="M44" t="s">
        <v>2166</v>
      </c>
      <c r="N44" t="s">
        <v>2166</v>
      </c>
      <c r="O44" t="s">
        <v>2166</v>
      </c>
      <c r="P44" t="s">
        <v>2166</v>
      </c>
      <c r="Q44" t="s">
        <v>2166</v>
      </c>
      <c r="R44" t="s">
        <v>2166</v>
      </c>
      <c r="S44" t="s">
        <v>2166</v>
      </c>
      <c r="T44" t="s">
        <v>2166</v>
      </c>
      <c r="U44" t="s">
        <v>2166</v>
      </c>
      <c r="V44" t="s">
        <v>2166</v>
      </c>
      <c r="W44" t="s">
        <v>2166</v>
      </c>
      <c r="X44" t="s">
        <v>2166</v>
      </c>
      <c r="Y44" t="s">
        <v>2166</v>
      </c>
      <c r="Z44" t="s">
        <v>2166</v>
      </c>
      <c r="AA44" t="s">
        <v>2166</v>
      </c>
      <c r="AB44" t="s">
        <v>2166</v>
      </c>
      <c r="AC44" t="s">
        <v>2166</v>
      </c>
      <c r="AD44" t="s">
        <v>2166</v>
      </c>
      <c r="AE44" t="s">
        <v>2166</v>
      </c>
      <c r="AF44" t="s">
        <v>2166</v>
      </c>
      <c r="AG44" t="s">
        <v>2166</v>
      </c>
      <c r="AH44" t="s">
        <v>2166</v>
      </c>
      <c r="AI44" t="s">
        <v>2166</v>
      </c>
      <c r="AJ44" t="s">
        <v>2166</v>
      </c>
      <c r="AK44" t="s">
        <v>2166</v>
      </c>
      <c r="AL44" t="s">
        <v>2166</v>
      </c>
      <c r="AM44" t="s">
        <v>2166</v>
      </c>
      <c r="AN44" t="s">
        <v>2166</v>
      </c>
      <c r="AO44" t="s">
        <v>2166</v>
      </c>
      <c r="AP44" t="s">
        <v>2166</v>
      </c>
      <c r="AQ44" t="s">
        <v>2166</v>
      </c>
      <c r="AR44" t="s">
        <v>2166</v>
      </c>
      <c r="AS44" t="s">
        <v>2166</v>
      </c>
      <c r="AT44" t="s">
        <v>2166</v>
      </c>
      <c r="AU44" t="s">
        <v>2166</v>
      </c>
      <c r="AV44" t="s">
        <v>2166</v>
      </c>
      <c r="AW44" t="s">
        <v>2166</v>
      </c>
      <c r="AX44" t="s">
        <v>2166</v>
      </c>
      <c r="AY44" t="s">
        <v>2166</v>
      </c>
      <c r="AZ44" t="s">
        <v>2166</v>
      </c>
      <c r="BA44" t="s">
        <v>2166</v>
      </c>
      <c r="BB44" t="s">
        <v>2166</v>
      </c>
      <c r="BC44" t="s">
        <v>2166</v>
      </c>
      <c r="BD44" t="s">
        <v>2166</v>
      </c>
      <c r="BE44" t="s">
        <v>2166</v>
      </c>
      <c r="BF44" t="s">
        <v>2166</v>
      </c>
      <c r="BG44" t="s">
        <v>2166</v>
      </c>
      <c r="BH44" t="s">
        <v>2166</v>
      </c>
      <c r="BI44" t="s">
        <v>2166</v>
      </c>
      <c r="BJ44" t="s">
        <v>2166</v>
      </c>
      <c r="BK44" t="s">
        <v>2166</v>
      </c>
      <c r="BL44" t="s">
        <v>2166</v>
      </c>
      <c r="BM44" t="s">
        <v>2166</v>
      </c>
      <c r="BN44" t="s">
        <v>2166</v>
      </c>
      <c r="BO44" t="s">
        <v>2166</v>
      </c>
      <c r="BP44" t="s">
        <v>2166</v>
      </c>
      <c r="BQ44" t="s">
        <v>2166</v>
      </c>
      <c r="BR44" t="s">
        <v>2166</v>
      </c>
      <c r="BS44" t="s">
        <v>2166</v>
      </c>
      <c r="BT44" t="s">
        <v>2166</v>
      </c>
      <c r="BU44" t="s">
        <v>2166</v>
      </c>
      <c r="BV44" t="s">
        <v>2166</v>
      </c>
      <c r="BW44" t="s">
        <v>2166</v>
      </c>
      <c r="BX44" t="s">
        <v>2166</v>
      </c>
      <c r="BY44" t="s">
        <v>2166</v>
      </c>
      <c r="BZ44" t="s">
        <v>2166</v>
      </c>
      <c r="CA44" t="s">
        <v>2166</v>
      </c>
      <c r="CB44" t="s">
        <v>2166</v>
      </c>
      <c r="CC44" t="s">
        <v>2166</v>
      </c>
      <c r="CD44" t="s">
        <v>2166</v>
      </c>
      <c r="CE44" t="s">
        <v>2166</v>
      </c>
      <c r="CF44" t="s">
        <v>2166</v>
      </c>
      <c r="CG44" t="s">
        <v>2166</v>
      </c>
      <c r="CH44" t="s">
        <v>2166</v>
      </c>
      <c r="CI44" t="s">
        <v>2166</v>
      </c>
      <c r="CJ44" t="s">
        <v>2166</v>
      </c>
      <c r="CK44" t="s">
        <v>2166</v>
      </c>
      <c r="CL44" t="s">
        <v>2166</v>
      </c>
      <c r="CM44" t="s">
        <v>2166</v>
      </c>
      <c r="CN44" t="s">
        <v>2166</v>
      </c>
      <c r="CO44" t="s">
        <v>2166</v>
      </c>
      <c r="CP44" t="s">
        <v>2166</v>
      </c>
      <c r="CQ44" t="s">
        <v>2166</v>
      </c>
      <c r="CR44" t="s">
        <v>2166</v>
      </c>
      <c r="CS44" t="s">
        <v>2166</v>
      </c>
      <c r="CT44" t="s">
        <v>2166</v>
      </c>
      <c r="CU44" t="s">
        <v>2166</v>
      </c>
      <c r="CV44" t="s">
        <v>2166</v>
      </c>
      <c r="CW44" t="s">
        <v>2166</v>
      </c>
      <c r="CX44" t="s">
        <v>2166</v>
      </c>
      <c r="CY44" t="s">
        <v>2166</v>
      </c>
      <c r="CZ44" t="s">
        <v>2166</v>
      </c>
      <c r="DA44" t="s">
        <v>2166</v>
      </c>
      <c r="DB44" t="s">
        <v>2166</v>
      </c>
      <c r="DC44" t="s">
        <v>2166</v>
      </c>
      <c r="DD44" t="s">
        <v>2166</v>
      </c>
      <c r="DE44" t="s">
        <v>2166</v>
      </c>
      <c r="DF44" t="s">
        <v>2166</v>
      </c>
      <c r="DG44" t="s">
        <v>2166</v>
      </c>
      <c r="DH44" t="s">
        <v>2166</v>
      </c>
      <c r="DI44" t="s">
        <v>2166</v>
      </c>
    </row>
    <row r="45" spans="1:113" x14ac:dyDescent="0.2">
      <c r="A45" t="s">
        <v>2166</v>
      </c>
      <c r="B45" t="s">
        <v>2166</v>
      </c>
      <c r="C45" t="s">
        <v>2166</v>
      </c>
      <c r="D45" t="s">
        <v>2166</v>
      </c>
      <c r="E45" t="s">
        <v>2166</v>
      </c>
      <c r="F45" t="s">
        <v>2166</v>
      </c>
      <c r="G45" t="s">
        <v>2166</v>
      </c>
      <c r="H45" t="s">
        <v>2166</v>
      </c>
      <c r="I45" t="s">
        <v>2166</v>
      </c>
      <c r="J45" t="s">
        <v>2166</v>
      </c>
      <c r="K45" t="s">
        <v>2166</v>
      </c>
      <c r="L45" t="s">
        <v>2166</v>
      </c>
      <c r="M45" t="s">
        <v>2166</v>
      </c>
      <c r="N45" t="s">
        <v>2166</v>
      </c>
      <c r="O45" t="s">
        <v>2166</v>
      </c>
      <c r="P45" t="s">
        <v>2166</v>
      </c>
      <c r="Q45" t="s">
        <v>2166</v>
      </c>
      <c r="R45" t="s">
        <v>2166</v>
      </c>
      <c r="S45" t="s">
        <v>2166</v>
      </c>
      <c r="T45" t="s">
        <v>2166</v>
      </c>
      <c r="U45" t="s">
        <v>2166</v>
      </c>
      <c r="V45" t="s">
        <v>2166</v>
      </c>
      <c r="W45" t="s">
        <v>2166</v>
      </c>
      <c r="X45" t="s">
        <v>2166</v>
      </c>
      <c r="Y45" t="s">
        <v>2166</v>
      </c>
      <c r="Z45" t="s">
        <v>2166</v>
      </c>
      <c r="AA45" t="s">
        <v>2166</v>
      </c>
      <c r="AB45" t="s">
        <v>2166</v>
      </c>
      <c r="AC45" t="s">
        <v>2166</v>
      </c>
      <c r="AD45" t="s">
        <v>2166</v>
      </c>
      <c r="AE45" t="s">
        <v>2166</v>
      </c>
      <c r="AF45" t="s">
        <v>2166</v>
      </c>
      <c r="AG45" t="s">
        <v>2166</v>
      </c>
      <c r="AH45" t="s">
        <v>2166</v>
      </c>
      <c r="AI45" t="s">
        <v>2166</v>
      </c>
      <c r="AJ45" t="s">
        <v>2166</v>
      </c>
      <c r="AK45" t="s">
        <v>2166</v>
      </c>
      <c r="AL45" t="s">
        <v>2166</v>
      </c>
      <c r="AM45" t="s">
        <v>2166</v>
      </c>
      <c r="AN45" t="s">
        <v>2166</v>
      </c>
      <c r="AO45" t="s">
        <v>2166</v>
      </c>
      <c r="AP45" t="s">
        <v>2166</v>
      </c>
      <c r="AQ45" t="s">
        <v>2166</v>
      </c>
      <c r="AR45" t="s">
        <v>2166</v>
      </c>
      <c r="AS45" t="s">
        <v>2166</v>
      </c>
      <c r="AT45" t="s">
        <v>2166</v>
      </c>
      <c r="AU45" t="s">
        <v>2166</v>
      </c>
      <c r="AV45" t="s">
        <v>2166</v>
      </c>
      <c r="AW45" t="s">
        <v>2166</v>
      </c>
      <c r="AX45" t="s">
        <v>2166</v>
      </c>
      <c r="AY45" t="s">
        <v>2166</v>
      </c>
      <c r="AZ45" t="s">
        <v>2166</v>
      </c>
      <c r="BA45" t="s">
        <v>2166</v>
      </c>
      <c r="BB45" t="s">
        <v>2166</v>
      </c>
      <c r="BC45" t="s">
        <v>2166</v>
      </c>
      <c r="BD45" t="s">
        <v>2166</v>
      </c>
      <c r="BE45" t="s">
        <v>2166</v>
      </c>
      <c r="BF45" t="s">
        <v>2166</v>
      </c>
      <c r="BG45" t="s">
        <v>2166</v>
      </c>
      <c r="BH45" t="s">
        <v>2166</v>
      </c>
      <c r="BI45" t="s">
        <v>2166</v>
      </c>
      <c r="BJ45" t="s">
        <v>2166</v>
      </c>
      <c r="BK45" t="s">
        <v>2166</v>
      </c>
      <c r="BL45" t="s">
        <v>2166</v>
      </c>
      <c r="BM45" t="s">
        <v>2166</v>
      </c>
      <c r="BN45" t="s">
        <v>2166</v>
      </c>
      <c r="BO45" t="s">
        <v>2166</v>
      </c>
      <c r="BP45" t="s">
        <v>2166</v>
      </c>
      <c r="BQ45" t="s">
        <v>2166</v>
      </c>
      <c r="BR45" t="s">
        <v>2166</v>
      </c>
      <c r="BS45" t="s">
        <v>2166</v>
      </c>
      <c r="BT45" t="s">
        <v>2166</v>
      </c>
      <c r="BU45" t="s">
        <v>2166</v>
      </c>
      <c r="BV45" t="s">
        <v>2166</v>
      </c>
      <c r="BW45" t="s">
        <v>2166</v>
      </c>
      <c r="BX45" t="s">
        <v>2166</v>
      </c>
      <c r="BY45" t="s">
        <v>2166</v>
      </c>
      <c r="BZ45" t="s">
        <v>2166</v>
      </c>
      <c r="CA45" t="s">
        <v>2166</v>
      </c>
      <c r="CB45" t="s">
        <v>2166</v>
      </c>
      <c r="CC45" t="s">
        <v>2166</v>
      </c>
      <c r="CD45" t="s">
        <v>2166</v>
      </c>
      <c r="CE45" t="s">
        <v>2166</v>
      </c>
      <c r="CF45" t="s">
        <v>2166</v>
      </c>
      <c r="CG45" t="s">
        <v>2166</v>
      </c>
      <c r="CH45" t="s">
        <v>2166</v>
      </c>
      <c r="CI45" t="s">
        <v>2166</v>
      </c>
      <c r="CJ45" t="s">
        <v>2166</v>
      </c>
      <c r="CK45" t="s">
        <v>2166</v>
      </c>
      <c r="CL45" t="s">
        <v>2166</v>
      </c>
      <c r="CM45" t="s">
        <v>2166</v>
      </c>
      <c r="CN45" t="s">
        <v>2166</v>
      </c>
      <c r="CO45" t="s">
        <v>2166</v>
      </c>
      <c r="CP45" t="s">
        <v>2166</v>
      </c>
      <c r="CQ45" t="s">
        <v>2166</v>
      </c>
      <c r="CR45" t="s">
        <v>2166</v>
      </c>
      <c r="CS45" t="s">
        <v>2166</v>
      </c>
      <c r="CT45" t="s">
        <v>2166</v>
      </c>
      <c r="CU45" t="s">
        <v>2166</v>
      </c>
      <c r="CV45" t="s">
        <v>2166</v>
      </c>
      <c r="CW45" t="s">
        <v>2166</v>
      </c>
      <c r="CX45" t="s">
        <v>2166</v>
      </c>
      <c r="CY45" t="s">
        <v>2166</v>
      </c>
      <c r="CZ45" t="s">
        <v>2166</v>
      </c>
      <c r="DA45" t="s">
        <v>2166</v>
      </c>
      <c r="DB45" t="s">
        <v>2166</v>
      </c>
      <c r="DC45" t="s">
        <v>2166</v>
      </c>
      <c r="DD45" t="s">
        <v>2166</v>
      </c>
      <c r="DE45" t="s">
        <v>2166</v>
      </c>
      <c r="DF45" t="s">
        <v>2166</v>
      </c>
      <c r="DG45" t="s">
        <v>2166</v>
      </c>
      <c r="DH45" t="s">
        <v>2166</v>
      </c>
      <c r="DI45" t="s">
        <v>2166</v>
      </c>
    </row>
    <row r="46" spans="1:113" x14ac:dyDescent="0.2">
      <c r="A46" t="s">
        <v>2166</v>
      </c>
      <c r="B46" t="s">
        <v>2166</v>
      </c>
      <c r="C46" t="s">
        <v>2166</v>
      </c>
      <c r="D46" t="s">
        <v>2166</v>
      </c>
      <c r="E46" t="s">
        <v>2166</v>
      </c>
      <c r="F46" t="s">
        <v>2166</v>
      </c>
      <c r="G46" t="s">
        <v>2166</v>
      </c>
      <c r="H46" t="s">
        <v>2166</v>
      </c>
      <c r="I46" t="s">
        <v>2166</v>
      </c>
      <c r="J46" t="s">
        <v>2166</v>
      </c>
      <c r="K46" t="s">
        <v>2166</v>
      </c>
      <c r="L46" t="s">
        <v>2166</v>
      </c>
      <c r="M46" t="s">
        <v>2166</v>
      </c>
      <c r="N46" t="s">
        <v>2166</v>
      </c>
      <c r="O46" t="s">
        <v>2166</v>
      </c>
      <c r="P46" t="s">
        <v>2166</v>
      </c>
      <c r="Q46" t="s">
        <v>2166</v>
      </c>
      <c r="R46" t="s">
        <v>2166</v>
      </c>
      <c r="S46" t="s">
        <v>2166</v>
      </c>
      <c r="T46" t="s">
        <v>2166</v>
      </c>
      <c r="U46" t="s">
        <v>2166</v>
      </c>
      <c r="V46" t="s">
        <v>2166</v>
      </c>
      <c r="W46" t="s">
        <v>2166</v>
      </c>
      <c r="X46" t="s">
        <v>2166</v>
      </c>
      <c r="Y46" t="s">
        <v>2166</v>
      </c>
      <c r="Z46" t="s">
        <v>2166</v>
      </c>
      <c r="AA46" t="s">
        <v>2166</v>
      </c>
      <c r="AB46" t="s">
        <v>2166</v>
      </c>
      <c r="AC46" t="s">
        <v>2166</v>
      </c>
      <c r="AD46" t="s">
        <v>2166</v>
      </c>
      <c r="AE46" t="s">
        <v>2166</v>
      </c>
      <c r="AF46" t="s">
        <v>2166</v>
      </c>
      <c r="AG46" t="s">
        <v>2166</v>
      </c>
      <c r="AH46" t="s">
        <v>2166</v>
      </c>
      <c r="AI46" t="s">
        <v>2166</v>
      </c>
      <c r="AJ46" t="s">
        <v>2166</v>
      </c>
      <c r="AK46" t="s">
        <v>2166</v>
      </c>
      <c r="AL46" t="s">
        <v>2166</v>
      </c>
      <c r="AM46" t="s">
        <v>2166</v>
      </c>
      <c r="AN46" t="s">
        <v>2166</v>
      </c>
      <c r="AO46" t="s">
        <v>2166</v>
      </c>
      <c r="AP46" t="s">
        <v>2166</v>
      </c>
      <c r="AQ46" t="s">
        <v>2166</v>
      </c>
      <c r="AR46" t="s">
        <v>2166</v>
      </c>
      <c r="AS46" t="s">
        <v>2166</v>
      </c>
      <c r="AT46" t="s">
        <v>2166</v>
      </c>
      <c r="AU46" t="s">
        <v>2166</v>
      </c>
      <c r="AV46" t="s">
        <v>2166</v>
      </c>
      <c r="AW46" t="s">
        <v>2166</v>
      </c>
      <c r="AX46" t="s">
        <v>2166</v>
      </c>
      <c r="AY46" t="s">
        <v>2166</v>
      </c>
      <c r="AZ46" t="s">
        <v>2166</v>
      </c>
      <c r="BA46" t="s">
        <v>2166</v>
      </c>
      <c r="BB46" t="s">
        <v>2166</v>
      </c>
      <c r="BC46" t="s">
        <v>2166</v>
      </c>
      <c r="BD46" t="s">
        <v>2166</v>
      </c>
      <c r="BE46" t="s">
        <v>2166</v>
      </c>
      <c r="BF46" t="s">
        <v>2166</v>
      </c>
      <c r="BG46" t="s">
        <v>2166</v>
      </c>
      <c r="BH46" t="s">
        <v>2166</v>
      </c>
      <c r="BI46" t="s">
        <v>2166</v>
      </c>
      <c r="BJ46" t="s">
        <v>2166</v>
      </c>
      <c r="BK46" t="s">
        <v>2166</v>
      </c>
      <c r="BL46" t="s">
        <v>2166</v>
      </c>
      <c r="BM46" t="s">
        <v>2166</v>
      </c>
      <c r="BN46" t="s">
        <v>2166</v>
      </c>
      <c r="BO46" t="s">
        <v>2166</v>
      </c>
      <c r="BP46" t="s">
        <v>2166</v>
      </c>
      <c r="BQ46" t="s">
        <v>2166</v>
      </c>
      <c r="BR46" t="s">
        <v>2166</v>
      </c>
      <c r="BS46" t="s">
        <v>2166</v>
      </c>
      <c r="BT46" t="s">
        <v>2166</v>
      </c>
      <c r="BU46" t="s">
        <v>2166</v>
      </c>
      <c r="BV46" t="s">
        <v>2166</v>
      </c>
      <c r="BW46" t="s">
        <v>2166</v>
      </c>
      <c r="BX46" t="s">
        <v>2166</v>
      </c>
      <c r="BY46" t="s">
        <v>2166</v>
      </c>
      <c r="BZ46" t="s">
        <v>2166</v>
      </c>
      <c r="CA46" t="s">
        <v>2166</v>
      </c>
      <c r="CB46" t="s">
        <v>2166</v>
      </c>
      <c r="CC46" t="s">
        <v>2166</v>
      </c>
      <c r="CD46" t="s">
        <v>2166</v>
      </c>
      <c r="CE46" t="s">
        <v>2166</v>
      </c>
      <c r="CF46" t="s">
        <v>2166</v>
      </c>
      <c r="CG46" t="s">
        <v>2166</v>
      </c>
      <c r="CH46" t="s">
        <v>2166</v>
      </c>
      <c r="CI46" t="s">
        <v>2166</v>
      </c>
      <c r="CJ46" t="s">
        <v>2166</v>
      </c>
      <c r="CK46" t="s">
        <v>2166</v>
      </c>
      <c r="CL46" t="s">
        <v>2166</v>
      </c>
      <c r="CM46" t="s">
        <v>2166</v>
      </c>
      <c r="CN46" t="s">
        <v>2166</v>
      </c>
      <c r="CO46" t="s">
        <v>2166</v>
      </c>
      <c r="CP46" t="s">
        <v>2166</v>
      </c>
      <c r="CQ46" t="s">
        <v>2166</v>
      </c>
      <c r="CR46" t="s">
        <v>2166</v>
      </c>
      <c r="CS46" t="s">
        <v>2166</v>
      </c>
      <c r="CT46" t="s">
        <v>2166</v>
      </c>
      <c r="CU46" t="s">
        <v>2166</v>
      </c>
      <c r="CV46" t="s">
        <v>2166</v>
      </c>
      <c r="CW46" t="s">
        <v>2166</v>
      </c>
      <c r="CX46" t="s">
        <v>2166</v>
      </c>
      <c r="CY46" t="s">
        <v>2166</v>
      </c>
      <c r="CZ46" t="s">
        <v>2166</v>
      </c>
      <c r="DA46" t="s">
        <v>2166</v>
      </c>
      <c r="DB46" t="s">
        <v>2166</v>
      </c>
      <c r="DC46" t="s">
        <v>2166</v>
      </c>
      <c r="DD46" t="s">
        <v>2166</v>
      </c>
      <c r="DE46" t="s">
        <v>2166</v>
      </c>
      <c r="DF46" t="s">
        <v>2166</v>
      </c>
      <c r="DG46" t="s">
        <v>2166</v>
      </c>
      <c r="DH46" t="s">
        <v>2166</v>
      </c>
      <c r="DI46" t="s">
        <v>2166</v>
      </c>
    </row>
    <row r="47" spans="1:113" x14ac:dyDescent="0.2">
      <c r="A47" t="s">
        <v>2166</v>
      </c>
      <c r="B47" t="s">
        <v>2166</v>
      </c>
      <c r="C47" t="s">
        <v>2166</v>
      </c>
      <c r="D47" t="s">
        <v>2166</v>
      </c>
      <c r="E47" t="s">
        <v>2166</v>
      </c>
      <c r="F47" t="s">
        <v>2166</v>
      </c>
      <c r="G47" t="s">
        <v>2166</v>
      </c>
      <c r="H47" t="s">
        <v>2166</v>
      </c>
      <c r="I47" t="s">
        <v>2166</v>
      </c>
      <c r="J47" t="s">
        <v>2166</v>
      </c>
      <c r="K47" t="s">
        <v>2166</v>
      </c>
      <c r="L47" t="s">
        <v>2166</v>
      </c>
      <c r="M47" t="s">
        <v>2166</v>
      </c>
      <c r="N47" t="s">
        <v>2166</v>
      </c>
      <c r="O47" t="s">
        <v>2166</v>
      </c>
      <c r="P47" t="s">
        <v>2166</v>
      </c>
      <c r="Q47" t="s">
        <v>2166</v>
      </c>
      <c r="R47" t="s">
        <v>2166</v>
      </c>
      <c r="S47" t="s">
        <v>2166</v>
      </c>
      <c r="T47" t="s">
        <v>2166</v>
      </c>
      <c r="U47" t="s">
        <v>2166</v>
      </c>
      <c r="V47" t="s">
        <v>2166</v>
      </c>
      <c r="W47" t="s">
        <v>2166</v>
      </c>
      <c r="X47" t="s">
        <v>2166</v>
      </c>
      <c r="Y47" t="s">
        <v>2166</v>
      </c>
      <c r="Z47" t="s">
        <v>2166</v>
      </c>
      <c r="AA47" t="s">
        <v>2166</v>
      </c>
      <c r="AB47" t="s">
        <v>2166</v>
      </c>
      <c r="AC47" t="s">
        <v>2166</v>
      </c>
      <c r="AD47" t="s">
        <v>2166</v>
      </c>
      <c r="AE47" t="s">
        <v>2166</v>
      </c>
      <c r="AF47" t="s">
        <v>2166</v>
      </c>
      <c r="AG47" t="s">
        <v>2166</v>
      </c>
      <c r="AH47" t="s">
        <v>2166</v>
      </c>
      <c r="AI47" t="s">
        <v>2166</v>
      </c>
      <c r="AJ47" t="s">
        <v>2166</v>
      </c>
      <c r="AK47" t="s">
        <v>2166</v>
      </c>
      <c r="AL47" t="s">
        <v>2166</v>
      </c>
      <c r="AM47" t="s">
        <v>2166</v>
      </c>
      <c r="AN47" t="s">
        <v>2166</v>
      </c>
      <c r="AO47" t="s">
        <v>2166</v>
      </c>
      <c r="AP47" t="s">
        <v>2166</v>
      </c>
      <c r="AQ47" t="s">
        <v>2166</v>
      </c>
      <c r="AR47" t="s">
        <v>2166</v>
      </c>
      <c r="AS47" t="s">
        <v>2166</v>
      </c>
      <c r="AT47" t="s">
        <v>2166</v>
      </c>
      <c r="AU47" t="s">
        <v>2166</v>
      </c>
      <c r="AV47" t="s">
        <v>2166</v>
      </c>
      <c r="AW47" t="s">
        <v>2166</v>
      </c>
      <c r="AX47" t="s">
        <v>2166</v>
      </c>
      <c r="AY47" t="s">
        <v>2166</v>
      </c>
      <c r="AZ47" t="s">
        <v>2166</v>
      </c>
      <c r="BA47" t="s">
        <v>2166</v>
      </c>
      <c r="BB47" t="s">
        <v>2166</v>
      </c>
      <c r="BC47" t="s">
        <v>2166</v>
      </c>
      <c r="BD47" t="s">
        <v>2166</v>
      </c>
      <c r="BE47" t="s">
        <v>2166</v>
      </c>
      <c r="BF47" t="s">
        <v>2166</v>
      </c>
      <c r="BG47" t="s">
        <v>2166</v>
      </c>
      <c r="BH47" t="s">
        <v>2166</v>
      </c>
      <c r="BI47" t="s">
        <v>2166</v>
      </c>
      <c r="BJ47" t="s">
        <v>2166</v>
      </c>
      <c r="BK47" t="s">
        <v>2166</v>
      </c>
      <c r="BL47" t="s">
        <v>2166</v>
      </c>
      <c r="BM47" t="s">
        <v>2166</v>
      </c>
      <c r="BN47" t="s">
        <v>2166</v>
      </c>
      <c r="BO47" t="s">
        <v>2166</v>
      </c>
      <c r="BP47" t="s">
        <v>2166</v>
      </c>
      <c r="BQ47" t="s">
        <v>2166</v>
      </c>
      <c r="BR47" t="s">
        <v>2166</v>
      </c>
      <c r="BS47" t="s">
        <v>2166</v>
      </c>
      <c r="BT47" t="s">
        <v>2166</v>
      </c>
      <c r="BU47" t="s">
        <v>2166</v>
      </c>
      <c r="BV47" t="s">
        <v>2166</v>
      </c>
      <c r="BW47" t="s">
        <v>2166</v>
      </c>
      <c r="BX47" t="s">
        <v>2166</v>
      </c>
      <c r="BY47" t="s">
        <v>2166</v>
      </c>
      <c r="BZ47" t="s">
        <v>2166</v>
      </c>
      <c r="CA47" t="s">
        <v>2166</v>
      </c>
      <c r="CB47" t="s">
        <v>2166</v>
      </c>
      <c r="CC47" t="s">
        <v>2166</v>
      </c>
      <c r="CD47" t="s">
        <v>2166</v>
      </c>
      <c r="CE47" t="s">
        <v>2166</v>
      </c>
      <c r="CF47" t="s">
        <v>2166</v>
      </c>
      <c r="CG47" t="s">
        <v>2166</v>
      </c>
      <c r="CH47" t="s">
        <v>2166</v>
      </c>
      <c r="CI47" t="s">
        <v>2166</v>
      </c>
      <c r="CJ47" t="s">
        <v>2166</v>
      </c>
      <c r="CK47" t="s">
        <v>2166</v>
      </c>
      <c r="CL47" t="s">
        <v>2166</v>
      </c>
      <c r="CM47" t="s">
        <v>2166</v>
      </c>
      <c r="CN47" t="s">
        <v>2166</v>
      </c>
      <c r="CO47" t="s">
        <v>2166</v>
      </c>
      <c r="CP47" t="s">
        <v>2166</v>
      </c>
      <c r="CQ47" t="s">
        <v>2166</v>
      </c>
      <c r="CR47" t="s">
        <v>2166</v>
      </c>
      <c r="CS47" t="s">
        <v>2166</v>
      </c>
      <c r="CT47" t="s">
        <v>2166</v>
      </c>
      <c r="CU47" t="s">
        <v>2166</v>
      </c>
      <c r="CV47" t="s">
        <v>2166</v>
      </c>
      <c r="CW47" t="s">
        <v>2166</v>
      </c>
      <c r="CX47" t="s">
        <v>2166</v>
      </c>
      <c r="CY47" t="s">
        <v>2166</v>
      </c>
      <c r="CZ47" t="s">
        <v>2166</v>
      </c>
      <c r="DA47" t="s">
        <v>2166</v>
      </c>
      <c r="DB47" t="s">
        <v>2166</v>
      </c>
      <c r="DC47" t="s">
        <v>2166</v>
      </c>
      <c r="DD47" t="s">
        <v>2166</v>
      </c>
      <c r="DE47" t="s">
        <v>2166</v>
      </c>
      <c r="DF47" t="s">
        <v>2166</v>
      </c>
      <c r="DG47" t="s">
        <v>2166</v>
      </c>
      <c r="DH47" t="s">
        <v>2166</v>
      </c>
      <c r="DI47" t="s">
        <v>2166</v>
      </c>
    </row>
    <row r="48" spans="1:113" x14ac:dyDescent="0.2">
      <c r="A48" t="s">
        <v>2166</v>
      </c>
      <c r="B48" t="s">
        <v>2166</v>
      </c>
      <c r="C48" t="s">
        <v>2166</v>
      </c>
      <c r="D48" t="s">
        <v>2166</v>
      </c>
      <c r="E48" t="s">
        <v>2166</v>
      </c>
      <c r="F48" t="s">
        <v>2166</v>
      </c>
      <c r="G48" t="s">
        <v>2166</v>
      </c>
      <c r="H48" t="s">
        <v>2166</v>
      </c>
      <c r="I48" t="s">
        <v>2166</v>
      </c>
      <c r="J48" t="s">
        <v>2166</v>
      </c>
      <c r="K48" t="s">
        <v>2166</v>
      </c>
      <c r="L48" t="s">
        <v>2166</v>
      </c>
      <c r="M48" t="s">
        <v>2166</v>
      </c>
      <c r="N48" t="s">
        <v>2166</v>
      </c>
      <c r="O48" t="s">
        <v>2166</v>
      </c>
      <c r="P48" t="s">
        <v>2166</v>
      </c>
      <c r="Q48" t="s">
        <v>2166</v>
      </c>
      <c r="R48" t="s">
        <v>2166</v>
      </c>
      <c r="S48" t="s">
        <v>2166</v>
      </c>
      <c r="T48" t="s">
        <v>2166</v>
      </c>
      <c r="U48" t="s">
        <v>2166</v>
      </c>
      <c r="V48" t="s">
        <v>2166</v>
      </c>
      <c r="W48" t="s">
        <v>2166</v>
      </c>
      <c r="X48" t="s">
        <v>2166</v>
      </c>
      <c r="Y48" t="s">
        <v>2166</v>
      </c>
      <c r="Z48" t="s">
        <v>2166</v>
      </c>
      <c r="AA48" t="s">
        <v>2166</v>
      </c>
      <c r="AB48" t="s">
        <v>2166</v>
      </c>
      <c r="AC48" t="s">
        <v>2166</v>
      </c>
      <c r="AD48" t="s">
        <v>2166</v>
      </c>
      <c r="AE48" t="s">
        <v>2166</v>
      </c>
      <c r="AF48" t="s">
        <v>2166</v>
      </c>
      <c r="AG48" t="s">
        <v>2166</v>
      </c>
      <c r="AH48" t="s">
        <v>2166</v>
      </c>
      <c r="AI48" t="s">
        <v>2166</v>
      </c>
      <c r="AJ48" t="s">
        <v>2166</v>
      </c>
      <c r="AK48" t="s">
        <v>2166</v>
      </c>
      <c r="AL48" t="s">
        <v>2166</v>
      </c>
      <c r="AM48" t="s">
        <v>2166</v>
      </c>
      <c r="AN48" t="s">
        <v>2166</v>
      </c>
      <c r="AO48" t="s">
        <v>2166</v>
      </c>
      <c r="AP48" t="s">
        <v>2166</v>
      </c>
      <c r="AQ48" t="s">
        <v>2166</v>
      </c>
      <c r="AR48" t="s">
        <v>2166</v>
      </c>
      <c r="AS48" t="s">
        <v>2166</v>
      </c>
      <c r="AT48" t="s">
        <v>2166</v>
      </c>
      <c r="AU48" t="s">
        <v>2166</v>
      </c>
      <c r="AV48" t="s">
        <v>2166</v>
      </c>
      <c r="AW48" t="s">
        <v>2166</v>
      </c>
      <c r="AX48" t="s">
        <v>2166</v>
      </c>
      <c r="AY48" t="s">
        <v>2166</v>
      </c>
      <c r="AZ48" t="s">
        <v>2166</v>
      </c>
      <c r="BA48" t="s">
        <v>2166</v>
      </c>
      <c r="BB48" t="s">
        <v>2166</v>
      </c>
      <c r="BC48" t="s">
        <v>2166</v>
      </c>
      <c r="BD48" t="s">
        <v>2166</v>
      </c>
      <c r="BE48" t="s">
        <v>2166</v>
      </c>
      <c r="BF48" t="s">
        <v>2166</v>
      </c>
      <c r="BG48" t="s">
        <v>2166</v>
      </c>
      <c r="BH48" t="s">
        <v>2166</v>
      </c>
      <c r="BI48" t="s">
        <v>2166</v>
      </c>
      <c r="BJ48" t="s">
        <v>2166</v>
      </c>
      <c r="BK48" t="s">
        <v>2166</v>
      </c>
      <c r="BL48" t="s">
        <v>2166</v>
      </c>
      <c r="BM48" t="s">
        <v>2166</v>
      </c>
      <c r="BN48" t="s">
        <v>2166</v>
      </c>
      <c r="BO48" t="s">
        <v>2166</v>
      </c>
      <c r="BP48" t="s">
        <v>2166</v>
      </c>
      <c r="BQ48" t="s">
        <v>2166</v>
      </c>
      <c r="BR48" t="s">
        <v>2166</v>
      </c>
      <c r="BS48" t="s">
        <v>2166</v>
      </c>
      <c r="BT48" t="s">
        <v>2166</v>
      </c>
      <c r="BU48" t="s">
        <v>2166</v>
      </c>
      <c r="BV48" t="s">
        <v>2166</v>
      </c>
      <c r="BW48" t="s">
        <v>2166</v>
      </c>
      <c r="BX48" t="s">
        <v>2166</v>
      </c>
      <c r="BY48" t="s">
        <v>2166</v>
      </c>
      <c r="BZ48" t="s">
        <v>2166</v>
      </c>
      <c r="CA48" t="s">
        <v>2166</v>
      </c>
      <c r="CB48" t="s">
        <v>2166</v>
      </c>
      <c r="CC48" t="s">
        <v>2166</v>
      </c>
      <c r="CD48" t="s">
        <v>2166</v>
      </c>
      <c r="CE48" t="s">
        <v>2166</v>
      </c>
      <c r="CF48" t="s">
        <v>2166</v>
      </c>
      <c r="CG48" t="s">
        <v>2166</v>
      </c>
      <c r="CH48" t="s">
        <v>2166</v>
      </c>
      <c r="CI48" t="s">
        <v>2166</v>
      </c>
      <c r="CJ48" t="s">
        <v>2166</v>
      </c>
      <c r="CK48" t="s">
        <v>2166</v>
      </c>
      <c r="CL48" t="s">
        <v>2166</v>
      </c>
      <c r="CM48" t="s">
        <v>2166</v>
      </c>
      <c r="CN48" t="s">
        <v>2166</v>
      </c>
      <c r="CO48" t="s">
        <v>2166</v>
      </c>
      <c r="CP48" t="s">
        <v>2166</v>
      </c>
      <c r="CQ48" t="s">
        <v>2166</v>
      </c>
      <c r="CR48" t="s">
        <v>2166</v>
      </c>
      <c r="CS48" t="s">
        <v>2166</v>
      </c>
      <c r="CT48" t="s">
        <v>2166</v>
      </c>
      <c r="CU48" t="s">
        <v>2166</v>
      </c>
      <c r="CV48" t="s">
        <v>2166</v>
      </c>
      <c r="CW48" t="s">
        <v>2166</v>
      </c>
      <c r="CX48" t="s">
        <v>2166</v>
      </c>
      <c r="CY48" t="s">
        <v>2166</v>
      </c>
      <c r="CZ48" t="s">
        <v>2166</v>
      </c>
      <c r="DA48" t="s">
        <v>2166</v>
      </c>
      <c r="DB48" t="s">
        <v>2166</v>
      </c>
      <c r="DC48" t="s">
        <v>2166</v>
      </c>
      <c r="DD48" t="s">
        <v>2166</v>
      </c>
      <c r="DE48" t="s">
        <v>2166</v>
      </c>
      <c r="DF48" t="s">
        <v>2166</v>
      </c>
      <c r="DG48" t="s">
        <v>2166</v>
      </c>
      <c r="DH48" t="s">
        <v>2166</v>
      </c>
      <c r="DI48" t="s">
        <v>2166</v>
      </c>
    </row>
    <row r="49" spans="1:113" x14ac:dyDescent="0.2">
      <c r="A49" t="s">
        <v>2166</v>
      </c>
      <c r="B49" t="s">
        <v>2166</v>
      </c>
      <c r="C49" t="s">
        <v>2166</v>
      </c>
      <c r="D49" t="s">
        <v>2166</v>
      </c>
      <c r="E49" t="s">
        <v>2166</v>
      </c>
      <c r="F49" t="s">
        <v>2166</v>
      </c>
      <c r="G49" t="s">
        <v>2166</v>
      </c>
      <c r="H49" t="s">
        <v>2166</v>
      </c>
      <c r="I49" t="s">
        <v>2166</v>
      </c>
      <c r="J49" t="s">
        <v>2166</v>
      </c>
      <c r="K49" t="s">
        <v>2166</v>
      </c>
      <c r="L49" t="s">
        <v>2166</v>
      </c>
      <c r="M49" t="s">
        <v>2166</v>
      </c>
      <c r="N49" t="s">
        <v>2166</v>
      </c>
      <c r="O49" t="s">
        <v>2166</v>
      </c>
      <c r="P49" t="s">
        <v>2166</v>
      </c>
      <c r="Q49" t="s">
        <v>2166</v>
      </c>
      <c r="R49" t="s">
        <v>2166</v>
      </c>
      <c r="S49" t="s">
        <v>2166</v>
      </c>
      <c r="T49" t="s">
        <v>2166</v>
      </c>
      <c r="U49" t="s">
        <v>2166</v>
      </c>
      <c r="V49" t="s">
        <v>2166</v>
      </c>
      <c r="W49" t="s">
        <v>2166</v>
      </c>
      <c r="X49" t="s">
        <v>2166</v>
      </c>
      <c r="Y49" t="s">
        <v>2166</v>
      </c>
      <c r="Z49" t="s">
        <v>2166</v>
      </c>
      <c r="AA49" t="s">
        <v>2166</v>
      </c>
      <c r="AB49" t="s">
        <v>2166</v>
      </c>
      <c r="AC49" t="s">
        <v>2166</v>
      </c>
      <c r="AD49" t="s">
        <v>2166</v>
      </c>
      <c r="AE49" t="s">
        <v>2166</v>
      </c>
      <c r="AF49" t="s">
        <v>2166</v>
      </c>
      <c r="AG49" t="s">
        <v>2166</v>
      </c>
      <c r="AH49" t="s">
        <v>2166</v>
      </c>
      <c r="AI49" t="s">
        <v>2166</v>
      </c>
      <c r="AJ49" t="s">
        <v>2166</v>
      </c>
      <c r="AK49" t="s">
        <v>2166</v>
      </c>
      <c r="AL49" t="s">
        <v>2166</v>
      </c>
      <c r="AM49" t="s">
        <v>2166</v>
      </c>
      <c r="AN49" t="s">
        <v>2166</v>
      </c>
      <c r="AO49" t="s">
        <v>2166</v>
      </c>
      <c r="AP49" t="s">
        <v>2166</v>
      </c>
      <c r="AQ49" t="s">
        <v>2166</v>
      </c>
      <c r="AR49" t="s">
        <v>2166</v>
      </c>
      <c r="AS49" t="s">
        <v>2166</v>
      </c>
      <c r="AT49" t="s">
        <v>2166</v>
      </c>
      <c r="AU49" t="s">
        <v>2166</v>
      </c>
      <c r="AV49" t="s">
        <v>2166</v>
      </c>
      <c r="AW49" t="s">
        <v>2166</v>
      </c>
      <c r="AX49" t="s">
        <v>2166</v>
      </c>
      <c r="AY49" t="s">
        <v>2166</v>
      </c>
      <c r="AZ49" t="s">
        <v>2166</v>
      </c>
      <c r="BA49" t="s">
        <v>2166</v>
      </c>
      <c r="BB49" t="s">
        <v>2166</v>
      </c>
      <c r="BC49" t="s">
        <v>2166</v>
      </c>
      <c r="BD49" t="s">
        <v>2166</v>
      </c>
      <c r="BE49" t="s">
        <v>2166</v>
      </c>
      <c r="BF49" t="s">
        <v>2166</v>
      </c>
      <c r="BG49" t="s">
        <v>2166</v>
      </c>
      <c r="BH49" t="s">
        <v>2166</v>
      </c>
      <c r="BI49" t="s">
        <v>2166</v>
      </c>
      <c r="BJ49" t="s">
        <v>2166</v>
      </c>
      <c r="BK49" t="s">
        <v>2166</v>
      </c>
      <c r="BL49" t="s">
        <v>2166</v>
      </c>
      <c r="BM49" t="s">
        <v>2166</v>
      </c>
      <c r="BN49" t="s">
        <v>2166</v>
      </c>
      <c r="BO49" t="s">
        <v>2166</v>
      </c>
      <c r="BP49" t="s">
        <v>2166</v>
      </c>
      <c r="BQ49" t="s">
        <v>2166</v>
      </c>
      <c r="BR49" t="s">
        <v>2166</v>
      </c>
      <c r="BS49" t="s">
        <v>2166</v>
      </c>
      <c r="BT49" t="s">
        <v>2166</v>
      </c>
      <c r="BU49" t="s">
        <v>2166</v>
      </c>
      <c r="BV49" t="s">
        <v>2166</v>
      </c>
      <c r="BW49" t="s">
        <v>2166</v>
      </c>
      <c r="BX49" t="s">
        <v>2166</v>
      </c>
      <c r="BY49" t="s">
        <v>2166</v>
      </c>
      <c r="BZ49" t="s">
        <v>2166</v>
      </c>
      <c r="CA49" t="s">
        <v>2166</v>
      </c>
      <c r="CB49" t="s">
        <v>2166</v>
      </c>
      <c r="CC49" t="s">
        <v>2166</v>
      </c>
      <c r="CD49" t="s">
        <v>2166</v>
      </c>
      <c r="CE49" t="s">
        <v>2166</v>
      </c>
      <c r="CF49" t="s">
        <v>2166</v>
      </c>
      <c r="CG49" t="s">
        <v>2166</v>
      </c>
      <c r="CH49" t="s">
        <v>2166</v>
      </c>
      <c r="CI49" t="s">
        <v>2166</v>
      </c>
      <c r="CJ49" t="s">
        <v>2166</v>
      </c>
      <c r="CK49" t="s">
        <v>2166</v>
      </c>
      <c r="CL49" t="s">
        <v>2166</v>
      </c>
      <c r="CM49" t="s">
        <v>2166</v>
      </c>
      <c r="CN49" t="s">
        <v>2166</v>
      </c>
      <c r="CO49" t="s">
        <v>2166</v>
      </c>
      <c r="CP49" t="s">
        <v>2166</v>
      </c>
      <c r="CQ49" t="s">
        <v>2166</v>
      </c>
      <c r="CR49" t="s">
        <v>2166</v>
      </c>
      <c r="CS49" t="s">
        <v>2166</v>
      </c>
      <c r="CT49" t="s">
        <v>2166</v>
      </c>
      <c r="CU49" t="s">
        <v>2166</v>
      </c>
      <c r="CV49" t="s">
        <v>2166</v>
      </c>
      <c r="CW49" t="s">
        <v>2166</v>
      </c>
      <c r="CX49" t="s">
        <v>2166</v>
      </c>
      <c r="CY49" t="s">
        <v>2166</v>
      </c>
      <c r="CZ49" t="s">
        <v>2166</v>
      </c>
      <c r="DA49" t="s">
        <v>2166</v>
      </c>
      <c r="DB49" t="s">
        <v>2166</v>
      </c>
      <c r="DC49" t="s">
        <v>2166</v>
      </c>
      <c r="DD49" t="s">
        <v>2166</v>
      </c>
      <c r="DE49" t="s">
        <v>2166</v>
      </c>
      <c r="DF49" t="s">
        <v>2166</v>
      </c>
      <c r="DG49" t="s">
        <v>2166</v>
      </c>
      <c r="DH49" t="s">
        <v>2166</v>
      </c>
      <c r="DI49" t="s">
        <v>2166</v>
      </c>
    </row>
    <row r="50" spans="1:113" x14ac:dyDescent="0.2">
      <c r="A50" t="s">
        <v>2166</v>
      </c>
      <c r="B50" t="s">
        <v>2166</v>
      </c>
      <c r="C50" t="s">
        <v>2166</v>
      </c>
      <c r="D50" t="s">
        <v>2166</v>
      </c>
      <c r="E50" t="s">
        <v>2166</v>
      </c>
      <c r="F50" t="s">
        <v>2166</v>
      </c>
      <c r="G50" t="s">
        <v>2166</v>
      </c>
      <c r="H50" t="s">
        <v>2166</v>
      </c>
      <c r="I50" t="s">
        <v>2166</v>
      </c>
      <c r="J50" t="s">
        <v>2166</v>
      </c>
      <c r="K50" t="s">
        <v>2166</v>
      </c>
      <c r="L50" t="s">
        <v>2166</v>
      </c>
      <c r="M50" t="s">
        <v>2166</v>
      </c>
      <c r="N50" t="s">
        <v>2166</v>
      </c>
      <c r="O50" t="s">
        <v>2166</v>
      </c>
      <c r="P50" t="s">
        <v>2166</v>
      </c>
      <c r="Q50" t="s">
        <v>2166</v>
      </c>
      <c r="R50" t="s">
        <v>2166</v>
      </c>
      <c r="S50" t="s">
        <v>2166</v>
      </c>
      <c r="T50" t="s">
        <v>2166</v>
      </c>
      <c r="U50" t="s">
        <v>2166</v>
      </c>
      <c r="V50" t="s">
        <v>2166</v>
      </c>
      <c r="W50" t="s">
        <v>2166</v>
      </c>
      <c r="X50" t="s">
        <v>2166</v>
      </c>
      <c r="Y50" t="s">
        <v>2166</v>
      </c>
      <c r="Z50" t="s">
        <v>2166</v>
      </c>
      <c r="AA50" t="s">
        <v>2166</v>
      </c>
      <c r="AB50" t="s">
        <v>2166</v>
      </c>
      <c r="AC50" t="s">
        <v>2166</v>
      </c>
      <c r="AD50" t="s">
        <v>2166</v>
      </c>
      <c r="AE50" t="s">
        <v>2166</v>
      </c>
      <c r="AF50" t="s">
        <v>2166</v>
      </c>
      <c r="AG50" t="s">
        <v>2166</v>
      </c>
      <c r="AH50" t="s">
        <v>2166</v>
      </c>
      <c r="AI50" t="s">
        <v>2166</v>
      </c>
      <c r="AJ50" t="s">
        <v>2166</v>
      </c>
      <c r="AK50" t="s">
        <v>2166</v>
      </c>
      <c r="AL50" t="s">
        <v>2166</v>
      </c>
      <c r="AM50" t="s">
        <v>2166</v>
      </c>
      <c r="AN50" t="s">
        <v>2166</v>
      </c>
      <c r="AO50" t="s">
        <v>2166</v>
      </c>
      <c r="AP50" t="s">
        <v>2166</v>
      </c>
      <c r="AQ50" t="s">
        <v>2166</v>
      </c>
      <c r="AR50" t="s">
        <v>2166</v>
      </c>
      <c r="AS50" t="s">
        <v>2166</v>
      </c>
      <c r="AT50" t="s">
        <v>2166</v>
      </c>
      <c r="AU50" t="s">
        <v>2166</v>
      </c>
      <c r="AV50" t="s">
        <v>2166</v>
      </c>
      <c r="AW50" t="s">
        <v>2166</v>
      </c>
      <c r="AX50" t="s">
        <v>2166</v>
      </c>
      <c r="AY50" t="s">
        <v>2166</v>
      </c>
      <c r="AZ50" t="s">
        <v>2166</v>
      </c>
      <c r="BA50" t="s">
        <v>2166</v>
      </c>
      <c r="BB50" t="s">
        <v>2166</v>
      </c>
      <c r="BC50" t="s">
        <v>2166</v>
      </c>
      <c r="BD50" t="s">
        <v>2166</v>
      </c>
      <c r="BE50" t="s">
        <v>2166</v>
      </c>
      <c r="BF50" t="s">
        <v>2166</v>
      </c>
      <c r="BG50" t="s">
        <v>2166</v>
      </c>
      <c r="BH50" t="s">
        <v>2166</v>
      </c>
      <c r="BI50" t="s">
        <v>2166</v>
      </c>
      <c r="BJ50" t="s">
        <v>2166</v>
      </c>
      <c r="BK50" t="s">
        <v>2166</v>
      </c>
      <c r="BL50" t="s">
        <v>2166</v>
      </c>
      <c r="BM50" t="s">
        <v>2166</v>
      </c>
      <c r="BN50" t="s">
        <v>2166</v>
      </c>
      <c r="BO50" t="s">
        <v>2166</v>
      </c>
      <c r="BP50" t="s">
        <v>2166</v>
      </c>
      <c r="BQ50" t="s">
        <v>2166</v>
      </c>
      <c r="BR50" t="s">
        <v>2166</v>
      </c>
      <c r="BS50" t="s">
        <v>2166</v>
      </c>
      <c r="BT50" t="s">
        <v>2166</v>
      </c>
      <c r="BU50" t="s">
        <v>2166</v>
      </c>
      <c r="BV50" t="s">
        <v>2166</v>
      </c>
      <c r="BW50" t="s">
        <v>2166</v>
      </c>
      <c r="BX50" t="s">
        <v>2166</v>
      </c>
      <c r="BY50" t="s">
        <v>2166</v>
      </c>
      <c r="BZ50" t="s">
        <v>2166</v>
      </c>
      <c r="CA50" t="s">
        <v>2166</v>
      </c>
      <c r="CB50" t="s">
        <v>2166</v>
      </c>
      <c r="CC50" t="s">
        <v>2166</v>
      </c>
      <c r="CD50" t="s">
        <v>2166</v>
      </c>
      <c r="CE50" t="s">
        <v>2166</v>
      </c>
      <c r="CF50" t="s">
        <v>2166</v>
      </c>
      <c r="CG50" t="s">
        <v>2166</v>
      </c>
      <c r="CH50" t="s">
        <v>2166</v>
      </c>
      <c r="CI50" t="s">
        <v>2166</v>
      </c>
      <c r="CJ50" t="s">
        <v>2166</v>
      </c>
      <c r="CK50" t="s">
        <v>2166</v>
      </c>
      <c r="CL50" t="s">
        <v>2166</v>
      </c>
      <c r="CM50" t="s">
        <v>2166</v>
      </c>
      <c r="CN50" t="s">
        <v>2166</v>
      </c>
      <c r="CO50" t="s">
        <v>2166</v>
      </c>
      <c r="CP50" t="s">
        <v>2166</v>
      </c>
      <c r="CQ50" t="s">
        <v>2166</v>
      </c>
      <c r="CR50" t="s">
        <v>2166</v>
      </c>
      <c r="CS50" t="s">
        <v>2166</v>
      </c>
      <c r="CT50" t="s">
        <v>2166</v>
      </c>
      <c r="CU50" t="s">
        <v>2166</v>
      </c>
      <c r="CV50" t="s">
        <v>2166</v>
      </c>
      <c r="CW50" t="s">
        <v>2166</v>
      </c>
      <c r="CX50" t="s">
        <v>2166</v>
      </c>
      <c r="CY50" t="s">
        <v>2166</v>
      </c>
      <c r="CZ50" t="s">
        <v>2166</v>
      </c>
      <c r="DA50" t="s">
        <v>2166</v>
      </c>
      <c r="DB50" t="s">
        <v>2166</v>
      </c>
      <c r="DC50" t="s">
        <v>2166</v>
      </c>
      <c r="DD50" t="s">
        <v>2166</v>
      </c>
      <c r="DE50" t="s">
        <v>2166</v>
      </c>
      <c r="DF50" t="s">
        <v>2166</v>
      </c>
      <c r="DG50" t="s">
        <v>2166</v>
      </c>
      <c r="DH50" t="s">
        <v>2166</v>
      </c>
      <c r="DI50" t="s">
        <v>2166</v>
      </c>
    </row>
    <row r="51" spans="1:113" x14ac:dyDescent="0.2">
      <c r="A51" t="s">
        <v>2166</v>
      </c>
      <c r="B51" t="s">
        <v>2166</v>
      </c>
      <c r="C51" t="s">
        <v>2166</v>
      </c>
      <c r="D51" t="s">
        <v>2166</v>
      </c>
      <c r="E51" t="s">
        <v>2166</v>
      </c>
      <c r="F51" t="s">
        <v>2166</v>
      </c>
      <c r="G51" t="s">
        <v>2166</v>
      </c>
      <c r="H51" t="s">
        <v>2166</v>
      </c>
      <c r="I51" t="s">
        <v>2166</v>
      </c>
      <c r="J51" t="s">
        <v>2166</v>
      </c>
      <c r="K51" t="s">
        <v>2166</v>
      </c>
      <c r="L51" t="s">
        <v>2166</v>
      </c>
      <c r="M51" t="s">
        <v>2166</v>
      </c>
      <c r="N51" t="s">
        <v>2166</v>
      </c>
      <c r="O51" t="s">
        <v>2166</v>
      </c>
      <c r="P51" t="s">
        <v>2166</v>
      </c>
      <c r="Q51" t="s">
        <v>2166</v>
      </c>
      <c r="R51" t="s">
        <v>2166</v>
      </c>
      <c r="S51" t="s">
        <v>2166</v>
      </c>
      <c r="T51" t="s">
        <v>2166</v>
      </c>
      <c r="U51" t="s">
        <v>2166</v>
      </c>
      <c r="V51" t="s">
        <v>2166</v>
      </c>
      <c r="W51" t="s">
        <v>2166</v>
      </c>
      <c r="X51" t="s">
        <v>2166</v>
      </c>
      <c r="Y51" t="s">
        <v>2166</v>
      </c>
      <c r="Z51" t="s">
        <v>2166</v>
      </c>
      <c r="AA51" t="s">
        <v>2166</v>
      </c>
      <c r="AB51" t="s">
        <v>2166</v>
      </c>
      <c r="AC51" t="s">
        <v>2166</v>
      </c>
      <c r="AD51" t="s">
        <v>2166</v>
      </c>
      <c r="AE51" t="s">
        <v>2166</v>
      </c>
      <c r="AF51" t="s">
        <v>2166</v>
      </c>
      <c r="AG51" t="s">
        <v>2166</v>
      </c>
      <c r="AH51" t="s">
        <v>2166</v>
      </c>
      <c r="AI51" t="s">
        <v>2166</v>
      </c>
      <c r="AJ51" t="s">
        <v>2166</v>
      </c>
      <c r="AK51" t="s">
        <v>2166</v>
      </c>
      <c r="AL51" t="s">
        <v>2166</v>
      </c>
      <c r="AM51" t="s">
        <v>2166</v>
      </c>
      <c r="AN51" t="s">
        <v>2166</v>
      </c>
      <c r="AO51" t="s">
        <v>2166</v>
      </c>
      <c r="AP51" t="s">
        <v>2166</v>
      </c>
      <c r="AQ51" t="s">
        <v>2166</v>
      </c>
      <c r="AR51" t="s">
        <v>2166</v>
      </c>
      <c r="AS51" t="s">
        <v>2166</v>
      </c>
      <c r="AT51" t="s">
        <v>2166</v>
      </c>
      <c r="AU51" t="s">
        <v>2166</v>
      </c>
      <c r="AV51" t="s">
        <v>2166</v>
      </c>
      <c r="AW51" t="s">
        <v>2166</v>
      </c>
      <c r="AX51" t="s">
        <v>2166</v>
      </c>
      <c r="AY51" t="s">
        <v>2166</v>
      </c>
      <c r="AZ51" t="s">
        <v>2166</v>
      </c>
      <c r="BA51" t="s">
        <v>2166</v>
      </c>
      <c r="BB51" t="s">
        <v>2166</v>
      </c>
      <c r="BC51" t="s">
        <v>2166</v>
      </c>
      <c r="BD51" t="s">
        <v>2166</v>
      </c>
      <c r="BE51" t="s">
        <v>2166</v>
      </c>
      <c r="BF51" t="s">
        <v>2166</v>
      </c>
      <c r="BG51" t="s">
        <v>2166</v>
      </c>
      <c r="BH51" t="s">
        <v>2166</v>
      </c>
      <c r="BI51" t="s">
        <v>2166</v>
      </c>
      <c r="BJ51" t="s">
        <v>2166</v>
      </c>
      <c r="BK51" t="s">
        <v>2166</v>
      </c>
      <c r="BL51" t="s">
        <v>2166</v>
      </c>
      <c r="BM51" t="s">
        <v>2166</v>
      </c>
      <c r="BN51" t="s">
        <v>2166</v>
      </c>
      <c r="BO51" t="s">
        <v>2166</v>
      </c>
      <c r="BP51" t="s">
        <v>2166</v>
      </c>
      <c r="BQ51" t="s">
        <v>2166</v>
      </c>
      <c r="BR51" t="s">
        <v>2166</v>
      </c>
      <c r="BS51" t="s">
        <v>2166</v>
      </c>
      <c r="BT51" t="s">
        <v>2166</v>
      </c>
      <c r="BU51" t="s">
        <v>2166</v>
      </c>
      <c r="BV51" t="s">
        <v>2166</v>
      </c>
      <c r="BW51" t="s">
        <v>2166</v>
      </c>
      <c r="BX51" t="s">
        <v>2166</v>
      </c>
      <c r="BY51" t="s">
        <v>2166</v>
      </c>
      <c r="BZ51" t="s">
        <v>2166</v>
      </c>
      <c r="CA51" t="s">
        <v>2166</v>
      </c>
      <c r="CB51" t="s">
        <v>2166</v>
      </c>
      <c r="CC51" t="s">
        <v>2166</v>
      </c>
      <c r="CD51" t="s">
        <v>2166</v>
      </c>
      <c r="CE51" t="s">
        <v>2166</v>
      </c>
      <c r="CF51" t="s">
        <v>2166</v>
      </c>
      <c r="CG51" t="s">
        <v>2166</v>
      </c>
      <c r="CH51" t="s">
        <v>2166</v>
      </c>
      <c r="CI51" t="s">
        <v>2166</v>
      </c>
      <c r="CJ51" t="s">
        <v>2166</v>
      </c>
      <c r="CK51" t="s">
        <v>2166</v>
      </c>
      <c r="CL51" t="s">
        <v>2166</v>
      </c>
      <c r="CM51" t="s">
        <v>2166</v>
      </c>
      <c r="CN51" t="s">
        <v>2166</v>
      </c>
      <c r="CO51" t="s">
        <v>2166</v>
      </c>
      <c r="CP51" t="s">
        <v>2166</v>
      </c>
      <c r="CQ51" t="s">
        <v>2166</v>
      </c>
      <c r="CR51" t="s">
        <v>2166</v>
      </c>
      <c r="CS51" t="s">
        <v>2166</v>
      </c>
      <c r="CT51" t="s">
        <v>2166</v>
      </c>
      <c r="CU51" t="s">
        <v>2166</v>
      </c>
      <c r="CV51" t="s">
        <v>2166</v>
      </c>
      <c r="CW51" t="s">
        <v>2166</v>
      </c>
      <c r="CX51" t="s">
        <v>2166</v>
      </c>
      <c r="CY51" t="s">
        <v>2166</v>
      </c>
      <c r="CZ51" t="s">
        <v>2166</v>
      </c>
      <c r="DA51" t="s">
        <v>2166</v>
      </c>
      <c r="DB51" t="s">
        <v>2166</v>
      </c>
      <c r="DC51" t="s">
        <v>2166</v>
      </c>
      <c r="DD51" t="s">
        <v>2166</v>
      </c>
      <c r="DE51" t="s">
        <v>2166</v>
      </c>
      <c r="DF51" t="s">
        <v>2166</v>
      </c>
      <c r="DG51" t="s">
        <v>2166</v>
      </c>
      <c r="DH51" t="s">
        <v>2166</v>
      </c>
      <c r="DI51" t="s">
        <v>2166</v>
      </c>
    </row>
    <row r="52" spans="1:113" x14ac:dyDescent="0.2">
      <c r="A52" t="s">
        <v>2166</v>
      </c>
      <c r="B52" t="s">
        <v>2166</v>
      </c>
      <c r="C52" t="s">
        <v>2166</v>
      </c>
      <c r="D52" t="s">
        <v>2166</v>
      </c>
      <c r="E52" t="s">
        <v>2166</v>
      </c>
      <c r="F52" t="s">
        <v>2166</v>
      </c>
      <c r="G52" t="s">
        <v>2166</v>
      </c>
      <c r="H52" t="s">
        <v>2166</v>
      </c>
      <c r="I52" t="s">
        <v>2166</v>
      </c>
      <c r="J52" t="s">
        <v>2166</v>
      </c>
      <c r="K52" t="s">
        <v>2166</v>
      </c>
      <c r="L52" t="s">
        <v>2166</v>
      </c>
      <c r="M52" t="s">
        <v>2166</v>
      </c>
      <c r="N52" t="s">
        <v>2166</v>
      </c>
      <c r="O52" t="s">
        <v>2166</v>
      </c>
      <c r="P52" t="s">
        <v>2166</v>
      </c>
      <c r="Q52" t="s">
        <v>2166</v>
      </c>
      <c r="R52" t="s">
        <v>2166</v>
      </c>
      <c r="S52" t="s">
        <v>2166</v>
      </c>
      <c r="T52" t="s">
        <v>2166</v>
      </c>
      <c r="U52" t="s">
        <v>2166</v>
      </c>
      <c r="V52" t="s">
        <v>2166</v>
      </c>
      <c r="W52" t="s">
        <v>2166</v>
      </c>
      <c r="X52" t="s">
        <v>2166</v>
      </c>
      <c r="Y52" t="s">
        <v>2166</v>
      </c>
      <c r="Z52" t="s">
        <v>2166</v>
      </c>
      <c r="AA52" t="s">
        <v>2166</v>
      </c>
      <c r="AB52" t="s">
        <v>2166</v>
      </c>
      <c r="AC52" t="s">
        <v>2166</v>
      </c>
      <c r="AD52" t="s">
        <v>2166</v>
      </c>
      <c r="AE52" t="s">
        <v>2166</v>
      </c>
      <c r="AF52" t="s">
        <v>2166</v>
      </c>
      <c r="AG52" t="s">
        <v>2166</v>
      </c>
      <c r="AH52" t="s">
        <v>2166</v>
      </c>
      <c r="AI52" t="s">
        <v>2166</v>
      </c>
      <c r="AJ52" t="s">
        <v>2166</v>
      </c>
      <c r="AK52" t="s">
        <v>2166</v>
      </c>
      <c r="AL52" t="s">
        <v>2166</v>
      </c>
      <c r="AM52" t="s">
        <v>2166</v>
      </c>
      <c r="AN52" t="s">
        <v>2166</v>
      </c>
      <c r="AO52" t="s">
        <v>2166</v>
      </c>
      <c r="AP52" t="s">
        <v>2166</v>
      </c>
      <c r="AQ52" t="s">
        <v>2166</v>
      </c>
      <c r="AR52" t="s">
        <v>2166</v>
      </c>
      <c r="AS52" t="s">
        <v>2166</v>
      </c>
      <c r="AT52" t="s">
        <v>2166</v>
      </c>
      <c r="AU52" t="s">
        <v>2166</v>
      </c>
      <c r="AV52" t="s">
        <v>2166</v>
      </c>
      <c r="AW52" t="s">
        <v>2166</v>
      </c>
      <c r="AX52" t="s">
        <v>2166</v>
      </c>
      <c r="AY52" t="s">
        <v>2166</v>
      </c>
      <c r="AZ52" t="s">
        <v>2166</v>
      </c>
      <c r="BA52" t="s">
        <v>2166</v>
      </c>
      <c r="BB52" t="s">
        <v>2166</v>
      </c>
      <c r="BC52" t="s">
        <v>2166</v>
      </c>
      <c r="BD52" t="s">
        <v>2166</v>
      </c>
      <c r="BE52" t="s">
        <v>2166</v>
      </c>
      <c r="BF52" t="s">
        <v>2166</v>
      </c>
      <c r="BG52" t="s">
        <v>2166</v>
      </c>
      <c r="BH52" t="s">
        <v>2166</v>
      </c>
      <c r="BI52" t="s">
        <v>2166</v>
      </c>
      <c r="BJ52" t="s">
        <v>2166</v>
      </c>
      <c r="BK52" t="s">
        <v>2166</v>
      </c>
      <c r="BL52" t="s">
        <v>2166</v>
      </c>
      <c r="BM52" t="s">
        <v>2166</v>
      </c>
      <c r="BN52" t="s">
        <v>2166</v>
      </c>
      <c r="BO52" t="s">
        <v>2166</v>
      </c>
      <c r="BP52" t="s">
        <v>2166</v>
      </c>
      <c r="BQ52" t="s">
        <v>2166</v>
      </c>
      <c r="BR52" t="s">
        <v>2166</v>
      </c>
      <c r="BS52" t="s">
        <v>2166</v>
      </c>
      <c r="BT52" t="s">
        <v>2166</v>
      </c>
      <c r="BU52" t="s">
        <v>2166</v>
      </c>
      <c r="BV52" t="s">
        <v>2166</v>
      </c>
      <c r="BW52" t="s">
        <v>2166</v>
      </c>
      <c r="BX52" t="s">
        <v>2166</v>
      </c>
      <c r="BY52" t="s">
        <v>2166</v>
      </c>
      <c r="BZ52" t="s">
        <v>2166</v>
      </c>
      <c r="CA52" t="s">
        <v>2166</v>
      </c>
      <c r="CB52" t="s">
        <v>2166</v>
      </c>
      <c r="CC52" t="s">
        <v>2166</v>
      </c>
      <c r="CD52" t="s">
        <v>2166</v>
      </c>
      <c r="CE52" t="s">
        <v>2166</v>
      </c>
      <c r="CF52" t="s">
        <v>2166</v>
      </c>
      <c r="CG52" t="s">
        <v>2166</v>
      </c>
      <c r="CH52" t="s">
        <v>2166</v>
      </c>
      <c r="CI52" t="s">
        <v>2166</v>
      </c>
      <c r="CJ52" t="s">
        <v>2166</v>
      </c>
      <c r="CK52" t="s">
        <v>2166</v>
      </c>
      <c r="CL52" t="s">
        <v>2166</v>
      </c>
      <c r="CM52" t="s">
        <v>2166</v>
      </c>
      <c r="CN52" t="s">
        <v>2166</v>
      </c>
      <c r="CO52" t="s">
        <v>2166</v>
      </c>
      <c r="CP52" t="s">
        <v>2166</v>
      </c>
      <c r="CQ52" t="s">
        <v>2166</v>
      </c>
      <c r="CR52" t="s">
        <v>2166</v>
      </c>
      <c r="CS52" t="s">
        <v>2166</v>
      </c>
      <c r="CT52" t="s">
        <v>2166</v>
      </c>
      <c r="CU52" t="s">
        <v>2166</v>
      </c>
      <c r="CV52" t="s">
        <v>2166</v>
      </c>
      <c r="CW52" t="s">
        <v>2166</v>
      </c>
      <c r="CX52" t="s">
        <v>2166</v>
      </c>
      <c r="CY52" t="s">
        <v>2166</v>
      </c>
      <c r="CZ52" t="s">
        <v>2166</v>
      </c>
      <c r="DA52" t="s">
        <v>2166</v>
      </c>
      <c r="DB52" t="s">
        <v>2166</v>
      </c>
      <c r="DC52" t="s">
        <v>2166</v>
      </c>
      <c r="DD52" t="s">
        <v>2166</v>
      </c>
      <c r="DE52" t="s">
        <v>2166</v>
      </c>
      <c r="DF52" t="s">
        <v>2166</v>
      </c>
      <c r="DG52" t="s">
        <v>2166</v>
      </c>
      <c r="DH52" t="s">
        <v>2166</v>
      </c>
      <c r="DI52" t="s">
        <v>2166</v>
      </c>
    </row>
    <row r="53" spans="1:113" x14ac:dyDescent="0.2">
      <c r="A53" t="s">
        <v>2166</v>
      </c>
      <c r="B53" t="s">
        <v>2166</v>
      </c>
      <c r="C53" t="s">
        <v>2166</v>
      </c>
      <c r="D53" t="s">
        <v>2166</v>
      </c>
      <c r="E53" t="s">
        <v>2166</v>
      </c>
      <c r="F53" t="s">
        <v>2166</v>
      </c>
      <c r="G53" t="s">
        <v>2166</v>
      </c>
      <c r="H53" t="s">
        <v>2166</v>
      </c>
      <c r="I53" t="s">
        <v>2166</v>
      </c>
      <c r="J53" t="s">
        <v>2166</v>
      </c>
      <c r="K53" t="s">
        <v>2166</v>
      </c>
      <c r="L53" t="s">
        <v>2166</v>
      </c>
      <c r="M53" t="s">
        <v>2166</v>
      </c>
      <c r="N53" t="s">
        <v>2166</v>
      </c>
      <c r="O53" t="s">
        <v>2166</v>
      </c>
      <c r="P53" t="s">
        <v>2166</v>
      </c>
      <c r="Q53" t="s">
        <v>2166</v>
      </c>
      <c r="R53" t="s">
        <v>2166</v>
      </c>
      <c r="S53" t="s">
        <v>2166</v>
      </c>
      <c r="T53" t="s">
        <v>2166</v>
      </c>
      <c r="U53" t="s">
        <v>2166</v>
      </c>
      <c r="V53" t="s">
        <v>2166</v>
      </c>
      <c r="W53" t="s">
        <v>2166</v>
      </c>
      <c r="X53" t="s">
        <v>2166</v>
      </c>
      <c r="Y53" t="s">
        <v>2166</v>
      </c>
      <c r="Z53" t="s">
        <v>2166</v>
      </c>
      <c r="AA53" t="s">
        <v>2166</v>
      </c>
      <c r="AB53" t="s">
        <v>2166</v>
      </c>
      <c r="AC53" t="s">
        <v>2166</v>
      </c>
      <c r="AD53" t="s">
        <v>2166</v>
      </c>
      <c r="AE53" t="s">
        <v>2166</v>
      </c>
      <c r="AF53" t="s">
        <v>2166</v>
      </c>
      <c r="AG53" t="s">
        <v>2166</v>
      </c>
      <c r="AH53" t="s">
        <v>2166</v>
      </c>
      <c r="AI53" t="s">
        <v>2166</v>
      </c>
      <c r="AJ53" t="s">
        <v>2166</v>
      </c>
      <c r="AK53" t="s">
        <v>2166</v>
      </c>
      <c r="AL53" t="s">
        <v>2166</v>
      </c>
      <c r="AM53" t="s">
        <v>2166</v>
      </c>
      <c r="AN53" t="s">
        <v>2166</v>
      </c>
      <c r="AO53" t="s">
        <v>2166</v>
      </c>
      <c r="AP53" t="s">
        <v>2166</v>
      </c>
      <c r="AQ53" t="s">
        <v>2166</v>
      </c>
      <c r="AR53" t="s">
        <v>2166</v>
      </c>
      <c r="AS53" t="s">
        <v>2166</v>
      </c>
      <c r="AT53" t="s">
        <v>2166</v>
      </c>
      <c r="AU53" t="s">
        <v>2166</v>
      </c>
      <c r="AV53" t="s">
        <v>2166</v>
      </c>
      <c r="AW53" t="s">
        <v>2166</v>
      </c>
      <c r="AX53" t="s">
        <v>2166</v>
      </c>
      <c r="AY53" t="s">
        <v>2166</v>
      </c>
      <c r="AZ53" t="s">
        <v>2166</v>
      </c>
      <c r="BA53" t="s">
        <v>2166</v>
      </c>
      <c r="BB53" t="s">
        <v>2166</v>
      </c>
      <c r="BC53" t="s">
        <v>2166</v>
      </c>
      <c r="BD53" t="s">
        <v>2166</v>
      </c>
      <c r="BE53" t="s">
        <v>2166</v>
      </c>
      <c r="BF53" t="s">
        <v>2166</v>
      </c>
      <c r="BG53" t="s">
        <v>2166</v>
      </c>
      <c r="BH53" t="s">
        <v>2166</v>
      </c>
      <c r="BI53" t="s">
        <v>2166</v>
      </c>
      <c r="BJ53" t="s">
        <v>2166</v>
      </c>
      <c r="BK53" t="s">
        <v>2166</v>
      </c>
      <c r="BL53" t="s">
        <v>2166</v>
      </c>
      <c r="BM53" t="s">
        <v>2166</v>
      </c>
      <c r="BN53" t="s">
        <v>2166</v>
      </c>
      <c r="BO53" t="s">
        <v>2166</v>
      </c>
      <c r="BP53" t="s">
        <v>2166</v>
      </c>
      <c r="BQ53" t="s">
        <v>2166</v>
      </c>
      <c r="BR53" t="s">
        <v>2166</v>
      </c>
      <c r="BS53" t="s">
        <v>2166</v>
      </c>
      <c r="BT53" t="s">
        <v>2166</v>
      </c>
      <c r="BU53" t="s">
        <v>2166</v>
      </c>
      <c r="BV53" t="s">
        <v>2166</v>
      </c>
      <c r="BW53" t="s">
        <v>2166</v>
      </c>
      <c r="BX53" t="s">
        <v>2166</v>
      </c>
      <c r="BY53" t="s">
        <v>2166</v>
      </c>
      <c r="BZ53" t="s">
        <v>2166</v>
      </c>
      <c r="CA53" t="s">
        <v>2166</v>
      </c>
      <c r="CB53" t="s">
        <v>2166</v>
      </c>
      <c r="CC53" t="s">
        <v>2166</v>
      </c>
      <c r="CD53" t="s">
        <v>2166</v>
      </c>
      <c r="CE53" t="s">
        <v>2166</v>
      </c>
      <c r="CF53" t="s">
        <v>2166</v>
      </c>
      <c r="CG53" t="s">
        <v>2166</v>
      </c>
      <c r="CH53" t="s">
        <v>2166</v>
      </c>
      <c r="CI53" t="s">
        <v>2166</v>
      </c>
      <c r="CJ53" t="s">
        <v>2166</v>
      </c>
      <c r="CK53" t="s">
        <v>2166</v>
      </c>
      <c r="CL53" t="s">
        <v>2166</v>
      </c>
      <c r="CM53" t="s">
        <v>2166</v>
      </c>
      <c r="CN53" t="s">
        <v>2166</v>
      </c>
      <c r="CO53" t="s">
        <v>2166</v>
      </c>
      <c r="CP53" t="s">
        <v>2166</v>
      </c>
      <c r="CQ53" t="s">
        <v>2166</v>
      </c>
      <c r="CR53" t="s">
        <v>2166</v>
      </c>
      <c r="CS53" t="s">
        <v>2166</v>
      </c>
      <c r="CT53" t="s">
        <v>2166</v>
      </c>
      <c r="CU53" t="s">
        <v>2166</v>
      </c>
      <c r="CV53" t="s">
        <v>2166</v>
      </c>
      <c r="CW53" t="s">
        <v>2166</v>
      </c>
      <c r="CX53" t="s">
        <v>2166</v>
      </c>
      <c r="CY53" t="s">
        <v>2166</v>
      </c>
      <c r="CZ53" t="s">
        <v>2166</v>
      </c>
      <c r="DA53" t="s">
        <v>2166</v>
      </c>
      <c r="DB53" t="s">
        <v>2166</v>
      </c>
      <c r="DC53" t="s">
        <v>2166</v>
      </c>
      <c r="DD53" t="s">
        <v>2166</v>
      </c>
      <c r="DE53" t="s">
        <v>2166</v>
      </c>
      <c r="DF53" t="s">
        <v>2166</v>
      </c>
      <c r="DG53" t="s">
        <v>2166</v>
      </c>
      <c r="DH53" t="s">
        <v>2166</v>
      </c>
      <c r="DI53" t="s">
        <v>2166</v>
      </c>
    </row>
  </sheetData>
  <phoneticPr fontId="5" type="noConversion"/>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3E996-4A39-4BF4-90BB-2A4CDF3DAD1E}">
  <sheetPr codeName="Tabelle6"/>
  <dimension ref="A1:JL350"/>
  <sheetViews>
    <sheetView showGridLines="0" workbookViewId="0"/>
  </sheetViews>
  <sheetFormatPr baseColWidth="10" defaultColWidth="11.42578125" defaultRowHeight="12.75" x14ac:dyDescent="0.2"/>
  <cols>
    <col min="1" max="1" width="20.7109375" bestFit="1" customWidth="1"/>
    <col min="2" max="2" width="27.42578125" customWidth="1"/>
    <col min="6" max="6" width="21.28515625" customWidth="1"/>
    <col min="7" max="7" width="20.28515625" customWidth="1"/>
    <col min="108" max="108" width="19.42578125" bestFit="1" customWidth="1"/>
    <col min="133" max="133" width="19.7109375" customWidth="1"/>
  </cols>
  <sheetData>
    <row r="1" spans="1:113" s="7" customFormat="1" x14ac:dyDescent="0.2">
      <c r="A1" s="7" t="s">
        <v>2053</v>
      </c>
      <c r="B1" s="7" t="s">
        <v>2054</v>
      </c>
      <c r="C1" s="7" t="s">
        <v>2055</v>
      </c>
      <c r="D1" s="7" t="s">
        <v>2056</v>
      </c>
      <c r="E1" s="7" t="s">
        <v>2057</v>
      </c>
      <c r="F1" s="7" t="s">
        <v>2058</v>
      </c>
      <c r="G1" s="7" t="s">
        <v>2059</v>
      </c>
      <c r="H1" s="7" t="s">
        <v>2060</v>
      </c>
      <c r="I1" s="7" t="s">
        <v>2061</v>
      </c>
      <c r="J1" s="7" t="s">
        <v>2062</v>
      </c>
      <c r="K1" s="7" t="s">
        <v>2063</v>
      </c>
      <c r="L1" s="7" t="s">
        <v>2064</v>
      </c>
      <c r="M1" s="7" t="s">
        <v>2065</v>
      </c>
      <c r="N1" s="7" t="s">
        <v>2066</v>
      </c>
      <c r="O1" s="7" t="s">
        <v>2067</v>
      </c>
      <c r="P1" s="7" t="s">
        <v>2068</v>
      </c>
      <c r="Q1" s="7" t="s">
        <v>2069</v>
      </c>
      <c r="R1" s="7" t="s">
        <v>2070</v>
      </c>
      <c r="S1" s="7" t="s">
        <v>2071</v>
      </c>
      <c r="T1" s="7" t="s">
        <v>2072</v>
      </c>
      <c r="U1" s="7" t="s">
        <v>2073</v>
      </c>
      <c r="V1" s="7" t="s">
        <v>2074</v>
      </c>
      <c r="W1" s="7" t="s">
        <v>2075</v>
      </c>
      <c r="X1" s="7" t="s">
        <v>2076</v>
      </c>
      <c r="Y1" s="7" t="s">
        <v>2077</v>
      </c>
      <c r="Z1" s="7" t="s">
        <v>2078</v>
      </c>
      <c r="AA1" s="7" t="s">
        <v>2079</v>
      </c>
      <c r="AB1" s="7" t="s">
        <v>2080</v>
      </c>
      <c r="AC1" s="7" t="s">
        <v>2081</v>
      </c>
      <c r="AD1" s="7" t="s">
        <v>2082</v>
      </c>
      <c r="AE1" s="7" t="s">
        <v>2083</v>
      </c>
      <c r="AF1" s="7" t="s">
        <v>2084</v>
      </c>
      <c r="AG1" s="7" t="s">
        <v>2085</v>
      </c>
      <c r="AH1" s="7" t="s">
        <v>2086</v>
      </c>
      <c r="AI1" s="7" t="s">
        <v>2087</v>
      </c>
      <c r="AJ1" s="7" t="s">
        <v>2088</v>
      </c>
      <c r="AK1" s="7" t="s">
        <v>2089</v>
      </c>
      <c r="AL1" s="7" t="s">
        <v>2090</v>
      </c>
      <c r="AM1" s="7" t="s">
        <v>2091</v>
      </c>
      <c r="AN1" s="7" t="s">
        <v>2092</v>
      </c>
      <c r="AO1" s="7" t="s">
        <v>2093</v>
      </c>
      <c r="AP1" s="7" t="s">
        <v>2094</v>
      </c>
      <c r="AQ1" s="7" t="s">
        <v>2095</v>
      </c>
      <c r="AR1" s="7" t="s">
        <v>2096</v>
      </c>
      <c r="AS1" s="7" t="s">
        <v>2097</v>
      </c>
      <c r="AT1" s="7" t="s">
        <v>2098</v>
      </c>
      <c r="AU1" s="7" t="s">
        <v>2099</v>
      </c>
      <c r="AV1" s="7" t="s">
        <v>2100</v>
      </c>
      <c r="AW1" s="7" t="s">
        <v>2101</v>
      </c>
      <c r="AX1" s="7" t="s">
        <v>2102</v>
      </c>
      <c r="AY1" s="7" t="s">
        <v>2103</v>
      </c>
      <c r="AZ1" s="7" t="s">
        <v>2104</v>
      </c>
      <c r="BA1" s="7" t="s">
        <v>2105</v>
      </c>
      <c r="BB1" s="7" t="s">
        <v>2106</v>
      </c>
      <c r="BC1" s="7" t="s">
        <v>2107</v>
      </c>
      <c r="BD1" s="7" t="s">
        <v>2108</v>
      </c>
      <c r="BE1" s="7" t="s">
        <v>2109</v>
      </c>
      <c r="BF1" s="7" t="s">
        <v>2110</v>
      </c>
      <c r="BG1" s="7" t="s">
        <v>2111</v>
      </c>
      <c r="BH1" s="7" t="s">
        <v>2112</v>
      </c>
      <c r="BI1" s="7" t="s">
        <v>2113</v>
      </c>
      <c r="BJ1" s="7" t="s">
        <v>2114</v>
      </c>
      <c r="BK1" s="7" t="s">
        <v>2115</v>
      </c>
      <c r="BL1" s="7" t="s">
        <v>2116</v>
      </c>
      <c r="BM1" s="7" t="s">
        <v>2117</v>
      </c>
      <c r="BN1" s="7" t="s">
        <v>2118</v>
      </c>
      <c r="BO1" s="7" t="s">
        <v>2119</v>
      </c>
      <c r="BP1" s="7" t="s">
        <v>2120</v>
      </c>
      <c r="BQ1" s="7" t="s">
        <v>2121</v>
      </c>
      <c r="BR1" s="7" t="s">
        <v>2122</v>
      </c>
      <c r="BS1" s="7" t="s">
        <v>2123</v>
      </c>
      <c r="BT1" s="7" t="s">
        <v>2124</v>
      </c>
      <c r="BU1" s="7" t="s">
        <v>2125</v>
      </c>
      <c r="BV1" s="7" t="s">
        <v>2126</v>
      </c>
      <c r="BW1" s="7" t="s">
        <v>2127</v>
      </c>
      <c r="BX1" s="7" t="s">
        <v>2128</v>
      </c>
      <c r="BY1" s="7" t="s">
        <v>2129</v>
      </c>
      <c r="BZ1" s="7" t="s">
        <v>2130</v>
      </c>
      <c r="CA1" s="7" t="s">
        <v>2131</v>
      </c>
      <c r="CB1" s="7" t="s">
        <v>2132</v>
      </c>
      <c r="CC1" s="7" t="s">
        <v>2133</v>
      </c>
      <c r="CD1" s="7" t="s">
        <v>2134</v>
      </c>
      <c r="CE1" s="7" t="s">
        <v>2135</v>
      </c>
      <c r="CF1" s="7" t="s">
        <v>2136</v>
      </c>
      <c r="CG1" s="7" t="s">
        <v>2137</v>
      </c>
      <c r="CH1" s="7" t="s">
        <v>2138</v>
      </c>
      <c r="CI1" s="7" t="s">
        <v>2139</v>
      </c>
      <c r="CJ1" s="7" t="s">
        <v>2140</v>
      </c>
      <c r="CK1" s="7" t="s">
        <v>2141</v>
      </c>
      <c r="CL1" s="7" t="s">
        <v>2142</v>
      </c>
      <c r="CM1" s="7" t="s">
        <v>2143</v>
      </c>
      <c r="CN1" s="7" t="s">
        <v>2144</v>
      </c>
      <c r="CO1" s="7" t="s">
        <v>2145</v>
      </c>
      <c r="CP1" s="7" t="s">
        <v>2146</v>
      </c>
      <c r="CQ1" s="7" t="s">
        <v>2147</v>
      </c>
      <c r="CR1" s="7" t="s">
        <v>2148</v>
      </c>
      <c r="CS1" s="7" t="s">
        <v>2149</v>
      </c>
      <c r="CT1" s="7" t="s">
        <v>2150</v>
      </c>
      <c r="CU1" s="7" t="s">
        <v>2151</v>
      </c>
      <c r="CV1" s="7" t="s">
        <v>2152</v>
      </c>
      <c r="CW1" s="7" t="s">
        <v>2153</v>
      </c>
      <c r="CX1" s="7" t="s">
        <v>2154</v>
      </c>
      <c r="CY1" s="7" t="s">
        <v>2155</v>
      </c>
      <c r="CZ1" s="7" t="s">
        <v>2156</v>
      </c>
      <c r="DA1" s="7" t="s">
        <v>2157</v>
      </c>
      <c r="DB1" s="7" t="s">
        <v>2158</v>
      </c>
      <c r="DC1" s="7" t="s">
        <v>2159</v>
      </c>
      <c r="DD1" s="7" t="s">
        <v>2160</v>
      </c>
      <c r="DE1" s="7" t="s">
        <v>2161</v>
      </c>
      <c r="DF1" s="7" t="s">
        <v>2162</v>
      </c>
      <c r="DG1" s="7" t="s">
        <v>2163</v>
      </c>
      <c r="DH1" s="7" t="s">
        <v>2164</v>
      </c>
      <c r="DI1" s="7" t="s">
        <v>2165</v>
      </c>
    </row>
    <row r="2" spans="1:113" x14ac:dyDescent="0.2">
      <c r="A2" t="s">
        <v>423</v>
      </c>
      <c r="B2" t="s">
        <v>434</v>
      </c>
      <c r="C2" s="1" t="s">
        <v>77</v>
      </c>
      <c r="D2" t="s">
        <v>603</v>
      </c>
      <c r="E2" t="s">
        <v>614</v>
      </c>
      <c r="F2" t="s">
        <v>64</v>
      </c>
      <c r="G2" t="s">
        <v>467</v>
      </c>
      <c r="H2" s="1" t="s">
        <v>478</v>
      </c>
      <c r="I2" t="s">
        <v>88</v>
      </c>
      <c r="J2" t="s">
        <v>515</v>
      </c>
      <c r="K2" t="s">
        <v>537</v>
      </c>
      <c r="L2" t="s">
        <v>570</v>
      </c>
      <c r="M2" t="s">
        <v>280</v>
      </c>
      <c r="N2" t="s">
        <v>493</v>
      </c>
      <c r="O2" t="s">
        <v>302</v>
      </c>
      <c r="P2" t="s">
        <v>243</v>
      </c>
      <c r="Q2" t="s">
        <v>291</v>
      </c>
      <c r="R2" t="s">
        <v>368</v>
      </c>
      <c r="S2" t="s">
        <v>357</v>
      </c>
      <c r="T2" t="s">
        <v>99</v>
      </c>
      <c r="U2" t="s">
        <v>559</v>
      </c>
      <c r="V2" t="s">
        <v>526</v>
      </c>
      <c r="W2" t="s">
        <v>548</v>
      </c>
      <c r="X2" t="s">
        <v>504</v>
      </c>
      <c r="Y2" t="s">
        <v>324</v>
      </c>
      <c r="Z2" t="s">
        <v>254</v>
      </c>
      <c r="AA2" t="s">
        <v>313</v>
      </c>
      <c r="AB2" t="s">
        <v>470</v>
      </c>
      <c r="AC2" t="s">
        <v>636</v>
      </c>
      <c r="AD2" t="s">
        <v>658</v>
      </c>
      <c r="AE2" t="s">
        <v>269</v>
      </c>
      <c r="AF2" t="s">
        <v>91</v>
      </c>
      <c r="AG2" t="s">
        <v>518</v>
      </c>
      <c r="AH2" t="s">
        <v>335</v>
      </c>
      <c r="AI2" t="s">
        <v>379</v>
      </c>
      <c r="AJ2" t="s">
        <v>540</v>
      </c>
      <c r="AK2" t="s">
        <v>573</v>
      </c>
      <c r="AL2" t="s">
        <v>283</v>
      </c>
      <c r="AM2" t="s">
        <v>144</v>
      </c>
      <c r="AN2" t="s">
        <v>390</v>
      </c>
      <c r="AO2" t="s">
        <v>305</v>
      </c>
      <c r="AP2" t="s">
        <v>625</v>
      </c>
      <c r="AQ2" t="s">
        <v>246</v>
      </c>
      <c r="AR2" t="s">
        <v>647</v>
      </c>
      <c r="AS2" t="s">
        <v>294</v>
      </c>
      <c r="AT2" t="s">
        <v>371</v>
      </c>
      <c r="AU2" t="s">
        <v>346</v>
      </c>
      <c r="AV2" t="s">
        <v>412</v>
      </c>
      <c r="AW2" t="s">
        <v>360</v>
      </c>
      <c r="AX2" t="s">
        <v>562</v>
      </c>
      <c r="AY2" t="s">
        <v>133</v>
      </c>
      <c r="AZ2" t="s">
        <v>199</v>
      </c>
      <c r="BA2" t="s">
        <v>401</v>
      </c>
      <c r="BB2" t="s">
        <v>221</v>
      </c>
      <c r="BC2" t="s">
        <v>257</v>
      </c>
      <c r="BD2" t="s">
        <v>316</v>
      </c>
      <c r="BE2" t="s">
        <v>122</v>
      </c>
      <c r="BF2" t="s">
        <v>639</v>
      </c>
      <c r="BG2" t="s">
        <v>592</v>
      </c>
      <c r="BH2" t="s">
        <v>661</v>
      </c>
      <c r="BI2" t="s">
        <v>210</v>
      </c>
      <c r="BJ2" t="s">
        <v>232</v>
      </c>
      <c r="BK2" t="s">
        <v>456</v>
      </c>
      <c r="BL2" t="s">
        <v>110</v>
      </c>
      <c r="BM2" t="s">
        <v>177</v>
      </c>
      <c r="BN2" t="s">
        <v>338</v>
      </c>
      <c r="BO2" t="s">
        <v>382</v>
      </c>
      <c r="BP2" t="s">
        <v>155</v>
      </c>
      <c r="BQ2" t="s">
        <v>147</v>
      </c>
      <c r="BR2" t="s">
        <v>393</v>
      </c>
      <c r="BS2" t="s">
        <v>628</v>
      </c>
      <c r="BT2" t="s">
        <v>188</v>
      </c>
      <c r="BU2" t="s">
        <v>650</v>
      </c>
      <c r="BV2" t="s">
        <v>166</v>
      </c>
      <c r="BW2" t="s">
        <v>445</v>
      </c>
      <c r="BX2" t="s">
        <v>349</v>
      </c>
      <c r="BY2" t="s">
        <v>581</v>
      </c>
      <c r="BZ2" t="s">
        <v>415</v>
      </c>
      <c r="CA2" t="s">
        <v>563</v>
      </c>
      <c r="CB2" t="s">
        <v>136</v>
      </c>
      <c r="CC2" t="s">
        <v>202</v>
      </c>
      <c r="CD2" t="s">
        <v>404</v>
      </c>
      <c r="CE2" t="s">
        <v>224</v>
      </c>
      <c r="CF2" t="s">
        <v>125</v>
      </c>
      <c r="CG2" t="s">
        <v>640</v>
      </c>
      <c r="CH2" t="s">
        <v>595</v>
      </c>
      <c r="CI2" t="s">
        <v>662</v>
      </c>
      <c r="CJ2" t="s">
        <v>213</v>
      </c>
      <c r="CK2" t="s">
        <v>235</v>
      </c>
      <c r="CL2" t="s">
        <v>459</v>
      </c>
      <c r="CM2" t="s">
        <v>114</v>
      </c>
      <c r="CN2" t="s">
        <v>180</v>
      </c>
      <c r="CO2" s="1" t="s">
        <v>339</v>
      </c>
      <c r="CP2" t="s">
        <v>158</v>
      </c>
      <c r="CQ2" t="s">
        <v>148</v>
      </c>
      <c r="CR2" t="s">
        <v>191</v>
      </c>
      <c r="CS2" t="s">
        <v>169</v>
      </c>
      <c r="CT2" t="s">
        <v>448</v>
      </c>
      <c r="CU2" t="s">
        <v>416</v>
      </c>
      <c r="CV2" t="s">
        <v>137</v>
      </c>
      <c r="CW2" t="s">
        <v>203</v>
      </c>
      <c r="CX2" t="s">
        <v>405</v>
      </c>
      <c r="CY2" t="s">
        <v>225</v>
      </c>
      <c r="CZ2" t="s">
        <v>126</v>
      </c>
      <c r="DA2" t="s">
        <v>596</v>
      </c>
      <c r="DB2" t="s">
        <v>214</v>
      </c>
      <c r="DC2" t="s">
        <v>236</v>
      </c>
      <c r="DD2" t="s">
        <v>460</v>
      </c>
      <c r="DE2" t="s">
        <v>181</v>
      </c>
      <c r="DF2" t="s">
        <v>159</v>
      </c>
      <c r="DG2" t="s">
        <v>449</v>
      </c>
      <c r="DH2" t="s">
        <v>417</v>
      </c>
      <c r="DI2" t="s">
        <v>597</v>
      </c>
    </row>
    <row r="3" spans="1:113" x14ac:dyDescent="0.2">
      <c r="A3" t="s">
        <v>437</v>
      </c>
      <c r="B3" t="s">
        <v>426</v>
      </c>
      <c r="C3" t="s">
        <v>69</v>
      </c>
      <c r="D3" t="s">
        <v>617</v>
      </c>
      <c r="E3" t="s">
        <v>606</v>
      </c>
      <c r="F3" t="s">
        <v>80</v>
      </c>
      <c r="G3" t="s">
        <v>481</v>
      </c>
      <c r="H3" t="s">
        <v>496</v>
      </c>
      <c r="I3" t="s">
        <v>102</v>
      </c>
      <c r="J3" t="s">
        <v>529</v>
      </c>
      <c r="K3" t="s">
        <v>551</v>
      </c>
      <c r="L3" t="s">
        <v>584</v>
      </c>
      <c r="M3" t="s">
        <v>272</v>
      </c>
      <c r="N3" t="s">
        <v>507</v>
      </c>
      <c r="O3" t="s">
        <v>327</v>
      </c>
      <c r="P3" t="s">
        <v>284</v>
      </c>
      <c r="Q3" t="s">
        <v>306</v>
      </c>
      <c r="R3" t="s">
        <v>361</v>
      </c>
      <c r="S3" t="s">
        <v>372</v>
      </c>
      <c r="T3" t="s">
        <v>92</v>
      </c>
      <c r="U3" t="s">
        <v>574</v>
      </c>
      <c r="V3" t="s">
        <v>519</v>
      </c>
      <c r="W3" t="s">
        <v>541</v>
      </c>
      <c r="X3" t="s">
        <v>471</v>
      </c>
      <c r="Y3" t="s">
        <v>383</v>
      </c>
      <c r="Z3" t="s">
        <v>247</v>
      </c>
      <c r="AA3" t="s">
        <v>295</v>
      </c>
      <c r="AB3" t="s">
        <v>482</v>
      </c>
      <c r="AC3" t="s">
        <v>629</v>
      </c>
      <c r="AD3" t="s">
        <v>651</v>
      </c>
      <c r="AE3" t="s">
        <v>258</v>
      </c>
      <c r="AF3" t="s">
        <v>103</v>
      </c>
      <c r="AG3" t="s">
        <v>530</v>
      </c>
      <c r="AH3" t="s">
        <v>350</v>
      </c>
      <c r="AI3" t="s">
        <v>394</v>
      </c>
      <c r="AJ3" t="s">
        <v>552</v>
      </c>
      <c r="AK3" t="s">
        <v>585</v>
      </c>
      <c r="AL3" t="s">
        <v>273</v>
      </c>
      <c r="AM3" t="s">
        <v>115</v>
      </c>
      <c r="AN3" t="s">
        <v>317</v>
      </c>
      <c r="AO3" t="s">
        <v>328</v>
      </c>
      <c r="AP3" t="s">
        <v>641</v>
      </c>
      <c r="AQ3" t="s">
        <v>285</v>
      </c>
      <c r="AR3" t="s">
        <v>663</v>
      </c>
      <c r="AS3" t="s">
        <v>307</v>
      </c>
      <c r="AT3" t="s">
        <v>362</v>
      </c>
      <c r="AU3" t="s">
        <v>340</v>
      </c>
      <c r="AV3" t="s">
        <v>406</v>
      </c>
      <c r="AW3" t="s">
        <v>373</v>
      </c>
      <c r="AX3" t="s">
        <v>575</v>
      </c>
      <c r="AY3" t="s">
        <v>149</v>
      </c>
      <c r="AZ3" t="s">
        <v>192</v>
      </c>
      <c r="BA3" t="s">
        <v>461</v>
      </c>
      <c r="BB3" t="s">
        <v>170</v>
      </c>
      <c r="BC3" t="s">
        <v>248</v>
      </c>
      <c r="BD3" t="s">
        <v>296</v>
      </c>
      <c r="BE3" t="s">
        <v>138</v>
      </c>
      <c r="BF3" t="s">
        <v>630</v>
      </c>
      <c r="BG3" t="s">
        <v>564</v>
      </c>
      <c r="BH3" t="s">
        <v>652</v>
      </c>
      <c r="BI3" t="s">
        <v>204</v>
      </c>
      <c r="BJ3" t="s">
        <v>226</v>
      </c>
      <c r="BK3" t="s">
        <v>450</v>
      </c>
      <c r="BL3" t="s">
        <v>127</v>
      </c>
      <c r="BM3" t="s">
        <v>215</v>
      </c>
      <c r="BN3" t="s">
        <v>351</v>
      </c>
      <c r="BO3" t="s">
        <v>395</v>
      </c>
      <c r="BP3" t="s">
        <v>237</v>
      </c>
      <c r="BQ3" t="s">
        <v>116</v>
      </c>
      <c r="BR3" t="s">
        <v>318</v>
      </c>
      <c r="BS3" t="s">
        <v>642</v>
      </c>
      <c r="BT3" t="s">
        <v>182</v>
      </c>
      <c r="BU3" t="s">
        <v>664</v>
      </c>
      <c r="BV3" t="s">
        <v>160</v>
      </c>
      <c r="BW3" t="s">
        <v>418</v>
      </c>
      <c r="BX3" t="s">
        <v>341</v>
      </c>
      <c r="BY3" t="s">
        <v>598</v>
      </c>
      <c r="BZ3" t="s">
        <v>407</v>
      </c>
      <c r="CA3" t="s">
        <v>576</v>
      </c>
      <c r="CB3" t="s">
        <v>150</v>
      </c>
      <c r="CC3" t="s">
        <v>193</v>
      </c>
      <c r="CD3" t="s">
        <v>462</v>
      </c>
      <c r="CE3" t="s">
        <v>171</v>
      </c>
      <c r="CF3" t="s">
        <v>139</v>
      </c>
      <c r="CG3" t="s">
        <v>631</v>
      </c>
      <c r="CH3" t="s">
        <v>565</v>
      </c>
      <c r="CI3" t="s">
        <v>653</v>
      </c>
      <c r="CJ3" t="s">
        <v>205</v>
      </c>
      <c r="CK3" t="s">
        <v>227</v>
      </c>
      <c r="CL3" t="s">
        <v>451</v>
      </c>
      <c r="CM3" t="s">
        <v>128</v>
      </c>
      <c r="CN3" t="s">
        <v>216</v>
      </c>
      <c r="CO3" t="s">
        <v>352</v>
      </c>
      <c r="CP3" t="s">
        <v>238</v>
      </c>
      <c r="CQ3" t="s">
        <v>117</v>
      </c>
      <c r="CR3" t="s">
        <v>183</v>
      </c>
      <c r="CS3" t="s">
        <v>161</v>
      </c>
      <c r="CT3" t="s">
        <v>419</v>
      </c>
      <c r="CU3" t="s">
        <v>408</v>
      </c>
      <c r="CV3" t="s">
        <v>151</v>
      </c>
      <c r="CW3" t="s">
        <v>194</v>
      </c>
      <c r="CX3" t="s">
        <v>463</v>
      </c>
      <c r="CY3" t="s">
        <v>172</v>
      </c>
      <c r="CZ3" t="s">
        <v>140</v>
      </c>
      <c r="DA3" t="s">
        <v>566</v>
      </c>
      <c r="DB3" t="s">
        <v>206</v>
      </c>
      <c r="DC3" t="s">
        <v>228</v>
      </c>
      <c r="DD3" t="s">
        <v>452</v>
      </c>
      <c r="DE3" t="s">
        <v>217</v>
      </c>
      <c r="DF3" s="1" t="s">
        <v>239</v>
      </c>
      <c r="DG3" t="s">
        <v>420</v>
      </c>
      <c r="DH3" t="s">
        <v>409</v>
      </c>
      <c r="DI3" t="s">
        <v>567</v>
      </c>
    </row>
    <row r="4" spans="1:113" x14ac:dyDescent="0.2">
      <c r="A4" t="s">
        <v>427</v>
      </c>
      <c r="B4" t="s">
        <v>438</v>
      </c>
      <c r="C4" t="s">
        <v>81</v>
      </c>
      <c r="D4" t="s">
        <v>607</v>
      </c>
      <c r="E4" t="s">
        <v>618</v>
      </c>
      <c r="F4" t="s">
        <v>70</v>
      </c>
      <c r="G4" t="s">
        <v>497</v>
      </c>
      <c r="H4" t="s">
        <v>508</v>
      </c>
      <c r="I4" t="s">
        <v>93</v>
      </c>
      <c r="J4" t="s">
        <v>520</v>
      </c>
      <c r="K4" t="s">
        <v>542</v>
      </c>
      <c r="L4" t="s">
        <v>599</v>
      </c>
      <c r="M4" t="s">
        <v>259</v>
      </c>
      <c r="N4" t="s">
        <v>472</v>
      </c>
      <c r="O4" t="s">
        <v>384</v>
      </c>
      <c r="P4" t="s">
        <v>274</v>
      </c>
      <c r="Q4" t="s">
        <v>329</v>
      </c>
      <c r="R4" t="s">
        <v>374</v>
      </c>
      <c r="S4" t="s">
        <v>363</v>
      </c>
      <c r="T4" t="s">
        <v>104</v>
      </c>
      <c r="U4" t="s">
        <v>586</v>
      </c>
      <c r="V4" t="s">
        <v>531</v>
      </c>
      <c r="W4" t="s">
        <v>553</v>
      </c>
      <c r="X4" t="s">
        <v>483</v>
      </c>
      <c r="Y4" t="s">
        <v>396</v>
      </c>
      <c r="Z4" t="s">
        <v>286</v>
      </c>
      <c r="AA4" t="s">
        <v>308</v>
      </c>
      <c r="AB4" t="s">
        <v>498</v>
      </c>
      <c r="AC4" t="s">
        <v>643</v>
      </c>
      <c r="AD4" t="s">
        <v>665</v>
      </c>
      <c r="AE4" t="s">
        <v>249</v>
      </c>
      <c r="AF4" t="s">
        <v>94</v>
      </c>
      <c r="AG4" t="s">
        <v>521</v>
      </c>
      <c r="AH4" t="s">
        <v>342</v>
      </c>
      <c r="AI4" t="s">
        <v>319</v>
      </c>
      <c r="AJ4" t="s">
        <v>543</v>
      </c>
      <c r="AK4" t="s">
        <v>600</v>
      </c>
      <c r="AL4" t="s">
        <v>260</v>
      </c>
      <c r="AM4" t="s">
        <v>129</v>
      </c>
      <c r="AN4" t="s">
        <v>297</v>
      </c>
      <c r="AO4" t="s">
        <v>385</v>
      </c>
      <c r="AP4" t="s">
        <v>632</v>
      </c>
      <c r="AQ4" t="s">
        <v>275</v>
      </c>
      <c r="AR4" t="s">
        <v>654</v>
      </c>
      <c r="AS4" t="s">
        <v>330</v>
      </c>
      <c r="AT4" t="s">
        <v>375</v>
      </c>
      <c r="AU4" t="s">
        <v>353</v>
      </c>
      <c r="AV4" t="s">
        <v>464</v>
      </c>
      <c r="AW4" t="s">
        <v>364</v>
      </c>
      <c r="AX4" t="s">
        <v>587</v>
      </c>
      <c r="AY4" t="s">
        <v>118</v>
      </c>
      <c r="AZ4" t="s">
        <v>184</v>
      </c>
      <c r="BA4" t="s">
        <v>453</v>
      </c>
      <c r="BB4" t="s">
        <v>162</v>
      </c>
      <c r="BC4" t="s">
        <v>287</v>
      </c>
      <c r="BD4" t="s">
        <v>309</v>
      </c>
      <c r="BE4" t="s">
        <v>152</v>
      </c>
      <c r="BF4" t="s">
        <v>644</v>
      </c>
      <c r="BG4" t="s">
        <v>577</v>
      </c>
      <c r="BH4" t="s">
        <v>666</v>
      </c>
      <c r="BI4" t="s">
        <v>195</v>
      </c>
      <c r="BJ4" t="s">
        <v>173</v>
      </c>
      <c r="BK4" t="s">
        <v>421</v>
      </c>
      <c r="BL4" t="s">
        <v>141</v>
      </c>
      <c r="BM4" t="s">
        <v>207</v>
      </c>
      <c r="BN4" t="s">
        <v>343</v>
      </c>
      <c r="BO4" t="s">
        <v>320</v>
      </c>
      <c r="BP4" t="s">
        <v>229</v>
      </c>
      <c r="BQ4" t="s">
        <v>130</v>
      </c>
      <c r="BR4" t="s">
        <v>298</v>
      </c>
      <c r="BS4" t="s">
        <v>633</v>
      </c>
      <c r="BT4" t="s">
        <v>218</v>
      </c>
      <c r="BU4" t="s">
        <v>655</v>
      </c>
      <c r="BV4" t="s">
        <v>240</v>
      </c>
      <c r="BW4" t="s">
        <v>410</v>
      </c>
      <c r="BX4" t="s">
        <v>354</v>
      </c>
      <c r="BY4" t="s">
        <v>568</v>
      </c>
      <c r="BZ4" t="s">
        <v>465</v>
      </c>
      <c r="CA4" t="s">
        <v>588</v>
      </c>
      <c r="CB4" t="s">
        <v>119</v>
      </c>
      <c r="CC4" t="s">
        <v>185</v>
      </c>
      <c r="CD4" t="s">
        <v>454</v>
      </c>
      <c r="CE4" t="s">
        <v>163</v>
      </c>
      <c r="CF4" t="s">
        <v>153</v>
      </c>
      <c r="CG4" t="s">
        <v>645</v>
      </c>
      <c r="CH4" t="s">
        <v>578</v>
      </c>
      <c r="CI4" t="s">
        <v>667</v>
      </c>
      <c r="CJ4" t="s">
        <v>196</v>
      </c>
      <c r="CK4" t="s">
        <v>174</v>
      </c>
      <c r="CL4" t="s">
        <v>422</v>
      </c>
      <c r="CM4" t="s">
        <v>142</v>
      </c>
      <c r="CN4" t="s">
        <v>208</v>
      </c>
      <c r="CO4" t="s">
        <v>344</v>
      </c>
      <c r="CP4" t="s">
        <v>230</v>
      </c>
      <c r="CQ4" t="s">
        <v>131</v>
      </c>
      <c r="CR4" t="s">
        <v>219</v>
      </c>
      <c r="CS4" t="s">
        <v>241</v>
      </c>
      <c r="CT4" t="s">
        <v>411</v>
      </c>
      <c r="CU4" t="s">
        <v>466</v>
      </c>
      <c r="CV4" t="s">
        <v>120</v>
      </c>
      <c r="CW4" t="s">
        <v>186</v>
      </c>
      <c r="CX4" t="s">
        <v>455</v>
      </c>
      <c r="CY4" t="s">
        <v>164</v>
      </c>
      <c r="CZ4" t="s">
        <v>154</v>
      </c>
      <c r="DA4" t="s">
        <v>579</v>
      </c>
      <c r="DB4" t="s">
        <v>197</v>
      </c>
      <c r="DC4" s="1" t="s">
        <v>175</v>
      </c>
      <c r="DD4" t="s">
        <v>414</v>
      </c>
      <c r="DE4" t="s">
        <v>209</v>
      </c>
      <c r="DF4" t="s">
        <v>231</v>
      </c>
      <c r="DG4" t="s">
        <v>403</v>
      </c>
      <c r="DH4" t="s">
        <v>458</v>
      </c>
      <c r="DI4" t="s">
        <v>580</v>
      </c>
    </row>
    <row r="5" spans="1:113" x14ac:dyDescent="0.2">
      <c r="A5" t="s">
        <v>439</v>
      </c>
      <c r="B5" t="s">
        <v>428</v>
      </c>
      <c r="C5" t="s">
        <v>71</v>
      </c>
      <c r="D5" t="s">
        <v>619</v>
      </c>
      <c r="E5" t="s">
        <v>608</v>
      </c>
      <c r="F5" t="s">
        <v>82</v>
      </c>
      <c r="G5" t="s">
        <v>509</v>
      </c>
      <c r="H5" t="s">
        <v>473</v>
      </c>
      <c r="I5" t="s">
        <v>105</v>
      </c>
      <c r="J5" t="s">
        <v>532</v>
      </c>
      <c r="K5" t="s">
        <v>554</v>
      </c>
      <c r="L5" t="s">
        <v>569</v>
      </c>
      <c r="M5" t="s">
        <v>250</v>
      </c>
      <c r="N5" t="s">
        <v>484</v>
      </c>
      <c r="O5" t="s">
        <v>397</v>
      </c>
      <c r="P5" t="s">
        <v>261</v>
      </c>
      <c r="Q5" t="s">
        <v>386</v>
      </c>
      <c r="R5" t="s">
        <v>365</v>
      </c>
      <c r="S5" t="s">
        <v>376</v>
      </c>
      <c r="T5" t="s">
        <v>95</v>
      </c>
      <c r="U5" t="s">
        <v>601</v>
      </c>
      <c r="V5" t="s">
        <v>522</v>
      </c>
      <c r="W5" t="s">
        <v>544</v>
      </c>
      <c r="X5" t="s">
        <v>499</v>
      </c>
      <c r="Y5" t="s">
        <v>321</v>
      </c>
      <c r="Z5" t="s">
        <v>276</v>
      </c>
      <c r="AA5" t="s">
        <v>331</v>
      </c>
      <c r="AB5" t="s">
        <v>510</v>
      </c>
      <c r="AC5" t="s">
        <v>634</v>
      </c>
      <c r="AD5" t="s">
        <v>656</v>
      </c>
      <c r="AE5" t="s">
        <v>288</v>
      </c>
      <c r="AF5" t="s">
        <v>106</v>
      </c>
      <c r="AG5" t="s">
        <v>533</v>
      </c>
      <c r="AH5" t="s">
        <v>355</v>
      </c>
      <c r="AI5" t="s">
        <v>299</v>
      </c>
      <c r="AJ5" t="s">
        <v>555</v>
      </c>
      <c r="AK5" t="s">
        <v>561</v>
      </c>
      <c r="AL5" t="s">
        <v>251</v>
      </c>
      <c r="AM5" t="s">
        <v>143</v>
      </c>
      <c r="AN5" t="s">
        <v>310</v>
      </c>
      <c r="AO5" t="s">
        <v>398</v>
      </c>
      <c r="AP5" t="s">
        <v>646</v>
      </c>
      <c r="AQ5" t="s">
        <v>262</v>
      </c>
      <c r="AR5" t="s">
        <v>668</v>
      </c>
      <c r="AS5" t="s">
        <v>387</v>
      </c>
      <c r="AT5" t="s">
        <v>366</v>
      </c>
      <c r="AU5" t="s">
        <v>345</v>
      </c>
      <c r="AV5" t="s">
        <v>447</v>
      </c>
      <c r="AW5" t="s">
        <v>377</v>
      </c>
      <c r="AX5" t="s">
        <v>602</v>
      </c>
      <c r="AY5" t="s">
        <v>132</v>
      </c>
      <c r="AZ5" t="s">
        <v>220</v>
      </c>
      <c r="BA5" t="s">
        <v>2166</v>
      </c>
      <c r="BB5" t="s">
        <v>242</v>
      </c>
      <c r="BC5" t="s">
        <v>277</v>
      </c>
      <c r="BD5" t="s">
        <v>332</v>
      </c>
      <c r="BE5" t="s">
        <v>121</v>
      </c>
      <c r="BF5" t="s">
        <v>635</v>
      </c>
      <c r="BG5" t="s">
        <v>589</v>
      </c>
      <c r="BH5" t="s">
        <v>657</v>
      </c>
      <c r="BI5" t="s">
        <v>187</v>
      </c>
      <c r="BJ5" t="s">
        <v>165</v>
      </c>
      <c r="BK5" t="s">
        <v>2166</v>
      </c>
      <c r="BL5" t="s">
        <v>146</v>
      </c>
      <c r="BM5" t="s">
        <v>198</v>
      </c>
      <c r="BN5" t="s">
        <v>356</v>
      </c>
      <c r="BO5" t="s">
        <v>300</v>
      </c>
      <c r="BP5" t="s">
        <v>176</v>
      </c>
      <c r="BQ5" t="s">
        <v>135</v>
      </c>
      <c r="BR5" t="s">
        <v>311</v>
      </c>
      <c r="BS5" t="s">
        <v>638</v>
      </c>
      <c r="BT5" t="s">
        <v>201</v>
      </c>
      <c r="BU5" t="s">
        <v>660</v>
      </c>
      <c r="BV5" t="s">
        <v>223</v>
      </c>
      <c r="BW5" t="s">
        <v>2166</v>
      </c>
      <c r="BX5" t="s">
        <v>337</v>
      </c>
      <c r="BY5" t="s">
        <v>572</v>
      </c>
      <c r="BZ5" t="s">
        <v>2166</v>
      </c>
      <c r="CA5" t="s">
        <v>594</v>
      </c>
      <c r="CB5" t="s">
        <v>124</v>
      </c>
      <c r="CC5" t="s">
        <v>212</v>
      </c>
      <c r="CD5" t="s">
        <v>2166</v>
      </c>
      <c r="CE5" t="s">
        <v>234</v>
      </c>
      <c r="CF5" t="s">
        <v>113</v>
      </c>
      <c r="CG5" t="s">
        <v>627</v>
      </c>
      <c r="CH5" t="s">
        <v>590</v>
      </c>
      <c r="CI5" t="s">
        <v>649</v>
      </c>
      <c r="CJ5" t="s">
        <v>179</v>
      </c>
      <c r="CK5" t="s">
        <v>157</v>
      </c>
      <c r="CL5" t="s">
        <v>2166</v>
      </c>
      <c r="CM5" t="s">
        <v>2166</v>
      </c>
      <c r="CN5" t="s">
        <v>190</v>
      </c>
      <c r="CO5" t="s">
        <v>348</v>
      </c>
      <c r="CP5" t="s">
        <v>168</v>
      </c>
      <c r="CQ5" t="s">
        <v>2166</v>
      </c>
      <c r="CR5" t="s">
        <v>2166</v>
      </c>
      <c r="CS5" t="s">
        <v>2166</v>
      </c>
      <c r="CT5" t="s">
        <v>2166</v>
      </c>
      <c r="CU5" t="s">
        <v>2166</v>
      </c>
      <c r="CV5" t="s">
        <v>2166</v>
      </c>
      <c r="CW5" t="s">
        <v>2166</v>
      </c>
      <c r="CX5" t="s">
        <v>2166</v>
      </c>
      <c r="CY5" t="s">
        <v>2166</v>
      </c>
      <c r="CZ5" t="s">
        <v>2166</v>
      </c>
      <c r="DA5" t="s">
        <v>591</v>
      </c>
      <c r="DB5" t="s">
        <v>2166</v>
      </c>
      <c r="DC5" t="s">
        <v>2166</v>
      </c>
      <c r="DD5" t="s">
        <v>2166</v>
      </c>
      <c r="DE5" t="s">
        <v>2166</v>
      </c>
      <c r="DF5" t="s">
        <v>2166</v>
      </c>
      <c r="DG5" t="s">
        <v>2166</v>
      </c>
      <c r="DH5" t="s">
        <v>2166</v>
      </c>
      <c r="DI5" t="s">
        <v>583</v>
      </c>
    </row>
    <row r="6" spans="1:113" x14ac:dyDescent="0.2">
      <c r="A6" t="s">
        <v>429</v>
      </c>
      <c r="B6" t="s">
        <v>440</v>
      </c>
      <c r="C6" t="s">
        <v>83</v>
      </c>
      <c r="D6" t="s">
        <v>609</v>
      </c>
      <c r="E6" t="s">
        <v>620</v>
      </c>
      <c r="F6" t="s">
        <v>72</v>
      </c>
      <c r="G6" t="s">
        <v>474</v>
      </c>
      <c r="H6" t="s">
        <v>485</v>
      </c>
      <c r="I6" t="s">
        <v>96</v>
      </c>
      <c r="J6" t="s">
        <v>523</v>
      </c>
      <c r="K6" t="s">
        <v>545</v>
      </c>
      <c r="L6" t="s">
        <v>2166</v>
      </c>
      <c r="M6" t="s">
        <v>289</v>
      </c>
      <c r="N6" t="s">
        <v>500</v>
      </c>
      <c r="O6" t="s">
        <v>322</v>
      </c>
      <c r="P6" t="s">
        <v>252</v>
      </c>
      <c r="Q6" t="s">
        <v>399</v>
      </c>
      <c r="R6" t="s">
        <v>378</v>
      </c>
      <c r="S6" t="s">
        <v>367</v>
      </c>
      <c r="T6" t="s">
        <v>107</v>
      </c>
      <c r="U6" t="s">
        <v>2166</v>
      </c>
      <c r="V6" t="s">
        <v>534</v>
      </c>
      <c r="W6" t="s">
        <v>556</v>
      </c>
      <c r="X6" t="s">
        <v>511</v>
      </c>
      <c r="Y6" t="s">
        <v>301</v>
      </c>
      <c r="Z6" t="s">
        <v>263</v>
      </c>
      <c r="AA6" t="s">
        <v>388</v>
      </c>
      <c r="AB6" t="s">
        <v>475</v>
      </c>
      <c r="AC6" t="s">
        <v>2166</v>
      </c>
      <c r="AD6" t="s">
        <v>2166</v>
      </c>
      <c r="AE6" t="s">
        <v>278</v>
      </c>
      <c r="AF6" t="s">
        <v>97</v>
      </c>
      <c r="AG6" t="s">
        <v>524</v>
      </c>
      <c r="AH6" t="s">
        <v>2166</v>
      </c>
      <c r="AI6" t="s">
        <v>312</v>
      </c>
      <c r="AJ6" t="s">
        <v>546</v>
      </c>
      <c r="AK6" t="s">
        <v>2166</v>
      </c>
      <c r="AL6" t="s">
        <v>290</v>
      </c>
      <c r="AM6" t="s">
        <v>2166</v>
      </c>
      <c r="AN6" t="s">
        <v>333</v>
      </c>
      <c r="AO6" t="s">
        <v>323</v>
      </c>
      <c r="AP6" t="s">
        <v>2166</v>
      </c>
      <c r="AQ6" t="s">
        <v>253</v>
      </c>
      <c r="AR6" t="s">
        <v>2166</v>
      </c>
      <c r="AS6" t="s">
        <v>400</v>
      </c>
      <c r="AT6" t="s">
        <v>370</v>
      </c>
      <c r="AU6" t="s">
        <v>2166</v>
      </c>
      <c r="AV6" t="s">
        <v>2166</v>
      </c>
      <c r="AW6" t="s">
        <v>359</v>
      </c>
      <c r="AX6" t="s">
        <v>2166</v>
      </c>
      <c r="AY6" t="s">
        <v>2166</v>
      </c>
      <c r="AZ6" t="s">
        <v>2166</v>
      </c>
      <c r="BA6" t="s">
        <v>2166</v>
      </c>
      <c r="BB6" t="s">
        <v>2166</v>
      </c>
      <c r="BC6" t="s">
        <v>264</v>
      </c>
      <c r="BD6" t="s">
        <v>389</v>
      </c>
      <c r="BE6" t="s">
        <v>2166</v>
      </c>
      <c r="BF6" t="s">
        <v>2166</v>
      </c>
      <c r="BG6" t="s">
        <v>2166</v>
      </c>
      <c r="BH6" t="s">
        <v>2166</v>
      </c>
      <c r="BI6" t="s">
        <v>2166</v>
      </c>
      <c r="BJ6" t="s">
        <v>2166</v>
      </c>
      <c r="BK6" t="s">
        <v>2166</v>
      </c>
      <c r="BL6" t="s">
        <v>2166</v>
      </c>
      <c r="BM6" t="s">
        <v>2166</v>
      </c>
      <c r="BN6" t="s">
        <v>2166</v>
      </c>
      <c r="BO6" t="s">
        <v>304</v>
      </c>
      <c r="BP6" t="s">
        <v>2166</v>
      </c>
      <c r="BQ6" t="s">
        <v>2166</v>
      </c>
      <c r="BR6" t="s">
        <v>334</v>
      </c>
      <c r="BS6" t="s">
        <v>2166</v>
      </c>
      <c r="BT6" t="s">
        <v>2166</v>
      </c>
      <c r="BU6" t="s">
        <v>2166</v>
      </c>
      <c r="BV6" t="s">
        <v>2166</v>
      </c>
      <c r="BW6" t="s">
        <v>2166</v>
      </c>
      <c r="BX6" t="s">
        <v>2166</v>
      </c>
      <c r="BY6" t="s">
        <v>2166</v>
      </c>
      <c r="BZ6" t="s">
        <v>2166</v>
      </c>
      <c r="CA6" t="s">
        <v>2166</v>
      </c>
      <c r="CB6" t="s">
        <v>2166</v>
      </c>
      <c r="CC6" t="s">
        <v>2166</v>
      </c>
      <c r="CD6" t="s">
        <v>2166</v>
      </c>
      <c r="CE6" t="s">
        <v>2166</v>
      </c>
      <c r="CF6" t="s">
        <v>2166</v>
      </c>
      <c r="CG6" t="s">
        <v>2166</v>
      </c>
      <c r="CH6" t="s">
        <v>2166</v>
      </c>
      <c r="CI6" t="s">
        <v>2166</v>
      </c>
      <c r="CJ6" t="s">
        <v>2166</v>
      </c>
      <c r="CK6" t="s">
        <v>2166</v>
      </c>
      <c r="CL6" t="s">
        <v>2166</v>
      </c>
      <c r="CM6" t="s">
        <v>2166</v>
      </c>
      <c r="CN6" t="s">
        <v>2166</v>
      </c>
      <c r="CO6" t="s">
        <v>2166</v>
      </c>
      <c r="CP6" t="s">
        <v>2166</v>
      </c>
      <c r="CQ6" t="s">
        <v>2166</v>
      </c>
      <c r="CR6" t="s">
        <v>2166</v>
      </c>
      <c r="CS6" t="s">
        <v>2166</v>
      </c>
      <c r="CT6" t="s">
        <v>2166</v>
      </c>
      <c r="CU6" t="s">
        <v>2166</v>
      </c>
      <c r="CV6" t="s">
        <v>2166</v>
      </c>
      <c r="CW6" t="s">
        <v>2166</v>
      </c>
      <c r="CX6" t="s">
        <v>2166</v>
      </c>
      <c r="CY6" t="s">
        <v>2166</v>
      </c>
      <c r="CZ6" t="s">
        <v>2166</v>
      </c>
      <c r="DA6" t="s">
        <v>2166</v>
      </c>
      <c r="DB6" t="s">
        <v>2166</v>
      </c>
      <c r="DC6" t="s">
        <v>2166</v>
      </c>
      <c r="DD6" t="s">
        <v>2166</v>
      </c>
      <c r="DE6" t="s">
        <v>2166</v>
      </c>
      <c r="DF6" t="s">
        <v>2166</v>
      </c>
      <c r="DG6" t="s">
        <v>2166</v>
      </c>
      <c r="DH6" t="s">
        <v>2166</v>
      </c>
      <c r="DI6" t="s">
        <v>2166</v>
      </c>
    </row>
    <row r="7" spans="1:113" x14ac:dyDescent="0.2">
      <c r="A7" t="s">
        <v>441</v>
      </c>
      <c r="B7" t="s">
        <v>430</v>
      </c>
      <c r="C7" t="s">
        <v>73</v>
      </c>
      <c r="D7" t="s">
        <v>621</v>
      </c>
      <c r="E7" t="s">
        <v>610</v>
      </c>
      <c r="F7" t="s">
        <v>84</v>
      </c>
      <c r="G7" t="s">
        <v>486</v>
      </c>
      <c r="H7" t="s">
        <v>501</v>
      </c>
      <c r="I7" t="s">
        <v>108</v>
      </c>
      <c r="J7" t="s">
        <v>535</v>
      </c>
      <c r="K7" t="s">
        <v>557</v>
      </c>
      <c r="L7" t="s">
        <v>2166</v>
      </c>
      <c r="M7" t="s">
        <v>279</v>
      </c>
      <c r="N7" t="s">
        <v>512</v>
      </c>
      <c r="O7" t="s">
        <v>293</v>
      </c>
      <c r="P7" t="s">
        <v>282</v>
      </c>
      <c r="Q7" t="s">
        <v>315</v>
      </c>
      <c r="R7" t="s">
        <v>2166</v>
      </c>
      <c r="S7" t="s">
        <v>2166</v>
      </c>
      <c r="T7" t="s">
        <v>98</v>
      </c>
      <c r="U7" t="s">
        <v>2166</v>
      </c>
      <c r="V7" t="s">
        <v>525</v>
      </c>
      <c r="W7" t="s">
        <v>547</v>
      </c>
      <c r="X7" t="s">
        <v>476</v>
      </c>
      <c r="Y7" t="s">
        <v>2166</v>
      </c>
      <c r="Z7" t="s">
        <v>245</v>
      </c>
      <c r="AA7" t="s">
        <v>392</v>
      </c>
      <c r="AB7" t="s">
        <v>487</v>
      </c>
      <c r="AC7" t="s">
        <v>2166</v>
      </c>
      <c r="AD7" t="s">
        <v>2166</v>
      </c>
      <c r="AE7" t="s">
        <v>256</v>
      </c>
      <c r="AF7" t="s">
        <v>109</v>
      </c>
      <c r="AG7" t="s">
        <v>536</v>
      </c>
      <c r="AH7" t="s">
        <v>2166</v>
      </c>
      <c r="AI7" t="s">
        <v>326</v>
      </c>
      <c r="AJ7" t="s">
        <v>558</v>
      </c>
      <c r="AK7" t="s">
        <v>2166</v>
      </c>
      <c r="AL7" t="s">
        <v>271</v>
      </c>
      <c r="AM7" t="s">
        <v>2166</v>
      </c>
      <c r="AN7" t="s">
        <v>381</v>
      </c>
      <c r="AO7" t="s">
        <v>2166</v>
      </c>
      <c r="AP7" t="s">
        <v>2166</v>
      </c>
      <c r="AQ7" t="s">
        <v>2166</v>
      </c>
      <c r="AR7" t="s">
        <v>2166</v>
      </c>
      <c r="AS7" t="s">
        <v>2166</v>
      </c>
      <c r="AT7" t="s">
        <v>2166</v>
      </c>
      <c r="AU7" t="s">
        <v>2166</v>
      </c>
      <c r="AV7" t="s">
        <v>2166</v>
      </c>
      <c r="AW7" t="s">
        <v>2166</v>
      </c>
      <c r="AX7" t="s">
        <v>2166</v>
      </c>
      <c r="AY7" t="s">
        <v>2166</v>
      </c>
      <c r="AZ7" t="s">
        <v>2166</v>
      </c>
      <c r="BA7" t="s">
        <v>2166</v>
      </c>
      <c r="BB7" t="s">
        <v>2166</v>
      </c>
      <c r="BC7" t="s">
        <v>2166</v>
      </c>
      <c r="BD7" t="s">
        <v>2166</v>
      </c>
      <c r="BE7" t="s">
        <v>2166</v>
      </c>
      <c r="BF7" t="s">
        <v>2166</v>
      </c>
      <c r="BG7" t="s">
        <v>2166</v>
      </c>
      <c r="BH7" t="s">
        <v>2166</v>
      </c>
      <c r="BI7" t="s">
        <v>2166</v>
      </c>
      <c r="BJ7" t="s">
        <v>2166</v>
      </c>
      <c r="BK7" t="s">
        <v>2166</v>
      </c>
      <c r="BL7" t="s">
        <v>2166</v>
      </c>
      <c r="BM7" t="s">
        <v>2166</v>
      </c>
      <c r="BN7" t="s">
        <v>2166</v>
      </c>
      <c r="BO7" t="s">
        <v>2166</v>
      </c>
      <c r="BP7" t="s">
        <v>2166</v>
      </c>
      <c r="BQ7" t="s">
        <v>2166</v>
      </c>
      <c r="BR7" t="s">
        <v>2166</v>
      </c>
      <c r="BS7" t="s">
        <v>2166</v>
      </c>
      <c r="BT7" t="s">
        <v>2166</v>
      </c>
      <c r="BU7" t="s">
        <v>2166</v>
      </c>
      <c r="BV7" t="s">
        <v>2166</v>
      </c>
      <c r="BW7" t="s">
        <v>2166</v>
      </c>
      <c r="BX7" t="s">
        <v>2166</v>
      </c>
      <c r="BY7" t="s">
        <v>2166</v>
      </c>
      <c r="BZ7" t="s">
        <v>2166</v>
      </c>
      <c r="CA7" t="s">
        <v>2166</v>
      </c>
      <c r="CB7" t="s">
        <v>2166</v>
      </c>
      <c r="CC7" t="s">
        <v>2166</v>
      </c>
      <c r="CD7" t="s">
        <v>2166</v>
      </c>
      <c r="CE7" t="s">
        <v>2166</v>
      </c>
      <c r="CF7" t="s">
        <v>2166</v>
      </c>
      <c r="CG7" t="s">
        <v>2166</v>
      </c>
      <c r="CH7" t="s">
        <v>2166</v>
      </c>
      <c r="CI7" t="s">
        <v>2166</v>
      </c>
      <c r="CJ7" t="s">
        <v>2166</v>
      </c>
      <c r="CK7" t="s">
        <v>2166</v>
      </c>
      <c r="CL7" t="s">
        <v>2166</v>
      </c>
      <c r="CM7" t="s">
        <v>2166</v>
      </c>
      <c r="CN7" t="s">
        <v>2166</v>
      </c>
      <c r="CO7" t="s">
        <v>2166</v>
      </c>
      <c r="CP7" t="s">
        <v>2166</v>
      </c>
      <c r="CQ7" t="s">
        <v>2166</v>
      </c>
      <c r="CR7" t="s">
        <v>2166</v>
      </c>
      <c r="CS7" t="s">
        <v>2166</v>
      </c>
      <c r="CT7" t="s">
        <v>2166</v>
      </c>
      <c r="CU7" t="s">
        <v>2166</v>
      </c>
      <c r="CV7" t="s">
        <v>2166</v>
      </c>
      <c r="CW7" t="s">
        <v>2166</v>
      </c>
      <c r="CX7" t="s">
        <v>2166</v>
      </c>
      <c r="CY7" t="s">
        <v>2166</v>
      </c>
      <c r="CZ7" t="s">
        <v>2166</v>
      </c>
      <c r="DA7" t="s">
        <v>2166</v>
      </c>
      <c r="DB7" t="s">
        <v>2166</v>
      </c>
      <c r="DC7" t="s">
        <v>2166</v>
      </c>
      <c r="DD7" t="s">
        <v>2166</v>
      </c>
      <c r="DE7" t="s">
        <v>2166</v>
      </c>
      <c r="DF7" t="s">
        <v>2166</v>
      </c>
      <c r="DG7" t="s">
        <v>2166</v>
      </c>
      <c r="DH7" t="s">
        <v>2166</v>
      </c>
      <c r="DI7" t="s">
        <v>2166</v>
      </c>
    </row>
    <row r="8" spans="1:113" x14ac:dyDescent="0.2">
      <c r="A8" t="s">
        <v>431</v>
      </c>
      <c r="B8" t="s">
        <v>442</v>
      </c>
      <c r="C8" t="s">
        <v>85</v>
      </c>
      <c r="D8" t="s">
        <v>611</v>
      </c>
      <c r="E8" t="s">
        <v>622</v>
      </c>
      <c r="F8" t="s">
        <v>74</v>
      </c>
      <c r="G8" t="s">
        <v>502</v>
      </c>
      <c r="H8" t="s">
        <v>513</v>
      </c>
      <c r="I8" t="s">
        <v>90</v>
      </c>
      <c r="J8" t="s">
        <v>517</v>
      </c>
      <c r="K8" t="s">
        <v>539</v>
      </c>
      <c r="L8" t="s">
        <v>2166</v>
      </c>
      <c r="M8" t="s">
        <v>2166</v>
      </c>
      <c r="N8" t="s">
        <v>477</v>
      </c>
      <c r="O8" t="s">
        <v>2166</v>
      </c>
      <c r="P8" t="s">
        <v>2166</v>
      </c>
      <c r="Q8" t="s">
        <v>2166</v>
      </c>
      <c r="R8" t="s">
        <v>2166</v>
      </c>
      <c r="S8" t="s">
        <v>2166</v>
      </c>
      <c r="T8" t="s">
        <v>101</v>
      </c>
      <c r="U8" t="s">
        <v>2166</v>
      </c>
      <c r="V8" t="s">
        <v>528</v>
      </c>
      <c r="W8" t="s">
        <v>550</v>
      </c>
      <c r="X8" t="s">
        <v>488</v>
      </c>
      <c r="Y8" t="s">
        <v>2166</v>
      </c>
      <c r="Z8" t="s">
        <v>2166</v>
      </c>
      <c r="AA8" t="s">
        <v>2166</v>
      </c>
      <c r="AB8" t="s">
        <v>503</v>
      </c>
      <c r="AC8" t="s">
        <v>2166</v>
      </c>
      <c r="AD8" t="s">
        <v>2166</v>
      </c>
      <c r="AE8" t="s">
        <v>2166</v>
      </c>
      <c r="AF8" t="s">
        <v>2166</v>
      </c>
      <c r="AG8" t="s">
        <v>2166</v>
      </c>
      <c r="AH8" t="s">
        <v>2166</v>
      </c>
      <c r="AI8" t="s">
        <v>2166</v>
      </c>
      <c r="AJ8" t="s">
        <v>2166</v>
      </c>
      <c r="AK8" t="s">
        <v>2166</v>
      </c>
      <c r="AL8" t="s">
        <v>2166</v>
      </c>
      <c r="AM8" t="s">
        <v>2166</v>
      </c>
      <c r="AN8" t="s">
        <v>2166</v>
      </c>
      <c r="AO8" t="s">
        <v>2166</v>
      </c>
      <c r="AP8" t="s">
        <v>2166</v>
      </c>
      <c r="AQ8" t="s">
        <v>2166</v>
      </c>
      <c r="AR8" t="s">
        <v>2166</v>
      </c>
      <c r="AS8" t="s">
        <v>2166</v>
      </c>
      <c r="AT8" t="s">
        <v>2166</v>
      </c>
      <c r="AU8" t="s">
        <v>2166</v>
      </c>
      <c r="AV8" t="s">
        <v>2166</v>
      </c>
      <c r="AW8" t="s">
        <v>2166</v>
      </c>
      <c r="AX8" t="s">
        <v>2166</v>
      </c>
      <c r="AY8" t="s">
        <v>2166</v>
      </c>
      <c r="AZ8" t="s">
        <v>2166</v>
      </c>
      <c r="BA8" t="s">
        <v>2166</v>
      </c>
      <c r="BB8" t="s">
        <v>2166</v>
      </c>
      <c r="BC8" t="s">
        <v>2166</v>
      </c>
      <c r="BD8" t="s">
        <v>2166</v>
      </c>
      <c r="BE8" t="s">
        <v>2166</v>
      </c>
      <c r="BF8" t="s">
        <v>2166</v>
      </c>
      <c r="BG8" t="s">
        <v>2166</v>
      </c>
      <c r="BH8" t="s">
        <v>2166</v>
      </c>
      <c r="BI8" t="s">
        <v>2166</v>
      </c>
      <c r="BJ8" t="s">
        <v>2166</v>
      </c>
      <c r="BK8" t="s">
        <v>2166</v>
      </c>
      <c r="BL8" t="s">
        <v>2166</v>
      </c>
      <c r="BM8" t="s">
        <v>2166</v>
      </c>
      <c r="BN8" t="s">
        <v>2166</v>
      </c>
      <c r="BO8" t="s">
        <v>2166</v>
      </c>
      <c r="BP8" t="s">
        <v>2166</v>
      </c>
      <c r="BQ8" t="s">
        <v>2166</v>
      </c>
      <c r="BR8" t="s">
        <v>2166</v>
      </c>
      <c r="BS8" t="s">
        <v>2166</v>
      </c>
      <c r="BT8" t="s">
        <v>2166</v>
      </c>
      <c r="BU8" t="s">
        <v>2166</v>
      </c>
      <c r="BV8" t="s">
        <v>2166</v>
      </c>
      <c r="BW8" t="s">
        <v>2166</v>
      </c>
      <c r="BX8" t="s">
        <v>2166</v>
      </c>
      <c r="BY8" t="s">
        <v>2166</v>
      </c>
      <c r="BZ8" t="s">
        <v>2166</v>
      </c>
      <c r="CA8" t="s">
        <v>2166</v>
      </c>
      <c r="CB8" t="s">
        <v>2166</v>
      </c>
      <c r="CC8" t="s">
        <v>2166</v>
      </c>
      <c r="CD8" t="s">
        <v>2166</v>
      </c>
      <c r="CE8" t="s">
        <v>2166</v>
      </c>
      <c r="CF8" t="s">
        <v>2166</v>
      </c>
      <c r="CG8" t="s">
        <v>2166</v>
      </c>
      <c r="CH8" t="s">
        <v>2166</v>
      </c>
      <c r="CI8" t="s">
        <v>2166</v>
      </c>
      <c r="CJ8" t="s">
        <v>2166</v>
      </c>
      <c r="CK8" t="s">
        <v>2166</v>
      </c>
      <c r="CL8" t="s">
        <v>2166</v>
      </c>
      <c r="CM8" t="s">
        <v>2166</v>
      </c>
      <c r="CN8" t="s">
        <v>2166</v>
      </c>
      <c r="CO8" t="s">
        <v>2166</v>
      </c>
      <c r="CP8" t="s">
        <v>2166</v>
      </c>
      <c r="CQ8" t="s">
        <v>2166</v>
      </c>
      <c r="CR8" t="s">
        <v>2166</v>
      </c>
      <c r="CS8" t="s">
        <v>2166</v>
      </c>
      <c r="CT8" t="s">
        <v>2166</v>
      </c>
      <c r="CU8" t="s">
        <v>2166</v>
      </c>
      <c r="CV8" t="s">
        <v>2166</v>
      </c>
      <c r="CW8" t="s">
        <v>2166</v>
      </c>
      <c r="CX8" t="s">
        <v>2166</v>
      </c>
      <c r="CY8" t="s">
        <v>2166</v>
      </c>
      <c r="CZ8" t="s">
        <v>2166</v>
      </c>
      <c r="DA8" t="s">
        <v>2166</v>
      </c>
      <c r="DB8" t="s">
        <v>2166</v>
      </c>
      <c r="DC8" t="s">
        <v>2166</v>
      </c>
      <c r="DD8" t="s">
        <v>2166</v>
      </c>
      <c r="DE8" t="s">
        <v>2166</v>
      </c>
      <c r="DF8" t="s">
        <v>2166</v>
      </c>
      <c r="DG8" t="s">
        <v>2166</v>
      </c>
      <c r="DH8" t="s">
        <v>2166</v>
      </c>
      <c r="DI8" t="s">
        <v>2166</v>
      </c>
    </row>
    <row r="9" spans="1:113" x14ac:dyDescent="0.2">
      <c r="A9" t="s">
        <v>443</v>
      </c>
      <c r="B9" t="s">
        <v>432</v>
      </c>
      <c r="C9" t="s">
        <v>75</v>
      </c>
      <c r="D9" t="s">
        <v>623</v>
      </c>
      <c r="E9" t="s">
        <v>612</v>
      </c>
      <c r="F9" t="s">
        <v>86</v>
      </c>
      <c r="G9" t="s">
        <v>514</v>
      </c>
      <c r="H9" t="s">
        <v>469</v>
      </c>
      <c r="I9" t="s">
        <v>2166</v>
      </c>
      <c r="J9" t="s">
        <v>2166</v>
      </c>
      <c r="K9" t="s">
        <v>2166</v>
      </c>
      <c r="L9" t="s">
        <v>2166</v>
      </c>
      <c r="M9" t="s">
        <v>2166</v>
      </c>
      <c r="N9" t="s">
        <v>480</v>
      </c>
      <c r="O9" t="s">
        <v>2166</v>
      </c>
      <c r="P9" t="s">
        <v>2166</v>
      </c>
      <c r="Q9" t="s">
        <v>2166</v>
      </c>
      <c r="R9" t="s">
        <v>2166</v>
      </c>
      <c r="S9" t="s">
        <v>2166</v>
      </c>
      <c r="T9" t="s">
        <v>2166</v>
      </c>
      <c r="U9" t="s">
        <v>2166</v>
      </c>
      <c r="V9" t="s">
        <v>2166</v>
      </c>
      <c r="W9" t="s">
        <v>2166</v>
      </c>
      <c r="X9" t="s">
        <v>495</v>
      </c>
      <c r="Y9" t="s">
        <v>2166</v>
      </c>
      <c r="Z9" t="s">
        <v>2166</v>
      </c>
      <c r="AA9" t="s">
        <v>2166</v>
      </c>
      <c r="AB9" t="s">
        <v>506</v>
      </c>
      <c r="AC9" t="s">
        <v>2166</v>
      </c>
      <c r="AD9" t="s">
        <v>2166</v>
      </c>
      <c r="AE9" t="s">
        <v>2166</v>
      </c>
      <c r="AF9" t="s">
        <v>2166</v>
      </c>
      <c r="AG9" t="s">
        <v>2166</v>
      </c>
      <c r="AH9" t="s">
        <v>2166</v>
      </c>
      <c r="AI9" t="s">
        <v>2166</v>
      </c>
      <c r="AJ9" t="s">
        <v>2166</v>
      </c>
      <c r="AK9" t="s">
        <v>2166</v>
      </c>
      <c r="AL9" t="s">
        <v>2166</v>
      </c>
      <c r="AM9" t="s">
        <v>2166</v>
      </c>
      <c r="AN9" t="s">
        <v>2166</v>
      </c>
      <c r="AO9" t="s">
        <v>2166</v>
      </c>
      <c r="AP9" t="s">
        <v>2166</v>
      </c>
      <c r="AQ9" t="s">
        <v>2166</v>
      </c>
      <c r="AR9" t="s">
        <v>2166</v>
      </c>
      <c r="AS9" t="s">
        <v>2166</v>
      </c>
      <c r="AT9" t="s">
        <v>2166</v>
      </c>
      <c r="AU9" t="s">
        <v>2166</v>
      </c>
      <c r="AV9" t="s">
        <v>2166</v>
      </c>
      <c r="AW9" t="s">
        <v>2166</v>
      </c>
      <c r="AX9" t="s">
        <v>2166</v>
      </c>
      <c r="AY9" t="s">
        <v>2166</v>
      </c>
      <c r="AZ9" t="s">
        <v>2166</v>
      </c>
      <c r="BA9" t="s">
        <v>2166</v>
      </c>
      <c r="BB9" t="s">
        <v>2166</v>
      </c>
      <c r="BC9" t="s">
        <v>2166</v>
      </c>
      <c r="BD9" t="s">
        <v>2166</v>
      </c>
      <c r="BE9" t="s">
        <v>2166</v>
      </c>
      <c r="BF9" t="s">
        <v>2166</v>
      </c>
      <c r="BG9" t="s">
        <v>2166</v>
      </c>
      <c r="BH9" t="s">
        <v>2166</v>
      </c>
      <c r="BI9" t="s">
        <v>2166</v>
      </c>
      <c r="BJ9" t="s">
        <v>2166</v>
      </c>
      <c r="BK9" t="s">
        <v>2166</v>
      </c>
      <c r="BL9" t="s">
        <v>2166</v>
      </c>
      <c r="BM9" t="s">
        <v>2166</v>
      </c>
      <c r="BN9" t="s">
        <v>2166</v>
      </c>
      <c r="BO9" t="s">
        <v>2166</v>
      </c>
      <c r="BP9" t="s">
        <v>2166</v>
      </c>
      <c r="BQ9" t="s">
        <v>2166</v>
      </c>
      <c r="BR9" t="s">
        <v>2166</v>
      </c>
      <c r="BS9" t="s">
        <v>2166</v>
      </c>
      <c r="BT9" t="s">
        <v>2166</v>
      </c>
      <c r="BU9" t="s">
        <v>2166</v>
      </c>
      <c r="BV9" t="s">
        <v>2166</v>
      </c>
      <c r="BW9" t="s">
        <v>2166</v>
      </c>
      <c r="BX9" t="s">
        <v>2166</v>
      </c>
      <c r="BY9" t="s">
        <v>2166</v>
      </c>
      <c r="BZ9" t="s">
        <v>2166</v>
      </c>
      <c r="CA9" t="s">
        <v>2166</v>
      </c>
      <c r="CB9" t="s">
        <v>2166</v>
      </c>
      <c r="CC9" t="s">
        <v>2166</v>
      </c>
      <c r="CD9" t="s">
        <v>2166</v>
      </c>
      <c r="CE9" t="s">
        <v>2166</v>
      </c>
      <c r="CF9" t="s">
        <v>2166</v>
      </c>
      <c r="CG9" t="s">
        <v>2166</v>
      </c>
      <c r="CH9" t="s">
        <v>2166</v>
      </c>
      <c r="CI9" t="s">
        <v>2166</v>
      </c>
      <c r="CJ9" t="s">
        <v>2166</v>
      </c>
      <c r="CK9" t="s">
        <v>2166</v>
      </c>
      <c r="CL9" t="s">
        <v>2166</v>
      </c>
      <c r="CM9" t="s">
        <v>2166</v>
      </c>
      <c r="CN9" t="s">
        <v>2166</v>
      </c>
      <c r="CO9" t="s">
        <v>2166</v>
      </c>
      <c r="CP9" t="s">
        <v>2166</v>
      </c>
      <c r="CQ9" t="s">
        <v>2166</v>
      </c>
      <c r="CR9" t="s">
        <v>2166</v>
      </c>
      <c r="CS9" t="s">
        <v>2166</v>
      </c>
      <c r="CT9" t="s">
        <v>2166</v>
      </c>
      <c r="CU9" t="s">
        <v>2166</v>
      </c>
      <c r="CV9" t="s">
        <v>2166</v>
      </c>
      <c r="CW9" t="s">
        <v>2166</v>
      </c>
      <c r="CX9" t="s">
        <v>2166</v>
      </c>
      <c r="CY9" t="s">
        <v>2166</v>
      </c>
      <c r="CZ9" t="s">
        <v>2166</v>
      </c>
      <c r="DA9" t="s">
        <v>2166</v>
      </c>
      <c r="DB9" t="s">
        <v>2166</v>
      </c>
      <c r="DC9" t="s">
        <v>2166</v>
      </c>
      <c r="DD9" t="s">
        <v>2166</v>
      </c>
      <c r="DE9" t="s">
        <v>2166</v>
      </c>
      <c r="DF9" t="s">
        <v>2166</v>
      </c>
      <c r="DG9" t="s">
        <v>2166</v>
      </c>
      <c r="DH9" t="s">
        <v>2166</v>
      </c>
      <c r="DI9" t="s">
        <v>2166</v>
      </c>
    </row>
    <row r="10" spans="1:113" x14ac:dyDescent="0.2">
      <c r="A10" t="s">
        <v>433</v>
      </c>
      <c r="B10" t="s">
        <v>444</v>
      </c>
      <c r="C10" t="s">
        <v>87</v>
      </c>
      <c r="D10" t="s">
        <v>613</v>
      </c>
      <c r="E10" t="s">
        <v>624</v>
      </c>
      <c r="F10" t="s">
        <v>76</v>
      </c>
      <c r="G10" t="s">
        <v>2166</v>
      </c>
      <c r="H10" t="s">
        <v>2166</v>
      </c>
      <c r="I10" t="s">
        <v>2166</v>
      </c>
      <c r="J10" t="s">
        <v>2166</v>
      </c>
      <c r="K10" t="s">
        <v>2166</v>
      </c>
      <c r="L10" t="s">
        <v>2166</v>
      </c>
      <c r="M10" t="s">
        <v>2166</v>
      </c>
      <c r="N10" t="s">
        <v>2166</v>
      </c>
      <c r="O10" t="s">
        <v>2166</v>
      </c>
      <c r="P10" t="s">
        <v>2166</v>
      </c>
      <c r="Q10" t="s">
        <v>2166</v>
      </c>
      <c r="R10" t="s">
        <v>2166</v>
      </c>
      <c r="S10" t="s">
        <v>2166</v>
      </c>
      <c r="T10" t="s">
        <v>2166</v>
      </c>
      <c r="U10" t="s">
        <v>2166</v>
      </c>
      <c r="V10" t="s">
        <v>2166</v>
      </c>
      <c r="W10" t="s">
        <v>2166</v>
      </c>
      <c r="X10" t="s">
        <v>2166</v>
      </c>
      <c r="Y10" t="s">
        <v>2166</v>
      </c>
      <c r="Z10" t="s">
        <v>2166</v>
      </c>
      <c r="AA10" t="s">
        <v>2166</v>
      </c>
      <c r="AB10" t="s">
        <v>2166</v>
      </c>
      <c r="AC10" t="s">
        <v>2166</v>
      </c>
      <c r="AD10" t="s">
        <v>2166</v>
      </c>
      <c r="AE10" t="s">
        <v>2166</v>
      </c>
      <c r="AF10" t="s">
        <v>2166</v>
      </c>
      <c r="AG10" t="s">
        <v>2166</v>
      </c>
      <c r="AH10" t="s">
        <v>2166</v>
      </c>
      <c r="AI10" t="s">
        <v>2166</v>
      </c>
      <c r="AJ10" t="s">
        <v>2166</v>
      </c>
      <c r="AK10" t="s">
        <v>2166</v>
      </c>
      <c r="AL10" t="s">
        <v>2166</v>
      </c>
      <c r="AM10" t="s">
        <v>2166</v>
      </c>
      <c r="AN10" t="s">
        <v>2166</v>
      </c>
      <c r="AO10" t="s">
        <v>2166</v>
      </c>
      <c r="AP10" t="s">
        <v>2166</v>
      </c>
      <c r="AQ10" t="s">
        <v>2166</v>
      </c>
      <c r="AR10" t="s">
        <v>2166</v>
      </c>
      <c r="AS10" t="s">
        <v>2166</v>
      </c>
      <c r="AT10" t="s">
        <v>2166</v>
      </c>
      <c r="AU10" t="s">
        <v>2166</v>
      </c>
      <c r="AV10" t="s">
        <v>2166</v>
      </c>
      <c r="AW10" t="s">
        <v>2166</v>
      </c>
      <c r="AX10" t="s">
        <v>2166</v>
      </c>
      <c r="AY10" t="s">
        <v>2166</v>
      </c>
      <c r="AZ10" t="s">
        <v>2166</v>
      </c>
      <c r="BA10" t="s">
        <v>2166</v>
      </c>
      <c r="BB10" t="s">
        <v>2166</v>
      </c>
      <c r="BC10" t="s">
        <v>2166</v>
      </c>
      <c r="BD10" t="s">
        <v>2166</v>
      </c>
      <c r="BE10" t="s">
        <v>2166</v>
      </c>
      <c r="BF10" t="s">
        <v>2166</v>
      </c>
      <c r="BG10" t="s">
        <v>2166</v>
      </c>
      <c r="BH10" t="s">
        <v>2166</v>
      </c>
      <c r="BI10" t="s">
        <v>2166</v>
      </c>
      <c r="BJ10" t="s">
        <v>2166</v>
      </c>
      <c r="BK10" t="s">
        <v>2166</v>
      </c>
      <c r="BL10" t="s">
        <v>2166</v>
      </c>
      <c r="BM10" t="s">
        <v>2166</v>
      </c>
      <c r="BN10" t="s">
        <v>2166</v>
      </c>
      <c r="BO10" t="s">
        <v>2166</v>
      </c>
      <c r="BP10" t="s">
        <v>2166</v>
      </c>
      <c r="BQ10" t="s">
        <v>2166</v>
      </c>
      <c r="BR10" t="s">
        <v>2166</v>
      </c>
      <c r="BS10" t="s">
        <v>2166</v>
      </c>
      <c r="BT10" t="s">
        <v>2166</v>
      </c>
      <c r="BU10" t="s">
        <v>2166</v>
      </c>
      <c r="BV10" t="s">
        <v>2166</v>
      </c>
      <c r="BW10" t="s">
        <v>2166</v>
      </c>
      <c r="BX10" t="s">
        <v>2166</v>
      </c>
      <c r="BY10" t="s">
        <v>2166</v>
      </c>
      <c r="BZ10" t="s">
        <v>2166</v>
      </c>
      <c r="CA10" t="s">
        <v>2166</v>
      </c>
      <c r="CB10" t="s">
        <v>2166</v>
      </c>
      <c r="CC10" t="s">
        <v>2166</v>
      </c>
      <c r="CD10" t="s">
        <v>2166</v>
      </c>
      <c r="CE10" t="s">
        <v>2166</v>
      </c>
      <c r="CF10" t="s">
        <v>2166</v>
      </c>
      <c r="CG10" t="s">
        <v>2166</v>
      </c>
      <c r="CH10" t="s">
        <v>2166</v>
      </c>
      <c r="CI10" t="s">
        <v>2166</v>
      </c>
      <c r="CJ10" t="s">
        <v>2166</v>
      </c>
      <c r="CK10" t="s">
        <v>2166</v>
      </c>
      <c r="CL10" t="s">
        <v>2166</v>
      </c>
      <c r="CM10" t="s">
        <v>2166</v>
      </c>
      <c r="CN10" t="s">
        <v>2166</v>
      </c>
      <c r="CO10" t="s">
        <v>2166</v>
      </c>
      <c r="CP10" t="s">
        <v>2166</v>
      </c>
      <c r="CQ10" t="s">
        <v>2166</v>
      </c>
      <c r="CR10" t="s">
        <v>2166</v>
      </c>
      <c r="CS10" t="s">
        <v>2166</v>
      </c>
      <c r="CT10" t="s">
        <v>2166</v>
      </c>
      <c r="CU10" t="s">
        <v>2166</v>
      </c>
      <c r="CV10" t="s">
        <v>2166</v>
      </c>
      <c r="CW10" t="s">
        <v>2166</v>
      </c>
      <c r="CX10" t="s">
        <v>2166</v>
      </c>
      <c r="CY10" t="s">
        <v>2166</v>
      </c>
      <c r="CZ10" t="s">
        <v>2166</v>
      </c>
      <c r="DA10" t="s">
        <v>2166</v>
      </c>
      <c r="DB10" t="s">
        <v>2166</v>
      </c>
      <c r="DC10" t="s">
        <v>2166</v>
      </c>
      <c r="DD10" t="s">
        <v>2166</v>
      </c>
      <c r="DE10" t="s">
        <v>2166</v>
      </c>
      <c r="DF10" t="s">
        <v>2166</v>
      </c>
      <c r="DG10" t="s">
        <v>2166</v>
      </c>
      <c r="DH10" t="s">
        <v>2166</v>
      </c>
      <c r="DI10" t="s">
        <v>2166</v>
      </c>
    </row>
    <row r="11" spans="1:113" x14ac:dyDescent="0.2">
      <c r="A11" t="s">
        <v>436</v>
      </c>
      <c r="B11" t="s">
        <v>425</v>
      </c>
      <c r="C11" t="s">
        <v>68</v>
      </c>
      <c r="D11" t="s">
        <v>616</v>
      </c>
      <c r="E11" t="s">
        <v>605</v>
      </c>
      <c r="F11" t="s">
        <v>79</v>
      </c>
      <c r="G11" t="s">
        <v>2166</v>
      </c>
      <c r="H11" t="s">
        <v>2166</v>
      </c>
      <c r="I11" t="s">
        <v>2166</v>
      </c>
      <c r="J11" t="s">
        <v>2166</v>
      </c>
      <c r="K11" t="s">
        <v>2166</v>
      </c>
      <c r="L11" t="s">
        <v>2166</v>
      </c>
      <c r="M11" t="s">
        <v>2166</v>
      </c>
      <c r="N11" t="s">
        <v>2166</v>
      </c>
      <c r="O11" t="s">
        <v>2166</v>
      </c>
      <c r="P11" t="s">
        <v>2166</v>
      </c>
      <c r="Q11" t="s">
        <v>2166</v>
      </c>
      <c r="R11" t="s">
        <v>2166</v>
      </c>
      <c r="S11" t="s">
        <v>2166</v>
      </c>
      <c r="T11" t="s">
        <v>2166</v>
      </c>
      <c r="U11" t="s">
        <v>2166</v>
      </c>
      <c r="V11" t="s">
        <v>2166</v>
      </c>
      <c r="W11" t="s">
        <v>2166</v>
      </c>
      <c r="X11" t="s">
        <v>2166</v>
      </c>
      <c r="Y11" t="s">
        <v>2166</v>
      </c>
      <c r="Z11" t="s">
        <v>2166</v>
      </c>
      <c r="AA11" t="s">
        <v>2166</v>
      </c>
      <c r="AB11" t="s">
        <v>2166</v>
      </c>
      <c r="AC11" t="s">
        <v>2166</v>
      </c>
      <c r="AD11" t="s">
        <v>2166</v>
      </c>
      <c r="AE11" t="s">
        <v>2166</v>
      </c>
      <c r="AF11" t="s">
        <v>2166</v>
      </c>
      <c r="AG11" t="s">
        <v>2166</v>
      </c>
      <c r="AH11" t="s">
        <v>2166</v>
      </c>
      <c r="AI11" t="s">
        <v>2166</v>
      </c>
      <c r="AJ11" t="s">
        <v>2166</v>
      </c>
      <c r="AK11" t="s">
        <v>2166</v>
      </c>
      <c r="AL11" t="s">
        <v>2166</v>
      </c>
      <c r="AM11" t="s">
        <v>2166</v>
      </c>
      <c r="AN11" t="s">
        <v>2166</v>
      </c>
      <c r="AO11" t="s">
        <v>2166</v>
      </c>
      <c r="AP11" t="s">
        <v>2166</v>
      </c>
      <c r="AQ11" t="s">
        <v>2166</v>
      </c>
      <c r="AR11" t="s">
        <v>2166</v>
      </c>
      <c r="AS11" t="s">
        <v>2166</v>
      </c>
      <c r="AT11" t="s">
        <v>2166</v>
      </c>
      <c r="AU11" t="s">
        <v>2166</v>
      </c>
      <c r="AV11" t="s">
        <v>2166</v>
      </c>
      <c r="AW11" t="s">
        <v>2166</v>
      </c>
      <c r="AX11" t="s">
        <v>2166</v>
      </c>
      <c r="AY11" t="s">
        <v>2166</v>
      </c>
      <c r="AZ11" t="s">
        <v>2166</v>
      </c>
      <c r="BA11" t="s">
        <v>2166</v>
      </c>
      <c r="BB11" t="s">
        <v>2166</v>
      </c>
      <c r="BC11" t="s">
        <v>2166</v>
      </c>
      <c r="BD11" t="s">
        <v>2166</v>
      </c>
      <c r="BE11" t="s">
        <v>2166</v>
      </c>
      <c r="BF11" t="s">
        <v>2166</v>
      </c>
      <c r="BG11" t="s">
        <v>2166</v>
      </c>
      <c r="BH11" t="s">
        <v>2166</v>
      </c>
      <c r="BI11" t="s">
        <v>2166</v>
      </c>
      <c r="BJ11" t="s">
        <v>2166</v>
      </c>
      <c r="BK11" t="s">
        <v>2166</v>
      </c>
      <c r="BL11" t="s">
        <v>2166</v>
      </c>
      <c r="BM11" t="s">
        <v>2166</v>
      </c>
      <c r="BN11" t="s">
        <v>2166</v>
      </c>
      <c r="BO11" t="s">
        <v>2166</v>
      </c>
      <c r="BP11" t="s">
        <v>2166</v>
      </c>
      <c r="BQ11" t="s">
        <v>2166</v>
      </c>
      <c r="BR11" t="s">
        <v>2166</v>
      </c>
      <c r="BS11" t="s">
        <v>2166</v>
      </c>
      <c r="BT11" t="s">
        <v>2166</v>
      </c>
      <c r="BU11" t="s">
        <v>2166</v>
      </c>
      <c r="BV11" t="s">
        <v>2166</v>
      </c>
      <c r="BW11" t="s">
        <v>2166</v>
      </c>
      <c r="BX11" t="s">
        <v>2166</v>
      </c>
      <c r="BY11" t="s">
        <v>2166</v>
      </c>
      <c r="BZ11" t="s">
        <v>2166</v>
      </c>
      <c r="CA11" t="s">
        <v>2166</v>
      </c>
      <c r="CB11" t="s">
        <v>2166</v>
      </c>
      <c r="CC11" t="s">
        <v>2166</v>
      </c>
      <c r="CD11" t="s">
        <v>2166</v>
      </c>
      <c r="CE11" t="s">
        <v>2166</v>
      </c>
      <c r="CF11" t="s">
        <v>2166</v>
      </c>
      <c r="CG11" t="s">
        <v>2166</v>
      </c>
      <c r="CH11" t="s">
        <v>2166</v>
      </c>
      <c r="CI11" t="s">
        <v>2166</v>
      </c>
      <c r="CJ11" t="s">
        <v>2166</v>
      </c>
      <c r="CK11" t="s">
        <v>2166</v>
      </c>
      <c r="CL11" t="s">
        <v>2166</v>
      </c>
      <c r="CM11" t="s">
        <v>2166</v>
      </c>
      <c r="CN11" t="s">
        <v>2166</v>
      </c>
      <c r="CO11" t="s">
        <v>2166</v>
      </c>
      <c r="CP11" t="s">
        <v>2166</v>
      </c>
      <c r="CQ11" t="s">
        <v>2166</v>
      </c>
      <c r="CR11" t="s">
        <v>2166</v>
      </c>
      <c r="CS11" t="s">
        <v>2166</v>
      </c>
      <c r="CT11" t="s">
        <v>2166</v>
      </c>
      <c r="CU11" t="s">
        <v>2166</v>
      </c>
      <c r="CV11" t="s">
        <v>2166</v>
      </c>
      <c r="CW11" t="s">
        <v>2166</v>
      </c>
      <c r="CX11" t="s">
        <v>2166</v>
      </c>
      <c r="CY11" t="s">
        <v>2166</v>
      </c>
      <c r="CZ11" t="s">
        <v>2166</v>
      </c>
      <c r="DA11" t="s">
        <v>2166</v>
      </c>
      <c r="DB11" t="s">
        <v>2166</v>
      </c>
      <c r="DC11" t="s">
        <v>2166</v>
      </c>
      <c r="DD11" t="s">
        <v>2166</v>
      </c>
      <c r="DE11" t="s">
        <v>2166</v>
      </c>
      <c r="DF11" t="s">
        <v>2166</v>
      </c>
      <c r="DG11" t="s">
        <v>2166</v>
      </c>
      <c r="DH11" t="s">
        <v>2166</v>
      </c>
      <c r="DI11" t="s">
        <v>2166</v>
      </c>
    </row>
    <row r="12" spans="1:113" x14ac:dyDescent="0.2">
      <c r="A12" t="s">
        <v>2166</v>
      </c>
      <c r="B12" t="s">
        <v>2166</v>
      </c>
      <c r="C12" t="s">
        <v>2166</v>
      </c>
      <c r="D12" t="s">
        <v>2166</v>
      </c>
      <c r="E12" t="s">
        <v>2166</v>
      </c>
      <c r="F12" t="s">
        <v>2166</v>
      </c>
      <c r="G12" t="s">
        <v>2166</v>
      </c>
      <c r="H12" t="s">
        <v>2166</v>
      </c>
      <c r="I12" t="s">
        <v>2166</v>
      </c>
      <c r="J12" t="s">
        <v>2166</v>
      </c>
      <c r="K12" t="s">
        <v>2166</v>
      </c>
      <c r="L12" t="s">
        <v>2166</v>
      </c>
      <c r="M12" t="s">
        <v>2166</v>
      </c>
      <c r="N12" t="s">
        <v>2166</v>
      </c>
      <c r="O12" t="s">
        <v>2166</v>
      </c>
      <c r="P12" t="s">
        <v>2166</v>
      </c>
      <c r="Q12" t="s">
        <v>2166</v>
      </c>
      <c r="R12" t="s">
        <v>2166</v>
      </c>
      <c r="S12" t="s">
        <v>2166</v>
      </c>
      <c r="T12" t="s">
        <v>2166</v>
      </c>
      <c r="U12" t="s">
        <v>2166</v>
      </c>
      <c r="V12" t="s">
        <v>2166</v>
      </c>
      <c r="W12" t="s">
        <v>2166</v>
      </c>
      <c r="X12" t="s">
        <v>2166</v>
      </c>
      <c r="Y12" t="s">
        <v>2166</v>
      </c>
      <c r="Z12" t="s">
        <v>2166</v>
      </c>
      <c r="AA12" t="s">
        <v>2166</v>
      </c>
      <c r="AB12" t="s">
        <v>2166</v>
      </c>
      <c r="AC12" t="s">
        <v>2166</v>
      </c>
      <c r="AD12" t="s">
        <v>2166</v>
      </c>
      <c r="AE12" t="s">
        <v>2166</v>
      </c>
      <c r="AF12" t="s">
        <v>2166</v>
      </c>
      <c r="AG12" t="s">
        <v>2166</v>
      </c>
      <c r="AH12" t="s">
        <v>2166</v>
      </c>
      <c r="AI12" t="s">
        <v>2166</v>
      </c>
      <c r="AJ12" t="s">
        <v>2166</v>
      </c>
      <c r="AK12" t="s">
        <v>2166</v>
      </c>
      <c r="AL12" t="s">
        <v>2166</v>
      </c>
      <c r="AM12" t="s">
        <v>2166</v>
      </c>
      <c r="AN12" t="s">
        <v>2166</v>
      </c>
      <c r="AO12" t="s">
        <v>2166</v>
      </c>
      <c r="AP12" t="s">
        <v>2166</v>
      </c>
      <c r="AQ12" t="s">
        <v>2166</v>
      </c>
      <c r="AR12" t="s">
        <v>2166</v>
      </c>
      <c r="AS12" t="s">
        <v>2166</v>
      </c>
      <c r="AT12" t="s">
        <v>2166</v>
      </c>
      <c r="AU12" t="s">
        <v>2166</v>
      </c>
      <c r="AV12" t="s">
        <v>2166</v>
      </c>
      <c r="AW12" t="s">
        <v>2166</v>
      </c>
      <c r="AX12" t="s">
        <v>2166</v>
      </c>
      <c r="AY12" t="s">
        <v>2166</v>
      </c>
      <c r="AZ12" t="s">
        <v>2166</v>
      </c>
      <c r="BA12" t="s">
        <v>2166</v>
      </c>
      <c r="BB12" t="s">
        <v>2166</v>
      </c>
      <c r="BC12" t="s">
        <v>2166</v>
      </c>
      <c r="BD12" t="s">
        <v>2166</v>
      </c>
      <c r="BE12" t="s">
        <v>2166</v>
      </c>
      <c r="BF12" t="s">
        <v>2166</v>
      </c>
      <c r="BG12" t="s">
        <v>2166</v>
      </c>
      <c r="BH12" t="s">
        <v>2166</v>
      </c>
      <c r="BI12" t="s">
        <v>2166</v>
      </c>
      <c r="BJ12" t="s">
        <v>2166</v>
      </c>
      <c r="BK12" t="s">
        <v>2166</v>
      </c>
      <c r="BL12" t="s">
        <v>2166</v>
      </c>
      <c r="BM12" t="s">
        <v>2166</v>
      </c>
      <c r="BN12" t="s">
        <v>2166</v>
      </c>
      <c r="BO12" t="s">
        <v>2166</v>
      </c>
      <c r="BP12" t="s">
        <v>2166</v>
      </c>
      <c r="BQ12" t="s">
        <v>2166</v>
      </c>
      <c r="BR12" t="s">
        <v>2166</v>
      </c>
      <c r="BS12" t="s">
        <v>2166</v>
      </c>
      <c r="BT12" t="s">
        <v>2166</v>
      </c>
      <c r="BU12" t="s">
        <v>2166</v>
      </c>
      <c r="BV12" t="s">
        <v>2166</v>
      </c>
      <c r="BW12" t="s">
        <v>2166</v>
      </c>
      <c r="BX12" t="s">
        <v>2166</v>
      </c>
      <c r="BY12" t="s">
        <v>2166</v>
      </c>
      <c r="BZ12" t="s">
        <v>2166</v>
      </c>
      <c r="CA12" t="s">
        <v>2166</v>
      </c>
      <c r="CB12" t="s">
        <v>2166</v>
      </c>
      <c r="CC12" t="s">
        <v>2166</v>
      </c>
      <c r="CD12" t="s">
        <v>2166</v>
      </c>
      <c r="CE12" t="s">
        <v>2166</v>
      </c>
      <c r="CF12" t="s">
        <v>2166</v>
      </c>
      <c r="CG12" t="s">
        <v>2166</v>
      </c>
      <c r="CH12" t="s">
        <v>2166</v>
      </c>
      <c r="CI12" t="s">
        <v>2166</v>
      </c>
      <c r="CJ12" t="s">
        <v>2166</v>
      </c>
      <c r="CK12" t="s">
        <v>2166</v>
      </c>
      <c r="CL12" t="s">
        <v>2166</v>
      </c>
      <c r="CM12" t="s">
        <v>2166</v>
      </c>
      <c r="CN12" t="s">
        <v>2166</v>
      </c>
      <c r="CO12" t="s">
        <v>2166</v>
      </c>
      <c r="CP12" t="s">
        <v>2166</v>
      </c>
      <c r="CQ12" t="s">
        <v>2166</v>
      </c>
      <c r="CR12" t="s">
        <v>2166</v>
      </c>
      <c r="CS12" t="s">
        <v>2166</v>
      </c>
      <c r="CT12" t="s">
        <v>2166</v>
      </c>
      <c r="CU12" t="s">
        <v>2166</v>
      </c>
      <c r="CV12" t="s">
        <v>2166</v>
      </c>
      <c r="CW12" t="s">
        <v>2166</v>
      </c>
      <c r="CX12" t="s">
        <v>2166</v>
      </c>
      <c r="CY12" t="s">
        <v>2166</v>
      </c>
      <c r="CZ12" t="s">
        <v>2166</v>
      </c>
      <c r="DA12" t="s">
        <v>2166</v>
      </c>
      <c r="DB12" t="s">
        <v>2166</v>
      </c>
      <c r="DC12" t="s">
        <v>2166</v>
      </c>
      <c r="DD12" t="s">
        <v>2166</v>
      </c>
      <c r="DE12" t="s">
        <v>2166</v>
      </c>
      <c r="DF12" t="s">
        <v>2166</v>
      </c>
      <c r="DG12" t="s">
        <v>2166</v>
      </c>
      <c r="DH12" t="s">
        <v>2166</v>
      </c>
      <c r="DI12" t="s">
        <v>2166</v>
      </c>
    </row>
    <row r="13" spans="1:113" x14ac:dyDescent="0.2">
      <c r="A13" t="s">
        <v>2166</v>
      </c>
      <c r="B13" t="s">
        <v>2166</v>
      </c>
      <c r="C13" t="s">
        <v>2166</v>
      </c>
      <c r="D13" t="s">
        <v>2166</v>
      </c>
      <c r="E13" t="s">
        <v>2166</v>
      </c>
      <c r="F13" t="s">
        <v>2166</v>
      </c>
      <c r="G13" t="s">
        <v>2166</v>
      </c>
      <c r="H13" t="s">
        <v>2166</v>
      </c>
      <c r="I13" t="s">
        <v>2166</v>
      </c>
      <c r="J13" t="s">
        <v>2166</v>
      </c>
      <c r="K13" t="s">
        <v>2166</v>
      </c>
      <c r="L13" t="s">
        <v>2166</v>
      </c>
      <c r="M13" t="s">
        <v>2166</v>
      </c>
      <c r="N13" t="s">
        <v>2166</v>
      </c>
      <c r="O13" t="s">
        <v>2166</v>
      </c>
      <c r="P13" t="s">
        <v>2166</v>
      </c>
      <c r="Q13" t="s">
        <v>2166</v>
      </c>
      <c r="R13" t="s">
        <v>2166</v>
      </c>
      <c r="S13" t="s">
        <v>2166</v>
      </c>
      <c r="T13" t="s">
        <v>2166</v>
      </c>
      <c r="U13" t="s">
        <v>2166</v>
      </c>
      <c r="V13" t="s">
        <v>2166</v>
      </c>
      <c r="W13" t="s">
        <v>2166</v>
      </c>
      <c r="X13" t="s">
        <v>2166</v>
      </c>
      <c r="Y13" t="s">
        <v>2166</v>
      </c>
      <c r="Z13" t="s">
        <v>2166</v>
      </c>
      <c r="AA13" t="s">
        <v>2166</v>
      </c>
      <c r="AB13" t="s">
        <v>2166</v>
      </c>
      <c r="AC13" t="s">
        <v>2166</v>
      </c>
      <c r="AD13" t="s">
        <v>2166</v>
      </c>
      <c r="AE13" t="s">
        <v>2166</v>
      </c>
      <c r="AF13" t="s">
        <v>2166</v>
      </c>
      <c r="AG13" t="s">
        <v>2166</v>
      </c>
      <c r="AH13" t="s">
        <v>2166</v>
      </c>
      <c r="AI13" t="s">
        <v>2166</v>
      </c>
      <c r="AJ13" t="s">
        <v>2166</v>
      </c>
      <c r="AK13" t="s">
        <v>2166</v>
      </c>
      <c r="AL13" t="s">
        <v>2166</v>
      </c>
      <c r="AM13" t="s">
        <v>2166</v>
      </c>
      <c r="AN13" t="s">
        <v>2166</v>
      </c>
      <c r="AO13" t="s">
        <v>2166</v>
      </c>
      <c r="AP13" t="s">
        <v>2166</v>
      </c>
      <c r="AQ13" t="s">
        <v>2166</v>
      </c>
      <c r="AR13" t="s">
        <v>2166</v>
      </c>
      <c r="AS13" t="s">
        <v>2166</v>
      </c>
      <c r="AT13" t="s">
        <v>2166</v>
      </c>
      <c r="AU13" t="s">
        <v>2166</v>
      </c>
      <c r="AV13" t="s">
        <v>2166</v>
      </c>
      <c r="AW13" t="s">
        <v>2166</v>
      </c>
      <c r="AX13" t="s">
        <v>2166</v>
      </c>
      <c r="AY13" t="s">
        <v>2166</v>
      </c>
      <c r="AZ13" t="s">
        <v>2166</v>
      </c>
      <c r="BA13" t="s">
        <v>2166</v>
      </c>
      <c r="BB13" t="s">
        <v>2166</v>
      </c>
      <c r="BC13" t="s">
        <v>2166</v>
      </c>
      <c r="BD13" t="s">
        <v>2166</v>
      </c>
      <c r="BE13" t="s">
        <v>2166</v>
      </c>
      <c r="BF13" t="s">
        <v>2166</v>
      </c>
      <c r="BG13" t="s">
        <v>2166</v>
      </c>
      <c r="BH13" t="s">
        <v>2166</v>
      </c>
      <c r="BI13" t="s">
        <v>2166</v>
      </c>
      <c r="BJ13" t="s">
        <v>2166</v>
      </c>
      <c r="BK13" t="s">
        <v>2166</v>
      </c>
      <c r="BL13" t="s">
        <v>2166</v>
      </c>
      <c r="BM13" t="s">
        <v>2166</v>
      </c>
      <c r="BN13" t="s">
        <v>2166</v>
      </c>
      <c r="BO13" t="s">
        <v>2166</v>
      </c>
      <c r="BP13" t="s">
        <v>2166</v>
      </c>
      <c r="BQ13" t="s">
        <v>2166</v>
      </c>
      <c r="BR13" t="s">
        <v>2166</v>
      </c>
      <c r="BS13" t="s">
        <v>2166</v>
      </c>
      <c r="BT13" t="s">
        <v>2166</v>
      </c>
      <c r="BU13" t="s">
        <v>2166</v>
      </c>
      <c r="BV13" t="s">
        <v>2166</v>
      </c>
      <c r="BW13" t="s">
        <v>2166</v>
      </c>
      <c r="BX13" t="s">
        <v>2166</v>
      </c>
      <c r="BY13" t="s">
        <v>2166</v>
      </c>
      <c r="BZ13" t="s">
        <v>2166</v>
      </c>
      <c r="CA13" t="s">
        <v>2166</v>
      </c>
      <c r="CB13" t="s">
        <v>2166</v>
      </c>
      <c r="CC13" t="s">
        <v>2166</v>
      </c>
      <c r="CD13" t="s">
        <v>2166</v>
      </c>
      <c r="CE13" t="s">
        <v>2166</v>
      </c>
      <c r="CF13" t="s">
        <v>2166</v>
      </c>
      <c r="CG13" t="s">
        <v>2166</v>
      </c>
      <c r="CH13" t="s">
        <v>2166</v>
      </c>
      <c r="CI13" t="s">
        <v>2166</v>
      </c>
      <c r="CJ13" t="s">
        <v>2166</v>
      </c>
      <c r="CK13" t="s">
        <v>2166</v>
      </c>
      <c r="CL13" t="s">
        <v>2166</v>
      </c>
      <c r="CM13" t="s">
        <v>2166</v>
      </c>
      <c r="CN13" t="s">
        <v>2166</v>
      </c>
      <c r="CO13" t="s">
        <v>2166</v>
      </c>
      <c r="CP13" t="s">
        <v>2166</v>
      </c>
      <c r="CQ13" t="s">
        <v>2166</v>
      </c>
      <c r="CR13" t="s">
        <v>2166</v>
      </c>
      <c r="CS13" t="s">
        <v>2166</v>
      </c>
      <c r="CT13" t="s">
        <v>2166</v>
      </c>
      <c r="CU13" t="s">
        <v>2166</v>
      </c>
      <c r="CV13" t="s">
        <v>2166</v>
      </c>
      <c r="CW13" t="s">
        <v>2166</v>
      </c>
      <c r="CX13" t="s">
        <v>2166</v>
      </c>
      <c r="CY13" t="s">
        <v>2166</v>
      </c>
      <c r="CZ13" t="s">
        <v>2166</v>
      </c>
      <c r="DA13" t="s">
        <v>2166</v>
      </c>
      <c r="DB13" t="s">
        <v>2166</v>
      </c>
      <c r="DC13" t="s">
        <v>2166</v>
      </c>
      <c r="DD13" t="s">
        <v>2166</v>
      </c>
      <c r="DE13" t="s">
        <v>2166</v>
      </c>
      <c r="DF13" t="s">
        <v>2166</v>
      </c>
      <c r="DG13" t="s">
        <v>2166</v>
      </c>
      <c r="DH13" t="s">
        <v>2166</v>
      </c>
      <c r="DI13" t="s">
        <v>2166</v>
      </c>
    </row>
    <row r="14" spans="1:113" x14ac:dyDescent="0.2">
      <c r="A14" t="s">
        <v>2166</v>
      </c>
      <c r="B14" t="s">
        <v>2166</v>
      </c>
      <c r="C14" t="s">
        <v>2166</v>
      </c>
      <c r="D14" t="s">
        <v>2166</v>
      </c>
      <c r="E14" t="s">
        <v>2166</v>
      </c>
      <c r="F14" t="s">
        <v>2166</v>
      </c>
      <c r="G14" t="s">
        <v>2166</v>
      </c>
      <c r="H14" t="s">
        <v>2166</v>
      </c>
      <c r="I14" t="s">
        <v>2166</v>
      </c>
      <c r="J14" t="s">
        <v>2166</v>
      </c>
      <c r="K14" t="s">
        <v>2166</v>
      </c>
      <c r="L14" t="s">
        <v>2166</v>
      </c>
      <c r="M14" t="s">
        <v>2166</v>
      </c>
      <c r="N14" t="s">
        <v>2166</v>
      </c>
      <c r="O14" t="s">
        <v>2166</v>
      </c>
      <c r="P14" t="s">
        <v>2166</v>
      </c>
      <c r="Q14" t="s">
        <v>2166</v>
      </c>
      <c r="R14" t="s">
        <v>2166</v>
      </c>
      <c r="S14" t="s">
        <v>2166</v>
      </c>
      <c r="T14" t="s">
        <v>2166</v>
      </c>
      <c r="U14" t="s">
        <v>2166</v>
      </c>
      <c r="V14" t="s">
        <v>2166</v>
      </c>
      <c r="W14" t="s">
        <v>2166</v>
      </c>
      <c r="X14" t="s">
        <v>2166</v>
      </c>
      <c r="Y14" t="s">
        <v>2166</v>
      </c>
      <c r="Z14" t="s">
        <v>2166</v>
      </c>
      <c r="AA14" t="s">
        <v>2166</v>
      </c>
      <c r="AB14" t="s">
        <v>2166</v>
      </c>
      <c r="AC14" t="s">
        <v>2166</v>
      </c>
      <c r="AD14" t="s">
        <v>2166</v>
      </c>
      <c r="AE14" t="s">
        <v>2166</v>
      </c>
      <c r="AF14" t="s">
        <v>2166</v>
      </c>
      <c r="AG14" t="s">
        <v>2166</v>
      </c>
      <c r="AH14" t="s">
        <v>2166</v>
      </c>
      <c r="AI14" t="s">
        <v>2166</v>
      </c>
      <c r="AJ14" t="s">
        <v>2166</v>
      </c>
      <c r="AK14" t="s">
        <v>2166</v>
      </c>
      <c r="AL14" t="s">
        <v>2166</v>
      </c>
      <c r="AM14" t="s">
        <v>2166</v>
      </c>
      <c r="AN14" t="s">
        <v>2166</v>
      </c>
      <c r="AO14" t="s">
        <v>2166</v>
      </c>
      <c r="AP14" t="s">
        <v>2166</v>
      </c>
      <c r="AQ14" t="s">
        <v>2166</v>
      </c>
      <c r="AR14" t="s">
        <v>2166</v>
      </c>
      <c r="AS14" t="s">
        <v>2166</v>
      </c>
      <c r="AT14" t="s">
        <v>2166</v>
      </c>
      <c r="AU14" t="s">
        <v>2166</v>
      </c>
      <c r="AV14" t="s">
        <v>2166</v>
      </c>
      <c r="AW14" t="s">
        <v>2166</v>
      </c>
      <c r="AX14" t="s">
        <v>2166</v>
      </c>
      <c r="AY14" t="s">
        <v>2166</v>
      </c>
      <c r="AZ14" t="s">
        <v>2166</v>
      </c>
      <c r="BA14" t="s">
        <v>2166</v>
      </c>
      <c r="BB14" t="s">
        <v>2166</v>
      </c>
      <c r="BC14" t="s">
        <v>2166</v>
      </c>
      <c r="BD14" t="s">
        <v>2166</v>
      </c>
      <c r="BE14" t="s">
        <v>2166</v>
      </c>
      <c r="BF14" t="s">
        <v>2166</v>
      </c>
      <c r="BG14" t="s">
        <v>2166</v>
      </c>
      <c r="BH14" t="s">
        <v>2166</v>
      </c>
      <c r="BI14" t="s">
        <v>2166</v>
      </c>
      <c r="BJ14" t="s">
        <v>2166</v>
      </c>
      <c r="BK14" t="s">
        <v>2166</v>
      </c>
      <c r="BL14" t="s">
        <v>2166</v>
      </c>
      <c r="BM14" t="s">
        <v>2166</v>
      </c>
      <c r="BN14" t="s">
        <v>2166</v>
      </c>
      <c r="BO14" t="s">
        <v>2166</v>
      </c>
      <c r="BP14" t="s">
        <v>2166</v>
      </c>
      <c r="BQ14" t="s">
        <v>2166</v>
      </c>
      <c r="BR14" t="s">
        <v>2166</v>
      </c>
      <c r="BS14" t="s">
        <v>2166</v>
      </c>
      <c r="BT14" t="s">
        <v>2166</v>
      </c>
      <c r="BU14" t="s">
        <v>2166</v>
      </c>
      <c r="BV14" t="s">
        <v>2166</v>
      </c>
      <c r="BW14" t="s">
        <v>2166</v>
      </c>
      <c r="BX14" t="s">
        <v>2166</v>
      </c>
      <c r="BY14" t="s">
        <v>2166</v>
      </c>
      <c r="BZ14" t="s">
        <v>2166</v>
      </c>
      <c r="CA14" t="s">
        <v>2166</v>
      </c>
      <c r="CB14" t="s">
        <v>2166</v>
      </c>
      <c r="CC14" t="s">
        <v>2166</v>
      </c>
      <c r="CD14" t="s">
        <v>2166</v>
      </c>
      <c r="CE14" t="s">
        <v>2166</v>
      </c>
      <c r="CF14" t="s">
        <v>2166</v>
      </c>
      <c r="CG14" t="s">
        <v>2166</v>
      </c>
      <c r="CH14" t="s">
        <v>2166</v>
      </c>
      <c r="CI14" t="s">
        <v>2166</v>
      </c>
      <c r="CJ14" t="s">
        <v>2166</v>
      </c>
      <c r="CK14" t="s">
        <v>2166</v>
      </c>
      <c r="CL14" t="s">
        <v>2166</v>
      </c>
      <c r="CM14" t="s">
        <v>2166</v>
      </c>
      <c r="CN14" t="s">
        <v>2166</v>
      </c>
      <c r="CO14" t="s">
        <v>2166</v>
      </c>
      <c r="CP14" t="s">
        <v>2166</v>
      </c>
      <c r="CQ14" t="s">
        <v>2166</v>
      </c>
      <c r="CR14" t="s">
        <v>2166</v>
      </c>
      <c r="CS14" t="s">
        <v>2166</v>
      </c>
      <c r="CT14" t="s">
        <v>2166</v>
      </c>
      <c r="CU14" t="s">
        <v>2166</v>
      </c>
      <c r="CV14" t="s">
        <v>2166</v>
      </c>
      <c r="CW14" t="s">
        <v>2166</v>
      </c>
      <c r="CX14" t="s">
        <v>2166</v>
      </c>
      <c r="CY14" t="s">
        <v>2166</v>
      </c>
      <c r="CZ14" t="s">
        <v>2166</v>
      </c>
      <c r="DA14" t="s">
        <v>2166</v>
      </c>
      <c r="DB14" t="s">
        <v>2166</v>
      </c>
      <c r="DC14" t="s">
        <v>2166</v>
      </c>
      <c r="DD14" t="s">
        <v>2166</v>
      </c>
      <c r="DE14" t="s">
        <v>2166</v>
      </c>
      <c r="DF14" t="s">
        <v>2166</v>
      </c>
      <c r="DG14" t="s">
        <v>2166</v>
      </c>
      <c r="DH14" t="s">
        <v>2166</v>
      </c>
      <c r="DI14" t="s">
        <v>2166</v>
      </c>
    </row>
    <row r="15" spans="1:113" x14ac:dyDescent="0.2">
      <c r="A15" t="s">
        <v>2166</v>
      </c>
      <c r="B15" t="s">
        <v>2166</v>
      </c>
      <c r="C15" t="s">
        <v>2166</v>
      </c>
      <c r="D15" t="s">
        <v>2166</v>
      </c>
      <c r="E15" t="s">
        <v>2166</v>
      </c>
      <c r="F15" t="s">
        <v>2166</v>
      </c>
      <c r="G15" t="s">
        <v>2166</v>
      </c>
      <c r="H15" t="s">
        <v>2166</v>
      </c>
      <c r="I15" t="s">
        <v>2166</v>
      </c>
      <c r="J15" t="s">
        <v>2166</v>
      </c>
      <c r="K15" t="s">
        <v>2166</v>
      </c>
      <c r="L15" t="s">
        <v>2166</v>
      </c>
      <c r="M15" t="s">
        <v>2166</v>
      </c>
      <c r="N15" t="s">
        <v>2166</v>
      </c>
      <c r="O15" t="s">
        <v>2166</v>
      </c>
      <c r="P15" t="s">
        <v>2166</v>
      </c>
      <c r="Q15" t="s">
        <v>2166</v>
      </c>
      <c r="R15" t="s">
        <v>2166</v>
      </c>
      <c r="S15" t="s">
        <v>2166</v>
      </c>
      <c r="T15" t="s">
        <v>2166</v>
      </c>
      <c r="U15" t="s">
        <v>2166</v>
      </c>
      <c r="V15" t="s">
        <v>2166</v>
      </c>
      <c r="W15" t="s">
        <v>2166</v>
      </c>
      <c r="X15" t="s">
        <v>2166</v>
      </c>
      <c r="Y15" t="s">
        <v>2166</v>
      </c>
      <c r="Z15" t="s">
        <v>2166</v>
      </c>
      <c r="AA15" t="s">
        <v>2166</v>
      </c>
      <c r="AB15" t="s">
        <v>2166</v>
      </c>
      <c r="AC15" t="s">
        <v>2166</v>
      </c>
      <c r="AD15" t="s">
        <v>2166</v>
      </c>
      <c r="AE15" t="s">
        <v>2166</v>
      </c>
      <c r="AF15" t="s">
        <v>2166</v>
      </c>
      <c r="AG15" t="s">
        <v>2166</v>
      </c>
      <c r="AH15" t="s">
        <v>2166</v>
      </c>
      <c r="AI15" t="s">
        <v>2166</v>
      </c>
      <c r="AJ15" t="s">
        <v>2166</v>
      </c>
      <c r="AK15" t="s">
        <v>2166</v>
      </c>
      <c r="AL15" t="s">
        <v>2166</v>
      </c>
      <c r="AM15" t="s">
        <v>2166</v>
      </c>
      <c r="AN15" t="s">
        <v>2166</v>
      </c>
      <c r="AO15" t="s">
        <v>2166</v>
      </c>
      <c r="AP15" t="s">
        <v>2166</v>
      </c>
      <c r="AQ15" t="s">
        <v>2166</v>
      </c>
      <c r="AR15" t="s">
        <v>2166</v>
      </c>
      <c r="AS15" t="s">
        <v>2166</v>
      </c>
      <c r="AT15" t="s">
        <v>2166</v>
      </c>
      <c r="AU15" t="s">
        <v>2166</v>
      </c>
      <c r="AV15" t="s">
        <v>2166</v>
      </c>
      <c r="AW15" t="s">
        <v>2166</v>
      </c>
      <c r="AX15" t="s">
        <v>2166</v>
      </c>
      <c r="AY15" t="s">
        <v>2166</v>
      </c>
      <c r="AZ15" t="s">
        <v>2166</v>
      </c>
      <c r="BA15" t="s">
        <v>2166</v>
      </c>
      <c r="BB15" t="s">
        <v>2166</v>
      </c>
      <c r="BC15" t="s">
        <v>2166</v>
      </c>
      <c r="BD15" t="s">
        <v>2166</v>
      </c>
      <c r="BE15" t="s">
        <v>2166</v>
      </c>
      <c r="BF15" t="s">
        <v>2166</v>
      </c>
      <c r="BG15" t="s">
        <v>2166</v>
      </c>
      <c r="BH15" t="s">
        <v>2166</v>
      </c>
      <c r="BI15" t="s">
        <v>2166</v>
      </c>
      <c r="BJ15" t="s">
        <v>2166</v>
      </c>
      <c r="BK15" t="s">
        <v>2166</v>
      </c>
      <c r="BL15" t="s">
        <v>2166</v>
      </c>
      <c r="BM15" t="s">
        <v>2166</v>
      </c>
      <c r="BN15" t="s">
        <v>2166</v>
      </c>
      <c r="BO15" t="s">
        <v>2166</v>
      </c>
      <c r="BP15" t="s">
        <v>2166</v>
      </c>
      <c r="BQ15" t="s">
        <v>2166</v>
      </c>
      <c r="BR15" t="s">
        <v>2166</v>
      </c>
      <c r="BS15" t="s">
        <v>2166</v>
      </c>
      <c r="BT15" t="s">
        <v>2166</v>
      </c>
      <c r="BU15" t="s">
        <v>2166</v>
      </c>
      <c r="BV15" t="s">
        <v>2166</v>
      </c>
      <c r="BW15" t="s">
        <v>2166</v>
      </c>
      <c r="BX15" t="s">
        <v>2166</v>
      </c>
      <c r="BY15" t="s">
        <v>2166</v>
      </c>
      <c r="BZ15" t="s">
        <v>2166</v>
      </c>
      <c r="CA15" t="s">
        <v>2166</v>
      </c>
      <c r="CB15" t="s">
        <v>2166</v>
      </c>
      <c r="CC15" t="s">
        <v>2166</v>
      </c>
      <c r="CD15" t="s">
        <v>2166</v>
      </c>
      <c r="CE15" t="s">
        <v>2166</v>
      </c>
      <c r="CF15" t="s">
        <v>2166</v>
      </c>
      <c r="CG15" t="s">
        <v>2166</v>
      </c>
      <c r="CH15" t="s">
        <v>2166</v>
      </c>
      <c r="CI15" t="s">
        <v>2166</v>
      </c>
      <c r="CJ15" t="s">
        <v>2166</v>
      </c>
      <c r="CK15" t="s">
        <v>2166</v>
      </c>
      <c r="CL15" t="s">
        <v>2166</v>
      </c>
      <c r="CM15" t="s">
        <v>2166</v>
      </c>
      <c r="CN15" t="s">
        <v>2166</v>
      </c>
      <c r="CO15" t="s">
        <v>2166</v>
      </c>
      <c r="CP15" t="s">
        <v>2166</v>
      </c>
      <c r="CQ15" t="s">
        <v>2166</v>
      </c>
      <c r="CR15" t="s">
        <v>2166</v>
      </c>
      <c r="CS15" t="s">
        <v>2166</v>
      </c>
      <c r="CT15" t="s">
        <v>2166</v>
      </c>
      <c r="CU15" t="s">
        <v>2166</v>
      </c>
      <c r="CV15" t="s">
        <v>2166</v>
      </c>
      <c r="CW15" t="s">
        <v>2166</v>
      </c>
      <c r="CX15" t="s">
        <v>2166</v>
      </c>
      <c r="CY15" t="s">
        <v>2166</v>
      </c>
      <c r="CZ15" t="s">
        <v>2166</v>
      </c>
      <c r="DA15" t="s">
        <v>2166</v>
      </c>
      <c r="DB15" t="s">
        <v>2166</v>
      </c>
      <c r="DC15" t="s">
        <v>2166</v>
      </c>
      <c r="DD15" t="s">
        <v>2166</v>
      </c>
      <c r="DE15" t="s">
        <v>2166</v>
      </c>
      <c r="DF15" t="s">
        <v>2166</v>
      </c>
      <c r="DG15" t="s">
        <v>2166</v>
      </c>
      <c r="DH15" t="s">
        <v>2166</v>
      </c>
      <c r="DI15" t="s">
        <v>2166</v>
      </c>
    </row>
    <row r="16" spans="1:113" x14ac:dyDescent="0.2">
      <c r="A16" t="s">
        <v>2166</v>
      </c>
      <c r="B16" t="s">
        <v>2166</v>
      </c>
      <c r="C16" t="s">
        <v>2166</v>
      </c>
      <c r="D16" t="s">
        <v>2166</v>
      </c>
      <c r="E16" t="s">
        <v>2166</v>
      </c>
      <c r="F16" t="s">
        <v>2166</v>
      </c>
      <c r="G16" t="s">
        <v>2166</v>
      </c>
      <c r="H16" t="s">
        <v>2166</v>
      </c>
      <c r="I16" t="s">
        <v>2166</v>
      </c>
      <c r="J16" t="s">
        <v>2166</v>
      </c>
      <c r="K16" t="s">
        <v>2166</v>
      </c>
      <c r="L16" t="s">
        <v>2166</v>
      </c>
      <c r="M16" t="s">
        <v>2166</v>
      </c>
      <c r="N16" t="s">
        <v>2166</v>
      </c>
      <c r="O16" t="s">
        <v>2166</v>
      </c>
      <c r="P16" t="s">
        <v>2166</v>
      </c>
      <c r="Q16" t="s">
        <v>2166</v>
      </c>
      <c r="R16" t="s">
        <v>2166</v>
      </c>
      <c r="S16" t="s">
        <v>2166</v>
      </c>
      <c r="T16" t="s">
        <v>2166</v>
      </c>
      <c r="U16" t="s">
        <v>2166</v>
      </c>
      <c r="V16" t="s">
        <v>2166</v>
      </c>
      <c r="W16" t="s">
        <v>2166</v>
      </c>
      <c r="X16" t="s">
        <v>2166</v>
      </c>
      <c r="Y16" t="s">
        <v>2166</v>
      </c>
      <c r="Z16" t="s">
        <v>2166</v>
      </c>
      <c r="AA16" t="s">
        <v>2166</v>
      </c>
      <c r="AB16" t="s">
        <v>2166</v>
      </c>
      <c r="AC16" t="s">
        <v>2166</v>
      </c>
      <c r="AD16" t="s">
        <v>2166</v>
      </c>
      <c r="AE16" t="s">
        <v>2166</v>
      </c>
      <c r="AF16" t="s">
        <v>2166</v>
      </c>
      <c r="AG16" t="s">
        <v>2166</v>
      </c>
      <c r="AH16" t="s">
        <v>2166</v>
      </c>
      <c r="AI16" t="s">
        <v>2166</v>
      </c>
      <c r="AJ16" t="s">
        <v>2166</v>
      </c>
      <c r="AK16" t="s">
        <v>2166</v>
      </c>
      <c r="AL16" t="s">
        <v>2166</v>
      </c>
      <c r="AM16" t="s">
        <v>2166</v>
      </c>
      <c r="AN16" t="s">
        <v>2166</v>
      </c>
      <c r="AO16" t="s">
        <v>2166</v>
      </c>
      <c r="AP16" t="s">
        <v>2166</v>
      </c>
      <c r="AQ16" t="s">
        <v>2166</v>
      </c>
      <c r="AR16" t="s">
        <v>2166</v>
      </c>
      <c r="AS16" t="s">
        <v>2166</v>
      </c>
      <c r="AT16" t="s">
        <v>2166</v>
      </c>
      <c r="AU16" t="s">
        <v>2166</v>
      </c>
      <c r="AV16" t="s">
        <v>2166</v>
      </c>
      <c r="AW16" t="s">
        <v>2166</v>
      </c>
      <c r="AX16" t="s">
        <v>2166</v>
      </c>
      <c r="AY16" t="s">
        <v>2166</v>
      </c>
      <c r="AZ16" t="s">
        <v>2166</v>
      </c>
      <c r="BA16" t="s">
        <v>2166</v>
      </c>
      <c r="BB16" t="s">
        <v>2166</v>
      </c>
      <c r="BC16" t="s">
        <v>2166</v>
      </c>
      <c r="BD16" t="s">
        <v>2166</v>
      </c>
      <c r="BE16" t="s">
        <v>2166</v>
      </c>
      <c r="BF16" t="s">
        <v>2166</v>
      </c>
      <c r="BG16" t="s">
        <v>2166</v>
      </c>
      <c r="BH16" t="s">
        <v>2166</v>
      </c>
      <c r="BI16" t="s">
        <v>2166</v>
      </c>
      <c r="BJ16" t="s">
        <v>2166</v>
      </c>
      <c r="BK16" t="s">
        <v>2166</v>
      </c>
      <c r="BL16" t="s">
        <v>2166</v>
      </c>
      <c r="BM16" t="s">
        <v>2166</v>
      </c>
      <c r="BN16" t="s">
        <v>2166</v>
      </c>
      <c r="BO16" t="s">
        <v>2166</v>
      </c>
      <c r="BP16" t="s">
        <v>2166</v>
      </c>
      <c r="BQ16" t="s">
        <v>2166</v>
      </c>
      <c r="BR16" t="s">
        <v>2166</v>
      </c>
      <c r="BS16" t="s">
        <v>2166</v>
      </c>
      <c r="BT16" t="s">
        <v>2166</v>
      </c>
      <c r="BU16" t="s">
        <v>2166</v>
      </c>
      <c r="BV16" t="s">
        <v>2166</v>
      </c>
      <c r="BW16" t="s">
        <v>2166</v>
      </c>
      <c r="BX16" t="s">
        <v>2166</v>
      </c>
      <c r="BY16" t="s">
        <v>2166</v>
      </c>
      <c r="BZ16" t="s">
        <v>2166</v>
      </c>
      <c r="CA16" t="s">
        <v>2166</v>
      </c>
      <c r="CB16" t="s">
        <v>2166</v>
      </c>
      <c r="CC16" t="s">
        <v>2166</v>
      </c>
      <c r="CD16" t="s">
        <v>2166</v>
      </c>
      <c r="CE16" t="s">
        <v>2166</v>
      </c>
      <c r="CF16" t="s">
        <v>2166</v>
      </c>
      <c r="CG16" t="s">
        <v>2166</v>
      </c>
      <c r="CH16" t="s">
        <v>2166</v>
      </c>
      <c r="CI16" t="s">
        <v>2166</v>
      </c>
      <c r="CJ16" t="s">
        <v>2166</v>
      </c>
      <c r="CK16" t="s">
        <v>2166</v>
      </c>
      <c r="CL16" t="s">
        <v>2166</v>
      </c>
      <c r="CM16" t="s">
        <v>2166</v>
      </c>
      <c r="CN16" t="s">
        <v>2166</v>
      </c>
      <c r="CO16" t="s">
        <v>2166</v>
      </c>
      <c r="CP16" t="s">
        <v>2166</v>
      </c>
      <c r="CQ16" t="s">
        <v>2166</v>
      </c>
      <c r="CR16" t="s">
        <v>2166</v>
      </c>
      <c r="CS16" t="s">
        <v>2166</v>
      </c>
      <c r="CT16" t="s">
        <v>2166</v>
      </c>
      <c r="CU16" t="s">
        <v>2166</v>
      </c>
      <c r="CV16" t="s">
        <v>2166</v>
      </c>
      <c r="CW16" t="s">
        <v>2166</v>
      </c>
      <c r="CX16" t="s">
        <v>2166</v>
      </c>
      <c r="CY16" t="s">
        <v>2166</v>
      </c>
      <c r="CZ16" t="s">
        <v>2166</v>
      </c>
      <c r="DA16" t="s">
        <v>2166</v>
      </c>
      <c r="DB16" t="s">
        <v>2166</v>
      </c>
      <c r="DC16" t="s">
        <v>2166</v>
      </c>
      <c r="DD16" t="s">
        <v>2166</v>
      </c>
      <c r="DE16" t="s">
        <v>2166</v>
      </c>
      <c r="DF16" t="s">
        <v>2166</v>
      </c>
      <c r="DG16" t="s">
        <v>2166</v>
      </c>
      <c r="DH16" t="s">
        <v>2166</v>
      </c>
      <c r="DI16" t="s">
        <v>2166</v>
      </c>
    </row>
    <row r="17" spans="1:113" x14ac:dyDescent="0.2">
      <c r="A17" t="s">
        <v>2166</v>
      </c>
      <c r="B17" t="s">
        <v>2166</v>
      </c>
      <c r="C17" t="s">
        <v>2166</v>
      </c>
      <c r="D17" t="s">
        <v>2166</v>
      </c>
      <c r="E17" t="s">
        <v>2166</v>
      </c>
      <c r="F17" t="s">
        <v>2166</v>
      </c>
      <c r="G17" t="s">
        <v>2166</v>
      </c>
      <c r="H17" t="s">
        <v>2166</v>
      </c>
      <c r="I17" t="s">
        <v>2166</v>
      </c>
      <c r="J17" t="s">
        <v>2166</v>
      </c>
      <c r="K17" t="s">
        <v>2166</v>
      </c>
      <c r="L17" t="s">
        <v>2166</v>
      </c>
      <c r="M17" t="s">
        <v>2166</v>
      </c>
      <c r="N17" t="s">
        <v>2166</v>
      </c>
      <c r="O17" t="s">
        <v>2166</v>
      </c>
      <c r="P17" t="s">
        <v>2166</v>
      </c>
      <c r="Q17" t="s">
        <v>2166</v>
      </c>
      <c r="R17" t="s">
        <v>2166</v>
      </c>
      <c r="S17" t="s">
        <v>2166</v>
      </c>
      <c r="T17" t="s">
        <v>2166</v>
      </c>
      <c r="U17" t="s">
        <v>2166</v>
      </c>
      <c r="V17" t="s">
        <v>2166</v>
      </c>
      <c r="W17" t="s">
        <v>2166</v>
      </c>
      <c r="X17" t="s">
        <v>2166</v>
      </c>
      <c r="Y17" t="s">
        <v>2166</v>
      </c>
      <c r="Z17" t="s">
        <v>2166</v>
      </c>
      <c r="AA17" t="s">
        <v>2166</v>
      </c>
      <c r="AB17" t="s">
        <v>2166</v>
      </c>
      <c r="AC17" t="s">
        <v>2166</v>
      </c>
      <c r="AD17" t="s">
        <v>2166</v>
      </c>
      <c r="AE17" t="s">
        <v>2166</v>
      </c>
      <c r="AF17" t="s">
        <v>2166</v>
      </c>
      <c r="AG17" t="s">
        <v>2166</v>
      </c>
      <c r="AH17" t="s">
        <v>2166</v>
      </c>
      <c r="AI17" t="s">
        <v>2166</v>
      </c>
      <c r="AJ17" t="s">
        <v>2166</v>
      </c>
      <c r="AK17" t="s">
        <v>2166</v>
      </c>
      <c r="AL17" t="s">
        <v>2166</v>
      </c>
      <c r="AM17" t="s">
        <v>2166</v>
      </c>
      <c r="AN17" t="s">
        <v>2166</v>
      </c>
      <c r="AO17" t="s">
        <v>2166</v>
      </c>
      <c r="AP17" t="s">
        <v>2166</v>
      </c>
      <c r="AQ17" t="s">
        <v>2166</v>
      </c>
      <c r="AR17" t="s">
        <v>2166</v>
      </c>
      <c r="AS17" t="s">
        <v>2166</v>
      </c>
      <c r="AT17" t="s">
        <v>2166</v>
      </c>
      <c r="AU17" t="s">
        <v>2166</v>
      </c>
      <c r="AV17" t="s">
        <v>2166</v>
      </c>
      <c r="AW17" t="s">
        <v>2166</v>
      </c>
      <c r="AX17" t="s">
        <v>2166</v>
      </c>
      <c r="AY17" t="s">
        <v>2166</v>
      </c>
      <c r="AZ17" t="s">
        <v>2166</v>
      </c>
      <c r="BA17" t="s">
        <v>2166</v>
      </c>
      <c r="BB17" t="s">
        <v>2166</v>
      </c>
      <c r="BC17" t="s">
        <v>2166</v>
      </c>
      <c r="BD17" t="s">
        <v>2166</v>
      </c>
      <c r="BE17" t="s">
        <v>2166</v>
      </c>
      <c r="BF17" t="s">
        <v>2166</v>
      </c>
      <c r="BG17" t="s">
        <v>2166</v>
      </c>
      <c r="BH17" t="s">
        <v>2166</v>
      </c>
      <c r="BI17" t="s">
        <v>2166</v>
      </c>
      <c r="BJ17" t="s">
        <v>2166</v>
      </c>
      <c r="BK17" t="s">
        <v>2166</v>
      </c>
      <c r="BL17" t="s">
        <v>2166</v>
      </c>
      <c r="BM17" t="s">
        <v>2166</v>
      </c>
      <c r="BN17" t="s">
        <v>2166</v>
      </c>
      <c r="BO17" t="s">
        <v>2166</v>
      </c>
      <c r="BP17" t="s">
        <v>2166</v>
      </c>
      <c r="BQ17" t="s">
        <v>2166</v>
      </c>
      <c r="BR17" t="s">
        <v>2166</v>
      </c>
      <c r="BS17" t="s">
        <v>2166</v>
      </c>
      <c r="BT17" t="s">
        <v>2166</v>
      </c>
      <c r="BU17" t="s">
        <v>2166</v>
      </c>
      <c r="BV17" t="s">
        <v>2166</v>
      </c>
      <c r="BW17" t="s">
        <v>2166</v>
      </c>
      <c r="BX17" t="s">
        <v>2166</v>
      </c>
      <c r="BY17" t="s">
        <v>2166</v>
      </c>
      <c r="BZ17" t="s">
        <v>2166</v>
      </c>
      <c r="CA17" t="s">
        <v>2166</v>
      </c>
      <c r="CB17" t="s">
        <v>2166</v>
      </c>
      <c r="CC17" t="s">
        <v>2166</v>
      </c>
      <c r="CD17" t="s">
        <v>2166</v>
      </c>
      <c r="CE17" t="s">
        <v>2166</v>
      </c>
      <c r="CF17" t="s">
        <v>2166</v>
      </c>
      <c r="CG17" t="s">
        <v>2166</v>
      </c>
      <c r="CH17" t="s">
        <v>2166</v>
      </c>
      <c r="CI17" t="s">
        <v>2166</v>
      </c>
      <c r="CJ17" t="s">
        <v>2166</v>
      </c>
      <c r="CK17" t="s">
        <v>2166</v>
      </c>
      <c r="CL17" t="s">
        <v>2166</v>
      </c>
      <c r="CM17" t="s">
        <v>2166</v>
      </c>
      <c r="CN17" t="s">
        <v>2166</v>
      </c>
      <c r="CO17" t="s">
        <v>2166</v>
      </c>
      <c r="CP17" t="s">
        <v>2166</v>
      </c>
      <c r="CQ17" t="s">
        <v>2166</v>
      </c>
      <c r="CR17" t="s">
        <v>2166</v>
      </c>
      <c r="CS17" t="s">
        <v>2166</v>
      </c>
      <c r="CT17" t="s">
        <v>2166</v>
      </c>
      <c r="CU17" t="s">
        <v>2166</v>
      </c>
      <c r="CV17" t="s">
        <v>2166</v>
      </c>
      <c r="CW17" t="s">
        <v>2166</v>
      </c>
      <c r="CX17" t="s">
        <v>2166</v>
      </c>
      <c r="CY17" t="s">
        <v>2166</v>
      </c>
      <c r="CZ17" t="s">
        <v>2166</v>
      </c>
      <c r="DA17" t="s">
        <v>2166</v>
      </c>
      <c r="DB17" t="s">
        <v>2166</v>
      </c>
      <c r="DC17" t="s">
        <v>2166</v>
      </c>
      <c r="DD17" t="s">
        <v>2166</v>
      </c>
      <c r="DE17" t="s">
        <v>2166</v>
      </c>
      <c r="DF17" t="s">
        <v>2166</v>
      </c>
      <c r="DG17" t="s">
        <v>2166</v>
      </c>
      <c r="DH17" t="s">
        <v>2166</v>
      </c>
      <c r="DI17" t="s">
        <v>2166</v>
      </c>
    </row>
    <row r="18" spans="1:113" x14ac:dyDescent="0.2">
      <c r="A18" t="s">
        <v>2166</v>
      </c>
      <c r="B18" t="s">
        <v>2166</v>
      </c>
      <c r="C18" t="s">
        <v>2166</v>
      </c>
      <c r="D18" t="s">
        <v>2166</v>
      </c>
      <c r="E18" t="s">
        <v>2166</v>
      </c>
      <c r="F18" t="s">
        <v>2166</v>
      </c>
      <c r="G18" t="s">
        <v>2166</v>
      </c>
      <c r="H18" t="s">
        <v>2166</v>
      </c>
      <c r="I18" t="s">
        <v>2166</v>
      </c>
      <c r="J18" t="s">
        <v>2166</v>
      </c>
      <c r="K18" t="s">
        <v>2166</v>
      </c>
      <c r="L18" t="s">
        <v>2166</v>
      </c>
      <c r="M18" t="s">
        <v>2166</v>
      </c>
      <c r="N18" t="s">
        <v>2166</v>
      </c>
      <c r="O18" t="s">
        <v>2166</v>
      </c>
      <c r="P18" t="s">
        <v>2166</v>
      </c>
      <c r="Q18" t="s">
        <v>2166</v>
      </c>
      <c r="R18" t="s">
        <v>2166</v>
      </c>
      <c r="S18" t="s">
        <v>2166</v>
      </c>
      <c r="T18" t="s">
        <v>2166</v>
      </c>
      <c r="U18" t="s">
        <v>2166</v>
      </c>
      <c r="V18" t="s">
        <v>2166</v>
      </c>
      <c r="W18" t="s">
        <v>2166</v>
      </c>
      <c r="X18" t="s">
        <v>2166</v>
      </c>
      <c r="Y18" t="s">
        <v>2166</v>
      </c>
      <c r="Z18" t="s">
        <v>2166</v>
      </c>
      <c r="AA18" t="s">
        <v>2166</v>
      </c>
      <c r="AB18" t="s">
        <v>2166</v>
      </c>
      <c r="AC18" t="s">
        <v>2166</v>
      </c>
      <c r="AD18" t="s">
        <v>2166</v>
      </c>
      <c r="AE18" t="s">
        <v>2166</v>
      </c>
      <c r="AF18" t="s">
        <v>2166</v>
      </c>
      <c r="AG18" t="s">
        <v>2166</v>
      </c>
      <c r="AH18" t="s">
        <v>2166</v>
      </c>
      <c r="AI18" t="s">
        <v>2166</v>
      </c>
      <c r="AJ18" t="s">
        <v>2166</v>
      </c>
      <c r="AK18" t="s">
        <v>2166</v>
      </c>
      <c r="AL18" t="s">
        <v>2166</v>
      </c>
      <c r="AM18" t="s">
        <v>2166</v>
      </c>
      <c r="AN18" t="s">
        <v>2166</v>
      </c>
      <c r="AO18" t="s">
        <v>2166</v>
      </c>
      <c r="AP18" t="s">
        <v>2166</v>
      </c>
      <c r="AQ18" t="s">
        <v>2166</v>
      </c>
      <c r="AR18" t="s">
        <v>2166</v>
      </c>
      <c r="AS18" t="s">
        <v>2166</v>
      </c>
      <c r="AT18" t="s">
        <v>2166</v>
      </c>
      <c r="AU18" t="s">
        <v>2166</v>
      </c>
      <c r="AV18" t="s">
        <v>2166</v>
      </c>
      <c r="AW18" t="s">
        <v>2166</v>
      </c>
      <c r="AX18" t="s">
        <v>2166</v>
      </c>
      <c r="AY18" t="s">
        <v>2166</v>
      </c>
      <c r="AZ18" t="s">
        <v>2166</v>
      </c>
      <c r="BA18" t="s">
        <v>2166</v>
      </c>
      <c r="BB18" t="s">
        <v>2166</v>
      </c>
      <c r="BC18" t="s">
        <v>2166</v>
      </c>
      <c r="BD18" t="s">
        <v>2166</v>
      </c>
      <c r="BE18" t="s">
        <v>2166</v>
      </c>
      <c r="BF18" t="s">
        <v>2166</v>
      </c>
      <c r="BG18" t="s">
        <v>2166</v>
      </c>
      <c r="BH18" t="s">
        <v>2166</v>
      </c>
      <c r="BI18" t="s">
        <v>2166</v>
      </c>
      <c r="BJ18" t="s">
        <v>2166</v>
      </c>
      <c r="BK18" t="s">
        <v>2166</v>
      </c>
      <c r="BL18" t="s">
        <v>2166</v>
      </c>
      <c r="BM18" t="s">
        <v>2166</v>
      </c>
      <c r="BN18" t="s">
        <v>2166</v>
      </c>
      <c r="BO18" t="s">
        <v>2166</v>
      </c>
      <c r="BP18" t="s">
        <v>2166</v>
      </c>
      <c r="BQ18" t="s">
        <v>2166</v>
      </c>
      <c r="BR18" t="s">
        <v>2166</v>
      </c>
      <c r="BS18" t="s">
        <v>2166</v>
      </c>
      <c r="BT18" t="s">
        <v>2166</v>
      </c>
      <c r="BU18" t="s">
        <v>2166</v>
      </c>
      <c r="BV18" t="s">
        <v>2166</v>
      </c>
      <c r="BW18" t="s">
        <v>2166</v>
      </c>
      <c r="BX18" t="s">
        <v>2166</v>
      </c>
      <c r="BY18" t="s">
        <v>2166</v>
      </c>
      <c r="BZ18" t="s">
        <v>2166</v>
      </c>
      <c r="CA18" t="s">
        <v>2166</v>
      </c>
      <c r="CB18" t="s">
        <v>2166</v>
      </c>
      <c r="CC18" t="s">
        <v>2166</v>
      </c>
      <c r="CD18" t="s">
        <v>2166</v>
      </c>
      <c r="CE18" t="s">
        <v>2166</v>
      </c>
      <c r="CF18" t="s">
        <v>2166</v>
      </c>
      <c r="CG18" t="s">
        <v>2166</v>
      </c>
      <c r="CH18" t="s">
        <v>2166</v>
      </c>
      <c r="CI18" t="s">
        <v>2166</v>
      </c>
      <c r="CJ18" t="s">
        <v>2166</v>
      </c>
      <c r="CK18" t="s">
        <v>2166</v>
      </c>
      <c r="CL18" t="s">
        <v>2166</v>
      </c>
      <c r="CM18" t="s">
        <v>2166</v>
      </c>
      <c r="CN18" t="s">
        <v>2166</v>
      </c>
      <c r="CO18" t="s">
        <v>2166</v>
      </c>
      <c r="CP18" t="s">
        <v>2166</v>
      </c>
      <c r="CQ18" t="s">
        <v>2166</v>
      </c>
      <c r="CR18" t="s">
        <v>2166</v>
      </c>
      <c r="CS18" t="s">
        <v>2166</v>
      </c>
      <c r="CT18" t="s">
        <v>2166</v>
      </c>
      <c r="CU18" t="s">
        <v>2166</v>
      </c>
      <c r="CV18" t="s">
        <v>2166</v>
      </c>
      <c r="CW18" t="s">
        <v>2166</v>
      </c>
      <c r="CX18" t="s">
        <v>2166</v>
      </c>
      <c r="CY18" t="s">
        <v>2166</v>
      </c>
      <c r="CZ18" t="s">
        <v>2166</v>
      </c>
      <c r="DA18" t="s">
        <v>2166</v>
      </c>
      <c r="DB18" t="s">
        <v>2166</v>
      </c>
      <c r="DC18" t="s">
        <v>2166</v>
      </c>
      <c r="DD18" t="s">
        <v>2166</v>
      </c>
      <c r="DE18" t="s">
        <v>2166</v>
      </c>
      <c r="DF18" t="s">
        <v>2166</v>
      </c>
      <c r="DG18" t="s">
        <v>2166</v>
      </c>
      <c r="DH18" t="s">
        <v>2166</v>
      </c>
      <c r="DI18" t="s">
        <v>2166</v>
      </c>
    </row>
    <row r="19" spans="1:113" x14ac:dyDescent="0.2">
      <c r="A19" t="s">
        <v>2166</v>
      </c>
      <c r="B19" t="s">
        <v>2166</v>
      </c>
      <c r="C19" t="s">
        <v>2166</v>
      </c>
      <c r="D19" t="s">
        <v>2166</v>
      </c>
      <c r="E19" t="s">
        <v>2166</v>
      </c>
      <c r="F19" t="s">
        <v>2166</v>
      </c>
      <c r="G19" t="s">
        <v>2166</v>
      </c>
      <c r="H19" t="s">
        <v>2166</v>
      </c>
      <c r="I19" t="s">
        <v>2166</v>
      </c>
      <c r="J19" t="s">
        <v>2166</v>
      </c>
      <c r="K19" t="s">
        <v>2166</v>
      </c>
      <c r="L19" t="s">
        <v>2166</v>
      </c>
      <c r="M19" t="s">
        <v>2166</v>
      </c>
      <c r="N19" t="s">
        <v>2166</v>
      </c>
      <c r="O19" t="s">
        <v>2166</v>
      </c>
      <c r="P19" t="s">
        <v>2166</v>
      </c>
      <c r="Q19" t="s">
        <v>2166</v>
      </c>
      <c r="R19" t="s">
        <v>2166</v>
      </c>
      <c r="S19" t="s">
        <v>2166</v>
      </c>
      <c r="T19" t="s">
        <v>2166</v>
      </c>
      <c r="U19" t="s">
        <v>2166</v>
      </c>
      <c r="V19" t="s">
        <v>2166</v>
      </c>
      <c r="W19" t="s">
        <v>2166</v>
      </c>
      <c r="X19" t="s">
        <v>2166</v>
      </c>
      <c r="Y19" t="s">
        <v>2166</v>
      </c>
      <c r="Z19" t="s">
        <v>2166</v>
      </c>
      <c r="AA19" t="s">
        <v>2166</v>
      </c>
      <c r="AB19" t="s">
        <v>2166</v>
      </c>
      <c r="AC19" t="s">
        <v>2166</v>
      </c>
      <c r="AD19" t="s">
        <v>2166</v>
      </c>
      <c r="AE19" t="s">
        <v>2166</v>
      </c>
      <c r="AF19" t="s">
        <v>2166</v>
      </c>
      <c r="AG19" t="s">
        <v>2166</v>
      </c>
      <c r="AH19" t="s">
        <v>2166</v>
      </c>
      <c r="AI19" t="s">
        <v>2166</v>
      </c>
      <c r="AJ19" t="s">
        <v>2166</v>
      </c>
      <c r="AK19" t="s">
        <v>2166</v>
      </c>
      <c r="AL19" t="s">
        <v>2166</v>
      </c>
      <c r="AM19" t="s">
        <v>2166</v>
      </c>
      <c r="AN19" t="s">
        <v>2166</v>
      </c>
      <c r="AO19" t="s">
        <v>2166</v>
      </c>
      <c r="AP19" t="s">
        <v>2166</v>
      </c>
      <c r="AQ19" t="s">
        <v>2166</v>
      </c>
      <c r="AR19" t="s">
        <v>2166</v>
      </c>
      <c r="AS19" t="s">
        <v>2166</v>
      </c>
      <c r="AT19" t="s">
        <v>2166</v>
      </c>
      <c r="AU19" t="s">
        <v>2166</v>
      </c>
      <c r="AV19" t="s">
        <v>2166</v>
      </c>
      <c r="AW19" t="s">
        <v>2166</v>
      </c>
      <c r="AX19" t="s">
        <v>2166</v>
      </c>
      <c r="AY19" t="s">
        <v>2166</v>
      </c>
      <c r="AZ19" t="s">
        <v>2166</v>
      </c>
      <c r="BA19" t="s">
        <v>2166</v>
      </c>
      <c r="BB19" t="s">
        <v>2166</v>
      </c>
      <c r="BC19" t="s">
        <v>2166</v>
      </c>
      <c r="BD19" t="s">
        <v>2166</v>
      </c>
      <c r="BE19" t="s">
        <v>2166</v>
      </c>
      <c r="BF19" t="s">
        <v>2166</v>
      </c>
      <c r="BG19" t="s">
        <v>2166</v>
      </c>
      <c r="BH19" t="s">
        <v>2166</v>
      </c>
      <c r="BI19" t="s">
        <v>2166</v>
      </c>
      <c r="BJ19" t="s">
        <v>2166</v>
      </c>
      <c r="BK19" t="s">
        <v>2166</v>
      </c>
      <c r="BL19" t="s">
        <v>2166</v>
      </c>
      <c r="BM19" t="s">
        <v>2166</v>
      </c>
      <c r="BN19" t="s">
        <v>2166</v>
      </c>
      <c r="BO19" t="s">
        <v>2166</v>
      </c>
      <c r="BP19" t="s">
        <v>2166</v>
      </c>
      <c r="BQ19" t="s">
        <v>2166</v>
      </c>
      <c r="BR19" t="s">
        <v>2166</v>
      </c>
      <c r="BS19" t="s">
        <v>2166</v>
      </c>
      <c r="BT19" t="s">
        <v>2166</v>
      </c>
      <c r="BU19" t="s">
        <v>2166</v>
      </c>
      <c r="BV19" t="s">
        <v>2166</v>
      </c>
      <c r="BW19" t="s">
        <v>2166</v>
      </c>
      <c r="BX19" t="s">
        <v>2166</v>
      </c>
      <c r="BY19" t="s">
        <v>2166</v>
      </c>
      <c r="BZ19" t="s">
        <v>2166</v>
      </c>
      <c r="CA19" t="s">
        <v>2166</v>
      </c>
      <c r="CB19" t="s">
        <v>2166</v>
      </c>
      <c r="CC19" t="s">
        <v>2166</v>
      </c>
      <c r="CD19" t="s">
        <v>2166</v>
      </c>
      <c r="CE19" t="s">
        <v>2166</v>
      </c>
      <c r="CF19" t="s">
        <v>2166</v>
      </c>
      <c r="CG19" t="s">
        <v>2166</v>
      </c>
      <c r="CH19" t="s">
        <v>2166</v>
      </c>
      <c r="CI19" t="s">
        <v>2166</v>
      </c>
      <c r="CJ19" t="s">
        <v>2166</v>
      </c>
      <c r="CK19" t="s">
        <v>2166</v>
      </c>
      <c r="CL19" t="s">
        <v>2166</v>
      </c>
      <c r="CM19" t="s">
        <v>2166</v>
      </c>
      <c r="CN19" t="s">
        <v>2166</v>
      </c>
      <c r="CO19" t="s">
        <v>2166</v>
      </c>
      <c r="CP19" t="s">
        <v>2166</v>
      </c>
      <c r="CQ19" t="s">
        <v>2166</v>
      </c>
      <c r="CR19" t="s">
        <v>2166</v>
      </c>
      <c r="CS19" t="s">
        <v>2166</v>
      </c>
      <c r="CT19" t="s">
        <v>2166</v>
      </c>
      <c r="CU19" t="s">
        <v>2166</v>
      </c>
      <c r="CV19" t="s">
        <v>2166</v>
      </c>
      <c r="CW19" t="s">
        <v>2166</v>
      </c>
      <c r="CX19" t="s">
        <v>2166</v>
      </c>
      <c r="CY19" t="s">
        <v>2166</v>
      </c>
      <c r="CZ19" t="s">
        <v>2166</v>
      </c>
      <c r="DA19" t="s">
        <v>2166</v>
      </c>
      <c r="DB19" t="s">
        <v>2166</v>
      </c>
      <c r="DC19" t="s">
        <v>2166</v>
      </c>
      <c r="DD19" t="s">
        <v>2166</v>
      </c>
      <c r="DE19" t="s">
        <v>2166</v>
      </c>
      <c r="DF19" t="s">
        <v>2166</v>
      </c>
      <c r="DG19" t="s">
        <v>2166</v>
      </c>
      <c r="DH19" t="s">
        <v>2166</v>
      </c>
      <c r="DI19" t="s">
        <v>2166</v>
      </c>
    </row>
    <row r="20" spans="1:113" x14ac:dyDescent="0.2">
      <c r="A20" t="s">
        <v>2166</v>
      </c>
      <c r="B20" t="s">
        <v>2166</v>
      </c>
      <c r="C20" t="s">
        <v>2166</v>
      </c>
      <c r="D20" t="s">
        <v>2166</v>
      </c>
      <c r="E20" t="s">
        <v>2166</v>
      </c>
      <c r="F20" t="s">
        <v>2166</v>
      </c>
      <c r="G20" t="s">
        <v>2166</v>
      </c>
      <c r="H20" t="s">
        <v>2166</v>
      </c>
      <c r="I20" t="s">
        <v>2166</v>
      </c>
      <c r="J20" t="s">
        <v>2166</v>
      </c>
      <c r="K20" t="s">
        <v>2166</v>
      </c>
      <c r="L20" t="s">
        <v>2166</v>
      </c>
      <c r="M20" t="s">
        <v>2166</v>
      </c>
      <c r="N20" t="s">
        <v>2166</v>
      </c>
      <c r="O20" t="s">
        <v>2166</v>
      </c>
      <c r="P20" t="s">
        <v>2166</v>
      </c>
      <c r="Q20" t="s">
        <v>2166</v>
      </c>
      <c r="R20" t="s">
        <v>2166</v>
      </c>
      <c r="S20" t="s">
        <v>2166</v>
      </c>
      <c r="T20" t="s">
        <v>2166</v>
      </c>
      <c r="U20" t="s">
        <v>2166</v>
      </c>
      <c r="V20" t="s">
        <v>2166</v>
      </c>
      <c r="W20" t="s">
        <v>2166</v>
      </c>
      <c r="X20" t="s">
        <v>2166</v>
      </c>
      <c r="Y20" t="s">
        <v>2166</v>
      </c>
      <c r="Z20" t="s">
        <v>2166</v>
      </c>
      <c r="AA20" t="s">
        <v>2166</v>
      </c>
      <c r="AB20" t="s">
        <v>2166</v>
      </c>
      <c r="AC20" t="s">
        <v>2166</v>
      </c>
      <c r="AD20" t="s">
        <v>2166</v>
      </c>
      <c r="AE20" t="s">
        <v>2166</v>
      </c>
      <c r="AF20" t="s">
        <v>2166</v>
      </c>
      <c r="AG20" t="s">
        <v>2166</v>
      </c>
      <c r="AH20" t="s">
        <v>2166</v>
      </c>
      <c r="AI20" t="s">
        <v>2166</v>
      </c>
      <c r="AJ20" t="s">
        <v>2166</v>
      </c>
      <c r="AK20" t="s">
        <v>2166</v>
      </c>
      <c r="AL20" t="s">
        <v>2166</v>
      </c>
      <c r="AM20" t="s">
        <v>2166</v>
      </c>
      <c r="AN20" t="s">
        <v>2166</v>
      </c>
      <c r="AO20" t="s">
        <v>2166</v>
      </c>
      <c r="AP20" t="s">
        <v>2166</v>
      </c>
      <c r="AQ20" t="s">
        <v>2166</v>
      </c>
      <c r="AR20" t="s">
        <v>2166</v>
      </c>
      <c r="AS20" t="s">
        <v>2166</v>
      </c>
      <c r="AT20" t="s">
        <v>2166</v>
      </c>
      <c r="AU20" t="s">
        <v>2166</v>
      </c>
      <c r="AV20" t="s">
        <v>2166</v>
      </c>
      <c r="AW20" t="s">
        <v>2166</v>
      </c>
      <c r="AX20" t="s">
        <v>2166</v>
      </c>
      <c r="AY20" t="s">
        <v>2166</v>
      </c>
      <c r="AZ20" t="s">
        <v>2166</v>
      </c>
      <c r="BA20" t="s">
        <v>2166</v>
      </c>
      <c r="BB20" t="s">
        <v>2166</v>
      </c>
      <c r="BC20" t="s">
        <v>2166</v>
      </c>
      <c r="BD20" t="s">
        <v>2166</v>
      </c>
      <c r="BE20" t="s">
        <v>2166</v>
      </c>
      <c r="BF20" t="s">
        <v>2166</v>
      </c>
      <c r="BG20" t="s">
        <v>2166</v>
      </c>
      <c r="BH20" t="s">
        <v>2166</v>
      </c>
      <c r="BI20" t="s">
        <v>2166</v>
      </c>
      <c r="BJ20" t="s">
        <v>2166</v>
      </c>
      <c r="BK20" t="s">
        <v>2166</v>
      </c>
      <c r="BL20" t="s">
        <v>2166</v>
      </c>
      <c r="BM20" t="s">
        <v>2166</v>
      </c>
      <c r="BN20" t="s">
        <v>2166</v>
      </c>
      <c r="BO20" t="s">
        <v>2166</v>
      </c>
      <c r="BP20" t="s">
        <v>2166</v>
      </c>
      <c r="BQ20" t="s">
        <v>2166</v>
      </c>
      <c r="BR20" t="s">
        <v>2166</v>
      </c>
      <c r="BS20" t="s">
        <v>2166</v>
      </c>
      <c r="BT20" t="s">
        <v>2166</v>
      </c>
      <c r="BU20" t="s">
        <v>2166</v>
      </c>
      <c r="BV20" t="s">
        <v>2166</v>
      </c>
      <c r="BW20" t="s">
        <v>2166</v>
      </c>
      <c r="BX20" t="s">
        <v>2166</v>
      </c>
      <c r="BY20" t="s">
        <v>2166</v>
      </c>
      <c r="BZ20" t="s">
        <v>2166</v>
      </c>
      <c r="CA20" t="s">
        <v>2166</v>
      </c>
      <c r="CB20" t="s">
        <v>2166</v>
      </c>
      <c r="CC20" t="s">
        <v>2166</v>
      </c>
      <c r="CD20" t="s">
        <v>2166</v>
      </c>
      <c r="CE20" t="s">
        <v>2166</v>
      </c>
      <c r="CF20" t="s">
        <v>2166</v>
      </c>
      <c r="CG20" t="s">
        <v>2166</v>
      </c>
      <c r="CH20" t="s">
        <v>2166</v>
      </c>
      <c r="CI20" t="s">
        <v>2166</v>
      </c>
      <c r="CJ20" t="s">
        <v>2166</v>
      </c>
      <c r="CK20" t="s">
        <v>2166</v>
      </c>
      <c r="CL20" t="s">
        <v>2166</v>
      </c>
      <c r="CM20" t="s">
        <v>2166</v>
      </c>
      <c r="CN20" t="s">
        <v>2166</v>
      </c>
      <c r="CO20" t="s">
        <v>2166</v>
      </c>
      <c r="CP20" t="s">
        <v>2166</v>
      </c>
      <c r="CQ20" t="s">
        <v>2166</v>
      </c>
      <c r="CR20" t="s">
        <v>2166</v>
      </c>
      <c r="CS20" t="s">
        <v>2166</v>
      </c>
      <c r="CT20" t="s">
        <v>2166</v>
      </c>
      <c r="CU20" t="s">
        <v>2166</v>
      </c>
      <c r="CV20" t="s">
        <v>2166</v>
      </c>
      <c r="CW20" t="s">
        <v>2166</v>
      </c>
      <c r="CX20" t="s">
        <v>2166</v>
      </c>
      <c r="CY20" t="s">
        <v>2166</v>
      </c>
      <c r="CZ20" t="s">
        <v>2166</v>
      </c>
      <c r="DA20" t="s">
        <v>2166</v>
      </c>
      <c r="DB20" t="s">
        <v>2166</v>
      </c>
      <c r="DC20" t="s">
        <v>2166</v>
      </c>
      <c r="DD20" t="s">
        <v>2166</v>
      </c>
      <c r="DE20" t="s">
        <v>2166</v>
      </c>
      <c r="DF20" t="s">
        <v>2166</v>
      </c>
      <c r="DG20" t="s">
        <v>2166</v>
      </c>
      <c r="DH20" t="s">
        <v>2166</v>
      </c>
      <c r="DI20" t="s">
        <v>2166</v>
      </c>
    </row>
    <row r="21" spans="1:113" x14ac:dyDescent="0.2">
      <c r="A21" t="s">
        <v>2166</v>
      </c>
      <c r="B21" t="s">
        <v>2166</v>
      </c>
      <c r="C21" t="s">
        <v>2166</v>
      </c>
      <c r="D21" t="s">
        <v>2166</v>
      </c>
      <c r="E21" t="s">
        <v>2166</v>
      </c>
      <c r="F21" s="1" t="s">
        <v>2166</v>
      </c>
      <c r="G21" t="s">
        <v>2166</v>
      </c>
      <c r="H21" t="s">
        <v>2166</v>
      </c>
      <c r="I21" t="s">
        <v>2166</v>
      </c>
      <c r="J21" t="s">
        <v>2166</v>
      </c>
      <c r="K21" t="s">
        <v>2166</v>
      </c>
      <c r="L21" t="s">
        <v>2166</v>
      </c>
      <c r="M21" t="s">
        <v>2166</v>
      </c>
      <c r="N21" t="s">
        <v>2166</v>
      </c>
      <c r="O21" t="s">
        <v>2166</v>
      </c>
      <c r="P21" t="s">
        <v>2166</v>
      </c>
      <c r="Q21" t="s">
        <v>2166</v>
      </c>
      <c r="R21" t="s">
        <v>2166</v>
      </c>
      <c r="S21" t="s">
        <v>2166</v>
      </c>
      <c r="T21" t="s">
        <v>2166</v>
      </c>
      <c r="U21" t="s">
        <v>2166</v>
      </c>
      <c r="V21" t="s">
        <v>2166</v>
      </c>
      <c r="W21" t="s">
        <v>2166</v>
      </c>
      <c r="X21" t="s">
        <v>2166</v>
      </c>
      <c r="Y21" t="s">
        <v>2166</v>
      </c>
      <c r="Z21" t="s">
        <v>2166</v>
      </c>
      <c r="AA21" t="s">
        <v>2166</v>
      </c>
      <c r="AB21" t="s">
        <v>2166</v>
      </c>
      <c r="AC21" t="s">
        <v>2166</v>
      </c>
      <c r="AD21" t="s">
        <v>2166</v>
      </c>
      <c r="AE21" t="s">
        <v>2166</v>
      </c>
      <c r="AF21" t="s">
        <v>2166</v>
      </c>
      <c r="AG21" t="s">
        <v>2166</v>
      </c>
      <c r="AH21" t="s">
        <v>2166</v>
      </c>
      <c r="AI21" t="s">
        <v>2166</v>
      </c>
      <c r="AJ21" t="s">
        <v>2166</v>
      </c>
      <c r="AK21" t="s">
        <v>2166</v>
      </c>
      <c r="AL21" t="s">
        <v>2166</v>
      </c>
      <c r="AM21" t="s">
        <v>2166</v>
      </c>
      <c r="AN21" t="s">
        <v>2166</v>
      </c>
      <c r="AO21" t="s">
        <v>2166</v>
      </c>
      <c r="AP21" t="s">
        <v>2166</v>
      </c>
      <c r="AQ21" t="s">
        <v>2166</v>
      </c>
      <c r="AR21" t="s">
        <v>2166</v>
      </c>
      <c r="AS21" t="s">
        <v>2166</v>
      </c>
      <c r="AT21" t="s">
        <v>2166</v>
      </c>
      <c r="AU21" t="s">
        <v>2166</v>
      </c>
      <c r="AV21" t="s">
        <v>2166</v>
      </c>
      <c r="AW21" t="s">
        <v>2166</v>
      </c>
      <c r="AX21" t="s">
        <v>2166</v>
      </c>
      <c r="AY21" t="s">
        <v>2166</v>
      </c>
      <c r="AZ21" t="s">
        <v>2166</v>
      </c>
      <c r="BA21" t="s">
        <v>2166</v>
      </c>
      <c r="BB21" t="s">
        <v>2166</v>
      </c>
      <c r="BC21" t="s">
        <v>2166</v>
      </c>
      <c r="BD21" t="s">
        <v>2166</v>
      </c>
      <c r="BE21" t="s">
        <v>2166</v>
      </c>
      <c r="BF21" t="s">
        <v>2166</v>
      </c>
      <c r="BG21" t="s">
        <v>2166</v>
      </c>
      <c r="BH21" t="s">
        <v>2166</v>
      </c>
      <c r="BI21" t="s">
        <v>2166</v>
      </c>
      <c r="BJ21" t="s">
        <v>2166</v>
      </c>
      <c r="BK21" t="s">
        <v>2166</v>
      </c>
      <c r="BL21" t="s">
        <v>2166</v>
      </c>
      <c r="BM21" t="s">
        <v>2166</v>
      </c>
      <c r="BN21" t="s">
        <v>2166</v>
      </c>
      <c r="BO21" t="s">
        <v>2166</v>
      </c>
      <c r="BP21" t="s">
        <v>2166</v>
      </c>
      <c r="BQ21" t="s">
        <v>2166</v>
      </c>
      <c r="BR21" t="s">
        <v>2166</v>
      </c>
      <c r="BS21" t="s">
        <v>2166</v>
      </c>
      <c r="BT21" t="s">
        <v>2166</v>
      </c>
      <c r="BU21" t="s">
        <v>2166</v>
      </c>
      <c r="BV21" t="s">
        <v>2166</v>
      </c>
      <c r="BW21" t="s">
        <v>2166</v>
      </c>
      <c r="BX21" t="s">
        <v>2166</v>
      </c>
      <c r="BY21" t="s">
        <v>2166</v>
      </c>
      <c r="BZ21" t="s">
        <v>2166</v>
      </c>
      <c r="CA21" t="s">
        <v>2166</v>
      </c>
      <c r="CB21" t="s">
        <v>2166</v>
      </c>
      <c r="CC21" t="s">
        <v>2166</v>
      </c>
      <c r="CD21" t="s">
        <v>2166</v>
      </c>
      <c r="CE21" t="s">
        <v>2166</v>
      </c>
      <c r="CF21" t="s">
        <v>2166</v>
      </c>
      <c r="CG21" t="s">
        <v>2166</v>
      </c>
      <c r="CH21" t="s">
        <v>2166</v>
      </c>
      <c r="CI21" t="s">
        <v>2166</v>
      </c>
      <c r="CJ21" t="s">
        <v>2166</v>
      </c>
      <c r="CK21" t="s">
        <v>2166</v>
      </c>
      <c r="CL21" t="s">
        <v>2166</v>
      </c>
      <c r="CM21" t="s">
        <v>2166</v>
      </c>
      <c r="CN21" t="s">
        <v>2166</v>
      </c>
      <c r="CO21" t="s">
        <v>2166</v>
      </c>
      <c r="CP21" t="s">
        <v>2166</v>
      </c>
      <c r="CQ21" t="s">
        <v>2166</v>
      </c>
      <c r="CR21" t="s">
        <v>2166</v>
      </c>
      <c r="CS21" t="s">
        <v>2166</v>
      </c>
      <c r="CT21" t="s">
        <v>2166</v>
      </c>
      <c r="CU21" t="s">
        <v>2166</v>
      </c>
      <c r="CV21" t="s">
        <v>2166</v>
      </c>
      <c r="CW21" t="s">
        <v>2166</v>
      </c>
      <c r="CX21" t="s">
        <v>2166</v>
      </c>
      <c r="CY21" t="s">
        <v>2166</v>
      </c>
      <c r="CZ21" t="s">
        <v>2166</v>
      </c>
      <c r="DA21" t="s">
        <v>2166</v>
      </c>
      <c r="DB21" t="s">
        <v>2166</v>
      </c>
      <c r="DC21" t="s">
        <v>2166</v>
      </c>
      <c r="DD21" t="s">
        <v>2166</v>
      </c>
      <c r="DE21" t="s">
        <v>2166</v>
      </c>
      <c r="DF21" t="s">
        <v>2166</v>
      </c>
      <c r="DG21" t="s">
        <v>2166</v>
      </c>
      <c r="DH21" t="s">
        <v>2166</v>
      </c>
      <c r="DI21" t="s">
        <v>2166</v>
      </c>
    </row>
    <row r="22" spans="1:113" x14ac:dyDescent="0.2">
      <c r="A22" t="s">
        <v>2166</v>
      </c>
      <c r="B22" t="s">
        <v>2166</v>
      </c>
      <c r="C22" t="s">
        <v>2166</v>
      </c>
      <c r="D22" t="s">
        <v>2166</v>
      </c>
      <c r="E22" t="s">
        <v>2166</v>
      </c>
      <c r="F22" t="s">
        <v>2166</v>
      </c>
      <c r="G22" t="s">
        <v>2166</v>
      </c>
      <c r="H22" t="s">
        <v>2166</v>
      </c>
      <c r="I22" t="s">
        <v>2166</v>
      </c>
      <c r="J22" t="s">
        <v>2166</v>
      </c>
      <c r="K22" t="s">
        <v>2166</v>
      </c>
      <c r="L22" t="s">
        <v>2166</v>
      </c>
      <c r="M22" t="s">
        <v>2166</v>
      </c>
      <c r="N22" t="s">
        <v>2166</v>
      </c>
      <c r="O22" t="s">
        <v>2166</v>
      </c>
      <c r="P22" t="s">
        <v>2166</v>
      </c>
      <c r="Q22" t="s">
        <v>2166</v>
      </c>
      <c r="R22" t="s">
        <v>2166</v>
      </c>
      <c r="S22" t="s">
        <v>2166</v>
      </c>
      <c r="T22" t="s">
        <v>2166</v>
      </c>
      <c r="U22" t="s">
        <v>2166</v>
      </c>
      <c r="V22" t="s">
        <v>2166</v>
      </c>
      <c r="W22" t="s">
        <v>2166</v>
      </c>
      <c r="X22" t="s">
        <v>2166</v>
      </c>
      <c r="Y22" t="s">
        <v>2166</v>
      </c>
      <c r="Z22" t="s">
        <v>2166</v>
      </c>
      <c r="AA22" t="s">
        <v>2166</v>
      </c>
      <c r="AB22" t="s">
        <v>2166</v>
      </c>
      <c r="AC22" t="s">
        <v>2166</v>
      </c>
      <c r="AD22" t="s">
        <v>2166</v>
      </c>
      <c r="AE22" t="s">
        <v>2166</v>
      </c>
      <c r="AF22" t="s">
        <v>2166</v>
      </c>
      <c r="AG22" t="s">
        <v>2166</v>
      </c>
      <c r="AH22" t="s">
        <v>2166</v>
      </c>
      <c r="AI22" t="s">
        <v>2166</v>
      </c>
      <c r="AJ22" t="s">
        <v>2166</v>
      </c>
      <c r="AK22" t="s">
        <v>2166</v>
      </c>
      <c r="AL22" t="s">
        <v>2166</v>
      </c>
      <c r="AM22" t="s">
        <v>2166</v>
      </c>
      <c r="AN22" t="s">
        <v>2166</v>
      </c>
      <c r="AO22" t="s">
        <v>2166</v>
      </c>
      <c r="AP22" t="s">
        <v>2166</v>
      </c>
      <c r="AQ22" t="s">
        <v>2166</v>
      </c>
      <c r="AR22" t="s">
        <v>2166</v>
      </c>
      <c r="AS22" t="s">
        <v>2166</v>
      </c>
      <c r="AT22" t="s">
        <v>2166</v>
      </c>
      <c r="AU22" t="s">
        <v>2166</v>
      </c>
      <c r="AV22" t="s">
        <v>2166</v>
      </c>
      <c r="AW22" t="s">
        <v>2166</v>
      </c>
      <c r="AX22" t="s">
        <v>2166</v>
      </c>
      <c r="AY22" t="s">
        <v>2166</v>
      </c>
      <c r="AZ22" t="s">
        <v>2166</v>
      </c>
      <c r="BA22" t="s">
        <v>2166</v>
      </c>
      <c r="BB22" t="s">
        <v>2166</v>
      </c>
      <c r="BC22" t="s">
        <v>2166</v>
      </c>
      <c r="BD22" t="s">
        <v>2166</v>
      </c>
      <c r="BE22" t="s">
        <v>2166</v>
      </c>
      <c r="BF22" t="s">
        <v>2166</v>
      </c>
      <c r="BG22" t="s">
        <v>2166</v>
      </c>
      <c r="BH22" t="s">
        <v>2166</v>
      </c>
      <c r="BI22" t="s">
        <v>2166</v>
      </c>
      <c r="BJ22" t="s">
        <v>2166</v>
      </c>
      <c r="BK22" t="s">
        <v>2166</v>
      </c>
      <c r="BL22" t="s">
        <v>2166</v>
      </c>
      <c r="BM22" t="s">
        <v>2166</v>
      </c>
      <c r="BN22" t="s">
        <v>2166</v>
      </c>
      <c r="BO22" t="s">
        <v>2166</v>
      </c>
      <c r="BP22" t="s">
        <v>2166</v>
      </c>
      <c r="BQ22" t="s">
        <v>2166</v>
      </c>
      <c r="BR22" t="s">
        <v>2166</v>
      </c>
      <c r="BS22" t="s">
        <v>2166</v>
      </c>
      <c r="BT22" t="s">
        <v>2166</v>
      </c>
      <c r="BU22" t="s">
        <v>2166</v>
      </c>
      <c r="BV22" t="s">
        <v>2166</v>
      </c>
      <c r="BW22" t="s">
        <v>2166</v>
      </c>
      <c r="BX22" t="s">
        <v>2166</v>
      </c>
      <c r="BY22" t="s">
        <v>2166</v>
      </c>
      <c r="BZ22" t="s">
        <v>2166</v>
      </c>
      <c r="CA22" t="s">
        <v>2166</v>
      </c>
      <c r="CB22" t="s">
        <v>2166</v>
      </c>
      <c r="CC22" t="s">
        <v>2166</v>
      </c>
      <c r="CD22" t="s">
        <v>2166</v>
      </c>
      <c r="CE22" t="s">
        <v>2166</v>
      </c>
      <c r="CF22" t="s">
        <v>2166</v>
      </c>
      <c r="CG22" t="s">
        <v>2166</v>
      </c>
      <c r="CH22" t="s">
        <v>2166</v>
      </c>
      <c r="CI22" t="s">
        <v>2166</v>
      </c>
      <c r="CJ22" t="s">
        <v>2166</v>
      </c>
      <c r="CK22" t="s">
        <v>2166</v>
      </c>
      <c r="CL22" t="s">
        <v>2166</v>
      </c>
      <c r="CM22" t="s">
        <v>2166</v>
      </c>
      <c r="CN22" t="s">
        <v>2166</v>
      </c>
      <c r="CO22" t="s">
        <v>2166</v>
      </c>
      <c r="CP22" t="s">
        <v>2166</v>
      </c>
      <c r="CQ22" t="s">
        <v>2166</v>
      </c>
      <c r="CR22" t="s">
        <v>2166</v>
      </c>
      <c r="CS22" t="s">
        <v>2166</v>
      </c>
      <c r="CT22" t="s">
        <v>2166</v>
      </c>
      <c r="CU22" t="s">
        <v>2166</v>
      </c>
      <c r="CV22" t="s">
        <v>2166</v>
      </c>
      <c r="CW22" t="s">
        <v>2166</v>
      </c>
      <c r="CX22" t="s">
        <v>2166</v>
      </c>
      <c r="CY22" t="s">
        <v>2166</v>
      </c>
      <c r="CZ22" t="s">
        <v>2166</v>
      </c>
      <c r="DA22" t="s">
        <v>2166</v>
      </c>
      <c r="DB22" t="s">
        <v>2166</v>
      </c>
      <c r="DC22" t="s">
        <v>2166</v>
      </c>
      <c r="DD22" t="s">
        <v>2166</v>
      </c>
      <c r="DE22" t="s">
        <v>2166</v>
      </c>
      <c r="DF22" t="s">
        <v>2166</v>
      </c>
      <c r="DG22" t="s">
        <v>2166</v>
      </c>
      <c r="DH22" t="s">
        <v>2166</v>
      </c>
      <c r="DI22" t="s">
        <v>2166</v>
      </c>
    </row>
    <row r="23" spans="1:113" x14ac:dyDescent="0.2">
      <c r="A23" t="s">
        <v>2166</v>
      </c>
      <c r="B23" t="s">
        <v>2166</v>
      </c>
      <c r="C23" t="s">
        <v>2166</v>
      </c>
      <c r="D23" t="s">
        <v>2166</v>
      </c>
      <c r="E23" t="s">
        <v>2166</v>
      </c>
      <c r="F23" t="s">
        <v>2166</v>
      </c>
      <c r="G23" t="s">
        <v>2166</v>
      </c>
      <c r="H23" t="s">
        <v>2166</v>
      </c>
      <c r="I23" t="s">
        <v>2166</v>
      </c>
      <c r="J23" t="s">
        <v>2166</v>
      </c>
      <c r="K23" t="s">
        <v>2166</v>
      </c>
      <c r="L23" t="s">
        <v>2166</v>
      </c>
      <c r="M23" t="s">
        <v>2166</v>
      </c>
      <c r="N23" t="s">
        <v>2166</v>
      </c>
      <c r="O23" t="s">
        <v>2166</v>
      </c>
      <c r="P23" t="s">
        <v>2166</v>
      </c>
      <c r="Q23" t="s">
        <v>2166</v>
      </c>
      <c r="R23" t="s">
        <v>2166</v>
      </c>
      <c r="S23" t="s">
        <v>2166</v>
      </c>
      <c r="T23" t="s">
        <v>2166</v>
      </c>
      <c r="U23" t="s">
        <v>2166</v>
      </c>
      <c r="V23" t="s">
        <v>2166</v>
      </c>
      <c r="W23" t="s">
        <v>2166</v>
      </c>
      <c r="X23" t="s">
        <v>2166</v>
      </c>
      <c r="Y23" t="s">
        <v>2166</v>
      </c>
      <c r="Z23" t="s">
        <v>2166</v>
      </c>
      <c r="AA23" t="s">
        <v>2166</v>
      </c>
      <c r="AB23" t="s">
        <v>2166</v>
      </c>
      <c r="AC23" t="s">
        <v>2166</v>
      </c>
      <c r="AD23" t="s">
        <v>2166</v>
      </c>
      <c r="AE23" t="s">
        <v>2166</v>
      </c>
      <c r="AF23" t="s">
        <v>2166</v>
      </c>
      <c r="AG23" t="s">
        <v>2166</v>
      </c>
      <c r="AH23" t="s">
        <v>2166</v>
      </c>
      <c r="AI23" t="s">
        <v>2166</v>
      </c>
      <c r="AJ23" t="s">
        <v>2166</v>
      </c>
      <c r="AK23" t="s">
        <v>2166</v>
      </c>
      <c r="AL23" t="s">
        <v>2166</v>
      </c>
      <c r="AM23" t="s">
        <v>2166</v>
      </c>
      <c r="AN23" t="s">
        <v>2166</v>
      </c>
      <c r="AO23" t="s">
        <v>2166</v>
      </c>
      <c r="AP23" t="s">
        <v>2166</v>
      </c>
      <c r="AQ23" t="s">
        <v>2166</v>
      </c>
      <c r="AR23" t="s">
        <v>2166</v>
      </c>
      <c r="AS23" t="s">
        <v>2166</v>
      </c>
      <c r="AT23" t="s">
        <v>2166</v>
      </c>
      <c r="AU23" t="s">
        <v>2166</v>
      </c>
      <c r="AV23" t="s">
        <v>2166</v>
      </c>
      <c r="AW23" t="s">
        <v>2166</v>
      </c>
      <c r="AX23" t="s">
        <v>2166</v>
      </c>
      <c r="AY23" t="s">
        <v>2166</v>
      </c>
      <c r="AZ23" t="s">
        <v>2166</v>
      </c>
      <c r="BA23" t="s">
        <v>2166</v>
      </c>
      <c r="BB23" t="s">
        <v>2166</v>
      </c>
      <c r="BC23" t="s">
        <v>2166</v>
      </c>
      <c r="BD23" t="s">
        <v>2166</v>
      </c>
      <c r="BE23" t="s">
        <v>2166</v>
      </c>
      <c r="BF23" t="s">
        <v>2166</v>
      </c>
      <c r="BG23" t="s">
        <v>2166</v>
      </c>
      <c r="BH23" t="s">
        <v>2166</v>
      </c>
      <c r="BI23" t="s">
        <v>2166</v>
      </c>
      <c r="BJ23" t="s">
        <v>2166</v>
      </c>
      <c r="BK23" t="s">
        <v>2166</v>
      </c>
      <c r="BL23" t="s">
        <v>2166</v>
      </c>
      <c r="BM23" t="s">
        <v>2166</v>
      </c>
      <c r="BN23" t="s">
        <v>2166</v>
      </c>
      <c r="BO23" t="s">
        <v>2166</v>
      </c>
      <c r="BP23" t="s">
        <v>2166</v>
      </c>
      <c r="BQ23" t="s">
        <v>2166</v>
      </c>
      <c r="BR23" t="s">
        <v>2166</v>
      </c>
      <c r="BS23" t="s">
        <v>2166</v>
      </c>
      <c r="BT23" t="s">
        <v>2166</v>
      </c>
      <c r="BU23" t="s">
        <v>2166</v>
      </c>
      <c r="BV23" t="s">
        <v>2166</v>
      </c>
      <c r="BW23" t="s">
        <v>2166</v>
      </c>
      <c r="BX23" t="s">
        <v>2166</v>
      </c>
      <c r="BY23" t="s">
        <v>2166</v>
      </c>
      <c r="BZ23" t="s">
        <v>2166</v>
      </c>
      <c r="CA23" t="s">
        <v>2166</v>
      </c>
      <c r="CB23" t="s">
        <v>2166</v>
      </c>
      <c r="CC23" t="s">
        <v>2166</v>
      </c>
      <c r="CD23" t="s">
        <v>2166</v>
      </c>
      <c r="CE23" t="s">
        <v>2166</v>
      </c>
      <c r="CF23" t="s">
        <v>2166</v>
      </c>
      <c r="CG23" t="s">
        <v>2166</v>
      </c>
      <c r="CH23" t="s">
        <v>2166</v>
      </c>
      <c r="CI23" t="s">
        <v>2166</v>
      </c>
      <c r="CJ23" t="s">
        <v>2166</v>
      </c>
      <c r="CK23" t="s">
        <v>2166</v>
      </c>
      <c r="CL23" t="s">
        <v>2166</v>
      </c>
      <c r="CM23" t="s">
        <v>2166</v>
      </c>
      <c r="CN23" t="s">
        <v>2166</v>
      </c>
      <c r="CO23" t="s">
        <v>2166</v>
      </c>
      <c r="CP23" t="s">
        <v>2166</v>
      </c>
      <c r="CQ23" t="s">
        <v>2166</v>
      </c>
      <c r="CR23" t="s">
        <v>2166</v>
      </c>
      <c r="CS23" t="s">
        <v>2166</v>
      </c>
      <c r="CT23" t="s">
        <v>2166</v>
      </c>
      <c r="CU23" t="s">
        <v>2166</v>
      </c>
      <c r="CV23" t="s">
        <v>2166</v>
      </c>
      <c r="CW23" t="s">
        <v>2166</v>
      </c>
      <c r="CX23" t="s">
        <v>2166</v>
      </c>
      <c r="CY23" t="s">
        <v>2166</v>
      </c>
      <c r="CZ23" t="s">
        <v>2166</v>
      </c>
      <c r="DA23" t="s">
        <v>2166</v>
      </c>
      <c r="DB23" t="s">
        <v>2166</v>
      </c>
      <c r="DC23" t="s">
        <v>2166</v>
      </c>
      <c r="DD23" t="s">
        <v>2166</v>
      </c>
      <c r="DE23" t="s">
        <v>2166</v>
      </c>
      <c r="DF23" t="s">
        <v>2166</v>
      </c>
      <c r="DG23" t="s">
        <v>2166</v>
      </c>
      <c r="DH23" t="s">
        <v>2166</v>
      </c>
      <c r="DI23" t="s">
        <v>2166</v>
      </c>
    </row>
    <row r="24" spans="1:113" x14ac:dyDescent="0.2">
      <c r="A24" t="s">
        <v>2166</v>
      </c>
      <c r="B24" t="s">
        <v>2166</v>
      </c>
      <c r="C24" t="s">
        <v>2166</v>
      </c>
      <c r="D24" t="s">
        <v>2166</v>
      </c>
      <c r="E24" t="s">
        <v>2166</v>
      </c>
      <c r="F24" t="s">
        <v>2166</v>
      </c>
      <c r="G24" t="s">
        <v>2166</v>
      </c>
      <c r="H24" t="s">
        <v>2166</v>
      </c>
      <c r="I24" t="s">
        <v>2166</v>
      </c>
      <c r="J24" t="s">
        <v>2166</v>
      </c>
      <c r="K24" t="s">
        <v>2166</v>
      </c>
      <c r="L24" t="s">
        <v>2166</v>
      </c>
      <c r="M24" t="s">
        <v>2166</v>
      </c>
      <c r="N24" t="s">
        <v>2166</v>
      </c>
      <c r="O24" t="s">
        <v>2166</v>
      </c>
      <c r="P24" t="s">
        <v>2166</v>
      </c>
      <c r="Q24" t="s">
        <v>2166</v>
      </c>
      <c r="R24" t="s">
        <v>2166</v>
      </c>
      <c r="S24" t="s">
        <v>2166</v>
      </c>
      <c r="T24" t="s">
        <v>2166</v>
      </c>
      <c r="U24" t="s">
        <v>2166</v>
      </c>
      <c r="V24" t="s">
        <v>2166</v>
      </c>
      <c r="W24" t="s">
        <v>2166</v>
      </c>
      <c r="X24" t="s">
        <v>2166</v>
      </c>
      <c r="Y24" t="s">
        <v>2166</v>
      </c>
      <c r="Z24" t="s">
        <v>2166</v>
      </c>
      <c r="AA24" t="s">
        <v>2166</v>
      </c>
      <c r="AB24" t="s">
        <v>2166</v>
      </c>
      <c r="AC24" t="s">
        <v>2166</v>
      </c>
      <c r="AD24" t="s">
        <v>2166</v>
      </c>
      <c r="AE24" t="s">
        <v>2166</v>
      </c>
      <c r="AF24" t="s">
        <v>2166</v>
      </c>
      <c r="AG24" t="s">
        <v>2166</v>
      </c>
      <c r="AH24" t="s">
        <v>2166</v>
      </c>
      <c r="AI24" t="s">
        <v>2166</v>
      </c>
      <c r="AJ24" t="s">
        <v>2166</v>
      </c>
      <c r="AK24" t="s">
        <v>2166</v>
      </c>
      <c r="AL24" t="s">
        <v>2166</v>
      </c>
      <c r="AM24" t="s">
        <v>2166</v>
      </c>
      <c r="AN24" t="s">
        <v>2166</v>
      </c>
      <c r="AO24" t="s">
        <v>2166</v>
      </c>
      <c r="AP24" t="s">
        <v>2166</v>
      </c>
      <c r="AQ24" t="s">
        <v>2166</v>
      </c>
      <c r="AR24" t="s">
        <v>2166</v>
      </c>
      <c r="AS24" t="s">
        <v>2166</v>
      </c>
      <c r="AT24" t="s">
        <v>2166</v>
      </c>
      <c r="AU24" t="s">
        <v>2166</v>
      </c>
      <c r="AV24" t="s">
        <v>2166</v>
      </c>
      <c r="AW24" t="s">
        <v>2166</v>
      </c>
      <c r="AX24" t="s">
        <v>2166</v>
      </c>
      <c r="AY24" t="s">
        <v>2166</v>
      </c>
      <c r="AZ24" t="s">
        <v>2166</v>
      </c>
      <c r="BA24" t="s">
        <v>2166</v>
      </c>
      <c r="BB24" t="s">
        <v>2166</v>
      </c>
      <c r="BC24" t="s">
        <v>2166</v>
      </c>
      <c r="BD24" t="s">
        <v>2166</v>
      </c>
      <c r="BE24" t="s">
        <v>2166</v>
      </c>
      <c r="BF24" t="s">
        <v>2166</v>
      </c>
      <c r="BG24" t="s">
        <v>2166</v>
      </c>
      <c r="BH24" t="s">
        <v>2166</v>
      </c>
      <c r="BI24" t="s">
        <v>2166</v>
      </c>
      <c r="BJ24" t="s">
        <v>2166</v>
      </c>
      <c r="BK24" t="s">
        <v>2166</v>
      </c>
      <c r="BL24" t="s">
        <v>2166</v>
      </c>
      <c r="BM24" t="s">
        <v>2166</v>
      </c>
      <c r="BN24" t="s">
        <v>2166</v>
      </c>
      <c r="BO24" t="s">
        <v>2166</v>
      </c>
      <c r="BP24" t="s">
        <v>2166</v>
      </c>
      <c r="BQ24" t="s">
        <v>2166</v>
      </c>
      <c r="BR24" t="s">
        <v>2166</v>
      </c>
      <c r="BS24" t="s">
        <v>2166</v>
      </c>
      <c r="BT24" t="s">
        <v>2166</v>
      </c>
      <c r="BU24" t="s">
        <v>2166</v>
      </c>
      <c r="BV24" t="s">
        <v>2166</v>
      </c>
      <c r="BW24" t="s">
        <v>2166</v>
      </c>
      <c r="BX24" t="s">
        <v>2166</v>
      </c>
      <c r="BY24" t="s">
        <v>2166</v>
      </c>
      <c r="BZ24" t="s">
        <v>2166</v>
      </c>
      <c r="CA24" t="s">
        <v>2166</v>
      </c>
      <c r="CB24" t="s">
        <v>2166</v>
      </c>
      <c r="CC24" t="s">
        <v>2166</v>
      </c>
      <c r="CD24" t="s">
        <v>2166</v>
      </c>
      <c r="CE24" t="s">
        <v>2166</v>
      </c>
      <c r="CF24" t="s">
        <v>2166</v>
      </c>
      <c r="CG24" t="s">
        <v>2166</v>
      </c>
      <c r="CH24" t="s">
        <v>2166</v>
      </c>
      <c r="CI24" t="s">
        <v>2166</v>
      </c>
      <c r="CJ24" t="s">
        <v>2166</v>
      </c>
      <c r="CK24" t="s">
        <v>2166</v>
      </c>
      <c r="CL24" t="s">
        <v>2166</v>
      </c>
      <c r="CM24" t="s">
        <v>2166</v>
      </c>
      <c r="CN24" t="s">
        <v>2166</v>
      </c>
      <c r="CO24" t="s">
        <v>2166</v>
      </c>
      <c r="CP24" t="s">
        <v>2166</v>
      </c>
      <c r="CQ24" t="s">
        <v>2166</v>
      </c>
      <c r="CR24" t="s">
        <v>2166</v>
      </c>
      <c r="CS24" t="s">
        <v>2166</v>
      </c>
      <c r="CT24" t="s">
        <v>2166</v>
      </c>
      <c r="CU24" t="s">
        <v>2166</v>
      </c>
      <c r="CV24" t="s">
        <v>2166</v>
      </c>
      <c r="CW24" t="s">
        <v>2166</v>
      </c>
      <c r="CX24" t="s">
        <v>2166</v>
      </c>
      <c r="CY24" t="s">
        <v>2166</v>
      </c>
      <c r="CZ24" t="s">
        <v>2166</v>
      </c>
      <c r="DA24" t="s">
        <v>2166</v>
      </c>
      <c r="DB24" t="s">
        <v>2166</v>
      </c>
      <c r="DC24" t="s">
        <v>2166</v>
      </c>
      <c r="DD24" t="s">
        <v>2166</v>
      </c>
      <c r="DE24" t="s">
        <v>2166</v>
      </c>
      <c r="DF24" t="s">
        <v>2166</v>
      </c>
      <c r="DG24" t="s">
        <v>2166</v>
      </c>
      <c r="DH24" t="s">
        <v>2166</v>
      </c>
      <c r="DI24" t="s">
        <v>2166</v>
      </c>
    </row>
    <row r="25" spans="1:113" x14ac:dyDescent="0.2">
      <c r="A25" t="s">
        <v>2166</v>
      </c>
      <c r="B25" t="s">
        <v>2166</v>
      </c>
      <c r="C25" t="s">
        <v>2166</v>
      </c>
      <c r="D25" t="s">
        <v>2166</v>
      </c>
      <c r="E25" t="s">
        <v>2166</v>
      </c>
      <c r="F25" t="s">
        <v>2166</v>
      </c>
      <c r="G25" t="s">
        <v>2166</v>
      </c>
      <c r="H25" t="s">
        <v>2166</v>
      </c>
      <c r="I25" t="s">
        <v>2166</v>
      </c>
      <c r="J25" t="s">
        <v>2166</v>
      </c>
      <c r="K25" t="s">
        <v>2166</v>
      </c>
      <c r="L25" t="s">
        <v>2166</v>
      </c>
      <c r="M25" t="s">
        <v>2166</v>
      </c>
      <c r="N25" t="s">
        <v>2166</v>
      </c>
      <c r="O25" t="s">
        <v>2166</v>
      </c>
      <c r="P25" t="s">
        <v>2166</v>
      </c>
      <c r="Q25" t="s">
        <v>2166</v>
      </c>
      <c r="R25" t="s">
        <v>2166</v>
      </c>
      <c r="S25" t="s">
        <v>2166</v>
      </c>
      <c r="T25" t="s">
        <v>2166</v>
      </c>
      <c r="U25" t="s">
        <v>2166</v>
      </c>
      <c r="V25" t="s">
        <v>2166</v>
      </c>
      <c r="W25" t="s">
        <v>2166</v>
      </c>
      <c r="X25" t="s">
        <v>2166</v>
      </c>
      <c r="Y25" t="s">
        <v>2166</v>
      </c>
      <c r="Z25" t="s">
        <v>2166</v>
      </c>
      <c r="AA25" t="s">
        <v>2166</v>
      </c>
      <c r="AB25" t="s">
        <v>2166</v>
      </c>
      <c r="AC25" t="s">
        <v>2166</v>
      </c>
      <c r="AD25" t="s">
        <v>2166</v>
      </c>
      <c r="AE25" t="s">
        <v>2166</v>
      </c>
      <c r="AF25" t="s">
        <v>2166</v>
      </c>
      <c r="AG25" t="s">
        <v>2166</v>
      </c>
      <c r="AH25" t="s">
        <v>2166</v>
      </c>
      <c r="AI25" t="s">
        <v>2166</v>
      </c>
      <c r="AJ25" t="s">
        <v>2166</v>
      </c>
      <c r="AK25" t="s">
        <v>2166</v>
      </c>
      <c r="AL25" t="s">
        <v>2166</v>
      </c>
      <c r="AM25" t="s">
        <v>2166</v>
      </c>
      <c r="AN25" t="s">
        <v>2166</v>
      </c>
      <c r="AO25" t="s">
        <v>2166</v>
      </c>
      <c r="AP25" t="s">
        <v>2166</v>
      </c>
      <c r="AQ25" t="s">
        <v>2166</v>
      </c>
      <c r="AR25" t="s">
        <v>2166</v>
      </c>
      <c r="AS25" t="s">
        <v>2166</v>
      </c>
      <c r="AT25" t="s">
        <v>2166</v>
      </c>
      <c r="AU25" t="s">
        <v>2166</v>
      </c>
      <c r="AV25" t="s">
        <v>2166</v>
      </c>
      <c r="AW25" t="s">
        <v>2166</v>
      </c>
      <c r="AX25" t="s">
        <v>2166</v>
      </c>
      <c r="AY25" t="s">
        <v>2166</v>
      </c>
      <c r="AZ25" t="s">
        <v>2166</v>
      </c>
      <c r="BA25" t="s">
        <v>2166</v>
      </c>
      <c r="BB25" t="s">
        <v>2166</v>
      </c>
      <c r="BC25" t="s">
        <v>2166</v>
      </c>
      <c r="BD25" t="s">
        <v>2166</v>
      </c>
      <c r="BE25" t="s">
        <v>2166</v>
      </c>
      <c r="BF25" t="s">
        <v>2166</v>
      </c>
      <c r="BG25" t="s">
        <v>2166</v>
      </c>
      <c r="BH25" t="s">
        <v>2166</v>
      </c>
      <c r="BI25" t="s">
        <v>2166</v>
      </c>
      <c r="BJ25" t="s">
        <v>2166</v>
      </c>
      <c r="BK25" t="s">
        <v>2166</v>
      </c>
      <c r="BL25" t="s">
        <v>2166</v>
      </c>
      <c r="BM25" t="s">
        <v>2166</v>
      </c>
      <c r="BN25" t="s">
        <v>2166</v>
      </c>
      <c r="BO25" t="s">
        <v>2166</v>
      </c>
      <c r="BP25" t="s">
        <v>2166</v>
      </c>
      <c r="BQ25" t="s">
        <v>2166</v>
      </c>
      <c r="BR25" t="s">
        <v>2166</v>
      </c>
      <c r="BS25" t="s">
        <v>2166</v>
      </c>
      <c r="BT25" t="s">
        <v>2166</v>
      </c>
      <c r="BU25" t="s">
        <v>2166</v>
      </c>
      <c r="BV25" t="s">
        <v>2166</v>
      </c>
      <c r="BW25" t="s">
        <v>2166</v>
      </c>
      <c r="BX25" t="s">
        <v>2166</v>
      </c>
      <c r="BY25" t="s">
        <v>2166</v>
      </c>
      <c r="BZ25" t="s">
        <v>2166</v>
      </c>
      <c r="CA25" t="s">
        <v>2166</v>
      </c>
      <c r="CB25" t="s">
        <v>2166</v>
      </c>
      <c r="CC25" t="s">
        <v>2166</v>
      </c>
      <c r="CD25" t="s">
        <v>2166</v>
      </c>
      <c r="CE25" t="s">
        <v>2166</v>
      </c>
      <c r="CF25" t="s">
        <v>2166</v>
      </c>
      <c r="CG25" t="s">
        <v>2166</v>
      </c>
      <c r="CH25" t="s">
        <v>2166</v>
      </c>
      <c r="CI25" t="s">
        <v>2166</v>
      </c>
      <c r="CJ25" t="s">
        <v>2166</v>
      </c>
      <c r="CK25" t="s">
        <v>2166</v>
      </c>
      <c r="CL25" t="s">
        <v>2166</v>
      </c>
      <c r="CM25" t="s">
        <v>2166</v>
      </c>
      <c r="CN25" t="s">
        <v>2166</v>
      </c>
      <c r="CO25" t="s">
        <v>2166</v>
      </c>
      <c r="CP25" t="s">
        <v>2166</v>
      </c>
      <c r="CQ25" t="s">
        <v>2166</v>
      </c>
      <c r="CR25" t="s">
        <v>2166</v>
      </c>
      <c r="CS25" t="s">
        <v>2166</v>
      </c>
      <c r="CT25" t="s">
        <v>2166</v>
      </c>
      <c r="CU25" t="s">
        <v>2166</v>
      </c>
      <c r="CV25" t="s">
        <v>2166</v>
      </c>
      <c r="CW25" t="s">
        <v>2166</v>
      </c>
      <c r="CX25" t="s">
        <v>2166</v>
      </c>
      <c r="CY25" t="s">
        <v>2166</v>
      </c>
      <c r="CZ25" t="s">
        <v>2166</v>
      </c>
      <c r="DA25" t="s">
        <v>2166</v>
      </c>
      <c r="DB25" t="s">
        <v>2166</v>
      </c>
      <c r="DC25" t="s">
        <v>2166</v>
      </c>
      <c r="DD25" t="s">
        <v>2166</v>
      </c>
      <c r="DE25" t="s">
        <v>2166</v>
      </c>
      <c r="DF25" t="s">
        <v>2166</v>
      </c>
      <c r="DG25" t="s">
        <v>2166</v>
      </c>
      <c r="DH25" t="s">
        <v>2166</v>
      </c>
      <c r="DI25" t="s">
        <v>2166</v>
      </c>
    </row>
    <row r="26" spans="1:113" x14ac:dyDescent="0.2">
      <c r="A26" t="s">
        <v>2166</v>
      </c>
      <c r="B26" t="s">
        <v>2166</v>
      </c>
      <c r="C26" t="s">
        <v>2166</v>
      </c>
      <c r="D26" t="s">
        <v>2166</v>
      </c>
      <c r="E26" t="s">
        <v>2166</v>
      </c>
      <c r="F26" t="s">
        <v>2166</v>
      </c>
      <c r="G26" t="s">
        <v>2166</v>
      </c>
      <c r="H26" t="s">
        <v>2166</v>
      </c>
      <c r="I26" t="s">
        <v>2166</v>
      </c>
      <c r="J26" t="s">
        <v>2166</v>
      </c>
      <c r="K26" t="s">
        <v>2166</v>
      </c>
      <c r="L26" t="s">
        <v>2166</v>
      </c>
      <c r="M26" t="s">
        <v>2166</v>
      </c>
      <c r="N26" t="s">
        <v>2166</v>
      </c>
      <c r="O26" t="s">
        <v>2166</v>
      </c>
      <c r="P26" t="s">
        <v>2166</v>
      </c>
      <c r="Q26" t="s">
        <v>2166</v>
      </c>
      <c r="R26" t="s">
        <v>2166</v>
      </c>
      <c r="S26" t="s">
        <v>2166</v>
      </c>
      <c r="T26" t="s">
        <v>2166</v>
      </c>
      <c r="U26" t="s">
        <v>2166</v>
      </c>
      <c r="V26" t="s">
        <v>2166</v>
      </c>
      <c r="W26" t="s">
        <v>2166</v>
      </c>
      <c r="X26" t="s">
        <v>2166</v>
      </c>
      <c r="Y26" t="s">
        <v>2166</v>
      </c>
      <c r="Z26" t="s">
        <v>2166</v>
      </c>
      <c r="AA26" t="s">
        <v>2166</v>
      </c>
      <c r="AB26" t="s">
        <v>2166</v>
      </c>
      <c r="AC26" t="s">
        <v>2166</v>
      </c>
      <c r="AD26" t="s">
        <v>2166</v>
      </c>
      <c r="AE26" t="s">
        <v>2166</v>
      </c>
      <c r="AF26" t="s">
        <v>2166</v>
      </c>
      <c r="AG26" t="s">
        <v>2166</v>
      </c>
      <c r="AH26" t="s">
        <v>2166</v>
      </c>
      <c r="AI26" t="s">
        <v>2166</v>
      </c>
      <c r="AJ26" t="s">
        <v>2166</v>
      </c>
      <c r="AK26" t="s">
        <v>2166</v>
      </c>
      <c r="AL26" t="s">
        <v>2166</v>
      </c>
      <c r="AM26" t="s">
        <v>2166</v>
      </c>
      <c r="AN26" t="s">
        <v>2166</v>
      </c>
      <c r="AO26" t="s">
        <v>2166</v>
      </c>
      <c r="AP26" t="s">
        <v>2166</v>
      </c>
      <c r="AQ26" t="s">
        <v>2166</v>
      </c>
      <c r="AR26" t="s">
        <v>2166</v>
      </c>
      <c r="AS26" t="s">
        <v>2166</v>
      </c>
      <c r="AT26" t="s">
        <v>2166</v>
      </c>
      <c r="AU26" t="s">
        <v>2166</v>
      </c>
      <c r="AV26" t="s">
        <v>2166</v>
      </c>
      <c r="AW26" t="s">
        <v>2166</v>
      </c>
      <c r="AX26" t="s">
        <v>2166</v>
      </c>
      <c r="AY26" t="s">
        <v>2166</v>
      </c>
      <c r="AZ26" t="s">
        <v>2166</v>
      </c>
      <c r="BA26" t="s">
        <v>2166</v>
      </c>
      <c r="BB26" t="s">
        <v>2166</v>
      </c>
      <c r="BC26" t="s">
        <v>2166</v>
      </c>
      <c r="BD26" t="s">
        <v>2166</v>
      </c>
      <c r="BE26" t="s">
        <v>2166</v>
      </c>
      <c r="BF26" t="s">
        <v>2166</v>
      </c>
      <c r="BG26" t="s">
        <v>2166</v>
      </c>
      <c r="BH26" t="s">
        <v>2166</v>
      </c>
      <c r="BI26" t="s">
        <v>2166</v>
      </c>
      <c r="BJ26" t="s">
        <v>2166</v>
      </c>
      <c r="BK26" t="s">
        <v>2166</v>
      </c>
      <c r="BL26" t="s">
        <v>2166</v>
      </c>
      <c r="BM26" t="s">
        <v>2166</v>
      </c>
      <c r="BN26" t="s">
        <v>2166</v>
      </c>
      <c r="BO26" t="s">
        <v>2166</v>
      </c>
      <c r="BP26" t="s">
        <v>2166</v>
      </c>
      <c r="BQ26" t="s">
        <v>2166</v>
      </c>
      <c r="BR26" t="s">
        <v>2166</v>
      </c>
      <c r="BS26" t="s">
        <v>2166</v>
      </c>
      <c r="BT26" t="s">
        <v>2166</v>
      </c>
      <c r="BU26" t="s">
        <v>2166</v>
      </c>
      <c r="BV26" t="s">
        <v>2166</v>
      </c>
      <c r="BW26" t="s">
        <v>2166</v>
      </c>
      <c r="BX26" t="s">
        <v>2166</v>
      </c>
      <c r="BY26" t="s">
        <v>2166</v>
      </c>
      <c r="BZ26" t="s">
        <v>2166</v>
      </c>
      <c r="CA26" t="s">
        <v>2166</v>
      </c>
      <c r="CB26" t="s">
        <v>2166</v>
      </c>
      <c r="CC26" t="s">
        <v>2166</v>
      </c>
      <c r="CD26" t="s">
        <v>2166</v>
      </c>
      <c r="CE26" t="s">
        <v>2166</v>
      </c>
      <c r="CF26" t="s">
        <v>2166</v>
      </c>
      <c r="CG26" t="s">
        <v>2166</v>
      </c>
      <c r="CH26" t="s">
        <v>2166</v>
      </c>
      <c r="CI26" t="s">
        <v>2166</v>
      </c>
      <c r="CJ26" t="s">
        <v>2166</v>
      </c>
      <c r="CK26" t="s">
        <v>2166</v>
      </c>
      <c r="CL26" t="s">
        <v>2166</v>
      </c>
      <c r="CM26" t="s">
        <v>2166</v>
      </c>
      <c r="CN26" t="s">
        <v>2166</v>
      </c>
      <c r="CO26" t="s">
        <v>2166</v>
      </c>
      <c r="CP26" t="s">
        <v>2166</v>
      </c>
      <c r="CQ26" t="s">
        <v>2166</v>
      </c>
      <c r="CR26" t="s">
        <v>2166</v>
      </c>
      <c r="CS26" t="s">
        <v>2166</v>
      </c>
      <c r="CT26" t="s">
        <v>2166</v>
      </c>
      <c r="CU26" t="s">
        <v>2166</v>
      </c>
      <c r="CV26" t="s">
        <v>2166</v>
      </c>
      <c r="CW26" t="s">
        <v>2166</v>
      </c>
      <c r="CX26" t="s">
        <v>2166</v>
      </c>
      <c r="CY26" t="s">
        <v>2166</v>
      </c>
      <c r="CZ26" t="s">
        <v>2166</v>
      </c>
      <c r="DA26" t="s">
        <v>2166</v>
      </c>
      <c r="DB26" t="s">
        <v>2166</v>
      </c>
      <c r="DC26" t="s">
        <v>2166</v>
      </c>
      <c r="DD26" t="s">
        <v>2166</v>
      </c>
      <c r="DE26" t="s">
        <v>2166</v>
      </c>
      <c r="DF26" t="s">
        <v>2166</v>
      </c>
      <c r="DG26" t="s">
        <v>2166</v>
      </c>
      <c r="DH26" t="s">
        <v>2166</v>
      </c>
      <c r="DI26" t="s">
        <v>2166</v>
      </c>
    </row>
    <row r="27" spans="1:113" x14ac:dyDescent="0.2">
      <c r="A27" t="s">
        <v>2166</v>
      </c>
      <c r="B27" t="s">
        <v>2166</v>
      </c>
      <c r="C27" t="s">
        <v>2166</v>
      </c>
      <c r="D27" t="s">
        <v>2166</v>
      </c>
      <c r="E27" t="s">
        <v>2166</v>
      </c>
      <c r="F27" t="s">
        <v>2166</v>
      </c>
      <c r="G27" t="s">
        <v>2166</v>
      </c>
      <c r="H27" t="s">
        <v>2166</v>
      </c>
      <c r="I27" t="s">
        <v>2166</v>
      </c>
      <c r="J27" t="s">
        <v>2166</v>
      </c>
      <c r="K27" t="s">
        <v>2166</v>
      </c>
      <c r="L27" t="s">
        <v>2166</v>
      </c>
      <c r="M27" t="s">
        <v>2166</v>
      </c>
      <c r="N27" t="s">
        <v>2166</v>
      </c>
      <c r="O27" t="s">
        <v>2166</v>
      </c>
      <c r="P27" t="s">
        <v>2166</v>
      </c>
      <c r="Q27" t="s">
        <v>2166</v>
      </c>
      <c r="R27" t="s">
        <v>2166</v>
      </c>
      <c r="S27" t="s">
        <v>2166</v>
      </c>
      <c r="T27" t="s">
        <v>2166</v>
      </c>
      <c r="U27" t="s">
        <v>2166</v>
      </c>
      <c r="V27" t="s">
        <v>2166</v>
      </c>
      <c r="W27" t="s">
        <v>2166</v>
      </c>
      <c r="X27" t="s">
        <v>2166</v>
      </c>
      <c r="Y27" t="s">
        <v>2166</v>
      </c>
      <c r="Z27" t="s">
        <v>2166</v>
      </c>
      <c r="AA27" t="s">
        <v>2166</v>
      </c>
      <c r="AB27" t="s">
        <v>2166</v>
      </c>
      <c r="AC27" t="s">
        <v>2166</v>
      </c>
      <c r="AD27" t="s">
        <v>2166</v>
      </c>
      <c r="AE27" t="s">
        <v>2166</v>
      </c>
      <c r="AF27" t="s">
        <v>2166</v>
      </c>
      <c r="AG27" t="s">
        <v>2166</v>
      </c>
      <c r="AH27" t="s">
        <v>2166</v>
      </c>
      <c r="AI27" t="s">
        <v>2166</v>
      </c>
      <c r="AJ27" t="s">
        <v>2166</v>
      </c>
      <c r="AK27" t="s">
        <v>2166</v>
      </c>
      <c r="AL27" t="s">
        <v>2166</v>
      </c>
      <c r="AM27" t="s">
        <v>2166</v>
      </c>
      <c r="AN27" t="s">
        <v>2166</v>
      </c>
      <c r="AO27" t="s">
        <v>2166</v>
      </c>
      <c r="AP27" t="s">
        <v>2166</v>
      </c>
      <c r="AQ27" t="s">
        <v>2166</v>
      </c>
      <c r="AR27" t="s">
        <v>2166</v>
      </c>
      <c r="AS27" t="s">
        <v>2166</v>
      </c>
      <c r="AT27" t="s">
        <v>2166</v>
      </c>
      <c r="AU27" t="s">
        <v>2166</v>
      </c>
      <c r="AV27" t="s">
        <v>2166</v>
      </c>
      <c r="AW27" t="s">
        <v>2166</v>
      </c>
      <c r="AX27" t="s">
        <v>2166</v>
      </c>
      <c r="AY27" t="s">
        <v>2166</v>
      </c>
      <c r="AZ27" t="s">
        <v>2166</v>
      </c>
      <c r="BA27" t="s">
        <v>2166</v>
      </c>
      <c r="BB27" t="s">
        <v>2166</v>
      </c>
      <c r="BC27" t="s">
        <v>2166</v>
      </c>
      <c r="BD27" t="s">
        <v>2166</v>
      </c>
      <c r="BE27" t="s">
        <v>2166</v>
      </c>
      <c r="BF27" t="s">
        <v>2166</v>
      </c>
      <c r="BG27" t="s">
        <v>2166</v>
      </c>
      <c r="BH27" t="s">
        <v>2166</v>
      </c>
      <c r="BI27" t="s">
        <v>2166</v>
      </c>
      <c r="BJ27" t="s">
        <v>2166</v>
      </c>
      <c r="BK27" t="s">
        <v>2166</v>
      </c>
      <c r="BL27" t="s">
        <v>2166</v>
      </c>
      <c r="BM27" t="s">
        <v>2166</v>
      </c>
      <c r="BN27" t="s">
        <v>2166</v>
      </c>
      <c r="BO27" t="s">
        <v>2166</v>
      </c>
      <c r="BP27" t="s">
        <v>2166</v>
      </c>
      <c r="BQ27" t="s">
        <v>2166</v>
      </c>
      <c r="BR27" t="s">
        <v>2166</v>
      </c>
      <c r="BS27" t="s">
        <v>2166</v>
      </c>
      <c r="BT27" t="s">
        <v>2166</v>
      </c>
      <c r="BU27" t="s">
        <v>2166</v>
      </c>
      <c r="BV27" t="s">
        <v>2166</v>
      </c>
      <c r="BW27" t="s">
        <v>2166</v>
      </c>
      <c r="BX27" t="s">
        <v>2166</v>
      </c>
      <c r="BY27" t="s">
        <v>2166</v>
      </c>
      <c r="BZ27" t="s">
        <v>2166</v>
      </c>
      <c r="CA27" t="s">
        <v>2166</v>
      </c>
      <c r="CB27" t="s">
        <v>2166</v>
      </c>
      <c r="CC27" t="s">
        <v>2166</v>
      </c>
      <c r="CD27" t="s">
        <v>2166</v>
      </c>
      <c r="CE27" t="s">
        <v>2166</v>
      </c>
      <c r="CF27" t="s">
        <v>2166</v>
      </c>
      <c r="CG27" t="s">
        <v>2166</v>
      </c>
      <c r="CH27" t="s">
        <v>2166</v>
      </c>
      <c r="CI27" t="s">
        <v>2166</v>
      </c>
      <c r="CJ27" t="s">
        <v>2166</v>
      </c>
      <c r="CK27" t="s">
        <v>2166</v>
      </c>
      <c r="CL27" t="s">
        <v>2166</v>
      </c>
      <c r="CM27" t="s">
        <v>2166</v>
      </c>
      <c r="CN27" t="s">
        <v>2166</v>
      </c>
      <c r="CO27" t="s">
        <v>2166</v>
      </c>
      <c r="CP27" t="s">
        <v>2166</v>
      </c>
      <c r="CQ27" t="s">
        <v>2166</v>
      </c>
      <c r="CR27" t="s">
        <v>2166</v>
      </c>
      <c r="CS27" t="s">
        <v>2166</v>
      </c>
      <c r="CT27" t="s">
        <v>2166</v>
      </c>
      <c r="CU27" t="s">
        <v>2166</v>
      </c>
      <c r="CV27" t="s">
        <v>2166</v>
      </c>
      <c r="CW27" t="s">
        <v>2166</v>
      </c>
      <c r="CX27" t="s">
        <v>2166</v>
      </c>
      <c r="CY27" t="s">
        <v>2166</v>
      </c>
      <c r="CZ27" t="s">
        <v>2166</v>
      </c>
      <c r="DA27" t="s">
        <v>2166</v>
      </c>
      <c r="DB27" t="s">
        <v>2166</v>
      </c>
      <c r="DC27" t="s">
        <v>2166</v>
      </c>
      <c r="DD27" t="s">
        <v>2166</v>
      </c>
      <c r="DE27" t="s">
        <v>2166</v>
      </c>
      <c r="DF27" t="s">
        <v>2166</v>
      </c>
      <c r="DG27" t="s">
        <v>2166</v>
      </c>
      <c r="DH27" t="s">
        <v>2166</v>
      </c>
      <c r="DI27" t="s">
        <v>2166</v>
      </c>
    </row>
    <row r="28" spans="1:113" x14ac:dyDescent="0.2">
      <c r="A28" t="s">
        <v>2166</v>
      </c>
      <c r="B28" t="s">
        <v>2166</v>
      </c>
      <c r="C28" t="s">
        <v>2166</v>
      </c>
      <c r="D28" t="s">
        <v>2166</v>
      </c>
      <c r="E28" t="s">
        <v>2166</v>
      </c>
      <c r="F28" t="s">
        <v>2166</v>
      </c>
      <c r="G28" t="s">
        <v>2166</v>
      </c>
      <c r="H28" t="s">
        <v>2166</v>
      </c>
      <c r="I28" t="s">
        <v>2166</v>
      </c>
      <c r="J28" t="s">
        <v>2166</v>
      </c>
      <c r="K28" t="s">
        <v>2166</v>
      </c>
      <c r="L28" t="s">
        <v>2166</v>
      </c>
      <c r="M28" t="s">
        <v>2166</v>
      </c>
      <c r="N28" t="s">
        <v>2166</v>
      </c>
      <c r="O28" t="s">
        <v>2166</v>
      </c>
      <c r="P28" t="s">
        <v>2166</v>
      </c>
      <c r="Q28" t="s">
        <v>2166</v>
      </c>
      <c r="R28" t="s">
        <v>2166</v>
      </c>
      <c r="S28" t="s">
        <v>2166</v>
      </c>
      <c r="T28" t="s">
        <v>2166</v>
      </c>
      <c r="U28" t="s">
        <v>2166</v>
      </c>
      <c r="V28" t="s">
        <v>2166</v>
      </c>
      <c r="W28" t="s">
        <v>2166</v>
      </c>
      <c r="X28" t="s">
        <v>2166</v>
      </c>
      <c r="Y28" t="s">
        <v>2166</v>
      </c>
      <c r="Z28" t="s">
        <v>2166</v>
      </c>
      <c r="AA28" t="s">
        <v>2166</v>
      </c>
      <c r="AB28" t="s">
        <v>2166</v>
      </c>
      <c r="AC28" t="s">
        <v>2166</v>
      </c>
      <c r="AD28" t="s">
        <v>2166</v>
      </c>
      <c r="AE28" t="s">
        <v>2166</v>
      </c>
      <c r="AF28" t="s">
        <v>2166</v>
      </c>
      <c r="AG28" t="s">
        <v>2166</v>
      </c>
      <c r="AH28" t="s">
        <v>2166</v>
      </c>
      <c r="AI28" t="s">
        <v>2166</v>
      </c>
      <c r="AJ28" t="s">
        <v>2166</v>
      </c>
      <c r="AK28" t="s">
        <v>2166</v>
      </c>
      <c r="AL28" t="s">
        <v>2166</v>
      </c>
      <c r="AM28" t="s">
        <v>2166</v>
      </c>
      <c r="AN28" t="s">
        <v>2166</v>
      </c>
      <c r="AO28" t="s">
        <v>2166</v>
      </c>
      <c r="AP28" t="s">
        <v>2166</v>
      </c>
      <c r="AQ28" t="s">
        <v>2166</v>
      </c>
      <c r="AR28" t="s">
        <v>2166</v>
      </c>
      <c r="AS28" t="s">
        <v>2166</v>
      </c>
      <c r="AT28" t="s">
        <v>2166</v>
      </c>
      <c r="AU28" t="s">
        <v>2166</v>
      </c>
      <c r="AV28" t="s">
        <v>2166</v>
      </c>
      <c r="AW28" t="s">
        <v>2166</v>
      </c>
      <c r="AX28" t="s">
        <v>2166</v>
      </c>
      <c r="AY28" t="s">
        <v>2166</v>
      </c>
      <c r="AZ28" t="s">
        <v>2166</v>
      </c>
      <c r="BA28" t="s">
        <v>2166</v>
      </c>
      <c r="BB28" t="s">
        <v>2166</v>
      </c>
      <c r="BC28" t="s">
        <v>2166</v>
      </c>
      <c r="BD28" t="s">
        <v>2166</v>
      </c>
      <c r="BE28" t="s">
        <v>2166</v>
      </c>
      <c r="BF28" t="s">
        <v>2166</v>
      </c>
      <c r="BG28" t="s">
        <v>2166</v>
      </c>
      <c r="BH28" t="s">
        <v>2166</v>
      </c>
      <c r="BI28" t="s">
        <v>2166</v>
      </c>
      <c r="BJ28" t="s">
        <v>2166</v>
      </c>
      <c r="BK28" t="s">
        <v>2166</v>
      </c>
      <c r="BL28" t="s">
        <v>2166</v>
      </c>
      <c r="BM28" t="s">
        <v>2166</v>
      </c>
      <c r="BN28" t="s">
        <v>2166</v>
      </c>
      <c r="BO28" t="s">
        <v>2166</v>
      </c>
      <c r="BP28" t="s">
        <v>2166</v>
      </c>
      <c r="BQ28" t="s">
        <v>2166</v>
      </c>
      <c r="BR28" t="s">
        <v>2166</v>
      </c>
      <c r="BS28" t="s">
        <v>2166</v>
      </c>
      <c r="BT28" t="s">
        <v>2166</v>
      </c>
      <c r="BU28" t="s">
        <v>2166</v>
      </c>
      <c r="BV28" t="s">
        <v>2166</v>
      </c>
      <c r="BW28" t="s">
        <v>2166</v>
      </c>
      <c r="BX28" t="s">
        <v>2166</v>
      </c>
      <c r="BY28" t="s">
        <v>2166</v>
      </c>
      <c r="BZ28" t="s">
        <v>2166</v>
      </c>
      <c r="CA28" t="s">
        <v>2166</v>
      </c>
      <c r="CB28" t="s">
        <v>2166</v>
      </c>
      <c r="CC28" t="s">
        <v>2166</v>
      </c>
      <c r="CD28" t="s">
        <v>2166</v>
      </c>
      <c r="CE28" t="s">
        <v>2166</v>
      </c>
      <c r="CF28" t="s">
        <v>2166</v>
      </c>
      <c r="CG28" t="s">
        <v>2166</v>
      </c>
      <c r="CH28" t="s">
        <v>2166</v>
      </c>
      <c r="CI28" t="s">
        <v>2166</v>
      </c>
      <c r="CJ28" t="s">
        <v>2166</v>
      </c>
      <c r="CK28" t="s">
        <v>2166</v>
      </c>
      <c r="CL28" t="s">
        <v>2166</v>
      </c>
      <c r="CM28" t="s">
        <v>2166</v>
      </c>
      <c r="CN28" t="s">
        <v>2166</v>
      </c>
      <c r="CO28" t="s">
        <v>2166</v>
      </c>
      <c r="CP28" t="s">
        <v>2166</v>
      </c>
      <c r="CQ28" t="s">
        <v>2166</v>
      </c>
      <c r="CR28" t="s">
        <v>2166</v>
      </c>
      <c r="CS28" t="s">
        <v>2166</v>
      </c>
      <c r="CT28" t="s">
        <v>2166</v>
      </c>
      <c r="CU28" t="s">
        <v>2166</v>
      </c>
      <c r="CV28" t="s">
        <v>2166</v>
      </c>
      <c r="CW28" t="s">
        <v>2166</v>
      </c>
      <c r="CX28" t="s">
        <v>2166</v>
      </c>
      <c r="CY28" t="s">
        <v>2166</v>
      </c>
      <c r="CZ28" t="s">
        <v>2166</v>
      </c>
      <c r="DA28" t="s">
        <v>2166</v>
      </c>
      <c r="DB28" t="s">
        <v>2166</v>
      </c>
      <c r="DC28" t="s">
        <v>2166</v>
      </c>
      <c r="DD28" t="s">
        <v>2166</v>
      </c>
      <c r="DE28" t="s">
        <v>2166</v>
      </c>
      <c r="DF28" t="s">
        <v>2166</v>
      </c>
      <c r="DG28" t="s">
        <v>2166</v>
      </c>
      <c r="DH28" t="s">
        <v>2166</v>
      </c>
      <c r="DI28" t="s">
        <v>2166</v>
      </c>
    </row>
    <row r="29" spans="1:113" x14ac:dyDescent="0.2">
      <c r="A29" t="s">
        <v>2166</v>
      </c>
      <c r="B29" t="s">
        <v>2166</v>
      </c>
      <c r="C29" t="s">
        <v>2166</v>
      </c>
      <c r="D29" t="s">
        <v>2166</v>
      </c>
      <c r="E29" t="s">
        <v>2166</v>
      </c>
      <c r="F29" t="s">
        <v>2166</v>
      </c>
      <c r="G29" t="s">
        <v>2166</v>
      </c>
      <c r="H29" t="s">
        <v>2166</v>
      </c>
      <c r="I29" t="s">
        <v>2166</v>
      </c>
      <c r="J29" t="s">
        <v>2166</v>
      </c>
      <c r="K29" t="s">
        <v>2166</v>
      </c>
      <c r="L29" t="s">
        <v>2166</v>
      </c>
      <c r="M29" t="s">
        <v>2166</v>
      </c>
      <c r="N29" t="s">
        <v>2166</v>
      </c>
      <c r="O29" t="s">
        <v>2166</v>
      </c>
      <c r="P29" t="s">
        <v>2166</v>
      </c>
      <c r="Q29" t="s">
        <v>2166</v>
      </c>
      <c r="R29" t="s">
        <v>2166</v>
      </c>
      <c r="S29" t="s">
        <v>2166</v>
      </c>
      <c r="T29" t="s">
        <v>2166</v>
      </c>
      <c r="U29" t="s">
        <v>2166</v>
      </c>
      <c r="V29" t="s">
        <v>2166</v>
      </c>
      <c r="W29" t="s">
        <v>2166</v>
      </c>
      <c r="X29" t="s">
        <v>2166</v>
      </c>
      <c r="Y29" t="s">
        <v>2166</v>
      </c>
      <c r="Z29" t="s">
        <v>2166</v>
      </c>
      <c r="AA29" t="s">
        <v>2166</v>
      </c>
      <c r="AB29" t="s">
        <v>2166</v>
      </c>
      <c r="AC29" t="s">
        <v>2166</v>
      </c>
      <c r="AD29" t="s">
        <v>2166</v>
      </c>
      <c r="AE29" t="s">
        <v>2166</v>
      </c>
      <c r="AF29" t="s">
        <v>2166</v>
      </c>
      <c r="AG29" t="s">
        <v>2166</v>
      </c>
      <c r="AH29" t="s">
        <v>2166</v>
      </c>
      <c r="AI29" t="s">
        <v>2166</v>
      </c>
      <c r="AJ29" t="s">
        <v>2166</v>
      </c>
      <c r="AK29" t="s">
        <v>2166</v>
      </c>
      <c r="AL29" t="s">
        <v>2166</v>
      </c>
      <c r="AM29" t="s">
        <v>2166</v>
      </c>
      <c r="AN29" t="s">
        <v>2166</v>
      </c>
      <c r="AO29" t="s">
        <v>2166</v>
      </c>
      <c r="AP29" t="s">
        <v>2166</v>
      </c>
      <c r="AQ29" t="s">
        <v>2166</v>
      </c>
      <c r="AR29" t="s">
        <v>2166</v>
      </c>
      <c r="AS29" t="s">
        <v>2166</v>
      </c>
      <c r="AT29" t="s">
        <v>2166</v>
      </c>
      <c r="AU29" t="s">
        <v>2166</v>
      </c>
      <c r="AV29" t="s">
        <v>2166</v>
      </c>
      <c r="AW29" t="s">
        <v>2166</v>
      </c>
      <c r="AX29" t="s">
        <v>2166</v>
      </c>
      <c r="AY29" t="s">
        <v>2166</v>
      </c>
      <c r="AZ29" t="s">
        <v>2166</v>
      </c>
      <c r="BA29" t="s">
        <v>2166</v>
      </c>
      <c r="BB29" t="s">
        <v>2166</v>
      </c>
      <c r="BC29" t="s">
        <v>2166</v>
      </c>
      <c r="BD29" t="s">
        <v>2166</v>
      </c>
      <c r="BE29" t="s">
        <v>2166</v>
      </c>
      <c r="BF29" t="s">
        <v>2166</v>
      </c>
      <c r="BG29" t="s">
        <v>2166</v>
      </c>
      <c r="BH29" t="s">
        <v>2166</v>
      </c>
      <c r="BI29" t="s">
        <v>2166</v>
      </c>
      <c r="BJ29" t="s">
        <v>2166</v>
      </c>
      <c r="BK29" t="s">
        <v>2166</v>
      </c>
      <c r="BL29" t="s">
        <v>2166</v>
      </c>
      <c r="BM29" t="s">
        <v>2166</v>
      </c>
      <c r="BN29" t="s">
        <v>2166</v>
      </c>
      <c r="BO29" t="s">
        <v>2166</v>
      </c>
      <c r="BP29" t="s">
        <v>2166</v>
      </c>
      <c r="BQ29" t="s">
        <v>2166</v>
      </c>
      <c r="BR29" t="s">
        <v>2166</v>
      </c>
      <c r="BS29" t="s">
        <v>2166</v>
      </c>
      <c r="BT29" t="s">
        <v>2166</v>
      </c>
      <c r="BU29" t="s">
        <v>2166</v>
      </c>
      <c r="BV29" t="s">
        <v>2166</v>
      </c>
      <c r="BW29" t="s">
        <v>2166</v>
      </c>
      <c r="BX29" t="s">
        <v>2166</v>
      </c>
      <c r="BY29" t="s">
        <v>2166</v>
      </c>
      <c r="BZ29" t="s">
        <v>2166</v>
      </c>
      <c r="CA29" t="s">
        <v>2166</v>
      </c>
      <c r="CB29" t="s">
        <v>2166</v>
      </c>
      <c r="CC29" t="s">
        <v>2166</v>
      </c>
      <c r="CD29" t="s">
        <v>2166</v>
      </c>
      <c r="CE29" t="s">
        <v>2166</v>
      </c>
      <c r="CF29" t="s">
        <v>2166</v>
      </c>
      <c r="CG29" t="s">
        <v>2166</v>
      </c>
      <c r="CH29" t="s">
        <v>2166</v>
      </c>
      <c r="CI29" t="s">
        <v>2166</v>
      </c>
      <c r="CJ29" t="s">
        <v>2166</v>
      </c>
      <c r="CK29" t="s">
        <v>2166</v>
      </c>
      <c r="CL29" t="s">
        <v>2166</v>
      </c>
      <c r="CM29" t="s">
        <v>2166</v>
      </c>
      <c r="CN29" t="s">
        <v>2166</v>
      </c>
      <c r="CO29" t="s">
        <v>2166</v>
      </c>
      <c r="CP29" t="s">
        <v>2166</v>
      </c>
      <c r="CQ29" t="s">
        <v>2166</v>
      </c>
      <c r="CR29" t="s">
        <v>2166</v>
      </c>
      <c r="CS29" t="s">
        <v>2166</v>
      </c>
      <c r="CT29" t="s">
        <v>2166</v>
      </c>
      <c r="CU29" t="s">
        <v>2166</v>
      </c>
      <c r="CV29" t="s">
        <v>2166</v>
      </c>
      <c r="CW29" t="s">
        <v>2166</v>
      </c>
      <c r="CX29" t="s">
        <v>2166</v>
      </c>
      <c r="CY29" t="s">
        <v>2166</v>
      </c>
      <c r="CZ29" t="s">
        <v>2166</v>
      </c>
      <c r="DA29" t="s">
        <v>2166</v>
      </c>
      <c r="DB29" t="s">
        <v>2166</v>
      </c>
      <c r="DC29" t="s">
        <v>2166</v>
      </c>
      <c r="DD29" t="s">
        <v>2166</v>
      </c>
      <c r="DE29" t="s">
        <v>2166</v>
      </c>
      <c r="DF29" t="s">
        <v>2166</v>
      </c>
      <c r="DG29" t="s">
        <v>2166</v>
      </c>
      <c r="DH29" t="s">
        <v>2166</v>
      </c>
      <c r="DI29" t="s">
        <v>2166</v>
      </c>
    </row>
    <row r="30" spans="1:113" x14ac:dyDescent="0.2">
      <c r="A30" t="s">
        <v>2166</v>
      </c>
      <c r="B30" t="s">
        <v>2166</v>
      </c>
      <c r="C30" t="s">
        <v>2166</v>
      </c>
      <c r="D30" t="s">
        <v>2166</v>
      </c>
      <c r="E30" t="s">
        <v>2166</v>
      </c>
      <c r="F30" t="s">
        <v>2166</v>
      </c>
      <c r="G30" t="s">
        <v>2166</v>
      </c>
      <c r="H30" t="s">
        <v>2166</v>
      </c>
      <c r="I30" t="s">
        <v>2166</v>
      </c>
      <c r="J30" t="s">
        <v>2166</v>
      </c>
      <c r="K30" t="s">
        <v>2166</v>
      </c>
      <c r="L30" t="s">
        <v>2166</v>
      </c>
      <c r="M30" t="s">
        <v>2166</v>
      </c>
      <c r="N30" t="s">
        <v>2166</v>
      </c>
      <c r="O30" t="s">
        <v>2166</v>
      </c>
      <c r="P30" t="s">
        <v>2166</v>
      </c>
      <c r="Q30" t="s">
        <v>2166</v>
      </c>
      <c r="R30" t="s">
        <v>2166</v>
      </c>
      <c r="S30" t="s">
        <v>2166</v>
      </c>
      <c r="T30" t="s">
        <v>2166</v>
      </c>
      <c r="U30" t="s">
        <v>2166</v>
      </c>
      <c r="V30" t="s">
        <v>2166</v>
      </c>
      <c r="W30" t="s">
        <v>2166</v>
      </c>
      <c r="X30" t="s">
        <v>2166</v>
      </c>
      <c r="Y30" t="s">
        <v>2166</v>
      </c>
      <c r="Z30" t="s">
        <v>2166</v>
      </c>
      <c r="AA30" t="s">
        <v>2166</v>
      </c>
      <c r="AB30" t="s">
        <v>2166</v>
      </c>
      <c r="AC30" t="s">
        <v>2166</v>
      </c>
      <c r="AD30" t="s">
        <v>2166</v>
      </c>
      <c r="AE30" t="s">
        <v>2166</v>
      </c>
      <c r="AF30" t="s">
        <v>2166</v>
      </c>
      <c r="AG30" t="s">
        <v>2166</v>
      </c>
      <c r="AH30" t="s">
        <v>2166</v>
      </c>
      <c r="AI30" t="s">
        <v>2166</v>
      </c>
      <c r="AJ30" t="s">
        <v>2166</v>
      </c>
      <c r="AK30" t="s">
        <v>2166</v>
      </c>
      <c r="AL30" t="s">
        <v>2166</v>
      </c>
      <c r="AM30" t="s">
        <v>2166</v>
      </c>
      <c r="AN30" t="s">
        <v>2166</v>
      </c>
      <c r="AO30" t="s">
        <v>2166</v>
      </c>
      <c r="AP30" t="s">
        <v>2166</v>
      </c>
      <c r="AQ30" t="s">
        <v>2166</v>
      </c>
      <c r="AR30" t="s">
        <v>2166</v>
      </c>
      <c r="AS30" t="s">
        <v>2166</v>
      </c>
      <c r="AT30" t="s">
        <v>2166</v>
      </c>
      <c r="AU30" t="s">
        <v>2166</v>
      </c>
      <c r="AV30" t="s">
        <v>2166</v>
      </c>
      <c r="AW30" t="s">
        <v>2166</v>
      </c>
      <c r="AX30" t="s">
        <v>2166</v>
      </c>
      <c r="AY30" t="s">
        <v>2166</v>
      </c>
      <c r="AZ30" t="s">
        <v>2166</v>
      </c>
      <c r="BA30" t="s">
        <v>2166</v>
      </c>
      <c r="BB30" t="s">
        <v>2166</v>
      </c>
      <c r="BC30" t="s">
        <v>2166</v>
      </c>
      <c r="BD30" t="s">
        <v>2166</v>
      </c>
      <c r="BE30" t="s">
        <v>2166</v>
      </c>
      <c r="BF30" t="s">
        <v>2166</v>
      </c>
      <c r="BG30" t="s">
        <v>2166</v>
      </c>
      <c r="BH30" t="s">
        <v>2166</v>
      </c>
      <c r="BI30" t="s">
        <v>2166</v>
      </c>
      <c r="BJ30" t="s">
        <v>2166</v>
      </c>
      <c r="BK30" t="s">
        <v>2166</v>
      </c>
      <c r="BL30" t="s">
        <v>2166</v>
      </c>
      <c r="BM30" t="s">
        <v>2166</v>
      </c>
      <c r="BN30" t="s">
        <v>2166</v>
      </c>
      <c r="BO30" t="s">
        <v>2166</v>
      </c>
      <c r="BP30" t="s">
        <v>2166</v>
      </c>
      <c r="BQ30" t="s">
        <v>2166</v>
      </c>
      <c r="BR30" t="s">
        <v>2166</v>
      </c>
      <c r="BS30" t="s">
        <v>2166</v>
      </c>
      <c r="BT30" t="s">
        <v>2166</v>
      </c>
      <c r="BU30" t="s">
        <v>2166</v>
      </c>
      <c r="BV30" t="s">
        <v>2166</v>
      </c>
      <c r="BW30" t="s">
        <v>2166</v>
      </c>
      <c r="BX30" t="s">
        <v>2166</v>
      </c>
      <c r="BY30" t="s">
        <v>2166</v>
      </c>
      <c r="BZ30" t="s">
        <v>2166</v>
      </c>
      <c r="CA30" t="s">
        <v>2166</v>
      </c>
      <c r="CB30" t="s">
        <v>2166</v>
      </c>
      <c r="CC30" t="s">
        <v>2166</v>
      </c>
      <c r="CD30" t="s">
        <v>2166</v>
      </c>
      <c r="CE30" t="s">
        <v>2166</v>
      </c>
      <c r="CF30" t="s">
        <v>2166</v>
      </c>
      <c r="CG30" t="s">
        <v>2166</v>
      </c>
      <c r="CH30" t="s">
        <v>2166</v>
      </c>
      <c r="CI30" t="s">
        <v>2166</v>
      </c>
      <c r="CJ30" t="s">
        <v>2166</v>
      </c>
      <c r="CK30" t="s">
        <v>2166</v>
      </c>
      <c r="CL30" t="s">
        <v>2166</v>
      </c>
      <c r="CM30" t="s">
        <v>2166</v>
      </c>
      <c r="CN30" t="s">
        <v>2166</v>
      </c>
      <c r="CO30" t="s">
        <v>2166</v>
      </c>
      <c r="CP30" t="s">
        <v>2166</v>
      </c>
      <c r="CQ30" t="s">
        <v>2166</v>
      </c>
      <c r="CR30" t="s">
        <v>2166</v>
      </c>
      <c r="CS30" t="s">
        <v>2166</v>
      </c>
      <c r="CT30" t="s">
        <v>2166</v>
      </c>
      <c r="CU30" t="s">
        <v>2166</v>
      </c>
      <c r="CV30" t="s">
        <v>2166</v>
      </c>
      <c r="CW30" t="s">
        <v>2166</v>
      </c>
      <c r="CX30" t="s">
        <v>2166</v>
      </c>
      <c r="CY30" t="s">
        <v>2166</v>
      </c>
      <c r="CZ30" t="s">
        <v>2166</v>
      </c>
      <c r="DA30" t="s">
        <v>2166</v>
      </c>
      <c r="DB30" t="s">
        <v>2166</v>
      </c>
      <c r="DC30" t="s">
        <v>2166</v>
      </c>
      <c r="DD30" t="s">
        <v>2166</v>
      </c>
      <c r="DE30" t="s">
        <v>2166</v>
      </c>
      <c r="DF30" t="s">
        <v>2166</v>
      </c>
      <c r="DG30" t="s">
        <v>2166</v>
      </c>
      <c r="DH30" t="s">
        <v>2166</v>
      </c>
      <c r="DI30" t="s">
        <v>2166</v>
      </c>
    </row>
    <row r="31" spans="1:113" x14ac:dyDescent="0.2">
      <c r="A31" t="s">
        <v>2166</v>
      </c>
      <c r="B31" t="s">
        <v>2166</v>
      </c>
      <c r="C31" t="s">
        <v>2166</v>
      </c>
      <c r="D31" t="s">
        <v>2166</v>
      </c>
      <c r="E31" t="s">
        <v>2166</v>
      </c>
      <c r="F31" t="s">
        <v>2166</v>
      </c>
      <c r="G31" t="s">
        <v>2166</v>
      </c>
      <c r="H31" t="s">
        <v>2166</v>
      </c>
      <c r="I31" t="s">
        <v>2166</v>
      </c>
      <c r="J31" t="s">
        <v>2166</v>
      </c>
      <c r="K31" t="s">
        <v>2166</v>
      </c>
      <c r="L31" t="s">
        <v>2166</v>
      </c>
      <c r="M31" t="s">
        <v>2166</v>
      </c>
      <c r="N31" t="s">
        <v>2166</v>
      </c>
      <c r="O31" t="s">
        <v>2166</v>
      </c>
      <c r="P31" t="s">
        <v>2166</v>
      </c>
      <c r="Q31" t="s">
        <v>2166</v>
      </c>
      <c r="R31" t="s">
        <v>2166</v>
      </c>
      <c r="S31" t="s">
        <v>2166</v>
      </c>
      <c r="T31" t="s">
        <v>2166</v>
      </c>
      <c r="U31" t="s">
        <v>2166</v>
      </c>
      <c r="V31" t="s">
        <v>2166</v>
      </c>
      <c r="W31" t="s">
        <v>2166</v>
      </c>
      <c r="X31" t="s">
        <v>2166</v>
      </c>
      <c r="Y31" t="s">
        <v>2166</v>
      </c>
      <c r="Z31" t="s">
        <v>2166</v>
      </c>
      <c r="AA31" t="s">
        <v>2166</v>
      </c>
      <c r="AB31" t="s">
        <v>2166</v>
      </c>
      <c r="AC31" t="s">
        <v>2166</v>
      </c>
      <c r="AD31" t="s">
        <v>2166</v>
      </c>
      <c r="AE31" t="s">
        <v>2166</v>
      </c>
      <c r="AF31" t="s">
        <v>2166</v>
      </c>
      <c r="AG31" t="s">
        <v>2166</v>
      </c>
      <c r="AH31" t="s">
        <v>2166</v>
      </c>
      <c r="AI31" t="s">
        <v>2166</v>
      </c>
      <c r="AJ31" t="s">
        <v>2166</v>
      </c>
      <c r="AK31" t="s">
        <v>2166</v>
      </c>
      <c r="AL31" t="s">
        <v>2166</v>
      </c>
      <c r="AM31" t="s">
        <v>2166</v>
      </c>
      <c r="AN31" t="s">
        <v>2166</v>
      </c>
      <c r="AO31" t="s">
        <v>2166</v>
      </c>
      <c r="AP31" t="s">
        <v>2166</v>
      </c>
      <c r="AQ31" t="s">
        <v>2166</v>
      </c>
      <c r="AR31" t="s">
        <v>2166</v>
      </c>
      <c r="AS31" t="s">
        <v>2166</v>
      </c>
      <c r="AT31" t="s">
        <v>2166</v>
      </c>
      <c r="AU31" t="s">
        <v>2166</v>
      </c>
      <c r="AV31" t="s">
        <v>2166</v>
      </c>
      <c r="AW31" t="s">
        <v>2166</v>
      </c>
      <c r="AX31" t="s">
        <v>2166</v>
      </c>
      <c r="AY31" t="s">
        <v>2166</v>
      </c>
      <c r="AZ31" t="s">
        <v>2166</v>
      </c>
      <c r="BA31" t="s">
        <v>2166</v>
      </c>
      <c r="BB31" t="s">
        <v>2166</v>
      </c>
      <c r="BC31" t="s">
        <v>2166</v>
      </c>
      <c r="BD31" t="s">
        <v>2166</v>
      </c>
      <c r="BE31" t="s">
        <v>2166</v>
      </c>
      <c r="BF31" t="s">
        <v>2166</v>
      </c>
      <c r="BG31" t="s">
        <v>2166</v>
      </c>
      <c r="BH31" t="s">
        <v>2166</v>
      </c>
      <c r="BI31" t="s">
        <v>2166</v>
      </c>
      <c r="BJ31" t="s">
        <v>2166</v>
      </c>
      <c r="BK31" t="s">
        <v>2166</v>
      </c>
      <c r="BL31" t="s">
        <v>2166</v>
      </c>
      <c r="BM31" t="s">
        <v>2166</v>
      </c>
      <c r="BN31" t="s">
        <v>2166</v>
      </c>
      <c r="BO31" t="s">
        <v>2166</v>
      </c>
      <c r="BP31" t="s">
        <v>2166</v>
      </c>
      <c r="BQ31" t="s">
        <v>2166</v>
      </c>
      <c r="BR31" t="s">
        <v>2166</v>
      </c>
      <c r="BS31" t="s">
        <v>2166</v>
      </c>
      <c r="BT31" t="s">
        <v>2166</v>
      </c>
      <c r="BU31" t="s">
        <v>2166</v>
      </c>
      <c r="BV31" t="s">
        <v>2166</v>
      </c>
      <c r="BW31" t="s">
        <v>2166</v>
      </c>
      <c r="BX31" t="s">
        <v>2166</v>
      </c>
      <c r="BY31" t="s">
        <v>2166</v>
      </c>
      <c r="BZ31" t="s">
        <v>2166</v>
      </c>
      <c r="CA31" t="s">
        <v>2166</v>
      </c>
      <c r="CB31" t="s">
        <v>2166</v>
      </c>
      <c r="CC31" t="s">
        <v>2166</v>
      </c>
      <c r="CD31" t="s">
        <v>2166</v>
      </c>
      <c r="CE31" t="s">
        <v>2166</v>
      </c>
      <c r="CF31" t="s">
        <v>2166</v>
      </c>
      <c r="CG31" t="s">
        <v>2166</v>
      </c>
      <c r="CH31" t="s">
        <v>2166</v>
      </c>
      <c r="CI31" t="s">
        <v>2166</v>
      </c>
      <c r="CJ31" t="s">
        <v>2166</v>
      </c>
      <c r="CK31" t="s">
        <v>2166</v>
      </c>
      <c r="CL31" t="s">
        <v>2166</v>
      </c>
      <c r="CM31" t="s">
        <v>2166</v>
      </c>
      <c r="CN31" t="s">
        <v>2166</v>
      </c>
      <c r="CO31" t="s">
        <v>2166</v>
      </c>
      <c r="CP31" t="s">
        <v>2166</v>
      </c>
      <c r="CQ31" t="s">
        <v>2166</v>
      </c>
      <c r="CR31" t="s">
        <v>2166</v>
      </c>
      <c r="CS31" t="s">
        <v>2166</v>
      </c>
      <c r="CT31" t="s">
        <v>2166</v>
      </c>
      <c r="CU31" t="s">
        <v>2166</v>
      </c>
      <c r="CV31" t="s">
        <v>2166</v>
      </c>
      <c r="CW31" t="s">
        <v>2166</v>
      </c>
      <c r="CX31" t="s">
        <v>2166</v>
      </c>
      <c r="CY31" t="s">
        <v>2166</v>
      </c>
      <c r="CZ31" t="s">
        <v>2166</v>
      </c>
      <c r="DA31" t="s">
        <v>2166</v>
      </c>
      <c r="DB31" t="s">
        <v>2166</v>
      </c>
      <c r="DC31" t="s">
        <v>2166</v>
      </c>
      <c r="DD31" t="s">
        <v>2166</v>
      </c>
      <c r="DE31" t="s">
        <v>2166</v>
      </c>
      <c r="DF31" t="s">
        <v>2166</v>
      </c>
      <c r="DG31" t="s">
        <v>2166</v>
      </c>
      <c r="DH31" t="s">
        <v>2166</v>
      </c>
      <c r="DI31" t="s">
        <v>2166</v>
      </c>
    </row>
    <row r="32" spans="1:113" x14ac:dyDescent="0.2">
      <c r="A32" t="s">
        <v>2166</v>
      </c>
      <c r="B32" t="s">
        <v>2166</v>
      </c>
      <c r="C32" t="s">
        <v>2166</v>
      </c>
      <c r="D32" t="s">
        <v>2166</v>
      </c>
      <c r="E32" t="s">
        <v>2166</v>
      </c>
      <c r="F32" t="s">
        <v>2166</v>
      </c>
      <c r="G32" t="s">
        <v>2166</v>
      </c>
      <c r="H32" t="s">
        <v>2166</v>
      </c>
      <c r="I32" t="s">
        <v>2166</v>
      </c>
      <c r="J32" t="s">
        <v>2166</v>
      </c>
      <c r="K32" t="s">
        <v>2166</v>
      </c>
      <c r="L32" t="s">
        <v>2166</v>
      </c>
      <c r="M32" t="s">
        <v>2166</v>
      </c>
      <c r="N32" t="s">
        <v>2166</v>
      </c>
      <c r="O32" t="s">
        <v>2166</v>
      </c>
      <c r="P32" t="s">
        <v>2166</v>
      </c>
      <c r="Q32" t="s">
        <v>2166</v>
      </c>
      <c r="R32" t="s">
        <v>2166</v>
      </c>
      <c r="S32" t="s">
        <v>2166</v>
      </c>
      <c r="T32" t="s">
        <v>2166</v>
      </c>
      <c r="U32" t="s">
        <v>2166</v>
      </c>
      <c r="V32" t="s">
        <v>2166</v>
      </c>
      <c r="W32" t="s">
        <v>2166</v>
      </c>
      <c r="X32" t="s">
        <v>2166</v>
      </c>
      <c r="Y32" t="s">
        <v>2166</v>
      </c>
      <c r="Z32" t="s">
        <v>2166</v>
      </c>
      <c r="AA32" t="s">
        <v>2166</v>
      </c>
      <c r="AB32" t="s">
        <v>2166</v>
      </c>
      <c r="AC32" t="s">
        <v>2166</v>
      </c>
      <c r="AD32" t="s">
        <v>2166</v>
      </c>
      <c r="AE32" t="s">
        <v>2166</v>
      </c>
      <c r="AF32" t="s">
        <v>2166</v>
      </c>
      <c r="AG32" t="s">
        <v>2166</v>
      </c>
      <c r="AH32" t="s">
        <v>2166</v>
      </c>
      <c r="AI32" t="s">
        <v>2166</v>
      </c>
      <c r="AJ32" t="s">
        <v>2166</v>
      </c>
      <c r="AK32" t="s">
        <v>2166</v>
      </c>
      <c r="AL32" t="s">
        <v>2166</v>
      </c>
      <c r="AM32" t="s">
        <v>2166</v>
      </c>
      <c r="AN32" t="s">
        <v>2166</v>
      </c>
      <c r="AO32" t="s">
        <v>2166</v>
      </c>
      <c r="AP32" t="s">
        <v>2166</v>
      </c>
      <c r="AQ32" t="s">
        <v>2166</v>
      </c>
      <c r="AR32" t="s">
        <v>2166</v>
      </c>
      <c r="AS32" t="s">
        <v>2166</v>
      </c>
      <c r="AT32" t="s">
        <v>2166</v>
      </c>
      <c r="AU32" t="s">
        <v>2166</v>
      </c>
      <c r="AV32" t="s">
        <v>2166</v>
      </c>
      <c r="AW32" t="s">
        <v>2166</v>
      </c>
      <c r="AX32" t="s">
        <v>2166</v>
      </c>
      <c r="AY32" t="s">
        <v>2166</v>
      </c>
      <c r="AZ32" t="s">
        <v>2166</v>
      </c>
      <c r="BA32" t="s">
        <v>2166</v>
      </c>
      <c r="BB32" t="s">
        <v>2166</v>
      </c>
      <c r="BC32" t="s">
        <v>2166</v>
      </c>
      <c r="BD32" t="s">
        <v>2166</v>
      </c>
      <c r="BE32" t="s">
        <v>2166</v>
      </c>
      <c r="BF32" t="s">
        <v>2166</v>
      </c>
      <c r="BG32" t="s">
        <v>2166</v>
      </c>
      <c r="BH32" t="s">
        <v>2166</v>
      </c>
      <c r="BI32" t="s">
        <v>2166</v>
      </c>
      <c r="BJ32" t="s">
        <v>2166</v>
      </c>
      <c r="BK32" t="s">
        <v>2166</v>
      </c>
      <c r="BL32" t="s">
        <v>2166</v>
      </c>
      <c r="BM32" t="s">
        <v>2166</v>
      </c>
      <c r="BN32" t="s">
        <v>2166</v>
      </c>
      <c r="BO32" t="s">
        <v>2166</v>
      </c>
      <c r="BP32" t="s">
        <v>2166</v>
      </c>
      <c r="BQ32" t="s">
        <v>2166</v>
      </c>
      <c r="BR32" t="s">
        <v>2166</v>
      </c>
      <c r="BS32" t="s">
        <v>2166</v>
      </c>
      <c r="BT32" t="s">
        <v>2166</v>
      </c>
      <c r="BU32" t="s">
        <v>2166</v>
      </c>
      <c r="BV32" t="s">
        <v>2166</v>
      </c>
      <c r="BW32" t="s">
        <v>2166</v>
      </c>
      <c r="BX32" t="s">
        <v>2166</v>
      </c>
      <c r="BY32" t="s">
        <v>2166</v>
      </c>
      <c r="BZ32" t="s">
        <v>2166</v>
      </c>
      <c r="CA32" t="s">
        <v>2166</v>
      </c>
      <c r="CB32" t="s">
        <v>2166</v>
      </c>
      <c r="CC32" t="s">
        <v>2166</v>
      </c>
      <c r="CD32" t="s">
        <v>2166</v>
      </c>
      <c r="CE32" t="s">
        <v>2166</v>
      </c>
      <c r="CF32" t="s">
        <v>2166</v>
      </c>
      <c r="CG32" t="s">
        <v>2166</v>
      </c>
      <c r="CH32" t="s">
        <v>2166</v>
      </c>
      <c r="CI32" t="s">
        <v>2166</v>
      </c>
      <c r="CJ32" t="s">
        <v>2166</v>
      </c>
      <c r="CK32" t="s">
        <v>2166</v>
      </c>
      <c r="CL32" t="s">
        <v>2166</v>
      </c>
      <c r="CM32" t="s">
        <v>2166</v>
      </c>
      <c r="CN32" t="s">
        <v>2166</v>
      </c>
      <c r="CO32" t="s">
        <v>2166</v>
      </c>
      <c r="CP32" t="s">
        <v>2166</v>
      </c>
      <c r="CQ32" t="s">
        <v>2166</v>
      </c>
      <c r="CR32" t="s">
        <v>2166</v>
      </c>
      <c r="CS32" t="s">
        <v>2166</v>
      </c>
      <c r="CT32" t="s">
        <v>2166</v>
      </c>
      <c r="CU32" t="s">
        <v>2166</v>
      </c>
      <c r="CV32" t="s">
        <v>2166</v>
      </c>
      <c r="CW32" t="s">
        <v>2166</v>
      </c>
      <c r="CX32" t="s">
        <v>2166</v>
      </c>
      <c r="CY32" t="s">
        <v>2166</v>
      </c>
      <c r="CZ32" t="s">
        <v>2166</v>
      </c>
      <c r="DA32" t="s">
        <v>2166</v>
      </c>
      <c r="DB32" t="s">
        <v>2166</v>
      </c>
      <c r="DC32" t="s">
        <v>2166</v>
      </c>
      <c r="DD32" t="s">
        <v>2166</v>
      </c>
      <c r="DE32" t="s">
        <v>2166</v>
      </c>
      <c r="DF32" t="s">
        <v>2166</v>
      </c>
      <c r="DG32" t="s">
        <v>2166</v>
      </c>
      <c r="DH32" t="s">
        <v>2166</v>
      </c>
      <c r="DI32" t="s">
        <v>2166</v>
      </c>
    </row>
    <row r="33" spans="1:113" x14ac:dyDescent="0.2">
      <c r="A33" t="s">
        <v>2166</v>
      </c>
      <c r="B33" t="s">
        <v>2166</v>
      </c>
      <c r="C33" t="s">
        <v>2166</v>
      </c>
      <c r="D33" t="s">
        <v>2166</v>
      </c>
      <c r="E33" t="s">
        <v>2166</v>
      </c>
      <c r="F33" t="s">
        <v>2166</v>
      </c>
      <c r="G33" t="s">
        <v>2166</v>
      </c>
      <c r="H33" t="s">
        <v>2166</v>
      </c>
      <c r="I33" t="s">
        <v>2166</v>
      </c>
      <c r="J33" t="s">
        <v>2166</v>
      </c>
      <c r="K33" t="s">
        <v>2166</v>
      </c>
      <c r="L33" t="s">
        <v>2166</v>
      </c>
      <c r="M33" t="s">
        <v>2166</v>
      </c>
      <c r="N33" t="s">
        <v>2166</v>
      </c>
      <c r="O33" t="s">
        <v>2166</v>
      </c>
      <c r="P33" t="s">
        <v>2166</v>
      </c>
      <c r="Q33" t="s">
        <v>2166</v>
      </c>
      <c r="R33" t="s">
        <v>2166</v>
      </c>
      <c r="S33" t="s">
        <v>2166</v>
      </c>
      <c r="T33" t="s">
        <v>2166</v>
      </c>
      <c r="U33" t="s">
        <v>2166</v>
      </c>
      <c r="V33" t="s">
        <v>2166</v>
      </c>
      <c r="W33" t="s">
        <v>2166</v>
      </c>
      <c r="X33" t="s">
        <v>2166</v>
      </c>
      <c r="Y33" t="s">
        <v>2166</v>
      </c>
      <c r="Z33" t="s">
        <v>2166</v>
      </c>
      <c r="AA33" t="s">
        <v>2166</v>
      </c>
      <c r="AB33" t="s">
        <v>2166</v>
      </c>
      <c r="AC33" t="s">
        <v>2166</v>
      </c>
      <c r="AD33" t="s">
        <v>2166</v>
      </c>
      <c r="AE33" t="s">
        <v>2166</v>
      </c>
      <c r="AF33" t="s">
        <v>2166</v>
      </c>
      <c r="AG33" t="s">
        <v>2166</v>
      </c>
      <c r="AH33" t="s">
        <v>2166</v>
      </c>
      <c r="AI33" t="s">
        <v>2166</v>
      </c>
      <c r="AJ33" t="s">
        <v>2166</v>
      </c>
      <c r="AK33" t="s">
        <v>2166</v>
      </c>
      <c r="AL33" t="s">
        <v>2166</v>
      </c>
      <c r="AM33" t="s">
        <v>2166</v>
      </c>
      <c r="AN33" t="s">
        <v>2166</v>
      </c>
      <c r="AO33" t="s">
        <v>2166</v>
      </c>
      <c r="AP33" t="s">
        <v>2166</v>
      </c>
      <c r="AQ33" t="s">
        <v>2166</v>
      </c>
      <c r="AR33" t="s">
        <v>2166</v>
      </c>
      <c r="AS33" t="s">
        <v>2166</v>
      </c>
      <c r="AT33" t="s">
        <v>2166</v>
      </c>
      <c r="AU33" t="s">
        <v>2166</v>
      </c>
      <c r="AV33" t="s">
        <v>2166</v>
      </c>
      <c r="AW33" t="s">
        <v>2166</v>
      </c>
      <c r="AX33" t="s">
        <v>2166</v>
      </c>
      <c r="AY33" t="s">
        <v>2166</v>
      </c>
      <c r="AZ33" t="s">
        <v>2166</v>
      </c>
      <c r="BA33" t="s">
        <v>2166</v>
      </c>
      <c r="BB33" t="s">
        <v>2166</v>
      </c>
      <c r="BC33" t="s">
        <v>2166</v>
      </c>
      <c r="BD33" t="s">
        <v>2166</v>
      </c>
      <c r="BE33" t="s">
        <v>2166</v>
      </c>
      <c r="BF33" t="s">
        <v>2166</v>
      </c>
      <c r="BG33" t="s">
        <v>2166</v>
      </c>
      <c r="BH33" t="s">
        <v>2166</v>
      </c>
      <c r="BI33" t="s">
        <v>2166</v>
      </c>
      <c r="BJ33" t="s">
        <v>2166</v>
      </c>
      <c r="BK33" t="s">
        <v>2166</v>
      </c>
      <c r="BL33" t="s">
        <v>2166</v>
      </c>
      <c r="BM33" t="s">
        <v>2166</v>
      </c>
      <c r="BN33" t="s">
        <v>2166</v>
      </c>
      <c r="BO33" t="s">
        <v>2166</v>
      </c>
      <c r="BP33" t="s">
        <v>2166</v>
      </c>
      <c r="BQ33" t="s">
        <v>2166</v>
      </c>
      <c r="BR33" t="s">
        <v>2166</v>
      </c>
      <c r="BS33" t="s">
        <v>2166</v>
      </c>
      <c r="BT33" t="s">
        <v>2166</v>
      </c>
      <c r="BU33" t="s">
        <v>2166</v>
      </c>
      <c r="BV33" t="s">
        <v>2166</v>
      </c>
      <c r="BW33" t="s">
        <v>2166</v>
      </c>
      <c r="BX33" t="s">
        <v>2166</v>
      </c>
      <c r="BY33" t="s">
        <v>2166</v>
      </c>
      <c r="BZ33" t="s">
        <v>2166</v>
      </c>
      <c r="CA33" t="s">
        <v>2166</v>
      </c>
      <c r="CB33" t="s">
        <v>2166</v>
      </c>
      <c r="CC33" t="s">
        <v>2166</v>
      </c>
      <c r="CD33" t="s">
        <v>2166</v>
      </c>
      <c r="CE33" t="s">
        <v>2166</v>
      </c>
      <c r="CF33" t="s">
        <v>2166</v>
      </c>
      <c r="CG33" t="s">
        <v>2166</v>
      </c>
      <c r="CH33" t="s">
        <v>2166</v>
      </c>
      <c r="CI33" t="s">
        <v>2166</v>
      </c>
      <c r="CJ33" t="s">
        <v>2166</v>
      </c>
      <c r="CK33" t="s">
        <v>2166</v>
      </c>
      <c r="CL33" t="s">
        <v>2166</v>
      </c>
      <c r="CM33" t="s">
        <v>2166</v>
      </c>
      <c r="CN33" t="s">
        <v>2166</v>
      </c>
      <c r="CO33" t="s">
        <v>2166</v>
      </c>
      <c r="CP33" t="s">
        <v>2166</v>
      </c>
      <c r="CQ33" t="s">
        <v>2166</v>
      </c>
      <c r="CR33" t="s">
        <v>2166</v>
      </c>
      <c r="CS33" t="s">
        <v>2166</v>
      </c>
      <c r="CT33" t="s">
        <v>2166</v>
      </c>
      <c r="CU33" t="s">
        <v>2166</v>
      </c>
      <c r="CV33" t="s">
        <v>2166</v>
      </c>
      <c r="CW33" t="s">
        <v>2166</v>
      </c>
      <c r="CX33" t="s">
        <v>2166</v>
      </c>
      <c r="CY33" t="s">
        <v>2166</v>
      </c>
      <c r="CZ33" t="s">
        <v>2166</v>
      </c>
      <c r="DA33" t="s">
        <v>2166</v>
      </c>
      <c r="DB33" t="s">
        <v>2166</v>
      </c>
      <c r="DC33" t="s">
        <v>2166</v>
      </c>
      <c r="DD33" t="s">
        <v>2166</v>
      </c>
      <c r="DE33" t="s">
        <v>2166</v>
      </c>
      <c r="DF33" t="s">
        <v>2166</v>
      </c>
      <c r="DG33" t="s">
        <v>2166</v>
      </c>
      <c r="DH33" t="s">
        <v>2166</v>
      </c>
      <c r="DI33" t="s">
        <v>2166</v>
      </c>
    </row>
    <row r="34" spans="1:113" x14ac:dyDescent="0.2">
      <c r="A34" t="s">
        <v>2166</v>
      </c>
      <c r="B34" t="s">
        <v>2166</v>
      </c>
      <c r="C34" t="s">
        <v>2166</v>
      </c>
      <c r="D34" t="s">
        <v>2166</v>
      </c>
      <c r="E34" t="s">
        <v>2166</v>
      </c>
      <c r="F34" t="s">
        <v>2166</v>
      </c>
      <c r="G34" t="s">
        <v>2166</v>
      </c>
      <c r="H34" t="s">
        <v>2166</v>
      </c>
      <c r="I34" t="s">
        <v>2166</v>
      </c>
      <c r="J34" t="s">
        <v>2166</v>
      </c>
      <c r="K34" t="s">
        <v>2166</v>
      </c>
      <c r="L34" t="s">
        <v>2166</v>
      </c>
      <c r="M34" t="s">
        <v>2166</v>
      </c>
      <c r="N34" t="s">
        <v>2166</v>
      </c>
      <c r="O34" t="s">
        <v>2166</v>
      </c>
      <c r="P34" t="s">
        <v>2166</v>
      </c>
      <c r="Q34" t="s">
        <v>2166</v>
      </c>
      <c r="R34" t="s">
        <v>2166</v>
      </c>
      <c r="S34" t="s">
        <v>2166</v>
      </c>
      <c r="T34" t="s">
        <v>2166</v>
      </c>
      <c r="U34" t="s">
        <v>2166</v>
      </c>
      <c r="V34" t="s">
        <v>2166</v>
      </c>
      <c r="W34" t="s">
        <v>2166</v>
      </c>
      <c r="X34" t="s">
        <v>2166</v>
      </c>
      <c r="Y34" t="s">
        <v>2166</v>
      </c>
      <c r="Z34" t="s">
        <v>2166</v>
      </c>
      <c r="AA34" t="s">
        <v>2166</v>
      </c>
      <c r="AB34" t="s">
        <v>2166</v>
      </c>
      <c r="AC34" t="s">
        <v>2166</v>
      </c>
      <c r="AD34" t="s">
        <v>2166</v>
      </c>
      <c r="AE34" t="s">
        <v>2166</v>
      </c>
      <c r="AF34" t="s">
        <v>2166</v>
      </c>
      <c r="AG34" t="s">
        <v>2166</v>
      </c>
      <c r="AH34" t="s">
        <v>2166</v>
      </c>
      <c r="AI34" t="s">
        <v>2166</v>
      </c>
      <c r="AJ34" t="s">
        <v>2166</v>
      </c>
      <c r="AK34" t="s">
        <v>2166</v>
      </c>
      <c r="AL34" t="s">
        <v>2166</v>
      </c>
      <c r="AM34" t="s">
        <v>2166</v>
      </c>
      <c r="AN34" t="s">
        <v>2166</v>
      </c>
      <c r="AO34" t="s">
        <v>2166</v>
      </c>
      <c r="AP34" t="s">
        <v>2166</v>
      </c>
      <c r="AQ34" t="s">
        <v>2166</v>
      </c>
      <c r="AR34" t="s">
        <v>2166</v>
      </c>
      <c r="AS34" t="s">
        <v>2166</v>
      </c>
      <c r="AT34" t="s">
        <v>2166</v>
      </c>
      <c r="AU34" t="s">
        <v>2166</v>
      </c>
      <c r="AV34" t="s">
        <v>2166</v>
      </c>
      <c r="AW34" t="s">
        <v>2166</v>
      </c>
      <c r="AX34" t="s">
        <v>2166</v>
      </c>
      <c r="AY34" t="s">
        <v>2166</v>
      </c>
      <c r="AZ34" t="s">
        <v>2166</v>
      </c>
      <c r="BA34" t="s">
        <v>2166</v>
      </c>
      <c r="BB34" t="s">
        <v>2166</v>
      </c>
      <c r="BC34" t="s">
        <v>2166</v>
      </c>
      <c r="BD34" t="s">
        <v>2166</v>
      </c>
      <c r="BE34" t="s">
        <v>2166</v>
      </c>
      <c r="BF34" t="s">
        <v>2166</v>
      </c>
      <c r="BG34" t="s">
        <v>2166</v>
      </c>
      <c r="BH34" t="s">
        <v>2166</v>
      </c>
      <c r="BI34" t="s">
        <v>2166</v>
      </c>
      <c r="BJ34" t="s">
        <v>2166</v>
      </c>
      <c r="BK34" t="s">
        <v>2166</v>
      </c>
      <c r="BL34" t="s">
        <v>2166</v>
      </c>
      <c r="BM34" t="s">
        <v>2166</v>
      </c>
      <c r="BN34" t="s">
        <v>2166</v>
      </c>
      <c r="BO34" t="s">
        <v>2166</v>
      </c>
      <c r="BP34" t="s">
        <v>2166</v>
      </c>
      <c r="BQ34" t="s">
        <v>2166</v>
      </c>
      <c r="BR34" t="s">
        <v>2166</v>
      </c>
      <c r="BS34" t="s">
        <v>2166</v>
      </c>
      <c r="BT34" t="s">
        <v>2166</v>
      </c>
      <c r="BU34" t="s">
        <v>2166</v>
      </c>
      <c r="BV34" t="s">
        <v>2166</v>
      </c>
      <c r="BW34" t="s">
        <v>2166</v>
      </c>
      <c r="BX34" t="s">
        <v>2166</v>
      </c>
      <c r="BY34" t="s">
        <v>2166</v>
      </c>
      <c r="BZ34" t="s">
        <v>2166</v>
      </c>
      <c r="CA34" t="s">
        <v>2166</v>
      </c>
      <c r="CB34" t="s">
        <v>2166</v>
      </c>
      <c r="CC34" t="s">
        <v>2166</v>
      </c>
      <c r="CD34" t="s">
        <v>2166</v>
      </c>
      <c r="CE34" t="s">
        <v>2166</v>
      </c>
      <c r="CF34" t="s">
        <v>2166</v>
      </c>
      <c r="CG34" t="s">
        <v>2166</v>
      </c>
      <c r="CH34" t="s">
        <v>2166</v>
      </c>
      <c r="CI34" t="s">
        <v>2166</v>
      </c>
      <c r="CJ34" t="s">
        <v>2166</v>
      </c>
      <c r="CK34" t="s">
        <v>2166</v>
      </c>
      <c r="CL34" t="s">
        <v>2166</v>
      </c>
      <c r="CM34" t="s">
        <v>2166</v>
      </c>
      <c r="CN34" t="s">
        <v>2166</v>
      </c>
      <c r="CO34" t="s">
        <v>2166</v>
      </c>
      <c r="CP34" t="s">
        <v>2166</v>
      </c>
      <c r="CQ34" t="s">
        <v>2166</v>
      </c>
      <c r="CR34" t="s">
        <v>2166</v>
      </c>
      <c r="CS34" t="s">
        <v>2166</v>
      </c>
      <c r="CT34" t="s">
        <v>2166</v>
      </c>
      <c r="CU34" t="s">
        <v>2166</v>
      </c>
      <c r="CV34" t="s">
        <v>2166</v>
      </c>
      <c r="CW34" t="s">
        <v>2166</v>
      </c>
      <c r="CX34" t="s">
        <v>2166</v>
      </c>
      <c r="CY34" t="s">
        <v>2166</v>
      </c>
      <c r="CZ34" t="s">
        <v>2166</v>
      </c>
      <c r="DA34" t="s">
        <v>2166</v>
      </c>
      <c r="DB34" t="s">
        <v>2166</v>
      </c>
      <c r="DC34" t="s">
        <v>2166</v>
      </c>
      <c r="DD34" t="s">
        <v>2166</v>
      </c>
      <c r="DE34" t="s">
        <v>2166</v>
      </c>
      <c r="DF34" t="s">
        <v>2166</v>
      </c>
      <c r="DG34" t="s">
        <v>2166</v>
      </c>
      <c r="DH34" t="s">
        <v>2166</v>
      </c>
      <c r="DI34" t="s">
        <v>2166</v>
      </c>
    </row>
    <row r="35" spans="1:113" x14ac:dyDescent="0.2">
      <c r="A35" t="s">
        <v>2166</v>
      </c>
      <c r="B35" t="s">
        <v>2166</v>
      </c>
      <c r="C35" t="s">
        <v>2166</v>
      </c>
      <c r="D35" t="s">
        <v>2166</v>
      </c>
      <c r="E35" t="s">
        <v>2166</v>
      </c>
      <c r="F35" t="s">
        <v>2166</v>
      </c>
      <c r="G35" t="s">
        <v>2166</v>
      </c>
      <c r="H35" t="s">
        <v>2166</v>
      </c>
      <c r="I35" t="s">
        <v>2166</v>
      </c>
      <c r="J35" t="s">
        <v>2166</v>
      </c>
      <c r="K35" t="s">
        <v>2166</v>
      </c>
      <c r="L35" t="s">
        <v>2166</v>
      </c>
      <c r="M35" t="s">
        <v>2166</v>
      </c>
      <c r="N35" t="s">
        <v>2166</v>
      </c>
      <c r="O35" t="s">
        <v>2166</v>
      </c>
      <c r="P35" t="s">
        <v>2166</v>
      </c>
      <c r="Q35" t="s">
        <v>2166</v>
      </c>
      <c r="R35" t="s">
        <v>2166</v>
      </c>
      <c r="S35" t="s">
        <v>2166</v>
      </c>
      <c r="T35" t="s">
        <v>2166</v>
      </c>
      <c r="U35" t="s">
        <v>2166</v>
      </c>
      <c r="V35" t="s">
        <v>2166</v>
      </c>
      <c r="W35" t="s">
        <v>2166</v>
      </c>
      <c r="X35" t="s">
        <v>2166</v>
      </c>
      <c r="Y35" t="s">
        <v>2166</v>
      </c>
      <c r="Z35" t="s">
        <v>2166</v>
      </c>
      <c r="AA35" t="s">
        <v>2166</v>
      </c>
      <c r="AB35" t="s">
        <v>2166</v>
      </c>
      <c r="AC35" t="s">
        <v>2166</v>
      </c>
      <c r="AD35" t="s">
        <v>2166</v>
      </c>
      <c r="AE35" t="s">
        <v>2166</v>
      </c>
      <c r="AF35" t="s">
        <v>2166</v>
      </c>
      <c r="AG35" t="s">
        <v>2166</v>
      </c>
      <c r="AH35" t="s">
        <v>2166</v>
      </c>
      <c r="AI35" t="s">
        <v>2166</v>
      </c>
      <c r="AJ35" t="s">
        <v>2166</v>
      </c>
      <c r="AK35" t="s">
        <v>2166</v>
      </c>
      <c r="AL35" t="s">
        <v>2166</v>
      </c>
      <c r="AM35" t="s">
        <v>2166</v>
      </c>
      <c r="AN35" t="s">
        <v>2166</v>
      </c>
      <c r="AO35" t="s">
        <v>2166</v>
      </c>
      <c r="AP35" t="s">
        <v>2166</v>
      </c>
      <c r="AQ35" t="s">
        <v>2166</v>
      </c>
      <c r="AR35" t="s">
        <v>2166</v>
      </c>
      <c r="AS35" t="s">
        <v>2166</v>
      </c>
      <c r="AT35" t="s">
        <v>2166</v>
      </c>
      <c r="AU35" t="s">
        <v>2166</v>
      </c>
      <c r="AV35" t="s">
        <v>2166</v>
      </c>
      <c r="AW35" t="s">
        <v>2166</v>
      </c>
      <c r="AX35" t="s">
        <v>2166</v>
      </c>
      <c r="AY35" t="s">
        <v>2166</v>
      </c>
      <c r="AZ35" t="s">
        <v>2166</v>
      </c>
      <c r="BA35" t="s">
        <v>2166</v>
      </c>
      <c r="BB35" t="s">
        <v>2166</v>
      </c>
      <c r="BC35" t="s">
        <v>2166</v>
      </c>
      <c r="BD35" t="s">
        <v>2166</v>
      </c>
      <c r="BE35" t="s">
        <v>2166</v>
      </c>
      <c r="BF35" t="s">
        <v>2166</v>
      </c>
      <c r="BG35" t="s">
        <v>2166</v>
      </c>
      <c r="BH35" t="s">
        <v>2166</v>
      </c>
      <c r="BI35" t="s">
        <v>2166</v>
      </c>
      <c r="BJ35" t="s">
        <v>2166</v>
      </c>
      <c r="BK35" t="s">
        <v>2166</v>
      </c>
      <c r="BL35" t="s">
        <v>2166</v>
      </c>
      <c r="BM35" t="s">
        <v>2166</v>
      </c>
      <c r="BN35" t="s">
        <v>2166</v>
      </c>
      <c r="BO35" t="s">
        <v>2166</v>
      </c>
      <c r="BP35" t="s">
        <v>2166</v>
      </c>
      <c r="BQ35" t="s">
        <v>2166</v>
      </c>
      <c r="BR35" t="s">
        <v>2166</v>
      </c>
      <c r="BS35" t="s">
        <v>2166</v>
      </c>
      <c r="BT35" t="s">
        <v>2166</v>
      </c>
      <c r="BU35" t="s">
        <v>2166</v>
      </c>
      <c r="BV35" t="s">
        <v>2166</v>
      </c>
      <c r="BW35" t="s">
        <v>2166</v>
      </c>
      <c r="BX35" t="s">
        <v>2166</v>
      </c>
      <c r="BY35" t="s">
        <v>2166</v>
      </c>
      <c r="BZ35" t="s">
        <v>2166</v>
      </c>
      <c r="CA35" t="s">
        <v>2166</v>
      </c>
      <c r="CB35" t="s">
        <v>2166</v>
      </c>
      <c r="CC35" t="s">
        <v>2166</v>
      </c>
      <c r="CD35" t="s">
        <v>2166</v>
      </c>
      <c r="CE35" t="s">
        <v>2166</v>
      </c>
      <c r="CF35" t="s">
        <v>2166</v>
      </c>
      <c r="CG35" t="s">
        <v>2166</v>
      </c>
      <c r="CH35" t="s">
        <v>2166</v>
      </c>
      <c r="CI35" t="s">
        <v>2166</v>
      </c>
      <c r="CJ35" t="s">
        <v>2166</v>
      </c>
      <c r="CK35" t="s">
        <v>2166</v>
      </c>
      <c r="CL35" t="s">
        <v>2166</v>
      </c>
      <c r="CM35" t="s">
        <v>2166</v>
      </c>
      <c r="CN35" t="s">
        <v>2166</v>
      </c>
      <c r="CO35" t="s">
        <v>2166</v>
      </c>
      <c r="CP35" t="s">
        <v>2166</v>
      </c>
      <c r="CQ35" t="s">
        <v>2166</v>
      </c>
      <c r="CR35" t="s">
        <v>2166</v>
      </c>
      <c r="CS35" t="s">
        <v>2166</v>
      </c>
      <c r="CT35" t="s">
        <v>2166</v>
      </c>
      <c r="CU35" t="s">
        <v>2166</v>
      </c>
      <c r="CV35" t="s">
        <v>2166</v>
      </c>
      <c r="CW35" t="s">
        <v>2166</v>
      </c>
      <c r="CX35" t="s">
        <v>2166</v>
      </c>
      <c r="CY35" t="s">
        <v>2166</v>
      </c>
      <c r="CZ35" t="s">
        <v>2166</v>
      </c>
      <c r="DA35" t="s">
        <v>2166</v>
      </c>
      <c r="DB35" t="s">
        <v>2166</v>
      </c>
      <c r="DC35" t="s">
        <v>2166</v>
      </c>
      <c r="DD35" t="s">
        <v>2166</v>
      </c>
      <c r="DE35" t="s">
        <v>2166</v>
      </c>
      <c r="DF35" t="s">
        <v>2166</v>
      </c>
      <c r="DG35" t="s">
        <v>2166</v>
      </c>
      <c r="DH35" t="s">
        <v>2166</v>
      </c>
      <c r="DI35" t="s">
        <v>2166</v>
      </c>
    </row>
    <row r="36" spans="1:113" x14ac:dyDescent="0.2">
      <c r="A36" t="s">
        <v>2166</v>
      </c>
      <c r="B36" t="s">
        <v>2166</v>
      </c>
      <c r="C36" t="s">
        <v>2166</v>
      </c>
      <c r="D36" t="s">
        <v>2166</v>
      </c>
      <c r="E36" t="s">
        <v>2166</v>
      </c>
      <c r="F36" t="s">
        <v>2166</v>
      </c>
      <c r="G36" t="s">
        <v>2166</v>
      </c>
      <c r="H36" t="s">
        <v>2166</v>
      </c>
      <c r="I36" t="s">
        <v>2166</v>
      </c>
      <c r="J36" t="s">
        <v>2166</v>
      </c>
      <c r="K36" t="s">
        <v>2166</v>
      </c>
      <c r="L36" t="s">
        <v>2166</v>
      </c>
      <c r="M36" t="s">
        <v>2166</v>
      </c>
      <c r="N36" t="s">
        <v>2166</v>
      </c>
      <c r="O36" t="s">
        <v>2166</v>
      </c>
      <c r="P36" t="s">
        <v>2166</v>
      </c>
      <c r="Q36" t="s">
        <v>2166</v>
      </c>
      <c r="R36" t="s">
        <v>2166</v>
      </c>
      <c r="S36" t="s">
        <v>2166</v>
      </c>
      <c r="T36" t="s">
        <v>2166</v>
      </c>
      <c r="U36" t="s">
        <v>2166</v>
      </c>
      <c r="V36" t="s">
        <v>2166</v>
      </c>
      <c r="W36" t="s">
        <v>2166</v>
      </c>
      <c r="X36" t="s">
        <v>2166</v>
      </c>
      <c r="Y36" t="s">
        <v>2166</v>
      </c>
      <c r="Z36" t="s">
        <v>2166</v>
      </c>
      <c r="AA36" t="s">
        <v>2166</v>
      </c>
      <c r="AB36" t="s">
        <v>2166</v>
      </c>
      <c r="AC36" t="s">
        <v>2166</v>
      </c>
      <c r="AD36" t="s">
        <v>2166</v>
      </c>
      <c r="AE36" t="s">
        <v>2166</v>
      </c>
      <c r="AF36" t="s">
        <v>2166</v>
      </c>
      <c r="AG36" t="s">
        <v>2166</v>
      </c>
      <c r="AH36" t="s">
        <v>2166</v>
      </c>
      <c r="AI36" t="s">
        <v>2166</v>
      </c>
      <c r="AJ36" t="s">
        <v>2166</v>
      </c>
      <c r="AK36" t="s">
        <v>2166</v>
      </c>
      <c r="AL36" t="s">
        <v>2166</v>
      </c>
      <c r="AM36" t="s">
        <v>2166</v>
      </c>
      <c r="AN36" t="s">
        <v>2166</v>
      </c>
      <c r="AO36" t="s">
        <v>2166</v>
      </c>
      <c r="AP36" t="s">
        <v>2166</v>
      </c>
      <c r="AQ36" t="s">
        <v>2166</v>
      </c>
      <c r="AR36" t="s">
        <v>2166</v>
      </c>
      <c r="AS36" t="s">
        <v>2166</v>
      </c>
      <c r="AT36" t="s">
        <v>2166</v>
      </c>
      <c r="AU36" t="s">
        <v>2166</v>
      </c>
      <c r="AV36" t="s">
        <v>2166</v>
      </c>
      <c r="AW36" t="s">
        <v>2166</v>
      </c>
      <c r="AX36" t="s">
        <v>2166</v>
      </c>
      <c r="AY36" t="s">
        <v>2166</v>
      </c>
      <c r="AZ36" t="s">
        <v>2166</v>
      </c>
      <c r="BA36" t="s">
        <v>2166</v>
      </c>
      <c r="BB36" t="s">
        <v>2166</v>
      </c>
      <c r="BC36" t="s">
        <v>2166</v>
      </c>
      <c r="BD36" t="s">
        <v>2166</v>
      </c>
      <c r="BE36" t="s">
        <v>2166</v>
      </c>
      <c r="BF36" t="s">
        <v>2166</v>
      </c>
      <c r="BG36" t="s">
        <v>2166</v>
      </c>
      <c r="BH36" t="s">
        <v>2166</v>
      </c>
      <c r="BI36" t="s">
        <v>2166</v>
      </c>
      <c r="BJ36" t="s">
        <v>2166</v>
      </c>
      <c r="BK36" t="s">
        <v>2166</v>
      </c>
      <c r="BL36" t="s">
        <v>2166</v>
      </c>
      <c r="BM36" t="s">
        <v>2166</v>
      </c>
      <c r="BN36" t="s">
        <v>2166</v>
      </c>
      <c r="BO36" t="s">
        <v>2166</v>
      </c>
      <c r="BP36" t="s">
        <v>2166</v>
      </c>
      <c r="BQ36" t="s">
        <v>2166</v>
      </c>
      <c r="BR36" t="s">
        <v>2166</v>
      </c>
      <c r="BS36" t="s">
        <v>2166</v>
      </c>
      <c r="BT36" t="s">
        <v>2166</v>
      </c>
      <c r="BU36" t="s">
        <v>2166</v>
      </c>
      <c r="BV36" t="s">
        <v>2166</v>
      </c>
      <c r="BW36" t="s">
        <v>2166</v>
      </c>
      <c r="BX36" t="s">
        <v>2166</v>
      </c>
      <c r="BY36" t="s">
        <v>2166</v>
      </c>
      <c r="BZ36" t="s">
        <v>2166</v>
      </c>
      <c r="CA36" t="s">
        <v>2166</v>
      </c>
      <c r="CB36" t="s">
        <v>2166</v>
      </c>
      <c r="CC36" t="s">
        <v>2166</v>
      </c>
      <c r="CD36" t="s">
        <v>2166</v>
      </c>
      <c r="CE36" t="s">
        <v>2166</v>
      </c>
      <c r="CF36" t="s">
        <v>2166</v>
      </c>
      <c r="CG36" t="s">
        <v>2166</v>
      </c>
      <c r="CH36" t="s">
        <v>2166</v>
      </c>
      <c r="CI36" t="s">
        <v>2166</v>
      </c>
      <c r="CJ36" t="s">
        <v>2166</v>
      </c>
      <c r="CK36" t="s">
        <v>2166</v>
      </c>
      <c r="CL36" t="s">
        <v>2166</v>
      </c>
      <c r="CM36" t="s">
        <v>2166</v>
      </c>
      <c r="CN36" t="s">
        <v>2166</v>
      </c>
      <c r="CO36" t="s">
        <v>2166</v>
      </c>
      <c r="CP36" t="s">
        <v>2166</v>
      </c>
      <c r="CQ36" t="s">
        <v>2166</v>
      </c>
      <c r="CR36" t="s">
        <v>2166</v>
      </c>
      <c r="CS36" t="s">
        <v>2166</v>
      </c>
      <c r="CT36" t="s">
        <v>2166</v>
      </c>
      <c r="CU36" t="s">
        <v>2166</v>
      </c>
      <c r="CV36" t="s">
        <v>2166</v>
      </c>
      <c r="CW36" t="s">
        <v>2166</v>
      </c>
      <c r="CX36" t="s">
        <v>2166</v>
      </c>
      <c r="CY36" t="s">
        <v>2166</v>
      </c>
      <c r="CZ36" t="s">
        <v>2166</v>
      </c>
      <c r="DA36" t="s">
        <v>2166</v>
      </c>
      <c r="DB36" t="s">
        <v>2166</v>
      </c>
      <c r="DC36" t="s">
        <v>2166</v>
      </c>
      <c r="DD36" t="s">
        <v>2166</v>
      </c>
      <c r="DE36" t="s">
        <v>2166</v>
      </c>
      <c r="DF36" t="s">
        <v>2166</v>
      </c>
      <c r="DG36" t="s">
        <v>2166</v>
      </c>
      <c r="DH36" t="s">
        <v>2166</v>
      </c>
      <c r="DI36" t="s">
        <v>2166</v>
      </c>
    </row>
    <row r="37" spans="1:113" x14ac:dyDescent="0.2">
      <c r="A37" t="s">
        <v>2166</v>
      </c>
      <c r="B37" t="s">
        <v>2166</v>
      </c>
      <c r="C37" t="s">
        <v>2166</v>
      </c>
      <c r="D37" t="s">
        <v>2166</v>
      </c>
      <c r="E37" t="s">
        <v>2166</v>
      </c>
      <c r="F37" t="s">
        <v>2166</v>
      </c>
      <c r="G37" t="s">
        <v>2166</v>
      </c>
      <c r="H37" t="s">
        <v>2166</v>
      </c>
      <c r="I37" t="s">
        <v>2166</v>
      </c>
      <c r="J37" t="s">
        <v>2166</v>
      </c>
      <c r="K37" t="s">
        <v>2166</v>
      </c>
      <c r="L37" t="s">
        <v>2166</v>
      </c>
      <c r="M37" t="s">
        <v>2166</v>
      </c>
      <c r="N37" t="s">
        <v>2166</v>
      </c>
      <c r="O37" t="s">
        <v>2166</v>
      </c>
      <c r="P37" t="s">
        <v>2166</v>
      </c>
      <c r="Q37" t="s">
        <v>2166</v>
      </c>
      <c r="R37" t="s">
        <v>2166</v>
      </c>
      <c r="S37" t="s">
        <v>2166</v>
      </c>
      <c r="T37" t="s">
        <v>2166</v>
      </c>
      <c r="U37" t="s">
        <v>2166</v>
      </c>
      <c r="V37" t="s">
        <v>2166</v>
      </c>
      <c r="W37" t="s">
        <v>2166</v>
      </c>
      <c r="X37" t="s">
        <v>2166</v>
      </c>
      <c r="Y37" t="s">
        <v>2166</v>
      </c>
      <c r="Z37" t="s">
        <v>2166</v>
      </c>
      <c r="AA37" t="s">
        <v>2166</v>
      </c>
      <c r="AB37" t="s">
        <v>2166</v>
      </c>
      <c r="AC37" t="s">
        <v>2166</v>
      </c>
      <c r="AD37" t="s">
        <v>2166</v>
      </c>
      <c r="AE37" t="s">
        <v>2166</v>
      </c>
      <c r="AF37" t="s">
        <v>2166</v>
      </c>
      <c r="AG37" t="s">
        <v>2166</v>
      </c>
      <c r="AH37" t="s">
        <v>2166</v>
      </c>
      <c r="AI37" t="s">
        <v>2166</v>
      </c>
      <c r="AJ37" t="s">
        <v>2166</v>
      </c>
      <c r="AK37" t="s">
        <v>2166</v>
      </c>
      <c r="AL37" t="s">
        <v>2166</v>
      </c>
      <c r="AM37" t="s">
        <v>2166</v>
      </c>
      <c r="AN37" t="s">
        <v>2166</v>
      </c>
      <c r="AO37" t="s">
        <v>2166</v>
      </c>
      <c r="AP37" t="s">
        <v>2166</v>
      </c>
      <c r="AQ37" t="s">
        <v>2166</v>
      </c>
      <c r="AR37" t="s">
        <v>2166</v>
      </c>
      <c r="AS37" t="s">
        <v>2166</v>
      </c>
      <c r="AT37" t="s">
        <v>2166</v>
      </c>
      <c r="AU37" t="s">
        <v>2166</v>
      </c>
      <c r="AV37" t="s">
        <v>2166</v>
      </c>
      <c r="AW37" t="s">
        <v>2166</v>
      </c>
      <c r="AX37" t="s">
        <v>2166</v>
      </c>
      <c r="AY37" t="s">
        <v>2166</v>
      </c>
      <c r="AZ37" t="s">
        <v>2166</v>
      </c>
      <c r="BA37" t="s">
        <v>2166</v>
      </c>
      <c r="BB37" t="s">
        <v>2166</v>
      </c>
      <c r="BC37" t="s">
        <v>2166</v>
      </c>
      <c r="BD37" t="s">
        <v>2166</v>
      </c>
      <c r="BE37" t="s">
        <v>2166</v>
      </c>
      <c r="BF37" t="s">
        <v>2166</v>
      </c>
      <c r="BG37" t="s">
        <v>2166</v>
      </c>
      <c r="BH37" t="s">
        <v>2166</v>
      </c>
      <c r="BI37" t="s">
        <v>2166</v>
      </c>
      <c r="BJ37" t="s">
        <v>2166</v>
      </c>
      <c r="BK37" t="s">
        <v>2166</v>
      </c>
      <c r="BL37" t="s">
        <v>2166</v>
      </c>
      <c r="BM37" t="s">
        <v>2166</v>
      </c>
      <c r="BN37" t="s">
        <v>2166</v>
      </c>
      <c r="BO37" t="s">
        <v>2166</v>
      </c>
      <c r="BP37" t="s">
        <v>2166</v>
      </c>
      <c r="BQ37" t="s">
        <v>2166</v>
      </c>
      <c r="BR37" t="s">
        <v>2166</v>
      </c>
      <c r="BS37" t="s">
        <v>2166</v>
      </c>
      <c r="BT37" t="s">
        <v>2166</v>
      </c>
      <c r="BU37" t="s">
        <v>2166</v>
      </c>
      <c r="BV37" t="s">
        <v>2166</v>
      </c>
      <c r="BW37" t="s">
        <v>2166</v>
      </c>
      <c r="BX37" t="s">
        <v>2166</v>
      </c>
      <c r="BY37" t="s">
        <v>2166</v>
      </c>
      <c r="BZ37" t="s">
        <v>2166</v>
      </c>
      <c r="CA37" t="s">
        <v>2166</v>
      </c>
      <c r="CB37" t="s">
        <v>2166</v>
      </c>
      <c r="CC37" t="s">
        <v>2166</v>
      </c>
      <c r="CD37" t="s">
        <v>2166</v>
      </c>
      <c r="CE37" t="s">
        <v>2166</v>
      </c>
      <c r="CF37" t="s">
        <v>2166</v>
      </c>
      <c r="CG37" t="s">
        <v>2166</v>
      </c>
      <c r="CH37" t="s">
        <v>2166</v>
      </c>
      <c r="CI37" t="s">
        <v>2166</v>
      </c>
      <c r="CJ37" t="s">
        <v>2166</v>
      </c>
      <c r="CK37" t="s">
        <v>2166</v>
      </c>
      <c r="CL37" t="s">
        <v>2166</v>
      </c>
      <c r="CM37" t="s">
        <v>2166</v>
      </c>
      <c r="CN37" t="s">
        <v>2166</v>
      </c>
      <c r="CO37" t="s">
        <v>2166</v>
      </c>
      <c r="CP37" t="s">
        <v>2166</v>
      </c>
      <c r="CQ37" t="s">
        <v>2166</v>
      </c>
      <c r="CR37" t="s">
        <v>2166</v>
      </c>
      <c r="CS37" t="s">
        <v>2166</v>
      </c>
      <c r="CT37" t="s">
        <v>2166</v>
      </c>
      <c r="CU37" t="s">
        <v>2166</v>
      </c>
      <c r="CV37" t="s">
        <v>2166</v>
      </c>
      <c r="CW37" t="s">
        <v>2166</v>
      </c>
      <c r="CX37" t="s">
        <v>2166</v>
      </c>
      <c r="CY37" t="s">
        <v>2166</v>
      </c>
      <c r="CZ37" t="s">
        <v>2166</v>
      </c>
      <c r="DA37" t="s">
        <v>2166</v>
      </c>
      <c r="DB37" t="s">
        <v>2166</v>
      </c>
      <c r="DC37" t="s">
        <v>2166</v>
      </c>
      <c r="DD37" t="s">
        <v>2166</v>
      </c>
      <c r="DE37" t="s">
        <v>2166</v>
      </c>
      <c r="DF37" t="s">
        <v>2166</v>
      </c>
      <c r="DG37" t="s">
        <v>2166</v>
      </c>
      <c r="DH37" t="s">
        <v>2166</v>
      </c>
      <c r="DI37" t="s">
        <v>2166</v>
      </c>
    </row>
    <row r="38" spans="1:113" x14ac:dyDescent="0.2">
      <c r="A38" t="s">
        <v>2166</v>
      </c>
      <c r="B38" t="s">
        <v>2166</v>
      </c>
      <c r="C38" t="s">
        <v>2166</v>
      </c>
      <c r="D38" t="s">
        <v>2166</v>
      </c>
      <c r="E38" t="s">
        <v>2166</v>
      </c>
      <c r="F38" t="s">
        <v>2166</v>
      </c>
      <c r="G38" t="s">
        <v>2166</v>
      </c>
      <c r="H38" t="s">
        <v>2166</v>
      </c>
      <c r="I38" t="s">
        <v>2166</v>
      </c>
      <c r="J38" t="s">
        <v>2166</v>
      </c>
      <c r="K38" t="s">
        <v>2166</v>
      </c>
      <c r="L38" t="s">
        <v>2166</v>
      </c>
      <c r="M38" t="s">
        <v>2166</v>
      </c>
      <c r="N38" t="s">
        <v>2166</v>
      </c>
      <c r="O38" t="s">
        <v>2166</v>
      </c>
      <c r="P38" t="s">
        <v>2166</v>
      </c>
      <c r="Q38" t="s">
        <v>2166</v>
      </c>
      <c r="R38" t="s">
        <v>2166</v>
      </c>
      <c r="S38" t="s">
        <v>2166</v>
      </c>
      <c r="T38" t="s">
        <v>2166</v>
      </c>
      <c r="U38" t="s">
        <v>2166</v>
      </c>
      <c r="V38" t="s">
        <v>2166</v>
      </c>
      <c r="W38" t="s">
        <v>2166</v>
      </c>
      <c r="X38" t="s">
        <v>2166</v>
      </c>
      <c r="Y38" t="s">
        <v>2166</v>
      </c>
      <c r="Z38" t="s">
        <v>2166</v>
      </c>
      <c r="AA38" t="s">
        <v>2166</v>
      </c>
      <c r="AB38" t="s">
        <v>2166</v>
      </c>
      <c r="AC38" t="s">
        <v>2166</v>
      </c>
      <c r="AD38" t="s">
        <v>2166</v>
      </c>
      <c r="AE38" t="s">
        <v>2166</v>
      </c>
      <c r="AF38" t="s">
        <v>2166</v>
      </c>
      <c r="AG38" t="s">
        <v>2166</v>
      </c>
      <c r="AH38" t="s">
        <v>2166</v>
      </c>
      <c r="AI38" t="s">
        <v>2166</v>
      </c>
      <c r="AJ38" t="s">
        <v>2166</v>
      </c>
      <c r="AK38" t="s">
        <v>2166</v>
      </c>
      <c r="AL38" t="s">
        <v>2166</v>
      </c>
      <c r="AM38" t="s">
        <v>2166</v>
      </c>
      <c r="AN38" t="s">
        <v>2166</v>
      </c>
      <c r="AO38" t="s">
        <v>2166</v>
      </c>
      <c r="AP38" t="s">
        <v>2166</v>
      </c>
      <c r="AQ38" t="s">
        <v>2166</v>
      </c>
      <c r="AR38" t="s">
        <v>2166</v>
      </c>
      <c r="AS38" t="s">
        <v>2166</v>
      </c>
      <c r="AT38" t="s">
        <v>2166</v>
      </c>
      <c r="AU38" t="s">
        <v>2166</v>
      </c>
      <c r="AV38" t="s">
        <v>2166</v>
      </c>
      <c r="AW38" t="s">
        <v>2166</v>
      </c>
      <c r="AX38" t="s">
        <v>2166</v>
      </c>
      <c r="AY38" t="s">
        <v>2166</v>
      </c>
      <c r="AZ38" t="s">
        <v>2166</v>
      </c>
      <c r="BA38" t="s">
        <v>2166</v>
      </c>
      <c r="BB38" t="s">
        <v>2166</v>
      </c>
      <c r="BC38" t="s">
        <v>2166</v>
      </c>
      <c r="BD38" t="s">
        <v>2166</v>
      </c>
      <c r="BE38" t="s">
        <v>2166</v>
      </c>
      <c r="BF38" t="s">
        <v>2166</v>
      </c>
      <c r="BG38" t="s">
        <v>2166</v>
      </c>
      <c r="BH38" t="s">
        <v>2166</v>
      </c>
      <c r="BI38" t="s">
        <v>2166</v>
      </c>
      <c r="BJ38" t="s">
        <v>2166</v>
      </c>
      <c r="BK38" t="s">
        <v>2166</v>
      </c>
      <c r="BL38" t="s">
        <v>2166</v>
      </c>
      <c r="BM38" t="s">
        <v>2166</v>
      </c>
      <c r="BN38" t="s">
        <v>2166</v>
      </c>
      <c r="BO38" t="s">
        <v>2166</v>
      </c>
      <c r="BP38" t="s">
        <v>2166</v>
      </c>
      <c r="BQ38" t="s">
        <v>2166</v>
      </c>
      <c r="BR38" t="s">
        <v>2166</v>
      </c>
      <c r="BS38" t="s">
        <v>2166</v>
      </c>
      <c r="BT38" t="s">
        <v>2166</v>
      </c>
      <c r="BU38" t="s">
        <v>2166</v>
      </c>
      <c r="BV38" t="s">
        <v>2166</v>
      </c>
      <c r="BW38" t="s">
        <v>2166</v>
      </c>
      <c r="BX38" t="s">
        <v>2166</v>
      </c>
      <c r="BY38" t="s">
        <v>2166</v>
      </c>
      <c r="BZ38" t="s">
        <v>2166</v>
      </c>
      <c r="CA38" t="s">
        <v>2166</v>
      </c>
      <c r="CB38" t="s">
        <v>2166</v>
      </c>
      <c r="CC38" t="s">
        <v>2166</v>
      </c>
      <c r="CD38" t="s">
        <v>2166</v>
      </c>
      <c r="CE38" t="s">
        <v>2166</v>
      </c>
      <c r="CF38" t="s">
        <v>2166</v>
      </c>
      <c r="CG38" t="s">
        <v>2166</v>
      </c>
      <c r="CH38" t="s">
        <v>2166</v>
      </c>
      <c r="CI38" t="s">
        <v>2166</v>
      </c>
      <c r="CJ38" t="s">
        <v>2166</v>
      </c>
      <c r="CK38" t="s">
        <v>2166</v>
      </c>
      <c r="CL38" t="s">
        <v>2166</v>
      </c>
      <c r="CM38" t="s">
        <v>2166</v>
      </c>
      <c r="CN38" t="s">
        <v>2166</v>
      </c>
      <c r="CO38" t="s">
        <v>2166</v>
      </c>
      <c r="CP38" t="s">
        <v>2166</v>
      </c>
      <c r="CQ38" t="s">
        <v>2166</v>
      </c>
      <c r="CR38" t="s">
        <v>2166</v>
      </c>
      <c r="CS38" t="s">
        <v>2166</v>
      </c>
      <c r="CT38" t="s">
        <v>2166</v>
      </c>
      <c r="CU38" t="s">
        <v>2166</v>
      </c>
      <c r="CV38" t="s">
        <v>2166</v>
      </c>
      <c r="CW38" t="s">
        <v>2166</v>
      </c>
      <c r="CX38" t="s">
        <v>2166</v>
      </c>
      <c r="CY38" t="s">
        <v>2166</v>
      </c>
      <c r="CZ38" t="s">
        <v>2166</v>
      </c>
      <c r="DA38" t="s">
        <v>2166</v>
      </c>
      <c r="DB38" t="s">
        <v>2166</v>
      </c>
      <c r="DC38" t="s">
        <v>2166</v>
      </c>
      <c r="DD38" t="s">
        <v>2166</v>
      </c>
      <c r="DE38" t="s">
        <v>2166</v>
      </c>
      <c r="DF38" t="s">
        <v>2166</v>
      </c>
      <c r="DG38" t="s">
        <v>2166</v>
      </c>
      <c r="DH38" t="s">
        <v>2166</v>
      </c>
      <c r="DI38" t="s">
        <v>2166</v>
      </c>
    </row>
    <row r="39" spans="1:113" x14ac:dyDescent="0.2">
      <c r="A39" t="s">
        <v>2166</v>
      </c>
      <c r="B39" t="s">
        <v>2166</v>
      </c>
      <c r="C39" t="s">
        <v>2166</v>
      </c>
      <c r="D39" t="s">
        <v>2166</v>
      </c>
      <c r="E39" t="s">
        <v>2166</v>
      </c>
      <c r="F39" t="s">
        <v>2166</v>
      </c>
      <c r="G39" t="s">
        <v>2166</v>
      </c>
      <c r="H39" t="s">
        <v>2166</v>
      </c>
      <c r="I39" t="s">
        <v>2166</v>
      </c>
      <c r="J39" t="s">
        <v>2166</v>
      </c>
      <c r="K39" t="s">
        <v>2166</v>
      </c>
      <c r="L39" t="s">
        <v>2166</v>
      </c>
      <c r="M39" t="s">
        <v>2166</v>
      </c>
      <c r="N39" t="s">
        <v>2166</v>
      </c>
      <c r="O39" t="s">
        <v>2166</v>
      </c>
      <c r="P39" t="s">
        <v>2166</v>
      </c>
      <c r="Q39" t="s">
        <v>2166</v>
      </c>
      <c r="R39" t="s">
        <v>2166</v>
      </c>
      <c r="S39" t="s">
        <v>2166</v>
      </c>
      <c r="T39" t="s">
        <v>2166</v>
      </c>
      <c r="U39" t="s">
        <v>2166</v>
      </c>
      <c r="V39" t="s">
        <v>2166</v>
      </c>
      <c r="W39" t="s">
        <v>2166</v>
      </c>
      <c r="X39" t="s">
        <v>2166</v>
      </c>
      <c r="Y39" t="s">
        <v>2166</v>
      </c>
      <c r="Z39" t="s">
        <v>2166</v>
      </c>
      <c r="AA39" t="s">
        <v>2166</v>
      </c>
      <c r="AB39" t="s">
        <v>2166</v>
      </c>
      <c r="AC39" t="s">
        <v>2166</v>
      </c>
      <c r="AD39" t="s">
        <v>2166</v>
      </c>
      <c r="AE39" t="s">
        <v>2166</v>
      </c>
      <c r="AF39" t="s">
        <v>2166</v>
      </c>
      <c r="AG39" t="s">
        <v>2166</v>
      </c>
      <c r="AH39" t="s">
        <v>2166</v>
      </c>
      <c r="AI39" t="s">
        <v>2166</v>
      </c>
      <c r="AJ39" t="s">
        <v>2166</v>
      </c>
      <c r="AK39" t="s">
        <v>2166</v>
      </c>
      <c r="AL39" t="s">
        <v>2166</v>
      </c>
      <c r="AM39" t="s">
        <v>2166</v>
      </c>
      <c r="AN39" t="s">
        <v>2166</v>
      </c>
      <c r="AO39" t="s">
        <v>2166</v>
      </c>
      <c r="AP39" t="s">
        <v>2166</v>
      </c>
      <c r="AQ39" t="s">
        <v>2166</v>
      </c>
      <c r="AR39" t="s">
        <v>2166</v>
      </c>
      <c r="AS39" t="s">
        <v>2166</v>
      </c>
      <c r="AT39" t="s">
        <v>2166</v>
      </c>
      <c r="AU39" t="s">
        <v>2166</v>
      </c>
      <c r="AV39" t="s">
        <v>2166</v>
      </c>
      <c r="AW39" t="s">
        <v>2166</v>
      </c>
      <c r="AX39" t="s">
        <v>2166</v>
      </c>
      <c r="AY39" t="s">
        <v>2166</v>
      </c>
      <c r="AZ39" t="s">
        <v>2166</v>
      </c>
      <c r="BA39" t="s">
        <v>2166</v>
      </c>
      <c r="BB39" t="s">
        <v>2166</v>
      </c>
      <c r="BC39" t="s">
        <v>2166</v>
      </c>
      <c r="BD39" t="s">
        <v>2166</v>
      </c>
      <c r="BE39" t="s">
        <v>2166</v>
      </c>
      <c r="BF39" t="s">
        <v>2166</v>
      </c>
      <c r="BG39" t="s">
        <v>2166</v>
      </c>
      <c r="BH39" t="s">
        <v>2166</v>
      </c>
      <c r="BI39" t="s">
        <v>2166</v>
      </c>
      <c r="BJ39" t="s">
        <v>2166</v>
      </c>
      <c r="BK39" t="s">
        <v>2166</v>
      </c>
      <c r="BL39" t="s">
        <v>2166</v>
      </c>
      <c r="BM39" t="s">
        <v>2166</v>
      </c>
      <c r="BN39" t="s">
        <v>2166</v>
      </c>
      <c r="BO39" t="s">
        <v>2166</v>
      </c>
      <c r="BP39" t="s">
        <v>2166</v>
      </c>
      <c r="BQ39" t="s">
        <v>2166</v>
      </c>
      <c r="BR39" t="s">
        <v>2166</v>
      </c>
      <c r="BS39" t="s">
        <v>2166</v>
      </c>
      <c r="BT39" t="s">
        <v>2166</v>
      </c>
      <c r="BU39" t="s">
        <v>2166</v>
      </c>
      <c r="BV39" t="s">
        <v>2166</v>
      </c>
      <c r="BW39" t="s">
        <v>2166</v>
      </c>
      <c r="BX39" t="s">
        <v>2166</v>
      </c>
      <c r="BY39" t="s">
        <v>2166</v>
      </c>
      <c r="BZ39" t="s">
        <v>2166</v>
      </c>
      <c r="CA39" t="s">
        <v>2166</v>
      </c>
      <c r="CB39" t="s">
        <v>2166</v>
      </c>
      <c r="CC39" t="s">
        <v>2166</v>
      </c>
      <c r="CD39" t="s">
        <v>2166</v>
      </c>
      <c r="CE39" t="s">
        <v>2166</v>
      </c>
      <c r="CF39" t="s">
        <v>2166</v>
      </c>
      <c r="CG39" t="s">
        <v>2166</v>
      </c>
      <c r="CH39" t="s">
        <v>2166</v>
      </c>
      <c r="CI39" t="s">
        <v>2166</v>
      </c>
      <c r="CJ39" t="s">
        <v>2166</v>
      </c>
      <c r="CK39" t="s">
        <v>2166</v>
      </c>
      <c r="CL39" t="s">
        <v>2166</v>
      </c>
      <c r="CM39" t="s">
        <v>2166</v>
      </c>
      <c r="CN39" t="s">
        <v>2166</v>
      </c>
      <c r="CO39" t="s">
        <v>2166</v>
      </c>
      <c r="CP39" t="s">
        <v>2166</v>
      </c>
      <c r="CQ39" t="s">
        <v>2166</v>
      </c>
      <c r="CR39" t="s">
        <v>2166</v>
      </c>
      <c r="CS39" t="s">
        <v>2166</v>
      </c>
      <c r="CT39" t="s">
        <v>2166</v>
      </c>
      <c r="CU39" t="s">
        <v>2166</v>
      </c>
      <c r="CV39" t="s">
        <v>2166</v>
      </c>
      <c r="CW39" t="s">
        <v>2166</v>
      </c>
      <c r="CX39" t="s">
        <v>2166</v>
      </c>
      <c r="CY39" t="s">
        <v>2166</v>
      </c>
      <c r="CZ39" t="s">
        <v>2166</v>
      </c>
      <c r="DA39" t="s">
        <v>2166</v>
      </c>
      <c r="DB39" t="s">
        <v>2166</v>
      </c>
      <c r="DC39" t="s">
        <v>2166</v>
      </c>
      <c r="DD39" t="s">
        <v>2166</v>
      </c>
      <c r="DE39" t="s">
        <v>2166</v>
      </c>
      <c r="DF39" t="s">
        <v>2166</v>
      </c>
      <c r="DG39" t="s">
        <v>2166</v>
      </c>
      <c r="DH39" t="s">
        <v>2166</v>
      </c>
      <c r="DI39" t="s">
        <v>2166</v>
      </c>
    </row>
    <row r="40" spans="1:113" x14ac:dyDescent="0.2">
      <c r="A40" t="s">
        <v>2166</v>
      </c>
      <c r="B40" t="s">
        <v>2166</v>
      </c>
      <c r="C40" t="s">
        <v>2166</v>
      </c>
      <c r="D40" t="s">
        <v>2166</v>
      </c>
      <c r="E40" t="s">
        <v>2166</v>
      </c>
      <c r="F40" t="s">
        <v>2166</v>
      </c>
      <c r="G40" t="s">
        <v>2166</v>
      </c>
      <c r="H40" t="s">
        <v>2166</v>
      </c>
      <c r="I40" t="s">
        <v>2166</v>
      </c>
      <c r="J40" t="s">
        <v>2166</v>
      </c>
      <c r="K40" t="s">
        <v>2166</v>
      </c>
      <c r="L40" t="s">
        <v>2166</v>
      </c>
      <c r="M40" t="s">
        <v>2166</v>
      </c>
      <c r="N40" t="s">
        <v>2166</v>
      </c>
      <c r="O40" t="s">
        <v>2166</v>
      </c>
      <c r="P40" t="s">
        <v>2166</v>
      </c>
      <c r="Q40" t="s">
        <v>2166</v>
      </c>
      <c r="R40" t="s">
        <v>2166</v>
      </c>
      <c r="S40" t="s">
        <v>2166</v>
      </c>
      <c r="T40" t="s">
        <v>2166</v>
      </c>
      <c r="U40" t="s">
        <v>2166</v>
      </c>
      <c r="V40" t="s">
        <v>2166</v>
      </c>
      <c r="W40" t="s">
        <v>2166</v>
      </c>
      <c r="X40" t="s">
        <v>2166</v>
      </c>
      <c r="Y40" t="s">
        <v>2166</v>
      </c>
      <c r="Z40" t="s">
        <v>2166</v>
      </c>
      <c r="AA40" t="s">
        <v>2166</v>
      </c>
      <c r="AB40" t="s">
        <v>2166</v>
      </c>
      <c r="AC40" t="s">
        <v>2166</v>
      </c>
      <c r="AD40" t="s">
        <v>2166</v>
      </c>
      <c r="AE40" t="s">
        <v>2166</v>
      </c>
      <c r="AF40" t="s">
        <v>2166</v>
      </c>
      <c r="AG40" t="s">
        <v>2166</v>
      </c>
      <c r="AH40" t="s">
        <v>2166</v>
      </c>
      <c r="AI40" t="s">
        <v>2166</v>
      </c>
      <c r="AJ40" t="s">
        <v>2166</v>
      </c>
      <c r="AK40" t="s">
        <v>2166</v>
      </c>
      <c r="AL40" t="s">
        <v>2166</v>
      </c>
      <c r="AM40" t="s">
        <v>2166</v>
      </c>
      <c r="AN40" t="s">
        <v>2166</v>
      </c>
      <c r="AO40" t="s">
        <v>2166</v>
      </c>
      <c r="AP40" t="s">
        <v>2166</v>
      </c>
      <c r="AQ40" t="s">
        <v>2166</v>
      </c>
      <c r="AR40" t="s">
        <v>2166</v>
      </c>
      <c r="AS40" t="s">
        <v>2166</v>
      </c>
      <c r="AT40" t="s">
        <v>2166</v>
      </c>
      <c r="AU40" t="s">
        <v>2166</v>
      </c>
      <c r="AV40" t="s">
        <v>2166</v>
      </c>
      <c r="AW40" t="s">
        <v>2166</v>
      </c>
      <c r="AX40" t="s">
        <v>2166</v>
      </c>
      <c r="AY40" t="s">
        <v>2166</v>
      </c>
      <c r="AZ40" t="s">
        <v>2166</v>
      </c>
      <c r="BA40" t="s">
        <v>2166</v>
      </c>
      <c r="BB40" t="s">
        <v>2166</v>
      </c>
      <c r="BC40" t="s">
        <v>2166</v>
      </c>
      <c r="BD40" t="s">
        <v>2166</v>
      </c>
      <c r="BE40" t="s">
        <v>2166</v>
      </c>
      <c r="BF40" t="s">
        <v>2166</v>
      </c>
      <c r="BG40" t="s">
        <v>2166</v>
      </c>
      <c r="BH40" t="s">
        <v>2166</v>
      </c>
      <c r="BI40" t="s">
        <v>2166</v>
      </c>
      <c r="BJ40" t="s">
        <v>2166</v>
      </c>
      <c r="BK40" t="s">
        <v>2166</v>
      </c>
      <c r="BL40" t="s">
        <v>2166</v>
      </c>
      <c r="BM40" t="s">
        <v>2166</v>
      </c>
      <c r="BN40" t="s">
        <v>2166</v>
      </c>
      <c r="BO40" t="s">
        <v>2166</v>
      </c>
      <c r="BP40" t="s">
        <v>2166</v>
      </c>
      <c r="BQ40" t="s">
        <v>2166</v>
      </c>
      <c r="BR40" t="s">
        <v>2166</v>
      </c>
      <c r="BS40" t="s">
        <v>2166</v>
      </c>
      <c r="BT40" t="s">
        <v>2166</v>
      </c>
      <c r="BU40" t="s">
        <v>2166</v>
      </c>
      <c r="BV40" t="s">
        <v>2166</v>
      </c>
      <c r="BW40" t="s">
        <v>2166</v>
      </c>
      <c r="BX40" t="s">
        <v>2166</v>
      </c>
      <c r="BY40" t="s">
        <v>2166</v>
      </c>
      <c r="BZ40" t="s">
        <v>2166</v>
      </c>
      <c r="CA40" t="s">
        <v>2166</v>
      </c>
      <c r="CB40" t="s">
        <v>2166</v>
      </c>
      <c r="CC40" t="s">
        <v>2166</v>
      </c>
      <c r="CD40" t="s">
        <v>2166</v>
      </c>
      <c r="CE40" t="s">
        <v>2166</v>
      </c>
      <c r="CF40" t="s">
        <v>2166</v>
      </c>
      <c r="CG40" t="s">
        <v>2166</v>
      </c>
      <c r="CH40" t="s">
        <v>2166</v>
      </c>
      <c r="CI40" t="s">
        <v>2166</v>
      </c>
      <c r="CJ40" t="s">
        <v>2166</v>
      </c>
      <c r="CK40" t="s">
        <v>2166</v>
      </c>
      <c r="CL40" t="s">
        <v>2166</v>
      </c>
      <c r="CM40" t="s">
        <v>2166</v>
      </c>
      <c r="CN40" t="s">
        <v>2166</v>
      </c>
      <c r="CO40" t="s">
        <v>2166</v>
      </c>
      <c r="CP40" t="s">
        <v>2166</v>
      </c>
      <c r="CQ40" t="s">
        <v>2166</v>
      </c>
      <c r="CR40" t="s">
        <v>2166</v>
      </c>
      <c r="CS40" t="s">
        <v>2166</v>
      </c>
      <c r="CT40" t="s">
        <v>2166</v>
      </c>
      <c r="CU40" t="s">
        <v>2166</v>
      </c>
      <c r="CV40" t="s">
        <v>2166</v>
      </c>
      <c r="CW40" t="s">
        <v>2166</v>
      </c>
      <c r="CX40" t="s">
        <v>2166</v>
      </c>
      <c r="CY40" t="s">
        <v>2166</v>
      </c>
      <c r="CZ40" t="s">
        <v>2166</v>
      </c>
      <c r="DA40" t="s">
        <v>2166</v>
      </c>
      <c r="DB40" t="s">
        <v>2166</v>
      </c>
      <c r="DC40" t="s">
        <v>2166</v>
      </c>
      <c r="DD40" t="s">
        <v>2166</v>
      </c>
      <c r="DE40" t="s">
        <v>2166</v>
      </c>
      <c r="DF40" t="s">
        <v>2166</v>
      </c>
      <c r="DG40" t="s">
        <v>2166</v>
      </c>
      <c r="DH40" t="s">
        <v>2166</v>
      </c>
      <c r="DI40" t="s">
        <v>2166</v>
      </c>
    </row>
    <row r="41" spans="1:113" x14ac:dyDescent="0.2">
      <c r="A41" t="s">
        <v>2166</v>
      </c>
      <c r="B41" t="s">
        <v>2166</v>
      </c>
      <c r="C41" t="s">
        <v>2166</v>
      </c>
      <c r="D41" t="s">
        <v>2166</v>
      </c>
      <c r="E41" t="s">
        <v>2166</v>
      </c>
      <c r="F41" t="s">
        <v>2166</v>
      </c>
      <c r="G41" t="s">
        <v>2166</v>
      </c>
      <c r="H41" t="s">
        <v>2166</v>
      </c>
      <c r="I41" t="s">
        <v>2166</v>
      </c>
      <c r="J41" t="s">
        <v>2166</v>
      </c>
      <c r="K41" t="s">
        <v>2166</v>
      </c>
      <c r="L41" t="s">
        <v>2166</v>
      </c>
      <c r="M41" t="s">
        <v>2166</v>
      </c>
      <c r="N41" t="s">
        <v>2166</v>
      </c>
      <c r="O41" t="s">
        <v>2166</v>
      </c>
      <c r="P41" t="s">
        <v>2166</v>
      </c>
      <c r="Q41" t="s">
        <v>2166</v>
      </c>
      <c r="R41" t="s">
        <v>2166</v>
      </c>
      <c r="S41" t="s">
        <v>2166</v>
      </c>
      <c r="T41" t="s">
        <v>2166</v>
      </c>
      <c r="U41" t="s">
        <v>2166</v>
      </c>
      <c r="V41" t="s">
        <v>2166</v>
      </c>
      <c r="W41" t="s">
        <v>2166</v>
      </c>
      <c r="X41" t="s">
        <v>2166</v>
      </c>
      <c r="Y41" t="s">
        <v>2166</v>
      </c>
      <c r="Z41" t="s">
        <v>2166</v>
      </c>
      <c r="AA41" t="s">
        <v>2166</v>
      </c>
      <c r="AB41" t="s">
        <v>2166</v>
      </c>
      <c r="AC41" t="s">
        <v>2166</v>
      </c>
      <c r="AD41" t="s">
        <v>2166</v>
      </c>
      <c r="AE41" t="s">
        <v>2166</v>
      </c>
      <c r="AF41" t="s">
        <v>2166</v>
      </c>
      <c r="AG41" t="s">
        <v>2166</v>
      </c>
      <c r="AH41" t="s">
        <v>2166</v>
      </c>
      <c r="AI41" t="s">
        <v>2166</v>
      </c>
      <c r="AJ41" t="s">
        <v>2166</v>
      </c>
      <c r="AK41" t="s">
        <v>2166</v>
      </c>
      <c r="AL41" t="s">
        <v>2166</v>
      </c>
      <c r="AM41" t="s">
        <v>2166</v>
      </c>
      <c r="AN41" t="s">
        <v>2166</v>
      </c>
      <c r="AO41" t="s">
        <v>2166</v>
      </c>
      <c r="AP41" t="s">
        <v>2166</v>
      </c>
      <c r="AQ41" t="s">
        <v>2166</v>
      </c>
      <c r="AR41" t="s">
        <v>2166</v>
      </c>
      <c r="AS41" t="s">
        <v>2166</v>
      </c>
      <c r="AT41" t="s">
        <v>2166</v>
      </c>
      <c r="AU41" t="s">
        <v>2166</v>
      </c>
      <c r="AV41" t="s">
        <v>2166</v>
      </c>
      <c r="AW41" t="s">
        <v>2166</v>
      </c>
      <c r="AX41" t="s">
        <v>2166</v>
      </c>
      <c r="AY41" t="s">
        <v>2166</v>
      </c>
      <c r="AZ41" t="s">
        <v>2166</v>
      </c>
      <c r="BA41" t="s">
        <v>2166</v>
      </c>
      <c r="BB41" t="s">
        <v>2166</v>
      </c>
      <c r="BC41" t="s">
        <v>2166</v>
      </c>
      <c r="BD41" t="s">
        <v>2166</v>
      </c>
      <c r="BE41" t="s">
        <v>2166</v>
      </c>
      <c r="BF41" t="s">
        <v>2166</v>
      </c>
      <c r="BG41" t="s">
        <v>2166</v>
      </c>
      <c r="BH41" t="s">
        <v>2166</v>
      </c>
      <c r="BI41" t="s">
        <v>2166</v>
      </c>
      <c r="BJ41" t="s">
        <v>2166</v>
      </c>
      <c r="BK41" t="s">
        <v>2166</v>
      </c>
      <c r="BL41" t="s">
        <v>2166</v>
      </c>
      <c r="BM41" t="s">
        <v>2166</v>
      </c>
      <c r="BN41" t="s">
        <v>2166</v>
      </c>
      <c r="BO41" t="s">
        <v>2166</v>
      </c>
      <c r="BP41" t="s">
        <v>2166</v>
      </c>
      <c r="BQ41" t="s">
        <v>2166</v>
      </c>
      <c r="BR41" t="s">
        <v>2166</v>
      </c>
      <c r="BS41" t="s">
        <v>2166</v>
      </c>
      <c r="BT41" t="s">
        <v>2166</v>
      </c>
      <c r="BU41" t="s">
        <v>2166</v>
      </c>
      <c r="BV41" t="s">
        <v>2166</v>
      </c>
      <c r="BW41" t="s">
        <v>2166</v>
      </c>
      <c r="BX41" t="s">
        <v>2166</v>
      </c>
      <c r="BY41" t="s">
        <v>2166</v>
      </c>
      <c r="BZ41" t="s">
        <v>2166</v>
      </c>
      <c r="CA41" t="s">
        <v>2166</v>
      </c>
      <c r="CB41" t="s">
        <v>2166</v>
      </c>
      <c r="CC41" t="s">
        <v>2166</v>
      </c>
      <c r="CD41" t="s">
        <v>2166</v>
      </c>
      <c r="CE41" t="s">
        <v>2166</v>
      </c>
      <c r="CF41" t="s">
        <v>2166</v>
      </c>
      <c r="CG41" t="s">
        <v>2166</v>
      </c>
      <c r="CH41" t="s">
        <v>2166</v>
      </c>
      <c r="CI41" t="s">
        <v>2166</v>
      </c>
      <c r="CJ41" t="s">
        <v>2166</v>
      </c>
      <c r="CK41" t="s">
        <v>2166</v>
      </c>
      <c r="CL41" t="s">
        <v>2166</v>
      </c>
      <c r="CM41" t="s">
        <v>2166</v>
      </c>
      <c r="CN41" t="s">
        <v>2166</v>
      </c>
      <c r="CO41" t="s">
        <v>2166</v>
      </c>
      <c r="CP41" t="s">
        <v>2166</v>
      </c>
      <c r="CQ41" t="s">
        <v>2166</v>
      </c>
      <c r="CR41" t="s">
        <v>2166</v>
      </c>
      <c r="CS41" t="s">
        <v>2166</v>
      </c>
      <c r="CT41" t="s">
        <v>2166</v>
      </c>
      <c r="CU41" t="s">
        <v>2166</v>
      </c>
      <c r="CV41" t="s">
        <v>2166</v>
      </c>
      <c r="CW41" t="s">
        <v>2166</v>
      </c>
      <c r="CX41" t="s">
        <v>2166</v>
      </c>
      <c r="CY41" t="s">
        <v>2166</v>
      </c>
      <c r="CZ41" t="s">
        <v>2166</v>
      </c>
      <c r="DA41" t="s">
        <v>2166</v>
      </c>
      <c r="DB41" t="s">
        <v>2166</v>
      </c>
      <c r="DC41" t="s">
        <v>2166</v>
      </c>
      <c r="DD41" t="s">
        <v>2166</v>
      </c>
      <c r="DE41" t="s">
        <v>2166</v>
      </c>
      <c r="DF41" t="s">
        <v>2166</v>
      </c>
      <c r="DG41" t="s">
        <v>2166</v>
      </c>
      <c r="DH41" t="s">
        <v>2166</v>
      </c>
      <c r="DI41" t="s">
        <v>2166</v>
      </c>
    </row>
    <row r="42" spans="1:113" x14ac:dyDescent="0.2">
      <c r="A42" t="s">
        <v>2166</v>
      </c>
      <c r="B42" t="s">
        <v>2166</v>
      </c>
      <c r="C42" t="s">
        <v>2166</v>
      </c>
      <c r="D42" t="s">
        <v>2166</v>
      </c>
      <c r="E42" t="s">
        <v>2166</v>
      </c>
      <c r="F42" t="s">
        <v>2166</v>
      </c>
      <c r="G42" t="s">
        <v>2166</v>
      </c>
      <c r="H42" t="s">
        <v>2166</v>
      </c>
      <c r="I42" t="s">
        <v>2166</v>
      </c>
      <c r="J42" t="s">
        <v>2166</v>
      </c>
      <c r="K42" t="s">
        <v>2166</v>
      </c>
      <c r="L42" t="s">
        <v>2166</v>
      </c>
      <c r="M42" t="s">
        <v>2166</v>
      </c>
      <c r="N42" t="s">
        <v>2166</v>
      </c>
      <c r="O42" t="s">
        <v>2166</v>
      </c>
      <c r="P42" t="s">
        <v>2166</v>
      </c>
      <c r="Q42" t="s">
        <v>2166</v>
      </c>
      <c r="R42" t="s">
        <v>2166</v>
      </c>
      <c r="S42" t="s">
        <v>2166</v>
      </c>
      <c r="T42" t="s">
        <v>2166</v>
      </c>
      <c r="U42" t="s">
        <v>2166</v>
      </c>
      <c r="V42" t="s">
        <v>2166</v>
      </c>
      <c r="W42" t="s">
        <v>2166</v>
      </c>
      <c r="X42" t="s">
        <v>2166</v>
      </c>
      <c r="Y42" t="s">
        <v>2166</v>
      </c>
      <c r="Z42" t="s">
        <v>2166</v>
      </c>
      <c r="AA42" t="s">
        <v>2166</v>
      </c>
      <c r="AB42" t="s">
        <v>2166</v>
      </c>
      <c r="AC42" t="s">
        <v>2166</v>
      </c>
      <c r="AD42" t="s">
        <v>2166</v>
      </c>
      <c r="AE42" t="s">
        <v>2166</v>
      </c>
      <c r="AF42" t="s">
        <v>2166</v>
      </c>
      <c r="AG42" t="s">
        <v>2166</v>
      </c>
      <c r="AH42" t="s">
        <v>2166</v>
      </c>
      <c r="AI42" t="s">
        <v>2166</v>
      </c>
      <c r="AJ42" t="s">
        <v>2166</v>
      </c>
      <c r="AK42" t="s">
        <v>2166</v>
      </c>
      <c r="AL42" t="s">
        <v>2166</v>
      </c>
      <c r="AM42" t="s">
        <v>2166</v>
      </c>
      <c r="AN42" t="s">
        <v>2166</v>
      </c>
      <c r="AO42" t="s">
        <v>2166</v>
      </c>
      <c r="AP42" t="s">
        <v>2166</v>
      </c>
      <c r="AQ42" t="s">
        <v>2166</v>
      </c>
      <c r="AR42" t="s">
        <v>2166</v>
      </c>
      <c r="AS42" t="s">
        <v>2166</v>
      </c>
      <c r="AT42" t="s">
        <v>2166</v>
      </c>
      <c r="AU42" t="s">
        <v>2166</v>
      </c>
      <c r="AV42" t="s">
        <v>2166</v>
      </c>
      <c r="AW42" t="s">
        <v>2166</v>
      </c>
      <c r="AX42" t="s">
        <v>2166</v>
      </c>
      <c r="AY42" t="s">
        <v>2166</v>
      </c>
      <c r="AZ42" t="s">
        <v>2166</v>
      </c>
      <c r="BA42" t="s">
        <v>2166</v>
      </c>
      <c r="BB42" t="s">
        <v>2166</v>
      </c>
      <c r="BC42" t="s">
        <v>2166</v>
      </c>
      <c r="BD42" t="s">
        <v>2166</v>
      </c>
      <c r="BE42" t="s">
        <v>2166</v>
      </c>
      <c r="BF42" t="s">
        <v>2166</v>
      </c>
      <c r="BG42" t="s">
        <v>2166</v>
      </c>
      <c r="BH42" t="s">
        <v>2166</v>
      </c>
      <c r="BI42" t="s">
        <v>2166</v>
      </c>
      <c r="BJ42" t="s">
        <v>2166</v>
      </c>
      <c r="BK42" t="s">
        <v>2166</v>
      </c>
      <c r="BL42" t="s">
        <v>2166</v>
      </c>
      <c r="BM42" t="s">
        <v>2166</v>
      </c>
      <c r="BN42" t="s">
        <v>2166</v>
      </c>
      <c r="BO42" t="s">
        <v>2166</v>
      </c>
      <c r="BP42" t="s">
        <v>2166</v>
      </c>
      <c r="BQ42" t="s">
        <v>2166</v>
      </c>
      <c r="BR42" t="s">
        <v>2166</v>
      </c>
      <c r="BS42" t="s">
        <v>2166</v>
      </c>
      <c r="BT42" t="s">
        <v>2166</v>
      </c>
      <c r="BU42" t="s">
        <v>2166</v>
      </c>
      <c r="BV42" t="s">
        <v>2166</v>
      </c>
      <c r="BW42" t="s">
        <v>2166</v>
      </c>
      <c r="BX42" t="s">
        <v>2166</v>
      </c>
      <c r="BY42" t="s">
        <v>2166</v>
      </c>
      <c r="BZ42" t="s">
        <v>2166</v>
      </c>
      <c r="CA42" t="s">
        <v>2166</v>
      </c>
      <c r="CB42" t="s">
        <v>2166</v>
      </c>
      <c r="CC42" t="s">
        <v>2166</v>
      </c>
      <c r="CD42" t="s">
        <v>2166</v>
      </c>
      <c r="CE42" t="s">
        <v>2166</v>
      </c>
      <c r="CF42" t="s">
        <v>2166</v>
      </c>
      <c r="CG42" t="s">
        <v>2166</v>
      </c>
      <c r="CH42" t="s">
        <v>2166</v>
      </c>
      <c r="CI42" t="s">
        <v>2166</v>
      </c>
      <c r="CJ42" t="s">
        <v>2166</v>
      </c>
      <c r="CK42" t="s">
        <v>2166</v>
      </c>
      <c r="CL42" t="s">
        <v>2166</v>
      </c>
      <c r="CM42" t="s">
        <v>2166</v>
      </c>
      <c r="CN42" t="s">
        <v>2166</v>
      </c>
      <c r="CO42" t="s">
        <v>2166</v>
      </c>
      <c r="CP42" t="s">
        <v>2166</v>
      </c>
      <c r="CQ42" t="s">
        <v>2166</v>
      </c>
      <c r="CR42" t="s">
        <v>2166</v>
      </c>
      <c r="CS42" t="s">
        <v>2166</v>
      </c>
      <c r="CT42" t="s">
        <v>2166</v>
      </c>
      <c r="CU42" t="s">
        <v>2166</v>
      </c>
      <c r="CV42" t="s">
        <v>2166</v>
      </c>
      <c r="CW42" t="s">
        <v>2166</v>
      </c>
      <c r="CX42" t="s">
        <v>2166</v>
      </c>
      <c r="CY42" t="s">
        <v>2166</v>
      </c>
      <c r="CZ42" t="s">
        <v>2166</v>
      </c>
      <c r="DA42" t="s">
        <v>2166</v>
      </c>
      <c r="DB42" t="s">
        <v>2166</v>
      </c>
      <c r="DC42" t="s">
        <v>2166</v>
      </c>
      <c r="DD42" t="s">
        <v>2166</v>
      </c>
      <c r="DE42" t="s">
        <v>2166</v>
      </c>
      <c r="DF42" t="s">
        <v>2166</v>
      </c>
      <c r="DG42" t="s">
        <v>2166</v>
      </c>
      <c r="DH42" t="s">
        <v>2166</v>
      </c>
      <c r="DI42" t="s">
        <v>2166</v>
      </c>
    </row>
    <row r="43" spans="1:113" x14ac:dyDescent="0.2">
      <c r="A43" t="s">
        <v>2166</v>
      </c>
      <c r="B43" t="s">
        <v>2166</v>
      </c>
      <c r="C43" t="s">
        <v>2166</v>
      </c>
      <c r="D43" t="s">
        <v>2166</v>
      </c>
      <c r="E43" t="s">
        <v>2166</v>
      </c>
      <c r="F43" t="s">
        <v>2166</v>
      </c>
      <c r="G43" t="s">
        <v>2166</v>
      </c>
      <c r="H43" t="s">
        <v>2166</v>
      </c>
      <c r="I43" t="s">
        <v>2166</v>
      </c>
      <c r="J43" t="s">
        <v>2166</v>
      </c>
      <c r="K43" t="s">
        <v>2166</v>
      </c>
      <c r="L43" t="s">
        <v>2166</v>
      </c>
      <c r="M43" t="s">
        <v>2166</v>
      </c>
      <c r="N43" t="s">
        <v>2166</v>
      </c>
      <c r="O43" t="s">
        <v>2166</v>
      </c>
      <c r="P43" t="s">
        <v>2166</v>
      </c>
      <c r="Q43" t="s">
        <v>2166</v>
      </c>
      <c r="R43" t="s">
        <v>2166</v>
      </c>
      <c r="S43" t="s">
        <v>2166</v>
      </c>
      <c r="T43" t="s">
        <v>2166</v>
      </c>
      <c r="U43" t="s">
        <v>2166</v>
      </c>
      <c r="V43" t="s">
        <v>2166</v>
      </c>
      <c r="W43" t="s">
        <v>2166</v>
      </c>
      <c r="X43" t="s">
        <v>2166</v>
      </c>
      <c r="Y43" t="s">
        <v>2166</v>
      </c>
      <c r="Z43" t="s">
        <v>2166</v>
      </c>
      <c r="AA43" t="s">
        <v>2166</v>
      </c>
      <c r="AB43" t="s">
        <v>2166</v>
      </c>
      <c r="AC43" t="s">
        <v>2166</v>
      </c>
      <c r="AD43" t="s">
        <v>2166</v>
      </c>
      <c r="AE43" t="s">
        <v>2166</v>
      </c>
      <c r="AF43" t="s">
        <v>2166</v>
      </c>
      <c r="AG43" t="s">
        <v>2166</v>
      </c>
      <c r="AH43" t="s">
        <v>2166</v>
      </c>
      <c r="AI43" t="s">
        <v>2166</v>
      </c>
      <c r="AJ43" t="s">
        <v>2166</v>
      </c>
      <c r="AK43" t="s">
        <v>2166</v>
      </c>
      <c r="AL43" t="s">
        <v>2166</v>
      </c>
      <c r="AM43" t="s">
        <v>2166</v>
      </c>
      <c r="AN43" t="s">
        <v>2166</v>
      </c>
      <c r="AO43" t="s">
        <v>2166</v>
      </c>
      <c r="AP43" t="s">
        <v>2166</v>
      </c>
      <c r="AQ43" t="s">
        <v>2166</v>
      </c>
      <c r="AR43" t="s">
        <v>2166</v>
      </c>
      <c r="AS43" t="s">
        <v>2166</v>
      </c>
      <c r="AT43" t="s">
        <v>2166</v>
      </c>
      <c r="AU43" t="s">
        <v>2166</v>
      </c>
      <c r="AV43" t="s">
        <v>2166</v>
      </c>
      <c r="AW43" t="s">
        <v>2166</v>
      </c>
      <c r="AX43" t="s">
        <v>2166</v>
      </c>
      <c r="AY43" t="s">
        <v>2166</v>
      </c>
      <c r="AZ43" t="s">
        <v>2166</v>
      </c>
      <c r="BA43" t="s">
        <v>2166</v>
      </c>
      <c r="BB43" t="s">
        <v>2166</v>
      </c>
      <c r="BC43" t="s">
        <v>2166</v>
      </c>
      <c r="BD43" t="s">
        <v>2166</v>
      </c>
      <c r="BE43" t="s">
        <v>2166</v>
      </c>
      <c r="BF43" t="s">
        <v>2166</v>
      </c>
      <c r="BG43" t="s">
        <v>2166</v>
      </c>
      <c r="BH43" t="s">
        <v>2166</v>
      </c>
      <c r="BI43" t="s">
        <v>2166</v>
      </c>
      <c r="BJ43" t="s">
        <v>2166</v>
      </c>
      <c r="BK43" t="s">
        <v>2166</v>
      </c>
      <c r="BL43" t="s">
        <v>2166</v>
      </c>
      <c r="BM43" t="s">
        <v>2166</v>
      </c>
      <c r="BN43" t="s">
        <v>2166</v>
      </c>
      <c r="BO43" t="s">
        <v>2166</v>
      </c>
      <c r="BP43" t="s">
        <v>2166</v>
      </c>
      <c r="BQ43" t="s">
        <v>2166</v>
      </c>
      <c r="BR43" t="s">
        <v>2166</v>
      </c>
      <c r="BS43" t="s">
        <v>2166</v>
      </c>
      <c r="BT43" t="s">
        <v>2166</v>
      </c>
      <c r="BU43" t="s">
        <v>2166</v>
      </c>
      <c r="BV43" t="s">
        <v>2166</v>
      </c>
      <c r="BW43" t="s">
        <v>2166</v>
      </c>
      <c r="BX43" t="s">
        <v>2166</v>
      </c>
      <c r="BY43" t="s">
        <v>2166</v>
      </c>
      <c r="BZ43" t="s">
        <v>2166</v>
      </c>
      <c r="CA43" t="s">
        <v>2166</v>
      </c>
      <c r="CB43" t="s">
        <v>2166</v>
      </c>
      <c r="CC43" t="s">
        <v>2166</v>
      </c>
      <c r="CD43" t="s">
        <v>2166</v>
      </c>
      <c r="CE43" t="s">
        <v>2166</v>
      </c>
      <c r="CF43" t="s">
        <v>2166</v>
      </c>
      <c r="CG43" t="s">
        <v>2166</v>
      </c>
      <c r="CH43" t="s">
        <v>2166</v>
      </c>
      <c r="CI43" t="s">
        <v>2166</v>
      </c>
      <c r="CJ43" t="s">
        <v>2166</v>
      </c>
      <c r="CK43" t="s">
        <v>2166</v>
      </c>
      <c r="CL43" t="s">
        <v>2166</v>
      </c>
      <c r="CM43" t="s">
        <v>2166</v>
      </c>
      <c r="CN43" t="s">
        <v>2166</v>
      </c>
      <c r="CO43" t="s">
        <v>2166</v>
      </c>
      <c r="CP43" t="s">
        <v>2166</v>
      </c>
      <c r="CQ43" t="s">
        <v>2166</v>
      </c>
      <c r="CR43" t="s">
        <v>2166</v>
      </c>
      <c r="CS43" t="s">
        <v>2166</v>
      </c>
      <c r="CT43" t="s">
        <v>2166</v>
      </c>
      <c r="CU43" t="s">
        <v>2166</v>
      </c>
      <c r="CV43" t="s">
        <v>2166</v>
      </c>
      <c r="CW43" t="s">
        <v>2166</v>
      </c>
      <c r="CX43" t="s">
        <v>2166</v>
      </c>
      <c r="CY43" t="s">
        <v>2166</v>
      </c>
      <c r="CZ43" t="s">
        <v>2166</v>
      </c>
      <c r="DA43" t="s">
        <v>2166</v>
      </c>
      <c r="DB43" t="s">
        <v>2166</v>
      </c>
      <c r="DC43" t="s">
        <v>2166</v>
      </c>
      <c r="DD43" t="s">
        <v>2166</v>
      </c>
      <c r="DE43" t="s">
        <v>2166</v>
      </c>
      <c r="DF43" t="s">
        <v>2166</v>
      </c>
      <c r="DG43" t="s">
        <v>2166</v>
      </c>
      <c r="DH43" t="s">
        <v>2166</v>
      </c>
      <c r="DI43" t="s">
        <v>2166</v>
      </c>
    </row>
    <row r="44" spans="1:113" x14ac:dyDescent="0.2">
      <c r="A44" t="s">
        <v>2166</v>
      </c>
      <c r="B44" t="s">
        <v>2166</v>
      </c>
      <c r="C44" t="s">
        <v>2166</v>
      </c>
      <c r="D44" t="s">
        <v>2166</v>
      </c>
      <c r="E44" t="s">
        <v>2166</v>
      </c>
      <c r="F44" t="s">
        <v>2166</v>
      </c>
      <c r="G44" t="s">
        <v>2166</v>
      </c>
      <c r="H44" t="s">
        <v>2166</v>
      </c>
      <c r="I44" t="s">
        <v>2166</v>
      </c>
      <c r="J44" t="s">
        <v>2166</v>
      </c>
      <c r="K44" t="s">
        <v>2166</v>
      </c>
      <c r="L44" t="s">
        <v>2166</v>
      </c>
      <c r="M44" t="s">
        <v>2166</v>
      </c>
      <c r="N44" t="s">
        <v>2166</v>
      </c>
      <c r="O44" t="s">
        <v>2166</v>
      </c>
      <c r="P44" t="s">
        <v>2166</v>
      </c>
      <c r="Q44" t="s">
        <v>2166</v>
      </c>
      <c r="R44" t="s">
        <v>2166</v>
      </c>
      <c r="S44" t="s">
        <v>2166</v>
      </c>
      <c r="T44" t="s">
        <v>2166</v>
      </c>
      <c r="U44" t="s">
        <v>2166</v>
      </c>
      <c r="V44" t="s">
        <v>2166</v>
      </c>
      <c r="W44" t="s">
        <v>2166</v>
      </c>
      <c r="X44" t="s">
        <v>2166</v>
      </c>
      <c r="Y44" t="s">
        <v>2166</v>
      </c>
      <c r="Z44" t="s">
        <v>2166</v>
      </c>
      <c r="AA44" t="s">
        <v>2166</v>
      </c>
      <c r="AB44" t="s">
        <v>2166</v>
      </c>
      <c r="AC44" t="s">
        <v>2166</v>
      </c>
      <c r="AD44" t="s">
        <v>2166</v>
      </c>
      <c r="AE44" t="s">
        <v>2166</v>
      </c>
      <c r="AF44" t="s">
        <v>2166</v>
      </c>
      <c r="AG44" t="s">
        <v>2166</v>
      </c>
      <c r="AH44" t="s">
        <v>2166</v>
      </c>
      <c r="AI44" t="s">
        <v>2166</v>
      </c>
      <c r="AJ44" t="s">
        <v>2166</v>
      </c>
      <c r="AK44" t="s">
        <v>2166</v>
      </c>
      <c r="AL44" t="s">
        <v>2166</v>
      </c>
      <c r="AM44" t="s">
        <v>2166</v>
      </c>
      <c r="AN44" t="s">
        <v>2166</v>
      </c>
      <c r="AO44" t="s">
        <v>2166</v>
      </c>
      <c r="AP44" t="s">
        <v>2166</v>
      </c>
      <c r="AQ44" t="s">
        <v>2166</v>
      </c>
      <c r="AR44" t="s">
        <v>2166</v>
      </c>
      <c r="AS44" t="s">
        <v>2166</v>
      </c>
      <c r="AT44" t="s">
        <v>2166</v>
      </c>
      <c r="AU44" t="s">
        <v>2166</v>
      </c>
      <c r="AV44" t="s">
        <v>2166</v>
      </c>
      <c r="AW44" t="s">
        <v>2166</v>
      </c>
      <c r="AX44" t="s">
        <v>2166</v>
      </c>
      <c r="AY44" t="s">
        <v>2166</v>
      </c>
      <c r="AZ44" t="s">
        <v>2166</v>
      </c>
      <c r="BA44" t="s">
        <v>2166</v>
      </c>
      <c r="BB44" t="s">
        <v>2166</v>
      </c>
      <c r="BC44" t="s">
        <v>2166</v>
      </c>
      <c r="BD44" t="s">
        <v>2166</v>
      </c>
      <c r="BE44" t="s">
        <v>2166</v>
      </c>
      <c r="BF44" t="s">
        <v>2166</v>
      </c>
      <c r="BG44" t="s">
        <v>2166</v>
      </c>
      <c r="BH44" t="s">
        <v>2166</v>
      </c>
      <c r="BI44" t="s">
        <v>2166</v>
      </c>
      <c r="BJ44" t="s">
        <v>2166</v>
      </c>
      <c r="BK44" t="s">
        <v>2166</v>
      </c>
      <c r="BL44" t="s">
        <v>2166</v>
      </c>
      <c r="BM44" t="s">
        <v>2166</v>
      </c>
      <c r="BN44" t="s">
        <v>2166</v>
      </c>
      <c r="BO44" t="s">
        <v>2166</v>
      </c>
      <c r="BP44" t="s">
        <v>2166</v>
      </c>
      <c r="BQ44" t="s">
        <v>2166</v>
      </c>
      <c r="BR44" t="s">
        <v>2166</v>
      </c>
      <c r="BS44" t="s">
        <v>2166</v>
      </c>
      <c r="BT44" t="s">
        <v>2166</v>
      </c>
      <c r="BU44" t="s">
        <v>2166</v>
      </c>
      <c r="BV44" t="s">
        <v>2166</v>
      </c>
      <c r="BW44" t="s">
        <v>2166</v>
      </c>
      <c r="BX44" t="s">
        <v>2166</v>
      </c>
      <c r="BY44" t="s">
        <v>2166</v>
      </c>
      <c r="BZ44" t="s">
        <v>2166</v>
      </c>
      <c r="CA44" t="s">
        <v>2166</v>
      </c>
      <c r="CB44" t="s">
        <v>2166</v>
      </c>
      <c r="CC44" t="s">
        <v>2166</v>
      </c>
      <c r="CD44" t="s">
        <v>2166</v>
      </c>
      <c r="CE44" t="s">
        <v>2166</v>
      </c>
      <c r="CF44" t="s">
        <v>2166</v>
      </c>
      <c r="CG44" t="s">
        <v>2166</v>
      </c>
      <c r="CH44" t="s">
        <v>2166</v>
      </c>
      <c r="CI44" t="s">
        <v>2166</v>
      </c>
      <c r="CJ44" t="s">
        <v>2166</v>
      </c>
      <c r="CK44" t="s">
        <v>2166</v>
      </c>
      <c r="CL44" t="s">
        <v>2166</v>
      </c>
      <c r="CM44" t="s">
        <v>2166</v>
      </c>
      <c r="CN44" t="s">
        <v>2166</v>
      </c>
      <c r="CO44" t="s">
        <v>2166</v>
      </c>
      <c r="CP44" t="s">
        <v>2166</v>
      </c>
      <c r="CQ44" t="s">
        <v>2166</v>
      </c>
      <c r="CR44" t="s">
        <v>2166</v>
      </c>
      <c r="CS44" t="s">
        <v>2166</v>
      </c>
      <c r="CT44" t="s">
        <v>2166</v>
      </c>
      <c r="CU44" t="s">
        <v>2166</v>
      </c>
      <c r="CV44" t="s">
        <v>2166</v>
      </c>
      <c r="CW44" t="s">
        <v>2166</v>
      </c>
      <c r="CX44" t="s">
        <v>2166</v>
      </c>
      <c r="CY44" t="s">
        <v>2166</v>
      </c>
      <c r="CZ44" t="s">
        <v>2166</v>
      </c>
      <c r="DA44" t="s">
        <v>2166</v>
      </c>
      <c r="DB44" t="s">
        <v>2166</v>
      </c>
      <c r="DC44" t="s">
        <v>2166</v>
      </c>
      <c r="DD44" t="s">
        <v>2166</v>
      </c>
      <c r="DE44" t="s">
        <v>2166</v>
      </c>
      <c r="DF44" t="s">
        <v>2166</v>
      </c>
      <c r="DG44" t="s">
        <v>2166</v>
      </c>
      <c r="DH44" t="s">
        <v>2166</v>
      </c>
      <c r="DI44" t="s">
        <v>2166</v>
      </c>
    </row>
    <row r="45" spans="1:113" x14ac:dyDescent="0.2">
      <c r="A45" t="s">
        <v>2166</v>
      </c>
      <c r="B45" t="s">
        <v>2166</v>
      </c>
      <c r="C45" t="s">
        <v>2166</v>
      </c>
      <c r="D45" t="s">
        <v>2166</v>
      </c>
      <c r="E45" t="s">
        <v>2166</v>
      </c>
      <c r="F45" t="s">
        <v>2166</v>
      </c>
      <c r="G45" t="s">
        <v>2166</v>
      </c>
      <c r="H45" t="s">
        <v>2166</v>
      </c>
      <c r="I45" t="s">
        <v>2166</v>
      </c>
      <c r="J45" t="s">
        <v>2166</v>
      </c>
      <c r="K45" t="s">
        <v>2166</v>
      </c>
      <c r="L45" t="s">
        <v>2166</v>
      </c>
      <c r="M45" t="s">
        <v>2166</v>
      </c>
      <c r="N45" t="s">
        <v>2166</v>
      </c>
      <c r="O45" t="s">
        <v>2166</v>
      </c>
      <c r="P45" t="s">
        <v>2166</v>
      </c>
      <c r="Q45" t="s">
        <v>2166</v>
      </c>
      <c r="R45" t="s">
        <v>2166</v>
      </c>
      <c r="S45" t="s">
        <v>2166</v>
      </c>
      <c r="T45" t="s">
        <v>2166</v>
      </c>
      <c r="U45" t="s">
        <v>2166</v>
      </c>
      <c r="V45" t="s">
        <v>2166</v>
      </c>
      <c r="W45" t="s">
        <v>2166</v>
      </c>
      <c r="X45" t="s">
        <v>2166</v>
      </c>
      <c r="Y45" t="s">
        <v>2166</v>
      </c>
      <c r="Z45" t="s">
        <v>2166</v>
      </c>
      <c r="AA45" t="s">
        <v>2166</v>
      </c>
      <c r="AB45" t="s">
        <v>2166</v>
      </c>
      <c r="AC45" t="s">
        <v>2166</v>
      </c>
      <c r="AD45" t="s">
        <v>2166</v>
      </c>
      <c r="AE45" t="s">
        <v>2166</v>
      </c>
      <c r="AF45" t="s">
        <v>2166</v>
      </c>
      <c r="AG45" t="s">
        <v>2166</v>
      </c>
      <c r="AH45" t="s">
        <v>2166</v>
      </c>
      <c r="AI45" t="s">
        <v>2166</v>
      </c>
      <c r="AJ45" t="s">
        <v>2166</v>
      </c>
      <c r="AK45" t="s">
        <v>2166</v>
      </c>
      <c r="AL45" t="s">
        <v>2166</v>
      </c>
      <c r="AM45" t="s">
        <v>2166</v>
      </c>
      <c r="AN45" t="s">
        <v>2166</v>
      </c>
      <c r="AO45" t="s">
        <v>2166</v>
      </c>
      <c r="AP45" t="s">
        <v>2166</v>
      </c>
      <c r="AQ45" t="s">
        <v>2166</v>
      </c>
      <c r="AR45" t="s">
        <v>2166</v>
      </c>
      <c r="AS45" t="s">
        <v>2166</v>
      </c>
      <c r="AT45" t="s">
        <v>2166</v>
      </c>
      <c r="AU45" t="s">
        <v>2166</v>
      </c>
      <c r="AV45" t="s">
        <v>2166</v>
      </c>
      <c r="AW45" t="s">
        <v>2166</v>
      </c>
      <c r="AX45" t="s">
        <v>2166</v>
      </c>
      <c r="AY45" t="s">
        <v>2166</v>
      </c>
      <c r="AZ45" t="s">
        <v>2166</v>
      </c>
      <c r="BA45" t="s">
        <v>2166</v>
      </c>
      <c r="BB45" t="s">
        <v>2166</v>
      </c>
      <c r="BC45" t="s">
        <v>2166</v>
      </c>
      <c r="BD45" t="s">
        <v>2166</v>
      </c>
      <c r="BE45" t="s">
        <v>2166</v>
      </c>
      <c r="BF45" t="s">
        <v>2166</v>
      </c>
      <c r="BG45" t="s">
        <v>2166</v>
      </c>
      <c r="BH45" t="s">
        <v>2166</v>
      </c>
      <c r="BI45" t="s">
        <v>2166</v>
      </c>
      <c r="BJ45" t="s">
        <v>2166</v>
      </c>
      <c r="BK45" t="s">
        <v>2166</v>
      </c>
      <c r="BL45" t="s">
        <v>2166</v>
      </c>
      <c r="BM45" t="s">
        <v>2166</v>
      </c>
      <c r="BN45" t="s">
        <v>2166</v>
      </c>
      <c r="BO45" t="s">
        <v>2166</v>
      </c>
      <c r="BP45" t="s">
        <v>2166</v>
      </c>
      <c r="BQ45" t="s">
        <v>2166</v>
      </c>
      <c r="BR45" t="s">
        <v>2166</v>
      </c>
      <c r="BS45" t="s">
        <v>2166</v>
      </c>
      <c r="BT45" t="s">
        <v>2166</v>
      </c>
      <c r="BU45" t="s">
        <v>2166</v>
      </c>
      <c r="BV45" t="s">
        <v>2166</v>
      </c>
      <c r="BW45" t="s">
        <v>2166</v>
      </c>
      <c r="BX45" t="s">
        <v>2166</v>
      </c>
      <c r="BY45" t="s">
        <v>2166</v>
      </c>
      <c r="BZ45" t="s">
        <v>2166</v>
      </c>
      <c r="CA45" t="s">
        <v>2166</v>
      </c>
      <c r="CB45" t="s">
        <v>2166</v>
      </c>
      <c r="CC45" t="s">
        <v>2166</v>
      </c>
      <c r="CD45" t="s">
        <v>2166</v>
      </c>
      <c r="CE45" t="s">
        <v>2166</v>
      </c>
      <c r="CF45" t="s">
        <v>2166</v>
      </c>
      <c r="CG45" t="s">
        <v>2166</v>
      </c>
      <c r="CH45" t="s">
        <v>2166</v>
      </c>
      <c r="CI45" t="s">
        <v>2166</v>
      </c>
      <c r="CJ45" t="s">
        <v>2166</v>
      </c>
      <c r="CK45" t="s">
        <v>2166</v>
      </c>
      <c r="CL45" t="s">
        <v>2166</v>
      </c>
      <c r="CM45" t="s">
        <v>2166</v>
      </c>
      <c r="CN45" t="s">
        <v>2166</v>
      </c>
      <c r="CO45" t="s">
        <v>2166</v>
      </c>
      <c r="CP45" t="s">
        <v>2166</v>
      </c>
      <c r="CQ45" t="s">
        <v>2166</v>
      </c>
      <c r="CR45" t="s">
        <v>2166</v>
      </c>
      <c r="CS45" t="s">
        <v>2166</v>
      </c>
      <c r="CT45" t="s">
        <v>2166</v>
      </c>
      <c r="CU45" t="s">
        <v>2166</v>
      </c>
      <c r="CV45" t="s">
        <v>2166</v>
      </c>
      <c r="CW45" t="s">
        <v>2166</v>
      </c>
      <c r="CX45" t="s">
        <v>2166</v>
      </c>
      <c r="CY45" t="s">
        <v>2166</v>
      </c>
      <c r="CZ45" t="s">
        <v>2166</v>
      </c>
      <c r="DA45" t="s">
        <v>2166</v>
      </c>
      <c r="DB45" t="s">
        <v>2166</v>
      </c>
      <c r="DC45" t="s">
        <v>2166</v>
      </c>
      <c r="DD45" t="s">
        <v>2166</v>
      </c>
      <c r="DE45" t="s">
        <v>2166</v>
      </c>
      <c r="DF45" t="s">
        <v>2166</v>
      </c>
      <c r="DG45" t="s">
        <v>2166</v>
      </c>
      <c r="DH45" t="s">
        <v>2166</v>
      </c>
      <c r="DI45" t="s">
        <v>2166</v>
      </c>
    </row>
    <row r="46" spans="1:113" x14ac:dyDescent="0.2">
      <c r="A46" t="s">
        <v>2166</v>
      </c>
      <c r="B46" t="s">
        <v>2166</v>
      </c>
      <c r="C46" t="s">
        <v>2166</v>
      </c>
      <c r="D46" t="s">
        <v>2166</v>
      </c>
      <c r="E46" t="s">
        <v>2166</v>
      </c>
      <c r="F46" t="s">
        <v>2166</v>
      </c>
      <c r="G46" t="s">
        <v>2166</v>
      </c>
      <c r="H46" t="s">
        <v>2166</v>
      </c>
      <c r="I46" t="s">
        <v>2166</v>
      </c>
      <c r="J46" t="s">
        <v>2166</v>
      </c>
      <c r="K46" t="s">
        <v>2166</v>
      </c>
      <c r="L46" t="s">
        <v>2166</v>
      </c>
      <c r="M46" t="s">
        <v>2166</v>
      </c>
      <c r="N46" t="s">
        <v>2166</v>
      </c>
      <c r="O46" t="s">
        <v>2166</v>
      </c>
      <c r="P46" t="s">
        <v>2166</v>
      </c>
      <c r="Q46" t="s">
        <v>2166</v>
      </c>
      <c r="R46" t="s">
        <v>2166</v>
      </c>
      <c r="S46" t="s">
        <v>2166</v>
      </c>
      <c r="T46" t="s">
        <v>2166</v>
      </c>
      <c r="U46" t="s">
        <v>2166</v>
      </c>
      <c r="V46" t="s">
        <v>2166</v>
      </c>
      <c r="W46" t="s">
        <v>2166</v>
      </c>
      <c r="X46" t="s">
        <v>2166</v>
      </c>
      <c r="Y46" t="s">
        <v>2166</v>
      </c>
      <c r="Z46" t="s">
        <v>2166</v>
      </c>
      <c r="AA46" t="s">
        <v>2166</v>
      </c>
      <c r="AB46" t="s">
        <v>2166</v>
      </c>
      <c r="AC46" t="s">
        <v>2166</v>
      </c>
      <c r="AD46" t="s">
        <v>2166</v>
      </c>
      <c r="AE46" t="s">
        <v>2166</v>
      </c>
      <c r="AF46" t="s">
        <v>2166</v>
      </c>
      <c r="AG46" t="s">
        <v>2166</v>
      </c>
      <c r="AH46" t="s">
        <v>2166</v>
      </c>
      <c r="AI46" t="s">
        <v>2166</v>
      </c>
      <c r="AJ46" t="s">
        <v>2166</v>
      </c>
      <c r="AK46" t="s">
        <v>2166</v>
      </c>
      <c r="AL46" t="s">
        <v>2166</v>
      </c>
      <c r="AM46" t="s">
        <v>2166</v>
      </c>
      <c r="AN46" t="s">
        <v>2166</v>
      </c>
      <c r="AO46" t="s">
        <v>2166</v>
      </c>
      <c r="AP46" t="s">
        <v>2166</v>
      </c>
      <c r="AQ46" t="s">
        <v>2166</v>
      </c>
      <c r="AR46" t="s">
        <v>2166</v>
      </c>
      <c r="AS46" t="s">
        <v>2166</v>
      </c>
      <c r="AT46" t="s">
        <v>2166</v>
      </c>
      <c r="AU46" t="s">
        <v>2166</v>
      </c>
      <c r="AV46" t="s">
        <v>2166</v>
      </c>
      <c r="AW46" t="s">
        <v>2166</v>
      </c>
      <c r="AX46" t="s">
        <v>2166</v>
      </c>
      <c r="AY46" t="s">
        <v>2166</v>
      </c>
      <c r="AZ46" t="s">
        <v>2166</v>
      </c>
      <c r="BA46" t="s">
        <v>2166</v>
      </c>
      <c r="BB46" t="s">
        <v>2166</v>
      </c>
      <c r="BC46" t="s">
        <v>2166</v>
      </c>
      <c r="BD46" t="s">
        <v>2166</v>
      </c>
      <c r="BE46" t="s">
        <v>2166</v>
      </c>
      <c r="BF46" t="s">
        <v>2166</v>
      </c>
      <c r="BG46" t="s">
        <v>2166</v>
      </c>
      <c r="BH46" t="s">
        <v>2166</v>
      </c>
      <c r="BI46" t="s">
        <v>2166</v>
      </c>
      <c r="BJ46" t="s">
        <v>2166</v>
      </c>
      <c r="BK46" t="s">
        <v>2166</v>
      </c>
      <c r="BL46" t="s">
        <v>2166</v>
      </c>
      <c r="BM46" t="s">
        <v>2166</v>
      </c>
      <c r="BN46" t="s">
        <v>2166</v>
      </c>
      <c r="BO46" t="s">
        <v>2166</v>
      </c>
      <c r="BP46" t="s">
        <v>2166</v>
      </c>
      <c r="BQ46" t="s">
        <v>2166</v>
      </c>
      <c r="BR46" t="s">
        <v>2166</v>
      </c>
      <c r="BS46" t="s">
        <v>2166</v>
      </c>
      <c r="BT46" t="s">
        <v>2166</v>
      </c>
      <c r="BU46" t="s">
        <v>2166</v>
      </c>
      <c r="BV46" t="s">
        <v>2166</v>
      </c>
      <c r="BW46" t="s">
        <v>2166</v>
      </c>
      <c r="BX46" t="s">
        <v>2166</v>
      </c>
      <c r="BY46" t="s">
        <v>2166</v>
      </c>
      <c r="BZ46" t="s">
        <v>2166</v>
      </c>
      <c r="CA46" t="s">
        <v>2166</v>
      </c>
      <c r="CB46" t="s">
        <v>2166</v>
      </c>
      <c r="CC46" t="s">
        <v>2166</v>
      </c>
      <c r="CD46" t="s">
        <v>2166</v>
      </c>
      <c r="CE46" t="s">
        <v>2166</v>
      </c>
      <c r="CF46" t="s">
        <v>2166</v>
      </c>
      <c r="CG46" t="s">
        <v>2166</v>
      </c>
      <c r="CH46" t="s">
        <v>2166</v>
      </c>
      <c r="CI46" t="s">
        <v>2166</v>
      </c>
      <c r="CJ46" t="s">
        <v>2166</v>
      </c>
      <c r="CK46" t="s">
        <v>2166</v>
      </c>
      <c r="CL46" t="s">
        <v>2166</v>
      </c>
      <c r="CM46" t="s">
        <v>2166</v>
      </c>
      <c r="CN46" t="s">
        <v>2166</v>
      </c>
      <c r="CO46" t="s">
        <v>2166</v>
      </c>
      <c r="CP46" t="s">
        <v>2166</v>
      </c>
      <c r="CQ46" t="s">
        <v>2166</v>
      </c>
      <c r="CR46" t="s">
        <v>2166</v>
      </c>
      <c r="CS46" t="s">
        <v>2166</v>
      </c>
      <c r="CT46" t="s">
        <v>2166</v>
      </c>
      <c r="CU46" t="s">
        <v>2166</v>
      </c>
      <c r="CV46" t="s">
        <v>2166</v>
      </c>
      <c r="CW46" t="s">
        <v>2166</v>
      </c>
      <c r="CX46" t="s">
        <v>2166</v>
      </c>
      <c r="CY46" t="s">
        <v>2166</v>
      </c>
      <c r="CZ46" t="s">
        <v>2166</v>
      </c>
      <c r="DA46" t="s">
        <v>2166</v>
      </c>
      <c r="DB46" t="s">
        <v>2166</v>
      </c>
      <c r="DC46" t="s">
        <v>2166</v>
      </c>
      <c r="DD46" t="s">
        <v>2166</v>
      </c>
      <c r="DE46" t="s">
        <v>2166</v>
      </c>
      <c r="DF46" t="s">
        <v>2166</v>
      </c>
      <c r="DG46" t="s">
        <v>2166</v>
      </c>
      <c r="DH46" t="s">
        <v>2166</v>
      </c>
      <c r="DI46" t="s">
        <v>2166</v>
      </c>
    </row>
    <row r="47" spans="1:113" x14ac:dyDescent="0.2">
      <c r="A47" t="s">
        <v>2166</v>
      </c>
      <c r="B47" t="s">
        <v>2166</v>
      </c>
      <c r="C47" t="s">
        <v>2166</v>
      </c>
      <c r="D47" t="s">
        <v>2166</v>
      </c>
      <c r="E47" t="s">
        <v>2166</v>
      </c>
      <c r="F47" t="s">
        <v>2166</v>
      </c>
      <c r="G47" t="s">
        <v>2166</v>
      </c>
      <c r="H47" t="s">
        <v>2166</v>
      </c>
      <c r="I47" t="s">
        <v>2166</v>
      </c>
      <c r="J47" t="s">
        <v>2166</v>
      </c>
      <c r="K47" t="s">
        <v>2166</v>
      </c>
      <c r="L47" t="s">
        <v>2166</v>
      </c>
      <c r="M47" t="s">
        <v>2166</v>
      </c>
      <c r="N47" t="s">
        <v>2166</v>
      </c>
      <c r="O47" t="s">
        <v>2166</v>
      </c>
      <c r="P47" t="s">
        <v>2166</v>
      </c>
      <c r="Q47" t="s">
        <v>2166</v>
      </c>
      <c r="R47" t="s">
        <v>2166</v>
      </c>
      <c r="S47" t="s">
        <v>2166</v>
      </c>
      <c r="T47" t="s">
        <v>2166</v>
      </c>
      <c r="U47" t="s">
        <v>2166</v>
      </c>
      <c r="V47" t="s">
        <v>2166</v>
      </c>
      <c r="W47" t="s">
        <v>2166</v>
      </c>
      <c r="X47" t="s">
        <v>2166</v>
      </c>
      <c r="Y47" t="s">
        <v>2166</v>
      </c>
      <c r="Z47" t="s">
        <v>2166</v>
      </c>
      <c r="AA47" t="s">
        <v>2166</v>
      </c>
      <c r="AB47" t="s">
        <v>2166</v>
      </c>
      <c r="AC47" t="s">
        <v>2166</v>
      </c>
      <c r="AD47" t="s">
        <v>2166</v>
      </c>
      <c r="AE47" t="s">
        <v>2166</v>
      </c>
      <c r="AF47" t="s">
        <v>2166</v>
      </c>
      <c r="AG47" t="s">
        <v>2166</v>
      </c>
      <c r="AH47" t="s">
        <v>2166</v>
      </c>
      <c r="AI47" t="s">
        <v>2166</v>
      </c>
      <c r="AJ47" t="s">
        <v>2166</v>
      </c>
      <c r="AK47" t="s">
        <v>2166</v>
      </c>
      <c r="AL47" t="s">
        <v>2166</v>
      </c>
      <c r="AM47" t="s">
        <v>2166</v>
      </c>
      <c r="AN47" t="s">
        <v>2166</v>
      </c>
      <c r="AO47" t="s">
        <v>2166</v>
      </c>
      <c r="AP47" t="s">
        <v>2166</v>
      </c>
      <c r="AQ47" t="s">
        <v>2166</v>
      </c>
      <c r="AR47" t="s">
        <v>2166</v>
      </c>
      <c r="AS47" t="s">
        <v>2166</v>
      </c>
      <c r="AT47" t="s">
        <v>2166</v>
      </c>
      <c r="AU47" t="s">
        <v>2166</v>
      </c>
      <c r="AV47" t="s">
        <v>2166</v>
      </c>
      <c r="AW47" t="s">
        <v>2166</v>
      </c>
      <c r="AX47" t="s">
        <v>2166</v>
      </c>
      <c r="AY47" t="s">
        <v>2166</v>
      </c>
      <c r="AZ47" t="s">
        <v>2166</v>
      </c>
      <c r="BA47" t="s">
        <v>2166</v>
      </c>
      <c r="BB47" t="s">
        <v>2166</v>
      </c>
      <c r="BC47" t="s">
        <v>2166</v>
      </c>
      <c r="BD47" t="s">
        <v>2166</v>
      </c>
      <c r="BE47" t="s">
        <v>2166</v>
      </c>
      <c r="BF47" t="s">
        <v>2166</v>
      </c>
      <c r="BG47" t="s">
        <v>2166</v>
      </c>
      <c r="BH47" t="s">
        <v>2166</v>
      </c>
      <c r="BI47" t="s">
        <v>2166</v>
      </c>
      <c r="BJ47" t="s">
        <v>2166</v>
      </c>
      <c r="BK47" t="s">
        <v>2166</v>
      </c>
      <c r="BL47" t="s">
        <v>2166</v>
      </c>
      <c r="BM47" t="s">
        <v>2166</v>
      </c>
      <c r="BN47" t="s">
        <v>2166</v>
      </c>
      <c r="BO47" t="s">
        <v>2166</v>
      </c>
      <c r="BP47" t="s">
        <v>2166</v>
      </c>
      <c r="BQ47" t="s">
        <v>2166</v>
      </c>
      <c r="BR47" t="s">
        <v>2166</v>
      </c>
      <c r="BS47" t="s">
        <v>2166</v>
      </c>
      <c r="BT47" t="s">
        <v>2166</v>
      </c>
      <c r="BU47" t="s">
        <v>2166</v>
      </c>
      <c r="BV47" t="s">
        <v>2166</v>
      </c>
      <c r="BW47" t="s">
        <v>2166</v>
      </c>
      <c r="BX47" t="s">
        <v>2166</v>
      </c>
      <c r="BY47" t="s">
        <v>2166</v>
      </c>
      <c r="BZ47" t="s">
        <v>2166</v>
      </c>
      <c r="CA47" t="s">
        <v>2166</v>
      </c>
      <c r="CB47" t="s">
        <v>2166</v>
      </c>
      <c r="CC47" t="s">
        <v>2166</v>
      </c>
      <c r="CD47" t="s">
        <v>2166</v>
      </c>
      <c r="CE47" t="s">
        <v>2166</v>
      </c>
      <c r="CF47" t="s">
        <v>2166</v>
      </c>
      <c r="CG47" t="s">
        <v>2166</v>
      </c>
      <c r="CH47" t="s">
        <v>2166</v>
      </c>
      <c r="CI47" t="s">
        <v>2166</v>
      </c>
      <c r="CJ47" t="s">
        <v>2166</v>
      </c>
      <c r="CK47" t="s">
        <v>2166</v>
      </c>
      <c r="CL47" t="s">
        <v>2166</v>
      </c>
      <c r="CM47" t="s">
        <v>2166</v>
      </c>
      <c r="CN47" t="s">
        <v>2166</v>
      </c>
      <c r="CO47" t="s">
        <v>2166</v>
      </c>
      <c r="CP47" t="s">
        <v>2166</v>
      </c>
      <c r="CQ47" t="s">
        <v>2166</v>
      </c>
      <c r="CR47" t="s">
        <v>2166</v>
      </c>
      <c r="CS47" t="s">
        <v>2166</v>
      </c>
      <c r="CT47" t="s">
        <v>2166</v>
      </c>
      <c r="CU47" t="s">
        <v>2166</v>
      </c>
      <c r="CV47" t="s">
        <v>2166</v>
      </c>
      <c r="CW47" t="s">
        <v>2166</v>
      </c>
      <c r="CX47" t="s">
        <v>2166</v>
      </c>
      <c r="CY47" t="s">
        <v>2166</v>
      </c>
      <c r="CZ47" t="s">
        <v>2166</v>
      </c>
      <c r="DA47" t="s">
        <v>2166</v>
      </c>
      <c r="DB47" t="s">
        <v>2166</v>
      </c>
      <c r="DC47" t="s">
        <v>2166</v>
      </c>
      <c r="DD47" t="s">
        <v>2166</v>
      </c>
      <c r="DE47" t="s">
        <v>2166</v>
      </c>
      <c r="DF47" t="s">
        <v>2166</v>
      </c>
      <c r="DG47" t="s">
        <v>2166</v>
      </c>
      <c r="DH47" t="s">
        <v>2166</v>
      </c>
      <c r="DI47" t="s">
        <v>2166</v>
      </c>
    </row>
    <row r="48" spans="1:113" x14ac:dyDescent="0.2">
      <c r="A48" t="s">
        <v>2166</v>
      </c>
      <c r="B48" t="s">
        <v>2166</v>
      </c>
      <c r="C48" t="s">
        <v>2166</v>
      </c>
      <c r="D48" t="s">
        <v>2166</v>
      </c>
      <c r="E48" t="s">
        <v>2166</v>
      </c>
      <c r="F48" t="s">
        <v>2166</v>
      </c>
      <c r="G48" t="s">
        <v>2166</v>
      </c>
      <c r="H48" t="s">
        <v>2166</v>
      </c>
      <c r="I48" t="s">
        <v>2166</v>
      </c>
      <c r="J48" t="s">
        <v>2166</v>
      </c>
      <c r="K48" t="s">
        <v>2166</v>
      </c>
      <c r="L48" t="s">
        <v>2166</v>
      </c>
      <c r="M48" t="s">
        <v>2166</v>
      </c>
      <c r="N48" t="s">
        <v>2166</v>
      </c>
      <c r="O48" t="s">
        <v>2166</v>
      </c>
      <c r="P48" t="s">
        <v>2166</v>
      </c>
      <c r="Q48" t="s">
        <v>2166</v>
      </c>
      <c r="R48" t="s">
        <v>2166</v>
      </c>
      <c r="S48" t="s">
        <v>2166</v>
      </c>
      <c r="T48" t="s">
        <v>2166</v>
      </c>
      <c r="U48" t="s">
        <v>2166</v>
      </c>
      <c r="V48" t="s">
        <v>2166</v>
      </c>
      <c r="W48" t="s">
        <v>2166</v>
      </c>
      <c r="X48" t="s">
        <v>2166</v>
      </c>
      <c r="Y48" t="s">
        <v>2166</v>
      </c>
      <c r="Z48" t="s">
        <v>2166</v>
      </c>
      <c r="AA48" t="s">
        <v>2166</v>
      </c>
      <c r="AB48" t="s">
        <v>2166</v>
      </c>
      <c r="AC48" t="s">
        <v>2166</v>
      </c>
      <c r="AD48" t="s">
        <v>2166</v>
      </c>
      <c r="AE48" t="s">
        <v>2166</v>
      </c>
      <c r="AF48" t="s">
        <v>2166</v>
      </c>
      <c r="AG48" t="s">
        <v>2166</v>
      </c>
      <c r="AH48" t="s">
        <v>2166</v>
      </c>
      <c r="AI48" t="s">
        <v>2166</v>
      </c>
      <c r="AJ48" t="s">
        <v>2166</v>
      </c>
      <c r="AK48" t="s">
        <v>2166</v>
      </c>
      <c r="AL48" t="s">
        <v>2166</v>
      </c>
      <c r="AM48" t="s">
        <v>2166</v>
      </c>
      <c r="AN48" t="s">
        <v>2166</v>
      </c>
      <c r="AO48" t="s">
        <v>2166</v>
      </c>
      <c r="AP48" t="s">
        <v>2166</v>
      </c>
      <c r="AQ48" t="s">
        <v>2166</v>
      </c>
      <c r="AR48" t="s">
        <v>2166</v>
      </c>
      <c r="AS48" t="s">
        <v>2166</v>
      </c>
      <c r="AT48" t="s">
        <v>2166</v>
      </c>
      <c r="AU48" t="s">
        <v>2166</v>
      </c>
      <c r="AV48" t="s">
        <v>2166</v>
      </c>
      <c r="AW48" t="s">
        <v>2166</v>
      </c>
      <c r="AX48" t="s">
        <v>2166</v>
      </c>
      <c r="AY48" t="s">
        <v>2166</v>
      </c>
      <c r="AZ48" t="s">
        <v>2166</v>
      </c>
      <c r="BA48" t="s">
        <v>2166</v>
      </c>
      <c r="BB48" t="s">
        <v>2166</v>
      </c>
      <c r="BC48" t="s">
        <v>2166</v>
      </c>
      <c r="BD48" t="s">
        <v>2166</v>
      </c>
      <c r="BE48" t="s">
        <v>2166</v>
      </c>
      <c r="BF48" t="s">
        <v>2166</v>
      </c>
      <c r="BG48" t="s">
        <v>2166</v>
      </c>
      <c r="BH48" t="s">
        <v>2166</v>
      </c>
      <c r="BI48" t="s">
        <v>2166</v>
      </c>
      <c r="BJ48" t="s">
        <v>2166</v>
      </c>
      <c r="BK48" t="s">
        <v>2166</v>
      </c>
      <c r="BL48" t="s">
        <v>2166</v>
      </c>
      <c r="BM48" t="s">
        <v>2166</v>
      </c>
      <c r="BN48" t="s">
        <v>2166</v>
      </c>
      <c r="BO48" t="s">
        <v>2166</v>
      </c>
      <c r="BP48" t="s">
        <v>2166</v>
      </c>
      <c r="BQ48" t="s">
        <v>2166</v>
      </c>
      <c r="BR48" t="s">
        <v>2166</v>
      </c>
      <c r="BS48" t="s">
        <v>2166</v>
      </c>
      <c r="BT48" t="s">
        <v>2166</v>
      </c>
      <c r="BU48" t="s">
        <v>2166</v>
      </c>
      <c r="BV48" t="s">
        <v>2166</v>
      </c>
      <c r="BW48" t="s">
        <v>2166</v>
      </c>
      <c r="BX48" t="s">
        <v>2166</v>
      </c>
      <c r="BY48" t="s">
        <v>2166</v>
      </c>
      <c r="BZ48" t="s">
        <v>2166</v>
      </c>
      <c r="CA48" t="s">
        <v>2166</v>
      </c>
      <c r="CB48" t="s">
        <v>2166</v>
      </c>
      <c r="CC48" t="s">
        <v>2166</v>
      </c>
      <c r="CD48" t="s">
        <v>2166</v>
      </c>
      <c r="CE48" t="s">
        <v>2166</v>
      </c>
      <c r="CF48" t="s">
        <v>2166</v>
      </c>
      <c r="CG48" t="s">
        <v>2166</v>
      </c>
      <c r="CH48" t="s">
        <v>2166</v>
      </c>
      <c r="CI48" t="s">
        <v>2166</v>
      </c>
      <c r="CJ48" t="s">
        <v>2166</v>
      </c>
      <c r="CK48" t="s">
        <v>2166</v>
      </c>
      <c r="CL48" t="s">
        <v>2166</v>
      </c>
      <c r="CM48" t="s">
        <v>2166</v>
      </c>
      <c r="CN48" t="s">
        <v>2166</v>
      </c>
      <c r="CO48" t="s">
        <v>2166</v>
      </c>
      <c r="CP48" t="s">
        <v>2166</v>
      </c>
      <c r="CQ48" t="s">
        <v>2166</v>
      </c>
      <c r="CR48" t="s">
        <v>2166</v>
      </c>
      <c r="CS48" t="s">
        <v>2166</v>
      </c>
      <c r="CT48" t="s">
        <v>2166</v>
      </c>
      <c r="CU48" t="s">
        <v>2166</v>
      </c>
      <c r="CV48" t="s">
        <v>2166</v>
      </c>
      <c r="CW48" t="s">
        <v>2166</v>
      </c>
      <c r="CX48" t="s">
        <v>2166</v>
      </c>
      <c r="CY48" t="s">
        <v>2166</v>
      </c>
      <c r="CZ48" t="s">
        <v>2166</v>
      </c>
      <c r="DA48" t="s">
        <v>2166</v>
      </c>
      <c r="DB48" t="s">
        <v>2166</v>
      </c>
      <c r="DC48" t="s">
        <v>2166</v>
      </c>
      <c r="DD48" t="s">
        <v>2166</v>
      </c>
      <c r="DE48" t="s">
        <v>2166</v>
      </c>
      <c r="DF48" t="s">
        <v>2166</v>
      </c>
      <c r="DG48" t="s">
        <v>2166</v>
      </c>
      <c r="DH48" t="s">
        <v>2166</v>
      </c>
      <c r="DI48" t="s">
        <v>2166</v>
      </c>
    </row>
    <row r="49" spans="1:113" x14ac:dyDescent="0.2">
      <c r="A49" t="s">
        <v>2166</v>
      </c>
      <c r="B49" t="s">
        <v>2166</v>
      </c>
      <c r="C49" t="s">
        <v>2166</v>
      </c>
      <c r="D49" t="s">
        <v>2166</v>
      </c>
      <c r="E49" t="s">
        <v>2166</v>
      </c>
      <c r="F49" t="s">
        <v>2166</v>
      </c>
      <c r="G49" t="s">
        <v>2166</v>
      </c>
      <c r="H49" t="s">
        <v>2166</v>
      </c>
      <c r="I49" t="s">
        <v>2166</v>
      </c>
      <c r="J49" t="s">
        <v>2166</v>
      </c>
      <c r="K49" t="s">
        <v>2166</v>
      </c>
      <c r="L49" t="s">
        <v>2166</v>
      </c>
      <c r="M49" t="s">
        <v>2166</v>
      </c>
      <c r="N49" t="s">
        <v>2166</v>
      </c>
      <c r="O49" t="s">
        <v>2166</v>
      </c>
      <c r="P49" t="s">
        <v>2166</v>
      </c>
      <c r="Q49" t="s">
        <v>2166</v>
      </c>
      <c r="R49" t="s">
        <v>2166</v>
      </c>
      <c r="S49" t="s">
        <v>2166</v>
      </c>
      <c r="T49" t="s">
        <v>2166</v>
      </c>
      <c r="U49" t="s">
        <v>2166</v>
      </c>
      <c r="V49" t="s">
        <v>2166</v>
      </c>
      <c r="W49" t="s">
        <v>2166</v>
      </c>
      <c r="X49" t="s">
        <v>2166</v>
      </c>
      <c r="Y49" t="s">
        <v>2166</v>
      </c>
      <c r="Z49" t="s">
        <v>2166</v>
      </c>
      <c r="AA49" t="s">
        <v>2166</v>
      </c>
      <c r="AB49" t="s">
        <v>2166</v>
      </c>
      <c r="AC49" t="s">
        <v>2166</v>
      </c>
      <c r="AD49" t="s">
        <v>2166</v>
      </c>
      <c r="AE49" t="s">
        <v>2166</v>
      </c>
      <c r="AF49" t="s">
        <v>2166</v>
      </c>
      <c r="AG49" t="s">
        <v>2166</v>
      </c>
      <c r="AH49" t="s">
        <v>2166</v>
      </c>
      <c r="AI49" t="s">
        <v>2166</v>
      </c>
      <c r="AJ49" t="s">
        <v>2166</v>
      </c>
      <c r="AK49" t="s">
        <v>2166</v>
      </c>
      <c r="AL49" t="s">
        <v>2166</v>
      </c>
      <c r="AM49" t="s">
        <v>2166</v>
      </c>
      <c r="AN49" t="s">
        <v>2166</v>
      </c>
      <c r="AO49" t="s">
        <v>2166</v>
      </c>
      <c r="AP49" t="s">
        <v>2166</v>
      </c>
      <c r="AQ49" t="s">
        <v>2166</v>
      </c>
      <c r="AR49" t="s">
        <v>2166</v>
      </c>
      <c r="AS49" t="s">
        <v>2166</v>
      </c>
      <c r="AT49" t="s">
        <v>2166</v>
      </c>
      <c r="AU49" t="s">
        <v>2166</v>
      </c>
      <c r="AV49" t="s">
        <v>2166</v>
      </c>
      <c r="AW49" t="s">
        <v>2166</v>
      </c>
      <c r="AX49" t="s">
        <v>2166</v>
      </c>
      <c r="AY49" t="s">
        <v>2166</v>
      </c>
      <c r="AZ49" t="s">
        <v>2166</v>
      </c>
      <c r="BA49" t="s">
        <v>2166</v>
      </c>
      <c r="BB49" t="s">
        <v>2166</v>
      </c>
      <c r="BC49" t="s">
        <v>2166</v>
      </c>
      <c r="BD49" t="s">
        <v>2166</v>
      </c>
      <c r="BE49" t="s">
        <v>2166</v>
      </c>
      <c r="BF49" t="s">
        <v>2166</v>
      </c>
      <c r="BG49" t="s">
        <v>2166</v>
      </c>
      <c r="BH49" t="s">
        <v>2166</v>
      </c>
      <c r="BI49" t="s">
        <v>2166</v>
      </c>
      <c r="BJ49" t="s">
        <v>2166</v>
      </c>
      <c r="BK49" t="s">
        <v>2166</v>
      </c>
      <c r="BL49" t="s">
        <v>2166</v>
      </c>
      <c r="BM49" t="s">
        <v>2166</v>
      </c>
      <c r="BN49" t="s">
        <v>2166</v>
      </c>
      <c r="BO49" t="s">
        <v>2166</v>
      </c>
      <c r="BP49" t="s">
        <v>2166</v>
      </c>
      <c r="BQ49" t="s">
        <v>2166</v>
      </c>
      <c r="BR49" t="s">
        <v>2166</v>
      </c>
      <c r="BS49" t="s">
        <v>2166</v>
      </c>
      <c r="BT49" t="s">
        <v>2166</v>
      </c>
      <c r="BU49" t="s">
        <v>2166</v>
      </c>
      <c r="BV49" t="s">
        <v>2166</v>
      </c>
      <c r="BW49" t="s">
        <v>2166</v>
      </c>
      <c r="BX49" t="s">
        <v>2166</v>
      </c>
      <c r="BY49" t="s">
        <v>2166</v>
      </c>
      <c r="BZ49" t="s">
        <v>2166</v>
      </c>
      <c r="CA49" t="s">
        <v>2166</v>
      </c>
      <c r="CB49" t="s">
        <v>2166</v>
      </c>
      <c r="CC49" t="s">
        <v>2166</v>
      </c>
      <c r="CD49" t="s">
        <v>2166</v>
      </c>
      <c r="CE49" t="s">
        <v>2166</v>
      </c>
      <c r="CF49" t="s">
        <v>2166</v>
      </c>
      <c r="CG49" t="s">
        <v>2166</v>
      </c>
      <c r="CH49" t="s">
        <v>2166</v>
      </c>
      <c r="CI49" t="s">
        <v>2166</v>
      </c>
      <c r="CJ49" t="s">
        <v>2166</v>
      </c>
      <c r="CK49" t="s">
        <v>2166</v>
      </c>
      <c r="CL49" t="s">
        <v>2166</v>
      </c>
      <c r="CM49" t="s">
        <v>2166</v>
      </c>
      <c r="CN49" t="s">
        <v>2166</v>
      </c>
      <c r="CO49" t="s">
        <v>2166</v>
      </c>
      <c r="CP49" t="s">
        <v>2166</v>
      </c>
      <c r="CQ49" t="s">
        <v>2166</v>
      </c>
      <c r="CR49" t="s">
        <v>2166</v>
      </c>
      <c r="CS49" t="s">
        <v>2166</v>
      </c>
      <c r="CT49" t="s">
        <v>2166</v>
      </c>
      <c r="CU49" t="s">
        <v>2166</v>
      </c>
      <c r="CV49" t="s">
        <v>2166</v>
      </c>
      <c r="CW49" t="s">
        <v>2166</v>
      </c>
      <c r="CX49" t="s">
        <v>2166</v>
      </c>
      <c r="CY49" t="s">
        <v>2166</v>
      </c>
      <c r="CZ49" t="s">
        <v>2166</v>
      </c>
      <c r="DA49" t="s">
        <v>2166</v>
      </c>
      <c r="DB49" t="s">
        <v>2166</v>
      </c>
      <c r="DC49" t="s">
        <v>2166</v>
      </c>
      <c r="DD49" t="s">
        <v>2166</v>
      </c>
      <c r="DE49" t="s">
        <v>2166</v>
      </c>
      <c r="DF49" t="s">
        <v>2166</v>
      </c>
      <c r="DG49" t="s">
        <v>2166</v>
      </c>
      <c r="DH49" t="s">
        <v>2166</v>
      </c>
      <c r="DI49" t="s">
        <v>2166</v>
      </c>
    </row>
    <row r="50" spans="1:113" x14ac:dyDescent="0.2">
      <c r="A50" t="s">
        <v>2166</v>
      </c>
      <c r="B50" t="s">
        <v>2166</v>
      </c>
      <c r="C50" t="s">
        <v>2166</v>
      </c>
      <c r="D50" t="s">
        <v>2166</v>
      </c>
      <c r="E50" t="s">
        <v>2166</v>
      </c>
      <c r="F50" t="s">
        <v>2166</v>
      </c>
      <c r="G50" t="s">
        <v>2166</v>
      </c>
      <c r="H50" t="s">
        <v>2166</v>
      </c>
      <c r="I50" t="s">
        <v>2166</v>
      </c>
      <c r="J50" t="s">
        <v>2166</v>
      </c>
      <c r="K50" t="s">
        <v>2166</v>
      </c>
      <c r="L50" t="s">
        <v>2166</v>
      </c>
      <c r="M50" t="s">
        <v>2166</v>
      </c>
      <c r="N50" t="s">
        <v>2166</v>
      </c>
      <c r="O50" t="s">
        <v>2166</v>
      </c>
      <c r="P50" t="s">
        <v>2166</v>
      </c>
      <c r="Q50" t="s">
        <v>2166</v>
      </c>
      <c r="R50" t="s">
        <v>2166</v>
      </c>
      <c r="S50" t="s">
        <v>2166</v>
      </c>
      <c r="T50" t="s">
        <v>2166</v>
      </c>
      <c r="U50" t="s">
        <v>2166</v>
      </c>
      <c r="V50" t="s">
        <v>2166</v>
      </c>
      <c r="W50" t="s">
        <v>2166</v>
      </c>
      <c r="X50" t="s">
        <v>2166</v>
      </c>
      <c r="Y50" t="s">
        <v>2166</v>
      </c>
      <c r="Z50" t="s">
        <v>2166</v>
      </c>
      <c r="AA50" t="s">
        <v>2166</v>
      </c>
      <c r="AB50" t="s">
        <v>2166</v>
      </c>
      <c r="AC50" t="s">
        <v>2166</v>
      </c>
      <c r="AD50" t="s">
        <v>2166</v>
      </c>
      <c r="AE50" t="s">
        <v>2166</v>
      </c>
      <c r="AF50" t="s">
        <v>2166</v>
      </c>
      <c r="AG50" t="s">
        <v>2166</v>
      </c>
      <c r="AH50" t="s">
        <v>2166</v>
      </c>
      <c r="AI50" t="s">
        <v>2166</v>
      </c>
      <c r="AJ50" t="s">
        <v>2166</v>
      </c>
      <c r="AK50" t="s">
        <v>2166</v>
      </c>
      <c r="AL50" t="s">
        <v>2166</v>
      </c>
      <c r="AM50" t="s">
        <v>2166</v>
      </c>
      <c r="AN50" t="s">
        <v>2166</v>
      </c>
      <c r="AO50" t="s">
        <v>2166</v>
      </c>
      <c r="AP50" t="s">
        <v>2166</v>
      </c>
      <c r="AQ50" t="s">
        <v>2166</v>
      </c>
      <c r="AR50" t="s">
        <v>2166</v>
      </c>
      <c r="AS50" t="s">
        <v>2166</v>
      </c>
      <c r="AT50" t="s">
        <v>2166</v>
      </c>
      <c r="AU50" t="s">
        <v>2166</v>
      </c>
      <c r="AV50" t="s">
        <v>2166</v>
      </c>
      <c r="AW50" t="s">
        <v>2166</v>
      </c>
      <c r="AX50" t="s">
        <v>2166</v>
      </c>
      <c r="AY50" t="s">
        <v>2166</v>
      </c>
      <c r="AZ50" t="s">
        <v>2166</v>
      </c>
      <c r="BA50" t="s">
        <v>2166</v>
      </c>
      <c r="BB50" t="s">
        <v>2166</v>
      </c>
      <c r="BC50" t="s">
        <v>2166</v>
      </c>
      <c r="BD50" t="s">
        <v>2166</v>
      </c>
      <c r="BE50" t="s">
        <v>2166</v>
      </c>
      <c r="BF50" t="s">
        <v>2166</v>
      </c>
      <c r="BG50" t="s">
        <v>2166</v>
      </c>
      <c r="BH50" t="s">
        <v>2166</v>
      </c>
      <c r="BI50" t="s">
        <v>2166</v>
      </c>
      <c r="BJ50" t="s">
        <v>2166</v>
      </c>
      <c r="BK50" t="s">
        <v>2166</v>
      </c>
      <c r="BL50" t="s">
        <v>2166</v>
      </c>
      <c r="BM50" t="s">
        <v>2166</v>
      </c>
      <c r="BN50" t="s">
        <v>2166</v>
      </c>
      <c r="BO50" t="s">
        <v>2166</v>
      </c>
      <c r="BP50" t="s">
        <v>2166</v>
      </c>
      <c r="BQ50" t="s">
        <v>2166</v>
      </c>
      <c r="BR50" t="s">
        <v>2166</v>
      </c>
      <c r="BS50" t="s">
        <v>2166</v>
      </c>
      <c r="BT50" t="s">
        <v>2166</v>
      </c>
      <c r="BU50" t="s">
        <v>2166</v>
      </c>
      <c r="BV50" t="s">
        <v>2166</v>
      </c>
      <c r="BW50" t="s">
        <v>2166</v>
      </c>
      <c r="BX50" t="s">
        <v>2166</v>
      </c>
      <c r="BY50" t="s">
        <v>2166</v>
      </c>
      <c r="BZ50" t="s">
        <v>2166</v>
      </c>
      <c r="CA50" t="s">
        <v>2166</v>
      </c>
      <c r="CB50" t="s">
        <v>2166</v>
      </c>
      <c r="CC50" t="s">
        <v>2166</v>
      </c>
      <c r="CD50" t="s">
        <v>2166</v>
      </c>
      <c r="CE50" t="s">
        <v>2166</v>
      </c>
      <c r="CF50" t="s">
        <v>2166</v>
      </c>
      <c r="CG50" t="s">
        <v>2166</v>
      </c>
      <c r="CH50" t="s">
        <v>2166</v>
      </c>
      <c r="CI50" t="s">
        <v>2166</v>
      </c>
      <c r="CJ50" t="s">
        <v>2166</v>
      </c>
      <c r="CK50" t="s">
        <v>2166</v>
      </c>
      <c r="CL50" t="s">
        <v>2166</v>
      </c>
      <c r="CM50" t="s">
        <v>2166</v>
      </c>
      <c r="CN50" t="s">
        <v>2166</v>
      </c>
      <c r="CO50" t="s">
        <v>2166</v>
      </c>
      <c r="CP50" t="s">
        <v>2166</v>
      </c>
      <c r="CQ50" t="s">
        <v>2166</v>
      </c>
      <c r="CR50" t="s">
        <v>2166</v>
      </c>
      <c r="CS50" t="s">
        <v>2166</v>
      </c>
      <c r="CT50" t="s">
        <v>2166</v>
      </c>
      <c r="CU50" t="s">
        <v>2166</v>
      </c>
      <c r="CV50" t="s">
        <v>2166</v>
      </c>
      <c r="CW50" t="s">
        <v>2166</v>
      </c>
      <c r="CX50" t="s">
        <v>2166</v>
      </c>
      <c r="CY50" t="s">
        <v>2166</v>
      </c>
      <c r="CZ50" t="s">
        <v>2166</v>
      </c>
      <c r="DA50" t="s">
        <v>2166</v>
      </c>
      <c r="DB50" t="s">
        <v>2166</v>
      </c>
      <c r="DC50" t="s">
        <v>2166</v>
      </c>
      <c r="DD50" t="s">
        <v>2166</v>
      </c>
      <c r="DE50" t="s">
        <v>2166</v>
      </c>
      <c r="DF50" t="s">
        <v>2166</v>
      </c>
      <c r="DG50" t="s">
        <v>2166</v>
      </c>
      <c r="DH50" t="s">
        <v>2166</v>
      </c>
      <c r="DI50" t="s">
        <v>2166</v>
      </c>
    </row>
    <row r="51" spans="1:113" x14ac:dyDescent="0.2">
      <c r="A51" t="s">
        <v>2166</v>
      </c>
      <c r="B51" t="s">
        <v>2166</v>
      </c>
      <c r="C51" t="s">
        <v>2166</v>
      </c>
      <c r="D51" t="s">
        <v>2166</v>
      </c>
      <c r="E51" t="s">
        <v>2166</v>
      </c>
      <c r="F51" t="s">
        <v>2166</v>
      </c>
      <c r="G51" t="s">
        <v>2166</v>
      </c>
      <c r="H51" t="s">
        <v>2166</v>
      </c>
      <c r="I51" t="s">
        <v>2166</v>
      </c>
      <c r="J51" t="s">
        <v>2166</v>
      </c>
      <c r="K51" t="s">
        <v>2166</v>
      </c>
      <c r="L51" t="s">
        <v>2166</v>
      </c>
      <c r="M51" t="s">
        <v>2166</v>
      </c>
      <c r="N51" t="s">
        <v>2166</v>
      </c>
      <c r="O51" t="s">
        <v>2166</v>
      </c>
      <c r="P51" t="s">
        <v>2166</v>
      </c>
      <c r="Q51" t="s">
        <v>2166</v>
      </c>
      <c r="R51" t="s">
        <v>2166</v>
      </c>
      <c r="S51" t="s">
        <v>2166</v>
      </c>
      <c r="T51" t="s">
        <v>2166</v>
      </c>
      <c r="U51" t="s">
        <v>2166</v>
      </c>
      <c r="V51" t="s">
        <v>2166</v>
      </c>
      <c r="W51" t="s">
        <v>2166</v>
      </c>
      <c r="X51" t="s">
        <v>2166</v>
      </c>
      <c r="Y51" t="s">
        <v>2166</v>
      </c>
      <c r="Z51" t="s">
        <v>2166</v>
      </c>
      <c r="AA51" t="s">
        <v>2166</v>
      </c>
      <c r="AB51" t="s">
        <v>2166</v>
      </c>
      <c r="AC51" t="s">
        <v>2166</v>
      </c>
      <c r="AD51" t="s">
        <v>2166</v>
      </c>
      <c r="AE51" t="s">
        <v>2166</v>
      </c>
      <c r="AF51" t="s">
        <v>2166</v>
      </c>
      <c r="AG51" t="s">
        <v>2166</v>
      </c>
      <c r="AH51" t="s">
        <v>2166</v>
      </c>
      <c r="AI51" t="s">
        <v>2166</v>
      </c>
      <c r="AJ51" t="s">
        <v>2166</v>
      </c>
      <c r="AK51" t="s">
        <v>2166</v>
      </c>
      <c r="AL51" t="s">
        <v>2166</v>
      </c>
      <c r="AM51" t="s">
        <v>2166</v>
      </c>
      <c r="AN51" t="s">
        <v>2166</v>
      </c>
      <c r="AO51" t="s">
        <v>2166</v>
      </c>
      <c r="AP51" t="s">
        <v>2166</v>
      </c>
      <c r="AQ51" t="s">
        <v>2166</v>
      </c>
      <c r="AR51" t="s">
        <v>2166</v>
      </c>
      <c r="AS51" t="s">
        <v>2166</v>
      </c>
      <c r="AT51" t="s">
        <v>2166</v>
      </c>
      <c r="AU51" t="s">
        <v>2166</v>
      </c>
      <c r="AV51" t="s">
        <v>2166</v>
      </c>
      <c r="AW51" t="s">
        <v>2166</v>
      </c>
      <c r="AX51" t="s">
        <v>2166</v>
      </c>
      <c r="AY51" t="s">
        <v>2166</v>
      </c>
      <c r="AZ51" t="s">
        <v>2166</v>
      </c>
      <c r="BA51" t="s">
        <v>2166</v>
      </c>
      <c r="BB51" t="s">
        <v>2166</v>
      </c>
      <c r="BC51" t="s">
        <v>2166</v>
      </c>
      <c r="BD51" t="s">
        <v>2166</v>
      </c>
      <c r="BE51" t="s">
        <v>2166</v>
      </c>
      <c r="BF51" t="s">
        <v>2166</v>
      </c>
      <c r="BG51" t="s">
        <v>2166</v>
      </c>
      <c r="BH51" t="s">
        <v>2166</v>
      </c>
      <c r="BI51" t="s">
        <v>2166</v>
      </c>
      <c r="BJ51" t="s">
        <v>2166</v>
      </c>
      <c r="BK51" t="s">
        <v>2166</v>
      </c>
      <c r="BL51" t="s">
        <v>2166</v>
      </c>
      <c r="BM51" t="s">
        <v>2166</v>
      </c>
      <c r="BN51" t="s">
        <v>2166</v>
      </c>
      <c r="BO51" t="s">
        <v>2166</v>
      </c>
      <c r="BP51" t="s">
        <v>2166</v>
      </c>
      <c r="BQ51" t="s">
        <v>2166</v>
      </c>
      <c r="BR51" t="s">
        <v>2166</v>
      </c>
      <c r="BS51" t="s">
        <v>2166</v>
      </c>
      <c r="BT51" t="s">
        <v>2166</v>
      </c>
      <c r="BU51" t="s">
        <v>2166</v>
      </c>
      <c r="BV51" t="s">
        <v>2166</v>
      </c>
      <c r="BW51" t="s">
        <v>2166</v>
      </c>
      <c r="BX51" t="s">
        <v>2166</v>
      </c>
      <c r="BY51" t="s">
        <v>2166</v>
      </c>
      <c r="BZ51" t="s">
        <v>2166</v>
      </c>
      <c r="CA51" t="s">
        <v>2166</v>
      </c>
      <c r="CB51" t="s">
        <v>2166</v>
      </c>
      <c r="CC51" t="s">
        <v>2166</v>
      </c>
      <c r="CD51" t="s">
        <v>2166</v>
      </c>
      <c r="CE51" t="s">
        <v>2166</v>
      </c>
      <c r="CF51" t="s">
        <v>2166</v>
      </c>
      <c r="CG51" t="s">
        <v>2166</v>
      </c>
      <c r="CH51" t="s">
        <v>2166</v>
      </c>
      <c r="CI51" t="s">
        <v>2166</v>
      </c>
      <c r="CJ51" t="s">
        <v>2166</v>
      </c>
      <c r="CK51" t="s">
        <v>2166</v>
      </c>
      <c r="CL51" t="s">
        <v>2166</v>
      </c>
      <c r="CM51" t="s">
        <v>2166</v>
      </c>
      <c r="CN51" t="s">
        <v>2166</v>
      </c>
      <c r="CO51" t="s">
        <v>2166</v>
      </c>
      <c r="CP51" t="s">
        <v>2166</v>
      </c>
      <c r="CQ51" t="s">
        <v>2166</v>
      </c>
      <c r="CR51" t="s">
        <v>2166</v>
      </c>
      <c r="CS51" t="s">
        <v>2166</v>
      </c>
      <c r="CT51" t="s">
        <v>2166</v>
      </c>
      <c r="CU51" t="s">
        <v>2166</v>
      </c>
      <c r="CV51" t="s">
        <v>2166</v>
      </c>
      <c r="CW51" t="s">
        <v>2166</v>
      </c>
      <c r="CX51" t="s">
        <v>2166</v>
      </c>
      <c r="CY51" t="s">
        <v>2166</v>
      </c>
      <c r="CZ51" t="s">
        <v>2166</v>
      </c>
      <c r="DA51" t="s">
        <v>2166</v>
      </c>
      <c r="DB51" t="s">
        <v>2166</v>
      </c>
      <c r="DC51" t="s">
        <v>2166</v>
      </c>
      <c r="DD51" t="s">
        <v>2166</v>
      </c>
      <c r="DE51" t="s">
        <v>2166</v>
      </c>
      <c r="DF51" t="s">
        <v>2166</v>
      </c>
      <c r="DG51" t="s">
        <v>2166</v>
      </c>
      <c r="DH51" t="s">
        <v>2166</v>
      </c>
      <c r="DI51" t="s">
        <v>2166</v>
      </c>
    </row>
    <row r="52" spans="1:113" x14ac:dyDescent="0.2">
      <c r="A52" t="s">
        <v>2166</v>
      </c>
      <c r="B52" t="s">
        <v>2166</v>
      </c>
      <c r="C52" t="s">
        <v>2166</v>
      </c>
      <c r="D52" t="s">
        <v>2166</v>
      </c>
      <c r="E52" t="s">
        <v>2166</v>
      </c>
      <c r="F52" t="s">
        <v>2166</v>
      </c>
      <c r="G52" t="s">
        <v>2166</v>
      </c>
      <c r="H52" t="s">
        <v>2166</v>
      </c>
      <c r="I52" t="s">
        <v>2166</v>
      </c>
      <c r="J52" t="s">
        <v>2166</v>
      </c>
      <c r="K52" t="s">
        <v>2166</v>
      </c>
      <c r="L52" t="s">
        <v>2166</v>
      </c>
      <c r="M52" t="s">
        <v>2166</v>
      </c>
      <c r="N52" t="s">
        <v>2166</v>
      </c>
      <c r="O52" t="s">
        <v>2166</v>
      </c>
      <c r="P52" t="s">
        <v>2166</v>
      </c>
      <c r="Q52" t="s">
        <v>2166</v>
      </c>
      <c r="R52" t="s">
        <v>2166</v>
      </c>
      <c r="S52" t="s">
        <v>2166</v>
      </c>
      <c r="T52" t="s">
        <v>2166</v>
      </c>
      <c r="U52" t="s">
        <v>2166</v>
      </c>
      <c r="V52" t="s">
        <v>2166</v>
      </c>
      <c r="W52" t="s">
        <v>2166</v>
      </c>
      <c r="X52" t="s">
        <v>2166</v>
      </c>
      <c r="Y52" t="s">
        <v>2166</v>
      </c>
      <c r="Z52" t="s">
        <v>2166</v>
      </c>
      <c r="AA52" t="s">
        <v>2166</v>
      </c>
      <c r="AB52" t="s">
        <v>2166</v>
      </c>
      <c r="AC52" t="s">
        <v>2166</v>
      </c>
      <c r="AD52" t="s">
        <v>2166</v>
      </c>
      <c r="AE52" t="s">
        <v>2166</v>
      </c>
      <c r="AF52" t="s">
        <v>2166</v>
      </c>
      <c r="AG52" t="s">
        <v>2166</v>
      </c>
      <c r="AH52" t="s">
        <v>2166</v>
      </c>
      <c r="AI52" t="s">
        <v>2166</v>
      </c>
      <c r="AJ52" t="s">
        <v>2166</v>
      </c>
      <c r="AK52" t="s">
        <v>2166</v>
      </c>
      <c r="AL52" t="s">
        <v>2166</v>
      </c>
      <c r="AM52" t="s">
        <v>2166</v>
      </c>
      <c r="AN52" t="s">
        <v>2166</v>
      </c>
      <c r="AO52" t="s">
        <v>2166</v>
      </c>
      <c r="AP52" t="s">
        <v>2166</v>
      </c>
      <c r="AQ52" t="s">
        <v>2166</v>
      </c>
      <c r="AR52" t="s">
        <v>2166</v>
      </c>
      <c r="AS52" t="s">
        <v>2166</v>
      </c>
      <c r="AT52" t="s">
        <v>2166</v>
      </c>
      <c r="AU52" t="s">
        <v>2166</v>
      </c>
      <c r="AV52" t="s">
        <v>2166</v>
      </c>
      <c r="AW52" t="s">
        <v>2166</v>
      </c>
      <c r="AX52" t="s">
        <v>2166</v>
      </c>
      <c r="AY52" t="s">
        <v>2166</v>
      </c>
      <c r="AZ52" t="s">
        <v>2166</v>
      </c>
      <c r="BA52" t="s">
        <v>2166</v>
      </c>
      <c r="BB52" t="s">
        <v>2166</v>
      </c>
      <c r="BC52" t="s">
        <v>2166</v>
      </c>
      <c r="BD52" t="s">
        <v>2166</v>
      </c>
      <c r="BE52" t="s">
        <v>2166</v>
      </c>
      <c r="BF52" t="s">
        <v>2166</v>
      </c>
      <c r="BG52" t="s">
        <v>2166</v>
      </c>
      <c r="BH52" t="s">
        <v>2166</v>
      </c>
      <c r="BI52" t="s">
        <v>2166</v>
      </c>
      <c r="BJ52" t="s">
        <v>2166</v>
      </c>
      <c r="BK52" t="s">
        <v>2166</v>
      </c>
      <c r="BL52" t="s">
        <v>2166</v>
      </c>
      <c r="BM52" t="s">
        <v>2166</v>
      </c>
      <c r="BN52" t="s">
        <v>2166</v>
      </c>
      <c r="BO52" t="s">
        <v>2166</v>
      </c>
      <c r="BP52" t="s">
        <v>2166</v>
      </c>
      <c r="BQ52" t="s">
        <v>2166</v>
      </c>
      <c r="BR52" t="s">
        <v>2166</v>
      </c>
      <c r="BS52" t="s">
        <v>2166</v>
      </c>
      <c r="BT52" t="s">
        <v>2166</v>
      </c>
      <c r="BU52" t="s">
        <v>2166</v>
      </c>
      <c r="BV52" t="s">
        <v>2166</v>
      </c>
      <c r="BW52" t="s">
        <v>2166</v>
      </c>
      <c r="BX52" t="s">
        <v>2166</v>
      </c>
      <c r="BY52" t="s">
        <v>2166</v>
      </c>
      <c r="BZ52" t="s">
        <v>2166</v>
      </c>
      <c r="CA52" t="s">
        <v>2166</v>
      </c>
      <c r="CB52" t="s">
        <v>2166</v>
      </c>
      <c r="CC52" t="s">
        <v>2166</v>
      </c>
      <c r="CD52" t="s">
        <v>2166</v>
      </c>
      <c r="CE52" t="s">
        <v>2166</v>
      </c>
      <c r="CF52" t="s">
        <v>2166</v>
      </c>
      <c r="CG52" t="s">
        <v>2166</v>
      </c>
      <c r="CH52" t="s">
        <v>2166</v>
      </c>
      <c r="CI52" t="s">
        <v>2166</v>
      </c>
      <c r="CJ52" t="s">
        <v>2166</v>
      </c>
      <c r="CK52" t="s">
        <v>2166</v>
      </c>
      <c r="CL52" t="s">
        <v>2166</v>
      </c>
      <c r="CM52" t="s">
        <v>2166</v>
      </c>
      <c r="CN52" t="s">
        <v>2166</v>
      </c>
      <c r="CO52" t="s">
        <v>2166</v>
      </c>
      <c r="CP52" t="s">
        <v>2166</v>
      </c>
      <c r="CQ52" t="s">
        <v>2166</v>
      </c>
      <c r="CR52" t="s">
        <v>2166</v>
      </c>
      <c r="CS52" t="s">
        <v>2166</v>
      </c>
      <c r="CT52" t="s">
        <v>2166</v>
      </c>
      <c r="CU52" t="s">
        <v>2166</v>
      </c>
      <c r="CV52" t="s">
        <v>2166</v>
      </c>
      <c r="CW52" t="s">
        <v>2166</v>
      </c>
      <c r="CX52" t="s">
        <v>2166</v>
      </c>
      <c r="CY52" t="s">
        <v>2166</v>
      </c>
      <c r="CZ52" t="s">
        <v>2166</v>
      </c>
      <c r="DA52" t="s">
        <v>2166</v>
      </c>
      <c r="DB52" t="s">
        <v>2166</v>
      </c>
      <c r="DC52" t="s">
        <v>2166</v>
      </c>
      <c r="DD52" t="s">
        <v>2166</v>
      </c>
      <c r="DE52" t="s">
        <v>2166</v>
      </c>
      <c r="DF52" t="s">
        <v>2166</v>
      </c>
      <c r="DG52" t="s">
        <v>2166</v>
      </c>
      <c r="DH52" t="s">
        <v>2166</v>
      </c>
      <c r="DI52" t="s">
        <v>2166</v>
      </c>
    </row>
    <row r="53" spans="1:113" x14ac:dyDescent="0.2">
      <c r="A53" t="s">
        <v>2166</v>
      </c>
      <c r="B53" t="s">
        <v>2166</v>
      </c>
      <c r="C53" t="s">
        <v>2166</v>
      </c>
      <c r="D53" t="s">
        <v>2166</v>
      </c>
      <c r="E53" t="s">
        <v>2166</v>
      </c>
      <c r="F53" t="s">
        <v>2166</v>
      </c>
      <c r="G53" t="s">
        <v>2166</v>
      </c>
      <c r="H53" t="s">
        <v>2166</v>
      </c>
      <c r="I53" t="s">
        <v>2166</v>
      </c>
      <c r="J53" t="s">
        <v>2166</v>
      </c>
      <c r="K53" t="s">
        <v>2166</v>
      </c>
      <c r="L53" t="s">
        <v>2166</v>
      </c>
      <c r="M53" t="s">
        <v>2166</v>
      </c>
      <c r="N53" t="s">
        <v>2166</v>
      </c>
      <c r="O53" t="s">
        <v>2166</v>
      </c>
      <c r="P53" t="s">
        <v>2166</v>
      </c>
      <c r="Q53" t="s">
        <v>2166</v>
      </c>
      <c r="R53" t="s">
        <v>2166</v>
      </c>
      <c r="S53" t="s">
        <v>2166</v>
      </c>
      <c r="T53" t="s">
        <v>2166</v>
      </c>
      <c r="U53" t="s">
        <v>2166</v>
      </c>
      <c r="V53" t="s">
        <v>2166</v>
      </c>
      <c r="W53" t="s">
        <v>2166</v>
      </c>
      <c r="X53" t="s">
        <v>2166</v>
      </c>
      <c r="Y53" t="s">
        <v>2166</v>
      </c>
      <c r="Z53" t="s">
        <v>2166</v>
      </c>
      <c r="AA53" t="s">
        <v>2166</v>
      </c>
      <c r="AB53" t="s">
        <v>2166</v>
      </c>
      <c r="AC53" t="s">
        <v>2166</v>
      </c>
      <c r="AD53" t="s">
        <v>2166</v>
      </c>
      <c r="AE53" t="s">
        <v>2166</v>
      </c>
      <c r="AF53" t="s">
        <v>2166</v>
      </c>
      <c r="AG53" t="s">
        <v>2166</v>
      </c>
      <c r="AH53" t="s">
        <v>2166</v>
      </c>
      <c r="AI53" t="s">
        <v>2166</v>
      </c>
      <c r="AJ53" t="s">
        <v>2166</v>
      </c>
      <c r="AK53" t="s">
        <v>2166</v>
      </c>
      <c r="AL53" t="s">
        <v>2166</v>
      </c>
      <c r="AM53" t="s">
        <v>2166</v>
      </c>
      <c r="AN53" t="s">
        <v>2166</v>
      </c>
      <c r="AO53" t="s">
        <v>2166</v>
      </c>
      <c r="AP53" t="s">
        <v>2166</v>
      </c>
      <c r="AQ53" t="s">
        <v>2166</v>
      </c>
      <c r="AR53" t="s">
        <v>2166</v>
      </c>
      <c r="AS53" t="s">
        <v>2166</v>
      </c>
      <c r="AT53" t="s">
        <v>2166</v>
      </c>
      <c r="AU53" t="s">
        <v>2166</v>
      </c>
      <c r="AV53" t="s">
        <v>2166</v>
      </c>
      <c r="AW53" t="s">
        <v>2166</v>
      </c>
      <c r="AX53" t="s">
        <v>2166</v>
      </c>
      <c r="AY53" t="s">
        <v>2166</v>
      </c>
      <c r="AZ53" t="s">
        <v>2166</v>
      </c>
      <c r="BA53" t="s">
        <v>2166</v>
      </c>
      <c r="BB53" t="s">
        <v>2166</v>
      </c>
      <c r="BC53" t="s">
        <v>2166</v>
      </c>
      <c r="BD53" t="s">
        <v>2166</v>
      </c>
      <c r="BE53" t="s">
        <v>2166</v>
      </c>
      <c r="BF53" t="s">
        <v>2166</v>
      </c>
      <c r="BG53" t="s">
        <v>2166</v>
      </c>
      <c r="BH53" t="s">
        <v>2166</v>
      </c>
      <c r="BI53" t="s">
        <v>2166</v>
      </c>
      <c r="BJ53" t="s">
        <v>2166</v>
      </c>
      <c r="BK53" t="s">
        <v>2166</v>
      </c>
      <c r="BL53" t="s">
        <v>2166</v>
      </c>
      <c r="BM53" t="s">
        <v>2166</v>
      </c>
      <c r="BN53" t="s">
        <v>2166</v>
      </c>
      <c r="BO53" t="s">
        <v>2166</v>
      </c>
      <c r="BP53" t="s">
        <v>2166</v>
      </c>
      <c r="BQ53" t="s">
        <v>2166</v>
      </c>
      <c r="BR53" t="s">
        <v>2166</v>
      </c>
      <c r="BS53" t="s">
        <v>2166</v>
      </c>
      <c r="BT53" t="s">
        <v>2166</v>
      </c>
      <c r="BU53" t="s">
        <v>2166</v>
      </c>
      <c r="BV53" t="s">
        <v>2166</v>
      </c>
      <c r="BW53" t="s">
        <v>2166</v>
      </c>
      <c r="BX53" t="s">
        <v>2166</v>
      </c>
      <c r="BY53" t="s">
        <v>2166</v>
      </c>
      <c r="BZ53" t="s">
        <v>2166</v>
      </c>
      <c r="CA53" t="s">
        <v>2166</v>
      </c>
      <c r="CB53" t="s">
        <v>2166</v>
      </c>
      <c r="CC53" t="s">
        <v>2166</v>
      </c>
      <c r="CD53" t="s">
        <v>2166</v>
      </c>
      <c r="CE53" t="s">
        <v>2166</v>
      </c>
      <c r="CF53" t="s">
        <v>2166</v>
      </c>
      <c r="CG53" t="s">
        <v>2166</v>
      </c>
      <c r="CH53" t="s">
        <v>2166</v>
      </c>
      <c r="CI53" t="s">
        <v>2166</v>
      </c>
      <c r="CJ53" t="s">
        <v>2166</v>
      </c>
      <c r="CK53" t="s">
        <v>2166</v>
      </c>
      <c r="CL53" t="s">
        <v>2166</v>
      </c>
      <c r="CM53" t="s">
        <v>2166</v>
      </c>
      <c r="CN53" t="s">
        <v>2166</v>
      </c>
      <c r="CO53" t="s">
        <v>2166</v>
      </c>
      <c r="CP53" t="s">
        <v>2166</v>
      </c>
      <c r="CQ53" t="s">
        <v>2166</v>
      </c>
      <c r="CR53" t="s">
        <v>2166</v>
      </c>
      <c r="CS53" t="s">
        <v>2166</v>
      </c>
      <c r="CT53" t="s">
        <v>2166</v>
      </c>
      <c r="CU53" t="s">
        <v>2166</v>
      </c>
      <c r="CV53" t="s">
        <v>2166</v>
      </c>
      <c r="CW53" t="s">
        <v>2166</v>
      </c>
      <c r="CX53" t="s">
        <v>2166</v>
      </c>
      <c r="CY53" t="s">
        <v>2166</v>
      </c>
      <c r="CZ53" t="s">
        <v>2166</v>
      </c>
      <c r="DA53" t="s">
        <v>2166</v>
      </c>
      <c r="DB53" t="s">
        <v>2166</v>
      </c>
      <c r="DC53" t="s">
        <v>2166</v>
      </c>
      <c r="DD53" t="s">
        <v>2166</v>
      </c>
      <c r="DE53" t="s">
        <v>2166</v>
      </c>
      <c r="DF53" t="s">
        <v>2166</v>
      </c>
      <c r="DG53" t="s">
        <v>2166</v>
      </c>
      <c r="DH53" t="s">
        <v>2166</v>
      </c>
      <c r="DI53" t="s">
        <v>2166</v>
      </c>
    </row>
    <row r="99" spans="1:272" s="7" customFormat="1" x14ac:dyDescent="0.2"/>
    <row r="100" spans="1:272" s="7" customFormat="1" x14ac:dyDescent="0.2">
      <c r="A100" s="7" t="str">
        <f>+A1</f>
        <v>Fahrzeug 1</v>
      </c>
      <c r="B100" s="7" t="str">
        <f t="shared" ref="B100:BM100" si="0">+B1</f>
        <v>Fahrzeug 2</v>
      </c>
      <c r="C100" s="7" t="str">
        <f t="shared" si="0"/>
        <v>Fahrzeug 3</v>
      </c>
      <c r="D100" s="7" t="str">
        <f t="shared" si="0"/>
        <v>Fahrzeug 4</v>
      </c>
      <c r="E100" s="7" t="str">
        <f t="shared" si="0"/>
        <v>Fahrzeug 5</v>
      </c>
      <c r="F100" s="7" t="str">
        <f t="shared" si="0"/>
        <v>Fahrzeug 6</v>
      </c>
      <c r="G100" s="7" t="str">
        <f t="shared" si="0"/>
        <v>Fahrzeug 7</v>
      </c>
      <c r="H100" s="7" t="str">
        <f t="shared" si="0"/>
        <v>Fahrzeug 8</v>
      </c>
      <c r="I100" s="7" t="str">
        <f t="shared" si="0"/>
        <v>Fahrzeug 9</v>
      </c>
      <c r="J100" s="7" t="str">
        <f t="shared" si="0"/>
        <v>Fahrzeug 10</v>
      </c>
      <c r="K100" s="7" t="str">
        <f t="shared" si="0"/>
        <v>Fahrzeug 11</v>
      </c>
      <c r="L100" s="7" t="str">
        <f t="shared" si="0"/>
        <v>Fahrzeug 12</v>
      </c>
      <c r="M100" s="7" t="str">
        <f t="shared" si="0"/>
        <v>Fahrzeug 13</v>
      </c>
      <c r="N100" s="7" t="str">
        <f t="shared" si="0"/>
        <v>Fahrzeug 14</v>
      </c>
      <c r="O100" s="7" t="str">
        <f t="shared" si="0"/>
        <v>Fahrzeug 15</v>
      </c>
      <c r="P100" s="7" t="str">
        <f t="shared" si="0"/>
        <v>Fahrzeug 16</v>
      </c>
      <c r="Q100" s="7" t="str">
        <f t="shared" si="0"/>
        <v>Fahrzeug 17</v>
      </c>
      <c r="R100" s="7" t="str">
        <f t="shared" si="0"/>
        <v>Fahrzeug 18</v>
      </c>
      <c r="S100" s="7" t="str">
        <f t="shared" si="0"/>
        <v>Fahrzeug 19</v>
      </c>
      <c r="T100" s="7" t="str">
        <f t="shared" si="0"/>
        <v>Fahrzeug 20</v>
      </c>
      <c r="U100" s="7" t="str">
        <f t="shared" si="0"/>
        <v>Fahrzeug 21</v>
      </c>
      <c r="V100" s="7" t="str">
        <f t="shared" si="0"/>
        <v>Fahrzeug 22</v>
      </c>
      <c r="W100" s="7" t="str">
        <f t="shared" si="0"/>
        <v>Fahrzeug 23</v>
      </c>
      <c r="X100" s="7" t="str">
        <f t="shared" si="0"/>
        <v>Fahrzeug 24</v>
      </c>
      <c r="Y100" s="7" t="str">
        <f t="shared" si="0"/>
        <v>Fahrzeug 25</v>
      </c>
      <c r="Z100" s="7" t="str">
        <f t="shared" si="0"/>
        <v>Fahrzeug 26</v>
      </c>
      <c r="AA100" s="7" t="str">
        <f t="shared" si="0"/>
        <v>Fahrzeug 27</v>
      </c>
      <c r="AB100" s="7" t="str">
        <f t="shared" si="0"/>
        <v>Fahrzeug 28</v>
      </c>
      <c r="AC100" s="7" t="str">
        <f t="shared" si="0"/>
        <v>Fahrzeug 29</v>
      </c>
      <c r="AD100" s="7" t="str">
        <f t="shared" si="0"/>
        <v>Fahrzeug 30</v>
      </c>
      <c r="AE100" s="7" t="str">
        <f t="shared" si="0"/>
        <v>Fahrzeug 31</v>
      </c>
      <c r="AF100" s="7" t="str">
        <f t="shared" si="0"/>
        <v>Fahrzeug 32</v>
      </c>
      <c r="AG100" s="7" t="str">
        <f t="shared" si="0"/>
        <v>Fahrzeug 33</v>
      </c>
      <c r="AH100" s="7" t="str">
        <f t="shared" si="0"/>
        <v>Fahrzeug 34</v>
      </c>
      <c r="AI100" s="7" t="str">
        <f t="shared" si="0"/>
        <v>Fahrzeug 35</v>
      </c>
      <c r="AJ100" s="7" t="str">
        <f t="shared" si="0"/>
        <v>Fahrzeug 36</v>
      </c>
      <c r="AK100" s="7" t="str">
        <f t="shared" si="0"/>
        <v>Fahrzeug 37</v>
      </c>
      <c r="AL100" s="7" t="str">
        <f t="shared" si="0"/>
        <v>Fahrzeug 38</v>
      </c>
      <c r="AM100" s="7" t="str">
        <f t="shared" si="0"/>
        <v>Fahrzeug 39</v>
      </c>
      <c r="AN100" s="7" t="str">
        <f t="shared" si="0"/>
        <v>Fahrzeug 40</v>
      </c>
      <c r="AO100" s="7" t="str">
        <f t="shared" si="0"/>
        <v>Fahrzeug 41</v>
      </c>
      <c r="AP100" s="7" t="str">
        <f t="shared" si="0"/>
        <v>Fahrzeug 42</v>
      </c>
      <c r="AQ100" s="7" t="str">
        <f t="shared" si="0"/>
        <v>Fahrzeug 43</v>
      </c>
      <c r="AR100" s="7" t="str">
        <f t="shared" si="0"/>
        <v>Fahrzeug 44</v>
      </c>
      <c r="AS100" s="7" t="str">
        <f t="shared" si="0"/>
        <v>Fahrzeug 45</v>
      </c>
      <c r="AT100" s="7" t="str">
        <f t="shared" si="0"/>
        <v>Fahrzeug 46</v>
      </c>
      <c r="AU100" s="7" t="str">
        <f t="shared" si="0"/>
        <v>Fahrzeug 47</v>
      </c>
      <c r="AV100" s="7" t="str">
        <f t="shared" si="0"/>
        <v>Fahrzeug 48</v>
      </c>
      <c r="AW100" s="7" t="str">
        <f t="shared" si="0"/>
        <v>Fahrzeug 49</v>
      </c>
      <c r="AX100" s="7" t="str">
        <f t="shared" si="0"/>
        <v>Fahrzeug 50</v>
      </c>
      <c r="AY100" s="7" t="str">
        <f t="shared" si="0"/>
        <v>Fahrzeug 51</v>
      </c>
      <c r="AZ100" s="7" t="str">
        <f t="shared" si="0"/>
        <v>Fahrzeug 52</v>
      </c>
      <c r="BA100" s="7" t="str">
        <f t="shared" si="0"/>
        <v>Fahrzeug 53</v>
      </c>
      <c r="BB100" s="7" t="str">
        <f t="shared" si="0"/>
        <v>Fahrzeug 54</v>
      </c>
      <c r="BC100" s="7" t="str">
        <f t="shared" si="0"/>
        <v>Fahrzeug 55</v>
      </c>
      <c r="BD100" s="7" t="str">
        <f t="shared" si="0"/>
        <v>Fahrzeug 56</v>
      </c>
      <c r="BE100" s="7" t="str">
        <f t="shared" si="0"/>
        <v>Fahrzeug 57</v>
      </c>
      <c r="BF100" s="7" t="str">
        <f t="shared" si="0"/>
        <v>Fahrzeug 58</v>
      </c>
      <c r="BG100" s="7" t="str">
        <f t="shared" si="0"/>
        <v>Fahrzeug 59</v>
      </c>
      <c r="BH100" s="7" t="str">
        <f t="shared" si="0"/>
        <v>Fahrzeug 60</v>
      </c>
      <c r="BI100" s="7" t="str">
        <f t="shared" si="0"/>
        <v>Fahrzeug 61</v>
      </c>
      <c r="BJ100" s="7" t="str">
        <f t="shared" si="0"/>
        <v>Fahrzeug 62</v>
      </c>
      <c r="BK100" s="7" t="str">
        <f t="shared" si="0"/>
        <v>Fahrzeug 63</v>
      </c>
      <c r="BL100" s="7" t="str">
        <f t="shared" si="0"/>
        <v>Fahrzeug 64</v>
      </c>
      <c r="BM100" s="7" t="str">
        <f t="shared" si="0"/>
        <v>Fahrzeug 65</v>
      </c>
      <c r="BN100" s="7" t="str">
        <f t="shared" ref="BN100:DY100" si="1">+BN1</f>
        <v>Fahrzeug 66</v>
      </c>
      <c r="BO100" s="7" t="str">
        <f t="shared" si="1"/>
        <v>Fahrzeug 67</v>
      </c>
      <c r="BP100" s="7" t="str">
        <f t="shared" si="1"/>
        <v>Fahrzeug 68</v>
      </c>
      <c r="BQ100" s="7" t="str">
        <f t="shared" si="1"/>
        <v>Fahrzeug 69</v>
      </c>
      <c r="BR100" s="7" t="str">
        <f t="shared" si="1"/>
        <v>Fahrzeug 70</v>
      </c>
      <c r="BS100" s="7" t="str">
        <f t="shared" si="1"/>
        <v>Fahrzeug 71</v>
      </c>
      <c r="BT100" s="7" t="str">
        <f t="shared" si="1"/>
        <v>Fahrzeug 72</v>
      </c>
      <c r="BU100" s="7" t="str">
        <f t="shared" si="1"/>
        <v>Fahrzeug 73</v>
      </c>
      <c r="BV100" s="7" t="str">
        <f t="shared" si="1"/>
        <v>Fahrzeug 74</v>
      </c>
      <c r="BW100" s="7" t="str">
        <f t="shared" si="1"/>
        <v>Fahrzeug 75</v>
      </c>
      <c r="BX100" s="7" t="str">
        <f t="shared" si="1"/>
        <v>Fahrzeug 76</v>
      </c>
      <c r="BY100" s="7" t="str">
        <f t="shared" si="1"/>
        <v>Fahrzeug 77</v>
      </c>
      <c r="BZ100" s="7" t="str">
        <f t="shared" si="1"/>
        <v>Fahrzeug 78</v>
      </c>
      <c r="CA100" s="7" t="str">
        <f t="shared" si="1"/>
        <v>Fahrzeug 79</v>
      </c>
      <c r="CB100" s="7" t="str">
        <f t="shared" si="1"/>
        <v>Fahrzeug 80</v>
      </c>
      <c r="CC100" s="7" t="str">
        <f t="shared" si="1"/>
        <v>Fahrzeug 81</v>
      </c>
      <c r="CD100" s="7" t="str">
        <f t="shared" si="1"/>
        <v>Fahrzeug 82</v>
      </c>
      <c r="CE100" s="7" t="str">
        <f t="shared" si="1"/>
        <v>Fahrzeug 83</v>
      </c>
      <c r="CF100" s="7" t="str">
        <f t="shared" si="1"/>
        <v>Fahrzeug 84</v>
      </c>
      <c r="CG100" s="7" t="str">
        <f t="shared" si="1"/>
        <v>Fahrzeug 85</v>
      </c>
      <c r="CH100" s="7" t="str">
        <f t="shared" si="1"/>
        <v>Fahrzeug 86</v>
      </c>
      <c r="CI100" s="7" t="str">
        <f t="shared" si="1"/>
        <v>Fahrzeug 87</v>
      </c>
      <c r="CJ100" s="7" t="str">
        <f t="shared" si="1"/>
        <v>Fahrzeug 88</v>
      </c>
      <c r="CK100" s="7" t="str">
        <f t="shared" si="1"/>
        <v>Fahrzeug 89</v>
      </c>
      <c r="CL100" s="7" t="str">
        <f t="shared" si="1"/>
        <v>Fahrzeug 90</v>
      </c>
      <c r="CM100" s="7" t="str">
        <f t="shared" si="1"/>
        <v>Fahrzeug 91</v>
      </c>
      <c r="CN100" s="7" t="str">
        <f t="shared" si="1"/>
        <v>Fahrzeug 92</v>
      </c>
      <c r="CO100" s="7" t="str">
        <f t="shared" si="1"/>
        <v>Fahrzeug 93</v>
      </c>
      <c r="CP100" s="7" t="str">
        <f t="shared" si="1"/>
        <v>Fahrzeug 94</v>
      </c>
      <c r="CQ100" s="7" t="str">
        <f t="shared" si="1"/>
        <v>Fahrzeug 95</v>
      </c>
      <c r="CR100" s="7" t="str">
        <f t="shared" si="1"/>
        <v>Fahrzeug 96</v>
      </c>
      <c r="CS100" s="7" t="str">
        <f t="shared" si="1"/>
        <v>Fahrzeug 97</v>
      </c>
      <c r="CT100" s="7" t="str">
        <f t="shared" si="1"/>
        <v>Fahrzeug 98</v>
      </c>
      <c r="CU100" s="7" t="str">
        <f t="shared" si="1"/>
        <v>Fahrzeug 99</v>
      </c>
      <c r="CV100" s="7" t="str">
        <f t="shared" si="1"/>
        <v>Fahrzeug 100</v>
      </c>
      <c r="CW100" s="7" t="str">
        <f t="shared" si="1"/>
        <v>Fahrzeug 101</v>
      </c>
      <c r="CX100" s="7" t="str">
        <f t="shared" si="1"/>
        <v>Fahrzeug 102</v>
      </c>
      <c r="CY100" s="7" t="str">
        <f t="shared" si="1"/>
        <v>Fahrzeug 103</v>
      </c>
      <c r="CZ100" s="7" t="str">
        <f t="shared" si="1"/>
        <v>Fahrzeug 104</v>
      </c>
      <c r="DA100" s="7" t="str">
        <f t="shared" si="1"/>
        <v>Fahrzeug 105</v>
      </c>
      <c r="DB100" s="7" t="str">
        <f t="shared" si="1"/>
        <v>Fahrzeug 106</v>
      </c>
      <c r="DC100" s="7" t="str">
        <f t="shared" si="1"/>
        <v>Fahrzeug 107</v>
      </c>
      <c r="DD100" s="7" t="str">
        <f t="shared" si="1"/>
        <v>Fahrzeug 108</v>
      </c>
      <c r="DE100" s="7" t="str">
        <f t="shared" si="1"/>
        <v>Fahrzeug 109</v>
      </c>
      <c r="DF100" s="7" t="str">
        <f t="shared" si="1"/>
        <v>Fahrzeug 110</v>
      </c>
      <c r="DG100" s="7" t="str">
        <f t="shared" si="1"/>
        <v>Fahrzeug 111</v>
      </c>
      <c r="DH100" s="7" t="str">
        <f t="shared" si="1"/>
        <v>Fahrzeug 112</v>
      </c>
      <c r="DI100" s="7" t="str">
        <f t="shared" si="1"/>
        <v>Fahrzeug 113</v>
      </c>
      <c r="DJ100" s="7">
        <f t="shared" si="1"/>
        <v>0</v>
      </c>
      <c r="DK100" s="7">
        <f t="shared" si="1"/>
        <v>0</v>
      </c>
      <c r="DL100" s="7">
        <f t="shared" si="1"/>
        <v>0</v>
      </c>
      <c r="DM100" s="7">
        <f t="shared" si="1"/>
        <v>0</v>
      </c>
      <c r="DN100" s="7">
        <f t="shared" si="1"/>
        <v>0</v>
      </c>
      <c r="DO100" s="7">
        <f t="shared" si="1"/>
        <v>0</v>
      </c>
      <c r="DP100" s="7">
        <f t="shared" si="1"/>
        <v>0</v>
      </c>
      <c r="DQ100" s="7">
        <f t="shared" si="1"/>
        <v>0</v>
      </c>
      <c r="DR100" s="7">
        <f t="shared" si="1"/>
        <v>0</v>
      </c>
      <c r="DS100" s="7">
        <f t="shared" si="1"/>
        <v>0</v>
      </c>
      <c r="DT100" s="7">
        <f t="shared" si="1"/>
        <v>0</v>
      </c>
      <c r="DU100" s="7">
        <f t="shared" si="1"/>
        <v>0</v>
      </c>
      <c r="DV100" s="7">
        <f t="shared" si="1"/>
        <v>0</v>
      </c>
      <c r="DW100" s="7">
        <f t="shared" si="1"/>
        <v>0</v>
      </c>
      <c r="DX100" s="7">
        <f t="shared" si="1"/>
        <v>0</v>
      </c>
      <c r="DY100" s="7">
        <f t="shared" si="1"/>
        <v>0</v>
      </c>
      <c r="DZ100" s="7">
        <f t="shared" ref="DZ100:GK100" si="2">+DZ1</f>
        <v>0</v>
      </c>
      <c r="EA100" s="7">
        <f t="shared" si="2"/>
        <v>0</v>
      </c>
      <c r="EB100" s="7">
        <f t="shared" si="2"/>
        <v>0</v>
      </c>
      <c r="EC100" s="7">
        <f t="shared" si="2"/>
        <v>0</v>
      </c>
      <c r="ED100" s="7">
        <f t="shared" si="2"/>
        <v>0</v>
      </c>
      <c r="EE100" s="7">
        <f t="shared" si="2"/>
        <v>0</v>
      </c>
      <c r="EF100" s="7">
        <f t="shared" si="2"/>
        <v>0</v>
      </c>
      <c r="EG100" s="7">
        <f t="shared" si="2"/>
        <v>0</v>
      </c>
      <c r="EH100" s="7">
        <f t="shared" si="2"/>
        <v>0</v>
      </c>
      <c r="EI100" s="7">
        <f t="shared" si="2"/>
        <v>0</v>
      </c>
      <c r="EJ100" s="7">
        <f t="shared" si="2"/>
        <v>0</v>
      </c>
      <c r="EK100" s="7">
        <f t="shared" si="2"/>
        <v>0</v>
      </c>
      <c r="EL100" s="7">
        <f t="shared" si="2"/>
        <v>0</v>
      </c>
      <c r="EM100" s="7">
        <f t="shared" si="2"/>
        <v>0</v>
      </c>
      <c r="EN100" s="7">
        <f t="shared" si="2"/>
        <v>0</v>
      </c>
      <c r="EO100" s="7">
        <f t="shared" si="2"/>
        <v>0</v>
      </c>
      <c r="EP100" s="7">
        <f t="shared" si="2"/>
        <v>0</v>
      </c>
      <c r="EQ100" s="7">
        <f t="shared" si="2"/>
        <v>0</v>
      </c>
      <c r="ER100" s="7">
        <f t="shared" si="2"/>
        <v>0</v>
      </c>
      <c r="ES100" s="7">
        <f t="shared" si="2"/>
        <v>0</v>
      </c>
      <c r="ET100" s="7">
        <f t="shared" si="2"/>
        <v>0</v>
      </c>
      <c r="EU100" s="7">
        <f t="shared" si="2"/>
        <v>0</v>
      </c>
      <c r="EV100" s="7">
        <f t="shared" si="2"/>
        <v>0</v>
      </c>
      <c r="EW100" s="7">
        <f t="shared" si="2"/>
        <v>0</v>
      </c>
      <c r="EX100" s="7">
        <f t="shared" si="2"/>
        <v>0</v>
      </c>
      <c r="EY100" s="7">
        <f t="shared" si="2"/>
        <v>0</v>
      </c>
      <c r="EZ100" s="7">
        <f t="shared" si="2"/>
        <v>0</v>
      </c>
      <c r="FA100" s="7">
        <f t="shared" si="2"/>
        <v>0</v>
      </c>
      <c r="FB100" s="7">
        <f t="shared" si="2"/>
        <v>0</v>
      </c>
      <c r="FC100" s="7">
        <f t="shared" si="2"/>
        <v>0</v>
      </c>
      <c r="FD100" s="7">
        <f t="shared" si="2"/>
        <v>0</v>
      </c>
      <c r="FE100" s="7">
        <f t="shared" si="2"/>
        <v>0</v>
      </c>
      <c r="FF100" s="7">
        <f t="shared" si="2"/>
        <v>0</v>
      </c>
      <c r="FG100" s="7">
        <f t="shared" si="2"/>
        <v>0</v>
      </c>
      <c r="FH100" s="7">
        <f t="shared" si="2"/>
        <v>0</v>
      </c>
      <c r="FI100" s="7">
        <f t="shared" si="2"/>
        <v>0</v>
      </c>
      <c r="FJ100" s="7">
        <f t="shared" si="2"/>
        <v>0</v>
      </c>
      <c r="FK100" s="7">
        <f t="shared" si="2"/>
        <v>0</v>
      </c>
      <c r="FL100" s="7">
        <f t="shared" si="2"/>
        <v>0</v>
      </c>
      <c r="FM100" s="7">
        <f t="shared" si="2"/>
        <v>0</v>
      </c>
      <c r="FN100" s="7">
        <f t="shared" si="2"/>
        <v>0</v>
      </c>
      <c r="FO100" s="7">
        <f t="shared" si="2"/>
        <v>0</v>
      </c>
      <c r="FP100" s="7">
        <f t="shared" si="2"/>
        <v>0</v>
      </c>
      <c r="FQ100" s="7">
        <f t="shared" si="2"/>
        <v>0</v>
      </c>
      <c r="FR100" s="7">
        <f t="shared" si="2"/>
        <v>0</v>
      </c>
      <c r="FS100" s="7">
        <f t="shared" si="2"/>
        <v>0</v>
      </c>
      <c r="FT100" s="7">
        <f t="shared" si="2"/>
        <v>0</v>
      </c>
      <c r="FU100" s="7">
        <f t="shared" si="2"/>
        <v>0</v>
      </c>
      <c r="FV100" s="7">
        <f t="shared" si="2"/>
        <v>0</v>
      </c>
      <c r="FW100" s="7">
        <f t="shared" si="2"/>
        <v>0</v>
      </c>
      <c r="FX100" s="7">
        <f t="shared" si="2"/>
        <v>0</v>
      </c>
      <c r="FY100" s="7">
        <f t="shared" si="2"/>
        <v>0</v>
      </c>
      <c r="FZ100" s="7">
        <f t="shared" si="2"/>
        <v>0</v>
      </c>
      <c r="GA100" s="7">
        <f t="shared" si="2"/>
        <v>0</v>
      </c>
      <c r="GB100" s="7">
        <f t="shared" si="2"/>
        <v>0</v>
      </c>
      <c r="GC100" s="7">
        <f t="shared" si="2"/>
        <v>0</v>
      </c>
      <c r="GD100" s="7">
        <f t="shared" si="2"/>
        <v>0</v>
      </c>
      <c r="GE100" s="7">
        <f t="shared" si="2"/>
        <v>0</v>
      </c>
      <c r="GF100" s="7">
        <f t="shared" si="2"/>
        <v>0</v>
      </c>
      <c r="GG100" s="7">
        <f t="shared" si="2"/>
        <v>0</v>
      </c>
      <c r="GH100" s="7">
        <f t="shared" si="2"/>
        <v>0</v>
      </c>
      <c r="GI100" s="7">
        <f t="shared" si="2"/>
        <v>0</v>
      </c>
      <c r="GJ100" s="7">
        <f t="shared" si="2"/>
        <v>0</v>
      </c>
      <c r="GK100" s="7">
        <f t="shared" si="2"/>
        <v>0</v>
      </c>
      <c r="GL100" s="7">
        <f t="shared" ref="GL100:HH100" si="3">+GL1</f>
        <v>0</v>
      </c>
      <c r="GM100" s="7">
        <f t="shared" si="3"/>
        <v>0</v>
      </c>
      <c r="GN100" s="7">
        <f t="shared" si="3"/>
        <v>0</v>
      </c>
      <c r="GO100" s="7">
        <f t="shared" si="3"/>
        <v>0</v>
      </c>
      <c r="GP100" s="7">
        <f t="shared" si="3"/>
        <v>0</v>
      </c>
      <c r="GQ100" s="7">
        <f t="shared" si="3"/>
        <v>0</v>
      </c>
      <c r="GR100" s="7">
        <f t="shared" si="3"/>
        <v>0</v>
      </c>
      <c r="GS100" s="7">
        <f t="shared" si="3"/>
        <v>0</v>
      </c>
      <c r="GT100" s="7">
        <f t="shared" si="3"/>
        <v>0</v>
      </c>
      <c r="GU100" s="7">
        <f t="shared" si="3"/>
        <v>0</v>
      </c>
      <c r="GV100" s="7">
        <f t="shared" si="3"/>
        <v>0</v>
      </c>
      <c r="GW100" s="7">
        <f t="shared" si="3"/>
        <v>0</v>
      </c>
      <c r="GX100" s="7">
        <f t="shared" si="3"/>
        <v>0</v>
      </c>
      <c r="GY100" s="7">
        <f t="shared" si="3"/>
        <v>0</v>
      </c>
      <c r="GZ100" s="7">
        <f t="shared" si="3"/>
        <v>0</v>
      </c>
      <c r="HA100" s="7">
        <f t="shared" si="3"/>
        <v>0</v>
      </c>
      <c r="HB100" s="7">
        <f t="shared" si="3"/>
        <v>0</v>
      </c>
      <c r="HC100" s="7">
        <f t="shared" si="3"/>
        <v>0</v>
      </c>
      <c r="HD100" s="7">
        <f t="shared" si="3"/>
        <v>0</v>
      </c>
      <c r="HE100" s="7">
        <f t="shared" si="3"/>
        <v>0</v>
      </c>
      <c r="HF100" s="7">
        <f t="shared" si="3"/>
        <v>0</v>
      </c>
      <c r="HG100" s="7">
        <f t="shared" si="3"/>
        <v>0</v>
      </c>
      <c r="HH100" s="7">
        <f t="shared" si="3"/>
        <v>0</v>
      </c>
    </row>
    <row r="101" spans="1:272" x14ac:dyDescent="0.2">
      <c r="A101" t="str">
        <f>+IFERROR(VLOOKUP(A2,IN_Zugliste!$A$4:$D$2002,4,FALSE),"")</f>
        <v>101-3.0</v>
      </c>
      <c r="B101" t="str">
        <f>+IFERROR(VLOOKUP(B2,IN_Zugliste!$A$4:$D$2002,4,FALSE),"")</f>
        <v>101-3.0</v>
      </c>
      <c r="C101" t="str">
        <f>+IFERROR(VLOOKUP(C2,IN_Zugliste!$A$4:$D$2002,4,FALSE),"")</f>
        <v>146-3.2</v>
      </c>
      <c r="D101" t="str">
        <f>+IFERROR(VLOOKUP(D2,IN_Zugliste!$A$4:$D$2002,4,FALSE),"")</f>
        <v>462-1.0</v>
      </c>
      <c r="E101" t="str">
        <f>+IFERROR(VLOOKUP(E2,IN_Zugliste!$A$4:$D$2002,4,FALSE),"")</f>
        <v>462-1.0</v>
      </c>
      <c r="F101" t="str">
        <f>+IFERROR(VLOOKUP(F2,IN_Zugliste!$A$4:$D$2002,4,FALSE),"")</f>
        <v>146-3.2</v>
      </c>
      <c r="G101" t="str">
        <f>+IFERROR(VLOOKUP(G2,IN_Zugliste!$A$4:$D$2002,4,FALSE),"")</f>
        <v>101-3.0</v>
      </c>
      <c r="H101" t="str">
        <f>+IFERROR(VLOOKUP(H2,IN_Zugliste!$A$4:$D$2002,4,FALSE),"")</f>
        <v>101-3.0</v>
      </c>
      <c r="I101" t="str">
        <f>+IFERROR(VLOOKUP(I2,IN_Zugliste!$A$4:$D$2002,4,FALSE),"")</f>
        <v>146-3.2</v>
      </c>
      <c r="J101" t="str">
        <f>+IFERROR(VLOOKUP(J2,IN_Zugliste!$A$4:$D$2002,4,FALSE),"")</f>
        <v>101-3.0</v>
      </c>
      <c r="K101" t="str">
        <f>+IFERROR(VLOOKUP(K2,IN_Zugliste!$A$4:$D$2002,4,FALSE),"")</f>
        <v>101-3.0</v>
      </c>
      <c r="L101" t="str">
        <f>+IFERROR(VLOOKUP(L2,IN_Zugliste!$A$4:$D$2002,4,FALSE),"")</f>
        <v>146-3.2</v>
      </c>
      <c r="M101" t="str">
        <f>+IFERROR(VLOOKUP(M2,IN_Zugliste!$A$4:$D$2002,4,FALSE),"")</f>
        <v>146-3.2</v>
      </c>
      <c r="N101" t="str">
        <f>+IFERROR(VLOOKUP(N2,IN_Zugliste!$A$4:$D$2002,4,FALSE),"")</f>
        <v>101-3.0</v>
      </c>
      <c r="O101" t="str">
        <f>+IFERROR(VLOOKUP(O2,IN_Zugliste!$A$4:$D$2002,4,FALSE),"")</f>
        <v>146-3.2</v>
      </c>
      <c r="P101" t="str">
        <f>+IFERROR(VLOOKUP(P2,IN_Zugliste!$A$4:$D$2002,4,FALSE),"")</f>
        <v>146-3.2</v>
      </c>
      <c r="Q101" t="str">
        <f>+IFERROR(VLOOKUP(Q2,IN_Zugliste!$A$4:$D$2002,4,FALSE),"")</f>
        <v>146-3.2</v>
      </c>
      <c r="R101" t="str">
        <f>+IFERROR(VLOOKUP(R2,IN_Zugliste!$A$4:$D$2002,4,FALSE),"")</f>
        <v>462-1.0</v>
      </c>
      <c r="S101" t="str">
        <f>+IFERROR(VLOOKUP(S2,IN_Zugliste!$A$4:$D$2002,4,FALSE),"")</f>
        <v>462-1.0</v>
      </c>
      <c r="T101" t="str">
        <f>+IFERROR(VLOOKUP(T2,IN_Zugliste!$A$4:$D$2002,4,FALSE),"")</f>
        <v>146-3.2</v>
      </c>
      <c r="U101" t="str">
        <f>+IFERROR(VLOOKUP(U2,IN_Zugliste!$A$4:$D$2002,4,FALSE),"")</f>
        <v>146-3.2</v>
      </c>
      <c r="V101" t="str">
        <f>+IFERROR(VLOOKUP(V2,IN_Zugliste!$A$4:$D$2002,4,FALSE),"")</f>
        <v>101-3.0</v>
      </c>
      <c r="W101" t="str">
        <f>+IFERROR(VLOOKUP(W2,IN_Zugliste!$A$4:$D$2002,4,FALSE),"")</f>
        <v>101-3.0</v>
      </c>
      <c r="X101" t="str">
        <f>+IFERROR(VLOOKUP(X2,IN_Zugliste!$A$4:$D$2002,4,FALSE),"")</f>
        <v>101-3.0</v>
      </c>
      <c r="Y101" t="str">
        <f>+IFERROR(VLOOKUP(Y2,IN_Zugliste!$A$4:$D$2002,4,FALSE),"")</f>
        <v>146-3.2</v>
      </c>
      <c r="Z101" t="str">
        <f>+IFERROR(VLOOKUP(Z2,IN_Zugliste!$A$4:$D$2002,4,FALSE),"")</f>
        <v>146-3.2</v>
      </c>
      <c r="AA101" t="str">
        <f>+IFERROR(VLOOKUP(AA2,IN_Zugliste!$A$4:$D$2002,4,FALSE),"")</f>
        <v>146-3.2</v>
      </c>
      <c r="AB101" t="str">
        <f>+IFERROR(VLOOKUP(AB2,IN_Zugliste!$A$4:$D$2002,4,FALSE),"")</f>
        <v>101-3.0</v>
      </c>
      <c r="AC101" t="str">
        <f>+IFERROR(VLOOKUP(AC2,IN_Zugliste!$A$4:$D$2002,4,FALSE),"")</f>
        <v>462-1.0</v>
      </c>
      <c r="AD101" t="str">
        <f>+IFERROR(VLOOKUP(AD2,IN_Zugliste!$A$4:$D$2002,4,FALSE),"")</f>
        <v>462-1.0</v>
      </c>
      <c r="AE101" t="str">
        <f>+IFERROR(VLOOKUP(AE2,IN_Zugliste!$A$4:$D$2002,4,FALSE),"")</f>
        <v>146-3.2</v>
      </c>
      <c r="AF101" t="str">
        <f>+IFERROR(VLOOKUP(AF2,IN_Zugliste!$A$4:$D$2002,4,FALSE),"")</f>
        <v>146-3.2</v>
      </c>
      <c r="AG101" t="str">
        <f>+IFERROR(VLOOKUP(AG2,IN_Zugliste!$A$4:$D$2002,4,FALSE),"")</f>
        <v>101-3.0</v>
      </c>
      <c r="AH101" t="str">
        <f>+IFERROR(VLOOKUP(AH2,IN_Zugliste!$A$4:$D$2002,4,FALSE),"")</f>
        <v>462-1.0</v>
      </c>
      <c r="AI101" t="str">
        <f>+IFERROR(VLOOKUP(AI2,IN_Zugliste!$A$4:$D$2002,4,FALSE),"")</f>
        <v>146-3.2</v>
      </c>
      <c r="AJ101" t="str">
        <f>+IFERROR(VLOOKUP(AJ2,IN_Zugliste!$A$4:$D$2002,4,FALSE),"")</f>
        <v>101-3.0</v>
      </c>
      <c r="AK101" t="str">
        <f>+IFERROR(VLOOKUP(AK2,IN_Zugliste!$A$4:$D$2002,4,FALSE),"")</f>
        <v>146-3.2</v>
      </c>
      <c r="AL101" t="str">
        <f>+IFERROR(VLOOKUP(AL2,IN_Zugliste!$A$4:$D$2002,4,FALSE),"")</f>
        <v>146-3.2</v>
      </c>
      <c r="AM101" t="str">
        <f>+IFERROR(VLOOKUP(AM2,IN_Zugliste!$A$4:$D$2002,4,FALSE),"")</f>
        <v>462-1.0</v>
      </c>
      <c r="AN101" t="str">
        <f>+IFERROR(VLOOKUP(AN2,IN_Zugliste!$A$4:$D$2002,4,FALSE),"")</f>
        <v>146-3.2</v>
      </c>
      <c r="AO101" t="str">
        <f>+IFERROR(VLOOKUP(AO2,IN_Zugliste!$A$4:$D$2002,4,FALSE),"")</f>
        <v>146-3.2</v>
      </c>
      <c r="AP101" t="str">
        <f>+IFERROR(VLOOKUP(AP2,IN_Zugliste!$A$4:$D$2002,4,FALSE),"")</f>
        <v>462-1.0</v>
      </c>
      <c r="AQ101" t="str">
        <f>+IFERROR(VLOOKUP(AQ2,IN_Zugliste!$A$4:$D$2002,4,FALSE),"")</f>
        <v>146-3.2</v>
      </c>
      <c r="AR101" t="str">
        <f>+IFERROR(VLOOKUP(AR2,IN_Zugliste!$A$4:$D$2002,4,FALSE),"")</f>
        <v>462-1.0</v>
      </c>
      <c r="AS101" t="str">
        <f>+IFERROR(VLOOKUP(AS2,IN_Zugliste!$A$4:$D$2002,4,FALSE),"")</f>
        <v>146-3.2</v>
      </c>
      <c r="AT101" t="str">
        <f>+IFERROR(VLOOKUP(AT2,IN_Zugliste!$A$4:$D$2002,4,FALSE),"")</f>
        <v>462-1.0</v>
      </c>
      <c r="AU101" t="str">
        <f>+IFERROR(VLOOKUP(AU2,IN_Zugliste!$A$4:$D$2002,4,FALSE),"")</f>
        <v>462-1.0</v>
      </c>
      <c r="AV101" t="str">
        <f>+IFERROR(VLOOKUP(AV2,IN_Zugliste!$A$4:$D$2002,4,FALSE),"")</f>
        <v>462-1.0</v>
      </c>
      <c r="AW101" t="str">
        <f>+IFERROR(VLOOKUP(AW2,IN_Zugliste!$A$4:$D$2002,4,FALSE),"")</f>
        <v>462-1.0</v>
      </c>
      <c r="AX101" t="str">
        <f>+IFERROR(VLOOKUP(AX2,IN_Zugliste!$A$4:$D$2002,4,FALSE),"")</f>
        <v>146-3.2</v>
      </c>
      <c r="AY101" t="str">
        <f>+IFERROR(VLOOKUP(AY2,IN_Zugliste!$A$4:$D$2002,4,FALSE),"")</f>
        <v>462-1.0</v>
      </c>
      <c r="AZ101" t="str">
        <f>+IFERROR(VLOOKUP(AZ2,IN_Zugliste!$A$4:$D$2002,4,FALSE),"")</f>
        <v>462-1.0</v>
      </c>
      <c r="BA101" t="str">
        <f>+IFERROR(VLOOKUP(BA2,IN_Zugliste!$A$4:$D$2002,4,FALSE),"")</f>
        <v>462-1.0</v>
      </c>
      <c r="BB101" t="str">
        <f>+IFERROR(VLOOKUP(BB2,IN_Zugliste!$A$4:$D$2002,4,FALSE),"")</f>
        <v>462-1.0</v>
      </c>
      <c r="BC101" t="str">
        <f>+IFERROR(VLOOKUP(BC2,IN_Zugliste!$A$4:$D$2002,4,FALSE),"")</f>
        <v>146-3.2</v>
      </c>
      <c r="BD101" t="str">
        <f>+IFERROR(VLOOKUP(BD2,IN_Zugliste!$A$4:$D$2002,4,FALSE),"")</f>
        <v>146-3.2</v>
      </c>
      <c r="BE101" t="str">
        <f>+IFERROR(VLOOKUP(BE2,IN_Zugliste!$A$4:$D$2002,4,FALSE),"")</f>
        <v>462-1.0</v>
      </c>
      <c r="BF101" t="str">
        <f>+IFERROR(VLOOKUP(BF2,IN_Zugliste!$A$4:$D$2002,4,FALSE),"")</f>
        <v>462-1.0</v>
      </c>
      <c r="BG101" t="str">
        <f>+IFERROR(VLOOKUP(BG2,IN_Zugliste!$A$4:$D$2002,4,FALSE),"")</f>
        <v>146-3.2</v>
      </c>
      <c r="BH101" t="str">
        <f>+IFERROR(VLOOKUP(BH2,IN_Zugliste!$A$4:$D$2002,4,FALSE),"")</f>
        <v>462-1.0</v>
      </c>
      <c r="BI101" t="str">
        <f>+IFERROR(VLOOKUP(BI2,IN_Zugliste!$A$4:$D$2002,4,FALSE),"")</f>
        <v>462-1.0</v>
      </c>
      <c r="BJ101" t="str">
        <f>+IFERROR(VLOOKUP(BJ2,IN_Zugliste!$A$4:$D$2002,4,FALSE),"")</f>
        <v>462-1.0</v>
      </c>
      <c r="BK101" t="str">
        <f>+IFERROR(VLOOKUP(BK2,IN_Zugliste!$A$4:$D$2002,4,FALSE),"")</f>
        <v>462-1.0</v>
      </c>
      <c r="BL101" t="str">
        <f>+IFERROR(VLOOKUP(BL2,IN_Zugliste!$A$4:$D$2002,4,FALSE),"")</f>
        <v>462-1.0</v>
      </c>
      <c r="BM101" t="str">
        <f>+IFERROR(VLOOKUP(BM2,IN_Zugliste!$A$4:$D$2002,4,FALSE),"")</f>
        <v>462-1.0</v>
      </c>
      <c r="BN101" t="str">
        <f>+IFERROR(VLOOKUP(BN2,IN_Zugliste!$A$4:$D$2002,4,FALSE),"")</f>
        <v>462-1.0</v>
      </c>
      <c r="BO101" t="str">
        <f>+IFERROR(VLOOKUP(BO2,IN_Zugliste!$A$4:$D$2002,4,FALSE),"")</f>
        <v>146-3.2</v>
      </c>
      <c r="BP101" t="str">
        <f>+IFERROR(VLOOKUP(BP2,IN_Zugliste!$A$4:$D$2002,4,FALSE),"")</f>
        <v>462-1.0</v>
      </c>
      <c r="BQ101" t="str">
        <f>+IFERROR(VLOOKUP(BQ2,IN_Zugliste!$A$4:$D$2002,4,FALSE),"")</f>
        <v>462-1.0</v>
      </c>
      <c r="BR101" t="str">
        <f>+IFERROR(VLOOKUP(BR2,IN_Zugliste!$A$4:$D$2002,4,FALSE),"")</f>
        <v>146-3.2</v>
      </c>
      <c r="BS101" t="str">
        <f>+IFERROR(VLOOKUP(BS2,IN_Zugliste!$A$4:$D$2002,4,FALSE),"")</f>
        <v>462-1.0</v>
      </c>
      <c r="BT101" t="str">
        <f>+IFERROR(VLOOKUP(BT2,IN_Zugliste!$A$4:$D$2002,4,FALSE),"")</f>
        <v>462-1.0</v>
      </c>
      <c r="BU101" t="str">
        <f>+IFERROR(VLOOKUP(BU2,IN_Zugliste!$A$4:$D$2002,4,FALSE),"")</f>
        <v>462-1.0</v>
      </c>
      <c r="BV101" t="str">
        <f>+IFERROR(VLOOKUP(BV2,IN_Zugliste!$A$4:$D$2002,4,FALSE),"")</f>
        <v>462-1.0</v>
      </c>
      <c r="BW101" t="str">
        <f>+IFERROR(VLOOKUP(BW2,IN_Zugliste!$A$4:$D$2002,4,FALSE),"")</f>
        <v>462-1.0</v>
      </c>
      <c r="BX101" t="str">
        <f>+IFERROR(VLOOKUP(BX2,IN_Zugliste!$A$4:$D$2002,4,FALSE),"")</f>
        <v>462-1.0</v>
      </c>
      <c r="BY101" t="str">
        <f>+IFERROR(VLOOKUP(BY2,IN_Zugliste!$A$4:$D$2002,4,FALSE),"")</f>
        <v>146-3.2</v>
      </c>
      <c r="BZ101" t="str">
        <f>+IFERROR(VLOOKUP(BZ2,IN_Zugliste!$A$4:$D$2002,4,FALSE),"")</f>
        <v>462-1.0</v>
      </c>
      <c r="CA101" t="str">
        <f>+IFERROR(VLOOKUP(CA2,IN_Zugliste!$A$4:$D$2002,4,FALSE),"")</f>
        <v>146-3.2</v>
      </c>
      <c r="CB101" t="str">
        <f>+IFERROR(VLOOKUP(CB2,IN_Zugliste!$A$4:$D$2002,4,FALSE),"")</f>
        <v>462-1.0</v>
      </c>
      <c r="CC101" t="str">
        <f>+IFERROR(VLOOKUP(CC2,IN_Zugliste!$A$4:$D$2002,4,FALSE),"")</f>
        <v>462-1.0</v>
      </c>
      <c r="CD101" t="str">
        <f>+IFERROR(VLOOKUP(CD2,IN_Zugliste!$A$4:$D$2002,4,FALSE),"")</f>
        <v>462-1.0</v>
      </c>
      <c r="CE101" t="str">
        <f>+IFERROR(VLOOKUP(CE2,IN_Zugliste!$A$4:$D$2002,4,FALSE),"")</f>
        <v>462-1.0</v>
      </c>
      <c r="CF101" t="str">
        <f>+IFERROR(VLOOKUP(CF2,IN_Zugliste!$A$4:$D$2002,4,FALSE),"")</f>
        <v>462-1.0</v>
      </c>
      <c r="CG101" t="str">
        <f>+IFERROR(VLOOKUP(CG2,IN_Zugliste!$A$4:$D$2002,4,FALSE),"")</f>
        <v>462-1.0</v>
      </c>
      <c r="CH101" t="str">
        <f>+IFERROR(VLOOKUP(CH2,IN_Zugliste!$A$4:$D$2002,4,FALSE),"")</f>
        <v>146-3.2</v>
      </c>
      <c r="CI101" t="str">
        <f>+IFERROR(VLOOKUP(CI2,IN_Zugliste!$A$4:$D$2002,4,FALSE),"")</f>
        <v>462-1.0</v>
      </c>
      <c r="CJ101" t="str">
        <f>+IFERROR(VLOOKUP(CJ2,IN_Zugliste!$A$4:$D$2002,4,FALSE),"")</f>
        <v>462-1.0</v>
      </c>
      <c r="CK101" t="str">
        <f>+IFERROR(VLOOKUP(CK2,IN_Zugliste!$A$4:$D$2002,4,FALSE),"")</f>
        <v>462-1.0</v>
      </c>
      <c r="CL101" t="str">
        <f>+IFERROR(VLOOKUP(CL2,IN_Zugliste!$A$4:$D$2002,4,FALSE),"")</f>
        <v>462-1.0</v>
      </c>
      <c r="CM101" t="str">
        <f>+IFERROR(VLOOKUP(CM2,IN_Zugliste!$A$4:$D$2002,4,FALSE),"")</f>
        <v>462-1.0</v>
      </c>
      <c r="CN101" t="str">
        <f>+IFERROR(VLOOKUP(CN2,IN_Zugliste!$A$4:$D$2002,4,FALSE),"")</f>
        <v>462-1.0</v>
      </c>
      <c r="CO101" t="str">
        <f>+IFERROR(VLOOKUP(CO2,IN_Zugliste!$A$4:$D$2002,4,FALSE),"")</f>
        <v>462-1.0</v>
      </c>
      <c r="CP101" t="str">
        <f>+IFERROR(VLOOKUP(CP2,IN_Zugliste!$A$4:$D$2002,4,FALSE),"")</f>
        <v>462-1.0</v>
      </c>
      <c r="CQ101" t="str">
        <f>+IFERROR(VLOOKUP(CQ2,IN_Zugliste!$A$4:$D$2002,4,FALSE),"")</f>
        <v>462-1.0</v>
      </c>
      <c r="CR101" t="str">
        <f>+IFERROR(VLOOKUP(CR2,IN_Zugliste!$A$4:$D$2002,4,FALSE),"")</f>
        <v>462-1.0</v>
      </c>
      <c r="CS101" t="str">
        <f>+IFERROR(VLOOKUP(CS2,IN_Zugliste!$A$4:$D$2002,4,FALSE),"")</f>
        <v>462-1.0</v>
      </c>
      <c r="CT101" t="str">
        <f>+IFERROR(VLOOKUP(CT2,IN_Zugliste!$A$4:$D$2002,4,FALSE),"")</f>
        <v>462-1.0</v>
      </c>
      <c r="CU101" t="str">
        <f>+IFERROR(VLOOKUP(CU2,IN_Zugliste!$A$4:$D$2002,4,FALSE),"")</f>
        <v>462-1.0</v>
      </c>
      <c r="CV101" t="str">
        <f>+IFERROR(VLOOKUP(CV2,IN_Zugliste!$A$4:$D$2002,4,FALSE),"")</f>
        <v>462-1.0</v>
      </c>
      <c r="CW101" t="str">
        <f>+IFERROR(VLOOKUP(CW2,IN_Zugliste!$A$4:$D$2002,4,FALSE),"")</f>
        <v>462-1.0</v>
      </c>
      <c r="CX101" t="str">
        <f>+IFERROR(VLOOKUP(CX2,IN_Zugliste!$A$4:$D$2002,4,FALSE),"")</f>
        <v>462-1.0</v>
      </c>
      <c r="CY101" t="str">
        <f>+IFERROR(VLOOKUP(CY2,IN_Zugliste!$A$4:$D$2002,4,FALSE),"")</f>
        <v>462-1.0</v>
      </c>
      <c r="CZ101" t="str">
        <f>+IFERROR(VLOOKUP(CZ2,IN_Zugliste!$A$4:$D$2002,4,FALSE),"")</f>
        <v>462-1.0</v>
      </c>
      <c r="DA101" t="str">
        <f>+IFERROR(VLOOKUP(DA2,IN_Zugliste!$A$4:$D$2002,4,FALSE),"")</f>
        <v>146-3.2</v>
      </c>
      <c r="DB101" t="str">
        <f>+IFERROR(VLOOKUP(DB2,IN_Zugliste!$A$4:$D$2002,4,FALSE),"")</f>
        <v>462-1.0</v>
      </c>
      <c r="DC101" t="str">
        <f>+IFERROR(VLOOKUP(DC2,IN_Zugliste!$A$4:$D$2002,4,FALSE),"")</f>
        <v>462-1.0</v>
      </c>
      <c r="DD101" t="str">
        <f>+IFERROR(VLOOKUP(DD2,IN_Zugliste!$A$4:$D$2002,4,FALSE),"")</f>
        <v>462-1.0</v>
      </c>
      <c r="DE101" t="str">
        <f>+IFERROR(VLOOKUP(DE2,IN_Zugliste!$A$4:$D$2002,4,FALSE),"")</f>
        <v>462-1.0</v>
      </c>
      <c r="DF101" t="str">
        <f>+IFERROR(VLOOKUP(DF2,IN_Zugliste!$A$4:$D$2002,4,FALSE),"")</f>
        <v>462-1.0</v>
      </c>
      <c r="DG101" t="str">
        <f>+IFERROR(VLOOKUP(DG2,IN_Zugliste!$A$4:$D$2002,4,FALSE),"")</f>
        <v>462-1.0</v>
      </c>
      <c r="DH101" t="str">
        <f>+IFERROR(VLOOKUP(DH2,IN_Zugliste!$A$4:$D$2002,4,FALSE),"")</f>
        <v>462-1.0</v>
      </c>
      <c r="DI101" t="str">
        <f>+IFERROR(VLOOKUP(DI2,IN_Zugliste!$A$4:$D$2002,4,FALSE),"")</f>
        <v>146-3.2</v>
      </c>
      <c r="DJ101" t="str">
        <f>+IFERROR(VLOOKUP(DJ2,IN_Zugliste!$A$4:$D$2002,4,FALSE),"")</f>
        <v/>
      </c>
      <c r="DK101" t="str">
        <f>+IFERROR(VLOOKUP(DK2,IN_Zugliste!$A$4:$D$2002,4,FALSE),"")</f>
        <v/>
      </c>
      <c r="DL101" t="str">
        <f>+IFERROR(VLOOKUP(DL2,IN_Zugliste!$A$4:$D$2002,4,FALSE),"")</f>
        <v/>
      </c>
      <c r="DM101" t="str">
        <f>+IFERROR(VLOOKUP(DM2,IN_Zugliste!$A$4:$D$2002,4,FALSE),"")</f>
        <v/>
      </c>
      <c r="DN101" t="str">
        <f>+IFERROR(VLOOKUP(DN2,IN_Zugliste!$A$4:$D$2002,4,FALSE),"")</f>
        <v/>
      </c>
      <c r="DO101" t="str">
        <f>+IFERROR(VLOOKUP(DO2,IN_Zugliste!$A$4:$D$2002,4,FALSE),"")</f>
        <v/>
      </c>
      <c r="DP101" t="str">
        <f>+IFERROR(VLOOKUP(DP2,IN_Zugliste!$A$4:$D$2002,4,FALSE),"")</f>
        <v/>
      </c>
      <c r="DQ101" t="str">
        <f>+IFERROR(VLOOKUP(DQ2,IN_Zugliste!$A$4:$D$2002,4,FALSE),"")</f>
        <v/>
      </c>
      <c r="DR101" t="str">
        <f>+IFERROR(VLOOKUP(DR2,IN_Zugliste!$A$4:$D$2002,4,FALSE),"")</f>
        <v/>
      </c>
      <c r="DS101" t="str">
        <f>+IFERROR(VLOOKUP(DS2,IN_Zugliste!$A$4:$D$2002,4,FALSE),"")</f>
        <v/>
      </c>
      <c r="DT101" t="str">
        <f>+IFERROR(VLOOKUP(DT2,IN_Zugliste!$A$4:$D$2002,4,FALSE),"")</f>
        <v/>
      </c>
      <c r="DU101" t="str">
        <f>+IFERROR(VLOOKUP(DU2,IN_Zugliste!$A$4:$D$2002,4,FALSE),"")</f>
        <v/>
      </c>
      <c r="DV101" t="str">
        <f>+IFERROR(VLOOKUP(DV2,IN_Zugliste!$A$4:$D$2002,4,FALSE),"")</f>
        <v/>
      </c>
      <c r="DW101" t="str">
        <f>+IFERROR(VLOOKUP(DW2,IN_Zugliste!$A$4:$D$2002,4,FALSE),"")</f>
        <v/>
      </c>
      <c r="DX101" t="str">
        <f>+IFERROR(VLOOKUP(DX2,IN_Zugliste!$A$4:$D$2002,4,FALSE),"")</f>
        <v/>
      </c>
      <c r="DY101" t="str">
        <f>+IFERROR(VLOOKUP(DY2,IN_Zugliste!$A$4:$D$2002,4,FALSE),"")</f>
        <v/>
      </c>
      <c r="DZ101" t="str">
        <f>+IFERROR(VLOOKUP(DZ2,IN_Zugliste!$A$4:$D$2002,4,FALSE),"")</f>
        <v/>
      </c>
      <c r="EA101" t="str">
        <f>+IFERROR(VLOOKUP(EA2,IN_Zugliste!$A$4:$D$2002,4,FALSE),"")</f>
        <v/>
      </c>
      <c r="EB101" t="str">
        <f>+IFERROR(VLOOKUP(EB2,IN_Zugliste!$A$4:$D$2002,4,FALSE),"")</f>
        <v/>
      </c>
      <c r="EC101" t="str">
        <f>+IFERROR(VLOOKUP(EC2,IN_Zugliste!$A$4:$D$2002,4,FALSE),"")</f>
        <v/>
      </c>
      <c r="ED101" t="str">
        <f>+IFERROR(VLOOKUP(ED2,IN_Zugliste!$A$4:$D$2002,4,FALSE),"")</f>
        <v/>
      </c>
      <c r="EE101" t="str">
        <f>+IFERROR(VLOOKUP(EE2,IN_Zugliste!$A$4:$D$2002,4,FALSE),"")</f>
        <v/>
      </c>
      <c r="EF101" t="str">
        <f>+IFERROR(VLOOKUP(EF2,IN_Zugliste!$A$4:$D$2002,4,FALSE),"")</f>
        <v/>
      </c>
      <c r="EG101" t="str">
        <f>+IFERROR(VLOOKUP(EG2,IN_Zugliste!$A$4:$D$2002,4,FALSE),"")</f>
        <v/>
      </c>
      <c r="EH101" t="str">
        <f>+IFERROR(VLOOKUP(EH2,IN_Zugliste!$A$4:$D$2002,4,FALSE),"")</f>
        <v/>
      </c>
      <c r="EI101" t="str">
        <f>+IFERROR(VLOOKUP(EI2,IN_Zugliste!$A$4:$D$2002,4,FALSE),"")</f>
        <v/>
      </c>
      <c r="EJ101" t="str">
        <f>+IFERROR(VLOOKUP(EJ2,IN_Zugliste!$A$4:$D$2002,4,FALSE),"")</f>
        <v/>
      </c>
      <c r="EK101" t="str">
        <f>+IFERROR(VLOOKUP(EK2,IN_Zugliste!$A$4:$D$2002,4,FALSE),"")</f>
        <v/>
      </c>
      <c r="EL101" t="str">
        <f>+IFERROR(VLOOKUP(EL2,IN_Zugliste!$A$4:$D$2002,4,FALSE),"")</f>
        <v/>
      </c>
      <c r="EM101" t="str">
        <f>+IFERROR(VLOOKUP(EM2,IN_Zugliste!$A$4:$D$2002,4,FALSE),"")</f>
        <v/>
      </c>
      <c r="EN101" t="str">
        <f>+IFERROR(VLOOKUP(EN2,IN_Zugliste!$A$4:$D$2002,4,FALSE),"")</f>
        <v/>
      </c>
      <c r="EO101" t="str">
        <f>+IFERROR(VLOOKUP(EO2,IN_Zugliste!$A$4:$D$2002,4,FALSE),"")</f>
        <v/>
      </c>
      <c r="EP101" t="str">
        <f>+IFERROR(VLOOKUP(EP2,IN_Zugliste!$A$4:$D$2002,4,FALSE),"")</f>
        <v/>
      </c>
      <c r="EQ101" t="str">
        <f>+IFERROR(VLOOKUP(EQ2,IN_Zugliste!$A$4:$D$2002,4,FALSE),"")</f>
        <v/>
      </c>
      <c r="ER101" t="str">
        <f>+IFERROR(VLOOKUP(ER2,IN_Zugliste!$A$4:$D$2002,4,FALSE),"")</f>
        <v/>
      </c>
      <c r="ES101" t="str">
        <f>+IFERROR(VLOOKUP(ES2,IN_Zugliste!$A$4:$D$2002,4,FALSE),"")</f>
        <v/>
      </c>
      <c r="ET101" t="str">
        <f>+IFERROR(VLOOKUP(ET2,IN_Zugliste!$A$4:$D$2002,4,FALSE),"")</f>
        <v/>
      </c>
      <c r="EU101" t="str">
        <f>+IFERROR(VLOOKUP(EU2,IN_Zugliste!$A$4:$D$2002,4,FALSE),"")</f>
        <v/>
      </c>
      <c r="EV101" t="str">
        <f>+IFERROR(VLOOKUP(EV2,IN_Zugliste!$A$4:$D$2002,4,FALSE),"")</f>
        <v/>
      </c>
      <c r="EW101" t="str">
        <f>+IFERROR(VLOOKUP(EW2,IN_Zugliste!$A$4:$D$2002,4,FALSE),"")</f>
        <v/>
      </c>
      <c r="EX101" t="str">
        <f>+IFERROR(VLOOKUP(EX2,IN_Zugliste!$A$4:$D$2002,4,FALSE),"")</f>
        <v/>
      </c>
      <c r="EY101" t="str">
        <f>+IFERROR(VLOOKUP(EY2,IN_Zugliste!$A$4:$D$2002,4,FALSE),"")</f>
        <v/>
      </c>
      <c r="EZ101" t="str">
        <f>+IFERROR(VLOOKUP(EZ2,IN_Zugliste!$A$4:$D$2002,4,FALSE),"")</f>
        <v/>
      </c>
      <c r="FA101" t="str">
        <f>+IFERROR(VLOOKUP(FA2,IN_Zugliste!$A$4:$D$2002,4,FALSE),"")</f>
        <v/>
      </c>
      <c r="FB101" t="str">
        <f>+IFERROR(VLOOKUP(FB2,IN_Zugliste!$A$4:$D$2002,4,FALSE),"")</f>
        <v/>
      </c>
      <c r="FC101" t="str">
        <f>+IFERROR(VLOOKUP(FC2,IN_Zugliste!$A$4:$D$2002,4,FALSE),"")</f>
        <v/>
      </c>
      <c r="FD101" t="str">
        <f>+IFERROR(VLOOKUP(FD2,IN_Zugliste!$A$4:$D$2002,4,FALSE),"")</f>
        <v/>
      </c>
      <c r="FE101" t="str">
        <f>+IFERROR(VLOOKUP(FE2,IN_Zugliste!$A$4:$D$2002,4,FALSE),"")</f>
        <v/>
      </c>
      <c r="FF101" t="str">
        <f>+IFERROR(VLOOKUP(FF2,IN_Zugliste!$A$4:$D$2002,4,FALSE),"")</f>
        <v/>
      </c>
      <c r="FG101" t="str">
        <f>+IFERROR(VLOOKUP(FG2,IN_Zugliste!$A$4:$D$2002,4,FALSE),"")</f>
        <v/>
      </c>
      <c r="FH101" t="str">
        <f>+IFERROR(VLOOKUP(FH2,IN_Zugliste!$A$4:$D$2002,4,FALSE),"")</f>
        <v/>
      </c>
      <c r="FI101" t="str">
        <f>+IFERROR(VLOOKUP(FI2,IN_Zugliste!$A$4:$D$2002,4,FALSE),"")</f>
        <v/>
      </c>
      <c r="FJ101" t="str">
        <f>+IFERROR(VLOOKUP(FJ2,IN_Zugliste!$A$4:$D$2002,4,FALSE),"")</f>
        <v/>
      </c>
      <c r="FK101" t="str">
        <f>+IFERROR(VLOOKUP(FK2,IN_Zugliste!$A$4:$D$2002,4,FALSE),"")</f>
        <v/>
      </c>
      <c r="FL101" t="str">
        <f>+IFERROR(VLOOKUP(FL2,IN_Zugliste!$A$4:$D$2002,4,FALSE),"")</f>
        <v/>
      </c>
      <c r="FM101" t="str">
        <f>+IFERROR(VLOOKUP(FM2,IN_Zugliste!$A$4:$C$2002,4,FALSE),"")</f>
        <v/>
      </c>
      <c r="FN101" t="str">
        <f>+IFERROR(VLOOKUP(FN2,IN_Zugliste!$A$4:$C$2002,4,FALSE),"")</f>
        <v/>
      </c>
      <c r="FO101" t="str">
        <f>+IFERROR(VLOOKUP(FO2,IN_Zugliste!$A$4:$C$2002,4,FALSE),"")</f>
        <v/>
      </c>
      <c r="FP101" t="str">
        <f>+IFERROR(VLOOKUP(FP2,IN_Zugliste!$A$4:$C$2002,4,FALSE),"")</f>
        <v/>
      </c>
      <c r="FQ101" t="str">
        <f>+IFERROR(VLOOKUP(FQ2,IN_Zugliste!$A$4:$C$2002,4,FALSE),"")</f>
        <v/>
      </c>
      <c r="FR101" t="str">
        <f>+IFERROR(VLOOKUP(FR2,IN_Zugliste!$A$4:$C$2002,4,FALSE),"")</f>
        <v/>
      </c>
      <c r="FS101" t="str">
        <f>+IFERROR(VLOOKUP(FS2,IN_Zugliste!$A$4:$C$2002,4,FALSE),"")</f>
        <v/>
      </c>
      <c r="FT101" t="str">
        <f>+IFERROR(VLOOKUP(FT2,IN_Zugliste!$A$4:$C$2002,4,FALSE),"")</f>
        <v/>
      </c>
      <c r="FU101" t="str">
        <f>+IFERROR(VLOOKUP(FU2,IN_Zugliste!$A$4:$C$2002,4,FALSE),"")</f>
        <v/>
      </c>
      <c r="FV101" t="str">
        <f>+IFERROR(VLOOKUP(FV2,IN_Zugliste!$A$4:$C$2002,4,FALSE),"")</f>
        <v/>
      </c>
      <c r="FW101" t="str">
        <f>+IFERROR(VLOOKUP(FW2,IN_Zugliste!$A$4:$C$2002,4,FALSE),"")</f>
        <v/>
      </c>
      <c r="FX101" t="str">
        <f>+IFERROR(VLOOKUP(FX2,IN_Zugliste!$A$4:$C$2002,4,FALSE),"")</f>
        <v/>
      </c>
      <c r="FY101" t="str">
        <f>+IFERROR(VLOOKUP(FY2,IN_Zugliste!$A$4:$C$2002,4,FALSE),"")</f>
        <v/>
      </c>
      <c r="FZ101" t="str">
        <f>+IFERROR(VLOOKUP(FZ2,IN_Zugliste!$A$4:$C$2002,4,FALSE),"")</f>
        <v/>
      </c>
      <c r="GA101" t="str">
        <f>+IFERROR(VLOOKUP(GA2,IN_Zugliste!$A$4:$C$2002,4,FALSE),"")</f>
        <v/>
      </c>
      <c r="GB101" t="str">
        <f>+IFERROR(VLOOKUP(GB2,IN_Zugliste!$A$4:$C$2002,4,FALSE),"")</f>
        <v/>
      </c>
      <c r="GC101" t="str">
        <f>+IFERROR(VLOOKUP(GC2,IN_Zugliste!$A$4:$C$2002,4,FALSE),"")</f>
        <v/>
      </c>
      <c r="GD101" t="str">
        <f>+IFERROR(VLOOKUP(GD2,IN_Zugliste!$A$4:$C$2002,4,FALSE),"")</f>
        <v/>
      </c>
      <c r="GE101" t="str">
        <f>+IFERROR(VLOOKUP(GE2,IN_Zugliste!$A$4:$C$2002,4,FALSE),"")</f>
        <v/>
      </c>
      <c r="GF101" t="str">
        <f>+IFERROR(VLOOKUP(GF2,IN_Zugliste!$A$4:$C$2002,4,FALSE),"")</f>
        <v/>
      </c>
      <c r="GG101" t="str">
        <f>+IFERROR(VLOOKUP(GG2,IN_Zugliste!$A$4:$C$2002,4,FALSE),"")</f>
        <v/>
      </c>
      <c r="GH101" t="str">
        <f>+IFERROR(VLOOKUP(GH2,IN_Zugliste!$A$4:$C$2002,4,FALSE),"")</f>
        <v/>
      </c>
      <c r="GI101" t="str">
        <f>+IFERROR(VLOOKUP(GI2,IN_Zugliste!$A$4:$C$2002,4,FALSE),"")</f>
        <v/>
      </c>
      <c r="GJ101" t="str">
        <f>+IFERROR(VLOOKUP(GJ2,IN_Zugliste!$A$4:$C$2002,4,FALSE),"")</f>
        <v/>
      </c>
      <c r="GK101" t="str">
        <f>+IFERROR(VLOOKUP(GK2,IN_Zugliste!$A$4:$C$2002,4,FALSE),"")</f>
        <v/>
      </c>
      <c r="GL101" t="str">
        <f>+IFERROR(VLOOKUP(GL2,IN_Zugliste!$A$4:$C$2002,4,FALSE),"")</f>
        <v/>
      </c>
      <c r="GM101" t="str">
        <f>+IFERROR(VLOOKUP(GM2,IN_Zugliste!$A$4:$C$2002,4,FALSE),"")</f>
        <v/>
      </c>
      <c r="GN101" t="str">
        <f>+IFERROR(VLOOKUP(GN2,IN_Zugliste!$A$4:$C$2002,4,FALSE),"")</f>
        <v/>
      </c>
      <c r="GO101" t="str">
        <f>+IFERROR(VLOOKUP(GO2,IN_Zugliste!$A$4:$C$2002,4,FALSE),"")</f>
        <v/>
      </c>
      <c r="GP101" t="str">
        <f>+IFERROR(VLOOKUP(GP2,IN_Zugliste!$A$4:$C$2002,4,FALSE),"")</f>
        <v/>
      </c>
      <c r="GQ101" t="str">
        <f>+IFERROR(VLOOKUP(GQ2,IN_Zugliste!$A$4:$C$2002,4,FALSE),"")</f>
        <v/>
      </c>
      <c r="GR101" t="str">
        <f>+IFERROR(VLOOKUP(GR2,IN_Zugliste!$A$4:$C$2002,4,FALSE),"")</f>
        <v/>
      </c>
      <c r="GS101" t="str">
        <f>+IFERROR(VLOOKUP(GS2,IN_Zugliste!$A$4:$C$2002,4,FALSE),"")</f>
        <v/>
      </c>
      <c r="GT101" t="str">
        <f>+IFERROR(VLOOKUP(GT2,IN_Zugliste!$A$4:$C$2002,4,FALSE),"")</f>
        <v/>
      </c>
      <c r="GU101" t="str">
        <f>+IFERROR(VLOOKUP(GU2,IN_Zugliste!$A$4:$C$2002,4,FALSE),"")</f>
        <v/>
      </c>
      <c r="GV101" t="str">
        <f>+IFERROR(VLOOKUP(GV2,IN_Zugliste!$A$4:$C$2002,4,FALSE),"")</f>
        <v/>
      </c>
      <c r="GW101" t="str">
        <f>+IFERROR(VLOOKUP(GW2,IN_Zugliste!$A$4:$C$2002,4,FALSE),"")</f>
        <v/>
      </c>
      <c r="GX101" t="str">
        <f>+IFERROR(VLOOKUP(GX2,IN_Zugliste!$A$4:$C$2002,4,FALSE),"")</f>
        <v/>
      </c>
      <c r="GY101" t="str">
        <f>+IFERROR(VLOOKUP(GY2,IN_Zugliste!$A$4:$C$2002,4,FALSE),"")</f>
        <v/>
      </c>
      <c r="GZ101" t="str">
        <f>+IFERROR(VLOOKUP(GZ2,IN_Zugliste!$A$4:$C$2002,4,FALSE),"")</f>
        <v/>
      </c>
      <c r="HA101" t="str">
        <f>+IFERROR(VLOOKUP(HA2,IN_Zugliste!$A$4:$C$2002,4,FALSE),"")</f>
        <v/>
      </c>
      <c r="HB101" t="str">
        <f>+IFERROR(VLOOKUP(HB2,IN_Zugliste!$A$4:$C$2002,4,FALSE),"")</f>
        <v/>
      </c>
      <c r="HC101" t="str">
        <f>+IFERROR(VLOOKUP(HC2,IN_Zugliste!$A$4:$C$2002,4,FALSE),"")</f>
        <v/>
      </c>
      <c r="HD101" t="str">
        <f>+IFERROR(VLOOKUP(HD2,IN_Zugliste!$A$4:$C$2002,4,FALSE),"")</f>
        <v/>
      </c>
      <c r="HE101" t="str">
        <f>+IFERROR(VLOOKUP(HE2,IN_Zugliste!$A$4:$C$2002,4,FALSE),"")</f>
        <v/>
      </c>
      <c r="HF101" t="str">
        <f>+IFERROR(VLOOKUP(HF2,IN_Zugliste!$A$4:$C$2002,4,FALSE),"")</f>
        <v/>
      </c>
      <c r="HG101" t="str">
        <f>+IFERROR(VLOOKUP(HG2,IN_Zugliste!$A$4:$C$2002,4,FALSE),"")</f>
        <v/>
      </c>
      <c r="HH101" t="str">
        <f>+IFERROR(VLOOKUP(HH2,IN_Zugliste!$A$4:$C$2002,4,FALSE),"")</f>
        <v/>
      </c>
      <c r="HI101" t="str">
        <f>+IFERROR(VLOOKUP(HI2,IN_Zugliste!$A$4:$C$2002,4,FALSE),"")</f>
        <v/>
      </c>
      <c r="HJ101" t="str">
        <f>+IFERROR(VLOOKUP(HJ2,IN_Zugliste!$A$4:$C$2002,4,FALSE),"")</f>
        <v/>
      </c>
      <c r="HK101" t="str">
        <f>+IFERROR(VLOOKUP(HK2,IN_Zugliste!$A$4:$C$2002,4,FALSE),"")</f>
        <v/>
      </c>
      <c r="HL101" t="str">
        <f>+IFERROR(VLOOKUP(HL2,IN_Zugliste!$A$4:$C$2002,4,FALSE),"")</f>
        <v/>
      </c>
      <c r="HM101" t="str">
        <f>+IFERROR(VLOOKUP(HM2,IN_Zugliste!$A$4:$C$2002,4,FALSE),"")</f>
        <v/>
      </c>
      <c r="HN101" t="str">
        <f>+IFERROR(VLOOKUP(HN2,IN_Zugliste!$A$4:$C$2002,4,FALSE),"")</f>
        <v/>
      </c>
      <c r="HO101" t="str">
        <f>+IFERROR(VLOOKUP(HO2,IN_Zugliste!$A$4:$C$2002,4,FALSE),"")</f>
        <v/>
      </c>
      <c r="HP101" t="str">
        <f>+IFERROR(VLOOKUP(HP2,IN_Zugliste!$A$4:$C$2002,4,FALSE),"")</f>
        <v/>
      </c>
      <c r="HQ101" t="str">
        <f>+IFERROR(VLOOKUP(HQ2,IN_Zugliste!$A$4:$C$2002,4,FALSE),"")</f>
        <v/>
      </c>
      <c r="HR101" t="str">
        <f>+IFERROR(VLOOKUP(HR2,IN_Zugliste!$A$4:$C$2002,4,FALSE),"")</f>
        <v/>
      </c>
      <c r="HS101" t="str">
        <f>+IFERROR(VLOOKUP(HS2,IN_Zugliste!$A$4:$C$2002,4,FALSE),"")</f>
        <v/>
      </c>
      <c r="HT101" t="str">
        <f>+IFERROR(VLOOKUP(HT2,IN_Zugliste!$A$4:$C$2002,4,FALSE),"")</f>
        <v/>
      </c>
      <c r="HU101" t="str">
        <f>+IFERROR(VLOOKUP(HU2,IN_Zugliste!$A$4:$C$2002,4,FALSE),"")</f>
        <v/>
      </c>
      <c r="HV101" t="str">
        <f>+IFERROR(VLOOKUP(HV2,IN_Zugliste!$A$4:$C$2002,4,FALSE),"")</f>
        <v/>
      </c>
      <c r="HW101" t="str">
        <f>+IFERROR(VLOOKUP(HW2,IN_Zugliste!$A$4:$C$2002,4,FALSE),"")</f>
        <v/>
      </c>
      <c r="HX101" t="str">
        <f>+IFERROR(VLOOKUP(HX2,IN_Zugliste!$A$4:$C$2002,4,FALSE),"")</f>
        <v/>
      </c>
      <c r="HY101" t="str">
        <f>+IFERROR(VLOOKUP(HY2,IN_Zugliste!$A$4:$C$2002,4,FALSE),"")</f>
        <v/>
      </c>
      <c r="HZ101" t="str">
        <f>+IFERROR(VLOOKUP(HZ2,IN_Zugliste!$A$4:$C$2002,4,FALSE),"")</f>
        <v/>
      </c>
      <c r="IA101" t="str">
        <f>+IFERROR(VLOOKUP(IA2,IN_Zugliste!$A$4:$C$2002,4,FALSE),"")</f>
        <v/>
      </c>
      <c r="IB101" t="str">
        <f>+IFERROR(VLOOKUP(IB2,IN_Zugliste!$A$4:$C$2002,4,FALSE),"")</f>
        <v/>
      </c>
      <c r="IC101" t="str">
        <f>+IFERROR(VLOOKUP(IC2,IN_Zugliste!$A$4:$C$2002,4,FALSE),"")</f>
        <v/>
      </c>
      <c r="ID101" t="str">
        <f>+IFERROR(VLOOKUP(ID2,IN_Zugliste!$A$4:$C$2002,4,FALSE),"")</f>
        <v/>
      </c>
      <c r="IE101" t="str">
        <f>+IFERROR(VLOOKUP(IE2,IN_Zugliste!$A$4:$C$2002,4,FALSE),"")</f>
        <v/>
      </c>
      <c r="IF101" t="str">
        <f>+IFERROR(VLOOKUP(IF2,IN_Zugliste!$A$4:$C$2002,4,FALSE),"")</f>
        <v/>
      </c>
      <c r="IG101" t="str">
        <f>+IFERROR(VLOOKUP(IG2,IN_Zugliste!$A$4:$C$2002,4,FALSE),"")</f>
        <v/>
      </c>
      <c r="IH101" t="str">
        <f>+IFERROR(VLOOKUP(IH2,IN_Zugliste!$A$4:$C$2002,4,FALSE),"")</f>
        <v/>
      </c>
      <c r="II101" t="str">
        <f>+IFERROR(VLOOKUP(II2,IN_Zugliste!$A$4:$C$2002,4,FALSE),"")</f>
        <v/>
      </c>
      <c r="IJ101" t="str">
        <f>+IFERROR(VLOOKUP(IJ2,IN_Zugliste!$A$4:$C$2002,4,FALSE),"")</f>
        <v/>
      </c>
      <c r="IK101" t="str">
        <f>+IFERROR(VLOOKUP(IK2,IN_Zugliste!$A$4:$C$2002,4,FALSE),"")</f>
        <v/>
      </c>
      <c r="IL101" t="str">
        <f>+IFERROR(VLOOKUP(IL2,IN_Zugliste!$A$4:$C$2002,4,FALSE),"")</f>
        <v/>
      </c>
      <c r="IM101" t="str">
        <f>+IFERROR(VLOOKUP(IM2,IN_Zugliste!$A$4:$C$2002,4,FALSE),"")</f>
        <v/>
      </c>
      <c r="IN101" t="str">
        <f>+IFERROR(VLOOKUP(IN2,IN_Zugliste!$A$4:$C$2002,4,FALSE),"")</f>
        <v/>
      </c>
      <c r="IO101" t="str">
        <f>+IFERROR(VLOOKUP(IO2,IN_Zugliste!$A$4:$C$2002,4,FALSE),"")</f>
        <v/>
      </c>
      <c r="IP101" t="str">
        <f>+IFERROR(VLOOKUP(IP2,IN_Zugliste!$A$4:$C$2002,4,FALSE),"")</f>
        <v/>
      </c>
      <c r="IQ101" t="str">
        <f>+IFERROR(VLOOKUP(IQ2,IN_Zugliste!$A$4:$C$2002,4,FALSE),"")</f>
        <v/>
      </c>
      <c r="IR101" t="str">
        <f>+IFERROR(VLOOKUP(IR2,IN_Zugliste!$A$4:$C$2002,4,FALSE),"")</f>
        <v/>
      </c>
      <c r="IS101" t="str">
        <f>+IFERROR(VLOOKUP(IS2,IN_Zugliste!$A$4:$C$2002,4,FALSE),"")</f>
        <v/>
      </c>
      <c r="IT101" t="str">
        <f>+IFERROR(VLOOKUP(IT2,IN_Zugliste!$A$4:$C$2002,4,FALSE),"")</f>
        <v/>
      </c>
      <c r="IU101" t="str">
        <f>+IFERROR(VLOOKUP(IU2,IN_Zugliste!$A$4:$C$2002,4,FALSE),"")</f>
        <v/>
      </c>
      <c r="IV101" t="str">
        <f>+IFERROR(VLOOKUP(IV2,IN_Zugliste!$A$4:$C$2002,4,FALSE),"")</f>
        <v/>
      </c>
      <c r="IW101" t="str">
        <f>+IFERROR(VLOOKUP(IW2,IN_Zugliste!$A$4:$C$2002,4,FALSE),"")</f>
        <v/>
      </c>
      <c r="IX101" t="str">
        <f>+IFERROR(VLOOKUP(IX2,IN_Zugliste!$A$4:$C$2002,4,FALSE),"")</f>
        <v/>
      </c>
      <c r="IY101" t="str">
        <f>+IFERROR(VLOOKUP(IY2,IN_Zugliste!$A$4:$C$2002,4,FALSE),"")</f>
        <v/>
      </c>
      <c r="IZ101" t="str">
        <f>+IFERROR(VLOOKUP(IZ2,IN_Zugliste!$A$4:$C$2002,4,FALSE),"")</f>
        <v/>
      </c>
      <c r="JA101" t="str">
        <f>+IFERROR(VLOOKUP(JA2,IN_Zugliste!$A$4:$C$2002,4,FALSE),"")</f>
        <v/>
      </c>
      <c r="JB101" t="str">
        <f>+IFERROR(VLOOKUP(JB2,IN_Zugliste!$A$4:$C$2002,4,FALSE),"")</f>
        <v/>
      </c>
      <c r="JC101" t="str">
        <f>+IFERROR(VLOOKUP(JC2,IN_Zugliste!$A$4:$C$2002,4,FALSE),"")</f>
        <v/>
      </c>
      <c r="JD101" t="str">
        <f>+IFERROR(VLOOKUP(JD2,IN_Zugliste!$A$4:$C$2002,4,FALSE),"")</f>
        <v/>
      </c>
      <c r="JE101" t="str">
        <f>+IFERROR(VLOOKUP(JE2,IN_Zugliste!$A$4:$C$2002,4,FALSE),"")</f>
        <v/>
      </c>
      <c r="JF101" t="str">
        <f>+IFERROR(VLOOKUP(JF2,IN_Zugliste!$A$4:$C$2002,4,FALSE),"")</f>
        <v/>
      </c>
      <c r="JG101" t="str">
        <f>+IFERROR(VLOOKUP(JG2,IN_Zugliste!$A$4:$C$2002,4,FALSE),"")</f>
        <v/>
      </c>
      <c r="JH101" t="str">
        <f>+IFERROR(VLOOKUP(JH2,IN_Zugliste!$A$4:$C$2002,4,FALSE),"")</f>
        <v/>
      </c>
      <c r="JI101" t="str">
        <f>+IFERROR(VLOOKUP(JI2,IN_Zugliste!$A$4:$C$2002,4,FALSE),"")</f>
        <v/>
      </c>
      <c r="JJ101" t="str">
        <f>+IFERROR(VLOOKUP(JJ2,IN_Zugliste!$A$4:$C$2002,4,FALSE),"")</f>
        <v/>
      </c>
      <c r="JK101" t="str">
        <f>+IFERROR(VLOOKUP(JK2,IN_Zugliste!$A$4:$C$2002,4,FALSE),"")</f>
        <v/>
      </c>
      <c r="JL101" t="str">
        <f>+IFERROR(VLOOKUP(JL2,IN_Zugliste!$A$4:$C$2002,4,FALSE),"")</f>
        <v/>
      </c>
    </row>
    <row r="102" spans="1:272" x14ac:dyDescent="0.2">
      <c r="A102" t="str">
        <f>+IFERROR(VLOOKUP(A3,IN_Zugliste!$A$4:$D$2002,4,FALSE),"")</f>
        <v>101-3.0</v>
      </c>
      <c r="B102" t="str">
        <f>+IFERROR(VLOOKUP(B3,IN_Zugliste!$A$4:$D$2002,4,FALSE),"")</f>
        <v>101-3.0</v>
      </c>
      <c r="C102" t="str">
        <f>+IFERROR(VLOOKUP(C3,IN_Zugliste!$A$4:$D$2002,4,FALSE),"")</f>
        <v>146-3.2</v>
      </c>
      <c r="D102" t="str">
        <f>+IFERROR(VLOOKUP(D3,IN_Zugliste!$A$4:$D$2002,4,FALSE),"")</f>
        <v>462-1.0</v>
      </c>
      <c r="E102" t="str">
        <f>+IFERROR(VLOOKUP(E3,IN_Zugliste!$A$4:$D$2002,4,FALSE),"")</f>
        <v>462-1.0</v>
      </c>
      <c r="F102" t="str">
        <f>+IFERROR(VLOOKUP(F3,IN_Zugliste!$A$4:$D$2002,4,FALSE),"")</f>
        <v>146-3.2</v>
      </c>
      <c r="G102" t="str">
        <f>+IFERROR(VLOOKUP(G3,IN_Zugliste!$A$4:$D$2002,4,FALSE),"")</f>
        <v>101-3.0</v>
      </c>
      <c r="H102" t="str">
        <f>+IFERROR(VLOOKUP(H3,IN_Zugliste!$A$4:$D$2002,4,FALSE),"")</f>
        <v>101-3.0</v>
      </c>
      <c r="I102" t="str">
        <f>+IFERROR(VLOOKUP(I3,IN_Zugliste!$A$4:$D$2002,4,FALSE),"")</f>
        <v>146-3.2</v>
      </c>
      <c r="J102" t="str">
        <f>+IFERROR(VLOOKUP(J3,IN_Zugliste!$A$4:$D$2002,4,FALSE),"")</f>
        <v>101-3.0</v>
      </c>
      <c r="K102" t="str">
        <f>+IFERROR(VLOOKUP(K3,IN_Zugliste!$A$4:$D$2002,4,FALSE),"")</f>
        <v>101-3.0</v>
      </c>
      <c r="L102" t="str">
        <f>+IFERROR(VLOOKUP(L3,IN_Zugliste!$A$4:$D$2002,4,FALSE),"")</f>
        <v>146-3.2</v>
      </c>
      <c r="M102" t="str">
        <f>+IFERROR(VLOOKUP(M3,IN_Zugliste!$A$4:$D$2002,4,FALSE),"")</f>
        <v>146-3.2</v>
      </c>
      <c r="N102" t="str">
        <f>+IFERROR(VLOOKUP(N3,IN_Zugliste!$A$4:$D$2002,4,FALSE),"")</f>
        <v>101-3.0</v>
      </c>
      <c r="O102" t="str">
        <f>+IFERROR(VLOOKUP(O3,IN_Zugliste!$A$4:$D$2002,4,FALSE),"")</f>
        <v>146-3.2</v>
      </c>
      <c r="P102" t="str">
        <f>+IFERROR(VLOOKUP(P3,IN_Zugliste!$A$4:$D$2002,4,FALSE),"")</f>
        <v>146-3.2</v>
      </c>
      <c r="Q102" t="str">
        <f>+IFERROR(VLOOKUP(Q3,IN_Zugliste!$A$4:$D$2002,4,FALSE),"")</f>
        <v>146-3.2</v>
      </c>
      <c r="R102" t="str">
        <f>+IFERROR(VLOOKUP(R3,IN_Zugliste!$A$4:$D$2002,4,FALSE),"")</f>
        <v>462-1.0</v>
      </c>
      <c r="S102" t="str">
        <f>+IFERROR(VLOOKUP(S3,IN_Zugliste!$A$4:$D$2002,4,FALSE),"")</f>
        <v>462-1.0</v>
      </c>
      <c r="T102" t="str">
        <f>+IFERROR(VLOOKUP(T3,IN_Zugliste!$A$4:$D$2002,4,FALSE),"")</f>
        <v>146-3.2</v>
      </c>
      <c r="U102" t="str">
        <f>+IFERROR(VLOOKUP(U3,IN_Zugliste!$A$4:$D$2002,4,FALSE),"")</f>
        <v>146-3.2</v>
      </c>
      <c r="V102" t="str">
        <f>+IFERROR(VLOOKUP(V3,IN_Zugliste!$A$4:$D$2002,4,FALSE),"")</f>
        <v>101-3.0</v>
      </c>
      <c r="W102" t="str">
        <f>+IFERROR(VLOOKUP(W3,IN_Zugliste!$A$4:$D$2002,4,FALSE),"")</f>
        <v>101-3.0</v>
      </c>
      <c r="X102" t="str">
        <f>+IFERROR(VLOOKUP(X3,IN_Zugliste!$A$4:$D$2002,4,FALSE),"")</f>
        <v>101-3.0</v>
      </c>
      <c r="Y102" t="str">
        <f>+IFERROR(VLOOKUP(Y3,IN_Zugliste!$A$4:$D$2002,4,FALSE),"")</f>
        <v>146-3.2</v>
      </c>
      <c r="Z102" t="str">
        <f>+IFERROR(VLOOKUP(Z3,IN_Zugliste!$A$4:$D$2002,4,FALSE),"")</f>
        <v>146-3.2</v>
      </c>
      <c r="AA102" t="str">
        <f>+IFERROR(VLOOKUP(AA3,IN_Zugliste!$A$4:$D$2002,4,FALSE),"")</f>
        <v>146-3.2</v>
      </c>
      <c r="AB102" t="str">
        <f>+IFERROR(VLOOKUP(AB3,IN_Zugliste!$A$4:$D$2002,4,FALSE),"")</f>
        <v>101-3.0</v>
      </c>
      <c r="AC102" t="str">
        <f>+IFERROR(VLOOKUP(AC3,IN_Zugliste!$A$4:$D$2002,4,FALSE),"")</f>
        <v>462-1.0</v>
      </c>
      <c r="AD102" t="str">
        <f>+IFERROR(VLOOKUP(AD3,IN_Zugliste!$A$4:$D$2002,4,FALSE),"")</f>
        <v>462-1.0</v>
      </c>
      <c r="AE102" t="str">
        <f>+IFERROR(VLOOKUP(AE3,IN_Zugliste!$A$4:$D$2002,4,FALSE),"")</f>
        <v>146-3.2</v>
      </c>
      <c r="AF102" t="str">
        <f>+IFERROR(VLOOKUP(AF3,IN_Zugliste!$A$4:$D$2002,4,FALSE),"")</f>
        <v>146-3.2</v>
      </c>
      <c r="AG102" t="str">
        <f>+IFERROR(VLOOKUP(AG3,IN_Zugliste!$A$4:$D$2002,4,FALSE),"")</f>
        <v>101-3.0</v>
      </c>
      <c r="AH102" t="str">
        <f>+IFERROR(VLOOKUP(AH3,IN_Zugliste!$A$4:$D$2002,4,FALSE),"")</f>
        <v>462-1.0</v>
      </c>
      <c r="AI102" t="str">
        <f>+IFERROR(VLOOKUP(AI3,IN_Zugliste!$A$4:$D$2002,4,FALSE),"")</f>
        <v>146-3.2</v>
      </c>
      <c r="AJ102" t="str">
        <f>+IFERROR(VLOOKUP(AJ3,IN_Zugliste!$A$4:$D$2002,4,FALSE),"")</f>
        <v>101-3.0</v>
      </c>
      <c r="AK102" t="str">
        <f>+IFERROR(VLOOKUP(AK3,IN_Zugliste!$A$4:$D$2002,4,FALSE),"")</f>
        <v>146-3.2</v>
      </c>
      <c r="AL102" t="str">
        <f>+IFERROR(VLOOKUP(AL3,IN_Zugliste!$A$4:$D$2002,4,FALSE),"")</f>
        <v>146-3.2</v>
      </c>
      <c r="AM102" t="str">
        <f>+IFERROR(VLOOKUP(AM3,IN_Zugliste!$A$4:$D$2002,4,FALSE),"")</f>
        <v>462-1.0</v>
      </c>
      <c r="AN102" t="str">
        <f>+IFERROR(VLOOKUP(AN3,IN_Zugliste!$A$4:$D$2002,4,FALSE),"")</f>
        <v>146-3.2</v>
      </c>
      <c r="AO102" t="str">
        <f>+IFERROR(VLOOKUP(AO3,IN_Zugliste!$A$4:$D$2002,4,FALSE),"")</f>
        <v>146-3.2</v>
      </c>
      <c r="AP102" t="str">
        <f>+IFERROR(VLOOKUP(AP3,IN_Zugliste!$A$4:$D$2002,4,FALSE),"")</f>
        <v>462-1.0</v>
      </c>
      <c r="AQ102" t="str">
        <f>+IFERROR(VLOOKUP(AQ3,IN_Zugliste!$A$4:$D$2002,4,FALSE),"")</f>
        <v>146-3.2</v>
      </c>
      <c r="AR102" t="str">
        <f>+IFERROR(VLOOKUP(AR3,IN_Zugliste!$A$4:$D$2002,4,FALSE),"")</f>
        <v>462-1.0</v>
      </c>
      <c r="AS102" t="str">
        <f>+IFERROR(VLOOKUP(AS3,IN_Zugliste!$A$4:$D$2002,4,FALSE),"")</f>
        <v>146-3.2</v>
      </c>
      <c r="AT102" t="str">
        <f>+IFERROR(VLOOKUP(AT3,IN_Zugliste!$A$4:$D$2002,4,FALSE),"")</f>
        <v>462-1.0</v>
      </c>
      <c r="AU102" t="str">
        <f>+IFERROR(VLOOKUP(AU3,IN_Zugliste!$A$4:$D$2002,4,FALSE),"")</f>
        <v>462-1.0</v>
      </c>
      <c r="AV102" t="str">
        <f>+IFERROR(VLOOKUP(AV3,IN_Zugliste!$A$4:$D$2002,4,FALSE),"")</f>
        <v>462-1.0</v>
      </c>
      <c r="AW102" t="str">
        <f>+IFERROR(VLOOKUP(AW3,IN_Zugliste!$A$4:$D$2002,4,FALSE),"")</f>
        <v>462-1.0</v>
      </c>
      <c r="AX102" t="str">
        <f>+IFERROR(VLOOKUP(AX3,IN_Zugliste!$A$4:$D$2002,4,FALSE),"")</f>
        <v>146-3.2</v>
      </c>
      <c r="AY102" t="str">
        <f>+IFERROR(VLOOKUP(AY3,IN_Zugliste!$A$4:$D$2002,4,FALSE),"")</f>
        <v>462-1.0</v>
      </c>
      <c r="AZ102" t="str">
        <f>+IFERROR(VLOOKUP(AZ3,IN_Zugliste!$A$4:$D$2002,4,FALSE),"")</f>
        <v>462-1.0</v>
      </c>
      <c r="BA102" t="str">
        <f>+IFERROR(VLOOKUP(BA3,IN_Zugliste!$A$4:$D$2002,4,FALSE),"")</f>
        <v>462-1.0</v>
      </c>
      <c r="BB102" t="str">
        <f>+IFERROR(VLOOKUP(BB3,IN_Zugliste!$A$4:$D$2002,4,FALSE),"")</f>
        <v>462-1.0</v>
      </c>
      <c r="BC102" t="str">
        <f>+IFERROR(VLOOKUP(BC3,IN_Zugliste!$A$4:$D$2002,4,FALSE),"")</f>
        <v>146-3.2</v>
      </c>
      <c r="BD102" t="str">
        <f>+IFERROR(VLOOKUP(BD3,IN_Zugliste!$A$4:$D$2002,4,FALSE),"")</f>
        <v>146-3.2</v>
      </c>
      <c r="BE102" t="str">
        <f>+IFERROR(VLOOKUP(BE3,IN_Zugliste!$A$4:$D$2002,4,FALSE),"")</f>
        <v>462-1.0</v>
      </c>
      <c r="BF102" t="str">
        <f>+IFERROR(VLOOKUP(BF3,IN_Zugliste!$A$4:$D$2002,4,FALSE),"")</f>
        <v>462-1.0</v>
      </c>
      <c r="BG102" t="str">
        <f>+IFERROR(VLOOKUP(BG3,IN_Zugliste!$A$4:$D$2002,4,FALSE),"")</f>
        <v>146-3.2</v>
      </c>
      <c r="BH102" t="str">
        <f>+IFERROR(VLOOKUP(BH3,IN_Zugliste!$A$4:$D$2002,4,FALSE),"")</f>
        <v>462-1.0</v>
      </c>
      <c r="BI102" t="str">
        <f>+IFERROR(VLOOKUP(BI3,IN_Zugliste!$A$4:$D$2002,4,FALSE),"")</f>
        <v>462-1.0</v>
      </c>
      <c r="BJ102" t="str">
        <f>+IFERROR(VLOOKUP(BJ3,IN_Zugliste!$A$4:$D$2002,4,FALSE),"")</f>
        <v>462-1.0</v>
      </c>
      <c r="BK102" t="str">
        <f>+IFERROR(VLOOKUP(BK3,IN_Zugliste!$A$4:$D$2002,4,FALSE),"")</f>
        <v>462-1.0</v>
      </c>
      <c r="BL102" t="str">
        <f>+IFERROR(VLOOKUP(BL3,IN_Zugliste!$A$4:$D$2002,4,FALSE),"")</f>
        <v>462-1.0</v>
      </c>
      <c r="BM102" t="str">
        <f>+IFERROR(VLOOKUP(BM3,IN_Zugliste!$A$4:$D$2002,4,FALSE),"")</f>
        <v>462-1.0</v>
      </c>
      <c r="BN102" t="str">
        <f>+IFERROR(VLOOKUP(BN3,IN_Zugliste!$A$4:$D$2002,4,FALSE),"")</f>
        <v>462-1.0</v>
      </c>
      <c r="BO102" t="str">
        <f>+IFERROR(VLOOKUP(BO3,IN_Zugliste!$A$4:$D$2002,4,FALSE),"")</f>
        <v>146-3.2</v>
      </c>
      <c r="BP102" t="str">
        <f>+IFERROR(VLOOKUP(BP3,IN_Zugliste!$A$4:$D$2002,4,FALSE),"")</f>
        <v>462-1.0</v>
      </c>
      <c r="BQ102" t="str">
        <f>+IFERROR(VLOOKUP(BQ3,IN_Zugliste!$A$4:$D$2002,4,FALSE),"")</f>
        <v>462-1.0</v>
      </c>
      <c r="BR102" t="str">
        <f>+IFERROR(VLOOKUP(BR3,IN_Zugliste!$A$4:$D$2002,4,FALSE),"")</f>
        <v>146-3.2</v>
      </c>
      <c r="BS102" t="str">
        <f>+IFERROR(VLOOKUP(BS3,IN_Zugliste!$A$4:$D$2002,4,FALSE),"")</f>
        <v>462-1.0</v>
      </c>
      <c r="BT102" t="str">
        <f>+IFERROR(VLOOKUP(BT3,IN_Zugliste!$A$4:$D$2002,4,FALSE),"")</f>
        <v>462-1.0</v>
      </c>
      <c r="BU102" t="str">
        <f>+IFERROR(VLOOKUP(BU3,IN_Zugliste!$A$4:$D$2002,4,FALSE),"")</f>
        <v>462-1.0</v>
      </c>
      <c r="BV102" t="str">
        <f>+IFERROR(VLOOKUP(BV3,IN_Zugliste!$A$4:$D$2002,4,FALSE),"")</f>
        <v>462-1.0</v>
      </c>
      <c r="BW102" t="str">
        <f>+IFERROR(VLOOKUP(BW3,IN_Zugliste!$A$4:$D$2002,4,FALSE),"")</f>
        <v>462-1.0</v>
      </c>
      <c r="BX102" t="str">
        <f>+IFERROR(VLOOKUP(BX3,IN_Zugliste!$A$4:$D$2002,4,FALSE),"")</f>
        <v>462-1.0</v>
      </c>
      <c r="BY102" t="str">
        <f>+IFERROR(VLOOKUP(BY3,IN_Zugliste!$A$4:$D$2002,4,FALSE),"")</f>
        <v>146-3.2</v>
      </c>
      <c r="BZ102" t="str">
        <f>+IFERROR(VLOOKUP(BZ3,IN_Zugliste!$A$4:$D$2002,4,FALSE),"")</f>
        <v>462-1.0</v>
      </c>
      <c r="CA102" t="str">
        <f>+IFERROR(VLOOKUP(CA3,IN_Zugliste!$A$4:$D$2002,4,FALSE),"")</f>
        <v>146-3.2</v>
      </c>
      <c r="CB102" t="str">
        <f>+IFERROR(VLOOKUP(CB3,IN_Zugliste!$A$4:$D$2002,4,FALSE),"")</f>
        <v>462-1.0</v>
      </c>
      <c r="CC102" t="str">
        <f>+IFERROR(VLOOKUP(CC3,IN_Zugliste!$A$4:$D$2002,4,FALSE),"")</f>
        <v>462-1.0</v>
      </c>
      <c r="CD102" t="str">
        <f>+IFERROR(VLOOKUP(CD3,IN_Zugliste!$A$4:$D$2002,4,FALSE),"")</f>
        <v>462-1.0</v>
      </c>
      <c r="CE102" t="str">
        <f>+IFERROR(VLOOKUP(CE3,IN_Zugliste!$A$4:$D$2002,4,FALSE),"")</f>
        <v>462-1.0</v>
      </c>
      <c r="CF102" t="str">
        <f>+IFERROR(VLOOKUP(CF3,IN_Zugliste!$A$4:$D$2002,4,FALSE),"")</f>
        <v>462-1.0</v>
      </c>
      <c r="CG102" t="str">
        <f>+IFERROR(VLOOKUP(CG3,IN_Zugliste!$A$4:$D$2002,4,FALSE),"")</f>
        <v>462-1.0</v>
      </c>
      <c r="CH102" t="str">
        <f>+IFERROR(VLOOKUP(CH3,IN_Zugliste!$A$4:$D$2002,4,FALSE),"")</f>
        <v>146-3.2</v>
      </c>
      <c r="CI102" t="str">
        <f>+IFERROR(VLOOKUP(CI3,IN_Zugliste!$A$4:$D$2002,4,FALSE),"")</f>
        <v>462-1.0</v>
      </c>
      <c r="CJ102" t="str">
        <f>+IFERROR(VLOOKUP(CJ3,IN_Zugliste!$A$4:$D$2002,4,FALSE),"")</f>
        <v>462-1.0</v>
      </c>
      <c r="CK102" t="str">
        <f>+IFERROR(VLOOKUP(CK3,IN_Zugliste!$A$4:$D$2002,4,FALSE),"")</f>
        <v>462-1.0</v>
      </c>
      <c r="CL102" t="str">
        <f>+IFERROR(VLOOKUP(CL3,IN_Zugliste!$A$4:$D$2002,4,FALSE),"")</f>
        <v>462-1.0</v>
      </c>
      <c r="CM102" t="str">
        <f>+IFERROR(VLOOKUP(CM3,IN_Zugliste!$A$4:$D$2002,4,FALSE),"")</f>
        <v>462-1.0</v>
      </c>
      <c r="CN102" t="str">
        <f>+IFERROR(VLOOKUP(CN3,IN_Zugliste!$A$4:$D$2002,4,FALSE),"")</f>
        <v>462-1.0</v>
      </c>
      <c r="CO102" t="str">
        <f>+IFERROR(VLOOKUP(CO3,IN_Zugliste!$A$4:$D$2002,4,FALSE),"")</f>
        <v>462-1.0</v>
      </c>
      <c r="CP102" t="str">
        <f>+IFERROR(VLOOKUP(CP3,IN_Zugliste!$A$4:$D$2002,4,FALSE),"")</f>
        <v>462-1.0</v>
      </c>
      <c r="CQ102" t="str">
        <f>+IFERROR(VLOOKUP(CQ3,IN_Zugliste!$A$4:$D$2002,4,FALSE),"")</f>
        <v>462-1.0</v>
      </c>
      <c r="CR102" t="str">
        <f>+IFERROR(VLOOKUP(CR3,IN_Zugliste!$A$4:$D$2002,4,FALSE),"")</f>
        <v>462-1.0</v>
      </c>
      <c r="CS102" t="str">
        <f>+IFERROR(VLOOKUP(CS3,IN_Zugliste!$A$4:$D$2002,4,FALSE),"")</f>
        <v>462-1.0</v>
      </c>
      <c r="CT102" t="str">
        <f>+IFERROR(VLOOKUP(CT3,IN_Zugliste!$A$4:$D$2002,4,FALSE),"")</f>
        <v>462-1.0</v>
      </c>
      <c r="CU102" t="str">
        <f>+IFERROR(VLOOKUP(CU3,IN_Zugliste!$A$4:$D$2002,4,FALSE),"")</f>
        <v>462-1.0</v>
      </c>
      <c r="CV102" t="str">
        <f>+IFERROR(VLOOKUP(CV3,IN_Zugliste!$A$4:$D$2002,4,FALSE),"")</f>
        <v>462-1.0</v>
      </c>
      <c r="CW102" t="str">
        <f>+IFERROR(VLOOKUP(CW3,IN_Zugliste!$A$4:$D$2002,4,FALSE),"")</f>
        <v>462-1.0</v>
      </c>
      <c r="CX102" t="str">
        <f>+IFERROR(VLOOKUP(CX3,IN_Zugliste!$A$4:$D$2002,4,FALSE),"")</f>
        <v>462-1.0</v>
      </c>
      <c r="CY102" t="str">
        <f>+IFERROR(VLOOKUP(CY3,IN_Zugliste!$A$4:$D$2002,4,FALSE),"")</f>
        <v>462-1.0</v>
      </c>
      <c r="CZ102" t="str">
        <f>+IFERROR(VLOOKUP(CZ3,IN_Zugliste!$A$4:$D$2002,4,FALSE),"")</f>
        <v>462-1.0</v>
      </c>
      <c r="DA102" t="str">
        <f>+IFERROR(VLOOKUP(DA3,IN_Zugliste!$A$4:$D$2002,4,FALSE),"")</f>
        <v>146-3.2</v>
      </c>
      <c r="DB102" t="str">
        <f>+IFERROR(VLOOKUP(DB3,IN_Zugliste!$A$4:$D$2002,4,FALSE),"")</f>
        <v>462-1.0</v>
      </c>
      <c r="DC102" t="str">
        <f>+IFERROR(VLOOKUP(DC3,IN_Zugliste!$A$4:$D$2002,4,FALSE),"")</f>
        <v>462-1.0</v>
      </c>
      <c r="DD102" t="str">
        <f>+IFERROR(VLOOKUP(DD3,IN_Zugliste!$A$4:$D$2002,4,FALSE),"")</f>
        <v>462-1.0</v>
      </c>
      <c r="DE102" t="str">
        <f>+IFERROR(VLOOKUP(DE3,IN_Zugliste!$A$4:$D$2002,4,FALSE),"")</f>
        <v>462-1.0</v>
      </c>
      <c r="DF102" t="str">
        <f>+IFERROR(VLOOKUP(DF3,IN_Zugliste!$A$4:$D$2002,4,FALSE),"")</f>
        <v>462-1.0</v>
      </c>
      <c r="DG102" t="str">
        <f>+IFERROR(VLOOKUP(DG3,IN_Zugliste!$A$4:$D$2002,4,FALSE),"")</f>
        <v>462-1.0</v>
      </c>
      <c r="DH102" t="str">
        <f>+IFERROR(VLOOKUP(DH3,IN_Zugliste!$A$4:$D$2002,4,FALSE),"")</f>
        <v>462-1.0</v>
      </c>
      <c r="DI102" t="str">
        <f>+IFERROR(VLOOKUP(DI3,IN_Zugliste!$A$4:$D$2002,4,FALSE),"")</f>
        <v>146-3.2</v>
      </c>
      <c r="DJ102" t="str">
        <f>+IFERROR(VLOOKUP(DJ3,IN_Zugliste!$A$4:$D$2002,4,FALSE),"")</f>
        <v/>
      </c>
      <c r="DK102" t="str">
        <f>+IFERROR(VLOOKUP(DK3,IN_Zugliste!$A$4:$D$2002,4,FALSE),"")</f>
        <v/>
      </c>
      <c r="DL102" t="str">
        <f>+IFERROR(VLOOKUP(DL3,IN_Zugliste!$A$4:$D$2002,4,FALSE),"")</f>
        <v/>
      </c>
      <c r="DM102" t="str">
        <f>+IFERROR(VLOOKUP(DM3,IN_Zugliste!$A$4:$D$2002,4,FALSE),"")</f>
        <v/>
      </c>
      <c r="DN102" t="str">
        <f>+IFERROR(VLOOKUP(DN3,IN_Zugliste!$A$4:$D$2002,4,FALSE),"")</f>
        <v/>
      </c>
      <c r="DO102" t="str">
        <f>+IFERROR(VLOOKUP(DO3,IN_Zugliste!$A$4:$D$2002,4,FALSE),"")</f>
        <v/>
      </c>
      <c r="DP102" t="str">
        <f>+IFERROR(VLOOKUP(DP3,IN_Zugliste!$A$4:$D$2002,4,FALSE),"")</f>
        <v/>
      </c>
      <c r="DQ102" t="str">
        <f>+IFERROR(VLOOKUP(DQ3,IN_Zugliste!$A$4:$D$2002,4,FALSE),"")</f>
        <v/>
      </c>
      <c r="DR102" t="str">
        <f>+IFERROR(VLOOKUP(DR3,IN_Zugliste!$A$4:$D$2002,4,FALSE),"")</f>
        <v/>
      </c>
      <c r="DS102" t="str">
        <f>+IFERROR(VLOOKUP(DS3,IN_Zugliste!$A$4:$D$2002,4,FALSE),"")</f>
        <v/>
      </c>
      <c r="DT102" t="str">
        <f>+IFERROR(VLOOKUP(DT3,IN_Zugliste!$A$4:$D$2002,4,FALSE),"")</f>
        <v/>
      </c>
      <c r="DU102" t="str">
        <f>+IFERROR(VLOOKUP(DU3,IN_Zugliste!$A$4:$D$2002,4,FALSE),"")</f>
        <v/>
      </c>
      <c r="DV102" t="str">
        <f>+IFERROR(VLOOKUP(DV3,IN_Zugliste!$A$4:$D$2002,4,FALSE),"")</f>
        <v/>
      </c>
      <c r="DW102" t="str">
        <f>+IFERROR(VLOOKUP(DW3,IN_Zugliste!$A$4:$D$2002,4,FALSE),"")</f>
        <v/>
      </c>
      <c r="DX102" t="str">
        <f>+IFERROR(VLOOKUP(DX3,IN_Zugliste!$A$4:$D$2002,4,FALSE),"")</f>
        <v/>
      </c>
      <c r="DY102" t="str">
        <f>+IFERROR(VLOOKUP(DY3,IN_Zugliste!$A$4:$D$2002,4,FALSE),"")</f>
        <v/>
      </c>
      <c r="DZ102" t="str">
        <f>+IFERROR(VLOOKUP(DZ3,IN_Zugliste!$A$4:$D$2002,4,FALSE),"")</f>
        <v/>
      </c>
      <c r="EA102" t="str">
        <f>+IFERROR(VLOOKUP(EA3,IN_Zugliste!$A$4:$D$2002,4,FALSE),"")</f>
        <v/>
      </c>
      <c r="EB102" t="str">
        <f>+IFERROR(VLOOKUP(EB3,IN_Zugliste!$A$4:$D$2002,4,FALSE),"")</f>
        <v/>
      </c>
      <c r="EC102" t="str">
        <f>+IFERROR(VLOOKUP(EC3,IN_Zugliste!$A$4:$D$2002,4,FALSE),"")</f>
        <v/>
      </c>
      <c r="ED102" t="str">
        <f>+IFERROR(VLOOKUP(ED3,IN_Zugliste!$A$4:$D$2002,4,FALSE),"")</f>
        <v/>
      </c>
      <c r="EE102" t="str">
        <f>+IFERROR(VLOOKUP(EE3,IN_Zugliste!$A$4:$D$2002,4,FALSE),"")</f>
        <v/>
      </c>
      <c r="EF102" t="str">
        <f>+IFERROR(VLOOKUP(EF3,IN_Zugliste!$A$4:$D$2002,4,FALSE),"")</f>
        <v/>
      </c>
      <c r="EG102" t="str">
        <f>+IFERROR(VLOOKUP(EG3,IN_Zugliste!$A$4:$D$2002,4,FALSE),"")</f>
        <v/>
      </c>
      <c r="EH102" t="str">
        <f>+IFERROR(VLOOKUP(EH3,IN_Zugliste!$A$4:$D$2002,4,FALSE),"")</f>
        <v/>
      </c>
      <c r="EI102" t="str">
        <f>+IFERROR(VLOOKUP(EI3,IN_Zugliste!$A$4:$D$2002,4,FALSE),"")</f>
        <v/>
      </c>
      <c r="EJ102" t="str">
        <f>+IFERROR(VLOOKUP(EJ3,IN_Zugliste!$A$4:$D$2002,4,FALSE),"")</f>
        <v/>
      </c>
      <c r="EK102" t="str">
        <f>+IFERROR(VLOOKUP(EK3,IN_Zugliste!$A$4:$D$2002,4,FALSE),"")</f>
        <v/>
      </c>
      <c r="EL102" t="str">
        <f>+IFERROR(VLOOKUP(EL3,IN_Zugliste!$A$4:$D$2002,4,FALSE),"")</f>
        <v/>
      </c>
      <c r="EM102" t="str">
        <f>+IFERROR(VLOOKUP(EM3,IN_Zugliste!$A$4:$D$2002,4,FALSE),"")</f>
        <v/>
      </c>
      <c r="EN102" t="str">
        <f>+IFERROR(VLOOKUP(EN3,IN_Zugliste!$A$4:$D$2002,4,FALSE),"")</f>
        <v/>
      </c>
      <c r="EO102" t="str">
        <f>+IFERROR(VLOOKUP(EO3,IN_Zugliste!$A$4:$D$2002,4,FALSE),"")</f>
        <v/>
      </c>
      <c r="EP102" t="str">
        <f>+IFERROR(VLOOKUP(EP3,IN_Zugliste!$A$4:$D$2002,4,FALSE),"")</f>
        <v/>
      </c>
      <c r="EQ102" t="str">
        <f>+IFERROR(VLOOKUP(EQ3,IN_Zugliste!$A$4:$D$2002,4,FALSE),"")</f>
        <v/>
      </c>
      <c r="ER102" t="str">
        <f>+IFERROR(VLOOKUP(ER3,IN_Zugliste!$A$4:$D$2002,4,FALSE),"")</f>
        <v/>
      </c>
      <c r="ES102" t="str">
        <f>+IFERROR(VLOOKUP(ES3,IN_Zugliste!$A$4:$D$2002,4,FALSE),"")</f>
        <v/>
      </c>
      <c r="ET102" t="str">
        <f>+IFERROR(VLOOKUP(ET3,IN_Zugliste!$A$4:$D$2002,4,FALSE),"")</f>
        <v/>
      </c>
      <c r="EU102" t="str">
        <f>+IFERROR(VLOOKUP(EU3,IN_Zugliste!$A$4:$D$2002,4,FALSE),"")</f>
        <v/>
      </c>
      <c r="EV102" t="str">
        <f>+IFERROR(VLOOKUP(EV3,IN_Zugliste!$A$4:$D$2002,4,FALSE),"")</f>
        <v/>
      </c>
      <c r="EW102" t="str">
        <f>+IFERROR(VLOOKUP(EW3,IN_Zugliste!$A$4:$D$2002,4,FALSE),"")</f>
        <v/>
      </c>
      <c r="EX102" t="str">
        <f>+IFERROR(VLOOKUP(EX3,IN_Zugliste!$A$4:$D$2002,4,FALSE),"")</f>
        <v/>
      </c>
      <c r="EY102" t="str">
        <f>+IFERROR(VLOOKUP(EY3,IN_Zugliste!$A$4:$D$2002,4,FALSE),"")</f>
        <v/>
      </c>
      <c r="EZ102" t="str">
        <f>+IFERROR(VLOOKUP(EZ3,IN_Zugliste!$A$4:$D$2002,4,FALSE),"")</f>
        <v/>
      </c>
      <c r="FA102" t="str">
        <f>+IFERROR(VLOOKUP(FA3,IN_Zugliste!$A$4:$D$2002,4,FALSE),"")</f>
        <v/>
      </c>
      <c r="FB102" t="str">
        <f>+IFERROR(VLOOKUP(FB3,IN_Zugliste!$A$4:$D$2002,4,FALSE),"")</f>
        <v/>
      </c>
      <c r="FC102" t="str">
        <f>+IFERROR(VLOOKUP(FC3,IN_Zugliste!$A$4:$D$2002,4,FALSE),"")</f>
        <v/>
      </c>
      <c r="FD102" t="str">
        <f>+IFERROR(VLOOKUP(FD3,IN_Zugliste!$A$4:$D$2002,4,FALSE),"")</f>
        <v/>
      </c>
      <c r="FE102" t="str">
        <f>+IFERROR(VLOOKUP(FE3,IN_Zugliste!$A$4:$D$2002,4,FALSE),"")</f>
        <v/>
      </c>
      <c r="FF102" t="str">
        <f>+IFERROR(VLOOKUP(FF3,IN_Zugliste!$A$4:$D$2002,4,FALSE),"")</f>
        <v/>
      </c>
      <c r="FG102" t="str">
        <f>+IFERROR(VLOOKUP(FG3,IN_Zugliste!$A$4:$D$2002,4,FALSE),"")</f>
        <v/>
      </c>
      <c r="FH102" t="str">
        <f>+IFERROR(VLOOKUP(FH3,IN_Zugliste!$A$4:$D$2002,4,FALSE),"")</f>
        <v/>
      </c>
      <c r="FI102" t="str">
        <f>+IFERROR(VLOOKUP(FI3,IN_Zugliste!$A$4:$D$2002,4,FALSE),"")</f>
        <v/>
      </c>
      <c r="FJ102" t="str">
        <f>+IFERROR(VLOOKUP(FJ3,IN_Zugliste!$A$4:$D$2002,4,FALSE),"")</f>
        <v/>
      </c>
      <c r="FK102" t="str">
        <f>+IFERROR(VLOOKUP(FK3,IN_Zugliste!$A$4:$D$2002,4,FALSE),"")</f>
        <v/>
      </c>
      <c r="FL102" t="str">
        <f>+IFERROR(VLOOKUP(FL3,IN_Zugliste!$A$4:$D$2002,4,FALSE),"")</f>
        <v/>
      </c>
      <c r="FM102" t="str">
        <f>+IFERROR(VLOOKUP(FM3,IN_Zugliste!$A$4:$C$2002,4,FALSE),"")</f>
        <v/>
      </c>
      <c r="FN102" t="str">
        <f>+IFERROR(VLOOKUP(FN3,IN_Zugliste!$A$4:$C$2002,4,FALSE),"")</f>
        <v/>
      </c>
      <c r="FO102" t="str">
        <f>+IFERROR(VLOOKUP(FO3,IN_Zugliste!$A$4:$C$2002,4,FALSE),"")</f>
        <v/>
      </c>
      <c r="FP102" t="str">
        <f>+IFERROR(VLOOKUP(FP3,IN_Zugliste!$A$4:$C$2002,4,FALSE),"")</f>
        <v/>
      </c>
      <c r="FQ102" t="str">
        <f>+IFERROR(VLOOKUP(FQ3,IN_Zugliste!$A$4:$C$2002,4,FALSE),"")</f>
        <v/>
      </c>
      <c r="FR102" t="str">
        <f>+IFERROR(VLOOKUP(FR3,IN_Zugliste!$A$4:$C$2002,4,FALSE),"")</f>
        <v/>
      </c>
      <c r="FS102" t="str">
        <f>+IFERROR(VLOOKUP(FS3,IN_Zugliste!$A$4:$C$2002,4,FALSE),"")</f>
        <v/>
      </c>
      <c r="FT102" t="str">
        <f>+IFERROR(VLOOKUP(FT3,IN_Zugliste!$A$4:$C$2002,4,FALSE),"")</f>
        <v/>
      </c>
      <c r="FU102" t="str">
        <f>+IFERROR(VLOOKUP(FU3,IN_Zugliste!$A$4:$C$2002,4,FALSE),"")</f>
        <v/>
      </c>
      <c r="FV102" t="str">
        <f>+IFERROR(VLOOKUP(FV3,IN_Zugliste!$A$4:$C$2002,4,FALSE),"")</f>
        <v/>
      </c>
      <c r="FW102" t="str">
        <f>+IFERROR(VLOOKUP(FW3,IN_Zugliste!$A$4:$C$2002,4,FALSE),"")</f>
        <v/>
      </c>
      <c r="FX102" t="str">
        <f>+IFERROR(VLOOKUP(FX3,IN_Zugliste!$A$4:$C$2002,4,FALSE),"")</f>
        <v/>
      </c>
      <c r="FY102" t="str">
        <f>+IFERROR(VLOOKUP(FY3,IN_Zugliste!$A$4:$C$2002,4,FALSE),"")</f>
        <v/>
      </c>
      <c r="FZ102" t="str">
        <f>+IFERROR(VLOOKUP(FZ3,IN_Zugliste!$A$4:$C$2002,4,FALSE),"")</f>
        <v/>
      </c>
      <c r="GA102" t="str">
        <f>+IFERROR(VLOOKUP(GA3,IN_Zugliste!$A$4:$C$2002,4,FALSE),"")</f>
        <v/>
      </c>
      <c r="GB102" t="str">
        <f>+IFERROR(VLOOKUP(GB3,IN_Zugliste!$A$4:$C$2002,4,FALSE),"")</f>
        <v/>
      </c>
      <c r="GC102" t="str">
        <f>+IFERROR(VLOOKUP(GC3,IN_Zugliste!$A$4:$C$2002,4,FALSE),"")</f>
        <v/>
      </c>
      <c r="GD102" t="str">
        <f>+IFERROR(VLOOKUP(GD3,IN_Zugliste!$A$4:$C$2002,4,FALSE),"")</f>
        <v/>
      </c>
      <c r="GE102" t="str">
        <f>+IFERROR(VLOOKUP(GE3,IN_Zugliste!$A$4:$C$2002,4,FALSE),"")</f>
        <v/>
      </c>
      <c r="GF102" t="str">
        <f>+IFERROR(VLOOKUP(GF3,IN_Zugliste!$A$4:$C$2002,4,FALSE),"")</f>
        <v/>
      </c>
      <c r="GG102" t="str">
        <f>+IFERROR(VLOOKUP(GG3,IN_Zugliste!$A$4:$C$2002,4,FALSE),"")</f>
        <v/>
      </c>
      <c r="GH102" t="str">
        <f>+IFERROR(VLOOKUP(GH3,IN_Zugliste!$A$4:$C$2002,4,FALSE),"")</f>
        <v/>
      </c>
      <c r="GI102" t="str">
        <f>+IFERROR(VLOOKUP(GI3,IN_Zugliste!$A$4:$C$2002,4,FALSE),"")</f>
        <v/>
      </c>
      <c r="GJ102" t="str">
        <f>+IFERROR(VLOOKUP(GJ3,IN_Zugliste!$A$4:$C$2002,4,FALSE),"")</f>
        <v/>
      </c>
      <c r="GK102" t="str">
        <f>+IFERROR(VLOOKUP(GK3,IN_Zugliste!$A$4:$C$2002,4,FALSE),"")</f>
        <v/>
      </c>
      <c r="GL102" t="str">
        <f>+IFERROR(VLOOKUP(GL3,IN_Zugliste!$A$4:$C$2002,4,FALSE),"")</f>
        <v/>
      </c>
      <c r="GM102" t="str">
        <f>+IFERROR(VLOOKUP(GM3,IN_Zugliste!$A$4:$C$2002,4,FALSE),"")</f>
        <v/>
      </c>
      <c r="GN102" t="str">
        <f>+IFERROR(VLOOKUP(GN3,IN_Zugliste!$A$4:$C$2002,4,FALSE),"")</f>
        <v/>
      </c>
      <c r="GO102" t="str">
        <f>+IFERROR(VLOOKUP(GO3,IN_Zugliste!$A$4:$C$2002,4,FALSE),"")</f>
        <v/>
      </c>
      <c r="GP102" t="str">
        <f>+IFERROR(VLOOKUP(GP3,IN_Zugliste!$A$4:$C$2002,4,FALSE),"")</f>
        <v/>
      </c>
      <c r="GQ102" t="str">
        <f>+IFERROR(VLOOKUP(GQ3,IN_Zugliste!$A$4:$C$2002,4,FALSE),"")</f>
        <v/>
      </c>
      <c r="GR102" t="str">
        <f>+IFERROR(VLOOKUP(GR3,IN_Zugliste!$A$4:$C$2002,4,FALSE),"")</f>
        <v/>
      </c>
      <c r="GS102" t="str">
        <f>+IFERROR(VLOOKUP(GS3,IN_Zugliste!$A$4:$C$2002,4,FALSE),"")</f>
        <v/>
      </c>
      <c r="GT102" t="str">
        <f>+IFERROR(VLOOKUP(GT3,IN_Zugliste!$A$4:$C$2002,4,FALSE),"")</f>
        <v/>
      </c>
      <c r="GU102" t="str">
        <f>+IFERROR(VLOOKUP(GU3,IN_Zugliste!$A$4:$C$2002,4,FALSE),"")</f>
        <v/>
      </c>
      <c r="GV102" t="str">
        <f>+IFERROR(VLOOKUP(GV3,IN_Zugliste!$A$4:$C$2002,4,FALSE),"")</f>
        <v/>
      </c>
      <c r="GW102" t="str">
        <f>+IFERROR(VLOOKUP(GW3,IN_Zugliste!$A$4:$C$2002,4,FALSE),"")</f>
        <v/>
      </c>
      <c r="GX102" t="str">
        <f>+IFERROR(VLOOKUP(GX3,IN_Zugliste!$A$4:$C$2002,4,FALSE),"")</f>
        <v/>
      </c>
      <c r="GY102" t="str">
        <f>+IFERROR(VLOOKUP(GY3,IN_Zugliste!$A$4:$C$2002,4,FALSE),"")</f>
        <v/>
      </c>
      <c r="GZ102" t="str">
        <f>+IFERROR(VLOOKUP(GZ3,IN_Zugliste!$A$4:$C$2002,4,FALSE),"")</f>
        <v/>
      </c>
      <c r="HA102" t="str">
        <f>+IFERROR(VLOOKUP(HA3,IN_Zugliste!$A$4:$C$2002,4,FALSE),"")</f>
        <v/>
      </c>
      <c r="HB102" t="str">
        <f>+IFERROR(VLOOKUP(HB3,IN_Zugliste!$A$4:$C$2002,4,FALSE),"")</f>
        <v/>
      </c>
      <c r="HC102" t="str">
        <f>+IFERROR(VLOOKUP(HC3,IN_Zugliste!$A$4:$C$2002,4,FALSE),"")</f>
        <v/>
      </c>
      <c r="HD102" t="str">
        <f>+IFERROR(VLOOKUP(HD3,IN_Zugliste!$A$4:$C$2002,4,FALSE),"")</f>
        <v/>
      </c>
      <c r="HE102" t="str">
        <f>+IFERROR(VLOOKUP(HE3,IN_Zugliste!$A$4:$C$2002,4,FALSE),"")</f>
        <v/>
      </c>
      <c r="HF102" t="str">
        <f>+IFERROR(VLOOKUP(HF3,IN_Zugliste!$A$4:$C$2002,4,FALSE),"")</f>
        <v/>
      </c>
      <c r="HG102" t="str">
        <f>+IFERROR(VLOOKUP(HG3,IN_Zugliste!$A$4:$C$2002,4,FALSE),"")</f>
        <v/>
      </c>
      <c r="HH102" t="str">
        <f>+IFERROR(VLOOKUP(HH3,IN_Zugliste!$A$4:$C$2002,4,FALSE),"")</f>
        <v/>
      </c>
      <c r="HI102" t="str">
        <f>+IFERROR(VLOOKUP(HI3,IN_Zugliste!$A$4:$C$2002,4,FALSE),"")</f>
        <v/>
      </c>
      <c r="HJ102" t="str">
        <f>+IFERROR(VLOOKUP(HJ3,IN_Zugliste!$A$4:$C$2002,4,FALSE),"")</f>
        <v/>
      </c>
      <c r="HK102" t="str">
        <f>+IFERROR(VLOOKUP(HK3,IN_Zugliste!$A$4:$C$2002,4,FALSE),"")</f>
        <v/>
      </c>
      <c r="HL102" t="str">
        <f>+IFERROR(VLOOKUP(HL3,IN_Zugliste!$A$4:$C$2002,4,FALSE),"")</f>
        <v/>
      </c>
      <c r="HM102" t="str">
        <f>+IFERROR(VLOOKUP(HM3,IN_Zugliste!$A$4:$C$2002,4,FALSE),"")</f>
        <v/>
      </c>
      <c r="HN102" t="str">
        <f>+IFERROR(VLOOKUP(HN3,IN_Zugliste!$A$4:$C$2002,4,FALSE),"")</f>
        <v/>
      </c>
      <c r="HO102" t="str">
        <f>+IFERROR(VLOOKUP(HO3,IN_Zugliste!$A$4:$C$2002,4,FALSE),"")</f>
        <v/>
      </c>
      <c r="HP102" t="str">
        <f>+IFERROR(VLOOKUP(HP3,IN_Zugliste!$A$4:$C$2002,4,FALSE),"")</f>
        <v/>
      </c>
      <c r="HQ102" t="str">
        <f>+IFERROR(VLOOKUP(HQ3,IN_Zugliste!$A$4:$C$2002,4,FALSE),"")</f>
        <v/>
      </c>
      <c r="HR102" t="str">
        <f>+IFERROR(VLOOKUP(HR3,IN_Zugliste!$A$4:$C$2002,4,FALSE),"")</f>
        <v/>
      </c>
      <c r="HS102" t="str">
        <f>+IFERROR(VLOOKUP(HS3,IN_Zugliste!$A$4:$C$2002,4,FALSE),"")</f>
        <v/>
      </c>
      <c r="HT102" t="str">
        <f>+IFERROR(VLOOKUP(HT3,IN_Zugliste!$A$4:$C$2002,4,FALSE),"")</f>
        <v/>
      </c>
      <c r="HU102" t="str">
        <f>+IFERROR(VLOOKUP(HU3,IN_Zugliste!$A$4:$C$2002,4,FALSE),"")</f>
        <v/>
      </c>
      <c r="HV102" t="str">
        <f>+IFERROR(VLOOKUP(HV3,IN_Zugliste!$A$4:$C$2002,4,FALSE),"")</f>
        <v/>
      </c>
      <c r="HW102" t="str">
        <f>+IFERROR(VLOOKUP(HW3,IN_Zugliste!$A$4:$C$2002,4,FALSE),"")</f>
        <v/>
      </c>
      <c r="HX102" t="str">
        <f>+IFERROR(VLOOKUP(HX3,IN_Zugliste!$A$4:$C$2002,4,FALSE),"")</f>
        <v/>
      </c>
      <c r="HY102" t="str">
        <f>+IFERROR(VLOOKUP(HY3,IN_Zugliste!$A$4:$C$2002,4,FALSE),"")</f>
        <v/>
      </c>
      <c r="HZ102" t="str">
        <f>+IFERROR(VLOOKUP(HZ3,IN_Zugliste!$A$4:$C$2002,4,FALSE),"")</f>
        <v/>
      </c>
      <c r="IA102" t="str">
        <f>+IFERROR(VLOOKUP(IA3,IN_Zugliste!$A$4:$C$2002,4,FALSE),"")</f>
        <v/>
      </c>
      <c r="IB102" t="str">
        <f>+IFERROR(VLOOKUP(IB3,IN_Zugliste!$A$4:$C$2002,4,FALSE),"")</f>
        <v/>
      </c>
      <c r="IC102" t="str">
        <f>+IFERROR(VLOOKUP(IC3,IN_Zugliste!$A$4:$C$2002,4,FALSE),"")</f>
        <v/>
      </c>
      <c r="ID102" t="str">
        <f>+IFERROR(VLOOKUP(ID3,IN_Zugliste!$A$4:$C$2002,4,FALSE),"")</f>
        <v/>
      </c>
      <c r="IE102" t="str">
        <f>+IFERROR(VLOOKUP(IE3,IN_Zugliste!$A$4:$C$2002,4,FALSE),"")</f>
        <v/>
      </c>
      <c r="IF102" t="str">
        <f>+IFERROR(VLOOKUP(IF3,IN_Zugliste!$A$4:$C$2002,4,FALSE),"")</f>
        <v/>
      </c>
      <c r="IG102" t="str">
        <f>+IFERROR(VLOOKUP(IG3,IN_Zugliste!$A$4:$C$2002,4,FALSE),"")</f>
        <v/>
      </c>
      <c r="IH102" t="str">
        <f>+IFERROR(VLOOKUP(IH3,IN_Zugliste!$A$4:$C$2002,4,FALSE),"")</f>
        <v/>
      </c>
      <c r="II102" t="str">
        <f>+IFERROR(VLOOKUP(II3,IN_Zugliste!$A$4:$C$2002,4,FALSE),"")</f>
        <v/>
      </c>
      <c r="IJ102" t="str">
        <f>+IFERROR(VLOOKUP(IJ3,IN_Zugliste!$A$4:$C$2002,4,FALSE),"")</f>
        <v/>
      </c>
      <c r="IK102" t="str">
        <f>+IFERROR(VLOOKUP(IK3,IN_Zugliste!$A$4:$C$2002,4,FALSE),"")</f>
        <v/>
      </c>
      <c r="IL102" t="str">
        <f>+IFERROR(VLOOKUP(IL3,IN_Zugliste!$A$4:$C$2002,4,FALSE),"")</f>
        <v/>
      </c>
      <c r="IM102" t="str">
        <f>+IFERROR(VLOOKUP(IM3,IN_Zugliste!$A$4:$C$2002,4,FALSE),"")</f>
        <v/>
      </c>
      <c r="IN102" t="str">
        <f>+IFERROR(VLOOKUP(IN3,IN_Zugliste!$A$4:$C$2002,4,FALSE),"")</f>
        <v/>
      </c>
      <c r="IO102" t="str">
        <f>+IFERROR(VLOOKUP(IO3,IN_Zugliste!$A$4:$C$2002,4,FALSE),"")</f>
        <v/>
      </c>
      <c r="IP102" t="str">
        <f>+IFERROR(VLOOKUP(IP3,IN_Zugliste!$A$4:$C$2002,4,FALSE),"")</f>
        <v/>
      </c>
      <c r="IQ102" t="str">
        <f>+IFERROR(VLOOKUP(IQ3,IN_Zugliste!$A$4:$C$2002,4,FALSE),"")</f>
        <v/>
      </c>
      <c r="IR102" t="str">
        <f>+IFERROR(VLOOKUP(IR3,IN_Zugliste!$A$4:$C$2002,4,FALSE),"")</f>
        <v/>
      </c>
      <c r="IS102" t="str">
        <f>+IFERROR(VLOOKUP(IS3,IN_Zugliste!$A$4:$C$2002,4,FALSE),"")</f>
        <v/>
      </c>
      <c r="IT102" t="str">
        <f>+IFERROR(VLOOKUP(IT3,IN_Zugliste!$A$4:$C$2002,4,FALSE),"")</f>
        <v/>
      </c>
      <c r="IU102" t="str">
        <f>+IFERROR(VLOOKUP(IU3,IN_Zugliste!$A$4:$C$2002,4,FALSE),"")</f>
        <v/>
      </c>
      <c r="IV102" t="str">
        <f>+IFERROR(VLOOKUP(IV3,IN_Zugliste!$A$4:$C$2002,4,FALSE),"")</f>
        <v/>
      </c>
      <c r="IW102" t="str">
        <f>+IFERROR(VLOOKUP(IW3,IN_Zugliste!$A$4:$C$2002,4,FALSE),"")</f>
        <v/>
      </c>
      <c r="IX102" t="str">
        <f>+IFERROR(VLOOKUP(IX3,IN_Zugliste!$A$4:$C$2002,4,FALSE),"")</f>
        <v/>
      </c>
      <c r="IY102" t="str">
        <f>+IFERROR(VLOOKUP(IY3,IN_Zugliste!$A$4:$C$2002,4,FALSE),"")</f>
        <v/>
      </c>
      <c r="IZ102" t="str">
        <f>+IFERROR(VLOOKUP(IZ3,IN_Zugliste!$A$4:$C$2002,4,FALSE),"")</f>
        <v/>
      </c>
      <c r="JA102" t="str">
        <f>+IFERROR(VLOOKUP(JA3,IN_Zugliste!$A$4:$C$2002,4,FALSE),"")</f>
        <v/>
      </c>
      <c r="JB102" t="str">
        <f>+IFERROR(VLOOKUP(JB3,IN_Zugliste!$A$4:$C$2002,4,FALSE),"")</f>
        <v/>
      </c>
      <c r="JC102" t="str">
        <f>+IFERROR(VLOOKUP(JC3,IN_Zugliste!$A$4:$C$2002,4,FALSE),"")</f>
        <v/>
      </c>
      <c r="JD102" t="str">
        <f>+IFERROR(VLOOKUP(JD3,IN_Zugliste!$A$4:$C$2002,4,FALSE),"")</f>
        <v/>
      </c>
      <c r="JE102" t="str">
        <f>+IFERROR(VLOOKUP(JE3,IN_Zugliste!$A$4:$C$2002,4,FALSE),"")</f>
        <v/>
      </c>
      <c r="JF102" t="str">
        <f>+IFERROR(VLOOKUP(JF3,IN_Zugliste!$A$4:$C$2002,4,FALSE),"")</f>
        <v/>
      </c>
      <c r="JG102" t="str">
        <f>+IFERROR(VLOOKUP(JG3,IN_Zugliste!$A$4:$C$2002,4,FALSE),"")</f>
        <v/>
      </c>
      <c r="JH102" t="str">
        <f>+IFERROR(VLOOKUP(JH3,IN_Zugliste!$A$4:$C$2002,4,FALSE),"")</f>
        <v/>
      </c>
      <c r="JI102" t="str">
        <f>+IFERROR(VLOOKUP(JI3,IN_Zugliste!$A$4:$C$2002,4,FALSE),"")</f>
        <v/>
      </c>
      <c r="JJ102" t="str">
        <f>+IFERROR(VLOOKUP(JJ3,IN_Zugliste!$A$4:$C$2002,4,FALSE),"")</f>
        <v/>
      </c>
      <c r="JK102" t="str">
        <f>+IFERROR(VLOOKUP(JK3,IN_Zugliste!$A$4:$C$2002,4,FALSE),"")</f>
        <v/>
      </c>
      <c r="JL102" t="str">
        <f>+IFERROR(VLOOKUP(JL3,IN_Zugliste!$A$4:$C$2002,4,FALSE),"")</f>
        <v/>
      </c>
    </row>
    <row r="103" spans="1:272" x14ac:dyDescent="0.2">
      <c r="A103" t="str">
        <f>+IFERROR(VLOOKUP(A4,IN_Zugliste!$A$4:$D$2002,4,FALSE),"")</f>
        <v>101-3.0</v>
      </c>
      <c r="B103" t="str">
        <f>+IFERROR(VLOOKUP(B4,IN_Zugliste!$A$4:$D$2002,4,FALSE),"")</f>
        <v>101-3.0</v>
      </c>
      <c r="C103" t="str">
        <f>+IFERROR(VLOOKUP(C4,IN_Zugliste!$A$4:$D$2002,4,FALSE),"")</f>
        <v>146-3.2</v>
      </c>
      <c r="D103" t="str">
        <f>+IFERROR(VLOOKUP(D4,IN_Zugliste!$A$4:$D$2002,4,FALSE),"")</f>
        <v>462-1.0</v>
      </c>
      <c r="E103" t="str">
        <f>+IFERROR(VLOOKUP(E4,IN_Zugliste!$A$4:$D$2002,4,FALSE),"")</f>
        <v>462-1.0</v>
      </c>
      <c r="F103" t="str">
        <f>+IFERROR(VLOOKUP(F4,IN_Zugliste!$A$4:$D$2002,4,FALSE),"")</f>
        <v>146-3.2</v>
      </c>
      <c r="G103" t="str">
        <f>+IFERROR(VLOOKUP(G4,IN_Zugliste!$A$4:$D$2002,4,FALSE),"")</f>
        <v>101-3.0</v>
      </c>
      <c r="H103" t="str">
        <f>+IFERROR(VLOOKUP(H4,IN_Zugliste!$A$4:$D$2002,4,FALSE),"")</f>
        <v>101-3.0</v>
      </c>
      <c r="I103" t="str">
        <f>+IFERROR(VLOOKUP(I4,IN_Zugliste!$A$4:$D$2002,4,FALSE),"")</f>
        <v>146-3.2</v>
      </c>
      <c r="J103" t="str">
        <f>+IFERROR(VLOOKUP(J4,IN_Zugliste!$A$4:$D$2002,4,FALSE),"")</f>
        <v>101-3.0</v>
      </c>
      <c r="K103" t="str">
        <f>+IFERROR(VLOOKUP(K4,IN_Zugliste!$A$4:$D$2002,4,FALSE),"")</f>
        <v>101-3.0</v>
      </c>
      <c r="L103" t="str">
        <f>+IFERROR(VLOOKUP(L4,IN_Zugliste!$A$4:$D$2002,4,FALSE),"")</f>
        <v>146-3.2</v>
      </c>
      <c r="M103" t="str">
        <f>+IFERROR(VLOOKUP(M4,IN_Zugliste!$A$4:$D$2002,4,FALSE),"")</f>
        <v>146-3.2</v>
      </c>
      <c r="N103" t="str">
        <f>+IFERROR(VLOOKUP(N4,IN_Zugliste!$A$4:$D$2002,4,FALSE),"")</f>
        <v>101-3.0</v>
      </c>
      <c r="O103" t="str">
        <f>+IFERROR(VLOOKUP(O4,IN_Zugliste!$A$4:$D$2002,4,FALSE),"")</f>
        <v>146-3.2</v>
      </c>
      <c r="P103" t="str">
        <f>+IFERROR(VLOOKUP(P4,IN_Zugliste!$A$4:$D$2002,4,FALSE),"")</f>
        <v>146-3.2</v>
      </c>
      <c r="Q103" t="str">
        <f>+IFERROR(VLOOKUP(Q4,IN_Zugliste!$A$4:$D$2002,4,FALSE),"")</f>
        <v>146-3.2</v>
      </c>
      <c r="R103" t="str">
        <f>+IFERROR(VLOOKUP(R4,IN_Zugliste!$A$4:$D$2002,4,FALSE),"")</f>
        <v>462-1.0</v>
      </c>
      <c r="S103" t="str">
        <f>+IFERROR(VLOOKUP(S4,IN_Zugliste!$A$4:$D$2002,4,FALSE),"")</f>
        <v>462-1.0</v>
      </c>
      <c r="T103" t="str">
        <f>+IFERROR(VLOOKUP(T4,IN_Zugliste!$A$4:$D$2002,4,FALSE),"")</f>
        <v>146-3.2</v>
      </c>
      <c r="U103" t="str">
        <f>+IFERROR(VLOOKUP(U4,IN_Zugliste!$A$4:$D$2002,4,FALSE),"")</f>
        <v>146-3.2</v>
      </c>
      <c r="V103" t="str">
        <f>+IFERROR(VLOOKUP(V4,IN_Zugliste!$A$4:$D$2002,4,FALSE),"")</f>
        <v>101-3.0</v>
      </c>
      <c r="W103" t="str">
        <f>+IFERROR(VLOOKUP(W4,IN_Zugliste!$A$4:$D$2002,4,FALSE),"")</f>
        <v>101-3.0</v>
      </c>
      <c r="X103" t="str">
        <f>+IFERROR(VLOOKUP(X4,IN_Zugliste!$A$4:$D$2002,4,FALSE),"")</f>
        <v>101-3.0</v>
      </c>
      <c r="Y103" t="str">
        <f>+IFERROR(VLOOKUP(Y4,IN_Zugliste!$A$4:$D$2002,4,FALSE),"")</f>
        <v>146-3.2</v>
      </c>
      <c r="Z103" t="str">
        <f>+IFERROR(VLOOKUP(Z4,IN_Zugliste!$A$4:$D$2002,4,FALSE),"")</f>
        <v>146-3.2</v>
      </c>
      <c r="AA103" t="str">
        <f>+IFERROR(VLOOKUP(AA4,IN_Zugliste!$A$4:$D$2002,4,FALSE),"")</f>
        <v>146-3.2</v>
      </c>
      <c r="AB103" t="str">
        <f>+IFERROR(VLOOKUP(AB4,IN_Zugliste!$A$4:$D$2002,4,FALSE),"")</f>
        <v>101-3.0</v>
      </c>
      <c r="AC103" t="str">
        <f>+IFERROR(VLOOKUP(AC4,IN_Zugliste!$A$4:$D$2002,4,FALSE),"")</f>
        <v>462-1.0</v>
      </c>
      <c r="AD103" t="str">
        <f>+IFERROR(VLOOKUP(AD4,IN_Zugliste!$A$4:$D$2002,4,FALSE),"")</f>
        <v>462-1.0</v>
      </c>
      <c r="AE103" t="str">
        <f>+IFERROR(VLOOKUP(AE4,IN_Zugliste!$A$4:$D$2002,4,FALSE),"")</f>
        <v>146-3.2</v>
      </c>
      <c r="AF103" t="str">
        <f>+IFERROR(VLOOKUP(AF4,IN_Zugliste!$A$4:$D$2002,4,FALSE),"")</f>
        <v>146-3.2</v>
      </c>
      <c r="AG103" t="str">
        <f>+IFERROR(VLOOKUP(AG4,IN_Zugliste!$A$4:$D$2002,4,FALSE),"")</f>
        <v>101-3.0</v>
      </c>
      <c r="AH103" t="str">
        <f>+IFERROR(VLOOKUP(AH4,IN_Zugliste!$A$4:$D$2002,4,FALSE),"")</f>
        <v>462-1.0</v>
      </c>
      <c r="AI103" t="str">
        <f>+IFERROR(VLOOKUP(AI4,IN_Zugliste!$A$4:$D$2002,4,FALSE),"")</f>
        <v>146-3.2</v>
      </c>
      <c r="AJ103" t="str">
        <f>+IFERROR(VLOOKUP(AJ4,IN_Zugliste!$A$4:$D$2002,4,FALSE),"")</f>
        <v>101-3.0</v>
      </c>
      <c r="AK103" t="str">
        <f>+IFERROR(VLOOKUP(AK4,IN_Zugliste!$A$4:$D$2002,4,FALSE),"")</f>
        <v>146-3.2</v>
      </c>
      <c r="AL103" t="str">
        <f>+IFERROR(VLOOKUP(AL4,IN_Zugliste!$A$4:$D$2002,4,FALSE),"")</f>
        <v>146-3.2</v>
      </c>
      <c r="AM103" t="str">
        <f>+IFERROR(VLOOKUP(AM4,IN_Zugliste!$A$4:$D$2002,4,FALSE),"")</f>
        <v>462-1.0</v>
      </c>
      <c r="AN103" t="str">
        <f>+IFERROR(VLOOKUP(AN4,IN_Zugliste!$A$4:$D$2002,4,FALSE),"")</f>
        <v>146-3.2</v>
      </c>
      <c r="AO103" t="str">
        <f>+IFERROR(VLOOKUP(AO4,IN_Zugliste!$A$4:$D$2002,4,FALSE),"")</f>
        <v>146-3.2</v>
      </c>
      <c r="AP103" t="str">
        <f>+IFERROR(VLOOKUP(AP4,IN_Zugliste!$A$4:$D$2002,4,FALSE),"")</f>
        <v>462-1.0</v>
      </c>
      <c r="AQ103" t="str">
        <f>+IFERROR(VLOOKUP(AQ4,IN_Zugliste!$A$4:$D$2002,4,FALSE),"")</f>
        <v>146-3.2</v>
      </c>
      <c r="AR103" t="str">
        <f>+IFERROR(VLOOKUP(AR4,IN_Zugliste!$A$4:$D$2002,4,FALSE),"")</f>
        <v>462-1.0</v>
      </c>
      <c r="AS103" t="str">
        <f>+IFERROR(VLOOKUP(AS4,IN_Zugliste!$A$4:$D$2002,4,FALSE),"")</f>
        <v>146-3.2</v>
      </c>
      <c r="AT103" t="str">
        <f>+IFERROR(VLOOKUP(AT4,IN_Zugliste!$A$4:$D$2002,4,FALSE),"")</f>
        <v>462-1.0</v>
      </c>
      <c r="AU103" t="str">
        <f>+IFERROR(VLOOKUP(AU4,IN_Zugliste!$A$4:$D$2002,4,FALSE),"")</f>
        <v>462-1.0</v>
      </c>
      <c r="AV103" t="str">
        <f>+IFERROR(VLOOKUP(AV4,IN_Zugliste!$A$4:$D$2002,4,FALSE),"")</f>
        <v>462-1.0</v>
      </c>
      <c r="AW103" t="str">
        <f>+IFERROR(VLOOKUP(AW4,IN_Zugliste!$A$4:$D$2002,4,FALSE),"")</f>
        <v>462-1.0</v>
      </c>
      <c r="AX103" t="str">
        <f>+IFERROR(VLOOKUP(AX4,IN_Zugliste!$A$4:$D$2002,4,FALSE),"")</f>
        <v>146-3.2</v>
      </c>
      <c r="AY103" t="str">
        <f>+IFERROR(VLOOKUP(AY4,IN_Zugliste!$A$4:$D$2002,4,FALSE),"")</f>
        <v>462-1.0</v>
      </c>
      <c r="AZ103" t="str">
        <f>+IFERROR(VLOOKUP(AZ4,IN_Zugliste!$A$4:$D$2002,4,FALSE),"")</f>
        <v>462-1.0</v>
      </c>
      <c r="BA103" t="str">
        <f>+IFERROR(VLOOKUP(BA4,IN_Zugliste!$A$4:$D$2002,4,FALSE),"")</f>
        <v>462-1.0</v>
      </c>
      <c r="BB103" t="str">
        <f>+IFERROR(VLOOKUP(BB4,IN_Zugliste!$A$4:$D$2002,4,FALSE),"")</f>
        <v>462-1.0</v>
      </c>
      <c r="BC103" t="str">
        <f>+IFERROR(VLOOKUP(BC4,IN_Zugliste!$A$4:$D$2002,4,FALSE),"")</f>
        <v>146-3.2</v>
      </c>
      <c r="BD103" t="str">
        <f>+IFERROR(VLOOKUP(BD4,IN_Zugliste!$A$4:$D$2002,4,FALSE),"")</f>
        <v>146-3.2</v>
      </c>
      <c r="BE103" t="str">
        <f>+IFERROR(VLOOKUP(BE4,IN_Zugliste!$A$4:$D$2002,4,FALSE),"")</f>
        <v>462-1.0</v>
      </c>
      <c r="BF103" t="str">
        <f>+IFERROR(VLOOKUP(BF4,IN_Zugliste!$A$4:$D$2002,4,FALSE),"")</f>
        <v>462-1.0</v>
      </c>
      <c r="BG103" t="str">
        <f>+IFERROR(VLOOKUP(BG4,IN_Zugliste!$A$4:$D$2002,4,FALSE),"")</f>
        <v>146-3.2</v>
      </c>
      <c r="BH103" t="str">
        <f>+IFERROR(VLOOKUP(BH4,IN_Zugliste!$A$4:$D$2002,4,FALSE),"")</f>
        <v>462-1.0</v>
      </c>
      <c r="BI103" t="str">
        <f>+IFERROR(VLOOKUP(BI4,IN_Zugliste!$A$4:$D$2002,4,FALSE),"")</f>
        <v>462-1.0</v>
      </c>
      <c r="BJ103" t="str">
        <f>+IFERROR(VLOOKUP(BJ4,IN_Zugliste!$A$4:$D$2002,4,FALSE),"")</f>
        <v>462-1.0</v>
      </c>
      <c r="BK103" t="str">
        <f>+IFERROR(VLOOKUP(BK4,IN_Zugliste!$A$4:$D$2002,4,FALSE),"")</f>
        <v>462-1.0</v>
      </c>
      <c r="BL103" t="str">
        <f>+IFERROR(VLOOKUP(BL4,IN_Zugliste!$A$4:$D$2002,4,FALSE),"")</f>
        <v>462-1.0</v>
      </c>
      <c r="BM103" t="str">
        <f>+IFERROR(VLOOKUP(BM4,IN_Zugliste!$A$4:$D$2002,4,FALSE),"")</f>
        <v>462-1.0</v>
      </c>
      <c r="BN103" t="str">
        <f>+IFERROR(VLOOKUP(BN4,IN_Zugliste!$A$4:$D$2002,4,FALSE),"")</f>
        <v>462-1.0</v>
      </c>
      <c r="BO103" t="str">
        <f>+IFERROR(VLOOKUP(BO4,IN_Zugliste!$A$4:$D$2002,4,FALSE),"")</f>
        <v>146-3.2</v>
      </c>
      <c r="BP103" t="str">
        <f>+IFERROR(VLOOKUP(BP4,IN_Zugliste!$A$4:$D$2002,4,FALSE),"")</f>
        <v>462-1.0</v>
      </c>
      <c r="BQ103" t="str">
        <f>+IFERROR(VLOOKUP(BQ4,IN_Zugliste!$A$4:$D$2002,4,FALSE),"")</f>
        <v>462-1.0</v>
      </c>
      <c r="BR103" t="str">
        <f>+IFERROR(VLOOKUP(BR4,IN_Zugliste!$A$4:$D$2002,4,FALSE),"")</f>
        <v>146-3.2</v>
      </c>
      <c r="BS103" t="str">
        <f>+IFERROR(VLOOKUP(BS4,IN_Zugliste!$A$4:$D$2002,4,FALSE),"")</f>
        <v>462-1.0</v>
      </c>
      <c r="BT103" t="str">
        <f>+IFERROR(VLOOKUP(BT4,IN_Zugliste!$A$4:$D$2002,4,FALSE),"")</f>
        <v>462-1.0</v>
      </c>
      <c r="BU103" t="str">
        <f>+IFERROR(VLOOKUP(BU4,IN_Zugliste!$A$4:$D$2002,4,FALSE),"")</f>
        <v>462-1.0</v>
      </c>
      <c r="BV103" t="str">
        <f>+IFERROR(VLOOKUP(BV4,IN_Zugliste!$A$4:$D$2002,4,FALSE),"")</f>
        <v>462-1.0</v>
      </c>
      <c r="BW103" t="str">
        <f>+IFERROR(VLOOKUP(BW4,IN_Zugliste!$A$4:$D$2002,4,FALSE),"")</f>
        <v>462-1.0</v>
      </c>
      <c r="BX103" t="str">
        <f>+IFERROR(VLOOKUP(BX4,IN_Zugliste!$A$4:$D$2002,4,FALSE),"")</f>
        <v>462-1.0</v>
      </c>
      <c r="BY103" t="str">
        <f>+IFERROR(VLOOKUP(BY4,IN_Zugliste!$A$4:$D$2002,4,FALSE),"")</f>
        <v>146-3.2</v>
      </c>
      <c r="BZ103" t="str">
        <f>+IFERROR(VLOOKUP(BZ4,IN_Zugliste!$A$4:$D$2002,4,FALSE),"")</f>
        <v>462-1.0</v>
      </c>
      <c r="CA103" t="str">
        <f>+IFERROR(VLOOKUP(CA4,IN_Zugliste!$A$4:$D$2002,4,FALSE),"")</f>
        <v>146-3.2</v>
      </c>
      <c r="CB103" t="str">
        <f>+IFERROR(VLOOKUP(CB4,IN_Zugliste!$A$4:$D$2002,4,FALSE),"")</f>
        <v>462-1.0</v>
      </c>
      <c r="CC103" t="str">
        <f>+IFERROR(VLOOKUP(CC4,IN_Zugliste!$A$4:$D$2002,4,FALSE),"")</f>
        <v>462-1.0</v>
      </c>
      <c r="CD103" t="str">
        <f>+IFERROR(VLOOKUP(CD4,IN_Zugliste!$A$4:$D$2002,4,FALSE),"")</f>
        <v>462-1.0</v>
      </c>
      <c r="CE103" t="str">
        <f>+IFERROR(VLOOKUP(CE4,IN_Zugliste!$A$4:$D$2002,4,FALSE),"")</f>
        <v>462-1.0</v>
      </c>
      <c r="CF103" t="str">
        <f>+IFERROR(VLOOKUP(CF4,IN_Zugliste!$A$4:$D$2002,4,FALSE),"")</f>
        <v>462-1.0</v>
      </c>
      <c r="CG103" t="str">
        <f>+IFERROR(VLOOKUP(CG4,IN_Zugliste!$A$4:$D$2002,4,FALSE),"")</f>
        <v>462-1.0</v>
      </c>
      <c r="CH103" t="str">
        <f>+IFERROR(VLOOKUP(CH4,IN_Zugliste!$A$4:$D$2002,4,FALSE),"")</f>
        <v>146-3.2</v>
      </c>
      <c r="CI103" t="str">
        <f>+IFERROR(VLOOKUP(CI4,IN_Zugliste!$A$4:$D$2002,4,FALSE),"")</f>
        <v>462-1.0</v>
      </c>
      <c r="CJ103" t="str">
        <f>+IFERROR(VLOOKUP(CJ4,IN_Zugliste!$A$4:$D$2002,4,FALSE),"")</f>
        <v>462-1.0</v>
      </c>
      <c r="CK103" t="str">
        <f>+IFERROR(VLOOKUP(CK4,IN_Zugliste!$A$4:$D$2002,4,FALSE),"")</f>
        <v>462-1.0</v>
      </c>
      <c r="CL103" t="str">
        <f>+IFERROR(VLOOKUP(CL4,IN_Zugliste!$A$4:$D$2002,4,FALSE),"")</f>
        <v>462-1.0</v>
      </c>
      <c r="CM103" t="str">
        <f>+IFERROR(VLOOKUP(CM4,IN_Zugliste!$A$4:$D$2002,4,FALSE),"")</f>
        <v>462-1.0</v>
      </c>
      <c r="CN103" t="str">
        <f>+IFERROR(VLOOKUP(CN4,IN_Zugliste!$A$4:$D$2002,4,FALSE),"")</f>
        <v>462-1.0</v>
      </c>
      <c r="CO103" t="str">
        <f>+IFERROR(VLOOKUP(CO4,IN_Zugliste!$A$4:$D$2002,4,FALSE),"")</f>
        <v>462-1.0</v>
      </c>
      <c r="CP103" t="str">
        <f>+IFERROR(VLOOKUP(CP4,IN_Zugliste!$A$4:$D$2002,4,FALSE),"")</f>
        <v>462-1.0</v>
      </c>
      <c r="CQ103" t="str">
        <f>+IFERROR(VLOOKUP(CQ4,IN_Zugliste!$A$4:$D$2002,4,FALSE),"")</f>
        <v>462-1.0</v>
      </c>
      <c r="CR103" t="str">
        <f>+IFERROR(VLOOKUP(CR4,IN_Zugliste!$A$4:$D$2002,4,FALSE),"")</f>
        <v>462-1.0</v>
      </c>
      <c r="CS103" t="str">
        <f>+IFERROR(VLOOKUP(CS4,IN_Zugliste!$A$4:$D$2002,4,FALSE),"")</f>
        <v>462-1.0</v>
      </c>
      <c r="CT103" t="str">
        <f>+IFERROR(VLOOKUP(CT4,IN_Zugliste!$A$4:$D$2002,4,FALSE),"")</f>
        <v>462-1.0</v>
      </c>
      <c r="CU103" t="str">
        <f>+IFERROR(VLOOKUP(CU4,IN_Zugliste!$A$4:$D$2002,4,FALSE),"")</f>
        <v>462-1.0</v>
      </c>
      <c r="CV103" t="str">
        <f>+IFERROR(VLOOKUP(CV4,IN_Zugliste!$A$4:$D$2002,4,FALSE),"")</f>
        <v>462-1.0</v>
      </c>
      <c r="CW103" t="str">
        <f>+IFERROR(VLOOKUP(CW4,IN_Zugliste!$A$4:$D$2002,4,FALSE),"")</f>
        <v>462-1.0</v>
      </c>
      <c r="CX103" t="str">
        <f>+IFERROR(VLOOKUP(CX4,IN_Zugliste!$A$4:$D$2002,4,FALSE),"")</f>
        <v>462-1.0</v>
      </c>
      <c r="CY103" t="str">
        <f>+IFERROR(VLOOKUP(CY4,IN_Zugliste!$A$4:$D$2002,4,FALSE),"")</f>
        <v>462-1.0</v>
      </c>
      <c r="CZ103" t="str">
        <f>+IFERROR(VLOOKUP(CZ4,IN_Zugliste!$A$4:$D$2002,4,FALSE),"")</f>
        <v>462-1.0</v>
      </c>
      <c r="DA103" t="str">
        <f>+IFERROR(VLOOKUP(DA4,IN_Zugliste!$A$4:$D$2002,4,FALSE),"")</f>
        <v>146-3.2</v>
      </c>
      <c r="DB103" t="str">
        <f>+IFERROR(VLOOKUP(DB4,IN_Zugliste!$A$4:$D$2002,4,FALSE),"")</f>
        <v>462-1.0</v>
      </c>
      <c r="DC103" t="str">
        <f>+IFERROR(VLOOKUP(DC4,IN_Zugliste!$A$4:$D$2002,4,FALSE),"")</f>
        <v>462-1.0</v>
      </c>
      <c r="DD103" t="str">
        <f>+IFERROR(VLOOKUP(DD4,IN_Zugliste!$A$4:$D$2002,4,FALSE),"")</f>
        <v>462-1.0</v>
      </c>
      <c r="DE103" t="str">
        <f>+IFERROR(VLOOKUP(DE4,IN_Zugliste!$A$4:$D$2002,4,FALSE),"")</f>
        <v>462-1.0</v>
      </c>
      <c r="DF103" t="str">
        <f>+IFERROR(VLOOKUP(DF4,IN_Zugliste!$A$4:$D$2002,4,FALSE),"")</f>
        <v>462-1.0</v>
      </c>
      <c r="DG103" t="str">
        <f>+IFERROR(VLOOKUP(DG4,IN_Zugliste!$A$4:$D$2002,4,FALSE),"")</f>
        <v>462-1.0</v>
      </c>
      <c r="DH103" t="str">
        <f>+IFERROR(VLOOKUP(DH4,IN_Zugliste!$A$4:$D$2002,4,FALSE),"")</f>
        <v>462-1.0</v>
      </c>
      <c r="DI103" t="str">
        <f>+IFERROR(VLOOKUP(DI4,IN_Zugliste!$A$4:$D$2002,4,FALSE),"")</f>
        <v>146-3.2</v>
      </c>
      <c r="DJ103" t="str">
        <f>+IFERROR(VLOOKUP(DJ4,IN_Zugliste!$A$4:$D$2002,4,FALSE),"")</f>
        <v/>
      </c>
      <c r="DK103" t="str">
        <f>+IFERROR(VLOOKUP(DK4,IN_Zugliste!$A$4:$D$2002,4,FALSE),"")</f>
        <v/>
      </c>
      <c r="DL103" t="str">
        <f>+IFERROR(VLOOKUP(DL4,IN_Zugliste!$A$4:$D$2002,4,FALSE),"")</f>
        <v/>
      </c>
      <c r="DM103" t="str">
        <f>+IFERROR(VLOOKUP(DM4,IN_Zugliste!$A$4:$D$2002,4,FALSE),"")</f>
        <v/>
      </c>
      <c r="DN103" t="str">
        <f>+IFERROR(VLOOKUP(DN4,IN_Zugliste!$A$4:$D$2002,4,FALSE),"")</f>
        <v/>
      </c>
      <c r="DO103" t="str">
        <f>+IFERROR(VLOOKUP(DO4,IN_Zugliste!$A$4:$D$2002,4,FALSE),"")</f>
        <v/>
      </c>
      <c r="DP103" t="str">
        <f>+IFERROR(VLOOKUP(DP4,IN_Zugliste!$A$4:$D$2002,4,FALSE),"")</f>
        <v/>
      </c>
      <c r="DQ103" t="str">
        <f>+IFERROR(VLOOKUP(DQ4,IN_Zugliste!$A$4:$D$2002,4,FALSE),"")</f>
        <v/>
      </c>
      <c r="DR103" t="str">
        <f>+IFERROR(VLOOKUP(DR4,IN_Zugliste!$A$4:$D$2002,4,FALSE),"")</f>
        <v/>
      </c>
      <c r="DS103" t="str">
        <f>+IFERROR(VLOOKUP(DS4,IN_Zugliste!$A$4:$D$2002,4,FALSE),"")</f>
        <v/>
      </c>
      <c r="DT103" t="str">
        <f>+IFERROR(VLOOKUP(DT4,IN_Zugliste!$A$4:$D$2002,4,FALSE),"")</f>
        <v/>
      </c>
      <c r="DU103" t="str">
        <f>+IFERROR(VLOOKUP(DU4,IN_Zugliste!$A$4:$D$2002,4,FALSE),"")</f>
        <v/>
      </c>
      <c r="DV103" t="str">
        <f>+IFERROR(VLOOKUP(DV4,IN_Zugliste!$A$4:$D$2002,4,FALSE),"")</f>
        <v/>
      </c>
      <c r="DW103" t="str">
        <f>+IFERROR(VLOOKUP(DW4,IN_Zugliste!$A$4:$D$2002,4,FALSE),"")</f>
        <v/>
      </c>
      <c r="DX103" t="str">
        <f>+IFERROR(VLOOKUP(DX4,IN_Zugliste!$A$4:$D$2002,4,FALSE),"")</f>
        <v/>
      </c>
      <c r="DY103" t="str">
        <f>+IFERROR(VLOOKUP(DY4,IN_Zugliste!$A$4:$D$2002,4,FALSE),"")</f>
        <v/>
      </c>
      <c r="DZ103" t="str">
        <f>+IFERROR(VLOOKUP(DZ4,IN_Zugliste!$A$4:$D$2002,4,FALSE),"")</f>
        <v/>
      </c>
      <c r="EA103" t="str">
        <f>+IFERROR(VLOOKUP(EA4,IN_Zugliste!$A$4:$D$2002,4,FALSE),"")</f>
        <v/>
      </c>
      <c r="EB103" t="str">
        <f>+IFERROR(VLOOKUP(EB4,IN_Zugliste!$A$4:$D$2002,4,FALSE),"")</f>
        <v/>
      </c>
      <c r="EC103" t="str">
        <f>+IFERROR(VLOOKUP(EC4,IN_Zugliste!$A$4:$D$2002,4,FALSE),"")</f>
        <v/>
      </c>
      <c r="ED103" t="str">
        <f>+IFERROR(VLOOKUP(ED4,IN_Zugliste!$A$4:$D$2002,4,FALSE),"")</f>
        <v/>
      </c>
      <c r="EE103" t="str">
        <f>+IFERROR(VLOOKUP(EE4,IN_Zugliste!$A$4:$D$2002,4,FALSE),"")</f>
        <v/>
      </c>
      <c r="EF103" t="str">
        <f>+IFERROR(VLOOKUP(EF4,IN_Zugliste!$A$4:$D$2002,4,FALSE),"")</f>
        <v/>
      </c>
      <c r="EG103" t="str">
        <f>+IFERROR(VLOOKUP(EG4,IN_Zugliste!$A$4:$D$2002,4,FALSE),"")</f>
        <v/>
      </c>
      <c r="EH103" t="str">
        <f>+IFERROR(VLOOKUP(EH4,IN_Zugliste!$A$4:$D$2002,4,FALSE),"")</f>
        <v/>
      </c>
      <c r="EI103" t="str">
        <f>+IFERROR(VLOOKUP(EI4,IN_Zugliste!$A$4:$D$2002,4,FALSE),"")</f>
        <v/>
      </c>
      <c r="EJ103" t="str">
        <f>+IFERROR(VLOOKUP(EJ4,IN_Zugliste!$A$4:$D$2002,4,FALSE),"")</f>
        <v/>
      </c>
      <c r="EK103" t="str">
        <f>+IFERROR(VLOOKUP(EK4,IN_Zugliste!$A$4:$D$2002,4,FALSE),"")</f>
        <v/>
      </c>
      <c r="EL103" t="str">
        <f>+IFERROR(VLOOKUP(EL4,IN_Zugliste!$A$4:$D$2002,4,FALSE),"")</f>
        <v/>
      </c>
      <c r="EM103" t="str">
        <f>+IFERROR(VLOOKUP(EM4,IN_Zugliste!$A$4:$D$2002,4,FALSE),"")</f>
        <v/>
      </c>
      <c r="EN103" t="str">
        <f>+IFERROR(VLOOKUP(EN4,IN_Zugliste!$A$4:$D$2002,4,FALSE),"")</f>
        <v/>
      </c>
      <c r="EO103" t="str">
        <f>+IFERROR(VLOOKUP(EO4,IN_Zugliste!$A$4:$D$2002,4,FALSE),"")</f>
        <v/>
      </c>
      <c r="EP103" t="str">
        <f>+IFERROR(VLOOKUP(EP4,IN_Zugliste!$A$4:$D$2002,4,FALSE),"")</f>
        <v/>
      </c>
      <c r="EQ103" t="str">
        <f>+IFERROR(VLOOKUP(EQ4,IN_Zugliste!$A$4:$D$2002,4,FALSE),"")</f>
        <v/>
      </c>
      <c r="ER103" t="str">
        <f>+IFERROR(VLOOKUP(ER4,IN_Zugliste!$A$4:$D$2002,4,FALSE),"")</f>
        <v/>
      </c>
      <c r="ES103" t="str">
        <f>+IFERROR(VLOOKUP(ES4,IN_Zugliste!$A$4:$D$2002,4,FALSE),"")</f>
        <v/>
      </c>
      <c r="ET103" t="str">
        <f>+IFERROR(VLOOKUP(ET4,IN_Zugliste!$A$4:$D$2002,4,FALSE),"")</f>
        <v/>
      </c>
      <c r="EU103" t="str">
        <f>+IFERROR(VLOOKUP(EU4,IN_Zugliste!$A$4:$D$2002,4,FALSE),"")</f>
        <v/>
      </c>
      <c r="EV103" t="str">
        <f>+IFERROR(VLOOKUP(EV4,IN_Zugliste!$A$4:$D$2002,4,FALSE),"")</f>
        <v/>
      </c>
      <c r="EW103" t="str">
        <f>+IFERROR(VLOOKUP(EW4,IN_Zugliste!$A$4:$D$2002,4,FALSE),"")</f>
        <v/>
      </c>
      <c r="EX103" t="str">
        <f>+IFERROR(VLOOKUP(EX4,IN_Zugliste!$A$4:$D$2002,4,FALSE),"")</f>
        <v/>
      </c>
      <c r="EY103" t="str">
        <f>+IFERROR(VLOOKUP(EY4,IN_Zugliste!$A$4:$D$2002,4,FALSE),"")</f>
        <v/>
      </c>
      <c r="EZ103" t="str">
        <f>+IFERROR(VLOOKUP(EZ4,IN_Zugliste!$A$4:$D$2002,4,FALSE),"")</f>
        <v/>
      </c>
      <c r="FA103" t="str">
        <f>+IFERROR(VLOOKUP(FA4,IN_Zugliste!$A$4:$D$2002,4,FALSE),"")</f>
        <v/>
      </c>
      <c r="FB103" t="str">
        <f>+IFERROR(VLOOKUP(FB4,IN_Zugliste!$A$4:$D$2002,4,FALSE),"")</f>
        <v/>
      </c>
      <c r="FC103" t="str">
        <f>+IFERROR(VLOOKUP(FC4,IN_Zugliste!$A$4:$D$2002,4,FALSE),"")</f>
        <v/>
      </c>
      <c r="FD103" t="str">
        <f>+IFERROR(VLOOKUP(FD4,IN_Zugliste!$A$4:$D$2002,4,FALSE),"")</f>
        <v/>
      </c>
      <c r="FE103" t="str">
        <f>+IFERROR(VLOOKUP(FE4,IN_Zugliste!$A$4:$D$2002,4,FALSE),"")</f>
        <v/>
      </c>
      <c r="FF103" t="str">
        <f>+IFERROR(VLOOKUP(FF4,IN_Zugliste!$A$4:$D$2002,4,FALSE),"")</f>
        <v/>
      </c>
      <c r="FG103" t="str">
        <f>+IFERROR(VLOOKUP(FG4,IN_Zugliste!$A$4:$D$2002,4,FALSE),"")</f>
        <v/>
      </c>
      <c r="FH103" t="str">
        <f>+IFERROR(VLOOKUP(FH4,IN_Zugliste!$A$4:$D$2002,4,FALSE),"")</f>
        <v/>
      </c>
      <c r="FI103" t="str">
        <f>+IFERROR(VLOOKUP(FI4,IN_Zugliste!$A$4:$D$2002,4,FALSE),"")</f>
        <v/>
      </c>
      <c r="FJ103" t="str">
        <f>+IFERROR(VLOOKUP(FJ4,IN_Zugliste!$A$4:$D$2002,4,FALSE),"")</f>
        <v/>
      </c>
      <c r="FK103" t="str">
        <f>+IFERROR(VLOOKUP(FK4,IN_Zugliste!$A$4:$D$2002,4,FALSE),"")</f>
        <v/>
      </c>
      <c r="FL103" t="str">
        <f>+IFERROR(VLOOKUP(FL4,IN_Zugliste!$A$4:$D$2002,4,FALSE),"")</f>
        <v/>
      </c>
      <c r="FM103" t="str">
        <f>+IFERROR(VLOOKUP(FM4,IN_Zugliste!$A$4:$C$2002,4,FALSE),"")</f>
        <v/>
      </c>
      <c r="FN103" t="str">
        <f>+IFERROR(VLOOKUP(FN4,IN_Zugliste!$A$4:$C$2002,4,FALSE),"")</f>
        <v/>
      </c>
      <c r="FO103" t="str">
        <f>+IFERROR(VLOOKUP(FO4,IN_Zugliste!$A$4:$C$2002,4,FALSE),"")</f>
        <v/>
      </c>
      <c r="FP103" t="str">
        <f>+IFERROR(VLOOKUP(FP4,IN_Zugliste!$A$4:$C$2002,4,FALSE),"")</f>
        <v/>
      </c>
      <c r="FQ103" t="str">
        <f>+IFERROR(VLOOKUP(FQ4,IN_Zugliste!$A$4:$C$2002,4,FALSE),"")</f>
        <v/>
      </c>
      <c r="FR103" t="str">
        <f>+IFERROR(VLOOKUP(FR4,IN_Zugliste!$A$4:$C$2002,4,FALSE),"")</f>
        <v/>
      </c>
      <c r="FS103" t="str">
        <f>+IFERROR(VLOOKUP(FS4,IN_Zugliste!$A$4:$C$2002,4,FALSE),"")</f>
        <v/>
      </c>
      <c r="FT103" t="str">
        <f>+IFERROR(VLOOKUP(FT4,IN_Zugliste!$A$4:$C$2002,4,FALSE),"")</f>
        <v/>
      </c>
      <c r="FU103" t="str">
        <f>+IFERROR(VLOOKUP(FU4,IN_Zugliste!$A$4:$C$2002,4,FALSE),"")</f>
        <v/>
      </c>
      <c r="FV103" t="str">
        <f>+IFERROR(VLOOKUP(FV4,IN_Zugliste!$A$4:$C$2002,4,FALSE),"")</f>
        <v/>
      </c>
      <c r="FW103" t="str">
        <f>+IFERROR(VLOOKUP(FW4,IN_Zugliste!$A$4:$C$2002,4,FALSE),"")</f>
        <v/>
      </c>
      <c r="FX103" t="str">
        <f>+IFERROR(VLOOKUP(FX4,IN_Zugliste!$A$4:$C$2002,4,FALSE),"")</f>
        <v/>
      </c>
      <c r="FY103" t="str">
        <f>+IFERROR(VLOOKUP(FY4,IN_Zugliste!$A$4:$C$2002,4,FALSE),"")</f>
        <v/>
      </c>
      <c r="FZ103" t="str">
        <f>+IFERROR(VLOOKUP(FZ4,IN_Zugliste!$A$4:$C$2002,4,FALSE),"")</f>
        <v/>
      </c>
      <c r="GA103" t="str">
        <f>+IFERROR(VLOOKUP(GA4,IN_Zugliste!$A$4:$C$2002,4,FALSE),"")</f>
        <v/>
      </c>
      <c r="GB103" t="str">
        <f>+IFERROR(VLOOKUP(GB4,IN_Zugliste!$A$4:$C$2002,4,FALSE),"")</f>
        <v/>
      </c>
      <c r="GC103" t="str">
        <f>+IFERROR(VLOOKUP(GC4,IN_Zugliste!$A$4:$C$2002,4,FALSE),"")</f>
        <v/>
      </c>
      <c r="GD103" t="str">
        <f>+IFERROR(VLOOKUP(GD4,IN_Zugliste!$A$4:$C$2002,4,FALSE),"")</f>
        <v/>
      </c>
      <c r="GE103" t="str">
        <f>+IFERROR(VLOOKUP(GE4,IN_Zugliste!$A$4:$C$2002,4,FALSE),"")</f>
        <v/>
      </c>
      <c r="GF103" t="str">
        <f>+IFERROR(VLOOKUP(GF4,IN_Zugliste!$A$4:$C$2002,4,FALSE),"")</f>
        <v/>
      </c>
      <c r="GG103" t="str">
        <f>+IFERROR(VLOOKUP(GG4,IN_Zugliste!$A$4:$C$2002,4,FALSE),"")</f>
        <v/>
      </c>
      <c r="GH103" t="str">
        <f>+IFERROR(VLOOKUP(GH4,IN_Zugliste!$A$4:$C$2002,4,FALSE),"")</f>
        <v/>
      </c>
      <c r="GI103" t="str">
        <f>+IFERROR(VLOOKUP(GI4,IN_Zugliste!$A$4:$C$2002,4,FALSE),"")</f>
        <v/>
      </c>
      <c r="GJ103" t="str">
        <f>+IFERROR(VLOOKUP(GJ4,IN_Zugliste!$A$4:$C$2002,4,FALSE),"")</f>
        <v/>
      </c>
      <c r="GK103" t="str">
        <f>+IFERROR(VLOOKUP(GK4,IN_Zugliste!$A$4:$C$2002,4,FALSE),"")</f>
        <v/>
      </c>
      <c r="GL103" t="str">
        <f>+IFERROR(VLOOKUP(GL4,IN_Zugliste!$A$4:$C$2002,4,FALSE),"")</f>
        <v/>
      </c>
      <c r="GM103" t="str">
        <f>+IFERROR(VLOOKUP(GM4,IN_Zugliste!$A$4:$C$2002,4,FALSE),"")</f>
        <v/>
      </c>
      <c r="GN103" t="str">
        <f>+IFERROR(VLOOKUP(GN4,IN_Zugliste!$A$4:$C$2002,4,FALSE),"")</f>
        <v/>
      </c>
      <c r="GO103" t="str">
        <f>+IFERROR(VLOOKUP(GO4,IN_Zugliste!$A$4:$C$2002,4,FALSE),"")</f>
        <v/>
      </c>
      <c r="GP103" t="str">
        <f>+IFERROR(VLOOKUP(GP4,IN_Zugliste!$A$4:$C$2002,4,FALSE),"")</f>
        <v/>
      </c>
      <c r="GQ103" t="str">
        <f>+IFERROR(VLOOKUP(GQ4,IN_Zugliste!$A$4:$C$2002,4,FALSE),"")</f>
        <v/>
      </c>
      <c r="GR103" t="str">
        <f>+IFERROR(VLOOKUP(GR4,IN_Zugliste!$A$4:$C$2002,4,FALSE),"")</f>
        <v/>
      </c>
      <c r="GS103" t="str">
        <f>+IFERROR(VLOOKUP(GS4,IN_Zugliste!$A$4:$C$2002,4,FALSE),"")</f>
        <v/>
      </c>
      <c r="GT103" t="str">
        <f>+IFERROR(VLOOKUP(GT4,IN_Zugliste!$A$4:$C$2002,4,FALSE),"")</f>
        <v/>
      </c>
      <c r="GU103" t="str">
        <f>+IFERROR(VLOOKUP(GU4,IN_Zugliste!$A$4:$C$2002,4,FALSE),"")</f>
        <v/>
      </c>
      <c r="GV103" t="str">
        <f>+IFERROR(VLOOKUP(GV4,IN_Zugliste!$A$4:$C$2002,4,FALSE),"")</f>
        <v/>
      </c>
      <c r="GW103" t="str">
        <f>+IFERROR(VLOOKUP(GW4,IN_Zugliste!$A$4:$C$2002,4,FALSE),"")</f>
        <v/>
      </c>
      <c r="GX103" t="str">
        <f>+IFERROR(VLOOKUP(GX4,IN_Zugliste!$A$4:$C$2002,4,FALSE),"")</f>
        <v/>
      </c>
      <c r="GY103" t="str">
        <f>+IFERROR(VLOOKUP(GY4,IN_Zugliste!$A$4:$C$2002,4,FALSE),"")</f>
        <v/>
      </c>
      <c r="GZ103" t="str">
        <f>+IFERROR(VLOOKUP(GZ4,IN_Zugliste!$A$4:$C$2002,4,FALSE),"")</f>
        <v/>
      </c>
      <c r="HA103" t="str">
        <f>+IFERROR(VLOOKUP(HA4,IN_Zugliste!$A$4:$C$2002,4,FALSE),"")</f>
        <v/>
      </c>
      <c r="HB103" t="str">
        <f>+IFERROR(VLOOKUP(HB4,IN_Zugliste!$A$4:$C$2002,4,FALSE),"")</f>
        <v/>
      </c>
      <c r="HC103" t="str">
        <f>+IFERROR(VLOOKUP(HC4,IN_Zugliste!$A$4:$C$2002,4,FALSE),"")</f>
        <v/>
      </c>
      <c r="HD103" t="str">
        <f>+IFERROR(VLOOKUP(HD4,IN_Zugliste!$A$4:$C$2002,4,FALSE),"")</f>
        <v/>
      </c>
      <c r="HE103" t="str">
        <f>+IFERROR(VLOOKUP(HE4,IN_Zugliste!$A$4:$C$2002,4,FALSE),"")</f>
        <v/>
      </c>
      <c r="HF103" t="str">
        <f>+IFERROR(VLOOKUP(HF4,IN_Zugliste!$A$4:$C$2002,4,FALSE),"")</f>
        <v/>
      </c>
      <c r="HG103" t="str">
        <f>+IFERROR(VLOOKUP(HG4,IN_Zugliste!$A$4:$C$2002,4,FALSE),"")</f>
        <v/>
      </c>
      <c r="HH103" t="str">
        <f>+IFERROR(VLOOKUP(HH4,IN_Zugliste!$A$4:$C$2002,4,FALSE),"")</f>
        <v/>
      </c>
      <c r="HI103" t="str">
        <f>+IFERROR(VLOOKUP(HI4,IN_Zugliste!$A$4:$C$2002,4,FALSE),"")</f>
        <v/>
      </c>
      <c r="HJ103" t="str">
        <f>+IFERROR(VLOOKUP(HJ4,IN_Zugliste!$A$4:$C$2002,4,FALSE),"")</f>
        <v/>
      </c>
      <c r="HK103" t="str">
        <f>+IFERROR(VLOOKUP(HK4,IN_Zugliste!$A$4:$C$2002,4,FALSE),"")</f>
        <v/>
      </c>
      <c r="HL103" t="str">
        <f>+IFERROR(VLOOKUP(HL4,IN_Zugliste!$A$4:$C$2002,4,FALSE),"")</f>
        <v/>
      </c>
      <c r="HM103" t="str">
        <f>+IFERROR(VLOOKUP(HM4,IN_Zugliste!$A$4:$C$2002,4,FALSE),"")</f>
        <v/>
      </c>
      <c r="HN103" t="str">
        <f>+IFERROR(VLOOKUP(HN4,IN_Zugliste!$A$4:$C$2002,4,FALSE),"")</f>
        <v/>
      </c>
      <c r="HO103" t="str">
        <f>+IFERROR(VLOOKUP(HO4,IN_Zugliste!$A$4:$C$2002,4,FALSE),"")</f>
        <v/>
      </c>
      <c r="HP103" t="str">
        <f>+IFERROR(VLOOKUP(HP4,IN_Zugliste!$A$4:$C$2002,4,FALSE),"")</f>
        <v/>
      </c>
      <c r="HQ103" t="str">
        <f>+IFERROR(VLOOKUP(HQ4,IN_Zugliste!$A$4:$C$2002,4,FALSE),"")</f>
        <v/>
      </c>
      <c r="HR103" t="str">
        <f>+IFERROR(VLOOKUP(HR4,IN_Zugliste!$A$4:$C$2002,4,FALSE),"")</f>
        <v/>
      </c>
      <c r="HS103" t="str">
        <f>+IFERROR(VLOOKUP(HS4,IN_Zugliste!$A$4:$C$2002,4,FALSE),"")</f>
        <v/>
      </c>
      <c r="HT103" t="str">
        <f>+IFERROR(VLOOKUP(HT4,IN_Zugliste!$A$4:$C$2002,4,FALSE),"")</f>
        <v/>
      </c>
      <c r="HU103" t="str">
        <f>+IFERROR(VLOOKUP(HU4,IN_Zugliste!$A$4:$C$2002,4,FALSE),"")</f>
        <v/>
      </c>
      <c r="HV103" t="str">
        <f>+IFERROR(VLOOKUP(HV4,IN_Zugliste!$A$4:$C$2002,4,FALSE),"")</f>
        <v/>
      </c>
      <c r="HW103" t="str">
        <f>+IFERROR(VLOOKUP(HW4,IN_Zugliste!$A$4:$C$2002,4,FALSE),"")</f>
        <v/>
      </c>
      <c r="HX103" t="str">
        <f>+IFERROR(VLOOKUP(HX4,IN_Zugliste!$A$4:$C$2002,4,FALSE),"")</f>
        <v/>
      </c>
      <c r="HY103" t="str">
        <f>+IFERROR(VLOOKUP(HY4,IN_Zugliste!$A$4:$C$2002,4,FALSE),"")</f>
        <v/>
      </c>
      <c r="HZ103" t="str">
        <f>+IFERROR(VLOOKUP(HZ4,IN_Zugliste!$A$4:$C$2002,4,FALSE),"")</f>
        <v/>
      </c>
      <c r="IA103" t="str">
        <f>+IFERROR(VLOOKUP(IA4,IN_Zugliste!$A$4:$C$2002,4,FALSE),"")</f>
        <v/>
      </c>
      <c r="IB103" t="str">
        <f>+IFERROR(VLOOKUP(IB4,IN_Zugliste!$A$4:$C$2002,4,FALSE),"")</f>
        <v/>
      </c>
      <c r="IC103" t="str">
        <f>+IFERROR(VLOOKUP(IC4,IN_Zugliste!$A$4:$C$2002,4,FALSE),"")</f>
        <v/>
      </c>
      <c r="ID103" t="str">
        <f>+IFERROR(VLOOKUP(ID4,IN_Zugliste!$A$4:$C$2002,4,FALSE),"")</f>
        <v/>
      </c>
      <c r="IE103" t="str">
        <f>+IFERROR(VLOOKUP(IE4,IN_Zugliste!$A$4:$C$2002,4,FALSE),"")</f>
        <v/>
      </c>
      <c r="IF103" t="str">
        <f>+IFERROR(VLOOKUP(IF4,IN_Zugliste!$A$4:$C$2002,4,FALSE),"")</f>
        <v/>
      </c>
      <c r="IG103" t="str">
        <f>+IFERROR(VLOOKUP(IG4,IN_Zugliste!$A$4:$C$2002,4,FALSE),"")</f>
        <v/>
      </c>
      <c r="IH103" t="str">
        <f>+IFERROR(VLOOKUP(IH4,IN_Zugliste!$A$4:$C$2002,4,FALSE),"")</f>
        <v/>
      </c>
      <c r="II103" t="str">
        <f>+IFERROR(VLOOKUP(II4,IN_Zugliste!$A$4:$C$2002,4,FALSE),"")</f>
        <v/>
      </c>
      <c r="IJ103" t="str">
        <f>+IFERROR(VLOOKUP(IJ4,IN_Zugliste!$A$4:$C$2002,4,FALSE),"")</f>
        <v/>
      </c>
      <c r="IK103" t="str">
        <f>+IFERROR(VLOOKUP(IK4,IN_Zugliste!$A$4:$C$2002,4,FALSE),"")</f>
        <v/>
      </c>
      <c r="IL103" t="str">
        <f>+IFERROR(VLOOKUP(IL4,IN_Zugliste!$A$4:$C$2002,4,FALSE),"")</f>
        <v/>
      </c>
      <c r="IM103" t="str">
        <f>+IFERROR(VLOOKUP(IM4,IN_Zugliste!$A$4:$C$2002,4,FALSE),"")</f>
        <v/>
      </c>
      <c r="IN103" t="str">
        <f>+IFERROR(VLOOKUP(IN4,IN_Zugliste!$A$4:$C$2002,4,FALSE),"")</f>
        <v/>
      </c>
      <c r="IO103" t="str">
        <f>+IFERROR(VLOOKUP(IO4,IN_Zugliste!$A$4:$C$2002,4,FALSE),"")</f>
        <v/>
      </c>
      <c r="IP103" t="str">
        <f>+IFERROR(VLOOKUP(IP4,IN_Zugliste!$A$4:$C$2002,4,FALSE),"")</f>
        <v/>
      </c>
      <c r="IQ103" t="str">
        <f>+IFERROR(VLOOKUP(IQ4,IN_Zugliste!$A$4:$C$2002,4,FALSE),"")</f>
        <v/>
      </c>
      <c r="IR103" t="str">
        <f>+IFERROR(VLOOKUP(IR4,IN_Zugliste!$A$4:$C$2002,4,FALSE),"")</f>
        <v/>
      </c>
      <c r="IS103" t="str">
        <f>+IFERROR(VLOOKUP(IS4,IN_Zugliste!$A$4:$C$2002,4,FALSE),"")</f>
        <v/>
      </c>
      <c r="IT103" t="str">
        <f>+IFERROR(VLOOKUP(IT4,IN_Zugliste!$A$4:$C$2002,4,FALSE),"")</f>
        <v/>
      </c>
      <c r="IU103" t="str">
        <f>+IFERROR(VLOOKUP(IU4,IN_Zugliste!$A$4:$C$2002,4,FALSE),"")</f>
        <v/>
      </c>
      <c r="IV103" t="str">
        <f>+IFERROR(VLOOKUP(IV4,IN_Zugliste!$A$4:$C$2002,4,FALSE),"")</f>
        <v/>
      </c>
      <c r="IW103" t="str">
        <f>+IFERROR(VLOOKUP(IW4,IN_Zugliste!$A$4:$C$2002,4,FALSE),"")</f>
        <v/>
      </c>
      <c r="IX103" t="str">
        <f>+IFERROR(VLOOKUP(IX4,IN_Zugliste!$A$4:$C$2002,4,FALSE),"")</f>
        <v/>
      </c>
      <c r="IY103" t="str">
        <f>+IFERROR(VLOOKUP(IY4,IN_Zugliste!$A$4:$C$2002,4,FALSE),"")</f>
        <v/>
      </c>
      <c r="IZ103" t="str">
        <f>+IFERROR(VLOOKUP(IZ4,IN_Zugliste!$A$4:$C$2002,4,FALSE),"")</f>
        <v/>
      </c>
      <c r="JA103" t="str">
        <f>+IFERROR(VLOOKUP(JA4,IN_Zugliste!$A$4:$C$2002,4,FALSE),"")</f>
        <v/>
      </c>
      <c r="JB103" t="str">
        <f>+IFERROR(VLOOKUP(JB4,IN_Zugliste!$A$4:$C$2002,4,FALSE),"")</f>
        <v/>
      </c>
      <c r="JC103" t="str">
        <f>+IFERROR(VLOOKUP(JC4,IN_Zugliste!$A$4:$C$2002,4,FALSE),"")</f>
        <v/>
      </c>
      <c r="JD103" t="str">
        <f>+IFERROR(VLOOKUP(JD4,IN_Zugliste!$A$4:$C$2002,4,FALSE),"")</f>
        <v/>
      </c>
      <c r="JE103" t="str">
        <f>+IFERROR(VLOOKUP(JE4,IN_Zugliste!$A$4:$C$2002,4,FALSE),"")</f>
        <v/>
      </c>
      <c r="JF103" t="str">
        <f>+IFERROR(VLOOKUP(JF4,IN_Zugliste!$A$4:$C$2002,4,FALSE),"")</f>
        <v/>
      </c>
      <c r="JG103" t="str">
        <f>+IFERROR(VLOOKUP(JG4,IN_Zugliste!$A$4:$C$2002,4,FALSE),"")</f>
        <v/>
      </c>
      <c r="JH103" t="str">
        <f>+IFERROR(VLOOKUP(JH4,IN_Zugliste!$A$4:$C$2002,4,FALSE),"")</f>
        <v/>
      </c>
      <c r="JI103" t="str">
        <f>+IFERROR(VLOOKUP(JI4,IN_Zugliste!$A$4:$C$2002,4,FALSE),"")</f>
        <v/>
      </c>
      <c r="JJ103" t="str">
        <f>+IFERROR(VLOOKUP(JJ4,IN_Zugliste!$A$4:$C$2002,4,FALSE),"")</f>
        <v/>
      </c>
      <c r="JK103" t="str">
        <f>+IFERROR(VLOOKUP(JK4,IN_Zugliste!$A$4:$C$2002,4,FALSE),"")</f>
        <v/>
      </c>
      <c r="JL103" t="str">
        <f>+IFERROR(VLOOKUP(JL4,IN_Zugliste!$A$4:$C$2002,4,FALSE),"")</f>
        <v/>
      </c>
    </row>
    <row r="104" spans="1:272" x14ac:dyDescent="0.2">
      <c r="A104" t="str">
        <f>+IFERROR(VLOOKUP(A5,IN_Zugliste!$A$4:$D$2002,4,FALSE),"")</f>
        <v>101-3.0</v>
      </c>
      <c r="B104" t="str">
        <f>+IFERROR(VLOOKUP(B5,IN_Zugliste!$A$4:$D$2002,4,FALSE),"")</f>
        <v>101-3.0</v>
      </c>
      <c r="C104" t="str">
        <f>+IFERROR(VLOOKUP(C5,IN_Zugliste!$A$4:$D$2002,4,FALSE),"")</f>
        <v>146-3.2</v>
      </c>
      <c r="D104" t="str">
        <f>+IFERROR(VLOOKUP(D5,IN_Zugliste!$A$4:$D$2002,4,FALSE),"")</f>
        <v>462-1.0</v>
      </c>
      <c r="E104" t="str">
        <f>+IFERROR(VLOOKUP(E5,IN_Zugliste!$A$4:$D$2002,4,FALSE),"")</f>
        <v>462-1.0</v>
      </c>
      <c r="F104" t="str">
        <f>+IFERROR(VLOOKUP(F5,IN_Zugliste!$A$4:$D$2002,4,FALSE),"")</f>
        <v>146-3.2</v>
      </c>
      <c r="G104" t="str">
        <f>+IFERROR(VLOOKUP(G5,IN_Zugliste!$A$4:$D$2002,4,FALSE),"")</f>
        <v>101-3.0</v>
      </c>
      <c r="H104" t="str">
        <f>+IFERROR(VLOOKUP(H5,IN_Zugliste!$A$4:$D$2002,4,FALSE),"")</f>
        <v>101-3.0</v>
      </c>
      <c r="I104" t="str">
        <f>+IFERROR(VLOOKUP(I5,IN_Zugliste!$A$4:$D$2002,4,FALSE),"")</f>
        <v>146-3.2</v>
      </c>
      <c r="J104" t="str">
        <f>+IFERROR(VLOOKUP(J5,IN_Zugliste!$A$4:$D$2002,4,FALSE),"")</f>
        <v>101-3.0</v>
      </c>
      <c r="K104" t="str">
        <f>+IFERROR(VLOOKUP(K5,IN_Zugliste!$A$4:$D$2002,4,FALSE),"")</f>
        <v>101-3.0</v>
      </c>
      <c r="L104" t="str">
        <f>+IFERROR(VLOOKUP(L5,IN_Zugliste!$A$4:$D$2002,4,FALSE),"")</f>
        <v>146-3.2</v>
      </c>
      <c r="M104" t="str">
        <f>+IFERROR(VLOOKUP(M5,IN_Zugliste!$A$4:$D$2002,4,FALSE),"")</f>
        <v>146-3.2</v>
      </c>
      <c r="N104" t="str">
        <f>+IFERROR(VLOOKUP(N5,IN_Zugliste!$A$4:$D$2002,4,FALSE),"")</f>
        <v>101-3.0</v>
      </c>
      <c r="O104" t="str">
        <f>+IFERROR(VLOOKUP(O5,IN_Zugliste!$A$4:$D$2002,4,FALSE),"")</f>
        <v>146-3.2</v>
      </c>
      <c r="P104" t="str">
        <f>+IFERROR(VLOOKUP(P5,IN_Zugliste!$A$4:$D$2002,4,FALSE),"")</f>
        <v>146-3.2</v>
      </c>
      <c r="Q104" t="str">
        <f>+IFERROR(VLOOKUP(Q5,IN_Zugliste!$A$4:$D$2002,4,FALSE),"")</f>
        <v>146-3.2</v>
      </c>
      <c r="R104" t="str">
        <f>+IFERROR(VLOOKUP(R5,IN_Zugliste!$A$4:$D$2002,4,FALSE),"")</f>
        <v>462-1.0</v>
      </c>
      <c r="S104" t="str">
        <f>+IFERROR(VLOOKUP(S5,IN_Zugliste!$A$4:$D$2002,4,FALSE),"")</f>
        <v>462-1.0</v>
      </c>
      <c r="T104" t="str">
        <f>+IFERROR(VLOOKUP(T5,IN_Zugliste!$A$4:$D$2002,4,FALSE),"")</f>
        <v>146-3.2</v>
      </c>
      <c r="U104" t="str">
        <f>+IFERROR(VLOOKUP(U5,IN_Zugliste!$A$4:$D$2002,4,FALSE),"")</f>
        <v>146-3.2</v>
      </c>
      <c r="V104" t="str">
        <f>+IFERROR(VLOOKUP(V5,IN_Zugliste!$A$4:$D$2002,4,FALSE),"")</f>
        <v>101-3.0</v>
      </c>
      <c r="W104" t="str">
        <f>+IFERROR(VLOOKUP(W5,IN_Zugliste!$A$4:$D$2002,4,FALSE),"")</f>
        <v>101-3.0</v>
      </c>
      <c r="X104" t="str">
        <f>+IFERROR(VLOOKUP(X5,IN_Zugliste!$A$4:$D$2002,4,FALSE),"")</f>
        <v>101-3.0</v>
      </c>
      <c r="Y104" t="str">
        <f>+IFERROR(VLOOKUP(Y5,IN_Zugliste!$A$4:$D$2002,4,FALSE),"")</f>
        <v>146-3.2</v>
      </c>
      <c r="Z104" t="str">
        <f>+IFERROR(VLOOKUP(Z5,IN_Zugliste!$A$4:$D$2002,4,FALSE),"")</f>
        <v>146-3.2</v>
      </c>
      <c r="AA104" t="str">
        <f>+IFERROR(VLOOKUP(AA5,IN_Zugliste!$A$4:$D$2002,4,FALSE),"")</f>
        <v>146-3.2</v>
      </c>
      <c r="AB104" t="str">
        <f>+IFERROR(VLOOKUP(AB5,IN_Zugliste!$A$4:$D$2002,4,FALSE),"")</f>
        <v>101-3.0</v>
      </c>
      <c r="AC104" t="str">
        <f>+IFERROR(VLOOKUP(AC5,IN_Zugliste!$A$4:$D$2002,4,FALSE),"")</f>
        <v>462-1.0</v>
      </c>
      <c r="AD104" t="str">
        <f>+IFERROR(VLOOKUP(AD5,IN_Zugliste!$A$4:$D$2002,4,FALSE),"")</f>
        <v>462-1.0</v>
      </c>
      <c r="AE104" t="str">
        <f>+IFERROR(VLOOKUP(AE5,IN_Zugliste!$A$4:$D$2002,4,FALSE),"")</f>
        <v>146-3.2</v>
      </c>
      <c r="AF104" t="str">
        <f>+IFERROR(VLOOKUP(AF5,IN_Zugliste!$A$4:$D$2002,4,FALSE),"")</f>
        <v>146-3.2</v>
      </c>
      <c r="AG104" t="str">
        <f>+IFERROR(VLOOKUP(AG5,IN_Zugliste!$A$4:$D$2002,4,FALSE),"")</f>
        <v>101-3.0</v>
      </c>
      <c r="AH104" t="str">
        <f>+IFERROR(VLOOKUP(AH5,IN_Zugliste!$A$4:$D$2002,4,FALSE),"")</f>
        <v>462-1.0</v>
      </c>
      <c r="AI104" t="str">
        <f>+IFERROR(VLOOKUP(AI5,IN_Zugliste!$A$4:$D$2002,4,FALSE),"")</f>
        <v>146-3.2</v>
      </c>
      <c r="AJ104" t="str">
        <f>+IFERROR(VLOOKUP(AJ5,IN_Zugliste!$A$4:$D$2002,4,FALSE),"")</f>
        <v>101-3.0</v>
      </c>
      <c r="AK104" t="str">
        <f>+IFERROR(VLOOKUP(AK5,IN_Zugliste!$A$4:$D$2002,4,FALSE),"")</f>
        <v>146-3.2</v>
      </c>
      <c r="AL104" t="str">
        <f>+IFERROR(VLOOKUP(AL5,IN_Zugliste!$A$4:$D$2002,4,FALSE),"")</f>
        <v>146-3.2</v>
      </c>
      <c r="AM104" t="str">
        <f>+IFERROR(VLOOKUP(AM5,IN_Zugliste!$A$4:$D$2002,4,FALSE),"")</f>
        <v>462-1.0</v>
      </c>
      <c r="AN104" t="str">
        <f>+IFERROR(VLOOKUP(AN5,IN_Zugliste!$A$4:$D$2002,4,FALSE),"")</f>
        <v>146-3.2</v>
      </c>
      <c r="AO104" t="str">
        <f>+IFERROR(VLOOKUP(AO5,IN_Zugliste!$A$4:$D$2002,4,FALSE),"")</f>
        <v>146-3.2</v>
      </c>
      <c r="AP104" t="str">
        <f>+IFERROR(VLOOKUP(AP5,IN_Zugliste!$A$4:$D$2002,4,FALSE),"")</f>
        <v>462-1.0</v>
      </c>
      <c r="AQ104" t="str">
        <f>+IFERROR(VLOOKUP(AQ5,IN_Zugliste!$A$4:$D$2002,4,FALSE),"")</f>
        <v>146-3.2</v>
      </c>
      <c r="AR104" t="str">
        <f>+IFERROR(VLOOKUP(AR5,IN_Zugliste!$A$4:$D$2002,4,FALSE),"")</f>
        <v>462-1.0</v>
      </c>
      <c r="AS104" t="str">
        <f>+IFERROR(VLOOKUP(AS5,IN_Zugliste!$A$4:$D$2002,4,FALSE),"")</f>
        <v>146-3.2</v>
      </c>
      <c r="AT104" t="str">
        <f>+IFERROR(VLOOKUP(AT5,IN_Zugliste!$A$4:$D$2002,4,FALSE),"")</f>
        <v>462-1.0</v>
      </c>
      <c r="AU104" t="str">
        <f>+IFERROR(VLOOKUP(AU5,IN_Zugliste!$A$4:$D$2002,4,FALSE),"")</f>
        <v>462-1.0</v>
      </c>
      <c r="AV104" t="str">
        <f>+IFERROR(VLOOKUP(AV5,IN_Zugliste!$A$4:$D$2002,4,FALSE),"")</f>
        <v>462-1.0</v>
      </c>
      <c r="AW104" t="str">
        <f>+IFERROR(VLOOKUP(AW5,IN_Zugliste!$A$4:$D$2002,4,FALSE),"")</f>
        <v>462-1.0</v>
      </c>
      <c r="AX104" t="str">
        <f>+IFERROR(VLOOKUP(AX5,IN_Zugliste!$A$4:$D$2002,4,FALSE),"")</f>
        <v>146-3.2</v>
      </c>
      <c r="AY104" t="str">
        <f>+IFERROR(VLOOKUP(AY5,IN_Zugliste!$A$4:$D$2002,4,FALSE),"")</f>
        <v>462-1.0</v>
      </c>
      <c r="AZ104" t="str">
        <f>+IFERROR(VLOOKUP(AZ5,IN_Zugliste!$A$4:$D$2002,4,FALSE),"")</f>
        <v>462-1.0</v>
      </c>
      <c r="BA104" t="str">
        <f>+IFERROR(VLOOKUP(BA5,IN_Zugliste!$A$4:$D$2002,4,FALSE),"")</f>
        <v/>
      </c>
      <c r="BB104" t="str">
        <f>+IFERROR(VLOOKUP(BB5,IN_Zugliste!$A$4:$D$2002,4,FALSE),"")</f>
        <v>462-1.0</v>
      </c>
      <c r="BC104" t="str">
        <f>+IFERROR(VLOOKUP(BC5,IN_Zugliste!$A$4:$D$2002,4,FALSE),"")</f>
        <v>146-3.2</v>
      </c>
      <c r="BD104" t="str">
        <f>+IFERROR(VLOOKUP(BD5,IN_Zugliste!$A$4:$D$2002,4,FALSE),"")</f>
        <v>146-3.2</v>
      </c>
      <c r="BE104" t="str">
        <f>+IFERROR(VLOOKUP(BE5,IN_Zugliste!$A$4:$D$2002,4,FALSE),"")</f>
        <v>462-1.0</v>
      </c>
      <c r="BF104" t="str">
        <f>+IFERROR(VLOOKUP(BF5,IN_Zugliste!$A$4:$D$2002,4,FALSE),"")</f>
        <v>462-1.0</v>
      </c>
      <c r="BG104" t="str">
        <f>+IFERROR(VLOOKUP(BG5,IN_Zugliste!$A$4:$D$2002,4,FALSE),"")</f>
        <v>146-3.2</v>
      </c>
      <c r="BH104" t="str">
        <f>+IFERROR(VLOOKUP(BH5,IN_Zugliste!$A$4:$D$2002,4,FALSE),"")</f>
        <v>462-1.0</v>
      </c>
      <c r="BI104" t="str">
        <f>+IFERROR(VLOOKUP(BI5,IN_Zugliste!$A$4:$D$2002,4,FALSE),"")</f>
        <v>462-1.0</v>
      </c>
      <c r="BJ104" t="str">
        <f>+IFERROR(VLOOKUP(BJ5,IN_Zugliste!$A$4:$D$2002,4,FALSE),"")</f>
        <v>462-1.0</v>
      </c>
      <c r="BK104" t="str">
        <f>+IFERROR(VLOOKUP(BK5,IN_Zugliste!$A$4:$D$2002,4,FALSE),"")</f>
        <v/>
      </c>
      <c r="BL104" t="str">
        <f>+IFERROR(VLOOKUP(BL5,IN_Zugliste!$A$4:$D$2002,4,FALSE),"")</f>
        <v>462-1.0</v>
      </c>
      <c r="BM104" t="str">
        <f>+IFERROR(VLOOKUP(BM5,IN_Zugliste!$A$4:$D$2002,4,FALSE),"")</f>
        <v>462-1.0</v>
      </c>
      <c r="BN104" t="str">
        <f>+IFERROR(VLOOKUP(BN5,IN_Zugliste!$A$4:$D$2002,4,FALSE),"")</f>
        <v>462-1.0</v>
      </c>
      <c r="BO104" t="str">
        <f>+IFERROR(VLOOKUP(BO5,IN_Zugliste!$A$4:$D$2002,4,FALSE),"")</f>
        <v>146-3.2</v>
      </c>
      <c r="BP104" t="str">
        <f>+IFERROR(VLOOKUP(BP5,IN_Zugliste!$A$4:$D$2002,4,FALSE),"")</f>
        <v>462-1.0</v>
      </c>
      <c r="BQ104" t="str">
        <f>+IFERROR(VLOOKUP(BQ5,IN_Zugliste!$A$4:$D$2002,4,FALSE),"")</f>
        <v>462-1.0</v>
      </c>
      <c r="BR104" t="str">
        <f>+IFERROR(VLOOKUP(BR5,IN_Zugliste!$A$4:$D$2002,4,FALSE),"")</f>
        <v>146-3.2</v>
      </c>
      <c r="BS104" t="str">
        <f>+IFERROR(VLOOKUP(BS5,IN_Zugliste!$A$4:$D$2002,4,FALSE),"")</f>
        <v>462-1.0</v>
      </c>
      <c r="BT104" t="str">
        <f>+IFERROR(VLOOKUP(BT5,IN_Zugliste!$A$4:$D$2002,4,FALSE),"")</f>
        <v>462-1.0</v>
      </c>
      <c r="BU104" t="str">
        <f>+IFERROR(VLOOKUP(BU5,IN_Zugliste!$A$4:$D$2002,4,FALSE),"")</f>
        <v>462-1.0</v>
      </c>
      <c r="BV104" t="str">
        <f>+IFERROR(VLOOKUP(BV5,IN_Zugliste!$A$4:$D$2002,4,FALSE),"")</f>
        <v>462-1.0</v>
      </c>
      <c r="BW104" t="str">
        <f>+IFERROR(VLOOKUP(BW5,IN_Zugliste!$A$4:$D$2002,4,FALSE),"")</f>
        <v/>
      </c>
      <c r="BX104" t="str">
        <f>+IFERROR(VLOOKUP(BX5,IN_Zugliste!$A$4:$D$2002,4,FALSE),"")</f>
        <v>462-1.0</v>
      </c>
      <c r="BY104" t="str">
        <f>+IFERROR(VLOOKUP(BY5,IN_Zugliste!$A$4:$D$2002,4,FALSE),"")</f>
        <v>146-3.2</v>
      </c>
      <c r="BZ104" t="str">
        <f>+IFERROR(VLOOKUP(BZ5,IN_Zugliste!$A$4:$D$2002,4,FALSE),"")</f>
        <v/>
      </c>
      <c r="CA104" t="str">
        <f>+IFERROR(VLOOKUP(CA5,IN_Zugliste!$A$4:$D$2002,4,FALSE),"")</f>
        <v>146-3.2</v>
      </c>
      <c r="CB104" t="str">
        <f>+IFERROR(VLOOKUP(CB5,IN_Zugliste!$A$4:$D$2002,4,FALSE),"")</f>
        <v>462-1.0</v>
      </c>
      <c r="CC104" t="str">
        <f>+IFERROR(VLOOKUP(CC5,IN_Zugliste!$A$4:$D$2002,4,FALSE),"")</f>
        <v>462-1.0</v>
      </c>
      <c r="CD104" t="str">
        <f>+IFERROR(VLOOKUP(CD5,IN_Zugliste!$A$4:$D$2002,4,FALSE),"")</f>
        <v/>
      </c>
      <c r="CE104" t="str">
        <f>+IFERROR(VLOOKUP(CE5,IN_Zugliste!$A$4:$D$2002,4,FALSE),"")</f>
        <v>462-1.0</v>
      </c>
      <c r="CF104" t="str">
        <f>+IFERROR(VLOOKUP(CF5,IN_Zugliste!$A$4:$D$2002,4,FALSE),"")</f>
        <v>462-1.0</v>
      </c>
      <c r="CG104" t="str">
        <f>+IFERROR(VLOOKUP(CG5,IN_Zugliste!$A$4:$D$2002,4,FALSE),"")</f>
        <v>462-1.0</v>
      </c>
      <c r="CH104" t="str">
        <f>+IFERROR(VLOOKUP(CH5,IN_Zugliste!$A$4:$D$2002,4,FALSE),"")</f>
        <v>146-3.2</v>
      </c>
      <c r="CI104" t="str">
        <f>+IFERROR(VLOOKUP(CI5,IN_Zugliste!$A$4:$D$2002,4,FALSE),"")</f>
        <v>462-1.0</v>
      </c>
      <c r="CJ104" t="str">
        <f>+IFERROR(VLOOKUP(CJ5,IN_Zugliste!$A$4:$D$2002,4,FALSE),"")</f>
        <v>462-1.0</v>
      </c>
      <c r="CK104" t="str">
        <f>+IFERROR(VLOOKUP(CK5,IN_Zugliste!$A$4:$D$2002,4,FALSE),"")</f>
        <v>462-1.0</v>
      </c>
      <c r="CL104" t="str">
        <f>+IFERROR(VLOOKUP(CL5,IN_Zugliste!$A$4:$D$2002,4,FALSE),"")</f>
        <v/>
      </c>
      <c r="CM104" t="str">
        <f>+IFERROR(VLOOKUP(CM5,IN_Zugliste!$A$4:$D$2002,4,FALSE),"")</f>
        <v/>
      </c>
      <c r="CN104" t="str">
        <f>+IFERROR(VLOOKUP(CN5,IN_Zugliste!$A$4:$D$2002,4,FALSE),"")</f>
        <v>462-1.0</v>
      </c>
      <c r="CO104" t="str">
        <f>+IFERROR(VLOOKUP(CO5,IN_Zugliste!$A$4:$D$2002,4,FALSE),"")</f>
        <v>462-1.0</v>
      </c>
      <c r="CP104" t="str">
        <f>+IFERROR(VLOOKUP(CP5,IN_Zugliste!$A$4:$D$2002,4,FALSE),"")</f>
        <v>462-1.0</v>
      </c>
      <c r="CQ104" t="str">
        <f>+IFERROR(VLOOKUP(CQ5,IN_Zugliste!$A$4:$D$2002,4,FALSE),"")</f>
        <v/>
      </c>
      <c r="CR104" t="str">
        <f>+IFERROR(VLOOKUP(CR5,IN_Zugliste!$A$4:$D$2002,4,FALSE),"")</f>
        <v/>
      </c>
      <c r="CS104" t="str">
        <f>+IFERROR(VLOOKUP(CS5,IN_Zugliste!$A$4:$D$2002,4,FALSE),"")</f>
        <v/>
      </c>
      <c r="CT104" t="str">
        <f>+IFERROR(VLOOKUP(CT5,IN_Zugliste!$A$4:$D$2002,4,FALSE),"")</f>
        <v/>
      </c>
      <c r="CU104" t="str">
        <f>+IFERROR(VLOOKUP(CU5,IN_Zugliste!$A$4:$D$2002,4,FALSE),"")</f>
        <v/>
      </c>
      <c r="CV104" t="str">
        <f>+IFERROR(VLOOKUP(CV5,IN_Zugliste!$A$4:$D$2002,4,FALSE),"")</f>
        <v/>
      </c>
      <c r="CW104" t="str">
        <f>+IFERROR(VLOOKUP(CW5,IN_Zugliste!$A$4:$D$2002,4,FALSE),"")</f>
        <v/>
      </c>
      <c r="CX104" t="str">
        <f>+IFERROR(VLOOKUP(CX5,IN_Zugliste!$A$4:$D$2002,4,FALSE),"")</f>
        <v/>
      </c>
      <c r="CY104" t="str">
        <f>+IFERROR(VLOOKUP(CY5,IN_Zugliste!$A$4:$D$2002,4,FALSE),"")</f>
        <v/>
      </c>
      <c r="CZ104" t="str">
        <f>+IFERROR(VLOOKUP(CZ5,IN_Zugliste!$A$4:$D$2002,4,FALSE),"")</f>
        <v/>
      </c>
      <c r="DA104" t="str">
        <f>+IFERROR(VLOOKUP(DA5,IN_Zugliste!$A$4:$D$2002,4,FALSE),"")</f>
        <v>146-3.2</v>
      </c>
      <c r="DB104" t="str">
        <f>+IFERROR(VLOOKUP(DB5,IN_Zugliste!$A$4:$D$2002,4,FALSE),"")</f>
        <v/>
      </c>
      <c r="DC104" t="str">
        <f>+IFERROR(VLOOKUP(DC5,IN_Zugliste!$A$4:$D$2002,4,FALSE),"")</f>
        <v/>
      </c>
      <c r="DD104" t="str">
        <f>+IFERROR(VLOOKUP(DD5,IN_Zugliste!$A$4:$D$2002,4,FALSE),"")</f>
        <v/>
      </c>
      <c r="DE104" t="str">
        <f>+IFERROR(VLOOKUP(DE5,IN_Zugliste!$A$4:$D$2002,4,FALSE),"")</f>
        <v/>
      </c>
      <c r="DF104" t="str">
        <f>+IFERROR(VLOOKUP(DF5,IN_Zugliste!$A$4:$D$2002,4,FALSE),"")</f>
        <v/>
      </c>
      <c r="DG104" t="str">
        <f>+IFERROR(VLOOKUP(DG5,IN_Zugliste!$A$4:$D$2002,4,FALSE),"")</f>
        <v/>
      </c>
      <c r="DH104" t="str">
        <f>+IFERROR(VLOOKUP(DH5,IN_Zugliste!$A$4:$D$2002,4,FALSE),"")</f>
        <v/>
      </c>
      <c r="DI104" t="str">
        <f>+IFERROR(VLOOKUP(DI5,IN_Zugliste!$A$4:$D$2002,4,FALSE),"")</f>
        <v>146-3.2</v>
      </c>
      <c r="DJ104" t="str">
        <f>+IFERROR(VLOOKUP(DJ5,IN_Zugliste!$A$4:$D$2002,4,FALSE),"")</f>
        <v/>
      </c>
      <c r="DK104" t="str">
        <f>+IFERROR(VLOOKUP(DK5,IN_Zugliste!$A$4:$D$2002,4,FALSE),"")</f>
        <v/>
      </c>
      <c r="DL104" t="str">
        <f>+IFERROR(VLOOKUP(DL5,IN_Zugliste!$A$4:$D$2002,4,FALSE),"")</f>
        <v/>
      </c>
      <c r="DM104" t="str">
        <f>+IFERROR(VLOOKUP(DM5,IN_Zugliste!$A$4:$D$2002,4,FALSE),"")</f>
        <v/>
      </c>
      <c r="DN104" t="str">
        <f>+IFERROR(VLOOKUP(DN5,IN_Zugliste!$A$4:$D$2002,4,FALSE),"")</f>
        <v/>
      </c>
      <c r="DO104" t="str">
        <f>+IFERROR(VLOOKUP(DO5,IN_Zugliste!$A$4:$D$2002,4,FALSE),"")</f>
        <v/>
      </c>
      <c r="DP104" t="str">
        <f>+IFERROR(VLOOKUP(DP5,IN_Zugliste!$A$4:$D$2002,4,FALSE),"")</f>
        <v/>
      </c>
      <c r="DQ104" t="str">
        <f>+IFERROR(VLOOKUP(DQ5,IN_Zugliste!$A$4:$D$2002,4,FALSE),"")</f>
        <v/>
      </c>
      <c r="DR104" t="str">
        <f>+IFERROR(VLOOKUP(DR5,IN_Zugliste!$A$4:$D$2002,4,FALSE),"")</f>
        <v/>
      </c>
      <c r="DS104" t="str">
        <f>+IFERROR(VLOOKUP(DS5,IN_Zugliste!$A$4:$D$2002,4,FALSE),"")</f>
        <v/>
      </c>
      <c r="DT104" t="str">
        <f>+IFERROR(VLOOKUP(DT5,IN_Zugliste!$A$4:$D$2002,4,FALSE),"")</f>
        <v/>
      </c>
      <c r="DU104" t="str">
        <f>+IFERROR(VLOOKUP(DU5,IN_Zugliste!$A$4:$D$2002,4,FALSE),"")</f>
        <v/>
      </c>
      <c r="DV104" t="str">
        <f>+IFERROR(VLOOKUP(DV5,IN_Zugliste!$A$4:$D$2002,4,FALSE),"")</f>
        <v/>
      </c>
      <c r="DW104" t="str">
        <f>+IFERROR(VLOOKUP(DW5,IN_Zugliste!$A$4:$D$2002,4,FALSE),"")</f>
        <v/>
      </c>
      <c r="DX104" t="str">
        <f>+IFERROR(VLOOKUP(DX5,IN_Zugliste!$A$4:$D$2002,4,FALSE),"")</f>
        <v/>
      </c>
      <c r="DY104" t="str">
        <f>+IFERROR(VLOOKUP(DY5,IN_Zugliste!$A$4:$D$2002,4,FALSE),"")</f>
        <v/>
      </c>
      <c r="DZ104" t="str">
        <f>+IFERROR(VLOOKUP(DZ5,IN_Zugliste!$A$4:$D$2002,4,FALSE),"")</f>
        <v/>
      </c>
      <c r="EA104" t="str">
        <f>+IFERROR(VLOOKUP(EA5,IN_Zugliste!$A$4:$D$2002,4,FALSE),"")</f>
        <v/>
      </c>
      <c r="EB104" t="str">
        <f>+IFERROR(VLOOKUP(EB5,IN_Zugliste!$A$4:$D$2002,4,FALSE),"")</f>
        <v/>
      </c>
      <c r="EC104" t="str">
        <f>+IFERROR(VLOOKUP(EC5,IN_Zugliste!$A$4:$D$2002,4,FALSE),"")</f>
        <v/>
      </c>
      <c r="ED104" t="str">
        <f>+IFERROR(VLOOKUP(ED5,IN_Zugliste!$A$4:$D$2002,4,FALSE),"")</f>
        <v/>
      </c>
      <c r="EE104" t="str">
        <f>+IFERROR(VLOOKUP(EE5,IN_Zugliste!$A$4:$D$2002,4,FALSE),"")</f>
        <v/>
      </c>
      <c r="EF104" t="str">
        <f>+IFERROR(VLOOKUP(EF5,IN_Zugliste!$A$4:$D$2002,4,FALSE),"")</f>
        <v/>
      </c>
      <c r="EG104" t="str">
        <f>+IFERROR(VLOOKUP(EG5,IN_Zugliste!$A$4:$D$2002,4,FALSE),"")</f>
        <v/>
      </c>
      <c r="EH104" t="str">
        <f>+IFERROR(VLOOKUP(EH5,IN_Zugliste!$A$4:$D$2002,4,FALSE),"")</f>
        <v/>
      </c>
      <c r="EI104" t="str">
        <f>+IFERROR(VLOOKUP(EI5,IN_Zugliste!$A$4:$D$2002,4,FALSE),"")</f>
        <v/>
      </c>
      <c r="EJ104" t="str">
        <f>+IFERROR(VLOOKUP(EJ5,IN_Zugliste!$A$4:$D$2002,4,FALSE),"")</f>
        <v/>
      </c>
      <c r="EK104" t="str">
        <f>+IFERROR(VLOOKUP(EK5,IN_Zugliste!$A$4:$D$2002,4,FALSE),"")</f>
        <v/>
      </c>
      <c r="EL104" t="str">
        <f>+IFERROR(VLOOKUP(EL5,IN_Zugliste!$A$4:$D$2002,4,FALSE),"")</f>
        <v/>
      </c>
      <c r="EM104" t="str">
        <f>+IFERROR(VLOOKUP(EM5,IN_Zugliste!$A$4:$D$2002,4,FALSE),"")</f>
        <v/>
      </c>
      <c r="EN104" t="str">
        <f>+IFERROR(VLOOKUP(EN5,IN_Zugliste!$A$4:$D$2002,4,FALSE),"")</f>
        <v/>
      </c>
      <c r="EO104" t="str">
        <f>+IFERROR(VLOOKUP(EO5,IN_Zugliste!$A$4:$D$2002,4,FALSE),"")</f>
        <v/>
      </c>
      <c r="EP104" t="str">
        <f>+IFERROR(VLOOKUP(EP5,IN_Zugliste!$A$4:$D$2002,4,FALSE),"")</f>
        <v/>
      </c>
      <c r="EQ104" t="str">
        <f>+IFERROR(VLOOKUP(EQ5,IN_Zugliste!$A$4:$D$2002,4,FALSE),"")</f>
        <v/>
      </c>
      <c r="ER104" t="str">
        <f>+IFERROR(VLOOKUP(ER5,IN_Zugliste!$A$4:$D$2002,4,FALSE),"")</f>
        <v/>
      </c>
      <c r="ES104" t="str">
        <f>+IFERROR(VLOOKUP(ES5,IN_Zugliste!$A$4:$D$2002,4,FALSE),"")</f>
        <v/>
      </c>
      <c r="ET104" t="str">
        <f>+IFERROR(VLOOKUP(ET5,IN_Zugliste!$A$4:$D$2002,4,FALSE),"")</f>
        <v/>
      </c>
      <c r="EU104" t="str">
        <f>+IFERROR(VLOOKUP(EU5,IN_Zugliste!$A$4:$D$2002,4,FALSE),"")</f>
        <v/>
      </c>
      <c r="EV104" t="str">
        <f>+IFERROR(VLOOKUP(EV5,IN_Zugliste!$A$4:$D$2002,4,FALSE),"")</f>
        <v/>
      </c>
      <c r="EW104" t="str">
        <f>+IFERROR(VLOOKUP(EW5,IN_Zugliste!$A$4:$D$2002,4,FALSE),"")</f>
        <v/>
      </c>
      <c r="EX104" t="str">
        <f>+IFERROR(VLOOKUP(EX5,IN_Zugliste!$A$4:$D$2002,4,FALSE),"")</f>
        <v/>
      </c>
      <c r="EY104" t="str">
        <f>+IFERROR(VLOOKUP(EY5,IN_Zugliste!$A$4:$D$2002,4,FALSE),"")</f>
        <v/>
      </c>
      <c r="EZ104" t="str">
        <f>+IFERROR(VLOOKUP(EZ5,IN_Zugliste!$A$4:$D$2002,4,FALSE),"")</f>
        <v/>
      </c>
      <c r="FA104" t="str">
        <f>+IFERROR(VLOOKUP(FA5,IN_Zugliste!$A$4:$D$2002,4,FALSE),"")</f>
        <v/>
      </c>
      <c r="FB104" t="str">
        <f>+IFERROR(VLOOKUP(FB5,IN_Zugliste!$A$4:$D$2002,4,FALSE),"")</f>
        <v/>
      </c>
      <c r="FC104" t="str">
        <f>+IFERROR(VLOOKUP(FC5,IN_Zugliste!$A$4:$D$2002,4,FALSE),"")</f>
        <v/>
      </c>
      <c r="FD104" t="str">
        <f>+IFERROR(VLOOKUP(FD5,IN_Zugliste!$A$4:$D$2002,4,FALSE),"")</f>
        <v/>
      </c>
      <c r="FE104" t="str">
        <f>+IFERROR(VLOOKUP(FE5,IN_Zugliste!$A$4:$D$2002,4,FALSE),"")</f>
        <v/>
      </c>
      <c r="FF104" t="str">
        <f>+IFERROR(VLOOKUP(FF5,IN_Zugliste!$A$4:$D$2002,4,FALSE),"")</f>
        <v/>
      </c>
      <c r="FG104" t="str">
        <f>+IFERROR(VLOOKUP(FG5,IN_Zugliste!$A$4:$D$2002,4,FALSE),"")</f>
        <v/>
      </c>
      <c r="FH104" t="str">
        <f>+IFERROR(VLOOKUP(FH5,IN_Zugliste!$A$4:$D$2002,4,FALSE),"")</f>
        <v/>
      </c>
      <c r="FI104" t="str">
        <f>+IFERROR(VLOOKUP(FI5,IN_Zugliste!$A$4:$D$2002,4,FALSE),"")</f>
        <v/>
      </c>
      <c r="FJ104" t="str">
        <f>+IFERROR(VLOOKUP(FJ5,IN_Zugliste!$A$4:$D$2002,4,FALSE),"")</f>
        <v/>
      </c>
      <c r="FK104" t="str">
        <f>+IFERROR(VLOOKUP(FK5,IN_Zugliste!$A$4:$D$2002,4,FALSE),"")</f>
        <v/>
      </c>
      <c r="FL104" t="str">
        <f>+IFERROR(VLOOKUP(FL5,IN_Zugliste!$A$4:$D$2002,4,FALSE),"")</f>
        <v/>
      </c>
      <c r="FM104" t="str">
        <f>+IFERROR(VLOOKUP(FM5,IN_Zugliste!$A$4:$C$2002,4,FALSE),"")</f>
        <v/>
      </c>
      <c r="FN104" t="str">
        <f>+IFERROR(VLOOKUP(FN5,IN_Zugliste!$A$4:$C$2002,4,FALSE),"")</f>
        <v/>
      </c>
      <c r="FO104" t="str">
        <f>+IFERROR(VLOOKUP(FO5,IN_Zugliste!$A$4:$C$2002,4,FALSE),"")</f>
        <v/>
      </c>
      <c r="FP104" t="str">
        <f>+IFERROR(VLOOKUP(FP5,IN_Zugliste!$A$4:$C$2002,4,FALSE),"")</f>
        <v/>
      </c>
      <c r="FQ104" t="str">
        <f>+IFERROR(VLOOKUP(FQ5,IN_Zugliste!$A$4:$C$2002,4,FALSE),"")</f>
        <v/>
      </c>
      <c r="FR104" t="str">
        <f>+IFERROR(VLOOKUP(FR5,IN_Zugliste!$A$4:$C$2002,4,FALSE),"")</f>
        <v/>
      </c>
      <c r="FS104" t="str">
        <f>+IFERROR(VLOOKUP(FS5,IN_Zugliste!$A$4:$C$2002,4,FALSE),"")</f>
        <v/>
      </c>
      <c r="FT104" t="str">
        <f>+IFERROR(VLOOKUP(FT5,IN_Zugliste!$A$4:$C$2002,4,FALSE),"")</f>
        <v/>
      </c>
      <c r="FU104" t="str">
        <f>+IFERROR(VLOOKUP(FU5,IN_Zugliste!$A$4:$C$2002,4,FALSE),"")</f>
        <v/>
      </c>
      <c r="FV104" t="str">
        <f>+IFERROR(VLOOKUP(FV5,IN_Zugliste!$A$4:$C$2002,4,FALSE),"")</f>
        <v/>
      </c>
      <c r="FW104" t="str">
        <f>+IFERROR(VLOOKUP(FW5,IN_Zugliste!$A$4:$C$2002,4,FALSE),"")</f>
        <v/>
      </c>
      <c r="FX104" t="str">
        <f>+IFERROR(VLOOKUP(FX5,IN_Zugliste!$A$4:$C$2002,4,FALSE),"")</f>
        <v/>
      </c>
      <c r="FY104" t="str">
        <f>+IFERROR(VLOOKUP(FY5,IN_Zugliste!$A$4:$C$2002,4,FALSE),"")</f>
        <v/>
      </c>
      <c r="FZ104" t="str">
        <f>+IFERROR(VLOOKUP(FZ5,IN_Zugliste!$A$4:$C$2002,4,FALSE),"")</f>
        <v/>
      </c>
      <c r="GA104" t="str">
        <f>+IFERROR(VLOOKUP(GA5,IN_Zugliste!$A$4:$C$2002,4,FALSE),"")</f>
        <v/>
      </c>
      <c r="GB104" t="str">
        <f>+IFERROR(VLOOKUP(GB5,IN_Zugliste!$A$4:$C$2002,4,FALSE),"")</f>
        <v/>
      </c>
      <c r="GC104" t="str">
        <f>+IFERROR(VLOOKUP(GC5,IN_Zugliste!$A$4:$C$2002,4,FALSE),"")</f>
        <v/>
      </c>
      <c r="GD104" t="str">
        <f>+IFERROR(VLOOKUP(GD5,IN_Zugliste!$A$4:$C$2002,4,FALSE),"")</f>
        <v/>
      </c>
      <c r="GE104" t="str">
        <f>+IFERROR(VLOOKUP(GE5,IN_Zugliste!$A$4:$C$2002,4,FALSE),"")</f>
        <v/>
      </c>
      <c r="GF104" t="str">
        <f>+IFERROR(VLOOKUP(GF5,IN_Zugliste!$A$4:$C$2002,4,FALSE),"")</f>
        <v/>
      </c>
      <c r="GG104" t="str">
        <f>+IFERROR(VLOOKUP(GG5,IN_Zugliste!$A$4:$C$2002,4,FALSE),"")</f>
        <v/>
      </c>
      <c r="GH104" t="str">
        <f>+IFERROR(VLOOKUP(GH5,IN_Zugliste!$A$4:$C$2002,4,FALSE),"")</f>
        <v/>
      </c>
      <c r="GI104" t="str">
        <f>+IFERROR(VLOOKUP(GI5,IN_Zugliste!$A$4:$C$2002,4,FALSE),"")</f>
        <v/>
      </c>
      <c r="GJ104" t="str">
        <f>+IFERROR(VLOOKUP(GJ5,IN_Zugliste!$A$4:$C$2002,4,FALSE),"")</f>
        <v/>
      </c>
      <c r="GK104" t="str">
        <f>+IFERROR(VLOOKUP(GK5,IN_Zugliste!$A$4:$C$2002,4,FALSE),"")</f>
        <v/>
      </c>
      <c r="GL104" t="str">
        <f>+IFERROR(VLOOKUP(GL5,IN_Zugliste!$A$4:$C$2002,4,FALSE),"")</f>
        <v/>
      </c>
      <c r="GM104" t="str">
        <f>+IFERROR(VLOOKUP(GM5,IN_Zugliste!$A$4:$C$2002,4,FALSE),"")</f>
        <v/>
      </c>
      <c r="GN104" t="str">
        <f>+IFERROR(VLOOKUP(GN5,IN_Zugliste!$A$4:$C$2002,4,FALSE),"")</f>
        <v/>
      </c>
      <c r="GO104" t="str">
        <f>+IFERROR(VLOOKUP(GO5,IN_Zugliste!$A$4:$C$2002,4,FALSE),"")</f>
        <v/>
      </c>
      <c r="GP104" t="str">
        <f>+IFERROR(VLOOKUP(GP5,IN_Zugliste!$A$4:$C$2002,4,FALSE),"")</f>
        <v/>
      </c>
      <c r="GQ104" t="str">
        <f>+IFERROR(VLOOKUP(GQ5,IN_Zugliste!$A$4:$C$2002,4,FALSE),"")</f>
        <v/>
      </c>
      <c r="GR104" t="str">
        <f>+IFERROR(VLOOKUP(GR5,IN_Zugliste!$A$4:$C$2002,4,FALSE),"")</f>
        <v/>
      </c>
      <c r="GS104" t="str">
        <f>+IFERROR(VLOOKUP(GS5,IN_Zugliste!$A$4:$C$2002,4,FALSE),"")</f>
        <v/>
      </c>
      <c r="GT104" t="str">
        <f>+IFERROR(VLOOKUP(GT5,IN_Zugliste!$A$4:$C$2002,4,FALSE),"")</f>
        <v/>
      </c>
      <c r="GU104" t="str">
        <f>+IFERROR(VLOOKUP(GU5,IN_Zugliste!$A$4:$C$2002,4,FALSE),"")</f>
        <v/>
      </c>
      <c r="GV104" t="str">
        <f>+IFERROR(VLOOKUP(GV5,IN_Zugliste!$A$4:$C$2002,4,FALSE),"")</f>
        <v/>
      </c>
      <c r="GW104" t="str">
        <f>+IFERROR(VLOOKUP(GW5,IN_Zugliste!$A$4:$C$2002,4,FALSE),"")</f>
        <v/>
      </c>
      <c r="GX104" t="str">
        <f>+IFERROR(VLOOKUP(GX5,IN_Zugliste!$A$4:$C$2002,4,FALSE),"")</f>
        <v/>
      </c>
      <c r="GY104" t="str">
        <f>+IFERROR(VLOOKUP(GY5,IN_Zugliste!$A$4:$C$2002,4,FALSE),"")</f>
        <v/>
      </c>
      <c r="GZ104" t="str">
        <f>+IFERROR(VLOOKUP(GZ5,IN_Zugliste!$A$4:$C$2002,4,FALSE),"")</f>
        <v/>
      </c>
      <c r="HA104" t="str">
        <f>+IFERROR(VLOOKUP(HA5,IN_Zugliste!$A$4:$C$2002,4,FALSE),"")</f>
        <v/>
      </c>
      <c r="HB104" t="str">
        <f>+IFERROR(VLOOKUP(HB5,IN_Zugliste!$A$4:$C$2002,4,FALSE),"")</f>
        <v/>
      </c>
      <c r="HC104" t="str">
        <f>+IFERROR(VLOOKUP(HC5,IN_Zugliste!$A$4:$C$2002,4,FALSE),"")</f>
        <v/>
      </c>
      <c r="HD104" t="str">
        <f>+IFERROR(VLOOKUP(HD5,IN_Zugliste!$A$4:$C$2002,4,FALSE),"")</f>
        <v/>
      </c>
      <c r="HE104" t="str">
        <f>+IFERROR(VLOOKUP(HE5,IN_Zugliste!$A$4:$C$2002,4,FALSE),"")</f>
        <v/>
      </c>
      <c r="HF104" t="str">
        <f>+IFERROR(VLOOKUP(HF5,IN_Zugliste!$A$4:$C$2002,4,FALSE),"")</f>
        <v/>
      </c>
      <c r="HG104" t="str">
        <f>+IFERROR(VLOOKUP(HG5,IN_Zugliste!$A$4:$C$2002,4,FALSE),"")</f>
        <v/>
      </c>
      <c r="HH104" t="str">
        <f>+IFERROR(VLOOKUP(HH5,IN_Zugliste!$A$4:$C$2002,4,FALSE),"")</f>
        <v/>
      </c>
      <c r="HI104" t="str">
        <f>+IFERROR(VLOOKUP(HI5,IN_Zugliste!$A$4:$C$2002,4,FALSE),"")</f>
        <v/>
      </c>
      <c r="HJ104" t="str">
        <f>+IFERROR(VLOOKUP(HJ5,IN_Zugliste!$A$4:$C$2002,4,FALSE),"")</f>
        <v/>
      </c>
      <c r="HK104" t="str">
        <f>+IFERROR(VLOOKUP(HK5,IN_Zugliste!$A$4:$C$2002,4,FALSE),"")</f>
        <v/>
      </c>
      <c r="HL104" t="str">
        <f>+IFERROR(VLOOKUP(HL5,IN_Zugliste!$A$4:$C$2002,4,FALSE),"")</f>
        <v/>
      </c>
      <c r="HM104" t="str">
        <f>+IFERROR(VLOOKUP(HM5,IN_Zugliste!$A$4:$C$2002,4,FALSE),"")</f>
        <v/>
      </c>
      <c r="HN104" t="str">
        <f>+IFERROR(VLOOKUP(HN5,IN_Zugliste!$A$4:$C$2002,4,FALSE),"")</f>
        <v/>
      </c>
      <c r="HO104" t="str">
        <f>+IFERROR(VLOOKUP(HO5,IN_Zugliste!$A$4:$C$2002,4,FALSE),"")</f>
        <v/>
      </c>
      <c r="HP104" t="str">
        <f>+IFERROR(VLOOKUP(HP5,IN_Zugliste!$A$4:$C$2002,4,FALSE),"")</f>
        <v/>
      </c>
      <c r="HQ104" t="str">
        <f>+IFERROR(VLOOKUP(HQ5,IN_Zugliste!$A$4:$C$2002,4,FALSE),"")</f>
        <v/>
      </c>
      <c r="HR104" t="str">
        <f>+IFERROR(VLOOKUP(HR5,IN_Zugliste!$A$4:$C$2002,4,FALSE),"")</f>
        <v/>
      </c>
      <c r="HS104" t="str">
        <f>+IFERROR(VLOOKUP(HS5,IN_Zugliste!$A$4:$C$2002,4,FALSE),"")</f>
        <v/>
      </c>
      <c r="HT104" t="str">
        <f>+IFERROR(VLOOKUP(HT5,IN_Zugliste!$A$4:$C$2002,4,FALSE),"")</f>
        <v/>
      </c>
      <c r="HU104" t="str">
        <f>+IFERROR(VLOOKUP(HU5,IN_Zugliste!$A$4:$C$2002,4,FALSE),"")</f>
        <v/>
      </c>
      <c r="HV104" t="str">
        <f>+IFERROR(VLOOKUP(HV5,IN_Zugliste!$A$4:$C$2002,4,FALSE),"")</f>
        <v/>
      </c>
      <c r="HW104" t="str">
        <f>+IFERROR(VLOOKUP(HW5,IN_Zugliste!$A$4:$C$2002,4,FALSE),"")</f>
        <v/>
      </c>
      <c r="HX104" t="str">
        <f>+IFERROR(VLOOKUP(HX5,IN_Zugliste!$A$4:$C$2002,4,FALSE),"")</f>
        <v/>
      </c>
      <c r="HY104" t="str">
        <f>+IFERROR(VLOOKUP(HY5,IN_Zugliste!$A$4:$C$2002,4,FALSE),"")</f>
        <v/>
      </c>
      <c r="HZ104" t="str">
        <f>+IFERROR(VLOOKUP(HZ5,IN_Zugliste!$A$4:$C$2002,4,FALSE),"")</f>
        <v/>
      </c>
      <c r="IA104" t="str">
        <f>+IFERROR(VLOOKUP(IA5,IN_Zugliste!$A$4:$C$2002,4,FALSE),"")</f>
        <v/>
      </c>
      <c r="IB104" t="str">
        <f>+IFERROR(VLOOKUP(IB5,IN_Zugliste!$A$4:$C$2002,4,FALSE),"")</f>
        <v/>
      </c>
      <c r="IC104" t="str">
        <f>+IFERROR(VLOOKUP(IC5,IN_Zugliste!$A$4:$C$2002,4,FALSE),"")</f>
        <v/>
      </c>
      <c r="ID104" t="str">
        <f>+IFERROR(VLOOKUP(ID5,IN_Zugliste!$A$4:$C$2002,4,FALSE),"")</f>
        <v/>
      </c>
      <c r="IE104" t="str">
        <f>+IFERROR(VLOOKUP(IE5,IN_Zugliste!$A$4:$C$2002,4,FALSE),"")</f>
        <v/>
      </c>
      <c r="IF104" t="str">
        <f>+IFERROR(VLOOKUP(IF5,IN_Zugliste!$A$4:$C$2002,4,FALSE),"")</f>
        <v/>
      </c>
      <c r="IG104" t="str">
        <f>+IFERROR(VLOOKUP(IG5,IN_Zugliste!$A$4:$C$2002,4,FALSE),"")</f>
        <v/>
      </c>
      <c r="IH104" t="str">
        <f>+IFERROR(VLOOKUP(IH5,IN_Zugliste!$A$4:$C$2002,4,FALSE),"")</f>
        <v/>
      </c>
      <c r="II104" t="str">
        <f>+IFERROR(VLOOKUP(II5,IN_Zugliste!$A$4:$C$2002,4,FALSE),"")</f>
        <v/>
      </c>
      <c r="IJ104" t="str">
        <f>+IFERROR(VLOOKUP(IJ5,IN_Zugliste!$A$4:$C$2002,4,FALSE),"")</f>
        <v/>
      </c>
      <c r="IK104" t="str">
        <f>+IFERROR(VLOOKUP(IK5,IN_Zugliste!$A$4:$C$2002,4,FALSE),"")</f>
        <v/>
      </c>
      <c r="IL104" t="str">
        <f>+IFERROR(VLOOKUP(IL5,IN_Zugliste!$A$4:$C$2002,4,FALSE),"")</f>
        <v/>
      </c>
      <c r="IM104" t="str">
        <f>+IFERROR(VLOOKUP(IM5,IN_Zugliste!$A$4:$C$2002,4,FALSE),"")</f>
        <v/>
      </c>
      <c r="IN104" t="str">
        <f>+IFERROR(VLOOKUP(IN5,IN_Zugliste!$A$4:$C$2002,4,FALSE),"")</f>
        <v/>
      </c>
      <c r="IO104" t="str">
        <f>+IFERROR(VLOOKUP(IO5,IN_Zugliste!$A$4:$C$2002,4,FALSE),"")</f>
        <v/>
      </c>
      <c r="IP104" t="str">
        <f>+IFERROR(VLOOKUP(IP5,IN_Zugliste!$A$4:$C$2002,4,FALSE),"")</f>
        <v/>
      </c>
      <c r="IQ104" t="str">
        <f>+IFERROR(VLOOKUP(IQ5,IN_Zugliste!$A$4:$C$2002,4,FALSE),"")</f>
        <v/>
      </c>
      <c r="IR104" t="str">
        <f>+IFERROR(VLOOKUP(IR5,IN_Zugliste!$A$4:$C$2002,4,FALSE),"")</f>
        <v/>
      </c>
      <c r="IS104" t="str">
        <f>+IFERROR(VLOOKUP(IS5,IN_Zugliste!$A$4:$C$2002,4,FALSE),"")</f>
        <v/>
      </c>
      <c r="IT104" t="str">
        <f>+IFERROR(VLOOKUP(IT5,IN_Zugliste!$A$4:$C$2002,4,FALSE),"")</f>
        <v/>
      </c>
      <c r="IU104" t="str">
        <f>+IFERROR(VLOOKUP(IU5,IN_Zugliste!$A$4:$C$2002,4,FALSE),"")</f>
        <v/>
      </c>
      <c r="IV104" t="str">
        <f>+IFERROR(VLOOKUP(IV5,IN_Zugliste!$A$4:$C$2002,4,FALSE),"")</f>
        <v/>
      </c>
      <c r="IW104" t="str">
        <f>+IFERROR(VLOOKUP(IW5,IN_Zugliste!$A$4:$C$2002,4,FALSE),"")</f>
        <v/>
      </c>
      <c r="IX104" t="str">
        <f>+IFERROR(VLOOKUP(IX5,IN_Zugliste!$A$4:$C$2002,4,FALSE),"")</f>
        <v/>
      </c>
      <c r="IY104" t="str">
        <f>+IFERROR(VLOOKUP(IY5,IN_Zugliste!$A$4:$C$2002,4,FALSE),"")</f>
        <v/>
      </c>
      <c r="IZ104" t="str">
        <f>+IFERROR(VLOOKUP(IZ5,IN_Zugliste!$A$4:$C$2002,4,FALSE),"")</f>
        <v/>
      </c>
      <c r="JA104" t="str">
        <f>+IFERROR(VLOOKUP(JA5,IN_Zugliste!$A$4:$C$2002,4,FALSE),"")</f>
        <v/>
      </c>
      <c r="JB104" t="str">
        <f>+IFERROR(VLOOKUP(JB5,IN_Zugliste!$A$4:$C$2002,4,FALSE),"")</f>
        <v/>
      </c>
      <c r="JC104" t="str">
        <f>+IFERROR(VLOOKUP(JC5,IN_Zugliste!$A$4:$C$2002,4,FALSE),"")</f>
        <v/>
      </c>
      <c r="JD104" t="str">
        <f>+IFERROR(VLOOKUP(JD5,IN_Zugliste!$A$4:$C$2002,4,FALSE),"")</f>
        <v/>
      </c>
      <c r="JE104" t="str">
        <f>+IFERROR(VLOOKUP(JE5,IN_Zugliste!$A$4:$C$2002,4,FALSE),"")</f>
        <v/>
      </c>
      <c r="JF104" t="str">
        <f>+IFERROR(VLOOKUP(JF5,IN_Zugliste!$A$4:$C$2002,4,FALSE),"")</f>
        <v/>
      </c>
      <c r="JG104" t="str">
        <f>+IFERROR(VLOOKUP(JG5,IN_Zugliste!$A$4:$C$2002,4,FALSE),"")</f>
        <v/>
      </c>
      <c r="JH104" t="str">
        <f>+IFERROR(VLOOKUP(JH5,IN_Zugliste!$A$4:$C$2002,4,FALSE),"")</f>
        <v/>
      </c>
      <c r="JI104" t="str">
        <f>+IFERROR(VLOOKUP(JI5,IN_Zugliste!$A$4:$C$2002,4,FALSE),"")</f>
        <v/>
      </c>
      <c r="JJ104" t="str">
        <f>+IFERROR(VLOOKUP(JJ5,IN_Zugliste!$A$4:$C$2002,4,FALSE),"")</f>
        <v/>
      </c>
      <c r="JK104" t="str">
        <f>+IFERROR(VLOOKUP(JK5,IN_Zugliste!$A$4:$C$2002,4,FALSE),"")</f>
        <v/>
      </c>
      <c r="JL104" t="str">
        <f>+IFERROR(VLOOKUP(JL5,IN_Zugliste!$A$4:$C$2002,4,FALSE),"")</f>
        <v/>
      </c>
    </row>
    <row r="105" spans="1:272" x14ac:dyDescent="0.2">
      <c r="A105" t="str">
        <f>+IFERROR(VLOOKUP(A6,IN_Zugliste!$A$4:$D$2002,4,FALSE),"")</f>
        <v>101-3.0</v>
      </c>
      <c r="B105" t="str">
        <f>+IFERROR(VLOOKUP(B6,IN_Zugliste!$A$4:$D$2002,4,FALSE),"")</f>
        <v>101-3.0</v>
      </c>
      <c r="C105" t="str">
        <f>+IFERROR(VLOOKUP(C6,IN_Zugliste!$A$4:$D$2002,4,FALSE),"")</f>
        <v>146-3.2</v>
      </c>
      <c r="D105" t="str">
        <f>+IFERROR(VLOOKUP(D6,IN_Zugliste!$A$4:$D$2002,4,FALSE),"")</f>
        <v>462-1.0</v>
      </c>
      <c r="E105" t="str">
        <f>+IFERROR(VLOOKUP(E6,IN_Zugliste!$A$4:$D$2002,4,FALSE),"")</f>
        <v>462-1.0</v>
      </c>
      <c r="F105" t="str">
        <f>+IFERROR(VLOOKUP(F6,IN_Zugliste!$A$4:$D$2002,4,FALSE),"")</f>
        <v>146-3.2</v>
      </c>
      <c r="G105" t="str">
        <f>+IFERROR(VLOOKUP(G6,IN_Zugliste!$A$4:$D$2002,4,FALSE),"")</f>
        <v>101-3.0</v>
      </c>
      <c r="H105" t="str">
        <f>+IFERROR(VLOOKUP(H6,IN_Zugliste!$A$4:$D$2002,4,FALSE),"")</f>
        <v>101-3.0</v>
      </c>
      <c r="I105" t="str">
        <f>+IFERROR(VLOOKUP(I6,IN_Zugliste!$A$4:$D$2002,4,FALSE),"")</f>
        <v>146-3.2</v>
      </c>
      <c r="J105" t="str">
        <f>+IFERROR(VLOOKUP(J6,IN_Zugliste!$A$4:$D$2002,4,FALSE),"")</f>
        <v>101-3.0</v>
      </c>
      <c r="K105" t="str">
        <f>+IFERROR(VLOOKUP(K6,IN_Zugliste!$A$4:$D$2002,4,FALSE),"")</f>
        <v>101-3.0</v>
      </c>
      <c r="L105" t="str">
        <f>+IFERROR(VLOOKUP(L6,IN_Zugliste!$A$4:$D$2002,4,FALSE),"")</f>
        <v/>
      </c>
      <c r="M105" t="str">
        <f>+IFERROR(VLOOKUP(M6,IN_Zugliste!$A$4:$D$2002,4,FALSE),"")</f>
        <v>146-3.2</v>
      </c>
      <c r="N105" t="str">
        <f>+IFERROR(VLOOKUP(N6,IN_Zugliste!$A$4:$D$2002,4,FALSE),"")</f>
        <v>101-3.0</v>
      </c>
      <c r="O105" t="str">
        <f>+IFERROR(VLOOKUP(O6,IN_Zugliste!$A$4:$D$2002,4,FALSE),"")</f>
        <v>146-3.2</v>
      </c>
      <c r="P105" t="str">
        <f>+IFERROR(VLOOKUP(P6,IN_Zugliste!$A$4:$D$2002,4,FALSE),"")</f>
        <v>146-3.2</v>
      </c>
      <c r="Q105" t="str">
        <f>+IFERROR(VLOOKUP(Q6,IN_Zugliste!$A$4:$D$2002,4,FALSE),"")</f>
        <v>146-3.2</v>
      </c>
      <c r="R105" t="str">
        <f>+IFERROR(VLOOKUP(R6,IN_Zugliste!$A$4:$D$2002,4,FALSE),"")</f>
        <v>462-1.0</v>
      </c>
      <c r="S105" t="str">
        <f>+IFERROR(VLOOKUP(S6,IN_Zugliste!$A$4:$D$2002,4,FALSE),"")</f>
        <v>462-1.0</v>
      </c>
      <c r="T105" t="str">
        <f>+IFERROR(VLOOKUP(T6,IN_Zugliste!$A$4:$D$2002,4,FALSE),"")</f>
        <v>146-3.2</v>
      </c>
      <c r="U105" t="str">
        <f>+IFERROR(VLOOKUP(U6,IN_Zugliste!$A$4:$D$2002,4,FALSE),"")</f>
        <v/>
      </c>
      <c r="V105" t="str">
        <f>+IFERROR(VLOOKUP(V6,IN_Zugliste!$A$4:$D$2002,4,FALSE),"")</f>
        <v>101-3.0</v>
      </c>
      <c r="W105" t="str">
        <f>+IFERROR(VLOOKUP(W6,IN_Zugliste!$A$4:$D$2002,4,FALSE),"")</f>
        <v>101-3.0</v>
      </c>
      <c r="X105" t="str">
        <f>+IFERROR(VLOOKUP(X6,IN_Zugliste!$A$4:$D$2002,4,FALSE),"")</f>
        <v>101-3.0</v>
      </c>
      <c r="Y105" t="str">
        <f>+IFERROR(VLOOKUP(Y6,IN_Zugliste!$A$4:$D$2002,4,FALSE),"")</f>
        <v>146-3.2</v>
      </c>
      <c r="Z105" t="str">
        <f>+IFERROR(VLOOKUP(Z6,IN_Zugliste!$A$4:$D$2002,4,FALSE),"")</f>
        <v>146-3.2</v>
      </c>
      <c r="AA105" t="str">
        <f>+IFERROR(VLOOKUP(AA6,IN_Zugliste!$A$4:$D$2002,4,FALSE),"")</f>
        <v>146-3.2</v>
      </c>
      <c r="AB105" t="str">
        <f>+IFERROR(VLOOKUP(AB6,IN_Zugliste!$A$4:$D$2002,4,FALSE),"")</f>
        <v>101-3.0</v>
      </c>
      <c r="AC105" t="str">
        <f>+IFERROR(VLOOKUP(AC6,IN_Zugliste!$A$4:$D$2002,4,FALSE),"")</f>
        <v/>
      </c>
      <c r="AD105" t="str">
        <f>+IFERROR(VLOOKUP(AD6,IN_Zugliste!$A$4:$D$2002,4,FALSE),"")</f>
        <v/>
      </c>
      <c r="AE105" t="str">
        <f>+IFERROR(VLOOKUP(AE6,IN_Zugliste!$A$4:$D$2002,4,FALSE),"")</f>
        <v>146-3.2</v>
      </c>
      <c r="AF105" t="str">
        <f>+IFERROR(VLOOKUP(AF6,IN_Zugliste!$A$4:$D$2002,4,FALSE),"")</f>
        <v>146-3.2</v>
      </c>
      <c r="AG105" t="str">
        <f>+IFERROR(VLOOKUP(AG6,IN_Zugliste!$A$4:$D$2002,4,FALSE),"")</f>
        <v>101-3.0</v>
      </c>
      <c r="AH105" t="str">
        <f>+IFERROR(VLOOKUP(AH6,IN_Zugliste!$A$4:$D$2002,4,FALSE),"")</f>
        <v/>
      </c>
      <c r="AI105" t="str">
        <f>+IFERROR(VLOOKUP(AI6,IN_Zugliste!$A$4:$D$2002,4,FALSE),"")</f>
        <v>146-3.2</v>
      </c>
      <c r="AJ105" t="str">
        <f>+IFERROR(VLOOKUP(AJ6,IN_Zugliste!$A$4:$D$2002,4,FALSE),"")</f>
        <v>101-3.0</v>
      </c>
      <c r="AK105" t="str">
        <f>+IFERROR(VLOOKUP(AK6,IN_Zugliste!$A$4:$D$2002,4,FALSE),"")</f>
        <v/>
      </c>
      <c r="AL105" t="str">
        <f>+IFERROR(VLOOKUP(AL6,IN_Zugliste!$A$4:$D$2002,4,FALSE),"")</f>
        <v>146-3.2</v>
      </c>
      <c r="AM105" t="str">
        <f>+IFERROR(VLOOKUP(AM6,IN_Zugliste!$A$4:$D$2002,4,FALSE),"")</f>
        <v/>
      </c>
      <c r="AN105" t="str">
        <f>+IFERROR(VLOOKUP(AN6,IN_Zugliste!$A$4:$D$2002,4,FALSE),"")</f>
        <v>146-3.2</v>
      </c>
      <c r="AO105" t="str">
        <f>+IFERROR(VLOOKUP(AO6,IN_Zugliste!$A$4:$D$2002,4,FALSE),"")</f>
        <v>146-3.2</v>
      </c>
      <c r="AP105" t="str">
        <f>+IFERROR(VLOOKUP(AP6,IN_Zugliste!$A$4:$D$2002,4,FALSE),"")</f>
        <v/>
      </c>
      <c r="AQ105" t="str">
        <f>+IFERROR(VLOOKUP(AQ6,IN_Zugliste!$A$4:$D$2002,4,FALSE),"")</f>
        <v>146-3.2</v>
      </c>
      <c r="AR105" t="str">
        <f>+IFERROR(VLOOKUP(AR6,IN_Zugliste!$A$4:$D$2002,4,FALSE),"")</f>
        <v/>
      </c>
      <c r="AS105" t="str">
        <f>+IFERROR(VLOOKUP(AS6,IN_Zugliste!$A$4:$D$2002,4,FALSE),"")</f>
        <v>146-3.2</v>
      </c>
      <c r="AT105" t="str">
        <f>+IFERROR(VLOOKUP(AT6,IN_Zugliste!$A$4:$D$2002,4,FALSE),"")</f>
        <v>462-1.0</v>
      </c>
      <c r="AU105" t="str">
        <f>+IFERROR(VLOOKUP(AU6,IN_Zugliste!$A$4:$D$2002,4,FALSE),"")</f>
        <v/>
      </c>
      <c r="AV105" t="str">
        <f>+IFERROR(VLOOKUP(AV6,IN_Zugliste!$A$4:$D$2002,4,FALSE),"")</f>
        <v/>
      </c>
      <c r="AW105" t="str">
        <f>+IFERROR(VLOOKUP(AW6,IN_Zugliste!$A$4:$D$2002,4,FALSE),"")</f>
        <v>462-1.0</v>
      </c>
      <c r="AX105" t="str">
        <f>+IFERROR(VLOOKUP(AX6,IN_Zugliste!$A$4:$D$2002,4,FALSE),"")</f>
        <v/>
      </c>
      <c r="AY105" t="str">
        <f>+IFERROR(VLOOKUP(AY6,IN_Zugliste!$A$4:$D$2002,4,FALSE),"")</f>
        <v/>
      </c>
      <c r="AZ105" t="str">
        <f>+IFERROR(VLOOKUP(AZ6,IN_Zugliste!$A$4:$D$2002,4,FALSE),"")</f>
        <v/>
      </c>
      <c r="BA105" t="str">
        <f>+IFERROR(VLOOKUP(BA6,IN_Zugliste!$A$4:$D$2002,4,FALSE),"")</f>
        <v/>
      </c>
      <c r="BB105" t="str">
        <f>+IFERROR(VLOOKUP(BB6,IN_Zugliste!$A$4:$D$2002,4,FALSE),"")</f>
        <v/>
      </c>
      <c r="BC105" t="str">
        <f>+IFERROR(VLOOKUP(BC6,IN_Zugliste!$A$4:$D$2002,4,FALSE),"")</f>
        <v>146-3.2</v>
      </c>
      <c r="BD105" t="str">
        <f>+IFERROR(VLOOKUP(BD6,IN_Zugliste!$A$4:$D$2002,4,FALSE),"")</f>
        <v>146-3.2</v>
      </c>
      <c r="BE105" t="str">
        <f>+IFERROR(VLOOKUP(BE6,IN_Zugliste!$A$4:$D$2002,4,FALSE),"")</f>
        <v/>
      </c>
      <c r="BF105" t="str">
        <f>+IFERROR(VLOOKUP(BF6,IN_Zugliste!$A$4:$D$2002,4,FALSE),"")</f>
        <v/>
      </c>
      <c r="BG105" t="str">
        <f>+IFERROR(VLOOKUP(BG6,IN_Zugliste!$A$4:$D$2002,4,FALSE),"")</f>
        <v/>
      </c>
      <c r="BH105" t="str">
        <f>+IFERROR(VLOOKUP(BH6,IN_Zugliste!$A$4:$D$2002,4,FALSE),"")</f>
        <v/>
      </c>
      <c r="BI105" t="str">
        <f>+IFERROR(VLOOKUP(BI6,IN_Zugliste!$A$4:$D$2002,4,FALSE),"")</f>
        <v/>
      </c>
      <c r="BJ105" t="str">
        <f>+IFERROR(VLOOKUP(BJ6,IN_Zugliste!$A$4:$D$2002,4,FALSE),"")</f>
        <v/>
      </c>
      <c r="BK105" t="str">
        <f>+IFERROR(VLOOKUP(BK6,IN_Zugliste!$A$4:$D$2002,4,FALSE),"")</f>
        <v/>
      </c>
      <c r="BL105" t="str">
        <f>+IFERROR(VLOOKUP(BL6,IN_Zugliste!$A$4:$D$2002,4,FALSE),"")</f>
        <v/>
      </c>
      <c r="BM105" t="str">
        <f>+IFERROR(VLOOKUP(BM6,IN_Zugliste!$A$4:$D$2002,4,FALSE),"")</f>
        <v/>
      </c>
      <c r="BN105" t="str">
        <f>+IFERROR(VLOOKUP(BN6,IN_Zugliste!$A$4:$D$2002,4,FALSE),"")</f>
        <v/>
      </c>
      <c r="BO105" t="str">
        <f>+IFERROR(VLOOKUP(BO6,IN_Zugliste!$A$4:$D$2002,4,FALSE),"")</f>
        <v>146-3.2</v>
      </c>
      <c r="BP105" t="str">
        <f>+IFERROR(VLOOKUP(BP6,IN_Zugliste!$A$4:$D$2002,4,FALSE),"")</f>
        <v/>
      </c>
      <c r="BQ105" t="str">
        <f>+IFERROR(VLOOKUP(BQ6,IN_Zugliste!$A$4:$D$2002,4,FALSE),"")</f>
        <v/>
      </c>
      <c r="BR105" t="str">
        <f>+IFERROR(VLOOKUP(BR6,IN_Zugliste!$A$4:$D$2002,4,FALSE),"")</f>
        <v>146-3.2</v>
      </c>
      <c r="BS105" t="str">
        <f>+IFERROR(VLOOKUP(BS6,IN_Zugliste!$A$4:$D$2002,4,FALSE),"")</f>
        <v/>
      </c>
      <c r="BT105" t="str">
        <f>+IFERROR(VLOOKUP(BT6,IN_Zugliste!$A$4:$D$2002,4,FALSE),"")</f>
        <v/>
      </c>
      <c r="BU105" t="str">
        <f>+IFERROR(VLOOKUP(BU6,IN_Zugliste!$A$4:$D$2002,4,FALSE),"")</f>
        <v/>
      </c>
      <c r="BV105" t="str">
        <f>+IFERROR(VLOOKUP(BV6,IN_Zugliste!$A$4:$D$2002,4,FALSE),"")</f>
        <v/>
      </c>
      <c r="BW105" t="str">
        <f>+IFERROR(VLOOKUP(BW6,IN_Zugliste!$A$4:$D$2002,4,FALSE),"")</f>
        <v/>
      </c>
      <c r="BX105" t="str">
        <f>+IFERROR(VLOOKUP(BX6,IN_Zugliste!$A$4:$D$2002,4,FALSE),"")</f>
        <v/>
      </c>
      <c r="BY105" t="str">
        <f>+IFERROR(VLOOKUP(BY6,IN_Zugliste!$A$4:$D$2002,4,FALSE),"")</f>
        <v/>
      </c>
      <c r="BZ105" t="str">
        <f>+IFERROR(VLOOKUP(BZ6,IN_Zugliste!$A$4:$D$2002,4,FALSE),"")</f>
        <v/>
      </c>
      <c r="CA105" t="str">
        <f>+IFERROR(VLOOKUP(CA6,IN_Zugliste!$A$4:$D$2002,4,FALSE),"")</f>
        <v/>
      </c>
      <c r="CB105" t="str">
        <f>+IFERROR(VLOOKUP(CB6,IN_Zugliste!$A$4:$D$2002,4,FALSE),"")</f>
        <v/>
      </c>
      <c r="CC105" t="str">
        <f>+IFERROR(VLOOKUP(CC6,IN_Zugliste!$A$4:$D$2002,4,FALSE),"")</f>
        <v/>
      </c>
      <c r="CD105" t="str">
        <f>+IFERROR(VLOOKUP(CD6,IN_Zugliste!$A$4:$D$2002,4,FALSE),"")</f>
        <v/>
      </c>
      <c r="CE105" t="str">
        <f>+IFERROR(VLOOKUP(CE6,IN_Zugliste!$A$4:$D$2002,4,FALSE),"")</f>
        <v/>
      </c>
      <c r="CF105" t="str">
        <f>+IFERROR(VLOOKUP(CF6,IN_Zugliste!$A$4:$D$2002,4,FALSE),"")</f>
        <v/>
      </c>
      <c r="CG105" t="str">
        <f>+IFERROR(VLOOKUP(CG6,IN_Zugliste!$A$4:$D$2002,4,FALSE),"")</f>
        <v/>
      </c>
      <c r="CH105" t="str">
        <f>+IFERROR(VLOOKUP(CH6,IN_Zugliste!$A$4:$D$2002,4,FALSE),"")</f>
        <v/>
      </c>
      <c r="CI105" t="str">
        <f>+IFERROR(VLOOKUP(CI6,IN_Zugliste!$A$4:$D$2002,4,FALSE),"")</f>
        <v/>
      </c>
      <c r="CJ105" t="str">
        <f>+IFERROR(VLOOKUP(CJ6,IN_Zugliste!$A$4:$D$2002,4,FALSE),"")</f>
        <v/>
      </c>
      <c r="CK105" t="str">
        <f>+IFERROR(VLOOKUP(CK6,IN_Zugliste!$A$4:$D$2002,4,FALSE),"")</f>
        <v/>
      </c>
      <c r="CL105" t="str">
        <f>+IFERROR(VLOOKUP(CL6,IN_Zugliste!$A$4:$D$2002,4,FALSE),"")</f>
        <v/>
      </c>
      <c r="CM105" t="str">
        <f>+IFERROR(VLOOKUP(CM6,IN_Zugliste!$A$4:$D$2002,4,FALSE),"")</f>
        <v/>
      </c>
      <c r="CN105" t="str">
        <f>+IFERROR(VLOOKUP(CN6,IN_Zugliste!$A$4:$D$2002,4,FALSE),"")</f>
        <v/>
      </c>
      <c r="CO105" t="str">
        <f>+IFERROR(VLOOKUP(CO6,IN_Zugliste!$A$4:$D$2002,4,FALSE),"")</f>
        <v/>
      </c>
      <c r="CP105" t="str">
        <f>+IFERROR(VLOOKUP(CP6,IN_Zugliste!$A$4:$D$2002,4,FALSE),"")</f>
        <v/>
      </c>
      <c r="CQ105" t="str">
        <f>+IFERROR(VLOOKUP(CQ6,IN_Zugliste!$A$4:$D$2002,4,FALSE),"")</f>
        <v/>
      </c>
      <c r="CR105" t="str">
        <f>+IFERROR(VLOOKUP(CR6,IN_Zugliste!$A$4:$D$2002,4,FALSE),"")</f>
        <v/>
      </c>
      <c r="CS105" t="str">
        <f>+IFERROR(VLOOKUP(CS6,IN_Zugliste!$A$4:$D$2002,4,FALSE),"")</f>
        <v/>
      </c>
      <c r="CT105" t="str">
        <f>+IFERROR(VLOOKUP(CT6,IN_Zugliste!$A$4:$D$2002,4,FALSE),"")</f>
        <v/>
      </c>
      <c r="CU105" t="str">
        <f>+IFERROR(VLOOKUP(CU6,IN_Zugliste!$A$4:$D$2002,4,FALSE),"")</f>
        <v/>
      </c>
      <c r="CV105" t="str">
        <f>+IFERROR(VLOOKUP(CV6,IN_Zugliste!$A$4:$D$2002,4,FALSE),"")</f>
        <v/>
      </c>
      <c r="CW105" t="str">
        <f>+IFERROR(VLOOKUP(CW6,IN_Zugliste!$A$4:$D$2002,4,FALSE),"")</f>
        <v/>
      </c>
      <c r="CX105" t="str">
        <f>+IFERROR(VLOOKUP(CX6,IN_Zugliste!$A$4:$D$2002,4,FALSE),"")</f>
        <v/>
      </c>
      <c r="CY105" t="str">
        <f>+IFERROR(VLOOKUP(CY6,IN_Zugliste!$A$4:$D$2002,4,FALSE),"")</f>
        <v/>
      </c>
      <c r="CZ105" t="str">
        <f>+IFERROR(VLOOKUP(CZ6,IN_Zugliste!$A$4:$D$2002,4,FALSE),"")</f>
        <v/>
      </c>
      <c r="DA105" t="str">
        <f>+IFERROR(VLOOKUP(DA6,IN_Zugliste!$A$4:$D$2002,4,FALSE),"")</f>
        <v/>
      </c>
      <c r="DB105" t="str">
        <f>+IFERROR(VLOOKUP(DB6,IN_Zugliste!$A$4:$D$2002,4,FALSE),"")</f>
        <v/>
      </c>
      <c r="DC105" t="str">
        <f>+IFERROR(VLOOKUP(DC6,IN_Zugliste!$A$4:$D$2002,4,FALSE),"")</f>
        <v/>
      </c>
      <c r="DD105" t="str">
        <f>+IFERROR(VLOOKUP(DD6,IN_Zugliste!$A$4:$D$2002,4,FALSE),"")</f>
        <v/>
      </c>
      <c r="DE105" t="str">
        <f>+IFERROR(VLOOKUP(DE6,IN_Zugliste!$A$4:$D$2002,4,FALSE),"")</f>
        <v/>
      </c>
      <c r="DF105" t="str">
        <f>+IFERROR(VLOOKUP(DF6,IN_Zugliste!$A$4:$D$2002,4,FALSE),"")</f>
        <v/>
      </c>
      <c r="DG105" t="str">
        <f>+IFERROR(VLOOKUP(DG6,IN_Zugliste!$A$4:$D$2002,4,FALSE),"")</f>
        <v/>
      </c>
      <c r="DH105" t="str">
        <f>+IFERROR(VLOOKUP(DH6,IN_Zugliste!$A$4:$D$2002,4,FALSE),"")</f>
        <v/>
      </c>
      <c r="DI105" t="str">
        <f>+IFERROR(VLOOKUP(DI6,IN_Zugliste!$A$4:$D$2002,4,FALSE),"")</f>
        <v/>
      </c>
      <c r="DJ105" t="str">
        <f>+IFERROR(VLOOKUP(DJ6,IN_Zugliste!$A$4:$D$2002,4,FALSE),"")</f>
        <v/>
      </c>
      <c r="DK105" t="str">
        <f>+IFERROR(VLOOKUP(DK6,IN_Zugliste!$A$4:$D$2002,4,FALSE),"")</f>
        <v/>
      </c>
      <c r="DL105" t="str">
        <f>+IFERROR(VLOOKUP(DL6,IN_Zugliste!$A$4:$D$2002,4,FALSE),"")</f>
        <v/>
      </c>
      <c r="DM105" t="str">
        <f>+IFERROR(VLOOKUP(DM6,IN_Zugliste!$A$4:$D$2002,4,FALSE),"")</f>
        <v/>
      </c>
      <c r="DN105" t="str">
        <f>+IFERROR(VLOOKUP(DN6,IN_Zugliste!$A$4:$D$2002,4,FALSE),"")</f>
        <v/>
      </c>
      <c r="DO105" t="str">
        <f>+IFERROR(VLOOKUP(DO6,IN_Zugliste!$A$4:$D$2002,4,FALSE),"")</f>
        <v/>
      </c>
      <c r="DP105" t="str">
        <f>+IFERROR(VLOOKUP(DP6,IN_Zugliste!$A$4:$D$2002,4,FALSE),"")</f>
        <v/>
      </c>
      <c r="DQ105" t="str">
        <f>+IFERROR(VLOOKUP(DQ6,IN_Zugliste!$A$4:$D$2002,4,FALSE),"")</f>
        <v/>
      </c>
      <c r="DR105" t="str">
        <f>+IFERROR(VLOOKUP(DR6,IN_Zugliste!$A$4:$D$2002,4,FALSE),"")</f>
        <v/>
      </c>
      <c r="DS105" t="str">
        <f>+IFERROR(VLOOKUP(DS6,IN_Zugliste!$A$4:$D$2002,4,FALSE),"")</f>
        <v/>
      </c>
      <c r="DT105" t="str">
        <f>+IFERROR(VLOOKUP(DT6,IN_Zugliste!$A$4:$D$2002,4,FALSE),"")</f>
        <v/>
      </c>
      <c r="DU105" t="str">
        <f>+IFERROR(VLOOKUP(DU6,IN_Zugliste!$A$4:$D$2002,4,FALSE),"")</f>
        <v/>
      </c>
      <c r="DV105" t="str">
        <f>+IFERROR(VLOOKUP(DV6,IN_Zugliste!$A$4:$D$2002,4,FALSE),"")</f>
        <v/>
      </c>
      <c r="DW105" t="str">
        <f>+IFERROR(VLOOKUP(DW6,IN_Zugliste!$A$4:$D$2002,4,FALSE),"")</f>
        <v/>
      </c>
      <c r="DX105" t="str">
        <f>+IFERROR(VLOOKUP(DX6,IN_Zugliste!$A$4:$D$2002,4,FALSE),"")</f>
        <v/>
      </c>
      <c r="DY105" t="str">
        <f>+IFERROR(VLOOKUP(DY6,IN_Zugliste!$A$4:$D$2002,4,FALSE),"")</f>
        <v/>
      </c>
      <c r="DZ105" t="str">
        <f>+IFERROR(VLOOKUP(DZ6,IN_Zugliste!$A$4:$D$2002,4,FALSE),"")</f>
        <v/>
      </c>
      <c r="EA105" t="str">
        <f>+IFERROR(VLOOKUP(EA6,IN_Zugliste!$A$4:$D$2002,4,FALSE),"")</f>
        <v/>
      </c>
      <c r="EB105" t="str">
        <f>+IFERROR(VLOOKUP(EB6,IN_Zugliste!$A$4:$D$2002,4,FALSE),"")</f>
        <v/>
      </c>
      <c r="EC105" t="str">
        <f>+IFERROR(VLOOKUP(EC6,IN_Zugliste!$A$4:$D$2002,4,FALSE),"")</f>
        <v/>
      </c>
      <c r="ED105" t="str">
        <f>+IFERROR(VLOOKUP(ED6,IN_Zugliste!$A$4:$D$2002,4,FALSE),"")</f>
        <v/>
      </c>
      <c r="EE105" t="str">
        <f>+IFERROR(VLOOKUP(EE6,IN_Zugliste!$A$4:$D$2002,4,FALSE),"")</f>
        <v/>
      </c>
      <c r="EF105" t="str">
        <f>+IFERROR(VLOOKUP(EF6,IN_Zugliste!$A$4:$D$2002,4,FALSE),"")</f>
        <v/>
      </c>
      <c r="EG105" t="str">
        <f>+IFERROR(VLOOKUP(EG6,IN_Zugliste!$A$4:$D$2002,4,FALSE),"")</f>
        <v/>
      </c>
      <c r="EH105" t="str">
        <f>+IFERROR(VLOOKUP(EH6,IN_Zugliste!$A$4:$D$2002,4,FALSE),"")</f>
        <v/>
      </c>
      <c r="EI105" t="str">
        <f>+IFERROR(VLOOKUP(EI6,IN_Zugliste!$A$4:$D$2002,4,FALSE),"")</f>
        <v/>
      </c>
      <c r="EJ105" t="str">
        <f>+IFERROR(VLOOKUP(EJ6,IN_Zugliste!$A$4:$D$2002,4,FALSE),"")</f>
        <v/>
      </c>
      <c r="EK105" t="str">
        <f>+IFERROR(VLOOKUP(EK6,IN_Zugliste!$A$4:$D$2002,4,FALSE),"")</f>
        <v/>
      </c>
      <c r="EL105" t="str">
        <f>+IFERROR(VLOOKUP(EL6,IN_Zugliste!$A$4:$D$2002,4,FALSE),"")</f>
        <v/>
      </c>
      <c r="EM105" t="str">
        <f>+IFERROR(VLOOKUP(EM6,IN_Zugliste!$A$4:$D$2002,4,FALSE),"")</f>
        <v/>
      </c>
      <c r="EN105" t="str">
        <f>+IFERROR(VLOOKUP(EN6,IN_Zugliste!$A$4:$D$2002,4,FALSE),"")</f>
        <v/>
      </c>
      <c r="EO105" t="str">
        <f>+IFERROR(VLOOKUP(EO6,IN_Zugliste!$A$4:$D$2002,4,FALSE),"")</f>
        <v/>
      </c>
      <c r="EP105" t="str">
        <f>+IFERROR(VLOOKUP(EP6,IN_Zugliste!$A$4:$D$2002,4,FALSE),"")</f>
        <v/>
      </c>
      <c r="EQ105" t="str">
        <f>+IFERROR(VLOOKUP(EQ6,IN_Zugliste!$A$4:$D$2002,4,FALSE),"")</f>
        <v/>
      </c>
      <c r="ER105" t="str">
        <f>+IFERROR(VLOOKUP(ER6,IN_Zugliste!$A$4:$D$2002,4,FALSE),"")</f>
        <v/>
      </c>
      <c r="ES105" t="str">
        <f>+IFERROR(VLOOKUP(ES6,IN_Zugliste!$A$4:$D$2002,4,FALSE),"")</f>
        <v/>
      </c>
      <c r="ET105" t="str">
        <f>+IFERROR(VLOOKUP(ET6,IN_Zugliste!$A$4:$D$2002,4,FALSE),"")</f>
        <v/>
      </c>
      <c r="EU105" t="str">
        <f>+IFERROR(VLOOKUP(EU6,IN_Zugliste!$A$4:$D$2002,4,FALSE),"")</f>
        <v/>
      </c>
      <c r="EV105" t="str">
        <f>+IFERROR(VLOOKUP(EV6,IN_Zugliste!$A$4:$D$2002,4,FALSE),"")</f>
        <v/>
      </c>
      <c r="EW105" t="str">
        <f>+IFERROR(VLOOKUP(EW6,IN_Zugliste!$A$4:$D$2002,4,FALSE),"")</f>
        <v/>
      </c>
      <c r="EX105" t="str">
        <f>+IFERROR(VLOOKUP(EX6,IN_Zugliste!$A$4:$D$2002,4,FALSE),"")</f>
        <v/>
      </c>
      <c r="EY105" t="str">
        <f>+IFERROR(VLOOKUP(EY6,IN_Zugliste!$A$4:$D$2002,4,FALSE),"")</f>
        <v/>
      </c>
      <c r="EZ105" t="str">
        <f>+IFERROR(VLOOKUP(EZ6,IN_Zugliste!$A$4:$D$2002,4,FALSE),"")</f>
        <v/>
      </c>
      <c r="FA105" t="str">
        <f>+IFERROR(VLOOKUP(FA6,IN_Zugliste!$A$4:$D$2002,4,FALSE),"")</f>
        <v/>
      </c>
      <c r="FB105" t="str">
        <f>+IFERROR(VLOOKUP(FB6,IN_Zugliste!$A$4:$D$2002,4,FALSE),"")</f>
        <v/>
      </c>
      <c r="FC105" t="str">
        <f>+IFERROR(VLOOKUP(FC6,IN_Zugliste!$A$4:$D$2002,4,FALSE),"")</f>
        <v/>
      </c>
      <c r="FD105" t="str">
        <f>+IFERROR(VLOOKUP(FD6,IN_Zugliste!$A$4:$D$2002,4,FALSE),"")</f>
        <v/>
      </c>
      <c r="FE105" t="str">
        <f>+IFERROR(VLOOKUP(FE6,IN_Zugliste!$A$4:$D$2002,4,FALSE),"")</f>
        <v/>
      </c>
      <c r="FF105" t="str">
        <f>+IFERROR(VLOOKUP(FF6,IN_Zugliste!$A$4:$D$2002,4,FALSE),"")</f>
        <v/>
      </c>
      <c r="FG105" t="str">
        <f>+IFERROR(VLOOKUP(FG6,IN_Zugliste!$A$4:$D$2002,4,FALSE),"")</f>
        <v/>
      </c>
      <c r="FH105" t="str">
        <f>+IFERROR(VLOOKUP(FH6,IN_Zugliste!$A$4:$D$2002,4,FALSE),"")</f>
        <v/>
      </c>
      <c r="FI105" t="str">
        <f>+IFERROR(VLOOKUP(FI6,IN_Zugliste!$A$4:$D$2002,4,FALSE),"")</f>
        <v/>
      </c>
      <c r="FJ105" t="str">
        <f>+IFERROR(VLOOKUP(FJ6,IN_Zugliste!$A$4:$D$2002,4,FALSE),"")</f>
        <v/>
      </c>
      <c r="FK105" t="str">
        <f>+IFERROR(VLOOKUP(FK6,IN_Zugliste!$A$4:$D$2002,4,FALSE),"")</f>
        <v/>
      </c>
      <c r="FL105" t="str">
        <f>+IFERROR(VLOOKUP(FL6,IN_Zugliste!$A$4:$D$2002,4,FALSE),"")</f>
        <v/>
      </c>
      <c r="FM105" t="str">
        <f>+IFERROR(VLOOKUP(FM6,IN_Zugliste!$A$4:$C$2002,4,FALSE),"")</f>
        <v/>
      </c>
      <c r="FN105" t="str">
        <f>+IFERROR(VLOOKUP(FN6,IN_Zugliste!$A$4:$C$2002,4,FALSE),"")</f>
        <v/>
      </c>
      <c r="FO105" t="str">
        <f>+IFERROR(VLOOKUP(FO6,IN_Zugliste!$A$4:$C$2002,4,FALSE),"")</f>
        <v/>
      </c>
      <c r="FP105" t="str">
        <f>+IFERROR(VLOOKUP(FP6,IN_Zugliste!$A$4:$C$2002,4,FALSE),"")</f>
        <v/>
      </c>
      <c r="FQ105" t="str">
        <f>+IFERROR(VLOOKUP(FQ6,IN_Zugliste!$A$4:$C$2002,4,FALSE),"")</f>
        <v/>
      </c>
      <c r="FR105" t="str">
        <f>+IFERROR(VLOOKUP(FR6,IN_Zugliste!$A$4:$C$2002,4,FALSE),"")</f>
        <v/>
      </c>
      <c r="FS105" t="str">
        <f>+IFERROR(VLOOKUP(FS6,IN_Zugliste!$A$4:$C$2002,4,FALSE),"")</f>
        <v/>
      </c>
      <c r="FT105" t="str">
        <f>+IFERROR(VLOOKUP(FT6,IN_Zugliste!$A$4:$C$2002,4,FALSE),"")</f>
        <v/>
      </c>
      <c r="FU105" t="str">
        <f>+IFERROR(VLOOKUP(FU6,IN_Zugliste!$A$4:$C$2002,4,FALSE),"")</f>
        <v/>
      </c>
      <c r="FV105" t="str">
        <f>+IFERROR(VLOOKUP(FV6,IN_Zugliste!$A$4:$C$2002,4,FALSE),"")</f>
        <v/>
      </c>
      <c r="FW105" t="str">
        <f>+IFERROR(VLOOKUP(FW6,IN_Zugliste!$A$4:$C$2002,4,FALSE),"")</f>
        <v/>
      </c>
      <c r="FX105" t="str">
        <f>+IFERROR(VLOOKUP(FX6,IN_Zugliste!$A$4:$C$2002,4,FALSE),"")</f>
        <v/>
      </c>
      <c r="FY105" t="str">
        <f>+IFERROR(VLOOKUP(FY6,IN_Zugliste!$A$4:$C$2002,4,FALSE),"")</f>
        <v/>
      </c>
      <c r="FZ105" t="str">
        <f>+IFERROR(VLOOKUP(FZ6,IN_Zugliste!$A$4:$C$2002,4,FALSE),"")</f>
        <v/>
      </c>
      <c r="GA105" t="str">
        <f>+IFERROR(VLOOKUP(GA6,IN_Zugliste!$A$4:$C$2002,4,FALSE),"")</f>
        <v/>
      </c>
      <c r="GB105" t="str">
        <f>+IFERROR(VLOOKUP(GB6,IN_Zugliste!$A$4:$C$2002,4,FALSE),"")</f>
        <v/>
      </c>
      <c r="GC105" t="str">
        <f>+IFERROR(VLOOKUP(GC6,IN_Zugliste!$A$4:$C$2002,4,FALSE),"")</f>
        <v/>
      </c>
      <c r="GD105" t="str">
        <f>+IFERROR(VLOOKUP(GD6,IN_Zugliste!$A$4:$C$2002,4,FALSE),"")</f>
        <v/>
      </c>
      <c r="GE105" t="str">
        <f>+IFERROR(VLOOKUP(GE6,IN_Zugliste!$A$4:$C$2002,4,FALSE),"")</f>
        <v/>
      </c>
      <c r="GF105" t="str">
        <f>+IFERROR(VLOOKUP(GF6,IN_Zugliste!$A$4:$C$2002,4,FALSE),"")</f>
        <v/>
      </c>
      <c r="GG105" t="str">
        <f>+IFERROR(VLOOKUP(GG6,IN_Zugliste!$A$4:$C$2002,4,FALSE),"")</f>
        <v/>
      </c>
      <c r="GH105" t="str">
        <f>+IFERROR(VLOOKUP(GH6,IN_Zugliste!$A$4:$C$2002,4,FALSE),"")</f>
        <v/>
      </c>
      <c r="GI105" t="str">
        <f>+IFERROR(VLOOKUP(GI6,IN_Zugliste!$A$4:$C$2002,4,FALSE),"")</f>
        <v/>
      </c>
      <c r="GJ105" t="str">
        <f>+IFERROR(VLOOKUP(GJ6,IN_Zugliste!$A$4:$C$2002,4,FALSE),"")</f>
        <v/>
      </c>
      <c r="GK105" t="str">
        <f>+IFERROR(VLOOKUP(GK6,IN_Zugliste!$A$4:$C$2002,4,FALSE),"")</f>
        <v/>
      </c>
      <c r="GL105" t="str">
        <f>+IFERROR(VLOOKUP(GL6,IN_Zugliste!$A$4:$C$2002,4,FALSE),"")</f>
        <v/>
      </c>
      <c r="GM105" t="str">
        <f>+IFERROR(VLOOKUP(GM6,IN_Zugliste!$A$4:$C$2002,4,FALSE),"")</f>
        <v/>
      </c>
      <c r="GN105" t="str">
        <f>+IFERROR(VLOOKUP(GN6,IN_Zugliste!$A$4:$C$2002,4,FALSE),"")</f>
        <v/>
      </c>
      <c r="GO105" t="str">
        <f>+IFERROR(VLOOKUP(GO6,IN_Zugliste!$A$4:$C$2002,4,FALSE),"")</f>
        <v/>
      </c>
      <c r="GP105" t="str">
        <f>+IFERROR(VLOOKUP(GP6,IN_Zugliste!$A$4:$C$2002,4,FALSE),"")</f>
        <v/>
      </c>
      <c r="GQ105" t="str">
        <f>+IFERROR(VLOOKUP(GQ6,IN_Zugliste!$A$4:$C$2002,4,FALSE),"")</f>
        <v/>
      </c>
      <c r="GR105" t="str">
        <f>+IFERROR(VLOOKUP(GR6,IN_Zugliste!$A$4:$C$2002,4,FALSE),"")</f>
        <v/>
      </c>
      <c r="GS105" t="str">
        <f>+IFERROR(VLOOKUP(GS6,IN_Zugliste!$A$4:$C$2002,4,FALSE),"")</f>
        <v/>
      </c>
      <c r="GT105" t="str">
        <f>+IFERROR(VLOOKUP(GT6,IN_Zugliste!$A$4:$C$2002,4,FALSE),"")</f>
        <v/>
      </c>
      <c r="GU105" t="str">
        <f>+IFERROR(VLOOKUP(GU6,IN_Zugliste!$A$4:$C$2002,4,FALSE),"")</f>
        <v/>
      </c>
      <c r="GV105" t="str">
        <f>+IFERROR(VLOOKUP(GV6,IN_Zugliste!$A$4:$C$2002,4,FALSE),"")</f>
        <v/>
      </c>
      <c r="GW105" t="str">
        <f>+IFERROR(VLOOKUP(GW6,IN_Zugliste!$A$4:$C$2002,4,FALSE),"")</f>
        <v/>
      </c>
      <c r="GX105" t="str">
        <f>+IFERROR(VLOOKUP(GX6,IN_Zugliste!$A$4:$C$2002,4,FALSE),"")</f>
        <v/>
      </c>
      <c r="GY105" t="str">
        <f>+IFERROR(VLOOKUP(GY6,IN_Zugliste!$A$4:$C$2002,4,FALSE),"")</f>
        <v/>
      </c>
      <c r="GZ105" t="str">
        <f>+IFERROR(VLOOKUP(GZ6,IN_Zugliste!$A$4:$C$2002,4,FALSE),"")</f>
        <v/>
      </c>
      <c r="HA105" t="str">
        <f>+IFERROR(VLOOKUP(HA6,IN_Zugliste!$A$4:$C$2002,4,FALSE),"")</f>
        <v/>
      </c>
      <c r="HB105" t="str">
        <f>+IFERROR(VLOOKUP(HB6,IN_Zugliste!$A$4:$C$2002,4,FALSE),"")</f>
        <v/>
      </c>
      <c r="HC105" t="str">
        <f>+IFERROR(VLOOKUP(HC6,IN_Zugliste!$A$4:$C$2002,4,FALSE),"")</f>
        <v/>
      </c>
      <c r="HD105" t="str">
        <f>+IFERROR(VLOOKUP(HD6,IN_Zugliste!$A$4:$C$2002,4,FALSE),"")</f>
        <v/>
      </c>
      <c r="HE105" t="str">
        <f>+IFERROR(VLOOKUP(HE6,IN_Zugliste!$A$4:$C$2002,4,FALSE),"")</f>
        <v/>
      </c>
      <c r="HF105" t="str">
        <f>+IFERROR(VLOOKUP(HF6,IN_Zugliste!$A$4:$C$2002,4,FALSE),"")</f>
        <v/>
      </c>
      <c r="HG105" t="str">
        <f>+IFERROR(VLOOKUP(HG6,IN_Zugliste!$A$4:$C$2002,4,FALSE),"")</f>
        <v/>
      </c>
      <c r="HH105" t="str">
        <f>+IFERROR(VLOOKUP(HH6,IN_Zugliste!$A$4:$C$2002,4,FALSE),"")</f>
        <v/>
      </c>
      <c r="HI105" t="str">
        <f>+IFERROR(VLOOKUP(HI6,IN_Zugliste!$A$4:$C$2002,4,FALSE),"")</f>
        <v/>
      </c>
      <c r="HJ105" t="str">
        <f>+IFERROR(VLOOKUP(HJ6,IN_Zugliste!$A$4:$C$2002,4,FALSE),"")</f>
        <v/>
      </c>
      <c r="HK105" t="str">
        <f>+IFERROR(VLOOKUP(HK6,IN_Zugliste!$A$4:$C$2002,4,FALSE),"")</f>
        <v/>
      </c>
      <c r="HL105" t="str">
        <f>+IFERROR(VLOOKUP(HL6,IN_Zugliste!$A$4:$C$2002,4,FALSE),"")</f>
        <v/>
      </c>
      <c r="HM105" t="str">
        <f>+IFERROR(VLOOKUP(HM6,IN_Zugliste!$A$4:$C$2002,4,FALSE),"")</f>
        <v/>
      </c>
      <c r="HN105" t="str">
        <f>+IFERROR(VLOOKUP(HN6,IN_Zugliste!$A$4:$C$2002,4,FALSE),"")</f>
        <v/>
      </c>
      <c r="HO105" t="str">
        <f>+IFERROR(VLOOKUP(HO6,IN_Zugliste!$A$4:$C$2002,4,FALSE),"")</f>
        <v/>
      </c>
      <c r="HP105" t="str">
        <f>+IFERROR(VLOOKUP(HP6,IN_Zugliste!$A$4:$C$2002,4,FALSE),"")</f>
        <v/>
      </c>
      <c r="HQ105" t="str">
        <f>+IFERROR(VLOOKUP(HQ6,IN_Zugliste!$A$4:$C$2002,4,FALSE),"")</f>
        <v/>
      </c>
      <c r="HR105" t="str">
        <f>+IFERROR(VLOOKUP(HR6,IN_Zugliste!$A$4:$C$2002,4,FALSE),"")</f>
        <v/>
      </c>
      <c r="HS105" t="str">
        <f>+IFERROR(VLOOKUP(HS6,IN_Zugliste!$A$4:$C$2002,4,FALSE),"")</f>
        <v/>
      </c>
      <c r="HT105" t="str">
        <f>+IFERROR(VLOOKUP(HT6,IN_Zugliste!$A$4:$C$2002,4,FALSE),"")</f>
        <v/>
      </c>
      <c r="HU105" t="str">
        <f>+IFERROR(VLOOKUP(HU6,IN_Zugliste!$A$4:$C$2002,4,FALSE),"")</f>
        <v/>
      </c>
      <c r="HV105" t="str">
        <f>+IFERROR(VLOOKUP(HV6,IN_Zugliste!$A$4:$C$2002,4,FALSE),"")</f>
        <v/>
      </c>
      <c r="HW105" t="str">
        <f>+IFERROR(VLOOKUP(HW6,IN_Zugliste!$A$4:$C$2002,4,FALSE),"")</f>
        <v/>
      </c>
      <c r="HX105" t="str">
        <f>+IFERROR(VLOOKUP(HX6,IN_Zugliste!$A$4:$C$2002,4,FALSE),"")</f>
        <v/>
      </c>
      <c r="HY105" t="str">
        <f>+IFERROR(VLOOKUP(HY6,IN_Zugliste!$A$4:$C$2002,4,FALSE),"")</f>
        <v/>
      </c>
      <c r="HZ105" t="str">
        <f>+IFERROR(VLOOKUP(HZ6,IN_Zugliste!$A$4:$C$2002,4,FALSE),"")</f>
        <v/>
      </c>
      <c r="IA105" t="str">
        <f>+IFERROR(VLOOKUP(IA6,IN_Zugliste!$A$4:$C$2002,4,FALSE),"")</f>
        <v/>
      </c>
      <c r="IB105" t="str">
        <f>+IFERROR(VLOOKUP(IB6,IN_Zugliste!$A$4:$C$2002,4,FALSE),"")</f>
        <v/>
      </c>
      <c r="IC105" t="str">
        <f>+IFERROR(VLOOKUP(IC6,IN_Zugliste!$A$4:$C$2002,4,FALSE),"")</f>
        <v/>
      </c>
      <c r="ID105" t="str">
        <f>+IFERROR(VLOOKUP(ID6,IN_Zugliste!$A$4:$C$2002,4,FALSE),"")</f>
        <v/>
      </c>
      <c r="IE105" t="str">
        <f>+IFERROR(VLOOKUP(IE6,IN_Zugliste!$A$4:$C$2002,4,FALSE),"")</f>
        <v/>
      </c>
      <c r="IF105" t="str">
        <f>+IFERROR(VLOOKUP(IF6,IN_Zugliste!$A$4:$C$2002,4,FALSE),"")</f>
        <v/>
      </c>
      <c r="IG105" t="str">
        <f>+IFERROR(VLOOKUP(IG6,IN_Zugliste!$A$4:$C$2002,4,FALSE),"")</f>
        <v/>
      </c>
      <c r="IH105" t="str">
        <f>+IFERROR(VLOOKUP(IH6,IN_Zugliste!$A$4:$C$2002,4,FALSE),"")</f>
        <v/>
      </c>
      <c r="II105" t="str">
        <f>+IFERROR(VLOOKUP(II6,IN_Zugliste!$A$4:$C$2002,4,FALSE),"")</f>
        <v/>
      </c>
      <c r="IJ105" t="str">
        <f>+IFERROR(VLOOKUP(IJ6,IN_Zugliste!$A$4:$C$2002,4,FALSE),"")</f>
        <v/>
      </c>
      <c r="IK105" t="str">
        <f>+IFERROR(VLOOKUP(IK6,IN_Zugliste!$A$4:$C$2002,4,FALSE),"")</f>
        <v/>
      </c>
      <c r="IL105" t="str">
        <f>+IFERROR(VLOOKUP(IL6,IN_Zugliste!$A$4:$C$2002,4,FALSE),"")</f>
        <v/>
      </c>
      <c r="IM105" t="str">
        <f>+IFERROR(VLOOKUP(IM6,IN_Zugliste!$A$4:$C$2002,4,FALSE),"")</f>
        <v/>
      </c>
      <c r="IN105" t="str">
        <f>+IFERROR(VLOOKUP(IN6,IN_Zugliste!$A$4:$C$2002,4,FALSE),"")</f>
        <v/>
      </c>
      <c r="IO105" t="str">
        <f>+IFERROR(VLOOKUP(IO6,IN_Zugliste!$A$4:$C$2002,4,FALSE),"")</f>
        <v/>
      </c>
      <c r="IP105" t="str">
        <f>+IFERROR(VLOOKUP(IP6,IN_Zugliste!$A$4:$C$2002,4,FALSE),"")</f>
        <v/>
      </c>
      <c r="IQ105" t="str">
        <f>+IFERROR(VLOOKUP(IQ6,IN_Zugliste!$A$4:$C$2002,4,FALSE),"")</f>
        <v/>
      </c>
      <c r="IR105" t="str">
        <f>+IFERROR(VLOOKUP(IR6,IN_Zugliste!$A$4:$C$2002,4,FALSE),"")</f>
        <v/>
      </c>
      <c r="IS105" t="str">
        <f>+IFERROR(VLOOKUP(IS6,IN_Zugliste!$A$4:$C$2002,4,FALSE),"")</f>
        <v/>
      </c>
      <c r="IT105" t="str">
        <f>+IFERROR(VLOOKUP(IT6,IN_Zugliste!$A$4:$C$2002,4,FALSE),"")</f>
        <v/>
      </c>
      <c r="IU105" t="str">
        <f>+IFERROR(VLOOKUP(IU6,IN_Zugliste!$A$4:$C$2002,4,FALSE),"")</f>
        <v/>
      </c>
      <c r="IV105" t="str">
        <f>+IFERROR(VLOOKUP(IV6,IN_Zugliste!$A$4:$C$2002,4,FALSE),"")</f>
        <v/>
      </c>
      <c r="IW105" t="str">
        <f>+IFERROR(VLOOKUP(IW6,IN_Zugliste!$A$4:$C$2002,4,FALSE),"")</f>
        <v/>
      </c>
      <c r="IX105" t="str">
        <f>+IFERROR(VLOOKUP(IX6,IN_Zugliste!$A$4:$C$2002,4,FALSE),"")</f>
        <v/>
      </c>
      <c r="IY105" t="str">
        <f>+IFERROR(VLOOKUP(IY6,IN_Zugliste!$A$4:$C$2002,4,FALSE),"")</f>
        <v/>
      </c>
      <c r="IZ105" t="str">
        <f>+IFERROR(VLOOKUP(IZ6,IN_Zugliste!$A$4:$C$2002,4,FALSE),"")</f>
        <v/>
      </c>
      <c r="JA105" t="str">
        <f>+IFERROR(VLOOKUP(JA6,IN_Zugliste!$A$4:$C$2002,4,FALSE),"")</f>
        <v/>
      </c>
      <c r="JB105" t="str">
        <f>+IFERROR(VLOOKUP(JB6,IN_Zugliste!$A$4:$C$2002,4,FALSE),"")</f>
        <v/>
      </c>
      <c r="JC105" t="str">
        <f>+IFERROR(VLOOKUP(JC6,IN_Zugliste!$A$4:$C$2002,4,FALSE),"")</f>
        <v/>
      </c>
      <c r="JD105" t="str">
        <f>+IFERROR(VLOOKUP(JD6,IN_Zugliste!$A$4:$C$2002,4,FALSE),"")</f>
        <v/>
      </c>
      <c r="JE105" t="str">
        <f>+IFERROR(VLOOKUP(JE6,IN_Zugliste!$A$4:$C$2002,4,FALSE),"")</f>
        <v/>
      </c>
      <c r="JF105" t="str">
        <f>+IFERROR(VLOOKUP(JF6,IN_Zugliste!$A$4:$C$2002,4,FALSE),"")</f>
        <v/>
      </c>
      <c r="JG105" t="str">
        <f>+IFERROR(VLOOKUP(JG6,IN_Zugliste!$A$4:$C$2002,4,FALSE),"")</f>
        <v/>
      </c>
      <c r="JH105" t="str">
        <f>+IFERROR(VLOOKUP(JH6,IN_Zugliste!$A$4:$C$2002,4,FALSE),"")</f>
        <v/>
      </c>
      <c r="JI105" t="str">
        <f>+IFERROR(VLOOKUP(JI6,IN_Zugliste!$A$4:$C$2002,4,FALSE),"")</f>
        <v/>
      </c>
      <c r="JJ105" t="str">
        <f>+IFERROR(VLOOKUP(JJ6,IN_Zugliste!$A$4:$C$2002,4,FALSE),"")</f>
        <v/>
      </c>
      <c r="JK105" t="str">
        <f>+IFERROR(VLOOKUP(JK6,IN_Zugliste!$A$4:$C$2002,4,FALSE),"")</f>
        <v/>
      </c>
      <c r="JL105" t="str">
        <f>+IFERROR(VLOOKUP(JL6,IN_Zugliste!$A$4:$C$2002,4,FALSE),"")</f>
        <v/>
      </c>
    </row>
    <row r="106" spans="1:272" x14ac:dyDescent="0.2">
      <c r="A106" t="str">
        <f>+IFERROR(VLOOKUP(A7,IN_Zugliste!$A$4:$D$2002,4,FALSE),"")</f>
        <v>101-3.0</v>
      </c>
      <c r="B106" t="str">
        <f>+IFERROR(VLOOKUP(B7,IN_Zugliste!$A$4:$D$2002,4,FALSE),"")</f>
        <v>101-3.0</v>
      </c>
      <c r="C106" t="str">
        <f>+IFERROR(VLOOKUP(C7,IN_Zugliste!$A$4:$D$2002,4,FALSE),"")</f>
        <v>146-3.2</v>
      </c>
      <c r="D106" t="str">
        <f>+IFERROR(VLOOKUP(D7,IN_Zugliste!$A$4:$D$2002,4,FALSE),"")</f>
        <v>462-1.0</v>
      </c>
      <c r="E106" t="str">
        <f>+IFERROR(VLOOKUP(E7,IN_Zugliste!$A$4:$D$2002,4,FALSE),"")</f>
        <v>462-1.0</v>
      </c>
      <c r="F106" t="str">
        <f>+IFERROR(VLOOKUP(F7,IN_Zugliste!$A$4:$D$2002,4,FALSE),"")</f>
        <v>146-3.2</v>
      </c>
      <c r="G106" t="str">
        <f>+IFERROR(VLOOKUP(G7,IN_Zugliste!$A$4:$D$2002,4,FALSE),"")</f>
        <v>101-3.0</v>
      </c>
      <c r="H106" t="str">
        <f>+IFERROR(VLOOKUP(H7,IN_Zugliste!$A$4:$D$2002,4,FALSE),"")</f>
        <v>101-3.0</v>
      </c>
      <c r="I106" t="str">
        <f>+IFERROR(VLOOKUP(I7,IN_Zugliste!$A$4:$D$2002,4,FALSE),"")</f>
        <v>146-3.2</v>
      </c>
      <c r="J106" t="str">
        <f>+IFERROR(VLOOKUP(J7,IN_Zugliste!$A$4:$D$2002,4,FALSE),"")</f>
        <v>101-3.0</v>
      </c>
      <c r="K106" t="str">
        <f>+IFERROR(VLOOKUP(K7,IN_Zugliste!$A$4:$D$2002,4,FALSE),"")</f>
        <v>101-3.0</v>
      </c>
      <c r="L106" t="str">
        <f>+IFERROR(VLOOKUP(L7,IN_Zugliste!$A$4:$D$2002,4,FALSE),"")</f>
        <v/>
      </c>
      <c r="M106" t="str">
        <f>+IFERROR(VLOOKUP(M7,IN_Zugliste!$A$4:$D$2002,4,FALSE),"")</f>
        <v>146-3.2</v>
      </c>
      <c r="N106" t="str">
        <f>+IFERROR(VLOOKUP(N7,IN_Zugliste!$A$4:$D$2002,4,FALSE),"")</f>
        <v>101-3.0</v>
      </c>
      <c r="O106" t="str">
        <f>+IFERROR(VLOOKUP(O7,IN_Zugliste!$A$4:$D$2002,4,FALSE),"")</f>
        <v>146-3.2</v>
      </c>
      <c r="P106" t="str">
        <f>+IFERROR(VLOOKUP(P7,IN_Zugliste!$A$4:$D$2002,4,FALSE),"")</f>
        <v>146-3.2</v>
      </c>
      <c r="Q106" t="str">
        <f>+IFERROR(VLOOKUP(Q7,IN_Zugliste!$A$4:$D$2002,4,FALSE),"")</f>
        <v>146-3.2</v>
      </c>
      <c r="R106" t="str">
        <f>+IFERROR(VLOOKUP(R7,IN_Zugliste!$A$4:$D$2002,4,FALSE),"")</f>
        <v/>
      </c>
      <c r="S106" t="str">
        <f>+IFERROR(VLOOKUP(S7,IN_Zugliste!$A$4:$D$2002,4,FALSE),"")</f>
        <v/>
      </c>
      <c r="T106" t="str">
        <f>+IFERROR(VLOOKUP(T7,IN_Zugliste!$A$4:$D$2002,4,FALSE),"")</f>
        <v>146-3.2</v>
      </c>
      <c r="U106" t="str">
        <f>+IFERROR(VLOOKUP(U7,IN_Zugliste!$A$4:$D$2002,4,FALSE),"")</f>
        <v/>
      </c>
      <c r="V106" t="str">
        <f>+IFERROR(VLOOKUP(V7,IN_Zugliste!$A$4:$D$2002,4,FALSE),"")</f>
        <v>101-3.0</v>
      </c>
      <c r="W106" t="str">
        <f>+IFERROR(VLOOKUP(W7,IN_Zugliste!$A$4:$D$2002,4,FALSE),"")</f>
        <v>101-3.0</v>
      </c>
      <c r="X106" t="str">
        <f>+IFERROR(VLOOKUP(X7,IN_Zugliste!$A$4:$D$2002,4,FALSE),"")</f>
        <v>101-3.0</v>
      </c>
      <c r="Y106" t="str">
        <f>+IFERROR(VLOOKUP(Y7,IN_Zugliste!$A$4:$D$2002,4,FALSE),"")</f>
        <v/>
      </c>
      <c r="Z106" t="str">
        <f>+IFERROR(VLOOKUP(Z7,IN_Zugliste!$A$4:$D$2002,4,FALSE),"")</f>
        <v>146-3.2</v>
      </c>
      <c r="AA106" t="str">
        <f>+IFERROR(VLOOKUP(AA7,IN_Zugliste!$A$4:$D$2002,4,FALSE),"")</f>
        <v>146-3.2</v>
      </c>
      <c r="AB106" t="str">
        <f>+IFERROR(VLOOKUP(AB7,IN_Zugliste!$A$4:$D$2002,4,FALSE),"")</f>
        <v>101-3.0</v>
      </c>
      <c r="AC106" t="str">
        <f>+IFERROR(VLOOKUP(AC7,IN_Zugliste!$A$4:$D$2002,4,FALSE),"")</f>
        <v/>
      </c>
      <c r="AD106" t="str">
        <f>+IFERROR(VLOOKUP(AD7,IN_Zugliste!$A$4:$D$2002,4,FALSE),"")</f>
        <v/>
      </c>
      <c r="AE106" t="str">
        <f>+IFERROR(VLOOKUP(AE7,IN_Zugliste!$A$4:$D$2002,4,FALSE),"")</f>
        <v>146-3.2</v>
      </c>
      <c r="AF106" t="str">
        <f>+IFERROR(VLOOKUP(AF7,IN_Zugliste!$A$4:$D$2002,4,FALSE),"")</f>
        <v>146-3.2</v>
      </c>
      <c r="AG106" t="str">
        <f>+IFERROR(VLOOKUP(AG7,IN_Zugliste!$A$4:$D$2002,4,FALSE),"")</f>
        <v>101-3.0</v>
      </c>
      <c r="AH106" t="str">
        <f>+IFERROR(VLOOKUP(AH7,IN_Zugliste!$A$4:$D$2002,4,FALSE),"")</f>
        <v/>
      </c>
      <c r="AI106" t="str">
        <f>+IFERROR(VLOOKUP(AI7,IN_Zugliste!$A$4:$D$2002,4,FALSE),"")</f>
        <v>146-3.2</v>
      </c>
      <c r="AJ106" t="str">
        <f>+IFERROR(VLOOKUP(AJ7,IN_Zugliste!$A$4:$D$2002,4,FALSE),"")</f>
        <v>101-3.0</v>
      </c>
      <c r="AK106" t="str">
        <f>+IFERROR(VLOOKUP(AK7,IN_Zugliste!$A$4:$D$2002,4,FALSE),"")</f>
        <v/>
      </c>
      <c r="AL106" t="str">
        <f>+IFERROR(VLOOKUP(AL7,IN_Zugliste!$A$4:$D$2002,4,FALSE),"")</f>
        <v>146-3.2</v>
      </c>
      <c r="AM106" t="str">
        <f>+IFERROR(VLOOKUP(AM7,IN_Zugliste!$A$4:$D$2002,4,FALSE),"")</f>
        <v/>
      </c>
      <c r="AN106" t="str">
        <f>+IFERROR(VLOOKUP(AN7,IN_Zugliste!$A$4:$D$2002,4,FALSE),"")</f>
        <v>146-3.2</v>
      </c>
      <c r="AO106" t="str">
        <f>+IFERROR(VLOOKUP(AO7,IN_Zugliste!$A$4:$D$2002,4,FALSE),"")</f>
        <v/>
      </c>
      <c r="AP106" t="str">
        <f>+IFERROR(VLOOKUP(AP7,IN_Zugliste!$A$4:$D$2002,4,FALSE),"")</f>
        <v/>
      </c>
      <c r="AQ106" t="str">
        <f>+IFERROR(VLOOKUP(AQ7,IN_Zugliste!$A$4:$D$2002,4,FALSE),"")</f>
        <v/>
      </c>
      <c r="AR106" t="str">
        <f>+IFERROR(VLOOKUP(AR7,IN_Zugliste!$A$4:$D$2002,4,FALSE),"")</f>
        <v/>
      </c>
      <c r="AS106" t="str">
        <f>+IFERROR(VLOOKUP(AS7,IN_Zugliste!$A$4:$D$2002,4,FALSE),"")</f>
        <v/>
      </c>
      <c r="AT106" t="str">
        <f>+IFERROR(VLOOKUP(AT7,IN_Zugliste!$A$4:$D$2002,4,FALSE),"")</f>
        <v/>
      </c>
      <c r="AU106" t="str">
        <f>+IFERROR(VLOOKUP(AU7,IN_Zugliste!$A$4:$D$2002,4,FALSE),"")</f>
        <v/>
      </c>
      <c r="AV106" t="str">
        <f>+IFERROR(VLOOKUP(AV7,IN_Zugliste!$A$4:$D$2002,4,FALSE),"")</f>
        <v/>
      </c>
      <c r="AW106" t="str">
        <f>+IFERROR(VLOOKUP(AW7,IN_Zugliste!$A$4:$D$2002,4,FALSE),"")</f>
        <v/>
      </c>
      <c r="AX106" t="str">
        <f>+IFERROR(VLOOKUP(AX7,IN_Zugliste!$A$4:$D$2002,4,FALSE),"")</f>
        <v/>
      </c>
      <c r="AY106" t="str">
        <f>+IFERROR(VLOOKUP(AY7,IN_Zugliste!$A$4:$D$2002,4,FALSE),"")</f>
        <v/>
      </c>
      <c r="AZ106" t="str">
        <f>+IFERROR(VLOOKUP(AZ7,IN_Zugliste!$A$4:$D$2002,4,FALSE),"")</f>
        <v/>
      </c>
      <c r="BA106" t="str">
        <f>+IFERROR(VLOOKUP(BA7,IN_Zugliste!$A$4:$D$2002,4,FALSE),"")</f>
        <v/>
      </c>
      <c r="BB106" t="str">
        <f>+IFERROR(VLOOKUP(BB7,IN_Zugliste!$A$4:$D$2002,4,FALSE),"")</f>
        <v/>
      </c>
      <c r="BC106" t="str">
        <f>+IFERROR(VLOOKUP(BC7,IN_Zugliste!$A$4:$D$2002,4,FALSE),"")</f>
        <v/>
      </c>
      <c r="BD106" t="str">
        <f>+IFERROR(VLOOKUP(BD7,IN_Zugliste!$A$4:$D$2002,4,FALSE),"")</f>
        <v/>
      </c>
      <c r="BE106" t="str">
        <f>+IFERROR(VLOOKUP(BE7,IN_Zugliste!$A$4:$D$2002,4,FALSE),"")</f>
        <v/>
      </c>
      <c r="BF106" t="str">
        <f>+IFERROR(VLOOKUP(BF7,IN_Zugliste!$A$4:$D$2002,4,FALSE),"")</f>
        <v/>
      </c>
      <c r="BG106" t="str">
        <f>+IFERROR(VLOOKUP(BG7,IN_Zugliste!$A$4:$D$2002,4,FALSE),"")</f>
        <v/>
      </c>
      <c r="BH106" t="str">
        <f>+IFERROR(VLOOKUP(BH7,IN_Zugliste!$A$4:$D$2002,4,FALSE),"")</f>
        <v/>
      </c>
      <c r="BI106" t="str">
        <f>+IFERROR(VLOOKUP(BI7,IN_Zugliste!$A$4:$D$2002,4,FALSE),"")</f>
        <v/>
      </c>
      <c r="BJ106" t="str">
        <f>+IFERROR(VLOOKUP(BJ7,IN_Zugliste!$A$4:$D$2002,4,FALSE),"")</f>
        <v/>
      </c>
      <c r="BK106" t="str">
        <f>+IFERROR(VLOOKUP(BK7,IN_Zugliste!$A$4:$D$2002,4,FALSE),"")</f>
        <v/>
      </c>
      <c r="BL106" t="str">
        <f>+IFERROR(VLOOKUP(BL7,IN_Zugliste!$A$4:$D$2002,4,FALSE),"")</f>
        <v/>
      </c>
      <c r="BM106" t="str">
        <f>+IFERROR(VLOOKUP(BM7,IN_Zugliste!$A$4:$D$2002,4,FALSE),"")</f>
        <v/>
      </c>
      <c r="BN106" t="str">
        <f>+IFERROR(VLOOKUP(BN7,IN_Zugliste!$A$4:$D$2002,4,FALSE),"")</f>
        <v/>
      </c>
      <c r="BO106" t="str">
        <f>+IFERROR(VLOOKUP(BO7,IN_Zugliste!$A$4:$D$2002,4,FALSE),"")</f>
        <v/>
      </c>
      <c r="BP106" t="str">
        <f>+IFERROR(VLOOKUP(BP7,IN_Zugliste!$A$4:$D$2002,4,FALSE),"")</f>
        <v/>
      </c>
      <c r="BQ106" t="str">
        <f>+IFERROR(VLOOKUP(BQ7,IN_Zugliste!$A$4:$D$2002,4,FALSE),"")</f>
        <v/>
      </c>
      <c r="BR106" t="str">
        <f>+IFERROR(VLOOKUP(BR7,IN_Zugliste!$A$4:$D$2002,4,FALSE),"")</f>
        <v/>
      </c>
      <c r="BS106" t="str">
        <f>+IFERROR(VLOOKUP(BS7,IN_Zugliste!$A$4:$D$2002,4,FALSE),"")</f>
        <v/>
      </c>
      <c r="BT106" t="str">
        <f>+IFERROR(VLOOKUP(BT7,IN_Zugliste!$A$4:$D$2002,4,FALSE),"")</f>
        <v/>
      </c>
      <c r="BU106" t="str">
        <f>+IFERROR(VLOOKUP(BU7,IN_Zugliste!$A$4:$D$2002,4,FALSE),"")</f>
        <v/>
      </c>
      <c r="BV106" t="str">
        <f>+IFERROR(VLOOKUP(BV7,IN_Zugliste!$A$4:$D$2002,4,FALSE),"")</f>
        <v/>
      </c>
      <c r="BW106" t="str">
        <f>+IFERROR(VLOOKUP(BW7,IN_Zugliste!$A$4:$D$2002,4,FALSE),"")</f>
        <v/>
      </c>
      <c r="BX106" t="str">
        <f>+IFERROR(VLOOKUP(BX7,IN_Zugliste!$A$4:$D$2002,4,FALSE),"")</f>
        <v/>
      </c>
      <c r="BY106" t="str">
        <f>+IFERROR(VLOOKUP(BY7,IN_Zugliste!$A$4:$D$2002,4,FALSE),"")</f>
        <v/>
      </c>
      <c r="BZ106" t="str">
        <f>+IFERROR(VLOOKUP(BZ7,IN_Zugliste!$A$4:$D$2002,4,FALSE),"")</f>
        <v/>
      </c>
      <c r="CA106" t="str">
        <f>+IFERROR(VLOOKUP(CA7,IN_Zugliste!$A$4:$D$2002,4,FALSE),"")</f>
        <v/>
      </c>
      <c r="CB106" t="str">
        <f>+IFERROR(VLOOKUP(CB7,IN_Zugliste!$A$4:$D$2002,4,FALSE),"")</f>
        <v/>
      </c>
      <c r="CC106" t="str">
        <f>+IFERROR(VLOOKUP(CC7,IN_Zugliste!$A$4:$D$2002,4,FALSE),"")</f>
        <v/>
      </c>
      <c r="CD106" t="str">
        <f>+IFERROR(VLOOKUP(CD7,IN_Zugliste!$A$4:$D$2002,4,FALSE),"")</f>
        <v/>
      </c>
      <c r="CE106" t="str">
        <f>+IFERROR(VLOOKUP(CE7,IN_Zugliste!$A$4:$D$2002,4,FALSE),"")</f>
        <v/>
      </c>
      <c r="CF106" t="str">
        <f>+IFERROR(VLOOKUP(CF7,IN_Zugliste!$A$4:$D$2002,4,FALSE),"")</f>
        <v/>
      </c>
      <c r="CG106" t="str">
        <f>+IFERROR(VLOOKUP(CG7,IN_Zugliste!$A$4:$D$2002,4,FALSE),"")</f>
        <v/>
      </c>
      <c r="CH106" t="str">
        <f>+IFERROR(VLOOKUP(CH7,IN_Zugliste!$A$4:$D$2002,4,FALSE),"")</f>
        <v/>
      </c>
      <c r="CI106" t="str">
        <f>+IFERROR(VLOOKUP(CI7,IN_Zugliste!$A$4:$D$2002,4,FALSE),"")</f>
        <v/>
      </c>
      <c r="CJ106" t="str">
        <f>+IFERROR(VLOOKUP(CJ7,IN_Zugliste!$A$4:$D$2002,4,FALSE),"")</f>
        <v/>
      </c>
      <c r="CK106" t="str">
        <f>+IFERROR(VLOOKUP(CK7,IN_Zugliste!$A$4:$D$2002,4,FALSE),"")</f>
        <v/>
      </c>
      <c r="CL106" t="str">
        <f>+IFERROR(VLOOKUP(CL7,IN_Zugliste!$A$4:$D$2002,4,FALSE),"")</f>
        <v/>
      </c>
      <c r="CM106" t="str">
        <f>+IFERROR(VLOOKUP(CM7,IN_Zugliste!$A$4:$D$2002,4,FALSE),"")</f>
        <v/>
      </c>
      <c r="CN106" t="str">
        <f>+IFERROR(VLOOKUP(CN7,IN_Zugliste!$A$4:$D$2002,4,FALSE),"")</f>
        <v/>
      </c>
      <c r="CO106" t="str">
        <f>+IFERROR(VLOOKUP(CO7,IN_Zugliste!$A$4:$D$2002,4,FALSE),"")</f>
        <v/>
      </c>
      <c r="CP106" t="str">
        <f>+IFERROR(VLOOKUP(CP7,IN_Zugliste!$A$4:$D$2002,4,FALSE),"")</f>
        <v/>
      </c>
      <c r="CQ106" t="str">
        <f>+IFERROR(VLOOKUP(CQ7,IN_Zugliste!$A$4:$D$2002,4,FALSE),"")</f>
        <v/>
      </c>
      <c r="CR106" t="str">
        <f>+IFERROR(VLOOKUP(CR7,IN_Zugliste!$A$4:$D$2002,4,FALSE),"")</f>
        <v/>
      </c>
      <c r="CS106" t="str">
        <f>+IFERROR(VLOOKUP(CS7,IN_Zugliste!$A$4:$D$2002,4,FALSE),"")</f>
        <v/>
      </c>
      <c r="CT106" t="str">
        <f>+IFERROR(VLOOKUP(CT7,IN_Zugliste!$A$4:$D$2002,4,FALSE),"")</f>
        <v/>
      </c>
      <c r="CU106" t="str">
        <f>+IFERROR(VLOOKUP(CU7,IN_Zugliste!$A$4:$D$2002,4,FALSE),"")</f>
        <v/>
      </c>
      <c r="CV106" t="str">
        <f>+IFERROR(VLOOKUP(CV7,IN_Zugliste!$A$4:$D$2002,4,FALSE),"")</f>
        <v/>
      </c>
      <c r="CW106" t="str">
        <f>+IFERROR(VLOOKUP(CW7,IN_Zugliste!$A$4:$D$2002,4,FALSE),"")</f>
        <v/>
      </c>
      <c r="CX106" t="str">
        <f>+IFERROR(VLOOKUP(CX7,IN_Zugliste!$A$4:$D$2002,4,FALSE),"")</f>
        <v/>
      </c>
      <c r="CY106" t="str">
        <f>+IFERROR(VLOOKUP(CY7,IN_Zugliste!$A$4:$D$2002,4,FALSE),"")</f>
        <v/>
      </c>
      <c r="CZ106" t="str">
        <f>+IFERROR(VLOOKUP(CZ7,IN_Zugliste!$A$4:$D$2002,4,FALSE),"")</f>
        <v/>
      </c>
      <c r="DA106" t="str">
        <f>+IFERROR(VLOOKUP(DA7,IN_Zugliste!$A$4:$D$2002,4,FALSE),"")</f>
        <v/>
      </c>
      <c r="DB106" t="str">
        <f>+IFERROR(VLOOKUP(DB7,IN_Zugliste!$A$4:$D$2002,4,FALSE),"")</f>
        <v/>
      </c>
      <c r="DC106" t="str">
        <f>+IFERROR(VLOOKUP(DC7,IN_Zugliste!$A$4:$D$2002,4,FALSE),"")</f>
        <v/>
      </c>
      <c r="DD106" t="str">
        <f>+IFERROR(VLOOKUP(DD7,IN_Zugliste!$A$4:$D$2002,4,FALSE),"")</f>
        <v/>
      </c>
      <c r="DE106" t="str">
        <f>+IFERROR(VLOOKUP(DE7,IN_Zugliste!$A$4:$D$2002,4,FALSE),"")</f>
        <v/>
      </c>
      <c r="DF106" t="str">
        <f>+IFERROR(VLOOKUP(DF7,IN_Zugliste!$A$4:$D$2002,4,FALSE),"")</f>
        <v/>
      </c>
      <c r="DG106" t="str">
        <f>+IFERROR(VLOOKUP(DG7,IN_Zugliste!$A$4:$D$2002,4,FALSE),"")</f>
        <v/>
      </c>
      <c r="DH106" t="str">
        <f>+IFERROR(VLOOKUP(DH7,IN_Zugliste!$A$4:$D$2002,4,FALSE),"")</f>
        <v/>
      </c>
      <c r="DI106" t="str">
        <f>+IFERROR(VLOOKUP(DI7,IN_Zugliste!$A$4:$D$2002,4,FALSE),"")</f>
        <v/>
      </c>
      <c r="DJ106" t="str">
        <f>+IFERROR(VLOOKUP(DJ7,IN_Zugliste!$A$4:$D$2002,4,FALSE),"")</f>
        <v/>
      </c>
      <c r="DK106" t="str">
        <f>+IFERROR(VLOOKUP(DK7,IN_Zugliste!$A$4:$D$2002,4,FALSE),"")</f>
        <v/>
      </c>
      <c r="DL106" t="str">
        <f>+IFERROR(VLOOKUP(DL7,IN_Zugliste!$A$4:$D$2002,4,FALSE),"")</f>
        <v/>
      </c>
      <c r="DM106" t="str">
        <f>+IFERROR(VLOOKUP(DM7,IN_Zugliste!$A$4:$D$2002,4,FALSE),"")</f>
        <v/>
      </c>
      <c r="DN106" t="str">
        <f>+IFERROR(VLOOKUP(DN7,IN_Zugliste!$A$4:$D$2002,4,FALSE),"")</f>
        <v/>
      </c>
      <c r="DO106" t="str">
        <f>+IFERROR(VLOOKUP(DO7,IN_Zugliste!$A$4:$D$2002,4,FALSE),"")</f>
        <v/>
      </c>
      <c r="DP106" t="str">
        <f>+IFERROR(VLOOKUP(DP7,IN_Zugliste!$A$4:$D$2002,4,FALSE),"")</f>
        <v/>
      </c>
      <c r="DQ106" t="str">
        <f>+IFERROR(VLOOKUP(DQ7,IN_Zugliste!$A$4:$D$2002,4,FALSE),"")</f>
        <v/>
      </c>
      <c r="DR106" t="str">
        <f>+IFERROR(VLOOKUP(DR7,IN_Zugliste!$A$4:$D$2002,4,FALSE),"")</f>
        <v/>
      </c>
      <c r="DS106" t="str">
        <f>+IFERROR(VLOOKUP(DS7,IN_Zugliste!$A$4:$D$2002,4,FALSE),"")</f>
        <v/>
      </c>
      <c r="DT106" t="str">
        <f>+IFERROR(VLOOKUP(DT7,IN_Zugliste!$A$4:$D$2002,4,FALSE),"")</f>
        <v/>
      </c>
      <c r="DU106" t="str">
        <f>+IFERROR(VLOOKUP(DU7,IN_Zugliste!$A$4:$D$2002,4,FALSE),"")</f>
        <v/>
      </c>
      <c r="DV106" t="str">
        <f>+IFERROR(VLOOKUP(DV7,IN_Zugliste!$A$4:$D$2002,4,FALSE),"")</f>
        <v/>
      </c>
      <c r="DW106" t="str">
        <f>+IFERROR(VLOOKUP(DW7,IN_Zugliste!$A$4:$D$2002,4,FALSE),"")</f>
        <v/>
      </c>
      <c r="DX106" t="str">
        <f>+IFERROR(VLOOKUP(DX7,IN_Zugliste!$A$4:$D$2002,4,FALSE),"")</f>
        <v/>
      </c>
      <c r="DY106" t="str">
        <f>+IFERROR(VLOOKUP(DY7,IN_Zugliste!$A$4:$D$2002,4,FALSE),"")</f>
        <v/>
      </c>
      <c r="DZ106" t="str">
        <f>+IFERROR(VLOOKUP(DZ7,IN_Zugliste!$A$4:$D$2002,4,FALSE),"")</f>
        <v/>
      </c>
      <c r="EA106" t="str">
        <f>+IFERROR(VLOOKUP(EA7,IN_Zugliste!$A$4:$D$2002,4,FALSE),"")</f>
        <v/>
      </c>
      <c r="EB106" t="str">
        <f>+IFERROR(VLOOKUP(EB7,IN_Zugliste!$A$4:$D$2002,4,FALSE),"")</f>
        <v/>
      </c>
      <c r="EC106" t="str">
        <f>+IFERROR(VLOOKUP(EC7,IN_Zugliste!$A$4:$D$2002,4,FALSE),"")</f>
        <v/>
      </c>
      <c r="ED106" t="str">
        <f>+IFERROR(VLOOKUP(ED7,IN_Zugliste!$A$4:$D$2002,4,FALSE),"")</f>
        <v/>
      </c>
      <c r="EE106" t="str">
        <f>+IFERROR(VLOOKUP(EE7,IN_Zugliste!$A$4:$D$2002,4,FALSE),"")</f>
        <v/>
      </c>
      <c r="EF106" t="str">
        <f>+IFERROR(VLOOKUP(EF7,IN_Zugliste!$A$4:$D$2002,4,FALSE),"")</f>
        <v/>
      </c>
      <c r="EG106" t="str">
        <f>+IFERROR(VLOOKUP(EG7,IN_Zugliste!$A$4:$D$2002,4,FALSE),"")</f>
        <v/>
      </c>
      <c r="EH106" t="str">
        <f>+IFERROR(VLOOKUP(EH7,IN_Zugliste!$A$4:$D$2002,4,FALSE),"")</f>
        <v/>
      </c>
      <c r="EI106" t="str">
        <f>+IFERROR(VLOOKUP(EI7,IN_Zugliste!$A$4:$D$2002,4,FALSE),"")</f>
        <v/>
      </c>
      <c r="EJ106" t="str">
        <f>+IFERROR(VLOOKUP(EJ7,IN_Zugliste!$A$4:$D$2002,4,FALSE),"")</f>
        <v/>
      </c>
      <c r="EK106" t="str">
        <f>+IFERROR(VLOOKUP(EK7,IN_Zugliste!$A$4:$D$2002,4,FALSE),"")</f>
        <v/>
      </c>
      <c r="EL106" t="str">
        <f>+IFERROR(VLOOKUP(EL7,IN_Zugliste!$A$4:$D$2002,4,FALSE),"")</f>
        <v/>
      </c>
      <c r="EM106" t="str">
        <f>+IFERROR(VLOOKUP(EM7,IN_Zugliste!$A$4:$D$2002,4,FALSE),"")</f>
        <v/>
      </c>
      <c r="EN106" t="str">
        <f>+IFERROR(VLOOKUP(EN7,IN_Zugliste!$A$4:$D$2002,4,FALSE),"")</f>
        <v/>
      </c>
      <c r="EO106" t="str">
        <f>+IFERROR(VLOOKUP(EO7,IN_Zugliste!$A$4:$D$2002,4,FALSE),"")</f>
        <v/>
      </c>
      <c r="EP106" t="str">
        <f>+IFERROR(VLOOKUP(EP7,IN_Zugliste!$A$4:$D$2002,4,FALSE),"")</f>
        <v/>
      </c>
      <c r="EQ106" t="str">
        <f>+IFERROR(VLOOKUP(EQ7,IN_Zugliste!$A$4:$D$2002,4,FALSE),"")</f>
        <v/>
      </c>
      <c r="ER106" t="str">
        <f>+IFERROR(VLOOKUP(ER7,IN_Zugliste!$A$4:$D$2002,4,FALSE),"")</f>
        <v/>
      </c>
      <c r="ES106" t="str">
        <f>+IFERROR(VLOOKUP(ES7,IN_Zugliste!$A$4:$D$2002,4,FALSE),"")</f>
        <v/>
      </c>
      <c r="ET106" t="str">
        <f>+IFERROR(VLOOKUP(ET7,IN_Zugliste!$A$4:$D$2002,4,FALSE),"")</f>
        <v/>
      </c>
      <c r="EU106" t="str">
        <f>+IFERROR(VLOOKUP(EU7,IN_Zugliste!$A$4:$D$2002,4,FALSE),"")</f>
        <v/>
      </c>
      <c r="EV106" t="str">
        <f>+IFERROR(VLOOKUP(EV7,IN_Zugliste!$A$4:$D$2002,4,FALSE),"")</f>
        <v/>
      </c>
      <c r="EW106" t="str">
        <f>+IFERROR(VLOOKUP(EW7,IN_Zugliste!$A$4:$D$2002,4,FALSE),"")</f>
        <v/>
      </c>
      <c r="EX106" t="str">
        <f>+IFERROR(VLOOKUP(EX7,IN_Zugliste!$A$4:$D$2002,4,FALSE),"")</f>
        <v/>
      </c>
      <c r="EY106" t="str">
        <f>+IFERROR(VLOOKUP(EY7,IN_Zugliste!$A$4:$D$2002,4,FALSE),"")</f>
        <v/>
      </c>
      <c r="EZ106" t="str">
        <f>+IFERROR(VLOOKUP(EZ7,IN_Zugliste!$A$4:$D$2002,4,FALSE),"")</f>
        <v/>
      </c>
      <c r="FA106" t="str">
        <f>+IFERROR(VLOOKUP(FA7,IN_Zugliste!$A$4:$D$2002,4,FALSE),"")</f>
        <v/>
      </c>
      <c r="FB106" t="str">
        <f>+IFERROR(VLOOKUP(FB7,IN_Zugliste!$A$4:$D$2002,4,FALSE),"")</f>
        <v/>
      </c>
      <c r="FC106" t="str">
        <f>+IFERROR(VLOOKUP(FC7,IN_Zugliste!$A$4:$D$2002,4,FALSE),"")</f>
        <v/>
      </c>
      <c r="FD106" t="str">
        <f>+IFERROR(VLOOKUP(FD7,IN_Zugliste!$A$4:$D$2002,4,FALSE),"")</f>
        <v/>
      </c>
      <c r="FE106" t="str">
        <f>+IFERROR(VLOOKUP(FE7,IN_Zugliste!$A$4:$D$2002,4,FALSE),"")</f>
        <v/>
      </c>
      <c r="FF106" t="str">
        <f>+IFERROR(VLOOKUP(FF7,IN_Zugliste!$A$4:$D$2002,4,FALSE),"")</f>
        <v/>
      </c>
      <c r="FG106" t="str">
        <f>+IFERROR(VLOOKUP(FG7,IN_Zugliste!$A$4:$D$2002,4,FALSE),"")</f>
        <v/>
      </c>
      <c r="FH106" t="str">
        <f>+IFERROR(VLOOKUP(FH7,IN_Zugliste!$A$4:$D$2002,4,FALSE),"")</f>
        <v/>
      </c>
      <c r="FI106" t="str">
        <f>+IFERROR(VLOOKUP(FI7,IN_Zugliste!$A$4:$D$2002,4,FALSE),"")</f>
        <v/>
      </c>
      <c r="FJ106" t="str">
        <f>+IFERROR(VLOOKUP(FJ7,IN_Zugliste!$A$4:$D$2002,4,FALSE),"")</f>
        <v/>
      </c>
      <c r="FK106" t="str">
        <f>+IFERROR(VLOOKUP(FK7,IN_Zugliste!$A$4:$D$2002,4,FALSE),"")</f>
        <v/>
      </c>
      <c r="FL106" t="str">
        <f>+IFERROR(VLOOKUP(FL7,IN_Zugliste!$A$4:$D$2002,4,FALSE),"")</f>
        <v/>
      </c>
      <c r="FM106" t="str">
        <f>+IFERROR(VLOOKUP(FM7,IN_Zugliste!$A$4:$C$2002,4,FALSE),"")</f>
        <v/>
      </c>
      <c r="FN106" t="str">
        <f>+IFERROR(VLOOKUP(FN7,IN_Zugliste!$A$4:$C$2002,4,FALSE),"")</f>
        <v/>
      </c>
      <c r="FO106" t="str">
        <f>+IFERROR(VLOOKUP(FO7,IN_Zugliste!$A$4:$C$2002,4,FALSE),"")</f>
        <v/>
      </c>
      <c r="FP106" t="str">
        <f>+IFERROR(VLOOKUP(FP7,IN_Zugliste!$A$4:$C$2002,4,FALSE),"")</f>
        <v/>
      </c>
      <c r="FQ106" t="str">
        <f>+IFERROR(VLOOKUP(FQ7,IN_Zugliste!$A$4:$C$2002,4,FALSE),"")</f>
        <v/>
      </c>
      <c r="FR106" t="str">
        <f>+IFERROR(VLOOKUP(FR7,IN_Zugliste!$A$4:$C$2002,4,FALSE),"")</f>
        <v/>
      </c>
      <c r="FS106" t="str">
        <f>+IFERROR(VLOOKUP(FS7,IN_Zugliste!$A$4:$C$2002,4,FALSE),"")</f>
        <v/>
      </c>
      <c r="FT106" t="str">
        <f>+IFERROR(VLOOKUP(FT7,IN_Zugliste!$A$4:$C$2002,4,FALSE),"")</f>
        <v/>
      </c>
      <c r="FU106" t="str">
        <f>+IFERROR(VLOOKUP(FU7,IN_Zugliste!$A$4:$C$2002,4,FALSE),"")</f>
        <v/>
      </c>
      <c r="FV106" t="str">
        <f>+IFERROR(VLOOKUP(FV7,IN_Zugliste!$A$4:$C$2002,4,FALSE),"")</f>
        <v/>
      </c>
      <c r="FW106" t="str">
        <f>+IFERROR(VLOOKUP(FW7,IN_Zugliste!$A$4:$C$2002,4,FALSE),"")</f>
        <v/>
      </c>
      <c r="FX106" t="str">
        <f>+IFERROR(VLOOKUP(FX7,IN_Zugliste!$A$4:$C$2002,4,FALSE),"")</f>
        <v/>
      </c>
      <c r="FY106" t="str">
        <f>+IFERROR(VLOOKUP(FY7,IN_Zugliste!$A$4:$C$2002,4,FALSE),"")</f>
        <v/>
      </c>
      <c r="FZ106" t="str">
        <f>+IFERROR(VLOOKUP(FZ7,IN_Zugliste!$A$4:$C$2002,4,FALSE),"")</f>
        <v/>
      </c>
      <c r="GA106" t="str">
        <f>+IFERROR(VLOOKUP(GA7,IN_Zugliste!$A$4:$C$2002,4,FALSE),"")</f>
        <v/>
      </c>
      <c r="GB106" t="str">
        <f>+IFERROR(VLOOKUP(GB7,IN_Zugliste!$A$4:$C$2002,4,FALSE),"")</f>
        <v/>
      </c>
      <c r="GC106" t="str">
        <f>+IFERROR(VLOOKUP(GC7,IN_Zugliste!$A$4:$C$2002,4,FALSE),"")</f>
        <v/>
      </c>
      <c r="GD106" t="str">
        <f>+IFERROR(VLOOKUP(GD7,IN_Zugliste!$A$4:$C$2002,4,FALSE),"")</f>
        <v/>
      </c>
      <c r="GE106" t="str">
        <f>+IFERROR(VLOOKUP(GE7,IN_Zugliste!$A$4:$C$2002,4,FALSE),"")</f>
        <v/>
      </c>
      <c r="GF106" t="str">
        <f>+IFERROR(VLOOKUP(GF7,IN_Zugliste!$A$4:$C$2002,4,FALSE),"")</f>
        <v/>
      </c>
      <c r="GG106" t="str">
        <f>+IFERROR(VLOOKUP(GG7,IN_Zugliste!$A$4:$C$2002,4,FALSE),"")</f>
        <v/>
      </c>
      <c r="GH106" t="str">
        <f>+IFERROR(VLOOKUP(GH7,IN_Zugliste!$A$4:$C$2002,4,FALSE),"")</f>
        <v/>
      </c>
      <c r="GI106" t="str">
        <f>+IFERROR(VLOOKUP(GI7,IN_Zugliste!$A$4:$C$2002,4,FALSE),"")</f>
        <v/>
      </c>
      <c r="GJ106" t="str">
        <f>+IFERROR(VLOOKUP(GJ7,IN_Zugliste!$A$4:$C$2002,4,FALSE),"")</f>
        <v/>
      </c>
      <c r="GK106" t="str">
        <f>+IFERROR(VLOOKUP(GK7,IN_Zugliste!$A$4:$C$2002,4,FALSE),"")</f>
        <v/>
      </c>
      <c r="GL106" t="str">
        <f>+IFERROR(VLOOKUP(GL7,IN_Zugliste!$A$4:$C$2002,4,FALSE),"")</f>
        <v/>
      </c>
      <c r="GM106" t="str">
        <f>+IFERROR(VLOOKUP(GM7,IN_Zugliste!$A$4:$C$2002,4,FALSE),"")</f>
        <v/>
      </c>
      <c r="GN106" t="str">
        <f>+IFERROR(VLOOKUP(GN7,IN_Zugliste!$A$4:$C$2002,4,FALSE),"")</f>
        <v/>
      </c>
      <c r="GO106" t="str">
        <f>+IFERROR(VLOOKUP(GO7,IN_Zugliste!$A$4:$C$2002,4,FALSE),"")</f>
        <v/>
      </c>
      <c r="GP106" t="str">
        <f>+IFERROR(VLOOKUP(GP7,IN_Zugliste!$A$4:$C$2002,4,FALSE),"")</f>
        <v/>
      </c>
      <c r="GQ106" t="str">
        <f>+IFERROR(VLOOKUP(GQ7,IN_Zugliste!$A$4:$C$2002,4,FALSE),"")</f>
        <v/>
      </c>
      <c r="GR106" t="str">
        <f>+IFERROR(VLOOKUP(GR7,IN_Zugliste!$A$4:$C$2002,4,FALSE),"")</f>
        <v/>
      </c>
      <c r="GS106" t="str">
        <f>+IFERROR(VLOOKUP(GS7,IN_Zugliste!$A$4:$C$2002,4,FALSE),"")</f>
        <v/>
      </c>
      <c r="GT106" t="str">
        <f>+IFERROR(VLOOKUP(GT7,IN_Zugliste!$A$4:$C$2002,4,FALSE),"")</f>
        <v/>
      </c>
      <c r="GU106" t="str">
        <f>+IFERROR(VLOOKUP(GU7,IN_Zugliste!$A$4:$C$2002,4,FALSE),"")</f>
        <v/>
      </c>
      <c r="GV106" t="str">
        <f>+IFERROR(VLOOKUP(GV7,IN_Zugliste!$A$4:$C$2002,4,FALSE),"")</f>
        <v/>
      </c>
      <c r="GW106" t="str">
        <f>+IFERROR(VLOOKUP(GW7,IN_Zugliste!$A$4:$C$2002,4,FALSE),"")</f>
        <v/>
      </c>
      <c r="GX106" t="str">
        <f>+IFERROR(VLOOKUP(GX7,IN_Zugliste!$A$4:$C$2002,4,FALSE),"")</f>
        <v/>
      </c>
      <c r="GY106" t="str">
        <f>+IFERROR(VLOOKUP(GY7,IN_Zugliste!$A$4:$C$2002,4,FALSE),"")</f>
        <v/>
      </c>
      <c r="GZ106" t="str">
        <f>+IFERROR(VLOOKUP(GZ7,IN_Zugliste!$A$4:$C$2002,4,FALSE),"")</f>
        <v/>
      </c>
      <c r="HA106" t="str">
        <f>+IFERROR(VLOOKUP(HA7,IN_Zugliste!$A$4:$C$2002,4,FALSE),"")</f>
        <v/>
      </c>
      <c r="HB106" t="str">
        <f>+IFERROR(VLOOKUP(HB7,IN_Zugliste!$A$4:$C$2002,4,FALSE),"")</f>
        <v/>
      </c>
      <c r="HC106" t="str">
        <f>+IFERROR(VLOOKUP(HC7,IN_Zugliste!$A$4:$C$2002,4,FALSE),"")</f>
        <v/>
      </c>
      <c r="HD106" t="str">
        <f>+IFERROR(VLOOKUP(HD7,IN_Zugliste!$A$4:$C$2002,4,FALSE),"")</f>
        <v/>
      </c>
      <c r="HE106" t="str">
        <f>+IFERROR(VLOOKUP(HE7,IN_Zugliste!$A$4:$C$2002,4,FALSE),"")</f>
        <v/>
      </c>
      <c r="HF106" t="str">
        <f>+IFERROR(VLOOKUP(HF7,IN_Zugliste!$A$4:$C$2002,4,FALSE),"")</f>
        <v/>
      </c>
      <c r="HG106" t="str">
        <f>+IFERROR(VLOOKUP(HG7,IN_Zugliste!$A$4:$C$2002,4,FALSE),"")</f>
        <v/>
      </c>
      <c r="HH106" t="str">
        <f>+IFERROR(VLOOKUP(HH7,IN_Zugliste!$A$4:$C$2002,4,FALSE),"")</f>
        <v/>
      </c>
      <c r="HI106" t="str">
        <f>+IFERROR(VLOOKUP(HI7,IN_Zugliste!$A$4:$C$2002,4,FALSE),"")</f>
        <v/>
      </c>
      <c r="HJ106" t="str">
        <f>+IFERROR(VLOOKUP(HJ7,IN_Zugliste!$A$4:$C$2002,4,FALSE),"")</f>
        <v/>
      </c>
      <c r="HK106" t="str">
        <f>+IFERROR(VLOOKUP(HK7,IN_Zugliste!$A$4:$C$2002,4,FALSE),"")</f>
        <v/>
      </c>
      <c r="HL106" t="str">
        <f>+IFERROR(VLOOKUP(HL7,IN_Zugliste!$A$4:$C$2002,4,FALSE),"")</f>
        <v/>
      </c>
      <c r="HM106" t="str">
        <f>+IFERROR(VLOOKUP(HM7,IN_Zugliste!$A$4:$C$2002,4,FALSE),"")</f>
        <v/>
      </c>
      <c r="HN106" t="str">
        <f>+IFERROR(VLOOKUP(HN7,IN_Zugliste!$A$4:$C$2002,4,FALSE),"")</f>
        <v/>
      </c>
      <c r="HO106" t="str">
        <f>+IFERROR(VLOOKUP(HO7,IN_Zugliste!$A$4:$C$2002,4,FALSE),"")</f>
        <v/>
      </c>
      <c r="HP106" t="str">
        <f>+IFERROR(VLOOKUP(HP7,IN_Zugliste!$A$4:$C$2002,4,FALSE),"")</f>
        <v/>
      </c>
      <c r="HQ106" t="str">
        <f>+IFERROR(VLOOKUP(HQ7,IN_Zugliste!$A$4:$C$2002,4,FALSE),"")</f>
        <v/>
      </c>
      <c r="HR106" t="str">
        <f>+IFERROR(VLOOKUP(HR7,IN_Zugliste!$A$4:$C$2002,4,FALSE),"")</f>
        <v/>
      </c>
      <c r="HS106" t="str">
        <f>+IFERROR(VLOOKUP(HS7,IN_Zugliste!$A$4:$C$2002,4,FALSE),"")</f>
        <v/>
      </c>
      <c r="HT106" t="str">
        <f>+IFERROR(VLOOKUP(HT7,IN_Zugliste!$A$4:$C$2002,4,FALSE),"")</f>
        <v/>
      </c>
      <c r="HU106" t="str">
        <f>+IFERROR(VLOOKUP(HU7,IN_Zugliste!$A$4:$C$2002,4,FALSE),"")</f>
        <v/>
      </c>
      <c r="HV106" t="str">
        <f>+IFERROR(VLOOKUP(HV7,IN_Zugliste!$A$4:$C$2002,4,FALSE),"")</f>
        <v/>
      </c>
      <c r="HW106" t="str">
        <f>+IFERROR(VLOOKUP(HW7,IN_Zugliste!$A$4:$C$2002,4,FALSE),"")</f>
        <v/>
      </c>
      <c r="HX106" t="str">
        <f>+IFERROR(VLOOKUP(HX7,IN_Zugliste!$A$4:$C$2002,4,FALSE),"")</f>
        <v/>
      </c>
      <c r="HY106" t="str">
        <f>+IFERROR(VLOOKUP(HY7,IN_Zugliste!$A$4:$C$2002,4,FALSE),"")</f>
        <v/>
      </c>
      <c r="HZ106" t="str">
        <f>+IFERROR(VLOOKUP(HZ7,IN_Zugliste!$A$4:$C$2002,4,FALSE),"")</f>
        <v/>
      </c>
      <c r="IA106" t="str">
        <f>+IFERROR(VLOOKUP(IA7,IN_Zugliste!$A$4:$C$2002,4,FALSE),"")</f>
        <v/>
      </c>
      <c r="IB106" t="str">
        <f>+IFERROR(VLOOKUP(IB7,IN_Zugliste!$A$4:$C$2002,4,FALSE),"")</f>
        <v/>
      </c>
      <c r="IC106" t="str">
        <f>+IFERROR(VLOOKUP(IC7,IN_Zugliste!$A$4:$C$2002,4,FALSE),"")</f>
        <v/>
      </c>
      <c r="ID106" t="str">
        <f>+IFERROR(VLOOKUP(ID7,IN_Zugliste!$A$4:$C$2002,4,FALSE),"")</f>
        <v/>
      </c>
      <c r="IE106" t="str">
        <f>+IFERROR(VLOOKUP(IE7,IN_Zugliste!$A$4:$C$2002,4,FALSE),"")</f>
        <v/>
      </c>
      <c r="IF106" t="str">
        <f>+IFERROR(VLOOKUP(IF7,IN_Zugliste!$A$4:$C$2002,4,FALSE),"")</f>
        <v/>
      </c>
      <c r="IG106" t="str">
        <f>+IFERROR(VLOOKUP(IG7,IN_Zugliste!$A$4:$C$2002,4,FALSE),"")</f>
        <v/>
      </c>
      <c r="IH106" t="str">
        <f>+IFERROR(VLOOKUP(IH7,IN_Zugliste!$A$4:$C$2002,4,FALSE),"")</f>
        <v/>
      </c>
      <c r="II106" t="str">
        <f>+IFERROR(VLOOKUP(II7,IN_Zugliste!$A$4:$C$2002,4,FALSE),"")</f>
        <v/>
      </c>
      <c r="IJ106" t="str">
        <f>+IFERROR(VLOOKUP(IJ7,IN_Zugliste!$A$4:$C$2002,4,FALSE),"")</f>
        <v/>
      </c>
      <c r="IK106" t="str">
        <f>+IFERROR(VLOOKUP(IK7,IN_Zugliste!$A$4:$C$2002,4,FALSE),"")</f>
        <v/>
      </c>
      <c r="IL106" t="str">
        <f>+IFERROR(VLOOKUP(IL7,IN_Zugliste!$A$4:$C$2002,4,FALSE),"")</f>
        <v/>
      </c>
      <c r="IM106" t="str">
        <f>+IFERROR(VLOOKUP(IM7,IN_Zugliste!$A$4:$C$2002,4,FALSE),"")</f>
        <v/>
      </c>
      <c r="IN106" t="str">
        <f>+IFERROR(VLOOKUP(IN7,IN_Zugliste!$A$4:$C$2002,4,FALSE),"")</f>
        <v/>
      </c>
      <c r="IO106" t="str">
        <f>+IFERROR(VLOOKUP(IO7,IN_Zugliste!$A$4:$C$2002,4,FALSE),"")</f>
        <v/>
      </c>
      <c r="IP106" t="str">
        <f>+IFERROR(VLOOKUP(IP7,IN_Zugliste!$A$4:$C$2002,4,FALSE),"")</f>
        <v/>
      </c>
      <c r="IQ106" t="str">
        <f>+IFERROR(VLOOKUP(IQ7,IN_Zugliste!$A$4:$C$2002,4,FALSE),"")</f>
        <v/>
      </c>
      <c r="IR106" t="str">
        <f>+IFERROR(VLOOKUP(IR7,IN_Zugliste!$A$4:$C$2002,4,FALSE),"")</f>
        <v/>
      </c>
      <c r="IS106" t="str">
        <f>+IFERROR(VLOOKUP(IS7,IN_Zugliste!$A$4:$C$2002,4,FALSE),"")</f>
        <v/>
      </c>
      <c r="IT106" t="str">
        <f>+IFERROR(VLOOKUP(IT7,IN_Zugliste!$A$4:$C$2002,4,FALSE),"")</f>
        <v/>
      </c>
      <c r="IU106" t="str">
        <f>+IFERROR(VLOOKUP(IU7,IN_Zugliste!$A$4:$C$2002,4,FALSE),"")</f>
        <v/>
      </c>
      <c r="IV106" t="str">
        <f>+IFERROR(VLOOKUP(IV7,IN_Zugliste!$A$4:$C$2002,4,FALSE),"")</f>
        <v/>
      </c>
      <c r="IW106" t="str">
        <f>+IFERROR(VLOOKUP(IW7,IN_Zugliste!$A$4:$C$2002,4,FALSE),"")</f>
        <v/>
      </c>
      <c r="IX106" t="str">
        <f>+IFERROR(VLOOKUP(IX7,IN_Zugliste!$A$4:$C$2002,4,FALSE),"")</f>
        <v/>
      </c>
      <c r="IY106" t="str">
        <f>+IFERROR(VLOOKUP(IY7,IN_Zugliste!$A$4:$C$2002,4,FALSE),"")</f>
        <v/>
      </c>
      <c r="IZ106" t="str">
        <f>+IFERROR(VLOOKUP(IZ7,IN_Zugliste!$A$4:$C$2002,4,FALSE),"")</f>
        <v/>
      </c>
      <c r="JA106" t="str">
        <f>+IFERROR(VLOOKUP(JA7,IN_Zugliste!$A$4:$C$2002,4,FALSE),"")</f>
        <v/>
      </c>
      <c r="JB106" t="str">
        <f>+IFERROR(VLOOKUP(JB7,IN_Zugliste!$A$4:$C$2002,4,FALSE),"")</f>
        <v/>
      </c>
      <c r="JC106" t="str">
        <f>+IFERROR(VLOOKUP(JC7,IN_Zugliste!$A$4:$C$2002,4,FALSE),"")</f>
        <v/>
      </c>
      <c r="JD106" t="str">
        <f>+IFERROR(VLOOKUP(JD7,IN_Zugliste!$A$4:$C$2002,4,FALSE),"")</f>
        <v/>
      </c>
      <c r="JE106" t="str">
        <f>+IFERROR(VLOOKUP(JE7,IN_Zugliste!$A$4:$C$2002,4,FALSE),"")</f>
        <v/>
      </c>
      <c r="JF106" t="str">
        <f>+IFERROR(VLOOKUP(JF7,IN_Zugliste!$A$4:$C$2002,4,FALSE),"")</f>
        <v/>
      </c>
      <c r="JG106" t="str">
        <f>+IFERROR(VLOOKUP(JG7,IN_Zugliste!$A$4:$C$2002,4,FALSE),"")</f>
        <v/>
      </c>
      <c r="JH106" t="str">
        <f>+IFERROR(VLOOKUP(JH7,IN_Zugliste!$A$4:$C$2002,4,FALSE),"")</f>
        <v/>
      </c>
      <c r="JI106" t="str">
        <f>+IFERROR(VLOOKUP(JI7,IN_Zugliste!$A$4:$C$2002,4,FALSE),"")</f>
        <v/>
      </c>
      <c r="JJ106" t="str">
        <f>+IFERROR(VLOOKUP(JJ7,IN_Zugliste!$A$4:$C$2002,4,FALSE),"")</f>
        <v/>
      </c>
      <c r="JK106" t="str">
        <f>+IFERROR(VLOOKUP(JK7,IN_Zugliste!$A$4:$C$2002,4,FALSE),"")</f>
        <v/>
      </c>
      <c r="JL106" t="str">
        <f>+IFERROR(VLOOKUP(JL7,IN_Zugliste!$A$4:$C$2002,4,FALSE),"")</f>
        <v/>
      </c>
    </row>
    <row r="107" spans="1:272" x14ac:dyDescent="0.2">
      <c r="A107" t="str">
        <f>+IFERROR(VLOOKUP(A8,IN_Zugliste!$A$4:$D$2002,4,FALSE),"")</f>
        <v>101-3.0</v>
      </c>
      <c r="B107" t="str">
        <f>+IFERROR(VLOOKUP(B8,IN_Zugliste!$A$4:$D$2002,4,FALSE),"")</f>
        <v>101-3.0</v>
      </c>
      <c r="C107" t="str">
        <f>+IFERROR(VLOOKUP(C8,IN_Zugliste!$A$4:$D$2002,4,FALSE),"")</f>
        <v>146-3.2</v>
      </c>
      <c r="D107" t="str">
        <f>+IFERROR(VLOOKUP(D8,IN_Zugliste!$A$4:$D$2002,4,FALSE),"")</f>
        <v>462-1.0</v>
      </c>
      <c r="E107" t="str">
        <f>+IFERROR(VLOOKUP(E8,IN_Zugliste!$A$4:$D$2002,4,FALSE),"")</f>
        <v>462-1.0</v>
      </c>
      <c r="F107" t="str">
        <f>+IFERROR(VLOOKUP(F8,IN_Zugliste!$A$4:$D$2002,4,FALSE),"")</f>
        <v>146-3.2</v>
      </c>
      <c r="G107" t="str">
        <f>+IFERROR(VLOOKUP(G8,IN_Zugliste!$A$4:$D$2002,4,FALSE),"")</f>
        <v>101-3.0</v>
      </c>
      <c r="H107" t="str">
        <f>+IFERROR(VLOOKUP(H8,IN_Zugliste!$A$4:$D$2002,4,FALSE),"")</f>
        <v>101-3.0</v>
      </c>
      <c r="I107" t="str">
        <f>+IFERROR(VLOOKUP(I8,IN_Zugliste!$A$4:$D$2002,4,FALSE),"")</f>
        <v>146-3.2</v>
      </c>
      <c r="J107" t="str">
        <f>+IFERROR(VLOOKUP(J8,IN_Zugliste!$A$4:$D$2002,4,FALSE),"")</f>
        <v>101-3.0</v>
      </c>
      <c r="K107" t="str">
        <f>+IFERROR(VLOOKUP(K8,IN_Zugliste!$A$4:$D$2002,4,FALSE),"")</f>
        <v>101-3.0</v>
      </c>
      <c r="L107" t="str">
        <f>+IFERROR(VLOOKUP(L8,IN_Zugliste!$A$4:$D$2002,4,FALSE),"")</f>
        <v/>
      </c>
      <c r="M107" t="str">
        <f>+IFERROR(VLOOKUP(M8,IN_Zugliste!$A$4:$D$2002,4,FALSE),"")</f>
        <v/>
      </c>
      <c r="N107" t="str">
        <f>+IFERROR(VLOOKUP(N8,IN_Zugliste!$A$4:$D$2002,4,FALSE),"")</f>
        <v>101-3.0</v>
      </c>
      <c r="O107" t="str">
        <f>+IFERROR(VLOOKUP(O8,IN_Zugliste!$A$4:$D$2002,4,FALSE),"")</f>
        <v/>
      </c>
      <c r="P107" t="str">
        <f>+IFERROR(VLOOKUP(P8,IN_Zugliste!$A$4:$D$2002,4,FALSE),"")</f>
        <v/>
      </c>
      <c r="Q107" t="str">
        <f>+IFERROR(VLOOKUP(Q8,IN_Zugliste!$A$4:$D$2002,4,FALSE),"")</f>
        <v/>
      </c>
      <c r="R107" t="str">
        <f>+IFERROR(VLOOKUP(R8,IN_Zugliste!$A$4:$D$2002,4,FALSE),"")</f>
        <v/>
      </c>
      <c r="S107" t="str">
        <f>+IFERROR(VLOOKUP(S8,IN_Zugliste!$A$4:$D$2002,4,FALSE),"")</f>
        <v/>
      </c>
      <c r="T107" t="str">
        <f>+IFERROR(VLOOKUP(T8,IN_Zugliste!$A$4:$D$2002,4,FALSE),"")</f>
        <v>146-3.2</v>
      </c>
      <c r="U107" t="str">
        <f>+IFERROR(VLOOKUP(U8,IN_Zugliste!$A$4:$D$2002,4,FALSE),"")</f>
        <v/>
      </c>
      <c r="V107" t="str">
        <f>+IFERROR(VLOOKUP(V8,IN_Zugliste!$A$4:$D$2002,4,FALSE),"")</f>
        <v>101-3.0</v>
      </c>
      <c r="W107" t="str">
        <f>+IFERROR(VLOOKUP(W8,IN_Zugliste!$A$4:$D$2002,4,FALSE),"")</f>
        <v>101-3.0</v>
      </c>
      <c r="X107" t="str">
        <f>+IFERROR(VLOOKUP(X8,IN_Zugliste!$A$4:$D$2002,4,FALSE),"")</f>
        <v>101-3.0</v>
      </c>
      <c r="Y107" t="str">
        <f>+IFERROR(VLOOKUP(Y8,IN_Zugliste!$A$4:$D$2002,4,FALSE),"")</f>
        <v/>
      </c>
      <c r="Z107" t="str">
        <f>+IFERROR(VLOOKUP(Z8,IN_Zugliste!$A$4:$D$2002,4,FALSE),"")</f>
        <v/>
      </c>
      <c r="AA107" t="str">
        <f>+IFERROR(VLOOKUP(AA8,IN_Zugliste!$A$4:$D$2002,4,FALSE),"")</f>
        <v/>
      </c>
      <c r="AB107" t="str">
        <f>+IFERROR(VLOOKUP(AB8,IN_Zugliste!$A$4:$D$2002,4,FALSE),"")</f>
        <v>101-3.0</v>
      </c>
      <c r="AC107" t="str">
        <f>+IFERROR(VLOOKUP(AC8,IN_Zugliste!$A$4:$D$2002,4,FALSE),"")</f>
        <v/>
      </c>
      <c r="AD107" t="str">
        <f>+IFERROR(VLOOKUP(AD8,IN_Zugliste!$A$4:$D$2002,4,FALSE),"")</f>
        <v/>
      </c>
      <c r="AE107" t="str">
        <f>+IFERROR(VLOOKUP(AE8,IN_Zugliste!$A$4:$D$2002,4,FALSE),"")</f>
        <v/>
      </c>
      <c r="AF107" t="str">
        <f>+IFERROR(VLOOKUP(AF8,IN_Zugliste!$A$4:$D$2002,4,FALSE),"")</f>
        <v/>
      </c>
      <c r="AG107" t="str">
        <f>+IFERROR(VLOOKUP(AG8,IN_Zugliste!$A$4:$D$2002,4,FALSE),"")</f>
        <v/>
      </c>
      <c r="AH107" t="str">
        <f>+IFERROR(VLOOKUP(AH8,IN_Zugliste!$A$4:$D$2002,4,FALSE),"")</f>
        <v/>
      </c>
      <c r="AI107" t="str">
        <f>+IFERROR(VLOOKUP(AI8,IN_Zugliste!$A$4:$D$2002,4,FALSE),"")</f>
        <v/>
      </c>
      <c r="AJ107" t="str">
        <f>+IFERROR(VLOOKUP(AJ8,IN_Zugliste!$A$4:$D$2002,4,FALSE),"")</f>
        <v/>
      </c>
      <c r="AK107" t="str">
        <f>+IFERROR(VLOOKUP(AK8,IN_Zugliste!$A$4:$D$2002,4,FALSE),"")</f>
        <v/>
      </c>
      <c r="AL107" t="str">
        <f>+IFERROR(VLOOKUP(AL8,IN_Zugliste!$A$4:$D$2002,4,FALSE),"")</f>
        <v/>
      </c>
      <c r="AM107" t="str">
        <f>+IFERROR(VLOOKUP(AM8,IN_Zugliste!$A$4:$D$2002,4,FALSE),"")</f>
        <v/>
      </c>
      <c r="AN107" t="str">
        <f>+IFERROR(VLOOKUP(AN8,IN_Zugliste!$A$4:$D$2002,4,FALSE),"")</f>
        <v/>
      </c>
      <c r="AO107" t="str">
        <f>+IFERROR(VLOOKUP(AO8,IN_Zugliste!$A$4:$D$2002,4,FALSE),"")</f>
        <v/>
      </c>
      <c r="AP107" t="str">
        <f>+IFERROR(VLOOKUP(AP8,IN_Zugliste!$A$4:$D$2002,4,FALSE),"")</f>
        <v/>
      </c>
      <c r="AQ107" t="str">
        <f>+IFERROR(VLOOKUP(AQ8,IN_Zugliste!$A$4:$D$2002,4,FALSE),"")</f>
        <v/>
      </c>
      <c r="AR107" t="str">
        <f>+IFERROR(VLOOKUP(AR8,IN_Zugliste!$A$4:$D$2002,4,FALSE),"")</f>
        <v/>
      </c>
      <c r="AS107" t="str">
        <f>+IFERROR(VLOOKUP(AS8,IN_Zugliste!$A$4:$D$2002,4,FALSE),"")</f>
        <v/>
      </c>
      <c r="AT107" t="str">
        <f>+IFERROR(VLOOKUP(AT8,IN_Zugliste!$A$4:$D$2002,4,FALSE),"")</f>
        <v/>
      </c>
      <c r="AU107" t="str">
        <f>+IFERROR(VLOOKUP(AU8,IN_Zugliste!$A$4:$D$2002,4,FALSE),"")</f>
        <v/>
      </c>
      <c r="AV107" t="str">
        <f>+IFERROR(VLOOKUP(AV8,IN_Zugliste!$A$4:$D$2002,4,FALSE),"")</f>
        <v/>
      </c>
      <c r="AW107" t="str">
        <f>+IFERROR(VLOOKUP(AW8,IN_Zugliste!$A$4:$D$2002,4,FALSE),"")</f>
        <v/>
      </c>
      <c r="AX107" t="str">
        <f>+IFERROR(VLOOKUP(AX8,IN_Zugliste!$A$4:$D$2002,4,FALSE),"")</f>
        <v/>
      </c>
      <c r="AY107" t="str">
        <f>+IFERROR(VLOOKUP(AY8,IN_Zugliste!$A$4:$D$2002,4,FALSE),"")</f>
        <v/>
      </c>
      <c r="AZ107" t="str">
        <f>+IFERROR(VLOOKUP(AZ8,IN_Zugliste!$A$4:$D$2002,4,FALSE),"")</f>
        <v/>
      </c>
      <c r="BA107" t="str">
        <f>+IFERROR(VLOOKUP(BA8,IN_Zugliste!$A$4:$D$2002,4,FALSE),"")</f>
        <v/>
      </c>
      <c r="BB107" t="str">
        <f>+IFERROR(VLOOKUP(BB8,IN_Zugliste!$A$4:$D$2002,4,FALSE),"")</f>
        <v/>
      </c>
      <c r="BC107" t="str">
        <f>+IFERROR(VLOOKUP(BC8,IN_Zugliste!$A$4:$D$2002,4,FALSE),"")</f>
        <v/>
      </c>
      <c r="BD107" t="str">
        <f>+IFERROR(VLOOKUP(BD8,IN_Zugliste!$A$4:$D$2002,4,FALSE),"")</f>
        <v/>
      </c>
      <c r="BE107" t="str">
        <f>+IFERROR(VLOOKUP(BE8,IN_Zugliste!$A$4:$D$2002,4,FALSE),"")</f>
        <v/>
      </c>
      <c r="BF107" t="str">
        <f>+IFERROR(VLOOKUP(BF8,IN_Zugliste!$A$4:$D$2002,4,FALSE),"")</f>
        <v/>
      </c>
      <c r="BG107" t="str">
        <f>+IFERROR(VLOOKUP(BG8,IN_Zugliste!$A$4:$D$2002,4,FALSE),"")</f>
        <v/>
      </c>
      <c r="BH107" t="str">
        <f>+IFERROR(VLOOKUP(BH8,IN_Zugliste!$A$4:$D$2002,4,FALSE),"")</f>
        <v/>
      </c>
      <c r="BI107" t="str">
        <f>+IFERROR(VLOOKUP(BI8,IN_Zugliste!$A$4:$D$2002,4,FALSE),"")</f>
        <v/>
      </c>
      <c r="BJ107" t="str">
        <f>+IFERROR(VLOOKUP(BJ8,IN_Zugliste!$A$4:$D$2002,4,FALSE),"")</f>
        <v/>
      </c>
      <c r="BK107" t="str">
        <f>+IFERROR(VLOOKUP(BK8,IN_Zugliste!$A$4:$D$2002,4,FALSE),"")</f>
        <v/>
      </c>
      <c r="BL107" t="str">
        <f>+IFERROR(VLOOKUP(BL8,IN_Zugliste!$A$4:$D$2002,4,FALSE),"")</f>
        <v/>
      </c>
      <c r="BM107" t="str">
        <f>+IFERROR(VLOOKUP(BM8,IN_Zugliste!$A$4:$D$2002,4,FALSE),"")</f>
        <v/>
      </c>
      <c r="BN107" t="str">
        <f>+IFERROR(VLOOKUP(BN8,IN_Zugliste!$A$4:$D$2002,4,FALSE),"")</f>
        <v/>
      </c>
      <c r="BO107" t="str">
        <f>+IFERROR(VLOOKUP(BO8,IN_Zugliste!$A$4:$D$2002,4,FALSE),"")</f>
        <v/>
      </c>
      <c r="BP107" t="str">
        <f>+IFERROR(VLOOKUP(BP8,IN_Zugliste!$A$4:$D$2002,4,FALSE),"")</f>
        <v/>
      </c>
      <c r="BQ107" t="str">
        <f>+IFERROR(VLOOKUP(BQ8,IN_Zugliste!$A$4:$D$2002,4,FALSE),"")</f>
        <v/>
      </c>
      <c r="BR107" t="str">
        <f>+IFERROR(VLOOKUP(BR8,IN_Zugliste!$A$4:$D$2002,4,FALSE),"")</f>
        <v/>
      </c>
      <c r="BS107" t="str">
        <f>+IFERROR(VLOOKUP(BS8,IN_Zugliste!$A$4:$D$2002,4,FALSE),"")</f>
        <v/>
      </c>
      <c r="BT107" t="str">
        <f>+IFERROR(VLOOKUP(BT8,IN_Zugliste!$A$4:$D$2002,4,FALSE),"")</f>
        <v/>
      </c>
      <c r="BU107" t="str">
        <f>+IFERROR(VLOOKUP(BU8,IN_Zugliste!$A$4:$D$2002,4,FALSE),"")</f>
        <v/>
      </c>
      <c r="BV107" t="str">
        <f>+IFERROR(VLOOKUP(BV8,IN_Zugliste!$A$4:$D$2002,4,FALSE),"")</f>
        <v/>
      </c>
      <c r="BW107" t="str">
        <f>+IFERROR(VLOOKUP(BW8,IN_Zugliste!$A$4:$D$2002,4,FALSE),"")</f>
        <v/>
      </c>
      <c r="BX107" t="str">
        <f>+IFERROR(VLOOKUP(BX8,IN_Zugliste!$A$4:$D$2002,4,FALSE),"")</f>
        <v/>
      </c>
      <c r="BY107" t="str">
        <f>+IFERROR(VLOOKUP(BY8,IN_Zugliste!$A$4:$D$2002,4,FALSE),"")</f>
        <v/>
      </c>
      <c r="BZ107" t="str">
        <f>+IFERROR(VLOOKUP(BZ8,IN_Zugliste!$A$4:$D$2002,4,FALSE),"")</f>
        <v/>
      </c>
      <c r="CA107" t="str">
        <f>+IFERROR(VLOOKUP(CA8,IN_Zugliste!$A$4:$D$2002,4,FALSE),"")</f>
        <v/>
      </c>
      <c r="CB107" t="str">
        <f>+IFERROR(VLOOKUP(CB8,IN_Zugliste!$A$4:$D$2002,4,FALSE),"")</f>
        <v/>
      </c>
      <c r="CC107" t="str">
        <f>+IFERROR(VLOOKUP(CC8,IN_Zugliste!$A$4:$D$2002,4,FALSE),"")</f>
        <v/>
      </c>
      <c r="CD107" t="str">
        <f>+IFERROR(VLOOKUP(CD8,IN_Zugliste!$A$4:$D$2002,4,FALSE),"")</f>
        <v/>
      </c>
      <c r="CE107" t="str">
        <f>+IFERROR(VLOOKUP(CE8,IN_Zugliste!$A$4:$D$2002,4,FALSE),"")</f>
        <v/>
      </c>
      <c r="CF107" t="str">
        <f>+IFERROR(VLOOKUP(CF8,IN_Zugliste!$A$4:$D$2002,4,FALSE),"")</f>
        <v/>
      </c>
      <c r="CG107" t="str">
        <f>+IFERROR(VLOOKUP(CG8,IN_Zugliste!$A$4:$D$2002,4,FALSE),"")</f>
        <v/>
      </c>
      <c r="CH107" t="str">
        <f>+IFERROR(VLOOKUP(CH8,IN_Zugliste!$A$4:$D$2002,4,FALSE),"")</f>
        <v/>
      </c>
      <c r="CI107" t="str">
        <f>+IFERROR(VLOOKUP(CI8,IN_Zugliste!$A$4:$D$2002,4,FALSE),"")</f>
        <v/>
      </c>
      <c r="CJ107" t="str">
        <f>+IFERROR(VLOOKUP(CJ8,IN_Zugliste!$A$4:$D$2002,4,FALSE),"")</f>
        <v/>
      </c>
      <c r="CK107" t="str">
        <f>+IFERROR(VLOOKUP(CK8,IN_Zugliste!$A$4:$D$2002,4,FALSE),"")</f>
        <v/>
      </c>
      <c r="CL107" t="str">
        <f>+IFERROR(VLOOKUP(CL8,IN_Zugliste!$A$4:$D$2002,4,FALSE),"")</f>
        <v/>
      </c>
      <c r="CM107" t="str">
        <f>+IFERROR(VLOOKUP(CM8,IN_Zugliste!$A$4:$D$2002,4,FALSE),"")</f>
        <v/>
      </c>
      <c r="CN107" t="str">
        <f>+IFERROR(VLOOKUP(CN8,IN_Zugliste!$A$4:$D$2002,4,FALSE),"")</f>
        <v/>
      </c>
      <c r="CO107" t="str">
        <f>+IFERROR(VLOOKUP(CO8,IN_Zugliste!$A$4:$D$2002,4,FALSE),"")</f>
        <v/>
      </c>
      <c r="CP107" t="str">
        <f>+IFERROR(VLOOKUP(CP8,IN_Zugliste!$A$4:$D$2002,4,FALSE),"")</f>
        <v/>
      </c>
      <c r="CQ107" t="str">
        <f>+IFERROR(VLOOKUP(CQ8,IN_Zugliste!$A$4:$D$2002,4,FALSE),"")</f>
        <v/>
      </c>
      <c r="CR107" t="str">
        <f>+IFERROR(VLOOKUP(CR8,IN_Zugliste!$A$4:$D$2002,4,FALSE),"")</f>
        <v/>
      </c>
      <c r="CS107" t="str">
        <f>+IFERROR(VLOOKUP(CS8,IN_Zugliste!$A$4:$D$2002,4,FALSE),"")</f>
        <v/>
      </c>
      <c r="CT107" t="str">
        <f>+IFERROR(VLOOKUP(CT8,IN_Zugliste!$A$4:$D$2002,4,FALSE),"")</f>
        <v/>
      </c>
      <c r="CU107" t="str">
        <f>+IFERROR(VLOOKUP(CU8,IN_Zugliste!$A$4:$D$2002,4,FALSE),"")</f>
        <v/>
      </c>
      <c r="CV107" t="str">
        <f>+IFERROR(VLOOKUP(CV8,IN_Zugliste!$A$4:$D$2002,4,FALSE),"")</f>
        <v/>
      </c>
      <c r="CW107" t="str">
        <f>+IFERROR(VLOOKUP(CW8,IN_Zugliste!$A$4:$D$2002,4,FALSE),"")</f>
        <v/>
      </c>
      <c r="CX107" t="str">
        <f>+IFERROR(VLOOKUP(CX8,IN_Zugliste!$A$4:$D$2002,4,FALSE),"")</f>
        <v/>
      </c>
      <c r="CY107" t="str">
        <f>+IFERROR(VLOOKUP(CY8,IN_Zugliste!$A$4:$D$2002,4,FALSE),"")</f>
        <v/>
      </c>
      <c r="CZ107" t="str">
        <f>+IFERROR(VLOOKUP(CZ8,IN_Zugliste!$A$4:$D$2002,4,FALSE),"")</f>
        <v/>
      </c>
      <c r="DA107" t="str">
        <f>+IFERROR(VLOOKUP(DA8,IN_Zugliste!$A$4:$D$2002,4,FALSE),"")</f>
        <v/>
      </c>
      <c r="DB107" t="str">
        <f>+IFERROR(VLOOKUP(DB8,IN_Zugliste!$A$4:$D$2002,4,FALSE),"")</f>
        <v/>
      </c>
      <c r="DC107" t="str">
        <f>+IFERROR(VLOOKUP(DC8,IN_Zugliste!$A$4:$D$2002,4,FALSE),"")</f>
        <v/>
      </c>
      <c r="DD107" t="str">
        <f>+IFERROR(VLOOKUP(DD8,IN_Zugliste!$A$4:$D$2002,4,FALSE),"")</f>
        <v/>
      </c>
      <c r="DE107" t="str">
        <f>+IFERROR(VLOOKUP(DE8,IN_Zugliste!$A$4:$D$2002,4,FALSE),"")</f>
        <v/>
      </c>
      <c r="DF107" t="str">
        <f>+IFERROR(VLOOKUP(DF8,IN_Zugliste!$A$4:$D$2002,4,FALSE),"")</f>
        <v/>
      </c>
      <c r="DG107" t="str">
        <f>+IFERROR(VLOOKUP(DG8,IN_Zugliste!$A$4:$D$2002,4,FALSE),"")</f>
        <v/>
      </c>
      <c r="DH107" t="str">
        <f>+IFERROR(VLOOKUP(DH8,IN_Zugliste!$A$4:$D$2002,4,FALSE),"")</f>
        <v/>
      </c>
      <c r="DI107" t="str">
        <f>+IFERROR(VLOOKUP(DI8,IN_Zugliste!$A$4:$D$2002,4,FALSE),"")</f>
        <v/>
      </c>
      <c r="DJ107" t="str">
        <f>+IFERROR(VLOOKUP(DJ8,IN_Zugliste!$A$4:$D$2002,4,FALSE),"")</f>
        <v/>
      </c>
      <c r="DK107" t="str">
        <f>+IFERROR(VLOOKUP(DK8,IN_Zugliste!$A$4:$D$2002,4,FALSE),"")</f>
        <v/>
      </c>
      <c r="DL107" t="str">
        <f>+IFERROR(VLOOKUP(DL8,IN_Zugliste!$A$4:$D$2002,4,FALSE),"")</f>
        <v/>
      </c>
      <c r="DM107" t="str">
        <f>+IFERROR(VLOOKUP(DM8,IN_Zugliste!$A$4:$D$2002,4,FALSE),"")</f>
        <v/>
      </c>
      <c r="DN107" t="str">
        <f>+IFERROR(VLOOKUP(DN8,IN_Zugliste!$A$4:$D$2002,4,FALSE),"")</f>
        <v/>
      </c>
      <c r="DO107" t="str">
        <f>+IFERROR(VLOOKUP(DO8,IN_Zugliste!$A$4:$D$2002,4,FALSE),"")</f>
        <v/>
      </c>
      <c r="DP107" t="str">
        <f>+IFERROR(VLOOKUP(DP8,IN_Zugliste!$A$4:$D$2002,4,FALSE),"")</f>
        <v/>
      </c>
      <c r="DQ107" t="str">
        <f>+IFERROR(VLOOKUP(DQ8,IN_Zugliste!$A$4:$D$2002,4,FALSE),"")</f>
        <v/>
      </c>
      <c r="DR107" t="str">
        <f>+IFERROR(VLOOKUP(DR8,IN_Zugliste!$A$4:$D$2002,4,FALSE),"")</f>
        <v/>
      </c>
      <c r="DS107" t="str">
        <f>+IFERROR(VLOOKUP(DS8,IN_Zugliste!$A$4:$D$2002,4,FALSE),"")</f>
        <v/>
      </c>
      <c r="DT107" t="str">
        <f>+IFERROR(VLOOKUP(DT8,IN_Zugliste!$A$4:$D$2002,4,FALSE),"")</f>
        <v/>
      </c>
      <c r="DU107" t="str">
        <f>+IFERROR(VLOOKUP(DU8,IN_Zugliste!$A$4:$D$2002,4,FALSE),"")</f>
        <v/>
      </c>
      <c r="DV107" t="str">
        <f>+IFERROR(VLOOKUP(DV8,IN_Zugliste!$A$4:$D$2002,4,FALSE),"")</f>
        <v/>
      </c>
      <c r="DW107" t="str">
        <f>+IFERROR(VLOOKUP(DW8,IN_Zugliste!$A$4:$D$2002,4,FALSE),"")</f>
        <v/>
      </c>
      <c r="DX107" t="str">
        <f>+IFERROR(VLOOKUP(DX8,IN_Zugliste!$A$4:$D$2002,4,FALSE),"")</f>
        <v/>
      </c>
      <c r="DY107" t="str">
        <f>+IFERROR(VLOOKUP(DY8,IN_Zugliste!$A$4:$D$2002,4,FALSE),"")</f>
        <v/>
      </c>
      <c r="DZ107" t="str">
        <f>+IFERROR(VLOOKUP(DZ8,IN_Zugliste!$A$4:$D$2002,4,FALSE),"")</f>
        <v/>
      </c>
      <c r="EA107" t="str">
        <f>+IFERROR(VLOOKUP(EA8,IN_Zugliste!$A$4:$D$2002,4,FALSE),"")</f>
        <v/>
      </c>
      <c r="EB107" t="str">
        <f>+IFERROR(VLOOKUP(EB8,IN_Zugliste!$A$4:$D$2002,4,FALSE),"")</f>
        <v/>
      </c>
      <c r="EC107" t="str">
        <f>+IFERROR(VLOOKUP(EC8,IN_Zugliste!$A$4:$D$2002,4,FALSE),"")</f>
        <v/>
      </c>
      <c r="ED107" t="str">
        <f>+IFERROR(VLOOKUP(ED8,IN_Zugliste!$A$4:$D$2002,4,FALSE),"")</f>
        <v/>
      </c>
      <c r="EE107" t="str">
        <f>+IFERROR(VLOOKUP(EE8,IN_Zugliste!$A$4:$D$2002,4,FALSE),"")</f>
        <v/>
      </c>
      <c r="EF107" t="str">
        <f>+IFERROR(VLOOKUP(EF8,IN_Zugliste!$A$4:$D$2002,4,FALSE),"")</f>
        <v/>
      </c>
      <c r="EG107" t="str">
        <f>+IFERROR(VLOOKUP(EG8,IN_Zugliste!$A$4:$D$2002,4,FALSE),"")</f>
        <v/>
      </c>
      <c r="EH107" t="str">
        <f>+IFERROR(VLOOKUP(EH8,IN_Zugliste!$A$4:$D$2002,4,FALSE),"")</f>
        <v/>
      </c>
      <c r="EI107" t="str">
        <f>+IFERROR(VLOOKUP(EI8,IN_Zugliste!$A$4:$D$2002,4,FALSE),"")</f>
        <v/>
      </c>
      <c r="EJ107" t="str">
        <f>+IFERROR(VLOOKUP(EJ8,IN_Zugliste!$A$4:$D$2002,4,FALSE),"")</f>
        <v/>
      </c>
      <c r="EK107" t="str">
        <f>+IFERROR(VLOOKUP(EK8,IN_Zugliste!$A$4:$D$2002,4,FALSE),"")</f>
        <v/>
      </c>
      <c r="EL107" t="str">
        <f>+IFERROR(VLOOKUP(EL8,IN_Zugliste!$A$4:$D$2002,4,FALSE),"")</f>
        <v/>
      </c>
      <c r="EM107" t="str">
        <f>+IFERROR(VLOOKUP(EM8,IN_Zugliste!$A$4:$D$2002,4,FALSE),"")</f>
        <v/>
      </c>
      <c r="EN107" t="str">
        <f>+IFERROR(VLOOKUP(EN8,IN_Zugliste!$A$4:$D$2002,4,FALSE),"")</f>
        <v/>
      </c>
      <c r="EO107" t="str">
        <f>+IFERROR(VLOOKUP(EO8,IN_Zugliste!$A$4:$D$2002,4,FALSE),"")</f>
        <v/>
      </c>
      <c r="EP107" t="str">
        <f>+IFERROR(VLOOKUP(EP8,IN_Zugliste!$A$4:$D$2002,4,FALSE),"")</f>
        <v/>
      </c>
      <c r="EQ107" t="str">
        <f>+IFERROR(VLOOKUP(EQ8,IN_Zugliste!$A$4:$D$2002,4,FALSE),"")</f>
        <v/>
      </c>
      <c r="ER107" t="str">
        <f>+IFERROR(VLOOKUP(ER8,IN_Zugliste!$A$4:$D$2002,4,FALSE),"")</f>
        <v/>
      </c>
      <c r="ES107" t="str">
        <f>+IFERROR(VLOOKUP(ES8,IN_Zugliste!$A$4:$D$2002,4,FALSE),"")</f>
        <v/>
      </c>
      <c r="ET107" t="str">
        <f>+IFERROR(VLOOKUP(ET8,IN_Zugliste!$A$4:$D$2002,4,FALSE),"")</f>
        <v/>
      </c>
      <c r="EU107" t="str">
        <f>+IFERROR(VLOOKUP(EU8,IN_Zugliste!$A$4:$D$2002,4,FALSE),"")</f>
        <v/>
      </c>
      <c r="EV107" t="str">
        <f>+IFERROR(VLOOKUP(EV8,IN_Zugliste!$A$4:$D$2002,4,FALSE),"")</f>
        <v/>
      </c>
      <c r="EW107" t="str">
        <f>+IFERROR(VLOOKUP(EW8,IN_Zugliste!$A$4:$D$2002,4,FALSE),"")</f>
        <v/>
      </c>
      <c r="EX107" t="str">
        <f>+IFERROR(VLOOKUP(EX8,IN_Zugliste!$A$4:$D$2002,4,FALSE),"")</f>
        <v/>
      </c>
      <c r="EY107" t="str">
        <f>+IFERROR(VLOOKUP(EY8,IN_Zugliste!$A$4:$D$2002,4,FALSE),"")</f>
        <v/>
      </c>
      <c r="EZ107" t="str">
        <f>+IFERROR(VLOOKUP(EZ8,IN_Zugliste!$A$4:$D$2002,4,FALSE),"")</f>
        <v/>
      </c>
      <c r="FA107" t="str">
        <f>+IFERROR(VLOOKUP(FA8,IN_Zugliste!$A$4:$D$2002,4,FALSE),"")</f>
        <v/>
      </c>
      <c r="FB107" t="str">
        <f>+IFERROR(VLOOKUP(FB8,IN_Zugliste!$A$4:$D$2002,4,FALSE),"")</f>
        <v/>
      </c>
      <c r="FC107" t="str">
        <f>+IFERROR(VLOOKUP(FC8,IN_Zugliste!$A$4:$D$2002,4,FALSE),"")</f>
        <v/>
      </c>
      <c r="FD107" t="str">
        <f>+IFERROR(VLOOKUP(FD8,IN_Zugliste!$A$4:$D$2002,4,FALSE),"")</f>
        <v/>
      </c>
      <c r="FE107" t="str">
        <f>+IFERROR(VLOOKUP(FE8,IN_Zugliste!$A$4:$D$2002,4,FALSE),"")</f>
        <v/>
      </c>
      <c r="FF107" t="str">
        <f>+IFERROR(VLOOKUP(FF8,IN_Zugliste!$A$4:$D$2002,4,FALSE),"")</f>
        <v/>
      </c>
      <c r="FG107" t="str">
        <f>+IFERROR(VLOOKUP(FG8,IN_Zugliste!$A$4:$D$2002,4,FALSE),"")</f>
        <v/>
      </c>
      <c r="FH107" t="str">
        <f>+IFERROR(VLOOKUP(FH8,IN_Zugliste!$A$4:$D$2002,4,FALSE),"")</f>
        <v/>
      </c>
      <c r="FI107" t="str">
        <f>+IFERROR(VLOOKUP(FI8,IN_Zugliste!$A$4:$D$2002,4,FALSE),"")</f>
        <v/>
      </c>
      <c r="FJ107" t="str">
        <f>+IFERROR(VLOOKUP(FJ8,IN_Zugliste!$A$4:$D$2002,4,FALSE),"")</f>
        <v/>
      </c>
      <c r="FK107" t="str">
        <f>+IFERROR(VLOOKUP(FK8,IN_Zugliste!$A$4:$D$2002,4,FALSE),"")</f>
        <v/>
      </c>
      <c r="FL107" t="str">
        <f>+IFERROR(VLOOKUP(FL8,IN_Zugliste!$A$4:$D$2002,4,FALSE),"")</f>
        <v/>
      </c>
      <c r="FM107" t="str">
        <f>+IFERROR(VLOOKUP(FM8,IN_Zugliste!$A$4:$C$2002,4,FALSE),"")</f>
        <v/>
      </c>
      <c r="FN107" t="str">
        <f>+IFERROR(VLOOKUP(FN8,IN_Zugliste!$A$4:$C$2002,4,FALSE),"")</f>
        <v/>
      </c>
      <c r="FO107" t="str">
        <f>+IFERROR(VLOOKUP(FO8,IN_Zugliste!$A$4:$C$2002,4,FALSE),"")</f>
        <v/>
      </c>
      <c r="FP107" t="str">
        <f>+IFERROR(VLOOKUP(FP8,IN_Zugliste!$A$4:$C$2002,4,FALSE),"")</f>
        <v/>
      </c>
      <c r="FQ107" t="str">
        <f>+IFERROR(VLOOKUP(FQ8,IN_Zugliste!$A$4:$C$2002,4,FALSE),"")</f>
        <v/>
      </c>
      <c r="FR107" t="str">
        <f>+IFERROR(VLOOKUP(FR8,IN_Zugliste!$A$4:$C$2002,4,FALSE),"")</f>
        <v/>
      </c>
      <c r="FS107" t="str">
        <f>+IFERROR(VLOOKUP(FS8,IN_Zugliste!$A$4:$C$2002,4,FALSE),"")</f>
        <v/>
      </c>
      <c r="FT107" t="str">
        <f>+IFERROR(VLOOKUP(FT8,IN_Zugliste!$A$4:$C$2002,4,FALSE),"")</f>
        <v/>
      </c>
      <c r="FU107" t="str">
        <f>+IFERROR(VLOOKUP(FU8,IN_Zugliste!$A$4:$C$2002,4,FALSE),"")</f>
        <v/>
      </c>
      <c r="FV107" t="str">
        <f>+IFERROR(VLOOKUP(FV8,IN_Zugliste!$A$4:$C$2002,4,FALSE),"")</f>
        <v/>
      </c>
      <c r="FW107" t="str">
        <f>+IFERROR(VLOOKUP(FW8,IN_Zugliste!$A$4:$C$2002,4,FALSE),"")</f>
        <v/>
      </c>
      <c r="FX107" t="str">
        <f>+IFERROR(VLOOKUP(FX8,IN_Zugliste!$A$4:$C$2002,4,FALSE),"")</f>
        <v/>
      </c>
      <c r="FY107" t="str">
        <f>+IFERROR(VLOOKUP(FY8,IN_Zugliste!$A$4:$C$2002,4,FALSE),"")</f>
        <v/>
      </c>
      <c r="FZ107" t="str">
        <f>+IFERROR(VLOOKUP(FZ8,IN_Zugliste!$A$4:$C$2002,4,FALSE),"")</f>
        <v/>
      </c>
      <c r="GA107" t="str">
        <f>+IFERROR(VLOOKUP(GA8,IN_Zugliste!$A$4:$C$2002,4,FALSE),"")</f>
        <v/>
      </c>
      <c r="GB107" t="str">
        <f>+IFERROR(VLOOKUP(GB8,IN_Zugliste!$A$4:$C$2002,4,FALSE),"")</f>
        <v/>
      </c>
      <c r="GC107" t="str">
        <f>+IFERROR(VLOOKUP(GC8,IN_Zugliste!$A$4:$C$2002,4,FALSE),"")</f>
        <v/>
      </c>
      <c r="GD107" t="str">
        <f>+IFERROR(VLOOKUP(GD8,IN_Zugliste!$A$4:$C$2002,4,FALSE),"")</f>
        <v/>
      </c>
      <c r="GE107" t="str">
        <f>+IFERROR(VLOOKUP(GE8,IN_Zugliste!$A$4:$C$2002,4,FALSE),"")</f>
        <v/>
      </c>
      <c r="GF107" t="str">
        <f>+IFERROR(VLOOKUP(GF8,IN_Zugliste!$A$4:$C$2002,4,FALSE),"")</f>
        <v/>
      </c>
      <c r="GG107" t="str">
        <f>+IFERROR(VLOOKUP(GG8,IN_Zugliste!$A$4:$C$2002,4,FALSE),"")</f>
        <v/>
      </c>
      <c r="GH107" t="str">
        <f>+IFERROR(VLOOKUP(GH8,IN_Zugliste!$A$4:$C$2002,4,FALSE),"")</f>
        <v/>
      </c>
      <c r="GI107" t="str">
        <f>+IFERROR(VLOOKUP(GI8,IN_Zugliste!$A$4:$C$2002,4,FALSE),"")</f>
        <v/>
      </c>
      <c r="GJ107" t="str">
        <f>+IFERROR(VLOOKUP(GJ8,IN_Zugliste!$A$4:$C$2002,4,FALSE),"")</f>
        <v/>
      </c>
      <c r="GK107" t="str">
        <f>+IFERROR(VLOOKUP(GK8,IN_Zugliste!$A$4:$C$2002,4,FALSE),"")</f>
        <v/>
      </c>
      <c r="GL107" t="str">
        <f>+IFERROR(VLOOKUP(GL8,IN_Zugliste!$A$4:$C$2002,4,FALSE),"")</f>
        <v/>
      </c>
      <c r="GM107" t="str">
        <f>+IFERROR(VLOOKUP(GM8,IN_Zugliste!$A$4:$C$2002,4,FALSE),"")</f>
        <v/>
      </c>
      <c r="GN107" t="str">
        <f>+IFERROR(VLOOKUP(GN8,IN_Zugliste!$A$4:$C$2002,4,FALSE),"")</f>
        <v/>
      </c>
      <c r="GO107" t="str">
        <f>+IFERROR(VLOOKUP(GO8,IN_Zugliste!$A$4:$C$2002,4,FALSE),"")</f>
        <v/>
      </c>
      <c r="GP107" t="str">
        <f>+IFERROR(VLOOKUP(GP8,IN_Zugliste!$A$4:$C$2002,4,FALSE),"")</f>
        <v/>
      </c>
      <c r="GQ107" t="str">
        <f>+IFERROR(VLOOKUP(GQ8,IN_Zugliste!$A$4:$C$2002,4,FALSE),"")</f>
        <v/>
      </c>
      <c r="GR107" t="str">
        <f>+IFERROR(VLOOKUP(GR8,IN_Zugliste!$A$4:$C$2002,4,FALSE),"")</f>
        <v/>
      </c>
      <c r="GS107" t="str">
        <f>+IFERROR(VLOOKUP(GS8,IN_Zugliste!$A$4:$C$2002,4,FALSE),"")</f>
        <v/>
      </c>
      <c r="GT107" t="str">
        <f>+IFERROR(VLOOKUP(GT8,IN_Zugliste!$A$4:$C$2002,4,FALSE),"")</f>
        <v/>
      </c>
      <c r="GU107" t="str">
        <f>+IFERROR(VLOOKUP(GU8,IN_Zugliste!$A$4:$C$2002,4,FALSE),"")</f>
        <v/>
      </c>
      <c r="GV107" t="str">
        <f>+IFERROR(VLOOKUP(GV8,IN_Zugliste!$A$4:$C$2002,4,FALSE),"")</f>
        <v/>
      </c>
      <c r="GW107" t="str">
        <f>+IFERROR(VLOOKUP(GW8,IN_Zugliste!$A$4:$C$2002,4,FALSE),"")</f>
        <v/>
      </c>
      <c r="GX107" t="str">
        <f>+IFERROR(VLOOKUP(GX8,IN_Zugliste!$A$4:$C$2002,4,FALSE),"")</f>
        <v/>
      </c>
      <c r="GY107" t="str">
        <f>+IFERROR(VLOOKUP(GY8,IN_Zugliste!$A$4:$C$2002,4,FALSE),"")</f>
        <v/>
      </c>
      <c r="GZ107" t="str">
        <f>+IFERROR(VLOOKUP(GZ8,IN_Zugliste!$A$4:$C$2002,4,FALSE),"")</f>
        <v/>
      </c>
      <c r="HA107" t="str">
        <f>+IFERROR(VLOOKUP(HA8,IN_Zugliste!$A$4:$C$2002,4,FALSE),"")</f>
        <v/>
      </c>
      <c r="HB107" t="str">
        <f>+IFERROR(VLOOKUP(HB8,IN_Zugliste!$A$4:$C$2002,4,FALSE),"")</f>
        <v/>
      </c>
      <c r="HC107" t="str">
        <f>+IFERROR(VLOOKUP(HC8,IN_Zugliste!$A$4:$C$2002,4,FALSE),"")</f>
        <v/>
      </c>
      <c r="HD107" t="str">
        <f>+IFERROR(VLOOKUP(HD8,IN_Zugliste!$A$4:$C$2002,4,FALSE),"")</f>
        <v/>
      </c>
      <c r="HE107" t="str">
        <f>+IFERROR(VLOOKUP(HE8,IN_Zugliste!$A$4:$C$2002,4,FALSE),"")</f>
        <v/>
      </c>
      <c r="HF107" t="str">
        <f>+IFERROR(VLOOKUP(HF8,IN_Zugliste!$A$4:$C$2002,4,FALSE),"")</f>
        <v/>
      </c>
      <c r="HG107" t="str">
        <f>+IFERROR(VLOOKUP(HG8,IN_Zugliste!$A$4:$C$2002,4,FALSE),"")</f>
        <v/>
      </c>
      <c r="HH107" t="str">
        <f>+IFERROR(VLOOKUP(HH8,IN_Zugliste!$A$4:$C$2002,4,FALSE),"")</f>
        <v/>
      </c>
      <c r="HI107" t="str">
        <f>+IFERROR(VLOOKUP(HI8,IN_Zugliste!$A$4:$C$2002,4,FALSE),"")</f>
        <v/>
      </c>
      <c r="HJ107" t="str">
        <f>+IFERROR(VLOOKUP(HJ8,IN_Zugliste!$A$4:$C$2002,4,FALSE),"")</f>
        <v/>
      </c>
      <c r="HK107" t="str">
        <f>+IFERROR(VLOOKUP(HK8,IN_Zugliste!$A$4:$C$2002,4,FALSE),"")</f>
        <v/>
      </c>
      <c r="HL107" t="str">
        <f>+IFERROR(VLOOKUP(HL8,IN_Zugliste!$A$4:$C$2002,4,FALSE),"")</f>
        <v/>
      </c>
      <c r="HM107" t="str">
        <f>+IFERROR(VLOOKUP(HM8,IN_Zugliste!$A$4:$C$2002,4,FALSE),"")</f>
        <v/>
      </c>
      <c r="HN107" t="str">
        <f>+IFERROR(VLOOKUP(HN8,IN_Zugliste!$A$4:$C$2002,4,FALSE),"")</f>
        <v/>
      </c>
      <c r="HO107" t="str">
        <f>+IFERROR(VLOOKUP(HO8,IN_Zugliste!$A$4:$C$2002,4,FALSE),"")</f>
        <v/>
      </c>
      <c r="HP107" t="str">
        <f>+IFERROR(VLOOKUP(HP8,IN_Zugliste!$A$4:$C$2002,4,FALSE),"")</f>
        <v/>
      </c>
      <c r="HQ107" t="str">
        <f>+IFERROR(VLOOKUP(HQ8,IN_Zugliste!$A$4:$C$2002,4,FALSE),"")</f>
        <v/>
      </c>
      <c r="HR107" t="str">
        <f>+IFERROR(VLOOKUP(HR8,IN_Zugliste!$A$4:$C$2002,4,FALSE),"")</f>
        <v/>
      </c>
      <c r="HS107" t="str">
        <f>+IFERROR(VLOOKUP(HS8,IN_Zugliste!$A$4:$C$2002,4,FALSE),"")</f>
        <v/>
      </c>
      <c r="HT107" t="str">
        <f>+IFERROR(VLOOKUP(HT8,IN_Zugliste!$A$4:$C$2002,4,FALSE),"")</f>
        <v/>
      </c>
      <c r="HU107" t="str">
        <f>+IFERROR(VLOOKUP(HU8,IN_Zugliste!$A$4:$C$2002,4,FALSE),"")</f>
        <v/>
      </c>
      <c r="HV107" t="str">
        <f>+IFERROR(VLOOKUP(HV8,IN_Zugliste!$A$4:$C$2002,4,FALSE),"")</f>
        <v/>
      </c>
      <c r="HW107" t="str">
        <f>+IFERROR(VLOOKUP(HW8,IN_Zugliste!$A$4:$C$2002,4,FALSE),"")</f>
        <v/>
      </c>
      <c r="HX107" t="str">
        <f>+IFERROR(VLOOKUP(HX8,IN_Zugliste!$A$4:$C$2002,4,FALSE),"")</f>
        <v/>
      </c>
      <c r="HY107" t="str">
        <f>+IFERROR(VLOOKUP(HY8,IN_Zugliste!$A$4:$C$2002,4,FALSE),"")</f>
        <v/>
      </c>
      <c r="HZ107" t="str">
        <f>+IFERROR(VLOOKUP(HZ8,IN_Zugliste!$A$4:$C$2002,4,FALSE),"")</f>
        <v/>
      </c>
      <c r="IA107" t="str">
        <f>+IFERROR(VLOOKUP(IA8,IN_Zugliste!$A$4:$C$2002,4,FALSE),"")</f>
        <v/>
      </c>
      <c r="IB107" t="str">
        <f>+IFERROR(VLOOKUP(IB8,IN_Zugliste!$A$4:$C$2002,4,FALSE),"")</f>
        <v/>
      </c>
      <c r="IC107" t="str">
        <f>+IFERROR(VLOOKUP(IC8,IN_Zugliste!$A$4:$C$2002,4,FALSE),"")</f>
        <v/>
      </c>
      <c r="ID107" t="str">
        <f>+IFERROR(VLOOKUP(ID8,IN_Zugliste!$A$4:$C$2002,4,FALSE),"")</f>
        <v/>
      </c>
      <c r="IE107" t="str">
        <f>+IFERROR(VLOOKUP(IE8,IN_Zugliste!$A$4:$C$2002,4,FALSE),"")</f>
        <v/>
      </c>
      <c r="IF107" t="str">
        <f>+IFERROR(VLOOKUP(IF8,IN_Zugliste!$A$4:$C$2002,4,FALSE),"")</f>
        <v/>
      </c>
      <c r="IG107" t="str">
        <f>+IFERROR(VLOOKUP(IG8,IN_Zugliste!$A$4:$C$2002,4,FALSE),"")</f>
        <v/>
      </c>
      <c r="IH107" t="str">
        <f>+IFERROR(VLOOKUP(IH8,IN_Zugliste!$A$4:$C$2002,4,FALSE),"")</f>
        <v/>
      </c>
      <c r="II107" t="str">
        <f>+IFERROR(VLOOKUP(II8,IN_Zugliste!$A$4:$C$2002,4,FALSE),"")</f>
        <v/>
      </c>
      <c r="IJ107" t="str">
        <f>+IFERROR(VLOOKUP(IJ8,IN_Zugliste!$A$4:$C$2002,4,FALSE),"")</f>
        <v/>
      </c>
      <c r="IK107" t="str">
        <f>+IFERROR(VLOOKUP(IK8,IN_Zugliste!$A$4:$C$2002,4,FALSE),"")</f>
        <v/>
      </c>
      <c r="IL107" t="str">
        <f>+IFERROR(VLOOKUP(IL8,IN_Zugliste!$A$4:$C$2002,4,FALSE),"")</f>
        <v/>
      </c>
      <c r="IM107" t="str">
        <f>+IFERROR(VLOOKUP(IM8,IN_Zugliste!$A$4:$C$2002,4,FALSE),"")</f>
        <v/>
      </c>
      <c r="IN107" t="str">
        <f>+IFERROR(VLOOKUP(IN8,IN_Zugliste!$A$4:$C$2002,4,FALSE),"")</f>
        <v/>
      </c>
      <c r="IO107" t="str">
        <f>+IFERROR(VLOOKUP(IO8,IN_Zugliste!$A$4:$C$2002,4,FALSE),"")</f>
        <v/>
      </c>
      <c r="IP107" t="str">
        <f>+IFERROR(VLOOKUP(IP8,IN_Zugliste!$A$4:$C$2002,4,FALSE),"")</f>
        <v/>
      </c>
      <c r="IQ107" t="str">
        <f>+IFERROR(VLOOKUP(IQ8,IN_Zugliste!$A$4:$C$2002,4,FALSE),"")</f>
        <v/>
      </c>
      <c r="IR107" t="str">
        <f>+IFERROR(VLOOKUP(IR8,IN_Zugliste!$A$4:$C$2002,4,FALSE),"")</f>
        <v/>
      </c>
      <c r="IS107" t="str">
        <f>+IFERROR(VLOOKUP(IS8,IN_Zugliste!$A$4:$C$2002,4,FALSE),"")</f>
        <v/>
      </c>
      <c r="IT107" t="str">
        <f>+IFERROR(VLOOKUP(IT8,IN_Zugliste!$A$4:$C$2002,4,FALSE),"")</f>
        <v/>
      </c>
      <c r="IU107" t="str">
        <f>+IFERROR(VLOOKUP(IU8,IN_Zugliste!$A$4:$C$2002,4,FALSE),"")</f>
        <v/>
      </c>
      <c r="IV107" t="str">
        <f>+IFERROR(VLOOKUP(IV8,IN_Zugliste!$A$4:$C$2002,4,FALSE),"")</f>
        <v/>
      </c>
      <c r="IW107" t="str">
        <f>+IFERROR(VLOOKUP(IW8,IN_Zugliste!$A$4:$C$2002,4,FALSE),"")</f>
        <v/>
      </c>
      <c r="IX107" t="str">
        <f>+IFERROR(VLOOKUP(IX8,IN_Zugliste!$A$4:$C$2002,4,FALSE),"")</f>
        <v/>
      </c>
      <c r="IY107" t="str">
        <f>+IFERROR(VLOOKUP(IY8,IN_Zugliste!$A$4:$C$2002,4,FALSE),"")</f>
        <v/>
      </c>
      <c r="IZ107" t="str">
        <f>+IFERROR(VLOOKUP(IZ8,IN_Zugliste!$A$4:$C$2002,4,FALSE),"")</f>
        <v/>
      </c>
      <c r="JA107" t="str">
        <f>+IFERROR(VLOOKUP(JA8,IN_Zugliste!$A$4:$C$2002,4,FALSE),"")</f>
        <v/>
      </c>
      <c r="JB107" t="str">
        <f>+IFERROR(VLOOKUP(JB8,IN_Zugliste!$A$4:$C$2002,4,FALSE),"")</f>
        <v/>
      </c>
      <c r="JC107" t="str">
        <f>+IFERROR(VLOOKUP(JC8,IN_Zugliste!$A$4:$C$2002,4,FALSE),"")</f>
        <v/>
      </c>
      <c r="JD107" t="str">
        <f>+IFERROR(VLOOKUP(JD8,IN_Zugliste!$A$4:$C$2002,4,FALSE),"")</f>
        <v/>
      </c>
      <c r="JE107" t="str">
        <f>+IFERROR(VLOOKUP(JE8,IN_Zugliste!$A$4:$C$2002,4,FALSE),"")</f>
        <v/>
      </c>
      <c r="JF107" t="str">
        <f>+IFERROR(VLOOKUP(JF8,IN_Zugliste!$A$4:$C$2002,4,FALSE),"")</f>
        <v/>
      </c>
      <c r="JG107" t="str">
        <f>+IFERROR(VLOOKUP(JG8,IN_Zugliste!$A$4:$C$2002,4,FALSE),"")</f>
        <v/>
      </c>
      <c r="JH107" t="str">
        <f>+IFERROR(VLOOKUP(JH8,IN_Zugliste!$A$4:$C$2002,4,FALSE),"")</f>
        <v/>
      </c>
      <c r="JI107" t="str">
        <f>+IFERROR(VLOOKUP(JI8,IN_Zugliste!$A$4:$C$2002,4,FALSE),"")</f>
        <v/>
      </c>
      <c r="JJ107" t="str">
        <f>+IFERROR(VLOOKUP(JJ8,IN_Zugliste!$A$4:$C$2002,4,FALSE),"")</f>
        <v/>
      </c>
      <c r="JK107" t="str">
        <f>+IFERROR(VLOOKUP(JK8,IN_Zugliste!$A$4:$C$2002,4,FALSE),"")</f>
        <v/>
      </c>
      <c r="JL107" t="str">
        <f>+IFERROR(VLOOKUP(JL8,IN_Zugliste!$A$4:$C$2002,4,FALSE),"")</f>
        <v/>
      </c>
    </row>
    <row r="108" spans="1:272" x14ac:dyDescent="0.2">
      <c r="A108" t="str">
        <f>+IFERROR(VLOOKUP(A9,IN_Zugliste!$A$4:$D$2002,4,FALSE),"")</f>
        <v>101-3.0</v>
      </c>
      <c r="B108" t="str">
        <f>+IFERROR(VLOOKUP(B9,IN_Zugliste!$A$4:$D$2002,4,FALSE),"")</f>
        <v>101-3.0</v>
      </c>
      <c r="C108" t="str">
        <f>+IFERROR(VLOOKUP(C9,IN_Zugliste!$A$4:$D$2002,4,FALSE),"")</f>
        <v>146-3.2</v>
      </c>
      <c r="D108" t="str">
        <f>+IFERROR(VLOOKUP(D9,IN_Zugliste!$A$4:$D$2002,4,FALSE),"")</f>
        <v>462-1.0</v>
      </c>
      <c r="E108" t="str">
        <f>+IFERROR(VLOOKUP(E9,IN_Zugliste!$A$4:$D$2002,4,FALSE),"")</f>
        <v>462-1.0</v>
      </c>
      <c r="F108" t="str">
        <f>+IFERROR(VLOOKUP(F9,IN_Zugliste!$A$4:$D$2002,4,FALSE),"")</f>
        <v>146-3.2</v>
      </c>
      <c r="G108" t="str">
        <f>+IFERROR(VLOOKUP(G9,IN_Zugliste!$A$4:$D$2002,4,FALSE),"")</f>
        <v>101-3.0</v>
      </c>
      <c r="H108" t="str">
        <f>+IFERROR(VLOOKUP(H9,IN_Zugliste!$A$4:$D$2002,4,FALSE),"")</f>
        <v>101-3.0</v>
      </c>
      <c r="I108" t="str">
        <f>+IFERROR(VLOOKUP(I9,IN_Zugliste!$A$4:$D$2002,4,FALSE),"")</f>
        <v/>
      </c>
      <c r="J108" t="str">
        <f>+IFERROR(VLOOKUP(J9,IN_Zugliste!$A$4:$D$2002,4,FALSE),"")</f>
        <v/>
      </c>
      <c r="K108" t="str">
        <f>+IFERROR(VLOOKUP(K9,IN_Zugliste!$A$4:$D$2002,4,FALSE),"")</f>
        <v/>
      </c>
      <c r="L108" t="str">
        <f>+IFERROR(VLOOKUP(L9,IN_Zugliste!$A$4:$D$2002,4,FALSE),"")</f>
        <v/>
      </c>
      <c r="M108" t="str">
        <f>+IFERROR(VLOOKUP(M9,IN_Zugliste!$A$4:$D$2002,4,FALSE),"")</f>
        <v/>
      </c>
      <c r="N108" t="str">
        <f>+IFERROR(VLOOKUP(N9,IN_Zugliste!$A$4:$D$2002,4,FALSE),"")</f>
        <v>101-3.0</v>
      </c>
      <c r="O108" t="str">
        <f>+IFERROR(VLOOKUP(O9,IN_Zugliste!$A$4:$D$2002,4,FALSE),"")</f>
        <v/>
      </c>
      <c r="P108" t="str">
        <f>+IFERROR(VLOOKUP(P9,IN_Zugliste!$A$4:$D$2002,4,FALSE),"")</f>
        <v/>
      </c>
      <c r="Q108" t="str">
        <f>+IFERROR(VLOOKUP(Q9,IN_Zugliste!$A$4:$D$2002,4,FALSE),"")</f>
        <v/>
      </c>
      <c r="R108" t="str">
        <f>+IFERROR(VLOOKUP(R9,IN_Zugliste!$A$4:$D$2002,4,FALSE),"")</f>
        <v/>
      </c>
      <c r="S108" t="str">
        <f>+IFERROR(VLOOKUP(S9,IN_Zugliste!$A$4:$D$2002,4,FALSE),"")</f>
        <v/>
      </c>
      <c r="T108" t="str">
        <f>+IFERROR(VLOOKUP(T9,IN_Zugliste!$A$4:$D$2002,4,FALSE),"")</f>
        <v/>
      </c>
      <c r="U108" t="str">
        <f>+IFERROR(VLOOKUP(U9,IN_Zugliste!$A$4:$D$2002,4,FALSE),"")</f>
        <v/>
      </c>
      <c r="V108" t="str">
        <f>+IFERROR(VLOOKUP(V9,IN_Zugliste!$A$4:$D$2002,4,FALSE),"")</f>
        <v/>
      </c>
      <c r="W108" t="str">
        <f>+IFERROR(VLOOKUP(W9,IN_Zugliste!$A$4:$D$2002,4,FALSE),"")</f>
        <v/>
      </c>
      <c r="X108" t="str">
        <f>+IFERROR(VLOOKUP(X9,IN_Zugliste!$A$4:$D$2002,4,FALSE),"")</f>
        <v>101-3.0</v>
      </c>
      <c r="Y108" t="str">
        <f>+IFERROR(VLOOKUP(Y9,IN_Zugliste!$A$4:$D$2002,4,FALSE),"")</f>
        <v/>
      </c>
      <c r="Z108" t="str">
        <f>+IFERROR(VLOOKUP(Z9,IN_Zugliste!$A$4:$D$2002,4,FALSE),"")</f>
        <v/>
      </c>
      <c r="AA108" t="str">
        <f>+IFERROR(VLOOKUP(AA9,IN_Zugliste!$A$4:$D$2002,4,FALSE),"")</f>
        <v/>
      </c>
      <c r="AB108" t="str">
        <f>+IFERROR(VLOOKUP(AB9,IN_Zugliste!$A$4:$D$2002,4,FALSE),"")</f>
        <v>101-3.0</v>
      </c>
      <c r="AC108" t="str">
        <f>+IFERROR(VLOOKUP(AC9,IN_Zugliste!$A$4:$D$2002,4,FALSE),"")</f>
        <v/>
      </c>
      <c r="AD108" t="str">
        <f>+IFERROR(VLOOKUP(AD9,IN_Zugliste!$A$4:$D$2002,4,FALSE),"")</f>
        <v/>
      </c>
      <c r="AE108" t="str">
        <f>+IFERROR(VLOOKUP(AE9,IN_Zugliste!$A$4:$D$2002,4,FALSE),"")</f>
        <v/>
      </c>
      <c r="AF108" t="str">
        <f>+IFERROR(VLOOKUP(AF9,IN_Zugliste!$A$4:$D$2002,4,FALSE),"")</f>
        <v/>
      </c>
      <c r="AG108" t="str">
        <f>+IFERROR(VLOOKUP(AG9,IN_Zugliste!$A$4:$D$2002,4,FALSE),"")</f>
        <v/>
      </c>
      <c r="AH108" t="str">
        <f>+IFERROR(VLOOKUP(AH9,IN_Zugliste!$A$4:$D$2002,4,FALSE),"")</f>
        <v/>
      </c>
      <c r="AI108" t="str">
        <f>+IFERROR(VLOOKUP(AI9,IN_Zugliste!$A$4:$D$2002,4,FALSE),"")</f>
        <v/>
      </c>
      <c r="AJ108" t="str">
        <f>+IFERROR(VLOOKUP(AJ9,IN_Zugliste!$A$4:$D$2002,4,FALSE),"")</f>
        <v/>
      </c>
      <c r="AK108" t="str">
        <f>+IFERROR(VLOOKUP(AK9,IN_Zugliste!$A$4:$D$2002,4,FALSE),"")</f>
        <v/>
      </c>
      <c r="AL108" t="str">
        <f>+IFERROR(VLOOKUP(AL9,IN_Zugliste!$A$4:$D$2002,4,FALSE),"")</f>
        <v/>
      </c>
      <c r="AM108" t="str">
        <f>+IFERROR(VLOOKUP(AM9,IN_Zugliste!$A$4:$D$2002,4,FALSE),"")</f>
        <v/>
      </c>
      <c r="AN108" t="str">
        <f>+IFERROR(VLOOKUP(AN9,IN_Zugliste!$A$4:$D$2002,4,FALSE),"")</f>
        <v/>
      </c>
      <c r="AO108" t="str">
        <f>+IFERROR(VLOOKUP(AO9,IN_Zugliste!$A$4:$D$2002,4,FALSE),"")</f>
        <v/>
      </c>
      <c r="AP108" t="str">
        <f>+IFERROR(VLOOKUP(AP9,IN_Zugliste!$A$4:$D$2002,4,FALSE),"")</f>
        <v/>
      </c>
      <c r="AQ108" t="str">
        <f>+IFERROR(VLOOKUP(AQ9,IN_Zugliste!$A$4:$D$2002,4,FALSE),"")</f>
        <v/>
      </c>
      <c r="AR108" t="str">
        <f>+IFERROR(VLOOKUP(AR9,IN_Zugliste!$A$4:$D$2002,4,FALSE),"")</f>
        <v/>
      </c>
      <c r="AS108" t="str">
        <f>+IFERROR(VLOOKUP(AS9,IN_Zugliste!$A$4:$D$2002,4,FALSE),"")</f>
        <v/>
      </c>
      <c r="AT108" t="str">
        <f>+IFERROR(VLOOKUP(AT9,IN_Zugliste!$A$4:$D$2002,4,FALSE),"")</f>
        <v/>
      </c>
      <c r="AU108" t="str">
        <f>+IFERROR(VLOOKUP(AU9,IN_Zugliste!$A$4:$D$2002,4,FALSE),"")</f>
        <v/>
      </c>
      <c r="AV108" t="str">
        <f>+IFERROR(VLOOKUP(AV9,IN_Zugliste!$A$4:$D$2002,4,FALSE),"")</f>
        <v/>
      </c>
      <c r="AW108" t="str">
        <f>+IFERROR(VLOOKUP(AW9,IN_Zugliste!$A$4:$D$2002,4,FALSE),"")</f>
        <v/>
      </c>
      <c r="AX108" t="str">
        <f>+IFERROR(VLOOKUP(AX9,IN_Zugliste!$A$4:$D$2002,4,FALSE),"")</f>
        <v/>
      </c>
      <c r="AY108" t="str">
        <f>+IFERROR(VLOOKUP(AY9,IN_Zugliste!$A$4:$D$2002,4,FALSE),"")</f>
        <v/>
      </c>
      <c r="AZ108" t="str">
        <f>+IFERROR(VLOOKUP(AZ9,IN_Zugliste!$A$4:$D$2002,4,FALSE),"")</f>
        <v/>
      </c>
      <c r="BA108" t="str">
        <f>+IFERROR(VLOOKUP(BA9,IN_Zugliste!$A$4:$D$2002,4,FALSE),"")</f>
        <v/>
      </c>
      <c r="BB108" t="str">
        <f>+IFERROR(VLOOKUP(BB9,IN_Zugliste!$A$4:$D$2002,4,FALSE),"")</f>
        <v/>
      </c>
      <c r="BC108" t="str">
        <f>+IFERROR(VLOOKUP(BC9,IN_Zugliste!$A$4:$D$2002,4,FALSE),"")</f>
        <v/>
      </c>
      <c r="BD108" t="str">
        <f>+IFERROR(VLOOKUP(BD9,IN_Zugliste!$A$4:$D$2002,4,FALSE),"")</f>
        <v/>
      </c>
      <c r="BE108" t="str">
        <f>+IFERROR(VLOOKUP(BE9,IN_Zugliste!$A$4:$D$2002,4,FALSE),"")</f>
        <v/>
      </c>
      <c r="BF108" t="str">
        <f>+IFERROR(VLOOKUP(BF9,IN_Zugliste!$A$4:$D$2002,4,FALSE),"")</f>
        <v/>
      </c>
      <c r="BG108" t="str">
        <f>+IFERROR(VLOOKUP(BG9,IN_Zugliste!$A$4:$D$2002,4,FALSE),"")</f>
        <v/>
      </c>
      <c r="BH108" t="str">
        <f>+IFERROR(VLOOKUP(BH9,IN_Zugliste!$A$4:$D$2002,4,FALSE),"")</f>
        <v/>
      </c>
      <c r="BI108" t="str">
        <f>+IFERROR(VLOOKUP(BI9,IN_Zugliste!$A$4:$D$2002,4,FALSE),"")</f>
        <v/>
      </c>
      <c r="BJ108" t="str">
        <f>+IFERROR(VLOOKUP(BJ9,IN_Zugliste!$A$4:$D$2002,4,FALSE),"")</f>
        <v/>
      </c>
      <c r="BK108" t="str">
        <f>+IFERROR(VLOOKUP(BK9,IN_Zugliste!$A$4:$D$2002,4,FALSE),"")</f>
        <v/>
      </c>
      <c r="BL108" t="str">
        <f>+IFERROR(VLOOKUP(BL9,IN_Zugliste!$A$4:$D$2002,4,FALSE),"")</f>
        <v/>
      </c>
      <c r="BM108" t="str">
        <f>+IFERROR(VLOOKUP(BM9,IN_Zugliste!$A$4:$D$2002,4,FALSE),"")</f>
        <v/>
      </c>
      <c r="BN108" t="str">
        <f>+IFERROR(VLOOKUP(BN9,IN_Zugliste!$A$4:$D$2002,4,FALSE),"")</f>
        <v/>
      </c>
      <c r="BO108" t="str">
        <f>+IFERROR(VLOOKUP(BO9,IN_Zugliste!$A$4:$D$2002,4,FALSE),"")</f>
        <v/>
      </c>
      <c r="BP108" t="str">
        <f>+IFERROR(VLOOKUP(BP9,IN_Zugliste!$A$4:$D$2002,4,FALSE),"")</f>
        <v/>
      </c>
      <c r="BQ108" t="str">
        <f>+IFERROR(VLOOKUP(BQ9,IN_Zugliste!$A$4:$D$2002,4,FALSE),"")</f>
        <v/>
      </c>
      <c r="BR108" t="str">
        <f>+IFERROR(VLOOKUP(BR9,IN_Zugliste!$A$4:$D$2002,4,FALSE),"")</f>
        <v/>
      </c>
      <c r="BS108" t="str">
        <f>+IFERROR(VLOOKUP(BS9,IN_Zugliste!$A$4:$D$2002,4,FALSE),"")</f>
        <v/>
      </c>
      <c r="BT108" t="str">
        <f>+IFERROR(VLOOKUP(BT9,IN_Zugliste!$A$4:$D$2002,4,FALSE),"")</f>
        <v/>
      </c>
      <c r="BU108" t="str">
        <f>+IFERROR(VLOOKUP(BU9,IN_Zugliste!$A$4:$D$2002,4,FALSE),"")</f>
        <v/>
      </c>
      <c r="BV108" t="str">
        <f>+IFERROR(VLOOKUP(BV9,IN_Zugliste!$A$4:$D$2002,4,FALSE),"")</f>
        <v/>
      </c>
      <c r="BW108" t="str">
        <f>+IFERROR(VLOOKUP(BW9,IN_Zugliste!$A$4:$D$2002,4,FALSE),"")</f>
        <v/>
      </c>
      <c r="BX108" t="str">
        <f>+IFERROR(VLOOKUP(BX9,IN_Zugliste!$A$4:$D$2002,4,FALSE),"")</f>
        <v/>
      </c>
      <c r="BY108" t="str">
        <f>+IFERROR(VLOOKUP(BY9,IN_Zugliste!$A$4:$D$2002,4,FALSE),"")</f>
        <v/>
      </c>
      <c r="BZ108" t="str">
        <f>+IFERROR(VLOOKUP(BZ9,IN_Zugliste!$A$4:$D$2002,4,FALSE),"")</f>
        <v/>
      </c>
      <c r="CA108" t="str">
        <f>+IFERROR(VLOOKUP(CA9,IN_Zugliste!$A$4:$D$2002,4,FALSE),"")</f>
        <v/>
      </c>
      <c r="CB108" t="str">
        <f>+IFERROR(VLOOKUP(CB9,IN_Zugliste!$A$4:$D$2002,4,FALSE),"")</f>
        <v/>
      </c>
      <c r="CC108" t="str">
        <f>+IFERROR(VLOOKUP(CC9,IN_Zugliste!$A$4:$D$2002,4,FALSE),"")</f>
        <v/>
      </c>
      <c r="CD108" t="str">
        <f>+IFERROR(VLOOKUP(CD9,IN_Zugliste!$A$4:$D$2002,4,FALSE),"")</f>
        <v/>
      </c>
      <c r="CE108" t="str">
        <f>+IFERROR(VLOOKUP(CE9,IN_Zugliste!$A$4:$D$2002,4,FALSE),"")</f>
        <v/>
      </c>
      <c r="CF108" t="str">
        <f>+IFERROR(VLOOKUP(CF9,IN_Zugliste!$A$4:$D$2002,4,FALSE),"")</f>
        <v/>
      </c>
      <c r="CG108" t="str">
        <f>+IFERROR(VLOOKUP(CG9,IN_Zugliste!$A$4:$D$2002,4,FALSE),"")</f>
        <v/>
      </c>
      <c r="CH108" t="str">
        <f>+IFERROR(VLOOKUP(CH9,IN_Zugliste!$A$4:$D$2002,4,FALSE),"")</f>
        <v/>
      </c>
      <c r="CI108" t="str">
        <f>+IFERROR(VLOOKUP(CI9,IN_Zugliste!$A$4:$D$2002,4,FALSE),"")</f>
        <v/>
      </c>
      <c r="CJ108" t="str">
        <f>+IFERROR(VLOOKUP(CJ9,IN_Zugliste!$A$4:$D$2002,4,FALSE),"")</f>
        <v/>
      </c>
      <c r="CK108" t="str">
        <f>+IFERROR(VLOOKUP(CK9,IN_Zugliste!$A$4:$D$2002,4,FALSE),"")</f>
        <v/>
      </c>
      <c r="CL108" t="str">
        <f>+IFERROR(VLOOKUP(CL9,IN_Zugliste!$A$4:$D$2002,4,FALSE),"")</f>
        <v/>
      </c>
      <c r="CM108" t="str">
        <f>+IFERROR(VLOOKUP(CM9,IN_Zugliste!$A$4:$D$2002,4,FALSE),"")</f>
        <v/>
      </c>
      <c r="CN108" t="str">
        <f>+IFERROR(VLOOKUP(CN9,IN_Zugliste!$A$4:$D$2002,4,FALSE),"")</f>
        <v/>
      </c>
      <c r="CO108" t="str">
        <f>+IFERROR(VLOOKUP(CO9,IN_Zugliste!$A$4:$D$2002,4,FALSE),"")</f>
        <v/>
      </c>
      <c r="CP108" t="str">
        <f>+IFERROR(VLOOKUP(CP9,IN_Zugliste!$A$4:$D$2002,4,FALSE),"")</f>
        <v/>
      </c>
      <c r="CQ108" t="str">
        <f>+IFERROR(VLOOKUP(CQ9,IN_Zugliste!$A$4:$D$2002,4,FALSE),"")</f>
        <v/>
      </c>
      <c r="CR108" t="str">
        <f>+IFERROR(VLOOKUP(CR9,IN_Zugliste!$A$4:$D$2002,4,FALSE),"")</f>
        <v/>
      </c>
      <c r="CS108" t="str">
        <f>+IFERROR(VLOOKUP(CS9,IN_Zugliste!$A$4:$D$2002,4,FALSE),"")</f>
        <v/>
      </c>
      <c r="CT108" t="str">
        <f>+IFERROR(VLOOKUP(CT9,IN_Zugliste!$A$4:$D$2002,4,FALSE),"")</f>
        <v/>
      </c>
      <c r="CU108" t="str">
        <f>+IFERROR(VLOOKUP(CU9,IN_Zugliste!$A$4:$D$2002,4,FALSE),"")</f>
        <v/>
      </c>
      <c r="CV108" t="str">
        <f>+IFERROR(VLOOKUP(CV9,IN_Zugliste!$A$4:$D$2002,4,FALSE),"")</f>
        <v/>
      </c>
      <c r="CW108" t="str">
        <f>+IFERROR(VLOOKUP(CW9,IN_Zugliste!$A$4:$D$2002,4,FALSE),"")</f>
        <v/>
      </c>
      <c r="CX108" t="str">
        <f>+IFERROR(VLOOKUP(CX9,IN_Zugliste!$A$4:$D$2002,4,FALSE),"")</f>
        <v/>
      </c>
      <c r="CY108" t="str">
        <f>+IFERROR(VLOOKUP(CY9,IN_Zugliste!$A$4:$D$2002,4,FALSE),"")</f>
        <v/>
      </c>
      <c r="CZ108" t="str">
        <f>+IFERROR(VLOOKUP(CZ9,IN_Zugliste!$A$4:$D$2002,4,FALSE),"")</f>
        <v/>
      </c>
      <c r="DA108" t="str">
        <f>+IFERROR(VLOOKUP(DA9,IN_Zugliste!$A$4:$D$2002,4,FALSE),"")</f>
        <v/>
      </c>
      <c r="DB108" t="str">
        <f>+IFERROR(VLOOKUP(DB9,IN_Zugliste!$A$4:$D$2002,4,FALSE),"")</f>
        <v/>
      </c>
      <c r="DC108" t="str">
        <f>+IFERROR(VLOOKUP(DC9,IN_Zugliste!$A$4:$D$2002,4,FALSE),"")</f>
        <v/>
      </c>
      <c r="DD108" t="str">
        <f>+IFERROR(VLOOKUP(DD9,IN_Zugliste!$A$4:$D$2002,4,FALSE),"")</f>
        <v/>
      </c>
      <c r="DE108" t="str">
        <f>+IFERROR(VLOOKUP(DE9,IN_Zugliste!$A$4:$D$2002,4,FALSE),"")</f>
        <v/>
      </c>
      <c r="DF108" t="str">
        <f>+IFERROR(VLOOKUP(DF9,IN_Zugliste!$A$4:$D$2002,4,FALSE),"")</f>
        <v/>
      </c>
      <c r="DG108" t="str">
        <f>+IFERROR(VLOOKUP(DG9,IN_Zugliste!$A$4:$D$2002,4,FALSE),"")</f>
        <v/>
      </c>
      <c r="DH108" t="str">
        <f>+IFERROR(VLOOKUP(DH9,IN_Zugliste!$A$4:$D$2002,4,FALSE),"")</f>
        <v/>
      </c>
      <c r="DI108" t="str">
        <f>+IFERROR(VLOOKUP(DI9,IN_Zugliste!$A$4:$D$2002,4,FALSE),"")</f>
        <v/>
      </c>
      <c r="DJ108" t="str">
        <f>+IFERROR(VLOOKUP(DJ9,IN_Zugliste!$A$4:$D$2002,4,FALSE),"")</f>
        <v/>
      </c>
      <c r="DK108" t="str">
        <f>+IFERROR(VLOOKUP(DK9,IN_Zugliste!$A$4:$D$2002,4,FALSE),"")</f>
        <v/>
      </c>
      <c r="DL108" t="str">
        <f>+IFERROR(VLOOKUP(DL9,IN_Zugliste!$A$4:$D$2002,4,FALSE),"")</f>
        <v/>
      </c>
      <c r="DM108" t="str">
        <f>+IFERROR(VLOOKUP(DM9,IN_Zugliste!$A$4:$D$2002,4,FALSE),"")</f>
        <v/>
      </c>
      <c r="DN108" t="str">
        <f>+IFERROR(VLOOKUP(DN9,IN_Zugliste!$A$4:$D$2002,4,FALSE),"")</f>
        <v/>
      </c>
      <c r="DO108" t="str">
        <f>+IFERROR(VLOOKUP(DO9,IN_Zugliste!$A$4:$D$2002,4,FALSE),"")</f>
        <v/>
      </c>
      <c r="DP108" t="str">
        <f>+IFERROR(VLOOKUP(DP9,IN_Zugliste!$A$4:$D$2002,4,FALSE),"")</f>
        <v/>
      </c>
      <c r="DQ108" t="str">
        <f>+IFERROR(VLOOKUP(DQ9,IN_Zugliste!$A$4:$D$2002,4,FALSE),"")</f>
        <v/>
      </c>
      <c r="DR108" t="str">
        <f>+IFERROR(VLOOKUP(DR9,IN_Zugliste!$A$4:$D$2002,4,FALSE),"")</f>
        <v/>
      </c>
      <c r="DS108" t="str">
        <f>+IFERROR(VLOOKUP(DS9,IN_Zugliste!$A$4:$D$2002,4,FALSE),"")</f>
        <v/>
      </c>
      <c r="DT108" t="str">
        <f>+IFERROR(VLOOKUP(DT9,IN_Zugliste!$A$4:$D$2002,4,FALSE),"")</f>
        <v/>
      </c>
      <c r="DU108" t="str">
        <f>+IFERROR(VLOOKUP(DU9,IN_Zugliste!$A$4:$D$2002,4,FALSE),"")</f>
        <v/>
      </c>
      <c r="DV108" t="str">
        <f>+IFERROR(VLOOKUP(DV9,IN_Zugliste!$A$4:$D$2002,4,FALSE),"")</f>
        <v/>
      </c>
      <c r="DW108" t="str">
        <f>+IFERROR(VLOOKUP(DW9,IN_Zugliste!$A$4:$D$2002,4,FALSE),"")</f>
        <v/>
      </c>
      <c r="DX108" t="str">
        <f>+IFERROR(VLOOKUP(DX9,IN_Zugliste!$A$4:$D$2002,4,FALSE),"")</f>
        <v/>
      </c>
      <c r="DY108" t="str">
        <f>+IFERROR(VLOOKUP(DY9,IN_Zugliste!$A$4:$D$2002,4,FALSE),"")</f>
        <v/>
      </c>
      <c r="DZ108" t="str">
        <f>+IFERROR(VLOOKUP(DZ9,IN_Zugliste!$A$4:$D$2002,4,FALSE),"")</f>
        <v/>
      </c>
      <c r="EA108" t="str">
        <f>+IFERROR(VLOOKUP(EA9,IN_Zugliste!$A$4:$D$2002,4,FALSE),"")</f>
        <v/>
      </c>
      <c r="EB108" t="str">
        <f>+IFERROR(VLOOKUP(EB9,IN_Zugliste!$A$4:$D$2002,4,FALSE),"")</f>
        <v/>
      </c>
      <c r="EC108" t="str">
        <f>+IFERROR(VLOOKUP(EC9,IN_Zugliste!$A$4:$D$2002,4,FALSE),"")</f>
        <v/>
      </c>
      <c r="ED108" t="str">
        <f>+IFERROR(VLOOKUP(ED9,IN_Zugliste!$A$4:$D$2002,4,FALSE),"")</f>
        <v/>
      </c>
      <c r="EE108" t="str">
        <f>+IFERROR(VLOOKUP(EE9,IN_Zugliste!$A$4:$D$2002,4,FALSE),"")</f>
        <v/>
      </c>
      <c r="EF108" t="str">
        <f>+IFERROR(VLOOKUP(EF9,IN_Zugliste!$A$4:$D$2002,4,FALSE),"")</f>
        <v/>
      </c>
      <c r="EG108" t="str">
        <f>+IFERROR(VLOOKUP(EG9,IN_Zugliste!$A$4:$D$2002,4,FALSE),"")</f>
        <v/>
      </c>
      <c r="EH108" t="str">
        <f>+IFERROR(VLOOKUP(EH9,IN_Zugliste!$A$4:$D$2002,4,FALSE),"")</f>
        <v/>
      </c>
      <c r="EI108" t="str">
        <f>+IFERROR(VLOOKUP(EI9,IN_Zugliste!$A$4:$D$2002,4,FALSE),"")</f>
        <v/>
      </c>
      <c r="EJ108" t="str">
        <f>+IFERROR(VLOOKUP(EJ9,IN_Zugliste!$A$4:$D$2002,4,FALSE),"")</f>
        <v/>
      </c>
      <c r="EK108" t="str">
        <f>+IFERROR(VLOOKUP(EK9,IN_Zugliste!$A$4:$D$2002,4,FALSE),"")</f>
        <v/>
      </c>
      <c r="EL108" t="str">
        <f>+IFERROR(VLOOKUP(EL9,IN_Zugliste!$A$4:$D$2002,4,FALSE),"")</f>
        <v/>
      </c>
      <c r="EM108" t="str">
        <f>+IFERROR(VLOOKUP(EM9,IN_Zugliste!$A$4:$D$2002,4,FALSE),"")</f>
        <v/>
      </c>
      <c r="EN108" t="str">
        <f>+IFERROR(VLOOKUP(EN9,IN_Zugliste!$A$4:$D$2002,4,FALSE),"")</f>
        <v/>
      </c>
      <c r="EO108" t="str">
        <f>+IFERROR(VLOOKUP(EO9,IN_Zugliste!$A$4:$D$2002,4,FALSE),"")</f>
        <v/>
      </c>
      <c r="EP108" t="str">
        <f>+IFERROR(VLOOKUP(EP9,IN_Zugliste!$A$4:$D$2002,4,FALSE),"")</f>
        <v/>
      </c>
      <c r="EQ108" t="str">
        <f>+IFERROR(VLOOKUP(EQ9,IN_Zugliste!$A$4:$D$2002,4,FALSE),"")</f>
        <v/>
      </c>
      <c r="ER108" t="str">
        <f>+IFERROR(VLOOKUP(ER9,IN_Zugliste!$A$4:$D$2002,4,FALSE),"")</f>
        <v/>
      </c>
      <c r="ES108" t="str">
        <f>+IFERROR(VLOOKUP(ES9,IN_Zugliste!$A$4:$D$2002,4,FALSE),"")</f>
        <v/>
      </c>
      <c r="ET108" t="str">
        <f>+IFERROR(VLOOKUP(ET9,IN_Zugliste!$A$4:$D$2002,4,FALSE),"")</f>
        <v/>
      </c>
      <c r="EU108" t="str">
        <f>+IFERROR(VLOOKUP(EU9,IN_Zugliste!$A$4:$D$2002,4,FALSE),"")</f>
        <v/>
      </c>
      <c r="EV108" t="str">
        <f>+IFERROR(VLOOKUP(EV9,IN_Zugliste!$A$4:$D$2002,4,FALSE),"")</f>
        <v/>
      </c>
      <c r="EW108" t="str">
        <f>+IFERROR(VLOOKUP(EW9,IN_Zugliste!$A$4:$D$2002,4,FALSE),"")</f>
        <v/>
      </c>
      <c r="EX108" t="str">
        <f>+IFERROR(VLOOKUP(EX9,IN_Zugliste!$A$4:$D$2002,4,FALSE),"")</f>
        <v/>
      </c>
      <c r="EY108" t="str">
        <f>+IFERROR(VLOOKUP(EY9,IN_Zugliste!$A$4:$D$2002,4,FALSE),"")</f>
        <v/>
      </c>
      <c r="EZ108" t="str">
        <f>+IFERROR(VLOOKUP(EZ9,IN_Zugliste!$A$4:$D$2002,4,FALSE),"")</f>
        <v/>
      </c>
      <c r="FA108" t="str">
        <f>+IFERROR(VLOOKUP(FA9,IN_Zugliste!$A$4:$D$2002,4,FALSE),"")</f>
        <v/>
      </c>
      <c r="FB108" t="str">
        <f>+IFERROR(VLOOKUP(FB9,IN_Zugliste!$A$4:$D$2002,4,FALSE),"")</f>
        <v/>
      </c>
      <c r="FC108" t="str">
        <f>+IFERROR(VLOOKUP(FC9,IN_Zugliste!$A$4:$D$2002,4,FALSE),"")</f>
        <v/>
      </c>
      <c r="FD108" t="str">
        <f>+IFERROR(VLOOKUP(FD9,IN_Zugliste!$A$4:$D$2002,4,FALSE),"")</f>
        <v/>
      </c>
      <c r="FE108" t="str">
        <f>+IFERROR(VLOOKUP(FE9,IN_Zugliste!$A$4:$D$2002,4,FALSE),"")</f>
        <v/>
      </c>
      <c r="FF108" t="str">
        <f>+IFERROR(VLOOKUP(FF9,IN_Zugliste!$A$4:$D$2002,4,FALSE),"")</f>
        <v/>
      </c>
      <c r="FG108" t="str">
        <f>+IFERROR(VLOOKUP(FG9,IN_Zugliste!$A$4:$D$2002,4,FALSE),"")</f>
        <v/>
      </c>
      <c r="FH108" t="str">
        <f>+IFERROR(VLOOKUP(FH9,IN_Zugliste!$A$4:$D$2002,4,FALSE),"")</f>
        <v/>
      </c>
      <c r="FI108" t="str">
        <f>+IFERROR(VLOOKUP(FI9,IN_Zugliste!$A$4:$D$2002,4,FALSE),"")</f>
        <v/>
      </c>
      <c r="FJ108" t="str">
        <f>+IFERROR(VLOOKUP(FJ9,IN_Zugliste!$A$4:$D$2002,4,FALSE),"")</f>
        <v/>
      </c>
      <c r="FK108" t="str">
        <f>+IFERROR(VLOOKUP(FK9,IN_Zugliste!$A$4:$D$2002,4,FALSE),"")</f>
        <v/>
      </c>
      <c r="FL108" t="str">
        <f>+IFERROR(VLOOKUP(FL9,IN_Zugliste!$A$4:$D$2002,4,FALSE),"")</f>
        <v/>
      </c>
      <c r="FM108" t="str">
        <f>+IFERROR(VLOOKUP(FM9,IN_Zugliste!$A$4:$C$2002,4,FALSE),"")</f>
        <v/>
      </c>
      <c r="FN108" t="str">
        <f>+IFERROR(VLOOKUP(FN9,IN_Zugliste!$A$4:$C$2002,4,FALSE),"")</f>
        <v/>
      </c>
      <c r="FO108" t="str">
        <f>+IFERROR(VLOOKUP(FO9,IN_Zugliste!$A$4:$C$2002,4,FALSE),"")</f>
        <v/>
      </c>
      <c r="FP108" t="str">
        <f>+IFERROR(VLOOKUP(FP9,IN_Zugliste!$A$4:$C$2002,4,FALSE),"")</f>
        <v/>
      </c>
      <c r="FQ108" t="str">
        <f>+IFERROR(VLOOKUP(FQ9,IN_Zugliste!$A$4:$C$2002,4,FALSE),"")</f>
        <v/>
      </c>
      <c r="FR108" t="str">
        <f>+IFERROR(VLOOKUP(FR9,IN_Zugliste!$A$4:$C$2002,4,FALSE),"")</f>
        <v/>
      </c>
      <c r="FS108" t="str">
        <f>+IFERROR(VLOOKUP(FS9,IN_Zugliste!$A$4:$C$2002,4,FALSE),"")</f>
        <v/>
      </c>
      <c r="FT108" t="str">
        <f>+IFERROR(VLOOKUP(FT9,IN_Zugliste!$A$4:$C$2002,4,FALSE),"")</f>
        <v/>
      </c>
      <c r="FU108" t="str">
        <f>+IFERROR(VLOOKUP(FU9,IN_Zugliste!$A$4:$C$2002,4,FALSE),"")</f>
        <v/>
      </c>
      <c r="FV108" t="str">
        <f>+IFERROR(VLOOKUP(FV9,IN_Zugliste!$A$4:$C$2002,4,FALSE),"")</f>
        <v/>
      </c>
      <c r="FW108" t="str">
        <f>+IFERROR(VLOOKUP(FW9,IN_Zugliste!$A$4:$C$2002,4,FALSE),"")</f>
        <v/>
      </c>
      <c r="FX108" t="str">
        <f>+IFERROR(VLOOKUP(FX9,IN_Zugliste!$A$4:$C$2002,4,FALSE),"")</f>
        <v/>
      </c>
      <c r="FY108" t="str">
        <f>+IFERROR(VLOOKUP(FY9,IN_Zugliste!$A$4:$C$2002,4,FALSE),"")</f>
        <v/>
      </c>
      <c r="FZ108" t="str">
        <f>+IFERROR(VLOOKUP(FZ9,IN_Zugliste!$A$4:$C$2002,4,FALSE),"")</f>
        <v/>
      </c>
      <c r="GA108" t="str">
        <f>+IFERROR(VLOOKUP(GA9,IN_Zugliste!$A$4:$C$2002,4,FALSE),"")</f>
        <v/>
      </c>
      <c r="GB108" t="str">
        <f>+IFERROR(VLOOKUP(GB9,IN_Zugliste!$A$4:$C$2002,4,FALSE),"")</f>
        <v/>
      </c>
      <c r="GC108" t="str">
        <f>+IFERROR(VLOOKUP(GC9,IN_Zugliste!$A$4:$C$2002,4,FALSE),"")</f>
        <v/>
      </c>
      <c r="GD108" t="str">
        <f>+IFERROR(VLOOKUP(GD9,IN_Zugliste!$A$4:$C$2002,4,FALSE),"")</f>
        <v/>
      </c>
      <c r="GE108" t="str">
        <f>+IFERROR(VLOOKUP(GE9,IN_Zugliste!$A$4:$C$2002,4,FALSE),"")</f>
        <v/>
      </c>
      <c r="GF108" t="str">
        <f>+IFERROR(VLOOKUP(GF9,IN_Zugliste!$A$4:$C$2002,4,FALSE),"")</f>
        <v/>
      </c>
      <c r="GG108" t="str">
        <f>+IFERROR(VLOOKUP(GG9,IN_Zugliste!$A$4:$C$2002,4,FALSE),"")</f>
        <v/>
      </c>
      <c r="GH108" t="str">
        <f>+IFERROR(VLOOKUP(GH9,IN_Zugliste!$A$4:$C$2002,4,FALSE),"")</f>
        <v/>
      </c>
      <c r="GI108" t="str">
        <f>+IFERROR(VLOOKUP(GI9,IN_Zugliste!$A$4:$C$2002,4,FALSE),"")</f>
        <v/>
      </c>
      <c r="GJ108" t="str">
        <f>+IFERROR(VLOOKUP(GJ9,IN_Zugliste!$A$4:$C$2002,4,FALSE),"")</f>
        <v/>
      </c>
      <c r="GK108" t="str">
        <f>+IFERROR(VLOOKUP(GK9,IN_Zugliste!$A$4:$C$2002,4,FALSE),"")</f>
        <v/>
      </c>
      <c r="GL108" t="str">
        <f>+IFERROR(VLOOKUP(GL9,IN_Zugliste!$A$4:$C$2002,4,FALSE),"")</f>
        <v/>
      </c>
      <c r="GM108" t="str">
        <f>+IFERROR(VLOOKUP(GM9,IN_Zugliste!$A$4:$C$2002,4,FALSE),"")</f>
        <v/>
      </c>
      <c r="GN108" t="str">
        <f>+IFERROR(VLOOKUP(GN9,IN_Zugliste!$A$4:$C$2002,4,FALSE),"")</f>
        <v/>
      </c>
      <c r="GO108" t="str">
        <f>+IFERROR(VLOOKUP(GO9,IN_Zugliste!$A$4:$C$2002,4,FALSE),"")</f>
        <v/>
      </c>
      <c r="GP108" t="str">
        <f>+IFERROR(VLOOKUP(GP9,IN_Zugliste!$A$4:$C$2002,4,FALSE),"")</f>
        <v/>
      </c>
      <c r="GQ108" t="str">
        <f>+IFERROR(VLOOKUP(GQ9,IN_Zugliste!$A$4:$C$2002,4,FALSE),"")</f>
        <v/>
      </c>
      <c r="GR108" t="str">
        <f>+IFERROR(VLOOKUP(GR9,IN_Zugliste!$A$4:$C$2002,4,FALSE),"")</f>
        <v/>
      </c>
      <c r="GS108" t="str">
        <f>+IFERROR(VLOOKUP(GS9,IN_Zugliste!$A$4:$C$2002,4,FALSE),"")</f>
        <v/>
      </c>
      <c r="GT108" t="str">
        <f>+IFERROR(VLOOKUP(GT9,IN_Zugliste!$A$4:$C$2002,4,FALSE),"")</f>
        <v/>
      </c>
      <c r="GU108" t="str">
        <f>+IFERROR(VLOOKUP(GU9,IN_Zugliste!$A$4:$C$2002,4,FALSE),"")</f>
        <v/>
      </c>
      <c r="GV108" t="str">
        <f>+IFERROR(VLOOKUP(GV9,IN_Zugliste!$A$4:$C$2002,4,FALSE),"")</f>
        <v/>
      </c>
      <c r="GW108" t="str">
        <f>+IFERROR(VLOOKUP(GW9,IN_Zugliste!$A$4:$C$2002,4,FALSE),"")</f>
        <v/>
      </c>
      <c r="GX108" t="str">
        <f>+IFERROR(VLOOKUP(GX9,IN_Zugliste!$A$4:$C$2002,4,FALSE),"")</f>
        <v/>
      </c>
      <c r="GY108" t="str">
        <f>+IFERROR(VLOOKUP(GY9,IN_Zugliste!$A$4:$C$2002,4,FALSE),"")</f>
        <v/>
      </c>
      <c r="GZ108" t="str">
        <f>+IFERROR(VLOOKUP(GZ9,IN_Zugliste!$A$4:$C$2002,4,FALSE),"")</f>
        <v/>
      </c>
      <c r="HA108" t="str">
        <f>+IFERROR(VLOOKUP(HA9,IN_Zugliste!$A$4:$C$2002,4,FALSE),"")</f>
        <v/>
      </c>
      <c r="HB108" t="str">
        <f>+IFERROR(VLOOKUP(HB9,IN_Zugliste!$A$4:$C$2002,4,FALSE),"")</f>
        <v/>
      </c>
      <c r="HC108" t="str">
        <f>+IFERROR(VLOOKUP(HC9,IN_Zugliste!$A$4:$C$2002,4,FALSE),"")</f>
        <v/>
      </c>
      <c r="HD108" t="str">
        <f>+IFERROR(VLOOKUP(HD9,IN_Zugliste!$A$4:$C$2002,4,FALSE),"")</f>
        <v/>
      </c>
      <c r="HE108" t="str">
        <f>+IFERROR(VLOOKUP(HE9,IN_Zugliste!$A$4:$C$2002,4,FALSE),"")</f>
        <v/>
      </c>
      <c r="HF108" t="str">
        <f>+IFERROR(VLOOKUP(HF9,IN_Zugliste!$A$4:$C$2002,4,FALSE),"")</f>
        <v/>
      </c>
      <c r="HG108" t="str">
        <f>+IFERROR(VLOOKUP(HG9,IN_Zugliste!$A$4:$C$2002,4,FALSE),"")</f>
        <v/>
      </c>
      <c r="HH108" t="str">
        <f>+IFERROR(VLOOKUP(HH9,IN_Zugliste!$A$4:$C$2002,4,FALSE),"")</f>
        <v/>
      </c>
      <c r="HI108" t="str">
        <f>+IFERROR(VLOOKUP(HI9,IN_Zugliste!$A$4:$C$2002,4,FALSE),"")</f>
        <v/>
      </c>
      <c r="HJ108" t="str">
        <f>+IFERROR(VLOOKUP(HJ9,IN_Zugliste!$A$4:$C$2002,4,FALSE),"")</f>
        <v/>
      </c>
      <c r="HK108" t="str">
        <f>+IFERROR(VLOOKUP(HK9,IN_Zugliste!$A$4:$C$2002,4,FALSE),"")</f>
        <v/>
      </c>
      <c r="HL108" t="str">
        <f>+IFERROR(VLOOKUP(HL9,IN_Zugliste!$A$4:$C$2002,4,FALSE),"")</f>
        <v/>
      </c>
      <c r="HM108" t="str">
        <f>+IFERROR(VLOOKUP(HM9,IN_Zugliste!$A$4:$C$2002,4,FALSE),"")</f>
        <v/>
      </c>
      <c r="HN108" t="str">
        <f>+IFERROR(VLOOKUP(HN9,IN_Zugliste!$A$4:$C$2002,4,FALSE),"")</f>
        <v/>
      </c>
      <c r="HO108" t="str">
        <f>+IFERROR(VLOOKUP(HO9,IN_Zugliste!$A$4:$C$2002,4,FALSE),"")</f>
        <v/>
      </c>
      <c r="HP108" t="str">
        <f>+IFERROR(VLOOKUP(HP9,IN_Zugliste!$A$4:$C$2002,4,FALSE),"")</f>
        <v/>
      </c>
      <c r="HQ108" t="str">
        <f>+IFERROR(VLOOKUP(HQ9,IN_Zugliste!$A$4:$C$2002,4,FALSE),"")</f>
        <v/>
      </c>
      <c r="HR108" t="str">
        <f>+IFERROR(VLOOKUP(HR9,IN_Zugliste!$A$4:$C$2002,4,FALSE),"")</f>
        <v/>
      </c>
      <c r="HS108" t="str">
        <f>+IFERROR(VLOOKUP(HS9,IN_Zugliste!$A$4:$C$2002,4,FALSE),"")</f>
        <v/>
      </c>
      <c r="HT108" t="str">
        <f>+IFERROR(VLOOKUP(HT9,IN_Zugliste!$A$4:$C$2002,4,FALSE),"")</f>
        <v/>
      </c>
      <c r="HU108" t="str">
        <f>+IFERROR(VLOOKUP(HU9,IN_Zugliste!$A$4:$C$2002,4,FALSE),"")</f>
        <v/>
      </c>
      <c r="HV108" t="str">
        <f>+IFERROR(VLOOKUP(HV9,IN_Zugliste!$A$4:$C$2002,4,FALSE),"")</f>
        <v/>
      </c>
      <c r="HW108" t="str">
        <f>+IFERROR(VLOOKUP(HW9,IN_Zugliste!$A$4:$C$2002,4,FALSE),"")</f>
        <v/>
      </c>
      <c r="HX108" t="str">
        <f>+IFERROR(VLOOKUP(HX9,IN_Zugliste!$A$4:$C$2002,4,FALSE),"")</f>
        <v/>
      </c>
      <c r="HY108" t="str">
        <f>+IFERROR(VLOOKUP(HY9,IN_Zugliste!$A$4:$C$2002,4,FALSE),"")</f>
        <v/>
      </c>
      <c r="HZ108" t="str">
        <f>+IFERROR(VLOOKUP(HZ9,IN_Zugliste!$A$4:$C$2002,4,FALSE),"")</f>
        <v/>
      </c>
      <c r="IA108" t="str">
        <f>+IFERROR(VLOOKUP(IA9,IN_Zugliste!$A$4:$C$2002,4,FALSE),"")</f>
        <v/>
      </c>
      <c r="IB108" t="str">
        <f>+IFERROR(VLOOKUP(IB9,IN_Zugliste!$A$4:$C$2002,4,FALSE),"")</f>
        <v/>
      </c>
      <c r="IC108" t="str">
        <f>+IFERROR(VLOOKUP(IC9,IN_Zugliste!$A$4:$C$2002,4,FALSE),"")</f>
        <v/>
      </c>
      <c r="ID108" t="str">
        <f>+IFERROR(VLOOKUP(ID9,IN_Zugliste!$A$4:$C$2002,4,FALSE),"")</f>
        <v/>
      </c>
      <c r="IE108" t="str">
        <f>+IFERROR(VLOOKUP(IE9,IN_Zugliste!$A$4:$C$2002,4,FALSE),"")</f>
        <v/>
      </c>
      <c r="IF108" t="str">
        <f>+IFERROR(VLOOKUP(IF9,IN_Zugliste!$A$4:$C$2002,4,FALSE),"")</f>
        <v/>
      </c>
      <c r="IG108" t="str">
        <f>+IFERROR(VLOOKUP(IG9,IN_Zugliste!$A$4:$C$2002,4,FALSE),"")</f>
        <v/>
      </c>
      <c r="IH108" t="str">
        <f>+IFERROR(VLOOKUP(IH9,IN_Zugliste!$A$4:$C$2002,4,FALSE),"")</f>
        <v/>
      </c>
      <c r="II108" t="str">
        <f>+IFERROR(VLOOKUP(II9,IN_Zugliste!$A$4:$C$2002,4,FALSE),"")</f>
        <v/>
      </c>
      <c r="IJ108" t="str">
        <f>+IFERROR(VLOOKUP(IJ9,IN_Zugliste!$A$4:$C$2002,4,FALSE),"")</f>
        <v/>
      </c>
      <c r="IK108" t="str">
        <f>+IFERROR(VLOOKUP(IK9,IN_Zugliste!$A$4:$C$2002,4,FALSE),"")</f>
        <v/>
      </c>
      <c r="IL108" t="str">
        <f>+IFERROR(VLOOKUP(IL9,IN_Zugliste!$A$4:$C$2002,4,FALSE),"")</f>
        <v/>
      </c>
      <c r="IM108" t="str">
        <f>+IFERROR(VLOOKUP(IM9,IN_Zugliste!$A$4:$C$2002,4,FALSE),"")</f>
        <v/>
      </c>
      <c r="IN108" t="str">
        <f>+IFERROR(VLOOKUP(IN9,IN_Zugliste!$A$4:$C$2002,4,FALSE),"")</f>
        <v/>
      </c>
      <c r="IO108" t="str">
        <f>+IFERROR(VLOOKUP(IO9,IN_Zugliste!$A$4:$C$2002,4,FALSE),"")</f>
        <v/>
      </c>
      <c r="IP108" t="str">
        <f>+IFERROR(VLOOKUP(IP9,IN_Zugliste!$A$4:$C$2002,4,FALSE),"")</f>
        <v/>
      </c>
      <c r="IQ108" t="str">
        <f>+IFERROR(VLOOKUP(IQ9,IN_Zugliste!$A$4:$C$2002,4,FALSE),"")</f>
        <v/>
      </c>
      <c r="IR108" t="str">
        <f>+IFERROR(VLOOKUP(IR9,IN_Zugliste!$A$4:$C$2002,4,FALSE),"")</f>
        <v/>
      </c>
      <c r="IS108" t="str">
        <f>+IFERROR(VLOOKUP(IS9,IN_Zugliste!$A$4:$C$2002,4,FALSE),"")</f>
        <v/>
      </c>
      <c r="IT108" t="str">
        <f>+IFERROR(VLOOKUP(IT9,IN_Zugliste!$A$4:$C$2002,4,FALSE),"")</f>
        <v/>
      </c>
      <c r="IU108" t="str">
        <f>+IFERROR(VLOOKUP(IU9,IN_Zugliste!$A$4:$C$2002,4,FALSE),"")</f>
        <v/>
      </c>
      <c r="IV108" t="str">
        <f>+IFERROR(VLOOKUP(IV9,IN_Zugliste!$A$4:$C$2002,4,FALSE),"")</f>
        <v/>
      </c>
      <c r="IW108" t="str">
        <f>+IFERROR(VLOOKUP(IW9,IN_Zugliste!$A$4:$C$2002,4,FALSE),"")</f>
        <v/>
      </c>
      <c r="IX108" t="str">
        <f>+IFERROR(VLOOKUP(IX9,IN_Zugliste!$A$4:$C$2002,4,FALSE),"")</f>
        <v/>
      </c>
      <c r="IY108" t="str">
        <f>+IFERROR(VLOOKUP(IY9,IN_Zugliste!$A$4:$C$2002,4,FALSE),"")</f>
        <v/>
      </c>
      <c r="IZ108" t="str">
        <f>+IFERROR(VLOOKUP(IZ9,IN_Zugliste!$A$4:$C$2002,4,FALSE),"")</f>
        <v/>
      </c>
      <c r="JA108" t="str">
        <f>+IFERROR(VLOOKUP(JA9,IN_Zugliste!$A$4:$C$2002,4,FALSE),"")</f>
        <v/>
      </c>
      <c r="JB108" t="str">
        <f>+IFERROR(VLOOKUP(JB9,IN_Zugliste!$A$4:$C$2002,4,FALSE),"")</f>
        <v/>
      </c>
      <c r="JC108" t="str">
        <f>+IFERROR(VLOOKUP(JC9,IN_Zugliste!$A$4:$C$2002,4,FALSE),"")</f>
        <v/>
      </c>
      <c r="JD108" t="str">
        <f>+IFERROR(VLOOKUP(JD9,IN_Zugliste!$A$4:$C$2002,4,FALSE),"")</f>
        <v/>
      </c>
      <c r="JE108" t="str">
        <f>+IFERROR(VLOOKUP(JE9,IN_Zugliste!$A$4:$C$2002,4,FALSE),"")</f>
        <v/>
      </c>
      <c r="JF108" t="str">
        <f>+IFERROR(VLOOKUP(JF9,IN_Zugliste!$A$4:$C$2002,4,FALSE),"")</f>
        <v/>
      </c>
      <c r="JG108" t="str">
        <f>+IFERROR(VLOOKUP(JG9,IN_Zugliste!$A$4:$C$2002,4,FALSE),"")</f>
        <v/>
      </c>
      <c r="JH108" t="str">
        <f>+IFERROR(VLOOKUP(JH9,IN_Zugliste!$A$4:$C$2002,4,FALSE),"")</f>
        <v/>
      </c>
      <c r="JI108" t="str">
        <f>+IFERROR(VLOOKUP(JI9,IN_Zugliste!$A$4:$C$2002,4,FALSE),"")</f>
        <v/>
      </c>
      <c r="JJ108" t="str">
        <f>+IFERROR(VLOOKUP(JJ9,IN_Zugliste!$A$4:$C$2002,4,FALSE),"")</f>
        <v/>
      </c>
      <c r="JK108" t="str">
        <f>+IFERROR(VLOOKUP(JK9,IN_Zugliste!$A$4:$C$2002,4,FALSE),"")</f>
        <v/>
      </c>
      <c r="JL108" t="str">
        <f>+IFERROR(VLOOKUP(JL9,IN_Zugliste!$A$4:$C$2002,4,FALSE),"")</f>
        <v/>
      </c>
    </row>
    <row r="109" spans="1:272" x14ac:dyDescent="0.2">
      <c r="A109" t="str">
        <f>+IFERROR(VLOOKUP(A10,IN_Zugliste!$A$4:$D$2002,4,FALSE),"")</f>
        <v>101-3.0</v>
      </c>
      <c r="B109" t="str">
        <f>+IFERROR(VLOOKUP(B10,IN_Zugliste!$A$4:$D$2002,4,FALSE),"")</f>
        <v>101-3.0</v>
      </c>
      <c r="C109" t="str">
        <f>+IFERROR(VLOOKUP(C10,IN_Zugliste!$A$4:$D$2002,4,FALSE),"")</f>
        <v>146-3.2</v>
      </c>
      <c r="D109" t="str">
        <f>+IFERROR(VLOOKUP(D10,IN_Zugliste!$A$4:$D$2002,4,FALSE),"")</f>
        <v>462-1.0</v>
      </c>
      <c r="E109" t="str">
        <f>+IFERROR(VLOOKUP(E10,IN_Zugliste!$A$4:$D$2002,4,FALSE),"")</f>
        <v>462-1.0</v>
      </c>
      <c r="F109" t="str">
        <f>+IFERROR(VLOOKUP(F10,IN_Zugliste!$A$4:$D$2002,4,FALSE),"")</f>
        <v>146-3.2</v>
      </c>
      <c r="G109" t="str">
        <f>+IFERROR(VLOOKUP(G10,IN_Zugliste!$A$4:$D$2002,4,FALSE),"")</f>
        <v/>
      </c>
      <c r="H109" t="str">
        <f>+IFERROR(VLOOKUP(H10,IN_Zugliste!$A$4:$D$2002,4,FALSE),"")</f>
        <v/>
      </c>
      <c r="I109" t="str">
        <f>+IFERROR(VLOOKUP(I10,IN_Zugliste!$A$4:$D$2002,4,FALSE),"")</f>
        <v/>
      </c>
      <c r="J109" t="str">
        <f>+IFERROR(VLOOKUP(J10,IN_Zugliste!$A$4:$D$2002,4,FALSE),"")</f>
        <v/>
      </c>
      <c r="K109" t="str">
        <f>+IFERROR(VLOOKUP(K10,IN_Zugliste!$A$4:$D$2002,4,FALSE),"")</f>
        <v/>
      </c>
      <c r="L109" t="str">
        <f>+IFERROR(VLOOKUP(L10,IN_Zugliste!$A$4:$D$2002,4,FALSE),"")</f>
        <v/>
      </c>
      <c r="M109" t="str">
        <f>+IFERROR(VLOOKUP(M10,IN_Zugliste!$A$4:$D$2002,4,FALSE),"")</f>
        <v/>
      </c>
      <c r="N109" t="str">
        <f>+IFERROR(VLOOKUP(N10,IN_Zugliste!$A$4:$D$2002,4,FALSE),"")</f>
        <v/>
      </c>
      <c r="O109" t="str">
        <f>+IFERROR(VLOOKUP(O10,IN_Zugliste!$A$4:$D$2002,4,FALSE),"")</f>
        <v/>
      </c>
      <c r="P109" t="str">
        <f>+IFERROR(VLOOKUP(P10,IN_Zugliste!$A$4:$D$2002,4,FALSE),"")</f>
        <v/>
      </c>
      <c r="Q109" t="str">
        <f>+IFERROR(VLOOKUP(Q10,IN_Zugliste!$A$4:$D$2002,4,FALSE),"")</f>
        <v/>
      </c>
      <c r="R109" t="str">
        <f>+IFERROR(VLOOKUP(R10,IN_Zugliste!$A$4:$D$2002,4,FALSE),"")</f>
        <v/>
      </c>
      <c r="S109" t="str">
        <f>+IFERROR(VLOOKUP(S10,IN_Zugliste!$A$4:$D$2002,4,FALSE),"")</f>
        <v/>
      </c>
      <c r="T109" t="str">
        <f>+IFERROR(VLOOKUP(T10,IN_Zugliste!$A$4:$D$2002,4,FALSE),"")</f>
        <v/>
      </c>
      <c r="U109" t="str">
        <f>+IFERROR(VLOOKUP(U10,IN_Zugliste!$A$4:$D$2002,4,FALSE),"")</f>
        <v/>
      </c>
      <c r="V109" t="str">
        <f>+IFERROR(VLOOKUP(V10,IN_Zugliste!$A$4:$D$2002,4,FALSE),"")</f>
        <v/>
      </c>
      <c r="W109" t="str">
        <f>+IFERROR(VLOOKUP(W10,IN_Zugliste!$A$4:$D$2002,4,FALSE),"")</f>
        <v/>
      </c>
      <c r="X109" t="str">
        <f>+IFERROR(VLOOKUP(X10,IN_Zugliste!$A$4:$D$2002,4,FALSE),"")</f>
        <v/>
      </c>
      <c r="Y109" t="str">
        <f>+IFERROR(VLOOKUP(Y10,IN_Zugliste!$A$4:$D$2002,4,FALSE),"")</f>
        <v/>
      </c>
      <c r="Z109" t="str">
        <f>+IFERROR(VLOOKUP(Z10,IN_Zugliste!$A$4:$D$2002,4,FALSE),"")</f>
        <v/>
      </c>
      <c r="AA109" t="str">
        <f>+IFERROR(VLOOKUP(AA10,IN_Zugliste!$A$4:$D$2002,4,FALSE),"")</f>
        <v/>
      </c>
      <c r="AB109" t="str">
        <f>+IFERROR(VLOOKUP(AB10,IN_Zugliste!$A$4:$D$2002,4,FALSE),"")</f>
        <v/>
      </c>
      <c r="AC109" t="str">
        <f>+IFERROR(VLOOKUP(AC10,IN_Zugliste!$A$4:$D$2002,4,FALSE),"")</f>
        <v/>
      </c>
      <c r="AD109" t="str">
        <f>+IFERROR(VLOOKUP(AD10,IN_Zugliste!$A$4:$D$2002,4,FALSE),"")</f>
        <v/>
      </c>
      <c r="AE109" t="str">
        <f>+IFERROR(VLOOKUP(AE10,IN_Zugliste!$A$4:$D$2002,4,FALSE),"")</f>
        <v/>
      </c>
      <c r="AF109" t="str">
        <f>+IFERROR(VLOOKUP(AF10,IN_Zugliste!$A$4:$D$2002,4,FALSE),"")</f>
        <v/>
      </c>
      <c r="AG109" t="str">
        <f>+IFERROR(VLOOKUP(AG10,IN_Zugliste!$A$4:$D$2002,4,FALSE),"")</f>
        <v/>
      </c>
      <c r="AH109" t="str">
        <f>+IFERROR(VLOOKUP(AH10,IN_Zugliste!$A$4:$D$2002,4,FALSE),"")</f>
        <v/>
      </c>
      <c r="AI109" t="str">
        <f>+IFERROR(VLOOKUP(AI10,IN_Zugliste!$A$4:$D$2002,4,FALSE),"")</f>
        <v/>
      </c>
      <c r="AJ109" t="str">
        <f>+IFERROR(VLOOKUP(AJ10,IN_Zugliste!$A$4:$D$2002,4,FALSE),"")</f>
        <v/>
      </c>
      <c r="AK109" t="str">
        <f>+IFERROR(VLOOKUP(AK10,IN_Zugliste!$A$4:$D$2002,4,FALSE),"")</f>
        <v/>
      </c>
      <c r="AL109" t="str">
        <f>+IFERROR(VLOOKUP(AL10,IN_Zugliste!$A$4:$D$2002,4,FALSE),"")</f>
        <v/>
      </c>
      <c r="AM109" t="str">
        <f>+IFERROR(VLOOKUP(AM10,IN_Zugliste!$A$4:$D$2002,4,FALSE),"")</f>
        <v/>
      </c>
      <c r="AN109" t="str">
        <f>+IFERROR(VLOOKUP(AN10,IN_Zugliste!$A$4:$D$2002,4,FALSE),"")</f>
        <v/>
      </c>
      <c r="AO109" t="str">
        <f>+IFERROR(VLOOKUP(AO10,IN_Zugliste!$A$4:$D$2002,4,FALSE),"")</f>
        <v/>
      </c>
      <c r="AP109" t="str">
        <f>+IFERROR(VLOOKUP(AP10,IN_Zugliste!$A$4:$D$2002,4,FALSE),"")</f>
        <v/>
      </c>
      <c r="AQ109" t="str">
        <f>+IFERROR(VLOOKUP(AQ10,IN_Zugliste!$A$4:$D$2002,4,FALSE),"")</f>
        <v/>
      </c>
      <c r="AR109" t="str">
        <f>+IFERROR(VLOOKUP(AR10,IN_Zugliste!$A$4:$D$2002,4,FALSE),"")</f>
        <v/>
      </c>
      <c r="AS109" t="str">
        <f>+IFERROR(VLOOKUP(AS10,IN_Zugliste!$A$4:$D$2002,4,FALSE),"")</f>
        <v/>
      </c>
      <c r="AT109" t="str">
        <f>+IFERROR(VLOOKUP(AT10,IN_Zugliste!$A$4:$D$2002,4,FALSE),"")</f>
        <v/>
      </c>
      <c r="AU109" t="str">
        <f>+IFERROR(VLOOKUP(AU10,IN_Zugliste!$A$4:$D$2002,4,FALSE),"")</f>
        <v/>
      </c>
      <c r="AV109" t="str">
        <f>+IFERROR(VLOOKUP(AV10,IN_Zugliste!$A$4:$D$2002,4,FALSE),"")</f>
        <v/>
      </c>
      <c r="AW109" t="str">
        <f>+IFERROR(VLOOKUP(AW10,IN_Zugliste!$A$4:$D$2002,4,FALSE),"")</f>
        <v/>
      </c>
      <c r="AX109" t="str">
        <f>+IFERROR(VLOOKUP(AX10,IN_Zugliste!$A$4:$D$2002,4,FALSE),"")</f>
        <v/>
      </c>
      <c r="AY109" t="str">
        <f>+IFERROR(VLOOKUP(AY10,IN_Zugliste!$A$4:$D$2002,4,FALSE),"")</f>
        <v/>
      </c>
      <c r="AZ109" t="str">
        <f>+IFERROR(VLOOKUP(AZ10,IN_Zugliste!$A$4:$D$2002,4,FALSE),"")</f>
        <v/>
      </c>
      <c r="BA109" t="str">
        <f>+IFERROR(VLOOKUP(BA10,IN_Zugliste!$A$4:$D$2002,4,FALSE),"")</f>
        <v/>
      </c>
      <c r="BB109" t="str">
        <f>+IFERROR(VLOOKUP(BB10,IN_Zugliste!$A$4:$D$2002,4,FALSE),"")</f>
        <v/>
      </c>
      <c r="BC109" t="str">
        <f>+IFERROR(VLOOKUP(BC10,IN_Zugliste!$A$4:$D$2002,4,FALSE),"")</f>
        <v/>
      </c>
      <c r="BD109" t="str">
        <f>+IFERROR(VLOOKUP(BD10,IN_Zugliste!$A$4:$D$2002,4,FALSE),"")</f>
        <v/>
      </c>
      <c r="BE109" t="str">
        <f>+IFERROR(VLOOKUP(BE10,IN_Zugliste!$A$4:$D$2002,4,FALSE),"")</f>
        <v/>
      </c>
      <c r="BF109" t="str">
        <f>+IFERROR(VLOOKUP(BF10,IN_Zugliste!$A$4:$D$2002,4,FALSE),"")</f>
        <v/>
      </c>
      <c r="BG109" t="str">
        <f>+IFERROR(VLOOKUP(BG10,IN_Zugliste!$A$4:$D$2002,4,FALSE),"")</f>
        <v/>
      </c>
      <c r="BH109" t="str">
        <f>+IFERROR(VLOOKUP(BH10,IN_Zugliste!$A$4:$D$2002,4,FALSE),"")</f>
        <v/>
      </c>
      <c r="BI109" t="str">
        <f>+IFERROR(VLOOKUP(BI10,IN_Zugliste!$A$4:$D$2002,4,FALSE),"")</f>
        <v/>
      </c>
      <c r="BJ109" t="str">
        <f>+IFERROR(VLOOKUP(BJ10,IN_Zugliste!$A$4:$D$2002,4,FALSE),"")</f>
        <v/>
      </c>
      <c r="BK109" t="str">
        <f>+IFERROR(VLOOKUP(BK10,IN_Zugliste!$A$4:$D$2002,4,FALSE),"")</f>
        <v/>
      </c>
      <c r="BL109" t="str">
        <f>+IFERROR(VLOOKUP(BL10,IN_Zugliste!$A$4:$D$2002,4,FALSE),"")</f>
        <v/>
      </c>
      <c r="BM109" t="str">
        <f>+IFERROR(VLOOKUP(BM10,IN_Zugliste!$A$4:$D$2002,4,FALSE),"")</f>
        <v/>
      </c>
      <c r="BN109" t="str">
        <f>+IFERROR(VLOOKUP(BN10,IN_Zugliste!$A$4:$D$2002,4,FALSE),"")</f>
        <v/>
      </c>
      <c r="BO109" t="str">
        <f>+IFERROR(VLOOKUP(BO10,IN_Zugliste!$A$4:$D$2002,4,FALSE),"")</f>
        <v/>
      </c>
      <c r="BP109" t="str">
        <f>+IFERROR(VLOOKUP(BP10,IN_Zugliste!$A$4:$D$2002,4,FALSE),"")</f>
        <v/>
      </c>
      <c r="BQ109" t="str">
        <f>+IFERROR(VLOOKUP(BQ10,IN_Zugliste!$A$4:$D$2002,4,FALSE),"")</f>
        <v/>
      </c>
      <c r="BR109" t="str">
        <f>+IFERROR(VLOOKUP(BR10,IN_Zugliste!$A$4:$D$2002,4,FALSE),"")</f>
        <v/>
      </c>
      <c r="BS109" t="str">
        <f>+IFERROR(VLOOKUP(BS10,IN_Zugliste!$A$4:$D$2002,4,FALSE),"")</f>
        <v/>
      </c>
      <c r="BT109" t="str">
        <f>+IFERROR(VLOOKUP(BT10,IN_Zugliste!$A$4:$D$2002,4,FALSE),"")</f>
        <v/>
      </c>
      <c r="BU109" t="str">
        <f>+IFERROR(VLOOKUP(BU10,IN_Zugliste!$A$4:$D$2002,4,FALSE),"")</f>
        <v/>
      </c>
      <c r="BV109" t="str">
        <f>+IFERROR(VLOOKUP(BV10,IN_Zugliste!$A$4:$D$2002,4,FALSE),"")</f>
        <v/>
      </c>
      <c r="BW109" t="str">
        <f>+IFERROR(VLOOKUP(BW10,IN_Zugliste!$A$4:$D$2002,4,FALSE),"")</f>
        <v/>
      </c>
      <c r="BX109" t="str">
        <f>+IFERROR(VLOOKUP(BX10,IN_Zugliste!$A$4:$D$2002,4,FALSE),"")</f>
        <v/>
      </c>
      <c r="BY109" t="str">
        <f>+IFERROR(VLOOKUP(BY10,IN_Zugliste!$A$4:$D$2002,4,FALSE),"")</f>
        <v/>
      </c>
      <c r="BZ109" t="str">
        <f>+IFERROR(VLOOKUP(BZ10,IN_Zugliste!$A$4:$D$2002,4,FALSE),"")</f>
        <v/>
      </c>
      <c r="CA109" t="str">
        <f>+IFERROR(VLOOKUP(CA10,IN_Zugliste!$A$4:$D$2002,4,FALSE),"")</f>
        <v/>
      </c>
      <c r="CB109" t="str">
        <f>+IFERROR(VLOOKUP(CB10,IN_Zugliste!$A$4:$D$2002,4,FALSE),"")</f>
        <v/>
      </c>
      <c r="CC109" t="str">
        <f>+IFERROR(VLOOKUP(CC10,IN_Zugliste!$A$4:$D$2002,4,FALSE),"")</f>
        <v/>
      </c>
      <c r="CD109" t="str">
        <f>+IFERROR(VLOOKUP(CD10,IN_Zugliste!$A$4:$D$2002,4,FALSE),"")</f>
        <v/>
      </c>
      <c r="CE109" t="str">
        <f>+IFERROR(VLOOKUP(CE10,IN_Zugliste!$A$4:$D$2002,4,FALSE),"")</f>
        <v/>
      </c>
      <c r="CF109" t="str">
        <f>+IFERROR(VLOOKUP(CF10,IN_Zugliste!$A$4:$D$2002,4,FALSE),"")</f>
        <v/>
      </c>
      <c r="CG109" t="str">
        <f>+IFERROR(VLOOKUP(CG10,IN_Zugliste!$A$4:$D$2002,4,FALSE),"")</f>
        <v/>
      </c>
      <c r="CH109" t="str">
        <f>+IFERROR(VLOOKUP(CH10,IN_Zugliste!$A$4:$D$2002,4,FALSE),"")</f>
        <v/>
      </c>
      <c r="CI109" t="str">
        <f>+IFERROR(VLOOKUP(CI10,IN_Zugliste!$A$4:$D$2002,4,FALSE),"")</f>
        <v/>
      </c>
      <c r="CJ109" t="str">
        <f>+IFERROR(VLOOKUP(CJ10,IN_Zugliste!$A$4:$D$2002,4,FALSE),"")</f>
        <v/>
      </c>
      <c r="CK109" t="str">
        <f>+IFERROR(VLOOKUP(CK10,IN_Zugliste!$A$4:$D$2002,4,FALSE),"")</f>
        <v/>
      </c>
      <c r="CL109" t="str">
        <f>+IFERROR(VLOOKUP(CL10,IN_Zugliste!$A$4:$D$2002,4,FALSE),"")</f>
        <v/>
      </c>
      <c r="CM109" t="str">
        <f>+IFERROR(VLOOKUP(CM10,IN_Zugliste!$A$4:$D$2002,4,FALSE),"")</f>
        <v/>
      </c>
      <c r="CN109" t="str">
        <f>+IFERROR(VLOOKUP(CN10,IN_Zugliste!$A$4:$D$2002,4,FALSE),"")</f>
        <v/>
      </c>
      <c r="CO109" t="str">
        <f>+IFERROR(VLOOKUP(CO10,IN_Zugliste!$A$4:$D$2002,4,FALSE),"")</f>
        <v/>
      </c>
      <c r="CP109" t="str">
        <f>+IFERROR(VLOOKUP(CP10,IN_Zugliste!$A$4:$D$2002,4,FALSE),"")</f>
        <v/>
      </c>
      <c r="CQ109" t="str">
        <f>+IFERROR(VLOOKUP(CQ10,IN_Zugliste!$A$4:$D$2002,4,FALSE),"")</f>
        <v/>
      </c>
      <c r="CR109" t="str">
        <f>+IFERROR(VLOOKUP(CR10,IN_Zugliste!$A$4:$D$2002,4,FALSE),"")</f>
        <v/>
      </c>
      <c r="CS109" t="str">
        <f>+IFERROR(VLOOKUP(CS10,IN_Zugliste!$A$4:$D$2002,4,FALSE),"")</f>
        <v/>
      </c>
      <c r="CT109" t="str">
        <f>+IFERROR(VLOOKUP(CT10,IN_Zugliste!$A$4:$D$2002,4,FALSE),"")</f>
        <v/>
      </c>
      <c r="CU109" t="str">
        <f>+IFERROR(VLOOKUP(CU10,IN_Zugliste!$A$4:$D$2002,4,FALSE),"")</f>
        <v/>
      </c>
      <c r="CV109" t="str">
        <f>+IFERROR(VLOOKUP(CV10,IN_Zugliste!$A$4:$D$2002,4,FALSE),"")</f>
        <v/>
      </c>
      <c r="CW109" t="str">
        <f>+IFERROR(VLOOKUP(CW10,IN_Zugliste!$A$4:$D$2002,4,FALSE),"")</f>
        <v/>
      </c>
      <c r="CX109" t="str">
        <f>+IFERROR(VLOOKUP(CX10,IN_Zugliste!$A$4:$D$2002,4,FALSE),"")</f>
        <v/>
      </c>
      <c r="CY109" t="str">
        <f>+IFERROR(VLOOKUP(CY10,IN_Zugliste!$A$4:$D$2002,4,FALSE),"")</f>
        <v/>
      </c>
      <c r="CZ109" t="str">
        <f>+IFERROR(VLOOKUP(CZ10,IN_Zugliste!$A$4:$D$2002,4,FALSE),"")</f>
        <v/>
      </c>
      <c r="DA109" t="str">
        <f>+IFERROR(VLOOKUP(DA10,IN_Zugliste!$A$4:$D$2002,4,FALSE),"")</f>
        <v/>
      </c>
      <c r="DB109" t="str">
        <f>+IFERROR(VLOOKUP(DB10,IN_Zugliste!$A$4:$D$2002,4,FALSE),"")</f>
        <v/>
      </c>
      <c r="DC109" t="str">
        <f>+IFERROR(VLOOKUP(DC10,IN_Zugliste!$A$4:$D$2002,4,FALSE),"")</f>
        <v/>
      </c>
      <c r="DD109" t="str">
        <f>+IFERROR(VLOOKUP(DD10,IN_Zugliste!$A$4:$D$2002,4,FALSE),"")</f>
        <v/>
      </c>
      <c r="DE109" t="str">
        <f>+IFERROR(VLOOKUP(DE10,IN_Zugliste!$A$4:$D$2002,4,FALSE),"")</f>
        <v/>
      </c>
      <c r="DF109" t="str">
        <f>+IFERROR(VLOOKUP(DF10,IN_Zugliste!$A$4:$D$2002,4,FALSE),"")</f>
        <v/>
      </c>
      <c r="DG109" t="str">
        <f>+IFERROR(VLOOKUP(DG10,IN_Zugliste!$A$4:$D$2002,4,FALSE),"")</f>
        <v/>
      </c>
      <c r="DH109" t="str">
        <f>+IFERROR(VLOOKUP(DH10,IN_Zugliste!$A$4:$D$2002,4,FALSE),"")</f>
        <v/>
      </c>
      <c r="DI109" t="str">
        <f>+IFERROR(VLOOKUP(DI10,IN_Zugliste!$A$4:$D$2002,4,FALSE),"")</f>
        <v/>
      </c>
      <c r="DJ109" t="str">
        <f>+IFERROR(VLOOKUP(DJ10,IN_Zugliste!$A$4:$D$2002,4,FALSE),"")</f>
        <v/>
      </c>
      <c r="DK109" t="str">
        <f>+IFERROR(VLOOKUP(DK10,IN_Zugliste!$A$4:$D$2002,4,FALSE),"")</f>
        <v/>
      </c>
      <c r="DL109" t="str">
        <f>+IFERROR(VLOOKUP(DL10,IN_Zugliste!$A$4:$D$2002,4,FALSE),"")</f>
        <v/>
      </c>
      <c r="DM109" t="str">
        <f>+IFERROR(VLOOKUP(DM10,IN_Zugliste!$A$4:$D$2002,4,FALSE),"")</f>
        <v/>
      </c>
      <c r="DN109" t="str">
        <f>+IFERROR(VLOOKUP(DN10,IN_Zugliste!$A$4:$D$2002,4,FALSE),"")</f>
        <v/>
      </c>
      <c r="DO109" t="str">
        <f>+IFERROR(VLOOKUP(DO10,IN_Zugliste!$A$4:$D$2002,4,FALSE),"")</f>
        <v/>
      </c>
      <c r="DP109" t="str">
        <f>+IFERROR(VLOOKUP(DP10,IN_Zugliste!$A$4:$D$2002,4,FALSE),"")</f>
        <v/>
      </c>
      <c r="DQ109" t="str">
        <f>+IFERROR(VLOOKUP(DQ10,IN_Zugliste!$A$4:$D$2002,4,FALSE),"")</f>
        <v/>
      </c>
      <c r="DR109" t="str">
        <f>+IFERROR(VLOOKUP(DR10,IN_Zugliste!$A$4:$D$2002,4,FALSE),"")</f>
        <v/>
      </c>
      <c r="DS109" t="str">
        <f>+IFERROR(VLOOKUP(DS10,IN_Zugliste!$A$4:$D$2002,4,FALSE),"")</f>
        <v/>
      </c>
      <c r="DT109" t="str">
        <f>+IFERROR(VLOOKUP(DT10,IN_Zugliste!$A$4:$D$2002,4,FALSE),"")</f>
        <v/>
      </c>
      <c r="DU109" t="str">
        <f>+IFERROR(VLOOKUP(DU10,IN_Zugliste!$A$4:$D$2002,4,FALSE),"")</f>
        <v/>
      </c>
      <c r="DV109" t="str">
        <f>+IFERROR(VLOOKUP(DV10,IN_Zugliste!$A$4:$D$2002,4,FALSE),"")</f>
        <v/>
      </c>
      <c r="DW109" t="str">
        <f>+IFERROR(VLOOKUP(DW10,IN_Zugliste!$A$4:$D$2002,4,FALSE),"")</f>
        <v/>
      </c>
      <c r="DX109" t="str">
        <f>+IFERROR(VLOOKUP(DX10,IN_Zugliste!$A$4:$D$2002,4,FALSE),"")</f>
        <v/>
      </c>
      <c r="DY109" t="str">
        <f>+IFERROR(VLOOKUP(DY10,IN_Zugliste!$A$4:$D$2002,4,FALSE),"")</f>
        <v/>
      </c>
      <c r="DZ109" t="str">
        <f>+IFERROR(VLOOKUP(DZ10,IN_Zugliste!$A$4:$D$2002,4,FALSE),"")</f>
        <v/>
      </c>
      <c r="EA109" t="str">
        <f>+IFERROR(VLOOKUP(EA10,IN_Zugliste!$A$4:$D$2002,4,FALSE),"")</f>
        <v/>
      </c>
      <c r="EB109" t="str">
        <f>+IFERROR(VLOOKUP(EB10,IN_Zugliste!$A$4:$D$2002,4,FALSE),"")</f>
        <v/>
      </c>
      <c r="EC109" t="str">
        <f>+IFERROR(VLOOKUP(EC10,IN_Zugliste!$A$4:$D$2002,4,FALSE),"")</f>
        <v/>
      </c>
      <c r="ED109" t="str">
        <f>+IFERROR(VLOOKUP(ED10,IN_Zugliste!$A$4:$D$2002,4,FALSE),"")</f>
        <v/>
      </c>
      <c r="EE109" t="str">
        <f>+IFERROR(VLOOKUP(EE10,IN_Zugliste!$A$4:$D$2002,4,FALSE),"")</f>
        <v/>
      </c>
      <c r="EF109" t="str">
        <f>+IFERROR(VLOOKUP(EF10,IN_Zugliste!$A$4:$D$2002,4,FALSE),"")</f>
        <v/>
      </c>
      <c r="EG109" t="str">
        <f>+IFERROR(VLOOKUP(EG10,IN_Zugliste!$A$4:$D$2002,4,FALSE),"")</f>
        <v/>
      </c>
      <c r="EH109" t="str">
        <f>+IFERROR(VLOOKUP(EH10,IN_Zugliste!$A$4:$D$2002,4,FALSE),"")</f>
        <v/>
      </c>
      <c r="EI109" t="str">
        <f>+IFERROR(VLOOKUP(EI10,IN_Zugliste!$A$4:$D$2002,4,FALSE),"")</f>
        <v/>
      </c>
      <c r="EJ109" t="str">
        <f>+IFERROR(VLOOKUP(EJ10,IN_Zugliste!$A$4:$D$2002,4,FALSE),"")</f>
        <v/>
      </c>
      <c r="EK109" t="str">
        <f>+IFERROR(VLOOKUP(EK10,IN_Zugliste!$A$4:$D$2002,4,FALSE),"")</f>
        <v/>
      </c>
      <c r="EL109" t="str">
        <f>+IFERROR(VLOOKUP(EL10,IN_Zugliste!$A$4:$D$2002,4,FALSE),"")</f>
        <v/>
      </c>
      <c r="EM109" t="str">
        <f>+IFERROR(VLOOKUP(EM10,IN_Zugliste!$A$4:$D$2002,4,FALSE),"")</f>
        <v/>
      </c>
      <c r="EN109" t="str">
        <f>+IFERROR(VLOOKUP(EN10,IN_Zugliste!$A$4:$D$2002,4,FALSE),"")</f>
        <v/>
      </c>
      <c r="EO109" t="str">
        <f>+IFERROR(VLOOKUP(EO10,IN_Zugliste!$A$4:$D$2002,4,FALSE),"")</f>
        <v/>
      </c>
      <c r="EP109" t="str">
        <f>+IFERROR(VLOOKUP(EP10,IN_Zugliste!$A$4:$D$2002,4,FALSE),"")</f>
        <v/>
      </c>
      <c r="EQ109" t="str">
        <f>+IFERROR(VLOOKUP(EQ10,IN_Zugliste!$A$4:$D$2002,4,FALSE),"")</f>
        <v/>
      </c>
      <c r="ER109" t="str">
        <f>+IFERROR(VLOOKUP(ER10,IN_Zugliste!$A$4:$D$2002,4,FALSE),"")</f>
        <v/>
      </c>
      <c r="ES109" t="str">
        <f>+IFERROR(VLOOKUP(ES10,IN_Zugliste!$A$4:$D$2002,4,FALSE),"")</f>
        <v/>
      </c>
      <c r="ET109" t="str">
        <f>+IFERROR(VLOOKUP(ET10,IN_Zugliste!$A$4:$D$2002,4,FALSE),"")</f>
        <v/>
      </c>
      <c r="EU109" t="str">
        <f>+IFERROR(VLOOKUP(EU10,IN_Zugliste!$A$4:$D$2002,4,FALSE),"")</f>
        <v/>
      </c>
      <c r="EV109" t="str">
        <f>+IFERROR(VLOOKUP(EV10,IN_Zugliste!$A$4:$D$2002,4,FALSE),"")</f>
        <v/>
      </c>
      <c r="EW109" t="str">
        <f>+IFERROR(VLOOKUP(EW10,IN_Zugliste!$A$4:$D$2002,4,FALSE),"")</f>
        <v/>
      </c>
      <c r="EX109" t="str">
        <f>+IFERROR(VLOOKUP(EX10,IN_Zugliste!$A$4:$D$2002,4,FALSE),"")</f>
        <v/>
      </c>
      <c r="EY109" t="str">
        <f>+IFERROR(VLOOKUP(EY10,IN_Zugliste!$A$4:$D$2002,4,FALSE),"")</f>
        <v/>
      </c>
      <c r="EZ109" t="str">
        <f>+IFERROR(VLOOKUP(EZ10,IN_Zugliste!$A$4:$D$2002,4,FALSE),"")</f>
        <v/>
      </c>
      <c r="FA109" t="str">
        <f>+IFERROR(VLOOKUP(FA10,IN_Zugliste!$A$4:$D$2002,4,FALSE),"")</f>
        <v/>
      </c>
      <c r="FB109" t="str">
        <f>+IFERROR(VLOOKUP(FB10,IN_Zugliste!$A$4:$D$2002,4,FALSE),"")</f>
        <v/>
      </c>
      <c r="FC109" t="str">
        <f>+IFERROR(VLOOKUP(FC10,IN_Zugliste!$A$4:$D$2002,4,FALSE),"")</f>
        <v/>
      </c>
      <c r="FD109" t="str">
        <f>+IFERROR(VLOOKUP(FD10,IN_Zugliste!$A$4:$D$2002,4,FALSE),"")</f>
        <v/>
      </c>
      <c r="FE109" t="str">
        <f>+IFERROR(VLOOKUP(FE10,IN_Zugliste!$A$4:$D$2002,4,FALSE),"")</f>
        <v/>
      </c>
      <c r="FF109" t="str">
        <f>+IFERROR(VLOOKUP(FF10,IN_Zugliste!$A$4:$D$2002,4,FALSE),"")</f>
        <v/>
      </c>
      <c r="FG109" t="str">
        <f>+IFERROR(VLOOKUP(FG10,IN_Zugliste!$A$4:$D$2002,4,FALSE),"")</f>
        <v/>
      </c>
      <c r="FH109" t="str">
        <f>+IFERROR(VLOOKUP(FH10,IN_Zugliste!$A$4:$D$2002,4,FALSE),"")</f>
        <v/>
      </c>
      <c r="FI109" t="str">
        <f>+IFERROR(VLOOKUP(FI10,IN_Zugliste!$A$4:$D$2002,4,FALSE),"")</f>
        <v/>
      </c>
      <c r="FJ109" t="str">
        <f>+IFERROR(VLOOKUP(FJ10,IN_Zugliste!$A$4:$D$2002,4,FALSE),"")</f>
        <v/>
      </c>
      <c r="FK109" t="str">
        <f>+IFERROR(VLOOKUP(FK10,IN_Zugliste!$A$4:$D$2002,4,FALSE),"")</f>
        <v/>
      </c>
      <c r="FL109" t="str">
        <f>+IFERROR(VLOOKUP(FL10,IN_Zugliste!$A$4:$D$2002,4,FALSE),"")</f>
        <v/>
      </c>
      <c r="FM109" t="str">
        <f>+IFERROR(VLOOKUP(FM10,IN_Zugliste!$A$4:$C$2002,4,FALSE),"")</f>
        <v/>
      </c>
      <c r="FN109" t="str">
        <f>+IFERROR(VLOOKUP(FN10,IN_Zugliste!$A$4:$C$2002,4,FALSE),"")</f>
        <v/>
      </c>
      <c r="FO109" t="str">
        <f>+IFERROR(VLOOKUP(FO10,IN_Zugliste!$A$4:$C$2002,4,FALSE),"")</f>
        <v/>
      </c>
      <c r="FP109" t="str">
        <f>+IFERROR(VLOOKUP(FP10,IN_Zugliste!$A$4:$C$2002,4,FALSE),"")</f>
        <v/>
      </c>
      <c r="FQ109" t="str">
        <f>+IFERROR(VLOOKUP(FQ10,IN_Zugliste!$A$4:$C$2002,4,FALSE),"")</f>
        <v/>
      </c>
      <c r="FR109" t="str">
        <f>+IFERROR(VLOOKUP(FR10,IN_Zugliste!$A$4:$C$2002,4,FALSE),"")</f>
        <v/>
      </c>
      <c r="FS109" t="str">
        <f>+IFERROR(VLOOKUP(FS10,IN_Zugliste!$A$4:$C$2002,4,FALSE),"")</f>
        <v/>
      </c>
      <c r="FT109" t="str">
        <f>+IFERROR(VLOOKUP(FT10,IN_Zugliste!$A$4:$C$2002,4,FALSE),"")</f>
        <v/>
      </c>
      <c r="FU109" t="str">
        <f>+IFERROR(VLOOKUP(FU10,IN_Zugliste!$A$4:$C$2002,4,FALSE),"")</f>
        <v/>
      </c>
      <c r="FV109" t="str">
        <f>+IFERROR(VLOOKUP(FV10,IN_Zugliste!$A$4:$C$2002,4,FALSE),"")</f>
        <v/>
      </c>
      <c r="FW109" t="str">
        <f>+IFERROR(VLOOKUP(FW10,IN_Zugliste!$A$4:$C$2002,4,FALSE),"")</f>
        <v/>
      </c>
      <c r="FX109" t="str">
        <f>+IFERROR(VLOOKUP(FX10,IN_Zugliste!$A$4:$C$2002,4,FALSE),"")</f>
        <v/>
      </c>
      <c r="FY109" t="str">
        <f>+IFERROR(VLOOKUP(FY10,IN_Zugliste!$A$4:$C$2002,4,FALSE),"")</f>
        <v/>
      </c>
      <c r="FZ109" t="str">
        <f>+IFERROR(VLOOKUP(FZ10,IN_Zugliste!$A$4:$C$2002,4,FALSE),"")</f>
        <v/>
      </c>
      <c r="GA109" t="str">
        <f>+IFERROR(VLOOKUP(GA10,IN_Zugliste!$A$4:$C$2002,4,FALSE),"")</f>
        <v/>
      </c>
      <c r="GB109" t="str">
        <f>+IFERROR(VLOOKUP(GB10,IN_Zugliste!$A$4:$C$2002,4,FALSE),"")</f>
        <v/>
      </c>
      <c r="GC109" t="str">
        <f>+IFERROR(VLOOKUP(GC10,IN_Zugliste!$A$4:$C$2002,4,FALSE),"")</f>
        <v/>
      </c>
      <c r="GD109" t="str">
        <f>+IFERROR(VLOOKUP(GD10,IN_Zugliste!$A$4:$C$2002,4,FALSE),"")</f>
        <v/>
      </c>
      <c r="GE109" t="str">
        <f>+IFERROR(VLOOKUP(GE10,IN_Zugliste!$A$4:$C$2002,4,FALSE),"")</f>
        <v/>
      </c>
      <c r="GF109" t="str">
        <f>+IFERROR(VLOOKUP(GF10,IN_Zugliste!$A$4:$C$2002,4,FALSE),"")</f>
        <v/>
      </c>
      <c r="GG109" t="str">
        <f>+IFERROR(VLOOKUP(GG10,IN_Zugliste!$A$4:$C$2002,4,FALSE),"")</f>
        <v/>
      </c>
      <c r="GH109" t="str">
        <f>+IFERROR(VLOOKUP(GH10,IN_Zugliste!$A$4:$C$2002,4,FALSE),"")</f>
        <v/>
      </c>
      <c r="GI109" t="str">
        <f>+IFERROR(VLOOKUP(GI10,IN_Zugliste!$A$4:$C$2002,4,FALSE),"")</f>
        <v/>
      </c>
      <c r="GJ109" t="str">
        <f>+IFERROR(VLOOKUP(GJ10,IN_Zugliste!$A$4:$C$2002,4,FALSE),"")</f>
        <v/>
      </c>
      <c r="GK109" t="str">
        <f>+IFERROR(VLOOKUP(GK10,IN_Zugliste!$A$4:$C$2002,4,FALSE),"")</f>
        <v/>
      </c>
      <c r="GL109" t="str">
        <f>+IFERROR(VLOOKUP(GL10,IN_Zugliste!$A$4:$C$2002,4,FALSE),"")</f>
        <v/>
      </c>
      <c r="GM109" t="str">
        <f>+IFERROR(VLOOKUP(GM10,IN_Zugliste!$A$4:$C$2002,4,FALSE),"")</f>
        <v/>
      </c>
      <c r="GN109" t="str">
        <f>+IFERROR(VLOOKUP(GN10,IN_Zugliste!$A$4:$C$2002,4,FALSE),"")</f>
        <v/>
      </c>
      <c r="GO109" t="str">
        <f>+IFERROR(VLOOKUP(GO10,IN_Zugliste!$A$4:$C$2002,4,FALSE),"")</f>
        <v/>
      </c>
      <c r="GP109" t="str">
        <f>+IFERROR(VLOOKUP(GP10,IN_Zugliste!$A$4:$C$2002,4,FALSE),"")</f>
        <v/>
      </c>
      <c r="GQ109" t="str">
        <f>+IFERROR(VLOOKUP(GQ10,IN_Zugliste!$A$4:$C$2002,4,FALSE),"")</f>
        <v/>
      </c>
      <c r="GR109" t="str">
        <f>+IFERROR(VLOOKUP(GR10,IN_Zugliste!$A$4:$C$2002,4,FALSE),"")</f>
        <v/>
      </c>
      <c r="GS109" t="str">
        <f>+IFERROR(VLOOKUP(GS10,IN_Zugliste!$A$4:$C$2002,4,FALSE),"")</f>
        <v/>
      </c>
      <c r="GT109" t="str">
        <f>+IFERROR(VLOOKUP(GT10,IN_Zugliste!$A$4:$C$2002,4,FALSE),"")</f>
        <v/>
      </c>
      <c r="GU109" t="str">
        <f>+IFERROR(VLOOKUP(GU10,IN_Zugliste!$A$4:$C$2002,4,FALSE),"")</f>
        <v/>
      </c>
      <c r="GV109" t="str">
        <f>+IFERROR(VLOOKUP(GV10,IN_Zugliste!$A$4:$C$2002,4,FALSE),"")</f>
        <v/>
      </c>
      <c r="GW109" t="str">
        <f>+IFERROR(VLOOKUP(GW10,IN_Zugliste!$A$4:$C$2002,4,FALSE),"")</f>
        <v/>
      </c>
      <c r="GX109" t="str">
        <f>+IFERROR(VLOOKUP(GX10,IN_Zugliste!$A$4:$C$2002,4,FALSE),"")</f>
        <v/>
      </c>
      <c r="GY109" t="str">
        <f>+IFERROR(VLOOKUP(GY10,IN_Zugliste!$A$4:$C$2002,4,FALSE),"")</f>
        <v/>
      </c>
      <c r="GZ109" t="str">
        <f>+IFERROR(VLOOKUP(GZ10,IN_Zugliste!$A$4:$C$2002,4,FALSE),"")</f>
        <v/>
      </c>
      <c r="HA109" t="str">
        <f>+IFERROR(VLOOKUP(HA10,IN_Zugliste!$A$4:$C$2002,4,FALSE),"")</f>
        <v/>
      </c>
      <c r="HB109" t="str">
        <f>+IFERROR(VLOOKUP(HB10,IN_Zugliste!$A$4:$C$2002,4,FALSE),"")</f>
        <v/>
      </c>
      <c r="HC109" t="str">
        <f>+IFERROR(VLOOKUP(HC10,IN_Zugliste!$A$4:$C$2002,4,FALSE),"")</f>
        <v/>
      </c>
      <c r="HD109" t="str">
        <f>+IFERROR(VLOOKUP(HD10,IN_Zugliste!$A$4:$C$2002,4,FALSE),"")</f>
        <v/>
      </c>
      <c r="HE109" t="str">
        <f>+IFERROR(VLOOKUP(HE10,IN_Zugliste!$A$4:$C$2002,4,FALSE),"")</f>
        <v/>
      </c>
      <c r="HF109" t="str">
        <f>+IFERROR(VLOOKUP(HF10,IN_Zugliste!$A$4:$C$2002,4,FALSE),"")</f>
        <v/>
      </c>
      <c r="HG109" t="str">
        <f>+IFERROR(VLOOKUP(HG10,IN_Zugliste!$A$4:$C$2002,4,FALSE),"")</f>
        <v/>
      </c>
      <c r="HH109" t="str">
        <f>+IFERROR(VLOOKUP(HH10,IN_Zugliste!$A$4:$C$2002,4,FALSE),"")</f>
        <v/>
      </c>
      <c r="HI109" t="str">
        <f>+IFERROR(VLOOKUP(HI10,IN_Zugliste!$A$4:$C$2002,4,FALSE),"")</f>
        <v/>
      </c>
      <c r="HJ109" t="str">
        <f>+IFERROR(VLOOKUP(HJ10,IN_Zugliste!$A$4:$C$2002,4,FALSE),"")</f>
        <v/>
      </c>
      <c r="HK109" t="str">
        <f>+IFERROR(VLOOKUP(HK10,IN_Zugliste!$A$4:$C$2002,4,FALSE),"")</f>
        <v/>
      </c>
      <c r="HL109" t="str">
        <f>+IFERROR(VLOOKUP(HL10,IN_Zugliste!$A$4:$C$2002,4,FALSE),"")</f>
        <v/>
      </c>
      <c r="HM109" t="str">
        <f>+IFERROR(VLOOKUP(HM10,IN_Zugliste!$A$4:$C$2002,4,FALSE),"")</f>
        <v/>
      </c>
      <c r="HN109" t="str">
        <f>+IFERROR(VLOOKUP(HN10,IN_Zugliste!$A$4:$C$2002,4,FALSE),"")</f>
        <v/>
      </c>
      <c r="HO109" t="str">
        <f>+IFERROR(VLOOKUP(HO10,IN_Zugliste!$A$4:$C$2002,4,FALSE),"")</f>
        <v/>
      </c>
      <c r="HP109" t="str">
        <f>+IFERROR(VLOOKUP(HP10,IN_Zugliste!$A$4:$C$2002,4,FALSE),"")</f>
        <v/>
      </c>
      <c r="HQ109" t="str">
        <f>+IFERROR(VLOOKUP(HQ10,IN_Zugliste!$A$4:$C$2002,4,FALSE),"")</f>
        <v/>
      </c>
      <c r="HR109" t="str">
        <f>+IFERROR(VLOOKUP(HR10,IN_Zugliste!$A$4:$C$2002,4,FALSE),"")</f>
        <v/>
      </c>
      <c r="HS109" t="str">
        <f>+IFERROR(VLOOKUP(HS10,IN_Zugliste!$A$4:$C$2002,4,FALSE),"")</f>
        <v/>
      </c>
      <c r="HT109" t="str">
        <f>+IFERROR(VLOOKUP(HT10,IN_Zugliste!$A$4:$C$2002,4,FALSE),"")</f>
        <v/>
      </c>
      <c r="HU109" t="str">
        <f>+IFERROR(VLOOKUP(HU10,IN_Zugliste!$A$4:$C$2002,4,FALSE),"")</f>
        <v/>
      </c>
      <c r="HV109" t="str">
        <f>+IFERROR(VLOOKUP(HV10,IN_Zugliste!$A$4:$C$2002,4,FALSE),"")</f>
        <v/>
      </c>
      <c r="HW109" t="str">
        <f>+IFERROR(VLOOKUP(HW10,IN_Zugliste!$A$4:$C$2002,4,FALSE),"")</f>
        <v/>
      </c>
      <c r="HX109" t="str">
        <f>+IFERROR(VLOOKUP(HX10,IN_Zugliste!$A$4:$C$2002,4,FALSE),"")</f>
        <v/>
      </c>
      <c r="HY109" t="str">
        <f>+IFERROR(VLOOKUP(HY10,IN_Zugliste!$A$4:$C$2002,4,FALSE),"")</f>
        <v/>
      </c>
      <c r="HZ109" t="str">
        <f>+IFERROR(VLOOKUP(HZ10,IN_Zugliste!$A$4:$C$2002,4,FALSE),"")</f>
        <v/>
      </c>
      <c r="IA109" t="str">
        <f>+IFERROR(VLOOKUP(IA10,IN_Zugliste!$A$4:$C$2002,4,FALSE),"")</f>
        <v/>
      </c>
      <c r="IB109" t="str">
        <f>+IFERROR(VLOOKUP(IB10,IN_Zugliste!$A$4:$C$2002,4,FALSE),"")</f>
        <v/>
      </c>
      <c r="IC109" t="str">
        <f>+IFERROR(VLOOKUP(IC10,IN_Zugliste!$A$4:$C$2002,4,FALSE),"")</f>
        <v/>
      </c>
      <c r="ID109" t="str">
        <f>+IFERROR(VLOOKUP(ID10,IN_Zugliste!$A$4:$C$2002,4,FALSE),"")</f>
        <v/>
      </c>
      <c r="IE109" t="str">
        <f>+IFERROR(VLOOKUP(IE10,IN_Zugliste!$A$4:$C$2002,4,FALSE),"")</f>
        <v/>
      </c>
      <c r="IF109" t="str">
        <f>+IFERROR(VLOOKUP(IF10,IN_Zugliste!$A$4:$C$2002,4,FALSE),"")</f>
        <v/>
      </c>
      <c r="IG109" t="str">
        <f>+IFERROR(VLOOKUP(IG10,IN_Zugliste!$A$4:$C$2002,4,FALSE),"")</f>
        <v/>
      </c>
      <c r="IH109" t="str">
        <f>+IFERROR(VLOOKUP(IH10,IN_Zugliste!$A$4:$C$2002,4,FALSE),"")</f>
        <v/>
      </c>
      <c r="II109" t="str">
        <f>+IFERROR(VLOOKUP(II10,IN_Zugliste!$A$4:$C$2002,4,FALSE),"")</f>
        <v/>
      </c>
      <c r="IJ109" t="str">
        <f>+IFERROR(VLOOKUP(IJ10,IN_Zugliste!$A$4:$C$2002,4,FALSE),"")</f>
        <v/>
      </c>
      <c r="IK109" t="str">
        <f>+IFERROR(VLOOKUP(IK10,IN_Zugliste!$A$4:$C$2002,4,FALSE),"")</f>
        <v/>
      </c>
      <c r="IL109" t="str">
        <f>+IFERROR(VLOOKUP(IL10,IN_Zugliste!$A$4:$C$2002,4,FALSE),"")</f>
        <v/>
      </c>
      <c r="IM109" t="str">
        <f>+IFERROR(VLOOKUP(IM10,IN_Zugliste!$A$4:$C$2002,4,FALSE),"")</f>
        <v/>
      </c>
      <c r="IN109" t="str">
        <f>+IFERROR(VLOOKUP(IN10,IN_Zugliste!$A$4:$C$2002,4,FALSE),"")</f>
        <v/>
      </c>
      <c r="IO109" t="str">
        <f>+IFERROR(VLOOKUP(IO10,IN_Zugliste!$A$4:$C$2002,4,FALSE),"")</f>
        <v/>
      </c>
      <c r="IP109" t="str">
        <f>+IFERROR(VLOOKUP(IP10,IN_Zugliste!$A$4:$C$2002,4,FALSE),"")</f>
        <v/>
      </c>
      <c r="IQ109" t="str">
        <f>+IFERROR(VLOOKUP(IQ10,IN_Zugliste!$A$4:$C$2002,4,FALSE),"")</f>
        <v/>
      </c>
      <c r="IR109" t="str">
        <f>+IFERROR(VLOOKUP(IR10,IN_Zugliste!$A$4:$C$2002,4,FALSE),"")</f>
        <v/>
      </c>
      <c r="IS109" t="str">
        <f>+IFERROR(VLOOKUP(IS10,IN_Zugliste!$A$4:$C$2002,4,FALSE),"")</f>
        <v/>
      </c>
      <c r="IT109" t="str">
        <f>+IFERROR(VLOOKUP(IT10,IN_Zugliste!$A$4:$C$2002,4,FALSE),"")</f>
        <v/>
      </c>
      <c r="IU109" t="str">
        <f>+IFERROR(VLOOKUP(IU10,IN_Zugliste!$A$4:$C$2002,4,FALSE),"")</f>
        <v/>
      </c>
      <c r="IV109" t="str">
        <f>+IFERROR(VLOOKUP(IV10,IN_Zugliste!$A$4:$C$2002,4,FALSE),"")</f>
        <v/>
      </c>
      <c r="IW109" t="str">
        <f>+IFERROR(VLOOKUP(IW10,IN_Zugliste!$A$4:$C$2002,4,FALSE),"")</f>
        <v/>
      </c>
      <c r="IX109" t="str">
        <f>+IFERROR(VLOOKUP(IX10,IN_Zugliste!$A$4:$C$2002,4,FALSE),"")</f>
        <v/>
      </c>
      <c r="IY109" t="str">
        <f>+IFERROR(VLOOKUP(IY10,IN_Zugliste!$A$4:$C$2002,4,FALSE),"")</f>
        <v/>
      </c>
      <c r="IZ109" t="str">
        <f>+IFERROR(VLOOKUP(IZ10,IN_Zugliste!$A$4:$C$2002,4,FALSE),"")</f>
        <v/>
      </c>
      <c r="JA109" t="str">
        <f>+IFERROR(VLOOKUP(JA10,IN_Zugliste!$A$4:$C$2002,4,FALSE),"")</f>
        <v/>
      </c>
      <c r="JB109" t="str">
        <f>+IFERROR(VLOOKUP(JB10,IN_Zugliste!$A$4:$C$2002,4,FALSE),"")</f>
        <v/>
      </c>
      <c r="JC109" t="str">
        <f>+IFERROR(VLOOKUP(JC10,IN_Zugliste!$A$4:$C$2002,4,FALSE),"")</f>
        <v/>
      </c>
      <c r="JD109" t="str">
        <f>+IFERROR(VLOOKUP(JD10,IN_Zugliste!$A$4:$C$2002,4,FALSE),"")</f>
        <v/>
      </c>
      <c r="JE109" t="str">
        <f>+IFERROR(VLOOKUP(JE10,IN_Zugliste!$A$4:$C$2002,4,FALSE),"")</f>
        <v/>
      </c>
      <c r="JF109" t="str">
        <f>+IFERROR(VLOOKUP(JF10,IN_Zugliste!$A$4:$C$2002,4,FALSE),"")</f>
        <v/>
      </c>
      <c r="JG109" t="str">
        <f>+IFERROR(VLOOKUP(JG10,IN_Zugliste!$A$4:$C$2002,4,FALSE),"")</f>
        <v/>
      </c>
      <c r="JH109" t="str">
        <f>+IFERROR(VLOOKUP(JH10,IN_Zugliste!$A$4:$C$2002,4,FALSE),"")</f>
        <v/>
      </c>
      <c r="JI109" t="str">
        <f>+IFERROR(VLOOKUP(JI10,IN_Zugliste!$A$4:$C$2002,4,FALSE),"")</f>
        <v/>
      </c>
      <c r="JJ109" t="str">
        <f>+IFERROR(VLOOKUP(JJ10,IN_Zugliste!$A$4:$C$2002,4,FALSE),"")</f>
        <v/>
      </c>
      <c r="JK109" t="str">
        <f>+IFERROR(VLOOKUP(JK10,IN_Zugliste!$A$4:$C$2002,4,FALSE),"")</f>
        <v/>
      </c>
      <c r="JL109" t="str">
        <f>+IFERROR(VLOOKUP(JL10,IN_Zugliste!$A$4:$C$2002,4,FALSE),"")</f>
        <v/>
      </c>
    </row>
    <row r="110" spans="1:272" x14ac:dyDescent="0.2">
      <c r="A110" t="str">
        <f>+IFERROR(VLOOKUP(A11,IN_Zugliste!$A$4:$D$2002,4,FALSE),"")</f>
        <v>101-3.0</v>
      </c>
      <c r="B110" t="str">
        <f>+IFERROR(VLOOKUP(B11,IN_Zugliste!$A$4:$D$2002,4,FALSE),"")</f>
        <v>101-3.0</v>
      </c>
      <c r="C110" t="str">
        <f>+IFERROR(VLOOKUP(C11,IN_Zugliste!$A$4:$D$2002,4,FALSE),"")</f>
        <v>146-3.2</v>
      </c>
      <c r="D110" t="str">
        <f>+IFERROR(VLOOKUP(D11,IN_Zugliste!$A$4:$D$2002,4,FALSE),"")</f>
        <v>462-1.0</v>
      </c>
      <c r="E110" t="str">
        <f>+IFERROR(VLOOKUP(E11,IN_Zugliste!$A$4:$D$2002,4,FALSE),"")</f>
        <v>462-1.0</v>
      </c>
      <c r="F110" t="str">
        <f>+IFERROR(VLOOKUP(F11,IN_Zugliste!$A$4:$D$2002,4,FALSE),"")</f>
        <v>146-3.2</v>
      </c>
      <c r="G110" t="str">
        <f>+IFERROR(VLOOKUP(G11,IN_Zugliste!$A$4:$D$2002,4,FALSE),"")</f>
        <v/>
      </c>
      <c r="H110" t="str">
        <f>+IFERROR(VLOOKUP(H11,IN_Zugliste!$A$4:$D$2002,4,FALSE),"")</f>
        <v/>
      </c>
      <c r="I110" t="str">
        <f>+IFERROR(VLOOKUP(I11,IN_Zugliste!$A$4:$D$2002,4,FALSE),"")</f>
        <v/>
      </c>
      <c r="J110" t="str">
        <f>+IFERROR(VLOOKUP(J11,IN_Zugliste!$A$4:$D$2002,4,FALSE),"")</f>
        <v/>
      </c>
      <c r="K110" t="str">
        <f>+IFERROR(VLOOKUP(K11,IN_Zugliste!$A$4:$D$2002,4,FALSE),"")</f>
        <v/>
      </c>
      <c r="L110" t="str">
        <f>+IFERROR(VLOOKUP(L11,IN_Zugliste!$A$4:$D$2002,4,FALSE),"")</f>
        <v/>
      </c>
      <c r="M110" t="str">
        <f>+IFERROR(VLOOKUP(M11,IN_Zugliste!$A$4:$D$2002,4,FALSE),"")</f>
        <v/>
      </c>
      <c r="N110" t="str">
        <f>+IFERROR(VLOOKUP(N11,IN_Zugliste!$A$4:$D$2002,4,FALSE),"")</f>
        <v/>
      </c>
      <c r="O110" t="str">
        <f>+IFERROR(VLOOKUP(O11,IN_Zugliste!$A$4:$D$2002,4,FALSE),"")</f>
        <v/>
      </c>
      <c r="P110" t="str">
        <f>+IFERROR(VLOOKUP(P11,IN_Zugliste!$A$4:$D$2002,4,FALSE),"")</f>
        <v/>
      </c>
      <c r="Q110" t="str">
        <f>+IFERROR(VLOOKUP(Q11,IN_Zugliste!$A$4:$D$2002,4,FALSE),"")</f>
        <v/>
      </c>
      <c r="R110" t="str">
        <f>+IFERROR(VLOOKUP(R11,IN_Zugliste!$A$4:$D$2002,4,FALSE),"")</f>
        <v/>
      </c>
      <c r="S110" t="str">
        <f>+IFERROR(VLOOKUP(S11,IN_Zugliste!$A$4:$D$2002,4,FALSE),"")</f>
        <v/>
      </c>
      <c r="T110" t="str">
        <f>+IFERROR(VLOOKUP(T11,IN_Zugliste!$A$4:$D$2002,4,FALSE),"")</f>
        <v/>
      </c>
      <c r="U110" t="str">
        <f>+IFERROR(VLOOKUP(U11,IN_Zugliste!$A$4:$D$2002,4,FALSE),"")</f>
        <v/>
      </c>
      <c r="V110" t="str">
        <f>+IFERROR(VLOOKUP(V11,IN_Zugliste!$A$4:$D$2002,4,FALSE),"")</f>
        <v/>
      </c>
      <c r="W110" t="str">
        <f>+IFERROR(VLOOKUP(W11,IN_Zugliste!$A$4:$D$2002,4,FALSE),"")</f>
        <v/>
      </c>
      <c r="X110" t="str">
        <f>+IFERROR(VLOOKUP(X11,IN_Zugliste!$A$4:$D$2002,4,FALSE),"")</f>
        <v/>
      </c>
      <c r="Y110" t="str">
        <f>+IFERROR(VLOOKUP(Y11,IN_Zugliste!$A$4:$D$2002,4,FALSE),"")</f>
        <v/>
      </c>
      <c r="Z110" t="str">
        <f>+IFERROR(VLOOKUP(Z11,IN_Zugliste!$A$4:$D$2002,4,FALSE),"")</f>
        <v/>
      </c>
      <c r="AA110" t="str">
        <f>+IFERROR(VLOOKUP(AA11,IN_Zugliste!$A$4:$D$2002,4,FALSE),"")</f>
        <v/>
      </c>
      <c r="AB110" t="str">
        <f>+IFERROR(VLOOKUP(AB11,IN_Zugliste!$A$4:$D$2002,4,FALSE),"")</f>
        <v/>
      </c>
      <c r="AC110" t="str">
        <f>+IFERROR(VLOOKUP(AC11,IN_Zugliste!$A$4:$D$2002,4,FALSE),"")</f>
        <v/>
      </c>
      <c r="AD110" t="str">
        <f>+IFERROR(VLOOKUP(AD11,IN_Zugliste!$A$4:$D$2002,4,FALSE),"")</f>
        <v/>
      </c>
      <c r="AE110" t="str">
        <f>+IFERROR(VLOOKUP(AE11,IN_Zugliste!$A$4:$D$2002,4,FALSE),"")</f>
        <v/>
      </c>
      <c r="AF110" t="str">
        <f>+IFERROR(VLOOKUP(AF11,IN_Zugliste!$A$4:$D$2002,4,FALSE),"")</f>
        <v/>
      </c>
      <c r="AG110" t="str">
        <f>+IFERROR(VLOOKUP(AG11,IN_Zugliste!$A$4:$D$2002,4,FALSE),"")</f>
        <v/>
      </c>
      <c r="AH110" t="str">
        <f>+IFERROR(VLOOKUP(AH11,IN_Zugliste!$A$4:$D$2002,4,FALSE),"")</f>
        <v/>
      </c>
      <c r="AI110" t="str">
        <f>+IFERROR(VLOOKUP(AI11,IN_Zugliste!$A$4:$D$2002,4,FALSE),"")</f>
        <v/>
      </c>
      <c r="AJ110" t="str">
        <f>+IFERROR(VLOOKUP(AJ11,IN_Zugliste!$A$4:$D$2002,4,FALSE),"")</f>
        <v/>
      </c>
      <c r="AK110" t="str">
        <f>+IFERROR(VLOOKUP(AK11,IN_Zugliste!$A$4:$D$2002,4,FALSE),"")</f>
        <v/>
      </c>
      <c r="AL110" t="str">
        <f>+IFERROR(VLOOKUP(AL11,IN_Zugliste!$A$4:$D$2002,4,FALSE),"")</f>
        <v/>
      </c>
      <c r="AM110" t="str">
        <f>+IFERROR(VLOOKUP(AM11,IN_Zugliste!$A$4:$D$2002,4,FALSE),"")</f>
        <v/>
      </c>
      <c r="AN110" t="str">
        <f>+IFERROR(VLOOKUP(AN11,IN_Zugliste!$A$4:$D$2002,4,FALSE),"")</f>
        <v/>
      </c>
      <c r="AO110" t="str">
        <f>+IFERROR(VLOOKUP(AO11,IN_Zugliste!$A$4:$D$2002,4,FALSE),"")</f>
        <v/>
      </c>
      <c r="AP110" t="str">
        <f>+IFERROR(VLOOKUP(AP11,IN_Zugliste!$A$4:$D$2002,4,FALSE),"")</f>
        <v/>
      </c>
      <c r="AQ110" t="str">
        <f>+IFERROR(VLOOKUP(AQ11,IN_Zugliste!$A$4:$D$2002,4,FALSE),"")</f>
        <v/>
      </c>
      <c r="AR110" t="str">
        <f>+IFERROR(VLOOKUP(AR11,IN_Zugliste!$A$4:$D$2002,4,FALSE),"")</f>
        <v/>
      </c>
      <c r="AS110" t="str">
        <f>+IFERROR(VLOOKUP(AS11,IN_Zugliste!$A$4:$D$2002,4,FALSE),"")</f>
        <v/>
      </c>
      <c r="AT110" t="str">
        <f>+IFERROR(VLOOKUP(AT11,IN_Zugliste!$A$4:$D$2002,4,FALSE),"")</f>
        <v/>
      </c>
      <c r="AU110" t="str">
        <f>+IFERROR(VLOOKUP(AU11,IN_Zugliste!$A$4:$D$2002,4,FALSE),"")</f>
        <v/>
      </c>
      <c r="AV110" t="str">
        <f>+IFERROR(VLOOKUP(AV11,IN_Zugliste!$A$4:$D$2002,4,FALSE),"")</f>
        <v/>
      </c>
      <c r="AW110" t="str">
        <f>+IFERROR(VLOOKUP(AW11,IN_Zugliste!$A$4:$D$2002,4,FALSE),"")</f>
        <v/>
      </c>
      <c r="AX110" t="str">
        <f>+IFERROR(VLOOKUP(AX11,IN_Zugliste!$A$4:$D$2002,4,FALSE),"")</f>
        <v/>
      </c>
      <c r="AY110" t="str">
        <f>+IFERROR(VLOOKUP(AY11,IN_Zugliste!$A$4:$D$2002,4,FALSE),"")</f>
        <v/>
      </c>
      <c r="AZ110" t="str">
        <f>+IFERROR(VLOOKUP(AZ11,IN_Zugliste!$A$4:$D$2002,4,FALSE),"")</f>
        <v/>
      </c>
      <c r="BA110" t="str">
        <f>+IFERROR(VLOOKUP(BA11,IN_Zugliste!$A$4:$D$2002,4,FALSE),"")</f>
        <v/>
      </c>
      <c r="BB110" t="str">
        <f>+IFERROR(VLOOKUP(BB11,IN_Zugliste!$A$4:$D$2002,4,FALSE),"")</f>
        <v/>
      </c>
      <c r="BC110" t="str">
        <f>+IFERROR(VLOOKUP(BC11,IN_Zugliste!$A$4:$D$2002,4,FALSE),"")</f>
        <v/>
      </c>
      <c r="BD110" t="str">
        <f>+IFERROR(VLOOKUP(BD11,IN_Zugliste!$A$4:$D$2002,4,FALSE),"")</f>
        <v/>
      </c>
      <c r="BE110" t="str">
        <f>+IFERROR(VLOOKUP(BE11,IN_Zugliste!$A$4:$D$2002,4,FALSE),"")</f>
        <v/>
      </c>
      <c r="BF110" t="str">
        <f>+IFERROR(VLOOKUP(BF11,IN_Zugliste!$A$4:$D$2002,4,FALSE),"")</f>
        <v/>
      </c>
      <c r="BG110" t="str">
        <f>+IFERROR(VLOOKUP(BG11,IN_Zugliste!$A$4:$D$2002,4,FALSE),"")</f>
        <v/>
      </c>
      <c r="BH110" t="str">
        <f>+IFERROR(VLOOKUP(BH11,IN_Zugliste!$A$4:$D$2002,4,FALSE),"")</f>
        <v/>
      </c>
      <c r="BI110" t="str">
        <f>+IFERROR(VLOOKUP(BI11,IN_Zugliste!$A$4:$D$2002,4,FALSE),"")</f>
        <v/>
      </c>
      <c r="BJ110" t="str">
        <f>+IFERROR(VLOOKUP(BJ11,IN_Zugliste!$A$4:$D$2002,4,FALSE),"")</f>
        <v/>
      </c>
      <c r="BK110" t="str">
        <f>+IFERROR(VLOOKUP(BK11,IN_Zugliste!$A$4:$D$2002,4,FALSE),"")</f>
        <v/>
      </c>
      <c r="BL110" t="str">
        <f>+IFERROR(VLOOKUP(BL11,IN_Zugliste!$A$4:$D$2002,4,FALSE),"")</f>
        <v/>
      </c>
      <c r="BM110" t="str">
        <f>+IFERROR(VLOOKUP(BM11,IN_Zugliste!$A$4:$D$2002,4,FALSE),"")</f>
        <v/>
      </c>
      <c r="BN110" t="str">
        <f>+IFERROR(VLOOKUP(BN11,IN_Zugliste!$A$4:$D$2002,4,FALSE),"")</f>
        <v/>
      </c>
      <c r="BO110" t="str">
        <f>+IFERROR(VLOOKUP(BO11,IN_Zugliste!$A$4:$D$2002,4,FALSE),"")</f>
        <v/>
      </c>
      <c r="BP110" t="str">
        <f>+IFERROR(VLOOKUP(BP11,IN_Zugliste!$A$4:$D$2002,4,FALSE),"")</f>
        <v/>
      </c>
      <c r="BQ110" t="str">
        <f>+IFERROR(VLOOKUP(BQ11,IN_Zugliste!$A$4:$D$2002,4,FALSE),"")</f>
        <v/>
      </c>
      <c r="BR110" t="str">
        <f>+IFERROR(VLOOKUP(BR11,IN_Zugliste!$A$4:$D$2002,4,FALSE),"")</f>
        <v/>
      </c>
      <c r="BS110" t="str">
        <f>+IFERROR(VLOOKUP(BS11,IN_Zugliste!$A$4:$D$2002,4,FALSE),"")</f>
        <v/>
      </c>
      <c r="BT110" t="str">
        <f>+IFERROR(VLOOKUP(BT11,IN_Zugliste!$A$4:$D$2002,4,FALSE),"")</f>
        <v/>
      </c>
      <c r="BU110" t="str">
        <f>+IFERROR(VLOOKUP(BU11,IN_Zugliste!$A$4:$D$2002,4,FALSE),"")</f>
        <v/>
      </c>
      <c r="BV110" t="str">
        <f>+IFERROR(VLOOKUP(BV11,IN_Zugliste!$A$4:$D$2002,4,FALSE),"")</f>
        <v/>
      </c>
      <c r="BW110" t="str">
        <f>+IFERROR(VLOOKUP(BW11,IN_Zugliste!$A$4:$D$2002,4,FALSE),"")</f>
        <v/>
      </c>
      <c r="BX110" t="str">
        <f>+IFERROR(VLOOKUP(BX11,IN_Zugliste!$A$4:$D$2002,4,FALSE),"")</f>
        <v/>
      </c>
      <c r="BY110" t="str">
        <f>+IFERROR(VLOOKUP(BY11,IN_Zugliste!$A$4:$D$2002,4,FALSE),"")</f>
        <v/>
      </c>
      <c r="BZ110" t="str">
        <f>+IFERROR(VLOOKUP(BZ11,IN_Zugliste!$A$4:$D$2002,4,FALSE),"")</f>
        <v/>
      </c>
      <c r="CA110" t="str">
        <f>+IFERROR(VLOOKUP(CA11,IN_Zugliste!$A$4:$D$2002,4,FALSE),"")</f>
        <v/>
      </c>
      <c r="CB110" t="str">
        <f>+IFERROR(VLOOKUP(CB11,IN_Zugliste!$A$4:$D$2002,4,FALSE),"")</f>
        <v/>
      </c>
      <c r="CC110" t="str">
        <f>+IFERROR(VLOOKUP(CC11,IN_Zugliste!$A$4:$D$2002,4,FALSE),"")</f>
        <v/>
      </c>
      <c r="CD110" t="str">
        <f>+IFERROR(VLOOKUP(CD11,IN_Zugliste!$A$4:$D$2002,4,FALSE),"")</f>
        <v/>
      </c>
      <c r="CE110" t="str">
        <f>+IFERROR(VLOOKUP(CE11,IN_Zugliste!$A$4:$D$2002,4,FALSE),"")</f>
        <v/>
      </c>
      <c r="CF110" t="str">
        <f>+IFERROR(VLOOKUP(CF11,IN_Zugliste!$A$4:$D$2002,4,FALSE),"")</f>
        <v/>
      </c>
      <c r="CG110" t="str">
        <f>+IFERROR(VLOOKUP(CG11,IN_Zugliste!$A$4:$D$2002,4,FALSE),"")</f>
        <v/>
      </c>
      <c r="CH110" t="str">
        <f>+IFERROR(VLOOKUP(CH11,IN_Zugliste!$A$4:$D$2002,4,FALSE),"")</f>
        <v/>
      </c>
      <c r="CI110" t="str">
        <f>+IFERROR(VLOOKUP(CI11,IN_Zugliste!$A$4:$D$2002,4,FALSE),"")</f>
        <v/>
      </c>
      <c r="CJ110" t="str">
        <f>+IFERROR(VLOOKUP(CJ11,IN_Zugliste!$A$4:$D$2002,4,FALSE),"")</f>
        <v/>
      </c>
      <c r="CK110" t="str">
        <f>+IFERROR(VLOOKUP(CK11,IN_Zugliste!$A$4:$D$2002,4,FALSE),"")</f>
        <v/>
      </c>
      <c r="CL110" t="str">
        <f>+IFERROR(VLOOKUP(CL11,IN_Zugliste!$A$4:$D$2002,4,FALSE),"")</f>
        <v/>
      </c>
      <c r="CM110" t="str">
        <f>+IFERROR(VLOOKUP(CM11,IN_Zugliste!$A$4:$D$2002,4,FALSE),"")</f>
        <v/>
      </c>
      <c r="CN110" t="str">
        <f>+IFERROR(VLOOKUP(CN11,IN_Zugliste!$A$4:$D$2002,4,FALSE),"")</f>
        <v/>
      </c>
      <c r="CO110" t="str">
        <f>+IFERROR(VLOOKUP(CO11,IN_Zugliste!$A$4:$D$2002,4,FALSE),"")</f>
        <v/>
      </c>
      <c r="CP110" t="str">
        <f>+IFERROR(VLOOKUP(CP11,IN_Zugliste!$A$4:$D$2002,4,FALSE),"")</f>
        <v/>
      </c>
      <c r="CQ110" t="str">
        <f>+IFERROR(VLOOKUP(CQ11,IN_Zugliste!$A$4:$D$2002,4,FALSE),"")</f>
        <v/>
      </c>
      <c r="CR110" t="str">
        <f>+IFERROR(VLOOKUP(CR11,IN_Zugliste!$A$4:$D$2002,4,FALSE),"")</f>
        <v/>
      </c>
      <c r="CS110" t="str">
        <f>+IFERROR(VLOOKUP(CS11,IN_Zugliste!$A$4:$D$2002,4,FALSE),"")</f>
        <v/>
      </c>
      <c r="CT110" t="str">
        <f>+IFERROR(VLOOKUP(CT11,IN_Zugliste!$A$4:$D$2002,4,FALSE),"")</f>
        <v/>
      </c>
      <c r="CU110" t="str">
        <f>+IFERROR(VLOOKUP(CU11,IN_Zugliste!$A$4:$D$2002,4,FALSE),"")</f>
        <v/>
      </c>
      <c r="CV110" t="str">
        <f>+IFERROR(VLOOKUP(CV11,IN_Zugliste!$A$4:$D$2002,4,FALSE),"")</f>
        <v/>
      </c>
      <c r="CW110" t="str">
        <f>+IFERROR(VLOOKUP(CW11,IN_Zugliste!$A$4:$D$2002,4,FALSE),"")</f>
        <v/>
      </c>
      <c r="CX110" t="str">
        <f>+IFERROR(VLOOKUP(CX11,IN_Zugliste!$A$4:$D$2002,4,FALSE),"")</f>
        <v/>
      </c>
      <c r="CY110" t="str">
        <f>+IFERROR(VLOOKUP(CY11,IN_Zugliste!$A$4:$D$2002,4,FALSE),"")</f>
        <v/>
      </c>
      <c r="CZ110" t="str">
        <f>+IFERROR(VLOOKUP(CZ11,IN_Zugliste!$A$4:$D$2002,4,FALSE),"")</f>
        <v/>
      </c>
      <c r="DA110" t="str">
        <f>+IFERROR(VLOOKUP(DA11,IN_Zugliste!$A$4:$D$2002,4,FALSE),"")</f>
        <v/>
      </c>
      <c r="DB110" t="str">
        <f>+IFERROR(VLOOKUP(DB11,IN_Zugliste!$A$4:$D$2002,4,FALSE),"")</f>
        <v/>
      </c>
      <c r="DC110" t="str">
        <f>+IFERROR(VLOOKUP(DC11,IN_Zugliste!$A$4:$D$2002,4,FALSE),"")</f>
        <v/>
      </c>
      <c r="DD110" t="str">
        <f>+IFERROR(VLOOKUP(DD11,IN_Zugliste!$A$4:$D$2002,4,FALSE),"")</f>
        <v/>
      </c>
      <c r="DE110" t="str">
        <f>+IFERROR(VLOOKUP(DE11,IN_Zugliste!$A$4:$D$2002,4,FALSE),"")</f>
        <v/>
      </c>
      <c r="DF110" t="str">
        <f>+IFERROR(VLOOKUP(DF11,IN_Zugliste!$A$4:$D$2002,4,FALSE),"")</f>
        <v/>
      </c>
      <c r="DG110" t="str">
        <f>+IFERROR(VLOOKUP(DG11,IN_Zugliste!$A$4:$D$2002,4,FALSE),"")</f>
        <v/>
      </c>
      <c r="DH110" t="str">
        <f>+IFERROR(VLOOKUP(DH11,IN_Zugliste!$A$4:$D$2002,4,FALSE),"")</f>
        <v/>
      </c>
      <c r="DI110" t="str">
        <f>+IFERROR(VLOOKUP(DI11,IN_Zugliste!$A$4:$D$2002,4,FALSE),"")</f>
        <v/>
      </c>
      <c r="DJ110" t="str">
        <f>+IFERROR(VLOOKUP(DJ11,IN_Zugliste!$A$4:$D$2002,4,FALSE),"")</f>
        <v/>
      </c>
      <c r="DK110" t="str">
        <f>+IFERROR(VLOOKUP(DK11,IN_Zugliste!$A$4:$D$2002,4,FALSE),"")</f>
        <v/>
      </c>
      <c r="DL110" t="str">
        <f>+IFERROR(VLOOKUP(DL11,IN_Zugliste!$A$4:$D$2002,4,FALSE),"")</f>
        <v/>
      </c>
      <c r="DM110" t="str">
        <f>+IFERROR(VLOOKUP(DM11,IN_Zugliste!$A$4:$D$2002,4,FALSE),"")</f>
        <v/>
      </c>
      <c r="DN110" t="str">
        <f>+IFERROR(VLOOKUP(DN11,IN_Zugliste!$A$4:$D$2002,4,FALSE),"")</f>
        <v/>
      </c>
      <c r="DO110" t="str">
        <f>+IFERROR(VLOOKUP(DO11,IN_Zugliste!$A$4:$D$2002,4,FALSE),"")</f>
        <v/>
      </c>
      <c r="DP110" t="str">
        <f>+IFERROR(VLOOKUP(DP11,IN_Zugliste!$A$4:$D$2002,4,FALSE),"")</f>
        <v/>
      </c>
      <c r="DQ110" t="str">
        <f>+IFERROR(VLOOKUP(DQ11,IN_Zugliste!$A$4:$D$2002,4,FALSE),"")</f>
        <v/>
      </c>
      <c r="DR110" t="str">
        <f>+IFERROR(VLOOKUP(DR11,IN_Zugliste!$A$4:$D$2002,4,FALSE),"")</f>
        <v/>
      </c>
      <c r="DS110" t="str">
        <f>+IFERROR(VLOOKUP(DS11,IN_Zugliste!$A$4:$D$2002,4,FALSE),"")</f>
        <v/>
      </c>
      <c r="DT110" t="str">
        <f>+IFERROR(VLOOKUP(DT11,IN_Zugliste!$A$4:$D$2002,4,FALSE),"")</f>
        <v/>
      </c>
      <c r="DU110" t="str">
        <f>+IFERROR(VLOOKUP(DU11,IN_Zugliste!$A$4:$D$2002,4,FALSE),"")</f>
        <v/>
      </c>
      <c r="DV110" t="str">
        <f>+IFERROR(VLOOKUP(DV11,IN_Zugliste!$A$4:$D$2002,4,FALSE),"")</f>
        <v/>
      </c>
      <c r="DW110" t="str">
        <f>+IFERROR(VLOOKUP(DW11,IN_Zugliste!$A$4:$D$2002,4,FALSE),"")</f>
        <v/>
      </c>
      <c r="DX110" t="str">
        <f>+IFERROR(VLOOKUP(DX11,IN_Zugliste!$A$4:$D$2002,4,FALSE),"")</f>
        <v/>
      </c>
      <c r="DY110" t="str">
        <f>+IFERROR(VLOOKUP(DY11,IN_Zugliste!$A$4:$D$2002,4,FALSE),"")</f>
        <v/>
      </c>
      <c r="DZ110" t="str">
        <f>+IFERROR(VLOOKUP(DZ11,IN_Zugliste!$A$4:$D$2002,4,FALSE),"")</f>
        <v/>
      </c>
      <c r="EA110" t="str">
        <f>+IFERROR(VLOOKUP(EA11,IN_Zugliste!$A$4:$D$2002,4,FALSE),"")</f>
        <v/>
      </c>
      <c r="EB110" t="str">
        <f>+IFERROR(VLOOKUP(EB11,IN_Zugliste!$A$4:$D$2002,4,FALSE),"")</f>
        <v/>
      </c>
      <c r="EC110" t="str">
        <f>+IFERROR(VLOOKUP(EC11,IN_Zugliste!$A$4:$D$2002,4,FALSE),"")</f>
        <v/>
      </c>
      <c r="ED110" t="str">
        <f>+IFERROR(VLOOKUP(ED11,IN_Zugliste!$A$4:$D$2002,4,FALSE),"")</f>
        <v/>
      </c>
      <c r="EE110" t="str">
        <f>+IFERROR(VLOOKUP(EE11,IN_Zugliste!$A$4:$D$2002,4,FALSE),"")</f>
        <v/>
      </c>
      <c r="EF110" t="str">
        <f>+IFERROR(VLOOKUP(EF11,IN_Zugliste!$A$4:$D$2002,4,FALSE),"")</f>
        <v/>
      </c>
      <c r="EG110" t="str">
        <f>+IFERROR(VLOOKUP(EG11,IN_Zugliste!$A$4:$D$2002,4,FALSE),"")</f>
        <v/>
      </c>
      <c r="EH110" t="str">
        <f>+IFERROR(VLOOKUP(EH11,IN_Zugliste!$A$4:$D$2002,4,FALSE),"")</f>
        <v/>
      </c>
      <c r="EI110" t="str">
        <f>+IFERROR(VLOOKUP(EI11,IN_Zugliste!$A$4:$D$2002,4,FALSE),"")</f>
        <v/>
      </c>
      <c r="EJ110" t="str">
        <f>+IFERROR(VLOOKUP(EJ11,IN_Zugliste!$A$4:$D$2002,4,FALSE),"")</f>
        <v/>
      </c>
      <c r="EK110" t="str">
        <f>+IFERROR(VLOOKUP(EK11,IN_Zugliste!$A$4:$D$2002,4,FALSE),"")</f>
        <v/>
      </c>
      <c r="EL110" t="str">
        <f>+IFERROR(VLOOKUP(EL11,IN_Zugliste!$A$4:$D$2002,4,FALSE),"")</f>
        <v/>
      </c>
      <c r="EM110" t="str">
        <f>+IFERROR(VLOOKUP(EM11,IN_Zugliste!$A$4:$D$2002,4,FALSE),"")</f>
        <v/>
      </c>
      <c r="EN110" t="str">
        <f>+IFERROR(VLOOKUP(EN11,IN_Zugliste!$A$4:$D$2002,4,FALSE),"")</f>
        <v/>
      </c>
      <c r="EO110" t="str">
        <f>+IFERROR(VLOOKUP(EO11,IN_Zugliste!$A$4:$D$2002,4,FALSE),"")</f>
        <v/>
      </c>
      <c r="EP110" t="str">
        <f>+IFERROR(VLOOKUP(EP11,IN_Zugliste!$A$4:$D$2002,4,FALSE),"")</f>
        <v/>
      </c>
      <c r="EQ110" t="str">
        <f>+IFERROR(VLOOKUP(EQ11,IN_Zugliste!$A$4:$D$2002,4,FALSE),"")</f>
        <v/>
      </c>
      <c r="ER110" t="str">
        <f>+IFERROR(VLOOKUP(ER11,IN_Zugliste!$A$4:$D$2002,4,FALSE),"")</f>
        <v/>
      </c>
      <c r="ES110" t="str">
        <f>+IFERROR(VLOOKUP(ES11,IN_Zugliste!$A$4:$D$2002,4,FALSE),"")</f>
        <v/>
      </c>
      <c r="ET110" t="str">
        <f>+IFERROR(VLOOKUP(ET11,IN_Zugliste!$A$4:$D$2002,4,FALSE),"")</f>
        <v/>
      </c>
      <c r="EU110" t="str">
        <f>+IFERROR(VLOOKUP(EU11,IN_Zugliste!$A$4:$D$2002,4,FALSE),"")</f>
        <v/>
      </c>
      <c r="EV110" t="str">
        <f>+IFERROR(VLOOKUP(EV11,IN_Zugliste!$A$4:$D$2002,4,FALSE),"")</f>
        <v/>
      </c>
      <c r="EW110" t="str">
        <f>+IFERROR(VLOOKUP(EW11,IN_Zugliste!$A$4:$D$2002,4,FALSE),"")</f>
        <v/>
      </c>
      <c r="EX110" t="str">
        <f>+IFERROR(VLOOKUP(EX11,IN_Zugliste!$A$4:$D$2002,4,FALSE),"")</f>
        <v/>
      </c>
      <c r="EY110" t="str">
        <f>+IFERROR(VLOOKUP(EY11,IN_Zugliste!$A$4:$D$2002,4,FALSE),"")</f>
        <v/>
      </c>
      <c r="EZ110" t="str">
        <f>+IFERROR(VLOOKUP(EZ11,IN_Zugliste!$A$4:$D$2002,4,FALSE),"")</f>
        <v/>
      </c>
      <c r="FA110" t="str">
        <f>+IFERROR(VLOOKUP(FA11,IN_Zugliste!$A$4:$D$2002,4,FALSE),"")</f>
        <v/>
      </c>
      <c r="FB110" t="str">
        <f>+IFERROR(VLOOKUP(FB11,IN_Zugliste!$A$4:$D$2002,4,FALSE),"")</f>
        <v/>
      </c>
      <c r="FC110" t="str">
        <f>+IFERROR(VLOOKUP(FC11,IN_Zugliste!$A$4:$D$2002,4,FALSE),"")</f>
        <v/>
      </c>
      <c r="FD110" t="str">
        <f>+IFERROR(VLOOKUP(FD11,IN_Zugliste!$A$4:$D$2002,4,FALSE),"")</f>
        <v/>
      </c>
      <c r="FE110" t="str">
        <f>+IFERROR(VLOOKUP(FE11,IN_Zugliste!$A$4:$D$2002,4,FALSE),"")</f>
        <v/>
      </c>
      <c r="FF110" t="str">
        <f>+IFERROR(VLOOKUP(FF11,IN_Zugliste!$A$4:$D$2002,4,FALSE),"")</f>
        <v/>
      </c>
      <c r="FG110" t="str">
        <f>+IFERROR(VLOOKUP(FG11,IN_Zugliste!$A$4:$D$2002,4,FALSE),"")</f>
        <v/>
      </c>
      <c r="FH110" t="str">
        <f>+IFERROR(VLOOKUP(FH11,IN_Zugliste!$A$4:$D$2002,4,FALSE),"")</f>
        <v/>
      </c>
      <c r="FI110" t="str">
        <f>+IFERROR(VLOOKUP(FI11,IN_Zugliste!$A$4:$D$2002,4,FALSE),"")</f>
        <v/>
      </c>
      <c r="FJ110" t="str">
        <f>+IFERROR(VLOOKUP(FJ11,IN_Zugliste!$A$4:$D$2002,4,FALSE),"")</f>
        <v/>
      </c>
      <c r="FK110" t="str">
        <f>+IFERROR(VLOOKUP(FK11,IN_Zugliste!$A$4:$D$2002,4,FALSE),"")</f>
        <v/>
      </c>
      <c r="FL110" t="str">
        <f>+IFERROR(VLOOKUP(FL11,IN_Zugliste!$A$4:$D$2002,4,FALSE),"")</f>
        <v/>
      </c>
      <c r="FM110" t="str">
        <f>+IFERROR(VLOOKUP(FM11,IN_Zugliste!$A$4:$C$2002,4,FALSE),"")</f>
        <v/>
      </c>
      <c r="FN110" t="str">
        <f>+IFERROR(VLOOKUP(FN11,IN_Zugliste!$A$4:$C$2002,4,FALSE),"")</f>
        <v/>
      </c>
      <c r="FO110" t="str">
        <f>+IFERROR(VLOOKUP(FO11,IN_Zugliste!$A$4:$C$2002,4,FALSE),"")</f>
        <v/>
      </c>
      <c r="FP110" t="str">
        <f>+IFERROR(VLOOKUP(FP11,IN_Zugliste!$A$4:$C$2002,4,FALSE),"")</f>
        <v/>
      </c>
      <c r="FQ110" t="str">
        <f>+IFERROR(VLOOKUP(FQ11,IN_Zugliste!$A$4:$C$2002,4,FALSE),"")</f>
        <v/>
      </c>
      <c r="FR110" t="str">
        <f>+IFERROR(VLOOKUP(FR11,IN_Zugliste!$A$4:$C$2002,4,FALSE),"")</f>
        <v/>
      </c>
      <c r="FS110" t="str">
        <f>+IFERROR(VLOOKUP(FS11,IN_Zugliste!$A$4:$C$2002,4,FALSE),"")</f>
        <v/>
      </c>
      <c r="FT110" t="str">
        <f>+IFERROR(VLOOKUP(FT11,IN_Zugliste!$A$4:$C$2002,4,FALSE),"")</f>
        <v/>
      </c>
      <c r="FU110" t="str">
        <f>+IFERROR(VLOOKUP(FU11,IN_Zugliste!$A$4:$C$2002,4,FALSE),"")</f>
        <v/>
      </c>
      <c r="FV110" t="str">
        <f>+IFERROR(VLOOKUP(FV11,IN_Zugliste!$A$4:$C$2002,4,FALSE),"")</f>
        <v/>
      </c>
      <c r="FW110" t="str">
        <f>+IFERROR(VLOOKUP(FW11,IN_Zugliste!$A$4:$C$2002,4,FALSE),"")</f>
        <v/>
      </c>
      <c r="FX110" t="str">
        <f>+IFERROR(VLOOKUP(FX11,IN_Zugliste!$A$4:$C$2002,4,FALSE),"")</f>
        <v/>
      </c>
      <c r="FY110" t="str">
        <f>+IFERROR(VLOOKUP(FY11,IN_Zugliste!$A$4:$C$2002,4,FALSE),"")</f>
        <v/>
      </c>
      <c r="FZ110" t="str">
        <f>+IFERROR(VLOOKUP(FZ11,IN_Zugliste!$A$4:$C$2002,4,FALSE),"")</f>
        <v/>
      </c>
      <c r="GA110" t="str">
        <f>+IFERROR(VLOOKUP(GA11,IN_Zugliste!$A$4:$C$2002,4,FALSE),"")</f>
        <v/>
      </c>
      <c r="GB110" t="str">
        <f>+IFERROR(VLOOKUP(GB11,IN_Zugliste!$A$4:$C$2002,4,FALSE),"")</f>
        <v/>
      </c>
      <c r="GC110" t="str">
        <f>+IFERROR(VLOOKUP(GC11,IN_Zugliste!$A$4:$C$2002,4,FALSE),"")</f>
        <v/>
      </c>
      <c r="GD110" t="str">
        <f>+IFERROR(VLOOKUP(GD11,IN_Zugliste!$A$4:$C$2002,4,FALSE),"")</f>
        <v/>
      </c>
      <c r="GE110" t="str">
        <f>+IFERROR(VLOOKUP(GE11,IN_Zugliste!$A$4:$C$2002,4,FALSE),"")</f>
        <v/>
      </c>
      <c r="GF110" t="str">
        <f>+IFERROR(VLOOKUP(GF11,IN_Zugliste!$A$4:$C$2002,4,FALSE),"")</f>
        <v/>
      </c>
      <c r="GG110" t="str">
        <f>+IFERROR(VLOOKUP(GG11,IN_Zugliste!$A$4:$C$2002,4,FALSE),"")</f>
        <v/>
      </c>
      <c r="GH110" t="str">
        <f>+IFERROR(VLOOKUP(GH11,IN_Zugliste!$A$4:$C$2002,4,FALSE),"")</f>
        <v/>
      </c>
      <c r="GI110" t="str">
        <f>+IFERROR(VLOOKUP(GI11,IN_Zugliste!$A$4:$C$2002,4,FALSE),"")</f>
        <v/>
      </c>
      <c r="GJ110" t="str">
        <f>+IFERROR(VLOOKUP(GJ11,IN_Zugliste!$A$4:$C$2002,4,FALSE),"")</f>
        <v/>
      </c>
      <c r="GK110" t="str">
        <f>+IFERROR(VLOOKUP(GK11,IN_Zugliste!$A$4:$C$2002,4,FALSE),"")</f>
        <v/>
      </c>
      <c r="GL110" t="str">
        <f>+IFERROR(VLOOKUP(GL11,IN_Zugliste!$A$4:$C$2002,4,FALSE),"")</f>
        <v/>
      </c>
      <c r="GM110" t="str">
        <f>+IFERROR(VLOOKUP(GM11,IN_Zugliste!$A$4:$C$2002,4,FALSE),"")</f>
        <v/>
      </c>
      <c r="GN110" t="str">
        <f>+IFERROR(VLOOKUP(GN11,IN_Zugliste!$A$4:$C$2002,4,FALSE),"")</f>
        <v/>
      </c>
      <c r="GO110" t="str">
        <f>+IFERROR(VLOOKUP(GO11,IN_Zugliste!$A$4:$C$2002,4,FALSE),"")</f>
        <v/>
      </c>
      <c r="GP110" t="str">
        <f>+IFERROR(VLOOKUP(GP11,IN_Zugliste!$A$4:$C$2002,4,FALSE),"")</f>
        <v/>
      </c>
      <c r="GQ110" t="str">
        <f>+IFERROR(VLOOKUP(GQ11,IN_Zugliste!$A$4:$C$2002,4,FALSE),"")</f>
        <v/>
      </c>
      <c r="GR110" t="str">
        <f>+IFERROR(VLOOKUP(GR11,IN_Zugliste!$A$4:$C$2002,4,FALSE),"")</f>
        <v/>
      </c>
      <c r="GS110" t="str">
        <f>+IFERROR(VLOOKUP(GS11,IN_Zugliste!$A$4:$C$2002,4,FALSE),"")</f>
        <v/>
      </c>
      <c r="GT110" t="str">
        <f>+IFERROR(VLOOKUP(GT11,IN_Zugliste!$A$4:$C$2002,4,FALSE),"")</f>
        <v/>
      </c>
      <c r="GU110" t="str">
        <f>+IFERROR(VLOOKUP(GU11,IN_Zugliste!$A$4:$C$2002,4,FALSE),"")</f>
        <v/>
      </c>
      <c r="GV110" t="str">
        <f>+IFERROR(VLOOKUP(GV11,IN_Zugliste!$A$4:$C$2002,4,FALSE),"")</f>
        <v/>
      </c>
      <c r="GW110" t="str">
        <f>+IFERROR(VLOOKUP(GW11,IN_Zugliste!$A$4:$C$2002,4,FALSE),"")</f>
        <v/>
      </c>
      <c r="GX110" t="str">
        <f>+IFERROR(VLOOKUP(GX11,IN_Zugliste!$A$4:$C$2002,4,FALSE),"")</f>
        <v/>
      </c>
      <c r="GY110" t="str">
        <f>+IFERROR(VLOOKUP(GY11,IN_Zugliste!$A$4:$C$2002,4,FALSE),"")</f>
        <v/>
      </c>
      <c r="GZ110" t="str">
        <f>+IFERROR(VLOOKUP(GZ11,IN_Zugliste!$A$4:$C$2002,4,FALSE),"")</f>
        <v/>
      </c>
      <c r="HA110" t="str">
        <f>+IFERROR(VLOOKUP(HA11,IN_Zugliste!$A$4:$C$2002,4,FALSE),"")</f>
        <v/>
      </c>
      <c r="HB110" t="str">
        <f>+IFERROR(VLOOKUP(HB11,IN_Zugliste!$A$4:$C$2002,4,FALSE),"")</f>
        <v/>
      </c>
      <c r="HC110" t="str">
        <f>+IFERROR(VLOOKUP(HC11,IN_Zugliste!$A$4:$C$2002,4,FALSE),"")</f>
        <v/>
      </c>
      <c r="HD110" t="str">
        <f>+IFERROR(VLOOKUP(HD11,IN_Zugliste!$A$4:$C$2002,4,FALSE),"")</f>
        <v/>
      </c>
      <c r="HE110" t="str">
        <f>+IFERROR(VLOOKUP(HE11,IN_Zugliste!$A$4:$C$2002,4,FALSE),"")</f>
        <v/>
      </c>
      <c r="HF110" t="str">
        <f>+IFERROR(VLOOKUP(HF11,IN_Zugliste!$A$4:$C$2002,4,FALSE),"")</f>
        <v/>
      </c>
      <c r="HG110" t="str">
        <f>+IFERROR(VLOOKUP(HG11,IN_Zugliste!$A$4:$C$2002,4,FALSE),"")</f>
        <v/>
      </c>
      <c r="HH110" t="str">
        <f>+IFERROR(VLOOKUP(HH11,IN_Zugliste!$A$4:$C$2002,4,FALSE),"")</f>
        <v/>
      </c>
      <c r="HI110" t="str">
        <f>+IFERROR(VLOOKUP(HI11,IN_Zugliste!$A$4:$C$2002,4,FALSE),"")</f>
        <v/>
      </c>
      <c r="HJ110" t="str">
        <f>+IFERROR(VLOOKUP(HJ11,IN_Zugliste!$A$4:$C$2002,4,FALSE),"")</f>
        <v/>
      </c>
      <c r="HK110" t="str">
        <f>+IFERROR(VLOOKUP(HK11,IN_Zugliste!$A$4:$C$2002,4,FALSE),"")</f>
        <v/>
      </c>
      <c r="HL110" t="str">
        <f>+IFERROR(VLOOKUP(HL11,IN_Zugliste!$A$4:$C$2002,4,FALSE),"")</f>
        <v/>
      </c>
      <c r="HM110" t="str">
        <f>+IFERROR(VLOOKUP(HM11,IN_Zugliste!$A$4:$C$2002,4,FALSE),"")</f>
        <v/>
      </c>
      <c r="HN110" t="str">
        <f>+IFERROR(VLOOKUP(HN11,IN_Zugliste!$A$4:$C$2002,4,FALSE),"")</f>
        <v/>
      </c>
      <c r="HO110" t="str">
        <f>+IFERROR(VLOOKUP(HO11,IN_Zugliste!$A$4:$C$2002,4,FALSE),"")</f>
        <v/>
      </c>
      <c r="HP110" t="str">
        <f>+IFERROR(VLOOKUP(HP11,IN_Zugliste!$A$4:$C$2002,4,FALSE),"")</f>
        <v/>
      </c>
      <c r="HQ110" t="str">
        <f>+IFERROR(VLOOKUP(HQ11,IN_Zugliste!$A$4:$C$2002,4,FALSE),"")</f>
        <v/>
      </c>
      <c r="HR110" t="str">
        <f>+IFERROR(VLOOKUP(HR11,IN_Zugliste!$A$4:$C$2002,4,FALSE),"")</f>
        <v/>
      </c>
      <c r="HS110" t="str">
        <f>+IFERROR(VLOOKUP(HS11,IN_Zugliste!$A$4:$C$2002,4,FALSE),"")</f>
        <v/>
      </c>
      <c r="HT110" t="str">
        <f>+IFERROR(VLOOKUP(HT11,IN_Zugliste!$A$4:$C$2002,4,FALSE),"")</f>
        <v/>
      </c>
      <c r="HU110" t="str">
        <f>+IFERROR(VLOOKUP(HU11,IN_Zugliste!$A$4:$C$2002,4,FALSE),"")</f>
        <v/>
      </c>
      <c r="HV110" t="str">
        <f>+IFERROR(VLOOKUP(HV11,IN_Zugliste!$A$4:$C$2002,4,FALSE),"")</f>
        <v/>
      </c>
      <c r="HW110" t="str">
        <f>+IFERROR(VLOOKUP(HW11,IN_Zugliste!$A$4:$C$2002,4,FALSE),"")</f>
        <v/>
      </c>
      <c r="HX110" t="str">
        <f>+IFERROR(VLOOKUP(HX11,IN_Zugliste!$A$4:$C$2002,4,FALSE),"")</f>
        <v/>
      </c>
      <c r="HY110" t="str">
        <f>+IFERROR(VLOOKUP(HY11,IN_Zugliste!$A$4:$C$2002,4,FALSE),"")</f>
        <v/>
      </c>
      <c r="HZ110" t="str">
        <f>+IFERROR(VLOOKUP(HZ11,IN_Zugliste!$A$4:$C$2002,4,FALSE),"")</f>
        <v/>
      </c>
      <c r="IA110" t="str">
        <f>+IFERROR(VLOOKUP(IA11,IN_Zugliste!$A$4:$C$2002,4,FALSE),"")</f>
        <v/>
      </c>
      <c r="IB110" t="str">
        <f>+IFERROR(VLOOKUP(IB11,IN_Zugliste!$A$4:$C$2002,4,FALSE),"")</f>
        <v/>
      </c>
      <c r="IC110" t="str">
        <f>+IFERROR(VLOOKUP(IC11,IN_Zugliste!$A$4:$C$2002,4,FALSE),"")</f>
        <v/>
      </c>
      <c r="ID110" t="str">
        <f>+IFERROR(VLOOKUP(ID11,IN_Zugliste!$A$4:$C$2002,4,FALSE),"")</f>
        <v/>
      </c>
      <c r="IE110" t="str">
        <f>+IFERROR(VLOOKUP(IE11,IN_Zugliste!$A$4:$C$2002,4,FALSE),"")</f>
        <v/>
      </c>
      <c r="IF110" t="str">
        <f>+IFERROR(VLOOKUP(IF11,IN_Zugliste!$A$4:$C$2002,4,FALSE),"")</f>
        <v/>
      </c>
      <c r="IG110" t="str">
        <f>+IFERROR(VLOOKUP(IG11,IN_Zugliste!$A$4:$C$2002,4,FALSE),"")</f>
        <v/>
      </c>
      <c r="IH110" t="str">
        <f>+IFERROR(VLOOKUP(IH11,IN_Zugliste!$A$4:$C$2002,4,FALSE),"")</f>
        <v/>
      </c>
      <c r="II110" t="str">
        <f>+IFERROR(VLOOKUP(II11,IN_Zugliste!$A$4:$C$2002,4,FALSE),"")</f>
        <v/>
      </c>
      <c r="IJ110" t="str">
        <f>+IFERROR(VLOOKUP(IJ11,IN_Zugliste!$A$4:$C$2002,4,FALSE),"")</f>
        <v/>
      </c>
      <c r="IK110" t="str">
        <f>+IFERROR(VLOOKUP(IK11,IN_Zugliste!$A$4:$C$2002,4,FALSE),"")</f>
        <v/>
      </c>
      <c r="IL110" t="str">
        <f>+IFERROR(VLOOKUP(IL11,IN_Zugliste!$A$4:$C$2002,4,FALSE),"")</f>
        <v/>
      </c>
      <c r="IM110" t="str">
        <f>+IFERROR(VLOOKUP(IM11,IN_Zugliste!$A$4:$C$2002,4,FALSE),"")</f>
        <v/>
      </c>
      <c r="IN110" t="str">
        <f>+IFERROR(VLOOKUP(IN11,IN_Zugliste!$A$4:$C$2002,4,FALSE),"")</f>
        <v/>
      </c>
      <c r="IO110" t="str">
        <f>+IFERROR(VLOOKUP(IO11,IN_Zugliste!$A$4:$C$2002,4,FALSE),"")</f>
        <v/>
      </c>
      <c r="IP110" t="str">
        <f>+IFERROR(VLOOKUP(IP11,IN_Zugliste!$A$4:$C$2002,4,FALSE),"")</f>
        <v/>
      </c>
      <c r="IQ110" t="str">
        <f>+IFERROR(VLOOKUP(IQ11,IN_Zugliste!$A$4:$C$2002,4,FALSE),"")</f>
        <v/>
      </c>
      <c r="IR110" t="str">
        <f>+IFERROR(VLOOKUP(IR11,IN_Zugliste!$A$4:$C$2002,4,FALSE),"")</f>
        <v/>
      </c>
      <c r="IS110" t="str">
        <f>+IFERROR(VLOOKUP(IS11,IN_Zugliste!$A$4:$C$2002,4,FALSE),"")</f>
        <v/>
      </c>
      <c r="IT110" t="str">
        <f>+IFERROR(VLOOKUP(IT11,IN_Zugliste!$A$4:$C$2002,4,FALSE),"")</f>
        <v/>
      </c>
      <c r="IU110" t="str">
        <f>+IFERROR(VLOOKUP(IU11,IN_Zugliste!$A$4:$C$2002,4,FALSE),"")</f>
        <v/>
      </c>
      <c r="IV110" t="str">
        <f>+IFERROR(VLOOKUP(IV11,IN_Zugliste!$A$4:$C$2002,4,FALSE),"")</f>
        <v/>
      </c>
      <c r="IW110" t="str">
        <f>+IFERROR(VLOOKUP(IW11,IN_Zugliste!$A$4:$C$2002,4,FALSE),"")</f>
        <v/>
      </c>
      <c r="IX110" t="str">
        <f>+IFERROR(VLOOKUP(IX11,IN_Zugliste!$A$4:$C$2002,4,FALSE),"")</f>
        <v/>
      </c>
      <c r="IY110" t="str">
        <f>+IFERROR(VLOOKUP(IY11,IN_Zugliste!$A$4:$C$2002,4,FALSE),"")</f>
        <v/>
      </c>
      <c r="IZ110" t="str">
        <f>+IFERROR(VLOOKUP(IZ11,IN_Zugliste!$A$4:$C$2002,4,FALSE),"")</f>
        <v/>
      </c>
      <c r="JA110" t="str">
        <f>+IFERROR(VLOOKUP(JA11,IN_Zugliste!$A$4:$C$2002,4,FALSE),"")</f>
        <v/>
      </c>
      <c r="JB110" t="str">
        <f>+IFERROR(VLOOKUP(JB11,IN_Zugliste!$A$4:$C$2002,4,FALSE),"")</f>
        <v/>
      </c>
      <c r="JC110" t="str">
        <f>+IFERROR(VLOOKUP(JC11,IN_Zugliste!$A$4:$C$2002,4,FALSE),"")</f>
        <v/>
      </c>
      <c r="JD110" t="str">
        <f>+IFERROR(VLOOKUP(JD11,IN_Zugliste!$A$4:$C$2002,4,FALSE),"")</f>
        <v/>
      </c>
      <c r="JE110" t="str">
        <f>+IFERROR(VLOOKUP(JE11,IN_Zugliste!$A$4:$C$2002,4,FALSE),"")</f>
        <v/>
      </c>
      <c r="JF110" t="str">
        <f>+IFERROR(VLOOKUP(JF11,IN_Zugliste!$A$4:$C$2002,4,FALSE),"")</f>
        <v/>
      </c>
      <c r="JG110" t="str">
        <f>+IFERROR(VLOOKUP(JG11,IN_Zugliste!$A$4:$C$2002,4,FALSE),"")</f>
        <v/>
      </c>
      <c r="JH110" t="str">
        <f>+IFERROR(VLOOKUP(JH11,IN_Zugliste!$A$4:$C$2002,4,FALSE),"")</f>
        <v/>
      </c>
      <c r="JI110" t="str">
        <f>+IFERROR(VLOOKUP(JI11,IN_Zugliste!$A$4:$C$2002,4,FALSE),"")</f>
        <v/>
      </c>
      <c r="JJ110" t="str">
        <f>+IFERROR(VLOOKUP(JJ11,IN_Zugliste!$A$4:$C$2002,4,FALSE),"")</f>
        <v/>
      </c>
      <c r="JK110" t="str">
        <f>+IFERROR(VLOOKUP(JK11,IN_Zugliste!$A$4:$C$2002,4,FALSE),"")</f>
        <v/>
      </c>
      <c r="JL110" t="str">
        <f>+IFERROR(VLOOKUP(JL11,IN_Zugliste!$A$4:$C$2002,4,FALSE),"")</f>
        <v/>
      </c>
    </row>
    <row r="111" spans="1:272" x14ac:dyDescent="0.2">
      <c r="A111" t="str">
        <f>+IFERROR(VLOOKUP(A12,IN_Zugliste!$A$4:$D$2002,4,FALSE),"")</f>
        <v/>
      </c>
      <c r="B111" t="str">
        <f>+IFERROR(VLOOKUP(B12,IN_Zugliste!$A$4:$D$2002,4,FALSE),"")</f>
        <v/>
      </c>
      <c r="C111" t="str">
        <f>+IFERROR(VLOOKUP(C12,IN_Zugliste!$A$4:$D$2002,4,FALSE),"")</f>
        <v/>
      </c>
      <c r="D111" t="str">
        <f>+IFERROR(VLOOKUP(D12,IN_Zugliste!$A$4:$D$2002,4,FALSE),"")</f>
        <v/>
      </c>
      <c r="E111" t="str">
        <f>+IFERROR(VLOOKUP(E12,IN_Zugliste!$A$4:$D$2002,4,FALSE),"")</f>
        <v/>
      </c>
      <c r="F111" t="str">
        <f>+IFERROR(VLOOKUP(F12,IN_Zugliste!$A$4:$D$2002,4,FALSE),"")</f>
        <v/>
      </c>
      <c r="G111" t="str">
        <f>+IFERROR(VLOOKUP(G12,IN_Zugliste!$A$4:$D$2002,4,FALSE),"")</f>
        <v/>
      </c>
      <c r="H111" t="str">
        <f>+IFERROR(VLOOKUP(H12,IN_Zugliste!$A$4:$D$2002,4,FALSE),"")</f>
        <v/>
      </c>
      <c r="I111" t="str">
        <f>+IFERROR(VLOOKUP(I12,IN_Zugliste!$A$4:$D$2002,4,FALSE),"")</f>
        <v/>
      </c>
      <c r="J111" t="str">
        <f>+IFERROR(VLOOKUP(J12,IN_Zugliste!$A$4:$D$2002,4,FALSE),"")</f>
        <v/>
      </c>
      <c r="K111" t="str">
        <f>+IFERROR(VLOOKUP(K12,IN_Zugliste!$A$4:$D$2002,4,FALSE),"")</f>
        <v/>
      </c>
      <c r="L111" t="str">
        <f>+IFERROR(VLOOKUP(L12,IN_Zugliste!$A$4:$D$2002,4,FALSE),"")</f>
        <v/>
      </c>
      <c r="M111" t="str">
        <f>+IFERROR(VLOOKUP(M12,IN_Zugliste!$A$4:$D$2002,4,FALSE),"")</f>
        <v/>
      </c>
      <c r="N111" t="str">
        <f>+IFERROR(VLOOKUP(N12,IN_Zugliste!$A$4:$D$2002,4,FALSE),"")</f>
        <v/>
      </c>
      <c r="O111" t="str">
        <f>+IFERROR(VLOOKUP(O12,IN_Zugliste!$A$4:$D$2002,4,FALSE),"")</f>
        <v/>
      </c>
      <c r="P111" t="str">
        <f>+IFERROR(VLOOKUP(P12,IN_Zugliste!$A$4:$D$2002,4,FALSE),"")</f>
        <v/>
      </c>
      <c r="Q111" t="str">
        <f>+IFERROR(VLOOKUP(Q12,IN_Zugliste!$A$4:$D$2002,4,FALSE),"")</f>
        <v/>
      </c>
      <c r="R111" t="str">
        <f>+IFERROR(VLOOKUP(R12,IN_Zugliste!$A$4:$D$2002,4,FALSE),"")</f>
        <v/>
      </c>
      <c r="S111" t="str">
        <f>+IFERROR(VLOOKUP(S12,IN_Zugliste!$A$4:$D$2002,4,FALSE),"")</f>
        <v/>
      </c>
      <c r="T111" t="str">
        <f>+IFERROR(VLOOKUP(T12,IN_Zugliste!$A$4:$D$2002,4,FALSE),"")</f>
        <v/>
      </c>
      <c r="U111" t="str">
        <f>+IFERROR(VLOOKUP(U12,IN_Zugliste!$A$4:$D$2002,4,FALSE),"")</f>
        <v/>
      </c>
      <c r="V111" t="str">
        <f>+IFERROR(VLOOKUP(V12,IN_Zugliste!$A$4:$D$2002,4,FALSE),"")</f>
        <v/>
      </c>
      <c r="W111" t="str">
        <f>+IFERROR(VLOOKUP(W12,IN_Zugliste!$A$4:$D$2002,4,FALSE),"")</f>
        <v/>
      </c>
      <c r="X111" t="str">
        <f>+IFERROR(VLOOKUP(X12,IN_Zugliste!$A$4:$D$2002,4,FALSE),"")</f>
        <v/>
      </c>
      <c r="Y111" t="str">
        <f>+IFERROR(VLOOKUP(Y12,IN_Zugliste!$A$4:$D$2002,4,FALSE),"")</f>
        <v/>
      </c>
      <c r="Z111" t="str">
        <f>+IFERROR(VLOOKUP(Z12,IN_Zugliste!$A$4:$D$2002,4,FALSE),"")</f>
        <v/>
      </c>
      <c r="AA111" t="str">
        <f>+IFERROR(VLOOKUP(AA12,IN_Zugliste!$A$4:$D$2002,4,FALSE),"")</f>
        <v/>
      </c>
      <c r="AB111" t="str">
        <f>+IFERROR(VLOOKUP(AB12,IN_Zugliste!$A$4:$D$2002,4,FALSE),"")</f>
        <v/>
      </c>
      <c r="AC111" t="str">
        <f>+IFERROR(VLOOKUP(AC12,IN_Zugliste!$A$4:$D$2002,4,FALSE),"")</f>
        <v/>
      </c>
      <c r="AD111" t="str">
        <f>+IFERROR(VLOOKUP(AD12,IN_Zugliste!$A$4:$D$2002,4,FALSE),"")</f>
        <v/>
      </c>
      <c r="AE111" t="str">
        <f>+IFERROR(VLOOKUP(AE12,IN_Zugliste!$A$4:$D$2002,4,FALSE),"")</f>
        <v/>
      </c>
      <c r="AF111" t="str">
        <f>+IFERROR(VLOOKUP(AF12,IN_Zugliste!$A$4:$D$2002,4,FALSE),"")</f>
        <v/>
      </c>
      <c r="AG111" t="str">
        <f>+IFERROR(VLOOKUP(AG12,IN_Zugliste!$A$4:$D$2002,4,FALSE),"")</f>
        <v/>
      </c>
      <c r="AH111" t="str">
        <f>+IFERROR(VLOOKUP(AH12,IN_Zugliste!$A$4:$D$2002,4,FALSE),"")</f>
        <v/>
      </c>
      <c r="AI111" t="str">
        <f>+IFERROR(VLOOKUP(AI12,IN_Zugliste!$A$4:$D$2002,4,FALSE),"")</f>
        <v/>
      </c>
      <c r="AJ111" t="str">
        <f>+IFERROR(VLOOKUP(AJ12,IN_Zugliste!$A$4:$D$2002,4,FALSE),"")</f>
        <v/>
      </c>
      <c r="AK111" t="str">
        <f>+IFERROR(VLOOKUP(AK12,IN_Zugliste!$A$4:$D$2002,4,FALSE),"")</f>
        <v/>
      </c>
      <c r="AL111" t="str">
        <f>+IFERROR(VLOOKUP(AL12,IN_Zugliste!$A$4:$D$2002,4,FALSE),"")</f>
        <v/>
      </c>
      <c r="AM111" t="str">
        <f>+IFERROR(VLOOKUP(AM12,IN_Zugliste!$A$4:$D$2002,4,FALSE),"")</f>
        <v/>
      </c>
      <c r="AN111" t="str">
        <f>+IFERROR(VLOOKUP(AN12,IN_Zugliste!$A$4:$D$2002,4,FALSE),"")</f>
        <v/>
      </c>
      <c r="AO111" t="str">
        <f>+IFERROR(VLOOKUP(AO12,IN_Zugliste!$A$4:$D$2002,4,FALSE),"")</f>
        <v/>
      </c>
      <c r="AP111" t="str">
        <f>+IFERROR(VLOOKUP(AP12,IN_Zugliste!$A$4:$D$2002,4,FALSE),"")</f>
        <v/>
      </c>
      <c r="AQ111" t="str">
        <f>+IFERROR(VLOOKUP(AQ12,IN_Zugliste!$A$4:$D$2002,4,FALSE),"")</f>
        <v/>
      </c>
      <c r="AR111" t="str">
        <f>+IFERROR(VLOOKUP(AR12,IN_Zugliste!$A$4:$D$2002,4,FALSE),"")</f>
        <v/>
      </c>
      <c r="AS111" t="str">
        <f>+IFERROR(VLOOKUP(AS12,IN_Zugliste!$A$4:$D$2002,4,FALSE),"")</f>
        <v/>
      </c>
      <c r="AT111" t="str">
        <f>+IFERROR(VLOOKUP(AT12,IN_Zugliste!$A$4:$D$2002,4,FALSE),"")</f>
        <v/>
      </c>
      <c r="AU111" t="str">
        <f>+IFERROR(VLOOKUP(AU12,IN_Zugliste!$A$4:$D$2002,4,FALSE),"")</f>
        <v/>
      </c>
      <c r="AV111" t="str">
        <f>+IFERROR(VLOOKUP(AV12,IN_Zugliste!$A$4:$D$2002,4,FALSE),"")</f>
        <v/>
      </c>
      <c r="AW111" t="str">
        <f>+IFERROR(VLOOKUP(AW12,IN_Zugliste!$A$4:$D$2002,4,FALSE),"")</f>
        <v/>
      </c>
      <c r="AX111" t="str">
        <f>+IFERROR(VLOOKUP(AX12,IN_Zugliste!$A$4:$D$2002,4,FALSE),"")</f>
        <v/>
      </c>
      <c r="AY111" t="str">
        <f>+IFERROR(VLOOKUP(AY12,IN_Zugliste!$A$4:$D$2002,4,FALSE),"")</f>
        <v/>
      </c>
      <c r="AZ111" t="str">
        <f>+IFERROR(VLOOKUP(AZ12,IN_Zugliste!$A$4:$D$2002,4,FALSE),"")</f>
        <v/>
      </c>
      <c r="BA111" t="str">
        <f>+IFERROR(VLOOKUP(BA12,IN_Zugliste!$A$4:$D$2002,4,FALSE),"")</f>
        <v/>
      </c>
      <c r="BB111" t="str">
        <f>+IFERROR(VLOOKUP(BB12,IN_Zugliste!$A$4:$D$2002,4,FALSE),"")</f>
        <v/>
      </c>
      <c r="BC111" t="str">
        <f>+IFERROR(VLOOKUP(BC12,IN_Zugliste!$A$4:$D$2002,4,FALSE),"")</f>
        <v/>
      </c>
      <c r="BD111" t="str">
        <f>+IFERROR(VLOOKUP(BD12,IN_Zugliste!$A$4:$D$2002,4,FALSE),"")</f>
        <v/>
      </c>
      <c r="BE111" t="str">
        <f>+IFERROR(VLOOKUP(BE12,IN_Zugliste!$A$4:$D$2002,4,FALSE),"")</f>
        <v/>
      </c>
      <c r="BF111" t="str">
        <f>+IFERROR(VLOOKUP(BF12,IN_Zugliste!$A$4:$D$2002,4,FALSE),"")</f>
        <v/>
      </c>
      <c r="BG111" t="str">
        <f>+IFERROR(VLOOKUP(BG12,IN_Zugliste!$A$4:$D$2002,4,FALSE),"")</f>
        <v/>
      </c>
      <c r="BH111" t="str">
        <f>+IFERROR(VLOOKUP(BH12,IN_Zugliste!$A$4:$D$2002,4,FALSE),"")</f>
        <v/>
      </c>
      <c r="BI111" t="str">
        <f>+IFERROR(VLOOKUP(BI12,IN_Zugliste!$A$4:$D$2002,4,FALSE),"")</f>
        <v/>
      </c>
      <c r="BJ111" t="str">
        <f>+IFERROR(VLOOKUP(BJ12,IN_Zugliste!$A$4:$D$2002,4,FALSE),"")</f>
        <v/>
      </c>
      <c r="BK111" t="str">
        <f>+IFERROR(VLOOKUP(BK12,IN_Zugliste!$A$4:$D$2002,4,FALSE),"")</f>
        <v/>
      </c>
      <c r="BL111" t="str">
        <f>+IFERROR(VLOOKUP(BL12,IN_Zugliste!$A$4:$D$2002,4,FALSE),"")</f>
        <v/>
      </c>
      <c r="BM111" t="str">
        <f>+IFERROR(VLOOKUP(BM12,IN_Zugliste!$A$4:$D$2002,4,FALSE),"")</f>
        <v/>
      </c>
      <c r="BN111" t="str">
        <f>+IFERROR(VLOOKUP(BN12,IN_Zugliste!$A$4:$D$2002,4,FALSE),"")</f>
        <v/>
      </c>
      <c r="BO111" t="str">
        <f>+IFERROR(VLOOKUP(BO12,IN_Zugliste!$A$4:$D$2002,4,FALSE),"")</f>
        <v/>
      </c>
      <c r="BP111" t="str">
        <f>+IFERROR(VLOOKUP(BP12,IN_Zugliste!$A$4:$D$2002,4,FALSE),"")</f>
        <v/>
      </c>
      <c r="BQ111" t="str">
        <f>+IFERROR(VLOOKUP(BQ12,IN_Zugliste!$A$4:$D$2002,4,FALSE),"")</f>
        <v/>
      </c>
      <c r="BR111" t="str">
        <f>+IFERROR(VLOOKUP(BR12,IN_Zugliste!$A$4:$D$2002,4,FALSE),"")</f>
        <v/>
      </c>
      <c r="BS111" t="str">
        <f>+IFERROR(VLOOKUP(BS12,IN_Zugliste!$A$4:$D$2002,4,FALSE),"")</f>
        <v/>
      </c>
      <c r="BT111" t="str">
        <f>+IFERROR(VLOOKUP(BT12,IN_Zugliste!$A$4:$D$2002,4,FALSE),"")</f>
        <v/>
      </c>
      <c r="BU111" t="str">
        <f>+IFERROR(VLOOKUP(BU12,IN_Zugliste!$A$4:$D$2002,4,FALSE),"")</f>
        <v/>
      </c>
      <c r="BV111" t="str">
        <f>+IFERROR(VLOOKUP(BV12,IN_Zugliste!$A$4:$D$2002,4,FALSE),"")</f>
        <v/>
      </c>
      <c r="BW111" t="str">
        <f>+IFERROR(VLOOKUP(BW12,IN_Zugliste!$A$4:$D$2002,4,FALSE),"")</f>
        <v/>
      </c>
      <c r="BX111" t="str">
        <f>+IFERROR(VLOOKUP(BX12,IN_Zugliste!$A$4:$D$2002,4,FALSE),"")</f>
        <v/>
      </c>
      <c r="BY111" t="str">
        <f>+IFERROR(VLOOKUP(BY12,IN_Zugliste!$A$4:$D$2002,4,FALSE),"")</f>
        <v/>
      </c>
      <c r="BZ111" t="str">
        <f>+IFERROR(VLOOKUP(BZ12,IN_Zugliste!$A$4:$D$2002,4,FALSE),"")</f>
        <v/>
      </c>
      <c r="CA111" t="str">
        <f>+IFERROR(VLOOKUP(CA12,IN_Zugliste!$A$4:$D$2002,4,FALSE),"")</f>
        <v/>
      </c>
      <c r="CB111" t="str">
        <f>+IFERROR(VLOOKUP(CB12,IN_Zugliste!$A$4:$D$2002,4,FALSE),"")</f>
        <v/>
      </c>
      <c r="CC111" t="str">
        <f>+IFERROR(VLOOKUP(CC12,IN_Zugliste!$A$4:$D$2002,4,FALSE),"")</f>
        <v/>
      </c>
      <c r="CD111" t="str">
        <f>+IFERROR(VLOOKUP(CD12,IN_Zugliste!$A$4:$D$2002,4,FALSE),"")</f>
        <v/>
      </c>
      <c r="CE111" t="str">
        <f>+IFERROR(VLOOKUP(CE12,IN_Zugliste!$A$4:$D$2002,4,FALSE),"")</f>
        <v/>
      </c>
      <c r="CF111" t="str">
        <f>+IFERROR(VLOOKUP(CF12,IN_Zugliste!$A$4:$D$2002,4,FALSE),"")</f>
        <v/>
      </c>
      <c r="CG111" t="str">
        <f>+IFERROR(VLOOKUP(CG12,IN_Zugliste!$A$4:$D$2002,4,FALSE),"")</f>
        <v/>
      </c>
      <c r="CH111" t="str">
        <f>+IFERROR(VLOOKUP(CH12,IN_Zugliste!$A$4:$D$2002,4,FALSE),"")</f>
        <v/>
      </c>
      <c r="CI111" t="str">
        <f>+IFERROR(VLOOKUP(CI12,IN_Zugliste!$A$4:$D$2002,4,FALSE),"")</f>
        <v/>
      </c>
      <c r="CJ111" t="str">
        <f>+IFERROR(VLOOKUP(CJ12,IN_Zugliste!$A$4:$D$2002,4,FALSE),"")</f>
        <v/>
      </c>
      <c r="CK111" t="str">
        <f>+IFERROR(VLOOKUP(CK12,IN_Zugliste!$A$4:$D$2002,4,FALSE),"")</f>
        <v/>
      </c>
      <c r="CL111" t="str">
        <f>+IFERROR(VLOOKUP(CL12,IN_Zugliste!$A$4:$D$2002,4,FALSE),"")</f>
        <v/>
      </c>
      <c r="CM111" t="str">
        <f>+IFERROR(VLOOKUP(CM12,IN_Zugliste!$A$4:$D$2002,4,FALSE),"")</f>
        <v/>
      </c>
      <c r="CN111" t="str">
        <f>+IFERROR(VLOOKUP(CN12,IN_Zugliste!$A$4:$D$2002,4,FALSE),"")</f>
        <v/>
      </c>
      <c r="CO111" t="str">
        <f>+IFERROR(VLOOKUP(CO12,IN_Zugliste!$A$4:$D$2002,4,FALSE),"")</f>
        <v/>
      </c>
      <c r="CP111" t="str">
        <f>+IFERROR(VLOOKUP(CP12,IN_Zugliste!$A$4:$D$2002,4,FALSE),"")</f>
        <v/>
      </c>
      <c r="CQ111" t="str">
        <f>+IFERROR(VLOOKUP(CQ12,IN_Zugliste!$A$4:$D$2002,4,FALSE),"")</f>
        <v/>
      </c>
      <c r="CR111" t="str">
        <f>+IFERROR(VLOOKUP(CR12,IN_Zugliste!$A$4:$D$2002,4,FALSE),"")</f>
        <v/>
      </c>
      <c r="CS111" t="str">
        <f>+IFERROR(VLOOKUP(CS12,IN_Zugliste!$A$4:$D$2002,4,FALSE),"")</f>
        <v/>
      </c>
      <c r="CT111" t="str">
        <f>+IFERROR(VLOOKUP(CT12,IN_Zugliste!$A$4:$D$2002,4,FALSE),"")</f>
        <v/>
      </c>
      <c r="CU111" t="str">
        <f>+IFERROR(VLOOKUP(CU12,IN_Zugliste!$A$4:$D$2002,4,FALSE),"")</f>
        <v/>
      </c>
      <c r="CV111" t="str">
        <f>+IFERROR(VLOOKUP(CV12,IN_Zugliste!$A$4:$D$2002,4,FALSE),"")</f>
        <v/>
      </c>
      <c r="CW111" t="str">
        <f>+IFERROR(VLOOKUP(CW12,IN_Zugliste!$A$4:$D$2002,4,FALSE),"")</f>
        <v/>
      </c>
      <c r="CX111" t="str">
        <f>+IFERROR(VLOOKUP(CX12,IN_Zugliste!$A$4:$D$2002,4,FALSE),"")</f>
        <v/>
      </c>
      <c r="CY111" t="str">
        <f>+IFERROR(VLOOKUP(CY12,IN_Zugliste!$A$4:$D$2002,4,FALSE),"")</f>
        <v/>
      </c>
      <c r="CZ111" t="str">
        <f>+IFERROR(VLOOKUP(CZ12,IN_Zugliste!$A$4:$D$2002,4,FALSE),"")</f>
        <v/>
      </c>
      <c r="DA111" t="str">
        <f>+IFERROR(VLOOKUP(DA12,IN_Zugliste!$A$4:$D$2002,4,FALSE),"")</f>
        <v/>
      </c>
      <c r="DB111" t="str">
        <f>+IFERROR(VLOOKUP(DB12,IN_Zugliste!$A$4:$D$2002,4,FALSE),"")</f>
        <v/>
      </c>
      <c r="DC111" t="str">
        <f>+IFERROR(VLOOKUP(DC12,IN_Zugliste!$A$4:$D$2002,4,FALSE),"")</f>
        <v/>
      </c>
      <c r="DD111" t="str">
        <f>+IFERROR(VLOOKUP(DD12,IN_Zugliste!$A$4:$D$2002,4,FALSE),"")</f>
        <v/>
      </c>
      <c r="DE111" t="str">
        <f>+IFERROR(VLOOKUP(DE12,IN_Zugliste!$A$4:$D$2002,4,FALSE),"")</f>
        <v/>
      </c>
      <c r="DF111" t="str">
        <f>+IFERROR(VLOOKUP(DF12,IN_Zugliste!$A$4:$D$2002,4,FALSE),"")</f>
        <v/>
      </c>
      <c r="DG111" t="str">
        <f>+IFERROR(VLOOKUP(DG12,IN_Zugliste!$A$4:$D$2002,4,FALSE),"")</f>
        <v/>
      </c>
      <c r="DH111" t="str">
        <f>+IFERROR(VLOOKUP(DH12,IN_Zugliste!$A$4:$D$2002,4,FALSE),"")</f>
        <v/>
      </c>
      <c r="DI111" t="str">
        <f>+IFERROR(VLOOKUP(DI12,IN_Zugliste!$A$4:$D$2002,4,FALSE),"")</f>
        <v/>
      </c>
      <c r="DJ111" t="str">
        <f>+IFERROR(VLOOKUP(DJ12,IN_Zugliste!$A$4:$D$2002,4,FALSE),"")</f>
        <v/>
      </c>
      <c r="DK111" t="str">
        <f>+IFERROR(VLOOKUP(DK12,IN_Zugliste!$A$4:$D$2002,4,FALSE),"")</f>
        <v/>
      </c>
      <c r="DL111" t="str">
        <f>+IFERROR(VLOOKUP(DL12,IN_Zugliste!$A$4:$D$2002,4,FALSE),"")</f>
        <v/>
      </c>
      <c r="DM111" t="str">
        <f>+IFERROR(VLOOKUP(DM12,IN_Zugliste!$A$4:$D$2002,4,FALSE),"")</f>
        <v/>
      </c>
      <c r="DN111" t="str">
        <f>+IFERROR(VLOOKUP(DN12,IN_Zugliste!$A$4:$D$2002,4,FALSE),"")</f>
        <v/>
      </c>
      <c r="DO111" t="str">
        <f>+IFERROR(VLOOKUP(DO12,IN_Zugliste!$A$4:$D$2002,4,FALSE),"")</f>
        <v/>
      </c>
      <c r="DP111" t="str">
        <f>+IFERROR(VLOOKUP(DP12,IN_Zugliste!$A$4:$D$2002,4,FALSE),"")</f>
        <v/>
      </c>
      <c r="DQ111" t="str">
        <f>+IFERROR(VLOOKUP(DQ12,IN_Zugliste!$A$4:$D$2002,4,FALSE),"")</f>
        <v/>
      </c>
      <c r="DR111" t="str">
        <f>+IFERROR(VLOOKUP(DR12,IN_Zugliste!$A$4:$D$2002,4,FALSE),"")</f>
        <v/>
      </c>
      <c r="DS111" t="str">
        <f>+IFERROR(VLOOKUP(DS12,IN_Zugliste!$A$4:$D$2002,4,FALSE),"")</f>
        <v/>
      </c>
      <c r="DT111" t="str">
        <f>+IFERROR(VLOOKUP(DT12,IN_Zugliste!$A$4:$D$2002,4,FALSE),"")</f>
        <v/>
      </c>
      <c r="DU111" t="str">
        <f>+IFERROR(VLOOKUP(DU12,IN_Zugliste!$A$4:$D$2002,4,FALSE),"")</f>
        <v/>
      </c>
      <c r="DV111" t="str">
        <f>+IFERROR(VLOOKUP(DV12,IN_Zugliste!$A$4:$D$2002,4,FALSE),"")</f>
        <v/>
      </c>
      <c r="DW111" t="str">
        <f>+IFERROR(VLOOKUP(DW12,IN_Zugliste!$A$4:$D$2002,4,FALSE),"")</f>
        <v/>
      </c>
      <c r="DX111" t="str">
        <f>+IFERROR(VLOOKUP(DX12,IN_Zugliste!$A$4:$D$2002,4,FALSE),"")</f>
        <v/>
      </c>
      <c r="DY111" t="str">
        <f>+IFERROR(VLOOKUP(DY12,IN_Zugliste!$A$4:$D$2002,4,FALSE),"")</f>
        <v/>
      </c>
      <c r="DZ111" t="str">
        <f>+IFERROR(VLOOKUP(DZ12,IN_Zugliste!$A$4:$D$2002,4,FALSE),"")</f>
        <v/>
      </c>
      <c r="EA111" t="str">
        <f>+IFERROR(VLOOKUP(EA12,IN_Zugliste!$A$4:$D$2002,4,FALSE),"")</f>
        <v/>
      </c>
      <c r="EB111" t="str">
        <f>+IFERROR(VLOOKUP(EB12,IN_Zugliste!$A$4:$D$2002,4,FALSE),"")</f>
        <v/>
      </c>
      <c r="EC111" t="str">
        <f>+IFERROR(VLOOKUP(EC12,IN_Zugliste!$A$4:$D$2002,4,FALSE),"")</f>
        <v/>
      </c>
      <c r="ED111" t="str">
        <f>+IFERROR(VLOOKUP(ED12,IN_Zugliste!$A$4:$D$2002,4,FALSE),"")</f>
        <v/>
      </c>
      <c r="EE111" t="str">
        <f>+IFERROR(VLOOKUP(EE12,IN_Zugliste!$A$4:$D$2002,4,FALSE),"")</f>
        <v/>
      </c>
      <c r="EF111" t="str">
        <f>+IFERROR(VLOOKUP(EF12,IN_Zugliste!$A$4:$D$2002,4,FALSE),"")</f>
        <v/>
      </c>
      <c r="EG111" t="str">
        <f>+IFERROR(VLOOKUP(EG12,IN_Zugliste!$A$4:$D$2002,4,FALSE),"")</f>
        <v/>
      </c>
      <c r="EH111" t="str">
        <f>+IFERROR(VLOOKUP(EH12,IN_Zugliste!$A$4:$D$2002,4,FALSE),"")</f>
        <v/>
      </c>
      <c r="EI111" t="str">
        <f>+IFERROR(VLOOKUP(EI12,IN_Zugliste!$A$4:$D$2002,4,FALSE),"")</f>
        <v/>
      </c>
      <c r="EJ111" t="str">
        <f>+IFERROR(VLOOKUP(EJ12,IN_Zugliste!$A$4:$D$2002,4,FALSE),"")</f>
        <v/>
      </c>
      <c r="EK111" t="str">
        <f>+IFERROR(VLOOKUP(EK12,IN_Zugliste!$A$4:$D$2002,4,FALSE),"")</f>
        <v/>
      </c>
      <c r="EL111" t="str">
        <f>+IFERROR(VLOOKUP(EL12,IN_Zugliste!$A$4:$D$2002,4,FALSE),"")</f>
        <v/>
      </c>
      <c r="EM111" t="str">
        <f>+IFERROR(VLOOKUP(EM12,IN_Zugliste!$A$4:$D$2002,4,FALSE),"")</f>
        <v/>
      </c>
      <c r="EN111" t="str">
        <f>+IFERROR(VLOOKUP(EN12,IN_Zugliste!$A$4:$D$2002,4,FALSE),"")</f>
        <v/>
      </c>
      <c r="EO111" t="str">
        <f>+IFERROR(VLOOKUP(EO12,IN_Zugliste!$A$4:$D$2002,4,FALSE),"")</f>
        <v/>
      </c>
      <c r="EP111" t="str">
        <f>+IFERROR(VLOOKUP(EP12,IN_Zugliste!$A$4:$D$2002,4,FALSE),"")</f>
        <v/>
      </c>
      <c r="EQ111" t="str">
        <f>+IFERROR(VLOOKUP(EQ12,IN_Zugliste!$A$4:$D$2002,4,FALSE),"")</f>
        <v/>
      </c>
      <c r="ER111" t="str">
        <f>+IFERROR(VLOOKUP(ER12,IN_Zugliste!$A$4:$D$2002,4,FALSE),"")</f>
        <v/>
      </c>
      <c r="ES111" t="str">
        <f>+IFERROR(VLOOKUP(ES12,IN_Zugliste!$A$4:$D$2002,4,FALSE),"")</f>
        <v/>
      </c>
      <c r="ET111" t="str">
        <f>+IFERROR(VLOOKUP(ET12,IN_Zugliste!$A$4:$D$2002,4,FALSE),"")</f>
        <v/>
      </c>
      <c r="EU111" t="str">
        <f>+IFERROR(VLOOKUP(EU12,IN_Zugliste!$A$4:$D$2002,4,FALSE),"")</f>
        <v/>
      </c>
      <c r="EV111" t="str">
        <f>+IFERROR(VLOOKUP(EV12,IN_Zugliste!$A$4:$D$2002,4,FALSE),"")</f>
        <v/>
      </c>
      <c r="EW111" t="str">
        <f>+IFERROR(VLOOKUP(EW12,IN_Zugliste!$A$4:$D$2002,4,FALSE),"")</f>
        <v/>
      </c>
      <c r="EX111" t="str">
        <f>+IFERROR(VLOOKUP(EX12,IN_Zugliste!$A$4:$D$2002,4,FALSE),"")</f>
        <v/>
      </c>
      <c r="EY111" t="str">
        <f>+IFERROR(VLOOKUP(EY12,IN_Zugliste!$A$4:$D$2002,4,FALSE),"")</f>
        <v/>
      </c>
      <c r="EZ111" t="str">
        <f>+IFERROR(VLOOKUP(EZ12,IN_Zugliste!$A$4:$D$2002,4,FALSE),"")</f>
        <v/>
      </c>
      <c r="FA111" t="str">
        <f>+IFERROR(VLOOKUP(FA12,IN_Zugliste!$A$4:$D$2002,4,FALSE),"")</f>
        <v/>
      </c>
      <c r="FB111" t="str">
        <f>+IFERROR(VLOOKUP(FB12,IN_Zugliste!$A$4:$D$2002,4,FALSE),"")</f>
        <v/>
      </c>
      <c r="FC111" t="str">
        <f>+IFERROR(VLOOKUP(FC12,IN_Zugliste!$A$4:$D$2002,4,FALSE),"")</f>
        <v/>
      </c>
      <c r="FD111" t="str">
        <f>+IFERROR(VLOOKUP(FD12,IN_Zugliste!$A$4:$D$2002,4,FALSE),"")</f>
        <v/>
      </c>
      <c r="FE111" t="str">
        <f>+IFERROR(VLOOKUP(FE12,IN_Zugliste!$A$4:$D$2002,4,FALSE),"")</f>
        <v/>
      </c>
      <c r="FF111" t="str">
        <f>+IFERROR(VLOOKUP(FF12,IN_Zugliste!$A$4:$D$2002,4,FALSE),"")</f>
        <v/>
      </c>
      <c r="FG111" t="str">
        <f>+IFERROR(VLOOKUP(FG12,IN_Zugliste!$A$4:$D$2002,4,FALSE),"")</f>
        <v/>
      </c>
      <c r="FH111" t="str">
        <f>+IFERROR(VLOOKUP(FH12,IN_Zugliste!$A$4:$D$2002,4,FALSE),"")</f>
        <v/>
      </c>
      <c r="FI111" t="str">
        <f>+IFERROR(VLOOKUP(FI12,IN_Zugliste!$A$4:$D$2002,4,FALSE),"")</f>
        <v/>
      </c>
      <c r="FJ111" t="str">
        <f>+IFERROR(VLOOKUP(FJ12,IN_Zugliste!$A$4:$D$2002,4,FALSE),"")</f>
        <v/>
      </c>
      <c r="FK111" t="str">
        <f>+IFERROR(VLOOKUP(FK12,IN_Zugliste!$A$4:$D$2002,4,FALSE),"")</f>
        <v/>
      </c>
      <c r="FL111" t="str">
        <f>+IFERROR(VLOOKUP(FL12,IN_Zugliste!$A$4:$D$2002,4,FALSE),"")</f>
        <v/>
      </c>
      <c r="FM111" t="str">
        <f>+IFERROR(VLOOKUP(FM12,IN_Zugliste!$A$4:$C$2002,4,FALSE),"")</f>
        <v/>
      </c>
      <c r="FN111" t="str">
        <f>+IFERROR(VLOOKUP(FN12,IN_Zugliste!$A$4:$C$2002,4,FALSE),"")</f>
        <v/>
      </c>
      <c r="FO111" t="str">
        <f>+IFERROR(VLOOKUP(FO12,IN_Zugliste!$A$4:$C$2002,4,FALSE),"")</f>
        <v/>
      </c>
      <c r="FP111" t="str">
        <f>+IFERROR(VLOOKUP(FP12,IN_Zugliste!$A$4:$C$2002,4,FALSE),"")</f>
        <v/>
      </c>
      <c r="FQ111" t="str">
        <f>+IFERROR(VLOOKUP(FQ12,IN_Zugliste!$A$4:$C$2002,4,FALSE),"")</f>
        <v/>
      </c>
      <c r="FR111" t="str">
        <f>+IFERROR(VLOOKUP(FR12,IN_Zugliste!$A$4:$C$2002,4,FALSE),"")</f>
        <v/>
      </c>
      <c r="FS111" t="str">
        <f>+IFERROR(VLOOKUP(FS12,IN_Zugliste!$A$4:$C$2002,4,FALSE),"")</f>
        <v/>
      </c>
      <c r="FT111" t="str">
        <f>+IFERROR(VLOOKUP(FT12,IN_Zugliste!$A$4:$C$2002,4,FALSE),"")</f>
        <v/>
      </c>
      <c r="FU111" t="str">
        <f>+IFERROR(VLOOKUP(FU12,IN_Zugliste!$A$4:$C$2002,4,FALSE),"")</f>
        <v/>
      </c>
      <c r="FV111" t="str">
        <f>+IFERROR(VLOOKUP(FV12,IN_Zugliste!$A$4:$C$2002,4,FALSE),"")</f>
        <v/>
      </c>
      <c r="FW111" t="str">
        <f>+IFERROR(VLOOKUP(FW12,IN_Zugliste!$A$4:$C$2002,4,FALSE),"")</f>
        <v/>
      </c>
      <c r="FX111" t="str">
        <f>+IFERROR(VLOOKUP(FX12,IN_Zugliste!$A$4:$C$2002,4,FALSE),"")</f>
        <v/>
      </c>
      <c r="FY111" t="str">
        <f>+IFERROR(VLOOKUP(FY12,IN_Zugliste!$A$4:$C$2002,4,FALSE),"")</f>
        <v/>
      </c>
      <c r="FZ111" t="str">
        <f>+IFERROR(VLOOKUP(FZ12,IN_Zugliste!$A$4:$C$2002,4,FALSE),"")</f>
        <v/>
      </c>
      <c r="GA111" t="str">
        <f>+IFERROR(VLOOKUP(GA12,IN_Zugliste!$A$4:$C$2002,4,FALSE),"")</f>
        <v/>
      </c>
      <c r="GB111" t="str">
        <f>+IFERROR(VLOOKUP(GB12,IN_Zugliste!$A$4:$C$2002,4,FALSE),"")</f>
        <v/>
      </c>
      <c r="GC111" t="str">
        <f>+IFERROR(VLOOKUP(GC12,IN_Zugliste!$A$4:$C$2002,4,FALSE),"")</f>
        <v/>
      </c>
      <c r="GD111" t="str">
        <f>+IFERROR(VLOOKUP(GD12,IN_Zugliste!$A$4:$C$2002,4,FALSE),"")</f>
        <v/>
      </c>
      <c r="GE111" t="str">
        <f>+IFERROR(VLOOKUP(GE12,IN_Zugliste!$A$4:$C$2002,4,FALSE),"")</f>
        <v/>
      </c>
      <c r="GF111" t="str">
        <f>+IFERROR(VLOOKUP(GF12,IN_Zugliste!$A$4:$C$2002,4,FALSE),"")</f>
        <v/>
      </c>
      <c r="GG111" t="str">
        <f>+IFERROR(VLOOKUP(GG12,IN_Zugliste!$A$4:$C$2002,4,FALSE),"")</f>
        <v/>
      </c>
      <c r="GH111" t="str">
        <f>+IFERROR(VLOOKUP(GH12,IN_Zugliste!$A$4:$C$2002,4,FALSE),"")</f>
        <v/>
      </c>
      <c r="GI111" t="str">
        <f>+IFERROR(VLOOKUP(GI12,IN_Zugliste!$A$4:$C$2002,4,FALSE),"")</f>
        <v/>
      </c>
      <c r="GJ111" t="str">
        <f>+IFERROR(VLOOKUP(GJ12,IN_Zugliste!$A$4:$C$2002,4,FALSE),"")</f>
        <v/>
      </c>
      <c r="GK111" t="str">
        <f>+IFERROR(VLOOKUP(GK12,IN_Zugliste!$A$4:$C$2002,4,FALSE),"")</f>
        <v/>
      </c>
      <c r="GL111" t="str">
        <f>+IFERROR(VLOOKUP(GL12,IN_Zugliste!$A$4:$C$2002,4,FALSE),"")</f>
        <v/>
      </c>
      <c r="GM111" t="str">
        <f>+IFERROR(VLOOKUP(GM12,IN_Zugliste!$A$4:$C$2002,4,FALSE),"")</f>
        <v/>
      </c>
      <c r="GN111" t="str">
        <f>+IFERROR(VLOOKUP(GN12,IN_Zugliste!$A$4:$C$2002,4,FALSE),"")</f>
        <v/>
      </c>
      <c r="GO111" t="str">
        <f>+IFERROR(VLOOKUP(GO12,IN_Zugliste!$A$4:$C$2002,4,FALSE),"")</f>
        <v/>
      </c>
      <c r="GP111" t="str">
        <f>+IFERROR(VLOOKUP(GP12,IN_Zugliste!$A$4:$C$2002,4,FALSE),"")</f>
        <v/>
      </c>
      <c r="GQ111" t="str">
        <f>+IFERROR(VLOOKUP(GQ12,IN_Zugliste!$A$4:$C$2002,4,FALSE),"")</f>
        <v/>
      </c>
      <c r="GR111" t="str">
        <f>+IFERROR(VLOOKUP(GR12,IN_Zugliste!$A$4:$C$2002,4,FALSE),"")</f>
        <v/>
      </c>
      <c r="GS111" t="str">
        <f>+IFERROR(VLOOKUP(GS12,IN_Zugliste!$A$4:$C$2002,4,FALSE),"")</f>
        <v/>
      </c>
      <c r="GT111" t="str">
        <f>+IFERROR(VLOOKUP(GT12,IN_Zugliste!$A$4:$C$2002,4,FALSE),"")</f>
        <v/>
      </c>
      <c r="GU111" t="str">
        <f>+IFERROR(VLOOKUP(GU12,IN_Zugliste!$A$4:$C$2002,4,FALSE),"")</f>
        <v/>
      </c>
      <c r="GV111" t="str">
        <f>+IFERROR(VLOOKUP(GV12,IN_Zugliste!$A$4:$C$2002,4,FALSE),"")</f>
        <v/>
      </c>
      <c r="GW111" t="str">
        <f>+IFERROR(VLOOKUP(GW12,IN_Zugliste!$A$4:$C$2002,4,FALSE),"")</f>
        <v/>
      </c>
      <c r="GX111" t="str">
        <f>+IFERROR(VLOOKUP(GX12,IN_Zugliste!$A$4:$C$2002,4,FALSE),"")</f>
        <v/>
      </c>
      <c r="GY111" t="str">
        <f>+IFERROR(VLOOKUP(GY12,IN_Zugliste!$A$4:$C$2002,4,FALSE),"")</f>
        <v/>
      </c>
      <c r="GZ111" t="str">
        <f>+IFERROR(VLOOKUP(GZ12,IN_Zugliste!$A$4:$C$2002,4,FALSE),"")</f>
        <v/>
      </c>
      <c r="HA111" t="str">
        <f>+IFERROR(VLOOKUP(HA12,IN_Zugliste!$A$4:$C$2002,4,FALSE),"")</f>
        <v/>
      </c>
      <c r="HB111" t="str">
        <f>+IFERROR(VLOOKUP(HB12,IN_Zugliste!$A$4:$C$2002,4,FALSE),"")</f>
        <v/>
      </c>
      <c r="HC111" t="str">
        <f>+IFERROR(VLOOKUP(HC12,IN_Zugliste!$A$4:$C$2002,4,FALSE),"")</f>
        <v/>
      </c>
      <c r="HD111" t="str">
        <f>+IFERROR(VLOOKUP(HD12,IN_Zugliste!$A$4:$C$2002,4,FALSE),"")</f>
        <v/>
      </c>
      <c r="HE111" t="str">
        <f>+IFERROR(VLOOKUP(HE12,IN_Zugliste!$A$4:$C$2002,4,FALSE),"")</f>
        <v/>
      </c>
      <c r="HF111" t="str">
        <f>+IFERROR(VLOOKUP(HF12,IN_Zugliste!$A$4:$C$2002,4,FALSE),"")</f>
        <v/>
      </c>
      <c r="HG111" t="str">
        <f>+IFERROR(VLOOKUP(HG12,IN_Zugliste!$A$4:$C$2002,4,FALSE),"")</f>
        <v/>
      </c>
      <c r="HH111" t="str">
        <f>+IFERROR(VLOOKUP(HH12,IN_Zugliste!$A$4:$C$2002,4,FALSE),"")</f>
        <v/>
      </c>
      <c r="HI111" t="str">
        <f>+IFERROR(VLOOKUP(HI12,IN_Zugliste!$A$4:$C$2002,4,FALSE),"")</f>
        <v/>
      </c>
      <c r="HJ111" t="str">
        <f>+IFERROR(VLOOKUP(HJ12,IN_Zugliste!$A$4:$C$2002,4,FALSE),"")</f>
        <v/>
      </c>
      <c r="HK111" t="str">
        <f>+IFERROR(VLOOKUP(HK12,IN_Zugliste!$A$4:$C$2002,4,FALSE),"")</f>
        <v/>
      </c>
      <c r="HL111" t="str">
        <f>+IFERROR(VLOOKUP(HL12,IN_Zugliste!$A$4:$C$2002,4,FALSE),"")</f>
        <v/>
      </c>
      <c r="HM111" t="str">
        <f>+IFERROR(VLOOKUP(HM12,IN_Zugliste!$A$4:$C$2002,4,FALSE),"")</f>
        <v/>
      </c>
      <c r="HN111" t="str">
        <f>+IFERROR(VLOOKUP(HN12,IN_Zugliste!$A$4:$C$2002,4,FALSE),"")</f>
        <v/>
      </c>
      <c r="HO111" t="str">
        <f>+IFERROR(VLOOKUP(HO12,IN_Zugliste!$A$4:$C$2002,4,FALSE),"")</f>
        <v/>
      </c>
      <c r="HP111" t="str">
        <f>+IFERROR(VLOOKUP(HP12,IN_Zugliste!$A$4:$C$2002,4,FALSE),"")</f>
        <v/>
      </c>
      <c r="HQ111" t="str">
        <f>+IFERROR(VLOOKUP(HQ12,IN_Zugliste!$A$4:$C$2002,4,FALSE),"")</f>
        <v/>
      </c>
      <c r="HR111" t="str">
        <f>+IFERROR(VLOOKUP(HR12,IN_Zugliste!$A$4:$C$2002,4,FALSE),"")</f>
        <v/>
      </c>
      <c r="HS111" t="str">
        <f>+IFERROR(VLOOKUP(HS12,IN_Zugliste!$A$4:$C$2002,4,FALSE),"")</f>
        <v/>
      </c>
      <c r="HT111" t="str">
        <f>+IFERROR(VLOOKUP(HT12,IN_Zugliste!$A$4:$C$2002,4,FALSE),"")</f>
        <v/>
      </c>
      <c r="HU111" t="str">
        <f>+IFERROR(VLOOKUP(HU12,IN_Zugliste!$A$4:$C$2002,4,FALSE),"")</f>
        <v/>
      </c>
      <c r="HV111" t="str">
        <f>+IFERROR(VLOOKUP(HV12,IN_Zugliste!$A$4:$C$2002,4,FALSE),"")</f>
        <v/>
      </c>
      <c r="HW111" t="str">
        <f>+IFERROR(VLOOKUP(HW12,IN_Zugliste!$A$4:$C$2002,4,FALSE),"")</f>
        <v/>
      </c>
      <c r="HX111" t="str">
        <f>+IFERROR(VLOOKUP(HX12,IN_Zugliste!$A$4:$C$2002,4,FALSE),"")</f>
        <v/>
      </c>
      <c r="HY111" t="str">
        <f>+IFERROR(VLOOKUP(HY12,IN_Zugliste!$A$4:$C$2002,4,FALSE),"")</f>
        <v/>
      </c>
      <c r="HZ111" t="str">
        <f>+IFERROR(VLOOKUP(HZ12,IN_Zugliste!$A$4:$C$2002,4,FALSE),"")</f>
        <v/>
      </c>
      <c r="IA111" t="str">
        <f>+IFERROR(VLOOKUP(IA12,IN_Zugliste!$A$4:$C$2002,4,FALSE),"")</f>
        <v/>
      </c>
      <c r="IB111" t="str">
        <f>+IFERROR(VLOOKUP(IB12,IN_Zugliste!$A$4:$C$2002,4,FALSE),"")</f>
        <v/>
      </c>
      <c r="IC111" t="str">
        <f>+IFERROR(VLOOKUP(IC12,IN_Zugliste!$A$4:$C$2002,4,FALSE),"")</f>
        <v/>
      </c>
      <c r="ID111" t="str">
        <f>+IFERROR(VLOOKUP(ID12,IN_Zugliste!$A$4:$C$2002,4,FALSE),"")</f>
        <v/>
      </c>
      <c r="IE111" t="str">
        <f>+IFERROR(VLOOKUP(IE12,IN_Zugliste!$A$4:$C$2002,4,FALSE),"")</f>
        <v/>
      </c>
      <c r="IF111" t="str">
        <f>+IFERROR(VLOOKUP(IF12,IN_Zugliste!$A$4:$C$2002,4,FALSE),"")</f>
        <v/>
      </c>
      <c r="IG111" t="str">
        <f>+IFERROR(VLOOKUP(IG12,IN_Zugliste!$A$4:$C$2002,4,FALSE),"")</f>
        <v/>
      </c>
      <c r="IH111" t="str">
        <f>+IFERROR(VLOOKUP(IH12,IN_Zugliste!$A$4:$C$2002,4,FALSE),"")</f>
        <v/>
      </c>
      <c r="II111" t="str">
        <f>+IFERROR(VLOOKUP(II12,IN_Zugliste!$A$4:$C$2002,4,FALSE),"")</f>
        <v/>
      </c>
      <c r="IJ111" t="str">
        <f>+IFERROR(VLOOKUP(IJ12,IN_Zugliste!$A$4:$C$2002,4,FALSE),"")</f>
        <v/>
      </c>
      <c r="IK111" t="str">
        <f>+IFERROR(VLOOKUP(IK12,IN_Zugliste!$A$4:$C$2002,4,FALSE),"")</f>
        <v/>
      </c>
      <c r="IL111" t="str">
        <f>+IFERROR(VLOOKUP(IL12,IN_Zugliste!$A$4:$C$2002,4,FALSE),"")</f>
        <v/>
      </c>
      <c r="IM111" t="str">
        <f>+IFERROR(VLOOKUP(IM12,IN_Zugliste!$A$4:$C$2002,4,FALSE),"")</f>
        <v/>
      </c>
      <c r="IN111" t="str">
        <f>+IFERROR(VLOOKUP(IN12,IN_Zugliste!$A$4:$C$2002,4,FALSE),"")</f>
        <v/>
      </c>
      <c r="IO111" t="str">
        <f>+IFERROR(VLOOKUP(IO12,IN_Zugliste!$A$4:$C$2002,4,FALSE),"")</f>
        <v/>
      </c>
      <c r="IP111" t="str">
        <f>+IFERROR(VLOOKUP(IP12,IN_Zugliste!$A$4:$C$2002,4,FALSE),"")</f>
        <v/>
      </c>
      <c r="IQ111" t="str">
        <f>+IFERROR(VLOOKUP(IQ12,IN_Zugliste!$A$4:$C$2002,4,FALSE),"")</f>
        <v/>
      </c>
      <c r="IR111" t="str">
        <f>+IFERROR(VLOOKUP(IR12,IN_Zugliste!$A$4:$C$2002,4,FALSE),"")</f>
        <v/>
      </c>
      <c r="IS111" t="str">
        <f>+IFERROR(VLOOKUP(IS12,IN_Zugliste!$A$4:$C$2002,4,FALSE),"")</f>
        <v/>
      </c>
      <c r="IT111" t="str">
        <f>+IFERROR(VLOOKUP(IT12,IN_Zugliste!$A$4:$C$2002,4,FALSE),"")</f>
        <v/>
      </c>
      <c r="IU111" t="str">
        <f>+IFERROR(VLOOKUP(IU12,IN_Zugliste!$A$4:$C$2002,4,FALSE),"")</f>
        <v/>
      </c>
      <c r="IV111" t="str">
        <f>+IFERROR(VLOOKUP(IV12,IN_Zugliste!$A$4:$C$2002,4,FALSE),"")</f>
        <v/>
      </c>
      <c r="IW111" t="str">
        <f>+IFERROR(VLOOKUP(IW12,IN_Zugliste!$A$4:$C$2002,4,FALSE),"")</f>
        <v/>
      </c>
      <c r="IX111" t="str">
        <f>+IFERROR(VLOOKUP(IX12,IN_Zugliste!$A$4:$C$2002,4,FALSE),"")</f>
        <v/>
      </c>
      <c r="IY111" t="str">
        <f>+IFERROR(VLOOKUP(IY12,IN_Zugliste!$A$4:$C$2002,4,FALSE),"")</f>
        <v/>
      </c>
      <c r="IZ111" t="str">
        <f>+IFERROR(VLOOKUP(IZ12,IN_Zugliste!$A$4:$C$2002,4,FALSE),"")</f>
        <v/>
      </c>
      <c r="JA111" t="str">
        <f>+IFERROR(VLOOKUP(JA12,IN_Zugliste!$A$4:$C$2002,4,FALSE),"")</f>
        <v/>
      </c>
      <c r="JB111" t="str">
        <f>+IFERROR(VLOOKUP(JB12,IN_Zugliste!$A$4:$C$2002,4,FALSE),"")</f>
        <v/>
      </c>
      <c r="JC111" t="str">
        <f>+IFERROR(VLOOKUP(JC12,IN_Zugliste!$A$4:$C$2002,4,FALSE),"")</f>
        <v/>
      </c>
      <c r="JD111" t="str">
        <f>+IFERROR(VLOOKUP(JD12,IN_Zugliste!$A$4:$C$2002,4,FALSE),"")</f>
        <v/>
      </c>
      <c r="JE111" t="str">
        <f>+IFERROR(VLOOKUP(JE12,IN_Zugliste!$A$4:$C$2002,4,FALSE),"")</f>
        <v/>
      </c>
      <c r="JF111" t="str">
        <f>+IFERROR(VLOOKUP(JF12,IN_Zugliste!$A$4:$C$2002,4,FALSE),"")</f>
        <v/>
      </c>
      <c r="JG111" t="str">
        <f>+IFERROR(VLOOKUP(JG12,IN_Zugliste!$A$4:$C$2002,4,FALSE),"")</f>
        <v/>
      </c>
      <c r="JH111" t="str">
        <f>+IFERROR(VLOOKUP(JH12,IN_Zugliste!$A$4:$C$2002,4,FALSE),"")</f>
        <v/>
      </c>
      <c r="JI111" t="str">
        <f>+IFERROR(VLOOKUP(JI12,IN_Zugliste!$A$4:$C$2002,4,FALSE),"")</f>
        <v/>
      </c>
      <c r="JJ111" t="str">
        <f>+IFERROR(VLOOKUP(JJ12,IN_Zugliste!$A$4:$C$2002,4,FALSE),"")</f>
        <v/>
      </c>
      <c r="JK111" t="str">
        <f>+IFERROR(VLOOKUP(JK12,IN_Zugliste!$A$4:$C$2002,4,FALSE),"")</f>
        <v/>
      </c>
      <c r="JL111" t="str">
        <f>+IFERROR(VLOOKUP(JL12,IN_Zugliste!$A$4:$C$2002,4,FALSE),"")</f>
        <v/>
      </c>
    </row>
    <row r="112" spans="1:272" x14ac:dyDescent="0.2">
      <c r="A112" t="str">
        <f>+IFERROR(VLOOKUP(A13,IN_Zugliste!$A$4:$D$2002,4,FALSE),"")</f>
        <v/>
      </c>
      <c r="B112" t="str">
        <f>+IFERROR(VLOOKUP(B13,IN_Zugliste!$A$4:$D$2002,4,FALSE),"")</f>
        <v/>
      </c>
      <c r="C112" t="str">
        <f>+IFERROR(VLOOKUP(C13,IN_Zugliste!$A$4:$D$2002,4,FALSE),"")</f>
        <v/>
      </c>
      <c r="D112" t="str">
        <f>+IFERROR(VLOOKUP(D13,IN_Zugliste!$A$4:$D$2002,4,FALSE),"")</f>
        <v/>
      </c>
      <c r="E112" t="str">
        <f>+IFERROR(VLOOKUP(E13,IN_Zugliste!$A$4:$D$2002,4,FALSE),"")</f>
        <v/>
      </c>
      <c r="F112" t="str">
        <f>+IFERROR(VLOOKUP(F13,IN_Zugliste!$A$4:$D$2002,4,FALSE),"")</f>
        <v/>
      </c>
      <c r="G112" t="str">
        <f>+IFERROR(VLOOKUP(G13,IN_Zugliste!$A$4:$D$2002,4,FALSE),"")</f>
        <v/>
      </c>
      <c r="H112" t="str">
        <f>+IFERROR(VLOOKUP(H13,IN_Zugliste!$A$4:$D$2002,4,FALSE),"")</f>
        <v/>
      </c>
      <c r="I112" t="str">
        <f>+IFERROR(VLOOKUP(I13,IN_Zugliste!$A$4:$D$2002,4,FALSE),"")</f>
        <v/>
      </c>
      <c r="J112" t="str">
        <f>+IFERROR(VLOOKUP(J13,IN_Zugliste!$A$4:$D$2002,4,FALSE),"")</f>
        <v/>
      </c>
      <c r="K112" t="str">
        <f>+IFERROR(VLOOKUP(K13,IN_Zugliste!$A$4:$D$2002,4,FALSE),"")</f>
        <v/>
      </c>
      <c r="L112" t="str">
        <f>+IFERROR(VLOOKUP(L13,IN_Zugliste!$A$4:$D$2002,4,FALSE),"")</f>
        <v/>
      </c>
      <c r="M112" t="str">
        <f>+IFERROR(VLOOKUP(M13,IN_Zugliste!$A$4:$D$2002,4,FALSE),"")</f>
        <v/>
      </c>
      <c r="N112" t="str">
        <f>+IFERROR(VLOOKUP(N13,IN_Zugliste!$A$4:$D$2002,4,FALSE),"")</f>
        <v/>
      </c>
      <c r="O112" t="str">
        <f>+IFERROR(VLOOKUP(O13,IN_Zugliste!$A$4:$D$2002,4,FALSE),"")</f>
        <v/>
      </c>
      <c r="P112" t="str">
        <f>+IFERROR(VLOOKUP(P13,IN_Zugliste!$A$4:$D$2002,4,FALSE),"")</f>
        <v/>
      </c>
      <c r="Q112" t="str">
        <f>+IFERROR(VLOOKUP(Q13,IN_Zugliste!$A$4:$D$2002,4,FALSE),"")</f>
        <v/>
      </c>
      <c r="R112" t="str">
        <f>+IFERROR(VLOOKUP(R13,IN_Zugliste!$A$4:$D$2002,4,FALSE),"")</f>
        <v/>
      </c>
      <c r="S112" t="str">
        <f>+IFERROR(VLOOKUP(S13,IN_Zugliste!$A$4:$D$2002,4,FALSE),"")</f>
        <v/>
      </c>
      <c r="T112" t="str">
        <f>+IFERROR(VLOOKUP(T13,IN_Zugliste!$A$4:$D$2002,4,FALSE),"")</f>
        <v/>
      </c>
      <c r="U112" t="str">
        <f>+IFERROR(VLOOKUP(U13,IN_Zugliste!$A$4:$D$2002,4,FALSE),"")</f>
        <v/>
      </c>
      <c r="V112" t="str">
        <f>+IFERROR(VLOOKUP(V13,IN_Zugliste!$A$4:$D$2002,4,FALSE),"")</f>
        <v/>
      </c>
      <c r="W112" t="str">
        <f>+IFERROR(VLOOKUP(W13,IN_Zugliste!$A$4:$D$2002,4,FALSE),"")</f>
        <v/>
      </c>
      <c r="X112" t="str">
        <f>+IFERROR(VLOOKUP(X13,IN_Zugliste!$A$4:$D$2002,4,FALSE),"")</f>
        <v/>
      </c>
      <c r="Y112" t="str">
        <f>+IFERROR(VLOOKUP(Y13,IN_Zugliste!$A$4:$D$2002,4,FALSE),"")</f>
        <v/>
      </c>
      <c r="Z112" t="str">
        <f>+IFERROR(VLOOKUP(Z13,IN_Zugliste!$A$4:$D$2002,4,FALSE),"")</f>
        <v/>
      </c>
      <c r="AA112" t="str">
        <f>+IFERROR(VLOOKUP(AA13,IN_Zugliste!$A$4:$D$2002,4,FALSE),"")</f>
        <v/>
      </c>
      <c r="AB112" t="str">
        <f>+IFERROR(VLOOKUP(AB13,IN_Zugliste!$A$4:$D$2002,4,FALSE),"")</f>
        <v/>
      </c>
      <c r="AC112" t="str">
        <f>+IFERROR(VLOOKUP(AC13,IN_Zugliste!$A$4:$D$2002,4,FALSE),"")</f>
        <v/>
      </c>
      <c r="AD112" t="str">
        <f>+IFERROR(VLOOKUP(AD13,IN_Zugliste!$A$4:$D$2002,4,FALSE),"")</f>
        <v/>
      </c>
      <c r="AE112" t="str">
        <f>+IFERROR(VLOOKUP(AE13,IN_Zugliste!$A$4:$D$2002,4,FALSE),"")</f>
        <v/>
      </c>
      <c r="AF112" t="str">
        <f>+IFERROR(VLOOKUP(AF13,IN_Zugliste!$A$4:$D$2002,4,FALSE),"")</f>
        <v/>
      </c>
      <c r="AG112" t="str">
        <f>+IFERROR(VLOOKUP(AG13,IN_Zugliste!$A$4:$D$2002,4,FALSE),"")</f>
        <v/>
      </c>
      <c r="AH112" t="str">
        <f>+IFERROR(VLOOKUP(AH13,IN_Zugliste!$A$4:$D$2002,4,FALSE),"")</f>
        <v/>
      </c>
      <c r="AI112" t="str">
        <f>+IFERROR(VLOOKUP(AI13,IN_Zugliste!$A$4:$D$2002,4,FALSE),"")</f>
        <v/>
      </c>
      <c r="AJ112" t="str">
        <f>+IFERROR(VLOOKUP(AJ13,IN_Zugliste!$A$4:$D$2002,4,FALSE),"")</f>
        <v/>
      </c>
      <c r="AK112" t="str">
        <f>+IFERROR(VLOOKUP(AK13,IN_Zugliste!$A$4:$D$2002,4,FALSE),"")</f>
        <v/>
      </c>
      <c r="AL112" t="str">
        <f>+IFERROR(VLOOKUP(AL13,IN_Zugliste!$A$4:$D$2002,4,FALSE),"")</f>
        <v/>
      </c>
      <c r="AM112" t="str">
        <f>+IFERROR(VLOOKUP(AM13,IN_Zugliste!$A$4:$D$2002,4,FALSE),"")</f>
        <v/>
      </c>
      <c r="AN112" t="str">
        <f>+IFERROR(VLOOKUP(AN13,IN_Zugliste!$A$4:$D$2002,4,FALSE),"")</f>
        <v/>
      </c>
      <c r="AO112" t="str">
        <f>+IFERROR(VLOOKUP(AO13,IN_Zugliste!$A$4:$D$2002,4,FALSE),"")</f>
        <v/>
      </c>
      <c r="AP112" t="str">
        <f>+IFERROR(VLOOKUP(AP13,IN_Zugliste!$A$4:$D$2002,4,FALSE),"")</f>
        <v/>
      </c>
      <c r="AQ112" t="str">
        <f>+IFERROR(VLOOKUP(AQ13,IN_Zugliste!$A$4:$D$2002,4,FALSE),"")</f>
        <v/>
      </c>
      <c r="AR112" t="str">
        <f>+IFERROR(VLOOKUP(AR13,IN_Zugliste!$A$4:$D$2002,4,FALSE),"")</f>
        <v/>
      </c>
      <c r="AS112" t="str">
        <f>+IFERROR(VLOOKUP(AS13,IN_Zugliste!$A$4:$D$2002,4,FALSE),"")</f>
        <v/>
      </c>
      <c r="AT112" t="str">
        <f>+IFERROR(VLOOKUP(AT13,IN_Zugliste!$A$4:$D$2002,4,FALSE),"")</f>
        <v/>
      </c>
      <c r="AU112" t="str">
        <f>+IFERROR(VLOOKUP(AU13,IN_Zugliste!$A$4:$D$2002,4,FALSE),"")</f>
        <v/>
      </c>
      <c r="AV112" t="str">
        <f>+IFERROR(VLOOKUP(AV13,IN_Zugliste!$A$4:$D$2002,4,FALSE),"")</f>
        <v/>
      </c>
      <c r="AW112" t="str">
        <f>+IFERROR(VLOOKUP(AW13,IN_Zugliste!$A$4:$D$2002,4,FALSE),"")</f>
        <v/>
      </c>
      <c r="AX112" t="str">
        <f>+IFERROR(VLOOKUP(AX13,IN_Zugliste!$A$4:$D$2002,4,FALSE),"")</f>
        <v/>
      </c>
      <c r="AY112" t="str">
        <f>+IFERROR(VLOOKUP(AY13,IN_Zugliste!$A$4:$D$2002,4,FALSE),"")</f>
        <v/>
      </c>
      <c r="AZ112" t="str">
        <f>+IFERROR(VLOOKUP(AZ13,IN_Zugliste!$A$4:$D$2002,4,FALSE),"")</f>
        <v/>
      </c>
      <c r="BA112" t="str">
        <f>+IFERROR(VLOOKUP(BA13,IN_Zugliste!$A$4:$D$2002,4,FALSE),"")</f>
        <v/>
      </c>
      <c r="BB112" t="str">
        <f>+IFERROR(VLOOKUP(BB13,IN_Zugliste!$A$4:$D$2002,4,FALSE),"")</f>
        <v/>
      </c>
      <c r="BC112" t="str">
        <f>+IFERROR(VLOOKUP(BC13,IN_Zugliste!$A$4:$D$2002,4,FALSE),"")</f>
        <v/>
      </c>
      <c r="BD112" t="str">
        <f>+IFERROR(VLOOKUP(BD13,IN_Zugliste!$A$4:$D$2002,4,FALSE),"")</f>
        <v/>
      </c>
      <c r="BE112" t="str">
        <f>+IFERROR(VLOOKUP(BE13,IN_Zugliste!$A$4:$D$2002,4,FALSE),"")</f>
        <v/>
      </c>
      <c r="BF112" t="str">
        <f>+IFERROR(VLOOKUP(BF13,IN_Zugliste!$A$4:$D$2002,4,FALSE),"")</f>
        <v/>
      </c>
      <c r="BG112" t="str">
        <f>+IFERROR(VLOOKUP(BG13,IN_Zugliste!$A$4:$D$2002,4,FALSE),"")</f>
        <v/>
      </c>
      <c r="BH112" t="str">
        <f>+IFERROR(VLOOKUP(BH13,IN_Zugliste!$A$4:$D$2002,4,FALSE),"")</f>
        <v/>
      </c>
      <c r="BI112" t="str">
        <f>+IFERROR(VLOOKUP(BI13,IN_Zugliste!$A$4:$D$2002,4,FALSE),"")</f>
        <v/>
      </c>
      <c r="BJ112" t="str">
        <f>+IFERROR(VLOOKUP(BJ13,IN_Zugliste!$A$4:$D$2002,4,FALSE),"")</f>
        <v/>
      </c>
      <c r="BK112" t="str">
        <f>+IFERROR(VLOOKUP(BK13,IN_Zugliste!$A$4:$D$2002,4,FALSE),"")</f>
        <v/>
      </c>
      <c r="BL112" t="str">
        <f>+IFERROR(VLOOKUP(BL13,IN_Zugliste!$A$4:$D$2002,4,FALSE),"")</f>
        <v/>
      </c>
      <c r="BM112" t="str">
        <f>+IFERROR(VLOOKUP(BM13,IN_Zugliste!$A$4:$D$2002,4,FALSE),"")</f>
        <v/>
      </c>
      <c r="BN112" t="str">
        <f>+IFERROR(VLOOKUP(BN13,IN_Zugliste!$A$4:$D$2002,4,FALSE),"")</f>
        <v/>
      </c>
      <c r="BO112" t="str">
        <f>+IFERROR(VLOOKUP(BO13,IN_Zugliste!$A$4:$D$2002,4,FALSE),"")</f>
        <v/>
      </c>
      <c r="BP112" t="str">
        <f>+IFERROR(VLOOKUP(BP13,IN_Zugliste!$A$4:$D$2002,4,FALSE),"")</f>
        <v/>
      </c>
      <c r="BQ112" t="str">
        <f>+IFERROR(VLOOKUP(BQ13,IN_Zugliste!$A$4:$D$2002,4,FALSE),"")</f>
        <v/>
      </c>
      <c r="BR112" t="str">
        <f>+IFERROR(VLOOKUP(BR13,IN_Zugliste!$A$4:$D$2002,4,FALSE),"")</f>
        <v/>
      </c>
      <c r="BS112" t="str">
        <f>+IFERROR(VLOOKUP(BS13,IN_Zugliste!$A$4:$D$2002,4,FALSE),"")</f>
        <v/>
      </c>
      <c r="BT112" t="str">
        <f>+IFERROR(VLOOKUP(BT13,IN_Zugliste!$A$4:$D$2002,4,FALSE),"")</f>
        <v/>
      </c>
      <c r="BU112" t="str">
        <f>+IFERROR(VLOOKUP(BU13,IN_Zugliste!$A$4:$D$2002,4,FALSE),"")</f>
        <v/>
      </c>
      <c r="BV112" t="str">
        <f>+IFERROR(VLOOKUP(BV13,IN_Zugliste!$A$4:$D$2002,4,FALSE),"")</f>
        <v/>
      </c>
      <c r="BW112" t="str">
        <f>+IFERROR(VLOOKUP(BW13,IN_Zugliste!$A$4:$D$2002,4,FALSE),"")</f>
        <v/>
      </c>
      <c r="BX112" t="str">
        <f>+IFERROR(VLOOKUP(BX13,IN_Zugliste!$A$4:$D$2002,4,FALSE),"")</f>
        <v/>
      </c>
      <c r="BY112" t="str">
        <f>+IFERROR(VLOOKUP(BY13,IN_Zugliste!$A$4:$D$2002,4,FALSE),"")</f>
        <v/>
      </c>
      <c r="BZ112" t="str">
        <f>+IFERROR(VLOOKUP(BZ13,IN_Zugliste!$A$4:$D$2002,4,FALSE),"")</f>
        <v/>
      </c>
      <c r="CA112" t="str">
        <f>+IFERROR(VLOOKUP(CA13,IN_Zugliste!$A$4:$D$2002,4,FALSE),"")</f>
        <v/>
      </c>
      <c r="CB112" t="str">
        <f>+IFERROR(VLOOKUP(CB13,IN_Zugliste!$A$4:$D$2002,4,FALSE),"")</f>
        <v/>
      </c>
      <c r="CC112" t="str">
        <f>+IFERROR(VLOOKUP(CC13,IN_Zugliste!$A$4:$D$2002,4,FALSE),"")</f>
        <v/>
      </c>
      <c r="CD112" t="str">
        <f>+IFERROR(VLOOKUP(CD13,IN_Zugliste!$A$4:$D$2002,4,FALSE),"")</f>
        <v/>
      </c>
      <c r="CE112" t="str">
        <f>+IFERROR(VLOOKUP(CE13,IN_Zugliste!$A$4:$D$2002,4,FALSE),"")</f>
        <v/>
      </c>
      <c r="CF112" t="str">
        <f>+IFERROR(VLOOKUP(CF13,IN_Zugliste!$A$4:$D$2002,4,FALSE),"")</f>
        <v/>
      </c>
      <c r="CG112" t="str">
        <f>+IFERROR(VLOOKUP(CG13,IN_Zugliste!$A$4:$D$2002,4,FALSE),"")</f>
        <v/>
      </c>
      <c r="CH112" t="str">
        <f>+IFERROR(VLOOKUP(CH13,IN_Zugliste!$A$4:$D$2002,4,FALSE),"")</f>
        <v/>
      </c>
      <c r="CI112" t="str">
        <f>+IFERROR(VLOOKUP(CI13,IN_Zugliste!$A$4:$D$2002,4,FALSE),"")</f>
        <v/>
      </c>
      <c r="CJ112" t="str">
        <f>+IFERROR(VLOOKUP(CJ13,IN_Zugliste!$A$4:$D$2002,4,FALSE),"")</f>
        <v/>
      </c>
      <c r="CK112" t="str">
        <f>+IFERROR(VLOOKUP(CK13,IN_Zugliste!$A$4:$D$2002,4,FALSE),"")</f>
        <v/>
      </c>
      <c r="CL112" t="str">
        <f>+IFERROR(VLOOKUP(CL13,IN_Zugliste!$A$4:$D$2002,4,FALSE),"")</f>
        <v/>
      </c>
      <c r="CM112" t="str">
        <f>+IFERROR(VLOOKUP(CM13,IN_Zugliste!$A$4:$D$2002,4,FALSE),"")</f>
        <v/>
      </c>
      <c r="CN112" t="str">
        <f>+IFERROR(VLOOKUP(CN13,IN_Zugliste!$A$4:$D$2002,4,FALSE),"")</f>
        <v/>
      </c>
      <c r="CO112" t="str">
        <f>+IFERROR(VLOOKUP(CO13,IN_Zugliste!$A$4:$D$2002,4,FALSE),"")</f>
        <v/>
      </c>
      <c r="CP112" t="str">
        <f>+IFERROR(VLOOKUP(CP13,IN_Zugliste!$A$4:$D$2002,4,FALSE),"")</f>
        <v/>
      </c>
      <c r="CQ112" t="str">
        <f>+IFERROR(VLOOKUP(CQ13,IN_Zugliste!$A$4:$D$2002,4,FALSE),"")</f>
        <v/>
      </c>
      <c r="CR112" t="str">
        <f>+IFERROR(VLOOKUP(CR13,IN_Zugliste!$A$4:$D$2002,4,FALSE),"")</f>
        <v/>
      </c>
      <c r="CS112" t="str">
        <f>+IFERROR(VLOOKUP(CS13,IN_Zugliste!$A$4:$D$2002,4,FALSE),"")</f>
        <v/>
      </c>
      <c r="CT112" t="str">
        <f>+IFERROR(VLOOKUP(CT13,IN_Zugliste!$A$4:$D$2002,4,FALSE),"")</f>
        <v/>
      </c>
      <c r="CU112" t="str">
        <f>+IFERROR(VLOOKUP(CU13,IN_Zugliste!$A$4:$D$2002,4,FALSE),"")</f>
        <v/>
      </c>
      <c r="CV112" t="str">
        <f>+IFERROR(VLOOKUP(CV13,IN_Zugliste!$A$4:$D$2002,4,FALSE),"")</f>
        <v/>
      </c>
      <c r="CW112" t="str">
        <f>+IFERROR(VLOOKUP(CW13,IN_Zugliste!$A$4:$D$2002,4,FALSE),"")</f>
        <v/>
      </c>
      <c r="CX112" t="str">
        <f>+IFERROR(VLOOKUP(CX13,IN_Zugliste!$A$4:$D$2002,4,FALSE),"")</f>
        <v/>
      </c>
      <c r="CY112" t="str">
        <f>+IFERROR(VLOOKUP(CY13,IN_Zugliste!$A$4:$D$2002,4,FALSE),"")</f>
        <v/>
      </c>
      <c r="CZ112" t="str">
        <f>+IFERROR(VLOOKUP(CZ13,IN_Zugliste!$A$4:$D$2002,4,FALSE),"")</f>
        <v/>
      </c>
      <c r="DA112" t="str">
        <f>+IFERROR(VLOOKUP(DA13,IN_Zugliste!$A$4:$D$2002,4,FALSE),"")</f>
        <v/>
      </c>
      <c r="DB112" t="str">
        <f>+IFERROR(VLOOKUP(DB13,IN_Zugliste!$A$4:$D$2002,4,FALSE),"")</f>
        <v/>
      </c>
      <c r="DC112" t="str">
        <f>+IFERROR(VLOOKUP(DC13,IN_Zugliste!$A$4:$D$2002,4,FALSE),"")</f>
        <v/>
      </c>
      <c r="DD112" t="str">
        <f>+IFERROR(VLOOKUP(DD13,IN_Zugliste!$A$4:$D$2002,4,FALSE),"")</f>
        <v/>
      </c>
      <c r="DE112" t="str">
        <f>+IFERROR(VLOOKUP(DE13,IN_Zugliste!$A$4:$D$2002,4,FALSE),"")</f>
        <v/>
      </c>
      <c r="DF112" t="str">
        <f>+IFERROR(VLOOKUP(DF13,IN_Zugliste!$A$4:$D$2002,4,FALSE),"")</f>
        <v/>
      </c>
      <c r="DG112" t="str">
        <f>+IFERROR(VLOOKUP(DG13,IN_Zugliste!$A$4:$D$2002,4,FALSE),"")</f>
        <v/>
      </c>
      <c r="DH112" t="str">
        <f>+IFERROR(VLOOKUP(DH13,IN_Zugliste!$A$4:$D$2002,4,FALSE),"")</f>
        <v/>
      </c>
      <c r="DI112" t="str">
        <f>+IFERROR(VLOOKUP(DI13,IN_Zugliste!$A$4:$D$2002,4,FALSE),"")</f>
        <v/>
      </c>
      <c r="DJ112" t="str">
        <f>+IFERROR(VLOOKUP(DJ13,IN_Zugliste!$A$4:$D$2002,4,FALSE),"")</f>
        <v/>
      </c>
      <c r="DK112" t="str">
        <f>+IFERROR(VLOOKUP(DK13,IN_Zugliste!$A$4:$D$2002,4,FALSE),"")</f>
        <v/>
      </c>
      <c r="DL112" t="str">
        <f>+IFERROR(VLOOKUP(DL13,IN_Zugliste!$A$4:$D$2002,4,FALSE),"")</f>
        <v/>
      </c>
      <c r="DM112" t="str">
        <f>+IFERROR(VLOOKUP(DM13,IN_Zugliste!$A$4:$D$2002,4,FALSE),"")</f>
        <v/>
      </c>
      <c r="DN112" t="str">
        <f>+IFERROR(VLOOKUP(DN13,IN_Zugliste!$A$4:$D$2002,4,FALSE),"")</f>
        <v/>
      </c>
      <c r="DO112" t="str">
        <f>+IFERROR(VLOOKUP(DO13,IN_Zugliste!$A$4:$D$2002,4,FALSE),"")</f>
        <v/>
      </c>
      <c r="DP112" t="str">
        <f>+IFERROR(VLOOKUP(DP13,IN_Zugliste!$A$4:$D$2002,4,FALSE),"")</f>
        <v/>
      </c>
      <c r="DQ112" t="str">
        <f>+IFERROR(VLOOKUP(DQ13,IN_Zugliste!$A$4:$D$2002,4,FALSE),"")</f>
        <v/>
      </c>
      <c r="DR112" t="str">
        <f>+IFERROR(VLOOKUP(DR13,IN_Zugliste!$A$4:$D$2002,4,FALSE),"")</f>
        <v/>
      </c>
      <c r="DS112" t="str">
        <f>+IFERROR(VLOOKUP(DS13,IN_Zugliste!$A$4:$D$2002,4,FALSE),"")</f>
        <v/>
      </c>
      <c r="DT112" t="str">
        <f>+IFERROR(VLOOKUP(DT13,IN_Zugliste!$A$4:$D$2002,4,FALSE),"")</f>
        <v/>
      </c>
      <c r="DU112" t="str">
        <f>+IFERROR(VLOOKUP(DU13,IN_Zugliste!$A$4:$D$2002,4,FALSE),"")</f>
        <v/>
      </c>
      <c r="DV112" t="str">
        <f>+IFERROR(VLOOKUP(DV13,IN_Zugliste!$A$4:$D$2002,4,FALSE),"")</f>
        <v/>
      </c>
      <c r="DW112" t="str">
        <f>+IFERROR(VLOOKUP(DW13,IN_Zugliste!$A$4:$D$2002,4,FALSE),"")</f>
        <v/>
      </c>
      <c r="DX112" t="str">
        <f>+IFERROR(VLOOKUP(DX13,IN_Zugliste!$A$4:$D$2002,4,FALSE),"")</f>
        <v/>
      </c>
      <c r="DY112" t="str">
        <f>+IFERROR(VLOOKUP(DY13,IN_Zugliste!$A$4:$D$2002,4,FALSE),"")</f>
        <v/>
      </c>
      <c r="DZ112" t="str">
        <f>+IFERROR(VLOOKUP(DZ13,IN_Zugliste!$A$4:$D$2002,4,FALSE),"")</f>
        <v/>
      </c>
      <c r="EA112" t="str">
        <f>+IFERROR(VLOOKUP(EA13,IN_Zugliste!$A$4:$D$2002,4,FALSE),"")</f>
        <v/>
      </c>
      <c r="EB112" t="str">
        <f>+IFERROR(VLOOKUP(EB13,IN_Zugliste!$A$4:$D$2002,4,FALSE),"")</f>
        <v/>
      </c>
      <c r="EC112" t="str">
        <f>+IFERROR(VLOOKUP(EC13,IN_Zugliste!$A$4:$D$2002,4,FALSE),"")</f>
        <v/>
      </c>
      <c r="ED112" t="str">
        <f>+IFERROR(VLOOKUP(ED13,IN_Zugliste!$A$4:$D$2002,4,FALSE),"")</f>
        <v/>
      </c>
      <c r="EE112" t="str">
        <f>+IFERROR(VLOOKUP(EE13,IN_Zugliste!$A$4:$D$2002,4,FALSE),"")</f>
        <v/>
      </c>
      <c r="EF112" t="str">
        <f>+IFERROR(VLOOKUP(EF13,IN_Zugliste!$A$4:$D$2002,4,FALSE),"")</f>
        <v/>
      </c>
      <c r="EG112" t="str">
        <f>+IFERROR(VLOOKUP(EG13,IN_Zugliste!$A$4:$D$2002,4,FALSE),"")</f>
        <v/>
      </c>
      <c r="EH112" t="str">
        <f>+IFERROR(VLOOKUP(EH13,IN_Zugliste!$A$4:$D$2002,4,FALSE),"")</f>
        <v/>
      </c>
      <c r="EI112" t="str">
        <f>+IFERROR(VLOOKUP(EI13,IN_Zugliste!$A$4:$D$2002,4,FALSE),"")</f>
        <v/>
      </c>
      <c r="EJ112" t="str">
        <f>+IFERROR(VLOOKUP(EJ13,IN_Zugliste!$A$4:$D$2002,4,FALSE),"")</f>
        <v/>
      </c>
      <c r="EK112" t="str">
        <f>+IFERROR(VLOOKUP(EK13,IN_Zugliste!$A$4:$D$2002,4,FALSE),"")</f>
        <v/>
      </c>
      <c r="EL112" t="str">
        <f>+IFERROR(VLOOKUP(EL13,IN_Zugliste!$A$4:$D$2002,4,FALSE),"")</f>
        <v/>
      </c>
      <c r="EM112" t="str">
        <f>+IFERROR(VLOOKUP(EM13,IN_Zugliste!$A$4:$D$2002,4,FALSE),"")</f>
        <v/>
      </c>
      <c r="EN112" t="str">
        <f>+IFERROR(VLOOKUP(EN13,IN_Zugliste!$A$4:$D$2002,4,FALSE),"")</f>
        <v/>
      </c>
      <c r="EO112" t="str">
        <f>+IFERROR(VLOOKUP(EO13,IN_Zugliste!$A$4:$D$2002,4,FALSE),"")</f>
        <v/>
      </c>
      <c r="EP112" t="str">
        <f>+IFERROR(VLOOKUP(EP13,IN_Zugliste!$A$4:$D$2002,4,FALSE),"")</f>
        <v/>
      </c>
      <c r="EQ112" t="str">
        <f>+IFERROR(VLOOKUP(EQ13,IN_Zugliste!$A$4:$D$2002,4,FALSE),"")</f>
        <v/>
      </c>
      <c r="ER112" t="str">
        <f>+IFERROR(VLOOKUP(ER13,IN_Zugliste!$A$4:$D$2002,4,FALSE),"")</f>
        <v/>
      </c>
      <c r="ES112" t="str">
        <f>+IFERROR(VLOOKUP(ES13,IN_Zugliste!$A$4:$D$2002,4,FALSE),"")</f>
        <v/>
      </c>
      <c r="ET112" t="str">
        <f>+IFERROR(VLOOKUP(ET13,IN_Zugliste!$A$4:$D$2002,4,FALSE),"")</f>
        <v/>
      </c>
      <c r="EU112" t="str">
        <f>+IFERROR(VLOOKUP(EU13,IN_Zugliste!$A$4:$D$2002,4,FALSE),"")</f>
        <v/>
      </c>
      <c r="EV112" t="str">
        <f>+IFERROR(VLOOKUP(EV13,IN_Zugliste!$A$4:$D$2002,4,FALSE),"")</f>
        <v/>
      </c>
      <c r="EW112" t="str">
        <f>+IFERROR(VLOOKUP(EW13,IN_Zugliste!$A$4:$D$2002,4,FALSE),"")</f>
        <v/>
      </c>
      <c r="EX112" t="str">
        <f>+IFERROR(VLOOKUP(EX13,IN_Zugliste!$A$4:$D$2002,4,FALSE),"")</f>
        <v/>
      </c>
      <c r="EY112" t="str">
        <f>+IFERROR(VLOOKUP(EY13,IN_Zugliste!$A$4:$D$2002,4,FALSE),"")</f>
        <v/>
      </c>
      <c r="EZ112" t="str">
        <f>+IFERROR(VLOOKUP(EZ13,IN_Zugliste!$A$4:$D$2002,4,FALSE),"")</f>
        <v/>
      </c>
      <c r="FA112" t="str">
        <f>+IFERROR(VLOOKUP(FA13,IN_Zugliste!$A$4:$D$2002,4,FALSE),"")</f>
        <v/>
      </c>
      <c r="FB112" t="str">
        <f>+IFERROR(VLOOKUP(FB13,IN_Zugliste!$A$4:$D$2002,4,FALSE),"")</f>
        <v/>
      </c>
      <c r="FC112" t="str">
        <f>+IFERROR(VLOOKUP(FC13,IN_Zugliste!$A$4:$D$2002,4,FALSE),"")</f>
        <v/>
      </c>
      <c r="FD112" t="str">
        <f>+IFERROR(VLOOKUP(FD13,IN_Zugliste!$A$4:$D$2002,4,FALSE),"")</f>
        <v/>
      </c>
      <c r="FE112" t="str">
        <f>+IFERROR(VLOOKUP(FE13,IN_Zugliste!$A$4:$D$2002,4,FALSE),"")</f>
        <v/>
      </c>
      <c r="FF112" t="str">
        <f>+IFERROR(VLOOKUP(FF13,IN_Zugliste!$A$4:$D$2002,4,FALSE),"")</f>
        <v/>
      </c>
      <c r="FG112" t="str">
        <f>+IFERROR(VLOOKUP(FG13,IN_Zugliste!$A$4:$D$2002,4,FALSE),"")</f>
        <v/>
      </c>
      <c r="FH112" t="str">
        <f>+IFERROR(VLOOKUP(FH13,IN_Zugliste!$A$4:$D$2002,4,FALSE),"")</f>
        <v/>
      </c>
      <c r="FI112" t="str">
        <f>+IFERROR(VLOOKUP(FI13,IN_Zugliste!$A$4:$D$2002,4,FALSE),"")</f>
        <v/>
      </c>
      <c r="FJ112" t="str">
        <f>+IFERROR(VLOOKUP(FJ13,IN_Zugliste!$A$4:$D$2002,4,FALSE),"")</f>
        <v/>
      </c>
      <c r="FK112" t="str">
        <f>+IFERROR(VLOOKUP(FK13,IN_Zugliste!$A$4:$D$2002,4,FALSE),"")</f>
        <v/>
      </c>
      <c r="FL112" t="str">
        <f>+IFERROR(VLOOKUP(FL13,IN_Zugliste!$A$4:$D$2002,4,FALSE),"")</f>
        <v/>
      </c>
      <c r="FM112" t="str">
        <f>+IFERROR(VLOOKUP(FM13,IN_Zugliste!$A$4:$C$2002,4,FALSE),"")</f>
        <v/>
      </c>
      <c r="FN112" t="str">
        <f>+IFERROR(VLOOKUP(FN13,IN_Zugliste!$A$4:$C$2002,4,FALSE),"")</f>
        <v/>
      </c>
      <c r="FO112" t="str">
        <f>+IFERROR(VLOOKUP(FO13,IN_Zugliste!$A$4:$C$2002,4,FALSE),"")</f>
        <v/>
      </c>
      <c r="FP112" t="str">
        <f>+IFERROR(VLOOKUP(FP13,IN_Zugliste!$A$4:$C$2002,4,FALSE),"")</f>
        <v/>
      </c>
      <c r="FQ112" t="str">
        <f>+IFERROR(VLOOKUP(FQ13,IN_Zugliste!$A$4:$C$2002,4,FALSE),"")</f>
        <v/>
      </c>
      <c r="FR112" t="str">
        <f>+IFERROR(VLOOKUP(FR13,IN_Zugliste!$A$4:$C$2002,4,FALSE),"")</f>
        <v/>
      </c>
      <c r="FS112" t="str">
        <f>+IFERROR(VLOOKUP(FS13,IN_Zugliste!$A$4:$C$2002,4,FALSE),"")</f>
        <v/>
      </c>
      <c r="FT112" t="str">
        <f>+IFERROR(VLOOKUP(FT13,IN_Zugliste!$A$4:$C$2002,4,FALSE),"")</f>
        <v/>
      </c>
      <c r="FU112" t="str">
        <f>+IFERROR(VLOOKUP(FU13,IN_Zugliste!$A$4:$C$2002,4,FALSE),"")</f>
        <v/>
      </c>
      <c r="FV112" t="str">
        <f>+IFERROR(VLOOKUP(FV13,IN_Zugliste!$A$4:$C$2002,4,FALSE),"")</f>
        <v/>
      </c>
      <c r="FW112" t="str">
        <f>+IFERROR(VLOOKUP(FW13,IN_Zugliste!$A$4:$C$2002,4,FALSE),"")</f>
        <v/>
      </c>
      <c r="FX112" t="str">
        <f>+IFERROR(VLOOKUP(FX13,IN_Zugliste!$A$4:$C$2002,4,FALSE),"")</f>
        <v/>
      </c>
      <c r="FY112" t="str">
        <f>+IFERROR(VLOOKUP(FY13,IN_Zugliste!$A$4:$C$2002,4,FALSE),"")</f>
        <v/>
      </c>
      <c r="FZ112" t="str">
        <f>+IFERROR(VLOOKUP(FZ13,IN_Zugliste!$A$4:$C$2002,4,FALSE),"")</f>
        <v/>
      </c>
      <c r="GA112" t="str">
        <f>+IFERROR(VLOOKUP(GA13,IN_Zugliste!$A$4:$C$2002,4,FALSE),"")</f>
        <v/>
      </c>
      <c r="GB112" t="str">
        <f>+IFERROR(VLOOKUP(GB13,IN_Zugliste!$A$4:$C$2002,4,FALSE),"")</f>
        <v/>
      </c>
      <c r="GC112" t="str">
        <f>+IFERROR(VLOOKUP(GC13,IN_Zugliste!$A$4:$C$2002,4,FALSE),"")</f>
        <v/>
      </c>
      <c r="GD112" t="str">
        <f>+IFERROR(VLOOKUP(GD13,IN_Zugliste!$A$4:$C$2002,4,FALSE),"")</f>
        <v/>
      </c>
      <c r="GE112" t="str">
        <f>+IFERROR(VLOOKUP(GE13,IN_Zugliste!$A$4:$C$2002,4,FALSE),"")</f>
        <v/>
      </c>
      <c r="GF112" t="str">
        <f>+IFERROR(VLOOKUP(GF13,IN_Zugliste!$A$4:$C$2002,4,FALSE),"")</f>
        <v/>
      </c>
      <c r="GG112" t="str">
        <f>+IFERROR(VLOOKUP(GG13,IN_Zugliste!$A$4:$C$2002,4,FALSE),"")</f>
        <v/>
      </c>
      <c r="GH112" t="str">
        <f>+IFERROR(VLOOKUP(GH13,IN_Zugliste!$A$4:$C$2002,4,FALSE),"")</f>
        <v/>
      </c>
      <c r="GI112" t="str">
        <f>+IFERROR(VLOOKUP(GI13,IN_Zugliste!$A$4:$C$2002,4,FALSE),"")</f>
        <v/>
      </c>
      <c r="GJ112" t="str">
        <f>+IFERROR(VLOOKUP(GJ13,IN_Zugliste!$A$4:$C$2002,4,FALSE),"")</f>
        <v/>
      </c>
      <c r="GK112" t="str">
        <f>+IFERROR(VLOOKUP(GK13,IN_Zugliste!$A$4:$C$2002,4,FALSE),"")</f>
        <v/>
      </c>
      <c r="GL112" t="str">
        <f>+IFERROR(VLOOKUP(GL13,IN_Zugliste!$A$4:$C$2002,4,FALSE),"")</f>
        <v/>
      </c>
      <c r="GM112" t="str">
        <f>+IFERROR(VLOOKUP(GM13,IN_Zugliste!$A$4:$C$2002,4,FALSE),"")</f>
        <v/>
      </c>
      <c r="GN112" t="str">
        <f>+IFERROR(VLOOKUP(GN13,IN_Zugliste!$A$4:$C$2002,4,FALSE),"")</f>
        <v/>
      </c>
      <c r="GO112" t="str">
        <f>+IFERROR(VLOOKUP(GO13,IN_Zugliste!$A$4:$C$2002,4,FALSE),"")</f>
        <v/>
      </c>
      <c r="GP112" t="str">
        <f>+IFERROR(VLOOKUP(GP13,IN_Zugliste!$A$4:$C$2002,4,FALSE),"")</f>
        <v/>
      </c>
      <c r="GQ112" t="str">
        <f>+IFERROR(VLOOKUP(GQ13,IN_Zugliste!$A$4:$C$2002,4,FALSE),"")</f>
        <v/>
      </c>
      <c r="GR112" t="str">
        <f>+IFERROR(VLOOKUP(GR13,IN_Zugliste!$A$4:$C$2002,4,FALSE),"")</f>
        <v/>
      </c>
      <c r="GS112" t="str">
        <f>+IFERROR(VLOOKUP(GS13,IN_Zugliste!$A$4:$C$2002,4,FALSE),"")</f>
        <v/>
      </c>
      <c r="GT112" t="str">
        <f>+IFERROR(VLOOKUP(GT13,IN_Zugliste!$A$4:$C$2002,4,FALSE),"")</f>
        <v/>
      </c>
      <c r="GU112" t="str">
        <f>+IFERROR(VLOOKUP(GU13,IN_Zugliste!$A$4:$C$2002,4,FALSE),"")</f>
        <v/>
      </c>
      <c r="GV112" t="str">
        <f>+IFERROR(VLOOKUP(GV13,IN_Zugliste!$A$4:$C$2002,4,FALSE),"")</f>
        <v/>
      </c>
      <c r="GW112" t="str">
        <f>+IFERROR(VLOOKUP(GW13,IN_Zugliste!$A$4:$C$2002,4,FALSE),"")</f>
        <v/>
      </c>
      <c r="GX112" t="str">
        <f>+IFERROR(VLOOKUP(GX13,IN_Zugliste!$A$4:$C$2002,4,FALSE),"")</f>
        <v/>
      </c>
      <c r="GY112" t="str">
        <f>+IFERROR(VLOOKUP(GY13,IN_Zugliste!$A$4:$C$2002,4,FALSE),"")</f>
        <v/>
      </c>
      <c r="GZ112" t="str">
        <f>+IFERROR(VLOOKUP(GZ13,IN_Zugliste!$A$4:$C$2002,4,FALSE),"")</f>
        <v/>
      </c>
      <c r="HA112" t="str">
        <f>+IFERROR(VLOOKUP(HA13,IN_Zugliste!$A$4:$C$2002,4,FALSE),"")</f>
        <v/>
      </c>
      <c r="HB112" t="str">
        <f>+IFERROR(VLOOKUP(HB13,IN_Zugliste!$A$4:$C$2002,4,FALSE),"")</f>
        <v/>
      </c>
      <c r="HC112" t="str">
        <f>+IFERROR(VLOOKUP(HC13,IN_Zugliste!$A$4:$C$2002,4,FALSE),"")</f>
        <v/>
      </c>
      <c r="HD112" t="str">
        <f>+IFERROR(VLOOKUP(HD13,IN_Zugliste!$A$4:$C$2002,4,FALSE),"")</f>
        <v/>
      </c>
      <c r="HE112" t="str">
        <f>+IFERROR(VLOOKUP(HE13,IN_Zugliste!$A$4:$C$2002,4,FALSE),"")</f>
        <v/>
      </c>
      <c r="HF112" t="str">
        <f>+IFERROR(VLOOKUP(HF13,IN_Zugliste!$A$4:$C$2002,4,FALSE),"")</f>
        <v/>
      </c>
      <c r="HG112" t="str">
        <f>+IFERROR(VLOOKUP(HG13,IN_Zugliste!$A$4:$C$2002,4,FALSE),"")</f>
        <v/>
      </c>
      <c r="HH112" t="str">
        <f>+IFERROR(VLOOKUP(HH13,IN_Zugliste!$A$4:$C$2002,4,FALSE),"")</f>
        <v/>
      </c>
      <c r="HI112" t="str">
        <f>+IFERROR(VLOOKUP(HI13,IN_Zugliste!$A$4:$C$2002,4,FALSE),"")</f>
        <v/>
      </c>
      <c r="HJ112" t="str">
        <f>+IFERROR(VLOOKUP(HJ13,IN_Zugliste!$A$4:$C$2002,4,FALSE),"")</f>
        <v/>
      </c>
      <c r="HK112" t="str">
        <f>+IFERROR(VLOOKUP(HK13,IN_Zugliste!$A$4:$C$2002,4,FALSE),"")</f>
        <v/>
      </c>
      <c r="HL112" t="str">
        <f>+IFERROR(VLOOKUP(HL13,IN_Zugliste!$A$4:$C$2002,4,FALSE),"")</f>
        <v/>
      </c>
      <c r="HM112" t="str">
        <f>+IFERROR(VLOOKUP(HM13,IN_Zugliste!$A$4:$C$2002,4,FALSE),"")</f>
        <v/>
      </c>
      <c r="HN112" t="str">
        <f>+IFERROR(VLOOKUP(HN13,IN_Zugliste!$A$4:$C$2002,4,FALSE),"")</f>
        <v/>
      </c>
      <c r="HO112" t="str">
        <f>+IFERROR(VLOOKUP(HO13,IN_Zugliste!$A$4:$C$2002,4,FALSE),"")</f>
        <v/>
      </c>
      <c r="HP112" t="str">
        <f>+IFERROR(VLOOKUP(HP13,IN_Zugliste!$A$4:$C$2002,4,FALSE),"")</f>
        <v/>
      </c>
      <c r="HQ112" t="str">
        <f>+IFERROR(VLOOKUP(HQ13,IN_Zugliste!$A$4:$C$2002,4,FALSE),"")</f>
        <v/>
      </c>
      <c r="HR112" t="str">
        <f>+IFERROR(VLOOKUP(HR13,IN_Zugliste!$A$4:$C$2002,4,FALSE),"")</f>
        <v/>
      </c>
      <c r="HS112" t="str">
        <f>+IFERROR(VLOOKUP(HS13,IN_Zugliste!$A$4:$C$2002,4,FALSE),"")</f>
        <v/>
      </c>
      <c r="HT112" t="str">
        <f>+IFERROR(VLOOKUP(HT13,IN_Zugliste!$A$4:$C$2002,4,FALSE),"")</f>
        <v/>
      </c>
      <c r="HU112" t="str">
        <f>+IFERROR(VLOOKUP(HU13,IN_Zugliste!$A$4:$C$2002,4,FALSE),"")</f>
        <v/>
      </c>
      <c r="HV112" t="str">
        <f>+IFERROR(VLOOKUP(HV13,IN_Zugliste!$A$4:$C$2002,4,FALSE),"")</f>
        <v/>
      </c>
      <c r="HW112" t="str">
        <f>+IFERROR(VLOOKUP(HW13,IN_Zugliste!$A$4:$C$2002,4,FALSE),"")</f>
        <v/>
      </c>
      <c r="HX112" t="str">
        <f>+IFERROR(VLOOKUP(HX13,IN_Zugliste!$A$4:$C$2002,4,FALSE),"")</f>
        <v/>
      </c>
      <c r="HY112" t="str">
        <f>+IFERROR(VLOOKUP(HY13,IN_Zugliste!$A$4:$C$2002,4,FALSE),"")</f>
        <v/>
      </c>
      <c r="HZ112" t="str">
        <f>+IFERROR(VLOOKUP(HZ13,IN_Zugliste!$A$4:$C$2002,4,FALSE),"")</f>
        <v/>
      </c>
      <c r="IA112" t="str">
        <f>+IFERROR(VLOOKUP(IA13,IN_Zugliste!$A$4:$C$2002,4,FALSE),"")</f>
        <v/>
      </c>
      <c r="IB112" t="str">
        <f>+IFERROR(VLOOKUP(IB13,IN_Zugliste!$A$4:$C$2002,4,FALSE),"")</f>
        <v/>
      </c>
      <c r="IC112" t="str">
        <f>+IFERROR(VLOOKUP(IC13,IN_Zugliste!$A$4:$C$2002,4,FALSE),"")</f>
        <v/>
      </c>
      <c r="ID112" t="str">
        <f>+IFERROR(VLOOKUP(ID13,IN_Zugliste!$A$4:$C$2002,4,FALSE),"")</f>
        <v/>
      </c>
      <c r="IE112" t="str">
        <f>+IFERROR(VLOOKUP(IE13,IN_Zugliste!$A$4:$C$2002,4,FALSE),"")</f>
        <v/>
      </c>
      <c r="IF112" t="str">
        <f>+IFERROR(VLOOKUP(IF13,IN_Zugliste!$A$4:$C$2002,4,FALSE),"")</f>
        <v/>
      </c>
      <c r="IG112" t="str">
        <f>+IFERROR(VLOOKUP(IG13,IN_Zugliste!$A$4:$C$2002,4,FALSE),"")</f>
        <v/>
      </c>
      <c r="IH112" t="str">
        <f>+IFERROR(VLOOKUP(IH13,IN_Zugliste!$A$4:$C$2002,4,FALSE),"")</f>
        <v/>
      </c>
      <c r="II112" t="str">
        <f>+IFERROR(VLOOKUP(II13,IN_Zugliste!$A$4:$C$2002,4,FALSE),"")</f>
        <v/>
      </c>
      <c r="IJ112" t="str">
        <f>+IFERROR(VLOOKUP(IJ13,IN_Zugliste!$A$4:$C$2002,4,FALSE),"")</f>
        <v/>
      </c>
      <c r="IK112" t="str">
        <f>+IFERROR(VLOOKUP(IK13,IN_Zugliste!$A$4:$C$2002,4,FALSE),"")</f>
        <v/>
      </c>
      <c r="IL112" t="str">
        <f>+IFERROR(VLOOKUP(IL13,IN_Zugliste!$A$4:$C$2002,4,FALSE),"")</f>
        <v/>
      </c>
      <c r="IM112" t="str">
        <f>+IFERROR(VLOOKUP(IM13,IN_Zugliste!$A$4:$C$2002,4,FALSE),"")</f>
        <v/>
      </c>
      <c r="IN112" t="str">
        <f>+IFERROR(VLOOKUP(IN13,IN_Zugliste!$A$4:$C$2002,4,FALSE),"")</f>
        <v/>
      </c>
      <c r="IO112" t="str">
        <f>+IFERROR(VLOOKUP(IO13,IN_Zugliste!$A$4:$C$2002,4,FALSE),"")</f>
        <v/>
      </c>
      <c r="IP112" t="str">
        <f>+IFERROR(VLOOKUP(IP13,IN_Zugliste!$A$4:$C$2002,4,FALSE),"")</f>
        <v/>
      </c>
      <c r="IQ112" t="str">
        <f>+IFERROR(VLOOKUP(IQ13,IN_Zugliste!$A$4:$C$2002,4,FALSE),"")</f>
        <v/>
      </c>
      <c r="IR112" t="str">
        <f>+IFERROR(VLOOKUP(IR13,IN_Zugliste!$A$4:$C$2002,4,FALSE),"")</f>
        <v/>
      </c>
      <c r="IS112" t="str">
        <f>+IFERROR(VLOOKUP(IS13,IN_Zugliste!$A$4:$C$2002,4,FALSE),"")</f>
        <v/>
      </c>
      <c r="IT112" t="str">
        <f>+IFERROR(VLOOKUP(IT13,IN_Zugliste!$A$4:$C$2002,4,FALSE),"")</f>
        <v/>
      </c>
      <c r="IU112" t="str">
        <f>+IFERROR(VLOOKUP(IU13,IN_Zugliste!$A$4:$C$2002,4,FALSE),"")</f>
        <v/>
      </c>
      <c r="IV112" t="str">
        <f>+IFERROR(VLOOKUP(IV13,IN_Zugliste!$A$4:$C$2002,4,FALSE),"")</f>
        <v/>
      </c>
      <c r="IW112" t="str">
        <f>+IFERROR(VLOOKUP(IW13,IN_Zugliste!$A$4:$C$2002,4,FALSE),"")</f>
        <v/>
      </c>
      <c r="IX112" t="str">
        <f>+IFERROR(VLOOKUP(IX13,IN_Zugliste!$A$4:$C$2002,4,FALSE),"")</f>
        <v/>
      </c>
      <c r="IY112" t="str">
        <f>+IFERROR(VLOOKUP(IY13,IN_Zugliste!$A$4:$C$2002,4,FALSE),"")</f>
        <v/>
      </c>
      <c r="IZ112" t="str">
        <f>+IFERROR(VLOOKUP(IZ13,IN_Zugliste!$A$4:$C$2002,4,FALSE),"")</f>
        <v/>
      </c>
      <c r="JA112" t="str">
        <f>+IFERROR(VLOOKUP(JA13,IN_Zugliste!$A$4:$C$2002,4,FALSE),"")</f>
        <v/>
      </c>
      <c r="JB112" t="str">
        <f>+IFERROR(VLOOKUP(JB13,IN_Zugliste!$A$4:$C$2002,4,FALSE),"")</f>
        <v/>
      </c>
      <c r="JC112" t="str">
        <f>+IFERROR(VLOOKUP(JC13,IN_Zugliste!$A$4:$C$2002,4,FALSE),"")</f>
        <v/>
      </c>
      <c r="JD112" t="str">
        <f>+IFERROR(VLOOKUP(JD13,IN_Zugliste!$A$4:$C$2002,4,FALSE),"")</f>
        <v/>
      </c>
      <c r="JE112" t="str">
        <f>+IFERROR(VLOOKUP(JE13,IN_Zugliste!$A$4:$C$2002,4,FALSE),"")</f>
        <v/>
      </c>
      <c r="JF112" t="str">
        <f>+IFERROR(VLOOKUP(JF13,IN_Zugliste!$A$4:$C$2002,4,FALSE),"")</f>
        <v/>
      </c>
      <c r="JG112" t="str">
        <f>+IFERROR(VLOOKUP(JG13,IN_Zugliste!$A$4:$C$2002,4,FALSE),"")</f>
        <v/>
      </c>
      <c r="JH112" t="str">
        <f>+IFERROR(VLOOKUP(JH13,IN_Zugliste!$A$4:$C$2002,4,FALSE),"")</f>
        <v/>
      </c>
      <c r="JI112" t="str">
        <f>+IFERROR(VLOOKUP(JI13,IN_Zugliste!$A$4:$C$2002,4,FALSE),"")</f>
        <v/>
      </c>
      <c r="JJ112" t="str">
        <f>+IFERROR(VLOOKUP(JJ13,IN_Zugliste!$A$4:$C$2002,4,FALSE),"")</f>
        <v/>
      </c>
      <c r="JK112" t="str">
        <f>+IFERROR(VLOOKUP(JK13,IN_Zugliste!$A$4:$C$2002,4,FALSE),"")</f>
        <v/>
      </c>
      <c r="JL112" t="str">
        <f>+IFERROR(VLOOKUP(JL13,IN_Zugliste!$A$4:$C$2002,4,FALSE),"")</f>
        <v/>
      </c>
    </row>
    <row r="113" spans="1:272" x14ac:dyDescent="0.2">
      <c r="A113" t="str">
        <f>+IFERROR(VLOOKUP(A14,IN_Zugliste!$A$4:$D$2002,4,FALSE),"")</f>
        <v/>
      </c>
      <c r="B113" t="str">
        <f>+IFERROR(VLOOKUP(B14,IN_Zugliste!$A$4:$D$2002,4,FALSE),"")</f>
        <v/>
      </c>
      <c r="C113" t="str">
        <f>+IFERROR(VLOOKUP(C14,IN_Zugliste!$A$4:$D$2002,4,FALSE),"")</f>
        <v/>
      </c>
      <c r="D113" t="str">
        <f>+IFERROR(VLOOKUP(D14,IN_Zugliste!$A$4:$D$2002,4,FALSE),"")</f>
        <v/>
      </c>
      <c r="E113" t="str">
        <f>+IFERROR(VLOOKUP(E14,IN_Zugliste!$A$4:$D$2002,4,FALSE),"")</f>
        <v/>
      </c>
      <c r="F113" t="str">
        <f>+IFERROR(VLOOKUP(F14,IN_Zugliste!$A$4:$D$2002,4,FALSE),"")</f>
        <v/>
      </c>
      <c r="G113" t="str">
        <f>+IFERROR(VLOOKUP(G14,IN_Zugliste!$A$4:$D$2002,4,FALSE),"")</f>
        <v/>
      </c>
      <c r="H113" t="str">
        <f>+IFERROR(VLOOKUP(H14,IN_Zugliste!$A$4:$D$2002,4,FALSE),"")</f>
        <v/>
      </c>
      <c r="I113" t="str">
        <f>+IFERROR(VLOOKUP(I14,IN_Zugliste!$A$4:$D$2002,4,FALSE),"")</f>
        <v/>
      </c>
      <c r="J113" t="str">
        <f>+IFERROR(VLOOKUP(J14,IN_Zugliste!$A$4:$D$2002,4,FALSE),"")</f>
        <v/>
      </c>
      <c r="K113" t="str">
        <f>+IFERROR(VLOOKUP(K14,IN_Zugliste!$A$4:$D$2002,4,FALSE),"")</f>
        <v/>
      </c>
      <c r="L113" t="str">
        <f>+IFERROR(VLOOKUP(L14,IN_Zugliste!$A$4:$D$2002,4,FALSE),"")</f>
        <v/>
      </c>
      <c r="M113" t="str">
        <f>+IFERROR(VLOOKUP(M14,IN_Zugliste!$A$4:$D$2002,4,FALSE),"")</f>
        <v/>
      </c>
      <c r="N113" t="str">
        <f>+IFERROR(VLOOKUP(N14,IN_Zugliste!$A$4:$D$2002,4,FALSE),"")</f>
        <v/>
      </c>
      <c r="O113" t="str">
        <f>+IFERROR(VLOOKUP(O14,IN_Zugliste!$A$4:$D$2002,4,FALSE),"")</f>
        <v/>
      </c>
      <c r="P113" t="str">
        <f>+IFERROR(VLOOKUP(P14,IN_Zugliste!$A$4:$D$2002,4,FALSE),"")</f>
        <v/>
      </c>
      <c r="Q113" t="str">
        <f>+IFERROR(VLOOKUP(Q14,IN_Zugliste!$A$4:$D$2002,4,FALSE),"")</f>
        <v/>
      </c>
      <c r="R113" t="str">
        <f>+IFERROR(VLOOKUP(R14,IN_Zugliste!$A$4:$D$2002,4,FALSE),"")</f>
        <v/>
      </c>
      <c r="S113" t="str">
        <f>+IFERROR(VLOOKUP(S14,IN_Zugliste!$A$4:$D$2002,4,FALSE),"")</f>
        <v/>
      </c>
      <c r="T113" t="str">
        <f>+IFERROR(VLOOKUP(T14,IN_Zugliste!$A$4:$D$2002,4,FALSE),"")</f>
        <v/>
      </c>
      <c r="U113" t="str">
        <f>+IFERROR(VLOOKUP(U14,IN_Zugliste!$A$4:$D$2002,4,FALSE),"")</f>
        <v/>
      </c>
      <c r="V113" t="str">
        <f>+IFERROR(VLOOKUP(V14,IN_Zugliste!$A$4:$D$2002,4,FALSE),"")</f>
        <v/>
      </c>
      <c r="W113" t="str">
        <f>+IFERROR(VLOOKUP(W14,IN_Zugliste!$A$4:$D$2002,4,FALSE),"")</f>
        <v/>
      </c>
      <c r="X113" t="str">
        <f>+IFERROR(VLOOKUP(X14,IN_Zugliste!$A$4:$D$2002,4,FALSE),"")</f>
        <v/>
      </c>
      <c r="Y113" t="str">
        <f>+IFERROR(VLOOKUP(Y14,IN_Zugliste!$A$4:$D$2002,4,FALSE),"")</f>
        <v/>
      </c>
      <c r="Z113" t="str">
        <f>+IFERROR(VLOOKUP(Z14,IN_Zugliste!$A$4:$D$2002,4,FALSE),"")</f>
        <v/>
      </c>
      <c r="AA113" t="str">
        <f>+IFERROR(VLOOKUP(AA14,IN_Zugliste!$A$4:$D$2002,4,FALSE),"")</f>
        <v/>
      </c>
      <c r="AB113" t="str">
        <f>+IFERROR(VLOOKUP(AB14,IN_Zugliste!$A$4:$D$2002,4,FALSE),"")</f>
        <v/>
      </c>
      <c r="AC113" t="str">
        <f>+IFERROR(VLOOKUP(AC14,IN_Zugliste!$A$4:$D$2002,4,FALSE),"")</f>
        <v/>
      </c>
      <c r="AD113" t="str">
        <f>+IFERROR(VLOOKUP(AD14,IN_Zugliste!$A$4:$D$2002,4,FALSE),"")</f>
        <v/>
      </c>
      <c r="AE113" t="str">
        <f>+IFERROR(VLOOKUP(AE14,IN_Zugliste!$A$4:$D$2002,4,FALSE),"")</f>
        <v/>
      </c>
      <c r="AF113" t="str">
        <f>+IFERROR(VLOOKUP(AF14,IN_Zugliste!$A$4:$D$2002,4,FALSE),"")</f>
        <v/>
      </c>
      <c r="AG113" t="str">
        <f>+IFERROR(VLOOKUP(AG14,IN_Zugliste!$A$4:$D$2002,4,FALSE),"")</f>
        <v/>
      </c>
      <c r="AH113" t="str">
        <f>+IFERROR(VLOOKUP(AH14,IN_Zugliste!$A$4:$D$2002,4,FALSE),"")</f>
        <v/>
      </c>
      <c r="AI113" t="str">
        <f>+IFERROR(VLOOKUP(AI14,IN_Zugliste!$A$4:$D$2002,4,FALSE),"")</f>
        <v/>
      </c>
      <c r="AJ113" t="str">
        <f>+IFERROR(VLOOKUP(AJ14,IN_Zugliste!$A$4:$D$2002,4,FALSE),"")</f>
        <v/>
      </c>
      <c r="AK113" t="str">
        <f>+IFERROR(VLOOKUP(AK14,IN_Zugliste!$A$4:$D$2002,4,FALSE),"")</f>
        <v/>
      </c>
      <c r="AL113" t="str">
        <f>+IFERROR(VLOOKUP(AL14,IN_Zugliste!$A$4:$D$2002,4,FALSE),"")</f>
        <v/>
      </c>
      <c r="AM113" t="str">
        <f>+IFERROR(VLOOKUP(AM14,IN_Zugliste!$A$4:$D$2002,4,FALSE),"")</f>
        <v/>
      </c>
      <c r="AN113" t="str">
        <f>+IFERROR(VLOOKUP(AN14,IN_Zugliste!$A$4:$D$2002,4,FALSE),"")</f>
        <v/>
      </c>
      <c r="AO113" t="str">
        <f>+IFERROR(VLOOKUP(AO14,IN_Zugliste!$A$4:$D$2002,4,FALSE),"")</f>
        <v/>
      </c>
      <c r="AP113" t="str">
        <f>+IFERROR(VLOOKUP(AP14,IN_Zugliste!$A$4:$D$2002,4,FALSE),"")</f>
        <v/>
      </c>
      <c r="AQ113" t="str">
        <f>+IFERROR(VLOOKUP(AQ14,IN_Zugliste!$A$4:$D$2002,4,FALSE),"")</f>
        <v/>
      </c>
      <c r="AR113" t="str">
        <f>+IFERROR(VLOOKUP(AR14,IN_Zugliste!$A$4:$D$2002,4,FALSE),"")</f>
        <v/>
      </c>
      <c r="AS113" t="str">
        <f>+IFERROR(VLOOKUP(AS14,IN_Zugliste!$A$4:$D$2002,4,FALSE),"")</f>
        <v/>
      </c>
      <c r="AT113" t="str">
        <f>+IFERROR(VLOOKUP(AT14,IN_Zugliste!$A$4:$D$2002,4,FALSE),"")</f>
        <v/>
      </c>
      <c r="AU113" t="str">
        <f>+IFERROR(VLOOKUP(AU14,IN_Zugliste!$A$4:$D$2002,4,FALSE),"")</f>
        <v/>
      </c>
      <c r="AV113" t="str">
        <f>+IFERROR(VLOOKUP(AV14,IN_Zugliste!$A$4:$D$2002,4,FALSE),"")</f>
        <v/>
      </c>
      <c r="AW113" t="str">
        <f>+IFERROR(VLOOKUP(AW14,IN_Zugliste!$A$4:$D$2002,4,FALSE),"")</f>
        <v/>
      </c>
      <c r="AX113" t="str">
        <f>+IFERROR(VLOOKUP(AX14,IN_Zugliste!$A$4:$D$2002,4,FALSE),"")</f>
        <v/>
      </c>
      <c r="AY113" t="str">
        <f>+IFERROR(VLOOKUP(AY14,IN_Zugliste!$A$4:$D$2002,4,FALSE),"")</f>
        <v/>
      </c>
      <c r="AZ113" t="str">
        <f>+IFERROR(VLOOKUP(AZ14,IN_Zugliste!$A$4:$D$2002,4,FALSE),"")</f>
        <v/>
      </c>
      <c r="BA113" t="str">
        <f>+IFERROR(VLOOKUP(BA14,IN_Zugliste!$A$4:$D$2002,4,FALSE),"")</f>
        <v/>
      </c>
      <c r="BB113" t="str">
        <f>+IFERROR(VLOOKUP(BB14,IN_Zugliste!$A$4:$D$2002,4,FALSE),"")</f>
        <v/>
      </c>
      <c r="BC113" t="str">
        <f>+IFERROR(VLOOKUP(BC14,IN_Zugliste!$A$4:$D$2002,4,FALSE),"")</f>
        <v/>
      </c>
      <c r="BD113" t="str">
        <f>+IFERROR(VLOOKUP(BD14,IN_Zugliste!$A$4:$D$2002,4,FALSE),"")</f>
        <v/>
      </c>
      <c r="BE113" t="str">
        <f>+IFERROR(VLOOKUP(BE14,IN_Zugliste!$A$4:$D$2002,4,FALSE),"")</f>
        <v/>
      </c>
      <c r="BF113" t="str">
        <f>+IFERROR(VLOOKUP(BF14,IN_Zugliste!$A$4:$D$2002,4,FALSE),"")</f>
        <v/>
      </c>
      <c r="BG113" t="str">
        <f>+IFERROR(VLOOKUP(BG14,IN_Zugliste!$A$4:$D$2002,4,FALSE),"")</f>
        <v/>
      </c>
      <c r="BH113" t="str">
        <f>+IFERROR(VLOOKUP(BH14,IN_Zugliste!$A$4:$D$2002,4,FALSE),"")</f>
        <v/>
      </c>
      <c r="BI113" t="str">
        <f>+IFERROR(VLOOKUP(BI14,IN_Zugliste!$A$4:$D$2002,4,FALSE),"")</f>
        <v/>
      </c>
      <c r="BJ113" t="str">
        <f>+IFERROR(VLOOKUP(BJ14,IN_Zugliste!$A$4:$D$2002,4,FALSE),"")</f>
        <v/>
      </c>
      <c r="BK113" t="str">
        <f>+IFERROR(VLOOKUP(BK14,IN_Zugliste!$A$4:$D$2002,4,FALSE),"")</f>
        <v/>
      </c>
      <c r="BL113" t="str">
        <f>+IFERROR(VLOOKUP(BL14,IN_Zugliste!$A$4:$D$2002,4,FALSE),"")</f>
        <v/>
      </c>
      <c r="BM113" t="str">
        <f>+IFERROR(VLOOKUP(BM14,IN_Zugliste!$A$4:$D$2002,4,FALSE),"")</f>
        <v/>
      </c>
      <c r="BN113" t="str">
        <f>+IFERROR(VLOOKUP(BN14,IN_Zugliste!$A$4:$D$2002,4,FALSE),"")</f>
        <v/>
      </c>
      <c r="BO113" t="str">
        <f>+IFERROR(VLOOKUP(BO14,IN_Zugliste!$A$4:$D$2002,4,FALSE),"")</f>
        <v/>
      </c>
      <c r="BP113" t="str">
        <f>+IFERROR(VLOOKUP(BP14,IN_Zugliste!$A$4:$D$2002,4,FALSE),"")</f>
        <v/>
      </c>
      <c r="BQ113" t="str">
        <f>+IFERROR(VLOOKUP(BQ14,IN_Zugliste!$A$4:$D$2002,4,FALSE),"")</f>
        <v/>
      </c>
      <c r="BR113" t="str">
        <f>+IFERROR(VLOOKUP(BR14,IN_Zugliste!$A$4:$D$2002,4,FALSE),"")</f>
        <v/>
      </c>
      <c r="BS113" t="str">
        <f>+IFERROR(VLOOKUP(BS14,IN_Zugliste!$A$4:$D$2002,4,FALSE),"")</f>
        <v/>
      </c>
      <c r="BT113" t="str">
        <f>+IFERROR(VLOOKUP(BT14,IN_Zugliste!$A$4:$D$2002,4,FALSE),"")</f>
        <v/>
      </c>
      <c r="BU113" t="str">
        <f>+IFERROR(VLOOKUP(BU14,IN_Zugliste!$A$4:$D$2002,4,FALSE),"")</f>
        <v/>
      </c>
      <c r="BV113" t="str">
        <f>+IFERROR(VLOOKUP(BV14,IN_Zugliste!$A$4:$D$2002,4,FALSE),"")</f>
        <v/>
      </c>
      <c r="BW113" t="str">
        <f>+IFERROR(VLOOKUP(BW14,IN_Zugliste!$A$4:$D$2002,4,FALSE),"")</f>
        <v/>
      </c>
      <c r="BX113" t="str">
        <f>+IFERROR(VLOOKUP(BX14,IN_Zugliste!$A$4:$D$2002,4,FALSE),"")</f>
        <v/>
      </c>
      <c r="BY113" t="str">
        <f>+IFERROR(VLOOKUP(BY14,IN_Zugliste!$A$4:$D$2002,4,FALSE),"")</f>
        <v/>
      </c>
      <c r="BZ113" t="str">
        <f>+IFERROR(VLOOKUP(BZ14,IN_Zugliste!$A$4:$D$2002,4,FALSE),"")</f>
        <v/>
      </c>
      <c r="CA113" t="str">
        <f>+IFERROR(VLOOKUP(CA14,IN_Zugliste!$A$4:$D$2002,4,FALSE),"")</f>
        <v/>
      </c>
      <c r="CB113" t="str">
        <f>+IFERROR(VLOOKUP(CB14,IN_Zugliste!$A$4:$D$2002,4,FALSE),"")</f>
        <v/>
      </c>
      <c r="CC113" t="str">
        <f>+IFERROR(VLOOKUP(CC14,IN_Zugliste!$A$4:$D$2002,4,FALSE),"")</f>
        <v/>
      </c>
      <c r="CD113" t="str">
        <f>+IFERROR(VLOOKUP(CD14,IN_Zugliste!$A$4:$D$2002,4,FALSE),"")</f>
        <v/>
      </c>
      <c r="CE113" t="str">
        <f>+IFERROR(VLOOKUP(CE14,IN_Zugliste!$A$4:$D$2002,4,FALSE),"")</f>
        <v/>
      </c>
      <c r="CF113" t="str">
        <f>+IFERROR(VLOOKUP(CF14,IN_Zugliste!$A$4:$D$2002,4,FALSE),"")</f>
        <v/>
      </c>
      <c r="CG113" t="str">
        <f>+IFERROR(VLOOKUP(CG14,IN_Zugliste!$A$4:$D$2002,4,FALSE),"")</f>
        <v/>
      </c>
      <c r="CH113" t="str">
        <f>+IFERROR(VLOOKUP(CH14,IN_Zugliste!$A$4:$D$2002,4,FALSE),"")</f>
        <v/>
      </c>
      <c r="CI113" t="str">
        <f>+IFERROR(VLOOKUP(CI14,IN_Zugliste!$A$4:$D$2002,4,FALSE),"")</f>
        <v/>
      </c>
      <c r="CJ113" t="str">
        <f>+IFERROR(VLOOKUP(CJ14,IN_Zugliste!$A$4:$D$2002,4,FALSE),"")</f>
        <v/>
      </c>
      <c r="CK113" t="str">
        <f>+IFERROR(VLOOKUP(CK14,IN_Zugliste!$A$4:$D$2002,4,FALSE),"")</f>
        <v/>
      </c>
      <c r="CL113" t="str">
        <f>+IFERROR(VLOOKUP(CL14,IN_Zugliste!$A$4:$D$2002,4,FALSE),"")</f>
        <v/>
      </c>
      <c r="CM113" t="str">
        <f>+IFERROR(VLOOKUP(CM14,IN_Zugliste!$A$4:$D$2002,4,FALSE),"")</f>
        <v/>
      </c>
      <c r="CN113" t="str">
        <f>+IFERROR(VLOOKUP(CN14,IN_Zugliste!$A$4:$D$2002,4,FALSE),"")</f>
        <v/>
      </c>
      <c r="CO113" t="str">
        <f>+IFERROR(VLOOKUP(CO14,IN_Zugliste!$A$4:$D$2002,4,FALSE),"")</f>
        <v/>
      </c>
      <c r="CP113" t="str">
        <f>+IFERROR(VLOOKUP(CP14,IN_Zugliste!$A$4:$D$2002,4,FALSE),"")</f>
        <v/>
      </c>
      <c r="CQ113" t="str">
        <f>+IFERROR(VLOOKUP(CQ14,IN_Zugliste!$A$4:$D$2002,4,FALSE),"")</f>
        <v/>
      </c>
      <c r="CR113" t="str">
        <f>+IFERROR(VLOOKUP(CR14,IN_Zugliste!$A$4:$D$2002,4,FALSE),"")</f>
        <v/>
      </c>
      <c r="CS113" t="str">
        <f>+IFERROR(VLOOKUP(CS14,IN_Zugliste!$A$4:$D$2002,4,FALSE),"")</f>
        <v/>
      </c>
      <c r="CT113" t="str">
        <f>+IFERROR(VLOOKUP(CT14,IN_Zugliste!$A$4:$D$2002,4,FALSE),"")</f>
        <v/>
      </c>
      <c r="CU113" t="str">
        <f>+IFERROR(VLOOKUP(CU14,IN_Zugliste!$A$4:$D$2002,4,FALSE),"")</f>
        <v/>
      </c>
      <c r="CV113" t="str">
        <f>+IFERROR(VLOOKUP(CV14,IN_Zugliste!$A$4:$D$2002,4,FALSE),"")</f>
        <v/>
      </c>
      <c r="CW113" t="str">
        <f>+IFERROR(VLOOKUP(CW14,IN_Zugliste!$A$4:$D$2002,4,FALSE),"")</f>
        <v/>
      </c>
      <c r="CX113" t="str">
        <f>+IFERROR(VLOOKUP(CX14,IN_Zugliste!$A$4:$D$2002,4,FALSE),"")</f>
        <v/>
      </c>
      <c r="CY113" t="str">
        <f>+IFERROR(VLOOKUP(CY14,IN_Zugliste!$A$4:$D$2002,4,FALSE),"")</f>
        <v/>
      </c>
      <c r="CZ113" t="str">
        <f>+IFERROR(VLOOKUP(CZ14,IN_Zugliste!$A$4:$D$2002,4,FALSE),"")</f>
        <v/>
      </c>
      <c r="DA113" t="str">
        <f>+IFERROR(VLOOKUP(DA14,IN_Zugliste!$A$4:$D$2002,4,FALSE),"")</f>
        <v/>
      </c>
      <c r="DB113" t="str">
        <f>+IFERROR(VLOOKUP(DB14,IN_Zugliste!$A$4:$D$2002,4,FALSE),"")</f>
        <v/>
      </c>
      <c r="DC113" t="str">
        <f>+IFERROR(VLOOKUP(DC14,IN_Zugliste!$A$4:$D$2002,4,FALSE),"")</f>
        <v/>
      </c>
      <c r="DD113" t="str">
        <f>+IFERROR(VLOOKUP(DD14,IN_Zugliste!$A$4:$D$2002,4,FALSE),"")</f>
        <v/>
      </c>
      <c r="DE113" t="str">
        <f>+IFERROR(VLOOKUP(DE14,IN_Zugliste!$A$4:$D$2002,4,FALSE),"")</f>
        <v/>
      </c>
      <c r="DF113" t="str">
        <f>+IFERROR(VLOOKUP(DF14,IN_Zugliste!$A$4:$D$2002,4,FALSE),"")</f>
        <v/>
      </c>
      <c r="DG113" t="str">
        <f>+IFERROR(VLOOKUP(DG14,IN_Zugliste!$A$4:$D$2002,4,FALSE),"")</f>
        <v/>
      </c>
      <c r="DH113" t="str">
        <f>+IFERROR(VLOOKUP(DH14,IN_Zugliste!$A$4:$D$2002,4,FALSE),"")</f>
        <v/>
      </c>
      <c r="DI113" t="str">
        <f>+IFERROR(VLOOKUP(DI14,IN_Zugliste!$A$4:$D$2002,4,FALSE),"")</f>
        <v/>
      </c>
      <c r="DJ113" t="str">
        <f>+IFERROR(VLOOKUP(DJ14,IN_Zugliste!$A$4:$D$2002,4,FALSE),"")</f>
        <v/>
      </c>
      <c r="DK113" t="str">
        <f>+IFERROR(VLOOKUP(DK14,IN_Zugliste!$A$4:$D$2002,4,FALSE),"")</f>
        <v/>
      </c>
      <c r="DL113" t="str">
        <f>+IFERROR(VLOOKUP(DL14,IN_Zugliste!$A$4:$D$2002,4,FALSE),"")</f>
        <v/>
      </c>
      <c r="DM113" t="str">
        <f>+IFERROR(VLOOKUP(DM14,IN_Zugliste!$A$4:$D$2002,4,FALSE),"")</f>
        <v/>
      </c>
      <c r="DN113" t="str">
        <f>+IFERROR(VLOOKUP(DN14,IN_Zugliste!$A$4:$D$2002,4,FALSE),"")</f>
        <v/>
      </c>
      <c r="DO113" t="str">
        <f>+IFERROR(VLOOKUP(DO14,IN_Zugliste!$A$4:$D$2002,4,FALSE),"")</f>
        <v/>
      </c>
      <c r="DP113" t="str">
        <f>+IFERROR(VLOOKUP(DP14,IN_Zugliste!$A$4:$D$2002,4,FALSE),"")</f>
        <v/>
      </c>
      <c r="DQ113" t="str">
        <f>+IFERROR(VLOOKUP(DQ14,IN_Zugliste!$A$4:$D$2002,4,FALSE),"")</f>
        <v/>
      </c>
      <c r="DR113" t="str">
        <f>+IFERROR(VLOOKUP(DR14,IN_Zugliste!$A$4:$D$2002,4,FALSE),"")</f>
        <v/>
      </c>
      <c r="DS113" t="str">
        <f>+IFERROR(VLOOKUP(DS14,IN_Zugliste!$A$4:$D$2002,4,FALSE),"")</f>
        <v/>
      </c>
      <c r="DT113" t="str">
        <f>+IFERROR(VLOOKUP(DT14,IN_Zugliste!$A$4:$D$2002,4,FALSE),"")</f>
        <v/>
      </c>
      <c r="DU113" t="str">
        <f>+IFERROR(VLOOKUP(DU14,IN_Zugliste!$A$4:$D$2002,4,FALSE),"")</f>
        <v/>
      </c>
      <c r="DV113" t="str">
        <f>+IFERROR(VLOOKUP(DV14,IN_Zugliste!$A$4:$D$2002,4,FALSE),"")</f>
        <v/>
      </c>
      <c r="DW113" t="str">
        <f>+IFERROR(VLOOKUP(DW14,IN_Zugliste!$A$4:$D$2002,4,FALSE),"")</f>
        <v/>
      </c>
      <c r="DX113" t="str">
        <f>+IFERROR(VLOOKUP(DX14,IN_Zugliste!$A$4:$D$2002,4,FALSE),"")</f>
        <v/>
      </c>
      <c r="DY113" t="str">
        <f>+IFERROR(VLOOKUP(DY14,IN_Zugliste!$A$4:$D$2002,4,FALSE),"")</f>
        <v/>
      </c>
      <c r="DZ113" t="str">
        <f>+IFERROR(VLOOKUP(DZ14,IN_Zugliste!$A$4:$D$2002,4,FALSE),"")</f>
        <v/>
      </c>
      <c r="EA113" t="str">
        <f>+IFERROR(VLOOKUP(EA14,IN_Zugliste!$A$4:$D$2002,4,FALSE),"")</f>
        <v/>
      </c>
      <c r="EB113" t="str">
        <f>+IFERROR(VLOOKUP(EB14,IN_Zugliste!$A$4:$D$2002,4,FALSE),"")</f>
        <v/>
      </c>
      <c r="EC113" t="str">
        <f>+IFERROR(VLOOKUP(EC14,IN_Zugliste!$A$4:$D$2002,4,FALSE),"")</f>
        <v/>
      </c>
      <c r="ED113" t="str">
        <f>+IFERROR(VLOOKUP(ED14,IN_Zugliste!$A$4:$D$2002,4,FALSE),"")</f>
        <v/>
      </c>
      <c r="EE113" t="str">
        <f>+IFERROR(VLOOKUP(EE14,IN_Zugliste!$A$4:$D$2002,4,FALSE),"")</f>
        <v/>
      </c>
      <c r="EF113" t="str">
        <f>+IFERROR(VLOOKUP(EF14,IN_Zugliste!$A$4:$D$2002,4,FALSE),"")</f>
        <v/>
      </c>
      <c r="EG113" t="str">
        <f>+IFERROR(VLOOKUP(EG14,IN_Zugliste!$A$4:$D$2002,4,FALSE),"")</f>
        <v/>
      </c>
      <c r="EH113" t="str">
        <f>+IFERROR(VLOOKUP(EH14,IN_Zugliste!$A$4:$D$2002,4,FALSE),"")</f>
        <v/>
      </c>
      <c r="EI113" t="str">
        <f>+IFERROR(VLOOKUP(EI14,IN_Zugliste!$A$4:$D$2002,4,FALSE),"")</f>
        <v/>
      </c>
      <c r="EJ113" t="str">
        <f>+IFERROR(VLOOKUP(EJ14,IN_Zugliste!$A$4:$D$2002,4,FALSE),"")</f>
        <v/>
      </c>
      <c r="EK113" t="str">
        <f>+IFERROR(VLOOKUP(EK14,IN_Zugliste!$A$4:$D$2002,4,FALSE),"")</f>
        <v/>
      </c>
      <c r="EL113" t="str">
        <f>+IFERROR(VLOOKUP(EL14,IN_Zugliste!$A$4:$D$2002,4,FALSE),"")</f>
        <v/>
      </c>
      <c r="EM113" t="str">
        <f>+IFERROR(VLOOKUP(EM14,IN_Zugliste!$A$4:$D$2002,4,FALSE),"")</f>
        <v/>
      </c>
      <c r="EN113" t="str">
        <f>+IFERROR(VLOOKUP(EN14,IN_Zugliste!$A$4:$D$2002,4,FALSE),"")</f>
        <v/>
      </c>
      <c r="EO113" t="str">
        <f>+IFERROR(VLOOKUP(EO14,IN_Zugliste!$A$4:$D$2002,4,FALSE),"")</f>
        <v/>
      </c>
      <c r="EP113" t="str">
        <f>+IFERROR(VLOOKUP(EP14,IN_Zugliste!$A$4:$D$2002,4,FALSE),"")</f>
        <v/>
      </c>
      <c r="EQ113" t="str">
        <f>+IFERROR(VLOOKUP(EQ14,IN_Zugliste!$A$4:$D$2002,4,FALSE),"")</f>
        <v/>
      </c>
      <c r="ER113" t="str">
        <f>+IFERROR(VLOOKUP(ER14,IN_Zugliste!$A$4:$D$2002,4,FALSE),"")</f>
        <v/>
      </c>
      <c r="ES113" t="str">
        <f>+IFERROR(VLOOKUP(ES14,IN_Zugliste!$A$4:$D$2002,4,FALSE),"")</f>
        <v/>
      </c>
      <c r="ET113" t="str">
        <f>+IFERROR(VLOOKUP(ET14,IN_Zugliste!$A$4:$D$2002,4,FALSE),"")</f>
        <v/>
      </c>
      <c r="EU113" t="str">
        <f>+IFERROR(VLOOKUP(EU14,IN_Zugliste!$A$4:$D$2002,4,FALSE),"")</f>
        <v/>
      </c>
      <c r="EV113" t="str">
        <f>+IFERROR(VLOOKUP(EV14,IN_Zugliste!$A$4:$D$2002,4,FALSE),"")</f>
        <v/>
      </c>
      <c r="EW113" t="str">
        <f>+IFERROR(VLOOKUP(EW14,IN_Zugliste!$A$4:$D$2002,4,FALSE),"")</f>
        <v/>
      </c>
      <c r="EX113" t="str">
        <f>+IFERROR(VLOOKUP(EX14,IN_Zugliste!$A$4:$D$2002,4,FALSE),"")</f>
        <v/>
      </c>
      <c r="EY113" t="str">
        <f>+IFERROR(VLOOKUP(EY14,IN_Zugliste!$A$4:$D$2002,4,FALSE),"")</f>
        <v/>
      </c>
      <c r="EZ113" t="str">
        <f>+IFERROR(VLOOKUP(EZ14,IN_Zugliste!$A$4:$D$2002,4,FALSE),"")</f>
        <v/>
      </c>
      <c r="FA113" t="str">
        <f>+IFERROR(VLOOKUP(FA14,IN_Zugliste!$A$4:$D$2002,4,FALSE),"")</f>
        <v/>
      </c>
      <c r="FB113" t="str">
        <f>+IFERROR(VLOOKUP(FB14,IN_Zugliste!$A$4:$D$2002,4,FALSE),"")</f>
        <v/>
      </c>
      <c r="FC113" t="str">
        <f>+IFERROR(VLOOKUP(FC14,IN_Zugliste!$A$4:$D$2002,4,FALSE),"")</f>
        <v/>
      </c>
      <c r="FD113" t="str">
        <f>+IFERROR(VLOOKUP(FD14,IN_Zugliste!$A$4:$D$2002,4,FALSE),"")</f>
        <v/>
      </c>
      <c r="FE113" t="str">
        <f>+IFERROR(VLOOKUP(FE14,IN_Zugliste!$A$4:$D$2002,4,FALSE),"")</f>
        <v/>
      </c>
      <c r="FF113" t="str">
        <f>+IFERROR(VLOOKUP(FF14,IN_Zugliste!$A$4:$D$2002,4,FALSE),"")</f>
        <v/>
      </c>
      <c r="FG113" t="str">
        <f>+IFERROR(VLOOKUP(FG14,IN_Zugliste!$A$4:$D$2002,4,FALSE),"")</f>
        <v/>
      </c>
      <c r="FH113" t="str">
        <f>+IFERROR(VLOOKUP(FH14,IN_Zugliste!$A$4:$D$2002,4,FALSE),"")</f>
        <v/>
      </c>
      <c r="FI113" t="str">
        <f>+IFERROR(VLOOKUP(FI14,IN_Zugliste!$A$4:$D$2002,4,FALSE),"")</f>
        <v/>
      </c>
      <c r="FJ113" t="str">
        <f>+IFERROR(VLOOKUP(FJ14,IN_Zugliste!$A$4:$D$2002,4,FALSE),"")</f>
        <v/>
      </c>
      <c r="FK113" t="str">
        <f>+IFERROR(VLOOKUP(FK14,IN_Zugliste!$A$4:$D$2002,4,FALSE),"")</f>
        <v/>
      </c>
      <c r="FL113" t="str">
        <f>+IFERROR(VLOOKUP(FL14,IN_Zugliste!$A$4:$D$2002,4,FALSE),"")</f>
        <v/>
      </c>
      <c r="FM113" t="str">
        <f>+IFERROR(VLOOKUP(FM14,IN_Zugliste!$A$4:$C$2002,4,FALSE),"")</f>
        <v/>
      </c>
      <c r="FN113" t="str">
        <f>+IFERROR(VLOOKUP(FN14,IN_Zugliste!$A$4:$C$2002,4,FALSE),"")</f>
        <v/>
      </c>
      <c r="FO113" t="str">
        <f>+IFERROR(VLOOKUP(FO14,IN_Zugliste!$A$4:$C$2002,4,FALSE),"")</f>
        <v/>
      </c>
      <c r="FP113" t="str">
        <f>+IFERROR(VLOOKUP(FP14,IN_Zugliste!$A$4:$C$2002,4,FALSE),"")</f>
        <v/>
      </c>
      <c r="FQ113" t="str">
        <f>+IFERROR(VLOOKUP(FQ14,IN_Zugliste!$A$4:$C$2002,4,FALSE),"")</f>
        <v/>
      </c>
      <c r="FR113" t="str">
        <f>+IFERROR(VLOOKUP(FR14,IN_Zugliste!$A$4:$C$2002,4,FALSE),"")</f>
        <v/>
      </c>
      <c r="FS113" t="str">
        <f>+IFERROR(VLOOKUP(FS14,IN_Zugliste!$A$4:$C$2002,4,FALSE),"")</f>
        <v/>
      </c>
      <c r="FT113" t="str">
        <f>+IFERROR(VLOOKUP(FT14,IN_Zugliste!$A$4:$C$2002,4,FALSE),"")</f>
        <v/>
      </c>
      <c r="FU113" t="str">
        <f>+IFERROR(VLOOKUP(FU14,IN_Zugliste!$A$4:$C$2002,4,FALSE),"")</f>
        <v/>
      </c>
      <c r="FV113" t="str">
        <f>+IFERROR(VLOOKUP(FV14,IN_Zugliste!$A$4:$C$2002,4,FALSE),"")</f>
        <v/>
      </c>
      <c r="FW113" t="str">
        <f>+IFERROR(VLOOKUP(FW14,IN_Zugliste!$A$4:$C$2002,4,FALSE),"")</f>
        <v/>
      </c>
      <c r="FX113" t="str">
        <f>+IFERROR(VLOOKUP(FX14,IN_Zugliste!$A$4:$C$2002,4,FALSE),"")</f>
        <v/>
      </c>
      <c r="FY113" t="str">
        <f>+IFERROR(VLOOKUP(FY14,IN_Zugliste!$A$4:$C$2002,4,FALSE),"")</f>
        <v/>
      </c>
      <c r="FZ113" t="str">
        <f>+IFERROR(VLOOKUP(FZ14,IN_Zugliste!$A$4:$C$2002,4,FALSE),"")</f>
        <v/>
      </c>
      <c r="GA113" t="str">
        <f>+IFERROR(VLOOKUP(GA14,IN_Zugliste!$A$4:$C$2002,4,FALSE),"")</f>
        <v/>
      </c>
      <c r="GB113" t="str">
        <f>+IFERROR(VLOOKUP(GB14,IN_Zugliste!$A$4:$C$2002,4,FALSE),"")</f>
        <v/>
      </c>
      <c r="GC113" t="str">
        <f>+IFERROR(VLOOKUP(GC14,IN_Zugliste!$A$4:$C$2002,4,FALSE),"")</f>
        <v/>
      </c>
      <c r="GD113" t="str">
        <f>+IFERROR(VLOOKUP(GD14,IN_Zugliste!$A$4:$C$2002,4,FALSE),"")</f>
        <v/>
      </c>
      <c r="GE113" t="str">
        <f>+IFERROR(VLOOKUP(GE14,IN_Zugliste!$A$4:$C$2002,4,FALSE),"")</f>
        <v/>
      </c>
      <c r="GF113" t="str">
        <f>+IFERROR(VLOOKUP(GF14,IN_Zugliste!$A$4:$C$2002,4,FALSE),"")</f>
        <v/>
      </c>
      <c r="GG113" t="str">
        <f>+IFERROR(VLOOKUP(GG14,IN_Zugliste!$A$4:$C$2002,4,FALSE),"")</f>
        <v/>
      </c>
      <c r="GH113" t="str">
        <f>+IFERROR(VLOOKUP(GH14,IN_Zugliste!$A$4:$C$2002,4,FALSE),"")</f>
        <v/>
      </c>
      <c r="GI113" t="str">
        <f>+IFERROR(VLOOKUP(GI14,IN_Zugliste!$A$4:$C$2002,4,FALSE),"")</f>
        <v/>
      </c>
      <c r="GJ113" t="str">
        <f>+IFERROR(VLOOKUP(GJ14,IN_Zugliste!$A$4:$C$2002,4,FALSE),"")</f>
        <v/>
      </c>
      <c r="GK113" t="str">
        <f>+IFERROR(VLOOKUP(GK14,IN_Zugliste!$A$4:$C$2002,4,FALSE),"")</f>
        <v/>
      </c>
      <c r="GL113" t="str">
        <f>+IFERROR(VLOOKUP(GL14,IN_Zugliste!$A$4:$C$2002,4,FALSE),"")</f>
        <v/>
      </c>
      <c r="GM113" t="str">
        <f>+IFERROR(VLOOKUP(GM14,IN_Zugliste!$A$4:$C$2002,4,FALSE),"")</f>
        <v/>
      </c>
      <c r="GN113" t="str">
        <f>+IFERROR(VLOOKUP(GN14,IN_Zugliste!$A$4:$C$2002,4,FALSE),"")</f>
        <v/>
      </c>
      <c r="GO113" t="str">
        <f>+IFERROR(VLOOKUP(GO14,IN_Zugliste!$A$4:$C$2002,4,FALSE),"")</f>
        <v/>
      </c>
      <c r="GP113" t="str">
        <f>+IFERROR(VLOOKUP(GP14,IN_Zugliste!$A$4:$C$2002,4,FALSE),"")</f>
        <v/>
      </c>
      <c r="GQ113" t="str">
        <f>+IFERROR(VLOOKUP(GQ14,IN_Zugliste!$A$4:$C$2002,4,FALSE),"")</f>
        <v/>
      </c>
      <c r="GR113" t="str">
        <f>+IFERROR(VLOOKUP(GR14,IN_Zugliste!$A$4:$C$2002,4,FALSE),"")</f>
        <v/>
      </c>
      <c r="GS113" t="str">
        <f>+IFERROR(VLOOKUP(GS14,IN_Zugliste!$A$4:$C$2002,4,FALSE),"")</f>
        <v/>
      </c>
      <c r="GT113" t="str">
        <f>+IFERROR(VLOOKUP(GT14,IN_Zugliste!$A$4:$C$2002,4,FALSE),"")</f>
        <v/>
      </c>
      <c r="GU113" t="str">
        <f>+IFERROR(VLOOKUP(GU14,IN_Zugliste!$A$4:$C$2002,4,FALSE),"")</f>
        <v/>
      </c>
      <c r="GV113" t="str">
        <f>+IFERROR(VLOOKUP(GV14,IN_Zugliste!$A$4:$C$2002,4,FALSE),"")</f>
        <v/>
      </c>
      <c r="GW113" t="str">
        <f>+IFERROR(VLOOKUP(GW14,IN_Zugliste!$A$4:$C$2002,4,FALSE),"")</f>
        <v/>
      </c>
      <c r="GX113" t="str">
        <f>+IFERROR(VLOOKUP(GX14,IN_Zugliste!$A$4:$C$2002,4,FALSE),"")</f>
        <v/>
      </c>
      <c r="GY113" t="str">
        <f>+IFERROR(VLOOKUP(GY14,IN_Zugliste!$A$4:$C$2002,4,FALSE),"")</f>
        <v/>
      </c>
      <c r="GZ113" t="str">
        <f>+IFERROR(VLOOKUP(GZ14,IN_Zugliste!$A$4:$C$2002,4,FALSE),"")</f>
        <v/>
      </c>
      <c r="HA113" t="str">
        <f>+IFERROR(VLOOKUP(HA14,IN_Zugliste!$A$4:$C$2002,4,FALSE),"")</f>
        <v/>
      </c>
      <c r="HB113" t="str">
        <f>+IFERROR(VLOOKUP(HB14,IN_Zugliste!$A$4:$C$2002,4,FALSE),"")</f>
        <v/>
      </c>
      <c r="HC113" t="str">
        <f>+IFERROR(VLOOKUP(HC14,IN_Zugliste!$A$4:$C$2002,4,FALSE),"")</f>
        <v/>
      </c>
      <c r="HD113" t="str">
        <f>+IFERROR(VLOOKUP(HD14,IN_Zugliste!$A$4:$C$2002,4,FALSE),"")</f>
        <v/>
      </c>
      <c r="HE113" t="str">
        <f>+IFERROR(VLOOKUP(HE14,IN_Zugliste!$A$4:$C$2002,4,FALSE),"")</f>
        <v/>
      </c>
      <c r="HF113" t="str">
        <f>+IFERROR(VLOOKUP(HF14,IN_Zugliste!$A$4:$C$2002,4,FALSE),"")</f>
        <v/>
      </c>
      <c r="HG113" t="str">
        <f>+IFERROR(VLOOKUP(HG14,IN_Zugliste!$A$4:$C$2002,4,FALSE),"")</f>
        <v/>
      </c>
      <c r="HH113" t="str">
        <f>+IFERROR(VLOOKUP(HH14,IN_Zugliste!$A$4:$C$2002,4,FALSE),"")</f>
        <v/>
      </c>
      <c r="HI113" t="str">
        <f>+IFERROR(VLOOKUP(HI14,IN_Zugliste!$A$4:$C$2002,4,FALSE),"")</f>
        <v/>
      </c>
      <c r="HJ113" t="str">
        <f>+IFERROR(VLOOKUP(HJ14,IN_Zugliste!$A$4:$C$2002,4,FALSE),"")</f>
        <v/>
      </c>
      <c r="HK113" t="str">
        <f>+IFERROR(VLOOKUP(HK14,IN_Zugliste!$A$4:$C$2002,4,FALSE),"")</f>
        <v/>
      </c>
      <c r="HL113" t="str">
        <f>+IFERROR(VLOOKUP(HL14,IN_Zugliste!$A$4:$C$2002,4,FALSE),"")</f>
        <v/>
      </c>
      <c r="HM113" t="str">
        <f>+IFERROR(VLOOKUP(HM14,IN_Zugliste!$A$4:$C$2002,4,FALSE),"")</f>
        <v/>
      </c>
      <c r="HN113" t="str">
        <f>+IFERROR(VLOOKUP(HN14,IN_Zugliste!$A$4:$C$2002,4,FALSE),"")</f>
        <v/>
      </c>
      <c r="HO113" t="str">
        <f>+IFERROR(VLOOKUP(HO14,IN_Zugliste!$A$4:$C$2002,4,FALSE),"")</f>
        <v/>
      </c>
      <c r="HP113" t="str">
        <f>+IFERROR(VLOOKUP(HP14,IN_Zugliste!$A$4:$C$2002,4,FALSE),"")</f>
        <v/>
      </c>
      <c r="HQ113" t="str">
        <f>+IFERROR(VLOOKUP(HQ14,IN_Zugliste!$A$4:$C$2002,4,FALSE),"")</f>
        <v/>
      </c>
      <c r="HR113" t="str">
        <f>+IFERROR(VLOOKUP(HR14,IN_Zugliste!$A$4:$C$2002,4,FALSE),"")</f>
        <v/>
      </c>
      <c r="HS113" t="str">
        <f>+IFERROR(VLOOKUP(HS14,IN_Zugliste!$A$4:$C$2002,4,FALSE),"")</f>
        <v/>
      </c>
      <c r="HT113" t="str">
        <f>+IFERROR(VLOOKUP(HT14,IN_Zugliste!$A$4:$C$2002,4,FALSE),"")</f>
        <v/>
      </c>
      <c r="HU113" t="str">
        <f>+IFERROR(VLOOKUP(HU14,IN_Zugliste!$A$4:$C$2002,4,FALSE),"")</f>
        <v/>
      </c>
      <c r="HV113" t="str">
        <f>+IFERROR(VLOOKUP(HV14,IN_Zugliste!$A$4:$C$2002,4,FALSE),"")</f>
        <v/>
      </c>
      <c r="HW113" t="str">
        <f>+IFERROR(VLOOKUP(HW14,IN_Zugliste!$A$4:$C$2002,4,FALSE),"")</f>
        <v/>
      </c>
      <c r="HX113" t="str">
        <f>+IFERROR(VLOOKUP(HX14,IN_Zugliste!$A$4:$C$2002,4,FALSE),"")</f>
        <v/>
      </c>
      <c r="HY113" t="str">
        <f>+IFERROR(VLOOKUP(HY14,IN_Zugliste!$A$4:$C$2002,4,FALSE),"")</f>
        <v/>
      </c>
      <c r="HZ113" t="str">
        <f>+IFERROR(VLOOKUP(HZ14,IN_Zugliste!$A$4:$C$2002,4,FALSE),"")</f>
        <v/>
      </c>
      <c r="IA113" t="str">
        <f>+IFERROR(VLOOKUP(IA14,IN_Zugliste!$A$4:$C$2002,4,FALSE),"")</f>
        <v/>
      </c>
      <c r="IB113" t="str">
        <f>+IFERROR(VLOOKUP(IB14,IN_Zugliste!$A$4:$C$2002,4,FALSE),"")</f>
        <v/>
      </c>
      <c r="IC113" t="str">
        <f>+IFERROR(VLOOKUP(IC14,IN_Zugliste!$A$4:$C$2002,4,FALSE),"")</f>
        <v/>
      </c>
      <c r="ID113" t="str">
        <f>+IFERROR(VLOOKUP(ID14,IN_Zugliste!$A$4:$C$2002,4,FALSE),"")</f>
        <v/>
      </c>
      <c r="IE113" t="str">
        <f>+IFERROR(VLOOKUP(IE14,IN_Zugliste!$A$4:$C$2002,4,FALSE),"")</f>
        <v/>
      </c>
      <c r="IF113" t="str">
        <f>+IFERROR(VLOOKUP(IF14,IN_Zugliste!$A$4:$C$2002,4,FALSE),"")</f>
        <v/>
      </c>
      <c r="IG113" t="str">
        <f>+IFERROR(VLOOKUP(IG14,IN_Zugliste!$A$4:$C$2002,4,FALSE),"")</f>
        <v/>
      </c>
      <c r="IH113" t="str">
        <f>+IFERROR(VLOOKUP(IH14,IN_Zugliste!$A$4:$C$2002,4,FALSE),"")</f>
        <v/>
      </c>
      <c r="II113" t="str">
        <f>+IFERROR(VLOOKUP(II14,IN_Zugliste!$A$4:$C$2002,4,FALSE),"")</f>
        <v/>
      </c>
      <c r="IJ113" t="str">
        <f>+IFERROR(VLOOKUP(IJ14,IN_Zugliste!$A$4:$C$2002,4,FALSE),"")</f>
        <v/>
      </c>
      <c r="IK113" t="str">
        <f>+IFERROR(VLOOKUP(IK14,IN_Zugliste!$A$4:$C$2002,4,FALSE),"")</f>
        <v/>
      </c>
      <c r="IL113" t="str">
        <f>+IFERROR(VLOOKUP(IL14,IN_Zugliste!$A$4:$C$2002,4,FALSE),"")</f>
        <v/>
      </c>
      <c r="IM113" t="str">
        <f>+IFERROR(VLOOKUP(IM14,IN_Zugliste!$A$4:$C$2002,4,FALSE),"")</f>
        <v/>
      </c>
      <c r="IN113" t="str">
        <f>+IFERROR(VLOOKUP(IN14,IN_Zugliste!$A$4:$C$2002,4,FALSE),"")</f>
        <v/>
      </c>
      <c r="IO113" t="str">
        <f>+IFERROR(VLOOKUP(IO14,IN_Zugliste!$A$4:$C$2002,4,FALSE),"")</f>
        <v/>
      </c>
      <c r="IP113" t="str">
        <f>+IFERROR(VLOOKUP(IP14,IN_Zugliste!$A$4:$C$2002,4,FALSE),"")</f>
        <v/>
      </c>
      <c r="IQ113" t="str">
        <f>+IFERROR(VLOOKUP(IQ14,IN_Zugliste!$A$4:$C$2002,4,FALSE),"")</f>
        <v/>
      </c>
      <c r="IR113" t="str">
        <f>+IFERROR(VLOOKUP(IR14,IN_Zugliste!$A$4:$C$2002,4,FALSE),"")</f>
        <v/>
      </c>
      <c r="IS113" t="str">
        <f>+IFERROR(VLOOKUP(IS14,IN_Zugliste!$A$4:$C$2002,4,FALSE),"")</f>
        <v/>
      </c>
      <c r="IT113" t="str">
        <f>+IFERROR(VLOOKUP(IT14,IN_Zugliste!$A$4:$C$2002,4,FALSE),"")</f>
        <v/>
      </c>
      <c r="IU113" t="str">
        <f>+IFERROR(VLOOKUP(IU14,IN_Zugliste!$A$4:$C$2002,4,FALSE),"")</f>
        <v/>
      </c>
      <c r="IV113" t="str">
        <f>+IFERROR(VLOOKUP(IV14,IN_Zugliste!$A$4:$C$2002,4,FALSE),"")</f>
        <v/>
      </c>
      <c r="IW113" t="str">
        <f>+IFERROR(VLOOKUP(IW14,IN_Zugliste!$A$4:$C$2002,4,FALSE),"")</f>
        <v/>
      </c>
      <c r="IX113" t="str">
        <f>+IFERROR(VLOOKUP(IX14,IN_Zugliste!$A$4:$C$2002,4,FALSE),"")</f>
        <v/>
      </c>
      <c r="IY113" t="str">
        <f>+IFERROR(VLOOKUP(IY14,IN_Zugliste!$A$4:$C$2002,4,FALSE),"")</f>
        <v/>
      </c>
      <c r="IZ113" t="str">
        <f>+IFERROR(VLOOKUP(IZ14,IN_Zugliste!$A$4:$C$2002,4,FALSE),"")</f>
        <v/>
      </c>
      <c r="JA113" t="str">
        <f>+IFERROR(VLOOKUP(JA14,IN_Zugliste!$A$4:$C$2002,4,FALSE),"")</f>
        <v/>
      </c>
      <c r="JB113" t="str">
        <f>+IFERROR(VLOOKUP(JB14,IN_Zugliste!$A$4:$C$2002,4,FALSE),"")</f>
        <v/>
      </c>
      <c r="JC113" t="str">
        <f>+IFERROR(VLOOKUP(JC14,IN_Zugliste!$A$4:$C$2002,4,FALSE),"")</f>
        <v/>
      </c>
      <c r="JD113" t="str">
        <f>+IFERROR(VLOOKUP(JD14,IN_Zugliste!$A$4:$C$2002,4,FALSE),"")</f>
        <v/>
      </c>
      <c r="JE113" t="str">
        <f>+IFERROR(VLOOKUP(JE14,IN_Zugliste!$A$4:$C$2002,4,FALSE),"")</f>
        <v/>
      </c>
      <c r="JF113" t="str">
        <f>+IFERROR(VLOOKUP(JF14,IN_Zugliste!$A$4:$C$2002,4,FALSE),"")</f>
        <v/>
      </c>
      <c r="JG113" t="str">
        <f>+IFERROR(VLOOKUP(JG14,IN_Zugliste!$A$4:$C$2002,4,FALSE),"")</f>
        <v/>
      </c>
      <c r="JH113" t="str">
        <f>+IFERROR(VLOOKUP(JH14,IN_Zugliste!$A$4:$C$2002,4,FALSE),"")</f>
        <v/>
      </c>
      <c r="JI113" t="str">
        <f>+IFERROR(VLOOKUP(JI14,IN_Zugliste!$A$4:$C$2002,4,FALSE),"")</f>
        <v/>
      </c>
      <c r="JJ113" t="str">
        <f>+IFERROR(VLOOKUP(JJ14,IN_Zugliste!$A$4:$C$2002,4,FALSE),"")</f>
        <v/>
      </c>
      <c r="JK113" t="str">
        <f>+IFERROR(VLOOKUP(JK14,IN_Zugliste!$A$4:$C$2002,4,FALSE),"")</f>
        <v/>
      </c>
      <c r="JL113" t="str">
        <f>+IFERROR(VLOOKUP(JL14,IN_Zugliste!$A$4:$C$2002,4,FALSE),"")</f>
        <v/>
      </c>
    </row>
    <row r="114" spans="1:272" x14ac:dyDescent="0.2">
      <c r="A114" t="str">
        <f>+IFERROR(VLOOKUP(A15,IN_Zugliste!$A$4:$D$2002,4,FALSE),"")</f>
        <v/>
      </c>
      <c r="B114" t="str">
        <f>+IFERROR(VLOOKUP(B15,IN_Zugliste!$A$4:$D$2002,4,FALSE),"")</f>
        <v/>
      </c>
      <c r="C114" t="str">
        <f>+IFERROR(VLOOKUP(C15,IN_Zugliste!$A$4:$D$2002,4,FALSE),"")</f>
        <v/>
      </c>
      <c r="D114" t="str">
        <f>+IFERROR(VLOOKUP(D15,IN_Zugliste!$A$4:$D$2002,4,FALSE),"")</f>
        <v/>
      </c>
      <c r="E114" t="str">
        <f>+IFERROR(VLOOKUP(E15,IN_Zugliste!$A$4:$D$2002,4,FALSE),"")</f>
        <v/>
      </c>
      <c r="F114" t="str">
        <f>+IFERROR(VLOOKUP(F15,IN_Zugliste!$A$4:$D$2002,4,FALSE),"")</f>
        <v/>
      </c>
      <c r="G114" t="str">
        <f>+IFERROR(VLOOKUP(G15,IN_Zugliste!$A$4:$D$2002,4,FALSE),"")</f>
        <v/>
      </c>
      <c r="H114" t="str">
        <f>+IFERROR(VLOOKUP(H15,IN_Zugliste!$A$4:$D$2002,4,FALSE),"")</f>
        <v/>
      </c>
      <c r="I114" t="str">
        <f>+IFERROR(VLOOKUP(I15,IN_Zugliste!$A$4:$D$2002,4,FALSE),"")</f>
        <v/>
      </c>
      <c r="J114" t="str">
        <f>+IFERROR(VLOOKUP(J15,IN_Zugliste!$A$4:$D$2002,4,FALSE),"")</f>
        <v/>
      </c>
      <c r="K114" t="str">
        <f>+IFERROR(VLOOKUP(K15,IN_Zugliste!$A$4:$D$2002,4,FALSE),"")</f>
        <v/>
      </c>
      <c r="L114" t="str">
        <f>+IFERROR(VLOOKUP(L15,IN_Zugliste!$A$4:$D$2002,4,FALSE),"")</f>
        <v/>
      </c>
      <c r="M114" t="str">
        <f>+IFERROR(VLOOKUP(M15,IN_Zugliste!$A$4:$D$2002,4,FALSE),"")</f>
        <v/>
      </c>
      <c r="N114" t="str">
        <f>+IFERROR(VLOOKUP(N15,IN_Zugliste!$A$4:$D$2002,4,FALSE),"")</f>
        <v/>
      </c>
      <c r="O114" t="str">
        <f>+IFERROR(VLOOKUP(O15,IN_Zugliste!$A$4:$D$2002,4,FALSE),"")</f>
        <v/>
      </c>
      <c r="P114" t="str">
        <f>+IFERROR(VLOOKUP(P15,IN_Zugliste!$A$4:$D$2002,4,FALSE),"")</f>
        <v/>
      </c>
      <c r="Q114" t="str">
        <f>+IFERROR(VLOOKUP(Q15,IN_Zugliste!$A$4:$D$2002,4,FALSE),"")</f>
        <v/>
      </c>
      <c r="R114" t="str">
        <f>+IFERROR(VLOOKUP(R15,IN_Zugliste!$A$4:$D$2002,4,FALSE),"")</f>
        <v/>
      </c>
      <c r="S114" t="str">
        <f>+IFERROR(VLOOKUP(S15,IN_Zugliste!$A$4:$D$2002,4,FALSE),"")</f>
        <v/>
      </c>
      <c r="T114" t="str">
        <f>+IFERROR(VLOOKUP(T15,IN_Zugliste!$A$4:$D$2002,4,FALSE),"")</f>
        <v/>
      </c>
      <c r="U114" t="str">
        <f>+IFERROR(VLOOKUP(U15,IN_Zugliste!$A$4:$D$2002,4,FALSE),"")</f>
        <v/>
      </c>
      <c r="V114" t="str">
        <f>+IFERROR(VLOOKUP(V15,IN_Zugliste!$A$4:$D$2002,4,FALSE),"")</f>
        <v/>
      </c>
      <c r="W114" t="str">
        <f>+IFERROR(VLOOKUP(W15,IN_Zugliste!$A$4:$D$2002,4,FALSE),"")</f>
        <v/>
      </c>
      <c r="X114" t="str">
        <f>+IFERROR(VLOOKUP(X15,IN_Zugliste!$A$4:$D$2002,4,FALSE),"")</f>
        <v/>
      </c>
      <c r="Y114" t="str">
        <f>+IFERROR(VLOOKUP(Y15,IN_Zugliste!$A$4:$D$2002,4,FALSE),"")</f>
        <v/>
      </c>
      <c r="Z114" t="str">
        <f>+IFERROR(VLOOKUP(Z15,IN_Zugliste!$A$4:$D$2002,4,FALSE),"")</f>
        <v/>
      </c>
      <c r="AA114" t="str">
        <f>+IFERROR(VLOOKUP(AA15,IN_Zugliste!$A$4:$D$2002,4,FALSE),"")</f>
        <v/>
      </c>
      <c r="AB114" t="str">
        <f>+IFERROR(VLOOKUP(AB15,IN_Zugliste!$A$4:$D$2002,4,FALSE),"")</f>
        <v/>
      </c>
      <c r="AC114" t="str">
        <f>+IFERROR(VLOOKUP(AC15,IN_Zugliste!$A$4:$D$2002,4,FALSE),"")</f>
        <v/>
      </c>
      <c r="AD114" t="str">
        <f>+IFERROR(VLOOKUP(AD15,IN_Zugliste!$A$4:$D$2002,4,FALSE),"")</f>
        <v/>
      </c>
      <c r="AE114" t="str">
        <f>+IFERROR(VLOOKUP(AE15,IN_Zugliste!$A$4:$D$2002,4,FALSE),"")</f>
        <v/>
      </c>
      <c r="AF114" t="str">
        <f>+IFERROR(VLOOKUP(AF15,IN_Zugliste!$A$4:$D$2002,4,FALSE),"")</f>
        <v/>
      </c>
      <c r="AG114" t="str">
        <f>+IFERROR(VLOOKUP(AG15,IN_Zugliste!$A$4:$D$2002,4,FALSE),"")</f>
        <v/>
      </c>
      <c r="AH114" t="str">
        <f>+IFERROR(VLOOKUP(AH15,IN_Zugliste!$A$4:$D$2002,4,FALSE),"")</f>
        <v/>
      </c>
      <c r="AI114" t="str">
        <f>+IFERROR(VLOOKUP(AI15,IN_Zugliste!$A$4:$D$2002,4,FALSE),"")</f>
        <v/>
      </c>
      <c r="AJ114" t="str">
        <f>+IFERROR(VLOOKUP(AJ15,IN_Zugliste!$A$4:$D$2002,4,FALSE),"")</f>
        <v/>
      </c>
      <c r="AK114" t="str">
        <f>+IFERROR(VLOOKUP(AK15,IN_Zugliste!$A$4:$D$2002,4,FALSE),"")</f>
        <v/>
      </c>
      <c r="AL114" t="str">
        <f>+IFERROR(VLOOKUP(AL15,IN_Zugliste!$A$4:$D$2002,4,FALSE),"")</f>
        <v/>
      </c>
      <c r="AM114" t="str">
        <f>+IFERROR(VLOOKUP(AM15,IN_Zugliste!$A$4:$D$2002,4,FALSE),"")</f>
        <v/>
      </c>
      <c r="AN114" t="str">
        <f>+IFERROR(VLOOKUP(AN15,IN_Zugliste!$A$4:$D$2002,4,FALSE),"")</f>
        <v/>
      </c>
      <c r="AO114" t="str">
        <f>+IFERROR(VLOOKUP(AO15,IN_Zugliste!$A$4:$D$2002,4,FALSE),"")</f>
        <v/>
      </c>
      <c r="AP114" t="str">
        <f>+IFERROR(VLOOKUP(AP15,IN_Zugliste!$A$4:$D$2002,4,FALSE),"")</f>
        <v/>
      </c>
      <c r="AQ114" t="str">
        <f>+IFERROR(VLOOKUP(AQ15,IN_Zugliste!$A$4:$D$2002,4,FALSE),"")</f>
        <v/>
      </c>
      <c r="AR114" t="str">
        <f>+IFERROR(VLOOKUP(AR15,IN_Zugliste!$A$4:$D$2002,4,FALSE),"")</f>
        <v/>
      </c>
      <c r="AS114" t="str">
        <f>+IFERROR(VLOOKUP(AS15,IN_Zugliste!$A$4:$D$2002,4,FALSE),"")</f>
        <v/>
      </c>
      <c r="AT114" t="str">
        <f>+IFERROR(VLOOKUP(AT15,IN_Zugliste!$A$4:$D$2002,4,FALSE),"")</f>
        <v/>
      </c>
      <c r="AU114" t="str">
        <f>+IFERROR(VLOOKUP(AU15,IN_Zugliste!$A$4:$D$2002,4,FALSE),"")</f>
        <v/>
      </c>
      <c r="AV114" t="str">
        <f>+IFERROR(VLOOKUP(AV15,IN_Zugliste!$A$4:$D$2002,4,FALSE),"")</f>
        <v/>
      </c>
      <c r="AW114" t="str">
        <f>+IFERROR(VLOOKUP(AW15,IN_Zugliste!$A$4:$D$2002,4,FALSE),"")</f>
        <v/>
      </c>
      <c r="AX114" t="str">
        <f>+IFERROR(VLOOKUP(AX15,IN_Zugliste!$A$4:$D$2002,4,FALSE),"")</f>
        <v/>
      </c>
      <c r="AY114" t="str">
        <f>+IFERROR(VLOOKUP(AY15,IN_Zugliste!$A$4:$D$2002,4,FALSE),"")</f>
        <v/>
      </c>
      <c r="AZ114" t="str">
        <f>+IFERROR(VLOOKUP(AZ15,IN_Zugliste!$A$4:$D$2002,4,FALSE),"")</f>
        <v/>
      </c>
      <c r="BA114" t="str">
        <f>+IFERROR(VLOOKUP(BA15,IN_Zugliste!$A$4:$D$2002,4,FALSE),"")</f>
        <v/>
      </c>
      <c r="BB114" t="str">
        <f>+IFERROR(VLOOKUP(BB15,IN_Zugliste!$A$4:$D$2002,4,FALSE),"")</f>
        <v/>
      </c>
      <c r="BC114" t="str">
        <f>+IFERROR(VLOOKUP(BC15,IN_Zugliste!$A$4:$D$2002,4,FALSE),"")</f>
        <v/>
      </c>
      <c r="BD114" t="str">
        <f>+IFERROR(VLOOKUP(BD15,IN_Zugliste!$A$4:$D$2002,4,FALSE),"")</f>
        <v/>
      </c>
      <c r="BE114" t="str">
        <f>+IFERROR(VLOOKUP(BE15,IN_Zugliste!$A$4:$D$2002,4,FALSE),"")</f>
        <v/>
      </c>
      <c r="BF114" t="str">
        <f>+IFERROR(VLOOKUP(BF15,IN_Zugliste!$A$4:$D$2002,4,FALSE),"")</f>
        <v/>
      </c>
      <c r="BG114" t="str">
        <f>+IFERROR(VLOOKUP(BG15,IN_Zugliste!$A$4:$D$2002,4,FALSE),"")</f>
        <v/>
      </c>
      <c r="BH114" t="str">
        <f>+IFERROR(VLOOKUP(BH15,IN_Zugliste!$A$4:$D$2002,4,FALSE),"")</f>
        <v/>
      </c>
      <c r="BI114" t="str">
        <f>+IFERROR(VLOOKUP(BI15,IN_Zugliste!$A$4:$D$2002,4,FALSE),"")</f>
        <v/>
      </c>
      <c r="BJ114" t="str">
        <f>+IFERROR(VLOOKUP(BJ15,IN_Zugliste!$A$4:$D$2002,4,FALSE),"")</f>
        <v/>
      </c>
      <c r="BK114" t="str">
        <f>+IFERROR(VLOOKUP(BK15,IN_Zugliste!$A$4:$D$2002,4,FALSE),"")</f>
        <v/>
      </c>
      <c r="BL114" t="str">
        <f>+IFERROR(VLOOKUP(BL15,IN_Zugliste!$A$4:$D$2002,4,FALSE),"")</f>
        <v/>
      </c>
      <c r="BM114" t="str">
        <f>+IFERROR(VLOOKUP(BM15,IN_Zugliste!$A$4:$D$2002,4,FALSE),"")</f>
        <v/>
      </c>
      <c r="BN114" t="str">
        <f>+IFERROR(VLOOKUP(BN15,IN_Zugliste!$A$4:$D$2002,4,FALSE),"")</f>
        <v/>
      </c>
      <c r="BO114" t="str">
        <f>+IFERROR(VLOOKUP(BO15,IN_Zugliste!$A$4:$D$2002,4,FALSE),"")</f>
        <v/>
      </c>
      <c r="BP114" t="str">
        <f>+IFERROR(VLOOKUP(BP15,IN_Zugliste!$A$4:$D$2002,4,FALSE),"")</f>
        <v/>
      </c>
      <c r="BQ114" t="str">
        <f>+IFERROR(VLOOKUP(BQ15,IN_Zugliste!$A$4:$D$2002,4,FALSE),"")</f>
        <v/>
      </c>
      <c r="BR114" t="str">
        <f>+IFERROR(VLOOKUP(BR15,IN_Zugliste!$A$4:$D$2002,4,FALSE),"")</f>
        <v/>
      </c>
      <c r="BS114" t="str">
        <f>+IFERROR(VLOOKUP(BS15,IN_Zugliste!$A$4:$D$2002,4,FALSE),"")</f>
        <v/>
      </c>
      <c r="BT114" t="str">
        <f>+IFERROR(VLOOKUP(BT15,IN_Zugliste!$A$4:$D$2002,4,FALSE),"")</f>
        <v/>
      </c>
      <c r="BU114" t="str">
        <f>+IFERROR(VLOOKUP(BU15,IN_Zugliste!$A$4:$D$2002,4,FALSE),"")</f>
        <v/>
      </c>
      <c r="BV114" t="str">
        <f>+IFERROR(VLOOKUP(BV15,IN_Zugliste!$A$4:$D$2002,4,FALSE),"")</f>
        <v/>
      </c>
      <c r="BW114" t="str">
        <f>+IFERROR(VLOOKUP(BW15,IN_Zugliste!$A$4:$D$2002,4,FALSE),"")</f>
        <v/>
      </c>
      <c r="BX114" t="str">
        <f>+IFERROR(VLOOKUP(BX15,IN_Zugliste!$A$4:$D$2002,4,FALSE),"")</f>
        <v/>
      </c>
      <c r="BY114" t="str">
        <f>+IFERROR(VLOOKUP(BY15,IN_Zugliste!$A$4:$D$2002,4,FALSE),"")</f>
        <v/>
      </c>
      <c r="BZ114" t="str">
        <f>+IFERROR(VLOOKUP(BZ15,IN_Zugliste!$A$4:$D$2002,4,FALSE),"")</f>
        <v/>
      </c>
      <c r="CA114" t="str">
        <f>+IFERROR(VLOOKUP(CA15,IN_Zugliste!$A$4:$D$2002,4,FALSE),"")</f>
        <v/>
      </c>
      <c r="CB114" t="str">
        <f>+IFERROR(VLOOKUP(CB15,IN_Zugliste!$A$4:$D$2002,4,FALSE),"")</f>
        <v/>
      </c>
      <c r="CC114" t="str">
        <f>+IFERROR(VLOOKUP(CC15,IN_Zugliste!$A$4:$D$2002,4,FALSE),"")</f>
        <v/>
      </c>
      <c r="CD114" t="str">
        <f>+IFERROR(VLOOKUP(CD15,IN_Zugliste!$A$4:$D$2002,4,FALSE),"")</f>
        <v/>
      </c>
      <c r="CE114" t="str">
        <f>+IFERROR(VLOOKUP(CE15,IN_Zugliste!$A$4:$D$2002,4,FALSE),"")</f>
        <v/>
      </c>
      <c r="CF114" t="str">
        <f>+IFERROR(VLOOKUP(CF15,IN_Zugliste!$A$4:$D$2002,4,FALSE),"")</f>
        <v/>
      </c>
      <c r="CG114" t="str">
        <f>+IFERROR(VLOOKUP(CG15,IN_Zugliste!$A$4:$D$2002,4,FALSE),"")</f>
        <v/>
      </c>
      <c r="CH114" t="str">
        <f>+IFERROR(VLOOKUP(CH15,IN_Zugliste!$A$4:$D$2002,4,FALSE),"")</f>
        <v/>
      </c>
      <c r="CI114" t="str">
        <f>+IFERROR(VLOOKUP(CI15,IN_Zugliste!$A$4:$D$2002,4,FALSE),"")</f>
        <v/>
      </c>
      <c r="CJ114" t="str">
        <f>+IFERROR(VLOOKUP(CJ15,IN_Zugliste!$A$4:$D$2002,4,FALSE),"")</f>
        <v/>
      </c>
      <c r="CK114" t="str">
        <f>+IFERROR(VLOOKUP(CK15,IN_Zugliste!$A$4:$D$2002,4,FALSE),"")</f>
        <v/>
      </c>
      <c r="CL114" t="str">
        <f>+IFERROR(VLOOKUP(CL15,IN_Zugliste!$A$4:$D$2002,4,FALSE),"")</f>
        <v/>
      </c>
      <c r="CM114" t="str">
        <f>+IFERROR(VLOOKUP(CM15,IN_Zugliste!$A$4:$D$2002,4,FALSE),"")</f>
        <v/>
      </c>
      <c r="CN114" t="str">
        <f>+IFERROR(VLOOKUP(CN15,IN_Zugliste!$A$4:$D$2002,4,FALSE),"")</f>
        <v/>
      </c>
      <c r="CO114" t="str">
        <f>+IFERROR(VLOOKUP(CO15,IN_Zugliste!$A$4:$D$2002,4,FALSE),"")</f>
        <v/>
      </c>
      <c r="CP114" t="str">
        <f>+IFERROR(VLOOKUP(CP15,IN_Zugliste!$A$4:$D$2002,4,FALSE),"")</f>
        <v/>
      </c>
      <c r="CQ114" t="str">
        <f>+IFERROR(VLOOKUP(CQ15,IN_Zugliste!$A$4:$D$2002,4,FALSE),"")</f>
        <v/>
      </c>
      <c r="CR114" t="str">
        <f>+IFERROR(VLOOKUP(CR15,IN_Zugliste!$A$4:$D$2002,4,FALSE),"")</f>
        <v/>
      </c>
      <c r="CS114" t="str">
        <f>+IFERROR(VLOOKUP(CS15,IN_Zugliste!$A$4:$D$2002,4,FALSE),"")</f>
        <v/>
      </c>
      <c r="CT114" t="str">
        <f>+IFERROR(VLOOKUP(CT15,IN_Zugliste!$A$4:$D$2002,4,FALSE),"")</f>
        <v/>
      </c>
      <c r="CU114" t="str">
        <f>+IFERROR(VLOOKUP(CU15,IN_Zugliste!$A$4:$D$2002,4,FALSE),"")</f>
        <v/>
      </c>
      <c r="CV114" t="str">
        <f>+IFERROR(VLOOKUP(CV15,IN_Zugliste!$A$4:$D$2002,4,FALSE),"")</f>
        <v/>
      </c>
      <c r="CW114" t="str">
        <f>+IFERROR(VLOOKUP(CW15,IN_Zugliste!$A$4:$D$2002,4,FALSE),"")</f>
        <v/>
      </c>
      <c r="CX114" t="str">
        <f>+IFERROR(VLOOKUP(CX15,IN_Zugliste!$A$4:$D$2002,4,FALSE),"")</f>
        <v/>
      </c>
      <c r="CY114" t="str">
        <f>+IFERROR(VLOOKUP(CY15,IN_Zugliste!$A$4:$D$2002,4,FALSE),"")</f>
        <v/>
      </c>
      <c r="CZ114" t="str">
        <f>+IFERROR(VLOOKUP(CZ15,IN_Zugliste!$A$4:$D$2002,4,FALSE),"")</f>
        <v/>
      </c>
      <c r="DA114" t="str">
        <f>+IFERROR(VLOOKUP(DA15,IN_Zugliste!$A$4:$D$2002,4,FALSE),"")</f>
        <v/>
      </c>
      <c r="DB114" t="str">
        <f>+IFERROR(VLOOKUP(DB15,IN_Zugliste!$A$4:$D$2002,4,FALSE),"")</f>
        <v/>
      </c>
      <c r="DC114" t="str">
        <f>+IFERROR(VLOOKUP(DC15,IN_Zugliste!$A$4:$D$2002,4,FALSE),"")</f>
        <v/>
      </c>
      <c r="DD114" t="str">
        <f>+IFERROR(VLOOKUP(DD15,IN_Zugliste!$A$4:$D$2002,4,FALSE),"")</f>
        <v/>
      </c>
      <c r="DE114" t="str">
        <f>+IFERROR(VLOOKUP(DE15,IN_Zugliste!$A$4:$D$2002,4,FALSE),"")</f>
        <v/>
      </c>
      <c r="DF114" t="str">
        <f>+IFERROR(VLOOKUP(DF15,IN_Zugliste!$A$4:$D$2002,4,FALSE),"")</f>
        <v/>
      </c>
      <c r="DG114" t="str">
        <f>+IFERROR(VLOOKUP(DG15,IN_Zugliste!$A$4:$D$2002,4,FALSE),"")</f>
        <v/>
      </c>
      <c r="DH114" t="str">
        <f>+IFERROR(VLOOKUP(DH15,IN_Zugliste!$A$4:$D$2002,4,FALSE),"")</f>
        <v/>
      </c>
      <c r="DI114" t="str">
        <f>+IFERROR(VLOOKUP(DI15,IN_Zugliste!$A$4:$D$2002,4,FALSE),"")</f>
        <v/>
      </c>
      <c r="DJ114" t="str">
        <f>+IFERROR(VLOOKUP(DJ15,IN_Zugliste!$A$4:$D$2002,4,FALSE),"")</f>
        <v/>
      </c>
      <c r="DK114" t="str">
        <f>+IFERROR(VLOOKUP(DK15,IN_Zugliste!$A$4:$D$2002,4,FALSE),"")</f>
        <v/>
      </c>
      <c r="DL114" t="str">
        <f>+IFERROR(VLOOKUP(DL15,IN_Zugliste!$A$4:$D$2002,4,FALSE),"")</f>
        <v/>
      </c>
      <c r="DM114" t="str">
        <f>+IFERROR(VLOOKUP(DM15,IN_Zugliste!$A$4:$D$2002,4,FALSE),"")</f>
        <v/>
      </c>
      <c r="DN114" t="str">
        <f>+IFERROR(VLOOKUP(DN15,IN_Zugliste!$A$4:$D$2002,4,FALSE),"")</f>
        <v/>
      </c>
      <c r="DO114" t="str">
        <f>+IFERROR(VLOOKUP(DO15,IN_Zugliste!$A$4:$D$2002,4,FALSE),"")</f>
        <v/>
      </c>
      <c r="DP114" t="str">
        <f>+IFERROR(VLOOKUP(DP15,IN_Zugliste!$A$4:$D$2002,4,FALSE),"")</f>
        <v/>
      </c>
      <c r="DQ114" t="str">
        <f>+IFERROR(VLOOKUP(DQ15,IN_Zugliste!$A$4:$D$2002,4,FALSE),"")</f>
        <v/>
      </c>
      <c r="DR114" t="str">
        <f>+IFERROR(VLOOKUP(DR15,IN_Zugliste!$A$4:$D$2002,4,FALSE),"")</f>
        <v/>
      </c>
      <c r="DS114" t="str">
        <f>+IFERROR(VLOOKUP(DS15,IN_Zugliste!$A$4:$D$2002,4,FALSE),"")</f>
        <v/>
      </c>
      <c r="DT114" t="str">
        <f>+IFERROR(VLOOKUP(DT15,IN_Zugliste!$A$4:$D$2002,4,FALSE),"")</f>
        <v/>
      </c>
      <c r="DU114" t="str">
        <f>+IFERROR(VLOOKUP(DU15,IN_Zugliste!$A$4:$D$2002,4,FALSE),"")</f>
        <v/>
      </c>
      <c r="DV114" t="str">
        <f>+IFERROR(VLOOKUP(DV15,IN_Zugliste!$A$4:$D$2002,4,FALSE),"")</f>
        <v/>
      </c>
      <c r="DW114" t="str">
        <f>+IFERROR(VLOOKUP(DW15,IN_Zugliste!$A$4:$D$2002,4,FALSE),"")</f>
        <v/>
      </c>
      <c r="DX114" t="str">
        <f>+IFERROR(VLOOKUP(DX15,IN_Zugliste!$A$4:$D$2002,4,FALSE),"")</f>
        <v/>
      </c>
      <c r="DY114" t="str">
        <f>+IFERROR(VLOOKUP(DY15,IN_Zugliste!$A$4:$D$2002,4,FALSE),"")</f>
        <v/>
      </c>
      <c r="DZ114" t="str">
        <f>+IFERROR(VLOOKUP(DZ15,IN_Zugliste!$A$4:$D$2002,4,FALSE),"")</f>
        <v/>
      </c>
      <c r="EA114" t="str">
        <f>+IFERROR(VLOOKUP(EA15,IN_Zugliste!$A$4:$D$2002,4,FALSE),"")</f>
        <v/>
      </c>
      <c r="EB114" t="str">
        <f>+IFERROR(VLOOKUP(EB15,IN_Zugliste!$A$4:$D$2002,4,FALSE),"")</f>
        <v/>
      </c>
      <c r="EC114" t="str">
        <f>+IFERROR(VLOOKUP(EC15,IN_Zugliste!$A$4:$D$2002,4,FALSE),"")</f>
        <v/>
      </c>
      <c r="ED114" t="str">
        <f>+IFERROR(VLOOKUP(ED15,IN_Zugliste!$A$4:$D$2002,4,FALSE),"")</f>
        <v/>
      </c>
      <c r="EE114" t="str">
        <f>+IFERROR(VLOOKUP(EE15,IN_Zugliste!$A$4:$D$2002,4,FALSE),"")</f>
        <v/>
      </c>
      <c r="EF114" t="str">
        <f>+IFERROR(VLOOKUP(EF15,IN_Zugliste!$A$4:$D$2002,4,FALSE),"")</f>
        <v/>
      </c>
      <c r="EG114" t="str">
        <f>+IFERROR(VLOOKUP(EG15,IN_Zugliste!$A$4:$D$2002,4,FALSE),"")</f>
        <v/>
      </c>
      <c r="EH114" t="str">
        <f>+IFERROR(VLOOKUP(EH15,IN_Zugliste!$A$4:$D$2002,4,FALSE),"")</f>
        <v/>
      </c>
      <c r="EI114" t="str">
        <f>+IFERROR(VLOOKUP(EI15,IN_Zugliste!$A$4:$D$2002,4,FALSE),"")</f>
        <v/>
      </c>
      <c r="EJ114" t="str">
        <f>+IFERROR(VLOOKUP(EJ15,IN_Zugliste!$A$4:$D$2002,4,FALSE),"")</f>
        <v/>
      </c>
      <c r="EK114" t="str">
        <f>+IFERROR(VLOOKUP(EK15,IN_Zugliste!$A$4:$D$2002,4,FALSE),"")</f>
        <v/>
      </c>
      <c r="EL114" t="str">
        <f>+IFERROR(VLOOKUP(EL15,IN_Zugliste!$A$4:$D$2002,4,FALSE),"")</f>
        <v/>
      </c>
      <c r="EM114" t="str">
        <f>+IFERROR(VLOOKUP(EM15,IN_Zugliste!$A$4:$D$2002,4,FALSE),"")</f>
        <v/>
      </c>
      <c r="EN114" t="str">
        <f>+IFERROR(VLOOKUP(EN15,IN_Zugliste!$A$4:$D$2002,4,FALSE),"")</f>
        <v/>
      </c>
      <c r="EO114" t="str">
        <f>+IFERROR(VLOOKUP(EO15,IN_Zugliste!$A$4:$D$2002,4,FALSE),"")</f>
        <v/>
      </c>
      <c r="EP114" t="str">
        <f>+IFERROR(VLOOKUP(EP15,IN_Zugliste!$A$4:$D$2002,4,FALSE),"")</f>
        <v/>
      </c>
      <c r="EQ114" t="str">
        <f>+IFERROR(VLOOKUP(EQ15,IN_Zugliste!$A$4:$D$2002,4,FALSE),"")</f>
        <v/>
      </c>
      <c r="ER114" t="str">
        <f>+IFERROR(VLOOKUP(ER15,IN_Zugliste!$A$4:$D$2002,4,FALSE),"")</f>
        <v/>
      </c>
      <c r="ES114" t="str">
        <f>+IFERROR(VLOOKUP(ES15,IN_Zugliste!$A$4:$D$2002,4,FALSE),"")</f>
        <v/>
      </c>
      <c r="ET114" t="str">
        <f>+IFERROR(VLOOKUP(ET15,IN_Zugliste!$A$4:$D$2002,4,FALSE),"")</f>
        <v/>
      </c>
      <c r="EU114" t="str">
        <f>+IFERROR(VLOOKUP(EU15,IN_Zugliste!$A$4:$D$2002,4,FALSE),"")</f>
        <v/>
      </c>
      <c r="EV114" t="str">
        <f>+IFERROR(VLOOKUP(EV15,IN_Zugliste!$A$4:$D$2002,4,FALSE),"")</f>
        <v/>
      </c>
      <c r="EW114" t="str">
        <f>+IFERROR(VLOOKUP(EW15,IN_Zugliste!$A$4:$D$2002,4,FALSE),"")</f>
        <v/>
      </c>
      <c r="EX114" t="str">
        <f>+IFERROR(VLOOKUP(EX15,IN_Zugliste!$A$4:$D$2002,4,FALSE),"")</f>
        <v/>
      </c>
      <c r="EY114" t="str">
        <f>+IFERROR(VLOOKUP(EY15,IN_Zugliste!$A$4:$D$2002,4,FALSE),"")</f>
        <v/>
      </c>
      <c r="EZ114" t="str">
        <f>+IFERROR(VLOOKUP(EZ15,IN_Zugliste!$A$4:$D$2002,4,FALSE),"")</f>
        <v/>
      </c>
      <c r="FA114" t="str">
        <f>+IFERROR(VLOOKUP(FA15,IN_Zugliste!$A$4:$D$2002,4,FALSE),"")</f>
        <v/>
      </c>
      <c r="FB114" t="str">
        <f>+IFERROR(VLOOKUP(FB15,IN_Zugliste!$A$4:$D$2002,4,FALSE),"")</f>
        <v/>
      </c>
      <c r="FC114" t="str">
        <f>+IFERROR(VLOOKUP(FC15,IN_Zugliste!$A$4:$D$2002,4,FALSE),"")</f>
        <v/>
      </c>
      <c r="FD114" t="str">
        <f>+IFERROR(VLOOKUP(FD15,IN_Zugliste!$A$4:$D$2002,4,FALSE),"")</f>
        <v/>
      </c>
      <c r="FE114" t="str">
        <f>+IFERROR(VLOOKUP(FE15,IN_Zugliste!$A$4:$D$2002,4,FALSE),"")</f>
        <v/>
      </c>
      <c r="FF114" t="str">
        <f>+IFERROR(VLOOKUP(FF15,IN_Zugliste!$A$4:$D$2002,4,FALSE),"")</f>
        <v/>
      </c>
      <c r="FG114" t="str">
        <f>+IFERROR(VLOOKUP(FG15,IN_Zugliste!$A$4:$D$2002,4,FALSE),"")</f>
        <v/>
      </c>
      <c r="FH114" t="str">
        <f>+IFERROR(VLOOKUP(FH15,IN_Zugliste!$A$4:$D$2002,4,FALSE),"")</f>
        <v/>
      </c>
      <c r="FI114" t="str">
        <f>+IFERROR(VLOOKUP(FI15,IN_Zugliste!$A$4:$D$2002,4,FALSE),"")</f>
        <v/>
      </c>
      <c r="FJ114" t="str">
        <f>+IFERROR(VLOOKUP(FJ15,IN_Zugliste!$A$4:$D$2002,4,FALSE),"")</f>
        <v/>
      </c>
      <c r="FK114" t="str">
        <f>+IFERROR(VLOOKUP(FK15,IN_Zugliste!$A$4:$D$2002,4,FALSE),"")</f>
        <v/>
      </c>
      <c r="FL114" t="str">
        <f>+IFERROR(VLOOKUP(FL15,IN_Zugliste!$A$4:$D$2002,4,FALSE),"")</f>
        <v/>
      </c>
      <c r="FM114" t="str">
        <f>+IFERROR(VLOOKUP(FM15,IN_Zugliste!$A$4:$C$2002,4,FALSE),"")</f>
        <v/>
      </c>
      <c r="FN114" t="str">
        <f>+IFERROR(VLOOKUP(FN15,IN_Zugliste!$A$4:$C$2002,4,FALSE),"")</f>
        <v/>
      </c>
      <c r="FO114" t="str">
        <f>+IFERROR(VLOOKUP(FO15,IN_Zugliste!$A$4:$C$2002,4,FALSE),"")</f>
        <v/>
      </c>
      <c r="FP114" t="str">
        <f>+IFERROR(VLOOKUP(FP15,IN_Zugliste!$A$4:$C$2002,4,FALSE),"")</f>
        <v/>
      </c>
      <c r="FQ114" t="str">
        <f>+IFERROR(VLOOKUP(FQ15,IN_Zugliste!$A$4:$C$2002,4,FALSE),"")</f>
        <v/>
      </c>
      <c r="FR114" t="str">
        <f>+IFERROR(VLOOKUP(FR15,IN_Zugliste!$A$4:$C$2002,4,FALSE),"")</f>
        <v/>
      </c>
      <c r="FS114" t="str">
        <f>+IFERROR(VLOOKUP(FS15,IN_Zugliste!$A$4:$C$2002,4,FALSE),"")</f>
        <v/>
      </c>
      <c r="FT114" t="str">
        <f>+IFERROR(VLOOKUP(FT15,IN_Zugliste!$A$4:$C$2002,4,FALSE),"")</f>
        <v/>
      </c>
      <c r="FU114" t="str">
        <f>+IFERROR(VLOOKUP(FU15,IN_Zugliste!$A$4:$C$2002,4,FALSE),"")</f>
        <v/>
      </c>
      <c r="FV114" t="str">
        <f>+IFERROR(VLOOKUP(FV15,IN_Zugliste!$A$4:$C$2002,4,FALSE),"")</f>
        <v/>
      </c>
      <c r="FW114" t="str">
        <f>+IFERROR(VLOOKUP(FW15,IN_Zugliste!$A$4:$C$2002,4,FALSE),"")</f>
        <v/>
      </c>
      <c r="FX114" t="str">
        <f>+IFERROR(VLOOKUP(FX15,IN_Zugliste!$A$4:$C$2002,4,FALSE),"")</f>
        <v/>
      </c>
      <c r="FY114" t="str">
        <f>+IFERROR(VLOOKUP(FY15,IN_Zugliste!$A$4:$C$2002,4,FALSE),"")</f>
        <v/>
      </c>
      <c r="FZ114" t="str">
        <f>+IFERROR(VLOOKUP(FZ15,IN_Zugliste!$A$4:$C$2002,4,FALSE),"")</f>
        <v/>
      </c>
      <c r="GA114" t="str">
        <f>+IFERROR(VLOOKUP(GA15,IN_Zugliste!$A$4:$C$2002,4,FALSE),"")</f>
        <v/>
      </c>
      <c r="GB114" t="str">
        <f>+IFERROR(VLOOKUP(GB15,IN_Zugliste!$A$4:$C$2002,4,FALSE),"")</f>
        <v/>
      </c>
      <c r="GC114" t="str">
        <f>+IFERROR(VLOOKUP(GC15,IN_Zugliste!$A$4:$C$2002,4,FALSE),"")</f>
        <v/>
      </c>
      <c r="GD114" t="str">
        <f>+IFERROR(VLOOKUP(GD15,IN_Zugliste!$A$4:$C$2002,4,FALSE),"")</f>
        <v/>
      </c>
      <c r="GE114" t="str">
        <f>+IFERROR(VLOOKUP(GE15,IN_Zugliste!$A$4:$C$2002,4,FALSE),"")</f>
        <v/>
      </c>
      <c r="GF114" t="str">
        <f>+IFERROR(VLOOKUP(GF15,IN_Zugliste!$A$4:$C$2002,4,FALSE),"")</f>
        <v/>
      </c>
      <c r="GG114" t="str">
        <f>+IFERROR(VLOOKUP(GG15,IN_Zugliste!$A$4:$C$2002,4,FALSE),"")</f>
        <v/>
      </c>
      <c r="GH114" t="str">
        <f>+IFERROR(VLOOKUP(GH15,IN_Zugliste!$A$4:$C$2002,4,FALSE),"")</f>
        <v/>
      </c>
      <c r="GI114" t="str">
        <f>+IFERROR(VLOOKUP(GI15,IN_Zugliste!$A$4:$C$2002,4,FALSE),"")</f>
        <v/>
      </c>
      <c r="GJ114" t="str">
        <f>+IFERROR(VLOOKUP(GJ15,IN_Zugliste!$A$4:$C$2002,4,FALSE),"")</f>
        <v/>
      </c>
      <c r="GK114" t="str">
        <f>+IFERROR(VLOOKUP(GK15,IN_Zugliste!$A$4:$C$2002,4,FALSE),"")</f>
        <v/>
      </c>
      <c r="GL114" t="str">
        <f>+IFERROR(VLOOKUP(GL15,IN_Zugliste!$A$4:$C$2002,4,FALSE),"")</f>
        <v/>
      </c>
      <c r="GM114" t="str">
        <f>+IFERROR(VLOOKUP(GM15,IN_Zugliste!$A$4:$C$2002,4,FALSE),"")</f>
        <v/>
      </c>
      <c r="GN114" t="str">
        <f>+IFERROR(VLOOKUP(GN15,IN_Zugliste!$A$4:$C$2002,4,FALSE),"")</f>
        <v/>
      </c>
      <c r="GO114" t="str">
        <f>+IFERROR(VLOOKUP(GO15,IN_Zugliste!$A$4:$C$2002,4,FALSE),"")</f>
        <v/>
      </c>
      <c r="GP114" t="str">
        <f>+IFERROR(VLOOKUP(GP15,IN_Zugliste!$A$4:$C$2002,4,FALSE),"")</f>
        <v/>
      </c>
      <c r="GQ114" t="str">
        <f>+IFERROR(VLOOKUP(GQ15,IN_Zugliste!$A$4:$C$2002,4,FALSE),"")</f>
        <v/>
      </c>
      <c r="GR114" t="str">
        <f>+IFERROR(VLOOKUP(GR15,IN_Zugliste!$A$4:$C$2002,4,FALSE),"")</f>
        <v/>
      </c>
      <c r="GS114" t="str">
        <f>+IFERROR(VLOOKUP(GS15,IN_Zugliste!$A$4:$C$2002,4,FALSE),"")</f>
        <v/>
      </c>
      <c r="GT114" t="str">
        <f>+IFERROR(VLOOKUP(GT15,IN_Zugliste!$A$4:$C$2002,4,FALSE),"")</f>
        <v/>
      </c>
      <c r="GU114" t="str">
        <f>+IFERROR(VLOOKUP(GU15,IN_Zugliste!$A$4:$C$2002,4,FALSE),"")</f>
        <v/>
      </c>
      <c r="GV114" t="str">
        <f>+IFERROR(VLOOKUP(GV15,IN_Zugliste!$A$4:$C$2002,4,FALSE),"")</f>
        <v/>
      </c>
      <c r="GW114" t="str">
        <f>+IFERROR(VLOOKUP(GW15,IN_Zugliste!$A$4:$C$2002,4,FALSE),"")</f>
        <v/>
      </c>
      <c r="GX114" t="str">
        <f>+IFERROR(VLOOKUP(GX15,IN_Zugliste!$A$4:$C$2002,4,FALSE),"")</f>
        <v/>
      </c>
      <c r="GY114" t="str">
        <f>+IFERROR(VLOOKUP(GY15,IN_Zugliste!$A$4:$C$2002,4,FALSE),"")</f>
        <v/>
      </c>
      <c r="GZ114" t="str">
        <f>+IFERROR(VLOOKUP(GZ15,IN_Zugliste!$A$4:$C$2002,4,FALSE),"")</f>
        <v/>
      </c>
      <c r="HA114" t="str">
        <f>+IFERROR(VLOOKUP(HA15,IN_Zugliste!$A$4:$C$2002,4,FALSE),"")</f>
        <v/>
      </c>
      <c r="HB114" t="str">
        <f>+IFERROR(VLOOKUP(HB15,IN_Zugliste!$A$4:$C$2002,4,FALSE),"")</f>
        <v/>
      </c>
      <c r="HC114" t="str">
        <f>+IFERROR(VLOOKUP(HC15,IN_Zugliste!$A$4:$C$2002,4,FALSE),"")</f>
        <v/>
      </c>
      <c r="HD114" t="str">
        <f>+IFERROR(VLOOKUP(HD15,IN_Zugliste!$A$4:$C$2002,4,FALSE),"")</f>
        <v/>
      </c>
      <c r="HE114" t="str">
        <f>+IFERROR(VLOOKUP(HE15,IN_Zugliste!$A$4:$C$2002,4,FALSE),"")</f>
        <v/>
      </c>
      <c r="HF114" t="str">
        <f>+IFERROR(VLOOKUP(HF15,IN_Zugliste!$A$4:$C$2002,4,FALSE),"")</f>
        <v/>
      </c>
      <c r="HG114" t="str">
        <f>+IFERROR(VLOOKUP(HG15,IN_Zugliste!$A$4:$C$2002,4,FALSE),"")</f>
        <v/>
      </c>
      <c r="HH114" t="str">
        <f>+IFERROR(VLOOKUP(HH15,IN_Zugliste!$A$4:$C$2002,4,FALSE),"")</f>
        <v/>
      </c>
      <c r="HI114" t="str">
        <f>+IFERROR(VLOOKUP(HI15,IN_Zugliste!$A$4:$C$2002,4,FALSE),"")</f>
        <v/>
      </c>
      <c r="HJ114" t="str">
        <f>+IFERROR(VLOOKUP(HJ15,IN_Zugliste!$A$4:$C$2002,4,FALSE),"")</f>
        <v/>
      </c>
      <c r="HK114" t="str">
        <f>+IFERROR(VLOOKUP(HK15,IN_Zugliste!$A$4:$C$2002,4,FALSE),"")</f>
        <v/>
      </c>
      <c r="HL114" t="str">
        <f>+IFERROR(VLOOKUP(HL15,IN_Zugliste!$A$4:$C$2002,4,FALSE),"")</f>
        <v/>
      </c>
      <c r="HM114" t="str">
        <f>+IFERROR(VLOOKUP(HM15,IN_Zugliste!$A$4:$C$2002,4,FALSE),"")</f>
        <v/>
      </c>
      <c r="HN114" t="str">
        <f>+IFERROR(VLOOKUP(HN15,IN_Zugliste!$A$4:$C$2002,4,FALSE),"")</f>
        <v/>
      </c>
      <c r="HO114" t="str">
        <f>+IFERROR(VLOOKUP(HO15,IN_Zugliste!$A$4:$C$2002,4,FALSE),"")</f>
        <v/>
      </c>
      <c r="HP114" t="str">
        <f>+IFERROR(VLOOKUP(HP15,IN_Zugliste!$A$4:$C$2002,4,FALSE),"")</f>
        <v/>
      </c>
      <c r="HQ114" t="str">
        <f>+IFERROR(VLOOKUP(HQ15,IN_Zugliste!$A$4:$C$2002,4,FALSE),"")</f>
        <v/>
      </c>
      <c r="HR114" t="str">
        <f>+IFERROR(VLOOKUP(HR15,IN_Zugliste!$A$4:$C$2002,4,FALSE),"")</f>
        <v/>
      </c>
      <c r="HS114" t="str">
        <f>+IFERROR(VLOOKUP(HS15,IN_Zugliste!$A$4:$C$2002,4,FALSE),"")</f>
        <v/>
      </c>
      <c r="HT114" t="str">
        <f>+IFERROR(VLOOKUP(HT15,IN_Zugliste!$A$4:$C$2002,4,FALSE),"")</f>
        <v/>
      </c>
      <c r="HU114" t="str">
        <f>+IFERROR(VLOOKUP(HU15,IN_Zugliste!$A$4:$C$2002,4,FALSE),"")</f>
        <v/>
      </c>
      <c r="HV114" t="str">
        <f>+IFERROR(VLOOKUP(HV15,IN_Zugliste!$A$4:$C$2002,4,FALSE),"")</f>
        <v/>
      </c>
      <c r="HW114" t="str">
        <f>+IFERROR(VLOOKUP(HW15,IN_Zugliste!$A$4:$C$2002,4,FALSE),"")</f>
        <v/>
      </c>
      <c r="HX114" t="str">
        <f>+IFERROR(VLOOKUP(HX15,IN_Zugliste!$A$4:$C$2002,4,FALSE),"")</f>
        <v/>
      </c>
      <c r="HY114" t="str">
        <f>+IFERROR(VLOOKUP(HY15,IN_Zugliste!$A$4:$C$2002,4,FALSE),"")</f>
        <v/>
      </c>
      <c r="HZ114" t="str">
        <f>+IFERROR(VLOOKUP(HZ15,IN_Zugliste!$A$4:$C$2002,4,FALSE),"")</f>
        <v/>
      </c>
      <c r="IA114" t="str">
        <f>+IFERROR(VLOOKUP(IA15,IN_Zugliste!$A$4:$C$2002,4,FALSE),"")</f>
        <v/>
      </c>
      <c r="IB114" t="str">
        <f>+IFERROR(VLOOKUP(IB15,IN_Zugliste!$A$4:$C$2002,4,FALSE),"")</f>
        <v/>
      </c>
      <c r="IC114" t="str">
        <f>+IFERROR(VLOOKUP(IC15,IN_Zugliste!$A$4:$C$2002,4,FALSE),"")</f>
        <v/>
      </c>
      <c r="ID114" t="str">
        <f>+IFERROR(VLOOKUP(ID15,IN_Zugliste!$A$4:$C$2002,4,FALSE),"")</f>
        <v/>
      </c>
      <c r="IE114" t="str">
        <f>+IFERROR(VLOOKUP(IE15,IN_Zugliste!$A$4:$C$2002,4,FALSE),"")</f>
        <v/>
      </c>
      <c r="IF114" t="str">
        <f>+IFERROR(VLOOKUP(IF15,IN_Zugliste!$A$4:$C$2002,4,FALSE),"")</f>
        <v/>
      </c>
      <c r="IG114" t="str">
        <f>+IFERROR(VLOOKUP(IG15,IN_Zugliste!$A$4:$C$2002,4,FALSE),"")</f>
        <v/>
      </c>
      <c r="IH114" t="str">
        <f>+IFERROR(VLOOKUP(IH15,IN_Zugliste!$A$4:$C$2002,4,FALSE),"")</f>
        <v/>
      </c>
      <c r="II114" t="str">
        <f>+IFERROR(VLOOKUP(II15,IN_Zugliste!$A$4:$C$2002,4,FALSE),"")</f>
        <v/>
      </c>
      <c r="IJ114" t="str">
        <f>+IFERROR(VLOOKUP(IJ15,IN_Zugliste!$A$4:$C$2002,4,FALSE),"")</f>
        <v/>
      </c>
      <c r="IK114" t="str">
        <f>+IFERROR(VLOOKUP(IK15,IN_Zugliste!$A$4:$C$2002,4,FALSE),"")</f>
        <v/>
      </c>
      <c r="IL114" t="str">
        <f>+IFERROR(VLOOKUP(IL15,IN_Zugliste!$A$4:$C$2002,4,FALSE),"")</f>
        <v/>
      </c>
      <c r="IM114" t="str">
        <f>+IFERROR(VLOOKUP(IM15,IN_Zugliste!$A$4:$C$2002,4,FALSE),"")</f>
        <v/>
      </c>
      <c r="IN114" t="str">
        <f>+IFERROR(VLOOKUP(IN15,IN_Zugliste!$A$4:$C$2002,4,FALSE),"")</f>
        <v/>
      </c>
      <c r="IO114" t="str">
        <f>+IFERROR(VLOOKUP(IO15,IN_Zugliste!$A$4:$C$2002,4,FALSE),"")</f>
        <v/>
      </c>
      <c r="IP114" t="str">
        <f>+IFERROR(VLOOKUP(IP15,IN_Zugliste!$A$4:$C$2002,4,FALSE),"")</f>
        <v/>
      </c>
      <c r="IQ114" t="str">
        <f>+IFERROR(VLOOKUP(IQ15,IN_Zugliste!$A$4:$C$2002,4,FALSE),"")</f>
        <v/>
      </c>
      <c r="IR114" t="str">
        <f>+IFERROR(VLOOKUP(IR15,IN_Zugliste!$A$4:$C$2002,4,FALSE),"")</f>
        <v/>
      </c>
      <c r="IS114" t="str">
        <f>+IFERROR(VLOOKUP(IS15,IN_Zugliste!$A$4:$C$2002,4,FALSE),"")</f>
        <v/>
      </c>
      <c r="IT114" t="str">
        <f>+IFERROR(VLOOKUP(IT15,IN_Zugliste!$A$4:$C$2002,4,FALSE),"")</f>
        <v/>
      </c>
      <c r="IU114" t="str">
        <f>+IFERROR(VLOOKUP(IU15,IN_Zugliste!$A$4:$C$2002,4,FALSE),"")</f>
        <v/>
      </c>
      <c r="IV114" t="str">
        <f>+IFERROR(VLOOKUP(IV15,IN_Zugliste!$A$4:$C$2002,4,FALSE),"")</f>
        <v/>
      </c>
      <c r="IW114" t="str">
        <f>+IFERROR(VLOOKUP(IW15,IN_Zugliste!$A$4:$C$2002,4,FALSE),"")</f>
        <v/>
      </c>
      <c r="IX114" t="str">
        <f>+IFERROR(VLOOKUP(IX15,IN_Zugliste!$A$4:$C$2002,4,FALSE),"")</f>
        <v/>
      </c>
      <c r="IY114" t="str">
        <f>+IFERROR(VLOOKUP(IY15,IN_Zugliste!$A$4:$C$2002,4,FALSE),"")</f>
        <v/>
      </c>
      <c r="IZ114" t="str">
        <f>+IFERROR(VLOOKUP(IZ15,IN_Zugliste!$A$4:$C$2002,4,FALSE),"")</f>
        <v/>
      </c>
      <c r="JA114" t="str">
        <f>+IFERROR(VLOOKUP(JA15,IN_Zugliste!$A$4:$C$2002,4,FALSE),"")</f>
        <v/>
      </c>
      <c r="JB114" t="str">
        <f>+IFERROR(VLOOKUP(JB15,IN_Zugliste!$A$4:$C$2002,4,FALSE),"")</f>
        <v/>
      </c>
      <c r="JC114" t="str">
        <f>+IFERROR(VLOOKUP(JC15,IN_Zugliste!$A$4:$C$2002,4,FALSE),"")</f>
        <v/>
      </c>
      <c r="JD114" t="str">
        <f>+IFERROR(VLOOKUP(JD15,IN_Zugliste!$A$4:$C$2002,4,FALSE),"")</f>
        <v/>
      </c>
      <c r="JE114" t="str">
        <f>+IFERROR(VLOOKUP(JE15,IN_Zugliste!$A$4:$C$2002,4,FALSE),"")</f>
        <v/>
      </c>
      <c r="JF114" t="str">
        <f>+IFERROR(VLOOKUP(JF15,IN_Zugliste!$A$4:$C$2002,4,FALSE),"")</f>
        <v/>
      </c>
      <c r="JG114" t="str">
        <f>+IFERROR(VLOOKUP(JG15,IN_Zugliste!$A$4:$C$2002,4,FALSE),"")</f>
        <v/>
      </c>
      <c r="JH114" t="str">
        <f>+IFERROR(VLOOKUP(JH15,IN_Zugliste!$A$4:$C$2002,4,FALSE),"")</f>
        <v/>
      </c>
      <c r="JI114" t="str">
        <f>+IFERROR(VLOOKUP(JI15,IN_Zugliste!$A$4:$C$2002,4,FALSE),"")</f>
        <v/>
      </c>
      <c r="JJ114" t="str">
        <f>+IFERROR(VLOOKUP(JJ15,IN_Zugliste!$A$4:$C$2002,4,FALSE),"")</f>
        <v/>
      </c>
      <c r="JK114" t="str">
        <f>+IFERROR(VLOOKUP(JK15,IN_Zugliste!$A$4:$C$2002,4,FALSE),"")</f>
        <v/>
      </c>
      <c r="JL114" t="str">
        <f>+IFERROR(VLOOKUP(JL15,IN_Zugliste!$A$4:$C$2002,4,FALSE),"")</f>
        <v/>
      </c>
    </row>
    <row r="115" spans="1:272" x14ac:dyDescent="0.2">
      <c r="A115" t="str">
        <f>+IFERROR(VLOOKUP(A16,IN_Zugliste!$A$4:$D$2002,4,FALSE),"")</f>
        <v/>
      </c>
      <c r="B115" t="str">
        <f>+IFERROR(VLOOKUP(B16,IN_Zugliste!$A$4:$D$2002,4,FALSE),"")</f>
        <v/>
      </c>
      <c r="C115" t="str">
        <f>+IFERROR(VLOOKUP(C16,IN_Zugliste!$A$4:$D$2002,4,FALSE),"")</f>
        <v/>
      </c>
      <c r="D115" t="str">
        <f>+IFERROR(VLOOKUP(D16,IN_Zugliste!$A$4:$D$2002,4,FALSE),"")</f>
        <v/>
      </c>
      <c r="E115" t="str">
        <f>+IFERROR(VLOOKUP(E16,IN_Zugliste!$A$4:$D$2002,4,FALSE),"")</f>
        <v/>
      </c>
      <c r="F115" t="str">
        <f>+IFERROR(VLOOKUP(F16,IN_Zugliste!$A$4:$D$2002,4,FALSE),"")</f>
        <v/>
      </c>
      <c r="G115" t="str">
        <f>+IFERROR(VLOOKUP(G16,IN_Zugliste!$A$4:$D$2002,4,FALSE),"")</f>
        <v/>
      </c>
      <c r="H115" t="str">
        <f>+IFERROR(VLOOKUP(H16,IN_Zugliste!$A$4:$D$2002,4,FALSE),"")</f>
        <v/>
      </c>
      <c r="I115" t="str">
        <f>+IFERROR(VLOOKUP(I16,IN_Zugliste!$A$4:$D$2002,4,FALSE),"")</f>
        <v/>
      </c>
      <c r="J115" t="str">
        <f>+IFERROR(VLOOKUP(J16,IN_Zugliste!$A$4:$D$2002,4,FALSE),"")</f>
        <v/>
      </c>
      <c r="K115" t="str">
        <f>+IFERROR(VLOOKUP(K16,IN_Zugliste!$A$4:$D$2002,4,FALSE),"")</f>
        <v/>
      </c>
      <c r="L115" t="str">
        <f>+IFERROR(VLOOKUP(L16,IN_Zugliste!$A$4:$D$2002,4,FALSE),"")</f>
        <v/>
      </c>
      <c r="M115" t="str">
        <f>+IFERROR(VLOOKUP(M16,IN_Zugliste!$A$4:$D$2002,4,FALSE),"")</f>
        <v/>
      </c>
      <c r="N115" t="str">
        <f>+IFERROR(VLOOKUP(N16,IN_Zugliste!$A$4:$D$2002,4,FALSE),"")</f>
        <v/>
      </c>
      <c r="O115" t="str">
        <f>+IFERROR(VLOOKUP(O16,IN_Zugliste!$A$4:$D$2002,4,FALSE),"")</f>
        <v/>
      </c>
      <c r="P115" t="str">
        <f>+IFERROR(VLOOKUP(P16,IN_Zugliste!$A$4:$D$2002,4,FALSE),"")</f>
        <v/>
      </c>
      <c r="Q115" t="str">
        <f>+IFERROR(VLOOKUP(Q16,IN_Zugliste!$A$4:$D$2002,4,FALSE),"")</f>
        <v/>
      </c>
      <c r="R115" t="str">
        <f>+IFERROR(VLOOKUP(R16,IN_Zugliste!$A$4:$D$2002,4,FALSE),"")</f>
        <v/>
      </c>
      <c r="S115" t="str">
        <f>+IFERROR(VLOOKUP(S16,IN_Zugliste!$A$4:$D$2002,4,FALSE),"")</f>
        <v/>
      </c>
      <c r="T115" t="str">
        <f>+IFERROR(VLOOKUP(T16,IN_Zugliste!$A$4:$D$2002,4,FALSE),"")</f>
        <v/>
      </c>
      <c r="U115" t="str">
        <f>+IFERROR(VLOOKUP(U16,IN_Zugliste!$A$4:$D$2002,4,FALSE),"")</f>
        <v/>
      </c>
      <c r="V115" t="str">
        <f>+IFERROR(VLOOKUP(V16,IN_Zugliste!$A$4:$D$2002,4,FALSE),"")</f>
        <v/>
      </c>
      <c r="W115" t="str">
        <f>+IFERROR(VLOOKUP(W16,IN_Zugliste!$A$4:$D$2002,4,FALSE),"")</f>
        <v/>
      </c>
      <c r="X115" t="str">
        <f>+IFERROR(VLOOKUP(X16,IN_Zugliste!$A$4:$D$2002,4,FALSE),"")</f>
        <v/>
      </c>
      <c r="Y115" t="str">
        <f>+IFERROR(VLOOKUP(Y16,IN_Zugliste!$A$4:$D$2002,4,FALSE),"")</f>
        <v/>
      </c>
      <c r="Z115" t="str">
        <f>+IFERROR(VLOOKUP(Z16,IN_Zugliste!$A$4:$D$2002,4,FALSE),"")</f>
        <v/>
      </c>
      <c r="AA115" t="str">
        <f>+IFERROR(VLOOKUP(AA16,IN_Zugliste!$A$4:$D$2002,4,FALSE),"")</f>
        <v/>
      </c>
      <c r="AB115" t="str">
        <f>+IFERROR(VLOOKUP(AB16,IN_Zugliste!$A$4:$D$2002,4,FALSE),"")</f>
        <v/>
      </c>
      <c r="AC115" t="str">
        <f>+IFERROR(VLOOKUP(AC16,IN_Zugliste!$A$4:$D$2002,4,FALSE),"")</f>
        <v/>
      </c>
      <c r="AD115" t="str">
        <f>+IFERROR(VLOOKUP(AD16,IN_Zugliste!$A$4:$D$2002,4,FALSE),"")</f>
        <v/>
      </c>
      <c r="AE115" t="str">
        <f>+IFERROR(VLOOKUP(AE16,IN_Zugliste!$A$4:$D$2002,4,FALSE),"")</f>
        <v/>
      </c>
      <c r="AF115" t="str">
        <f>+IFERROR(VLOOKUP(AF16,IN_Zugliste!$A$4:$D$2002,4,FALSE),"")</f>
        <v/>
      </c>
      <c r="AG115" t="str">
        <f>+IFERROR(VLOOKUP(AG16,IN_Zugliste!$A$4:$D$2002,4,FALSE),"")</f>
        <v/>
      </c>
      <c r="AH115" t="str">
        <f>+IFERROR(VLOOKUP(AH16,IN_Zugliste!$A$4:$D$2002,4,FALSE),"")</f>
        <v/>
      </c>
      <c r="AI115" t="str">
        <f>+IFERROR(VLOOKUP(AI16,IN_Zugliste!$A$4:$D$2002,4,FALSE),"")</f>
        <v/>
      </c>
      <c r="AJ115" t="str">
        <f>+IFERROR(VLOOKUP(AJ16,IN_Zugliste!$A$4:$D$2002,4,FALSE),"")</f>
        <v/>
      </c>
      <c r="AK115" t="str">
        <f>+IFERROR(VLOOKUP(AK16,IN_Zugliste!$A$4:$D$2002,4,FALSE),"")</f>
        <v/>
      </c>
      <c r="AL115" t="str">
        <f>+IFERROR(VLOOKUP(AL16,IN_Zugliste!$A$4:$D$2002,4,FALSE),"")</f>
        <v/>
      </c>
      <c r="AM115" t="str">
        <f>+IFERROR(VLOOKUP(AM16,IN_Zugliste!$A$4:$D$2002,4,FALSE),"")</f>
        <v/>
      </c>
      <c r="AN115" t="str">
        <f>+IFERROR(VLOOKUP(AN16,IN_Zugliste!$A$4:$D$2002,4,FALSE),"")</f>
        <v/>
      </c>
      <c r="AO115" t="str">
        <f>+IFERROR(VLOOKUP(AO16,IN_Zugliste!$A$4:$D$2002,4,FALSE),"")</f>
        <v/>
      </c>
      <c r="AP115" t="str">
        <f>+IFERROR(VLOOKUP(AP16,IN_Zugliste!$A$4:$D$2002,4,FALSE),"")</f>
        <v/>
      </c>
      <c r="AQ115" t="str">
        <f>+IFERROR(VLOOKUP(AQ16,IN_Zugliste!$A$4:$D$2002,4,FALSE),"")</f>
        <v/>
      </c>
      <c r="AR115" t="str">
        <f>+IFERROR(VLOOKUP(AR16,IN_Zugliste!$A$4:$D$2002,4,FALSE),"")</f>
        <v/>
      </c>
      <c r="AS115" t="str">
        <f>+IFERROR(VLOOKUP(AS16,IN_Zugliste!$A$4:$D$2002,4,FALSE),"")</f>
        <v/>
      </c>
      <c r="AT115" t="str">
        <f>+IFERROR(VLOOKUP(AT16,IN_Zugliste!$A$4:$D$2002,4,FALSE),"")</f>
        <v/>
      </c>
      <c r="AU115" t="str">
        <f>+IFERROR(VLOOKUP(AU16,IN_Zugliste!$A$4:$D$2002,4,FALSE),"")</f>
        <v/>
      </c>
      <c r="AV115" t="str">
        <f>+IFERROR(VLOOKUP(AV16,IN_Zugliste!$A$4:$D$2002,4,FALSE),"")</f>
        <v/>
      </c>
      <c r="AW115" t="str">
        <f>+IFERROR(VLOOKUP(AW16,IN_Zugliste!$A$4:$D$2002,4,FALSE),"")</f>
        <v/>
      </c>
      <c r="AX115" t="str">
        <f>+IFERROR(VLOOKUP(AX16,IN_Zugliste!$A$4:$D$2002,4,FALSE),"")</f>
        <v/>
      </c>
      <c r="AY115" t="str">
        <f>+IFERROR(VLOOKUP(AY16,IN_Zugliste!$A$4:$D$2002,4,FALSE),"")</f>
        <v/>
      </c>
      <c r="AZ115" t="str">
        <f>+IFERROR(VLOOKUP(AZ16,IN_Zugliste!$A$4:$D$2002,4,FALSE),"")</f>
        <v/>
      </c>
      <c r="BA115" t="str">
        <f>+IFERROR(VLOOKUP(BA16,IN_Zugliste!$A$4:$D$2002,4,FALSE),"")</f>
        <v/>
      </c>
      <c r="BB115" t="str">
        <f>+IFERROR(VLOOKUP(BB16,IN_Zugliste!$A$4:$D$2002,4,FALSE),"")</f>
        <v/>
      </c>
      <c r="BC115" t="str">
        <f>+IFERROR(VLOOKUP(BC16,IN_Zugliste!$A$4:$D$2002,4,FALSE),"")</f>
        <v/>
      </c>
      <c r="BD115" t="str">
        <f>+IFERROR(VLOOKUP(BD16,IN_Zugliste!$A$4:$D$2002,4,FALSE),"")</f>
        <v/>
      </c>
      <c r="BE115" t="str">
        <f>+IFERROR(VLOOKUP(BE16,IN_Zugliste!$A$4:$D$2002,4,FALSE),"")</f>
        <v/>
      </c>
      <c r="BF115" t="str">
        <f>+IFERROR(VLOOKUP(BF16,IN_Zugliste!$A$4:$D$2002,4,FALSE),"")</f>
        <v/>
      </c>
      <c r="BG115" t="str">
        <f>+IFERROR(VLOOKUP(BG16,IN_Zugliste!$A$4:$D$2002,4,FALSE),"")</f>
        <v/>
      </c>
      <c r="BH115" t="str">
        <f>+IFERROR(VLOOKUP(BH16,IN_Zugliste!$A$4:$D$2002,4,FALSE),"")</f>
        <v/>
      </c>
      <c r="BI115" t="str">
        <f>+IFERROR(VLOOKUP(BI16,IN_Zugliste!$A$4:$D$2002,4,FALSE),"")</f>
        <v/>
      </c>
      <c r="BJ115" t="str">
        <f>+IFERROR(VLOOKUP(BJ16,IN_Zugliste!$A$4:$D$2002,4,FALSE),"")</f>
        <v/>
      </c>
      <c r="BK115" t="str">
        <f>+IFERROR(VLOOKUP(BK16,IN_Zugliste!$A$4:$D$2002,4,FALSE),"")</f>
        <v/>
      </c>
      <c r="BL115" t="str">
        <f>+IFERROR(VLOOKUP(BL16,IN_Zugliste!$A$4:$D$2002,4,FALSE),"")</f>
        <v/>
      </c>
      <c r="BM115" t="str">
        <f>+IFERROR(VLOOKUP(BM16,IN_Zugliste!$A$4:$D$2002,4,FALSE),"")</f>
        <v/>
      </c>
      <c r="BN115" t="str">
        <f>+IFERROR(VLOOKUP(BN16,IN_Zugliste!$A$4:$D$2002,4,FALSE),"")</f>
        <v/>
      </c>
      <c r="BO115" t="str">
        <f>+IFERROR(VLOOKUP(BO16,IN_Zugliste!$A$4:$D$2002,4,FALSE),"")</f>
        <v/>
      </c>
      <c r="BP115" t="str">
        <f>+IFERROR(VLOOKUP(BP16,IN_Zugliste!$A$4:$D$2002,4,FALSE),"")</f>
        <v/>
      </c>
      <c r="BQ115" t="str">
        <f>+IFERROR(VLOOKUP(BQ16,IN_Zugliste!$A$4:$D$2002,4,FALSE),"")</f>
        <v/>
      </c>
      <c r="BR115" t="str">
        <f>+IFERROR(VLOOKUP(BR16,IN_Zugliste!$A$4:$D$2002,4,FALSE),"")</f>
        <v/>
      </c>
      <c r="BS115" t="str">
        <f>+IFERROR(VLOOKUP(BS16,IN_Zugliste!$A$4:$D$2002,4,FALSE),"")</f>
        <v/>
      </c>
      <c r="BT115" t="str">
        <f>+IFERROR(VLOOKUP(BT16,IN_Zugliste!$A$4:$D$2002,4,FALSE),"")</f>
        <v/>
      </c>
      <c r="BU115" t="str">
        <f>+IFERROR(VLOOKUP(BU16,IN_Zugliste!$A$4:$D$2002,4,FALSE),"")</f>
        <v/>
      </c>
      <c r="BV115" t="str">
        <f>+IFERROR(VLOOKUP(BV16,IN_Zugliste!$A$4:$D$2002,4,FALSE),"")</f>
        <v/>
      </c>
      <c r="BW115" t="str">
        <f>+IFERROR(VLOOKUP(BW16,IN_Zugliste!$A$4:$D$2002,4,FALSE),"")</f>
        <v/>
      </c>
      <c r="BX115" t="str">
        <f>+IFERROR(VLOOKUP(BX16,IN_Zugliste!$A$4:$D$2002,4,FALSE),"")</f>
        <v/>
      </c>
      <c r="BY115" t="str">
        <f>+IFERROR(VLOOKUP(BY16,IN_Zugliste!$A$4:$D$2002,4,FALSE),"")</f>
        <v/>
      </c>
      <c r="BZ115" t="str">
        <f>+IFERROR(VLOOKUP(BZ16,IN_Zugliste!$A$4:$D$2002,4,FALSE),"")</f>
        <v/>
      </c>
      <c r="CA115" t="str">
        <f>+IFERROR(VLOOKUP(CA16,IN_Zugliste!$A$4:$D$2002,4,FALSE),"")</f>
        <v/>
      </c>
      <c r="CB115" t="str">
        <f>+IFERROR(VLOOKUP(CB16,IN_Zugliste!$A$4:$D$2002,4,FALSE),"")</f>
        <v/>
      </c>
      <c r="CC115" t="str">
        <f>+IFERROR(VLOOKUP(CC16,IN_Zugliste!$A$4:$D$2002,4,FALSE),"")</f>
        <v/>
      </c>
      <c r="CD115" t="str">
        <f>+IFERROR(VLOOKUP(CD16,IN_Zugliste!$A$4:$D$2002,4,FALSE),"")</f>
        <v/>
      </c>
      <c r="CE115" t="str">
        <f>+IFERROR(VLOOKUP(CE16,IN_Zugliste!$A$4:$D$2002,4,FALSE),"")</f>
        <v/>
      </c>
      <c r="CF115" t="str">
        <f>+IFERROR(VLOOKUP(CF16,IN_Zugliste!$A$4:$D$2002,4,FALSE),"")</f>
        <v/>
      </c>
      <c r="CG115" t="str">
        <f>+IFERROR(VLOOKUP(CG16,IN_Zugliste!$A$4:$D$2002,4,FALSE),"")</f>
        <v/>
      </c>
      <c r="CH115" t="str">
        <f>+IFERROR(VLOOKUP(CH16,IN_Zugliste!$A$4:$D$2002,4,FALSE),"")</f>
        <v/>
      </c>
      <c r="CI115" t="str">
        <f>+IFERROR(VLOOKUP(CI16,IN_Zugliste!$A$4:$D$2002,4,FALSE),"")</f>
        <v/>
      </c>
      <c r="CJ115" t="str">
        <f>+IFERROR(VLOOKUP(CJ16,IN_Zugliste!$A$4:$D$2002,4,FALSE),"")</f>
        <v/>
      </c>
      <c r="CK115" t="str">
        <f>+IFERROR(VLOOKUP(CK16,IN_Zugliste!$A$4:$D$2002,4,FALSE),"")</f>
        <v/>
      </c>
      <c r="CL115" t="str">
        <f>+IFERROR(VLOOKUP(CL16,IN_Zugliste!$A$4:$D$2002,4,FALSE),"")</f>
        <v/>
      </c>
      <c r="CM115" t="str">
        <f>+IFERROR(VLOOKUP(CM16,IN_Zugliste!$A$4:$D$2002,4,FALSE),"")</f>
        <v/>
      </c>
      <c r="CN115" t="str">
        <f>+IFERROR(VLOOKUP(CN16,IN_Zugliste!$A$4:$D$2002,4,FALSE),"")</f>
        <v/>
      </c>
      <c r="CO115" t="str">
        <f>+IFERROR(VLOOKUP(CO16,IN_Zugliste!$A$4:$D$2002,4,FALSE),"")</f>
        <v/>
      </c>
      <c r="CP115" t="str">
        <f>+IFERROR(VLOOKUP(CP16,IN_Zugliste!$A$4:$D$2002,4,FALSE),"")</f>
        <v/>
      </c>
      <c r="CQ115" t="str">
        <f>+IFERROR(VLOOKUP(CQ16,IN_Zugliste!$A$4:$D$2002,4,FALSE),"")</f>
        <v/>
      </c>
      <c r="CR115" t="str">
        <f>+IFERROR(VLOOKUP(CR16,IN_Zugliste!$A$4:$D$2002,4,FALSE),"")</f>
        <v/>
      </c>
      <c r="CS115" t="str">
        <f>+IFERROR(VLOOKUP(CS16,IN_Zugliste!$A$4:$D$2002,4,FALSE),"")</f>
        <v/>
      </c>
      <c r="CT115" t="str">
        <f>+IFERROR(VLOOKUP(CT16,IN_Zugliste!$A$4:$D$2002,4,FALSE),"")</f>
        <v/>
      </c>
      <c r="CU115" t="str">
        <f>+IFERROR(VLOOKUP(CU16,IN_Zugliste!$A$4:$D$2002,4,FALSE),"")</f>
        <v/>
      </c>
      <c r="CV115" t="str">
        <f>+IFERROR(VLOOKUP(CV16,IN_Zugliste!$A$4:$D$2002,4,FALSE),"")</f>
        <v/>
      </c>
      <c r="CW115" t="str">
        <f>+IFERROR(VLOOKUP(CW16,IN_Zugliste!$A$4:$D$2002,4,FALSE),"")</f>
        <v/>
      </c>
      <c r="CX115" t="str">
        <f>+IFERROR(VLOOKUP(CX16,IN_Zugliste!$A$4:$D$2002,4,FALSE),"")</f>
        <v/>
      </c>
      <c r="CY115" t="str">
        <f>+IFERROR(VLOOKUP(CY16,IN_Zugliste!$A$4:$D$2002,4,FALSE),"")</f>
        <v/>
      </c>
      <c r="CZ115" t="str">
        <f>+IFERROR(VLOOKUP(CZ16,IN_Zugliste!$A$4:$D$2002,4,FALSE),"")</f>
        <v/>
      </c>
      <c r="DA115" t="str">
        <f>+IFERROR(VLOOKUP(DA16,IN_Zugliste!$A$4:$D$2002,4,FALSE),"")</f>
        <v/>
      </c>
      <c r="DB115" t="str">
        <f>+IFERROR(VLOOKUP(DB16,IN_Zugliste!$A$4:$D$2002,4,FALSE),"")</f>
        <v/>
      </c>
      <c r="DC115" t="str">
        <f>+IFERROR(VLOOKUP(DC16,IN_Zugliste!$A$4:$D$2002,4,FALSE),"")</f>
        <v/>
      </c>
      <c r="DD115" t="str">
        <f>+IFERROR(VLOOKUP(DD16,IN_Zugliste!$A$4:$D$2002,4,FALSE),"")</f>
        <v/>
      </c>
      <c r="DE115" t="str">
        <f>+IFERROR(VLOOKUP(DE16,IN_Zugliste!$A$4:$D$2002,4,FALSE),"")</f>
        <v/>
      </c>
      <c r="DF115" t="str">
        <f>+IFERROR(VLOOKUP(DF16,IN_Zugliste!$A$4:$D$2002,4,FALSE),"")</f>
        <v/>
      </c>
      <c r="DG115" t="str">
        <f>+IFERROR(VLOOKUP(DG16,IN_Zugliste!$A$4:$D$2002,4,FALSE),"")</f>
        <v/>
      </c>
      <c r="DH115" t="str">
        <f>+IFERROR(VLOOKUP(DH16,IN_Zugliste!$A$4:$D$2002,4,FALSE),"")</f>
        <v/>
      </c>
      <c r="DI115" t="str">
        <f>+IFERROR(VLOOKUP(DI16,IN_Zugliste!$A$4:$D$2002,4,FALSE),"")</f>
        <v/>
      </c>
      <c r="DJ115" t="str">
        <f>+IFERROR(VLOOKUP(DJ16,IN_Zugliste!$A$4:$D$2002,4,FALSE),"")</f>
        <v/>
      </c>
      <c r="DK115" t="str">
        <f>+IFERROR(VLOOKUP(DK16,IN_Zugliste!$A$4:$D$2002,4,FALSE),"")</f>
        <v/>
      </c>
      <c r="DL115" t="str">
        <f>+IFERROR(VLOOKUP(DL16,IN_Zugliste!$A$4:$D$2002,4,FALSE),"")</f>
        <v/>
      </c>
      <c r="DM115" t="str">
        <f>+IFERROR(VLOOKUP(DM16,IN_Zugliste!$A$4:$D$2002,4,FALSE),"")</f>
        <v/>
      </c>
      <c r="DN115" t="str">
        <f>+IFERROR(VLOOKUP(DN16,IN_Zugliste!$A$4:$D$2002,4,FALSE),"")</f>
        <v/>
      </c>
      <c r="DO115" t="str">
        <f>+IFERROR(VLOOKUP(DO16,IN_Zugliste!$A$4:$D$2002,4,FALSE),"")</f>
        <v/>
      </c>
      <c r="DP115" t="str">
        <f>+IFERROR(VLOOKUP(DP16,IN_Zugliste!$A$4:$D$2002,4,FALSE),"")</f>
        <v/>
      </c>
      <c r="DQ115" t="str">
        <f>+IFERROR(VLOOKUP(DQ16,IN_Zugliste!$A$4:$D$2002,4,FALSE),"")</f>
        <v/>
      </c>
      <c r="DR115" t="str">
        <f>+IFERROR(VLOOKUP(DR16,IN_Zugliste!$A$4:$D$2002,4,FALSE),"")</f>
        <v/>
      </c>
      <c r="DS115" t="str">
        <f>+IFERROR(VLOOKUP(DS16,IN_Zugliste!$A$4:$D$2002,4,FALSE),"")</f>
        <v/>
      </c>
      <c r="DT115" t="str">
        <f>+IFERROR(VLOOKUP(DT16,IN_Zugliste!$A$4:$D$2002,4,FALSE),"")</f>
        <v/>
      </c>
      <c r="DU115" t="str">
        <f>+IFERROR(VLOOKUP(DU16,IN_Zugliste!$A$4:$D$2002,4,FALSE),"")</f>
        <v/>
      </c>
      <c r="DV115" t="str">
        <f>+IFERROR(VLOOKUP(DV16,IN_Zugliste!$A$4:$D$2002,4,FALSE),"")</f>
        <v/>
      </c>
      <c r="DW115" t="str">
        <f>+IFERROR(VLOOKUP(DW16,IN_Zugliste!$A$4:$D$2002,4,FALSE),"")</f>
        <v/>
      </c>
      <c r="DX115" t="str">
        <f>+IFERROR(VLOOKUP(DX16,IN_Zugliste!$A$4:$D$2002,4,FALSE),"")</f>
        <v/>
      </c>
      <c r="DY115" t="str">
        <f>+IFERROR(VLOOKUP(DY16,IN_Zugliste!$A$4:$D$2002,4,FALSE),"")</f>
        <v/>
      </c>
      <c r="DZ115" t="str">
        <f>+IFERROR(VLOOKUP(DZ16,IN_Zugliste!$A$4:$D$2002,4,FALSE),"")</f>
        <v/>
      </c>
      <c r="EA115" t="str">
        <f>+IFERROR(VLOOKUP(EA16,IN_Zugliste!$A$4:$D$2002,4,FALSE),"")</f>
        <v/>
      </c>
      <c r="EB115" t="str">
        <f>+IFERROR(VLOOKUP(EB16,IN_Zugliste!$A$4:$D$2002,4,FALSE),"")</f>
        <v/>
      </c>
      <c r="EC115" t="str">
        <f>+IFERROR(VLOOKUP(EC16,IN_Zugliste!$A$4:$D$2002,4,FALSE),"")</f>
        <v/>
      </c>
      <c r="ED115" t="str">
        <f>+IFERROR(VLOOKUP(ED16,IN_Zugliste!$A$4:$D$2002,4,FALSE),"")</f>
        <v/>
      </c>
      <c r="EE115" t="str">
        <f>+IFERROR(VLOOKUP(EE16,IN_Zugliste!$A$4:$D$2002,4,FALSE),"")</f>
        <v/>
      </c>
      <c r="EF115" t="str">
        <f>+IFERROR(VLOOKUP(EF16,IN_Zugliste!$A$4:$D$2002,4,FALSE),"")</f>
        <v/>
      </c>
      <c r="EG115" t="str">
        <f>+IFERROR(VLOOKUP(EG16,IN_Zugliste!$A$4:$D$2002,4,FALSE),"")</f>
        <v/>
      </c>
      <c r="EH115" t="str">
        <f>+IFERROR(VLOOKUP(EH16,IN_Zugliste!$A$4:$D$2002,4,FALSE),"")</f>
        <v/>
      </c>
      <c r="EI115" t="str">
        <f>+IFERROR(VLOOKUP(EI16,IN_Zugliste!$A$4:$D$2002,4,FALSE),"")</f>
        <v/>
      </c>
      <c r="EJ115" t="str">
        <f>+IFERROR(VLOOKUP(EJ16,IN_Zugliste!$A$4:$D$2002,4,FALSE),"")</f>
        <v/>
      </c>
      <c r="EK115" t="str">
        <f>+IFERROR(VLOOKUP(EK16,IN_Zugliste!$A$4:$D$2002,4,FALSE),"")</f>
        <v/>
      </c>
      <c r="EL115" t="str">
        <f>+IFERROR(VLOOKUP(EL16,IN_Zugliste!$A$4:$D$2002,4,FALSE),"")</f>
        <v/>
      </c>
      <c r="EM115" t="str">
        <f>+IFERROR(VLOOKUP(EM16,IN_Zugliste!$A$4:$D$2002,4,FALSE),"")</f>
        <v/>
      </c>
      <c r="EN115" t="str">
        <f>+IFERROR(VLOOKUP(EN16,IN_Zugliste!$A$4:$D$2002,4,FALSE),"")</f>
        <v/>
      </c>
      <c r="EO115" t="str">
        <f>+IFERROR(VLOOKUP(EO16,IN_Zugliste!$A$4:$D$2002,4,FALSE),"")</f>
        <v/>
      </c>
      <c r="EP115" t="str">
        <f>+IFERROR(VLOOKUP(EP16,IN_Zugliste!$A$4:$D$2002,4,FALSE),"")</f>
        <v/>
      </c>
      <c r="EQ115" t="str">
        <f>+IFERROR(VLOOKUP(EQ16,IN_Zugliste!$A$4:$D$2002,4,FALSE),"")</f>
        <v/>
      </c>
      <c r="ER115" t="str">
        <f>+IFERROR(VLOOKUP(ER16,IN_Zugliste!$A$4:$D$2002,4,FALSE),"")</f>
        <v/>
      </c>
      <c r="ES115" t="str">
        <f>+IFERROR(VLOOKUP(ES16,IN_Zugliste!$A$4:$D$2002,4,FALSE),"")</f>
        <v/>
      </c>
      <c r="ET115" t="str">
        <f>+IFERROR(VLOOKUP(ET16,IN_Zugliste!$A$4:$D$2002,4,FALSE),"")</f>
        <v/>
      </c>
      <c r="EU115" t="str">
        <f>+IFERROR(VLOOKUP(EU16,IN_Zugliste!$A$4:$D$2002,4,FALSE),"")</f>
        <v/>
      </c>
      <c r="EV115" t="str">
        <f>+IFERROR(VLOOKUP(EV16,IN_Zugliste!$A$4:$D$2002,4,FALSE),"")</f>
        <v/>
      </c>
      <c r="EW115" t="str">
        <f>+IFERROR(VLOOKUP(EW16,IN_Zugliste!$A$4:$D$2002,4,FALSE),"")</f>
        <v/>
      </c>
      <c r="EX115" t="str">
        <f>+IFERROR(VLOOKUP(EX16,IN_Zugliste!$A$4:$D$2002,4,FALSE),"")</f>
        <v/>
      </c>
      <c r="EY115" t="str">
        <f>+IFERROR(VLOOKUP(EY16,IN_Zugliste!$A$4:$D$2002,4,FALSE),"")</f>
        <v/>
      </c>
      <c r="EZ115" t="str">
        <f>+IFERROR(VLOOKUP(EZ16,IN_Zugliste!$A$4:$D$2002,4,FALSE),"")</f>
        <v/>
      </c>
      <c r="FA115" t="str">
        <f>+IFERROR(VLOOKUP(FA16,IN_Zugliste!$A$4:$D$2002,4,FALSE),"")</f>
        <v/>
      </c>
      <c r="FB115" t="str">
        <f>+IFERROR(VLOOKUP(FB16,IN_Zugliste!$A$4:$D$2002,4,FALSE),"")</f>
        <v/>
      </c>
      <c r="FC115" t="str">
        <f>+IFERROR(VLOOKUP(FC16,IN_Zugliste!$A$4:$D$2002,4,FALSE),"")</f>
        <v/>
      </c>
      <c r="FD115" t="str">
        <f>+IFERROR(VLOOKUP(FD16,IN_Zugliste!$A$4:$D$2002,4,FALSE),"")</f>
        <v/>
      </c>
      <c r="FE115" t="str">
        <f>+IFERROR(VLOOKUP(FE16,IN_Zugliste!$A$4:$D$2002,4,FALSE),"")</f>
        <v/>
      </c>
      <c r="FF115" t="str">
        <f>+IFERROR(VLOOKUP(FF16,IN_Zugliste!$A$4:$D$2002,4,FALSE),"")</f>
        <v/>
      </c>
      <c r="FG115" t="str">
        <f>+IFERROR(VLOOKUP(FG16,IN_Zugliste!$A$4:$D$2002,4,FALSE),"")</f>
        <v/>
      </c>
      <c r="FH115" t="str">
        <f>+IFERROR(VLOOKUP(FH16,IN_Zugliste!$A$4:$D$2002,4,FALSE),"")</f>
        <v/>
      </c>
      <c r="FI115" t="str">
        <f>+IFERROR(VLOOKUP(FI16,IN_Zugliste!$A$4:$D$2002,4,FALSE),"")</f>
        <v/>
      </c>
      <c r="FJ115" t="str">
        <f>+IFERROR(VLOOKUP(FJ16,IN_Zugliste!$A$4:$D$2002,4,FALSE),"")</f>
        <v/>
      </c>
      <c r="FK115" t="str">
        <f>+IFERROR(VLOOKUP(FK16,IN_Zugliste!$A$4:$D$2002,4,FALSE),"")</f>
        <v/>
      </c>
      <c r="FL115" t="str">
        <f>+IFERROR(VLOOKUP(FL16,IN_Zugliste!$A$4:$D$2002,4,FALSE),"")</f>
        <v/>
      </c>
      <c r="FM115" t="str">
        <f>+IFERROR(VLOOKUP(FM16,IN_Zugliste!$A$4:$C$2002,4,FALSE),"")</f>
        <v/>
      </c>
      <c r="FN115" t="str">
        <f>+IFERROR(VLOOKUP(FN16,IN_Zugliste!$A$4:$C$2002,4,FALSE),"")</f>
        <v/>
      </c>
      <c r="FO115" t="str">
        <f>+IFERROR(VLOOKUP(FO16,IN_Zugliste!$A$4:$C$2002,4,FALSE),"")</f>
        <v/>
      </c>
      <c r="FP115" t="str">
        <f>+IFERROR(VLOOKUP(FP16,IN_Zugliste!$A$4:$C$2002,4,FALSE),"")</f>
        <v/>
      </c>
      <c r="FQ115" t="str">
        <f>+IFERROR(VLOOKUP(FQ16,IN_Zugliste!$A$4:$C$2002,4,FALSE),"")</f>
        <v/>
      </c>
      <c r="FR115" t="str">
        <f>+IFERROR(VLOOKUP(FR16,IN_Zugliste!$A$4:$C$2002,4,FALSE),"")</f>
        <v/>
      </c>
      <c r="FS115" t="str">
        <f>+IFERROR(VLOOKUP(FS16,IN_Zugliste!$A$4:$C$2002,4,FALSE),"")</f>
        <v/>
      </c>
      <c r="FT115" t="str">
        <f>+IFERROR(VLOOKUP(FT16,IN_Zugliste!$A$4:$C$2002,4,FALSE),"")</f>
        <v/>
      </c>
      <c r="FU115" t="str">
        <f>+IFERROR(VLOOKUP(FU16,IN_Zugliste!$A$4:$C$2002,4,FALSE),"")</f>
        <v/>
      </c>
      <c r="FV115" t="str">
        <f>+IFERROR(VLOOKUP(FV16,IN_Zugliste!$A$4:$C$2002,4,FALSE),"")</f>
        <v/>
      </c>
      <c r="FW115" t="str">
        <f>+IFERROR(VLOOKUP(FW16,IN_Zugliste!$A$4:$C$2002,4,FALSE),"")</f>
        <v/>
      </c>
      <c r="FX115" t="str">
        <f>+IFERROR(VLOOKUP(FX16,IN_Zugliste!$A$4:$C$2002,4,FALSE),"")</f>
        <v/>
      </c>
      <c r="FY115" t="str">
        <f>+IFERROR(VLOOKUP(FY16,IN_Zugliste!$A$4:$C$2002,4,FALSE),"")</f>
        <v/>
      </c>
      <c r="FZ115" t="str">
        <f>+IFERROR(VLOOKUP(FZ16,IN_Zugliste!$A$4:$C$2002,4,FALSE),"")</f>
        <v/>
      </c>
      <c r="GA115" t="str">
        <f>+IFERROR(VLOOKUP(GA16,IN_Zugliste!$A$4:$C$2002,4,FALSE),"")</f>
        <v/>
      </c>
      <c r="GB115" t="str">
        <f>+IFERROR(VLOOKUP(GB16,IN_Zugliste!$A$4:$C$2002,4,FALSE),"")</f>
        <v/>
      </c>
      <c r="GC115" t="str">
        <f>+IFERROR(VLOOKUP(GC16,IN_Zugliste!$A$4:$C$2002,4,FALSE),"")</f>
        <v/>
      </c>
      <c r="GD115" t="str">
        <f>+IFERROR(VLOOKUP(GD16,IN_Zugliste!$A$4:$C$2002,4,FALSE),"")</f>
        <v/>
      </c>
      <c r="GE115" t="str">
        <f>+IFERROR(VLOOKUP(GE16,IN_Zugliste!$A$4:$C$2002,4,FALSE),"")</f>
        <v/>
      </c>
      <c r="GF115" t="str">
        <f>+IFERROR(VLOOKUP(GF16,IN_Zugliste!$A$4:$C$2002,4,FALSE),"")</f>
        <v/>
      </c>
      <c r="GG115" t="str">
        <f>+IFERROR(VLOOKUP(GG16,IN_Zugliste!$A$4:$C$2002,4,FALSE),"")</f>
        <v/>
      </c>
      <c r="GH115" t="str">
        <f>+IFERROR(VLOOKUP(GH16,IN_Zugliste!$A$4:$C$2002,4,FALSE),"")</f>
        <v/>
      </c>
      <c r="GI115" t="str">
        <f>+IFERROR(VLOOKUP(GI16,IN_Zugliste!$A$4:$C$2002,4,FALSE),"")</f>
        <v/>
      </c>
      <c r="GJ115" t="str">
        <f>+IFERROR(VLOOKUP(GJ16,IN_Zugliste!$A$4:$C$2002,4,FALSE),"")</f>
        <v/>
      </c>
      <c r="GK115" t="str">
        <f>+IFERROR(VLOOKUP(GK16,IN_Zugliste!$A$4:$C$2002,4,FALSE),"")</f>
        <v/>
      </c>
      <c r="GL115" t="str">
        <f>+IFERROR(VLOOKUP(GL16,IN_Zugliste!$A$4:$C$2002,4,FALSE),"")</f>
        <v/>
      </c>
      <c r="GM115" t="str">
        <f>+IFERROR(VLOOKUP(GM16,IN_Zugliste!$A$4:$C$2002,4,FALSE),"")</f>
        <v/>
      </c>
      <c r="GN115" t="str">
        <f>+IFERROR(VLOOKUP(GN16,IN_Zugliste!$A$4:$C$2002,4,FALSE),"")</f>
        <v/>
      </c>
      <c r="GO115" t="str">
        <f>+IFERROR(VLOOKUP(GO16,IN_Zugliste!$A$4:$C$2002,4,FALSE),"")</f>
        <v/>
      </c>
      <c r="GP115" t="str">
        <f>+IFERROR(VLOOKUP(GP16,IN_Zugliste!$A$4:$C$2002,4,FALSE),"")</f>
        <v/>
      </c>
      <c r="GQ115" t="str">
        <f>+IFERROR(VLOOKUP(GQ16,IN_Zugliste!$A$4:$C$2002,4,FALSE),"")</f>
        <v/>
      </c>
      <c r="GR115" t="str">
        <f>+IFERROR(VLOOKUP(GR16,IN_Zugliste!$A$4:$C$2002,4,FALSE),"")</f>
        <v/>
      </c>
      <c r="GS115" t="str">
        <f>+IFERROR(VLOOKUP(GS16,IN_Zugliste!$A$4:$C$2002,4,FALSE),"")</f>
        <v/>
      </c>
      <c r="GT115" t="str">
        <f>+IFERROR(VLOOKUP(GT16,IN_Zugliste!$A$4:$C$2002,4,FALSE),"")</f>
        <v/>
      </c>
      <c r="GU115" t="str">
        <f>+IFERROR(VLOOKUP(GU16,IN_Zugliste!$A$4:$C$2002,4,FALSE),"")</f>
        <v/>
      </c>
      <c r="GV115" t="str">
        <f>+IFERROR(VLOOKUP(GV16,IN_Zugliste!$A$4:$C$2002,4,FALSE),"")</f>
        <v/>
      </c>
      <c r="GW115" t="str">
        <f>+IFERROR(VLOOKUP(GW16,IN_Zugliste!$A$4:$C$2002,4,FALSE),"")</f>
        <v/>
      </c>
      <c r="GX115" t="str">
        <f>+IFERROR(VLOOKUP(GX16,IN_Zugliste!$A$4:$C$2002,4,FALSE),"")</f>
        <v/>
      </c>
      <c r="GY115" t="str">
        <f>+IFERROR(VLOOKUP(GY16,IN_Zugliste!$A$4:$C$2002,4,FALSE),"")</f>
        <v/>
      </c>
      <c r="GZ115" t="str">
        <f>+IFERROR(VLOOKUP(GZ16,IN_Zugliste!$A$4:$C$2002,4,FALSE),"")</f>
        <v/>
      </c>
      <c r="HA115" t="str">
        <f>+IFERROR(VLOOKUP(HA16,IN_Zugliste!$A$4:$C$2002,4,FALSE),"")</f>
        <v/>
      </c>
      <c r="HB115" t="str">
        <f>+IFERROR(VLOOKUP(HB16,IN_Zugliste!$A$4:$C$2002,4,FALSE),"")</f>
        <v/>
      </c>
      <c r="HC115" t="str">
        <f>+IFERROR(VLOOKUP(HC16,IN_Zugliste!$A$4:$C$2002,4,FALSE),"")</f>
        <v/>
      </c>
      <c r="HD115" t="str">
        <f>+IFERROR(VLOOKUP(HD16,IN_Zugliste!$A$4:$C$2002,4,FALSE),"")</f>
        <v/>
      </c>
      <c r="HE115" t="str">
        <f>+IFERROR(VLOOKUP(HE16,IN_Zugliste!$A$4:$C$2002,4,FALSE),"")</f>
        <v/>
      </c>
      <c r="HF115" t="str">
        <f>+IFERROR(VLOOKUP(HF16,IN_Zugliste!$A$4:$C$2002,4,FALSE),"")</f>
        <v/>
      </c>
      <c r="HG115" t="str">
        <f>+IFERROR(VLOOKUP(HG16,IN_Zugliste!$A$4:$C$2002,4,FALSE),"")</f>
        <v/>
      </c>
      <c r="HH115" t="str">
        <f>+IFERROR(VLOOKUP(HH16,IN_Zugliste!$A$4:$C$2002,4,FALSE),"")</f>
        <v/>
      </c>
      <c r="HI115" t="str">
        <f>+IFERROR(VLOOKUP(HI16,IN_Zugliste!$A$4:$C$2002,4,FALSE),"")</f>
        <v/>
      </c>
      <c r="HJ115" t="str">
        <f>+IFERROR(VLOOKUP(HJ16,IN_Zugliste!$A$4:$C$2002,4,FALSE),"")</f>
        <v/>
      </c>
      <c r="HK115" t="str">
        <f>+IFERROR(VLOOKUP(HK16,IN_Zugliste!$A$4:$C$2002,4,FALSE),"")</f>
        <v/>
      </c>
      <c r="HL115" t="str">
        <f>+IFERROR(VLOOKUP(HL16,IN_Zugliste!$A$4:$C$2002,4,FALSE),"")</f>
        <v/>
      </c>
      <c r="HM115" t="str">
        <f>+IFERROR(VLOOKUP(HM16,IN_Zugliste!$A$4:$C$2002,4,FALSE),"")</f>
        <v/>
      </c>
      <c r="HN115" t="str">
        <f>+IFERROR(VLOOKUP(HN16,IN_Zugliste!$A$4:$C$2002,4,FALSE),"")</f>
        <v/>
      </c>
      <c r="HO115" t="str">
        <f>+IFERROR(VLOOKUP(HO16,IN_Zugliste!$A$4:$C$2002,4,FALSE),"")</f>
        <v/>
      </c>
      <c r="HP115" t="str">
        <f>+IFERROR(VLOOKUP(HP16,IN_Zugliste!$A$4:$C$2002,4,FALSE),"")</f>
        <v/>
      </c>
      <c r="HQ115" t="str">
        <f>+IFERROR(VLOOKUP(HQ16,IN_Zugliste!$A$4:$C$2002,4,FALSE),"")</f>
        <v/>
      </c>
      <c r="HR115" t="str">
        <f>+IFERROR(VLOOKUP(HR16,IN_Zugliste!$A$4:$C$2002,4,FALSE),"")</f>
        <v/>
      </c>
      <c r="HS115" t="str">
        <f>+IFERROR(VLOOKUP(HS16,IN_Zugliste!$A$4:$C$2002,4,FALSE),"")</f>
        <v/>
      </c>
      <c r="HT115" t="str">
        <f>+IFERROR(VLOOKUP(HT16,IN_Zugliste!$A$4:$C$2002,4,FALSE),"")</f>
        <v/>
      </c>
      <c r="HU115" t="str">
        <f>+IFERROR(VLOOKUP(HU16,IN_Zugliste!$A$4:$C$2002,4,FALSE),"")</f>
        <v/>
      </c>
      <c r="HV115" t="str">
        <f>+IFERROR(VLOOKUP(HV16,IN_Zugliste!$A$4:$C$2002,4,FALSE),"")</f>
        <v/>
      </c>
      <c r="HW115" t="str">
        <f>+IFERROR(VLOOKUP(HW16,IN_Zugliste!$A$4:$C$2002,4,FALSE),"")</f>
        <v/>
      </c>
      <c r="HX115" t="str">
        <f>+IFERROR(VLOOKUP(HX16,IN_Zugliste!$A$4:$C$2002,4,FALSE),"")</f>
        <v/>
      </c>
      <c r="HY115" t="str">
        <f>+IFERROR(VLOOKUP(HY16,IN_Zugliste!$A$4:$C$2002,4,FALSE),"")</f>
        <v/>
      </c>
      <c r="HZ115" t="str">
        <f>+IFERROR(VLOOKUP(HZ16,IN_Zugliste!$A$4:$C$2002,4,FALSE),"")</f>
        <v/>
      </c>
      <c r="IA115" t="str">
        <f>+IFERROR(VLOOKUP(IA16,IN_Zugliste!$A$4:$C$2002,4,FALSE),"")</f>
        <v/>
      </c>
      <c r="IB115" t="str">
        <f>+IFERROR(VLOOKUP(IB16,IN_Zugliste!$A$4:$C$2002,4,FALSE),"")</f>
        <v/>
      </c>
      <c r="IC115" t="str">
        <f>+IFERROR(VLOOKUP(IC16,IN_Zugliste!$A$4:$C$2002,4,FALSE),"")</f>
        <v/>
      </c>
      <c r="ID115" t="str">
        <f>+IFERROR(VLOOKUP(ID16,IN_Zugliste!$A$4:$C$2002,4,FALSE),"")</f>
        <v/>
      </c>
      <c r="IE115" t="str">
        <f>+IFERROR(VLOOKUP(IE16,IN_Zugliste!$A$4:$C$2002,4,FALSE),"")</f>
        <v/>
      </c>
      <c r="IF115" t="str">
        <f>+IFERROR(VLOOKUP(IF16,IN_Zugliste!$A$4:$C$2002,4,FALSE),"")</f>
        <v/>
      </c>
      <c r="IG115" t="str">
        <f>+IFERROR(VLOOKUP(IG16,IN_Zugliste!$A$4:$C$2002,4,FALSE),"")</f>
        <v/>
      </c>
      <c r="IH115" t="str">
        <f>+IFERROR(VLOOKUP(IH16,IN_Zugliste!$A$4:$C$2002,4,FALSE),"")</f>
        <v/>
      </c>
      <c r="II115" t="str">
        <f>+IFERROR(VLOOKUP(II16,IN_Zugliste!$A$4:$C$2002,4,FALSE),"")</f>
        <v/>
      </c>
      <c r="IJ115" t="str">
        <f>+IFERROR(VLOOKUP(IJ16,IN_Zugliste!$A$4:$C$2002,4,FALSE),"")</f>
        <v/>
      </c>
      <c r="IK115" t="str">
        <f>+IFERROR(VLOOKUP(IK16,IN_Zugliste!$A$4:$C$2002,4,FALSE),"")</f>
        <v/>
      </c>
      <c r="IL115" t="str">
        <f>+IFERROR(VLOOKUP(IL16,IN_Zugliste!$A$4:$C$2002,4,FALSE),"")</f>
        <v/>
      </c>
      <c r="IM115" t="str">
        <f>+IFERROR(VLOOKUP(IM16,IN_Zugliste!$A$4:$C$2002,4,FALSE),"")</f>
        <v/>
      </c>
      <c r="IN115" t="str">
        <f>+IFERROR(VLOOKUP(IN16,IN_Zugliste!$A$4:$C$2002,4,FALSE),"")</f>
        <v/>
      </c>
      <c r="IO115" t="str">
        <f>+IFERROR(VLOOKUP(IO16,IN_Zugliste!$A$4:$C$2002,4,FALSE),"")</f>
        <v/>
      </c>
      <c r="IP115" t="str">
        <f>+IFERROR(VLOOKUP(IP16,IN_Zugliste!$A$4:$C$2002,4,FALSE),"")</f>
        <v/>
      </c>
      <c r="IQ115" t="str">
        <f>+IFERROR(VLOOKUP(IQ16,IN_Zugliste!$A$4:$C$2002,4,FALSE),"")</f>
        <v/>
      </c>
      <c r="IR115" t="str">
        <f>+IFERROR(VLOOKUP(IR16,IN_Zugliste!$A$4:$C$2002,4,FALSE),"")</f>
        <v/>
      </c>
      <c r="IS115" t="str">
        <f>+IFERROR(VLOOKUP(IS16,IN_Zugliste!$A$4:$C$2002,4,FALSE),"")</f>
        <v/>
      </c>
      <c r="IT115" t="str">
        <f>+IFERROR(VLOOKUP(IT16,IN_Zugliste!$A$4:$C$2002,4,FALSE),"")</f>
        <v/>
      </c>
      <c r="IU115" t="str">
        <f>+IFERROR(VLOOKUP(IU16,IN_Zugliste!$A$4:$C$2002,4,FALSE),"")</f>
        <v/>
      </c>
      <c r="IV115" t="str">
        <f>+IFERROR(VLOOKUP(IV16,IN_Zugliste!$A$4:$C$2002,4,FALSE),"")</f>
        <v/>
      </c>
      <c r="IW115" t="str">
        <f>+IFERROR(VLOOKUP(IW16,IN_Zugliste!$A$4:$C$2002,4,FALSE),"")</f>
        <v/>
      </c>
      <c r="IX115" t="str">
        <f>+IFERROR(VLOOKUP(IX16,IN_Zugliste!$A$4:$C$2002,4,FALSE),"")</f>
        <v/>
      </c>
      <c r="IY115" t="str">
        <f>+IFERROR(VLOOKUP(IY16,IN_Zugliste!$A$4:$C$2002,4,FALSE),"")</f>
        <v/>
      </c>
      <c r="IZ115" t="str">
        <f>+IFERROR(VLOOKUP(IZ16,IN_Zugliste!$A$4:$C$2002,4,FALSE),"")</f>
        <v/>
      </c>
      <c r="JA115" t="str">
        <f>+IFERROR(VLOOKUP(JA16,IN_Zugliste!$A$4:$C$2002,4,FALSE),"")</f>
        <v/>
      </c>
      <c r="JB115" t="str">
        <f>+IFERROR(VLOOKUP(JB16,IN_Zugliste!$A$4:$C$2002,4,FALSE),"")</f>
        <v/>
      </c>
      <c r="JC115" t="str">
        <f>+IFERROR(VLOOKUP(JC16,IN_Zugliste!$A$4:$C$2002,4,FALSE),"")</f>
        <v/>
      </c>
      <c r="JD115" t="str">
        <f>+IFERROR(VLOOKUP(JD16,IN_Zugliste!$A$4:$C$2002,4,FALSE),"")</f>
        <v/>
      </c>
      <c r="JE115" t="str">
        <f>+IFERROR(VLOOKUP(JE16,IN_Zugliste!$A$4:$C$2002,4,FALSE),"")</f>
        <v/>
      </c>
      <c r="JF115" t="str">
        <f>+IFERROR(VLOOKUP(JF16,IN_Zugliste!$A$4:$C$2002,4,FALSE),"")</f>
        <v/>
      </c>
      <c r="JG115" t="str">
        <f>+IFERROR(VLOOKUP(JG16,IN_Zugliste!$A$4:$C$2002,4,FALSE),"")</f>
        <v/>
      </c>
      <c r="JH115" t="str">
        <f>+IFERROR(VLOOKUP(JH16,IN_Zugliste!$A$4:$C$2002,4,FALSE),"")</f>
        <v/>
      </c>
      <c r="JI115" t="str">
        <f>+IFERROR(VLOOKUP(JI16,IN_Zugliste!$A$4:$C$2002,4,FALSE),"")</f>
        <v/>
      </c>
      <c r="JJ115" t="str">
        <f>+IFERROR(VLOOKUP(JJ16,IN_Zugliste!$A$4:$C$2002,4,FALSE),"")</f>
        <v/>
      </c>
      <c r="JK115" t="str">
        <f>+IFERROR(VLOOKUP(JK16,IN_Zugliste!$A$4:$C$2002,4,FALSE),"")</f>
        <v/>
      </c>
      <c r="JL115" t="str">
        <f>+IFERROR(VLOOKUP(JL16,IN_Zugliste!$A$4:$C$2002,4,FALSE),"")</f>
        <v/>
      </c>
    </row>
    <row r="116" spans="1:272" x14ac:dyDescent="0.2">
      <c r="A116" t="str">
        <f>+IFERROR(VLOOKUP(A17,IN_Zugliste!$A$4:$D$2002,4,FALSE),"")</f>
        <v/>
      </c>
      <c r="B116" t="str">
        <f>+IFERROR(VLOOKUP(B17,IN_Zugliste!$A$4:$D$2002,4,FALSE),"")</f>
        <v/>
      </c>
      <c r="C116" t="str">
        <f>+IFERROR(VLOOKUP(C17,IN_Zugliste!$A$4:$D$2002,4,FALSE),"")</f>
        <v/>
      </c>
      <c r="D116" t="str">
        <f>+IFERROR(VLOOKUP(D17,IN_Zugliste!$A$4:$D$2002,4,FALSE),"")</f>
        <v/>
      </c>
      <c r="E116" t="str">
        <f>+IFERROR(VLOOKUP(E17,IN_Zugliste!$A$4:$D$2002,4,FALSE),"")</f>
        <v/>
      </c>
      <c r="F116" t="str">
        <f>+IFERROR(VLOOKUP(F17,IN_Zugliste!$A$4:$D$2002,4,FALSE),"")</f>
        <v/>
      </c>
      <c r="G116" t="str">
        <f>+IFERROR(VLOOKUP(G17,IN_Zugliste!$A$4:$D$2002,4,FALSE),"")</f>
        <v/>
      </c>
      <c r="H116" t="str">
        <f>+IFERROR(VLOOKUP(H17,IN_Zugliste!$A$4:$D$2002,4,FALSE),"")</f>
        <v/>
      </c>
      <c r="I116" t="str">
        <f>+IFERROR(VLOOKUP(I17,IN_Zugliste!$A$4:$D$2002,4,FALSE),"")</f>
        <v/>
      </c>
      <c r="J116" t="str">
        <f>+IFERROR(VLOOKUP(J17,IN_Zugliste!$A$4:$D$2002,4,FALSE),"")</f>
        <v/>
      </c>
      <c r="K116" t="str">
        <f>+IFERROR(VLOOKUP(K17,IN_Zugliste!$A$4:$D$2002,4,FALSE),"")</f>
        <v/>
      </c>
      <c r="L116" t="str">
        <f>+IFERROR(VLOOKUP(L17,IN_Zugliste!$A$4:$D$2002,4,FALSE),"")</f>
        <v/>
      </c>
      <c r="M116" t="str">
        <f>+IFERROR(VLOOKUP(M17,IN_Zugliste!$A$4:$D$2002,4,FALSE),"")</f>
        <v/>
      </c>
      <c r="N116" t="str">
        <f>+IFERROR(VLOOKUP(N17,IN_Zugliste!$A$4:$D$2002,4,FALSE),"")</f>
        <v/>
      </c>
      <c r="O116" t="str">
        <f>+IFERROR(VLOOKUP(O17,IN_Zugliste!$A$4:$D$2002,4,FALSE),"")</f>
        <v/>
      </c>
      <c r="P116" t="str">
        <f>+IFERROR(VLOOKUP(P17,IN_Zugliste!$A$4:$D$2002,4,FALSE),"")</f>
        <v/>
      </c>
      <c r="Q116" t="str">
        <f>+IFERROR(VLOOKUP(Q17,IN_Zugliste!$A$4:$D$2002,4,FALSE),"")</f>
        <v/>
      </c>
      <c r="R116" t="str">
        <f>+IFERROR(VLOOKUP(R17,IN_Zugliste!$A$4:$D$2002,4,FALSE),"")</f>
        <v/>
      </c>
      <c r="S116" t="str">
        <f>+IFERROR(VLOOKUP(S17,IN_Zugliste!$A$4:$D$2002,4,FALSE),"")</f>
        <v/>
      </c>
      <c r="T116" t="str">
        <f>+IFERROR(VLOOKUP(T17,IN_Zugliste!$A$4:$D$2002,4,FALSE),"")</f>
        <v/>
      </c>
      <c r="U116" t="str">
        <f>+IFERROR(VLOOKUP(U17,IN_Zugliste!$A$4:$D$2002,4,FALSE),"")</f>
        <v/>
      </c>
      <c r="V116" t="str">
        <f>+IFERROR(VLOOKUP(V17,IN_Zugliste!$A$4:$D$2002,4,FALSE),"")</f>
        <v/>
      </c>
      <c r="W116" t="str">
        <f>+IFERROR(VLOOKUP(W17,IN_Zugliste!$A$4:$D$2002,4,FALSE),"")</f>
        <v/>
      </c>
      <c r="X116" t="str">
        <f>+IFERROR(VLOOKUP(X17,IN_Zugliste!$A$4:$D$2002,4,FALSE),"")</f>
        <v/>
      </c>
      <c r="Y116" t="str">
        <f>+IFERROR(VLOOKUP(Y17,IN_Zugliste!$A$4:$D$2002,4,FALSE),"")</f>
        <v/>
      </c>
      <c r="Z116" t="str">
        <f>+IFERROR(VLOOKUP(Z17,IN_Zugliste!$A$4:$D$2002,4,FALSE),"")</f>
        <v/>
      </c>
      <c r="AA116" t="str">
        <f>+IFERROR(VLOOKUP(AA17,IN_Zugliste!$A$4:$D$2002,4,FALSE),"")</f>
        <v/>
      </c>
      <c r="AB116" t="str">
        <f>+IFERROR(VLOOKUP(AB17,IN_Zugliste!$A$4:$D$2002,4,FALSE),"")</f>
        <v/>
      </c>
      <c r="AC116" t="str">
        <f>+IFERROR(VLOOKUP(AC17,IN_Zugliste!$A$4:$D$2002,4,FALSE),"")</f>
        <v/>
      </c>
      <c r="AD116" t="str">
        <f>+IFERROR(VLOOKUP(AD17,IN_Zugliste!$A$4:$D$2002,4,FALSE),"")</f>
        <v/>
      </c>
      <c r="AE116" t="str">
        <f>+IFERROR(VLOOKUP(AE17,IN_Zugliste!$A$4:$D$2002,4,FALSE),"")</f>
        <v/>
      </c>
      <c r="AF116" t="str">
        <f>+IFERROR(VLOOKUP(AF17,IN_Zugliste!$A$4:$D$2002,4,FALSE),"")</f>
        <v/>
      </c>
      <c r="AG116" t="str">
        <f>+IFERROR(VLOOKUP(AG17,IN_Zugliste!$A$4:$D$2002,4,FALSE),"")</f>
        <v/>
      </c>
      <c r="AH116" t="str">
        <f>+IFERROR(VLOOKUP(AH17,IN_Zugliste!$A$4:$D$2002,4,FALSE),"")</f>
        <v/>
      </c>
      <c r="AI116" t="str">
        <f>+IFERROR(VLOOKUP(AI17,IN_Zugliste!$A$4:$D$2002,4,FALSE),"")</f>
        <v/>
      </c>
      <c r="AJ116" t="str">
        <f>+IFERROR(VLOOKUP(AJ17,IN_Zugliste!$A$4:$D$2002,4,FALSE),"")</f>
        <v/>
      </c>
      <c r="AK116" t="str">
        <f>+IFERROR(VLOOKUP(AK17,IN_Zugliste!$A$4:$D$2002,4,FALSE),"")</f>
        <v/>
      </c>
      <c r="AL116" t="str">
        <f>+IFERROR(VLOOKUP(AL17,IN_Zugliste!$A$4:$D$2002,4,FALSE),"")</f>
        <v/>
      </c>
      <c r="AM116" t="str">
        <f>+IFERROR(VLOOKUP(AM17,IN_Zugliste!$A$4:$D$2002,4,FALSE),"")</f>
        <v/>
      </c>
      <c r="AN116" t="str">
        <f>+IFERROR(VLOOKUP(AN17,IN_Zugliste!$A$4:$D$2002,4,FALSE),"")</f>
        <v/>
      </c>
      <c r="AO116" t="str">
        <f>+IFERROR(VLOOKUP(AO17,IN_Zugliste!$A$4:$D$2002,4,FALSE),"")</f>
        <v/>
      </c>
      <c r="AP116" t="str">
        <f>+IFERROR(VLOOKUP(AP17,IN_Zugliste!$A$4:$D$2002,4,FALSE),"")</f>
        <v/>
      </c>
      <c r="AQ116" t="str">
        <f>+IFERROR(VLOOKUP(AQ17,IN_Zugliste!$A$4:$D$2002,4,FALSE),"")</f>
        <v/>
      </c>
      <c r="AR116" t="str">
        <f>+IFERROR(VLOOKUP(AR17,IN_Zugliste!$A$4:$D$2002,4,FALSE),"")</f>
        <v/>
      </c>
      <c r="AS116" t="str">
        <f>+IFERROR(VLOOKUP(AS17,IN_Zugliste!$A$4:$D$2002,4,FALSE),"")</f>
        <v/>
      </c>
      <c r="AT116" t="str">
        <f>+IFERROR(VLOOKUP(AT17,IN_Zugliste!$A$4:$D$2002,4,FALSE),"")</f>
        <v/>
      </c>
      <c r="AU116" t="str">
        <f>+IFERROR(VLOOKUP(AU17,IN_Zugliste!$A$4:$D$2002,4,FALSE),"")</f>
        <v/>
      </c>
      <c r="AV116" t="str">
        <f>+IFERROR(VLOOKUP(AV17,IN_Zugliste!$A$4:$D$2002,4,FALSE),"")</f>
        <v/>
      </c>
      <c r="AW116" t="str">
        <f>+IFERROR(VLOOKUP(AW17,IN_Zugliste!$A$4:$D$2002,4,FALSE),"")</f>
        <v/>
      </c>
      <c r="AX116" t="str">
        <f>+IFERROR(VLOOKUP(AX17,IN_Zugliste!$A$4:$D$2002,4,FALSE),"")</f>
        <v/>
      </c>
      <c r="AY116" t="str">
        <f>+IFERROR(VLOOKUP(AY17,IN_Zugliste!$A$4:$D$2002,4,FALSE),"")</f>
        <v/>
      </c>
      <c r="AZ116" t="str">
        <f>+IFERROR(VLOOKUP(AZ17,IN_Zugliste!$A$4:$D$2002,4,FALSE),"")</f>
        <v/>
      </c>
      <c r="BA116" t="str">
        <f>+IFERROR(VLOOKUP(BA17,IN_Zugliste!$A$4:$D$2002,4,FALSE),"")</f>
        <v/>
      </c>
      <c r="BB116" t="str">
        <f>+IFERROR(VLOOKUP(BB17,IN_Zugliste!$A$4:$D$2002,4,FALSE),"")</f>
        <v/>
      </c>
      <c r="BC116" t="str">
        <f>+IFERROR(VLOOKUP(BC17,IN_Zugliste!$A$4:$D$2002,4,FALSE),"")</f>
        <v/>
      </c>
      <c r="BD116" t="str">
        <f>+IFERROR(VLOOKUP(BD17,IN_Zugliste!$A$4:$D$2002,4,FALSE),"")</f>
        <v/>
      </c>
      <c r="BE116" t="str">
        <f>+IFERROR(VLOOKUP(BE17,IN_Zugliste!$A$4:$D$2002,4,FALSE),"")</f>
        <v/>
      </c>
      <c r="BF116" t="str">
        <f>+IFERROR(VLOOKUP(BF17,IN_Zugliste!$A$4:$D$2002,4,FALSE),"")</f>
        <v/>
      </c>
      <c r="BG116" t="str">
        <f>+IFERROR(VLOOKUP(BG17,IN_Zugliste!$A$4:$D$2002,4,FALSE),"")</f>
        <v/>
      </c>
      <c r="BH116" t="str">
        <f>+IFERROR(VLOOKUP(BH17,IN_Zugliste!$A$4:$D$2002,4,FALSE),"")</f>
        <v/>
      </c>
      <c r="BI116" t="str">
        <f>+IFERROR(VLOOKUP(BI17,IN_Zugliste!$A$4:$D$2002,4,FALSE),"")</f>
        <v/>
      </c>
      <c r="BJ116" t="str">
        <f>+IFERROR(VLOOKUP(BJ17,IN_Zugliste!$A$4:$D$2002,4,FALSE),"")</f>
        <v/>
      </c>
      <c r="BK116" t="str">
        <f>+IFERROR(VLOOKUP(BK17,IN_Zugliste!$A$4:$D$2002,4,FALSE),"")</f>
        <v/>
      </c>
      <c r="BL116" t="str">
        <f>+IFERROR(VLOOKUP(BL17,IN_Zugliste!$A$4:$D$2002,4,FALSE),"")</f>
        <v/>
      </c>
      <c r="BM116" t="str">
        <f>+IFERROR(VLOOKUP(BM17,IN_Zugliste!$A$4:$D$2002,4,FALSE),"")</f>
        <v/>
      </c>
      <c r="BN116" t="str">
        <f>+IFERROR(VLOOKUP(BN17,IN_Zugliste!$A$4:$D$2002,4,FALSE),"")</f>
        <v/>
      </c>
      <c r="BO116" t="str">
        <f>+IFERROR(VLOOKUP(BO17,IN_Zugliste!$A$4:$D$2002,4,FALSE),"")</f>
        <v/>
      </c>
      <c r="BP116" t="str">
        <f>+IFERROR(VLOOKUP(BP17,IN_Zugliste!$A$4:$D$2002,4,FALSE),"")</f>
        <v/>
      </c>
      <c r="BQ116" t="str">
        <f>+IFERROR(VLOOKUP(BQ17,IN_Zugliste!$A$4:$D$2002,4,FALSE),"")</f>
        <v/>
      </c>
      <c r="BR116" t="str">
        <f>+IFERROR(VLOOKUP(BR17,IN_Zugliste!$A$4:$D$2002,4,FALSE),"")</f>
        <v/>
      </c>
      <c r="BS116" t="str">
        <f>+IFERROR(VLOOKUP(BS17,IN_Zugliste!$A$4:$D$2002,4,FALSE),"")</f>
        <v/>
      </c>
      <c r="BT116" t="str">
        <f>+IFERROR(VLOOKUP(BT17,IN_Zugliste!$A$4:$D$2002,4,FALSE),"")</f>
        <v/>
      </c>
      <c r="BU116" t="str">
        <f>+IFERROR(VLOOKUP(BU17,IN_Zugliste!$A$4:$D$2002,4,FALSE),"")</f>
        <v/>
      </c>
      <c r="BV116" t="str">
        <f>+IFERROR(VLOOKUP(BV17,IN_Zugliste!$A$4:$D$2002,4,FALSE),"")</f>
        <v/>
      </c>
      <c r="BW116" t="str">
        <f>+IFERROR(VLOOKUP(BW17,IN_Zugliste!$A$4:$D$2002,4,FALSE),"")</f>
        <v/>
      </c>
      <c r="BX116" t="str">
        <f>+IFERROR(VLOOKUP(BX17,IN_Zugliste!$A$4:$D$2002,4,FALSE),"")</f>
        <v/>
      </c>
      <c r="BY116" t="str">
        <f>+IFERROR(VLOOKUP(BY17,IN_Zugliste!$A$4:$D$2002,4,FALSE),"")</f>
        <v/>
      </c>
      <c r="BZ116" t="str">
        <f>+IFERROR(VLOOKUP(BZ17,IN_Zugliste!$A$4:$D$2002,4,FALSE),"")</f>
        <v/>
      </c>
      <c r="CA116" t="str">
        <f>+IFERROR(VLOOKUP(CA17,IN_Zugliste!$A$4:$D$2002,4,FALSE),"")</f>
        <v/>
      </c>
      <c r="CB116" t="str">
        <f>+IFERROR(VLOOKUP(CB17,IN_Zugliste!$A$4:$D$2002,4,FALSE),"")</f>
        <v/>
      </c>
      <c r="CC116" t="str">
        <f>+IFERROR(VLOOKUP(CC17,IN_Zugliste!$A$4:$D$2002,4,FALSE),"")</f>
        <v/>
      </c>
      <c r="CD116" t="str">
        <f>+IFERROR(VLOOKUP(CD17,IN_Zugliste!$A$4:$D$2002,4,FALSE),"")</f>
        <v/>
      </c>
      <c r="CE116" t="str">
        <f>+IFERROR(VLOOKUP(CE17,IN_Zugliste!$A$4:$D$2002,4,FALSE),"")</f>
        <v/>
      </c>
      <c r="CF116" t="str">
        <f>+IFERROR(VLOOKUP(CF17,IN_Zugliste!$A$4:$D$2002,4,FALSE),"")</f>
        <v/>
      </c>
      <c r="CG116" t="str">
        <f>+IFERROR(VLOOKUP(CG17,IN_Zugliste!$A$4:$D$2002,4,FALSE),"")</f>
        <v/>
      </c>
      <c r="CH116" t="str">
        <f>+IFERROR(VLOOKUP(CH17,IN_Zugliste!$A$4:$D$2002,4,FALSE),"")</f>
        <v/>
      </c>
      <c r="CI116" t="str">
        <f>+IFERROR(VLOOKUP(CI17,IN_Zugliste!$A$4:$D$2002,4,FALSE),"")</f>
        <v/>
      </c>
      <c r="CJ116" t="str">
        <f>+IFERROR(VLOOKUP(CJ17,IN_Zugliste!$A$4:$D$2002,4,FALSE),"")</f>
        <v/>
      </c>
      <c r="CK116" t="str">
        <f>+IFERROR(VLOOKUP(CK17,IN_Zugliste!$A$4:$D$2002,4,FALSE),"")</f>
        <v/>
      </c>
      <c r="CL116" t="str">
        <f>+IFERROR(VLOOKUP(CL17,IN_Zugliste!$A$4:$D$2002,4,FALSE),"")</f>
        <v/>
      </c>
      <c r="CM116" t="str">
        <f>+IFERROR(VLOOKUP(CM17,IN_Zugliste!$A$4:$D$2002,4,FALSE),"")</f>
        <v/>
      </c>
      <c r="CN116" t="str">
        <f>+IFERROR(VLOOKUP(CN17,IN_Zugliste!$A$4:$D$2002,4,FALSE),"")</f>
        <v/>
      </c>
      <c r="CO116" t="str">
        <f>+IFERROR(VLOOKUP(CO17,IN_Zugliste!$A$4:$D$2002,4,FALSE),"")</f>
        <v/>
      </c>
      <c r="CP116" t="str">
        <f>+IFERROR(VLOOKUP(CP17,IN_Zugliste!$A$4:$D$2002,4,FALSE),"")</f>
        <v/>
      </c>
      <c r="CQ116" t="str">
        <f>+IFERROR(VLOOKUP(CQ17,IN_Zugliste!$A$4:$D$2002,4,FALSE),"")</f>
        <v/>
      </c>
      <c r="CR116" t="str">
        <f>+IFERROR(VLOOKUP(CR17,IN_Zugliste!$A$4:$D$2002,4,FALSE),"")</f>
        <v/>
      </c>
      <c r="CS116" t="str">
        <f>+IFERROR(VLOOKUP(CS17,IN_Zugliste!$A$4:$D$2002,4,FALSE),"")</f>
        <v/>
      </c>
      <c r="CT116" t="str">
        <f>+IFERROR(VLOOKUP(CT17,IN_Zugliste!$A$4:$D$2002,4,FALSE),"")</f>
        <v/>
      </c>
      <c r="CU116" t="str">
        <f>+IFERROR(VLOOKUP(CU17,IN_Zugliste!$A$4:$D$2002,4,FALSE),"")</f>
        <v/>
      </c>
      <c r="CV116" t="str">
        <f>+IFERROR(VLOOKUP(CV17,IN_Zugliste!$A$4:$D$2002,4,FALSE),"")</f>
        <v/>
      </c>
      <c r="CW116" t="str">
        <f>+IFERROR(VLOOKUP(CW17,IN_Zugliste!$A$4:$D$2002,4,FALSE),"")</f>
        <v/>
      </c>
      <c r="CX116" t="str">
        <f>+IFERROR(VLOOKUP(CX17,IN_Zugliste!$A$4:$D$2002,4,FALSE),"")</f>
        <v/>
      </c>
      <c r="CY116" t="str">
        <f>+IFERROR(VLOOKUP(CY17,IN_Zugliste!$A$4:$D$2002,4,FALSE),"")</f>
        <v/>
      </c>
      <c r="CZ116" t="str">
        <f>+IFERROR(VLOOKUP(CZ17,IN_Zugliste!$A$4:$D$2002,4,FALSE),"")</f>
        <v/>
      </c>
      <c r="DA116" t="str">
        <f>+IFERROR(VLOOKUP(DA17,IN_Zugliste!$A$4:$D$2002,4,FALSE),"")</f>
        <v/>
      </c>
      <c r="DB116" t="str">
        <f>+IFERROR(VLOOKUP(DB17,IN_Zugliste!$A$4:$D$2002,4,FALSE),"")</f>
        <v/>
      </c>
      <c r="DC116" t="str">
        <f>+IFERROR(VLOOKUP(DC17,IN_Zugliste!$A$4:$D$2002,4,FALSE),"")</f>
        <v/>
      </c>
      <c r="DD116" t="str">
        <f>+IFERROR(VLOOKUP(DD17,IN_Zugliste!$A$4:$D$2002,4,FALSE),"")</f>
        <v/>
      </c>
      <c r="DE116" t="str">
        <f>+IFERROR(VLOOKUP(DE17,IN_Zugliste!$A$4:$D$2002,4,FALSE),"")</f>
        <v/>
      </c>
      <c r="DF116" t="str">
        <f>+IFERROR(VLOOKUP(DF17,IN_Zugliste!$A$4:$D$2002,4,FALSE),"")</f>
        <v/>
      </c>
      <c r="DG116" t="str">
        <f>+IFERROR(VLOOKUP(DG17,IN_Zugliste!$A$4:$D$2002,4,FALSE),"")</f>
        <v/>
      </c>
      <c r="DH116" t="str">
        <f>+IFERROR(VLOOKUP(DH17,IN_Zugliste!$A$4:$D$2002,4,FALSE),"")</f>
        <v/>
      </c>
      <c r="DI116" t="str">
        <f>+IFERROR(VLOOKUP(DI17,IN_Zugliste!$A$4:$D$2002,4,FALSE),"")</f>
        <v/>
      </c>
      <c r="DJ116" t="str">
        <f>+IFERROR(VLOOKUP(DJ17,IN_Zugliste!$A$4:$D$2002,4,FALSE),"")</f>
        <v/>
      </c>
      <c r="DK116" t="str">
        <f>+IFERROR(VLOOKUP(DK17,IN_Zugliste!$A$4:$D$2002,4,FALSE),"")</f>
        <v/>
      </c>
      <c r="DL116" t="str">
        <f>+IFERROR(VLOOKUP(DL17,IN_Zugliste!$A$4:$D$2002,4,FALSE),"")</f>
        <v/>
      </c>
      <c r="DM116" t="str">
        <f>+IFERROR(VLOOKUP(DM17,IN_Zugliste!$A$4:$D$2002,4,FALSE),"")</f>
        <v/>
      </c>
      <c r="DN116" t="str">
        <f>+IFERROR(VLOOKUP(DN17,IN_Zugliste!$A$4:$D$2002,4,FALSE),"")</f>
        <v/>
      </c>
      <c r="DO116" t="str">
        <f>+IFERROR(VLOOKUP(DO17,IN_Zugliste!$A$4:$D$2002,4,FALSE),"")</f>
        <v/>
      </c>
      <c r="DP116" t="str">
        <f>+IFERROR(VLOOKUP(DP17,IN_Zugliste!$A$4:$D$2002,4,FALSE),"")</f>
        <v/>
      </c>
      <c r="DQ116" t="str">
        <f>+IFERROR(VLOOKUP(DQ17,IN_Zugliste!$A$4:$D$2002,4,FALSE),"")</f>
        <v/>
      </c>
      <c r="DR116" t="str">
        <f>+IFERROR(VLOOKUP(DR17,IN_Zugliste!$A$4:$D$2002,4,FALSE),"")</f>
        <v/>
      </c>
      <c r="DS116" t="str">
        <f>+IFERROR(VLOOKUP(DS17,IN_Zugliste!$A$4:$D$2002,4,FALSE),"")</f>
        <v/>
      </c>
      <c r="DT116" t="str">
        <f>+IFERROR(VLOOKUP(DT17,IN_Zugliste!$A$4:$D$2002,4,FALSE),"")</f>
        <v/>
      </c>
      <c r="DU116" t="str">
        <f>+IFERROR(VLOOKUP(DU17,IN_Zugliste!$A$4:$D$2002,4,FALSE),"")</f>
        <v/>
      </c>
      <c r="DV116" t="str">
        <f>+IFERROR(VLOOKUP(DV17,IN_Zugliste!$A$4:$D$2002,4,FALSE),"")</f>
        <v/>
      </c>
      <c r="DW116" t="str">
        <f>+IFERROR(VLOOKUP(DW17,IN_Zugliste!$A$4:$D$2002,4,FALSE),"")</f>
        <v/>
      </c>
      <c r="DX116" t="str">
        <f>+IFERROR(VLOOKUP(DX17,IN_Zugliste!$A$4:$D$2002,4,FALSE),"")</f>
        <v/>
      </c>
      <c r="DY116" t="str">
        <f>+IFERROR(VLOOKUP(DY17,IN_Zugliste!$A$4:$D$2002,4,FALSE),"")</f>
        <v/>
      </c>
      <c r="DZ116" t="str">
        <f>+IFERROR(VLOOKUP(DZ17,IN_Zugliste!$A$4:$D$2002,4,FALSE),"")</f>
        <v/>
      </c>
      <c r="EA116" t="str">
        <f>+IFERROR(VLOOKUP(EA17,IN_Zugliste!$A$4:$D$2002,4,FALSE),"")</f>
        <v/>
      </c>
      <c r="EB116" t="str">
        <f>+IFERROR(VLOOKUP(EB17,IN_Zugliste!$A$4:$D$2002,4,FALSE),"")</f>
        <v/>
      </c>
      <c r="EC116" t="str">
        <f>+IFERROR(VLOOKUP(EC17,IN_Zugliste!$A$4:$D$2002,4,FALSE),"")</f>
        <v/>
      </c>
      <c r="ED116" t="str">
        <f>+IFERROR(VLOOKUP(ED17,IN_Zugliste!$A$4:$D$2002,4,FALSE),"")</f>
        <v/>
      </c>
      <c r="EE116" t="str">
        <f>+IFERROR(VLOOKUP(EE17,IN_Zugliste!$A$4:$D$2002,4,FALSE),"")</f>
        <v/>
      </c>
      <c r="EF116" t="str">
        <f>+IFERROR(VLOOKUP(EF17,IN_Zugliste!$A$4:$D$2002,4,FALSE),"")</f>
        <v/>
      </c>
      <c r="EG116" t="str">
        <f>+IFERROR(VLOOKUP(EG17,IN_Zugliste!$A$4:$D$2002,4,FALSE),"")</f>
        <v/>
      </c>
      <c r="EH116" t="str">
        <f>+IFERROR(VLOOKUP(EH17,IN_Zugliste!$A$4:$D$2002,4,FALSE),"")</f>
        <v/>
      </c>
      <c r="EI116" t="str">
        <f>+IFERROR(VLOOKUP(EI17,IN_Zugliste!$A$4:$D$2002,4,FALSE),"")</f>
        <v/>
      </c>
      <c r="EJ116" t="str">
        <f>+IFERROR(VLOOKUP(EJ17,IN_Zugliste!$A$4:$D$2002,4,FALSE),"")</f>
        <v/>
      </c>
      <c r="EK116" t="str">
        <f>+IFERROR(VLOOKUP(EK17,IN_Zugliste!$A$4:$D$2002,4,FALSE),"")</f>
        <v/>
      </c>
      <c r="EL116" t="str">
        <f>+IFERROR(VLOOKUP(EL17,IN_Zugliste!$A$4:$D$2002,4,FALSE),"")</f>
        <v/>
      </c>
      <c r="EM116" t="str">
        <f>+IFERROR(VLOOKUP(EM17,IN_Zugliste!$A$4:$D$2002,4,FALSE),"")</f>
        <v/>
      </c>
      <c r="EN116" t="str">
        <f>+IFERROR(VLOOKUP(EN17,IN_Zugliste!$A$4:$D$2002,4,FALSE),"")</f>
        <v/>
      </c>
      <c r="EO116" t="str">
        <f>+IFERROR(VLOOKUP(EO17,IN_Zugliste!$A$4:$D$2002,4,FALSE),"")</f>
        <v/>
      </c>
      <c r="EP116" t="str">
        <f>+IFERROR(VLOOKUP(EP17,IN_Zugliste!$A$4:$D$2002,4,FALSE),"")</f>
        <v/>
      </c>
      <c r="EQ116" t="str">
        <f>+IFERROR(VLOOKUP(EQ17,IN_Zugliste!$A$4:$D$2002,4,FALSE),"")</f>
        <v/>
      </c>
      <c r="ER116" t="str">
        <f>+IFERROR(VLOOKUP(ER17,IN_Zugliste!$A$4:$D$2002,4,FALSE),"")</f>
        <v/>
      </c>
      <c r="ES116" t="str">
        <f>+IFERROR(VLOOKUP(ES17,IN_Zugliste!$A$4:$D$2002,4,FALSE),"")</f>
        <v/>
      </c>
      <c r="ET116" t="str">
        <f>+IFERROR(VLOOKUP(ET17,IN_Zugliste!$A$4:$D$2002,4,FALSE),"")</f>
        <v/>
      </c>
      <c r="EU116" t="str">
        <f>+IFERROR(VLOOKUP(EU17,IN_Zugliste!$A$4:$D$2002,4,FALSE),"")</f>
        <v/>
      </c>
      <c r="EV116" t="str">
        <f>+IFERROR(VLOOKUP(EV17,IN_Zugliste!$A$4:$D$2002,4,FALSE),"")</f>
        <v/>
      </c>
      <c r="EW116" t="str">
        <f>+IFERROR(VLOOKUP(EW17,IN_Zugliste!$A$4:$D$2002,4,FALSE),"")</f>
        <v/>
      </c>
      <c r="EX116" t="str">
        <f>+IFERROR(VLOOKUP(EX17,IN_Zugliste!$A$4:$D$2002,4,FALSE),"")</f>
        <v/>
      </c>
      <c r="EY116" t="str">
        <f>+IFERROR(VLOOKUP(EY17,IN_Zugliste!$A$4:$D$2002,4,FALSE),"")</f>
        <v/>
      </c>
      <c r="EZ116" t="str">
        <f>+IFERROR(VLOOKUP(EZ17,IN_Zugliste!$A$4:$D$2002,4,FALSE),"")</f>
        <v/>
      </c>
      <c r="FA116" t="str">
        <f>+IFERROR(VLOOKUP(FA17,IN_Zugliste!$A$4:$D$2002,4,FALSE),"")</f>
        <v/>
      </c>
      <c r="FB116" t="str">
        <f>+IFERROR(VLOOKUP(FB17,IN_Zugliste!$A$4:$D$2002,4,FALSE),"")</f>
        <v/>
      </c>
      <c r="FC116" t="str">
        <f>+IFERROR(VLOOKUP(FC17,IN_Zugliste!$A$4:$D$2002,4,FALSE),"")</f>
        <v/>
      </c>
      <c r="FD116" t="str">
        <f>+IFERROR(VLOOKUP(FD17,IN_Zugliste!$A$4:$D$2002,4,FALSE),"")</f>
        <v/>
      </c>
      <c r="FE116" t="str">
        <f>+IFERROR(VLOOKUP(FE17,IN_Zugliste!$A$4:$D$2002,4,FALSE),"")</f>
        <v/>
      </c>
      <c r="FF116" t="str">
        <f>+IFERROR(VLOOKUP(FF17,IN_Zugliste!$A$4:$D$2002,4,FALSE),"")</f>
        <v/>
      </c>
      <c r="FG116" t="str">
        <f>+IFERROR(VLOOKUP(FG17,IN_Zugliste!$A$4:$D$2002,4,FALSE),"")</f>
        <v/>
      </c>
      <c r="FH116" t="str">
        <f>+IFERROR(VLOOKUP(FH17,IN_Zugliste!$A$4:$D$2002,4,FALSE),"")</f>
        <v/>
      </c>
      <c r="FI116" t="str">
        <f>+IFERROR(VLOOKUP(FI17,IN_Zugliste!$A$4:$D$2002,4,FALSE),"")</f>
        <v/>
      </c>
      <c r="FJ116" t="str">
        <f>+IFERROR(VLOOKUP(FJ17,IN_Zugliste!$A$4:$D$2002,4,FALSE),"")</f>
        <v/>
      </c>
      <c r="FK116" t="str">
        <f>+IFERROR(VLOOKUP(FK17,IN_Zugliste!$A$4:$D$2002,4,FALSE),"")</f>
        <v/>
      </c>
      <c r="FL116" t="str">
        <f>+IFERROR(VLOOKUP(FL17,IN_Zugliste!$A$4:$D$2002,4,FALSE),"")</f>
        <v/>
      </c>
      <c r="FM116" t="str">
        <f>+IFERROR(VLOOKUP(FM17,IN_Zugliste!$A$4:$C$2002,4,FALSE),"")</f>
        <v/>
      </c>
      <c r="FN116" t="str">
        <f>+IFERROR(VLOOKUP(FN17,IN_Zugliste!$A$4:$C$2002,4,FALSE),"")</f>
        <v/>
      </c>
      <c r="FO116" t="str">
        <f>+IFERROR(VLOOKUP(FO17,IN_Zugliste!$A$4:$C$2002,4,FALSE),"")</f>
        <v/>
      </c>
      <c r="FP116" t="str">
        <f>+IFERROR(VLOOKUP(FP17,IN_Zugliste!$A$4:$C$2002,4,FALSE),"")</f>
        <v/>
      </c>
      <c r="FQ116" t="str">
        <f>+IFERROR(VLOOKUP(FQ17,IN_Zugliste!$A$4:$C$2002,4,FALSE),"")</f>
        <v/>
      </c>
      <c r="FR116" t="str">
        <f>+IFERROR(VLOOKUP(FR17,IN_Zugliste!$A$4:$C$2002,4,FALSE),"")</f>
        <v/>
      </c>
      <c r="FS116" t="str">
        <f>+IFERROR(VLOOKUP(FS17,IN_Zugliste!$A$4:$C$2002,4,FALSE),"")</f>
        <v/>
      </c>
      <c r="FT116" t="str">
        <f>+IFERROR(VLOOKUP(FT17,IN_Zugliste!$A$4:$C$2002,4,FALSE),"")</f>
        <v/>
      </c>
      <c r="FU116" t="str">
        <f>+IFERROR(VLOOKUP(FU17,IN_Zugliste!$A$4:$C$2002,4,FALSE),"")</f>
        <v/>
      </c>
      <c r="FV116" t="str">
        <f>+IFERROR(VLOOKUP(FV17,IN_Zugliste!$A$4:$C$2002,4,FALSE),"")</f>
        <v/>
      </c>
      <c r="FW116" t="str">
        <f>+IFERROR(VLOOKUP(FW17,IN_Zugliste!$A$4:$C$2002,4,FALSE),"")</f>
        <v/>
      </c>
      <c r="FX116" t="str">
        <f>+IFERROR(VLOOKUP(FX17,IN_Zugliste!$A$4:$C$2002,4,FALSE),"")</f>
        <v/>
      </c>
      <c r="FY116" t="str">
        <f>+IFERROR(VLOOKUP(FY17,IN_Zugliste!$A$4:$C$2002,4,FALSE),"")</f>
        <v/>
      </c>
      <c r="FZ116" t="str">
        <f>+IFERROR(VLOOKUP(FZ17,IN_Zugliste!$A$4:$C$2002,4,FALSE),"")</f>
        <v/>
      </c>
      <c r="GA116" t="str">
        <f>+IFERROR(VLOOKUP(GA17,IN_Zugliste!$A$4:$C$2002,4,FALSE),"")</f>
        <v/>
      </c>
      <c r="GB116" t="str">
        <f>+IFERROR(VLOOKUP(GB17,IN_Zugliste!$A$4:$C$2002,4,FALSE),"")</f>
        <v/>
      </c>
      <c r="GC116" t="str">
        <f>+IFERROR(VLOOKUP(GC17,IN_Zugliste!$A$4:$C$2002,4,FALSE),"")</f>
        <v/>
      </c>
      <c r="GD116" t="str">
        <f>+IFERROR(VLOOKUP(GD17,IN_Zugliste!$A$4:$C$2002,4,FALSE),"")</f>
        <v/>
      </c>
      <c r="GE116" t="str">
        <f>+IFERROR(VLOOKUP(GE17,IN_Zugliste!$A$4:$C$2002,4,FALSE),"")</f>
        <v/>
      </c>
      <c r="GF116" t="str">
        <f>+IFERROR(VLOOKUP(GF17,IN_Zugliste!$A$4:$C$2002,4,FALSE),"")</f>
        <v/>
      </c>
      <c r="GG116" t="str">
        <f>+IFERROR(VLOOKUP(GG17,IN_Zugliste!$A$4:$C$2002,4,FALSE),"")</f>
        <v/>
      </c>
      <c r="GH116" t="str">
        <f>+IFERROR(VLOOKUP(GH17,IN_Zugliste!$A$4:$C$2002,4,FALSE),"")</f>
        <v/>
      </c>
      <c r="GI116" t="str">
        <f>+IFERROR(VLOOKUP(GI17,IN_Zugliste!$A$4:$C$2002,4,FALSE),"")</f>
        <v/>
      </c>
      <c r="GJ116" t="str">
        <f>+IFERROR(VLOOKUP(GJ17,IN_Zugliste!$A$4:$C$2002,4,FALSE),"")</f>
        <v/>
      </c>
      <c r="GK116" t="str">
        <f>+IFERROR(VLOOKUP(GK17,IN_Zugliste!$A$4:$C$2002,4,FALSE),"")</f>
        <v/>
      </c>
      <c r="GL116" t="str">
        <f>+IFERROR(VLOOKUP(GL17,IN_Zugliste!$A$4:$C$2002,4,FALSE),"")</f>
        <v/>
      </c>
      <c r="GM116" t="str">
        <f>+IFERROR(VLOOKUP(GM17,IN_Zugliste!$A$4:$C$2002,4,FALSE),"")</f>
        <v/>
      </c>
      <c r="GN116" t="str">
        <f>+IFERROR(VLOOKUP(GN17,IN_Zugliste!$A$4:$C$2002,4,FALSE),"")</f>
        <v/>
      </c>
      <c r="GO116" t="str">
        <f>+IFERROR(VLOOKUP(GO17,IN_Zugliste!$A$4:$C$2002,4,FALSE),"")</f>
        <v/>
      </c>
      <c r="GP116" t="str">
        <f>+IFERROR(VLOOKUP(GP17,IN_Zugliste!$A$4:$C$2002,4,FALSE),"")</f>
        <v/>
      </c>
      <c r="GQ116" t="str">
        <f>+IFERROR(VLOOKUP(GQ17,IN_Zugliste!$A$4:$C$2002,4,FALSE),"")</f>
        <v/>
      </c>
      <c r="GR116" t="str">
        <f>+IFERROR(VLOOKUP(GR17,IN_Zugliste!$A$4:$C$2002,4,FALSE),"")</f>
        <v/>
      </c>
      <c r="GS116" t="str">
        <f>+IFERROR(VLOOKUP(GS17,IN_Zugliste!$A$4:$C$2002,4,FALSE),"")</f>
        <v/>
      </c>
      <c r="GT116" t="str">
        <f>+IFERROR(VLOOKUP(GT17,IN_Zugliste!$A$4:$C$2002,4,FALSE),"")</f>
        <v/>
      </c>
      <c r="GU116" t="str">
        <f>+IFERROR(VLOOKUP(GU17,IN_Zugliste!$A$4:$C$2002,4,FALSE),"")</f>
        <v/>
      </c>
      <c r="GV116" t="str">
        <f>+IFERROR(VLOOKUP(GV17,IN_Zugliste!$A$4:$C$2002,4,FALSE),"")</f>
        <v/>
      </c>
      <c r="GW116" t="str">
        <f>+IFERROR(VLOOKUP(GW17,IN_Zugliste!$A$4:$C$2002,4,FALSE),"")</f>
        <v/>
      </c>
      <c r="GX116" t="str">
        <f>+IFERROR(VLOOKUP(GX17,IN_Zugliste!$A$4:$C$2002,4,FALSE),"")</f>
        <v/>
      </c>
      <c r="GY116" t="str">
        <f>+IFERROR(VLOOKUP(GY17,IN_Zugliste!$A$4:$C$2002,4,FALSE),"")</f>
        <v/>
      </c>
      <c r="GZ116" t="str">
        <f>+IFERROR(VLOOKUP(GZ17,IN_Zugliste!$A$4:$C$2002,4,FALSE),"")</f>
        <v/>
      </c>
      <c r="HA116" t="str">
        <f>+IFERROR(VLOOKUP(HA17,IN_Zugliste!$A$4:$C$2002,4,FALSE),"")</f>
        <v/>
      </c>
      <c r="HB116" t="str">
        <f>+IFERROR(VLOOKUP(HB17,IN_Zugliste!$A$4:$C$2002,4,FALSE),"")</f>
        <v/>
      </c>
      <c r="HC116" t="str">
        <f>+IFERROR(VLOOKUP(HC17,IN_Zugliste!$A$4:$C$2002,4,FALSE),"")</f>
        <v/>
      </c>
      <c r="HD116" t="str">
        <f>+IFERROR(VLOOKUP(HD17,IN_Zugliste!$A$4:$C$2002,4,FALSE),"")</f>
        <v/>
      </c>
      <c r="HE116" t="str">
        <f>+IFERROR(VLOOKUP(HE17,IN_Zugliste!$A$4:$C$2002,4,FALSE),"")</f>
        <v/>
      </c>
      <c r="HF116" t="str">
        <f>+IFERROR(VLOOKUP(HF17,IN_Zugliste!$A$4:$C$2002,4,FALSE),"")</f>
        <v/>
      </c>
      <c r="HG116" t="str">
        <f>+IFERROR(VLOOKUP(HG17,IN_Zugliste!$A$4:$C$2002,4,FALSE),"")</f>
        <v/>
      </c>
      <c r="HH116" t="str">
        <f>+IFERROR(VLOOKUP(HH17,IN_Zugliste!$A$4:$C$2002,4,FALSE),"")</f>
        <v/>
      </c>
      <c r="HI116" t="str">
        <f>+IFERROR(VLOOKUP(HI17,IN_Zugliste!$A$4:$C$2002,4,FALSE),"")</f>
        <v/>
      </c>
      <c r="HJ116" t="str">
        <f>+IFERROR(VLOOKUP(HJ17,IN_Zugliste!$A$4:$C$2002,4,FALSE),"")</f>
        <v/>
      </c>
      <c r="HK116" t="str">
        <f>+IFERROR(VLOOKUP(HK17,IN_Zugliste!$A$4:$C$2002,4,FALSE),"")</f>
        <v/>
      </c>
      <c r="HL116" t="str">
        <f>+IFERROR(VLOOKUP(HL17,IN_Zugliste!$A$4:$C$2002,4,FALSE),"")</f>
        <v/>
      </c>
      <c r="HM116" t="str">
        <f>+IFERROR(VLOOKUP(HM17,IN_Zugliste!$A$4:$C$2002,4,FALSE),"")</f>
        <v/>
      </c>
      <c r="HN116" t="str">
        <f>+IFERROR(VLOOKUP(HN17,IN_Zugliste!$A$4:$C$2002,4,FALSE),"")</f>
        <v/>
      </c>
      <c r="HO116" t="str">
        <f>+IFERROR(VLOOKUP(HO17,IN_Zugliste!$A$4:$C$2002,4,FALSE),"")</f>
        <v/>
      </c>
      <c r="HP116" t="str">
        <f>+IFERROR(VLOOKUP(HP17,IN_Zugliste!$A$4:$C$2002,4,FALSE),"")</f>
        <v/>
      </c>
      <c r="HQ116" t="str">
        <f>+IFERROR(VLOOKUP(HQ17,IN_Zugliste!$A$4:$C$2002,4,FALSE),"")</f>
        <v/>
      </c>
      <c r="HR116" t="str">
        <f>+IFERROR(VLOOKUP(HR17,IN_Zugliste!$A$4:$C$2002,4,FALSE),"")</f>
        <v/>
      </c>
      <c r="HS116" t="str">
        <f>+IFERROR(VLOOKUP(HS17,IN_Zugliste!$A$4:$C$2002,4,FALSE),"")</f>
        <v/>
      </c>
      <c r="HT116" t="str">
        <f>+IFERROR(VLOOKUP(HT17,IN_Zugliste!$A$4:$C$2002,4,FALSE),"")</f>
        <v/>
      </c>
      <c r="HU116" t="str">
        <f>+IFERROR(VLOOKUP(HU17,IN_Zugliste!$A$4:$C$2002,4,FALSE),"")</f>
        <v/>
      </c>
      <c r="HV116" t="str">
        <f>+IFERROR(VLOOKUP(HV17,IN_Zugliste!$A$4:$C$2002,4,FALSE),"")</f>
        <v/>
      </c>
      <c r="HW116" t="str">
        <f>+IFERROR(VLOOKUP(HW17,IN_Zugliste!$A$4:$C$2002,4,FALSE),"")</f>
        <v/>
      </c>
      <c r="HX116" t="str">
        <f>+IFERROR(VLOOKUP(HX17,IN_Zugliste!$A$4:$C$2002,4,FALSE),"")</f>
        <v/>
      </c>
      <c r="HY116" t="str">
        <f>+IFERROR(VLOOKUP(HY17,IN_Zugliste!$A$4:$C$2002,4,FALSE),"")</f>
        <v/>
      </c>
      <c r="HZ116" t="str">
        <f>+IFERROR(VLOOKUP(HZ17,IN_Zugliste!$A$4:$C$2002,4,FALSE),"")</f>
        <v/>
      </c>
      <c r="IA116" t="str">
        <f>+IFERROR(VLOOKUP(IA17,IN_Zugliste!$A$4:$C$2002,4,FALSE),"")</f>
        <v/>
      </c>
      <c r="IB116" t="str">
        <f>+IFERROR(VLOOKUP(IB17,IN_Zugliste!$A$4:$C$2002,4,FALSE),"")</f>
        <v/>
      </c>
      <c r="IC116" t="str">
        <f>+IFERROR(VLOOKUP(IC17,IN_Zugliste!$A$4:$C$2002,4,FALSE),"")</f>
        <v/>
      </c>
      <c r="ID116" t="str">
        <f>+IFERROR(VLOOKUP(ID17,IN_Zugliste!$A$4:$C$2002,4,FALSE),"")</f>
        <v/>
      </c>
      <c r="IE116" t="str">
        <f>+IFERROR(VLOOKUP(IE17,IN_Zugliste!$A$4:$C$2002,4,FALSE),"")</f>
        <v/>
      </c>
      <c r="IF116" t="str">
        <f>+IFERROR(VLOOKUP(IF17,IN_Zugliste!$A$4:$C$2002,4,FALSE),"")</f>
        <v/>
      </c>
      <c r="IG116" t="str">
        <f>+IFERROR(VLOOKUP(IG17,IN_Zugliste!$A$4:$C$2002,4,FALSE),"")</f>
        <v/>
      </c>
      <c r="IH116" t="str">
        <f>+IFERROR(VLOOKUP(IH17,IN_Zugliste!$A$4:$C$2002,4,FALSE),"")</f>
        <v/>
      </c>
      <c r="II116" t="str">
        <f>+IFERROR(VLOOKUP(II17,IN_Zugliste!$A$4:$C$2002,4,FALSE),"")</f>
        <v/>
      </c>
      <c r="IJ116" t="str">
        <f>+IFERROR(VLOOKUP(IJ17,IN_Zugliste!$A$4:$C$2002,4,FALSE),"")</f>
        <v/>
      </c>
      <c r="IK116" t="str">
        <f>+IFERROR(VLOOKUP(IK17,IN_Zugliste!$A$4:$C$2002,4,FALSE),"")</f>
        <v/>
      </c>
      <c r="IL116" t="str">
        <f>+IFERROR(VLOOKUP(IL17,IN_Zugliste!$A$4:$C$2002,4,FALSE),"")</f>
        <v/>
      </c>
      <c r="IM116" t="str">
        <f>+IFERROR(VLOOKUP(IM17,IN_Zugliste!$A$4:$C$2002,4,FALSE),"")</f>
        <v/>
      </c>
      <c r="IN116" t="str">
        <f>+IFERROR(VLOOKUP(IN17,IN_Zugliste!$A$4:$C$2002,4,FALSE),"")</f>
        <v/>
      </c>
      <c r="IO116" t="str">
        <f>+IFERROR(VLOOKUP(IO17,IN_Zugliste!$A$4:$C$2002,4,FALSE),"")</f>
        <v/>
      </c>
      <c r="IP116" t="str">
        <f>+IFERROR(VLOOKUP(IP17,IN_Zugliste!$A$4:$C$2002,4,FALSE),"")</f>
        <v/>
      </c>
      <c r="IQ116" t="str">
        <f>+IFERROR(VLOOKUP(IQ17,IN_Zugliste!$A$4:$C$2002,4,FALSE),"")</f>
        <v/>
      </c>
      <c r="IR116" t="str">
        <f>+IFERROR(VLOOKUP(IR17,IN_Zugliste!$A$4:$C$2002,4,FALSE),"")</f>
        <v/>
      </c>
      <c r="IS116" t="str">
        <f>+IFERROR(VLOOKUP(IS17,IN_Zugliste!$A$4:$C$2002,4,FALSE),"")</f>
        <v/>
      </c>
      <c r="IT116" t="str">
        <f>+IFERROR(VLOOKUP(IT17,IN_Zugliste!$A$4:$C$2002,4,FALSE),"")</f>
        <v/>
      </c>
      <c r="IU116" t="str">
        <f>+IFERROR(VLOOKUP(IU17,IN_Zugliste!$A$4:$C$2002,4,FALSE),"")</f>
        <v/>
      </c>
      <c r="IV116" t="str">
        <f>+IFERROR(VLOOKUP(IV17,IN_Zugliste!$A$4:$C$2002,4,FALSE),"")</f>
        <v/>
      </c>
      <c r="IW116" t="str">
        <f>+IFERROR(VLOOKUP(IW17,IN_Zugliste!$A$4:$C$2002,4,FALSE),"")</f>
        <v/>
      </c>
      <c r="IX116" t="str">
        <f>+IFERROR(VLOOKUP(IX17,IN_Zugliste!$A$4:$C$2002,4,FALSE),"")</f>
        <v/>
      </c>
      <c r="IY116" t="str">
        <f>+IFERROR(VLOOKUP(IY17,IN_Zugliste!$A$4:$C$2002,4,FALSE),"")</f>
        <v/>
      </c>
      <c r="IZ116" t="str">
        <f>+IFERROR(VLOOKUP(IZ17,IN_Zugliste!$A$4:$C$2002,4,FALSE),"")</f>
        <v/>
      </c>
      <c r="JA116" t="str">
        <f>+IFERROR(VLOOKUP(JA17,IN_Zugliste!$A$4:$C$2002,4,FALSE),"")</f>
        <v/>
      </c>
      <c r="JB116" t="str">
        <f>+IFERROR(VLOOKUP(JB17,IN_Zugliste!$A$4:$C$2002,4,FALSE),"")</f>
        <v/>
      </c>
      <c r="JC116" t="str">
        <f>+IFERROR(VLOOKUP(JC17,IN_Zugliste!$A$4:$C$2002,4,FALSE),"")</f>
        <v/>
      </c>
      <c r="JD116" t="str">
        <f>+IFERROR(VLOOKUP(JD17,IN_Zugliste!$A$4:$C$2002,4,FALSE),"")</f>
        <v/>
      </c>
      <c r="JE116" t="str">
        <f>+IFERROR(VLOOKUP(JE17,IN_Zugliste!$A$4:$C$2002,4,FALSE),"")</f>
        <v/>
      </c>
      <c r="JF116" t="str">
        <f>+IFERROR(VLOOKUP(JF17,IN_Zugliste!$A$4:$C$2002,4,FALSE),"")</f>
        <v/>
      </c>
      <c r="JG116" t="str">
        <f>+IFERROR(VLOOKUP(JG17,IN_Zugliste!$A$4:$C$2002,4,FALSE),"")</f>
        <v/>
      </c>
      <c r="JH116" t="str">
        <f>+IFERROR(VLOOKUP(JH17,IN_Zugliste!$A$4:$C$2002,4,FALSE),"")</f>
        <v/>
      </c>
      <c r="JI116" t="str">
        <f>+IFERROR(VLOOKUP(JI17,IN_Zugliste!$A$4:$C$2002,4,FALSE),"")</f>
        <v/>
      </c>
      <c r="JJ116" t="str">
        <f>+IFERROR(VLOOKUP(JJ17,IN_Zugliste!$A$4:$C$2002,4,FALSE),"")</f>
        <v/>
      </c>
      <c r="JK116" t="str">
        <f>+IFERROR(VLOOKUP(JK17,IN_Zugliste!$A$4:$C$2002,4,FALSE),"")</f>
        <v/>
      </c>
      <c r="JL116" t="str">
        <f>+IFERROR(VLOOKUP(JL17,IN_Zugliste!$A$4:$C$2002,4,FALSE),"")</f>
        <v/>
      </c>
    </row>
    <row r="117" spans="1:272" x14ac:dyDescent="0.2">
      <c r="A117" t="str">
        <f>+IFERROR(VLOOKUP(A18,IN_Zugliste!$A$4:$D$2002,4,FALSE),"")</f>
        <v/>
      </c>
      <c r="B117" t="str">
        <f>+IFERROR(VLOOKUP(B18,IN_Zugliste!$A$4:$D$2002,4,FALSE),"")</f>
        <v/>
      </c>
      <c r="C117" t="str">
        <f>+IFERROR(VLOOKUP(C18,IN_Zugliste!$A$4:$D$2002,4,FALSE),"")</f>
        <v/>
      </c>
      <c r="D117" t="str">
        <f>+IFERROR(VLOOKUP(D18,IN_Zugliste!$A$4:$D$2002,4,FALSE),"")</f>
        <v/>
      </c>
      <c r="E117" t="str">
        <f>+IFERROR(VLOOKUP(E18,IN_Zugliste!$A$4:$D$2002,4,FALSE),"")</f>
        <v/>
      </c>
      <c r="F117" t="str">
        <f>+IFERROR(VLOOKUP(F18,IN_Zugliste!$A$4:$D$2002,4,FALSE),"")</f>
        <v/>
      </c>
      <c r="G117" t="str">
        <f>+IFERROR(VLOOKUP(G18,IN_Zugliste!$A$4:$D$2002,4,FALSE),"")</f>
        <v/>
      </c>
      <c r="H117" t="str">
        <f>+IFERROR(VLOOKUP(H18,IN_Zugliste!$A$4:$D$2002,4,FALSE),"")</f>
        <v/>
      </c>
      <c r="I117" t="str">
        <f>+IFERROR(VLOOKUP(I18,IN_Zugliste!$A$4:$D$2002,4,FALSE),"")</f>
        <v/>
      </c>
      <c r="J117" t="str">
        <f>+IFERROR(VLOOKUP(J18,IN_Zugliste!$A$4:$D$2002,4,FALSE),"")</f>
        <v/>
      </c>
      <c r="K117" t="str">
        <f>+IFERROR(VLOOKUP(K18,IN_Zugliste!$A$4:$D$2002,4,FALSE),"")</f>
        <v/>
      </c>
      <c r="L117" t="str">
        <f>+IFERROR(VLOOKUP(L18,IN_Zugliste!$A$4:$D$2002,4,FALSE),"")</f>
        <v/>
      </c>
      <c r="M117" t="str">
        <f>+IFERROR(VLOOKUP(M18,IN_Zugliste!$A$4:$D$2002,4,FALSE),"")</f>
        <v/>
      </c>
      <c r="N117" t="str">
        <f>+IFERROR(VLOOKUP(N18,IN_Zugliste!$A$4:$D$2002,4,FALSE),"")</f>
        <v/>
      </c>
      <c r="O117" t="str">
        <f>+IFERROR(VLOOKUP(O18,IN_Zugliste!$A$4:$D$2002,4,FALSE),"")</f>
        <v/>
      </c>
      <c r="P117" t="str">
        <f>+IFERROR(VLOOKUP(P18,IN_Zugliste!$A$4:$D$2002,4,FALSE),"")</f>
        <v/>
      </c>
      <c r="Q117" t="str">
        <f>+IFERROR(VLOOKUP(Q18,IN_Zugliste!$A$4:$D$2002,4,FALSE),"")</f>
        <v/>
      </c>
      <c r="R117" t="str">
        <f>+IFERROR(VLOOKUP(R18,IN_Zugliste!$A$4:$D$2002,4,FALSE),"")</f>
        <v/>
      </c>
      <c r="S117" t="str">
        <f>+IFERROR(VLOOKUP(S18,IN_Zugliste!$A$4:$D$2002,4,FALSE),"")</f>
        <v/>
      </c>
      <c r="T117" t="str">
        <f>+IFERROR(VLOOKUP(T18,IN_Zugliste!$A$4:$D$2002,4,FALSE),"")</f>
        <v/>
      </c>
      <c r="U117" t="str">
        <f>+IFERROR(VLOOKUP(U18,IN_Zugliste!$A$4:$D$2002,4,FALSE),"")</f>
        <v/>
      </c>
      <c r="V117" t="str">
        <f>+IFERROR(VLOOKUP(V18,IN_Zugliste!$A$4:$D$2002,4,FALSE),"")</f>
        <v/>
      </c>
      <c r="W117" t="str">
        <f>+IFERROR(VLOOKUP(W18,IN_Zugliste!$A$4:$D$2002,4,FALSE),"")</f>
        <v/>
      </c>
      <c r="X117" t="str">
        <f>+IFERROR(VLOOKUP(X18,IN_Zugliste!$A$4:$D$2002,4,FALSE),"")</f>
        <v/>
      </c>
      <c r="Y117" t="str">
        <f>+IFERROR(VLOOKUP(Y18,IN_Zugliste!$A$4:$D$2002,4,FALSE),"")</f>
        <v/>
      </c>
      <c r="Z117" t="str">
        <f>+IFERROR(VLOOKUP(Z18,IN_Zugliste!$A$4:$D$2002,4,FALSE),"")</f>
        <v/>
      </c>
      <c r="AA117" t="str">
        <f>+IFERROR(VLOOKUP(AA18,IN_Zugliste!$A$4:$D$2002,4,FALSE),"")</f>
        <v/>
      </c>
      <c r="AB117" t="str">
        <f>+IFERROR(VLOOKUP(AB18,IN_Zugliste!$A$4:$D$2002,4,FALSE),"")</f>
        <v/>
      </c>
      <c r="AC117" t="str">
        <f>+IFERROR(VLOOKUP(AC18,IN_Zugliste!$A$4:$D$2002,4,FALSE),"")</f>
        <v/>
      </c>
      <c r="AD117" t="str">
        <f>+IFERROR(VLOOKUP(AD18,IN_Zugliste!$A$4:$D$2002,4,FALSE),"")</f>
        <v/>
      </c>
      <c r="AE117" t="str">
        <f>+IFERROR(VLOOKUP(AE18,IN_Zugliste!$A$4:$D$2002,4,FALSE),"")</f>
        <v/>
      </c>
      <c r="AF117" t="str">
        <f>+IFERROR(VLOOKUP(AF18,IN_Zugliste!$A$4:$D$2002,4,FALSE),"")</f>
        <v/>
      </c>
      <c r="AG117" t="str">
        <f>+IFERROR(VLOOKUP(AG18,IN_Zugliste!$A$4:$D$2002,4,FALSE),"")</f>
        <v/>
      </c>
      <c r="AH117" t="str">
        <f>+IFERROR(VLOOKUP(AH18,IN_Zugliste!$A$4:$D$2002,4,FALSE),"")</f>
        <v/>
      </c>
      <c r="AI117" t="str">
        <f>+IFERROR(VLOOKUP(AI18,IN_Zugliste!$A$4:$D$2002,4,FALSE),"")</f>
        <v/>
      </c>
      <c r="AJ117" t="str">
        <f>+IFERROR(VLOOKUP(AJ18,IN_Zugliste!$A$4:$D$2002,4,FALSE),"")</f>
        <v/>
      </c>
      <c r="AK117" t="str">
        <f>+IFERROR(VLOOKUP(AK18,IN_Zugliste!$A$4:$D$2002,4,FALSE),"")</f>
        <v/>
      </c>
      <c r="AL117" t="str">
        <f>+IFERROR(VLOOKUP(AL18,IN_Zugliste!$A$4:$D$2002,4,FALSE),"")</f>
        <v/>
      </c>
      <c r="AM117" t="str">
        <f>+IFERROR(VLOOKUP(AM18,IN_Zugliste!$A$4:$D$2002,4,FALSE),"")</f>
        <v/>
      </c>
      <c r="AN117" t="str">
        <f>+IFERROR(VLOOKUP(AN18,IN_Zugliste!$A$4:$D$2002,4,FALSE),"")</f>
        <v/>
      </c>
      <c r="AO117" t="str">
        <f>+IFERROR(VLOOKUP(AO18,IN_Zugliste!$A$4:$D$2002,4,FALSE),"")</f>
        <v/>
      </c>
      <c r="AP117" t="str">
        <f>+IFERROR(VLOOKUP(AP18,IN_Zugliste!$A$4:$D$2002,4,FALSE),"")</f>
        <v/>
      </c>
      <c r="AQ117" t="str">
        <f>+IFERROR(VLOOKUP(AQ18,IN_Zugliste!$A$4:$D$2002,4,FALSE),"")</f>
        <v/>
      </c>
      <c r="AR117" t="str">
        <f>+IFERROR(VLOOKUP(AR18,IN_Zugliste!$A$4:$D$2002,4,FALSE),"")</f>
        <v/>
      </c>
      <c r="AS117" t="str">
        <f>+IFERROR(VLOOKUP(AS18,IN_Zugliste!$A$4:$D$2002,4,FALSE),"")</f>
        <v/>
      </c>
      <c r="AT117" t="str">
        <f>+IFERROR(VLOOKUP(AT18,IN_Zugliste!$A$4:$D$2002,4,FALSE),"")</f>
        <v/>
      </c>
      <c r="AU117" t="str">
        <f>+IFERROR(VLOOKUP(AU18,IN_Zugliste!$A$4:$D$2002,4,FALSE),"")</f>
        <v/>
      </c>
      <c r="AV117" t="str">
        <f>+IFERROR(VLOOKUP(AV18,IN_Zugliste!$A$4:$D$2002,4,FALSE),"")</f>
        <v/>
      </c>
      <c r="AW117" t="str">
        <f>+IFERROR(VLOOKUP(AW18,IN_Zugliste!$A$4:$D$2002,4,FALSE),"")</f>
        <v/>
      </c>
      <c r="AX117" t="str">
        <f>+IFERROR(VLOOKUP(AX18,IN_Zugliste!$A$4:$D$2002,4,FALSE),"")</f>
        <v/>
      </c>
      <c r="AY117" t="str">
        <f>+IFERROR(VLOOKUP(AY18,IN_Zugliste!$A$4:$D$2002,4,FALSE),"")</f>
        <v/>
      </c>
      <c r="AZ117" t="str">
        <f>+IFERROR(VLOOKUP(AZ18,IN_Zugliste!$A$4:$D$2002,4,FALSE),"")</f>
        <v/>
      </c>
      <c r="BA117" t="str">
        <f>+IFERROR(VLOOKUP(BA18,IN_Zugliste!$A$4:$D$2002,4,FALSE),"")</f>
        <v/>
      </c>
      <c r="BB117" t="str">
        <f>+IFERROR(VLOOKUP(BB18,IN_Zugliste!$A$4:$D$2002,4,FALSE),"")</f>
        <v/>
      </c>
      <c r="BC117" t="str">
        <f>+IFERROR(VLOOKUP(BC18,IN_Zugliste!$A$4:$D$2002,4,FALSE),"")</f>
        <v/>
      </c>
      <c r="BD117" t="str">
        <f>+IFERROR(VLOOKUP(BD18,IN_Zugliste!$A$4:$D$2002,4,FALSE),"")</f>
        <v/>
      </c>
      <c r="BE117" t="str">
        <f>+IFERROR(VLOOKUP(BE18,IN_Zugliste!$A$4:$D$2002,4,FALSE),"")</f>
        <v/>
      </c>
      <c r="BF117" t="str">
        <f>+IFERROR(VLOOKUP(BF18,IN_Zugliste!$A$4:$D$2002,4,FALSE),"")</f>
        <v/>
      </c>
      <c r="BG117" t="str">
        <f>+IFERROR(VLOOKUP(BG18,IN_Zugliste!$A$4:$D$2002,4,FALSE),"")</f>
        <v/>
      </c>
      <c r="BH117" t="str">
        <f>+IFERROR(VLOOKUP(BH18,IN_Zugliste!$A$4:$D$2002,4,FALSE),"")</f>
        <v/>
      </c>
      <c r="BI117" t="str">
        <f>+IFERROR(VLOOKUP(BI18,IN_Zugliste!$A$4:$D$2002,4,FALSE),"")</f>
        <v/>
      </c>
      <c r="BJ117" t="str">
        <f>+IFERROR(VLOOKUP(BJ18,IN_Zugliste!$A$4:$D$2002,4,FALSE),"")</f>
        <v/>
      </c>
      <c r="BK117" t="str">
        <f>+IFERROR(VLOOKUP(BK18,IN_Zugliste!$A$4:$D$2002,4,FALSE),"")</f>
        <v/>
      </c>
      <c r="BL117" t="str">
        <f>+IFERROR(VLOOKUP(BL18,IN_Zugliste!$A$4:$D$2002,4,FALSE),"")</f>
        <v/>
      </c>
      <c r="BM117" t="str">
        <f>+IFERROR(VLOOKUP(BM18,IN_Zugliste!$A$4:$D$2002,4,FALSE),"")</f>
        <v/>
      </c>
      <c r="BN117" t="str">
        <f>+IFERROR(VLOOKUP(BN18,IN_Zugliste!$A$4:$D$2002,4,FALSE),"")</f>
        <v/>
      </c>
      <c r="BO117" t="str">
        <f>+IFERROR(VLOOKUP(BO18,IN_Zugliste!$A$4:$D$2002,4,FALSE),"")</f>
        <v/>
      </c>
      <c r="BP117" t="str">
        <f>+IFERROR(VLOOKUP(BP18,IN_Zugliste!$A$4:$D$2002,4,FALSE),"")</f>
        <v/>
      </c>
      <c r="BQ117" t="str">
        <f>+IFERROR(VLOOKUP(BQ18,IN_Zugliste!$A$4:$D$2002,4,FALSE),"")</f>
        <v/>
      </c>
      <c r="BR117" t="str">
        <f>+IFERROR(VLOOKUP(BR18,IN_Zugliste!$A$4:$D$2002,4,FALSE),"")</f>
        <v/>
      </c>
      <c r="BS117" t="str">
        <f>+IFERROR(VLOOKUP(BS18,IN_Zugliste!$A$4:$D$2002,4,FALSE),"")</f>
        <v/>
      </c>
      <c r="BT117" t="str">
        <f>+IFERROR(VLOOKUP(BT18,IN_Zugliste!$A$4:$D$2002,4,FALSE),"")</f>
        <v/>
      </c>
      <c r="BU117" t="str">
        <f>+IFERROR(VLOOKUP(BU18,IN_Zugliste!$A$4:$D$2002,4,FALSE),"")</f>
        <v/>
      </c>
      <c r="BV117" t="str">
        <f>+IFERROR(VLOOKUP(BV18,IN_Zugliste!$A$4:$D$2002,4,FALSE),"")</f>
        <v/>
      </c>
      <c r="BW117" t="str">
        <f>+IFERROR(VLOOKUP(BW18,IN_Zugliste!$A$4:$D$2002,4,FALSE),"")</f>
        <v/>
      </c>
      <c r="BX117" t="str">
        <f>+IFERROR(VLOOKUP(BX18,IN_Zugliste!$A$4:$D$2002,4,FALSE),"")</f>
        <v/>
      </c>
      <c r="BY117" t="str">
        <f>+IFERROR(VLOOKUP(BY18,IN_Zugliste!$A$4:$D$2002,4,FALSE),"")</f>
        <v/>
      </c>
      <c r="BZ117" t="str">
        <f>+IFERROR(VLOOKUP(BZ18,IN_Zugliste!$A$4:$D$2002,4,FALSE),"")</f>
        <v/>
      </c>
      <c r="CA117" t="str">
        <f>+IFERROR(VLOOKUP(CA18,IN_Zugliste!$A$4:$D$2002,4,FALSE),"")</f>
        <v/>
      </c>
      <c r="CB117" t="str">
        <f>+IFERROR(VLOOKUP(CB18,IN_Zugliste!$A$4:$D$2002,4,FALSE),"")</f>
        <v/>
      </c>
      <c r="CC117" t="str">
        <f>+IFERROR(VLOOKUP(CC18,IN_Zugliste!$A$4:$D$2002,4,FALSE),"")</f>
        <v/>
      </c>
      <c r="CD117" t="str">
        <f>+IFERROR(VLOOKUP(CD18,IN_Zugliste!$A$4:$D$2002,4,FALSE),"")</f>
        <v/>
      </c>
      <c r="CE117" t="str">
        <f>+IFERROR(VLOOKUP(CE18,IN_Zugliste!$A$4:$D$2002,4,FALSE),"")</f>
        <v/>
      </c>
      <c r="CF117" t="str">
        <f>+IFERROR(VLOOKUP(CF18,IN_Zugliste!$A$4:$D$2002,4,FALSE),"")</f>
        <v/>
      </c>
      <c r="CG117" t="str">
        <f>+IFERROR(VLOOKUP(CG18,IN_Zugliste!$A$4:$D$2002,4,FALSE),"")</f>
        <v/>
      </c>
      <c r="CH117" t="str">
        <f>+IFERROR(VLOOKUP(CH18,IN_Zugliste!$A$4:$D$2002,4,FALSE),"")</f>
        <v/>
      </c>
      <c r="CI117" t="str">
        <f>+IFERROR(VLOOKUP(CI18,IN_Zugliste!$A$4:$D$2002,4,FALSE),"")</f>
        <v/>
      </c>
      <c r="CJ117" t="str">
        <f>+IFERROR(VLOOKUP(CJ18,IN_Zugliste!$A$4:$D$2002,4,FALSE),"")</f>
        <v/>
      </c>
      <c r="CK117" t="str">
        <f>+IFERROR(VLOOKUP(CK18,IN_Zugliste!$A$4:$D$2002,4,FALSE),"")</f>
        <v/>
      </c>
      <c r="CL117" t="str">
        <f>+IFERROR(VLOOKUP(CL18,IN_Zugliste!$A$4:$D$2002,4,FALSE),"")</f>
        <v/>
      </c>
      <c r="CM117" t="str">
        <f>+IFERROR(VLOOKUP(CM18,IN_Zugliste!$A$4:$D$2002,4,FALSE),"")</f>
        <v/>
      </c>
      <c r="CN117" t="str">
        <f>+IFERROR(VLOOKUP(CN18,IN_Zugliste!$A$4:$D$2002,4,FALSE),"")</f>
        <v/>
      </c>
      <c r="CO117" t="str">
        <f>+IFERROR(VLOOKUP(CO18,IN_Zugliste!$A$4:$D$2002,4,FALSE),"")</f>
        <v/>
      </c>
      <c r="CP117" t="str">
        <f>+IFERROR(VLOOKUP(CP18,IN_Zugliste!$A$4:$D$2002,4,FALSE),"")</f>
        <v/>
      </c>
      <c r="CQ117" t="str">
        <f>+IFERROR(VLOOKUP(CQ18,IN_Zugliste!$A$4:$D$2002,4,FALSE),"")</f>
        <v/>
      </c>
      <c r="CR117" t="str">
        <f>+IFERROR(VLOOKUP(CR18,IN_Zugliste!$A$4:$D$2002,4,FALSE),"")</f>
        <v/>
      </c>
      <c r="CS117" t="str">
        <f>+IFERROR(VLOOKUP(CS18,IN_Zugliste!$A$4:$D$2002,4,FALSE),"")</f>
        <v/>
      </c>
      <c r="CT117" t="str">
        <f>+IFERROR(VLOOKUP(CT18,IN_Zugliste!$A$4:$D$2002,4,FALSE),"")</f>
        <v/>
      </c>
      <c r="CU117" t="str">
        <f>+IFERROR(VLOOKUP(CU18,IN_Zugliste!$A$4:$D$2002,4,FALSE),"")</f>
        <v/>
      </c>
      <c r="CV117" t="str">
        <f>+IFERROR(VLOOKUP(CV18,IN_Zugliste!$A$4:$D$2002,4,FALSE),"")</f>
        <v/>
      </c>
      <c r="CW117" t="str">
        <f>+IFERROR(VLOOKUP(CW18,IN_Zugliste!$A$4:$D$2002,4,FALSE),"")</f>
        <v/>
      </c>
      <c r="CX117" t="str">
        <f>+IFERROR(VLOOKUP(CX18,IN_Zugliste!$A$4:$D$2002,4,FALSE),"")</f>
        <v/>
      </c>
      <c r="CY117" t="str">
        <f>+IFERROR(VLOOKUP(CY18,IN_Zugliste!$A$4:$D$2002,4,FALSE),"")</f>
        <v/>
      </c>
      <c r="CZ117" t="str">
        <f>+IFERROR(VLOOKUP(CZ18,IN_Zugliste!$A$4:$D$2002,4,FALSE),"")</f>
        <v/>
      </c>
      <c r="DA117" t="str">
        <f>+IFERROR(VLOOKUP(DA18,IN_Zugliste!$A$4:$D$2002,4,FALSE),"")</f>
        <v/>
      </c>
      <c r="DB117" t="str">
        <f>+IFERROR(VLOOKUP(DB18,IN_Zugliste!$A$4:$D$2002,4,FALSE),"")</f>
        <v/>
      </c>
      <c r="DC117" t="str">
        <f>+IFERROR(VLOOKUP(DC18,IN_Zugliste!$A$4:$D$2002,4,FALSE),"")</f>
        <v/>
      </c>
      <c r="DD117" t="str">
        <f>+IFERROR(VLOOKUP(DD18,IN_Zugliste!$A$4:$D$2002,4,FALSE),"")</f>
        <v/>
      </c>
      <c r="DE117" t="str">
        <f>+IFERROR(VLOOKUP(DE18,IN_Zugliste!$A$4:$D$2002,4,FALSE),"")</f>
        <v/>
      </c>
      <c r="DF117" t="str">
        <f>+IFERROR(VLOOKUP(DF18,IN_Zugliste!$A$4:$D$2002,4,FALSE),"")</f>
        <v/>
      </c>
      <c r="DG117" t="str">
        <f>+IFERROR(VLOOKUP(DG18,IN_Zugliste!$A$4:$D$2002,4,FALSE),"")</f>
        <v/>
      </c>
      <c r="DH117" t="str">
        <f>+IFERROR(VLOOKUP(DH18,IN_Zugliste!$A$4:$D$2002,4,FALSE),"")</f>
        <v/>
      </c>
      <c r="DI117" t="str">
        <f>+IFERROR(VLOOKUP(DI18,IN_Zugliste!$A$4:$D$2002,4,FALSE),"")</f>
        <v/>
      </c>
      <c r="DJ117" t="str">
        <f>+IFERROR(VLOOKUP(DJ18,IN_Zugliste!$A$4:$D$2002,4,FALSE),"")</f>
        <v/>
      </c>
      <c r="DK117" t="str">
        <f>+IFERROR(VLOOKUP(DK18,IN_Zugliste!$A$4:$D$2002,4,FALSE),"")</f>
        <v/>
      </c>
      <c r="DL117" t="str">
        <f>+IFERROR(VLOOKUP(DL18,IN_Zugliste!$A$4:$D$2002,4,FALSE),"")</f>
        <v/>
      </c>
      <c r="DM117" t="str">
        <f>+IFERROR(VLOOKUP(DM18,IN_Zugliste!$A$4:$D$2002,4,FALSE),"")</f>
        <v/>
      </c>
      <c r="DN117" t="str">
        <f>+IFERROR(VLOOKUP(DN18,IN_Zugliste!$A$4:$D$2002,4,FALSE),"")</f>
        <v/>
      </c>
      <c r="DO117" t="str">
        <f>+IFERROR(VLOOKUP(DO18,IN_Zugliste!$A$4:$D$2002,4,FALSE),"")</f>
        <v/>
      </c>
      <c r="DP117" t="str">
        <f>+IFERROR(VLOOKUP(DP18,IN_Zugliste!$A$4:$D$2002,4,FALSE),"")</f>
        <v/>
      </c>
      <c r="DQ117" t="str">
        <f>+IFERROR(VLOOKUP(DQ18,IN_Zugliste!$A$4:$D$2002,4,FALSE),"")</f>
        <v/>
      </c>
      <c r="DR117" t="str">
        <f>+IFERROR(VLOOKUP(DR18,IN_Zugliste!$A$4:$D$2002,4,FALSE),"")</f>
        <v/>
      </c>
      <c r="DS117" t="str">
        <f>+IFERROR(VLOOKUP(DS18,IN_Zugliste!$A$4:$D$2002,4,FALSE),"")</f>
        <v/>
      </c>
      <c r="DT117" t="str">
        <f>+IFERROR(VLOOKUP(DT18,IN_Zugliste!$A$4:$D$2002,4,FALSE),"")</f>
        <v/>
      </c>
      <c r="DU117" t="str">
        <f>+IFERROR(VLOOKUP(DU18,IN_Zugliste!$A$4:$D$2002,4,FALSE),"")</f>
        <v/>
      </c>
      <c r="DV117" t="str">
        <f>+IFERROR(VLOOKUP(DV18,IN_Zugliste!$A$4:$D$2002,4,FALSE),"")</f>
        <v/>
      </c>
      <c r="DW117" t="str">
        <f>+IFERROR(VLOOKUP(DW18,IN_Zugliste!$A$4:$D$2002,4,FALSE),"")</f>
        <v/>
      </c>
      <c r="DX117" t="str">
        <f>+IFERROR(VLOOKUP(DX18,IN_Zugliste!$A$4:$D$2002,4,FALSE),"")</f>
        <v/>
      </c>
      <c r="DY117" t="str">
        <f>+IFERROR(VLOOKUP(DY18,IN_Zugliste!$A$4:$D$2002,4,FALSE),"")</f>
        <v/>
      </c>
      <c r="DZ117" t="str">
        <f>+IFERROR(VLOOKUP(DZ18,IN_Zugliste!$A$4:$D$2002,4,FALSE),"")</f>
        <v/>
      </c>
      <c r="EA117" t="str">
        <f>+IFERROR(VLOOKUP(EA18,IN_Zugliste!$A$4:$D$2002,4,FALSE),"")</f>
        <v/>
      </c>
      <c r="EB117" t="str">
        <f>+IFERROR(VLOOKUP(EB18,IN_Zugliste!$A$4:$D$2002,4,FALSE),"")</f>
        <v/>
      </c>
      <c r="EC117" t="str">
        <f>+IFERROR(VLOOKUP(EC18,IN_Zugliste!$A$4:$D$2002,4,FALSE),"")</f>
        <v/>
      </c>
      <c r="ED117" t="str">
        <f>+IFERROR(VLOOKUP(ED18,IN_Zugliste!$A$4:$D$2002,4,FALSE),"")</f>
        <v/>
      </c>
      <c r="EE117" t="str">
        <f>+IFERROR(VLOOKUP(EE18,IN_Zugliste!$A$4:$D$2002,4,FALSE),"")</f>
        <v/>
      </c>
      <c r="EF117" t="str">
        <f>+IFERROR(VLOOKUP(EF18,IN_Zugliste!$A$4:$D$2002,4,FALSE),"")</f>
        <v/>
      </c>
      <c r="EG117" t="str">
        <f>+IFERROR(VLOOKUP(EG18,IN_Zugliste!$A$4:$D$2002,4,FALSE),"")</f>
        <v/>
      </c>
      <c r="EH117" t="str">
        <f>+IFERROR(VLOOKUP(EH18,IN_Zugliste!$A$4:$D$2002,4,FALSE),"")</f>
        <v/>
      </c>
      <c r="EI117" t="str">
        <f>+IFERROR(VLOOKUP(EI18,IN_Zugliste!$A$4:$D$2002,4,FALSE),"")</f>
        <v/>
      </c>
      <c r="EJ117" t="str">
        <f>+IFERROR(VLOOKUP(EJ18,IN_Zugliste!$A$4:$D$2002,4,FALSE),"")</f>
        <v/>
      </c>
      <c r="EK117" t="str">
        <f>+IFERROR(VLOOKUP(EK18,IN_Zugliste!$A$4:$D$2002,4,FALSE),"")</f>
        <v/>
      </c>
      <c r="EL117" t="str">
        <f>+IFERROR(VLOOKUP(EL18,IN_Zugliste!$A$4:$D$2002,4,FALSE),"")</f>
        <v/>
      </c>
      <c r="EM117" t="str">
        <f>+IFERROR(VLOOKUP(EM18,IN_Zugliste!$A$4:$D$2002,4,FALSE),"")</f>
        <v/>
      </c>
      <c r="EN117" t="str">
        <f>+IFERROR(VLOOKUP(EN18,IN_Zugliste!$A$4:$D$2002,4,FALSE),"")</f>
        <v/>
      </c>
      <c r="EO117" t="str">
        <f>+IFERROR(VLOOKUP(EO18,IN_Zugliste!$A$4:$D$2002,4,FALSE),"")</f>
        <v/>
      </c>
      <c r="EP117" t="str">
        <f>+IFERROR(VLOOKUP(EP18,IN_Zugliste!$A$4:$D$2002,4,FALSE),"")</f>
        <v/>
      </c>
      <c r="EQ117" t="str">
        <f>+IFERROR(VLOOKUP(EQ18,IN_Zugliste!$A$4:$D$2002,4,FALSE),"")</f>
        <v/>
      </c>
      <c r="ER117" t="str">
        <f>+IFERROR(VLOOKUP(ER18,IN_Zugliste!$A$4:$D$2002,4,FALSE),"")</f>
        <v/>
      </c>
      <c r="ES117" t="str">
        <f>+IFERROR(VLOOKUP(ES18,IN_Zugliste!$A$4:$D$2002,4,FALSE),"")</f>
        <v/>
      </c>
      <c r="ET117" t="str">
        <f>+IFERROR(VLOOKUP(ET18,IN_Zugliste!$A$4:$D$2002,4,FALSE),"")</f>
        <v/>
      </c>
      <c r="EU117" t="str">
        <f>+IFERROR(VLOOKUP(EU18,IN_Zugliste!$A$4:$D$2002,4,FALSE),"")</f>
        <v/>
      </c>
      <c r="EV117" t="str">
        <f>+IFERROR(VLOOKUP(EV18,IN_Zugliste!$A$4:$D$2002,4,FALSE),"")</f>
        <v/>
      </c>
      <c r="EW117" t="str">
        <f>+IFERROR(VLOOKUP(EW18,IN_Zugliste!$A$4:$D$2002,4,FALSE),"")</f>
        <v/>
      </c>
      <c r="EX117" t="str">
        <f>+IFERROR(VLOOKUP(EX18,IN_Zugliste!$A$4:$D$2002,4,FALSE),"")</f>
        <v/>
      </c>
      <c r="EY117" t="str">
        <f>+IFERROR(VLOOKUP(EY18,IN_Zugliste!$A$4:$D$2002,4,FALSE),"")</f>
        <v/>
      </c>
      <c r="EZ117" t="str">
        <f>+IFERROR(VLOOKUP(EZ18,IN_Zugliste!$A$4:$D$2002,4,FALSE),"")</f>
        <v/>
      </c>
      <c r="FA117" t="str">
        <f>+IFERROR(VLOOKUP(FA18,IN_Zugliste!$A$4:$D$2002,4,FALSE),"")</f>
        <v/>
      </c>
      <c r="FB117" t="str">
        <f>+IFERROR(VLOOKUP(FB18,IN_Zugliste!$A$4:$D$2002,4,FALSE),"")</f>
        <v/>
      </c>
      <c r="FC117" t="str">
        <f>+IFERROR(VLOOKUP(FC18,IN_Zugliste!$A$4:$D$2002,4,FALSE),"")</f>
        <v/>
      </c>
      <c r="FD117" t="str">
        <f>+IFERROR(VLOOKUP(FD18,IN_Zugliste!$A$4:$D$2002,4,FALSE),"")</f>
        <v/>
      </c>
      <c r="FE117" t="str">
        <f>+IFERROR(VLOOKUP(FE18,IN_Zugliste!$A$4:$D$2002,4,FALSE),"")</f>
        <v/>
      </c>
      <c r="FF117" t="str">
        <f>+IFERROR(VLOOKUP(FF18,IN_Zugliste!$A$4:$D$2002,4,FALSE),"")</f>
        <v/>
      </c>
      <c r="FG117" t="str">
        <f>+IFERROR(VLOOKUP(FG18,IN_Zugliste!$A$4:$D$2002,4,FALSE),"")</f>
        <v/>
      </c>
      <c r="FH117" t="str">
        <f>+IFERROR(VLOOKUP(FH18,IN_Zugliste!$A$4:$D$2002,4,FALSE),"")</f>
        <v/>
      </c>
      <c r="FI117" t="str">
        <f>+IFERROR(VLOOKUP(FI18,IN_Zugliste!$A$4:$D$2002,4,FALSE),"")</f>
        <v/>
      </c>
      <c r="FJ117" t="str">
        <f>+IFERROR(VLOOKUP(FJ18,IN_Zugliste!$A$4:$D$2002,4,FALSE),"")</f>
        <v/>
      </c>
      <c r="FK117" t="str">
        <f>+IFERROR(VLOOKUP(FK18,IN_Zugliste!$A$4:$D$2002,4,FALSE),"")</f>
        <v/>
      </c>
      <c r="FL117" t="str">
        <f>+IFERROR(VLOOKUP(FL18,IN_Zugliste!$A$4:$D$2002,4,FALSE),"")</f>
        <v/>
      </c>
      <c r="FM117" t="str">
        <f>+IFERROR(VLOOKUP(FM18,IN_Zugliste!$A$4:$C$2002,4,FALSE),"")</f>
        <v/>
      </c>
      <c r="FN117" t="str">
        <f>+IFERROR(VLOOKUP(FN18,IN_Zugliste!$A$4:$C$2002,4,FALSE),"")</f>
        <v/>
      </c>
      <c r="FO117" t="str">
        <f>+IFERROR(VLOOKUP(FO18,IN_Zugliste!$A$4:$C$2002,4,FALSE),"")</f>
        <v/>
      </c>
      <c r="FP117" t="str">
        <f>+IFERROR(VLOOKUP(FP18,IN_Zugliste!$A$4:$C$2002,4,FALSE),"")</f>
        <v/>
      </c>
      <c r="FQ117" t="str">
        <f>+IFERROR(VLOOKUP(FQ18,IN_Zugliste!$A$4:$C$2002,4,FALSE),"")</f>
        <v/>
      </c>
      <c r="FR117" t="str">
        <f>+IFERROR(VLOOKUP(FR18,IN_Zugliste!$A$4:$C$2002,4,FALSE),"")</f>
        <v/>
      </c>
      <c r="FS117" t="str">
        <f>+IFERROR(VLOOKUP(FS18,IN_Zugliste!$A$4:$C$2002,4,FALSE),"")</f>
        <v/>
      </c>
      <c r="FT117" t="str">
        <f>+IFERROR(VLOOKUP(FT18,IN_Zugliste!$A$4:$C$2002,4,FALSE),"")</f>
        <v/>
      </c>
      <c r="FU117" t="str">
        <f>+IFERROR(VLOOKUP(FU18,IN_Zugliste!$A$4:$C$2002,4,FALSE),"")</f>
        <v/>
      </c>
      <c r="FV117" t="str">
        <f>+IFERROR(VLOOKUP(FV18,IN_Zugliste!$A$4:$C$2002,4,FALSE),"")</f>
        <v/>
      </c>
      <c r="FW117" t="str">
        <f>+IFERROR(VLOOKUP(FW18,IN_Zugliste!$A$4:$C$2002,4,FALSE),"")</f>
        <v/>
      </c>
      <c r="FX117" t="str">
        <f>+IFERROR(VLOOKUP(FX18,IN_Zugliste!$A$4:$C$2002,4,FALSE),"")</f>
        <v/>
      </c>
      <c r="FY117" t="str">
        <f>+IFERROR(VLOOKUP(FY18,IN_Zugliste!$A$4:$C$2002,4,FALSE),"")</f>
        <v/>
      </c>
      <c r="FZ117" t="str">
        <f>+IFERROR(VLOOKUP(FZ18,IN_Zugliste!$A$4:$C$2002,4,FALSE),"")</f>
        <v/>
      </c>
      <c r="GA117" t="str">
        <f>+IFERROR(VLOOKUP(GA18,IN_Zugliste!$A$4:$C$2002,4,FALSE),"")</f>
        <v/>
      </c>
      <c r="GB117" t="str">
        <f>+IFERROR(VLOOKUP(GB18,IN_Zugliste!$A$4:$C$2002,4,FALSE),"")</f>
        <v/>
      </c>
      <c r="GC117" t="str">
        <f>+IFERROR(VLOOKUP(GC18,IN_Zugliste!$A$4:$C$2002,4,FALSE),"")</f>
        <v/>
      </c>
      <c r="GD117" t="str">
        <f>+IFERROR(VLOOKUP(GD18,IN_Zugliste!$A$4:$C$2002,4,FALSE),"")</f>
        <v/>
      </c>
      <c r="GE117" t="str">
        <f>+IFERROR(VLOOKUP(GE18,IN_Zugliste!$A$4:$C$2002,4,FALSE),"")</f>
        <v/>
      </c>
      <c r="GF117" t="str">
        <f>+IFERROR(VLOOKUP(GF18,IN_Zugliste!$A$4:$C$2002,4,FALSE),"")</f>
        <v/>
      </c>
      <c r="GG117" t="str">
        <f>+IFERROR(VLOOKUP(GG18,IN_Zugliste!$A$4:$C$2002,4,FALSE),"")</f>
        <v/>
      </c>
      <c r="GH117" t="str">
        <f>+IFERROR(VLOOKUP(GH18,IN_Zugliste!$A$4:$C$2002,4,FALSE),"")</f>
        <v/>
      </c>
      <c r="GI117" t="str">
        <f>+IFERROR(VLOOKUP(GI18,IN_Zugliste!$A$4:$C$2002,4,FALSE),"")</f>
        <v/>
      </c>
      <c r="GJ117" t="str">
        <f>+IFERROR(VLOOKUP(GJ18,IN_Zugliste!$A$4:$C$2002,4,FALSE),"")</f>
        <v/>
      </c>
      <c r="GK117" t="str">
        <f>+IFERROR(VLOOKUP(GK18,IN_Zugliste!$A$4:$C$2002,4,FALSE),"")</f>
        <v/>
      </c>
      <c r="GL117" t="str">
        <f>+IFERROR(VLOOKUP(GL18,IN_Zugliste!$A$4:$C$2002,4,FALSE),"")</f>
        <v/>
      </c>
      <c r="GM117" t="str">
        <f>+IFERROR(VLOOKUP(GM18,IN_Zugliste!$A$4:$C$2002,4,FALSE),"")</f>
        <v/>
      </c>
      <c r="GN117" t="str">
        <f>+IFERROR(VLOOKUP(GN18,IN_Zugliste!$A$4:$C$2002,4,FALSE),"")</f>
        <v/>
      </c>
      <c r="GO117" t="str">
        <f>+IFERROR(VLOOKUP(GO18,IN_Zugliste!$A$4:$C$2002,4,FALSE),"")</f>
        <v/>
      </c>
      <c r="GP117" t="str">
        <f>+IFERROR(VLOOKUP(GP18,IN_Zugliste!$A$4:$C$2002,4,FALSE),"")</f>
        <v/>
      </c>
      <c r="GQ117" t="str">
        <f>+IFERROR(VLOOKUP(GQ18,IN_Zugliste!$A$4:$C$2002,4,FALSE),"")</f>
        <v/>
      </c>
      <c r="GR117" t="str">
        <f>+IFERROR(VLOOKUP(GR18,IN_Zugliste!$A$4:$C$2002,4,FALSE),"")</f>
        <v/>
      </c>
      <c r="GS117" t="str">
        <f>+IFERROR(VLOOKUP(GS18,IN_Zugliste!$A$4:$C$2002,4,FALSE),"")</f>
        <v/>
      </c>
      <c r="GT117" t="str">
        <f>+IFERROR(VLOOKUP(GT18,IN_Zugliste!$A$4:$C$2002,4,FALSE),"")</f>
        <v/>
      </c>
      <c r="GU117" t="str">
        <f>+IFERROR(VLOOKUP(GU18,IN_Zugliste!$A$4:$C$2002,4,FALSE),"")</f>
        <v/>
      </c>
      <c r="GV117" t="str">
        <f>+IFERROR(VLOOKUP(GV18,IN_Zugliste!$A$4:$C$2002,4,FALSE),"")</f>
        <v/>
      </c>
      <c r="GW117" t="str">
        <f>+IFERROR(VLOOKUP(GW18,IN_Zugliste!$A$4:$C$2002,4,FALSE),"")</f>
        <v/>
      </c>
      <c r="GX117" t="str">
        <f>+IFERROR(VLOOKUP(GX18,IN_Zugliste!$A$4:$C$2002,4,FALSE),"")</f>
        <v/>
      </c>
      <c r="GY117" t="str">
        <f>+IFERROR(VLOOKUP(GY18,IN_Zugliste!$A$4:$C$2002,4,FALSE),"")</f>
        <v/>
      </c>
      <c r="GZ117" t="str">
        <f>+IFERROR(VLOOKUP(GZ18,IN_Zugliste!$A$4:$C$2002,4,FALSE),"")</f>
        <v/>
      </c>
      <c r="HA117" t="str">
        <f>+IFERROR(VLOOKUP(HA18,IN_Zugliste!$A$4:$C$2002,4,FALSE),"")</f>
        <v/>
      </c>
      <c r="HB117" t="str">
        <f>+IFERROR(VLOOKUP(HB18,IN_Zugliste!$A$4:$C$2002,4,FALSE),"")</f>
        <v/>
      </c>
      <c r="HC117" t="str">
        <f>+IFERROR(VLOOKUP(HC18,IN_Zugliste!$A$4:$C$2002,4,FALSE),"")</f>
        <v/>
      </c>
      <c r="HD117" t="str">
        <f>+IFERROR(VLOOKUP(HD18,IN_Zugliste!$A$4:$C$2002,4,FALSE),"")</f>
        <v/>
      </c>
      <c r="HE117" t="str">
        <f>+IFERROR(VLOOKUP(HE18,IN_Zugliste!$A$4:$C$2002,4,FALSE),"")</f>
        <v/>
      </c>
      <c r="HF117" t="str">
        <f>+IFERROR(VLOOKUP(HF18,IN_Zugliste!$A$4:$C$2002,4,FALSE),"")</f>
        <v/>
      </c>
      <c r="HG117" t="str">
        <f>+IFERROR(VLOOKUP(HG18,IN_Zugliste!$A$4:$C$2002,4,FALSE),"")</f>
        <v/>
      </c>
      <c r="HH117" t="str">
        <f>+IFERROR(VLOOKUP(HH18,IN_Zugliste!$A$4:$C$2002,4,FALSE),"")</f>
        <v/>
      </c>
      <c r="HI117" t="str">
        <f>+IFERROR(VLOOKUP(HI18,IN_Zugliste!$A$4:$C$2002,4,FALSE),"")</f>
        <v/>
      </c>
      <c r="HJ117" t="str">
        <f>+IFERROR(VLOOKUP(HJ18,IN_Zugliste!$A$4:$C$2002,4,FALSE),"")</f>
        <v/>
      </c>
      <c r="HK117" t="str">
        <f>+IFERROR(VLOOKUP(HK18,IN_Zugliste!$A$4:$C$2002,4,FALSE),"")</f>
        <v/>
      </c>
      <c r="HL117" t="str">
        <f>+IFERROR(VLOOKUP(HL18,IN_Zugliste!$A$4:$C$2002,4,FALSE),"")</f>
        <v/>
      </c>
      <c r="HM117" t="str">
        <f>+IFERROR(VLOOKUP(HM18,IN_Zugliste!$A$4:$C$2002,4,FALSE),"")</f>
        <v/>
      </c>
      <c r="HN117" t="str">
        <f>+IFERROR(VLOOKUP(HN18,IN_Zugliste!$A$4:$C$2002,4,FALSE),"")</f>
        <v/>
      </c>
      <c r="HO117" t="str">
        <f>+IFERROR(VLOOKUP(HO18,IN_Zugliste!$A$4:$C$2002,4,FALSE),"")</f>
        <v/>
      </c>
      <c r="HP117" t="str">
        <f>+IFERROR(VLOOKUP(HP18,IN_Zugliste!$A$4:$C$2002,4,FALSE),"")</f>
        <v/>
      </c>
      <c r="HQ117" t="str">
        <f>+IFERROR(VLOOKUP(HQ18,IN_Zugliste!$A$4:$C$2002,4,FALSE),"")</f>
        <v/>
      </c>
      <c r="HR117" t="str">
        <f>+IFERROR(VLOOKUP(HR18,IN_Zugliste!$A$4:$C$2002,4,FALSE),"")</f>
        <v/>
      </c>
      <c r="HS117" t="str">
        <f>+IFERROR(VLOOKUP(HS18,IN_Zugliste!$A$4:$C$2002,4,FALSE),"")</f>
        <v/>
      </c>
      <c r="HT117" t="str">
        <f>+IFERROR(VLOOKUP(HT18,IN_Zugliste!$A$4:$C$2002,4,FALSE),"")</f>
        <v/>
      </c>
      <c r="HU117" t="str">
        <f>+IFERROR(VLOOKUP(HU18,IN_Zugliste!$A$4:$C$2002,4,FALSE),"")</f>
        <v/>
      </c>
      <c r="HV117" t="str">
        <f>+IFERROR(VLOOKUP(HV18,IN_Zugliste!$A$4:$C$2002,4,FALSE),"")</f>
        <v/>
      </c>
      <c r="HW117" t="str">
        <f>+IFERROR(VLOOKUP(HW18,IN_Zugliste!$A$4:$C$2002,4,FALSE),"")</f>
        <v/>
      </c>
      <c r="HX117" t="str">
        <f>+IFERROR(VLOOKUP(HX18,IN_Zugliste!$A$4:$C$2002,4,FALSE),"")</f>
        <v/>
      </c>
      <c r="HY117" t="str">
        <f>+IFERROR(VLOOKUP(HY18,IN_Zugliste!$A$4:$C$2002,4,FALSE),"")</f>
        <v/>
      </c>
      <c r="HZ117" t="str">
        <f>+IFERROR(VLOOKUP(HZ18,IN_Zugliste!$A$4:$C$2002,4,FALSE),"")</f>
        <v/>
      </c>
      <c r="IA117" t="str">
        <f>+IFERROR(VLOOKUP(IA18,IN_Zugliste!$A$4:$C$2002,4,FALSE),"")</f>
        <v/>
      </c>
      <c r="IB117" t="str">
        <f>+IFERROR(VLOOKUP(IB18,IN_Zugliste!$A$4:$C$2002,4,FALSE),"")</f>
        <v/>
      </c>
      <c r="IC117" t="str">
        <f>+IFERROR(VLOOKUP(IC18,IN_Zugliste!$A$4:$C$2002,4,FALSE),"")</f>
        <v/>
      </c>
      <c r="ID117" t="str">
        <f>+IFERROR(VLOOKUP(ID18,IN_Zugliste!$A$4:$C$2002,4,FALSE),"")</f>
        <v/>
      </c>
      <c r="IE117" t="str">
        <f>+IFERROR(VLOOKUP(IE18,IN_Zugliste!$A$4:$C$2002,4,FALSE),"")</f>
        <v/>
      </c>
      <c r="IF117" t="str">
        <f>+IFERROR(VLOOKUP(IF18,IN_Zugliste!$A$4:$C$2002,4,FALSE),"")</f>
        <v/>
      </c>
      <c r="IG117" t="str">
        <f>+IFERROR(VLOOKUP(IG18,IN_Zugliste!$A$4:$C$2002,4,FALSE),"")</f>
        <v/>
      </c>
      <c r="IH117" t="str">
        <f>+IFERROR(VLOOKUP(IH18,IN_Zugliste!$A$4:$C$2002,4,FALSE),"")</f>
        <v/>
      </c>
      <c r="II117" t="str">
        <f>+IFERROR(VLOOKUP(II18,IN_Zugliste!$A$4:$C$2002,4,FALSE),"")</f>
        <v/>
      </c>
      <c r="IJ117" t="str">
        <f>+IFERROR(VLOOKUP(IJ18,IN_Zugliste!$A$4:$C$2002,4,FALSE),"")</f>
        <v/>
      </c>
      <c r="IK117" t="str">
        <f>+IFERROR(VLOOKUP(IK18,IN_Zugliste!$A$4:$C$2002,4,FALSE),"")</f>
        <v/>
      </c>
      <c r="IL117" t="str">
        <f>+IFERROR(VLOOKUP(IL18,IN_Zugliste!$A$4:$C$2002,4,FALSE),"")</f>
        <v/>
      </c>
      <c r="IM117" t="str">
        <f>+IFERROR(VLOOKUP(IM18,IN_Zugliste!$A$4:$C$2002,4,FALSE),"")</f>
        <v/>
      </c>
      <c r="IN117" t="str">
        <f>+IFERROR(VLOOKUP(IN18,IN_Zugliste!$A$4:$C$2002,4,FALSE),"")</f>
        <v/>
      </c>
      <c r="IO117" t="str">
        <f>+IFERROR(VLOOKUP(IO18,IN_Zugliste!$A$4:$C$2002,4,FALSE),"")</f>
        <v/>
      </c>
      <c r="IP117" t="str">
        <f>+IFERROR(VLOOKUP(IP18,IN_Zugliste!$A$4:$C$2002,4,FALSE),"")</f>
        <v/>
      </c>
      <c r="IQ117" t="str">
        <f>+IFERROR(VLOOKUP(IQ18,IN_Zugliste!$A$4:$C$2002,4,FALSE),"")</f>
        <v/>
      </c>
      <c r="IR117" t="str">
        <f>+IFERROR(VLOOKUP(IR18,IN_Zugliste!$A$4:$C$2002,4,FALSE),"")</f>
        <v/>
      </c>
      <c r="IS117" t="str">
        <f>+IFERROR(VLOOKUP(IS18,IN_Zugliste!$A$4:$C$2002,4,FALSE),"")</f>
        <v/>
      </c>
      <c r="IT117" t="str">
        <f>+IFERROR(VLOOKUP(IT18,IN_Zugliste!$A$4:$C$2002,4,FALSE),"")</f>
        <v/>
      </c>
      <c r="IU117" t="str">
        <f>+IFERROR(VLOOKUP(IU18,IN_Zugliste!$A$4:$C$2002,4,FALSE),"")</f>
        <v/>
      </c>
      <c r="IV117" t="str">
        <f>+IFERROR(VLOOKUP(IV18,IN_Zugliste!$A$4:$C$2002,4,FALSE),"")</f>
        <v/>
      </c>
      <c r="IW117" t="str">
        <f>+IFERROR(VLOOKUP(IW18,IN_Zugliste!$A$4:$C$2002,4,FALSE),"")</f>
        <v/>
      </c>
      <c r="IX117" t="str">
        <f>+IFERROR(VLOOKUP(IX18,IN_Zugliste!$A$4:$C$2002,4,FALSE),"")</f>
        <v/>
      </c>
      <c r="IY117" t="str">
        <f>+IFERROR(VLOOKUP(IY18,IN_Zugliste!$A$4:$C$2002,4,FALSE),"")</f>
        <v/>
      </c>
      <c r="IZ117" t="str">
        <f>+IFERROR(VLOOKUP(IZ18,IN_Zugliste!$A$4:$C$2002,4,FALSE),"")</f>
        <v/>
      </c>
      <c r="JA117" t="str">
        <f>+IFERROR(VLOOKUP(JA18,IN_Zugliste!$A$4:$C$2002,4,FALSE),"")</f>
        <v/>
      </c>
      <c r="JB117" t="str">
        <f>+IFERROR(VLOOKUP(JB18,IN_Zugliste!$A$4:$C$2002,4,FALSE),"")</f>
        <v/>
      </c>
      <c r="JC117" t="str">
        <f>+IFERROR(VLOOKUP(JC18,IN_Zugliste!$A$4:$C$2002,4,FALSE),"")</f>
        <v/>
      </c>
      <c r="JD117" t="str">
        <f>+IFERROR(VLOOKUP(JD18,IN_Zugliste!$A$4:$C$2002,4,FALSE),"")</f>
        <v/>
      </c>
      <c r="JE117" t="str">
        <f>+IFERROR(VLOOKUP(JE18,IN_Zugliste!$A$4:$C$2002,4,FALSE),"")</f>
        <v/>
      </c>
      <c r="JF117" t="str">
        <f>+IFERROR(VLOOKUP(JF18,IN_Zugliste!$A$4:$C$2002,4,FALSE),"")</f>
        <v/>
      </c>
      <c r="JG117" t="str">
        <f>+IFERROR(VLOOKUP(JG18,IN_Zugliste!$A$4:$C$2002,4,FALSE),"")</f>
        <v/>
      </c>
      <c r="JH117" t="str">
        <f>+IFERROR(VLOOKUP(JH18,IN_Zugliste!$A$4:$C$2002,4,FALSE),"")</f>
        <v/>
      </c>
      <c r="JI117" t="str">
        <f>+IFERROR(VLOOKUP(JI18,IN_Zugliste!$A$4:$C$2002,4,FALSE),"")</f>
        <v/>
      </c>
      <c r="JJ117" t="str">
        <f>+IFERROR(VLOOKUP(JJ18,IN_Zugliste!$A$4:$C$2002,4,FALSE),"")</f>
        <v/>
      </c>
      <c r="JK117" t="str">
        <f>+IFERROR(VLOOKUP(JK18,IN_Zugliste!$A$4:$C$2002,4,FALSE),"")</f>
        <v/>
      </c>
      <c r="JL117" t="str">
        <f>+IFERROR(VLOOKUP(JL18,IN_Zugliste!$A$4:$C$2002,4,FALSE),"")</f>
        <v/>
      </c>
    </row>
    <row r="118" spans="1:272" x14ac:dyDescent="0.2">
      <c r="A118" t="str">
        <f>+IFERROR(VLOOKUP(A19,IN_Zugliste!$A$4:$D$2002,4,FALSE),"")</f>
        <v/>
      </c>
      <c r="B118" t="str">
        <f>+IFERROR(VLOOKUP(B19,IN_Zugliste!$A$4:$D$2002,4,FALSE),"")</f>
        <v/>
      </c>
      <c r="C118" t="str">
        <f>+IFERROR(VLOOKUP(C19,IN_Zugliste!$A$4:$D$2002,4,FALSE),"")</f>
        <v/>
      </c>
      <c r="D118" t="str">
        <f>+IFERROR(VLOOKUP(D19,IN_Zugliste!$A$4:$D$2002,4,FALSE),"")</f>
        <v/>
      </c>
      <c r="E118" t="str">
        <f>+IFERROR(VLOOKUP(E19,IN_Zugliste!$A$4:$D$2002,4,FALSE),"")</f>
        <v/>
      </c>
      <c r="F118" t="str">
        <f>+IFERROR(VLOOKUP(F19,IN_Zugliste!$A$4:$D$2002,4,FALSE),"")</f>
        <v/>
      </c>
      <c r="G118" t="str">
        <f>+IFERROR(VLOOKUP(G19,IN_Zugliste!$A$4:$D$2002,4,FALSE),"")</f>
        <v/>
      </c>
      <c r="H118" t="str">
        <f>+IFERROR(VLOOKUP(H19,IN_Zugliste!$A$4:$D$2002,4,FALSE),"")</f>
        <v/>
      </c>
      <c r="I118" t="str">
        <f>+IFERROR(VLOOKUP(I19,IN_Zugliste!$A$4:$D$2002,4,FALSE),"")</f>
        <v/>
      </c>
      <c r="J118" t="str">
        <f>+IFERROR(VLOOKUP(J19,IN_Zugliste!$A$4:$D$2002,4,FALSE),"")</f>
        <v/>
      </c>
      <c r="K118" t="str">
        <f>+IFERROR(VLOOKUP(K19,IN_Zugliste!$A$4:$D$2002,4,FALSE),"")</f>
        <v/>
      </c>
      <c r="L118" t="str">
        <f>+IFERROR(VLOOKUP(L19,IN_Zugliste!$A$4:$D$2002,4,FALSE),"")</f>
        <v/>
      </c>
      <c r="M118" t="str">
        <f>+IFERROR(VLOOKUP(M19,IN_Zugliste!$A$4:$D$2002,4,FALSE),"")</f>
        <v/>
      </c>
      <c r="N118" t="str">
        <f>+IFERROR(VLOOKUP(N19,IN_Zugliste!$A$4:$D$2002,4,FALSE),"")</f>
        <v/>
      </c>
      <c r="O118" t="str">
        <f>+IFERROR(VLOOKUP(O19,IN_Zugliste!$A$4:$D$2002,4,FALSE),"")</f>
        <v/>
      </c>
      <c r="P118" t="str">
        <f>+IFERROR(VLOOKUP(P19,IN_Zugliste!$A$4:$D$2002,4,FALSE),"")</f>
        <v/>
      </c>
      <c r="Q118" t="str">
        <f>+IFERROR(VLOOKUP(Q19,IN_Zugliste!$A$4:$D$2002,4,FALSE),"")</f>
        <v/>
      </c>
      <c r="R118" t="str">
        <f>+IFERROR(VLOOKUP(R19,IN_Zugliste!$A$4:$D$2002,4,FALSE),"")</f>
        <v/>
      </c>
      <c r="S118" t="str">
        <f>+IFERROR(VLOOKUP(S19,IN_Zugliste!$A$4:$D$2002,4,FALSE),"")</f>
        <v/>
      </c>
      <c r="T118" t="str">
        <f>+IFERROR(VLOOKUP(T19,IN_Zugliste!$A$4:$D$2002,4,FALSE),"")</f>
        <v/>
      </c>
      <c r="U118" t="str">
        <f>+IFERROR(VLOOKUP(U19,IN_Zugliste!$A$4:$D$2002,4,FALSE),"")</f>
        <v/>
      </c>
      <c r="V118" t="str">
        <f>+IFERROR(VLOOKUP(V19,IN_Zugliste!$A$4:$D$2002,4,FALSE),"")</f>
        <v/>
      </c>
      <c r="W118" t="str">
        <f>+IFERROR(VLOOKUP(W19,IN_Zugliste!$A$4:$D$2002,4,FALSE),"")</f>
        <v/>
      </c>
      <c r="X118" t="str">
        <f>+IFERROR(VLOOKUP(X19,IN_Zugliste!$A$4:$D$2002,4,FALSE),"")</f>
        <v/>
      </c>
      <c r="Y118" t="str">
        <f>+IFERROR(VLOOKUP(Y19,IN_Zugliste!$A$4:$D$2002,4,FALSE),"")</f>
        <v/>
      </c>
      <c r="Z118" t="str">
        <f>+IFERROR(VLOOKUP(Z19,IN_Zugliste!$A$4:$D$2002,4,FALSE),"")</f>
        <v/>
      </c>
      <c r="AA118" t="str">
        <f>+IFERROR(VLOOKUP(AA19,IN_Zugliste!$A$4:$D$2002,4,FALSE),"")</f>
        <v/>
      </c>
      <c r="AB118" t="str">
        <f>+IFERROR(VLOOKUP(AB19,IN_Zugliste!$A$4:$D$2002,4,FALSE),"")</f>
        <v/>
      </c>
      <c r="AC118" t="str">
        <f>+IFERROR(VLOOKUP(AC19,IN_Zugliste!$A$4:$D$2002,4,FALSE),"")</f>
        <v/>
      </c>
      <c r="AD118" t="str">
        <f>+IFERROR(VLOOKUP(AD19,IN_Zugliste!$A$4:$D$2002,4,FALSE),"")</f>
        <v/>
      </c>
      <c r="AE118" t="str">
        <f>+IFERROR(VLOOKUP(AE19,IN_Zugliste!$A$4:$D$2002,4,FALSE),"")</f>
        <v/>
      </c>
      <c r="AF118" t="str">
        <f>+IFERROR(VLOOKUP(AF19,IN_Zugliste!$A$4:$D$2002,4,FALSE),"")</f>
        <v/>
      </c>
      <c r="AG118" t="str">
        <f>+IFERROR(VLOOKUP(AG19,IN_Zugliste!$A$4:$D$2002,4,FALSE),"")</f>
        <v/>
      </c>
      <c r="AH118" t="str">
        <f>+IFERROR(VLOOKUP(AH19,IN_Zugliste!$A$4:$D$2002,4,FALSE),"")</f>
        <v/>
      </c>
      <c r="AI118" t="str">
        <f>+IFERROR(VLOOKUP(AI19,IN_Zugliste!$A$4:$D$2002,4,FALSE),"")</f>
        <v/>
      </c>
      <c r="AJ118" t="str">
        <f>+IFERROR(VLOOKUP(AJ19,IN_Zugliste!$A$4:$D$2002,4,FALSE),"")</f>
        <v/>
      </c>
      <c r="AK118" t="str">
        <f>+IFERROR(VLOOKUP(AK19,IN_Zugliste!$A$4:$D$2002,4,FALSE),"")</f>
        <v/>
      </c>
      <c r="AL118" t="str">
        <f>+IFERROR(VLOOKUP(AL19,IN_Zugliste!$A$4:$D$2002,4,FALSE),"")</f>
        <v/>
      </c>
      <c r="AM118" t="str">
        <f>+IFERROR(VLOOKUP(AM19,IN_Zugliste!$A$4:$D$2002,4,FALSE),"")</f>
        <v/>
      </c>
      <c r="AN118" t="str">
        <f>+IFERROR(VLOOKUP(AN19,IN_Zugliste!$A$4:$D$2002,4,FALSE),"")</f>
        <v/>
      </c>
      <c r="AO118" t="str">
        <f>+IFERROR(VLOOKUP(AO19,IN_Zugliste!$A$4:$D$2002,4,FALSE),"")</f>
        <v/>
      </c>
      <c r="AP118" t="str">
        <f>+IFERROR(VLOOKUP(AP19,IN_Zugliste!$A$4:$D$2002,4,FALSE),"")</f>
        <v/>
      </c>
      <c r="AQ118" t="str">
        <f>+IFERROR(VLOOKUP(AQ19,IN_Zugliste!$A$4:$D$2002,4,FALSE),"")</f>
        <v/>
      </c>
      <c r="AR118" t="str">
        <f>+IFERROR(VLOOKUP(AR19,IN_Zugliste!$A$4:$D$2002,4,FALSE),"")</f>
        <v/>
      </c>
      <c r="AS118" t="str">
        <f>+IFERROR(VLOOKUP(AS19,IN_Zugliste!$A$4:$D$2002,4,FALSE),"")</f>
        <v/>
      </c>
      <c r="AT118" t="str">
        <f>+IFERROR(VLOOKUP(AT19,IN_Zugliste!$A$4:$D$2002,4,FALSE),"")</f>
        <v/>
      </c>
      <c r="AU118" t="str">
        <f>+IFERROR(VLOOKUP(AU19,IN_Zugliste!$A$4:$D$2002,4,FALSE),"")</f>
        <v/>
      </c>
      <c r="AV118" t="str">
        <f>+IFERROR(VLOOKUP(AV19,IN_Zugliste!$A$4:$D$2002,4,FALSE),"")</f>
        <v/>
      </c>
      <c r="AW118" t="str">
        <f>+IFERROR(VLOOKUP(AW19,IN_Zugliste!$A$4:$D$2002,4,FALSE),"")</f>
        <v/>
      </c>
      <c r="AX118" t="str">
        <f>+IFERROR(VLOOKUP(AX19,IN_Zugliste!$A$4:$D$2002,4,FALSE),"")</f>
        <v/>
      </c>
      <c r="AY118" t="str">
        <f>+IFERROR(VLOOKUP(AY19,IN_Zugliste!$A$4:$D$2002,4,FALSE),"")</f>
        <v/>
      </c>
      <c r="AZ118" t="str">
        <f>+IFERROR(VLOOKUP(AZ19,IN_Zugliste!$A$4:$D$2002,4,FALSE),"")</f>
        <v/>
      </c>
      <c r="BA118" t="str">
        <f>+IFERROR(VLOOKUP(BA19,IN_Zugliste!$A$4:$D$2002,4,FALSE),"")</f>
        <v/>
      </c>
      <c r="BB118" t="str">
        <f>+IFERROR(VLOOKUP(BB19,IN_Zugliste!$A$4:$D$2002,4,FALSE),"")</f>
        <v/>
      </c>
      <c r="BC118" t="str">
        <f>+IFERROR(VLOOKUP(BC19,IN_Zugliste!$A$4:$D$2002,4,FALSE),"")</f>
        <v/>
      </c>
      <c r="BD118" t="str">
        <f>+IFERROR(VLOOKUP(BD19,IN_Zugliste!$A$4:$D$2002,4,FALSE),"")</f>
        <v/>
      </c>
      <c r="BE118" t="str">
        <f>+IFERROR(VLOOKUP(BE19,IN_Zugliste!$A$4:$D$2002,4,FALSE),"")</f>
        <v/>
      </c>
      <c r="BF118" t="str">
        <f>+IFERROR(VLOOKUP(BF19,IN_Zugliste!$A$4:$D$2002,4,FALSE),"")</f>
        <v/>
      </c>
      <c r="BG118" t="str">
        <f>+IFERROR(VLOOKUP(BG19,IN_Zugliste!$A$4:$D$2002,4,FALSE),"")</f>
        <v/>
      </c>
      <c r="BH118" t="str">
        <f>+IFERROR(VLOOKUP(BH19,IN_Zugliste!$A$4:$D$2002,4,FALSE),"")</f>
        <v/>
      </c>
      <c r="BI118" t="str">
        <f>+IFERROR(VLOOKUP(BI19,IN_Zugliste!$A$4:$D$2002,4,FALSE),"")</f>
        <v/>
      </c>
      <c r="BJ118" t="str">
        <f>+IFERROR(VLOOKUP(BJ19,IN_Zugliste!$A$4:$D$2002,4,FALSE),"")</f>
        <v/>
      </c>
      <c r="BK118" t="str">
        <f>+IFERROR(VLOOKUP(BK19,IN_Zugliste!$A$4:$D$2002,4,FALSE),"")</f>
        <v/>
      </c>
      <c r="BL118" t="str">
        <f>+IFERROR(VLOOKUP(BL19,IN_Zugliste!$A$4:$D$2002,4,FALSE),"")</f>
        <v/>
      </c>
      <c r="BM118" t="str">
        <f>+IFERROR(VLOOKUP(BM19,IN_Zugliste!$A$4:$D$2002,4,FALSE),"")</f>
        <v/>
      </c>
      <c r="BN118" t="str">
        <f>+IFERROR(VLOOKUP(BN19,IN_Zugliste!$A$4:$D$2002,4,FALSE),"")</f>
        <v/>
      </c>
      <c r="BO118" t="str">
        <f>+IFERROR(VLOOKUP(BO19,IN_Zugliste!$A$4:$D$2002,4,FALSE),"")</f>
        <v/>
      </c>
      <c r="BP118" t="str">
        <f>+IFERROR(VLOOKUP(BP19,IN_Zugliste!$A$4:$D$2002,4,FALSE),"")</f>
        <v/>
      </c>
      <c r="BQ118" t="str">
        <f>+IFERROR(VLOOKUP(BQ19,IN_Zugliste!$A$4:$D$2002,4,FALSE),"")</f>
        <v/>
      </c>
      <c r="BR118" t="str">
        <f>+IFERROR(VLOOKUP(BR19,IN_Zugliste!$A$4:$D$2002,4,FALSE),"")</f>
        <v/>
      </c>
      <c r="BS118" t="str">
        <f>+IFERROR(VLOOKUP(BS19,IN_Zugliste!$A$4:$D$2002,4,FALSE),"")</f>
        <v/>
      </c>
      <c r="BT118" t="str">
        <f>+IFERROR(VLOOKUP(BT19,IN_Zugliste!$A$4:$D$2002,4,FALSE),"")</f>
        <v/>
      </c>
      <c r="BU118" t="str">
        <f>+IFERROR(VLOOKUP(BU19,IN_Zugliste!$A$4:$D$2002,4,FALSE),"")</f>
        <v/>
      </c>
      <c r="BV118" t="str">
        <f>+IFERROR(VLOOKUP(BV19,IN_Zugliste!$A$4:$D$2002,4,FALSE),"")</f>
        <v/>
      </c>
      <c r="BW118" t="str">
        <f>+IFERROR(VLOOKUP(BW19,IN_Zugliste!$A$4:$D$2002,4,FALSE),"")</f>
        <v/>
      </c>
      <c r="BX118" t="str">
        <f>+IFERROR(VLOOKUP(BX19,IN_Zugliste!$A$4:$D$2002,4,FALSE),"")</f>
        <v/>
      </c>
      <c r="BY118" t="str">
        <f>+IFERROR(VLOOKUP(BY19,IN_Zugliste!$A$4:$D$2002,4,FALSE),"")</f>
        <v/>
      </c>
      <c r="BZ118" t="str">
        <f>+IFERROR(VLOOKUP(BZ19,IN_Zugliste!$A$4:$D$2002,4,FALSE),"")</f>
        <v/>
      </c>
      <c r="CA118" t="str">
        <f>+IFERROR(VLOOKUP(CA19,IN_Zugliste!$A$4:$D$2002,4,FALSE),"")</f>
        <v/>
      </c>
      <c r="CB118" t="str">
        <f>+IFERROR(VLOOKUP(CB19,IN_Zugliste!$A$4:$D$2002,4,FALSE),"")</f>
        <v/>
      </c>
      <c r="CC118" t="str">
        <f>+IFERROR(VLOOKUP(CC19,IN_Zugliste!$A$4:$D$2002,4,FALSE),"")</f>
        <v/>
      </c>
      <c r="CD118" t="str">
        <f>+IFERROR(VLOOKUP(CD19,IN_Zugliste!$A$4:$D$2002,4,FALSE),"")</f>
        <v/>
      </c>
      <c r="CE118" t="str">
        <f>+IFERROR(VLOOKUP(CE19,IN_Zugliste!$A$4:$D$2002,4,FALSE),"")</f>
        <v/>
      </c>
      <c r="CF118" t="str">
        <f>+IFERROR(VLOOKUP(CF19,IN_Zugliste!$A$4:$D$2002,4,FALSE),"")</f>
        <v/>
      </c>
      <c r="CG118" t="str">
        <f>+IFERROR(VLOOKUP(CG19,IN_Zugliste!$A$4:$D$2002,4,FALSE),"")</f>
        <v/>
      </c>
      <c r="CH118" t="str">
        <f>+IFERROR(VLOOKUP(CH19,IN_Zugliste!$A$4:$D$2002,4,FALSE),"")</f>
        <v/>
      </c>
      <c r="CI118" t="str">
        <f>+IFERROR(VLOOKUP(CI19,IN_Zugliste!$A$4:$D$2002,4,FALSE),"")</f>
        <v/>
      </c>
      <c r="CJ118" t="str">
        <f>+IFERROR(VLOOKUP(CJ19,IN_Zugliste!$A$4:$D$2002,4,FALSE),"")</f>
        <v/>
      </c>
      <c r="CK118" t="str">
        <f>+IFERROR(VLOOKUP(CK19,IN_Zugliste!$A$4:$D$2002,4,FALSE),"")</f>
        <v/>
      </c>
      <c r="CL118" t="str">
        <f>+IFERROR(VLOOKUP(CL19,IN_Zugliste!$A$4:$D$2002,4,FALSE),"")</f>
        <v/>
      </c>
      <c r="CM118" t="str">
        <f>+IFERROR(VLOOKUP(CM19,IN_Zugliste!$A$4:$D$2002,4,FALSE),"")</f>
        <v/>
      </c>
      <c r="CN118" t="str">
        <f>+IFERROR(VLOOKUP(CN19,IN_Zugliste!$A$4:$D$2002,4,FALSE),"")</f>
        <v/>
      </c>
      <c r="CO118" t="str">
        <f>+IFERROR(VLOOKUP(CO19,IN_Zugliste!$A$4:$D$2002,4,FALSE),"")</f>
        <v/>
      </c>
      <c r="CP118" t="str">
        <f>+IFERROR(VLOOKUP(CP19,IN_Zugliste!$A$4:$D$2002,4,FALSE),"")</f>
        <v/>
      </c>
      <c r="CQ118" t="str">
        <f>+IFERROR(VLOOKUP(CQ19,IN_Zugliste!$A$4:$D$2002,4,FALSE),"")</f>
        <v/>
      </c>
      <c r="CR118" t="str">
        <f>+IFERROR(VLOOKUP(CR19,IN_Zugliste!$A$4:$D$2002,4,FALSE),"")</f>
        <v/>
      </c>
      <c r="CS118" t="str">
        <f>+IFERROR(VLOOKUP(CS19,IN_Zugliste!$A$4:$D$2002,4,FALSE),"")</f>
        <v/>
      </c>
      <c r="CT118" t="str">
        <f>+IFERROR(VLOOKUP(CT19,IN_Zugliste!$A$4:$D$2002,4,FALSE),"")</f>
        <v/>
      </c>
      <c r="CU118" t="str">
        <f>+IFERROR(VLOOKUP(CU19,IN_Zugliste!$A$4:$D$2002,4,FALSE),"")</f>
        <v/>
      </c>
      <c r="CV118" t="str">
        <f>+IFERROR(VLOOKUP(CV19,IN_Zugliste!$A$4:$D$2002,4,FALSE),"")</f>
        <v/>
      </c>
      <c r="CW118" t="str">
        <f>+IFERROR(VLOOKUP(CW19,IN_Zugliste!$A$4:$D$2002,4,FALSE),"")</f>
        <v/>
      </c>
      <c r="CX118" t="str">
        <f>+IFERROR(VLOOKUP(CX19,IN_Zugliste!$A$4:$D$2002,4,FALSE),"")</f>
        <v/>
      </c>
      <c r="CY118" t="str">
        <f>+IFERROR(VLOOKUP(CY19,IN_Zugliste!$A$4:$D$2002,4,FALSE),"")</f>
        <v/>
      </c>
      <c r="CZ118" t="str">
        <f>+IFERROR(VLOOKUP(CZ19,IN_Zugliste!$A$4:$D$2002,4,FALSE),"")</f>
        <v/>
      </c>
      <c r="DA118" t="str">
        <f>+IFERROR(VLOOKUP(DA19,IN_Zugliste!$A$4:$D$2002,4,FALSE),"")</f>
        <v/>
      </c>
      <c r="DB118" t="str">
        <f>+IFERROR(VLOOKUP(DB19,IN_Zugliste!$A$4:$D$2002,4,FALSE),"")</f>
        <v/>
      </c>
      <c r="DC118" t="str">
        <f>+IFERROR(VLOOKUP(DC19,IN_Zugliste!$A$4:$D$2002,4,FALSE),"")</f>
        <v/>
      </c>
      <c r="DD118" t="str">
        <f>+IFERROR(VLOOKUP(DD19,IN_Zugliste!$A$4:$D$2002,4,FALSE),"")</f>
        <v/>
      </c>
      <c r="DE118" t="str">
        <f>+IFERROR(VLOOKUP(DE19,IN_Zugliste!$A$4:$D$2002,4,FALSE),"")</f>
        <v/>
      </c>
      <c r="DF118" t="str">
        <f>+IFERROR(VLOOKUP(DF19,IN_Zugliste!$A$4:$D$2002,4,FALSE),"")</f>
        <v/>
      </c>
      <c r="DG118" t="str">
        <f>+IFERROR(VLOOKUP(DG19,IN_Zugliste!$A$4:$D$2002,4,FALSE),"")</f>
        <v/>
      </c>
      <c r="DH118" t="str">
        <f>+IFERROR(VLOOKUP(DH19,IN_Zugliste!$A$4:$D$2002,4,FALSE),"")</f>
        <v/>
      </c>
      <c r="DI118" t="str">
        <f>+IFERROR(VLOOKUP(DI19,IN_Zugliste!$A$4:$D$2002,4,FALSE),"")</f>
        <v/>
      </c>
      <c r="DJ118" t="str">
        <f>+IFERROR(VLOOKUP(DJ19,IN_Zugliste!$A$4:$D$2002,4,FALSE),"")</f>
        <v/>
      </c>
      <c r="DK118" t="str">
        <f>+IFERROR(VLOOKUP(DK19,IN_Zugliste!$A$4:$D$2002,4,FALSE),"")</f>
        <v/>
      </c>
      <c r="DL118" t="str">
        <f>+IFERROR(VLOOKUP(DL19,IN_Zugliste!$A$4:$D$2002,4,FALSE),"")</f>
        <v/>
      </c>
      <c r="DM118" t="str">
        <f>+IFERROR(VLOOKUP(DM19,IN_Zugliste!$A$4:$D$2002,4,FALSE),"")</f>
        <v/>
      </c>
      <c r="DN118" t="str">
        <f>+IFERROR(VLOOKUP(DN19,IN_Zugliste!$A$4:$D$2002,4,FALSE),"")</f>
        <v/>
      </c>
      <c r="DO118" t="str">
        <f>+IFERROR(VLOOKUP(DO19,IN_Zugliste!$A$4:$D$2002,4,FALSE),"")</f>
        <v/>
      </c>
      <c r="DP118" t="str">
        <f>+IFERROR(VLOOKUP(DP19,IN_Zugliste!$A$4:$D$2002,4,FALSE),"")</f>
        <v/>
      </c>
      <c r="DQ118" t="str">
        <f>+IFERROR(VLOOKUP(DQ19,IN_Zugliste!$A$4:$D$2002,4,FALSE),"")</f>
        <v/>
      </c>
      <c r="DR118" t="str">
        <f>+IFERROR(VLOOKUP(DR19,IN_Zugliste!$A$4:$D$2002,4,FALSE),"")</f>
        <v/>
      </c>
      <c r="DS118" t="str">
        <f>+IFERROR(VLOOKUP(DS19,IN_Zugliste!$A$4:$D$2002,4,FALSE),"")</f>
        <v/>
      </c>
      <c r="DT118" t="str">
        <f>+IFERROR(VLOOKUP(DT19,IN_Zugliste!$A$4:$D$2002,4,FALSE),"")</f>
        <v/>
      </c>
      <c r="DU118" t="str">
        <f>+IFERROR(VLOOKUP(DU19,IN_Zugliste!$A$4:$D$2002,4,FALSE),"")</f>
        <v/>
      </c>
      <c r="DV118" t="str">
        <f>+IFERROR(VLOOKUP(DV19,IN_Zugliste!$A$4:$D$2002,4,FALSE),"")</f>
        <v/>
      </c>
      <c r="DW118" t="str">
        <f>+IFERROR(VLOOKUP(DW19,IN_Zugliste!$A$4:$D$2002,4,FALSE),"")</f>
        <v/>
      </c>
      <c r="DX118" t="str">
        <f>+IFERROR(VLOOKUP(DX19,IN_Zugliste!$A$4:$D$2002,4,FALSE),"")</f>
        <v/>
      </c>
      <c r="DY118" t="str">
        <f>+IFERROR(VLOOKUP(DY19,IN_Zugliste!$A$4:$D$2002,4,FALSE),"")</f>
        <v/>
      </c>
      <c r="DZ118" t="str">
        <f>+IFERROR(VLOOKUP(DZ19,IN_Zugliste!$A$4:$D$2002,4,FALSE),"")</f>
        <v/>
      </c>
      <c r="EA118" t="str">
        <f>+IFERROR(VLOOKUP(EA19,IN_Zugliste!$A$4:$D$2002,4,FALSE),"")</f>
        <v/>
      </c>
      <c r="EB118" t="str">
        <f>+IFERROR(VLOOKUP(EB19,IN_Zugliste!$A$4:$D$2002,4,FALSE),"")</f>
        <v/>
      </c>
      <c r="EC118" t="str">
        <f>+IFERROR(VLOOKUP(EC19,IN_Zugliste!$A$4:$D$2002,4,FALSE),"")</f>
        <v/>
      </c>
      <c r="ED118" t="str">
        <f>+IFERROR(VLOOKUP(ED19,IN_Zugliste!$A$4:$D$2002,4,FALSE),"")</f>
        <v/>
      </c>
      <c r="EE118" t="str">
        <f>+IFERROR(VLOOKUP(EE19,IN_Zugliste!$A$4:$D$2002,4,FALSE),"")</f>
        <v/>
      </c>
      <c r="EF118" t="str">
        <f>+IFERROR(VLOOKUP(EF19,IN_Zugliste!$A$4:$D$2002,4,FALSE),"")</f>
        <v/>
      </c>
      <c r="EG118" t="str">
        <f>+IFERROR(VLOOKUP(EG19,IN_Zugliste!$A$4:$D$2002,4,FALSE),"")</f>
        <v/>
      </c>
      <c r="EH118" t="str">
        <f>+IFERROR(VLOOKUP(EH19,IN_Zugliste!$A$4:$D$2002,4,FALSE),"")</f>
        <v/>
      </c>
      <c r="EI118" t="str">
        <f>+IFERROR(VLOOKUP(EI19,IN_Zugliste!$A$4:$D$2002,4,FALSE),"")</f>
        <v/>
      </c>
      <c r="EJ118" t="str">
        <f>+IFERROR(VLOOKUP(EJ19,IN_Zugliste!$A$4:$D$2002,4,FALSE),"")</f>
        <v/>
      </c>
      <c r="EK118" t="str">
        <f>+IFERROR(VLOOKUP(EK19,IN_Zugliste!$A$4:$D$2002,4,FALSE),"")</f>
        <v/>
      </c>
      <c r="EL118" t="str">
        <f>+IFERROR(VLOOKUP(EL19,IN_Zugliste!$A$4:$D$2002,4,FALSE),"")</f>
        <v/>
      </c>
      <c r="EM118" t="str">
        <f>+IFERROR(VLOOKUP(EM19,IN_Zugliste!$A$4:$D$2002,4,FALSE),"")</f>
        <v/>
      </c>
      <c r="EN118" t="str">
        <f>+IFERROR(VLOOKUP(EN19,IN_Zugliste!$A$4:$D$2002,4,FALSE),"")</f>
        <v/>
      </c>
      <c r="EO118" t="str">
        <f>+IFERROR(VLOOKUP(EO19,IN_Zugliste!$A$4:$D$2002,4,FALSE),"")</f>
        <v/>
      </c>
      <c r="EP118" t="str">
        <f>+IFERROR(VLOOKUP(EP19,IN_Zugliste!$A$4:$D$2002,4,FALSE),"")</f>
        <v/>
      </c>
      <c r="EQ118" t="str">
        <f>+IFERROR(VLOOKUP(EQ19,IN_Zugliste!$A$4:$D$2002,4,FALSE),"")</f>
        <v/>
      </c>
      <c r="ER118" t="str">
        <f>+IFERROR(VLOOKUP(ER19,IN_Zugliste!$A$4:$D$2002,4,FALSE),"")</f>
        <v/>
      </c>
      <c r="ES118" t="str">
        <f>+IFERROR(VLOOKUP(ES19,IN_Zugliste!$A$4:$D$2002,4,FALSE),"")</f>
        <v/>
      </c>
      <c r="ET118" t="str">
        <f>+IFERROR(VLOOKUP(ET19,IN_Zugliste!$A$4:$D$2002,4,FALSE),"")</f>
        <v/>
      </c>
      <c r="EU118" t="str">
        <f>+IFERROR(VLOOKUP(EU19,IN_Zugliste!$A$4:$D$2002,4,FALSE),"")</f>
        <v/>
      </c>
      <c r="EV118" t="str">
        <f>+IFERROR(VLOOKUP(EV19,IN_Zugliste!$A$4:$D$2002,4,FALSE),"")</f>
        <v/>
      </c>
      <c r="EW118" t="str">
        <f>+IFERROR(VLOOKUP(EW19,IN_Zugliste!$A$4:$D$2002,4,FALSE),"")</f>
        <v/>
      </c>
      <c r="EX118" t="str">
        <f>+IFERROR(VLOOKUP(EX19,IN_Zugliste!$A$4:$D$2002,4,FALSE),"")</f>
        <v/>
      </c>
      <c r="EY118" t="str">
        <f>+IFERROR(VLOOKUP(EY19,IN_Zugliste!$A$4:$D$2002,4,FALSE),"")</f>
        <v/>
      </c>
      <c r="EZ118" t="str">
        <f>+IFERROR(VLOOKUP(EZ19,IN_Zugliste!$A$4:$D$2002,4,FALSE),"")</f>
        <v/>
      </c>
      <c r="FA118" t="str">
        <f>+IFERROR(VLOOKUP(FA19,IN_Zugliste!$A$4:$D$2002,4,FALSE),"")</f>
        <v/>
      </c>
      <c r="FB118" t="str">
        <f>+IFERROR(VLOOKUP(FB19,IN_Zugliste!$A$4:$D$2002,4,FALSE),"")</f>
        <v/>
      </c>
      <c r="FC118" t="str">
        <f>+IFERROR(VLOOKUP(FC19,IN_Zugliste!$A$4:$D$2002,4,FALSE),"")</f>
        <v/>
      </c>
      <c r="FD118" t="str">
        <f>+IFERROR(VLOOKUP(FD19,IN_Zugliste!$A$4:$D$2002,4,FALSE),"")</f>
        <v/>
      </c>
      <c r="FE118" t="str">
        <f>+IFERROR(VLOOKUP(FE19,IN_Zugliste!$A$4:$D$2002,4,FALSE),"")</f>
        <v/>
      </c>
      <c r="FF118" t="str">
        <f>+IFERROR(VLOOKUP(FF19,IN_Zugliste!$A$4:$D$2002,4,FALSE),"")</f>
        <v/>
      </c>
      <c r="FG118" t="str">
        <f>+IFERROR(VLOOKUP(FG19,IN_Zugliste!$A$4:$D$2002,4,FALSE),"")</f>
        <v/>
      </c>
      <c r="FH118" t="str">
        <f>+IFERROR(VLOOKUP(FH19,IN_Zugliste!$A$4:$D$2002,4,FALSE),"")</f>
        <v/>
      </c>
      <c r="FI118" t="str">
        <f>+IFERROR(VLOOKUP(FI19,IN_Zugliste!$A$4:$D$2002,4,FALSE),"")</f>
        <v/>
      </c>
      <c r="FJ118" t="str">
        <f>+IFERROR(VLOOKUP(FJ19,IN_Zugliste!$A$4:$D$2002,4,FALSE),"")</f>
        <v/>
      </c>
      <c r="FK118" t="str">
        <f>+IFERROR(VLOOKUP(FK19,IN_Zugliste!$A$4:$D$2002,4,FALSE),"")</f>
        <v/>
      </c>
      <c r="FL118" t="str">
        <f>+IFERROR(VLOOKUP(FL19,IN_Zugliste!$A$4:$D$2002,4,FALSE),"")</f>
        <v/>
      </c>
      <c r="FM118" t="str">
        <f>+IFERROR(VLOOKUP(FM19,IN_Zugliste!$A$4:$C$2002,4,FALSE),"")</f>
        <v/>
      </c>
      <c r="FN118" t="str">
        <f>+IFERROR(VLOOKUP(FN19,IN_Zugliste!$A$4:$C$2002,4,FALSE),"")</f>
        <v/>
      </c>
      <c r="FO118" t="str">
        <f>+IFERROR(VLOOKUP(FO19,IN_Zugliste!$A$4:$C$2002,4,FALSE),"")</f>
        <v/>
      </c>
      <c r="FP118" t="str">
        <f>+IFERROR(VLOOKUP(FP19,IN_Zugliste!$A$4:$C$2002,4,FALSE),"")</f>
        <v/>
      </c>
      <c r="FQ118" t="str">
        <f>+IFERROR(VLOOKUP(FQ19,IN_Zugliste!$A$4:$C$2002,4,FALSE),"")</f>
        <v/>
      </c>
      <c r="FR118" t="str">
        <f>+IFERROR(VLOOKUP(FR19,IN_Zugliste!$A$4:$C$2002,4,FALSE),"")</f>
        <v/>
      </c>
      <c r="FS118" t="str">
        <f>+IFERROR(VLOOKUP(FS19,IN_Zugliste!$A$4:$C$2002,4,FALSE),"")</f>
        <v/>
      </c>
      <c r="FT118" t="str">
        <f>+IFERROR(VLOOKUP(FT19,IN_Zugliste!$A$4:$C$2002,4,FALSE),"")</f>
        <v/>
      </c>
      <c r="FU118" t="str">
        <f>+IFERROR(VLOOKUP(FU19,IN_Zugliste!$A$4:$C$2002,4,FALSE),"")</f>
        <v/>
      </c>
      <c r="FV118" t="str">
        <f>+IFERROR(VLOOKUP(FV19,IN_Zugliste!$A$4:$C$2002,4,FALSE),"")</f>
        <v/>
      </c>
      <c r="FW118" t="str">
        <f>+IFERROR(VLOOKUP(FW19,IN_Zugliste!$A$4:$C$2002,4,FALSE),"")</f>
        <v/>
      </c>
      <c r="FX118" t="str">
        <f>+IFERROR(VLOOKUP(FX19,IN_Zugliste!$A$4:$C$2002,4,FALSE),"")</f>
        <v/>
      </c>
      <c r="FY118" t="str">
        <f>+IFERROR(VLOOKUP(FY19,IN_Zugliste!$A$4:$C$2002,4,FALSE),"")</f>
        <v/>
      </c>
      <c r="FZ118" t="str">
        <f>+IFERROR(VLOOKUP(FZ19,IN_Zugliste!$A$4:$C$2002,4,FALSE),"")</f>
        <v/>
      </c>
      <c r="GA118" t="str">
        <f>+IFERROR(VLOOKUP(GA19,IN_Zugliste!$A$4:$C$2002,4,FALSE),"")</f>
        <v/>
      </c>
      <c r="GB118" t="str">
        <f>+IFERROR(VLOOKUP(GB19,IN_Zugliste!$A$4:$C$2002,4,FALSE),"")</f>
        <v/>
      </c>
      <c r="GC118" t="str">
        <f>+IFERROR(VLOOKUP(GC19,IN_Zugliste!$A$4:$C$2002,4,FALSE),"")</f>
        <v/>
      </c>
      <c r="GD118" t="str">
        <f>+IFERROR(VLOOKUP(GD19,IN_Zugliste!$A$4:$C$2002,4,FALSE),"")</f>
        <v/>
      </c>
      <c r="GE118" t="str">
        <f>+IFERROR(VLOOKUP(GE19,IN_Zugliste!$A$4:$C$2002,4,FALSE),"")</f>
        <v/>
      </c>
      <c r="GF118" t="str">
        <f>+IFERROR(VLOOKUP(GF19,IN_Zugliste!$A$4:$C$2002,4,FALSE),"")</f>
        <v/>
      </c>
      <c r="GG118" t="str">
        <f>+IFERROR(VLOOKUP(GG19,IN_Zugliste!$A$4:$C$2002,4,FALSE),"")</f>
        <v/>
      </c>
      <c r="GH118" t="str">
        <f>+IFERROR(VLOOKUP(GH19,IN_Zugliste!$A$4:$C$2002,4,FALSE),"")</f>
        <v/>
      </c>
      <c r="GI118" t="str">
        <f>+IFERROR(VLOOKUP(GI19,IN_Zugliste!$A$4:$C$2002,4,FALSE),"")</f>
        <v/>
      </c>
      <c r="GJ118" t="str">
        <f>+IFERROR(VLOOKUP(GJ19,IN_Zugliste!$A$4:$C$2002,4,FALSE),"")</f>
        <v/>
      </c>
      <c r="GK118" t="str">
        <f>+IFERROR(VLOOKUP(GK19,IN_Zugliste!$A$4:$C$2002,4,FALSE),"")</f>
        <v/>
      </c>
      <c r="GL118" t="str">
        <f>+IFERROR(VLOOKUP(GL19,IN_Zugliste!$A$4:$C$2002,4,FALSE),"")</f>
        <v/>
      </c>
      <c r="GM118" t="str">
        <f>+IFERROR(VLOOKUP(GM19,IN_Zugliste!$A$4:$C$2002,4,FALSE),"")</f>
        <v/>
      </c>
      <c r="GN118" t="str">
        <f>+IFERROR(VLOOKUP(GN19,IN_Zugliste!$A$4:$C$2002,4,FALSE),"")</f>
        <v/>
      </c>
      <c r="GO118" t="str">
        <f>+IFERROR(VLOOKUP(GO19,IN_Zugliste!$A$4:$C$2002,4,FALSE),"")</f>
        <v/>
      </c>
      <c r="GP118" t="str">
        <f>+IFERROR(VLOOKUP(GP19,IN_Zugliste!$A$4:$C$2002,4,FALSE),"")</f>
        <v/>
      </c>
      <c r="GQ118" t="str">
        <f>+IFERROR(VLOOKUP(GQ19,IN_Zugliste!$A$4:$C$2002,4,FALSE),"")</f>
        <v/>
      </c>
      <c r="GR118" t="str">
        <f>+IFERROR(VLOOKUP(GR19,IN_Zugliste!$A$4:$C$2002,4,FALSE),"")</f>
        <v/>
      </c>
      <c r="GS118" t="str">
        <f>+IFERROR(VLOOKUP(GS19,IN_Zugliste!$A$4:$C$2002,4,FALSE),"")</f>
        <v/>
      </c>
      <c r="GT118" t="str">
        <f>+IFERROR(VLOOKUP(GT19,IN_Zugliste!$A$4:$C$2002,4,FALSE),"")</f>
        <v/>
      </c>
      <c r="GU118" t="str">
        <f>+IFERROR(VLOOKUP(GU19,IN_Zugliste!$A$4:$C$2002,4,FALSE),"")</f>
        <v/>
      </c>
      <c r="GV118" t="str">
        <f>+IFERROR(VLOOKUP(GV19,IN_Zugliste!$A$4:$C$2002,4,FALSE),"")</f>
        <v/>
      </c>
      <c r="GW118" t="str">
        <f>+IFERROR(VLOOKUP(GW19,IN_Zugliste!$A$4:$C$2002,4,FALSE),"")</f>
        <v/>
      </c>
      <c r="GX118" t="str">
        <f>+IFERROR(VLOOKUP(GX19,IN_Zugliste!$A$4:$C$2002,4,FALSE),"")</f>
        <v/>
      </c>
      <c r="GY118" t="str">
        <f>+IFERROR(VLOOKUP(GY19,IN_Zugliste!$A$4:$C$2002,4,FALSE),"")</f>
        <v/>
      </c>
      <c r="GZ118" t="str">
        <f>+IFERROR(VLOOKUP(GZ19,IN_Zugliste!$A$4:$C$2002,4,FALSE),"")</f>
        <v/>
      </c>
      <c r="HA118" t="str">
        <f>+IFERROR(VLOOKUP(HA19,IN_Zugliste!$A$4:$C$2002,4,FALSE),"")</f>
        <v/>
      </c>
      <c r="HB118" t="str">
        <f>+IFERROR(VLOOKUP(HB19,IN_Zugliste!$A$4:$C$2002,4,FALSE),"")</f>
        <v/>
      </c>
      <c r="HC118" t="str">
        <f>+IFERROR(VLOOKUP(HC19,IN_Zugliste!$A$4:$C$2002,4,FALSE),"")</f>
        <v/>
      </c>
      <c r="HD118" t="str">
        <f>+IFERROR(VLOOKUP(HD19,IN_Zugliste!$A$4:$C$2002,4,FALSE),"")</f>
        <v/>
      </c>
      <c r="HE118" t="str">
        <f>+IFERROR(VLOOKUP(HE19,IN_Zugliste!$A$4:$C$2002,4,FALSE),"")</f>
        <v/>
      </c>
      <c r="HF118" t="str">
        <f>+IFERROR(VLOOKUP(HF19,IN_Zugliste!$A$4:$C$2002,4,FALSE),"")</f>
        <v/>
      </c>
      <c r="HG118" t="str">
        <f>+IFERROR(VLOOKUP(HG19,IN_Zugliste!$A$4:$C$2002,4,FALSE),"")</f>
        <v/>
      </c>
      <c r="HH118" t="str">
        <f>+IFERROR(VLOOKUP(HH19,IN_Zugliste!$A$4:$C$2002,4,FALSE),"")</f>
        <v/>
      </c>
      <c r="HI118" t="str">
        <f>+IFERROR(VLOOKUP(HI19,IN_Zugliste!$A$4:$C$2002,4,FALSE),"")</f>
        <v/>
      </c>
      <c r="HJ118" t="str">
        <f>+IFERROR(VLOOKUP(HJ19,IN_Zugliste!$A$4:$C$2002,4,FALSE),"")</f>
        <v/>
      </c>
      <c r="HK118" t="str">
        <f>+IFERROR(VLOOKUP(HK19,IN_Zugliste!$A$4:$C$2002,4,FALSE),"")</f>
        <v/>
      </c>
      <c r="HL118" t="str">
        <f>+IFERROR(VLOOKUP(HL19,IN_Zugliste!$A$4:$C$2002,4,FALSE),"")</f>
        <v/>
      </c>
      <c r="HM118" t="str">
        <f>+IFERROR(VLOOKUP(HM19,IN_Zugliste!$A$4:$C$2002,4,FALSE),"")</f>
        <v/>
      </c>
      <c r="HN118" t="str">
        <f>+IFERROR(VLOOKUP(HN19,IN_Zugliste!$A$4:$C$2002,4,FALSE),"")</f>
        <v/>
      </c>
      <c r="HO118" t="str">
        <f>+IFERROR(VLOOKUP(HO19,IN_Zugliste!$A$4:$C$2002,4,FALSE),"")</f>
        <v/>
      </c>
      <c r="HP118" t="str">
        <f>+IFERROR(VLOOKUP(HP19,IN_Zugliste!$A$4:$C$2002,4,FALSE),"")</f>
        <v/>
      </c>
      <c r="HQ118" t="str">
        <f>+IFERROR(VLOOKUP(HQ19,IN_Zugliste!$A$4:$C$2002,4,FALSE),"")</f>
        <v/>
      </c>
      <c r="HR118" t="str">
        <f>+IFERROR(VLOOKUP(HR19,IN_Zugliste!$A$4:$C$2002,4,FALSE),"")</f>
        <v/>
      </c>
      <c r="HS118" t="str">
        <f>+IFERROR(VLOOKUP(HS19,IN_Zugliste!$A$4:$C$2002,4,FALSE),"")</f>
        <v/>
      </c>
      <c r="HT118" t="str">
        <f>+IFERROR(VLOOKUP(HT19,IN_Zugliste!$A$4:$C$2002,4,FALSE),"")</f>
        <v/>
      </c>
      <c r="HU118" t="str">
        <f>+IFERROR(VLOOKUP(HU19,IN_Zugliste!$A$4:$C$2002,4,FALSE),"")</f>
        <v/>
      </c>
      <c r="HV118" t="str">
        <f>+IFERROR(VLOOKUP(HV19,IN_Zugliste!$A$4:$C$2002,4,FALSE),"")</f>
        <v/>
      </c>
      <c r="HW118" t="str">
        <f>+IFERROR(VLOOKUP(HW19,IN_Zugliste!$A$4:$C$2002,4,FALSE),"")</f>
        <v/>
      </c>
      <c r="HX118" t="str">
        <f>+IFERROR(VLOOKUP(HX19,IN_Zugliste!$A$4:$C$2002,4,FALSE),"")</f>
        <v/>
      </c>
      <c r="HY118" t="str">
        <f>+IFERROR(VLOOKUP(HY19,IN_Zugliste!$A$4:$C$2002,4,FALSE),"")</f>
        <v/>
      </c>
      <c r="HZ118" t="str">
        <f>+IFERROR(VLOOKUP(HZ19,IN_Zugliste!$A$4:$C$2002,4,FALSE),"")</f>
        <v/>
      </c>
      <c r="IA118" t="str">
        <f>+IFERROR(VLOOKUP(IA19,IN_Zugliste!$A$4:$C$2002,4,FALSE),"")</f>
        <v/>
      </c>
      <c r="IB118" t="str">
        <f>+IFERROR(VLOOKUP(IB19,IN_Zugliste!$A$4:$C$2002,4,FALSE),"")</f>
        <v/>
      </c>
      <c r="IC118" t="str">
        <f>+IFERROR(VLOOKUP(IC19,IN_Zugliste!$A$4:$C$2002,4,FALSE),"")</f>
        <v/>
      </c>
      <c r="ID118" t="str">
        <f>+IFERROR(VLOOKUP(ID19,IN_Zugliste!$A$4:$C$2002,4,FALSE),"")</f>
        <v/>
      </c>
      <c r="IE118" t="str">
        <f>+IFERROR(VLOOKUP(IE19,IN_Zugliste!$A$4:$C$2002,4,FALSE),"")</f>
        <v/>
      </c>
      <c r="IF118" t="str">
        <f>+IFERROR(VLOOKUP(IF19,IN_Zugliste!$A$4:$C$2002,4,FALSE),"")</f>
        <v/>
      </c>
      <c r="IG118" t="str">
        <f>+IFERROR(VLOOKUP(IG19,IN_Zugliste!$A$4:$C$2002,4,FALSE),"")</f>
        <v/>
      </c>
      <c r="IH118" t="str">
        <f>+IFERROR(VLOOKUP(IH19,IN_Zugliste!$A$4:$C$2002,4,FALSE),"")</f>
        <v/>
      </c>
      <c r="II118" t="str">
        <f>+IFERROR(VLOOKUP(II19,IN_Zugliste!$A$4:$C$2002,4,FALSE),"")</f>
        <v/>
      </c>
      <c r="IJ118" t="str">
        <f>+IFERROR(VLOOKUP(IJ19,IN_Zugliste!$A$4:$C$2002,4,FALSE),"")</f>
        <v/>
      </c>
      <c r="IK118" t="str">
        <f>+IFERROR(VLOOKUP(IK19,IN_Zugliste!$A$4:$C$2002,4,FALSE),"")</f>
        <v/>
      </c>
      <c r="IL118" t="str">
        <f>+IFERROR(VLOOKUP(IL19,IN_Zugliste!$A$4:$C$2002,4,FALSE),"")</f>
        <v/>
      </c>
      <c r="IM118" t="str">
        <f>+IFERROR(VLOOKUP(IM19,IN_Zugliste!$A$4:$C$2002,4,FALSE),"")</f>
        <v/>
      </c>
      <c r="IN118" t="str">
        <f>+IFERROR(VLOOKUP(IN19,IN_Zugliste!$A$4:$C$2002,4,FALSE),"")</f>
        <v/>
      </c>
      <c r="IO118" t="str">
        <f>+IFERROR(VLOOKUP(IO19,IN_Zugliste!$A$4:$C$2002,4,FALSE),"")</f>
        <v/>
      </c>
      <c r="IP118" t="str">
        <f>+IFERROR(VLOOKUP(IP19,IN_Zugliste!$A$4:$C$2002,4,FALSE),"")</f>
        <v/>
      </c>
      <c r="IQ118" t="str">
        <f>+IFERROR(VLOOKUP(IQ19,IN_Zugliste!$A$4:$C$2002,4,FALSE),"")</f>
        <v/>
      </c>
      <c r="IR118" t="str">
        <f>+IFERROR(VLOOKUP(IR19,IN_Zugliste!$A$4:$C$2002,4,FALSE),"")</f>
        <v/>
      </c>
      <c r="IS118" t="str">
        <f>+IFERROR(VLOOKUP(IS19,IN_Zugliste!$A$4:$C$2002,4,FALSE),"")</f>
        <v/>
      </c>
      <c r="IT118" t="str">
        <f>+IFERROR(VLOOKUP(IT19,IN_Zugliste!$A$4:$C$2002,4,FALSE),"")</f>
        <v/>
      </c>
      <c r="IU118" t="str">
        <f>+IFERROR(VLOOKUP(IU19,IN_Zugliste!$A$4:$C$2002,4,FALSE),"")</f>
        <v/>
      </c>
      <c r="IV118" t="str">
        <f>+IFERROR(VLOOKUP(IV19,IN_Zugliste!$A$4:$C$2002,4,FALSE),"")</f>
        <v/>
      </c>
      <c r="IW118" t="str">
        <f>+IFERROR(VLOOKUP(IW19,IN_Zugliste!$A$4:$C$2002,4,FALSE),"")</f>
        <v/>
      </c>
      <c r="IX118" t="str">
        <f>+IFERROR(VLOOKUP(IX19,IN_Zugliste!$A$4:$C$2002,4,FALSE),"")</f>
        <v/>
      </c>
      <c r="IY118" t="str">
        <f>+IFERROR(VLOOKUP(IY19,IN_Zugliste!$A$4:$C$2002,4,FALSE),"")</f>
        <v/>
      </c>
      <c r="IZ118" t="str">
        <f>+IFERROR(VLOOKUP(IZ19,IN_Zugliste!$A$4:$C$2002,4,FALSE),"")</f>
        <v/>
      </c>
      <c r="JA118" t="str">
        <f>+IFERROR(VLOOKUP(JA19,IN_Zugliste!$A$4:$C$2002,4,FALSE),"")</f>
        <v/>
      </c>
      <c r="JB118" t="str">
        <f>+IFERROR(VLOOKUP(JB19,IN_Zugliste!$A$4:$C$2002,4,FALSE),"")</f>
        <v/>
      </c>
      <c r="JC118" t="str">
        <f>+IFERROR(VLOOKUP(JC19,IN_Zugliste!$A$4:$C$2002,4,FALSE),"")</f>
        <v/>
      </c>
      <c r="JD118" t="str">
        <f>+IFERROR(VLOOKUP(JD19,IN_Zugliste!$A$4:$C$2002,4,FALSE),"")</f>
        <v/>
      </c>
      <c r="JE118" t="str">
        <f>+IFERROR(VLOOKUP(JE19,IN_Zugliste!$A$4:$C$2002,4,FALSE),"")</f>
        <v/>
      </c>
      <c r="JF118" t="str">
        <f>+IFERROR(VLOOKUP(JF19,IN_Zugliste!$A$4:$C$2002,4,FALSE),"")</f>
        <v/>
      </c>
      <c r="JG118" t="str">
        <f>+IFERROR(VLOOKUP(JG19,IN_Zugliste!$A$4:$C$2002,4,FALSE),"")</f>
        <v/>
      </c>
      <c r="JH118" t="str">
        <f>+IFERROR(VLOOKUP(JH19,IN_Zugliste!$A$4:$C$2002,4,FALSE),"")</f>
        <v/>
      </c>
      <c r="JI118" t="str">
        <f>+IFERROR(VLOOKUP(JI19,IN_Zugliste!$A$4:$C$2002,4,FALSE),"")</f>
        <v/>
      </c>
      <c r="JJ118" t="str">
        <f>+IFERROR(VLOOKUP(JJ19,IN_Zugliste!$A$4:$C$2002,4,FALSE),"")</f>
        <v/>
      </c>
      <c r="JK118" t="str">
        <f>+IFERROR(VLOOKUP(JK19,IN_Zugliste!$A$4:$C$2002,4,FALSE),"")</f>
        <v/>
      </c>
      <c r="JL118" t="str">
        <f>+IFERROR(VLOOKUP(JL19,IN_Zugliste!$A$4:$C$2002,4,FALSE),"")</f>
        <v/>
      </c>
    </row>
    <row r="119" spans="1:272" x14ac:dyDescent="0.2">
      <c r="A119" t="str">
        <f>+IFERROR(VLOOKUP(A20,IN_Zugliste!$A$4:$D$2002,4,FALSE),"")</f>
        <v/>
      </c>
      <c r="B119" t="str">
        <f>+IFERROR(VLOOKUP(B20,IN_Zugliste!$A$4:$D$2002,4,FALSE),"")</f>
        <v/>
      </c>
      <c r="C119" t="str">
        <f>+IFERROR(VLOOKUP(C20,IN_Zugliste!$A$4:$D$2002,4,FALSE),"")</f>
        <v/>
      </c>
      <c r="D119" t="str">
        <f>+IFERROR(VLOOKUP(D20,IN_Zugliste!$A$4:$D$2002,4,FALSE),"")</f>
        <v/>
      </c>
      <c r="E119" t="str">
        <f>+IFERROR(VLOOKUP(E20,IN_Zugliste!$A$4:$D$2002,4,FALSE),"")</f>
        <v/>
      </c>
      <c r="F119" t="str">
        <f>+IFERROR(VLOOKUP(F20,IN_Zugliste!$A$4:$D$2002,4,FALSE),"")</f>
        <v/>
      </c>
      <c r="G119" t="str">
        <f>+IFERROR(VLOOKUP(G20,IN_Zugliste!$A$4:$D$2002,4,FALSE),"")</f>
        <v/>
      </c>
      <c r="H119" t="str">
        <f>+IFERROR(VLOOKUP(H20,IN_Zugliste!$A$4:$D$2002,4,FALSE),"")</f>
        <v/>
      </c>
      <c r="I119" t="str">
        <f>+IFERROR(VLOOKUP(I20,IN_Zugliste!$A$4:$D$2002,4,FALSE),"")</f>
        <v/>
      </c>
      <c r="J119" t="str">
        <f>+IFERROR(VLOOKUP(J20,IN_Zugliste!$A$4:$D$2002,4,FALSE),"")</f>
        <v/>
      </c>
      <c r="K119" t="str">
        <f>+IFERROR(VLOOKUP(K20,IN_Zugliste!$A$4:$D$2002,4,FALSE),"")</f>
        <v/>
      </c>
      <c r="L119" t="str">
        <f>+IFERROR(VLOOKUP(L20,IN_Zugliste!$A$4:$D$2002,4,FALSE),"")</f>
        <v/>
      </c>
      <c r="M119" t="str">
        <f>+IFERROR(VLOOKUP(M20,IN_Zugliste!$A$4:$D$2002,4,FALSE),"")</f>
        <v/>
      </c>
      <c r="N119" t="str">
        <f>+IFERROR(VLOOKUP(N20,IN_Zugliste!$A$4:$D$2002,4,FALSE),"")</f>
        <v/>
      </c>
      <c r="O119" t="str">
        <f>+IFERROR(VLOOKUP(O20,IN_Zugliste!$A$4:$D$2002,4,FALSE),"")</f>
        <v/>
      </c>
      <c r="P119" t="str">
        <f>+IFERROR(VLOOKUP(P20,IN_Zugliste!$A$4:$D$2002,4,FALSE),"")</f>
        <v/>
      </c>
      <c r="Q119" t="str">
        <f>+IFERROR(VLOOKUP(Q20,IN_Zugliste!$A$4:$D$2002,4,FALSE),"")</f>
        <v/>
      </c>
      <c r="R119" t="str">
        <f>+IFERROR(VLOOKUP(R20,IN_Zugliste!$A$4:$D$2002,4,FALSE),"")</f>
        <v/>
      </c>
      <c r="S119" t="str">
        <f>+IFERROR(VLOOKUP(S20,IN_Zugliste!$A$4:$D$2002,4,FALSE),"")</f>
        <v/>
      </c>
      <c r="T119" t="str">
        <f>+IFERROR(VLOOKUP(T20,IN_Zugliste!$A$4:$D$2002,4,FALSE),"")</f>
        <v/>
      </c>
      <c r="U119" t="str">
        <f>+IFERROR(VLOOKUP(U20,IN_Zugliste!$A$4:$D$2002,4,FALSE),"")</f>
        <v/>
      </c>
      <c r="V119" t="str">
        <f>+IFERROR(VLOOKUP(V20,IN_Zugliste!$A$4:$D$2002,4,FALSE),"")</f>
        <v/>
      </c>
      <c r="W119" t="str">
        <f>+IFERROR(VLOOKUP(W20,IN_Zugliste!$A$4:$D$2002,4,FALSE),"")</f>
        <v/>
      </c>
      <c r="X119" t="str">
        <f>+IFERROR(VLOOKUP(X20,IN_Zugliste!$A$4:$D$2002,4,FALSE),"")</f>
        <v/>
      </c>
      <c r="Y119" t="str">
        <f>+IFERROR(VLOOKUP(Y20,IN_Zugliste!$A$4:$D$2002,4,FALSE),"")</f>
        <v/>
      </c>
      <c r="Z119" t="str">
        <f>+IFERROR(VLOOKUP(Z20,IN_Zugliste!$A$4:$D$2002,4,FALSE),"")</f>
        <v/>
      </c>
      <c r="AA119" t="str">
        <f>+IFERROR(VLOOKUP(AA20,IN_Zugliste!$A$4:$D$2002,4,FALSE),"")</f>
        <v/>
      </c>
      <c r="AB119" t="str">
        <f>+IFERROR(VLOOKUP(AB20,IN_Zugliste!$A$4:$D$2002,4,FALSE),"")</f>
        <v/>
      </c>
      <c r="AC119" t="str">
        <f>+IFERROR(VLOOKUP(AC20,IN_Zugliste!$A$4:$D$2002,4,FALSE),"")</f>
        <v/>
      </c>
      <c r="AD119" t="str">
        <f>+IFERROR(VLOOKUP(AD20,IN_Zugliste!$A$4:$D$2002,4,FALSE),"")</f>
        <v/>
      </c>
      <c r="AE119" t="str">
        <f>+IFERROR(VLOOKUP(AE20,IN_Zugliste!$A$4:$D$2002,4,FALSE),"")</f>
        <v/>
      </c>
      <c r="AF119" t="str">
        <f>+IFERROR(VLOOKUP(AF20,IN_Zugliste!$A$4:$D$2002,4,FALSE),"")</f>
        <v/>
      </c>
      <c r="AG119" t="str">
        <f>+IFERROR(VLOOKUP(AG20,IN_Zugliste!$A$4:$D$2002,4,FALSE),"")</f>
        <v/>
      </c>
      <c r="AH119" t="str">
        <f>+IFERROR(VLOOKUP(AH20,IN_Zugliste!$A$4:$D$2002,4,FALSE),"")</f>
        <v/>
      </c>
      <c r="AI119" t="str">
        <f>+IFERROR(VLOOKUP(AI20,IN_Zugliste!$A$4:$D$2002,4,FALSE),"")</f>
        <v/>
      </c>
      <c r="AJ119" t="str">
        <f>+IFERROR(VLOOKUP(AJ20,IN_Zugliste!$A$4:$D$2002,4,FALSE),"")</f>
        <v/>
      </c>
      <c r="AK119" t="str">
        <f>+IFERROR(VLOOKUP(AK20,IN_Zugliste!$A$4:$D$2002,4,FALSE),"")</f>
        <v/>
      </c>
      <c r="AL119" t="str">
        <f>+IFERROR(VLOOKUP(AL20,IN_Zugliste!$A$4:$D$2002,4,FALSE),"")</f>
        <v/>
      </c>
      <c r="AM119" t="str">
        <f>+IFERROR(VLOOKUP(AM20,IN_Zugliste!$A$4:$D$2002,4,FALSE),"")</f>
        <v/>
      </c>
      <c r="AN119" t="str">
        <f>+IFERROR(VLOOKUP(AN20,IN_Zugliste!$A$4:$D$2002,4,FALSE),"")</f>
        <v/>
      </c>
      <c r="AO119" t="str">
        <f>+IFERROR(VLOOKUP(AO20,IN_Zugliste!$A$4:$D$2002,4,FALSE),"")</f>
        <v/>
      </c>
      <c r="AP119" t="str">
        <f>+IFERROR(VLOOKUP(AP20,IN_Zugliste!$A$4:$D$2002,4,FALSE),"")</f>
        <v/>
      </c>
      <c r="AQ119" t="str">
        <f>+IFERROR(VLOOKUP(AQ20,IN_Zugliste!$A$4:$D$2002,4,FALSE),"")</f>
        <v/>
      </c>
      <c r="AR119" t="str">
        <f>+IFERROR(VLOOKUP(AR20,IN_Zugliste!$A$4:$D$2002,4,FALSE),"")</f>
        <v/>
      </c>
      <c r="AS119" t="str">
        <f>+IFERROR(VLOOKUP(AS20,IN_Zugliste!$A$4:$D$2002,4,FALSE),"")</f>
        <v/>
      </c>
      <c r="AT119" t="str">
        <f>+IFERROR(VLOOKUP(AT20,IN_Zugliste!$A$4:$D$2002,4,FALSE),"")</f>
        <v/>
      </c>
      <c r="AU119" t="str">
        <f>+IFERROR(VLOOKUP(AU20,IN_Zugliste!$A$4:$D$2002,4,FALSE),"")</f>
        <v/>
      </c>
      <c r="AV119" t="str">
        <f>+IFERROR(VLOOKUP(AV20,IN_Zugliste!$A$4:$D$2002,4,FALSE),"")</f>
        <v/>
      </c>
      <c r="AW119" t="str">
        <f>+IFERROR(VLOOKUP(AW20,IN_Zugliste!$A$4:$D$2002,4,FALSE),"")</f>
        <v/>
      </c>
      <c r="AX119" t="str">
        <f>+IFERROR(VLOOKUP(AX20,IN_Zugliste!$A$4:$D$2002,4,FALSE),"")</f>
        <v/>
      </c>
      <c r="AY119" t="str">
        <f>+IFERROR(VLOOKUP(AY20,IN_Zugliste!$A$4:$D$2002,4,FALSE),"")</f>
        <v/>
      </c>
      <c r="AZ119" t="str">
        <f>+IFERROR(VLOOKUP(AZ20,IN_Zugliste!$A$4:$D$2002,4,FALSE),"")</f>
        <v/>
      </c>
      <c r="BA119" t="str">
        <f>+IFERROR(VLOOKUP(BA20,IN_Zugliste!$A$4:$D$2002,4,FALSE),"")</f>
        <v/>
      </c>
      <c r="BB119" t="str">
        <f>+IFERROR(VLOOKUP(BB20,IN_Zugliste!$A$4:$D$2002,4,FALSE),"")</f>
        <v/>
      </c>
      <c r="BC119" t="str">
        <f>+IFERROR(VLOOKUP(BC20,IN_Zugliste!$A$4:$D$2002,4,FALSE),"")</f>
        <v/>
      </c>
      <c r="BD119" t="str">
        <f>+IFERROR(VLOOKUP(BD20,IN_Zugliste!$A$4:$D$2002,4,FALSE),"")</f>
        <v/>
      </c>
      <c r="BE119" t="str">
        <f>+IFERROR(VLOOKUP(BE20,IN_Zugliste!$A$4:$D$2002,4,FALSE),"")</f>
        <v/>
      </c>
      <c r="BF119" t="str">
        <f>+IFERROR(VLOOKUP(BF20,IN_Zugliste!$A$4:$D$2002,4,FALSE),"")</f>
        <v/>
      </c>
      <c r="BG119" t="str">
        <f>+IFERROR(VLOOKUP(BG20,IN_Zugliste!$A$4:$D$2002,4,FALSE),"")</f>
        <v/>
      </c>
      <c r="BH119" t="str">
        <f>+IFERROR(VLOOKUP(BH20,IN_Zugliste!$A$4:$D$2002,4,FALSE),"")</f>
        <v/>
      </c>
      <c r="BI119" t="str">
        <f>+IFERROR(VLOOKUP(BI20,IN_Zugliste!$A$4:$D$2002,4,FALSE),"")</f>
        <v/>
      </c>
      <c r="BJ119" t="str">
        <f>+IFERROR(VLOOKUP(BJ20,IN_Zugliste!$A$4:$D$2002,4,FALSE),"")</f>
        <v/>
      </c>
      <c r="BK119" t="str">
        <f>+IFERROR(VLOOKUP(BK20,IN_Zugliste!$A$4:$D$2002,4,FALSE),"")</f>
        <v/>
      </c>
      <c r="BL119" t="str">
        <f>+IFERROR(VLOOKUP(BL20,IN_Zugliste!$A$4:$D$2002,4,FALSE),"")</f>
        <v/>
      </c>
      <c r="BM119" t="str">
        <f>+IFERROR(VLOOKUP(BM20,IN_Zugliste!$A$4:$D$2002,4,FALSE),"")</f>
        <v/>
      </c>
      <c r="BN119" t="str">
        <f>+IFERROR(VLOOKUP(BN20,IN_Zugliste!$A$4:$D$2002,4,FALSE),"")</f>
        <v/>
      </c>
      <c r="BO119" t="str">
        <f>+IFERROR(VLOOKUP(BO20,IN_Zugliste!$A$4:$D$2002,4,FALSE),"")</f>
        <v/>
      </c>
      <c r="BP119" t="str">
        <f>+IFERROR(VLOOKUP(BP20,IN_Zugliste!$A$4:$D$2002,4,FALSE),"")</f>
        <v/>
      </c>
      <c r="BQ119" t="str">
        <f>+IFERROR(VLOOKUP(BQ20,IN_Zugliste!$A$4:$D$2002,4,FALSE),"")</f>
        <v/>
      </c>
      <c r="BR119" t="str">
        <f>+IFERROR(VLOOKUP(BR20,IN_Zugliste!$A$4:$D$2002,4,FALSE),"")</f>
        <v/>
      </c>
      <c r="BS119" t="str">
        <f>+IFERROR(VLOOKUP(BS20,IN_Zugliste!$A$4:$D$2002,4,FALSE),"")</f>
        <v/>
      </c>
      <c r="BT119" t="str">
        <f>+IFERROR(VLOOKUP(BT20,IN_Zugliste!$A$4:$D$2002,4,FALSE),"")</f>
        <v/>
      </c>
      <c r="BU119" t="str">
        <f>+IFERROR(VLOOKUP(BU20,IN_Zugliste!$A$4:$D$2002,4,FALSE),"")</f>
        <v/>
      </c>
      <c r="BV119" t="str">
        <f>+IFERROR(VLOOKUP(BV20,IN_Zugliste!$A$4:$D$2002,4,FALSE),"")</f>
        <v/>
      </c>
      <c r="BW119" t="str">
        <f>+IFERROR(VLOOKUP(BW20,IN_Zugliste!$A$4:$D$2002,4,FALSE),"")</f>
        <v/>
      </c>
      <c r="BX119" t="str">
        <f>+IFERROR(VLOOKUP(BX20,IN_Zugliste!$A$4:$D$2002,4,FALSE),"")</f>
        <v/>
      </c>
      <c r="BY119" t="str">
        <f>+IFERROR(VLOOKUP(BY20,IN_Zugliste!$A$4:$D$2002,4,FALSE),"")</f>
        <v/>
      </c>
      <c r="BZ119" t="str">
        <f>+IFERROR(VLOOKUP(BZ20,IN_Zugliste!$A$4:$D$2002,4,FALSE),"")</f>
        <v/>
      </c>
      <c r="CA119" t="str">
        <f>+IFERROR(VLOOKUP(CA20,IN_Zugliste!$A$4:$D$2002,4,FALSE),"")</f>
        <v/>
      </c>
      <c r="CB119" t="str">
        <f>+IFERROR(VLOOKUP(CB20,IN_Zugliste!$A$4:$D$2002,4,FALSE),"")</f>
        <v/>
      </c>
      <c r="CC119" t="str">
        <f>+IFERROR(VLOOKUP(CC20,IN_Zugliste!$A$4:$D$2002,4,FALSE),"")</f>
        <v/>
      </c>
      <c r="CD119" t="str">
        <f>+IFERROR(VLOOKUP(CD20,IN_Zugliste!$A$4:$D$2002,4,FALSE),"")</f>
        <v/>
      </c>
      <c r="CE119" t="str">
        <f>+IFERROR(VLOOKUP(CE20,IN_Zugliste!$A$4:$D$2002,4,FALSE),"")</f>
        <v/>
      </c>
      <c r="CF119" t="str">
        <f>+IFERROR(VLOOKUP(CF20,IN_Zugliste!$A$4:$D$2002,4,FALSE),"")</f>
        <v/>
      </c>
      <c r="CG119" t="str">
        <f>+IFERROR(VLOOKUP(CG20,IN_Zugliste!$A$4:$D$2002,4,FALSE),"")</f>
        <v/>
      </c>
      <c r="CH119" t="str">
        <f>+IFERROR(VLOOKUP(CH20,IN_Zugliste!$A$4:$D$2002,4,FALSE),"")</f>
        <v/>
      </c>
      <c r="CI119" t="str">
        <f>+IFERROR(VLOOKUP(CI20,IN_Zugliste!$A$4:$D$2002,4,FALSE),"")</f>
        <v/>
      </c>
      <c r="CJ119" t="str">
        <f>+IFERROR(VLOOKUP(CJ20,IN_Zugliste!$A$4:$D$2002,4,FALSE),"")</f>
        <v/>
      </c>
      <c r="CK119" t="str">
        <f>+IFERROR(VLOOKUP(CK20,IN_Zugliste!$A$4:$D$2002,4,FALSE),"")</f>
        <v/>
      </c>
      <c r="CL119" t="str">
        <f>+IFERROR(VLOOKUP(CL20,IN_Zugliste!$A$4:$D$2002,4,FALSE),"")</f>
        <v/>
      </c>
      <c r="CM119" t="str">
        <f>+IFERROR(VLOOKUP(CM20,IN_Zugliste!$A$4:$D$2002,4,FALSE),"")</f>
        <v/>
      </c>
      <c r="CN119" t="str">
        <f>+IFERROR(VLOOKUP(CN20,IN_Zugliste!$A$4:$D$2002,4,FALSE),"")</f>
        <v/>
      </c>
      <c r="CO119" t="str">
        <f>+IFERROR(VLOOKUP(CO20,IN_Zugliste!$A$4:$D$2002,4,FALSE),"")</f>
        <v/>
      </c>
      <c r="CP119" t="str">
        <f>+IFERROR(VLOOKUP(CP20,IN_Zugliste!$A$4:$D$2002,4,FALSE),"")</f>
        <v/>
      </c>
      <c r="CQ119" t="str">
        <f>+IFERROR(VLOOKUP(CQ20,IN_Zugliste!$A$4:$D$2002,4,FALSE),"")</f>
        <v/>
      </c>
      <c r="CR119" t="str">
        <f>+IFERROR(VLOOKUP(CR20,IN_Zugliste!$A$4:$D$2002,4,FALSE),"")</f>
        <v/>
      </c>
      <c r="CS119" t="str">
        <f>+IFERROR(VLOOKUP(CS20,IN_Zugliste!$A$4:$D$2002,4,FALSE),"")</f>
        <v/>
      </c>
      <c r="CT119" t="str">
        <f>+IFERROR(VLOOKUP(CT20,IN_Zugliste!$A$4:$D$2002,4,FALSE),"")</f>
        <v/>
      </c>
      <c r="CU119" t="str">
        <f>+IFERROR(VLOOKUP(CU20,IN_Zugliste!$A$4:$D$2002,4,FALSE),"")</f>
        <v/>
      </c>
      <c r="CV119" t="str">
        <f>+IFERROR(VLOOKUP(CV20,IN_Zugliste!$A$4:$D$2002,4,FALSE),"")</f>
        <v/>
      </c>
      <c r="CW119" t="str">
        <f>+IFERROR(VLOOKUP(CW20,IN_Zugliste!$A$4:$D$2002,4,FALSE),"")</f>
        <v/>
      </c>
      <c r="CX119" t="str">
        <f>+IFERROR(VLOOKUP(CX20,IN_Zugliste!$A$4:$D$2002,4,FALSE),"")</f>
        <v/>
      </c>
      <c r="CY119" t="str">
        <f>+IFERROR(VLOOKUP(CY20,IN_Zugliste!$A$4:$D$2002,4,FALSE),"")</f>
        <v/>
      </c>
      <c r="CZ119" t="str">
        <f>+IFERROR(VLOOKUP(CZ20,IN_Zugliste!$A$4:$D$2002,4,FALSE),"")</f>
        <v/>
      </c>
      <c r="DA119" t="str">
        <f>+IFERROR(VLOOKUP(DA20,IN_Zugliste!$A$4:$D$2002,4,FALSE),"")</f>
        <v/>
      </c>
      <c r="DB119" t="str">
        <f>+IFERROR(VLOOKUP(DB20,IN_Zugliste!$A$4:$D$2002,4,FALSE),"")</f>
        <v/>
      </c>
      <c r="DC119" t="str">
        <f>+IFERROR(VLOOKUP(DC20,IN_Zugliste!$A$4:$D$2002,4,FALSE),"")</f>
        <v/>
      </c>
      <c r="DD119" t="str">
        <f>+IFERROR(VLOOKUP(DD20,IN_Zugliste!$A$4:$D$2002,4,FALSE),"")</f>
        <v/>
      </c>
      <c r="DE119" t="str">
        <f>+IFERROR(VLOOKUP(DE20,IN_Zugliste!$A$4:$D$2002,4,FALSE),"")</f>
        <v/>
      </c>
      <c r="DF119" t="str">
        <f>+IFERROR(VLOOKUP(DF20,IN_Zugliste!$A$4:$D$2002,4,FALSE),"")</f>
        <v/>
      </c>
      <c r="DG119" t="str">
        <f>+IFERROR(VLOOKUP(DG20,IN_Zugliste!$A$4:$D$2002,4,FALSE),"")</f>
        <v/>
      </c>
      <c r="DH119" t="str">
        <f>+IFERROR(VLOOKUP(DH20,IN_Zugliste!$A$4:$D$2002,4,FALSE),"")</f>
        <v/>
      </c>
      <c r="DI119" t="str">
        <f>+IFERROR(VLOOKUP(DI20,IN_Zugliste!$A$4:$D$2002,4,FALSE),"")</f>
        <v/>
      </c>
      <c r="DJ119" t="str">
        <f>+IFERROR(VLOOKUP(DJ20,IN_Zugliste!$A$4:$D$2002,4,FALSE),"")</f>
        <v/>
      </c>
      <c r="DK119" t="str">
        <f>+IFERROR(VLOOKUP(DK20,IN_Zugliste!$A$4:$D$2002,4,FALSE),"")</f>
        <v/>
      </c>
      <c r="DL119" t="str">
        <f>+IFERROR(VLOOKUP(DL20,IN_Zugliste!$A$4:$D$2002,4,FALSE),"")</f>
        <v/>
      </c>
      <c r="DM119" t="str">
        <f>+IFERROR(VLOOKUP(DM20,IN_Zugliste!$A$4:$D$2002,4,FALSE),"")</f>
        <v/>
      </c>
      <c r="DN119" t="str">
        <f>+IFERROR(VLOOKUP(DN20,IN_Zugliste!$A$4:$D$2002,4,FALSE),"")</f>
        <v/>
      </c>
      <c r="DO119" t="str">
        <f>+IFERROR(VLOOKUP(DO20,IN_Zugliste!$A$4:$D$2002,4,FALSE),"")</f>
        <v/>
      </c>
      <c r="DP119" t="str">
        <f>+IFERROR(VLOOKUP(DP20,IN_Zugliste!$A$4:$D$2002,4,FALSE),"")</f>
        <v/>
      </c>
      <c r="DQ119" t="str">
        <f>+IFERROR(VLOOKUP(DQ20,IN_Zugliste!$A$4:$D$2002,4,FALSE),"")</f>
        <v/>
      </c>
      <c r="DR119" t="str">
        <f>+IFERROR(VLOOKUP(DR20,IN_Zugliste!$A$4:$D$2002,4,FALSE),"")</f>
        <v/>
      </c>
      <c r="DS119" t="str">
        <f>+IFERROR(VLOOKUP(DS20,IN_Zugliste!$A$4:$D$2002,4,FALSE),"")</f>
        <v/>
      </c>
      <c r="DT119" t="str">
        <f>+IFERROR(VLOOKUP(DT20,IN_Zugliste!$A$4:$D$2002,4,FALSE),"")</f>
        <v/>
      </c>
      <c r="DU119" t="str">
        <f>+IFERROR(VLOOKUP(DU20,IN_Zugliste!$A$4:$D$2002,4,FALSE),"")</f>
        <v/>
      </c>
      <c r="DV119" t="str">
        <f>+IFERROR(VLOOKUP(DV20,IN_Zugliste!$A$4:$D$2002,4,FALSE),"")</f>
        <v/>
      </c>
      <c r="DW119" t="str">
        <f>+IFERROR(VLOOKUP(DW20,IN_Zugliste!$A$4:$D$2002,4,FALSE),"")</f>
        <v/>
      </c>
      <c r="DX119" t="str">
        <f>+IFERROR(VLOOKUP(DX20,IN_Zugliste!$A$4:$D$2002,4,FALSE),"")</f>
        <v/>
      </c>
      <c r="DY119" t="str">
        <f>+IFERROR(VLOOKUP(DY20,IN_Zugliste!$A$4:$D$2002,4,FALSE),"")</f>
        <v/>
      </c>
      <c r="DZ119" t="str">
        <f>+IFERROR(VLOOKUP(DZ20,IN_Zugliste!$A$4:$D$2002,4,FALSE),"")</f>
        <v/>
      </c>
      <c r="EA119" t="str">
        <f>+IFERROR(VLOOKUP(EA20,IN_Zugliste!$A$4:$D$2002,4,FALSE),"")</f>
        <v/>
      </c>
      <c r="EB119" t="str">
        <f>+IFERROR(VLOOKUP(EB20,IN_Zugliste!$A$4:$D$2002,4,FALSE),"")</f>
        <v/>
      </c>
      <c r="EC119" t="str">
        <f>+IFERROR(VLOOKUP(EC20,IN_Zugliste!$A$4:$D$2002,4,FALSE),"")</f>
        <v/>
      </c>
      <c r="ED119" t="str">
        <f>+IFERROR(VLOOKUP(ED20,IN_Zugliste!$A$4:$D$2002,4,FALSE),"")</f>
        <v/>
      </c>
      <c r="EE119" t="str">
        <f>+IFERROR(VLOOKUP(EE20,IN_Zugliste!$A$4:$D$2002,4,FALSE),"")</f>
        <v/>
      </c>
      <c r="EF119" t="str">
        <f>+IFERROR(VLOOKUP(EF20,IN_Zugliste!$A$4:$D$2002,4,FALSE),"")</f>
        <v/>
      </c>
      <c r="EG119" t="str">
        <f>+IFERROR(VLOOKUP(EG20,IN_Zugliste!$A$4:$D$2002,4,FALSE),"")</f>
        <v/>
      </c>
      <c r="EH119" t="str">
        <f>+IFERROR(VLOOKUP(EH20,IN_Zugliste!$A$4:$D$2002,4,FALSE),"")</f>
        <v/>
      </c>
      <c r="EI119" t="str">
        <f>+IFERROR(VLOOKUP(EI20,IN_Zugliste!$A$4:$D$2002,4,FALSE),"")</f>
        <v/>
      </c>
      <c r="EJ119" t="str">
        <f>+IFERROR(VLOOKUP(EJ20,IN_Zugliste!$A$4:$D$2002,4,FALSE),"")</f>
        <v/>
      </c>
      <c r="EK119" t="str">
        <f>+IFERROR(VLOOKUP(EK20,IN_Zugliste!$A$4:$D$2002,4,FALSE),"")</f>
        <v/>
      </c>
      <c r="EL119" t="str">
        <f>+IFERROR(VLOOKUP(EL20,IN_Zugliste!$A$4:$D$2002,4,FALSE),"")</f>
        <v/>
      </c>
      <c r="EM119" t="str">
        <f>+IFERROR(VLOOKUP(EM20,IN_Zugliste!$A$4:$D$2002,4,FALSE),"")</f>
        <v/>
      </c>
      <c r="EN119" t="str">
        <f>+IFERROR(VLOOKUP(EN20,IN_Zugliste!$A$4:$D$2002,4,FALSE),"")</f>
        <v/>
      </c>
      <c r="EO119" t="str">
        <f>+IFERROR(VLOOKUP(EO20,IN_Zugliste!$A$4:$D$2002,4,FALSE),"")</f>
        <v/>
      </c>
      <c r="EP119" t="str">
        <f>+IFERROR(VLOOKUP(EP20,IN_Zugliste!$A$4:$D$2002,4,FALSE),"")</f>
        <v/>
      </c>
      <c r="EQ119" t="str">
        <f>+IFERROR(VLOOKUP(EQ20,IN_Zugliste!$A$4:$D$2002,4,FALSE),"")</f>
        <v/>
      </c>
      <c r="ER119" t="str">
        <f>+IFERROR(VLOOKUP(ER20,IN_Zugliste!$A$4:$D$2002,4,FALSE),"")</f>
        <v/>
      </c>
      <c r="ES119" t="str">
        <f>+IFERROR(VLOOKUP(ES20,IN_Zugliste!$A$4:$D$2002,4,FALSE),"")</f>
        <v/>
      </c>
      <c r="ET119" t="str">
        <f>+IFERROR(VLOOKUP(ET20,IN_Zugliste!$A$4:$D$2002,4,FALSE),"")</f>
        <v/>
      </c>
      <c r="EU119" t="str">
        <f>+IFERROR(VLOOKUP(EU20,IN_Zugliste!$A$4:$D$2002,4,FALSE),"")</f>
        <v/>
      </c>
      <c r="EV119" t="str">
        <f>+IFERROR(VLOOKUP(EV20,IN_Zugliste!$A$4:$D$2002,4,FALSE),"")</f>
        <v/>
      </c>
      <c r="EW119" t="str">
        <f>+IFERROR(VLOOKUP(EW20,IN_Zugliste!$A$4:$D$2002,4,FALSE),"")</f>
        <v/>
      </c>
      <c r="EX119" t="str">
        <f>+IFERROR(VLOOKUP(EX20,IN_Zugliste!$A$4:$D$2002,4,FALSE),"")</f>
        <v/>
      </c>
      <c r="EY119" t="str">
        <f>+IFERROR(VLOOKUP(EY20,IN_Zugliste!$A$4:$D$2002,4,FALSE),"")</f>
        <v/>
      </c>
      <c r="EZ119" t="str">
        <f>+IFERROR(VLOOKUP(EZ20,IN_Zugliste!$A$4:$D$2002,4,FALSE),"")</f>
        <v/>
      </c>
      <c r="FA119" t="str">
        <f>+IFERROR(VLOOKUP(FA20,IN_Zugliste!$A$4:$D$2002,4,FALSE),"")</f>
        <v/>
      </c>
      <c r="FB119" t="str">
        <f>+IFERROR(VLOOKUP(FB20,IN_Zugliste!$A$4:$D$2002,4,FALSE),"")</f>
        <v/>
      </c>
      <c r="FC119" t="str">
        <f>+IFERROR(VLOOKUP(FC20,IN_Zugliste!$A$4:$D$2002,4,FALSE),"")</f>
        <v/>
      </c>
      <c r="FD119" t="str">
        <f>+IFERROR(VLOOKUP(FD20,IN_Zugliste!$A$4:$D$2002,4,FALSE),"")</f>
        <v/>
      </c>
      <c r="FE119" t="str">
        <f>+IFERROR(VLOOKUP(FE20,IN_Zugliste!$A$4:$D$2002,4,FALSE),"")</f>
        <v/>
      </c>
      <c r="FF119" t="str">
        <f>+IFERROR(VLOOKUP(FF20,IN_Zugliste!$A$4:$D$2002,4,FALSE),"")</f>
        <v/>
      </c>
      <c r="FG119" t="str">
        <f>+IFERROR(VLOOKUP(FG20,IN_Zugliste!$A$4:$D$2002,4,FALSE),"")</f>
        <v/>
      </c>
      <c r="FH119" t="str">
        <f>+IFERROR(VLOOKUP(FH20,IN_Zugliste!$A$4:$D$2002,4,FALSE),"")</f>
        <v/>
      </c>
      <c r="FI119" t="str">
        <f>+IFERROR(VLOOKUP(FI20,IN_Zugliste!$A$4:$D$2002,4,FALSE),"")</f>
        <v/>
      </c>
      <c r="FJ119" t="str">
        <f>+IFERROR(VLOOKUP(FJ20,IN_Zugliste!$A$4:$D$2002,4,FALSE),"")</f>
        <v/>
      </c>
      <c r="FK119" t="str">
        <f>+IFERROR(VLOOKUP(FK20,IN_Zugliste!$A$4:$D$2002,4,FALSE),"")</f>
        <v/>
      </c>
      <c r="FL119" t="str">
        <f>+IFERROR(VLOOKUP(FL20,IN_Zugliste!$A$4:$D$2002,4,FALSE),"")</f>
        <v/>
      </c>
      <c r="FM119" t="str">
        <f>+IFERROR(VLOOKUP(FM20,IN_Zugliste!$A$4:$C$2002,4,FALSE),"")</f>
        <v/>
      </c>
      <c r="FN119" t="str">
        <f>+IFERROR(VLOOKUP(FN20,IN_Zugliste!$A$4:$C$2002,4,FALSE),"")</f>
        <v/>
      </c>
      <c r="FO119" t="str">
        <f>+IFERROR(VLOOKUP(FO20,IN_Zugliste!$A$4:$C$2002,4,FALSE),"")</f>
        <v/>
      </c>
      <c r="FP119" t="str">
        <f>+IFERROR(VLOOKUP(FP20,IN_Zugliste!$A$4:$C$2002,4,FALSE),"")</f>
        <v/>
      </c>
      <c r="FQ119" t="str">
        <f>+IFERROR(VLOOKUP(FQ20,IN_Zugliste!$A$4:$C$2002,4,FALSE),"")</f>
        <v/>
      </c>
      <c r="FR119" t="str">
        <f>+IFERROR(VLOOKUP(FR20,IN_Zugliste!$A$4:$C$2002,4,FALSE),"")</f>
        <v/>
      </c>
      <c r="FS119" t="str">
        <f>+IFERROR(VLOOKUP(FS20,IN_Zugliste!$A$4:$C$2002,4,FALSE),"")</f>
        <v/>
      </c>
      <c r="FT119" t="str">
        <f>+IFERROR(VLOOKUP(FT20,IN_Zugliste!$A$4:$C$2002,4,FALSE),"")</f>
        <v/>
      </c>
      <c r="FU119" t="str">
        <f>+IFERROR(VLOOKUP(FU20,IN_Zugliste!$A$4:$C$2002,4,FALSE),"")</f>
        <v/>
      </c>
      <c r="FV119" t="str">
        <f>+IFERROR(VLOOKUP(FV20,IN_Zugliste!$A$4:$C$2002,4,FALSE),"")</f>
        <v/>
      </c>
      <c r="FW119" t="str">
        <f>+IFERROR(VLOOKUP(FW20,IN_Zugliste!$A$4:$C$2002,4,FALSE),"")</f>
        <v/>
      </c>
      <c r="FX119" t="str">
        <f>+IFERROR(VLOOKUP(FX20,IN_Zugliste!$A$4:$C$2002,4,FALSE),"")</f>
        <v/>
      </c>
      <c r="FY119" t="str">
        <f>+IFERROR(VLOOKUP(FY20,IN_Zugliste!$A$4:$C$2002,4,FALSE),"")</f>
        <v/>
      </c>
      <c r="FZ119" t="str">
        <f>+IFERROR(VLOOKUP(FZ20,IN_Zugliste!$A$4:$C$2002,4,FALSE),"")</f>
        <v/>
      </c>
      <c r="GA119" t="str">
        <f>+IFERROR(VLOOKUP(GA20,IN_Zugliste!$A$4:$C$2002,4,FALSE),"")</f>
        <v/>
      </c>
      <c r="GB119" t="str">
        <f>+IFERROR(VLOOKUP(GB20,IN_Zugliste!$A$4:$C$2002,4,FALSE),"")</f>
        <v/>
      </c>
      <c r="GC119" t="str">
        <f>+IFERROR(VLOOKUP(GC20,IN_Zugliste!$A$4:$C$2002,4,FALSE),"")</f>
        <v/>
      </c>
      <c r="GD119" t="str">
        <f>+IFERROR(VLOOKUP(GD20,IN_Zugliste!$A$4:$C$2002,4,FALSE),"")</f>
        <v/>
      </c>
      <c r="GE119" t="str">
        <f>+IFERROR(VLOOKUP(GE20,IN_Zugliste!$A$4:$C$2002,4,FALSE),"")</f>
        <v/>
      </c>
      <c r="GF119" t="str">
        <f>+IFERROR(VLOOKUP(GF20,IN_Zugliste!$A$4:$C$2002,4,FALSE),"")</f>
        <v/>
      </c>
      <c r="GG119" t="str">
        <f>+IFERROR(VLOOKUP(GG20,IN_Zugliste!$A$4:$C$2002,4,FALSE),"")</f>
        <v/>
      </c>
      <c r="GH119" t="str">
        <f>+IFERROR(VLOOKUP(GH20,IN_Zugliste!$A$4:$C$2002,4,FALSE),"")</f>
        <v/>
      </c>
      <c r="GI119" t="str">
        <f>+IFERROR(VLOOKUP(GI20,IN_Zugliste!$A$4:$C$2002,4,FALSE),"")</f>
        <v/>
      </c>
      <c r="GJ119" t="str">
        <f>+IFERROR(VLOOKUP(GJ20,IN_Zugliste!$A$4:$C$2002,4,FALSE),"")</f>
        <v/>
      </c>
      <c r="GK119" t="str">
        <f>+IFERROR(VLOOKUP(GK20,IN_Zugliste!$A$4:$C$2002,4,FALSE),"")</f>
        <v/>
      </c>
      <c r="GL119" t="str">
        <f>+IFERROR(VLOOKUP(GL20,IN_Zugliste!$A$4:$C$2002,4,FALSE),"")</f>
        <v/>
      </c>
      <c r="GM119" t="str">
        <f>+IFERROR(VLOOKUP(GM20,IN_Zugliste!$A$4:$C$2002,4,FALSE),"")</f>
        <v/>
      </c>
      <c r="GN119" t="str">
        <f>+IFERROR(VLOOKUP(GN20,IN_Zugliste!$A$4:$C$2002,4,FALSE),"")</f>
        <v/>
      </c>
      <c r="GO119" t="str">
        <f>+IFERROR(VLOOKUP(GO20,IN_Zugliste!$A$4:$C$2002,4,FALSE),"")</f>
        <v/>
      </c>
      <c r="GP119" t="str">
        <f>+IFERROR(VLOOKUP(GP20,IN_Zugliste!$A$4:$C$2002,4,FALSE),"")</f>
        <v/>
      </c>
      <c r="GQ119" t="str">
        <f>+IFERROR(VLOOKUP(GQ20,IN_Zugliste!$A$4:$C$2002,4,FALSE),"")</f>
        <v/>
      </c>
      <c r="GR119" t="str">
        <f>+IFERROR(VLOOKUP(GR20,IN_Zugliste!$A$4:$C$2002,4,FALSE),"")</f>
        <v/>
      </c>
      <c r="GS119" t="str">
        <f>+IFERROR(VLOOKUP(GS20,IN_Zugliste!$A$4:$C$2002,4,FALSE),"")</f>
        <v/>
      </c>
      <c r="GT119" t="str">
        <f>+IFERROR(VLOOKUP(GT20,IN_Zugliste!$A$4:$C$2002,4,FALSE),"")</f>
        <v/>
      </c>
      <c r="GU119" t="str">
        <f>+IFERROR(VLOOKUP(GU20,IN_Zugliste!$A$4:$C$2002,4,FALSE),"")</f>
        <v/>
      </c>
      <c r="GV119" t="str">
        <f>+IFERROR(VLOOKUP(GV20,IN_Zugliste!$A$4:$C$2002,4,FALSE),"")</f>
        <v/>
      </c>
      <c r="GW119" t="str">
        <f>+IFERROR(VLOOKUP(GW20,IN_Zugliste!$A$4:$C$2002,4,FALSE),"")</f>
        <v/>
      </c>
      <c r="GX119" t="str">
        <f>+IFERROR(VLOOKUP(GX20,IN_Zugliste!$A$4:$C$2002,4,FALSE),"")</f>
        <v/>
      </c>
      <c r="GY119" t="str">
        <f>+IFERROR(VLOOKUP(GY20,IN_Zugliste!$A$4:$C$2002,4,FALSE),"")</f>
        <v/>
      </c>
      <c r="GZ119" t="str">
        <f>+IFERROR(VLOOKUP(GZ20,IN_Zugliste!$A$4:$C$2002,4,FALSE),"")</f>
        <v/>
      </c>
      <c r="HA119" t="str">
        <f>+IFERROR(VLOOKUP(HA20,IN_Zugliste!$A$4:$C$2002,4,FALSE),"")</f>
        <v/>
      </c>
      <c r="HB119" t="str">
        <f>+IFERROR(VLOOKUP(HB20,IN_Zugliste!$A$4:$C$2002,4,FALSE),"")</f>
        <v/>
      </c>
      <c r="HC119" t="str">
        <f>+IFERROR(VLOOKUP(HC20,IN_Zugliste!$A$4:$C$2002,4,FALSE),"")</f>
        <v/>
      </c>
      <c r="HD119" t="str">
        <f>+IFERROR(VLOOKUP(HD20,IN_Zugliste!$A$4:$C$2002,4,FALSE),"")</f>
        <v/>
      </c>
      <c r="HE119" t="str">
        <f>+IFERROR(VLOOKUP(HE20,IN_Zugliste!$A$4:$C$2002,4,FALSE),"")</f>
        <v/>
      </c>
      <c r="HF119" t="str">
        <f>+IFERROR(VLOOKUP(HF20,IN_Zugliste!$A$4:$C$2002,4,FALSE),"")</f>
        <v/>
      </c>
      <c r="HG119" t="str">
        <f>+IFERROR(VLOOKUP(HG20,IN_Zugliste!$A$4:$C$2002,4,FALSE),"")</f>
        <v/>
      </c>
      <c r="HH119" t="str">
        <f>+IFERROR(VLOOKUP(HH20,IN_Zugliste!$A$4:$C$2002,4,FALSE),"")</f>
        <v/>
      </c>
      <c r="HI119" t="str">
        <f>+IFERROR(VLOOKUP(HI20,IN_Zugliste!$A$4:$C$2002,4,FALSE),"")</f>
        <v/>
      </c>
      <c r="HJ119" t="str">
        <f>+IFERROR(VLOOKUP(HJ20,IN_Zugliste!$A$4:$C$2002,4,FALSE),"")</f>
        <v/>
      </c>
      <c r="HK119" t="str">
        <f>+IFERROR(VLOOKUP(HK20,IN_Zugliste!$A$4:$C$2002,4,FALSE),"")</f>
        <v/>
      </c>
      <c r="HL119" t="str">
        <f>+IFERROR(VLOOKUP(HL20,IN_Zugliste!$A$4:$C$2002,4,FALSE),"")</f>
        <v/>
      </c>
      <c r="HM119" t="str">
        <f>+IFERROR(VLOOKUP(HM20,IN_Zugliste!$A$4:$C$2002,4,FALSE),"")</f>
        <v/>
      </c>
      <c r="HN119" t="str">
        <f>+IFERROR(VLOOKUP(HN20,IN_Zugliste!$A$4:$C$2002,4,FALSE),"")</f>
        <v/>
      </c>
      <c r="HO119" t="str">
        <f>+IFERROR(VLOOKUP(HO20,IN_Zugliste!$A$4:$C$2002,4,FALSE),"")</f>
        <v/>
      </c>
      <c r="HP119" t="str">
        <f>+IFERROR(VLOOKUP(HP20,IN_Zugliste!$A$4:$C$2002,4,FALSE),"")</f>
        <v/>
      </c>
      <c r="HQ119" t="str">
        <f>+IFERROR(VLOOKUP(HQ20,IN_Zugliste!$A$4:$C$2002,4,FALSE),"")</f>
        <v/>
      </c>
      <c r="HR119" t="str">
        <f>+IFERROR(VLOOKUP(HR20,IN_Zugliste!$A$4:$C$2002,4,FALSE),"")</f>
        <v/>
      </c>
      <c r="HS119" t="str">
        <f>+IFERROR(VLOOKUP(HS20,IN_Zugliste!$A$4:$C$2002,4,FALSE),"")</f>
        <v/>
      </c>
      <c r="HT119" t="str">
        <f>+IFERROR(VLOOKUP(HT20,IN_Zugliste!$A$4:$C$2002,4,FALSE),"")</f>
        <v/>
      </c>
      <c r="HU119" t="str">
        <f>+IFERROR(VLOOKUP(HU20,IN_Zugliste!$A$4:$C$2002,4,FALSE),"")</f>
        <v/>
      </c>
      <c r="HV119" t="str">
        <f>+IFERROR(VLOOKUP(HV20,IN_Zugliste!$A$4:$C$2002,4,FALSE),"")</f>
        <v/>
      </c>
      <c r="HW119" t="str">
        <f>+IFERROR(VLOOKUP(HW20,IN_Zugliste!$A$4:$C$2002,4,FALSE),"")</f>
        <v/>
      </c>
      <c r="HX119" t="str">
        <f>+IFERROR(VLOOKUP(HX20,IN_Zugliste!$A$4:$C$2002,4,FALSE),"")</f>
        <v/>
      </c>
      <c r="HY119" t="str">
        <f>+IFERROR(VLOOKUP(HY20,IN_Zugliste!$A$4:$C$2002,4,FALSE),"")</f>
        <v/>
      </c>
      <c r="HZ119" t="str">
        <f>+IFERROR(VLOOKUP(HZ20,IN_Zugliste!$A$4:$C$2002,4,FALSE),"")</f>
        <v/>
      </c>
      <c r="IA119" t="str">
        <f>+IFERROR(VLOOKUP(IA20,IN_Zugliste!$A$4:$C$2002,4,FALSE),"")</f>
        <v/>
      </c>
      <c r="IB119" t="str">
        <f>+IFERROR(VLOOKUP(IB20,IN_Zugliste!$A$4:$C$2002,4,FALSE),"")</f>
        <v/>
      </c>
      <c r="IC119" t="str">
        <f>+IFERROR(VLOOKUP(IC20,IN_Zugliste!$A$4:$C$2002,4,FALSE),"")</f>
        <v/>
      </c>
      <c r="ID119" t="str">
        <f>+IFERROR(VLOOKUP(ID20,IN_Zugliste!$A$4:$C$2002,4,FALSE),"")</f>
        <v/>
      </c>
      <c r="IE119" t="str">
        <f>+IFERROR(VLOOKUP(IE20,IN_Zugliste!$A$4:$C$2002,4,FALSE),"")</f>
        <v/>
      </c>
      <c r="IF119" t="str">
        <f>+IFERROR(VLOOKUP(IF20,IN_Zugliste!$A$4:$C$2002,4,FALSE),"")</f>
        <v/>
      </c>
      <c r="IG119" t="str">
        <f>+IFERROR(VLOOKUP(IG20,IN_Zugliste!$A$4:$C$2002,4,FALSE),"")</f>
        <v/>
      </c>
      <c r="IH119" t="str">
        <f>+IFERROR(VLOOKUP(IH20,IN_Zugliste!$A$4:$C$2002,4,FALSE),"")</f>
        <v/>
      </c>
      <c r="II119" t="str">
        <f>+IFERROR(VLOOKUP(II20,IN_Zugliste!$A$4:$C$2002,4,FALSE),"")</f>
        <v/>
      </c>
      <c r="IJ119" t="str">
        <f>+IFERROR(VLOOKUP(IJ20,IN_Zugliste!$A$4:$C$2002,4,FALSE),"")</f>
        <v/>
      </c>
      <c r="IK119" t="str">
        <f>+IFERROR(VLOOKUP(IK20,IN_Zugliste!$A$4:$C$2002,4,FALSE),"")</f>
        <v/>
      </c>
      <c r="IL119" t="str">
        <f>+IFERROR(VLOOKUP(IL20,IN_Zugliste!$A$4:$C$2002,4,FALSE),"")</f>
        <v/>
      </c>
      <c r="IM119" t="str">
        <f>+IFERROR(VLOOKUP(IM20,IN_Zugliste!$A$4:$C$2002,4,FALSE),"")</f>
        <v/>
      </c>
      <c r="IN119" t="str">
        <f>+IFERROR(VLOOKUP(IN20,IN_Zugliste!$A$4:$C$2002,4,FALSE),"")</f>
        <v/>
      </c>
      <c r="IO119" t="str">
        <f>+IFERROR(VLOOKUP(IO20,IN_Zugliste!$A$4:$C$2002,4,FALSE),"")</f>
        <v/>
      </c>
      <c r="IP119" t="str">
        <f>+IFERROR(VLOOKUP(IP20,IN_Zugliste!$A$4:$C$2002,4,FALSE),"")</f>
        <v/>
      </c>
      <c r="IQ119" t="str">
        <f>+IFERROR(VLOOKUP(IQ20,IN_Zugliste!$A$4:$C$2002,4,FALSE),"")</f>
        <v/>
      </c>
      <c r="IR119" t="str">
        <f>+IFERROR(VLOOKUP(IR20,IN_Zugliste!$A$4:$C$2002,4,FALSE),"")</f>
        <v/>
      </c>
      <c r="IS119" t="str">
        <f>+IFERROR(VLOOKUP(IS20,IN_Zugliste!$A$4:$C$2002,4,FALSE),"")</f>
        <v/>
      </c>
      <c r="IT119" t="str">
        <f>+IFERROR(VLOOKUP(IT20,IN_Zugliste!$A$4:$C$2002,4,FALSE),"")</f>
        <v/>
      </c>
      <c r="IU119" t="str">
        <f>+IFERROR(VLOOKUP(IU20,IN_Zugliste!$A$4:$C$2002,4,FALSE),"")</f>
        <v/>
      </c>
      <c r="IV119" t="str">
        <f>+IFERROR(VLOOKUP(IV20,IN_Zugliste!$A$4:$C$2002,4,FALSE),"")</f>
        <v/>
      </c>
      <c r="IW119" t="str">
        <f>+IFERROR(VLOOKUP(IW20,IN_Zugliste!$A$4:$C$2002,4,FALSE),"")</f>
        <v/>
      </c>
      <c r="IX119" t="str">
        <f>+IFERROR(VLOOKUP(IX20,IN_Zugliste!$A$4:$C$2002,4,FALSE),"")</f>
        <v/>
      </c>
      <c r="IY119" t="str">
        <f>+IFERROR(VLOOKUP(IY20,IN_Zugliste!$A$4:$C$2002,4,FALSE),"")</f>
        <v/>
      </c>
      <c r="IZ119" t="str">
        <f>+IFERROR(VLOOKUP(IZ20,IN_Zugliste!$A$4:$C$2002,4,FALSE),"")</f>
        <v/>
      </c>
      <c r="JA119" t="str">
        <f>+IFERROR(VLOOKUP(JA20,IN_Zugliste!$A$4:$C$2002,4,FALSE),"")</f>
        <v/>
      </c>
      <c r="JB119" t="str">
        <f>+IFERROR(VLOOKUP(JB20,IN_Zugliste!$A$4:$C$2002,4,FALSE),"")</f>
        <v/>
      </c>
      <c r="JC119" t="str">
        <f>+IFERROR(VLOOKUP(JC20,IN_Zugliste!$A$4:$C$2002,4,FALSE),"")</f>
        <v/>
      </c>
      <c r="JD119" t="str">
        <f>+IFERROR(VLOOKUP(JD20,IN_Zugliste!$A$4:$C$2002,4,FALSE),"")</f>
        <v/>
      </c>
      <c r="JE119" t="str">
        <f>+IFERROR(VLOOKUP(JE20,IN_Zugliste!$A$4:$C$2002,4,FALSE),"")</f>
        <v/>
      </c>
      <c r="JF119" t="str">
        <f>+IFERROR(VLOOKUP(JF20,IN_Zugliste!$A$4:$C$2002,4,FALSE),"")</f>
        <v/>
      </c>
      <c r="JG119" t="str">
        <f>+IFERROR(VLOOKUP(JG20,IN_Zugliste!$A$4:$C$2002,4,FALSE),"")</f>
        <v/>
      </c>
      <c r="JH119" t="str">
        <f>+IFERROR(VLOOKUP(JH20,IN_Zugliste!$A$4:$C$2002,4,FALSE),"")</f>
        <v/>
      </c>
      <c r="JI119" t="str">
        <f>+IFERROR(VLOOKUP(JI20,IN_Zugliste!$A$4:$C$2002,4,FALSE),"")</f>
        <v/>
      </c>
      <c r="JJ119" t="str">
        <f>+IFERROR(VLOOKUP(JJ20,IN_Zugliste!$A$4:$C$2002,4,FALSE),"")</f>
        <v/>
      </c>
      <c r="JK119" t="str">
        <f>+IFERROR(VLOOKUP(JK20,IN_Zugliste!$A$4:$C$2002,4,FALSE),"")</f>
        <v/>
      </c>
      <c r="JL119" t="str">
        <f>+IFERROR(VLOOKUP(JL20,IN_Zugliste!$A$4:$C$2002,4,FALSE),"")</f>
        <v/>
      </c>
    </row>
    <row r="120" spans="1:272" x14ac:dyDescent="0.2">
      <c r="A120" t="str">
        <f>+IFERROR(VLOOKUP(A21,IN_Zugliste!$A$4:$D$2002,4,FALSE),"")</f>
        <v/>
      </c>
      <c r="B120" t="str">
        <f>+IFERROR(VLOOKUP(B21,IN_Zugliste!$A$4:$D$2002,4,FALSE),"")</f>
        <v/>
      </c>
      <c r="C120" t="str">
        <f>+IFERROR(VLOOKUP(C21,IN_Zugliste!$A$4:$D$2002,4,FALSE),"")</f>
        <v/>
      </c>
      <c r="D120" t="str">
        <f>+IFERROR(VLOOKUP(D21,IN_Zugliste!$A$4:$D$2002,4,FALSE),"")</f>
        <v/>
      </c>
      <c r="E120" t="str">
        <f>+IFERROR(VLOOKUP(E21,IN_Zugliste!$A$4:$D$2002,4,FALSE),"")</f>
        <v/>
      </c>
      <c r="F120" t="str">
        <f>+IFERROR(VLOOKUP(F21,IN_Zugliste!$A$4:$D$2002,4,FALSE),"")</f>
        <v/>
      </c>
      <c r="G120" t="str">
        <f>+IFERROR(VLOOKUP(G21,IN_Zugliste!$A$4:$D$2002,4,FALSE),"")</f>
        <v/>
      </c>
      <c r="H120" t="str">
        <f>+IFERROR(VLOOKUP(H21,IN_Zugliste!$A$4:$D$2002,4,FALSE),"")</f>
        <v/>
      </c>
      <c r="I120" t="str">
        <f>+IFERROR(VLOOKUP(I21,IN_Zugliste!$A$4:$D$2002,4,FALSE),"")</f>
        <v/>
      </c>
      <c r="J120" t="str">
        <f>+IFERROR(VLOOKUP(J21,IN_Zugliste!$A$4:$D$2002,4,FALSE),"")</f>
        <v/>
      </c>
      <c r="K120" t="str">
        <f>+IFERROR(VLOOKUP(K21,IN_Zugliste!$A$4:$D$2002,4,FALSE),"")</f>
        <v/>
      </c>
      <c r="L120" t="str">
        <f>+IFERROR(VLOOKUP(L21,IN_Zugliste!$A$4:$D$2002,4,FALSE),"")</f>
        <v/>
      </c>
      <c r="M120" t="str">
        <f>+IFERROR(VLOOKUP(M21,IN_Zugliste!$A$4:$D$2002,4,FALSE),"")</f>
        <v/>
      </c>
      <c r="N120" t="str">
        <f>+IFERROR(VLOOKUP(N21,IN_Zugliste!$A$4:$D$2002,4,FALSE),"")</f>
        <v/>
      </c>
      <c r="O120" t="str">
        <f>+IFERROR(VLOOKUP(O21,IN_Zugliste!$A$4:$D$2002,4,FALSE),"")</f>
        <v/>
      </c>
      <c r="P120" t="str">
        <f>+IFERROR(VLOOKUP(P21,IN_Zugliste!$A$4:$D$2002,4,FALSE),"")</f>
        <v/>
      </c>
      <c r="Q120" t="str">
        <f>+IFERROR(VLOOKUP(Q21,IN_Zugliste!$A$4:$D$2002,4,FALSE),"")</f>
        <v/>
      </c>
      <c r="R120" t="str">
        <f>+IFERROR(VLOOKUP(R21,IN_Zugliste!$A$4:$D$2002,4,FALSE),"")</f>
        <v/>
      </c>
      <c r="S120" t="str">
        <f>+IFERROR(VLOOKUP(S21,IN_Zugliste!$A$4:$D$2002,4,FALSE),"")</f>
        <v/>
      </c>
      <c r="T120" t="str">
        <f>+IFERROR(VLOOKUP(T21,IN_Zugliste!$A$4:$D$2002,4,FALSE),"")</f>
        <v/>
      </c>
      <c r="U120" t="str">
        <f>+IFERROR(VLOOKUP(U21,IN_Zugliste!$A$4:$D$2002,4,FALSE),"")</f>
        <v/>
      </c>
      <c r="V120" t="str">
        <f>+IFERROR(VLOOKUP(V21,IN_Zugliste!$A$4:$D$2002,4,FALSE),"")</f>
        <v/>
      </c>
      <c r="W120" t="str">
        <f>+IFERROR(VLOOKUP(W21,IN_Zugliste!$A$4:$D$2002,4,FALSE),"")</f>
        <v/>
      </c>
      <c r="X120" t="str">
        <f>+IFERROR(VLOOKUP(X21,IN_Zugliste!$A$4:$D$2002,4,FALSE),"")</f>
        <v/>
      </c>
      <c r="Y120" t="str">
        <f>+IFERROR(VLOOKUP(Y21,IN_Zugliste!$A$4:$D$2002,4,FALSE),"")</f>
        <v/>
      </c>
      <c r="Z120" t="str">
        <f>+IFERROR(VLOOKUP(Z21,IN_Zugliste!$A$4:$D$2002,4,FALSE),"")</f>
        <v/>
      </c>
      <c r="AA120" t="str">
        <f>+IFERROR(VLOOKUP(AA21,IN_Zugliste!$A$4:$D$2002,4,FALSE),"")</f>
        <v/>
      </c>
      <c r="AB120" t="str">
        <f>+IFERROR(VLOOKUP(AB21,IN_Zugliste!$A$4:$D$2002,4,FALSE),"")</f>
        <v/>
      </c>
      <c r="AC120" t="str">
        <f>+IFERROR(VLOOKUP(AC21,IN_Zugliste!$A$4:$D$2002,4,FALSE),"")</f>
        <v/>
      </c>
      <c r="AD120" t="str">
        <f>+IFERROR(VLOOKUP(AD21,IN_Zugliste!$A$4:$D$2002,4,FALSE),"")</f>
        <v/>
      </c>
      <c r="AE120" t="str">
        <f>+IFERROR(VLOOKUP(AE21,IN_Zugliste!$A$4:$D$2002,4,FALSE),"")</f>
        <v/>
      </c>
      <c r="AF120" t="str">
        <f>+IFERROR(VLOOKUP(AF21,IN_Zugliste!$A$4:$D$2002,4,FALSE),"")</f>
        <v/>
      </c>
      <c r="AG120" t="str">
        <f>+IFERROR(VLOOKUP(AG21,IN_Zugliste!$A$4:$D$2002,4,FALSE),"")</f>
        <v/>
      </c>
      <c r="AH120" t="str">
        <f>+IFERROR(VLOOKUP(AH21,IN_Zugliste!$A$4:$D$2002,4,FALSE),"")</f>
        <v/>
      </c>
      <c r="AI120" t="str">
        <f>+IFERROR(VLOOKUP(AI21,IN_Zugliste!$A$4:$D$2002,4,FALSE),"")</f>
        <v/>
      </c>
      <c r="AJ120" t="str">
        <f>+IFERROR(VLOOKUP(AJ21,IN_Zugliste!$A$4:$D$2002,4,FALSE),"")</f>
        <v/>
      </c>
      <c r="AK120" t="str">
        <f>+IFERROR(VLOOKUP(AK21,IN_Zugliste!$A$4:$D$2002,4,FALSE),"")</f>
        <v/>
      </c>
      <c r="AL120" t="str">
        <f>+IFERROR(VLOOKUP(AL21,IN_Zugliste!$A$4:$D$2002,4,FALSE),"")</f>
        <v/>
      </c>
      <c r="AM120" t="str">
        <f>+IFERROR(VLOOKUP(AM21,IN_Zugliste!$A$4:$D$2002,4,FALSE),"")</f>
        <v/>
      </c>
      <c r="AN120" t="str">
        <f>+IFERROR(VLOOKUP(AN21,IN_Zugliste!$A$4:$D$2002,4,FALSE),"")</f>
        <v/>
      </c>
      <c r="AO120" t="str">
        <f>+IFERROR(VLOOKUP(AO21,IN_Zugliste!$A$4:$D$2002,4,FALSE),"")</f>
        <v/>
      </c>
      <c r="AP120" t="str">
        <f>+IFERROR(VLOOKUP(AP21,IN_Zugliste!$A$4:$D$2002,4,FALSE),"")</f>
        <v/>
      </c>
      <c r="AQ120" t="str">
        <f>+IFERROR(VLOOKUP(AQ21,IN_Zugliste!$A$4:$D$2002,4,FALSE),"")</f>
        <v/>
      </c>
      <c r="AR120" t="str">
        <f>+IFERROR(VLOOKUP(AR21,IN_Zugliste!$A$4:$D$2002,4,FALSE),"")</f>
        <v/>
      </c>
      <c r="AS120" t="str">
        <f>+IFERROR(VLOOKUP(AS21,IN_Zugliste!$A$4:$D$2002,4,FALSE),"")</f>
        <v/>
      </c>
      <c r="AT120" t="str">
        <f>+IFERROR(VLOOKUP(AT21,IN_Zugliste!$A$4:$D$2002,4,FALSE),"")</f>
        <v/>
      </c>
      <c r="AU120" t="str">
        <f>+IFERROR(VLOOKUP(AU21,IN_Zugliste!$A$4:$D$2002,4,FALSE),"")</f>
        <v/>
      </c>
      <c r="AV120" t="str">
        <f>+IFERROR(VLOOKUP(AV21,IN_Zugliste!$A$4:$D$2002,4,FALSE),"")</f>
        <v/>
      </c>
      <c r="AW120" t="str">
        <f>+IFERROR(VLOOKUP(AW21,IN_Zugliste!$A$4:$D$2002,4,FALSE),"")</f>
        <v/>
      </c>
      <c r="AX120" t="str">
        <f>+IFERROR(VLOOKUP(AX21,IN_Zugliste!$A$4:$D$2002,4,FALSE),"")</f>
        <v/>
      </c>
      <c r="AY120" t="str">
        <f>+IFERROR(VLOOKUP(AY21,IN_Zugliste!$A$4:$D$2002,4,FALSE),"")</f>
        <v/>
      </c>
      <c r="AZ120" t="str">
        <f>+IFERROR(VLOOKUP(AZ21,IN_Zugliste!$A$4:$D$2002,4,FALSE),"")</f>
        <v/>
      </c>
      <c r="BA120" t="str">
        <f>+IFERROR(VLOOKUP(BA21,IN_Zugliste!$A$4:$D$2002,4,FALSE),"")</f>
        <v/>
      </c>
      <c r="BB120" t="str">
        <f>+IFERROR(VLOOKUP(BB21,IN_Zugliste!$A$4:$D$2002,4,FALSE),"")</f>
        <v/>
      </c>
      <c r="BC120" t="str">
        <f>+IFERROR(VLOOKUP(BC21,IN_Zugliste!$A$4:$D$2002,4,FALSE),"")</f>
        <v/>
      </c>
      <c r="BD120" t="str">
        <f>+IFERROR(VLOOKUP(BD21,IN_Zugliste!$A$4:$D$2002,4,FALSE),"")</f>
        <v/>
      </c>
      <c r="BE120" t="str">
        <f>+IFERROR(VLOOKUP(BE21,IN_Zugliste!$A$4:$D$2002,4,FALSE),"")</f>
        <v/>
      </c>
      <c r="BF120" t="str">
        <f>+IFERROR(VLOOKUP(BF21,IN_Zugliste!$A$4:$D$2002,4,FALSE),"")</f>
        <v/>
      </c>
      <c r="BG120" t="str">
        <f>+IFERROR(VLOOKUP(BG21,IN_Zugliste!$A$4:$D$2002,4,FALSE),"")</f>
        <v/>
      </c>
      <c r="BH120" t="str">
        <f>+IFERROR(VLOOKUP(BH21,IN_Zugliste!$A$4:$D$2002,4,FALSE),"")</f>
        <v/>
      </c>
      <c r="BI120" t="str">
        <f>+IFERROR(VLOOKUP(BI21,IN_Zugliste!$A$4:$D$2002,4,FALSE),"")</f>
        <v/>
      </c>
      <c r="BJ120" t="str">
        <f>+IFERROR(VLOOKUP(BJ21,IN_Zugliste!$A$4:$D$2002,4,FALSE),"")</f>
        <v/>
      </c>
      <c r="BK120" t="str">
        <f>+IFERROR(VLOOKUP(BK21,IN_Zugliste!$A$4:$D$2002,4,FALSE),"")</f>
        <v/>
      </c>
      <c r="BL120" t="str">
        <f>+IFERROR(VLOOKUP(BL21,IN_Zugliste!$A$4:$D$2002,4,FALSE),"")</f>
        <v/>
      </c>
      <c r="BM120" t="str">
        <f>+IFERROR(VLOOKUP(BM21,IN_Zugliste!$A$4:$D$2002,4,FALSE),"")</f>
        <v/>
      </c>
      <c r="BN120" t="str">
        <f>+IFERROR(VLOOKUP(BN21,IN_Zugliste!$A$4:$D$2002,4,FALSE),"")</f>
        <v/>
      </c>
      <c r="BO120" t="str">
        <f>+IFERROR(VLOOKUP(BO21,IN_Zugliste!$A$4:$D$2002,4,FALSE),"")</f>
        <v/>
      </c>
      <c r="BP120" t="str">
        <f>+IFERROR(VLOOKUP(BP21,IN_Zugliste!$A$4:$D$2002,4,FALSE),"")</f>
        <v/>
      </c>
      <c r="BQ120" t="str">
        <f>+IFERROR(VLOOKUP(BQ21,IN_Zugliste!$A$4:$D$2002,4,FALSE),"")</f>
        <v/>
      </c>
      <c r="BR120" t="str">
        <f>+IFERROR(VLOOKUP(BR21,IN_Zugliste!$A$4:$D$2002,4,FALSE),"")</f>
        <v/>
      </c>
      <c r="BS120" t="str">
        <f>+IFERROR(VLOOKUP(BS21,IN_Zugliste!$A$4:$D$2002,4,FALSE),"")</f>
        <v/>
      </c>
      <c r="BT120" t="str">
        <f>+IFERROR(VLOOKUP(BT21,IN_Zugliste!$A$4:$D$2002,4,FALSE),"")</f>
        <v/>
      </c>
      <c r="BU120" t="str">
        <f>+IFERROR(VLOOKUP(BU21,IN_Zugliste!$A$4:$D$2002,4,FALSE),"")</f>
        <v/>
      </c>
      <c r="BV120" t="str">
        <f>+IFERROR(VLOOKUP(BV21,IN_Zugliste!$A$4:$D$2002,4,FALSE),"")</f>
        <v/>
      </c>
      <c r="BW120" t="str">
        <f>+IFERROR(VLOOKUP(BW21,IN_Zugliste!$A$4:$D$2002,4,FALSE),"")</f>
        <v/>
      </c>
      <c r="BX120" t="str">
        <f>+IFERROR(VLOOKUP(BX21,IN_Zugliste!$A$4:$D$2002,4,FALSE),"")</f>
        <v/>
      </c>
      <c r="BY120" t="str">
        <f>+IFERROR(VLOOKUP(BY21,IN_Zugliste!$A$4:$D$2002,4,FALSE),"")</f>
        <v/>
      </c>
      <c r="BZ120" t="str">
        <f>+IFERROR(VLOOKUP(BZ21,IN_Zugliste!$A$4:$D$2002,4,FALSE),"")</f>
        <v/>
      </c>
      <c r="CA120" t="str">
        <f>+IFERROR(VLOOKUP(CA21,IN_Zugliste!$A$4:$D$2002,4,FALSE),"")</f>
        <v/>
      </c>
      <c r="CB120" t="str">
        <f>+IFERROR(VLOOKUP(CB21,IN_Zugliste!$A$4:$D$2002,4,FALSE),"")</f>
        <v/>
      </c>
      <c r="CC120" t="str">
        <f>+IFERROR(VLOOKUP(CC21,IN_Zugliste!$A$4:$D$2002,4,FALSE),"")</f>
        <v/>
      </c>
      <c r="CD120" t="str">
        <f>+IFERROR(VLOOKUP(CD21,IN_Zugliste!$A$4:$D$2002,4,FALSE),"")</f>
        <v/>
      </c>
      <c r="CE120" t="str">
        <f>+IFERROR(VLOOKUP(CE21,IN_Zugliste!$A$4:$D$2002,4,FALSE),"")</f>
        <v/>
      </c>
      <c r="CF120" t="str">
        <f>+IFERROR(VLOOKUP(CF21,IN_Zugliste!$A$4:$D$2002,4,FALSE),"")</f>
        <v/>
      </c>
      <c r="CG120" t="str">
        <f>+IFERROR(VLOOKUP(CG21,IN_Zugliste!$A$4:$D$2002,4,FALSE),"")</f>
        <v/>
      </c>
      <c r="CH120" t="str">
        <f>+IFERROR(VLOOKUP(CH21,IN_Zugliste!$A$4:$D$2002,4,FALSE),"")</f>
        <v/>
      </c>
      <c r="CI120" t="str">
        <f>+IFERROR(VLOOKUP(CI21,IN_Zugliste!$A$4:$D$2002,4,FALSE),"")</f>
        <v/>
      </c>
      <c r="CJ120" t="str">
        <f>+IFERROR(VLOOKUP(CJ21,IN_Zugliste!$A$4:$D$2002,4,FALSE),"")</f>
        <v/>
      </c>
      <c r="CK120" t="str">
        <f>+IFERROR(VLOOKUP(CK21,IN_Zugliste!$A$4:$D$2002,4,FALSE),"")</f>
        <v/>
      </c>
      <c r="CL120" t="str">
        <f>+IFERROR(VLOOKUP(CL21,IN_Zugliste!$A$4:$D$2002,4,FALSE),"")</f>
        <v/>
      </c>
      <c r="CM120" t="str">
        <f>+IFERROR(VLOOKUP(CM21,IN_Zugliste!$A$4:$D$2002,4,FALSE),"")</f>
        <v/>
      </c>
      <c r="CN120" t="str">
        <f>+IFERROR(VLOOKUP(CN21,IN_Zugliste!$A$4:$D$2002,4,FALSE),"")</f>
        <v/>
      </c>
      <c r="CO120" t="str">
        <f>+IFERROR(VLOOKUP(CO21,IN_Zugliste!$A$4:$D$2002,4,FALSE),"")</f>
        <v/>
      </c>
      <c r="CP120" t="str">
        <f>+IFERROR(VLOOKUP(CP21,IN_Zugliste!$A$4:$D$2002,4,FALSE),"")</f>
        <v/>
      </c>
      <c r="CQ120" t="str">
        <f>+IFERROR(VLOOKUP(CQ21,IN_Zugliste!$A$4:$D$2002,4,FALSE),"")</f>
        <v/>
      </c>
      <c r="CR120" t="str">
        <f>+IFERROR(VLOOKUP(CR21,IN_Zugliste!$A$4:$D$2002,4,FALSE),"")</f>
        <v/>
      </c>
      <c r="CS120" t="str">
        <f>+IFERROR(VLOOKUP(CS21,IN_Zugliste!$A$4:$D$2002,4,FALSE),"")</f>
        <v/>
      </c>
      <c r="CT120" t="str">
        <f>+IFERROR(VLOOKUP(CT21,IN_Zugliste!$A$4:$D$2002,4,FALSE),"")</f>
        <v/>
      </c>
      <c r="CU120" t="str">
        <f>+IFERROR(VLOOKUP(CU21,IN_Zugliste!$A$4:$D$2002,4,FALSE),"")</f>
        <v/>
      </c>
      <c r="CV120" t="str">
        <f>+IFERROR(VLOOKUP(CV21,IN_Zugliste!$A$4:$D$2002,4,FALSE),"")</f>
        <v/>
      </c>
      <c r="CW120" t="str">
        <f>+IFERROR(VLOOKUP(CW21,IN_Zugliste!$A$4:$D$2002,4,FALSE),"")</f>
        <v/>
      </c>
      <c r="CX120" t="str">
        <f>+IFERROR(VLOOKUP(CX21,IN_Zugliste!$A$4:$D$2002,4,FALSE),"")</f>
        <v/>
      </c>
      <c r="CY120" t="str">
        <f>+IFERROR(VLOOKUP(CY21,IN_Zugliste!$A$4:$D$2002,4,FALSE),"")</f>
        <v/>
      </c>
      <c r="CZ120" t="str">
        <f>+IFERROR(VLOOKUP(CZ21,IN_Zugliste!$A$4:$D$2002,4,FALSE),"")</f>
        <v/>
      </c>
      <c r="DA120" t="str">
        <f>+IFERROR(VLOOKUP(DA21,IN_Zugliste!$A$4:$D$2002,4,FALSE),"")</f>
        <v/>
      </c>
      <c r="DB120" t="str">
        <f>+IFERROR(VLOOKUP(DB21,IN_Zugliste!$A$4:$D$2002,4,FALSE),"")</f>
        <v/>
      </c>
      <c r="DC120" t="str">
        <f>+IFERROR(VLOOKUP(DC21,IN_Zugliste!$A$4:$D$2002,4,FALSE),"")</f>
        <v/>
      </c>
      <c r="DD120" t="str">
        <f>+IFERROR(VLOOKUP(DD21,IN_Zugliste!$A$4:$D$2002,4,FALSE),"")</f>
        <v/>
      </c>
      <c r="DE120" t="str">
        <f>+IFERROR(VLOOKUP(DE21,IN_Zugliste!$A$4:$D$2002,4,FALSE),"")</f>
        <v/>
      </c>
      <c r="DF120" t="str">
        <f>+IFERROR(VLOOKUP(DF21,IN_Zugliste!$A$4:$D$2002,4,FALSE),"")</f>
        <v/>
      </c>
      <c r="DG120" t="str">
        <f>+IFERROR(VLOOKUP(DG21,IN_Zugliste!$A$4:$D$2002,4,FALSE),"")</f>
        <v/>
      </c>
      <c r="DH120" t="str">
        <f>+IFERROR(VLOOKUP(DH21,IN_Zugliste!$A$4:$D$2002,4,FALSE),"")</f>
        <v/>
      </c>
      <c r="DI120" t="str">
        <f>+IFERROR(VLOOKUP(DI21,IN_Zugliste!$A$4:$D$2002,4,FALSE),"")</f>
        <v/>
      </c>
      <c r="DJ120" t="str">
        <f>+IFERROR(VLOOKUP(DJ21,IN_Zugliste!$A$4:$D$2002,4,FALSE),"")</f>
        <v/>
      </c>
      <c r="DK120" t="str">
        <f>+IFERROR(VLOOKUP(DK21,IN_Zugliste!$A$4:$D$2002,4,FALSE),"")</f>
        <v/>
      </c>
      <c r="DL120" t="str">
        <f>+IFERROR(VLOOKUP(DL21,IN_Zugliste!$A$4:$D$2002,4,FALSE),"")</f>
        <v/>
      </c>
      <c r="DM120" t="str">
        <f>+IFERROR(VLOOKUP(DM21,IN_Zugliste!$A$4:$D$2002,4,FALSE),"")</f>
        <v/>
      </c>
      <c r="DN120" t="str">
        <f>+IFERROR(VLOOKUP(DN21,IN_Zugliste!$A$4:$D$2002,4,FALSE),"")</f>
        <v/>
      </c>
      <c r="DO120" t="str">
        <f>+IFERROR(VLOOKUP(DO21,IN_Zugliste!$A$4:$D$2002,4,FALSE),"")</f>
        <v/>
      </c>
      <c r="DP120" t="str">
        <f>+IFERROR(VLOOKUP(DP21,IN_Zugliste!$A$4:$D$2002,4,FALSE),"")</f>
        <v/>
      </c>
      <c r="DQ120" t="str">
        <f>+IFERROR(VLOOKUP(DQ21,IN_Zugliste!$A$4:$D$2002,4,FALSE),"")</f>
        <v/>
      </c>
      <c r="DR120" t="str">
        <f>+IFERROR(VLOOKUP(DR21,IN_Zugliste!$A$4:$D$2002,4,FALSE),"")</f>
        <v/>
      </c>
      <c r="DS120" t="str">
        <f>+IFERROR(VLOOKUP(DS21,IN_Zugliste!$A$4:$D$2002,4,FALSE),"")</f>
        <v/>
      </c>
      <c r="DT120" t="str">
        <f>+IFERROR(VLOOKUP(DT21,IN_Zugliste!$A$4:$D$2002,4,FALSE),"")</f>
        <v/>
      </c>
      <c r="DU120" t="str">
        <f>+IFERROR(VLOOKUP(DU21,IN_Zugliste!$A$4:$D$2002,4,FALSE),"")</f>
        <v/>
      </c>
      <c r="DV120" t="str">
        <f>+IFERROR(VLOOKUP(DV21,IN_Zugliste!$A$4:$D$2002,4,FALSE),"")</f>
        <v/>
      </c>
      <c r="DW120" t="str">
        <f>+IFERROR(VLOOKUP(DW21,IN_Zugliste!$A$4:$D$2002,4,FALSE),"")</f>
        <v/>
      </c>
      <c r="DX120" t="str">
        <f>+IFERROR(VLOOKUP(DX21,IN_Zugliste!$A$4:$D$2002,4,FALSE),"")</f>
        <v/>
      </c>
      <c r="DY120" t="str">
        <f>+IFERROR(VLOOKUP(DY21,IN_Zugliste!$A$4:$D$2002,4,FALSE),"")</f>
        <v/>
      </c>
      <c r="DZ120" t="str">
        <f>+IFERROR(VLOOKUP(DZ21,IN_Zugliste!$A$4:$D$2002,4,FALSE),"")</f>
        <v/>
      </c>
      <c r="EA120" t="str">
        <f>+IFERROR(VLOOKUP(EA21,IN_Zugliste!$A$4:$D$2002,4,FALSE),"")</f>
        <v/>
      </c>
      <c r="EB120" t="str">
        <f>+IFERROR(VLOOKUP(EB21,IN_Zugliste!$A$4:$D$2002,4,FALSE),"")</f>
        <v/>
      </c>
      <c r="EC120" t="str">
        <f>+IFERROR(VLOOKUP(EC21,IN_Zugliste!$A$4:$D$2002,4,FALSE),"")</f>
        <v/>
      </c>
      <c r="ED120" t="str">
        <f>+IFERROR(VLOOKUP(ED21,IN_Zugliste!$A$4:$D$2002,4,FALSE),"")</f>
        <v/>
      </c>
      <c r="EE120" t="str">
        <f>+IFERROR(VLOOKUP(EE21,IN_Zugliste!$A$4:$D$2002,4,FALSE),"")</f>
        <v/>
      </c>
      <c r="EF120" t="str">
        <f>+IFERROR(VLOOKUP(EF21,IN_Zugliste!$A$4:$D$2002,4,FALSE),"")</f>
        <v/>
      </c>
      <c r="EG120" t="str">
        <f>+IFERROR(VLOOKUP(EG21,IN_Zugliste!$A$4:$D$2002,4,FALSE),"")</f>
        <v/>
      </c>
      <c r="EH120" t="str">
        <f>+IFERROR(VLOOKUP(EH21,IN_Zugliste!$A$4:$D$2002,4,FALSE),"")</f>
        <v/>
      </c>
      <c r="EI120" t="str">
        <f>+IFERROR(VLOOKUP(EI21,IN_Zugliste!$A$4:$D$2002,4,FALSE),"")</f>
        <v/>
      </c>
      <c r="EJ120" t="str">
        <f>+IFERROR(VLOOKUP(EJ21,IN_Zugliste!$A$4:$D$2002,4,FALSE),"")</f>
        <v/>
      </c>
      <c r="EK120" t="str">
        <f>+IFERROR(VLOOKUP(EK21,IN_Zugliste!$A$4:$D$2002,4,FALSE),"")</f>
        <v/>
      </c>
      <c r="EL120" t="str">
        <f>+IFERROR(VLOOKUP(EL21,IN_Zugliste!$A$4:$D$2002,4,FALSE),"")</f>
        <v/>
      </c>
      <c r="EM120" t="str">
        <f>+IFERROR(VLOOKUP(EM21,IN_Zugliste!$A$4:$D$2002,4,FALSE),"")</f>
        <v/>
      </c>
      <c r="EN120" t="str">
        <f>+IFERROR(VLOOKUP(EN21,IN_Zugliste!$A$4:$D$2002,4,FALSE),"")</f>
        <v/>
      </c>
      <c r="EO120" t="str">
        <f>+IFERROR(VLOOKUP(EO21,IN_Zugliste!$A$4:$D$2002,4,FALSE),"")</f>
        <v/>
      </c>
      <c r="EP120" t="str">
        <f>+IFERROR(VLOOKUP(EP21,IN_Zugliste!$A$4:$D$2002,4,FALSE),"")</f>
        <v/>
      </c>
      <c r="EQ120" t="str">
        <f>+IFERROR(VLOOKUP(EQ21,IN_Zugliste!$A$4:$D$2002,4,FALSE),"")</f>
        <v/>
      </c>
      <c r="ER120" t="str">
        <f>+IFERROR(VLOOKUP(ER21,IN_Zugliste!$A$4:$D$2002,4,FALSE),"")</f>
        <v/>
      </c>
      <c r="ES120" t="str">
        <f>+IFERROR(VLOOKUP(ES21,IN_Zugliste!$A$4:$D$2002,4,FALSE),"")</f>
        <v/>
      </c>
      <c r="ET120" t="str">
        <f>+IFERROR(VLOOKUP(ET21,IN_Zugliste!$A$4:$D$2002,4,FALSE),"")</f>
        <v/>
      </c>
      <c r="EU120" t="str">
        <f>+IFERROR(VLOOKUP(EU21,IN_Zugliste!$A$4:$D$2002,4,FALSE),"")</f>
        <v/>
      </c>
      <c r="EV120" t="str">
        <f>+IFERROR(VLOOKUP(EV21,IN_Zugliste!$A$4:$D$2002,4,FALSE),"")</f>
        <v/>
      </c>
      <c r="EW120" t="str">
        <f>+IFERROR(VLOOKUP(EW21,IN_Zugliste!$A$4:$D$2002,4,FALSE),"")</f>
        <v/>
      </c>
      <c r="EX120" t="str">
        <f>+IFERROR(VLOOKUP(EX21,IN_Zugliste!$A$4:$D$2002,4,FALSE),"")</f>
        <v/>
      </c>
      <c r="EY120" t="str">
        <f>+IFERROR(VLOOKUP(EY21,IN_Zugliste!$A$4:$D$2002,4,FALSE),"")</f>
        <v/>
      </c>
      <c r="EZ120" t="str">
        <f>+IFERROR(VLOOKUP(EZ21,IN_Zugliste!$A$4:$D$2002,4,FALSE),"")</f>
        <v/>
      </c>
      <c r="FA120" t="str">
        <f>+IFERROR(VLOOKUP(FA21,IN_Zugliste!$A$4:$D$2002,4,FALSE),"")</f>
        <v/>
      </c>
      <c r="FB120" t="str">
        <f>+IFERROR(VLOOKUP(FB21,IN_Zugliste!$A$4:$D$2002,4,FALSE),"")</f>
        <v/>
      </c>
      <c r="FC120" t="str">
        <f>+IFERROR(VLOOKUP(FC21,IN_Zugliste!$A$4:$D$2002,4,FALSE),"")</f>
        <v/>
      </c>
      <c r="FD120" t="str">
        <f>+IFERROR(VLOOKUP(FD21,IN_Zugliste!$A$4:$D$2002,4,FALSE),"")</f>
        <v/>
      </c>
      <c r="FE120" t="str">
        <f>+IFERROR(VLOOKUP(FE21,IN_Zugliste!$A$4:$D$2002,4,FALSE),"")</f>
        <v/>
      </c>
      <c r="FF120" t="str">
        <f>+IFERROR(VLOOKUP(FF21,IN_Zugliste!$A$4:$D$2002,4,FALSE),"")</f>
        <v/>
      </c>
      <c r="FG120" t="str">
        <f>+IFERROR(VLOOKUP(FG21,IN_Zugliste!$A$4:$D$2002,4,FALSE),"")</f>
        <v/>
      </c>
      <c r="FH120" t="str">
        <f>+IFERROR(VLOOKUP(FH21,IN_Zugliste!$A$4:$D$2002,4,FALSE),"")</f>
        <v/>
      </c>
      <c r="FI120" t="str">
        <f>+IFERROR(VLOOKUP(FI21,IN_Zugliste!$A$4:$D$2002,4,FALSE),"")</f>
        <v/>
      </c>
      <c r="FJ120" t="str">
        <f>+IFERROR(VLOOKUP(FJ21,IN_Zugliste!$A$4:$D$2002,4,FALSE),"")</f>
        <v/>
      </c>
      <c r="FK120" t="str">
        <f>+IFERROR(VLOOKUP(FK21,IN_Zugliste!$A$4:$D$2002,4,FALSE),"")</f>
        <v/>
      </c>
      <c r="FL120" t="str">
        <f>+IFERROR(VLOOKUP(FL21,IN_Zugliste!$A$4:$D$2002,4,FALSE),"")</f>
        <v/>
      </c>
      <c r="FM120" t="str">
        <f>+IFERROR(VLOOKUP(FM21,IN_Zugliste!$A$4:$C$2002,4,FALSE),"")</f>
        <v/>
      </c>
      <c r="FN120" t="str">
        <f>+IFERROR(VLOOKUP(FN21,IN_Zugliste!$A$4:$C$2002,4,FALSE),"")</f>
        <v/>
      </c>
      <c r="FO120" t="str">
        <f>+IFERROR(VLOOKUP(FO21,IN_Zugliste!$A$4:$C$2002,4,FALSE),"")</f>
        <v/>
      </c>
      <c r="FP120" t="str">
        <f>+IFERROR(VLOOKUP(FP21,IN_Zugliste!$A$4:$C$2002,4,FALSE),"")</f>
        <v/>
      </c>
      <c r="FQ120" t="str">
        <f>+IFERROR(VLOOKUP(FQ21,IN_Zugliste!$A$4:$C$2002,4,FALSE),"")</f>
        <v/>
      </c>
      <c r="FR120" t="str">
        <f>+IFERROR(VLOOKUP(FR21,IN_Zugliste!$A$4:$C$2002,4,FALSE),"")</f>
        <v/>
      </c>
      <c r="FS120" t="str">
        <f>+IFERROR(VLOOKUP(FS21,IN_Zugliste!$A$4:$C$2002,4,FALSE),"")</f>
        <v/>
      </c>
      <c r="FT120" t="str">
        <f>+IFERROR(VLOOKUP(FT21,IN_Zugliste!$A$4:$C$2002,4,FALSE),"")</f>
        <v/>
      </c>
      <c r="FU120" t="str">
        <f>+IFERROR(VLOOKUP(FU21,IN_Zugliste!$A$4:$C$2002,4,FALSE),"")</f>
        <v/>
      </c>
      <c r="FV120" t="str">
        <f>+IFERROR(VLOOKUP(FV21,IN_Zugliste!$A$4:$C$2002,4,FALSE),"")</f>
        <v/>
      </c>
      <c r="FW120" t="str">
        <f>+IFERROR(VLOOKUP(FW21,IN_Zugliste!$A$4:$C$2002,4,FALSE),"")</f>
        <v/>
      </c>
      <c r="FX120" t="str">
        <f>+IFERROR(VLOOKUP(FX21,IN_Zugliste!$A$4:$C$2002,4,FALSE),"")</f>
        <v/>
      </c>
      <c r="FY120" t="str">
        <f>+IFERROR(VLOOKUP(FY21,IN_Zugliste!$A$4:$C$2002,4,FALSE),"")</f>
        <v/>
      </c>
      <c r="FZ120" t="str">
        <f>+IFERROR(VLOOKUP(FZ21,IN_Zugliste!$A$4:$C$2002,4,FALSE),"")</f>
        <v/>
      </c>
      <c r="GA120" t="str">
        <f>+IFERROR(VLOOKUP(GA21,IN_Zugliste!$A$4:$C$2002,4,FALSE),"")</f>
        <v/>
      </c>
      <c r="GB120" t="str">
        <f>+IFERROR(VLOOKUP(GB21,IN_Zugliste!$A$4:$C$2002,4,FALSE),"")</f>
        <v/>
      </c>
      <c r="GC120" t="str">
        <f>+IFERROR(VLOOKUP(GC21,IN_Zugliste!$A$4:$C$2002,4,FALSE),"")</f>
        <v/>
      </c>
      <c r="GD120" t="str">
        <f>+IFERROR(VLOOKUP(GD21,IN_Zugliste!$A$4:$C$2002,4,FALSE),"")</f>
        <v/>
      </c>
      <c r="GE120" t="str">
        <f>+IFERROR(VLOOKUP(GE21,IN_Zugliste!$A$4:$C$2002,4,FALSE),"")</f>
        <v/>
      </c>
      <c r="GF120" t="str">
        <f>+IFERROR(VLOOKUP(GF21,IN_Zugliste!$A$4:$C$2002,4,FALSE),"")</f>
        <v/>
      </c>
      <c r="GG120" t="str">
        <f>+IFERROR(VLOOKUP(GG21,IN_Zugliste!$A$4:$C$2002,4,FALSE),"")</f>
        <v/>
      </c>
      <c r="GH120" t="str">
        <f>+IFERROR(VLOOKUP(GH21,IN_Zugliste!$A$4:$C$2002,4,FALSE),"")</f>
        <v/>
      </c>
      <c r="GI120" t="str">
        <f>+IFERROR(VLOOKUP(GI21,IN_Zugliste!$A$4:$C$2002,4,FALSE),"")</f>
        <v/>
      </c>
      <c r="GJ120" t="str">
        <f>+IFERROR(VLOOKUP(GJ21,IN_Zugliste!$A$4:$C$2002,4,FALSE),"")</f>
        <v/>
      </c>
      <c r="GK120" t="str">
        <f>+IFERROR(VLOOKUP(GK21,IN_Zugliste!$A$4:$C$2002,4,FALSE),"")</f>
        <v/>
      </c>
      <c r="GL120" t="str">
        <f>+IFERROR(VLOOKUP(GL21,IN_Zugliste!$A$4:$C$2002,4,FALSE),"")</f>
        <v/>
      </c>
      <c r="GM120" t="str">
        <f>+IFERROR(VLOOKUP(GM21,IN_Zugliste!$A$4:$C$2002,4,FALSE),"")</f>
        <v/>
      </c>
      <c r="GN120" t="str">
        <f>+IFERROR(VLOOKUP(GN21,IN_Zugliste!$A$4:$C$2002,4,FALSE),"")</f>
        <v/>
      </c>
      <c r="GO120" t="str">
        <f>+IFERROR(VLOOKUP(GO21,IN_Zugliste!$A$4:$C$2002,4,FALSE),"")</f>
        <v/>
      </c>
      <c r="GP120" t="str">
        <f>+IFERROR(VLOOKUP(GP21,IN_Zugliste!$A$4:$C$2002,4,FALSE),"")</f>
        <v/>
      </c>
      <c r="GQ120" t="str">
        <f>+IFERROR(VLOOKUP(GQ21,IN_Zugliste!$A$4:$C$2002,4,FALSE),"")</f>
        <v/>
      </c>
      <c r="GR120" t="str">
        <f>+IFERROR(VLOOKUP(GR21,IN_Zugliste!$A$4:$C$2002,4,FALSE),"")</f>
        <v/>
      </c>
      <c r="GS120" t="str">
        <f>+IFERROR(VLOOKUP(GS21,IN_Zugliste!$A$4:$C$2002,4,FALSE),"")</f>
        <v/>
      </c>
      <c r="GT120" t="str">
        <f>+IFERROR(VLOOKUP(GT21,IN_Zugliste!$A$4:$C$2002,4,FALSE),"")</f>
        <v/>
      </c>
      <c r="GU120" t="str">
        <f>+IFERROR(VLOOKUP(GU21,IN_Zugliste!$A$4:$C$2002,4,FALSE),"")</f>
        <v/>
      </c>
      <c r="GV120" t="str">
        <f>+IFERROR(VLOOKUP(GV21,IN_Zugliste!$A$4:$C$2002,4,FALSE),"")</f>
        <v/>
      </c>
      <c r="GW120" t="str">
        <f>+IFERROR(VLOOKUP(GW21,IN_Zugliste!$A$4:$C$2002,4,FALSE),"")</f>
        <v/>
      </c>
      <c r="GX120" t="str">
        <f>+IFERROR(VLOOKUP(GX21,IN_Zugliste!$A$4:$C$2002,4,FALSE),"")</f>
        <v/>
      </c>
      <c r="GY120" t="str">
        <f>+IFERROR(VLOOKUP(GY21,IN_Zugliste!$A$4:$C$2002,4,FALSE),"")</f>
        <v/>
      </c>
      <c r="GZ120" t="str">
        <f>+IFERROR(VLOOKUP(GZ21,IN_Zugliste!$A$4:$C$2002,4,FALSE),"")</f>
        <v/>
      </c>
      <c r="HA120" t="str">
        <f>+IFERROR(VLOOKUP(HA21,IN_Zugliste!$A$4:$C$2002,4,FALSE),"")</f>
        <v/>
      </c>
      <c r="HB120" t="str">
        <f>+IFERROR(VLOOKUP(HB21,IN_Zugliste!$A$4:$C$2002,4,FALSE),"")</f>
        <v/>
      </c>
      <c r="HC120" t="str">
        <f>+IFERROR(VLOOKUP(HC21,IN_Zugliste!$A$4:$C$2002,4,FALSE),"")</f>
        <v/>
      </c>
      <c r="HD120" t="str">
        <f>+IFERROR(VLOOKUP(HD21,IN_Zugliste!$A$4:$C$2002,4,FALSE),"")</f>
        <v/>
      </c>
      <c r="HE120" t="str">
        <f>+IFERROR(VLOOKUP(HE21,IN_Zugliste!$A$4:$C$2002,4,FALSE),"")</f>
        <v/>
      </c>
      <c r="HF120" t="str">
        <f>+IFERROR(VLOOKUP(HF21,IN_Zugliste!$A$4:$C$2002,4,FALSE),"")</f>
        <v/>
      </c>
      <c r="HG120" t="str">
        <f>+IFERROR(VLOOKUP(HG21,IN_Zugliste!$A$4:$C$2002,4,FALSE),"")</f>
        <v/>
      </c>
      <c r="HH120" t="str">
        <f>+IFERROR(VLOOKUP(HH21,IN_Zugliste!$A$4:$C$2002,4,FALSE),"")</f>
        <v/>
      </c>
      <c r="HI120" t="str">
        <f>+IFERROR(VLOOKUP(HI21,IN_Zugliste!$A$4:$C$2002,4,FALSE),"")</f>
        <v/>
      </c>
      <c r="HJ120" t="str">
        <f>+IFERROR(VLOOKUP(HJ21,IN_Zugliste!$A$4:$C$2002,4,FALSE),"")</f>
        <v/>
      </c>
      <c r="HK120" t="str">
        <f>+IFERROR(VLOOKUP(HK21,IN_Zugliste!$A$4:$C$2002,4,FALSE),"")</f>
        <v/>
      </c>
      <c r="HL120" t="str">
        <f>+IFERROR(VLOOKUP(HL21,IN_Zugliste!$A$4:$C$2002,4,FALSE),"")</f>
        <v/>
      </c>
      <c r="HM120" t="str">
        <f>+IFERROR(VLOOKUP(HM21,IN_Zugliste!$A$4:$C$2002,4,FALSE),"")</f>
        <v/>
      </c>
      <c r="HN120" t="str">
        <f>+IFERROR(VLOOKUP(HN21,IN_Zugliste!$A$4:$C$2002,4,FALSE),"")</f>
        <v/>
      </c>
      <c r="HO120" t="str">
        <f>+IFERROR(VLOOKUP(HO21,IN_Zugliste!$A$4:$C$2002,4,FALSE),"")</f>
        <v/>
      </c>
      <c r="HP120" t="str">
        <f>+IFERROR(VLOOKUP(HP21,IN_Zugliste!$A$4:$C$2002,4,FALSE),"")</f>
        <v/>
      </c>
      <c r="HQ120" t="str">
        <f>+IFERROR(VLOOKUP(HQ21,IN_Zugliste!$A$4:$C$2002,4,FALSE),"")</f>
        <v/>
      </c>
      <c r="HR120" t="str">
        <f>+IFERROR(VLOOKUP(HR21,IN_Zugliste!$A$4:$C$2002,4,FALSE),"")</f>
        <v/>
      </c>
      <c r="HS120" t="str">
        <f>+IFERROR(VLOOKUP(HS21,IN_Zugliste!$A$4:$C$2002,4,FALSE),"")</f>
        <v/>
      </c>
      <c r="HT120" t="str">
        <f>+IFERROR(VLOOKUP(HT21,IN_Zugliste!$A$4:$C$2002,4,FALSE),"")</f>
        <v/>
      </c>
      <c r="HU120" t="str">
        <f>+IFERROR(VLOOKUP(HU21,IN_Zugliste!$A$4:$C$2002,4,FALSE),"")</f>
        <v/>
      </c>
      <c r="HV120" t="str">
        <f>+IFERROR(VLOOKUP(HV21,IN_Zugliste!$A$4:$C$2002,4,FALSE),"")</f>
        <v/>
      </c>
      <c r="HW120" t="str">
        <f>+IFERROR(VLOOKUP(HW21,IN_Zugliste!$A$4:$C$2002,4,FALSE),"")</f>
        <v/>
      </c>
      <c r="HX120" t="str">
        <f>+IFERROR(VLOOKUP(HX21,IN_Zugliste!$A$4:$C$2002,4,FALSE),"")</f>
        <v/>
      </c>
      <c r="HY120" t="str">
        <f>+IFERROR(VLOOKUP(HY21,IN_Zugliste!$A$4:$C$2002,4,FALSE),"")</f>
        <v/>
      </c>
      <c r="HZ120" t="str">
        <f>+IFERROR(VLOOKUP(HZ21,IN_Zugliste!$A$4:$C$2002,4,FALSE),"")</f>
        <v/>
      </c>
      <c r="IA120" t="str">
        <f>+IFERROR(VLOOKUP(IA21,IN_Zugliste!$A$4:$C$2002,4,FALSE),"")</f>
        <v/>
      </c>
      <c r="IB120" t="str">
        <f>+IFERROR(VLOOKUP(IB21,IN_Zugliste!$A$4:$C$2002,4,FALSE),"")</f>
        <v/>
      </c>
      <c r="IC120" t="str">
        <f>+IFERROR(VLOOKUP(IC21,IN_Zugliste!$A$4:$C$2002,4,FALSE),"")</f>
        <v/>
      </c>
      <c r="ID120" t="str">
        <f>+IFERROR(VLOOKUP(ID21,IN_Zugliste!$A$4:$C$2002,4,FALSE),"")</f>
        <v/>
      </c>
      <c r="IE120" t="str">
        <f>+IFERROR(VLOOKUP(IE21,IN_Zugliste!$A$4:$C$2002,4,FALSE),"")</f>
        <v/>
      </c>
      <c r="IF120" t="str">
        <f>+IFERROR(VLOOKUP(IF21,IN_Zugliste!$A$4:$C$2002,4,FALSE),"")</f>
        <v/>
      </c>
      <c r="IG120" t="str">
        <f>+IFERROR(VLOOKUP(IG21,IN_Zugliste!$A$4:$C$2002,4,FALSE),"")</f>
        <v/>
      </c>
      <c r="IH120" t="str">
        <f>+IFERROR(VLOOKUP(IH21,IN_Zugliste!$A$4:$C$2002,4,FALSE),"")</f>
        <v/>
      </c>
      <c r="II120" t="str">
        <f>+IFERROR(VLOOKUP(II21,IN_Zugliste!$A$4:$C$2002,4,FALSE),"")</f>
        <v/>
      </c>
      <c r="IJ120" t="str">
        <f>+IFERROR(VLOOKUP(IJ21,IN_Zugliste!$A$4:$C$2002,4,FALSE),"")</f>
        <v/>
      </c>
      <c r="IK120" t="str">
        <f>+IFERROR(VLOOKUP(IK21,IN_Zugliste!$A$4:$C$2002,4,FALSE),"")</f>
        <v/>
      </c>
      <c r="IL120" t="str">
        <f>+IFERROR(VLOOKUP(IL21,IN_Zugliste!$A$4:$C$2002,4,FALSE),"")</f>
        <v/>
      </c>
      <c r="IM120" t="str">
        <f>+IFERROR(VLOOKUP(IM21,IN_Zugliste!$A$4:$C$2002,4,FALSE),"")</f>
        <v/>
      </c>
      <c r="IN120" t="str">
        <f>+IFERROR(VLOOKUP(IN21,IN_Zugliste!$A$4:$C$2002,4,FALSE),"")</f>
        <v/>
      </c>
      <c r="IO120" t="str">
        <f>+IFERROR(VLOOKUP(IO21,IN_Zugliste!$A$4:$C$2002,4,FALSE),"")</f>
        <v/>
      </c>
      <c r="IP120" t="str">
        <f>+IFERROR(VLOOKUP(IP21,IN_Zugliste!$A$4:$C$2002,4,FALSE),"")</f>
        <v/>
      </c>
      <c r="IQ120" t="str">
        <f>+IFERROR(VLOOKUP(IQ21,IN_Zugliste!$A$4:$C$2002,4,FALSE),"")</f>
        <v/>
      </c>
      <c r="IR120" t="str">
        <f>+IFERROR(VLOOKUP(IR21,IN_Zugliste!$A$4:$C$2002,4,FALSE),"")</f>
        <v/>
      </c>
      <c r="IS120" t="str">
        <f>+IFERROR(VLOOKUP(IS21,IN_Zugliste!$A$4:$C$2002,4,FALSE),"")</f>
        <v/>
      </c>
      <c r="IT120" t="str">
        <f>+IFERROR(VLOOKUP(IT21,IN_Zugliste!$A$4:$C$2002,4,FALSE),"")</f>
        <v/>
      </c>
      <c r="IU120" t="str">
        <f>+IFERROR(VLOOKUP(IU21,IN_Zugliste!$A$4:$C$2002,4,FALSE),"")</f>
        <v/>
      </c>
      <c r="IV120" t="str">
        <f>+IFERROR(VLOOKUP(IV21,IN_Zugliste!$A$4:$C$2002,4,FALSE),"")</f>
        <v/>
      </c>
      <c r="IW120" t="str">
        <f>+IFERROR(VLOOKUP(IW21,IN_Zugliste!$A$4:$C$2002,4,FALSE),"")</f>
        <v/>
      </c>
      <c r="IX120" t="str">
        <f>+IFERROR(VLOOKUP(IX21,IN_Zugliste!$A$4:$C$2002,4,FALSE),"")</f>
        <v/>
      </c>
      <c r="IY120" t="str">
        <f>+IFERROR(VLOOKUP(IY21,IN_Zugliste!$A$4:$C$2002,4,FALSE),"")</f>
        <v/>
      </c>
      <c r="IZ120" t="str">
        <f>+IFERROR(VLOOKUP(IZ21,IN_Zugliste!$A$4:$C$2002,4,FALSE),"")</f>
        <v/>
      </c>
      <c r="JA120" t="str">
        <f>+IFERROR(VLOOKUP(JA21,IN_Zugliste!$A$4:$C$2002,4,FALSE),"")</f>
        <v/>
      </c>
      <c r="JB120" t="str">
        <f>+IFERROR(VLOOKUP(JB21,IN_Zugliste!$A$4:$C$2002,4,FALSE),"")</f>
        <v/>
      </c>
      <c r="JC120" t="str">
        <f>+IFERROR(VLOOKUP(JC21,IN_Zugliste!$A$4:$C$2002,4,FALSE),"")</f>
        <v/>
      </c>
      <c r="JD120" t="str">
        <f>+IFERROR(VLOOKUP(JD21,IN_Zugliste!$A$4:$C$2002,4,FALSE),"")</f>
        <v/>
      </c>
      <c r="JE120" t="str">
        <f>+IFERROR(VLOOKUP(JE21,IN_Zugliste!$A$4:$C$2002,4,FALSE),"")</f>
        <v/>
      </c>
      <c r="JF120" t="str">
        <f>+IFERROR(VLOOKUP(JF21,IN_Zugliste!$A$4:$C$2002,4,FALSE),"")</f>
        <v/>
      </c>
      <c r="JG120" t="str">
        <f>+IFERROR(VLOOKUP(JG21,IN_Zugliste!$A$4:$C$2002,4,FALSE),"")</f>
        <v/>
      </c>
      <c r="JH120" t="str">
        <f>+IFERROR(VLOOKUP(JH21,IN_Zugliste!$A$4:$C$2002,4,FALSE),"")</f>
        <v/>
      </c>
      <c r="JI120" t="str">
        <f>+IFERROR(VLOOKUP(JI21,IN_Zugliste!$A$4:$C$2002,4,FALSE),"")</f>
        <v/>
      </c>
      <c r="JJ120" t="str">
        <f>+IFERROR(VLOOKUP(JJ21,IN_Zugliste!$A$4:$C$2002,4,FALSE),"")</f>
        <v/>
      </c>
      <c r="JK120" t="str">
        <f>+IFERROR(VLOOKUP(JK21,IN_Zugliste!$A$4:$C$2002,4,FALSE),"")</f>
        <v/>
      </c>
      <c r="JL120" t="str">
        <f>+IFERROR(VLOOKUP(JL21,IN_Zugliste!$A$4:$C$2002,4,FALSE),"")</f>
        <v/>
      </c>
    </row>
    <row r="121" spans="1:272" x14ac:dyDescent="0.2">
      <c r="A121" t="str">
        <f>+IFERROR(VLOOKUP(A22,IN_Zugliste!$A$4:$D$2002,4,FALSE),"")</f>
        <v/>
      </c>
      <c r="B121" t="str">
        <f>+IFERROR(VLOOKUP(B22,IN_Zugliste!$A$4:$D$2002,4,FALSE),"")</f>
        <v/>
      </c>
      <c r="C121" t="str">
        <f>+IFERROR(VLOOKUP(C22,IN_Zugliste!$A$4:$D$2002,4,FALSE),"")</f>
        <v/>
      </c>
      <c r="D121" t="str">
        <f>+IFERROR(VLOOKUP(D22,IN_Zugliste!$A$4:$D$2002,4,FALSE),"")</f>
        <v/>
      </c>
      <c r="E121" t="str">
        <f>+IFERROR(VLOOKUP(E22,IN_Zugliste!$A$4:$D$2002,4,FALSE),"")</f>
        <v/>
      </c>
      <c r="F121" t="str">
        <f>+IFERROR(VLOOKUP(F22,IN_Zugliste!$A$4:$D$2002,4,FALSE),"")</f>
        <v/>
      </c>
      <c r="G121" t="str">
        <f>+IFERROR(VLOOKUP(G22,IN_Zugliste!$A$4:$D$2002,4,FALSE),"")</f>
        <v/>
      </c>
      <c r="H121" t="str">
        <f>+IFERROR(VLOOKUP(H22,IN_Zugliste!$A$4:$D$2002,4,FALSE),"")</f>
        <v/>
      </c>
      <c r="I121" t="str">
        <f>+IFERROR(VLOOKUP(I22,IN_Zugliste!$A$4:$D$2002,4,FALSE),"")</f>
        <v/>
      </c>
      <c r="J121" t="str">
        <f>+IFERROR(VLOOKUP(J22,IN_Zugliste!$A$4:$D$2002,4,FALSE),"")</f>
        <v/>
      </c>
      <c r="K121" t="str">
        <f>+IFERROR(VLOOKUP(K22,IN_Zugliste!$A$4:$D$2002,4,FALSE),"")</f>
        <v/>
      </c>
      <c r="L121" t="str">
        <f>+IFERROR(VLOOKUP(L22,IN_Zugliste!$A$4:$D$2002,4,FALSE),"")</f>
        <v/>
      </c>
      <c r="M121" t="str">
        <f>+IFERROR(VLOOKUP(M22,IN_Zugliste!$A$4:$D$2002,4,FALSE),"")</f>
        <v/>
      </c>
      <c r="N121" t="str">
        <f>+IFERROR(VLOOKUP(N22,IN_Zugliste!$A$4:$D$2002,4,FALSE),"")</f>
        <v/>
      </c>
      <c r="O121" t="str">
        <f>+IFERROR(VLOOKUP(O22,IN_Zugliste!$A$4:$D$2002,4,FALSE),"")</f>
        <v/>
      </c>
      <c r="P121" t="str">
        <f>+IFERROR(VLOOKUP(P22,IN_Zugliste!$A$4:$D$2002,4,FALSE),"")</f>
        <v/>
      </c>
      <c r="Q121" t="str">
        <f>+IFERROR(VLOOKUP(Q22,IN_Zugliste!$A$4:$D$2002,4,FALSE),"")</f>
        <v/>
      </c>
      <c r="R121" t="str">
        <f>+IFERROR(VLOOKUP(R22,IN_Zugliste!$A$4:$D$2002,4,FALSE),"")</f>
        <v/>
      </c>
      <c r="S121" t="str">
        <f>+IFERROR(VLOOKUP(S22,IN_Zugliste!$A$4:$D$2002,4,FALSE),"")</f>
        <v/>
      </c>
      <c r="T121" t="str">
        <f>+IFERROR(VLOOKUP(T22,IN_Zugliste!$A$4:$D$2002,4,FALSE),"")</f>
        <v/>
      </c>
      <c r="U121" t="str">
        <f>+IFERROR(VLOOKUP(U22,IN_Zugliste!$A$4:$D$2002,4,FALSE),"")</f>
        <v/>
      </c>
      <c r="V121" t="str">
        <f>+IFERROR(VLOOKUP(V22,IN_Zugliste!$A$4:$D$2002,4,FALSE),"")</f>
        <v/>
      </c>
      <c r="W121" t="str">
        <f>+IFERROR(VLOOKUP(W22,IN_Zugliste!$A$4:$D$2002,4,FALSE),"")</f>
        <v/>
      </c>
      <c r="X121" t="str">
        <f>+IFERROR(VLOOKUP(X22,IN_Zugliste!$A$4:$D$2002,4,FALSE),"")</f>
        <v/>
      </c>
      <c r="Y121" t="str">
        <f>+IFERROR(VLOOKUP(Y22,IN_Zugliste!$A$4:$D$2002,4,FALSE),"")</f>
        <v/>
      </c>
      <c r="Z121" t="str">
        <f>+IFERROR(VLOOKUP(Z22,IN_Zugliste!$A$4:$D$2002,4,FALSE),"")</f>
        <v/>
      </c>
      <c r="AA121" t="str">
        <f>+IFERROR(VLOOKUP(AA22,IN_Zugliste!$A$4:$D$2002,4,FALSE),"")</f>
        <v/>
      </c>
      <c r="AB121" t="str">
        <f>+IFERROR(VLOOKUP(AB22,IN_Zugliste!$A$4:$D$2002,4,FALSE),"")</f>
        <v/>
      </c>
      <c r="AC121" t="str">
        <f>+IFERROR(VLOOKUP(AC22,IN_Zugliste!$A$4:$D$2002,4,FALSE),"")</f>
        <v/>
      </c>
      <c r="AD121" t="str">
        <f>+IFERROR(VLOOKUP(AD22,IN_Zugliste!$A$4:$D$2002,4,FALSE),"")</f>
        <v/>
      </c>
      <c r="AE121" t="str">
        <f>+IFERROR(VLOOKUP(AE22,IN_Zugliste!$A$4:$D$2002,4,FALSE),"")</f>
        <v/>
      </c>
      <c r="AF121" t="str">
        <f>+IFERROR(VLOOKUP(AF22,IN_Zugliste!$A$4:$D$2002,4,FALSE),"")</f>
        <v/>
      </c>
      <c r="AG121" t="str">
        <f>+IFERROR(VLOOKUP(AG22,IN_Zugliste!$A$4:$D$2002,4,FALSE),"")</f>
        <v/>
      </c>
      <c r="AH121" t="str">
        <f>+IFERROR(VLOOKUP(AH22,IN_Zugliste!$A$4:$D$2002,4,FALSE),"")</f>
        <v/>
      </c>
      <c r="AI121" t="str">
        <f>+IFERROR(VLOOKUP(AI22,IN_Zugliste!$A$4:$D$2002,4,FALSE),"")</f>
        <v/>
      </c>
      <c r="AJ121" t="str">
        <f>+IFERROR(VLOOKUP(AJ22,IN_Zugliste!$A$4:$D$2002,4,FALSE),"")</f>
        <v/>
      </c>
      <c r="AK121" t="str">
        <f>+IFERROR(VLOOKUP(AK22,IN_Zugliste!$A$4:$D$2002,4,FALSE),"")</f>
        <v/>
      </c>
      <c r="AL121" t="str">
        <f>+IFERROR(VLOOKUP(AL22,IN_Zugliste!$A$4:$D$2002,4,FALSE),"")</f>
        <v/>
      </c>
      <c r="AM121" t="str">
        <f>+IFERROR(VLOOKUP(AM22,IN_Zugliste!$A$4:$D$2002,4,FALSE),"")</f>
        <v/>
      </c>
      <c r="AN121" t="str">
        <f>+IFERROR(VLOOKUP(AN22,IN_Zugliste!$A$4:$D$2002,4,FALSE),"")</f>
        <v/>
      </c>
      <c r="AO121" t="str">
        <f>+IFERROR(VLOOKUP(AO22,IN_Zugliste!$A$4:$D$2002,4,FALSE),"")</f>
        <v/>
      </c>
      <c r="AP121" t="str">
        <f>+IFERROR(VLOOKUP(AP22,IN_Zugliste!$A$4:$D$2002,4,FALSE),"")</f>
        <v/>
      </c>
      <c r="AQ121" t="str">
        <f>+IFERROR(VLOOKUP(AQ22,IN_Zugliste!$A$4:$D$2002,4,FALSE),"")</f>
        <v/>
      </c>
      <c r="AR121" t="str">
        <f>+IFERROR(VLOOKUP(AR22,IN_Zugliste!$A$4:$D$2002,4,FALSE),"")</f>
        <v/>
      </c>
      <c r="AS121" t="str">
        <f>+IFERROR(VLOOKUP(AS22,IN_Zugliste!$A$4:$D$2002,4,FALSE),"")</f>
        <v/>
      </c>
      <c r="AT121" t="str">
        <f>+IFERROR(VLOOKUP(AT22,IN_Zugliste!$A$4:$D$2002,4,FALSE),"")</f>
        <v/>
      </c>
      <c r="AU121" t="str">
        <f>+IFERROR(VLOOKUP(AU22,IN_Zugliste!$A$4:$D$2002,4,FALSE),"")</f>
        <v/>
      </c>
      <c r="AV121" t="str">
        <f>+IFERROR(VLOOKUP(AV22,IN_Zugliste!$A$4:$D$2002,4,FALSE),"")</f>
        <v/>
      </c>
      <c r="AW121" t="str">
        <f>+IFERROR(VLOOKUP(AW22,IN_Zugliste!$A$4:$D$2002,4,FALSE),"")</f>
        <v/>
      </c>
      <c r="AX121" t="str">
        <f>+IFERROR(VLOOKUP(AX22,IN_Zugliste!$A$4:$D$2002,4,FALSE),"")</f>
        <v/>
      </c>
      <c r="AY121" t="str">
        <f>+IFERROR(VLOOKUP(AY22,IN_Zugliste!$A$4:$D$2002,4,FALSE),"")</f>
        <v/>
      </c>
      <c r="AZ121" t="str">
        <f>+IFERROR(VLOOKUP(AZ22,IN_Zugliste!$A$4:$D$2002,4,FALSE),"")</f>
        <v/>
      </c>
      <c r="BA121" t="str">
        <f>+IFERROR(VLOOKUP(BA22,IN_Zugliste!$A$4:$D$2002,4,FALSE),"")</f>
        <v/>
      </c>
      <c r="BB121" t="str">
        <f>+IFERROR(VLOOKUP(BB22,IN_Zugliste!$A$4:$D$2002,4,FALSE),"")</f>
        <v/>
      </c>
      <c r="BC121" t="str">
        <f>+IFERROR(VLOOKUP(BC22,IN_Zugliste!$A$4:$D$2002,4,FALSE),"")</f>
        <v/>
      </c>
      <c r="BD121" t="str">
        <f>+IFERROR(VLOOKUP(BD22,IN_Zugliste!$A$4:$D$2002,4,FALSE),"")</f>
        <v/>
      </c>
      <c r="BE121" t="str">
        <f>+IFERROR(VLOOKUP(BE22,IN_Zugliste!$A$4:$D$2002,4,FALSE),"")</f>
        <v/>
      </c>
      <c r="BF121" t="str">
        <f>+IFERROR(VLOOKUP(BF22,IN_Zugliste!$A$4:$D$2002,4,FALSE),"")</f>
        <v/>
      </c>
      <c r="BG121" t="str">
        <f>+IFERROR(VLOOKUP(BG22,IN_Zugliste!$A$4:$D$2002,4,FALSE),"")</f>
        <v/>
      </c>
      <c r="BH121" t="str">
        <f>+IFERROR(VLOOKUP(BH22,IN_Zugliste!$A$4:$D$2002,4,FALSE),"")</f>
        <v/>
      </c>
      <c r="BI121" t="str">
        <f>+IFERROR(VLOOKUP(BI22,IN_Zugliste!$A$4:$D$2002,4,FALSE),"")</f>
        <v/>
      </c>
      <c r="BJ121" t="str">
        <f>+IFERROR(VLOOKUP(BJ22,IN_Zugliste!$A$4:$D$2002,4,FALSE),"")</f>
        <v/>
      </c>
      <c r="BK121" t="str">
        <f>+IFERROR(VLOOKUP(BK22,IN_Zugliste!$A$4:$D$2002,4,FALSE),"")</f>
        <v/>
      </c>
      <c r="BL121" t="str">
        <f>+IFERROR(VLOOKUP(BL22,IN_Zugliste!$A$4:$D$2002,4,FALSE),"")</f>
        <v/>
      </c>
      <c r="BM121" t="str">
        <f>+IFERROR(VLOOKUP(BM22,IN_Zugliste!$A$4:$D$2002,4,FALSE),"")</f>
        <v/>
      </c>
      <c r="BN121" t="str">
        <f>+IFERROR(VLOOKUP(BN22,IN_Zugliste!$A$4:$D$2002,4,FALSE),"")</f>
        <v/>
      </c>
      <c r="BO121" t="str">
        <f>+IFERROR(VLOOKUP(BO22,IN_Zugliste!$A$4:$D$2002,4,FALSE),"")</f>
        <v/>
      </c>
      <c r="BP121" t="str">
        <f>+IFERROR(VLOOKUP(BP22,IN_Zugliste!$A$4:$D$2002,4,FALSE),"")</f>
        <v/>
      </c>
      <c r="BQ121" t="str">
        <f>+IFERROR(VLOOKUP(BQ22,IN_Zugliste!$A$4:$D$2002,4,FALSE),"")</f>
        <v/>
      </c>
      <c r="BR121" t="str">
        <f>+IFERROR(VLOOKUP(BR22,IN_Zugliste!$A$4:$D$2002,4,FALSE),"")</f>
        <v/>
      </c>
      <c r="BS121" t="str">
        <f>+IFERROR(VLOOKUP(BS22,IN_Zugliste!$A$4:$D$2002,4,FALSE),"")</f>
        <v/>
      </c>
      <c r="BT121" t="str">
        <f>+IFERROR(VLOOKUP(BT22,IN_Zugliste!$A$4:$D$2002,4,FALSE),"")</f>
        <v/>
      </c>
      <c r="BU121" t="str">
        <f>+IFERROR(VLOOKUP(BU22,IN_Zugliste!$A$4:$D$2002,4,FALSE),"")</f>
        <v/>
      </c>
      <c r="BV121" t="str">
        <f>+IFERROR(VLOOKUP(BV22,IN_Zugliste!$A$4:$D$2002,4,FALSE),"")</f>
        <v/>
      </c>
      <c r="BW121" t="str">
        <f>+IFERROR(VLOOKUP(BW22,IN_Zugliste!$A$4:$D$2002,4,FALSE),"")</f>
        <v/>
      </c>
      <c r="BX121" t="str">
        <f>+IFERROR(VLOOKUP(BX22,IN_Zugliste!$A$4:$D$2002,4,FALSE),"")</f>
        <v/>
      </c>
      <c r="BY121" t="str">
        <f>+IFERROR(VLOOKUP(BY22,IN_Zugliste!$A$4:$D$2002,4,FALSE),"")</f>
        <v/>
      </c>
      <c r="BZ121" t="str">
        <f>+IFERROR(VLOOKUP(BZ22,IN_Zugliste!$A$4:$D$2002,4,FALSE),"")</f>
        <v/>
      </c>
      <c r="CA121" t="str">
        <f>+IFERROR(VLOOKUP(CA22,IN_Zugliste!$A$4:$D$2002,4,FALSE),"")</f>
        <v/>
      </c>
      <c r="CB121" t="str">
        <f>+IFERROR(VLOOKUP(CB22,IN_Zugliste!$A$4:$D$2002,4,FALSE),"")</f>
        <v/>
      </c>
      <c r="CC121" t="str">
        <f>+IFERROR(VLOOKUP(CC22,IN_Zugliste!$A$4:$D$2002,4,FALSE),"")</f>
        <v/>
      </c>
      <c r="CD121" t="str">
        <f>+IFERROR(VLOOKUP(CD22,IN_Zugliste!$A$4:$D$2002,4,FALSE),"")</f>
        <v/>
      </c>
      <c r="CE121" t="str">
        <f>+IFERROR(VLOOKUP(CE22,IN_Zugliste!$A$4:$D$2002,4,FALSE),"")</f>
        <v/>
      </c>
      <c r="CF121" t="str">
        <f>+IFERROR(VLOOKUP(CF22,IN_Zugliste!$A$4:$D$2002,4,FALSE),"")</f>
        <v/>
      </c>
      <c r="CG121" t="str">
        <f>+IFERROR(VLOOKUP(CG22,IN_Zugliste!$A$4:$D$2002,4,FALSE),"")</f>
        <v/>
      </c>
      <c r="CH121" t="str">
        <f>+IFERROR(VLOOKUP(CH22,IN_Zugliste!$A$4:$D$2002,4,FALSE),"")</f>
        <v/>
      </c>
      <c r="CI121" t="str">
        <f>+IFERROR(VLOOKUP(CI22,IN_Zugliste!$A$4:$D$2002,4,FALSE),"")</f>
        <v/>
      </c>
      <c r="CJ121" t="str">
        <f>+IFERROR(VLOOKUP(CJ22,IN_Zugliste!$A$4:$D$2002,4,FALSE),"")</f>
        <v/>
      </c>
      <c r="CK121" t="str">
        <f>+IFERROR(VLOOKUP(CK22,IN_Zugliste!$A$4:$D$2002,4,FALSE),"")</f>
        <v/>
      </c>
      <c r="CL121" t="str">
        <f>+IFERROR(VLOOKUP(CL22,IN_Zugliste!$A$4:$D$2002,4,FALSE),"")</f>
        <v/>
      </c>
      <c r="CM121" t="str">
        <f>+IFERROR(VLOOKUP(CM22,IN_Zugliste!$A$4:$D$2002,4,FALSE),"")</f>
        <v/>
      </c>
      <c r="CN121" t="str">
        <f>+IFERROR(VLOOKUP(CN22,IN_Zugliste!$A$4:$D$2002,4,FALSE),"")</f>
        <v/>
      </c>
      <c r="CO121" t="str">
        <f>+IFERROR(VLOOKUP(CO22,IN_Zugliste!$A$4:$D$2002,4,FALSE),"")</f>
        <v/>
      </c>
      <c r="CP121" t="str">
        <f>+IFERROR(VLOOKUP(CP22,IN_Zugliste!$A$4:$D$2002,4,FALSE),"")</f>
        <v/>
      </c>
      <c r="CQ121" t="str">
        <f>+IFERROR(VLOOKUP(CQ22,IN_Zugliste!$A$4:$D$2002,4,FALSE),"")</f>
        <v/>
      </c>
      <c r="CR121" t="str">
        <f>+IFERROR(VLOOKUP(CR22,IN_Zugliste!$A$4:$D$2002,4,FALSE),"")</f>
        <v/>
      </c>
      <c r="CS121" t="str">
        <f>+IFERROR(VLOOKUP(CS22,IN_Zugliste!$A$4:$D$2002,4,FALSE),"")</f>
        <v/>
      </c>
      <c r="CT121" t="str">
        <f>+IFERROR(VLOOKUP(CT22,IN_Zugliste!$A$4:$D$2002,4,FALSE),"")</f>
        <v/>
      </c>
      <c r="CU121" t="str">
        <f>+IFERROR(VLOOKUP(CU22,IN_Zugliste!$A$4:$D$2002,4,FALSE),"")</f>
        <v/>
      </c>
      <c r="CV121" t="str">
        <f>+IFERROR(VLOOKUP(CV22,IN_Zugliste!$A$4:$D$2002,4,FALSE),"")</f>
        <v/>
      </c>
      <c r="CW121" t="str">
        <f>+IFERROR(VLOOKUP(CW22,IN_Zugliste!$A$4:$D$2002,4,FALSE),"")</f>
        <v/>
      </c>
      <c r="CX121" t="str">
        <f>+IFERROR(VLOOKUP(CX22,IN_Zugliste!$A$4:$D$2002,4,FALSE),"")</f>
        <v/>
      </c>
      <c r="CY121" t="str">
        <f>+IFERROR(VLOOKUP(CY22,IN_Zugliste!$A$4:$D$2002,4,FALSE),"")</f>
        <v/>
      </c>
      <c r="CZ121" t="str">
        <f>+IFERROR(VLOOKUP(CZ22,IN_Zugliste!$A$4:$D$2002,4,FALSE),"")</f>
        <v/>
      </c>
      <c r="DA121" t="str">
        <f>+IFERROR(VLOOKUP(DA22,IN_Zugliste!$A$4:$D$2002,4,FALSE),"")</f>
        <v/>
      </c>
      <c r="DB121" t="str">
        <f>+IFERROR(VLOOKUP(DB22,IN_Zugliste!$A$4:$D$2002,4,FALSE),"")</f>
        <v/>
      </c>
      <c r="DC121" t="str">
        <f>+IFERROR(VLOOKUP(DC22,IN_Zugliste!$A$4:$D$2002,4,FALSE),"")</f>
        <v/>
      </c>
      <c r="DD121" t="str">
        <f>+IFERROR(VLOOKUP(DD22,IN_Zugliste!$A$4:$D$2002,4,FALSE),"")</f>
        <v/>
      </c>
      <c r="DE121" t="str">
        <f>+IFERROR(VLOOKUP(DE22,IN_Zugliste!$A$4:$D$2002,4,FALSE),"")</f>
        <v/>
      </c>
      <c r="DF121" t="str">
        <f>+IFERROR(VLOOKUP(DF22,IN_Zugliste!$A$4:$D$2002,4,FALSE),"")</f>
        <v/>
      </c>
      <c r="DG121" t="str">
        <f>+IFERROR(VLOOKUP(DG22,IN_Zugliste!$A$4:$D$2002,4,FALSE),"")</f>
        <v/>
      </c>
      <c r="DH121" t="str">
        <f>+IFERROR(VLOOKUP(DH22,IN_Zugliste!$A$4:$D$2002,4,FALSE),"")</f>
        <v/>
      </c>
      <c r="DI121" t="str">
        <f>+IFERROR(VLOOKUP(DI22,IN_Zugliste!$A$4:$D$2002,4,FALSE),"")</f>
        <v/>
      </c>
      <c r="DJ121" t="str">
        <f>+IFERROR(VLOOKUP(DJ22,IN_Zugliste!$A$4:$D$2002,4,FALSE),"")</f>
        <v/>
      </c>
      <c r="DK121" t="str">
        <f>+IFERROR(VLOOKUP(DK22,IN_Zugliste!$A$4:$D$2002,4,FALSE),"")</f>
        <v/>
      </c>
      <c r="DL121" t="str">
        <f>+IFERROR(VLOOKUP(DL22,IN_Zugliste!$A$4:$D$2002,4,FALSE),"")</f>
        <v/>
      </c>
      <c r="DM121" t="str">
        <f>+IFERROR(VLOOKUP(DM22,IN_Zugliste!$A$4:$D$2002,4,FALSE),"")</f>
        <v/>
      </c>
      <c r="DN121" t="str">
        <f>+IFERROR(VLOOKUP(DN22,IN_Zugliste!$A$4:$D$2002,4,FALSE),"")</f>
        <v/>
      </c>
      <c r="DO121" t="str">
        <f>+IFERROR(VLOOKUP(DO22,IN_Zugliste!$A$4:$D$2002,4,FALSE),"")</f>
        <v/>
      </c>
      <c r="DP121" t="str">
        <f>+IFERROR(VLOOKUP(DP22,IN_Zugliste!$A$4:$D$2002,4,FALSE),"")</f>
        <v/>
      </c>
      <c r="DQ121" t="str">
        <f>+IFERROR(VLOOKUP(DQ22,IN_Zugliste!$A$4:$D$2002,4,FALSE),"")</f>
        <v/>
      </c>
      <c r="DR121" t="str">
        <f>+IFERROR(VLOOKUP(DR22,IN_Zugliste!$A$4:$D$2002,4,FALSE),"")</f>
        <v/>
      </c>
      <c r="DS121" t="str">
        <f>+IFERROR(VLOOKUP(DS22,IN_Zugliste!$A$4:$D$2002,4,FALSE),"")</f>
        <v/>
      </c>
      <c r="DT121" t="str">
        <f>+IFERROR(VLOOKUP(DT22,IN_Zugliste!$A$4:$D$2002,4,FALSE),"")</f>
        <v/>
      </c>
      <c r="DU121" t="str">
        <f>+IFERROR(VLOOKUP(DU22,IN_Zugliste!$A$4:$D$2002,4,FALSE),"")</f>
        <v/>
      </c>
      <c r="DV121" t="str">
        <f>+IFERROR(VLOOKUP(DV22,IN_Zugliste!$A$4:$D$2002,4,FALSE),"")</f>
        <v/>
      </c>
      <c r="DW121" t="str">
        <f>+IFERROR(VLOOKUP(DW22,IN_Zugliste!$A$4:$D$2002,4,FALSE),"")</f>
        <v/>
      </c>
      <c r="DX121" t="str">
        <f>+IFERROR(VLOOKUP(DX22,IN_Zugliste!$A$4:$D$2002,4,FALSE),"")</f>
        <v/>
      </c>
      <c r="DY121" t="str">
        <f>+IFERROR(VLOOKUP(DY22,IN_Zugliste!$A$4:$D$2002,4,FALSE),"")</f>
        <v/>
      </c>
      <c r="DZ121" t="str">
        <f>+IFERROR(VLOOKUP(DZ22,IN_Zugliste!$A$4:$D$2002,4,FALSE),"")</f>
        <v/>
      </c>
      <c r="EA121" t="str">
        <f>+IFERROR(VLOOKUP(EA22,IN_Zugliste!$A$4:$D$2002,4,FALSE),"")</f>
        <v/>
      </c>
      <c r="EB121" t="str">
        <f>+IFERROR(VLOOKUP(EB22,IN_Zugliste!$A$4:$D$2002,4,FALSE),"")</f>
        <v/>
      </c>
      <c r="EC121" t="str">
        <f>+IFERROR(VLOOKUP(EC22,IN_Zugliste!$A$4:$D$2002,4,FALSE),"")</f>
        <v/>
      </c>
      <c r="ED121" t="str">
        <f>+IFERROR(VLOOKUP(ED22,IN_Zugliste!$A$4:$D$2002,4,FALSE),"")</f>
        <v/>
      </c>
      <c r="EE121" t="str">
        <f>+IFERROR(VLOOKUP(EE22,IN_Zugliste!$A$4:$D$2002,4,FALSE),"")</f>
        <v/>
      </c>
      <c r="EF121" t="str">
        <f>+IFERROR(VLOOKUP(EF22,IN_Zugliste!$A$4:$D$2002,4,FALSE),"")</f>
        <v/>
      </c>
      <c r="EG121" t="str">
        <f>+IFERROR(VLOOKUP(EG22,IN_Zugliste!$A$4:$D$2002,4,FALSE),"")</f>
        <v/>
      </c>
      <c r="EH121" t="str">
        <f>+IFERROR(VLOOKUP(EH22,IN_Zugliste!$A$4:$D$2002,4,FALSE),"")</f>
        <v/>
      </c>
      <c r="EI121" t="str">
        <f>+IFERROR(VLOOKUP(EI22,IN_Zugliste!$A$4:$D$2002,4,FALSE),"")</f>
        <v/>
      </c>
      <c r="EJ121" t="str">
        <f>+IFERROR(VLOOKUP(EJ22,IN_Zugliste!$A$4:$D$2002,4,FALSE),"")</f>
        <v/>
      </c>
      <c r="EK121" t="str">
        <f>+IFERROR(VLOOKUP(EK22,IN_Zugliste!$A$4:$D$2002,4,FALSE),"")</f>
        <v/>
      </c>
      <c r="EL121" t="str">
        <f>+IFERROR(VLOOKUP(EL22,IN_Zugliste!$A$4:$D$2002,4,FALSE),"")</f>
        <v/>
      </c>
      <c r="EM121" t="str">
        <f>+IFERROR(VLOOKUP(EM22,IN_Zugliste!$A$4:$D$2002,4,FALSE),"")</f>
        <v/>
      </c>
      <c r="EN121" t="str">
        <f>+IFERROR(VLOOKUP(EN22,IN_Zugliste!$A$4:$D$2002,4,FALSE),"")</f>
        <v/>
      </c>
      <c r="EO121" t="str">
        <f>+IFERROR(VLOOKUP(EO22,IN_Zugliste!$A$4:$D$2002,4,FALSE),"")</f>
        <v/>
      </c>
      <c r="EP121" t="str">
        <f>+IFERROR(VLOOKUP(EP22,IN_Zugliste!$A$4:$D$2002,4,FALSE),"")</f>
        <v/>
      </c>
      <c r="EQ121" t="str">
        <f>+IFERROR(VLOOKUP(EQ22,IN_Zugliste!$A$4:$D$2002,4,FALSE),"")</f>
        <v/>
      </c>
      <c r="ER121" t="str">
        <f>+IFERROR(VLOOKUP(ER22,IN_Zugliste!$A$4:$D$2002,4,FALSE),"")</f>
        <v/>
      </c>
      <c r="ES121" t="str">
        <f>+IFERROR(VLOOKUP(ES22,IN_Zugliste!$A$4:$D$2002,4,FALSE),"")</f>
        <v/>
      </c>
      <c r="ET121" t="str">
        <f>+IFERROR(VLOOKUP(ET22,IN_Zugliste!$A$4:$D$2002,4,FALSE),"")</f>
        <v/>
      </c>
      <c r="EU121" t="str">
        <f>+IFERROR(VLOOKUP(EU22,IN_Zugliste!$A$4:$D$2002,4,FALSE),"")</f>
        <v/>
      </c>
      <c r="EV121" t="str">
        <f>+IFERROR(VLOOKUP(EV22,IN_Zugliste!$A$4:$D$2002,4,FALSE),"")</f>
        <v/>
      </c>
      <c r="EW121" t="str">
        <f>+IFERROR(VLOOKUP(EW22,IN_Zugliste!$A$4:$D$2002,4,FALSE),"")</f>
        <v/>
      </c>
      <c r="EX121" t="str">
        <f>+IFERROR(VLOOKUP(EX22,IN_Zugliste!$A$4:$D$2002,4,FALSE),"")</f>
        <v/>
      </c>
      <c r="EY121" t="str">
        <f>+IFERROR(VLOOKUP(EY22,IN_Zugliste!$A$4:$D$2002,4,FALSE),"")</f>
        <v/>
      </c>
      <c r="EZ121" t="str">
        <f>+IFERROR(VLOOKUP(EZ22,IN_Zugliste!$A$4:$D$2002,4,FALSE),"")</f>
        <v/>
      </c>
      <c r="FA121" t="str">
        <f>+IFERROR(VLOOKUP(FA22,IN_Zugliste!$A$4:$D$2002,4,FALSE),"")</f>
        <v/>
      </c>
      <c r="FB121" t="str">
        <f>+IFERROR(VLOOKUP(FB22,IN_Zugliste!$A$4:$D$2002,4,FALSE),"")</f>
        <v/>
      </c>
      <c r="FC121" t="str">
        <f>+IFERROR(VLOOKUP(FC22,IN_Zugliste!$A$4:$D$2002,4,FALSE),"")</f>
        <v/>
      </c>
      <c r="FD121" t="str">
        <f>+IFERROR(VLOOKUP(FD22,IN_Zugliste!$A$4:$D$2002,4,FALSE),"")</f>
        <v/>
      </c>
      <c r="FE121" t="str">
        <f>+IFERROR(VLOOKUP(FE22,IN_Zugliste!$A$4:$D$2002,4,FALSE),"")</f>
        <v/>
      </c>
      <c r="FF121" t="str">
        <f>+IFERROR(VLOOKUP(FF22,IN_Zugliste!$A$4:$D$2002,4,FALSE),"")</f>
        <v/>
      </c>
      <c r="FG121" t="str">
        <f>+IFERROR(VLOOKUP(FG22,IN_Zugliste!$A$4:$D$2002,4,FALSE),"")</f>
        <v/>
      </c>
      <c r="FH121" t="str">
        <f>+IFERROR(VLOOKUP(FH22,IN_Zugliste!$A$4:$D$2002,4,FALSE),"")</f>
        <v/>
      </c>
      <c r="FI121" t="str">
        <f>+IFERROR(VLOOKUP(FI22,IN_Zugliste!$A$4:$D$2002,4,FALSE),"")</f>
        <v/>
      </c>
      <c r="FJ121" t="str">
        <f>+IFERROR(VLOOKUP(FJ22,IN_Zugliste!$A$4:$D$2002,4,FALSE),"")</f>
        <v/>
      </c>
      <c r="FK121" t="str">
        <f>+IFERROR(VLOOKUP(FK22,IN_Zugliste!$A$4:$D$2002,4,FALSE),"")</f>
        <v/>
      </c>
      <c r="FL121" t="str">
        <f>+IFERROR(VLOOKUP(FL22,IN_Zugliste!$A$4:$D$2002,4,FALSE),"")</f>
        <v/>
      </c>
      <c r="FM121" t="str">
        <f>+IFERROR(VLOOKUP(FM22,IN_Zugliste!$A$4:$C$2002,4,FALSE),"")</f>
        <v/>
      </c>
      <c r="FN121" t="str">
        <f>+IFERROR(VLOOKUP(FN22,IN_Zugliste!$A$4:$C$2002,4,FALSE),"")</f>
        <v/>
      </c>
      <c r="FO121" t="str">
        <f>+IFERROR(VLOOKUP(FO22,IN_Zugliste!$A$4:$C$2002,4,FALSE),"")</f>
        <v/>
      </c>
      <c r="FP121" t="str">
        <f>+IFERROR(VLOOKUP(FP22,IN_Zugliste!$A$4:$C$2002,4,FALSE),"")</f>
        <v/>
      </c>
      <c r="FQ121" t="str">
        <f>+IFERROR(VLOOKUP(FQ22,IN_Zugliste!$A$4:$C$2002,4,FALSE),"")</f>
        <v/>
      </c>
      <c r="FR121" t="str">
        <f>+IFERROR(VLOOKUP(FR22,IN_Zugliste!$A$4:$C$2002,4,FALSE),"")</f>
        <v/>
      </c>
      <c r="FS121" t="str">
        <f>+IFERROR(VLOOKUP(FS22,IN_Zugliste!$A$4:$C$2002,4,FALSE),"")</f>
        <v/>
      </c>
      <c r="FT121" t="str">
        <f>+IFERROR(VLOOKUP(FT22,IN_Zugliste!$A$4:$C$2002,4,FALSE),"")</f>
        <v/>
      </c>
      <c r="FU121" t="str">
        <f>+IFERROR(VLOOKUP(FU22,IN_Zugliste!$A$4:$C$2002,4,FALSE),"")</f>
        <v/>
      </c>
      <c r="FV121" t="str">
        <f>+IFERROR(VLOOKUP(FV22,IN_Zugliste!$A$4:$C$2002,4,FALSE),"")</f>
        <v/>
      </c>
      <c r="FW121" t="str">
        <f>+IFERROR(VLOOKUP(FW22,IN_Zugliste!$A$4:$C$2002,4,FALSE),"")</f>
        <v/>
      </c>
      <c r="FX121" t="str">
        <f>+IFERROR(VLOOKUP(FX22,IN_Zugliste!$A$4:$C$2002,4,FALSE),"")</f>
        <v/>
      </c>
      <c r="FY121" t="str">
        <f>+IFERROR(VLOOKUP(FY22,IN_Zugliste!$A$4:$C$2002,4,FALSE),"")</f>
        <v/>
      </c>
      <c r="FZ121" t="str">
        <f>+IFERROR(VLOOKUP(FZ22,IN_Zugliste!$A$4:$C$2002,4,FALSE),"")</f>
        <v/>
      </c>
      <c r="GA121" t="str">
        <f>+IFERROR(VLOOKUP(GA22,IN_Zugliste!$A$4:$C$2002,4,FALSE),"")</f>
        <v/>
      </c>
      <c r="GB121" t="str">
        <f>+IFERROR(VLOOKUP(GB22,IN_Zugliste!$A$4:$C$2002,4,FALSE),"")</f>
        <v/>
      </c>
      <c r="GC121" t="str">
        <f>+IFERROR(VLOOKUP(GC22,IN_Zugliste!$A$4:$C$2002,4,FALSE),"")</f>
        <v/>
      </c>
      <c r="GD121" t="str">
        <f>+IFERROR(VLOOKUP(GD22,IN_Zugliste!$A$4:$C$2002,4,FALSE),"")</f>
        <v/>
      </c>
      <c r="GE121" t="str">
        <f>+IFERROR(VLOOKUP(GE22,IN_Zugliste!$A$4:$C$2002,4,FALSE),"")</f>
        <v/>
      </c>
      <c r="GF121" t="str">
        <f>+IFERROR(VLOOKUP(GF22,IN_Zugliste!$A$4:$C$2002,4,FALSE),"")</f>
        <v/>
      </c>
      <c r="GG121" t="str">
        <f>+IFERROR(VLOOKUP(GG22,IN_Zugliste!$A$4:$C$2002,4,FALSE),"")</f>
        <v/>
      </c>
      <c r="GH121" t="str">
        <f>+IFERROR(VLOOKUP(GH22,IN_Zugliste!$A$4:$C$2002,4,FALSE),"")</f>
        <v/>
      </c>
      <c r="GI121" t="str">
        <f>+IFERROR(VLOOKUP(GI22,IN_Zugliste!$A$4:$C$2002,4,FALSE),"")</f>
        <v/>
      </c>
      <c r="GJ121" t="str">
        <f>+IFERROR(VLOOKUP(GJ22,IN_Zugliste!$A$4:$C$2002,4,FALSE),"")</f>
        <v/>
      </c>
      <c r="GK121" t="str">
        <f>+IFERROR(VLOOKUP(GK22,IN_Zugliste!$A$4:$C$2002,4,FALSE),"")</f>
        <v/>
      </c>
      <c r="GL121" t="str">
        <f>+IFERROR(VLOOKUP(GL22,IN_Zugliste!$A$4:$C$2002,4,FALSE),"")</f>
        <v/>
      </c>
      <c r="GM121" t="str">
        <f>+IFERROR(VLOOKUP(GM22,IN_Zugliste!$A$4:$C$2002,4,FALSE),"")</f>
        <v/>
      </c>
      <c r="GN121" t="str">
        <f>+IFERROR(VLOOKUP(GN22,IN_Zugliste!$A$4:$C$2002,4,FALSE),"")</f>
        <v/>
      </c>
      <c r="GO121" t="str">
        <f>+IFERROR(VLOOKUP(GO22,IN_Zugliste!$A$4:$C$2002,4,FALSE),"")</f>
        <v/>
      </c>
      <c r="GP121" t="str">
        <f>+IFERROR(VLOOKUP(GP22,IN_Zugliste!$A$4:$C$2002,4,FALSE),"")</f>
        <v/>
      </c>
      <c r="GQ121" t="str">
        <f>+IFERROR(VLOOKUP(GQ22,IN_Zugliste!$A$4:$C$2002,4,FALSE),"")</f>
        <v/>
      </c>
      <c r="GR121" t="str">
        <f>+IFERROR(VLOOKUP(GR22,IN_Zugliste!$A$4:$C$2002,4,FALSE),"")</f>
        <v/>
      </c>
      <c r="GS121" t="str">
        <f>+IFERROR(VLOOKUP(GS22,IN_Zugliste!$A$4:$C$2002,4,FALSE),"")</f>
        <v/>
      </c>
      <c r="GT121" t="str">
        <f>+IFERROR(VLOOKUP(GT22,IN_Zugliste!$A$4:$C$2002,4,FALSE),"")</f>
        <v/>
      </c>
      <c r="GU121" t="str">
        <f>+IFERROR(VLOOKUP(GU22,IN_Zugliste!$A$4:$C$2002,4,FALSE),"")</f>
        <v/>
      </c>
      <c r="GV121" t="str">
        <f>+IFERROR(VLOOKUP(GV22,IN_Zugliste!$A$4:$C$2002,4,FALSE),"")</f>
        <v/>
      </c>
      <c r="GW121" t="str">
        <f>+IFERROR(VLOOKUP(GW22,IN_Zugliste!$A$4:$C$2002,4,FALSE),"")</f>
        <v/>
      </c>
      <c r="GX121" t="str">
        <f>+IFERROR(VLOOKUP(GX22,IN_Zugliste!$A$4:$C$2002,4,FALSE),"")</f>
        <v/>
      </c>
      <c r="GY121" t="str">
        <f>+IFERROR(VLOOKUP(GY22,IN_Zugliste!$A$4:$C$2002,4,FALSE),"")</f>
        <v/>
      </c>
      <c r="GZ121" t="str">
        <f>+IFERROR(VLOOKUP(GZ22,IN_Zugliste!$A$4:$C$2002,4,FALSE),"")</f>
        <v/>
      </c>
      <c r="HA121" t="str">
        <f>+IFERROR(VLOOKUP(HA22,IN_Zugliste!$A$4:$C$2002,4,FALSE),"")</f>
        <v/>
      </c>
      <c r="HB121" t="str">
        <f>+IFERROR(VLOOKUP(HB22,IN_Zugliste!$A$4:$C$2002,4,FALSE),"")</f>
        <v/>
      </c>
      <c r="HC121" t="str">
        <f>+IFERROR(VLOOKUP(HC22,IN_Zugliste!$A$4:$C$2002,4,FALSE),"")</f>
        <v/>
      </c>
      <c r="HD121" t="str">
        <f>+IFERROR(VLOOKUP(HD22,IN_Zugliste!$A$4:$C$2002,4,FALSE),"")</f>
        <v/>
      </c>
      <c r="HE121" t="str">
        <f>+IFERROR(VLOOKUP(HE22,IN_Zugliste!$A$4:$C$2002,4,FALSE),"")</f>
        <v/>
      </c>
      <c r="HF121" t="str">
        <f>+IFERROR(VLOOKUP(HF22,IN_Zugliste!$A$4:$C$2002,4,FALSE),"")</f>
        <v/>
      </c>
      <c r="HG121" t="str">
        <f>+IFERROR(VLOOKUP(HG22,IN_Zugliste!$A$4:$C$2002,4,FALSE),"")</f>
        <v/>
      </c>
      <c r="HH121" t="str">
        <f>+IFERROR(VLOOKUP(HH22,IN_Zugliste!$A$4:$C$2002,4,FALSE),"")</f>
        <v/>
      </c>
      <c r="HI121" t="str">
        <f>+IFERROR(VLOOKUP(HI22,IN_Zugliste!$A$4:$C$2002,4,FALSE),"")</f>
        <v/>
      </c>
      <c r="HJ121" t="str">
        <f>+IFERROR(VLOOKUP(HJ22,IN_Zugliste!$A$4:$C$2002,4,FALSE),"")</f>
        <v/>
      </c>
      <c r="HK121" t="str">
        <f>+IFERROR(VLOOKUP(HK22,IN_Zugliste!$A$4:$C$2002,4,FALSE),"")</f>
        <v/>
      </c>
      <c r="HL121" t="str">
        <f>+IFERROR(VLOOKUP(HL22,IN_Zugliste!$A$4:$C$2002,4,FALSE),"")</f>
        <v/>
      </c>
      <c r="HM121" t="str">
        <f>+IFERROR(VLOOKUP(HM22,IN_Zugliste!$A$4:$C$2002,4,FALSE),"")</f>
        <v/>
      </c>
      <c r="HN121" t="str">
        <f>+IFERROR(VLOOKUP(HN22,IN_Zugliste!$A$4:$C$2002,4,FALSE),"")</f>
        <v/>
      </c>
      <c r="HO121" t="str">
        <f>+IFERROR(VLOOKUP(HO22,IN_Zugliste!$A$4:$C$2002,4,FALSE),"")</f>
        <v/>
      </c>
      <c r="HP121" t="str">
        <f>+IFERROR(VLOOKUP(HP22,IN_Zugliste!$A$4:$C$2002,4,FALSE),"")</f>
        <v/>
      </c>
      <c r="HQ121" t="str">
        <f>+IFERROR(VLOOKUP(HQ22,IN_Zugliste!$A$4:$C$2002,4,FALSE),"")</f>
        <v/>
      </c>
      <c r="HR121" t="str">
        <f>+IFERROR(VLOOKUP(HR22,IN_Zugliste!$A$4:$C$2002,4,FALSE),"")</f>
        <v/>
      </c>
      <c r="HS121" t="str">
        <f>+IFERROR(VLOOKUP(HS22,IN_Zugliste!$A$4:$C$2002,4,FALSE),"")</f>
        <v/>
      </c>
      <c r="HT121" t="str">
        <f>+IFERROR(VLOOKUP(HT22,IN_Zugliste!$A$4:$C$2002,4,FALSE),"")</f>
        <v/>
      </c>
      <c r="HU121" t="str">
        <f>+IFERROR(VLOOKUP(HU22,IN_Zugliste!$A$4:$C$2002,4,FALSE),"")</f>
        <v/>
      </c>
      <c r="HV121" t="str">
        <f>+IFERROR(VLOOKUP(HV22,IN_Zugliste!$A$4:$C$2002,4,FALSE),"")</f>
        <v/>
      </c>
      <c r="HW121" t="str">
        <f>+IFERROR(VLOOKUP(HW22,IN_Zugliste!$A$4:$C$2002,4,FALSE),"")</f>
        <v/>
      </c>
      <c r="HX121" t="str">
        <f>+IFERROR(VLOOKUP(HX22,IN_Zugliste!$A$4:$C$2002,4,FALSE),"")</f>
        <v/>
      </c>
      <c r="HY121" t="str">
        <f>+IFERROR(VLOOKUP(HY22,IN_Zugliste!$A$4:$C$2002,4,FALSE),"")</f>
        <v/>
      </c>
      <c r="HZ121" t="str">
        <f>+IFERROR(VLOOKUP(HZ22,IN_Zugliste!$A$4:$C$2002,4,FALSE),"")</f>
        <v/>
      </c>
      <c r="IA121" t="str">
        <f>+IFERROR(VLOOKUP(IA22,IN_Zugliste!$A$4:$C$2002,4,FALSE),"")</f>
        <v/>
      </c>
      <c r="IB121" t="str">
        <f>+IFERROR(VLOOKUP(IB22,IN_Zugliste!$A$4:$C$2002,4,FALSE),"")</f>
        <v/>
      </c>
      <c r="IC121" t="str">
        <f>+IFERROR(VLOOKUP(IC22,IN_Zugliste!$A$4:$C$2002,4,FALSE),"")</f>
        <v/>
      </c>
      <c r="ID121" t="str">
        <f>+IFERROR(VLOOKUP(ID22,IN_Zugliste!$A$4:$C$2002,4,FALSE),"")</f>
        <v/>
      </c>
      <c r="IE121" t="str">
        <f>+IFERROR(VLOOKUP(IE22,IN_Zugliste!$A$4:$C$2002,4,FALSE),"")</f>
        <v/>
      </c>
      <c r="IF121" t="str">
        <f>+IFERROR(VLOOKUP(IF22,IN_Zugliste!$A$4:$C$2002,4,FALSE),"")</f>
        <v/>
      </c>
      <c r="IG121" t="str">
        <f>+IFERROR(VLOOKUP(IG22,IN_Zugliste!$A$4:$C$2002,4,FALSE),"")</f>
        <v/>
      </c>
      <c r="IH121" t="str">
        <f>+IFERROR(VLOOKUP(IH22,IN_Zugliste!$A$4:$C$2002,4,FALSE),"")</f>
        <v/>
      </c>
      <c r="II121" t="str">
        <f>+IFERROR(VLOOKUP(II22,IN_Zugliste!$A$4:$C$2002,4,FALSE),"")</f>
        <v/>
      </c>
      <c r="IJ121" t="str">
        <f>+IFERROR(VLOOKUP(IJ22,IN_Zugliste!$A$4:$C$2002,4,FALSE),"")</f>
        <v/>
      </c>
      <c r="IK121" t="str">
        <f>+IFERROR(VLOOKUP(IK22,IN_Zugliste!$A$4:$C$2002,4,FALSE),"")</f>
        <v/>
      </c>
      <c r="IL121" t="str">
        <f>+IFERROR(VLOOKUP(IL22,IN_Zugliste!$A$4:$C$2002,4,FALSE),"")</f>
        <v/>
      </c>
      <c r="IM121" t="str">
        <f>+IFERROR(VLOOKUP(IM22,IN_Zugliste!$A$4:$C$2002,4,FALSE),"")</f>
        <v/>
      </c>
      <c r="IN121" t="str">
        <f>+IFERROR(VLOOKUP(IN22,IN_Zugliste!$A$4:$C$2002,4,FALSE),"")</f>
        <v/>
      </c>
      <c r="IO121" t="str">
        <f>+IFERROR(VLOOKUP(IO22,IN_Zugliste!$A$4:$C$2002,4,FALSE),"")</f>
        <v/>
      </c>
      <c r="IP121" t="str">
        <f>+IFERROR(VLOOKUP(IP22,IN_Zugliste!$A$4:$C$2002,4,FALSE),"")</f>
        <v/>
      </c>
      <c r="IQ121" t="str">
        <f>+IFERROR(VLOOKUP(IQ22,IN_Zugliste!$A$4:$C$2002,4,FALSE),"")</f>
        <v/>
      </c>
      <c r="IR121" t="str">
        <f>+IFERROR(VLOOKUP(IR22,IN_Zugliste!$A$4:$C$2002,4,FALSE),"")</f>
        <v/>
      </c>
      <c r="IS121" t="str">
        <f>+IFERROR(VLOOKUP(IS22,IN_Zugliste!$A$4:$C$2002,4,FALSE),"")</f>
        <v/>
      </c>
      <c r="IT121" t="str">
        <f>+IFERROR(VLOOKUP(IT22,IN_Zugliste!$A$4:$C$2002,4,FALSE),"")</f>
        <v/>
      </c>
      <c r="IU121" t="str">
        <f>+IFERROR(VLOOKUP(IU22,IN_Zugliste!$A$4:$C$2002,4,FALSE),"")</f>
        <v/>
      </c>
      <c r="IV121" t="str">
        <f>+IFERROR(VLOOKUP(IV22,IN_Zugliste!$A$4:$C$2002,4,FALSE),"")</f>
        <v/>
      </c>
      <c r="IW121" t="str">
        <f>+IFERROR(VLOOKUP(IW22,IN_Zugliste!$A$4:$C$2002,4,FALSE),"")</f>
        <v/>
      </c>
      <c r="IX121" t="str">
        <f>+IFERROR(VLOOKUP(IX22,IN_Zugliste!$A$4:$C$2002,4,FALSE),"")</f>
        <v/>
      </c>
      <c r="IY121" t="str">
        <f>+IFERROR(VLOOKUP(IY22,IN_Zugliste!$A$4:$C$2002,4,FALSE),"")</f>
        <v/>
      </c>
      <c r="IZ121" t="str">
        <f>+IFERROR(VLOOKUP(IZ22,IN_Zugliste!$A$4:$C$2002,4,FALSE),"")</f>
        <v/>
      </c>
      <c r="JA121" t="str">
        <f>+IFERROR(VLOOKUP(JA22,IN_Zugliste!$A$4:$C$2002,4,FALSE),"")</f>
        <v/>
      </c>
      <c r="JB121" t="str">
        <f>+IFERROR(VLOOKUP(JB22,IN_Zugliste!$A$4:$C$2002,4,FALSE),"")</f>
        <v/>
      </c>
      <c r="JC121" t="str">
        <f>+IFERROR(VLOOKUP(JC22,IN_Zugliste!$A$4:$C$2002,4,FALSE),"")</f>
        <v/>
      </c>
      <c r="JD121" t="str">
        <f>+IFERROR(VLOOKUP(JD22,IN_Zugliste!$A$4:$C$2002,4,FALSE),"")</f>
        <v/>
      </c>
      <c r="JE121" t="str">
        <f>+IFERROR(VLOOKUP(JE22,IN_Zugliste!$A$4:$C$2002,4,FALSE),"")</f>
        <v/>
      </c>
      <c r="JF121" t="str">
        <f>+IFERROR(VLOOKUP(JF22,IN_Zugliste!$A$4:$C$2002,4,FALSE),"")</f>
        <v/>
      </c>
      <c r="JG121" t="str">
        <f>+IFERROR(VLOOKUP(JG22,IN_Zugliste!$A$4:$C$2002,4,FALSE),"")</f>
        <v/>
      </c>
      <c r="JH121" t="str">
        <f>+IFERROR(VLOOKUP(JH22,IN_Zugliste!$A$4:$C$2002,4,FALSE),"")</f>
        <v/>
      </c>
      <c r="JI121" t="str">
        <f>+IFERROR(VLOOKUP(JI22,IN_Zugliste!$A$4:$C$2002,4,FALSE),"")</f>
        <v/>
      </c>
      <c r="JJ121" t="str">
        <f>+IFERROR(VLOOKUP(JJ22,IN_Zugliste!$A$4:$C$2002,4,FALSE),"")</f>
        <v/>
      </c>
      <c r="JK121" t="str">
        <f>+IFERROR(VLOOKUP(JK22,IN_Zugliste!$A$4:$C$2002,4,FALSE),"")</f>
        <v/>
      </c>
      <c r="JL121" t="str">
        <f>+IFERROR(VLOOKUP(JL22,IN_Zugliste!$A$4:$C$2002,4,FALSE),"")</f>
        <v/>
      </c>
    </row>
    <row r="122" spans="1:272" x14ac:dyDescent="0.2">
      <c r="A122" t="str">
        <f>+IFERROR(VLOOKUP(A23,IN_Zugliste!$A$4:$D$2002,4,FALSE),"")</f>
        <v/>
      </c>
      <c r="B122" t="str">
        <f>+IFERROR(VLOOKUP(B23,IN_Zugliste!$A$4:$D$2002,4,FALSE),"")</f>
        <v/>
      </c>
      <c r="C122" t="str">
        <f>+IFERROR(VLOOKUP(C23,IN_Zugliste!$A$4:$D$2002,4,FALSE),"")</f>
        <v/>
      </c>
      <c r="D122" t="str">
        <f>+IFERROR(VLOOKUP(D23,IN_Zugliste!$A$4:$D$2002,4,FALSE),"")</f>
        <v/>
      </c>
      <c r="E122" t="str">
        <f>+IFERROR(VLOOKUP(E23,IN_Zugliste!$A$4:$D$2002,4,FALSE),"")</f>
        <v/>
      </c>
      <c r="F122" t="str">
        <f>+IFERROR(VLOOKUP(F23,IN_Zugliste!$A$4:$D$2002,4,FALSE),"")</f>
        <v/>
      </c>
      <c r="G122" t="str">
        <f>+IFERROR(VLOOKUP(G23,IN_Zugliste!$A$4:$D$2002,4,FALSE),"")</f>
        <v/>
      </c>
      <c r="H122" t="str">
        <f>+IFERROR(VLOOKUP(H23,IN_Zugliste!$A$4:$D$2002,4,FALSE),"")</f>
        <v/>
      </c>
      <c r="I122" t="str">
        <f>+IFERROR(VLOOKUP(I23,IN_Zugliste!$A$4:$D$2002,4,FALSE),"")</f>
        <v/>
      </c>
      <c r="J122" t="str">
        <f>+IFERROR(VLOOKUP(J23,IN_Zugliste!$A$4:$D$2002,4,FALSE),"")</f>
        <v/>
      </c>
      <c r="K122" t="str">
        <f>+IFERROR(VLOOKUP(K23,IN_Zugliste!$A$4:$D$2002,4,FALSE),"")</f>
        <v/>
      </c>
      <c r="L122" t="str">
        <f>+IFERROR(VLOOKUP(L23,IN_Zugliste!$A$4:$D$2002,4,FALSE),"")</f>
        <v/>
      </c>
      <c r="M122" t="str">
        <f>+IFERROR(VLOOKUP(M23,IN_Zugliste!$A$4:$D$2002,4,FALSE),"")</f>
        <v/>
      </c>
      <c r="N122" t="str">
        <f>+IFERROR(VLOOKUP(N23,IN_Zugliste!$A$4:$D$2002,4,FALSE),"")</f>
        <v/>
      </c>
      <c r="O122" t="str">
        <f>+IFERROR(VLOOKUP(O23,IN_Zugliste!$A$4:$D$2002,4,FALSE),"")</f>
        <v/>
      </c>
      <c r="P122" t="str">
        <f>+IFERROR(VLOOKUP(P23,IN_Zugliste!$A$4:$D$2002,4,FALSE),"")</f>
        <v/>
      </c>
      <c r="Q122" t="str">
        <f>+IFERROR(VLOOKUP(Q23,IN_Zugliste!$A$4:$D$2002,4,FALSE),"")</f>
        <v/>
      </c>
      <c r="R122" t="str">
        <f>+IFERROR(VLOOKUP(R23,IN_Zugliste!$A$4:$D$2002,4,FALSE),"")</f>
        <v/>
      </c>
      <c r="S122" t="str">
        <f>+IFERROR(VLOOKUP(S23,IN_Zugliste!$A$4:$D$2002,4,FALSE),"")</f>
        <v/>
      </c>
      <c r="T122" t="str">
        <f>+IFERROR(VLOOKUP(T23,IN_Zugliste!$A$4:$D$2002,4,FALSE),"")</f>
        <v/>
      </c>
      <c r="U122" t="str">
        <f>+IFERROR(VLOOKUP(U23,IN_Zugliste!$A$4:$D$2002,4,FALSE),"")</f>
        <v/>
      </c>
      <c r="V122" t="str">
        <f>+IFERROR(VLOOKUP(V23,IN_Zugliste!$A$4:$D$2002,4,FALSE),"")</f>
        <v/>
      </c>
      <c r="W122" t="str">
        <f>+IFERROR(VLOOKUP(W23,IN_Zugliste!$A$4:$D$2002,4,FALSE),"")</f>
        <v/>
      </c>
      <c r="X122" t="str">
        <f>+IFERROR(VLOOKUP(X23,IN_Zugliste!$A$4:$D$2002,4,FALSE),"")</f>
        <v/>
      </c>
      <c r="Y122" t="str">
        <f>+IFERROR(VLOOKUP(Y23,IN_Zugliste!$A$4:$D$2002,4,FALSE),"")</f>
        <v/>
      </c>
      <c r="Z122" t="str">
        <f>+IFERROR(VLOOKUP(Z23,IN_Zugliste!$A$4:$D$2002,4,FALSE),"")</f>
        <v/>
      </c>
      <c r="AA122" t="str">
        <f>+IFERROR(VLOOKUP(AA23,IN_Zugliste!$A$4:$D$2002,4,FALSE),"")</f>
        <v/>
      </c>
      <c r="AB122" t="str">
        <f>+IFERROR(VLOOKUP(AB23,IN_Zugliste!$A$4:$D$2002,4,FALSE),"")</f>
        <v/>
      </c>
      <c r="AC122" t="str">
        <f>+IFERROR(VLOOKUP(AC23,IN_Zugliste!$A$4:$D$2002,4,FALSE),"")</f>
        <v/>
      </c>
      <c r="AD122" t="str">
        <f>+IFERROR(VLOOKUP(AD23,IN_Zugliste!$A$4:$D$2002,4,FALSE),"")</f>
        <v/>
      </c>
      <c r="AE122" t="str">
        <f>+IFERROR(VLOOKUP(AE23,IN_Zugliste!$A$4:$D$2002,4,FALSE),"")</f>
        <v/>
      </c>
      <c r="AF122" t="str">
        <f>+IFERROR(VLOOKUP(AF23,IN_Zugliste!$A$4:$D$2002,4,FALSE),"")</f>
        <v/>
      </c>
      <c r="AG122" t="str">
        <f>+IFERROR(VLOOKUP(AG23,IN_Zugliste!$A$4:$D$2002,4,FALSE),"")</f>
        <v/>
      </c>
      <c r="AH122" t="str">
        <f>+IFERROR(VLOOKUP(AH23,IN_Zugliste!$A$4:$D$2002,4,FALSE),"")</f>
        <v/>
      </c>
      <c r="AI122" t="str">
        <f>+IFERROR(VLOOKUP(AI23,IN_Zugliste!$A$4:$D$2002,4,FALSE),"")</f>
        <v/>
      </c>
      <c r="AJ122" t="str">
        <f>+IFERROR(VLOOKUP(AJ23,IN_Zugliste!$A$4:$D$2002,4,FALSE),"")</f>
        <v/>
      </c>
      <c r="AK122" t="str">
        <f>+IFERROR(VLOOKUP(AK23,IN_Zugliste!$A$4:$D$2002,4,FALSE),"")</f>
        <v/>
      </c>
      <c r="AL122" t="str">
        <f>+IFERROR(VLOOKUP(AL23,IN_Zugliste!$A$4:$D$2002,4,FALSE),"")</f>
        <v/>
      </c>
      <c r="AM122" t="str">
        <f>+IFERROR(VLOOKUP(AM23,IN_Zugliste!$A$4:$D$2002,4,FALSE),"")</f>
        <v/>
      </c>
      <c r="AN122" t="str">
        <f>+IFERROR(VLOOKUP(AN23,IN_Zugliste!$A$4:$D$2002,4,FALSE),"")</f>
        <v/>
      </c>
      <c r="AO122" t="str">
        <f>+IFERROR(VLOOKUP(AO23,IN_Zugliste!$A$4:$D$2002,4,FALSE),"")</f>
        <v/>
      </c>
      <c r="AP122" t="str">
        <f>+IFERROR(VLOOKUP(AP23,IN_Zugliste!$A$4:$D$2002,4,FALSE),"")</f>
        <v/>
      </c>
      <c r="AQ122" t="str">
        <f>+IFERROR(VLOOKUP(AQ23,IN_Zugliste!$A$4:$D$2002,4,FALSE),"")</f>
        <v/>
      </c>
      <c r="AR122" t="str">
        <f>+IFERROR(VLOOKUP(AR23,IN_Zugliste!$A$4:$D$2002,4,FALSE),"")</f>
        <v/>
      </c>
      <c r="AS122" t="str">
        <f>+IFERROR(VLOOKUP(AS23,IN_Zugliste!$A$4:$D$2002,4,FALSE),"")</f>
        <v/>
      </c>
      <c r="AT122" t="str">
        <f>+IFERROR(VLOOKUP(AT23,IN_Zugliste!$A$4:$D$2002,4,FALSE),"")</f>
        <v/>
      </c>
      <c r="AU122" t="str">
        <f>+IFERROR(VLOOKUP(AU23,IN_Zugliste!$A$4:$D$2002,4,FALSE),"")</f>
        <v/>
      </c>
      <c r="AV122" t="str">
        <f>+IFERROR(VLOOKUP(AV23,IN_Zugliste!$A$4:$D$2002,4,FALSE),"")</f>
        <v/>
      </c>
      <c r="AW122" t="str">
        <f>+IFERROR(VLOOKUP(AW23,IN_Zugliste!$A$4:$D$2002,4,FALSE),"")</f>
        <v/>
      </c>
      <c r="AX122" t="str">
        <f>+IFERROR(VLOOKUP(AX23,IN_Zugliste!$A$4:$D$2002,4,FALSE),"")</f>
        <v/>
      </c>
      <c r="AY122" t="str">
        <f>+IFERROR(VLOOKUP(AY23,IN_Zugliste!$A$4:$D$2002,4,FALSE),"")</f>
        <v/>
      </c>
      <c r="AZ122" t="str">
        <f>+IFERROR(VLOOKUP(AZ23,IN_Zugliste!$A$4:$D$2002,4,FALSE),"")</f>
        <v/>
      </c>
      <c r="BA122" t="str">
        <f>+IFERROR(VLOOKUP(BA23,IN_Zugliste!$A$4:$D$2002,4,FALSE),"")</f>
        <v/>
      </c>
      <c r="BB122" t="str">
        <f>+IFERROR(VLOOKUP(BB23,IN_Zugliste!$A$4:$D$2002,4,FALSE),"")</f>
        <v/>
      </c>
      <c r="BC122" t="str">
        <f>+IFERROR(VLOOKUP(BC23,IN_Zugliste!$A$4:$D$2002,4,FALSE),"")</f>
        <v/>
      </c>
      <c r="BD122" t="str">
        <f>+IFERROR(VLOOKUP(BD23,IN_Zugliste!$A$4:$D$2002,4,FALSE),"")</f>
        <v/>
      </c>
      <c r="BE122" t="str">
        <f>+IFERROR(VLOOKUP(BE23,IN_Zugliste!$A$4:$D$2002,4,FALSE),"")</f>
        <v/>
      </c>
      <c r="BF122" t="str">
        <f>+IFERROR(VLOOKUP(BF23,IN_Zugliste!$A$4:$D$2002,4,FALSE),"")</f>
        <v/>
      </c>
      <c r="BG122" t="str">
        <f>+IFERROR(VLOOKUP(BG23,IN_Zugliste!$A$4:$D$2002,4,FALSE),"")</f>
        <v/>
      </c>
      <c r="BH122" t="str">
        <f>+IFERROR(VLOOKUP(BH23,IN_Zugliste!$A$4:$D$2002,4,FALSE),"")</f>
        <v/>
      </c>
      <c r="BI122" t="str">
        <f>+IFERROR(VLOOKUP(BI23,IN_Zugliste!$A$4:$D$2002,4,FALSE),"")</f>
        <v/>
      </c>
      <c r="BJ122" t="str">
        <f>+IFERROR(VLOOKUP(BJ23,IN_Zugliste!$A$4:$D$2002,4,FALSE),"")</f>
        <v/>
      </c>
      <c r="BK122" t="str">
        <f>+IFERROR(VLOOKUP(BK23,IN_Zugliste!$A$4:$D$2002,4,FALSE),"")</f>
        <v/>
      </c>
      <c r="BL122" t="str">
        <f>+IFERROR(VLOOKUP(BL23,IN_Zugliste!$A$4:$D$2002,4,FALSE),"")</f>
        <v/>
      </c>
      <c r="BM122" t="str">
        <f>+IFERROR(VLOOKUP(BM23,IN_Zugliste!$A$4:$D$2002,4,FALSE),"")</f>
        <v/>
      </c>
      <c r="BN122" t="str">
        <f>+IFERROR(VLOOKUP(BN23,IN_Zugliste!$A$4:$D$2002,4,FALSE),"")</f>
        <v/>
      </c>
      <c r="BO122" t="str">
        <f>+IFERROR(VLOOKUP(BO23,IN_Zugliste!$A$4:$D$2002,4,FALSE),"")</f>
        <v/>
      </c>
      <c r="BP122" t="str">
        <f>+IFERROR(VLOOKUP(BP23,IN_Zugliste!$A$4:$D$2002,4,FALSE),"")</f>
        <v/>
      </c>
      <c r="BQ122" t="str">
        <f>+IFERROR(VLOOKUP(BQ23,IN_Zugliste!$A$4:$D$2002,4,FALSE),"")</f>
        <v/>
      </c>
      <c r="BR122" t="str">
        <f>+IFERROR(VLOOKUP(BR23,IN_Zugliste!$A$4:$D$2002,4,FALSE),"")</f>
        <v/>
      </c>
      <c r="BS122" t="str">
        <f>+IFERROR(VLOOKUP(BS23,IN_Zugliste!$A$4:$D$2002,4,FALSE),"")</f>
        <v/>
      </c>
      <c r="BT122" t="str">
        <f>+IFERROR(VLOOKUP(BT23,IN_Zugliste!$A$4:$D$2002,4,FALSE),"")</f>
        <v/>
      </c>
      <c r="BU122" t="str">
        <f>+IFERROR(VLOOKUP(BU23,IN_Zugliste!$A$4:$D$2002,4,FALSE),"")</f>
        <v/>
      </c>
      <c r="BV122" t="str">
        <f>+IFERROR(VLOOKUP(BV23,IN_Zugliste!$A$4:$D$2002,4,FALSE),"")</f>
        <v/>
      </c>
      <c r="BW122" t="str">
        <f>+IFERROR(VLOOKUP(BW23,IN_Zugliste!$A$4:$D$2002,4,FALSE),"")</f>
        <v/>
      </c>
      <c r="BX122" t="str">
        <f>+IFERROR(VLOOKUP(BX23,IN_Zugliste!$A$4:$D$2002,4,FALSE),"")</f>
        <v/>
      </c>
      <c r="BY122" t="str">
        <f>+IFERROR(VLOOKUP(BY23,IN_Zugliste!$A$4:$D$2002,4,FALSE),"")</f>
        <v/>
      </c>
      <c r="BZ122" t="str">
        <f>+IFERROR(VLOOKUP(BZ23,IN_Zugliste!$A$4:$D$2002,4,FALSE),"")</f>
        <v/>
      </c>
      <c r="CA122" t="str">
        <f>+IFERROR(VLOOKUP(CA23,IN_Zugliste!$A$4:$D$2002,4,FALSE),"")</f>
        <v/>
      </c>
      <c r="CB122" t="str">
        <f>+IFERROR(VLOOKUP(CB23,IN_Zugliste!$A$4:$D$2002,4,FALSE),"")</f>
        <v/>
      </c>
      <c r="CC122" t="str">
        <f>+IFERROR(VLOOKUP(CC23,IN_Zugliste!$A$4:$D$2002,4,FALSE),"")</f>
        <v/>
      </c>
      <c r="CD122" t="str">
        <f>+IFERROR(VLOOKUP(CD23,IN_Zugliste!$A$4:$D$2002,4,FALSE),"")</f>
        <v/>
      </c>
      <c r="CE122" t="str">
        <f>+IFERROR(VLOOKUP(CE23,IN_Zugliste!$A$4:$D$2002,4,FALSE),"")</f>
        <v/>
      </c>
      <c r="CF122" t="str">
        <f>+IFERROR(VLOOKUP(CF23,IN_Zugliste!$A$4:$D$2002,4,FALSE),"")</f>
        <v/>
      </c>
      <c r="CG122" t="str">
        <f>+IFERROR(VLOOKUP(CG23,IN_Zugliste!$A$4:$D$2002,4,FALSE),"")</f>
        <v/>
      </c>
      <c r="CH122" t="str">
        <f>+IFERROR(VLOOKUP(CH23,IN_Zugliste!$A$4:$D$2002,4,FALSE),"")</f>
        <v/>
      </c>
      <c r="CI122" t="str">
        <f>+IFERROR(VLOOKUP(CI23,IN_Zugliste!$A$4:$D$2002,4,FALSE),"")</f>
        <v/>
      </c>
      <c r="CJ122" t="str">
        <f>+IFERROR(VLOOKUP(CJ23,IN_Zugliste!$A$4:$D$2002,4,FALSE),"")</f>
        <v/>
      </c>
      <c r="CK122" t="str">
        <f>+IFERROR(VLOOKUP(CK23,IN_Zugliste!$A$4:$D$2002,4,FALSE),"")</f>
        <v/>
      </c>
      <c r="CL122" t="str">
        <f>+IFERROR(VLOOKUP(CL23,IN_Zugliste!$A$4:$D$2002,4,FALSE),"")</f>
        <v/>
      </c>
      <c r="CM122" t="str">
        <f>+IFERROR(VLOOKUP(CM23,IN_Zugliste!$A$4:$D$2002,4,FALSE),"")</f>
        <v/>
      </c>
      <c r="CN122" t="str">
        <f>+IFERROR(VLOOKUP(CN23,IN_Zugliste!$A$4:$D$2002,4,FALSE),"")</f>
        <v/>
      </c>
      <c r="CO122" t="str">
        <f>+IFERROR(VLOOKUP(CO23,IN_Zugliste!$A$4:$D$2002,4,FALSE),"")</f>
        <v/>
      </c>
      <c r="CP122" t="str">
        <f>+IFERROR(VLOOKUP(CP23,IN_Zugliste!$A$4:$D$2002,4,FALSE),"")</f>
        <v/>
      </c>
      <c r="CQ122" t="str">
        <f>+IFERROR(VLOOKUP(CQ23,IN_Zugliste!$A$4:$D$2002,4,FALSE),"")</f>
        <v/>
      </c>
      <c r="CR122" t="str">
        <f>+IFERROR(VLOOKUP(CR23,IN_Zugliste!$A$4:$D$2002,4,FALSE),"")</f>
        <v/>
      </c>
      <c r="CS122" t="str">
        <f>+IFERROR(VLOOKUP(CS23,IN_Zugliste!$A$4:$D$2002,4,FALSE),"")</f>
        <v/>
      </c>
      <c r="CT122" t="str">
        <f>+IFERROR(VLOOKUP(CT23,IN_Zugliste!$A$4:$D$2002,4,FALSE),"")</f>
        <v/>
      </c>
      <c r="CU122" t="str">
        <f>+IFERROR(VLOOKUP(CU23,IN_Zugliste!$A$4:$D$2002,4,FALSE),"")</f>
        <v/>
      </c>
      <c r="CV122" t="str">
        <f>+IFERROR(VLOOKUP(CV23,IN_Zugliste!$A$4:$D$2002,4,FALSE),"")</f>
        <v/>
      </c>
      <c r="CW122" t="str">
        <f>+IFERROR(VLOOKUP(CW23,IN_Zugliste!$A$4:$D$2002,4,FALSE),"")</f>
        <v/>
      </c>
      <c r="CX122" t="str">
        <f>+IFERROR(VLOOKUP(CX23,IN_Zugliste!$A$4:$D$2002,4,FALSE),"")</f>
        <v/>
      </c>
      <c r="CY122" t="str">
        <f>+IFERROR(VLOOKUP(CY23,IN_Zugliste!$A$4:$D$2002,4,FALSE),"")</f>
        <v/>
      </c>
      <c r="CZ122" t="str">
        <f>+IFERROR(VLOOKUP(CZ23,IN_Zugliste!$A$4:$D$2002,4,FALSE),"")</f>
        <v/>
      </c>
      <c r="DA122" t="str">
        <f>+IFERROR(VLOOKUP(DA23,IN_Zugliste!$A$4:$D$2002,4,FALSE),"")</f>
        <v/>
      </c>
      <c r="DB122" t="str">
        <f>+IFERROR(VLOOKUP(DB23,IN_Zugliste!$A$4:$D$2002,4,FALSE),"")</f>
        <v/>
      </c>
      <c r="DC122" t="str">
        <f>+IFERROR(VLOOKUP(DC23,IN_Zugliste!$A$4:$D$2002,4,FALSE),"")</f>
        <v/>
      </c>
      <c r="DD122" t="str">
        <f>+IFERROR(VLOOKUP(DD23,IN_Zugliste!$A$4:$D$2002,4,FALSE),"")</f>
        <v/>
      </c>
      <c r="DE122" t="str">
        <f>+IFERROR(VLOOKUP(DE23,IN_Zugliste!$A$4:$D$2002,4,FALSE),"")</f>
        <v/>
      </c>
      <c r="DF122" t="str">
        <f>+IFERROR(VLOOKUP(DF23,IN_Zugliste!$A$4:$D$2002,4,FALSE),"")</f>
        <v/>
      </c>
      <c r="DG122" t="str">
        <f>+IFERROR(VLOOKUP(DG23,IN_Zugliste!$A$4:$D$2002,4,FALSE),"")</f>
        <v/>
      </c>
      <c r="DH122" t="str">
        <f>+IFERROR(VLOOKUP(DH23,IN_Zugliste!$A$4:$D$2002,4,FALSE),"")</f>
        <v/>
      </c>
      <c r="DI122" t="str">
        <f>+IFERROR(VLOOKUP(DI23,IN_Zugliste!$A$4:$D$2002,4,FALSE),"")</f>
        <v/>
      </c>
      <c r="DJ122" t="str">
        <f>+IFERROR(VLOOKUP(DJ23,IN_Zugliste!$A$4:$D$2002,4,FALSE),"")</f>
        <v/>
      </c>
      <c r="DK122" t="str">
        <f>+IFERROR(VLOOKUP(DK23,IN_Zugliste!$A$4:$D$2002,4,FALSE),"")</f>
        <v/>
      </c>
      <c r="DL122" t="str">
        <f>+IFERROR(VLOOKUP(DL23,IN_Zugliste!$A$4:$D$2002,4,FALSE),"")</f>
        <v/>
      </c>
      <c r="DM122" t="str">
        <f>+IFERROR(VLOOKUP(DM23,IN_Zugliste!$A$4:$D$2002,4,FALSE),"")</f>
        <v/>
      </c>
      <c r="DN122" t="str">
        <f>+IFERROR(VLOOKUP(DN23,IN_Zugliste!$A$4:$D$2002,4,FALSE),"")</f>
        <v/>
      </c>
      <c r="DO122" t="str">
        <f>+IFERROR(VLOOKUP(DO23,IN_Zugliste!$A$4:$D$2002,4,FALSE),"")</f>
        <v/>
      </c>
      <c r="DP122" t="str">
        <f>+IFERROR(VLOOKUP(DP23,IN_Zugliste!$A$4:$D$2002,4,FALSE),"")</f>
        <v/>
      </c>
      <c r="DQ122" t="str">
        <f>+IFERROR(VLOOKUP(DQ23,IN_Zugliste!$A$4:$D$2002,4,FALSE),"")</f>
        <v/>
      </c>
      <c r="DR122" t="str">
        <f>+IFERROR(VLOOKUP(DR23,IN_Zugliste!$A$4:$D$2002,4,FALSE),"")</f>
        <v/>
      </c>
      <c r="DS122" t="str">
        <f>+IFERROR(VLOOKUP(DS23,IN_Zugliste!$A$4:$D$2002,4,FALSE),"")</f>
        <v/>
      </c>
      <c r="DT122" t="str">
        <f>+IFERROR(VLOOKUP(DT23,IN_Zugliste!$A$4:$D$2002,4,FALSE),"")</f>
        <v/>
      </c>
      <c r="DU122" t="str">
        <f>+IFERROR(VLOOKUP(DU23,IN_Zugliste!$A$4:$D$2002,4,FALSE),"")</f>
        <v/>
      </c>
      <c r="DV122" t="str">
        <f>+IFERROR(VLOOKUP(DV23,IN_Zugliste!$A$4:$D$2002,4,FALSE),"")</f>
        <v/>
      </c>
      <c r="DW122" t="str">
        <f>+IFERROR(VLOOKUP(DW23,IN_Zugliste!$A$4:$D$2002,4,FALSE),"")</f>
        <v/>
      </c>
      <c r="DX122" t="str">
        <f>+IFERROR(VLOOKUP(DX23,IN_Zugliste!$A$4:$D$2002,4,FALSE),"")</f>
        <v/>
      </c>
      <c r="DY122" t="str">
        <f>+IFERROR(VLOOKUP(DY23,IN_Zugliste!$A$4:$D$2002,4,FALSE),"")</f>
        <v/>
      </c>
      <c r="DZ122" t="str">
        <f>+IFERROR(VLOOKUP(DZ23,IN_Zugliste!$A$4:$D$2002,4,FALSE),"")</f>
        <v/>
      </c>
      <c r="EA122" t="str">
        <f>+IFERROR(VLOOKUP(EA23,IN_Zugliste!$A$4:$D$2002,4,FALSE),"")</f>
        <v/>
      </c>
      <c r="EB122" t="str">
        <f>+IFERROR(VLOOKUP(EB23,IN_Zugliste!$A$4:$D$2002,4,FALSE),"")</f>
        <v/>
      </c>
      <c r="EC122" t="str">
        <f>+IFERROR(VLOOKUP(EC23,IN_Zugliste!$A$4:$D$2002,4,FALSE),"")</f>
        <v/>
      </c>
      <c r="ED122" t="str">
        <f>+IFERROR(VLOOKUP(ED23,IN_Zugliste!$A$4:$D$2002,4,FALSE),"")</f>
        <v/>
      </c>
      <c r="EE122" t="str">
        <f>+IFERROR(VLOOKUP(EE23,IN_Zugliste!$A$4:$D$2002,4,FALSE),"")</f>
        <v/>
      </c>
      <c r="EF122" t="str">
        <f>+IFERROR(VLOOKUP(EF23,IN_Zugliste!$A$4:$D$2002,4,FALSE),"")</f>
        <v/>
      </c>
      <c r="EG122" t="str">
        <f>+IFERROR(VLOOKUP(EG23,IN_Zugliste!$A$4:$D$2002,4,FALSE),"")</f>
        <v/>
      </c>
      <c r="EH122" t="str">
        <f>+IFERROR(VLOOKUP(EH23,IN_Zugliste!$A$4:$D$2002,4,FALSE),"")</f>
        <v/>
      </c>
      <c r="EI122" t="str">
        <f>+IFERROR(VLOOKUP(EI23,IN_Zugliste!$A$4:$D$2002,4,FALSE),"")</f>
        <v/>
      </c>
      <c r="EJ122" t="str">
        <f>+IFERROR(VLOOKUP(EJ23,IN_Zugliste!$A$4:$D$2002,4,FALSE),"")</f>
        <v/>
      </c>
      <c r="EK122" t="str">
        <f>+IFERROR(VLOOKUP(EK23,IN_Zugliste!$A$4:$D$2002,4,FALSE),"")</f>
        <v/>
      </c>
      <c r="EL122" t="str">
        <f>+IFERROR(VLOOKUP(EL23,IN_Zugliste!$A$4:$D$2002,4,FALSE),"")</f>
        <v/>
      </c>
      <c r="EM122" t="str">
        <f>+IFERROR(VLOOKUP(EM23,IN_Zugliste!$A$4:$D$2002,4,FALSE),"")</f>
        <v/>
      </c>
      <c r="EN122" t="str">
        <f>+IFERROR(VLOOKUP(EN23,IN_Zugliste!$A$4:$D$2002,4,FALSE),"")</f>
        <v/>
      </c>
      <c r="EO122" t="str">
        <f>+IFERROR(VLOOKUP(EO23,IN_Zugliste!$A$4:$D$2002,4,FALSE),"")</f>
        <v/>
      </c>
      <c r="EP122" t="str">
        <f>+IFERROR(VLOOKUP(EP23,IN_Zugliste!$A$4:$D$2002,4,FALSE),"")</f>
        <v/>
      </c>
      <c r="EQ122" t="str">
        <f>+IFERROR(VLOOKUP(EQ23,IN_Zugliste!$A$4:$D$2002,4,FALSE),"")</f>
        <v/>
      </c>
      <c r="ER122" t="str">
        <f>+IFERROR(VLOOKUP(ER23,IN_Zugliste!$A$4:$D$2002,4,FALSE),"")</f>
        <v/>
      </c>
      <c r="ES122" t="str">
        <f>+IFERROR(VLOOKUP(ES23,IN_Zugliste!$A$4:$D$2002,4,FALSE),"")</f>
        <v/>
      </c>
      <c r="ET122" t="str">
        <f>+IFERROR(VLOOKUP(ET23,IN_Zugliste!$A$4:$D$2002,4,FALSE),"")</f>
        <v/>
      </c>
      <c r="EU122" t="str">
        <f>+IFERROR(VLOOKUP(EU23,IN_Zugliste!$A$4:$D$2002,4,FALSE),"")</f>
        <v/>
      </c>
      <c r="EV122" t="str">
        <f>+IFERROR(VLOOKUP(EV23,IN_Zugliste!$A$4:$D$2002,4,FALSE),"")</f>
        <v/>
      </c>
      <c r="EW122" t="str">
        <f>+IFERROR(VLOOKUP(EW23,IN_Zugliste!$A$4:$D$2002,4,FALSE),"")</f>
        <v/>
      </c>
      <c r="EX122" t="str">
        <f>+IFERROR(VLOOKUP(EX23,IN_Zugliste!$A$4:$D$2002,4,FALSE),"")</f>
        <v/>
      </c>
      <c r="EY122" t="str">
        <f>+IFERROR(VLOOKUP(EY23,IN_Zugliste!$A$4:$D$2002,4,FALSE),"")</f>
        <v/>
      </c>
      <c r="EZ122" t="str">
        <f>+IFERROR(VLOOKUP(EZ23,IN_Zugliste!$A$4:$D$2002,4,FALSE),"")</f>
        <v/>
      </c>
      <c r="FA122" t="str">
        <f>+IFERROR(VLOOKUP(FA23,IN_Zugliste!$A$4:$D$2002,4,FALSE),"")</f>
        <v/>
      </c>
      <c r="FB122" t="str">
        <f>+IFERROR(VLOOKUP(FB23,IN_Zugliste!$A$4:$D$2002,4,FALSE),"")</f>
        <v/>
      </c>
      <c r="FC122" t="str">
        <f>+IFERROR(VLOOKUP(FC23,IN_Zugliste!$A$4:$D$2002,4,FALSE),"")</f>
        <v/>
      </c>
      <c r="FD122" t="str">
        <f>+IFERROR(VLOOKUP(FD23,IN_Zugliste!$A$4:$D$2002,4,FALSE),"")</f>
        <v/>
      </c>
      <c r="FE122" t="str">
        <f>+IFERROR(VLOOKUP(FE23,IN_Zugliste!$A$4:$D$2002,4,FALSE),"")</f>
        <v/>
      </c>
      <c r="FF122" t="str">
        <f>+IFERROR(VLOOKUP(FF23,IN_Zugliste!$A$4:$D$2002,4,FALSE),"")</f>
        <v/>
      </c>
      <c r="FG122" t="str">
        <f>+IFERROR(VLOOKUP(FG23,IN_Zugliste!$A$4:$D$2002,4,FALSE),"")</f>
        <v/>
      </c>
      <c r="FH122" t="str">
        <f>+IFERROR(VLOOKUP(FH23,IN_Zugliste!$A$4:$D$2002,4,FALSE),"")</f>
        <v/>
      </c>
      <c r="FI122" t="str">
        <f>+IFERROR(VLOOKUP(FI23,IN_Zugliste!$A$4:$D$2002,4,FALSE),"")</f>
        <v/>
      </c>
      <c r="FJ122" t="str">
        <f>+IFERROR(VLOOKUP(FJ23,IN_Zugliste!$A$4:$D$2002,4,FALSE),"")</f>
        <v/>
      </c>
      <c r="FK122" t="str">
        <f>+IFERROR(VLOOKUP(FK23,IN_Zugliste!$A$4:$D$2002,4,FALSE),"")</f>
        <v/>
      </c>
      <c r="FL122" t="str">
        <f>+IFERROR(VLOOKUP(FL23,IN_Zugliste!$A$4:$D$2002,4,FALSE),"")</f>
        <v/>
      </c>
      <c r="FM122" t="str">
        <f>+IFERROR(VLOOKUP(FM23,IN_Zugliste!$A$4:$C$2002,4,FALSE),"")</f>
        <v/>
      </c>
      <c r="FN122" t="str">
        <f>+IFERROR(VLOOKUP(FN23,IN_Zugliste!$A$4:$C$2002,4,FALSE),"")</f>
        <v/>
      </c>
      <c r="FO122" t="str">
        <f>+IFERROR(VLOOKUP(FO23,IN_Zugliste!$A$4:$C$2002,4,FALSE),"")</f>
        <v/>
      </c>
      <c r="FP122" t="str">
        <f>+IFERROR(VLOOKUP(FP23,IN_Zugliste!$A$4:$C$2002,4,FALSE),"")</f>
        <v/>
      </c>
      <c r="FQ122" t="str">
        <f>+IFERROR(VLOOKUP(FQ23,IN_Zugliste!$A$4:$C$2002,4,FALSE),"")</f>
        <v/>
      </c>
      <c r="FR122" t="str">
        <f>+IFERROR(VLOOKUP(FR23,IN_Zugliste!$A$4:$C$2002,4,FALSE),"")</f>
        <v/>
      </c>
      <c r="FS122" t="str">
        <f>+IFERROR(VLOOKUP(FS23,IN_Zugliste!$A$4:$C$2002,4,FALSE),"")</f>
        <v/>
      </c>
      <c r="FT122" t="str">
        <f>+IFERROR(VLOOKUP(FT23,IN_Zugliste!$A$4:$C$2002,4,FALSE),"")</f>
        <v/>
      </c>
      <c r="FU122" t="str">
        <f>+IFERROR(VLOOKUP(FU23,IN_Zugliste!$A$4:$C$2002,4,FALSE),"")</f>
        <v/>
      </c>
      <c r="FV122" t="str">
        <f>+IFERROR(VLOOKUP(FV23,IN_Zugliste!$A$4:$C$2002,4,FALSE),"")</f>
        <v/>
      </c>
      <c r="FW122" t="str">
        <f>+IFERROR(VLOOKUP(FW23,IN_Zugliste!$A$4:$C$2002,4,FALSE),"")</f>
        <v/>
      </c>
      <c r="FX122" t="str">
        <f>+IFERROR(VLOOKUP(FX23,IN_Zugliste!$A$4:$C$2002,4,FALSE),"")</f>
        <v/>
      </c>
      <c r="FY122" t="str">
        <f>+IFERROR(VLOOKUP(FY23,IN_Zugliste!$A$4:$C$2002,4,FALSE),"")</f>
        <v/>
      </c>
      <c r="FZ122" t="str">
        <f>+IFERROR(VLOOKUP(FZ23,IN_Zugliste!$A$4:$C$2002,4,FALSE),"")</f>
        <v/>
      </c>
      <c r="GA122" t="str">
        <f>+IFERROR(VLOOKUP(GA23,IN_Zugliste!$A$4:$C$2002,4,FALSE),"")</f>
        <v/>
      </c>
      <c r="GB122" t="str">
        <f>+IFERROR(VLOOKUP(GB23,IN_Zugliste!$A$4:$C$2002,4,FALSE),"")</f>
        <v/>
      </c>
      <c r="GC122" t="str">
        <f>+IFERROR(VLOOKUP(GC23,IN_Zugliste!$A$4:$C$2002,4,FALSE),"")</f>
        <v/>
      </c>
      <c r="GD122" t="str">
        <f>+IFERROR(VLOOKUP(GD23,IN_Zugliste!$A$4:$C$2002,4,FALSE),"")</f>
        <v/>
      </c>
      <c r="GE122" t="str">
        <f>+IFERROR(VLOOKUP(GE23,IN_Zugliste!$A$4:$C$2002,4,FALSE),"")</f>
        <v/>
      </c>
      <c r="GF122" t="str">
        <f>+IFERROR(VLOOKUP(GF23,IN_Zugliste!$A$4:$C$2002,4,FALSE),"")</f>
        <v/>
      </c>
      <c r="GG122" t="str">
        <f>+IFERROR(VLOOKUP(GG23,IN_Zugliste!$A$4:$C$2002,4,FALSE),"")</f>
        <v/>
      </c>
      <c r="GH122" t="str">
        <f>+IFERROR(VLOOKUP(GH23,IN_Zugliste!$A$4:$C$2002,4,FALSE),"")</f>
        <v/>
      </c>
      <c r="GI122" t="str">
        <f>+IFERROR(VLOOKUP(GI23,IN_Zugliste!$A$4:$C$2002,4,FALSE),"")</f>
        <v/>
      </c>
      <c r="GJ122" t="str">
        <f>+IFERROR(VLOOKUP(GJ23,IN_Zugliste!$A$4:$C$2002,4,FALSE),"")</f>
        <v/>
      </c>
      <c r="GK122" t="str">
        <f>+IFERROR(VLOOKUP(GK23,IN_Zugliste!$A$4:$C$2002,4,FALSE),"")</f>
        <v/>
      </c>
      <c r="GL122" t="str">
        <f>+IFERROR(VLOOKUP(GL23,IN_Zugliste!$A$4:$C$2002,4,FALSE),"")</f>
        <v/>
      </c>
      <c r="GM122" t="str">
        <f>+IFERROR(VLOOKUP(GM23,IN_Zugliste!$A$4:$C$2002,4,FALSE),"")</f>
        <v/>
      </c>
      <c r="GN122" t="str">
        <f>+IFERROR(VLOOKUP(GN23,IN_Zugliste!$A$4:$C$2002,4,FALSE),"")</f>
        <v/>
      </c>
      <c r="GO122" t="str">
        <f>+IFERROR(VLOOKUP(GO23,IN_Zugliste!$A$4:$C$2002,4,FALSE),"")</f>
        <v/>
      </c>
      <c r="GP122" t="str">
        <f>+IFERROR(VLOOKUP(GP23,IN_Zugliste!$A$4:$C$2002,4,FALSE),"")</f>
        <v/>
      </c>
      <c r="GQ122" t="str">
        <f>+IFERROR(VLOOKUP(GQ23,IN_Zugliste!$A$4:$C$2002,4,FALSE),"")</f>
        <v/>
      </c>
      <c r="GR122" t="str">
        <f>+IFERROR(VLOOKUP(GR23,IN_Zugliste!$A$4:$C$2002,4,FALSE),"")</f>
        <v/>
      </c>
      <c r="GS122" t="str">
        <f>+IFERROR(VLOOKUP(GS23,IN_Zugliste!$A$4:$C$2002,4,FALSE),"")</f>
        <v/>
      </c>
      <c r="GT122" t="str">
        <f>+IFERROR(VLOOKUP(GT23,IN_Zugliste!$A$4:$C$2002,4,FALSE),"")</f>
        <v/>
      </c>
      <c r="GU122" t="str">
        <f>+IFERROR(VLOOKUP(GU23,IN_Zugliste!$A$4:$C$2002,4,FALSE),"")</f>
        <v/>
      </c>
      <c r="GV122" t="str">
        <f>+IFERROR(VLOOKUP(GV23,IN_Zugliste!$A$4:$C$2002,4,FALSE),"")</f>
        <v/>
      </c>
      <c r="GW122" t="str">
        <f>+IFERROR(VLOOKUP(GW23,IN_Zugliste!$A$4:$C$2002,4,FALSE),"")</f>
        <v/>
      </c>
      <c r="GX122" t="str">
        <f>+IFERROR(VLOOKUP(GX23,IN_Zugliste!$A$4:$C$2002,4,FALSE),"")</f>
        <v/>
      </c>
      <c r="GY122" t="str">
        <f>+IFERROR(VLOOKUP(GY23,IN_Zugliste!$A$4:$C$2002,4,FALSE),"")</f>
        <v/>
      </c>
      <c r="GZ122" t="str">
        <f>+IFERROR(VLOOKUP(GZ23,IN_Zugliste!$A$4:$C$2002,4,FALSE),"")</f>
        <v/>
      </c>
      <c r="HA122" t="str">
        <f>+IFERROR(VLOOKUP(HA23,IN_Zugliste!$A$4:$C$2002,4,FALSE),"")</f>
        <v/>
      </c>
      <c r="HB122" t="str">
        <f>+IFERROR(VLOOKUP(HB23,IN_Zugliste!$A$4:$C$2002,4,FALSE),"")</f>
        <v/>
      </c>
      <c r="HC122" t="str">
        <f>+IFERROR(VLOOKUP(HC23,IN_Zugliste!$A$4:$C$2002,4,FALSE),"")</f>
        <v/>
      </c>
      <c r="HD122" t="str">
        <f>+IFERROR(VLOOKUP(HD23,IN_Zugliste!$A$4:$C$2002,4,FALSE),"")</f>
        <v/>
      </c>
      <c r="HE122" t="str">
        <f>+IFERROR(VLOOKUP(HE23,IN_Zugliste!$A$4:$C$2002,4,FALSE),"")</f>
        <v/>
      </c>
      <c r="HF122" t="str">
        <f>+IFERROR(VLOOKUP(HF23,IN_Zugliste!$A$4:$C$2002,4,FALSE),"")</f>
        <v/>
      </c>
      <c r="HG122" t="str">
        <f>+IFERROR(VLOOKUP(HG23,IN_Zugliste!$A$4:$C$2002,4,FALSE),"")</f>
        <v/>
      </c>
      <c r="HH122" t="str">
        <f>+IFERROR(VLOOKUP(HH23,IN_Zugliste!$A$4:$C$2002,4,FALSE),"")</f>
        <v/>
      </c>
      <c r="HI122" t="str">
        <f>+IFERROR(VLOOKUP(HI23,IN_Zugliste!$A$4:$C$2002,4,FALSE),"")</f>
        <v/>
      </c>
      <c r="HJ122" t="str">
        <f>+IFERROR(VLOOKUP(HJ23,IN_Zugliste!$A$4:$C$2002,4,FALSE),"")</f>
        <v/>
      </c>
      <c r="HK122" t="str">
        <f>+IFERROR(VLOOKUP(HK23,IN_Zugliste!$A$4:$C$2002,4,FALSE),"")</f>
        <v/>
      </c>
      <c r="HL122" t="str">
        <f>+IFERROR(VLOOKUP(HL23,IN_Zugliste!$A$4:$C$2002,4,FALSE),"")</f>
        <v/>
      </c>
      <c r="HM122" t="str">
        <f>+IFERROR(VLOOKUP(HM23,IN_Zugliste!$A$4:$C$2002,4,FALSE),"")</f>
        <v/>
      </c>
      <c r="HN122" t="str">
        <f>+IFERROR(VLOOKUP(HN23,IN_Zugliste!$A$4:$C$2002,4,FALSE),"")</f>
        <v/>
      </c>
      <c r="HO122" t="str">
        <f>+IFERROR(VLOOKUP(HO23,IN_Zugliste!$A$4:$C$2002,4,FALSE),"")</f>
        <v/>
      </c>
      <c r="HP122" t="str">
        <f>+IFERROR(VLOOKUP(HP23,IN_Zugliste!$A$4:$C$2002,4,FALSE),"")</f>
        <v/>
      </c>
      <c r="HQ122" t="str">
        <f>+IFERROR(VLOOKUP(HQ23,IN_Zugliste!$A$4:$C$2002,4,FALSE),"")</f>
        <v/>
      </c>
      <c r="HR122" t="str">
        <f>+IFERROR(VLOOKUP(HR23,IN_Zugliste!$A$4:$C$2002,4,FALSE),"")</f>
        <v/>
      </c>
      <c r="HS122" t="str">
        <f>+IFERROR(VLOOKUP(HS23,IN_Zugliste!$A$4:$C$2002,4,FALSE),"")</f>
        <v/>
      </c>
      <c r="HT122" t="str">
        <f>+IFERROR(VLOOKUP(HT23,IN_Zugliste!$A$4:$C$2002,4,FALSE),"")</f>
        <v/>
      </c>
      <c r="HU122" t="str">
        <f>+IFERROR(VLOOKUP(HU23,IN_Zugliste!$A$4:$C$2002,4,FALSE),"")</f>
        <v/>
      </c>
      <c r="HV122" t="str">
        <f>+IFERROR(VLOOKUP(HV23,IN_Zugliste!$A$4:$C$2002,4,FALSE),"")</f>
        <v/>
      </c>
      <c r="HW122" t="str">
        <f>+IFERROR(VLOOKUP(HW23,IN_Zugliste!$A$4:$C$2002,4,FALSE),"")</f>
        <v/>
      </c>
      <c r="HX122" t="str">
        <f>+IFERROR(VLOOKUP(HX23,IN_Zugliste!$A$4:$C$2002,4,FALSE),"")</f>
        <v/>
      </c>
      <c r="HY122" t="str">
        <f>+IFERROR(VLOOKUP(HY23,IN_Zugliste!$A$4:$C$2002,4,FALSE),"")</f>
        <v/>
      </c>
      <c r="HZ122" t="str">
        <f>+IFERROR(VLOOKUP(HZ23,IN_Zugliste!$A$4:$C$2002,4,FALSE),"")</f>
        <v/>
      </c>
      <c r="IA122" t="str">
        <f>+IFERROR(VLOOKUP(IA23,IN_Zugliste!$A$4:$C$2002,4,FALSE),"")</f>
        <v/>
      </c>
      <c r="IB122" t="str">
        <f>+IFERROR(VLOOKUP(IB23,IN_Zugliste!$A$4:$C$2002,4,FALSE),"")</f>
        <v/>
      </c>
      <c r="IC122" t="str">
        <f>+IFERROR(VLOOKUP(IC23,IN_Zugliste!$A$4:$C$2002,4,FALSE),"")</f>
        <v/>
      </c>
      <c r="ID122" t="str">
        <f>+IFERROR(VLOOKUP(ID23,IN_Zugliste!$A$4:$C$2002,4,FALSE),"")</f>
        <v/>
      </c>
      <c r="IE122" t="str">
        <f>+IFERROR(VLOOKUP(IE23,IN_Zugliste!$A$4:$C$2002,4,FALSE),"")</f>
        <v/>
      </c>
      <c r="IF122" t="str">
        <f>+IFERROR(VLOOKUP(IF23,IN_Zugliste!$A$4:$C$2002,4,FALSE),"")</f>
        <v/>
      </c>
      <c r="IG122" t="str">
        <f>+IFERROR(VLOOKUP(IG23,IN_Zugliste!$A$4:$C$2002,4,FALSE),"")</f>
        <v/>
      </c>
      <c r="IH122" t="str">
        <f>+IFERROR(VLOOKUP(IH23,IN_Zugliste!$A$4:$C$2002,4,FALSE),"")</f>
        <v/>
      </c>
      <c r="II122" t="str">
        <f>+IFERROR(VLOOKUP(II23,IN_Zugliste!$A$4:$C$2002,4,FALSE),"")</f>
        <v/>
      </c>
      <c r="IJ122" t="str">
        <f>+IFERROR(VLOOKUP(IJ23,IN_Zugliste!$A$4:$C$2002,4,FALSE),"")</f>
        <v/>
      </c>
      <c r="IK122" t="str">
        <f>+IFERROR(VLOOKUP(IK23,IN_Zugliste!$A$4:$C$2002,4,FALSE),"")</f>
        <v/>
      </c>
      <c r="IL122" t="str">
        <f>+IFERROR(VLOOKUP(IL23,IN_Zugliste!$A$4:$C$2002,4,FALSE),"")</f>
        <v/>
      </c>
      <c r="IM122" t="str">
        <f>+IFERROR(VLOOKUP(IM23,IN_Zugliste!$A$4:$C$2002,4,FALSE),"")</f>
        <v/>
      </c>
      <c r="IN122" t="str">
        <f>+IFERROR(VLOOKUP(IN23,IN_Zugliste!$A$4:$C$2002,4,FALSE),"")</f>
        <v/>
      </c>
      <c r="IO122" t="str">
        <f>+IFERROR(VLOOKUP(IO23,IN_Zugliste!$A$4:$C$2002,4,FALSE),"")</f>
        <v/>
      </c>
      <c r="IP122" t="str">
        <f>+IFERROR(VLOOKUP(IP23,IN_Zugliste!$A$4:$C$2002,4,FALSE),"")</f>
        <v/>
      </c>
      <c r="IQ122" t="str">
        <f>+IFERROR(VLOOKUP(IQ23,IN_Zugliste!$A$4:$C$2002,4,FALSE),"")</f>
        <v/>
      </c>
      <c r="IR122" t="str">
        <f>+IFERROR(VLOOKUP(IR23,IN_Zugliste!$A$4:$C$2002,4,FALSE),"")</f>
        <v/>
      </c>
      <c r="IS122" t="str">
        <f>+IFERROR(VLOOKUP(IS23,IN_Zugliste!$A$4:$C$2002,4,FALSE),"")</f>
        <v/>
      </c>
      <c r="IT122" t="str">
        <f>+IFERROR(VLOOKUP(IT23,IN_Zugliste!$A$4:$C$2002,4,FALSE),"")</f>
        <v/>
      </c>
      <c r="IU122" t="str">
        <f>+IFERROR(VLOOKUP(IU23,IN_Zugliste!$A$4:$C$2002,4,FALSE),"")</f>
        <v/>
      </c>
      <c r="IV122" t="str">
        <f>+IFERROR(VLOOKUP(IV23,IN_Zugliste!$A$4:$C$2002,4,FALSE),"")</f>
        <v/>
      </c>
      <c r="IW122" t="str">
        <f>+IFERROR(VLOOKUP(IW23,IN_Zugliste!$A$4:$C$2002,4,FALSE),"")</f>
        <v/>
      </c>
      <c r="IX122" t="str">
        <f>+IFERROR(VLOOKUP(IX23,IN_Zugliste!$A$4:$C$2002,4,FALSE),"")</f>
        <v/>
      </c>
      <c r="IY122" t="str">
        <f>+IFERROR(VLOOKUP(IY23,IN_Zugliste!$A$4:$C$2002,4,FALSE),"")</f>
        <v/>
      </c>
      <c r="IZ122" t="str">
        <f>+IFERROR(VLOOKUP(IZ23,IN_Zugliste!$A$4:$C$2002,4,FALSE),"")</f>
        <v/>
      </c>
      <c r="JA122" t="str">
        <f>+IFERROR(VLOOKUP(JA23,IN_Zugliste!$A$4:$C$2002,4,FALSE),"")</f>
        <v/>
      </c>
      <c r="JB122" t="str">
        <f>+IFERROR(VLOOKUP(JB23,IN_Zugliste!$A$4:$C$2002,4,FALSE),"")</f>
        <v/>
      </c>
      <c r="JC122" t="str">
        <f>+IFERROR(VLOOKUP(JC23,IN_Zugliste!$A$4:$C$2002,4,FALSE),"")</f>
        <v/>
      </c>
      <c r="JD122" t="str">
        <f>+IFERROR(VLOOKUP(JD23,IN_Zugliste!$A$4:$C$2002,4,FALSE),"")</f>
        <v/>
      </c>
      <c r="JE122" t="str">
        <f>+IFERROR(VLOOKUP(JE23,IN_Zugliste!$A$4:$C$2002,4,FALSE),"")</f>
        <v/>
      </c>
      <c r="JF122" t="str">
        <f>+IFERROR(VLOOKUP(JF23,IN_Zugliste!$A$4:$C$2002,4,FALSE),"")</f>
        <v/>
      </c>
      <c r="JG122" t="str">
        <f>+IFERROR(VLOOKUP(JG23,IN_Zugliste!$A$4:$C$2002,4,FALSE),"")</f>
        <v/>
      </c>
      <c r="JH122" t="str">
        <f>+IFERROR(VLOOKUP(JH23,IN_Zugliste!$A$4:$C$2002,4,FALSE),"")</f>
        <v/>
      </c>
      <c r="JI122" t="str">
        <f>+IFERROR(VLOOKUP(JI23,IN_Zugliste!$A$4:$C$2002,4,FALSE),"")</f>
        <v/>
      </c>
      <c r="JJ122" t="str">
        <f>+IFERROR(VLOOKUP(JJ23,IN_Zugliste!$A$4:$C$2002,4,FALSE),"")</f>
        <v/>
      </c>
      <c r="JK122" t="str">
        <f>+IFERROR(VLOOKUP(JK23,IN_Zugliste!$A$4:$C$2002,4,FALSE),"")</f>
        <v/>
      </c>
      <c r="JL122" t="str">
        <f>+IFERROR(VLOOKUP(JL23,IN_Zugliste!$A$4:$C$2002,4,FALSE),"")</f>
        <v/>
      </c>
    </row>
    <row r="123" spans="1:272" x14ac:dyDescent="0.2">
      <c r="A123" t="str">
        <f>+IFERROR(VLOOKUP(A24,IN_Zugliste!$A$4:$D$2002,4,FALSE),"")</f>
        <v/>
      </c>
      <c r="B123" t="str">
        <f>+IFERROR(VLOOKUP(B24,IN_Zugliste!$A$4:$D$2002,4,FALSE),"")</f>
        <v/>
      </c>
      <c r="C123" t="str">
        <f>+IFERROR(VLOOKUP(C24,IN_Zugliste!$A$4:$D$2002,4,FALSE),"")</f>
        <v/>
      </c>
      <c r="D123" t="str">
        <f>+IFERROR(VLOOKUP(D24,IN_Zugliste!$A$4:$D$2002,4,FALSE),"")</f>
        <v/>
      </c>
      <c r="E123" t="str">
        <f>+IFERROR(VLOOKUP(E24,IN_Zugliste!$A$4:$D$2002,4,FALSE),"")</f>
        <v/>
      </c>
      <c r="F123" t="str">
        <f>+IFERROR(VLOOKUP(F24,IN_Zugliste!$A$4:$D$2002,4,FALSE),"")</f>
        <v/>
      </c>
      <c r="G123" t="str">
        <f>+IFERROR(VLOOKUP(G24,IN_Zugliste!$A$4:$D$2002,4,FALSE),"")</f>
        <v/>
      </c>
      <c r="H123" t="str">
        <f>+IFERROR(VLOOKUP(H24,IN_Zugliste!$A$4:$D$2002,4,FALSE),"")</f>
        <v/>
      </c>
      <c r="I123" t="str">
        <f>+IFERROR(VLOOKUP(I24,IN_Zugliste!$A$4:$D$2002,4,FALSE),"")</f>
        <v/>
      </c>
      <c r="J123" t="str">
        <f>+IFERROR(VLOOKUP(J24,IN_Zugliste!$A$4:$D$2002,4,FALSE),"")</f>
        <v/>
      </c>
      <c r="K123" t="str">
        <f>+IFERROR(VLOOKUP(K24,IN_Zugliste!$A$4:$D$2002,4,FALSE),"")</f>
        <v/>
      </c>
      <c r="L123" t="str">
        <f>+IFERROR(VLOOKUP(L24,IN_Zugliste!$A$4:$D$2002,4,FALSE),"")</f>
        <v/>
      </c>
      <c r="M123" t="str">
        <f>+IFERROR(VLOOKUP(M24,IN_Zugliste!$A$4:$D$2002,4,FALSE),"")</f>
        <v/>
      </c>
      <c r="N123" t="str">
        <f>+IFERROR(VLOOKUP(N24,IN_Zugliste!$A$4:$D$2002,4,FALSE),"")</f>
        <v/>
      </c>
      <c r="O123" t="str">
        <f>+IFERROR(VLOOKUP(O24,IN_Zugliste!$A$4:$D$2002,4,FALSE),"")</f>
        <v/>
      </c>
      <c r="P123" t="str">
        <f>+IFERROR(VLOOKUP(P24,IN_Zugliste!$A$4:$D$2002,4,FALSE),"")</f>
        <v/>
      </c>
      <c r="Q123" t="str">
        <f>+IFERROR(VLOOKUP(Q24,IN_Zugliste!$A$4:$D$2002,4,FALSE),"")</f>
        <v/>
      </c>
      <c r="R123" t="str">
        <f>+IFERROR(VLOOKUP(R24,IN_Zugliste!$A$4:$D$2002,4,FALSE),"")</f>
        <v/>
      </c>
      <c r="S123" t="str">
        <f>+IFERROR(VLOOKUP(S24,IN_Zugliste!$A$4:$D$2002,4,FALSE),"")</f>
        <v/>
      </c>
      <c r="T123" t="str">
        <f>+IFERROR(VLOOKUP(T24,IN_Zugliste!$A$4:$D$2002,4,FALSE),"")</f>
        <v/>
      </c>
      <c r="U123" t="str">
        <f>+IFERROR(VLOOKUP(U24,IN_Zugliste!$A$4:$D$2002,4,FALSE),"")</f>
        <v/>
      </c>
      <c r="V123" t="str">
        <f>+IFERROR(VLOOKUP(V24,IN_Zugliste!$A$4:$D$2002,4,FALSE),"")</f>
        <v/>
      </c>
      <c r="W123" t="str">
        <f>+IFERROR(VLOOKUP(W24,IN_Zugliste!$A$4:$D$2002,4,FALSE),"")</f>
        <v/>
      </c>
      <c r="X123" t="str">
        <f>+IFERROR(VLOOKUP(X24,IN_Zugliste!$A$4:$D$2002,4,FALSE),"")</f>
        <v/>
      </c>
      <c r="Y123" t="str">
        <f>+IFERROR(VLOOKUP(Y24,IN_Zugliste!$A$4:$D$2002,4,FALSE),"")</f>
        <v/>
      </c>
      <c r="Z123" t="str">
        <f>+IFERROR(VLOOKUP(Z24,IN_Zugliste!$A$4:$D$2002,4,FALSE),"")</f>
        <v/>
      </c>
      <c r="AA123" t="str">
        <f>+IFERROR(VLOOKUP(AA24,IN_Zugliste!$A$4:$D$2002,4,FALSE),"")</f>
        <v/>
      </c>
      <c r="AB123" t="str">
        <f>+IFERROR(VLOOKUP(AB24,IN_Zugliste!$A$4:$D$2002,4,FALSE),"")</f>
        <v/>
      </c>
      <c r="AC123" t="str">
        <f>+IFERROR(VLOOKUP(AC24,IN_Zugliste!$A$4:$D$2002,4,FALSE),"")</f>
        <v/>
      </c>
      <c r="AD123" t="str">
        <f>+IFERROR(VLOOKUP(AD24,IN_Zugliste!$A$4:$D$2002,4,FALSE),"")</f>
        <v/>
      </c>
      <c r="AE123" t="str">
        <f>+IFERROR(VLOOKUP(AE24,IN_Zugliste!$A$4:$D$2002,4,FALSE),"")</f>
        <v/>
      </c>
      <c r="AF123" t="str">
        <f>+IFERROR(VLOOKUP(AF24,IN_Zugliste!$A$4:$D$2002,4,FALSE),"")</f>
        <v/>
      </c>
      <c r="AG123" t="str">
        <f>+IFERROR(VLOOKUP(AG24,IN_Zugliste!$A$4:$D$2002,4,FALSE),"")</f>
        <v/>
      </c>
      <c r="AH123" t="str">
        <f>+IFERROR(VLOOKUP(AH24,IN_Zugliste!$A$4:$D$2002,4,FALSE),"")</f>
        <v/>
      </c>
      <c r="AI123" t="str">
        <f>+IFERROR(VLOOKUP(AI24,IN_Zugliste!$A$4:$D$2002,4,FALSE),"")</f>
        <v/>
      </c>
      <c r="AJ123" t="str">
        <f>+IFERROR(VLOOKUP(AJ24,IN_Zugliste!$A$4:$D$2002,4,FALSE),"")</f>
        <v/>
      </c>
      <c r="AK123" t="str">
        <f>+IFERROR(VLOOKUP(AK24,IN_Zugliste!$A$4:$D$2002,4,FALSE),"")</f>
        <v/>
      </c>
      <c r="AL123" t="str">
        <f>+IFERROR(VLOOKUP(AL24,IN_Zugliste!$A$4:$D$2002,4,FALSE),"")</f>
        <v/>
      </c>
      <c r="AM123" t="str">
        <f>+IFERROR(VLOOKUP(AM24,IN_Zugliste!$A$4:$D$2002,4,FALSE),"")</f>
        <v/>
      </c>
      <c r="AN123" t="str">
        <f>+IFERROR(VLOOKUP(AN24,IN_Zugliste!$A$4:$D$2002,4,FALSE),"")</f>
        <v/>
      </c>
      <c r="AO123" t="str">
        <f>+IFERROR(VLOOKUP(AO24,IN_Zugliste!$A$4:$D$2002,4,FALSE),"")</f>
        <v/>
      </c>
      <c r="AP123" t="str">
        <f>+IFERROR(VLOOKUP(AP24,IN_Zugliste!$A$4:$D$2002,4,FALSE),"")</f>
        <v/>
      </c>
      <c r="AQ123" t="str">
        <f>+IFERROR(VLOOKUP(AQ24,IN_Zugliste!$A$4:$D$2002,4,FALSE),"")</f>
        <v/>
      </c>
      <c r="AR123" t="str">
        <f>+IFERROR(VLOOKUP(AR24,IN_Zugliste!$A$4:$D$2002,4,FALSE),"")</f>
        <v/>
      </c>
      <c r="AS123" t="str">
        <f>+IFERROR(VLOOKUP(AS24,IN_Zugliste!$A$4:$D$2002,4,FALSE),"")</f>
        <v/>
      </c>
      <c r="AT123" t="str">
        <f>+IFERROR(VLOOKUP(AT24,IN_Zugliste!$A$4:$D$2002,4,FALSE),"")</f>
        <v/>
      </c>
      <c r="AU123" t="str">
        <f>+IFERROR(VLOOKUP(AU24,IN_Zugliste!$A$4:$D$2002,4,FALSE),"")</f>
        <v/>
      </c>
      <c r="AV123" t="str">
        <f>+IFERROR(VLOOKUP(AV24,IN_Zugliste!$A$4:$D$2002,4,FALSE),"")</f>
        <v/>
      </c>
      <c r="AW123" t="str">
        <f>+IFERROR(VLOOKUP(AW24,IN_Zugliste!$A$4:$D$2002,4,FALSE),"")</f>
        <v/>
      </c>
      <c r="AX123" t="str">
        <f>+IFERROR(VLOOKUP(AX24,IN_Zugliste!$A$4:$D$2002,4,FALSE),"")</f>
        <v/>
      </c>
      <c r="AY123" t="str">
        <f>+IFERROR(VLOOKUP(AY24,IN_Zugliste!$A$4:$D$2002,4,FALSE),"")</f>
        <v/>
      </c>
      <c r="AZ123" t="str">
        <f>+IFERROR(VLOOKUP(AZ24,IN_Zugliste!$A$4:$D$2002,4,FALSE),"")</f>
        <v/>
      </c>
      <c r="BA123" t="str">
        <f>+IFERROR(VLOOKUP(BA24,IN_Zugliste!$A$4:$D$2002,4,FALSE),"")</f>
        <v/>
      </c>
      <c r="BB123" t="str">
        <f>+IFERROR(VLOOKUP(BB24,IN_Zugliste!$A$4:$D$2002,4,FALSE),"")</f>
        <v/>
      </c>
      <c r="BC123" t="str">
        <f>+IFERROR(VLOOKUP(BC24,IN_Zugliste!$A$4:$D$2002,4,FALSE),"")</f>
        <v/>
      </c>
      <c r="BD123" t="str">
        <f>+IFERROR(VLOOKUP(BD24,IN_Zugliste!$A$4:$D$2002,4,FALSE),"")</f>
        <v/>
      </c>
      <c r="BE123" t="str">
        <f>+IFERROR(VLOOKUP(BE24,IN_Zugliste!$A$4:$D$2002,4,FALSE),"")</f>
        <v/>
      </c>
      <c r="BF123" t="str">
        <f>+IFERROR(VLOOKUP(BF24,IN_Zugliste!$A$4:$D$2002,4,FALSE),"")</f>
        <v/>
      </c>
      <c r="BG123" t="str">
        <f>+IFERROR(VLOOKUP(BG24,IN_Zugliste!$A$4:$D$2002,4,FALSE),"")</f>
        <v/>
      </c>
      <c r="BH123" t="str">
        <f>+IFERROR(VLOOKUP(BH24,IN_Zugliste!$A$4:$D$2002,4,FALSE),"")</f>
        <v/>
      </c>
      <c r="BI123" t="str">
        <f>+IFERROR(VLOOKUP(BI24,IN_Zugliste!$A$4:$D$2002,4,FALSE),"")</f>
        <v/>
      </c>
      <c r="BJ123" t="str">
        <f>+IFERROR(VLOOKUP(BJ24,IN_Zugliste!$A$4:$D$2002,4,FALSE),"")</f>
        <v/>
      </c>
      <c r="BK123" t="str">
        <f>+IFERROR(VLOOKUP(BK24,IN_Zugliste!$A$4:$D$2002,4,FALSE),"")</f>
        <v/>
      </c>
      <c r="BL123" t="str">
        <f>+IFERROR(VLOOKUP(BL24,IN_Zugliste!$A$4:$D$2002,4,FALSE),"")</f>
        <v/>
      </c>
      <c r="BM123" t="str">
        <f>+IFERROR(VLOOKUP(BM24,IN_Zugliste!$A$4:$D$2002,4,FALSE),"")</f>
        <v/>
      </c>
      <c r="BN123" t="str">
        <f>+IFERROR(VLOOKUP(BN24,IN_Zugliste!$A$4:$D$2002,4,FALSE),"")</f>
        <v/>
      </c>
      <c r="BO123" t="str">
        <f>+IFERROR(VLOOKUP(BO24,IN_Zugliste!$A$4:$D$2002,4,FALSE),"")</f>
        <v/>
      </c>
      <c r="BP123" t="str">
        <f>+IFERROR(VLOOKUP(BP24,IN_Zugliste!$A$4:$D$2002,4,FALSE),"")</f>
        <v/>
      </c>
      <c r="BQ123" t="str">
        <f>+IFERROR(VLOOKUP(BQ24,IN_Zugliste!$A$4:$D$2002,4,FALSE),"")</f>
        <v/>
      </c>
      <c r="BR123" t="str">
        <f>+IFERROR(VLOOKUP(BR24,IN_Zugliste!$A$4:$D$2002,4,FALSE),"")</f>
        <v/>
      </c>
      <c r="BS123" t="str">
        <f>+IFERROR(VLOOKUP(BS24,IN_Zugliste!$A$4:$D$2002,4,FALSE),"")</f>
        <v/>
      </c>
      <c r="BT123" t="str">
        <f>+IFERROR(VLOOKUP(BT24,IN_Zugliste!$A$4:$D$2002,4,FALSE),"")</f>
        <v/>
      </c>
      <c r="BU123" t="str">
        <f>+IFERROR(VLOOKUP(BU24,IN_Zugliste!$A$4:$D$2002,4,FALSE),"")</f>
        <v/>
      </c>
      <c r="BV123" t="str">
        <f>+IFERROR(VLOOKUP(BV24,IN_Zugliste!$A$4:$D$2002,4,FALSE),"")</f>
        <v/>
      </c>
      <c r="BW123" t="str">
        <f>+IFERROR(VLOOKUP(BW24,IN_Zugliste!$A$4:$D$2002,4,FALSE),"")</f>
        <v/>
      </c>
      <c r="BX123" t="str">
        <f>+IFERROR(VLOOKUP(BX24,IN_Zugliste!$A$4:$D$2002,4,FALSE),"")</f>
        <v/>
      </c>
      <c r="BY123" t="str">
        <f>+IFERROR(VLOOKUP(BY24,IN_Zugliste!$A$4:$D$2002,4,FALSE),"")</f>
        <v/>
      </c>
      <c r="BZ123" t="str">
        <f>+IFERROR(VLOOKUP(BZ24,IN_Zugliste!$A$4:$D$2002,4,FALSE),"")</f>
        <v/>
      </c>
      <c r="CA123" t="str">
        <f>+IFERROR(VLOOKUP(CA24,IN_Zugliste!$A$4:$D$2002,4,FALSE),"")</f>
        <v/>
      </c>
      <c r="CB123" t="str">
        <f>+IFERROR(VLOOKUP(CB24,IN_Zugliste!$A$4:$D$2002,4,FALSE),"")</f>
        <v/>
      </c>
      <c r="CC123" t="str">
        <f>+IFERROR(VLOOKUP(CC24,IN_Zugliste!$A$4:$D$2002,4,FALSE),"")</f>
        <v/>
      </c>
      <c r="CD123" t="str">
        <f>+IFERROR(VLOOKUP(CD24,IN_Zugliste!$A$4:$D$2002,4,FALSE),"")</f>
        <v/>
      </c>
      <c r="CE123" t="str">
        <f>+IFERROR(VLOOKUP(CE24,IN_Zugliste!$A$4:$D$2002,4,FALSE),"")</f>
        <v/>
      </c>
      <c r="CF123" t="str">
        <f>+IFERROR(VLOOKUP(CF24,IN_Zugliste!$A$4:$D$2002,4,FALSE),"")</f>
        <v/>
      </c>
      <c r="CG123" t="str">
        <f>+IFERROR(VLOOKUP(CG24,IN_Zugliste!$A$4:$D$2002,4,FALSE),"")</f>
        <v/>
      </c>
      <c r="CH123" t="str">
        <f>+IFERROR(VLOOKUP(CH24,IN_Zugliste!$A$4:$D$2002,4,FALSE),"")</f>
        <v/>
      </c>
      <c r="CI123" t="str">
        <f>+IFERROR(VLOOKUP(CI24,IN_Zugliste!$A$4:$D$2002,4,FALSE),"")</f>
        <v/>
      </c>
      <c r="CJ123" t="str">
        <f>+IFERROR(VLOOKUP(CJ24,IN_Zugliste!$A$4:$D$2002,4,FALSE),"")</f>
        <v/>
      </c>
      <c r="CK123" t="str">
        <f>+IFERROR(VLOOKUP(CK24,IN_Zugliste!$A$4:$D$2002,4,FALSE),"")</f>
        <v/>
      </c>
      <c r="CL123" t="str">
        <f>+IFERROR(VLOOKUP(CL24,IN_Zugliste!$A$4:$D$2002,4,FALSE),"")</f>
        <v/>
      </c>
      <c r="CM123" t="str">
        <f>+IFERROR(VLOOKUP(CM24,IN_Zugliste!$A$4:$D$2002,4,FALSE),"")</f>
        <v/>
      </c>
      <c r="CN123" t="str">
        <f>+IFERROR(VLOOKUP(CN24,IN_Zugliste!$A$4:$D$2002,4,FALSE),"")</f>
        <v/>
      </c>
      <c r="CO123" t="str">
        <f>+IFERROR(VLOOKUP(CO24,IN_Zugliste!$A$4:$D$2002,4,FALSE),"")</f>
        <v/>
      </c>
      <c r="CP123" t="str">
        <f>+IFERROR(VLOOKUP(CP24,IN_Zugliste!$A$4:$D$2002,4,FALSE),"")</f>
        <v/>
      </c>
      <c r="CQ123" t="str">
        <f>+IFERROR(VLOOKUP(CQ24,IN_Zugliste!$A$4:$D$2002,4,FALSE),"")</f>
        <v/>
      </c>
      <c r="CR123" t="str">
        <f>+IFERROR(VLOOKUP(CR24,IN_Zugliste!$A$4:$D$2002,4,FALSE),"")</f>
        <v/>
      </c>
      <c r="CS123" t="str">
        <f>+IFERROR(VLOOKUP(CS24,IN_Zugliste!$A$4:$D$2002,4,FALSE),"")</f>
        <v/>
      </c>
      <c r="CT123" t="str">
        <f>+IFERROR(VLOOKUP(CT24,IN_Zugliste!$A$4:$D$2002,4,FALSE),"")</f>
        <v/>
      </c>
      <c r="CU123" t="str">
        <f>+IFERROR(VLOOKUP(CU24,IN_Zugliste!$A$4:$D$2002,4,FALSE),"")</f>
        <v/>
      </c>
      <c r="CV123" t="str">
        <f>+IFERROR(VLOOKUP(CV24,IN_Zugliste!$A$4:$D$2002,4,FALSE),"")</f>
        <v/>
      </c>
      <c r="CW123" t="str">
        <f>+IFERROR(VLOOKUP(CW24,IN_Zugliste!$A$4:$D$2002,4,FALSE),"")</f>
        <v/>
      </c>
      <c r="CX123" t="str">
        <f>+IFERROR(VLOOKUP(CX24,IN_Zugliste!$A$4:$D$2002,4,FALSE),"")</f>
        <v/>
      </c>
      <c r="CY123" t="str">
        <f>+IFERROR(VLOOKUP(CY24,IN_Zugliste!$A$4:$D$2002,4,FALSE),"")</f>
        <v/>
      </c>
      <c r="CZ123" t="str">
        <f>+IFERROR(VLOOKUP(CZ24,IN_Zugliste!$A$4:$D$2002,4,FALSE),"")</f>
        <v/>
      </c>
      <c r="DA123" t="str">
        <f>+IFERROR(VLOOKUP(DA24,IN_Zugliste!$A$4:$D$2002,4,FALSE),"")</f>
        <v/>
      </c>
      <c r="DB123" t="str">
        <f>+IFERROR(VLOOKUP(DB24,IN_Zugliste!$A$4:$D$2002,4,FALSE),"")</f>
        <v/>
      </c>
      <c r="DC123" t="str">
        <f>+IFERROR(VLOOKUP(DC24,IN_Zugliste!$A$4:$D$2002,4,FALSE),"")</f>
        <v/>
      </c>
      <c r="DD123" t="str">
        <f>+IFERROR(VLOOKUP(DD24,IN_Zugliste!$A$4:$D$2002,4,FALSE),"")</f>
        <v/>
      </c>
      <c r="DE123" t="str">
        <f>+IFERROR(VLOOKUP(DE24,IN_Zugliste!$A$4:$D$2002,4,FALSE),"")</f>
        <v/>
      </c>
      <c r="DF123" t="str">
        <f>+IFERROR(VLOOKUP(DF24,IN_Zugliste!$A$4:$D$2002,4,FALSE),"")</f>
        <v/>
      </c>
      <c r="DG123" t="str">
        <f>+IFERROR(VLOOKUP(DG24,IN_Zugliste!$A$4:$D$2002,4,FALSE),"")</f>
        <v/>
      </c>
      <c r="DH123" t="str">
        <f>+IFERROR(VLOOKUP(DH24,IN_Zugliste!$A$4:$D$2002,4,FALSE),"")</f>
        <v/>
      </c>
      <c r="DI123" t="str">
        <f>+IFERROR(VLOOKUP(DI24,IN_Zugliste!$A$4:$D$2002,4,FALSE),"")</f>
        <v/>
      </c>
      <c r="DJ123" t="str">
        <f>+IFERROR(VLOOKUP(DJ24,IN_Zugliste!$A$4:$D$2002,4,FALSE),"")</f>
        <v/>
      </c>
      <c r="DK123" t="str">
        <f>+IFERROR(VLOOKUP(DK24,IN_Zugliste!$A$4:$D$2002,4,FALSE),"")</f>
        <v/>
      </c>
      <c r="DL123" t="str">
        <f>+IFERROR(VLOOKUP(DL24,IN_Zugliste!$A$4:$D$2002,4,FALSE),"")</f>
        <v/>
      </c>
      <c r="DM123" t="str">
        <f>+IFERROR(VLOOKUP(DM24,IN_Zugliste!$A$4:$D$2002,4,FALSE),"")</f>
        <v/>
      </c>
      <c r="DN123" t="str">
        <f>+IFERROR(VLOOKUP(DN24,IN_Zugliste!$A$4:$D$2002,4,FALSE),"")</f>
        <v/>
      </c>
      <c r="DO123" t="str">
        <f>+IFERROR(VLOOKUP(DO24,IN_Zugliste!$A$4:$D$2002,4,FALSE),"")</f>
        <v/>
      </c>
      <c r="DP123" t="str">
        <f>+IFERROR(VLOOKUP(DP24,IN_Zugliste!$A$4:$D$2002,4,FALSE),"")</f>
        <v/>
      </c>
      <c r="DQ123" t="str">
        <f>+IFERROR(VLOOKUP(DQ24,IN_Zugliste!$A$4:$D$2002,4,FALSE),"")</f>
        <v/>
      </c>
      <c r="DR123" t="str">
        <f>+IFERROR(VLOOKUP(DR24,IN_Zugliste!$A$4:$D$2002,4,FALSE),"")</f>
        <v/>
      </c>
      <c r="DS123" t="str">
        <f>+IFERROR(VLOOKUP(DS24,IN_Zugliste!$A$4:$D$2002,4,FALSE),"")</f>
        <v/>
      </c>
      <c r="DT123" t="str">
        <f>+IFERROR(VLOOKUP(DT24,IN_Zugliste!$A$4:$D$2002,4,FALSE),"")</f>
        <v/>
      </c>
      <c r="DU123" t="str">
        <f>+IFERROR(VLOOKUP(DU24,IN_Zugliste!$A$4:$D$2002,4,FALSE),"")</f>
        <v/>
      </c>
      <c r="DV123" t="str">
        <f>+IFERROR(VLOOKUP(DV24,IN_Zugliste!$A$4:$D$2002,4,FALSE),"")</f>
        <v/>
      </c>
      <c r="DW123" t="str">
        <f>+IFERROR(VLOOKUP(DW24,IN_Zugliste!$A$4:$D$2002,4,FALSE),"")</f>
        <v/>
      </c>
      <c r="DX123" t="str">
        <f>+IFERROR(VLOOKUP(DX24,IN_Zugliste!$A$4:$D$2002,4,FALSE),"")</f>
        <v/>
      </c>
      <c r="DY123" t="str">
        <f>+IFERROR(VLOOKUP(DY24,IN_Zugliste!$A$4:$D$2002,4,FALSE),"")</f>
        <v/>
      </c>
      <c r="DZ123" t="str">
        <f>+IFERROR(VLOOKUP(DZ24,IN_Zugliste!$A$4:$D$2002,4,FALSE),"")</f>
        <v/>
      </c>
      <c r="EA123" t="str">
        <f>+IFERROR(VLOOKUP(EA24,IN_Zugliste!$A$4:$D$2002,4,FALSE),"")</f>
        <v/>
      </c>
      <c r="EB123" t="str">
        <f>+IFERROR(VLOOKUP(EB24,IN_Zugliste!$A$4:$D$2002,4,FALSE),"")</f>
        <v/>
      </c>
      <c r="EC123" t="str">
        <f>+IFERROR(VLOOKUP(EC24,IN_Zugliste!$A$4:$D$2002,4,FALSE),"")</f>
        <v/>
      </c>
      <c r="ED123" t="str">
        <f>+IFERROR(VLOOKUP(ED24,IN_Zugliste!$A$4:$D$2002,4,FALSE),"")</f>
        <v/>
      </c>
      <c r="EE123" t="str">
        <f>+IFERROR(VLOOKUP(EE24,IN_Zugliste!$A$4:$D$2002,4,FALSE),"")</f>
        <v/>
      </c>
      <c r="EF123" t="str">
        <f>+IFERROR(VLOOKUP(EF24,IN_Zugliste!$A$4:$D$2002,4,FALSE),"")</f>
        <v/>
      </c>
      <c r="EG123" t="str">
        <f>+IFERROR(VLOOKUP(EG24,IN_Zugliste!$A$4:$D$2002,4,FALSE),"")</f>
        <v/>
      </c>
      <c r="EH123" t="str">
        <f>+IFERROR(VLOOKUP(EH24,IN_Zugliste!$A$4:$D$2002,4,FALSE),"")</f>
        <v/>
      </c>
      <c r="EI123" t="str">
        <f>+IFERROR(VLOOKUP(EI24,IN_Zugliste!$A$4:$D$2002,4,FALSE),"")</f>
        <v/>
      </c>
      <c r="EJ123" t="str">
        <f>+IFERROR(VLOOKUP(EJ24,IN_Zugliste!$A$4:$D$2002,4,FALSE),"")</f>
        <v/>
      </c>
      <c r="EK123" t="str">
        <f>+IFERROR(VLOOKUP(EK24,IN_Zugliste!$A$4:$D$2002,4,FALSE),"")</f>
        <v/>
      </c>
      <c r="EL123" t="str">
        <f>+IFERROR(VLOOKUP(EL24,IN_Zugliste!$A$4:$D$2002,4,FALSE),"")</f>
        <v/>
      </c>
      <c r="EM123" t="str">
        <f>+IFERROR(VLOOKUP(EM24,IN_Zugliste!$A$4:$D$2002,4,FALSE),"")</f>
        <v/>
      </c>
      <c r="EN123" t="str">
        <f>+IFERROR(VLOOKUP(EN24,IN_Zugliste!$A$4:$D$2002,4,FALSE),"")</f>
        <v/>
      </c>
      <c r="EO123" t="str">
        <f>+IFERROR(VLOOKUP(EO24,IN_Zugliste!$A$4:$D$2002,4,FALSE),"")</f>
        <v/>
      </c>
      <c r="EP123" t="str">
        <f>+IFERROR(VLOOKUP(EP24,IN_Zugliste!$A$4:$D$2002,4,FALSE),"")</f>
        <v/>
      </c>
      <c r="EQ123" t="str">
        <f>+IFERROR(VLOOKUP(EQ24,IN_Zugliste!$A$4:$D$2002,4,FALSE),"")</f>
        <v/>
      </c>
      <c r="ER123" t="str">
        <f>+IFERROR(VLOOKUP(ER24,IN_Zugliste!$A$4:$D$2002,4,FALSE),"")</f>
        <v/>
      </c>
      <c r="ES123" t="str">
        <f>+IFERROR(VLOOKUP(ES24,IN_Zugliste!$A$4:$D$2002,4,FALSE),"")</f>
        <v/>
      </c>
      <c r="ET123" t="str">
        <f>+IFERROR(VLOOKUP(ET24,IN_Zugliste!$A$4:$D$2002,4,FALSE),"")</f>
        <v/>
      </c>
      <c r="EU123" t="str">
        <f>+IFERROR(VLOOKUP(EU24,IN_Zugliste!$A$4:$D$2002,4,FALSE),"")</f>
        <v/>
      </c>
      <c r="EV123" t="str">
        <f>+IFERROR(VLOOKUP(EV24,IN_Zugliste!$A$4:$D$2002,4,FALSE),"")</f>
        <v/>
      </c>
      <c r="EW123" t="str">
        <f>+IFERROR(VLOOKUP(EW24,IN_Zugliste!$A$4:$D$2002,4,FALSE),"")</f>
        <v/>
      </c>
      <c r="EX123" t="str">
        <f>+IFERROR(VLOOKUP(EX24,IN_Zugliste!$A$4:$D$2002,4,FALSE),"")</f>
        <v/>
      </c>
      <c r="EY123" t="str">
        <f>+IFERROR(VLOOKUP(EY24,IN_Zugliste!$A$4:$D$2002,4,FALSE),"")</f>
        <v/>
      </c>
      <c r="EZ123" t="str">
        <f>+IFERROR(VLOOKUP(EZ24,IN_Zugliste!$A$4:$D$2002,4,FALSE),"")</f>
        <v/>
      </c>
      <c r="FA123" t="str">
        <f>+IFERROR(VLOOKUP(FA24,IN_Zugliste!$A$4:$D$2002,4,FALSE),"")</f>
        <v/>
      </c>
      <c r="FB123" t="str">
        <f>+IFERROR(VLOOKUP(FB24,IN_Zugliste!$A$4:$D$2002,4,FALSE),"")</f>
        <v/>
      </c>
      <c r="FC123" t="str">
        <f>+IFERROR(VLOOKUP(FC24,IN_Zugliste!$A$4:$D$2002,4,FALSE),"")</f>
        <v/>
      </c>
      <c r="FD123" t="str">
        <f>+IFERROR(VLOOKUP(FD24,IN_Zugliste!$A$4:$D$2002,4,FALSE),"")</f>
        <v/>
      </c>
      <c r="FE123" t="str">
        <f>+IFERROR(VLOOKUP(FE24,IN_Zugliste!$A$4:$D$2002,4,FALSE),"")</f>
        <v/>
      </c>
      <c r="FF123" t="str">
        <f>+IFERROR(VLOOKUP(FF24,IN_Zugliste!$A$4:$D$2002,4,FALSE),"")</f>
        <v/>
      </c>
      <c r="FG123" t="str">
        <f>+IFERROR(VLOOKUP(FG24,IN_Zugliste!$A$4:$D$2002,4,FALSE),"")</f>
        <v/>
      </c>
      <c r="FH123" t="str">
        <f>+IFERROR(VLOOKUP(FH24,IN_Zugliste!$A$4:$D$2002,4,FALSE),"")</f>
        <v/>
      </c>
      <c r="FI123" t="str">
        <f>+IFERROR(VLOOKUP(FI24,IN_Zugliste!$A$4:$D$2002,4,FALSE),"")</f>
        <v/>
      </c>
      <c r="FJ123" t="str">
        <f>+IFERROR(VLOOKUP(FJ24,IN_Zugliste!$A$4:$D$2002,4,FALSE),"")</f>
        <v/>
      </c>
      <c r="FK123" t="str">
        <f>+IFERROR(VLOOKUP(FK24,IN_Zugliste!$A$4:$D$2002,4,FALSE),"")</f>
        <v/>
      </c>
      <c r="FL123" t="str">
        <f>+IFERROR(VLOOKUP(FL24,IN_Zugliste!$A$4:$D$2002,4,FALSE),"")</f>
        <v/>
      </c>
      <c r="FM123" t="str">
        <f>+IFERROR(VLOOKUP(FM24,IN_Zugliste!$A$4:$C$2002,4,FALSE),"")</f>
        <v/>
      </c>
      <c r="FN123" t="str">
        <f>+IFERROR(VLOOKUP(FN24,IN_Zugliste!$A$4:$C$2002,4,FALSE),"")</f>
        <v/>
      </c>
      <c r="FO123" t="str">
        <f>+IFERROR(VLOOKUP(FO24,IN_Zugliste!$A$4:$C$2002,4,FALSE),"")</f>
        <v/>
      </c>
      <c r="FP123" t="str">
        <f>+IFERROR(VLOOKUP(FP24,IN_Zugliste!$A$4:$C$2002,4,FALSE),"")</f>
        <v/>
      </c>
      <c r="FQ123" t="str">
        <f>+IFERROR(VLOOKUP(FQ24,IN_Zugliste!$A$4:$C$2002,4,FALSE),"")</f>
        <v/>
      </c>
      <c r="FR123" t="str">
        <f>+IFERROR(VLOOKUP(FR24,IN_Zugliste!$A$4:$C$2002,4,FALSE),"")</f>
        <v/>
      </c>
      <c r="FS123" t="str">
        <f>+IFERROR(VLOOKUP(FS24,IN_Zugliste!$A$4:$C$2002,4,FALSE),"")</f>
        <v/>
      </c>
      <c r="FT123" t="str">
        <f>+IFERROR(VLOOKUP(FT24,IN_Zugliste!$A$4:$C$2002,4,FALSE),"")</f>
        <v/>
      </c>
      <c r="FU123" t="str">
        <f>+IFERROR(VLOOKUP(FU24,IN_Zugliste!$A$4:$C$2002,4,FALSE),"")</f>
        <v/>
      </c>
      <c r="FV123" t="str">
        <f>+IFERROR(VLOOKUP(FV24,IN_Zugliste!$A$4:$C$2002,4,FALSE),"")</f>
        <v/>
      </c>
      <c r="FW123" t="str">
        <f>+IFERROR(VLOOKUP(FW24,IN_Zugliste!$A$4:$C$2002,4,FALSE),"")</f>
        <v/>
      </c>
      <c r="FX123" t="str">
        <f>+IFERROR(VLOOKUP(FX24,IN_Zugliste!$A$4:$C$2002,4,FALSE),"")</f>
        <v/>
      </c>
      <c r="FY123" t="str">
        <f>+IFERROR(VLOOKUP(FY24,IN_Zugliste!$A$4:$C$2002,4,FALSE),"")</f>
        <v/>
      </c>
      <c r="FZ123" t="str">
        <f>+IFERROR(VLOOKUP(FZ24,IN_Zugliste!$A$4:$C$2002,4,FALSE),"")</f>
        <v/>
      </c>
      <c r="GA123" t="str">
        <f>+IFERROR(VLOOKUP(GA24,IN_Zugliste!$A$4:$C$2002,4,FALSE),"")</f>
        <v/>
      </c>
      <c r="GB123" t="str">
        <f>+IFERROR(VLOOKUP(GB24,IN_Zugliste!$A$4:$C$2002,4,FALSE),"")</f>
        <v/>
      </c>
      <c r="GC123" t="str">
        <f>+IFERROR(VLOOKUP(GC24,IN_Zugliste!$A$4:$C$2002,4,FALSE),"")</f>
        <v/>
      </c>
      <c r="GD123" t="str">
        <f>+IFERROR(VLOOKUP(GD24,IN_Zugliste!$A$4:$C$2002,4,FALSE),"")</f>
        <v/>
      </c>
      <c r="GE123" t="str">
        <f>+IFERROR(VLOOKUP(GE24,IN_Zugliste!$A$4:$C$2002,4,FALSE),"")</f>
        <v/>
      </c>
      <c r="GF123" t="str">
        <f>+IFERROR(VLOOKUP(GF24,IN_Zugliste!$A$4:$C$2002,4,FALSE),"")</f>
        <v/>
      </c>
      <c r="GG123" t="str">
        <f>+IFERROR(VLOOKUP(GG24,IN_Zugliste!$A$4:$C$2002,4,FALSE),"")</f>
        <v/>
      </c>
      <c r="GH123" t="str">
        <f>+IFERROR(VLOOKUP(GH24,IN_Zugliste!$A$4:$C$2002,4,FALSE),"")</f>
        <v/>
      </c>
      <c r="GI123" t="str">
        <f>+IFERROR(VLOOKUP(GI24,IN_Zugliste!$A$4:$C$2002,4,FALSE),"")</f>
        <v/>
      </c>
      <c r="GJ123" t="str">
        <f>+IFERROR(VLOOKUP(GJ24,IN_Zugliste!$A$4:$C$2002,4,FALSE),"")</f>
        <v/>
      </c>
      <c r="GK123" t="str">
        <f>+IFERROR(VLOOKUP(GK24,IN_Zugliste!$A$4:$C$2002,4,FALSE),"")</f>
        <v/>
      </c>
      <c r="GL123" t="str">
        <f>+IFERROR(VLOOKUP(GL24,IN_Zugliste!$A$4:$C$2002,4,FALSE),"")</f>
        <v/>
      </c>
      <c r="GM123" t="str">
        <f>+IFERROR(VLOOKUP(GM24,IN_Zugliste!$A$4:$C$2002,4,FALSE),"")</f>
        <v/>
      </c>
      <c r="GN123" t="str">
        <f>+IFERROR(VLOOKUP(GN24,IN_Zugliste!$A$4:$C$2002,4,FALSE),"")</f>
        <v/>
      </c>
      <c r="GO123" t="str">
        <f>+IFERROR(VLOOKUP(GO24,IN_Zugliste!$A$4:$C$2002,4,FALSE),"")</f>
        <v/>
      </c>
      <c r="GP123" t="str">
        <f>+IFERROR(VLOOKUP(GP24,IN_Zugliste!$A$4:$C$2002,4,FALSE),"")</f>
        <v/>
      </c>
      <c r="GQ123" t="str">
        <f>+IFERROR(VLOOKUP(GQ24,IN_Zugliste!$A$4:$C$2002,4,FALSE),"")</f>
        <v/>
      </c>
      <c r="GR123" t="str">
        <f>+IFERROR(VLOOKUP(GR24,IN_Zugliste!$A$4:$C$2002,4,FALSE),"")</f>
        <v/>
      </c>
      <c r="GS123" t="str">
        <f>+IFERROR(VLOOKUP(GS24,IN_Zugliste!$A$4:$C$2002,4,FALSE),"")</f>
        <v/>
      </c>
      <c r="GT123" t="str">
        <f>+IFERROR(VLOOKUP(GT24,IN_Zugliste!$A$4:$C$2002,4,FALSE),"")</f>
        <v/>
      </c>
      <c r="GU123" t="str">
        <f>+IFERROR(VLOOKUP(GU24,IN_Zugliste!$A$4:$C$2002,4,FALSE),"")</f>
        <v/>
      </c>
      <c r="GV123" t="str">
        <f>+IFERROR(VLOOKUP(GV24,IN_Zugliste!$A$4:$C$2002,4,FALSE),"")</f>
        <v/>
      </c>
      <c r="GW123" t="str">
        <f>+IFERROR(VLOOKUP(GW24,IN_Zugliste!$A$4:$C$2002,4,FALSE),"")</f>
        <v/>
      </c>
      <c r="GX123" t="str">
        <f>+IFERROR(VLOOKUP(GX24,IN_Zugliste!$A$4:$C$2002,4,FALSE),"")</f>
        <v/>
      </c>
      <c r="GY123" t="str">
        <f>+IFERROR(VLOOKUP(GY24,IN_Zugliste!$A$4:$C$2002,4,FALSE),"")</f>
        <v/>
      </c>
      <c r="GZ123" t="str">
        <f>+IFERROR(VLOOKUP(GZ24,IN_Zugliste!$A$4:$C$2002,4,FALSE),"")</f>
        <v/>
      </c>
      <c r="HA123" t="str">
        <f>+IFERROR(VLOOKUP(HA24,IN_Zugliste!$A$4:$C$2002,4,FALSE),"")</f>
        <v/>
      </c>
      <c r="HB123" t="str">
        <f>+IFERROR(VLOOKUP(HB24,IN_Zugliste!$A$4:$C$2002,4,FALSE),"")</f>
        <v/>
      </c>
      <c r="HC123" t="str">
        <f>+IFERROR(VLOOKUP(HC24,IN_Zugliste!$A$4:$C$2002,4,FALSE),"")</f>
        <v/>
      </c>
      <c r="HD123" t="str">
        <f>+IFERROR(VLOOKUP(HD24,IN_Zugliste!$A$4:$C$2002,4,FALSE),"")</f>
        <v/>
      </c>
      <c r="HE123" t="str">
        <f>+IFERROR(VLOOKUP(HE24,IN_Zugliste!$A$4:$C$2002,4,FALSE),"")</f>
        <v/>
      </c>
      <c r="HF123" t="str">
        <f>+IFERROR(VLOOKUP(HF24,IN_Zugliste!$A$4:$C$2002,4,FALSE),"")</f>
        <v/>
      </c>
      <c r="HG123" t="str">
        <f>+IFERROR(VLOOKUP(HG24,IN_Zugliste!$A$4:$C$2002,4,FALSE),"")</f>
        <v/>
      </c>
      <c r="HH123" t="str">
        <f>+IFERROR(VLOOKUP(HH24,IN_Zugliste!$A$4:$C$2002,4,FALSE),"")</f>
        <v/>
      </c>
      <c r="HI123" t="str">
        <f>+IFERROR(VLOOKUP(HI24,IN_Zugliste!$A$4:$C$2002,4,FALSE),"")</f>
        <v/>
      </c>
      <c r="HJ123" t="str">
        <f>+IFERROR(VLOOKUP(HJ24,IN_Zugliste!$A$4:$C$2002,4,FALSE),"")</f>
        <v/>
      </c>
      <c r="HK123" t="str">
        <f>+IFERROR(VLOOKUP(HK24,IN_Zugliste!$A$4:$C$2002,4,FALSE),"")</f>
        <v/>
      </c>
      <c r="HL123" t="str">
        <f>+IFERROR(VLOOKUP(HL24,IN_Zugliste!$A$4:$C$2002,4,FALSE),"")</f>
        <v/>
      </c>
      <c r="HM123" t="str">
        <f>+IFERROR(VLOOKUP(HM24,IN_Zugliste!$A$4:$C$2002,4,FALSE),"")</f>
        <v/>
      </c>
      <c r="HN123" t="str">
        <f>+IFERROR(VLOOKUP(HN24,IN_Zugliste!$A$4:$C$2002,4,FALSE),"")</f>
        <v/>
      </c>
      <c r="HO123" t="str">
        <f>+IFERROR(VLOOKUP(HO24,IN_Zugliste!$A$4:$C$2002,4,FALSE),"")</f>
        <v/>
      </c>
      <c r="HP123" t="str">
        <f>+IFERROR(VLOOKUP(HP24,IN_Zugliste!$A$4:$C$2002,4,FALSE),"")</f>
        <v/>
      </c>
      <c r="HQ123" t="str">
        <f>+IFERROR(VLOOKUP(HQ24,IN_Zugliste!$A$4:$C$2002,4,FALSE),"")</f>
        <v/>
      </c>
      <c r="HR123" t="str">
        <f>+IFERROR(VLOOKUP(HR24,IN_Zugliste!$A$4:$C$2002,4,FALSE),"")</f>
        <v/>
      </c>
      <c r="HS123" t="str">
        <f>+IFERROR(VLOOKUP(HS24,IN_Zugliste!$A$4:$C$2002,4,FALSE),"")</f>
        <v/>
      </c>
      <c r="HT123" t="str">
        <f>+IFERROR(VLOOKUP(HT24,IN_Zugliste!$A$4:$C$2002,4,FALSE),"")</f>
        <v/>
      </c>
      <c r="HU123" t="str">
        <f>+IFERROR(VLOOKUP(HU24,IN_Zugliste!$A$4:$C$2002,4,FALSE),"")</f>
        <v/>
      </c>
      <c r="HV123" t="str">
        <f>+IFERROR(VLOOKUP(HV24,IN_Zugliste!$A$4:$C$2002,4,FALSE),"")</f>
        <v/>
      </c>
      <c r="HW123" t="str">
        <f>+IFERROR(VLOOKUP(HW24,IN_Zugliste!$A$4:$C$2002,4,FALSE),"")</f>
        <v/>
      </c>
      <c r="HX123" t="str">
        <f>+IFERROR(VLOOKUP(HX24,IN_Zugliste!$A$4:$C$2002,4,FALSE),"")</f>
        <v/>
      </c>
      <c r="HY123" t="str">
        <f>+IFERROR(VLOOKUP(HY24,IN_Zugliste!$A$4:$C$2002,4,FALSE),"")</f>
        <v/>
      </c>
      <c r="HZ123" t="str">
        <f>+IFERROR(VLOOKUP(HZ24,IN_Zugliste!$A$4:$C$2002,4,FALSE),"")</f>
        <v/>
      </c>
      <c r="IA123" t="str">
        <f>+IFERROR(VLOOKUP(IA24,IN_Zugliste!$A$4:$C$2002,4,FALSE),"")</f>
        <v/>
      </c>
      <c r="IB123" t="str">
        <f>+IFERROR(VLOOKUP(IB24,IN_Zugliste!$A$4:$C$2002,4,FALSE),"")</f>
        <v/>
      </c>
      <c r="IC123" t="str">
        <f>+IFERROR(VLOOKUP(IC24,IN_Zugliste!$A$4:$C$2002,4,FALSE),"")</f>
        <v/>
      </c>
      <c r="ID123" t="str">
        <f>+IFERROR(VLOOKUP(ID24,IN_Zugliste!$A$4:$C$2002,4,FALSE),"")</f>
        <v/>
      </c>
      <c r="IE123" t="str">
        <f>+IFERROR(VLOOKUP(IE24,IN_Zugliste!$A$4:$C$2002,4,FALSE),"")</f>
        <v/>
      </c>
      <c r="IF123" t="str">
        <f>+IFERROR(VLOOKUP(IF24,IN_Zugliste!$A$4:$C$2002,4,FALSE),"")</f>
        <v/>
      </c>
      <c r="IG123" t="str">
        <f>+IFERROR(VLOOKUP(IG24,IN_Zugliste!$A$4:$C$2002,4,FALSE),"")</f>
        <v/>
      </c>
      <c r="IH123" t="str">
        <f>+IFERROR(VLOOKUP(IH24,IN_Zugliste!$A$4:$C$2002,4,FALSE),"")</f>
        <v/>
      </c>
      <c r="II123" t="str">
        <f>+IFERROR(VLOOKUP(II24,IN_Zugliste!$A$4:$C$2002,4,FALSE),"")</f>
        <v/>
      </c>
      <c r="IJ123" t="str">
        <f>+IFERROR(VLOOKUP(IJ24,IN_Zugliste!$A$4:$C$2002,4,FALSE),"")</f>
        <v/>
      </c>
      <c r="IK123" t="str">
        <f>+IFERROR(VLOOKUP(IK24,IN_Zugliste!$A$4:$C$2002,4,FALSE),"")</f>
        <v/>
      </c>
      <c r="IL123" t="str">
        <f>+IFERROR(VLOOKUP(IL24,IN_Zugliste!$A$4:$C$2002,4,FALSE),"")</f>
        <v/>
      </c>
      <c r="IM123" t="str">
        <f>+IFERROR(VLOOKUP(IM24,IN_Zugliste!$A$4:$C$2002,4,FALSE),"")</f>
        <v/>
      </c>
      <c r="IN123" t="str">
        <f>+IFERROR(VLOOKUP(IN24,IN_Zugliste!$A$4:$C$2002,4,FALSE),"")</f>
        <v/>
      </c>
      <c r="IO123" t="str">
        <f>+IFERROR(VLOOKUP(IO24,IN_Zugliste!$A$4:$C$2002,4,FALSE),"")</f>
        <v/>
      </c>
      <c r="IP123" t="str">
        <f>+IFERROR(VLOOKUP(IP24,IN_Zugliste!$A$4:$C$2002,4,FALSE),"")</f>
        <v/>
      </c>
      <c r="IQ123" t="str">
        <f>+IFERROR(VLOOKUP(IQ24,IN_Zugliste!$A$4:$C$2002,4,FALSE),"")</f>
        <v/>
      </c>
      <c r="IR123" t="str">
        <f>+IFERROR(VLOOKUP(IR24,IN_Zugliste!$A$4:$C$2002,4,FALSE),"")</f>
        <v/>
      </c>
      <c r="IS123" t="str">
        <f>+IFERROR(VLOOKUP(IS24,IN_Zugliste!$A$4:$C$2002,4,FALSE),"")</f>
        <v/>
      </c>
      <c r="IT123" t="str">
        <f>+IFERROR(VLOOKUP(IT24,IN_Zugliste!$A$4:$C$2002,4,FALSE),"")</f>
        <v/>
      </c>
      <c r="IU123" t="str">
        <f>+IFERROR(VLOOKUP(IU24,IN_Zugliste!$A$4:$C$2002,4,FALSE),"")</f>
        <v/>
      </c>
      <c r="IV123" t="str">
        <f>+IFERROR(VLOOKUP(IV24,IN_Zugliste!$A$4:$C$2002,4,FALSE),"")</f>
        <v/>
      </c>
      <c r="IW123" t="str">
        <f>+IFERROR(VLOOKUP(IW24,IN_Zugliste!$A$4:$C$2002,4,FALSE),"")</f>
        <v/>
      </c>
      <c r="IX123" t="str">
        <f>+IFERROR(VLOOKUP(IX24,IN_Zugliste!$A$4:$C$2002,4,FALSE),"")</f>
        <v/>
      </c>
      <c r="IY123" t="str">
        <f>+IFERROR(VLOOKUP(IY24,IN_Zugliste!$A$4:$C$2002,4,FALSE),"")</f>
        <v/>
      </c>
      <c r="IZ123" t="str">
        <f>+IFERROR(VLOOKUP(IZ24,IN_Zugliste!$A$4:$C$2002,4,FALSE),"")</f>
        <v/>
      </c>
      <c r="JA123" t="str">
        <f>+IFERROR(VLOOKUP(JA24,IN_Zugliste!$A$4:$C$2002,4,FALSE),"")</f>
        <v/>
      </c>
      <c r="JB123" t="str">
        <f>+IFERROR(VLOOKUP(JB24,IN_Zugliste!$A$4:$C$2002,4,FALSE),"")</f>
        <v/>
      </c>
      <c r="JC123" t="str">
        <f>+IFERROR(VLOOKUP(JC24,IN_Zugliste!$A$4:$C$2002,4,FALSE),"")</f>
        <v/>
      </c>
      <c r="JD123" t="str">
        <f>+IFERROR(VLOOKUP(JD24,IN_Zugliste!$A$4:$C$2002,4,FALSE),"")</f>
        <v/>
      </c>
      <c r="JE123" t="str">
        <f>+IFERROR(VLOOKUP(JE24,IN_Zugliste!$A$4:$C$2002,4,FALSE),"")</f>
        <v/>
      </c>
      <c r="JF123" t="str">
        <f>+IFERROR(VLOOKUP(JF24,IN_Zugliste!$A$4:$C$2002,4,FALSE),"")</f>
        <v/>
      </c>
      <c r="JG123" t="str">
        <f>+IFERROR(VLOOKUP(JG24,IN_Zugliste!$A$4:$C$2002,4,FALSE),"")</f>
        <v/>
      </c>
      <c r="JH123" t="str">
        <f>+IFERROR(VLOOKUP(JH24,IN_Zugliste!$A$4:$C$2002,4,FALSE),"")</f>
        <v/>
      </c>
      <c r="JI123" t="str">
        <f>+IFERROR(VLOOKUP(JI24,IN_Zugliste!$A$4:$C$2002,4,FALSE),"")</f>
        <v/>
      </c>
      <c r="JJ123" t="str">
        <f>+IFERROR(VLOOKUP(JJ24,IN_Zugliste!$A$4:$C$2002,4,FALSE),"")</f>
        <v/>
      </c>
      <c r="JK123" t="str">
        <f>+IFERROR(VLOOKUP(JK24,IN_Zugliste!$A$4:$C$2002,4,FALSE),"")</f>
        <v/>
      </c>
      <c r="JL123" t="str">
        <f>+IFERROR(VLOOKUP(JL24,IN_Zugliste!$A$4:$C$2002,4,FALSE),"")</f>
        <v/>
      </c>
    </row>
    <row r="124" spans="1:272" x14ac:dyDescent="0.2">
      <c r="A124" t="str">
        <f>+IFERROR(VLOOKUP(A25,IN_Zugliste!$A$4:$D$2002,4,FALSE),"")</f>
        <v/>
      </c>
      <c r="B124" t="str">
        <f>+IFERROR(VLOOKUP(B25,IN_Zugliste!$A$4:$D$2002,4,FALSE),"")</f>
        <v/>
      </c>
      <c r="C124" t="str">
        <f>+IFERROR(VLOOKUP(C25,IN_Zugliste!$A$4:$D$2002,4,FALSE),"")</f>
        <v/>
      </c>
      <c r="D124" t="str">
        <f>+IFERROR(VLOOKUP(D25,IN_Zugliste!$A$4:$D$2002,4,FALSE),"")</f>
        <v/>
      </c>
      <c r="E124" t="str">
        <f>+IFERROR(VLOOKUP(E25,IN_Zugliste!$A$4:$D$2002,4,FALSE),"")</f>
        <v/>
      </c>
      <c r="F124" t="str">
        <f>+IFERROR(VLOOKUP(F25,IN_Zugliste!$A$4:$D$2002,4,FALSE),"")</f>
        <v/>
      </c>
      <c r="G124" t="str">
        <f>+IFERROR(VLOOKUP(G25,IN_Zugliste!$A$4:$D$2002,4,FALSE),"")</f>
        <v/>
      </c>
      <c r="H124" t="str">
        <f>+IFERROR(VLOOKUP(H25,IN_Zugliste!$A$4:$D$2002,4,FALSE),"")</f>
        <v/>
      </c>
      <c r="I124" t="str">
        <f>+IFERROR(VLOOKUP(I25,IN_Zugliste!$A$4:$D$2002,4,FALSE),"")</f>
        <v/>
      </c>
      <c r="J124" t="str">
        <f>+IFERROR(VLOOKUP(J25,IN_Zugliste!$A$4:$D$2002,4,FALSE),"")</f>
        <v/>
      </c>
      <c r="K124" t="str">
        <f>+IFERROR(VLOOKUP(K25,IN_Zugliste!$A$4:$D$2002,4,FALSE),"")</f>
        <v/>
      </c>
      <c r="L124" t="str">
        <f>+IFERROR(VLOOKUP(L25,IN_Zugliste!$A$4:$D$2002,4,FALSE),"")</f>
        <v/>
      </c>
      <c r="M124" t="str">
        <f>+IFERROR(VLOOKUP(M25,IN_Zugliste!$A$4:$D$2002,4,FALSE),"")</f>
        <v/>
      </c>
      <c r="N124" t="str">
        <f>+IFERROR(VLOOKUP(N25,IN_Zugliste!$A$4:$D$2002,4,FALSE),"")</f>
        <v/>
      </c>
      <c r="O124" t="str">
        <f>+IFERROR(VLOOKUP(O25,IN_Zugliste!$A$4:$D$2002,4,FALSE),"")</f>
        <v/>
      </c>
      <c r="P124" t="str">
        <f>+IFERROR(VLOOKUP(P25,IN_Zugliste!$A$4:$D$2002,4,FALSE),"")</f>
        <v/>
      </c>
      <c r="Q124" t="str">
        <f>+IFERROR(VLOOKUP(Q25,IN_Zugliste!$A$4:$D$2002,4,FALSE),"")</f>
        <v/>
      </c>
      <c r="R124" t="str">
        <f>+IFERROR(VLOOKUP(R25,IN_Zugliste!$A$4:$D$2002,4,FALSE),"")</f>
        <v/>
      </c>
      <c r="S124" t="str">
        <f>+IFERROR(VLOOKUP(S25,IN_Zugliste!$A$4:$D$2002,4,FALSE),"")</f>
        <v/>
      </c>
      <c r="T124" t="str">
        <f>+IFERROR(VLOOKUP(T25,IN_Zugliste!$A$4:$D$2002,4,FALSE),"")</f>
        <v/>
      </c>
      <c r="U124" t="str">
        <f>+IFERROR(VLOOKUP(U25,IN_Zugliste!$A$4:$D$2002,4,FALSE),"")</f>
        <v/>
      </c>
      <c r="V124" t="str">
        <f>+IFERROR(VLOOKUP(V25,IN_Zugliste!$A$4:$D$2002,4,FALSE),"")</f>
        <v/>
      </c>
      <c r="W124" t="str">
        <f>+IFERROR(VLOOKUP(W25,IN_Zugliste!$A$4:$D$2002,4,FALSE),"")</f>
        <v/>
      </c>
      <c r="X124" t="str">
        <f>+IFERROR(VLOOKUP(X25,IN_Zugliste!$A$4:$D$2002,4,FALSE),"")</f>
        <v/>
      </c>
      <c r="Y124" t="str">
        <f>+IFERROR(VLOOKUP(Y25,IN_Zugliste!$A$4:$D$2002,4,FALSE),"")</f>
        <v/>
      </c>
      <c r="Z124" t="str">
        <f>+IFERROR(VLOOKUP(Z25,IN_Zugliste!$A$4:$D$2002,4,FALSE),"")</f>
        <v/>
      </c>
      <c r="AA124" t="str">
        <f>+IFERROR(VLOOKUP(AA25,IN_Zugliste!$A$4:$D$2002,4,FALSE),"")</f>
        <v/>
      </c>
      <c r="AB124" t="str">
        <f>+IFERROR(VLOOKUP(AB25,IN_Zugliste!$A$4:$D$2002,4,FALSE),"")</f>
        <v/>
      </c>
      <c r="AC124" t="str">
        <f>+IFERROR(VLOOKUP(AC25,IN_Zugliste!$A$4:$D$2002,4,FALSE),"")</f>
        <v/>
      </c>
      <c r="AD124" t="str">
        <f>+IFERROR(VLOOKUP(AD25,IN_Zugliste!$A$4:$D$2002,4,FALSE),"")</f>
        <v/>
      </c>
      <c r="AE124" t="str">
        <f>+IFERROR(VLOOKUP(AE25,IN_Zugliste!$A$4:$D$2002,4,FALSE),"")</f>
        <v/>
      </c>
      <c r="AF124" t="str">
        <f>+IFERROR(VLOOKUP(AF25,IN_Zugliste!$A$4:$D$2002,4,FALSE),"")</f>
        <v/>
      </c>
      <c r="AG124" t="str">
        <f>+IFERROR(VLOOKUP(AG25,IN_Zugliste!$A$4:$D$2002,4,FALSE),"")</f>
        <v/>
      </c>
      <c r="AH124" t="str">
        <f>+IFERROR(VLOOKUP(AH25,IN_Zugliste!$A$4:$D$2002,4,FALSE),"")</f>
        <v/>
      </c>
      <c r="AI124" t="str">
        <f>+IFERROR(VLOOKUP(AI25,IN_Zugliste!$A$4:$D$2002,4,FALSE),"")</f>
        <v/>
      </c>
      <c r="AJ124" t="str">
        <f>+IFERROR(VLOOKUP(AJ25,IN_Zugliste!$A$4:$D$2002,4,FALSE),"")</f>
        <v/>
      </c>
      <c r="AK124" t="str">
        <f>+IFERROR(VLOOKUP(AK25,IN_Zugliste!$A$4:$D$2002,4,FALSE),"")</f>
        <v/>
      </c>
      <c r="AL124" t="str">
        <f>+IFERROR(VLOOKUP(AL25,IN_Zugliste!$A$4:$D$2002,4,FALSE),"")</f>
        <v/>
      </c>
      <c r="AM124" t="str">
        <f>+IFERROR(VLOOKUP(AM25,IN_Zugliste!$A$4:$D$2002,4,FALSE),"")</f>
        <v/>
      </c>
      <c r="AN124" t="str">
        <f>+IFERROR(VLOOKUP(AN25,IN_Zugliste!$A$4:$D$2002,4,FALSE),"")</f>
        <v/>
      </c>
      <c r="AO124" t="str">
        <f>+IFERROR(VLOOKUP(AO25,IN_Zugliste!$A$4:$D$2002,4,FALSE),"")</f>
        <v/>
      </c>
      <c r="AP124" t="str">
        <f>+IFERROR(VLOOKUP(AP25,IN_Zugliste!$A$4:$D$2002,4,FALSE),"")</f>
        <v/>
      </c>
      <c r="AQ124" t="str">
        <f>+IFERROR(VLOOKUP(AQ25,IN_Zugliste!$A$4:$D$2002,4,FALSE),"")</f>
        <v/>
      </c>
      <c r="AR124" t="str">
        <f>+IFERROR(VLOOKUP(AR25,IN_Zugliste!$A$4:$D$2002,4,FALSE),"")</f>
        <v/>
      </c>
      <c r="AS124" t="str">
        <f>+IFERROR(VLOOKUP(AS25,IN_Zugliste!$A$4:$D$2002,4,FALSE),"")</f>
        <v/>
      </c>
      <c r="AT124" t="str">
        <f>+IFERROR(VLOOKUP(AT25,IN_Zugliste!$A$4:$D$2002,4,FALSE),"")</f>
        <v/>
      </c>
      <c r="AU124" t="str">
        <f>+IFERROR(VLOOKUP(AU25,IN_Zugliste!$A$4:$D$2002,4,FALSE),"")</f>
        <v/>
      </c>
      <c r="AV124" t="str">
        <f>+IFERROR(VLOOKUP(AV25,IN_Zugliste!$A$4:$D$2002,4,FALSE),"")</f>
        <v/>
      </c>
      <c r="AW124" t="str">
        <f>+IFERROR(VLOOKUP(AW25,IN_Zugliste!$A$4:$D$2002,4,FALSE),"")</f>
        <v/>
      </c>
      <c r="AX124" t="str">
        <f>+IFERROR(VLOOKUP(AX25,IN_Zugliste!$A$4:$D$2002,4,FALSE),"")</f>
        <v/>
      </c>
      <c r="AY124" t="str">
        <f>+IFERROR(VLOOKUP(AY25,IN_Zugliste!$A$4:$D$2002,4,FALSE),"")</f>
        <v/>
      </c>
      <c r="AZ124" t="str">
        <f>+IFERROR(VLOOKUP(AZ25,IN_Zugliste!$A$4:$D$2002,4,FALSE),"")</f>
        <v/>
      </c>
      <c r="BA124" t="str">
        <f>+IFERROR(VLOOKUP(BA25,IN_Zugliste!$A$4:$D$2002,4,FALSE),"")</f>
        <v/>
      </c>
      <c r="BB124" t="str">
        <f>+IFERROR(VLOOKUP(BB25,IN_Zugliste!$A$4:$D$2002,4,FALSE),"")</f>
        <v/>
      </c>
      <c r="BC124" t="str">
        <f>+IFERROR(VLOOKUP(BC25,IN_Zugliste!$A$4:$D$2002,4,FALSE),"")</f>
        <v/>
      </c>
      <c r="BD124" t="str">
        <f>+IFERROR(VLOOKUP(BD25,IN_Zugliste!$A$4:$D$2002,4,FALSE),"")</f>
        <v/>
      </c>
      <c r="BE124" t="str">
        <f>+IFERROR(VLOOKUP(BE25,IN_Zugliste!$A$4:$D$2002,4,FALSE),"")</f>
        <v/>
      </c>
      <c r="BF124" t="str">
        <f>+IFERROR(VLOOKUP(BF25,IN_Zugliste!$A$4:$D$2002,4,FALSE),"")</f>
        <v/>
      </c>
      <c r="BG124" t="str">
        <f>+IFERROR(VLOOKUP(BG25,IN_Zugliste!$A$4:$D$2002,4,FALSE),"")</f>
        <v/>
      </c>
      <c r="BH124" t="str">
        <f>+IFERROR(VLOOKUP(BH25,IN_Zugliste!$A$4:$D$2002,4,FALSE),"")</f>
        <v/>
      </c>
      <c r="BI124" t="str">
        <f>+IFERROR(VLOOKUP(BI25,IN_Zugliste!$A$4:$D$2002,4,FALSE),"")</f>
        <v/>
      </c>
      <c r="BJ124" t="str">
        <f>+IFERROR(VLOOKUP(BJ25,IN_Zugliste!$A$4:$D$2002,4,FALSE),"")</f>
        <v/>
      </c>
      <c r="BK124" t="str">
        <f>+IFERROR(VLOOKUP(BK25,IN_Zugliste!$A$4:$D$2002,4,FALSE),"")</f>
        <v/>
      </c>
      <c r="BL124" t="str">
        <f>+IFERROR(VLOOKUP(BL25,IN_Zugliste!$A$4:$D$2002,4,FALSE),"")</f>
        <v/>
      </c>
      <c r="BM124" t="str">
        <f>+IFERROR(VLOOKUP(BM25,IN_Zugliste!$A$4:$D$2002,4,FALSE),"")</f>
        <v/>
      </c>
      <c r="BN124" t="str">
        <f>+IFERROR(VLOOKUP(BN25,IN_Zugliste!$A$4:$D$2002,4,FALSE),"")</f>
        <v/>
      </c>
      <c r="BO124" t="str">
        <f>+IFERROR(VLOOKUP(BO25,IN_Zugliste!$A$4:$D$2002,4,FALSE),"")</f>
        <v/>
      </c>
      <c r="BP124" t="str">
        <f>+IFERROR(VLOOKUP(BP25,IN_Zugliste!$A$4:$D$2002,4,FALSE),"")</f>
        <v/>
      </c>
      <c r="BQ124" t="str">
        <f>+IFERROR(VLOOKUP(BQ25,IN_Zugliste!$A$4:$D$2002,4,FALSE),"")</f>
        <v/>
      </c>
      <c r="BR124" t="str">
        <f>+IFERROR(VLOOKUP(BR25,IN_Zugliste!$A$4:$D$2002,4,FALSE),"")</f>
        <v/>
      </c>
      <c r="BS124" t="str">
        <f>+IFERROR(VLOOKUP(BS25,IN_Zugliste!$A$4:$D$2002,4,FALSE),"")</f>
        <v/>
      </c>
      <c r="BT124" t="str">
        <f>+IFERROR(VLOOKUP(BT25,IN_Zugliste!$A$4:$D$2002,4,FALSE),"")</f>
        <v/>
      </c>
      <c r="BU124" t="str">
        <f>+IFERROR(VLOOKUP(BU25,IN_Zugliste!$A$4:$D$2002,4,FALSE),"")</f>
        <v/>
      </c>
      <c r="BV124" t="str">
        <f>+IFERROR(VLOOKUP(BV25,IN_Zugliste!$A$4:$D$2002,4,FALSE),"")</f>
        <v/>
      </c>
      <c r="BW124" t="str">
        <f>+IFERROR(VLOOKUP(BW25,IN_Zugliste!$A$4:$D$2002,4,FALSE),"")</f>
        <v/>
      </c>
      <c r="BX124" t="str">
        <f>+IFERROR(VLOOKUP(BX25,IN_Zugliste!$A$4:$D$2002,4,FALSE),"")</f>
        <v/>
      </c>
      <c r="BY124" t="str">
        <f>+IFERROR(VLOOKUP(BY25,IN_Zugliste!$A$4:$D$2002,4,FALSE),"")</f>
        <v/>
      </c>
      <c r="BZ124" t="str">
        <f>+IFERROR(VLOOKUP(BZ25,IN_Zugliste!$A$4:$D$2002,4,FALSE),"")</f>
        <v/>
      </c>
      <c r="CA124" t="str">
        <f>+IFERROR(VLOOKUP(CA25,IN_Zugliste!$A$4:$D$2002,4,FALSE),"")</f>
        <v/>
      </c>
      <c r="CB124" t="str">
        <f>+IFERROR(VLOOKUP(CB25,IN_Zugliste!$A$4:$D$2002,4,FALSE),"")</f>
        <v/>
      </c>
      <c r="CC124" t="str">
        <f>+IFERROR(VLOOKUP(CC25,IN_Zugliste!$A$4:$D$2002,4,FALSE),"")</f>
        <v/>
      </c>
      <c r="CD124" t="str">
        <f>+IFERROR(VLOOKUP(CD25,IN_Zugliste!$A$4:$D$2002,4,FALSE),"")</f>
        <v/>
      </c>
      <c r="CE124" t="str">
        <f>+IFERROR(VLOOKUP(CE25,IN_Zugliste!$A$4:$D$2002,4,FALSE),"")</f>
        <v/>
      </c>
      <c r="CF124" t="str">
        <f>+IFERROR(VLOOKUP(CF25,IN_Zugliste!$A$4:$D$2002,4,FALSE),"")</f>
        <v/>
      </c>
      <c r="CG124" t="str">
        <f>+IFERROR(VLOOKUP(CG25,IN_Zugliste!$A$4:$D$2002,4,FALSE),"")</f>
        <v/>
      </c>
      <c r="CH124" t="str">
        <f>+IFERROR(VLOOKUP(CH25,IN_Zugliste!$A$4:$D$2002,4,FALSE),"")</f>
        <v/>
      </c>
      <c r="CI124" t="str">
        <f>+IFERROR(VLOOKUP(CI25,IN_Zugliste!$A$4:$D$2002,4,FALSE),"")</f>
        <v/>
      </c>
      <c r="CJ124" t="str">
        <f>+IFERROR(VLOOKUP(CJ25,IN_Zugliste!$A$4:$D$2002,4,FALSE),"")</f>
        <v/>
      </c>
      <c r="CK124" t="str">
        <f>+IFERROR(VLOOKUP(CK25,IN_Zugliste!$A$4:$D$2002,4,FALSE),"")</f>
        <v/>
      </c>
      <c r="CL124" t="str">
        <f>+IFERROR(VLOOKUP(CL25,IN_Zugliste!$A$4:$D$2002,4,FALSE),"")</f>
        <v/>
      </c>
      <c r="CM124" t="str">
        <f>+IFERROR(VLOOKUP(CM25,IN_Zugliste!$A$4:$D$2002,4,FALSE),"")</f>
        <v/>
      </c>
      <c r="CN124" t="str">
        <f>+IFERROR(VLOOKUP(CN25,IN_Zugliste!$A$4:$D$2002,4,FALSE),"")</f>
        <v/>
      </c>
      <c r="CO124" t="str">
        <f>+IFERROR(VLOOKUP(CO25,IN_Zugliste!$A$4:$D$2002,4,FALSE),"")</f>
        <v/>
      </c>
      <c r="CP124" t="str">
        <f>+IFERROR(VLOOKUP(CP25,IN_Zugliste!$A$4:$D$2002,4,FALSE),"")</f>
        <v/>
      </c>
      <c r="CQ124" t="str">
        <f>+IFERROR(VLOOKUP(CQ25,IN_Zugliste!$A$4:$D$2002,4,FALSE),"")</f>
        <v/>
      </c>
      <c r="CR124" t="str">
        <f>+IFERROR(VLOOKUP(CR25,IN_Zugliste!$A$4:$D$2002,4,FALSE),"")</f>
        <v/>
      </c>
      <c r="CS124" t="str">
        <f>+IFERROR(VLOOKUP(CS25,IN_Zugliste!$A$4:$D$2002,4,FALSE),"")</f>
        <v/>
      </c>
      <c r="CT124" t="str">
        <f>+IFERROR(VLOOKUP(CT25,IN_Zugliste!$A$4:$D$2002,4,FALSE),"")</f>
        <v/>
      </c>
      <c r="CU124" t="str">
        <f>+IFERROR(VLOOKUP(CU25,IN_Zugliste!$A$4:$D$2002,4,FALSE),"")</f>
        <v/>
      </c>
      <c r="CV124" t="str">
        <f>+IFERROR(VLOOKUP(CV25,IN_Zugliste!$A$4:$D$2002,4,FALSE),"")</f>
        <v/>
      </c>
      <c r="CW124" t="str">
        <f>+IFERROR(VLOOKUP(CW25,IN_Zugliste!$A$4:$D$2002,4,FALSE),"")</f>
        <v/>
      </c>
      <c r="CX124" t="str">
        <f>+IFERROR(VLOOKUP(CX25,IN_Zugliste!$A$4:$D$2002,4,FALSE),"")</f>
        <v/>
      </c>
      <c r="CY124" t="str">
        <f>+IFERROR(VLOOKUP(CY25,IN_Zugliste!$A$4:$D$2002,4,FALSE),"")</f>
        <v/>
      </c>
      <c r="CZ124" t="str">
        <f>+IFERROR(VLOOKUP(CZ25,IN_Zugliste!$A$4:$D$2002,4,FALSE),"")</f>
        <v/>
      </c>
      <c r="DA124" t="str">
        <f>+IFERROR(VLOOKUP(DA25,IN_Zugliste!$A$4:$D$2002,4,FALSE),"")</f>
        <v/>
      </c>
      <c r="DB124" t="str">
        <f>+IFERROR(VLOOKUP(DB25,IN_Zugliste!$A$4:$D$2002,4,FALSE),"")</f>
        <v/>
      </c>
      <c r="DC124" t="str">
        <f>+IFERROR(VLOOKUP(DC25,IN_Zugliste!$A$4:$D$2002,4,FALSE),"")</f>
        <v/>
      </c>
      <c r="DD124" t="str">
        <f>+IFERROR(VLOOKUP(DD25,IN_Zugliste!$A$4:$D$2002,4,FALSE),"")</f>
        <v/>
      </c>
      <c r="DE124" t="str">
        <f>+IFERROR(VLOOKUP(DE25,IN_Zugliste!$A$4:$D$2002,4,FALSE),"")</f>
        <v/>
      </c>
      <c r="DF124" t="str">
        <f>+IFERROR(VLOOKUP(DF25,IN_Zugliste!$A$4:$D$2002,4,FALSE),"")</f>
        <v/>
      </c>
      <c r="DG124" t="str">
        <f>+IFERROR(VLOOKUP(DG25,IN_Zugliste!$A$4:$D$2002,4,FALSE),"")</f>
        <v/>
      </c>
      <c r="DH124" t="str">
        <f>+IFERROR(VLOOKUP(DH25,IN_Zugliste!$A$4:$D$2002,4,FALSE),"")</f>
        <v/>
      </c>
      <c r="DI124" t="str">
        <f>+IFERROR(VLOOKUP(DI25,IN_Zugliste!$A$4:$D$2002,4,FALSE),"")</f>
        <v/>
      </c>
      <c r="DJ124" t="str">
        <f>+IFERROR(VLOOKUP(DJ25,IN_Zugliste!$A$4:$D$2002,4,FALSE),"")</f>
        <v/>
      </c>
      <c r="DK124" t="str">
        <f>+IFERROR(VLOOKUP(DK25,IN_Zugliste!$A$4:$D$2002,4,FALSE),"")</f>
        <v/>
      </c>
      <c r="DL124" t="str">
        <f>+IFERROR(VLOOKUP(DL25,IN_Zugliste!$A$4:$D$2002,4,FALSE),"")</f>
        <v/>
      </c>
      <c r="DM124" t="str">
        <f>+IFERROR(VLOOKUP(DM25,IN_Zugliste!$A$4:$D$2002,4,FALSE),"")</f>
        <v/>
      </c>
      <c r="DN124" t="str">
        <f>+IFERROR(VLOOKUP(DN25,IN_Zugliste!$A$4:$D$2002,4,FALSE),"")</f>
        <v/>
      </c>
      <c r="DO124" t="str">
        <f>+IFERROR(VLOOKUP(DO25,IN_Zugliste!$A$4:$D$2002,4,FALSE),"")</f>
        <v/>
      </c>
      <c r="DP124" t="str">
        <f>+IFERROR(VLOOKUP(DP25,IN_Zugliste!$A$4:$D$2002,4,FALSE),"")</f>
        <v/>
      </c>
      <c r="DQ124" t="str">
        <f>+IFERROR(VLOOKUP(DQ25,IN_Zugliste!$A$4:$D$2002,4,FALSE),"")</f>
        <v/>
      </c>
      <c r="DR124" t="str">
        <f>+IFERROR(VLOOKUP(DR25,IN_Zugliste!$A$4:$D$2002,4,FALSE),"")</f>
        <v/>
      </c>
      <c r="DS124" t="str">
        <f>+IFERROR(VLOOKUP(DS25,IN_Zugliste!$A$4:$D$2002,4,FALSE),"")</f>
        <v/>
      </c>
      <c r="DT124" t="str">
        <f>+IFERROR(VLOOKUP(DT25,IN_Zugliste!$A$4:$D$2002,4,FALSE),"")</f>
        <v/>
      </c>
      <c r="DU124" t="str">
        <f>+IFERROR(VLOOKUP(DU25,IN_Zugliste!$A$4:$D$2002,4,FALSE),"")</f>
        <v/>
      </c>
      <c r="DV124" t="str">
        <f>+IFERROR(VLOOKUP(DV25,IN_Zugliste!$A$4:$D$2002,4,FALSE),"")</f>
        <v/>
      </c>
      <c r="DW124" t="str">
        <f>+IFERROR(VLOOKUP(DW25,IN_Zugliste!$A$4:$D$2002,4,FALSE),"")</f>
        <v/>
      </c>
      <c r="DX124" t="str">
        <f>+IFERROR(VLOOKUP(DX25,IN_Zugliste!$A$4:$D$2002,4,FALSE),"")</f>
        <v/>
      </c>
      <c r="DY124" t="str">
        <f>+IFERROR(VLOOKUP(DY25,IN_Zugliste!$A$4:$D$2002,4,FALSE),"")</f>
        <v/>
      </c>
      <c r="DZ124" t="str">
        <f>+IFERROR(VLOOKUP(DZ25,IN_Zugliste!$A$4:$D$2002,4,FALSE),"")</f>
        <v/>
      </c>
      <c r="EA124" t="str">
        <f>+IFERROR(VLOOKUP(EA25,IN_Zugliste!$A$4:$D$2002,4,FALSE),"")</f>
        <v/>
      </c>
      <c r="EB124" t="str">
        <f>+IFERROR(VLOOKUP(EB25,IN_Zugliste!$A$4:$D$2002,4,FALSE),"")</f>
        <v/>
      </c>
      <c r="EC124" t="str">
        <f>+IFERROR(VLOOKUP(EC25,IN_Zugliste!$A$4:$D$2002,4,FALSE),"")</f>
        <v/>
      </c>
      <c r="ED124" t="str">
        <f>+IFERROR(VLOOKUP(ED25,IN_Zugliste!$A$4:$D$2002,4,FALSE),"")</f>
        <v/>
      </c>
      <c r="EE124" t="str">
        <f>+IFERROR(VLOOKUP(EE25,IN_Zugliste!$A$4:$D$2002,4,FALSE),"")</f>
        <v/>
      </c>
      <c r="EF124" t="str">
        <f>+IFERROR(VLOOKUP(EF25,IN_Zugliste!$A$4:$D$2002,4,FALSE),"")</f>
        <v/>
      </c>
      <c r="EG124" t="str">
        <f>+IFERROR(VLOOKUP(EG25,IN_Zugliste!$A$4:$D$2002,4,FALSE),"")</f>
        <v/>
      </c>
      <c r="EH124" t="str">
        <f>+IFERROR(VLOOKUP(EH25,IN_Zugliste!$A$4:$D$2002,4,FALSE),"")</f>
        <v/>
      </c>
      <c r="EI124" t="str">
        <f>+IFERROR(VLOOKUP(EI25,IN_Zugliste!$A$4:$D$2002,4,FALSE),"")</f>
        <v/>
      </c>
      <c r="EJ124" t="str">
        <f>+IFERROR(VLOOKUP(EJ25,IN_Zugliste!$A$4:$D$2002,4,FALSE),"")</f>
        <v/>
      </c>
      <c r="EK124" t="str">
        <f>+IFERROR(VLOOKUP(EK25,IN_Zugliste!$A$4:$D$2002,4,FALSE),"")</f>
        <v/>
      </c>
      <c r="EL124" t="str">
        <f>+IFERROR(VLOOKUP(EL25,IN_Zugliste!$A$4:$D$2002,4,FALSE),"")</f>
        <v/>
      </c>
      <c r="EM124" t="str">
        <f>+IFERROR(VLOOKUP(EM25,IN_Zugliste!$A$4:$D$2002,4,FALSE),"")</f>
        <v/>
      </c>
      <c r="EN124" t="str">
        <f>+IFERROR(VLOOKUP(EN25,IN_Zugliste!$A$4:$D$2002,4,FALSE),"")</f>
        <v/>
      </c>
      <c r="EO124" t="str">
        <f>+IFERROR(VLOOKUP(EO25,IN_Zugliste!$A$4:$D$2002,4,FALSE),"")</f>
        <v/>
      </c>
      <c r="EP124" t="str">
        <f>+IFERROR(VLOOKUP(EP25,IN_Zugliste!$A$4:$D$2002,4,FALSE),"")</f>
        <v/>
      </c>
      <c r="EQ124" t="str">
        <f>+IFERROR(VLOOKUP(EQ25,IN_Zugliste!$A$4:$D$2002,4,FALSE),"")</f>
        <v/>
      </c>
      <c r="ER124" t="str">
        <f>+IFERROR(VLOOKUP(ER25,IN_Zugliste!$A$4:$D$2002,4,FALSE),"")</f>
        <v/>
      </c>
      <c r="ES124" t="str">
        <f>+IFERROR(VLOOKUP(ES25,IN_Zugliste!$A$4:$D$2002,4,FALSE),"")</f>
        <v/>
      </c>
      <c r="ET124" t="str">
        <f>+IFERROR(VLOOKUP(ET25,IN_Zugliste!$A$4:$D$2002,4,FALSE),"")</f>
        <v/>
      </c>
      <c r="EU124" t="str">
        <f>+IFERROR(VLOOKUP(EU25,IN_Zugliste!$A$4:$D$2002,4,FALSE),"")</f>
        <v/>
      </c>
      <c r="EV124" t="str">
        <f>+IFERROR(VLOOKUP(EV25,IN_Zugliste!$A$4:$D$2002,4,FALSE),"")</f>
        <v/>
      </c>
      <c r="EW124" t="str">
        <f>+IFERROR(VLOOKUP(EW25,IN_Zugliste!$A$4:$D$2002,4,FALSE),"")</f>
        <v/>
      </c>
      <c r="EX124" t="str">
        <f>+IFERROR(VLOOKUP(EX25,IN_Zugliste!$A$4:$D$2002,4,FALSE),"")</f>
        <v/>
      </c>
      <c r="EY124" t="str">
        <f>+IFERROR(VLOOKUP(EY25,IN_Zugliste!$A$4:$D$2002,4,FALSE),"")</f>
        <v/>
      </c>
      <c r="EZ124" t="str">
        <f>+IFERROR(VLOOKUP(EZ25,IN_Zugliste!$A$4:$D$2002,4,FALSE),"")</f>
        <v/>
      </c>
      <c r="FA124" t="str">
        <f>+IFERROR(VLOOKUP(FA25,IN_Zugliste!$A$4:$D$2002,4,FALSE),"")</f>
        <v/>
      </c>
      <c r="FB124" t="str">
        <f>+IFERROR(VLOOKUP(FB25,IN_Zugliste!$A$4:$D$2002,4,FALSE),"")</f>
        <v/>
      </c>
      <c r="FC124" t="str">
        <f>+IFERROR(VLOOKUP(FC25,IN_Zugliste!$A$4:$D$2002,4,FALSE),"")</f>
        <v/>
      </c>
      <c r="FD124" t="str">
        <f>+IFERROR(VLOOKUP(FD25,IN_Zugliste!$A$4:$D$2002,4,FALSE),"")</f>
        <v/>
      </c>
      <c r="FE124" t="str">
        <f>+IFERROR(VLOOKUP(FE25,IN_Zugliste!$A$4:$D$2002,4,FALSE),"")</f>
        <v/>
      </c>
      <c r="FF124" t="str">
        <f>+IFERROR(VLOOKUP(FF25,IN_Zugliste!$A$4:$D$2002,4,FALSE),"")</f>
        <v/>
      </c>
      <c r="FG124" t="str">
        <f>+IFERROR(VLOOKUP(FG25,IN_Zugliste!$A$4:$D$2002,4,FALSE),"")</f>
        <v/>
      </c>
      <c r="FH124" t="str">
        <f>+IFERROR(VLOOKUP(FH25,IN_Zugliste!$A$4:$D$2002,4,FALSE),"")</f>
        <v/>
      </c>
      <c r="FI124" t="str">
        <f>+IFERROR(VLOOKUP(FI25,IN_Zugliste!$A$4:$D$2002,4,FALSE),"")</f>
        <v/>
      </c>
      <c r="FJ124" t="str">
        <f>+IFERROR(VLOOKUP(FJ25,IN_Zugliste!$A$4:$D$2002,4,FALSE),"")</f>
        <v/>
      </c>
      <c r="FK124" t="str">
        <f>+IFERROR(VLOOKUP(FK25,IN_Zugliste!$A$4:$D$2002,4,FALSE),"")</f>
        <v/>
      </c>
      <c r="FL124" t="str">
        <f>+IFERROR(VLOOKUP(FL25,IN_Zugliste!$A$4:$D$2002,4,FALSE),"")</f>
        <v/>
      </c>
      <c r="FM124" t="str">
        <f>+IFERROR(VLOOKUP(FM25,IN_Zugliste!$A$4:$C$2002,4,FALSE),"")</f>
        <v/>
      </c>
      <c r="FN124" t="str">
        <f>+IFERROR(VLOOKUP(FN25,IN_Zugliste!$A$4:$C$2002,4,FALSE),"")</f>
        <v/>
      </c>
      <c r="FO124" t="str">
        <f>+IFERROR(VLOOKUP(FO25,IN_Zugliste!$A$4:$C$2002,4,FALSE),"")</f>
        <v/>
      </c>
      <c r="FP124" t="str">
        <f>+IFERROR(VLOOKUP(FP25,IN_Zugliste!$A$4:$C$2002,4,FALSE),"")</f>
        <v/>
      </c>
      <c r="FQ124" t="str">
        <f>+IFERROR(VLOOKUP(FQ25,IN_Zugliste!$A$4:$C$2002,4,FALSE),"")</f>
        <v/>
      </c>
      <c r="FR124" t="str">
        <f>+IFERROR(VLOOKUP(FR25,IN_Zugliste!$A$4:$C$2002,4,FALSE),"")</f>
        <v/>
      </c>
      <c r="FS124" t="str">
        <f>+IFERROR(VLOOKUP(FS25,IN_Zugliste!$A$4:$C$2002,4,FALSE),"")</f>
        <v/>
      </c>
      <c r="FT124" t="str">
        <f>+IFERROR(VLOOKUP(FT25,IN_Zugliste!$A$4:$C$2002,4,FALSE),"")</f>
        <v/>
      </c>
      <c r="FU124" t="str">
        <f>+IFERROR(VLOOKUP(FU25,IN_Zugliste!$A$4:$C$2002,4,FALSE),"")</f>
        <v/>
      </c>
      <c r="FV124" t="str">
        <f>+IFERROR(VLOOKUP(FV25,IN_Zugliste!$A$4:$C$2002,4,FALSE),"")</f>
        <v/>
      </c>
      <c r="FW124" t="str">
        <f>+IFERROR(VLOOKUP(FW25,IN_Zugliste!$A$4:$C$2002,4,FALSE),"")</f>
        <v/>
      </c>
      <c r="FX124" t="str">
        <f>+IFERROR(VLOOKUP(FX25,IN_Zugliste!$A$4:$C$2002,4,FALSE),"")</f>
        <v/>
      </c>
      <c r="FY124" t="str">
        <f>+IFERROR(VLOOKUP(FY25,IN_Zugliste!$A$4:$C$2002,4,FALSE),"")</f>
        <v/>
      </c>
      <c r="FZ124" t="str">
        <f>+IFERROR(VLOOKUP(FZ25,IN_Zugliste!$A$4:$C$2002,4,FALSE),"")</f>
        <v/>
      </c>
      <c r="GA124" t="str">
        <f>+IFERROR(VLOOKUP(GA25,IN_Zugliste!$A$4:$C$2002,4,FALSE),"")</f>
        <v/>
      </c>
      <c r="GB124" t="str">
        <f>+IFERROR(VLOOKUP(GB25,IN_Zugliste!$A$4:$C$2002,4,FALSE),"")</f>
        <v/>
      </c>
      <c r="GC124" t="str">
        <f>+IFERROR(VLOOKUP(GC25,IN_Zugliste!$A$4:$C$2002,4,FALSE),"")</f>
        <v/>
      </c>
      <c r="GD124" t="str">
        <f>+IFERROR(VLOOKUP(GD25,IN_Zugliste!$A$4:$C$2002,4,FALSE),"")</f>
        <v/>
      </c>
      <c r="GE124" t="str">
        <f>+IFERROR(VLOOKUP(GE25,IN_Zugliste!$A$4:$C$2002,4,FALSE),"")</f>
        <v/>
      </c>
      <c r="GF124" t="str">
        <f>+IFERROR(VLOOKUP(GF25,IN_Zugliste!$A$4:$C$2002,4,FALSE),"")</f>
        <v/>
      </c>
      <c r="GG124" t="str">
        <f>+IFERROR(VLOOKUP(GG25,IN_Zugliste!$A$4:$C$2002,4,FALSE),"")</f>
        <v/>
      </c>
      <c r="GH124" t="str">
        <f>+IFERROR(VLOOKUP(GH25,IN_Zugliste!$A$4:$C$2002,4,FALSE),"")</f>
        <v/>
      </c>
      <c r="GI124" t="str">
        <f>+IFERROR(VLOOKUP(GI25,IN_Zugliste!$A$4:$C$2002,4,FALSE),"")</f>
        <v/>
      </c>
      <c r="GJ124" t="str">
        <f>+IFERROR(VLOOKUP(GJ25,IN_Zugliste!$A$4:$C$2002,4,FALSE),"")</f>
        <v/>
      </c>
      <c r="GK124" t="str">
        <f>+IFERROR(VLOOKUP(GK25,IN_Zugliste!$A$4:$C$2002,4,FALSE),"")</f>
        <v/>
      </c>
      <c r="GL124" t="str">
        <f>+IFERROR(VLOOKUP(GL25,IN_Zugliste!$A$4:$C$2002,4,FALSE),"")</f>
        <v/>
      </c>
      <c r="GM124" t="str">
        <f>+IFERROR(VLOOKUP(GM25,IN_Zugliste!$A$4:$C$2002,4,FALSE),"")</f>
        <v/>
      </c>
      <c r="GN124" t="str">
        <f>+IFERROR(VLOOKUP(GN25,IN_Zugliste!$A$4:$C$2002,4,FALSE),"")</f>
        <v/>
      </c>
      <c r="GO124" t="str">
        <f>+IFERROR(VLOOKUP(GO25,IN_Zugliste!$A$4:$C$2002,4,FALSE),"")</f>
        <v/>
      </c>
      <c r="GP124" t="str">
        <f>+IFERROR(VLOOKUP(GP25,IN_Zugliste!$A$4:$C$2002,4,FALSE),"")</f>
        <v/>
      </c>
      <c r="GQ124" t="str">
        <f>+IFERROR(VLOOKUP(GQ25,IN_Zugliste!$A$4:$C$2002,4,FALSE),"")</f>
        <v/>
      </c>
      <c r="GR124" t="str">
        <f>+IFERROR(VLOOKUP(GR25,IN_Zugliste!$A$4:$C$2002,4,FALSE),"")</f>
        <v/>
      </c>
      <c r="GS124" t="str">
        <f>+IFERROR(VLOOKUP(GS25,IN_Zugliste!$A$4:$C$2002,4,FALSE),"")</f>
        <v/>
      </c>
      <c r="GT124" t="str">
        <f>+IFERROR(VLOOKUP(GT25,IN_Zugliste!$A$4:$C$2002,4,FALSE),"")</f>
        <v/>
      </c>
      <c r="GU124" t="str">
        <f>+IFERROR(VLOOKUP(GU25,IN_Zugliste!$A$4:$C$2002,4,FALSE),"")</f>
        <v/>
      </c>
      <c r="GV124" t="str">
        <f>+IFERROR(VLOOKUP(GV25,IN_Zugliste!$A$4:$C$2002,4,FALSE),"")</f>
        <v/>
      </c>
      <c r="GW124" t="str">
        <f>+IFERROR(VLOOKUP(GW25,IN_Zugliste!$A$4:$C$2002,4,FALSE),"")</f>
        <v/>
      </c>
      <c r="GX124" t="str">
        <f>+IFERROR(VLOOKUP(GX25,IN_Zugliste!$A$4:$C$2002,4,FALSE),"")</f>
        <v/>
      </c>
      <c r="GY124" t="str">
        <f>+IFERROR(VLOOKUP(GY25,IN_Zugliste!$A$4:$C$2002,4,FALSE),"")</f>
        <v/>
      </c>
      <c r="GZ124" t="str">
        <f>+IFERROR(VLOOKUP(GZ25,IN_Zugliste!$A$4:$C$2002,4,FALSE),"")</f>
        <v/>
      </c>
      <c r="HA124" t="str">
        <f>+IFERROR(VLOOKUP(HA25,IN_Zugliste!$A$4:$C$2002,4,FALSE),"")</f>
        <v/>
      </c>
      <c r="HB124" t="str">
        <f>+IFERROR(VLOOKUP(HB25,IN_Zugliste!$A$4:$C$2002,4,FALSE),"")</f>
        <v/>
      </c>
      <c r="HC124" t="str">
        <f>+IFERROR(VLOOKUP(HC25,IN_Zugliste!$A$4:$C$2002,4,FALSE),"")</f>
        <v/>
      </c>
      <c r="HD124" t="str">
        <f>+IFERROR(VLOOKUP(HD25,IN_Zugliste!$A$4:$C$2002,4,FALSE),"")</f>
        <v/>
      </c>
      <c r="HE124" t="str">
        <f>+IFERROR(VLOOKUP(HE25,IN_Zugliste!$A$4:$C$2002,4,FALSE),"")</f>
        <v/>
      </c>
      <c r="HF124" t="str">
        <f>+IFERROR(VLOOKUP(HF25,IN_Zugliste!$A$4:$C$2002,4,FALSE),"")</f>
        <v/>
      </c>
      <c r="HG124" t="str">
        <f>+IFERROR(VLOOKUP(HG25,IN_Zugliste!$A$4:$C$2002,4,FALSE),"")</f>
        <v/>
      </c>
      <c r="HH124" t="str">
        <f>+IFERROR(VLOOKUP(HH25,IN_Zugliste!$A$4:$C$2002,4,FALSE),"")</f>
        <v/>
      </c>
      <c r="HI124" t="str">
        <f>+IFERROR(VLOOKUP(HI25,IN_Zugliste!$A$4:$C$2002,4,FALSE),"")</f>
        <v/>
      </c>
      <c r="HJ124" t="str">
        <f>+IFERROR(VLOOKUP(HJ25,IN_Zugliste!$A$4:$C$2002,4,FALSE),"")</f>
        <v/>
      </c>
      <c r="HK124" t="str">
        <f>+IFERROR(VLOOKUP(HK25,IN_Zugliste!$A$4:$C$2002,4,FALSE),"")</f>
        <v/>
      </c>
      <c r="HL124" t="str">
        <f>+IFERROR(VLOOKUP(HL25,IN_Zugliste!$A$4:$C$2002,4,FALSE),"")</f>
        <v/>
      </c>
      <c r="HM124" t="str">
        <f>+IFERROR(VLOOKUP(HM25,IN_Zugliste!$A$4:$C$2002,4,FALSE),"")</f>
        <v/>
      </c>
      <c r="HN124" t="str">
        <f>+IFERROR(VLOOKUP(HN25,IN_Zugliste!$A$4:$C$2002,4,FALSE),"")</f>
        <v/>
      </c>
      <c r="HO124" t="str">
        <f>+IFERROR(VLOOKUP(HO25,IN_Zugliste!$A$4:$C$2002,4,FALSE),"")</f>
        <v/>
      </c>
      <c r="HP124" t="str">
        <f>+IFERROR(VLOOKUP(HP25,IN_Zugliste!$A$4:$C$2002,4,FALSE),"")</f>
        <v/>
      </c>
      <c r="HQ124" t="str">
        <f>+IFERROR(VLOOKUP(HQ25,IN_Zugliste!$A$4:$C$2002,4,FALSE),"")</f>
        <v/>
      </c>
      <c r="HR124" t="str">
        <f>+IFERROR(VLOOKUP(HR25,IN_Zugliste!$A$4:$C$2002,4,FALSE),"")</f>
        <v/>
      </c>
      <c r="HS124" t="str">
        <f>+IFERROR(VLOOKUP(HS25,IN_Zugliste!$A$4:$C$2002,4,FALSE),"")</f>
        <v/>
      </c>
      <c r="HT124" t="str">
        <f>+IFERROR(VLOOKUP(HT25,IN_Zugliste!$A$4:$C$2002,4,FALSE),"")</f>
        <v/>
      </c>
      <c r="HU124" t="str">
        <f>+IFERROR(VLOOKUP(HU25,IN_Zugliste!$A$4:$C$2002,4,FALSE),"")</f>
        <v/>
      </c>
      <c r="HV124" t="str">
        <f>+IFERROR(VLOOKUP(HV25,IN_Zugliste!$A$4:$C$2002,4,FALSE),"")</f>
        <v/>
      </c>
      <c r="HW124" t="str">
        <f>+IFERROR(VLOOKUP(HW25,IN_Zugliste!$A$4:$C$2002,4,FALSE),"")</f>
        <v/>
      </c>
      <c r="HX124" t="str">
        <f>+IFERROR(VLOOKUP(HX25,IN_Zugliste!$A$4:$C$2002,4,FALSE),"")</f>
        <v/>
      </c>
      <c r="HY124" t="str">
        <f>+IFERROR(VLOOKUP(HY25,IN_Zugliste!$A$4:$C$2002,4,FALSE),"")</f>
        <v/>
      </c>
      <c r="HZ124" t="str">
        <f>+IFERROR(VLOOKUP(HZ25,IN_Zugliste!$A$4:$C$2002,4,FALSE),"")</f>
        <v/>
      </c>
      <c r="IA124" t="str">
        <f>+IFERROR(VLOOKUP(IA25,IN_Zugliste!$A$4:$C$2002,4,FALSE),"")</f>
        <v/>
      </c>
      <c r="IB124" t="str">
        <f>+IFERROR(VLOOKUP(IB25,IN_Zugliste!$A$4:$C$2002,4,FALSE),"")</f>
        <v/>
      </c>
      <c r="IC124" t="str">
        <f>+IFERROR(VLOOKUP(IC25,IN_Zugliste!$A$4:$C$2002,4,FALSE),"")</f>
        <v/>
      </c>
      <c r="ID124" t="str">
        <f>+IFERROR(VLOOKUP(ID25,IN_Zugliste!$A$4:$C$2002,4,FALSE),"")</f>
        <v/>
      </c>
      <c r="IE124" t="str">
        <f>+IFERROR(VLOOKUP(IE25,IN_Zugliste!$A$4:$C$2002,4,FALSE),"")</f>
        <v/>
      </c>
      <c r="IF124" t="str">
        <f>+IFERROR(VLOOKUP(IF25,IN_Zugliste!$A$4:$C$2002,4,FALSE),"")</f>
        <v/>
      </c>
      <c r="IG124" t="str">
        <f>+IFERROR(VLOOKUP(IG25,IN_Zugliste!$A$4:$C$2002,4,FALSE),"")</f>
        <v/>
      </c>
      <c r="IH124" t="str">
        <f>+IFERROR(VLOOKUP(IH25,IN_Zugliste!$A$4:$C$2002,4,FALSE),"")</f>
        <v/>
      </c>
      <c r="II124" t="str">
        <f>+IFERROR(VLOOKUP(II25,IN_Zugliste!$A$4:$C$2002,4,FALSE),"")</f>
        <v/>
      </c>
      <c r="IJ124" t="str">
        <f>+IFERROR(VLOOKUP(IJ25,IN_Zugliste!$A$4:$C$2002,4,FALSE),"")</f>
        <v/>
      </c>
      <c r="IK124" t="str">
        <f>+IFERROR(VLOOKUP(IK25,IN_Zugliste!$A$4:$C$2002,4,FALSE),"")</f>
        <v/>
      </c>
      <c r="IL124" t="str">
        <f>+IFERROR(VLOOKUP(IL25,IN_Zugliste!$A$4:$C$2002,4,FALSE),"")</f>
        <v/>
      </c>
      <c r="IM124" t="str">
        <f>+IFERROR(VLOOKUP(IM25,IN_Zugliste!$A$4:$C$2002,4,FALSE),"")</f>
        <v/>
      </c>
      <c r="IN124" t="str">
        <f>+IFERROR(VLOOKUP(IN25,IN_Zugliste!$A$4:$C$2002,4,FALSE),"")</f>
        <v/>
      </c>
      <c r="IO124" t="str">
        <f>+IFERROR(VLOOKUP(IO25,IN_Zugliste!$A$4:$C$2002,4,FALSE),"")</f>
        <v/>
      </c>
      <c r="IP124" t="str">
        <f>+IFERROR(VLOOKUP(IP25,IN_Zugliste!$A$4:$C$2002,4,FALSE),"")</f>
        <v/>
      </c>
      <c r="IQ124" t="str">
        <f>+IFERROR(VLOOKUP(IQ25,IN_Zugliste!$A$4:$C$2002,4,FALSE),"")</f>
        <v/>
      </c>
      <c r="IR124" t="str">
        <f>+IFERROR(VLOOKUP(IR25,IN_Zugliste!$A$4:$C$2002,4,FALSE),"")</f>
        <v/>
      </c>
      <c r="IS124" t="str">
        <f>+IFERROR(VLOOKUP(IS25,IN_Zugliste!$A$4:$C$2002,4,FALSE),"")</f>
        <v/>
      </c>
      <c r="IT124" t="str">
        <f>+IFERROR(VLOOKUP(IT25,IN_Zugliste!$A$4:$C$2002,4,FALSE),"")</f>
        <v/>
      </c>
      <c r="IU124" t="str">
        <f>+IFERROR(VLOOKUP(IU25,IN_Zugliste!$A$4:$C$2002,4,FALSE),"")</f>
        <v/>
      </c>
      <c r="IV124" t="str">
        <f>+IFERROR(VLOOKUP(IV25,IN_Zugliste!$A$4:$C$2002,4,FALSE),"")</f>
        <v/>
      </c>
      <c r="IW124" t="str">
        <f>+IFERROR(VLOOKUP(IW25,IN_Zugliste!$A$4:$C$2002,4,FALSE),"")</f>
        <v/>
      </c>
      <c r="IX124" t="str">
        <f>+IFERROR(VLOOKUP(IX25,IN_Zugliste!$A$4:$C$2002,4,FALSE),"")</f>
        <v/>
      </c>
      <c r="IY124" t="str">
        <f>+IFERROR(VLOOKUP(IY25,IN_Zugliste!$A$4:$C$2002,4,FALSE),"")</f>
        <v/>
      </c>
      <c r="IZ124" t="str">
        <f>+IFERROR(VLOOKUP(IZ25,IN_Zugliste!$A$4:$C$2002,4,FALSE),"")</f>
        <v/>
      </c>
      <c r="JA124" t="str">
        <f>+IFERROR(VLOOKUP(JA25,IN_Zugliste!$A$4:$C$2002,4,FALSE),"")</f>
        <v/>
      </c>
      <c r="JB124" t="str">
        <f>+IFERROR(VLOOKUP(JB25,IN_Zugliste!$A$4:$C$2002,4,FALSE),"")</f>
        <v/>
      </c>
      <c r="JC124" t="str">
        <f>+IFERROR(VLOOKUP(JC25,IN_Zugliste!$A$4:$C$2002,4,FALSE),"")</f>
        <v/>
      </c>
      <c r="JD124" t="str">
        <f>+IFERROR(VLOOKUP(JD25,IN_Zugliste!$A$4:$C$2002,4,FALSE),"")</f>
        <v/>
      </c>
      <c r="JE124" t="str">
        <f>+IFERROR(VLOOKUP(JE25,IN_Zugliste!$A$4:$C$2002,4,FALSE),"")</f>
        <v/>
      </c>
      <c r="JF124" t="str">
        <f>+IFERROR(VLOOKUP(JF25,IN_Zugliste!$A$4:$C$2002,4,FALSE),"")</f>
        <v/>
      </c>
      <c r="JG124" t="str">
        <f>+IFERROR(VLOOKUP(JG25,IN_Zugliste!$A$4:$C$2002,4,FALSE),"")</f>
        <v/>
      </c>
      <c r="JH124" t="str">
        <f>+IFERROR(VLOOKUP(JH25,IN_Zugliste!$A$4:$C$2002,4,FALSE),"")</f>
        <v/>
      </c>
      <c r="JI124" t="str">
        <f>+IFERROR(VLOOKUP(JI25,IN_Zugliste!$A$4:$C$2002,4,FALSE),"")</f>
        <v/>
      </c>
      <c r="JJ124" t="str">
        <f>+IFERROR(VLOOKUP(JJ25,IN_Zugliste!$A$4:$C$2002,4,FALSE),"")</f>
        <v/>
      </c>
      <c r="JK124" t="str">
        <f>+IFERROR(VLOOKUP(JK25,IN_Zugliste!$A$4:$C$2002,4,FALSE),"")</f>
        <v/>
      </c>
      <c r="JL124" t="str">
        <f>+IFERROR(VLOOKUP(JL25,IN_Zugliste!$A$4:$C$2002,4,FALSE),"")</f>
        <v/>
      </c>
    </row>
    <row r="125" spans="1:272" x14ac:dyDescent="0.2">
      <c r="A125" t="str">
        <f>+IFERROR(VLOOKUP(A26,IN_Zugliste!$A$4:$D$2002,4,FALSE),"")</f>
        <v/>
      </c>
      <c r="B125" t="str">
        <f>+IFERROR(VLOOKUP(B26,IN_Zugliste!$A$4:$D$2002,4,FALSE),"")</f>
        <v/>
      </c>
      <c r="C125" t="str">
        <f>+IFERROR(VLOOKUP(C26,IN_Zugliste!$A$4:$D$2002,4,FALSE),"")</f>
        <v/>
      </c>
      <c r="D125" t="str">
        <f>+IFERROR(VLOOKUP(D26,IN_Zugliste!$A$4:$D$2002,4,FALSE),"")</f>
        <v/>
      </c>
      <c r="E125" t="str">
        <f>+IFERROR(VLOOKUP(E26,IN_Zugliste!$A$4:$D$2002,4,FALSE),"")</f>
        <v/>
      </c>
      <c r="F125" t="str">
        <f>+IFERROR(VLOOKUP(F26,IN_Zugliste!$A$4:$D$2002,4,FALSE),"")</f>
        <v/>
      </c>
      <c r="G125" t="str">
        <f>+IFERROR(VLOOKUP(G26,IN_Zugliste!$A$4:$D$2002,4,FALSE),"")</f>
        <v/>
      </c>
      <c r="H125" t="str">
        <f>+IFERROR(VLOOKUP(H26,IN_Zugliste!$A$4:$D$2002,4,FALSE),"")</f>
        <v/>
      </c>
      <c r="I125" t="str">
        <f>+IFERROR(VLOOKUP(I26,IN_Zugliste!$A$4:$D$2002,4,FALSE),"")</f>
        <v/>
      </c>
      <c r="J125" t="str">
        <f>+IFERROR(VLOOKUP(J26,IN_Zugliste!$A$4:$D$2002,4,FALSE),"")</f>
        <v/>
      </c>
      <c r="K125" t="str">
        <f>+IFERROR(VLOOKUP(K26,IN_Zugliste!$A$4:$D$2002,4,FALSE),"")</f>
        <v/>
      </c>
      <c r="L125" t="str">
        <f>+IFERROR(VLOOKUP(L26,IN_Zugliste!$A$4:$D$2002,4,FALSE),"")</f>
        <v/>
      </c>
      <c r="M125" t="str">
        <f>+IFERROR(VLOOKUP(M26,IN_Zugliste!$A$4:$D$2002,4,FALSE),"")</f>
        <v/>
      </c>
      <c r="N125" t="str">
        <f>+IFERROR(VLOOKUP(N26,IN_Zugliste!$A$4:$D$2002,4,FALSE),"")</f>
        <v/>
      </c>
      <c r="O125" t="str">
        <f>+IFERROR(VLOOKUP(O26,IN_Zugliste!$A$4:$D$2002,4,FALSE),"")</f>
        <v/>
      </c>
      <c r="P125" t="str">
        <f>+IFERROR(VLOOKUP(P26,IN_Zugliste!$A$4:$D$2002,4,FALSE),"")</f>
        <v/>
      </c>
      <c r="Q125" t="str">
        <f>+IFERROR(VLOOKUP(Q26,IN_Zugliste!$A$4:$D$2002,4,FALSE),"")</f>
        <v/>
      </c>
      <c r="R125" t="str">
        <f>+IFERROR(VLOOKUP(R26,IN_Zugliste!$A$4:$D$2002,4,FALSE),"")</f>
        <v/>
      </c>
      <c r="S125" t="str">
        <f>+IFERROR(VLOOKUP(S26,IN_Zugliste!$A$4:$D$2002,4,FALSE),"")</f>
        <v/>
      </c>
      <c r="T125" t="str">
        <f>+IFERROR(VLOOKUP(T26,IN_Zugliste!$A$4:$D$2002,4,FALSE),"")</f>
        <v/>
      </c>
      <c r="U125" t="str">
        <f>+IFERROR(VLOOKUP(U26,IN_Zugliste!$A$4:$D$2002,4,FALSE),"")</f>
        <v/>
      </c>
      <c r="V125" t="str">
        <f>+IFERROR(VLOOKUP(V26,IN_Zugliste!$A$4:$D$2002,4,FALSE),"")</f>
        <v/>
      </c>
      <c r="W125" t="str">
        <f>+IFERROR(VLOOKUP(W26,IN_Zugliste!$A$4:$D$2002,4,FALSE),"")</f>
        <v/>
      </c>
      <c r="X125" t="str">
        <f>+IFERROR(VLOOKUP(X26,IN_Zugliste!$A$4:$D$2002,4,FALSE),"")</f>
        <v/>
      </c>
      <c r="Y125" t="str">
        <f>+IFERROR(VLOOKUP(Y26,IN_Zugliste!$A$4:$D$2002,4,FALSE),"")</f>
        <v/>
      </c>
      <c r="Z125" t="str">
        <f>+IFERROR(VLOOKUP(Z26,IN_Zugliste!$A$4:$D$2002,4,FALSE),"")</f>
        <v/>
      </c>
      <c r="AA125" t="str">
        <f>+IFERROR(VLOOKUP(AA26,IN_Zugliste!$A$4:$D$2002,4,FALSE),"")</f>
        <v/>
      </c>
      <c r="AB125" t="str">
        <f>+IFERROR(VLOOKUP(AB26,IN_Zugliste!$A$4:$D$2002,4,FALSE),"")</f>
        <v/>
      </c>
      <c r="AC125" t="str">
        <f>+IFERROR(VLOOKUP(AC26,IN_Zugliste!$A$4:$D$2002,4,FALSE),"")</f>
        <v/>
      </c>
      <c r="AD125" t="str">
        <f>+IFERROR(VLOOKUP(AD26,IN_Zugliste!$A$4:$D$2002,4,FALSE),"")</f>
        <v/>
      </c>
      <c r="AE125" t="str">
        <f>+IFERROR(VLOOKUP(AE26,IN_Zugliste!$A$4:$D$2002,4,FALSE),"")</f>
        <v/>
      </c>
      <c r="AF125" t="str">
        <f>+IFERROR(VLOOKUP(AF26,IN_Zugliste!$A$4:$D$2002,4,FALSE),"")</f>
        <v/>
      </c>
      <c r="AG125" t="str">
        <f>+IFERROR(VLOOKUP(AG26,IN_Zugliste!$A$4:$D$2002,4,FALSE),"")</f>
        <v/>
      </c>
      <c r="AH125" t="str">
        <f>+IFERROR(VLOOKUP(AH26,IN_Zugliste!$A$4:$D$2002,4,FALSE),"")</f>
        <v/>
      </c>
      <c r="AI125" t="str">
        <f>+IFERROR(VLOOKUP(AI26,IN_Zugliste!$A$4:$D$2002,4,FALSE),"")</f>
        <v/>
      </c>
      <c r="AJ125" t="str">
        <f>+IFERROR(VLOOKUP(AJ26,IN_Zugliste!$A$4:$D$2002,4,FALSE),"")</f>
        <v/>
      </c>
      <c r="AK125" t="str">
        <f>+IFERROR(VLOOKUP(AK26,IN_Zugliste!$A$4:$D$2002,4,FALSE),"")</f>
        <v/>
      </c>
      <c r="AL125" t="str">
        <f>+IFERROR(VLOOKUP(AL26,IN_Zugliste!$A$4:$D$2002,4,FALSE),"")</f>
        <v/>
      </c>
      <c r="AM125" t="str">
        <f>+IFERROR(VLOOKUP(AM26,IN_Zugliste!$A$4:$D$2002,4,FALSE),"")</f>
        <v/>
      </c>
      <c r="AN125" t="str">
        <f>+IFERROR(VLOOKUP(AN26,IN_Zugliste!$A$4:$D$2002,4,FALSE),"")</f>
        <v/>
      </c>
      <c r="AO125" t="str">
        <f>+IFERROR(VLOOKUP(AO26,IN_Zugliste!$A$4:$D$2002,4,FALSE),"")</f>
        <v/>
      </c>
      <c r="AP125" t="str">
        <f>+IFERROR(VLOOKUP(AP26,IN_Zugliste!$A$4:$D$2002,4,FALSE),"")</f>
        <v/>
      </c>
      <c r="AQ125" t="str">
        <f>+IFERROR(VLOOKUP(AQ26,IN_Zugliste!$A$4:$D$2002,4,FALSE),"")</f>
        <v/>
      </c>
      <c r="AR125" t="str">
        <f>+IFERROR(VLOOKUP(AR26,IN_Zugliste!$A$4:$D$2002,4,FALSE),"")</f>
        <v/>
      </c>
      <c r="AS125" t="str">
        <f>+IFERROR(VLOOKUP(AS26,IN_Zugliste!$A$4:$D$2002,4,FALSE),"")</f>
        <v/>
      </c>
      <c r="AT125" t="str">
        <f>+IFERROR(VLOOKUP(AT26,IN_Zugliste!$A$4:$D$2002,4,FALSE),"")</f>
        <v/>
      </c>
      <c r="AU125" t="str">
        <f>+IFERROR(VLOOKUP(AU26,IN_Zugliste!$A$4:$D$2002,4,FALSE),"")</f>
        <v/>
      </c>
      <c r="AV125" t="str">
        <f>+IFERROR(VLOOKUP(AV26,IN_Zugliste!$A$4:$D$2002,4,FALSE),"")</f>
        <v/>
      </c>
      <c r="AW125" t="str">
        <f>+IFERROR(VLOOKUP(AW26,IN_Zugliste!$A$4:$D$2002,4,FALSE),"")</f>
        <v/>
      </c>
      <c r="AX125" t="str">
        <f>+IFERROR(VLOOKUP(AX26,IN_Zugliste!$A$4:$D$2002,4,FALSE),"")</f>
        <v/>
      </c>
      <c r="AY125" t="str">
        <f>+IFERROR(VLOOKUP(AY26,IN_Zugliste!$A$4:$D$2002,4,FALSE),"")</f>
        <v/>
      </c>
      <c r="AZ125" t="str">
        <f>+IFERROR(VLOOKUP(AZ26,IN_Zugliste!$A$4:$D$2002,4,FALSE),"")</f>
        <v/>
      </c>
      <c r="BA125" t="str">
        <f>+IFERROR(VLOOKUP(BA26,IN_Zugliste!$A$4:$D$2002,4,FALSE),"")</f>
        <v/>
      </c>
      <c r="BB125" t="str">
        <f>+IFERROR(VLOOKUP(BB26,IN_Zugliste!$A$4:$D$2002,4,FALSE),"")</f>
        <v/>
      </c>
      <c r="BC125" t="str">
        <f>+IFERROR(VLOOKUP(BC26,IN_Zugliste!$A$4:$D$2002,4,FALSE),"")</f>
        <v/>
      </c>
      <c r="BD125" t="str">
        <f>+IFERROR(VLOOKUP(BD26,IN_Zugliste!$A$4:$D$2002,4,FALSE),"")</f>
        <v/>
      </c>
      <c r="BE125" t="str">
        <f>+IFERROR(VLOOKUP(BE26,IN_Zugliste!$A$4:$D$2002,4,FALSE),"")</f>
        <v/>
      </c>
      <c r="BF125" t="str">
        <f>+IFERROR(VLOOKUP(BF26,IN_Zugliste!$A$4:$D$2002,4,FALSE),"")</f>
        <v/>
      </c>
      <c r="BG125" t="str">
        <f>+IFERROR(VLOOKUP(BG26,IN_Zugliste!$A$4:$D$2002,4,FALSE),"")</f>
        <v/>
      </c>
      <c r="BH125" t="str">
        <f>+IFERROR(VLOOKUP(BH26,IN_Zugliste!$A$4:$D$2002,4,FALSE),"")</f>
        <v/>
      </c>
      <c r="BI125" t="str">
        <f>+IFERROR(VLOOKUP(BI26,IN_Zugliste!$A$4:$D$2002,4,FALSE),"")</f>
        <v/>
      </c>
      <c r="BJ125" t="str">
        <f>+IFERROR(VLOOKUP(BJ26,IN_Zugliste!$A$4:$D$2002,4,FALSE),"")</f>
        <v/>
      </c>
      <c r="BK125" t="str">
        <f>+IFERROR(VLOOKUP(BK26,IN_Zugliste!$A$4:$D$2002,4,FALSE),"")</f>
        <v/>
      </c>
      <c r="BL125" t="str">
        <f>+IFERROR(VLOOKUP(BL26,IN_Zugliste!$A$4:$D$2002,4,FALSE),"")</f>
        <v/>
      </c>
      <c r="BM125" t="str">
        <f>+IFERROR(VLOOKUP(BM26,IN_Zugliste!$A$4:$D$2002,4,FALSE),"")</f>
        <v/>
      </c>
      <c r="BN125" t="str">
        <f>+IFERROR(VLOOKUP(BN26,IN_Zugliste!$A$4:$D$2002,4,FALSE),"")</f>
        <v/>
      </c>
      <c r="BO125" t="str">
        <f>+IFERROR(VLOOKUP(BO26,IN_Zugliste!$A$4:$D$2002,4,FALSE),"")</f>
        <v/>
      </c>
      <c r="BP125" t="str">
        <f>+IFERROR(VLOOKUP(BP26,IN_Zugliste!$A$4:$D$2002,4,FALSE),"")</f>
        <v/>
      </c>
      <c r="BQ125" t="str">
        <f>+IFERROR(VLOOKUP(BQ26,IN_Zugliste!$A$4:$D$2002,4,FALSE),"")</f>
        <v/>
      </c>
      <c r="BR125" t="str">
        <f>+IFERROR(VLOOKUP(BR26,IN_Zugliste!$A$4:$D$2002,4,FALSE),"")</f>
        <v/>
      </c>
      <c r="BS125" t="str">
        <f>+IFERROR(VLOOKUP(BS26,IN_Zugliste!$A$4:$D$2002,4,FALSE),"")</f>
        <v/>
      </c>
      <c r="BT125" t="str">
        <f>+IFERROR(VLOOKUP(BT26,IN_Zugliste!$A$4:$D$2002,4,FALSE),"")</f>
        <v/>
      </c>
      <c r="BU125" t="str">
        <f>+IFERROR(VLOOKUP(BU26,IN_Zugliste!$A$4:$D$2002,4,FALSE),"")</f>
        <v/>
      </c>
      <c r="BV125" t="str">
        <f>+IFERROR(VLOOKUP(BV26,IN_Zugliste!$A$4:$D$2002,4,FALSE),"")</f>
        <v/>
      </c>
      <c r="BW125" t="str">
        <f>+IFERROR(VLOOKUP(BW26,IN_Zugliste!$A$4:$D$2002,4,FALSE),"")</f>
        <v/>
      </c>
      <c r="BX125" t="str">
        <f>+IFERROR(VLOOKUP(BX26,IN_Zugliste!$A$4:$D$2002,4,FALSE),"")</f>
        <v/>
      </c>
      <c r="BY125" t="str">
        <f>+IFERROR(VLOOKUP(BY26,IN_Zugliste!$A$4:$D$2002,4,FALSE),"")</f>
        <v/>
      </c>
      <c r="BZ125" t="str">
        <f>+IFERROR(VLOOKUP(BZ26,IN_Zugliste!$A$4:$D$2002,4,FALSE),"")</f>
        <v/>
      </c>
      <c r="CA125" t="str">
        <f>+IFERROR(VLOOKUP(CA26,IN_Zugliste!$A$4:$D$2002,4,FALSE),"")</f>
        <v/>
      </c>
      <c r="CB125" t="str">
        <f>+IFERROR(VLOOKUP(CB26,IN_Zugliste!$A$4:$D$2002,4,FALSE),"")</f>
        <v/>
      </c>
      <c r="CC125" t="str">
        <f>+IFERROR(VLOOKUP(CC26,IN_Zugliste!$A$4:$D$2002,4,FALSE),"")</f>
        <v/>
      </c>
      <c r="CD125" t="str">
        <f>+IFERROR(VLOOKUP(CD26,IN_Zugliste!$A$4:$D$2002,4,FALSE),"")</f>
        <v/>
      </c>
      <c r="CE125" t="str">
        <f>+IFERROR(VLOOKUP(CE26,IN_Zugliste!$A$4:$D$2002,4,FALSE),"")</f>
        <v/>
      </c>
      <c r="CF125" t="str">
        <f>+IFERROR(VLOOKUP(CF26,IN_Zugliste!$A$4:$D$2002,4,FALSE),"")</f>
        <v/>
      </c>
      <c r="CG125" t="str">
        <f>+IFERROR(VLOOKUP(CG26,IN_Zugliste!$A$4:$D$2002,4,FALSE),"")</f>
        <v/>
      </c>
      <c r="CH125" t="str">
        <f>+IFERROR(VLOOKUP(CH26,IN_Zugliste!$A$4:$D$2002,4,FALSE),"")</f>
        <v/>
      </c>
      <c r="CI125" t="str">
        <f>+IFERROR(VLOOKUP(CI26,IN_Zugliste!$A$4:$D$2002,4,FALSE),"")</f>
        <v/>
      </c>
      <c r="CJ125" t="str">
        <f>+IFERROR(VLOOKUP(CJ26,IN_Zugliste!$A$4:$D$2002,4,FALSE),"")</f>
        <v/>
      </c>
      <c r="CK125" t="str">
        <f>+IFERROR(VLOOKUP(CK26,IN_Zugliste!$A$4:$D$2002,4,FALSE),"")</f>
        <v/>
      </c>
      <c r="CL125" t="str">
        <f>+IFERROR(VLOOKUP(CL26,IN_Zugliste!$A$4:$D$2002,4,FALSE),"")</f>
        <v/>
      </c>
      <c r="CM125" t="str">
        <f>+IFERROR(VLOOKUP(CM26,IN_Zugliste!$A$4:$D$2002,4,FALSE),"")</f>
        <v/>
      </c>
      <c r="CN125" t="str">
        <f>+IFERROR(VLOOKUP(CN26,IN_Zugliste!$A$4:$D$2002,4,FALSE),"")</f>
        <v/>
      </c>
      <c r="CO125" t="str">
        <f>+IFERROR(VLOOKUP(CO26,IN_Zugliste!$A$4:$D$2002,4,FALSE),"")</f>
        <v/>
      </c>
      <c r="CP125" t="str">
        <f>+IFERROR(VLOOKUP(CP26,IN_Zugliste!$A$4:$D$2002,4,FALSE),"")</f>
        <v/>
      </c>
      <c r="CQ125" t="str">
        <f>+IFERROR(VLOOKUP(CQ26,IN_Zugliste!$A$4:$D$2002,4,FALSE),"")</f>
        <v/>
      </c>
      <c r="CR125" t="str">
        <f>+IFERROR(VLOOKUP(CR26,IN_Zugliste!$A$4:$D$2002,4,FALSE),"")</f>
        <v/>
      </c>
      <c r="CS125" t="str">
        <f>+IFERROR(VLOOKUP(CS26,IN_Zugliste!$A$4:$D$2002,4,FALSE),"")</f>
        <v/>
      </c>
      <c r="CT125" t="str">
        <f>+IFERROR(VLOOKUP(CT26,IN_Zugliste!$A$4:$D$2002,4,FALSE),"")</f>
        <v/>
      </c>
      <c r="CU125" t="str">
        <f>+IFERROR(VLOOKUP(CU26,IN_Zugliste!$A$4:$D$2002,4,FALSE),"")</f>
        <v/>
      </c>
      <c r="CV125" t="str">
        <f>+IFERROR(VLOOKUP(CV26,IN_Zugliste!$A$4:$D$2002,4,FALSE),"")</f>
        <v/>
      </c>
      <c r="CW125" t="str">
        <f>+IFERROR(VLOOKUP(CW26,IN_Zugliste!$A$4:$D$2002,4,FALSE),"")</f>
        <v/>
      </c>
      <c r="CX125" t="str">
        <f>+IFERROR(VLOOKUP(CX26,IN_Zugliste!$A$4:$D$2002,4,FALSE),"")</f>
        <v/>
      </c>
      <c r="CY125" t="str">
        <f>+IFERROR(VLOOKUP(CY26,IN_Zugliste!$A$4:$D$2002,4,FALSE),"")</f>
        <v/>
      </c>
      <c r="CZ125" t="str">
        <f>+IFERROR(VLOOKUP(CZ26,IN_Zugliste!$A$4:$D$2002,4,FALSE),"")</f>
        <v/>
      </c>
      <c r="DA125" t="str">
        <f>+IFERROR(VLOOKUP(DA26,IN_Zugliste!$A$4:$D$2002,4,FALSE),"")</f>
        <v/>
      </c>
      <c r="DB125" t="str">
        <f>+IFERROR(VLOOKUP(DB26,IN_Zugliste!$A$4:$D$2002,4,FALSE),"")</f>
        <v/>
      </c>
      <c r="DC125" t="str">
        <f>+IFERROR(VLOOKUP(DC26,IN_Zugliste!$A$4:$D$2002,4,FALSE),"")</f>
        <v/>
      </c>
      <c r="DD125" t="str">
        <f>+IFERROR(VLOOKUP(DD26,IN_Zugliste!$A$4:$D$2002,4,FALSE),"")</f>
        <v/>
      </c>
      <c r="DE125" t="str">
        <f>+IFERROR(VLOOKUP(DE26,IN_Zugliste!$A$4:$D$2002,4,FALSE),"")</f>
        <v/>
      </c>
      <c r="DF125" t="str">
        <f>+IFERROR(VLOOKUP(DF26,IN_Zugliste!$A$4:$D$2002,4,FALSE),"")</f>
        <v/>
      </c>
      <c r="DG125" t="str">
        <f>+IFERROR(VLOOKUP(DG26,IN_Zugliste!$A$4:$D$2002,4,FALSE),"")</f>
        <v/>
      </c>
      <c r="DH125" t="str">
        <f>+IFERROR(VLOOKUP(DH26,IN_Zugliste!$A$4:$D$2002,4,FALSE),"")</f>
        <v/>
      </c>
      <c r="DI125" t="str">
        <f>+IFERROR(VLOOKUP(DI26,IN_Zugliste!$A$4:$D$2002,4,FALSE),"")</f>
        <v/>
      </c>
      <c r="DJ125" t="str">
        <f>+IFERROR(VLOOKUP(DJ26,IN_Zugliste!$A$4:$D$2002,4,FALSE),"")</f>
        <v/>
      </c>
      <c r="DK125" t="str">
        <f>+IFERROR(VLOOKUP(DK26,IN_Zugliste!$A$4:$D$2002,4,FALSE),"")</f>
        <v/>
      </c>
      <c r="DL125" t="str">
        <f>+IFERROR(VLOOKUP(DL26,IN_Zugliste!$A$4:$D$2002,4,FALSE),"")</f>
        <v/>
      </c>
      <c r="DM125" t="str">
        <f>+IFERROR(VLOOKUP(DM26,IN_Zugliste!$A$4:$D$2002,4,FALSE),"")</f>
        <v/>
      </c>
      <c r="DN125" t="str">
        <f>+IFERROR(VLOOKUP(DN26,IN_Zugliste!$A$4:$D$2002,4,FALSE),"")</f>
        <v/>
      </c>
      <c r="DO125" t="str">
        <f>+IFERROR(VLOOKUP(DO26,IN_Zugliste!$A$4:$D$2002,4,FALSE),"")</f>
        <v/>
      </c>
      <c r="DP125" t="str">
        <f>+IFERROR(VLOOKUP(DP26,IN_Zugliste!$A$4:$D$2002,4,FALSE),"")</f>
        <v/>
      </c>
      <c r="DQ125" t="str">
        <f>+IFERROR(VLOOKUP(DQ26,IN_Zugliste!$A$4:$D$2002,4,FALSE),"")</f>
        <v/>
      </c>
      <c r="DR125" t="str">
        <f>+IFERROR(VLOOKUP(DR26,IN_Zugliste!$A$4:$D$2002,4,FALSE),"")</f>
        <v/>
      </c>
      <c r="DS125" t="str">
        <f>+IFERROR(VLOOKUP(DS26,IN_Zugliste!$A$4:$D$2002,4,FALSE),"")</f>
        <v/>
      </c>
      <c r="DT125" t="str">
        <f>+IFERROR(VLOOKUP(DT26,IN_Zugliste!$A$4:$D$2002,4,FALSE),"")</f>
        <v/>
      </c>
      <c r="DU125" t="str">
        <f>+IFERROR(VLOOKUP(DU26,IN_Zugliste!$A$4:$D$2002,4,FALSE),"")</f>
        <v/>
      </c>
      <c r="DV125" t="str">
        <f>+IFERROR(VLOOKUP(DV26,IN_Zugliste!$A$4:$D$2002,4,FALSE),"")</f>
        <v/>
      </c>
      <c r="DW125" t="str">
        <f>+IFERROR(VLOOKUP(DW26,IN_Zugliste!$A$4:$D$2002,4,FALSE),"")</f>
        <v/>
      </c>
      <c r="DX125" t="str">
        <f>+IFERROR(VLOOKUP(DX26,IN_Zugliste!$A$4:$D$2002,4,FALSE),"")</f>
        <v/>
      </c>
      <c r="DY125" t="str">
        <f>+IFERROR(VLOOKUP(DY26,IN_Zugliste!$A$4:$D$2002,4,FALSE),"")</f>
        <v/>
      </c>
      <c r="DZ125" t="str">
        <f>+IFERROR(VLOOKUP(DZ26,IN_Zugliste!$A$4:$D$2002,4,FALSE),"")</f>
        <v/>
      </c>
      <c r="EA125" t="str">
        <f>+IFERROR(VLOOKUP(EA26,IN_Zugliste!$A$4:$D$2002,4,FALSE),"")</f>
        <v/>
      </c>
      <c r="EB125" t="str">
        <f>+IFERROR(VLOOKUP(EB26,IN_Zugliste!$A$4:$D$2002,4,FALSE),"")</f>
        <v/>
      </c>
      <c r="EC125" t="str">
        <f>+IFERROR(VLOOKUP(EC26,IN_Zugliste!$A$4:$D$2002,4,FALSE),"")</f>
        <v/>
      </c>
      <c r="ED125" t="str">
        <f>+IFERROR(VLOOKUP(ED26,IN_Zugliste!$A$4:$D$2002,4,FALSE),"")</f>
        <v/>
      </c>
      <c r="EE125" t="str">
        <f>+IFERROR(VLOOKUP(EE26,IN_Zugliste!$A$4:$D$2002,4,FALSE),"")</f>
        <v/>
      </c>
      <c r="EF125" t="str">
        <f>+IFERROR(VLOOKUP(EF26,IN_Zugliste!$A$4:$D$2002,4,FALSE),"")</f>
        <v/>
      </c>
      <c r="EG125" t="str">
        <f>+IFERROR(VLOOKUP(EG26,IN_Zugliste!$A$4:$D$2002,4,FALSE),"")</f>
        <v/>
      </c>
      <c r="EH125" t="str">
        <f>+IFERROR(VLOOKUP(EH26,IN_Zugliste!$A$4:$D$2002,4,FALSE),"")</f>
        <v/>
      </c>
      <c r="EI125" t="str">
        <f>+IFERROR(VLOOKUP(EI26,IN_Zugliste!$A$4:$D$2002,4,FALSE),"")</f>
        <v/>
      </c>
      <c r="EJ125" t="str">
        <f>+IFERROR(VLOOKUP(EJ26,IN_Zugliste!$A$4:$D$2002,4,FALSE),"")</f>
        <v/>
      </c>
      <c r="EK125" t="str">
        <f>+IFERROR(VLOOKUP(EK26,IN_Zugliste!$A$4:$D$2002,4,FALSE),"")</f>
        <v/>
      </c>
      <c r="EL125" t="str">
        <f>+IFERROR(VLOOKUP(EL26,IN_Zugliste!$A$4:$D$2002,4,FALSE),"")</f>
        <v/>
      </c>
      <c r="EM125" t="str">
        <f>+IFERROR(VLOOKUP(EM26,IN_Zugliste!$A$4:$D$2002,4,FALSE),"")</f>
        <v/>
      </c>
      <c r="EN125" t="str">
        <f>+IFERROR(VLOOKUP(EN26,IN_Zugliste!$A$4:$D$2002,4,FALSE),"")</f>
        <v/>
      </c>
      <c r="EO125" t="str">
        <f>+IFERROR(VLOOKUP(EO26,IN_Zugliste!$A$4:$D$2002,4,FALSE),"")</f>
        <v/>
      </c>
      <c r="EP125" t="str">
        <f>+IFERROR(VLOOKUP(EP26,IN_Zugliste!$A$4:$D$2002,4,FALSE),"")</f>
        <v/>
      </c>
      <c r="EQ125" t="str">
        <f>+IFERROR(VLOOKUP(EQ26,IN_Zugliste!$A$4:$D$2002,4,FALSE),"")</f>
        <v/>
      </c>
      <c r="ER125" t="str">
        <f>+IFERROR(VLOOKUP(ER26,IN_Zugliste!$A$4:$D$2002,4,FALSE),"")</f>
        <v/>
      </c>
      <c r="ES125" t="str">
        <f>+IFERROR(VLOOKUP(ES26,IN_Zugliste!$A$4:$D$2002,4,FALSE),"")</f>
        <v/>
      </c>
      <c r="ET125" t="str">
        <f>+IFERROR(VLOOKUP(ET26,IN_Zugliste!$A$4:$D$2002,4,FALSE),"")</f>
        <v/>
      </c>
      <c r="EU125" t="str">
        <f>+IFERROR(VLOOKUP(EU26,IN_Zugliste!$A$4:$D$2002,4,FALSE),"")</f>
        <v/>
      </c>
      <c r="EV125" t="str">
        <f>+IFERROR(VLOOKUP(EV26,IN_Zugliste!$A$4:$D$2002,4,FALSE),"")</f>
        <v/>
      </c>
      <c r="EW125" t="str">
        <f>+IFERROR(VLOOKUP(EW26,IN_Zugliste!$A$4:$D$2002,4,FALSE),"")</f>
        <v/>
      </c>
      <c r="EX125" t="str">
        <f>+IFERROR(VLOOKUP(EX26,IN_Zugliste!$A$4:$D$2002,4,FALSE),"")</f>
        <v/>
      </c>
      <c r="EY125" t="str">
        <f>+IFERROR(VLOOKUP(EY26,IN_Zugliste!$A$4:$D$2002,4,FALSE),"")</f>
        <v/>
      </c>
      <c r="EZ125" t="str">
        <f>+IFERROR(VLOOKUP(EZ26,IN_Zugliste!$A$4:$D$2002,4,FALSE),"")</f>
        <v/>
      </c>
      <c r="FA125" t="str">
        <f>+IFERROR(VLOOKUP(FA26,IN_Zugliste!$A$4:$D$2002,4,FALSE),"")</f>
        <v/>
      </c>
      <c r="FB125" t="str">
        <f>+IFERROR(VLOOKUP(FB26,IN_Zugliste!$A$4:$D$2002,4,FALSE),"")</f>
        <v/>
      </c>
      <c r="FC125" t="str">
        <f>+IFERROR(VLOOKUP(FC26,IN_Zugliste!$A$4:$D$2002,4,FALSE),"")</f>
        <v/>
      </c>
      <c r="FD125" t="str">
        <f>+IFERROR(VLOOKUP(FD26,IN_Zugliste!$A$4:$D$2002,4,FALSE),"")</f>
        <v/>
      </c>
      <c r="FE125" t="str">
        <f>+IFERROR(VLOOKUP(FE26,IN_Zugliste!$A$4:$D$2002,4,FALSE),"")</f>
        <v/>
      </c>
      <c r="FF125" t="str">
        <f>+IFERROR(VLOOKUP(FF26,IN_Zugliste!$A$4:$D$2002,4,FALSE),"")</f>
        <v/>
      </c>
      <c r="FG125" t="str">
        <f>+IFERROR(VLOOKUP(FG26,IN_Zugliste!$A$4:$D$2002,4,FALSE),"")</f>
        <v/>
      </c>
      <c r="FH125" t="str">
        <f>+IFERROR(VLOOKUP(FH26,IN_Zugliste!$A$4:$D$2002,4,FALSE),"")</f>
        <v/>
      </c>
      <c r="FI125" t="str">
        <f>+IFERROR(VLOOKUP(FI26,IN_Zugliste!$A$4:$D$2002,4,FALSE),"")</f>
        <v/>
      </c>
      <c r="FJ125" t="str">
        <f>+IFERROR(VLOOKUP(FJ26,IN_Zugliste!$A$4:$D$2002,4,FALSE),"")</f>
        <v/>
      </c>
      <c r="FK125" t="str">
        <f>+IFERROR(VLOOKUP(FK26,IN_Zugliste!$A$4:$D$2002,4,FALSE),"")</f>
        <v/>
      </c>
      <c r="FL125" t="str">
        <f>+IFERROR(VLOOKUP(FL26,IN_Zugliste!$A$4:$D$2002,4,FALSE),"")</f>
        <v/>
      </c>
      <c r="FM125" t="str">
        <f>+IFERROR(VLOOKUP(FM26,IN_Zugliste!$A$4:$C$2002,4,FALSE),"")</f>
        <v/>
      </c>
      <c r="FN125" t="str">
        <f>+IFERROR(VLOOKUP(FN26,IN_Zugliste!$A$4:$C$2002,4,FALSE),"")</f>
        <v/>
      </c>
      <c r="FO125" t="str">
        <f>+IFERROR(VLOOKUP(FO26,IN_Zugliste!$A$4:$C$2002,4,FALSE),"")</f>
        <v/>
      </c>
      <c r="FP125" t="str">
        <f>+IFERROR(VLOOKUP(FP26,IN_Zugliste!$A$4:$C$2002,4,FALSE),"")</f>
        <v/>
      </c>
      <c r="FQ125" t="str">
        <f>+IFERROR(VLOOKUP(FQ26,IN_Zugliste!$A$4:$C$2002,4,FALSE),"")</f>
        <v/>
      </c>
      <c r="FR125" t="str">
        <f>+IFERROR(VLOOKUP(FR26,IN_Zugliste!$A$4:$C$2002,4,FALSE),"")</f>
        <v/>
      </c>
      <c r="FS125" t="str">
        <f>+IFERROR(VLOOKUP(FS26,IN_Zugliste!$A$4:$C$2002,4,FALSE),"")</f>
        <v/>
      </c>
      <c r="FT125" t="str">
        <f>+IFERROR(VLOOKUP(FT26,IN_Zugliste!$A$4:$C$2002,4,FALSE),"")</f>
        <v/>
      </c>
      <c r="FU125" t="str">
        <f>+IFERROR(VLOOKUP(FU26,IN_Zugliste!$A$4:$C$2002,4,FALSE),"")</f>
        <v/>
      </c>
      <c r="FV125" t="str">
        <f>+IFERROR(VLOOKUP(FV26,IN_Zugliste!$A$4:$C$2002,4,FALSE),"")</f>
        <v/>
      </c>
      <c r="FW125" t="str">
        <f>+IFERROR(VLOOKUP(FW26,IN_Zugliste!$A$4:$C$2002,4,FALSE),"")</f>
        <v/>
      </c>
      <c r="FX125" t="str">
        <f>+IFERROR(VLOOKUP(FX26,IN_Zugliste!$A$4:$C$2002,4,FALSE),"")</f>
        <v/>
      </c>
      <c r="FY125" t="str">
        <f>+IFERROR(VLOOKUP(FY26,IN_Zugliste!$A$4:$C$2002,4,FALSE),"")</f>
        <v/>
      </c>
      <c r="FZ125" t="str">
        <f>+IFERROR(VLOOKUP(FZ26,IN_Zugliste!$A$4:$C$2002,4,FALSE),"")</f>
        <v/>
      </c>
      <c r="GA125" t="str">
        <f>+IFERROR(VLOOKUP(GA26,IN_Zugliste!$A$4:$C$2002,4,FALSE),"")</f>
        <v/>
      </c>
      <c r="GB125" t="str">
        <f>+IFERROR(VLOOKUP(GB26,IN_Zugliste!$A$4:$C$2002,4,FALSE),"")</f>
        <v/>
      </c>
      <c r="GC125" t="str">
        <f>+IFERROR(VLOOKUP(GC26,IN_Zugliste!$A$4:$C$2002,4,FALSE),"")</f>
        <v/>
      </c>
      <c r="GD125" t="str">
        <f>+IFERROR(VLOOKUP(GD26,IN_Zugliste!$A$4:$C$2002,4,FALSE),"")</f>
        <v/>
      </c>
      <c r="GE125" t="str">
        <f>+IFERROR(VLOOKUP(GE26,IN_Zugliste!$A$4:$C$2002,4,FALSE),"")</f>
        <v/>
      </c>
      <c r="GF125" t="str">
        <f>+IFERROR(VLOOKUP(GF26,IN_Zugliste!$A$4:$C$2002,4,FALSE),"")</f>
        <v/>
      </c>
      <c r="GG125" t="str">
        <f>+IFERROR(VLOOKUP(GG26,IN_Zugliste!$A$4:$C$2002,4,FALSE),"")</f>
        <v/>
      </c>
      <c r="GH125" t="str">
        <f>+IFERROR(VLOOKUP(GH26,IN_Zugliste!$A$4:$C$2002,4,FALSE),"")</f>
        <v/>
      </c>
      <c r="GI125" t="str">
        <f>+IFERROR(VLOOKUP(GI26,IN_Zugliste!$A$4:$C$2002,4,FALSE),"")</f>
        <v/>
      </c>
      <c r="GJ125" t="str">
        <f>+IFERROR(VLOOKUP(GJ26,IN_Zugliste!$A$4:$C$2002,4,FALSE),"")</f>
        <v/>
      </c>
      <c r="GK125" t="str">
        <f>+IFERROR(VLOOKUP(GK26,IN_Zugliste!$A$4:$C$2002,4,FALSE),"")</f>
        <v/>
      </c>
      <c r="GL125" t="str">
        <f>+IFERROR(VLOOKUP(GL26,IN_Zugliste!$A$4:$C$2002,4,FALSE),"")</f>
        <v/>
      </c>
      <c r="GM125" t="str">
        <f>+IFERROR(VLOOKUP(GM26,IN_Zugliste!$A$4:$C$2002,4,FALSE),"")</f>
        <v/>
      </c>
      <c r="GN125" t="str">
        <f>+IFERROR(VLOOKUP(GN26,IN_Zugliste!$A$4:$C$2002,4,FALSE),"")</f>
        <v/>
      </c>
      <c r="GO125" t="str">
        <f>+IFERROR(VLOOKUP(GO26,IN_Zugliste!$A$4:$C$2002,4,FALSE),"")</f>
        <v/>
      </c>
      <c r="GP125" t="str">
        <f>+IFERROR(VLOOKUP(GP26,IN_Zugliste!$A$4:$C$2002,4,FALSE),"")</f>
        <v/>
      </c>
      <c r="GQ125" t="str">
        <f>+IFERROR(VLOOKUP(GQ26,IN_Zugliste!$A$4:$C$2002,4,FALSE),"")</f>
        <v/>
      </c>
      <c r="GR125" t="str">
        <f>+IFERROR(VLOOKUP(GR26,IN_Zugliste!$A$4:$C$2002,4,FALSE),"")</f>
        <v/>
      </c>
      <c r="GS125" t="str">
        <f>+IFERROR(VLOOKUP(GS26,IN_Zugliste!$A$4:$C$2002,4,FALSE),"")</f>
        <v/>
      </c>
      <c r="GT125" t="str">
        <f>+IFERROR(VLOOKUP(GT26,IN_Zugliste!$A$4:$C$2002,4,FALSE),"")</f>
        <v/>
      </c>
      <c r="GU125" t="str">
        <f>+IFERROR(VLOOKUP(GU26,IN_Zugliste!$A$4:$C$2002,4,FALSE),"")</f>
        <v/>
      </c>
      <c r="GV125" t="str">
        <f>+IFERROR(VLOOKUP(GV26,IN_Zugliste!$A$4:$C$2002,4,FALSE),"")</f>
        <v/>
      </c>
      <c r="GW125" t="str">
        <f>+IFERROR(VLOOKUP(GW26,IN_Zugliste!$A$4:$C$2002,4,FALSE),"")</f>
        <v/>
      </c>
      <c r="GX125" t="str">
        <f>+IFERROR(VLOOKUP(GX26,IN_Zugliste!$A$4:$C$2002,4,FALSE),"")</f>
        <v/>
      </c>
      <c r="GY125" t="str">
        <f>+IFERROR(VLOOKUP(GY26,IN_Zugliste!$A$4:$C$2002,4,FALSE),"")</f>
        <v/>
      </c>
      <c r="GZ125" t="str">
        <f>+IFERROR(VLOOKUP(GZ26,IN_Zugliste!$A$4:$C$2002,4,FALSE),"")</f>
        <v/>
      </c>
      <c r="HA125" t="str">
        <f>+IFERROR(VLOOKUP(HA26,IN_Zugliste!$A$4:$C$2002,4,FALSE),"")</f>
        <v/>
      </c>
      <c r="HB125" t="str">
        <f>+IFERROR(VLOOKUP(HB26,IN_Zugliste!$A$4:$C$2002,4,FALSE),"")</f>
        <v/>
      </c>
      <c r="HC125" t="str">
        <f>+IFERROR(VLOOKUP(HC26,IN_Zugliste!$A$4:$C$2002,4,FALSE),"")</f>
        <v/>
      </c>
      <c r="HD125" t="str">
        <f>+IFERROR(VLOOKUP(HD26,IN_Zugliste!$A$4:$C$2002,4,FALSE),"")</f>
        <v/>
      </c>
      <c r="HE125" t="str">
        <f>+IFERROR(VLOOKUP(HE26,IN_Zugliste!$A$4:$C$2002,4,FALSE),"")</f>
        <v/>
      </c>
      <c r="HF125" t="str">
        <f>+IFERROR(VLOOKUP(HF26,IN_Zugliste!$A$4:$C$2002,4,FALSE),"")</f>
        <v/>
      </c>
      <c r="HG125" t="str">
        <f>+IFERROR(VLOOKUP(HG26,IN_Zugliste!$A$4:$C$2002,4,FALSE),"")</f>
        <v/>
      </c>
      <c r="HH125" t="str">
        <f>+IFERROR(VLOOKUP(HH26,IN_Zugliste!$A$4:$C$2002,4,FALSE),"")</f>
        <v/>
      </c>
      <c r="HI125" t="str">
        <f>+IFERROR(VLOOKUP(HI26,IN_Zugliste!$A$4:$C$2002,4,FALSE),"")</f>
        <v/>
      </c>
      <c r="HJ125" t="str">
        <f>+IFERROR(VLOOKUP(HJ26,IN_Zugliste!$A$4:$C$2002,4,FALSE),"")</f>
        <v/>
      </c>
      <c r="HK125" t="str">
        <f>+IFERROR(VLOOKUP(HK26,IN_Zugliste!$A$4:$C$2002,4,FALSE),"")</f>
        <v/>
      </c>
      <c r="HL125" t="str">
        <f>+IFERROR(VLOOKUP(HL26,IN_Zugliste!$A$4:$C$2002,4,FALSE),"")</f>
        <v/>
      </c>
      <c r="HM125" t="str">
        <f>+IFERROR(VLOOKUP(HM26,IN_Zugliste!$A$4:$C$2002,4,FALSE),"")</f>
        <v/>
      </c>
      <c r="HN125" t="str">
        <f>+IFERROR(VLOOKUP(HN26,IN_Zugliste!$A$4:$C$2002,4,FALSE),"")</f>
        <v/>
      </c>
      <c r="HO125" t="str">
        <f>+IFERROR(VLOOKUP(HO26,IN_Zugliste!$A$4:$C$2002,4,FALSE),"")</f>
        <v/>
      </c>
      <c r="HP125" t="str">
        <f>+IFERROR(VLOOKUP(HP26,IN_Zugliste!$A$4:$C$2002,4,FALSE),"")</f>
        <v/>
      </c>
      <c r="HQ125" t="str">
        <f>+IFERROR(VLOOKUP(HQ26,IN_Zugliste!$A$4:$C$2002,4,FALSE),"")</f>
        <v/>
      </c>
      <c r="HR125" t="str">
        <f>+IFERROR(VLOOKUP(HR26,IN_Zugliste!$A$4:$C$2002,4,FALSE),"")</f>
        <v/>
      </c>
      <c r="HS125" t="str">
        <f>+IFERROR(VLOOKUP(HS26,IN_Zugliste!$A$4:$C$2002,4,FALSE),"")</f>
        <v/>
      </c>
      <c r="HT125" t="str">
        <f>+IFERROR(VLOOKUP(HT26,IN_Zugliste!$A$4:$C$2002,4,FALSE),"")</f>
        <v/>
      </c>
      <c r="HU125" t="str">
        <f>+IFERROR(VLOOKUP(HU26,IN_Zugliste!$A$4:$C$2002,4,FALSE),"")</f>
        <v/>
      </c>
      <c r="HV125" t="str">
        <f>+IFERROR(VLOOKUP(HV26,IN_Zugliste!$A$4:$C$2002,4,FALSE),"")</f>
        <v/>
      </c>
      <c r="HW125" t="str">
        <f>+IFERROR(VLOOKUP(HW26,IN_Zugliste!$A$4:$C$2002,4,FALSE),"")</f>
        <v/>
      </c>
      <c r="HX125" t="str">
        <f>+IFERROR(VLOOKUP(HX26,IN_Zugliste!$A$4:$C$2002,4,FALSE),"")</f>
        <v/>
      </c>
      <c r="HY125" t="str">
        <f>+IFERROR(VLOOKUP(HY26,IN_Zugliste!$A$4:$C$2002,4,FALSE),"")</f>
        <v/>
      </c>
      <c r="HZ125" t="str">
        <f>+IFERROR(VLOOKUP(HZ26,IN_Zugliste!$A$4:$C$2002,4,FALSE),"")</f>
        <v/>
      </c>
      <c r="IA125" t="str">
        <f>+IFERROR(VLOOKUP(IA26,IN_Zugliste!$A$4:$C$2002,4,FALSE),"")</f>
        <v/>
      </c>
      <c r="IB125" t="str">
        <f>+IFERROR(VLOOKUP(IB26,IN_Zugliste!$A$4:$C$2002,4,FALSE),"")</f>
        <v/>
      </c>
      <c r="IC125" t="str">
        <f>+IFERROR(VLOOKUP(IC26,IN_Zugliste!$A$4:$C$2002,4,FALSE),"")</f>
        <v/>
      </c>
      <c r="ID125" t="str">
        <f>+IFERROR(VLOOKUP(ID26,IN_Zugliste!$A$4:$C$2002,4,FALSE),"")</f>
        <v/>
      </c>
      <c r="IE125" t="str">
        <f>+IFERROR(VLOOKUP(IE26,IN_Zugliste!$A$4:$C$2002,4,FALSE),"")</f>
        <v/>
      </c>
      <c r="IF125" t="str">
        <f>+IFERROR(VLOOKUP(IF26,IN_Zugliste!$A$4:$C$2002,4,FALSE),"")</f>
        <v/>
      </c>
      <c r="IG125" t="str">
        <f>+IFERROR(VLOOKUP(IG26,IN_Zugliste!$A$4:$C$2002,4,FALSE),"")</f>
        <v/>
      </c>
      <c r="IH125" t="str">
        <f>+IFERROR(VLOOKUP(IH26,IN_Zugliste!$A$4:$C$2002,4,FALSE),"")</f>
        <v/>
      </c>
      <c r="II125" t="str">
        <f>+IFERROR(VLOOKUP(II26,IN_Zugliste!$A$4:$C$2002,4,FALSE),"")</f>
        <v/>
      </c>
      <c r="IJ125" t="str">
        <f>+IFERROR(VLOOKUP(IJ26,IN_Zugliste!$A$4:$C$2002,4,FALSE),"")</f>
        <v/>
      </c>
      <c r="IK125" t="str">
        <f>+IFERROR(VLOOKUP(IK26,IN_Zugliste!$A$4:$C$2002,4,FALSE),"")</f>
        <v/>
      </c>
      <c r="IL125" t="str">
        <f>+IFERROR(VLOOKUP(IL26,IN_Zugliste!$A$4:$C$2002,4,FALSE),"")</f>
        <v/>
      </c>
      <c r="IM125" t="str">
        <f>+IFERROR(VLOOKUP(IM26,IN_Zugliste!$A$4:$C$2002,4,FALSE),"")</f>
        <v/>
      </c>
      <c r="IN125" t="str">
        <f>+IFERROR(VLOOKUP(IN26,IN_Zugliste!$A$4:$C$2002,4,FALSE),"")</f>
        <v/>
      </c>
      <c r="IO125" t="str">
        <f>+IFERROR(VLOOKUP(IO26,IN_Zugliste!$A$4:$C$2002,4,FALSE),"")</f>
        <v/>
      </c>
      <c r="IP125" t="str">
        <f>+IFERROR(VLOOKUP(IP26,IN_Zugliste!$A$4:$C$2002,4,FALSE),"")</f>
        <v/>
      </c>
      <c r="IQ125" t="str">
        <f>+IFERROR(VLOOKUP(IQ26,IN_Zugliste!$A$4:$C$2002,4,FALSE),"")</f>
        <v/>
      </c>
      <c r="IR125" t="str">
        <f>+IFERROR(VLOOKUP(IR26,IN_Zugliste!$A$4:$C$2002,4,FALSE),"")</f>
        <v/>
      </c>
      <c r="IS125" t="str">
        <f>+IFERROR(VLOOKUP(IS26,IN_Zugliste!$A$4:$C$2002,4,FALSE),"")</f>
        <v/>
      </c>
      <c r="IT125" t="str">
        <f>+IFERROR(VLOOKUP(IT26,IN_Zugliste!$A$4:$C$2002,4,FALSE),"")</f>
        <v/>
      </c>
      <c r="IU125" t="str">
        <f>+IFERROR(VLOOKUP(IU26,IN_Zugliste!$A$4:$C$2002,4,FALSE),"")</f>
        <v/>
      </c>
      <c r="IV125" t="str">
        <f>+IFERROR(VLOOKUP(IV26,IN_Zugliste!$A$4:$C$2002,4,FALSE),"")</f>
        <v/>
      </c>
      <c r="IW125" t="str">
        <f>+IFERROR(VLOOKUP(IW26,IN_Zugliste!$A$4:$C$2002,4,FALSE),"")</f>
        <v/>
      </c>
      <c r="IX125" t="str">
        <f>+IFERROR(VLOOKUP(IX26,IN_Zugliste!$A$4:$C$2002,4,FALSE),"")</f>
        <v/>
      </c>
      <c r="IY125" t="str">
        <f>+IFERROR(VLOOKUP(IY26,IN_Zugliste!$A$4:$C$2002,4,FALSE),"")</f>
        <v/>
      </c>
      <c r="IZ125" t="str">
        <f>+IFERROR(VLOOKUP(IZ26,IN_Zugliste!$A$4:$C$2002,4,FALSE),"")</f>
        <v/>
      </c>
      <c r="JA125" t="str">
        <f>+IFERROR(VLOOKUP(JA26,IN_Zugliste!$A$4:$C$2002,4,FALSE),"")</f>
        <v/>
      </c>
      <c r="JB125" t="str">
        <f>+IFERROR(VLOOKUP(JB26,IN_Zugliste!$A$4:$C$2002,4,FALSE),"")</f>
        <v/>
      </c>
      <c r="JC125" t="str">
        <f>+IFERROR(VLOOKUP(JC26,IN_Zugliste!$A$4:$C$2002,4,FALSE),"")</f>
        <v/>
      </c>
      <c r="JD125" t="str">
        <f>+IFERROR(VLOOKUP(JD26,IN_Zugliste!$A$4:$C$2002,4,FALSE),"")</f>
        <v/>
      </c>
      <c r="JE125" t="str">
        <f>+IFERROR(VLOOKUP(JE26,IN_Zugliste!$A$4:$C$2002,4,FALSE),"")</f>
        <v/>
      </c>
      <c r="JF125" t="str">
        <f>+IFERROR(VLOOKUP(JF26,IN_Zugliste!$A$4:$C$2002,4,FALSE),"")</f>
        <v/>
      </c>
      <c r="JG125" t="str">
        <f>+IFERROR(VLOOKUP(JG26,IN_Zugliste!$A$4:$C$2002,4,FALSE),"")</f>
        <v/>
      </c>
      <c r="JH125" t="str">
        <f>+IFERROR(VLOOKUP(JH26,IN_Zugliste!$A$4:$C$2002,4,FALSE),"")</f>
        <v/>
      </c>
      <c r="JI125" t="str">
        <f>+IFERROR(VLOOKUP(JI26,IN_Zugliste!$A$4:$C$2002,4,FALSE),"")</f>
        <v/>
      </c>
      <c r="JJ125" t="str">
        <f>+IFERROR(VLOOKUP(JJ26,IN_Zugliste!$A$4:$C$2002,4,FALSE),"")</f>
        <v/>
      </c>
      <c r="JK125" t="str">
        <f>+IFERROR(VLOOKUP(JK26,IN_Zugliste!$A$4:$C$2002,4,FALSE),"")</f>
        <v/>
      </c>
      <c r="JL125" t="str">
        <f>+IFERROR(VLOOKUP(JL26,IN_Zugliste!$A$4:$C$2002,4,FALSE),"")</f>
        <v/>
      </c>
    </row>
    <row r="126" spans="1:272" x14ac:dyDescent="0.2">
      <c r="A126" t="str">
        <f>+IFERROR(VLOOKUP(A27,IN_Zugliste!$A$4:$D$2002,4,FALSE),"")</f>
        <v/>
      </c>
      <c r="B126" t="str">
        <f>+IFERROR(VLOOKUP(B27,IN_Zugliste!$A$4:$D$2002,4,FALSE),"")</f>
        <v/>
      </c>
      <c r="C126" t="str">
        <f>+IFERROR(VLOOKUP(C27,IN_Zugliste!$A$4:$D$2002,4,FALSE),"")</f>
        <v/>
      </c>
      <c r="D126" t="str">
        <f>+IFERROR(VLOOKUP(D27,IN_Zugliste!$A$4:$D$2002,4,FALSE),"")</f>
        <v/>
      </c>
      <c r="E126" t="str">
        <f>+IFERROR(VLOOKUP(E27,IN_Zugliste!$A$4:$D$2002,4,FALSE),"")</f>
        <v/>
      </c>
      <c r="F126" t="str">
        <f>+IFERROR(VLOOKUP(F27,IN_Zugliste!$A$4:$D$2002,4,FALSE),"")</f>
        <v/>
      </c>
      <c r="G126" t="str">
        <f>+IFERROR(VLOOKUP(G27,IN_Zugliste!$A$4:$D$2002,4,FALSE),"")</f>
        <v/>
      </c>
      <c r="H126" t="str">
        <f>+IFERROR(VLOOKUP(H27,IN_Zugliste!$A$4:$D$2002,4,FALSE),"")</f>
        <v/>
      </c>
      <c r="I126" t="str">
        <f>+IFERROR(VLOOKUP(I27,IN_Zugliste!$A$4:$D$2002,4,FALSE),"")</f>
        <v/>
      </c>
      <c r="J126" t="str">
        <f>+IFERROR(VLOOKUP(J27,IN_Zugliste!$A$4:$D$2002,4,FALSE),"")</f>
        <v/>
      </c>
      <c r="K126" t="str">
        <f>+IFERROR(VLOOKUP(K27,IN_Zugliste!$A$4:$D$2002,4,FALSE),"")</f>
        <v/>
      </c>
      <c r="L126" t="str">
        <f>+IFERROR(VLOOKUP(L27,IN_Zugliste!$A$4:$D$2002,4,FALSE),"")</f>
        <v/>
      </c>
      <c r="M126" t="str">
        <f>+IFERROR(VLOOKUP(M27,IN_Zugliste!$A$4:$D$2002,4,FALSE),"")</f>
        <v/>
      </c>
      <c r="N126" t="str">
        <f>+IFERROR(VLOOKUP(N27,IN_Zugliste!$A$4:$D$2002,4,FALSE),"")</f>
        <v/>
      </c>
      <c r="O126" t="str">
        <f>+IFERROR(VLOOKUP(O27,IN_Zugliste!$A$4:$D$2002,4,FALSE),"")</f>
        <v/>
      </c>
      <c r="P126" t="str">
        <f>+IFERROR(VLOOKUP(P27,IN_Zugliste!$A$4:$D$2002,4,FALSE),"")</f>
        <v/>
      </c>
      <c r="Q126" t="str">
        <f>+IFERROR(VLOOKUP(Q27,IN_Zugliste!$A$4:$D$2002,4,FALSE),"")</f>
        <v/>
      </c>
      <c r="R126" t="str">
        <f>+IFERROR(VLOOKUP(R27,IN_Zugliste!$A$4:$D$2002,4,FALSE),"")</f>
        <v/>
      </c>
      <c r="S126" t="str">
        <f>+IFERROR(VLOOKUP(S27,IN_Zugliste!$A$4:$D$2002,4,FALSE),"")</f>
        <v/>
      </c>
      <c r="T126" t="str">
        <f>+IFERROR(VLOOKUP(T27,IN_Zugliste!$A$4:$D$2002,4,FALSE),"")</f>
        <v/>
      </c>
      <c r="U126" t="str">
        <f>+IFERROR(VLOOKUP(U27,IN_Zugliste!$A$4:$D$2002,4,FALSE),"")</f>
        <v/>
      </c>
      <c r="V126" t="str">
        <f>+IFERROR(VLOOKUP(V27,IN_Zugliste!$A$4:$D$2002,4,FALSE),"")</f>
        <v/>
      </c>
      <c r="W126" t="str">
        <f>+IFERROR(VLOOKUP(W27,IN_Zugliste!$A$4:$D$2002,4,FALSE),"")</f>
        <v/>
      </c>
      <c r="X126" t="str">
        <f>+IFERROR(VLOOKUP(X27,IN_Zugliste!$A$4:$D$2002,4,FALSE),"")</f>
        <v/>
      </c>
      <c r="Y126" t="str">
        <f>+IFERROR(VLOOKUP(Y27,IN_Zugliste!$A$4:$D$2002,4,FALSE),"")</f>
        <v/>
      </c>
      <c r="Z126" t="str">
        <f>+IFERROR(VLOOKUP(Z27,IN_Zugliste!$A$4:$D$2002,4,FALSE),"")</f>
        <v/>
      </c>
      <c r="AA126" t="str">
        <f>+IFERROR(VLOOKUP(AA27,IN_Zugliste!$A$4:$D$2002,4,FALSE),"")</f>
        <v/>
      </c>
      <c r="AB126" t="str">
        <f>+IFERROR(VLOOKUP(AB27,IN_Zugliste!$A$4:$D$2002,4,FALSE),"")</f>
        <v/>
      </c>
      <c r="AC126" t="str">
        <f>+IFERROR(VLOOKUP(AC27,IN_Zugliste!$A$4:$D$2002,4,FALSE),"")</f>
        <v/>
      </c>
      <c r="AD126" t="str">
        <f>+IFERROR(VLOOKUP(AD27,IN_Zugliste!$A$4:$D$2002,4,FALSE),"")</f>
        <v/>
      </c>
      <c r="AE126" t="str">
        <f>+IFERROR(VLOOKUP(AE27,IN_Zugliste!$A$4:$D$2002,4,FALSE),"")</f>
        <v/>
      </c>
      <c r="AF126" t="str">
        <f>+IFERROR(VLOOKUP(AF27,IN_Zugliste!$A$4:$D$2002,4,FALSE),"")</f>
        <v/>
      </c>
      <c r="AG126" t="str">
        <f>+IFERROR(VLOOKUP(AG27,IN_Zugliste!$A$4:$D$2002,4,FALSE),"")</f>
        <v/>
      </c>
      <c r="AH126" t="str">
        <f>+IFERROR(VLOOKUP(AH27,IN_Zugliste!$A$4:$D$2002,4,FALSE),"")</f>
        <v/>
      </c>
      <c r="AI126" t="str">
        <f>+IFERROR(VLOOKUP(AI27,IN_Zugliste!$A$4:$D$2002,4,FALSE),"")</f>
        <v/>
      </c>
      <c r="AJ126" t="str">
        <f>+IFERROR(VLOOKUP(AJ27,IN_Zugliste!$A$4:$D$2002,4,FALSE),"")</f>
        <v/>
      </c>
      <c r="AK126" t="str">
        <f>+IFERROR(VLOOKUP(AK27,IN_Zugliste!$A$4:$D$2002,4,FALSE),"")</f>
        <v/>
      </c>
      <c r="AL126" t="str">
        <f>+IFERROR(VLOOKUP(AL27,IN_Zugliste!$A$4:$D$2002,4,FALSE),"")</f>
        <v/>
      </c>
      <c r="AM126" t="str">
        <f>+IFERROR(VLOOKUP(AM27,IN_Zugliste!$A$4:$D$2002,4,FALSE),"")</f>
        <v/>
      </c>
      <c r="AN126" t="str">
        <f>+IFERROR(VLOOKUP(AN27,IN_Zugliste!$A$4:$D$2002,4,FALSE),"")</f>
        <v/>
      </c>
      <c r="AO126" t="str">
        <f>+IFERROR(VLOOKUP(AO27,IN_Zugliste!$A$4:$D$2002,4,FALSE),"")</f>
        <v/>
      </c>
      <c r="AP126" t="str">
        <f>+IFERROR(VLOOKUP(AP27,IN_Zugliste!$A$4:$D$2002,4,FALSE),"")</f>
        <v/>
      </c>
      <c r="AQ126" t="str">
        <f>+IFERROR(VLOOKUP(AQ27,IN_Zugliste!$A$4:$D$2002,4,FALSE),"")</f>
        <v/>
      </c>
      <c r="AR126" t="str">
        <f>+IFERROR(VLOOKUP(AR27,IN_Zugliste!$A$4:$D$2002,4,FALSE),"")</f>
        <v/>
      </c>
      <c r="AS126" t="str">
        <f>+IFERROR(VLOOKUP(AS27,IN_Zugliste!$A$4:$D$2002,4,FALSE),"")</f>
        <v/>
      </c>
      <c r="AT126" t="str">
        <f>+IFERROR(VLOOKUP(AT27,IN_Zugliste!$A$4:$D$2002,4,FALSE),"")</f>
        <v/>
      </c>
      <c r="AU126" t="str">
        <f>+IFERROR(VLOOKUP(AU27,IN_Zugliste!$A$4:$D$2002,4,FALSE),"")</f>
        <v/>
      </c>
      <c r="AV126" t="str">
        <f>+IFERROR(VLOOKUP(AV27,IN_Zugliste!$A$4:$D$2002,4,FALSE),"")</f>
        <v/>
      </c>
      <c r="AW126" t="str">
        <f>+IFERROR(VLOOKUP(AW27,IN_Zugliste!$A$4:$D$2002,4,FALSE),"")</f>
        <v/>
      </c>
      <c r="AX126" t="str">
        <f>+IFERROR(VLOOKUP(AX27,IN_Zugliste!$A$4:$D$2002,4,FALSE),"")</f>
        <v/>
      </c>
      <c r="AY126" t="str">
        <f>+IFERROR(VLOOKUP(AY27,IN_Zugliste!$A$4:$D$2002,4,FALSE),"")</f>
        <v/>
      </c>
      <c r="AZ126" t="str">
        <f>+IFERROR(VLOOKUP(AZ27,IN_Zugliste!$A$4:$D$2002,4,FALSE),"")</f>
        <v/>
      </c>
      <c r="BA126" t="str">
        <f>+IFERROR(VLOOKUP(BA27,IN_Zugliste!$A$4:$D$2002,4,FALSE),"")</f>
        <v/>
      </c>
      <c r="BB126" t="str">
        <f>+IFERROR(VLOOKUP(BB27,IN_Zugliste!$A$4:$D$2002,4,FALSE),"")</f>
        <v/>
      </c>
      <c r="BC126" t="str">
        <f>+IFERROR(VLOOKUP(BC27,IN_Zugliste!$A$4:$D$2002,4,FALSE),"")</f>
        <v/>
      </c>
      <c r="BD126" t="str">
        <f>+IFERROR(VLOOKUP(BD27,IN_Zugliste!$A$4:$D$2002,4,FALSE),"")</f>
        <v/>
      </c>
      <c r="BE126" t="str">
        <f>+IFERROR(VLOOKUP(BE27,IN_Zugliste!$A$4:$D$2002,4,FALSE),"")</f>
        <v/>
      </c>
      <c r="BF126" t="str">
        <f>+IFERROR(VLOOKUP(BF27,IN_Zugliste!$A$4:$D$2002,4,FALSE),"")</f>
        <v/>
      </c>
      <c r="BG126" t="str">
        <f>+IFERROR(VLOOKUP(BG27,IN_Zugliste!$A$4:$D$2002,4,FALSE),"")</f>
        <v/>
      </c>
      <c r="BH126" t="str">
        <f>+IFERROR(VLOOKUP(BH27,IN_Zugliste!$A$4:$D$2002,4,FALSE),"")</f>
        <v/>
      </c>
      <c r="BI126" t="str">
        <f>+IFERROR(VLOOKUP(BI27,IN_Zugliste!$A$4:$D$2002,4,FALSE),"")</f>
        <v/>
      </c>
      <c r="BJ126" t="str">
        <f>+IFERROR(VLOOKUP(BJ27,IN_Zugliste!$A$4:$D$2002,4,FALSE),"")</f>
        <v/>
      </c>
      <c r="BK126" t="str">
        <f>+IFERROR(VLOOKUP(BK27,IN_Zugliste!$A$4:$D$2002,4,FALSE),"")</f>
        <v/>
      </c>
      <c r="BL126" t="str">
        <f>+IFERROR(VLOOKUP(BL27,IN_Zugliste!$A$4:$D$2002,4,FALSE),"")</f>
        <v/>
      </c>
      <c r="BM126" t="str">
        <f>+IFERROR(VLOOKUP(BM27,IN_Zugliste!$A$4:$D$2002,4,FALSE),"")</f>
        <v/>
      </c>
      <c r="BN126" t="str">
        <f>+IFERROR(VLOOKUP(BN27,IN_Zugliste!$A$4:$D$2002,4,FALSE),"")</f>
        <v/>
      </c>
      <c r="BO126" t="str">
        <f>+IFERROR(VLOOKUP(BO27,IN_Zugliste!$A$4:$D$2002,4,FALSE),"")</f>
        <v/>
      </c>
      <c r="BP126" t="str">
        <f>+IFERROR(VLOOKUP(BP27,IN_Zugliste!$A$4:$D$2002,4,FALSE),"")</f>
        <v/>
      </c>
      <c r="BQ126" t="str">
        <f>+IFERROR(VLOOKUP(BQ27,IN_Zugliste!$A$4:$D$2002,4,FALSE),"")</f>
        <v/>
      </c>
      <c r="BR126" t="str">
        <f>+IFERROR(VLOOKUP(BR27,IN_Zugliste!$A$4:$D$2002,4,FALSE),"")</f>
        <v/>
      </c>
      <c r="BS126" t="str">
        <f>+IFERROR(VLOOKUP(BS27,IN_Zugliste!$A$4:$D$2002,4,FALSE),"")</f>
        <v/>
      </c>
      <c r="BT126" t="str">
        <f>+IFERROR(VLOOKUP(BT27,IN_Zugliste!$A$4:$D$2002,4,FALSE),"")</f>
        <v/>
      </c>
      <c r="BU126" t="str">
        <f>+IFERROR(VLOOKUP(BU27,IN_Zugliste!$A$4:$D$2002,4,FALSE),"")</f>
        <v/>
      </c>
      <c r="BV126" t="str">
        <f>+IFERROR(VLOOKUP(BV27,IN_Zugliste!$A$4:$D$2002,4,FALSE),"")</f>
        <v/>
      </c>
      <c r="BW126" t="str">
        <f>+IFERROR(VLOOKUP(BW27,IN_Zugliste!$A$4:$D$2002,4,FALSE),"")</f>
        <v/>
      </c>
      <c r="BX126" t="str">
        <f>+IFERROR(VLOOKUP(BX27,IN_Zugliste!$A$4:$D$2002,4,FALSE),"")</f>
        <v/>
      </c>
      <c r="BY126" t="str">
        <f>+IFERROR(VLOOKUP(BY27,IN_Zugliste!$A$4:$D$2002,4,FALSE),"")</f>
        <v/>
      </c>
      <c r="BZ126" t="str">
        <f>+IFERROR(VLOOKUP(BZ27,IN_Zugliste!$A$4:$D$2002,4,FALSE),"")</f>
        <v/>
      </c>
      <c r="CA126" t="str">
        <f>+IFERROR(VLOOKUP(CA27,IN_Zugliste!$A$4:$D$2002,4,FALSE),"")</f>
        <v/>
      </c>
      <c r="CB126" t="str">
        <f>+IFERROR(VLOOKUP(CB27,IN_Zugliste!$A$4:$D$2002,4,FALSE),"")</f>
        <v/>
      </c>
      <c r="CC126" t="str">
        <f>+IFERROR(VLOOKUP(CC27,IN_Zugliste!$A$4:$D$2002,4,FALSE),"")</f>
        <v/>
      </c>
      <c r="CD126" t="str">
        <f>+IFERROR(VLOOKUP(CD27,IN_Zugliste!$A$4:$D$2002,4,FALSE),"")</f>
        <v/>
      </c>
      <c r="CE126" t="str">
        <f>+IFERROR(VLOOKUP(CE27,IN_Zugliste!$A$4:$D$2002,4,FALSE),"")</f>
        <v/>
      </c>
      <c r="CF126" t="str">
        <f>+IFERROR(VLOOKUP(CF27,IN_Zugliste!$A$4:$D$2002,4,FALSE),"")</f>
        <v/>
      </c>
      <c r="CG126" t="str">
        <f>+IFERROR(VLOOKUP(CG27,IN_Zugliste!$A$4:$D$2002,4,FALSE),"")</f>
        <v/>
      </c>
      <c r="CH126" t="str">
        <f>+IFERROR(VLOOKUP(CH27,IN_Zugliste!$A$4:$D$2002,4,FALSE),"")</f>
        <v/>
      </c>
      <c r="CI126" t="str">
        <f>+IFERROR(VLOOKUP(CI27,IN_Zugliste!$A$4:$D$2002,4,FALSE),"")</f>
        <v/>
      </c>
      <c r="CJ126" t="str">
        <f>+IFERROR(VLOOKUP(CJ27,IN_Zugliste!$A$4:$D$2002,4,FALSE),"")</f>
        <v/>
      </c>
      <c r="CK126" t="str">
        <f>+IFERROR(VLOOKUP(CK27,IN_Zugliste!$A$4:$D$2002,4,FALSE),"")</f>
        <v/>
      </c>
      <c r="CL126" t="str">
        <f>+IFERROR(VLOOKUP(CL27,IN_Zugliste!$A$4:$D$2002,4,FALSE),"")</f>
        <v/>
      </c>
      <c r="CM126" t="str">
        <f>+IFERROR(VLOOKUP(CM27,IN_Zugliste!$A$4:$D$2002,4,FALSE),"")</f>
        <v/>
      </c>
      <c r="CN126" t="str">
        <f>+IFERROR(VLOOKUP(CN27,IN_Zugliste!$A$4:$D$2002,4,FALSE),"")</f>
        <v/>
      </c>
      <c r="CO126" t="str">
        <f>+IFERROR(VLOOKUP(CO27,IN_Zugliste!$A$4:$D$2002,4,FALSE),"")</f>
        <v/>
      </c>
      <c r="CP126" t="str">
        <f>+IFERROR(VLOOKUP(CP27,IN_Zugliste!$A$4:$D$2002,4,FALSE),"")</f>
        <v/>
      </c>
      <c r="CQ126" t="str">
        <f>+IFERROR(VLOOKUP(CQ27,IN_Zugliste!$A$4:$D$2002,4,FALSE),"")</f>
        <v/>
      </c>
      <c r="CR126" t="str">
        <f>+IFERROR(VLOOKUP(CR27,IN_Zugliste!$A$4:$D$2002,4,FALSE),"")</f>
        <v/>
      </c>
      <c r="CS126" t="str">
        <f>+IFERROR(VLOOKUP(CS27,IN_Zugliste!$A$4:$D$2002,4,FALSE),"")</f>
        <v/>
      </c>
      <c r="CT126" t="str">
        <f>+IFERROR(VLOOKUP(CT27,IN_Zugliste!$A$4:$D$2002,4,FALSE),"")</f>
        <v/>
      </c>
      <c r="CU126" t="str">
        <f>+IFERROR(VLOOKUP(CU27,IN_Zugliste!$A$4:$D$2002,4,FALSE),"")</f>
        <v/>
      </c>
      <c r="CV126" t="str">
        <f>+IFERROR(VLOOKUP(CV27,IN_Zugliste!$A$4:$D$2002,4,FALSE),"")</f>
        <v/>
      </c>
      <c r="CW126" t="str">
        <f>+IFERROR(VLOOKUP(CW27,IN_Zugliste!$A$4:$D$2002,4,FALSE),"")</f>
        <v/>
      </c>
      <c r="CX126" t="str">
        <f>+IFERROR(VLOOKUP(CX27,IN_Zugliste!$A$4:$D$2002,4,FALSE),"")</f>
        <v/>
      </c>
      <c r="CY126" t="str">
        <f>+IFERROR(VLOOKUP(CY27,IN_Zugliste!$A$4:$D$2002,4,FALSE),"")</f>
        <v/>
      </c>
      <c r="CZ126" t="str">
        <f>+IFERROR(VLOOKUP(CZ27,IN_Zugliste!$A$4:$D$2002,4,FALSE),"")</f>
        <v/>
      </c>
      <c r="DA126" t="str">
        <f>+IFERROR(VLOOKUP(DA27,IN_Zugliste!$A$4:$D$2002,4,FALSE),"")</f>
        <v/>
      </c>
      <c r="DB126" t="str">
        <f>+IFERROR(VLOOKUP(DB27,IN_Zugliste!$A$4:$D$2002,4,FALSE),"")</f>
        <v/>
      </c>
      <c r="DC126" t="str">
        <f>+IFERROR(VLOOKUP(DC27,IN_Zugliste!$A$4:$D$2002,4,FALSE),"")</f>
        <v/>
      </c>
      <c r="DD126" t="str">
        <f>+IFERROR(VLOOKUP(DD27,IN_Zugliste!$A$4:$D$2002,4,FALSE),"")</f>
        <v/>
      </c>
      <c r="DE126" t="str">
        <f>+IFERROR(VLOOKUP(DE27,IN_Zugliste!$A$4:$D$2002,4,FALSE),"")</f>
        <v/>
      </c>
      <c r="DF126" t="str">
        <f>+IFERROR(VLOOKUP(DF27,IN_Zugliste!$A$4:$D$2002,4,FALSE),"")</f>
        <v/>
      </c>
      <c r="DG126" t="str">
        <f>+IFERROR(VLOOKUP(DG27,IN_Zugliste!$A$4:$D$2002,4,FALSE),"")</f>
        <v/>
      </c>
      <c r="DH126" t="str">
        <f>+IFERROR(VLOOKUP(DH27,IN_Zugliste!$A$4:$D$2002,4,FALSE),"")</f>
        <v/>
      </c>
      <c r="DI126" t="str">
        <f>+IFERROR(VLOOKUP(DI27,IN_Zugliste!$A$4:$D$2002,4,FALSE),"")</f>
        <v/>
      </c>
      <c r="DJ126" t="str">
        <f>+IFERROR(VLOOKUP(DJ27,IN_Zugliste!$A$4:$D$2002,4,FALSE),"")</f>
        <v/>
      </c>
      <c r="DK126" t="str">
        <f>+IFERROR(VLOOKUP(DK27,IN_Zugliste!$A$4:$D$2002,4,FALSE),"")</f>
        <v/>
      </c>
      <c r="DL126" t="str">
        <f>+IFERROR(VLOOKUP(DL27,IN_Zugliste!$A$4:$D$2002,4,FALSE),"")</f>
        <v/>
      </c>
      <c r="DM126" t="str">
        <f>+IFERROR(VLOOKUP(DM27,IN_Zugliste!$A$4:$D$2002,4,FALSE),"")</f>
        <v/>
      </c>
      <c r="DN126" t="str">
        <f>+IFERROR(VLOOKUP(DN27,IN_Zugliste!$A$4:$D$2002,4,FALSE),"")</f>
        <v/>
      </c>
      <c r="DO126" t="str">
        <f>+IFERROR(VLOOKUP(DO27,IN_Zugliste!$A$4:$D$2002,4,FALSE),"")</f>
        <v/>
      </c>
      <c r="DP126" t="str">
        <f>+IFERROR(VLOOKUP(DP27,IN_Zugliste!$A$4:$D$2002,4,FALSE),"")</f>
        <v/>
      </c>
      <c r="DQ126" t="str">
        <f>+IFERROR(VLOOKUP(DQ27,IN_Zugliste!$A$4:$D$2002,4,FALSE),"")</f>
        <v/>
      </c>
      <c r="DR126" t="str">
        <f>+IFERROR(VLOOKUP(DR27,IN_Zugliste!$A$4:$D$2002,4,FALSE),"")</f>
        <v/>
      </c>
      <c r="DS126" t="str">
        <f>+IFERROR(VLOOKUP(DS27,IN_Zugliste!$A$4:$D$2002,4,FALSE),"")</f>
        <v/>
      </c>
      <c r="DT126" t="str">
        <f>+IFERROR(VLOOKUP(DT27,IN_Zugliste!$A$4:$D$2002,4,FALSE),"")</f>
        <v/>
      </c>
      <c r="DU126" t="str">
        <f>+IFERROR(VLOOKUP(DU27,IN_Zugliste!$A$4:$D$2002,4,FALSE),"")</f>
        <v/>
      </c>
      <c r="DV126" t="str">
        <f>+IFERROR(VLOOKUP(DV27,IN_Zugliste!$A$4:$D$2002,4,FALSE),"")</f>
        <v/>
      </c>
      <c r="DW126" t="str">
        <f>+IFERROR(VLOOKUP(DW27,IN_Zugliste!$A$4:$D$2002,4,FALSE),"")</f>
        <v/>
      </c>
      <c r="DX126" t="str">
        <f>+IFERROR(VLOOKUP(DX27,IN_Zugliste!$A$4:$D$2002,4,FALSE),"")</f>
        <v/>
      </c>
      <c r="DY126" t="str">
        <f>+IFERROR(VLOOKUP(DY27,IN_Zugliste!$A$4:$D$2002,4,FALSE),"")</f>
        <v/>
      </c>
      <c r="DZ126" t="str">
        <f>+IFERROR(VLOOKUP(DZ27,IN_Zugliste!$A$4:$D$2002,4,FALSE),"")</f>
        <v/>
      </c>
      <c r="EA126" t="str">
        <f>+IFERROR(VLOOKUP(EA27,IN_Zugliste!$A$4:$D$2002,4,FALSE),"")</f>
        <v/>
      </c>
      <c r="EB126" t="str">
        <f>+IFERROR(VLOOKUP(EB27,IN_Zugliste!$A$4:$D$2002,4,FALSE),"")</f>
        <v/>
      </c>
      <c r="EC126" t="str">
        <f>+IFERROR(VLOOKUP(EC27,IN_Zugliste!$A$4:$D$2002,4,FALSE),"")</f>
        <v/>
      </c>
      <c r="ED126" t="str">
        <f>+IFERROR(VLOOKUP(ED27,IN_Zugliste!$A$4:$D$2002,4,FALSE),"")</f>
        <v/>
      </c>
      <c r="EE126" t="str">
        <f>+IFERROR(VLOOKUP(EE27,IN_Zugliste!$A$4:$D$2002,4,FALSE),"")</f>
        <v/>
      </c>
      <c r="EF126" t="str">
        <f>+IFERROR(VLOOKUP(EF27,IN_Zugliste!$A$4:$D$2002,4,FALSE),"")</f>
        <v/>
      </c>
      <c r="EG126" t="str">
        <f>+IFERROR(VLOOKUP(EG27,IN_Zugliste!$A$4:$D$2002,4,FALSE),"")</f>
        <v/>
      </c>
      <c r="EH126" t="str">
        <f>+IFERROR(VLOOKUP(EH27,IN_Zugliste!$A$4:$D$2002,4,FALSE),"")</f>
        <v/>
      </c>
      <c r="EI126" t="str">
        <f>+IFERROR(VLOOKUP(EI27,IN_Zugliste!$A$4:$D$2002,4,FALSE),"")</f>
        <v/>
      </c>
      <c r="EJ126" t="str">
        <f>+IFERROR(VLOOKUP(EJ27,IN_Zugliste!$A$4:$D$2002,4,FALSE),"")</f>
        <v/>
      </c>
      <c r="EK126" t="str">
        <f>+IFERROR(VLOOKUP(EK27,IN_Zugliste!$A$4:$D$2002,4,FALSE),"")</f>
        <v/>
      </c>
      <c r="EL126" t="str">
        <f>+IFERROR(VLOOKUP(EL27,IN_Zugliste!$A$4:$D$2002,4,FALSE),"")</f>
        <v/>
      </c>
      <c r="EM126" t="str">
        <f>+IFERROR(VLOOKUP(EM27,IN_Zugliste!$A$4:$D$2002,4,FALSE),"")</f>
        <v/>
      </c>
      <c r="EN126" t="str">
        <f>+IFERROR(VLOOKUP(EN27,IN_Zugliste!$A$4:$D$2002,4,FALSE),"")</f>
        <v/>
      </c>
      <c r="EO126" t="str">
        <f>+IFERROR(VLOOKUP(EO27,IN_Zugliste!$A$4:$D$2002,4,FALSE),"")</f>
        <v/>
      </c>
      <c r="EP126" t="str">
        <f>+IFERROR(VLOOKUP(EP27,IN_Zugliste!$A$4:$D$2002,4,FALSE),"")</f>
        <v/>
      </c>
      <c r="EQ126" t="str">
        <f>+IFERROR(VLOOKUP(EQ27,IN_Zugliste!$A$4:$D$2002,4,FALSE),"")</f>
        <v/>
      </c>
      <c r="ER126" t="str">
        <f>+IFERROR(VLOOKUP(ER27,IN_Zugliste!$A$4:$D$2002,4,FALSE),"")</f>
        <v/>
      </c>
      <c r="ES126" t="str">
        <f>+IFERROR(VLOOKUP(ES27,IN_Zugliste!$A$4:$D$2002,4,FALSE),"")</f>
        <v/>
      </c>
      <c r="ET126" t="str">
        <f>+IFERROR(VLOOKUP(ET27,IN_Zugliste!$A$4:$D$2002,4,FALSE),"")</f>
        <v/>
      </c>
      <c r="EU126" t="str">
        <f>+IFERROR(VLOOKUP(EU27,IN_Zugliste!$A$4:$D$2002,4,FALSE),"")</f>
        <v/>
      </c>
      <c r="EV126" t="str">
        <f>+IFERROR(VLOOKUP(EV27,IN_Zugliste!$A$4:$D$2002,4,FALSE),"")</f>
        <v/>
      </c>
      <c r="EW126" t="str">
        <f>+IFERROR(VLOOKUP(EW27,IN_Zugliste!$A$4:$D$2002,4,FALSE),"")</f>
        <v/>
      </c>
      <c r="EX126" t="str">
        <f>+IFERROR(VLOOKUP(EX27,IN_Zugliste!$A$4:$D$2002,4,FALSE),"")</f>
        <v/>
      </c>
      <c r="EY126" t="str">
        <f>+IFERROR(VLOOKUP(EY27,IN_Zugliste!$A$4:$D$2002,4,FALSE),"")</f>
        <v/>
      </c>
      <c r="EZ126" t="str">
        <f>+IFERROR(VLOOKUP(EZ27,IN_Zugliste!$A$4:$D$2002,4,FALSE),"")</f>
        <v/>
      </c>
      <c r="FA126" t="str">
        <f>+IFERROR(VLOOKUP(FA27,IN_Zugliste!$A$4:$D$2002,4,FALSE),"")</f>
        <v/>
      </c>
      <c r="FB126" t="str">
        <f>+IFERROR(VLOOKUP(FB27,IN_Zugliste!$A$4:$D$2002,4,FALSE),"")</f>
        <v/>
      </c>
      <c r="FC126" t="str">
        <f>+IFERROR(VLOOKUP(FC27,IN_Zugliste!$A$4:$D$2002,4,FALSE),"")</f>
        <v/>
      </c>
      <c r="FD126" t="str">
        <f>+IFERROR(VLOOKUP(FD27,IN_Zugliste!$A$4:$D$2002,4,FALSE),"")</f>
        <v/>
      </c>
      <c r="FE126" t="str">
        <f>+IFERROR(VLOOKUP(FE27,IN_Zugliste!$A$4:$D$2002,4,FALSE),"")</f>
        <v/>
      </c>
      <c r="FF126" t="str">
        <f>+IFERROR(VLOOKUP(FF27,IN_Zugliste!$A$4:$D$2002,4,FALSE),"")</f>
        <v/>
      </c>
      <c r="FG126" t="str">
        <f>+IFERROR(VLOOKUP(FG27,IN_Zugliste!$A$4:$D$2002,4,FALSE),"")</f>
        <v/>
      </c>
      <c r="FH126" t="str">
        <f>+IFERROR(VLOOKUP(FH27,IN_Zugliste!$A$4:$D$2002,4,FALSE),"")</f>
        <v/>
      </c>
      <c r="FI126" t="str">
        <f>+IFERROR(VLOOKUP(FI27,IN_Zugliste!$A$4:$D$2002,4,FALSE),"")</f>
        <v/>
      </c>
      <c r="FJ126" t="str">
        <f>+IFERROR(VLOOKUP(FJ27,IN_Zugliste!$A$4:$D$2002,4,FALSE),"")</f>
        <v/>
      </c>
      <c r="FK126" t="str">
        <f>+IFERROR(VLOOKUP(FK27,IN_Zugliste!$A$4:$D$2002,4,FALSE),"")</f>
        <v/>
      </c>
      <c r="FL126" t="str">
        <f>+IFERROR(VLOOKUP(FL27,IN_Zugliste!$A$4:$D$2002,4,FALSE),"")</f>
        <v/>
      </c>
      <c r="FM126" t="str">
        <f>+IFERROR(VLOOKUP(FM27,IN_Zugliste!$A$4:$C$2002,4,FALSE),"")</f>
        <v/>
      </c>
      <c r="FN126" t="str">
        <f>+IFERROR(VLOOKUP(FN27,IN_Zugliste!$A$4:$C$2002,4,FALSE),"")</f>
        <v/>
      </c>
      <c r="FO126" t="str">
        <f>+IFERROR(VLOOKUP(FO27,IN_Zugliste!$A$4:$C$2002,4,FALSE),"")</f>
        <v/>
      </c>
      <c r="FP126" t="str">
        <f>+IFERROR(VLOOKUP(FP27,IN_Zugliste!$A$4:$C$2002,4,FALSE),"")</f>
        <v/>
      </c>
      <c r="FQ126" t="str">
        <f>+IFERROR(VLOOKUP(FQ27,IN_Zugliste!$A$4:$C$2002,4,FALSE),"")</f>
        <v/>
      </c>
      <c r="FR126" t="str">
        <f>+IFERROR(VLOOKUP(FR27,IN_Zugliste!$A$4:$C$2002,4,FALSE),"")</f>
        <v/>
      </c>
      <c r="FS126" t="str">
        <f>+IFERROR(VLOOKUP(FS27,IN_Zugliste!$A$4:$C$2002,4,FALSE),"")</f>
        <v/>
      </c>
      <c r="FT126" t="str">
        <f>+IFERROR(VLOOKUP(FT27,IN_Zugliste!$A$4:$C$2002,4,FALSE),"")</f>
        <v/>
      </c>
      <c r="FU126" t="str">
        <f>+IFERROR(VLOOKUP(FU27,IN_Zugliste!$A$4:$C$2002,4,FALSE),"")</f>
        <v/>
      </c>
      <c r="FV126" t="str">
        <f>+IFERROR(VLOOKUP(FV27,IN_Zugliste!$A$4:$C$2002,4,FALSE),"")</f>
        <v/>
      </c>
      <c r="FW126" t="str">
        <f>+IFERROR(VLOOKUP(FW27,IN_Zugliste!$A$4:$C$2002,4,FALSE),"")</f>
        <v/>
      </c>
      <c r="FX126" t="str">
        <f>+IFERROR(VLOOKUP(FX27,IN_Zugliste!$A$4:$C$2002,4,FALSE),"")</f>
        <v/>
      </c>
      <c r="FY126" t="str">
        <f>+IFERROR(VLOOKUP(FY27,IN_Zugliste!$A$4:$C$2002,4,FALSE),"")</f>
        <v/>
      </c>
      <c r="FZ126" t="str">
        <f>+IFERROR(VLOOKUP(FZ27,IN_Zugliste!$A$4:$C$2002,4,FALSE),"")</f>
        <v/>
      </c>
      <c r="GA126" t="str">
        <f>+IFERROR(VLOOKUP(GA27,IN_Zugliste!$A$4:$C$2002,4,FALSE),"")</f>
        <v/>
      </c>
      <c r="GB126" t="str">
        <f>+IFERROR(VLOOKUP(GB27,IN_Zugliste!$A$4:$C$2002,4,FALSE),"")</f>
        <v/>
      </c>
      <c r="GC126" t="str">
        <f>+IFERROR(VLOOKUP(GC27,IN_Zugliste!$A$4:$C$2002,4,FALSE),"")</f>
        <v/>
      </c>
      <c r="GD126" t="str">
        <f>+IFERROR(VLOOKUP(GD27,IN_Zugliste!$A$4:$C$2002,4,FALSE),"")</f>
        <v/>
      </c>
      <c r="GE126" t="str">
        <f>+IFERROR(VLOOKUP(GE27,IN_Zugliste!$A$4:$C$2002,4,FALSE),"")</f>
        <v/>
      </c>
      <c r="GF126" t="str">
        <f>+IFERROR(VLOOKUP(GF27,IN_Zugliste!$A$4:$C$2002,4,FALSE),"")</f>
        <v/>
      </c>
      <c r="GG126" t="str">
        <f>+IFERROR(VLOOKUP(GG27,IN_Zugliste!$A$4:$C$2002,4,FALSE),"")</f>
        <v/>
      </c>
      <c r="GH126" t="str">
        <f>+IFERROR(VLOOKUP(GH27,IN_Zugliste!$A$4:$C$2002,4,FALSE),"")</f>
        <v/>
      </c>
      <c r="GI126" t="str">
        <f>+IFERROR(VLOOKUP(GI27,IN_Zugliste!$A$4:$C$2002,4,FALSE),"")</f>
        <v/>
      </c>
      <c r="GJ126" t="str">
        <f>+IFERROR(VLOOKUP(GJ27,IN_Zugliste!$A$4:$C$2002,4,FALSE),"")</f>
        <v/>
      </c>
      <c r="GK126" t="str">
        <f>+IFERROR(VLOOKUP(GK27,IN_Zugliste!$A$4:$C$2002,4,FALSE),"")</f>
        <v/>
      </c>
      <c r="GL126" t="str">
        <f>+IFERROR(VLOOKUP(GL27,IN_Zugliste!$A$4:$C$2002,4,FALSE),"")</f>
        <v/>
      </c>
      <c r="GM126" t="str">
        <f>+IFERROR(VLOOKUP(GM27,IN_Zugliste!$A$4:$C$2002,4,FALSE),"")</f>
        <v/>
      </c>
      <c r="GN126" t="str">
        <f>+IFERROR(VLOOKUP(GN27,IN_Zugliste!$A$4:$C$2002,4,FALSE),"")</f>
        <v/>
      </c>
      <c r="GO126" t="str">
        <f>+IFERROR(VLOOKUP(GO27,IN_Zugliste!$A$4:$C$2002,4,FALSE),"")</f>
        <v/>
      </c>
      <c r="GP126" t="str">
        <f>+IFERROR(VLOOKUP(GP27,IN_Zugliste!$A$4:$C$2002,4,FALSE),"")</f>
        <v/>
      </c>
      <c r="GQ126" t="str">
        <f>+IFERROR(VLOOKUP(GQ27,IN_Zugliste!$A$4:$C$2002,4,FALSE),"")</f>
        <v/>
      </c>
      <c r="GR126" t="str">
        <f>+IFERROR(VLOOKUP(GR27,IN_Zugliste!$A$4:$C$2002,4,FALSE),"")</f>
        <v/>
      </c>
      <c r="GS126" t="str">
        <f>+IFERROR(VLOOKUP(GS27,IN_Zugliste!$A$4:$C$2002,4,FALSE),"")</f>
        <v/>
      </c>
      <c r="GT126" t="str">
        <f>+IFERROR(VLOOKUP(GT27,IN_Zugliste!$A$4:$C$2002,4,FALSE),"")</f>
        <v/>
      </c>
      <c r="GU126" t="str">
        <f>+IFERROR(VLOOKUP(GU27,IN_Zugliste!$A$4:$C$2002,4,FALSE),"")</f>
        <v/>
      </c>
      <c r="GV126" t="str">
        <f>+IFERROR(VLOOKUP(GV27,IN_Zugliste!$A$4:$C$2002,4,FALSE),"")</f>
        <v/>
      </c>
      <c r="GW126" t="str">
        <f>+IFERROR(VLOOKUP(GW27,IN_Zugliste!$A$4:$C$2002,4,FALSE),"")</f>
        <v/>
      </c>
      <c r="GX126" t="str">
        <f>+IFERROR(VLOOKUP(GX27,IN_Zugliste!$A$4:$C$2002,4,FALSE),"")</f>
        <v/>
      </c>
      <c r="GY126" t="str">
        <f>+IFERROR(VLOOKUP(GY27,IN_Zugliste!$A$4:$C$2002,4,FALSE),"")</f>
        <v/>
      </c>
      <c r="GZ126" t="str">
        <f>+IFERROR(VLOOKUP(GZ27,IN_Zugliste!$A$4:$C$2002,4,FALSE),"")</f>
        <v/>
      </c>
      <c r="HA126" t="str">
        <f>+IFERROR(VLOOKUP(HA27,IN_Zugliste!$A$4:$C$2002,4,FALSE),"")</f>
        <v/>
      </c>
      <c r="HB126" t="str">
        <f>+IFERROR(VLOOKUP(HB27,IN_Zugliste!$A$4:$C$2002,4,FALSE),"")</f>
        <v/>
      </c>
      <c r="HC126" t="str">
        <f>+IFERROR(VLOOKUP(HC27,IN_Zugliste!$A$4:$C$2002,4,FALSE),"")</f>
        <v/>
      </c>
      <c r="HD126" t="str">
        <f>+IFERROR(VLOOKUP(HD27,IN_Zugliste!$A$4:$C$2002,4,FALSE),"")</f>
        <v/>
      </c>
      <c r="HE126" t="str">
        <f>+IFERROR(VLOOKUP(HE27,IN_Zugliste!$A$4:$C$2002,4,FALSE),"")</f>
        <v/>
      </c>
      <c r="HF126" t="str">
        <f>+IFERROR(VLOOKUP(HF27,IN_Zugliste!$A$4:$C$2002,4,FALSE),"")</f>
        <v/>
      </c>
      <c r="HG126" t="str">
        <f>+IFERROR(VLOOKUP(HG27,IN_Zugliste!$A$4:$C$2002,4,FALSE),"")</f>
        <v/>
      </c>
      <c r="HH126" t="str">
        <f>+IFERROR(VLOOKUP(HH27,IN_Zugliste!$A$4:$C$2002,4,FALSE),"")</f>
        <v/>
      </c>
      <c r="HI126" t="str">
        <f>+IFERROR(VLOOKUP(HI27,IN_Zugliste!$A$4:$C$2002,4,FALSE),"")</f>
        <v/>
      </c>
      <c r="HJ126" t="str">
        <f>+IFERROR(VLOOKUP(HJ27,IN_Zugliste!$A$4:$C$2002,4,FALSE),"")</f>
        <v/>
      </c>
      <c r="HK126" t="str">
        <f>+IFERROR(VLOOKUP(HK27,IN_Zugliste!$A$4:$C$2002,4,FALSE),"")</f>
        <v/>
      </c>
      <c r="HL126" t="str">
        <f>+IFERROR(VLOOKUP(HL27,IN_Zugliste!$A$4:$C$2002,4,FALSE),"")</f>
        <v/>
      </c>
      <c r="HM126" t="str">
        <f>+IFERROR(VLOOKUP(HM27,IN_Zugliste!$A$4:$C$2002,4,FALSE),"")</f>
        <v/>
      </c>
      <c r="HN126" t="str">
        <f>+IFERROR(VLOOKUP(HN27,IN_Zugliste!$A$4:$C$2002,4,FALSE),"")</f>
        <v/>
      </c>
      <c r="HO126" t="str">
        <f>+IFERROR(VLOOKUP(HO27,IN_Zugliste!$A$4:$C$2002,4,FALSE),"")</f>
        <v/>
      </c>
      <c r="HP126" t="str">
        <f>+IFERROR(VLOOKUP(HP27,IN_Zugliste!$A$4:$C$2002,4,FALSE),"")</f>
        <v/>
      </c>
      <c r="HQ126" t="str">
        <f>+IFERROR(VLOOKUP(HQ27,IN_Zugliste!$A$4:$C$2002,4,FALSE),"")</f>
        <v/>
      </c>
      <c r="HR126" t="str">
        <f>+IFERROR(VLOOKUP(HR27,IN_Zugliste!$A$4:$C$2002,4,FALSE),"")</f>
        <v/>
      </c>
      <c r="HS126" t="str">
        <f>+IFERROR(VLOOKUP(HS27,IN_Zugliste!$A$4:$C$2002,4,FALSE),"")</f>
        <v/>
      </c>
      <c r="HT126" t="str">
        <f>+IFERROR(VLOOKUP(HT27,IN_Zugliste!$A$4:$C$2002,4,FALSE),"")</f>
        <v/>
      </c>
      <c r="HU126" t="str">
        <f>+IFERROR(VLOOKUP(HU27,IN_Zugliste!$A$4:$C$2002,4,FALSE),"")</f>
        <v/>
      </c>
      <c r="HV126" t="str">
        <f>+IFERROR(VLOOKUP(HV27,IN_Zugliste!$A$4:$C$2002,4,FALSE),"")</f>
        <v/>
      </c>
      <c r="HW126" t="str">
        <f>+IFERROR(VLOOKUP(HW27,IN_Zugliste!$A$4:$C$2002,4,FALSE),"")</f>
        <v/>
      </c>
      <c r="HX126" t="str">
        <f>+IFERROR(VLOOKUP(HX27,IN_Zugliste!$A$4:$C$2002,4,FALSE),"")</f>
        <v/>
      </c>
      <c r="HY126" t="str">
        <f>+IFERROR(VLOOKUP(HY27,IN_Zugliste!$A$4:$C$2002,4,FALSE),"")</f>
        <v/>
      </c>
      <c r="HZ126" t="str">
        <f>+IFERROR(VLOOKUP(HZ27,IN_Zugliste!$A$4:$C$2002,4,FALSE),"")</f>
        <v/>
      </c>
      <c r="IA126" t="str">
        <f>+IFERROR(VLOOKUP(IA27,IN_Zugliste!$A$4:$C$2002,4,FALSE),"")</f>
        <v/>
      </c>
      <c r="IB126" t="str">
        <f>+IFERROR(VLOOKUP(IB27,IN_Zugliste!$A$4:$C$2002,4,FALSE),"")</f>
        <v/>
      </c>
      <c r="IC126" t="str">
        <f>+IFERROR(VLOOKUP(IC27,IN_Zugliste!$A$4:$C$2002,4,FALSE),"")</f>
        <v/>
      </c>
      <c r="ID126" t="str">
        <f>+IFERROR(VLOOKUP(ID27,IN_Zugliste!$A$4:$C$2002,4,FALSE),"")</f>
        <v/>
      </c>
      <c r="IE126" t="str">
        <f>+IFERROR(VLOOKUP(IE27,IN_Zugliste!$A$4:$C$2002,4,FALSE),"")</f>
        <v/>
      </c>
      <c r="IF126" t="str">
        <f>+IFERROR(VLOOKUP(IF27,IN_Zugliste!$A$4:$C$2002,4,FALSE),"")</f>
        <v/>
      </c>
      <c r="IG126" t="str">
        <f>+IFERROR(VLOOKUP(IG27,IN_Zugliste!$A$4:$C$2002,4,FALSE),"")</f>
        <v/>
      </c>
      <c r="IH126" t="str">
        <f>+IFERROR(VLOOKUP(IH27,IN_Zugliste!$A$4:$C$2002,4,FALSE),"")</f>
        <v/>
      </c>
      <c r="II126" t="str">
        <f>+IFERROR(VLOOKUP(II27,IN_Zugliste!$A$4:$C$2002,4,FALSE),"")</f>
        <v/>
      </c>
      <c r="IJ126" t="str">
        <f>+IFERROR(VLOOKUP(IJ27,IN_Zugliste!$A$4:$C$2002,4,FALSE),"")</f>
        <v/>
      </c>
      <c r="IK126" t="str">
        <f>+IFERROR(VLOOKUP(IK27,IN_Zugliste!$A$4:$C$2002,4,FALSE),"")</f>
        <v/>
      </c>
      <c r="IL126" t="str">
        <f>+IFERROR(VLOOKUP(IL27,IN_Zugliste!$A$4:$C$2002,4,FALSE),"")</f>
        <v/>
      </c>
      <c r="IM126" t="str">
        <f>+IFERROR(VLOOKUP(IM27,IN_Zugliste!$A$4:$C$2002,4,FALSE),"")</f>
        <v/>
      </c>
      <c r="IN126" t="str">
        <f>+IFERROR(VLOOKUP(IN27,IN_Zugliste!$A$4:$C$2002,4,FALSE),"")</f>
        <v/>
      </c>
      <c r="IO126" t="str">
        <f>+IFERROR(VLOOKUP(IO27,IN_Zugliste!$A$4:$C$2002,4,FALSE),"")</f>
        <v/>
      </c>
      <c r="IP126" t="str">
        <f>+IFERROR(VLOOKUP(IP27,IN_Zugliste!$A$4:$C$2002,4,FALSE),"")</f>
        <v/>
      </c>
      <c r="IQ126" t="str">
        <f>+IFERROR(VLOOKUP(IQ27,IN_Zugliste!$A$4:$C$2002,4,FALSE),"")</f>
        <v/>
      </c>
      <c r="IR126" t="str">
        <f>+IFERROR(VLOOKUP(IR27,IN_Zugliste!$A$4:$C$2002,4,FALSE),"")</f>
        <v/>
      </c>
      <c r="IS126" t="str">
        <f>+IFERROR(VLOOKUP(IS27,IN_Zugliste!$A$4:$C$2002,4,FALSE),"")</f>
        <v/>
      </c>
      <c r="IT126" t="str">
        <f>+IFERROR(VLOOKUP(IT27,IN_Zugliste!$A$4:$C$2002,4,FALSE),"")</f>
        <v/>
      </c>
      <c r="IU126" t="str">
        <f>+IFERROR(VLOOKUP(IU27,IN_Zugliste!$A$4:$C$2002,4,FALSE),"")</f>
        <v/>
      </c>
      <c r="IV126" t="str">
        <f>+IFERROR(VLOOKUP(IV27,IN_Zugliste!$A$4:$C$2002,4,FALSE),"")</f>
        <v/>
      </c>
      <c r="IW126" t="str">
        <f>+IFERROR(VLOOKUP(IW27,IN_Zugliste!$A$4:$C$2002,4,FALSE),"")</f>
        <v/>
      </c>
      <c r="IX126" t="str">
        <f>+IFERROR(VLOOKUP(IX27,IN_Zugliste!$A$4:$C$2002,4,FALSE),"")</f>
        <v/>
      </c>
      <c r="IY126" t="str">
        <f>+IFERROR(VLOOKUP(IY27,IN_Zugliste!$A$4:$C$2002,4,FALSE),"")</f>
        <v/>
      </c>
      <c r="IZ126" t="str">
        <f>+IFERROR(VLOOKUP(IZ27,IN_Zugliste!$A$4:$C$2002,4,FALSE),"")</f>
        <v/>
      </c>
      <c r="JA126" t="str">
        <f>+IFERROR(VLOOKUP(JA27,IN_Zugliste!$A$4:$C$2002,4,FALSE),"")</f>
        <v/>
      </c>
      <c r="JB126" t="str">
        <f>+IFERROR(VLOOKUP(JB27,IN_Zugliste!$A$4:$C$2002,4,FALSE),"")</f>
        <v/>
      </c>
      <c r="JC126" t="str">
        <f>+IFERROR(VLOOKUP(JC27,IN_Zugliste!$A$4:$C$2002,4,FALSE),"")</f>
        <v/>
      </c>
      <c r="JD126" t="str">
        <f>+IFERROR(VLOOKUP(JD27,IN_Zugliste!$A$4:$C$2002,4,FALSE),"")</f>
        <v/>
      </c>
      <c r="JE126" t="str">
        <f>+IFERROR(VLOOKUP(JE27,IN_Zugliste!$A$4:$C$2002,4,FALSE),"")</f>
        <v/>
      </c>
      <c r="JF126" t="str">
        <f>+IFERROR(VLOOKUP(JF27,IN_Zugliste!$A$4:$C$2002,4,FALSE),"")</f>
        <v/>
      </c>
      <c r="JG126" t="str">
        <f>+IFERROR(VLOOKUP(JG27,IN_Zugliste!$A$4:$C$2002,4,FALSE),"")</f>
        <v/>
      </c>
      <c r="JH126" t="str">
        <f>+IFERROR(VLOOKUP(JH27,IN_Zugliste!$A$4:$C$2002,4,FALSE),"")</f>
        <v/>
      </c>
      <c r="JI126" t="str">
        <f>+IFERROR(VLOOKUP(JI27,IN_Zugliste!$A$4:$C$2002,4,FALSE),"")</f>
        <v/>
      </c>
      <c r="JJ126" t="str">
        <f>+IFERROR(VLOOKUP(JJ27,IN_Zugliste!$A$4:$C$2002,4,FALSE),"")</f>
        <v/>
      </c>
      <c r="JK126" t="str">
        <f>+IFERROR(VLOOKUP(JK27,IN_Zugliste!$A$4:$C$2002,4,FALSE),"")</f>
        <v/>
      </c>
      <c r="JL126" t="str">
        <f>+IFERROR(VLOOKUP(JL27,IN_Zugliste!$A$4:$C$2002,4,FALSE),"")</f>
        <v/>
      </c>
    </row>
    <row r="127" spans="1:272" x14ac:dyDescent="0.2">
      <c r="A127" t="str">
        <f>+IFERROR(VLOOKUP(A28,IN_Zugliste!$A$4:$D$2002,4,FALSE),"")</f>
        <v/>
      </c>
      <c r="B127" t="str">
        <f>+IFERROR(VLOOKUP(B28,IN_Zugliste!$A$4:$D$2002,4,FALSE),"")</f>
        <v/>
      </c>
      <c r="C127" t="str">
        <f>+IFERROR(VLOOKUP(C28,IN_Zugliste!$A$4:$D$2002,4,FALSE),"")</f>
        <v/>
      </c>
      <c r="D127" t="str">
        <f>+IFERROR(VLOOKUP(D28,IN_Zugliste!$A$4:$D$2002,4,FALSE),"")</f>
        <v/>
      </c>
      <c r="E127" t="str">
        <f>+IFERROR(VLOOKUP(E28,IN_Zugliste!$A$4:$D$2002,4,FALSE),"")</f>
        <v/>
      </c>
      <c r="F127" t="str">
        <f>+IFERROR(VLOOKUP(F28,IN_Zugliste!$A$4:$D$2002,4,FALSE),"")</f>
        <v/>
      </c>
      <c r="G127" t="str">
        <f>+IFERROR(VLOOKUP(G28,IN_Zugliste!$A$4:$D$2002,4,FALSE),"")</f>
        <v/>
      </c>
      <c r="H127" t="str">
        <f>+IFERROR(VLOOKUP(H28,IN_Zugliste!$A$4:$D$2002,4,FALSE),"")</f>
        <v/>
      </c>
      <c r="I127" t="str">
        <f>+IFERROR(VLOOKUP(I28,IN_Zugliste!$A$4:$D$2002,4,FALSE),"")</f>
        <v/>
      </c>
      <c r="J127" t="str">
        <f>+IFERROR(VLOOKUP(J28,IN_Zugliste!$A$4:$D$2002,4,FALSE),"")</f>
        <v/>
      </c>
      <c r="K127" t="str">
        <f>+IFERROR(VLOOKUP(K28,IN_Zugliste!$A$4:$D$2002,4,FALSE),"")</f>
        <v/>
      </c>
      <c r="L127" t="str">
        <f>+IFERROR(VLOOKUP(L28,IN_Zugliste!$A$4:$D$2002,4,FALSE),"")</f>
        <v/>
      </c>
      <c r="M127" t="str">
        <f>+IFERROR(VLOOKUP(M28,IN_Zugliste!$A$4:$D$2002,4,FALSE),"")</f>
        <v/>
      </c>
      <c r="N127" t="str">
        <f>+IFERROR(VLOOKUP(N28,IN_Zugliste!$A$4:$D$2002,4,FALSE),"")</f>
        <v/>
      </c>
      <c r="O127" t="str">
        <f>+IFERROR(VLOOKUP(O28,IN_Zugliste!$A$4:$D$2002,4,FALSE),"")</f>
        <v/>
      </c>
      <c r="P127" t="str">
        <f>+IFERROR(VLOOKUP(P28,IN_Zugliste!$A$4:$D$2002,4,FALSE),"")</f>
        <v/>
      </c>
      <c r="Q127" t="str">
        <f>+IFERROR(VLOOKUP(Q28,IN_Zugliste!$A$4:$D$2002,4,FALSE),"")</f>
        <v/>
      </c>
      <c r="R127" t="str">
        <f>+IFERROR(VLOOKUP(R28,IN_Zugliste!$A$4:$D$2002,4,FALSE),"")</f>
        <v/>
      </c>
      <c r="S127" t="str">
        <f>+IFERROR(VLOOKUP(S28,IN_Zugliste!$A$4:$D$2002,4,FALSE),"")</f>
        <v/>
      </c>
      <c r="T127" t="str">
        <f>+IFERROR(VLOOKUP(T28,IN_Zugliste!$A$4:$D$2002,4,FALSE),"")</f>
        <v/>
      </c>
      <c r="U127" t="str">
        <f>+IFERROR(VLOOKUP(U28,IN_Zugliste!$A$4:$D$2002,4,FALSE),"")</f>
        <v/>
      </c>
      <c r="V127" t="str">
        <f>+IFERROR(VLOOKUP(V28,IN_Zugliste!$A$4:$D$2002,4,FALSE),"")</f>
        <v/>
      </c>
      <c r="W127" t="str">
        <f>+IFERROR(VLOOKUP(W28,IN_Zugliste!$A$4:$D$2002,4,FALSE),"")</f>
        <v/>
      </c>
      <c r="X127" t="str">
        <f>+IFERROR(VLOOKUP(X28,IN_Zugliste!$A$4:$D$2002,4,FALSE),"")</f>
        <v/>
      </c>
      <c r="Y127" t="str">
        <f>+IFERROR(VLOOKUP(Y28,IN_Zugliste!$A$4:$D$2002,4,FALSE),"")</f>
        <v/>
      </c>
      <c r="Z127" t="str">
        <f>+IFERROR(VLOOKUP(Z28,IN_Zugliste!$A$4:$D$2002,4,FALSE),"")</f>
        <v/>
      </c>
      <c r="AA127" t="str">
        <f>+IFERROR(VLOOKUP(AA28,IN_Zugliste!$A$4:$D$2002,4,FALSE),"")</f>
        <v/>
      </c>
      <c r="AB127" t="str">
        <f>+IFERROR(VLOOKUP(AB28,IN_Zugliste!$A$4:$D$2002,4,FALSE),"")</f>
        <v/>
      </c>
      <c r="AC127" t="str">
        <f>+IFERROR(VLOOKUP(AC28,IN_Zugliste!$A$4:$D$2002,4,FALSE),"")</f>
        <v/>
      </c>
      <c r="AD127" t="str">
        <f>+IFERROR(VLOOKUP(AD28,IN_Zugliste!$A$4:$D$2002,4,FALSE),"")</f>
        <v/>
      </c>
      <c r="AE127" t="str">
        <f>+IFERROR(VLOOKUP(AE28,IN_Zugliste!$A$4:$D$2002,4,FALSE),"")</f>
        <v/>
      </c>
      <c r="AF127" t="str">
        <f>+IFERROR(VLOOKUP(AF28,IN_Zugliste!$A$4:$D$2002,4,FALSE),"")</f>
        <v/>
      </c>
      <c r="AG127" t="str">
        <f>+IFERROR(VLOOKUP(AG28,IN_Zugliste!$A$4:$D$2002,4,FALSE),"")</f>
        <v/>
      </c>
      <c r="AH127" t="str">
        <f>+IFERROR(VLOOKUP(AH28,IN_Zugliste!$A$4:$D$2002,4,FALSE),"")</f>
        <v/>
      </c>
      <c r="AI127" t="str">
        <f>+IFERROR(VLOOKUP(AI28,IN_Zugliste!$A$4:$D$2002,4,FALSE),"")</f>
        <v/>
      </c>
      <c r="AJ127" t="str">
        <f>+IFERROR(VLOOKUP(AJ28,IN_Zugliste!$A$4:$D$2002,4,FALSE),"")</f>
        <v/>
      </c>
      <c r="AK127" t="str">
        <f>+IFERROR(VLOOKUP(AK28,IN_Zugliste!$A$4:$D$2002,4,FALSE),"")</f>
        <v/>
      </c>
      <c r="AL127" t="str">
        <f>+IFERROR(VLOOKUP(AL28,IN_Zugliste!$A$4:$D$2002,4,FALSE),"")</f>
        <v/>
      </c>
      <c r="AM127" t="str">
        <f>+IFERROR(VLOOKUP(AM28,IN_Zugliste!$A$4:$D$2002,4,FALSE),"")</f>
        <v/>
      </c>
      <c r="AN127" t="str">
        <f>+IFERROR(VLOOKUP(AN28,IN_Zugliste!$A$4:$D$2002,4,FALSE),"")</f>
        <v/>
      </c>
      <c r="AO127" t="str">
        <f>+IFERROR(VLOOKUP(AO28,IN_Zugliste!$A$4:$D$2002,4,FALSE),"")</f>
        <v/>
      </c>
      <c r="AP127" t="str">
        <f>+IFERROR(VLOOKUP(AP28,IN_Zugliste!$A$4:$D$2002,4,FALSE),"")</f>
        <v/>
      </c>
      <c r="AQ127" t="str">
        <f>+IFERROR(VLOOKUP(AQ28,IN_Zugliste!$A$4:$D$2002,4,FALSE),"")</f>
        <v/>
      </c>
      <c r="AR127" t="str">
        <f>+IFERROR(VLOOKUP(AR28,IN_Zugliste!$A$4:$D$2002,4,FALSE),"")</f>
        <v/>
      </c>
      <c r="AS127" t="str">
        <f>+IFERROR(VLOOKUP(AS28,IN_Zugliste!$A$4:$D$2002,4,FALSE),"")</f>
        <v/>
      </c>
      <c r="AT127" t="str">
        <f>+IFERROR(VLOOKUP(AT28,IN_Zugliste!$A$4:$D$2002,4,FALSE),"")</f>
        <v/>
      </c>
      <c r="AU127" t="str">
        <f>+IFERROR(VLOOKUP(AU28,IN_Zugliste!$A$4:$D$2002,4,FALSE),"")</f>
        <v/>
      </c>
      <c r="AV127" t="str">
        <f>+IFERROR(VLOOKUP(AV28,IN_Zugliste!$A$4:$D$2002,4,FALSE),"")</f>
        <v/>
      </c>
      <c r="AW127" t="str">
        <f>+IFERROR(VLOOKUP(AW28,IN_Zugliste!$A$4:$D$2002,4,FALSE),"")</f>
        <v/>
      </c>
      <c r="AX127" t="str">
        <f>+IFERROR(VLOOKUP(AX28,IN_Zugliste!$A$4:$D$2002,4,FALSE),"")</f>
        <v/>
      </c>
      <c r="AY127" t="str">
        <f>+IFERROR(VLOOKUP(AY28,IN_Zugliste!$A$4:$D$2002,4,FALSE),"")</f>
        <v/>
      </c>
      <c r="AZ127" t="str">
        <f>+IFERROR(VLOOKUP(AZ28,IN_Zugliste!$A$4:$D$2002,4,FALSE),"")</f>
        <v/>
      </c>
      <c r="BA127" t="str">
        <f>+IFERROR(VLOOKUP(BA28,IN_Zugliste!$A$4:$D$2002,4,FALSE),"")</f>
        <v/>
      </c>
      <c r="BB127" t="str">
        <f>+IFERROR(VLOOKUP(BB28,IN_Zugliste!$A$4:$D$2002,4,FALSE),"")</f>
        <v/>
      </c>
      <c r="BC127" t="str">
        <f>+IFERROR(VLOOKUP(BC28,IN_Zugliste!$A$4:$D$2002,4,FALSE),"")</f>
        <v/>
      </c>
      <c r="BD127" t="str">
        <f>+IFERROR(VLOOKUP(BD28,IN_Zugliste!$A$4:$D$2002,4,FALSE),"")</f>
        <v/>
      </c>
      <c r="BE127" t="str">
        <f>+IFERROR(VLOOKUP(BE28,IN_Zugliste!$A$4:$D$2002,4,FALSE),"")</f>
        <v/>
      </c>
      <c r="BF127" t="str">
        <f>+IFERROR(VLOOKUP(BF28,IN_Zugliste!$A$4:$D$2002,4,FALSE),"")</f>
        <v/>
      </c>
      <c r="BG127" t="str">
        <f>+IFERROR(VLOOKUP(BG28,IN_Zugliste!$A$4:$D$2002,4,FALSE),"")</f>
        <v/>
      </c>
      <c r="BH127" t="str">
        <f>+IFERROR(VLOOKUP(BH28,IN_Zugliste!$A$4:$D$2002,4,FALSE),"")</f>
        <v/>
      </c>
      <c r="BI127" t="str">
        <f>+IFERROR(VLOOKUP(BI28,IN_Zugliste!$A$4:$D$2002,4,FALSE),"")</f>
        <v/>
      </c>
      <c r="BJ127" t="str">
        <f>+IFERROR(VLOOKUP(BJ28,IN_Zugliste!$A$4:$D$2002,4,FALSE),"")</f>
        <v/>
      </c>
      <c r="BK127" t="str">
        <f>+IFERROR(VLOOKUP(BK28,IN_Zugliste!$A$4:$D$2002,4,FALSE),"")</f>
        <v/>
      </c>
      <c r="BL127" t="str">
        <f>+IFERROR(VLOOKUP(BL28,IN_Zugliste!$A$4:$D$2002,4,FALSE),"")</f>
        <v/>
      </c>
      <c r="BM127" t="str">
        <f>+IFERROR(VLOOKUP(BM28,IN_Zugliste!$A$4:$D$2002,4,FALSE),"")</f>
        <v/>
      </c>
      <c r="BN127" t="str">
        <f>+IFERROR(VLOOKUP(BN28,IN_Zugliste!$A$4:$D$2002,4,FALSE),"")</f>
        <v/>
      </c>
      <c r="BO127" t="str">
        <f>+IFERROR(VLOOKUP(BO28,IN_Zugliste!$A$4:$D$2002,4,FALSE),"")</f>
        <v/>
      </c>
      <c r="BP127" t="str">
        <f>+IFERROR(VLOOKUP(BP28,IN_Zugliste!$A$4:$D$2002,4,FALSE),"")</f>
        <v/>
      </c>
      <c r="BQ127" t="str">
        <f>+IFERROR(VLOOKUP(BQ28,IN_Zugliste!$A$4:$D$2002,4,FALSE),"")</f>
        <v/>
      </c>
      <c r="BR127" t="str">
        <f>+IFERROR(VLOOKUP(BR28,IN_Zugliste!$A$4:$D$2002,4,FALSE),"")</f>
        <v/>
      </c>
      <c r="BS127" t="str">
        <f>+IFERROR(VLOOKUP(BS28,IN_Zugliste!$A$4:$D$2002,4,FALSE),"")</f>
        <v/>
      </c>
      <c r="BT127" t="str">
        <f>+IFERROR(VLOOKUP(BT28,IN_Zugliste!$A$4:$D$2002,4,FALSE),"")</f>
        <v/>
      </c>
      <c r="BU127" t="str">
        <f>+IFERROR(VLOOKUP(BU28,IN_Zugliste!$A$4:$D$2002,4,FALSE),"")</f>
        <v/>
      </c>
      <c r="BV127" t="str">
        <f>+IFERROR(VLOOKUP(BV28,IN_Zugliste!$A$4:$D$2002,4,FALSE),"")</f>
        <v/>
      </c>
      <c r="BW127" t="str">
        <f>+IFERROR(VLOOKUP(BW28,IN_Zugliste!$A$4:$D$2002,4,FALSE),"")</f>
        <v/>
      </c>
      <c r="BX127" t="str">
        <f>+IFERROR(VLOOKUP(BX28,IN_Zugliste!$A$4:$D$2002,4,FALSE),"")</f>
        <v/>
      </c>
      <c r="BY127" t="str">
        <f>+IFERROR(VLOOKUP(BY28,IN_Zugliste!$A$4:$D$2002,4,FALSE),"")</f>
        <v/>
      </c>
      <c r="BZ127" t="str">
        <f>+IFERROR(VLOOKUP(BZ28,IN_Zugliste!$A$4:$D$2002,4,FALSE),"")</f>
        <v/>
      </c>
      <c r="CA127" t="str">
        <f>+IFERROR(VLOOKUP(CA28,IN_Zugliste!$A$4:$D$2002,4,FALSE),"")</f>
        <v/>
      </c>
      <c r="CB127" t="str">
        <f>+IFERROR(VLOOKUP(CB28,IN_Zugliste!$A$4:$D$2002,4,FALSE),"")</f>
        <v/>
      </c>
      <c r="CC127" t="str">
        <f>+IFERROR(VLOOKUP(CC28,IN_Zugliste!$A$4:$D$2002,4,FALSE),"")</f>
        <v/>
      </c>
      <c r="CD127" t="str">
        <f>+IFERROR(VLOOKUP(CD28,IN_Zugliste!$A$4:$D$2002,4,FALSE),"")</f>
        <v/>
      </c>
      <c r="CE127" t="str">
        <f>+IFERROR(VLOOKUP(CE28,IN_Zugliste!$A$4:$D$2002,4,FALSE),"")</f>
        <v/>
      </c>
      <c r="CF127" t="str">
        <f>+IFERROR(VLOOKUP(CF28,IN_Zugliste!$A$4:$D$2002,4,FALSE),"")</f>
        <v/>
      </c>
      <c r="CG127" t="str">
        <f>+IFERROR(VLOOKUP(CG28,IN_Zugliste!$A$4:$D$2002,4,FALSE),"")</f>
        <v/>
      </c>
      <c r="CH127" t="str">
        <f>+IFERROR(VLOOKUP(CH28,IN_Zugliste!$A$4:$D$2002,4,FALSE),"")</f>
        <v/>
      </c>
      <c r="CI127" t="str">
        <f>+IFERROR(VLOOKUP(CI28,IN_Zugliste!$A$4:$D$2002,4,FALSE),"")</f>
        <v/>
      </c>
      <c r="CJ127" t="str">
        <f>+IFERROR(VLOOKUP(CJ28,IN_Zugliste!$A$4:$D$2002,4,FALSE),"")</f>
        <v/>
      </c>
      <c r="CK127" t="str">
        <f>+IFERROR(VLOOKUP(CK28,IN_Zugliste!$A$4:$D$2002,4,FALSE),"")</f>
        <v/>
      </c>
      <c r="CL127" t="str">
        <f>+IFERROR(VLOOKUP(CL28,IN_Zugliste!$A$4:$D$2002,4,FALSE),"")</f>
        <v/>
      </c>
      <c r="CM127" t="str">
        <f>+IFERROR(VLOOKUP(CM28,IN_Zugliste!$A$4:$D$2002,4,FALSE),"")</f>
        <v/>
      </c>
      <c r="CN127" t="str">
        <f>+IFERROR(VLOOKUP(CN28,IN_Zugliste!$A$4:$D$2002,4,FALSE),"")</f>
        <v/>
      </c>
      <c r="CO127" t="str">
        <f>+IFERROR(VLOOKUP(CO28,IN_Zugliste!$A$4:$D$2002,4,FALSE),"")</f>
        <v/>
      </c>
      <c r="CP127" t="str">
        <f>+IFERROR(VLOOKUP(CP28,IN_Zugliste!$A$4:$D$2002,4,FALSE),"")</f>
        <v/>
      </c>
      <c r="CQ127" t="str">
        <f>+IFERROR(VLOOKUP(CQ28,IN_Zugliste!$A$4:$D$2002,4,FALSE),"")</f>
        <v/>
      </c>
      <c r="CR127" t="str">
        <f>+IFERROR(VLOOKUP(CR28,IN_Zugliste!$A$4:$D$2002,4,FALSE),"")</f>
        <v/>
      </c>
      <c r="CS127" t="str">
        <f>+IFERROR(VLOOKUP(CS28,IN_Zugliste!$A$4:$D$2002,4,FALSE),"")</f>
        <v/>
      </c>
      <c r="CT127" t="str">
        <f>+IFERROR(VLOOKUP(CT28,IN_Zugliste!$A$4:$D$2002,4,FALSE),"")</f>
        <v/>
      </c>
      <c r="CU127" t="str">
        <f>+IFERROR(VLOOKUP(CU28,IN_Zugliste!$A$4:$D$2002,4,FALSE),"")</f>
        <v/>
      </c>
      <c r="CV127" t="str">
        <f>+IFERROR(VLOOKUP(CV28,IN_Zugliste!$A$4:$D$2002,4,FALSE),"")</f>
        <v/>
      </c>
      <c r="CW127" t="str">
        <f>+IFERROR(VLOOKUP(CW28,IN_Zugliste!$A$4:$D$2002,4,FALSE),"")</f>
        <v/>
      </c>
      <c r="CX127" t="str">
        <f>+IFERROR(VLOOKUP(CX28,IN_Zugliste!$A$4:$D$2002,4,FALSE),"")</f>
        <v/>
      </c>
      <c r="CY127" t="str">
        <f>+IFERROR(VLOOKUP(CY28,IN_Zugliste!$A$4:$D$2002,4,FALSE),"")</f>
        <v/>
      </c>
      <c r="CZ127" t="str">
        <f>+IFERROR(VLOOKUP(CZ28,IN_Zugliste!$A$4:$D$2002,4,FALSE),"")</f>
        <v/>
      </c>
      <c r="DA127" t="str">
        <f>+IFERROR(VLOOKUP(DA28,IN_Zugliste!$A$4:$D$2002,4,FALSE),"")</f>
        <v/>
      </c>
      <c r="DB127" t="str">
        <f>+IFERROR(VLOOKUP(DB28,IN_Zugliste!$A$4:$D$2002,4,FALSE),"")</f>
        <v/>
      </c>
      <c r="DC127" t="str">
        <f>+IFERROR(VLOOKUP(DC28,IN_Zugliste!$A$4:$D$2002,4,FALSE),"")</f>
        <v/>
      </c>
      <c r="DD127" t="str">
        <f>+IFERROR(VLOOKUP(DD28,IN_Zugliste!$A$4:$D$2002,4,FALSE),"")</f>
        <v/>
      </c>
      <c r="DE127" t="str">
        <f>+IFERROR(VLOOKUP(DE28,IN_Zugliste!$A$4:$D$2002,4,FALSE),"")</f>
        <v/>
      </c>
      <c r="DF127" t="str">
        <f>+IFERROR(VLOOKUP(DF28,IN_Zugliste!$A$4:$D$2002,4,FALSE),"")</f>
        <v/>
      </c>
      <c r="DG127" t="str">
        <f>+IFERROR(VLOOKUP(DG28,IN_Zugliste!$A$4:$D$2002,4,FALSE),"")</f>
        <v/>
      </c>
      <c r="DH127" t="str">
        <f>+IFERROR(VLOOKUP(DH28,IN_Zugliste!$A$4:$D$2002,4,FALSE),"")</f>
        <v/>
      </c>
      <c r="DI127" t="str">
        <f>+IFERROR(VLOOKUP(DI28,IN_Zugliste!$A$4:$D$2002,4,FALSE),"")</f>
        <v/>
      </c>
      <c r="DJ127" t="str">
        <f>+IFERROR(VLOOKUP(DJ28,IN_Zugliste!$A$4:$D$2002,4,FALSE),"")</f>
        <v/>
      </c>
      <c r="DK127" t="str">
        <f>+IFERROR(VLOOKUP(DK28,IN_Zugliste!$A$4:$D$2002,4,FALSE),"")</f>
        <v/>
      </c>
      <c r="DL127" t="str">
        <f>+IFERROR(VLOOKUP(DL28,IN_Zugliste!$A$4:$D$2002,4,FALSE),"")</f>
        <v/>
      </c>
      <c r="DM127" t="str">
        <f>+IFERROR(VLOOKUP(DM28,IN_Zugliste!$A$4:$D$2002,4,FALSE),"")</f>
        <v/>
      </c>
      <c r="DN127" t="str">
        <f>+IFERROR(VLOOKUP(DN28,IN_Zugliste!$A$4:$D$2002,4,FALSE),"")</f>
        <v/>
      </c>
      <c r="DO127" t="str">
        <f>+IFERROR(VLOOKUP(DO28,IN_Zugliste!$A$4:$D$2002,4,FALSE),"")</f>
        <v/>
      </c>
      <c r="DP127" t="str">
        <f>+IFERROR(VLOOKUP(DP28,IN_Zugliste!$A$4:$D$2002,4,FALSE),"")</f>
        <v/>
      </c>
      <c r="DQ127" t="str">
        <f>+IFERROR(VLOOKUP(DQ28,IN_Zugliste!$A$4:$D$2002,4,FALSE),"")</f>
        <v/>
      </c>
      <c r="DR127" t="str">
        <f>+IFERROR(VLOOKUP(DR28,IN_Zugliste!$A$4:$D$2002,4,FALSE),"")</f>
        <v/>
      </c>
      <c r="DS127" t="str">
        <f>+IFERROR(VLOOKUP(DS28,IN_Zugliste!$A$4:$D$2002,4,FALSE),"")</f>
        <v/>
      </c>
      <c r="DT127" t="str">
        <f>+IFERROR(VLOOKUP(DT28,IN_Zugliste!$A$4:$D$2002,4,FALSE),"")</f>
        <v/>
      </c>
      <c r="DU127" t="str">
        <f>+IFERROR(VLOOKUP(DU28,IN_Zugliste!$A$4:$D$2002,4,FALSE),"")</f>
        <v/>
      </c>
      <c r="DV127" t="str">
        <f>+IFERROR(VLOOKUP(DV28,IN_Zugliste!$A$4:$D$2002,4,FALSE),"")</f>
        <v/>
      </c>
      <c r="DW127" t="str">
        <f>+IFERROR(VLOOKUP(DW28,IN_Zugliste!$A$4:$D$2002,4,FALSE),"")</f>
        <v/>
      </c>
      <c r="DX127" t="str">
        <f>+IFERROR(VLOOKUP(DX28,IN_Zugliste!$A$4:$D$2002,4,FALSE),"")</f>
        <v/>
      </c>
      <c r="DY127" t="str">
        <f>+IFERROR(VLOOKUP(DY28,IN_Zugliste!$A$4:$D$2002,4,FALSE),"")</f>
        <v/>
      </c>
      <c r="DZ127" t="str">
        <f>+IFERROR(VLOOKUP(DZ28,IN_Zugliste!$A$4:$D$2002,4,FALSE),"")</f>
        <v/>
      </c>
      <c r="EA127" t="str">
        <f>+IFERROR(VLOOKUP(EA28,IN_Zugliste!$A$4:$D$2002,4,FALSE),"")</f>
        <v/>
      </c>
      <c r="EB127" t="str">
        <f>+IFERROR(VLOOKUP(EB28,IN_Zugliste!$A$4:$D$2002,4,FALSE),"")</f>
        <v/>
      </c>
      <c r="EC127" t="str">
        <f>+IFERROR(VLOOKUP(EC28,IN_Zugliste!$A$4:$D$2002,4,FALSE),"")</f>
        <v/>
      </c>
      <c r="ED127" t="str">
        <f>+IFERROR(VLOOKUP(ED28,IN_Zugliste!$A$4:$D$2002,4,FALSE),"")</f>
        <v/>
      </c>
      <c r="EE127" t="str">
        <f>+IFERROR(VLOOKUP(EE28,IN_Zugliste!$A$4:$D$2002,4,FALSE),"")</f>
        <v/>
      </c>
      <c r="EF127" t="str">
        <f>+IFERROR(VLOOKUP(EF28,IN_Zugliste!$A$4:$D$2002,4,FALSE),"")</f>
        <v/>
      </c>
      <c r="EG127" t="str">
        <f>+IFERROR(VLOOKUP(EG28,IN_Zugliste!$A$4:$D$2002,4,FALSE),"")</f>
        <v/>
      </c>
      <c r="EH127" t="str">
        <f>+IFERROR(VLOOKUP(EH28,IN_Zugliste!$A$4:$D$2002,4,FALSE),"")</f>
        <v/>
      </c>
      <c r="EI127" t="str">
        <f>+IFERROR(VLOOKUP(EI28,IN_Zugliste!$A$4:$D$2002,4,FALSE),"")</f>
        <v/>
      </c>
      <c r="EJ127" t="str">
        <f>+IFERROR(VLOOKUP(EJ28,IN_Zugliste!$A$4:$D$2002,4,FALSE),"")</f>
        <v/>
      </c>
      <c r="EK127" t="str">
        <f>+IFERROR(VLOOKUP(EK28,IN_Zugliste!$A$4:$D$2002,4,FALSE),"")</f>
        <v/>
      </c>
      <c r="EL127" t="str">
        <f>+IFERROR(VLOOKUP(EL28,IN_Zugliste!$A$4:$D$2002,4,FALSE),"")</f>
        <v/>
      </c>
      <c r="EM127" t="str">
        <f>+IFERROR(VLOOKUP(EM28,IN_Zugliste!$A$4:$D$2002,4,FALSE),"")</f>
        <v/>
      </c>
      <c r="EN127" t="str">
        <f>+IFERROR(VLOOKUP(EN28,IN_Zugliste!$A$4:$D$2002,4,FALSE),"")</f>
        <v/>
      </c>
      <c r="EO127" t="str">
        <f>+IFERROR(VLOOKUP(EO28,IN_Zugliste!$A$4:$D$2002,4,FALSE),"")</f>
        <v/>
      </c>
      <c r="EP127" t="str">
        <f>+IFERROR(VLOOKUP(EP28,IN_Zugliste!$A$4:$D$2002,4,FALSE),"")</f>
        <v/>
      </c>
      <c r="EQ127" t="str">
        <f>+IFERROR(VLOOKUP(EQ28,IN_Zugliste!$A$4:$D$2002,4,FALSE),"")</f>
        <v/>
      </c>
      <c r="ER127" t="str">
        <f>+IFERROR(VLOOKUP(ER28,IN_Zugliste!$A$4:$D$2002,4,FALSE),"")</f>
        <v/>
      </c>
      <c r="ES127" t="str">
        <f>+IFERROR(VLOOKUP(ES28,IN_Zugliste!$A$4:$D$2002,4,FALSE),"")</f>
        <v/>
      </c>
      <c r="ET127" t="str">
        <f>+IFERROR(VLOOKUP(ET28,IN_Zugliste!$A$4:$D$2002,4,FALSE),"")</f>
        <v/>
      </c>
      <c r="EU127" t="str">
        <f>+IFERROR(VLOOKUP(EU28,IN_Zugliste!$A$4:$D$2002,4,FALSE),"")</f>
        <v/>
      </c>
      <c r="EV127" t="str">
        <f>+IFERROR(VLOOKUP(EV28,IN_Zugliste!$A$4:$D$2002,4,FALSE),"")</f>
        <v/>
      </c>
      <c r="EW127" t="str">
        <f>+IFERROR(VLOOKUP(EW28,IN_Zugliste!$A$4:$D$2002,4,FALSE),"")</f>
        <v/>
      </c>
      <c r="EX127" t="str">
        <f>+IFERROR(VLOOKUP(EX28,IN_Zugliste!$A$4:$D$2002,4,FALSE),"")</f>
        <v/>
      </c>
      <c r="EY127" t="str">
        <f>+IFERROR(VLOOKUP(EY28,IN_Zugliste!$A$4:$D$2002,4,FALSE),"")</f>
        <v/>
      </c>
      <c r="EZ127" t="str">
        <f>+IFERROR(VLOOKUP(EZ28,IN_Zugliste!$A$4:$D$2002,4,FALSE),"")</f>
        <v/>
      </c>
      <c r="FA127" t="str">
        <f>+IFERROR(VLOOKUP(FA28,IN_Zugliste!$A$4:$D$2002,4,FALSE),"")</f>
        <v/>
      </c>
      <c r="FB127" t="str">
        <f>+IFERROR(VLOOKUP(FB28,IN_Zugliste!$A$4:$D$2002,4,FALSE),"")</f>
        <v/>
      </c>
      <c r="FC127" t="str">
        <f>+IFERROR(VLOOKUP(FC28,IN_Zugliste!$A$4:$D$2002,4,FALSE),"")</f>
        <v/>
      </c>
      <c r="FD127" t="str">
        <f>+IFERROR(VLOOKUP(FD28,IN_Zugliste!$A$4:$D$2002,4,FALSE),"")</f>
        <v/>
      </c>
      <c r="FE127" t="str">
        <f>+IFERROR(VLOOKUP(FE28,IN_Zugliste!$A$4:$D$2002,4,FALSE),"")</f>
        <v/>
      </c>
      <c r="FF127" t="str">
        <f>+IFERROR(VLOOKUP(FF28,IN_Zugliste!$A$4:$D$2002,4,FALSE),"")</f>
        <v/>
      </c>
      <c r="FG127" t="str">
        <f>+IFERROR(VLOOKUP(FG28,IN_Zugliste!$A$4:$D$2002,4,FALSE),"")</f>
        <v/>
      </c>
      <c r="FH127" t="str">
        <f>+IFERROR(VLOOKUP(FH28,IN_Zugliste!$A$4:$D$2002,4,FALSE),"")</f>
        <v/>
      </c>
      <c r="FI127" t="str">
        <f>+IFERROR(VLOOKUP(FI28,IN_Zugliste!$A$4:$D$2002,4,FALSE),"")</f>
        <v/>
      </c>
      <c r="FJ127" t="str">
        <f>+IFERROR(VLOOKUP(FJ28,IN_Zugliste!$A$4:$D$2002,4,FALSE),"")</f>
        <v/>
      </c>
      <c r="FK127" t="str">
        <f>+IFERROR(VLOOKUP(FK28,IN_Zugliste!$A$4:$D$2002,4,FALSE),"")</f>
        <v/>
      </c>
      <c r="FL127" t="str">
        <f>+IFERROR(VLOOKUP(FL28,IN_Zugliste!$A$4:$D$2002,4,FALSE),"")</f>
        <v/>
      </c>
      <c r="FM127" t="str">
        <f>+IFERROR(VLOOKUP(FM28,IN_Zugliste!$A$4:$C$602,4,FALSE),"")</f>
        <v/>
      </c>
      <c r="FN127" t="str">
        <f>+IFERROR(VLOOKUP(FN28,IN_Zugliste!$A$4:$C$602,4,FALSE),"")</f>
        <v/>
      </c>
      <c r="FO127" t="str">
        <f>+IFERROR(VLOOKUP(FO28,IN_Zugliste!$A$4:$C$602,4,FALSE),"")</f>
        <v/>
      </c>
      <c r="FP127" t="str">
        <f>+IFERROR(VLOOKUP(FP28,IN_Zugliste!$A$4:$C$602,4,FALSE),"")</f>
        <v/>
      </c>
      <c r="FQ127" t="str">
        <f>+IFERROR(VLOOKUP(FQ28,IN_Zugliste!$A$4:$C$602,4,FALSE),"")</f>
        <v/>
      </c>
      <c r="FR127" t="str">
        <f>+IFERROR(VLOOKUP(FR28,IN_Zugliste!$A$4:$C$602,4,FALSE),"")</f>
        <v/>
      </c>
      <c r="FS127" t="str">
        <f>+IFERROR(VLOOKUP(FS28,IN_Zugliste!$A$4:$C$602,4,FALSE),"")</f>
        <v/>
      </c>
      <c r="FT127" t="str">
        <f>+IFERROR(VLOOKUP(FT28,IN_Zugliste!$A$4:$C$602,4,FALSE),"")</f>
        <v/>
      </c>
      <c r="FU127" t="str">
        <f>+IFERROR(VLOOKUP(FU28,IN_Zugliste!$A$4:$C$602,4,FALSE),"")</f>
        <v/>
      </c>
      <c r="FV127" t="str">
        <f>+IFERROR(VLOOKUP(FV28,IN_Zugliste!$A$4:$C$602,4,FALSE),"")</f>
        <v/>
      </c>
      <c r="FW127" t="str">
        <f>+IFERROR(VLOOKUP(FW28,IN_Zugliste!$A$4:$C$602,4,FALSE),"")</f>
        <v/>
      </c>
      <c r="FX127" t="str">
        <f>+IFERROR(VLOOKUP(FX28,IN_Zugliste!$A$4:$C$602,4,FALSE),"")</f>
        <v/>
      </c>
      <c r="FY127" t="str">
        <f>+IFERROR(VLOOKUP(FY28,IN_Zugliste!$A$4:$C$602,4,FALSE),"")</f>
        <v/>
      </c>
      <c r="FZ127" t="str">
        <f>+IFERROR(VLOOKUP(FZ28,IN_Zugliste!$A$4:$C$602,4,FALSE),"")</f>
        <v/>
      </c>
      <c r="GA127" t="str">
        <f>+IFERROR(VLOOKUP(GA28,IN_Zugliste!$A$4:$C$602,4,FALSE),"")</f>
        <v/>
      </c>
      <c r="GB127" t="str">
        <f>+IFERROR(VLOOKUP(GB28,IN_Zugliste!$A$4:$C$602,4,FALSE),"")</f>
        <v/>
      </c>
      <c r="GC127" t="str">
        <f>+IFERROR(VLOOKUP(GC28,IN_Zugliste!$A$4:$C$602,4,FALSE),"")</f>
        <v/>
      </c>
      <c r="GD127" t="str">
        <f>+IFERROR(VLOOKUP(GD28,IN_Zugliste!$A$4:$C$602,4,FALSE),"")</f>
        <v/>
      </c>
      <c r="GE127" t="str">
        <f>+IFERROR(VLOOKUP(GE28,IN_Zugliste!$A$4:$C$602,4,FALSE),"")</f>
        <v/>
      </c>
      <c r="GF127" t="str">
        <f>+IFERROR(VLOOKUP(GF28,IN_Zugliste!$A$4:$C$602,4,FALSE),"")</f>
        <v/>
      </c>
      <c r="GG127" t="str">
        <f>+IFERROR(VLOOKUP(GG28,IN_Zugliste!$A$4:$C$602,4,FALSE),"")</f>
        <v/>
      </c>
      <c r="GH127" t="str">
        <f>+IFERROR(VLOOKUP(GH28,IN_Zugliste!$A$4:$C$602,4,FALSE),"")</f>
        <v/>
      </c>
      <c r="GI127" t="str">
        <f>+IFERROR(VLOOKUP(GI28,IN_Zugliste!$A$4:$C$602,4,FALSE),"")</f>
        <v/>
      </c>
      <c r="GJ127" t="str">
        <f>+IFERROR(VLOOKUP(GJ28,IN_Zugliste!$A$4:$C$602,4,FALSE),"")</f>
        <v/>
      </c>
      <c r="GK127" t="str">
        <f>+IFERROR(VLOOKUP(GK28,IN_Zugliste!$A$4:$C$602,4,FALSE),"")</f>
        <v/>
      </c>
      <c r="GL127" t="str">
        <f>+IFERROR(VLOOKUP(GL28,IN_Zugliste!$A$4:$C$602,4,FALSE),"")</f>
        <v/>
      </c>
      <c r="GM127" t="str">
        <f>+IFERROR(VLOOKUP(GM28,IN_Zugliste!$A$4:$C$602,4,FALSE),"")</f>
        <v/>
      </c>
      <c r="GN127" t="str">
        <f>+IFERROR(VLOOKUP(GN28,IN_Zugliste!$A$4:$C$602,4,FALSE),"")</f>
        <v/>
      </c>
      <c r="GO127" t="str">
        <f>+IFERROR(VLOOKUP(GO28,IN_Zugliste!$A$4:$C$602,4,FALSE),"")</f>
        <v/>
      </c>
      <c r="GP127" t="str">
        <f>+IFERROR(VLOOKUP(GP28,IN_Zugliste!$A$4:$C$602,4,FALSE),"")</f>
        <v/>
      </c>
      <c r="GQ127" t="str">
        <f>+IFERROR(VLOOKUP(GQ28,IN_Zugliste!$A$4:$C$602,4,FALSE),"")</f>
        <v/>
      </c>
      <c r="GR127" t="str">
        <f>+IFERROR(VLOOKUP(GR28,IN_Zugliste!$A$4:$C$602,4,FALSE),"")</f>
        <v/>
      </c>
      <c r="GS127" t="str">
        <f>+IFERROR(VLOOKUP(GS28,IN_Zugliste!$A$4:$C$602,4,FALSE),"")</f>
        <v/>
      </c>
      <c r="GT127" t="str">
        <f>+IFERROR(VLOOKUP(GT28,IN_Zugliste!$A$4:$C$602,4,FALSE),"")</f>
        <v/>
      </c>
      <c r="GU127" t="str">
        <f>+IFERROR(VLOOKUP(GU28,IN_Zugliste!$A$4:$C$602,4,FALSE),"")</f>
        <v/>
      </c>
      <c r="GV127" t="str">
        <f>+IFERROR(VLOOKUP(GV28,IN_Zugliste!$A$4:$C$602,4,FALSE),"")</f>
        <v/>
      </c>
      <c r="GW127" t="str">
        <f>+IFERROR(VLOOKUP(GW28,IN_Zugliste!$A$4:$C$602,4,FALSE),"")</f>
        <v/>
      </c>
      <c r="GX127" t="str">
        <f>+IFERROR(VLOOKUP(GX28,IN_Zugliste!$A$4:$C$602,4,FALSE),"")</f>
        <v/>
      </c>
      <c r="GY127" t="str">
        <f>+IFERROR(VLOOKUP(GY28,IN_Zugliste!$A$4:$C$602,4,FALSE),"")</f>
        <v/>
      </c>
      <c r="GZ127" t="str">
        <f>+IFERROR(VLOOKUP(GZ28,IN_Zugliste!$A$4:$C$602,4,FALSE),"")</f>
        <v/>
      </c>
      <c r="HA127" t="str">
        <f>+IFERROR(VLOOKUP(HA28,IN_Zugliste!$A$4:$C$602,4,FALSE),"")</f>
        <v/>
      </c>
      <c r="HB127" t="str">
        <f>+IFERROR(VLOOKUP(HB28,IN_Zugliste!$A$4:$C$602,4,FALSE),"")</f>
        <v/>
      </c>
      <c r="HC127" t="str">
        <f>+IFERROR(VLOOKUP(HC28,IN_Zugliste!$A$4:$C$602,4,FALSE),"")</f>
        <v/>
      </c>
      <c r="HD127" t="str">
        <f>+IFERROR(VLOOKUP(HD28,IN_Zugliste!$A$4:$C$602,4,FALSE),"")</f>
        <v/>
      </c>
      <c r="HE127" t="str">
        <f>+IFERROR(VLOOKUP(HE28,IN_Zugliste!$A$4:$C$602,4,FALSE),"")</f>
        <v/>
      </c>
      <c r="HF127" t="str">
        <f>+IFERROR(VLOOKUP(HF28,IN_Zugliste!$A$4:$C$602,4,FALSE),"")</f>
        <v/>
      </c>
      <c r="HG127" t="str">
        <f>+IFERROR(VLOOKUP(HG28,IN_Zugliste!$A$4:$C$602,4,FALSE),"")</f>
        <v/>
      </c>
      <c r="HH127" t="str">
        <f>+IFERROR(VLOOKUP(HH28,IN_Zugliste!$A$4:$C$602,4,FALSE),"")</f>
        <v/>
      </c>
    </row>
    <row r="128" spans="1:272" x14ac:dyDescent="0.2">
      <c r="A128" t="str">
        <f>+IFERROR(VLOOKUP(A29,IN_Zugliste!$A$4:$D$2002,4,FALSE),"")</f>
        <v/>
      </c>
      <c r="B128" t="str">
        <f>+IFERROR(VLOOKUP(B29,IN_Zugliste!$A$4:$D$2002,4,FALSE),"")</f>
        <v/>
      </c>
      <c r="C128" t="str">
        <f>+IFERROR(VLOOKUP(C29,IN_Zugliste!$A$4:$D$2002,4,FALSE),"")</f>
        <v/>
      </c>
      <c r="D128" t="str">
        <f>+IFERROR(VLOOKUP(D29,IN_Zugliste!$A$4:$D$2002,4,FALSE),"")</f>
        <v/>
      </c>
      <c r="E128" t="str">
        <f>+IFERROR(VLOOKUP(E29,IN_Zugliste!$A$4:$D$2002,4,FALSE),"")</f>
        <v/>
      </c>
      <c r="F128" t="str">
        <f>+IFERROR(VLOOKUP(F29,IN_Zugliste!$A$4:$D$2002,4,FALSE),"")</f>
        <v/>
      </c>
      <c r="G128" t="str">
        <f>+IFERROR(VLOOKUP(G29,IN_Zugliste!$A$4:$D$2002,4,FALSE),"")</f>
        <v/>
      </c>
      <c r="H128" t="str">
        <f>+IFERROR(VLOOKUP(H29,IN_Zugliste!$A$4:$D$2002,4,FALSE),"")</f>
        <v/>
      </c>
      <c r="I128" t="str">
        <f>+IFERROR(VLOOKUP(I29,IN_Zugliste!$A$4:$D$2002,4,FALSE),"")</f>
        <v/>
      </c>
      <c r="J128" t="str">
        <f>+IFERROR(VLOOKUP(J29,IN_Zugliste!$A$4:$D$2002,4,FALSE),"")</f>
        <v/>
      </c>
      <c r="K128" t="str">
        <f>+IFERROR(VLOOKUP(K29,IN_Zugliste!$A$4:$D$2002,4,FALSE),"")</f>
        <v/>
      </c>
      <c r="L128" t="str">
        <f>+IFERROR(VLOOKUP(L29,IN_Zugliste!$A$4:$D$2002,4,FALSE),"")</f>
        <v/>
      </c>
      <c r="M128" t="str">
        <f>+IFERROR(VLOOKUP(M29,IN_Zugliste!$A$4:$D$2002,4,FALSE),"")</f>
        <v/>
      </c>
      <c r="N128" t="str">
        <f>+IFERROR(VLOOKUP(N29,IN_Zugliste!$A$4:$D$2002,4,FALSE),"")</f>
        <v/>
      </c>
      <c r="O128" t="str">
        <f>+IFERROR(VLOOKUP(O29,IN_Zugliste!$A$4:$D$2002,4,FALSE),"")</f>
        <v/>
      </c>
      <c r="P128" t="str">
        <f>+IFERROR(VLOOKUP(P29,IN_Zugliste!$A$4:$D$2002,4,FALSE),"")</f>
        <v/>
      </c>
      <c r="Q128" t="str">
        <f>+IFERROR(VLOOKUP(Q29,IN_Zugliste!$A$4:$D$2002,4,FALSE),"")</f>
        <v/>
      </c>
      <c r="R128" t="str">
        <f>+IFERROR(VLOOKUP(R29,IN_Zugliste!$A$4:$D$2002,4,FALSE),"")</f>
        <v/>
      </c>
      <c r="S128" t="str">
        <f>+IFERROR(VLOOKUP(S29,IN_Zugliste!$A$4:$D$2002,4,FALSE),"")</f>
        <v/>
      </c>
      <c r="T128" t="str">
        <f>+IFERROR(VLOOKUP(T29,IN_Zugliste!$A$4:$D$2002,4,FALSE),"")</f>
        <v/>
      </c>
      <c r="U128" t="str">
        <f>+IFERROR(VLOOKUP(U29,IN_Zugliste!$A$4:$D$2002,4,FALSE),"")</f>
        <v/>
      </c>
      <c r="V128" t="str">
        <f>+IFERROR(VLOOKUP(V29,IN_Zugliste!$A$4:$D$2002,4,FALSE),"")</f>
        <v/>
      </c>
      <c r="W128" t="str">
        <f>+IFERROR(VLOOKUP(W29,IN_Zugliste!$A$4:$D$2002,4,FALSE),"")</f>
        <v/>
      </c>
      <c r="X128" t="str">
        <f>+IFERROR(VLOOKUP(X29,IN_Zugliste!$A$4:$D$2002,4,FALSE),"")</f>
        <v/>
      </c>
      <c r="Y128" t="str">
        <f>+IFERROR(VLOOKUP(Y29,IN_Zugliste!$A$4:$D$2002,4,FALSE),"")</f>
        <v/>
      </c>
      <c r="Z128" t="str">
        <f>+IFERROR(VLOOKUP(Z29,IN_Zugliste!$A$4:$D$2002,4,FALSE),"")</f>
        <v/>
      </c>
      <c r="AA128" t="str">
        <f>+IFERROR(VLOOKUP(AA29,IN_Zugliste!$A$4:$D$2002,4,FALSE),"")</f>
        <v/>
      </c>
      <c r="AB128" t="str">
        <f>+IFERROR(VLOOKUP(AB29,IN_Zugliste!$A$4:$D$2002,4,FALSE),"")</f>
        <v/>
      </c>
      <c r="AC128" t="str">
        <f>+IFERROR(VLOOKUP(AC29,IN_Zugliste!$A$4:$D$2002,4,FALSE),"")</f>
        <v/>
      </c>
      <c r="AD128" t="str">
        <f>+IFERROR(VLOOKUP(AD29,IN_Zugliste!$A$4:$D$2002,4,FALSE),"")</f>
        <v/>
      </c>
      <c r="AE128" t="str">
        <f>+IFERROR(VLOOKUP(AE29,IN_Zugliste!$A$4:$D$2002,4,FALSE),"")</f>
        <v/>
      </c>
      <c r="AF128" t="str">
        <f>+IFERROR(VLOOKUP(AF29,IN_Zugliste!$A$4:$D$2002,4,FALSE),"")</f>
        <v/>
      </c>
      <c r="AG128" t="str">
        <f>+IFERROR(VLOOKUP(AG29,IN_Zugliste!$A$4:$D$2002,4,FALSE),"")</f>
        <v/>
      </c>
      <c r="AH128" t="str">
        <f>+IFERROR(VLOOKUP(AH29,IN_Zugliste!$A$4:$D$2002,4,FALSE),"")</f>
        <v/>
      </c>
      <c r="AI128" t="str">
        <f>+IFERROR(VLOOKUP(AI29,IN_Zugliste!$A$4:$D$2002,4,FALSE),"")</f>
        <v/>
      </c>
      <c r="AJ128" t="str">
        <f>+IFERROR(VLOOKUP(AJ29,IN_Zugliste!$A$4:$D$2002,4,FALSE),"")</f>
        <v/>
      </c>
      <c r="AK128" t="str">
        <f>+IFERROR(VLOOKUP(AK29,IN_Zugliste!$A$4:$D$2002,4,FALSE),"")</f>
        <v/>
      </c>
      <c r="AL128" t="str">
        <f>+IFERROR(VLOOKUP(AL29,IN_Zugliste!$A$4:$D$2002,4,FALSE),"")</f>
        <v/>
      </c>
      <c r="AM128" t="str">
        <f>+IFERROR(VLOOKUP(AM29,IN_Zugliste!$A$4:$D$2002,4,FALSE),"")</f>
        <v/>
      </c>
      <c r="AN128" t="str">
        <f>+IFERROR(VLOOKUP(AN29,IN_Zugliste!$A$4:$D$2002,4,FALSE),"")</f>
        <v/>
      </c>
      <c r="AO128" t="str">
        <f>+IFERROR(VLOOKUP(AO29,IN_Zugliste!$A$4:$D$2002,4,FALSE),"")</f>
        <v/>
      </c>
      <c r="AP128" t="str">
        <f>+IFERROR(VLOOKUP(AP29,IN_Zugliste!$A$4:$D$2002,4,FALSE),"")</f>
        <v/>
      </c>
      <c r="AQ128" t="str">
        <f>+IFERROR(VLOOKUP(AQ29,IN_Zugliste!$A$4:$D$2002,4,FALSE),"")</f>
        <v/>
      </c>
      <c r="AR128" t="str">
        <f>+IFERROR(VLOOKUP(AR29,IN_Zugliste!$A$4:$D$2002,4,FALSE),"")</f>
        <v/>
      </c>
      <c r="AS128" t="str">
        <f>+IFERROR(VLOOKUP(AS29,IN_Zugliste!$A$4:$D$2002,4,FALSE),"")</f>
        <v/>
      </c>
      <c r="AT128" t="str">
        <f>+IFERROR(VLOOKUP(AT29,IN_Zugliste!$A$4:$D$2002,4,FALSE),"")</f>
        <v/>
      </c>
      <c r="AU128" t="str">
        <f>+IFERROR(VLOOKUP(AU29,IN_Zugliste!$A$4:$D$2002,4,FALSE),"")</f>
        <v/>
      </c>
      <c r="AV128" t="str">
        <f>+IFERROR(VLOOKUP(AV29,IN_Zugliste!$A$4:$D$2002,4,FALSE),"")</f>
        <v/>
      </c>
      <c r="AW128" t="str">
        <f>+IFERROR(VLOOKUP(AW29,IN_Zugliste!$A$4:$D$2002,4,FALSE),"")</f>
        <v/>
      </c>
      <c r="AX128" t="str">
        <f>+IFERROR(VLOOKUP(AX29,IN_Zugliste!$A$4:$D$2002,4,FALSE),"")</f>
        <v/>
      </c>
      <c r="AY128" t="str">
        <f>+IFERROR(VLOOKUP(AY29,IN_Zugliste!$A$4:$D$2002,4,FALSE),"")</f>
        <v/>
      </c>
      <c r="AZ128" t="str">
        <f>+IFERROR(VLOOKUP(AZ29,IN_Zugliste!$A$4:$D$2002,4,FALSE),"")</f>
        <v/>
      </c>
      <c r="BA128" t="str">
        <f>+IFERROR(VLOOKUP(BA29,IN_Zugliste!$A$4:$D$2002,4,FALSE),"")</f>
        <v/>
      </c>
      <c r="BB128" t="str">
        <f>+IFERROR(VLOOKUP(BB29,IN_Zugliste!$A$4:$D$2002,4,FALSE),"")</f>
        <v/>
      </c>
      <c r="BC128" t="str">
        <f>+IFERROR(VLOOKUP(BC29,IN_Zugliste!$A$4:$D$2002,4,FALSE),"")</f>
        <v/>
      </c>
      <c r="BD128" t="str">
        <f>+IFERROR(VLOOKUP(BD29,IN_Zugliste!$A$4:$D$2002,4,FALSE),"")</f>
        <v/>
      </c>
      <c r="BE128" t="str">
        <f>+IFERROR(VLOOKUP(BE29,IN_Zugliste!$A$4:$D$2002,4,FALSE),"")</f>
        <v/>
      </c>
      <c r="BF128" t="str">
        <f>+IFERROR(VLOOKUP(BF29,IN_Zugliste!$A$4:$D$2002,4,FALSE),"")</f>
        <v/>
      </c>
      <c r="BG128" t="str">
        <f>+IFERROR(VLOOKUP(BG29,IN_Zugliste!$A$4:$D$2002,4,FALSE),"")</f>
        <v/>
      </c>
      <c r="BH128" t="str">
        <f>+IFERROR(VLOOKUP(BH29,IN_Zugliste!$A$4:$D$2002,4,FALSE),"")</f>
        <v/>
      </c>
      <c r="BI128" t="str">
        <f>+IFERROR(VLOOKUP(BI29,IN_Zugliste!$A$4:$D$2002,4,FALSE),"")</f>
        <v/>
      </c>
      <c r="BJ128" t="str">
        <f>+IFERROR(VLOOKUP(BJ29,IN_Zugliste!$A$4:$D$2002,4,FALSE),"")</f>
        <v/>
      </c>
      <c r="BK128" t="str">
        <f>+IFERROR(VLOOKUP(BK29,IN_Zugliste!$A$4:$D$2002,4,FALSE),"")</f>
        <v/>
      </c>
      <c r="BL128" t="str">
        <f>+IFERROR(VLOOKUP(BL29,IN_Zugliste!$A$4:$D$2002,4,FALSE),"")</f>
        <v/>
      </c>
      <c r="BM128" t="str">
        <f>+IFERROR(VLOOKUP(BM29,IN_Zugliste!$A$4:$D$2002,4,FALSE),"")</f>
        <v/>
      </c>
      <c r="BN128" t="str">
        <f>+IFERROR(VLOOKUP(BN29,IN_Zugliste!$A$4:$D$2002,4,FALSE),"")</f>
        <v/>
      </c>
      <c r="BO128" t="str">
        <f>+IFERROR(VLOOKUP(BO29,IN_Zugliste!$A$4:$D$2002,4,FALSE),"")</f>
        <v/>
      </c>
      <c r="BP128" t="str">
        <f>+IFERROR(VLOOKUP(BP29,IN_Zugliste!$A$4:$D$2002,4,FALSE),"")</f>
        <v/>
      </c>
      <c r="BQ128" t="str">
        <f>+IFERROR(VLOOKUP(BQ29,IN_Zugliste!$A$4:$D$2002,4,FALSE),"")</f>
        <v/>
      </c>
      <c r="BR128" t="str">
        <f>+IFERROR(VLOOKUP(BR29,IN_Zugliste!$A$4:$D$2002,4,FALSE),"")</f>
        <v/>
      </c>
      <c r="BS128" t="str">
        <f>+IFERROR(VLOOKUP(BS29,IN_Zugliste!$A$4:$D$2002,4,FALSE),"")</f>
        <v/>
      </c>
      <c r="BT128" t="str">
        <f>+IFERROR(VLOOKUP(BT29,IN_Zugliste!$A$4:$D$2002,4,FALSE),"")</f>
        <v/>
      </c>
      <c r="BU128" t="str">
        <f>+IFERROR(VLOOKUP(BU29,IN_Zugliste!$A$4:$D$2002,4,FALSE),"")</f>
        <v/>
      </c>
      <c r="BV128" t="str">
        <f>+IFERROR(VLOOKUP(BV29,IN_Zugliste!$A$4:$D$2002,4,FALSE),"")</f>
        <v/>
      </c>
      <c r="BW128" t="str">
        <f>+IFERROR(VLOOKUP(BW29,IN_Zugliste!$A$4:$D$2002,4,FALSE),"")</f>
        <v/>
      </c>
      <c r="BX128" t="str">
        <f>+IFERROR(VLOOKUP(BX29,IN_Zugliste!$A$4:$D$2002,4,FALSE),"")</f>
        <v/>
      </c>
      <c r="BY128" t="str">
        <f>+IFERROR(VLOOKUP(BY29,IN_Zugliste!$A$4:$D$2002,4,FALSE),"")</f>
        <v/>
      </c>
      <c r="BZ128" t="str">
        <f>+IFERROR(VLOOKUP(BZ29,IN_Zugliste!$A$4:$D$2002,4,FALSE),"")</f>
        <v/>
      </c>
      <c r="CA128" t="str">
        <f>+IFERROR(VLOOKUP(CA29,IN_Zugliste!$A$4:$D$2002,4,FALSE),"")</f>
        <v/>
      </c>
      <c r="CB128" t="str">
        <f>+IFERROR(VLOOKUP(CB29,IN_Zugliste!$A$4:$D$2002,4,FALSE),"")</f>
        <v/>
      </c>
      <c r="CC128" t="str">
        <f>+IFERROR(VLOOKUP(CC29,IN_Zugliste!$A$4:$D$2002,4,FALSE),"")</f>
        <v/>
      </c>
      <c r="CD128" t="str">
        <f>+IFERROR(VLOOKUP(CD29,IN_Zugliste!$A$4:$D$2002,4,FALSE),"")</f>
        <v/>
      </c>
      <c r="CE128" t="str">
        <f>+IFERROR(VLOOKUP(CE29,IN_Zugliste!$A$4:$D$2002,4,FALSE),"")</f>
        <v/>
      </c>
      <c r="CF128" t="str">
        <f>+IFERROR(VLOOKUP(CF29,IN_Zugliste!$A$4:$D$2002,4,FALSE),"")</f>
        <v/>
      </c>
      <c r="CG128" t="str">
        <f>+IFERROR(VLOOKUP(CG29,IN_Zugliste!$A$4:$D$2002,4,FALSE),"")</f>
        <v/>
      </c>
      <c r="CH128" t="str">
        <f>+IFERROR(VLOOKUP(CH29,IN_Zugliste!$A$4:$D$2002,4,FALSE),"")</f>
        <v/>
      </c>
      <c r="CI128" t="str">
        <f>+IFERROR(VLOOKUP(CI29,IN_Zugliste!$A$4:$D$2002,4,FALSE),"")</f>
        <v/>
      </c>
      <c r="CJ128" t="str">
        <f>+IFERROR(VLOOKUP(CJ29,IN_Zugliste!$A$4:$D$2002,4,FALSE),"")</f>
        <v/>
      </c>
      <c r="CK128" t="str">
        <f>+IFERROR(VLOOKUP(CK29,IN_Zugliste!$A$4:$D$2002,4,FALSE),"")</f>
        <v/>
      </c>
      <c r="CL128" t="str">
        <f>+IFERROR(VLOOKUP(CL29,IN_Zugliste!$A$4:$D$2002,4,FALSE),"")</f>
        <v/>
      </c>
      <c r="CM128" t="str">
        <f>+IFERROR(VLOOKUP(CM29,IN_Zugliste!$A$4:$D$2002,4,FALSE),"")</f>
        <v/>
      </c>
      <c r="CN128" t="str">
        <f>+IFERROR(VLOOKUP(CN29,IN_Zugliste!$A$4:$D$2002,4,FALSE),"")</f>
        <v/>
      </c>
      <c r="CO128" t="str">
        <f>+IFERROR(VLOOKUP(CO29,IN_Zugliste!$A$4:$D$2002,4,FALSE),"")</f>
        <v/>
      </c>
      <c r="CP128" t="str">
        <f>+IFERROR(VLOOKUP(CP29,IN_Zugliste!$A$4:$D$2002,4,FALSE),"")</f>
        <v/>
      </c>
      <c r="CQ128" t="str">
        <f>+IFERROR(VLOOKUP(CQ29,IN_Zugliste!$A$4:$D$2002,4,FALSE),"")</f>
        <v/>
      </c>
      <c r="CR128" t="str">
        <f>+IFERROR(VLOOKUP(CR29,IN_Zugliste!$A$4:$D$2002,4,FALSE),"")</f>
        <v/>
      </c>
      <c r="CS128" t="str">
        <f>+IFERROR(VLOOKUP(CS29,IN_Zugliste!$A$4:$D$2002,4,FALSE),"")</f>
        <v/>
      </c>
      <c r="CT128" t="str">
        <f>+IFERROR(VLOOKUP(CT29,IN_Zugliste!$A$4:$D$2002,4,FALSE),"")</f>
        <v/>
      </c>
      <c r="CU128" t="str">
        <f>+IFERROR(VLOOKUP(CU29,IN_Zugliste!$A$4:$D$2002,4,FALSE),"")</f>
        <v/>
      </c>
      <c r="CV128" t="str">
        <f>+IFERROR(VLOOKUP(CV29,IN_Zugliste!$A$4:$D$2002,4,FALSE),"")</f>
        <v/>
      </c>
      <c r="CW128" t="str">
        <f>+IFERROR(VLOOKUP(CW29,IN_Zugliste!$A$4:$D$2002,4,FALSE),"")</f>
        <v/>
      </c>
      <c r="CX128" t="str">
        <f>+IFERROR(VLOOKUP(CX29,IN_Zugliste!$A$4:$D$2002,4,FALSE),"")</f>
        <v/>
      </c>
      <c r="CY128" t="str">
        <f>+IFERROR(VLOOKUP(CY29,IN_Zugliste!$A$4:$D$2002,4,FALSE),"")</f>
        <v/>
      </c>
      <c r="CZ128" t="str">
        <f>+IFERROR(VLOOKUP(CZ29,IN_Zugliste!$A$4:$D$2002,4,FALSE),"")</f>
        <v/>
      </c>
      <c r="DA128" t="str">
        <f>+IFERROR(VLOOKUP(DA29,IN_Zugliste!$A$4:$D$2002,4,FALSE),"")</f>
        <v/>
      </c>
      <c r="DB128" t="str">
        <f>+IFERROR(VLOOKUP(DB29,IN_Zugliste!$A$4:$D$2002,4,FALSE),"")</f>
        <v/>
      </c>
      <c r="DC128" t="str">
        <f>+IFERROR(VLOOKUP(DC29,IN_Zugliste!$A$4:$D$2002,4,FALSE),"")</f>
        <v/>
      </c>
      <c r="DD128" t="str">
        <f>+IFERROR(VLOOKUP(DD29,IN_Zugliste!$A$4:$D$2002,4,FALSE),"")</f>
        <v/>
      </c>
      <c r="DE128" t="str">
        <f>+IFERROR(VLOOKUP(DE29,IN_Zugliste!$A$4:$D$2002,4,FALSE),"")</f>
        <v/>
      </c>
      <c r="DF128" t="str">
        <f>+IFERROR(VLOOKUP(DF29,IN_Zugliste!$A$4:$D$2002,4,FALSE),"")</f>
        <v/>
      </c>
      <c r="DG128" t="str">
        <f>+IFERROR(VLOOKUP(DG29,IN_Zugliste!$A$4:$D$2002,4,FALSE),"")</f>
        <v/>
      </c>
      <c r="DH128" t="str">
        <f>+IFERROR(VLOOKUP(DH29,IN_Zugliste!$A$4:$D$2002,4,FALSE),"")</f>
        <v/>
      </c>
      <c r="DI128" t="str">
        <f>+IFERROR(VLOOKUP(DI29,IN_Zugliste!$A$4:$D$2002,4,FALSE),"")</f>
        <v/>
      </c>
      <c r="DJ128" t="str">
        <f>+IFERROR(VLOOKUP(DJ29,IN_Zugliste!$A$4:$D$2002,4,FALSE),"")</f>
        <v/>
      </c>
      <c r="DK128" t="str">
        <f>+IFERROR(VLOOKUP(DK29,IN_Zugliste!$A$4:$D$2002,4,FALSE),"")</f>
        <v/>
      </c>
      <c r="DL128" t="str">
        <f>+IFERROR(VLOOKUP(DL29,IN_Zugliste!$A$4:$D$2002,4,FALSE),"")</f>
        <v/>
      </c>
      <c r="DM128" t="str">
        <f>+IFERROR(VLOOKUP(DM29,IN_Zugliste!$A$4:$D$2002,4,FALSE),"")</f>
        <v/>
      </c>
      <c r="DN128" t="str">
        <f>+IFERROR(VLOOKUP(DN29,IN_Zugliste!$A$4:$D$2002,4,FALSE),"")</f>
        <v/>
      </c>
      <c r="DO128" t="str">
        <f>+IFERROR(VLOOKUP(DO29,IN_Zugliste!$A$4:$D$2002,4,FALSE),"")</f>
        <v/>
      </c>
      <c r="DP128" t="str">
        <f>+IFERROR(VLOOKUP(DP29,IN_Zugliste!$A$4:$D$2002,4,FALSE),"")</f>
        <v/>
      </c>
      <c r="DQ128" t="str">
        <f>+IFERROR(VLOOKUP(DQ29,IN_Zugliste!$A$4:$D$2002,4,FALSE),"")</f>
        <v/>
      </c>
      <c r="DR128" t="str">
        <f>+IFERROR(VLOOKUP(DR29,IN_Zugliste!$A$4:$D$2002,4,FALSE),"")</f>
        <v/>
      </c>
      <c r="DS128" t="str">
        <f>+IFERROR(VLOOKUP(DS29,IN_Zugliste!$A$4:$D$2002,4,FALSE),"")</f>
        <v/>
      </c>
      <c r="DT128" t="str">
        <f>+IFERROR(VLOOKUP(DT29,IN_Zugliste!$A$4:$D$2002,4,FALSE),"")</f>
        <v/>
      </c>
      <c r="DU128" t="str">
        <f>+IFERROR(VLOOKUP(DU29,IN_Zugliste!$A$4:$D$2002,4,FALSE),"")</f>
        <v/>
      </c>
      <c r="DV128" t="str">
        <f>+IFERROR(VLOOKUP(DV29,IN_Zugliste!$A$4:$D$2002,4,FALSE),"")</f>
        <v/>
      </c>
      <c r="DW128" t="str">
        <f>+IFERROR(VLOOKUP(DW29,IN_Zugliste!$A$4:$D$2002,4,FALSE),"")</f>
        <v/>
      </c>
      <c r="DX128" t="str">
        <f>+IFERROR(VLOOKUP(DX29,IN_Zugliste!$A$4:$D$2002,4,FALSE),"")</f>
        <v/>
      </c>
      <c r="DY128" t="str">
        <f>+IFERROR(VLOOKUP(DY29,IN_Zugliste!$A$4:$D$2002,4,FALSE),"")</f>
        <v/>
      </c>
      <c r="DZ128" t="str">
        <f>+IFERROR(VLOOKUP(DZ29,IN_Zugliste!$A$4:$D$2002,4,FALSE),"")</f>
        <v/>
      </c>
      <c r="EA128" t="str">
        <f>+IFERROR(VLOOKUP(EA29,IN_Zugliste!$A$4:$D$2002,4,FALSE),"")</f>
        <v/>
      </c>
      <c r="EB128" t="str">
        <f>+IFERROR(VLOOKUP(EB29,IN_Zugliste!$A$4:$D$2002,4,FALSE),"")</f>
        <v/>
      </c>
      <c r="EC128" t="str">
        <f>+IFERROR(VLOOKUP(EC29,IN_Zugliste!$A$4:$D$2002,4,FALSE),"")</f>
        <v/>
      </c>
      <c r="ED128" t="str">
        <f>+IFERROR(VLOOKUP(ED29,IN_Zugliste!$A$4:$D$2002,4,FALSE),"")</f>
        <v/>
      </c>
      <c r="EE128" t="str">
        <f>+IFERROR(VLOOKUP(EE29,IN_Zugliste!$A$4:$D$2002,4,FALSE),"")</f>
        <v/>
      </c>
      <c r="EF128" t="str">
        <f>+IFERROR(VLOOKUP(EF29,IN_Zugliste!$A$4:$D$2002,4,FALSE),"")</f>
        <v/>
      </c>
      <c r="EG128" t="str">
        <f>+IFERROR(VLOOKUP(EG29,IN_Zugliste!$A$4:$D$2002,4,FALSE),"")</f>
        <v/>
      </c>
      <c r="EH128" t="str">
        <f>+IFERROR(VLOOKUP(EH29,IN_Zugliste!$A$4:$D$2002,4,FALSE),"")</f>
        <v/>
      </c>
      <c r="EI128" t="str">
        <f>+IFERROR(VLOOKUP(EI29,IN_Zugliste!$A$4:$D$2002,4,FALSE),"")</f>
        <v/>
      </c>
      <c r="EJ128" t="str">
        <f>+IFERROR(VLOOKUP(EJ29,IN_Zugliste!$A$4:$D$2002,4,FALSE),"")</f>
        <v/>
      </c>
      <c r="EK128" t="str">
        <f>+IFERROR(VLOOKUP(EK29,IN_Zugliste!$A$4:$D$2002,4,FALSE),"")</f>
        <v/>
      </c>
      <c r="EL128" t="str">
        <f>+IFERROR(VLOOKUP(EL29,IN_Zugliste!$A$4:$D$2002,4,FALSE),"")</f>
        <v/>
      </c>
      <c r="EM128" t="str">
        <f>+IFERROR(VLOOKUP(EM29,IN_Zugliste!$A$4:$D$2002,4,FALSE),"")</f>
        <v/>
      </c>
      <c r="EN128" t="str">
        <f>+IFERROR(VLOOKUP(EN29,IN_Zugliste!$A$4:$D$2002,4,FALSE),"")</f>
        <v/>
      </c>
      <c r="EO128" t="str">
        <f>+IFERROR(VLOOKUP(EO29,IN_Zugliste!$A$4:$D$2002,4,FALSE),"")</f>
        <v/>
      </c>
      <c r="EP128" t="str">
        <f>+IFERROR(VLOOKUP(EP29,IN_Zugliste!$A$4:$D$2002,4,FALSE),"")</f>
        <v/>
      </c>
      <c r="EQ128" t="str">
        <f>+IFERROR(VLOOKUP(EQ29,IN_Zugliste!$A$4:$D$2002,4,FALSE),"")</f>
        <v/>
      </c>
      <c r="ER128" t="str">
        <f>+IFERROR(VLOOKUP(ER29,IN_Zugliste!$A$4:$D$2002,4,FALSE),"")</f>
        <v/>
      </c>
      <c r="ES128" t="str">
        <f>+IFERROR(VLOOKUP(ES29,IN_Zugliste!$A$4:$D$2002,4,FALSE),"")</f>
        <v/>
      </c>
      <c r="ET128" t="str">
        <f>+IFERROR(VLOOKUP(ET29,IN_Zugliste!$A$4:$D$2002,4,FALSE),"")</f>
        <v/>
      </c>
      <c r="EU128" t="str">
        <f>+IFERROR(VLOOKUP(EU29,IN_Zugliste!$A$4:$D$2002,4,FALSE),"")</f>
        <v/>
      </c>
      <c r="EV128" t="str">
        <f>+IFERROR(VLOOKUP(EV29,IN_Zugliste!$A$4:$D$2002,4,FALSE),"")</f>
        <v/>
      </c>
      <c r="EW128" t="str">
        <f>+IFERROR(VLOOKUP(EW29,IN_Zugliste!$A$4:$D$2002,4,FALSE),"")</f>
        <v/>
      </c>
      <c r="EX128" t="str">
        <f>+IFERROR(VLOOKUP(EX29,IN_Zugliste!$A$4:$D$2002,4,FALSE),"")</f>
        <v/>
      </c>
      <c r="EY128" t="str">
        <f>+IFERROR(VLOOKUP(EY29,IN_Zugliste!$A$4:$D$2002,4,FALSE),"")</f>
        <v/>
      </c>
      <c r="EZ128" t="str">
        <f>+IFERROR(VLOOKUP(EZ29,IN_Zugliste!$A$4:$D$2002,4,FALSE),"")</f>
        <v/>
      </c>
      <c r="FA128" t="str">
        <f>+IFERROR(VLOOKUP(FA29,IN_Zugliste!$A$4:$D$2002,4,FALSE),"")</f>
        <v/>
      </c>
      <c r="FB128" t="str">
        <f>+IFERROR(VLOOKUP(FB29,IN_Zugliste!$A$4:$D$2002,4,FALSE),"")</f>
        <v/>
      </c>
      <c r="FC128" t="str">
        <f>+IFERROR(VLOOKUP(FC29,IN_Zugliste!$A$4:$D$2002,4,FALSE),"")</f>
        <v/>
      </c>
      <c r="FD128" t="str">
        <f>+IFERROR(VLOOKUP(FD29,IN_Zugliste!$A$4:$D$2002,4,FALSE),"")</f>
        <v/>
      </c>
      <c r="FE128" t="str">
        <f>+IFERROR(VLOOKUP(FE29,IN_Zugliste!$A$4:$D$2002,4,FALSE),"")</f>
        <v/>
      </c>
      <c r="FF128" t="str">
        <f>+IFERROR(VLOOKUP(FF29,IN_Zugliste!$A$4:$D$2002,4,FALSE),"")</f>
        <v/>
      </c>
      <c r="FG128" t="str">
        <f>+IFERROR(VLOOKUP(FG29,IN_Zugliste!$A$4:$D$2002,4,FALSE),"")</f>
        <v/>
      </c>
      <c r="FH128" t="str">
        <f>+IFERROR(VLOOKUP(FH29,IN_Zugliste!$A$4:$D$2002,4,FALSE),"")</f>
        <v/>
      </c>
      <c r="FI128" t="str">
        <f>+IFERROR(VLOOKUP(FI29,IN_Zugliste!$A$4:$D$2002,4,FALSE),"")</f>
        <v/>
      </c>
      <c r="FJ128" t="str">
        <f>+IFERROR(VLOOKUP(FJ29,IN_Zugliste!$A$4:$D$2002,4,FALSE),"")</f>
        <v/>
      </c>
      <c r="FK128" t="str">
        <f>+IFERROR(VLOOKUP(FK29,IN_Zugliste!$A$4:$D$2002,4,FALSE),"")</f>
        <v/>
      </c>
      <c r="FL128" t="str">
        <f>+IFERROR(VLOOKUP(FL29,IN_Zugliste!$A$4:$D$2002,4,FALSE),"")</f>
        <v/>
      </c>
      <c r="FM128" t="str">
        <f>+IFERROR(VLOOKUP(FM29,IN_Zugliste!$A$4:$C$602,4,FALSE),"")</f>
        <v/>
      </c>
      <c r="FN128" t="str">
        <f>+IFERROR(VLOOKUP(FN29,IN_Zugliste!$A$4:$C$602,4,FALSE),"")</f>
        <v/>
      </c>
      <c r="FO128" t="str">
        <f>+IFERROR(VLOOKUP(FO29,IN_Zugliste!$A$4:$C$602,4,FALSE),"")</f>
        <v/>
      </c>
      <c r="FP128" t="str">
        <f>+IFERROR(VLOOKUP(FP29,IN_Zugliste!$A$4:$C$602,4,FALSE),"")</f>
        <v/>
      </c>
      <c r="FQ128" t="str">
        <f>+IFERROR(VLOOKUP(FQ29,IN_Zugliste!$A$4:$C$602,4,FALSE),"")</f>
        <v/>
      </c>
      <c r="FR128" t="str">
        <f>+IFERROR(VLOOKUP(FR29,IN_Zugliste!$A$4:$C$602,4,FALSE),"")</f>
        <v/>
      </c>
      <c r="FS128" t="str">
        <f>+IFERROR(VLOOKUP(FS29,IN_Zugliste!$A$4:$C$602,4,FALSE),"")</f>
        <v/>
      </c>
      <c r="FT128" t="str">
        <f>+IFERROR(VLOOKUP(FT29,IN_Zugliste!$A$4:$C$602,4,FALSE),"")</f>
        <v/>
      </c>
      <c r="FU128" t="str">
        <f>+IFERROR(VLOOKUP(FU29,IN_Zugliste!$A$4:$C$602,4,FALSE),"")</f>
        <v/>
      </c>
      <c r="FV128" t="str">
        <f>+IFERROR(VLOOKUP(FV29,IN_Zugliste!$A$4:$C$602,4,FALSE),"")</f>
        <v/>
      </c>
      <c r="FW128" t="str">
        <f>+IFERROR(VLOOKUP(FW29,IN_Zugliste!$A$4:$C$602,4,FALSE),"")</f>
        <v/>
      </c>
      <c r="FX128" t="str">
        <f>+IFERROR(VLOOKUP(FX29,IN_Zugliste!$A$4:$C$602,4,FALSE),"")</f>
        <v/>
      </c>
      <c r="FY128" t="str">
        <f>+IFERROR(VLOOKUP(FY29,IN_Zugliste!$A$4:$C$602,4,FALSE),"")</f>
        <v/>
      </c>
      <c r="FZ128" t="str">
        <f>+IFERROR(VLOOKUP(FZ29,IN_Zugliste!$A$4:$C$602,4,FALSE),"")</f>
        <v/>
      </c>
      <c r="GA128" t="str">
        <f>+IFERROR(VLOOKUP(GA29,IN_Zugliste!$A$4:$C$602,4,FALSE),"")</f>
        <v/>
      </c>
      <c r="GB128" t="str">
        <f>+IFERROR(VLOOKUP(GB29,IN_Zugliste!$A$4:$C$602,4,FALSE),"")</f>
        <v/>
      </c>
      <c r="GC128" t="str">
        <f>+IFERROR(VLOOKUP(GC29,IN_Zugliste!$A$4:$C$602,4,FALSE),"")</f>
        <v/>
      </c>
      <c r="GD128" t="str">
        <f>+IFERROR(VLOOKUP(GD29,IN_Zugliste!$A$4:$C$602,4,FALSE),"")</f>
        <v/>
      </c>
      <c r="GE128" t="str">
        <f>+IFERROR(VLOOKUP(GE29,IN_Zugliste!$A$4:$C$602,4,FALSE),"")</f>
        <v/>
      </c>
      <c r="GF128" t="str">
        <f>+IFERROR(VLOOKUP(GF29,IN_Zugliste!$A$4:$C$602,4,FALSE),"")</f>
        <v/>
      </c>
      <c r="GG128" t="str">
        <f>+IFERROR(VLOOKUP(GG29,IN_Zugliste!$A$4:$C$602,4,FALSE),"")</f>
        <v/>
      </c>
      <c r="GH128" t="str">
        <f>+IFERROR(VLOOKUP(GH29,IN_Zugliste!$A$4:$C$602,4,FALSE),"")</f>
        <v/>
      </c>
      <c r="GI128" t="str">
        <f>+IFERROR(VLOOKUP(GI29,IN_Zugliste!$A$4:$C$602,4,FALSE),"")</f>
        <v/>
      </c>
      <c r="GJ128" t="str">
        <f>+IFERROR(VLOOKUP(GJ29,IN_Zugliste!$A$4:$C$602,4,FALSE),"")</f>
        <v/>
      </c>
      <c r="GK128" t="str">
        <f>+IFERROR(VLOOKUP(GK29,IN_Zugliste!$A$4:$C$602,4,FALSE),"")</f>
        <v/>
      </c>
      <c r="GL128" t="str">
        <f>+IFERROR(VLOOKUP(GL29,IN_Zugliste!$A$4:$C$602,4,FALSE),"")</f>
        <v/>
      </c>
      <c r="GM128" t="str">
        <f>+IFERROR(VLOOKUP(GM29,IN_Zugliste!$A$4:$C$602,4,FALSE),"")</f>
        <v/>
      </c>
      <c r="GN128" t="str">
        <f>+IFERROR(VLOOKUP(GN29,IN_Zugliste!$A$4:$C$602,4,FALSE),"")</f>
        <v/>
      </c>
      <c r="GO128" t="str">
        <f>+IFERROR(VLOOKUP(GO29,IN_Zugliste!$A$4:$C$602,4,FALSE),"")</f>
        <v/>
      </c>
      <c r="GP128" t="str">
        <f>+IFERROR(VLOOKUP(GP29,IN_Zugliste!$A$4:$C$602,4,FALSE),"")</f>
        <v/>
      </c>
      <c r="GQ128" t="str">
        <f>+IFERROR(VLOOKUP(GQ29,IN_Zugliste!$A$4:$C$602,4,FALSE),"")</f>
        <v/>
      </c>
      <c r="GR128" t="str">
        <f>+IFERROR(VLOOKUP(GR29,IN_Zugliste!$A$4:$C$602,4,FALSE),"")</f>
        <v/>
      </c>
      <c r="GS128" t="str">
        <f>+IFERROR(VLOOKUP(GS29,IN_Zugliste!$A$4:$C$602,4,FALSE),"")</f>
        <v/>
      </c>
      <c r="GT128" t="str">
        <f>+IFERROR(VLOOKUP(GT29,IN_Zugliste!$A$4:$C$602,4,FALSE),"")</f>
        <v/>
      </c>
      <c r="GU128" t="str">
        <f>+IFERROR(VLOOKUP(GU29,IN_Zugliste!$A$4:$C$602,4,FALSE),"")</f>
        <v/>
      </c>
      <c r="GV128" t="str">
        <f>+IFERROR(VLOOKUP(GV29,IN_Zugliste!$A$4:$C$602,4,FALSE),"")</f>
        <v/>
      </c>
      <c r="GW128" t="str">
        <f>+IFERROR(VLOOKUP(GW29,IN_Zugliste!$A$4:$C$602,4,FALSE),"")</f>
        <v/>
      </c>
      <c r="GX128" t="str">
        <f>+IFERROR(VLOOKUP(GX29,IN_Zugliste!$A$4:$C$602,4,FALSE),"")</f>
        <v/>
      </c>
      <c r="GY128" t="str">
        <f>+IFERROR(VLOOKUP(GY29,IN_Zugliste!$A$4:$C$602,4,FALSE),"")</f>
        <v/>
      </c>
      <c r="GZ128" t="str">
        <f>+IFERROR(VLOOKUP(GZ29,IN_Zugliste!$A$4:$C$602,4,FALSE),"")</f>
        <v/>
      </c>
      <c r="HA128" t="str">
        <f>+IFERROR(VLOOKUP(HA29,IN_Zugliste!$A$4:$C$602,4,FALSE),"")</f>
        <v/>
      </c>
      <c r="HB128" t="str">
        <f>+IFERROR(VLOOKUP(HB29,IN_Zugliste!$A$4:$C$602,4,FALSE),"")</f>
        <v/>
      </c>
      <c r="HC128" t="str">
        <f>+IFERROR(VLOOKUP(HC29,IN_Zugliste!$A$4:$C$602,4,FALSE),"")</f>
        <v/>
      </c>
      <c r="HD128" t="str">
        <f>+IFERROR(VLOOKUP(HD29,IN_Zugliste!$A$4:$C$602,4,FALSE),"")</f>
        <v/>
      </c>
      <c r="HE128" t="str">
        <f>+IFERROR(VLOOKUP(HE29,IN_Zugliste!$A$4:$C$602,4,FALSE),"")</f>
        <v/>
      </c>
      <c r="HF128" t="str">
        <f>+IFERROR(VLOOKUP(HF29,IN_Zugliste!$A$4:$C$602,4,FALSE),"")</f>
        <v/>
      </c>
      <c r="HG128" t="str">
        <f>+IFERROR(VLOOKUP(HG29,IN_Zugliste!$A$4:$C$602,4,FALSE),"")</f>
        <v/>
      </c>
      <c r="HH128" t="str">
        <f>+IFERROR(VLOOKUP(HH29,IN_Zugliste!$A$4:$C$602,4,FALSE),"")</f>
        <v/>
      </c>
    </row>
    <row r="129" spans="1:216" x14ac:dyDescent="0.2">
      <c r="A129" t="str">
        <f>+IFERROR(VLOOKUP(A30,IN_Zugliste!$A$4:$D$2002,4,FALSE),"")</f>
        <v/>
      </c>
      <c r="B129" t="str">
        <f>+IFERROR(VLOOKUP(B30,IN_Zugliste!$A$4:$D$2002,4,FALSE),"")</f>
        <v/>
      </c>
      <c r="C129" t="str">
        <f>+IFERROR(VLOOKUP(C30,IN_Zugliste!$A$4:$D$2002,4,FALSE),"")</f>
        <v/>
      </c>
      <c r="D129" t="str">
        <f>+IFERROR(VLOOKUP(D30,IN_Zugliste!$A$4:$D$2002,4,FALSE),"")</f>
        <v/>
      </c>
      <c r="E129" t="str">
        <f>+IFERROR(VLOOKUP(E30,IN_Zugliste!$A$4:$D$2002,4,FALSE),"")</f>
        <v/>
      </c>
      <c r="F129" t="str">
        <f>+IFERROR(VLOOKUP(F30,IN_Zugliste!$A$4:$D$2002,4,FALSE),"")</f>
        <v/>
      </c>
      <c r="G129" t="str">
        <f>+IFERROR(VLOOKUP(G30,IN_Zugliste!$A$4:$D$2002,4,FALSE),"")</f>
        <v/>
      </c>
      <c r="H129" t="str">
        <f>+IFERROR(VLOOKUP(H30,IN_Zugliste!$A$4:$D$2002,4,FALSE),"")</f>
        <v/>
      </c>
      <c r="I129" t="str">
        <f>+IFERROR(VLOOKUP(I30,IN_Zugliste!$A$4:$D$2002,4,FALSE),"")</f>
        <v/>
      </c>
      <c r="J129" t="str">
        <f>+IFERROR(VLOOKUP(J30,IN_Zugliste!$A$4:$D$2002,4,FALSE),"")</f>
        <v/>
      </c>
      <c r="K129" t="str">
        <f>+IFERROR(VLOOKUP(K30,IN_Zugliste!$A$4:$D$2002,4,FALSE),"")</f>
        <v/>
      </c>
      <c r="L129" t="str">
        <f>+IFERROR(VLOOKUP(L30,IN_Zugliste!$A$4:$D$2002,4,FALSE),"")</f>
        <v/>
      </c>
      <c r="M129" t="str">
        <f>+IFERROR(VLOOKUP(M30,IN_Zugliste!$A$4:$D$2002,4,FALSE),"")</f>
        <v/>
      </c>
      <c r="N129" t="str">
        <f>+IFERROR(VLOOKUP(N30,IN_Zugliste!$A$4:$D$2002,4,FALSE),"")</f>
        <v/>
      </c>
      <c r="O129" t="str">
        <f>+IFERROR(VLOOKUP(O30,IN_Zugliste!$A$4:$D$2002,4,FALSE),"")</f>
        <v/>
      </c>
      <c r="P129" t="str">
        <f>+IFERROR(VLOOKUP(P30,IN_Zugliste!$A$4:$D$2002,4,FALSE),"")</f>
        <v/>
      </c>
      <c r="Q129" t="str">
        <f>+IFERROR(VLOOKUP(Q30,IN_Zugliste!$A$4:$D$2002,4,FALSE),"")</f>
        <v/>
      </c>
      <c r="R129" t="str">
        <f>+IFERROR(VLOOKUP(R30,IN_Zugliste!$A$4:$D$2002,4,FALSE),"")</f>
        <v/>
      </c>
      <c r="S129" t="str">
        <f>+IFERROR(VLOOKUP(S30,IN_Zugliste!$A$4:$D$2002,4,FALSE),"")</f>
        <v/>
      </c>
      <c r="T129" t="str">
        <f>+IFERROR(VLOOKUP(T30,IN_Zugliste!$A$4:$D$2002,4,FALSE),"")</f>
        <v/>
      </c>
      <c r="U129" t="str">
        <f>+IFERROR(VLOOKUP(U30,IN_Zugliste!$A$4:$D$2002,4,FALSE),"")</f>
        <v/>
      </c>
      <c r="V129" t="str">
        <f>+IFERROR(VLOOKUP(V30,IN_Zugliste!$A$4:$D$2002,4,FALSE),"")</f>
        <v/>
      </c>
      <c r="W129" t="str">
        <f>+IFERROR(VLOOKUP(W30,IN_Zugliste!$A$4:$D$2002,4,FALSE),"")</f>
        <v/>
      </c>
      <c r="X129" t="str">
        <f>+IFERROR(VLOOKUP(X30,IN_Zugliste!$A$4:$D$2002,4,FALSE),"")</f>
        <v/>
      </c>
      <c r="Y129" t="str">
        <f>+IFERROR(VLOOKUP(Y30,IN_Zugliste!$A$4:$D$2002,4,FALSE),"")</f>
        <v/>
      </c>
      <c r="Z129" t="str">
        <f>+IFERROR(VLOOKUP(Z30,IN_Zugliste!$A$4:$D$2002,4,FALSE),"")</f>
        <v/>
      </c>
      <c r="AA129" t="str">
        <f>+IFERROR(VLOOKUP(AA30,IN_Zugliste!$A$4:$D$2002,4,FALSE),"")</f>
        <v/>
      </c>
      <c r="AB129" t="str">
        <f>+IFERROR(VLOOKUP(AB30,IN_Zugliste!$A$4:$D$2002,4,FALSE),"")</f>
        <v/>
      </c>
      <c r="AC129" t="str">
        <f>+IFERROR(VLOOKUP(AC30,IN_Zugliste!$A$4:$D$2002,4,FALSE),"")</f>
        <v/>
      </c>
      <c r="AD129" t="str">
        <f>+IFERROR(VLOOKUP(AD30,IN_Zugliste!$A$4:$D$2002,4,FALSE),"")</f>
        <v/>
      </c>
      <c r="AE129" t="str">
        <f>+IFERROR(VLOOKUP(AE30,IN_Zugliste!$A$4:$D$2002,4,FALSE),"")</f>
        <v/>
      </c>
      <c r="AF129" t="str">
        <f>+IFERROR(VLOOKUP(AF30,IN_Zugliste!$A$4:$D$2002,4,FALSE),"")</f>
        <v/>
      </c>
      <c r="AG129" t="str">
        <f>+IFERROR(VLOOKUP(AG30,IN_Zugliste!$A$4:$D$2002,4,FALSE),"")</f>
        <v/>
      </c>
      <c r="AH129" t="str">
        <f>+IFERROR(VLOOKUP(AH30,IN_Zugliste!$A$4:$D$2002,4,FALSE),"")</f>
        <v/>
      </c>
      <c r="AI129" t="str">
        <f>+IFERROR(VLOOKUP(AI30,IN_Zugliste!$A$4:$D$2002,4,FALSE),"")</f>
        <v/>
      </c>
      <c r="AJ129" t="str">
        <f>+IFERROR(VLOOKUP(AJ30,IN_Zugliste!$A$4:$D$2002,4,FALSE),"")</f>
        <v/>
      </c>
      <c r="AK129" t="str">
        <f>+IFERROR(VLOOKUP(AK30,IN_Zugliste!$A$4:$D$2002,4,FALSE),"")</f>
        <v/>
      </c>
      <c r="AL129" t="str">
        <f>+IFERROR(VLOOKUP(AL30,IN_Zugliste!$A$4:$D$2002,4,FALSE),"")</f>
        <v/>
      </c>
      <c r="AM129" t="str">
        <f>+IFERROR(VLOOKUP(AM30,IN_Zugliste!$A$4:$D$2002,4,FALSE),"")</f>
        <v/>
      </c>
      <c r="AN129" t="str">
        <f>+IFERROR(VLOOKUP(AN30,IN_Zugliste!$A$4:$D$2002,4,FALSE),"")</f>
        <v/>
      </c>
      <c r="AO129" t="str">
        <f>+IFERROR(VLOOKUP(AO30,IN_Zugliste!$A$4:$D$2002,4,FALSE),"")</f>
        <v/>
      </c>
      <c r="AP129" t="str">
        <f>+IFERROR(VLOOKUP(AP30,IN_Zugliste!$A$4:$D$2002,4,FALSE),"")</f>
        <v/>
      </c>
      <c r="AQ129" t="str">
        <f>+IFERROR(VLOOKUP(AQ30,IN_Zugliste!$A$4:$D$2002,4,FALSE),"")</f>
        <v/>
      </c>
      <c r="AR129" t="str">
        <f>+IFERROR(VLOOKUP(AR30,IN_Zugliste!$A$4:$D$2002,4,FALSE),"")</f>
        <v/>
      </c>
      <c r="AS129" t="str">
        <f>+IFERROR(VLOOKUP(AS30,IN_Zugliste!$A$4:$D$2002,4,FALSE),"")</f>
        <v/>
      </c>
      <c r="AT129" t="str">
        <f>+IFERROR(VLOOKUP(AT30,IN_Zugliste!$A$4:$D$2002,4,FALSE),"")</f>
        <v/>
      </c>
      <c r="AU129" t="str">
        <f>+IFERROR(VLOOKUP(AU30,IN_Zugliste!$A$4:$D$2002,4,FALSE),"")</f>
        <v/>
      </c>
      <c r="AV129" t="str">
        <f>+IFERROR(VLOOKUP(AV30,IN_Zugliste!$A$4:$D$2002,4,FALSE),"")</f>
        <v/>
      </c>
      <c r="AW129" t="str">
        <f>+IFERROR(VLOOKUP(AW30,IN_Zugliste!$A$4:$D$2002,4,FALSE),"")</f>
        <v/>
      </c>
      <c r="AX129" t="str">
        <f>+IFERROR(VLOOKUP(AX30,IN_Zugliste!$A$4:$D$2002,4,FALSE),"")</f>
        <v/>
      </c>
      <c r="AY129" t="str">
        <f>+IFERROR(VLOOKUP(AY30,IN_Zugliste!$A$4:$D$2002,4,FALSE),"")</f>
        <v/>
      </c>
      <c r="AZ129" t="str">
        <f>+IFERROR(VLOOKUP(AZ30,IN_Zugliste!$A$4:$D$2002,4,FALSE),"")</f>
        <v/>
      </c>
      <c r="BA129" t="str">
        <f>+IFERROR(VLOOKUP(BA30,IN_Zugliste!$A$4:$D$2002,4,FALSE),"")</f>
        <v/>
      </c>
      <c r="BB129" t="str">
        <f>+IFERROR(VLOOKUP(BB30,IN_Zugliste!$A$4:$D$2002,4,FALSE),"")</f>
        <v/>
      </c>
      <c r="BC129" t="str">
        <f>+IFERROR(VLOOKUP(BC30,IN_Zugliste!$A$4:$D$2002,4,FALSE),"")</f>
        <v/>
      </c>
      <c r="BD129" t="str">
        <f>+IFERROR(VLOOKUP(BD30,IN_Zugliste!$A$4:$D$2002,4,FALSE),"")</f>
        <v/>
      </c>
      <c r="BE129" t="str">
        <f>+IFERROR(VLOOKUP(BE30,IN_Zugliste!$A$4:$D$2002,4,FALSE),"")</f>
        <v/>
      </c>
      <c r="BF129" t="str">
        <f>+IFERROR(VLOOKUP(BF30,IN_Zugliste!$A$4:$D$2002,4,FALSE),"")</f>
        <v/>
      </c>
      <c r="BG129" t="str">
        <f>+IFERROR(VLOOKUP(BG30,IN_Zugliste!$A$4:$D$2002,4,FALSE),"")</f>
        <v/>
      </c>
      <c r="BH129" t="str">
        <f>+IFERROR(VLOOKUP(BH30,IN_Zugliste!$A$4:$D$2002,4,FALSE),"")</f>
        <v/>
      </c>
      <c r="BI129" t="str">
        <f>+IFERROR(VLOOKUP(BI30,IN_Zugliste!$A$4:$D$2002,4,FALSE),"")</f>
        <v/>
      </c>
      <c r="BJ129" t="str">
        <f>+IFERROR(VLOOKUP(BJ30,IN_Zugliste!$A$4:$D$2002,4,FALSE),"")</f>
        <v/>
      </c>
      <c r="BK129" t="str">
        <f>+IFERROR(VLOOKUP(BK30,IN_Zugliste!$A$4:$D$2002,4,FALSE),"")</f>
        <v/>
      </c>
      <c r="BL129" t="str">
        <f>+IFERROR(VLOOKUP(BL30,IN_Zugliste!$A$4:$D$2002,4,FALSE),"")</f>
        <v/>
      </c>
      <c r="BM129" t="str">
        <f>+IFERROR(VLOOKUP(BM30,IN_Zugliste!$A$4:$D$2002,4,FALSE),"")</f>
        <v/>
      </c>
      <c r="BN129" t="str">
        <f>+IFERROR(VLOOKUP(BN30,IN_Zugliste!$A$4:$D$2002,4,FALSE),"")</f>
        <v/>
      </c>
      <c r="BO129" t="str">
        <f>+IFERROR(VLOOKUP(BO30,IN_Zugliste!$A$4:$D$2002,4,FALSE),"")</f>
        <v/>
      </c>
      <c r="BP129" t="str">
        <f>+IFERROR(VLOOKUP(BP30,IN_Zugliste!$A$4:$D$2002,4,FALSE),"")</f>
        <v/>
      </c>
      <c r="BQ129" t="str">
        <f>+IFERROR(VLOOKUP(BQ30,IN_Zugliste!$A$4:$D$2002,4,FALSE),"")</f>
        <v/>
      </c>
      <c r="BR129" t="str">
        <f>+IFERROR(VLOOKUP(BR30,IN_Zugliste!$A$4:$D$2002,4,FALSE),"")</f>
        <v/>
      </c>
      <c r="BS129" t="str">
        <f>+IFERROR(VLOOKUP(BS30,IN_Zugliste!$A$4:$D$2002,4,FALSE),"")</f>
        <v/>
      </c>
      <c r="BT129" t="str">
        <f>+IFERROR(VLOOKUP(BT30,IN_Zugliste!$A$4:$D$2002,4,FALSE),"")</f>
        <v/>
      </c>
      <c r="BU129" t="str">
        <f>+IFERROR(VLOOKUP(BU30,IN_Zugliste!$A$4:$D$2002,4,FALSE),"")</f>
        <v/>
      </c>
      <c r="BV129" t="str">
        <f>+IFERROR(VLOOKUP(BV30,IN_Zugliste!$A$4:$D$2002,4,FALSE),"")</f>
        <v/>
      </c>
      <c r="BW129" t="str">
        <f>+IFERROR(VLOOKUP(BW30,IN_Zugliste!$A$4:$D$2002,4,FALSE),"")</f>
        <v/>
      </c>
      <c r="BX129" t="str">
        <f>+IFERROR(VLOOKUP(BX30,IN_Zugliste!$A$4:$D$2002,4,FALSE),"")</f>
        <v/>
      </c>
      <c r="BY129" t="str">
        <f>+IFERROR(VLOOKUP(BY30,IN_Zugliste!$A$4:$D$2002,4,FALSE),"")</f>
        <v/>
      </c>
      <c r="BZ129" t="str">
        <f>+IFERROR(VLOOKUP(BZ30,IN_Zugliste!$A$4:$D$2002,4,FALSE),"")</f>
        <v/>
      </c>
      <c r="CA129" t="str">
        <f>+IFERROR(VLOOKUP(CA30,IN_Zugliste!$A$4:$D$2002,4,FALSE),"")</f>
        <v/>
      </c>
      <c r="CB129" t="str">
        <f>+IFERROR(VLOOKUP(CB30,IN_Zugliste!$A$4:$D$2002,4,FALSE),"")</f>
        <v/>
      </c>
      <c r="CC129" t="str">
        <f>+IFERROR(VLOOKUP(CC30,IN_Zugliste!$A$4:$D$2002,4,FALSE),"")</f>
        <v/>
      </c>
      <c r="CD129" t="str">
        <f>+IFERROR(VLOOKUP(CD30,IN_Zugliste!$A$4:$D$2002,4,FALSE),"")</f>
        <v/>
      </c>
      <c r="CE129" t="str">
        <f>+IFERROR(VLOOKUP(CE30,IN_Zugliste!$A$4:$D$2002,4,FALSE),"")</f>
        <v/>
      </c>
      <c r="CF129" t="str">
        <f>+IFERROR(VLOOKUP(CF30,IN_Zugliste!$A$4:$D$2002,4,FALSE),"")</f>
        <v/>
      </c>
      <c r="CG129" t="str">
        <f>+IFERROR(VLOOKUP(CG30,IN_Zugliste!$A$4:$D$2002,4,FALSE),"")</f>
        <v/>
      </c>
      <c r="CH129" t="str">
        <f>+IFERROR(VLOOKUP(CH30,IN_Zugliste!$A$4:$D$2002,4,FALSE),"")</f>
        <v/>
      </c>
      <c r="CI129" t="str">
        <f>+IFERROR(VLOOKUP(CI30,IN_Zugliste!$A$4:$D$2002,4,FALSE),"")</f>
        <v/>
      </c>
      <c r="CJ129" t="str">
        <f>+IFERROR(VLOOKUP(CJ30,IN_Zugliste!$A$4:$D$2002,4,FALSE),"")</f>
        <v/>
      </c>
      <c r="CK129" t="str">
        <f>+IFERROR(VLOOKUP(CK30,IN_Zugliste!$A$4:$D$2002,4,FALSE),"")</f>
        <v/>
      </c>
      <c r="CL129" t="str">
        <f>+IFERROR(VLOOKUP(CL30,IN_Zugliste!$A$4:$D$2002,4,FALSE),"")</f>
        <v/>
      </c>
      <c r="CM129" t="str">
        <f>+IFERROR(VLOOKUP(CM30,IN_Zugliste!$A$4:$D$2002,4,FALSE),"")</f>
        <v/>
      </c>
      <c r="CN129" t="str">
        <f>+IFERROR(VLOOKUP(CN30,IN_Zugliste!$A$4:$D$2002,4,FALSE),"")</f>
        <v/>
      </c>
      <c r="CO129" t="str">
        <f>+IFERROR(VLOOKUP(CO30,IN_Zugliste!$A$4:$D$2002,4,FALSE),"")</f>
        <v/>
      </c>
      <c r="CP129" t="str">
        <f>+IFERROR(VLOOKUP(CP30,IN_Zugliste!$A$4:$D$2002,4,FALSE),"")</f>
        <v/>
      </c>
      <c r="CQ129" t="str">
        <f>+IFERROR(VLOOKUP(CQ30,IN_Zugliste!$A$4:$D$2002,4,FALSE),"")</f>
        <v/>
      </c>
      <c r="CR129" t="str">
        <f>+IFERROR(VLOOKUP(CR30,IN_Zugliste!$A$4:$D$2002,4,FALSE),"")</f>
        <v/>
      </c>
      <c r="CS129" t="str">
        <f>+IFERROR(VLOOKUP(CS30,IN_Zugliste!$A$4:$D$2002,4,FALSE),"")</f>
        <v/>
      </c>
      <c r="CT129" t="str">
        <f>+IFERROR(VLOOKUP(CT30,IN_Zugliste!$A$4:$D$2002,4,FALSE),"")</f>
        <v/>
      </c>
      <c r="CU129" t="str">
        <f>+IFERROR(VLOOKUP(CU30,IN_Zugliste!$A$4:$D$2002,4,FALSE),"")</f>
        <v/>
      </c>
      <c r="CV129" t="str">
        <f>+IFERROR(VLOOKUP(CV30,IN_Zugliste!$A$4:$D$2002,4,FALSE),"")</f>
        <v/>
      </c>
      <c r="CW129" t="str">
        <f>+IFERROR(VLOOKUP(CW30,IN_Zugliste!$A$4:$D$2002,4,FALSE),"")</f>
        <v/>
      </c>
      <c r="CX129" t="str">
        <f>+IFERROR(VLOOKUP(CX30,IN_Zugliste!$A$4:$D$2002,4,FALSE),"")</f>
        <v/>
      </c>
      <c r="CY129" t="str">
        <f>+IFERROR(VLOOKUP(CY30,IN_Zugliste!$A$4:$D$2002,4,FALSE),"")</f>
        <v/>
      </c>
      <c r="CZ129" t="str">
        <f>+IFERROR(VLOOKUP(CZ30,IN_Zugliste!$A$4:$D$2002,4,FALSE),"")</f>
        <v/>
      </c>
      <c r="DA129" t="str">
        <f>+IFERROR(VLOOKUP(DA30,IN_Zugliste!$A$4:$D$2002,4,FALSE),"")</f>
        <v/>
      </c>
      <c r="DB129" t="str">
        <f>+IFERROR(VLOOKUP(DB30,IN_Zugliste!$A$4:$D$2002,4,FALSE),"")</f>
        <v/>
      </c>
      <c r="DC129" t="str">
        <f>+IFERROR(VLOOKUP(DC30,IN_Zugliste!$A$4:$D$2002,4,FALSE),"")</f>
        <v/>
      </c>
      <c r="DD129" t="str">
        <f>+IFERROR(VLOOKUP(DD30,IN_Zugliste!$A$4:$D$2002,4,FALSE),"")</f>
        <v/>
      </c>
      <c r="DE129" t="str">
        <f>+IFERROR(VLOOKUP(DE30,IN_Zugliste!$A$4:$D$2002,4,FALSE),"")</f>
        <v/>
      </c>
      <c r="DF129" t="str">
        <f>+IFERROR(VLOOKUP(DF30,IN_Zugliste!$A$4:$D$2002,4,FALSE),"")</f>
        <v/>
      </c>
      <c r="DG129" t="str">
        <f>+IFERROR(VLOOKUP(DG30,IN_Zugliste!$A$4:$D$2002,4,FALSE),"")</f>
        <v/>
      </c>
      <c r="DH129" t="str">
        <f>+IFERROR(VLOOKUP(DH30,IN_Zugliste!$A$4:$D$2002,4,FALSE),"")</f>
        <v/>
      </c>
      <c r="DI129" t="str">
        <f>+IFERROR(VLOOKUP(DI30,IN_Zugliste!$A$4:$D$2002,4,FALSE),"")</f>
        <v/>
      </c>
      <c r="DJ129" t="str">
        <f>+IFERROR(VLOOKUP(DJ30,IN_Zugliste!$A$4:$D$2002,4,FALSE),"")</f>
        <v/>
      </c>
      <c r="DK129" t="str">
        <f>+IFERROR(VLOOKUP(DK30,IN_Zugliste!$A$4:$D$2002,4,FALSE),"")</f>
        <v/>
      </c>
      <c r="DL129" t="str">
        <f>+IFERROR(VLOOKUP(DL30,IN_Zugliste!$A$4:$D$2002,4,FALSE),"")</f>
        <v/>
      </c>
      <c r="DM129" t="str">
        <f>+IFERROR(VLOOKUP(DM30,IN_Zugliste!$A$4:$D$2002,4,FALSE),"")</f>
        <v/>
      </c>
      <c r="DN129" t="str">
        <f>+IFERROR(VLOOKUP(DN30,IN_Zugliste!$A$4:$D$2002,4,FALSE),"")</f>
        <v/>
      </c>
      <c r="DO129" t="str">
        <f>+IFERROR(VLOOKUP(DO30,IN_Zugliste!$A$4:$D$2002,4,FALSE),"")</f>
        <v/>
      </c>
      <c r="DP129" t="str">
        <f>+IFERROR(VLOOKUP(DP30,IN_Zugliste!$A$4:$D$2002,4,FALSE),"")</f>
        <v/>
      </c>
      <c r="DQ129" t="str">
        <f>+IFERROR(VLOOKUP(DQ30,IN_Zugliste!$A$4:$D$2002,4,FALSE),"")</f>
        <v/>
      </c>
      <c r="DR129" t="str">
        <f>+IFERROR(VLOOKUP(DR30,IN_Zugliste!$A$4:$D$2002,4,FALSE),"")</f>
        <v/>
      </c>
      <c r="DS129" t="str">
        <f>+IFERROR(VLOOKUP(DS30,IN_Zugliste!$A$4:$D$2002,4,FALSE),"")</f>
        <v/>
      </c>
      <c r="DT129" t="str">
        <f>+IFERROR(VLOOKUP(DT30,IN_Zugliste!$A$4:$D$2002,4,FALSE),"")</f>
        <v/>
      </c>
      <c r="DU129" t="str">
        <f>+IFERROR(VLOOKUP(DU30,IN_Zugliste!$A$4:$D$2002,4,FALSE),"")</f>
        <v/>
      </c>
      <c r="DV129" t="str">
        <f>+IFERROR(VLOOKUP(DV30,IN_Zugliste!$A$4:$D$2002,4,FALSE),"")</f>
        <v/>
      </c>
      <c r="DW129" t="str">
        <f>+IFERROR(VLOOKUP(DW30,IN_Zugliste!$A$4:$D$2002,4,FALSE),"")</f>
        <v/>
      </c>
      <c r="DX129" t="str">
        <f>+IFERROR(VLOOKUP(DX30,IN_Zugliste!$A$4:$D$2002,4,FALSE),"")</f>
        <v/>
      </c>
      <c r="DY129" t="str">
        <f>+IFERROR(VLOOKUP(DY30,IN_Zugliste!$A$4:$D$2002,4,FALSE),"")</f>
        <v/>
      </c>
      <c r="DZ129" t="str">
        <f>+IFERROR(VLOOKUP(DZ30,IN_Zugliste!$A$4:$D$2002,4,FALSE),"")</f>
        <v/>
      </c>
      <c r="EA129" t="str">
        <f>+IFERROR(VLOOKUP(EA30,IN_Zugliste!$A$4:$D$2002,4,FALSE),"")</f>
        <v/>
      </c>
      <c r="EB129" t="str">
        <f>+IFERROR(VLOOKUP(EB30,IN_Zugliste!$A$4:$D$2002,4,FALSE),"")</f>
        <v/>
      </c>
      <c r="EC129" t="str">
        <f>+IFERROR(VLOOKUP(EC30,IN_Zugliste!$A$4:$D$2002,4,FALSE),"")</f>
        <v/>
      </c>
      <c r="ED129" t="str">
        <f>+IFERROR(VLOOKUP(ED30,IN_Zugliste!$A$4:$D$2002,4,FALSE),"")</f>
        <v/>
      </c>
      <c r="EE129" t="str">
        <f>+IFERROR(VLOOKUP(EE30,IN_Zugliste!$A$4:$D$2002,4,FALSE),"")</f>
        <v/>
      </c>
      <c r="EF129" t="str">
        <f>+IFERROR(VLOOKUP(EF30,IN_Zugliste!$A$4:$D$2002,4,FALSE),"")</f>
        <v/>
      </c>
      <c r="EG129" t="str">
        <f>+IFERROR(VLOOKUP(EG30,IN_Zugliste!$A$4:$D$2002,4,FALSE),"")</f>
        <v/>
      </c>
      <c r="EH129" t="str">
        <f>+IFERROR(VLOOKUP(EH30,IN_Zugliste!$A$4:$D$2002,4,FALSE),"")</f>
        <v/>
      </c>
      <c r="EI129" t="str">
        <f>+IFERROR(VLOOKUP(EI30,IN_Zugliste!$A$4:$D$2002,4,FALSE),"")</f>
        <v/>
      </c>
      <c r="EJ129" t="str">
        <f>+IFERROR(VLOOKUP(EJ30,IN_Zugliste!$A$4:$D$2002,4,FALSE),"")</f>
        <v/>
      </c>
      <c r="EK129" t="str">
        <f>+IFERROR(VLOOKUP(EK30,IN_Zugliste!$A$4:$D$2002,4,FALSE),"")</f>
        <v/>
      </c>
      <c r="EL129" t="str">
        <f>+IFERROR(VLOOKUP(EL30,IN_Zugliste!$A$4:$D$2002,4,FALSE),"")</f>
        <v/>
      </c>
      <c r="EM129" t="str">
        <f>+IFERROR(VLOOKUP(EM30,IN_Zugliste!$A$4:$D$2002,4,FALSE),"")</f>
        <v/>
      </c>
      <c r="EN129" t="str">
        <f>+IFERROR(VLOOKUP(EN30,IN_Zugliste!$A$4:$D$2002,4,FALSE),"")</f>
        <v/>
      </c>
      <c r="EO129" t="str">
        <f>+IFERROR(VLOOKUP(EO30,IN_Zugliste!$A$4:$D$2002,4,FALSE),"")</f>
        <v/>
      </c>
      <c r="EP129" t="str">
        <f>+IFERROR(VLOOKUP(EP30,IN_Zugliste!$A$4:$D$2002,4,FALSE),"")</f>
        <v/>
      </c>
      <c r="EQ129" t="str">
        <f>+IFERROR(VLOOKUP(EQ30,IN_Zugliste!$A$4:$D$2002,4,FALSE),"")</f>
        <v/>
      </c>
      <c r="ER129" t="str">
        <f>+IFERROR(VLOOKUP(ER30,IN_Zugliste!$A$4:$D$2002,4,FALSE),"")</f>
        <v/>
      </c>
      <c r="ES129" t="str">
        <f>+IFERROR(VLOOKUP(ES30,IN_Zugliste!$A$4:$D$2002,4,FALSE),"")</f>
        <v/>
      </c>
      <c r="ET129" t="str">
        <f>+IFERROR(VLOOKUP(ET30,IN_Zugliste!$A$4:$D$2002,4,FALSE),"")</f>
        <v/>
      </c>
      <c r="EU129" t="str">
        <f>+IFERROR(VLOOKUP(EU30,IN_Zugliste!$A$4:$D$2002,4,FALSE),"")</f>
        <v/>
      </c>
      <c r="EV129" t="str">
        <f>+IFERROR(VLOOKUP(EV30,IN_Zugliste!$A$4:$D$2002,4,FALSE),"")</f>
        <v/>
      </c>
      <c r="EW129" t="str">
        <f>+IFERROR(VLOOKUP(EW30,IN_Zugliste!$A$4:$D$2002,4,FALSE),"")</f>
        <v/>
      </c>
      <c r="EX129" t="str">
        <f>+IFERROR(VLOOKUP(EX30,IN_Zugliste!$A$4:$D$2002,4,FALSE),"")</f>
        <v/>
      </c>
      <c r="EY129" t="str">
        <f>+IFERROR(VLOOKUP(EY30,IN_Zugliste!$A$4:$D$2002,4,FALSE),"")</f>
        <v/>
      </c>
      <c r="EZ129" t="str">
        <f>+IFERROR(VLOOKUP(EZ30,IN_Zugliste!$A$4:$D$2002,4,FALSE),"")</f>
        <v/>
      </c>
      <c r="FA129" t="str">
        <f>+IFERROR(VLOOKUP(FA30,IN_Zugliste!$A$4:$D$2002,4,FALSE),"")</f>
        <v/>
      </c>
      <c r="FB129" t="str">
        <f>+IFERROR(VLOOKUP(FB30,IN_Zugliste!$A$4:$D$2002,4,FALSE),"")</f>
        <v/>
      </c>
      <c r="FC129" t="str">
        <f>+IFERROR(VLOOKUP(FC30,IN_Zugliste!$A$4:$D$2002,4,FALSE),"")</f>
        <v/>
      </c>
      <c r="FD129" t="str">
        <f>+IFERROR(VLOOKUP(FD30,IN_Zugliste!$A$4:$D$2002,4,FALSE),"")</f>
        <v/>
      </c>
      <c r="FE129" t="str">
        <f>+IFERROR(VLOOKUP(FE30,IN_Zugliste!$A$4:$D$2002,4,FALSE),"")</f>
        <v/>
      </c>
      <c r="FF129" t="str">
        <f>+IFERROR(VLOOKUP(FF30,IN_Zugliste!$A$4:$D$2002,4,FALSE),"")</f>
        <v/>
      </c>
      <c r="FG129" t="str">
        <f>+IFERROR(VLOOKUP(FG30,IN_Zugliste!$A$4:$D$2002,4,FALSE),"")</f>
        <v/>
      </c>
      <c r="FH129" t="str">
        <f>+IFERROR(VLOOKUP(FH30,IN_Zugliste!$A$4:$D$2002,4,FALSE),"")</f>
        <v/>
      </c>
      <c r="FI129" t="str">
        <f>+IFERROR(VLOOKUP(FI30,IN_Zugliste!$A$4:$D$2002,4,FALSE),"")</f>
        <v/>
      </c>
      <c r="FJ129" t="str">
        <f>+IFERROR(VLOOKUP(FJ30,IN_Zugliste!$A$4:$D$2002,4,FALSE),"")</f>
        <v/>
      </c>
      <c r="FK129" t="str">
        <f>+IFERROR(VLOOKUP(FK30,IN_Zugliste!$A$4:$D$2002,4,FALSE),"")</f>
        <v/>
      </c>
      <c r="FL129" t="str">
        <f>+IFERROR(VLOOKUP(FL30,IN_Zugliste!$A$4:$D$2002,4,FALSE),"")</f>
        <v/>
      </c>
      <c r="FM129" t="str">
        <f>+IFERROR(VLOOKUP(FM30,IN_Zugliste!$A$4:$C$602,4,FALSE),"")</f>
        <v/>
      </c>
      <c r="FN129" t="str">
        <f>+IFERROR(VLOOKUP(FN30,IN_Zugliste!$A$4:$C$602,4,FALSE),"")</f>
        <v/>
      </c>
      <c r="FO129" t="str">
        <f>+IFERROR(VLOOKUP(FO30,IN_Zugliste!$A$4:$C$602,4,FALSE),"")</f>
        <v/>
      </c>
      <c r="FP129" t="str">
        <f>+IFERROR(VLOOKUP(FP30,IN_Zugliste!$A$4:$C$602,4,FALSE),"")</f>
        <v/>
      </c>
      <c r="FQ129" t="str">
        <f>+IFERROR(VLOOKUP(FQ30,IN_Zugliste!$A$4:$C$602,4,FALSE),"")</f>
        <v/>
      </c>
      <c r="FR129" t="str">
        <f>+IFERROR(VLOOKUP(FR30,IN_Zugliste!$A$4:$C$602,4,FALSE),"")</f>
        <v/>
      </c>
      <c r="FS129" t="str">
        <f>+IFERROR(VLOOKUP(FS30,IN_Zugliste!$A$4:$C$602,4,FALSE),"")</f>
        <v/>
      </c>
      <c r="FT129" t="str">
        <f>+IFERROR(VLOOKUP(FT30,IN_Zugliste!$A$4:$C$602,4,FALSE),"")</f>
        <v/>
      </c>
      <c r="FU129" t="str">
        <f>+IFERROR(VLOOKUP(FU30,IN_Zugliste!$A$4:$C$602,4,FALSE),"")</f>
        <v/>
      </c>
      <c r="FV129" t="str">
        <f>+IFERROR(VLOOKUP(FV30,IN_Zugliste!$A$4:$C$602,4,FALSE),"")</f>
        <v/>
      </c>
      <c r="FW129" t="str">
        <f>+IFERROR(VLOOKUP(FW30,IN_Zugliste!$A$4:$C$602,4,FALSE),"")</f>
        <v/>
      </c>
      <c r="FX129" t="str">
        <f>+IFERROR(VLOOKUP(FX30,IN_Zugliste!$A$4:$C$602,4,FALSE),"")</f>
        <v/>
      </c>
      <c r="FY129" t="str">
        <f>+IFERROR(VLOOKUP(FY30,IN_Zugliste!$A$4:$C$602,4,FALSE),"")</f>
        <v/>
      </c>
      <c r="FZ129" t="str">
        <f>+IFERROR(VLOOKUP(FZ30,IN_Zugliste!$A$4:$C$602,4,FALSE),"")</f>
        <v/>
      </c>
      <c r="GA129" t="str">
        <f>+IFERROR(VLOOKUP(GA30,IN_Zugliste!$A$4:$C$602,4,FALSE),"")</f>
        <v/>
      </c>
      <c r="GB129" t="str">
        <f>+IFERROR(VLOOKUP(GB30,IN_Zugliste!$A$4:$C$602,4,FALSE),"")</f>
        <v/>
      </c>
      <c r="GC129" t="str">
        <f>+IFERROR(VLOOKUP(GC30,IN_Zugliste!$A$4:$C$602,4,FALSE),"")</f>
        <v/>
      </c>
      <c r="GD129" t="str">
        <f>+IFERROR(VLOOKUP(GD30,IN_Zugliste!$A$4:$C$602,4,FALSE),"")</f>
        <v/>
      </c>
      <c r="GE129" t="str">
        <f>+IFERROR(VLOOKUP(GE30,IN_Zugliste!$A$4:$C$602,4,FALSE),"")</f>
        <v/>
      </c>
      <c r="GF129" t="str">
        <f>+IFERROR(VLOOKUP(GF30,IN_Zugliste!$A$4:$C$602,4,FALSE),"")</f>
        <v/>
      </c>
      <c r="GG129" t="str">
        <f>+IFERROR(VLOOKUP(GG30,IN_Zugliste!$A$4:$C$602,4,FALSE),"")</f>
        <v/>
      </c>
      <c r="GH129" t="str">
        <f>+IFERROR(VLOOKUP(GH30,IN_Zugliste!$A$4:$C$602,4,FALSE),"")</f>
        <v/>
      </c>
      <c r="GI129" t="str">
        <f>+IFERROR(VLOOKUP(GI30,IN_Zugliste!$A$4:$C$602,4,FALSE),"")</f>
        <v/>
      </c>
      <c r="GJ129" t="str">
        <f>+IFERROR(VLOOKUP(GJ30,IN_Zugliste!$A$4:$C$602,4,FALSE),"")</f>
        <v/>
      </c>
      <c r="GK129" t="str">
        <f>+IFERROR(VLOOKUP(GK30,IN_Zugliste!$A$4:$C$602,4,FALSE),"")</f>
        <v/>
      </c>
      <c r="GL129" t="str">
        <f>+IFERROR(VLOOKUP(GL30,IN_Zugliste!$A$4:$C$602,4,FALSE),"")</f>
        <v/>
      </c>
      <c r="GM129" t="str">
        <f>+IFERROR(VLOOKUP(GM30,IN_Zugliste!$A$4:$C$602,4,FALSE),"")</f>
        <v/>
      </c>
      <c r="GN129" t="str">
        <f>+IFERROR(VLOOKUP(GN30,IN_Zugliste!$A$4:$C$602,4,FALSE),"")</f>
        <v/>
      </c>
      <c r="GO129" t="str">
        <f>+IFERROR(VLOOKUP(GO30,IN_Zugliste!$A$4:$C$602,4,FALSE),"")</f>
        <v/>
      </c>
      <c r="GP129" t="str">
        <f>+IFERROR(VLOOKUP(GP30,IN_Zugliste!$A$4:$C$602,4,FALSE),"")</f>
        <v/>
      </c>
      <c r="GQ129" t="str">
        <f>+IFERROR(VLOOKUP(GQ30,IN_Zugliste!$A$4:$C$602,4,FALSE),"")</f>
        <v/>
      </c>
      <c r="GR129" t="str">
        <f>+IFERROR(VLOOKUP(GR30,IN_Zugliste!$A$4:$C$602,4,FALSE),"")</f>
        <v/>
      </c>
      <c r="GS129" t="str">
        <f>+IFERROR(VLOOKUP(GS30,IN_Zugliste!$A$4:$C$602,4,FALSE),"")</f>
        <v/>
      </c>
      <c r="GT129" t="str">
        <f>+IFERROR(VLOOKUP(GT30,IN_Zugliste!$A$4:$C$602,4,FALSE),"")</f>
        <v/>
      </c>
      <c r="GU129" t="str">
        <f>+IFERROR(VLOOKUP(GU30,IN_Zugliste!$A$4:$C$602,4,FALSE),"")</f>
        <v/>
      </c>
      <c r="GV129" t="str">
        <f>+IFERROR(VLOOKUP(GV30,IN_Zugliste!$A$4:$C$602,4,FALSE),"")</f>
        <v/>
      </c>
      <c r="GW129" t="str">
        <f>+IFERROR(VLOOKUP(GW30,IN_Zugliste!$A$4:$C$602,4,FALSE),"")</f>
        <v/>
      </c>
      <c r="GX129" t="str">
        <f>+IFERROR(VLOOKUP(GX30,IN_Zugliste!$A$4:$C$602,4,FALSE),"")</f>
        <v/>
      </c>
      <c r="GY129" t="str">
        <f>+IFERROR(VLOOKUP(GY30,IN_Zugliste!$A$4:$C$602,4,FALSE),"")</f>
        <v/>
      </c>
      <c r="GZ129" t="str">
        <f>+IFERROR(VLOOKUP(GZ30,IN_Zugliste!$A$4:$C$602,4,FALSE),"")</f>
        <v/>
      </c>
      <c r="HA129" t="str">
        <f>+IFERROR(VLOOKUP(HA30,IN_Zugliste!$A$4:$C$602,4,FALSE),"")</f>
        <v/>
      </c>
      <c r="HB129" t="str">
        <f>+IFERROR(VLOOKUP(HB30,IN_Zugliste!$A$4:$C$602,4,FALSE),"")</f>
        <v/>
      </c>
      <c r="HC129" t="str">
        <f>+IFERROR(VLOOKUP(HC30,IN_Zugliste!$A$4:$C$602,4,FALSE),"")</f>
        <v/>
      </c>
      <c r="HD129" t="str">
        <f>+IFERROR(VLOOKUP(HD30,IN_Zugliste!$A$4:$C$602,4,FALSE),"")</f>
        <v/>
      </c>
      <c r="HE129" t="str">
        <f>+IFERROR(VLOOKUP(HE30,IN_Zugliste!$A$4:$C$602,4,FALSE),"")</f>
        <v/>
      </c>
      <c r="HF129" t="str">
        <f>+IFERROR(VLOOKUP(HF30,IN_Zugliste!$A$4:$C$602,4,FALSE),"")</f>
        <v/>
      </c>
      <c r="HG129" t="str">
        <f>+IFERROR(VLOOKUP(HG30,IN_Zugliste!$A$4:$C$602,4,FALSE),"")</f>
        <v/>
      </c>
      <c r="HH129" t="str">
        <f>+IFERROR(VLOOKUP(HH30,IN_Zugliste!$A$4:$C$602,4,FALSE),"")</f>
        <v/>
      </c>
    </row>
    <row r="130" spans="1:216" x14ac:dyDescent="0.2">
      <c r="A130" t="str">
        <f>+IFERROR(VLOOKUP(A31,IN_Zugliste!$A$4:$D$2002,4,FALSE),"")</f>
        <v/>
      </c>
      <c r="B130" t="str">
        <f>+IFERROR(VLOOKUP(B31,IN_Zugliste!$A$4:$D$2002,4,FALSE),"")</f>
        <v/>
      </c>
      <c r="C130" t="str">
        <f>+IFERROR(VLOOKUP(C31,IN_Zugliste!$A$4:$D$2002,4,FALSE),"")</f>
        <v/>
      </c>
      <c r="D130" t="str">
        <f>+IFERROR(VLOOKUP(D31,IN_Zugliste!$A$4:$D$2002,4,FALSE),"")</f>
        <v/>
      </c>
      <c r="E130" t="str">
        <f>+IFERROR(VLOOKUP(E31,IN_Zugliste!$A$4:$D$2002,4,FALSE),"")</f>
        <v/>
      </c>
      <c r="F130" t="str">
        <f>+IFERROR(VLOOKUP(F31,IN_Zugliste!$A$4:$D$2002,4,FALSE),"")</f>
        <v/>
      </c>
      <c r="G130" t="str">
        <f>+IFERROR(VLOOKUP(G31,IN_Zugliste!$A$4:$D$2002,4,FALSE),"")</f>
        <v/>
      </c>
      <c r="H130" t="str">
        <f>+IFERROR(VLOOKUP(H31,IN_Zugliste!$A$4:$D$2002,4,FALSE),"")</f>
        <v/>
      </c>
      <c r="I130" t="str">
        <f>+IFERROR(VLOOKUP(I31,IN_Zugliste!$A$4:$D$2002,4,FALSE),"")</f>
        <v/>
      </c>
      <c r="J130" t="str">
        <f>+IFERROR(VLOOKUP(J31,IN_Zugliste!$A$4:$D$2002,4,FALSE),"")</f>
        <v/>
      </c>
      <c r="K130" t="str">
        <f>+IFERROR(VLOOKUP(K31,IN_Zugliste!$A$4:$D$2002,4,FALSE),"")</f>
        <v/>
      </c>
      <c r="L130" t="str">
        <f>+IFERROR(VLOOKUP(L31,IN_Zugliste!$A$4:$D$2002,4,FALSE),"")</f>
        <v/>
      </c>
      <c r="M130" t="str">
        <f>+IFERROR(VLOOKUP(M31,IN_Zugliste!$A$4:$D$2002,4,FALSE),"")</f>
        <v/>
      </c>
      <c r="N130" t="str">
        <f>+IFERROR(VLOOKUP(N31,IN_Zugliste!$A$4:$D$2002,4,FALSE),"")</f>
        <v/>
      </c>
      <c r="O130" t="str">
        <f>+IFERROR(VLOOKUP(O31,IN_Zugliste!$A$4:$D$2002,4,FALSE),"")</f>
        <v/>
      </c>
      <c r="P130" t="str">
        <f>+IFERROR(VLOOKUP(P31,IN_Zugliste!$A$4:$D$2002,4,FALSE),"")</f>
        <v/>
      </c>
      <c r="Q130" t="str">
        <f>+IFERROR(VLOOKUP(Q31,IN_Zugliste!$A$4:$D$2002,4,FALSE),"")</f>
        <v/>
      </c>
      <c r="R130" t="str">
        <f>+IFERROR(VLOOKUP(R31,IN_Zugliste!$A$4:$D$2002,4,FALSE),"")</f>
        <v/>
      </c>
      <c r="S130" t="str">
        <f>+IFERROR(VLOOKUP(S31,IN_Zugliste!$A$4:$D$2002,4,FALSE),"")</f>
        <v/>
      </c>
      <c r="T130" t="str">
        <f>+IFERROR(VLOOKUP(T31,IN_Zugliste!$A$4:$D$2002,4,FALSE),"")</f>
        <v/>
      </c>
      <c r="U130" t="str">
        <f>+IFERROR(VLOOKUP(U31,IN_Zugliste!$A$4:$D$2002,4,FALSE),"")</f>
        <v/>
      </c>
      <c r="V130" t="str">
        <f>+IFERROR(VLOOKUP(V31,IN_Zugliste!$A$4:$D$2002,4,FALSE),"")</f>
        <v/>
      </c>
      <c r="W130" t="str">
        <f>+IFERROR(VLOOKUP(W31,IN_Zugliste!$A$4:$D$2002,4,FALSE),"")</f>
        <v/>
      </c>
      <c r="X130" t="str">
        <f>+IFERROR(VLOOKUP(X31,IN_Zugliste!$A$4:$D$2002,4,FALSE),"")</f>
        <v/>
      </c>
      <c r="Y130" t="str">
        <f>+IFERROR(VLOOKUP(Y31,IN_Zugliste!$A$4:$D$2002,4,FALSE),"")</f>
        <v/>
      </c>
      <c r="Z130" t="str">
        <f>+IFERROR(VLOOKUP(Z31,IN_Zugliste!$A$4:$D$2002,4,FALSE),"")</f>
        <v/>
      </c>
      <c r="AA130" t="str">
        <f>+IFERROR(VLOOKUP(AA31,IN_Zugliste!$A$4:$D$2002,4,FALSE),"")</f>
        <v/>
      </c>
      <c r="AB130" t="str">
        <f>+IFERROR(VLOOKUP(AB31,IN_Zugliste!$A$4:$D$2002,4,FALSE),"")</f>
        <v/>
      </c>
      <c r="AC130" t="str">
        <f>+IFERROR(VLOOKUP(AC31,IN_Zugliste!$A$4:$D$2002,4,FALSE),"")</f>
        <v/>
      </c>
      <c r="AD130" t="str">
        <f>+IFERROR(VLOOKUP(AD31,IN_Zugliste!$A$4:$D$2002,4,FALSE),"")</f>
        <v/>
      </c>
      <c r="AE130" t="str">
        <f>+IFERROR(VLOOKUP(AE31,IN_Zugliste!$A$4:$D$2002,4,FALSE),"")</f>
        <v/>
      </c>
      <c r="AF130" t="str">
        <f>+IFERROR(VLOOKUP(AF31,IN_Zugliste!$A$4:$D$2002,4,FALSE),"")</f>
        <v/>
      </c>
      <c r="AG130" t="str">
        <f>+IFERROR(VLOOKUP(AG31,IN_Zugliste!$A$4:$D$2002,4,FALSE),"")</f>
        <v/>
      </c>
      <c r="AH130" t="str">
        <f>+IFERROR(VLOOKUP(AH31,IN_Zugliste!$A$4:$D$2002,4,FALSE),"")</f>
        <v/>
      </c>
      <c r="AI130" t="str">
        <f>+IFERROR(VLOOKUP(AI31,IN_Zugliste!$A$4:$D$2002,4,FALSE),"")</f>
        <v/>
      </c>
      <c r="AJ130" t="str">
        <f>+IFERROR(VLOOKUP(AJ31,IN_Zugliste!$A$4:$D$2002,4,FALSE),"")</f>
        <v/>
      </c>
      <c r="AK130" t="str">
        <f>+IFERROR(VLOOKUP(AK31,IN_Zugliste!$A$4:$D$2002,4,FALSE),"")</f>
        <v/>
      </c>
      <c r="AL130" t="str">
        <f>+IFERROR(VLOOKUP(AL31,IN_Zugliste!$A$4:$D$2002,4,FALSE),"")</f>
        <v/>
      </c>
      <c r="AM130" t="str">
        <f>+IFERROR(VLOOKUP(AM31,IN_Zugliste!$A$4:$D$2002,4,FALSE),"")</f>
        <v/>
      </c>
      <c r="AN130" t="str">
        <f>+IFERROR(VLOOKUP(AN31,IN_Zugliste!$A$4:$D$2002,4,FALSE),"")</f>
        <v/>
      </c>
      <c r="AO130" t="str">
        <f>+IFERROR(VLOOKUP(AO31,IN_Zugliste!$A$4:$D$2002,4,FALSE),"")</f>
        <v/>
      </c>
      <c r="AP130" t="str">
        <f>+IFERROR(VLOOKUP(AP31,IN_Zugliste!$A$4:$D$2002,4,FALSE),"")</f>
        <v/>
      </c>
      <c r="AQ130" t="str">
        <f>+IFERROR(VLOOKUP(AQ31,IN_Zugliste!$A$4:$D$2002,4,FALSE),"")</f>
        <v/>
      </c>
      <c r="AR130" t="str">
        <f>+IFERROR(VLOOKUP(AR31,IN_Zugliste!$A$4:$D$2002,4,FALSE),"")</f>
        <v/>
      </c>
      <c r="AS130" t="str">
        <f>+IFERROR(VLOOKUP(AS31,IN_Zugliste!$A$4:$D$2002,4,FALSE),"")</f>
        <v/>
      </c>
      <c r="AT130" t="str">
        <f>+IFERROR(VLOOKUP(AT31,IN_Zugliste!$A$4:$D$2002,4,FALSE),"")</f>
        <v/>
      </c>
      <c r="AU130" t="str">
        <f>+IFERROR(VLOOKUP(AU31,IN_Zugliste!$A$4:$D$2002,4,FALSE),"")</f>
        <v/>
      </c>
      <c r="AV130" t="str">
        <f>+IFERROR(VLOOKUP(AV31,IN_Zugliste!$A$4:$D$2002,4,FALSE),"")</f>
        <v/>
      </c>
      <c r="AW130" t="str">
        <f>+IFERROR(VLOOKUP(AW31,IN_Zugliste!$A$4:$D$2002,4,FALSE),"")</f>
        <v/>
      </c>
      <c r="AX130" t="str">
        <f>+IFERROR(VLOOKUP(AX31,IN_Zugliste!$A$4:$D$2002,4,FALSE),"")</f>
        <v/>
      </c>
      <c r="AY130" t="str">
        <f>+IFERROR(VLOOKUP(AY31,IN_Zugliste!$A$4:$D$2002,4,FALSE),"")</f>
        <v/>
      </c>
      <c r="AZ130" t="str">
        <f>+IFERROR(VLOOKUP(AZ31,IN_Zugliste!$A$4:$D$2002,4,FALSE),"")</f>
        <v/>
      </c>
      <c r="BA130" t="str">
        <f>+IFERROR(VLOOKUP(BA31,IN_Zugliste!$A$4:$D$2002,4,FALSE),"")</f>
        <v/>
      </c>
      <c r="BB130" t="str">
        <f>+IFERROR(VLOOKUP(BB31,IN_Zugliste!$A$4:$D$2002,4,FALSE),"")</f>
        <v/>
      </c>
      <c r="BC130" t="str">
        <f>+IFERROR(VLOOKUP(BC31,IN_Zugliste!$A$4:$D$2002,4,FALSE),"")</f>
        <v/>
      </c>
      <c r="BD130" t="str">
        <f>+IFERROR(VLOOKUP(BD31,IN_Zugliste!$A$4:$D$2002,4,FALSE),"")</f>
        <v/>
      </c>
      <c r="BE130" t="str">
        <f>+IFERROR(VLOOKUP(BE31,IN_Zugliste!$A$4:$D$2002,4,FALSE),"")</f>
        <v/>
      </c>
      <c r="BF130" t="str">
        <f>+IFERROR(VLOOKUP(BF31,IN_Zugliste!$A$4:$D$2002,4,FALSE),"")</f>
        <v/>
      </c>
      <c r="BG130" t="str">
        <f>+IFERROR(VLOOKUP(BG31,IN_Zugliste!$A$4:$D$2002,4,FALSE),"")</f>
        <v/>
      </c>
      <c r="BH130" t="str">
        <f>+IFERROR(VLOOKUP(BH31,IN_Zugliste!$A$4:$D$2002,4,FALSE),"")</f>
        <v/>
      </c>
      <c r="BI130" t="str">
        <f>+IFERROR(VLOOKUP(BI31,IN_Zugliste!$A$4:$D$2002,4,FALSE),"")</f>
        <v/>
      </c>
      <c r="BJ130" t="str">
        <f>+IFERROR(VLOOKUP(BJ31,IN_Zugliste!$A$4:$D$2002,4,FALSE),"")</f>
        <v/>
      </c>
      <c r="BK130" t="str">
        <f>+IFERROR(VLOOKUP(BK31,IN_Zugliste!$A$4:$D$2002,4,FALSE),"")</f>
        <v/>
      </c>
      <c r="BL130" t="str">
        <f>+IFERROR(VLOOKUP(BL31,IN_Zugliste!$A$4:$D$2002,4,FALSE),"")</f>
        <v/>
      </c>
      <c r="BM130" t="str">
        <f>+IFERROR(VLOOKUP(BM31,IN_Zugliste!$A$4:$D$2002,4,FALSE),"")</f>
        <v/>
      </c>
      <c r="BN130" t="str">
        <f>+IFERROR(VLOOKUP(BN31,IN_Zugliste!$A$4:$D$2002,4,FALSE),"")</f>
        <v/>
      </c>
      <c r="BO130" t="str">
        <f>+IFERROR(VLOOKUP(BO31,IN_Zugliste!$A$4:$D$2002,4,FALSE),"")</f>
        <v/>
      </c>
      <c r="BP130" t="str">
        <f>+IFERROR(VLOOKUP(BP31,IN_Zugliste!$A$4:$D$2002,4,FALSE),"")</f>
        <v/>
      </c>
      <c r="BQ130" t="str">
        <f>+IFERROR(VLOOKUP(BQ31,IN_Zugliste!$A$4:$D$2002,4,FALSE),"")</f>
        <v/>
      </c>
      <c r="BR130" t="str">
        <f>+IFERROR(VLOOKUP(BR31,IN_Zugliste!$A$4:$D$2002,4,FALSE),"")</f>
        <v/>
      </c>
      <c r="BS130" t="str">
        <f>+IFERROR(VLOOKUP(BS31,IN_Zugliste!$A$4:$D$2002,4,FALSE),"")</f>
        <v/>
      </c>
      <c r="BT130" t="str">
        <f>+IFERROR(VLOOKUP(BT31,IN_Zugliste!$A$4:$D$2002,4,FALSE),"")</f>
        <v/>
      </c>
      <c r="BU130" t="str">
        <f>+IFERROR(VLOOKUP(BU31,IN_Zugliste!$A$4:$D$2002,4,FALSE),"")</f>
        <v/>
      </c>
      <c r="BV130" t="str">
        <f>+IFERROR(VLOOKUP(BV31,IN_Zugliste!$A$4:$D$2002,4,FALSE),"")</f>
        <v/>
      </c>
      <c r="BW130" t="str">
        <f>+IFERROR(VLOOKUP(BW31,IN_Zugliste!$A$4:$D$2002,4,FALSE),"")</f>
        <v/>
      </c>
      <c r="BX130" t="str">
        <f>+IFERROR(VLOOKUP(BX31,IN_Zugliste!$A$4:$D$2002,4,FALSE),"")</f>
        <v/>
      </c>
      <c r="BY130" t="str">
        <f>+IFERROR(VLOOKUP(BY31,IN_Zugliste!$A$4:$D$2002,4,FALSE),"")</f>
        <v/>
      </c>
      <c r="BZ130" t="str">
        <f>+IFERROR(VLOOKUP(BZ31,IN_Zugliste!$A$4:$D$2002,4,FALSE),"")</f>
        <v/>
      </c>
      <c r="CA130" t="str">
        <f>+IFERROR(VLOOKUP(CA31,IN_Zugliste!$A$4:$D$2002,4,FALSE),"")</f>
        <v/>
      </c>
      <c r="CB130" t="str">
        <f>+IFERROR(VLOOKUP(CB31,IN_Zugliste!$A$4:$D$2002,4,FALSE),"")</f>
        <v/>
      </c>
      <c r="CC130" t="str">
        <f>+IFERROR(VLOOKUP(CC31,IN_Zugliste!$A$4:$D$2002,4,FALSE),"")</f>
        <v/>
      </c>
      <c r="CD130" t="str">
        <f>+IFERROR(VLOOKUP(CD31,IN_Zugliste!$A$4:$D$2002,4,FALSE),"")</f>
        <v/>
      </c>
      <c r="CE130" t="str">
        <f>+IFERROR(VLOOKUP(CE31,IN_Zugliste!$A$4:$D$2002,4,FALSE),"")</f>
        <v/>
      </c>
      <c r="CF130" t="str">
        <f>+IFERROR(VLOOKUP(CF31,IN_Zugliste!$A$4:$D$2002,4,FALSE),"")</f>
        <v/>
      </c>
      <c r="CG130" t="str">
        <f>+IFERROR(VLOOKUP(CG31,IN_Zugliste!$A$4:$D$2002,4,FALSE),"")</f>
        <v/>
      </c>
      <c r="CH130" t="str">
        <f>+IFERROR(VLOOKUP(CH31,IN_Zugliste!$A$4:$D$2002,4,FALSE),"")</f>
        <v/>
      </c>
      <c r="CI130" t="str">
        <f>+IFERROR(VLOOKUP(CI31,IN_Zugliste!$A$4:$D$2002,4,FALSE),"")</f>
        <v/>
      </c>
      <c r="CJ130" t="str">
        <f>+IFERROR(VLOOKUP(CJ31,IN_Zugliste!$A$4:$D$2002,4,FALSE),"")</f>
        <v/>
      </c>
      <c r="CK130" t="str">
        <f>+IFERROR(VLOOKUP(CK31,IN_Zugliste!$A$4:$D$2002,4,FALSE),"")</f>
        <v/>
      </c>
      <c r="CL130" t="str">
        <f>+IFERROR(VLOOKUP(CL31,IN_Zugliste!$A$4:$D$2002,4,FALSE),"")</f>
        <v/>
      </c>
      <c r="CM130" t="str">
        <f>+IFERROR(VLOOKUP(CM31,IN_Zugliste!$A$4:$D$2002,4,FALSE),"")</f>
        <v/>
      </c>
      <c r="CN130" t="str">
        <f>+IFERROR(VLOOKUP(CN31,IN_Zugliste!$A$4:$D$2002,4,FALSE),"")</f>
        <v/>
      </c>
      <c r="CO130" t="str">
        <f>+IFERROR(VLOOKUP(CO31,IN_Zugliste!$A$4:$D$2002,4,FALSE),"")</f>
        <v/>
      </c>
      <c r="CP130" t="str">
        <f>+IFERROR(VLOOKUP(CP31,IN_Zugliste!$A$4:$D$2002,4,FALSE),"")</f>
        <v/>
      </c>
      <c r="CQ130" t="str">
        <f>+IFERROR(VLOOKUP(CQ31,IN_Zugliste!$A$4:$D$2002,4,FALSE),"")</f>
        <v/>
      </c>
      <c r="CR130" t="str">
        <f>+IFERROR(VLOOKUP(CR31,IN_Zugliste!$A$4:$D$2002,4,FALSE),"")</f>
        <v/>
      </c>
      <c r="CS130" t="str">
        <f>+IFERROR(VLOOKUP(CS31,IN_Zugliste!$A$4:$D$2002,4,FALSE),"")</f>
        <v/>
      </c>
      <c r="CT130" t="str">
        <f>+IFERROR(VLOOKUP(CT31,IN_Zugliste!$A$4:$D$2002,4,FALSE),"")</f>
        <v/>
      </c>
      <c r="CU130" t="str">
        <f>+IFERROR(VLOOKUP(CU31,IN_Zugliste!$A$4:$D$2002,4,FALSE),"")</f>
        <v/>
      </c>
      <c r="CV130" t="str">
        <f>+IFERROR(VLOOKUP(CV31,IN_Zugliste!$A$4:$D$2002,4,FALSE),"")</f>
        <v/>
      </c>
      <c r="CW130" t="str">
        <f>+IFERROR(VLOOKUP(CW31,IN_Zugliste!$A$4:$D$2002,4,FALSE),"")</f>
        <v/>
      </c>
      <c r="CX130" t="str">
        <f>+IFERROR(VLOOKUP(CX31,IN_Zugliste!$A$4:$D$2002,4,FALSE),"")</f>
        <v/>
      </c>
      <c r="CY130" t="str">
        <f>+IFERROR(VLOOKUP(CY31,IN_Zugliste!$A$4:$D$2002,4,FALSE),"")</f>
        <v/>
      </c>
      <c r="CZ130" t="str">
        <f>+IFERROR(VLOOKUP(CZ31,IN_Zugliste!$A$4:$D$2002,4,FALSE),"")</f>
        <v/>
      </c>
      <c r="DA130" t="str">
        <f>+IFERROR(VLOOKUP(DA31,IN_Zugliste!$A$4:$D$2002,4,FALSE),"")</f>
        <v/>
      </c>
      <c r="DB130" t="str">
        <f>+IFERROR(VLOOKUP(DB31,IN_Zugliste!$A$4:$D$2002,4,FALSE),"")</f>
        <v/>
      </c>
      <c r="DC130" t="str">
        <f>+IFERROR(VLOOKUP(DC31,IN_Zugliste!$A$4:$D$2002,4,FALSE),"")</f>
        <v/>
      </c>
      <c r="DD130" t="str">
        <f>+IFERROR(VLOOKUP(DD31,IN_Zugliste!$A$4:$D$2002,4,FALSE),"")</f>
        <v/>
      </c>
      <c r="DE130" t="str">
        <f>+IFERROR(VLOOKUP(DE31,IN_Zugliste!$A$4:$D$2002,4,FALSE),"")</f>
        <v/>
      </c>
      <c r="DF130" t="str">
        <f>+IFERROR(VLOOKUP(DF31,IN_Zugliste!$A$4:$D$2002,4,FALSE),"")</f>
        <v/>
      </c>
      <c r="DG130" t="str">
        <f>+IFERROR(VLOOKUP(DG31,IN_Zugliste!$A$4:$D$2002,4,FALSE),"")</f>
        <v/>
      </c>
      <c r="DH130" t="str">
        <f>+IFERROR(VLOOKUP(DH31,IN_Zugliste!$A$4:$D$2002,4,FALSE),"")</f>
        <v/>
      </c>
      <c r="DI130" t="str">
        <f>+IFERROR(VLOOKUP(DI31,IN_Zugliste!$A$4:$D$2002,4,FALSE),"")</f>
        <v/>
      </c>
      <c r="DJ130" t="str">
        <f>+IFERROR(VLOOKUP(DJ31,IN_Zugliste!$A$4:$D$2002,4,FALSE),"")</f>
        <v/>
      </c>
      <c r="DK130" t="str">
        <f>+IFERROR(VLOOKUP(DK31,IN_Zugliste!$A$4:$D$2002,4,FALSE),"")</f>
        <v/>
      </c>
      <c r="DL130" t="str">
        <f>+IFERROR(VLOOKUP(DL31,IN_Zugliste!$A$4:$D$2002,4,FALSE),"")</f>
        <v/>
      </c>
      <c r="DM130" t="str">
        <f>+IFERROR(VLOOKUP(DM31,IN_Zugliste!$A$4:$D$2002,4,FALSE),"")</f>
        <v/>
      </c>
      <c r="DN130" t="str">
        <f>+IFERROR(VLOOKUP(DN31,IN_Zugliste!$A$4:$D$2002,4,FALSE),"")</f>
        <v/>
      </c>
      <c r="DO130" t="str">
        <f>+IFERROR(VLOOKUP(DO31,IN_Zugliste!$A$4:$D$2002,4,FALSE),"")</f>
        <v/>
      </c>
      <c r="DP130" t="str">
        <f>+IFERROR(VLOOKUP(DP31,IN_Zugliste!$A$4:$D$2002,4,FALSE),"")</f>
        <v/>
      </c>
      <c r="DQ130" t="str">
        <f>+IFERROR(VLOOKUP(DQ31,IN_Zugliste!$A$4:$D$2002,4,FALSE),"")</f>
        <v/>
      </c>
      <c r="DR130" t="str">
        <f>+IFERROR(VLOOKUP(DR31,IN_Zugliste!$A$4:$D$2002,4,FALSE),"")</f>
        <v/>
      </c>
      <c r="DS130" t="str">
        <f>+IFERROR(VLOOKUP(DS31,IN_Zugliste!$A$4:$D$2002,4,FALSE),"")</f>
        <v/>
      </c>
      <c r="DT130" t="str">
        <f>+IFERROR(VLOOKUP(DT31,IN_Zugliste!$A$4:$D$2002,4,FALSE),"")</f>
        <v/>
      </c>
      <c r="DU130" t="str">
        <f>+IFERROR(VLOOKUP(DU31,IN_Zugliste!$A$4:$D$2002,4,FALSE),"")</f>
        <v/>
      </c>
      <c r="DV130" t="str">
        <f>+IFERROR(VLOOKUP(DV31,IN_Zugliste!$A$4:$D$2002,4,FALSE),"")</f>
        <v/>
      </c>
      <c r="DW130" t="str">
        <f>+IFERROR(VLOOKUP(DW31,IN_Zugliste!$A$4:$D$2002,4,FALSE),"")</f>
        <v/>
      </c>
      <c r="DX130" t="str">
        <f>+IFERROR(VLOOKUP(DX31,IN_Zugliste!$A$4:$D$2002,4,FALSE),"")</f>
        <v/>
      </c>
      <c r="DY130" t="str">
        <f>+IFERROR(VLOOKUP(DY31,IN_Zugliste!$A$4:$D$2002,4,FALSE),"")</f>
        <v/>
      </c>
      <c r="DZ130" t="str">
        <f>+IFERROR(VLOOKUP(DZ31,IN_Zugliste!$A$4:$D$2002,4,FALSE),"")</f>
        <v/>
      </c>
      <c r="EA130" t="str">
        <f>+IFERROR(VLOOKUP(EA31,IN_Zugliste!$A$4:$D$2002,4,FALSE),"")</f>
        <v/>
      </c>
      <c r="EB130" t="str">
        <f>+IFERROR(VLOOKUP(EB31,IN_Zugliste!$A$4:$D$2002,4,FALSE),"")</f>
        <v/>
      </c>
      <c r="EC130" t="str">
        <f>+IFERROR(VLOOKUP(EC31,IN_Zugliste!$A$4:$D$2002,4,FALSE),"")</f>
        <v/>
      </c>
      <c r="ED130" t="str">
        <f>+IFERROR(VLOOKUP(ED31,IN_Zugliste!$A$4:$D$2002,4,FALSE),"")</f>
        <v/>
      </c>
      <c r="EE130" t="str">
        <f>+IFERROR(VLOOKUP(EE31,IN_Zugliste!$A$4:$D$2002,4,FALSE),"")</f>
        <v/>
      </c>
      <c r="EF130" t="str">
        <f>+IFERROR(VLOOKUP(EF31,IN_Zugliste!$A$4:$D$2002,4,FALSE),"")</f>
        <v/>
      </c>
      <c r="EG130" t="str">
        <f>+IFERROR(VLOOKUP(EG31,IN_Zugliste!$A$4:$D$2002,4,FALSE),"")</f>
        <v/>
      </c>
      <c r="EH130" t="str">
        <f>+IFERROR(VLOOKUP(EH31,IN_Zugliste!$A$4:$D$2002,4,FALSE),"")</f>
        <v/>
      </c>
      <c r="EI130" t="str">
        <f>+IFERROR(VLOOKUP(EI31,IN_Zugliste!$A$4:$D$2002,4,FALSE),"")</f>
        <v/>
      </c>
      <c r="EJ130" t="str">
        <f>+IFERROR(VLOOKUP(EJ31,IN_Zugliste!$A$4:$D$2002,4,FALSE),"")</f>
        <v/>
      </c>
      <c r="EK130" t="str">
        <f>+IFERROR(VLOOKUP(EK31,IN_Zugliste!$A$4:$D$2002,4,FALSE),"")</f>
        <v/>
      </c>
      <c r="EL130" t="str">
        <f>+IFERROR(VLOOKUP(EL31,IN_Zugliste!$A$4:$D$2002,4,FALSE),"")</f>
        <v/>
      </c>
      <c r="EM130" t="str">
        <f>+IFERROR(VLOOKUP(EM31,IN_Zugliste!$A$4:$D$2002,4,FALSE),"")</f>
        <v/>
      </c>
      <c r="EN130" t="str">
        <f>+IFERROR(VLOOKUP(EN31,IN_Zugliste!$A$4:$D$2002,4,FALSE),"")</f>
        <v/>
      </c>
      <c r="EO130" t="str">
        <f>+IFERROR(VLOOKUP(EO31,IN_Zugliste!$A$4:$D$2002,4,FALSE),"")</f>
        <v/>
      </c>
      <c r="EP130" t="str">
        <f>+IFERROR(VLOOKUP(EP31,IN_Zugliste!$A$4:$D$2002,4,FALSE),"")</f>
        <v/>
      </c>
      <c r="EQ130" t="str">
        <f>+IFERROR(VLOOKUP(EQ31,IN_Zugliste!$A$4:$D$2002,4,FALSE),"")</f>
        <v/>
      </c>
      <c r="ER130" t="str">
        <f>+IFERROR(VLOOKUP(ER31,IN_Zugliste!$A$4:$D$2002,4,FALSE),"")</f>
        <v/>
      </c>
      <c r="ES130" t="str">
        <f>+IFERROR(VLOOKUP(ES31,IN_Zugliste!$A$4:$D$2002,4,FALSE),"")</f>
        <v/>
      </c>
      <c r="ET130" t="str">
        <f>+IFERROR(VLOOKUP(ET31,IN_Zugliste!$A$4:$D$2002,4,FALSE),"")</f>
        <v/>
      </c>
      <c r="EU130" t="str">
        <f>+IFERROR(VLOOKUP(EU31,IN_Zugliste!$A$4:$D$2002,4,FALSE),"")</f>
        <v/>
      </c>
      <c r="EV130" t="str">
        <f>+IFERROR(VLOOKUP(EV31,IN_Zugliste!$A$4:$D$2002,4,FALSE),"")</f>
        <v/>
      </c>
      <c r="EW130" t="str">
        <f>+IFERROR(VLOOKUP(EW31,IN_Zugliste!$A$4:$D$2002,4,FALSE),"")</f>
        <v/>
      </c>
      <c r="EX130" t="str">
        <f>+IFERROR(VLOOKUP(EX31,IN_Zugliste!$A$4:$D$2002,4,FALSE),"")</f>
        <v/>
      </c>
      <c r="EY130" t="str">
        <f>+IFERROR(VLOOKUP(EY31,IN_Zugliste!$A$4:$D$2002,4,FALSE),"")</f>
        <v/>
      </c>
      <c r="EZ130" t="str">
        <f>+IFERROR(VLOOKUP(EZ31,IN_Zugliste!$A$4:$D$2002,4,FALSE),"")</f>
        <v/>
      </c>
      <c r="FA130" t="str">
        <f>+IFERROR(VLOOKUP(FA31,IN_Zugliste!$A$4:$D$2002,4,FALSE),"")</f>
        <v/>
      </c>
      <c r="FB130" t="str">
        <f>+IFERROR(VLOOKUP(FB31,IN_Zugliste!$A$4:$D$2002,4,FALSE),"")</f>
        <v/>
      </c>
      <c r="FC130" t="str">
        <f>+IFERROR(VLOOKUP(FC31,IN_Zugliste!$A$4:$D$2002,4,FALSE),"")</f>
        <v/>
      </c>
      <c r="FD130" t="str">
        <f>+IFERROR(VLOOKUP(FD31,IN_Zugliste!$A$4:$D$2002,4,FALSE),"")</f>
        <v/>
      </c>
      <c r="FE130" t="str">
        <f>+IFERROR(VLOOKUP(FE31,IN_Zugliste!$A$4:$D$2002,4,FALSE),"")</f>
        <v/>
      </c>
      <c r="FF130" t="str">
        <f>+IFERROR(VLOOKUP(FF31,IN_Zugliste!$A$4:$D$2002,4,FALSE),"")</f>
        <v/>
      </c>
      <c r="FG130" t="str">
        <f>+IFERROR(VLOOKUP(FG31,IN_Zugliste!$A$4:$D$2002,4,FALSE),"")</f>
        <v/>
      </c>
      <c r="FH130" t="str">
        <f>+IFERROR(VLOOKUP(FH31,IN_Zugliste!$A$4:$D$2002,4,FALSE),"")</f>
        <v/>
      </c>
      <c r="FI130" t="str">
        <f>+IFERROR(VLOOKUP(FI31,IN_Zugliste!$A$4:$D$2002,4,FALSE),"")</f>
        <v/>
      </c>
      <c r="FJ130" t="str">
        <f>+IFERROR(VLOOKUP(FJ31,IN_Zugliste!$A$4:$D$2002,4,FALSE),"")</f>
        <v/>
      </c>
      <c r="FK130" t="str">
        <f>+IFERROR(VLOOKUP(FK31,IN_Zugliste!$A$4:$D$2002,4,FALSE),"")</f>
        <v/>
      </c>
      <c r="FL130" t="str">
        <f>+IFERROR(VLOOKUP(FL31,IN_Zugliste!$A$4:$D$2002,4,FALSE),"")</f>
        <v/>
      </c>
      <c r="FM130" t="str">
        <f>+IFERROR(VLOOKUP(FM31,IN_Zugliste!$A$4:$C$602,4,FALSE),"")</f>
        <v/>
      </c>
      <c r="FN130" t="str">
        <f>+IFERROR(VLOOKUP(FN31,IN_Zugliste!$A$4:$C$602,4,FALSE),"")</f>
        <v/>
      </c>
      <c r="FO130" t="str">
        <f>+IFERROR(VLOOKUP(FO31,IN_Zugliste!$A$4:$C$602,4,FALSE),"")</f>
        <v/>
      </c>
      <c r="FP130" t="str">
        <f>+IFERROR(VLOOKUP(FP31,IN_Zugliste!$A$4:$C$602,4,FALSE),"")</f>
        <v/>
      </c>
      <c r="FQ130" t="str">
        <f>+IFERROR(VLOOKUP(FQ31,IN_Zugliste!$A$4:$C$602,4,FALSE),"")</f>
        <v/>
      </c>
      <c r="FR130" t="str">
        <f>+IFERROR(VLOOKUP(FR31,IN_Zugliste!$A$4:$C$602,4,FALSE),"")</f>
        <v/>
      </c>
      <c r="FS130" t="str">
        <f>+IFERROR(VLOOKUP(FS31,IN_Zugliste!$A$4:$C$602,4,FALSE),"")</f>
        <v/>
      </c>
      <c r="FT130" t="str">
        <f>+IFERROR(VLOOKUP(FT31,IN_Zugliste!$A$4:$C$602,4,FALSE),"")</f>
        <v/>
      </c>
      <c r="FU130" t="str">
        <f>+IFERROR(VLOOKUP(FU31,IN_Zugliste!$A$4:$C$602,4,FALSE),"")</f>
        <v/>
      </c>
      <c r="FV130" t="str">
        <f>+IFERROR(VLOOKUP(FV31,IN_Zugliste!$A$4:$C$602,4,FALSE),"")</f>
        <v/>
      </c>
      <c r="FW130" t="str">
        <f>+IFERROR(VLOOKUP(FW31,IN_Zugliste!$A$4:$C$602,4,FALSE),"")</f>
        <v/>
      </c>
      <c r="FX130" t="str">
        <f>+IFERROR(VLOOKUP(FX31,IN_Zugliste!$A$4:$C$602,4,FALSE),"")</f>
        <v/>
      </c>
      <c r="FY130" t="str">
        <f>+IFERROR(VLOOKUP(FY31,IN_Zugliste!$A$4:$C$602,4,FALSE),"")</f>
        <v/>
      </c>
      <c r="FZ130" t="str">
        <f>+IFERROR(VLOOKUP(FZ31,IN_Zugliste!$A$4:$C$602,4,FALSE),"")</f>
        <v/>
      </c>
      <c r="GA130" t="str">
        <f>+IFERROR(VLOOKUP(GA31,IN_Zugliste!$A$4:$C$602,4,FALSE),"")</f>
        <v/>
      </c>
      <c r="GB130" t="str">
        <f>+IFERROR(VLOOKUP(GB31,IN_Zugliste!$A$4:$C$602,4,FALSE),"")</f>
        <v/>
      </c>
      <c r="GC130" t="str">
        <f>+IFERROR(VLOOKUP(GC31,IN_Zugliste!$A$4:$C$602,4,FALSE),"")</f>
        <v/>
      </c>
      <c r="GD130" t="str">
        <f>+IFERROR(VLOOKUP(GD31,IN_Zugliste!$A$4:$C$602,4,FALSE),"")</f>
        <v/>
      </c>
      <c r="GE130" t="str">
        <f>+IFERROR(VLOOKUP(GE31,IN_Zugliste!$A$4:$C$602,4,FALSE),"")</f>
        <v/>
      </c>
      <c r="GF130" t="str">
        <f>+IFERROR(VLOOKUP(GF31,IN_Zugliste!$A$4:$C$602,4,FALSE),"")</f>
        <v/>
      </c>
      <c r="GG130" t="str">
        <f>+IFERROR(VLOOKUP(GG31,IN_Zugliste!$A$4:$C$602,4,FALSE),"")</f>
        <v/>
      </c>
      <c r="GH130" t="str">
        <f>+IFERROR(VLOOKUP(GH31,IN_Zugliste!$A$4:$C$602,4,FALSE),"")</f>
        <v/>
      </c>
      <c r="GI130" t="str">
        <f>+IFERROR(VLOOKUP(GI31,IN_Zugliste!$A$4:$C$602,4,FALSE),"")</f>
        <v/>
      </c>
      <c r="GJ130" t="str">
        <f>+IFERROR(VLOOKUP(GJ31,IN_Zugliste!$A$4:$C$602,4,FALSE),"")</f>
        <v/>
      </c>
      <c r="GK130" t="str">
        <f>+IFERROR(VLOOKUP(GK31,IN_Zugliste!$A$4:$C$602,4,FALSE),"")</f>
        <v/>
      </c>
      <c r="GL130" t="str">
        <f>+IFERROR(VLOOKUP(GL31,IN_Zugliste!$A$4:$C$602,4,FALSE),"")</f>
        <v/>
      </c>
      <c r="GM130" t="str">
        <f>+IFERROR(VLOOKUP(GM31,IN_Zugliste!$A$4:$C$602,4,FALSE),"")</f>
        <v/>
      </c>
      <c r="GN130" t="str">
        <f>+IFERROR(VLOOKUP(GN31,IN_Zugliste!$A$4:$C$602,4,FALSE),"")</f>
        <v/>
      </c>
      <c r="GO130" t="str">
        <f>+IFERROR(VLOOKUP(GO31,IN_Zugliste!$A$4:$C$602,4,FALSE),"")</f>
        <v/>
      </c>
      <c r="GP130" t="str">
        <f>+IFERROR(VLOOKUP(GP31,IN_Zugliste!$A$4:$C$602,4,FALSE),"")</f>
        <v/>
      </c>
      <c r="GQ130" t="str">
        <f>+IFERROR(VLOOKUP(GQ31,IN_Zugliste!$A$4:$C$602,4,FALSE),"")</f>
        <v/>
      </c>
      <c r="GR130" t="str">
        <f>+IFERROR(VLOOKUP(GR31,IN_Zugliste!$A$4:$C$602,4,FALSE),"")</f>
        <v/>
      </c>
      <c r="GS130" t="str">
        <f>+IFERROR(VLOOKUP(GS31,IN_Zugliste!$A$4:$C$602,4,FALSE),"")</f>
        <v/>
      </c>
      <c r="GT130" t="str">
        <f>+IFERROR(VLOOKUP(GT31,IN_Zugliste!$A$4:$C$602,4,FALSE),"")</f>
        <v/>
      </c>
      <c r="GU130" t="str">
        <f>+IFERROR(VLOOKUP(GU31,IN_Zugliste!$A$4:$C$602,4,FALSE),"")</f>
        <v/>
      </c>
      <c r="GV130" t="str">
        <f>+IFERROR(VLOOKUP(GV31,IN_Zugliste!$A$4:$C$602,4,FALSE),"")</f>
        <v/>
      </c>
      <c r="GW130" t="str">
        <f>+IFERROR(VLOOKUP(GW31,IN_Zugliste!$A$4:$C$602,4,FALSE),"")</f>
        <v/>
      </c>
      <c r="GX130" t="str">
        <f>+IFERROR(VLOOKUP(GX31,IN_Zugliste!$A$4:$C$602,4,FALSE),"")</f>
        <v/>
      </c>
      <c r="GY130" t="str">
        <f>+IFERROR(VLOOKUP(GY31,IN_Zugliste!$A$4:$C$602,4,FALSE),"")</f>
        <v/>
      </c>
      <c r="GZ130" t="str">
        <f>+IFERROR(VLOOKUP(GZ31,IN_Zugliste!$A$4:$C$602,4,FALSE),"")</f>
        <v/>
      </c>
      <c r="HA130" t="str">
        <f>+IFERROR(VLOOKUP(HA31,IN_Zugliste!$A$4:$C$602,4,FALSE),"")</f>
        <v/>
      </c>
      <c r="HB130" t="str">
        <f>+IFERROR(VLOOKUP(HB31,IN_Zugliste!$A$4:$C$602,4,FALSE),"")</f>
        <v/>
      </c>
      <c r="HC130" t="str">
        <f>+IFERROR(VLOOKUP(HC31,IN_Zugliste!$A$4:$C$602,4,FALSE),"")</f>
        <v/>
      </c>
      <c r="HD130" t="str">
        <f>+IFERROR(VLOOKUP(HD31,IN_Zugliste!$A$4:$C$602,4,FALSE),"")</f>
        <v/>
      </c>
      <c r="HE130" t="str">
        <f>+IFERROR(VLOOKUP(HE31,IN_Zugliste!$A$4:$C$602,4,FALSE),"")</f>
        <v/>
      </c>
      <c r="HF130" t="str">
        <f>+IFERROR(VLOOKUP(HF31,IN_Zugliste!$A$4:$C$602,4,FALSE),"")</f>
        <v/>
      </c>
      <c r="HG130" t="str">
        <f>+IFERROR(VLOOKUP(HG31,IN_Zugliste!$A$4:$C$602,4,FALSE),"")</f>
        <v/>
      </c>
      <c r="HH130" t="str">
        <f>+IFERROR(VLOOKUP(HH31,IN_Zugliste!$A$4:$C$602,4,FALSE),"")</f>
        <v/>
      </c>
    </row>
    <row r="131" spans="1:216" x14ac:dyDescent="0.2">
      <c r="A131" t="str">
        <f>+IFERROR(VLOOKUP(A32,IN_Zugliste!$A$4:$D$2002,4,FALSE),"")</f>
        <v/>
      </c>
      <c r="B131" t="str">
        <f>+IFERROR(VLOOKUP(B32,IN_Zugliste!$A$4:$D$2002,4,FALSE),"")</f>
        <v/>
      </c>
      <c r="C131" t="str">
        <f>+IFERROR(VLOOKUP(C32,IN_Zugliste!$A$4:$D$2002,4,FALSE),"")</f>
        <v/>
      </c>
      <c r="D131" t="str">
        <f>+IFERROR(VLOOKUP(D32,IN_Zugliste!$A$4:$D$2002,4,FALSE),"")</f>
        <v/>
      </c>
      <c r="E131" t="str">
        <f>+IFERROR(VLOOKUP(E32,IN_Zugliste!$A$4:$D$2002,4,FALSE),"")</f>
        <v/>
      </c>
      <c r="F131" t="str">
        <f>+IFERROR(VLOOKUP(F32,IN_Zugliste!$A$4:$D$2002,4,FALSE),"")</f>
        <v/>
      </c>
      <c r="G131" t="str">
        <f>+IFERROR(VLOOKUP(G32,IN_Zugliste!$A$4:$D$2002,4,FALSE),"")</f>
        <v/>
      </c>
      <c r="H131" t="str">
        <f>+IFERROR(VLOOKUP(H32,IN_Zugliste!$A$4:$D$2002,4,FALSE),"")</f>
        <v/>
      </c>
      <c r="I131" t="str">
        <f>+IFERROR(VLOOKUP(I32,IN_Zugliste!$A$4:$D$2002,4,FALSE),"")</f>
        <v/>
      </c>
      <c r="J131" t="str">
        <f>+IFERROR(VLOOKUP(J32,IN_Zugliste!$A$4:$D$2002,4,FALSE),"")</f>
        <v/>
      </c>
      <c r="K131" t="str">
        <f>+IFERROR(VLOOKUP(K32,IN_Zugliste!$A$4:$D$2002,4,FALSE),"")</f>
        <v/>
      </c>
      <c r="L131" t="str">
        <f>+IFERROR(VLOOKUP(L32,IN_Zugliste!$A$4:$D$2002,4,FALSE),"")</f>
        <v/>
      </c>
      <c r="M131" t="str">
        <f>+IFERROR(VLOOKUP(M32,IN_Zugliste!$A$4:$D$2002,4,FALSE),"")</f>
        <v/>
      </c>
      <c r="N131" t="str">
        <f>+IFERROR(VLOOKUP(N32,IN_Zugliste!$A$4:$D$2002,4,FALSE),"")</f>
        <v/>
      </c>
      <c r="O131" t="str">
        <f>+IFERROR(VLOOKUP(O32,IN_Zugliste!$A$4:$D$2002,4,FALSE),"")</f>
        <v/>
      </c>
      <c r="P131" t="str">
        <f>+IFERROR(VLOOKUP(P32,IN_Zugliste!$A$4:$D$2002,4,FALSE),"")</f>
        <v/>
      </c>
      <c r="Q131" t="str">
        <f>+IFERROR(VLOOKUP(Q32,IN_Zugliste!$A$4:$D$2002,4,FALSE),"")</f>
        <v/>
      </c>
      <c r="R131" t="str">
        <f>+IFERROR(VLOOKUP(R32,IN_Zugliste!$A$4:$D$2002,4,FALSE),"")</f>
        <v/>
      </c>
      <c r="S131" t="str">
        <f>+IFERROR(VLOOKUP(S32,IN_Zugliste!$A$4:$D$2002,4,FALSE),"")</f>
        <v/>
      </c>
      <c r="T131" t="str">
        <f>+IFERROR(VLOOKUP(T32,IN_Zugliste!$A$4:$D$2002,4,FALSE),"")</f>
        <v/>
      </c>
      <c r="U131" t="str">
        <f>+IFERROR(VLOOKUP(U32,IN_Zugliste!$A$4:$D$2002,4,FALSE),"")</f>
        <v/>
      </c>
      <c r="V131" t="str">
        <f>+IFERROR(VLOOKUP(V32,IN_Zugliste!$A$4:$D$2002,4,FALSE),"")</f>
        <v/>
      </c>
      <c r="W131" t="str">
        <f>+IFERROR(VLOOKUP(W32,IN_Zugliste!$A$4:$D$2002,4,FALSE),"")</f>
        <v/>
      </c>
      <c r="X131" t="str">
        <f>+IFERROR(VLOOKUP(X32,IN_Zugliste!$A$4:$D$2002,4,FALSE),"")</f>
        <v/>
      </c>
      <c r="Y131" t="str">
        <f>+IFERROR(VLOOKUP(Y32,IN_Zugliste!$A$4:$D$2002,4,FALSE),"")</f>
        <v/>
      </c>
      <c r="Z131" t="str">
        <f>+IFERROR(VLOOKUP(Z32,IN_Zugliste!$A$4:$D$2002,4,FALSE),"")</f>
        <v/>
      </c>
      <c r="AA131" t="str">
        <f>+IFERROR(VLOOKUP(AA32,IN_Zugliste!$A$4:$D$2002,4,FALSE),"")</f>
        <v/>
      </c>
      <c r="AB131" t="str">
        <f>+IFERROR(VLOOKUP(AB32,IN_Zugliste!$A$4:$D$2002,4,FALSE),"")</f>
        <v/>
      </c>
      <c r="AC131" t="str">
        <f>+IFERROR(VLOOKUP(AC32,IN_Zugliste!$A$4:$D$2002,4,FALSE),"")</f>
        <v/>
      </c>
      <c r="AD131" t="str">
        <f>+IFERROR(VLOOKUP(AD32,IN_Zugliste!$A$4:$D$2002,4,FALSE),"")</f>
        <v/>
      </c>
      <c r="AE131" t="str">
        <f>+IFERROR(VLOOKUP(AE32,IN_Zugliste!$A$4:$D$2002,4,FALSE),"")</f>
        <v/>
      </c>
      <c r="AF131" t="str">
        <f>+IFERROR(VLOOKUP(AF32,IN_Zugliste!$A$4:$D$2002,4,FALSE),"")</f>
        <v/>
      </c>
      <c r="AG131" t="str">
        <f>+IFERROR(VLOOKUP(AG32,IN_Zugliste!$A$4:$D$2002,4,FALSE),"")</f>
        <v/>
      </c>
      <c r="AH131" t="str">
        <f>+IFERROR(VLOOKUP(AH32,IN_Zugliste!$A$4:$D$2002,4,FALSE),"")</f>
        <v/>
      </c>
      <c r="AI131" t="str">
        <f>+IFERROR(VLOOKUP(AI32,IN_Zugliste!$A$4:$D$2002,4,FALSE),"")</f>
        <v/>
      </c>
      <c r="AJ131" t="str">
        <f>+IFERROR(VLOOKUP(AJ32,IN_Zugliste!$A$4:$D$2002,4,FALSE),"")</f>
        <v/>
      </c>
      <c r="AK131" t="str">
        <f>+IFERROR(VLOOKUP(AK32,IN_Zugliste!$A$4:$D$2002,4,FALSE),"")</f>
        <v/>
      </c>
      <c r="AL131" t="str">
        <f>+IFERROR(VLOOKUP(AL32,IN_Zugliste!$A$4:$D$2002,4,FALSE),"")</f>
        <v/>
      </c>
      <c r="AM131" t="str">
        <f>+IFERROR(VLOOKUP(AM32,IN_Zugliste!$A$4:$D$2002,4,FALSE),"")</f>
        <v/>
      </c>
      <c r="AN131" t="str">
        <f>+IFERROR(VLOOKUP(AN32,IN_Zugliste!$A$4:$D$2002,4,FALSE),"")</f>
        <v/>
      </c>
      <c r="AO131" t="str">
        <f>+IFERROR(VLOOKUP(AO32,IN_Zugliste!$A$4:$D$2002,4,FALSE),"")</f>
        <v/>
      </c>
      <c r="AP131" t="str">
        <f>+IFERROR(VLOOKUP(AP32,IN_Zugliste!$A$4:$D$2002,4,FALSE),"")</f>
        <v/>
      </c>
      <c r="AQ131" t="str">
        <f>+IFERROR(VLOOKUP(AQ32,IN_Zugliste!$A$4:$D$2002,4,FALSE),"")</f>
        <v/>
      </c>
      <c r="AR131" t="str">
        <f>+IFERROR(VLOOKUP(AR32,IN_Zugliste!$A$4:$D$2002,4,FALSE),"")</f>
        <v/>
      </c>
      <c r="AS131" t="str">
        <f>+IFERROR(VLOOKUP(AS32,IN_Zugliste!$A$4:$D$2002,4,FALSE),"")</f>
        <v/>
      </c>
      <c r="AT131" t="str">
        <f>+IFERROR(VLOOKUP(AT32,IN_Zugliste!$A$4:$D$2002,4,FALSE),"")</f>
        <v/>
      </c>
      <c r="AU131" t="str">
        <f>+IFERROR(VLOOKUP(AU32,IN_Zugliste!$A$4:$D$2002,4,FALSE),"")</f>
        <v/>
      </c>
      <c r="AV131" t="str">
        <f>+IFERROR(VLOOKUP(AV32,IN_Zugliste!$A$4:$D$2002,4,FALSE),"")</f>
        <v/>
      </c>
      <c r="AW131" t="str">
        <f>+IFERROR(VLOOKUP(AW32,IN_Zugliste!$A$4:$D$2002,4,FALSE),"")</f>
        <v/>
      </c>
      <c r="AX131" t="str">
        <f>+IFERROR(VLOOKUP(AX32,IN_Zugliste!$A$4:$D$2002,4,FALSE),"")</f>
        <v/>
      </c>
      <c r="AY131" t="str">
        <f>+IFERROR(VLOOKUP(AY32,IN_Zugliste!$A$4:$D$2002,4,FALSE),"")</f>
        <v/>
      </c>
      <c r="AZ131" t="str">
        <f>+IFERROR(VLOOKUP(AZ32,IN_Zugliste!$A$4:$D$2002,4,FALSE),"")</f>
        <v/>
      </c>
      <c r="BA131" t="str">
        <f>+IFERROR(VLOOKUP(BA32,IN_Zugliste!$A$4:$D$2002,4,FALSE),"")</f>
        <v/>
      </c>
      <c r="BB131" t="str">
        <f>+IFERROR(VLOOKUP(BB32,IN_Zugliste!$A$4:$D$2002,4,FALSE),"")</f>
        <v/>
      </c>
      <c r="BC131" t="str">
        <f>+IFERROR(VLOOKUP(BC32,IN_Zugliste!$A$4:$D$2002,4,FALSE),"")</f>
        <v/>
      </c>
      <c r="BD131" t="str">
        <f>+IFERROR(VLOOKUP(BD32,IN_Zugliste!$A$4:$D$2002,4,FALSE),"")</f>
        <v/>
      </c>
      <c r="BE131" t="str">
        <f>+IFERROR(VLOOKUP(BE32,IN_Zugliste!$A$4:$D$2002,4,FALSE),"")</f>
        <v/>
      </c>
      <c r="BF131" t="str">
        <f>+IFERROR(VLOOKUP(BF32,IN_Zugliste!$A$4:$D$2002,4,FALSE),"")</f>
        <v/>
      </c>
      <c r="BG131" t="str">
        <f>+IFERROR(VLOOKUP(BG32,IN_Zugliste!$A$4:$D$2002,4,FALSE),"")</f>
        <v/>
      </c>
      <c r="BH131" t="str">
        <f>+IFERROR(VLOOKUP(BH32,IN_Zugliste!$A$4:$D$2002,4,FALSE),"")</f>
        <v/>
      </c>
      <c r="BI131" t="str">
        <f>+IFERROR(VLOOKUP(BI32,IN_Zugliste!$A$4:$D$2002,4,FALSE),"")</f>
        <v/>
      </c>
      <c r="BJ131" t="str">
        <f>+IFERROR(VLOOKUP(BJ32,IN_Zugliste!$A$4:$D$2002,4,FALSE),"")</f>
        <v/>
      </c>
      <c r="BK131" t="str">
        <f>+IFERROR(VLOOKUP(BK32,IN_Zugliste!$A$4:$D$2002,4,FALSE),"")</f>
        <v/>
      </c>
      <c r="BL131" t="str">
        <f>+IFERROR(VLOOKUP(BL32,IN_Zugliste!$A$4:$D$2002,4,FALSE),"")</f>
        <v/>
      </c>
      <c r="BM131" t="str">
        <f>+IFERROR(VLOOKUP(BM32,IN_Zugliste!$A$4:$D$2002,4,FALSE),"")</f>
        <v/>
      </c>
      <c r="BN131" t="str">
        <f>+IFERROR(VLOOKUP(BN32,IN_Zugliste!$A$4:$D$2002,4,FALSE),"")</f>
        <v/>
      </c>
      <c r="BO131" t="str">
        <f>+IFERROR(VLOOKUP(BO32,IN_Zugliste!$A$4:$D$2002,4,FALSE),"")</f>
        <v/>
      </c>
      <c r="BP131" t="str">
        <f>+IFERROR(VLOOKUP(BP32,IN_Zugliste!$A$4:$D$2002,4,FALSE),"")</f>
        <v/>
      </c>
      <c r="BQ131" t="str">
        <f>+IFERROR(VLOOKUP(BQ32,IN_Zugliste!$A$4:$D$2002,4,FALSE),"")</f>
        <v/>
      </c>
      <c r="BR131" t="str">
        <f>+IFERROR(VLOOKUP(BR32,IN_Zugliste!$A$4:$D$2002,4,FALSE),"")</f>
        <v/>
      </c>
      <c r="BS131" t="str">
        <f>+IFERROR(VLOOKUP(BS32,IN_Zugliste!$A$4:$D$2002,4,FALSE),"")</f>
        <v/>
      </c>
      <c r="BT131" t="str">
        <f>+IFERROR(VLOOKUP(BT32,IN_Zugliste!$A$4:$D$2002,4,FALSE),"")</f>
        <v/>
      </c>
      <c r="BU131" t="str">
        <f>+IFERROR(VLOOKUP(BU32,IN_Zugliste!$A$4:$D$2002,4,FALSE),"")</f>
        <v/>
      </c>
      <c r="BV131" t="str">
        <f>+IFERROR(VLOOKUP(BV32,IN_Zugliste!$A$4:$D$2002,4,FALSE),"")</f>
        <v/>
      </c>
      <c r="BW131" t="str">
        <f>+IFERROR(VLOOKUP(BW32,IN_Zugliste!$A$4:$D$2002,4,FALSE),"")</f>
        <v/>
      </c>
      <c r="BX131" t="str">
        <f>+IFERROR(VLOOKUP(BX32,IN_Zugliste!$A$4:$D$2002,4,FALSE),"")</f>
        <v/>
      </c>
      <c r="BY131" t="str">
        <f>+IFERROR(VLOOKUP(BY32,IN_Zugliste!$A$4:$D$2002,4,FALSE),"")</f>
        <v/>
      </c>
      <c r="BZ131" t="str">
        <f>+IFERROR(VLOOKUP(BZ32,IN_Zugliste!$A$4:$D$2002,4,FALSE),"")</f>
        <v/>
      </c>
      <c r="CA131" t="str">
        <f>+IFERROR(VLOOKUP(CA32,IN_Zugliste!$A$4:$D$2002,4,FALSE),"")</f>
        <v/>
      </c>
      <c r="CB131" t="str">
        <f>+IFERROR(VLOOKUP(CB32,IN_Zugliste!$A$4:$D$2002,4,FALSE),"")</f>
        <v/>
      </c>
      <c r="CC131" t="str">
        <f>+IFERROR(VLOOKUP(CC32,IN_Zugliste!$A$4:$D$2002,4,FALSE),"")</f>
        <v/>
      </c>
      <c r="CD131" t="str">
        <f>+IFERROR(VLOOKUP(CD32,IN_Zugliste!$A$4:$D$2002,4,FALSE),"")</f>
        <v/>
      </c>
      <c r="CE131" t="str">
        <f>+IFERROR(VLOOKUP(CE32,IN_Zugliste!$A$4:$D$2002,4,FALSE),"")</f>
        <v/>
      </c>
      <c r="CF131" t="str">
        <f>+IFERROR(VLOOKUP(CF32,IN_Zugliste!$A$4:$D$2002,4,FALSE),"")</f>
        <v/>
      </c>
      <c r="CG131" t="str">
        <f>+IFERROR(VLOOKUP(CG32,IN_Zugliste!$A$4:$D$2002,4,FALSE),"")</f>
        <v/>
      </c>
      <c r="CH131" t="str">
        <f>+IFERROR(VLOOKUP(CH32,IN_Zugliste!$A$4:$D$2002,4,FALSE),"")</f>
        <v/>
      </c>
      <c r="CI131" t="str">
        <f>+IFERROR(VLOOKUP(CI32,IN_Zugliste!$A$4:$D$2002,4,FALSE),"")</f>
        <v/>
      </c>
      <c r="CJ131" t="str">
        <f>+IFERROR(VLOOKUP(CJ32,IN_Zugliste!$A$4:$D$2002,4,FALSE),"")</f>
        <v/>
      </c>
      <c r="CK131" t="str">
        <f>+IFERROR(VLOOKUP(CK32,IN_Zugliste!$A$4:$D$2002,4,FALSE),"")</f>
        <v/>
      </c>
      <c r="CL131" t="str">
        <f>+IFERROR(VLOOKUP(CL32,IN_Zugliste!$A$4:$D$2002,4,FALSE),"")</f>
        <v/>
      </c>
      <c r="CM131" t="str">
        <f>+IFERROR(VLOOKUP(CM32,IN_Zugliste!$A$4:$D$2002,4,FALSE),"")</f>
        <v/>
      </c>
      <c r="CN131" t="str">
        <f>+IFERROR(VLOOKUP(CN32,IN_Zugliste!$A$4:$D$2002,4,FALSE),"")</f>
        <v/>
      </c>
      <c r="CO131" t="str">
        <f>+IFERROR(VLOOKUP(CO32,IN_Zugliste!$A$4:$D$2002,4,FALSE),"")</f>
        <v/>
      </c>
      <c r="CP131" t="str">
        <f>+IFERROR(VLOOKUP(CP32,IN_Zugliste!$A$4:$D$2002,4,FALSE),"")</f>
        <v/>
      </c>
      <c r="CQ131" t="str">
        <f>+IFERROR(VLOOKUP(CQ32,IN_Zugliste!$A$4:$D$2002,4,FALSE),"")</f>
        <v/>
      </c>
      <c r="CR131" t="str">
        <f>+IFERROR(VLOOKUP(CR32,IN_Zugliste!$A$4:$D$2002,4,FALSE),"")</f>
        <v/>
      </c>
      <c r="CS131" t="str">
        <f>+IFERROR(VLOOKUP(CS32,IN_Zugliste!$A$4:$D$2002,4,FALSE),"")</f>
        <v/>
      </c>
      <c r="CT131" t="str">
        <f>+IFERROR(VLOOKUP(CT32,IN_Zugliste!$A$4:$D$2002,4,FALSE),"")</f>
        <v/>
      </c>
      <c r="CU131" t="str">
        <f>+IFERROR(VLOOKUP(CU32,IN_Zugliste!$A$4:$D$2002,4,FALSE),"")</f>
        <v/>
      </c>
      <c r="CV131" t="str">
        <f>+IFERROR(VLOOKUP(CV32,IN_Zugliste!$A$4:$D$2002,4,FALSE),"")</f>
        <v/>
      </c>
      <c r="CW131" t="str">
        <f>+IFERROR(VLOOKUP(CW32,IN_Zugliste!$A$4:$D$2002,4,FALSE),"")</f>
        <v/>
      </c>
      <c r="CX131" t="str">
        <f>+IFERROR(VLOOKUP(CX32,IN_Zugliste!$A$4:$D$2002,4,FALSE),"")</f>
        <v/>
      </c>
      <c r="CY131" t="str">
        <f>+IFERROR(VLOOKUP(CY32,IN_Zugliste!$A$4:$D$2002,4,FALSE),"")</f>
        <v/>
      </c>
      <c r="CZ131" t="str">
        <f>+IFERROR(VLOOKUP(CZ32,IN_Zugliste!$A$4:$D$2002,4,FALSE),"")</f>
        <v/>
      </c>
      <c r="DA131" t="str">
        <f>+IFERROR(VLOOKUP(DA32,IN_Zugliste!$A$4:$D$2002,4,FALSE),"")</f>
        <v/>
      </c>
      <c r="DB131" t="str">
        <f>+IFERROR(VLOOKUP(DB32,IN_Zugliste!$A$4:$D$2002,4,FALSE),"")</f>
        <v/>
      </c>
      <c r="DC131" t="str">
        <f>+IFERROR(VLOOKUP(DC32,IN_Zugliste!$A$4:$D$2002,4,FALSE),"")</f>
        <v/>
      </c>
      <c r="DD131" t="str">
        <f>+IFERROR(VLOOKUP(DD32,IN_Zugliste!$A$4:$D$2002,4,FALSE),"")</f>
        <v/>
      </c>
      <c r="DE131" t="str">
        <f>+IFERROR(VLOOKUP(DE32,IN_Zugliste!$A$4:$D$2002,4,FALSE),"")</f>
        <v/>
      </c>
      <c r="DF131" t="str">
        <f>+IFERROR(VLOOKUP(DF32,IN_Zugliste!$A$4:$D$2002,4,FALSE),"")</f>
        <v/>
      </c>
      <c r="DG131" t="str">
        <f>+IFERROR(VLOOKUP(DG32,IN_Zugliste!$A$4:$D$2002,4,FALSE),"")</f>
        <v/>
      </c>
      <c r="DH131" t="str">
        <f>+IFERROR(VLOOKUP(DH32,IN_Zugliste!$A$4:$D$2002,4,FALSE),"")</f>
        <v/>
      </c>
      <c r="DI131" t="str">
        <f>+IFERROR(VLOOKUP(DI32,IN_Zugliste!$A$4:$D$2002,4,FALSE),"")</f>
        <v/>
      </c>
      <c r="DJ131" t="str">
        <f>+IFERROR(VLOOKUP(DJ32,IN_Zugliste!$A$4:$D$2002,4,FALSE),"")</f>
        <v/>
      </c>
      <c r="DK131" t="str">
        <f>+IFERROR(VLOOKUP(DK32,IN_Zugliste!$A$4:$D$2002,4,FALSE),"")</f>
        <v/>
      </c>
      <c r="DL131" t="str">
        <f>+IFERROR(VLOOKUP(DL32,IN_Zugliste!$A$4:$D$2002,4,FALSE),"")</f>
        <v/>
      </c>
      <c r="DM131" t="str">
        <f>+IFERROR(VLOOKUP(DM32,IN_Zugliste!$A$4:$D$2002,4,FALSE),"")</f>
        <v/>
      </c>
      <c r="DN131" t="str">
        <f>+IFERROR(VLOOKUP(DN32,IN_Zugliste!$A$4:$D$2002,4,FALSE),"")</f>
        <v/>
      </c>
      <c r="DO131" t="str">
        <f>+IFERROR(VLOOKUP(DO32,IN_Zugliste!$A$4:$D$2002,4,FALSE),"")</f>
        <v/>
      </c>
      <c r="DP131" t="str">
        <f>+IFERROR(VLOOKUP(DP32,IN_Zugliste!$A$4:$D$2002,4,FALSE),"")</f>
        <v/>
      </c>
      <c r="DQ131" t="str">
        <f>+IFERROR(VLOOKUP(DQ32,IN_Zugliste!$A$4:$D$2002,4,FALSE),"")</f>
        <v/>
      </c>
      <c r="DR131" t="str">
        <f>+IFERROR(VLOOKUP(DR32,IN_Zugliste!$A$4:$D$2002,4,FALSE),"")</f>
        <v/>
      </c>
      <c r="DS131" t="str">
        <f>+IFERROR(VLOOKUP(DS32,IN_Zugliste!$A$4:$D$2002,4,FALSE),"")</f>
        <v/>
      </c>
      <c r="DT131" t="str">
        <f>+IFERROR(VLOOKUP(DT32,IN_Zugliste!$A$4:$D$2002,4,FALSE),"")</f>
        <v/>
      </c>
      <c r="DU131" t="str">
        <f>+IFERROR(VLOOKUP(DU32,IN_Zugliste!$A$4:$D$2002,4,FALSE),"")</f>
        <v/>
      </c>
      <c r="DV131" t="str">
        <f>+IFERROR(VLOOKUP(DV32,IN_Zugliste!$A$4:$D$2002,4,FALSE),"")</f>
        <v/>
      </c>
      <c r="DW131" t="str">
        <f>+IFERROR(VLOOKUP(DW32,IN_Zugliste!$A$4:$D$2002,4,FALSE),"")</f>
        <v/>
      </c>
      <c r="DX131" t="str">
        <f>+IFERROR(VLOOKUP(DX32,IN_Zugliste!$A$4:$D$2002,4,FALSE),"")</f>
        <v/>
      </c>
      <c r="DY131" t="str">
        <f>+IFERROR(VLOOKUP(DY32,IN_Zugliste!$A$4:$D$2002,4,FALSE),"")</f>
        <v/>
      </c>
      <c r="DZ131" t="str">
        <f>+IFERROR(VLOOKUP(DZ32,IN_Zugliste!$A$4:$D$2002,4,FALSE),"")</f>
        <v/>
      </c>
      <c r="EA131" t="str">
        <f>+IFERROR(VLOOKUP(EA32,IN_Zugliste!$A$4:$D$2002,4,FALSE),"")</f>
        <v/>
      </c>
      <c r="EB131" t="str">
        <f>+IFERROR(VLOOKUP(EB32,IN_Zugliste!$A$4:$D$2002,4,FALSE),"")</f>
        <v/>
      </c>
      <c r="EC131" t="str">
        <f>+IFERROR(VLOOKUP(EC32,IN_Zugliste!$A$4:$D$2002,4,FALSE),"")</f>
        <v/>
      </c>
      <c r="ED131" t="str">
        <f>+IFERROR(VLOOKUP(ED32,IN_Zugliste!$A$4:$D$2002,4,FALSE),"")</f>
        <v/>
      </c>
      <c r="EE131" t="str">
        <f>+IFERROR(VLOOKUP(EE32,IN_Zugliste!$A$4:$D$2002,4,FALSE),"")</f>
        <v/>
      </c>
      <c r="EF131" t="str">
        <f>+IFERROR(VLOOKUP(EF32,IN_Zugliste!$A$4:$D$2002,4,FALSE),"")</f>
        <v/>
      </c>
      <c r="EG131" t="str">
        <f>+IFERROR(VLOOKUP(EG32,IN_Zugliste!$A$4:$D$2002,4,FALSE),"")</f>
        <v/>
      </c>
      <c r="EH131" t="str">
        <f>+IFERROR(VLOOKUP(EH32,IN_Zugliste!$A$4:$D$2002,4,FALSE),"")</f>
        <v/>
      </c>
      <c r="EI131" t="str">
        <f>+IFERROR(VLOOKUP(EI32,IN_Zugliste!$A$4:$D$2002,4,FALSE),"")</f>
        <v/>
      </c>
      <c r="EJ131" t="str">
        <f>+IFERROR(VLOOKUP(EJ32,IN_Zugliste!$A$4:$D$2002,4,FALSE),"")</f>
        <v/>
      </c>
      <c r="EK131" t="str">
        <f>+IFERROR(VLOOKUP(EK32,IN_Zugliste!$A$4:$D$2002,4,FALSE),"")</f>
        <v/>
      </c>
      <c r="EL131" t="str">
        <f>+IFERROR(VLOOKUP(EL32,IN_Zugliste!$A$4:$D$2002,4,FALSE),"")</f>
        <v/>
      </c>
      <c r="EM131" t="str">
        <f>+IFERROR(VLOOKUP(EM32,IN_Zugliste!$A$4:$D$2002,4,FALSE),"")</f>
        <v/>
      </c>
      <c r="EN131" t="str">
        <f>+IFERROR(VLOOKUP(EN32,IN_Zugliste!$A$4:$D$2002,4,FALSE),"")</f>
        <v/>
      </c>
      <c r="EO131" t="str">
        <f>+IFERROR(VLOOKUP(EO32,IN_Zugliste!$A$4:$D$2002,4,FALSE),"")</f>
        <v/>
      </c>
      <c r="EP131" t="str">
        <f>+IFERROR(VLOOKUP(EP32,IN_Zugliste!$A$4:$D$2002,4,FALSE),"")</f>
        <v/>
      </c>
      <c r="EQ131" t="str">
        <f>+IFERROR(VLOOKUP(EQ32,IN_Zugliste!$A$4:$D$2002,4,FALSE),"")</f>
        <v/>
      </c>
      <c r="ER131" t="str">
        <f>+IFERROR(VLOOKUP(ER32,IN_Zugliste!$A$4:$D$2002,4,FALSE),"")</f>
        <v/>
      </c>
      <c r="ES131" t="str">
        <f>+IFERROR(VLOOKUP(ES32,IN_Zugliste!$A$4:$D$2002,4,FALSE),"")</f>
        <v/>
      </c>
      <c r="ET131" t="str">
        <f>+IFERROR(VLOOKUP(ET32,IN_Zugliste!$A$4:$D$2002,4,FALSE),"")</f>
        <v/>
      </c>
      <c r="EU131" t="str">
        <f>+IFERROR(VLOOKUP(EU32,IN_Zugliste!$A$4:$D$2002,4,FALSE),"")</f>
        <v/>
      </c>
      <c r="EV131" t="str">
        <f>+IFERROR(VLOOKUP(EV32,IN_Zugliste!$A$4:$D$2002,4,FALSE),"")</f>
        <v/>
      </c>
      <c r="EW131" t="str">
        <f>+IFERROR(VLOOKUP(EW32,IN_Zugliste!$A$4:$D$2002,4,FALSE),"")</f>
        <v/>
      </c>
      <c r="EX131" t="str">
        <f>+IFERROR(VLOOKUP(EX32,IN_Zugliste!$A$4:$D$2002,4,FALSE),"")</f>
        <v/>
      </c>
      <c r="EY131" t="str">
        <f>+IFERROR(VLOOKUP(EY32,IN_Zugliste!$A$4:$D$2002,4,FALSE),"")</f>
        <v/>
      </c>
      <c r="EZ131" t="str">
        <f>+IFERROR(VLOOKUP(EZ32,IN_Zugliste!$A$4:$D$2002,4,FALSE),"")</f>
        <v/>
      </c>
      <c r="FA131" t="str">
        <f>+IFERROR(VLOOKUP(FA32,IN_Zugliste!$A$4:$D$2002,4,FALSE),"")</f>
        <v/>
      </c>
      <c r="FB131" t="str">
        <f>+IFERROR(VLOOKUP(FB32,IN_Zugliste!$A$4:$D$2002,4,FALSE),"")</f>
        <v/>
      </c>
      <c r="FC131" t="str">
        <f>+IFERROR(VLOOKUP(FC32,IN_Zugliste!$A$4:$D$2002,4,FALSE),"")</f>
        <v/>
      </c>
      <c r="FD131" t="str">
        <f>+IFERROR(VLOOKUP(FD32,IN_Zugliste!$A$4:$D$2002,4,FALSE),"")</f>
        <v/>
      </c>
      <c r="FE131" t="str">
        <f>+IFERROR(VLOOKUP(FE32,IN_Zugliste!$A$4:$D$2002,4,FALSE),"")</f>
        <v/>
      </c>
      <c r="FF131" t="str">
        <f>+IFERROR(VLOOKUP(FF32,IN_Zugliste!$A$4:$D$2002,4,FALSE),"")</f>
        <v/>
      </c>
      <c r="FG131" t="str">
        <f>+IFERROR(VLOOKUP(FG32,IN_Zugliste!$A$4:$D$2002,4,FALSE),"")</f>
        <v/>
      </c>
      <c r="FH131" t="str">
        <f>+IFERROR(VLOOKUP(FH32,IN_Zugliste!$A$4:$D$2002,4,FALSE),"")</f>
        <v/>
      </c>
      <c r="FI131" t="str">
        <f>+IFERROR(VLOOKUP(FI32,IN_Zugliste!$A$4:$D$2002,4,FALSE),"")</f>
        <v/>
      </c>
      <c r="FJ131" t="str">
        <f>+IFERROR(VLOOKUP(FJ32,IN_Zugliste!$A$4:$D$2002,4,FALSE),"")</f>
        <v/>
      </c>
      <c r="FK131" t="str">
        <f>+IFERROR(VLOOKUP(FK32,IN_Zugliste!$A$4:$D$2002,4,FALSE),"")</f>
        <v/>
      </c>
      <c r="FL131" t="str">
        <f>+IFERROR(VLOOKUP(FL32,IN_Zugliste!$A$4:$D$2002,4,FALSE),"")</f>
        <v/>
      </c>
      <c r="FM131" t="str">
        <f>+IFERROR(VLOOKUP(FM32,IN_Zugliste!$A$4:$C$602,4,FALSE),"")</f>
        <v/>
      </c>
      <c r="FN131" t="str">
        <f>+IFERROR(VLOOKUP(FN32,IN_Zugliste!$A$4:$C$602,4,FALSE),"")</f>
        <v/>
      </c>
      <c r="FO131" t="str">
        <f>+IFERROR(VLOOKUP(FO32,IN_Zugliste!$A$4:$C$602,4,FALSE),"")</f>
        <v/>
      </c>
      <c r="FP131" t="str">
        <f>+IFERROR(VLOOKUP(FP32,IN_Zugliste!$A$4:$C$602,4,FALSE),"")</f>
        <v/>
      </c>
      <c r="FQ131" t="str">
        <f>+IFERROR(VLOOKUP(FQ32,IN_Zugliste!$A$4:$C$602,4,FALSE),"")</f>
        <v/>
      </c>
      <c r="FR131" t="str">
        <f>+IFERROR(VLOOKUP(FR32,IN_Zugliste!$A$4:$C$602,4,FALSE),"")</f>
        <v/>
      </c>
      <c r="FS131" t="str">
        <f>+IFERROR(VLOOKUP(FS32,IN_Zugliste!$A$4:$C$602,4,FALSE),"")</f>
        <v/>
      </c>
      <c r="FT131" t="str">
        <f>+IFERROR(VLOOKUP(FT32,IN_Zugliste!$A$4:$C$602,4,FALSE),"")</f>
        <v/>
      </c>
      <c r="FU131" t="str">
        <f>+IFERROR(VLOOKUP(FU32,IN_Zugliste!$A$4:$C$602,4,FALSE),"")</f>
        <v/>
      </c>
      <c r="FV131" t="str">
        <f>+IFERROR(VLOOKUP(FV32,IN_Zugliste!$A$4:$C$602,4,FALSE),"")</f>
        <v/>
      </c>
      <c r="FW131" t="str">
        <f>+IFERROR(VLOOKUP(FW32,IN_Zugliste!$A$4:$C$602,4,FALSE),"")</f>
        <v/>
      </c>
      <c r="FX131" t="str">
        <f>+IFERROR(VLOOKUP(FX32,IN_Zugliste!$A$4:$C$602,4,FALSE),"")</f>
        <v/>
      </c>
      <c r="FY131" t="str">
        <f>+IFERROR(VLOOKUP(FY32,IN_Zugliste!$A$4:$C$602,4,FALSE),"")</f>
        <v/>
      </c>
      <c r="FZ131" t="str">
        <f>+IFERROR(VLOOKUP(FZ32,IN_Zugliste!$A$4:$C$602,4,FALSE),"")</f>
        <v/>
      </c>
      <c r="GA131" t="str">
        <f>+IFERROR(VLOOKUP(GA32,IN_Zugliste!$A$4:$C$602,4,FALSE),"")</f>
        <v/>
      </c>
      <c r="GB131" t="str">
        <f>+IFERROR(VLOOKUP(GB32,IN_Zugliste!$A$4:$C$602,4,FALSE),"")</f>
        <v/>
      </c>
      <c r="GC131" t="str">
        <f>+IFERROR(VLOOKUP(GC32,IN_Zugliste!$A$4:$C$602,4,FALSE),"")</f>
        <v/>
      </c>
      <c r="GD131" t="str">
        <f>+IFERROR(VLOOKUP(GD32,IN_Zugliste!$A$4:$C$602,4,FALSE),"")</f>
        <v/>
      </c>
      <c r="GE131" t="str">
        <f>+IFERROR(VLOOKUP(GE32,IN_Zugliste!$A$4:$C$602,4,FALSE),"")</f>
        <v/>
      </c>
      <c r="GF131" t="str">
        <f>+IFERROR(VLOOKUP(GF32,IN_Zugliste!$A$4:$C$602,4,FALSE),"")</f>
        <v/>
      </c>
      <c r="GG131" t="str">
        <f>+IFERROR(VLOOKUP(GG32,IN_Zugliste!$A$4:$C$602,4,FALSE),"")</f>
        <v/>
      </c>
      <c r="GH131" t="str">
        <f>+IFERROR(VLOOKUP(GH32,IN_Zugliste!$A$4:$C$602,4,FALSE),"")</f>
        <v/>
      </c>
      <c r="GI131" t="str">
        <f>+IFERROR(VLOOKUP(GI32,IN_Zugliste!$A$4:$C$602,4,FALSE),"")</f>
        <v/>
      </c>
      <c r="GJ131" t="str">
        <f>+IFERROR(VLOOKUP(GJ32,IN_Zugliste!$A$4:$C$602,4,FALSE),"")</f>
        <v/>
      </c>
      <c r="GK131" t="str">
        <f>+IFERROR(VLOOKUP(GK32,IN_Zugliste!$A$4:$C$602,4,FALSE),"")</f>
        <v/>
      </c>
      <c r="GL131" t="str">
        <f>+IFERROR(VLOOKUP(GL32,IN_Zugliste!$A$4:$C$602,4,FALSE),"")</f>
        <v/>
      </c>
      <c r="GM131" t="str">
        <f>+IFERROR(VLOOKUP(GM32,IN_Zugliste!$A$4:$C$602,4,FALSE),"")</f>
        <v/>
      </c>
      <c r="GN131" t="str">
        <f>+IFERROR(VLOOKUP(GN32,IN_Zugliste!$A$4:$C$602,4,FALSE),"")</f>
        <v/>
      </c>
      <c r="GO131" t="str">
        <f>+IFERROR(VLOOKUP(GO32,IN_Zugliste!$A$4:$C$602,4,FALSE),"")</f>
        <v/>
      </c>
      <c r="GP131" t="str">
        <f>+IFERROR(VLOOKUP(GP32,IN_Zugliste!$A$4:$C$602,4,FALSE),"")</f>
        <v/>
      </c>
      <c r="GQ131" t="str">
        <f>+IFERROR(VLOOKUP(GQ32,IN_Zugliste!$A$4:$C$602,4,FALSE),"")</f>
        <v/>
      </c>
      <c r="GR131" t="str">
        <f>+IFERROR(VLOOKUP(GR32,IN_Zugliste!$A$4:$C$602,4,FALSE),"")</f>
        <v/>
      </c>
      <c r="GS131" t="str">
        <f>+IFERROR(VLOOKUP(GS32,IN_Zugliste!$A$4:$C$602,4,FALSE),"")</f>
        <v/>
      </c>
      <c r="GT131" t="str">
        <f>+IFERROR(VLOOKUP(GT32,IN_Zugliste!$A$4:$C$602,4,FALSE),"")</f>
        <v/>
      </c>
      <c r="GU131" t="str">
        <f>+IFERROR(VLOOKUP(GU32,IN_Zugliste!$A$4:$C$602,4,FALSE),"")</f>
        <v/>
      </c>
      <c r="GV131" t="str">
        <f>+IFERROR(VLOOKUP(GV32,IN_Zugliste!$A$4:$C$602,4,FALSE),"")</f>
        <v/>
      </c>
      <c r="GW131" t="str">
        <f>+IFERROR(VLOOKUP(GW32,IN_Zugliste!$A$4:$C$602,4,FALSE),"")</f>
        <v/>
      </c>
      <c r="GX131" t="str">
        <f>+IFERROR(VLOOKUP(GX32,IN_Zugliste!$A$4:$C$602,4,FALSE),"")</f>
        <v/>
      </c>
      <c r="GY131" t="str">
        <f>+IFERROR(VLOOKUP(GY32,IN_Zugliste!$A$4:$C$602,4,FALSE),"")</f>
        <v/>
      </c>
      <c r="GZ131" t="str">
        <f>+IFERROR(VLOOKUP(GZ32,IN_Zugliste!$A$4:$C$602,4,FALSE),"")</f>
        <v/>
      </c>
      <c r="HA131" t="str">
        <f>+IFERROR(VLOOKUP(HA32,IN_Zugliste!$A$4:$C$602,4,FALSE),"")</f>
        <v/>
      </c>
      <c r="HB131" t="str">
        <f>+IFERROR(VLOOKUP(HB32,IN_Zugliste!$A$4:$C$602,4,FALSE),"")</f>
        <v/>
      </c>
      <c r="HC131" t="str">
        <f>+IFERROR(VLOOKUP(HC32,IN_Zugliste!$A$4:$C$602,4,FALSE),"")</f>
        <v/>
      </c>
      <c r="HD131" t="str">
        <f>+IFERROR(VLOOKUP(HD32,IN_Zugliste!$A$4:$C$602,4,FALSE),"")</f>
        <v/>
      </c>
      <c r="HE131" t="str">
        <f>+IFERROR(VLOOKUP(HE32,IN_Zugliste!$A$4:$C$602,4,FALSE),"")</f>
        <v/>
      </c>
      <c r="HF131" t="str">
        <f>+IFERROR(VLOOKUP(HF32,IN_Zugliste!$A$4:$C$602,4,FALSE),"")</f>
        <v/>
      </c>
      <c r="HG131" t="str">
        <f>+IFERROR(VLOOKUP(HG32,IN_Zugliste!$A$4:$C$602,4,FALSE),"")</f>
        <v/>
      </c>
      <c r="HH131" t="str">
        <f>+IFERROR(VLOOKUP(HH32,IN_Zugliste!$A$4:$C$602,4,FALSE),"")</f>
        <v/>
      </c>
    </row>
    <row r="132" spans="1:216" x14ac:dyDescent="0.2">
      <c r="A132" t="str">
        <f>+IFERROR(VLOOKUP(A33,IN_Zugliste!$A$4:$D$2002,4,FALSE),"")</f>
        <v/>
      </c>
      <c r="B132" t="str">
        <f>+IFERROR(VLOOKUP(B33,IN_Zugliste!$A$4:$D$2002,4,FALSE),"")</f>
        <v/>
      </c>
      <c r="C132" t="str">
        <f>+IFERROR(VLOOKUP(C33,IN_Zugliste!$A$4:$D$2002,4,FALSE),"")</f>
        <v/>
      </c>
      <c r="D132" t="str">
        <f>+IFERROR(VLOOKUP(D33,IN_Zugliste!$A$4:$D$2002,4,FALSE),"")</f>
        <v/>
      </c>
      <c r="E132" t="str">
        <f>+IFERROR(VLOOKUP(E33,IN_Zugliste!$A$4:$D$2002,4,FALSE),"")</f>
        <v/>
      </c>
      <c r="F132" t="str">
        <f>+IFERROR(VLOOKUP(F33,IN_Zugliste!$A$4:$D$2002,4,FALSE),"")</f>
        <v/>
      </c>
      <c r="G132" t="str">
        <f>+IFERROR(VLOOKUP(G33,IN_Zugliste!$A$4:$D$2002,4,FALSE),"")</f>
        <v/>
      </c>
      <c r="H132" t="str">
        <f>+IFERROR(VLOOKUP(H33,IN_Zugliste!$A$4:$D$2002,4,FALSE),"")</f>
        <v/>
      </c>
      <c r="I132" t="str">
        <f>+IFERROR(VLOOKUP(I33,IN_Zugliste!$A$4:$D$2002,4,FALSE),"")</f>
        <v/>
      </c>
      <c r="J132" t="str">
        <f>+IFERROR(VLOOKUP(J33,IN_Zugliste!$A$4:$D$2002,4,FALSE),"")</f>
        <v/>
      </c>
      <c r="K132" t="str">
        <f>+IFERROR(VLOOKUP(K33,IN_Zugliste!$A$4:$D$2002,4,FALSE),"")</f>
        <v/>
      </c>
      <c r="L132" t="str">
        <f>+IFERROR(VLOOKUP(L33,IN_Zugliste!$A$4:$D$2002,4,FALSE),"")</f>
        <v/>
      </c>
      <c r="M132" t="str">
        <f>+IFERROR(VLOOKUP(M33,IN_Zugliste!$A$4:$D$2002,4,FALSE),"")</f>
        <v/>
      </c>
      <c r="N132" t="str">
        <f>+IFERROR(VLOOKUP(N33,IN_Zugliste!$A$4:$D$2002,4,FALSE),"")</f>
        <v/>
      </c>
      <c r="O132" t="str">
        <f>+IFERROR(VLOOKUP(O33,IN_Zugliste!$A$4:$D$2002,4,FALSE),"")</f>
        <v/>
      </c>
      <c r="P132" t="str">
        <f>+IFERROR(VLOOKUP(P33,IN_Zugliste!$A$4:$D$2002,4,FALSE),"")</f>
        <v/>
      </c>
      <c r="Q132" t="str">
        <f>+IFERROR(VLOOKUP(Q33,IN_Zugliste!$A$4:$D$2002,4,FALSE),"")</f>
        <v/>
      </c>
      <c r="R132" t="str">
        <f>+IFERROR(VLOOKUP(R33,IN_Zugliste!$A$4:$D$2002,4,FALSE),"")</f>
        <v/>
      </c>
      <c r="S132" t="str">
        <f>+IFERROR(VLOOKUP(S33,IN_Zugliste!$A$4:$D$2002,4,FALSE),"")</f>
        <v/>
      </c>
      <c r="T132" t="str">
        <f>+IFERROR(VLOOKUP(T33,IN_Zugliste!$A$4:$D$2002,4,FALSE),"")</f>
        <v/>
      </c>
      <c r="U132" t="str">
        <f>+IFERROR(VLOOKUP(U33,IN_Zugliste!$A$4:$D$2002,4,FALSE),"")</f>
        <v/>
      </c>
      <c r="V132" t="str">
        <f>+IFERROR(VLOOKUP(V33,IN_Zugliste!$A$4:$D$2002,4,FALSE),"")</f>
        <v/>
      </c>
      <c r="W132" t="str">
        <f>+IFERROR(VLOOKUP(W33,IN_Zugliste!$A$4:$D$2002,4,FALSE),"")</f>
        <v/>
      </c>
      <c r="X132" t="str">
        <f>+IFERROR(VLOOKUP(X33,IN_Zugliste!$A$4:$D$2002,4,FALSE),"")</f>
        <v/>
      </c>
      <c r="Y132" t="str">
        <f>+IFERROR(VLOOKUP(Y33,IN_Zugliste!$A$4:$D$2002,4,FALSE),"")</f>
        <v/>
      </c>
      <c r="Z132" t="str">
        <f>+IFERROR(VLOOKUP(Z33,IN_Zugliste!$A$4:$D$2002,4,FALSE),"")</f>
        <v/>
      </c>
      <c r="AA132" t="str">
        <f>+IFERROR(VLOOKUP(AA33,IN_Zugliste!$A$4:$D$2002,4,FALSE),"")</f>
        <v/>
      </c>
      <c r="AB132" t="str">
        <f>+IFERROR(VLOOKUP(AB33,IN_Zugliste!$A$4:$D$2002,4,FALSE),"")</f>
        <v/>
      </c>
      <c r="AC132" t="str">
        <f>+IFERROR(VLOOKUP(AC33,IN_Zugliste!$A$4:$D$2002,4,FALSE),"")</f>
        <v/>
      </c>
      <c r="AD132" t="str">
        <f>+IFERROR(VLOOKUP(AD33,IN_Zugliste!$A$4:$D$2002,4,FALSE),"")</f>
        <v/>
      </c>
      <c r="AE132" t="str">
        <f>+IFERROR(VLOOKUP(AE33,IN_Zugliste!$A$4:$D$2002,4,FALSE),"")</f>
        <v/>
      </c>
      <c r="AF132" t="str">
        <f>+IFERROR(VLOOKUP(AF33,IN_Zugliste!$A$4:$D$2002,4,FALSE),"")</f>
        <v/>
      </c>
      <c r="AG132" t="str">
        <f>+IFERROR(VLOOKUP(AG33,IN_Zugliste!$A$4:$D$2002,4,FALSE),"")</f>
        <v/>
      </c>
      <c r="AH132" t="str">
        <f>+IFERROR(VLOOKUP(AH33,IN_Zugliste!$A$4:$D$2002,4,FALSE),"")</f>
        <v/>
      </c>
      <c r="AI132" t="str">
        <f>+IFERROR(VLOOKUP(AI33,IN_Zugliste!$A$4:$D$2002,4,FALSE),"")</f>
        <v/>
      </c>
      <c r="AJ132" t="str">
        <f>+IFERROR(VLOOKUP(AJ33,IN_Zugliste!$A$4:$D$2002,4,FALSE),"")</f>
        <v/>
      </c>
      <c r="AK132" t="str">
        <f>+IFERROR(VLOOKUP(AK33,IN_Zugliste!$A$4:$D$2002,4,FALSE),"")</f>
        <v/>
      </c>
      <c r="AL132" t="str">
        <f>+IFERROR(VLOOKUP(AL33,IN_Zugliste!$A$4:$D$2002,4,FALSE),"")</f>
        <v/>
      </c>
      <c r="AM132" t="str">
        <f>+IFERROR(VLOOKUP(AM33,IN_Zugliste!$A$4:$D$2002,4,FALSE),"")</f>
        <v/>
      </c>
      <c r="AN132" t="str">
        <f>+IFERROR(VLOOKUP(AN33,IN_Zugliste!$A$4:$D$2002,4,FALSE),"")</f>
        <v/>
      </c>
      <c r="AO132" t="str">
        <f>+IFERROR(VLOOKUP(AO33,IN_Zugliste!$A$4:$D$2002,4,FALSE),"")</f>
        <v/>
      </c>
      <c r="AP132" t="str">
        <f>+IFERROR(VLOOKUP(AP33,IN_Zugliste!$A$4:$D$2002,4,FALSE),"")</f>
        <v/>
      </c>
      <c r="AQ132" t="str">
        <f>+IFERROR(VLOOKUP(AQ33,IN_Zugliste!$A$4:$D$2002,4,FALSE),"")</f>
        <v/>
      </c>
      <c r="AR132" t="str">
        <f>+IFERROR(VLOOKUP(AR33,IN_Zugliste!$A$4:$D$2002,4,FALSE),"")</f>
        <v/>
      </c>
      <c r="AS132" t="str">
        <f>+IFERROR(VLOOKUP(AS33,IN_Zugliste!$A$4:$D$2002,4,FALSE),"")</f>
        <v/>
      </c>
      <c r="AT132" t="str">
        <f>+IFERROR(VLOOKUP(AT33,IN_Zugliste!$A$4:$D$2002,4,FALSE),"")</f>
        <v/>
      </c>
      <c r="AU132" t="str">
        <f>+IFERROR(VLOOKUP(AU33,IN_Zugliste!$A$4:$D$2002,4,FALSE),"")</f>
        <v/>
      </c>
      <c r="AV132" t="str">
        <f>+IFERROR(VLOOKUP(AV33,IN_Zugliste!$A$4:$D$2002,4,FALSE),"")</f>
        <v/>
      </c>
      <c r="AW132" t="str">
        <f>+IFERROR(VLOOKUP(AW33,IN_Zugliste!$A$4:$D$2002,4,FALSE),"")</f>
        <v/>
      </c>
      <c r="AX132" t="str">
        <f>+IFERROR(VLOOKUP(AX33,IN_Zugliste!$A$4:$D$2002,4,FALSE),"")</f>
        <v/>
      </c>
      <c r="AY132" t="str">
        <f>+IFERROR(VLOOKUP(AY33,IN_Zugliste!$A$4:$D$2002,4,FALSE),"")</f>
        <v/>
      </c>
      <c r="AZ132" t="str">
        <f>+IFERROR(VLOOKUP(AZ33,IN_Zugliste!$A$4:$D$2002,4,FALSE),"")</f>
        <v/>
      </c>
      <c r="BA132" t="str">
        <f>+IFERROR(VLOOKUP(BA33,IN_Zugliste!$A$4:$D$2002,4,FALSE),"")</f>
        <v/>
      </c>
      <c r="BB132" t="str">
        <f>+IFERROR(VLOOKUP(BB33,IN_Zugliste!$A$4:$D$2002,4,FALSE),"")</f>
        <v/>
      </c>
      <c r="BC132" t="str">
        <f>+IFERROR(VLOOKUP(BC33,IN_Zugliste!$A$4:$D$2002,4,FALSE),"")</f>
        <v/>
      </c>
      <c r="BD132" t="str">
        <f>+IFERROR(VLOOKUP(BD33,IN_Zugliste!$A$4:$D$2002,4,FALSE),"")</f>
        <v/>
      </c>
      <c r="BE132" t="str">
        <f>+IFERROR(VLOOKUP(BE33,IN_Zugliste!$A$4:$D$2002,4,FALSE),"")</f>
        <v/>
      </c>
      <c r="BF132" t="str">
        <f>+IFERROR(VLOOKUP(BF33,IN_Zugliste!$A$4:$D$2002,4,FALSE),"")</f>
        <v/>
      </c>
      <c r="BG132" t="str">
        <f>+IFERROR(VLOOKUP(BG33,IN_Zugliste!$A$4:$D$2002,4,FALSE),"")</f>
        <v/>
      </c>
      <c r="BH132" t="str">
        <f>+IFERROR(VLOOKUP(BH33,IN_Zugliste!$A$4:$D$2002,4,FALSE),"")</f>
        <v/>
      </c>
      <c r="BI132" t="str">
        <f>+IFERROR(VLOOKUP(BI33,IN_Zugliste!$A$4:$D$2002,4,FALSE),"")</f>
        <v/>
      </c>
      <c r="BJ132" t="str">
        <f>+IFERROR(VLOOKUP(BJ33,IN_Zugliste!$A$4:$D$2002,4,FALSE),"")</f>
        <v/>
      </c>
      <c r="BK132" t="str">
        <f>+IFERROR(VLOOKUP(BK33,IN_Zugliste!$A$4:$D$2002,4,FALSE),"")</f>
        <v/>
      </c>
      <c r="BL132" t="str">
        <f>+IFERROR(VLOOKUP(BL33,IN_Zugliste!$A$4:$D$2002,4,FALSE),"")</f>
        <v/>
      </c>
      <c r="BM132" t="str">
        <f>+IFERROR(VLOOKUP(BM33,IN_Zugliste!$A$4:$D$2002,4,FALSE),"")</f>
        <v/>
      </c>
      <c r="BN132" t="str">
        <f>+IFERROR(VLOOKUP(BN33,IN_Zugliste!$A$4:$D$2002,4,FALSE),"")</f>
        <v/>
      </c>
      <c r="BO132" t="str">
        <f>+IFERROR(VLOOKUP(BO33,IN_Zugliste!$A$4:$D$2002,4,FALSE),"")</f>
        <v/>
      </c>
      <c r="BP132" t="str">
        <f>+IFERROR(VLOOKUP(BP33,IN_Zugliste!$A$4:$D$2002,4,FALSE),"")</f>
        <v/>
      </c>
      <c r="BQ132" t="str">
        <f>+IFERROR(VLOOKUP(BQ33,IN_Zugliste!$A$4:$D$2002,4,FALSE),"")</f>
        <v/>
      </c>
      <c r="BR132" t="str">
        <f>+IFERROR(VLOOKUP(BR33,IN_Zugliste!$A$4:$D$2002,4,FALSE),"")</f>
        <v/>
      </c>
      <c r="BS132" t="str">
        <f>+IFERROR(VLOOKUP(BS33,IN_Zugliste!$A$4:$D$2002,4,FALSE),"")</f>
        <v/>
      </c>
      <c r="BT132" t="str">
        <f>+IFERROR(VLOOKUP(BT33,IN_Zugliste!$A$4:$D$2002,4,FALSE),"")</f>
        <v/>
      </c>
      <c r="BU132" t="str">
        <f>+IFERROR(VLOOKUP(BU33,IN_Zugliste!$A$4:$D$2002,4,FALSE),"")</f>
        <v/>
      </c>
      <c r="BV132" t="str">
        <f>+IFERROR(VLOOKUP(BV33,IN_Zugliste!$A$4:$D$2002,4,FALSE),"")</f>
        <v/>
      </c>
      <c r="BW132" t="str">
        <f>+IFERROR(VLOOKUP(BW33,IN_Zugliste!$A$4:$D$2002,4,FALSE),"")</f>
        <v/>
      </c>
      <c r="BX132" t="str">
        <f>+IFERROR(VLOOKUP(BX33,IN_Zugliste!$A$4:$D$2002,4,FALSE),"")</f>
        <v/>
      </c>
      <c r="BY132" t="str">
        <f>+IFERROR(VLOOKUP(BY33,IN_Zugliste!$A$4:$D$2002,4,FALSE),"")</f>
        <v/>
      </c>
      <c r="BZ132" t="str">
        <f>+IFERROR(VLOOKUP(BZ33,IN_Zugliste!$A$4:$D$2002,4,FALSE),"")</f>
        <v/>
      </c>
      <c r="CA132" t="str">
        <f>+IFERROR(VLOOKUP(CA33,IN_Zugliste!$A$4:$D$2002,4,FALSE),"")</f>
        <v/>
      </c>
      <c r="CB132" t="str">
        <f>+IFERROR(VLOOKUP(CB33,IN_Zugliste!$A$4:$D$2002,4,FALSE),"")</f>
        <v/>
      </c>
      <c r="CC132" t="str">
        <f>+IFERROR(VLOOKUP(CC33,IN_Zugliste!$A$4:$D$2002,4,FALSE),"")</f>
        <v/>
      </c>
      <c r="CD132" t="str">
        <f>+IFERROR(VLOOKUP(CD33,IN_Zugliste!$A$4:$D$2002,4,FALSE),"")</f>
        <v/>
      </c>
      <c r="CE132" t="str">
        <f>+IFERROR(VLOOKUP(CE33,IN_Zugliste!$A$4:$D$2002,4,FALSE),"")</f>
        <v/>
      </c>
      <c r="CF132" t="str">
        <f>+IFERROR(VLOOKUP(CF33,IN_Zugliste!$A$4:$D$2002,4,FALSE),"")</f>
        <v/>
      </c>
      <c r="CG132" t="str">
        <f>+IFERROR(VLOOKUP(CG33,IN_Zugliste!$A$4:$D$2002,4,FALSE),"")</f>
        <v/>
      </c>
      <c r="CH132" t="str">
        <f>+IFERROR(VLOOKUP(CH33,IN_Zugliste!$A$4:$D$2002,4,FALSE),"")</f>
        <v/>
      </c>
      <c r="CI132" t="str">
        <f>+IFERROR(VLOOKUP(CI33,IN_Zugliste!$A$4:$D$2002,4,FALSE),"")</f>
        <v/>
      </c>
      <c r="CJ132" t="str">
        <f>+IFERROR(VLOOKUP(CJ33,IN_Zugliste!$A$4:$D$2002,4,FALSE),"")</f>
        <v/>
      </c>
      <c r="CK132" t="str">
        <f>+IFERROR(VLOOKUP(CK33,IN_Zugliste!$A$4:$D$2002,4,FALSE),"")</f>
        <v/>
      </c>
      <c r="CL132" t="str">
        <f>+IFERROR(VLOOKUP(CL33,IN_Zugliste!$A$4:$D$2002,4,FALSE),"")</f>
        <v/>
      </c>
      <c r="CM132" t="str">
        <f>+IFERROR(VLOOKUP(CM33,IN_Zugliste!$A$4:$D$2002,4,FALSE),"")</f>
        <v/>
      </c>
      <c r="CN132" t="str">
        <f>+IFERROR(VLOOKUP(CN33,IN_Zugliste!$A$4:$D$2002,4,FALSE),"")</f>
        <v/>
      </c>
      <c r="CO132" t="str">
        <f>+IFERROR(VLOOKUP(CO33,IN_Zugliste!$A$4:$D$2002,4,FALSE),"")</f>
        <v/>
      </c>
      <c r="CP132" t="str">
        <f>+IFERROR(VLOOKUP(CP33,IN_Zugliste!$A$4:$D$2002,4,FALSE),"")</f>
        <v/>
      </c>
      <c r="CQ132" t="str">
        <f>+IFERROR(VLOOKUP(CQ33,IN_Zugliste!$A$4:$D$2002,4,FALSE),"")</f>
        <v/>
      </c>
      <c r="CR132" t="str">
        <f>+IFERROR(VLOOKUP(CR33,IN_Zugliste!$A$4:$D$2002,4,FALSE),"")</f>
        <v/>
      </c>
      <c r="CS132" t="str">
        <f>+IFERROR(VLOOKUP(CS33,IN_Zugliste!$A$4:$D$2002,4,FALSE),"")</f>
        <v/>
      </c>
      <c r="CT132" t="str">
        <f>+IFERROR(VLOOKUP(CT33,IN_Zugliste!$A$4:$D$2002,4,FALSE),"")</f>
        <v/>
      </c>
      <c r="CU132" t="str">
        <f>+IFERROR(VLOOKUP(CU33,IN_Zugliste!$A$4:$D$2002,4,FALSE),"")</f>
        <v/>
      </c>
      <c r="CV132" t="str">
        <f>+IFERROR(VLOOKUP(CV33,IN_Zugliste!$A$4:$D$2002,4,FALSE),"")</f>
        <v/>
      </c>
      <c r="CW132" t="str">
        <f>+IFERROR(VLOOKUP(CW33,IN_Zugliste!$A$4:$D$2002,4,FALSE),"")</f>
        <v/>
      </c>
      <c r="CX132" t="str">
        <f>+IFERROR(VLOOKUP(CX33,IN_Zugliste!$A$4:$D$2002,4,FALSE),"")</f>
        <v/>
      </c>
      <c r="CY132" t="str">
        <f>+IFERROR(VLOOKUP(CY33,IN_Zugliste!$A$4:$D$2002,4,FALSE),"")</f>
        <v/>
      </c>
      <c r="CZ132" t="str">
        <f>+IFERROR(VLOOKUP(CZ33,IN_Zugliste!$A$4:$D$2002,4,FALSE),"")</f>
        <v/>
      </c>
      <c r="DA132" t="str">
        <f>+IFERROR(VLOOKUP(DA33,IN_Zugliste!$A$4:$D$2002,4,FALSE),"")</f>
        <v/>
      </c>
      <c r="DB132" t="str">
        <f>+IFERROR(VLOOKUP(DB33,IN_Zugliste!$A$4:$D$2002,4,FALSE),"")</f>
        <v/>
      </c>
      <c r="DC132" t="str">
        <f>+IFERROR(VLOOKUP(DC33,IN_Zugliste!$A$4:$D$2002,4,FALSE),"")</f>
        <v/>
      </c>
      <c r="DD132" t="str">
        <f>+IFERROR(VLOOKUP(DD33,IN_Zugliste!$A$4:$D$2002,4,FALSE),"")</f>
        <v/>
      </c>
      <c r="DE132" t="str">
        <f>+IFERROR(VLOOKUP(DE33,IN_Zugliste!$A$4:$D$2002,4,FALSE),"")</f>
        <v/>
      </c>
      <c r="DF132" t="str">
        <f>+IFERROR(VLOOKUP(DF33,IN_Zugliste!$A$4:$D$2002,4,FALSE),"")</f>
        <v/>
      </c>
      <c r="DG132" t="str">
        <f>+IFERROR(VLOOKUP(DG33,IN_Zugliste!$A$4:$D$2002,4,FALSE),"")</f>
        <v/>
      </c>
      <c r="DH132" t="str">
        <f>+IFERROR(VLOOKUP(DH33,IN_Zugliste!$A$4:$D$2002,4,FALSE),"")</f>
        <v/>
      </c>
      <c r="DI132" t="str">
        <f>+IFERROR(VLOOKUP(DI33,IN_Zugliste!$A$4:$D$2002,4,FALSE),"")</f>
        <v/>
      </c>
      <c r="DJ132" t="str">
        <f>+IFERROR(VLOOKUP(DJ33,IN_Zugliste!$A$4:$D$2002,4,FALSE),"")</f>
        <v/>
      </c>
      <c r="DK132" t="str">
        <f>+IFERROR(VLOOKUP(DK33,IN_Zugliste!$A$4:$D$2002,4,FALSE),"")</f>
        <v/>
      </c>
      <c r="DL132" t="str">
        <f>+IFERROR(VLOOKUP(DL33,IN_Zugliste!$A$4:$D$2002,4,FALSE),"")</f>
        <v/>
      </c>
      <c r="DM132" t="str">
        <f>+IFERROR(VLOOKUP(DM33,IN_Zugliste!$A$4:$D$2002,4,FALSE),"")</f>
        <v/>
      </c>
      <c r="DN132" t="str">
        <f>+IFERROR(VLOOKUP(DN33,IN_Zugliste!$A$4:$D$2002,4,FALSE),"")</f>
        <v/>
      </c>
      <c r="DO132" t="str">
        <f>+IFERROR(VLOOKUP(DO33,IN_Zugliste!$A$4:$D$2002,4,FALSE),"")</f>
        <v/>
      </c>
      <c r="DP132" t="str">
        <f>+IFERROR(VLOOKUP(DP33,IN_Zugliste!$A$4:$D$2002,4,FALSE),"")</f>
        <v/>
      </c>
      <c r="DQ132" t="str">
        <f>+IFERROR(VLOOKUP(DQ33,IN_Zugliste!$A$4:$D$2002,4,FALSE),"")</f>
        <v/>
      </c>
      <c r="DR132" t="str">
        <f>+IFERROR(VLOOKUP(DR33,IN_Zugliste!$A$4:$D$2002,4,FALSE),"")</f>
        <v/>
      </c>
      <c r="DS132" t="str">
        <f>+IFERROR(VLOOKUP(DS33,IN_Zugliste!$A$4:$D$2002,4,FALSE),"")</f>
        <v/>
      </c>
      <c r="DT132" t="str">
        <f>+IFERROR(VLOOKUP(DT33,IN_Zugliste!$A$4:$D$2002,4,FALSE),"")</f>
        <v/>
      </c>
      <c r="DU132" t="str">
        <f>+IFERROR(VLOOKUP(DU33,IN_Zugliste!$A$4:$D$2002,4,FALSE),"")</f>
        <v/>
      </c>
      <c r="DV132" t="str">
        <f>+IFERROR(VLOOKUP(DV33,IN_Zugliste!$A$4:$D$2002,4,FALSE),"")</f>
        <v/>
      </c>
      <c r="DW132" t="str">
        <f>+IFERROR(VLOOKUP(DW33,IN_Zugliste!$A$4:$D$2002,4,FALSE),"")</f>
        <v/>
      </c>
      <c r="DX132" t="str">
        <f>+IFERROR(VLOOKUP(DX33,IN_Zugliste!$A$4:$D$2002,4,FALSE),"")</f>
        <v/>
      </c>
      <c r="DY132" t="str">
        <f>+IFERROR(VLOOKUP(DY33,IN_Zugliste!$A$4:$D$2002,4,FALSE),"")</f>
        <v/>
      </c>
      <c r="DZ132" t="str">
        <f>+IFERROR(VLOOKUP(DZ33,IN_Zugliste!$A$4:$D$2002,4,FALSE),"")</f>
        <v/>
      </c>
      <c r="EA132" t="str">
        <f>+IFERROR(VLOOKUP(EA33,IN_Zugliste!$A$4:$D$2002,4,FALSE),"")</f>
        <v/>
      </c>
      <c r="EB132" t="str">
        <f>+IFERROR(VLOOKUP(EB33,IN_Zugliste!$A$4:$D$2002,4,FALSE),"")</f>
        <v/>
      </c>
      <c r="EC132" t="str">
        <f>+IFERROR(VLOOKUP(EC33,IN_Zugliste!$A$4:$D$2002,4,FALSE),"")</f>
        <v/>
      </c>
      <c r="ED132" t="str">
        <f>+IFERROR(VLOOKUP(ED33,IN_Zugliste!$A$4:$D$2002,4,FALSE),"")</f>
        <v/>
      </c>
      <c r="EE132" t="str">
        <f>+IFERROR(VLOOKUP(EE33,IN_Zugliste!$A$4:$D$2002,4,FALSE),"")</f>
        <v/>
      </c>
      <c r="EF132" t="str">
        <f>+IFERROR(VLOOKUP(EF33,IN_Zugliste!$A$4:$D$2002,4,FALSE),"")</f>
        <v/>
      </c>
      <c r="EG132" t="str">
        <f>+IFERROR(VLOOKUP(EG33,IN_Zugliste!$A$4:$D$2002,4,FALSE),"")</f>
        <v/>
      </c>
      <c r="EH132" t="str">
        <f>+IFERROR(VLOOKUP(EH33,IN_Zugliste!$A$4:$D$2002,4,FALSE),"")</f>
        <v/>
      </c>
      <c r="EI132" t="str">
        <f>+IFERROR(VLOOKUP(EI33,IN_Zugliste!$A$4:$D$2002,4,FALSE),"")</f>
        <v/>
      </c>
      <c r="EJ132" t="str">
        <f>+IFERROR(VLOOKUP(EJ33,IN_Zugliste!$A$4:$D$2002,4,FALSE),"")</f>
        <v/>
      </c>
      <c r="EK132" t="str">
        <f>+IFERROR(VLOOKUP(EK33,IN_Zugliste!$A$4:$D$2002,4,FALSE),"")</f>
        <v/>
      </c>
      <c r="EL132" t="str">
        <f>+IFERROR(VLOOKUP(EL33,IN_Zugliste!$A$4:$D$2002,4,FALSE),"")</f>
        <v/>
      </c>
      <c r="EM132" t="str">
        <f>+IFERROR(VLOOKUP(EM33,IN_Zugliste!$A$4:$D$2002,4,FALSE),"")</f>
        <v/>
      </c>
      <c r="EN132" t="str">
        <f>+IFERROR(VLOOKUP(EN33,IN_Zugliste!$A$4:$D$2002,4,FALSE),"")</f>
        <v/>
      </c>
      <c r="EO132" t="str">
        <f>+IFERROR(VLOOKUP(EO33,IN_Zugliste!$A$4:$D$2002,4,FALSE),"")</f>
        <v/>
      </c>
      <c r="EP132" t="str">
        <f>+IFERROR(VLOOKUP(EP33,IN_Zugliste!$A$4:$D$2002,4,FALSE),"")</f>
        <v/>
      </c>
      <c r="EQ132" t="str">
        <f>+IFERROR(VLOOKUP(EQ33,IN_Zugliste!$A$4:$D$2002,4,FALSE),"")</f>
        <v/>
      </c>
      <c r="ER132" t="str">
        <f>+IFERROR(VLOOKUP(ER33,IN_Zugliste!$A$4:$D$2002,4,FALSE),"")</f>
        <v/>
      </c>
      <c r="ES132" t="str">
        <f>+IFERROR(VLOOKUP(ES33,IN_Zugliste!$A$4:$D$2002,4,FALSE),"")</f>
        <v/>
      </c>
      <c r="ET132" t="str">
        <f>+IFERROR(VLOOKUP(ET33,IN_Zugliste!$A$4:$D$2002,4,FALSE),"")</f>
        <v/>
      </c>
      <c r="EU132" t="str">
        <f>+IFERROR(VLOOKUP(EU33,IN_Zugliste!$A$4:$D$2002,4,FALSE),"")</f>
        <v/>
      </c>
      <c r="EV132" t="str">
        <f>+IFERROR(VLOOKUP(EV33,IN_Zugliste!$A$4:$D$2002,4,FALSE),"")</f>
        <v/>
      </c>
      <c r="EW132" t="str">
        <f>+IFERROR(VLOOKUP(EW33,IN_Zugliste!$A$4:$D$2002,4,FALSE),"")</f>
        <v/>
      </c>
      <c r="EX132" t="str">
        <f>+IFERROR(VLOOKUP(EX33,IN_Zugliste!$A$4:$D$2002,4,FALSE),"")</f>
        <v/>
      </c>
      <c r="EY132" t="str">
        <f>+IFERROR(VLOOKUP(EY33,IN_Zugliste!$A$4:$D$2002,4,FALSE),"")</f>
        <v/>
      </c>
      <c r="EZ132" t="str">
        <f>+IFERROR(VLOOKUP(EZ33,IN_Zugliste!$A$4:$D$2002,4,FALSE),"")</f>
        <v/>
      </c>
      <c r="FA132" t="str">
        <f>+IFERROR(VLOOKUP(FA33,IN_Zugliste!$A$4:$D$2002,4,FALSE),"")</f>
        <v/>
      </c>
      <c r="FB132" t="str">
        <f>+IFERROR(VLOOKUP(FB33,IN_Zugliste!$A$4:$D$2002,4,FALSE),"")</f>
        <v/>
      </c>
      <c r="FC132" t="str">
        <f>+IFERROR(VLOOKUP(FC33,IN_Zugliste!$A$4:$D$2002,4,FALSE),"")</f>
        <v/>
      </c>
      <c r="FD132" t="str">
        <f>+IFERROR(VLOOKUP(FD33,IN_Zugliste!$A$4:$D$2002,4,FALSE),"")</f>
        <v/>
      </c>
      <c r="FE132" t="str">
        <f>+IFERROR(VLOOKUP(FE33,IN_Zugliste!$A$4:$D$2002,4,FALSE),"")</f>
        <v/>
      </c>
      <c r="FF132" t="str">
        <f>+IFERROR(VLOOKUP(FF33,IN_Zugliste!$A$4:$D$2002,4,FALSE),"")</f>
        <v/>
      </c>
      <c r="FG132" t="str">
        <f>+IFERROR(VLOOKUP(FG33,IN_Zugliste!$A$4:$D$2002,4,FALSE),"")</f>
        <v/>
      </c>
      <c r="FH132" t="str">
        <f>+IFERROR(VLOOKUP(FH33,IN_Zugliste!$A$4:$D$2002,4,FALSE),"")</f>
        <v/>
      </c>
      <c r="FI132" t="str">
        <f>+IFERROR(VLOOKUP(FI33,IN_Zugliste!$A$4:$D$2002,4,FALSE),"")</f>
        <v/>
      </c>
      <c r="FJ132" t="str">
        <f>+IFERROR(VLOOKUP(FJ33,IN_Zugliste!$A$4:$D$2002,4,FALSE),"")</f>
        <v/>
      </c>
      <c r="FK132" t="str">
        <f>+IFERROR(VLOOKUP(FK33,IN_Zugliste!$A$4:$D$2002,4,FALSE),"")</f>
        <v/>
      </c>
      <c r="FL132" t="str">
        <f>+IFERROR(VLOOKUP(FL33,IN_Zugliste!$A$4:$D$2002,4,FALSE),"")</f>
        <v/>
      </c>
      <c r="FM132" t="str">
        <f>+IFERROR(VLOOKUP(FM33,IN_Zugliste!$A$4:$C$602,4,FALSE),"")</f>
        <v/>
      </c>
      <c r="FN132" t="str">
        <f>+IFERROR(VLOOKUP(FN33,IN_Zugliste!$A$4:$C$602,4,FALSE),"")</f>
        <v/>
      </c>
      <c r="FO132" t="str">
        <f>+IFERROR(VLOOKUP(FO33,IN_Zugliste!$A$4:$C$602,4,FALSE),"")</f>
        <v/>
      </c>
      <c r="FP132" t="str">
        <f>+IFERROR(VLOOKUP(FP33,IN_Zugliste!$A$4:$C$602,4,FALSE),"")</f>
        <v/>
      </c>
      <c r="FQ132" t="str">
        <f>+IFERROR(VLOOKUP(FQ33,IN_Zugliste!$A$4:$C$602,4,FALSE),"")</f>
        <v/>
      </c>
      <c r="FR132" t="str">
        <f>+IFERROR(VLOOKUP(FR33,IN_Zugliste!$A$4:$C$602,4,FALSE),"")</f>
        <v/>
      </c>
      <c r="FS132" t="str">
        <f>+IFERROR(VLOOKUP(FS33,IN_Zugliste!$A$4:$C$602,4,FALSE),"")</f>
        <v/>
      </c>
      <c r="FT132" t="str">
        <f>+IFERROR(VLOOKUP(FT33,IN_Zugliste!$A$4:$C$602,4,FALSE),"")</f>
        <v/>
      </c>
      <c r="FU132" t="str">
        <f>+IFERROR(VLOOKUP(FU33,IN_Zugliste!$A$4:$C$602,4,FALSE),"")</f>
        <v/>
      </c>
      <c r="FV132" t="str">
        <f>+IFERROR(VLOOKUP(FV33,IN_Zugliste!$A$4:$C$602,4,FALSE),"")</f>
        <v/>
      </c>
      <c r="FW132" t="str">
        <f>+IFERROR(VLOOKUP(FW33,IN_Zugliste!$A$4:$C$602,4,FALSE),"")</f>
        <v/>
      </c>
      <c r="FX132" t="str">
        <f>+IFERROR(VLOOKUP(FX33,IN_Zugliste!$A$4:$C$602,4,FALSE),"")</f>
        <v/>
      </c>
      <c r="FY132" t="str">
        <f>+IFERROR(VLOOKUP(FY33,IN_Zugliste!$A$4:$C$602,4,FALSE),"")</f>
        <v/>
      </c>
      <c r="FZ132" t="str">
        <f>+IFERROR(VLOOKUP(FZ33,IN_Zugliste!$A$4:$C$602,4,FALSE),"")</f>
        <v/>
      </c>
      <c r="GA132" t="str">
        <f>+IFERROR(VLOOKUP(GA33,IN_Zugliste!$A$4:$C$602,4,FALSE),"")</f>
        <v/>
      </c>
      <c r="GB132" t="str">
        <f>+IFERROR(VLOOKUP(GB33,IN_Zugliste!$A$4:$C$602,4,FALSE),"")</f>
        <v/>
      </c>
      <c r="GC132" t="str">
        <f>+IFERROR(VLOOKUP(GC33,IN_Zugliste!$A$4:$C$602,4,FALSE),"")</f>
        <v/>
      </c>
      <c r="GD132" t="str">
        <f>+IFERROR(VLOOKUP(GD33,IN_Zugliste!$A$4:$C$602,4,FALSE),"")</f>
        <v/>
      </c>
      <c r="GE132" t="str">
        <f>+IFERROR(VLOOKUP(GE33,IN_Zugliste!$A$4:$C$602,4,FALSE),"")</f>
        <v/>
      </c>
      <c r="GF132" t="str">
        <f>+IFERROR(VLOOKUP(GF33,IN_Zugliste!$A$4:$C$602,4,FALSE),"")</f>
        <v/>
      </c>
      <c r="GG132" t="str">
        <f>+IFERROR(VLOOKUP(GG33,IN_Zugliste!$A$4:$C$602,4,FALSE),"")</f>
        <v/>
      </c>
      <c r="GH132" t="str">
        <f>+IFERROR(VLOOKUP(GH33,IN_Zugliste!$A$4:$C$602,4,FALSE),"")</f>
        <v/>
      </c>
      <c r="GI132" t="str">
        <f>+IFERROR(VLOOKUP(GI33,IN_Zugliste!$A$4:$C$602,4,FALSE),"")</f>
        <v/>
      </c>
      <c r="GJ132" t="str">
        <f>+IFERROR(VLOOKUP(GJ33,IN_Zugliste!$A$4:$C$602,4,FALSE),"")</f>
        <v/>
      </c>
      <c r="GK132" t="str">
        <f>+IFERROR(VLOOKUP(GK33,IN_Zugliste!$A$4:$C$602,4,FALSE),"")</f>
        <v/>
      </c>
      <c r="GL132" t="str">
        <f>+IFERROR(VLOOKUP(GL33,IN_Zugliste!$A$4:$C$602,4,FALSE),"")</f>
        <v/>
      </c>
      <c r="GM132" t="str">
        <f>+IFERROR(VLOOKUP(GM33,IN_Zugliste!$A$4:$C$602,4,FALSE),"")</f>
        <v/>
      </c>
      <c r="GN132" t="str">
        <f>+IFERROR(VLOOKUP(GN33,IN_Zugliste!$A$4:$C$602,4,FALSE),"")</f>
        <v/>
      </c>
      <c r="GO132" t="str">
        <f>+IFERROR(VLOOKUP(GO33,IN_Zugliste!$A$4:$C$602,4,FALSE),"")</f>
        <v/>
      </c>
      <c r="GP132" t="str">
        <f>+IFERROR(VLOOKUP(GP33,IN_Zugliste!$A$4:$C$602,4,FALSE),"")</f>
        <v/>
      </c>
      <c r="GQ132" t="str">
        <f>+IFERROR(VLOOKUP(GQ33,IN_Zugliste!$A$4:$C$602,4,FALSE),"")</f>
        <v/>
      </c>
      <c r="GR132" t="str">
        <f>+IFERROR(VLOOKUP(GR33,IN_Zugliste!$A$4:$C$602,4,FALSE),"")</f>
        <v/>
      </c>
      <c r="GS132" t="str">
        <f>+IFERROR(VLOOKUP(GS33,IN_Zugliste!$A$4:$C$602,4,FALSE),"")</f>
        <v/>
      </c>
      <c r="GT132" t="str">
        <f>+IFERROR(VLOOKUP(GT33,IN_Zugliste!$A$4:$C$602,4,FALSE),"")</f>
        <v/>
      </c>
      <c r="GU132" t="str">
        <f>+IFERROR(VLOOKUP(GU33,IN_Zugliste!$A$4:$C$602,4,FALSE),"")</f>
        <v/>
      </c>
      <c r="GV132" t="str">
        <f>+IFERROR(VLOOKUP(GV33,IN_Zugliste!$A$4:$C$602,4,FALSE),"")</f>
        <v/>
      </c>
      <c r="GW132" t="str">
        <f>+IFERROR(VLOOKUP(GW33,IN_Zugliste!$A$4:$C$602,4,FALSE),"")</f>
        <v/>
      </c>
      <c r="GX132" t="str">
        <f>+IFERROR(VLOOKUP(GX33,IN_Zugliste!$A$4:$C$602,4,FALSE),"")</f>
        <v/>
      </c>
      <c r="GY132" t="str">
        <f>+IFERROR(VLOOKUP(GY33,IN_Zugliste!$A$4:$C$602,4,FALSE),"")</f>
        <v/>
      </c>
      <c r="GZ132" t="str">
        <f>+IFERROR(VLOOKUP(GZ33,IN_Zugliste!$A$4:$C$602,4,FALSE),"")</f>
        <v/>
      </c>
      <c r="HA132" t="str">
        <f>+IFERROR(VLOOKUP(HA33,IN_Zugliste!$A$4:$C$602,4,FALSE),"")</f>
        <v/>
      </c>
      <c r="HB132" t="str">
        <f>+IFERROR(VLOOKUP(HB33,IN_Zugliste!$A$4:$C$602,4,FALSE),"")</f>
        <v/>
      </c>
      <c r="HC132" t="str">
        <f>+IFERROR(VLOOKUP(HC33,IN_Zugliste!$A$4:$C$602,4,FALSE),"")</f>
        <v/>
      </c>
      <c r="HD132" t="str">
        <f>+IFERROR(VLOOKUP(HD33,IN_Zugliste!$A$4:$C$602,4,FALSE),"")</f>
        <v/>
      </c>
      <c r="HE132" t="str">
        <f>+IFERROR(VLOOKUP(HE33,IN_Zugliste!$A$4:$C$602,4,FALSE),"")</f>
        <v/>
      </c>
      <c r="HF132" t="str">
        <f>+IFERROR(VLOOKUP(HF33,IN_Zugliste!$A$4:$C$602,4,FALSE),"")</f>
        <v/>
      </c>
      <c r="HG132" t="str">
        <f>+IFERROR(VLOOKUP(HG33,IN_Zugliste!$A$4:$C$602,4,FALSE),"")</f>
        <v/>
      </c>
      <c r="HH132" t="str">
        <f>+IFERROR(VLOOKUP(HH33,IN_Zugliste!$A$4:$C$602,4,FALSE),"")</f>
        <v/>
      </c>
    </row>
    <row r="133" spans="1:216" x14ac:dyDescent="0.2">
      <c r="A133" t="str">
        <f>+IFERROR(VLOOKUP(A34,IN_Zugliste!$A$4:$D$2002,4,FALSE),"")</f>
        <v/>
      </c>
      <c r="B133" t="str">
        <f>+IFERROR(VLOOKUP(B34,IN_Zugliste!$A$4:$D$2002,4,FALSE),"")</f>
        <v/>
      </c>
      <c r="C133" t="str">
        <f>+IFERROR(VLOOKUP(C34,IN_Zugliste!$A$4:$D$2002,4,FALSE),"")</f>
        <v/>
      </c>
      <c r="D133" t="str">
        <f>+IFERROR(VLOOKUP(D34,IN_Zugliste!$A$4:$D$2002,4,FALSE),"")</f>
        <v/>
      </c>
      <c r="E133" t="str">
        <f>+IFERROR(VLOOKUP(E34,IN_Zugliste!$A$4:$D$2002,4,FALSE),"")</f>
        <v/>
      </c>
      <c r="F133" t="str">
        <f>+IFERROR(VLOOKUP(F34,IN_Zugliste!$A$4:$D$2002,4,FALSE),"")</f>
        <v/>
      </c>
      <c r="G133" t="str">
        <f>+IFERROR(VLOOKUP(G34,IN_Zugliste!$A$4:$D$2002,4,FALSE),"")</f>
        <v/>
      </c>
      <c r="H133" t="str">
        <f>+IFERROR(VLOOKUP(H34,IN_Zugliste!$A$4:$D$2002,4,FALSE),"")</f>
        <v/>
      </c>
      <c r="I133" t="str">
        <f>+IFERROR(VLOOKUP(I34,IN_Zugliste!$A$4:$D$2002,4,FALSE),"")</f>
        <v/>
      </c>
      <c r="J133" t="str">
        <f>+IFERROR(VLOOKUP(J34,IN_Zugliste!$A$4:$D$2002,4,FALSE),"")</f>
        <v/>
      </c>
      <c r="K133" t="str">
        <f>+IFERROR(VLOOKUP(K34,IN_Zugliste!$A$4:$D$2002,4,FALSE),"")</f>
        <v/>
      </c>
      <c r="L133" t="str">
        <f>+IFERROR(VLOOKUP(L34,IN_Zugliste!$A$4:$D$2002,4,FALSE),"")</f>
        <v/>
      </c>
      <c r="M133" t="str">
        <f>+IFERROR(VLOOKUP(M34,IN_Zugliste!$A$4:$D$2002,4,FALSE),"")</f>
        <v/>
      </c>
      <c r="N133" t="str">
        <f>+IFERROR(VLOOKUP(N34,IN_Zugliste!$A$4:$D$2002,4,FALSE),"")</f>
        <v/>
      </c>
      <c r="O133" t="str">
        <f>+IFERROR(VLOOKUP(O34,IN_Zugliste!$A$4:$D$2002,4,FALSE),"")</f>
        <v/>
      </c>
      <c r="P133" t="str">
        <f>+IFERROR(VLOOKUP(P34,IN_Zugliste!$A$4:$D$2002,4,FALSE),"")</f>
        <v/>
      </c>
      <c r="Q133" t="str">
        <f>+IFERROR(VLOOKUP(Q34,IN_Zugliste!$A$4:$D$2002,4,FALSE),"")</f>
        <v/>
      </c>
      <c r="R133" t="str">
        <f>+IFERROR(VLOOKUP(R34,IN_Zugliste!$A$4:$D$2002,4,FALSE),"")</f>
        <v/>
      </c>
      <c r="S133" t="str">
        <f>+IFERROR(VLOOKUP(S34,IN_Zugliste!$A$4:$D$2002,4,FALSE),"")</f>
        <v/>
      </c>
      <c r="T133" t="str">
        <f>+IFERROR(VLOOKUP(T34,IN_Zugliste!$A$4:$D$2002,4,FALSE),"")</f>
        <v/>
      </c>
      <c r="U133" t="str">
        <f>+IFERROR(VLOOKUP(U34,IN_Zugliste!$A$4:$D$2002,4,FALSE),"")</f>
        <v/>
      </c>
      <c r="V133" t="str">
        <f>+IFERROR(VLOOKUP(V34,IN_Zugliste!$A$4:$D$2002,4,FALSE),"")</f>
        <v/>
      </c>
      <c r="W133" t="str">
        <f>+IFERROR(VLOOKUP(W34,IN_Zugliste!$A$4:$D$2002,4,FALSE),"")</f>
        <v/>
      </c>
      <c r="X133" t="str">
        <f>+IFERROR(VLOOKUP(X34,IN_Zugliste!$A$4:$D$2002,4,FALSE),"")</f>
        <v/>
      </c>
      <c r="Y133" t="str">
        <f>+IFERROR(VLOOKUP(Y34,IN_Zugliste!$A$4:$D$2002,4,FALSE),"")</f>
        <v/>
      </c>
      <c r="Z133" t="str">
        <f>+IFERROR(VLOOKUP(Z34,IN_Zugliste!$A$4:$D$2002,4,FALSE),"")</f>
        <v/>
      </c>
      <c r="AA133" t="str">
        <f>+IFERROR(VLOOKUP(AA34,IN_Zugliste!$A$4:$D$2002,4,FALSE),"")</f>
        <v/>
      </c>
      <c r="AB133" t="str">
        <f>+IFERROR(VLOOKUP(AB34,IN_Zugliste!$A$4:$D$2002,4,FALSE),"")</f>
        <v/>
      </c>
      <c r="AC133" t="str">
        <f>+IFERROR(VLOOKUP(AC34,IN_Zugliste!$A$4:$D$2002,4,FALSE),"")</f>
        <v/>
      </c>
      <c r="AD133" t="str">
        <f>+IFERROR(VLOOKUP(AD34,IN_Zugliste!$A$4:$D$2002,4,FALSE),"")</f>
        <v/>
      </c>
      <c r="AE133" t="str">
        <f>+IFERROR(VLOOKUP(AE34,IN_Zugliste!$A$4:$D$2002,4,FALSE),"")</f>
        <v/>
      </c>
      <c r="AF133" t="str">
        <f>+IFERROR(VLOOKUP(AF34,IN_Zugliste!$A$4:$D$2002,4,FALSE),"")</f>
        <v/>
      </c>
      <c r="AG133" t="str">
        <f>+IFERROR(VLOOKUP(AG34,IN_Zugliste!$A$4:$D$2002,4,FALSE),"")</f>
        <v/>
      </c>
      <c r="AH133" t="str">
        <f>+IFERROR(VLOOKUP(AH34,IN_Zugliste!$A$4:$D$2002,4,FALSE),"")</f>
        <v/>
      </c>
      <c r="AI133" t="str">
        <f>+IFERROR(VLOOKUP(AI34,IN_Zugliste!$A$4:$D$2002,4,FALSE),"")</f>
        <v/>
      </c>
      <c r="AJ133" t="str">
        <f>+IFERROR(VLOOKUP(AJ34,IN_Zugliste!$A$4:$D$2002,4,FALSE),"")</f>
        <v/>
      </c>
      <c r="AK133" t="str">
        <f>+IFERROR(VLOOKUP(AK34,IN_Zugliste!$A$4:$D$2002,4,FALSE),"")</f>
        <v/>
      </c>
      <c r="AL133" t="str">
        <f>+IFERROR(VLOOKUP(AL34,IN_Zugliste!$A$4:$D$2002,4,FALSE),"")</f>
        <v/>
      </c>
      <c r="AM133" t="str">
        <f>+IFERROR(VLOOKUP(AM34,IN_Zugliste!$A$4:$D$2002,4,FALSE),"")</f>
        <v/>
      </c>
      <c r="AN133" t="str">
        <f>+IFERROR(VLOOKUP(AN34,IN_Zugliste!$A$4:$D$2002,4,FALSE),"")</f>
        <v/>
      </c>
      <c r="AO133" t="str">
        <f>+IFERROR(VLOOKUP(AO34,IN_Zugliste!$A$4:$D$2002,4,FALSE),"")</f>
        <v/>
      </c>
      <c r="AP133" t="str">
        <f>+IFERROR(VLOOKUP(AP34,IN_Zugliste!$A$4:$D$2002,4,FALSE),"")</f>
        <v/>
      </c>
      <c r="AQ133" t="str">
        <f>+IFERROR(VLOOKUP(AQ34,IN_Zugliste!$A$4:$D$2002,4,FALSE),"")</f>
        <v/>
      </c>
      <c r="AR133" t="str">
        <f>+IFERROR(VLOOKUP(AR34,IN_Zugliste!$A$4:$D$2002,4,FALSE),"")</f>
        <v/>
      </c>
      <c r="AS133" t="str">
        <f>+IFERROR(VLOOKUP(AS34,IN_Zugliste!$A$4:$D$2002,4,FALSE),"")</f>
        <v/>
      </c>
      <c r="AT133" t="str">
        <f>+IFERROR(VLOOKUP(AT34,IN_Zugliste!$A$4:$D$2002,4,FALSE),"")</f>
        <v/>
      </c>
      <c r="AU133" t="str">
        <f>+IFERROR(VLOOKUP(AU34,IN_Zugliste!$A$4:$D$2002,4,FALSE),"")</f>
        <v/>
      </c>
      <c r="AV133" t="str">
        <f>+IFERROR(VLOOKUP(AV34,IN_Zugliste!$A$4:$D$2002,4,FALSE),"")</f>
        <v/>
      </c>
      <c r="AW133" t="str">
        <f>+IFERROR(VLOOKUP(AW34,IN_Zugliste!$A$4:$D$2002,4,FALSE),"")</f>
        <v/>
      </c>
      <c r="AX133" t="str">
        <f>+IFERROR(VLOOKUP(AX34,IN_Zugliste!$A$4:$D$2002,4,FALSE),"")</f>
        <v/>
      </c>
      <c r="AY133" t="str">
        <f>+IFERROR(VLOOKUP(AY34,IN_Zugliste!$A$4:$D$2002,4,FALSE),"")</f>
        <v/>
      </c>
      <c r="AZ133" t="str">
        <f>+IFERROR(VLOOKUP(AZ34,IN_Zugliste!$A$4:$D$2002,4,FALSE),"")</f>
        <v/>
      </c>
      <c r="BA133" t="str">
        <f>+IFERROR(VLOOKUP(BA34,IN_Zugliste!$A$4:$D$2002,4,FALSE),"")</f>
        <v/>
      </c>
      <c r="BB133" t="str">
        <f>+IFERROR(VLOOKUP(BB34,IN_Zugliste!$A$4:$D$2002,4,FALSE),"")</f>
        <v/>
      </c>
      <c r="BC133" t="str">
        <f>+IFERROR(VLOOKUP(BC34,IN_Zugliste!$A$4:$D$2002,4,FALSE),"")</f>
        <v/>
      </c>
      <c r="BD133" t="str">
        <f>+IFERROR(VLOOKUP(BD34,IN_Zugliste!$A$4:$D$2002,4,FALSE),"")</f>
        <v/>
      </c>
      <c r="BE133" t="str">
        <f>+IFERROR(VLOOKUP(BE34,IN_Zugliste!$A$4:$D$2002,4,FALSE),"")</f>
        <v/>
      </c>
      <c r="BF133" t="str">
        <f>+IFERROR(VLOOKUP(BF34,IN_Zugliste!$A$4:$D$2002,4,FALSE),"")</f>
        <v/>
      </c>
      <c r="BG133" t="str">
        <f>+IFERROR(VLOOKUP(BG34,IN_Zugliste!$A$4:$D$2002,4,FALSE),"")</f>
        <v/>
      </c>
      <c r="BH133" t="str">
        <f>+IFERROR(VLOOKUP(BH34,IN_Zugliste!$A$4:$D$2002,4,FALSE),"")</f>
        <v/>
      </c>
      <c r="BI133" t="str">
        <f>+IFERROR(VLOOKUP(BI34,IN_Zugliste!$A$4:$D$2002,4,FALSE),"")</f>
        <v/>
      </c>
      <c r="BJ133" t="str">
        <f>+IFERROR(VLOOKUP(BJ34,IN_Zugliste!$A$4:$D$2002,4,FALSE),"")</f>
        <v/>
      </c>
      <c r="BK133" t="str">
        <f>+IFERROR(VLOOKUP(BK34,IN_Zugliste!$A$4:$D$2002,4,FALSE),"")</f>
        <v/>
      </c>
      <c r="BL133" t="str">
        <f>+IFERROR(VLOOKUP(BL34,IN_Zugliste!$A$4:$D$2002,4,FALSE),"")</f>
        <v/>
      </c>
      <c r="BM133" t="str">
        <f>+IFERROR(VLOOKUP(BM34,IN_Zugliste!$A$4:$D$2002,4,FALSE),"")</f>
        <v/>
      </c>
      <c r="BN133" t="str">
        <f>+IFERROR(VLOOKUP(BN34,IN_Zugliste!$A$4:$D$2002,4,FALSE),"")</f>
        <v/>
      </c>
      <c r="BO133" t="str">
        <f>+IFERROR(VLOOKUP(BO34,IN_Zugliste!$A$4:$D$2002,4,FALSE),"")</f>
        <v/>
      </c>
      <c r="BP133" t="str">
        <f>+IFERROR(VLOOKUP(BP34,IN_Zugliste!$A$4:$D$2002,4,FALSE),"")</f>
        <v/>
      </c>
      <c r="BQ133" t="str">
        <f>+IFERROR(VLOOKUP(BQ34,IN_Zugliste!$A$4:$D$2002,4,FALSE),"")</f>
        <v/>
      </c>
      <c r="BR133" t="str">
        <f>+IFERROR(VLOOKUP(BR34,IN_Zugliste!$A$4:$D$2002,4,FALSE),"")</f>
        <v/>
      </c>
      <c r="BS133" t="str">
        <f>+IFERROR(VLOOKUP(BS34,IN_Zugliste!$A$4:$D$2002,4,FALSE),"")</f>
        <v/>
      </c>
      <c r="BT133" t="str">
        <f>+IFERROR(VLOOKUP(BT34,IN_Zugliste!$A$4:$D$2002,4,FALSE),"")</f>
        <v/>
      </c>
      <c r="BU133" t="str">
        <f>+IFERROR(VLOOKUP(BU34,IN_Zugliste!$A$4:$D$2002,4,FALSE),"")</f>
        <v/>
      </c>
      <c r="BV133" t="str">
        <f>+IFERROR(VLOOKUP(BV34,IN_Zugliste!$A$4:$D$2002,4,FALSE),"")</f>
        <v/>
      </c>
      <c r="BW133" t="str">
        <f>+IFERROR(VLOOKUP(BW34,IN_Zugliste!$A$4:$D$2002,4,FALSE),"")</f>
        <v/>
      </c>
      <c r="BX133" t="str">
        <f>+IFERROR(VLOOKUP(BX34,IN_Zugliste!$A$4:$D$2002,4,FALSE),"")</f>
        <v/>
      </c>
      <c r="BY133" t="str">
        <f>+IFERROR(VLOOKUP(BY34,IN_Zugliste!$A$4:$D$2002,4,FALSE),"")</f>
        <v/>
      </c>
      <c r="BZ133" t="str">
        <f>+IFERROR(VLOOKUP(BZ34,IN_Zugliste!$A$4:$D$2002,4,FALSE),"")</f>
        <v/>
      </c>
      <c r="CA133" t="str">
        <f>+IFERROR(VLOOKUP(CA34,IN_Zugliste!$A$4:$D$2002,4,FALSE),"")</f>
        <v/>
      </c>
      <c r="CB133" t="str">
        <f>+IFERROR(VLOOKUP(CB34,IN_Zugliste!$A$4:$D$2002,4,FALSE),"")</f>
        <v/>
      </c>
      <c r="CC133" t="str">
        <f>+IFERROR(VLOOKUP(CC34,IN_Zugliste!$A$4:$D$2002,4,FALSE),"")</f>
        <v/>
      </c>
      <c r="CD133" t="str">
        <f>+IFERROR(VLOOKUP(CD34,IN_Zugliste!$A$4:$D$2002,4,FALSE),"")</f>
        <v/>
      </c>
      <c r="CE133" t="str">
        <f>+IFERROR(VLOOKUP(CE34,IN_Zugliste!$A$4:$D$2002,4,FALSE),"")</f>
        <v/>
      </c>
      <c r="CF133" t="str">
        <f>+IFERROR(VLOOKUP(CF34,IN_Zugliste!$A$4:$D$2002,4,FALSE),"")</f>
        <v/>
      </c>
      <c r="CG133" t="str">
        <f>+IFERROR(VLOOKUP(CG34,IN_Zugliste!$A$4:$D$2002,4,FALSE),"")</f>
        <v/>
      </c>
      <c r="CH133" t="str">
        <f>+IFERROR(VLOOKUP(CH34,IN_Zugliste!$A$4:$D$2002,4,FALSE),"")</f>
        <v/>
      </c>
      <c r="CI133" t="str">
        <f>+IFERROR(VLOOKUP(CI34,IN_Zugliste!$A$4:$D$2002,4,FALSE),"")</f>
        <v/>
      </c>
      <c r="CJ133" t="str">
        <f>+IFERROR(VLOOKUP(CJ34,IN_Zugliste!$A$4:$D$2002,4,FALSE),"")</f>
        <v/>
      </c>
      <c r="CK133" t="str">
        <f>+IFERROR(VLOOKUP(CK34,IN_Zugliste!$A$4:$D$2002,4,FALSE),"")</f>
        <v/>
      </c>
      <c r="CL133" t="str">
        <f>+IFERROR(VLOOKUP(CL34,IN_Zugliste!$A$4:$D$2002,4,FALSE),"")</f>
        <v/>
      </c>
      <c r="CM133" t="str">
        <f>+IFERROR(VLOOKUP(CM34,IN_Zugliste!$A$4:$D$2002,4,FALSE),"")</f>
        <v/>
      </c>
      <c r="CN133" t="str">
        <f>+IFERROR(VLOOKUP(CN34,IN_Zugliste!$A$4:$D$2002,4,FALSE),"")</f>
        <v/>
      </c>
      <c r="CO133" t="str">
        <f>+IFERROR(VLOOKUP(CO34,IN_Zugliste!$A$4:$D$2002,4,FALSE),"")</f>
        <v/>
      </c>
      <c r="CP133" t="str">
        <f>+IFERROR(VLOOKUP(CP34,IN_Zugliste!$A$4:$D$2002,4,FALSE),"")</f>
        <v/>
      </c>
      <c r="CQ133" t="str">
        <f>+IFERROR(VLOOKUP(CQ34,IN_Zugliste!$A$4:$D$2002,4,FALSE),"")</f>
        <v/>
      </c>
      <c r="CR133" t="str">
        <f>+IFERROR(VLOOKUP(CR34,IN_Zugliste!$A$4:$D$2002,4,FALSE),"")</f>
        <v/>
      </c>
      <c r="CS133" t="str">
        <f>+IFERROR(VLOOKUP(CS34,IN_Zugliste!$A$4:$D$2002,4,FALSE),"")</f>
        <v/>
      </c>
      <c r="CT133" t="str">
        <f>+IFERROR(VLOOKUP(CT34,IN_Zugliste!$A$4:$D$2002,4,FALSE),"")</f>
        <v/>
      </c>
      <c r="CU133" t="str">
        <f>+IFERROR(VLOOKUP(CU34,IN_Zugliste!$A$4:$D$2002,4,FALSE),"")</f>
        <v/>
      </c>
      <c r="CV133" t="str">
        <f>+IFERROR(VLOOKUP(CV34,IN_Zugliste!$A$4:$D$2002,4,FALSE),"")</f>
        <v/>
      </c>
      <c r="CW133" t="str">
        <f>+IFERROR(VLOOKUP(CW34,IN_Zugliste!$A$4:$D$2002,4,FALSE),"")</f>
        <v/>
      </c>
      <c r="CX133" t="str">
        <f>+IFERROR(VLOOKUP(CX34,IN_Zugliste!$A$4:$D$2002,4,FALSE),"")</f>
        <v/>
      </c>
      <c r="CY133" t="str">
        <f>+IFERROR(VLOOKUP(CY34,IN_Zugliste!$A$4:$D$2002,4,FALSE),"")</f>
        <v/>
      </c>
      <c r="CZ133" t="str">
        <f>+IFERROR(VLOOKUP(CZ34,IN_Zugliste!$A$4:$D$2002,4,FALSE),"")</f>
        <v/>
      </c>
      <c r="DA133" t="str">
        <f>+IFERROR(VLOOKUP(DA34,IN_Zugliste!$A$4:$D$2002,4,FALSE),"")</f>
        <v/>
      </c>
      <c r="DB133" t="str">
        <f>+IFERROR(VLOOKUP(DB34,IN_Zugliste!$A$4:$D$2002,4,FALSE),"")</f>
        <v/>
      </c>
      <c r="DC133" t="str">
        <f>+IFERROR(VLOOKUP(DC34,IN_Zugliste!$A$4:$D$2002,4,FALSE),"")</f>
        <v/>
      </c>
      <c r="DD133" t="str">
        <f>+IFERROR(VLOOKUP(DD34,IN_Zugliste!$A$4:$D$2002,4,FALSE),"")</f>
        <v/>
      </c>
      <c r="DE133" t="str">
        <f>+IFERROR(VLOOKUP(DE34,IN_Zugliste!$A$4:$D$2002,4,FALSE),"")</f>
        <v/>
      </c>
      <c r="DF133" t="str">
        <f>+IFERROR(VLOOKUP(DF34,IN_Zugliste!$A$4:$D$2002,4,FALSE),"")</f>
        <v/>
      </c>
      <c r="DG133" t="str">
        <f>+IFERROR(VLOOKUP(DG34,IN_Zugliste!$A$4:$D$2002,4,FALSE),"")</f>
        <v/>
      </c>
      <c r="DH133" t="str">
        <f>+IFERROR(VLOOKUP(DH34,IN_Zugliste!$A$4:$D$2002,4,FALSE),"")</f>
        <v/>
      </c>
      <c r="DI133" t="str">
        <f>+IFERROR(VLOOKUP(DI34,IN_Zugliste!$A$4:$D$2002,4,FALSE),"")</f>
        <v/>
      </c>
      <c r="DJ133" t="str">
        <f>+IFERROR(VLOOKUP(DJ34,IN_Zugliste!$A$4:$D$2002,4,FALSE),"")</f>
        <v/>
      </c>
      <c r="DK133" t="str">
        <f>+IFERROR(VLOOKUP(DK34,IN_Zugliste!$A$4:$D$2002,4,FALSE),"")</f>
        <v/>
      </c>
      <c r="DL133" t="str">
        <f>+IFERROR(VLOOKUP(DL34,IN_Zugliste!$A$4:$D$2002,4,FALSE),"")</f>
        <v/>
      </c>
      <c r="DM133" t="str">
        <f>+IFERROR(VLOOKUP(DM34,IN_Zugliste!$A$4:$D$2002,4,FALSE),"")</f>
        <v/>
      </c>
      <c r="DN133" t="str">
        <f>+IFERROR(VLOOKUP(DN34,IN_Zugliste!$A$4:$D$2002,4,FALSE),"")</f>
        <v/>
      </c>
      <c r="DO133" t="str">
        <f>+IFERROR(VLOOKUP(DO34,IN_Zugliste!$A$4:$D$2002,4,FALSE),"")</f>
        <v/>
      </c>
      <c r="DP133" t="str">
        <f>+IFERROR(VLOOKUP(DP34,IN_Zugliste!$A$4:$D$2002,4,FALSE),"")</f>
        <v/>
      </c>
      <c r="DQ133" t="str">
        <f>+IFERROR(VLOOKUP(DQ34,IN_Zugliste!$A$4:$D$2002,4,FALSE),"")</f>
        <v/>
      </c>
      <c r="DR133" t="str">
        <f>+IFERROR(VLOOKUP(DR34,IN_Zugliste!$A$4:$D$2002,4,FALSE),"")</f>
        <v/>
      </c>
      <c r="DS133" t="str">
        <f>+IFERROR(VLOOKUP(DS34,IN_Zugliste!$A$4:$D$2002,4,FALSE),"")</f>
        <v/>
      </c>
      <c r="DT133" t="str">
        <f>+IFERROR(VLOOKUP(DT34,IN_Zugliste!$A$4:$D$2002,4,FALSE),"")</f>
        <v/>
      </c>
      <c r="DU133" t="str">
        <f>+IFERROR(VLOOKUP(DU34,IN_Zugliste!$A$4:$D$2002,4,FALSE),"")</f>
        <v/>
      </c>
      <c r="DV133" t="str">
        <f>+IFERROR(VLOOKUP(DV34,IN_Zugliste!$A$4:$D$2002,4,FALSE),"")</f>
        <v/>
      </c>
      <c r="DW133" t="str">
        <f>+IFERROR(VLOOKUP(DW34,IN_Zugliste!$A$4:$D$2002,4,FALSE),"")</f>
        <v/>
      </c>
      <c r="DX133" t="str">
        <f>+IFERROR(VLOOKUP(DX34,IN_Zugliste!$A$4:$D$2002,4,FALSE),"")</f>
        <v/>
      </c>
      <c r="DY133" t="str">
        <f>+IFERROR(VLOOKUP(DY34,IN_Zugliste!$A$4:$D$2002,4,FALSE),"")</f>
        <v/>
      </c>
      <c r="DZ133" t="str">
        <f>+IFERROR(VLOOKUP(DZ34,IN_Zugliste!$A$4:$D$2002,4,FALSE),"")</f>
        <v/>
      </c>
      <c r="EA133" t="str">
        <f>+IFERROR(VLOOKUP(EA34,IN_Zugliste!$A$4:$D$2002,4,FALSE),"")</f>
        <v/>
      </c>
      <c r="EB133" t="str">
        <f>+IFERROR(VLOOKUP(EB34,IN_Zugliste!$A$4:$D$2002,4,FALSE),"")</f>
        <v/>
      </c>
      <c r="EC133" t="str">
        <f>+IFERROR(VLOOKUP(EC34,IN_Zugliste!$A$4:$D$2002,4,FALSE),"")</f>
        <v/>
      </c>
      <c r="ED133" t="str">
        <f>+IFERROR(VLOOKUP(ED34,IN_Zugliste!$A$4:$D$2002,4,FALSE),"")</f>
        <v/>
      </c>
      <c r="EE133" t="str">
        <f>+IFERROR(VLOOKUP(EE34,IN_Zugliste!$A$4:$D$2002,4,FALSE),"")</f>
        <v/>
      </c>
      <c r="EF133" t="str">
        <f>+IFERROR(VLOOKUP(EF34,IN_Zugliste!$A$4:$D$2002,4,FALSE),"")</f>
        <v/>
      </c>
      <c r="EG133" t="str">
        <f>+IFERROR(VLOOKUP(EG34,IN_Zugliste!$A$4:$D$2002,4,FALSE),"")</f>
        <v/>
      </c>
      <c r="EH133" t="str">
        <f>+IFERROR(VLOOKUP(EH34,IN_Zugliste!$A$4:$D$2002,4,FALSE),"")</f>
        <v/>
      </c>
      <c r="EI133" t="str">
        <f>+IFERROR(VLOOKUP(EI34,IN_Zugliste!$A$4:$D$2002,4,FALSE),"")</f>
        <v/>
      </c>
      <c r="EJ133" t="str">
        <f>+IFERROR(VLOOKUP(EJ34,IN_Zugliste!$A$4:$D$2002,4,FALSE),"")</f>
        <v/>
      </c>
      <c r="EK133" t="str">
        <f>+IFERROR(VLOOKUP(EK34,IN_Zugliste!$A$4:$D$2002,4,FALSE),"")</f>
        <v/>
      </c>
      <c r="EL133" t="str">
        <f>+IFERROR(VLOOKUP(EL34,IN_Zugliste!$A$4:$D$2002,4,FALSE),"")</f>
        <v/>
      </c>
      <c r="EM133" t="str">
        <f>+IFERROR(VLOOKUP(EM34,IN_Zugliste!$A$4:$D$2002,4,FALSE),"")</f>
        <v/>
      </c>
      <c r="EN133" t="str">
        <f>+IFERROR(VLOOKUP(EN34,IN_Zugliste!$A$4:$D$2002,4,FALSE),"")</f>
        <v/>
      </c>
      <c r="EO133" t="str">
        <f>+IFERROR(VLOOKUP(EO34,IN_Zugliste!$A$4:$D$2002,4,FALSE),"")</f>
        <v/>
      </c>
      <c r="EP133" t="str">
        <f>+IFERROR(VLOOKUP(EP34,IN_Zugliste!$A$4:$D$2002,4,FALSE),"")</f>
        <v/>
      </c>
      <c r="EQ133" t="str">
        <f>+IFERROR(VLOOKUP(EQ34,IN_Zugliste!$A$4:$D$2002,4,FALSE),"")</f>
        <v/>
      </c>
      <c r="ER133" t="str">
        <f>+IFERROR(VLOOKUP(ER34,IN_Zugliste!$A$4:$D$2002,4,FALSE),"")</f>
        <v/>
      </c>
      <c r="ES133" t="str">
        <f>+IFERROR(VLOOKUP(ES34,IN_Zugliste!$A$4:$D$2002,4,FALSE),"")</f>
        <v/>
      </c>
      <c r="ET133" t="str">
        <f>+IFERROR(VLOOKUP(ET34,IN_Zugliste!$A$4:$D$2002,4,FALSE),"")</f>
        <v/>
      </c>
      <c r="EU133" t="str">
        <f>+IFERROR(VLOOKUP(EU34,IN_Zugliste!$A$4:$D$2002,4,FALSE),"")</f>
        <v/>
      </c>
      <c r="EV133" t="str">
        <f>+IFERROR(VLOOKUP(EV34,IN_Zugliste!$A$4:$D$2002,4,FALSE),"")</f>
        <v/>
      </c>
      <c r="EW133" t="str">
        <f>+IFERROR(VLOOKUP(EW34,IN_Zugliste!$A$4:$D$2002,4,FALSE),"")</f>
        <v/>
      </c>
      <c r="EX133" t="str">
        <f>+IFERROR(VLOOKUP(EX34,IN_Zugliste!$A$4:$D$2002,4,FALSE),"")</f>
        <v/>
      </c>
      <c r="EY133" t="str">
        <f>+IFERROR(VLOOKUP(EY34,IN_Zugliste!$A$4:$D$2002,4,FALSE),"")</f>
        <v/>
      </c>
      <c r="EZ133" t="str">
        <f>+IFERROR(VLOOKUP(EZ34,IN_Zugliste!$A$4:$D$2002,4,FALSE),"")</f>
        <v/>
      </c>
      <c r="FA133" t="str">
        <f>+IFERROR(VLOOKUP(FA34,IN_Zugliste!$A$4:$D$2002,4,FALSE),"")</f>
        <v/>
      </c>
      <c r="FB133" t="str">
        <f>+IFERROR(VLOOKUP(FB34,IN_Zugliste!$A$4:$D$2002,4,FALSE),"")</f>
        <v/>
      </c>
      <c r="FC133" t="str">
        <f>+IFERROR(VLOOKUP(FC34,IN_Zugliste!$A$4:$D$2002,4,FALSE),"")</f>
        <v/>
      </c>
      <c r="FD133" t="str">
        <f>+IFERROR(VLOOKUP(FD34,IN_Zugliste!$A$4:$D$2002,4,FALSE),"")</f>
        <v/>
      </c>
      <c r="FE133" t="str">
        <f>+IFERROR(VLOOKUP(FE34,IN_Zugliste!$A$4:$D$2002,4,FALSE),"")</f>
        <v/>
      </c>
      <c r="FF133" t="str">
        <f>+IFERROR(VLOOKUP(FF34,IN_Zugliste!$A$4:$D$2002,4,FALSE),"")</f>
        <v/>
      </c>
      <c r="FG133" t="str">
        <f>+IFERROR(VLOOKUP(FG34,IN_Zugliste!$A$4:$D$2002,4,FALSE),"")</f>
        <v/>
      </c>
      <c r="FH133" t="str">
        <f>+IFERROR(VLOOKUP(FH34,IN_Zugliste!$A$4:$D$2002,4,FALSE),"")</f>
        <v/>
      </c>
      <c r="FI133" t="str">
        <f>+IFERROR(VLOOKUP(FI34,IN_Zugliste!$A$4:$D$2002,4,FALSE),"")</f>
        <v/>
      </c>
      <c r="FJ133" t="str">
        <f>+IFERROR(VLOOKUP(FJ34,IN_Zugliste!$A$4:$D$2002,4,FALSE),"")</f>
        <v/>
      </c>
      <c r="FK133" t="str">
        <f>+IFERROR(VLOOKUP(FK34,IN_Zugliste!$A$4:$D$2002,4,FALSE),"")</f>
        <v/>
      </c>
      <c r="FL133" t="str">
        <f>+IFERROR(VLOOKUP(FL34,IN_Zugliste!$A$4:$D$2002,4,FALSE),"")</f>
        <v/>
      </c>
      <c r="FM133" t="str">
        <f>+IFERROR(VLOOKUP(FM34,IN_Zugliste!$A$4:$C$602,4,FALSE),"")</f>
        <v/>
      </c>
      <c r="FN133" t="str">
        <f>+IFERROR(VLOOKUP(FN34,IN_Zugliste!$A$4:$C$602,4,FALSE),"")</f>
        <v/>
      </c>
      <c r="FO133" t="str">
        <f>+IFERROR(VLOOKUP(FO34,IN_Zugliste!$A$4:$C$602,4,FALSE),"")</f>
        <v/>
      </c>
      <c r="FP133" t="str">
        <f>+IFERROR(VLOOKUP(FP34,IN_Zugliste!$A$4:$C$602,4,FALSE),"")</f>
        <v/>
      </c>
      <c r="FQ133" t="str">
        <f>+IFERROR(VLOOKUP(FQ34,IN_Zugliste!$A$4:$C$602,4,FALSE),"")</f>
        <v/>
      </c>
      <c r="FR133" t="str">
        <f>+IFERROR(VLOOKUP(FR34,IN_Zugliste!$A$4:$C$602,4,FALSE),"")</f>
        <v/>
      </c>
      <c r="FS133" t="str">
        <f>+IFERROR(VLOOKUP(FS34,IN_Zugliste!$A$4:$C$602,4,FALSE),"")</f>
        <v/>
      </c>
      <c r="FT133" t="str">
        <f>+IFERROR(VLOOKUP(FT34,IN_Zugliste!$A$4:$C$602,4,FALSE),"")</f>
        <v/>
      </c>
      <c r="FU133" t="str">
        <f>+IFERROR(VLOOKUP(FU34,IN_Zugliste!$A$4:$C$602,4,FALSE),"")</f>
        <v/>
      </c>
      <c r="FV133" t="str">
        <f>+IFERROR(VLOOKUP(FV34,IN_Zugliste!$A$4:$C$602,4,FALSE),"")</f>
        <v/>
      </c>
      <c r="FW133" t="str">
        <f>+IFERROR(VLOOKUP(FW34,IN_Zugliste!$A$4:$C$602,4,FALSE),"")</f>
        <v/>
      </c>
      <c r="FX133" t="str">
        <f>+IFERROR(VLOOKUP(FX34,IN_Zugliste!$A$4:$C$602,4,FALSE),"")</f>
        <v/>
      </c>
      <c r="FY133" t="str">
        <f>+IFERROR(VLOOKUP(FY34,IN_Zugliste!$A$4:$C$602,4,FALSE),"")</f>
        <v/>
      </c>
      <c r="FZ133" t="str">
        <f>+IFERROR(VLOOKUP(FZ34,IN_Zugliste!$A$4:$C$602,4,FALSE),"")</f>
        <v/>
      </c>
      <c r="GA133" t="str">
        <f>+IFERROR(VLOOKUP(GA34,IN_Zugliste!$A$4:$C$602,4,FALSE),"")</f>
        <v/>
      </c>
      <c r="GB133" t="str">
        <f>+IFERROR(VLOOKUP(GB34,IN_Zugliste!$A$4:$C$602,4,FALSE),"")</f>
        <v/>
      </c>
      <c r="GC133" t="str">
        <f>+IFERROR(VLOOKUP(GC34,IN_Zugliste!$A$4:$C$602,4,FALSE),"")</f>
        <v/>
      </c>
      <c r="GD133" t="str">
        <f>+IFERROR(VLOOKUP(GD34,IN_Zugliste!$A$4:$C$602,4,FALSE),"")</f>
        <v/>
      </c>
      <c r="GE133" t="str">
        <f>+IFERROR(VLOOKUP(GE34,IN_Zugliste!$A$4:$C$602,4,FALSE),"")</f>
        <v/>
      </c>
      <c r="GF133" t="str">
        <f>+IFERROR(VLOOKUP(GF34,IN_Zugliste!$A$4:$C$602,4,FALSE),"")</f>
        <v/>
      </c>
      <c r="GG133" t="str">
        <f>+IFERROR(VLOOKUP(GG34,IN_Zugliste!$A$4:$C$602,4,FALSE),"")</f>
        <v/>
      </c>
      <c r="GH133" t="str">
        <f>+IFERROR(VLOOKUP(GH34,IN_Zugliste!$A$4:$C$602,4,FALSE),"")</f>
        <v/>
      </c>
      <c r="GI133" t="str">
        <f>+IFERROR(VLOOKUP(GI34,IN_Zugliste!$A$4:$C$602,4,FALSE),"")</f>
        <v/>
      </c>
      <c r="GJ133" t="str">
        <f>+IFERROR(VLOOKUP(GJ34,IN_Zugliste!$A$4:$C$602,4,FALSE),"")</f>
        <v/>
      </c>
      <c r="GK133" t="str">
        <f>+IFERROR(VLOOKUP(GK34,IN_Zugliste!$A$4:$C$602,4,FALSE),"")</f>
        <v/>
      </c>
      <c r="GL133" t="str">
        <f>+IFERROR(VLOOKUP(GL34,IN_Zugliste!$A$4:$C$602,4,FALSE),"")</f>
        <v/>
      </c>
      <c r="GM133" t="str">
        <f>+IFERROR(VLOOKUP(GM34,IN_Zugliste!$A$4:$C$602,4,FALSE),"")</f>
        <v/>
      </c>
      <c r="GN133" t="str">
        <f>+IFERROR(VLOOKUP(GN34,IN_Zugliste!$A$4:$C$602,4,FALSE),"")</f>
        <v/>
      </c>
      <c r="GO133" t="str">
        <f>+IFERROR(VLOOKUP(GO34,IN_Zugliste!$A$4:$C$602,4,FALSE),"")</f>
        <v/>
      </c>
      <c r="GP133" t="str">
        <f>+IFERROR(VLOOKUP(GP34,IN_Zugliste!$A$4:$C$602,4,FALSE),"")</f>
        <v/>
      </c>
      <c r="GQ133" t="str">
        <f>+IFERROR(VLOOKUP(GQ34,IN_Zugliste!$A$4:$C$602,4,FALSE),"")</f>
        <v/>
      </c>
      <c r="GR133" t="str">
        <f>+IFERROR(VLOOKUP(GR34,IN_Zugliste!$A$4:$C$602,4,FALSE),"")</f>
        <v/>
      </c>
      <c r="GS133" t="str">
        <f>+IFERROR(VLOOKUP(GS34,IN_Zugliste!$A$4:$C$602,4,FALSE),"")</f>
        <v/>
      </c>
      <c r="GT133" t="str">
        <f>+IFERROR(VLOOKUP(GT34,IN_Zugliste!$A$4:$C$602,4,FALSE),"")</f>
        <v/>
      </c>
      <c r="GU133" t="str">
        <f>+IFERROR(VLOOKUP(GU34,IN_Zugliste!$A$4:$C$602,4,FALSE),"")</f>
        <v/>
      </c>
      <c r="GV133" t="str">
        <f>+IFERROR(VLOOKUP(GV34,IN_Zugliste!$A$4:$C$602,4,FALSE),"")</f>
        <v/>
      </c>
      <c r="GW133" t="str">
        <f>+IFERROR(VLOOKUP(GW34,IN_Zugliste!$A$4:$C$602,4,FALSE),"")</f>
        <v/>
      </c>
      <c r="GX133" t="str">
        <f>+IFERROR(VLOOKUP(GX34,IN_Zugliste!$A$4:$C$602,4,FALSE),"")</f>
        <v/>
      </c>
      <c r="GY133" t="str">
        <f>+IFERROR(VLOOKUP(GY34,IN_Zugliste!$A$4:$C$602,4,FALSE),"")</f>
        <v/>
      </c>
      <c r="GZ133" t="str">
        <f>+IFERROR(VLOOKUP(GZ34,IN_Zugliste!$A$4:$C$602,4,FALSE),"")</f>
        <v/>
      </c>
      <c r="HA133" t="str">
        <f>+IFERROR(VLOOKUP(HA34,IN_Zugliste!$A$4:$C$602,4,FALSE),"")</f>
        <v/>
      </c>
      <c r="HB133" t="str">
        <f>+IFERROR(VLOOKUP(HB34,IN_Zugliste!$A$4:$C$602,4,FALSE),"")</f>
        <v/>
      </c>
      <c r="HC133" t="str">
        <f>+IFERROR(VLOOKUP(HC34,IN_Zugliste!$A$4:$C$602,4,FALSE),"")</f>
        <v/>
      </c>
      <c r="HD133" t="str">
        <f>+IFERROR(VLOOKUP(HD34,IN_Zugliste!$A$4:$C$602,4,FALSE),"")</f>
        <v/>
      </c>
      <c r="HE133" t="str">
        <f>+IFERROR(VLOOKUP(HE34,IN_Zugliste!$A$4:$C$602,4,FALSE),"")</f>
        <v/>
      </c>
      <c r="HF133" t="str">
        <f>+IFERROR(VLOOKUP(HF34,IN_Zugliste!$A$4:$C$602,4,FALSE),"")</f>
        <v/>
      </c>
      <c r="HG133" t="str">
        <f>+IFERROR(VLOOKUP(HG34,IN_Zugliste!$A$4:$C$602,4,FALSE),"")</f>
        <v/>
      </c>
      <c r="HH133" t="str">
        <f>+IFERROR(VLOOKUP(HH34,IN_Zugliste!$A$4:$C$602,4,FALSE),"")</f>
        <v/>
      </c>
    </row>
    <row r="134" spans="1:216" x14ac:dyDescent="0.2">
      <c r="A134" t="str">
        <f>+IFERROR(VLOOKUP(A35,IN_Zugliste!$A$4:$D$2002,4,FALSE),"")</f>
        <v/>
      </c>
      <c r="B134" t="str">
        <f>+IFERROR(VLOOKUP(B35,IN_Zugliste!$A$4:$D$2002,4,FALSE),"")</f>
        <v/>
      </c>
      <c r="C134" t="str">
        <f>+IFERROR(VLOOKUP(C35,IN_Zugliste!$A$4:$D$2002,4,FALSE),"")</f>
        <v/>
      </c>
      <c r="D134" t="str">
        <f>+IFERROR(VLOOKUP(D35,IN_Zugliste!$A$4:$D$2002,4,FALSE),"")</f>
        <v/>
      </c>
      <c r="E134" t="str">
        <f>+IFERROR(VLOOKUP(E35,IN_Zugliste!$A$4:$D$2002,4,FALSE),"")</f>
        <v/>
      </c>
      <c r="F134" t="str">
        <f>+IFERROR(VLOOKUP(F35,IN_Zugliste!$A$4:$D$2002,4,FALSE),"")</f>
        <v/>
      </c>
      <c r="G134" t="str">
        <f>+IFERROR(VLOOKUP(G35,IN_Zugliste!$A$4:$D$2002,4,FALSE),"")</f>
        <v/>
      </c>
      <c r="H134" t="str">
        <f>+IFERROR(VLOOKUP(H35,IN_Zugliste!$A$4:$D$2002,4,FALSE),"")</f>
        <v/>
      </c>
      <c r="I134" t="str">
        <f>+IFERROR(VLOOKUP(I35,IN_Zugliste!$A$4:$D$2002,4,FALSE),"")</f>
        <v/>
      </c>
      <c r="J134" t="str">
        <f>+IFERROR(VLOOKUP(J35,IN_Zugliste!$A$4:$D$2002,4,FALSE),"")</f>
        <v/>
      </c>
      <c r="K134" t="str">
        <f>+IFERROR(VLOOKUP(K35,IN_Zugliste!$A$4:$D$2002,4,FALSE),"")</f>
        <v/>
      </c>
      <c r="L134" t="str">
        <f>+IFERROR(VLOOKUP(L35,IN_Zugliste!$A$4:$D$2002,4,FALSE),"")</f>
        <v/>
      </c>
      <c r="M134" t="str">
        <f>+IFERROR(VLOOKUP(M35,IN_Zugliste!$A$4:$D$2002,4,FALSE),"")</f>
        <v/>
      </c>
      <c r="N134" t="str">
        <f>+IFERROR(VLOOKUP(N35,IN_Zugliste!$A$4:$D$2002,4,FALSE),"")</f>
        <v/>
      </c>
      <c r="O134" t="str">
        <f>+IFERROR(VLOOKUP(O35,IN_Zugliste!$A$4:$D$2002,4,FALSE),"")</f>
        <v/>
      </c>
      <c r="P134" t="str">
        <f>+IFERROR(VLOOKUP(P35,IN_Zugliste!$A$4:$D$2002,4,FALSE),"")</f>
        <v/>
      </c>
      <c r="Q134" t="str">
        <f>+IFERROR(VLOOKUP(Q35,IN_Zugliste!$A$4:$D$2002,4,FALSE),"")</f>
        <v/>
      </c>
      <c r="R134" t="str">
        <f>+IFERROR(VLOOKUP(R35,IN_Zugliste!$A$4:$D$2002,4,FALSE),"")</f>
        <v/>
      </c>
      <c r="S134" t="str">
        <f>+IFERROR(VLOOKUP(S35,IN_Zugliste!$A$4:$D$2002,4,FALSE),"")</f>
        <v/>
      </c>
      <c r="T134" t="str">
        <f>+IFERROR(VLOOKUP(T35,IN_Zugliste!$A$4:$D$2002,4,FALSE),"")</f>
        <v/>
      </c>
      <c r="U134" t="str">
        <f>+IFERROR(VLOOKUP(U35,IN_Zugliste!$A$4:$D$2002,4,FALSE),"")</f>
        <v/>
      </c>
      <c r="V134" t="str">
        <f>+IFERROR(VLOOKUP(V35,IN_Zugliste!$A$4:$D$2002,4,FALSE),"")</f>
        <v/>
      </c>
      <c r="W134" t="str">
        <f>+IFERROR(VLOOKUP(W35,IN_Zugliste!$A$4:$D$2002,4,FALSE),"")</f>
        <v/>
      </c>
      <c r="X134" t="str">
        <f>+IFERROR(VLOOKUP(X35,IN_Zugliste!$A$4:$D$2002,4,FALSE),"")</f>
        <v/>
      </c>
      <c r="Y134" t="str">
        <f>+IFERROR(VLOOKUP(Y35,IN_Zugliste!$A$4:$D$2002,4,FALSE),"")</f>
        <v/>
      </c>
      <c r="Z134" t="str">
        <f>+IFERROR(VLOOKUP(Z35,IN_Zugliste!$A$4:$D$2002,4,FALSE),"")</f>
        <v/>
      </c>
      <c r="AA134" t="str">
        <f>+IFERROR(VLOOKUP(AA35,IN_Zugliste!$A$4:$D$2002,4,FALSE),"")</f>
        <v/>
      </c>
      <c r="AB134" t="str">
        <f>+IFERROR(VLOOKUP(AB35,IN_Zugliste!$A$4:$D$2002,4,FALSE),"")</f>
        <v/>
      </c>
      <c r="AC134" t="str">
        <f>+IFERROR(VLOOKUP(AC35,IN_Zugliste!$A$4:$D$2002,4,FALSE),"")</f>
        <v/>
      </c>
      <c r="AD134" t="str">
        <f>+IFERROR(VLOOKUP(AD35,IN_Zugliste!$A$4:$D$2002,4,FALSE),"")</f>
        <v/>
      </c>
      <c r="AE134" t="str">
        <f>+IFERROR(VLOOKUP(AE35,IN_Zugliste!$A$4:$D$2002,4,FALSE),"")</f>
        <v/>
      </c>
      <c r="AF134" t="str">
        <f>+IFERROR(VLOOKUP(AF35,IN_Zugliste!$A$4:$D$2002,4,FALSE),"")</f>
        <v/>
      </c>
      <c r="AG134" t="str">
        <f>+IFERROR(VLOOKUP(AG35,IN_Zugliste!$A$4:$D$2002,4,FALSE),"")</f>
        <v/>
      </c>
      <c r="AH134" t="str">
        <f>+IFERROR(VLOOKUP(AH35,IN_Zugliste!$A$4:$D$2002,4,FALSE),"")</f>
        <v/>
      </c>
      <c r="AI134" t="str">
        <f>+IFERROR(VLOOKUP(AI35,IN_Zugliste!$A$4:$D$2002,4,FALSE),"")</f>
        <v/>
      </c>
      <c r="AJ134" t="str">
        <f>+IFERROR(VLOOKUP(AJ35,IN_Zugliste!$A$4:$D$2002,4,FALSE),"")</f>
        <v/>
      </c>
      <c r="AK134" t="str">
        <f>+IFERROR(VLOOKUP(AK35,IN_Zugliste!$A$4:$D$2002,4,FALSE),"")</f>
        <v/>
      </c>
      <c r="AL134" t="str">
        <f>+IFERROR(VLOOKUP(AL35,IN_Zugliste!$A$4:$D$2002,4,FALSE),"")</f>
        <v/>
      </c>
      <c r="AM134" t="str">
        <f>+IFERROR(VLOOKUP(AM35,IN_Zugliste!$A$4:$D$2002,4,FALSE),"")</f>
        <v/>
      </c>
      <c r="AN134" t="str">
        <f>+IFERROR(VLOOKUP(AN35,IN_Zugliste!$A$4:$D$2002,4,FALSE),"")</f>
        <v/>
      </c>
      <c r="AO134" t="str">
        <f>+IFERROR(VLOOKUP(AO35,IN_Zugliste!$A$4:$D$2002,4,FALSE),"")</f>
        <v/>
      </c>
      <c r="AP134" t="str">
        <f>+IFERROR(VLOOKUP(AP35,IN_Zugliste!$A$4:$D$2002,4,FALSE),"")</f>
        <v/>
      </c>
      <c r="AQ134" t="str">
        <f>+IFERROR(VLOOKUP(AQ35,IN_Zugliste!$A$4:$D$2002,4,FALSE),"")</f>
        <v/>
      </c>
      <c r="AR134" t="str">
        <f>+IFERROR(VLOOKUP(AR35,IN_Zugliste!$A$4:$D$2002,4,FALSE),"")</f>
        <v/>
      </c>
      <c r="AS134" t="str">
        <f>+IFERROR(VLOOKUP(AS35,IN_Zugliste!$A$4:$D$2002,4,FALSE),"")</f>
        <v/>
      </c>
      <c r="AT134" t="str">
        <f>+IFERROR(VLOOKUP(AT35,IN_Zugliste!$A$4:$D$2002,4,FALSE),"")</f>
        <v/>
      </c>
      <c r="AU134" t="str">
        <f>+IFERROR(VLOOKUP(AU35,IN_Zugliste!$A$4:$D$2002,4,FALSE),"")</f>
        <v/>
      </c>
      <c r="AV134" t="str">
        <f>+IFERROR(VLOOKUP(AV35,IN_Zugliste!$A$4:$D$2002,4,FALSE),"")</f>
        <v/>
      </c>
      <c r="AW134" t="str">
        <f>+IFERROR(VLOOKUP(AW35,IN_Zugliste!$A$4:$D$2002,4,FALSE),"")</f>
        <v/>
      </c>
      <c r="AX134" t="str">
        <f>+IFERROR(VLOOKUP(AX35,IN_Zugliste!$A$4:$D$2002,4,FALSE),"")</f>
        <v/>
      </c>
      <c r="AY134" t="str">
        <f>+IFERROR(VLOOKUP(AY35,IN_Zugliste!$A$4:$D$2002,4,FALSE),"")</f>
        <v/>
      </c>
      <c r="AZ134" t="str">
        <f>+IFERROR(VLOOKUP(AZ35,IN_Zugliste!$A$4:$D$2002,4,FALSE),"")</f>
        <v/>
      </c>
      <c r="BA134" t="str">
        <f>+IFERROR(VLOOKUP(BA35,IN_Zugliste!$A$4:$D$2002,4,FALSE),"")</f>
        <v/>
      </c>
      <c r="BB134" t="str">
        <f>+IFERROR(VLOOKUP(BB35,IN_Zugliste!$A$4:$D$2002,4,FALSE),"")</f>
        <v/>
      </c>
      <c r="BC134" t="str">
        <f>+IFERROR(VLOOKUP(BC35,IN_Zugliste!$A$4:$D$2002,4,FALSE),"")</f>
        <v/>
      </c>
      <c r="BD134" t="str">
        <f>+IFERROR(VLOOKUP(BD35,IN_Zugliste!$A$4:$D$2002,4,FALSE),"")</f>
        <v/>
      </c>
      <c r="BE134" t="str">
        <f>+IFERROR(VLOOKUP(BE35,IN_Zugliste!$A$4:$D$2002,4,FALSE),"")</f>
        <v/>
      </c>
      <c r="BF134" t="str">
        <f>+IFERROR(VLOOKUP(BF35,IN_Zugliste!$A$4:$D$2002,4,FALSE),"")</f>
        <v/>
      </c>
      <c r="BG134" t="str">
        <f>+IFERROR(VLOOKUP(BG35,IN_Zugliste!$A$4:$D$2002,4,FALSE),"")</f>
        <v/>
      </c>
      <c r="BH134" t="str">
        <f>+IFERROR(VLOOKUP(BH35,IN_Zugliste!$A$4:$D$2002,4,FALSE),"")</f>
        <v/>
      </c>
      <c r="BI134" t="str">
        <f>+IFERROR(VLOOKUP(BI35,IN_Zugliste!$A$4:$D$2002,4,FALSE),"")</f>
        <v/>
      </c>
      <c r="BJ134" t="str">
        <f>+IFERROR(VLOOKUP(BJ35,IN_Zugliste!$A$4:$D$2002,4,FALSE),"")</f>
        <v/>
      </c>
      <c r="BK134" t="str">
        <f>+IFERROR(VLOOKUP(BK35,IN_Zugliste!$A$4:$D$2002,4,FALSE),"")</f>
        <v/>
      </c>
      <c r="BL134" t="str">
        <f>+IFERROR(VLOOKUP(BL35,IN_Zugliste!$A$4:$D$2002,4,FALSE),"")</f>
        <v/>
      </c>
      <c r="BM134" t="str">
        <f>+IFERROR(VLOOKUP(BM35,IN_Zugliste!$A$4:$D$2002,4,FALSE),"")</f>
        <v/>
      </c>
      <c r="BN134" t="str">
        <f>+IFERROR(VLOOKUP(BN35,IN_Zugliste!$A$4:$D$2002,4,FALSE),"")</f>
        <v/>
      </c>
      <c r="BO134" t="str">
        <f>+IFERROR(VLOOKUP(BO35,IN_Zugliste!$A$4:$D$2002,4,FALSE),"")</f>
        <v/>
      </c>
      <c r="BP134" t="str">
        <f>+IFERROR(VLOOKUP(BP35,IN_Zugliste!$A$4:$D$2002,4,FALSE),"")</f>
        <v/>
      </c>
      <c r="BQ134" t="str">
        <f>+IFERROR(VLOOKUP(BQ35,IN_Zugliste!$A$4:$D$2002,4,FALSE),"")</f>
        <v/>
      </c>
      <c r="BR134" t="str">
        <f>+IFERROR(VLOOKUP(BR35,IN_Zugliste!$A$4:$D$2002,4,FALSE),"")</f>
        <v/>
      </c>
      <c r="BS134" t="str">
        <f>+IFERROR(VLOOKUP(BS35,IN_Zugliste!$A$4:$D$2002,4,FALSE),"")</f>
        <v/>
      </c>
      <c r="BT134" t="str">
        <f>+IFERROR(VLOOKUP(BT35,IN_Zugliste!$A$4:$D$2002,4,FALSE),"")</f>
        <v/>
      </c>
      <c r="BU134" t="str">
        <f>+IFERROR(VLOOKUP(BU35,IN_Zugliste!$A$4:$D$2002,4,FALSE),"")</f>
        <v/>
      </c>
      <c r="BV134" t="str">
        <f>+IFERROR(VLOOKUP(BV35,IN_Zugliste!$A$4:$D$2002,4,FALSE),"")</f>
        <v/>
      </c>
      <c r="BW134" t="str">
        <f>+IFERROR(VLOOKUP(BW35,IN_Zugliste!$A$4:$D$2002,4,FALSE),"")</f>
        <v/>
      </c>
      <c r="BX134" t="str">
        <f>+IFERROR(VLOOKUP(BX35,IN_Zugliste!$A$4:$D$2002,4,FALSE),"")</f>
        <v/>
      </c>
      <c r="BY134" t="str">
        <f>+IFERROR(VLOOKUP(BY35,IN_Zugliste!$A$4:$D$2002,4,FALSE),"")</f>
        <v/>
      </c>
      <c r="BZ134" t="str">
        <f>+IFERROR(VLOOKUP(BZ35,IN_Zugliste!$A$4:$D$2002,4,FALSE),"")</f>
        <v/>
      </c>
      <c r="CA134" t="str">
        <f>+IFERROR(VLOOKUP(CA35,IN_Zugliste!$A$4:$D$2002,4,FALSE),"")</f>
        <v/>
      </c>
      <c r="CB134" t="str">
        <f>+IFERROR(VLOOKUP(CB35,IN_Zugliste!$A$4:$D$2002,4,FALSE),"")</f>
        <v/>
      </c>
      <c r="CC134" t="str">
        <f>+IFERROR(VLOOKUP(CC35,IN_Zugliste!$A$4:$D$2002,4,FALSE),"")</f>
        <v/>
      </c>
      <c r="CD134" t="str">
        <f>+IFERROR(VLOOKUP(CD35,IN_Zugliste!$A$4:$D$2002,4,FALSE),"")</f>
        <v/>
      </c>
      <c r="CE134" t="str">
        <f>+IFERROR(VLOOKUP(CE35,IN_Zugliste!$A$4:$D$2002,4,FALSE),"")</f>
        <v/>
      </c>
      <c r="CF134" t="str">
        <f>+IFERROR(VLOOKUP(CF35,IN_Zugliste!$A$4:$D$2002,4,FALSE),"")</f>
        <v/>
      </c>
      <c r="CG134" t="str">
        <f>+IFERROR(VLOOKUP(CG35,IN_Zugliste!$A$4:$D$2002,4,FALSE),"")</f>
        <v/>
      </c>
      <c r="CH134" t="str">
        <f>+IFERROR(VLOOKUP(CH35,IN_Zugliste!$A$4:$D$2002,4,FALSE),"")</f>
        <v/>
      </c>
      <c r="CI134" t="str">
        <f>+IFERROR(VLOOKUP(CI35,IN_Zugliste!$A$4:$D$2002,4,FALSE),"")</f>
        <v/>
      </c>
      <c r="CJ134" t="str">
        <f>+IFERROR(VLOOKUP(CJ35,IN_Zugliste!$A$4:$D$2002,4,FALSE),"")</f>
        <v/>
      </c>
      <c r="CK134" t="str">
        <f>+IFERROR(VLOOKUP(CK35,IN_Zugliste!$A$4:$D$2002,4,FALSE),"")</f>
        <v/>
      </c>
      <c r="CL134" t="str">
        <f>+IFERROR(VLOOKUP(CL35,IN_Zugliste!$A$4:$D$2002,4,FALSE),"")</f>
        <v/>
      </c>
      <c r="CM134" t="str">
        <f>+IFERROR(VLOOKUP(CM35,IN_Zugliste!$A$4:$D$2002,4,FALSE),"")</f>
        <v/>
      </c>
      <c r="CN134" t="str">
        <f>+IFERROR(VLOOKUP(CN35,IN_Zugliste!$A$4:$D$2002,4,FALSE),"")</f>
        <v/>
      </c>
      <c r="CO134" t="str">
        <f>+IFERROR(VLOOKUP(CO35,IN_Zugliste!$A$4:$D$2002,4,FALSE),"")</f>
        <v/>
      </c>
      <c r="CP134" t="str">
        <f>+IFERROR(VLOOKUP(CP35,IN_Zugliste!$A$4:$D$2002,4,FALSE),"")</f>
        <v/>
      </c>
      <c r="CQ134" t="str">
        <f>+IFERROR(VLOOKUP(CQ35,IN_Zugliste!$A$4:$D$2002,4,FALSE),"")</f>
        <v/>
      </c>
      <c r="CR134" t="str">
        <f>+IFERROR(VLOOKUP(CR35,IN_Zugliste!$A$4:$D$2002,4,FALSE),"")</f>
        <v/>
      </c>
      <c r="CS134" t="str">
        <f>+IFERROR(VLOOKUP(CS35,IN_Zugliste!$A$4:$D$2002,4,FALSE),"")</f>
        <v/>
      </c>
      <c r="CT134" t="str">
        <f>+IFERROR(VLOOKUP(CT35,IN_Zugliste!$A$4:$D$2002,4,FALSE),"")</f>
        <v/>
      </c>
      <c r="CU134" t="str">
        <f>+IFERROR(VLOOKUP(CU35,IN_Zugliste!$A$4:$D$2002,4,FALSE),"")</f>
        <v/>
      </c>
      <c r="CV134" t="str">
        <f>+IFERROR(VLOOKUP(CV35,IN_Zugliste!$A$4:$D$2002,4,FALSE),"")</f>
        <v/>
      </c>
      <c r="CW134" t="str">
        <f>+IFERROR(VLOOKUP(CW35,IN_Zugliste!$A$4:$D$2002,4,FALSE),"")</f>
        <v/>
      </c>
      <c r="CX134" t="str">
        <f>+IFERROR(VLOOKUP(CX35,IN_Zugliste!$A$4:$D$2002,4,FALSE),"")</f>
        <v/>
      </c>
      <c r="CY134" t="str">
        <f>+IFERROR(VLOOKUP(CY35,IN_Zugliste!$A$4:$D$2002,4,FALSE),"")</f>
        <v/>
      </c>
      <c r="CZ134" t="str">
        <f>+IFERROR(VLOOKUP(CZ35,IN_Zugliste!$A$4:$D$2002,4,FALSE),"")</f>
        <v/>
      </c>
      <c r="DA134" t="str">
        <f>+IFERROR(VLOOKUP(DA35,IN_Zugliste!$A$4:$D$2002,4,FALSE),"")</f>
        <v/>
      </c>
      <c r="DB134" t="str">
        <f>+IFERROR(VLOOKUP(DB35,IN_Zugliste!$A$4:$D$2002,4,FALSE),"")</f>
        <v/>
      </c>
      <c r="DC134" t="str">
        <f>+IFERROR(VLOOKUP(DC35,IN_Zugliste!$A$4:$D$2002,4,FALSE),"")</f>
        <v/>
      </c>
      <c r="DD134" t="str">
        <f>+IFERROR(VLOOKUP(DD35,IN_Zugliste!$A$4:$D$2002,4,FALSE),"")</f>
        <v/>
      </c>
      <c r="DE134" t="str">
        <f>+IFERROR(VLOOKUP(DE35,IN_Zugliste!$A$4:$D$2002,4,FALSE),"")</f>
        <v/>
      </c>
      <c r="DF134" t="str">
        <f>+IFERROR(VLOOKUP(DF35,IN_Zugliste!$A$4:$D$2002,4,FALSE),"")</f>
        <v/>
      </c>
      <c r="DG134" t="str">
        <f>+IFERROR(VLOOKUP(DG35,IN_Zugliste!$A$4:$D$2002,4,FALSE),"")</f>
        <v/>
      </c>
      <c r="DH134" t="str">
        <f>+IFERROR(VLOOKUP(DH35,IN_Zugliste!$A$4:$D$2002,4,FALSE),"")</f>
        <v/>
      </c>
      <c r="DI134" t="str">
        <f>+IFERROR(VLOOKUP(DI35,IN_Zugliste!$A$4:$D$2002,4,FALSE),"")</f>
        <v/>
      </c>
      <c r="DJ134" t="str">
        <f>+IFERROR(VLOOKUP(DJ35,IN_Zugliste!$A$4:$D$2002,4,FALSE),"")</f>
        <v/>
      </c>
      <c r="DK134" t="str">
        <f>+IFERROR(VLOOKUP(DK35,IN_Zugliste!$A$4:$D$2002,4,FALSE),"")</f>
        <v/>
      </c>
      <c r="DL134" t="str">
        <f>+IFERROR(VLOOKUP(DL35,IN_Zugliste!$A$4:$D$2002,4,FALSE),"")</f>
        <v/>
      </c>
      <c r="DM134" t="str">
        <f>+IFERROR(VLOOKUP(DM35,IN_Zugliste!$A$4:$D$2002,4,FALSE),"")</f>
        <v/>
      </c>
      <c r="DN134" t="str">
        <f>+IFERROR(VLOOKUP(DN35,IN_Zugliste!$A$4:$D$2002,4,FALSE),"")</f>
        <v/>
      </c>
      <c r="DO134" t="str">
        <f>+IFERROR(VLOOKUP(DO35,IN_Zugliste!$A$4:$D$2002,4,FALSE),"")</f>
        <v/>
      </c>
      <c r="DP134" t="str">
        <f>+IFERROR(VLOOKUP(DP35,IN_Zugliste!$A$4:$D$2002,4,FALSE),"")</f>
        <v/>
      </c>
      <c r="DQ134" t="str">
        <f>+IFERROR(VLOOKUP(DQ35,IN_Zugliste!$A$4:$D$2002,4,FALSE),"")</f>
        <v/>
      </c>
      <c r="DR134" t="str">
        <f>+IFERROR(VLOOKUP(DR35,IN_Zugliste!$A$4:$D$2002,4,FALSE),"")</f>
        <v/>
      </c>
      <c r="DS134" t="str">
        <f>+IFERROR(VLOOKUP(DS35,IN_Zugliste!$A$4:$D$2002,4,FALSE),"")</f>
        <v/>
      </c>
      <c r="DT134" t="str">
        <f>+IFERROR(VLOOKUP(DT35,IN_Zugliste!$A$4:$D$2002,4,FALSE),"")</f>
        <v/>
      </c>
      <c r="DU134" t="str">
        <f>+IFERROR(VLOOKUP(DU35,IN_Zugliste!$A$4:$D$2002,4,FALSE),"")</f>
        <v/>
      </c>
      <c r="DV134" t="str">
        <f>+IFERROR(VLOOKUP(DV35,IN_Zugliste!$A$4:$D$2002,4,FALSE),"")</f>
        <v/>
      </c>
      <c r="DW134" t="str">
        <f>+IFERROR(VLOOKUP(DW35,IN_Zugliste!$A$4:$D$2002,4,FALSE),"")</f>
        <v/>
      </c>
      <c r="DX134" t="str">
        <f>+IFERROR(VLOOKUP(DX35,IN_Zugliste!$A$4:$D$2002,4,FALSE),"")</f>
        <v/>
      </c>
      <c r="DY134" t="str">
        <f>+IFERROR(VLOOKUP(DY35,IN_Zugliste!$A$4:$D$2002,4,FALSE),"")</f>
        <v/>
      </c>
      <c r="DZ134" t="str">
        <f>+IFERROR(VLOOKUP(DZ35,IN_Zugliste!$A$4:$D$2002,4,FALSE),"")</f>
        <v/>
      </c>
      <c r="EA134" t="str">
        <f>+IFERROR(VLOOKUP(EA35,IN_Zugliste!$A$4:$D$2002,4,FALSE),"")</f>
        <v/>
      </c>
      <c r="EB134" t="str">
        <f>+IFERROR(VLOOKUP(EB35,IN_Zugliste!$A$4:$D$2002,4,FALSE),"")</f>
        <v/>
      </c>
      <c r="EC134" t="str">
        <f>+IFERROR(VLOOKUP(EC35,IN_Zugliste!$A$4:$D$2002,4,FALSE),"")</f>
        <v/>
      </c>
      <c r="ED134" t="str">
        <f>+IFERROR(VLOOKUP(ED35,IN_Zugliste!$A$4:$D$2002,4,FALSE),"")</f>
        <v/>
      </c>
      <c r="EE134" t="str">
        <f>+IFERROR(VLOOKUP(EE35,IN_Zugliste!$A$4:$D$2002,4,FALSE),"")</f>
        <v/>
      </c>
      <c r="EF134" t="str">
        <f>+IFERROR(VLOOKUP(EF35,IN_Zugliste!$A$4:$D$2002,4,FALSE),"")</f>
        <v/>
      </c>
      <c r="EG134" t="str">
        <f>+IFERROR(VLOOKUP(EG35,IN_Zugliste!$A$4:$D$2002,4,FALSE),"")</f>
        <v/>
      </c>
      <c r="EH134" t="str">
        <f>+IFERROR(VLOOKUP(EH35,IN_Zugliste!$A$4:$D$2002,4,FALSE),"")</f>
        <v/>
      </c>
      <c r="EI134" t="str">
        <f>+IFERROR(VLOOKUP(EI35,IN_Zugliste!$A$4:$D$2002,4,FALSE),"")</f>
        <v/>
      </c>
      <c r="EJ134" t="str">
        <f>+IFERROR(VLOOKUP(EJ35,IN_Zugliste!$A$4:$D$2002,4,FALSE),"")</f>
        <v/>
      </c>
      <c r="EK134" t="str">
        <f>+IFERROR(VLOOKUP(EK35,IN_Zugliste!$A$4:$D$2002,4,FALSE),"")</f>
        <v/>
      </c>
      <c r="EL134" t="str">
        <f>+IFERROR(VLOOKUP(EL35,IN_Zugliste!$A$4:$D$2002,4,FALSE),"")</f>
        <v/>
      </c>
      <c r="EM134" t="str">
        <f>+IFERROR(VLOOKUP(EM35,IN_Zugliste!$A$4:$D$2002,4,FALSE),"")</f>
        <v/>
      </c>
      <c r="EN134" t="str">
        <f>+IFERROR(VLOOKUP(EN35,IN_Zugliste!$A$4:$D$2002,4,FALSE),"")</f>
        <v/>
      </c>
      <c r="EO134" t="str">
        <f>+IFERROR(VLOOKUP(EO35,IN_Zugliste!$A$4:$D$2002,4,FALSE),"")</f>
        <v/>
      </c>
      <c r="EP134" t="str">
        <f>+IFERROR(VLOOKUP(EP35,IN_Zugliste!$A$4:$D$2002,4,FALSE),"")</f>
        <v/>
      </c>
      <c r="EQ134" t="str">
        <f>+IFERROR(VLOOKUP(EQ35,IN_Zugliste!$A$4:$D$2002,4,FALSE),"")</f>
        <v/>
      </c>
      <c r="ER134" t="str">
        <f>+IFERROR(VLOOKUP(ER35,IN_Zugliste!$A$4:$D$2002,4,FALSE),"")</f>
        <v/>
      </c>
      <c r="ES134" t="str">
        <f>+IFERROR(VLOOKUP(ES35,IN_Zugliste!$A$4:$D$2002,4,FALSE),"")</f>
        <v/>
      </c>
      <c r="ET134" t="str">
        <f>+IFERROR(VLOOKUP(ET35,IN_Zugliste!$A$4:$D$2002,4,FALSE),"")</f>
        <v/>
      </c>
      <c r="EU134" t="str">
        <f>+IFERROR(VLOOKUP(EU35,IN_Zugliste!$A$4:$D$2002,4,FALSE),"")</f>
        <v/>
      </c>
      <c r="EV134" t="str">
        <f>+IFERROR(VLOOKUP(EV35,IN_Zugliste!$A$4:$D$2002,4,FALSE),"")</f>
        <v/>
      </c>
      <c r="EW134" t="str">
        <f>+IFERROR(VLOOKUP(EW35,IN_Zugliste!$A$4:$D$2002,4,FALSE),"")</f>
        <v/>
      </c>
      <c r="EX134" t="str">
        <f>+IFERROR(VLOOKUP(EX35,IN_Zugliste!$A$4:$D$2002,4,FALSE),"")</f>
        <v/>
      </c>
      <c r="EY134" t="str">
        <f>+IFERROR(VLOOKUP(EY35,IN_Zugliste!$A$4:$D$2002,4,FALSE),"")</f>
        <v/>
      </c>
      <c r="EZ134" t="str">
        <f>+IFERROR(VLOOKUP(EZ35,IN_Zugliste!$A$4:$D$2002,4,FALSE),"")</f>
        <v/>
      </c>
      <c r="FA134" t="str">
        <f>+IFERROR(VLOOKUP(FA35,IN_Zugliste!$A$4:$D$2002,4,FALSE),"")</f>
        <v/>
      </c>
      <c r="FB134" t="str">
        <f>+IFERROR(VLOOKUP(FB35,IN_Zugliste!$A$4:$D$2002,4,FALSE),"")</f>
        <v/>
      </c>
      <c r="FC134" t="str">
        <f>+IFERROR(VLOOKUP(FC35,IN_Zugliste!$A$4:$D$2002,4,FALSE),"")</f>
        <v/>
      </c>
      <c r="FD134" t="str">
        <f>+IFERROR(VLOOKUP(FD35,IN_Zugliste!$A$4:$D$2002,4,FALSE),"")</f>
        <v/>
      </c>
      <c r="FE134" t="str">
        <f>+IFERROR(VLOOKUP(FE35,IN_Zugliste!$A$4:$D$2002,4,FALSE),"")</f>
        <v/>
      </c>
      <c r="FF134" t="str">
        <f>+IFERROR(VLOOKUP(FF35,IN_Zugliste!$A$4:$D$2002,4,FALSE),"")</f>
        <v/>
      </c>
      <c r="FG134" t="str">
        <f>+IFERROR(VLOOKUP(FG35,IN_Zugliste!$A$4:$D$2002,4,FALSE),"")</f>
        <v/>
      </c>
      <c r="FH134" t="str">
        <f>+IFERROR(VLOOKUP(FH35,IN_Zugliste!$A$4:$D$2002,4,FALSE),"")</f>
        <v/>
      </c>
      <c r="FI134" t="str">
        <f>+IFERROR(VLOOKUP(FI35,IN_Zugliste!$A$4:$D$2002,4,FALSE),"")</f>
        <v/>
      </c>
      <c r="FJ134" t="str">
        <f>+IFERROR(VLOOKUP(FJ35,IN_Zugliste!$A$4:$D$2002,4,FALSE),"")</f>
        <v/>
      </c>
      <c r="FK134" t="str">
        <f>+IFERROR(VLOOKUP(FK35,IN_Zugliste!$A$4:$D$2002,4,FALSE),"")</f>
        <v/>
      </c>
      <c r="FL134" t="str">
        <f>+IFERROR(VLOOKUP(FL35,IN_Zugliste!$A$4:$D$2002,4,FALSE),"")</f>
        <v/>
      </c>
      <c r="FM134" t="str">
        <f>+IFERROR(VLOOKUP(FM35,IN_Zugliste!$A$4:$C$602,4,FALSE),"")</f>
        <v/>
      </c>
      <c r="FN134" t="str">
        <f>+IFERROR(VLOOKUP(FN35,IN_Zugliste!$A$4:$C$602,4,FALSE),"")</f>
        <v/>
      </c>
      <c r="FO134" t="str">
        <f>+IFERROR(VLOOKUP(FO35,IN_Zugliste!$A$4:$C$602,4,FALSE),"")</f>
        <v/>
      </c>
      <c r="FP134" t="str">
        <f>+IFERROR(VLOOKUP(FP35,IN_Zugliste!$A$4:$C$602,4,FALSE),"")</f>
        <v/>
      </c>
      <c r="FQ134" t="str">
        <f>+IFERROR(VLOOKUP(FQ35,IN_Zugliste!$A$4:$C$602,4,FALSE),"")</f>
        <v/>
      </c>
      <c r="FR134" t="str">
        <f>+IFERROR(VLOOKUP(FR35,IN_Zugliste!$A$4:$C$602,4,FALSE),"")</f>
        <v/>
      </c>
      <c r="FS134" t="str">
        <f>+IFERROR(VLOOKUP(FS35,IN_Zugliste!$A$4:$C$602,4,FALSE),"")</f>
        <v/>
      </c>
      <c r="FT134" t="str">
        <f>+IFERROR(VLOOKUP(FT35,IN_Zugliste!$A$4:$C$602,4,FALSE),"")</f>
        <v/>
      </c>
      <c r="FU134" t="str">
        <f>+IFERROR(VLOOKUP(FU35,IN_Zugliste!$A$4:$C$602,4,FALSE),"")</f>
        <v/>
      </c>
      <c r="FV134" t="str">
        <f>+IFERROR(VLOOKUP(FV35,IN_Zugliste!$A$4:$C$602,4,FALSE),"")</f>
        <v/>
      </c>
      <c r="FW134" t="str">
        <f>+IFERROR(VLOOKUP(FW35,IN_Zugliste!$A$4:$C$602,4,FALSE),"")</f>
        <v/>
      </c>
      <c r="FX134" t="str">
        <f>+IFERROR(VLOOKUP(FX35,IN_Zugliste!$A$4:$C$602,4,FALSE),"")</f>
        <v/>
      </c>
      <c r="FY134" t="str">
        <f>+IFERROR(VLOOKUP(FY35,IN_Zugliste!$A$4:$C$602,4,FALSE),"")</f>
        <v/>
      </c>
      <c r="FZ134" t="str">
        <f>+IFERROR(VLOOKUP(FZ35,IN_Zugliste!$A$4:$C$602,4,FALSE),"")</f>
        <v/>
      </c>
      <c r="GA134" t="str">
        <f>+IFERROR(VLOOKUP(GA35,IN_Zugliste!$A$4:$C$602,4,FALSE),"")</f>
        <v/>
      </c>
      <c r="GB134" t="str">
        <f>+IFERROR(VLOOKUP(GB35,IN_Zugliste!$A$4:$C$602,4,FALSE),"")</f>
        <v/>
      </c>
      <c r="GC134" t="str">
        <f>+IFERROR(VLOOKUP(GC35,IN_Zugliste!$A$4:$C$602,4,FALSE),"")</f>
        <v/>
      </c>
      <c r="GD134" t="str">
        <f>+IFERROR(VLOOKUP(GD35,IN_Zugliste!$A$4:$C$602,4,FALSE),"")</f>
        <v/>
      </c>
      <c r="GE134" t="str">
        <f>+IFERROR(VLOOKUP(GE35,IN_Zugliste!$A$4:$C$602,4,FALSE),"")</f>
        <v/>
      </c>
      <c r="GF134" t="str">
        <f>+IFERROR(VLOOKUP(GF35,IN_Zugliste!$A$4:$C$602,4,FALSE),"")</f>
        <v/>
      </c>
      <c r="GG134" t="str">
        <f>+IFERROR(VLOOKUP(GG35,IN_Zugliste!$A$4:$C$602,4,FALSE),"")</f>
        <v/>
      </c>
      <c r="GH134" t="str">
        <f>+IFERROR(VLOOKUP(GH35,IN_Zugliste!$A$4:$C$602,4,FALSE),"")</f>
        <v/>
      </c>
      <c r="GI134" t="str">
        <f>+IFERROR(VLOOKUP(GI35,IN_Zugliste!$A$4:$C$602,4,FALSE),"")</f>
        <v/>
      </c>
      <c r="GJ134" t="str">
        <f>+IFERROR(VLOOKUP(GJ35,IN_Zugliste!$A$4:$C$602,4,FALSE),"")</f>
        <v/>
      </c>
      <c r="GK134" t="str">
        <f>+IFERROR(VLOOKUP(GK35,IN_Zugliste!$A$4:$C$602,4,FALSE),"")</f>
        <v/>
      </c>
      <c r="GL134" t="str">
        <f>+IFERROR(VLOOKUP(GL35,IN_Zugliste!$A$4:$C$602,4,FALSE),"")</f>
        <v/>
      </c>
      <c r="GM134" t="str">
        <f>+IFERROR(VLOOKUP(GM35,IN_Zugliste!$A$4:$C$602,4,FALSE),"")</f>
        <v/>
      </c>
      <c r="GN134" t="str">
        <f>+IFERROR(VLOOKUP(GN35,IN_Zugliste!$A$4:$C$602,4,FALSE),"")</f>
        <v/>
      </c>
      <c r="GO134" t="str">
        <f>+IFERROR(VLOOKUP(GO35,IN_Zugliste!$A$4:$C$602,4,FALSE),"")</f>
        <v/>
      </c>
      <c r="GP134" t="str">
        <f>+IFERROR(VLOOKUP(GP35,IN_Zugliste!$A$4:$C$602,4,FALSE),"")</f>
        <v/>
      </c>
      <c r="GQ134" t="str">
        <f>+IFERROR(VLOOKUP(GQ35,IN_Zugliste!$A$4:$C$602,4,FALSE),"")</f>
        <v/>
      </c>
      <c r="GR134" t="str">
        <f>+IFERROR(VLOOKUP(GR35,IN_Zugliste!$A$4:$C$602,4,FALSE),"")</f>
        <v/>
      </c>
      <c r="GS134" t="str">
        <f>+IFERROR(VLOOKUP(GS35,IN_Zugliste!$A$4:$C$602,4,FALSE),"")</f>
        <v/>
      </c>
      <c r="GT134" t="str">
        <f>+IFERROR(VLOOKUP(GT35,IN_Zugliste!$A$4:$C$602,4,FALSE),"")</f>
        <v/>
      </c>
      <c r="GU134" t="str">
        <f>+IFERROR(VLOOKUP(GU35,IN_Zugliste!$A$4:$C$602,4,FALSE),"")</f>
        <v/>
      </c>
      <c r="GV134" t="str">
        <f>+IFERROR(VLOOKUP(GV35,IN_Zugliste!$A$4:$C$602,4,FALSE),"")</f>
        <v/>
      </c>
      <c r="GW134" t="str">
        <f>+IFERROR(VLOOKUP(GW35,IN_Zugliste!$A$4:$C$602,4,FALSE),"")</f>
        <v/>
      </c>
      <c r="GX134" t="str">
        <f>+IFERROR(VLOOKUP(GX35,IN_Zugliste!$A$4:$C$602,4,FALSE),"")</f>
        <v/>
      </c>
      <c r="GY134" t="str">
        <f>+IFERROR(VLOOKUP(GY35,IN_Zugliste!$A$4:$C$602,4,FALSE),"")</f>
        <v/>
      </c>
      <c r="GZ134" t="str">
        <f>+IFERROR(VLOOKUP(GZ35,IN_Zugliste!$A$4:$C$602,4,FALSE),"")</f>
        <v/>
      </c>
      <c r="HA134" t="str">
        <f>+IFERROR(VLOOKUP(HA35,IN_Zugliste!$A$4:$C$602,4,FALSE),"")</f>
        <v/>
      </c>
      <c r="HB134" t="str">
        <f>+IFERROR(VLOOKUP(HB35,IN_Zugliste!$A$4:$C$602,4,FALSE),"")</f>
        <v/>
      </c>
      <c r="HC134" t="str">
        <f>+IFERROR(VLOOKUP(HC35,IN_Zugliste!$A$4:$C$602,4,FALSE),"")</f>
        <v/>
      </c>
      <c r="HD134" t="str">
        <f>+IFERROR(VLOOKUP(HD35,IN_Zugliste!$A$4:$C$602,4,FALSE),"")</f>
        <v/>
      </c>
      <c r="HE134" t="str">
        <f>+IFERROR(VLOOKUP(HE35,IN_Zugliste!$A$4:$C$602,4,FALSE),"")</f>
        <v/>
      </c>
      <c r="HF134" t="str">
        <f>+IFERROR(VLOOKUP(HF35,IN_Zugliste!$A$4:$C$602,4,FALSE),"")</f>
        <v/>
      </c>
      <c r="HG134" t="str">
        <f>+IFERROR(VLOOKUP(HG35,IN_Zugliste!$A$4:$C$602,4,FALSE),"")</f>
        <v/>
      </c>
      <c r="HH134" t="str">
        <f>+IFERROR(VLOOKUP(HH35,IN_Zugliste!$A$4:$C$602,4,FALSE),"")</f>
        <v/>
      </c>
    </row>
    <row r="135" spans="1:216" x14ac:dyDescent="0.2">
      <c r="A135" t="str">
        <f>+IFERROR(VLOOKUP(A36,IN_Zugliste!$A$4:$D$2002,4,FALSE),"")</f>
        <v/>
      </c>
      <c r="B135" t="str">
        <f>+IFERROR(VLOOKUP(B36,IN_Zugliste!$A$4:$D$2002,4,FALSE),"")</f>
        <v/>
      </c>
      <c r="C135" t="str">
        <f>+IFERROR(VLOOKUP(C36,IN_Zugliste!$A$4:$D$2002,4,FALSE),"")</f>
        <v/>
      </c>
      <c r="D135" t="str">
        <f>+IFERROR(VLOOKUP(D36,IN_Zugliste!$A$4:$D$2002,4,FALSE),"")</f>
        <v/>
      </c>
      <c r="E135" t="str">
        <f>+IFERROR(VLOOKUP(E36,IN_Zugliste!$A$4:$D$2002,4,FALSE),"")</f>
        <v/>
      </c>
      <c r="F135" t="str">
        <f>+IFERROR(VLOOKUP(F36,IN_Zugliste!$A$4:$D$2002,4,FALSE),"")</f>
        <v/>
      </c>
      <c r="G135" t="str">
        <f>+IFERROR(VLOOKUP(G36,IN_Zugliste!$A$4:$D$2002,4,FALSE),"")</f>
        <v/>
      </c>
      <c r="H135" t="str">
        <f>+IFERROR(VLOOKUP(H36,IN_Zugliste!$A$4:$D$2002,4,FALSE),"")</f>
        <v/>
      </c>
      <c r="I135" t="str">
        <f>+IFERROR(VLOOKUP(I36,IN_Zugliste!$A$4:$D$2002,4,FALSE),"")</f>
        <v/>
      </c>
      <c r="J135" t="str">
        <f>+IFERROR(VLOOKUP(J36,IN_Zugliste!$A$4:$D$2002,4,FALSE),"")</f>
        <v/>
      </c>
      <c r="K135" t="str">
        <f>+IFERROR(VLOOKUP(K36,IN_Zugliste!$A$4:$D$2002,4,FALSE),"")</f>
        <v/>
      </c>
      <c r="L135" t="str">
        <f>+IFERROR(VLOOKUP(L36,IN_Zugliste!$A$4:$D$2002,4,FALSE),"")</f>
        <v/>
      </c>
      <c r="M135" t="str">
        <f>+IFERROR(VLOOKUP(M36,IN_Zugliste!$A$4:$D$2002,4,FALSE),"")</f>
        <v/>
      </c>
      <c r="N135" t="str">
        <f>+IFERROR(VLOOKUP(N36,IN_Zugliste!$A$4:$D$2002,4,FALSE),"")</f>
        <v/>
      </c>
      <c r="O135" t="str">
        <f>+IFERROR(VLOOKUP(O36,IN_Zugliste!$A$4:$D$2002,4,FALSE),"")</f>
        <v/>
      </c>
      <c r="P135" t="str">
        <f>+IFERROR(VLOOKUP(P36,IN_Zugliste!$A$4:$D$2002,4,FALSE),"")</f>
        <v/>
      </c>
      <c r="Q135" t="str">
        <f>+IFERROR(VLOOKUP(Q36,IN_Zugliste!$A$4:$D$2002,4,FALSE),"")</f>
        <v/>
      </c>
      <c r="R135" t="str">
        <f>+IFERROR(VLOOKUP(R36,IN_Zugliste!$A$4:$D$2002,4,FALSE),"")</f>
        <v/>
      </c>
      <c r="S135" t="str">
        <f>+IFERROR(VLOOKUP(S36,IN_Zugliste!$A$4:$D$2002,4,FALSE),"")</f>
        <v/>
      </c>
      <c r="T135" t="str">
        <f>+IFERROR(VLOOKUP(T36,IN_Zugliste!$A$4:$D$2002,4,FALSE),"")</f>
        <v/>
      </c>
      <c r="U135" t="str">
        <f>+IFERROR(VLOOKUP(U36,IN_Zugliste!$A$4:$D$2002,4,FALSE),"")</f>
        <v/>
      </c>
      <c r="V135" t="str">
        <f>+IFERROR(VLOOKUP(V36,IN_Zugliste!$A$4:$D$2002,4,FALSE),"")</f>
        <v/>
      </c>
      <c r="W135" t="str">
        <f>+IFERROR(VLOOKUP(W36,IN_Zugliste!$A$4:$D$2002,4,FALSE),"")</f>
        <v/>
      </c>
      <c r="X135" t="str">
        <f>+IFERROR(VLOOKUP(X36,IN_Zugliste!$A$4:$D$2002,4,FALSE),"")</f>
        <v/>
      </c>
      <c r="Y135" t="str">
        <f>+IFERROR(VLOOKUP(Y36,IN_Zugliste!$A$4:$D$2002,4,FALSE),"")</f>
        <v/>
      </c>
      <c r="Z135" t="str">
        <f>+IFERROR(VLOOKUP(Z36,IN_Zugliste!$A$4:$D$2002,4,FALSE),"")</f>
        <v/>
      </c>
      <c r="AA135" t="str">
        <f>+IFERROR(VLOOKUP(AA36,IN_Zugliste!$A$4:$D$2002,4,FALSE),"")</f>
        <v/>
      </c>
      <c r="AB135" t="str">
        <f>+IFERROR(VLOOKUP(AB36,IN_Zugliste!$A$4:$D$2002,4,FALSE),"")</f>
        <v/>
      </c>
      <c r="AC135" t="str">
        <f>+IFERROR(VLOOKUP(AC36,IN_Zugliste!$A$4:$D$2002,4,FALSE),"")</f>
        <v/>
      </c>
      <c r="AD135" t="str">
        <f>+IFERROR(VLOOKUP(AD36,IN_Zugliste!$A$4:$D$2002,4,FALSE),"")</f>
        <v/>
      </c>
      <c r="AE135" t="str">
        <f>+IFERROR(VLOOKUP(AE36,IN_Zugliste!$A$4:$D$2002,4,FALSE),"")</f>
        <v/>
      </c>
      <c r="AF135" t="str">
        <f>+IFERROR(VLOOKUP(AF36,IN_Zugliste!$A$4:$D$2002,4,FALSE),"")</f>
        <v/>
      </c>
      <c r="AG135" t="str">
        <f>+IFERROR(VLOOKUP(AG36,IN_Zugliste!$A$4:$D$2002,4,FALSE),"")</f>
        <v/>
      </c>
      <c r="AH135" t="str">
        <f>+IFERROR(VLOOKUP(AH36,IN_Zugliste!$A$4:$D$2002,4,FALSE),"")</f>
        <v/>
      </c>
      <c r="AI135" t="str">
        <f>+IFERROR(VLOOKUP(AI36,IN_Zugliste!$A$4:$D$2002,4,FALSE),"")</f>
        <v/>
      </c>
      <c r="AJ135" t="str">
        <f>+IFERROR(VLOOKUP(AJ36,IN_Zugliste!$A$4:$D$2002,4,FALSE),"")</f>
        <v/>
      </c>
      <c r="AK135" t="str">
        <f>+IFERROR(VLOOKUP(AK36,IN_Zugliste!$A$4:$D$2002,4,FALSE),"")</f>
        <v/>
      </c>
      <c r="AL135" t="str">
        <f>+IFERROR(VLOOKUP(AL36,IN_Zugliste!$A$4:$D$2002,4,FALSE),"")</f>
        <v/>
      </c>
      <c r="AM135" t="str">
        <f>+IFERROR(VLOOKUP(AM36,IN_Zugliste!$A$4:$D$2002,4,FALSE),"")</f>
        <v/>
      </c>
      <c r="AN135" t="str">
        <f>+IFERROR(VLOOKUP(AN36,IN_Zugliste!$A$4:$D$2002,4,FALSE),"")</f>
        <v/>
      </c>
      <c r="AO135" t="str">
        <f>+IFERROR(VLOOKUP(AO36,IN_Zugliste!$A$4:$D$2002,4,FALSE),"")</f>
        <v/>
      </c>
      <c r="AP135" t="str">
        <f>+IFERROR(VLOOKUP(AP36,IN_Zugliste!$A$4:$D$2002,4,FALSE),"")</f>
        <v/>
      </c>
      <c r="AQ135" t="str">
        <f>+IFERROR(VLOOKUP(AQ36,IN_Zugliste!$A$4:$D$2002,4,FALSE),"")</f>
        <v/>
      </c>
      <c r="AR135" t="str">
        <f>+IFERROR(VLOOKUP(AR36,IN_Zugliste!$A$4:$D$2002,4,FALSE),"")</f>
        <v/>
      </c>
      <c r="AS135" t="str">
        <f>+IFERROR(VLOOKUP(AS36,IN_Zugliste!$A$4:$D$2002,4,FALSE),"")</f>
        <v/>
      </c>
      <c r="AT135" t="str">
        <f>+IFERROR(VLOOKUP(AT36,IN_Zugliste!$A$4:$D$2002,4,FALSE),"")</f>
        <v/>
      </c>
      <c r="AU135" t="str">
        <f>+IFERROR(VLOOKUP(AU36,IN_Zugliste!$A$4:$D$2002,4,FALSE),"")</f>
        <v/>
      </c>
      <c r="AV135" t="str">
        <f>+IFERROR(VLOOKUP(AV36,IN_Zugliste!$A$4:$D$2002,4,FALSE),"")</f>
        <v/>
      </c>
      <c r="AW135" t="str">
        <f>+IFERROR(VLOOKUP(AW36,IN_Zugliste!$A$4:$D$2002,4,FALSE),"")</f>
        <v/>
      </c>
      <c r="AX135" t="str">
        <f>+IFERROR(VLOOKUP(AX36,IN_Zugliste!$A$4:$D$2002,4,FALSE),"")</f>
        <v/>
      </c>
      <c r="AY135" t="str">
        <f>+IFERROR(VLOOKUP(AY36,IN_Zugliste!$A$4:$D$2002,4,FALSE),"")</f>
        <v/>
      </c>
      <c r="AZ135" t="str">
        <f>+IFERROR(VLOOKUP(AZ36,IN_Zugliste!$A$4:$D$2002,4,FALSE),"")</f>
        <v/>
      </c>
      <c r="BA135" t="str">
        <f>+IFERROR(VLOOKUP(BA36,IN_Zugliste!$A$4:$D$2002,4,FALSE),"")</f>
        <v/>
      </c>
      <c r="BB135" t="str">
        <f>+IFERROR(VLOOKUP(BB36,IN_Zugliste!$A$4:$D$2002,4,FALSE),"")</f>
        <v/>
      </c>
      <c r="BC135" t="str">
        <f>+IFERROR(VLOOKUP(BC36,IN_Zugliste!$A$4:$D$2002,4,FALSE),"")</f>
        <v/>
      </c>
      <c r="BD135" t="str">
        <f>+IFERROR(VLOOKUP(BD36,IN_Zugliste!$A$4:$D$2002,4,FALSE),"")</f>
        <v/>
      </c>
      <c r="BE135" t="str">
        <f>+IFERROR(VLOOKUP(BE36,IN_Zugliste!$A$4:$D$2002,4,FALSE),"")</f>
        <v/>
      </c>
      <c r="BF135" t="str">
        <f>+IFERROR(VLOOKUP(BF36,IN_Zugliste!$A$4:$D$2002,4,FALSE),"")</f>
        <v/>
      </c>
      <c r="BG135" t="str">
        <f>+IFERROR(VLOOKUP(BG36,IN_Zugliste!$A$4:$D$2002,4,FALSE),"")</f>
        <v/>
      </c>
      <c r="BH135" t="str">
        <f>+IFERROR(VLOOKUP(BH36,IN_Zugliste!$A$4:$D$2002,4,FALSE),"")</f>
        <v/>
      </c>
      <c r="BI135" t="str">
        <f>+IFERROR(VLOOKUP(BI36,IN_Zugliste!$A$4:$D$2002,4,FALSE),"")</f>
        <v/>
      </c>
      <c r="BJ135" t="str">
        <f>+IFERROR(VLOOKUP(BJ36,IN_Zugliste!$A$4:$D$2002,4,FALSE),"")</f>
        <v/>
      </c>
      <c r="BK135" t="str">
        <f>+IFERROR(VLOOKUP(BK36,IN_Zugliste!$A$4:$D$2002,4,FALSE),"")</f>
        <v/>
      </c>
      <c r="BL135" t="str">
        <f>+IFERROR(VLOOKUP(BL36,IN_Zugliste!$A$4:$D$2002,4,FALSE),"")</f>
        <v/>
      </c>
      <c r="BM135" t="str">
        <f>+IFERROR(VLOOKUP(BM36,IN_Zugliste!$A$4:$D$2002,4,FALSE),"")</f>
        <v/>
      </c>
      <c r="BN135" t="str">
        <f>+IFERROR(VLOOKUP(BN36,IN_Zugliste!$A$4:$D$2002,4,FALSE),"")</f>
        <v/>
      </c>
      <c r="BO135" t="str">
        <f>+IFERROR(VLOOKUP(BO36,IN_Zugliste!$A$4:$D$2002,4,FALSE),"")</f>
        <v/>
      </c>
      <c r="BP135" t="str">
        <f>+IFERROR(VLOOKUP(BP36,IN_Zugliste!$A$4:$D$2002,4,FALSE),"")</f>
        <v/>
      </c>
      <c r="BQ135" t="str">
        <f>+IFERROR(VLOOKUP(BQ36,IN_Zugliste!$A$4:$D$2002,4,FALSE),"")</f>
        <v/>
      </c>
      <c r="BR135" t="str">
        <f>+IFERROR(VLOOKUP(BR36,IN_Zugliste!$A$4:$D$2002,4,FALSE),"")</f>
        <v/>
      </c>
      <c r="BS135" t="str">
        <f>+IFERROR(VLOOKUP(BS36,IN_Zugliste!$A$4:$D$2002,4,FALSE),"")</f>
        <v/>
      </c>
      <c r="BT135" t="str">
        <f>+IFERROR(VLOOKUP(BT36,IN_Zugliste!$A$4:$D$2002,4,FALSE),"")</f>
        <v/>
      </c>
      <c r="BU135" t="str">
        <f>+IFERROR(VLOOKUP(BU36,IN_Zugliste!$A$4:$D$2002,4,FALSE),"")</f>
        <v/>
      </c>
      <c r="BV135" t="str">
        <f>+IFERROR(VLOOKUP(BV36,IN_Zugliste!$A$4:$D$2002,4,FALSE),"")</f>
        <v/>
      </c>
      <c r="BW135" t="str">
        <f>+IFERROR(VLOOKUP(BW36,IN_Zugliste!$A$4:$D$2002,4,FALSE),"")</f>
        <v/>
      </c>
      <c r="BX135" t="str">
        <f>+IFERROR(VLOOKUP(BX36,IN_Zugliste!$A$4:$D$2002,4,FALSE),"")</f>
        <v/>
      </c>
      <c r="BY135" t="str">
        <f>+IFERROR(VLOOKUP(BY36,IN_Zugliste!$A$4:$D$2002,4,FALSE),"")</f>
        <v/>
      </c>
      <c r="BZ135" t="str">
        <f>+IFERROR(VLOOKUP(BZ36,IN_Zugliste!$A$4:$D$2002,4,FALSE),"")</f>
        <v/>
      </c>
      <c r="CA135" t="str">
        <f>+IFERROR(VLOOKUP(CA36,IN_Zugliste!$A$4:$D$2002,4,FALSE),"")</f>
        <v/>
      </c>
      <c r="CB135" t="str">
        <f>+IFERROR(VLOOKUP(CB36,IN_Zugliste!$A$4:$D$2002,4,FALSE),"")</f>
        <v/>
      </c>
      <c r="CC135" t="str">
        <f>+IFERROR(VLOOKUP(CC36,IN_Zugliste!$A$4:$D$2002,4,FALSE),"")</f>
        <v/>
      </c>
      <c r="CD135" t="str">
        <f>+IFERROR(VLOOKUP(CD36,IN_Zugliste!$A$4:$D$2002,4,FALSE),"")</f>
        <v/>
      </c>
      <c r="CE135" t="str">
        <f>+IFERROR(VLOOKUP(CE36,IN_Zugliste!$A$4:$D$2002,4,FALSE),"")</f>
        <v/>
      </c>
      <c r="CF135" t="str">
        <f>+IFERROR(VLOOKUP(CF36,IN_Zugliste!$A$4:$D$2002,4,FALSE),"")</f>
        <v/>
      </c>
      <c r="CG135" t="str">
        <f>+IFERROR(VLOOKUP(CG36,IN_Zugliste!$A$4:$D$2002,4,FALSE),"")</f>
        <v/>
      </c>
      <c r="CH135" t="str">
        <f>+IFERROR(VLOOKUP(CH36,IN_Zugliste!$A$4:$D$2002,4,FALSE),"")</f>
        <v/>
      </c>
      <c r="CI135" t="str">
        <f>+IFERROR(VLOOKUP(CI36,IN_Zugliste!$A$4:$D$2002,4,FALSE),"")</f>
        <v/>
      </c>
      <c r="CJ135" t="str">
        <f>+IFERROR(VLOOKUP(CJ36,IN_Zugliste!$A$4:$D$2002,4,FALSE),"")</f>
        <v/>
      </c>
      <c r="CK135" t="str">
        <f>+IFERROR(VLOOKUP(CK36,IN_Zugliste!$A$4:$D$2002,4,FALSE),"")</f>
        <v/>
      </c>
      <c r="CL135" t="str">
        <f>+IFERROR(VLOOKUP(CL36,IN_Zugliste!$A$4:$D$2002,4,FALSE),"")</f>
        <v/>
      </c>
      <c r="CM135" t="str">
        <f>+IFERROR(VLOOKUP(CM36,IN_Zugliste!$A$4:$D$2002,4,FALSE),"")</f>
        <v/>
      </c>
      <c r="CN135" t="str">
        <f>+IFERROR(VLOOKUP(CN36,IN_Zugliste!$A$4:$D$2002,4,FALSE),"")</f>
        <v/>
      </c>
      <c r="CO135" t="str">
        <f>+IFERROR(VLOOKUP(CO36,IN_Zugliste!$A$4:$D$2002,4,FALSE),"")</f>
        <v/>
      </c>
      <c r="CP135" t="str">
        <f>+IFERROR(VLOOKUP(CP36,IN_Zugliste!$A$4:$D$2002,4,FALSE),"")</f>
        <v/>
      </c>
      <c r="CQ135" t="str">
        <f>+IFERROR(VLOOKUP(CQ36,IN_Zugliste!$A$4:$D$2002,4,FALSE),"")</f>
        <v/>
      </c>
      <c r="CR135" t="str">
        <f>+IFERROR(VLOOKUP(CR36,IN_Zugliste!$A$4:$D$2002,4,FALSE),"")</f>
        <v/>
      </c>
      <c r="CS135" t="str">
        <f>+IFERROR(VLOOKUP(CS36,IN_Zugliste!$A$4:$D$2002,4,FALSE),"")</f>
        <v/>
      </c>
      <c r="CT135" t="str">
        <f>+IFERROR(VLOOKUP(CT36,IN_Zugliste!$A$4:$D$2002,4,FALSE),"")</f>
        <v/>
      </c>
      <c r="CU135" t="str">
        <f>+IFERROR(VLOOKUP(CU36,IN_Zugliste!$A$4:$D$2002,4,FALSE),"")</f>
        <v/>
      </c>
      <c r="CV135" t="str">
        <f>+IFERROR(VLOOKUP(CV36,IN_Zugliste!$A$4:$D$2002,4,FALSE),"")</f>
        <v/>
      </c>
      <c r="CW135" t="str">
        <f>+IFERROR(VLOOKUP(CW36,IN_Zugliste!$A$4:$D$2002,4,FALSE),"")</f>
        <v/>
      </c>
      <c r="CX135" t="str">
        <f>+IFERROR(VLOOKUP(CX36,IN_Zugliste!$A$4:$D$2002,4,FALSE),"")</f>
        <v/>
      </c>
      <c r="CY135" t="str">
        <f>+IFERROR(VLOOKUP(CY36,IN_Zugliste!$A$4:$D$2002,4,FALSE),"")</f>
        <v/>
      </c>
      <c r="CZ135" t="str">
        <f>+IFERROR(VLOOKUP(CZ36,IN_Zugliste!$A$4:$D$2002,4,FALSE),"")</f>
        <v/>
      </c>
      <c r="DA135" t="str">
        <f>+IFERROR(VLOOKUP(DA36,IN_Zugliste!$A$4:$D$2002,4,FALSE),"")</f>
        <v/>
      </c>
      <c r="DB135" t="str">
        <f>+IFERROR(VLOOKUP(DB36,IN_Zugliste!$A$4:$D$2002,4,FALSE),"")</f>
        <v/>
      </c>
      <c r="DC135" t="str">
        <f>+IFERROR(VLOOKUP(DC36,IN_Zugliste!$A$4:$D$2002,4,FALSE),"")</f>
        <v/>
      </c>
      <c r="DD135" t="str">
        <f>+IFERROR(VLOOKUP(DD36,IN_Zugliste!$A$4:$D$2002,4,FALSE),"")</f>
        <v/>
      </c>
      <c r="DE135" t="str">
        <f>+IFERROR(VLOOKUP(DE36,IN_Zugliste!$A$4:$D$2002,4,FALSE),"")</f>
        <v/>
      </c>
      <c r="DF135" t="str">
        <f>+IFERROR(VLOOKUP(DF36,IN_Zugliste!$A$4:$D$2002,4,FALSE),"")</f>
        <v/>
      </c>
      <c r="DG135" t="str">
        <f>+IFERROR(VLOOKUP(DG36,IN_Zugliste!$A$4:$D$2002,4,FALSE),"")</f>
        <v/>
      </c>
      <c r="DH135" t="str">
        <f>+IFERROR(VLOOKUP(DH36,IN_Zugliste!$A$4:$D$2002,4,FALSE),"")</f>
        <v/>
      </c>
      <c r="DI135" t="str">
        <f>+IFERROR(VLOOKUP(DI36,IN_Zugliste!$A$4:$D$2002,4,FALSE),"")</f>
        <v/>
      </c>
      <c r="DJ135" t="str">
        <f>+IFERROR(VLOOKUP(DJ36,IN_Zugliste!$A$4:$D$2002,4,FALSE),"")</f>
        <v/>
      </c>
      <c r="DK135" t="str">
        <f>+IFERROR(VLOOKUP(DK36,IN_Zugliste!$A$4:$D$2002,4,FALSE),"")</f>
        <v/>
      </c>
      <c r="DL135" t="str">
        <f>+IFERROR(VLOOKUP(DL36,IN_Zugliste!$A$4:$D$2002,4,FALSE),"")</f>
        <v/>
      </c>
      <c r="DM135" t="str">
        <f>+IFERROR(VLOOKUP(DM36,IN_Zugliste!$A$4:$D$2002,4,FALSE),"")</f>
        <v/>
      </c>
      <c r="DN135" t="str">
        <f>+IFERROR(VLOOKUP(DN36,IN_Zugliste!$A$4:$D$2002,4,FALSE),"")</f>
        <v/>
      </c>
      <c r="DO135" t="str">
        <f>+IFERROR(VLOOKUP(DO36,IN_Zugliste!$A$4:$D$2002,4,FALSE),"")</f>
        <v/>
      </c>
      <c r="DP135" t="str">
        <f>+IFERROR(VLOOKUP(DP36,IN_Zugliste!$A$4:$D$2002,4,FALSE),"")</f>
        <v/>
      </c>
      <c r="DQ135" t="str">
        <f>+IFERROR(VLOOKUP(DQ36,IN_Zugliste!$A$4:$D$2002,4,FALSE),"")</f>
        <v/>
      </c>
      <c r="DR135" t="str">
        <f>+IFERROR(VLOOKUP(DR36,IN_Zugliste!$A$4:$D$2002,4,FALSE),"")</f>
        <v/>
      </c>
      <c r="DS135" t="str">
        <f>+IFERROR(VLOOKUP(DS36,IN_Zugliste!$A$4:$D$2002,4,FALSE),"")</f>
        <v/>
      </c>
      <c r="DT135" t="str">
        <f>+IFERROR(VLOOKUP(DT36,IN_Zugliste!$A$4:$D$2002,4,FALSE),"")</f>
        <v/>
      </c>
      <c r="DU135" t="str">
        <f>+IFERROR(VLOOKUP(DU36,IN_Zugliste!$A$4:$D$2002,4,FALSE),"")</f>
        <v/>
      </c>
      <c r="DV135" t="str">
        <f>+IFERROR(VLOOKUP(DV36,IN_Zugliste!$A$4:$D$2002,4,FALSE),"")</f>
        <v/>
      </c>
      <c r="DW135" t="str">
        <f>+IFERROR(VLOOKUP(DW36,IN_Zugliste!$A$4:$D$2002,4,FALSE),"")</f>
        <v/>
      </c>
      <c r="DX135" t="str">
        <f>+IFERROR(VLOOKUP(DX36,IN_Zugliste!$A$4:$D$2002,4,FALSE),"")</f>
        <v/>
      </c>
      <c r="DY135" t="str">
        <f>+IFERROR(VLOOKUP(DY36,IN_Zugliste!$A$4:$D$2002,4,FALSE),"")</f>
        <v/>
      </c>
      <c r="DZ135" t="str">
        <f>+IFERROR(VLOOKUP(DZ36,IN_Zugliste!$A$4:$D$2002,4,FALSE),"")</f>
        <v/>
      </c>
      <c r="EA135" t="str">
        <f>+IFERROR(VLOOKUP(EA36,IN_Zugliste!$A$4:$D$2002,4,FALSE),"")</f>
        <v/>
      </c>
      <c r="EB135" t="str">
        <f>+IFERROR(VLOOKUP(EB36,IN_Zugliste!$A$4:$D$2002,4,FALSE),"")</f>
        <v/>
      </c>
      <c r="EC135" t="str">
        <f>+IFERROR(VLOOKUP(EC36,IN_Zugliste!$A$4:$D$2002,4,FALSE),"")</f>
        <v/>
      </c>
      <c r="ED135" t="str">
        <f>+IFERROR(VLOOKUP(ED36,IN_Zugliste!$A$4:$D$2002,4,FALSE),"")</f>
        <v/>
      </c>
      <c r="EE135" t="str">
        <f>+IFERROR(VLOOKUP(EE36,IN_Zugliste!$A$4:$D$2002,4,FALSE),"")</f>
        <v/>
      </c>
      <c r="EF135" t="str">
        <f>+IFERROR(VLOOKUP(EF36,IN_Zugliste!$A$4:$D$2002,4,FALSE),"")</f>
        <v/>
      </c>
      <c r="EG135" t="str">
        <f>+IFERROR(VLOOKUP(EG36,IN_Zugliste!$A$4:$D$2002,4,FALSE),"")</f>
        <v/>
      </c>
      <c r="EH135" t="str">
        <f>+IFERROR(VLOOKUP(EH36,IN_Zugliste!$A$4:$D$2002,4,FALSE),"")</f>
        <v/>
      </c>
      <c r="EI135" t="str">
        <f>+IFERROR(VLOOKUP(EI36,IN_Zugliste!$A$4:$D$2002,4,FALSE),"")</f>
        <v/>
      </c>
      <c r="EJ135" t="str">
        <f>+IFERROR(VLOOKUP(EJ36,IN_Zugliste!$A$4:$D$2002,4,FALSE),"")</f>
        <v/>
      </c>
      <c r="EK135" t="str">
        <f>+IFERROR(VLOOKUP(EK36,IN_Zugliste!$A$4:$D$2002,4,FALSE),"")</f>
        <v/>
      </c>
      <c r="EL135" t="str">
        <f>+IFERROR(VLOOKUP(EL36,IN_Zugliste!$A$4:$D$2002,4,FALSE),"")</f>
        <v/>
      </c>
      <c r="EM135" t="str">
        <f>+IFERROR(VLOOKUP(EM36,IN_Zugliste!$A$4:$D$2002,4,FALSE),"")</f>
        <v/>
      </c>
      <c r="EN135" t="str">
        <f>+IFERROR(VLOOKUP(EN36,IN_Zugliste!$A$4:$D$2002,4,FALSE),"")</f>
        <v/>
      </c>
      <c r="EO135" t="str">
        <f>+IFERROR(VLOOKUP(EO36,IN_Zugliste!$A$4:$D$2002,4,FALSE),"")</f>
        <v/>
      </c>
      <c r="EP135" t="str">
        <f>+IFERROR(VLOOKUP(EP36,IN_Zugliste!$A$4:$D$2002,4,FALSE),"")</f>
        <v/>
      </c>
      <c r="EQ135" t="str">
        <f>+IFERROR(VLOOKUP(EQ36,IN_Zugliste!$A$4:$D$2002,4,FALSE),"")</f>
        <v/>
      </c>
      <c r="ER135" t="str">
        <f>+IFERROR(VLOOKUP(ER36,IN_Zugliste!$A$4:$D$2002,4,FALSE),"")</f>
        <v/>
      </c>
      <c r="ES135" t="str">
        <f>+IFERROR(VLOOKUP(ES36,IN_Zugliste!$A$4:$D$2002,4,FALSE),"")</f>
        <v/>
      </c>
      <c r="ET135" t="str">
        <f>+IFERROR(VLOOKUP(ET36,IN_Zugliste!$A$4:$D$2002,4,FALSE),"")</f>
        <v/>
      </c>
      <c r="EU135" t="str">
        <f>+IFERROR(VLOOKUP(EU36,IN_Zugliste!$A$4:$D$2002,4,FALSE),"")</f>
        <v/>
      </c>
      <c r="EV135" t="str">
        <f>+IFERROR(VLOOKUP(EV36,IN_Zugliste!$A$4:$D$2002,4,FALSE),"")</f>
        <v/>
      </c>
      <c r="EW135" t="str">
        <f>+IFERROR(VLOOKUP(EW36,IN_Zugliste!$A$4:$D$2002,4,FALSE),"")</f>
        <v/>
      </c>
      <c r="EX135" t="str">
        <f>+IFERROR(VLOOKUP(EX36,IN_Zugliste!$A$4:$D$2002,4,FALSE),"")</f>
        <v/>
      </c>
      <c r="EY135" t="str">
        <f>+IFERROR(VLOOKUP(EY36,IN_Zugliste!$A$4:$D$2002,4,FALSE),"")</f>
        <v/>
      </c>
      <c r="EZ135" t="str">
        <f>+IFERROR(VLOOKUP(EZ36,IN_Zugliste!$A$4:$D$2002,4,FALSE),"")</f>
        <v/>
      </c>
      <c r="FA135" t="str">
        <f>+IFERROR(VLOOKUP(FA36,IN_Zugliste!$A$4:$D$2002,4,FALSE),"")</f>
        <v/>
      </c>
      <c r="FB135" t="str">
        <f>+IFERROR(VLOOKUP(FB36,IN_Zugliste!$A$4:$D$2002,4,FALSE),"")</f>
        <v/>
      </c>
      <c r="FC135" t="str">
        <f>+IFERROR(VLOOKUP(FC36,IN_Zugliste!$A$4:$D$2002,4,FALSE),"")</f>
        <v/>
      </c>
      <c r="FD135" t="str">
        <f>+IFERROR(VLOOKUP(FD36,IN_Zugliste!$A$4:$D$2002,4,FALSE),"")</f>
        <v/>
      </c>
      <c r="FE135" t="str">
        <f>+IFERROR(VLOOKUP(FE36,IN_Zugliste!$A$4:$D$2002,4,FALSE),"")</f>
        <v/>
      </c>
      <c r="FF135" t="str">
        <f>+IFERROR(VLOOKUP(FF36,IN_Zugliste!$A$4:$D$2002,4,FALSE),"")</f>
        <v/>
      </c>
      <c r="FG135" t="str">
        <f>+IFERROR(VLOOKUP(FG36,IN_Zugliste!$A$4:$D$2002,4,FALSE),"")</f>
        <v/>
      </c>
      <c r="FH135" t="str">
        <f>+IFERROR(VLOOKUP(FH36,IN_Zugliste!$A$4:$D$2002,4,FALSE),"")</f>
        <v/>
      </c>
      <c r="FI135" t="str">
        <f>+IFERROR(VLOOKUP(FI36,IN_Zugliste!$A$4:$D$2002,4,FALSE),"")</f>
        <v/>
      </c>
      <c r="FJ135" t="str">
        <f>+IFERROR(VLOOKUP(FJ36,IN_Zugliste!$A$4:$D$2002,4,FALSE),"")</f>
        <v/>
      </c>
      <c r="FK135" t="str">
        <f>+IFERROR(VLOOKUP(FK36,IN_Zugliste!$A$4:$D$2002,4,FALSE),"")</f>
        <v/>
      </c>
      <c r="FL135" t="str">
        <f>+IFERROR(VLOOKUP(FL36,IN_Zugliste!$A$4:$D$2002,4,FALSE),"")</f>
        <v/>
      </c>
      <c r="FM135" t="str">
        <f>+IFERROR(VLOOKUP(FM36,IN_Zugliste!$A$4:$C$602,4,FALSE),"")</f>
        <v/>
      </c>
      <c r="FN135" t="str">
        <f>+IFERROR(VLOOKUP(FN36,IN_Zugliste!$A$4:$C$602,4,FALSE),"")</f>
        <v/>
      </c>
      <c r="FO135" t="str">
        <f>+IFERROR(VLOOKUP(FO36,IN_Zugliste!$A$4:$C$602,4,FALSE),"")</f>
        <v/>
      </c>
      <c r="FP135" t="str">
        <f>+IFERROR(VLOOKUP(FP36,IN_Zugliste!$A$4:$C$602,4,FALSE),"")</f>
        <v/>
      </c>
      <c r="FQ135" t="str">
        <f>+IFERROR(VLOOKUP(FQ36,IN_Zugliste!$A$4:$C$602,4,FALSE),"")</f>
        <v/>
      </c>
      <c r="FR135" t="str">
        <f>+IFERROR(VLOOKUP(FR36,IN_Zugliste!$A$4:$C$602,4,FALSE),"")</f>
        <v/>
      </c>
      <c r="FS135" t="str">
        <f>+IFERROR(VLOOKUP(FS36,IN_Zugliste!$A$4:$C$602,4,FALSE),"")</f>
        <v/>
      </c>
      <c r="FT135" t="str">
        <f>+IFERROR(VLOOKUP(FT36,IN_Zugliste!$A$4:$C$602,4,FALSE),"")</f>
        <v/>
      </c>
      <c r="FU135" t="str">
        <f>+IFERROR(VLOOKUP(FU36,IN_Zugliste!$A$4:$C$602,4,FALSE),"")</f>
        <v/>
      </c>
      <c r="FV135" t="str">
        <f>+IFERROR(VLOOKUP(FV36,IN_Zugliste!$A$4:$C$602,4,FALSE),"")</f>
        <v/>
      </c>
      <c r="FW135" t="str">
        <f>+IFERROR(VLOOKUP(FW36,IN_Zugliste!$A$4:$C$602,4,FALSE),"")</f>
        <v/>
      </c>
      <c r="FX135" t="str">
        <f>+IFERROR(VLOOKUP(FX36,IN_Zugliste!$A$4:$C$602,4,FALSE),"")</f>
        <v/>
      </c>
      <c r="FY135" t="str">
        <f>+IFERROR(VLOOKUP(FY36,IN_Zugliste!$A$4:$C$602,4,FALSE),"")</f>
        <v/>
      </c>
      <c r="FZ135" t="str">
        <f>+IFERROR(VLOOKUP(FZ36,IN_Zugliste!$A$4:$C$602,4,FALSE),"")</f>
        <v/>
      </c>
      <c r="GA135" t="str">
        <f>+IFERROR(VLOOKUP(GA36,IN_Zugliste!$A$4:$C$602,4,FALSE),"")</f>
        <v/>
      </c>
      <c r="GB135" t="str">
        <f>+IFERROR(VLOOKUP(GB36,IN_Zugliste!$A$4:$C$602,4,FALSE),"")</f>
        <v/>
      </c>
      <c r="GC135" t="str">
        <f>+IFERROR(VLOOKUP(GC36,IN_Zugliste!$A$4:$C$602,4,FALSE),"")</f>
        <v/>
      </c>
      <c r="GD135" t="str">
        <f>+IFERROR(VLOOKUP(GD36,IN_Zugliste!$A$4:$C$602,4,FALSE),"")</f>
        <v/>
      </c>
      <c r="GE135" t="str">
        <f>+IFERROR(VLOOKUP(GE36,IN_Zugliste!$A$4:$C$602,4,FALSE),"")</f>
        <v/>
      </c>
      <c r="GF135" t="str">
        <f>+IFERROR(VLOOKUP(GF36,IN_Zugliste!$A$4:$C$602,4,FALSE),"")</f>
        <v/>
      </c>
      <c r="GG135" t="str">
        <f>+IFERROR(VLOOKUP(GG36,IN_Zugliste!$A$4:$C$602,4,FALSE),"")</f>
        <v/>
      </c>
      <c r="GH135" t="str">
        <f>+IFERROR(VLOOKUP(GH36,IN_Zugliste!$A$4:$C$602,4,FALSE),"")</f>
        <v/>
      </c>
      <c r="GI135" t="str">
        <f>+IFERROR(VLOOKUP(GI36,IN_Zugliste!$A$4:$C$602,4,FALSE),"")</f>
        <v/>
      </c>
      <c r="GJ135" t="str">
        <f>+IFERROR(VLOOKUP(GJ36,IN_Zugliste!$A$4:$C$602,4,FALSE),"")</f>
        <v/>
      </c>
      <c r="GK135" t="str">
        <f>+IFERROR(VLOOKUP(GK36,IN_Zugliste!$A$4:$C$602,4,FALSE),"")</f>
        <v/>
      </c>
      <c r="GL135" t="str">
        <f>+IFERROR(VLOOKUP(GL36,IN_Zugliste!$A$4:$C$602,4,FALSE),"")</f>
        <v/>
      </c>
      <c r="GM135" t="str">
        <f>+IFERROR(VLOOKUP(GM36,IN_Zugliste!$A$4:$C$602,4,FALSE),"")</f>
        <v/>
      </c>
      <c r="GN135" t="str">
        <f>+IFERROR(VLOOKUP(GN36,IN_Zugliste!$A$4:$C$602,4,FALSE),"")</f>
        <v/>
      </c>
      <c r="GO135" t="str">
        <f>+IFERROR(VLOOKUP(GO36,IN_Zugliste!$A$4:$C$602,4,FALSE),"")</f>
        <v/>
      </c>
      <c r="GP135" t="str">
        <f>+IFERROR(VLOOKUP(GP36,IN_Zugliste!$A$4:$C$602,4,FALSE),"")</f>
        <v/>
      </c>
      <c r="GQ135" t="str">
        <f>+IFERROR(VLOOKUP(GQ36,IN_Zugliste!$A$4:$C$602,4,FALSE),"")</f>
        <v/>
      </c>
      <c r="GR135" t="str">
        <f>+IFERROR(VLOOKUP(GR36,IN_Zugliste!$A$4:$C$602,4,FALSE),"")</f>
        <v/>
      </c>
      <c r="GS135" t="str">
        <f>+IFERROR(VLOOKUP(GS36,IN_Zugliste!$A$4:$C$602,4,FALSE),"")</f>
        <v/>
      </c>
      <c r="GT135" t="str">
        <f>+IFERROR(VLOOKUP(GT36,IN_Zugliste!$A$4:$C$602,4,FALSE),"")</f>
        <v/>
      </c>
      <c r="GU135" t="str">
        <f>+IFERROR(VLOOKUP(GU36,IN_Zugliste!$A$4:$C$602,4,FALSE),"")</f>
        <v/>
      </c>
      <c r="GV135" t="str">
        <f>+IFERROR(VLOOKUP(GV36,IN_Zugliste!$A$4:$C$602,4,FALSE),"")</f>
        <v/>
      </c>
      <c r="GW135" t="str">
        <f>+IFERROR(VLOOKUP(GW36,IN_Zugliste!$A$4:$C$602,4,FALSE),"")</f>
        <v/>
      </c>
      <c r="GX135" t="str">
        <f>+IFERROR(VLOOKUP(GX36,IN_Zugliste!$A$4:$C$602,4,FALSE),"")</f>
        <v/>
      </c>
      <c r="GY135" t="str">
        <f>+IFERROR(VLOOKUP(GY36,IN_Zugliste!$A$4:$C$602,4,FALSE),"")</f>
        <v/>
      </c>
      <c r="GZ135" t="str">
        <f>+IFERROR(VLOOKUP(GZ36,IN_Zugliste!$A$4:$C$602,4,FALSE),"")</f>
        <v/>
      </c>
      <c r="HA135" t="str">
        <f>+IFERROR(VLOOKUP(HA36,IN_Zugliste!$A$4:$C$602,4,FALSE),"")</f>
        <v/>
      </c>
      <c r="HB135" t="str">
        <f>+IFERROR(VLOOKUP(HB36,IN_Zugliste!$A$4:$C$602,4,FALSE),"")</f>
        <v/>
      </c>
      <c r="HC135" t="str">
        <f>+IFERROR(VLOOKUP(HC36,IN_Zugliste!$A$4:$C$602,4,FALSE),"")</f>
        <v/>
      </c>
      <c r="HD135" t="str">
        <f>+IFERROR(VLOOKUP(HD36,IN_Zugliste!$A$4:$C$602,4,FALSE),"")</f>
        <v/>
      </c>
      <c r="HE135" t="str">
        <f>+IFERROR(VLOOKUP(HE36,IN_Zugliste!$A$4:$C$602,4,FALSE),"")</f>
        <v/>
      </c>
      <c r="HF135" t="str">
        <f>+IFERROR(VLOOKUP(HF36,IN_Zugliste!$A$4:$C$602,4,FALSE),"")</f>
        <v/>
      </c>
      <c r="HG135" t="str">
        <f>+IFERROR(VLOOKUP(HG36,IN_Zugliste!$A$4:$C$602,4,FALSE),"")</f>
        <v/>
      </c>
      <c r="HH135" t="str">
        <f>+IFERROR(VLOOKUP(HH36,IN_Zugliste!$A$4:$C$602,4,FALSE),"")</f>
        <v/>
      </c>
    </row>
    <row r="136" spans="1:216" x14ac:dyDescent="0.2">
      <c r="A136" t="str">
        <f>+IFERROR(VLOOKUP(A37,IN_Zugliste!$A$4:$D$2002,4,FALSE),"")</f>
        <v/>
      </c>
      <c r="B136" t="str">
        <f>+IFERROR(VLOOKUP(B37,IN_Zugliste!$A$4:$D$2002,4,FALSE),"")</f>
        <v/>
      </c>
      <c r="C136" t="str">
        <f>+IFERROR(VLOOKUP(C37,IN_Zugliste!$A$4:$D$2002,4,FALSE),"")</f>
        <v/>
      </c>
      <c r="D136" t="str">
        <f>+IFERROR(VLOOKUP(D37,IN_Zugliste!$A$4:$D$2002,4,FALSE),"")</f>
        <v/>
      </c>
      <c r="E136" t="str">
        <f>+IFERROR(VLOOKUP(E37,IN_Zugliste!$A$4:$D$2002,4,FALSE),"")</f>
        <v/>
      </c>
      <c r="F136" t="str">
        <f>+IFERROR(VLOOKUP(F37,IN_Zugliste!$A$4:$D$2002,4,FALSE),"")</f>
        <v/>
      </c>
      <c r="G136" t="str">
        <f>+IFERROR(VLOOKUP(G37,IN_Zugliste!$A$4:$D$2002,4,FALSE),"")</f>
        <v/>
      </c>
      <c r="H136" t="str">
        <f>+IFERROR(VLOOKUP(H37,IN_Zugliste!$A$4:$D$2002,4,FALSE),"")</f>
        <v/>
      </c>
      <c r="I136" t="str">
        <f>+IFERROR(VLOOKUP(I37,IN_Zugliste!$A$4:$D$2002,4,FALSE),"")</f>
        <v/>
      </c>
      <c r="J136" t="str">
        <f>+IFERROR(VLOOKUP(J37,IN_Zugliste!$A$4:$D$2002,4,FALSE),"")</f>
        <v/>
      </c>
      <c r="K136" t="str">
        <f>+IFERROR(VLOOKUP(K37,IN_Zugliste!$A$4:$D$2002,4,FALSE),"")</f>
        <v/>
      </c>
      <c r="L136" t="str">
        <f>+IFERROR(VLOOKUP(L37,IN_Zugliste!$A$4:$D$2002,4,FALSE),"")</f>
        <v/>
      </c>
      <c r="M136" t="str">
        <f>+IFERROR(VLOOKUP(M37,IN_Zugliste!$A$4:$D$2002,4,FALSE),"")</f>
        <v/>
      </c>
      <c r="N136" t="str">
        <f>+IFERROR(VLOOKUP(N37,IN_Zugliste!$A$4:$D$2002,4,FALSE),"")</f>
        <v/>
      </c>
      <c r="O136" t="str">
        <f>+IFERROR(VLOOKUP(O37,IN_Zugliste!$A$4:$D$2002,4,FALSE),"")</f>
        <v/>
      </c>
      <c r="P136" t="str">
        <f>+IFERROR(VLOOKUP(P37,IN_Zugliste!$A$4:$D$2002,4,FALSE),"")</f>
        <v/>
      </c>
      <c r="Q136" t="str">
        <f>+IFERROR(VLOOKUP(Q37,IN_Zugliste!$A$4:$D$2002,4,FALSE),"")</f>
        <v/>
      </c>
      <c r="R136" t="str">
        <f>+IFERROR(VLOOKUP(R37,IN_Zugliste!$A$4:$D$2002,4,FALSE),"")</f>
        <v/>
      </c>
      <c r="S136" t="str">
        <f>+IFERROR(VLOOKUP(S37,IN_Zugliste!$A$4:$D$2002,4,FALSE),"")</f>
        <v/>
      </c>
      <c r="T136" t="str">
        <f>+IFERROR(VLOOKUP(T37,IN_Zugliste!$A$4:$D$2002,4,FALSE),"")</f>
        <v/>
      </c>
      <c r="U136" t="str">
        <f>+IFERROR(VLOOKUP(U37,IN_Zugliste!$A$4:$D$2002,4,FALSE),"")</f>
        <v/>
      </c>
      <c r="V136" t="str">
        <f>+IFERROR(VLOOKUP(V37,IN_Zugliste!$A$4:$D$2002,4,FALSE),"")</f>
        <v/>
      </c>
      <c r="W136" t="str">
        <f>+IFERROR(VLOOKUP(W37,IN_Zugliste!$A$4:$D$2002,4,FALSE),"")</f>
        <v/>
      </c>
      <c r="X136" t="str">
        <f>+IFERROR(VLOOKUP(X37,IN_Zugliste!$A$4:$D$2002,4,FALSE),"")</f>
        <v/>
      </c>
      <c r="Y136" t="str">
        <f>+IFERROR(VLOOKUP(Y37,IN_Zugliste!$A$4:$D$2002,4,FALSE),"")</f>
        <v/>
      </c>
      <c r="Z136" t="str">
        <f>+IFERROR(VLOOKUP(Z37,IN_Zugliste!$A$4:$D$2002,4,FALSE),"")</f>
        <v/>
      </c>
      <c r="AA136" t="str">
        <f>+IFERROR(VLOOKUP(AA37,IN_Zugliste!$A$4:$D$2002,4,FALSE),"")</f>
        <v/>
      </c>
      <c r="AB136" t="str">
        <f>+IFERROR(VLOOKUP(AB37,IN_Zugliste!$A$4:$D$2002,4,FALSE),"")</f>
        <v/>
      </c>
      <c r="AC136" t="str">
        <f>+IFERROR(VLOOKUP(AC37,IN_Zugliste!$A$4:$D$2002,4,FALSE),"")</f>
        <v/>
      </c>
      <c r="AD136" t="str">
        <f>+IFERROR(VLOOKUP(AD37,IN_Zugliste!$A$4:$D$2002,4,FALSE),"")</f>
        <v/>
      </c>
      <c r="AE136" t="str">
        <f>+IFERROR(VLOOKUP(AE37,IN_Zugliste!$A$4:$D$2002,4,FALSE),"")</f>
        <v/>
      </c>
      <c r="AF136" t="str">
        <f>+IFERROR(VLOOKUP(AF37,IN_Zugliste!$A$4:$D$2002,4,FALSE),"")</f>
        <v/>
      </c>
      <c r="AG136" t="str">
        <f>+IFERROR(VLOOKUP(AG37,IN_Zugliste!$A$4:$D$2002,4,FALSE),"")</f>
        <v/>
      </c>
      <c r="AH136" t="str">
        <f>+IFERROR(VLOOKUP(AH37,IN_Zugliste!$A$4:$D$2002,4,FALSE),"")</f>
        <v/>
      </c>
      <c r="AI136" t="str">
        <f>+IFERROR(VLOOKUP(AI37,IN_Zugliste!$A$4:$D$2002,4,FALSE),"")</f>
        <v/>
      </c>
      <c r="AJ136" t="str">
        <f>+IFERROR(VLOOKUP(AJ37,IN_Zugliste!$A$4:$D$2002,4,FALSE),"")</f>
        <v/>
      </c>
      <c r="AK136" t="str">
        <f>+IFERROR(VLOOKUP(AK37,IN_Zugliste!$A$4:$D$2002,4,FALSE),"")</f>
        <v/>
      </c>
      <c r="AL136" t="str">
        <f>+IFERROR(VLOOKUP(AL37,IN_Zugliste!$A$4:$D$2002,4,FALSE),"")</f>
        <v/>
      </c>
      <c r="AM136" t="str">
        <f>+IFERROR(VLOOKUP(AM37,IN_Zugliste!$A$4:$D$2002,4,FALSE),"")</f>
        <v/>
      </c>
      <c r="AN136" t="str">
        <f>+IFERROR(VLOOKUP(AN37,IN_Zugliste!$A$4:$D$2002,4,FALSE),"")</f>
        <v/>
      </c>
      <c r="AO136" t="str">
        <f>+IFERROR(VLOOKUP(AO37,IN_Zugliste!$A$4:$D$2002,4,FALSE),"")</f>
        <v/>
      </c>
      <c r="AP136" t="str">
        <f>+IFERROR(VLOOKUP(AP37,IN_Zugliste!$A$4:$D$2002,4,FALSE),"")</f>
        <v/>
      </c>
      <c r="AQ136" t="str">
        <f>+IFERROR(VLOOKUP(AQ37,IN_Zugliste!$A$4:$D$2002,4,FALSE),"")</f>
        <v/>
      </c>
      <c r="AR136" t="str">
        <f>+IFERROR(VLOOKUP(AR37,IN_Zugliste!$A$4:$D$2002,4,FALSE),"")</f>
        <v/>
      </c>
      <c r="AS136" t="str">
        <f>+IFERROR(VLOOKUP(AS37,IN_Zugliste!$A$4:$D$2002,4,FALSE),"")</f>
        <v/>
      </c>
      <c r="AT136" t="str">
        <f>+IFERROR(VLOOKUP(AT37,IN_Zugliste!$A$4:$D$2002,4,FALSE),"")</f>
        <v/>
      </c>
      <c r="AU136" t="str">
        <f>+IFERROR(VLOOKUP(AU37,IN_Zugliste!$A$4:$D$2002,4,FALSE),"")</f>
        <v/>
      </c>
      <c r="AV136" t="str">
        <f>+IFERROR(VLOOKUP(AV37,IN_Zugliste!$A$4:$D$2002,4,FALSE),"")</f>
        <v/>
      </c>
      <c r="AW136" t="str">
        <f>+IFERROR(VLOOKUP(AW37,IN_Zugliste!$A$4:$D$2002,4,FALSE),"")</f>
        <v/>
      </c>
      <c r="AX136" t="str">
        <f>+IFERROR(VLOOKUP(AX37,IN_Zugliste!$A$4:$D$2002,4,FALSE),"")</f>
        <v/>
      </c>
      <c r="AY136" t="str">
        <f>+IFERROR(VLOOKUP(AY37,IN_Zugliste!$A$4:$D$2002,4,FALSE),"")</f>
        <v/>
      </c>
      <c r="AZ136" t="str">
        <f>+IFERROR(VLOOKUP(AZ37,IN_Zugliste!$A$4:$D$2002,4,FALSE),"")</f>
        <v/>
      </c>
      <c r="BA136" t="str">
        <f>+IFERROR(VLOOKUP(BA37,IN_Zugliste!$A$4:$D$2002,4,FALSE),"")</f>
        <v/>
      </c>
      <c r="BB136" t="str">
        <f>+IFERROR(VLOOKUP(BB37,IN_Zugliste!$A$4:$D$2002,4,FALSE),"")</f>
        <v/>
      </c>
      <c r="BC136" t="str">
        <f>+IFERROR(VLOOKUP(BC37,IN_Zugliste!$A$4:$D$2002,4,FALSE),"")</f>
        <v/>
      </c>
      <c r="BD136" t="str">
        <f>+IFERROR(VLOOKUP(BD37,IN_Zugliste!$A$4:$D$2002,4,FALSE),"")</f>
        <v/>
      </c>
      <c r="BE136" t="str">
        <f>+IFERROR(VLOOKUP(BE37,IN_Zugliste!$A$4:$D$2002,4,FALSE),"")</f>
        <v/>
      </c>
      <c r="BF136" t="str">
        <f>+IFERROR(VLOOKUP(BF37,IN_Zugliste!$A$4:$D$2002,4,FALSE),"")</f>
        <v/>
      </c>
      <c r="BG136" t="str">
        <f>+IFERROR(VLOOKUP(BG37,IN_Zugliste!$A$4:$D$2002,4,FALSE),"")</f>
        <v/>
      </c>
      <c r="BH136" t="str">
        <f>+IFERROR(VLOOKUP(BH37,IN_Zugliste!$A$4:$D$2002,4,FALSE),"")</f>
        <v/>
      </c>
      <c r="BI136" t="str">
        <f>+IFERROR(VLOOKUP(BI37,IN_Zugliste!$A$4:$D$2002,4,FALSE),"")</f>
        <v/>
      </c>
      <c r="BJ136" t="str">
        <f>+IFERROR(VLOOKUP(BJ37,IN_Zugliste!$A$4:$D$2002,4,FALSE),"")</f>
        <v/>
      </c>
      <c r="BK136" t="str">
        <f>+IFERROR(VLOOKUP(BK37,IN_Zugliste!$A$4:$D$2002,4,FALSE),"")</f>
        <v/>
      </c>
      <c r="BL136" t="str">
        <f>+IFERROR(VLOOKUP(BL37,IN_Zugliste!$A$4:$D$2002,4,FALSE),"")</f>
        <v/>
      </c>
      <c r="BM136" t="str">
        <f>+IFERROR(VLOOKUP(BM37,IN_Zugliste!$A$4:$D$2002,4,FALSE),"")</f>
        <v/>
      </c>
      <c r="BN136" t="str">
        <f>+IFERROR(VLOOKUP(BN37,IN_Zugliste!$A$4:$D$2002,4,FALSE),"")</f>
        <v/>
      </c>
      <c r="BO136" t="str">
        <f>+IFERROR(VLOOKUP(BO37,IN_Zugliste!$A$4:$D$2002,4,FALSE),"")</f>
        <v/>
      </c>
      <c r="BP136" t="str">
        <f>+IFERROR(VLOOKUP(BP37,IN_Zugliste!$A$4:$D$2002,4,FALSE),"")</f>
        <v/>
      </c>
      <c r="BQ136" t="str">
        <f>+IFERROR(VLOOKUP(BQ37,IN_Zugliste!$A$4:$D$2002,4,FALSE),"")</f>
        <v/>
      </c>
      <c r="BR136" t="str">
        <f>+IFERROR(VLOOKUP(BR37,IN_Zugliste!$A$4:$D$2002,4,FALSE),"")</f>
        <v/>
      </c>
      <c r="BS136" t="str">
        <f>+IFERROR(VLOOKUP(BS37,IN_Zugliste!$A$4:$D$2002,4,FALSE),"")</f>
        <v/>
      </c>
      <c r="BT136" t="str">
        <f>+IFERROR(VLOOKUP(BT37,IN_Zugliste!$A$4:$D$2002,4,FALSE),"")</f>
        <v/>
      </c>
      <c r="BU136" t="str">
        <f>+IFERROR(VLOOKUP(BU37,IN_Zugliste!$A$4:$D$2002,4,FALSE),"")</f>
        <v/>
      </c>
      <c r="BV136" t="str">
        <f>+IFERROR(VLOOKUP(BV37,IN_Zugliste!$A$4:$D$2002,4,FALSE),"")</f>
        <v/>
      </c>
      <c r="BW136" t="str">
        <f>+IFERROR(VLOOKUP(BW37,IN_Zugliste!$A$4:$D$2002,4,FALSE),"")</f>
        <v/>
      </c>
      <c r="BX136" t="str">
        <f>+IFERROR(VLOOKUP(BX37,IN_Zugliste!$A$4:$D$2002,4,FALSE),"")</f>
        <v/>
      </c>
      <c r="BY136" t="str">
        <f>+IFERROR(VLOOKUP(BY37,IN_Zugliste!$A$4:$D$2002,4,FALSE),"")</f>
        <v/>
      </c>
      <c r="BZ136" t="str">
        <f>+IFERROR(VLOOKUP(BZ37,IN_Zugliste!$A$4:$D$2002,4,FALSE),"")</f>
        <v/>
      </c>
      <c r="CA136" t="str">
        <f>+IFERROR(VLOOKUP(CA37,IN_Zugliste!$A$4:$D$2002,4,FALSE),"")</f>
        <v/>
      </c>
      <c r="CB136" t="str">
        <f>+IFERROR(VLOOKUP(CB37,IN_Zugliste!$A$4:$D$2002,4,FALSE),"")</f>
        <v/>
      </c>
      <c r="CC136" t="str">
        <f>+IFERROR(VLOOKUP(CC37,IN_Zugliste!$A$4:$D$2002,4,FALSE),"")</f>
        <v/>
      </c>
      <c r="CD136" t="str">
        <f>+IFERROR(VLOOKUP(CD37,IN_Zugliste!$A$4:$D$2002,4,FALSE),"")</f>
        <v/>
      </c>
      <c r="CE136" t="str">
        <f>+IFERROR(VLOOKUP(CE37,IN_Zugliste!$A$4:$D$2002,4,FALSE),"")</f>
        <v/>
      </c>
      <c r="CF136" t="str">
        <f>+IFERROR(VLOOKUP(CF37,IN_Zugliste!$A$4:$D$2002,4,FALSE),"")</f>
        <v/>
      </c>
      <c r="CG136" t="str">
        <f>+IFERROR(VLOOKUP(CG37,IN_Zugliste!$A$4:$D$2002,4,FALSE),"")</f>
        <v/>
      </c>
      <c r="CH136" t="str">
        <f>+IFERROR(VLOOKUP(CH37,IN_Zugliste!$A$4:$D$2002,4,FALSE),"")</f>
        <v/>
      </c>
      <c r="CI136" t="str">
        <f>+IFERROR(VLOOKUP(CI37,IN_Zugliste!$A$4:$D$2002,4,FALSE),"")</f>
        <v/>
      </c>
      <c r="CJ136" t="str">
        <f>+IFERROR(VLOOKUP(CJ37,IN_Zugliste!$A$4:$D$2002,4,FALSE),"")</f>
        <v/>
      </c>
      <c r="CK136" t="str">
        <f>+IFERROR(VLOOKUP(CK37,IN_Zugliste!$A$4:$D$2002,4,FALSE),"")</f>
        <v/>
      </c>
      <c r="CL136" t="str">
        <f>+IFERROR(VLOOKUP(CL37,IN_Zugliste!$A$4:$D$2002,4,FALSE),"")</f>
        <v/>
      </c>
      <c r="CM136" t="str">
        <f>+IFERROR(VLOOKUP(CM37,IN_Zugliste!$A$4:$D$2002,4,FALSE),"")</f>
        <v/>
      </c>
      <c r="CN136" t="str">
        <f>+IFERROR(VLOOKUP(CN37,IN_Zugliste!$A$4:$D$2002,4,FALSE),"")</f>
        <v/>
      </c>
      <c r="CO136" t="str">
        <f>+IFERROR(VLOOKUP(CO37,IN_Zugliste!$A$4:$D$2002,4,FALSE),"")</f>
        <v/>
      </c>
      <c r="CP136" t="str">
        <f>+IFERROR(VLOOKUP(CP37,IN_Zugliste!$A$4:$D$2002,4,FALSE),"")</f>
        <v/>
      </c>
      <c r="CQ136" t="str">
        <f>+IFERROR(VLOOKUP(CQ37,IN_Zugliste!$A$4:$D$2002,4,FALSE),"")</f>
        <v/>
      </c>
      <c r="CR136" t="str">
        <f>+IFERROR(VLOOKUP(CR37,IN_Zugliste!$A$4:$D$2002,4,FALSE),"")</f>
        <v/>
      </c>
      <c r="CS136" t="str">
        <f>+IFERROR(VLOOKUP(CS37,IN_Zugliste!$A$4:$D$2002,4,FALSE),"")</f>
        <v/>
      </c>
      <c r="CT136" t="str">
        <f>+IFERROR(VLOOKUP(CT37,IN_Zugliste!$A$4:$D$2002,4,FALSE),"")</f>
        <v/>
      </c>
      <c r="CU136" t="str">
        <f>+IFERROR(VLOOKUP(CU37,IN_Zugliste!$A$4:$D$2002,4,FALSE),"")</f>
        <v/>
      </c>
      <c r="CV136" t="str">
        <f>+IFERROR(VLOOKUP(CV37,IN_Zugliste!$A$4:$D$2002,4,FALSE),"")</f>
        <v/>
      </c>
      <c r="CW136" t="str">
        <f>+IFERROR(VLOOKUP(CW37,IN_Zugliste!$A$4:$D$2002,4,FALSE),"")</f>
        <v/>
      </c>
      <c r="CX136" t="str">
        <f>+IFERROR(VLOOKUP(CX37,IN_Zugliste!$A$4:$D$2002,4,FALSE),"")</f>
        <v/>
      </c>
      <c r="CY136" t="str">
        <f>+IFERROR(VLOOKUP(CY37,IN_Zugliste!$A$4:$D$2002,4,FALSE),"")</f>
        <v/>
      </c>
      <c r="CZ136" t="str">
        <f>+IFERROR(VLOOKUP(CZ37,IN_Zugliste!$A$4:$D$2002,4,FALSE),"")</f>
        <v/>
      </c>
      <c r="DA136" t="str">
        <f>+IFERROR(VLOOKUP(DA37,IN_Zugliste!$A$4:$D$2002,4,FALSE),"")</f>
        <v/>
      </c>
      <c r="DB136" t="str">
        <f>+IFERROR(VLOOKUP(DB37,IN_Zugliste!$A$4:$D$2002,4,FALSE),"")</f>
        <v/>
      </c>
      <c r="DC136" t="str">
        <f>+IFERROR(VLOOKUP(DC37,IN_Zugliste!$A$4:$D$2002,4,FALSE),"")</f>
        <v/>
      </c>
      <c r="DD136" t="str">
        <f>+IFERROR(VLOOKUP(DD37,IN_Zugliste!$A$4:$D$2002,4,FALSE),"")</f>
        <v/>
      </c>
      <c r="DE136" t="str">
        <f>+IFERROR(VLOOKUP(DE37,IN_Zugliste!$A$4:$D$2002,4,FALSE),"")</f>
        <v/>
      </c>
      <c r="DF136" t="str">
        <f>+IFERROR(VLOOKUP(DF37,IN_Zugliste!$A$4:$D$2002,4,FALSE),"")</f>
        <v/>
      </c>
      <c r="DG136" t="str">
        <f>+IFERROR(VLOOKUP(DG37,IN_Zugliste!$A$4:$D$2002,4,FALSE),"")</f>
        <v/>
      </c>
      <c r="DH136" t="str">
        <f>+IFERROR(VLOOKUP(DH37,IN_Zugliste!$A$4:$D$2002,4,FALSE),"")</f>
        <v/>
      </c>
      <c r="DI136" t="str">
        <f>+IFERROR(VLOOKUP(DI37,IN_Zugliste!$A$4:$D$2002,4,FALSE),"")</f>
        <v/>
      </c>
      <c r="DJ136" t="str">
        <f>+IFERROR(VLOOKUP(DJ37,IN_Zugliste!$A$4:$D$2002,4,FALSE),"")</f>
        <v/>
      </c>
      <c r="DK136" t="str">
        <f>+IFERROR(VLOOKUP(DK37,IN_Zugliste!$A$4:$D$2002,4,FALSE),"")</f>
        <v/>
      </c>
      <c r="DL136" t="str">
        <f>+IFERROR(VLOOKUP(DL37,IN_Zugliste!$A$4:$D$2002,4,FALSE),"")</f>
        <v/>
      </c>
      <c r="DM136" t="str">
        <f>+IFERROR(VLOOKUP(DM37,IN_Zugliste!$A$4:$D$2002,4,FALSE),"")</f>
        <v/>
      </c>
      <c r="DN136" t="str">
        <f>+IFERROR(VLOOKUP(DN37,IN_Zugliste!$A$4:$D$2002,4,FALSE),"")</f>
        <v/>
      </c>
      <c r="DO136" t="str">
        <f>+IFERROR(VLOOKUP(DO37,IN_Zugliste!$A$4:$D$2002,4,FALSE),"")</f>
        <v/>
      </c>
      <c r="DP136" t="str">
        <f>+IFERROR(VLOOKUP(DP37,IN_Zugliste!$A$4:$D$2002,4,FALSE),"")</f>
        <v/>
      </c>
      <c r="DQ136" t="str">
        <f>+IFERROR(VLOOKUP(DQ37,IN_Zugliste!$A$4:$D$2002,4,FALSE),"")</f>
        <v/>
      </c>
      <c r="DR136" t="str">
        <f>+IFERROR(VLOOKUP(DR37,IN_Zugliste!$A$4:$D$2002,4,FALSE),"")</f>
        <v/>
      </c>
      <c r="DS136" t="str">
        <f>+IFERROR(VLOOKUP(DS37,IN_Zugliste!$A$4:$D$2002,4,FALSE),"")</f>
        <v/>
      </c>
      <c r="DT136" t="str">
        <f>+IFERROR(VLOOKUP(DT37,IN_Zugliste!$A$4:$D$2002,4,FALSE),"")</f>
        <v/>
      </c>
      <c r="DU136" t="str">
        <f>+IFERROR(VLOOKUP(DU37,IN_Zugliste!$A$4:$D$2002,4,FALSE),"")</f>
        <v/>
      </c>
      <c r="DV136" t="str">
        <f>+IFERROR(VLOOKUP(DV37,IN_Zugliste!$A$4:$D$2002,4,FALSE),"")</f>
        <v/>
      </c>
      <c r="DW136" t="str">
        <f>+IFERROR(VLOOKUP(DW37,IN_Zugliste!$A$4:$D$2002,4,FALSE),"")</f>
        <v/>
      </c>
      <c r="DX136" t="str">
        <f>+IFERROR(VLOOKUP(DX37,IN_Zugliste!$A$4:$D$2002,4,FALSE),"")</f>
        <v/>
      </c>
      <c r="DY136" t="str">
        <f>+IFERROR(VLOOKUP(DY37,IN_Zugliste!$A$4:$D$2002,4,FALSE),"")</f>
        <v/>
      </c>
      <c r="DZ136" t="str">
        <f>+IFERROR(VLOOKUP(DZ37,IN_Zugliste!$A$4:$D$2002,4,FALSE),"")</f>
        <v/>
      </c>
      <c r="EA136" t="str">
        <f>+IFERROR(VLOOKUP(EA37,IN_Zugliste!$A$4:$D$2002,4,FALSE),"")</f>
        <v/>
      </c>
      <c r="EB136" t="str">
        <f>+IFERROR(VLOOKUP(EB37,IN_Zugliste!$A$4:$D$2002,4,FALSE),"")</f>
        <v/>
      </c>
      <c r="EC136" t="str">
        <f>+IFERROR(VLOOKUP(EC37,IN_Zugliste!$A$4:$D$2002,4,FALSE),"")</f>
        <v/>
      </c>
      <c r="ED136" t="str">
        <f>+IFERROR(VLOOKUP(ED37,IN_Zugliste!$A$4:$D$2002,4,FALSE),"")</f>
        <v/>
      </c>
      <c r="EE136" t="str">
        <f>+IFERROR(VLOOKUP(EE37,IN_Zugliste!$A$4:$D$2002,4,FALSE),"")</f>
        <v/>
      </c>
      <c r="EF136" t="str">
        <f>+IFERROR(VLOOKUP(EF37,IN_Zugliste!$A$4:$D$2002,4,FALSE),"")</f>
        <v/>
      </c>
      <c r="EG136" t="str">
        <f>+IFERROR(VLOOKUP(EG37,IN_Zugliste!$A$4:$D$2002,4,FALSE),"")</f>
        <v/>
      </c>
      <c r="EH136" t="str">
        <f>+IFERROR(VLOOKUP(EH37,IN_Zugliste!$A$4:$D$2002,4,FALSE),"")</f>
        <v/>
      </c>
      <c r="EI136" t="str">
        <f>+IFERROR(VLOOKUP(EI37,IN_Zugliste!$A$4:$D$2002,4,FALSE),"")</f>
        <v/>
      </c>
      <c r="EJ136" t="str">
        <f>+IFERROR(VLOOKUP(EJ37,IN_Zugliste!$A$4:$D$2002,4,FALSE),"")</f>
        <v/>
      </c>
      <c r="EK136" t="str">
        <f>+IFERROR(VLOOKUP(EK37,IN_Zugliste!$A$4:$D$2002,4,FALSE),"")</f>
        <v/>
      </c>
      <c r="EL136" t="str">
        <f>+IFERROR(VLOOKUP(EL37,IN_Zugliste!$A$4:$D$2002,4,FALSE),"")</f>
        <v/>
      </c>
      <c r="EM136" t="str">
        <f>+IFERROR(VLOOKUP(EM37,IN_Zugliste!$A$4:$D$2002,4,FALSE),"")</f>
        <v/>
      </c>
      <c r="EN136" t="str">
        <f>+IFERROR(VLOOKUP(EN37,IN_Zugliste!$A$4:$D$2002,4,FALSE),"")</f>
        <v/>
      </c>
      <c r="EO136" t="str">
        <f>+IFERROR(VLOOKUP(EO37,IN_Zugliste!$A$4:$D$2002,4,FALSE),"")</f>
        <v/>
      </c>
      <c r="EP136" t="str">
        <f>+IFERROR(VLOOKUP(EP37,IN_Zugliste!$A$4:$D$2002,4,FALSE),"")</f>
        <v/>
      </c>
      <c r="EQ136" t="str">
        <f>+IFERROR(VLOOKUP(EQ37,IN_Zugliste!$A$4:$D$2002,4,FALSE),"")</f>
        <v/>
      </c>
      <c r="ER136" t="str">
        <f>+IFERROR(VLOOKUP(ER37,IN_Zugliste!$A$4:$D$2002,4,FALSE),"")</f>
        <v/>
      </c>
      <c r="ES136" t="str">
        <f>+IFERROR(VLOOKUP(ES37,IN_Zugliste!$A$4:$D$2002,4,FALSE),"")</f>
        <v/>
      </c>
      <c r="ET136" t="str">
        <f>+IFERROR(VLOOKUP(ET37,IN_Zugliste!$A$4:$D$2002,4,FALSE),"")</f>
        <v/>
      </c>
      <c r="EU136" t="str">
        <f>+IFERROR(VLOOKUP(EU37,IN_Zugliste!$A$4:$D$2002,4,FALSE),"")</f>
        <v/>
      </c>
      <c r="EV136" t="str">
        <f>+IFERROR(VLOOKUP(EV37,IN_Zugliste!$A$4:$D$2002,4,FALSE),"")</f>
        <v/>
      </c>
      <c r="EW136" t="str">
        <f>+IFERROR(VLOOKUP(EW37,IN_Zugliste!$A$4:$D$2002,4,FALSE),"")</f>
        <v/>
      </c>
      <c r="EX136" t="str">
        <f>+IFERROR(VLOOKUP(EX37,IN_Zugliste!$A$4:$D$2002,4,FALSE),"")</f>
        <v/>
      </c>
      <c r="EY136" t="str">
        <f>+IFERROR(VLOOKUP(EY37,IN_Zugliste!$A$4:$D$2002,4,FALSE),"")</f>
        <v/>
      </c>
      <c r="EZ136" t="str">
        <f>+IFERROR(VLOOKUP(EZ37,IN_Zugliste!$A$4:$D$2002,4,FALSE),"")</f>
        <v/>
      </c>
      <c r="FA136" t="str">
        <f>+IFERROR(VLOOKUP(FA37,IN_Zugliste!$A$4:$D$2002,4,FALSE),"")</f>
        <v/>
      </c>
      <c r="FB136" t="str">
        <f>+IFERROR(VLOOKUP(FB37,IN_Zugliste!$A$4:$D$2002,4,FALSE),"")</f>
        <v/>
      </c>
      <c r="FC136" t="str">
        <f>+IFERROR(VLOOKUP(FC37,IN_Zugliste!$A$4:$D$2002,4,FALSE),"")</f>
        <v/>
      </c>
      <c r="FD136" t="str">
        <f>+IFERROR(VLOOKUP(FD37,IN_Zugliste!$A$4:$D$2002,4,FALSE),"")</f>
        <v/>
      </c>
      <c r="FE136" t="str">
        <f>+IFERROR(VLOOKUP(FE37,IN_Zugliste!$A$4:$D$2002,4,FALSE),"")</f>
        <v/>
      </c>
      <c r="FF136" t="str">
        <f>+IFERROR(VLOOKUP(FF37,IN_Zugliste!$A$4:$D$2002,4,FALSE),"")</f>
        <v/>
      </c>
      <c r="FG136" t="str">
        <f>+IFERROR(VLOOKUP(FG37,IN_Zugliste!$A$4:$D$2002,4,FALSE),"")</f>
        <v/>
      </c>
      <c r="FH136" t="str">
        <f>+IFERROR(VLOOKUP(FH37,IN_Zugliste!$A$4:$D$2002,4,FALSE),"")</f>
        <v/>
      </c>
      <c r="FI136" t="str">
        <f>+IFERROR(VLOOKUP(FI37,IN_Zugliste!$A$4:$D$2002,4,FALSE),"")</f>
        <v/>
      </c>
      <c r="FJ136" t="str">
        <f>+IFERROR(VLOOKUP(FJ37,IN_Zugliste!$A$4:$D$2002,4,FALSE),"")</f>
        <v/>
      </c>
      <c r="FK136" t="str">
        <f>+IFERROR(VLOOKUP(FK37,IN_Zugliste!$A$4:$D$2002,4,FALSE),"")</f>
        <v/>
      </c>
      <c r="FL136" t="str">
        <f>+IFERROR(VLOOKUP(FL37,IN_Zugliste!$A$4:$D$2002,4,FALSE),"")</f>
        <v/>
      </c>
      <c r="FM136" t="str">
        <f>+IFERROR(VLOOKUP(FM37,IN_Zugliste!$A$4:$C$602,4,FALSE),"")</f>
        <v/>
      </c>
      <c r="FN136" t="str">
        <f>+IFERROR(VLOOKUP(FN37,IN_Zugliste!$A$4:$C$602,4,FALSE),"")</f>
        <v/>
      </c>
      <c r="FO136" t="str">
        <f>+IFERROR(VLOOKUP(FO37,IN_Zugliste!$A$4:$C$602,4,FALSE),"")</f>
        <v/>
      </c>
      <c r="FP136" t="str">
        <f>+IFERROR(VLOOKUP(FP37,IN_Zugliste!$A$4:$C$602,4,FALSE),"")</f>
        <v/>
      </c>
      <c r="FQ136" t="str">
        <f>+IFERROR(VLOOKUP(FQ37,IN_Zugliste!$A$4:$C$602,4,FALSE),"")</f>
        <v/>
      </c>
      <c r="FR136" t="str">
        <f>+IFERROR(VLOOKUP(FR37,IN_Zugliste!$A$4:$C$602,4,FALSE),"")</f>
        <v/>
      </c>
      <c r="FS136" t="str">
        <f>+IFERROR(VLOOKUP(FS37,IN_Zugliste!$A$4:$C$602,4,FALSE),"")</f>
        <v/>
      </c>
      <c r="FT136" t="str">
        <f>+IFERROR(VLOOKUP(FT37,IN_Zugliste!$A$4:$C$602,4,FALSE),"")</f>
        <v/>
      </c>
      <c r="FU136" t="str">
        <f>+IFERROR(VLOOKUP(FU37,IN_Zugliste!$A$4:$C$602,4,FALSE),"")</f>
        <v/>
      </c>
      <c r="FV136" t="str">
        <f>+IFERROR(VLOOKUP(FV37,IN_Zugliste!$A$4:$C$602,4,FALSE),"")</f>
        <v/>
      </c>
      <c r="FW136" t="str">
        <f>+IFERROR(VLOOKUP(FW37,IN_Zugliste!$A$4:$C$602,4,FALSE),"")</f>
        <v/>
      </c>
      <c r="FX136" t="str">
        <f>+IFERROR(VLOOKUP(FX37,IN_Zugliste!$A$4:$C$602,4,FALSE),"")</f>
        <v/>
      </c>
      <c r="FY136" t="str">
        <f>+IFERROR(VLOOKUP(FY37,IN_Zugliste!$A$4:$C$602,4,FALSE),"")</f>
        <v/>
      </c>
      <c r="FZ136" t="str">
        <f>+IFERROR(VLOOKUP(FZ37,IN_Zugliste!$A$4:$C$602,4,FALSE),"")</f>
        <v/>
      </c>
      <c r="GA136" t="str">
        <f>+IFERROR(VLOOKUP(GA37,IN_Zugliste!$A$4:$C$602,4,FALSE),"")</f>
        <v/>
      </c>
      <c r="GB136" t="str">
        <f>+IFERROR(VLOOKUP(GB37,IN_Zugliste!$A$4:$C$602,4,FALSE),"")</f>
        <v/>
      </c>
      <c r="GC136" t="str">
        <f>+IFERROR(VLOOKUP(GC37,IN_Zugliste!$A$4:$C$602,4,FALSE),"")</f>
        <v/>
      </c>
      <c r="GD136" t="str">
        <f>+IFERROR(VLOOKUP(GD37,IN_Zugliste!$A$4:$C$602,4,FALSE),"")</f>
        <v/>
      </c>
      <c r="GE136" t="str">
        <f>+IFERROR(VLOOKUP(GE37,IN_Zugliste!$A$4:$C$602,4,FALSE),"")</f>
        <v/>
      </c>
      <c r="GF136" t="str">
        <f>+IFERROR(VLOOKUP(GF37,IN_Zugliste!$A$4:$C$602,4,FALSE),"")</f>
        <v/>
      </c>
      <c r="GG136" t="str">
        <f>+IFERROR(VLOOKUP(GG37,IN_Zugliste!$A$4:$C$602,4,FALSE),"")</f>
        <v/>
      </c>
      <c r="GH136" t="str">
        <f>+IFERROR(VLOOKUP(GH37,IN_Zugliste!$A$4:$C$602,4,FALSE),"")</f>
        <v/>
      </c>
      <c r="GI136" t="str">
        <f>+IFERROR(VLOOKUP(GI37,IN_Zugliste!$A$4:$C$602,4,FALSE),"")</f>
        <v/>
      </c>
      <c r="GJ136" t="str">
        <f>+IFERROR(VLOOKUP(GJ37,IN_Zugliste!$A$4:$C$602,4,FALSE),"")</f>
        <v/>
      </c>
      <c r="GK136" t="str">
        <f>+IFERROR(VLOOKUP(GK37,IN_Zugliste!$A$4:$C$602,4,FALSE),"")</f>
        <v/>
      </c>
      <c r="GL136" t="str">
        <f>+IFERROR(VLOOKUP(GL37,IN_Zugliste!$A$4:$C$602,4,FALSE),"")</f>
        <v/>
      </c>
      <c r="GM136" t="str">
        <f>+IFERROR(VLOOKUP(GM37,IN_Zugliste!$A$4:$C$602,4,FALSE),"")</f>
        <v/>
      </c>
      <c r="GN136" t="str">
        <f>+IFERROR(VLOOKUP(GN37,IN_Zugliste!$A$4:$C$602,4,FALSE),"")</f>
        <v/>
      </c>
      <c r="GO136" t="str">
        <f>+IFERROR(VLOOKUP(GO37,IN_Zugliste!$A$4:$C$602,4,FALSE),"")</f>
        <v/>
      </c>
      <c r="GP136" t="str">
        <f>+IFERROR(VLOOKUP(GP37,IN_Zugliste!$A$4:$C$602,4,FALSE),"")</f>
        <v/>
      </c>
      <c r="GQ136" t="str">
        <f>+IFERROR(VLOOKUP(GQ37,IN_Zugliste!$A$4:$C$602,4,FALSE),"")</f>
        <v/>
      </c>
      <c r="GR136" t="str">
        <f>+IFERROR(VLOOKUP(GR37,IN_Zugliste!$A$4:$C$602,4,FALSE),"")</f>
        <v/>
      </c>
      <c r="GS136" t="str">
        <f>+IFERROR(VLOOKUP(GS37,IN_Zugliste!$A$4:$C$602,4,FALSE),"")</f>
        <v/>
      </c>
      <c r="GT136" t="str">
        <f>+IFERROR(VLOOKUP(GT37,IN_Zugliste!$A$4:$C$602,4,FALSE),"")</f>
        <v/>
      </c>
      <c r="GU136" t="str">
        <f>+IFERROR(VLOOKUP(GU37,IN_Zugliste!$A$4:$C$602,4,FALSE),"")</f>
        <v/>
      </c>
      <c r="GV136" t="str">
        <f>+IFERROR(VLOOKUP(GV37,IN_Zugliste!$A$4:$C$602,4,FALSE),"")</f>
        <v/>
      </c>
      <c r="GW136" t="str">
        <f>+IFERROR(VLOOKUP(GW37,IN_Zugliste!$A$4:$C$602,4,FALSE),"")</f>
        <v/>
      </c>
      <c r="GX136" t="str">
        <f>+IFERROR(VLOOKUP(GX37,IN_Zugliste!$A$4:$C$602,4,FALSE),"")</f>
        <v/>
      </c>
      <c r="GY136" t="str">
        <f>+IFERROR(VLOOKUP(GY37,IN_Zugliste!$A$4:$C$602,4,FALSE),"")</f>
        <v/>
      </c>
      <c r="GZ136" t="str">
        <f>+IFERROR(VLOOKUP(GZ37,IN_Zugliste!$A$4:$C$602,4,FALSE),"")</f>
        <v/>
      </c>
      <c r="HA136" t="str">
        <f>+IFERROR(VLOOKUP(HA37,IN_Zugliste!$A$4:$C$602,4,FALSE),"")</f>
        <v/>
      </c>
      <c r="HB136" t="str">
        <f>+IFERROR(VLOOKUP(HB37,IN_Zugliste!$A$4:$C$602,4,FALSE),"")</f>
        <v/>
      </c>
      <c r="HC136" t="str">
        <f>+IFERROR(VLOOKUP(HC37,IN_Zugliste!$A$4:$C$602,4,FALSE),"")</f>
        <v/>
      </c>
      <c r="HD136" t="str">
        <f>+IFERROR(VLOOKUP(HD37,IN_Zugliste!$A$4:$C$602,4,FALSE),"")</f>
        <v/>
      </c>
      <c r="HE136" t="str">
        <f>+IFERROR(VLOOKUP(HE37,IN_Zugliste!$A$4:$C$602,4,FALSE),"")</f>
        <v/>
      </c>
      <c r="HF136" t="str">
        <f>+IFERROR(VLOOKUP(HF37,IN_Zugliste!$A$4:$C$602,4,FALSE),"")</f>
        <v/>
      </c>
      <c r="HG136" t="str">
        <f>+IFERROR(VLOOKUP(HG37,IN_Zugliste!$A$4:$C$602,4,FALSE),"")</f>
        <v/>
      </c>
      <c r="HH136" t="str">
        <f>+IFERROR(VLOOKUP(HH37,IN_Zugliste!$A$4:$C$602,4,FALSE),"")</f>
        <v/>
      </c>
    </row>
    <row r="137" spans="1:216" x14ac:dyDescent="0.2">
      <c r="A137" t="str">
        <f>+IFERROR(VLOOKUP(A38,IN_Zugliste!$A$4:$D$2002,4,FALSE),"")</f>
        <v/>
      </c>
      <c r="B137" t="str">
        <f>+IFERROR(VLOOKUP(B38,IN_Zugliste!$A$4:$D$2002,4,FALSE),"")</f>
        <v/>
      </c>
      <c r="C137" t="str">
        <f>+IFERROR(VLOOKUP(C38,IN_Zugliste!$A$4:$D$2002,4,FALSE),"")</f>
        <v/>
      </c>
      <c r="D137" t="str">
        <f>+IFERROR(VLOOKUP(D38,IN_Zugliste!$A$4:$D$2002,4,FALSE),"")</f>
        <v/>
      </c>
      <c r="E137" t="str">
        <f>+IFERROR(VLOOKUP(E38,IN_Zugliste!$A$4:$D$2002,4,FALSE),"")</f>
        <v/>
      </c>
      <c r="F137" t="str">
        <f>+IFERROR(VLOOKUP(F38,IN_Zugliste!$A$4:$D$2002,4,FALSE),"")</f>
        <v/>
      </c>
      <c r="G137" t="str">
        <f>+IFERROR(VLOOKUP(G38,IN_Zugliste!$A$4:$D$2002,4,FALSE),"")</f>
        <v/>
      </c>
      <c r="H137" t="str">
        <f>+IFERROR(VLOOKUP(H38,IN_Zugliste!$A$4:$D$2002,4,FALSE),"")</f>
        <v/>
      </c>
      <c r="I137" t="str">
        <f>+IFERROR(VLOOKUP(I38,IN_Zugliste!$A$4:$D$2002,4,FALSE),"")</f>
        <v/>
      </c>
      <c r="J137" t="str">
        <f>+IFERROR(VLOOKUP(J38,IN_Zugliste!$A$4:$D$2002,4,FALSE),"")</f>
        <v/>
      </c>
      <c r="K137" t="str">
        <f>+IFERROR(VLOOKUP(K38,IN_Zugliste!$A$4:$D$2002,4,FALSE),"")</f>
        <v/>
      </c>
      <c r="L137" t="str">
        <f>+IFERROR(VLOOKUP(L38,IN_Zugliste!$A$4:$D$2002,4,FALSE),"")</f>
        <v/>
      </c>
      <c r="M137" t="str">
        <f>+IFERROR(VLOOKUP(M38,IN_Zugliste!$A$4:$D$2002,4,FALSE),"")</f>
        <v/>
      </c>
      <c r="N137" t="str">
        <f>+IFERROR(VLOOKUP(N38,IN_Zugliste!$A$4:$D$2002,4,FALSE),"")</f>
        <v/>
      </c>
      <c r="O137" t="str">
        <f>+IFERROR(VLOOKUP(O38,IN_Zugliste!$A$4:$D$2002,4,FALSE),"")</f>
        <v/>
      </c>
      <c r="P137" t="str">
        <f>+IFERROR(VLOOKUP(P38,IN_Zugliste!$A$4:$D$2002,4,FALSE),"")</f>
        <v/>
      </c>
      <c r="Q137" t="str">
        <f>+IFERROR(VLOOKUP(Q38,IN_Zugliste!$A$4:$D$2002,4,FALSE),"")</f>
        <v/>
      </c>
      <c r="R137" t="str">
        <f>+IFERROR(VLOOKUP(R38,IN_Zugliste!$A$4:$D$2002,4,FALSE),"")</f>
        <v/>
      </c>
      <c r="S137" t="str">
        <f>+IFERROR(VLOOKUP(S38,IN_Zugliste!$A$4:$D$2002,4,FALSE),"")</f>
        <v/>
      </c>
      <c r="T137" t="str">
        <f>+IFERROR(VLOOKUP(T38,IN_Zugliste!$A$4:$D$2002,4,FALSE),"")</f>
        <v/>
      </c>
      <c r="U137" t="str">
        <f>+IFERROR(VLOOKUP(U38,IN_Zugliste!$A$4:$D$2002,4,FALSE),"")</f>
        <v/>
      </c>
      <c r="V137" t="str">
        <f>+IFERROR(VLOOKUP(V38,IN_Zugliste!$A$4:$D$2002,4,FALSE),"")</f>
        <v/>
      </c>
      <c r="W137" t="str">
        <f>+IFERROR(VLOOKUP(W38,IN_Zugliste!$A$4:$D$2002,4,FALSE),"")</f>
        <v/>
      </c>
      <c r="X137" t="str">
        <f>+IFERROR(VLOOKUP(X38,IN_Zugliste!$A$4:$D$2002,4,FALSE),"")</f>
        <v/>
      </c>
      <c r="Y137" t="str">
        <f>+IFERROR(VLOOKUP(Y38,IN_Zugliste!$A$4:$D$2002,4,FALSE),"")</f>
        <v/>
      </c>
      <c r="Z137" t="str">
        <f>+IFERROR(VLOOKUP(Z38,IN_Zugliste!$A$4:$D$2002,4,FALSE),"")</f>
        <v/>
      </c>
      <c r="AA137" t="str">
        <f>+IFERROR(VLOOKUP(AA38,IN_Zugliste!$A$4:$D$2002,4,FALSE),"")</f>
        <v/>
      </c>
      <c r="AB137" t="str">
        <f>+IFERROR(VLOOKUP(AB38,IN_Zugliste!$A$4:$D$2002,4,FALSE),"")</f>
        <v/>
      </c>
      <c r="AC137" t="str">
        <f>+IFERROR(VLOOKUP(AC38,IN_Zugliste!$A$4:$D$2002,4,FALSE),"")</f>
        <v/>
      </c>
      <c r="AD137" t="str">
        <f>+IFERROR(VLOOKUP(AD38,IN_Zugliste!$A$4:$D$2002,4,FALSE),"")</f>
        <v/>
      </c>
      <c r="AE137" t="str">
        <f>+IFERROR(VLOOKUP(AE38,IN_Zugliste!$A$4:$D$2002,4,FALSE),"")</f>
        <v/>
      </c>
      <c r="AF137" t="str">
        <f>+IFERROR(VLOOKUP(AF38,IN_Zugliste!$A$4:$D$2002,4,FALSE),"")</f>
        <v/>
      </c>
      <c r="AG137" t="str">
        <f>+IFERROR(VLOOKUP(AG38,IN_Zugliste!$A$4:$D$2002,4,FALSE),"")</f>
        <v/>
      </c>
      <c r="AH137" t="str">
        <f>+IFERROR(VLOOKUP(AH38,IN_Zugliste!$A$4:$D$2002,4,FALSE),"")</f>
        <v/>
      </c>
      <c r="AI137" t="str">
        <f>+IFERROR(VLOOKUP(AI38,IN_Zugliste!$A$4:$D$2002,4,FALSE),"")</f>
        <v/>
      </c>
      <c r="AJ137" t="str">
        <f>+IFERROR(VLOOKUP(AJ38,IN_Zugliste!$A$4:$D$2002,4,FALSE),"")</f>
        <v/>
      </c>
      <c r="AK137" t="str">
        <f>+IFERROR(VLOOKUP(AK38,IN_Zugliste!$A$4:$D$2002,4,FALSE),"")</f>
        <v/>
      </c>
      <c r="AL137" t="str">
        <f>+IFERROR(VLOOKUP(AL38,IN_Zugliste!$A$4:$D$2002,4,FALSE),"")</f>
        <v/>
      </c>
      <c r="AM137" t="str">
        <f>+IFERROR(VLOOKUP(AM38,IN_Zugliste!$A$4:$D$2002,4,FALSE),"")</f>
        <v/>
      </c>
      <c r="AN137" t="str">
        <f>+IFERROR(VLOOKUP(AN38,IN_Zugliste!$A$4:$D$2002,4,FALSE),"")</f>
        <v/>
      </c>
      <c r="AO137" t="str">
        <f>+IFERROR(VLOOKUP(AO38,IN_Zugliste!$A$4:$D$2002,4,FALSE),"")</f>
        <v/>
      </c>
      <c r="AP137" t="str">
        <f>+IFERROR(VLOOKUP(AP38,IN_Zugliste!$A$4:$D$2002,4,FALSE),"")</f>
        <v/>
      </c>
      <c r="AQ137" t="str">
        <f>+IFERROR(VLOOKUP(AQ38,IN_Zugliste!$A$4:$D$2002,4,FALSE),"")</f>
        <v/>
      </c>
      <c r="AR137" t="str">
        <f>+IFERROR(VLOOKUP(AR38,IN_Zugliste!$A$4:$D$2002,4,FALSE),"")</f>
        <v/>
      </c>
      <c r="AS137" t="str">
        <f>+IFERROR(VLOOKUP(AS38,IN_Zugliste!$A$4:$D$2002,4,FALSE),"")</f>
        <v/>
      </c>
      <c r="AT137" t="str">
        <f>+IFERROR(VLOOKUP(AT38,IN_Zugliste!$A$4:$D$2002,4,FALSE),"")</f>
        <v/>
      </c>
      <c r="AU137" t="str">
        <f>+IFERROR(VLOOKUP(AU38,IN_Zugliste!$A$4:$D$2002,4,FALSE),"")</f>
        <v/>
      </c>
      <c r="AV137" t="str">
        <f>+IFERROR(VLOOKUP(AV38,IN_Zugliste!$A$4:$D$2002,4,FALSE),"")</f>
        <v/>
      </c>
      <c r="AW137" t="str">
        <f>+IFERROR(VLOOKUP(AW38,IN_Zugliste!$A$4:$D$2002,4,FALSE),"")</f>
        <v/>
      </c>
      <c r="AX137" t="str">
        <f>+IFERROR(VLOOKUP(AX38,IN_Zugliste!$A$4:$D$2002,4,FALSE),"")</f>
        <v/>
      </c>
      <c r="AY137" t="str">
        <f>+IFERROR(VLOOKUP(AY38,IN_Zugliste!$A$4:$D$2002,4,FALSE),"")</f>
        <v/>
      </c>
      <c r="AZ137" t="str">
        <f>+IFERROR(VLOOKUP(AZ38,IN_Zugliste!$A$4:$D$2002,4,FALSE),"")</f>
        <v/>
      </c>
      <c r="BA137" t="str">
        <f>+IFERROR(VLOOKUP(BA38,IN_Zugliste!$A$4:$D$2002,4,FALSE),"")</f>
        <v/>
      </c>
      <c r="BB137" t="str">
        <f>+IFERROR(VLOOKUP(BB38,IN_Zugliste!$A$4:$D$2002,4,FALSE),"")</f>
        <v/>
      </c>
      <c r="BC137" t="str">
        <f>+IFERROR(VLOOKUP(BC38,IN_Zugliste!$A$4:$D$2002,4,FALSE),"")</f>
        <v/>
      </c>
      <c r="BD137" t="str">
        <f>+IFERROR(VLOOKUP(BD38,IN_Zugliste!$A$4:$D$2002,4,FALSE),"")</f>
        <v/>
      </c>
      <c r="BE137" t="str">
        <f>+IFERROR(VLOOKUP(BE38,IN_Zugliste!$A$4:$D$2002,4,FALSE),"")</f>
        <v/>
      </c>
      <c r="BF137" t="str">
        <f>+IFERROR(VLOOKUP(BF38,IN_Zugliste!$A$4:$D$2002,4,FALSE),"")</f>
        <v/>
      </c>
      <c r="BG137" t="str">
        <f>+IFERROR(VLOOKUP(BG38,IN_Zugliste!$A$4:$D$2002,4,FALSE),"")</f>
        <v/>
      </c>
      <c r="BH137" t="str">
        <f>+IFERROR(VLOOKUP(BH38,IN_Zugliste!$A$4:$D$2002,4,FALSE),"")</f>
        <v/>
      </c>
      <c r="BI137" t="str">
        <f>+IFERROR(VLOOKUP(BI38,IN_Zugliste!$A$4:$D$2002,4,FALSE),"")</f>
        <v/>
      </c>
      <c r="BJ137" t="str">
        <f>+IFERROR(VLOOKUP(BJ38,IN_Zugliste!$A$4:$D$2002,4,FALSE),"")</f>
        <v/>
      </c>
      <c r="BK137" t="str">
        <f>+IFERROR(VLOOKUP(BK38,IN_Zugliste!$A$4:$D$2002,4,FALSE),"")</f>
        <v/>
      </c>
      <c r="BL137" t="str">
        <f>+IFERROR(VLOOKUP(BL38,IN_Zugliste!$A$4:$D$2002,4,FALSE),"")</f>
        <v/>
      </c>
      <c r="BM137" t="str">
        <f>+IFERROR(VLOOKUP(BM38,IN_Zugliste!$A$4:$D$2002,4,FALSE),"")</f>
        <v/>
      </c>
      <c r="BN137" t="str">
        <f>+IFERROR(VLOOKUP(BN38,IN_Zugliste!$A$4:$D$2002,4,FALSE),"")</f>
        <v/>
      </c>
      <c r="BO137" t="str">
        <f>+IFERROR(VLOOKUP(BO38,IN_Zugliste!$A$4:$D$2002,4,FALSE),"")</f>
        <v/>
      </c>
      <c r="BP137" t="str">
        <f>+IFERROR(VLOOKUP(BP38,IN_Zugliste!$A$4:$D$2002,4,FALSE),"")</f>
        <v/>
      </c>
      <c r="BQ137" t="str">
        <f>+IFERROR(VLOOKUP(BQ38,IN_Zugliste!$A$4:$D$2002,4,FALSE),"")</f>
        <v/>
      </c>
      <c r="BR137" t="str">
        <f>+IFERROR(VLOOKUP(BR38,IN_Zugliste!$A$4:$D$2002,4,FALSE),"")</f>
        <v/>
      </c>
      <c r="BS137" t="str">
        <f>+IFERROR(VLOOKUP(BS38,IN_Zugliste!$A$4:$D$2002,4,FALSE),"")</f>
        <v/>
      </c>
      <c r="BT137" t="str">
        <f>+IFERROR(VLOOKUP(BT38,IN_Zugliste!$A$4:$D$2002,4,FALSE),"")</f>
        <v/>
      </c>
      <c r="BU137" t="str">
        <f>+IFERROR(VLOOKUP(BU38,IN_Zugliste!$A$4:$D$2002,4,FALSE),"")</f>
        <v/>
      </c>
      <c r="BV137" t="str">
        <f>+IFERROR(VLOOKUP(BV38,IN_Zugliste!$A$4:$D$2002,4,FALSE),"")</f>
        <v/>
      </c>
      <c r="BW137" t="str">
        <f>+IFERROR(VLOOKUP(BW38,IN_Zugliste!$A$4:$D$2002,4,FALSE),"")</f>
        <v/>
      </c>
      <c r="BX137" t="str">
        <f>+IFERROR(VLOOKUP(BX38,IN_Zugliste!$A$4:$D$2002,4,FALSE),"")</f>
        <v/>
      </c>
      <c r="BY137" t="str">
        <f>+IFERROR(VLOOKUP(BY38,IN_Zugliste!$A$4:$D$2002,4,FALSE),"")</f>
        <v/>
      </c>
      <c r="BZ137" t="str">
        <f>+IFERROR(VLOOKUP(BZ38,IN_Zugliste!$A$4:$D$2002,4,FALSE),"")</f>
        <v/>
      </c>
      <c r="CA137" t="str">
        <f>+IFERROR(VLOOKUP(CA38,IN_Zugliste!$A$4:$D$2002,4,FALSE),"")</f>
        <v/>
      </c>
      <c r="CB137" t="str">
        <f>+IFERROR(VLOOKUP(CB38,IN_Zugliste!$A$4:$D$2002,4,FALSE),"")</f>
        <v/>
      </c>
      <c r="CC137" t="str">
        <f>+IFERROR(VLOOKUP(CC38,IN_Zugliste!$A$4:$D$2002,4,FALSE),"")</f>
        <v/>
      </c>
      <c r="CD137" t="str">
        <f>+IFERROR(VLOOKUP(CD38,IN_Zugliste!$A$4:$D$2002,4,FALSE),"")</f>
        <v/>
      </c>
      <c r="CE137" t="str">
        <f>+IFERROR(VLOOKUP(CE38,IN_Zugliste!$A$4:$D$2002,4,FALSE),"")</f>
        <v/>
      </c>
      <c r="CF137" t="str">
        <f>+IFERROR(VLOOKUP(CF38,IN_Zugliste!$A$4:$D$2002,4,FALSE),"")</f>
        <v/>
      </c>
      <c r="CG137" t="str">
        <f>+IFERROR(VLOOKUP(CG38,IN_Zugliste!$A$4:$D$2002,4,FALSE),"")</f>
        <v/>
      </c>
      <c r="CH137" t="str">
        <f>+IFERROR(VLOOKUP(CH38,IN_Zugliste!$A$4:$D$2002,4,FALSE),"")</f>
        <v/>
      </c>
      <c r="CI137" t="str">
        <f>+IFERROR(VLOOKUP(CI38,IN_Zugliste!$A$4:$D$2002,4,FALSE),"")</f>
        <v/>
      </c>
      <c r="CJ137" t="str">
        <f>+IFERROR(VLOOKUP(CJ38,IN_Zugliste!$A$4:$D$2002,4,FALSE),"")</f>
        <v/>
      </c>
      <c r="CK137" t="str">
        <f>+IFERROR(VLOOKUP(CK38,IN_Zugliste!$A$4:$D$2002,4,FALSE),"")</f>
        <v/>
      </c>
      <c r="CL137" t="str">
        <f>+IFERROR(VLOOKUP(CL38,IN_Zugliste!$A$4:$D$2002,4,FALSE),"")</f>
        <v/>
      </c>
      <c r="CM137" t="str">
        <f>+IFERROR(VLOOKUP(CM38,IN_Zugliste!$A$4:$D$2002,4,FALSE),"")</f>
        <v/>
      </c>
      <c r="CN137" t="str">
        <f>+IFERROR(VLOOKUP(CN38,IN_Zugliste!$A$4:$D$2002,4,FALSE),"")</f>
        <v/>
      </c>
      <c r="CO137" t="str">
        <f>+IFERROR(VLOOKUP(CO38,IN_Zugliste!$A$4:$D$2002,4,FALSE),"")</f>
        <v/>
      </c>
      <c r="CP137" t="str">
        <f>+IFERROR(VLOOKUP(CP38,IN_Zugliste!$A$4:$D$2002,4,FALSE),"")</f>
        <v/>
      </c>
      <c r="CQ137" t="str">
        <f>+IFERROR(VLOOKUP(CQ38,IN_Zugliste!$A$4:$D$2002,4,FALSE),"")</f>
        <v/>
      </c>
      <c r="CR137" t="str">
        <f>+IFERROR(VLOOKUP(CR38,IN_Zugliste!$A$4:$D$2002,4,FALSE),"")</f>
        <v/>
      </c>
      <c r="CS137" t="str">
        <f>+IFERROR(VLOOKUP(CS38,IN_Zugliste!$A$4:$D$2002,4,FALSE),"")</f>
        <v/>
      </c>
      <c r="CT137" t="str">
        <f>+IFERROR(VLOOKUP(CT38,IN_Zugliste!$A$4:$D$2002,4,FALSE),"")</f>
        <v/>
      </c>
      <c r="CU137" t="str">
        <f>+IFERROR(VLOOKUP(CU38,IN_Zugliste!$A$4:$D$2002,4,FALSE),"")</f>
        <v/>
      </c>
      <c r="CV137" t="str">
        <f>+IFERROR(VLOOKUP(CV38,IN_Zugliste!$A$4:$D$2002,4,FALSE),"")</f>
        <v/>
      </c>
      <c r="CW137" t="str">
        <f>+IFERROR(VLOOKUP(CW38,IN_Zugliste!$A$4:$D$2002,4,FALSE),"")</f>
        <v/>
      </c>
      <c r="CX137" t="str">
        <f>+IFERROR(VLOOKUP(CX38,IN_Zugliste!$A$4:$D$2002,4,FALSE),"")</f>
        <v/>
      </c>
      <c r="CY137" t="str">
        <f>+IFERROR(VLOOKUP(CY38,IN_Zugliste!$A$4:$D$2002,4,FALSE),"")</f>
        <v/>
      </c>
      <c r="CZ137" t="str">
        <f>+IFERROR(VLOOKUP(CZ38,IN_Zugliste!$A$4:$D$2002,4,FALSE),"")</f>
        <v/>
      </c>
      <c r="DA137" t="str">
        <f>+IFERROR(VLOOKUP(DA38,IN_Zugliste!$A$4:$D$2002,4,FALSE),"")</f>
        <v/>
      </c>
      <c r="DB137" t="str">
        <f>+IFERROR(VLOOKUP(DB38,IN_Zugliste!$A$4:$D$2002,4,FALSE),"")</f>
        <v/>
      </c>
      <c r="DC137" t="str">
        <f>+IFERROR(VLOOKUP(DC38,IN_Zugliste!$A$4:$D$2002,4,FALSE),"")</f>
        <v/>
      </c>
      <c r="DD137" t="str">
        <f>+IFERROR(VLOOKUP(DD38,IN_Zugliste!$A$4:$D$2002,4,FALSE),"")</f>
        <v/>
      </c>
      <c r="DE137" t="str">
        <f>+IFERROR(VLOOKUP(DE38,IN_Zugliste!$A$4:$D$2002,4,FALSE),"")</f>
        <v/>
      </c>
      <c r="DF137" t="str">
        <f>+IFERROR(VLOOKUP(DF38,IN_Zugliste!$A$4:$D$2002,4,FALSE),"")</f>
        <v/>
      </c>
      <c r="DG137" t="str">
        <f>+IFERROR(VLOOKUP(DG38,IN_Zugliste!$A$4:$D$2002,4,FALSE),"")</f>
        <v/>
      </c>
      <c r="DH137" t="str">
        <f>+IFERROR(VLOOKUP(DH38,IN_Zugliste!$A$4:$D$2002,4,FALSE),"")</f>
        <v/>
      </c>
      <c r="DI137" t="str">
        <f>+IFERROR(VLOOKUP(DI38,IN_Zugliste!$A$4:$D$2002,4,FALSE),"")</f>
        <v/>
      </c>
      <c r="DJ137" t="str">
        <f>+IFERROR(VLOOKUP(DJ38,IN_Zugliste!$A$4:$D$2002,4,FALSE),"")</f>
        <v/>
      </c>
      <c r="DK137" t="str">
        <f>+IFERROR(VLOOKUP(DK38,IN_Zugliste!$A$4:$D$2002,4,FALSE),"")</f>
        <v/>
      </c>
      <c r="DL137" t="str">
        <f>+IFERROR(VLOOKUP(DL38,IN_Zugliste!$A$4:$D$2002,4,FALSE),"")</f>
        <v/>
      </c>
      <c r="DM137" t="str">
        <f>+IFERROR(VLOOKUP(DM38,IN_Zugliste!$A$4:$D$2002,4,FALSE),"")</f>
        <v/>
      </c>
      <c r="DN137" t="str">
        <f>+IFERROR(VLOOKUP(DN38,IN_Zugliste!$A$4:$D$2002,4,FALSE),"")</f>
        <v/>
      </c>
      <c r="DO137" t="str">
        <f>+IFERROR(VLOOKUP(DO38,IN_Zugliste!$A$4:$D$2002,4,FALSE),"")</f>
        <v/>
      </c>
      <c r="DP137" t="str">
        <f>+IFERROR(VLOOKUP(DP38,IN_Zugliste!$A$4:$D$2002,4,FALSE),"")</f>
        <v/>
      </c>
      <c r="DQ137" t="str">
        <f>+IFERROR(VLOOKUP(DQ38,IN_Zugliste!$A$4:$D$2002,4,FALSE),"")</f>
        <v/>
      </c>
      <c r="DR137" t="str">
        <f>+IFERROR(VLOOKUP(DR38,IN_Zugliste!$A$4:$D$2002,4,FALSE),"")</f>
        <v/>
      </c>
      <c r="DS137" t="str">
        <f>+IFERROR(VLOOKUP(DS38,IN_Zugliste!$A$4:$D$2002,4,FALSE),"")</f>
        <v/>
      </c>
      <c r="DT137" t="str">
        <f>+IFERROR(VLOOKUP(DT38,IN_Zugliste!$A$4:$D$2002,4,FALSE),"")</f>
        <v/>
      </c>
      <c r="DU137" t="str">
        <f>+IFERROR(VLOOKUP(DU38,IN_Zugliste!$A$4:$D$2002,4,FALSE),"")</f>
        <v/>
      </c>
      <c r="DV137" t="str">
        <f>+IFERROR(VLOOKUP(DV38,IN_Zugliste!$A$4:$D$2002,4,FALSE),"")</f>
        <v/>
      </c>
      <c r="DW137" t="str">
        <f>+IFERROR(VLOOKUP(DW38,IN_Zugliste!$A$4:$D$2002,4,FALSE),"")</f>
        <v/>
      </c>
      <c r="DX137" t="str">
        <f>+IFERROR(VLOOKUP(DX38,IN_Zugliste!$A$4:$D$2002,4,FALSE),"")</f>
        <v/>
      </c>
      <c r="DY137" t="str">
        <f>+IFERROR(VLOOKUP(DY38,IN_Zugliste!$A$4:$D$2002,4,FALSE),"")</f>
        <v/>
      </c>
      <c r="DZ137" t="str">
        <f>+IFERROR(VLOOKUP(DZ38,IN_Zugliste!$A$4:$D$2002,4,FALSE),"")</f>
        <v/>
      </c>
      <c r="EA137" t="str">
        <f>+IFERROR(VLOOKUP(EA38,IN_Zugliste!$A$4:$D$2002,4,FALSE),"")</f>
        <v/>
      </c>
      <c r="EB137" t="str">
        <f>+IFERROR(VLOOKUP(EB38,IN_Zugliste!$A$4:$D$2002,4,FALSE),"")</f>
        <v/>
      </c>
      <c r="EC137" t="str">
        <f>+IFERROR(VLOOKUP(EC38,IN_Zugliste!$A$4:$D$2002,4,FALSE),"")</f>
        <v/>
      </c>
      <c r="ED137" t="str">
        <f>+IFERROR(VLOOKUP(ED38,IN_Zugliste!$A$4:$D$2002,4,FALSE),"")</f>
        <v/>
      </c>
      <c r="EE137" t="str">
        <f>+IFERROR(VLOOKUP(EE38,IN_Zugliste!$A$4:$D$2002,4,FALSE),"")</f>
        <v/>
      </c>
      <c r="EF137" t="str">
        <f>+IFERROR(VLOOKUP(EF38,IN_Zugliste!$A$4:$D$2002,4,FALSE),"")</f>
        <v/>
      </c>
      <c r="EG137" t="str">
        <f>+IFERROR(VLOOKUP(EG38,IN_Zugliste!$A$4:$D$2002,4,FALSE),"")</f>
        <v/>
      </c>
      <c r="EH137" t="str">
        <f>+IFERROR(VLOOKUP(EH38,IN_Zugliste!$A$4:$D$2002,4,FALSE),"")</f>
        <v/>
      </c>
      <c r="EI137" t="str">
        <f>+IFERROR(VLOOKUP(EI38,IN_Zugliste!$A$4:$D$2002,4,FALSE),"")</f>
        <v/>
      </c>
      <c r="EJ137" t="str">
        <f>+IFERROR(VLOOKUP(EJ38,IN_Zugliste!$A$4:$D$2002,4,FALSE),"")</f>
        <v/>
      </c>
      <c r="EK137" t="str">
        <f>+IFERROR(VLOOKUP(EK38,IN_Zugliste!$A$4:$D$2002,4,FALSE),"")</f>
        <v/>
      </c>
      <c r="EL137" t="str">
        <f>+IFERROR(VLOOKUP(EL38,IN_Zugliste!$A$4:$D$2002,4,FALSE),"")</f>
        <v/>
      </c>
      <c r="EM137" t="str">
        <f>+IFERROR(VLOOKUP(EM38,IN_Zugliste!$A$4:$D$2002,4,FALSE),"")</f>
        <v/>
      </c>
      <c r="EN137" t="str">
        <f>+IFERROR(VLOOKUP(EN38,IN_Zugliste!$A$4:$D$2002,4,FALSE),"")</f>
        <v/>
      </c>
      <c r="EO137" t="str">
        <f>+IFERROR(VLOOKUP(EO38,IN_Zugliste!$A$4:$D$2002,4,FALSE),"")</f>
        <v/>
      </c>
      <c r="EP137" t="str">
        <f>+IFERROR(VLOOKUP(EP38,IN_Zugliste!$A$4:$D$2002,4,FALSE),"")</f>
        <v/>
      </c>
      <c r="EQ137" t="str">
        <f>+IFERROR(VLOOKUP(EQ38,IN_Zugliste!$A$4:$D$2002,4,FALSE),"")</f>
        <v/>
      </c>
      <c r="ER137" t="str">
        <f>+IFERROR(VLOOKUP(ER38,IN_Zugliste!$A$4:$D$2002,4,FALSE),"")</f>
        <v/>
      </c>
      <c r="ES137" t="str">
        <f>+IFERROR(VLOOKUP(ES38,IN_Zugliste!$A$4:$D$2002,4,FALSE),"")</f>
        <v/>
      </c>
      <c r="ET137" t="str">
        <f>+IFERROR(VLOOKUP(ET38,IN_Zugliste!$A$4:$D$2002,4,FALSE),"")</f>
        <v/>
      </c>
      <c r="EU137" t="str">
        <f>+IFERROR(VLOOKUP(EU38,IN_Zugliste!$A$4:$D$2002,4,FALSE),"")</f>
        <v/>
      </c>
      <c r="EV137" t="str">
        <f>+IFERROR(VLOOKUP(EV38,IN_Zugliste!$A$4:$D$2002,4,FALSE),"")</f>
        <v/>
      </c>
      <c r="EW137" t="str">
        <f>+IFERROR(VLOOKUP(EW38,IN_Zugliste!$A$4:$D$2002,4,FALSE),"")</f>
        <v/>
      </c>
      <c r="EX137" t="str">
        <f>+IFERROR(VLOOKUP(EX38,IN_Zugliste!$A$4:$D$2002,4,FALSE),"")</f>
        <v/>
      </c>
      <c r="EY137" t="str">
        <f>+IFERROR(VLOOKUP(EY38,IN_Zugliste!$A$4:$D$2002,4,FALSE),"")</f>
        <v/>
      </c>
      <c r="EZ137" t="str">
        <f>+IFERROR(VLOOKUP(EZ38,IN_Zugliste!$A$4:$D$2002,4,FALSE),"")</f>
        <v/>
      </c>
      <c r="FA137" t="str">
        <f>+IFERROR(VLOOKUP(FA38,IN_Zugliste!$A$4:$D$2002,4,FALSE),"")</f>
        <v/>
      </c>
      <c r="FB137" t="str">
        <f>+IFERROR(VLOOKUP(FB38,IN_Zugliste!$A$4:$D$2002,4,FALSE),"")</f>
        <v/>
      </c>
      <c r="FC137" t="str">
        <f>+IFERROR(VLOOKUP(FC38,IN_Zugliste!$A$4:$D$2002,4,FALSE),"")</f>
        <v/>
      </c>
      <c r="FD137" t="str">
        <f>+IFERROR(VLOOKUP(FD38,IN_Zugliste!$A$4:$D$2002,4,FALSE),"")</f>
        <v/>
      </c>
      <c r="FE137" t="str">
        <f>+IFERROR(VLOOKUP(FE38,IN_Zugliste!$A$4:$D$2002,4,FALSE),"")</f>
        <v/>
      </c>
      <c r="FF137" t="str">
        <f>+IFERROR(VLOOKUP(FF38,IN_Zugliste!$A$4:$D$2002,4,FALSE),"")</f>
        <v/>
      </c>
      <c r="FG137" t="str">
        <f>+IFERROR(VLOOKUP(FG38,IN_Zugliste!$A$4:$D$2002,4,FALSE),"")</f>
        <v/>
      </c>
      <c r="FH137" t="str">
        <f>+IFERROR(VLOOKUP(FH38,IN_Zugliste!$A$4:$D$2002,4,FALSE),"")</f>
        <v/>
      </c>
      <c r="FI137" t="str">
        <f>+IFERROR(VLOOKUP(FI38,IN_Zugliste!$A$4:$D$2002,4,FALSE),"")</f>
        <v/>
      </c>
      <c r="FJ137" t="str">
        <f>+IFERROR(VLOOKUP(FJ38,IN_Zugliste!$A$4:$D$2002,4,FALSE),"")</f>
        <v/>
      </c>
      <c r="FK137" t="str">
        <f>+IFERROR(VLOOKUP(FK38,IN_Zugliste!$A$4:$D$2002,4,FALSE),"")</f>
        <v/>
      </c>
      <c r="FL137" t="str">
        <f>+IFERROR(VLOOKUP(FL38,IN_Zugliste!$A$4:$D$2002,4,FALSE),"")</f>
        <v/>
      </c>
      <c r="FM137" t="str">
        <f>+IFERROR(VLOOKUP(FM38,IN_Zugliste!$A$4:$C$602,4,FALSE),"")</f>
        <v/>
      </c>
      <c r="FN137" t="str">
        <f>+IFERROR(VLOOKUP(FN38,IN_Zugliste!$A$4:$C$602,4,FALSE),"")</f>
        <v/>
      </c>
      <c r="FO137" t="str">
        <f>+IFERROR(VLOOKUP(FO38,IN_Zugliste!$A$4:$C$602,4,FALSE),"")</f>
        <v/>
      </c>
      <c r="FP137" t="str">
        <f>+IFERROR(VLOOKUP(FP38,IN_Zugliste!$A$4:$C$602,4,FALSE),"")</f>
        <v/>
      </c>
      <c r="FQ137" t="str">
        <f>+IFERROR(VLOOKUP(FQ38,IN_Zugliste!$A$4:$C$602,4,FALSE),"")</f>
        <v/>
      </c>
      <c r="FR137" t="str">
        <f>+IFERROR(VLOOKUP(FR38,IN_Zugliste!$A$4:$C$602,4,FALSE),"")</f>
        <v/>
      </c>
      <c r="FS137" t="str">
        <f>+IFERROR(VLOOKUP(FS38,IN_Zugliste!$A$4:$C$602,4,FALSE),"")</f>
        <v/>
      </c>
      <c r="FT137" t="str">
        <f>+IFERROR(VLOOKUP(FT38,IN_Zugliste!$A$4:$C$602,4,FALSE),"")</f>
        <v/>
      </c>
      <c r="FU137" t="str">
        <f>+IFERROR(VLOOKUP(FU38,IN_Zugliste!$A$4:$C$602,4,FALSE),"")</f>
        <v/>
      </c>
      <c r="FV137" t="str">
        <f>+IFERROR(VLOOKUP(FV38,IN_Zugliste!$A$4:$C$602,4,FALSE),"")</f>
        <v/>
      </c>
      <c r="FW137" t="str">
        <f>+IFERROR(VLOOKUP(FW38,IN_Zugliste!$A$4:$C$602,4,FALSE),"")</f>
        <v/>
      </c>
      <c r="FX137" t="str">
        <f>+IFERROR(VLOOKUP(FX38,IN_Zugliste!$A$4:$C$602,4,FALSE),"")</f>
        <v/>
      </c>
      <c r="FY137" t="str">
        <f>+IFERROR(VLOOKUP(FY38,IN_Zugliste!$A$4:$C$602,4,FALSE),"")</f>
        <v/>
      </c>
      <c r="FZ137" t="str">
        <f>+IFERROR(VLOOKUP(FZ38,IN_Zugliste!$A$4:$C$602,4,FALSE),"")</f>
        <v/>
      </c>
      <c r="GA137" t="str">
        <f>+IFERROR(VLOOKUP(GA38,IN_Zugliste!$A$4:$C$602,4,FALSE),"")</f>
        <v/>
      </c>
      <c r="GB137" t="str">
        <f>+IFERROR(VLOOKUP(GB38,IN_Zugliste!$A$4:$C$602,4,FALSE),"")</f>
        <v/>
      </c>
      <c r="GC137" t="str">
        <f>+IFERROR(VLOOKUP(GC38,IN_Zugliste!$A$4:$C$602,4,FALSE),"")</f>
        <v/>
      </c>
      <c r="GD137" t="str">
        <f>+IFERROR(VLOOKUP(GD38,IN_Zugliste!$A$4:$C$602,4,FALSE),"")</f>
        <v/>
      </c>
      <c r="GE137" t="str">
        <f>+IFERROR(VLOOKUP(GE38,IN_Zugliste!$A$4:$C$602,4,FALSE),"")</f>
        <v/>
      </c>
      <c r="GF137" t="str">
        <f>+IFERROR(VLOOKUP(GF38,IN_Zugliste!$A$4:$C$602,4,FALSE),"")</f>
        <v/>
      </c>
      <c r="GG137" t="str">
        <f>+IFERROR(VLOOKUP(GG38,IN_Zugliste!$A$4:$C$602,4,FALSE),"")</f>
        <v/>
      </c>
      <c r="GH137" t="str">
        <f>+IFERROR(VLOOKUP(GH38,IN_Zugliste!$A$4:$C$602,4,FALSE),"")</f>
        <v/>
      </c>
      <c r="GI137" t="str">
        <f>+IFERROR(VLOOKUP(GI38,IN_Zugliste!$A$4:$C$602,4,FALSE),"")</f>
        <v/>
      </c>
      <c r="GJ137" t="str">
        <f>+IFERROR(VLOOKUP(GJ38,IN_Zugliste!$A$4:$C$602,4,FALSE),"")</f>
        <v/>
      </c>
      <c r="GK137" t="str">
        <f>+IFERROR(VLOOKUP(GK38,IN_Zugliste!$A$4:$C$602,4,FALSE),"")</f>
        <v/>
      </c>
      <c r="GL137" t="str">
        <f>+IFERROR(VLOOKUP(GL38,IN_Zugliste!$A$4:$C$602,4,FALSE),"")</f>
        <v/>
      </c>
      <c r="GM137" t="str">
        <f>+IFERROR(VLOOKUP(GM38,IN_Zugliste!$A$4:$C$602,4,FALSE),"")</f>
        <v/>
      </c>
      <c r="GN137" t="str">
        <f>+IFERROR(VLOOKUP(GN38,IN_Zugliste!$A$4:$C$602,4,FALSE),"")</f>
        <v/>
      </c>
      <c r="GO137" t="str">
        <f>+IFERROR(VLOOKUP(GO38,IN_Zugliste!$A$4:$C$602,4,FALSE),"")</f>
        <v/>
      </c>
      <c r="GP137" t="str">
        <f>+IFERROR(VLOOKUP(GP38,IN_Zugliste!$A$4:$C$602,4,FALSE),"")</f>
        <v/>
      </c>
      <c r="GQ137" t="str">
        <f>+IFERROR(VLOOKUP(GQ38,IN_Zugliste!$A$4:$C$602,4,FALSE),"")</f>
        <v/>
      </c>
      <c r="GR137" t="str">
        <f>+IFERROR(VLOOKUP(GR38,IN_Zugliste!$A$4:$C$602,4,FALSE),"")</f>
        <v/>
      </c>
      <c r="GS137" t="str">
        <f>+IFERROR(VLOOKUP(GS38,IN_Zugliste!$A$4:$C$602,4,FALSE),"")</f>
        <v/>
      </c>
      <c r="GT137" t="str">
        <f>+IFERROR(VLOOKUP(GT38,IN_Zugliste!$A$4:$C$602,4,FALSE),"")</f>
        <v/>
      </c>
      <c r="GU137" t="str">
        <f>+IFERROR(VLOOKUP(GU38,IN_Zugliste!$A$4:$C$602,4,FALSE),"")</f>
        <v/>
      </c>
      <c r="GV137" t="str">
        <f>+IFERROR(VLOOKUP(GV38,IN_Zugliste!$A$4:$C$602,4,FALSE),"")</f>
        <v/>
      </c>
      <c r="GW137" t="str">
        <f>+IFERROR(VLOOKUP(GW38,IN_Zugliste!$A$4:$C$602,4,FALSE),"")</f>
        <v/>
      </c>
      <c r="GX137" t="str">
        <f>+IFERROR(VLOOKUP(GX38,IN_Zugliste!$A$4:$C$602,4,FALSE),"")</f>
        <v/>
      </c>
      <c r="GY137" t="str">
        <f>+IFERROR(VLOOKUP(GY38,IN_Zugliste!$A$4:$C$602,4,FALSE),"")</f>
        <v/>
      </c>
      <c r="GZ137" t="str">
        <f>+IFERROR(VLOOKUP(GZ38,IN_Zugliste!$A$4:$C$602,4,FALSE),"")</f>
        <v/>
      </c>
      <c r="HA137" t="str">
        <f>+IFERROR(VLOOKUP(HA38,IN_Zugliste!$A$4:$C$602,4,FALSE),"")</f>
        <v/>
      </c>
      <c r="HB137" t="str">
        <f>+IFERROR(VLOOKUP(HB38,IN_Zugliste!$A$4:$C$602,4,FALSE),"")</f>
        <v/>
      </c>
      <c r="HC137" t="str">
        <f>+IFERROR(VLOOKUP(HC38,IN_Zugliste!$A$4:$C$602,4,FALSE),"")</f>
        <v/>
      </c>
      <c r="HD137" t="str">
        <f>+IFERROR(VLOOKUP(HD38,IN_Zugliste!$A$4:$C$602,4,FALSE),"")</f>
        <v/>
      </c>
      <c r="HE137" t="str">
        <f>+IFERROR(VLOOKUP(HE38,IN_Zugliste!$A$4:$C$602,4,FALSE),"")</f>
        <v/>
      </c>
      <c r="HF137" t="str">
        <f>+IFERROR(VLOOKUP(HF38,IN_Zugliste!$A$4:$C$602,4,FALSE),"")</f>
        <v/>
      </c>
      <c r="HG137" t="str">
        <f>+IFERROR(VLOOKUP(HG38,IN_Zugliste!$A$4:$C$602,4,FALSE),"")</f>
        <v/>
      </c>
      <c r="HH137" t="str">
        <f>+IFERROR(VLOOKUP(HH38,IN_Zugliste!$A$4:$C$602,4,FALSE),"")</f>
        <v/>
      </c>
    </row>
    <row r="138" spans="1:216" x14ac:dyDescent="0.2">
      <c r="A138" t="str">
        <f>+IFERROR(VLOOKUP(A39,IN_Zugliste!$A$4:$D$2002,4,FALSE),"")</f>
        <v/>
      </c>
      <c r="B138" t="str">
        <f>+IFERROR(VLOOKUP(B39,IN_Zugliste!$A$4:$D$2002,4,FALSE),"")</f>
        <v/>
      </c>
      <c r="C138" t="str">
        <f>+IFERROR(VLOOKUP(C39,IN_Zugliste!$A$4:$D$2002,4,FALSE),"")</f>
        <v/>
      </c>
      <c r="D138" t="str">
        <f>+IFERROR(VLOOKUP(D39,IN_Zugliste!$A$4:$D$2002,4,FALSE),"")</f>
        <v/>
      </c>
      <c r="E138" t="str">
        <f>+IFERROR(VLOOKUP(E39,IN_Zugliste!$A$4:$D$2002,4,FALSE),"")</f>
        <v/>
      </c>
      <c r="F138" t="str">
        <f>+IFERROR(VLOOKUP(F39,IN_Zugliste!$A$4:$D$2002,4,FALSE),"")</f>
        <v/>
      </c>
      <c r="G138" t="str">
        <f>+IFERROR(VLOOKUP(G39,IN_Zugliste!$A$4:$D$2002,4,FALSE),"")</f>
        <v/>
      </c>
      <c r="H138" t="str">
        <f>+IFERROR(VLOOKUP(H39,IN_Zugliste!$A$4:$D$2002,4,FALSE),"")</f>
        <v/>
      </c>
      <c r="I138" t="str">
        <f>+IFERROR(VLOOKUP(I39,IN_Zugliste!$A$4:$D$2002,4,FALSE),"")</f>
        <v/>
      </c>
      <c r="J138" t="str">
        <f>+IFERROR(VLOOKUP(J39,IN_Zugliste!$A$4:$D$2002,4,FALSE),"")</f>
        <v/>
      </c>
      <c r="K138" t="str">
        <f>+IFERROR(VLOOKUP(K39,IN_Zugliste!$A$4:$D$2002,4,FALSE),"")</f>
        <v/>
      </c>
      <c r="L138" t="str">
        <f>+IFERROR(VLOOKUP(L39,IN_Zugliste!$A$4:$D$2002,4,FALSE),"")</f>
        <v/>
      </c>
      <c r="M138" t="str">
        <f>+IFERROR(VLOOKUP(M39,IN_Zugliste!$A$4:$D$2002,4,FALSE),"")</f>
        <v/>
      </c>
      <c r="N138" t="str">
        <f>+IFERROR(VLOOKUP(N39,IN_Zugliste!$A$4:$D$2002,4,FALSE),"")</f>
        <v/>
      </c>
      <c r="O138" t="str">
        <f>+IFERROR(VLOOKUP(O39,IN_Zugliste!$A$4:$D$2002,4,FALSE),"")</f>
        <v/>
      </c>
      <c r="P138" t="str">
        <f>+IFERROR(VLOOKUP(P39,IN_Zugliste!$A$4:$D$2002,4,FALSE),"")</f>
        <v/>
      </c>
      <c r="Q138" t="str">
        <f>+IFERROR(VLOOKUP(Q39,IN_Zugliste!$A$4:$D$2002,4,FALSE),"")</f>
        <v/>
      </c>
      <c r="R138" t="str">
        <f>+IFERROR(VLOOKUP(R39,IN_Zugliste!$A$4:$D$2002,4,FALSE),"")</f>
        <v/>
      </c>
      <c r="S138" t="str">
        <f>+IFERROR(VLOOKUP(S39,IN_Zugliste!$A$4:$D$2002,4,FALSE),"")</f>
        <v/>
      </c>
      <c r="T138" t="str">
        <f>+IFERROR(VLOOKUP(T39,IN_Zugliste!$A$4:$D$2002,4,FALSE),"")</f>
        <v/>
      </c>
      <c r="U138" t="str">
        <f>+IFERROR(VLOOKUP(U39,IN_Zugliste!$A$4:$D$2002,4,FALSE),"")</f>
        <v/>
      </c>
      <c r="V138" t="str">
        <f>+IFERROR(VLOOKUP(V39,IN_Zugliste!$A$4:$D$2002,4,FALSE),"")</f>
        <v/>
      </c>
      <c r="W138" t="str">
        <f>+IFERROR(VLOOKUP(W39,IN_Zugliste!$A$4:$D$2002,4,FALSE),"")</f>
        <v/>
      </c>
      <c r="X138" t="str">
        <f>+IFERROR(VLOOKUP(X39,IN_Zugliste!$A$4:$D$2002,4,FALSE),"")</f>
        <v/>
      </c>
      <c r="Y138" t="str">
        <f>+IFERROR(VLOOKUP(Y39,IN_Zugliste!$A$4:$D$2002,4,FALSE),"")</f>
        <v/>
      </c>
      <c r="Z138" t="str">
        <f>+IFERROR(VLOOKUP(Z39,IN_Zugliste!$A$4:$D$2002,4,FALSE),"")</f>
        <v/>
      </c>
      <c r="AA138" t="str">
        <f>+IFERROR(VLOOKUP(AA39,IN_Zugliste!$A$4:$D$2002,4,FALSE),"")</f>
        <v/>
      </c>
      <c r="AB138" t="str">
        <f>+IFERROR(VLOOKUP(AB39,IN_Zugliste!$A$4:$D$2002,4,FALSE),"")</f>
        <v/>
      </c>
      <c r="AC138" t="str">
        <f>+IFERROR(VLOOKUP(AC39,IN_Zugliste!$A$4:$D$2002,4,FALSE),"")</f>
        <v/>
      </c>
      <c r="AD138" t="str">
        <f>+IFERROR(VLOOKUP(AD39,IN_Zugliste!$A$4:$D$2002,4,FALSE),"")</f>
        <v/>
      </c>
      <c r="AE138" t="str">
        <f>+IFERROR(VLOOKUP(AE39,IN_Zugliste!$A$4:$D$2002,4,FALSE),"")</f>
        <v/>
      </c>
      <c r="AF138" t="str">
        <f>+IFERROR(VLOOKUP(AF39,IN_Zugliste!$A$4:$D$2002,4,FALSE),"")</f>
        <v/>
      </c>
      <c r="AG138" t="str">
        <f>+IFERROR(VLOOKUP(AG39,IN_Zugliste!$A$4:$D$2002,4,FALSE),"")</f>
        <v/>
      </c>
      <c r="AH138" t="str">
        <f>+IFERROR(VLOOKUP(AH39,IN_Zugliste!$A$4:$D$2002,4,FALSE),"")</f>
        <v/>
      </c>
      <c r="AI138" t="str">
        <f>+IFERROR(VLOOKUP(AI39,IN_Zugliste!$A$4:$D$2002,4,FALSE),"")</f>
        <v/>
      </c>
      <c r="AJ138" t="str">
        <f>+IFERROR(VLOOKUP(AJ39,IN_Zugliste!$A$4:$D$2002,4,FALSE),"")</f>
        <v/>
      </c>
      <c r="AK138" t="str">
        <f>+IFERROR(VLOOKUP(AK39,IN_Zugliste!$A$4:$D$2002,4,FALSE),"")</f>
        <v/>
      </c>
      <c r="AL138" t="str">
        <f>+IFERROR(VLOOKUP(AL39,IN_Zugliste!$A$4:$D$2002,4,FALSE),"")</f>
        <v/>
      </c>
      <c r="AM138" t="str">
        <f>+IFERROR(VLOOKUP(AM39,IN_Zugliste!$A$4:$D$2002,4,FALSE),"")</f>
        <v/>
      </c>
      <c r="AN138" t="str">
        <f>+IFERROR(VLOOKUP(AN39,IN_Zugliste!$A$4:$D$2002,4,FALSE),"")</f>
        <v/>
      </c>
      <c r="AO138" t="str">
        <f>+IFERROR(VLOOKUP(AO39,IN_Zugliste!$A$4:$D$2002,4,FALSE),"")</f>
        <v/>
      </c>
      <c r="AP138" t="str">
        <f>+IFERROR(VLOOKUP(AP39,IN_Zugliste!$A$4:$D$2002,4,FALSE),"")</f>
        <v/>
      </c>
      <c r="AQ138" t="str">
        <f>+IFERROR(VLOOKUP(AQ39,IN_Zugliste!$A$4:$D$2002,4,FALSE),"")</f>
        <v/>
      </c>
      <c r="AR138" t="str">
        <f>+IFERROR(VLOOKUP(AR39,IN_Zugliste!$A$4:$D$2002,4,FALSE),"")</f>
        <v/>
      </c>
      <c r="AS138" t="str">
        <f>+IFERROR(VLOOKUP(AS39,IN_Zugliste!$A$4:$D$2002,4,FALSE),"")</f>
        <v/>
      </c>
      <c r="AT138" t="str">
        <f>+IFERROR(VLOOKUP(AT39,IN_Zugliste!$A$4:$D$2002,4,FALSE),"")</f>
        <v/>
      </c>
      <c r="AU138" t="str">
        <f>+IFERROR(VLOOKUP(AU39,IN_Zugliste!$A$4:$D$2002,4,FALSE),"")</f>
        <v/>
      </c>
      <c r="AV138" t="str">
        <f>+IFERROR(VLOOKUP(AV39,IN_Zugliste!$A$4:$D$2002,4,FALSE),"")</f>
        <v/>
      </c>
      <c r="AW138" t="str">
        <f>+IFERROR(VLOOKUP(AW39,IN_Zugliste!$A$4:$D$2002,4,FALSE),"")</f>
        <v/>
      </c>
      <c r="AX138" t="str">
        <f>+IFERROR(VLOOKUP(AX39,IN_Zugliste!$A$4:$D$2002,4,FALSE),"")</f>
        <v/>
      </c>
      <c r="AY138" t="str">
        <f>+IFERROR(VLOOKUP(AY39,IN_Zugliste!$A$4:$D$2002,4,FALSE),"")</f>
        <v/>
      </c>
      <c r="AZ138" t="str">
        <f>+IFERROR(VLOOKUP(AZ39,IN_Zugliste!$A$4:$D$2002,4,FALSE),"")</f>
        <v/>
      </c>
      <c r="BA138" t="str">
        <f>+IFERROR(VLOOKUP(BA39,IN_Zugliste!$A$4:$D$2002,4,FALSE),"")</f>
        <v/>
      </c>
      <c r="BB138" t="str">
        <f>+IFERROR(VLOOKUP(BB39,IN_Zugliste!$A$4:$D$2002,4,FALSE),"")</f>
        <v/>
      </c>
      <c r="BC138" t="str">
        <f>+IFERROR(VLOOKUP(BC39,IN_Zugliste!$A$4:$D$2002,4,FALSE),"")</f>
        <v/>
      </c>
      <c r="BD138" t="str">
        <f>+IFERROR(VLOOKUP(BD39,IN_Zugliste!$A$4:$D$2002,4,FALSE),"")</f>
        <v/>
      </c>
      <c r="BE138" t="str">
        <f>+IFERROR(VLOOKUP(BE39,IN_Zugliste!$A$4:$D$2002,4,FALSE),"")</f>
        <v/>
      </c>
      <c r="BF138" t="str">
        <f>+IFERROR(VLOOKUP(BF39,IN_Zugliste!$A$4:$D$2002,4,FALSE),"")</f>
        <v/>
      </c>
      <c r="BG138" t="str">
        <f>+IFERROR(VLOOKUP(BG39,IN_Zugliste!$A$4:$D$2002,4,FALSE),"")</f>
        <v/>
      </c>
      <c r="BH138" t="str">
        <f>+IFERROR(VLOOKUP(BH39,IN_Zugliste!$A$4:$D$2002,4,FALSE),"")</f>
        <v/>
      </c>
      <c r="BI138" t="str">
        <f>+IFERROR(VLOOKUP(BI39,IN_Zugliste!$A$4:$D$2002,4,FALSE),"")</f>
        <v/>
      </c>
      <c r="BJ138" t="str">
        <f>+IFERROR(VLOOKUP(BJ39,IN_Zugliste!$A$4:$D$2002,4,FALSE),"")</f>
        <v/>
      </c>
      <c r="BK138" t="str">
        <f>+IFERROR(VLOOKUP(BK39,IN_Zugliste!$A$4:$D$2002,4,FALSE),"")</f>
        <v/>
      </c>
      <c r="BL138" t="str">
        <f>+IFERROR(VLOOKUP(BL39,IN_Zugliste!$A$4:$D$2002,4,FALSE),"")</f>
        <v/>
      </c>
      <c r="BM138" t="str">
        <f>+IFERROR(VLOOKUP(BM39,IN_Zugliste!$A$4:$D$2002,4,FALSE),"")</f>
        <v/>
      </c>
      <c r="BN138" t="str">
        <f>+IFERROR(VLOOKUP(BN39,IN_Zugliste!$A$4:$D$2002,4,FALSE),"")</f>
        <v/>
      </c>
      <c r="BO138" t="str">
        <f>+IFERROR(VLOOKUP(BO39,IN_Zugliste!$A$4:$D$2002,4,FALSE),"")</f>
        <v/>
      </c>
      <c r="BP138" t="str">
        <f>+IFERROR(VLOOKUP(BP39,IN_Zugliste!$A$4:$D$2002,4,FALSE),"")</f>
        <v/>
      </c>
      <c r="BQ138" t="str">
        <f>+IFERROR(VLOOKUP(BQ39,IN_Zugliste!$A$4:$D$2002,4,FALSE),"")</f>
        <v/>
      </c>
      <c r="BR138" t="str">
        <f>+IFERROR(VLOOKUP(BR39,IN_Zugliste!$A$4:$D$2002,4,FALSE),"")</f>
        <v/>
      </c>
      <c r="BS138" t="str">
        <f>+IFERROR(VLOOKUP(BS39,IN_Zugliste!$A$4:$D$2002,4,FALSE),"")</f>
        <v/>
      </c>
      <c r="BT138" t="str">
        <f>+IFERROR(VLOOKUP(BT39,IN_Zugliste!$A$4:$D$2002,4,FALSE),"")</f>
        <v/>
      </c>
      <c r="BU138" t="str">
        <f>+IFERROR(VLOOKUP(BU39,IN_Zugliste!$A$4:$D$2002,4,FALSE),"")</f>
        <v/>
      </c>
      <c r="BV138" t="str">
        <f>+IFERROR(VLOOKUP(BV39,IN_Zugliste!$A$4:$D$2002,4,FALSE),"")</f>
        <v/>
      </c>
      <c r="BW138" t="str">
        <f>+IFERROR(VLOOKUP(BW39,IN_Zugliste!$A$4:$D$2002,4,FALSE),"")</f>
        <v/>
      </c>
      <c r="BX138" t="str">
        <f>+IFERROR(VLOOKUP(BX39,IN_Zugliste!$A$4:$D$2002,4,FALSE),"")</f>
        <v/>
      </c>
      <c r="BY138" t="str">
        <f>+IFERROR(VLOOKUP(BY39,IN_Zugliste!$A$4:$D$2002,4,FALSE),"")</f>
        <v/>
      </c>
      <c r="BZ138" t="str">
        <f>+IFERROR(VLOOKUP(BZ39,IN_Zugliste!$A$4:$D$2002,4,FALSE),"")</f>
        <v/>
      </c>
      <c r="CA138" t="str">
        <f>+IFERROR(VLOOKUP(CA39,IN_Zugliste!$A$4:$D$2002,4,FALSE),"")</f>
        <v/>
      </c>
      <c r="CB138" t="str">
        <f>+IFERROR(VLOOKUP(CB39,IN_Zugliste!$A$4:$D$2002,4,FALSE),"")</f>
        <v/>
      </c>
      <c r="CC138" t="str">
        <f>+IFERROR(VLOOKUP(CC39,IN_Zugliste!$A$4:$D$2002,4,FALSE),"")</f>
        <v/>
      </c>
      <c r="CD138" t="str">
        <f>+IFERROR(VLOOKUP(CD39,IN_Zugliste!$A$4:$D$2002,4,FALSE),"")</f>
        <v/>
      </c>
      <c r="CE138" t="str">
        <f>+IFERROR(VLOOKUP(CE39,IN_Zugliste!$A$4:$D$2002,4,FALSE),"")</f>
        <v/>
      </c>
      <c r="CF138" t="str">
        <f>+IFERROR(VLOOKUP(CF39,IN_Zugliste!$A$4:$D$2002,4,FALSE),"")</f>
        <v/>
      </c>
      <c r="CG138" t="str">
        <f>+IFERROR(VLOOKUP(CG39,IN_Zugliste!$A$4:$D$2002,4,FALSE),"")</f>
        <v/>
      </c>
      <c r="CH138" t="str">
        <f>+IFERROR(VLOOKUP(CH39,IN_Zugliste!$A$4:$D$2002,4,FALSE),"")</f>
        <v/>
      </c>
      <c r="CI138" t="str">
        <f>+IFERROR(VLOOKUP(CI39,IN_Zugliste!$A$4:$D$2002,4,FALSE),"")</f>
        <v/>
      </c>
      <c r="CJ138" t="str">
        <f>+IFERROR(VLOOKUP(CJ39,IN_Zugliste!$A$4:$D$2002,4,FALSE),"")</f>
        <v/>
      </c>
      <c r="CK138" t="str">
        <f>+IFERROR(VLOOKUP(CK39,IN_Zugliste!$A$4:$D$2002,4,FALSE),"")</f>
        <v/>
      </c>
      <c r="CL138" t="str">
        <f>+IFERROR(VLOOKUP(CL39,IN_Zugliste!$A$4:$D$2002,4,FALSE),"")</f>
        <v/>
      </c>
      <c r="CM138" t="str">
        <f>+IFERROR(VLOOKUP(CM39,IN_Zugliste!$A$4:$D$2002,4,FALSE),"")</f>
        <v/>
      </c>
      <c r="CN138" t="str">
        <f>+IFERROR(VLOOKUP(CN39,IN_Zugliste!$A$4:$D$2002,4,FALSE),"")</f>
        <v/>
      </c>
      <c r="CO138" t="str">
        <f>+IFERROR(VLOOKUP(CO39,IN_Zugliste!$A$4:$D$2002,4,FALSE),"")</f>
        <v/>
      </c>
      <c r="CP138" t="str">
        <f>+IFERROR(VLOOKUP(CP39,IN_Zugliste!$A$4:$D$2002,4,FALSE),"")</f>
        <v/>
      </c>
      <c r="CQ138" t="str">
        <f>+IFERROR(VLOOKUP(CQ39,IN_Zugliste!$A$4:$D$2002,4,FALSE),"")</f>
        <v/>
      </c>
      <c r="CR138" t="str">
        <f>+IFERROR(VLOOKUP(CR39,IN_Zugliste!$A$4:$D$2002,4,FALSE),"")</f>
        <v/>
      </c>
      <c r="CS138" t="str">
        <f>+IFERROR(VLOOKUP(CS39,IN_Zugliste!$A$4:$D$2002,4,FALSE),"")</f>
        <v/>
      </c>
      <c r="CT138" t="str">
        <f>+IFERROR(VLOOKUP(CT39,IN_Zugliste!$A$4:$D$2002,4,FALSE),"")</f>
        <v/>
      </c>
      <c r="CU138" t="str">
        <f>+IFERROR(VLOOKUP(CU39,IN_Zugliste!$A$4:$D$2002,4,FALSE),"")</f>
        <v/>
      </c>
      <c r="CV138" t="str">
        <f>+IFERROR(VLOOKUP(CV39,IN_Zugliste!$A$4:$D$2002,4,FALSE),"")</f>
        <v/>
      </c>
      <c r="CW138" t="str">
        <f>+IFERROR(VLOOKUP(CW39,IN_Zugliste!$A$4:$D$2002,4,FALSE),"")</f>
        <v/>
      </c>
      <c r="CX138" t="str">
        <f>+IFERROR(VLOOKUP(CX39,IN_Zugliste!$A$4:$D$2002,4,FALSE),"")</f>
        <v/>
      </c>
      <c r="CY138" t="str">
        <f>+IFERROR(VLOOKUP(CY39,IN_Zugliste!$A$4:$D$2002,4,FALSE),"")</f>
        <v/>
      </c>
      <c r="CZ138" t="str">
        <f>+IFERROR(VLOOKUP(CZ39,IN_Zugliste!$A$4:$D$2002,4,FALSE),"")</f>
        <v/>
      </c>
      <c r="DA138" t="str">
        <f>+IFERROR(VLOOKUP(DA39,IN_Zugliste!$A$4:$D$2002,4,FALSE),"")</f>
        <v/>
      </c>
      <c r="DB138" t="str">
        <f>+IFERROR(VLOOKUP(DB39,IN_Zugliste!$A$4:$D$2002,4,FALSE),"")</f>
        <v/>
      </c>
      <c r="DC138" t="str">
        <f>+IFERROR(VLOOKUP(DC39,IN_Zugliste!$A$4:$D$2002,4,FALSE),"")</f>
        <v/>
      </c>
      <c r="DD138" t="str">
        <f>+IFERROR(VLOOKUP(DD39,IN_Zugliste!$A$4:$D$2002,4,FALSE),"")</f>
        <v/>
      </c>
      <c r="DE138" t="str">
        <f>+IFERROR(VLOOKUP(DE39,IN_Zugliste!$A$4:$D$2002,4,FALSE),"")</f>
        <v/>
      </c>
      <c r="DF138" t="str">
        <f>+IFERROR(VLOOKUP(DF39,IN_Zugliste!$A$4:$D$2002,4,FALSE),"")</f>
        <v/>
      </c>
      <c r="DG138" t="str">
        <f>+IFERROR(VLOOKUP(DG39,IN_Zugliste!$A$4:$D$2002,4,FALSE),"")</f>
        <v/>
      </c>
      <c r="DH138" t="str">
        <f>+IFERROR(VLOOKUP(DH39,IN_Zugliste!$A$4:$D$2002,4,FALSE),"")</f>
        <v/>
      </c>
      <c r="DI138" t="str">
        <f>+IFERROR(VLOOKUP(DI39,IN_Zugliste!$A$4:$D$2002,4,FALSE),"")</f>
        <v/>
      </c>
      <c r="DJ138" t="str">
        <f>+IFERROR(VLOOKUP(DJ39,IN_Zugliste!$A$4:$D$2002,4,FALSE),"")</f>
        <v/>
      </c>
      <c r="DK138" t="str">
        <f>+IFERROR(VLOOKUP(DK39,IN_Zugliste!$A$4:$D$2002,4,FALSE),"")</f>
        <v/>
      </c>
      <c r="DL138" t="str">
        <f>+IFERROR(VLOOKUP(DL39,IN_Zugliste!$A$4:$D$2002,4,FALSE),"")</f>
        <v/>
      </c>
      <c r="DM138" t="str">
        <f>+IFERROR(VLOOKUP(DM39,IN_Zugliste!$A$4:$D$2002,4,FALSE),"")</f>
        <v/>
      </c>
      <c r="DN138" t="str">
        <f>+IFERROR(VLOOKUP(DN39,IN_Zugliste!$A$4:$D$2002,4,FALSE),"")</f>
        <v/>
      </c>
      <c r="DO138" t="str">
        <f>+IFERROR(VLOOKUP(DO39,IN_Zugliste!$A$4:$D$2002,4,FALSE),"")</f>
        <v/>
      </c>
      <c r="DP138" t="str">
        <f>+IFERROR(VLOOKUP(DP39,IN_Zugliste!$A$4:$D$2002,4,FALSE),"")</f>
        <v/>
      </c>
      <c r="DQ138" t="str">
        <f>+IFERROR(VLOOKUP(DQ39,IN_Zugliste!$A$4:$D$2002,4,FALSE),"")</f>
        <v/>
      </c>
      <c r="DR138" t="str">
        <f>+IFERROR(VLOOKUP(DR39,IN_Zugliste!$A$4:$D$2002,4,FALSE),"")</f>
        <v/>
      </c>
      <c r="DS138" t="str">
        <f>+IFERROR(VLOOKUP(DS39,IN_Zugliste!$A$4:$D$2002,4,FALSE),"")</f>
        <v/>
      </c>
      <c r="DT138" t="str">
        <f>+IFERROR(VLOOKUP(DT39,IN_Zugliste!$A$4:$D$2002,4,FALSE),"")</f>
        <v/>
      </c>
      <c r="DU138" t="str">
        <f>+IFERROR(VLOOKUP(DU39,IN_Zugliste!$A$4:$D$2002,4,FALSE),"")</f>
        <v/>
      </c>
      <c r="DV138" t="str">
        <f>+IFERROR(VLOOKUP(DV39,IN_Zugliste!$A$4:$D$2002,4,FALSE),"")</f>
        <v/>
      </c>
      <c r="DW138" t="str">
        <f>+IFERROR(VLOOKUP(DW39,IN_Zugliste!$A$4:$D$2002,4,FALSE),"")</f>
        <v/>
      </c>
      <c r="DX138" t="str">
        <f>+IFERROR(VLOOKUP(DX39,IN_Zugliste!$A$4:$D$2002,4,FALSE),"")</f>
        <v/>
      </c>
      <c r="DY138" t="str">
        <f>+IFERROR(VLOOKUP(DY39,IN_Zugliste!$A$4:$D$2002,4,FALSE),"")</f>
        <v/>
      </c>
      <c r="DZ138" t="str">
        <f>+IFERROR(VLOOKUP(DZ39,IN_Zugliste!$A$4:$D$2002,4,FALSE),"")</f>
        <v/>
      </c>
      <c r="EA138" t="str">
        <f>+IFERROR(VLOOKUP(EA39,IN_Zugliste!$A$4:$D$2002,4,FALSE),"")</f>
        <v/>
      </c>
      <c r="EB138" t="str">
        <f>+IFERROR(VLOOKUP(EB39,IN_Zugliste!$A$4:$D$2002,4,FALSE),"")</f>
        <v/>
      </c>
      <c r="EC138" t="str">
        <f>+IFERROR(VLOOKUP(EC39,IN_Zugliste!$A$4:$D$2002,4,FALSE),"")</f>
        <v/>
      </c>
      <c r="ED138" t="str">
        <f>+IFERROR(VLOOKUP(ED39,IN_Zugliste!$A$4:$D$2002,4,FALSE),"")</f>
        <v/>
      </c>
      <c r="EE138" t="str">
        <f>+IFERROR(VLOOKUP(EE39,IN_Zugliste!$A$4:$D$2002,4,FALSE),"")</f>
        <v/>
      </c>
      <c r="EF138" t="str">
        <f>+IFERROR(VLOOKUP(EF39,IN_Zugliste!$A$4:$D$2002,4,FALSE),"")</f>
        <v/>
      </c>
      <c r="EG138" t="str">
        <f>+IFERROR(VLOOKUP(EG39,IN_Zugliste!$A$4:$D$2002,4,FALSE),"")</f>
        <v/>
      </c>
      <c r="EH138" t="str">
        <f>+IFERROR(VLOOKUP(EH39,IN_Zugliste!$A$4:$D$2002,4,FALSE),"")</f>
        <v/>
      </c>
      <c r="EI138" t="str">
        <f>+IFERROR(VLOOKUP(EI39,IN_Zugliste!$A$4:$D$2002,4,FALSE),"")</f>
        <v/>
      </c>
      <c r="EJ138" t="str">
        <f>+IFERROR(VLOOKUP(EJ39,IN_Zugliste!$A$4:$D$2002,4,FALSE),"")</f>
        <v/>
      </c>
      <c r="EK138" t="str">
        <f>+IFERROR(VLOOKUP(EK39,IN_Zugliste!$A$4:$D$2002,4,FALSE),"")</f>
        <v/>
      </c>
      <c r="EL138" t="str">
        <f>+IFERROR(VLOOKUP(EL39,IN_Zugliste!$A$4:$D$2002,4,FALSE),"")</f>
        <v/>
      </c>
      <c r="EM138" t="str">
        <f>+IFERROR(VLOOKUP(EM39,IN_Zugliste!$A$4:$D$2002,4,FALSE),"")</f>
        <v/>
      </c>
      <c r="EN138" t="str">
        <f>+IFERROR(VLOOKUP(EN39,IN_Zugliste!$A$4:$D$2002,4,FALSE),"")</f>
        <v/>
      </c>
      <c r="EO138" t="str">
        <f>+IFERROR(VLOOKUP(EO39,IN_Zugliste!$A$4:$D$2002,4,FALSE),"")</f>
        <v/>
      </c>
      <c r="EP138" t="str">
        <f>+IFERROR(VLOOKUP(EP39,IN_Zugliste!$A$4:$D$2002,4,FALSE),"")</f>
        <v/>
      </c>
      <c r="EQ138" t="str">
        <f>+IFERROR(VLOOKUP(EQ39,IN_Zugliste!$A$4:$D$2002,4,FALSE),"")</f>
        <v/>
      </c>
      <c r="ER138" t="str">
        <f>+IFERROR(VLOOKUP(ER39,IN_Zugliste!$A$4:$D$2002,4,FALSE),"")</f>
        <v/>
      </c>
      <c r="ES138" t="str">
        <f>+IFERROR(VLOOKUP(ES39,IN_Zugliste!$A$4:$D$2002,4,FALSE),"")</f>
        <v/>
      </c>
      <c r="ET138" t="str">
        <f>+IFERROR(VLOOKUP(ET39,IN_Zugliste!$A$4:$D$2002,4,FALSE),"")</f>
        <v/>
      </c>
      <c r="EU138" t="str">
        <f>+IFERROR(VLOOKUP(EU39,IN_Zugliste!$A$4:$D$2002,4,FALSE),"")</f>
        <v/>
      </c>
      <c r="EV138" t="str">
        <f>+IFERROR(VLOOKUP(EV39,IN_Zugliste!$A$4:$D$2002,4,FALSE),"")</f>
        <v/>
      </c>
      <c r="EW138" t="str">
        <f>+IFERROR(VLOOKUP(EW39,IN_Zugliste!$A$4:$D$2002,4,FALSE),"")</f>
        <v/>
      </c>
      <c r="EX138" t="str">
        <f>+IFERROR(VLOOKUP(EX39,IN_Zugliste!$A$4:$D$2002,4,FALSE),"")</f>
        <v/>
      </c>
      <c r="EY138" t="str">
        <f>+IFERROR(VLOOKUP(EY39,IN_Zugliste!$A$4:$D$2002,4,FALSE),"")</f>
        <v/>
      </c>
      <c r="EZ138" t="str">
        <f>+IFERROR(VLOOKUP(EZ39,IN_Zugliste!$A$4:$D$2002,4,FALSE),"")</f>
        <v/>
      </c>
      <c r="FA138" t="str">
        <f>+IFERROR(VLOOKUP(FA39,IN_Zugliste!$A$4:$D$2002,4,FALSE),"")</f>
        <v/>
      </c>
      <c r="FB138" t="str">
        <f>+IFERROR(VLOOKUP(FB39,IN_Zugliste!$A$4:$D$2002,4,FALSE),"")</f>
        <v/>
      </c>
      <c r="FC138" t="str">
        <f>+IFERROR(VLOOKUP(FC39,IN_Zugliste!$A$4:$D$2002,4,FALSE),"")</f>
        <v/>
      </c>
      <c r="FD138" t="str">
        <f>+IFERROR(VLOOKUP(FD39,IN_Zugliste!$A$4:$D$2002,4,FALSE),"")</f>
        <v/>
      </c>
      <c r="FE138" t="str">
        <f>+IFERROR(VLOOKUP(FE39,IN_Zugliste!$A$4:$D$2002,4,FALSE),"")</f>
        <v/>
      </c>
      <c r="FF138" t="str">
        <f>+IFERROR(VLOOKUP(FF39,IN_Zugliste!$A$4:$D$2002,4,FALSE),"")</f>
        <v/>
      </c>
      <c r="FG138" t="str">
        <f>+IFERROR(VLOOKUP(FG39,IN_Zugliste!$A$4:$D$2002,4,FALSE),"")</f>
        <v/>
      </c>
      <c r="FH138" t="str">
        <f>+IFERROR(VLOOKUP(FH39,IN_Zugliste!$A$4:$D$2002,4,FALSE),"")</f>
        <v/>
      </c>
      <c r="FI138" t="str">
        <f>+IFERROR(VLOOKUP(FI39,IN_Zugliste!$A$4:$D$2002,4,FALSE),"")</f>
        <v/>
      </c>
      <c r="FJ138" t="str">
        <f>+IFERROR(VLOOKUP(FJ39,IN_Zugliste!$A$4:$D$2002,4,FALSE),"")</f>
        <v/>
      </c>
      <c r="FK138" t="str">
        <f>+IFERROR(VLOOKUP(FK39,IN_Zugliste!$A$4:$D$2002,4,FALSE),"")</f>
        <v/>
      </c>
      <c r="FL138" t="str">
        <f>+IFERROR(VLOOKUP(FL39,IN_Zugliste!$A$4:$D$2002,4,FALSE),"")</f>
        <v/>
      </c>
      <c r="FM138" t="str">
        <f>+IFERROR(VLOOKUP(FM39,IN_Zugliste!$A$4:$C$602,4,FALSE),"")</f>
        <v/>
      </c>
      <c r="FN138" t="str">
        <f>+IFERROR(VLOOKUP(FN39,IN_Zugliste!$A$4:$C$602,4,FALSE),"")</f>
        <v/>
      </c>
      <c r="FO138" t="str">
        <f>+IFERROR(VLOOKUP(FO39,IN_Zugliste!$A$4:$C$602,4,FALSE),"")</f>
        <v/>
      </c>
      <c r="FP138" t="str">
        <f>+IFERROR(VLOOKUP(FP39,IN_Zugliste!$A$4:$C$602,4,FALSE),"")</f>
        <v/>
      </c>
      <c r="FQ138" t="str">
        <f>+IFERROR(VLOOKUP(FQ39,IN_Zugliste!$A$4:$C$602,4,FALSE),"")</f>
        <v/>
      </c>
      <c r="FR138" t="str">
        <f>+IFERROR(VLOOKUP(FR39,IN_Zugliste!$A$4:$C$602,4,FALSE),"")</f>
        <v/>
      </c>
      <c r="FS138" t="str">
        <f>+IFERROR(VLOOKUP(FS39,IN_Zugliste!$A$4:$C$602,4,FALSE),"")</f>
        <v/>
      </c>
      <c r="FT138" t="str">
        <f>+IFERROR(VLOOKUP(FT39,IN_Zugliste!$A$4:$C$602,4,FALSE),"")</f>
        <v/>
      </c>
      <c r="FU138" t="str">
        <f>+IFERROR(VLOOKUP(FU39,IN_Zugliste!$A$4:$C$602,4,FALSE),"")</f>
        <v/>
      </c>
      <c r="FV138" t="str">
        <f>+IFERROR(VLOOKUP(FV39,IN_Zugliste!$A$4:$C$602,4,FALSE),"")</f>
        <v/>
      </c>
      <c r="FW138" t="str">
        <f>+IFERROR(VLOOKUP(FW39,IN_Zugliste!$A$4:$C$602,4,FALSE),"")</f>
        <v/>
      </c>
      <c r="FX138" t="str">
        <f>+IFERROR(VLOOKUP(FX39,IN_Zugliste!$A$4:$C$602,4,FALSE),"")</f>
        <v/>
      </c>
      <c r="FY138" t="str">
        <f>+IFERROR(VLOOKUP(FY39,IN_Zugliste!$A$4:$C$602,4,FALSE),"")</f>
        <v/>
      </c>
      <c r="FZ138" t="str">
        <f>+IFERROR(VLOOKUP(FZ39,IN_Zugliste!$A$4:$C$602,4,FALSE),"")</f>
        <v/>
      </c>
      <c r="GA138" t="str">
        <f>+IFERROR(VLOOKUP(GA39,IN_Zugliste!$A$4:$C$602,4,FALSE),"")</f>
        <v/>
      </c>
      <c r="GB138" t="str">
        <f>+IFERROR(VLOOKUP(GB39,IN_Zugliste!$A$4:$C$602,4,FALSE),"")</f>
        <v/>
      </c>
      <c r="GC138" t="str">
        <f>+IFERROR(VLOOKUP(GC39,IN_Zugliste!$A$4:$C$602,4,FALSE),"")</f>
        <v/>
      </c>
      <c r="GD138" t="str">
        <f>+IFERROR(VLOOKUP(GD39,IN_Zugliste!$A$4:$C$602,4,FALSE),"")</f>
        <v/>
      </c>
      <c r="GE138" t="str">
        <f>+IFERROR(VLOOKUP(GE39,IN_Zugliste!$A$4:$C$602,4,FALSE),"")</f>
        <v/>
      </c>
      <c r="GF138" t="str">
        <f>+IFERROR(VLOOKUP(GF39,IN_Zugliste!$A$4:$C$602,4,FALSE),"")</f>
        <v/>
      </c>
      <c r="GG138" t="str">
        <f>+IFERROR(VLOOKUP(GG39,IN_Zugliste!$A$4:$C$602,4,FALSE),"")</f>
        <v/>
      </c>
      <c r="GH138" t="str">
        <f>+IFERROR(VLOOKUP(GH39,IN_Zugliste!$A$4:$C$602,4,FALSE),"")</f>
        <v/>
      </c>
      <c r="GI138" t="str">
        <f>+IFERROR(VLOOKUP(GI39,IN_Zugliste!$A$4:$C$602,4,FALSE),"")</f>
        <v/>
      </c>
      <c r="GJ138" t="str">
        <f>+IFERROR(VLOOKUP(GJ39,IN_Zugliste!$A$4:$C$602,4,FALSE),"")</f>
        <v/>
      </c>
      <c r="GK138" t="str">
        <f>+IFERROR(VLOOKUP(GK39,IN_Zugliste!$A$4:$C$602,4,FALSE),"")</f>
        <v/>
      </c>
      <c r="GL138" t="str">
        <f>+IFERROR(VLOOKUP(GL39,IN_Zugliste!$A$4:$C$602,4,FALSE),"")</f>
        <v/>
      </c>
      <c r="GM138" t="str">
        <f>+IFERROR(VLOOKUP(GM39,IN_Zugliste!$A$4:$C$602,4,FALSE),"")</f>
        <v/>
      </c>
      <c r="GN138" t="str">
        <f>+IFERROR(VLOOKUP(GN39,IN_Zugliste!$A$4:$C$602,4,FALSE),"")</f>
        <v/>
      </c>
      <c r="GO138" t="str">
        <f>+IFERROR(VLOOKUP(GO39,IN_Zugliste!$A$4:$C$602,4,FALSE),"")</f>
        <v/>
      </c>
      <c r="GP138" t="str">
        <f>+IFERROR(VLOOKUP(GP39,IN_Zugliste!$A$4:$C$602,4,FALSE),"")</f>
        <v/>
      </c>
      <c r="GQ138" t="str">
        <f>+IFERROR(VLOOKUP(GQ39,IN_Zugliste!$A$4:$C$602,4,FALSE),"")</f>
        <v/>
      </c>
      <c r="GR138" t="str">
        <f>+IFERROR(VLOOKUP(GR39,IN_Zugliste!$A$4:$C$602,4,FALSE),"")</f>
        <v/>
      </c>
      <c r="GS138" t="str">
        <f>+IFERROR(VLOOKUP(GS39,IN_Zugliste!$A$4:$C$602,4,FALSE),"")</f>
        <v/>
      </c>
      <c r="GT138" t="str">
        <f>+IFERROR(VLOOKUP(GT39,IN_Zugliste!$A$4:$C$602,4,FALSE),"")</f>
        <v/>
      </c>
      <c r="GU138" t="str">
        <f>+IFERROR(VLOOKUP(GU39,IN_Zugliste!$A$4:$C$602,4,FALSE),"")</f>
        <v/>
      </c>
      <c r="GV138" t="str">
        <f>+IFERROR(VLOOKUP(GV39,IN_Zugliste!$A$4:$C$602,4,FALSE),"")</f>
        <v/>
      </c>
      <c r="GW138" t="str">
        <f>+IFERROR(VLOOKUP(GW39,IN_Zugliste!$A$4:$C$602,4,FALSE),"")</f>
        <v/>
      </c>
      <c r="GX138" t="str">
        <f>+IFERROR(VLOOKUP(GX39,IN_Zugliste!$A$4:$C$602,4,FALSE),"")</f>
        <v/>
      </c>
      <c r="GY138" t="str">
        <f>+IFERROR(VLOOKUP(GY39,IN_Zugliste!$A$4:$C$602,4,FALSE),"")</f>
        <v/>
      </c>
      <c r="GZ138" t="str">
        <f>+IFERROR(VLOOKUP(GZ39,IN_Zugliste!$A$4:$C$602,4,FALSE),"")</f>
        <v/>
      </c>
      <c r="HA138" t="str">
        <f>+IFERROR(VLOOKUP(HA39,IN_Zugliste!$A$4:$C$602,4,FALSE),"")</f>
        <v/>
      </c>
      <c r="HB138" t="str">
        <f>+IFERROR(VLOOKUP(HB39,IN_Zugliste!$A$4:$C$602,4,FALSE),"")</f>
        <v/>
      </c>
      <c r="HC138" t="str">
        <f>+IFERROR(VLOOKUP(HC39,IN_Zugliste!$A$4:$C$602,4,FALSE),"")</f>
        <v/>
      </c>
      <c r="HD138" t="str">
        <f>+IFERROR(VLOOKUP(HD39,IN_Zugliste!$A$4:$C$602,4,FALSE),"")</f>
        <v/>
      </c>
      <c r="HE138" t="str">
        <f>+IFERROR(VLOOKUP(HE39,IN_Zugliste!$A$4:$C$602,4,FALSE),"")</f>
        <v/>
      </c>
      <c r="HF138" t="str">
        <f>+IFERROR(VLOOKUP(HF39,IN_Zugliste!$A$4:$C$602,4,FALSE),"")</f>
        <v/>
      </c>
      <c r="HG138" t="str">
        <f>+IFERROR(VLOOKUP(HG39,IN_Zugliste!$A$4:$C$602,4,FALSE),"")</f>
        <v/>
      </c>
      <c r="HH138" t="str">
        <f>+IFERROR(VLOOKUP(HH39,IN_Zugliste!$A$4:$C$602,4,FALSE),"")</f>
        <v/>
      </c>
    </row>
    <row r="139" spans="1:216" x14ac:dyDescent="0.2">
      <c r="A139" t="str">
        <f>+IFERROR(VLOOKUP(A40,IN_Zugliste!$A$4:$D$2002,4,FALSE),"")</f>
        <v/>
      </c>
      <c r="B139" t="str">
        <f>+IFERROR(VLOOKUP(B40,IN_Zugliste!$A$4:$D$2002,4,FALSE),"")</f>
        <v/>
      </c>
      <c r="C139" t="str">
        <f>+IFERROR(VLOOKUP(C40,IN_Zugliste!$A$4:$D$2002,4,FALSE),"")</f>
        <v/>
      </c>
      <c r="D139" t="str">
        <f>+IFERROR(VLOOKUP(D40,IN_Zugliste!$A$4:$D$2002,4,FALSE),"")</f>
        <v/>
      </c>
      <c r="E139" t="str">
        <f>+IFERROR(VLOOKUP(E40,IN_Zugliste!$A$4:$D$2002,4,FALSE),"")</f>
        <v/>
      </c>
      <c r="F139" t="str">
        <f>+IFERROR(VLOOKUP(F40,IN_Zugliste!$A$4:$D$2002,4,FALSE),"")</f>
        <v/>
      </c>
      <c r="G139" t="str">
        <f>+IFERROR(VLOOKUP(G40,IN_Zugliste!$A$4:$D$2002,4,FALSE),"")</f>
        <v/>
      </c>
      <c r="H139" t="str">
        <f>+IFERROR(VLOOKUP(H40,IN_Zugliste!$A$4:$D$2002,4,FALSE),"")</f>
        <v/>
      </c>
      <c r="I139" t="str">
        <f>+IFERROR(VLOOKUP(I40,IN_Zugliste!$A$4:$D$2002,4,FALSE),"")</f>
        <v/>
      </c>
      <c r="J139" t="str">
        <f>+IFERROR(VLOOKUP(J40,IN_Zugliste!$A$4:$D$2002,4,FALSE),"")</f>
        <v/>
      </c>
      <c r="K139" t="str">
        <f>+IFERROR(VLOOKUP(K40,IN_Zugliste!$A$4:$D$2002,4,FALSE),"")</f>
        <v/>
      </c>
      <c r="L139" t="str">
        <f>+IFERROR(VLOOKUP(L40,IN_Zugliste!$A$4:$D$2002,4,FALSE),"")</f>
        <v/>
      </c>
      <c r="M139" t="str">
        <f>+IFERROR(VLOOKUP(M40,IN_Zugliste!$A$4:$D$2002,4,FALSE),"")</f>
        <v/>
      </c>
      <c r="N139" t="str">
        <f>+IFERROR(VLOOKUP(N40,IN_Zugliste!$A$4:$D$2002,4,FALSE),"")</f>
        <v/>
      </c>
      <c r="O139" t="str">
        <f>+IFERROR(VLOOKUP(O40,IN_Zugliste!$A$4:$D$2002,4,FALSE),"")</f>
        <v/>
      </c>
      <c r="P139" t="str">
        <f>+IFERROR(VLOOKUP(P40,IN_Zugliste!$A$4:$D$2002,4,FALSE),"")</f>
        <v/>
      </c>
      <c r="Q139" t="str">
        <f>+IFERROR(VLOOKUP(Q40,IN_Zugliste!$A$4:$D$2002,4,FALSE),"")</f>
        <v/>
      </c>
      <c r="R139" t="str">
        <f>+IFERROR(VLOOKUP(R40,IN_Zugliste!$A$4:$D$2002,4,FALSE),"")</f>
        <v/>
      </c>
      <c r="S139" t="str">
        <f>+IFERROR(VLOOKUP(S40,IN_Zugliste!$A$4:$D$2002,4,FALSE),"")</f>
        <v/>
      </c>
      <c r="T139" t="str">
        <f>+IFERROR(VLOOKUP(T40,IN_Zugliste!$A$4:$D$2002,4,FALSE),"")</f>
        <v/>
      </c>
      <c r="U139" t="str">
        <f>+IFERROR(VLOOKUP(U40,IN_Zugliste!$A$4:$D$2002,4,FALSE),"")</f>
        <v/>
      </c>
      <c r="V139" t="str">
        <f>+IFERROR(VLOOKUP(V40,IN_Zugliste!$A$4:$D$2002,4,FALSE),"")</f>
        <v/>
      </c>
      <c r="W139" t="str">
        <f>+IFERROR(VLOOKUP(W40,IN_Zugliste!$A$4:$D$2002,4,FALSE),"")</f>
        <v/>
      </c>
      <c r="X139" t="str">
        <f>+IFERROR(VLOOKUP(X40,IN_Zugliste!$A$4:$D$2002,4,FALSE),"")</f>
        <v/>
      </c>
      <c r="Y139" t="str">
        <f>+IFERROR(VLOOKUP(Y40,IN_Zugliste!$A$4:$D$2002,4,FALSE),"")</f>
        <v/>
      </c>
      <c r="Z139" t="str">
        <f>+IFERROR(VLOOKUP(Z40,IN_Zugliste!$A$4:$D$2002,4,FALSE),"")</f>
        <v/>
      </c>
      <c r="AA139" t="str">
        <f>+IFERROR(VLOOKUP(AA40,IN_Zugliste!$A$4:$D$2002,4,FALSE),"")</f>
        <v/>
      </c>
      <c r="AB139" t="str">
        <f>+IFERROR(VLOOKUP(AB40,IN_Zugliste!$A$4:$D$2002,4,FALSE),"")</f>
        <v/>
      </c>
      <c r="AC139" t="str">
        <f>+IFERROR(VLOOKUP(AC40,IN_Zugliste!$A$4:$D$2002,4,FALSE),"")</f>
        <v/>
      </c>
      <c r="AD139" t="str">
        <f>+IFERROR(VLOOKUP(AD40,IN_Zugliste!$A$4:$D$2002,4,FALSE),"")</f>
        <v/>
      </c>
      <c r="AE139" t="str">
        <f>+IFERROR(VLOOKUP(AE40,IN_Zugliste!$A$4:$D$2002,4,FALSE),"")</f>
        <v/>
      </c>
      <c r="AF139" t="str">
        <f>+IFERROR(VLOOKUP(AF40,IN_Zugliste!$A$4:$D$2002,4,FALSE),"")</f>
        <v/>
      </c>
      <c r="AG139" t="str">
        <f>+IFERROR(VLOOKUP(AG40,IN_Zugliste!$A$4:$D$2002,4,FALSE),"")</f>
        <v/>
      </c>
      <c r="AH139" t="str">
        <f>+IFERROR(VLOOKUP(AH40,IN_Zugliste!$A$4:$D$2002,4,FALSE),"")</f>
        <v/>
      </c>
      <c r="AI139" t="str">
        <f>+IFERROR(VLOOKUP(AI40,IN_Zugliste!$A$4:$D$2002,4,FALSE),"")</f>
        <v/>
      </c>
      <c r="AJ139" t="str">
        <f>+IFERROR(VLOOKUP(AJ40,IN_Zugliste!$A$4:$D$2002,4,FALSE),"")</f>
        <v/>
      </c>
      <c r="AK139" t="str">
        <f>+IFERROR(VLOOKUP(AK40,IN_Zugliste!$A$4:$D$2002,4,FALSE),"")</f>
        <v/>
      </c>
      <c r="AL139" t="str">
        <f>+IFERROR(VLOOKUP(AL40,IN_Zugliste!$A$4:$D$2002,4,FALSE),"")</f>
        <v/>
      </c>
      <c r="AM139" t="str">
        <f>+IFERROR(VLOOKUP(AM40,IN_Zugliste!$A$4:$D$2002,4,FALSE),"")</f>
        <v/>
      </c>
      <c r="AN139" t="str">
        <f>+IFERROR(VLOOKUP(AN40,IN_Zugliste!$A$4:$D$2002,4,FALSE),"")</f>
        <v/>
      </c>
      <c r="AO139" t="str">
        <f>+IFERROR(VLOOKUP(AO40,IN_Zugliste!$A$4:$D$2002,4,FALSE),"")</f>
        <v/>
      </c>
      <c r="AP139" t="str">
        <f>+IFERROR(VLOOKUP(AP40,IN_Zugliste!$A$4:$D$2002,4,FALSE),"")</f>
        <v/>
      </c>
      <c r="AQ139" t="str">
        <f>+IFERROR(VLOOKUP(AQ40,IN_Zugliste!$A$4:$D$2002,4,FALSE),"")</f>
        <v/>
      </c>
      <c r="AR139" t="str">
        <f>+IFERROR(VLOOKUP(AR40,IN_Zugliste!$A$4:$D$2002,4,FALSE),"")</f>
        <v/>
      </c>
      <c r="AS139" t="str">
        <f>+IFERROR(VLOOKUP(AS40,IN_Zugliste!$A$4:$D$2002,4,FALSE),"")</f>
        <v/>
      </c>
      <c r="AT139" t="str">
        <f>+IFERROR(VLOOKUP(AT40,IN_Zugliste!$A$4:$D$2002,4,FALSE),"")</f>
        <v/>
      </c>
      <c r="AU139" t="str">
        <f>+IFERROR(VLOOKUP(AU40,IN_Zugliste!$A$4:$D$2002,4,FALSE),"")</f>
        <v/>
      </c>
      <c r="AV139" t="str">
        <f>+IFERROR(VLOOKUP(AV40,IN_Zugliste!$A$4:$D$2002,4,FALSE),"")</f>
        <v/>
      </c>
      <c r="AW139" t="str">
        <f>+IFERROR(VLOOKUP(AW40,IN_Zugliste!$A$4:$D$2002,4,FALSE),"")</f>
        <v/>
      </c>
      <c r="AX139" t="str">
        <f>+IFERROR(VLOOKUP(AX40,IN_Zugliste!$A$4:$D$2002,4,FALSE),"")</f>
        <v/>
      </c>
      <c r="AY139" t="str">
        <f>+IFERROR(VLOOKUP(AY40,IN_Zugliste!$A$4:$D$2002,4,FALSE),"")</f>
        <v/>
      </c>
      <c r="AZ139" t="str">
        <f>+IFERROR(VLOOKUP(AZ40,IN_Zugliste!$A$4:$D$2002,4,FALSE),"")</f>
        <v/>
      </c>
      <c r="BA139" t="str">
        <f>+IFERROR(VLOOKUP(BA40,IN_Zugliste!$A$4:$D$2002,4,FALSE),"")</f>
        <v/>
      </c>
      <c r="BB139" t="str">
        <f>+IFERROR(VLOOKUP(BB40,IN_Zugliste!$A$4:$D$2002,4,FALSE),"")</f>
        <v/>
      </c>
      <c r="BC139" t="str">
        <f>+IFERROR(VLOOKUP(BC40,IN_Zugliste!$A$4:$D$2002,4,FALSE),"")</f>
        <v/>
      </c>
      <c r="BD139" t="str">
        <f>+IFERROR(VLOOKUP(BD40,IN_Zugliste!$A$4:$D$2002,4,FALSE),"")</f>
        <v/>
      </c>
      <c r="BE139" t="str">
        <f>+IFERROR(VLOOKUP(BE40,IN_Zugliste!$A$4:$D$2002,4,FALSE),"")</f>
        <v/>
      </c>
      <c r="BF139" t="str">
        <f>+IFERROR(VLOOKUP(BF40,IN_Zugliste!$A$4:$D$2002,4,FALSE),"")</f>
        <v/>
      </c>
      <c r="BG139" t="str">
        <f>+IFERROR(VLOOKUP(BG40,IN_Zugliste!$A$4:$D$2002,4,FALSE),"")</f>
        <v/>
      </c>
      <c r="BH139" t="str">
        <f>+IFERROR(VLOOKUP(BH40,IN_Zugliste!$A$4:$D$2002,4,FALSE),"")</f>
        <v/>
      </c>
      <c r="BI139" t="str">
        <f>+IFERROR(VLOOKUP(BI40,IN_Zugliste!$A$4:$D$2002,4,FALSE),"")</f>
        <v/>
      </c>
      <c r="BJ139" t="str">
        <f>+IFERROR(VLOOKUP(BJ40,IN_Zugliste!$A$4:$D$2002,4,FALSE),"")</f>
        <v/>
      </c>
      <c r="BK139" t="str">
        <f>+IFERROR(VLOOKUP(BK40,IN_Zugliste!$A$4:$D$2002,4,FALSE),"")</f>
        <v/>
      </c>
      <c r="BL139" t="str">
        <f>+IFERROR(VLOOKUP(BL40,IN_Zugliste!$A$4:$D$2002,4,FALSE),"")</f>
        <v/>
      </c>
      <c r="BM139" t="str">
        <f>+IFERROR(VLOOKUP(BM40,IN_Zugliste!$A$4:$D$2002,4,FALSE),"")</f>
        <v/>
      </c>
      <c r="BN139" t="str">
        <f>+IFERROR(VLOOKUP(BN40,IN_Zugliste!$A$4:$D$2002,4,FALSE),"")</f>
        <v/>
      </c>
      <c r="BO139" t="str">
        <f>+IFERROR(VLOOKUP(BO40,IN_Zugliste!$A$4:$D$2002,4,FALSE),"")</f>
        <v/>
      </c>
      <c r="BP139" t="str">
        <f>+IFERROR(VLOOKUP(BP40,IN_Zugliste!$A$4:$D$2002,4,FALSE),"")</f>
        <v/>
      </c>
      <c r="BQ139" t="str">
        <f>+IFERROR(VLOOKUP(BQ40,IN_Zugliste!$A$4:$D$2002,4,FALSE),"")</f>
        <v/>
      </c>
      <c r="BR139" t="str">
        <f>+IFERROR(VLOOKUP(BR40,IN_Zugliste!$A$4:$D$2002,4,FALSE),"")</f>
        <v/>
      </c>
      <c r="BS139" t="str">
        <f>+IFERROR(VLOOKUP(BS40,IN_Zugliste!$A$4:$D$2002,4,FALSE),"")</f>
        <v/>
      </c>
      <c r="BT139" t="str">
        <f>+IFERROR(VLOOKUP(BT40,IN_Zugliste!$A$4:$D$2002,4,FALSE),"")</f>
        <v/>
      </c>
      <c r="BU139" t="str">
        <f>+IFERROR(VLOOKUP(BU40,IN_Zugliste!$A$4:$D$2002,4,FALSE),"")</f>
        <v/>
      </c>
      <c r="BV139" t="str">
        <f>+IFERROR(VLOOKUP(BV40,IN_Zugliste!$A$4:$D$2002,4,FALSE),"")</f>
        <v/>
      </c>
      <c r="BW139" t="str">
        <f>+IFERROR(VLOOKUP(BW40,IN_Zugliste!$A$4:$D$2002,4,FALSE),"")</f>
        <v/>
      </c>
      <c r="BX139" t="str">
        <f>+IFERROR(VLOOKUP(BX40,IN_Zugliste!$A$4:$D$2002,4,FALSE),"")</f>
        <v/>
      </c>
      <c r="BY139" t="str">
        <f>+IFERROR(VLOOKUP(BY40,IN_Zugliste!$A$4:$D$2002,4,FALSE),"")</f>
        <v/>
      </c>
      <c r="BZ139" t="str">
        <f>+IFERROR(VLOOKUP(BZ40,IN_Zugliste!$A$4:$D$2002,4,FALSE),"")</f>
        <v/>
      </c>
      <c r="CA139" t="str">
        <f>+IFERROR(VLOOKUP(CA40,IN_Zugliste!$A$4:$D$2002,4,FALSE),"")</f>
        <v/>
      </c>
      <c r="CB139" t="str">
        <f>+IFERROR(VLOOKUP(CB40,IN_Zugliste!$A$4:$D$2002,4,FALSE),"")</f>
        <v/>
      </c>
      <c r="CC139" t="str">
        <f>+IFERROR(VLOOKUP(CC40,IN_Zugliste!$A$4:$D$2002,4,FALSE),"")</f>
        <v/>
      </c>
      <c r="CD139" t="str">
        <f>+IFERROR(VLOOKUP(CD40,IN_Zugliste!$A$4:$D$2002,4,FALSE),"")</f>
        <v/>
      </c>
      <c r="CE139" t="str">
        <f>+IFERROR(VLOOKUP(CE40,IN_Zugliste!$A$4:$D$2002,4,FALSE),"")</f>
        <v/>
      </c>
      <c r="CF139" t="str">
        <f>+IFERROR(VLOOKUP(CF40,IN_Zugliste!$A$4:$D$2002,4,FALSE),"")</f>
        <v/>
      </c>
      <c r="CG139" t="str">
        <f>+IFERROR(VLOOKUP(CG40,IN_Zugliste!$A$4:$D$2002,4,FALSE),"")</f>
        <v/>
      </c>
      <c r="CH139" t="str">
        <f>+IFERROR(VLOOKUP(CH40,IN_Zugliste!$A$4:$D$2002,4,FALSE),"")</f>
        <v/>
      </c>
      <c r="CI139" t="str">
        <f>+IFERROR(VLOOKUP(CI40,IN_Zugliste!$A$4:$D$2002,4,FALSE),"")</f>
        <v/>
      </c>
      <c r="CJ139" t="str">
        <f>+IFERROR(VLOOKUP(CJ40,IN_Zugliste!$A$4:$D$2002,4,FALSE),"")</f>
        <v/>
      </c>
      <c r="CK139" t="str">
        <f>+IFERROR(VLOOKUP(CK40,IN_Zugliste!$A$4:$D$2002,4,FALSE),"")</f>
        <v/>
      </c>
      <c r="CL139" t="str">
        <f>+IFERROR(VLOOKUP(CL40,IN_Zugliste!$A$4:$D$2002,4,FALSE),"")</f>
        <v/>
      </c>
      <c r="CM139" t="str">
        <f>+IFERROR(VLOOKUP(CM40,IN_Zugliste!$A$4:$D$2002,4,FALSE),"")</f>
        <v/>
      </c>
      <c r="CN139" t="str">
        <f>+IFERROR(VLOOKUP(CN40,IN_Zugliste!$A$4:$D$2002,4,FALSE),"")</f>
        <v/>
      </c>
      <c r="CO139" t="str">
        <f>+IFERROR(VLOOKUP(CO40,IN_Zugliste!$A$4:$D$2002,4,FALSE),"")</f>
        <v/>
      </c>
      <c r="CP139" t="str">
        <f>+IFERROR(VLOOKUP(CP40,IN_Zugliste!$A$4:$D$2002,4,FALSE),"")</f>
        <v/>
      </c>
      <c r="CQ139" t="str">
        <f>+IFERROR(VLOOKUP(CQ40,IN_Zugliste!$A$4:$D$2002,4,FALSE),"")</f>
        <v/>
      </c>
      <c r="CR139" t="str">
        <f>+IFERROR(VLOOKUP(CR40,IN_Zugliste!$A$4:$D$2002,4,FALSE),"")</f>
        <v/>
      </c>
      <c r="CS139" t="str">
        <f>+IFERROR(VLOOKUP(CS40,IN_Zugliste!$A$4:$D$2002,4,FALSE),"")</f>
        <v/>
      </c>
      <c r="CT139" t="str">
        <f>+IFERROR(VLOOKUP(CT40,IN_Zugliste!$A$4:$D$2002,4,FALSE),"")</f>
        <v/>
      </c>
      <c r="CU139" t="str">
        <f>+IFERROR(VLOOKUP(CU40,IN_Zugliste!$A$4:$D$2002,4,FALSE),"")</f>
        <v/>
      </c>
      <c r="CV139" t="str">
        <f>+IFERROR(VLOOKUP(CV40,IN_Zugliste!$A$4:$D$2002,4,FALSE),"")</f>
        <v/>
      </c>
      <c r="CW139" t="str">
        <f>+IFERROR(VLOOKUP(CW40,IN_Zugliste!$A$4:$D$2002,4,FALSE),"")</f>
        <v/>
      </c>
      <c r="CX139" t="str">
        <f>+IFERROR(VLOOKUP(CX40,IN_Zugliste!$A$4:$D$2002,4,FALSE),"")</f>
        <v/>
      </c>
      <c r="CY139" t="str">
        <f>+IFERROR(VLOOKUP(CY40,IN_Zugliste!$A$4:$D$2002,4,FALSE),"")</f>
        <v/>
      </c>
      <c r="CZ139" t="str">
        <f>+IFERROR(VLOOKUP(CZ40,IN_Zugliste!$A$4:$D$2002,4,FALSE),"")</f>
        <v/>
      </c>
      <c r="DA139" t="str">
        <f>+IFERROR(VLOOKUP(DA40,IN_Zugliste!$A$4:$D$2002,4,FALSE),"")</f>
        <v/>
      </c>
      <c r="DB139" t="str">
        <f>+IFERROR(VLOOKUP(DB40,IN_Zugliste!$A$4:$D$2002,4,FALSE),"")</f>
        <v/>
      </c>
      <c r="DC139" t="str">
        <f>+IFERROR(VLOOKUP(DC40,IN_Zugliste!$A$4:$D$2002,4,FALSE),"")</f>
        <v/>
      </c>
      <c r="DD139" t="str">
        <f>+IFERROR(VLOOKUP(DD40,IN_Zugliste!$A$4:$D$2002,4,FALSE),"")</f>
        <v/>
      </c>
      <c r="DE139" t="str">
        <f>+IFERROR(VLOOKUP(DE40,IN_Zugliste!$A$4:$D$2002,4,FALSE),"")</f>
        <v/>
      </c>
      <c r="DF139" t="str">
        <f>+IFERROR(VLOOKUP(DF40,IN_Zugliste!$A$4:$D$2002,4,FALSE),"")</f>
        <v/>
      </c>
      <c r="DG139" t="str">
        <f>+IFERROR(VLOOKUP(DG40,IN_Zugliste!$A$4:$D$2002,4,FALSE),"")</f>
        <v/>
      </c>
      <c r="DH139" t="str">
        <f>+IFERROR(VLOOKUP(DH40,IN_Zugliste!$A$4:$D$2002,4,FALSE),"")</f>
        <v/>
      </c>
      <c r="DI139" t="str">
        <f>+IFERROR(VLOOKUP(DI40,IN_Zugliste!$A$4:$D$2002,4,FALSE),"")</f>
        <v/>
      </c>
      <c r="DJ139" t="str">
        <f>+IFERROR(VLOOKUP(DJ40,IN_Zugliste!$A$4:$D$2002,4,FALSE),"")</f>
        <v/>
      </c>
      <c r="DK139" t="str">
        <f>+IFERROR(VLOOKUP(DK40,IN_Zugliste!$A$4:$D$2002,4,FALSE),"")</f>
        <v/>
      </c>
      <c r="DL139" t="str">
        <f>+IFERROR(VLOOKUP(DL40,IN_Zugliste!$A$4:$D$2002,4,FALSE),"")</f>
        <v/>
      </c>
      <c r="DM139" t="str">
        <f>+IFERROR(VLOOKUP(DM40,IN_Zugliste!$A$4:$D$2002,4,FALSE),"")</f>
        <v/>
      </c>
      <c r="DN139" t="str">
        <f>+IFERROR(VLOOKUP(DN40,IN_Zugliste!$A$4:$D$2002,4,FALSE),"")</f>
        <v/>
      </c>
      <c r="DO139" t="str">
        <f>+IFERROR(VLOOKUP(DO40,IN_Zugliste!$A$4:$D$2002,4,FALSE),"")</f>
        <v/>
      </c>
      <c r="DP139" t="str">
        <f>+IFERROR(VLOOKUP(DP40,IN_Zugliste!$A$4:$D$2002,4,FALSE),"")</f>
        <v/>
      </c>
      <c r="DQ139" t="str">
        <f>+IFERROR(VLOOKUP(DQ40,IN_Zugliste!$A$4:$D$2002,4,FALSE),"")</f>
        <v/>
      </c>
      <c r="DR139" t="str">
        <f>+IFERROR(VLOOKUP(DR40,IN_Zugliste!$A$4:$D$2002,4,FALSE),"")</f>
        <v/>
      </c>
      <c r="DS139" t="str">
        <f>+IFERROR(VLOOKUP(DS40,IN_Zugliste!$A$4:$D$2002,4,FALSE),"")</f>
        <v/>
      </c>
      <c r="DT139" t="str">
        <f>+IFERROR(VLOOKUP(DT40,IN_Zugliste!$A$4:$D$2002,4,FALSE),"")</f>
        <v/>
      </c>
      <c r="DU139" t="str">
        <f>+IFERROR(VLOOKUP(DU40,IN_Zugliste!$A$4:$D$2002,4,FALSE),"")</f>
        <v/>
      </c>
      <c r="DV139" t="str">
        <f>+IFERROR(VLOOKUP(DV40,IN_Zugliste!$A$4:$D$2002,4,FALSE),"")</f>
        <v/>
      </c>
      <c r="DW139" t="str">
        <f>+IFERROR(VLOOKUP(DW40,IN_Zugliste!$A$4:$D$2002,4,FALSE),"")</f>
        <v/>
      </c>
      <c r="DX139" t="str">
        <f>+IFERROR(VLOOKUP(DX40,IN_Zugliste!$A$4:$D$2002,4,FALSE),"")</f>
        <v/>
      </c>
      <c r="DY139" t="str">
        <f>+IFERROR(VLOOKUP(DY40,IN_Zugliste!$A$4:$D$2002,4,FALSE),"")</f>
        <v/>
      </c>
      <c r="DZ139" t="str">
        <f>+IFERROR(VLOOKUP(DZ40,IN_Zugliste!$A$4:$D$2002,4,FALSE),"")</f>
        <v/>
      </c>
      <c r="EA139" t="str">
        <f>+IFERROR(VLOOKUP(EA40,IN_Zugliste!$A$4:$D$2002,4,FALSE),"")</f>
        <v/>
      </c>
      <c r="EB139" t="str">
        <f>+IFERROR(VLOOKUP(EB40,IN_Zugliste!$A$4:$D$2002,4,FALSE),"")</f>
        <v/>
      </c>
      <c r="EC139" t="str">
        <f>+IFERROR(VLOOKUP(EC40,IN_Zugliste!$A$4:$D$2002,4,FALSE),"")</f>
        <v/>
      </c>
      <c r="ED139" t="str">
        <f>+IFERROR(VLOOKUP(ED40,IN_Zugliste!$A$4:$D$2002,4,FALSE),"")</f>
        <v/>
      </c>
      <c r="EE139" t="str">
        <f>+IFERROR(VLOOKUP(EE40,IN_Zugliste!$A$4:$D$2002,4,FALSE),"")</f>
        <v/>
      </c>
      <c r="EF139" t="str">
        <f>+IFERROR(VLOOKUP(EF40,IN_Zugliste!$A$4:$D$2002,4,FALSE),"")</f>
        <v/>
      </c>
      <c r="EG139" t="str">
        <f>+IFERROR(VLOOKUP(EG40,IN_Zugliste!$A$4:$D$2002,4,FALSE),"")</f>
        <v/>
      </c>
      <c r="EH139" t="str">
        <f>+IFERROR(VLOOKUP(EH40,IN_Zugliste!$A$4:$D$2002,4,FALSE),"")</f>
        <v/>
      </c>
      <c r="EI139" t="str">
        <f>+IFERROR(VLOOKUP(EI40,IN_Zugliste!$A$4:$D$2002,4,FALSE),"")</f>
        <v/>
      </c>
      <c r="EJ139" t="str">
        <f>+IFERROR(VLOOKUP(EJ40,IN_Zugliste!$A$4:$D$2002,4,FALSE),"")</f>
        <v/>
      </c>
      <c r="EK139" t="str">
        <f>+IFERROR(VLOOKUP(EK40,IN_Zugliste!$A$4:$D$2002,4,FALSE),"")</f>
        <v/>
      </c>
      <c r="EL139" t="str">
        <f>+IFERROR(VLOOKUP(EL40,IN_Zugliste!$A$4:$D$2002,4,FALSE),"")</f>
        <v/>
      </c>
      <c r="EM139" t="str">
        <f>+IFERROR(VLOOKUP(EM40,IN_Zugliste!$A$4:$D$2002,4,FALSE),"")</f>
        <v/>
      </c>
      <c r="EN139" t="str">
        <f>+IFERROR(VLOOKUP(EN40,IN_Zugliste!$A$4:$D$2002,4,FALSE),"")</f>
        <v/>
      </c>
      <c r="EO139" t="str">
        <f>+IFERROR(VLOOKUP(EO40,IN_Zugliste!$A$4:$D$2002,4,FALSE),"")</f>
        <v/>
      </c>
      <c r="EP139" t="str">
        <f>+IFERROR(VLOOKUP(EP40,IN_Zugliste!$A$4:$D$2002,4,FALSE),"")</f>
        <v/>
      </c>
      <c r="EQ139" t="str">
        <f>+IFERROR(VLOOKUP(EQ40,IN_Zugliste!$A$4:$D$2002,4,FALSE),"")</f>
        <v/>
      </c>
      <c r="ER139" t="str">
        <f>+IFERROR(VLOOKUP(ER40,IN_Zugliste!$A$4:$D$2002,4,FALSE),"")</f>
        <v/>
      </c>
      <c r="ES139" t="str">
        <f>+IFERROR(VLOOKUP(ES40,IN_Zugliste!$A$4:$D$2002,4,FALSE),"")</f>
        <v/>
      </c>
      <c r="ET139" t="str">
        <f>+IFERROR(VLOOKUP(ET40,IN_Zugliste!$A$4:$D$2002,4,FALSE),"")</f>
        <v/>
      </c>
      <c r="EU139" t="str">
        <f>+IFERROR(VLOOKUP(EU40,IN_Zugliste!$A$4:$D$2002,4,FALSE),"")</f>
        <v/>
      </c>
      <c r="EV139" t="str">
        <f>+IFERROR(VLOOKUP(EV40,IN_Zugliste!$A$4:$D$2002,4,FALSE),"")</f>
        <v/>
      </c>
      <c r="EW139" t="str">
        <f>+IFERROR(VLOOKUP(EW40,IN_Zugliste!$A$4:$D$2002,4,FALSE),"")</f>
        <v/>
      </c>
      <c r="EX139" t="str">
        <f>+IFERROR(VLOOKUP(EX40,IN_Zugliste!$A$4:$D$2002,4,FALSE),"")</f>
        <v/>
      </c>
      <c r="EY139" t="str">
        <f>+IFERROR(VLOOKUP(EY40,IN_Zugliste!$A$4:$D$2002,4,FALSE),"")</f>
        <v/>
      </c>
      <c r="EZ139" t="str">
        <f>+IFERROR(VLOOKUP(EZ40,IN_Zugliste!$A$4:$D$2002,4,FALSE),"")</f>
        <v/>
      </c>
      <c r="FA139" t="str">
        <f>+IFERROR(VLOOKUP(FA40,IN_Zugliste!$A$4:$D$2002,4,FALSE),"")</f>
        <v/>
      </c>
      <c r="FB139" t="str">
        <f>+IFERROR(VLOOKUP(FB40,IN_Zugliste!$A$4:$D$2002,4,FALSE),"")</f>
        <v/>
      </c>
      <c r="FC139" t="str">
        <f>+IFERROR(VLOOKUP(FC40,IN_Zugliste!$A$4:$D$2002,4,FALSE),"")</f>
        <v/>
      </c>
      <c r="FD139" t="str">
        <f>+IFERROR(VLOOKUP(FD40,IN_Zugliste!$A$4:$D$2002,4,FALSE),"")</f>
        <v/>
      </c>
      <c r="FE139" t="str">
        <f>+IFERROR(VLOOKUP(FE40,IN_Zugliste!$A$4:$D$2002,4,FALSE),"")</f>
        <v/>
      </c>
      <c r="FF139" t="str">
        <f>+IFERROR(VLOOKUP(FF40,IN_Zugliste!$A$4:$D$2002,4,FALSE),"")</f>
        <v/>
      </c>
      <c r="FG139" t="str">
        <f>+IFERROR(VLOOKUP(FG40,IN_Zugliste!$A$4:$D$2002,4,FALSE),"")</f>
        <v/>
      </c>
      <c r="FH139" t="str">
        <f>+IFERROR(VLOOKUP(FH40,IN_Zugliste!$A$4:$D$2002,4,FALSE),"")</f>
        <v/>
      </c>
      <c r="FI139" t="str">
        <f>+IFERROR(VLOOKUP(FI40,IN_Zugliste!$A$4:$D$2002,4,FALSE),"")</f>
        <v/>
      </c>
      <c r="FJ139" t="str">
        <f>+IFERROR(VLOOKUP(FJ40,IN_Zugliste!$A$4:$D$2002,4,FALSE),"")</f>
        <v/>
      </c>
      <c r="FK139" t="str">
        <f>+IFERROR(VLOOKUP(FK40,IN_Zugliste!$A$4:$D$2002,4,FALSE),"")</f>
        <v/>
      </c>
      <c r="FL139" t="str">
        <f>+IFERROR(VLOOKUP(FL40,IN_Zugliste!$A$4:$D$2002,4,FALSE),"")</f>
        <v/>
      </c>
      <c r="FM139" t="str">
        <f>+IFERROR(VLOOKUP(FM40,IN_Zugliste!$A$4:$C$602,4,FALSE),"")</f>
        <v/>
      </c>
      <c r="FN139" t="str">
        <f>+IFERROR(VLOOKUP(FN40,IN_Zugliste!$A$4:$C$602,4,FALSE),"")</f>
        <v/>
      </c>
      <c r="FO139" t="str">
        <f>+IFERROR(VLOOKUP(FO40,IN_Zugliste!$A$4:$C$602,4,FALSE),"")</f>
        <v/>
      </c>
      <c r="FP139" t="str">
        <f>+IFERROR(VLOOKUP(FP40,IN_Zugliste!$A$4:$C$602,4,FALSE),"")</f>
        <v/>
      </c>
      <c r="FQ139" t="str">
        <f>+IFERROR(VLOOKUP(FQ40,IN_Zugliste!$A$4:$C$602,4,FALSE),"")</f>
        <v/>
      </c>
      <c r="FR139" t="str">
        <f>+IFERROR(VLOOKUP(FR40,IN_Zugliste!$A$4:$C$602,4,FALSE),"")</f>
        <v/>
      </c>
      <c r="FS139" t="str">
        <f>+IFERROR(VLOOKUP(FS40,IN_Zugliste!$A$4:$C$602,4,FALSE),"")</f>
        <v/>
      </c>
      <c r="FT139" t="str">
        <f>+IFERROR(VLOOKUP(FT40,IN_Zugliste!$A$4:$C$602,4,FALSE),"")</f>
        <v/>
      </c>
      <c r="FU139" t="str">
        <f>+IFERROR(VLOOKUP(FU40,IN_Zugliste!$A$4:$C$602,4,FALSE),"")</f>
        <v/>
      </c>
      <c r="FV139" t="str">
        <f>+IFERROR(VLOOKUP(FV40,IN_Zugliste!$A$4:$C$602,4,FALSE),"")</f>
        <v/>
      </c>
      <c r="FW139" t="str">
        <f>+IFERROR(VLOOKUP(FW40,IN_Zugliste!$A$4:$C$602,4,FALSE),"")</f>
        <v/>
      </c>
      <c r="FX139" t="str">
        <f>+IFERROR(VLOOKUP(FX40,IN_Zugliste!$A$4:$C$602,4,FALSE),"")</f>
        <v/>
      </c>
      <c r="FY139" t="str">
        <f>+IFERROR(VLOOKUP(FY40,IN_Zugliste!$A$4:$C$602,4,FALSE),"")</f>
        <v/>
      </c>
      <c r="FZ139" t="str">
        <f>+IFERROR(VLOOKUP(FZ40,IN_Zugliste!$A$4:$C$602,4,FALSE),"")</f>
        <v/>
      </c>
      <c r="GA139" t="str">
        <f>+IFERROR(VLOOKUP(GA40,IN_Zugliste!$A$4:$C$602,4,FALSE),"")</f>
        <v/>
      </c>
      <c r="GB139" t="str">
        <f>+IFERROR(VLOOKUP(GB40,IN_Zugliste!$A$4:$C$602,4,FALSE),"")</f>
        <v/>
      </c>
      <c r="GC139" t="str">
        <f>+IFERROR(VLOOKUP(GC40,IN_Zugliste!$A$4:$C$602,4,FALSE),"")</f>
        <v/>
      </c>
      <c r="GD139" t="str">
        <f>+IFERROR(VLOOKUP(GD40,IN_Zugliste!$A$4:$C$602,4,FALSE),"")</f>
        <v/>
      </c>
      <c r="GE139" t="str">
        <f>+IFERROR(VLOOKUP(GE40,IN_Zugliste!$A$4:$C$602,4,FALSE),"")</f>
        <v/>
      </c>
      <c r="GF139" t="str">
        <f>+IFERROR(VLOOKUP(GF40,IN_Zugliste!$A$4:$C$602,4,FALSE),"")</f>
        <v/>
      </c>
      <c r="GG139" t="str">
        <f>+IFERROR(VLOOKUP(GG40,IN_Zugliste!$A$4:$C$602,4,FALSE),"")</f>
        <v/>
      </c>
      <c r="GH139" t="str">
        <f>+IFERROR(VLOOKUP(GH40,IN_Zugliste!$A$4:$C$602,4,FALSE),"")</f>
        <v/>
      </c>
      <c r="GI139" t="str">
        <f>+IFERROR(VLOOKUP(GI40,IN_Zugliste!$A$4:$C$602,4,FALSE),"")</f>
        <v/>
      </c>
      <c r="GJ139" t="str">
        <f>+IFERROR(VLOOKUP(GJ40,IN_Zugliste!$A$4:$C$602,4,FALSE),"")</f>
        <v/>
      </c>
      <c r="GK139" t="str">
        <f>+IFERROR(VLOOKUP(GK40,IN_Zugliste!$A$4:$C$602,4,FALSE),"")</f>
        <v/>
      </c>
      <c r="GL139" t="str">
        <f>+IFERROR(VLOOKUP(GL40,IN_Zugliste!$A$4:$C$602,4,FALSE),"")</f>
        <v/>
      </c>
      <c r="GM139" t="str">
        <f>+IFERROR(VLOOKUP(GM40,IN_Zugliste!$A$4:$C$602,4,FALSE),"")</f>
        <v/>
      </c>
      <c r="GN139" t="str">
        <f>+IFERROR(VLOOKUP(GN40,IN_Zugliste!$A$4:$C$602,4,FALSE),"")</f>
        <v/>
      </c>
      <c r="GO139" t="str">
        <f>+IFERROR(VLOOKUP(GO40,IN_Zugliste!$A$4:$C$602,4,FALSE),"")</f>
        <v/>
      </c>
      <c r="GP139" t="str">
        <f>+IFERROR(VLOOKUP(GP40,IN_Zugliste!$A$4:$C$602,4,FALSE),"")</f>
        <v/>
      </c>
      <c r="GQ139" t="str">
        <f>+IFERROR(VLOOKUP(GQ40,IN_Zugliste!$A$4:$C$602,4,FALSE),"")</f>
        <v/>
      </c>
      <c r="GR139" t="str">
        <f>+IFERROR(VLOOKUP(GR40,IN_Zugliste!$A$4:$C$602,4,FALSE),"")</f>
        <v/>
      </c>
      <c r="GS139" t="str">
        <f>+IFERROR(VLOOKUP(GS40,IN_Zugliste!$A$4:$C$602,4,FALSE),"")</f>
        <v/>
      </c>
      <c r="GT139" t="str">
        <f>+IFERROR(VLOOKUP(GT40,IN_Zugliste!$A$4:$C$602,4,FALSE),"")</f>
        <v/>
      </c>
      <c r="GU139" t="str">
        <f>+IFERROR(VLOOKUP(GU40,IN_Zugliste!$A$4:$C$602,4,FALSE),"")</f>
        <v/>
      </c>
      <c r="GV139" t="str">
        <f>+IFERROR(VLOOKUP(GV40,IN_Zugliste!$A$4:$C$602,4,FALSE),"")</f>
        <v/>
      </c>
      <c r="GW139" t="str">
        <f>+IFERROR(VLOOKUP(GW40,IN_Zugliste!$A$4:$C$602,4,FALSE),"")</f>
        <v/>
      </c>
      <c r="GX139" t="str">
        <f>+IFERROR(VLOOKUP(GX40,IN_Zugliste!$A$4:$C$602,4,FALSE),"")</f>
        <v/>
      </c>
      <c r="GY139" t="str">
        <f>+IFERROR(VLOOKUP(GY40,IN_Zugliste!$A$4:$C$602,4,FALSE),"")</f>
        <v/>
      </c>
      <c r="GZ139" t="str">
        <f>+IFERROR(VLOOKUP(GZ40,IN_Zugliste!$A$4:$C$602,4,FALSE),"")</f>
        <v/>
      </c>
      <c r="HA139" t="str">
        <f>+IFERROR(VLOOKUP(HA40,IN_Zugliste!$A$4:$C$602,4,FALSE),"")</f>
        <v/>
      </c>
      <c r="HB139" t="str">
        <f>+IFERROR(VLOOKUP(HB40,IN_Zugliste!$A$4:$C$602,4,FALSE),"")</f>
        <v/>
      </c>
      <c r="HC139" t="str">
        <f>+IFERROR(VLOOKUP(HC40,IN_Zugliste!$A$4:$C$602,4,FALSE),"")</f>
        <v/>
      </c>
      <c r="HD139" t="str">
        <f>+IFERROR(VLOOKUP(HD40,IN_Zugliste!$A$4:$C$602,4,FALSE),"")</f>
        <v/>
      </c>
      <c r="HE139" t="str">
        <f>+IFERROR(VLOOKUP(HE40,IN_Zugliste!$A$4:$C$602,4,FALSE),"")</f>
        <v/>
      </c>
      <c r="HF139" t="str">
        <f>+IFERROR(VLOOKUP(HF40,IN_Zugliste!$A$4:$C$602,4,FALSE),"")</f>
        <v/>
      </c>
      <c r="HG139" t="str">
        <f>+IFERROR(VLOOKUP(HG40,IN_Zugliste!$A$4:$C$602,4,FALSE),"")</f>
        <v/>
      </c>
      <c r="HH139" t="str">
        <f>+IFERROR(VLOOKUP(HH40,IN_Zugliste!$A$4:$C$602,4,FALSE),"")</f>
        <v/>
      </c>
    </row>
    <row r="140" spans="1:216" x14ac:dyDescent="0.2">
      <c r="A140" t="str">
        <f>+IFERROR(VLOOKUP(A41,IN_Zugliste!$A$4:$D$2002,4,FALSE),"")</f>
        <v/>
      </c>
      <c r="B140" t="str">
        <f>+IFERROR(VLOOKUP(B41,IN_Zugliste!$A$4:$D$2002,4,FALSE),"")</f>
        <v/>
      </c>
      <c r="C140" t="str">
        <f>+IFERROR(VLOOKUP(C41,IN_Zugliste!$A$4:$D$2002,4,FALSE),"")</f>
        <v/>
      </c>
      <c r="D140" t="str">
        <f>+IFERROR(VLOOKUP(D41,IN_Zugliste!$A$4:$D$2002,4,FALSE),"")</f>
        <v/>
      </c>
      <c r="E140" t="str">
        <f>+IFERROR(VLOOKUP(E41,IN_Zugliste!$A$4:$D$2002,4,FALSE),"")</f>
        <v/>
      </c>
      <c r="F140" t="str">
        <f>+IFERROR(VLOOKUP(F41,IN_Zugliste!$A$4:$D$2002,4,FALSE),"")</f>
        <v/>
      </c>
      <c r="G140" t="str">
        <f>+IFERROR(VLOOKUP(G41,IN_Zugliste!$A$4:$D$2002,4,FALSE),"")</f>
        <v/>
      </c>
      <c r="H140" t="str">
        <f>+IFERROR(VLOOKUP(H41,IN_Zugliste!$A$4:$D$2002,4,FALSE),"")</f>
        <v/>
      </c>
      <c r="I140" t="str">
        <f>+IFERROR(VLOOKUP(I41,IN_Zugliste!$A$4:$D$2002,4,FALSE),"")</f>
        <v/>
      </c>
      <c r="J140" t="str">
        <f>+IFERROR(VLOOKUP(J41,IN_Zugliste!$A$4:$D$2002,4,FALSE),"")</f>
        <v/>
      </c>
      <c r="K140" t="str">
        <f>+IFERROR(VLOOKUP(K41,IN_Zugliste!$A$4:$D$2002,4,FALSE),"")</f>
        <v/>
      </c>
      <c r="L140" t="str">
        <f>+IFERROR(VLOOKUP(L41,IN_Zugliste!$A$4:$D$2002,4,FALSE),"")</f>
        <v/>
      </c>
      <c r="M140" t="str">
        <f>+IFERROR(VLOOKUP(M41,IN_Zugliste!$A$4:$D$2002,4,FALSE),"")</f>
        <v/>
      </c>
      <c r="N140" t="str">
        <f>+IFERROR(VLOOKUP(N41,IN_Zugliste!$A$4:$D$2002,4,FALSE),"")</f>
        <v/>
      </c>
      <c r="O140" t="str">
        <f>+IFERROR(VLOOKUP(O41,IN_Zugliste!$A$4:$D$2002,4,FALSE),"")</f>
        <v/>
      </c>
      <c r="P140" t="str">
        <f>+IFERROR(VLOOKUP(P41,IN_Zugliste!$A$4:$D$2002,4,FALSE),"")</f>
        <v/>
      </c>
      <c r="Q140" t="str">
        <f>+IFERROR(VLOOKUP(Q41,IN_Zugliste!$A$4:$D$2002,4,FALSE),"")</f>
        <v/>
      </c>
      <c r="R140" t="str">
        <f>+IFERROR(VLOOKUP(R41,IN_Zugliste!$A$4:$D$2002,4,FALSE),"")</f>
        <v/>
      </c>
      <c r="S140" t="str">
        <f>+IFERROR(VLOOKUP(S41,IN_Zugliste!$A$4:$D$2002,4,FALSE),"")</f>
        <v/>
      </c>
      <c r="T140" t="str">
        <f>+IFERROR(VLOOKUP(T41,IN_Zugliste!$A$4:$D$2002,4,FALSE),"")</f>
        <v/>
      </c>
      <c r="U140" t="str">
        <f>+IFERROR(VLOOKUP(U41,IN_Zugliste!$A$4:$D$2002,4,FALSE),"")</f>
        <v/>
      </c>
      <c r="V140" t="str">
        <f>+IFERROR(VLOOKUP(V41,IN_Zugliste!$A$4:$D$2002,4,FALSE),"")</f>
        <v/>
      </c>
      <c r="W140" t="str">
        <f>+IFERROR(VLOOKUP(W41,IN_Zugliste!$A$4:$D$2002,4,FALSE),"")</f>
        <v/>
      </c>
      <c r="X140" t="str">
        <f>+IFERROR(VLOOKUP(X41,IN_Zugliste!$A$4:$D$2002,4,FALSE),"")</f>
        <v/>
      </c>
      <c r="Y140" t="str">
        <f>+IFERROR(VLOOKUP(Y41,IN_Zugliste!$A$4:$D$2002,4,FALSE),"")</f>
        <v/>
      </c>
      <c r="Z140" t="str">
        <f>+IFERROR(VLOOKUP(Z41,IN_Zugliste!$A$4:$D$2002,4,FALSE),"")</f>
        <v/>
      </c>
      <c r="AA140" t="str">
        <f>+IFERROR(VLOOKUP(AA41,IN_Zugliste!$A$4:$D$2002,4,FALSE),"")</f>
        <v/>
      </c>
      <c r="AB140" t="str">
        <f>+IFERROR(VLOOKUP(AB41,IN_Zugliste!$A$4:$D$2002,4,FALSE),"")</f>
        <v/>
      </c>
      <c r="AC140" t="str">
        <f>+IFERROR(VLOOKUP(AC41,IN_Zugliste!$A$4:$D$2002,4,FALSE),"")</f>
        <v/>
      </c>
      <c r="AD140" t="str">
        <f>+IFERROR(VLOOKUP(AD41,IN_Zugliste!$A$4:$D$2002,4,FALSE),"")</f>
        <v/>
      </c>
      <c r="AE140" t="str">
        <f>+IFERROR(VLOOKUP(AE41,IN_Zugliste!$A$4:$D$2002,4,FALSE),"")</f>
        <v/>
      </c>
      <c r="AF140" t="str">
        <f>+IFERROR(VLOOKUP(AF41,IN_Zugliste!$A$4:$D$2002,4,FALSE),"")</f>
        <v/>
      </c>
      <c r="AG140" t="str">
        <f>+IFERROR(VLOOKUP(AG41,IN_Zugliste!$A$4:$D$2002,4,FALSE),"")</f>
        <v/>
      </c>
      <c r="AH140" t="str">
        <f>+IFERROR(VLOOKUP(AH41,IN_Zugliste!$A$4:$D$2002,4,FALSE),"")</f>
        <v/>
      </c>
      <c r="AI140" t="str">
        <f>+IFERROR(VLOOKUP(AI41,IN_Zugliste!$A$4:$D$2002,4,FALSE),"")</f>
        <v/>
      </c>
      <c r="AJ140" t="str">
        <f>+IFERROR(VLOOKUP(AJ41,IN_Zugliste!$A$4:$D$2002,4,FALSE),"")</f>
        <v/>
      </c>
      <c r="AK140" t="str">
        <f>+IFERROR(VLOOKUP(AK41,IN_Zugliste!$A$4:$D$2002,4,FALSE),"")</f>
        <v/>
      </c>
      <c r="AL140" t="str">
        <f>+IFERROR(VLOOKUP(AL41,IN_Zugliste!$A$4:$D$2002,4,FALSE),"")</f>
        <v/>
      </c>
      <c r="AM140" t="str">
        <f>+IFERROR(VLOOKUP(AM41,IN_Zugliste!$A$4:$D$2002,4,FALSE),"")</f>
        <v/>
      </c>
      <c r="AN140" t="str">
        <f>+IFERROR(VLOOKUP(AN41,IN_Zugliste!$A$4:$D$2002,4,FALSE),"")</f>
        <v/>
      </c>
      <c r="AO140" t="str">
        <f>+IFERROR(VLOOKUP(AO41,IN_Zugliste!$A$4:$D$2002,4,FALSE),"")</f>
        <v/>
      </c>
      <c r="AP140" t="str">
        <f>+IFERROR(VLOOKUP(AP41,IN_Zugliste!$A$4:$D$2002,4,FALSE),"")</f>
        <v/>
      </c>
      <c r="AQ140" t="str">
        <f>+IFERROR(VLOOKUP(AQ41,IN_Zugliste!$A$4:$D$2002,4,FALSE),"")</f>
        <v/>
      </c>
      <c r="AR140" t="str">
        <f>+IFERROR(VLOOKUP(AR41,IN_Zugliste!$A$4:$D$2002,4,FALSE),"")</f>
        <v/>
      </c>
      <c r="AS140" t="str">
        <f>+IFERROR(VLOOKUP(AS41,IN_Zugliste!$A$4:$D$2002,4,FALSE),"")</f>
        <v/>
      </c>
      <c r="AT140" t="str">
        <f>+IFERROR(VLOOKUP(AT41,IN_Zugliste!$A$4:$D$2002,4,FALSE),"")</f>
        <v/>
      </c>
      <c r="AU140" t="str">
        <f>+IFERROR(VLOOKUP(AU41,IN_Zugliste!$A$4:$D$2002,4,FALSE),"")</f>
        <v/>
      </c>
      <c r="AV140" t="str">
        <f>+IFERROR(VLOOKUP(AV41,IN_Zugliste!$A$4:$D$2002,4,FALSE),"")</f>
        <v/>
      </c>
      <c r="AW140" t="str">
        <f>+IFERROR(VLOOKUP(AW41,IN_Zugliste!$A$4:$D$2002,4,FALSE),"")</f>
        <v/>
      </c>
      <c r="AX140" t="str">
        <f>+IFERROR(VLOOKUP(AX41,IN_Zugliste!$A$4:$D$2002,4,FALSE),"")</f>
        <v/>
      </c>
      <c r="AY140" t="str">
        <f>+IFERROR(VLOOKUP(AY41,IN_Zugliste!$A$4:$D$2002,4,FALSE),"")</f>
        <v/>
      </c>
      <c r="AZ140" t="str">
        <f>+IFERROR(VLOOKUP(AZ41,IN_Zugliste!$A$4:$D$2002,4,FALSE),"")</f>
        <v/>
      </c>
      <c r="BA140" t="str">
        <f>+IFERROR(VLOOKUP(BA41,IN_Zugliste!$A$4:$D$2002,4,FALSE),"")</f>
        <v/>
      </c>
      <c r="BB140" t="str">
        <f>+IFERROR(VLOOKUP(BB41,IN_Zugliste!$A$4:$D$2002,4,FALSE),"")</f>
        <v/>
      </c>
      <c r="BC140" t="str">
        <f>+IFERROR(VLOOKUP(BC41,IN_Zugliste!$A$4:$D$2002,4,FALSE),"")</f>
        <v/>
      </c>
      <c r="BD140" t="str">
        <f>+IFERROR(VLOOKUP(BD41,IN_Zugliste!$A$4:$D$2002,4,FALSE),"")</f>
        <v/>
      </c>
      <c r="BE140" t="str">
        <f>+IFERROR(VLOOKUP(BE41,IN_Zugliste!$A$4:$D$2002,4,FALSE),"")</f>
        <v/>
      </c>
      <c r="BF140" t="str">
        <f>+IFERROR(VLOOKUP(BF41,IN_Zugliste!$A$4:$D$2002,4,FALSE),"")</f>
        <v/>
      </c>
      <c r="BG140" t="str">
        <f>+IFERROR(VLOOKUP(BG41,IN_Zugliste!$A$4:$D$2002,4,FALSE),"")</f>
        <v/>
      </c>
      <c r="BH140" t="str">
        <f>+IFERROR(VLOOKUP(BH41,IN_Zugliste!$A$4:$D$2002,4,FALSE),"")</f>
        <v/>
      </c>
      <c r="BI140" t="str">
        <f>+IFERROR(VLOOKUP(BI41,IN_Zugliste!$A$4:$D$2002,4,FALSE),"")</f>
        <v/>
      </c>
      <c r="BJ140" t="str">
        <f>+IFERROR(VLOOKUP(BJ41,IN_Zugliste!$A$4:$D$2002,4,FALSE),"")</f>
        <v/>
      </c>
      <c r="BK140" t="str">
        <f>+IFERROR(VLOOKUP(BK41,IN_Zugliste!$A$4:$D$2002,4,FALSE),"")</f>
        <v/>
      </c>
      <c r="BL140" t="str">
        <f>+IFERROR(VLOOKUP(BL41,IN_Zugliste!$A$4:$D$2002,4,FALSE),"")</f>
        <v/>
      </c>
      <c r="BM140" t="str">
        <f>+IFERROR(VLOOKUP(BM41,IN_Zugliste!$A$4:$D$2002,4,FALSE),"")</f>
        <v/>
      </c>
      <c r="BN140" t="str">
        <f>+IFERROR(VLOOKUP(BN41,IN_Zugliste!$A$4:$D$2002,4,FALSE),"")</f>
        <v/>
      </c>
      <c r="BO140" t="str">
        <f>+IFERROR(VLOOKUP(BO41,IN_Zugliste!$A$4:$D$2002,4,FALSE),"")</f>
        <v/>
      </c>
      <c r="BP140" t="str">
        <f>+IFERROR(VLOOKUP(BP41,IN_Zugliste!$A$4:$D$2002,4,FALSE),"")</f>
        <v/>
      </c>
      <c r="BQ140" t="str">
        <f>+IFERROR(VLOOKUP(BQ41,IN_Zugliste!$A$4:$D$2002,4,FALSE),"")</f>
        <v/>
      </c>
      <c r="BR140" t="str">
        <f>+IFERROR(VLOOKUP(BR41,IN_Zugliste!$A$4:$D$2002,4,FALSE),"")</f>
        <v/>
      </c>
      <c r="BS140" t="str">
        <f>+IFERROR(VLOOKUP(BS41,IN_Zugliste!$A$4:$D$2002,4,FALSE),"")</f>
        <v/>
      </c>
      <c r="BT140" t="str">
        <f>+IFERROR(VLOOKUP(BT41,IN_Zugliste!$A$4:$D$2002,4,FALSE),"")</f>
        <v/>
      </c>
      <c r="BU140" t="str">
        <f>+IFERROR(VLOOKUP(BU41,IN_Zugliste!$A$4:$D$2002,4,FALSE),"")</f>
        <v/>
      </c>
      <c r="BV140" t="str">
        <f>+IFERROR(VLOOKUP(BV41,IN_Zugliste!$A$4:$D$2002,4,FALSE),"")</f>
        <v/>
      </c>
      <c r="BW140" t="str">
        <f>+IFERROR(VLOOKUP(BW41,IN_Zugliste!$A$4:$D$2002,4,FALSE),"")</f>
        <v/>
      </c>
      <c r="BX140" t="str">
        <f>+IFERROR(VLOOKUP(BX41,IN_Zugliste!$A$4:$D$2002,4,FALSE),"")</f>
        <v/>
      </c>
      <c r="BY140" t="str">
        <f>+IFERROR(VLOOKUP(BY41,IN_Zugliste!$A$4:$D$2002,4,FALSE),"")</f>
        <v/>
      </c>
      <c r="BZ140" t="str">
        <f>+IFERROR(VLOOKUP(BZ41,IN_Zugliste!$A$4:$D$2002,4,FALSE),"")</f>
        <v/>
      </c>
      <c r="CA140" t="str">
        <f>+IFERROR(VLOOKUP(CA41,IN_Zugliste!$A$4:$D$2002,4,FALSE),"")</f>
        <v/>
      </c>
      <c r="CB140" t="str">
        <f>+IFERROR(VLOOKUP(CB41,IN_Zugliste!$A$4:$D$2002,4,FALSE),"")</f>
        <v/>
      </c>
      <c r="CC140" t="str">
        <f>+IFERROR(VLOOKUP(CC41,IN_Zugliste!$A$4:$D$2002,4,FALSE),"")</f>
        <v/>
      </c>
      <c r="CD140" t="str">
        <f>+IFERROR(VLOOKUP(CD41,IN_Zugliste!$A$4:$D$2002,4,FALSE),"")</f>
        <v/>
      </c>
      <c r="CE140" t="str">
        <f>+IFERROR(VLOOKUP(CE41,IN_Zugliste!$A$4:$D$2002,4,FALSE),"")</f>
        <v/>
      </c>
      <c r="CF140" t="str">
        <f>+IFERROR(VLOOKUP(CF41,IN_Zugliste!$A$4:$D$2002,4,FALSE),"")</f>
        <v/>
      </c>
      <c r="CG140" t="str">
        <f>+IFERROR(VLOOKUP(CG41,IN_Zugliste!$A$4:$D$2002,4,FALSE),"")</f>
        <v/>
      </c>
      <c r="CH140" t="str">
        <f>+IFERROR(VLOOKUP(CH41,IN_Zugliste!$A$4:$D$2002,4,FALSE),"")</f>
        <v/>
      </c>
      <c r="CI140" t="str">
        <f>+IFERROR(VLOOKUP(CI41,IN_Zugliste!$A$4:$D$2002,4,FALSE),"")</f>
        <v/>
      </c>
      <c r="CJ140" t="str">
        <f>+IFERROR(VLOOKUP(CJ41,IN_Zugliste!$A$4:$D$2002,4,FALSE),"")</f>
        <v/>
      </c>
      <c r="CK140" t="str">
        <f>+IFERROR(VLOOKUP(CK41,IN_Zugliste!$A$4:$D$2002,4,FALSE),"")</f>
        <v/>
      </c>
      <c r="CL140" t="str">
        <f>+IFERROR(VLOOKUP(CL41,IN_Zugliste!$A$4:$D$2002,4,FALSE),"")</f>
        <v/>
      </c>
      <c r="CM140" t="str">
        <f>+IFERROR(VLOOKUP(CM41,IN_Zugliste!$A$4:$D$2002,4,FALSE),"")</f>
        <v/>
      </c>
      <c r="CN140" t="str">
        <f>+IFERROR(VLOOKUP(CN41,IN_Zugliste!$A$4:$D$2002,4,FALSE),"")</f>
        <v/>
      </c>
      <c r="CO140" t="str">
        <f>+IFERROR(VLOOKUP(CO41,IN_Zugliste!$A$4:$D$2002,4,FALSE),"")</f>
        <v/>
      </c>
      <c r="CP140" t="str">
        <f>+IFERROR(VLOOKUP(CP41,IN_Zugliste!$A$4:$D$2002,4,FALSE),"")</f>
        <v/>
      </c>
      <c r="CQ140" t="str">
        <f>+IFERROR(VLOOKUP(CQ41,IN_Zugliste!$A$4:$D$2002,4,FALSE),"")</f>
        <v/>
      </c>
      <c r="CR140" t="str">
        <f>+IFERROR(VLOOKUP(CR41,IN_Zugliste!$A$4:$D$2002,4,FALSE),"")</f>
        <v/>
      </c>
      <c r="CS140" t="str">
        <f>+IFERROR(VLOOKUP(CS41,IN_Zugliste!$A$4:$D$2002,4,FALSE),"")</f>
        <v/>
      </c>
      <c r="CT140" t="str">
        <f>+IFERROR(VLOOKUP(CT41,IN_Zugliste!$A$4:$D$2002,4,FALSE),"")</f>
        <v/>
      </c>
      <c r="CU140" t="str">
        <f>+IFERROR(VLOOKUP(CU41,IN_Zugliste!$A$4:$D$2002,4,FALSE),"")</f>
        <v/>
      </c>
      <c r="CV140" t="str">
        <f>+IFERROR(VLOOKUP(CV41,IN_Zugliste!$A$4:$D$2002,4,FALSE),"")</f>
        <v/>
      </c>
      <c r="CW140" t="str">
        <f>+IFERROR(VLOOKUP(CW41,IN_Zugliste!$A$4:$D$2002,4,FALSE),"")</f>
        <v/>
      </c>
      <c r="CX140" t="str">
        <f>+IFERROR(VLOOKUP(CX41,IN_Zugliste!$A$4:$D$2002,4,FALSE),"")</f>
        <v/>
      </c>
      <c r="CY140" t="str">
        <f>+IFERROR(VLOOKUP(CY41,IN_Zugliste!$A$4:$D$2002,4,FALSE),"")</f>
        <v/>
      </c>
      <c r="CZ140" t="str">
        <f>+IFERROR(VLOOKUP(CZ41,IN_Zugliste!$A$4:$D$2002,4,FALSE),"")</f>
        <v/>
      </c>
      <c r="DA140" t="str">
        <f>+IFERROR(VLOOKUP(DA41,IN_Zugliste!$A$4:$D$2002,4,FALSE),"")</f>
        <v/>
      </c>
      <c r="DB140" t="str">
        <f>+IFERROR(VLOOKUP(DB41,IN_Zugliste!$A$4:$D$2002,4,FALSE),"")</f>
        <v/>
      </c>
      <c r="DC140" t="str">
        <f>+IFERROR(VLOOKUP(DC41,IN_Zugliste!$A$4:$D$2002,4,FALSE),"")</f>
        <v/>
      </c>
      <c r="DD140" t="str">
        <f>+IFERROR(VLOOKUP(DD41,IN_Zugliste!$A$4:$D$2002,4,FALSE),"")</f>
        <v/>
      </c>
      <c r="DE140" t="str">
        <f>+IFERROR(VLOOKUP(DE41,IN_Zugliste!$A$4:$D$2002,4,FALSE),"")</f>
        <v/>
      </c>
      <c r="DF140" t="str">
        <f>+IFERROR(VLOOKUP(DF41,IN_Zugliste!$A$4:$D$2002,4,FALSE),"")</f>
        <v/>
      </c>
      <c r="DG140" t="str">
        <f>+IFERROR(VLOOKUP(DG41,IN_Zugliste!$A$4:$D$2002,4,FALSE),"")</f>
        <v/>
      </c>
      <c r="DH140" t="str">
        <f>+IFERROR(VLOOKUP(DH41,IN_Zugliste!$A$4:$D$2002,4,FALSE),"")</f>
        <v/>
      </c>
      <c r="DI140" t="str">
        <f>+IFERROR(VLOOKUP(DI41,IN_Zugliste!$A$4:$D$2002,4,FALSE),"")</f>
        <v/>
      </c>
      <c r="DJ140" t="str">
        <f>+IFERROR(VLOOKUP(DJ41,IN_Zugliste!$A$4:$D$2002,4,FALSE),"")</f>
        <v/>
      </c>
      <c r="DK140" t="str">
        <f>+IFERROR(VLOOKUP(DK41,IN_Zugliste!$A$4:$D$2002,4,FALSE),"")</f>
        <v/>
      </c>
      <c r="DL140" t="str">
        <f>+IFERROR(VLOOKUP(DL41,IN_Zugliste!$A$4:$D$2002,4,FALSE),"")</f>
        <v/>
      </c>
      <c r="DM140" t="str">
        <f>+IFERROR(VLOOKUP(DM41,IN_Zugliste!$A$4:$D$2002,4,FALSE),"")</f>
        <v/>
      </c>
      <c r="DN140" t="str">
        <f>+IFERROR(VLOOKUP(DN41,IN_Zugliste!$A$4:$D$2002,4,FALSE),"")</f>
        <v/>
      </c>
      <c r="DO140" t="str">
        <f>+IFERROR(VLOOKUP(DO41,IN_Zugliste!$A$4:$D$2002,4,FALSE),"")</f>
        <v/>
      </c>
      <c r="DP140" t="str">
        <f>+IFERROR(VLOOKUP(DP41,IN_Zugliste!$A$4:$D$2002,4,FALSE),"")</f>
        <v/>
      </c>
      <c r="DQ140" t="str">
        <f>+IFERROR(VLOOKUP(DQ41,IN_Zugliste!$A$4:$D$2002,4,FALSE),"")</f>
        <v/>
      </c>
      <c r="DR140" t="str">
        <f>+IFERROR(VLOOKUP(DR41,IN_Zugliste!$A$4:$D$2002,4,FALSE),"")</f>
        <v/>
      </c>
      <c r="DS140" t="str">
        <f>+IFERROR(VLOOKUP(DS41,IN_Zugliste!$A$4:$D$2002,4,FALSE),"")</f>
        <v/>
      </c>
      <c r="DT140" t="str">
        <f>+IFERROR(VLOOKUP(DT41,IN_Zugliste!$A$4:$D$2002,4,FALSE),"")</f>
        <v/>
      </c>
      <c r="DU140" t="str">
        <f>+IFERROR(VLOOKUP(DU41,IN_Zugliste!$A$4:$D$2002,4,FALSE),"")</f>
        <v/>
      </c>
      <c r="DV140" t="str">
        <f>+IFERROR(VLOOKUP(DV41,IN_Zugliste!$A$4:$D$2002,4,FALSE),"")</f>
        <v/>
      </c>
      <c r="DW140" t="str">
        <f>+IFERROR(VLOOKUP(DW41,IN_Zugliste!$A$4:$D$2002,4,FALSE),"")</f>
        <v/>
      </c>
      <c r="DX140" t="str">
        <f>+IFERROR(VLOOKUP(DX41,IN_Zugliste!$A$4:$D$2002,4,FALSE),"")</f>
        <v/>
      </c>
      <c r="DY140" t="str">
        <f>+IFERROR(VLOOKUP(DY41,IN_Zugliste!$A$4:$D$2002,4,FALSE),"")</f>
        <v/>
      </c>
      <c r="DZ140" t="str">
        <f>+IFERROR(VLOOKUP(DZ41,IN_Zugliste!$A$4:$D$2002,4,FALSE),"")</f>
        <v/>
      </c>
      <c r="EA140" t="str">
        <f>+IFERROR(VLOOKUP(EA41,IN_Zugliste!$A$4:$D$2002,4,FALSE),"")</f>
        <v/>
      </c>
      <c r="EB140" t="str">
        <f>+IFERROR(VLOOKUP(EB41,IN_Zugliste!$A$4:$D$2002,4,FALSE),"")</f>
        <v/>
      </c>
      <c r="EC140" t="str">
        <f>+IFERROR(VLOOKUP(EC41,IN_Zugliste!$A$4:$D$2002,4,FALSE),"")</f>
        <v/>
      </c>
      <c r="ED140" t="str">
        <f>+IFERROR(VLOOKUP(ED41,IN_Zugliste!$A$4:$D$2002,4,FALSE),"")</f>
        <v/>
      </c>
      <c r="EE140" t="str">
        <f>+IFERROR(VLOOKUP(EE41,IN_Zugliste!$A$4:$D$2002,4,FALSE),"")</f>
        <v/>
      </c>
      <c r="EF140" t="str">
        <f>+IFERROR(VLOOKUP(EF41,IN_Zugliste!$A$4:$D$2002,4,FALSE),"")</f>
        <v/>
      </c>
      <c r="EG140" t="str">
        <f>+IFERROR(VLOOKUP(EG41,IN_Zugliste!$A$4:$D$2002,4,FALSE),"")</f>
        <v/>
      </c>
      <c r="EH140" t="str">
        <f>+IFERROR(VLOOKUP(EH41,IN_Zugliste!$A$4:$D$2002,4,FALSE),"")</f>
        <v/>
      </c>
      <c r="EI140" t="str">
        <f>+IFERROR(VLOOKUP(EI41,IN_Zugliste!$A$4:$D$2002,4,FALSE),"")</f>
        <v/>
      </c>
      <c r="EJ140" t="str">
        <f>+IFERROR(VLOOKUP(EJ41,IN_Zugliste!$A$4:$D$2002,4,FALSE),"")</f>
        <v/>
      </c>
      <c r="EK140" t="str">
        <f>+IFERROR(VLOOKUP(EK41,IN_Zugliste!$A$4:$D$2002,4,FALSE),"")</f>
        <v/>
      </c>
      <c r="EL140" t="str">
        <f>+IFERROR(VLOOKUP(EL41,IN_Zugliste!$A$4:$D$2002,4,FALSE),"")</f>
        <v/>
      </c>
      <c r="EM140" t="str">
        <f>+IFERROR(VLOOKUP(EM41,IN_Zugliste!$A$4:$D$2002,4,FALSE),"")</f>
        <v/>
      </c>
      <c r="EN140" t="str">
        <f>+IFERROR(VLOOKUP(EN41,IN_Zugliste!$A$4:$D$2002,4,FALSE),"")</f>
        <v/>
      </c>
      <c r="EO140" t="str">
        <f>+IFERROR(VLOOKUP(EO41,IN_Zugliste!$A$4:$D$2002,4,FALSE),"")</f>
        <v/>
      </c>
      <c r="EP140" t="str">
        <f>+IFERROR(VLOOKUP(EP41,IN_Zugliste!$A$4:$D$2002,4,FALSE),"")</f>
        <v/>
      </c>
      <c r="EQ140" t="str">
        <f>+IFERROR(VLOOKUP(EQ41,IN_Zugliste!$A$4:$D$2002,4,FALSE),"")</f>
        <v/>
      </c>
      <c r="ER140" t="str">
        <f>+IFERROR(VLOOKUP(ER41,IN_Zugliste!$A$4:$D$2002,4,FALSE),"")</f>
        <v/>
      </c>
      <c r="ES140" t="str">
        <f>+IFERROR(VLOOKUP(ES41,IN_Zugliste!$A$4:$D$2002,4,FALSE),"")</f>
        <v/>
      </c>
      <c r="ET140" t="str">
        <f>+IFERROR(VLOOKUP(ET41,IN_Zugliste!$A$4:$D$2002,4,FALSE),"")</f>
        <v/>
      </c>
      <c r="EU140" t="str">
        <f>+IFERROR(VLOOKUP(EU41,IN_Zugliste!$A$4:$D$2002,4,FALSE),"")</f>
        <v/>
      </c>
      <c r="EV140" t="str">
        <f>+IFERROR(VLOOKUP(EV41,IN_Zugliste!$A$4:$D$2002,4,FALSE),"")</f>
        <v/>
      </c>
      <c r="EW140" t="str">
        <f>+IFERROR(VLOOKUP(EW41,IN_Zugliste!$A$4:$D$2002,4,FALSE),"")</f>
        <v/>
      </c>
      <c r="EX140" t="str">
        <f>+IFERROR(VLOOKUP(EX41,IN_Zugliste!$A$4:$D$2002,4,FALSE),"")</f>
        <v/>
      </c>
      <c r="EY140" t="str">
        <f>+IFERROR(VLOOKUP(EY41,IN_Zugliste!$A$4:$D$2002,4,FALSE),"")</f>
        <v/>
      </c>
      <c r="EZ140" t="str">
        <f>+IFERROR(VLOOKUP(EZ41,IN_Zugliste!$A$4:$D$2002,4,FALSE),"")</f>
        <v/>
      </c>
      <c r="FA140" t="str">
        <f>+IFERROR(VLOOKUP(FA41,IN_Zugliste!$A$4:$D$2002,4,FALSE),"")</f>
        <v/>
      </c>
      <c r="FB140" t="str">
        <f>+IFERROR(VLOOKUP(FB41,IN_Zugliste!$A$4:$D$2002,4,FALSE),"")</f>
        <v/>
      </c>
      <c r="FC140" t="str">
        <f>+IFERROR(VLOOKUP(FC41,IN_Zugliste!$A$4:$D$2002,4,FALSE),"")</f>
        <v/>
      </c>
      <c r="FD140" t="str">
        <f>+IFERROR(VLOOKUP(FD41,IN_Zugliste!$A$4:$D$2002,4,FALSE),"")</f>
        <v/>
      </c>
      <c r="FE140" t="str">
        <f>+IFERROR(VLOOKUP(FE41,IN_Zugliste!$A$4:$D$2002,4,FALSE),"")</f>
        <v/>
      </c>
      <c r="FF140" t="str">
        <f>+IFERROR(VLOOKUP(FF41,IN_Zugliste!$A$4:$D$2002,4,FALSE),"")</f>
        <v/>
      </c>
      <c r="FG140" t="str">
        <f>+IFERROR(VLOOKUP(FG41,IN_Zugliste!$A$4:$D$2002,4,FALSE),"")</f>
        <v/>
      </c>
      <c r="FH140" t="str">
        <f>+IFERROR(VLOOKUP(FH41,IN_Zugliste!$A$4:$D$2002,4,FALSE),"")</f>
        <v/>
      </c>
      <c r="FI140" t="str">
        <f>+IFERROR(VLOOKUP(FI41,IN_Zugliste!$A$4:$D$2002,4,FALSE),"")</f>
        <v/>
      </c>
      <c r="FJ140" t="str">
        <f>+IFERROR(VLOOKUP(FJ41,IN_Zugliste!$A$4:$D$2002,4,FALSE),"")</f>
        <v/>
      </c>
      <c r="FK140" t="str">
        <f>+IFERROR(VLOOKUP(FK41,IN_Zugliste!$A$4:$D$2002,4,FALSE),"")</f>
        <v/>
      </c>
      <c r="FL140" t="str">
        <f>+IFERROR(VLOOKUP(FL41,IN_Zugliste!$A$4:$D$2002,4,FALSE),"")</f>
        <v/>
      </c>
      <c r="FM140" t="str">
        <f>+IFERROR(VLOOKUP(FM41,IN_Zugliste!$A$4:$C$602,4,FALSE),"")</f>
        <v/>
      </c>
      <c r="FN140" t="str">
        <f>+IFERROR(VLOOKUP(FN41,IN_Zugliste!$A$4:$C$602,4,FALSE),"")</f>
        <v/>
      </c>
      <c r="FO140" t="str">
        <f>+IFERROR(VLOOKUP(FO41,IN_Zugliste!$A$4:$C$602,4,FALSE),"")</f>
        <v/>
      </c>
      <c r="FP140" t="str">
        <f>+IFERROR(VLOOKUP(FP41,IN_Zugliste!$A$4:$C$602,4,FALSE),"")</f>
        <v/>
      </c>
      <c r="FQ140" t="str">
        <f>+IFERROR(VLOOKUP(FQ41,IN_Zugliste!$A$4:$C$602,4,FALSE),"")</f>
        <v/>
      </c>
      <c r="FR140" t="str">
        <f>+IFERROR(VLOOKUP(FR41,IN_Zugliste!$A$4:$C$602,4,FALSE),"")</f>
        <v/>
      </c>
      <c r="FS140" t="str">
        <f>+IFERROR(VLOOKUP(FS41,IN_Zugliste!$A$4:$C$602,4,FALSE),"")</f>
        <v/>
      </c>
      <c r="FT140" t="str">
        <f>+IFERROR(VLOOKUP(FT41,IN_Zugliste!$A$4:$C$602,4,FALSE),"")</f>
        <v/>
      </c>
      <c r="FU140" t="str">
        <f>+IFERROR(VLOOKUP(FU41,IN_Zugliste!$A$4:$C$602,4,FALSE),"")</f>
        <v/>
      </c>
      <c r="FV140" t="str">
        <f>+IFERROR(VLOOKUP(FV41,IN_Zugliste!$A$4:$C$602,4,FALSE),"")</f>
        <v/>
      </c>
      <c r="FW140" t="str">
        <f>+IFERROR(VLOOKUP(FW41,IN_Zugliste!$A$4:$C$602,4,FALSE),"")</f>
        <v/>
      </c>
      <c r="FX140" t="str">
        <f>+IFERROR(VLOOKUP(FX41,IN_Zugliste!$A$4:$C$602,4,FALSE),"")</f>
        <v/>
      </c>
      <c r="FY140" t="str">
        <f>+IFERROR(VLOOKUP(FY41,IN_Zugliste!$A$4:$C$602,4,FALSE),"")</f>
        <v/>
      </c>
      <c r="FZ140" t="str">
        <f>+IFERROR(VLOOKUP(FZ41,IN_Zugliste!$A$4:$C$602,4,FALSE),"")</f>
        <v/>
      </c>
      <c r="GA140" t="str">
        <f>+IFERROR(VLOOKUP(GA41,IN_Zugliste!$A$4:$C$602,4,FALSE),"")</f>
        <v/>
      </c>
      <c r="GB140" t="str">
        <f>+IFERROR(VLOOKUP(GB41,IN_Zugliste!$A$4:$C$602,4,FALSE),"")</f>
        <v/>
      </c>
      <c r="GC140" t="str">
        <f>+IFERROR(VLOOKUP(GC41,IN_Zugliste!$A$4:$C$602,4,FALSE),"")</f>
        <v/>
      </c>
      <c r="GD140" t="str">
        <f>+IFERROR(VLOOKUP(GD41,IN_Zugliste!$A$4:$C$602,4,FALSE),"")</f>
        <v/>
      </c>
      <c r="GE140" t="str">
        <f>+IFERROR(VLOOKUP(GE41,IN_Zugliste!$A$4:$C$602,4,FALSE),"")</f>
        <v/>
      </c>
      <c r="GF140" t="str">
        <f>+IFERROR(VLOOKUP(GF41,IN_Zugliste!$A$4:$C$602,4,FALSE),"")</f>
        <v/>
      </c>
      <c r="GG140" t="str">
        <f>+IFERROR(VLOOKUP(GG41,IN_Zugliste!$A$4:$C$602,4,FALSE),"")</f>
        <v/>
      </c>
      <c r="GH140" t="str">
        <f>+IFERROR(VLOOKUP(GH41,IN_Zugliste!$A$4:$C$602,4,FALSE),"")</f>
        <v/>
      </c>
      <c r="GI140" t="str">
        <f>+IFERROR(VLOOKUP(GI41,IN_Zugliste!$A$4:$C$602,4,FALSE),"")</f>
        <v/>
      </c>
      <c r="GJ140" t="str">
        <f>+IFERROR(VLOOKUP(GJ41,IN_Zugliste!$A$4:$C$602,4,FALSE),"")</f>
        <v/>
      </c>
      <c r="GK140" t="str">
        <f>+IFERROR(VLOOKUP(GK41,IN_Zugliste!$A$4:$C$602,4,FALSE),"")</f>
        <v/>
      </c>
      <c r="GL140" t="str">
        <f>+IFERROR(VLOOKUP(GL41,IN_Zugliste!$A$4:$C$602,4,FALSE),"")</f>
        <v/>
      </c>
      <c r="GM140" t="str">
        <f>+IFERROR(VLOOKUP(GM41,IN_Zugliste!$A$4:$C$602,4,FALSE),"")</f>
        <v/>
      </c>
      <c r="GN140" t="str">
        <f>+IFERROR(VLOOKUP(GN41,IN_Zugliste!$A$4:$C$602,4,FALSE),"")</f>
        <v/>
      </c>
      <c r="GO140" t="str">
        <f>+IFERROR(VLOOKUP(GO41,IN_Zugliste!$A$4:$C$602,4,FALSE),"")</f>
        <v/>
      </c>
      <c r="GP140" t="str">
        <f>+IFERROR(VLOOKUP(GP41,IN_Zugliste!$A$4:$C$602,4,FALSE),"")</f>
        <v/>
      </c>
      <c r="GQ140" t="str">
        <f>+IFERROR(VLOOKUP(GQ41,IN_Zugliste!$A$4:$C$602,4,FALSE),"")</f>
        <v/>
      </c>
      <c r="GR140" t="str">
        <f>+IFERROR(VLOOKUP(GR41,IN_Zugliste!$A$4:$C$602,4,FALSE),"")</f>
        <v/>
      </c>
      <c r="GS140" t="str">
        <f>+IFERROR(VLOOKUP(GS41,IN_Zugliste!$A$4:$C$602,4,FALSE),"")</f>
        <v/>
      </c>
      <c r="GT140" t="str">
        <f>+IFERROR(VLOOKUP(GT41,IN_Zugliste!$A$4:$C$602,4,FALSE),"")</f>
        <v/>
      </c>
      <c r="GU140" t="str">
        <f>+IFERROR(VLOOKUP(GU41,IN_Zugliste!$A$4:$C$602,4,FALSE),"")</f>
        <v/>
      </c>
      <c r="GV140" t="str">
        <f>+IFERROR(VLOOKUP(GV41,IN_Zugliste!$A$4:$C$602,4,FALSE),"")</f>
        <v/>
      </c>
      <c r="GW140" t="str">
        <f>+IFERROR(VLOOKUP(GW41,IN_Zugliste!$A$4:$C$602,4,FALSE),"")</f>
        <v/>
      </c>
      <c r="GX140" t="str">
        <f>+IFERROR(VLOOKUP(GX41,IN_Zugliste!$A$4:$C$602,4,FALSE),"")</f>
        <v/>
      </c>
      <c r="GY140" t="str">
        <f>+IFERROR(VLOOKUP(GY41,IN_Zugliste!$A$4:$C$602,4,FALSE),"")</f>
        <v/>
      </c>
      <c r="GZ140" t="str">
        <f>+IFERROR(VLOOKUP(GZ41,IN_Zugliste!$A$4:$C$602,4,FALSE),"")</f>
        <v/>
      </c>
      <c r="HA140" t="str">
        <f>+IFERROR(VLOOKUP(HA41,IN_Zugliste!$A$4:$C$602,4,FALSE),"")</f>
        <v/>
      </c>
      <c r="HB140" t="str">
        <f>+IFERROR(VLOOKUP(HB41,IN_Zugliste!$A$4:$C$602,4,FALSE),"")</f>
        <v/>
      </c>
      <c r="HC140" t="str">
        <f>+IFERROR(VLOOKUP(HC41,IN_Zugliste!$A$4:$C$602,4,FALSE),"")</f>
        <v/>
      </c>
      <c r="HD140" t="str">
        <f>+IFERROR(VLOOKUP(HD41,IN_Zugliste!$A$4:$C$602,4,FALSE),"")</f>
        <v/>
      </c>
      <c r="HE140" t="str">
        <f>+IFERROR(VLOOKUP(HE41,IN_Zugliste!$A$4:$C$602,4,FALSE),"")</f>
        <v/>
      </c>
      <c r="HF140" t="str">
        <f>+IFERROR(VLOOKUP(HF41,IN_Zugliste!$A$4:$C$602,4,FALSE),"")</f>
        <v/>
      </c>
      <c r="HG140" t="str">
        <f>+IFERROR(VLOOKUP(HG41,IN_Zugliste!$A$4:$C$602,4,FALSE),"")</f>
        <v/>
      </c>
      <c r="HH140" t="str">
        <f>+IFERROR(VLOOKUP(HH41,IN_Zugliste!$A$4:$C$602,4,FALSE),"")</f>
        <v/>
      </c>
    </row>
    <row r="141" spans="1:216" x14ac:dyDescent="0.2">
      <c r="A141" t="str">
        <f>+IFERROR(VLOOKUP(A42,IN_Zugliste!$A$4:$D$2002,4,FALSE),"")</f>
        <v/>
      </c>
      <c r="B141" t="str">
        <f>+IFERROR(VLOOKUP(B42,IN_Zugliste!$A$4:$D$2002,4,FALSE),"")</f>
        <v/>
      </c>
      <c r="C141" t="str">
        <f>+IFERROR(VLOOKUP(C42,IN_Zugliste!$A$4:$D$2002,4,FALSE),"")</f>
        <v/>
      </c>
      <c r="D141" t="str">
        <f>+IFERROR(VLOOKUP(D42,IN_Zugliste!$A$4:$D$2002,4,FALSE),"")</f>
        <v/>
      </c>
      <c r="E141" t="str">
        <f>+IFERROR(VLOOKUP(E42,IN_Zugliste!$A$4:$D$2002,4,FALSE),"")</f>
        <v/>
      </c>
      <c r="F141" t="str">
        <f>+IFERROR(VLOOKUP(F42,IN_Zugliste!$A$4:$D$2002,4,FALSE),"")</f>
        <v/>
      </c>
      <c r="G141" t="str">
        <f>+IFERROR(VLOOKUP(G42,IN_Zugliste!$A$4:$D$2002,4,FALSE),"")</f>
        <v/>
      </c>
      <c r="H141" t="str">
        <f>+IFERROR(VLOOKUP(H42,IN_Zugliste!$A$4:$D$2002,4,FALSE),"")</f>
        <v/>
      </c>
      <c r="I141" t="str">
        <f>+IFERROR(VLOOKUP(I42,IN_Zugliste!$A$4:$D$2002,4,FALSE),"")</f>
        <v/>
      </c>
      <c r="J141" t="str">
        <f>+IFERROR(VLOOKUP(J42,IN_Zugliste!$A$4:$D$2002,4,FALSE),"")</f>
        <v/>
      </c>
      <c r="K141" t="str">
        <f>+IFERROR(VLOOKUP(K42,IN_Zugliste!$A$4:$D$2002,4,FALSE),"")</f>
        <v/>
      </c>
      <c r="L141" t="str">
        <f>+IFERROR(VLOOKUP(L42,IN_Zugliste!$A$4:$D$2002,4,FALSE),"")</f>
        <v/>
      </c>
      <c r="M141" t="str">
        <f>+IFERROR(VLOOKUP(M42,IN_Zugliste!$A$4:$D$2002,4,FALSE),"")</f>
        <v/>
      </c>
      <c r="N141" t="str">
        <f>+IFERROR(VLOOKUP(N42,IN_Zugliste!$A$4:$D$2002,4,FALSE),"")</f>
        <v/>
      </c>
      <c r="O141" t="str">
        <f>+IFERROR(VLOOKUP(O42,IN_Zugliste!$A$4:$D$2002,4,FALSE),"")</f>
        <v/>
      </c>
      <c r="P141" t="str">
        <f>+IFERROR(VLOOKUP(P42,IN_Zugliste!$A$4:$D$2002,4,FALSE),"")</f>
        <v/>
      </c>
      <c r="Q141" t="str">
        <f>+IFERROR(VLOOKUP(Q42,IN_Zugliste!$A$4:$D$2002,4,FALSE),"")</f>
        <v/>
      </c>
      <c r="R141" t="str">
        <f>+IFERROR(VLOOKUP(R42,IN_Zugliste!$A$4:$D$2002,4,FALSE),"")</f>
        <v/>
      </c>
      <c r="S141" t="str">
        <f>+IFERROR(VLOOKUP(S42,IN_Zugliste!$A$4:$D$2002,4,FALSE),"")</f>
        <v/>
      </c>
      <c r="T141" t="str">
        <f>+IFERROR(VLOOKUP(T42,IN_Zugliste!$A$4:$D$2002,4,FALSE),"")</f>
        <v/>
      </c>
      <c r="U141" t="str">
        <f>+IFERROR(VLOOKUP(U42,IN_Zugliste!$A$4:$D$2002,4,FALSE),"")</f>
        <v/>
      </c>
      <c r="V141" t="str">
        <f>+IFERROR(VLOOKUP(V42,IN_Zugliste!$A$4:$D$2002,4,FALSE),"")</f>
        <v/>
      </c>
      <c r="W141" t="str">
        <f>+IFERROR(VLOOKUP(W42,IN_Zugliste!$A$4:$D$2002,4,FALSE),"")</f>
        <v/>
      </c>
      <c r="X141" t="str">
        <f>+IFERROR(VLOOKUP(X42,IN_Zugliste!$A$4:$D$2002,4,FALSE),"")</f>
        <v/>
      </c>
      <c r="Y141" t="str">
        <f>+IFERROR(VLOOKUP(Y42,IN_Zugliste!$A$4:$D$2002,4,FALSE),"")</f>
        <v/>
      </c>
      <c r="Z141" t="str">
        <f>+IFERROR(VLOOKUP(Z42,IN_Zugliste!$A$4:$D$2002,4,FALSE),"")</f>
        <v/>
      </c>
      <c r="AA141" t="str">
        <f>+IFERROR(VLOOKUP(AA42,IN_Zugliste!$A$4:$D$2002,4,FALSE),"")</f>
        <v/>
      </c>
      <c r="AB141" t="str">
        <f>+IFERROR(VLOOKUP(AB42,IN_Zugliste!$A$4:$D$2002,4,FALSE),"")</f>
        <v/>
      </c>
      <c r="AC141" t="str">
        <f>+IFERROR(VLOOKUP(AC42,IN_Zugliste!$A$4:$D$2002,4,FALSE),"")</f>
        <v/>
      </c>
      <c r="AD141" t="str">
        <f>+IFERROR(VLOOKUP(AD42,IN_Zugliste!$A$4:$D$2002,4,FALSE),"")</f>
        <v/>
      </c>
      <c r="AE141" t="str">
        <f>+IFERROR(VLOOKUP(AE42,IN_Zugliste!$A$4:$D$2002,4,FALSE),"")</f>
        <v/>
      </c>
      <c r="AF141" t="str">
        <f>+IFERROR(VLOOKUP(AF42,IN_Zugliste!$A$4:$D$2002,4,FALSE),"")</f>
        <v/>
      </c>
      <c r="AG141" t="str">
        <f>+IFERROR(VLOOKUP(AG42,IN_Zugliste!$A$4:$D$2002,4,FALSE),"")</f>
        <v/>
      </c>
      <c r="AH141" t="str">
        <f>+IFERROR(VLOOKUP(AH42,IN_Zugliste!$A$4:$D$2002,4,FALSE),"")</f>
        <v/>
      </c>
      <c r="AI141" t="str">
        <f>+IFERROR(VLOOKUP(AI42,IN_Zugliste!$A$4:$D$2002,4,FALSE),"")</f>
        <v/>
      </c>
      <c r="AJ141" t="str">
        <f>+IFERROR(VLOOKUP(AJ42,IN_Zugliste!$A$4:$D$2002,4,FALSE),"")</f>
        <v/>
      </c>
      <c r="AK141" t="str">
        <f>+IFERROR(VLOOKUP(AK42,IN_Zugliste!$A$4:$D$2002,4,FALSE),"")</f>
        <v/>
      </c>
      <c r="AL141" t="str">
        <f>+IFERROR(VLOOKUP(AL42,IN_Zugliste!$A$4:$D$2002,4,FALSE),"")</f>
        <v/>
      </c>
      <c r="AM141" t="str">
        <f>+IFERROR(VLOOKUP(AM42,IN_Zugliste!$A$4:$D$2002,4,FALSE),"")</f>
        <v/>
      </c>
      <c r="AN141" t="str">
        <f>+IFERROR(VLOOKUP(AN42,IN_Zugliste!$A$4:$D$2002,4,FALSE),"")</f>
        <v/>
      </c>
      <c r="AO141" t="str">
        <f>+IFERROR(VLOOKUP(AO42,IN_Zugliste!$A$4:$D$2002,4,FALSE),"")</f>
        <v/>
      </c>
      <c r="AP141" t="str">
        <f>+IFERROR(VLOOKUP(AP42,IN_Zugliste!$A$4:$D$2002,4,FALSE),"")</f>
        <v/>
      </c>
      <c r="AQ141" t="str">
        <f>+IFERROR(VLOOKUP(AQ42,IN_Zugliste!$A$4:$D$2002,4,FALSE),"")</f>
        <v/>
      </c>
      <c r="AR141" t="str">
        <f>+IFERROR(VLOOKUP(AR42,IN_Zugliste!$A$4:$D$2002,4,FALSE),"")</f>
        <v/>
      </c>
      <c r="AS141" t="str">
        <f>+IFERROR(VLOOKUP(AS42,IN_Zugliste!$A$4:$D$2002,4,FALSE),"")</f>
        <v/>
      </c>
      <c r="AT141" t="str">
        <f>+IFERROR(VLOOKUP(AT42,IN_Zugliste!$A$4:$D$2002,4,FALSE),"")</f>
        <v/>
      </c>
      <c r="AU141" t="str">
        <f>+IFERROR(VLOOKUP(AU42,IN_Zugliste!$A$4:$D$2002,4,FALSE),"")</f>
        <v/>
      </c>
      <c r="AV141" t="str">
        <f>+IFERROR(VLOOKUP(AV42,IN_Zugliste!$A$4:$D$2002,4,FALSE),"")</f>
        <v/>
      </c>
      <c r="AW141" t="str">
        <f>+IFERROR(VLOOKUP(AW42,IN_Zugliste!$A$4:$D$2002,4,FALSE),"")</f>
        <v/>
      </c>
      <c r="AX141" t="str">
        <f>+IFERROR(VLOOKUP(AX42,IN_Zugliste!$A$4:$D$2002,4,FALSE),"")</f>
        <v/>
      </c>
      <c r="AY141" t="str">
        <f>+IFERROR(VLOOKUP(AY42,IN_Zugliste!$A$4:$D$2002,4,FALSE),"")</f>
        <v/>
      </c>
      <c r="AZ141" t="str">
        <f>+IFERROR(VLOOKUP(AZ42,IN_Zugliste!$A$4:$D$2002,4,FALSE),"")</f>
        <v/>
      </c>
      <c r="BA141" t="str">
        <f>+IFERROR(VLOOKUP(BA42,IN_Zugliste!$A$4:$D$2002,4,FALSE),"")</f>
        <v/>
      </c>
      <c r="BB141" t="str">
        <f>+IFERROR(VLOOKUP(BB42,IN_Zugliste!$A$4:$D$2002,4,FALSE),"")</f>
        <v/>
      </c>
      <c r="BC141" t="str">
        <f>+IFERROR(VLOOKUP(BC42,IN_Zugliste!$A$4:$D$2002,4,FALSE),"")</f>
        <v/>
      </c>
      <c r="BD141" t="str">
        <f>+IFERROR(VLOOKUP(BD42,IN_Zugliste!$A$4:$D$2002,4,FALSE),"")</f>
        <v/>
      </c>
      <c r="BE141" t="str">
        <f>+IFERROR(VLOOKUP(BE42,IN_Zugliste!$A$4:$D$2002,4,FALSE),"")</f>
        <v/>
      </c>
      <c r="BF141" t="str">
        <f>+IFERROR(VLOOKUP(BF42,IN_Zugliste!$A$4:$D$2002,4,FALSE),"")</f>
        <v/>
      </c>
      <c r="BG141" t="str">
        <f>+IFERROR(VLOOKUP(BG42,IN_Zugliste!$A$4:$D$2002,4,FALSE),"")</f>
        <v/>
      </c>
      <c r="BH141" t="str">
        <f>+IFERROR(VLOOKUP(BH42,IN_Zugliste!$A$4:$D$2002,4,FALSE),"")</f>
        <v/>
      </c>
      <c r="BI141" t="str">
        <f>+IFERROR(VLOOKUP(BI42,IN_Zugliste!$A$4:$D$2002,4,FALSE),"")</f>
        <v/>
      </c>
      <c r="BJ141" t="str">
        <f>+IFERROR(VLOOKUP(BJ42,IN_Zugliste!$A$4:$D$2002,4,FALSE),"")</f>
        <v/>
      </c>
      <c r="BK141" t="str">
        <f>+IFERROR(VLOOKUP(BK42,IN_Zugliste!$A$4:$D$2002,4,FALSE),"")</f>
        <v/>
      </c>
      <c r="BL141" t="str">
        <f>+IFERROR(VLOOKUP(BL42,IN_Zugliste!$A$4:$D$2002,4,FALSE),"")</f>
        <v/>
      </c>
      <c r="BM141" t="str">
        <f>+IFERROR(VLOOKUP(BM42,IN_Zugliste!$A$4:$D$2002,4,FALSE),"")</f>
        <v/>
      </c>
      <c r="BN141" t="str">
        <f>+IFERROR(VLOOKUP(BN42,IN_Zugliste!$A$4:$D$2002,4,FALSE),"")</f>
        <v/>
      </c>
      <c r="BO141" t="str">
        <f>+IFERROR(VLOOKUP(BO42,IN_Zugliste!$A$4:$D$2002,4,FALSE),"")</f>
        <v/>
      </c>
      <c r="BP141" t="str">
        <f>+IFERROR(VLOOKUP(BP42,IN_Zugliste!$A$4:$D$2002,4,FALSE),"")</f>
        <v/>
      </c>
      <c r="BQ141" t="str">
        <f>+IFERROR(VLOOKUP(BQ42,IN_Zugliste!$A$4:$D$2002,4,FALSE),"")</f>
        <v/>
      </c>
      <c r="BR141" t="str">
        <f>+IFERROR(VLOOKUP(BR42,IN_Zugliste!$A$4:$D$2002,4,FALSE),"")</f>
        <v/>
      </c>
      <c r="BS141" t="str">
        <f>+IFERROR(VLOOKUP(BS42,IN_Zugliste!$A$4:$D$2002,4,FALSE),"")</f>
        <v/>
      </c>
      <c r="BT141" t="str">
        <f>+IFERROR(VLOOKUP(BT42,IN_Zugliste!$A$4:$D$2002,4,FALSE),"")</f>
        <v/>
      </c>
      <c r="BU141" t="str">
        <f>+IFERROR(VLOOKUP(BU42,IN_Zugliste!$A$4:$D$2002,4,FALSE),"")</f>
        <v/>
      </c>
      <c r="BV141" t="str">
        <f>+IFERROR(VLOOKUP(BV42,IN_Zugliste!$A$4:$D$2002,4,FALSE),"")</f>
        <v/>
      </c>
      <c r="BW141" t="str">
        <f>+IFERROR(VLOOKUP(BW42,IN_Zugliste!$A$4:$D$2002,4,FALSE),"")</f>
        <v/>
      </c>
      <c r="BX141" t="str">
        <f>+IFERROR(VLOOKUP(BX42,IN_Zugliste!$A$4:$D$2002,4,FALSE),"")</f>
        <v/>
      </c>
      <c r="BY141" t="str">
        <f>+IFERROR(VLOOKUP(BY42,IN_Zugliste!$A$4:$D$2002,4,FALSE),"")</f>
        <v/>
      </c>
      <c r="BZ141" t="str">
        <f>+IFERROR(VLOOKUP(BZ42,IN_Zugliste!$A$4:$D$2002,4,FALSE),"")</f>
        <v/>
      </c>
      <c r="CA141" t="str">
        <f>+IFERROR(VLOOKUP(CA42,IN_Zugliste!$A$4:$D$2002,4,FALSE),"")</f>
        <v/>
      </c>
      <c r="CB141" t="str">
        <f>+IFERROR(VLOOKUP(CB42,IN_Zugliste!$A$4:$D$2002,4,FALSE),"")</f>
        <v/>
      </c>
      <c r="CC141" t="str">
        <f>+IFERROR(VLOOKUP(CC42,IN_Zugliste!$A$4:$D$2002,4,FALSE),"")</f>
        <v/>
      </c>
      <c r="CD141" t="str">
        <f>+IFERROR(VLOOKUP(CD42,IN_Zugliste!$A$4:$D$2002,4,FALSE),"")</f>
        <v/>
      </c>
      <c r="CE141" t="str">
        <f>+IFERROR(VLOOKUP(CE42,IN_Zugliste!$A$4:$D$2002,4,FALSE),"")</f>
        <v/>
      </c>
      <c r="CF141" t="str">
        <f>+IFERROR(VLOOKUP(CF42,IN_Zugliste!$A$4:$D$2002,4,FALSE),"")</f>
        <v/>
      </c>
      <c r="CG141" t="str">
        <f>+IFERROR(VLOOKUP(CG42,IN_Zugliste!$A$4:$D$2002,4,FALSE),"")</f>
        <v/>
      </c>
      <c r="CH141" t="str">
        <f>+IFERROR(VLOOKUP(CH42,IN_Zugliste!$A$4:$D$2002,4,FALSE),"")</f>
        <v/>
      </c>
      <c r="CI141" t="str">
        <f>+IFERROR(VLOOKUP(CI42,IN_Zugliste!$A$4:$D$2002,4,FALSE),"")</f>
        <v/>
      </c>
      <c r="CJ141" t="str">
        <f>+IFERROR(VLOOKUP(CJ42,IN_Zugliste!$A$4:$D$2002,4,FALSE),"")</f>
        <v/>
      </c>
      <c r="CK141" t="str">
        <f>+IFERROR(VLOOKUP(CK42,IN_Zugliste!$A$4:$D$2002,4,FALSE),"")</f>
        <v/>
      </c>
      <c r="CL141" t="str">
        <f>+IFERROR(VLOOKUP(CL42,IN_Zugliste!$A$4:$D$2002,4,FALSE),"")</f>
        <v/>
      </c>
      <c r="CM141" t="str">
        <f>+IFERROR(VLOOKUP(CM42,IN_Zugliste!$A$4:$D$2002,4,FALSE),"")</f>
        <v/>
      </c>
      <c r="CN141" t="str">
        <f>+IFERROR(VLOOKUP(CN42,IN_Zugliste!$A$4:$D$2002,4,FALSE),"")</f>
        <v/>
      </c>
      <c r="CO141" t="str">
        <f>+IFERROR(VLOOKUP(CO42,IN_Zugliste!$A$4:$D$2002,4,FALSE),"")</f>
        <v/>
      </c>
      <c r="CP141" t="str">
        <f>+IFERROR(VLOOKUP(CP42,IN_Zugliste!$A$4:$D$2002,4,FALSE),"")</f>
        <v/>
      </c>
      <c r="CQ141" t="str">
        <f>+IFERROR(VLOOKUP(CQ42,IN_Zugliste!$A$4:$D$2002,4,FALSE),"")</f>
        <v/>
      </c>
      <c r="CR141" t="str">
        <f>+IFERROR(VLOOKUP(CR42,IN_Zugliste!$A$4:$D$2002,4,FALSE),"")</f>
        <v/>
      </c>
      <c r="CS141" t="str">
        <f>+IFERROR(VLOOKUP(CS42,IN_Zugliste!$A$4:$D$2002,4,FALSE),"")</f>
        <v/>
      </c>
      <c r="CT141" t="str">
        <f>+IFERROR(VLOOKUP(CT42,IN_Zugliste!$A$4:$D$2002,4,FALSE),"")</f>
        <v/>
      </c>
      <c r="CU141" t="str">
        <f>+IFERROR(VLOOKUP(CU42,IN_Zugliste!$A$4:$D$2002,4,FALSE),"")</f>
        <v/>
      </c>
      <c r="CV141" t="str">
        <f>+IFERROR(VLOOKUP(CV42,IN_Zugliste!$A$4:$D$2002,4,FALSE),"")</f>
        <v/>
      </c>
      <c r="CW141" t="str">
        <f>+IFERROR(VLOOKUP(CW42,IN_Zugliste!$A$4:$D$2002,4,FALSE),"")</f>
        <v/>
      </c>
      <c r="CX141" t="str">
        <f>+IFERROR(VLOOKUP(CX42,IN_Zugliste!$A$4:$D$2002,4,FALSE),"")</f>
        <v/>
      </c>
      <c r="CY141" t="str">
        <f>+IFERROR(VLOOKUP(CY42,IN_Zugliste!$A$4:$D$2002,4,FALSE),"")</f>
        <v/>
      </c>
      <c r="CZ141" t="str">
        <f>+IFERROR(VLOOKUP(CZ42,IN_Zugliste!$A$4:$D$2002,4,FALSE),"")</f>
        <v/>
      </c>
      <c r="DA141" t="str">
        <f>+IFERROR(VLOOKUP(DA42,IN_Zugliste!$A$4:$D$2002,4,FALSE),"")</f>
        <v/>
      </c>
      <c r="DB141" t="str">
        <f>+IFERROR(VLOOKUP(DB42,IN_Zugliste!$A$4:$D$2002,4,FALSE),"")</f>
        <v/>
      </c>
      <c r="DC141" t="str">
        <f>+IFERROR(VLOOKUP(DC42,IN_Zugliste!$A$4:$D$2002,4,FALSE),"")</f>
        <v/>
      </c>
      <c r="DD141" t="str">
        <f>+IFERROR(VLOOKUP(DD42,IN_Zugliste!$A$4:$D$2002,4,FALSE),"")</f>
        <v/>
      </c>
      <c r="DE141" t="str">
        <f>+IFERROR(VLOOKUP(DE42,IN_Zugliste!$A$4:$D$2002,4,FALSE),"")</f>
        <v/>
      </c>
      <c r="DF141" t="str">
        <f>+IFERROR(VLOOKUP(DF42,IN_Zugliste!$A$4:$D$2002,4,FALSE),"")</f>
        <v/>
      </c>
      <c r="DG141" t="str">
        <f>+IFERROR(VLOOKUP(DG42,IN_Zugliste!$A$4:$D$2002,4,FALSE),"")</f>
        <v/>
      </c>
      <c r="DH141" t="str">
        <f>+IFERROR(VLOOKUP(DH42,IN_Zugliste!$A$4:$D$2002,4,FALSE),"")</f>
        <v/>
      </c>
      <c r="DI141" t="str">
        <f>+IFERROR(VLOOKUP(DI42,IN_Zugliste!$A$4:$D$2002,4,FALSE),"")</f>
        <v/>
      </c>
      <c r="DJ141" t="str">
        <f>+IFERROR(VLOOKUP(DJ42,IN_Zugliste!$A$4:$D$2002,4,FALSE),"")</f>
        <v/>
      </c>
      <c r="DK141" t="str">
        <f>+IFERROR(VLOOKUP(DK42,IN_Zugliste!$A$4:$D$2002,4,FALSE),"")</f>
        <v/>
      </c>
      <c r="DL141" t="str">
        <f>+IFERROR(VLOOKUP(DL42,IN_Zugliste!$A$4:$D$2002,4,FALSE),"")</f>
        <v/>
      </c>
      <c r="DM141" t="str">
        <f>+IFERROR(VLOOKUP(DM42,IN_Zugliste!$A$4:$D$2002,4,FALSE),"")</f>
        <v/>
      </c>
      <c r="DN141" t="str">
        <f>+IFERROR(VLOOKUP(DN42,IN_Zugliste!$A$4:$D$2002,4,FALSE),"")</f>
        <v/>
      </c>
      <c r="DO141" t="str">
        <f>+IFERROR(VLOOKUP(DO42,IN_Zugliste!$A$4:$D$2002,4,FALSE),"")</f>
        <v/>
      </c>
      <c r="DP141" t="str">
        <f>+IFERROR(VLOOKUP(DP42,IN_Zugliste!$A$4:$D$2002,4,FALSE),"")</f>
        <v/>
      </c>
      <c r="DQ141" t="str">
        <f>+IFERROR(VLOOKUP(DQ42,IN_Zugliste!$A$4:$D$2002,4,FALSE),"")</f>
        <v/>
      </c>
      <c r="DR141" t="str">
        <f>+IFERROR(VLOOKUP(DR42,IN_Zugliste!$A$4:$D$2002,4,FALSE),"")</f>
        <v/>
      </c>
      <c r="DS141" t="str">
        <f>+IFERROR(VLOOKUP(DS42,IN_Zugliste!$A$4:$D$2002,4,FALSE),"")</f>
        <v/>
      </c>
      <c r="DT141" t="str">
        <f>+IFERROR(VLOOKUP(DT42,IN_Zugliste!$A$4:$D$2002,4,FALSE),"")</f>
        <v/>
      </c>
      <c r="DU141" t="str">
        <f>+IFERROR(VLOOKUP(DU42,IN_Zugliste!$A$4:$D$2002,4,FALSE),"")</f>
        <v/>
      </c>
      <c r="DV141" t="str">
        <f>+IFERROR(VLOOKUP(DV42,IN_Zugliste!$A$4:$D$2002,4,FALSE),"")</f>
        <v/>
      </c>
      <c r="DW141" t="str">
        <f>+IFERROR(VLOOKUP(DW42,IN_Zugliste!$A$4:$D$2002,4,FALSE),"")</f>
        <v/>
      </c>
      <c r="DX141" t="str">
        <f>+IFERROR(VLOOKUP(DX42,IN_Zugliste!$A$4:$D$2002,4,FALSE),"")</f>
        <v/>
      </c>
      <c r="DY141" t="str">
        <f>+IFERROR(VLOOKUP(DY42,IN_Zugliste!$A$4:$D$2002,4,FALSE),"")</f>
        <v/>
      </c>
      <c r="DZ141" t="str">
        <f>+IFERROR(VLOOKUP(DZ42,IN_Zugliste!$A$4:$D$2002,4,FALSE),"")</f>
        <v/>
      </c>
      <c r="EA141" t="str">
        <f>+IFERROR(VLOOKUP(EA42,IN_Zugliste!$A$4:$D$2002,4,FALSE),"")</f>
        <v/>
      </c>
      <c r="EB141" t="str">
        <f>+IFERROR(VLOOKUP(EB42,IN_Zugliste!$A$4:$D$2002,4,FALSE),"")</f>
        <v/>
      </c>
      <c r="EC141" t="str">
        <f>+IFERROR(VLOOKUP(EC42,IN_Zugliste!$A$4:$D$2002,4,FALSE),"")</f>
        <v/>
      </c>
      <c r="ED141" t="str">
        <f>+IFERROR(VLOOKUP(ED42,IN_Zugliste!$A$4:$D$2002,4,FALSE),"")</f>
        <v/>
      </c>
      <c r="EE141" t="str">
        <f>+IFERROR(VLOOKUP(EE42,IN_Zugliste!$A$4:$D$2002,4,FALSE),"")</f>
        <v/>
      </c>
      <c r="EF141" t="str">
        <f>+IFERROR(VLOOKUP(EF42,IN_Zugliste!$A$4:$D$2002,4,FALSE),"")</f>
        <v/>
      </c>
      <c r="EG141" t="str">
        <f>+IFERROR(VLOOKUP(EG42,IN_Zugliste!$A$4:$D$2002,4,FALSE),"")</f>
        <v/>
      </c>
      <c r="EH141" t="str">
        <f>+IFERROR(VLOOKUP(EH42,IN_Zugliste!$A$4:$D$2002,4,FALSE),"")</f>
        <v/>
      </c>
      <c r="EI141" t="str">
        <f>+IFERROR(VLOOKUP(EI42,IN_Zugliste!$A$4:$D$2002,4,FALSE),"")</f>
        <v/>
      </c>
      <c r="EJ141" t="str">
        <f>+IFERROR(VLOOKUP(EJ42,IN_Zugliste!$A$4:$D$2002,4,FALSE),"")</f>
        <v/>
      </c>
      <c r="EK141" t="str">
        <f>+IFERROR(VLOOKUP(EK42,IN_Zugliste!$A$4:$D$2002,4,FALSE),"")</f>
        <v/>
      </c>
      <c r="EL141" t="str">
        <f>+IFERROR(VLOOKUP(EL42,IN_Zugliste!$A$4:$D$2002,4,FALSE),"")</f>
        <v/>
      </c>
      <c r="EM141" t="str">
        <f>+IFERROR(VLOOKUP(EM42,IN_Zugliste!$A$4:$D$2002,4,FALSE),"")</f>
        <v/>
      </c>
      <c r="EN141" t="str">
        <f>+IFERROR(VLOOKUP(EN42,IN_Zugliste!$A$4:$D$2002,4,FALSE),"")</f>
        <v/>
      </c>
      <c r="EO141" t="str">
        <f>+IFERROR(VLOOKUP(EO42,IN_Zugliste!$A$4:$D$2002,4,FALSE),"")</f>
        <v/>
      </c>
      <c r="EP141" t="str">
        <f>+IFERROR(VLOOKUP(EP42,IN_Zugliste!$A$4:$D$2002,4,FALSE),"")</f>
        <v/>
      </c>
      <c r="EQ141" t="str">
        <f>+IFERROR(VLOOKUP(EQ42,IN_Zugliste!$A$4:$D$2002,4,FALSE),"")</f>
        <v/>
      </c>
      <c r="ER141" t="str">
        <f>+IFERROR(VLOOKUP(ER42,IN_Zugliste!$A$4:$D$2002,4,FALSE),"")</f>
        <v/>
      </c>
      <c r="ES141" t="str">
        <f>+IFERROR(VLOOKUP(ES42,IN_Zugliste!$A$4:$D$2002,4,FALSE),"")</f>
        <v/>
      </c>
      <c r="ET141" t="str">
        <f>+IFERROR(VLOOKUP(ET42,IN_Zugliste!$A$4:$D$2002,4,FALSE),"")</f>
        <v/>
      </c>
      <c r="EU141" t="str">
        <f>+IFERROR(VLOOKUP(EU42,IN_Zugliste!$A$4:$D$2002,4,FALSE),"")</f>
        <v/>
      </c>
      <c r="EV141" t="str">
        <f>+IFERROR(VLOOKUP(EV42,IN_Zugliste!$A$4:$D$2002,4,FALSE),"")</f>
        <v/>
      </c>
      <c r="EW141" t="str">
        <f>+IFERROR(VLOOKUP(EW42,IN_Zugliste!$A$4:$D$2002,4,FALSE),"")</f>
        <v/>
      </c>
      <c r="EX141" t="str">
        <f>+IFERROR(VLOOKUP(EX42,IN_Zugliste!$A$4:$D$2002,4,FALSE),"")</f>
        <v/>
      </c>
      <c r="EY141" t="str">
        <f>+IFERROR(VLOOKUP(EY42,IN_Zugliste!$A$4:$D$2002,4,FALSE),"")</f>
        <v/>
      </c>
      <c r="EZ141" t="str">
        <f>+IFERROR(VLOOKUP(EZ42,IN_Zugliste!$A$4:$D$2002,4,FALSE),"")</f>
        <v/>
      </c>
      <c r="FA141" t="str">
        <f>+IFERROR(VLOOKUP(FA42,IN_Zugliste!$A$4:$D$2002,4,FALSE),"")</f>
        <v/>
      </c>
      <c r="FB141" t="str">
        <f>+IFERROR(VLOOKUP(FB42,IN_Zugliste!$A$4:$D$2002,4,FALSE),"")</f>
        <v/>
      </c>
      <c r="FC141" t="str">
        <f>+IFERROR(VLOOKUP(FC42,IN_Zugliste!$A$4:$D$2002,4,FALSE),"")</f>
        <v/>
      </c>
      <c r="FD141" t="str">
        <f>+IFERROR(VLOOKUP(FD42,IN_Zugliste!$A$4:$D$2002,4,FALSE),"")</f>
        <v/>
      </c>
      <c r="FE141" t="str">
        <f>+IFERROR(VLOOKUP(FE42,IN_Zugliste!$A$4:$D$2002,4,FALSE),"")</f>
        <v/>
      </c>
      <c r="FF141" t="str">
        <f>+IFERROR(VLOOKUP(FF42,IN_Zugliste!$A$4:$D$2002,4,FALSE),"")</f>
        <v/>
      </c>
      <c r="FG141" t="str">
        <f>+IFERROR(VLOOKUP(FG42,IN_Zugliste!$A$4:$D$2002,4,FALSE),"")</f>
        <v/>
      </c>
      <c r="FH141" t="str">
        <f>+IFERROR(VLOOKUP(FH42,IN_Zugliste!$A$4:$D$2002,4,FALSE),"")</f>
        <v/>
      </c>
      <c r="FI141" t="str">
        <f>+IFERROR(VLOOKUP(FI42,IN_Zugliste!$A$4:$D$2002,4,FALSE),"")</f>
        <v/>
      </c>
      <c r="FJ141" t="str">
        <f>+IFERROR(VLOOKUP(FJ42,IN_Zugliste!$A$4:$D$2002,4,FALSE),"")</f>
        <v/>
      </c>
      <c r="FK141" t="str">
        <f>+IFERROR(VLOOKUP(FK42,IN_Zugliste!$A$4:$D$2002,4,FALSE),"")</f>
        <v/>
      </c>
      <c r="FL141" t="str">
        <f>+IFERROR(VLOOKUP(FL42,IN_Zugliste!$A$4:$D$2002,4,FALSE),"")</f>
        <v/>
      </c>
      <c r="FM141" t="str">
        <f>+IFERROR(VLOOKUP(FM42,IN_Zugliste!$A$4:$C$602,4,FALSE),"")</f>
        <v/>
      </c>
      <c r="FN141" t="str">
        <f>+IFERROR(VLOOKUP(FN42,IN_Zugliste!$A$4:$C$602,4,FALSE),"")</f>
        <v/>
      </c>
      <c r="FO141" t="str">
        <f>+IFERROR(VLOOKUP(FO42,IN_Zugliste!$A$4:$C$602,4,FALSE),"")</f>
        <v/>
      </c>
      <c r="FP141" t="str">
        <f>+IFERROR(VLOOKUP(FP42,IN_Zugliste!$A$4:$C$602,4,FALSE),"")</f>
        <v/>
      </c>
      <c r="FQ141" t="str">
        <f>+IFERROR(VLOOKUP(FQ42,IN_Zugliste!$A$4:$C$602,4,FALSE),"")</f>
        <v/>
      </c>
      <c r="FR141" t="str">
        <f>+IFERROR(VLOOKUP(FR42,IN_Zugliste!$A$4:$C$602,4,FALSE),"")</f>
        <v/>
      </c>
      <c r="FS141" t="str">
        <f>+IFERROR(VLOOKUP(FS42,IN_Zugliste!$A$4:$C$602,4,FALSE),"")</f>
        <v/>
      </c>
      <c r="FT141" t="str">
        <f>+IFERROR(VLOOKUP(FT42,IN_Zugliste!$A$4:$C$602,4,FALSE),"")</f>
        <v/>
      </c>
      <c r="FU141" t="str">
        <f>+IFERROR(VLOOKUP(FU42,IN_Zugliste!$A$4:$C$602,4,FALSE),"")</f>
        <v/>
      </c>
      <c r="FV141" t="str">
        <f>+IFERROR(VLOOKUP(FV42,IN_Zugliste!$A$4:$C$602,4,FALSE),"")</f>
        <v/>
      </c>
      <c r="FW141" t="str">
        <f>+IFERROR(VLOOKUP(FW42,IN_Zugliste!$A$4:$C$602,4,FALSE),"")</f>
        <v/>
      </c>
      <c r="FX141" t="str">
        <f>+IFERROR(VLOOKUP(FX42,IN_Zugliste!$A$4:$C$602,4,FALSE),"")</f>
        <v/>
      </c>
      <c r="FY141" t="str">
        <f>+IFERROR(VLOOKUP(FY42,IN_Zugliste!$A$4:$C$602,4,FALSE),"")</f>
        <v/>
      </c>
      <c r="FZ141" t="str">
        <f>+IFERROR(VLOOKUP(FZ42,IN_Zugliste!$A$4:$C$602,4,FALSE),"")</f>
        <v/>
      </c>
      <c r="GA141" t="str">
        <f>+IFERROR(VLOOKUP(GA42,IN_Zugliste!$A$4:$C$602,4,FALSE),"")</f>
        <v/>
      </c>
      <c r="GB141" t="str">
        <f>+IFERROR(VLOOKUP(GB42,IN_Zugliste!$A$4:$C$602,4,FALSE),"")</f>
        <v/>
      </c>
      <c r="GC141" t="str">
        <f>+IFERROR(VLOOKUP(GC42,IN_Zugliste!$A$4:$C$602,4,FALSE),"")</f>
        <v/>
      </c>
      <c r="GD141" t="str">
        <f>+IFERROR(VLOOKUP(GD42,IN_Zugliste!$A$4:$C$602,4,FALSE),"")</f>
        <v/>
      </c>
      <c r="GE141" t="str">
        <f>+IFERROR(VLOOKUP(GE42,IN_Zugliste!$A$4:$C$602,4,FALSE),"")</f>
        <v/>
      </c>
      <c r="GF141" t="str">
        <f>+IFERROR(VLOOKUP(GF42,IN_Zugliste!$A$4:$C$602,4,FALSE),"")</f>
        <v/>
      </c>
      <c r="GG141" t="str">
        <f>+IFERROR(VLOOKUP(GG42,IN_Zugliste!$A$4:$C$602,4,FALSE),"")</f>
        <v/>
      </c>
      <c r="GH141" t="str">
        <f>+IFERROR(VLOOKUP(GH42,IN_Zugliste!$A$4:$C$602,4,FALSE),"")</f>
        <v/>
      </c>
      <c r="GI141" t="str">
        <f>+IFERROR(VLOOKUP(GI42,IN_Zugliste!$A$4:$C$602,4,FALSE),"")</f>
        <v/>
      </c>
      <c r="GJ141" t="str">
        <f>+IFERROR(VLOOKUP(GJ42,IN_Zugliste!$A$4:$C$602,4,FALSE),"")</f>
        <v/>
      </c>
      <c r="GK141" t="str">
        <f>+IFERROR(VLOOKUP(GK42,IN_Zugliste!$A$4:$C$602,4,FALSE),"")</f>
        <v/>
      </c>
      <c r="GL141" t="str">
        <f>+IFERROR(VLOOKUP(GL42,IN_Zugliste!$A$4:$C$602,4,FALSE),"")</f>
        <v/>
      </c>
      <c r="GM141" t="str">
        <f>+IFERROR(VLOOKUP(GM42,IN_Zugliste!$A$4:$C$602,4,FALSE),"")</f>
        <v/>
      </c>
      <c r="GN141" t="str">
        <f>+IFERROR(VLOOKUP(GN42,IN_Zugliste!$A$4:$C$602,4,FALSE),"")</f>
        <v/>
      </c>
      <c r="GO141" t="str">
        <f>+IFERROR(VLOOKUP(GO42,IN_Zugliste!$A$4:$C$602,4,FALSE),"")</f>
        <v/>
      </c>
      <c r="GP141" t="str">
        <f>+IFERROR(VLOOKUP(GP42,IN_Zugliste!$A$4:$C$602,4,FALSE),"")</f>
        <v/>
      </c>
      <c r="GQ141" t="str">
        <f>+IFERROR(VLOOKUP(GQ42,IN_Zugliste!$A$4:$C$602,4,FALSE),"")</f>
        <v/>
      </c>
      <c r="GR141" t="str">
        <f>+IFERROR(VLOOKUP(GR42,IN_Zugliste!$A$4:$C$602,4,FALSE),"")</f>
        <v/>
      </c>
      <c r="GS141" t="str">
        <f>+IFERROR(VLOOKUP(GS42,IN_Zugliste!$A$4:$C$602,4,FALSE),"")</f>
        <v/>
      </c>
      <c r="GT141" t="str">
        <f>+IFERROR(VLOOKUP(GT42,IN_Zugliste!$A$4:$C$602,4,FALSE),"")</f>
        <v/>
      </c>
      <c r="GU141" t="str">
        <f>+IFERROR(VLOOKUP(GU42,IN_Zugliste!$A$4:$C$602,4,FALSE),"")</f>
        <v/>
      </c>
      <c r="GV141" t="str">
        <f>+IFERROR(VLOOKUP(GV42,IN_Zugliste!$A$4:$C$602,4,FALSE),"")</f>
        <v/>
      </c>
      <c r="GW141" t="str">
        <f>+IFERROR(VLOOKUP(GW42,IN_Zugliste!$A$4:$C$602,4,FALSE),"")</f>
        <v/>
      </c>
      <c r="GX141" t="str">
        <f>+IFERROR(VLOOKUP(GX42,IN_Zugliste!$A$4:$C$602,4,FALSE),"")</f>
        <v/>
      </c>
      <c r="GY141" t="str">
        <f>+IFERROR(VLOOKUP(GY42,IN_Zugliste!$A$4:$C$602,4,FALSE),"")</f>
        <v/>
      </c>
      <c r="GZ141" t="str">
        <f>+IFERROR(VLOOKUP(GZ42,IN_Zugliste!$A$4:$C$602,4,FALSE),"")</f>
        <v/>
      </c>
      <c r="HA141" t="str">
        <f>+IFERROR(VLOOKUP(HA42,IN_Zugliste!$A$4:$C$602,4,FALSE),"")</f>
        <v/>
      </c>
      <c r="HB141" t="str">
        <f>+IFERROR(VLOOKUP(HB42,IN_Zugliste!$A$4:$C$602,4,FALSE),"")</f>
        <v/>
      </c>
      <c r="HC141" t="str">
        <f>+IFERROR(VLOOKUP(HC42,IN_Zugliste!$A$4:$C$602,4,FALSE),"")</f>
        <v/>
      </c>
      <c r="HD141" t="str">
        <f>+IFERROR(VLOOKUP(HD42,IN_Zugliste!$A$4:$C$602,4,FALSE),"")</f>
        <v/>
      </c>
      <c r="HE141" t="str">
        <f>+IFERROR(VLOOKUP(HE42,IN_Zugliste!$A$4:$C$602,4,FALSE),"")</f>
        <v/>
      </c>
      <c r="HF141" t="str">
        <f>+IFERROR(VLOOKUP(HF42,IN_Zugliste!$A$4:$C$602,4,FALSE),"")</f>
        <v/>
      </c>
      <c r="HG141" t="str">
        <f>+IFERROR(VLOOKUP(HG42,IN_Zugliste!$A$4:$C$602,4,FALSE),"")</f>
        <v/>
      </c>
      <c r="HH141" t="str">
        <f>+IFERROR(VLOOKUP(HH42,IN_Zugliste!$A$4:$C$602,4,FALSE),"")</f>
        <v/>
      </c>
    </row>
    <row r="142" spans="1:216" x14ac:dyDescent="0.2">
      <c r="A142" t="str">
        <f>+IFERROR(VLOOKUP(A43,IN_Zugliste!$A$4:$D$2002,4,FALSE),"")</f>
        <v/>
      </c>
      <c r="B142" t="str">
        <f>+IFERROR(VLOOKUP(B43,IN_Zugliste!$A$4:$D$2002,4,FALSE),"")</f>
        <v/>
      </c>
      <c r="C142" t="str">
        <f>+IFERROR(VLOOKUP(C43,IN_Zugliste!$A$4:$D$2002,4,FALSE),"")</f>
        <v/>
      </c>
      <c r="D142" t="str">
        <f>+IFERROR(VLOOKUP(D43,IN_Zugliste!$A$4:$D$2002,4,FALSE),"")</f>
        <v/>
      </c>
      <c r="E142" t="str">
        <f>+IFERROR(VLOOKUP(E43,IN_Zugliste!$A$4:$D$2002,4,FALSE),"")</f>
        <v/>
      </c>
      <c r="F142" t="str">
        <f>+IFERROR(VLOOKUP(F43,IN_Zugliste!$A$4:$D$2002,4,FALSE),"")</f>
        <v/>
      </c>
      <c r="G142" t="str">
        <f>+IFERROR(VLOOKUP(G43,IN_Zugliste!$A$4:$D$2002,4,FALSE),"")</f>
        <v/>
      </c>
      <c r="H142" t="str">
        <f>+IFERROR(VLOOKUP(H43,IN_Zugliste!$A$4:$D$2002,4,FALSE),"")</f>
        <v/>
      </c>
      <c r="I142" t="str">
        <f>+IFERROR(VLOOKUP(I43,IN_Zugliste!$A$4:$D$2002,4,FALSE),"")</f>
        <v/>
      </c>
      <c r="J142" t="str">
        <f>+IFERROR(VLOOKUP(J43,IN_Zugliste!$A$4:$D$2002,4,FALSE),"")</f>
        <v/>
      </c>
      <c r="K142" t="str">
        <f>+IFERROR(VLOOKUP(K43,IN_Zugliste!$A$4:$D$2002,4,FALSE),"")</f>
        <v/>
      </c>
      <c r="L142" t="str">
        <f>+IFERROR(VLOOKUP(L43,IN_Zugliste!$A$4:$D$2002,4,FALSE),"")</f>
        <v/>
      </c>
      <c r="M142" t="str">
        <f>+IFERROR(VLOOKUP(M43,IN_Zugliste!$A$4:$D$2002,4,FALSE),"")</f>
        <v/>
      </c>
      <c r="N142" t="str">
        <f>+IFERROR(VLOOKUP(N43,IN_Zugliste!$A$4:$D$2002,4,FALSE),"")</f>
        <v/>
      </c>
      <c r="O142" t="str">
        <f>+IFERROR(VLOOKUP(O43,IN_Zugliste!$A$4:$D$2002,4,FALSE),"")</f>
        <v/>
      </c>
      <c r="P142" t="str">
        <f>+IFERROR(VLOOKUP(P43,IN_Zugliste!$A$4:$D$2002,4,FALSE),"")</f>
        <v/>
      </c>
      <c r="Q142" t="str">
        <f>+IFERROR(VLOOKUP(Q43,IN_Zugliste!$A$4:$D$2002,4,FALSE),"")</f>
        <v/>
      </c>
      <c r="R142" t="str">
        <f>+IFERROR(VLOOKUP(R43,IN_Zugliste!$A$4:$D$2002,4,FALSE),"")</f>
        <v/>
      </c>
      <c r="S142" t="str">
        <f>+IFERROR(VLOOKUP(S43,IN_Zugliste!$A$4:$D$2002,4,FALSE),"")</f>
        <v/>
      </c>
      <c r="T142" t="str">
        <f>+IFERROR(VLOOKUP(T43,IN_Zugliste!$A$4:$D$2002,4,FALSE),"")</f>
        <v/>
      </c>
      <c r="U142" t="str">
        <f>+IFERROR(VLOOKUP(U43,IN_Zugliste!$A$4:$D$2002,4,FALSE),"")</f>
        <v/>
      </c>
      <c r="V142" t="str">
        <f>+IFERROR(VLOOKUP(V43,IN_Zugliste!$A$4:$D$2002,4,FALSE),"")</f>
        <v/>
      </c>
      <c r="W142" t="str">
        <f>+IFERROR(VLOOKUP(W43,IN_Zugliste!$A$4:$D$2002,4,FALSE),"")</f>
        <v/>
      </c>
      <c r="X142" t="str">
        <f>+IFERROR(VLOOKUP(X43,IN_Zugliste!$A$4:$D$2002,4,FALSE),"")</f>
        <v/>
      </c>
      <c r="Y142" t="str">
        <f>+IFERROR(VLOOKUP(Y43,IN_Zugliste!$A$4:$D$2002,4,FALSE),"")</f>
        <v/>
      </c>
      <c r="Z142" t="str">
        <f>+IFERROR(VLOOKUP(Z43,IN_Zugliste!$A$4:$D$2002,4,FALSE),"")</f>
        <v/>
      </c>
      <c r="AA142" t="str">
        <f>+IFERROR(VLOOKUP(AA43,IN_Zugliste!$A$4:$D$2002,4,FALSE),"")</f>
        <v/>
      </c>
      <c r="AB142" t="str">
        <f>+IFERROR(VLOOKUP(AB43,IN_Zugliste!$A$4:$D$2002,4,FALSE),"")</f>
        <v/>
      </c>
      <c r="AC142" t="str">
        <f>+IFERROR(VLOOKUP(AC43,IN_Zugliste!$A$4:$D$2002,4,FALSE),"")</f>
        <v/>
      </c>
      <c r="AD142" t="str">
        <f>+IFERROR(VLOOKUP(AD43,IN_Zugliste!$A$4:$D$2002,4,FALSE),"")</f>
        <v/>
      </c>
      <c r="AE142" t="str">
        <f>+IFERROR(VLOOKUP(AE43,IN_Zugliste!$A$4:$D$2002,4,FALSE),"")</f>
        <v/>
      </c>
      <c r="AF142" t="str">
        <f>+IFERROR(VLOOKUP(AF43,IN_Zugliste!$A$4:$D$2002,4,FALSE),"")</f>
        <v/>
      </c>
      <c r="AG142" t="str">
        <f>+IFERROR(VLOOKUP(AG43,IN_Zugliste!$A$4:$D$2002,4,FALSE),"")</f>
        <v/>
      </c>
      <c r="AH142" t="str">
        <f>+IFERROR(VLOOKUP(AH43,IN_Zugliste!$A$4:$D$2002,4,FALSE),"")</f>
        <v/>
      </c>
      <c r="AI142" t="str">
        <f>+IFERROR(VLOOKUP(AI43,IN_Zugliste!$A$4:$D$2002,4,FALSE),"")</f>
        <v/>
      </c>
      <c r="AJ142" t="str">
        <f>+IFERROR(VLOOKUP(AJ43,IN_Zugliste!$A$4:$D$2002,4,FALSE),"")</f>
        <v/>
      </c>
      <c r="AK142" t="str">
        <f>+IFERROR(VLOOKUP(AK43,IN_Zugliste!$A$4:$D$2002,4,FALSE),"")</f>
        <v/>
      </c>
      <c r="AL142" t="str">
        <f>+IFERROR(VLOOKUP(AL43,IN_Zugliste!$A$4:$D$2002,4,FALSE),"")</f>
        <v/>
      </c>
      <c r="AM142" t="str">
        <f>+IFERROR(VLOOKUP(AM43,IN_Zugliste!$A$4:$D$2002,4,FALSE),"")</f>
        <v/>
      </c>
      <c r="AN142" t="str">
        <f>+IFERROR(VLOOKUP(AN43,IN_Zugliste!$A$4:$D$2002,4,FALSE),"")</f>
        <v/>
      </c>
      <c r="AO142" t="str">
        <f>+IFERROR(VLOOKUP(AO43,IN_Zugliste!$A$4:$D$2002,4,FALSE),"")</f>
        <v/>
      </c>
      <c r="AP142" t="str">
        <f>+IFERROR(VLOOKUP(AP43,IN_Zugliste!$A$4:$D$2002,4,FALSE),"")</f>
        <v/>
      </c>
      <c r="AQ142" t="str">
        <f>+IFERROR(VLOOKUP(AQ43,IN_Zugliste!$A$4:$D$2002,4,FALSE),"")</f>
        <v/>
      </c>
      <c r="AR142" t="str">
        <f>+IFERROR(VLOOKUP(AR43,IN_Zugliste!$A$4:$D$2002,4,FALSE),"")</f>
        <v/>
      </c>
      <c r="AS142" t="str">
        <f>+IFERROR(VLOOKUP(AS43,IN_Zugliste!$A$4:$D$2002,4,FALSE),"")</f>
        <v/>
      </c>
      <c r="AT142" t="str">
        <f>+IFERROR(VLOOKUP(AT43,IN_Zugliste!$A$4:$D$2002,4,FALSE),"")</f>
        <v/>
      </c>
      <c r="AU142" t="str">
        <f>+IFERROR(VLOOKUP(AU43,IN_Zugliste!$A$4:$D$2002,4,FALSE),"")</f>
        <v/>
      </c>
      <c r="AV142" t="str">
        <f>+IFERROR(VLOOKUP(AV43,IN_Zugliste!$A$4:$D$2002,4,FALSE),"")</f>
        <v/>
      </c>
      <c r="AW142" t="str">
        <f>+IFERROR(VLOOKUP(AW43,IN_Zugliste!$A$4:$D$2002,4,FALSE),"")</f>
        <v/>
      </c>
      <c r="AX142" t="str">
        <f>+IFERROR(VLOOKUP(AX43,IN_Zugliste!$A$4:$D$2002,4,FALSE),"")</f>
        <v/>
      </c>
      <c r="AY142" t="str">
        <f>+IFERROR(VLOOKUP(AY43,IN_Zugliste!$A$4:$D$2002,4,FALSE),"")</f>
        <v/>
      </c>
      <c r="AZ142" t="str">
        <f>+IFERROR(VLOOKUP(AZ43,IN_Zugliste!$A$4:$D$2002,4,FALSE),"")</f>
        <v/>
      </c>
      <c r="BA142" t="str">
        <f>+IFERROR(VLOOKUP(BA43,IN_Zugliste!$A$4:$D$2002,4,FALSE),"")</f>
        <v/>
      </c>
      <c r="BB142" t="str">
        <f>+IFERROR(VLOOKUP(BB43,IN_Zugliste!$A$4:$D$2002,4,FALSE),"")</f>
        <v/>
      </c>
      <c r="BC142" t="str">
        <f>+IFERROR(VLOOKUP(BC43,IN_Zugliste!$A$4:$D$2002,4,FALSE),"")</f>
        <v/>
      </c>
      <c r="BD142" t="str">
        <f>+IFERROR(VLOOKUP(BD43,IN_Zugliste!$A$4:$D$2002,4,FALSE),"")</f>
        <v/>
      </c>
      <c r="BE142" t="str">
        <f>+IFERROR(VLOOKUP(BE43,IN_Zugliste!$A$4:$D$2002,4,FALSE),"")</f>
        <v/>
      </c>
      <c r="BF142" t="str">
        <f>+IFERROR(VLOOKUP(BF43,IN_Zugliste!$A$4:$D$2002,4,FALSE),"")</f>
        <v/>
      </c>
      <c r="BG142" t="str">
        <f>+IFERROR(VLOOKUP(BG43,IN_Zugliste!$A$4:$D$2002,4,FALSE),"")</f>
        <v/>
      </c>
      <c r="BH142" t="str">
        <f>+IFERROR(VLOOKUP(BH43,IN_Zugliste!$A$4:$D$2002,4,FALSE),"")</f>
        <v/>
      </c>
      <c r="BI142" t="str">
        <f>+IFERROR(VLOOKUP(BI43,IN_Zugliste!$A$4:$D$2002,4,FALSE),"")</f>
        <v/>
      </c>
      <c r="BJ142" t="str">
        <f>+IFERROR(VLOOKUP(BJ43,IN_Zugliste!$A$4:$D$2002,4,FALSE),"")</f>
        <v/>
      </c>
      <c r="BK142" t="str">
        <f>+IFERROR(VLOOKUP(BK43,IN_Zugliste!$A$4:$D$2002,4,FALSE),"")</f>
        <v/>
      </c>
      <c r="BL142" t="str">
        <f>+IFERROR(VLOOKUP(BL43,IN_Zugliste!$A$4:$D$2002,4,FALSE),"")</f>
        <v/>
      </c>
      <c r="BM142" t="str">
        <f>+IFERROR(VLOOKUP(BM43,IN_Zugliste!$A$4:$D$2002,4,FALSE),"")</f>
        <v/>
      </c>
      <c r="BN142" t="str">
        <f>+IFERROR(VLOOKUP(BN43,IN_Zugliste!$A$4:$D$2002,4,FALSE),"")</f>
        <v/>
      </c>
      <c r="BO142" t="str">
        <f>+IFERROR(VLOOKUP(BO43,IN_Zugliste!$A$4:$D$2002,4,FALSE),"")</f>
        <v/>
      </c>
      <c r="BP142" t="str">
        <f>+IFERROR(VLOOKUP(BP43,IN_Zugliste!$A$4:$D$2002,4,FALSE),"")</f>
        <v/>
      </c>
      <c r="BQ142" t="str">
        <f>+IFERROR(VLOOKUP(BQ43,IN_Zugliste!$A$4:$D$2002,4,FALSE),"")</f>
        <v/>
      </c>
      <c r="BR142" t="str">
        <f>+IFERROR(VLOOKUP(BR43,IN_Zugliste!$A$4:$D$2002,4,FALSE),"")</f>
        <v/>
      </c>
      <c r="BS142" t="str">
        <f>+IFERROR(VLOOKUP(BS43,IN_Zugliste!$A$4:$D$2002,4,FALSE),"")</f>
        <v/>
      </c>
      <c r="BT142" t="str">
        <f>+IFERROR(VLOOKUP(BT43,IN_Zugliste!$A$4:$D$2002,4,FALSE),"")</f>
        <v/>
      </c>
      <c r="BU142" t="str">
        <f>+IFERROR(VLOOKUP(BU43,IN_Zugliste!$A$4:$D$2002,4,FALSE),"")</f>
        <v/>
      </c>
      <c r="BV142" t="str">
        <f>+IFERROR(VLOOKUP(BV43,IN_Zugliste!$A$4:$D$2002,4,FALSE),"")</f>
        <v/>
      </c>
      <c r="BW142" t="str">
        <f>+IFERROR(VLOOKUP(BW43,IN_Zugliste!$A$4:$D$2002,4,FALSE),"")</f>
        <v/>
      </c>
      <c r="BX142" t="str">
        <f>+IFERROR(VLOOKUP(BX43,IN_Zugliste!$A$4:$D$2002,4,FALSE),"")</f>
        <v/>
      </c>
      <c r="BY142" t="str">
        <f>+IFERROR(VLOOKUP(BY43,IN_Zugliste!$A$4:$D$2002,4,FALSE),"")</f>
        <v/>
      </c>
      <c r="BZ142" t="str">
        <f>+IFERROR(VLOOKUP(BZ43,IN_Zugliste!$A$4:$D$2002,4,FALSE),"")</f>
        <v/>
      </c>
      <c r="CA142" t="str">
        <f>+IFERROR(VLOOKUP(CA43,IN_Zugliste!$A$4:$D$2002,4,FALSE),"")</f>
        <v/>
      </c>
      <c r="CB142" t="str">
        <f>+IFERROR(VLOOKUP(CB43,IN_Zugliste!$A$4:$D$2002,4,FALSE),"")</f>
        <v/>
      </c>
      <c r="CC142" t="str">
        <f>+IFERROR(VLOOKUP(CC43,IN_Zugliste!$A$4:$D$2002,4,FALSE),"")</f>
        <v/>
      </c>
      <c r="CD142" t="str">
        <f>+IFERROR(VLOOKUP(CD43,IN_Zugliste!$A$4:$D$2002,4,FALSE),"")</f>
        <v/>
      </c>
      <c r="CE142" t="str">
        <f>+IFERROR(VLOOKUP(CE43,IN_Zugliste!$A$4:$D$2002,4,FALSE),"")</f>
        <v/>
      </c>
      <c r="CF142" t="str">
        <f>+IFERROR(VLOOKUP(CF43,IN_Zugliste!$A$4:$D$2002,4,FALSE),"")</f>
        <v/>
      </c>
      <c r="CG142" t="str">
        <f>+IFERROR(VLOOKUP(CG43,IN_Zugliste!$A$4:$D$2002,4,FALSE),"")</f>
        <v/>
      </c>
      <c r="CH142" t="str">
        <f>+IFERROR(VLOOKUP(CH43,IN_Zugliste!$A$4:$D$2002,4,FALSE),"")</f>
        <v/>
      </c>
      <c r="CI142" t="str">
        <f>+IFERROR(VLOOKUP(CI43,IN_Zugliste!$A$4:$D$2002,4,FALSE),"")</f>
        <v/>
      </c>
      <c r="CJ142" t="str">
        <f>+IFERROR(VLOOKUP(CJ43,IN_Zugliste!$A$4:$D$2002,4,FALSE),"")</f>
        <v/>
      </c>
      <c r="CK142" t="str">
        <f>+IFERROR(VLOOKUP(CK43,IN_Zugliste!$A$4:$D$2002,4,FALSE),"")</f>
        <v/>
      </c>
      <c r="CL142" t="str">
        <f>+IFERROR(VLOOKUP(CL43,IN_Zugliste!$A$4:$D$2002,4,FALSE),"")</f>
        <v/>
      </c>
      <c r="CM142" t="str">
        <f>+IFERROR(VLOOKUP(CM43,IN_Zugliste!$A$4:$D$2002,4,FALSE),"")</f>
        <v/>
      </c>
      <c r="CN142" t="str">
        <f>+IFERROR(VLOOKUP(CN43,IN_Zugliste!$A$4:$D$2002,4,FALSE),"")</f>
        <v/>
      </c>
      <c r="CO142" t="str">
        <f>+IFERROR(VLOOKUP(CO43,IN_Zugliste!$A$4:$D$2002,4,FALSE),"")</f>
        <v/>
      </c>
      <c r="CP142" t="str">
        <f>+IFERROR(VLOOKUP(CP43,IN_Zugliste!$A$4:$D$2002,4,FALSE),"")</f>
        <v/>
      </c>
      <c r="CQ142" t="str">
        <f>+IFERROR(VLOOKUP(CQ43,IN_Zugliste!$A$4:$D$2002,4,FALSE),"")</f>
        <v/>
      </c>
      <c r="CR142" t="str">
        <f>+IFERROR(VLOOKUP(CR43,IN_Zugliste!$A$4:$D$2002,4,FALSE),"")</f>
        <v/>
      </c>
      <c r="CS142" t="str">
        <f>+IFERROR(VLOOKUP(CS43,IN_Zugliste!$A$4:$D$2002,4,FALSE),"")</f>
        <v/>
      </c>
      <c r="CT142" t="str">
        <f>+IFERROR(VLOOKUP(CT43,IN_Zugliste!$A$4:$D$2002,4,FALSE),"")</f>
        <v/>
      </c>
      <c r="CU142" t="str">
        <f>+IFERROR(VLOOKUP(CU43,IN_Zugliste!$A$4:$D$2002,4,FALSE),"")</f>
        <v/>
      </c>
      <c r="CV142" t="str">
        <f>+IFERROR(VLOOKUP(CV43,IN_Zugliste!$A$4:$D$2002,4,FALSE),"")</f>
        <v/>
      </c>
      <c r="CW142" t="str">
        <f>+IFERROR(VLOOKUP(CW43,IN_Zugliste!$A$4:$D$2002,4,FALSE),"")</f>
        <v/>
      </c>
      <c r="CX142" t="str">
        <f>+IFERROR(VLOOKUP(CX43,IN_Zugliste!$A$4:$D$2002,4,FALSE),"")</f>
        <v/>
      </c>
      <c r="CY142" t="str">
        <f>+IFERROR(VLOOKUP(CY43,IN_Zugliste!$A$4:$D$2002,4,FALSE),"")</f>
        <v/>
      </c>
      <c r="CZ142" t="str">
        <f>+IFERROR(VLOOKUP(CZ43,IN_Zugliste!$A$4:$D$2002,4,FALSE),"")</f>
        <v/>
      </c>
      <c r="DA142" t="str">
        <f>+IFERROR(VLOOKUP(DA43,IN_Zugliste!$A$4:$D$2002,4,FALSE),"")</f>
        <v/>
      </c>
      <c r="DB142" t="str">
        <f>+IFERROR(VLOOKUP(DB43,IN_Zugliste!$A$4:$D$2002,4,FALSE),"")</f>
        <v/>
      </c>
      <c r="DC142" t="str">
        <f>+IFERROR(VLOOKUP(DC43,IN_Zugliste!$A$4:$D$2002,4,FALSE),"")</f>
        <v/>
      </c>
      <c r="DD142" t="str">
        <f>+IFERROR(VLOOKUP(DD43,IN_Zugliste!$A$4:$D$2002,4,FALSE),"")</f>
        <v/>
      </c>
      <c r="DE142" t="str">
        <f>+IFERROR(VLOOKUP(DE43,IN_Zugliste!$A$4:$D$2002,4,FALSE),"")</f>
        <v/>
      </c>
      <c r="DF142" t="str">
        <f>+IFERROR(VLOOKUP(DF43,IN_Zugliste!$A$4:$D$2002,4,FALSE),"")</f>
        <v/>
      </c>
      <c r="DG142" t="str">
        <f>+IFERROR(VLOOKUP(DG43,IN_Zugliste!$A$4:$D$2002,4,FALSE),"")</f>
        <v/>
      </c>
      <c r="DH142" t="str">
        <f>+IFERROR(VLOOKUP(DH43,IN_Zugliste!$A$4:$D$2002,4,FALSE),"")</f>
        <v/>
      </c>
      <c r="DI142" t="str">
        <f>+IFERROR(VLOOKUP(DI43,IN_Zugliste!$A$4:$D$2002,4,FALSE),"")</f>
        <v/>
      </c>
      <c r="DJ142" t="str">
        <f>+IFERROR(VLOOKUP(DJ43,IN_Zugliste!$A$4:$D$2002,4,FALSE),"")</f>
        <v/>
      </c>
      <c r="DK142" t="str">
        <f>+IFERROR(VLOOKUP(DK43,IN_Zugliste!$A$4:$D$2002,4,FALSE),"")</f>
        <v/>
      </c>
      <c r="DL142" t="str">
        <f>+IFERROR(VLOOKUP(DL43,IN_Zugliste!$A$4:$D$2002,4,FALSE),"")</f>
        <v/>
      </c>
      <c r="DM142" t="str">
        <f>+IFERROR(VLOOKUP(DM43,IN_Zugliste!$A$4:$D$2002,4,FALSE),"")</f>
        <v/>
      </c>
      <c r="DN142" t="str">
        <f>+IFERROR(VLOOKUP(DN43,IN_Zugliste!$A$4:$D$2002,4,FALSE),"")</f>
        <v/>
      </c>
      <c r="DO142" t="str">
        <f>+IFERROR(VLOOKUP(DO43,IN_Zugliste!$A$4:$D$2002,4,FALSE),"")</f>
        <v/>
      </c>
      <c r="DP142" t="str">
        <f>+IFERROR(VLOOKUP(DP43,IN_Zugliste!$A$4:$D$2002,4,FALSE),"")</f>
        <v/>
      </c>
      <c r="DQ142" t="str">
        <f>+IFERROR(VLOOKUP(DQ43,IN_Zugliste!$A$4:$D$2002,4,FALSE),"")</f>
        <v/>
      </c>
      <c r="DR142" t="str">
        <f>+IFERROR(VLOOKUP(DR43,IN_Zugliste!$A$4:$D$2002,4,FALSE),"")</f>
        <v/>
      </c>
      <c r="DS142" t="str">
        <f>+IFERROR(VLOOKUP(DS43,IN_Zugliste!$A$4:$D$2002,4,FALSE),"")</f>
        <v/>
      </c>
      <c r="DT142" t="str">
        <f>+IFERROR(VLOOKUP(DT43,IN_Zugliste!$A$4:$D$2002,4,FALSE),"")</f>
        <v/>
      </c>
      <c r="DU142" t="str">
        <f>+IFERROR(VLOOKUP(DU43,IN_Zugliste!$A$4:$D$2002,4,FALSE),"")</f>
        <v/>
      </c>
      <c r="DV142" t="str">
        <f>+IFERROR(VLOOKUP(DV43,IN_Zugliste!$A$4:$D$2002,4,FALSE),"")</f>
        <v/>
      </c>
      <c r="DW142" t="str">
        <f>+IFERROR(VLOOKUP(DW43,IN_Zugliste!$A$4:$D$2002,4,FALSE),"")</f>
        <v/>
      </c>
      <c r="DX142" t="str">
        <f>+IFERROR(VLOOKUP(DX43,IN_Zugliste!$A$4:$D$2002,4,FALSE),"")</f>
        <v/>
      </c>
      <c r="DY142" t="str">
        <f>+IFERROR(VLOOKUP(DY43,IN_Zugliste!$A$4:$D$2002,4,FALSE),"")</f>
        <v/>
      </c>
      <c r="DZ142" t="str">
        <f>+IFERROR(VLOOKUP(DZ43,IN_Zugliste!$A$4:$D$2002,4,FALSE),"")</f>
        <v/>
      </c>
      <c r="EA142" t="str">
        <f>+IFERROR(VLOOKUP(EA43,IN_Zugliste!$A$4:$D$2002,4,FALSE),"")</f>
        <v/>
      </c>
      <c r="EB142" t="str">
        <f>+IFERROR(VLOOKUP(EB43,IN_Zugliste!$A$4:$D$2002,4,FALSE),"")</f>
        <v/>
      </c>
      <c r="EC142" t="str">
        <f>+IFERROR(VLOOKUP(EC43,IN_Zugliste!$A$4:$D$2002,4,FALSE),"")</f>
        <v/>
      </c>
      <c r="ED142" t="str">
        <f>+IFERROR(VLOOKUP(ED43,IN_Zugliste!$A$4:$D$2002,4,FALSE),"")</f>
        <v/>
      </c>
      <c r="EE142" t="str">
        <f>+IFERROR(VLOOKUP(EE43,IN_Zugliste!$A$4:$D$2002,4,FALSE),"")</f>
        <v/>
      </c>
      <c r="EF142" t="str">
        <f>+IFERROR(VLOOKUP(EF43,IN_Zugliste!$A$4:$D$2002,4,FALSE),"")</f>
        <v/>
      </c>
      <c r="EG142" t="str">
        <f>+IFERROR(VLOOKUP(EG43,IN_Zugliste!$A$4:$D$2002,4,FALSE),"")</f>
        <v/>
      </c>
      <c r="EH142" t="str">
        <f>+IFERROR(VLOOKUP(EH43,IN_Zugliste!$A$4:$D$2002,4,FALSE),"")</f>
        <v/>
      </c>
      <c r="EI142" t="str">
        <f>+IFERROR(VLOOKUP(EI43,IN_Zugliste!$A$4:$D$2002,4,FALSE),"")</f>
        <v/>
      </c>
      <c r="EJ142" t="str">
        <f>+IFERROR(VLOOKUP(EJ43,IN_Zugliste!$A$4:$D$2002,4,FALSE),"")</f>
        <v/>
      </c>
      <c r="EK142" t="str">
        <f>+IFERROR(VLOOKUP(EK43,IN_Zugliste!$A$4:$D$2002,4,FALSE),"")</f>
        <v/>
      </c>
      <c r="EL142" t="str">
        <f>+IFERROR(VLOOKUP(EL43,IN_Zugliste!$A$4:$D$2002,4,FALSE),"")</f>
        <v/>
      </c>
      <c r="EM142" t="str">
        <f>+IFERROR(VLOOKUP(EM43,IN_Zugliste!$A$4:$D$2002,4,FALSE),"")</f>
        <v/>
      </c>
      <c r="EN142" t="str">
        <f>+IFERROR(VLOOKUP(EN43,IN_Zugliste!$A$4:$D$2002,4,FALSE),"")</f>
        <v/>
      </c>
      <c r="EO142" t="str">
        <f>+IFERROR(VLOOKUP(EO43,IN_Zugliste!$A$4:$D$2002,4,FALSE),"")</f>
        <v/>
      </c>
      <c r="EP142" t="str">
        <f>+IFERROR(VLOOKUP(EP43,IN_Zugliste!$A$4:$D$2002,4,FALSE),"")</f>
        <v/>
      </c>
      <c r="EQ142" t="str">
        <f>+IFERROR(VLOOKUP(EQ43,IN_Zugliste!$A$4:$D$2002,4,FALSE),"")</f>
        <v/>
      </c>
      <c r="ER142" t="str">
        <f>+IFERROR(VLOOKUP(ER43,IN_Zugliste!$A$4:$D$2002,4,FALSE),"")</f>
        <v/>
      </c>
      <c r="ES142" t="str">
        <f>+IFERROR(VLOOKUP(ES43,IN_Zugliste!$A$4:$D$2002,4,FALSE),"")</f>
        <v/>
      </c>
      <c r="ET142" t="str">
        <f>+IFERROR(VLOOKUP(ET43,IN_Zugliste!$A$4:$D$2002,4,FALSE),"")</f>
        <v/>
      </c>
      <c r="EU142" t="str">
        <f>+IFERROR(VLOOKUP(EU43,IN_Zugliste!$A$4:$D$2002,4,FALSE),"")</f>
        <v/>
      </c>
      <c r="EV142" t="str">
        <f>+IFERROR(VLOOKUP(EV43,IN_Zugliste!$A$4:$D$2002,4,FALSE),"")</f>
        <v/>
      </c>
      <c r="EW142" t="str">
        <f>+IFERROR(VLOOKUP(EW43,IN_Zugliste!$A$4:$D$2002,4,FALSE),"")</f>
        <v/>
      </c>
      <c r="EX142" t="str">
        <f>+IFERROR(VLOOKUP(EX43,IN_Zugliste!$A$4:$D$2002,4,FALSE),"")</f>
        <v/>
      </c>
      <c r="EY142" t="str">
        <f>+IFERROR(VLOOKUP(EY43,IN_Zugliste!$A$4:$D$2002,4,FALSE),"")</f>
        <v/>
      </c>
      <c r="EZ142" t="str">
        <f>+IFERROR(VLOOKUP(EZ43,IN_Zugliste!$A$4:$D$2002,4,FALSE),"")</f>
        <v/>
      </c>
      <c r="FA142" t="str">
        <f>+IFERROR(VLOOKUP(FA43,IN_Zugliste!$A$4:$D$2002,4,FALSE),"")</f>
        <v/>
      </c>
      <c r="FB142" t="str">
        <f>+IFERROR(VLOOKUP(FB43,IN_Zugliste!$A$4:$D$2002,4,FALSE),"")</f>
        <v/>
      </c>
      <c r="FC142" t="str">
        <f>+IFERROR(VLOOKUP(FC43,IN_Zugliste!$A$4:$D$2002,4,FALSE),"")</f>
        <v/>
      </c>
      <c r="FD142" t="str">
        <f>+IFERROR(VLOOKUP(FD43,IN_Zugliste!$A$4:$D$2002,4,FALSE),"")</f>
        <v/>
      </c>
      <c r="FE142" t="str">
        <f>+IFERROR(VLOOKUP(FE43,IN_Zugliste!$A$4:$D$2002,4,FALSE),"")</f>
        <v/>
      </c>
      <c r="FF142" t="str">
        <f>+IFERROR(VLOOKUP(FF43,IN_Zugliste!$A$4:$D$2002,4,FALSE),"")</f>
        <v/>
      </c>
      <c r="FG142" t="str">
        <f>+IFERROR(VLOOKUP(FG43,IN_Zugliste!$A$4:$D$2002,4,FALSE),"")</f>
        <v/>
      </c>
      <c r="FH142" t="str">
        <f>+IFERROR(VLOOKUP(FH43,IN_Zugliste!$A$4:$D$2002,4,FALSE),"")</f>
        <v/>
      </c>
      <c r="FI142" t="str">
        <f>+IFERROR(VLOOKUP(FI43,IN_Zugliste!$A$4:$D$2002,4,FALSE),"")</f>
        <v/>
      </c>
      <c r="FJ142" t="str">
        <f>+IFERROR(VLOOKUP(FJ43,IN_Zugliste!$A$4:$D$2002,4,FALSE),"")</f>
        <v/>
      </c>
      <c r="FK142" t="str">
        <f>+IFERROR(VLOOKUP(FK43,IN_Zugliste!$A$4:$D$2002,4,FALSE),"")</f>
        <v/>
      </c>
      <c r="FL142" t="str">
        <f>+IFERROR(VLOOKUP(FL43,IN_Zugliste!$A$4:$D$2002,4,FALSE),"")</f>
        <v/>
      </c>
      <c r="FM142" t="str">
        <f>+IFERROR(VLOOKUP(FM43,IN_Zugliste!$A$4:$C$602,4,FALSE),"")</f>
        <v/>
      </c>
      <c r="FN142" t="str">
        <f>+IFERROR(VLOOKUP(FN43,IN_Zugliste!$A$4:$C$602,4,FALSE),"")</f>
        <v/>
      </c>
      <c r="FO142" t="str">
        <f>+IFERROR(VLOOKUP(FO43,IN_Zugliste!$A$4:$C$602,4,FALSE),"")</f>
        <v/>
      </c>
      <c r="FP142" t="str">
        <f>+IFERROR(VLOOKUP(FP43,IN_Zugliste!$A$4:$C$602,4,FALSE),"")</f>
        <v/>
      </c>
      <c r="FQ142" t="str">
        <f>+IFERROR(VLOOKUP(FQ43,IN_Zugliste!$A$4:$C$602,4,FALSE),"")</f>
        <v/>
      </c>
      <c r="FR142" t="str">
        <f>+IFERROR(VLOOKUP(FR43,IN_Zugliste!$A$4:$C$602,4,FALSE),"")</f>
        <v/>
      </c>
      <c r="FS142" t="str">
        <f>+IFERROR(VLOOKUP(FS43,IN_Zugliste!$A$4:$C$602,4,FALSE),"")</f>
        <v/>
      </c>
      <c r="FT142" t="str">
        <f>+IFERROR(VLOOKUP(FT43,IN_Zugliste!$A$4:$C$602,4,FALSE),"")</f>
        <v/>
      </c>
      <c r="FU142" t="str">
        <f>+IFERROR(VLOOKUP(FU43,IN_Zugliste!$A$4:$C$602,4,FALSE),"")</f>
        <v/>
      </c>
      <c r="FV142" t="str">
        <f>+IFERROR(VLOOKUP(FV43,IN_Zugliste!$A$4:$C$602,4,FALSE),"")</f>
        <v/>
      </c>
      <c r="FW142" t="str">
        <f>+IFERROR(VLOOKUP(FW43,IN_Zugliste!$A$4:$C$602,4,FALSE),"")</f>
        <v/>
      </c>
      <c r="FX142" t="str">
        <f>+IFERROR(VLOOKUP(FX43,IN_Zugliste!$A$4:$C$602,4,FALSE),"")</f>
        <v/>
      </c>
      <c r="FY142" t="str">
        <f>+IFERROR(VLOOKUP(FY43,IN_Zugliste!$A$4:$C$602,4,FALSE),"")</f>
        <v/>
      </c>
      <c r="FZ142" t="str">
        <f>+IFERROR(VLOOKUP(FZ43,IN_Zugliste!$A$4:$C$602,4,FALSE),"")</f>
        <v/>
      </c>
      <c r="GA142" t="str">
        <f>+IFERROR(VLOOKUP(GA43,IN_Zugliste!$A$4:$C$602,4,FALSE),"")</f>
        <v/>
      </c>
      <c r="GB142" t="str">
        <f>+IFERROR(VLOOKUP(GB43,IN_Zugliste!$A$4:$C$602,4,FALSE),"")</f>
        <v/>
      </c>
      <c r="GC142" t="str">
        <f>+IFERROR(VLOOKUP(GC43,IN_Zugliste!$A$4:$C$602,4,FALSE),"")</f>
        <v/>
      </c>
      <c r="GD142" t="str">
        <f>+IFERROR(VLOOKUP(GD43,IN_Zugliste!$A$4:$C$602,4,FALSE),"")</f>
        <v/>
      </c>
      <c r="GE142" t="str">
        <f>+IFERROR(VLOOKUP(GE43,IN_Zugliste!$A$4:$C$602,4,FALSE),"")</f>
        <v/>
      </c>
      <c r="GF142" t="str">
        <f>+IFERROR(VLOOKUP(GF43,IN_Zugliste!$A$4:$C$602,4,FALSE),"")</f>
        <v/>
      </c>
      <c r="GG142" t="str">
        <f>+IFERROR(VLOOKUP(GG43,IN_Zugliste!$A$4:$C$602,4,FALSE),"")</f>
        <v/>
      </c>
      <c r="GH142" t="str">
        <f>+IFERROR(VLOOKUP(GH43,IN_Zugliste!$A$4:$C$602,4,FALSE),"")</f>
        <v/>
      </c>
      <c r="GI142" t="str">
        <f>+IFERROR(VLOOKUP(GI43,IN_Zugliste!$A$4:$C$602,4,FALSE),"")</f>
        <v/>
      </c>
      <c r="GJ142" t="str">
        <f>+IFERROR(VLOOKUP(GJ43,IN_Zugliste!$A$4:$C$602,4,FALSE),"")</f>
        <v/>
      </c>
      <c r="GK142" t="str">
        <f>+IFERROR(VLOOKUP(GK43,IN_Zugliste!$A$4:$C$602,4,FALSE),"")</f>
        <v/>
      </c>
      <c r="GL142" t="str">
        <f>+IFERROR(VLOOKUP(GL43,IN_Zugliste!$A$4:$C$602,4,FALSE),"")</f>
        <v/>
      </c>
      <c r="GM142" t="str">
        <f>+IFERROR(VLOOKUP(GM43,IN_Zugliste!$A$4:$C$602,4,FALSE),"")</f>
        <v/>
      </c>
      <c r="GN142" t="str">
        <f>+IFERROR(VLOOKUP(GN43,IN_Zugliste!$A$4:$C$602,4,FALSE),"")</f>
        <v/>
      </c>
      <c r="GO142" t="str">
        <f>+IFERROR(VLOOKUP(GO43,IN_Zugliste!$A$4:$C$602,4,FALSE),"")</f>
        <v/>
      </c>
      <c r="GP142" t="str">
        <f>+IFERROR(VLOOKUP(GP43,IN_Zugliste!$A$4:$C$602,4,FALSE),"")</f>
        <v/>
      </c>
      <c r="GQ142" t="str">
        <f>+IFERROR(VLOOKUP(GQ43,IN_Zugliste!$A$4:$C$602,4,FALSE),"")</f>
        <v/>
      </c>
      <c r="GR142" t="str">
        <f>+IFERROR(VLOOKUP(GR43,IN_Zugliste!$A$4:$C$602,4,FALSE),"")</f>
        <v/>
      </c>
      <c r="GS142" t="str">
        <f>+IFERROR(VLOOKUP(GS43,IN_Zugliste!$A$4:$C$602,4,FALSE),"")</f>
        <v/>
      </c>
      <c r="GT142" t="str">
        <f>+IFERROR(VLOOKUP(GT43,IN_Zugliste!$A$4:$C$602,4,FALSE),"")</f>
        <v/>
      </c>
      <c r="GU142" t="str">
        <f>+IFERROR(VLOOKUP(GU43,IN_Zugliste!$A$4:$C$602,4,FALSE),"")</f>
        <v/>
      </c>
      <c r="GV142" t="str">
        <f>+IFERROR(VLOOKUP(GV43,IN_Zugliste!$A$4:$C$602,4,FALSE),"")</f>
        <v/>
      </c>
      <c r="GW142" t="str">
        <f>+IFERROR(VLOOKUP(GW43,IN_Zugliste!$A$4:$C$602,4,FALSE),"")</f>
        <v/>
      </c>
      <c r="GX142" t="str">
        <f>+IFERROR(VLOOKUP(GX43,IN_Zugliste!$A$4:$C$602,4,FALSE),"")</f>
        <v/>
      </c>
      <c r="GY142" t="str">
        <f>+IFERROR(VLOOKUP(GY43,IN_Zugliste!$A$4:$C$602,4,FALSE),"")</f>
        <v/>
      </c>
      <c r="GZ142" t="str">
        <f>+IFERROR(VLOOKUP(GZ43,IN_Zugliste!$A$4:$C$602,4,FALSE),"")</f>
        <v/>
      </c>
      <c r="HA142" t="str">
        <f>+IFERROR(VLOOKUP(HA43,IN_Zugliste!$A$4:$C$602,4,FALSE),"")</f>
        <v/>
      </c>
      <c r="HB142" t="str">
        <f>+IFERROR(VLOOKUP(HB43,IN_Zugliste!$A$4:$C$602,4,FALSE),"")</f>
        <v/>
      </c>
      <c r="HC142" t="str">
        <f>+IFERROR(VLOOKUP(HC43,IN_Zugliste!$A$4:$C$602,4,FALSE),"")</f>
        <v/>
      </c>
      <c r="HD142" t="str">
        <f>+IFERROR(VLOOKUP(HD43,IN_Zugliste!$A$4:$C$602,4,FALSE),"")</f>
        <v/>
      </c>
      <c r="HE142" t="str">
        <f>+IFERROR(VLOOKUP(HE43,IN_Zugliste!$A$4:$C$602,4,FALSE),"")</f>
        <v/>
      </c>
      <c r="HF142" t="str">
        <f>+IFERROR(VLOOKUP(HF43,IN_Zugliste!$A$4:$C$602,4,FALSE),"")</f>
        <v/>
      </c>
      <c r="HG142" t="str">
        <f>+IFERROR(VLOOKUP(HG43,IN_Zugliste!$A$4:$C$602,4,FALSE),"")</f>
        <v/>
      </c>
      <c r="HH142" t="str">
        <f>+IFERROR(VLOOKUP(HH43,IN_Zugliste!$A$4:$C$602,4,FALSE),"")</f>
        <v/>
      </c>
    </row>
    <row r="143" spans="1:216" x14ac:dyDescent="0.2">
      <c r="A143" t="str">
        <f>+IFERROR(VLOOKUP(A44,IN_Zugliste!$A$4:$D$2002,4,FALSE),"")</f>
        <v/>
      </c>
      <c r="B143" t="str">
        <f>+IFERROR(VLOOKUP(B44,IN_Zugliste!$A$4:$D$2002,4,FALSE),"")</f>
        <v/>
      </c>
      <c r="C143" t="str">
        <f>+IFERROR(VLOOKUP(C44,IN_Zugliste!$A$4:$D$2002,4,FALSE),"")</f>
        <v/>
      </c>
      <c r="D143" t="str">
        <f>+IFERROR(VLOOKUP(D44,IN_Zugliste!$A$4:$D$2002,4,FALSE),"")</f>
        <v/>
      </c>
      <c r="E143" t="str">
        <f>+IFERROR(VLOOKUP(E44,IN_Zugliste!$A$4:$D$2002,4,FALSE),"")</f>
        <v/>
      </c>
      <c r="F143" t="str">
        <f>+IFERROR(VLOOKUP(F44,IN_Zugliste!$A$4:$D$2002,4,FALSE),"")</f>
        <v/>
      </c>
      <c r="G143" t="str">
        <f>+IFERROR(VLOOKUP(G44,IN_Zugliste!$A$4:$D$2002,4,FALSE),"")</f>
        <v/>
      </c>
      <c r="H143" t="str">
        <f>+IFERROR(VLOOKUP(H44,IN_Zugliste!$A$4:$D$2002,4,FALSE),"")</f>
        <v/>
      </c>
      <c r="I143" t="str">
        <f>+IFERROR(VLOOKUP(I44,IN_Zugliste!$A$4:$D$2002,4,FALSE),"")</f>
        <v/>
      </c>
      <c r="J143" t="str">
        <f>+IFERROR(VLOOKUP(J44,IN_Zugliste!$A$4:$D$2002,4,FALSE),"")</f>
        <v/>
      </c>
      <c r="K143" t="str">
        <f>+IFERROR(VLOOKUP(K44,IN_Zugliste!$A$4:$D$2002,4,FALSE),"")</f>
        <v/>
      </c>
      <c r="L143" t="str">
        <f>+IFERROR(VLOOKUP(L44,IN_Zugliste!$A$4:$D$2002,4,FALSE),"")</f>
        <v/>
      </c>
      <c r="M143" t="str">
        <f>+IFERROR(VLOOKUP(M44,IN_Zugliste!$A$4:$D$2002,4,FALSE),"")</f>
        <v/>
      </c>
      <c r="N143" t="str">
        <f>+IFERROR(VLOOKUP(N44,IN_Zugliste!$A$4:$D$2002,4,FALSE),"")</f>
        <v/>
      </c>
      <c r="O143" t="str">
        <f>+IFERROR(VLOOKUP(O44,IN_Zugliste!$A$4:$D$2002,4,FALSE),"")</f>
        <v/>
      </c>
      <c r="P143" t="str">
        <f>+IFERROR(VLOOKUP(P44,IN_Zugliste!$A$4:$D$2002,4,FALSE),"")</f>
        <v/>
      </c>
      <c r="Q143" t="str">
        <f>+IFERROR(VLOOKUP(Q44,IN_Zugliste!$A$4:$D$2002,4,FALSE),"")</f>
        <v/>
      </c>
      <c r="R143" t="str">
        <f>+IFERROR(VLOOKUP(R44,IN_Zugliste!$A$4:$D$2002,4,FALSE),"")</f>
        <v/>
      </c>
      <c r="S143" t="str">
        <f>+IFERROR(VLOOKUP(S44,IN_Zugliste!$A$4:$D$2002,4,FALSE),"")</f>
        <v/>
      </c>
      <c r="T143" t="str">
        <f>+IFERROR(VLOOKUP(T44,IN_Zugliste!$A$4:$D$2002,4,FALSE),"")</f>
        <v/>
      </c>
      <c r="U143" t="str">
        <f>+IFERROR(VLOOKUP(U44,IN_Zugliste!$A$4:$D$2002,4,FALSE),"")</f>
        <v/>
      </c>
      <c r="V143" t="str">
        <f>+IFERROR(VLOOKUP(V44,IN_Zugliste!$A$4:$D$2002,4,FALSE),"")</f>
        <v/>
      </c>
      <c r="W143" t="str">
        <f>+IFERROR(VLOOKUP(W44,IN_Zugliste!$A$4:$D$2002,4,FALSE),"")</f>
        <v/>
      </c>
      <c r="X143" t="str">
        <f>+IFERROR(VLOOKUP(X44,IN_Zugliste!$A$4:$D$2002,4,FALSE),"")</f>
        <v/>
      </c>
      <c r="Y143" t="str">
        <f>+IFERROR(VLOOKUP(Y44,IN_Zugliste!$A$4:$D$2002,4,FALSE),"")</f>
        <v/>
      </c>
      <c r="Z143" t="str">
        <f>+IFERROR(VLOOKUP(Z44,IN_Zugliste!$A$4:$D$2002,4,FALSE),"")</f>
        <v/>
      </c>
      <c r="AA143" t="str">
        <f>+IFERROR(VLOOKUP(AA44,IN_Zugliste!$A$4:$D$2002,4,FALSE),"")</f>
        <v/>
      </c>
      <c r="AB143" t="str">
        <f>+IFERROR(VLOOKUP(AB44,IN_Zugliste!$A$4:$D$2002,4,FALSE),"")</f>
        <v/>
      </c>
      <c r="AC143" t="str">
        <f>+IFERROR(VLOOKUP(AC44,IN_Zugliste!$A$4:$D$2002,4,FALSE),"")</f>
        <v/>
      </c>
      <c r="AD143" t="str">
        <f>+IFERROR(VLOOKUP(AD44,IN_Zugliste!$A$4:$D$2002,4,FALSE),"")</f>
        <v/>
      </c>
      <c r="AE143" t="str">
        <f>+IFERROR(VLOOKUP(AE44,IN_Zugliste!$A$4:$D$2002,4,FALSE),"")</f>
        <v/>
      </c>
      <c r="AF143" t="str">
        <f>+IFERROR(VLOOKUP(AF44,IN_Zugliste!$A$4:$D$2002,4,FALSE),"")</f>
        <v/>
      </c>
      <c r="AG143" t="str">
        <f>+IFERROR(VLOOKUP(AG44,IN_Zugliste!$A$4:$D$2002,4,FALSE),"")</f>
        <v/>
      </c>
      <c r="AH143" t="str">
        <f>+IFERROR(VLOOKUP(AH44,IN_Zugliste!$A$4:$D$2002,4,FALSE),"")</f>
        <v/>
      </c>
      <c r="AI143" t="str">
        <f>+IFERROR(VLOOKUP(AI44,IN_Zugliste!$A$4:$D$2002,4,FALSE),"")</f>
        <v/>
      </c>
      <c r="AJ143" t="str">
        <f>+IFERROR(VLOOKUP(AJ44,IN_Zugliste!$A$4:$D$2002,4,FALSE),"")</f>
        <v/>
      </c>
      <c r="AK143" t="str">
        <f>+IFERROR(VLOOKUP(AK44,IN_Zugliste!$A$4:$D$2002,4,FALSE),"")</f>
        <v/>
      </c>
      <c r="AL143" t="str">
        <f>+IFERROR(VLOOKUP(AL44,IN_Zugliste!$A$4:$D$2002,4,FALSE),"")</f>
        <v/>
      </c>
      <c r="AM143" t="str">
        <f>+IFERROR(VLOOKUP(AM44,IN_Zugliste!$A$4:$D$2002,4,FALSE),"")</f>
        <v/>
      </c>
      <c r="AN143" t="str">
        <f>+IFERROR(VLOOKUP(AN44,IN_Zugliste!$A$4:$D$2002,4,FALSE),"")</f>
        <v/>
      </c>
      <c r="AO143" t="str">
        <f>+IFERROR(VLOOKUP(AO44,IN_Zugliste!$A$4:$D$2002,4,FALSE),"")</f>
        <v/>
      </c>
      <c r="AP143" t="str">
        <f>+IFERROR(VLOOKUP(AP44,IN_Zugliste!$A$4:$D$2002,4,FALSE),"")</f>
        <v/>
      </c>
      <c r="AQ143" t="str">
        <f>+IFERROR(VLOOKUP(AQ44,IN_Zugliste!$A$4:$D$2002,4,FALSE),"")</f>
        <v/>
      </c>
      <c r="AR143" t="str">
        <f>+IFERROR(VLOOKUP(AR44,IN_Zugliste!$A$4:$D$2002,4,FALSE),"")</f>
        <v/>
      </c>
      <c r="AS143" t="str">
        <f>+IFERROR(VLOOKUP(AS44,IN_Zugliste!$A$4:$D$2002,4,FALSE),"")</f>
        <v/>
      </c>
      <c r="AT143" t="str">
        <f>+IFERROR(VLOOKUP(AT44,IN_Zugliste!$A$4:$D$2002,4,FALSE),"")</f>
        <v/>
      </c>
      <c r="AU143" t="str">
        <f>+IFERROR(VLOOKUP(AU44,IN_Zugliste!$A$4:$D$2002,4,FALSE),"")</f>
        <v/>
      </c>
      <c r="AV143" t="str">
        <f>+IFERROR(VLOOKUP(AV44,IN_Zugliste!$A$4:$D$2002,4,FALSE),"")</f>
        <v/>
      </c>
      <c r="AW143" t="str">
        <f>+IFERROR(VLOOKUP(AW44,IN_Zugliste!$A$4:$D$2002,4,FALSE),"")</f>
        <v/>
      </c>
      <c r="AX143" t="str">
        <f>+IFERROR(VLOOKUP(AX44,IN_Zugliste!$A$4:$D$2002,4,FALSE),"")</f>
        <v/>
      </c>
      <c r="AY143" t="str">
        <f>+IFERROR(VLOOKUP(AY44,IN_Zugliste!$A$4:$D$2002,4,FALSE),"")</f>
        <v/>
      </c>
      <c r="AZ143" t="str">
        <f>+IFERROR(VLOOKUP(AZ44,IN_Zugliste!$A$4:$D$2002,4,FALSE),"")</f>
        <v/>
      </c>
      <c r="BA143" t="str">
        <f>+IFERROR(VLOOKUP(BA44,IN_Zugliste!$A$4:$D$2002,4,FALSE),"")</f>
        <v/>
      </c>
      <c r="BB143" t="str">
        <f>+IFERROR(VLOOKUP(BB44,IN_Zugliste!$A$4:$D$2002,4,FALSE),"")</f>
        <v/>
      </c>
      <c r="BC143" t="str">
        <f>+IFERROR(VLOOKUP(BC44,IN_Zugliste!$A$4:$D$2002,4,FALSE),"")</f>
        <v/>
      </c>
      <c r="BD143" t="str">
        <f>+IFERROR(VLOOKUP(BD44,IN_Zugliste!$A$4:$D$2002,4,FALSE),"")</f>
        <v/>
      </c>
      <c r="BE143" t="str">
        <f>+IFERROR(VLOOKUP(BE44,IN_Zugliste!$A$4:$D$2002,4,FALSE),"")</f>
        <v/>
      </c>
      <c r="BF143" t="str">
        <f>+IFERROR(VLOOKUP(BF44,IN_Zugliste!$A$4:$D$2002,4,FALSE),"")</f>
        <v/>
      </c>
      <c r="BG143" t="str">
        <f>+IFERROR(VLOOKUP(BG44,IN_Zugliste!$A$4:$D$2002,4,FALSE),"")</f>
        <v/>
      </c>
      <c r="BH143" t="str">
        <f>+IFERROR(VLOOKUP(BH44,IN_Zugliste!$A$4:$D$2002,4,FALSE),"")</f>
        <v/>
      </c>
      <c r="BI143" t="str">
        <f>+IFERROR(VLOOKUP(BI44,IN_Zugliste!$A$4:$D$2002,4,FALSE),"")</f>
        <v/>
      </c>
      <c r="BJ143" t="str">
        <f>+IFERROR(VLOOKUP(BJ44,IN_Zugliste!$A$4:$D$2002,4,FALSE),"")</f>
        <v/>
      </c>
      <c r="BK143" t="str">
        <f>+IFERROR(VLOOKUP(BK44,IN_Zugliste!$A$4:$D$2002,4,FALSE),"")</f>
        <v/>
      </c>
      <c r="BL143" t="str">
        <f>+IFERROR(VLOOKUP(BL44,IN_Zugliste!$A$4:$D$2002,4,FALSE),"")</f>
        <v/>
      </c>
      <c r="BM143" t="str">
        <f>+IFERROR(VLOOKUP(BM44,IN_Zugliste!$A$4:$D$2002,4,FALSE),"")</f>
        <v/>
      </c>
      <c r="BN143" t="str">
        <f>+IFERROR(VLOOKUP(BN44,IN_Zugliste!$A$4:$D$2002,4,FALSE),"")</f>
        <v/>
      </c>
      <c r="BO143" t="str">
        <f>+IFERROR(VLOOKUP(BO44,IN_Zugliste!$A$4:$D$2002,4,FALSE),"")</f>
        <v/>
      </c>
      <c r="BP143" t="str">
        <f>+IFERROR(VLOOKUP(BP44,IN_Zugliste!$A$4:$D$2002,4,FALSE),"")</f>
        <v/>
      </c>
      <c r="BQ143" t="str">
        <f>+IFERROR(VLOOKUP(BQ44,IN_Zugliste!$A$4:$D$2002,4,FALSE),"")</f>
        <v/>
      </c>
      <c r="BR143" t="str">
        <f>+IFERROR(VLOOKUP(BR44,IN_Zugliste!$A$4:$D$2002,4,FALSE),"")</f>
        <v/>
      </c>
      <c r="BS143" t="str">
        <f>+IFERROR(VLOOKUP(BS44,IN_Zugliste!$A$4:$D$2002,4,FALSE),"")</f>
        <v/>
      </c>
      <c r="BT143" t="str">
        <f>+IFERROR(VLOOKUP(BT44,IN_Zugliste!$A$4:$D$2002,4,FALSE),"")</f>
        <v/>
      </c>
      <c r="BU143" t="str">
        <f>+IFERROR(VLOOKUP(BU44,IN_Zugliste!$A$4:$D$2002,4,FALSE),"")</f>
        <v/>
      </c>
      <c r="BV143" t="str">
        <f>+IFERROR(VLOOKUP(BV44,IN_Zugliste!$A$4:$D$2002,4,FALSE),"")</f>
        <v/>
      </c>
      <c r="BW143" t="str">
        <f>+IFERROR(VLOOKUP(BW44,IN_Zugliste!$A$4:$D$2002,4,FALSE),"")</f>
        <v/>
      </c>
      <c r="BX143" t="str">
        <f>+IFERROR(VLOOKUP(BX44,IN_Zugliste!$A$4:$D$2002,4,FALSE),"")</f>
        <v/>
      </c>
      <c r="BY143" t="str">
        <f>+IFERROR(VLOOKUP(BY44,IN_Zugliste!$A$4:$D$2002,4,FALSE),"")</f>
        <v/>
      </c>
      <c r="BZ143" t="str">
        <f>+IFERROR(VLOOKUP(BZ44,IN_Zugliste!$A$4:$D$2002,4,FALSE),"")</f>
        <v/>
      </c>
      <c r="CA143" t="str">
        <f>+IFERROR(VLOOKUP(CA44,IN_Zugliste!$A$4:$D$2002,4,FALSE),"")</f>
        <v/>
      </c>
      <c r="CB143" t="str">
        <f>+IFERROR(VLOOKUP(CB44,IN_Zugliste!$A$4:$D$2002,4,FALSE),"")</f>
        <v/>
      </c>
      <c r="CC143" t="str">
        <f>+IFERROR(VLOOKUP(CC44,IN_Zugliste!$A$4:$D$2002,4,FALSE),"")</f>
        <v/>
      </c>
      <c r="CD143" t="str">
        <f>+IFERROR(VLOOKUP(CD44,IN_Zugliste!$A$4:$D$2002,4,FALSE),"")</f>
        <v/>
      </c>
      <c r="CE143" t="str">
        <f>+IFERROR(VLOOKUP(CE44,IN_Zugliste!$A$4:$D$2002,4,FALSE),"")</f>
        <v/>
      </c>
      <c r="CF143" t="str">
        <f>+IFERROR(VLOOKUP(CF44,IN_Zugliste!$A$4:$D$2002,4,FALSE),"")</f>
        <v/>
      </c>
      <c r="CG143" t="str">
        <f>+IFERROR(VLOOKUP(CG44,IN_Zugliste!$A$4:$D$2002,4,FALSE),"")</f>
        <v/>
      </c>
      <c r="CH143" t="str">
        <f>+IFERROR(VLOOKUP(CH44,IN_Zugliste!$A$4:$D$2002,4,FALSE),"")</f>
        <v/>
      </c>
      <c r="CI143" t="str">
        <f>+IFERROR(VLOOKUP(CI44,IN_Zugliste!$A$4:$D$2002,4,FALSE),"")</f>
        <v/>
      </c>
      <c r="CJ143" t="str">
        <f>+IFERROR(VLOOKUP(CJ44,IN_Zugliste!$A$4:$D$2002,4,FALSE),"")</f>
        <v/>
      </c>
      <c r="CK143" t="str">
        <f>+IFERROR(VLOOKUP(CK44,IN_Zugliste!$A$4:$D$2002,4,FALSE),"")</f>
        <v/>
      </c>
      <c r="CL143" t="str">
        <f>+IFERROR(VLOOKUP(CL44,IN_Zugliste!$A$4:$D$2002,4,FALSE),"")</f>
        <v/>
      </c>
      <c r="CM143" t="str">
        <f>+IFERROR(VLOOKUP(CM44,IN_Zugliste!$A$4:$D$2002,4,FALSE),"")</f>
        <v/>
      </c>
      <c r="CN143" t="str">
        <f>+IFERROR(VLOOKUP(CN44,IN_Zugliste!$A$4:$D$2002,4,FALSE),"")</f>
        <v/>
      </c>
      <c r="CO143" t="str">
        <f>+IFERROR(VLOOKUP(CO44,IN_Zugliste!$A$4:$D$2002,4,FALSE),"")</f>
        <v/>
      </c>
      <c r="CP143" t="str">
        <f>+IFERROR(VLOOKUP(CP44,IN_Zugliste!$A$4:$D$2002,4,FALSE),"")</f>
        <v/>
      </c>
      <c r="CQ143" t="str">
        <f>+IFERROR(VLOOKUP(CQ44,IN_Zugliste!$A$4:$D$2002,4,FALSE),"")</f>
        <v/>
      </c>
      <c r="CR143" t="str">
        <f>+IFERROR(VLOOKUP(CR44,IN_Zugliste!$A$4:$D$2002,4,FALSE),"")</f>
        <v/>
      </c>
      <c r="CS143" t="str">
        <f>+IFERROR(VLOOKUP(CS44,IN_Zugliste!$A$4:$D$2002,4,FALSE),"")</f>
        <v/>
      </c>
      <c r="CT143" t="str">
        <f>+IFERROR(VLOOKUP(CT44,IN_Zugliste!$A$4:$D$2002,4,FALSE),"")</f>
        <v/>
      </c>
      <c r="CU143" t="str">
        <f>+IFERROR(VLOOKUP(CU44,IN_Zugliste!$A$4:$D$2002,4,FALSE),"")</f>
        <v/>
      </c>
      <c r="CV143" t="str">
        <f>+IFERROR(VLOOKUP(CV44,IN_Zugliste!$A$4:$D$2002,4,FALSE),"")</f>
        <v/>
      </c>
      <c r="CW143" t="str">
        <f>+IFERROR(VLOOKUP(CW44,IN_Zugliste!$A$4:$D$2002,4,FALSE),"")</f>
        <v/>
      </c>
      <c r="CX143" t="str">
        <f>+IFERROR(VLOOKUP(CX44,IN_Zugliste!$A$4:$D$2002,4,FALSE),"")</f>
        <v/>
      </c>
      <c r="CY143" t="str">
        <f>+IFERROR(VLOOKUP(CY44,IN_Zugliste!$A$4:$D$2002,4,FALSE),"")</f>
        <v/>
      </c>
      <c r="CZ143" t="str">
        <f>+IFERROR(VLOOKUP(CZ44,IN_Zugliste!$A$4:$D$2002,4,FALSE),"")</f>
        <v/>
      </c>
      <c r="DA143" t="str">
        <f>+IFERROR(VLOOKUP(DA44,IN_Zugliste!$A$4:$D$2002,4,FALSE),"")</f>
        <v/>
      </c>
      <c r="DB143" t="str">
        <f>+IFERROR(VLOOKUP(DB44,IN_Zugliste!$A$4:$D$2002,4,FALSE),"")</f>
        <v/>
      </c>
      <c r="DC143" t="str">
        <f>+IFERROR(VLOOKUP(DC44,IN_Zugliste!$A$4:$D$2002,4,FALSE),"")</f>
        <v/>
      </c>
      <c r="DD143" t="str">
        <f>+IFERROR(VLOOKUP(DD44,IN_Zugliste!$A$4:$D$2002,4,FALSE),"")</f>
        <v/>
      </c>
      <c r="DE143" t="str">
        <f>+IFERROR(VLOOKUP(DE44,IN_Zugliste!$A$4:$D$2002,4,FALSE),"")</f>
        <v/>
      </c>
      <c r="DF143" t="str">
        <f>+IFERROR(VLOOKUP(DF44,IN_Zugliste!$A$4:$D$2002,4,FALSE),"")</f>
        <v/>
      </c>
      <c r="DG143" t="str">
        <f>+IFERROR(VLOOKUP(DG44,IN_Zugliste!$A$4:$D$2002,4,FALSE),"")</f>
        <v/>
      </c>
      <c r="DH143" t="str">
        <f>+IFERROR(VLOOKUP(DH44,IN_Zugliste!$A$4:$D$2002,4,FALSE),"")</f>
        <v/>
      </c>
      <c r="DI143" t="str">
        <f>+IFERROR(VLOOKUP(DI44,IN_Zugliste!$A$4:$D$2002,4,FALSE),"")</f>
        <v/>
      </c>
      <c r="DJ143" t="str">
        <f>+IFERROR(VLOOKUP(DJ44,IN_Zugliste!$A$4:$D$2002,4,FALSE),"")</f>
        <v/>
      </c>
      <c r="DK143" t="str">
        <f>+IFERROR(VLOOKUP(DK44,IN_Zugliste!$A$4:$D$2002,4,FALSE),"")</f>
        <v/>
      </c>
      <c r="DL143" t="str">
        <f>+IFERROR(VLOOKUP(DL44,IN_Zugliste!$A$4:$D$2002,4,FALSE),"")</f>
        <v/>
      </c>
      <c r="DM143" t="str">
        <f>+IFERROR(VLOOKUP(DM44,IN_Zugliste!$A$4:$D$2002,4,FALSE),"")</f>
        <v/>
      </c>
      <c r="DN143" t="str">
        <f>+IFERROR(VLOOKUP(DN44,IN_Zugliste!$A$4:$D$2002,4,FALSE),"")</f>
        <v/>
      </c>
      <c r="DO143" t="str">
        <f>+IFERROR(VLOOKUP(DO44,IN_Zugliste!$A$4:$D$2002,4,FALSE),"")</f>
        <v/>
      </c>
      <c r="DP143" t="str">
        <f>+IFERROR(VLOOKUP(DP44,IN_Zugliste!$A$4:$D$2002,4,FALSE),"")</f>
        <v/>
      </c>
      <c r="DQ143" t="str">
        <f>+IFERROR(VLOOKUP(DQ44,IN_Zugliste!$A$4:$D$2002,4,FALSE),"")</f>
        <v/>
      </c>
      <c r="DR143" t="str">
        <f>+IFERROR(VLOOKUP(DR44,IN_Zugliste!$A$4:$D$2002,4,FALSE),"")</f>
        <v/>
      </c>
      <c r="DS143" t="str">
        <f>+IFERROR(VLOOKUP(DS44,IN_Zugliste!$A$4:$D$2002,4,FALSE),"")</f>
        <v/>
      </c>
      <c r="DT143" t="str">
        <f>+IFERROR(VLOOKUP(DT44,IN_Zugliste!$A$4:$D$2002,4,FALSE),"")</f>
        <v/>
      </c>
      <c r="DU143" t="str">
        <f>+IFERROR(VLOOKUP(DU44,IN_Zugliste!$A$4:$D$2002,4,FALSE),"")</f>
        <v/>
      </c>
      <c r="DV143" t="str">
        <f>+IFERROR(VLOOKUP(DV44,IN_Zugliste!$A$4:$D$2002,4,FALSE),"")</f>
        <v/>
      </c>
      <c r="DW143" t="str">
        <f>+IFERROR(VLOOKUP(DW44,IN_Zugliste!$A$4:$D$2002,4,FALSE),"")</f>
        <v/>
      </c>
      <c r="DX143" t="str">
        <f>+IFERROR(VLOOKUP(DX44,IN_Zugliste!$A$4:$D$2002,4,FALSE),"")</f>
        <v/>
      </c>
      <c r="DY143" t="str">
        <f>+IFERROR(VLOOKUP(DY44,IN_Zugliste!$A$4:$D$2002,4,FALSE),"")</f>
        <v/>
      </c>
      <c r="DZ143" t="str">
        <f>+IFERROR(VLOOKUP(DZ44,IN_Zugliste!$A$4:$D$2002,4,FALSE),"")</f>
        <v/>
      </c>
      <c r="EA143" t="str">
        <f>+IFERROR(VLOOKUP(EA44,IN_Zugliste!$A$4:$D$2002,4,FALSE),"")</f>
        <v/>
      </c>
      <c r="EB143" t="str">
        <f>+IFERROR(VLOOKUP(EB44,IN_Zugliste!$A$4:$D$2002,4,FALSE),"")</f>
        <v/>
      </c>
      <c r="EC143" t="str">
        <f>+IFERROR(VLOOKUP(EC44,IN_Zugliste!$A$4:$D$2002,4,FALSE),"")</f>
        <v/>
      </c>
      <c r="ED143" t="str">
        <f>+IFERROR(VLOOKUP(ED44,IN_Zugliste!$A$4:$D$2002,4,FALSE),"")</f>
        <v/>
      </c>
      <c r="EE143" t="str">
        <f>+IFERROR(VLOOKUP(EE44,IN_Zugliste!$A$4:$D$2002,4,FALSE),"")</f>
        <v/>
      </c>
      <c r="EF143" t="str">
        <f>+IFERROR(VLOOKUP(EF44,IN_Zugliste!$A$4:$D$2002,4,FALSE),"")</f>
        <v/>
      </c>
      <c r="EG143" t="str">
        <f>+IFERROR(VLOOKUP(EG44,IN_Zugliste!$A$4:$D$2002,4,FALSE),"")</f>
        <v/>
      </c>
      <c r="EH143" t="str">
        <f>+IFERROR(VLOOKUP(EH44,IN_Zugliste!$A$4:$D$2002,4,FALSE),"")</f>
        <v/>
      </c>
      <c r="EI143" t="str">
        <f>+IFERROR(VLOOKUP(EI44,IN_Zugliste!$A$4:$D$2002,4,FALSE),"")</f>
        <v/>
      </c>
      <c r="EJ143" t="str">
        <f>+IFERROR(VLOOKUP(EJ44,IN_Zugliste!$A$4:$D$2002,4,FALSE),"")</f>
        <v/>
      </c>
      <c r="EK143" t="str">
        <f>+IFERROR(VLOOKUP(EK44,IN_Zugliste!$A$4:$D$2002,4,FALSE),"")</f>
        <v/>
      </c>
      <c r="EL143" t="str">
        <f>+IFERROR(VLOOKUP(EL44,IN_Zugliste!$A$4:$D$2002,4,FALSE),"")</f>
        <v/>
      </c>
      <c r="EM143" t="str">
        <f>+IFERROR(VLOOKUP(EM44,IN_Zugliste!$A$4:$D$2002,4,FALSE),"")</f>
        <v/>
      </c>
      <c r="EN143" t="str">
        <f>+IFERROR(VLOOKUP(EN44,IN_Zugliste!$A$4:$D$2002,4,FALSE),"")</f>
        <v/>
      </c>
      <c r="EO143" t="str">
        <f>+IFERROR(VLOOKUP(EO44,IN_Zugliste!$A$4:$D$2002,4,FALSE),"")</f>
        <v/>
      </c>
      <c r="EP143" t="str">
        <f>+IFERROR(VLOOKUP(EP44,IN_Zugliste!$A$4:$D$2002,4,FALSE),"")</f>
        <v/>
      </c>
      <c r="EQ143" t="str">
        <f>+IFERROR(VLOOKUP(EQ44,IN_Zugliste!$A$4:$D$2002,4,FALSE),"")</f>
        <v/>
      </c>
      <c r="ER143" t="str">
        <f>+IFERROR(VLOOKUP(ER44,IN_Zugliste!$A$4:$D$2002,4,FALSE),"")</f>
        <v/>
      </c>
      <c r="ES143" t="str">
        <f>+IFERROR(VLOOKUP(ES44,IN_Zugliste!$A$4:$D$2002,4,FALSE),"")</f>
        <v/>
      </c>
      <c r="ET143" t="str">
        <f>+IFERROR(VLOOKUP(ET44,IN_Zugliste!$A$4:$D$2002,4,FALSE),"")</f>
        <v/>
      </c>
      <c r="EU143" t="str">
        <f>+IFERROR(VLOOKUP(EU44,IN_Zugliste!$A$4:$D$2002,4,FALSE),"")</f>
        <v/>
      </c>
      <c r="EV143" t="str">
        <f>+IFERROR(VLOOKUP(EV44,IN_Zugliste!$A$4:$D$2002,4,FALSE),"")</f>
        <v/>
      </c>
      <c r="EW143" t="str">
        <f>+IFERROR(VLOOKUP(EW44,IN_Zugliste!$A$4:$D$2002,4,FALSE),"")</f>
        <v/>
      </c>
      <c r="EX143" t="str">
        <f>+IFERROR(VLOOKUP(EX44,IN_Zugliste!$A$4:$D$2002,4,FALSE),"")</f>
        <v/>
      </c>
      <c r="EY143" t="str">
        <f>+IFERROR(VLOOKUP(EY44,IN_Zugliste!$A$4:$D$2002,4,FALSE),"")</f>
        <v/>
      </c>
      <c r="EZ143" t="str">
        <f>+IFERROR(VLOOKUP(EZ44,IN_Zugliste!$A$4:$D$2002,4,FALSE),"")</f>
        <v/>
      </c>
      <c r="FA143" t="str">
        <f>+IFERROR(VLOOKUP(FA44,IN_Zugliste!$A$4:$D$2002,4,FALSE),"")</f>
        <v/>
      </c>
      <c r="FB143" t="str">
        <f>+IFERROR(VLOOKUP(FB44,IN_Zugliste!$A$4:$D$2002,4,FALSE),"")</f>
        <v/>
      </c>
      <c r="FC143" t="str">
        <f>+IFERROR(VLOOKUP(FC44,IN_Zugliste!$A$4:$D$2002,4,FALSE),"")</f>
        <v/>
      </c>
      <c r="FD143" t="str">
        <f>+IFERROR(VLOOKUP(FD44,IN_Zugliste!$A$4:$D$2002,4,FALSE),"")</f>
        <v/>
      </c>
      <c r="FE143" t="str">
        <f>+IFERROR(VLOOKUP(FE44,IN_Zugliste!$A$4:$D$2002,4,FALSE),"")</f>
        <v/>
      </c>
      <c r="FF143" t="str">
        <f>+IFERROR(VLOOKUP(FF44,IN_Zugliste!$A$4:$D$2002,4,FALSE),"")</f>
        <v/>
      </c>
      <c r="FG143" t="str">
        <f>+IFERROR(VLOOKUP(FG44,IN_Zugliste!$A$4:$D$2002,4,FALSE),"")</f>
        <v/>
      </c>
      <c r="FH143" t="str">
        <f>+IFERROR(VLOOKUP(FH44,IN_Zugliste!$A$4:$D$2002,4,FALSE),"")</f>
        <v/>
      </c>
      <c r="FI143" t="str">
        <f>+IFERROR(VLOOKUP(FI44,IN_Zugliste!$A$4:$D$2002,4,FALSE),"")</f>
        <v/>
      </c>
      <c r="FJ143" t="str">
        <f>+IFERROR(VLOOKUP(FJ44,IN_Zugliste!$A$4:$D$2002,4,FALSE),"")</f>
        <v/>
      </c>
      <c r="FK143" t="str">
        <f>+IFERROR(VLOOKUP(FK44,IN_Zugliste!$A$4:$D$2002,4,FALSE),"")</f>
        <v/>
      </c>
      <c r="FL143" t="str">
        <f>+IFERROR(VLOOKUP(FL44,IN_Zugliste!$A$4:$D$2002,4,FALSE),"")</f>
        <v/>
      </c>
      <c r="FM143" t="str">
        <f>+IFERROR(VLOOKUP(FM44,IN_Zugliste!$A$4:$C$602,4,FALSE),"")</f>
        <v/>
      </c>
      <c r="FN143" t="str">
        <f>+IFERROR(VLOOKUP(FN44,IN_Zugliste!$A$4:$C$602,4,FALSE),"")</f>
        <v/>
      </c>
      <c r="FO143" t="str">
        <f>+IFERROR(VLOOKUP(FO44,IN_Zugliste!$A$4:$C$602,4,FALSE),"")</f>
        <v/>
      </c>
      <c r="FP143" t="str">
        <f>+IFERROR(VLOOKUP(FP44,IN_Zugliste!$A$4:$C$602,4,FALSE),"")</f>
        <v/>
      </c>
      <c r="FQ143" t="str">
        <f>+IFERROR(VLOOKUP(FQ44,IN_Zugliste!$A$4:$C$602,4,FALSE),"")</f>
        <v/>
      </c>
      <c r="FR143" t="str">
        <f>+IFERROR(VLOOKUP(FR44,IN_Zugliste!$A$4:$C$602,4,FALSE),"")</f>
        <v/>
      </c>
      <c r="FS143" t="str">
        <f>+IFERROR(VLOOKUP(FS44,IN_Zugliste!$A$4:$C$602,4,FALSE),"")</f>
        <v/>
      </c>
      <c r="FT143" t="str">
        <f>+IFERROR(VLOOKUP(FT44,IN_Zugliste!$A$4:$C$602,4,FALSE),"")</f>
        <v/>
      </c>
      <c r="FU143" t="str">
        <f>+IFERROR(VLOOKUP(FU44,IN_Zugliste!$A$4:$C$602,4,FALSE),"")</f>
        <v/>
      </c>
      <c r="FV143" t="str">
        <f>+IFERROR(VLOOKUP(FV44,IN_Zugliste!$A$4:$C$602,4,FALSE),"")</f>
        <v/>
      </c>
      <c r="FW143" t="str">
        <f>+IFERROR(VLOOKUP(FW44,IN_Zugliste!$A$4:$C$602,4,FALSE),"")</f>
        <v/>
      </c>
      <c r="FX143" t="str">
        <f>+IFERROR(VLOOKUP(FX44,IN_Zugliste!$A$4:$C$602,4,FALSE),"")</f>
        <v/>
      </c>
      <c r="FY143" t="str">
        <f>+IFERROR(VLOOKUP(FY44,IN_Zugliste!$A$4:$C$602,4,FALSE),"")</f>
        <v/>
      </c>
      <c r="FZ143" t="str">
        <f>+IFERROR(VLOOKUP(FZ44,IN_Zugliste!$A$4:$C$602,4,FALSE),"")</f>
        <v/>
      </c>
      <c r="GA143" t="str">
        <f>+IFERROR(VLOOKUP(GA44,IN_Zugliste!$A$4:$C$602,4,FALSE),"")</f>
        <v/>
      </c>
      <c r="GB143" t="str">
        <f>+IFERROR(VLOOKUP(GB44,IN_Zugliste!$A$4:$C$602,4,FALSE),"")</f>
        <v/>
      </c>
      <c r="GC143" t="str">
        <f>+IFERROR(VLOOKUP(GC44,IN_Zugliste!$A$4:$C$602,4,FALSE),"")</f>
        <v/>
      </c>
      <c r="GD143" t="str">
        <f>+IFERROR(VLOOKUP(GD44,IN_Zugliste!$A$4:$C$602,4,FALSE),"")</f>
        <v/>
      </c>
      <c r="GE143" t="str">
        <f>+IFERROR(VLOOKUP(GE44,IN_Zugliste!$A$4:$C$602,4,FALSE),"")</f>
        <v/>
      </c>
      <c r="GF143" t="str">
        <f>+IFERROR(VLOOKUP(GF44,IN_Zugliste!$A$4:$C$602,4,FALSE),"")</f>
        <v/>
      </c>
      <c r="GG143" t="str">
        <f>+IFERROR(VLOOKUP(GG44,IN_Zugliste!$A$4:$C$602,4,FALSE),"")</f>
        <v/>
      </c>
      <c r="GH143" t="str">
        <f>+IFERROR(VLOOKUP(GH44,IN_Zugliste!$A$4:$C$602,4,FALSE),"")</f>
        <v/>
      </c>
      <c r="GI143" t="str">
        <f>+IFERROR(VLOOKUP(GI44,IN_Zugliste!$A$4:$C$602,4,FALSE),"")</f>
        <v/>
      </c>
      <c r="GJ143" t="str">
        <f>+IFERROR(VLOOKUP(GJ44,IN_Zugliste!$A$4:$C$602,4,FALSE),"")</f>
        <v/>
      </c>
      <c r="GK143" t="str">
        <f>+IFERROR(VLOOKUP(GK44,IN_Zugliste!$A$4:$C$602,4,FALSE),"")</f>
        <v/>
      </c>
      <c r="GL143" t="str">
        <f>+IFERROR(VLOOKUP(GL44,IN_Zugliste!$A$4:$C$602,4,FALSE),"")</f>
        <v/>
      </c>
      <c r="GM143" t="str">
        <f>+IFERROR(VLOOKUP(GM44,IN_Zugliste!$A$4:$C$602,4,FALSE),"")</f>
        <v/>
      </c>
      <c r="GN143" t="str">
        <f>+IFERROR(VLOOKUP(GN44,IN_Zugliste!$A$4:$C$602,4,FALSE),"")</f>
        <v/>
      </c>
      <c r="GO143" t="str">
        <f>+IFERROR(VLOOKUP(GO44,IN_Zugliste!$A$4:$C$602,4,FALSE),"")</f>
        <v/>
      </c>
      <c r="GP143" t="str">
        <f>+IFERROR(VLOOKUP(GP44,IN_Zugliste!$A$4:$C$602,4,FALSE),"")</f>
        <v/>
      </c>
      <c r="GQ143" t="str">
        <f>+IFERROR(VLOOKUP(GQ44,IN_Zugliste!$A$4:$C$602,4,FALSE),"")</f>
        <v/>
      </c>
      <c r="GR143" t="str">
        <f>+IFERROR(VLOOKUP(GR44,IN_Zugliste!$A$4:$C$602,4,FALSE),"")</f>
        <v/>
      </c>
      <c r="GS143" t="str">
        <f>+IFERROR(VLOOKUP(GS44,IN_Zugliste!$A$4:$C$602,4,FALSE),"")</f>
        <v/>
      </c>
      <c r="GT143" t="str">
        <f>+IFERROR(VLOOKUP(GT44,IN_Zugliste!$A$4:$C$602,4,FALSE),"")</f>
        <v/>
      </c>
      <c r="GU143" t="str">
        <f>+IFERROR(VLOOKUP(GU44,IN_Zugliste!$A$4:$C$602,4,FALSE),"")</f>
        <v/>
      </c>
      <c r="GV143" t="str">
        <f>+IFERROR(VLOOKUP(GV44,IN_Zugliste!$A$4:$C$602,4,FALSE),"")</f>
        <v/>
      </c>
      <c r="GW143" t="str">
        <f>+IFERROR(VLOOKUP(GW44,IN_Zugliste!$A$4:$C$602,4,FALSE),"")</f>
        <v/>
      </c>
      <c r="GX143" t="str">
        <f>+IFERROR(VLOOKUP(GX44,IN_Zugliste!$A$4:$C$602,4,FALSE),"")</f>
        <v/>
      </c>
      <c r="GY143" t="str">
        <f>+IFERROR(VLOOKUP(GY44,IN_Zugliste!$A$4:$C$602,4,FALSE),"")</f>
        <v/>
      </c>
      <c r="GZ143" t="str">
        <f>+IFERROR(VLOOKUP(GZ44,IN_Zugliste!$A$4:$C$602,4,FALSE),"")</f>
        <v/>
      </c>
      <c r="HA143" t="str">
        <f>+IFERROR(VLOOKUP(HA44,IN_Zugliste!$A$4:$C$602,4,FALSE),"")</f>
        <v/>
      </c>
      <c r="HB143" t="str">
        <f>+IFERROR(VLOOKUP(HB44,IN_Zugliste!$A$4:$C$602,4,FALSE),"")</f>
        <v/>
      </c>
      <c r="HC143" t="str">
        <f>+IFERROR(VLOOKUP(HC44,IN_Zugliste!$A$4:$C$602,4,FALSE),"")</f>
        <v/>
      </c>
      <c r="HD143" t="str">
        <f>+IFERROR(VLOOKUP(HD44,IN_Zugliste!$A$4:$C$602,4,FALSE),"")</f>
        <v/>
      </c>
      <c r="HE143" t="str">
        <f>+IFERROR(VLOOKUP(HE44,IN_Zugliste!$A$4:$C$602,4,FALSE),"")</f>
        <v/>
      </c>
      <c r="HF143" t="str">
        <f>+IFERROR(VLOOKUP(HF44,IN_Zugliste!$A$4:$C$602,4,FALSE),"")</f>
        <v/>
      </c>
      <c r="HG143" t="str">
        <f>+IFERROR(VLOOKUP(HG44,IN_Zugliste!$A$4:$C$602,4,FALSE),"")</f>
        <v/>
      </c>
      <c r="HH143" t="str">
        <f>+IFERROR(VLOOKUP(HH44,IN_Zugliste!$A$4:$C$602,4,FALSE),"")</f>
        <v/>
      </c>
    </row>
    <row r="144" spans="1:216" x14ac:dyDescent="0.2">
      <c r="A144" t="str">
        <f>+IFERROR(VLOOKUP(A45,IN_Zugliste!$A$4:$D$2002,4,FALSE),"")</f>
        <v/>
      </c>
      <c r="B144" t="str">
        <f>+IFERROR(VLOOKUP(B45,IN_Zugliste!$A$4:$D$2002,4,FALSE),"")</f>
        <v/>
      </c>
      <c r="C144" t="str">
        <f>+IFERROR(VLOOKUP(C45,IN_Zugliste!$A$4:$D$2002,4,FALSE),"")</f>
        <v/>
      </c>
      <c r="D144" t="str">
        <f>+IFERROR(VLOOKUP(D45,IN_Zugliste!$A$4:$D$2002,4,FALSE),"")</f>
        <v/>
      </c>
      <c r="E144" t="str">
        <f>+IFERROR(VLOOKUP(E45,IN_Zugliste!$A$4:$D$2002,4,FALSE),"")</f>
        <v/>
      </c>
      <c r="F144" t="str">
        <f>+IFERROR(VLOOKUP(F45,IN_Zugliste!$A$4:$D$2002,4,FALSE),"")</f>
        <v/>
      </c>
      <c r="G144" t="str">
        <f>+IFERROR(VLOOKUP(G45,IN_Zugliste!$A$4:$D$2002,4,FALSE),"")</f>
        <v/>
      </c>
      <c r="H144" t="str">
        <f>+IFERROR(VLOOKUP(H45,IN_Zugliste!$A$4:$D$2002,4,FALSE),"")</f>
        <v/>
      </c>
      <c r="I144" t="str">
        <f>+IFERROR(VLOOKUP(I45,IN_Zugliste!$A$4:$D$2002,4,FALSE),"")</f>
        <v/>
      </c>
      <c r="J144" t="str">
        <f>+IFERROR(VLOOKUP(J45,IN_Zugliste!$A$4:$D$2002,4,FALSE),"")</f>
        <v/>
      </c>
      <c r="K144" t="str">
        <f>+IFERROR(VLOOKUP(K45,IN_Zugliste!$A$4:$D$2002,4,FALSE),"")</f>
        <v/>
      </c>
      <c r="L144" t="str">
        <f>+IFERROR(VLOOKUP(L45,IN_Zugliste!$A$4:$D$2002,4,FALSE),"")</f>
        <v/>
      </c>
      <c r="M144" t="str">
        <f>+IFERROR(VLOOKUP(M45,IN_Zugliste!$A$4:$D$2002,4,FALSE),"")</f>
        <v/>
      </c>
      <c r="N144" t="str">
        <f>+IFERROR(VLOOKUP(N45,IN_Zugliste!$A$4:$D$2002,4,FALSE),"")</f>
        <v/>
      </c>
      <c r="O144" t="str">
        <f>+IFERROR(VLOOKUP(O45,IN_Zugliste!$A$4:$D$2002,4,FALSE),"")</f>
        <v/>
      </c>
      <c r="P144" t="str">
        <f>+IFERROR(VLOOKUP(P45,IN_Zugliste!$A$4:$D$2002,4,FALSE),"")</f>
        <v/>
      </c>
      <c r="Q144" t="str">
        <f>+IFERROR(VLOOKUP(Q45,IN_Zugliste!$A$4:$D$2002,4,FALSE),"")</f>
        <v/>
      </c>
      <c r="R144" t="str">
        <f>+IFERROR(VLOOKUP(R45,IN_Zugliste!$A$4:$D$2002,4,FALSE),"")</f>
        <v/>
      </c>
      <c r="S144" t="str">
        <f>+IFERROR(VLOOKUP(S45,IN_Zugliste!$A$4:$D$2002,4,FALSE),"")</f>
        <v/>
      </c>
      <c r="T144" t="str">
        <f>+IFERROR(VLOOKUP(T45,IN_Zugliste!$A$4:$D$2002,4,FALSE),"")</f>
        <v/>
      </c>
      <c r="U144" t="str">
        <f>+IFERROR(VLOOKUP(U45,IN_Zugliste!$A$4:$D$2002,4,FALSE),"")</f>
        <v/>
      </c>
      <c r="V144" t="str">
        <f>+IFERROR(VLOOKUP(V45,IN_Zugliste!$A$4:$D$2002,4,FALSE),"")</f>
        <v/>
      </c>
      <c r="W144" t="str">
        <f>+IFERROR(VLOOKUP(W45,IN_Zugliste!$A$4:$D$2002,4,FALSE),"")</f>
        <v/>
      </c>
      <c r="X144" t="str">
        <f>+IFERROR(VLOOKUP(X45,IN_Zugliste!$A$4:$D$2002,4,FALSE),"")</f>
        <v/>
      </c>
      <c r="Y144" t="str">
        <f>+IFERROR(VLOOKUP(Y45,IN_Zugliste!$A$4:$D$2002,4,FALSE),"")</f>
        <v/>
      </c>
      <c r="Z144" t="str">
        <f>+IFERROR(VLOOKUP(Z45,IN_Zugliste!$A$4:$D$2002,4,FALSE),"")</f>
        <v/>
      </c>
      <c r="AA144" t="str">
        <f>+IFERROR(VLOOKUP(AA45,IN_Zugliste!$A$4:$D$2002,4,FALSE),"")</f>
        <v/>
      </c>
      <c r="AB144" t="str">
        <f>+IFERROR(VLOOKUP(AB45,IN_Zugliste!$A$4:$D$2002,4,FALSE),"")</f>
        <v/>
      </c>
      <c r="AC144" t="str">
        <f>+IFERROR(VLOOKUP(AC45,IN_Zugliste!$A$4:$D$2002,4,FALSE),"")</f>
        <v/>
      </c>
      <c r="AD144" t="str">
        <f>+IFERROR(VLOOKUP(AD45,IN_Zugliste!$A$4:$D$2002,4,FALSE),"")</f>
        <v/>
      </c>
      <c r="AE144" t="str">
        <f>+IFERROR(VLOOKUP(AE45,IN_Zugliste!$A$4:$D$2002,4,FALSE),"")</f>
        <v/>
      </c>
      <c r="AF144" t="str">
        <f>+IFERROR(VLOOKUP(AF45,IN_Zugliste!$A$4:$D$2002,4,FALSE),"")</f>
        <v/>
      </c>
      <c r="AG144" t="str">
        <f>+IFERROR(VLOOKUP(AG45,IN_Zugliste!$A$4:$D$2002,4,FALSE),"")</f>
        <v/>
      </c>
      <c r="AH144" t="str">
        <f>+IFERROR(VLOOKUP(AH45,IN_Zugliste!$A$4:$D$2002,4,FALSE),"")</f>
        <v/>
      </c>
      <c r="AI144" t="str">
        <f>+IFERROR(VLOOKUP(AI45,IN_Zugliste!$A$4:$D$2002,4,FALSE),"")</f>
        <v/>
      </c>
      <c r="AJ144" t="str">
        <f>+IFERROR(VLOOKUP(AJ45,IN_Zugliste!$A$4:$D$2002,4,FALSE),"")</f>
        <v/>
      </c>
      <c r="AK144" t="str">
        <f>+IFERROR(VLOOKUP(AK45,IN_Zugliste!$A$4:$D$2002,4,FALSE),"")</f>
        <v/>
      </c>
      <c r="AL144" t="str">
        <f>+IFERROR(VLOOKUP(AL45,IN_Zugliste!$A$4:$D$2002,4,FALSE),"")</f>
        <v/>
      </c>
      <c r="AM144" t="str">
        <f>+IFERROR(VLOOKUP(AM45,IN_Zugliste!$A$4:$D$2002,4,FALSE),"")</f>
        <v/>
      </c>
      <c r="AN144" t="str">
        <f>+IFERROR(VLOOKUP(AN45,IN_Zugliste!$A$4:$D$2002,4,FALSE),"")</f>
        <v/>
      </c>
      <c r="AO144" t="str">
        <f>+IFERROR(VLOOKUP(AO45,IN_Zugliste!$A$4:$D$2002,4,FALSE),"")</f>
        <v/>
      </c>
      <c r="AP144" t="str">
        <f>+IFERROR(VLOOKUP(AP45,IN_Zugliste!$A$4:$D$2002,4,FALSE),"")</f>
        <v/>
      </c>
      <c r="AQ144" t="str">
        <f>+IFERROR(VLOOKUP(AQ45,IN_Zugliste!$A$4:$D$2002,4,FALSE),"")</f>
        <v/>
      </c>
      <c r="AR144" t="str">
        <f>+IFERROR(VLOOKUP(AR45,IN_Zugliste!$A$4:$D$2002,4,FALSE),"")</f>
        <v/>
      </c>
      <c r="AS144" t="str">
        <f>+IFERROR(VLOOKUP(AS45,IN_Zugliste!$A$4:$D$2002,4,FALSE),"")</f>
        <v/>
      </c>
      <c r="AT144" t="str">
        <f>+IFERROR(VLOOKUP(AT45,IN_Zugliste!$A$4:$D$2002,4,FALSE),"")</f>
        <v/>
      </c>
      <c r="AU144" t="str">
        <f>+IFERROR(VLOOKUP(AU45,IN_Zugliste!$A$4:$D$2002,4,FALSE),"")</f>
        <v/>
      </c>
      <c r="AV144" t="str">
        <f>+IFERROR(VLOOKUP(AV45,IN_Zugliste!$A$4:$D$2002,4,FALSE),"")</f>
        <v/>
      </c>
      <c r="AW144" t="str">
        <f>+IFERROR(VLOOKUP(AW45,IN_Zugliste!$A$4:$D$2002,4,FALSE),"")</f>
        <v/>
      </c>
      <c r="AX144" t="str">
        <f>+IFERROR(VLOOKUP(AX45,IN_Zugliste!$A$4:$D$2002,4,FALSE),"")</f>
        <v/>
      </c>
      <c r="AY144" t="str">
        <f>+IFERROR(VLOOKUP(AY45,IN_Zugliste!$A$4:$D$2002,4,FALSE),"")</f>
        <v/>
      </c>
      <c r="AZ144" t="str">
        <f>+IFERROR(VLOOKUP(AZ45,IN_Zugliste!$A$4:$D$2002,4,FALSE),"")</f>
        <v/>
      </c>
      <c r="BA144" t="str">
        <f>+IFERROR(VLOOKUP(BA45,IN_Zugliste!$A$4:$D$2002,4,FALSE),"")</f>
        <v/>
      </c>
      <c r="BB144" t="str">
        <f>+IFERROR(VLOOKUP(BB45,IN_Zugliste!$A$4:$D$2002,4,FALSE),"")</f>
        <v/>
      </c>
      <c r="BC144" t="str">
        <f>+IFERROR(VLOOKUP(BC45,IN_Zugliste!$A$4:$D$2002,4,FALSE),"")</f>
        <v/>
      </c>
      <c r="BD144" t="str">
        <f>+IFERROR(VLOOKUP(BD45,IN_Zugliste!$A$4:$D$2002,4,FALSE),"")</f>
        <v/>
      </c>
      <c r="BE144" t="str">
        <f>+IFERROR(VLOOKUP(BE45,IN_Zugliste!$A$4:$D$2002,4,FALSE),"")</f>
        <v/>
      </c>
      <c r="BF144" t="str">
        <f>+IFERROR(VLOOKUP(BF45,IN_Zugliste!$A$4:$D$2002,4,FALSE),"")</f>
        <v/>
      </c>
      <c r="BG144" t="str">
        <f>+IFERROR(VLOOKUP(BG45,IN_Zugliste!$A$4:$D$2002,4,FALSE),"")</f>
        <v/>
      </c>
      <c r="BH144" t="str">
        <f>+IFERROR(VLOOKUP(BH45,IN_Zugliste!$A$4:$D$2002,4,FALSE),"")</f>
        <v/>
      </c>
      <c r="BI144" t="str">
        <f>+IFERROR(VLOOKUP(BI45,IN_Zugliste!$A$4:$D$2002,4,FALSE),"")</f>
        <v/>
      </c>
      <c r="BJ144" t="str">
        <f>+IFERROR(VLOOKUP(BJ45,IN_Zugliste!$A$4:$D$2002,4,FALSE),"")</f>
        <v/>
      </c>
      <c r="BK144" t="str">
        <f>+IFERROR(VLOOKUP(BK45,IN_Zugliste!$A$4:$D$2002,4,FALSE),"")</f>
        <v/>
      </c>
      <c r="BL144" t="str">
        <f>+IFERROR(VLOOKUP(BL45,IN_Zugliste!$A$4:$D$2002,4,FALSE),"")</f>
        <v/>
      </c>
      <c r="BM144" t="str">
        <f>+IFERROR(VLOOKUP(BM45,IN_Zugliste!$A$4:$D$2002,4,FALSE),"")</f>
        <v/>
      </c>
      <c r="BN144" t="str">
        <f>+IFERROR(VLOOKUP(BN45,IN_Zugliste!$A$4:$D$2002,4,FALSE),"")</f>
        <v/>
      </c>
      <c r="BO144" t="str">
        <f>+IFERROR(VLOOKUP(BO45,IN_Zugliste!$A$4:$D$2002,4,FALSE),"")</f>
        <v/>
      </c>
      <c r="BP144" t="str">
        <f>+IFERROR(VLOOKUP(BP45,IN_Zugliste!$A$4:$D$2002,4,FALSE),"")</f>
        <v/>
      </c>
      <c r="BQ144" t="str">
        <f>+IFERROR(VLOOKUP(BQ45,IN_Zugliste!$A$4:$D$2002,4,FALSE),"")</f>
        <v/>
      </c>
      <c r="BR144" t="str">
        <f>+IFERROR(VLOOKUP(BR45,IN_Zugliste!$A$4:$D$2002,4,FALSE),"")</f>
        <v/>
      </c>
      <c r="BS144" t="str">
        <f>+IFERROR(VLOOKUP(BS45,IN_Zugliste!$A$4:$D$2002,4,FALSE),"")</f>
        <v/>
      </c>
      <c r="BT144" t="str">
        <f>+IFERROR(VLOOKUP(BT45,IN_Zugliste!$A$4:$D$2002,4,FALSE),"")</f>
        <v/>
      </c>
      <c r="BU144" t="str">
        <f>+IFERROR(VLOOKUP(BU45,IN_Zugliste!$A$4:$D$2002,4,FALSE),"")</f>
        <v/>
      </c>
      <c r="BV144" t="str">
        <f>+IFERROR(VLOOKUP(BV45,IN_Zugliste!$A$4:$D$2002,4,FALSE),"")</f>
        <v/>
      </c>
      <c r="BW144" t="str">
        <f>+IFERROR(VLOOKUP(BW45,IN_Zugliste!$A$4:$D$2002,4,FALSE),"")</f>
        <v/>
      </c>
      <c r="BX144" t="str">
        <f>+IFERROR(VLOOKUP(BX45,IN_Zugliste!$A$4:$D$2002,4,FALSE),"")</f>
        <v/>
      </c>
      <c r="BY144" t="str">
        <f>+IFERROR(VLOOKUP(BY45,IN_Zugliste!$A$4:$D$2002,4,FALSE),"")</f>
        <v/>
      </c>
      <c r="BZ144" t="str">
        <f>+IFERROR(VLOOKUP(BZ45,IN_Zugliste!$A$4:$D$2002,4,FALSE),"")</f>
        <v/>
      </c>
      <c r="CA144" t="str">
        <f>+IFERROR(VLOOKUP(CA45,IN_Zugliste!$A$4:$D$2002,4,FALSE),"")</f>
        <v/>
      </c>
      <c r="CB144" t="str">
        <f>+IFERROR(VLOOKUP(CB45,IN_Zugliste!$A$4:$D$2002,4,FALSE),"")</f>
        <v/>
      </c>
      <c r="CC144" t="str">
        <f>+IFERROR(VLOOKUP(CC45,IN_Zugliste!$A$4:$D$2002,4,FALSE),"")</f>
        <v/>
      </c>
      <c r="CD144" t="str">
        <f>+IFERROR(VLOOKUP(CD45,IN_Zugliste!$A$4:$D$2002,4,FALSE),"")</f>
        <v/>
      </c>
      <c r="CE144" t="str">
        <f>+IFERROR(VLOOKUP(CE45,IN_Zugliste!$A$4:$D$2002,4,FALSE),"")</f>
        <v/>
      </c>
      <c r="CF144" t="str">
        <f>+IFERROR(VLOOKUP(CF45,IN_Zugliste!$A$4:$D$2002,4,FALSE),"")</f>
        <v/>
      </c>
      <c r="CG144" t="str">
        <f>+IFERROR(VLOOKUP(CG45,IN_Zugliste!$A$4:$D$2002,4,FALSE),"")</f>
        <v/>
      </c>
      <c r="CH144" t="str">
        <f>+IFERROR(VLOOKUP(CH45,IN_Zugliste!$A$4:$D$2002,4,FALSE),"")</f>
        <v/>
      </c>
      <c r="CI144" t="str">
        <f>+IFERROR(VLOOKUP(CI45,IN_Zugliste!$A$4:$D$2002,4,FALSE),"")</f>
        <v/>
      </c>
      <c r="CJ144" t="str">
        <f>+IFERROR(VLOOKUP(CJ45,IN_Zugliste!$A$4:$D$2002,4,FALSE),"")</f>
        <v/>
      </c>
      <c r="CK144" t="str">
        <f>+IFERROR(VLOOKUP(CK45,IN_Zugliste!$A$4:$D$2002,4,FALSE),"")</f>
        <v/>
      </c>
      <c r="CL144" t="str">
        <f>+IFERROR(VLOOKUP(CL45,IN_Zugliste!$A$4:$D$2002,4,FALSE),"")</f>
        <v/>
      </c>
      <c r="CM144" t="str">
        <f>+IFERROR(VLOOKUP(CM45,IN_Zugliste!$A$4:$D$2002,4,FALSE),"")</f>
        <v/>
      </c>
      <c r="CN144" t="str">
        <f>+IFERROR(VLOOKUP(CN45,IN_Zugliste!$A$4:$D$2002,4,FALSE),"")</f>
        <v/>
      </c>
      <c r="CO144" t="str">
        <f>+IFERROR(VLOOKUP(CO45,IN_Zugliste!$A$4:$D$2002,4,FALSE),"")</f>
        <v/>
      </c>
      <c r="CP144" t="str">
        <f>+IFERROR(VLOOKUP(CP45,IN_Zugliste!$A$4:$D$2002,4,FALSE),"")</f>
        <v/>
      </c>
      <c r="CQ144" t="str">
        <f>+IFERROR(VLOOKUP(CQ45,IN_Zugliste!$A$4:$D$2002,4,FALSE),"")</f>
        <v/>
      </c>
      <c r="CR144" t="str">
        <f>+IFERROR(VLOOKUP(CR45,IN_Zugliste!$A$4:$D$2002,4,FALSE),"")</f>
        <v/>
      </c>
      <c r="CS144" t="str">
        <f>+IFERROR(VLOOKUP(CS45,IN_Zugliste!$A$4:$D$2002,4,FALSE),"")</f>
        <v/>
      </c>
      <c r="CT144" t="str">
        <f>+IFERROR(VLOOKUP(CT45,IN_Zugliste!$A$4:$D$2002,4,FALSE),"")</f>
        <v/>
      </c>
      <c r="CU144" t="str">
        <f>+IFERROR(VLOOKUP(CU45,IN_Zugliste!$A$4:$D$2002,4,FALSE),"")</f>
        <v/>
      </c>
      <c r="CV144" t="str">
        <f>+IFERROR(VLOOKUP(CV45,IN_Zugliste!$A$4:$D$2002,4,FALSE),"")</f>
        <v/>
      </c>
      <c r="CW144" t="str">
        <f>+IFERROR(VLOOKUP(CW45,IN_Zugliste!$A$4:$D$2002,4,FALSE),"")</f>
        <v/>
      </c>
      <c r="CX144" t="str">
        <f>+IFERROR(VLOOKUP(CX45,IN_Zugliste!$A$4:$D$2002,4,FALSE),"")</f>
        <v/>
      </c>
      <c r="CY144" t="str">
        <f>+IFERROR(VLOOKUP(CY45,IN_Zugliste!$A$4:$D$2002,4,FALSE),"")</f>
        <v/>
      </c>
      <c r="CZ144" t="str">
        <f>+IFERROR(VLOOKUP(CZ45,IN_Zugliste!$A$4:$D$2002,4,FALSE),"")</f>
        <v/>
      </c>
      <c r="DA144" t="str">
        <f>+IFERROR(VLOOKUP(DA45,IN_Zugliste!$A$4:$D$2002,4,FALSE),"")</f>
        <v/>
      </c>
      <c r="DB144" t="str">
        <f>+IFERROR(VLOOKUP(DB45,IN_Zugliste!$A$4:$D$2002,4,FALSE),"")</f>
        <v/>
      </c>
      <c r="DC144" t="str">
        <f>+IFERROR(VLOOKUP(DC45,IN_Zugliste!$A$4:$D$2002,4,FALSE),"")</f>
        <v/>
      </c>
      <c r="DD144" t="str">
        <f>+IFERROR(VLOOKUP(DD45,IN_Zugliste!$A$4:$D$2002,4,FALSE),"")</f>
        <v/>
      </c>
      <c r="DE144" t="str">
        <f>+IFERROR(VLOOKUP(DE45,IN_Zugliste!$A$4:$D$2002,4,FALSE),"")</f>
        <v/>
      </c>
      <c r="DF144" t="str">
        <f>+IFERROR(VLOOKUP(DF45,IN_Zugliste!$A$4:$D$2002,4,FALSE),"")</f>
        <v/>
      </c>
      <c r="DG144" t="str">
        <f>+IFERROR(VLOOKUP(DG45,IN_Zugliste!$A$4:$D$2002,4,FALSE),"")</f>
        <v/>
      </c>
      <c r="DH144" t="str">
        <f>+IFERROR(VLOOKUP(DH45,IN_Zugliste!$A$4:$D$2002,4,FALSE),"")</f>
        <v/>
      </c>
      <c r="DI144" t="str">
        <f>+IFERROR(VLOOKUP(DI45,IN_Zugliste!$A$4:$D$2002,4,FALSE),"")</f>
        <v/>
      </c>
      <c r="DJ144" t="str">
        <f>+IFERROR(VLOOKUP(DJ45,IN_Zugliste!$A$4:$D$2002,4,FALSE),"")</f>
        <v/>
      </c>
      <c r="DK144" t="str">
        <f>+IFERROR(VLOOKUP(DK45,IN_Zugliste!$A$4:$D$2002,4,FALSE),"")</f>
        <v/>
      </c>
      <c r="DL144" t="str">
        <f>+IFERROR(VLOOKUP(DL45,IN_Zugliste!$A$4:$D$2002,4,FALSE),"")</f>
        <v/>
      </c>
      <c r="DM144" t="str">
        <f>+IFERROR(VLOOKUP(DM45,IN_Zugliste!$A$4:$D$2002,4,FALSE),"")</f>
        <v/>
      </c>
      <c r="DN144" t="str">
        <f>+IFERROR(VLOOKUP(DN45,IN_Zugliste!$A$4:$D$2002,4,FALSE),"")</f>
        <v/>
      </c>
      <c r="DO144" t="str">
        <f>+IFERROR(VLOOKUP(DO45,IN_Zugliste!$A$4:$D$2002,4,FALSE),"")</f>
        <v/>
      </c>
      <c r="DP144" t="str">
        <f>+IFERROR(VLOOKUP(DP45,IN_Zugliste!$A$4:$D$2002,4,FALSE),"")</f>
        <v/>
      </c>
      <c r="DQ144" t="str">
        <f>+IFERROR(VLOOKUP(DQ45,IN_Zugliste!$A$4:$D$2002,4,FALSE),"")</f>
        <v/>
      </c>
      <c r="DR144" t="str">
        <f>+IFERROR(VLOOKUP(DR45,IN_Zugliste!$A$4:$D$2002,4,FALSE),"")</f>
        <v/>
      </c>
      <c r="DS144" t="str">
        <f>+IFERROR(VLOOKUP(DS45,IN_Zugliste!$A$4:$D$2002,4,FALSE),"")</f>
        <v/>
      </c>
      <c r="DT144" t="str">
        <f>+IFERROR(VLOOKUP(DT45,IN_Zugliste!$A$4:$D$2002,4,FALSE),"")</f>
        <v/>
      </c>
      <c r="DU144" t="str">
        <f>+IFERROR(VLOOKUP(DU45,IN_Zugliste!$A$4:$D$2002,4,FALSE),"")</f>
        <v/>
      </c>
      <c r="DV144" t="str">
        <f>+IFERROR(VLOOKUP(DV45,IN_Zugliste!$A$4:$D$2002,4,FALSE),"")</f>
        <v/>
      </c>
      <c r="DW144" t="str">
        <f>+IFERROR(VLOOKUP(DW45,IN_Zugliste!$A$4:$D$2002,4,FALSE),"")</f>
        <v/>
      </c>
      <c r="DX144" t="str">
        <f>+IFERROR(VLOOKUP(DX45,IN_Zugliste!$A$4:$D$2002,4,FALSE),"")</f>
        <v/>
      </c>
      <c r="DY144" t="str">
        <f>+IFERROR(VLOOKUP(DY45,IN_Zugliste!$A$4:$D$2002,4,FALSE),"")</f>
        <v/>
      </c>
      <c r="DZ144" t="str">
        <f>+IFERROR(VLOOKUP(DZ45,IN_Zugliste!$A$4:$D$2002,4,FALSE),"")</f>
        <v/>
      </c>
      <c r="EA144" t="str">
        <f>+IFERROR(VLOOKUP(EA45,IN_Zugliste!$A$4:$D$2002,4,FALSE),"")</f>
        <v/>
      </c>
      <c r="EB144" t="str">
        <f>+IFERROR(VLOOKUP(EB45,IN_Zugliste!$A$4:$D$2002,4,FALSE),"")</f>
        <v/>
      </c>
      <c r="EC144" t="str">
        <f>+IFERROR(VLOOKUP(EC45,IN_Zugliste!$A$4:$D$2002,4,FALSE),"")</f>
        <v/>
      </c>
      <c r="ED144" t="str">
        <f>+IFERROR(VLOOKUP(ED45,IN_Zugliste!$A$4:$D$2002,4,FALSE),"")</f>
        <v/>
      </c>
      <c r="EE144" t="str">
        <f>+IFERROR(VLOOKUP(EE45,IN_Zugliste!$A$4:$D$2002,4,FALSE),"")</f>
        <v/>
      </c>
      <c r="EF144" t="str">
        <f>+IFERROR(VLOOKUP(EF45,IN_Zugliste!$A$4:$D$2002,4,FALSE),"")</f>
        <v/>
      </c>
      <c r="EG144" t="str">
        <f>+IFERROR(VLOOKUP(EG45,IN_Zugliste!$A$4:$D$2002,4,FALSE),"")</f>
        <v/>
      </c>
      <c r="EH144" t="str">
        <f>+IFERROR(VLOOKUP(EH45,IN_Zugliste!$A$4:$D$2002,4,FALSE),"")</f>
        <v/>
      </c>
      <c r="EI144" t="str">
        <f>+IFERROR(VLOOKUP(EI45,IN_Zugliste!$A$4:$D$2002,4,FALSE),"")</f>
        <v/>
      </c>
      <c r="EJ144" t="str">
        <f>+IFERROR(VLOOKUP(EJ45,IN_Zugliste!$A$4:$D$2002,4,FALSE),"")</f>
        <v/>
      </c>
      <c r="EK144" t="str">
        <f>+IFERROR(VLOOKUP(EK45,IN_Zugliste!$A$4:$D$2002,4,FALSE),"")</f>
        <v/>
      </c>
      <c r="EL144" t="str">
        <f>+IFERROR(VLOOKUP(EL45,IN_Zugliste!$A$4:$D$2002,4,FALSE),"")</f>
        <v/>
      </c>
      <c r="EM144" t="str">
        <f>+IFERROR(VLOOKUP(EM45,IN_Zugliste!$A$4:$D$2002,4,FALSE),"")</f>
        <v/>
      </c>
      <c r="EN144" t="str">
        <f>+IFERROR(VLOOKUP(EN45,IN_Zugliste!$A$4:$D$2002,4,FALSE),"")</f>
        <v/>
      </c>
      <c r="EO144" t="str">
        <f>+IFERROR(VLOOKUP(EO45,IN_Zugliste!$A$4:$D$2002,4,FALSE),"")</f>
        <v/>
      </c>
      <c r="EP144" t="str">
        <f>+IFERROR(VLOOKUP(EP45,IN_Zugliste!$A$4:$D$2002,4,FALSE),"")</f>
        <v/>
      </c>
      <c r="EQ144" t="str">
        <f>+IFERROR(VLOOKUP(EQ45,IN_Zugliste!$A$4:$D$2002,4,FALSE),"")</f>
        <v/>
      </c>
      <c r="ER144" t="str">
        <f>+IFERROR(VLOOKUP(ER45,IN_Zugliste!$A$4:$D$2002,4,FALSE),"")</f>
        <v/>
      </c>
      <c r="ES144" t="str">
        <f>+IFERROR(VLOOKUP(ES45,IN_Zugliste!$A$4:$D$2002,4,FALSE),"")</f>
        <v/>
      </c>
      <c r="ET144" t="str">
        <f>+IFERROR(VLOOKUP(ET45,IN_Zugliste!$A$4:$D$2002,4,FALSE),"")</f>
        <v/>
      </c>
      <c r="EU144" t="str">
        <f>+IFERROR(VLOOKUP(EU45,IN_Zugliste!$A$4:$D$2002,4,FALSE),"")</f>
        <v/>
      </c>
      <c r="EV144" t="str">
        <f>+IFERROR(VLOOKUP(EV45,IN_Zugliste!$A$4:$D$2002,4,FALSE),"")</f>
        <v/>
      </c>
      <c r="EW144" t="str">
        <f>+IFERROR(VLOOKUP(EW45,IN_Zugliste!$A$4:$D$2002,4,FALSE),"")</f>
        <v/>
      </c>
      <c r="EX144" t="str">
        <f>+IFERROR(VLOOKUP(EX45,IN_Zugliste!$A$4:$D$2002,4,FALSE),"")</f>
        <v/>
      </c>
      <c r="EY144" t="str">
        <f>+IFERROR(VLOOKUP(EY45,IN_Zugliste!$A$4:$D$2002,4,FALSE),"")</f>
        <v/>
      </c>
      <c r="EZ144" t="str">
        <f>+IFERROR(VLOOKUP(EZ45,IN_Zugliste!$A$4:$D$2002,4,FALSE),"")</f>
        <v/>
      </c>
      <c r="FA144" t="str">
        <f>+IFERROR(VLOOKUP(FA45,IN_Zugliste!$A$4:$D$2002,4,FALSE),"")</f>
        <v/>
      </c>
      <c r="FB144" t="str">
        <f>+IFERROR(VLOOKUP(FB45,IN_Zugliste!$A$4:$D$2002,4,FALSE),"")</f>
        <v/>
      </c>
      <c r="FC144" t="str">
        <f>+IFERROR(VLOOKUP(FC45,IN_Zugliste!$A$4:$D$2002,4,FALSE),"")</f>
        <v/>
      </c>
      <c r="FD144" t="str">
        <f>+IFERROR(VLOOKUP(FD45,IN_Zugliste!$A$4:$D$2002,4,FALSE),"")</f>
        <v/>
      </c>
      <c r="FE144" t="str">
        <f>+IFERROR(VLOOKUP(FE45,IN_Zugliste!$A$4:$D$2002,4,FALSE),"")</f>
        <v/>
      </c>
      <c r="FF144" t="str">
        <f>+IFERROR(VLOOKUP(FF45,IN_Zugliste!$A$4:$D$2002,4,FALSE),"")</f>
        <v/>
      </c>
      <c r="FG144" t="str">
        <f>+IFERROR(VLOOKUP(FG45,IN_Zugliste!$A$4:$D$2002,4,FALSE),"")</f>
        <v/>
      </c>
      <c r="FH144" t="str">
        <f>+IFERROR(VLOOKUP(FH45,IN_Zugliste!$A$4:$D$2002,4,FALSE),"")</f>
        <v/>
      </c>
      <c r="FI144" t="str">
        <f>+IFERROR(VLOOKUP(FI45,IN_Zugliste!$A$4:$D$2002,4,FALSE),"")</f>
        <v/>
      </c>
      <c r="FJ144" t="str">
        <f>+IFERROR(VLOOKUP(FJ45,IN_Zugliste!$A$4:$D$2002,4,FALSE),"")</f>
        <v/>
      </c>
      <c r="FK144" t="str">
        <f>+IFERROR(VLOOKUP(FK45,IN_Zugliste!$A$4:$D$2002,4,FALSE),"")</f>
        <v/>
      </c>
      <c r="FL144" t="str">
        <f>+IFERROR(VLOOKUP(FL45,IN_Zugliste!$A$4:$D$2002,4,FALSE),"")</f>
        <v/>
      </c>
      <c r="FM144" t="str">
        <f>+IFERROR(VLOOKUP(FM45,IN_Zugliste!$A$4:$C$602,4,FALSE),"")</f>
        <v/>
      </c>
      <c r="FN144" t="str">
        <f>+IFERROR(VLOOKUP(FN45,IN_Zugliste!$A$4:$C$602,4,FALSE),"")</f>
        <v/>
      </c>
      <c r="FO144" t="str">
        <f>+IFERROR(VLOOKUP(FO45,IN_Zugliste!$A$4:$C$602,4,FALSE),"")</f>
        <v/>
      </c>
      <c r="FP144" t="str">
        <f>+IFERROR(VLOOKUP(FP45,IN_Zugliste!$A$4:$C$602,4,FALSE),"")</f>
        <v/>
      </c>
      <c r="FQ144" t="str">
        <f>+IFERROR(VLOOKUP(FQ45,IN_Zugliste!$A$4:$C$602,4,FALSE),"")</f>
        <v/>
      </c>
      <c r="FR144" t="str">
        <f>+IFERROR(VLOOKUP(FR45,IN_Zugliste!$A$4:$C$602,4,FALSE),"")</f>
        <v/>
      </c>
      <c r="FS144" t="str">
        <f>+IFERROR(VLOOKUP(FS45,IN_Zugliste!$A$4:$C$602,4,FALSE),"")</f>
        <v/>
      </c>
      <c r="FT144" t="str">
        <f>+IFERROR(VLOOKUP(FT45,IN_Zugliste!$A$4:$C$602,4,FALSE),"")</f>
        <v/>
      </c>
      <c r="FU144" t="str">
        <f>+IFERROR(VLOOKUP(FU45,IN_Zugliste!$A$4:$C$602,4,FALSE),"")</f>
        <v/>
      </c>
      <c r="FV144" t="str">
        <f>+IFERROR(VLOOKUP(FV45,IN_Zugliste!$A$4:$C$602,4,FALSE),"")</f>
        <v/>
      </c>
      <c r="FW144" t="str">
        <f>+IFERROR(VLOOKUP(FW45,IN_Zugliste!$A$4:$C$602,4,FALSE),"")</f>
        <v/>
      </c>
      <c r="FX144" t="str">
        <f>+IFERROR(VLOOKUP(FX45,IN_Zugliste!$A$4:$C$602,4,FALSE),"")</f>
        <v/>
      </c>
      <c r="FY144" t="str">
        <f>+IFERROR(VLOOKUP(FY45,IN_Zugliste!$A$4:$C$602,4,FALSE),"")</f>
        <v/>
      </c>
      <c r="FZ144" t="str">
        <f>+IFERROR(VLOOKUP(FZ45,IN_Zugliste!$A$4:$C$602,4,FALSE),"")</f>
        <v/>
      </c>
      <c r="GA144" t="str">
        <f>+IFERROR(VLOOKUP(GA45,IN_Zugliste!$A$4:$C$602,4,FALSE),"")</f>
        <v/>
      </c>
      <c r="GB144" t="str">
        <f>+IFERROR(VLOOKUP(GB45,IN_Zugliste!$A$4:$C$602,4,FALSE),"")</f>
        <v/>
      </c>
      <c r="GC144" t="str">
        <f>+IFERROR(VLOOKUP(GC45,IN_Zugliste!$A$4:$C$602,4,FALSE),"")</f>
        <v/>
      </c>
      <c r="GD144" t="str">
        <f>+IFERROR(VLOOKUP(GD45,IN_Zugliste!$A$4:$C$602,4,FALSE),"")</f>
        <v/>
      </c>
      <c r="GE144" t="str">
        <f>+IFERROR(VLOOKUP(GE45,IN_Zugliste!$A$4:$C$602,4,FALSE),"")</f>
        <v/>
      </c>
      <c r="GF144" t="str">
        <f>+IFERROR(VLOOKUP(GF45,IN_Zugliste!$A$4:$C$602,4,FALSE),"")</f>
        <v/>
      </c>
      <c r="GG144" t="str">
        <f>+IFERROR(VLOOKUP(GG45,IN_Zugliste!$A$4:$C$602,4,FALSE),"")</f>
        <v/>
      </c>
      <c r="GH144" t="str">
        <f>+IFERROR(VLOOKUP(GH45,IN_Zugliste!$A$4:$C$602,4,FALSE),"")</f>
        <v/>
      </c>
      <c r="GI144" t="str">
        <f>+IFERROR(VLOOKUP(GI45,IN_Zugliste!$A$4:$C$602,4,FALSE),"")</f>
        <v/>
      </c>
      <c r="GJ144" t="str">
        <f>+IFERROR(VLOOKUP(GJ45,IN_Zugliste!$A$4:$C$602,4,FALSE),"")</f>
        <v/>
      </c>
      <c r="GK144" t="str">
        <f>+IFERROR(VLOOKUP(GK45,IN_Zugliste!$A$4:$C$602,4,FALSE),"")</f>
        <v/>
      </c>
      <c r="GL144" t="str">
        <f>+IFERROR(VLOOKUP(GL45,IN_Zugliste!$A$4:$C$602,4,FALSE),"")</f>
        <v/>
      </c>
      <c r="GM144" t="str">
        <f>+IFERROR(VLOOKUP(GM45,IN_Zugliste!$A$4:$C$602,4,FALSE),"")</f>
        <v/>
      </c>
      <c r="GN144" t="str">
        <f>+IFERROR(VLOOKUP(GN45,IN_Zugliste!$A$4:$C$602,4,FALSE),"")</f>
        <v/>
      </c>
      <c r="GO144" t="str">
        <f>+IFERROR(VLOOKUP(GO45,IN_Zugliste!$A$4:$C$602,4,FALSE),"")</f>
        <v/>
      </c>
      <c r="GP144" t="str">
        <f>+IFERROR(VLOOKUP(GP45,IN_Zugliste!$A$4:$C$602,4,FALSE),"")</f>
        <v/>
      </c>
      <c r="GQ144" t="str">
        <f>+IFERROR(VLOOKUP(GQ45,IN_Zugliste!$A$4:$C$602,4,FALSE),"")</f>
        <v/>
      </c>
      <c r="GR144" t="str">
        <f>+IFERROR(VLOOKUP(GR45,IN_Zugliste!$A$4:$C$602,4,FALSE),"")</f>
        <v/>
      </c>
      <c r="GS144" t="str">
        <f>+IFERROR(VLOOKUP(GS45,IN_Zugliste!$A$4:$C$602,4,FALSE),"")</f>
        <v/>
      </c>
      <c r="GT144" t="str">
        <f>+IFERROR(VLOOKUP(GT45,IN_Zugliste!$A$4:$C$602,4,FALSE),"")</f>
        <v/>
      </c>
      <c r="GU144" t="str">
        <f>+IFERROR(VLOOKUP(GU45,IN_Zugliste!$A$4:$C$602,4,FALSE),"")</f>
        <v/>
      </c>
      <c r="GV144" t="str">
        <f>+IFERROR(VLOOKUP(GV45,IN_Zugliste!$A$4:$C$602,4,FALSE),"")</f>
        <v/>
      </c>
      <c r="GW144" t="str">
        <f>+IFERROR(VLOOKUP(GW45,IN_Zugliste!$A$4:$C$602,4,FALSE),"")</f>
        <v/>
      </c>
      <c r="GX144" t="str">
        <f>+IFERROR(VLOOKUP(GX45,IN_Zugliste!$A$4:$C$602,4,FALSE),"")</f>
        <v/>
      </c>
      <c r="GY144" t="str">
        <f>+IFERROR(VLOOKUP(GY45,IN_Zugliste!$A$4:$C$602,4,FALSE),"")</f>
        <v/>
      </c>
      <c r="GZ144" t="str">
        <f>+IFERROR(VLOOKUP(GZ45,IN_Zugliste!$A$4:$C$602,4,FALSE),"")</f>
        <v/>
      </c>
      <c r="HA144" t="str">
        <f>+IFERROR(VLOOKUP(HA45,IN_Zugliste!$A$4:$C$602,4,FALSE),"")</f>
        <v/>
      </c>
      <c r="HB144" t="str">
        <f>+IFERROR(VLOOKUP(HB45,IN_Zugliste!$A$4:$C$602,4,FALSE),"")</f>
        <v/>
      </c>
      <c r="HC144" t="str">
        <f>+IFERROR(VLOOKUP(HC45,IN_Zugliste!$A$4:$C$602,4,FALSE),"")</f>
        <v/>
      </c>
      <c r="HD144" t="str">
        <f>+IFERROR(VLOOKUP(HD45,IN_Zugliste!$A$4:$C$602,4,FALSE),"")</f>
        <v/>
      </c>
      <c r="HE144" t="str">
        <f>+IFERROR(VLOOKUP(HE45,IN_Zugliste!$A$4:$C$602,4,FALSE),"")</f>
        <v/>
      </c>
      <c r="HF144" t="str">
        <f>+IFERROR(VLOOKUP(HF45,IN_Zugliste!$A$4:$C$602,4,FALSE),"")</f>
        <v/>
      </c>
      <c r="HG144" t="str">
        <f>+IFERROR(VLOOKUP(HG45,IN_Zugliste!$A$4:$C$602,4,FALSE),"")</f>
        <v/>
      </c>
      <c r="HH144" t="str">
        <f>+IFERROR(VLOOKUP(HH45,IN_Zugliste!$A$4:$C$602,4,FALSE),"")</f>
        <v/>
      </c>
    </row>
    <row r="145" spans="1:216" x14ac:dyDescent="0.2">
      <c r="A145" t="str">
        <f>+IFERROR(VLOOKUP(A46,IN_Zugliste!$A$4:$D$2002,4,FALSE),"")</f>
        <v/>
      </c>
      <c r="B145" t="str">
        <f>+IFERROR(VLOOKUP(B46,IN_Zugliste!$A$4:$D$2002,4,FALSE),"")</f>
        <v/>
      </c>
      <c r="C145" t="str">
        <f>+IFERROR(VLOOKUP(C46,IN_Zugliste!$A$4:$D$2002,4,FALSE),"")</f>
        <v/>
      </c>
      <c r="D145" t="str">
        <f>+IFERROR(VLOOKUP(D46,IN_Zugliste!$A$4:$D$2002,4,FALSE),"")</f>
        <v/>
      </c>
      <c r="E145" t="str">
        <f>+IFERROR(VLOOKUP(E46,IN_Zugliste!$A$4:$D$2002,4,FALSE),"")</f>
        <v/>
      </c>
      <c r="F145" t="str">
        <f>+IFERROR(VLOOKUP(F46,IN_Zugliste!$A$4:$D$2002,4,FALSE),"")</f>
        <v/>
      </c>
      <c r="G145" t="str">
        <f>+IFERROR(VLOOKUP(G46,IN_Zugliste!$A$4:$D$2002,4,FALSE),"")</f>
        <v/>
      </c>
      <c r="H145" t="str">
        <f>+IFERROR(VLOOKUP(H46,IN_Zugliste!$A$4:$D$2002,4,FALSE),"")</f>
        <v/>
      </c>
      <c r="I145" t="str">
        <f>+IFERROR(VLOOKUP(I46,IN_Zugliste!$A$4:$D$2002,4,FALSE),"")</f>
        <v/>
      </c>
      <c r="J145" t="str">
        <f>+IFERROR(VLOOKUP(J46,IN_Zugliste!$A$4:$D$2002,4,FALSE),"")</f>
        <v/>
      </c>
      <c r="K145" t="str">
        <f>+IFERROR(VLOOKUP(K46,IN_Zugliste!$A$4:$D$2002,4,FALSE),"")</f>
        <v/>
      </c>
      <c r="L145" t="str">
        <f>+IFERROR(VLOOKUP(L46,IN_Zugliste!$A$4:$D$2002,4,FALSE),"")</f>
        <v/>
      </c>
      <c r="M145" t="str">
        <f>+IFERROR(VLOOKUP(M46,IN_Zugliste!$A$4:$D$2002,4,FALSE),"")</f>
        <v/>
      </c>
      <c r="N145" t="str">
        <f>+IFERROR(VLOOKUP(N46,IN_Zugliste!$A$4:$D$2002,4,FALSE),"")</f>
        <v/>
      </c>
      <c r="O145" t="str">
        <f>+IFERROR(VLOOKUP(O46,IN_Zugliste!$A$4:$D$2002,4,FALSE),"")</f>
        <v/>
      </c>
      <c r="P145" t="str">
        <f>+IFERROR(VLOOKUP(P46,IN_Zugliste!$A$4:$D$2002,4,FALSE),"")</f>
        <v/>
      </c>
      <c r="Q145" t="str">
        <f>+IFERROR(VLOOKUP(Q46,IN_Zugliste!$A$4:$D$2002,4,FALSE),"")</f>
        <v/>
      </c>
      <c r="R145" t="str">
        <f>+IFERROR(VLOOKUP(R46,IN_Zugliste!$A$4:$D$2002,4,FALSE),"")</f>
        <v/>
      </c>
      <c r="S145" t="str">
        <f>+IFERROR(VLOOKUP(S46,IN_Zugliste!$A$4:$D$2002,4,FALSE),"")</f>
        <v/>
      </c>
      <c r="T145" t="str">
        <f>+IFERROR(VLOOKUP(T46,IN_Zugliste!$A$4:$D$2002,4,FALSE),"")</f>
        <v/>
      </c>
      <c r="U145" t="str">
        <f>+IFERROR(VLOOKUP(U46,IN_Zugliste!$A$4:$D$2002,4,FALSE),"")</f>
        <v/>
      </c>
      <c r="V145" t="str">
        <f>+IFERROR(VLOOKUP(V46,IN_Zugliste!$A$4:$D$2002,4,FALSE),"")</f>
        <v/>
      </c>
      <c r="W145" t="str">
        <f>+IFERROR(VLOOKUP(W46,IN_Zugliste!$A$4:$D$2002,4,FALSE),"")</f>
        <v/>
      </c>
      <c r="X145" t="str">
        <f>+IFERROR(VLOOKUP(X46,IN_Zugliste!$A$4:$D$2002,4,FALSE),"")</f>
        <v/>
      </c>
      <c r="Y145" t="str">
        <f>+IFERROR(VLOOKUP(Y46,IN_Zugliste!$A$4:$D$2002,4,FALSE),"")</f>
        <v/>
      </c>
      <c r="Z145" t="str">
        <f>+IFERROR(VLOOKUP(Z46,IN_Zugliste!$A$4:$D$2002,4,FALSE),"")</f>
        <v/>
      </c>
      <c r="AA145" t="str">
        <f>+IFERROR(VLOOKUP(AA46,IN_Zugliste!$A$4:$D$2002,4,FALSE),"")</f>
        <v/>
      </c>
      <c r="AB145" t="str">
        <f>+IFERROR(VLOOKUP(AB46,IN_Zugliste!$A$4:$D$2002,4,FALSE),"")</f>
        <v/>
      </c>
      <c r="AC145" t="str">
        <f>+IFERROR(VLOOKUP(AC46,IN_Zugliste!$A$4:$D$2002,4,FALSE),"")</f>
        <v/>
      </c>
      <c r="AD145" t="str">
        <f>+IFERROR(VLOOKUP(AD46,IN_Zugliste!$A$4:$D$2002,4,FALSE),"")</f>
        <v/>
      </c>
      <c r="AE145" t="str">
        <f>+IFERROR(VLOOKUP(AE46,IN_Zugliste!$A$4:$D$2002,4,FALSE),"")</f>
        <v/>
      </c>
      <c r="AF145" t="str">
        <f>+IFERROR(VLOOKUP(AF46,IN_Zugliste!$A$4:$D$2002,4,FALSE),"")</f>
        <v/>
      </c>
      <c r="AG145" t="str">
        <f>+IFERROR(VLOOKUP(AG46,IN_Zugliste!$A$4:$D$2002,4,FALSE),"")</f>
        <v/>
      </c>
      <c r="AH145" t="str">
        <f>+IFERROR(VLOOKUP(AH46,IN_Zugliste!$A$4:$D$2002,4,FALSE),"")</f>
        <v/>
      </c>
      <c r="AI145" t="str">
        <f>+IFERROR(VLOOKUP(AI46,IN_Zugliste!$A$4:$D$2002,4,FALSE),"")</f>
        <v/>
      </c>
      <c r="AJ145" t="str">
        <f>+IFERROR(VLOOKUP(AJ46,IN_Zugliste!$A$4:$D$2002,4,FALSE),"")</f>
        <v/>
      </c>
      <c r="AK145" t="str">
        <f>+IFERROR(VLOOKUP(AK46,IN_Zugliste!$A$4:$D$2002,4,FALSE),"")</f>
        <v/>
      </c>
      <c r="AL145" t="str">
        <f>+IFERROR(VLOOKUP(AL46,IN_Zugliste!$A$4:$D$2002,4,FALSE),"")</f>
        <v/>
      </c>
      <c r="AM145" t="str">
        <f>+IFERROR(VLOOKUP(AM46,IN_Zugliste!$A$4:$D$2002,4,FALSE),"")</f>
        <v/>
      </c>
      <c r="AN145" t="str">
        <f>+IFERROR(VLOOKUP(AN46,IN_Zugliste!$A$4:$D$2002,4,FALSE),"")</f>
        <v/>
      </c>
      <c r="AO145" t="str">
        <f>+IFERROR(VLOOKUP(AO46,IN_Zugliste!$A$4:$D$2002,4,FALSE),"")</f>
        <v/>
      </c>
      <c r="AP145" t="str">
        <f>+IFERROR(VLOOKUP(AP46,IN_Zugliste!$A$4:$D$2002,4,FALSE),"")</f>
        <v/>
      </c>
      <c r="AQ145" t="str">
        <f>+IFERROR(VLOOKUP(AQ46,IN_Zugliste!$A$4:$D$2002,4,FALSE),"")</f>
        <v/>
      </c>
      <c r="AR145" t="str">
        <f>+IFERROR(VLOOKUP(AR46,IN_Zugliste!$A$4:$D$2002,4,FALSE),"")</f>
        <v/>
      </c>
      <c r="AS145" t="str">
        <f>+IFERROR(VLOOKUP(AS46,IN_Zugliste!$A$4:$D$2002,4,FALSE),"")</f>
        <v/>
      </c>
      <c r="AT145" t="str">
        <f>+IFERROR(VLOOKUP(AT46,IN_Zugliste!$A$4:$D$2002,4,FALSE),"")</f>
        <v/>
      </c>
      <c r="AU145" t="str">
        <f>+IFERROR(VLOOKUP(AU46,IN_Zugliste!$A$4:$D$2002,4,FALSE),"")</f>
        <v/>
      </c>
      <c r="AV145" t="str">
        <f>+IFERROR(VLOOKUP(AV46,IN_Zugliste!$A$4:$D$2002,4,FALSE),"")</f>
        <v/>
      </c>
      <c r="AW145" t="str">
        <f>+IFERROR(VLOOKUP(AW46,IN_Zugliste!$A$4:$D$2002,4,FALSE),"")</f>
        <v/>
      </c>
      <c r="AX145" t="str">
        <f>+IFERROR(VLOOKUP(AX46,IN_Zugliste!$A$4:$D$2002,4,FALSE),"")</f>
        <v/>
      </c>
      <c r="AY145" t="str">
        <f>+IFERROR(VLOOKUP(AY46,IN_Zugliste!$A$4:$D$2002,4,FALSE),"")</f>
        <v/>
      </c>
      <c r="AZ145" t="str">
        <f>+IFERROR(VLOOKUP(AZ46,IN_Zugliste!$A$4:$D$2002,4,FALSE),"")</f>
        <v/>
      </c>
      <c r="BA145" t="str">
        <f>+IFERROR(VLOOKUP(BA46,IN_Zugliste!$A$4:$D$2002,4,FALSE),"")</f>
        <v/>
      </c>
      <c r="BB145" t="str">
        <f>+IFERROR(VLOOKUP(BB46,IN_Zugliste!$A$4:$D$2002,4,FALSE),"")</f>
        <v/>
      </c>
      <c r="BC145" t="str">
        <f>+IFERROR(VLOOKUP(BC46,IN_Zugliste!$A$4:$D$2002,4,FALSE),"")</f>
        <v/>
      </c>
      <c r="BD145" t="str">
        <f>+IFERROR(VLOOKUP(BD46,IN_Zugliste!$A$4:$D$2002,4,FALSE),"")</f>
        <v/>
      </c>
      <c r="BE145" t="str">
        <f>+IFERROR(VLOOKUP(BE46,IN_Zugliste!$A$4:$D$2002,4,FALSE),"")</f>
        <v/>
      </c>
      <c r="BF145" t="str">
        <f>+IFERROR(VLOOKUP(BF46,IN_Zugliste!$A$4:$D$2002,4,FALSE),"")</f>
        <v/>
      </c>
      <c r="BG145" t="str">
        <f>+IFERROR(VLOOKUP(BG46,IN_Zugliste!$A$4:$D$2002,4,FALSE),"")</f>
        <v/>
      </c>
      <c r="BH145" t="str">
        <f>+IFERROR(VLOOKUP(BH46,IN_Zugliste!$A$4:$D$2002,4,FALSE),"")</f>
        <v/>
      </c>
      <c r="BI145" t="str">
        <f>+IFERROR(VLOOKUP(BI46,IN_Zugliste!$A$4:$D$2002,4,FALSE),"")</f>
        <v/>
      </c>
      <c r="BJ145" t="str">
        <f>+IFERROR(VLOOKUP(BJ46,IN_Zugliste!$A$4:$D$2002,4,FALSE),"")</f>
        <v/>
      </c>
      <c r="BK145" t="str">
        <f>+IFERROR(VLOOKUP(BK46,IN_Zugliste!$A$4:$D$2002,4,FALSE),"")</f>
        <v/>
      </c>
      <c r="BL145" t="str">
        <f>+IFERROR(VLOOKUP(BL46,IN_Zugliste!$A$4:$D$2002,4,FALSE),"")</f>
        <v/>
      </c>
      <c r="BM145" t="str">
        <f>+IFERROR(VLOOKUP(BM46,IN_Zugliste!$A$4:$D$2002,4,FALSE),"")</f>
        <v/>
      </c>
      <c r="BN145" t="str">
        <f>+IFERROR(VLOOKUP(BN46,IN_Zugliste!$A$4:$D$2002,4,FALSE),"")</f>
        <v/>
      </c>
      <c r="BO145" t="str">
        <f>+IFERROR(VLOOKUP(BO46,IN_Zugliste!$A$4:$D$2002,4,FALSE),"")</f>
        <v/>
      </c>
      <c r="BP145" t="str">
        <f>+IFERROR(VLOOKUP(BP46,IN_Zugliste!$A$4:$D$2002,4,FALSE),"")</f>
        <v/>
      </c>
      <c r="BQ145" t="str">
        <f>+IFERROR(VLOOKUP(BQ46,IN_Zugliste!$A$4:$D$2002,4,FALSE),"")</f>
        <v/>
      </c>
      <c r="BR145" t="str">
        <f>+IFERROR(VLOOKUP(BR46,IN_Zugliste!$A$4:$D$2002,4,FALSE),"")</f>
        <v/>
      </c>
      <c r="BS145" t="str">
        <f>+IFERROR(VLOOKUP(BS46,IN_Zugliste!$A$4:$D$2002,4,FALSE),"")</f>
        <v/>
      </c>
      <c r="BT145" t="str">
        <f>+IFERROR(VLOOKUP(BT46,IN_Zugliste!$A$4:$D$2002,4,FALSE),"")</f>
        <v/>
      </c>
      <c r="BU145" t="str">
        <f>+IFERROR(VLOOKUP(BU46,IN_Zugliste!$A$4:$D$2002,4,FALSE),"")</f>
        <v/>
      </c>
      <c r="BV145" t="str">
        <f>+IFERROR(VLOOKUP(BV46,IN_Zugliste!$A$4:$D$2002,4,FALSE),"")</f>
        <v/>
      </c>
      <c r="BW145" t="str">
        <f>+IFERROR(VLOOKUP(BW46,IN_Zugliste!$A$4:$D$2002,4,FALSE),"")</f>
        <v/>
      </c>
      <c r="BX145" t="str">
        <f>+IFERROR(VLOOKUP(BX46,IN_Zugliste!$A$4:$D$2002,4,FALSE),"")</f>
        <v/>
      </c>
      <c r="BY145" t="str">
        <f>+IFERROR(VLOOKUP(BY46,IN_Zugliste!$A$4:$D$2002,4,FALSE),"")</f>
        <v/>
      </c>
      <c r="BZ145" t="str">
        <f>+IFERROR(VLOOKUP(BZ46,IN_Zugliste!$A$4:$D$2002,4,FALSE),"")</f>
        <v/>
      </c>
      <c r="CA145" t="str">
        <f>+IFERROR(VLOOKUP(CA46,IN_Zugliste!$A$4:$D$2002,4,FALSE),"")</f>
        <v/>
      </c>
      <c r="CB145" t="str">
        <f>+IFERROR(VLOOKUP(CB46,IN_Zugliste!$A$4:$D$2002,4,FALSE),"")</f>
        <v/>
      </c>
      <c r="CC145" t="str">
        <f>+IFERROR(VLOOKUP(CC46,IN_Zugliste!$A$4:$D$2002,4,FALSE),"")</f>
        <v/>
      </c>
      <c r="CD145" t="str">
        <f>+IFERROR(VLOOKUP(CD46,IN_Zugliste!$A$4:$D$2002,4,FALSE),"")</f>
        <v/>
      </c>
      <c r="CE145" t="str">
        <f>+IFERROR(VLOOKUP(CE46,IN_Zugliste!$A$4:$D$2002,4,FALSE),"")</f>
        <v/>
      </c>
      <c r="CF145" t="str">
        <f>+IFERROR(VLOOKUP(CF46,IN_Zugliste!$A$4:$D$2002,4,FALSE),"")</f>
        <v/>
      </c>
      <c r="CG145" t="str">
        <f>+IFERROR(VLOOKUP(CG46,IN_Zugliste!$A$4:$D$2002,4,FALSE),"")</f>
        <v/>
      </c>
      <c r="CH145" t="str">
        <f>+IFERROR(VLOOKUP(CH46,IN_Zugliste!$A$4:$D$2002,4,FALSE),"")</f>
        <v/>
      </c>
      <c r="CI145" t="str">
        <f>+IFERROR(VLOOKUP(CI46,IN_Zugliste!$A$4:$D$2002,4,FALSE),"")</f>
        <v/>
      </c>
      <c r="CJ145" t="str">
        <f>+IFERROR(VLOOKUP(CJ46,IN_Zugliste!$A$4:$D$2002,4,FALSE),"")</f>
        <v/>
      </c>
      <c r="CK145" t="str">
        <f>+IFERROR(VLOOKUP(CK46,IN_Zugliste!$A$4:$D$2002,4,FALSE),"")</f>
        <v/>
      </c>
      <c r="CL145" t="str">
        <f>+IFERROR(VLOOKUP(CL46,IN_Zugliste!$A$4:$D$2002,4,FALSE),"")</f>
        <v/>
      </c>
      <c r="CM145" t="str">
        <f>+IFERROR(VLOOKUP(CM46,IN_Zugliste!$A$4:$D$2002,4,FALSE),"")</f>
        <v/>
      </c>
      <c r="CN145" t="str">
        <f>+IFERROR(VLOOKUP(CN46,IN_Zugliste!$A$4:$D$2002,4,FALSE),"")</f>
        <v/>
      </c>
      <c r="CO145" t="str">
        <f>+IFERROR(VLOOKUP(CO46,IN_Zugliste!$A$4:$D$2002,4,FALSE),"")</f>
        <v/>
      </c>
      <c r="CP145" t="str">
        <f>+IFERROR(VLOOKUP(CP46,IN_Zugliste!$A$4:$D$2002,4,FALSE),"")</f>
        <v/>
      </c>
      <c r="CQ145" t="str">
        <f>+IFERROR(VLOOKUP(CQ46,IN_Zugliste!$A$4:$D$2002,4,FALSE),"")</f>
        <v/>
      </c>
      <c r="CR145" t="str">
        <f>+IFERROR(VLOOKUP(CR46,IN_Zugliste!$A$4:$D$2002,4,FALSE),"")</f>
        <v/>
      </c>
      <c r="CS145" t="str">
        <f>+IFERROR(VLOOKUP(CS46,IN_Zugliste!$A$4:$D$2002,4,FALSE),"")</f>
        <v/>
      </c>
      <c r="CT145" t="str">
        <f>+IFERROR(VLOOKUP(CT46,IN_Zugliste!$A$4:$D$2002,4,FALSE),"")</f>
        <v/>
      </c>
      <c r="CU145" t="str">
        <f>+IFERROR(VLOOKUP(CU46,IN_Zugliste!$A$4:$D$2002,4,FALSE),"")</f>
        <v/>
      </c>
      <c r="CV145" t="str">
        <f>+IFERROR(VLOOKUP(CV46,IN_Zugliste!$A$4:$D$2002,4,FALSE),"")</f>
        <v/>
      </c>
      <c r="CW145" t="str">
        <f>+IFERROR(VLOOKUP(CW46,IN_Zugliste!$A$4:$D$2002,4,FALSE),"")</f>
        <v/>
      </c>
      <c r="CX145" t="str">
        <f>+IFERROR(VLOOKUP(CX46,IN_Zugliste!$A$4:$D$2002,4,FALSE),"")</f>
        <v/>
      </c>
      <c r="CY145" t="str">
        <f>+IFERROR(VLOOKUP(CY46,IN_Zugliste!$A$4:$D$2002,4,FALSE),"")</f>
        <v/>
      </c>
      <c r="CZ145" t="str">
        <f>+IFERROR(VLOOKUP(CZ46,IN_Zugliste!$A$4:$D$2002,4,FALSE),"")</f>
        <v/>
      </c>
      <c r="DA145" t="str">
        <f>+IFERROR(VLOOKUP(DA46,IN_Zugliste!$A$4:$D$2002,4,FALSE),"")</f>
        <v/>
      </c>
      <c r="DB145" t="str">
        <f>+IFERROR(VLOOKUP(DB46,IN_Zugliste!$A$4:$D$2002,4,FALSE),"")</f>
        <v/>
      </c>
      <c r="DC145" t="str">
        <f>+IFERROR(VLOOKUP(DC46,IN_Zugliste!$A$4:$D$2002,4,FALSE),"")</f>
        <v/>
      </c>
      <c r="DD145" t="str">
        <f>+IFERROR(VLOOKUP(DD46,IN_Zugliste!$A$4:$D$2002,4,FALSE),"")</f>
        <v/>
      </c>
      <c r="DE145" t="str">
        <f>+IFERROR(VLOOKUP(DE46,IN_Zugliste!$A$4:$D$2002,4,FALSE),"")</f>
        <v/>
      </c>
      <c r="DF145" t="str">
        <f>+IFERROR(VLOOKUP(DF46,IN_Zugliste!$A$4:$D$2002,4,FALSE),"")</f>
        <v/>
      </c>
      <c r="DG145" t="str">
        <f>+IFERROR(VLOOKUP(DG46,IN_Zugliste!$A$4:$D$2002,4,FALSE),"")</f>
        <v/>
      </c>
      <c r="DH145" t="str">
        <f>+IFERROR(VLOOKUP(DH46,IN_Zugliste!$A$4:$D$2002,4,FALSE),"")</f>
        <v/>
      </c>
      <c r="DI145" t="str">
        <f>+IFERROR(VLOOKUP(DI46,IN_Zugliste!$A$4:$D$2002,4,FALSE),"")</f>
        <v/>
      </c>
      <c r="DJ145" t="str">
        <f>+IFERROR(VLOOKUP(DJ46,IN_Zugliste!$A$4:$D$2002,4,FALSE),"")</f>
        <v/>
      </c>
      <c r="DK145" t="str">
        <f>+IFERROR(VLOOKUP(DK46,IN_Zugliste!$A$4:$D$2002,4,FALSE),"")</f>
        <v/>
      </c>
      <c r="DL145" t="str">
        <f>+IFERROR(VLOOKUP(DL46,IN_Zugliste!$A$4:$D$2002,4,FALSE),"")</f>
        <v/>
      </c>
      <c r="DM145" t="str">
        <f>+IFERROR(VLOOKUP(DM46,IN_Zugliste!$A$4:$D$2002,4,FALSE),"")</f>
        <v/>
      </c>
      <c r="DN145" t="str">
        <f>+IFERROR(VLOOKUP(DN46,IN_Zugliste!$A$4:$D$2002,4,FALSE),"")</f>
        <v/>
      </c>
      <c r="DO145" t="str">
        <f>+IFERROR(VLOOKUP(DO46,IN_Zugliste!$A$4:$D$2002,4,FALSE),"")</f>
        <v/>
      </c>
      <c r="DP145" t="str">
        <f>+IFERROR(VLOOKUP(DP46,IN_Zugliste!$A$4:$D$2002,4,FALSE),"")</f>
        <v/>
      </c>
      <c r="DQ145" t="str">
        <f>+IFERROR(VLOOKUP(DQ46,IN_Zugliste!$A$4:$D$2002,4,FALSE),"")</f>
        <v/>
      </c>
      <c r="DR145" t="str">
        <f>+IFERROR(VLOOKUP(DR46,IN_Zugliste!$A$4:$D$2002,4,FALSE),"")</f>
        <v/>
      </c>
      <c r="DS145" t="str">
        <f>+IFERROR(VLOOKUP(DS46,IN_Zugliste!$A$4:$D$2002,4,FALSE),"")</f>
        <v/>
      </c>
      <c r="DT145" t="str">
        <f>+IFERROR(VLOOKUP(DT46,IN_Zugliste!$A$4:$D$2002,4,FALSE),"")</f>
        <v/>
      </c>
      <c r="DU145" t="str">
        <f>+IFERROR(VLOOKUP(DU46,IN_Zugliste!$A$4:$D$2002,4,FALSE),"")</f>
        <v/>
      </c>
      <c r="DV145" t="str">
        <f>+IFERROR(VLOOKUP(DV46,IN_Zugliste!$A$4:$D$2002,4,FALSE),"")</f>
        <v/>
      </c>
      <c r="DW145" t="str">
        <f>+IFERROR(VLOOKUP(DW46,IN_Zugliste!$A$4:$D$2002,4,FALSE),"")</f>
        <v/>
      </c>
      <c r="DX145" t="str">
        <f>+IFERROR(VLOOKUP(DX46,IN_Zugliste!$A$4:$D$2002,4,FALSE),"")</f>
        <v/>
      </c>
      <c r="DY145" t="str">
        <f>+IFERROR(VLOOKUP(DY46,IN_Zugliste!$A$4:$D$2002,4,FALSE),"")</f>
        <v/>
      </c>
      <c r="DZ145" t="str">
        <f>+IFERROR(VLOOKUP(DZ46,IN_Zugliste!$A$4:$D$2002,4,FALSE),"")</f>
        <v/>
      </c>
      <c r="EA145" t="str">
        <f>+IFERROR(VLOOKUP(EA46,IN_Zugliste!$A$4:$D$2002,4,FALSE),"")</f>
        <v/>
      </c>
      <c r="EB145" t="str">
        <f>+IFERROR(VLOOKUP(EB46,IN_Zugliste!$A$4:$D$2002,4,FALSE),"")</f>
        <v/>
      </c>
      <c r="EC145" t="str">
        <f>+IFERROR(VLOOKUP(EC46,IN_Zugliste!$A$4:$D$2002,4,FALSE),"")</f>
        <v/>
      </c>
      <c r="ED145" t="str">
        <f>+IFERROR(VLOOKUP(ED46,IN_Zugliste!$A$4:$D$2002,4,FALSE),"")</f>
        <v/>
      </c>
      <c r="EE145" t="str">
        <f>+IFERROR(VLOOKUP(EE46,IN_Zugliste!$A$4:$D$2002,4,FALSE),"")</f>
        <v/>
      </c>
      <c r="EF145" t="str">
        <f>+IFERROR(VLOOKUP(EF46,IN_Zugliste!$A$4:$D$2002,4,FALSE),"")</f>
        <v/>
      </c>
      <c r="EG145" t="str">
        <f>+IFERROR(VLOOKUP(EG46,IN_Zugliste!$A$4:$D$2002,4,FALSE),"")</f>
        <v/>
      </c>
      <c r="EH145" t="str">
        <f>+IFERROR(VLOOKUP(EH46,IN_Zugliste!$A$4:$D$2002,4,FALSE),"")</f>
        <v/>
      </c>
      <c r="EI145" t="str">
        <f>+IFERROR(VLOOKUP(EI46,IN_Zugliste!$A$4:$D$2002,4,FALSE),"")</f>
        <v/>
      </c>
      <c r="EJ145" t="str">
        <f>+IFERROR(VLOOKUP(EJ46,IN_Zugliste!$A$4:$D$2002,4,FALSE),"")</f>
        <v/>
      </c>
      <c r="EK145" t="str">
        <f>+IFERROR(VLOOKUP(EK46,IN_Zugliste!$A$4:$D$2002,4,FALSE),"")</f>
        <v/>
      </c>
      <c r="EL145" t="str">
        <f>+IFERROR(VLOOKUP(EL46,IN_Zugliste!$A$4:$D$2002,4,FALSE),"")</f>
        <v/>
      </c>
      <c r="EM145" t="str">
        <f>+IFERROR(VLOOKUP(EM46,IN_Zugliste!$A$4:$D$2002,4,FALSE),"")</f>
        <v/>
      </c>
      <c r="EN145" t="str">
        <f>+IFERROR(VLOOKUP(EN46,IN_Zugliste!$A$4:$D$2002,4,FALSE),"")</f>
        <v/>
      </c>
      <c r="EO145" t="str">
        <f>+IFERROR(VLOOKUP(EO46,IN_Zugliste!$A$4:$D$2002,4,FALSE),"")</f>
        <v/>
      </c>
      <c r="EP145" t="str">
        <f>+IFERROR(VLOOKUP(EP46,IN_Zugliste!$A$4:$D$2002,4,FALSE),"")</f>
        <v/>
      </c>
      <c r="EQ145" t="str">
        <f>+IFERROR(VLOOKUP(EQ46,IN_Zugliste!$A$4:$D$2002,4,FALSE),"")</f>
        <v/>
      </c>
      <c r="ER145" t="str">
        <f>+IFERROR(VLOOKUP(ER46,IN_Zugliste!$A$4:$D$2002,4,FALSE),"")</f>
        <v/>
      </c>
      <c r="ES145" t="str">
        <f>+IFERROR(VLOOKUP(ES46,IN_Zugliste!$A$4:$D$2002,4,FALSE),"")</f>
        <v/>
      </c>
      <c r="ET145" t="str">
        <f>+IFERROR(VLOOKUP(ET46,IN_Zugliste!$A$4:$D$2002,4,FALSE),"")</f>
        <v/>
      </c>
      <c r="EU145" t="str">
        <f>+IFERROR(VLOOKUP(EU46,IN_Zugliste!$A$4:$D$2002,4,FALSE),"")</f>
        <v/>
      </c>
      <c r="EV145" t="str">
        <f>+IFERROR(VLOOKUP(EV46,IN_Zugliste!$A$4:$D$2002,4,FALSE),"")</f>
        <v/>
      </c>
      <c r="EW145" t="str">
        <f>+IFERROR(VLOOKUP(EW46,IN_Zugliste!$A$4:$D$2002,4,FALSE),"")</f>
        <v/>
      </c>
      <c r="EX145" t="str">
        <f>+IFERROR(VLOOKUP(EX46,IN_Zugliste!$A$4:$D$2002,4,FALSE),"")</f>
        <v/>
      </c>
      <c r="EY145" t="str">
        <f>+IFERROR(VLOOKUP(EY46,IN_Zugliste!$A$4:$D$2002,4,FALSE),"")</f>
        <v/>
      </c>
      <c r="EZ145" t="str">
        <f>+IFERROR(VLOOKUP(EZ46,IN_Zugliste!$A$4:$D$2002,4,FALSE),"")</f>
        <v/>
      </c>
      <c r="FA145" t="str">
        <f>+IFERROR(VLOOKUP(FA46,IN_Zugliste!$A$4:$D$2002,4,FALSE),"")</f>
        <v/>
      </c>
      <c r="FB145" t="str">
        <f>+IFERROR(VLOOKUP(FB46,IN_Zugliste!$A$4:$D$2002,4,FALSE),"")</f>
        <v/>
      </c>
      <c r="FC145" t="str">
        <f>+IFERROR(VLOOKUP(FC46,IN_Zugliste!$A$4:$D$2002,4,FALSE),"")</f>
        <v/>
      </c>
      <c r="FD145" t="str">
        <f>+IFERROR(VLOOKUP(FD46,IN_Zugliste!$A$4:$D$2002,4,FALSE),"")</f>
        <v/>
      </c>
      <c r="FE145" t="str">
        <f>+IFERROR(VLOOKUP(FE46,IN_Zugliste!$A$4:$D$2002,4,FALSE),"")</f>
        <v/>
      </c>
      <c r="FF145" t="str">
        <f>+IFERROR(VLOOKUP(FF46,IN_Zugliste!$A$4:$D$2002,4,FALSE),"")</f>
        <v/>
      </c>
      <c r="FG145" t="str">
        <f>+IFERROR(VLOOKUP(FG46,IN_Zugliste!$A$4:$D$2002,4,FALSE),"")</f>
        <v/>
      </c>
      <c r="FH145" t="str">
        <f>+IFERROR(VLOOKUP(FH46,IN_Zugliste!$A$4:$D$2002,4,FALSE),"")</f>
        <v/>
      </c>
      <c r="FI145" t="str">
        <f>+IFERROR(VLOOKUP(FI46,IN_Zugliste!$A$4:$D$2002,4,FALSE),"")</f>
        <v/>
      </c>
      <c r="FJ145" t="str">
        <f>+IFERROR(VLOOKUP(FJ46,IN_Zugliste!$A$4:$D$2002,4,FALSE),"")</f>
        <v/>
      </c>
      <c r="FK145" t="str">
        <f>+IFERROR(VLOOKUP(FK46,IN_Zugliste!$A$4:$D$2002,4,FALSE),"")</f>
        <v/>
      </c>
      <c r="FL145" t="str">
        <f>+IFERROR(VLOOKUP(FL46,IN_Zugliste!$A$4:$D$2002,4,FALSE),"")</f>
        <v/>
      </c>
      <c r="FM145" t="str">
        <f>+IFERROR(VLOOKUP(FM46,IN_Zugliste!$A$4:$C$602,4,FALSE),"")</f>
        <v/>
      </c>
      <c r="FN145" t="str">
        <f>+IFERROR(VLOOKUP(FN46,IN_Zugliste!$A$4:$C$602,4,FALSE),"")</f>
        <v/>
      </c>
      <c r="FO145" t="str">
        <f>+IFERROR(VLOOKUP(FO46,IN_Zugliste!$A$4:$C$602,4,FALSE),"")</f>
        <v/>
      </c>
      <c r="FP145" t="str">
        <f>+IFERROR(VLOOKUP(FP46,IN_Zugliste!$A$4:$C$602,4,FALSE),"")</f>
        <v/>
      </c>
      <c r="FQ145" t="str">
        <f>+IFERROR(VLOOKUP(FQ46,IN_Zugliste!$A$4:$C$602,4,FALSE),"")</f>
        <v/>
      </c>
      <c r="FR145" t="str">
        <f>+IFERROR(VLOOKUP(FR46,IN_Zugliste!$A$4:$C$602,4,FALSE),"")</f>
        <v/>
      </c>
      <c r="FS145" t="str">
        <f>+IFERROR(VLOOKUP(FS46,IN_Zugliste!$A$4:$C$602,4,FALSE),"")</f>
        <v/>
      </c>
      <c r="FT145" t="str">
        <f>+IFERROR(VLOOKUP(FT46,IN_Zugliste!$A$4:$C$602,4,FALSE),"")</f>
        <v/>
      </c>
      <c r="FU145" t="str">
        <f>+IFERROR(VLOOKUP(FU46,IN_Zugliste!$A$4:$C$602,4,FALSE),"")</f>
        <v/>
      </c>
      <c r="FV145" t="str">
        <f>+IFERROR(VLOOKUP(FV46,IN_Zugliste!$A$4:$C$602,4,FALSE),"")</f>
        <v/>
      </c>
      <c r="FW145" t="str">
        <f>+IFERROR(VLOOKUP(FW46,IN_Zugliste!$A$4:$C$602,4,FALSE),"")</f>
        <v/>
      </c>
      <c r="FX145" t="str">
        <f>+IFERROR(VLOOKUP(FX46,IN_Zugliste!$A$4:$C$602,4,FALSE),"")</f>
        <v/>
      </c>
      <c r="FY145" t="str">
        <f>+IFERROR(VLOOKUP(FY46,IN_Zugliste!$A$4:$C$602,4,FALSE),"")</f>
        <v/>
      </c>
      <c r="FZ145" t="str">
        <f>+IFERROR(VLOOKUP(FZ46,IN_Zugliste!$A$4:$C$602,4,FALSE),"")</f>
        <v/>
      </c>
      <c r="GA145" t="str">
        <f>+IFERROR(VLOOKUP(GA46,IN_Zugliste!$A$4:$C$602,4,FALSE),"")</f>
        <v/>
      </c>
      <c r="GB145" t="str">
        <f>+IFERROR(VLOOKUP(GB46,IN_Zugliste!$A$4:$C$602,4,FALSE),"")</f>
        <v/>
      </c>
      <c r="GC145" t="str">
        <f>+IFERROR(VLOOKUP(GC46,IN_Zugliste!$A$4:$C$602,4,FALSE),"")</f>
        <v/>
      </c>
      <c r="GD145" t="str">
        <f>+IFERROR(VLOOKUP(GD46,IN_Zugliste!$A$4:$C$602,4,FALSE),"")</f>
        <v/>
      </c>
      <c r="GE145" t="str">
        <f>+IFERROR(VLOOKUP(GE46,IN_Zugliste!$A$4:$C$602,4,FALSE),"")</f>
        <v/>
      </c>
      <c r="GF145" t="str">
        <f>+IFERROR(VLOOKUP(GF46,IN_Zugliste!$A$4:$C$602,4,FALSE),"")</f>
        <v/>
      </c>
      <c r="GG145" t="str">
        <f>+IFERROR(VLOOKUP(GG46,IN_Zugliste!$A$4:$C$602,4,FALSE),"")</f>
        <v/>
      </c>
      <c r="GH145" t="str">
        <f>+IFERROR(VLOOKUP(GH46,IN_Zugliste!$A$4:$C$602,4,FALSE),"")</f>
        <v/>
      </c>
      <c r="GI145" t="str">
        <f>+IFERROR(VLOOKUP(GI46,IN_Zugliste!$A$4:$C$602,4,FALSE),"")</f>
        <v/>
      </c>
      <c r="GJ145" t="str">
        <f>+IFERROR(VLOOKUP(GJ46,IN_Zugliste!$A$4:$C$602,4,FALSE),"")</f>
        <v/>
      </c>
      <c r="GK145" t="str">
        <f>+IFERROR(VLOOKUP(GK46,IN_Zugliste!$A$4:$C$602,4,FALSE),"")</f>
        <v/>
      </c>
      <c r="GL145" t="str">
        <f>+IFERROR(VLOOKUP(GL46,IN_Zugliste!$A$4:$C$602,4,FALSE),"")</f>
        <v/>
      </c>
      <c r="GM145" t="str">
        <f>+IFERROR(VLOOKUP(GM46,IN_Zugliste!$A$4:$C$602,4,FALSE),"")</f>
        <v/>
      </c>
      <c r="GN145" t="str">
        <f>+IFERROR(VLOOKUP(GN46,IN_Zugliste!$A$4:$C$602,4,FALSE),"")</f>
        <v/>
      </c>
      <c r="GO145" t="str">
        <f>+IFERROR(VLOOKUP(GO46,IN_Zugliste!$A$4:$C$602,4,FALSE),"")</f>
        <v/>
      </c>
      <c r="GP145" t="str">
        <f>+IFERROR(VLOOKUP(GP46,IN_Zugliste!$A$4:$C$602,4,FALSE),"")</f>
        <v/>
      </c>
      <c r="GQ145" t="str">
        <f>+IFERROR(VLOOKUP(GQ46,IN_Zugliste!$A$4:$C$602,4,FALSE),"")</f>
        <v/>
      </c>
      <c r="GR145" t="str">
        <f>+IFERROR(VLOOKUP(GR46,IN_Zugliste!$A$4:$C$602,4,FALSE),"")</f>
        <v/>
      </c>
      <c r="GS145" t="str">
        <f>+IFERROR(VLOOKUP(GS46,IN_Zugliste!$A$4:$C$602,4,FALSE),"")</f>
        <v/>
      </c>
      <c r="GT145" t="str">
        <f>+IFERROR(VLOOKUP(GT46,IN_Zugliste!$A$4:$C$602,4,FALSE),"")</f>
        <v/>
      </c>
      <c r="GU145" t="str">
        <f>+IFERROR(VLOOKUP(GU46,IN_Zugliste!$A$4:$C$602,4,FALSE),"")</f>
        <v/>
      </c>
      <c r="GV145" t="str">
        <f>+IFERROR(VLOOKUP(GV46,IN_Zugliste!$A$4:$C$602,4,FALSE),"")</f>
        <v/>
      </c>
      <c r="GW145" t="str">
        <f>+IFERROR(VLOOKUP(GW46,IN_Zugliste!$A$4:$C$602,4,FALSE),"")</f>
        <v/>
      </c>
      <c r="GX145" t="str">
        <f>+IFERROR(VLOOKUP(GX46,IN_Zugliste!$A$4:$C$602,4,FALSE),"")</f>
        <v/>
      </c>
      <c r="GY145" t="str">
        <f>+IFERROR(VLOOKUP(GY46,IN_Zugliste!$A$4:$C$602,4,FALSE),"")</f>
        <v/>
      </c>
      <c r="GZ145" t="str">
        <f>+IFERROR(VLOOKUP(GZ46,IN_Zugliste!$A$4:$C$602,4,FALSE),"")</f>
        <v/>
      </c>
      <c r="HA145" t="str">
        <f>+IFERROR(VLOOKUP(HA46,IN_Zugliste!$A$4:$C$602,4,FALSE),"")</f>
        <v/>
      </c>
      <c r="HB145" t="str">
        <f>+IFERROR(VLOOKUP(HB46,IN_Zugliste!$A$4:$C$602,4,FALSE),"")</f>
        <v/>
      </c>
      <c r="HC145" t="str">
        <f>+IFERROR(VLOOKUP(HC46,IN_Zugliste!$A$4:$C$602,4,FALSE),"")</f>
        <v/>
      </c>
      <c r="HD145" t="str">
        <f>+IFERROR(VLOOKUP(HD46,IN_Zugliste!$A$4:$C$602,4,FALSE),"")</f>
        <v/>
      </c>
      <c r="HE145" t="str">
        <f>+IFERROR(VLOOKUP(HE46,IN_Zugliste!$A$4:$C$602,4,FALSE),"")</f>
        <v/>
      </c>
      <c r="HF145" t="str">
        <f>+IFERROR(VLOOKUP(HF46,IN_Zugliste!$A$4:$C$602,4,FALSE),"")</f>
        <v/>
      </c>
      <c r="HG145" t="str">
        <f>+IFERROR(VLOOKUP(HG46,IN_Zugliste!$A$4:$C$602,4,FALSE),"")</f>
        <v/>
      </c>
      <c r="HH145" t="str">
        <f>+IFERROR(VLOOKUP(HH46,IN_Zugliste!$A$4:$C$602,4,FALSE),"")</f>
        <v/>
      </c>
    </row>
    <row r="146" spans="1:216" x14ac:dyDescent="0.2">
      <c r="A146" t="str">
        <f>+IFERROR(VLOOKUP(A47,IN_Zugliste!$A$4:$D$2002,4,FALSE),"")</f>
        <v/>
      </c>
      <c r="B146" t="str">
        <f>+IFERROR(VLOOKUP(B47,IN_Zugliste!$A$4:$D$2002,4,FALSE),"")</f>
        <v/>
      </c>
      <c r="C146" t="str">
        <f>+IFERROR(VLOOKUP(C47,IN_Zugliste!$A$4:$D$2002,4,FALSE),"")</f>
        <v/>
      </c>
      <c r="D146" t="str">
        <f>+IFERROR(VLOOKUP(D47,IN_Zugliste!$A$4:$D$2002,4,FALSE),"")</f>
        <v/>
      </c>
      <c r="E146" t="str">
        <f>+IFERROR(VLOOKUP(E47,IN_Zugliste!$A$4:$D$2002,4,FALSE),"")</f>
        <v/>
      </c>
      <c r="F146" t="str">
        <f>+IFERROR(VLOOKUP(F47,IN_Zugliste!$A$4:$D$2002,4,FALSE),"")</f>
        <v/>
      </c>
      <c r="G146" t="str">
        <f>+IFERROR(VLOOKUP(G47,IN_Zugliste!$A$4:$D$2002,4,FALSE),"")</f>
        <v/>
      </c>
      <c r="H146" t="str">
        <f>+IFERROR(VLOOKUP(H47,IN_Zugliste!$A$4:$D$2002,4,FALSE),"")</f>
        <v/>
      </c>
      <c r="I146" t="str">
        <f>+IFERROR(VLOOKUP(I47,IN_Zugliste!$A$4:$D$2002,4,FALSE),"")</f>
        <v/>
      </c>
      <c r="J146" t="str">
        <f>+IFERROR(VLOOKUP(J47,IN_Zugliste!$A$4:$D$2002,4,FALSE),"")</f>
        <v/>
      </c>
      <c r="K146" t="str">
        <f>+IFERROR(VLOOKUP(K47,IN_Zugliste!$A$4:$D$2002,4,FALSE),"")</f>
        <v/>
      </c>
      <c r="L146" t="str">
        <f>+IFERROR(VLOOKUP(L47,IN_Zugliste!$A$4:$D$2002,4,FALSE),"")</f>
        <v/>
      </c>
      <c r="M146" t="str">
        <f>+IFERROR(VLOOKUP(M47,IN_Zugliste!$A$4:$D$2002,4,FALSE),"")</f>
        <v/>
      </c>
      <c r="N146" t="str">
        <f>+IFERROR(VLOOKUP(N47,IN_Zugliste!$A$4:$D$2002,4,FALSE),"")</f>
        <v/>
      </c>
      <c r="O146" t="str">
        <f>+IFERROR(VLOOKUP(O47,IN_Zugliste!$A$4:$D$2002,4,FALSE),"")</f>
        <v/>
      </c>
      <c r="P146" t="str">
        <f>+IFERROR(VLOOKUP(P47,IN_Zugliste!$A$4:$D$2002,4,FALSE),"")</f>
        <v/>
      </c>
      <c r="Q146" t="str">
        <f>+IFERROR(VLOOKUP(Q47,IN_Zugliste!$A$4:$D$2002,4,FALSE),"")</f>
        <v/>
      </c>
      <c r="R146" t="str">
        <f>+IFERROR(VLOOKUP(R47,IN_Zugliste!$A$4:$D$2002,4,FALSE),"")</f>
        <v/>
      </c>
      <c r="S146" t="str">
        <f>+IFERROR(VLOOKUP(S47,IN_Zugliste!$A$4:$D$2002,4,FALSE),"")</f>
        <v/>
      </c>
      <c r="T146" t="str">
        <f>+IFERROR(VLOOKUP(T47,IN_Zugliste!$A$4:$D$2002,4,FALSE),"")</f>
        <v/>
      </c>
      <c r="U146" t="str">
        <f>+IFERROR(VLOOKUP(U47,IN_Zugliste!$A$4:$D$2002,4,FALSE),"")</f>
        <v/>
      </c>
      <c r="V146" t="str">
        <f>+IFERROR(VLOOKUP(V47,IN_Zugliste!$A$4:$D$2002,4,FALSE),"")</f>
        <v/>
      </c>
      <c r="W146" t="str">
        <f>+IFERROR(VLOOKUP(W47,IN_Zugliste!$A$4:$D$2002,4,FALSE),"")</f>
        <v/>
      </c>
      <c r="X146" t="str">
        <f>+IFERROR(VLOOKUP(X47,IN_Zugliste!$A$4:$D$2002,4,FALSE),"")</f>
        <v/>
      </c>
      <c r="Y146" t="str">
        <f>+IFERROR(VLOOKUP(Y47,IN_Zugliste!$A$4:$D$2002,4,FALSE),"")</f>
        <v/>
      </c>
      <c r="Z146" t="str">
        <f>+IFERROR(VLOOKUP(Z47,IN_Zugliste!$A$4:$D$2002,4,FALSE),"")</f>
        <v/>
      </c>
      <c r="AA146" t="str">
        <f>+IFERROR(VLOOKUP(AA47,IN_Zugliste!$A$4:$D$2002,4,FALSE),"")</f>
        <v/>
      </c>
      <c r="AB146" t="str">
        <f>+IFERROR(VLOOKUP(AB47,IN_Zugliste!$A$4:$D$2002,4,FALSE),"")</f>
        <v/>
      </c>
      <c r="AC146" t="str">
        <f>+IFERROR(VLOOKUP(AC47,IN_Zugliste!$A$4:$D$2002,4,FALSE),"")</f>
        <v/>
      </c>
      <c r="AD146" t="str">
        <f>+IFERROR(VLOOKUP(AD47,IN_Zugliste!$A$4:$D$2002,4,FALSE),"")</f>
        <v/>
      </c>
      <c r="AE146" t="str">
        <f>+IFERROR(VLOOKUP(AE47,IN_Zugliste!$A$4:$D$2002,4,FALSE),"")</f>
        <v/>
      </c>
      <c r="AF146" t="str">
        <f>+IFERROR(VLOOKUP(AF47,IN_Zugliste!$A$4:$D$2002,4,FALSE),"")</f>
        <v/>
      </c>
      <c r="AG146" t="str">
        <f>+IFERROR(VLOOKUP(AG47,IN_Zugliste!$A$4:$D$2002,4,FALSE),"")</f>
        <v/>
      </c>
      <c r="AH146" t="str">
        <f>+IFERROR(VLOOKUP(AH47,IN_Zugliste!$A$4:$D$2002,4,FALSE),"")</f>
        <v/>
      </c>
      <c r="AI146" t="str">
        <f>+IFERROR(VLOOKUP(AI47,IN_Zugliste!$A$4:$D$2002,4,FALSE),"")</f>
        <v/>
      </c>
      <c r="AJ146" t="str">
        <f>+IFERROR(VLOOKUP(AJ47,IN_Zugliste!$A$4:$D$2002,4,FALSE),"")</f>
        <v/>
      </c>
      <c r="AK146" t="str">
        <f>+IFERROR(VLOOKUP(AK47,IN_Zugliste!$A$4:$D$2002,4,FALSE),"")</f>
        <v/>
      </c>
      <c r="AL146" t="str">
        <f>+IFERROR(VLOOKUP(AL47,IN_Zugliste!$A$4:$D$2002,4,FALSE),"")</f>
        <v/>
      </c>
      <c r="AM146" t="str">
        <f>+IFERROR(VLOOKUP(AM47,IN_Zugliste!$A$4:$D$2002,4,FALSE),"")</f>
        <v/>
      </c>
      <c r="AN146" t="str">
        <f>+IFERROR(VLOOKUP(AN47,IN_Zugliste!$A$4:$D$2002,4,FALSE),"")</f>
        <v/>
      </c>
      <c r="AO146" t="str">
        <f>+IFERROR(VLOOKUP(AO47,IN_Zugliste!$A$4:$D$2002,4,FALSE),"")</f>
        <v/>
      </c>
      <c r="AP146" t="str">
        <f>+IFERROR(VLOOKUP(AP47,IN_Zugliste!$A$4:$D$2002,4,FALSE),"")</f>
        <v/>
      </c>
      <c r="AQ146" t="str">
        <f>+IFERROR(VLOOKUP(AQ47,IN_Zugliste!$A$4:$D$2002,4,FALSE),"")</f>
        <v/>
      </c>
      <c r="AR146" t="str">
        <f>+IFERROR(VLOOKUP(AR47,IN_Zugliste!$A$4:$D$2002,4,FALSE),"")</f>
        <v/>
      </c>
      <c r="AS146" t="str">
        <f>+IFERROR(VLOOKUP(AS47,IN_Zugliste!$A$4:$D$2002,4,FALSE),"")</f>
        <v/>
      </c>
      <c r="AT146" t="str">
        <f>+IFERROR(VLOOKUP(AT47,IN_Zugliste!$A$4:$D$2002,4,FALSE),"")</f>
        <v/>
      </c>
      <c r="AU146" t="str">
        <f>+IFERROR(VLOOKUP(AU47,IN_Zugliste!$A$4:$D$2002,4,FALSE),"")</f>
        <v/>
      </c>
      <c r="AV146" t="str">
        <f>+IFERROR(VLOOKUP(AV47,IN_Zugliste!$A$4:$D$2002,4,FALSE),"")</f>
        <v/>
      </c>
      <c r="AW146" t="str">
        <f>+IFERROR(VLOOKUP(AW47,IN_Zugliste!$A$4:$D$2002,4,FALSE),"")</f>
        <v/>
      </c>
      <c r="AX146" t="str">
        <f>+IFERROR(VLOOKUP(AX47,IN_Zugliste!$A$4:$D$2002,4,FALSE),"")</f>
        <v/>
      </c>
      <c r="AY146" t="str">
        <f>+IFERROR(VLOOKUP(AY47,IN_Zugliste!$A$4:$D$2002,4,FALSE),"")</f>
        <v/>
      </c>
      <c r="AZ146" t="str">
        <f>+IFERROR(VLOOKUP(AZ47,IN_Zugliste!$A$4:$D$2002,4,FALSE),"")</f>
        <v/>
      </c>
      <c r="BA146" t="str">
        <f>+IFERROR(VLOOKUP(BA47,IN_Zugliste!$A$4:$D$2002,4,FALSE),"")</f>
        <v/>
      </c>
      <c r="BB146" t="str">
        <f>+IFERROR(VLOOKUP(BB47,IN_Zugliste!$A$4:$D$2002,4,FALSE),"")</f>
        <v/>
      </c>
      <c r="BC146" t="str">
        <f>+IFERROR(VLOOKUP(BC47,IN_Zugliste!$A$4:$D$2002,4,FALSE),"")</f>
        <v/>
      </c>
      <c r="BD146" t="str">
        <f>+IFERROR(VLOOKUP(BD47,IN_Zugliste!$A$4:$D$2002,4,FALSE),"")</f>
        <v/>
      </c>
      <c r="BE146" t="str">
        <f>+IFERROR(VLOOKUP(BE47,IN_Zugliste!$A$4:$D$2002,4,FALSE),"")</f>
        <v/>
      </c>
      <c r="BF146" t="str">
        <f>+IFERROR(VLOOKUP(BF47,IN_Zugliste!$A$4:$D$2002,4,FALSE),"")</f>
        <v/>
      </c>
      <c r="BG146" t="str">
        <f>+IFERROR(VLOOKUP(BG47,IN_Zugliste!$A$4:$D$2002,4,FALSE),"")</f>
        <v/>
      </c>
      <c r="BH146" t="str">
        <f>+IFERROR(VLOOKUP(BH47,IN_Zugliste!$A$4:$D$2002,4,FALSE),"")</f>
        <v/>
      </c>
      <c r="BI146" t="str">
        <f>+IFERROR(VLOOKUP(BI47,IN_Zugliste!$A$4:$D$2002,4,FALSE),"")</f>
        <v/>
      </c>
      <c r="BJ146" t="str">
        <f>+IFERROR(VLOOKUP(BJ47,IN_Zugliste!$A$4:$D$2002,4,FALSE),"")</f>
        <v/>
      </c>
      <c r="BK146" t="str">
        <f>+IFERROR(VLOOKUP(BK47,IN_Zugliste!$A$4:$D$2002,4,FALSE),"")</f>
        <v/>
      </c>
      <c r="BL146" t="str">
        <f>+IFERROR(VLOOKUP(BL47,IN_Zugliste!$A$4:$D$2002,4,FALSE),"")</f>
        <v/>
      </c>
      <c r="BM146" t="str">
        <f>+IFERROR(VLOOKUP(BM47,IN_Zugliste!$A$4:$D$2002,4,FALSE),"")</f>
        <v/>
      </c>
      <c r="BN146" t="str">
        <f>+IFERROR(VLOOKUP(BN47,IN_Zugliste!$A$4:$D$2002,4,FALSE),"")</f>
        <v/>
      </c>
      <c r="BO146" t="str">
        <f>+IFERROR(VLOOKUP(BO47,IN_Zugliste!$A$4:$D$2002,4,FALSE),"")</f>
        <v/>
      </c>
      <c r="BP146" t="str">
        <f>+IFERROR(VLOOKUP(BP47,IN_Zugliste!$A$4:$D$2002,4,FALSE),"")</f>
        <v/>
      </c>
      <c r="BQ146" t="str">
        <f>+IFERROR(VLOOKUP(BQ47,IN_Zugliste!$A$4:$D$2002,4,FALSE),"")</f>
        <v/>
      </c>
      <c r="BR146" t="str">
        <f>+IFERROR(VLOOKUP(BR47,IN_Zugliste!$A$4:$D$2002,4,FALSE),"")</f>
        <v/>
      </c>
      <c r="BS146" t="str">
        <f>+IFERROR(VLOOKUP(BS47,IN_Zugliste!$A$4:$D$2002,4,FALSE),"")</f>
        <v/>
      </c>
      <c r="BT146" t="str">
        <f>+IFERROR(VLOOKUP(BT47,IN_Zugliste!$A$4:$D$2002,4,FALSE),"")</f>
        <v/>
      </c>
      <c r="BU146" t="str">
        <f>+IFERROR(VLOOKUP(BU47,IN_Zugliste!$A$4:$D$2002,4,FALSE),"")</f>
        <v/>
      </c>
      <c r="BV146" t="str">
        <f>+IFERROR(VLOOKUP(BV47,IN_Zugliste!$A$4:$D$2002,4,FALSE),"")</f>
        <v/>
      </c>
      <c r="BW146" t="str">
        <f>+IFERROR(VLOOKUP(BW47,IN_Zugliste!$A$4:$D$2002,4,FALSE),"")</f>
        <v/>
      </c>
      <c r="BX146" t="str">
        <f>+IFERROR(VLOOKUP(BX47,IN_Zugliste!$A$4:$D$2002,4,FALSE),"")</f>
        <v/>
      </c>
      <c r="BY146" t="str">
        <f>+IFERROR(VLOOKUP(BY47,IN_Zugliste!$A$4:$D$2002,4,FALSE),"")</f>
        <v/>
      </c>
      <c r="BZ146" t="str">
        <f>+IFERROR(VLOOKUP(BZ47,IN_Zugliste!$A$4:$D$2002,4,FALSE),"")</f>
        <v/>
      </c>
      <c r="CA146" t="str">
        <f>+IFERROR(VLOOKUP(CA47,IN_Zugliste!$A$4:$D$2002,4,FALSE),"")</f>
        <v/>
      </c>
      <c r="CB146" t="str">
        <f>+IFERROR(VLOOKUP(CB47,IN_Zugliste!$A$4:$D$2002,4,FALSE),"")</f>
        <v/>
      </c>
      <c r="CC146" t="str">
        <f>+IFERROR(VLOOKUP(CC47,IN_Zugliste!$A$4:$D$2002,4,FALSE),"")</f>
        <v/>
      </c>
      <c r="CD146" t="str">
        <f>+IFERROR(VLOOKUP(CD47,IN_Zugliste!$A$4:$D$2002,4,FALSE),"")</f>
        <v/>
      </c>
      <c r="CE146" t="str">
        <f>+IFERROR(VLOOKUP(CE47,IN_Zugliste!$A$4:$D$2002,4,FALSE),"")</f>
        <v/>
      </c>
      <c r="CF146" t="str">
        <f>+IFERROR(VLOOKUP(CF47,IN_Zugliste!$A$4:$D$2002,4,FALSE),"")</f>
        <v/>
      </c>
      <c r="CG146" t="str">
        <f>+IFERROR(VLOOKUP(CG47,IN_Zugliste!$A$4:$D$2002,4,FALSE),"")</f>
        <v/>
      </c>
      <c r="CH146" t="str">
        <f>+IFERROR(VLOOKUP(CH47,IN_Zugliste!$A$4:$D$2002,4,FALSE),"")</f>
        <v/>
      </c>
      <c r="CI146" t="str">
        <f>+IFERROR(VLOOKUP(CI47,IN_Zugliste!$A$4:$D$2002,4,FALSE),"")</f>
        <v/>
      </c>
      <c r="CJ146" t="str">
        <f>+IFERROR(VLOOKUP(CJ47,IN_Zugliste!$A$4:$D$2002,4,FALSE),"")</f>
        <v/>
      </c>
      <c r="CK146" t="str">
        <f>+IFERROR(VLOOKUP(CK47,IN_Zugliste!$A$4:$D$2002,4,FALSE),"")</f>
        <v/>
      </c>
      <c r="CL146" t="str">
        <f>+IFERROR(VLOOKUP(CL47,IN_Zugliste!$A$4:$D$2002,4,FALSE),"")</f>
        <v/>
      </c>
      <c r="CM146" t="str">
        <f>+IFERROR(VLOOKUP(CM47,IN_Zugliste!$A$4:$D$2002,4,FALSE),"")</f>
        <v/>
      </c>
      <c r="CN146" t="str">
        <f>+IFERROR(VLOOKUP(CN47,IN_Zugliste!$A$4:$D$2002,4,FALSE),"")</f>
        <v/>
      </c>
      <c r="CO146" t="str">
        <f>+IFERROR(VLOOKUP(CO47,IN_Zugliste!$A$4:$D$2002,4,FALSE),"")</f>
        <v/>
      </c>
      <c r="CP146" t="str">
        <f>+IFERROR(VLOOKUP(CP47,IN_Zugliste!$A$4:$D$2002,4,FALSE),"")</f>
        <v/>
      </c>
      <c r="CQ146" t="str">
        <f>+IFERROR(VLOOKUP(CQ47,IN_Zugliste!$A$4:$D$2002,4,FALSE),"")</f>
        <v/>
      </c>
      <c r="CR146" t="str">
        <f>+IFERROR(VLOOKUP(CR47,IN_Zugliste!$A$4:$D$2002,4,FALSE),"")</f>
        <v/>
      </c>
      <c r="CS146" t="str">
        <f>+IFERROR(VLOOKUP(CS47,IN_Zugliste!$A$4:$D$2002,4,FALSE),"")</f>
        <v/>
      </c>
      <c r="CT146" t="str">
        <f>+IFERROR(VLOOKUP(CT47,IN_Zugliste!$A$4:$D$2002,4,FALSE),"")</f>
        <v/>
      </c>
      <c r="CU146" t="str">
        <f>+IFERROR(VLOOKUP(CU47,IN_Zugliste!$A$4:$D$2002,4,FALSE),"")</f>
        <v/>
      </c>
      <c r="CV146" t="str">
        <f>+IFERROR(VLOOKUP(CV47,IN_Zugliste!$A$4:$D$2002,4,FALSE),"")</f>
        <v/>
      </c>
      <c r="CW146" t="str">
        <f>+IFERROR(VLOOKUP(CW47,IN_Zugliste!$A$4:$D$2002,4,FALSE),"")</f>
        <v/>
      </c>
      <c r="CX146" t="str">
        <f>+IFERROR(VLOOKUP(CX47,IN_Zugliste!$A$4:$D$2002,4,FALSE),"")</f>
        <v/>
      </c>
      <c r="CY146" t="str">
        <f>+IFERROR(VLOOKUP(CY47,IN_Zugliste!$A$4:$D$2002,4,FALSE),"")</f>
        <v/>
      </c>
      <c r="CZ146" t="str">
        <f>+IFERROR(VLOOKUP(CZ47,IN_Zugliste!$A$4:$D$2002,4,FALSE),"")</f>
        <v/>
      </c>
      <c r="DA146" t="str">
        <f>+IFERROR(VLOOKUP(DA47,IN_Zugliste!$A$4:$D$2002,4,FALSE),"")</f>
        <v/>
      </c>
      <c r="DB146" t="str">
        <f>+IFERROR(VLOOKUP(DB47,IN_Zugliste!$A$4:$D$2002,4,FALSE),"")</f>
        <v/>
      </c>
      <c r="DC146" t="str">
        <f>+IFERROR(VLOOKUP(DC47,IN_Zugliste!$A$4:$D$2002,4,FALSE),"")</f>
        <v/>
      </c>
      <c r="DD146" t="str">
        <f>+IFERROR(VLOOKUP(DD47,IN_Zugliste!$A$4:$D$2002,4,FALSE),"")</f>
        <v/>
      </c>
      <c r="DE146" t="str">
        <f>+IFERROR(VLOOKUP(DE47,IN_Zugliste!$A$4:$D$2002,4,FALSE),"")</f>
        <v/>
      </c>
      <c r="DF146" t="str">
        <f>+IFERROR(VLOOKUP(DF47,IN_Zugliste!$A$4:$D$2002,4,FALSE),"")</f>
        <v/>
      </c>
      <c r="DG146" t="str">
        <f>+IFERROR(VLOOKUP(DG47,IN_Zugliste!$A$4:$D$2002,4,FALSE),"")</f>
        <v/>
      </c>
      <c r="DH146" t="str">
        <f>+IFERROR(VLOOKUP(DH47,IN_Zugliste!$A$4:$D$2002,4,FALSE),"")</f>
        <v/>
      </c>
      <c r="DI146" t="str">
        <f>+IFERROR(VLOOKUP(DI47,IN_Zugliste!$A$4:$D$2002,4,FALSE),"")</f>
        <v/>
      </c>
      <c r="DJ146" t="str">
        <f>+IFERROR(VLOOKUP(DJ47,IN_Zugliste!$A$4:$D$2002,4,FALSE),"")</f>
        <v/>
      </c>
      <c r="DK146" t="str">
        <f>+IFERROR(VLOOKUP(DK47,IN_Zugliste!$A$4:$D$2002,4,FALSE),"")</f>
        <v/>
      </c>
      <c r="DL146" t="str">
        <f>+IFERROR(VLOOKUP(DL47,IN_Zugliste!$A$4:$D$2002,4,FALSE),"")</f>
        <v/>
      </c>
      <c r="DM146" t="str">
        <f>+IFERROR(VLOOKUP(DM47,IN_Zugliste!$A$4:$D$2002,4,FALSE),"")</f>
        <v/>
      </c>
      <c r="DN146" t="str">
        <f>+IFERROR(VLOOKUP(DN47,IN_Zugliste!$A$4:$D$2002,4,FALSE),"")</f>
        <v/>
      </c>
      <c r="DO146" t="str">
        <f>+IFERROR(VLOOKUP(DO47,IN_Zugliste!$A$4:$D$2002,4,FALSE),"")</f>
        <v/>
      </c>
      <c r="DP146" t="str">
        <f>+IFERROR(VLOOKUP(DP47,IN_Zugliste!$A$4:$D$2002,4,FALSE),"")</f>
        <v/>
      </c>
      <c r="DQ146" t="str">
        <f>+IFERROR(VLOOKUP(DQ47,IN_Zugliste!$A$4:$D$2002,4,FALSE),"")</f>
        <v/>
      </c>
      <c r="DR146" t="str">
        <f>+IFERROR(VLOOKUP(DR47,IN_Zugliste!$A$4:$D$2002,4,FALSE),"")</f>
        <v/>
      </c>
      <c r="DS146" t="str">
        <f>+IFERROR(VLOOKUP(DS47,IN_Zugliste!$A$4:$D$2002,4,FALSE),"")</f>
        <v/>
      </c>
      <c r="DT146" t="str">
        <f>+IFERROR(VLOOKUP(DT47,IN_Zugliste!$A$4:$D$2002,4,FALSE),"")</f>
        <v/>
      </c>
      <c r="DU146" t="str">
        <f>+IFERROR(VLOOKUP(DU47,IN_Zugliste!$A$4:$D$2002,4,FALSE),"")</f>
        <v/>
      </c>
      <c r="DV146" t="str">
        <f>+IFERROR(VLOOKUP(DV47,IN_Zugliste!$A$4:$D$2002,4,FALSE),"")</f>
        <v/>
      </c>
      <c r="DW146" t="str">
        <f>+IFERROR(VLOOKUP(DW47,IN_Zugliste!$A$4:$D$2002,4,FALSE),"")</f>
        <v/>
      </c>
      <c r="DX146" t="str">
        <f>+IFERROR(VLOOKUP(DX47,IN_Zugliste!$A$4:$D$2002,4,FALSE),"")</f>
        <v/>
      </c>
      <c r="DY146" t="str">
        <f>+IFERROR(VLOOKUP(DY47,IN_Zugliste!$A$4:$D$2002,4,FALSE),"")</f>
        <v/>
      </c>
      <c r="DZ146" t="str">
        <f>+IFERROR(VLOOKUP(DZ47,IN_Zugliste!$A$4:$D$2002,4,FALSE),"")</f>
        <v/>
      </c>
      <c r="EA146" t="str">
        <f>+IFERROR(VLOOKUP(EA47,IN_Zugliste!$A$4:$D$2002,4,FALSE),"")</f>
        <v/>
      </c>
      <c r="EB146" t="str">
        <f>+IFERROR(VLOOKUP(EB47,IN_Zugliste!$A$4:$D$2002,4,FALSE),"")</f>
        <v/>
      </c>
      <c r="EC146" t="str">
        <f>+IFERROR(VLOOKUP(EC47,IN_Zugliste!$A$4:$D$2002,4,FALSE),"")</f>
        <v/>
      </c>
      <c r="ED146" t="str">
        <f>+IFERROR(VLOOKUP(ED47,IN_Zugliste!$A$4:$D$2002,4,FALSE),"")</f>
        <v/>
      </c>
      <c r="EE146" t="str">
        <f>+IFERROR(VLOOKUP(EE47,IN_Zugliste!$A$4:$D$2002,4,FALSE),"")</f>
        <v/>
      </c>
      <c r="EF146" t="str">
        <f>+IFERROR(VLOOKUP(EF47,IN_Zugliste!$A$4:$D$2002,4,FALSE),"")</f>
        <v/>
      </c>
      <c r="EG146" t="str">
        <f>+IFERROR(VLOOKUP(EG47,IN_Zugliste!$A$4:$D$2002,4,FALSE),"")</f>
        <v/>
      </c>
      <c r="EH146" t="str">
        <f>+IFERROR(VLOOKUP(EH47,IN_Zugliste!$A$4:$D$2002,4,FALSE),"")</f>
        <v/>
      </c>
      <c r="EI146" t="str">
        <f>+IFERROR(VLOOKUP(EI47,IN_Zugliste!$A$4:$D$2002,4,FALSE),"")</f>
        <v/>
      </c>
      <c r="EJ146" t="str">
        <f>+IFERROR(VLOOKUP(EJ47,IN_Zugliste!$A$4:$D$2002,4,FALSE),"")</f>
        <v/>
      </c>
      <c r="EK146" t="str">
        <f>+IFERROR(VLOOKUP(EK47,IN_Zugliste!$A$4:$D$2002,4,FALSE),"")</f>
        <v/>
      </c>
      <c r="EL146" t="str">
        <f>+IFERROR(VLOOKUP(EL47,IN_Zugliste!$A$4:$D$2002,4,FALSE),"")</f>
        <v/>
      </c>
      <c r="EM146" t="str">
        <f>+IFERROR(VLOOKUP(EM47,IN_Zugliste!$A$4:$D$2002,4,FALSE),"")</f>
        <v/>
      </c>
      <c r="EN146" t="str">
        <f>+IFERROR(VLOOKUP(EN47,IN_Zugliste!$A$4:$D$2002,4,FALSE),"")</f>
        <v/>
      </c>
      <c r="EO146" t="str">
        <f>+IFERROR(VLOOKUP(EO47,IN_Zugliste!$A$4:$D$2002,4,FALSE),"")</f>
        <v/>
      </c>
      <c r="EP146" t="str">
        <f>+IFERROR(VLOOKUP(EP47,IN_Zugliste!$A$4:$D$2002,4,FALSE),"")</f>
        <v/>
      </c>
      <c r="EQ146" t="str">
        <f>+IFERROR(VLOOKUP(EQ47,IN_Zugliste!$A$4:$D$2002,4,FALSE),"")</f>
        <v/>
      </c>
      <c r="ER146" t="str">
        <f>+IFERROR(VLOOKUP(ER47,IN_Zugliste!$A$4:$D$2002,4,FALSE),"")</f>
        <v/>
      </c>
      <c r="ES146" t="str">
        <f>+IFERROR(VLOOKUP(ES47,IN_Zugliste!$A$4:$D$2002,4,FALSE),"")</f>
        <v/>
      </c>
      <c r="ET146" t="str">
        <f>+IFERROR(VLOOKUP(ET47,IN_Zugliste!$A$4:$D$2002,4,FALSE),"")</f>
        <v/>
      </c>
      <c r="EU146" t="str">
        <f>+IFERROR(VLOOKUP(EU47,IN_Zugliste!$A$4:$D$2002,4,FALSE),"")</f>
        <v/>
      </c>
      <c r="EV146" t="str">
        <f>+IFERROR(VLOOKUP(EV47,IN_Zugliste!$A$4:$D$2002,4,FALSE),"")</f>
        <v/>
      </c>
      <c r="EW146" t="str">
        <f>+IFERROR(VLOOKUP(EW47,IN_Zugliste!$A$4:$D$2002,4,FALSE),"")</f>
        <v/>
      </c>
      <c r="EX146" t="str">
        <f>+IFERROR(VLOOKUP(EX47,IN_Zugliste!$A$4:$D$2002,4,FALSE),"")</f>
        <v/>
      </c>
      <c r="EY146" t="str">
        <f>+IFERROR(VLOOKUP(EY47,IN_Zugliste!$A$4:$D$2002,4,FALSE),"")</f>
        <v/>
      </c>
      <c r="EZ146" t="str">
        <f>+IFERROR(VLOOKUP(EZ47,IN_Zugliste!$A$4:$D$2002,4,FALSE),"")</f>
        <v/>
      </c>
      <c r="FA146" t="str">
        <f>+IFERROR(VLOOKUP(FA47,IN_Zugliste!$A$4:$D$2002,4,FALSE),"")</f>
        <v/>
      </c>
      <c r="FB146" t="str">
        <f>+IFERROR(VLOOKUP(FB47,IN_Zugliste!$A$4:$D$2002,4,FALSE),"")</f>
        <v/>
      </c>
      <c r="FC146" t="str">
        <f>+IFERROR(VLOOKUP(FC47,IN_Zugliste!$A$4:$D$2002,4,FALSE),"")</f>
        <v/>
      </c>
      <c r="FD146" t="str">
        <f>+IFERROR(VLOOKUP(FD47,IN_Zugliste!$A$4:$D$2002,4,FALSE),"")</f>
        <v/>
      </c>
      <c r="FE146" t="str">
        <f>+IFERROR(VLOOKUP(FE47,IN_Zugliste!$A$4:$D$2002,4,FALSE),"")</f>
        <v/>
      </c>
      <c r="FF146" t="str">
        <f>+IFERROR(VLOOKUP(FF47,IN_Zugliste!$A$4:$D$2002,4,FALSE),"")</f>
        <v/>
      </c>
      <c r="FG146" t="str">
        <f>+IFERROR(VLOOKUP(FG47,IN_Zugliste!$A$4:$D$2002,4,FALSE),"")</f>
        <v/>
      </c>
      <c r="FH146" t="str">
        <f>+IFERROR(VLOOKUP(FH47,IN_Zugliste!$A$4:$D$2002,4,FALSE),"")</f>
        <v/>
      </c>
      <c r="FI146" t="str">
        <f>+IFERROR(VLOOKUP(FI47,IN_Zugliste!$A$4:$D$2002,4,FALSE),"")</f>
        <v/>
      </c>
      <c r="FJ146" t="str">
        <f>+IFERROR(VLOOKUP(FJ47,IN_Zugliste!$A$4:$D$2002,4,FALSE),"")</f>
        <v/>
      </c>
      <c r="FK146" t="str">
        <f>+IFERROR(VLOOKUP(FK47,IN_Zugliste!$A$4:$D$2002,4,FALSE),"")</f>
        <v/>
      </c>
      <c r="FL146" t="str">
        <f>+IFERROR(VLOOKUP(FL47,IN_Zugliste!$A$4:$D$2002,4,FALSE),"")</f>
        <v/>
      </c>
      <c r="FM146" t="str">
        <f>+IFERROR(VLOOKUP(FM47,IN_Zugliste!$A$4:$C$602,4,FALSE),"")</f>
        <v/>
      </c>
      <c r="FN146" t="str">
        <f>+IFERROR(VLOOKUP(FN47,IN_Zugliste!$A$4:$C$602,4,FALSE),"")</f>
        <v/>
      </c>
      <c r="FO146" t="str">
        <f>+IFERROR(VLOOKUP(FO47,IN_Zugliste!$A$4:$C$602,4,FALSE),"")</f>
        <v/>
      </c>
      <c r="FP146" t="str">
        <f>+IFERROR(VLOOKUP(FP47,IN_Zugliste!$A$4:$C$602,4,FALSE),"")</f>
        <v/>
      </c>
      <c r="FQ146" t="str">
        <f>+IFERROR(VLOOKUP(FQ47,IN_Zugliste!$A$4:$C$602,4,FALSE),"")</f>
        <v/>
      </c>
      <c r="FR146" t="str">
        <f>+IFERROR(VLOOKUP(FR47,IN_Zugliste!$A$4:$C$602,4,FALSE),"")</f>
        <v/>
      </c>
      <c r="FS146" t="str">
        <f>+IFERROR(VLOOKUP(FS47,IN_Zugliste!$A$4:$C$602,4,FALSE),"")</f>
        <v/>
      </c>
      <c r="FT146" t="str">
        <f>+IFERROR(VLOOKUP(FT47,IN_Zugliste!$A$4:$C$602,4,FALSE),"")</f>
        <v/>
      </c>
      <c r="FU146" t="str">
        <f>+IFERROR(VLOOKUP(FU47,IN_Zugliste!$A$4:$C$602,4,FALSE),"")</f>
        <v/>
      </c>
      <c r="FV146" t="str">
        <f>+IFERROR(VLOOKUP(FV47,IN_Zugliste!$A$4:$C$602,4,FALSE),"")</f>
        <v/>
      </c>
      <c r="FW146" t="str">
        <f>+IFERROR(VLOOKUP(FW47,IN_Zugliste!$A$4:$C$602,4,FALSE),"")</f>
        <v/>
      </c>
      <c r="FX146" t="str">
        <f>+IFERROR(VLOOKUP(FX47,IN_Zugliste!$A$4:$C$602,4,FALSE),"")</f>
        <v/>
      </c>
      <c r="FY146" t="str">
        <f>+IFERROR(VLOOKUP(FY47,IN_Zugliste!$A$4:$C$602,4,FALSE),"")</f>
        <v/>
      </c>
      <c r="FZ146" t="str">
        <f>+IFERROR(VLOOKUP(FZ47,IN_Zugliste!$A$4:$C$602,4,FALSE),"")</f>
        <v/>
      </c>
      <c r="GA146" t="str">
        <f>+IFERROR(VLOOKUP(GA47,IN_Zugliste!$A$4:$C$602,4,FALSE),"")</f>
        <v/>
      </c>
      <c r="GB146" t="str">
        <f>+IFERROR(VLOOKUP(GB47,IN_Zugliste!$A$4:$C$602,4,FALSE),"")</f>
        <v/>
      </c>
      <c r="GC146" t="str">
        <f>+IFERROR(VLOOKUP(GC47,IN_Zugliste!$A$4:$C$602,4,FALSE),"")</f>
        <v/>
      </c>
      <c r="GD146" t="str">
        <f>+IFERROR(VLOOKUP(GD47,IN_Zugliste!$A$4:$C$602,4,FALSE),"")</f>
        <v/>
      </c>
      <c r="GE146" t="str">
        <f>+IFERROR(VLOOKUP(GE47,IN_Zugliste!$A$4:$C$602,4,FALSE),"")</f>
        <v/>
      </c>
      <c r="GF146" t="str">
        <f>+IFERROR(VLOOKUP(GF47,IN_Zugliste!$A$4:$C$602,4,FALSE),"")</f>
        <v/>
      </c>
      <c r="GG146" t="str">
        <f>+IFERROR(VLOOKUP(GG47,IN_Zugliste!$A$4:$C$602,4,FALSE),"")</f>
        <v/>
      </c>
      <c r="GH146" t="str">
        <f>+IFERROR(VLOOKUP(GH47,IN_Zugliste!$A$4:$C$602,4,FALSE),"")</f>
        <v/>
      </c>
      <c r="GI146" t="str">
        <f>+IFERROR(VLOOKUP(GI47,IN_Zugliste!$A$4:$C$602,4,FALSE),"")</f>
        <v/>
      </c>
      <c r="GJ146" t="str">
        <f>+IFERROR(VLOOKUP(GJ47,IN_Zugliste!$A$4:$C$602,4,FALSE),"")</f>
        <v/>
      </c>
      <c r="GK146" t="str">
        <f>+IFERROR(VLOOKUP(GK47,IN_Zugliste!$A$4:$C$602,4,FALSE),"")</f>
        <v/>
      </c>
      <c r="GL146" t="str">
        <f>+IFERROR(VLOOKUP(GL47,IN_Zugliste!$A$4:$C$602,4,FALSE),"")</f>
        <v/>
      </c>
      <c r="GM146" t="str">
        <f>+IFERROR(VLOOKUP(GM47,IN_Zugliste!$A$4:$C$602,4,FALSE),"")</f>
        <v/>
      </c>
      <c r="GN146" t="str">
        <f>+IFERROR(VLOOKUP(GN47,IN_Zugliste!$A$4:$C$602,4,FALSE),"")</f>
        <v/>
      </c>
      <c r="GO146" t="str">
        <f>+IFERROR(VLOOKUP(GO47,IN_Zugliste!$A$4:$C$602,4,FALSE),"")</f>
        <v/>
      </c>
      <c r="GP146" t="str">
        <f>+IFERROR(VLOOKUP(GP47,IN_Zugliste!$A$4:$C$602,4,FALSE),"")</f>
        <v/>
      </c>
      <c r="GQ146" t="str">
        <f>+IFERROR(VLOOKUP(GQ47,IN_Zugliste!$A$4:$C$602,4,FALSE),"")</f>
        <v/>
      </c>
      <c r="GR146" t="str">
        <f>+IFERROR(VLOOKUP(GR47,IN_Zugliste!$A$4:$C$602,4,FALSE),"")</f>
        <v/>
      </c>
      <c r="GS146" t="str">
        <f>+IFERROR(VLOOKUP(GS47,IN_Zugliste!$A$4:$C$602,4,FALSE),"")</f>
        <v/>
      </c>
      <c r="GT146" t="str">
        <f>+IFERROR(VLOOKUP(GT47,IN_Zugliste!$A$4:$C$602,4,FALSE),"")</f>
        <v/>
      </c>
      <c r="GU146" t="str">
        <f>+IFERROR(VLOOKUP(GU47,IN_Zugliste!$A$4:$C$602,4,FALSE),"")</f>
        <v/>
      </c>
      <c r="GV146" t="str">
        <f>+IFERROR(VLOOKUP(GV47,IN_Zugliste!$A$4:$C$602,4,FALSE),"")</f>
        <v/>
      </c>
      <c r="GW146" t="str">
        <f>+IFERROR(VLOOKUP(GW47,IN_Zugliste!$A$4:$C$602,4,FALSE),"")</f>
        <v/>
      </c>
      <c r="GX146" t="str">
        <f>+IFERROR(VLOOKUP(GX47,IN_Zugliste!$A$4:$C$602,4,FALSE),"")</f>
        <v/>
      </c>
      <c r="GY146" t="str">
        <f>+IFERROR(VLOOKUP(GY47,IN_Zugliste!$A$4:$C$602,4,FALSE),"")</f>
        <v/>
      </c>
      <c r="GZ146" t="str">
        <f>+IFERROR(VLOOKUP(GZ47,IN_Zugliste!$A$4:$C$602,4,FALSE),"")</f>
        <v/>
      </c>
      <c r="HA146" t="str">
        <f>+IFERROR(VLOOKUP(HA47,IN_Zugliste!$A$4:$C$602,4,FALSE),"")</f>
        <v/>
      </c>
      <c r="HB146" t="str">
        <f>+IFERROR(VLOOKUP(HB47,IN_Zugliste!$A$4:$C$602,4,FALSE),"")</f>
        <v/>
      </c>
      <c r="HC146" t="str">
        <f>+IFERROR(VLOOKUP(HC47,IN_Zugliste!$A$4:$C$602,4,FALSE),"")</f>
        <v/>
      </c>
      <c r="HD146" t="str">
        <f>+IFERROR(VLOOKUP(HD47,IN_Zugliste!$A$4:$C$602,4,FALSE),"")</f>
        <v/>
      </c>
      <c r="HE146" t="str">
        <f>+IFERROR(VLOOKUP(HE47,IN_Zugliste!$A$4:$C$602,4,FALSE),"")</f>
        <v/>
      </c>
      <c r="HF146" t="str">
        <f>+IFERROR(VLOOKUP(HF47,IN_Zugliste!$A$4:$C$602,4,FALSE),"")</f>
        <v/>
      </c>
      <c r="HG146" t="str">
        <f>+IFERROR(VLOOKUP(HG47,IN_Zugliste!$A$4:$C$602,4,FALSE),"")</f>
        <v/>
      </c>
      <c r="HH146" t="str">
        <f>+IFERROR(VLOOKUP(HH47,IN_Zugliste!$A$4:$C$602,4,FALSE),"")</f>
        <v/>
      </c>
    </row>
    <row r="147" spans="1:216" x14ac:dyDescent="0.2">
      <c r="A147" t="str">
        <f>+IFERROR(VLOOKUP(A48,IN_Zugliste!$A$4:$D$2002,4,FALSE),"")</f>
        <v/>
      </c>
      <c r="B147" t="str">
        <f>+IFERROR(VLOOKUP(B48,IN_Zugliste!$A$4:$D$2002,4,FALSE),"")</f>
        <v/>
      </c>
      <c r="C147" t="str">
        <f>+IFERROR(VLOOKUP(C48,IN_Zugliste!$A$4:$D$2002,4,FALSE),"")</f>
        <v/>
      </c>
      <c r="D147" t="str">
        <f>+IFERROR(VLOOKUP(D48,IN_Zugliste!$A$4:$D$2002,4,FALSE),"")</f>
        <v/>
      </c>
      <c r="E147" t="str">
        <f>+IFERROR(VLOOKUP(E48,IN_Zugliste!$A$4:$D$2002,4,FALSE),"")</f>
        <v/>
      </c>
      <c r="F147" t="str">
        <f>+IFERROR(VLOOKUP(F48,IN_Zugliste!$A$4:$D$2002,4,FALSE),"")</f>
        <v/>
      </c>
      <c r="G147" t="str">
        <f>+IFERROR(VLOOKUP(G48,IN_Zugliste!$A$4:$D$2002,4,FALSE),"")</f>
        <v/>
      </c>
      <c r="H147" t="str">
        <f>+IFERROR(VLOOKUP(H48,IN_Zugliste!$A$4:$D$2002,4,FALSE),"")</f>
        <v/>
      </c>
      <c r="I147" t="str">
        <f>+IFERROR(VLOOKUP(I48,IN_Zugliste!$A$4:$D$2002,4,FALSE),"")</f>
        <v/>
      </c>
      <c r="J147" t="str">
        <f>+IFERROR(VLOOKUP(J48,IN_Zugliste!$A$4:$D$2002,4,FALSE),"")</f>
        <v/>
      </c>
      <c r="K147" t="str">
        <f>+IFERROR(VLOOKUP(K48,IN_Zugliste!$A$4:$D$2002,4,FALSE),"")</f>
        <v/>
      </c>
      <c r="L147" t="str">
        <f>+IFERROR(VLOOKUP(L48,IN_Zugliste!$A$4:$D$2002,4,FALSE),"")</f>
        <v/>
      </c>
      <c r="M147" t="str">
        <f>+IFERROR(VLOOKUP(M48,IN_Zugliste!$A$4:$D$2002,4,FALSE),"")</f>
        <v/>
      </c>
      <c r="N147" t="str">
        <f>+IFERROR(VLOOKUP(N48,IN_Zugliste!$A$4:$D$2002,4,FALSE),"")</f>
        <v/>
      </c>
      <c r="O147" t="str">
        <f>+IFERROR(VLOOKUP(O48,IN_Zugliste!$A$4:$D$2002,4,FALSE),"")</f>
        <v/>
      </c>
      <c r="P147" t="str">
        <f>+IFERROR(VLOOKUP(P48,IN_Zugliste!$A$4:$D$2002,4,FALSE),"")</f>
        <v/>
      </c>
      <c r="Q147" t="str">
        <f>+IFERROR(VLOOKUP(Q48,IN_Zugliste!$A$4:$D$2002,4,FALSE),"")</f>
        <v/>
      </c>
      <c r="R147" t="str">
        <f>+IFERROR(VLOOKUP(R48,IN_Zugliste!$A$4:$D$2002,4,FALSE),"")</f>
        <v/>
      </c>
      <c r="S147" t="str">
        <f>+IFERROR(VLOOKUP(S48,IN_Zugliste!$A$4:$D$2002,4,FALSE),"")</f>
        <v/>
      </c>
      <c r="T147" t="str">
        <f>+IFERROR(VLOOKUP(T48,IN_Zugliste!$A$4:$D$2002,4,FALSE),"")</f>
        <v/>
      </c>
      <c r="U147" t="str">
        <f>+IFERROR(VLOOKUP(U48,IN_Zugliste!$A$4:$D$2002,4,FALSE),"")</f>
        <v/>
      </c>
      <c r="V147" t="str">
        <f>+IFERROR(VLOOKUP(V48,IN_Zugliste!$A$4:$D$2002,4,FALSE),"")</f>
        <v/>
      </c>
      <c r="W147" t="str">
        <f>+IFERROR(VLOOKUP(W48,IN_Zugliste!$A$4:$D$2002,4,FALSE),"")</f>
        <v/>
      </c>
      <c r="X147" t="str">
        <f>+IFERROR(VLOOKUP(X48,IN_Zugliste!$A$4:$D$2002,4,FALSE),"")</f>
        <v/>
      </c>
      <c r="Y147" t="str">
        <f>+IFERROR(VLOOKUP(Y48,IN_Zugliste!$A$4:$D$2002,4,FALSE),"")</f>
        <v/>
      </c>
      <c r="Z147" t="str">
        <f>+IFERROR(VLOOKUP(Z48,IN_Zugliste!$A$4:$D$2002,4,FALSE),"")</f>
        <v/>
      </c>
      <c r="AA147" t="str">
        <f>+IFERROR(VLOOKUP(AA48,IN_Zugliste!$A$4:$D$2002,4,FALSE),"")</f>
        <v/>
      </c>
      <c r="AB147" t="str">
        <f>+IFERROR(VLOOKUP(AB48,IN_Zugliste!$A$4:$D$2002,4,FALSE),"")</f>
        <v/>
      </c>
      <c r="AC147" t="str">
        <f>+IFERROR(VLOOKUP(AC48,IN_Zugliste!$A$4:$D$2002,4,FALSE),"")</f>
        <v/>
      </c>
      <c r="AD147" t="str">
        <f>+IFERROR(VLOOKUP(AD48,IN_Zugliste!$A$4:$D$2002,4,FALSE),"")</f>
        <v/>
      </c>
      <c r="AE147" t="str">
        <f>+IFERROR(VLOOKUP(AE48,IN_Zugliste!$A$4:$D$2002,4,FALSE),"")</f>
        <v/>
      </c>
      <c r="AF147" t="str">
        <f>+IFERROR(VLOOKUP(AF48,IN_Zugliste!$A$4:$D$2002,4,FALSE),"")</f>
        <v/>
      </c>
      <c r="AG147" t="str">
        <f>+IFERROR(VLOOKUP(AG48,IN_Zugliste!$A$4:$D$2002,4,FALSE),"")</f>
        <v/>
      </c>
      <c r="AH147" t="str">
        <f>+IFERROR(VLOOKUP(AH48,IN_Zugliste!$A$4:$D$2002,4,FALSE),"")</f>
        <v/>
      </c>
      <c r="AI147" t="str">
        <f>+IFERROR(VLOOKUP(AI48,IN_Zugliste!$A$4:$D$2002,4,FALSE),"")</f>
        <v/>
      </c>
      <c r="AJ147" t="str">
        <f>+IFERROR(VLOOKUP(AJ48,IN_Zugliste!$A$4:$D$2002,4,FALSE),"")</f>
        <v/>
      </c>
      <c r="AK147" t="str">
        <f>+IFERROR(VLOOKUP(AK48,IN_Zugliste!$A$4:$D$2002,4,FALSE),"")</f>
        <v/>
      </c>
      <c r="AL147" t="str">
        <f>+IFERROR(VLOOKUP(AL48,IN_Zugliste!$A$4:$D$2002,4,FALSE),"")</f>
        <v/>
      </c>
      <c r="AM147" t="str">
        <f>+IFERROR(VLOOKUP(AM48,IN_Zugliste!$A$4:$D$2002,4,FALSE),"")</f>
        <v/>
      </c>
      <c r="AN147" t="str">
        <f>+IFERROR(VLOOKUP(AN48,IN_Zugliste!$A$4:$D$2002,4,FALSE),"")</f>
        <v/>
      </c>
      <c r="AO147" t="str">
        <f>+IFERROR(VLOOKUP(AO48,IN_Zugliste!$A$4:$D$2002,4,FALSE),"")</f>
        <v/>
      </c>
      <c r="AP147" t="str">
        <f>+IFERROR(VLOOKUP(AP48,IN_Zugliste!$A$4:$D$2002,4,FALSE),"")</f>
        <v/>
      </c>
      <c r="AQ147" t="str">
        <f>+IFERROR(VLOOKUP(AQ48,IN_Zugliste!$A$4:$D$2002,4,FALSE),"")</f>
        <v/>
      </c>
      <c r="AR147" t="str">
        <f>+IFERROR(VLOOKUP(AR48,IN_Zugliste!$A$4:$D$2002,4,FALSE),"")</f>
        <v/>
      </c>
      <c r="AS147" t="str">
        <f>+IFERROR(VLOOKUP(AS48,IN_Zugliste!$A$4:$D$2002,4,FALSE),"")</f>
        <v/>
      </c>
      <c r="AT147" t="str">
        <f>+IFERROR(VLOOKUP(AT48,IN_Zugliste!$A$4:$D$2002,4,FALSE),"")</f>
        <v/>
      </c>
      <c r="AU147" t="str">
        <f>+IFERROR(VLOOKUP(AU48,IN_Zugliste!$A$4:$D$2002,4,FALSE),"")</f>
        <v/>
      </c>
      <c r="AV147" t="str">
        <f>+IFERROR(VLOOKUP(AV48,IN_Zugliste!$A$4:$D$2002,4,FALSE),"")</f>
        <v/>
      </c>
      <c r="AW147" t="str">
        <f>+IFERROR(VLOOKUP(AW48,IN_Zugliste!$A$4:$D$2002,4,FALSE),"")</f>
        <v/>
      </c>
      <c r="AX147" t="str">
        <f>+IFERROR(VLOOKUP(AX48,IN_Zugliste!$A$4:$D$2002,4,FALSE),"")</f>
        <v/>
      </c>
      <c r="AY147" t="str">
        <f>+IFERROR(VLOOKUP(AY48,IN_Zugliste!$A$4:$D$2002,4,FALSE),"")</f>
        <v/>
      </c>
      <c r="AZ147" t="str">
        <f>+IFERROR(VLOOKUP(AZ48,IN_Zugliste!$A$4:$D$2002,4,FALSE),"")</f>
        <v/>
      </c>
      <c r="BA147" t="str">
        <f>+IFERROR(VLOOKUP(BA48,IN_Zugliste!$A$4:$D$2002,4,FALSE),"")</f>
        <v/>
      </c>
      <c r="BB147" t="str">
        <f>+IFERROR(VLOOKUP(BB48,IN_Zugliste!$A$4:$D$2002,4,FALSE),"")</f>
        <v/>
      </c>
      <c r="BC147" t="str">
        <f>+IFERROR(VLOOKUP(BC48,IN_Zugliste!$A$4:$D$2002,4,FALSE),"")</f>
        <v/>
      </c>
      <c r="BD147" t="str">
        <f>+IFERROR(VLOOKUP(BD48,IN_Zugliste!$A$4:$D$2002,4,FALSE),"")</f>
        <v/>
      </c>
      <c r="BE147" t="str">
        <f>+IFERROR(VLOOKUP(BE48,IN_Zugliste!$A$4:$D$2002,4,FALSE),"")</f>
        <v/>
      </c>
      <c r="BF147" t="str">
        <f>+IFERROR(VLOOKUP(BF48,IN_Zugliste!$A$4:$D$2002,4,FALSE),"")</f>
        <v/>
      </c>
      <c r="BG147" t="str">
        <f>+IFERROR(VLOOKUP(BG48,IN_Zugliste!$A$4:$D$2002,4,FALSE),"")</f>
        <v/>
      </c>
      <c r="BH147" t="str">
        <f>+IFERROR(VLOOKUP(BH48,IN_Zugliste!$A$4:$D$2002,4,FALSE),"")</f>
        <v/>
      </c>
      <c r="BI147" t="str">
        <f>+IFERROR(VLOOKUP(BI48,IN_Zugliste!$A$4:$D$2002,4,FALSE),"")</f>
        <v/>
      </c>
      <c r="BJ147" t="str">
        <f>+IFERROR(VLOOKUP(BJ48,IN_Zugliste!$A$4:$D$2002,4,FALSE),"")</f>
        <v/>
      </c>
      <c r="BK147" t="str">
        <f>+IFERROR(VLOOKUP(BK48,IN_Zugliste!$A$4:$D$2002,4,FALSE),"")</f>
        <v/>
      </c>
      <c r="BL147" t="str">
        <f>+IFERROR(VLOOKUP(BL48,IN_Zugliste!$A$4:$D$2002,4,FALSE),"")</f>
        <v/>
      </c>
      <c r="BM147" t="str">
        <f>+IFERROR(VLOOKUP(BM48,IN_Zugliste!$A$4:$D$2002,4,FALSE),"")</f>
        <v/>
      </c>
      <c r="BN147" t="str">
        <f>+IFERROR(VLOOKUP(BN48,IN_Zugliste!$A$4:$D$2002,4,FALSE),"")</f>
        <v/>
      </c>
      <c r="BO147" t="str">
        <f>+IFERROR(VLOOKUP(BO48,IN_Zugliste!$A$4:$D$2002,4,FALSE),"")</f>
        <v/>
      </c>
      <c r="BP147" t="str">
        <f>+IFERROR(VLOOKUP(BP48,IN_Zugliste!$A$4:$D$2002,4,FALSE),"")</f>
        <v/>
      </c>
      <c r="BQ147" t="str">
        <f>+IFERROR(VLOOKUP(BQ48,IN_Zugliste!$A$4:$D$2002,4,FALSE),"")</f>
        <v/>
      </c>
      <c r="BR147" t="str">
        <f>+IFERROR(VLOOKUP(BR48,IN_Zugliste!$A$4:$D$2002,4,FALSE),"")</f>
        <v/>
      </c>
      <c r="BS147" t="str">
        <f>+IFERROR(VLOOKUP(BS48,IN_Zugliste!$A$4:$D$2002,4,FALSE),"")</f>
        <v/>
      </c>
      <c r="BT147" t="str">
        <f>+IFERROR(VLOOKUP(BT48,IN_Zugliste!$A$4:$D$2002,4,FALSE),"")</f>
        <v/>
      </c>
      <c r="BU147" t="str">
        <f>+IFERROR(VLOOKUP(BU48,IN_Zugliste!$A$4:$D$2002,4,FALSE),"")</f>
        <v/>
      </c>
      <c r="BV147" t="str">
        <f>+IFERROR(VLOOKUP(BV48,IN_Zugliste!$A$4:$D$2002,4,FALSE),"")</f>
        <v/>
      </c>
      <c r="BW147" t="str">
        <f>+IFERROR(VLOOKUP(BW48,IN_Zugliste!$A$4:$D$2002,4,FALSE),"")</f>
        <v/>
      </c>
      <c r="BX147" t="str">
        <f>+IFERROR(VLOOKUP(BX48,IN_Zugliste!$A$4:$D$2002,4,FALSE),"")</f>
        <v/>
      </c>
      <c r="BY147" t="str">
        <f>+IFERROR(VLOOKUP(BY48,IN_Zugliste!$A$4:$D$2002,4,FALSE),"")</f>
        <v/>
      </c>
      <c r="BZ147" t="str">
        <f>+IFERROR(VLOOKUP(BZ48,IN_Zugliste!$A$4:$D$2002,4,FALSE),"")</f>
        <v/>
      </c>
      <c r="CA147" t="str">
        <f>+IFERROR(VLOOKUP(CA48,IN_Zugliste!$A$4:$D$2002,4,FALSE),"")</f>
        <v/>
      </c>
      <c r="CB147" t="str">
        <f>+IFERROR(VLOOKUP(CB48,IN_Zugliste!$A$4:$D$2002,4,FALSE),"")</f>
        <v/>
      </c>
      <c r="CC147" t="str">
        <f>+IFERROR(VLOOKUP(CC48,IN_Zugliste!$A$4:$D$2002,4,FALSE),"")</f>
        <v/>
      </c>
      <c r="CD147" t="str">
        <f>+IFERROR(VLOOKUP(CD48,IN_Zugliste!$A$4:$D$2002,4,FALSE),"")</f>
        <v/>
      </c>
      <c r="CE147" t="str">
        <f>+IFERROR(VLOOKUP(CE48,IN_Zugliste!$A$4:$D$2002,4,FALSE),"")</f>
        <v/>
      </c>
      <c r="CF147" t="str">
        <f>+IFERROR(VLOOKUP(CF48,IN_Zugliste!$A$4:$D$2002,4,FALSE),"")</f>
        <v/>
      </c>
      <c r="CG147" t="str">
        <f>+IFERROR(VLOOKUP(CG48,IN_Zugliste!$A$4:$D$2002,4,FALSE),"")</f>
        <v/>
      </c>
      <c r="CH147" t="str">
        <f>+IFERROR(VLOOKUP(CH48,IN_Zugliste!$A$4:$D$2002,4,FALSE),"")</f>
        <v/>
      </c>
      <c r="CI147" t="str">
        <f>+IFERROR(VLOOKUP(CI48,IN_Zugliste!$A$4:$D$2002,4,FALSE),"")</f>
        <v/>
      </c>
      <c r="CJ147" t="str">
        <f>+IFERROR(VLOOKUP(CJ48,IN_Zugliste!$A$4:$D$2002,4,FALSE),"")</f>
        <v/>
      </c>
      <c r="CK147" t="str">
        <f>+IFERROR(VLOOKUP(CK48,IN_Zugliste!$A$4:$D$2002,4,FALSE),"")</f>
        <v/>
      </c>
      <c r="CL147" t="str">
        <f>+IFERROR(VLOOKUP(CL48,IN_Zugliste!$A$4:$D$2002,4,FALSE),"")</f>
        <v/>
      </c>
      <c r="CM147" t="str">
        <f>+IFERROR(VLOOKUP(CM48,IN_Zugliste!$A$4:$D$2002,4,FALSE),"")</f>
        <v/>
      </c>
      <c r="CN147" t="str">
        <f>+IFERROR(VLOOKUP(CN48,IN_Zugliste!$A$4:$D$2002,4,FALSE),"")</f>
        <v/>
      </c>
      <c r="CO147" t="str">
        <f>+IFERROR(VLOOKUP(CO48,IN_Zugliste!$A$4:$D$2002,4,FALSE),"")</f>
        <v/>
      </c>
      <c r="CP147" t="str">
        <f>+IFERROR(VLOOKUP(CP48,IN_Zugliste!$A$4:$D$2002,4,FALSE),"")</f>
        <v/>
      </c>
      <c r="CQ147" t="str">
        <f>+IFERROR(VLOOKUP(CQ48,IN_Zugliste!$A$4:$D$2002,4,FALSE),"")</f>
        <v/>
      </c>
      <c r="CR147" t="str">
        <f>+IFERROR(VLOOKUP(CR48,IN_Zugliste!$A$4:$D$2002,4,FALSE),"")</f>
        <v/>
      </c>
      <c r="CS147" t="str">
        <f>+IFERROR(VLOOKUP(CS48,IN_Zugliste!$A$4:$D$2002,4,FALSE),"")</f>
        <v/>
      </c>
      <c r="CT147" t="str">
        <f>+IFERROR(VLOOKUP(CT48,IN_Zugliste!$A$4:$D$2002,4,FALSE),"")</f>
        <v/>
      </c>
      <c r="CU147" t="str">
        <f>+IFERROR(VLOOKUP(CU48,IN_Zugliste!$A$4:$D$2002,4,FALSE),"")</f>
        <v/>
      </c>
      <c r="CV147" t="str">
        <f>+IFERROR(VLOOKUP(CV48,IN_Zugliste!$A$4:$D$2002,4,FALSE),"")</f>
        <v/>
      </c>
      <c r="CW147" t="str">
        <f>+IFERROR(VLOOKUP(CW48,IN_Zugliste!$A$4:$D$2002,4,FALSE),"")</f>
        <v/>
      </c>
      <c r="CX147" t="str">
        <f>+IFERROR(VLOOKUP(CX48,IN_Zugliste!$A$4:$D$2002,4,FALSE),"")</f>
        <v/>
      </c>
      <c r="CY147" t="str">
        <f>+IFERROR(VLOOKUP(CY48,IN_Zugliste!$A$4:$D$2002,4,FALSE),"")</f>
        <v/>
      </c>
      <c r="CZ147" t="str">
        <f>+IFERROR(VLOOKUP(CZ48,IN_Zugliste!$A$4:$D$2002,4,FALSE),"")</f>
        <v/>
      </c>
      <c r="DA147" t="str">
        <f>+IFERROR(VLOOKUP(DA48,IN_Zugliste!$A$4:$D$2002,4,FALSE),"")</f>
        <v/>
      </c>
      <c r="DB147" t="str">
        <f>+IFERROR(VLOOKUP(DB48,IN_Zugliste!$A$4:$D$2002,4,FALSE),"")</f>
        <v/>
      </c>
      <c r="DC147" t="str">
        <f>+IFERROR(VLOOKUP(DC48,IN_Zugliste!$A$4:$D$2002,4,FALSE),"")</f>
        <v/>
      </c>
      <c r="DD147" t="str">
        <f>+IFERROR(VLOOKUP(DD48,IN_Zugliste!$A$4:$D$2002,4,FALSE),"")</f>
        <v/>
      </c>
      <c r="DE147" t="str">
        <f>+IFERROR(VLOOKUP(DE48,IN_Zugliste!$A$4:$D$2002,4,FALSE),"")</f>
        <v/>
      </c>
      <c r="DF147" t="str">
        <f>+IFERROR(VLOOKUP(DF48,IN_Zugliste!$A$4:$D$2002,4,FALSE),"")</f>
        <v/>
      </c>
      <c r="DG147" t="str">
        <f>+IFERROR(VLOOKUP(DG48,IN_Zugliste!$A$4:$D$2002,4,FALSE),"")</f>
        <v/>
      </c>
      <c r="DH147" t="str">
        <f>+IFERROR(VLOOKUP(DH48,IN_Zugliste!$A$4:$D$2002,4,FALSE),"")</f>
        <v/>
      </c>
      <c r="DI147" t="str">
        <f>+IFERROR(VLOOKUP(DI48,IN_Zugliste!$A$4:$D$2002,4,FALSE),"")</f>
        <v/>
      </c>
      <c r="DJ147" t="str">
        <f>+IFERROR(VLOOKUP(DJ48,IN_Zugliste!$A$4:$D$2002,4,FALSE),"")</f>
        <v/>
      </c>
      <c r="DK147" t="str">
        <f>+IFERROR(VLOOKUP(DK48,IN_Zugliste!$A$4:$D$2002,4,FALSE),"")</f>
        <v/>
      </c>
      <c r="DL147" t="str">
        <f>+IFERROR(VLOOKUP(DL48,IN_Zugliste!$A$4:$D$2002,4,FALSE),"")</f>
        <v/>
      </c>
      <c r="DM147" t="str">
        <f>+IFERROR(VLOOKUP(DM48,IN_Zugliste!$A$4:$D$2002,4,FALSE),"")</f>
        <v/>
      </c>
      <c r="DN147" t="str">
        <f>+IFERROR(VLOOKUP(DN48,IN_Zugliste!$A$4:$D$2002,4,FALSE),"")</f>
        <v/>
      </c>
      <c r="DO147" t="str">
        <f>+IFERROR(VLOOKUP(DO48,IN_Zugliste!$A$4:$D$2002,4,FALSE),"")</f>
        <v/>
      </c>
      <c r="DP147" t="str">
        <f>+IFERROR(VLOOKUP(DP48,IN_Zugliste!$A$4:$D$2002,4,FALSE),"")</f>
        <v/>
      </c>
      <c r="DQ147" t="str">
        <f>+IFERROR(VLOOKUP(DQ48,IN_Zugliste!$A$4:$D$2002,4,FALSE),"")</f>
        <v/>
      </c>
      <c r="DR147" t="str">
        <f>+IFERROR(VLOOKUP(DR48,IN_Zugliste!$A$4:$D$2002,4,FALSE),"")</f>
        <v/>
      </c>
      <c r="DS147" t="str">
        <f>+IFERROR(VLOOKUP(DS48,IN_Zugliste!$A$4:$D$2002,4,FALSE),"")</f>
        <v/>
      </c>
      <c r="DT147" t="str">
        <f>+IFERROR(VLOOKUP(DT48,IN_Zugliste!$A$4:$D$2002,4,FALSE),"")</f>
        <v/>
      </c>
      <c r="DU147" t="str">
        <f>+IFERROR(VLOOKUP(DU48,IN_Zugliste!$A$4:$D$2002,4,FALSE),"")</f>
        <v/>
      </c>
      <c r="DV147" t="str">
        <f>+IFERROR(VLOOKUP(DV48,IN_Zugliste!$A$4:$D$2002,4,FALSE),"")</f>
        <v/>
      </c>
      <c r="DW147" t="str">
        <f>+IFERROR(VLOOKUP(DW48,IN_Zugliste!$A$4:$D$2002,4,FALSE),"")</f>
        <v/>
      </c>
      <c r="DX147" t="str">
        <f>+IFERROR(VLOOKUP(DX48,IN_Zugliste!$A$4:$D$2002,4,FALSE),"")</f>
        <v/>
      </c>
      <c r="DY147" t="str">
        <f>+IFERROR(VLOOKUP(DY48,IN_Zugliste!$A$4:$D$2002,4,FALSE),"")</f>
        <v/>
      </c>
      <c r="DZ147" t="str">
        <f>+IFERROR(VLOOKUP(DZ48,IN_Zugliste!$A$4:$D$2002,4,FALSE),"")</f>
        <v/>
      </c>
      <c r="EA147" t="str">
        <f>+IFERROR(VLOOKUP(EA48,IN_Zugliste!$A$4:$D$2002,4,FALSE),"")</f>
        <v/>
      </c>
      <c r="EB147" t="str">
        <f>+IFERROR(VLOOKUP(EB48,IN_Zugliste!$A$4:$D$2002,4,FALSE),"")</f>
        <v/>
      </c>
      <c r="EC147" t="str">
        <f>+IFERROR(VLOOKUP(EC48,IN_Zugliste!$A$4:$D$2002,4,FALSE),"")</f>
        <v/>
      </c>
      <c r="ED147" t="str">
        <f>+IFERROR(VLOOKUP(ED48,IN_Zugliste!$A$4:$D$2002,4,FALSE),"")</f>
        <v/>
      </c>
      <c r="EE147" t="str">
        <f>+IFERROR(VLOOKUP(EE48,IN_Zugliste!$A$4:$D$2002,4,FALSE),"")</f>
        <v/>
      </c>
      <c r="EF147" t="str">
        <f>+IFERROR(VLOOKUP(EF48,IN_Zugliste!$A$4:$D$2002,4,FALSE),"")</f>
        <v/>
      </c>
      <c r="EG147" t="str">
        <f>+IFERROR(VLOOKUP(EG48,IN_Zugliste!$A$4:$D$2002,4,FALSE),"")</f>
        <v/>
      </c>
      <c r="EH147" t="str">
        <f>+IFERROR(VLOOKUP(EH48,IN_Zugliste!$A$4:$D$2002,4,FALSE),"")</f>
        <v/>
      </c>
      <c r="EI147" t="str">
        <f>+IFERROR(VLOOKUP(EI48,IN_Zugliste!$A$4:$D$2002,4,FALSE),"")</f>
        <v/>
      </c>
      <c r="EJ147" t="str">
        <f>+IFERROR(VLOOKUP(EJ48,IN_Zugliste!$A$4:$D$2002,4,FALSE),"")</f>
        <v/>
      </c>
      <c r="EK147" t="str">
        <f>+IFERROR(VLOOKUP(EK48,IN_Zugliste!$A$4:$D$2002,4,FALSE),"")</f>
        <v/>
      </c>
      <c r="EL147" t="str">
        <f>+IFERROR(VLOOKUP(EL48,IN_Zugliste!$A$4:$D$2002,4,FALSE),"")</f>
        <v/>
      </c>
      <c r="EM147" t="str">
        <f>+IFERROR(VLOOKUP(EM48,IN_Zugliste!$A$4:$D$2002,4,FALSE),"")</f>
        <v/>
      </c>
      <c r="EN147" t="str">
        <f>+IFERROR(VLOOKUP(EN48,IN_Zugliste!$A$4:$D$2002,4,FALSE),"")</f>
        <v/>
      </c>
      <c r="EO147" t="str">
        <f>+IFERROR(VLOOKUP(EO48,IN_Zugliste!$A$4:$D$2002,4,FALSE),"")</f>
        <v/>
      </c>
      <c r="EP147" t="str">
        <f>+IFERROR(VLOOKUP(EP48,IN_Zugliste!$A$4:$D$2002,4,FALSE),"")</f>
        <v/>
      </c>
      <c r="EQ147" t="str">
        <f>+IFERROR(VLOOKUP(EQ48,IN_Zugliste!$A$4:$D$2002,4,FALSE),"")</f>
        <v/>
      </c>
      <c r="ER147" t="str">
        <f>+IFERROR(VLOOKUP(ER48,IN_Zugliste!$A$4:$D$2002,4,FALSE),"")</f>
        <v/>
      </c>
      <c r="ES147" t="str">
        <f>+IFERROR(VLOOKUP(ES48,IN_Zugliste!$A$4:$D$2002,4,FALSE),"")</f>
        <v/>
      </c>
      <c r="ET147" t="str">
        <f>+IFERROR(VLOOKUP(ET48,IN_Zugliste!$A$4:$D$2002,4,FALSE),"")</f>
        <v/>
      </c>
      <c r="EU147" t="str">
        <f>+IFERROR(VLOOKUP(EU48,IN_Zugliste!$A$4:$D$2002,4,FALSE),"")</f>
        <v/>
      </c>
      <c r="EV147" t="str">
        <f>+IFERROR(VLOOKUP(EV48,IN_Zugliste!$A$4:$D$2002,4,FALSE),"")</f>
        <v/>
      </c>
      <c r="EW147" t="str">
        <f>+IFERROR(VLOOKUP(EW48,IN_Zugliste!$A$4:$D$2002,4,FALSE),"")</f>
        <v/>
      </c>
      <c r="EX147" t="str">
        <f>+IFERROR(VLOOKUP(EX48,IN_Zugliste!$A$4:$D$2002,4,FALSE),"")</f>
        <v/>
      </c>
      <c r="EY147" t="str">
        <f>+IFERROR(VLOOKUP(EY48,IN_Zugliste!$A$4:$D$2002,4,FALSE),"")</f>
        <v/>
      </c>
      <c r="EZ147" t="str">
        <f>+IFERROR(VLOOKUP(EZ48,IN_Zugliste!$A$4:$D$2002,4,FALSE),"")</f>
        <v/>
      </c>
      <c r="FA147" t="str">
        <f>+IFERROR(VLOOKUP(FA48,IN_Zugliste!$A$4:$D$2002,4,FALSE),"")</f>
        <v/>
      </c>
      <c r="FB147" t="str">
        <f>+IFERROR(VLOOKUP(FB48,IN_Zugliste!$A$4:$D$2002,4,FALSE),"")</f>
        <v/>
      </c>
      <c r="FC147" t="str">
        <f>+IFERROR(VLOOKUP(FC48,IN_Zugliste!$A$4:$D$2002,4,FALSE),"")</f>
        <v/>
      </c>
      <c r="FD147" t="str">
        <f>+IFERROR(VLOOKUP(FD48,IN_Zugliste!$A$4:$D$2002,4,FALSE),"")</f>
        <v/>
      </c>
      <c r="FE147" t="str">
        <f>+IFERROR(VLOOKUP(FE48,IN_Zugliste!$A$4:$D$2002,4,FALSE),"")</f>
        <v/>
      </c>
      <c r="FF147" t="str">
        <f>+IFERROR(VLOOKUP(FF48,IN_Zugliste!$A$4:$D$2002,4,FALSE),"")</f>
        <v/>
      </c>
      <c r="FG147" t="str">
        <f>+IFERROR(VLOOKUP(FG48,IN_Zugliste!$A$4:$D$2002,4,FALSE),"")</f>
        <v/>
      </c>
      <c r="FH147" t="str">
        <f>+IFERROR(VLOOKUP(FH48,IN_Zugliste!$A$4:$D$2002,4,FALSE),"")</f>
        <v/>
      </c>
      <c r="FI147" t="str">
        <f>+IFERROR(VLOOKUP(FI48,IN_Zugliste!$A$4:$D$2002,4,FALSE),"")</f>
        <v/>
      </c>
      <c r="FJ147" t="str">
        <f>+IFERROR(VLOOKUP(FJ48,IN_Zugliste!$A$4:$D$2002,4,FALSE),"")</f>
        <v/>
      </c>
      <c r="FK147" t="str">
        <f>+IFERROR(VLOOKUP(FK48,IN_Zugliste!$A$4:$D$2002,4,FALSE),"")</f>
        <v/>
      </c>
      <c r="FL147" t="str">
        <f>+IFERROR(VLOOKUP(FL48,IN_Zugliste!$A$4:$D$2002,4,FALSE),"")</f>
        <v/>
      </c>
      <c r="FM147" t="str">
        <f>+IFERROR(VLOOKUP(FM48,IN_Zugliste!$A$4:$C$602,4,FALSE),"")</f>
        <v/>
      </c>
      <c r="FN147" t="str">
        <f>+IFERROR(VLOOKUP(FN48,IN_Zugliste!$A$4:$C$602,4,FALSE),"")</f>
        <v/>
      </c>
      <c r="FO147" t="str">
        <f>+IFERROR(VLOOKUP(FO48,IN_Zugliste!$A$4:$C$602,4,FALSE),"")</f>
        <v/>
      </c>
      <c r="FP147" t="str">
        <f>+IFERROR(VLOOKUP(FP48,IN_Zugliste!$A$4:$C$602,4,FALSE),"")</f>
        <v/>
      </c>
      <c r="FQ147" t="str">
        <f>+IFERROR(VLOOKUP(FQ48,IN_Zugliste!$A$4:$C$602,4,FALSE),"")</f>
        <v/>
      </c>
      <c r="FR147" t="str">
        <f>+IFERROR(VLOOKUP(FR48,IN_Zugliste!$A$4:$C$602,4,FALSE),"")</f>
        <v/>
      </c>
      <c r="FS147" t="str">
        <f>+IFERROR(VLOOKUP(FS48,IN_Zugliste!$A$4:$C$602,4,FALSE),"")</f>
        <v/>
      </c>
      <c r="FT147" t="str">
        <f>+IFERROR(VLOOKUP(FT48,IN_Zugliste!$A$4:$C$602,4,FALSE),"")</f>
        <v/>
      </c>
      <c r="FU147" t="str">
        <f>+IFERROR(VLOOKUP(FU48,IN_Zugliste!$A$4:$C$602,4,FALSE),"")</f>
        <v/>
      </c>
      <c r="FV147" t="str">
        <f>+IFERROR(VLOOKUP(FV48,IN_Zugliste!$A$4:$C$602,4,FALSE),"")</f>
        <v/>
      </c>
      <c r="FW147" t="str">
        <f>+IFERROR(VLOOKUP(FW48,IN_Zugliste!$A$4:$C$602,4,FALSE),"")</f>
        <v/>
      </c>
      <c r="FX147" t="str">
        <f>+IFERROR(VLOOKUP(FX48,IN_Zugliste!$A$4:$C$602,4,FALSE),"")</f>
        <v/>
      </c>
      <c r="FY147" t="str">
        <f>+IFERROR(VLOOKUP(FY48,IN_Zugliste!$A$4:$C$602,4,FALSE),"")</f>
        <v/>
      </c>
      <c r="FZ147" t="str">
        <f>+IFERROR(VLOOKUP(FZ48,IN_Zugliste!$A$4:$C$602,4,FALSE),"")</f>
        <v/>
      </c>
      <c r="GA147" t="str">
        <f>+IFERROR(VLOOKUP(GA48,IN_Zugliste!$A$4:$C$602,4,FALSE),"")</f>
        <v/>
      </c>
      <c r="GB147" t="str">
        <f>+IFERROR(VLOOKUP(GB48,IN_Zugliste!$A$4:$C$602,4,FALSE),"")</f>
        <v/>
      </c>
      <c r="GC147" t="str">
        <f>+IFERROR(VLOOKUP(GC48,IN_Zugliste!$A$4:$C$602,4,FALSE),"")</f>
        <v/>
      </c>
      <c r="GD147" t="str">
        <f>+IFERROR(VLOOKUP(GD48,IN_Zugliste!$A$4:$C$602,4,FALSE),"")</f>
        <v/>
      </c>
      <c r="GE147" t="str">
        <f>+IFERROR(VLOOKUP(GE48,IN_Zugliste!$A$4:$C$602,4,FALSE),"")</f>
        <v/>
      </c>
      <c r="GF147" t="str">
        <f>+IFERROR(VLOOKUP(GF48,IN_Zugliste!$A$4:$C$602,4,FALSE),"")</f>
        <v/>
      </c>
      <c r="GG147" t="str">
        <f>+IFERROR(VLOOKUP(GG48,IN_Zugliste!$A$4:$C$602,4,FALSE),"")</f>
        <v/>
      </c>
      <c r="GH147" t="str">
        <f>+IFERROR(VLOOKUP(GH48,IN_Zugliste!$A$4:$C$602,4,FALSE),"")</f>
        <v/>
      </c>
      <c r="GI147" t="str">
        <f>+IFERROR(VLOOKUP(GI48,IN_Zugliste!$A$4:$C$602,4,FALSE),"")</f>
        <v/>
      </c>
      <c r="GJ147" t="str">
        <f>+IFERROR(VLOOKUP(GJ48,IN_Zugliste!$A$4:$C$602,4,FALSE),"")</f>
        <v/>
      </c>
      <c r="GK147" t="str">
        <f>+IFERROR(VLOOKUP(GK48,IN_Zugliste!$A$4:$C$602,4,FALSE),"")</f>
        <v/>
      </c>
      <c r="GL147" t="str">
        <f>+IFERROR(VLOOKUP(GL48,IN_Zugliste!$A$4:$C$602,4,FALSE),"")</f>
        <v/>
      </c>
      <c r="GM147" t="str">
        <f>+IFERROR(VLOOKUP(GM48,IN_Zugliste!$A$4:$C$602,4,FALSE),"")</f>
        <v/>
      </c>
      <c r="GN147" t="str">
        <f>+IFERROR(VLOOKUP(GN48,IN_Zugliste!$A$4:$C$602,4,FALSE),"")</f>
        <v/>
      </c>
      <c r="GO147" t="str">
        <f>+IFERROR(VLOOKUP(GO48,IN_Zugliste!$A$4:$C$602,4,FALSE),"")</f>
        <v/>
      </c>
      <c r="GP147" t="str">
        <f>+IFERROR(VLOOKUP(GP48,IN_Zugliste!$A$4:$C$602,4,FALSE),"")</f>
        <v/>
      </c>
      <c r="GQ147" t="str">
        <f>+IFERROR(VLOOKUP(GQ48,IN_Zugliste!$A$4:$C$602,4,FALSE),"")</f>
        <v/>
      </c>
      <c r="GR147" t="str">
        <f>+IFERROR(VLOOKUP(GR48,IN_Zugliste!$A$4:$C$602,4,FALSE),"")</f>
        <v/>
      </c>
      <c r="GS147" t="str">
        <f>+IFERROR(VLOOKUP(GS48,IN_Zugliste!$A$4:$C$602,4,FALSE),"")</f>
        <v/>
      </c>
      <c r="GT147" t="str">
        <f>+IFERROR(VLOOKUP(GT48,IN_Zugliste!$A$4:$C$602,4,FALSE),"")</f>
        <v/>
      </c>
      <c r="GU147" t="str">
        <f>+IFERROR(VLOOKUP(GU48,IN_Zugliste!$A$4:$C$602,4,FALSE),"")</f>
        <v/>
      </c>
      <c r="GV147" t="str">
        <f>+IFERROR(VLOOKUP(GV48,IN_Zugliste!$A$4:$C$602,4,FALSE),"")</f>
        <v/>
      </c>
      <c r="GW147" t="str">
        <f>+IFERROR(VLOOKUP(GW48,IN_Zugliste!$A$4:$C$602,4,FALSE),"")</f>
        <v/>
      </c>
      <c r="GX147" t="str">
        <f>+IFERROR(VLOOKUP(GX48,IN_Zugliste!$A$4:$C$602,4,FALSE),"")</f>
        <v/>
      </c>
      <c r="GY147" t="str">
        <f>+IFERROR(VLOOKUP(GY48,IN_Zugliste!$A$4:$C$602,4,FALSE),"")</f>
        <v/>
      </c>
      <c r="GZ147" t="str">
        <f>+IFERROR(VLOOKUP(GZ48,IN_Zugliste!$A$4:$C$602,4,FALSE),"")</f>
        <v/>
      </c>
      <c r="HA147" t="str">
        <f>+IFERROR(VLOOKUP(HA48,IN_Zugliste!$A$4:$C$602,4,FALSE),"")</f>
        <v/>
      </c>
      <c r="HB147" t="str">
        <f>+IFERROR(VLOOKUP(HB48,IN_Zugliste!$A$4:$C$602,4,FALSE),"")</f>
        <v/>
      </c>
      <c r="HC147" t="str">
        <f>+IFERROR(VLOOKUP(HC48,IN_Zugliste!$A$4:$C$602,4,FALSE),"")</f>
        <v/>
      </c>
      <c r="HD147" t="str">
        <f>+IFERROR(VLOOKUP(HD48,IN_Zugliste!$A$4:$C$602,4,FALSE),"")</f>
        <v/>
      </c>
      <c r="HE147" t="str">
        <f>+IFERROR(VLOOKUP(HE48,IN_Zugliste!$A$4:$C$602,4,FALSE),"")</f>
        <v/>
      </c>
      <c r="HF147" t="str">
        <f>+IFERROR(VLOOKUP(HF48,IN_Zugliste!$A$4:$C$602,4,FALSE),"")</f>
        <v/>
      </c>
      <c r="HG147" t="str">
        <f>+IFERROR(VLOOKUP(HG48,IN_Zugliste!$A$4:$C$602,4,FALSE),"")</f>
        <v/>
      </c>
      <c r="HH147" t="str">
        <f>+IFERROR(VLOOKUP(HH48,IN_Zugliste!$A$4:$C$602,4,FALSE),"")</f>
        <v/>
      </c>
    </row>
    <row r="148" spans="1:216" x14ac:dyDescent="0.2">
      <c r="A148" t="str">
        <f>+IFERROR(VLOOKUP(A49,IN_Zugliste!$A$4:$D$2002,4,FALSE),"")</f>
        <v/>
      </c>
      <c r="B148" t="str">
        <f>+IFERROR(VLOOKUP(B49,IN_Zugliste!$A$4:$D$2002,4,FALSE),"")</f>
        <v/>
      </c>
      <c r="C148" t="str">
        <f>+IFERROR(VLOOKUP(C49,IN_Zugliste!$A$4:$D$2002,4,FALSE),"")</f>
        <v/>
      </c>
      <c r="D148" t="str">
        <f>+IFERROR(VLOOKUP(D49,IN_Zugliste!$A$4:$D$2002,4,FALSE),"")</f>
        <v/>
      </c>
      <c r="E148" t="str">
        <f>+IFERROR(VLOOKUP(E49,IN_Zugliste!$A$4:$D$2002,4,FALSE),"")</f>
        <v/>
      </c>
      <c r="F148" t="str">
        <f>+IFERROR(VLOOKUP(F49,IN_Zugliste!$A$4:$D$2002,4,FALSE),"")</f>
        <v/>
      </c>
      <c r="G148" t="str">
        <f>+IFERROR(VLOOKUP(G49,IN_Zugliste!$A$4:$D$2002,4,FALSE),"")</f>
        <v/>
      </c>
      <c r="H148" t="str">
        <f>+IFERROR(VLOOKUP(H49,IN_Zugliste!$A$4:$D$2002,4,FALSE),"")</f>
        <v/>
      </c>
      <c r="I148" t="str">
        <f>+IFERROR(VLOOKUP(I49,IN_Zugliste!$A$4:$D$2002,4,FALSE),"")</f>
        <v/>
      </c>
      <c r="J148" t="str">
        <f>+IFERROR(VLOOKUP(J49,IN_Zugliste!$A$4:$D$2002,4,FALSE),"")</f>
        <v/>
      </c>
      <c r="K148" t="str">
        <f>+IFERROR(VLOOKUP(K49,IN_Zugliste!$A$4:$D$2002,4,FALSE),"")</f>
        <v/>
      </c>
      <c r="L148" t="str">
        <f>+IFERROR(VLOOKUP(L49,IN_Zugliste!$A$4:$D$2002,4,FALSE),"")</f>
        <v/>
      </c>
      <c r="M148" t="str">
        <f>+IFERROR(VLOOKUP(M49,IN_Zugliste!$A$4:$D$2002,4,FALSE),"")</f>
        <v/>
      </c>
      <c r="N148" t="str">
        <f>+IFERROR(VLOOKUP(N49,IN_Zugliste!$A$4:$D$2002,4,FALSE),"")</f>
        <v/>
      </c>
      <c r="O148" t="str">
        <f>+IFERROR(VLOOKUP(O49,IN_Zugliste!$A$4:$D$2002,4,FALSE),"")</f>
        <v/>
      </c>
      <c r="P148" t="str">
        <f>+IFERROR(VLOOKUP(P49,IN_Zugliste!$A$4:$D$2002,4,FALSE),"")</f>
        <v/>
      </c>
      <c r="Q148" t="str">
        <f>+IFERROR(VLOOKUP(Q49,IN_Zugliste!$A$4:$D$2002,4,FALSE),"")</f>
        <v/>
      </c>
      <c r="R148" t="str">
        <f>+IFERROR(VLOOKUP(R49,IN_Zugliste!$A$4:$D$2002,4,FALSE),"")</f>
        <v/>
      </c>
      <c r="S148" t="str">
        <f>+IFERROR(VLOOKUP(S49,IN_Zugliste!$A$4:$D$2002,4,FALSE),"")</f>
        <v/>
      </c>
      <c r="T148" t="str">
        <f>+IFERROR(VLOOKUP(T49,IN_Zugliste!$A$4:$D$2002,4,FALSE),"")</f>
        <v/>
      </c>
      <c r="U148" t="str">
        <f>+IFERROR(VLOOKUP(U49,IN_Zugliste!$A$4:$D$2002,4,FALSE),"")</f>
        <v/>
      </c>
      <c r="V148" t="str">
        <f>+IFERROR(VLOOKUP(V49,IN_Zugliste!$A$4:$D$2002,4,FALSE),"")</f>
        <v/>
      </c>
      <c r="W148" t="str">
        <f>+IFERROR(VLOOKUP(W49,IN_Zugliste!$A$4:$D$2002,4,FALSE),"")</f>
        <v/>
      </c>
      <c r="X148" t="str">
        <f>+IFERROR(VLOOKUP(X49,IN_Zugliste!$A$4:$D$2002,4,FALSE),"")</f>
        <v/>
      </c>
      <c r="Y148" t="str">
        <f>+IFERROR(VLOOKUP(Y49,IN_Zugliste!$A$4:$D$2002,4,FALSE),"")</f>
        <v/>
      </c>
      <c r="Z148" t="str">
        <f>+IFERROR(VLOOKUP(Z49,IN_Zugliste!$A$4:$D$2002,4,FALSE),"")</f>
        <v/>
      </c>
      <c r="AA148" t="str">
        <f>+IFERROR(VLOOKUP(AA49,IN_Zugliste!$A$4:$D$2002,4,FALSE),"")</f>
        <v/>
      </c>
      <c r="AB148" t="str">
        <f>+IFERROR(VLOOKUP(AB49,IN_Zugliste!$A$4:$D$2002,4,FALSE),"")</f>
        <v/>
      </c>
      <c r="AC148" t="str">
        <f>+IFERROR(VLOOKUP(AC49,IN_Zugliste!$A$4:$D$2002,4,FALSE),"")</f>
        <v/>
      </c>
      <c r="AD148" t="str">
        <f>+IFERROR(VLOOKUP(AD49,IN_Zugliste!$A$4:$D$2002,4,FALSE),"")</f>
        <v/>
      </c>
      <c r="AE148" t="str">
        <f>+IFERROR(VLOOKUP(AE49,IN_Zugliste!$A$4:$D$2002,4,FALSE),"")</f>
        <v/>
      </c>
      <c r="AF148" t="str">
        <f>+IFERROR(VLOOKUP(AF49,IN_Zugliste!$A$4:$D$2002,4,FALSE),"")</f>
        <v/>
      </c>
      <c r="AG148" t="str">
        <f>+IFERROR(VLOOKUP(AG49,IN_Zugliste!$A$4:$D$2002,4,FALSE),"")</f>
        <v/>
      </c>
      <c r="AH148" t="str">
        <f>+IFERROR(VLOOKUP(AH49,IN_Zugliste!$A$4:$D$2002,4,FALSE),"")</f>
        <v/>
      </c>
      <c r="AI148" t="str">
        <f>+IFERROR(VLOOKUP(AI49,IN_Zugliste!$A$4:$D$2002,4,FALSE),"")</f>
        <v/>
      </c>
      <c r="AJ148" t="str">
        <f>+IFERROR(VLOOKUP(AJ49,IN_Zugliste!$A$4:$D$2002,4,FALSE),"")</f>
        <v/>
      </c>
      <c r="AK148" t="str">
        <f>+IFERROR(VLOOKUP(AK49,IN_Zugliste!$A$4:$D$2002,4,FALSE),"")</f>
        <v/>
      </c>
      <c r="AL148" t="str">
        <f>+IFERROR(VLOOKUP(AL49,IN_Zugliste!$A$4:$D$2002,4,FALSE),"")</f>
        <v/>
      </c>
      <c r="AM148" t="str">
        <f>+IFERROR(VLOOKUP(AM49,IN_Zugliste!$A$4:$D$2002,4,FALSE),"")</f>
        <v/>
      </c>
      <c r="AN148" t="str">
        <f>+IFERROR(VLOOKUP(AN49,IN_Zugliste!$A$4:$D$2002,4,FALSE),"")</f>
        <v/>
      </c>
      <c r="AO148" t="str">
        <f>+IFERROR(VLOOKUP(AO49,IN_Zugliste!$A$4:$D$2002,4,FALSE),"")</f>
        <v/>
      </c>
      <c r="AP148" t="str">
        <f>+IFERROR(VLOOKUP(AP49,IN_Zugliste!$A$4:$D$2002,4,FALSE),"")</f>
        <v/>
      </c>
      <c r="AQ148" t="str">
        <f>+IFERROR(VLOOKUP(AQ49,IN_Zugliste!$A$4:$D$2002,4,FALSE),"")</f>
        <v/>
      </c>
      <c r="AR148" t="str">
        <f>+IFERROR(VLOOKUP(AR49,IN_Zugliste!$A$4:$D$2002,4,FALSE),"")</f>
        <v/>
      </c>
      <c r="AS148" t="str">
        <f>+IFERROR(VLOOKUP(AS49,IN_Zugliste!$A$4:$D$2002,4,FALSE),"")</f>
        <v/>
      </c>
      <c r="AT148" t="str">
        <f>+IFERROR(VLOOKUP(AT49,IN_Zugliste!$A$4:$D$2002,4,FALSE),"")</f>
        <v/>
      </c>
      <c r="AU148" t="str">
        <f>+IFERROR(VLOOKUP(AU49,IN_Zugliste!$A$4:$D$2002,4,FALSE),"")</f>
        <v/>
      </c>
      <c r="AV148" t="str">
        <f>+IFERROR(VLOOKUP(AV49,IN_Zugliste!$A$4:$D$2002,4,FALSE),"")</f>
        <v/>
      </c>
      <c r="AW148" t="str">
        <f>+IFERROR(VLOOKUP(AW49,IN_Zugliste!$A$4:$D$2002,4,FALSE),"")</f>
        <v/>
      </c>
      <c r="AX148" t="str">
        <f>+IFERROR(VLOOKUP(AX49,IN_Zugliste!$A$4:$D$2002,4,FALSE),"")</f>
        <v/>
      </c>
      <c r="AY148" t="str">
        <f>+IFERROR(VLOOKUP(AY49,IN_Zugliste!$A$4:$D$2002,4,FALSE),"")</f>
        <v/>
      </c>
      <c r="AZ148" t="str">
        <f>+IFERROR(VLOOKUP(AZ49,IN_Zugliste!$A$4:$D$2002,4,FALSE),"")</f>
        <v/>
      </c>
      <c r="BA148" t="str">
        <f>+IFERROR(VLOOKUP(BA49,IN_Zugliste!$A$4:$D$2002,4,FALSE),"")</f>
        <v/>
      </c>
      <c r="BB148" t="str">
        <f>+IFERROR(VLOOKUP(BB49,IN_Zugliste!$A$4:$D$2002,4,FALSE),"")</f>
        <v/>
      </c>
      <c r="BC148" t="str">
        <f>+IFERROR(VLOOKUP(BC49,IN_Zugliste!$A$4:$D$2002,4,FALSE),"")</f>
        <v/>
      </c>
      <c r="BD148" t="str">
        <f>+IFERROR(VLOOKUP(BD49,IN_Zugliste!$A$4:$D$2002,4,FALSE),"")</f>
        <v/>
      </c>
      <c r="BE148" t="str">
        <f>+IFERROR(VLOOKUP(BE49,IN_Zugliste!$A$4:$D$2002,4,FALSE),"")</f>
        <v/>
      </c>
      <c r="BF148" t="str">
        <f>+IFERROR(VLOOKUP(BF49,IN_Zugliste!$A$4:$D$2002,4,FALSE),"")</f>
        <v/>
      </c>
      <c r="BG148" t="str">
        <f>+IFERROR(VLOOKUP(BG49,IN_Zugliste!$A$4:$D$2002,4,FALSE),"")</f>
        <v/>
      </c>
      <c r="BH148" t="str">
        <f>+IFERROR(VLOOKUP(BH49,IN_Zugliste!$A$4:$D$2002,4,FALSE),"")</f>
        <v/>
      </c>
      <c r="BI148" t="str">
        <f>+IFERROR(VLOOKUP(BI49,IN_Zugliste!$A$4:$D$2002,4,FALSE),"")</f>
        <v/>
      </c>
      <c r="BJ148" t="str">
        <f>+IFERROR(VLOOKUP(BJ49,IN_Zugliste!$A$4:$D$2002,4,FALSE),"")</f>
        <v/>
      </c>
      <c r="BK148" t="str">
        <f>+IFERROR(VLOOKUP(BK49,IN_Zugliste!$A$4:$D$2002,4,FALSE),"")</f>
        <v/>
      </c>
      <c r="BL148" t="str">
        <f>+IFERROR(VLOOKUP(BL49,IN_Zugliste!$A$4:$D$2002,4,FALSE),"")</f>
        <v/>
      </c>
      <c r="BM148" t="str">
        <f>+IFERROR(VLOOKUP(BM49,IN_Zugliste!$A$4:$D$2002,4,FALSE),"")</f>
        <v/>
      </c>
      <c r="BN148" t="str">
        <f>+IFERROR(VLOOKUP(BN49,IN_Zugliste!$A$4:$D$2002,4,FALSE),"")</f>
        <v/>
      </c>
      <c r="BO148" t="str">
        <f>+IFERROR(VLOOKUP(BO49,IN_Zugliste!$A$4:$D$2002,4,FALSE),"")</f>
        <v/>
      </c>
      <c r="BP148" t="str">
        <f>+IFERROR(VLOOKUP(BP49,IN_Zugliste!$A$4:$D$2002,4,FALSE),"")</f>
        <v/>
      </c>
      <c r="BQ148" t="str">
        <f>+IFERROR(VLOOKUP(BQ49,IN_Zugliste!$A$4:$D$2002,4,FALSE),"")</f>
        <v/>
      </c>
      <c r="BR148" t="str">
        <f>+IFERROR(VLOOKUP(BR49,IN_Zugliste!$A$4:$D$2002,4,FALSE),"")</f>
        <v/>
      </c>
      <c r="BS148" t="str">
        <f>+IFERROR(VLOOKUP(BS49,IN_Zugliste!$A$4:$D$2002,4,FALSE),"")</f>
        <v/>
      </c>
      <c r="BT148" t="str">
        <f>+IFERROR(VLOOKUP(BT49,IN_Zugliste!$A$4:$D$2002,4,FALSE),"")</f>
        <v/>
      </c>
      <c r="BU148" t="str">
        <f>+IFERROR(VLOOKUP(BU49,IN_Zugliste!$A$4:$D$2002,4,FALSE),"")</f>
        <v/>
      </c>
      <c r="BV148" t="str">
        <f>+IFERROR(VLOOKUP(BV49,IN_Zugliste!$A$4:$D$2002,4,FALSE),"")</f>
        <v/>
      </c>
      <c r="BW148" t="str">
        <f>+IFERROR(VLOOKUP(BW49,IN_Zugliste!$A$4:$D$2002,4,FALSE),"")</f>
        <v/>
      </c>
      <c r="BX148" t="str">
        <f>+IFERROR(VLOOKUP(BX49,IN_Zugliste!$A$4:$D$2002,4,FALSE),"")</f>
        <v/>
      </c>
      <c r="BY148" t="str">
        <f>+IFERROR(VLOOKUP(BY49,IN_Zugliste!$A$4:$D$2002,4,FALSE),"")</f>
        <v/>
      </c>
      <c r="BZ148" t="str">
        <f>+IFERROR(VLOOKUP(BZ49,IN_Zugliste!$A$4:$D$2002,4,FALSE),"")</f>
        <v/>
      </c>
      <c r="CA148" t="str">
        <f>+IFERROR(VLOOKUP(CA49,IN_Zugliste!$A$4:$D$2002,4,FALSE),"")</f>
        <v/>
      </c>
      <c r="CB148" t="str">
        <f>+IFERROR(VLOOKUP(CB49,IN_Zugliste!$A$4:$D$2002,4,FALSE),"")</f>
        <v/>
      </c>
      <c r="CC148" t="str">
        <f>+IFERROR(VLOOKUP(CC49,IN_Zugliste!$A$4:$D$2002,4,FALSE),"")</f>
        <v/>
      </c>
      <c r="CD148" t="str">
        <f>+IFERROR(VLOOKUP(CD49,IN_Zugliste!$A$4:$D$2002,4,FALSE),"")</f>
        <v/>
      </c>
      <c r="CE148" t="str">
        <f>+IFERROR(VLOOKUP(CE49,IN_Zugliste!$A$4:$D$2002,4,FALSE),"")</f>
        <v/>
      </c>
      <c r="CF148" t="str">
        <f>+IFERROR(VLOOKUP(CF49,IN_Zugliste!$A$4:$D$2002,4,FALSE),"")</f>
        <v/>
      </c>
      <c r="CG148" t="str">
        <f>+IFERROR(VLOOKUP(CG49,IN_Zugliste!$A$4:$D$2002,4,FALSE),"")</f>
        <v/>
      </c>
      <c r="CH148" t="str">
        <f>+IFERROR(VLOOKUP(CH49,IN_Zugliste!$A$4:$D$2002,4,FALSE),"")</f>
        <v/>
      </c>
      <c r="CI148" t="str">
        <f>+IFERROR(VLOOKUP(CI49,IN_Zugliste!$A$4:$D$2002,4,FALSE),"")</f>
        <v/>
      </c>
      <c r="CJ148" t="str">
        <f>+IFERROR(VLOOKUP(CJ49,IN_Zugliste!$A$4:$D$2002,4,FALSE),"")</f>
        <v/>
      </c>
      <c r="CK148" t="str">
        <f>+IFERROR(VLOOKUP(CK49,IN_Zugliste!$A$4:$D$2002,4,FALSE),"")</f>
        <v/>
      </c>
      <c r="CL148" t="str">
        <f>+IFERROR(VLOOKUP(CL49,IN_Zugliste!$A$4:$D$2002,4,FALSE),"")</f>
        <v/>
      </c>
      <c r="CM148" t="str">
        <f>+IFERROR(VLOOKUP(CM49,IN_Zugliste!$A$4:$D$2002,4,FALSE),"")</f>
        <v/>
      </c>
      <c r="CN148" t="str">
        <f>+IFERROR(VLOOKUP(CN49,IN_Zugliste!$A$4:$D$2002,4,FALSE),"")</f>
        <v/>
      </c>
      <c r="CO148" t="str">
        <f>+IFERROR(VLOOKUP(CO49,IN_Zugliste!$A$4:$D$2002,4,FALSE),"")</f>
        <v/>
      </c>
      <c r="CP148" t="str">
        <f>+IFERROR(VLOOKUP(CP49,IN_Zugliste!$A$4:$D$2002,4,FALSE),"")</f>
        <v/>
      </c>
      <c r="CQ148" t="str">
        <f>+IFERROR(VLOOKUP(CQ49,IN_Zugliste!$A$4:$D$2002,4,FALSE),"")</f>
        <v/>
      </c>
      <c r="CR148" t="str">
        <f>+IFERROR(VLOOKUP(CR49,IN_Zugliste!$A$4:$D$2002,4,FALSE),"")</f>
        <v/>
      </c>
      <c r="CS148" t="str">
        <f>+IFERROR(VLOOKUP(CS49,IN_Zugliste!$A$4:$D$2002,4,FALSE),"")</f>
        <v/>
      </c>
      <c r="CT148" t="str">
        <f>+IFERROR(VLOOKUP(CT49,IN_Zugliste!$A$4:$D$2002,4,FALSE),"")</f>
        <v/>
      </c>
      <c r="CU148" t="str">
        <f>+IFERROR(VLOOKUP(CU49,IN_Zugliste!$A$4:$D$2002,4,FALSE),"")</f>
        <v/>
      </c>
      <c r="CV148" t="str">
        <f>+IFERROR(VLOOKUP(CV49,IN_Zugliste!$A$4:$D$2002,4,FALSE),"")</f>
        <v/>
      </c>
      <c r="CW148" t="str">
        <f>+IFERROR(VLOOKUP(CW49,IN_Zugliste!$A$4:$D$2002,4,FALSE),"")</f>
        <v/>
      </c>
      <c r="CX148" t="str">
        <f>+IFERROR(VLOOKUP(CX49,IN_Zugliste!$A$4:$D$2002,4,FALSE),"")</f>
        <v/>
      </c>
      <c r="CY148" t="str">
        <f>+IFERROR(VLOOKUP(CY49,IN_Zugliste!$A$4:$D$2002,4,FALSE),"")</f>
        <v/>
      </c>
      <c r="CZ148" t="str">
        <f>+IFERROR(VLOOKUP(CZ49,IN_Zugliste!$A$4:$D$2002,4,FALSE),"")</f>
        <v/>
      </c>
      <c r="DA148" t="str">
        <f>+IFERROR(VLOOKUP(DA49,IN_Zugliste!$A$4:$D$2002,4,FALSE),"")</f>
        <v/>
      </c>
      <c r="DB148" t="str">
        <f>+IFERROR(VLOOKUP(DB49,IN_Zugliste!$A$4:$D$2002,4,FALSE),"")</f>
        <v/>
      </c>
      <c r="DC148" t="str">
        <f>+IFERROR(VLOOKUP(DC49,IN_Zugliste!$A$4:$D$2002,4,FALSE),"")</f>
        <v/>
      </c>
      <c r="DD148" t="str">
        <f>+IFERROR(VLOOKUP(DD49,IN_Zugliste!$A$4:$D$2002,4,FALSE),"")</f>
        <v/>
      </c>
      <c r="DE148" t="str">
        <f>+IFERROR(VLOOKUP(DE49,IN_Zugliste!$A$4:$D$2002,4,FALSE),"")</f>
        <v/>
      </c>
      <c r="DF148" t="str">
        <f>+IFERROR(VLOOKUP(DF49,IN_Zugliste!$A$4:$D$2002,4,FALSE),"")</f>
        <v/>
      </c>
      <c r="DG148" t="str">
        <f>+IFERROR(VLOOKUP(DG49,IN_Zugliste!$A$4:$D$2002,4,FALSE),"")</f>
        <v/>
      </c>
      <c r="DH148" t="str">
        <f>+IFERROR(VLOOKUP(DH49,IN_Zugliste!$A$4:$D$2002,4,FALSE),"")</f>
        <v/>
      </c>
      <c r="DI148" t="str">
        <f>+IFERROR(VLOOKUP(DI49,IN_Zugliste!$A$4:$D$2002,4,FALSE),"")</f>
        <v/>
      </c>
      <c r="DJ148" t="str">
        <f>+IFERROR(VLOOKUP(DJ49,IN_Zugliste!$A$4:$D$2002,4,FALSE),"")</f>
        <v/>
      </c>
      <c r="DK148" t="str">
        <f>+IFERROR(VLOOKUP(DK49,IN_Zugliste!$A$4:$D$2002,4,FALSE),"")</f>
        <v/>
      </c>
      <c r="DL148" t="str">
        <f>+IFERROR(VLOOKUP(DL49,IN_Zugliste!$A$4:$D$2002,4,FALSE),"")</f>
        <v/>
      </c>
      <c r="DM148" t="str">
        <f>+IFERROR(VLOOKUP(DM49,IN_Zugliste!$A$4:$D$2002,4,FALSE),"")</f>
        <v/>
      </c>
      <c r="DN148" t="str">
        <f>+IFERROR(VLOOKUP(DN49,IN_Zugliste!$A$4:$D$2002,4,FALSE),"")</f>
        <v/>
      </c>
      <c r="DO148" t="str">
        <f>+IFERROR(VLOOKUP(DO49,IN_Zugliste!$A$4:$D$2002,4,FALSE),"")</f>
        <v/>
      </c>
      <c r="DP148" t="str">
        <f>+IFERROR(VLOOKUP(DP49,IN_Zugliste!$A$4:$D$2002,4,FALSE),"")</f>
        <v/>
      </c>
      <c r="DQ148" t="str">
        <f>+IFERROR(VLOOKUP(DQ49,IN_Zugliste!$A$4:$D$2002,4,FALSE),"")</f>
        <v/>
      </c>
      <c r="DR148" t="str">
        <f>+IFERROR(VLOOKUP(DR49,IN_Zugliste!$A$4:$D$2002,4,FALSE),"")</f>
        <v/>
      </c>
      <c r="DS148" t="str">
        <f>+IFERROR(VLOOKUP(DS49,IN_Zugliste!$A$4:$D$2002,4,FALSE),"")</f>
        <v/>
      </c>
      <c r="DT148" t="str">
        <f>+IFERROR(VLOOKUP(DT49,IN_Zugliste!$A$4:$D$2002,4,FALSE),"")</f>
        <v/>
      </c>
      <c r="DU148" t="str">
        <f>+IFERROR(VLOOKUP(DU49,IN_Zugliste!$A$4:$D$2002,4,FALSE),"")</f>
        <v/>
      </c>
      <c r="DV148" t="str">
        <f>+IFERROR(VLOOKUP(DV49,IN_Zugliste!$A$4:$D$2002,4,FALSE),"")</f>
        <v/>
      </c>
      <c r="DW148" t="str">
        <f>+IFERROR(VLOOKUP(DW49,IN_Zugliste!$A$4:$D$2002,4,FALSE),"")</f>
        <v/>
      </c>
      <c r="DX148" t="str">
        <f>+IFERROR(VLOOKUP(DX49,IN_Zugliste!$A$4:$D$2002,4,FALSE),"")</f>
        <v/>
      </c>
      <c r="DY148" t="str">
        <f>+IFERROR(VLOOKUP(DY49,IN_Zugliste!$A$4:$D$2002,4,FALSE),"")</f>
        <v/>
      </c>
      <c r="DZ148" t="str">
        <f>+IFERROR(VLOOKUP(DZ49,IN_Zugliste!$A$4:$D$2002,4,FALSE),"")</f>
        <v/>
      </c>
      <c r="EA148" t="str">
        <f>+IFERROR(VLOOKUP(EA49,IN_Zugliste!$A$4:$D$2002,4,FALSE),"")</f>
        <v/>
      </c>
      <c r="EB148" t="str">
        <f>+IFERROR(VLOOKUP(EB49,IN_Zugliste!$A$4:$D$2002,4,FALSE),"")</f>
        <v/>
      </c>
      <c r="EC148" t="str">
        <f>+IFERROR(VLOOKUP(EC49,IN_Zugliste!$A$4:$D$2002,4,FALSE),"")</f>
        <v/>
      </c>
      <c r="ED148" t="str">
        <f>+IFERROR(VLOOKUP(ED49,IN_Zugliste!$A$4:$D$2002,4,FALSE),"")</f>
        <v/>
      </c>
      <c r="EE148" t="str">
        <f>+IFERROR(VLOOKUP(EE49,IN_Zugliste!$A$4:$D$2002,4,FALSE),"")</f>
        <v/>
      </c>
      <c r="EF148" t="str">
        <f>+IFERROR(VLOOKUP(EF49,IN_Zugliste!$A$4:$D$2002,4,FALSE),"")</f>
        <v/>
      </c>
      <c r="EG148" t="str">
        <f>+IFERROR(VLOOKUP(EG49,IN_Zugliste!$A$4:$D$2002,4,FALSE),"")</f>
        <v/>
      </c>
      <c r="EH148" t="str">
        <f>+IFERROR(VLOOKUP(EH49,IN_Zugliste!$A$4:$D$2002,4,FALSE),"")</f>
        <v/>
      </c>
      <c r="EI148" t="str">
        <f>+IFERROR(VLOOKUP(EI49,IN_Zugliste!$A$4:$D$2002,4,FALSE),"")</f>
        <v/>
      </c>
      <c r="EJ148" t="str">
        <f>+IFERROR(VLOOKUP(EJ49,IN_Zugliste!$A$4:$D$2002,4,FALSE),"")</f>
        <v/>
      </c>
      <c r="EK148" t="str">
        <f>+IFERROR(VLOOKUP(EK49,IN_Zugliste!$A$4:$D$2002,4,FALSE),"")</f>
        <v/>
      </c>
      <c r="EL148" t="str">
        <f>+IFERROR(VLOOKUP(EL49,IN_Zugliste!$A$4:$D$2002,4,FALSE),"")</f>
        <v/>
      </c>
      <c r="EM148" t="str">
        <f>+IFERROR(VLOOKUP(EM49,IN_Zugliste!$A$4:$D$2002,4,FALSE),"")</f>
        <v/>
      </c>
      <c r="EN148" t="str">
        <f>+IFERROR(VLOOKUP(EN49,IN_Zugliste!$A$4:$D$2002,4,FALSE),"")</f>
        <v/>
      </c>
      <c r="EO148" t="str">
        <f>+IFERROR(VLOOKUP(EO49,IN_Zugliste!$A$4:$D$2002,4,FALSE),"")</f>
        <v/>
      </c>
      <c r="EP148" t="str">
        <f>+IFERROR(VLOOKUP(EP49,IN_Zugliste!$A$4:$D$2002,4,FALSE),"")</f>
        <v/>
      </c>
      <c r="EQ148" t="str">
        <f>+IFERROR(VLOOKUP(EQ49,IN_Zugliste!$A$4:$D$2002,4,FALSE),"")</f>
        <v/>
      </c>
      <c r="ER148" t="str">
        <f>+IFERROR(VLOOKUP(ER49,IN_Zugliste!$A$4:$D$2002,4,FALSE),"")</f>
        <v/>
      </c>
      <c r="ES148" t="str">
        <f>+IFERROR(VLOOKUP(ES49,IN_Zugliste!$A$4:$D$2002,4,FALSE),"")</f>
        <v/>
      </c>
      <c r="ET148" t="str">
        <f>+IFERROR(VLOOKUP(ET49,IN_Zugliste!$A$4:$D$2002,4,FALSE),"")</f>
        <v/>
      </c>
      <c r="EU148" t="str">
        <f>+IFERROR(VLOOKUP(EU49,IN_Zugliste!$A$4:$D$2002,4,FALSE),"")</f>
        <v/>
      </c>
      <c r="EV148" t="str">
        <f>+IFERROR(VLOOKUP(EV49,IN_Zugliste!$A$4:$D$2002,4,FALSE),"")</f>
        <v/>
      </c>
      <c r="EW148" t="str">
        <f>+IFERROR(VLOOKUP(EW49,IN_Zugliste!$A$4:$D$2002,4,FALSE),"")</f>
        <v/>
      </c>
      <c r="EX148" t="str">
        <f>+IFERROR(VLOOKUP(EX49,IN_Zugliste!$A$4:$D$2002,4,FALSE),"")</f>
        <v/>
      </c>
      <c r="EY148" t="str">
        <f>+IFERROR(VLOOKUP(EY49,IN_Zugliste!$A$4:$D$2002,4,FALSE),"")</f>
        <v/>
      </c>
      <c r="EZ148" t="str">
        <f>+IFERROR(VLOOKUP(EZ49,IN_Zugliste!$A$4:$D$2002,4,FALSE),"")</f>
        <v/>
      </c>
      <c r="FA148" t="str">
        <f>+IFERROR(VLOOKUP(FA49,IN_Zugliste!$A$4:$D$2002,4,FALSE),"")</f>
        <v/>
      </c>
      <c r="FB148" t="str">
        <f>+IFERROR(VLOOKUP(FB49,IN_Zugliste!$A$4:$D$2002,4,FALSE),"")</f>
        <v/>
      </c>
      <c r="FC148" t="str">
        <f>+IFERROR(VLOOKUP(FC49,IN_Zugliste!$A$4:$D$2002,4,FALSE),"")</f>
        <v/>
      </c>
      <c r="FD148" t="str">
        <f>+IFERROR(VLOOKUP(FD49,IN_Zugliste!$A$4:$D$2002,4,FALSE),"")</f>
        <v/>
      </c>
      <c r="FE148" t="str">
        <f>+IFERROR(VLOOKUP(FE49,IN_Zugliste!$A$4:$D$2002,4,FALSE),"")</f>
        <v/>
      </c>
      <c r="FF148" t="str">
        <f>+IFERROR(VLOOKUP(FF49,IN_Zugliste!$A$4:$D$2002,4,FALSE),"")</f>
        <v/>
      </c>
      <c r="FG148" t="str">
        <f>+IFERROR(VLOOKUP(FG49,IN_Zugliste!$A$4:$D$2002,4,FALSE),"")</f>
        <v/>
      </c>
      <c r="FH148" t="str">
        <f>+IFERROR(VLOOKUP(FH49,IN_Zugliste!$A$4:$D$2002,4,FALSE),"")</f>
        <v/>
      </c>
      <c r="FI148" t="str">
        <f>+IFERROR(VLOOKUP(FI49,IN_Zugliste!$A$4:$D$2002,4,FALSE),"")</f>
        <v/>
      </c>
      <c r="FJ148" t="str">
        <f>+IFERROR(VLOOKUP(FJ49,IN_Zugliste!$A$4:$D$2002,4,FALSE),"")</f>
        <v/>
      </c>
      <c r="FK148" t="str">
        <f>+IFERROR(VLOOKUP(FK49,IN_Zugliste!$A$4:$D$2002,4,FALSE),"")</f>
        <v/>
      </c>
      <c r="FL148" t="str">
        <f>+IFERROR(VLOOKUP(FL49,IN_Zugliste!$A$4:$D$2002,4,FALSE),"")</f>
        <v/>
      </c>
      <c r="FM148" t="str">
        <f>+IFERROR(VLOOKUP(FM49,IN_Zugliste!$A$4:$C$602,4,FALSE),"")</f>
        <v/>
      </c>
      <c r="FN148" t="str">
        <f>+IFERROR(VLOOKUP(FN49,IN_Zugliste!$A$4:$C$602,4,FALSE),"")</f>
        <v/>
      </c>
      <c r="FO148" t="str">
        <f>+IFERROR(VLOOKUP(FO49,IN_Zugliste!$A$4:$C$602,4,FALSE),"")</f>
        <v/>
      </c>
      <c r="FP148" t="str">
        <f>+IFERROR(VLOOKUP(FP49,IN_Zugliste!$A$4:$C$602,4,FALSE),"")</f>
        <v/>
      </c>
      <c r="FQ148" t="str">
        <f>+IFERROR(VLOOKUP(FQ49,IN_Zugliste!$A$4:$C$602,4,FALSE),"")</f>
        <v/>
      </c>
      <c r="FR148" t="str">
        <f>+IFERROR(VLOOKUP(FR49,IN_Zugliste!$A$4:$C$602,4,FALSE),"")</f>
        <v/>
      </c>
      <c r="FS148" t="str">
        <f>+IFERROR(VLOOKUP(FS49,IN_Zugliste!$A$4:$C$602,4,FALSE),"")</f>
        <v/>
      </c>
      <c r="FT148" t="str">
        <f>+IFERROR(VLOOKUP(FT49,IN_Zugliste!$A$4:$C$602,4,FALSE),"")</f>
        <v/>
      </c>
      <c r="FU148" t="str">
        <f>+IFERROR(VLOOKUP(FU49,IN_Zugliste!$A$4:$C$602,4,FALSE),"")</f>
        <v/>
      </c>
      <c r="FV148" t="str">
        <f>+IFERROR(VLOOKUP(FV49,IN_Zugliste!$A$4:$C$602,4,FALSE),"")</f>
        <v/>
      </c>
      <c r="FW148" t="str">
        <f>+IFERROR(VLOOKUP(FW49,IN_Zugliste!$A$4:$C$602,4,FALSE),"")</f>
        <v/>
      </c>
      <c r="FX148" t="str">
        <f>+IFERROR(VLOOKUP(FX49,IN_Zugliste!$A$4:$C$602,4,FALSE),"")</f>
        <v/>
      </c>
      <c r="FY148" t="str">
        <f>+IFERROR(VLOOKUP(FY49,IN_Zugliste!$A$4:$C$602,4,FALSE),"")</f>
        <v/>
      </c>
      <c r="FZ148" t="str">
        <f>+IFERROR(VLOOKUP(FZ49,IN_Zugliste!$A$4:$C$602,4,FALSE),"")</f>
        <v/>
      </c>
      <c r="GA148" t="str">
        <f>+IFERROR(VLOOKUP(GA49,IN_Zugliste!$A$4:$C$602,4,FALSE),"")</f>
        <v/>
      </c>
      <c r="GB148" t="str">
        <f>+IFERROR(VLOOKUP(GB49,IN_Zugliste!$A$4:$C$602,4,FALSE),"")</f>
        <v/>
      </c>
      <c r="GC148" t="str">
        <f>+IFERROR(VLOOKUP(GC49,IN_Zugliste!$A$4:$C$602,4,FALSE),"")</f>
        <v/>
      </c>
      <c r="GD148" t="str">
        <f>+IFERROR(VLOOKUP(GD49,IN_Zugliste!$A$4:$C$602,4,FALSE),"")</f>
        <v/>
      </c>
      <c r="GE148" t="str">
        <f>+IFERROR(VLOOKUP(GE49,IN_Zugliste!$A$4:$C$602,4,FALSE),"")</f>
        <v/>
      </c>
      <c r="GF148" t="str">
        <f>+IFERROR(VLOOKUP(GF49,IN_Zugliste!$A$4:$C$602,4,FALSE),"")</f>
        <v/>
      </c>
      <c r="GG148" t="str">
        <f>+IFERROR(VLOOKUP(GG49,IN_Zugliste!$A$4:$C$602,4,FALSE),"")</f>
        <v/>
      </c>
      <c r="GH148" t="str">
        <f>+IFERROR(VLOOKUP(GH49,IN_Zugliste!$A$4:$C$602,4,FALSE),"")</f>
        <v/>
      </c>
      <c r="GI148" t="str">
        <f>+IFERROR(VLOOKUP(GI49,IN_Zugliste!$A$4:$C$602,4,FALSE),"")</f>
        <v/>
      </c>
      <c r="GJ148" t="str">
        <f>+IFERROR(VLOOKUP(GJ49,IN_Zugliste!$A$4:$C$602,4,FALSE),"")</f>
        <v/>
      </c>
      <c r="GK148" t="str">
        <f>+IFERROR(VLOOKUP(GK49,IN_Zugliste!$A$4:$C$602,4,FALSE),"")</f>
        <v/>
      </c>
      <c r="GL148" t="str">
        <f>+IFERROR(VLOOKUP(GL49,IN_Zugliste!$A$4:$C$602,4,FALSE),"")</f>
        <v/>
      </c>
      <c r="GM148" t="str">
        <f>+IFERROR(VLOOKUP(GM49,IN_Zugliste!$A$4:$C$602,4,FALSE),"")</f>
        <v/>
      </c>
      <c r="GN148" t="str">
        <f>+IFERROR(VLOOKUP(GN49,IN_Zugliste!$A$4:$C$602,4,FALSE),"")</f>
        <v/>
      </c>
      <c r="GO148" t="str">
        <f>+IFERROR(VLOOKUP(GO49,IN_Zugliste!$A$4:$C$602,4,FALSE),"")</f>
        <v/>
      </c>
      <c r="GP148" t="str">
        <f>+IFERROR(VLOOKUP(GP49,IN_Zugliste!$A$4:$C$602,4,FALSE),"")</f>
        <v/>
      </c>
      <c r="GQ148" t="str">
        <f>+IFERROR(VLOOKUP(GQ49,IN_Zugliste!$A$4:$C$602,4,FALSE),"")</f>
        <v/>
      </c>
      <c r="GR148" t="str">
        <f>+IFERROR(VLOOKUP(GR49,IN_Zugliste!$A$4:$C$602,4,FALSE),"")</f>
        <v/>
      </c>
      <c r="GS148" t="str">
        <f>+IFERROR(VLOOKUP(GS49,IN_Zugliste!$A$4:$C$602,4,FALSE),"")</f>
        <v/>
      </c>
      <c r="GT148" t="str">
        <f>+IFERROR(VLOOKUP(GT49,IN_Zugliste!$A$4:$C$602,4,FALSE),"")</f>
        <v/>
      </c>
      <c r="GU148" t="str">
        <f>+IFERROR(VLOOKUP(GU49,IN_Zugliste!$A$4:$C$602,4,FALSE),"")</f>
        <v/>
      </c>
      <c r="GV148" t="str">
        <f>+IFERROR(VLOOKUP(GV49,IN_Zugliste!$A$4:$C$602,4,FALSE),"")</f>
        <v/>
      </c>
      <c r="GW148" t="str">
        <f>+IFERROR(VLOOKUP(GW49,IN_Zugliste!$A$4:$C$602,4,FALSE),"")</f>
        <v/>
      </c>
      <c r="GX148" t="str">
        <f>+IFERROR(VLOOKUP(GX49,IN_Zugliste!$A$4:$C$602,4,FALSE),"")</f>
        <v/>
      </c>
      <c r="GY148" t="str">
        <f>+IFERROR(VLOOKUP(GY49,IN_Zugliste!$A$4:$C$602,4,FALSE),"")</f>
        <v/>
      </c>
      <c r="GZ148" t="str">
        <f>+IFERROR(VLOOKUP(GZ49,IN_Zugliste!$A$4:$C$602,4,FALSE),"")</f>
        <v/>
      </c>
      <c r="HA148" t="str">
        <f>+IFERROR(VLOOKUP(HA49,IN_Zugliste!$A$4:$C$602,4,FALSE),"")</f>
        <v/>
      </c>
      <c r="HB148" t="str">
        <f>+IFERROR(VLOOKUP(HB49,IN_Zugliste!$A$4:$C$602,4,FALSE),"")</f>
        <v/>
      </c>
      <c r="HC148" t="str">
        <f>+IFERROR(VLOOKUP(HC49,IN_Zugliste!$A$4:$C$602,4,FALSE),"")</f>
        <v/>
      </c>
      <c r="HD148" t="str">
        <f>+IFERROR(VLOOKUP(HD49,IN_Zugliste!$A$4:$C$602,4,FALSE),"")</f>
        <v/>
      </c>
      <c r="HE148" t="str">
        <f>+IFERROR(VLOOKUP(HE49,IN_Zugliste!$A$4:$C$602,4,FALSE),"")</f>
        <v/>
      </c>
      <c r="HF148" t="str">
        <f>+IFERROR(VLOOKUP(HF49,IN_Zugliste!$A$4:$C$602,4,FALSE),"")</f>
        <v/>
      </c>
      <c r="HG148" t="str">
        <f>+IFERROR(VLOOKUP(HG49,IN_Zugliste!$A$4:$C$602,4,FALSE),"")</f>
        <v/>
      </c>
      <c r="HH148" t="str">
        <f>+IFERROR(VLOOKUP(HH49,IN_Zugliste!$A$4:$C$602,4,FALSE),"")</f>
        <v/>
      </c>
    </row>
    <row r="149" spans="1:216" x14ac:dyDescent="0.2">
      <c r="A149" t="str">
        <f>+IFERROR(VLOOKUP(A50,IN_Zugliste!$A$4:$D$2002,4,FALSE),"")</f>
        <v/>
      </c>
      <c r="B149" t="str">
        <f>+IFERROR(VLOOKUP(B50,IN_Zugliste!$A$4:$D$2002,4,FALSE),"")</f>
        <v/>
      </c>
      <c r="C149" t="str">
        <f>+IFERROR(VLOOKUP(C50,IN_Zugliste!$A$4:$D$2002,4,FALSE),"")</f>
        <v/>
      </c>
      <c r="D149" t="str">
        <f>+IFERROR(VLOOKUP(D50,IN_Zugliste!$A$4:$D$2002,4,FALSE),"")</f>
        <v/>
      </c>
      <c r="E149" t="str">
        <f>+IFERROR(VLOOKUP(E50,IN_Zugliste!$A$4:$D$2002,4,FALSE),"")</f>
        <v/>
      </c>
      <c r="F149" t="str">
        <f>+IFERROR(VLOOKUP(F50,IN_Zugliste!$A$4:$D$2002,4,FALSE),"")</f>
        <v/>
      </c>
      <c r="G149" t="str">
        <f>+IFERROR(VLOOKUP(G50,IN_Zugliste!$A$4:$D$2002,4,FALSE),"")</f>
        <v/>
      </c>
      <c r="H149" t="str">
        <f>+IFERROR(VLOOKUP(H50,IN_Zugliste!$A$4:$D$2002,4,FALSE),"")</f>
        <v/>
      </c>
      <c r="I149" t="str">
        <f>+IFERROR(VLOOKUP(I50,IN_Zugliste!$A$4:$D$2002,4,FALSE),"")</f>
        <v/>
      </c>
      <c r="J149" t="str">
        <f>+IFERROR(VLOOKUP(J50,IN_Zugliste!$A$4:$D$2002,4,FALSE),"")</f>
        <v/>
      </c>
      <c r="K149" t="str">
        <f>+IFERROR(VLOOKUP(K50,IN_Zugliste!$A$4:$D$2002,4,FALSE),"")</f>
        <v/>
      </c>
      <c r="L149" t="str">
        <f>+IFERROR(VLOOKUP(L50,IN_Zugliste!$A$4:$D$2002,4,FALSE),"")</f>
        <v/>
      </c>
      <c r="M149" t="str">
        <f>+IFERROR(VLOOKUP(M50,IN_Zugliste!$A$4:$D$2002,4,FALSE),"")</f>
        <v/>
      </c>
      <c r="N149" t="str">
        <f>+IFERROR(VLOOKUP(N50,IN_Zugliste!$A$4:$D$2002,4,FALSE),"")</f>
        <v/>
      </c>
      <c r="O149" t="str">
        <f>+IFERROR(VLOOKUP(O50,IN_Zugliste!$A$4:$D$2002,4,FALSE),"")</f>
        <v/>
      </c>
      <c r="P149" t="str">
        <f>+IFERROR(VLOOKUP(P50,IN_Zugliste!$A$4:$D$2002,4,FALSE),"")</f>
        <v/>
      </c>
      <c r="Q149" t="str">
        <f>+IFERROR(VLOOKUP(Q50,IN_Zugliste!$A$4:$D$2002,4,FALSE),"")</f>
        <v/>
      </c>
      <c r="R149" t="str">
        <f>+IFERROR(VLOOKUP(R50,IN_Zugliste!$A$4:$D$2002,4,FALSE),"")</f>
        <v/>
      </c>
      <c r="S149" t="str">
        <f>+IFERROR(VLOOKUP(S50,IN_Zugliste!$A$4:$D$2002,4,FALSE),"")</f>
        <v/>
      </c>
      <c r="T149" t="str">
        <f>+IFERROR(VLOOKUP(T50,IN_Zugliste!$A$4:$D$2002,4,FALSE),"")</f>
        <v/>
      </c>
      <c r="U149" t="str">
        <f>+IFERROR(VLOOKUP(U50,IN_Zugliste!$A$4:$D$2002,4,FALSE),"")</f>
        <v/>
      </c>
      <c r="V149" t="str">
        <f>+IFERROR(VLOOKUP(V50,IN_Zugliste!$A$4:$D$2002,4,FALSE),"")</f>
        <v/>
      </c>
      <c r="W149" t="str">
        <f>+IFERROR(VLOOKUP(W50,IN_Zugliste!$A$4:$D$2002,4,FALSE),"")</f>
        <v/>
      </c>
      <c r="X149" t="str">
        <f>+IFERROR(VLOOKUP(X50,IN_Zugliste!$A$4:$D$2002,4,FALSE),"")</f>
        <v/>
      </c>
      <c r="Y149" t="str">
        <f>+IFERROR(VLOOKUP(Y50,IN_Zugliste!$A$4:$D$2002,4,FALSE),"")</f>
        <v/>
      </c>
      <c r="Z149" t="str">
        <f>+IFERROR(VLOOKUP(Z50,IN_Zugliste!$A$4:$D$2002,4,FALSE),"")</f>
        <v/>
      </c>
      <c r="AA149" t="str">
        <f>+IFERROR(VLOOKUP(AA50,IN_Zugliste!$A$4:$D$2002,4,FALSE),"")</f>
        <v/>
      </c>
      <c r="AB149" t="str">
        <f>+IFERROR(VLOOKUP(AB50,IN_Zugliste!$A$4:$D$2002,4,FALSE),"")</f>
        <v/>
      </c>
      <c r="AC149" t="str">
        <f>+IFERROR(VLOOKUP(AC50,IN_Zugliste!$A$4:$D$2002,4,FALSE),"")</f>
        <v/>
      </c>
      <c r="AD149" t="str">
        <f>+IFERROR(VLOOKUP(AD50,IN_Zugliste!$A$4:$D$2002,4,FALSE),"")</f>
        <v/>
      </c>
      <c r="AE149" t="str">
        <f>+IFERROR(VLOOKUP(AE50,IN_Zugliste!$A$4:$D$2002,4,FALSE),"")</f>
        <v/>
      </c>
      <c r="AF149" t="str">
        <f>+IFERROR(VLOOKUP(AF50,IN_Zugliste!$A$4:$D$2002,4,FALSE),"")</f>
        <v/>
      </c>
      <c r="AG149" t="str">
        <f>+IFERROR(VLOOKUP(AG50,IN_Zugliste!$A$4:$D$2002,4,FALSE),"")</f>
        <v/>
      </c>
      <c r="AH149" t="str">
        <f>+IFERROR(VLOOKUP(AH50,IN_Zugliste!$A$4:$D$2002,4,FALSE),"")</f>
        <v/>
      </c>
      <c r="AI149" t="str">
        <f>+IFERROR(VLOOKUP(AI50,IN_Zugliste!$A$4:$D$2002,4,FALSE),"")</f>
        <v/>
      </c>
      <c r="AJ149" t="str">
        <f>+IFERROR(VLOOKUP(AJ50,IN_Zugliste!$A$4:$D$2002,4,FALSE),"")</f>
        <v/>
      </c>
      <c r="AK149" t="str">
        <f>+IFERROR(VLOOKUP(AK50,IN_Zugliste!$A$4:$D$2002,4,FALSE),"")</f>
        <v/>
      </c>
      <c r="AL149" t="str">
        <f>+IFERROR(VLOOKUP(AL50,IN_Zugliste!$A$4:$D$2002,4,FALSE),"")</f>
        <v/>
      </c>
      <c r="AM149" t="str">
        <f>+IFERROR(VLOOKUP(AM50,IN_Zugliste!$A$4:$D$2002,4,FALSE),"")</f>
        <v/>
      </c>
      <c r="AN149" t="str">
        <f>+IFERROR(VLOOKUP(AN50,IN_Zugliste!$A$4:$D$2002,4,FALSE),"")</f>
        <v/>
      </c>
      <c r="AO149" t="str">
        <f>+IFERROR(VLOOKUP(AO50,IN_Zugliste!$A$4:$D$2002,4,FALSE),"")</f>
        <v/>
      </c>
      <c r="AP149" t="str">
        <f>+IFERROR(VLOOKUP(AP50,IN_Zugliste!$A$4:$D$2002,4,FALSE),"")</f>
        <v/>
      </c>
      <c r="AQ149" t="str">
        <f>+IFERROR(VLOOKUP(AQ50,IN_Zugliste!$A$4:$D$2002,4,FALSE),"")</f>
        <v/>
      </c>
      <c r="AR149" t="str">
        <f>+IFERROR(VLOOKUP(AR50,IN_Zugliste!$A$4:$D$2002,4,FALSE),"")</f>
        <v/>
      </c>
      <c r="AS149" t="str">
        <f>+IFERROR(VLOOKUP(AS50,IN_Zugliste!$A$4:$D$2002,4,FALSE),"")</f>
        <v/>
      </c>
      <c r="AT149" t="str">
        <f>+IFERROR(VLOOKUP(AT50,IN_Zugliste!$A$4:$D$2002,4,FALSE),"")</f>
        <v/>
      </c>
      <c r="AU149" t="str">
        <f>+IFERROR(VLOOKUP(AU50,IN_Zugliste!$A$4:$D$2002,4,FALSE),"")</f>
        <v/>
      </c>
      <c r="AV149" t="str">
        <f>+IFERROR(VLOOKUP(AV50,IN_Zugliste!$A$4:$D$2002,4,FALSE),"")</f>
        <v/>
      </c>
      <c r="AW149" t="str">
        <f>+IFERROR(VLOOKUP(AW50,IN_Zugliste!$A$4:$D$2002,4,FALSE),"")</f>
        <v/>
      </c>
      <c r="AX149" t="str">
        <f>+IFERROR(VLOOKUP(AX50,IN_Zugliste!$A$4:$D$2002,4,FALSE),"")</f>
        <v/>
      </c>
      <c r="AY149" t="str">
        <f>+IFERROR(VLOOKUP(AY50,IN_Zugliste!$A$4:$D$2002,4,FALSE),"")</f>
        <v/>
      </c>
      <c r="AZ149" t="str">
        <f>+IFERROR(VLOOKUP(AZ50,IN_Zugliste!$A$4:$D$2002,4,FALSE),"")</f>
        <v/>
      </c>
      <c r="BA149" t="str">
        <f>+IFERROR(VLOOKUP(BA50,IN_Zugliste!$A$4:$D$2002,4,FALSE),"")</f>
        <v/>
      </c>
      <c r="BB149" t="str">
        <f>+IFERROR(VLOOKUP(BB50,IN_Zugliste!$A$4:$D$2002,4,FALSE),"")</f>
        <v/>
      </c>
      <c r="BC149" t="str">
        <f>+IFERROR(VLOOKUP(BC50,IN_Zugliste!$A$4:$D$2002,4,FALSE),"")</f>
        <v/>
      </c>
      <c r="BD149" t="str">
        <f>+IFERROR(VLOOKUP(BD50,IN_Zugliste!$A$4:$D$2002,4,FALSE),"")</f>
        <v/>
      </c>
      <c r="BE149" t="str">
        <f>+IFERROR(VLOOKUP(BE50,IN_Zugliste!$A$4:$D$2002,4,FALSE),"")</f>
        <v/>
      </c>
      <c r="BF149" t="str">
        <f>+IFERROR(VLOOKUP(BF50,IN_Zugliste!$A$4:$D$2002,4,FALSE),"")</f>
        <v/>
      </c>
      <c r="BG149" t="str">
        <f>+IFERROR(VLOOKUP(BG50,IN_Zugliste!$A$4:$D$2002,4,FALSE),"")</f>
        <v/>
      </c>
      <c r="BH149" t="str">
        <f>+IFERROR(VLOOKUP(BH50,IN_Zugliste!$A$4:$D$2002,4,FALSE),"")</f>
        <v/>
      </c>
      <c r="BI149" t="str">
        <f>+IFERROR(VLOOKUP(BI50,IN_Zugliste!$A$4:$D$2002,4,FALSE),"")</f>
        <v/>
      </c>
      <c r="BJ149" t="str">
        <f>+IFERROR(VLOOKUP(BJ50,IN_Zugliste!$A$4:$D$2002,4,FALSE),"")</f>
        <v/>
      </c>
      <c r="BK149" t="str">
        <f>+IFERROR(VLOOKUP(BK50,IN_Zugliste!$A$4:$D$2002,4,FALSE),"")</f>
        <v/>
      </c>
      <c r="BL149" t="str">
        <f>+IFERROR(VLOOKUP(BL50,IN_Zugliste!$A$4:$D$2002,4,FALSE),"")</f>
        <v/>
      </c>
      <c r="BM149" t="str">
        <f>+IFERROR(VLOOKUP(BM50,IN_Zugliste!$A$4:$D$2002,4,FALSE),"")</f>
        <v/>
      </c>
      <c r="BN149" t="str">
        <f>+IFERROR(VLOOKUP(BN50,IN_Zugliste!$A$4:$D$2002,4,FALSE),"")</f>
        <v/>
      </c>
      <c r="BO149" t="str">
        <f>+IFERROR(VLOOKUP(BO50,IN_Zugliste!$A$4:$D$2002,4,FALSE),"")</f>
        <v/>
      </c>
      <c r="BP149" t="str">
        <f>+IFERROR(VLOOKUP(BP50,IN_Zugliste!$A$4:$D$2002,4,FALSE),"")</f>
        <v/>
      </c>
      <c r="BQ149" t="str">
        <f>+IFERROR(VLOOKUP(BQ50,IN_Zugliste!$A$4:$D$2002,4,FALSE),"")</f>
        <v/>
      </c>
      <c r="BR149" t="str">
        <f>+IFERROR(VLOOKUP(BR50,IN_Zugliste!$A$4:$D$2002,4,FALSE),"")</f>
        <v/>
      </c>
      <c r="BS149" t="str">
        <f>+IFERROR(VLOOKUP(BS50,IN_Zugliste!$A$4:$D$2002,4,FALSE),"")</f>
        <v/>
      </c>
      <c r="BT149" t="str">
        <f>+IFERROR(VLOOKUP(BT50,IN_Zugliste!$A$4:$D$2002,4,FALSE),"")</f>
        <v/>
      </c>
      <c r="BU149" t="str">
        <f>+IFERROR(VLOOKUP(BU50,IN_Zugliste!$A$4:$D$2002,4,FALSE),"")</f>
        <v/>
      </c>
      <c r="BV149" t="str">
        <f>+IFERROR(VLOOKUP(BV50,IN_Zugliste!$A$4:$D$2002,4,FALSE),"")</f>
        <v/>
      </c>
      <c r="BW149" t="str">
        <f>+IFERROR(VLOOKUP(BW50,IN_Zugliste!$A$4:$D$2002,4,FALSE),"")</f>
        <v/>
      </c>
      <c r="BX149" t="str">
        <f>+IFERROR(VLOOKUP(BX50,IN_Zugliste!$A$4:$D$2002,4,FALSE),"")</f>
        <v/>
      </c>
      <c r="BY149" t="str">
        <f>+IFERROR(VLOOKUP(BY50,IN_Zugliste!$A$4:$D$2002,4,FALSE),"")</f>
        <v/>
      </c>
      <c r="BZ149" t="str">
        <f>+IFERROR(VLOOKUP(BZ50,IN_Zugliste!$A$4:$D$2002,4,FALSE),"")</f>
        <v/>
      </c>
      <c r="CA149" t="str">
        <f>+IFERROR(VLOOKUP(CA50,IN_Zugliste!$A$4:$D$2002,4,FALSE),"")</f>
        <v/>
      </c>
      <c r="CB149" t="str">
        <f>+IFERROR(VLOOKUP(CB50,IN_Zugliste!$A$4:$D$2002,4,FALSE),"")</f>
        <v/>
      </c>
      <c r="CC149" t="str">
        <f>+IFERROR(VLOOKUP(CC50,IN_Zugliste!$A$4:$D$2002,4,FALSE),"")</f>
        <v/>
      </c>
      <c r="CD149" t="str">
        <f>+IFERROR(VLOOKUP(CD50,IN_Zugliste!$A$4:$D$2002,4,FALSE),"")</f>
        <v/>
      </c>
      <c r="CE149" t="str">
        <f>+IFERROR(VLOOKUP(CE50,IN_Zugliste!$A$4:$D$2002,4,FALSE),"")</f>
        <v/>
      </c>
      <c r="CF149" t="str">
        <f>+IFERROR(VLOOKUP(CF50,IN_Zugliste!$A$4:$D$2002,4,FALSE),"")</f>
        <v/>
      </c>
      <c r="CG149" t="str">
        <f>+IFERROR(VLOOKUP(CG50,IN_Zugliste!$A$4:$D$2002,4,FALSE),"")</f>
        <v/>
      </c>
      <c r="CH149" t="str">
        <f>+IFERROR(VLOOKUP(CH50,IN_Zugliste!$A$4:$D$2002,4,FALSE),"")</f>
        <v/>
      </c>
      <c r="CI149" t="str">
        <f>+IFERROR(VLOOKUP(CI50,IN_Zugliste!$A$4:$D$2002,4,FALSE),"")</f>
        <v/>
      </c>
      <c r="CJ149" t="str">
        <f>+IFERROR(VLOOKUP(CJ50,IN_Zugliste!$A$4:$D$2002,4,FALSE),"")</f>
        <v/>
      </c>
      <c r="CK149" t="str">
        <f>+IFERROR(VLOOKUP(CK50,IN_Zugliste!$A$4:$D$2002,4,FALSE),"")</f>
        <v/>
      </c>
      <c r="CL149" t="str">
        <f>+IFERROR(VLOOKUP(CL50,IN_Zugliste!$A$4:$D$2002,4,FALSE),"")</f>
        <v/>
      </c>
      <c r="CM149" t="str">
        <f>+IFERROR(VLOOKUP(CM50,IN_Zugliste!$A$4:$D$2002,4,FALSE),"")</f>
        <v/>
      </c>
      <c r="CN149" t="str">
        <f>+IFERROR(VLOOKUP(CN50,IN_Zugliste!$A$4:$D$2002,4,FALSE),"")</f>
        <v/>
      </c>
      <c r="CO149" t="str">
        <f>+IFERROR(VLOOKUP(CO50,IN_Zugliste!$A$4:$D$2002,4,FALSE),"")</f>
        <v/>
      </c>
      <c r="CP149" t="str">
        <f>+IFERROR(VLOOKUP(CP50,IN_Zugliste!$A$4:$D$2002,4,FALSE),"")</f>
        <v/>
      </c>
      <c r="CQ149" t="str">
        <f>+IFERROR(VLOOKUP(CQ50,IN_Zugliste!$A$4:$D$2002,4,FALSE),"")</f>
        <v/>
      </c>
      <c r="CR149" t="str">
        <f>+IFERROR(VLOOKUP(CR50,IN_Zugliste!$A$4:$D$2002,4,FALSE),"")</f>
        <v/>
      </c>
      <c r="CS149" t="str">
        <f>+IFERROR(VLOOKUP(CS50,IN_Zugliste!$A$4:$D$2002,4,FALSE),"")</f>
        <v/>
      </c>
      <c r="CT149" t="str">
        <f>+IFERROR(VLOOKUP(CT50,IN_Zugliste!$A$4:$D$2002,4,FALSE),"")</f>
        <v/>
      </c>
      <c r="CU149" t="str">
        <f>+IFERROR(VLOOKUP(CU50,IN_Zugliste!$A$4:$D$2002,4,FALSE),"")</f>
        <v/>
      </c>
      <c r="CV149" t="str">
        <f>+IFERROR(VLOOKUP(CV50,IN_Zugliste!$A$4:$D$2002,4,FALSE),"")</f>
        <v/>
      </c>
      <c r="CW149" t="str">
        <f>+IFERROR(VLOOKUP(CW50,IN_Zugliste!$A$4:$D$2002,4,FALSE),"")</f>
        <v/>
      </c>
      <c r="CX149" t="str">
        <f>+IFERROR(VLOOKUP(CX50,IN_Zugliste!$A$4:$D$2002,4,FALSE),"")</f>
        <v/>
      </c>
      <c r="CY149" t="str">
        <f>+IFERROR(VLOOKUP(CY50,IN_Zugliste!$A$4:$D$2002,4,FALSE),"")</f>
        <v/>
      </c>
      <c r="CZ149" t="str">
        <f>+IFERROR(VLOOKUP(CZ50,IN_Zugliste!$A$4:$D$2002,4,FALSE),"")</f>
        <v/>
      </c>
      <c r="DA149" t="str">
        <f>+IFERROR(VLOOKUP(DA50,IN_Zugliste!$A$4:$D$2002,4,FALSE),"")</f>
        <v/>
      </c>
      <c r="DB149" t="str">
        <f>+IFERROR(VLOOKUP(DB50,IN_Zugliste!$A$4:$D$2002,4,FALSE),"")</f>
        <v/>
      </c>
      <c r="DC149" t="str">
        <f>+IFERROR(VLOOKUP(DC50,IN_Zugliste!$A$4:$D$2002,4,FALSE),"")</f>
        <v/>
      </c>
      <c r="DD149" t="str">
        <f>+IFERROR(VLOOKUP(DD50,IN_Zugliste!$A$4:$D$2002,4,FALSE),"")</f>
        <v/>
      </c>
      <c r="DE149" t="str">
        <f>+IFERROR(VLOOKUP(DE50,IN_Zugliste!$A$4:$D$2002,4,FALSE),"")</f>
        <v/>
      </c>
      <c r="DF149" t="str">
        <f>+IFERROR(VLOOKUP(DF50,IN_Zugliste!$A$4:$D$2002,4,FALSE),"")</f>
        <v/>
      </c>
      <c r="DG149" t="str">
        <f>+IFERROR(VLOOKUP(DG50,IN_Zugliste!$A$4:$D$2002,4,FALSE),"")</f>
        <v/>
      </c>
      <c r="DH149" t="str">
        <f>+IFERROR(VLOOKUP(DH50,IN_Zugliste!$A$4:$D$2002,4,FALSE),"")</f>
        <v/>
      </c>
      <c r="DI149" t="str">
        <f>+IFERROR(VLOOKUP(DI50,IN_Zugliste!$A$4:$D$2002,4,FALSE),"")</f>
        <v/>
      </c>
      <c r="DJ149" t="str">
        <f>+IFERROR(VLOOKUP(DJ50,IN_Zugliste!$A$4:$D$2002,4,FALSE),"")</f>
        <v/>
      </c>
      <c r="DK149" t="str">
        <f>+IFERROR(VLOOKUP(DK50,IN_Zugliste!$A$4:$D$2002,4,FALSE),"")</f>
        <v/>
      </c>
      <c r="DL149" t="str">
        <f>+IFERROR(VLOOKUP(DL50,IN_Zugliste!$A$4:$D$2002,4,FALSE),"")</f>
        <v/>
      </c>
      <c r="DM149" t="str">
        <f>+IFERROR(VLOOKUP(DM50,IN_Zugliste!$A$4:$D$2002,4,FALSE),"")</f>
        <v/>
      </c>
      <c r="DN149" t="str">
        <f>+IFERROR(VLOOKUP(DN50,IN_Zugliste!$A$4:$D$2002,4,FALSE),"")</f>
        <v/>
      </c>
      <c r="DO149" t="str">
        <f>+IFERROR(VLOOKUP(DO50,IN_Zugliste!$A$4:$D$2002,4,FALSE),"")</f>
        <v/>
      </c>
      <c r="DP149" t="str">
        <f>+IFERROR(VLOOKUP(DP50,IN_Zugliste!$A$4:$D$2002,4,FALSE),"")</f>
        <v/>
      </c>
      <c r="DQ149" t="str">
        <f>+IFERROR(VLOOKUP(DQ50,IN_Zugliste!$A$4:$D$2002,4,FALSE),"")</f>
        <v/>
      </c>
      <c r="DR149" t="str">
        <f>+IFERROR(VLOOKUP(DR50,IN_Zugliste!$A$4:$D$2002,4,FALSE),"")</f>
        <v/>
      </c>
      <c r="DS149" t="str">
        <f>+IFERROR(VLOOKUP(DS50,IN_Zugliste!$A$4:$D$2002,4,FALSE),"")</f>
        <v/>
      </c>
      <c r="DT149" t="str">
        <f>+IFERROR(VLOOKUP(DT50,IN_Zugliste!$A$4:$D$2002,4,FALSE),"")</f>
        <v/>
      </c>
      <c r="DU149" t="str">
        <f>+IFERROR(VLOOKUP(DU50,IN_Zugliste!$A$4:$D$2002,4,FALSE),"")</f>
        <v/>
      </c>
      <c r="DV149" t="str">
        <f>+IFERROR(VLOOKUP(DV50,IN_Zugliste!$A$4:$D$2002,4,FALSE),"")</f>
        <v/>
      </c>
      <c r="DW149" t="str">
        <f>+IFERROR(VLOOKUP(DW50,IN_Zugliste!$A$4:$D$2002,4,FALSE),"")</f>
        <v/>
      </c>
      <c r="DX149" t="str">
        <f>+IFERROR(VLOOKUP(DX50,IN_Zugliste!$A$4:$D$2002,4,FALSE),"")</f>
        <v/>
      </c>
      <c r="DY149" t="str">
        <f>+IFERROR(VLOOKUP(DY50,IN_Zugliste!$A$4:$D$2002,4,FALSE),"")</f>
        <v/>
      </c>
      <c r="DZ149" t="str">
        <f>+IFERROR(VLOOKUP(DZ50,IN_Zugliste!$A$4:$D$2002,4,FALSE),"")</f>
        <v/>
      </c>
      <c r="EA149" t="str">
        <f>+IFERROR(VLOOKUP(EA50,IN_Zugliste!$A$4:$D$2002,4,FALSE),"")</f>
        <v/>
      </c>
      <c r="EB149" t="str">
        <f>+IFERROR(VLOOKUP(EB50,IN_Zugliste!$A$4:$D$2002,4,FALSE),"")</f>
        <v/>
      </c>
      <c r="EC149" t="str">
        <f>+IFERROR(VLOOKUP(EC50,IN_Zugliste!$A$4:$D$2002,4,FALSE),"")</f>
        <v/>
      </c>
      <c r="ED149" t="str">
        <f>+IFERROR(VLOOKUP(ED50,IN_Zugliste!$A$4:$D$2002,4,FALSE),"")</f>
        <v/>
      </c>
      <c r="EE149" t="str">
        <f>+IFERROR(VLOOKUP(EE50,IN_Zugliste!$A$4:$D$2002,4,FALSE),"")</f>
        <v/>
      </c>
      <c r="EF149" t="str">
        <f>+IFERROR(VLOOKUP(EF50,IN_Zugliste!$A$4:$D$2002,4,FALSE),"")</f>
        <v/>
      </c>
      <c r="EG149" t="str">
        <f>+IFERROR(VLOOKUP(EG50,IN_Zugliste!$A$4:$D$2002,4,FALSE),"")</f>
        <v/>
      </c>
      <c r="EH149" t="str">
        <f>+IFERROR(VLOOKUP(EH50,IN_Zugliste!$A$4:$D$2002,4,FALSE),"")</f>
        <v/>
      </c>
      <c r="EI149" t="str">
        <f>+IFERROR(VLOOKUP(EI50,IN_Zugliste!$A$4:$D$2002,4,FALSE),"")</f>
        <v/>
      </c>
      <c r="EJ149" t="str">
        <f>+IFERROR(VLOOKUP(EJ50,IN_Zugliste!$A$4:$D$2002,4,FALSE),"")</f>
        <v/>
      </c>
      <c r="EK149" t="str">
        <f>+IFERROR(VLOOKUP(EK50,IN_Zugliste!$A$4:$D$2002,4,FALSE),"")</f>
        <v/>
      </c>
      <c r="EL149" t="str">
        <f>+IFERROR(VLOOKUP(EL50,IN_Zugliste!$A$4:$D$2002,4,FALSE),"")</f>
        <v/>
      </c>
      <c r="EM149" t="str">
        <f>+IFERROR(VLOOKUP(EM50,IN_Zugliste!$A$4:$D$2002,4,FALSE),"")</f>
        <v/>
      </c>
      <c r="EN149" t="str">
        <f>+IFERROR(VLOOKUP(EN50,IN_Zugliste!$A$4:$D$2002,4,FALSE),"")</f>
        <v/>
      </c>
      <c r="EO149" t="str">
        <f>+IFERROR(VLOOKUP(EO50,IN_Zugliste!$A$4:$D$2002,4,FALSE),"")</f>
        <v/>
      </c>
      <c r="EP149" t="str">
        <f>+IFERROR(VLOOKUP(EP50,IN_Zugliste!$A$4:$D$2002,4,FALSE),"")</f>
        <v/>
      </c>
      <c r="EQ149" t="str">
        <f>+IFERROR(VLOOKUP(EQ50,IN_Zugliste!$A$4:$D$2002,4,FALSE),"")</f>
        <v/>
      </c>
      <c r="ER149" t="str">
        <f>+IFERROR(VLOOKUP(ER50,IN_Zugliste!$A$4:$D$2002,4,FALSE),"")</f>
        <v/>
      </c>
      <c r="ES149" t="str">
        <f>+IFERROR(VLOOKUP(ES50,IN_Zugliste!$A$4:$D$2002,4,FALSE),"")</f>
        <v/>
      </c>
      <c r="ET149" t="str">
        <f>+IFERROR(VLOOKUP(ET50,IN_Zugliste!$A$4:$D$2002,4,FALSE),"")</f>
        <v/>
      </c>
      <c r="EU149" t="str">
        <f>+IFERROR(VLOOKUP(EU50,IN_Zugliste!$A$4:$D$2002,4,FALSE),"")</f>
        <v/>
      </c>
      <c r="EV149" t="str">
        <f>+IFERROR(VLOOKUP(EV50,IN_Zugliste!$A$4:$D$2002,4,FALSE),"")</f>
        <v/>
      </c>
      <c r="EW149" t="str">
        <f>+IFERROR(VLOOKUP(EW50,IN_Zugliste!$A$4:$D$2002,4,FALSE),"")</f>
        <v/>
      </c>
      <c r="EX149" t="str">
        <f>+IFERROR(VLOOKUP(EX50,IN_Zugliste!$A$4:$D$2002,4,FALSE),"")</f>
        <v/>
      </c>
      <c r="EY149" t="str">
        <f>+IFERROR(VLOOKUP(EY50,IN_Zugliste!$A$4:$D$2002,4,FALSE),"")</f>
        <v/>
      </c>
      <c r="EZ149" t="str">
        <f>+IFERROR(VLOOKUP(EZ50,IN_Zugliste!$A$4:$D$2002,4,FALSE),"")</f>
        <v/>
      </c>
      <c r="FA149" t="str">
        <f>+IFERROR(VLOOKUP(FA50,IN_Zugliste!$A$4:$D$2002,4,FALSE),"")</f>
        <v/>
      </c>
      <c r="FB149" t="str">
        <f>+IFERROR(VLOOKUP(FB50,IN_Zugliste!$A$4:$D$2002,4,FALSE),"")</f>
        <v/>
      </c>
      <c r="FC149" t="str">
        <f>+IFERROR(VLOOKUP(FC50,IN_Zugliste!$A$4:$D$2002,4,FALSE),"")</f>
        <v/>
      </c>
      <c r="FD149" t="str">
        <f>+IFERROR(VLOOKUP(FD50,IN_Zugliste!$A$4:$D$2002,4,FALSE),"")</f>
        <v/>
      </c>
      <c r="FE149" t="str">
        <f>+IFERROR(VLOOKUP(FE50,IN_Zugliste!$A$4:$D$2002,4,FALSE),"")</f>
        <v/>
      </c>
      <c r="FF149" t="str">
        <f>+IFERROR(VLOOKUP(FF50,IN_Zugliste!$A$4:$D$2002,4,FALSE),"")</f>
        <v/>
      </c>
      <c r="FG149" t="str">
        <f>+IFERROR(VLOOKUP(FG50,IN_Zugliste!$A$4:$D$2002,4,FALSE),"")</f>
        <v/>
      </c>
      <c r="FH149" t="str">
        <f>+IFERROR(VLOOKUP(FH50,IN_Zugliste!$A$4:$D$2002,4,FALSE),"")</f>
        <v/>
      </c>
      <c r="FI149" t="str">
        <f>+IFERROR(VLOOKUP(FI50,IN_Zugliste!$A$4:$D$2002,4,FALSE),"")</f>
        <v/>
      </c>
      <c r="FJ149" t="str">
        <f>+IFERROR(VLOOKUP(FJ50,IN_Zugliste!$A$4:$D$2002,4,FALSE),"")</f>
        <v/>
      </c>
      <c r="FK149" t="str">
        <f>+IFERROR(VLOOKUP(FK50,IN_Zugliste!$A$4:$D$2002,4,FALSE),"")</f>
        <v/>
      </c>
      <c r="FL149" t="str">
        <f>+IFERROR(VLOOKUP(FL50,IN_Zugliste!$A$4:$D$2002,4,FALSE),"")</f>
        <v/>
      </c>
      <c r="FM149" t="str">
        <f>+IFERROR(VLOOKUP(FM50,IN_Zugliste!$A$4:$C$602,4,FALSE),"")</f>
        <v/>
      </c>
      <c r="FN149" t="str">
        <f>+IFERROR(VLOOKUP(FN50,IN_Zugliste!$A$4:$C$602,4,FALSE),"")</f>
        <v/>
      </c>
      <c r="FO149" t="str">
        <f>+IFERROR(VLOOKUP(FO50,IN_Zugliste!$A$4:$C$602,4,FALSE),"")</f>
        <v/>
      </c>
      <c r="FP149" t="str">
        <f>+IFERROR(VLOOKUP(FP50,IN_Zugliste!$A$4:$C$602,4,FALSE),"")</f>
        <v/>
      </c>
      <c r="FQ149" t="str">
        <f>+IFERROR(VLOOKUP(FQ50,IN_Zugliste!$A$4:$C$602,4,FALSE),"")</f>
        <v/>
      </c>
      <c r="FR149" t="str">
        <f>+IFERROR(VLOOKUP(FR50,IN_Zugliste!$A$4:$C$602,4,FALSE),"")</f>
        <v/>
      </c>
      <c r="FS149" t="str">
        <f>+IFERROR(VLOOKUP(FS50,IN_Zugliste!$A$4:$C$602,4,FALSE),"")</f>
        <v/>
      </c>
      <c r="FT149" t="str">
        <f>+IFERROR(VLOOKUP(FT50,IN_Zugliste!$A$4:$C$602,4,FALSE),"")</f>
        <v/>
      </c>
      <c r="FU149" t="str">
        <f>+IFERROR(VLOOKUP(FU50,IN_Zugliste!$A$4:$C$602,4,FALSE),"")</f>
        <v/>
      </c>
      <c r="FV149" t="str">
        <f>+IFERROR(VLOOKUP(FV50,IN_Zugliste!$A$4:$C$602,4,FALSE),"")</f>
        <v/>
      </c>
      <c r="FW149" t="str">
        <f>+IFERROR(VLOOKUP(FW50,IN_Zugliste!$A$4:$C$602,4,FALSE),"")</f>
        <v/>
      </c>
      <c r="FX149" t="str">
        <f>+IFERROR(VLOOKUP(FX50,IN_Zugliste!$A$4:$C$602,4,FALSE),"")</f>
        <v/>
      </c>
      <c r="FY149" t="str">
        <f>+IFERROR(VLOOKUP(FY50,IN_Zugliste!$A$4:$C$602,4,FALSE),"")</f>
        <v/>
      </c>
      <c r="FZ149" t="str">
        <f>+IFERROR(VLOOKUP(FZ50,IN_Zugliste!$A$4:$C$602,4,FALSE),"")</f>
        <v/>
      </c>
      <c r="GA149" t="str">
        <f>+IFERROR(VLOOKUP(GA50,IN_Zugliste!$A$4:$C$602,4,FALSE),"")</f>
        <v/>
      </c>
      <c r="GB149" t="str">
        <f>+IFERROR(VLOOKUP(GB50,IN_Zugliste!$A$4:$C$602,4,FALSE),"")</f>
        <v/>
      </c>
      <c r="GC149" t="str">
        <f>+IFERROR(VLOOKUP(GC50,IN_Zugliste!$A$4:$C$602,4,FALSE),"")</f>
        <v/>
      </c>
      <c r="GD149" t="str">
        <f>+IFERROR(VLOOKUP(GD50,IN_Zugliste!$A$4:$C$602,4,FALSE),"")</f>
        <v/>
      </c>
      <c r="GE149" t="str">
        <f>+IFERROR(VLOOKUP(GE50,IN_Zugliste!$A$4:$C$602,4,FALSE),"")</f>
        <v/>
      </c>
      <c r="GF149" t="str">
        <f>+IFERROR(VLOOKUP(GF50,IN_Zugliste!$A$4:$C$602,4,FALSE),"")</f>
        <v/>
      </c>
      <c r="GG149" t="str">
        <f>+IFERROR(VLOOKUP(GG50,IN_Zugliste!$A$4:$C$602,4,FALSE),"")</f>
        <v/>
      </c>
      <c r="GH149" t="str">
        <f>+IFERROR(VLOOKUP(GH50,IN_Zugliste!$A$4:$C$602,4,FALSE),"")</f>
        <v/>
      </c>
      <c r="GI149" t="str">
        <f>+IFERROR(VLOOKUP(GI50,IN_Zugliste!$A$4:$C$602,4,FALSE),"")</f>
        <v/>
      </c>
      <c r="GJ149" t="str">
        <f>+IFERROR(VLOOKUP(GJ50,IN_Zugliste!$A$4:$C$602,4,FALSE),"")</f>
        <v/>
      </c>
      <c r="GK149" t="str">
        <f>+IFERROR(VLOOKUP(GK50,IN_Zugliste!$A$4:$C$602,4,FALSE),"")</f>
        <v/>
      </c>
      <c r="GL149" t="str">
        <f>+IFERROR(VLOOKUP(GL50,IN_Zugliste!$A$4:$C$602,4,FALSE),"")</f>
        <v/>
      </c>
      <c r="GM149" t="str">
        <f>+IFERROR(VLOOKUP(GM50,IN_Zugliste!$A$4:$C$602,4,FALSE),"")</f>
        <v/>
      </c>
      <c r="GN149" t="str">
        <f>+IFERROR(VLOOKUP(GN50,IN_Zugliste!$A$4:$C$602,4,FALSE),"")</f>
        <v/>
      </c>
      <c r="GO149" t="str">
        <f>+IFERROR(VLOOKUP(GO50,IN_Zugliste!$A$4:$C$602,4,FALSE),"")</f>
        <v/>
      </c>
      <c r="GP149" t="str">
        <f>+IFERROR(VLOOKUP(GP50,IN_Zugliste!$A$4:$C$602,4,FALSE),"")</f>
        <v/>
      </c>
      <c r="GQ149" t="str">
        <f>+IFERROR(VLOOKUP(GQ50,IN_Zugliste!$A$4:$C$602,4,FALSE),"")</f>
        <v/>
      </c>
      <c r="GR149" t="str">
        <f>+IFERROR(VLOOKUP(GR50,IN_Zugliste!$A$4:$C$602,4,FALSE),"")</f>
        <v/>
      </c>
      <c r="GS149" t="str">
        <f>+IFERROR(VLOOKUP(GS50,IN_Zugliste!$A$4:$C$602,4,FALSE),"")</f>
        <v/>
      </c>
      <c r="GT149" t="str">
        <f>+IFERROR(VLOOKUP(GT50,IN_Zugliste!$A$4:$C$602,4,FALSE),"")</f>
        <v/>
      </c>
      <c r="GU149" t="str">
        <f>+IFERROR(VLOOKUP(GU50,IN_Zugliste!$A$4:$C$602,4,FALSE),"")</f>
        <v/>
      </c>
      <c r="GV149" t="str">
        <f>+IFERROR(VLOOKUP(GV50,IN_Zugliste!$A$4:$C$602,4,FALSE),"")</f>
        <v/>
      </c>
      <c r="GW149" t="str">
        <f>+IFERROR(VLOOKUP(GW50,IN_Zugliste!$A$4:$C$602,4,FALSE),"")</f>
        <v/>
      </c>
      <c r="GX149" t="str">
        <f>+IFERROR(VLOOKUP(GX50,IN_Zugliste!$A$4:$C$602,4,FALSE),"")</f>
        <v/>
      </c>
      <c r="GY149" t="str">
        <f>+IFERROR(VLOOKUP(GY50,IN_Zugliste!$A$4:$C$602,4,FALSE),"")</f>
        <v/>
      </c>
      <c r="GZ149" t="str">
        <f>+IFERROR(VLOOKUP(GZ50,IN_Zugliste!$A$4:$C$602,4,FALSE),"")</f>
        <v/>
      </c>
      <c r="HA149" t="str">
        <f>+IFERROR(VLOOKUP(HA50,IN_Zugliste!$A$4:$C$602,4,FALSE),"")</f>
        <v/>
      </c>
      <c r="HB149" t="str">
        <f>+IFERROR(VLOOKUP(HB50,IN_Zugliste!$A$4:$C$602,4,FALSE),"")</f>
        <v/>
      </c>
      <c r="HC149" t="str">
        <f>+IFERROR(VLOOKUP(HC50,IN_Zugliste!$A$4:$C$602,4,FALSE),"")</f>
        <v/>
      </c>
      <c r="HD149" t="str">
        <f>+IFERROR(VLOOKUP(HD50,IN_Zugliste!$A$4:$C$602,4,FALSE),"")</f>
        <v/>
      </c>
      <c r="HE149" t="str">
        <f>+IFERROR(VLOOKUP(HE50,IN_Zugliste!$A$4:$C$602,4,FALSE),"")</f>
        <v/>
      </c>
      <c r="HF149" t="str">
        <f>+IFERROR(VLOOKUP(HF50,IN_Zugliste!$A$4:$C$602,4,FALSE),"")</f>
        <v/>
      </c>
      <c r="HG149" t="str">
        <f>+IFERROR(VLOOKUP(HG50,IN_Zugliste!$A$4:$C$602,4,FALSE),"")</f>
        <v/>
      </c>
      <c r="HH149" t="str">
        <f>+IFERROR(VLOOKUP(HH50,IN_Zugliste!$A$4:$C$602,4,FALSE),"")</f>
        <v/>
      </c>
    </row>
    <row r="150" spans="1:216" x14ac:dyDescent="0.2">
      <c r="A150" t="str">
        <f>+IFERROR(VLOOKUP(A51,IN_Zugliste!$A$4:$D$2002,4,FALSE),"")</f>
        <v/>
      </c>
      <c r="B150" t="str">
        <f>+IFERROR(VLOOKUP(B51,IN_Zugliste!$A$4:$D$2002,4,FALSE),"")</f>
        <v/>
      </c>
      <c r="C150" t="str">
        <f>+IFERROR(VLOOKUP(C51,IN_Zugliste!$A$4:$D$2002,4,FALSE),"")</f>
        <v/>
      </c>
      <c r="D150" t="str">
        <f>+IFERROR(VLOOKUP(D51,IN_Zugliste!$A$4:$D$2002,4,FALSE),"")</f>
        <v/>
      </c>
      <c r="E150" t="str">
        <f>+IFERROR(VLOOKUP(E51,IN_Zugliste!$A$4:$D$2002,4,FALSE),"")</f>
        <v/>
      </c>
      <c r="F150" t="str">
        <f>+IFERROR(VLOOKUP(F51,IN_Zugliste!$A$4:$D$2002,4,FALSE),"")</f>
        <v/>
      </c>
      <c r="G150" t="str">
        <f>+IFERROR(VLOOKUP(G51,IN_Zugliste!$A$4:$D$2002,4,FALSE),"")</f>
        <v/>
      </c>
      <c r="H150" t="str">
        <f>+IFERROR(VLOOKUP(H51,IN_Zugliste!$A$4:$D$2002,4,FALSE),"")</f>
        <v/>
      </c>
      <c r="I150" t="str">
        <f>+IFERROR(VLOOKUP(I51,IN_Zugliste!$A$4:$D$2002,4,FALSE),"")</f>
        <v/>
      </c>
      <c r="J150" t="str">
        <f>+IFERROR(VLOOKUP(J51,IN_Zugliste!$A$4:$D$2002,4,FALSE),"")</f>
        <v/>
      </c>
      <c r="K150" t="str">
        <f>+IFERROR(VLOOKUP(K51,IN_Zugliste!$A$4:$D$2002,4,FALSE),"")</f>
        <v/>
      </c>
      <c r="L150" t="str">
        <f>+IFERROR(VLOOKUP(L51,IN_Zugliste!$A$4:$D$2002,4,FALSE),"")</f>
        <v/>
      </c>
      <c r="M150" t="str">
        <f>+IFERROR(VLOOKUP(M51,IN_Zugliste!$A$4:$D$2002,4,FALSE),"")</f>
        <v/>
      </c>
      <c r="N150" t="str">
        <f>+IFERROR(VLOOKUP(N51,IN_Zugliste!$A$4:$D$2002,4,FALSE),"")</f>
        <v/>
      </c>
      <c r="O150" t="str">
        <f>+IFERROR(VLOOKUP(O51,IN_Zugliste!$A$4:$D$2002,4,FALSE),"")</f>
        <v/>
      </c>
      <c r="P150" t="str">
        <f>+IFERROR(VLOOKUP(P51,IN_Zugliste!$A$4:$D$2002,4,FALSE),"")</f>
        <v/>
      </c>
      <c r="Q150" t="str">
        <f>+IFERROR(VLOOKUP(Q51,IN_Zugliste!$A$4:$D$2002,4,FALSE),"")</f>
        <v/>
      </c>
      <c r="R150" t="str">
        <f>+IFERROR(VLOOKUP(R51,IN_Zugliste!$A$4:$D$2002,4,FALSE),"")</f>
        <v/>
      </c>
      <c r="S150" t="str">
        <f>+IFERROR(VLOOKUP(S51,IN_Zugliste!$A$4:$D$2002,4,FALSE),"")</f>
        <v/>
      </c>
      <c r="T150" t="str">
        <f>+IFERROR(VLOOKUP(T51,IN_Zugliste!$A$4:$D$2002,4,FALSE),"")</f>
        <v/>
      </c>
      <c r="U150" t="str">
        <f>+IFERROR(VLOOKUP(U51,IN_Zugliste!$A$4:$D$2002,4,FALSE),"")</f>
        <v/>
      </c>
      <c r="V150" t="str">
        <f>+IFERROR(VLOOKUP(V51,IN_Zugliste!$A$4:$D$2002,4,FALSE),"")</f>
        <v/>
      </c>
      <c r="W150" t="str">
        <f>+IFERROR(VLOOKUP(W51,IN_Zugliste!$A$4:$D$2002,4,FALSE),"")</f>
        <v/>
      </c>
      <c r="X150" t="str">
        <f>+IFERROR(VLOOKUP(X51,IN_Zugliste!$A$4:$D$2002,4,FALSE),"")</f>
        <v/>
      </c>
      <c r="Y150" t="str">
        <f>+IFERROR(VLOOKUP(Y51,IN_Zugliste!$A$4:$D$2002,4,FALSE),"")</f>
        <v/>
      </c>
      <c r="Z150" t="str">
        <f>+IFERROR(VLOOKUP(Z51,IN_Zugliste!$A$4:$D$2002,4,FALSE),"")</f>
        <v/>
      </c>
      <c r="AA150" t="str">
        <f>+IFERROR(VLOOKUP(AA51,IN_Zugliste!$A$4:$D$2002,4,FALSE),"")</f>
        <v/>
      </c>
      <c r="AB150" t="str">
        <f>+IFERROR(VLOOKUP(AB51,IN_Zugliste!$A$4:$D$2002,4,FALSE),"")</f>
        <v/>
      </c>
      <c r="AC150" t="str">
        <f>+IFERROR(VLOOKUP(AC51,IN_Zugliste!$A$4:$D$2002,4,FALSE),"")</f>
        <v/>
      </c>
      <c r="AD150" t="str">
        <f>+IFERROR(VLOOKUP(AD51,IN_Zugliste!$A$4:$D$2002,4,FALSE),"")</f>
        <v/>
      </c>
      <c r="AE150" t="str">
        <f>+IFERROR(VLOOKUP(AE51,IN_Zugliste!$A$4:$D$2002,4,FALSE),"")</f>
        <v/>
      </c>
      <c r="AF150" t="str">
        <f>+IFERROR(VLOOKUP(AF51,IN_Zugliste!$A$4:$D$2002,4,FALSE),"")</f>
        <v/>
      </c>
      <c r="AG150" t="str">
        <f>+IFERROR(VLOOKUP(AG51,IN_Zugliste!$A$4:$D$2002,4,FALSE),"")</f>
        <v/>
      </c>
      <c r="AH150" t="str">
        <f>+IFERROR(VLOOKUP(AH51,IN_Zugliste!$A$4:$D$2002,4,FALSE),"")</f>
        <v/>
      </c>
      <c r="AI150" t="str">
        <f>+IFERROR(VLOOKUP(AI51,IN_Zugliste!$A$4:$D$2002,4,FALSE),"")</f>
        <v/>
      </c>
      <c r="AJ150" t="str">
        <f>+IFERROR(VLOOKUP(AJ51,IN_Zugliste!$A$4:$D$2002,4,FALSE),"")</f>
        <v/>
      </c>
      <c r="AK150" t="str">
        <f>+IFERROR(VLOOKUP(AK51,IN_Zugliste!$A$4:$D$2002,4,FALSE),"")</f>
        <v/>
      </c>
      <c r="AL150" t="str">
        <f>+IFERROR(VLOOKUP(AL51,IN_Zugliste!$A$4:$D$2002,4,FALSE),"")</f>
        <v/>
      </c>
      <c r="AM150" t="str">
        <f>+IFERROR(VLOOKUP(AM51,IN_Zugliste!$A$4:$D$2002,4,FALSE),"")</f>
        <v/>
      </c>
      <c r="AN150" t="str">
        <f>+IFERROR(VLOOKUP(AN51,IN_Zugliste!$A$4:$D$2002,4,FALSE),"")</f>
        <v/>
      </c>
      <c r="AO150" t="str">
        <f>+IFERROR(VLOOKUP(AO51,IN_Zugliste!$A$4:$D$2002,4,FALSE),"")</f>
        <v/>
      </c>
      <c r="AP150" t="str">
        <f>+IFERROR(VLOOKUP(AP51,IN_Zugliste!$A$4:$D$2002,4,FALSE),"")</f>
        <v/>
      </c>
      <c r="AQ150" t="str">
        <f>+IFERROR(VLOOKUP(AQ51,IN_Zugliste!$A$4:$D$2002,4,FALSE),"")</f>
        <v/>
      </c>
      <c r="AR150" t="str">
        <f>+IFERROR(VLOOKUP(AR51,IN_Zugliste!$A$4:$D$2002,4,FALSE),"")</f>
        <v/>
      </c>
      <c r="AS150" t="str">
        <f>+IFERROR(VLOOKUP(AS51,IN_Zugliste!$A$4:$D$2002,4,FALSE),"")</f>
        <v/>
      </c>
      <c r="AT150" t="str">
        <f>+IFERROR(VLOOKUP(AT51,IN_Zugliste!$A$4:$D$2002,4,FALSE),"")</f>
        <v/>
      </c>
      <c r="AU150" t="str">
        <f>+IFERROR(VLOOKUP(AU51,IN_Zugliste!$A$4:$D$2002,4,FALSE),"")</f>
        <v/>
      </c>
      <c r="AV150" t="str">
        <f>+IFERROR(VLOOKUP(AV51,IN_Zugliste!$A$4:$D$2002,4,FALSE),"")</f>
        <v/>
      </c>
      <c r="AW150" t="str">
        <f>+IFERROR(VLOOKUP(AW51,IN_Zugliste!$A$4:$D$2002,4,FALSE),"")</f>
        <v/>
      </c>
      <c r="AX150" t="str">
        <f>+IFERROR(VLOOKUP(AX51,IN_Zugliste!$A$4:$D$2002,4,FALSE),"")</f>
        <v/>
      </c>
      <c r="AY150" t="str">
        <f>+IFERROR(VLOOKUP(AY51,IN_Zugliste!$A$4:$D$2002,4,FALSE),"")</f>
        <v/>
      </c>
      <c r="AZ150" t="str">
        <f>+IFERROR(VLOOKUP(AZ51,IN_Zugliste!$A$4:$D$2002,4,FALSE),"")</f>
        <v/>
      </c>
      <c r="BA150" t="str">
        <f>+IFERROR(VLOOKUP(BA51,IN_Zugliste!$A$4:$D$2002,4,FALSE),"")</f>
        <v/>
      </c>
      <c r="BB150" t="str">
        <f>+IFERROR(VLOOKUP(BB51,IN_Zugliste!$A$4:$D$2002,4,FALSE),"")</f>
        <v/>
      </c>
      <c r="BC150" t="str">
        <f>+IFERROR(VLOOKUP(BC51,IN_Zugliste!$A$4:$D$2002,4,FALSE),"")</f>
        <v/>
      </c>
      <c r="BD150" t="str">
        <f>+IFERROR(VLOOKUP(BD51,IN_Zugliste!$A$4:$D$2002,4,FALSE),"")</f>
        <v/>
      </c>
      <c r="BE150" t="str">
        <f>+IFERROR(VLOOKUP(BE51,IN_Zugliste!$A$4:$D$2002,4,FALSE),"")</f>
        <v/>
      </c>
      <c r="BF150" t="str">
        <f>+IFERROR(VLOOKUP(BF51,IN_Zugliste!$A$4:$D$2002,4,FALSE),"")</f>
        <v/>
      </c>
      <c r="BG150" t="str">
        <f>+IFERROR(VLOOKUP(BG51,IN_Zugliste!$A$4:$D$2002,4,FALSE),"")</f>
        <v/>
      </c>
      <c r="BH150" t="str">
        <f>+IFERROR(VLOOKUP(BH51,IN_Zugliste!$A$4:$D$2002,4,FALSE),"")</f>
        <v/>
      </c>
      <c r="BI150" t="str">
        <f>+IFERROR(VLOOKUP(BI51,IN_Zugliste!$A$4:$D$2002,4,FALSE),"")</f>
        <v/>
      </c>
      <c r="BJ150" t="str">
        <f>+IFERROR(VLOOKUP(BJ51,IN_Zugliste!$A$4:$D$2002,4,FALSE),"")</f>
        <v/>
      </c>
      <c r="BK150" t="str">
        <f>+IFERROR(VLOOKUP(BK51,IN_Zugliste!$A$4:$D$2002,4,FALSE),"")</f>
        <v/>
      </c>
      <c r="BL150" t="str">
        <f>+IFERROR(VLOOKUP(BL51,IN_Zugliste!$A$4:$D$2002,4,FALSE),"")</f>
        <v/>
      </c>
      <c r="BM150" t="str">
        <f>+IFERROR(VLOOKUP(BM51,IN_Zugliste!$A$4:$D$2002,4,FALSE),"")</f>
        <v/>
      </c>
      <c r="BN150" t="str">
        <f>+IFERROR(VLOOKUP(BN51,IN_Zugliste!$A$4:$D$2002,4,FALSE),"")</f>
        <v/>
      </c>
      <c r="BO150" t="str">
        <f>+IFERROR(VLOOKUP(BO51,IN_Zugliste!$A$4:$D$2002,4,FALSE),"")</f>
        <v/>
      </c>
      <c r="BP150" t="str">
        <f>+IFERROR(VLOOKUP(BP51,IN_Zugliste!$A$4:$D$2002,4,FALSE),"")</f>
        <v/>
      </c>
      <c r="BQ150" t="str">
        <f>+IFERROR(VLOOKUP(BQ51,IN_Zugliste!$A$4:$D$2002,4,FALSE),"")</f>
        <v/>
      </c>
      <c r="BR150" t="str">
        <f>+IFERROR(VLOOKUP(BR51,IN_Zugliste!$A$4:$D$2002,4,FALSE),"")</f>
        <v/>
      </c>
      <c r="BS150" t="str">
        <f>+IFERROR(VLOOKUP(BS51,IN_Zugliste!$A$4:$D$2002,4,FALSE),"")</f>
        <v/>
      </c>
      <c r="BT150" t="str">
        <f>+IFERROR(VLOOKUP(BT51,IN_Zugliste!$A$4:$D$2002,4,FALSE),"")</f>
        <v/>
      </c>
      <c r="BU150" t="str">
        <f>+IFERROR(VLOOKUP(BU51,IN_Zugliste!$A$4:$D$2002,4,FALSE),"")</f>
        <v/>
      </c>
      <c r="BV150" t="str">
        <f>+IFERROR(VLOOKUP(BV51,IN_Zugliste!$A$4:$D$2002,4,FALSE),"")</f>
        <v/>
      </c>
      <c r="BW150" t="str">
        <f>+IFERROR(VLOOKUP(BW51,IN_Zugliste!$A$4:$D$2002,4,FALSE),"")</f>
        <v/>
      </c>
      <c r="BX150" t="str">
        <f>+IFERROR(VLOOKUP(BX51,IN_Zugliste!$A$4:$D$2002,4,FALSE),"")</f>
        <v/>
      </c>
      <c r="BY150" t="str">
        <f>+IFERROR(VLOOKUP(BY51,IN_Zugliste!$A$4:$D$2002,4,FALSE),"")</f>
        <v/>
      </c>
      <c r="BZ150" t="str">
        <f>+IFERROR(VLOOKUP(BZ51,IN_Zugliste!$A$4:$D$2002,4,FALSE),"")</f>
        <v/>
      </c>
      <c r="CA150" t="str">
        <f>+IFERROR(VLOOKUP(CA51,IN_Zugliste!$A$4:$D$2002,4,FALSE),"")</f>
        <v/>
      </c>
      <c r="CB150" t="str">
        <f>+IFERROR(VLOOKUP(CB51,IN_Zugliste!$A$4:$D$2002,4,FALSE),"")</f>
        <v/>
      </c>
      <c r="CC150" t="str">
        <f>+IFERROR(VLOOKUP(CC51,IN_Zugliste!$A$4:$D$2002,4,FALSE),"")</f>
        <v/>
      </c>
      <c r="CD150" t="str">
        <f>+IFERROR(VLOOKUP(CD51,IN_Zugliste!$A$4:$D$2002,4,FALSE),"")</f>
        <v/>
      </c>
      <c r="CE150" t="str">
        <f>+IFERROR(VLOOKUP(CE51,IN_Zugliste!$A$4:$D$2002,4,FALSE),"")</f>
        <v/>
      </c>
      <c r="CF150" t="str">
        <f>+IFERROR(VLOOKUP(CF51,IN_Zugliste!$A$4:$D$2002,4,FALSE),"")</f>
        <v/>
      </c>
      <c r="CG150" t="str">
        <f>+IFERROR(VLOOKUP(CG51,IN_Zugliste!$A$4:$D$2002,4,FALSE),"")</f>
        <v/>
      </c>
      <c r="CH150" t="str">
        <f>+IFERROR(VLOOKUP(CH51,IN_Zugliste!$A$4:$D$2002,4,FALSE),"")</f>
        <v/>
      </c>
      <c r="CI150" t="str">
        <f>+IFERROR(VLOOKUP(CI51,IN_Zugliste!$A$4:$D$2002,4,FALSE),"")</f>
        <v/>
      </c>
      <c r="CJ150" t="str">
        <f>+IFERROR(VLOOKUP(CJ51,IN_Zugliste!$A$4:$D$2002,4,FALSE),"")</f>
        <v/>
      </c>
      <c r="CK150" t="str">
        <f>+IFERROR(VLOOKUP(CK51,IN_Zugliste!$A$4:$D$2002,4,FALSE),"")</f>
        <v/>
      </c>
      <c r="CL150" t="str">
        <f>+IFERROR(VLOOKUP(CL51,IN_Zugliste!$A$4:$D$2002,4,FALSE),"")</f>
        <v/>
      </c>
      <c r="CM150" t="str">
        <f>+IFERROR(VLOOKUP(CM51,IN_Zugliste!$A$4:$D$2002,4,FALSE),"")</f>
        <v/>
      </c>
      <c r="CN150" t="str">
        <f>+IFERROR(VLOOKUP(CN51,IN_Zugliste!$A$4:$D$2002,4,FALSE),"")</f>
        <v/>
      </c>
      <c r="CO150" t="str">
        <f>+IFERROR(VLOOKUP(CO51,IN_Zugliste!$A$4:$D$2002,4,FALSE),"")</f>
        <v/>
      </c>
      <c r="CP150" t="str">
        <f>+IFERROR(VLOOKUP(CP51,IN_Zugliste!$A$4:$D$2002,4,FALSE),"")</f>
        <v/>
      </c>
      <c r="CQ150" t="str">
        <f>+IFERROR(VLOOKUP(CQ51,IN_Zugliste!$A$4:$D$2002,4,FALSE),"")</f>
        <v/>
      </c>
      <c r="CR150" t="str">
        <f>+IFERROR(VLOOKUP(CR51,IN_Zugliste!$A$4:$D$2002,4,FALSE),"")</f>
        <v/>
      </c>
      <c r="CS150" t="str">
        <f>+IFERROR(VLOOKUP(CS51,IN_Zugliste!$A$4:$D$2002,4,FALSE),"")</f>
        <v/>
      </c>
      <c r="CT150" t="str">
        <f>+IFERROR(VLOOKUP(CT51,IN_Zugliste!$A$4:$D$2002,4,FALSE),"")</f>
        <v/>
      </c>
      <c r="CU150" t="str">
        <f>+IFERROR(VLOOKUP(CU51,IN_Zugliste!$A$4:$D$2002,4,FALSE),"")</f>
        <v/>
      </c>
      <c r="CV150" t="str">
        <f>+IFERROR(VLOOKUP(CV51,IN_Zugliste!$A$4:$D$2002,4,FALSE),"")</f>
        <v/>
      </c>
      <c r="CW150" t="str">
        <f>+IFERROR(VLOOKUP(CW51,IN_Zugliste!$A$4:$D$2002,4,FALSE),"")</f>
        <v/>
      </c>
      <c r="CX150" t="str">
        <f>+IFERROR(VLOOKUP(CX51,IN_Zugliste!$A$4:$D$2002,4,FALSE),"")</f>
        <v/>
      </c>
      <c r="CY150" t="str">
        <f>+IFERROR(VLOOKUP(CY51,IN_Zugliste!$A$4:$D$2002,4,FALSE),"")</f>
        <v/>
      </c>
      <c r="CZ150" t="str">
        <f>+IFERROR(VLOOKUP(CZ51,IN_Zugliste!$A$4:$D$2002,4,FALSE),"")</f>
        <v/>
      </c>
      <c r="DA150" t="str">
        <f>+IFERROR(VLOOKUP(DA51,IN_Zugliste!$A$4:$D$2002,4,FALSE),"")</f>
        <v/>
      </c>
      <c r="DB150" t="str">
        <f>+IFERROR(VLOOKUP(DB51,IN_Zugliste!$A$4:$D$2002,4,FALSE),"")</f>
        <v/>
      </c>
      <c r="DC150" t="str">
        <f>+IFERROR(VLOOKUP(DC51,IN_Zugliste!$A$4:$D$2002,4,FALSE),"")</f>
        <v/>
      </c>
      <c r="DD150" t="str">
        <f>+IFERROR(VLOOKUP(DD51,IN_Zugliste!$A$4:$D$2002,4,FALSE),"")</f>
        <v/>
      </c>
      <c r="DE150" t="str">
        <f>+IFERROR(VLOOKUP(DE51,IN_Zugliste!$A$4:$D$2002,4,FALSE),"")</f>
        <v/>
      </c>
      <c r="DF150" t="str">
        <f>+IFERROR(VLOOKUP(DF51,IN_Zugliste!$A$4:$D$2002,4,FALSE),"")</f>
        <v/>
      </c>
      <c r="DG150" t="str">
        <f>+IFERROR(VLOOKUP(DG51,IN_Zugliste!$A$4:$D$2002,4,FALSE),"")</f>
        <v/>
      </c>
      <c r="DH150" t="str">
        <f>+IFERROR(VLOOKUP(DH51,IN_Zugliste!$A$4:$D$2002,4,FALSE),"")</f>
        <v/>
      </c>
      <c r="DI150" t="str">
        <f>+IFERROR(VLOOKUP(DI51,IN_Zugliste!$A$4:$D$2002,4,FALSE),"")</f>
        <v/>
      </c>
      <c r="DJ150" t="str">
        <f>+IFERROR(VLOOKUP(DJ51,IN_Zugliste!$A$4:$D$2002,4,FALSE),"")</f>
        <v/>
      </c>
      <c r="DK150" t="str">
        <f>+IFERROR(VLOOKUP(DK51,IN_Zugliste!$A$4:$D$2002,4,FALSE),"")</f>
        <v/>
      </c>
      <c r="DL150" t="str">
        <f>+IFERROR(VLOOKUP(DL51,IN_Zugliste!$A$4:$D$2002,4,FALSE),"")</f>
        <v/>
      </c>
      <c r="DM150" t="str">
        <f>+IFERROR(VLOOKUP(DM51,IN_Zugliste!$A$4:$D$2002,4,FALSE),"")</f>
        <v/>
      </c>
      <c r="DN150" t="str">
        <f>+IFERROR(VLOOKUP(DN51,IN_Zugliste!$A$4:$D$2002,4,FALSE),"")</f>
        <v/>
      </c>
      <c r="DO150" t="str">
        <f>+IFERROR(VLOOKUP(DO51,IN_Zugliste!$A$4:$D$2002,4,FALSE),"")</f>
        <v/>
      </c>
      <c r="DP150" t="str">
        <f>+IFERROR(VLOOKUP(DP51,IN_Zugliste!$A$4:$D$2002,4,FALSE),"")</f>
        <v/>
      </c>
      <c r="DQ150" t="str">
        <f>+IFERROR(VLOOKUP(DQ51,IN_Zugliste!$A$4:$D$2002,4,FALSE),"")</f>
        <v/>
      </c>
      <c r="DR150" t="str">
        <f>+IFERROR(VLOOKUP(DR51,IN_Zugliste!$A$4:$D$2002,4,FALSE),"")</f>
        <v/>
      </c>
      <c r="DS150" t="str">
        <f>+IFERROR(VLOOKUP(DS51,IN_Zugliste!$A$4:$D$2002,4,FALSE),"")</f>
        <v/>
      </c>
      <c r="DT150" t="str">
        <f>+IFERROR(VLOOKUP(DT51,IN_Zugliste!$A$4:$D$2002,4,FALSE),"")</f>
        <v/>
      </c>
      <c r="DU150" t="str">
        <f>+IFERROR(VLOOKUP(DU51,IN_Zugliste!$A$4:$D$2002,4,FALSE),"")</f>
        <v/>
      </c>
      <c r="DV150" t="str">
        <f>+IFERROR(VLOOKUP(DV51,IN_Zugliste!$A$4:$D$2002,4,FALSE),"")</f>
        <v/>
      </c>
      <c r="DW150" t="str">
        <f>+IFERROR(VLOOKUP(DW51,IN_Zugliste!$A$4:$D$2002,4,FALSE),"")</f>
        <v/>
      </c>
      <c r="DX150" t="str">
        <f>+IFERROR(VLOOKUP(DX51,IN_Zugliste!$A$4:$D$2002,4,FALSE),"")</f>
        <v/>
      </c>
      <c r="DY150" t="str">
        <f>+IFERROR(VLOOKUP(DY51,IN_Zugliste!$A$4:$D$2002,4,FALSE),"")</f>
        <v/>
      </c>
      <c r="DZ150" t="str">
        <f>+IFERROR(VLOOKUP(DZ51,IN_Zugliste!$A$4:$D$2002,4,FALSE),"")</f>
        <v/>
      </c>
      <c r="EA150" t="str">
        <f>+IFERROR(VLOOKUP(EA51,IN_Zugliste!$A$4:$D$2002,4,FALSE),"")</f>
        <v/>
      </c>
      <c r="EB150" t="str">
        <f>+IFERROR(VLOOKUP(EB51,IN_Zugliste!$A$4:$D$2002,4,FALSE),"")</f>
        <v/>
      </c>
      <c r="EC150" t="str">
        <f>+IFERROR(VLOOKUP(EC51,IN_Zugliste!$A$4:$D$2002,4,FALSE),"")</f>
        <v/>
      </c>
      <c r="ED150" t="str">
        <f>+IFERROR(VLOOKUP(ED51,IN_Zugliste!$A$4:$D$2002,4,FALSE),"")</f>
        <v/>
      </c>
      <c r="EE150" t="str">
        <f>+IFERROR(VLOOKUP(EE51,IN_Zugliste!$A$4:$D$2002,4,FALSE),"")</f>
        <v/>
      </c>
      <c r="EF150" t="str">
        <f>+IFERROR(VLOOKUP(EF51,IN_Zugliste!$A$4:$D$2002,4,FALSE),"")</f>
        <v/>
      </c>
      <c r="EG150" t="str">
        <f>+IFERROR(VLOOKUP(EG51,IN_Zugliste!$A$4:$D$2002,4,FALSE),"")</f>
        <v/>
      </c>
      <c r="EH150" t="str">
        <f>+IFERROR(VLOOKUP(EH51,IN_Zugliste!$A$4:$D$2002,4,FALSE),"")</f>
        <v/>
      </c>
      <c r="EI150" t="str">
        <f>+IFERROR(VLOOKUP(EI51,IN_Zugliste!$A$4:$D$2002,4,FALSE),"")</f>
        <v/>
      </c>
      <c r="EJ150" t="str">
        <f>+IFERROR(VLOOKUP(EJ51,IN_Zugliste!$A$4:$D$2002,4,FALSE),"")</f>
        <v/>
      </c>
      <c r="EK150" t="str">
        <f>+IFERROR(VLOOKUP(EK51,IN_Zugliste!$A$4:$D$2002,4,FALSE),"")</f>
        <v/>
      </c>
      <c r="EL150" t="str">
        <f>+IFERROR(VLOOKUP(EL51,IN_Zugliste!$A$4:$D$2002,4,FALSE),"")</f>
        <v/>
      </c>
      <c r="EM150" t="str">
        <f>+IFERROR(VLOOKUP(EM51,IN_Zugliste!$A$4:$D$2002,4,FALSE),"")</f>
        <v/>
      </c>
      <c r="EN150" t="str">
        <f>+IFERROR(VLOOKUP(EN51,IN_Zugliste!$A$4:$D$2002,4,FALSE),"")</f>
        <v/>
      </c>
      <c r="EO150" t="str">
        <f>+IFERROR(VLOOKUP(EO51,IN_Zugliste!$A$4:$D$2002,4,FALSE),"")</f>
        <v/>
      </c>
      <c r="EP150" t="str">
        <f>+IFERROR(VLOOKUP(EP51,IN_Zugliste!$A$4:$D$2002,4,FALSE),"")</f>
        <v/>
      </c>
      <c r="EQ150" t="str">
        <f>+IFERROR(VLOOKUP(EQ51,IN_Zugliste!$A$4:$D$2002,4,FALSE),"")</f>
        <v/>
      </c>
      <c r="ER150" t="str">
        <f>+IFERROR(VLOOKUP(ER51,IN_Zugliste!$A$4:$D$2002,4,FALSE),"")</f>
        <v/>
      </c>
      <c r="ES150" t="str">
        <f>+IFERROR(VLOOKUP(ES51,IN_Zugliste!$A$4:$D$2002,4,FALSE),"")</f>
        <v/>
      </c>
      <c r="ET150" t="str">
        <f>+IFERROR(VLOOKUP(ET51,IN_Zugliste!$A$4:$D$2002,4,FALSE),"")</f>
        <v/>
      </c>
      <c r="EU150" t="str">
        <f>+IFERROR(VLOOKUP(EU51,IN_Zugliste!$A$4:$D$2002,4,FALSE),"")</f>
        <v/>
      </c>
      <c r="EV150" t="str">
        <f>+IFERROR(VLOOKUP(EV51,IN_Zugliste!$A$4:$D$2002,4,FALSE),"")</f>
        <v/>
      </c>
      <c r="EW150" t="str">
        <f>+IFERROR(VLOOKUP(EW51,IN_Zugliste!$A$4:$D$2002,4,FALSE),"")</f>
        <v/>
      </c>
      <c r="EX150" t="str">
        <f>+IFERROR(VLOOKUP(EX51,IN_Zugliste!$A$4:$D$2002,4,FALSE),"")</f>
        <v/>
      </c>
      <c r="EY150" t="str">
        <f>+IFERROR(VLOOKUP(EY51,IN_Zugliste!$A$4:$D$2002,4,FALSE),"")</f>
        <v/>
      </c>
      <c r="EZ150" t="str">
        <f>+IFERROR(VLOOKUP(EZ51,IN_Zugliste!$A$4:$D$2002,4,FALSE),"")</f>
        <v/>
      </c>
      <c r="FA150" t="str">
        <f>+IFERROR(VLOOKUP(FA51,IN_Zugliste!$A$4:$D$2002,4,FALSE),"")</f>
        <v/>
      </c>
      <c r="FB150" t="str">
        <f>+IFERROR(VLOOKUP(FB51,IN_Zugliste!$A$4:$D$2002,4,FALSE),"")</f>
        <v/>
      </c>
      <c r="FC150" t="str">
        <f>+IFERROR(VLOOKUP(FC51,IN_Zugliste!$A$4:$D$2002,4,FALSE),"")</f>
        <v/>
      </c>
      <c r="FD150" t="str">
        <f>+IFERROR(VLOOKUP(FD51,IN_Zugliste!$A$4:$D$2002,4,FALSE),"")</f>
        <v/>
      </c>
      <c r="FE150" t="str">
        <f>+IFERROR(VLOOKUP(FE51,IN_Zugliste!$A$4:$D$2002,4,FALSE),"")</f>
        <v/>
      </c>
      <c r="FF150" t="str">
        <f>+IFERROR(VLOOKUP(FF51,IN_Zugliste!$A$4:$D$2002,4,FALSE),"")</f>
        <v/>
      </c>
      <c r="FG150" t="str">
        <f>+IFERROR(VLOOKUP(FG51,IN_Zugliste!$A$4:$D$2002,4,FALSE),"")</f>
        <v/>
      </c>
      <c r="FH150" t="str">
        <f>+IFERROR(VLOOKUP(FH51,IN_Zugliste!$A$4:$D$2002,4,FALSE),"")</f>
        <v/>
      </c>
      <c r="FI150" t="str">
        <f>+IFERROR(VLOOKUP(FI51,IN_Zugliste!$A$4:$D$2002,4,FALSE),"")</f>
        <v/>
      </c>
      <c r="FJ150" t="str">
        <f>+IFERROR(VLOOKUP(FJ51,IN_Zugliste!$A$4:$D$2002,4,FALSE),"")</f>
        <v/>
      </c>
      <c r="FK150" t="str">
        <f>+IFERROR(VLOOKUP(FK51,IN_Zugliste!$A$4:$D$2002,4,FALSE),"")</f>
        <v/>
      </c>
      <c r="FL150" t="str">
        <f>+IFERROR(VLOOKUP(FL51,IN_Zugliste!$A$4:$D$2002,4,FALSE),"")</f>
        <v/>
      </c>
      <c r="FM150" t="str">
        <f>+IFERROR(VLOOKUP(FM51,IN_Zugliste!$A$4:$C$602,4,FALSE),"")</f>
        <v/>
      </c>
      <c r="FN150" t="str">
        <f>+IFERROR(VLOOKUP(FN51,IN_Zugliste!$A$4:$C$602,4,FALSE),"")</f>
        <v/>
      </c>
      <c r="FO150" t="str">
        <f>+IFERROR(VLOOKUP(FO51,IN_Zugliste!$A$4:$C$602,4,FALSE),"")</f>
        <v/>
      </c>
      <c r="FP150" t="str">
        <f>+IFERROR(VLOOKUP(FP51,IN_Zugliste!$A$4:$C$602,4,FALSE),"")</f>
        <v/>
      </c>
      <c r="FQ150" t="str">
        <f>+IFERROR(VLOOKUP(FQ51,IN_Zugliste!$A$4:$C$602,4,FALSE),"")</f>
        <v/>
      </c>
      <c r="FR150" t="str">
        <f>+IFERROR(VLOOKUP(FR51,IN_Zugliste!$A$4:$C$602,4,FALSE),"")</f>
        <v/>
      </c>
      <c r="FS150" t="str">
        <f>+IFERROR(VLOOKUP(FS51,IN_Zugliste!$A$4:$C$602,4,FALSE),"")</f>
        <v/>
      </c>
      <c r="FT150" t="str">
        <f>+IFERROR(VLOOKUP(FT51,IN_Zugliste!$A$4:$C$602,4,FALSE),"")</f>
        <v/>
      </c>
      <c r="FU150" t="str">
        <f>+IFERROR(VLOOKUP(FU51,IN_Zugliste!$A$4:$C$602,4,FALSE),"")</f>
        <v/>
      </c>
      <c r="FV150" t="str">
        <f>+IFERROR(VLOOKUP(FV51,IN_Zugliste!$A$4:$C$602,4,FALSE),"")</f>
        <v/>
      </c>
      <c r="FW150" t="str">
        <f>+IFERROR(VLOOKUP(FW51,IN_Zugliste!$A$4:$C$602,4,FALSE),"")</f>
        <v/>
      </c>
      <c r="FX150" t="str">
        <f>+IFERROR(VLOOKUP(FX51,IN_Zugliste!$A$4:$C$602,4,FALSE),"")</f>
        <v/>
      </c>
      <c r="FY150" t="str">
        <f>+IFERROR(VLOOKUP(FY51,IN_Zugliste!$A$4:$C$602,4,FALSE),"")</f>
        <v/>
      </c>
      <c r="FZ150" t="str">
        <f>+IFERROR(VLOOKUP(FZ51,IN_Zugliste!$A$4:$C$602,4,FALSE),"")</f>
        <v/>
      </c>
      <c r="GA150" t="str">
        <f>+IFERROR(VLOOKUP(GA51,IN_Zugliste!$A$4:$C$602,4,FALSE),"")</f>
        <v/>
      </c>
      <c r="GB150" t="str">
        <f>+IFERROR(VLOOKUP(GB51,IN_Zugliste!$A$4:$C$602,4,FALSE),"")</f>
        <v/>
      </c>
      <c r="GC150" t="str">
        <f>+IFERROR(VLOOKUP(GC51,IN_Zugliste!$A$4:$C$602,4,FALSE),"")</f>
        <v/>
      </c>
      <c r="GD150" t="str">
        <f>+IFERROR(VLOOKUP(GD51,IN_Zugliste!$A$4:$C$602,4,FALSE),"")</f>
        <v/>
      </c>
      <c r="GE150" t="str">
        <f>+IFERROR(VLOOKUP(GE51,IN_Zugliste!$A$4:$C$602,4,FALSE),"")</f>
        <v/>
      </c>
      <c r="GF150" t="str">
        <f>+IFERROR(VLOOKUP(GF51,IN_Zugliste!$A$4:$C$602,4,FALSE),"")</f>
        <v/>
      </c>
      <c r="GG150" t="str">
        <f>+IFERROR(VLOOKUP(GG51,IN_Zugliste!$A$4:$C$602,4,FALSE),"")</f>
        <v/>
      </c>
      <c r="GH150" t="str">
        <f>+IFERROR(VLOOKUP(GH51,IN_Zugliste!$A$4:$C$602,4,FALSE),"")</f>
        <v/>
      </c>
      <c r="GI150" t="str">
        <f>+IFERROR(VLOOKUP(GI51,IN_Zugliste!$A$4:$C$602,4,FALSE),"")</f>
        <v/>
      </c>
      <c r="GJ150" t="str">
        <f>+IFERROR(VLOOKUP(GJ51,IN_Zugliste!$A$4:$C$602,4,FALSE),"")</f>
        <v/>
      </c>
      <c r="GK150" t="str">
        <f>+IFERROR(VLOOKUP(GK51,IN_Zugliste!$A$4:$C$602,4,FALSE),"")</f>
        <v/>
      </c>
      <c r="GL150" t="str">
        <f>+IFERROR(VLOOKUP(GL51,IN_Zugliste!$A$4:$C$602,4,FALSE),"")</f>
        <v/>
      </c>
      <c r="GM150" t="str">
        <f>+IFERROR(VLOOKUP(GM51,IN_Zugliste!$A$4:$C$602,4,FALSE),"")</f>
        <v/>
      </c>
      <c r="GN150" t="str">
        <f>+IFERROR(VLOOKUP(GN51,IN_Zugliste!$A$4:$C$602,4,FALSE),"")</f>
        <v/>
      </c>
      <c r="GO150" t="str">
        <f>+IFERROR(VLOOKUP(GO51,IN_Zugliste!$A$4:$C$602,4,FALSE),"")</f>
        <v/>
      </c>
      <c r="GP150" t="str">
        <f>+IFERROR(VLOOKUP(GP51,IN_Zugliste!$A$4:$C$602,4,FALSE),"")</f>
        <v/>
      </c>
      <c r="GQ150" t="str">
        <f>+IFERROR(VLOOKUP(GQ51,IN_Zugliste!$A$4:$C$602,4,FALSE),"")</f>
        <v/>
      </c>
      <c r="GR150" t="str">
        <f>+IFERROR(VLOOKUP(GR51,IN_Zugliste!$A$4:$C$602,4,FALSE),"")</f>
        <v/>
      </c>
      <c r="GS150" t="str">
        <f>+IFERROR(VLOOKUP(GS51,IN_Zugliste!$A$4:$C$602,4,FALSE),"")</f>
        <v/>
      </c>
      <c r="GT150" t="str">
        <f>+IFERROR(VLOOKUP(GT51,IN_Zugliste!$A$4:$C$602,4,FALSE),"")</f>
        <v/>
      </c>
      <c r="GU150" t="str">
        <f>+IFERROR(VLOOKUP(GU51,IN_Zugliste!$A$4:$C$602,4,FALSE),"")</f>
        <v/>
      </c>
      <c r="GV150" t="str">
        <f>+IFERROR(VLOOKUP(GV51,IN_Zugliste!$A$4:$C$602,4,FALSE),"")</f>
        <v/>
      </c>
      <c r="GW150" t="str">
        <f>+IFERROR(VLOOKUP(GW51,IN_Zugliste!$A$4:$C$602,4,FALSE),"")</f>
        <v/>
      </c>
      <c r="GX150" t="str">
        <f>+IFERROR(VLOOKUP(GX51,IN_Zugliste!$A$4:$C$602,4,FALSE),"")</f>
        <v/>
      </c>
      <c r="GY150" t="str">
        <f>+IFERROR(VLOOKUP(GY51,IN_Zugliste!$A$4:$C$602,4,FALSE),"")</f>
        <v/>
      </c>
      <c r="GZ150" t="str">
        <f>+IFERROR(VLOOKUP(GZ51,IN_Zugliste!$A$4:$C$602,4,FALSE),"")</f>
        <v/>
      </c>
      <c r="HA150" t="str">
        <f>+IFERROR(VLOOKUP(HA51,IN_Zugliste!$A$4:$C$602,4,FALSE),"")</f>
        <v/>
      </c>
      <c r="HB150" t="str">
        <f>+IFERROR(VLOOKUP(HB51,IN_Zugliste!$A$4:$C$602,4,FALSE),"")</f>
        <v/>
      </c>
      <c r="HC150" t="str">
        <f>+IFERROR(VLOOKUP(HC51,IN_Zugliste!$A$4:$C$602,4,FALSE),"")</f>
        <v/>
      </c>
      <c r="HD150" t="str">
        <f>+IFERROR(VLOOKUP(HD51,IN_Zugliste!$A$4:$C$602,4,FALSE),"")</f>
        <v/>
      </c>
      <c r="HE150" t="str">
        <f>+IFERROR(VLOOKUP(HE51,IN_Zugliste!$A$4:$C$602,4,FALSE),"")</f>
        <v/>
      </c>
      <c r="HF150" t="str">
        <f>+IFERROR(VLOOKUP(HF51,IN_Zugliste!$A$4:$C$602,4,FALSE),"")</f>
        <v/>
      </c>
      <c r="HG150" t="str">
        <f>+IFERROR(VLOOKUP(HG51,IN_Zugliste!$A$4:$C$602,4,FALSE),"")</f>
        <v/>
      </c>
      <c r="HH150" t="str">
        <f>+IFERROR(VLOOKUP(HH51,IN_Zugliste!$A$4:$C$602,4,FALSE),"")</f>
        <v/>
      </c>
    </row>
    <row r="151" spans="1:216" x14ac:dyDescent="0.2">
      <c r="A151" t="str">
        <f>+IFERROR(VLOOKUP(A52,IN_Zugliste!$A$4:$D$2002,4,FALSE),"")</f>
        <v/>
      </c>
      <c r="B151" t="str">
        <f>+IFERROR(VLOOKUP(B52,IN_Zugliste!$A$4:$D$2002,4,FALSE),"")</f>
        <v/>
      </c>
      <c r="C151" t="str">
        <f>+IFERROR(VLOOKUP(C52,IN_Zugliste!$A$4:$D$2002,4,FALSE),"")</f>
        <v/>
      </c>
      <c r="D151" t="str">
        <f>+IFERROR(VLOOKUP(D52,IN_Zugliste!$A$4:$D$2002,4,FALSE),"")</f>
        <v/>
      </c>
      <c r="E151" t="str">
        <f>+IFERROR(VLOOKUP(E52,IN_Zugliste!$A$4:$D$2002,4,FALSE),"")</f>
        <v/>
      </c>
      <c r="F151" t="str">
        <f>+IFERROR(VLOOKUP(F52,IN_Zugliste!$A$4:$D$2002,4,FALSE),"")</f>
        <v/>
      </c>
      <c r="G151" t="str">
        <f>+IFERROR(VLOOKUP(G52,IN_Zugliste!$A$4:$D$2002,4,FALSE),"")</f>
        <v/>
      </c>
      <c r="H151" t="str">
        <f>+IFERROR(VLOOKUP(H52,IN_Zugliste!$A$4:$D$2002,4,FALSE),"")</f>
        <v/>
      </c>
      <c r="I151" t="str">
        <f>+IFERROR(VLOOKUP(I52,IN_Zugliste!$A$4:$D$2002,4,FALSE),"")</f>
        <v/>
      </c>
      <c r="J151" t="str">
        <f>+IFERROR(VLOOKUP(J52,IN_Zugliste!$A$4:$D$2002,4,FALSE),"")</f>
        <v/>
      </c>
      <c r="K151" t="str">
        <f>+IFERROR(VLOOKUP(K52,IN_Zugliste!$A$4:$D$2002,4,FALSE),"")</f>
        <v/>
      </c>
      <c r="L151" t="str">
        <f>+IFERROR(VLOOKUP(L52,IN_Zugliste!$A$4:$D$2002,4,FALSE),"")</f>
        <v/>
      </c>
      <c r="M151" t="str">
        <f>+IFERROR(VLOOKUP(M52,IN_Zugliste!$A$4:$D$2002,4,FALSE),"")</f>
        <v/>
      </c>
      <c r="N151" t="str">
        <f>+IFERROR(VLOOKUP(N52,IN_Zugliste!$A$4:$D$2002,4,FALSE),"")</f>
        <v/>
      </c>
      <c r="O151" t="str">
        <f>+IFERROR(VLOOKUP(O52,IN_Zugliste!$A$4:$D$2002,4,FALSE),"")</f>
        <v/>
      </c>
      <c r="P151" t="str">
        <f>+IFERROR(VLOOKUP(P52,IN_Zugliste!$A$4:$D$2002,4,FALSE),"")</f>
        <v/>
      </c>
      <c r="Q151" t="str">
        <f>+IFERROR(VLOOKUP(Q52,IN_Zugliste!$A$4:$D$2002,4,FALSE),"")</f>
        <v/>
      </c>
      <c r="R151" t="str">
        <f>+IFERROR(VLOOKUP(R52,IN_Zugliste!$A$4:$D$2002,4,FALSE),"")</f>
        <v/>
      </c>
      <c r="S151" t="str">
        <f>+IFERROR(VLOOKUP(S52,IN_Zugliste!$A$4:$D$2002,4,FALSE),"")</f>
        <v/>
      </c>
      <c r="T151" t="str">
        <f>+IFERROR(VLOOKUP(T52,IN_Zugliste!$A$4:$D$2002,4,FALSE),"")</f>
        <v/>
      </c>
      <c r="U151" t="str">
        <f>+IFERROR(VLOOKUP(U52,IN_Zugliste!$A$4:$D$2002,4,FALSE),"")</f>
        <v/>
      </c>
      <c r="V151" t="str">
        <f>+IFERROR(VLOOKUP(V52,IN_Zugliste!$A$4:$D$2002,4,FALSE),"")</f>
        <v/>
      </c>
      <c r="W151" t="str">
        <f>+IFERROR(VLOOKUP(W52,IN_Zugliste!$A$4:$D$2002,4,FALSE),"")</f>
        <v/>
      </c>
      <c r="X151" t="str">
        <f>+IFERROR(VLOOKUP(X52,IN_Zugliste!$A$4:$D$2002,4,FALSE),"")</f>
        <v/>
      </c>
      <c r="Y151" t="str">
        <f>+IFERROR(VLOOKUP(Y52,IN_Zugliste!$A$4:$D$2002,4,FALSE),"")</f>
        <v/>
      </c>
      <c r="Z151" t="str">
        <f>+IFERROR(VLOOKUP(Z52,IN_Zugliste!$A$4:$D$2002,4,FALSE),"")</f>
        <v/>
      </c>
      <c r="AA151" t="str">
        <f>+IFERROR(VLOOKUP(AA52,IN_Zugliste!$A$4:$D$2002,4,FALSE),"")</f>
        <v/>
      </c>
      <c r="AB151" t="str">
        <f>+IFERROR(VLOOKUP(AB52,IN_Zugliste!$A$4:$D$2002,4,FALSE),"")</f>
        <v/>
      </c>
      <c r="AC151" t="str">
        <f>+IFERROR(VLOOKUP(AC52,IN_Zugliste!$A$4:$D$2002,4,FALSE),"")</f>
        <v/>
      </c>
      <c r="AD151" t="str">
        <f>+IFERROR(VLOOKUP(AD52,IN_Zugliste!$A$4:$D$2002,4,FALSE),"")</f>
        <v/>
      </c>
      <c r="AE151" t="str">
        <f>+IFERROR(VLOOKUP(AE52,IN_Zugliste!$A$4:$D$2002,4,FALSE),"")</f>
        <v/>
      </c>
      <c r="AF151" t="str">
        <f>+IFERROR(VLOOKUP(AF52,IN_Zugliste!$A$4:$D$2002,4,FALSE),"")</f>
        <v/>
      </c>
      <c r="AG151" t="str">
        <f>+IFERROR(VLOOKUP(AG52,IN_Zugliste!$A$4:$D$2002,4,FALSE),"")</f>
        <v/>
      </c>
      <c r="AH151" t="str">
        <f>+IFERROR(VLOOKUP(AH52,IN_Zugliste!$A$4:$D$2002,4,FALSE),"")</f>
        <v/>
      </c>
      <c r="AI151" t="str">
        <f>+IFERROR(VLOOKUP(AI52,IN_Zugliste!$A$4:$D$2002,4,FALSE),"")</f>
        <v/>
      </c>
      <c r="AJ151" t="str">
        <f>+IFERROR(VLOOKUP(AJ52,IN_Zugliste!$A$4:$D$2002,4,FALSE),"")</f>
        <v/>
      </c>
      <c r="AK151" t="str">
        <f>+IFERROR(VLOOKUP(AK52,IN_Zugliste!$A$4:$D$2002,4,FALSE),"")</f>
        <v/>
      </c>
      <c r="AL151" t="str">
        <f>+IFERROR(VLOOKUP(AL52,IN_Zugliste!$A$4:$D$2002,4,FALSE),"")</f>
        <v/>
      </c>
      <c r="AM151" t="str">
        <f>+IFERROR(VLOOKUP(AM52,IN_Zugliste!$A$4:$D$2002,4,FALSE),"")</f>
        <v/>
      </c>
      <c r="AN151" t="str">
        <f>+IFERROR(VLOOKUP(AN52,IN_Zugliste!$A$4:$D$2002,4,FALSE),"")</f>
        <v/>
      </c>
      <c r="AO151" t="str">
        <f>+IFERROR(VLOOKUP(AO52,IN_Zugliste!$A$4:$D$2002,4,FALSE),"")</f>
        <v/>
      </c>
      <c r="AP151" t="str">
        <f>+IFERROR(VLOOKUP(AP52,IN_Zugliste!$A$4:$D$2002,4,FALSE),"")</f>
        <v/>
      </c>
      <c r="AQ151" t="str">
        <f>+IFERROR(VLOOKUP(AQ52,IN_Zugliste!$A$4:$D$2002,4,FALSE),"")</f>
        <v/>
      </c>
      <c r="AR151" t="str">
        <f>+IFERROR(VLOOKUP(AR52,IN_Zugliste!$A$4:$D$2002,4,FALSE),"")</f>
        <v/>
      </c>
      <c r="AS151" t="str">
        <f>+IFERROR(VLOOKUP(AS52,IN_Zugliste!$A$4:$D$2002,4,FALSE),"")</f>
        <v/>
      </c>
      <c r="AT151" t="str">
        <f>+IFERROR(VLOOKUP(AT52,IN_Zugliste!$A$4:$D$2002,4,FALSE),"")</f>
        <v/>
      </c>
      <c r="AU151" t="str">
        <f>+IFERROR(VLOOKUP(AU52,IN_Zugliste!$A$4:$D$2002,4,FALSE),"")</f>
        <v/>
      </c>
      <c r="AV151" t="str">
        <f>+IFERROR(VLOOKUP(AV52,IN_Zugliste!$A$4:$D$2002,4,FALSE),"")</f>
        <v/>
      </c>
      <c r="AW151" t="str">
        <f>+IFERROR(VLOOKUP(AW52,IN_Zugliste!$A$4:$D$2002,4,FALSE),"")</f>
        <v/>
      </c>
      <c r="AX151" t="str">
        <f>+IFERROR(VLOOKUP(AX52,IN_Zugliste!$A$4:$D$2002,4,FALSE),"")</f>
        <v/>
      </c>
      <c r="AY151" t="str">
        <f>+IFERROR(VLOOKUP(AY52,IN_Zugliste!$A$4:$D$2002,4,FALSE),"")</f>
        <v/>
      </c>
      <c r="AZ151" t="str">
        <f>+IFERROR(VLOOKUP(AZ52,IN_Zugliste!$A$4:$D$2002,4,FALSE),"")</f>
        <v/>
      </c>
      <c r="BA151" t="str">
        <f>+IFERROR(VLOOKUP(BA52,IN_Zugliste!$A$4:$D$2002,4,FALSE),"")</f>
        <v/>
      </c>
      <c r="BB151" t="str">
        <f>+IFERROR(VLOOKUP(BB52,IN_Zugliste!$A$4:$D$2002,4,FALSE),"")</f>
        <v/>
      </c>
      <c r="BC151" t="str">
        <f>+IFERROR(VLOOKUP(BC52,IN_Zugliste!$A$4:$D$2002,4,FALSE),"")</f>
        <v/>
      </c>
      <c r="BD151" t="str">
        <f>+IFERROR(VLOOKUP(BD52,IN_Zugliste!$A$4:$D$2002,4,FALSE),"")</f>
        <v/>
      </c>
      <c r="BE151" t="str">
        <f>+IFERROR(VLOOKUP(BE52,IN_Zugliste!$A$4:$D$2002,4,FALSE),"")</f>
        <v/>
      </c>
      <c r="BF151" t="str">
        <f>+IFERROR(VLOOKUP(BF52,IN_Zugliste!$A$4:$D$2002,4,FALSE),"")</f>
        <v/>
      </c>
      <c r="BG151" t="str">
        <f>+IFERROR(VLOOKUP(BG52,IN_Zugliste!$A$4:$D$2002,4,FALSE),"")</f>
        <v/>
      </c>
      <c r="BH151" t="str">
        <f>+IFERROR(VLOOKUP(BH52,IN_Zugliste!$A$4:$D$2002,4,FALSE),"")</f>
        <v/>
      </c>
      <c r="BI151" t="str">
        <f>+IFERROR(VLOOKUP(BI52,IN_Zugliste!$A$4:$D$2002,4,FALSE),"")</f>
        <v/>
      </c>
      <c r="BJ151" t="str">
        <f>+IFERROR(VLOOKUP(BJ52,IN_Zugliste!$A$4:$D$2002,4,FALSE),"")</f>
        <v/>
      </c>
      <c r="BK151" t="str">
        <f>+IFERROR(VLOOKUP(BK52,IN_Zugliste!$A$4:$D$2002,4,FALSE),"")</f>
        <v/>
      </c>
      <c r="BL151" t="str">
        <f>+IFERROR(VLOOKUP(BL52,IN_Zugliste!$A$4:$D$2002,4,FALSE),"")</f>
        <v/>
      </c>
      <c r="BM151" t="str">
        <f>+IFERROR(VLOOKUP(BM52,IN_Zugliste!$A$4:$D$2002,4,FALSE),"")</f>
        <v/>
      </c>
      <c r="BN151" t="str">
        <f>+IFERROR(VLOOKUP(BN52,IN_Zugliste!$A$4:$D$2002,4,FALSE),"")</f>
        <v/>
      </c>
      <c r="BO151" t="str">
        <f>+IFERROR(VLOOKUP(BO52,IN_Zugliste!$A$4:$D$2002,4,FALSE),"")</f>
        <v/>
      </c>
      <c r="BP151" t="str">
        <f>+IFERROR(VLOOKUP(BP52,IN_Zugliste!$A$4:$D$2002,4,FALSE),"")</f>
        <v/>
      </c>
      <c r="BQ151" t="str">
        <f>+IFERROR(VLOOKUP(BQ52,IN_Zugliste!$A$4:$D$2002,4,FALSE),"")</f>
        <v/>
      </c>
      <c r="BR151" t="str">
        <f>+IFERROR(VLOOKUP(BR52,IN_Zugliste!$A$4:$D$2002,4,FALSE),"")</f>
        <v/>
      </c>
      <c r="BS151" t="str">
        <f>+IFERROR(VLOOKUP(BS52,IN_Zugliste!$A$4:$D$2002,4,FALSE),"")</f>
        <v/>
      </c>
      <c r="BT151" t="str">
        <f>+IFERROR(VLOOKUP(BT52,IN_Zugliste!$A$4:$D$2002,4,FALSE),"")</f>
        <v/>
      </c>
      <c r="BU151" t="str">
        <f>+IFERROR(VLOOKUP(BU52,IN_Zugliste!$A$4:$D$2002,4,FALSE),"")</f>
        <v/>
      </c>
      <c r="BV151" t="str">
        <f>+IFERROR(VLOOKUP(BV52,IN_Zugliste!$A$4:$D$2002,4,FALSE),"")</f>
        <v/>
      </c>
      <c r="BW151" t="str">
        <f>+IFERROR(VLOOKUP(BW52,IN_Zugliste!$A$4:$D$2002,4,FALSE),"")</f>
        <v/>
      </c>
      <c r="BX151" t="str">
        <f>+IFERROR(VLOOKUP(BX52,IN_Zugliste!$A$4:$D$2002,4,FALSE),"")</f>
        <v/>
      </c>
      <c r="BY151" t="str">
        <f>+IFERROR(VLOOKUP(BY52,IN_Zugliste!$A$4:$D$2002,4,FALSE),"")</f>
        <v/>
      </c>
      <c r="BZ151" t="str">
        <f>+IFERROR(VLOOKUP(BZ52,IN_Zugliste!$A$4:$D$2002,4,FALSE),"")</f>
        <v/>
      </c>
      <c r="CA151" t="str">
        <f>+IFERROR(VLOOKUP(CA52,IN_Zugliste!$A$4:$D$2002,4,FALSE),"")</f>
        <v/>
      </c>
      <c r="CB151" t="str">
        <f>+IFERROR(VLOOKUP(CB52,IN_Zugliste!$A$4:$D$2002,4,FALSE),"")</f>
        <v/>
      </c>
      <c r="CC151" t="str">
        <f>+IFERROR(VLOOKUP(CC52,IN_Zugliste!$A$4:$D$2002,4,FALSE),"")</f>
        <v/>
      </c>
      <c r="CD151" t="str">
        <f>+IFERROR(VLOOKUP(CD52,IN_Zugliste!$A$4:$D$2002,4,FALSE),"")</f>
        <v/>
      </c>
      <c r="CE151" t="str">
        <f>+IFERROR(VLOOKUP(CE52,IN_Zugliste!$A$4:$D$2002,4,FALSE),"")</f>
        <v/>
      </c>
      <c r="CF151" t="str">
        <f>+IFERROR(VLOOKUP(CF52,IN_Zugliste!$A$4:$D$2002,4,FALSE),"")</f>
        <v/>
      </c>
      <c r="CG151" t="str">
        <f>+IFERROR(VLOOKUP(CG52,IN_Zugliste!$A$4:$D$2002,4,FALSE),"")</f>
        <v/>
      </c>
      <c r="CH151" t="str">
        <f>+IFERROR(VLOOKUP(CH52,IN_Zugliste!$A$4:$D$2002,4,FALSE),"")</f>
        <v/>
      </c>
      <c r="CI151" t="str">
        <f>+IFERROR(VLOOKUP(CI52,IN_Zugliste!$A$4:$D$2002,4,FALSE),"")</f>
        <v/>
      </c>
      <c r="CJ151" t="str">
        <f>+IFERROR(VLOOKUP(CJ52,IN_Zugliste!$A$4:$D$2002,4,FALSE),"")</f>
        <v/>
      </c>
      <c r="CK151" t="str">
        <f>+IFERROR(VLOOKUP(CK52,IN_Zugliste!$A$4:$D$2002,4,FALSE),"")</f>
        <v/>
      </c>
      <c r="CL151" t="str">
        <f>+IFERROR(VLOOKUP(CL52,IN_Zugliste!$A$4:$D$2002,4,FALSE),"")</f>
        <v/>
      </c>
      <c r="CM151" t="str">
        <f>+IFERROR(VLOOKUP(CM52,IN_Zugliste!$A$4:$D$2002,4,FALSE),"")</f>
        <v/>
      </c>
      <c r="CN151" t="str">
        <f>+IFERROR(VLOOKUP(CN52,IN_Zugliste!$A$4:$D$2002,4,FALSE),"")</f>
        <v/>
      </c>
      <c r="CO151" t="str">
        <f>+IFERROR(VLOOKUP(CO52,IN_Zugliste!$A$4:$D$2002,4,FALSE),"")</f>
        <v/>
      </c>
      <c r="CP151" t="str">
        <f>+IFERROR(VLOOKUP(CP52,IN_Zugliste!$A$4:$D$2002,4,FALSE),"")</f>
        <v/>
      </c>
      <c r="CQ151" t="str">
        <f>+IFERROR(VLOOKUP(CQ52,IN_Zugliste!$A$4:$D$2002,4,FALSE),"")</f>
        <v/>
      </c>
      <c r="CR151" t="str">
        <f>+IFERROR(VLOOKUP(CR52,IN_Zugliste!$A$4:$D$2002,4,FALSE),"")</f>
        <v/>
      </c>
      <c r="CS151" t="str">
        <f>+IFERROR(VLOOKUP(CS52,IN_Zugliste!$A$4:$D$2002,4,FALSE),"")</f>
        <v/>
      </c>
      <c r="CT151" t="str">
        <f>+IFERROR(VLOOKUP(CT52,IN_Zugliste!$A$4:$D$2002,4,FALSE),"")</f>
        <v/>
      </c>
      <c r="CU151" t="str">
        <f>+IFERROR(VLOOKUP(CU52,IN_Zugliste!$A$4:$D$2002,4,FALSE),"")</f>
        <v/>
      </c>
      <c r="CV151" t="str">
        <f>+IFERROR(VLOOKUP(CV52,IN_Zugliste!$A$4:$D$2002,4,FALSE),"")</f>
        <v/>
      </c>
      <c r="CW151" t="str">
        <f>+IFERROR(VLOOKUP(CW52,IN_Zugliste!$A$4:$D$2002,4,FALSE),"")</f>
        <v/>
      </c>
      <c r="CX151" t="str">
        <f>+IFERROR(VLOOKUP(CX52,IN_Zugliste!$A$4:$D$2002,4,FALSE),"")</f>
        <v/>
      </c>
      <c r="CY151" t="str">
        <f>+IFERROR(VLOOKUP(CY52,IN_Zugliste!$A$4:$D$2002,4,FALSE),"")</f>
        <v/>
      </c>
      <c r="CZ151" t="str">
        <f>+IFERROR(VLOOKUP(CZ52,IN_Zugliste!$A$4:$D$2002,4,FALSE),"")</f>
        <v/>
      </c>
      <c r="DA151" t="str">
        <f>+IFERROR(VLOOKUP(DA52,IN_Zugliste!$A$4:$D$2002,4,FALSE),"")</f>
        <v/>
      </c>
      <c r="DB151" t="str">
        <f>+IFERROR(VLOOKUP(DB52,IN_Zugliste!$A$4:$D$2002,4,FALSE),"")</f>
        <v/>
      </c>
      <c r="DC151" t="str">
        <f>+IFERROR(VLOOKUP(DC52,IN_Zugliste!$A$4:$D$2002,4,FALSE),"")</f>
        <v/>
      </c>
      <c r="DD151" t="str">
        <f>+IFERROR(VLOOKUP(DD52,IN_Zugliste!$A$4:$D$2002,4,FALSE),"")</f>
        <v/>
      </c>
      <c r="DE151" t="str">
        <f>+IFERROR(VLOOKUP(DE52,IN_Zugliste!$A$4:$D$2002,4,FALSE),"")</f>
        <v/>
      </c>
      <c r="DF151" t="str">
        <f>+IFERROR(VLOOKUP(DF52,IN_Zugliste!$A$4:$D$2002,4,FALSE),"")</f>
        <v/>
      </c>
      <c r="DG151" t="str">
        <f>+IFERROR(VLOOKUP(DG52,IN_Zugliste!$A$4:$D$2002,4,FALSE),"")</f>
        <v/>
      </c>
      <c r="DH151" t="str">
        <f>+IFERROR(VLOOKUP(DH52,IN_Zugliste!$A$4:$D$2002,4,FALSE),"")</f>
        <v/>
      </c>
      <c r="DI151" t="str">
        <f>+IFERROR(VLOOKUP(DI52,IN_Zugliste!$A$4:$D$2002,4,FALSE),"")</f>
        <v/>
      </c>
      <c r="DJ151" t="str">
        <f>+IFERROR(VLOOKUP(DJ52,IN_Zugliste!$A$4:$D$2002,4,FALSE),"")</f>
        <v/>
      </c>
      <c r="DK151" t="str">
        <f>+IFERROR(VLOOKUP(DK52,IN_Zugliste!$A$4:$D$2002,4,FALSE),"")</f>
        <v/>
      </c>
      <c r="DL151" t="str">
        <f>+IFERROR(VLOOKUP(DL52,IN_Zugliste!$A$4:$D$2002,4,FALSE),"")</f>
        <v/>
      </c>
      <c r="DM151" t="str">
        <f>+IFERROR(VLOOKUP(DM52,IN_Zugliste!$A$4:$D$2002,4,FALSE),"")</f>
        <v/>
      </c>
      <c r="DN151" t="str">
        <f>+IFERROR(VLOOKUP(DN52,IN_Zugliste!$A$4:$D$2002,4,FALSE),"")</f>
        <v/>
      </c>
      <c r="DO151" t="str">
        <f>+IFERROR(VLOOKUP(DO52,IN_Zugliste!$A$4:$D$2002,4,FALSE),"")</f>
        <v/>
      </c>
      <c r="DP151" t="str">
        <f>+IFERROR(VLOOKUP(DP52,IN_Zugliste!$A$4:$D$2002,4,FALSE),"")</f>
        <v/>
      </c>
      <c r="DQ151" t="str">
        <f>+IFERROR(VLOOKUP(DQ52,IN_Zugliste!$A$4:$D$2002,4,FALSE),"")</f>
        <v/>
      </c>
      <c r="DR151" t="str">
        <f>+IFERROR(VLOOKUP(DR52,IN_Zugliste!$A$4:$D$2002,4,FALSE),"")</f>
        <v/>
      </c>
      <c r="DS151" t="str">
        <f>+IFERROR(VLOOKUP(DS52,IN_Zugliste!$A$4:$D$2002,4,FALSE),"")</f>
        <v/>
      </c>
      <c r="DT151" t="str">
        <f>+IFERROR(VLOOKUP(DT52,IN_Zugliste!$A$4:$D$2002,4,FALSE),"")</f>
        <v/>
      </c>
      <c r="DU151" t="str">
        <f>+IFERROR(VLOOKUP(DU52,IN_Zugliste!$A$4:$D$2002,4,FALSE),"")</f>
        <v/>
      </c>
      <c r="DV151" t="str">
        <f>+IFERROR(VLOOKUP(DV52,IN_Zugliste!$A$4:$D$2002,4,FALSE),"")</f>
        <v/>
      </c>
      <c r="DW151" t="str">
        <f>+IFERROR(VLOOKUP(DW52,IN_Zugliste!$A$4:$D$2002,4,FALSE),"")</f>
        <v/>
      </c>
      <c r="DX151" t="str">
        <f>+IFERROR(VLOOKUP(DX52,IN_Zugliste!$A$4:$D$2002,4,FALSE),"")</f>
        <v/>
      </c>
      <c r="DY151" t="str">
        <f>+IFERROR(VLOOKUP(DY52,IN_Zugliste!$A$4:$D$2002,4,FALSE),"")</f>
        <v/>
      </c>
      <c r="DZ151" t="str">
        <f>+IFERROR(VLOOKUP(DZ52,IN_Zugliste!$A$4:$D$2002,4,FALSE),"")</f>
        <v/>
      </c>
      <c r="EA151" t="str">
        <f>+IFERROR(VLOOKUP(EA52,IN_Zugliste!$A$4:$D$2002,4,FALSE),"")</f>
        <v/>
      </c>
      <c r="EB151" t="str">
        <f>+IFERROR(VLOOKUP(EB52,IN_Zugliste!$A$4:$D$2002,4,FALSE),"")</f>
        <v/>
      </c>
      <c r="EC151" t="str">
        <f>+IFERROR(VLOOKUP(EC52,IN_Zugliste!$A$4:$D$2002,4,FALSE),"")</f>
        <v/>
      </c>
      <c r="ED151" t="str">
        <f>+IFERROR(VLOOKUP(ED52,IN_Zugliste!$A$4:$D$2002,4,FALSE),"")</f>
        <v/>
      </c>
      <c r="EE151" t="str">
        <f>+IFERROR(VLOOKUP(EE52,IN_Zugliste!$A$4:$D$2002,4,FALSE),"")</f>
        <v/>
      </c>
      <c r="EF151" t="str">
        <f>+IFERROR(VLOOKUP(EF52,IN_Zugliste!$A$4:$D$2002,4,FALSE),"")</f>
        <v/>
      </c>
      <c r="EG151" t="str">
        <f>+IFERROR(VLOOKUP(EG52,IN_Zugliste!$A$4:$D$2002,4,FALSE),"")</f>
        <v/>
      </c>
      <c r="EH151" t="str">
        <f>+IFERROR(VLOOKUP(EH52,IN_Zugliste!$A$4:$D$2002,4,FALSE),"")</f>
        <v/>
      </c>
      <c r="EI151" t="str">
        <f>+IFERROR(VLOOKUP(EI52,IN_Zugliste!$A$4:$D$2002,4,FALSE),"")</f>
        <v/>
      </c>
      <c r="EJ151" t="str">
        <f>+IFERROR(VLOOKUP(EJ52,IN_Zugliste!$A$4:$D$2002,4,FALSE),"")</f>
        <v/>
      </c>
      <c r="EK151" t="str">
        <f>+IFERROR(VLOOKUP(EK52,IN_Zugliste!$A$4:$D$2002,4,FALSE),"")</f>
        <v/>
      </c>
      <c r="EL151" t="str">
        <f>+IFERROR(VLOOKUP(EL52,IN_Zugliste!$A$4:$D$2002,4,FALSE),"")</f>
        <v/>
      </c>
      <c r="EM151" t="str">
        <f>+IFERROR(VLOOKUP(EM52,IN_Zugliste!$A$4:$D$2002,4,FALSE),"")</f>
        <v/>
      </c>
      <c r="EN151" t="str">
        <f>+IFERROR(VLOOKUP(EN52,IN_Zugliste!$A$4:$D$2002,4,FALSE),"")</f>
        <v/>
      </c>
      <c r="EO151" t="str">
        <f>+IFERROR(VLOOKUP(EO52,IN_Zugliste!$A$4:$D$2002,4,FALSE),"")</f>
        <v/>
      </c>
      <c r="EP151" t="str">
        <f>+IFERROR(VLOOKUP(EP52,IN_Zugliste!$A$4:$D$2002,4,FALSE),"")</f>
        <v/>
      </c>
      <c r="EQ151" t="str">
        <f>+IFERROR(VLOOKUP(EQ52,IN_Zugliste!$A$4:$D$2002,4,FALSE),"")</f>
        <v/>
      </c>
      <c r="ER151" t="str">
        <f>+IFERROR(VLOOKUP(ER52,IN_Zugliste!$A$4:$D$2002,4,FALSE),"")</f>
        <v/>
      </c>
      <c r="ES151" t="str">
        <f>+IFERROR(VLOOKUP(ES52,IN_Zugliste!$A$4:$D$2002,4,FALSE),"")</f>
        <v/>
      </c>
      <c r="ET151" t="str">
        <f>+IFERROR(VLOOKUP(ET52,IN_Zugliste!$A$4:$D$2002,4,FALSE),"")</f>
        <v/>
      </c>
      <c r="EU151" t="str">
        <f>+IFERROR(VLOOKUP(EU52,IN_Zugliste!$A$4:$D$2002,4,FALSE),"")</f>
        <v/>
      </c>
      <c r="EV151" t="str">
        <f>+IFERROR(VLOOKUP(EV52,IN_Zugliste!$A$4:$D$2002,4,FALSE),"")</f>
        <v/>
      </c>
      <c r="EW151" t="str">
        <f>+IFERROR(VLOOKUP(EW52,IN_Zugliste!$A$4:$D$2002,4,FALSE),"")</f>
        <v/>
      </c>
      <c r="EX151" t="str">
        <f>+IFERROR(VLOOKUP(EX52,IN_Zugliste!$A$4:$D$2002,4,FALSE),"")</f>
        <v/>
      </c>
      <c r="EY151" t="str">
        <f>+IFERROR(VLOOKUP(EY52,IN_Zugliste!$A$4:$D$2002,4,FALSE),"")</f>
        <v/>
      </c>
      <c r="EZ151" t="str">
        <f>+IFERROR(VLOOKUP(EZ52,IN_Zugliste!$A$4:$D$2002,4,FALSE),"")</f>
        <v/>
      </c>
      <c r="FA151" t="str">
        <f>+IFERROR(VLOOKUP(FA52,IN_Zugliste!$A$4:$D$2002,4,FALSE),"")</f>
        <v/>
      </c>
      <c r="FB151" t="str">
        <f>+IFERROR(VLOOKUP(FB52,IN_Zugliste!$A$4:$D$2002,4,FALSE),"")</f>
        <v/>
      </c>
      <c r="FC151" t="str">
        <f>+IFERROR(VLOOKUP(FC52,IN_Zugliste!$A$4:$D$2002,4,FALSE),"")</f>
        <v/>
      </c>
      <c r="FD151" t="str">
        <f>+IFERROR(VLOOKUP(FD52,IN_Zugliste!$A$4:$D$2002,4,FALSE),"")</f>
        <v/>
      </c>
      <c r="FE151" t="str">
        <f>+IFERROR(VLOOKUP(FE52,IN_Zugliste!$A$4:$D$2002,4,FALSE),"")</f>
        <v/>
      </c>
      <c r="FF151" t="str">
        <f>+IFERROR(VLOOKUP(FF52,IN_Zugliste!$A$4:$D$2002,4,FALSE),"")</f>
        <v/>
      </c>
      <c r="FG151" t="str">
        <f>+IFERROR(VLOOKUP(FG52,IN_Zugliste!$A$4:$D$2002,4,FALSE),"")</f>
        <v/>
      </c>
      <c r="FH151" t="str">
        <f>+IFERROR(VLOOKUP(FH52,IN_Zugliste!$A$4:$D$2002,4,FALSE),"")</f>
        <v/>
      </c>
      <c r="FI151" t="str">
        <f>+IFERROR(VLOOKUP(FI52,IN_Zugliste!$A$4:$D$2002,4,FALSE),"")</f>
        <v/>
      </c>
      <c r="FJ151" t="str">
        <f>+IFERROR(VLOOKUP(FJ52,IN_Zugliste!$A$4:$D$2002,4,FALSE),"")</f>
        <v/>
      </c>
      <c r="FK151" t="str">
        <f>+IFERROR(VLOOKUP(FK52,IN_Zugliste!$A$4:$D$2002,4,FALSE),"")</f>
        <v/>
      </c>
      <c r="FL151" t="str">
        <f>+IFERROR(VLOOKUP(FL52,IN_Zugliste!$A$4:$D$2002,4,FALSE),"")</f>
        <v/>
      </c>
      <c r="FM151" t="str">
        <f>+IFERROR(VLOOKUP(FM52,IN_Zugliste!$A$4:$C$602,4,FALSE),"")</f>
        <v/>
      </c>
      <c r="FN151" t="str">
        <f>+IFERROR(VLOOKUP(FN52,IN_Zugliste!$A$4:$C$602,4,FALSE),"")</f>
        <v/>
      </c>
      <c r="FO151" t="str">
        <f>+IFERROR(VLOOKUP(FO52,IN_Zugliste!$A$4:$C$602,4,FALSE),"")</f>
        <v/>
      </c>
      <c r="FP151" t="str">
        <f>+IFERROR(VLOOKUP(FP52,IN_Zugliste!$A$4:$C$602,4,FALSE),"")</f>
        <v/>
      </c>
      <c r="FQ151" t="str">
        <f>+IFERROR(VLOOKUP(FQ52,IN_Zugliste!$A$4:$C$602,4,FALSE),"")</f>
        <v/>
      </c>
      <c r="FR151" t="str">
        <f>+IFERROR(VLOOKUP(FR52,IN_Zugliste!$A$4:$C$602,4,FALSE),"")</f>
        <v/>
      </c>
      <c r="FS151" t="str">
        <f>+IFERROR(VLOOKUP(FS52,IN_Zugliste!$A$4:$C$602,4,FALSE),"")</f>
        <v/>
      </c>
      <c r="FT151" t="str">
        <f>+IFERROR(VLOOKUP(FT52,IN_Zugliste!$A$4:$C$602,4,FALSE),"")</f>
        <v/>
      </c>
      <c r="FU151" t="str">
        <f>+IFERROR(VLOOKUP(FU52,IN_Zugliste!$A$4:$C$602,4,FALSE),"")</f>
        <v/>
      </c>
      <c r="FV151" t="str">
        <f>+IFERROR(VLOOKUP(FV52,IN_Zugliste!$A$4:$C$602,4,FALSE),"")</f>
        <v/>
      </c>
      <c r="FW151" t="str">
        <f>+IFERROR(VLOOKUP(FW52,IN_Zugliste!$A$4:$C$602,4,FALSE),"")</f>
        <v/>
      </c>
      <c r="FX151" t="str">
        <f>+IFERROR(VLOOKUP(FX52,IN_Zugliste!$A$4:$C$602,4,FALSE),"")</f>
        <v/>
      </c>
      <c r="FY151" t="str">
        <f>+IFERROR(VLOOKUP(FY52,IN_Zugliste!$A$4:$C$602,4,FALSE),"")</f>
        <v/>
      </c>
      <c r="FZ151" t="str">
        <f>+IFERROR(VLOOKUP(FZ52,IN_Zugliste!$A$4:$C$602,4,FALSE),"")</f>
        <v/>
      </c>
      <c r="GA151" t="str">
        <f>+IFERROR(VLOOKUP(GA52,IN_Zugliste!$A$4:$C$602,4,FALSE),"")</f>
        <v/>
      </c>
      <c r="GB151" t="str">
        <f>+IFERROR(VLOOKUP(GB52,IN_Zugliste!$A$4:$C$602,4,FALSE),"")</f>
        <v/>
      </c>
      <c r="GC151" t="str">
        <f>+IFERROR(VLOOKUP(GC52,IN_Zugliste!$A$4:$C$602,4,FALSE),"")</f>
        <v/>
      </c>
      <c r="GD151" t="str">
        <f>+IFERROR(VLOOKUP(GD52,IN_Zugliste!$A$4:$C$602,4,FALSE),"")</f>
        <v/>
      </c>
      <c r="GE151" t="str">
        <f>+IFERROR(VLOOKUP(GE52,IN_Zugliste!$A$4:$C$602,4,FALSE),"")</f>
        <v/>
      </c>
      <c r="GF151" t="str">
        <f>+IFERROR(VLOOKUP(GF52,IN_Zugliste!$A$4:$C$602,4,FALSE),"")</f>
        <v/>
      </c>
      <c r="GG151" t="str">
        <f>+IFERROR(VLOOKUP(GG52,IN_Zugliste!$A$4:$C$602,4,FALSE),"")</f>
        <v/>
      </c>
      <c r="GH151" t="str">
        <f>+IFERROR(VLOOKUP(GH52,IN_Zugliste!$A$4:$C$602,4,FALSE),"")</f>
        <v/>
      </c>
      <c r="GI151" t="str">
        <f>+IFERROR(VLOOKUP(GI52,IN_Zugliste!$A$4:$C$602,4,FALSE),"")</f>
        <v/>
      </c>
      <c r="GJ151" t="str">
        <f>+IFERROR(VLOOKUP(GJ52,IN_Zugliste!$A$4:$C$602,4,FALSE),"")</f>
        <v/>
      </c>
      <c r="GK151" t="str">
        <f>+IFERROR(VLOOKUP(GK52,IN_Zugliste!$A$4:$C$602,4,FALSE),"")</f>
        <v/>
      </c>
      <c r="GL151" t="str">
        <f>+IFERROR(VLOOKUP(GL52,IN_Zugliste!$A$4:$C$602,4,FALSE),"")</f>
        <v/>
      </c>
      <c r="GM151" t="str">
        <f>+IFERROR(VLOOKUP(GM52,IN_Zugliste!$A$4:$C$602,4,FALSE),"")</f>
        <v/>
      </c>
      <c r="GN151" t="str">
        <f>+IFERROR(VLOOKUP(GN52,IN_Zugliste!$A$4:$C$602,4,FALSE),"")</f>
        <v/>
      </c>
      <c r="GO151" t="str">
        <f>+IFERROR(VLOOKUP(GO52,IN_Zugliste!$A$4:$C$602,4,FALSE),"")</f>
        <v/>
      </c>
      <c r="GP151" t="str">
        <f>+IFERROR(VLOOKUP(GP52,IN_Zugliste!$A$4:$C$602,4,FALSE),"")</f>
        <v/>
      </c>
      <c r="GQ151" t="str">
        <f>+IFERROR(VLOOKUP(GQ52,IN_Zugliste!$A$4:$C$602,4,FALSE),"")</f>
        <v/>
      </c>
      <c r="GR151" t="str">
        <f>+IFERROR(VLOOKUP(GR52,IN_Zugliste!$A$4:$C$602,4,FALSE),"")</f>
        <v/>
      </c>
      <c r="GS151" t="str">
        <f>+IFERROR(VLOOKUP(GS52,IN_Zugliste!$A$4:$C$602,4,FALSE),"")</f>
        <v/>
      </c>
      <c r="GT151" t="str">
        <f>+IFERROR(VLOOKUP(GT52,IN_Zugliste!$A$4:$C$602,4,FALSE),"")</f>
        <v/>
      </c>
      <c r="GU151" t="str">
        <f>+IFERROR(VLOOKUP(GU52,IN_Zugliste!$A$4:$C$602,4,FALSE),"")</f>
        <v/>
      </c>
      <c r="GV151" t="str">
        <f>+IFERROR(VLOOKUP(GV52,IN_Zugliste!$A$4:$C$602,4,FALSE),"")</f>
        <v/>
      </c>
      <c r="GW151" t="str">
        <f>+IFERROR(VLOOKUP(GW52,IN_Zugliste!$A$4:$C$602,4,FALSE),"")</f>
        <v/>
      </c>
      <c r="GX151" t="str">
        <f>+IFERROR(VLOOKUP(GX52,IN_Zugliste!$A$4:$C$602,4,FALSE),"")</f>
        <v/>
      </c>
      <c r="GY151" t="str">
        <f>+IFERROR(VLOOKUP(GY52,IN_Zugliste!$A$4:$C$602,4,FALSE),"")</f>
        <v/>
      </c>
      <c r="GZ151" t="str">
        <f>+IFERROR(VLOOKUP(GZ52,IN_Zugliste!$A$4:$C$602,4,FALSE),"")</f>
        <v/>
      </c>
      <c r="HA151" t="str">
        <f>+IFERROR(VLOOKUP(HA52,IN_Zugliste!$A$4:$C$602,4,FALSE),"")</f>
        <v/>
      </c>
      <c r="HB151" t="str">
        <f>+IFERROR(VLOOKUP(HB52,IN_Zugliste!$A$4:$C$602,4,FALSE),"")</f>
        <v/>
      </c>
      <c r="HC151" t="str">
        <f>+IFERROR(VLOOKUP(HC52,IN_Zugliste!$A$4:$C$602,4,FALSE),"")</f>
        <v/>
      </c>
      <c r="HD151" t="str">
        <f>+IFERROR(VLOOKUP(HD52,IN_Zugliste!$A$4:$C$602,4,FALSE),"")</f>
        <v/>
      </c>
      <c r="HE151" t="str">
        <f>+IFERROR(VLOOKUP(HE52,IN_Zugliste!$A$4:$C$602,4,FALSE),"")</f>
        <v/>
      </c>
      <c r="HF151" t="str">
        <f>+IFERROR(VLOOKUP(HF52,IN_Zugliste!$A$4:$C$602,4,FALSE),"")</f>
        <v/>
      </c>
      <c r="HG151" t="str">
        <f>+IFERROR(VLOOKUP(HG52,IN_Zugliste!$A$4:$C$602,4,FALSE),"")</f>
        <v/>
      </c>
      <c r="HH151" t="str">
        <f>+IFERROR(VLOOKUP(HH52,IN_Zugliste!$A$4:$C$602,4,FALSE),"")</f>
        <v/>
      </c>
    </row>
    <row r="152" spans="1:216" x14ac:dyDescent="0.2">
      <c r="A152" t="str">
        <f>+IFERROR(VLOOKUP(A53,IN_Zugliste!$A$4:$D$2002,4,FALSE),"")</f>
        <v/>
      </c>
      <c r="B152" t="str">
        <f>+IFERROR(VLOOKUP(B53,IN_Zugliste!$A$4:$D$2002,4,FALSE),"")</f>
        <v/>
      </c>
      <c r="C152" t="str">
        <f>+IFERROR(VLOOKUP(C53,IN_Zugliste!$A$4:$D$2002,4,FALSE),"")</f>
        <v/>
      </c>
      <c r="D152" t="str">
        <f>+IFERROR(VLOOKUP(D53,IN_Zugliste!$A$4:$D$2002,4,FALSE),"")</f>
        <v/>
      </c>
      <c r="E152" t="str">
        <f>+IFERROR(VLOOKUP(E53,IN_Zugliste!$A$4:$D$2002,4,FALSE),"")</f>
        <v/>
      </c>
      <c r="F152" t="str">
        <f>+IFERROR(VLOOKUP(F53,IN_Zugliste!$A$4:$D$2002,4,FALSE),"")</f>
        <v/>
      </c>
      <c r="G152" t="str">
        <f>+IFERROR(VLOOKUP(G53,IN_Zugliste!$A$4:$D$2002,4,FALSE),"")</f>
        <v/>
      </c>
      <c r="H152" t="str">
        <f>+IFERROR(VLOOKUP(H53,IN_Zugliste!$A$4:$D$2002,4,FALSE),"")</f>
        <v/>
      </c>
      <c r="I152" t="str">
        <f>+IFERROR(VLOOKUP(I53,IN_Zugliste!$A$4:$D$2002,4,FALSE),"")</f>
        <v/>
      </c>
      <c r="J152" t="str">
        <f>+IFERROR(VLOOKUP(J53,IN_Zugliste!$A$4:$D$2002,4,FALSE),"")</f>
        <v/>
      </c>
      <c r="K152" t="str">
        <f>+IFERROR(VLOOKUP(K53,IN_Zugliste!$A$4:$D$2002,4,FALSE),"")</f>
        <v/>
      </c>
      <c r="L152" t="str">
        <f>+IFERROR(VLOOKUP(L53,IN_Zugliste!$A$4:$D$2002,4,FALSE),"")</f>
        <v/>
      </c>
      <c r="M152" t="str">
        <f>+IFERROR(VLOOKUP(M53,IN_Zugliste!$A$4:$D$2002,4,FALSE),"")</f>
        <v/>
      </c>
      <c r="N152" t="str">
        <f>+IFERROR(VLOOKUP(N53,IN_Zugliste!$A$4:$D$2002,4,FALSE),"")</f>
        <v/>
      </c>
      <c r="O152" t="str">
        <f>+IFERROR(VLOOKUP(O53,IN_Zugliste!$A$4:$D$2002,4,FALSE),"")</f>
        <v/>
      </c>
      <c r="P152" t="str">
        <f>+IFERROR(VLOOKUP(P53,IN_Zugliste!$A$4:$D$2002,4,FALSE),"")</f>
        <v/>
      </c>
      <c r="Q152" t="str">
        <f>+IFERROR(VLOOKUP(Q53,IN_Zugliste!$A$4:$D$2002,4,FALSE),"")</f>
        <v/>
      </c>
      <c r="R152" t="str">
        <f>+IFERROR(VLOOKUP(R53,IN_Zugliste!$A$4:$D$2002,4,FALSE),"")</f>
        <v/>
      </c>
      <c r="S152" t="str">
        <f>+IFERROR(VLOOKUP(S53,IN_Zugliste!$A$4:$D$2002,4,FALSE),"")</f>
        <v/>
      </c>
      <c r="T152" t="str">
        <f>+IFERROR(VLOOKUP(T53,IN_Zugliste!$A$4:$D$2002,4,FALSE),"")</f>
        <v/>
      </c>
      <c r="U152" t="str">
        <f>+IFERROR(VLOOKUP(U53,IN_Zugliste!$A$4:$D$2002,4,FALSE),"")</f>
        <v/>
      </c>
      <c r="V152" t="str">
        <f>+IFERROR(VLOOKUP(V53,IN_Zugliste!$A$4:$D$2002,4,FALSE),"")</f>
        <v/>
      </c>
      <c r="W152" t="str">
        <f>+IFERROR(VLOOKUP(W53,IN_Zugliste!$A$4:$D$2002,4,FALSE),"")</f>
        <v/>
      </c>
      <c r="X152" t="str">
        <f>+IFERROR(VLOOKUP(X53,IN_Zugliste!$A$4:$D$2002,4,FALSE),"")</f>
        <v/>
      </c>
      <c r="Y152" t="str">
        <f>+IFERROR(VLOOKUP(Y53,IN_Zugliste!$A$4:$D$2002,4,FALSE),"")</f>
        <v/>
      </c>
      <c r="Z152" t="str">
        <f>+IFERROR(VLOOKUP(Z53,IN_Zugliste!$A$4:$D$2002,4,FALSE),"")</f>
        <v/>
      </c>
      <c r="AA152" t="str">
        <f>+IFERROR(VLOOKUP(AA53,IN_Zugliste!$A$4:$D$2002,4,FALSE),"")</f>
        <v/>
      </c>
      <c r="AB152" t="str">
        <f>+IFERROR(VLOOKUP(AB53,IN_Zugliste!$A$4:$D$2002,4,FALSE),"")</f>
        <v/>
      </c>
      <c r="AC152" t="str">
        <f>+IFERROR(VLOOKUP(AC53,IN_Zugliste!$A$4:$D$2002,4,FALSE),"")</f>
        <v/>
      </c>
      <c r="AD152" t="str">
        <f>+IFERROR(VLOOKUP(AD53,IN_Zugliste!$A$4:$D$2002,4,FALSE),"")</f>
        <v/>
      </c>
      <c r="AE152" t="str">
        <f>+IFERROR(VLOOKUP(AE53,IN_Zugliste!$A$4:$D$2002,4,FALSE),"")</f>
        <v/>
      </c>
      <c r="AF152" t="str">
        <f>+IFERROR(VLOOKUP(AF53,IN_Zugliste!$A$4:$D$2002,4,FALSE),"")</f>
        <v/>
      </c>
      <c r="AG152" t="str">
        <f>+IFERROR(VLOOKUP(AG53,IN_Zugliste!$A$4:$D$2002,4,FALSE),"")</f>
        <v/>
      </c>
      <c r="AH152" t="str">
        <f>+IFERROR(VLOOKUP(AH53,IN_Zugliste!$A$4:$D$2002,4,FALSE),"")</f>
        <v/>
      </c>
      <c r="AI152" t="str">
        <f>+IFERROR(VLOOKUP(AI53,IN_Zugliste!$A$4:$D$2002,4,FALSE),"")</f>
        <v/>
      </c>
      <c r="AJ152" t="str">
        <f>+IFERROR(VLOOKUP(AJ53,IN_Zugliste!$A$4:$D$2002,4,FALSE),"")</f>
        <v/>
      </c>
      <c r="AK152" t="str">
        <f>+IFERROR(VLOOKUP(AK53,IN_Zugliste!$A$4:$D$2002,4,FALSE),"")</f>
        <v/>
      </c>
      <c r="AL152" t="str">
        <f>+IFERROR(VLOOKUP(AL53,IN_Zugliste!$A$4:$D$2002,4,FALSE),"")</f>
        <v/>
      </c>
      <c r="AM152" t="str">
        <f>+IFERROR(VLOOKUP(AM53,IN_Zugliste!$A$4:$D$2002,4,FALSE),"")</f>
        <v/>
      </c>
      <c r="AN152" t="str">
        <f>+IFERROR(VLOOKUP(AN53,IN_Zugliste!$A$4:$D$2002,4,FALSE),"")</f>
        <v/>
      </c>
      <c r="AO152" t="str">
        <f>+IFERROR(VLOOKUP(AO53,IN_Zugliste!$A$4:$D$2002,4,FALSE),"")</f>
        <v/>
      </c>
      <c r="AP152" t="str">
        <f>+IFERROR(VLOOKUP(AP53,IN_Zugliste!$A$4:$D$2002,4,FALSE),"")</f>
        <v/>
      </c>
      <c r="AQ152" t="str">
        <f>+IFERROR(VLOOKUP(AQ53,IN_Zugliste!$A$4:$D$2002,4,FALSE),"")</f>
        <v/>
      </c>
      <c r="AR152" t="str">
        <f>+IFERROR(VLOOKUP(AR53,IN_Zugliste!$A$4:$D$2002,4,FALSE),"")</f>
        <v/>
      </c>
      <c r="AS152" t="str">
        <f>+IFERROR(VLOOKUP(AS53,IN_Zugliste!$A$4:$D$2002,4,FALSE),"")</f>
        <v/>
      </c>
      <c r="AT152" t="str">
        <f>+IFERROR(VLOOKUP(AT53,IN_Zugliste!$A$4:$D$2002,4,FALSE),"")</f>
        <v/>
      </c>
      <c r="AU152" t="str">
        <f>+IFERROR(VLOOKUP(AU53,IN_Zugliste!$A$4:$D$2002,4,FALSE),"")</f>
        <v/>
      </c>
      <c r="AV152" t="str">
        <f>+IFERROR(VLOOKUP(AV53,IN_Zugliste!$A$4:$D$2002,4,FALSE),"")</f>
        <v/>
      </c>
      <c r="AW152" t="str">
        <f>+IFERROR(VLOOKUP(AW53,IN_Zugliste!$A$4:$D$2002,4,FALSE),"")</f>
        <v/>
      </c>
      <c r="AX152" t="str">
        <f>+IFERROR(VLOOKUP(AX53,IN_Zugliste!$A$4:$D$2002,4,FALSE),"")</f>
        <v/>
      </c>
      <c r="AY152" t="str">
        <f>+IFERROR(VLOOKUP(AY53,IN_Zugliste!$A$4:$D$2002,4,FALSE),"")</f>
        <v/>
      </c>
      <c r="AZ152" t="str">
        <f>+IFERROR(VLOOKUP(AZ53,IN_Zugliste!$A$4:$D$2002,4,FALSE),"")</f>
        <v/>
      </c>
      <c r="BA152" t="str">
        <f>+IFERROR(VLOOKUP(BA53,IN_Zugliste!$A$4:$D$2002,4,FALSE),"")</f>
        <v/>
      </c>
      <c r="BB152" t="str">
        <f>+IFERROR(VLOOKUP(BB53,IN_Zugliste!$A$4:$D$2002,4,FALSE),"")</f>
        <v/>
      </c>
      <c r="BC152" t="str">
        <f>+IFERROR(VLOOKUP(BC53,IN_Zugliste!$A$4:$D$2002,4,FALSE),"")</f>
        <v/>
      </c>
      <c r="BD152" t="str">
        <f>+IFERROR(VLOOKUP(BD53,IN_Zugliste!$A$4:$D$2002,4,FALSE),"")</f>
        <v/>
      </c>
      <c r="BE152" t="str">
        <f>+IFERROR(VLOOKUP(BE53,IN_Zugliste!$A$4:$D$2002,4,FALSE),"")</f>
        <v/>
      </c>
      <c r="BF152" t="str">
        <f>+IFERROR(VLOOKUP(BF53,IN_Zugliste!$A$4:$D$2002,4,FALSE),"")</f>
        <v/>
      </c>
      <c r="BG152" t="str">
        <f>+IFERROR(VLOOKUP(BG53,IN_Zugliste!$A$4:$D$2002,4,FALSE),"")</f>
        <v/>
      </c>
      <c r="BH152" t="str">
        <f>+IFERROR(VLOOKUP(BH53,IN_Zugliste!$A$4:$D$2002,4,FALSE),"")</f>
        <v/>
      </c>
      <c r="BI152" t="str">
        <f>+IFERROR(VLOOKUP(BI53,IN_Zugliste!$A$4:$D$2002,4,FALSE),"")</f>
        <v/>
      </c>
      <c r="BJ152" t="str">
        <f>+IFERROR(VLOOKUP(BJ53,IN_Zugliste!$A$4:$D$2002,4,FALSE),"")</f>
        <v/>
      </c>
      <c r="BK152" t="str">
        <f>+IFERROR(VLOOKUP(BK53,IN_Zugliste!$A$4:$D$2002,4,FALSE),"")</f>
        <v/>
      </c>
      <c r="BL152" t="str">
        <f>+IFERROR(VLOOKUP(BL53,IN_Zugliste!$A$4:$D$2002,4,FALSE),"")</f>
        <v/>
      </c>
      <c r="BM152" t="str">
        <f>+IFERROR(VLOOKUP(BM53,IN_Zugliste!$A$4:$D$2002,4,FALSE),"")</f>
        <v/>
      </c>
      <c r="BN152" t="str">
        <f>+IFERROR(VLOOKUP(BN53,IN_Zugliste!$A$4:$D$2002,4,FALSE),"")</f>
        <v/>
      </c>
      <c r="BO152" t="str">
        <f>+IFERROR(VLOOKUP(BO53,IN_Zugliste!$A$4:$D$2002,4,FALSE),"")</f>
        <v/>
      </c>
      <c r="BP152" t="str">
        <f>+IFERROR(VLOOKUP(BP53,IN_Zugliste!$A$4:$D$2002,4,FALSE),"")</f>
        <v/>
      </c>
      <c r="BQ152" t="str">
        <f>+IFERROR(VLOOKUP(BQ53,IN_Zugliste!$A$4:$D$2002,4,FALSE),"")</f>
        <v/>
      </c>
      <c r="BR152" t="str">
        <f>+IFERROR(VLOOKUP(BR53,IN_Zugliste!$A$4:$D$2002,4,FALSE),"")</f>
        <v/>
      </c>
      <c r="BS152" t="str">
        <f>+IFERROR(VLOOKUP(BS53,IN_Zugliste!$A$4:$D$2002,4,FALSE),"")</f>
        <v/>
      </c>
      <c r="BT152" t="str">
        <f>+IFERROR(VLOOKUP(BT53,IN_Zugliste!$A$4:$D$2002,4,FALSE),"")</f>
        <v/>
      </c>
      <c r="BU152" t="str">
        <f>+IFERROR(VLOOKUP(BU53,IN_Zugliste!$A$4:$D$2002,4,FALSE),"")</f>
        <v/>
      </c>
      <c r="BV152" t="str">
        <f>+IFERROR(VLOOKUP(BV53,IN_Zugliste!$A$4:$D$2002,4,FALSE),"")</f>
        <v/>
      </c>
      <c r="BW152" t="str">
        <f>+IFERROR(VLOOKUP(BW53,IN_Zugliste!$A$4:$D$2002,4,FALSE),"")</f>
        <v/>
      </c>
      <c r="BX152" t="str">
        <f>+IFERROR(VLOOKUP(BX53,IN_Zugliste!$A$4:$D$2002,4,FALSE),"")</f>
        <v/>
      </c>
      <c r="BY152" t="str">
        <f>+IFERROR(VLOOKUP(BY53,IN_Zugliste!$A$4:$D$2002,4,FALSE),"")</f>
        <v/>
      </c>
      <c r="BZ152" t="str">
        <f>+IFERROR(VLOOKUP(BZ53,IN_Zugliste!$A$4:$D$2002,4,FALSE),"")</f>
        <v/>
      </c>
      <c r="CA152" t="str">
        <f>+IFERROR(VLOOKUP(CA53,IN_Zugliste!$A$4:$D$2002,4,FALSE),"")</f>
        <v/>
      </c>
      <c r="CB152" t="str">
        <f>+IFERROR(VLOOKUP(CB53,IN_Zugliste!$A$4:$D$2002,4,FALSE),"")</f>
        <v/>
      </c>
      <c r="CC152" t="str">
        <f>+IFERROR(VLOOKUP(CC53,IN_Zugliste!$A$4:$D$2002,4,FALSE),"")</f>
        <v/>
      </c>
      <c r="CD152" t="str">
        <f>+IFERROR(VLOOKUP(CD53,IN_Zugliste!$A$4:$D$2002,4,FALSE),"")</f>
        <v/>
      </c>
      <c r="CE152" t="str">
        <f>+IFERROR(VLOOKUP(CE53,IN_Zugliste!$A$4:$D$2002,4,FALSE),"")</f>
        <v/>
      </c>
      <c r="CF152" t="str">
        <f>+IFERROR(VLOOKUP(CF53,IN_Zugliste!$A$4:$D$2002,4,FALSE),"")</f>
        <v/>
      </c>
      <c r="CG152" t="str">
        <f>+IFERROR(VLOOKUP(CG53,IN_Zugliste!$A$4:$D$2002,4,FALSE),"")</f>
        <v/>
      </c>
      <c r="CH152" t="str">
        <f>+IFERROR(VLOOKUP(CH53,IN_Zugliste!$A$4:$D$2002,4,FALSE),"")</f>
        <v/>
      </c>
      <c r="CI152" t="str">
        <f>+IFERROR(VLOOKUP(CI53,IN_Zugliste!$A$4:$D$2002,4,FALSE),"")</f>
        <v/>
      </c>
      <c r="CJ152" t="str">
        <f>+IFERROR(VLOOKUP(CJ53,IN_Zugliste!$A$4:$D$2002,4,FALSE),"")</f>
        <v/>
      </c>
      <c r="CK152" t="str">
        <f>+IFERROR(VLOOKUP(CK53,IN_Zugliste!$A$4:$D$2002,4,FALSE),"")</f>
        <v/>
      </c>
      <c r="CL152" t="str">
        <f>+IFERROR(VLOOKUP(CL53,IN_Zugliste!$A$4:$D$2002,4,FALSE),"")</f>
        <v/>
      </c>
      <c r="CM152" t="str">
        <f>+IFERROR(VLOOKUP(CM53,IN_Zugliste!$A$4:$D$2002,4,FALSE),"")</f>
        <v/>
      </c>
      <c r="CN152" t="str">
        <f>+IFERROR(VLOOKUP(CN53,IN_Zugliste!$A$4:$D$2002,4,FALSE),"")</f>
        <v/>
      </c>
      <c r="CO152" t="str">
        <f>+IFERROR(VLOOKUP(CO53,IN_Zugliste!$A$4:$D$2002,4,FALSE),"")</f>
        <v/>
      </c>
      <c r="CP152" t="str">
        <f>+IFERROR(VLOOKUP(CP53,IN_Zugliste!$A$4:$D$2002,4,FALSE),"")</f>
        <v/>
      </c>
      <c r="CQ152" t="str">
        <f>+IFERROR(VLOOKUP(CQ53,IN_Zugliste!$A$4:$D$2002,4,FALSE),"")</f>
        <v/>
      </c>
      <c r="CR152" t="str">
        <f>+IFERROR(VLOOKUP(CR53,IN_Zugliste!$A$4:$D$2002,4,FALSE),"")</f>
        <v/>
      </c>
      <c r="CS152" t="str">
        <f>+IFERROR(VLOOKUP(CS53,IN_Zugliste!$A$4:$D$2002,4,FALSE),"")</f>
        <v/>
      </c>
      <c r="CT152" t="str">
        <f>+IFERROR(VLOOKUP(CT53,IN_Zugliste!$A$4:$D$2002,4,FALSE),"")</f>
        <v/>
      </c>
      <c r="CU152" t="str">
        <f>+IFERROR(VLOOKUP(CU53,IN_Zugliste!$A$4:$D$2002,4,FALSE),"")</f>
        <v/>
      </c>
      <c r="CV152" t="str">
        <f>+IFERROR(VLOOKUP(CV53,IN_Zugliste!$A$4:$D$2002,4,FALSE),"")</f>
        <v/>
      </c>
      <c r="CW152" t="str">
        <f>+IFERROR(VLOOKUP(CW53,IN_Zugliste!$A$4:$D$2002,4,FALSE),"")</f>
        <v/>
      </c>
      <c r="CX152" t="str">
        <f>+IFERROR(VLOOKUP(CX53,IN_Zugliste!$A$4:$D$2002,4,FALSE),"")</f>
        <v/>
      </c>
      <c r="CY152" t="str">
        <f>+IFERROR(VLOOKUP(CY53,IN_Zugliste!$A$4:$D$2002,4,FALSE),"")</f>
        <v/>
      </c>
      <c r="CZ152" t="str">
        <f>+IFERROR(VLOOKUP(CZ53,IN_Zugliste!$A$4:$D$2002,4,FALSE),"")</f>
        <v/>
      </c>
      <c r="DA152" t="str">
        <f>+IFERROR(VLOOKUP(DA53,IN_Zugliste!$A$4:$D$2002,4,FALSE),"")</f>
        <v/>
      </c>
      <c r="DB152" t="str">
        <f>+IFERROR(VLOOKUP(DB53,IN_Zugliste!$A$4:$D$2002,4,FALSE),"")</f>
        <v/>
      </c>
      <c r="DC152" t="str">
        <f>+IFERROR(VLOOKUP(DC53,IN_Zugliste!$A$4:$D$2002,4,FALSE),"")</f>
        <v/>
      </c>
      <c r="DD152" t="str">
        <f>+IFERROR(VLOOKUP(DD53,IN_Zugliste!$A$4:$D$2002,4,FALSE),"")</f>
        <v/>
      </c>
      <c r="DE152" t="str">
        <f>+IFERROR(VLOOKUP(DE53,IN_Zugliste!$A$4:$D$2002,4,FALSE),"")</f>
        <v/>
      </c>
      <c r="DF152" t="str">
        <f>+IFERROR(VLOOKUP(DF53,IN_Zugliste!$A$4:$D$2002,4,FALSE),"")</f>
        <v/>
      </c>
      <c r="DG152" t="str">
        <f>+IFERROR(VLOOKUP(DG53,IN_Zugliste!$A$4:$D$2002,4,FALSE),"")</f>
        <v/>
      </c>
      <c r="DH152" t="str">
        <f>+IFERROR(VLOOKUP(DH53,IN_Zugliste!$A$4:$D$2002,4,FALSE),"")</f>
        <v/>
      </c>
      <c r="DI152" t="str">
        <f>+IFERROR(VLOOKUP(DI53,IN_Zugliste!$A$4:$D$2002,4,FALSE),"")</f>
        <v/>
      </c>
      <c r="DJ152" t="str">
        <f>+IFERROR(VLOOKUP(DJ53,IN_Zugliste!$A$4:$D$2002,4,FALSE),"")</f>
        <v/>
      </c>
      <c r="DK152" t="str">
        <f>+IFERROR(VLOOKUP(DK53,IN_Zugliste!$A$4:$D$2002,4,FALSE),"")</f>
        <v/>
      </c>
      <c r="DL152" t="str">
        <f>+IFERROR(VLOOKUP(DL53,IN_Zugliste!$A$4:$D$2002,4,FALSE),"")</f>
        <v/>
      </c>
      <c r="DM152" t="str">
        <f>+IFERROR(VLOOKUP(DM53,IN_Zugliste!$A$4:$D$2002,4,FALSE),"")</f>
        <v/>
      </c>
      <c r="DN152" t="str">
        <f>+IFERROR(VLOOKUP(DN53,IN_Zugliste!$A$4:$D$2002,4,FALSE),"")</f>
        <v/>
      </c>
      <c r="DO152" t="str">
        <f>+IFERROR(VLOOKUP(DO53,IN_Zugliste!$A$4:$D$2002,4,FALSE),"")</f>
        <v/>
      </c>
      <c r="DP152" t="str">
        <f>+IFERROR(VLOOKUP(DP53,IN_Zugliste!$A$4:$D$2002,4,FALSE),"")</f>
        <v/>
      </c>
      <c r="DQ152" t="str">
        <f>+IFERROR(VLOOKUP(DQ53,IN_Zugliste!$A$4:$D$2002,4,FALSE),"")</f>
        <v/>
      </c>
      <c r="DR152" t="str">
        <f>+IFERROR(VLOOKUP(DR53,IN_Zugliste!$A$4:$D$2002,4,FALSE),"")</f>
        <v/>
      </c>
      <c r="DS152" t="str">
        <f>+IFERROR(VLOOKUP(DS53,IN_Zugliste!$A$4:$D$2002,4,FALSE),"")</f>
        <v/>
      </c>
      <c r="DT152" t="str">
        <f>+IFERROR(VLOOKUP(DT53,IN_Zugliste!$A$4:$D$2002,4,FALSE),"")</f>
        <v/>
      </c>
      <c r="DU152" t="str">
        <f>+IFERROR(VLOOKUP(DU53,IN_Zugliste!$A$4:$D$2002,4,FALSE),"")</f>
        <v/>
      </c>
      <c r="DV152" t="str">
        <f>+IFERROR(VLOOKUP(DV53,IN_Zugliste!$A$4:$D$2002,4,FALSE),"")</f>
        <v/>
      </c>
      <c r="DW152" t="str">
        <f>+IFERROR(VLOOKUP(DW53,IN_Zugliste!$A$4:$D$2002,4,FALSE),"")</f>
        <v/>
      </c>
      <c r="DX152" t="str">
        <f>+IFERROR(VLOOKUP(DX53,IN_Zugliste!$A$4:$D$2002,4,FALSE),"")</f>
        <v/>
      </c>
      <c r="DY152" t="str">
        <f>+IFERROR(VLOOKUP(DY53,IN_Zugliste!$A$4:$D$2002,4,FALSE),"")</f>
        <v/>
      </c>
      <c r="DZ152" t="str">
        <f>+IFERROR(VLOOKUP(DZ53,IN_Zugliste!$A$4:$D$2002,4,FALSE),"")</f>
        <v/>
      </c>
      <c r="EA152" t="str">
        <f>+IFERROR(VLOOKUP(EA53,IN_Zugliste!$A$4:$D$2002,4,FALSE),"")</f>
        <v/>
      </c>
      <c r="EB152" t="str">
        <f>+IFERROR(VLOOKUP(EB53,IN_Zugliste!$A$4:$D$2002,4,FALSE),"")</f>
        <v/>
      </c>
      <c r="EC152" t="str">
        <f>+IFERROR(VLOOKUP(EC53,IN_Zugliste!$A$4:$D$2002,4,FALSE),"")</f>
        <v/>
      </c>
      <c r="ED152" t="str">
        <f>+IFERROR(VLOOKUP(ED53,IN_Zugliste!$A$4:$D$2002,4,FALSE),"")</f>
        <v/>
      </c>
      <c r="EE152" t="str">
        <f>+IFERROR(VLOOKUP(EE53,IN_Zugliste!$A$4:$D$2002,4,FALSE),"")</f>
        <v/>
      </c>
      <c r="EF152" t="str">
        <f>+IFERROR(VLOOKUP(EF53,IN_Zugliste!$A$4:$D$2002,4,FALSE),"")</f>
        <v/>
      </c>
      <c r="EG152" t="str">
        <f>+IFERROR(VLOOKUP(EG53,IN_Zugliste!$A$4:$D$2002,4,FALSE),"")</f>
        <v/>
      </c>
      <c r="EH152" t="str">
        <f>+IFERROR(VLOOKUP(EH53,IN_Zugliste!$A$4:$D$2002,4,FALSE),"")</f>
        <v/>
      </c>
      <c r="EI152" t="str">
        <f>+IFERROR(VLOOKUP(EI53,IN_Zugliste!$A$4:$D$2002,4,FALSE),"")</f>
        <v/>
      </c>
      <c r="EJ152" t="str">
        <f>+IFERROR(VLOOKUP(EJ53,IN_Zugliste!$A$4:$D$2002,4,FALSE),"")</f>
        <v/>
      </c>
      <c r="EK152" t="str">
        <f>+IFERROR(VLOOKUP(EK53,IN_Zugliste!$A$4:$D$2002,4,FALSE),"")</f>
        <v/>
      </c>
      <c r="EL152" t="str">
        <f>+IFERROR(VLOOKUP(EL53,IN_Zugliste!$A$4:$D$2002,4,FALSE),"")</f>
        <v/>
      </c>
      <c r="EM152" t="str">
        <f>+IFERROR(VLOOKUP(EM53,IN_Zugliste!$A$4:$D$2002,4,FALSE),"")</f>
        <v/>
      </c>
      <c r="EN152" t="str">
        <f>+IFERROR(VLOOKUP(EN53,IN_Zugliste!$A$4:$D$2002,4,FALSE),"")</f>
        <v/>
      </c>
      <c r="EO152" t="str">
        <f>+IFERROR(VLOOKUP(EO53,IN_Zugliste!$A$4:$D$2002,4,FALSE),"")</f>
        <v/>
      </c>
      <c r="EP152" t="str">
        <f>+IFERROR(VLOOKUP(EP53,IN_Zugliste!$A$4:$D$2002,4,FALSE),"")</f>
        <v/>
      </c>
      <c r="EQ152" t="str">
        <f>+IFERROR(VLOOKUP(EQ53,IN_Zugliste!$A$4:$D$2002,4,FALSE),"")</f>
        <v/>
      </c>
      <c r="ER152" t="str">
        <f>+IFERROR(VLOOKUP(ER53,IN_Zugliste!$A$4:$D$2002,4,FALSE),"")</f>
        <v/>
      </c>
      <c r="ES152" t="str">
        <f>+IFERROR(VLOOKUP(ES53,IN_Zugliste!$A$4:$D$2002,4,FALSE),"")</f>
        <v/>
      </c>
      <c r="ET152" t="str">
        <f>+IFERROR(VLOOKUP(ET53,IN_Zugliste!$A$4:$D$2002,4,FALSE),"")</f>
        <v/>
      </c>
      <c r="EU152" t="str">
        <f>+IFERROR(VLOOKUP(EU53,IN_Zugliste!$A$4:$D$2002,4,FALSE),"")</f>
        <v/>
      </c>
      <c r="EV152" t="str">
        <f>+IFERROR(VLOOKUP(EV53,IN_Zugliste!$A$4:$D$2002,4,FALSE),"")</f>
        <v/>
      </c>
      <c r="EW152" t="str">
        <f>+IFERROR(VLOOKUP(EW53,IN_Zugliste!$A$4:$D$2002,4,FALSE),"")</f>
        <v/>
      </c>
      <c r="EX152" t="str">
        <f>+IFERROR(VLOOKUP(EX53,IN_Zugliste!$A$4:$D$2002,4,FALSE),"")</f>
        <v/>
      </c>
      <c r="EY152" t="str">
        <f>+IFERROR(VLOOKUP(EY53,IN_Zugliste!$A$4:$D$2002,4,FALSE),"")</f>
        <v/>
      </c>
      <c r="EZ152" t="str">
        <f>+IFERROR(VLOOKUP(EZ53,IN_Zugliste!$A$4:$D$2002,4,FALSE),"")</f>
        <v/>
      </c>
      <c r="FA152" t="str">
        <f>+IFERROR(VLOOKUP(FA53,IN_Zugliste!$A$4:$D$2002,4,FALSE),"")</f>
        <v/>
      </c>
      <c r="FB152" t="str">
        <f>+IFERROR(VLOOKUP(FB53,IN_Zugliste!$A$4:$D$2002,4,FALSE),"")</f>
        <v/>
      </c>
      <c r="FC152" t="str">
        <f>+IFERROR(VLOOKUP(FC53,IN_Zugliste!$A$4:$D$2002,4,FALSE),"")</f>
        <v/>
      </c>
      <c r="FD152" t="str">
        <f>+IFERROR(VLOOKUP(FD53,IN_Zugliste!$A$4:$D$2002,4,FALSE),"")</f>
        <v/>
      </c>
      <c r="FE152" t="str">
        <f>+IFERROR(VLOOKUP(FE53,IN_Zugliste!$A$4:$D$2002,4,FALSE),"")</f>
        <v/>
      </c>
      <c r="FF152" t="str">
        <f>+IFERROR(VLOOKUP(FF53,IN_Zugliste!$A$4:$D$2002,4,FALSE),"")</f>
        <v/>
      </c>
      <c r="FG152" t="str">
        <f>+IFERROR(VLOOKUP(FG53,IN_Zugliste!$A$4:$D$2002,4,FALSE),"")</f>
        <v/>
      </c>
      <c r="FH152" t="str">
        <f>+IFERROR(VLOOKUP(FH53,IN_Zugliste!$A$4:$D$2002,4,FALSE),"")</f>
        <v/>
      </c>
      <c r="FI152" t="str">
        <f>+IFERROR(VLOOKUP(FI53,IN_Zugliste!$A$4:$D$2002,4,FALSE),"")</f>
        <v/>
      </c>
      <c r="FJ152" t="str">
        <f>+IFERROR(VLOOKUP(FJ53,IN_Zugliste!$A$4:$D$2002,4,FALSE),"")</f>
        <v/>
      </c>
      <c r="FK152" t="str">
        <f>+IFERROR(VLOOKUP(FK53,IN_Zugliste!$A$4:$D$2002,4,FALSE),"")</f>
        <v/>
      </c>
      <c r="FL152" t="str">
        <f>+IFERROR(VLOOKUP(FL53,IN_Zugliste!$A$4:$D$2002,4,FALSE),"")</f>
        <v/>
      </c>
      <c r="FM152" t="str">
        <f>+IFERROR(VLOOKUP(FM53,IN_Zugliste!$A$4:$C$602,4,FALSE),"")</f>
        <v/>
      </c>
      <c r="FN152" t="str">
        <f>+IFERROR(VLOOKUP(FN53,IN_Zugliste!$A$4:$C$602,4,FALSE),"")</f>
        <v/>
      </c>
      <c r="FO152" t="str">
        <f>+IFERROR(VLOOKUP(FO53,IN_Zugliste!$A$4:$C$602,4,FALSE),"")</f>
        <v/>
      </c>
      <c r="FP152" t="str">
        <f>+IFERROR(VLOOKUP(FP53,IN_Zugliste!$A$4:$C$602,4,FALSE),"")</f>
        <v/>
      </c>
      <c r="FQ152" t="str">
        <f>+IFERROR(VLOOKUP(FQ53,IN_Zugliste!$A$4:$C$602,4,FALSE),"")</f>
        <v/>
      </c>
      <c r="FR152" t="str">
        <f>+IFERROR(VLOOKUP(FR53,IN_Zugliste!$A$4:$C$602,4,FALSE),"")</f>
        <v/>
      </c>
      <c r="FS152" t="str">
        <f>+IFERROR(VLOOKUP(FS53,IN_Zugliste!$A$4:$C$602,4,FALSE),"")</f>
        <v/>
      </c>
      <c r="FT152" t="str">
        <f>+IFERROR(VLOOKUP(FT53,IN_Zugliste!$A$4:$C$602,4,FALSE),"")</f>
        <v/>
      </c>
      <c r="FU152" t="str">
        <f>+IFERROR(VLOOKUP(FU53,IN_Zugliste!$A$4:$C$602,4,FALSE),"")</f>
        <v/>
      </c>
      <c r="FV152" t="str">
        <f>+IFERROR(VLOOKUP(FV53,IN_Zugliste!$A$4:$C$602,4,FALSE),"")</f>
        <v/>
      </c>
      <c r="FW152" t="str">
        <f>+IFERROR(VLOOKUP(FW53,IN_Zugliste!$A$4:$C$602,4,FALSE),"")</f>
        <v/>
      </c>
      <c r="FX152" t="str">
        <f>+IFERROR(VLOOKUP(FX53,IN_Zugliste!$A$4:$C$602,4,FALSE),"")</f>
        <v/>
      </c>
      <c r="FY152" t="str">
        <f>+IFERROR(VLOOKUP(FY53,IN_Zugliste!$A$4:$C$602,4,FALSE),"")</f>
        <v/>
      </c>
      <c r="FZ152" t="str">
        <f>+IFERROR(VLOOKUP(FZ53,IN_Zugliste!$A$4:$C$602,4,FALSE),"")</f>
        <v/>
      </c>
      <c r="GA152" t="str">
        <f>+IFERROR(VLOOKUP(GA53,IN_Zugliste!$A$4:$C$602,4,FALSE),"")</f>
        <v/>
      </c>
      <c r="GB152" t="str">
        <f>+IFERROR(VLOOKUP(GB53,IN_Zugliste!$A$4:$C$602,4,FALSE),"")</f>
        <v/>
      </c>
      <c r="GC152" t="str">
        <f>+IFERROR(VLOOKUP(GC53,IN_Zugliste!$A$4:$C$602,4,FALSE),"")</f>
        <v/>
      </c>
      <c r="GD152" t="str">
        <f>+IFERROR(VLOOKUP(GD53,IN_Zugliste!$A$4:$C$602,4,FALSE),"")</f>
        <v/>
      </c>
      <c r="GE152" t="str">
        <f>+IFERROR(VLOOKUP(GE53,IN_Zugliste!$A$4:$C$602,4,FALSE),"")</f>
        <v/>
      </c>
      <c r="GF152" t="str">
        <f>+IFERROR(VLOOKUP(GF53,IN_Zugliste!$A$4:$C$602,4,FALSE),"")</f>
        <v/>
      </c>
      <c r="GG152" t="str">
        <f>+IFERROR(VLOOKUP(GG53,IN_Zugliste!$A$4:$C$602,4,FALSE),"")</f>
        <v/>
      </c>
      <c r="GH152" t="str">
        <f>+IFERROR(VLOOKUP(GH53,IN_Zugliste!$A$4:$C$602,4,FALSE),"")</f>
        <v/>
      </c>
      <c r="GI152" t="str">
        <f>+IFERROR(VLOOKUP(GI53,IN_Zugliste!$A$4:$C$602,4,FALSE),"")</f>
        <v/>
      </c>
      <c r="GJ152" t="str">
        <f>+IFERROR(VLOOKUP(GJ53,IN_Zugliste!$A$4:$C$602,4,FALSE),"")</f>
        <v/>
      </c>
      <c r="GK152" t="str">
        <f>+IFERROR(VLOOKUP(GK53,IN_Zugliste!$A$4:$C$602,4,FALSE),"")</f>
        <v/>
      </c>
      <c r="GL152" t="str">
        <f>+IFERROR(VLOOKUP(GL53,IN_Zugliste!$A$4:$C$602,4,FALSE),"")</f>
        <v/>
      </c>
      <c r="GM152" t="str">
        <f>+IFERROR(VLOOKUP(GM53,IN_Zugliste!$A$4:$C$602,4,FALSE),"")</f>
        <v/>
      </c>
      <c r="GN152" t="str">
        <f>+IFERROR(VLOOKUP(GN53,IN_Zugliste!$A$4:$C$602,4,FALSE),"")</f>
        <v/>
      </c>
      <c r="GO152" t="str">
        <f>+IFERROR(VLOOKUP(GO53,IN_Zugliste!$A$4:$C$602,4,FALSE),"")</f>
        <v/>
      </c>
      <c r="GP152" t="str">
        <f>+IFERROR(VLOOKUP(GP53,IN_Zugliste!$A$4:$C$602,4,FALSE),"")</f>
        <v/>
      </c>
      <c r="GQ152" t="str">
        <f>+IFERROR(VLOOKUP(GQ53,IN_Zugliste!$A$4:$C$602,4,FALSE),"")</f>
        <v/>
      </c>
      <c r="GR152" t="str">
        <f>+IFERROR(VLOOKUP(GR53,IN_Zugliste!$A$4:$C$602,4,FALSE),"")</f>
        <v/>
      </c>
      <c r="GS152" t="str">
        <f>+IFERROR(VLOOKUP(GS53,IN_Zugliste!$A$4:$C$602,4,FALSE),"")</f>
        <v/>
      </c>
      <c r="GT152" t="str">
        <f>+IFERROR(VLOOKUP(GT53,IN_Zugliste!$A$4:$C$602,4,FALSE),"")</f>
        <v/>
      </c>
      <c r="GU152" t="str">
        <f>+IFERROR(VLOOKUP(GU53,IN_Zugliste!$A$4:$C$602,4,FALSE),"")</f>
        <v/>
      </c>
      <c r="GV152" t="str">
        <f>+IFERROR(VLOOKUP(GV53,IN_Zugliste!$A$4:$C$602,4,FALSE),"")</f>
        <v/>
      </c>
      <c r="GW152" t="str">
        <f>+IFERROR(VLOOKUP(GW53,IN_Zugliste!$A$4:$C$602,4,FALSE),"")</f>
        <v/>
      </c>
      <c r="GX152" t="str">
        <f>+IFERROR(VLOOKUP(GX53,IN_Zugliste!$A$4:$C$602,4,FALSE),"")</f>
        <v/>
      </c>
      <c r="GY152" t="str">
        <f>+IFERROR(VLOOKUP(GY53,IN_Zugliste!$A$4:$C$602,4,FALSE),"")</f>
        <v/>
      </c>
      <c r="GZ152" t="str">
        <f>+IFERROR(VLOOKUP(GZ53,IN_Zugliste!$A$4:$C$602,4,FALSE),"")</f>
        <v/>
      </c>
      <c r="HA152" t="str">
        <f>+IFERROR(VLOOKUP(HA53,IN_Zugliste!$A$4:$C$602,4,FALSE),"")</f>
        <v/>
      </c>
      <c r="HB152" t="str">
        <f>+IFERROR(VLOOKUP(HB53,IN_Zugliste!$A$4:$C$602,4,FALSE),"")</f>
        <v/>
      </c>
      <c r="HC152" t="str">
        <f>+IFERROR(VLOOKUP(HC53,IN_Zugliste!$A$4:$C$602,4,FALSE),"")</f>
        <v/>
      </c>
      <c r="HD152" t="str">
        <f>+IFERROR(VLOOKUP(HD53,IN_Zugliste!$A$4:$C$602,4,FALSE),"")</f>
        <v/>
      </c>
      <c r="HE152" t="str">
        <f>+IFERROR(VLOOKUP(HE53,IN_Zugliste!$A$4:$C$602,4,FALSE),"")</f>
        <v/>
      </c>
      <c r="HF152" t="str">
        <f>+IFERROR(VLOOKUP(HF53,IN_Zugliste!$A$4:$C$602,4,FALSE),"")</f>
        <v/>
      </c>
      <c r="HG152" t="str">
        <f>+IFERROR(VLOOKUP(HG53,IN_Zugliste!$A$4:$C$602,4,FALSE),"")</f>
        <v/>
      </c>
      <c r="HH152" t="str">
        <f>+IFERROR(VLOOKUP(HH53,IN_Zugliste!$A$4:$C$602,4,FALSE),"")</f>
        <v/>
      </c>
    </row>
    <row r="153" spans="1:216" x14ac:dyDescent="0.2">
      <c r="A153" t="str">
        <f>+IFERROR(VLOOKUP(A54,IN_Zugliste!$A$4:$D$2002,4,FALSE),"")</f>
        <v/>
      </c>
      <c r="B153" t="str">
        <f>+IFERROR(VLOOKUP(B54,IN_Zugliste!$A$4:$D$2002,4,FALSE),"")</f>
        <v/>
      </c>
      <c r="C153" t="str">
        <f>+IFERROR(VLOOKUP(C54,IN_Zugliste!$A$4:$D$2002,4,FALSE),"")</f>
        <v/>
      </c>
      <c r="D153" t="str">
        <f>+IFERROR(VLOOKUP(D54,IN_Zugliste!$A$4:$D$2002,4,FALSE),"")</f>
        <v/>
      </c>
      <c r="E153" t="str">
        <f>+IFERROR(VLOOKUP(E54,IN_Zugliste!$A$4:$D$2002,4,FALSE),"")</f>
        <v/>
      </c>
      <c r="F153" t="str">
        <f>+IFERROR(VLOOKUP(F54,IN_Zugliste!$A$4:$D$2002,4,FALSE),"")</f>
        <v/>
      </c>
      <c r="G153" t="str">
        <f>+IFERROR(VLOOKUP(G54,IN_Zugliste!$A$4:$D$2002,4,FALSE),"")</f>
        <v/>
      </c>
      <c r="H153" t="str">
        <f>+IFERROR(VLOOKUP(H54,IN_Zugliste!$A$4:$D$2002,4,FALSE),"")</f>
        <v/>
      </c>
      <c r="I153" t="str">
        <f>+IFERROR(VLOOKUP(I54,IN_Zugliste!$A$4:$D$2002,4,FALSE),"")</f>
        <v/>
      </c>
      <c r="J153" t="str">
        <f>+IFERROR(VLOOKUP(J54,IN_Zugliste!$A$4:$D$2002,4,FALSE),"")</f>
        <v/>
      </c>
      <c r="K153" t="str">
        <f>+IFERROR(VLOOKUP(K54,IN_Zugliste!$A$4:$D$2002,4,FALSE),"")</f>
        <v/>
      </c>
      <c r="L153" t="str">
        <f>+IFERROR(VLOOKUP(L54,IN_Zugliste!$A$4:$D$2002,4,FALSE),"")</f>
        <v/>
      </c>
      <c r="M153" t="str">
        <f>+IFERROR(VLOOKUP(M54,IN_Zugliste!$A$4:$D$2002,4,FALSE),"")</f>
        <v/>
      </c>
      <c r="N153" t="str">
        <f>+IFERROR(VLOOKUP(N54,IN_Zugliste!$A$4:$D$2002,4,FALSE),"")</f>
        <v/>
      </c>
      <c r="O153" t="str">
        <f>+IFERROR(VLOOKUP(O54,IN_Zugliste!$A$4:$D$2002,4,FALSE),"")</f>
        <v/>
      </c>
      <c r="P153" t="str">
        <f>+IFERROR(VLOOKUP(P54,IN_Zugliste!$A$4:$D$2002,4,FALSE),"")</f>
        <v/>
      </c>
      <c r="Q153" t="str">
        <f>+IFERROR(VLOOKUP(Q54,IN_Zugliste!$A$4:$D$2002,4,FALSE),"")</f>
        <v/>
      </c>
      <c r="R153" t="str">
        <f>+IFERROR(VLOOKUP(R54,IN_Zugliste!$A$4:$D$2002,4,FALSE),"")</f>
        <v/>
      </c>
      <c r="S153" t="str">
        <f>+IFERROR(VLOOKUP(S54,IN_Zugliste!$A$4:$D$2002,4,FALSE),"")</f>
        <v/>
      </c>
      <c r="T153" t="str">
        <f>+IFERROR(VLOOKUP(T54,IN_Zugliste!$A$4:$D$2002,4,FALSE),"")</f>
        <v/>
      </c>
      <c r="U153" t="str">
        <f>+IFERROR(VLOOKUP(U54,IN_Zugliste!$A$4:$D$2002,4,FALSE),"")</f>
        <v/>
      </c>
      <c r="V153" t="str">
        <f>+IFERROR(VLOOKUP(V54,IN_Zugliste!$A$4:$D$2002,4,FALSE),"")</f>
        <v/>
      </c>
      <c r="W153" t="str">
        <f>+IFERROR(VLOOKUP(W54,IN_Zugliste!$A$4:$D$2002,4,FALSE),"")</f>
        <v/>
      </c>
      <c r="X153" t="str">
        <f>+IFERROR(VLOOKUP(X54,IN_Zugliste!$A$4:$D$2002,4,FALSE),"")</f>
        <v/>
      </c>
      <c r="Y153" t="str">
        <f>+IFERROR(VLOOKUP(Y54,IN_Zugliste!$A$4:$D$2002,4,FALSE),"")</f>
        <v/>
      </c>
      <c r="Z153" t="str">
        <f>+IFERROR(VLOOKUP(Z54,IN_Zugliste!$A$4:$D$2002,4,FALSE),"")</f>
        <v/>
      </c>
      <c r="AA153" t="str">
        <f>+IFERROR(VLOOKUP(AA54,IN_Zugliste!$A$4:$D$2002,4,FALSE),"")</f>
        <v/>
      </c>
      <c r="AB153" t="str">
        <f>+IFERROR(VLOOKUP(AB54,IN_Zugliste!$A$4:$D$2002,4,FALSE),"")</f>
        <v/>
      </c>
      <c r="AC153" t="str">
        <f>+IFERROR(VLOOKUP(AC54,IN_Zugliste!$A$4:$D$2002,4,FALSE),"")</f>
        <v/>
      </c>
      <c r="AD153" t="str">
        <f>+IFERROR(VLOOKUP(AD54,IN_Zugliste!$A$4:$D$2002,4,FALSE),"")</f>
        <v/>
      </c>
      <c r="AE153" t="str">
        <f>+IFERROR(VLOOKUP(AE54,IN_Zugliste!$A$4:$D$2002,4,FALSE),"")</f>
        <v/>
      </c>
      <c r="AF153" t="str">
        <f>+IFERROR(VLOOKUP(AF54,IN_Zugliste!$A$4:$D$2002,4,FALSE),"")</f>
        <v/>
      </c>
      <c r="AG153" t="str">
        <f>+IFERROR(VLOOKUP(AG54,IN_Zugliste!$A$4:$D$2002,4,FALSE),"")</f>
        <v/>
      </c>
      <c r="AH153" t="str">
        <f>+IFERROR(VLOOKUP(AH54,IN_Zugliste!$A$4:$D$2002,4,FALSE),"")</f>
        <v/>
      </c>
      <c r="AI153" t="str">
        <f>+IFERROR(VLOOKUP(AI54,IN_Zugliste!$A$4:$D$2002,4,FALSE),"")</f>
        <v/>
      </c>
      <c r="AJ153" t="str">
        <f>+IFERROR(VLOOKUP(AJ54,IN_Zugliste!$A$4:$D$2002,4,FALSE),"")</f>
        <v/>
      </c>
      <c r="AK153" t="str">
        <f>+IFERROR(VLOOKUP(AK54,IN_Zugliste!$A$4:$D$2002,4,FALSE),"")</f>
        <v/>
      </c>
      <c r="AL153" t="str">
        <f>+IFERROR(VLOOKUP(AL54,IN_Zugliste!$A$4:$D$2002,4,FALSE),"")</f>
        <v/>
      </c>
      <c r="AM153" t="str">
        <f>+IFERROR(VLOOKUP(AM54,IN_Zugliste!$A$4:$D$2002,4,FALSE),"")</f>
        <v/>
      </c>
      <c r="AN153" t="str">
        <f>+IFERROR(VLOOKUP(AN54,IN_Zugliste!$A$4:$D$2002,4,FALSE),"")</f>
        <v/>
      </c>
      <c r="AO153" t="str">
        <f>+IFERROR(VLOOKUP(AO54,IN_Zugliste!$A$4:$D$2002,4,FALSE),"")</f>
        <v/>
      </c>
      <c r="AP153" t="str">
        <f>+IFERROR(VLOOKUP(AP54,IN_Zugliste!$A$4:$D$2002,4,FALSE),"")</f>
        <v/>
      </c>
      <c r="AQ153" t="str">
        <f>+IFERROR(VLOOKUP(AQ54,IN_Zugliste!$A$4:$D$2002,4,FALSE),"")</f>
        <v/>
      </c>
      <c r="AR153" t="str">
        <f>+IFERROR(VLOOKUP(AR54,IN_Zugliste!$A$4:$D$2002,4,FALSE),"")</f>
        <v/>
      </c>
      <c r="AS153" t="str">
        <f>+IFERROR(VLOOKUP(AS54,IN_Zugliste!$A$4:$D$2002,4,FALSE),"")</f>
        <v/>
      </c>
      <c r="AT153" t="str">
        <f>+IFERROR(VLOOKUP(AT54,IN_Zugliste!$A$4:$D$2002,4,FALSE),"")</f>
        <v/>
      </c>
      <c r="AU153" t="str">
        <f>+IFERROR(VLOOKUP(AU54,IN_Zugliste!$A$4:$D$2002,4,FALSE),"")</f>
        <v/>
      </c>
      <c r="AV153" t="str">
        <f>+IFERROR(VLOOKUP(AV54,IN_Zugliste!$A$4:$D$2002,4,FALSE),"")</f>
        <v/>
      </c>
      <c r="AW153" t="str">
        <f>+IFERROR(VLOOKUP(AW54,IN_Zugliste!$A$4:$D$2002,4,FALSE),"")</f>
        <v/>
      </c>
      <c r="AX153" t="str">
        <f>+IFERROR(VLOOKUP(AX54,IN_Zugliste!$A$4:$D$2002,4,FALSE),"")</f>
        <v/>
      </c>
      <c r="AY153" t="str">
        <f>+IFERROR(VLOOKUP(AY54,IN_Zugliste!$A$4:$D$2002,4,FALSE),"")</f>
        <v/>
      </c>
      <c r="AZ153" t="str">
        <f>+IFERROR(VLOOKUP(AZ54,IN_Zugliste!$A$4:$D$2002,4,FALSE),"")</f>
        <v/>
      </c>
      <c r="BA153" t="str">
        <f>+IFERROR(VLOOKUP(BA54,IN_Zugliste!$A$4:$D$2002,4,FALSE),"")</f>
        <v/>
      </c>
      <c r="BB153" t="str">
        <f>+IFERROR(VLOOKUP(BB54,IN_Zugliste!$A$4:$D$2002,4,FALSE),"")</f>
        <v/>
      </c>
      <c r="BC153" t="str">
        <f>+IFERROR(VLOOKUP(BC54,IN_Zugliste!$A$4:$D$2002,4,FALSE),"")</f>
        <v/>
      </c>
      <c r="BD153" t="str">
        <f>+IFERROR(VLOOKUP(BD54,IN_Zugliste!$A$4:$D$2002,4,FALSE),"")</f>
        <v/>
      </c>
      <c r="BE153" t="str">
        <f>+IFERROR(VLOOKUP(BE54,IN_Zugliste!$A$4:$D$2002,4,FALSE),"")</f>
        <v/>
      </c>
      <c r="BF153" t="str">
        <f>+IFERROR(VLOOKUP(BF54,IN_Zugliste!$A$4:$D$2002,4,FALSE),"")</f>
        <v/>
      </c>
      <c r="BG153" t="str">
        <f>+IFERROR(VLOOKUP(BG54,IN_Zugliste!$A$4:$D$2002,4,FALSE),"")</f>
        <v/>
      </c>
      <c r="BH153" t="str">
        <f>+IFERROR(VLOOKUP(BH54,IN_Zugliste!$A$4:$D$2002,4,FALSE),"")</f>
        <v/>
      </c>
      <c r="BI153" t="str">
        <f>+IFERROR(VLOOKUP(BI54,IN_Zugliste!$A$4:$D$2002,4,FALSE),"")</f>
        <v/>
      </c>
      <c r="BJ153" t="str">
        <f>+IFERROR(VLOOKUP(BJ54,IN_Zugliste!$A$4:$D$2002,4,FALSE),"")</f>
        <v/>
      </c>
      <c r="BK153" t="str">
        <f>+IFERROR(VLOOKUP(BK54,IN_Zugliste!$A$4:$D$2002,4,FALSE),"")</f>
        <v/>
      </c>
      <c r="BL153" t="str">
        <f>+IFERROR(VLOOKUP(BL54,IN_Zugliste!$A$4:$D$2002,4,FALSE),"")</f>
        <v/>
      </c>
      <c r="BM153" t="str">
        <f>+IFERROR(VLOOKUP(BM54,IN_Zugliste!$A$4:$D$2002,4,FALSE),"")</f>
        <v/>
      </c>
      <c r="BN153" t="str">
        <f>+IFERROR(VLOOKUP(BN54,IN_Zugliste!$A$4:$D$2002,4,FALSE),"")</f>
        <v/>
      </c>
      <c r="BO153" t="str">
        <f>+IFERROR(VLOOKUP(BO54,IN_Zugliste!$A$4:$D$2002,4,FALSE),"")</f>
        <v/>
      </c>
      <c r="BP153" t="str">
        <f>+IFERROR(VLOOKUP(BP54,IN_Zugliste!$A$4:$D$2002,4,FALSE),"")</f>
        <v/>
      </c>
      <c r="BQ153" t="str">
        <f>+IFERROR(VLOOKUP(BQ54,IN_Zugliste!$A$4:$D$2002,4,FALSE),"")</f>
        <v/>
      </c>
      <c r="BR153" t="str">
        <f>+IFERROR(VLOOKUP(BR54,IN_Zugliste!$A$4:$D$2002,4,FALSE),"")</f>
        <v/>
      </c>
      <c r="BS153" t="str">
        <f>+IFERROR(VLOOKUP(BS54,IN_Zugliste!$A$4:$D$2002,4,FALSE),"")</f>
        <v/>
      </c>
      <c r="BT153" t="str">
        <f>+IFERROR(VLOOKUP(BT54,IN_Zugliste!$A$4:$D$2002,4,FALSE),"")</f>
        <v/>
      </c>
      <c r="BU153" t="str">
        <f>+IFERROR(VLOOKUP(BU54,IN_Zugliste!$A$4:$D$2002,4,FALSE),"")</f>
        <v/>
      </c>
      <c r="BV153" t="str">
        <f>+IFERROR(VLOOKUP(BV54,IN_Zugliste!$A$4:$D$2002,4,FALSE),"")</f>
        <v/>
      </c>
      <c r="BW153" t="str">
        <f>+IFERROR(VLOOKUP(BW54,IN_Zugliste!$A$4:$D$2002,4,FALSE),"")</f>
        <v/>
      </c>
      <c r="BX153" t="str">
        <f>+IFERROR(VLOOKUP(BX54,IN_Zugliste!$A$4:$D$2002,4,FALSE),"")</f>
        <v/>
      </c>
      <c r="BY153" t="str">
        <f>+IFERROR(VLOOKUP(BY54,IN_Zugliste!$A$4:$D$2002,4,FALSE),"")</f>
        <v/>
      </c>
      <c r="BZ153" t="str">
        <f>+IFERROR(VLOOKUP(BZ54,IN_Zugliste!$A$4:$D$2002,4,FALSE),"")</f>
        <v/>
      </c>
      <c r="CA153" t="str">
        <f>+IFERROR(VLOOKUP(CA54,IN_Zugliste!$A$4:$D$2002,4,FALSE),"")</f>
        <v/>
      </c>
      <c r="CB153" t="str">
        <f>+IFERROR(VLOOKUP(CB54,IN_Zugliste!$A$4:$D$2002,4,FALSE),"")</f>
        <v/>
      </c>
      <c r="CC153" t="str">
        <f>+IFERROR(VLOOKUP(CC54,IN_Zugliste!$A$4:$D$2002,4,FALSE),"")</f>
        <v/>
      </c>
      <c r="CD153" t="str">
        <f>+IFERROR(VLOOKUP(CD54,IN_Zugliste!$A$4:$D$2002,4,FALSE),"")</f>
        <v/>
      </c>
      <c r="CE153" t="str">
        <f>+IFERROR(VLOOKUP(CE54,IN_Zugliste!$A$4:$D$2002,4,FALSE),"")</f>
        <v/>
      </c>
      <c r="CF153" t="str">
        <f>+IFERROR(VLOOKUP(CF54,IN_Zugliste!$A$4:$D$2002,4,FALSE),"")</f>
        <v/>
      </c>
      <c r="CG153" t="str">
        <f>+IFERROR(VLOOKUP(CG54,IN_Zugliste!$A$4:$D$2002,4,FALSE),"")</f>
        <v/>
      </c>
      <c r="CH153" t="str">
        <f>+IFERROR(VLOOKUP(CH54,IN_Zugliste!$A$4:$D$2002,4,FALSE),"")</f>
        <v/>
      </c>
      <c r="CI153" t="str">
        <f>+IFERROR(VLOOKUP(CI54,IN_Zugliste!$A$4:$D$2002,4,FALSE),"")</f>
        <v/>
      </c>
      <c r="CJ153" t="str">
        <f>+IFERROR(VLOOKUP(CJ54,IN_Zugliste!$A$4:$D$2002,4,FALSE),"")</f>
        <v/>
      </c>
      <c r="CK153" t="str">
        <f>+IFERROR(VLOOKUP(CK54,IN_Zugliste!$A$4:$D$2002,4,FALSE),"")</f>
        <v/>
      </c>
      <c r="CL153" t="str">
        <f>+IFERROR(VLOOKUP(CL54,IN_Zugliste!$A$4:$D$2002,4,FALSE),"")</f>
        <v/>
      </c>
      <c r="CM153" t="str">
        <f>+IFERROR(VLOOKUP(CM54,IN_Zugliste!$A$4:$D$2002,4,FALSE),"")</f>
        <v/>
      </c>
      <c r="CN153" t="str">
        <f>+IFERROR(VLOOKUP(CN54,IN_Zugliste!$A$4:$D$2002,4,FALSE),"")</f>
        <v/>
      </c>
      <c r="CO153" t="str">
        <f>+IFERROR(VLOOKUP(CO54,IN_Zugliste!$A$4:$D$2002,4,FALSE),"")</f>
        <v/>
      </c>
      <c r="CP153" t="str">
        <f>+IFERROR(VLOOKUP(CP54,IN_Zugliste!$A$4:$D$2002,4,FALSE),"")</f>
        <v/>
      </c>
      <c r="CQ153" t="str">
        <f>+IFERROR(VLOOKUP(CQ54,IN_Zugliste!$A$4:$D$2002,4,FALSE),"")</f>
        <v/>
      </c>
      <c r="CR153" t="str">
        <f>+IFERROR(VLOOKUP(CR54,IN_Zugliste!$A$4:$D$2002,4,FALSE),"")</f>
        <v/>
      </c>
      <c r="CS153" t="str">
        <f>+IFERROR(VLOOKUP(CS54,IN_Zugliste!$A$4:$D$2002,4,FALSE),"")</f>
        <v/>
      </c>
      <c r="CT153" t="str">
        <f>+IFERROR(VLOOKUP(CT54,IN_Zugliste!$A$4:$D$2002,4,FALSE),"")</f>
        <v/>
      </c>
      <c r="CU153" t="str">
        <f>+IFERROR(VLOOKUP(CU54,IN_Zugliste!$A$4:$D$2002,4,FALSE),"")</f>
        <v/>
      </c>
      <c r="CV153" t="str">
        <f>+IFERROR(VLOOKUP(CV54,IN_Zugliste!$A$4:$D$2002,4,FALSE),"")</f>
        <v/>
      </c>
      <c r="CW153" t="str">
        <f>+IFERROR(VLOOKUP(CW54,IN_Zugliste!$A$4:$D$2002,4,FALSE),"")</f>
        <v/>
      </c>
      <c r="CX153" t="str">
        <f>+IFERROR(VLOOKUP(CX54,IN_Zugliste!$A$4:$D$2002,4,FALSE),"")</f>
        <v/>
      </c>
      <c r="CY153" t="str">
        <f>+IFERROR(VLOOKUP(CY54,IN_Zugliste!$A$4:$D$2002,4,FALSE),"")</f>
        <v/>
      </c>
      <c r="CZ153" t="str">
        <f>+IFERROR(VLOOKUP(CZ54,IN_Zugliste!$A$4:$D$2002,4,FALSE),"")</f>
        <v/>
      </c>
      <c r="DA153" t="str">
        <f>+IFERROR(VLOOKUP(DA54,IN_Zugliste!$A$4:$D$2002,4,FALSE),"")</f>
        <v/>
      </c>
      <c r="DB153" t="str">
        <f>+IFERROR(VLOOKUP(DB54,IN_Zugliste!$A$4:$D$2002,4,FALSE),"")</f>
        <v/>
      </c>
      <c r="DC153" t="str">
        <f>+IFERROR(VLOOKUP(DC54,IN_Zugliste!$A$4:$D$2002,4,FALSE),"")</f>
        <v/>
      </c>
      <c r="DD153" t="str">
        <f>+IFERROR(VLOOKUP(DD54,IN_Zugliste!$A$4:$D$2002,4,FALSE),"")</f>
        <v/>
      </c>
      <c r="DE153" t="str">
        <f>+IFERROR(VLOOKUP(DE54,IN_Zugliste!$A$4:$D$2002,4,FALSE),"")</f>
        <v/>
      </c>
      <c r="DF153" t="str">
        <f>+IFERROR(VLOOKUP(DF54,IN_Zugliste!$A$4:$D$2002,4,FALSE),"")</f>
        <v/>
      </c>
      <c r="DG153" t="str">
        <f>+IFERROR(VLOOKUP(DG54,IN_Zugliste!$A$4:$D$2002,4,FALSE),"")</f>
        <v/>
      </c>
      <c r="DH153" t="str">
        <f>+IFERROR(VLOOKUP(DH54,IN_Zugliste!$A$4:$D$2002,4,FALSE),"")</f>
        <v/>
      </c>
      <c r="DI153" t="str">
        <f>+IFERROR(VLOOKUP(DI54,IN_Zugliste!$A$4:$D$2002,4,FALSE),"")</f>
        <v/>
      </c>
      <c r="DJ153" t="str">
        <f>+IFERROR(VLOOKUP(DJ54,IN_Zugliste!$A$4:$D$2002,4,FALSE),"")</f>
        <v/>
      </c>
      <c r="DK153" t="str">
        <f>+IFERROR(VLOOKUP(DK54,IN_Zugliste!$A$4:$D$2002,4,FALSE),"")</f>
        <v/>
      </c>
      <c r="DL153" t="str">
        <f>+IFERROR(VLOOKUP(DL54,IN_Zugliste!$A$4:$D$2002,4,FALSE),"")</f>
        <v/>
      </c>
      <c r="DM153" t="str">
        <f>+IFERROR(VLOOKUP(DM54,IN_Zugliste!$A$4:$D$2002,4,FALSE),"")</f>
        <v/>
      </c>
      <c r="DN153" t="str">
        <f>+IFERROR(VLOOKUP(DN54,IN_Zugliste!$A$4:$D$2002,4,FALSE),"")</f>
        <v/>
      </c>
      <c r="DO153" t="str">
        <f>+IFERROR(VLOOKUP(DO54,IN_Zugliste!$A$4:$D$2002,4,FALSE),"")</f>
        <v/>
      </c>
      <c r="DP153" t="str">
        <f>+IFERROR(VLOOKUP(DP54,IN_Zugliste!$A$4:$D$2002,4,FALSE),"")</f>
        <v/>
      </c>
      <c r="DQ153" t="str">
        <f>+IFERROR(VLOOKUP(DQ54,IN_Zugliste!$A$4:$D$2002,4,FALSE),"")</f>
        <v/>
      </c>
      <c r="DR153" t="str">
        <f>+IFERROR(VLOOKUP(DR54,IN_Zugliste!$A$4:$D$2002,4,FALSE),"")</f>
        <v/>
      </c>
      <c r="DS153" t="str">
        <f>+IFERROR(VLOOKUP(DS54,IN_Zugliste!$A$4:$D$2002,4,FALSE),"")</f>
        <v/>
      </c>
      <c r="DT153" t="str">
        <f>+IFERROR(VLOOKUP(DT54,IN_Zugliste!$A$4:$D$2002,4,FALSE),"")</f>
        <v/>
      </c>
      <c r="DU153" t="str">
        <f>+IFERROR(VLOOKUP(DU54,IN_Zugliste!$A$4:$D$2002,4,FALSE),"")</f>
        <v/>
      </c>
      <c r="DV153" t="str">
        <f>+IFERROR(VLOOKUP(DV54,IN_Zugliste!$A$4:$D$2002,4,FALSE),"")</f>
        <v/>
      </c>
      <c r="DW153" t="str">
        <f>+IFERROR(VLOOKUP(DW54,IN_Zugliste!$A$4:$D$2002,4,FALSE),"")</f>
        <v/>
      </c>
      <c r="DX153" t="str">
        <f>+IFERROR(VLOOKUP(DX54,IN_Zugliste!$A$4:$D$2002,4,FALSE),"")</f>
        <v/>
      </c>
      <c r="DY153" t="str">
        <f>+IFERROR(VLOOKUP(DY54,IN_Zugliste!$A$4:$D$2002,4,FALSE),"")</f>
        <v/>
      </c>
      <c r="DZ153" t="str">
        <f>+IFERROR(VLOOKUP(DZ54,IN_Zugliste!$A$4:$D$2002,4,FALSE),"")</f>
        <v/>
      </c>
      <c r="EA153" t="str">
        <f>+IFERROR(VLOOKUP(EA54,IN_Zugliste!$A$4:$D$2002,4,FALSE),"")</f>
        <v/>
      </c>
      <c r="EB153" t="str">
        <f>+IFERROR(VLOOKUP(EB54,IN_Zugliste!$A$4:$D$2002,4,FALSE),"")</f>
        <v/>
      </c>
      <c r="EC153" t="str">
        <f>+IFERROR(VLOOKUP(EC54,IN_Zugliste!$A$4:$D$2002,4,FALSE),"")</f>
        <v/>
      </c>
      <c r="ED153" t="str">
        <f>+IFERROR(VLOOKUP(ED54,IN_Zugliste!$A$4:$D$2002,4,FALSE),"")</f>
        <v/>
      </c>
      <c r="EE153" t="str">
        <f>+IFERROR(VLOOKUP(EE54,IN_Zugliste!$A$4:$D$2002,4,FALSE),"")</f>
        <v/>
      </c>
      <c r="EF153" t="str">
        <f>+IFERROR(VLOOKUP(EF54,IN_Zugliste!$A$4:$D$2002,4,FALSE),"")</f>
        <v/>
      </c>
      <c r="EG153" t="str">
        <f>+IFERROR(VLOOKUP(EG54,IN_Zugliste!$A$4:$D$2002,4,FALSE),"")</f>
        <v/>
      </c>
      <c r="EH153" t="str">
        <f>+IFERROR(VLOOKUP(EH54,IN_Zugliste!$A$4:$D$2002,4,FALSE),"")</f>
        <v/>
      </c>
      <c r="EI153" t="str">
        <f>+IFERROR(VLOOKUP(EI54,IN_Zugliste!$A$4:$D$2002,4,FALSE),"")</f>
        <v/>
      </c>
      <c r="EJ153" t="str">
        <f>+IFERROR(VLOOKUP(EJ54,IN_Zugliste!$A$4:$D$2002,4,FALSE),"")</f>
        <v/>
      </c>
      <c r="EK153" t="str">
        <f>+IFERROR(VLOOKUP(EK54,IN_Zugliste!$A$4:$D$2002,4,FALSE),"")</f>
        <v/>
      </c>
      <c r="EL153" t="str">
        <f>+IFERROR(VLOOKUP(EL54,IN_Zugliste!$A$4:$D$2002,4,FALSE),"")</f>
        <v/>
      </c>
      <c r="EM153" t="str">
        <f>+IFERROR(VLOOKUP(EM54,IN_Zugliste!$A$4:$D$2002,4,FALSE),"")</f>
        <v/>
      </c>
      <c r="EN153" t="str">
        <f>+IFERROR(VLOOKUP(EN54,IN_Zugliste!$A$4:$D$2002,4,FALSE),"")</f>
        <v/>
      </c>
      <c r="EO153" t="str">
        <f>+IFERROR(VLOOKUP(EO54,IN_Zugliste!$A$4:$D$2002,4,FALSE),"")</f>
        <v/>
      </c>
      <c r="EP153" t="str">
        <f>+IFERROR(VLOOKUP(EP54,IN_Zugliste!$A$4:$D$2002,4,FALSE),"")</f>
        <v/>
      </c>
      <c r="EQ153" t="str">
        <f>+IFERROR(VLOOKUP(EQ54,IN_Zugliste!$A$4:$D$2002,4,FALSE),"")</f>
        <v/>
      </c>
      <c r="ER153" t="str">
        <f>+IFERROR(VLOOKUP(ER54,IN_Zugliste!$A$4:$D$2002,4,FALSE),"")</f>
        <v/>
      </c>
      <c r="ES153" t="str">
        <f>+IFERROR(VLOOKUP(ES54,IN_Zugliste!$A$4:$D$2002,4,FALSE),"")</f>
        <v/>
      </c>
      <c r="ET153" t="str">
        <f>+IFERROR(VLOOKUP(ET54,IN_Zugliste!$A$4:$D$2002,4,FALSE),"")</f>
        <v/>
      </c>
      <c r="EU153" t="str">
        <f>+IFERROR(VLOOKUP(EU54,IN_Zugliste!$A$4:$D$2002,4,FALSE),"")</f>
        <v/>
      </c>
      <c r="EV153" t="str">
        <f>+IFERROR(VLOOKUP(EV54,IN_Zugliste!$A$4:$D$2002,4,FALSE),"")</f>
        <v/>
      </c>
      <c r="EW153" t="str">
        <f>+IFERROR(VLOOKUP(EW54,IN_Zugliste!$A$4:$D$2002,4,FALSE),"")</f>
        <v/>
      </c>
      <c r="EX153" t="str">
        <f>+IFERROR(VLOOKUP(EX54,IN_Zugliste!$A$4:$D$2002,4,FALSE),"")</f>
        <v/>
      </c>
      <c r="EY153" t="str">
        <f>+IFERROR(VLOOKUP(EY54,IN_Zugliste!$A$4:$D$2002,4,FALSE),"")</f>
        <v/>
      </c>
      <c r="EZ153" t="str">
        <f>+IFERROR(VLOOKUP(EZ54,IN_Zugliste!$A$4:$D$2002,4,FALSE),"")</f>
        <v/>
      </c>
      <c r="FA153" t="str">
        <f>+IFERROR(VLOOKUP(FA54,IN_Zugliste!$A$4:$D$2002,4,FALSE),"")</f>
        <v/>
      </c>
      <c r="FB153" t="str">
        <f>+IFERROR(VLOOKUP(FB54,IN_Zugliste!$A$4:$D$2002,4,FALSE),"")</f>
        <v/>
      </c>
      <c r="FC153" t="str">
        <f>+IFERROR(VLOOKUP(FC54,IN_Zugliste!$A$4:$D$2002,4,FALSE),"")</f>
        <v/>
      </c>
      <c r="FD153" t="str">
        <f>+IFERROR(VLOOKUP(FD54,IN_Zugliste!$A$4:$D$2002,4,FALSE),"")</f>
        <v/>
      </c>
      <c r="FE153" t="str">
        <f>+IFERROR(VLOOKUP(FE54,IN_Zugliste!$A$4:$D$2002,4,FALSE),"")</f>
        <v/>
      </c>
      <c r="FF153" t="str">
        <f>+IFERROR(VLOOKUP(FF54,IN_Zugliste!$A$4:$D$2002,4,FALSE),"")</f>
        <v/>
      </c>
      <c r="FG153" t="str">
        <f>+IFERROR(VLOOKUP(FG54,IN_Zugliste!$A$4:$D$2002,4,FALSE),"")</f>
        <v/>
      </c>
      <c r="FH153" t="str">
        <f>+IFERROR(VLOOKUP(FH54,IN_Zugliste!$A$4:$D$2002,4,FALSE),"")</f>
        <v/>
      </c>
      <c r="FI153" t="str">
        <f>+IFERROR(VLOOKUP(FI54,IN_Zugliste!$A$4:$D$2002,4,FALSE),"")</f>
        <v/>
      </c>
      <c r="FJ153" t="str">
        <f>+IFERROR(VLOOKUP(FJ54,IN_Zugliste!$A$4:$D$2002,4,FALSE),"")</f>
        <v/>
      </c>
      <c r="FK153" t="str">
        <f>+IFERROR(VLOOKUP(FK54,IN_Zugliste!$A$4:$D$2002,4,FALSE),"")</f>
        <v/>
      </c>
      <c r="FL153" t="str">
        <f>+IFERROR(VLOOKUP(FL54,IN_Zugliste!$A$4:$D$2002,4,FALSE),"")</f>
        <v/>
      </c>
      <c r="FM153" t="str">
        <f>+IFERROR(VLOOKUP(FM54,IN_Zugliste!$A$4:$C$602,4,FALSE),"")</f>
        <v/>
      </c>
      <c r="FN153" t="str">
        <f>+IFERROR(VLOOKUP(FN54,IN_Zugliste!$A$4:$C$602,4,FALSE),"")</f>
        <v/>
      </c>
      <c r="FO153" t="str">
        <f>+IFERROR(VLOOKUP(FO54,IN_Zugliste!$A$4:$C$602,4,FALSE),"")</f>
        <v/>
      </c>
      <c r="FP153" t="str">
        <f>+IFERROR(VLOOKUP(FP54,IN_Zugliste!$A$4:$C$602,4,FALSE),"")</f>
        <v/>
      </c>
      <c r="FQ153" t="str">
        <f>+IFERROR(VLOOKUP(FQ54,IN_Zugliste!$A$4:$C$602,4,FALSE),"")</f>
        <v/>
      </c>
      <c r="FR153" t="str">
        <f>+IFERROR(VLOOKUP(FR54,IN_Zugliste!$A$4:$C$602,4,FALSE),"")</f>
        <v/>
      </c>
      <c r="FS153" t="str">
        <f>+IFERROR(VLOOKUP(FS54,IN_Zugliste!$A$4:$C$602,4,FALSE),"")</f>
        <v/>
      </c>
      <c r="FT153" t="str">
        <f>+IFERROR(VLOOKUP(FT54,IN_Zugliste!$A$4:$C$602,4,FALSE),"")</f>
        <v/>
      </c>
      <c r="FU153" t="str">
        <f>+IFERROR(VLOOKUP(FU54,IN_Zugliste!$A$4:$C$602,4,FALSE),"")</f>
        <v/>
      </c>
      <c r="FV153" t="str">
        <f>+IFERROR(VLOOKUP(FV54,IN_Zugliste!$A$4:$C$602,4,FALSE),"")</f>
        <v/>
      </c>
      <c r="FW153" t="str">
        <f>+IFERROR(VLOOKUP(FW54,IN_Zugliste!$A$4:$C$602,4,FALSE),"")</f>
        <v/>
      </c>
      <c r="FX153" t="str">
        <f>+IFERROR(VLOOKUP(FX54,IN_Zugliste!$A$4:$C$602,4,FALSE),"")</f>
        <v/>
      </c>
      <c r="FY153" t="str">
        <f>+IFERROR(VLOOKUP(FY54,IN_Zugliste!$A$4:$C$602,4,FALSE),"")</f>
        <v/>
      </c>
      <c r="FZ153" t="str">
        <f>+IFERROR(VLOOKUP(FZ54,IN_Zugliste!$A$4:$C$602,4,FALSE),"")</f>
        <v/>
      </c>
      <c r="GA153" t="str">
        <f>+IFERROR(VLOOKUP(GA54,IN_Zugliste!$A$4:$C$602,4,FALSE),"")</f>
        <v/>
      </c>
      <c r="GB153" t="str">
        <f>+IFERROR(VLOOKUP(GB54,IN_Zugliste!$A$4:$C$602,4,FALSE),"")</f>
        <v/>
      </c>
      <c r="GC153" t="str">
        <f>+IFERROR(VLOOKUP(GC54,IN_Zugliste!$A$4:$C$602,4,FALSE),"")</f>
        <v/>
      </c>
      <c r="GD153" t="str">
        <f>+IFERROR(VLOOKUP(GD54,IN_Zugliste!$A$4:$C$602,4,FALSE),"")</f>
        <v/>
      </c>
      <c r="GE153" t="str">
        <f>+IFERROR(VLOOKUP(GE54,IN_Zugliste!$A$4:$C$602,4,FALSE),"")</f>
        <v/>
      </c>
      <c r="GF153" t="str">
        <f>+IFERROR(VLOOKUP(GF54,IN_Zugliste!$A$4:$C$602,4,FALSE),"")</f>
        <v/>
      </c>
      <c r="GG153" t="str">
        <f>+IFERROR(VLOOKUP(GG54,IN_Zugliste!$A$4:$C$602,4,FALSE),"")</f>
        <v/>
      </c>
      <c r="GH153" t="str">
        <f>+IFERROR(VLOOKUP(GH54,IN_Zugliste!$A$4:$C$602,4,FALSE),"")</f>
        <v/>
      </c>
      <c r="GI153" t="str">
        <f>+IFERROR(VLOOKUP(GI54,IN_Zugliste!$A$4:$C$602,4,FALSE),"")</f>
        <v/>
      </c>
      <c r="GJ153" t="str">
        <f>+IFERROR(VLOOKUP(GJ54,IN_Zugliste!$A$4:$C$602,4,FALSE),"")</f>
        <v/>
      </c>
      <c r="GK153" t="str">
        <f>+IFERROR(VLOOKUP(GK54,IN_Zugliste!$A$4:$C$602,4,FALSE),"")</f>
        <v/>
      </c>
      <c r="GL153" t="str">
        <f>+IFERROR(VLOOKUP(GL54,IN_Zugliste!$A$4:$C$602,4,FALSE),"")</f>
        <v/>
      </c>
      <c r="GM153" t="str">
        <f>+IFERROR(VLOOKUP(GM54,IN_Zugliste!$A$4:$C$602,4,FALSE),"")</f>
        <v/>
      </c>
      <c r="GN153" t="str">
        <f>+IFERROR(VLOOKUP(GN54,IN_Zugliste!$A$4:$C$602,4,FALSE),"")</f>
        <v/>
      </c>
      <c r="GO153" t="str">
        <f>+IFERROR(VLOOKUP(GO54,IN_Zugliste!$A$4:$C$602,4,FALSE),"")</f>
        <v/>
      </c>
      <c r="GP153" t="str">
        <f>+IFERROR(VLOOKUP(GP54,IN_Zugliste!$A$4:$C$602,4,FALSE),"")</f>
        <v/>
      </c>
      <c r="GQ153" t="str">
        <f>+IFERROR(VLOOKUP(GQ54,IN_Zugliste!$A$4:$C$602,4,FALSE),"")</f>
        <v/>
      </c>
      <c r="GR153" t="str">
        <f>+IFERROR(VLOOKUP(GR54,IN_Zugliste!$A$4:$C$602,4,FALSE),"")</f>
        <v/>
      </c>
      <c r="GS153" t="str">
        <f>+IFERROR(VLOOKUP(GS54,IN_Zugliste!$A$4:$C$602,4,FALSE),"")</f>
        <v/>
      </c>
      <c r="GT153" t="str">
        <f>+IFERROR(VLOOKUP(GT54,IN_Zugliste!$A$4:$C$602,4,FALSE),"")</f>
        <v/>
      </c>
      <c r="GU153" t="str">
        <f>+IFERROR(VLOOKUP(GU54,IN_Zugliste!$A$4:$C$602,4,FALSE),"")</f>
        <v/>
      </c>
      <c r="GV153" t="str">
        <f>+IFERROR(VLOOKUP(GV54,IN_Zugliste!$A$4:$C$602,4,FALSE),"")</f>
        <v/>
      </c>
      <c r="GW153" t="str">
        <f>+IFERROR(VLOOKUP(GW54,IN_Zugliste!$A$4:$C$602,4,FALSE),"")</f>
        <v/>
      </c>
      <c r="GX153" t="str">
        <f>+IFERROR(VLOOKUP(GX54,IN_Zugliste!$A$4:$C$602,4,FALSE),"")</f>
        <v/>
      </c>
      <c r="GY153" t="str">
        <f>+IFERROR(VLOOKUP(GY54,IN_Zugliste!$A$4:$C$602,4,FALSE),"")</f>
        <v/>
      </c>
      <c r="GZ153" t="str">
        <f>+IFERROR(VLOOKUP(GZ54,IN_Zugliste!$A$4:$C$602,4,FALSE),"")</f>
        <v/>
      </c>
      <c r="HA153" t="str">
        <f>+IFERROR(VLOOKUP(HA54,IN_Zugliste!$A$4:$C$602,4,FALSE),"")</f>
        <v/>
      </c>
      <c r="HB153" t="str">
        <f>+IFERROR(VLOOKUP(HB54,IN_Zugliste!$A$4:$C$602,4,FALSE),"")</f>
        <v/>
      </c>
      <c r="HC153" t="str">
        <f>+IFERROR(VLOOKUP(HC54,IN_Zugliste!$A$4:$C$602,4,FALSE),"")</f>
        <v/>
      </c>
      <c r="HD153" t="str">
        <f>+IFERROR(VLOOKUP(HD54,IN_Zugliste!$A$4:$C$602,4,FALSE),"")</f>
        <v/>
      </c>
      <c r="HE153" t="str">
        <f>+IFERROR(VLOOKUP(HE54,IN_Zugliste!$A$4:$C$602,4,FALSE),"")</f>
        <v/>
      </c>
      <c r="HF153" t="str">
        <f>+IFERROR(VLOOKUP(HF54,IN_Zugliste!$A$4:$C$602,4,FALSE),"")</f>
        <v/>
      </c>
      <c r="HG153" t="str">
        <f>+IFERROR(VLOOKUP(HG54,IN_Zugliste!$A$4:$C$602,4,FALSE),"")</f>
        <v/>
      </c>
      <c r="HH153" t="str">
        <f>+IFERROR(VLOOKUP(HH54,IN_Zugliste!$A$4:$C$602,4,FALSE),"")</f>
        <v/>
      </c>
    </row>
    <row r="154" spans="1:216" x14ac:dyDescent="0.2">
      <c r="A154" t="str">
        <f>+IFERROR(VLOOKUP(A55,IN_Zugliste!$A$4:$D$2002,4,FALSE),"")</f>
        <v/>
      </c>
      <c r="B154" t="str">
        <f>+IFERROR(VLOOKUP(B55,IN_Zugliste!$A$4:$D$2002,4,FALSE),"")</f>
        <v/>
      </c>
      <c r="C154" t="str">
        <f>+IFERROR(VLOOKUP(C55,IN_Zugliste!$A$4:$D$2002,4,FALSE),"")</f>
        <v/>
      </c>
      <c r="D154" t="str">
        <f>+IFERROR(VLOOKUP(D55,IN_Zugliste!$A$4:$D$2002,4,FALSE),"")</f>
        <v/>
      </c>
      <c r="E154" t="str">
        <f>+IFERROR(VLOOKUP(E55,IN_Zugliste!$A$4:$D$2002,4,FALSE),"")</f>
        <v/>
      </c>
      <c r="F154" t="str">
        <f>+IFERROR(VLOOKUP(F55,IN_Zugliste!$A$4:$D$2002,4,FALSE),"")</f>
        <v/>
      </c>
      <c r="G154" t="str">
        <f>+IFERROR(VLOOKUP(G55,IN_Zugliste!$A$4:$D$2002,4,FALSE),"")</f>
        <v/>
      </c>
      <c r="H154" t="str">
        <f>+IFERROR(VLOOKUP(H55,IN_Zugliste!$A$4:$D$2002,4,FALSE),"")</f>
        <v/>
      </c>
      <c r="I154" t="str">
        <f>+IFERROR(VLOOKUP(I55,IN_Zugliste!$A$4:$D$2002,4,FALSE),"")</f>
        <v/>
      </c>
      <c r="J154" t="str">
        <f>+IFERROR(VLOOKUP(J55,IN_Zugliste!$A$4:$D$2002,4,FALSE),"")</f>
        <v/>
      </c>
      <c r="K154" t="str">
        <f>+IFERROR(VLOOKUP(K55,IN_Zugliste!$A$4:$D$2002,4,FALSE),"")</f>
        <v/>
      </c>
      <c r="L154" t="str">
        <f>+IFERROR(VLOOKUP(L55,IN_Zugliste!$A$4:$D$2002,4,FALSE),"")</f>
        <v/>
      </c>
      <c r="M154" t="str">
        <f>+IFERROR(VLOOKUP(M55,IN_Zugliste!$A$4:$D$2002,4,FALSE),"")</f>
        <v/>
      </c>
      <c r="N154" t="str">
        <f>+IFERROR(VLOOKUP(N55,IN_Zugliste!$A$4:$D$2002,4,FALSE),"")</f>
        <v/>
      </c>
      <c r="O154" t="str">
        <f>+IFERROR(VLOOKUP(O55,IN_Zugliste!$A$4:$D$2002,4,FALSE),"")</f>
        <v/>
      </c>
      <c r="P154" t="str">
        <f>+IFERROR(VLOOKUP(P55,IN_Zugliste!$A$4:$D$2002,4,FALSE),"")</f>
        <v/>
      </c>
      <c r="Q154" t="str">
        <f>+IFERROR(VLOOKUP(Q55,IN_Zugliste!$A$4:$D$2002,4,FALSE),"")</f>
        <v/>
      </c>
      <c r="R154" t="str">
        <f>+IFERROR(VLOOKUP(R55,IN_Zugliste!$A$4:$D$2002,4,FALSE),"")</f>
        <v/>
      </c>
      <c r="S154" t="str">
        <f>+IFERROR(VLOOKUP(S55,IN_Zugliste!$A$4:$D$2002,4,FALSE),"")</f>
        <v/>
      </c>
      <c r="T154" t="str">
        <f>+IFERROR(VLOOKUP(T55,IN_Zugliste!$A$4:$D$2002,4,FALSE),"")</f>
        <v/>
      </c>
      <c r="U154" t="str">
        <f>+IFERROR(VLOOKUP(U55,IN_Zugliste!$A$4:$D$2002,4,FALSE),"")</f>
        <v/>
      </c>
      <c r="V154" t="str">
        <f>+IFERROR(VLOOKUP(V55,IN_Zugliste!$A$4:$D$2002,4,FALSE),"")</f>
        <v/>
      </c>
      <c r="W154" t="str">
        <f>+IFERROR(VLOOKUP(W55,IN_Zugliste!$A$4:$D$2002,4,FALSE),"")</f>
        <v/>
      </c>
      <c r="X154" t="str">
        <f>+IFERROR(VLOOKUP(X55,IN_Zugliste!$A$4:$D$2002,4,FALSE),"")</f>
        <v/>
      </c>
      <c r="Y154" t="str">
        <f>+IFERROR(VLOOKUP(Y55,IN_Zugliste!$A$4:$D$2002,4,FALSE),"")</f>
        <v/>
      </c>
      <c r="Z154" t="str">
        <f>+IFERROR(VLOOKUP(Z55,IN_Zugliste!$A$4:$D$2002,4,FALSE),"")</f>
        <v/>
      </c>
      <c r="AA154" t="str">
        <f>+IFERROR(VLOOKUP(AA55,IN_Zugliste!$A$4:$D$2002,4,FALSE),"")</f>
        <v/>
      </c>
      <c r="AB154" t="str">
        <f>+IFERROR(VLOOKUP(AB55,IN_Zugliste!$A$4:$D$2002,4,FALSE),"")</f>
        <v/>
      </c>
      <c r="AC154" t="str">
        <f>+IFERROR(VLOOKUP(AC55,IN_Zugliste!$A$4:$D$2002,4,FALSE),"")</f>
        <v/>
      </c>
      <c r="AD154" t="str">
        <f>+IFERROR(VLOOKUP(AD55,IN_Zugliste!$A$4:$D$2002,4,FALSE),"")</f>
        <v/>
      </c>
      <c r="AE154" t="str">
        <f>+IFERROR(VLOOKUP(AE55,IN_Zugliste!$A$4:$D$2002,4,FALSE),"")</f>
        <v/>
      </c>
      <c r="AF154" t="str">
        <f>+IFERROR(VLOOKUP(AF55,IN_Zugliste!$A$4:$D$2002,4,FALSE),"")</f>
        <v/>
      </c>
      <c r="AG154" t="str">
        <f>+IFERROR(VLOOKUP(AG55,IN_Zugliste!$A$4:$D$2002,4,FALSE),"")</f>
        <v/>
      </c>
      <c r="AH154" t="str">
        <f>+IFERROR(VLOOKUP(AH55,IN_Zugliste!$A$4:$D$2002,4,FALSE),"")</f>
        <v/>
      </c>
      <c r="AI154" t="str">
        <f>+IFERROR(VLOOKUP(AI55,IN_Zugliste!$A$4:$D$2002,4,FALSE),"")</f>
        <v/>
      </c>
      <c r="AJ154" t="str">
        <f>+IFERROR(VLOOKUP(AJ55,IN_Zugliste!$A$4:$D$2002,4,FALSE),"")</f>
        <v/>
      </c>
      <c r="AK154" t="str">
        <f>+IFERROR(VLOOKUP(AK55,IN_Zugliste!$A$4:$D$2002,4,FALSE),"")</f>
        <v/>
      </c>
      <c r="AL154" t="str">
        <f>+IFERROR(VLOOKUP(AL55,IN_Zugliste!$A$4:$D$2002,4,FALSE),"")</f>
        <v/>
      </c>
      <c r="AM154" t="str">
        <f>+IFERROR(VLOOKUP(AM55,IN_Zugliste!$A$4:$D$2002,4,FALSE),"")</f>
        <v/>
      </c>
      <c r="AN154" t="str">
        <f>+IFERROR(VLOOKUP(AN55,IN_Zugliste!$A$4:$D$2002,4,FALSE),"")</f>
        <v/>
      </c>
      <c r="AO154" t="str">
        <f>+IFERROR(VLOOKUP(AO55,IN_Zugliste!$A$4:$D$2002,4,FALSE),"")</f>
        <v/>
      </c>
      <c r="AP154" t="str">
        <f>+IFERROR(VLOOKUP(AP55,IN_Zugliste!$A$4:$D$2002,4,FALSE),"")</f>
        <v/>
      </c>
      <c r="AQ154" t="str">
        <f>+IFERROR(VLOOKUP(AQ55,IN_Zugliste!$A$4:$D$2002,4,FALSE),"")</f>
        <v/>
      </c>
      <c r="AR154" t="str">
        <f>+IFERROR(VLOOKUP(AR55,IN_Zugliste!$A$4:$D$2002,4,FALSE),"")</f>
        <v/>
      </c>
      <c r="AS154" t="str">
        <f>+IFERROR(VLOOKUP(AS55,IN_Zugliste!$A$4:$D$2002,4,FALSE),"")</f>
        <v/>
      </c>
      <c r="AT154" t="str">
        <f>+IFERROR(VLOOKUP(AT55,IN_Zugliste!$A$4:$D$2002,4,FALSE),"")</f>
        <v/>
      </c>
      <c r="AU154" t="str">
        <f>+IFERROR(VLOOKUP(AU55,IN_Zugliste!$A$4:$D$2002,4,FALSE),"")</f>
        <v/>
      </c>
      <c r="AV154" t="str">
        <f>+IFERROR(VLOOKUP(AV55,IN_Zugliste!$A$4:$D$2002,4,FALSE),"")</f>
        <v/>
      </c>
      <c r="AW154" t="str">
        <f>+IFERROR(VLOOKUP(AW55,IN_Zugliste!$A$4:$D$2002,4,FALSE),"")</f>
        <v/>
      </c>
      <c r="AX154" t="str">
        <f>+IFERROR(VLOOKUP(AX55,IN_Zugliste!$A$4:$D$2002,4,FALSE),"")</f>
        <v/>
      </c>
      <c r="AY154" t="str">
        <f>+IFERROR(VLOOKUP(AY55,IN_Zugliste!$A$4:$D$2002,4,FALSE),"")</f>
        <v/>
      </c>
      <c r="AZ154" t="str">
        <f>+IFERROR(VLOOKUP(AZ55,IN_Zugliste!$A$4:$D$2002,4,FALSE),"")</f>
        <v/>
      </c>
      <c r="BA154" t="str">
        <f>+IFERROR(VLOOKUP(BA55,IN_Zugliste!$A$4:$D$2002,4,FALSE),"")</f>
        <v/>
      </c>
      <c r="BB154" t="str">
        <f>+IFERROR(VLOOKUP(BB55,IN_Zugliste!$A$4:$D$2002,4,FALSE),"")</f>
        <v/>
      </c>
      <c r="BC154" t="str">
        <f>+IFERROR(VLOOKUP(BC55,IN_Zugliste!$A$4:$D$2002,4,FALSE),"")</f>
        <v/>
      </c>
      <c r="BD154" t="str">
        <f>+IFERROR(VLOOKUP(BD55,IN_Zugliste!$A$4:$D$2002,4,FALSE),"")</f>
        <v/>
      </c>
      <c r="BE154" t="str">
        <f>+IFERROR(VLOOKUP(BE55,IN_Zugliste!$A$4:$D$2002,4,FALSE),"")</f>
        <v/>
      </c>
      <c r="BF154" t="str">
        <f>+IFERROR(VLOOKUP(BF55,IN_Zugliste!$A$4:$D$2002,4,FALSE),"")</f>
        <v/>
      </c>
      <c r="BG154" t="str">
        <f>+IFERROR(VLOOKUP(BG55,IN_Zugliste!$A$4:$D$2002,4,FALSE),"")</f>
        <v/>
      </c>
      <c r="BH154" t="str">
        <f>+IFERROR(VLOOKUP(BH55,IN_Zugliste!$A$4:$D$2002,4,FALSE),"")</f>
        <v/>
      </c>
      <c r="BI154" t="str">
        <f>+IFERROR(VLOOKUP(BI55,IN_Zugliste!$A$4:$D$2002,4,FALSE),"")</f>
        <v/>
      </c>
      <c r="BJ154" t="str">
        <f>+IFERROR(VLOOKUP(BJ55,IN_Zugliste!$A$4:$D$2002,4,FALSE),"")</f>
        <v/>
      </c>
      <c r="BK154" t="str">
        <f>+IFERROR(VLOOKUP(BK55,IN_Zugliste!$A$4:$D$2002,4,FALSE),"")</f>
        <v/>
      </c>
      <c r="BL154" t="str">
        <f>+IFERROR(VLOOKUP(BL55,IN_Zugliste!$A$4:$D$2002,4,FALSE),"")</f>
        <v/>
      </c>
      <c r="BM154" t="str">
        <f>+IFERROR(VLOOKUP(BM55,IN_Zugliste!$A$4:$D$2002,4,FALSE),"")</f>
        <v/>
      </c>
      <c r="BN154" t="str">
        <f>+IFERROR(VLOOKUP(BN55,IN_Zugliste!$A$4:$D$2002,4,FALSE),"")</f>
        <v/>
      </c>
      <c r="BO154" t="str">
        <f>+IFERROR(VLOOKUP(BO55,IN_Zugliste!$A$4:$D$2002,4,FALSE),"")</f>
        <v/>
      </c>
      <c r="BP154" t="str">
        <f>+IFERROR(VLOOKUP(BP55,IN_Zugliste!$A$4:$D$2002,4,FALSE),"")</f>
        <v/>
      </c>
      <c r="BQ154" t="str">
        <f>+IFERROR(VLOOKUP(BQ55,IN_Zugliste!$A$4:$D$2002,4,FALSE),"")</f>
        <v/>
      </c>
      <c r="BR154" t="str">
        <f>+IFERROR(VLOOKUP(BR55,IN_Zugliste!$A$4:$D$2002,4,FALSE),"")</f>
        <v/>
      </c>
      <c r="BS154" t="str">
        <f>+IFERROR(VLOOKUP(BS55,IN_Zugliste!$A$4:$D$2002,4,FALSE),"")</f>
        <v/>
      </c>
      <c r="BT154" t="str">
        <f>+IFERROR(VLOOKUP(BT55,IN_Zugliste!$A$4:$D$2002,4,FALSE),"")</f>
        <v/>
      </c>
      <c r="BU154" t="str">
        <f>+IFERROR(VLOOKUP(BU55,IN_Zugliste!$A$4:$D$2002,4,FALSE),"")</f>
        <v/>
      </c>
      <c r="BV154" t="str">
        <f>+IFERROR(VLOOKUP(BV55,IN_Zugliste!$A$4:$D$2002,4,FALSE),"")</f>
        <v/>
      </c>
      <c r="BW154" t="str">
        <f>+IFERROR(VLOOKUP(BW55,IN_Zugliste!$A$4:$D$2002,4,FALSE),"")</f>
        <v/>
      </c>
      <c r="BX154" t="str">
        <f>+IFERROR(VLOOKUP(BX55,IN_Zugliste!$A$4:$D$2002,4,FALSE),"")</f>
        <v/>
      </c>
      <c r="BY154" t="str">
        <f>+IFERROR(VLOOKUP(BY55,IN_Zugliste!$A$4:$D$2002,4,FALSE),"")</f>
        <v/>
      </c>
      <c r="BZ154" t="str">
        <f>+IFERROR(VLOOKUP(BZ55,IN_Zugliste!$A$4:$D$2002,4,FALSE),"")</f>
        <v/>
      </c>
      <c r="CA154" t="str">
        <f>+IFERROR(VLOOKUP(CA55,IN_Zugliste!$A$4:$D$2002,4,FALSE),"")</f>
        <v/>
      </c>
      <c r="CB154" t="str">
        <f>+IFERROR(VLOOKUP(CB55,IN_Zugliste!$A$4:$D$2002,4,FALSE),"")</f>
        <v/>
      </c>
      <c r="CC154" t="str">
        <f>+IFERROR(VLOOKUP(CC55,IN_Zugliste!$A$4:$D$2002,4,FALSE),"")</f>
        <v/>
      </c>
      <c r="CD154" t="str">
        <f>+IFERROR(VLOOKUP(CD55,IN_Zugliste!$A$4:$D$2002,4,FALSE),"")</f>
        <v/>
      </c>
      <c r="CE154" t="str">
        <f>+IFERROR(VLOOKUP(CE55,IN_Zugliste!$A$4:$D$2002,4,FALSE),"")</f>
        <v/>
      </c>
      <c r="CF154" t="str">
        <f>+IFERROR(VLOOKUP(CF55,IN_Zugliste!$A$4:$D$2002,4,FALSE),"")</f>
        <v/>
      </c>
      <c r="CG154" t="str">
        <f>+IFERROR(VLOOKUP(CG55,IN_Zugliste!$A$4:$D$2002,4,FALSE),"")</f>
        <v/>
      </c>
      <c r="CH154" t="str">
        <f>+IFERROR(VLOOKUP(CH55,IN_Zugliste!$A$4:$D$2002,4,FALSE),"")</f>
        <v/>
      </c>
      <c r="CI154" t="str">
        <f>+IFERROR(VLOOKUP(CI55,IN_Zugliste!$A$4:$D$2002,4,FALSE),"")</f>
        <v/>
      </c>
      <c r="CJ154" t="str">
        <f>+IFERROR(VLOOKUP(CJ55,IN_Zugliste!$A$4:$D$2002,4,FALSE),"")</f>
        <v/>
      </c>
      <c r="CK154" t="str">
        <f>+IFERROR(VLOOKUP(CK55,IN_Zugliste!$A$4:$D$2002,4,FALSE),"")</f>
        <v/>
      </c>
      <c r="CL154" t="str">
        <f>+IFERROR(VLOOKUP(CL55,IN_Zugliste!$A$4:$D$2002,4,FALSE),"")</f>
        <v/>
      </c>
      <c r="CM154" t="str">
        <f>+IFERROR(VLOOKUP(CM55,IN_Zugliste!$A$4:$D$2002,4,FALSE),"")</f>
        <v/>
      </c>
      <c r="CN154" t="str">
        <f>+IFERROR(VLOOKUP(CN55,IN_Zugliste!$A$4:$D$2002,4,FALSE),"")</f>
        <v/>
      </c>
      <c r="CO154" t="str">
        <f>+IFERROR(VLOOKUP(CO55,IN_Zugliste!$A$4:$D$2002,4,FALSE),"")</f>
        <v/>
      </c>
      <c r="CP154" t="str">
        <f>+IFERROR(VLOOKUP(CP55,IN_Zugliste!$A$4:$D$2002,4,FALSE),"")</f>
        <v/>
      </c>
      <c r="CQ154" t="str">
        <f>+IFERROR(VLOOKUP(CQ55,IN_Zugliste!$A$4:$D$2002,4,FALSE),"")</f>
        <v/>
      </c>
      <c r="CR154" t="str">
        <f>+IFERROR(VLOOKUP(CR55,IN_Zugliste!$A$4:$D$2002,4,FALSE),"")</f>
        <v/>
      </c>
      <c r="CS154" t="str">
        <f>+IFERROR(VLOOKUP(CS55,IN_Zugliste!$A$4:$D$2002,4,FALSE),"")</f>
        <v/>
      </c>
      <c r="CT154" t="str">
        <f>+IFERROR(VLOOKUP(CT55,IN_Zugliste!$A$4:$D$2002,4,FALSE),"")</f>
        <v/>
      </c>
      <c r="CU154" t="str">
        <f>+IFERROR(VLOOKUP(CU55,IN_Zugliste!$A$4:$D$2002,4,FALSE),"")</f>
        <v/>
      </c>
      <c r="CV154" t="str">
        <f>+IFERROR(VLOOKUP(CV55,IN_Zugliste!$A$4:$D$2002,4,FALSE),"")</f>
        <v/>
      </c>
      <c r="CW154" t="str">
        <f>+IFERROR(VLOOKUP(CW55,IN_Zugliste!$A$4:$D$2002,4,FALSE),"")</f>
        <v/>
      </c>
      <c r="CX154" t="str">
        <f>+IFERROR(VLOOKUP(CX55,IN_Zugliste!$A$4:$D$2002,4,FALSE),"")</f>
        <v/>
      </c>
      <c r="CY154" t="str">
        <f>+IFERROR(VLOOKUP(CY55,IN_Zugliste!$A$4:$D$2002,4,FALSE),"")</f>
        <v/>
      </c>
      <c r="CZ154" t="str">
        <f>+IFERROR(VLOOKUP(CZ55,IN_Zugliste!$A$4:$D$2002,4,FALSE),"")</f>
        <v/>
      </c>
      <c r="DA154" t="str">
        <f>+IFERROR(VLOOKUP(DA55,IN_Zugliste!$A$4:$D$2002,4,FALSE),"")</f>
        <v/>
      </c>
      <c r="DB154" t="str">
        <f>+IFERROR(VLOOKUP(DB55,IN_Zugliste!$A$4:$D$2002,4,FALSE),"")</f>
        <v/>
      </c>
      <c r="DC154" t="str">
        <f>+IFERROR(VLOOKUP(DC55,IN_Zugliste!$A$4:$D$2002,4,FALSE),"")</f>
        <v/>
      </c>
      <c r="DD154" t="str">
        <f>+IFERROR(VLOOKUP(DD55,IN_Zugliste!$A$4:$D$2002,4,FALSE),"")</f>
        <v/>
      </c>
      <c r="DE154" t="str">
        <f>+IFERROR(VLOOKUP(DE55,IN_Zugliste!$A$4:$D$2002,4,FALSE),"")</f>
        <v/>
      </c>
      <c r="DF154" t="str">
        <f>+IFERROR(VLOOKUP(DF55,IN_Zugliste!$A$4:$D$2002,4,FALSE),"")</f>
        <v/>
      </c>
      <c r="DG154" t="str">
        <f>+IFERROR(VLOOKUP(DG55,IN_Zugliste!$A$4:$D$2002,4,FALSE),"")</f>
        <v/>
      </c>
      <c r="DH154" t="str">
        <f>+IFERROR(VLOOKUP(DH55,IN_Zugliste!$A$4:$D$2002,4,FALSE),"")</f>
        <v/>
      </c>
      <c r="DI154" t="str">
        <f>+IFERROR(VLOOKUP(DI55,IN_Zugliste!$A$4:$D$2002,4,FALSE),"")</f>
        <v/>
      </c>
      <c r="DJ154" t="str">
        <f>+IFERROR(VLOOKUP(DJ55,IN_Zugliste!$A$4:$D$2002,4,FALSE),"")</f>
        <v/>
      </c>
      <c r="DK154" t="str">
        <f>+IFERROR(VLOOKUP(DK55,IN_Zugliste!$A$4:$D$2002,4,FALSE),"")</f>
        <v/>
      </c>
      <c r="DL154" t="str">
        <f>+IFERROR(VLOOKUP(DL55,IN_Zugliste!$A$4:$D$2002,4,FALSE),"")</f>
        <v/>
      </c>
      <c r="DM154" t="str">
        <f>+IFERROR(VLOOKUP(DM55,IN_Zugliste!$A$4:$D$2002,4,FALSE),"")</f>
        <v/>
      </c>
      <c r="DN154" t="str">
        <f>+IFERROR(VLOOKUP(DN55,IN_Zugliste!$A$4:$D$2002,4,FALSE),"")</f>
        <v/>
      </c>
      <c r="DO154" t="str">
        <f>+IFERROR(VLOOKUP(DO55,IN_Zugliste!$A$4:$D$2002,4,FALSE),"")</f>
        <v/>
      </c>
      <c r="DP154" t="str">
        <f>+IFERROR(VLOOKUP(DP55,IN_Zugliste!$A$4:$D$2002,4,FALSE),"")</f>
        <v/>
      </c>
      <c r="DQ154" t="str">
        <f>+IFERROR(VLOOKUP(DQ55,IN_Zugliste!$A$4:$D$2002,4,FALSE),"")</f>
        <v/>
      </c>
      <c r="DR154" t="str">
        <f>+IFERROR(VLOOKUP(DR55,IN_Zugliste!$A$4:$D$2002,4,FALSE),"")</f>
        <v/>
      </c>
      <c r="DS154" t="str">
        <f>+IFERROR(VLOOKUP(DS55,IN_Zugliste!$A$4:$D$2002,4,FALSE),"")</f>
        <v/>
      </c>
      <c r="DT154" t="str">
        <f>+IFERROR(VLOOKUP(DT55,IN_Zugliste!$A$4:$D$2002,4,FALSE),"")</f>
        <v/>
      </c>
      <c r="DU154" t="str">
        <f>+IFERROR(VLOOKUP(DU55,IN_Zugliste!$A$4:$D$2002,4,FALSE),"")</f>
        <v/>
      </c>
      <c r="DV154" t="str">
        <f>+IFERROR(VLOOKUP(DV55,IN_Zugliste!$A$4:$D$2002,4,FALSE),"")</f>
        <v/>
      </c>
      <c r="DW154" t="str">
        <f>+IFERROR(VLOOKUP(DW55,IN_Zugliste!$A$4:$D$2002,4,FALSE),"")</f>
        <v/>
      </c>
      <c r="DX154" t="str">
        <f>+IFERROR(VLOOKUP(DX55,IN_Zugliste!$A$4:$D$2002,4,FALSE),"")</f>
        <v/>
      </c>
      <c r="DY154" t="str">
        <f>+IFERROR(VLOOKUP(DY55,IN_Zugliste!$A$4:$D$2002,4,FALSE),"")</f>
        <v/>
      </c>
      <c r="DZ154" t="str">
        <f>+IFERROR(VLOOKUP(DZ55,IN_Zugliste!$A$4:$D$2002,4,FALSE),"")</f>
        <v/>
      </c>
      <c r="EA154" t="str">
        <f>+IFERROR(VLOOKUP(EA55,IN_Zugliste!$A$4:$D$2002,4,FALSE),"")</f>
        <v/>
      </c>
      <c r="EB154" t="str">
        <f>+IFERROR(VLOOKUP(EB55,IN_Zugliste!$A$4:$D$2002,4,FALSE),"")</f>
        <v/>
      </c>
      <c r="EC154" t="str">
        <f>+IFERROR(VLOOKUP(EC55,IN_Zugliste!$A$4:$D$2002,4,FALSE),"")</f>
        <v/>
      </c>
      <c r="ED154" t="str">
        <f>+IFERROR(VLOOKUP(ED55,IN_Zugliste!$A$4:$D$2002,4,FALSE),"")</f>
        <v/>
      </c>
      <c r="EE154" t="str">
        <f>+IFERROR(VLOOKUP(EE55,IN_Zugliste!$A$4:$D$2002,4,FALSE),"")</f>
        <v/>
      </c>
      <c r="EF154" t="str">
        <f>+IFERROR(VLOOKUP(EF55,IN_Zugliste!$A$4:$D$2002,4,FALSE),"")</f>
        <v/>
      </c>
      <c r="EG154" t="str">
        <f>+IFERROR(VLOOKUP(EG55,IN_Zugliste!$A$4:$D$2002,4,FALSE),"")</f>
        <v/>
      </c>
      <c r="EH154" t="str">
        <f>+IFERROR(VLOOKUP(EH55,IN_Zugliste!$A$4:$D$2002,4,FALSE),"")</f>
        <v/>
      </c>
      <c r="EI154" t="str">
        <f>+IFERROR(VLOOKUP(EI55,IN_Zugliste!$A$4:$D$2002,4,FALSE),"")</f>
        <v/>
      </c>
      <c r="EJ154" t="str">
        <f>+IFERROR(VLOOKUP(EJ55,IN_Zugliste!$A$4:$D$2002,4,FALSE),"")</f>
        <v/>
      </c>
      <c r="EK154" t="str">
        <f>+IFERROR(VLOOKUP(EK55,IN_Zugliste!$A$4:$D$2002,4,FALSE),"")</f>
        <v/>
      </c>
      <c r="EL154" t="str">
        <f>+IFERROR(VLOOKUP(EL55,IN_Zugliste!$A$4:$D$2002,4,FALSE),"")</f>
        <v/>
      </c>
      <c r="EM154" t="str">
        <f>+IFERROR(VLOOKUP(EM55,IN_Zugliste!$A$4:$D$2002,4,FALSE),"")</f>
        <v/>
      </c>
      <c r="EN154" t="str">
        <f>+IFERROR(VLOOKUP(EN55,IN_Zugliste!$A$4:$D$2002,4,FALSE),"")</f>
        <v/>
      </c>
      <c r="EO154" t="str">
        <f>+IFERROR(VLOOKUP(EO55,IN_Zugliste!$A$4:$D$2002,4,FALSE),"")</f>
        <v/>
      </c>
      <c r="EP154" t="str">
        <f>+IFERROR(VLOOKUP(EP55,IN_Zugliste!$A$4:$D$2002,4,FALSE),"")</f>
        <v/>
      </c>
      <c r="EQ154" t="str">
        <f>+IFERROR(VLOOKUP(EQ55,IN_Zugliste!$A$4:$D$2002,4,FALSE),"")</f>
        <v/>
      </c>
      <c r="ER154" t="str">
        <f>+IFERROR(VLOOKUP(ER55,IN_Zugliste!$A$4:$D$2002,4,FALSE),"")</f>
        <v/>
      </c>
      <c r="ES154" t="str">
        <f>+IFERROR(VLOOKUP(ES55,IN_Zugliste!$A$4:$D$2002,4,FALSE),"")</f>
        <v/>
      </c>
      <c r="ET154" t="str">
        <f>+IFERROR(VLOOKUP(ET55,IN_Zugliste!$A$4:$D$2002,4,FALSE),"")</f>
        <v/>
      </c>
      <c r="EU154" t="str">
        <f>+IFERROR(VLOOKUP(EU55,IN_Zugliste!$A$4:$D$2002,4,FALSE),"")</f>
        <v/>
      </c>
      <c r="EV154" t="str">
        <f>+IFERROR(VLOOKUP(EV55,IN_Zugliste!$A$4:$D$2002,4,FALSE),"")</f>
        <v/>
      </c>
      <c r="EW154" t="str">
        <f>+IFERROR(VLOOKUP(EW55,IN_Zugliste!$A$4:$D$2002,4,FALSE),"")</f>
        <v/>
      </c>
      <c r="EX154" t="str">
        <f>+IFERROR(VLOOKUP(EX55,IN_Zugliste!$A$4:$D$2002,4,FALSE),"")</f>
        <v/>
      </c>
      <c r="EY154" t="str">
        <f>+IFERROR(VLOOKUP(EY55,IN_Zugliste!$A$4:$D$2002,4,FALSE),"")</f>
        <v/>
      </c>
      <c r="EZ154" t="str">
        <f>+IFERROR(VLOOKUP(EZ55,IN_Zugliste!$A$4:$D$2002,4,FALSE),"")</f>
        <v/>
      </c>
      <c r="FA154" t="str">
        <f>+IFERROR(VLOOKUP(FA55,IN_Zugliste!$A$4:$D$2002,4,FALSE),"")</f>
        <v/>
      </c>
      <c r="FB154" t="str">
        <f>+IFERROR(VLOOKUP(FB55,IN_Zugliste!$A$4:$D$2002,4,FALSE),"")</f>
        <v/>
      </c>
      <c r="FC154" t="str">
        <f>+IFERROR(VLOOKUP(FC55,IN_Zugliste!$A$4:$D$2002,4,FALSE),"")</f>
        <v/>
      </c>
      <c r="FD154" t="str">
        <f>+IFERROR(VLOOKUP(FD55,IN_Zugliste!$A$4:$D$2002,4,FALSE),"")</f>
        <v/>
      </c>
      <c r="FE154" t="str">
        <f>+IFERROR(VLOOKUP(FE55,IN_Zugliste!$A$4:$D$2002,4,FALSE),"")</f>
        <v/>
      </c>
      <c r="FF154" t="str">
        <f>+IFERROR(VLOOKUP(FF55,IN_Zugliste!$A$4:$D$2002,4,FALSE),"")</f>
        <v/>
      </c>
      <c r="FG154" t="str">
        <f>+IFERROR(VLOOKUP(FG55,IN_Zugliste!$A$4:$D$2002,4,FALSE),"")</f>
        <v/>
      </c>
      <c r="FH154" t="str">
        <f>+IFERROR(VLOOKUP(FH55,IN_Zugliste!$A$4:$D$2002,4,FALSE),"")</f>
        <v/>
      </c>
      <c r="FI154" t="str">
        <f>+IFERROR(VLOOKUP(FI55,IN_Zugliste!$A$4:$D$2002,4,FALSE),"")</f>
        <v/>
      </c>
      <c r="FJ154" t="str">
        <f>+IFERROR(VLOOKUP(FJ55,IN_Zugliste!$A$4:$D$2002,4,FALSE),"")</f>
        <v/>
      </c>
      <c r="FK154" t="str">
        <f>+IFERROR(VLOOKUP(FK55,IN_Zugliste!$A$4:$D$2002,4,FALSE),"")</f>
        <v/>
      </c>
      <c r="FL154" t="str">
        <f>+IFERROR(VLOOKUP(FL55,IN_Zugliste!$A$4:$D$2002,4,FALSE),"")</f>
        <v/>
      </c>
      <c r="FM154" t="str">
        <f>+IFERROR(VLOOKUP(FM55,IN_Zugliste!$A$4:$C$602,4,FALSE),"")</f>
        <v/>
      </c>
      <c r="FN154" t="str">
        <f>+IFERROR(VLOOKUP(FN55,IN_Zugliste!$A$4:$C$602,4,FALSE),"")</f>
        <v/>
      </c>
      <c r="FO154" t="str">
        <f>+IFERROR(VLOOKUP(FO55,IN_Zugliste!$A$4:$C$602,4,FALSE),"")</f>
        <v/>
      </c>
      <c r="FP154" t="str">
        <f>+IFERROR(VLOOKUP(FP55,IN_Zugliste!$A$4:$C$602,4,FALSE),"")</f>
        <v/>
      </c>
      <c r="FQ154" t="str">
        <f>+IFERROR(VLOOKUP(FQ55,IN_Zugliste!$A$4:$C$602,4,FALSE),"")</f>
        <v/>
      </c>
      <c r="FR154" t="str">
        <f>+IFERROR(VLOOKUP(FR55,IN_Zugliste!$A$4:$C$602,4,FALSE),"")</f>
        <v/>
      </c>
      <c r="FS154" t="str">
        <f>+IFERROR(VLOOKUP(FS55,IN_Zugliste!$A$4:$C$602,4,FALSE),"")</f>
        <v/>
      </c>
      <c r="FT154" t="str">
        <f>+IFERROR(VLOOKUP(FT55,IN_Zugliste!$A$4:$C$602,4,FALSE),"")</f>
        <v/>
      </c>
      <c r="FU154" t="str">
        <f>+IFERROR(VLOOKUP(FU55,IN_Zugliste!$A$4:$C$602,4,FALSE),"")</f>
        <v/>
      </c>
      <c r="FV154" t="str">
        <f>+IFERROR(VLOOKUP(FV55,IN_Zugliste!$A$4:$C$602,4,FALSE),"")</f>
        <v/>
      </c>
      <c r="FW154" t="str">
        <f>+IFERROR(VLOOKUP(FW55,IN_Zugliste!$A$4:$C$602,4,FALSE),"")</f>
        <v/>
      </c>
      <c r="FX154" t="str">
        <f>+IFERROR(VLOOKUP(FX55,IN_Zugliste!$A$4:$C$602,4,FALSE),"")</f>
        <v/>
      </c>
      <c r="FY154" t="str">
        <f>+IFERROR(VLOOKUP(FY55,IN_Zugliste!$A$4:$C$602,4,FALSE),"")</f>
        <v/>
      </c>
      <c r="FZ154" t="str">
        <f>+IFERROR(VLOOKUP(FZ55,IN_Zugliste!$A$4:$C$602,4,FALSE),"")</f>
        <v/>
      </c>
      <c r="GA154" t="str">
        <f>+IFERROR(VLOOKUP(GA55,IN_Zugliste!$A$4:$C$602,4,FALSE),"")</f>
        <v/>
      </c>
      <c r="GB154" t="str">
        <f>+IFERROR(VLOOKUP(GB55,IN_Zugliste!$A$4:$C$602,4,FALSE),"")</f>
        <v/>
      </c>
      <c r="GC154" t="str">
        <f>+IFERROR(VLOOKUP(GC55,IN_Zugliste!$A$4:$C$602,4,FALSE),"")</f>
        <v/>
      </c>
      <c r="GD154" t="str">
        <f>+IFERROR(VLOOKUP(GD55,IN_Zugliste!$A$4:$C$602,4,FALSE),"")</f>
        <v/>
      </c>
      <c r="GE154" t="str">
        <f>+IFERROR(VLOOKUP(GE55,IN_Zugliste!$A$4:$C$602,4,FALSE),"")</f>
        <v/>
      </c>
      <c r="GF154" t="str">
        <f>+IFERROR(VLOOKUP(GF55,IN_Zugliste!$A$4:$C$602,4,FALSE),"")</f>
        <v/>
      </c>
      <c r="GG154" t="str">
        <f>+IFERROR(VLOOKUP(GG55,IN_Zugliste!$A$4:$C$602,4,FALSE),"")</f>
        <v/>
      </c>
      <c r="GH154" t="str">
        <f>+IFERROR(VLOOKUP(GH55,IN_Zugliste!$A$4:$C$602,4,FALSE),"")</f>
        <v/>
      </c>
      <c r="GI154" t="str">
        <f>+IFERROR(VLOOKUP(GI55,IN_Zugliste!$A$4:$C$602,4,FALSE),"")</f>
        <v/>
      </c>
      <c r="GJ154" t="str">
        <f>+IFERROR(VLOOKUP(GJ55,IN_Zugliste!$A$4:$C$602,4,FALSE),"")</f>
        <v/>
      </c>
      <c r="GK154" t="str">
        <f>+IFERROR(VLOOKUP(GK55,IN_Zugliste!$A$4:$C$602,4,FALSE),"")</f>
        <v/>
      </c>
      <c r="GL154" t="str">
        <f>+IFERROR(VLOOKUP(GL55,IN_Zugliste!$A$4:$C$602,4,FALSE),"")</f>
        <v/>
      </c>
      <c r="GM154" t="str">
        <f>+IFERROR(VLOOKUP(GM55,IN_Zugliste!$A$4:$C$602,4,FALSE),"")</f>
        <v/>
      </c>
      <c r="GN154" t="str">
        <f>+IFERROR(VLOOKUP(GN55,IN_Zugliste!$A$4:$C$602,4,FALSE),"")</f>
        <v/>
      </c>
      <c r="GO154" t="str">
        <f>+IFERROR(VLOOKUP(GO55,IN_Zugliste!$A$4:$C$602,4,FALSE),"")</f>
        <v/>
      </c>
      <c r="GP154" t="str">
        <f>+IFERROR(VLOOKUP(GP55,IN_Zugliste!$A$4:$C$602,4,FALSE),"")</f>
        <v/>
      </c>
      <c r="GQ154" t="str">
        <f>+IFERROR(VLOOKUP(GQ55,IN_Zugliste!$A$4:$C$602,4,FALSE),"")</f>
        <v/>
      </c>
      <c r="GR154" t="str">
        <f>+IFERROR(VLOOKUP(GR55,IN_Zugliste!$A$4:$C$602,4,FALSE),"")</f>
        <v/>
      </c>
      <c r="GS154" t="str">
        <f>+IFERROR(VLOOKUP(GS55,IN_Zugliste!$A$4:$C$602,4,FALSE),"")</f>
        <v/>
      </c>
      <c r="GT154" t="str">
        <f>+IFERROR(VLOOKUP(GT55,IN_Zugliste!$A$4:$C$602,4,FALSE),"")</f>
        <v/>
      </c>
      <c r="GU154" t="str">
        <f>+IFERROR(VLOOKUP(GU55,IN_Zugliste!$A$4:$C$602,4,FALSE),"")</f>
        <v/>
      </c>
      <c r="GV154" t="str">
        <f>+IFERROR(VLOOKUP(GV55,IN_Zugliste!$A$4:$C$602,4,FALSE),"")</f>
        <v/>
      </c>
      <c r="GW154" t="str">
        <f>+IFERROR(VLOOKUP(GW55,IN_Zugliste!$A$4:$C$602,4,FALSE),"")</f>
        <v/>
      </c>
      <c r="GX154" t="str">
        <f>+IFERROR(VLOOKUP(GX55,IN_Zugliste!$A$4:$C$602,4,FALSE),"")</f>
        <v/>
      </c>
      <c r="GY154" t="str">
        <f>+IFERROR(VLOOKUP(GY55,IN_Zugliste!$A$4:$C$602,4,FALSE),"")</f>
        <v/>
      </c>
      <c r="GZ154" t="str">
        <f>+IFERROR(VLOOKUP(GZ55,IN_Zugliste!$A$4:$C$602,4,FALSE),"")</f>
        <v/>
      </c>
      <c r="HA154" t="str">
        <f>+IFERROR(VLOOKUP(HA55,IN_Zugliste!$A$4:$C$602,4,FALSE),"")</f>
        <v/>
      </c>
      <c r="HB154" t="str">
        <f>+IFERROR(VLOOKUP(HB55,IN_Zugliste!$A$4:$C$602,4,FALSE),"")</f>
        <v/>
      </c>
      <c r="HC154" t="str">
        <f>+IFERROR(VLOOKUP(HC55,IN_Zugliste!$A$4:$C$602,4,FALSE),"")</f>
        <v/>
      </c>
      <c r="HD154" t="str">
        <f>+IFERROR(VLOOKUP(HD55,IN_Zugliste!$A$4:$C$602,4,FALSE),"")</f>
        <v/>
      </c>
      <c r="HE154" t="str">
        <f>+IFERROR(VLOOKUP(HE55,IN_Zugliste!$A$4:$C$602,4,FALSE),"")</f>
        <v/>
      </c>
      <c r="HF154" t="str">
        <f>+IFERROR(VLOOKUP(HF55,IN_Zugliste!$A$4:$C$602,4,FALSE),"")</f>
        <v/>
      </c>
      <c r="HG154" t="str">
        <f>+IFERROR(VLOOKUP(HG55,IN_Zugliste!$A$4:$C$602,4,FALSE),"")</f>
        <v/>
      </c>
      <c r="HH154" t="str">
        <f>+IFERROR(VLOOKUP(HH55,IN_Zugliste!$A$4:$C$602,4,FALSE),"")</f>
        <v/>
      </c>
    </row>
    <row r="155" spans="1:216" x14ac:dyDescent="0.2">
      <c r="A155" t="str">
        <f>+IFERROR(VLOOKUP(A56,IN_Zugliste!$A$4:$D$2002,4,FALSE),"")</f>
        <v/>
      </c>
      <c r="B155" t="str">
        <f>+IFERROR(VLOOKUP(B56,IN_Zugliste!$A$4:$D$2002,4,FALSE),"")</f>
        <v/>
      </c>
      <c r="C155" t="str">
        <f>+IFERROR(VLOOKUP(C56,IN_Zugliste!$A$4:$D$2002,4,FALSE),"")</f>
        <v/>
      </c>
      <c r="D155" t="str">
        <f>+IFERROR(VLOOKUP(D56,IN_Zugliste!$A$4:$D$2002,4,FALSE),"")</f>
        <v/>
      </c>
      <c r="E155" t="str">
        <f>+IFERROR(VLOOKUP(E56,IN_Zugliste!$A$4:$D$2002,4,FALSE),"")</f>
        <v/>
      </c>
      <c r="F155" t="str">
        <f>+IFERROR(VLOOKUP(F56,IN_Zugliste!$A$4:$D$2002,4,FALSE),"")</f>
        <v/>
      </c>
      <c r="G155" t="str">
        <f>+IFERROR(VLOOKUP(G56,IN_Zugliste!$A$4:$D$2002,4,FALSE),"")</f>
        <v/>
      </c>
      <c r="H155" t="str">
        <f>+IFERROR(VLOOKUP(H56,IN_Zugliste!$A$4:$D$2002,4,FALSE),"")</f>
        <v/>
      </c>
      <c r="I155" t="str">
        <f>+IFERROR(VLOOKUP(I56,IN_Zugliste!$A$4:$D$2002,4,FALSE),"")</f>
        <v/>
      </c>
      <c r="J155" t="str">
        <f>+IFERROR(VLOOKUP(J56,IN_Zugliste!$A$4:$D$2002,4,FALSE),"")</f>
        <v/>
      </c>
      <c r="K155" t="str">
        <f>+IFERROR(VLOOKUP(K56,IN_Zugliste!$A$4:$D$2002,4,FALSE),"")</f>
        <v/>
      </c>
      <c r="L155" t="str">
        <f>+IFERROR(VLOOKUP(L56,IN_Zugliste!$A$4:$D$2002,4,FALSE),"")</f>
        <v/>
      </c>
      <c r="M155" t="str">
        <f>+IFERROR(VLOOKUP(M56,IN_Zugliste!$A$4:$D$2002,4,FALSE),"")</f>
        <v/>
      </c>
      <c r="N155" t="str">
        <f>+IFERROR(VLOOKUP(N56,IN_Zugliste!$A$4:$D$2002,4,FALSE),"")</f>
        <v/>
      </c>
      <c r="O155" t="str">
        <f>+IFERROR(VLOOKUP(O56,IN_Zugliste!$A$4:$D$2002,4,FALSE),"")</f>
        <v/>
      </c>
      <c r="P155" t="str">
        <f>+IFERROR(VLOOKUP(P56,IN_Zugliste!$A$4:$D$2002,4,FALSE),"")</f>
        <v/>
      </c>
      <c r="Q155" t="str">
        <f>+IFERROR(VLOOKUP(Q56,IN_Zugliste!$A$4:$D$2002,4,FALSE),"")</f>
        <v/>
      </c>
      <c r="R155" t="str">
        <f>+IFERROR(VLOOKUP(R56,IN_Zugliste!$A$4:$D$2002,4,FALSE),"")</f>
        <v/>
      </c>
      <c r="S155" t="str">
        <f>+IFERROR(VLOOKUP(S56,IN_Zugliste!$A$4:$D$2002,4,FALSE),"")</f>
        <v/>
      </c>
      <c r="T155" t="str">
        <f>+IFERROR(VLOOKUP(T56,IN_Zugliste!$A$4:$D$2002,4,FALSE),"")</f>
        <v/>
      </c>
      <c r="U155" t="str">
        <f>+IFERROR(VLOOKUP(U56,IN_Zugliste!$A$4:$D$2002,4,FALSE),"")</f>
        <v/>
      </c>
      <c r="V155" t="str">
        <f>+IFERROR(VLOOKUP(V56,IN_Zugliste!$A$4:$D$2002,4,FALSE),"")</f>
        <v/>
      </c>
      <c r="W155" t="str">
        <f>+IFERROR(VLOOKUP(W56,IN_Zugliste!$A$4:$D$2002,4,FALSE),"")</f>
        <v/>
      </c>
      <c r="X155" t="str">
        <f>+IFERROR(VLOOKUP(X56,IN_Zugliste!$A$4:$D$2002,4,FALSE),"")</f>
        <v/>
      </c>
      <c r="Y155" t="str">
        <f>+IFERROR(VLOOKUP(Y56,IN_Zugliste!$A$4:$D$2002,4,FALSE),"")</f>
        <v/>
      </c>
      <c r="Z155" t="str">
        <f>+IFERROR(VLOOKUP(Z56,IN_Zugliste!$A$4:$D$2002,4,FALSE),"")</f>
        <v/>
      </c>
      <c r="AA155" t="str">
        <f>+IFERROR(VLOOKUP(AA56,IN_Zugliste!$A$4:$D$2002,4,FALSE),"")</f>
        <v/>
      </c>
      <c r="AB155" t="str">
        <f>+IFERROR(VLOOKUP(AB56,IN_Zugliste!$A$4:$D$2002,4,FALSE),"")</f>
        <v/>
      </c>
      <c r="AC155" t="str">
        <f>+IFERROR(VLOOKUP(AC56,IN_Zugliste!$A$4:$D$2002,4,FALSE),"")</f>
        <v/>
      </c>
      <c r="AD155" t="str">
        <f>+IFERROR(VLOOKUP(AD56,IN_Zugliste!$A$4:$D$2002,4,FALSE),"")</f>
        <v/>
      </c>
      <c r="AE155" t="str">
        <f>+IFERROR(VLOOKUP(AE56,IN_Zugliste!$A$4:$D$2002,4,FALSE),"")</f>
        <v/>
      </c>
      <c r="AF155" t="str">
        <f>+IFERROR(VLOOKUP(AF56,IN_Zugliste!$A$4:$D$2002,4,FALSE),"")</f>
        <v/>
      </c>
      <c r="AG155" t="str">
        <f>+IFERROR(VLOOKUP(AG56,IN_Zugliste!$A$4:$D$2002,4,FALSE),"")</f>
        <v/>
      </c>
      <c r="AH155" t="str">
        <f>+IFERROR(VLOOKUP(AH56,IN_Zugliste!$A$4:$D$2002,4,FALSE),"")</f>
        <v/>
      </c>
      <c r="AI155" t="str">
        <f>+IFERROR(VLOOKUP(AI56,IN_Zugliste!$A$4:$D$2002,4,FALSE),"")</f>
        <v/>
      </c>
      <c r="AJ155" t="str">
        <f>+IFERROR(VLOOKUP(AJ56,IN_Zugliste!$A$4:$D$2002,4,FALSE),"")</f>
        <v/>
      </c>
      <c r="AK155" t="str">
        <f>+IFERROR(VLOOKUP(AK56,IN_Zugliste!$A$4:$D$2002,4,FALSE),"")</f>
        <v/>
      </c>
      <c r="AL155" t="str">
        <f>+IFERROR(VLOOKUP(AL56,IN_Zugliste!$A$4:$D$2002,4,FALSE),"")</f>
        <v/>
      </c>
      <c r="AM155" t="str">
        <f>+IFERROR(VLOOKUP(AM56,IN_Zugliste!$A$4:$D$2002,4,FALSE),"")</f>
        <v/>
      </c>
      <c r="AN155" t="str">
        <f>+IFERROR(VLOOKUP(AN56,IN_Zugliste!$A$4:$D$2002,4,FALSE),"")</f>
        <v/>
      </c>
      <c r="AO155" t="str">
        <f>+IFERROR(VLOOKUP(AO56,IN_Zugliste!$A$4:$D$2002,4,FALSE),"")</f>
        <v/>
      </c>
      <c r="AP155" t="str">
        <f>+IFERROR(VLOOKUP(AP56,IN_Zugliste!$A$4:$D$2002,4,FALSE),"")</f>
        <v/>
      </c>
      <c r="AQ155" t="str">
        <f>+IFERROR(VLOOKUP(AQ56,IN_Zugliste!$A$4:$D$2002,4,FALSE),"")</f>
        <v/>
      </c>
      <c r="AR155" t="str">
        <f>+IFERROR(VLOOKUP(AR56,IN_Zugliste!$A$4:$D$2002,4,FALSE),"")</f>
        <v/>
      </c>
      <c r="AS155" t="str">
        <f>+IFERROR(VLOOKUP(AS56,IN_Zugliste!$A$4:$D$2002,4,FALSE),"")</f>
        <v/>
      </c>
      <c r="AT155" t="str">
        <f>+IFERROR(VLOOKUP(AT56,IN_Zugliste!$A$4:$D$2002,4,FALSE),"")</f>
        <v/>
      </c>
      <c r="AU155" t="str">
        <f>+IFERROR(VLOOKUP(AU56,IN_Zugliste!$A$4:$D$2002,4,FALSE),"")</f>
        <v/>
      </c>
      <c r="AV155" t="str">
        <f>+IFERROR(VLOOKUP(AV56,IN_Zugliste!$A$4:$D$2002,4,FALSE),"")</f>
        <v/>
      </c>
      <c r="AW155" t="str">
        <f>+IFERROR(VLOOKUP(AW56,IN_Zugliste!$A$4:$D$2002,4,FALSE),"")</f>
        <v/>
      </c>
      <c r="AX155" t="str">
        <f>+IFERROR(VLOOKUP(AX56,IN_Zugliste!$A$4:$D$2002,4,FALSE),"")</f>
        <v/>
      </c>
      <c r="AY155" t="str">
        <f>+IFERROR(VLOOKUP(AY56,IN_Zugliste!$A$4:$D$2002,4,FALSE),"")</f>
        <v/>
      </c>
      <c r="AZ155" t="str">
        <f>+IFERROR(VLOOKUP(AZ56,IN_Zugliste!$A$4:$D$2002,4,FALSE),"")</f>
        <v/>
      </c>
      <c r="BA155" t="str">
        <f>+IFERROR(VLOOKUP(BA56,IN_Zugliste!$A$4:$D$2002,4,FALSE),"")</f>
        <v/>
      </c>
      <c r="BB155" t="str">
        <f>+IFERROR(VLOOKUP(BB56,IN_Zugliste!$A$4:$D$2002,4,FALSE),"")</f>
        <v/>
      </c>
      <c r="BC155" t="str">
        <f>+IFERROR(VLOOKUP(BC56,IN_Zugliste!$A$4:$D$2002,4,FALSE),"")</f>
        <v/>
      </c>
      <c r="BD155" t="str">
        <f>+IFERROR(VLOOKUP(BD56,IN_Zugliste!$A$4:$D$2002,4,FALSE),"")</f>
        <v/>
      </c>
      <c r="BE155" t="str">
        <f>+IFERROR(VLOOKUP(BE56,IN_Zugliste!$A$4:$D$2002,4,FALSE),"")</f>
        <v/>
      </c>
      <c r="BF155" t="str">
        <f>+IFERROR(VLOOKUP(BF56,IN_Zugliste!$A$4:$D$2002,4,FALSE),"")</f>
        <v/>
      </c>
      <c r="BG155" t="str">
        <f>+IFERROR(VLOOKUP(BG56,IN_Zugliste!$A$4:$D$2002,4,FALSE),"")</f>
        <v/>
      </c>
      <c r="BH155" t="str">
        <f>+IFERROR(VLOOKUP(BH56,IN_Zugliste!$A$4:$D$2002,4,FALSE),"")</f>
        <v/>
      </c>
      <c r="BI155" t="str">
        <f>+IFERROR(VLOOKUP(BI56,IN_Zugliste!$A$4:$D$2002,4,FALSE),"")</f>
        <v/>
      </c>
      <c r="BJ155" t="str">
        <f>+IFERROR(VLOOKUP(BJ56,IN_Zugliste!$A$4:$D$2002,4,FALSE),"")</f>
        <v/>
      </c>
      <c r="BK155" t="str">
        <f>+IFERROR(VLOOKUP(BK56,IN_Zugliste!$A$4:$D$2002,4,FALSE),"")</f>
        <v/>
      </c>
      <c r="BL155" t="str">
        <f>+IFERROR(VLOOKUP(BL56,IN_Zugliste!$A$4:$D$2002,4,FALSE),"")</f>
        <v/>
      </c>
      <c r="BM155" t="str">
        <f>+IFERROR(VLOOKUP(BM56,IN_Zugliste!$A$4:$D$2002,4,FALSE),"")</f>
        <v/>
      </c>
      <c r="BN155" t="str">
        <f>+IFERROR(VLOOKUP(BN56,IN_Zugliste!$A$4:$D$2002,4,FALSE),"")</f>
        <v/>
      </c>
      <c r="BO155" t="str">
        <f>+IFERROR(VLOOKUP(BO56,IN_Zugliste!$A$4:$D$2002,4,FALSE),"")</f>
        <v/>
      </c>
      <c r="BP155" t="str">
        <f>+IFERROR(VLOOKUP(BP56,IN_Zugliste!$A$4:$D$2002,4,FALSE),"")</f>
        <v/>
      </c>
      <c r="BQ155" t="str">
        <f>+IFERROR(VLOOKUP(BQ56,IN_Zugliste!$A$4:$D$2002,4,FALSE),"")</f>
        <v/>
      </c>
      <c r="BR155" t="str">
        <f>+IFERROR(VLOOKUP(BR56,IN_Zugliste!$A$4:$D$2002,4,FALSE),"")</f>
        <v/>
      </c>
      <c r="BS155" t="str">
        <f>+IFERROR(VLOOKUP(BS56,IN_Zugliste!$A$4:$D$2002,4,FALSE),"")</f>
        <v/>
      </c>
      <c r="BT155" t="str">
        <f>+IFERROR(VLOOKUP(BT56,IN_Zugliste!$A$4:$D$2002,4,FALSE),"")</f>
        <v/>
      </c>
      <c r="BU155" t="str">
        <f>+IFERROR(VLOOKUP(BU56,IN_Zugliste!$A$4:$D$2002,4,FALSE),"")</f>
        <v/>
      </c>
      <c r="BV155" t="str">
        <f>+IFERROR(VLOOKUP(BV56,IN_Zugliste!$A$4:$D$2002,4,FALSE),"")</f>
        <v/>
      </c>
      <c r="BW155" t="str">
        <f>+IFERROR(VLOOKUP(BW56,IN_Zugliste!$A$4:$D$2002,4,FALSE),"")</f>
        <v/>
      </c>
      <c r="BX155" t="str">
        <f>+IFERROR(VLOOKUP(BX56,IN_Zugliste!$A$4:$D$2002,4,FALSE),"")</f>
        <v/>
      </c>
      <c r="BY155" t="str">
        <f>+IFERROR(VLOOKUP(BY56,IN_Zugliste!$A$4:$D$2002,4,FALSE),"")</f>
        <v/>
      </c>
      <c r="BZ155" t="str">
        <f>+IFERROR(VLOOKUP(BZ56,IN_Zugliste!$A$4:$D$2002,4,FALSE),"")</f>
        <v/>
      </c>
      <c r="CA155" t="str">
        <f>+IFERROR(VLOOKUP(CA56,IN_Zugliste!$A$4:$D$2002,4,FALSE),"")</f>
        <v/>
      </c>
      <c r="CB155" t="str">
        <f>+IFERROR(VLOOKUP(CB56,IN_Zugliste!$A$4:$D$2002,4,FALSE),"")</f>
        <v/>
      </c>
      <c r="CC155" t="str">
        <f>+IFERROR(VLOOKUP(CC56,IN_Zugliste!$A$4:$D$2002,4,FALSE),"")</f>
        <v/>
      </c>
      <c r="CD155" t="str">
        <f>+IFERROR(VLOOKUP(CD56,IN_Zugliste!$A$4:$D$2002,4,FALSE),"")</f>
        <v/>
      </c>
      <c r="CE155" t="str">
        <f>+IFERROR(VLOOKUP(CE56,IN_Zugliste!$A$4:$D$2002,4,FALSE),"")</f>
        <v/>
      </c>
      <c r="CF155" t="str">
        <f>+IFERROR(VLOOKUP(CF56,IN_Zugliste!$A$4:$D$2002,4,FALSE),"")</f>
        <v/>
      </c>
      <c r="CG155" t="str">
        <f>+IFERROR(VLOOKUP(CG56,IN_Zugliste!$A$4:$D$2002,4,FALSE),"")</f>
        <v/>
      </c>
      <c r="CH155" t="str">
        <f>+IFERROR(VLOOKUP(CH56,IN_Zugliste!$A$4:$D$2002,4,FALSE),"")</f>
        <v/>
      </c>
      <c r="CI155" t="str">
        <f>+IFERROR(VLOOKUP(CI56,IN_Zugliste!$A$4:$D$2002,4,FALSE),"")</f>
        <v/>
      </c>
      <c r="CJ155" t="str">
        <f>+IFERROR(VLOOKUP(CJ56,IN_Zugliste!$A$4:$D$2002,4,FALSE),"")</f>
        <v/>
      </c>
      <c r="CK155" t="str">
        <f>+IFERROR(VLOOKUP(CK56,IN_Zugliste!$A$4:$D$2002,4,FALSE),"")</f>
        <v/>
      </c>
      <c r="CL155" t="str">
        <f>+IFERROR(VLOOKUP(CL56,IN_Zugliste!$A$4:$D$2002,4,FALSE),"")</f>
        <v/>
      </c>
      <c r="CM155" t="str">
        <f>+IFERROR(VLOOKUP(CM56,IN_Zugliste!$A$4:$D$2002,4,FALSE),"")</f>
        <v/>
      </c>
      <c r="CN155" t="str">
        <f>+IFERROR(VLOOKUP(CN56,IN_Zugliste!$A$4:$D$2002,4,FALSE),"")</f>
        <v/>
      </c>
      <c r="CO155" t="str">
        <f>+IFERROR(VLOOKUP(CO56,IN_Zugliste!$A$4:$D$2002,4,FALSE),"")</f>
        <v/>
      </c>
      <c r="CP155" t="str">
        <f>+IFERROR(VLOOKUP(CP56,IN_Zugliste!$A$4:$D$2002,4,FALSE),"")</f>
        <v/>
      </c>
      <c r="CQ155" t="str">
        <f>+IFERROR(VLOOKUP(CQ56,IN_Zugliste!$A$4:$D$2002,4,FALSE),"")</f>
        <v/>
      </c>
      <c r="CR155" t="str">
        <f>+IFERROR(VLOOKUP(CR56,IN_Zugliste!$A$4:$D$2002,4,FALSE),"")</f>
        <v/>
      </c>
      <c r="CS155" t="str">
        <f>+IFERROR(VLOOKUP(CS56,IN_Zugliste!$A$4:$D$2002,4,FALSE),"")</f>
        <v/>
      </c>
      <c r="CT155" t="str">
        <f>+IFERROR(VLOOKUP(CT56,IN_Zugliste!$A$4:$D$2002,4,FALSE),"")</f>
        <v/>
      </c>
      <c r="CU155" t="str">
        <f>+IFERROR(VLOOKUP(CU56,IN_Zugliste!$A$4:$D$2002,4,FALSE),"")</f>
        <v/>
      </c>
      <c r="CV155" t="str">
        <f>+IFERROR(VLOOKUP(CV56,IN_Zugliste!$A$4:$D$2002,4,FALSE),"")</f>
        <v/>
      </c>
      <c r="CW155" t="str">
        <f>+IFERROR(VLOOKUP(CW56,IN_Zugliste!$A$4:$D$2002,4,FALSE),"")</f>
        <v/>
      </c>
      <c r="CX155" t="str">
        <f>+IFERROR(VLOOKUP(CX56,IN_Zugliste!$A$4:$D$2002,4,FALSE),"")</f>
        <v/>
      </c>
      <c r="CY155" t="str">
        <f>+IFERROR(VLOOKUP(CY56,IN_Zugliste!$A$4:$D$2002,4,FALSE),"")</f>
        <v/>
      </c>
      <c r="CZ155" t="str">
        <f>+IFERROR(VLOOKUP(CZ56,IN_Zugliste!$A$4:$D$2002,4,FALSE),"")</f>
        <v/>
      </c>
      <c r="DA155" t="str">
        <f>+IFERROR(VLOOKUP(DA56,IN_Zugliste!$A$4:$D$2002,4,FALSE),"")</f>
        <v/>
      </c>
      <c r="DB155" t="str">
        <f>+IFERROR(VLOOKUP(DB56,IN_Zugliste!$A$4:$D$2002,4,FALSE),"")</f>
        <v/>
      </c>
      <c r="DC155" t="str">
        <f>+IFERROR(VLOOKUP(DC56,IN_Zugliste!$A$4:$D$2002,4,FALSE),"")</f>
        <v/>
      </c>
      <c r="DD155" t="str">
        <f>+IFERROR(VLOOKUP(DD56,IN_Zugliste!$A$4:$D$2002,4,FALSE),"")</f>
        <v/>
      </c>
      <c r="DE155" t="str">
        <f>+IFERROR(VLOOKUP(DE56,IN_Zugliste!$A$4:$D$2002,4,FALSE),"")</f>
        <v/>
      </c>
      <c r="DF155" t="str">
        <f>+IFERROR(VLOOKUP(DF56,IN_Zugliste!$A$4:$D$2002,4,FALSE),"")</f>
        <v/>
      </c>
      <c r="DG155" t="str">
        <f>+IFERROR(VLOOKUP(DG56,IN_Zugliste!$A$4:$D$2002,4,FALSE),"")</f>
        <v/>
      </c>
      <c r="DH155" t="str">
        <f>+IFERROR(VLOOKUP(DH56,IN_Zugliste!$A$4:$D$2002,4,FALSE),"")</f>
        <v/>
      </c>
      <c r="DI155" t="str">
        <f>+IFERROR(VLOOKUP(DI56,IN_Zugliste!$A$4:$D$2002,4,FALSE),"")</f>
        <v/>
      </c>
      <c r="DJ155" t="str">
        <f>+IFERROR(VLOOKUP(DJ56,IN_Zugliste!$A$4:$D$2002,4,FALSE),"")</f>
        <v/>
      </c>
      <c r="DK155" t="str">
        <f>+IFERROR(VLOOKUP(DK56,IN_Zugliste!$A$4:$D$2002,4,FALSE),"")</f>
        <v/>
      </c>
      <c r="DL155" t="str">
        <f>+IFERROR(VLOOKUP(DL56,IN_Zugliste!$A$4:$D$2002,4,FALSE),"")</f>
        <v/>
      </c>
      <c r="DM155" t="str">
        <f>+IFERROR(VLOOKUP(DM56,IN_Zugliste!$A$4:$D$2002,4,FALSE),"")</f>
        <v/>
      </c>
      <c r="DN155" t="str">
        <f>+IFERROR(VLOOKUP(DN56,IN_Zugliste!$A$4:$D$2002,4,FALSE),"")</f>
        <v/>
      </c>
      <c r="DO155" t="str">
        <f>+IFERROR(VLOOKUP(DO56,IN_Zugliste!$A$4:$D$2002,4,FALSE),"")</f>
        <v/>
      </c>
      <c r="DP155" t="str">
        <f>+IFERROR(VLOOKUP(DP56,IN_Zugliste!$A$4:$D$2002,4,FALSE),"")</f>
        <v/>
      </c>
      <c r="DQ155" t="str">
        <f>+IFERROR(VLOOKUP(DQ56,IN_Zugliste!$A$4:$D$2002,4,FALSE),"")</f>
        <v/>
      </c>
      <c r="DR155" t="str">
        <f>+IFERROR(VLOOKUP(DR56,IN_Zugliste!$A$4:$D$2002,4,FALSE),"")</f>
        <v/>
      </c>
      <c r="DS155" t="str">
        <f>+IFERROR(VLOOKUP(DS56,IN_Zugliste!$A$4:$D$2002,4,FALSE),"")</f>
        <v/>
      </c>
      <c r="DT155" t="str">
        <f>+IFERROR(VLOOKUP(DT56,IN_Zugliste!$A$4:$D$2002,4,FALSE),"")</f>
        <v/>
      </c>
      <c r="DU155" t="str">
        <f>+IFERROR(VLOOKUP(DU56,IN_Zugliste!$A$4:$D$2002,4,FALSE),"")</f>
        <v/>
      </c>
      <c r="DV155" t="str">
        <f>+IFERROR(VLOOKUP(DV56,IN_Zugliste!$A$4:$D$2002,4,FALSE),"")</f>
        <v/>
      </c>
      <c r="DW155" t="str">
        <f>+IFERROR(VLOOKUP(DW56,IN_Zugliste!$A$4:$D$2002,4,FALSE),"")</f>
        <v/>
      </c>
      <c r="DX155" t="str">
        <f>+IFERROR(VLOOKUP(DX56,IN_Zugliste!$A$4:$D$2002,4,FALSE),"")</f>
        <v/>
      </c>
      <c r="DY155" t="str">
        <f>+IFERROR(VLOOKUP(DY56,IN_Zugliste!$A$4:$D$2002,4,FALSE),"")</f>
        <v/>
      </c>
      <c r="DZ155" t="str">
        <f>+IFERROR(VLOOKUP(DZ56,IN_Zugliste!$A$4:$D$2002,4,FALSE),"")</f>
        <v/>
      </c>
      <c r="EA155" t="str">
        <f>+IFERROR(VLOOKUP(EA56,IN_Zugliste!$A$4:$D$2002,4,FALSE),"")</f>
        <v/>
      </c>
      <c r="EB155" t="str">
        <f>+IFERROR(VLOOKUP(EB56,IN_Zugliste!$A$4:$D$2002,4,FALSE),"")</f>
        <v/>
      </c>
      <c r="EC155" t="str">
        <f>+IFERROR(VLOOKUP(EC56,IN_Zugliste!$A$4:$D$2002,4,FALSE),"")</f>
        <v/>
      </c>
      <c r="ED155" t="str">
        <f>+IFERROR(VLOOKUP(ED56,IN_Zugliste!$A$4:$D$2002,4,FALSE),"")</f>
        <v/>
      </c>
      <c r="EE155" t="str">
        <f>+IFERROR(VLOOKUP(EE56,IN_Zugliste!$A$4:$D$2002,4,FALSE),"")</f>
        <v/>
      </c>
      <c r="EF155" t="str">
        <f>+IFERROR(VLOOKUP(EF56,IN_Zugliste!$A$4:$D$2002,4,FALSE),"")</f>
        <v/>
      </c>
      <c r="EG155" t="str">
        <f>+IFERROR(VLOOKUP(EG56,IN_Zugliste!$A$4:$D$2002,4,FALSE),"")</f>
        <v/>
      </c>
      <c r="EH155" t="str">
        <f>+IFERROR(VLOOKUP(EH56,IN_Zugliste!$A$4:$D$2002,4,FALSE),"")</f>
        <v/>
      </c>
      <c r="EI155" t="str">
        <f>+IFERROR(VLOOKUP(EI56,IN_Zugliste!$A$4:$D$2002,4,FALSE),"")</f>
        <v/>
      </c>
      <c r="EJ155" t="str">
        <f>+IFERROR(VLOOKUP(EJ56,IN_Zugliste!$A$4:$D$2002,4,FALSE),"")</f>
        <v/>
      </c>
      <c r="EK155" t="str">
        <f>+IFERROR(VLOOKUP(EK56,IN_Zugliste!$A$4:$D$2002,4,FALSE),"")</f>
        <v/>
      </c>
      <c r="EL155" t="str">
        <f>+IFERROR(VLOOKUP(EL56,IN_Zugliste!$A$4:$D$2002,4,FALSE),"")</f>
        <v/>
      </c>
      <c r="EM155" t="str">
        <f>+IFERROR(VLOOKUP(EM56,IN_Zugliste!$A$4:$D$2002,4,FALSE),"")</f>
        <v/>
      </c>
      <c r="EN155" t="str">
        <f>+IFERROR(VLOOKUP(EN56,IN_Zugliste!$A$4:$D$2002,4,FALSE),"")</f>
        <v/>
      </c>
      <c r="EO155" t="str">
        <f>+IFERROR(VLOOKUP(EO56,IN_Zugliste!$A$4:$D$2002,4,FALSE),"")</f>
        <v/>
      </c>
      <c r="EP155" t="str">
        <f>+IFERROR(VLOOKUP(EP56,IN_Zugliste!$A$4:$D$2002,4,FALSE),"")</f>
        <v/>
      </c>
      <c r="EQ155" t="str">
        <f>+IFERROR(VLOOKUP(EQ56,IN_Zugliste!$A$4:$D$2002,4,FALSE),"")</f>
        <v/>
      </c>
      <c r="ER155" t="str">
        <f>+IFERROR(VLOOKUP(ER56,IN_Zugliste!$A$4:$D$2002,4,FALSE),"")</f>
        <v/>
      </c>
      <c r="ES155" t="str">
        <f>+IFERROR(VLOOKUP(ES56,IN_Zugliste!$A$4:$D$2002,4,FALSE),"")</f>
        <v/>
      </c>
      <c r="ET155" t="str">
        <f>+IFERROR(VLOOKUP(ET56,IN_Zugliste!$A$4:$D$2002,4,FALSE),"")</f>
        <v/>
      </c>
      <c r="EU155" t="str">
        <f>+IFERROR(VLOOKUP(EU56,IN_Zugliste!$A$4:$D$2002,4,FALSE),"")</f>
        <v/>
      </c>
      <c r="EV155" t="str">
        <f>+IFERROR(VLOOKUP(EV56,IN_Zugliste!$A$4:$D$2002,4,FALSE),"")</f>
        <v/>
      </c>
      <c r="EW155" t="str">
        <f>+IFERROR(VLOOKUP(EW56,IN_Zugliste!$A$4:$D$2002,4,FALSE),"")</f>
        <v/>
      </c>
      <c r="EX155" t="str">
        <f>+IFERROR(VLOOKUP(EX56,IN_Zugliste!$A$4:$D$2002,4,FALSE),"")</f>
        <v/>
      </c>
      <c r="EY155" t="str">
        <f>+IFERROR(VLOOKUP(EY56,IN_Zugliste!$A$4:$D$2002,4,FALSE),"")</f>
        <v/>
      </c>
      <c r="EZ155" t="str">
        <f>+IFERROR(VLOOKUP(EZ56,IN_Zugliste!$A$4:$D$2002,4,FALSE),"")</f>
        <v/>
      </c>
      <c r="FA155" t="str">
        <f>+IFERROR(VLOOKUP(FA56,IN_Zugliste!$A$4:$D$2002,4,FALSE),"")</f>
        <v/>
      </c>
      <c r="FB155" t="str">
        <f>+IFERROR(VLOOKUP(FB56,IN_Zugliste!$A$4:$D$2002,4,FALSE),"")</f>
        <v/>
      </c>
      <c r="FC155" t="str">
        <f>+IFERROR(VLOOKUP(FC56,IN_Zugliste!$A$4:$D$2002,4,FALSE),"")</f>
        <v/>
      </c>
      <c r="FD155" t="str">
        <f>+IFERROR(VLOOKUP(FD56,IN_Zugliste!$A$4:$D$2002,4,FALSE),"")</f>
        <v/>
      </c>
      <c r="FE155" t="str">
        <f>+IFERROR(VLOOKUP(FE56,IN_Zugliste!$A$4:$D$2002,4,FALSE),"")</f>
        <v/>
      </c>
      <c r="FF155" t="str">
        <f>+IFERROR(VLOOKUP(FF56,IN_Zugliste!$A$4:$D$2002,4,FALSE),"")</f>
        <v/>
      </c>
      <c r="FG155" t="str">
        <f>+IFERROR(VLOOKUP(FG56,IN_Zugliste!$A$4:$D$2002,4,FALSE),"")</f>
        <v/>
      </c>
      <c r="FH155" t="str">
        <f>+IFERROR(VLOOKUP(FH56,IN_Zugliste!$A$4:$D$2002,4,FALSE),"")</f>
        <v/>
      </c>
      <c r="FI155" t="str">
        <f>+IFERROR(VLOOKUP(FI56,IN_Zugliste!$A$4:$D$2002,4,FALSE),"")</f>
        <v/>
      </c>
      <c r="FJ155" t="str">
        <f>+IFERROR(VLOOKUP(FJ56,IN_Zugliste!$A$4:$D$2002,4,FALSE),"")</f>
        <v/>
      </c>
      <c r="FK155" t="str">
        <f>+IFERROR(VLOOKUP(FK56,IN_Zugliste!$A$4:$D$2002,4,FALSE),"")</f>
        <v/>
      </c>
      <c r="FL155" t="str">
        <f>+IFERROR(VLOOKUP(FL56,IN_Zugliste!$A$4:$D$2002,4,FALSE),"")</f>
        <v/>
      </c>
      <c r="FM155" t="str">
        <f>+IFERROR(VLOOKUP(FM56,IN_Zugliste!$A$4:$C$602,4,FALSE),"")</f>
        <v/>
      </c>
      <c r="FN155" t="str">
        <f>+IFERROR(VLOOKUP(FN56,IN_Zugliste!$A$4:$C$602,4,FALSE),"")</f>
        <v/>
      </c>
      <c r="FO155" t="str">
        <f>+IFERROR(VLOOKUP(FO56,IN_Zugliste!$A$4:$C$602,4,FALSE),"")</f>
        <v/>
      </c>
      <c r="FP155" t="str">
        <f>+IFERROR(VLOOKUP(FP56,IN_Zugliste!$A$4:$C$602,4,FALSE),"")</f>
        <v/>
      </c>
      <c r="FQ155" t="str">
        <f>+IFERROR(VLOOKUP(FQ56,IN_Zugliste!$A$4:$C$602,4,FALSE),"")</f>
        <v/>
      </c>
      <c r="FR155" t="str">
        <f>+IFERROR(VLOOKUP(FR56,IN_Zugliste!$A$4:$C$602,4,FALSE),"")</f>
        <v/>
      </c>
      <c r="FS155" t="str">
        <f>+IFERROR(VLOOKUP(FS56,IN_Zugliste!$A$4:$C$602,4,FALSE),"")</f>
        <v/>
      </c>
      <c r="FT155" t="str">
        <f>+IFERROR(VLOOKUP(FT56,IN_Zugliste!$A$4:$C$602,4,FALSE),"")</f>
        <v/>
      </c>
      <c r="FU155" t="str">
        <f>+IFERROR(VLOOKUP(FU56,IN_Zugliste!$A$4:$C$602,4,FALSE),"")</f>
        <v/>
      </c>
      <c r="FV155" t="str">
        <f>+IFERROR(VLOOKUP(FV56,IN_Zugliste!$A$4:$C$602,4,FALSE),"")</f>
        <v/>
      </c>
      <c r="FW155" t="str">
        <f>+IFERROR(VLOOKUP(FW56,IN_Zugliste!$A$4:$C$602,4,FALSE),"")</f>
        <v/>
      </c>
      <c r="FX155" t="str">
        <f>+IFERROR(VLOOKUP(FX56,IN_Zugliste!$A$4:$C$602,4,FALSE),"")</f>
        <v/>
      </c>
      <c r="FY155" t="str">
        <f>+IFERROR(VLOOKUP(FY56,IN_Zugliste!$A$4:$C$602,4,FALSE),"")</f>
        <v/>
      </c>
      <c r="FZ155" t="str">
        <f>+IFERROR(VLOOKUP(FZ56,IN_Zugliste!$A$4:$C$602,4,FALSE),"")</f>
        <v/>
      </c>
      <c r="GA155" t="str">
        <f>+IFERROR(VLOOKUP(GA56,IN_Zugliste!$A$4:$C$602,4,FALSE),"")</f>
        <v/>
      </c>
      <c r="GB155" t="str">
        <f>+IFERROR(VLOOKUP(GB56,IN_Zugliste!$A$4:$C$602,4,FALSE),"")</f>
        <v/>
      </c>
      <c r="GC155" t="str">
        <f>+IFERROR(VLOOKUP(GC56,IN_Zugliste!$A$4:$C$602,4,FALSE),"")</f>
        <v/>
      </c>
      <c r="GD155" t="str">
        <f>+IFERROR(VLOOKUP(GD56,IN_Zugliste!$A$4:$C$602,4,FALSE),"")</f>
        <v/>
      </c>
      <c r="GE155" t="str">
        <f>+IFERROR(VLOOKUP(GE56,IN_Zugliste!$A$4:$C$602,4,FALSE),"")</f>
        <v/>
      </c>
      <c r="GF155" t="str">
        <f>+IFERROR(VLOOKUP(GF56,IN_Zugliste!$A$4:$C$602,4,FALSE),"")</f>
        <v/>
      </c>
      <c r="GG155" t="str">
        <f>+IFERROR(VLOOKUP(GG56,IN_Zugliste!$A$4:$C$602,4,FALSE),"")</f>
        <v/>
      </c>
      <c r="GH155" t="str">
        <f>+IFERROR(VLOOKUP(GH56,IN_Zugliste!$A$4:$C$602,4,FALSE),"")</f>
        <v/>
      </c>
      <c r="GI155" t="str">
        <f>+IFERROR(VLOOKUP(GI56,IN_Zugliste!$A$4:$C$602,4,FALSE),"")</f>
        <v/>
      </c>
      <c r="GJ155" t="str">
        <f>+IFERROR(VLOOKUP(GJ56,IN_Zugliste!$A$4:$C$602,4,FALSE),"")</f>
        <v/>
      </c>
      <c r="GK155" t="str">
        <f>+IFERROR(VLOOKUP(GK56,IN_Zugliste!$A$4:$C$602,4,FALSE),"")</f>
        <v/>
      </c>
      <c r="GL155" t="str">
        <f>+IFERROR(VLOOKUP(GL56,IN_Zugliste!$A$4:$C$602,4,FALSE),"")</f>
        <v/>
      </c>
      <c r="GM155" t="str">
        <f>+IFERROR(VLOOKUP(GM56,IN_Zugliste!$A$4:$C$602,4,FALSE),"")</f>
        <v/>
      </c>
      <c r="GN155" t="str">
        <f>+IFERROR(VLOOKUP(GN56,IN_Zugliste!$A$4:$C$602,4,FALSE),"")</f>
        <v/>
      </c>
      <c r="GO155" t="str">
        <f>+IFERROR(VLOOKUP(GO56,IN_Zugliste!$A$4:$C$602,4,FALSE),"")</f>
        <v/>
      </c>
      <c r="GP155" t="str">
        <f>+IFERROR(VLOOKUP(GP56,IN_Zugliste!$A$4:$C$602,4,FALSE),"")</f>
        <v/>
      </c>
      <c r="GQ155" t="str">
        <f>+IFERROR(VLOOKUP(GQ56,IN_Zugliste!$A$4:$C$602,4,FALSE),"")</f>
        <v/>
      </c>
      <c r="GR155" t="str">
        <f>+IFERROR(VLOOKUP(GR56,IN_Zugliste!$A$4:$C$602,4,FALSE),"")</f>
        <v/>
      </c>
      <c r="GS155" t="str">
        <f>+IFERROR(VLOOKUP(GS56,IN_Zugliste!$A$4:$C$602,4,FALSE),"")</f>
        <v/>
      </c>
      <c r="GT155" t="str">
        <f>+IFERROR(VLOOKUP(GT56,IN_Zugliste!$A$4:$C$602,4,FALSE),"")</f>
        <v/>
      </c>
      <c r="GU155" t="str">
        <f>+IFERROR(VLOOKUP(GU56,IN_Zugliste!$A$4:$C$602,4,FALSE),"")</f>
        <v/>
      </c>
      <c r="GV155" t="str">
        <f>+IFERROR(VLOOKUP(GV56,IN_Zugliste!$A$4:$C$602,4,FALSE),"")</f>
        <v/>
      </c>
      <c r="GW155" t="str">
        <f>+IFERROR(VLOOKUP(GW56,IN_Zugliste!$A$4:$C$602,4,FALSE),"")</f>
        <v/>
      </c>
      <c r="GX155" t="str">
        <f>+IFERROR(VLOOKUP(GX56,IN_Zugliste!$A$4:$C$602,4,FALSE),"")</f>
        <v/>
      </c>
      <c r="GY155" t="str">
        <f>+IFERROR(VLOOKUP(GY56,IN_Zugliste!$A$4:$C$602,4,FALSE),"")</f>
        <v/>
      </c>
      <c r="GZ155" t="str">
        <f>+IFERROR(VLOOKUP(GZ56,IN_Zugliste!$A$4:$C$602,4,FALSE),"")</f>
        <v/>
      </c>
      <c r="HA155" t="str">
        <f>+IFERROR(VLOOKUP(HA56,IN_Zugliste!$A$4:$C$602,4,FALSE),"")</f>
        <v/>
      </c>
      <c r="HB155" t="str">
        <f>+IFERROR(VLOOKUP(HB56,IN_Zugliste!$A$4:$C$602,4,FALSE),"")</f>
        <v/>
      </c>
      <c r="HC155" t="str">
        <f>+IFERROR(VLOOKUP(HC56,IN_Zugliste!$A$4:$C$602,4,FALSE),"")</f>
        <v/>
      </c>
      <c r="HD155" t="str">
        <f>+IFERROR(VLOOKUP(HD56,IN_Zugliste!$A$4:$C$602,4,FALSE),"")</f>
        <v/>
      </c>
      <c r="HE155" t="str">
        <f>+IFERROR(VLOOKUP(HE56,IN_Zugliste!$A$4:$C$602,4,FALSE),"")</f>
        <v/>
      </c>
      <c r="HF155" t="str">
        <f>+IFERROR(VLOOKUP(HF56,IN_Zugliste!$A$4:$C$602,4,FALSE),"")</f>
        <v/>
      </c>
      <c r="HG155" t="str">
        <f>+IFERROR(VLOOKUP(HG56,IN_Zugliste!$A$4:$C$602,4,FALSE),"")</f>
        <v/>
      </c>
      <c r="HH155" t="str">
        <f>+IFERROR(VLOOKUP(HH56,IN_Zugliste!$A$4:$C$602,4,FALSE),"")</f>
        <v/>
      </c>
    </row>
    <row r="156" spans="1:216" x14ac:dyDescent="0.2">
      <c r="A156" t="str">
        <f>+IFERROR(VLOOKUP(A57,IN_Zugliste!$A$4:$D$2002,4,FALSE),"")</f>
        <v/>
      </c>
      <c r="B156" t="str">
        <f>+IFERROR(VLOOKUP(B57,IN_Zugliste!$A$4:$D$2002,4,FALSE),"")</f>
        <v/>
      </c>
      <c r="C156" t="str">
        <f>+IFERROR(VLOOKUP(C57,IN_Zugliste!$A$4:$D$2002,4,FALSE),"")</f>
        <v/>
      </c>
      <c r="D156" t="str">
        <f>+IFERROR(VLOOKUP(D57,IN_Zugliste!$A$4:$D$2002,4,FALSE),"")</f>
        <v/>
      </c>
      <c r="E156" t="str">
        <f>+IFERROR(VLOOKUP(E57,IN_Zugliste!$A$4:$D$2002,4,FALSE),"")</f>
        <v/>
      </c>
      <c r="F156" t="str">
        <f>+IFERROR(VLOOKUP(F57,IN_Zugliste!$A$4:$D$2002,4,FALSE),"")</f>
        <v/>
      </c>
      <c r="G156" t="str">
        <f>+IFERROR(VLOOKUP(G57,IN_Zugliste!$A$4:$D$2002,4,FALSE),"")</f>
        <v/>
      </c>
      <c r="H156" t="str">
        <f>+IFERROR(VLOOKUP(H57,IN_Zugliste!$A$4:$D$2002,4,FALSE),"")</f>
        <v/>
      </c>
      <c r="I156" t="str">
        <f>+IFERROR(VLOOKUP(I57,IN_Zugliste!$A$4:$D$2002,4,FALSE),"")</f>
        <v/>
      </c>
      <c r="J156" t="str">
        <f>+IFERROR(VLOOKUP(J57,IN_Zugliste!$A$4:$D$2002,4,FALSE),"")</f>
        <v/>
      </c>
      <c r="K156" t="str">
        <f>+IFERROR(VLOOKUP(K57,IN_Zugliste!$A$4:$D$2002,4,FALSE),"")</f>
        <v/>
      </c>
      <c r="L156" t="str">
        <f>+IFERROR(VLOOKUP(L57,IN_Zugliste!$A$4:$D$2002,4,FALSE),"")</f>
        <v/>
      </c>
      <c r="M156" t="str">
        <f>+IFERROR(VLOOKUP(M57,IN_Zugliste!$A$4:$D$2002,4,FALSE),"")</f>
        <v/>
      </c>
      <c r="N156" t="str">
        <f>+IFERROR(VLOOKUP(N57,IN_Zugliste!$A$4:$D$2002,4,FALSE),"")</f>
        <v/>
      </c>
      <c r="O156" t="str">
        <f>+IFERROR(VLOOKUP(O57,IN_Zugliste!$A$4:$D$2002,4,FALSE),"")</f>
        <v/>
      </c>
      <c r="P156" t="str">
        <f>+IFERROR(VLOOKUP(P57,IN_Zugliste!$A$4:$D$2002,4,FALSE),"")</f>
        <v/>
      </c>
      <c r="Q156" t="str">
        <f>+IFERROR(VLOOKUP(Q57,IN_Zugliste!$A$4:$D$2002,4,FALSE),"")</f>
        <v/>
      </c>
      <c r="R156" t="str">
        <f>+IFERROR(VLOOKUP(R57,IN_Zugliste!$A$4:$D$2002,4,FALSE),"")</f>
        <v/>
      </c>
      <c r="S156" t="str">
        <f>+IFERROR(VLOOKUP(S57,IN_Zugliste!$A$4:$D$2002,4,FALSE),"")</f>
        <v/>
      </c>
      <c r="T156" t="str">
        <f>+IFERROR(VLOOKUP(T57,IN_Zugliste!$A$4:$D$2002,4,FALSE),"")</f>
        <v/>
      </c>
      <c r="U156" t="str">
        <f>+IFERROR(VLOOKUP(U57,IN_Zugliste!$A$4:$D$2002,4,FALSE),"")</f>
        <v/>
      </c>
      <c r="V156" t="str">
        <f>+IFERROR(VLOOKUP(V57,IN_Zugliste!$A$4:$D$2002,4,FALSE),"")</f>
        <v/>
      </c>
      <c r="W156" t="str">
        <f>+IFERROR(VLOOKUP(W57,IN_Zugliste!$A$4:$D$2002,4,FALSE),"")</f>
        <v/>
      </c>
      <c r="X156" t="str">
        <f>+IFERROR(VLOOKUP(X57,IN_Zugliste!$A$4:$D$2002,4,FALSE),"")</f>
        <v/>
      </c>
      <c r="Y156" t="str">
        <f>+IFERROR(VLOOKUP(Y57,IN_Zugliste!$A$4:$D$2002,4,FALSE),"")</f>
        <v/>
      </c>
      <c r="Z156" t="str">
        <f>+IFERROR(VLOOKUP(Z57,IN_Zugliste!$A$4:$D$2002,4,FALSE),"")</f>
        <v/>
      </c>
      <c r="AA156" t="str">
        <f>+IFERROR(VLOOKUP(AA57,IN_Zugliste!$A$4:$D$2002,4,FALSE),"")</f>
        <v/>
      </c>
      <c r="AB156" t="str">
        <f>+IFERROR(VLOOKUP(AB57,IN_Zugliste!$A$4:$D$2002,4,FALSE),"")</f>
        <v/>
      </c>
      <c r="AC156" t="str">
        <f>+IFERROR(VLOOKUP(AC57,IN_Zugliste!$A$4:$D$2002,4,FALSE),"")</f>
        <v/>
      </c>
      <c r="AD156" t="str">
        <f>+IFERROR(VLOOKUP(AD57,IN_Zugliste!$A$4:$D$2002,4,FALSE),"")</f>
        <v/>
      </c>
      <c r="AE156" t="str">
        <f>+IFERROR(VLOOKUP(AE57,IN_Zugliste!$A$4:$D$2002,4,FALSE),"")</f>
        <v/>
      </c>
      <c r="AF156" t="str">
        <f>+IFERROR(VLOOKUP(AF57,IN_Zugliste!$A$4:$D$2002,4,FALSE),"")</f>
        <v/>
      </c>
      <c r="AG156" t="str">
        <f>+IFERROR(VLOOKUP(AG57,IN_Zugliste!$A$4:$D$2002,4,FALSE),"")</f>
        <v/>
      </c>
      <c r="AH156" t="str">
        <f>+IFERROR(VLOOKUP(AH57,IN_Zugliste!$A$4:$D$2002,4,FALSE),"")</f>
        <v/>
      </c>
      <c r="AI156" t="str">
        <f>+IFERROR(VLOOKUP(AI57,IN_Zugliste!$A$4:$D$2002,4,FALSE),"")</f>
        <v/>
      </c>
      <c r="AJ156" t="str">
        <f>+IFERROR(VLOOKUP(AJ57,IN_Zugliste!$A$4:$D$2002,4,FALSE),"")</f>
        <v/>
      </c>
      <c r="AK156" t="str">
        <f>+IFERROR(VLOOKUP(AK57,IN_Zugliste!$A$4:$D$2002,4,FALSE),"")</f>
        <v/>
      </c>
      <c r="AL156" t="str">
        <f>+IFERROR(VLOOKUP(AL57,IN_Zugliste!$A$4:$D$2002,4,FALSE),"")</f>
        <v/>
      </c>
      <c r="AM156" t="str">
        <f>+IFERROR(VLOOKUP(AM57,IN_Zugliste!$A$4:$D$2002,4,FALSE),"")</f>
        <v/>
      </c>
      <c r="AN156" t="str">
        <f>+IFERROR(VLOOKUP(AN57,IN_Zugliste!$A$4:$D$2002,4,FALSE),"")</f>
        <v/>
      </c>
      <c r="AO156" t="str">
        <f>+IFERROR(VLOOKUP(AO57,IN_Zugliste!$A$4:$D$2002,4,FALSE),"")</f>
        <v/>
      </c>
      <c r="AP156" t="str">
        <f>+IFERROR(VLOOKUP(AP57,IN_Zugliste!$A$4:$D$2002,4,FALSE),"")</f>
        <v/>
      </c>
      <c r="AQ156" t="str">
        <f>+IFERROR(VLOOKUP(AQ57,IN_Zugliste!$A$4:$D$2002,4,FALSE),"")</f>
        <v/>
      </c>
      <c r="AR156" t="str">
        <f>+IFERROR(VLOOKUP(AR57,IN_Zugliste!$A$4:$D$2002,4,FALSE),"")</f>
        <v/>
      </c>
      <c r="AS156" t="str">
        <f>+IFERROR(VLOOKUP(AS57,IN_Zugliste!$A$4:$D$2002,4,FALSE),"")</f>
        <v/>
      </c>
      <c r="AT156" t="str">
        <f>+IFERROR(VLOOKUP(AT57,IN_Zugliste!$A$4:$D$2002,4,FALSE),"")</f>
        <v/>
      </c>
      <c r="AU156" t="str">
        <f>+IFERROR(VLOOKUP(AU57,IN_Zugliste!$A$4:$D$2002,4,FALSE),"")</f>
        <v/>
      </c>
      <c r="AV156" t="str">
        <f>+IFERROR(VLOOKUP(AV57,IN_Zugliste!$A$4:$D$2002,4,FALSE),"")</f>
        <v/>
      </c>
      <c r="AW156" t="str">
        <f>+IFERROR(VLOOKUP(AW57,IN_Zugliste!$A$4:$D$2002,4,FALSE),"")</f>
        <v/>
      </c>
      <c r="AX156" t="str">
        <f>+IFERROR(VLOOKUP(AX57,IN_Zugliste!$A$4:$D$2002,4,FALSE),"")</f>
        <v/>
      </c>
      <c r="AY156" t="str">
        <f>+IFERROR(VLOOKUP(AY57,IN_Zugliste!$A$4:$D$2002,4,FALSE),"")</f>
        <v/>
      </c>
      <c r="AZ156" t="str">
        <f>+IFERROR(VLOOKUP(AZ57,IN_Zugliste!$A$4:$D$2002,4,FALSE),"")</f>
        <v/>
      </c>
      <c r="BA156" t="str">
        <f>+IFERROR(VLOOKUP(BA57,IN_Zugliste!$A$4:$D$2002,4,FALSE),"")</f>
        <v/>
      </c>
      <c r="BB156" t="str">
        <f>+IFERROR(VLOOKUP(BB57,IN_Zugliste!$A$4:$D$2002,4,FALSE),"")</f>
        <v/>
      </c>
      <c r="BC156" t="str">
        <f>+IFERROR(VLOOKUP(BC57,IN_Zugliste!$A$4:$D$2002,4,FALSE),"")</f>
        <v/>
      </c>
      <c r="BD156" t="str">
        <f>+IFERROR(VLOOKUP(BD57,IN_Zugliste!$A$4:$D$2002,4,FALSE),"")</f>
        <v/>
      </c>
      <c r="BE156" t="str">
        <f>+IFERROR(VLOOKUP(BE57,IN_Zugliste!$A$4:$D$2002,4,FALSE),"")</f>
        <v/>
      </c>
      <c r="BF156" t="str">
        <f>+IFERROR(VLOOKUP(BF57,IN_Zugliste!$A$4:$D$2002,4,FALSE),"")</f>
        <v/>
      </c>
      <c r="BG156" t="str">
        <f>+IFERROR(VLOOKUP(BG57,IN_Zugliste!$A$4:$D$2002,4,FALSE),"")</f>
        <v/>
      </c>
      <c r="BH156" t="str">
        <f>+IFERROR(VLOOKUP(BH57,IN_Zugliste!$A$4:$D$2002,4,FALSE),"")</f>
        <v/>
      </c>
      <c r="BI156" t="str">
        <f>+IFERROR(VLOOKUP(BI57,IN_Zugliste!$A$4:$D$2002,4,FALSE),"")</f>
        <v/>
      </c>
      <c r="BJ156" t="str">
        <f>+IFERROR(VLOOKUP(BJ57,IN_Zugliste!$A$4:$D$2002,4,FALSE),"")</f>
        <v/>
      </c>
      <c r="BK156" t="str">
        <f>+IFERROR(VLOOKUP(BK57,IN_Zugliste!$A$4:$D$2002,4,FALSE),"")</f>
        <v/>
      </c>
      <c r="BL156" t="str">
        <f>+IFERROR(VLOOKUP(BL57,IN_Zugliste!$A$4:$D$2002,4,FALSE),"")</f>
        <v/>
      </c>
      <c r="BM156" t="str">
        <f>+IFERROR(VLOOKUP(BM57,IN_Zugliste!$A$4:$D$2002,4,FALSE),"")</f>
        <v/>
      </c>
      <c r="BN156" t="str">
        <f>+IFERROR(VLOOKUP(BN57,IN_Zugliste!$A$4:$D$2002,4,FALSE),"")</f>
        <v/>
      </c>
      <c r="BO156" t="str">
        <f>+IFERROR(VLOOKUP(BO57,IN_Zugliste!$A$4:$D$2002,4,FALSE),"")</f>
        <v/>
      </c>
      <c r="BP156" t="str">
        <f>+IFERROR(VLOOKUP(BP57,IN_Zugliste!$A$4:$D$2002,4,FALSE),"")</f>
        <v/>
      </c>
      <c r="BQ156" t="str">
        <f>+IFERROR(VLOOKUP(BQ57,IN_Zugliste!$A$4:$D$2002,4,FALSE),"")</f>
        <v/>
      </c>
      <c r="BR156" t="str">
        <f>+IFERROR(VLOOKUP(BR57,IN_Zugliste!$A$4:$D$2002,4,FALSE),"")</f>
        <v/>
      </c>
      <c r="BS156" t="str">
        <f>+IFERROR(VLOOKUP(BS57,IN_Zugliste!$A$4:$D$2002,4,FALSE),"")</f>
        <v/>
      </c>
      <c r="BT156" t="str">
        <f>+IFERROR(VLOOKUP(BT57,IN_Zugliste!$A$4:$D$2002,4,FALSE),"")</f>
        <v/>
      </c>
      <c r="BU156" t="str">
        <f>+IFERROR(VLOOKUP(BU57,IN_Zugliste!$A$4:$D$2002,4,FALSE),"")</f>
        <v/>
      </c>
      <c r="BV156" t="str">
        <f>+IFERROR(VLOOKUP(BV57,IN_Zugliste!$A$4:$D$2002,4,FALSE),"")</f>
        <v/>
      </c>
      <c r="BW156" t="str">
        <f>+IFERROR(VLOOKUP(BW57,IN_Zugliste!$A$4:$D$2002,4,FALSE),"")</f>
        <v/>
      </c>
      <c r="BX156" t="str">
        <f>+IFERROR(VLOOKUP(BX57,IN_Zugliste!$A$4:$D$2002,4,FALSE),"")</f>
        <v/>
      </c>
      <c r="BY156" t="str">
        <f>+IFERROR(VLOOKUP(BY57,IN_Zugliste!$A$4:$D$2002,4,FALSE),"")</f>
        <v/>
      </c>
      <c r="BZ156" t="str">
        <f>+IFERROR(VLOOKUP(BZ57,IN_Zugliste!$A$4:$D$2002,4,FALSE),"")</f>
        <v/>
      </c>
      <c r="CA156" t="str">
        <f>+IFERROR(VLOOKUP(CA57,IN_Zugliste!$A$4:$D$2002,4,FALSE),"")</f>
        <v/>
      </c>
      <c r="CB156" t="str">
        <f>+IFERROR(VLOOKUP(CB57,IN_Zugliste!$A$4:$D$2002,4,FALSE),"")</f>
        <v/>
      </c>
      <c r="CC156" t="str">
        <f>+IFERROR(VLOOKUP(CC57,IN_Zugliste!$A$4:$D$2002,4,FALSE),"")</f>
        <v/>
      </c>
      <c r="CD156" t="str">
        <f>+IFERROR(VLOOKUP(CD57,IN_Zugliste!$A$4:$D$2002,4,FALSE),"")</f>
        <v/>
      </c>
      <c r="CE156" t="str">
        <f>+IFERROR(VLOOKUP(CE57,IN_Zugliste!$A$4:$D$2002,4,FALSE),"")</f>
        <v/>
      </c>
      <c r="CF156" t="str">
        <f>+IFERROR(VLOOKUP(CF57,IN_Zugliste!$A$4:$D$2002,4,FALSE),"")</f>
        <v/>
      </c>
      <c r="CG156" t="str">
        <f>+IFERROR(VLOOKUP(CG57,IN_Zugliste!$A$4:$D$2002,4,FALSE),"")</f>
        <v/>
      </c>
      <c r="CH156" t="str">
        <f>+IFERROR(VLOOKUP(CH57,IN_Zugliste!$A$4:$D$2002,4,FALSE),"")</f>
        <v/>
      </c>
      <c r="CI156" t="str">
        <f>+IFERROR(VLOOKUP(CI57,IN_Zugliste!$A$4:$D$2002,4,FALSE),"")</f>
        <v/>
      </c>
      <c r="CJ156" t="str">
        <f>+IFERROR(VLOOKUP(CJ57,IN_Zugliste!$A$4:$D$2002,4,FALSE),"")</f>
        <v/>
      </c>
      <c r="CK156" t="str">
        <f>+IFERROR(VLOOKUP(CK57,IN_Zugliste!$A$4:$D$2002,4,FALSE),"")</f>
        <v/>
      </c>
      <c r="CL156" t="str">
        <f>+IFERROR(VLOOKUP(CL57,IN_Zugliste!$A$4:$D$2002,4,FALSE),"")</f>
        <v/>
      </c>
      <c r="CM156" t="str">
        <f>+IFERROR(VLOOKUP(CM57,IN_Zugliste!$A$4:$D$2002,4,FALSE),"")</f>
        <v/>
      </c>
      <c r="CN156" t="str">
        <f>+IFERROR(VLOOKUP(CN57,IN_Zugliste!$A$4:$D$2002,4,FALSE),"")</f>
        <v/>
      </c>
      <c r="CO156" t="str">
        <f>+IFERROR(VLOOKUP(CO57,IN_Zugliste!$A$4:$D$2002,4,FALSE),"")</f>
        <v/>
      </c>
      <c r="CP156" t="str">
        <f>+IFERROR(VLOOKUP(CP57,IN_Zugliste!$A$4:$D$2002,4,FALSE),"")</f>
        <v/>
      </c>
      <c r="CQ156" t="str">
        <f>+IFERROR(VLOOKUP(CQ57,IN_Zugliste!$A$4:$D$2002,4,FALSE),"")</f>
        <v/>
      </c>
      <c r="CR156" t="str">
        <f>+IFERROR(VLOOKUP(CR57,IN_Zugliste!$A$4:$D$2002,4,FALSE),"")</f>
        <v/>
      </c>
      <c r="CS156" t="str">
        <f>+IFERROR(VLOOKUP(CS57,IN_Zugliste!$A$4:$D$2002,4,FALSE),"")</f>
        <v/>
      </c>
      <c r="CT156" t="str">
        <f>+IFERROR(VLOOKUP(CT57,IN_Zugliste!$A$4:$D$2002,4,FALSE),"")</f>
        <v/>
      </c>
      <c r="CU156" t="str">
        <f>+IFERROR(VLOOKUP(CU57,IN_Zugliste!$A$4:$D$2002,4,FALSE),"")</f>
        <v/>
      </c>
      <c r="CV156" t="str">
        <f>+IFERROR(VLOOKUP(CV57,IN_Zugliste!$A$4:$D$2002,4,FALSE),"")</f>
        <v/>
      </c>
      <c r="CW156" t="str">
        <f>+IFERROR(VLOOKUP(CW57,IN_Zugliste!$A$4:$D$2002,4,FALSE),"")</f>
        <v/>
      </c>
      <c r="CX156" t="str">
        <f>+IFERROR(VLOOKUP(CX57,IN_Zugliste!$A$4:$D$2002,4,FALSE),"")</f>
        <v/>
      </c>
      <c r="CY156" t="str">
        <f>+IFERROR(VLOOKUP(CY57,IN_Zugliste!$A$4:$D$2002,4,FALSE),"")</f>
        <v/>
      </c>
      <c r="CZ156" t="str">
        <f>+IFERROR(VLOOKUP(CZ57,IN_Zugliste!$A$4:$D$2002,4,FALSE),"")</f>
        <v/>
      </c>
      <c r="DA156" t="str">
        <f>+IFERROR(VLOOKUP(DA57,IN_Zugliste!$A$4:$D$2002,4,FALSE),"")</f>
        <v/>
      </c>
      <c r="DB156" t="str">
        <f>+IFERROR(VLOOKUP(DB57,IN_Zugliste!$A$4:$D$2002,4,FALSE),"")</f>
        <v/>
      </c>
      <c r="DC156" t="str">
        <f>+IFERROR(VLOOKUP(DC57,IN_Zugliste!$A$4:$D$2002,4,FALSE),"")</f>
        <v/>
      </c>
      <c r="DD156" t="str">
        <f>+IFERROR(VLOOKUP(DD57,IN_Zugliste!$A$4:$D$2002,4,FALSE),"")</f>
        <v/>
      </c>
      <c r="DE156" t="str">
        <f>+IFERROR(VLOOKUP(DE57,IN_Zugliste!$A$4:$D$2002,4,FALSE),"")</f>
        <v/>
      </c>
      <c r="DF156" t="str">
        <f>+IFERROR(VLOOKUP(DF57,IN_Zugliste!$A$4:$D$2002,4,FALSE),"")</f>
        <v/>
      </c>
      <c r="DG156" t="str">
        <f>+IFERROR(VLOOKUP(DG57,IN_Zugliste!$A$4:$D$2002,4,FALSE),"")</f>
        <v/>
      </c>
      <c r="DH156" t="str">
        <f>+IFERROR(VLOOKUP(DH57,IN_Zugliste!$A$4:$D$2002,4,FALSE),"")</f>
        <v/>
      </c>
      <c r="DI156" t="str">
        <f>+IFERROR(VLOOKUP(DI57,IN_Zugliste!$A$4:$D$2002,4,FALSE),"")</f>
        <v/>
      </c>
      <c r="DJ156" t="str">
        <f>+IFERROR(VLOOKUP(DJ57,IN_Zugliste!$A$4:$D$2002,4,FALSE),"")</f>
        <v/>
      </c>
      <c r="DK156" t="str">
        <f>+IFERROR(VLOOKUP(DK57,IN_Zugliste!$A$4:$D$2002,4,FALSE),"")</f>
        <v/>
      </c>
      <c r="DL156" t="str">
        <f>+IFERROR(VLOOKUP(DL57,IN_Zugliste!$A$4:$D$2002,4,FALSE),"")</f>
        <v/>
      </c>
      <c r="DM156" t="str">
        <f>+IFERROR(VLOOKUP(DM57,IN_Zugliste!$A$4:$D$2002,4,FALSE),"")</f>
        <v/>
      </c>
      <c r="DN156" t="str">
        <f>+IFERROR(VLOOKUP(DN57,IN_Zugliste!$A$4:$D$2002,4,FALSE),"")</f>
        <v/>
      </c>
      <c r="DO156" t="str">
        <f>+IFERROR(VLOOKUP(DO57,IN_Zugliste!$A$4:$D$2002,4,FALSE),"")</f>
        <v/>
      </c>
      <c r="DP156" t="str">
        <f>+IFERROR(VLOOKUP(DP57,IN_Zugliste!$A$4:$D$2002,4,FALSE),"")</f>
        <v/>
      </c>
      <c r="DQ156" t="str">
        <f>+IFERROR(VLOOKUP(DQ57,IN_Zugliste!$A$4:$D$2002,4,FALSE),"")</f>
        <v/>
      </c>
      <c r="DR156" t="str">
        <f>+IFERROR(VLOOKUP(DR57,IN_Zugliste!$A$4:$D$2002,4,FALSE),"")</f>
        <v/>
      </c>
      <c r="DS156" t="str">
        <f>+IFERROR(VLOOKUP(DS57,IN_Zugliste!$A$4:$D$2002,4,FALSE),"")</f>
        <v/>
      </c>
      <c r="DT156" t="str">
        <f>+IFERROR(VLOOKUP(DT57,IN_Zugliste!$A$4:$D$2002,4,FALSE),"")</f>
        <v/>
      </c>
      <c r="DU156" t="str">
        <f>+IFERROR(VLOOKUP(DU57,IN_Zugliste!$A$4:$D$2002,4,FALSE),"")</f>
        <v/>
      </c>
      <c r="DV156" t="str">
        <f>+IFERROR(VLOOKUP(DV57,IN_Zugliste!$A$4:$D$2002,4,FALSE),"")</f>
        <v/>
      </c>
      <c r="DW156" t="str">
        <f>+IFERROR(VLOOKUP(DW57,IN_Zugliste!$A$4:$D$2002,4,FALSE),"")</f>
        <v/>
      </c>
      <c r="DX156" t="str">
        <f>+IFERROR(VLOOKUP(DX57,IN_Zugliste!$A$4:$D$2002,4,FALSE),"")</f>
        <v/>
      </c>
      <c r="DY156" t="str">
        <f>+IFERROR(VLOOKUP(DY57,IN_Zugliste!$A$4:$D$2002,4,FALSE),"")</f>
        <v/>
      </c>
      <c r="DZ156" t="str">
        <f>+IFERROR(VLOOKUP(DZ57,IN_Zugliste!$A$4:$D$2002,4,FALSE),"")</f>
        <v/>
      </c>
      <c r="EA156" t="str">
        <f>+IFERROR(VLOOKUP(EA57,IN_Zugliste!$A$4:$D$2002,4,FALSE),"")</f>
        <v/>
      </c>
      <c r="EB156" t="str">
        <f>+IFERROR(VLOOKUP(EB57,IN_Zugliste!$A$4:$D$2002,4,FALSE),"")</f>
        <v/>
      </c>
      <c r="EC156" t="str">
        <f>+IFERROR(VLOOKUP(EC57,IN_Zugliste!$A$4:$D$2002,4,FALSE),"")</f>
        <v/>
      </c>
      <c r="ED156" t="str">
        <f>+IFERROR(VLOOKUP(ED57,IN_Zugliste!$A$4:$D$2002,4,FALSE),"")</f>
        <v/>
      </c>
      <c r="EE156" t="str">
        <f>+IFERROR(VLOOKUP(EE57,IN_Zugliste!$A$4:$D$2002,4,FALSE),"")</f>
        <v/>
      </c>
      <c r="EF156" t="str">
        <f>+IFERROR(VLOOKUP(EF57,IN_Zugliste!$A$4:$D$2002,4,FALSE),"")</f>
        <v/>
      </c>
      <c r="EG156" t="str">
        <f>+IFERROR(VLOOKUP(EG57,IN_Zugliste!$A$4:$D$2002,4,FALSE),"")</f>
        <v/>
      </c>
      <c r="EH156" t="str">
        <f>+IFERROR(VLOOKUP(EH57,IN_Zugliste!$A$4:$D$2002,4,FALSE),"")</f>
        <v/>
      </c>
      <c r="EI156" t="str">
        <f>+IFERROR(VLOOKUP(EI57,IN_Zugliste!$A$4:$D$2002,4,FALSE),"")</f>
        <v/>
      </c>
      <c r="EJ156" t="str">
        <f>+IFERROR(VLOOKUP(EJ57,IN_Zugliste!$A$4:$D$2002,4,FALSE),"")</f>
        <v/>
      </c>
      <c r="EK156" t="str">
        <f>+IFERROR(VLOOKUP(EK57,IN_Zugliste!$A$4:$D$2002,4,FALSE),"")</f>
        <v/>
      </c>
      <c r="EL156" t="str">
        <f>+IFERROR(VLOOKUP(EL57,IN_Zugliste!$A$4:$D$2002,4,FALSE),"")</f>
        <v/>
      </c>
      <c r="EM156" t="str">
        <f>+IFERROR(VLOOKUP(EM57,IN_Zugliste!$A$4:$D$2002,4,FALSE),"")</f>
        <v/>
      </c>
      <c r="EN156" t="str">
        <f>+IFERROR(VLOOKUP(EN57,IN_Zugliste!$A$4:$D$2002,4,FALSE),"")</f>
        <v/>
      </c>
      <c r="EO156" t="str">
        <f>+IFERROR(VLOOKUP(EO57,IN_Zugliste!$A$4:$D$2002,4,FALSE),"")</f>
        <v/>
      </c>
      <c r="EP156" t="str">
        <f>+IFERROR(VLOOKUP(EP57,IN_Zugliste!$A$4:$D$2002,4,FALSE),"")</f>
        <v/>
      </c>
      <c r="EQ156" t="str">
        <f>+IFERROR(VLOOKUP(EQ57,IN_Zugliste!$A$4:$D$2002,4,FALSE),"")</f>
        <v/>
      </c>
      <c r="ER156" t="str">
        <f>+IFERROR(VLOOKUP(ER57,IN_Zugliste!$A$4:$D$2002,4,FALSE),"")</f>
        <v/>
      </c>
      <c r="ES156" t="str">
        <f>+IFERROR(VLOOKUP(ES57,IN_Zugliste!$A$4:$D$2002,4,FALSE),"")</f>
        <v/>
      </c>
      <c r="ET156" t="str">
        <f>+IFERROR(VLOOKUP(ET57,IN_Zugliste!$A$4:$D$2002,4,FALSE),"")</f>
        <v/>
      </c>
      <c r="EU156" t="str">
        <f>+IFERROR(VLOOKUP(EU57,IN_Zugliste!$A$4:$D$2002,4,FALSE),"")</f>
        <v/>
      </c>
      <c r="EV156" t="str">
        <f>+IFERROR(VLOOKUP(EV57,IN_Zugliste!$A$4:$D$2002,4,FALSE),"")</f>
        <v/>
      </c>
      <c r="EW156" t="str">
        <f>+IFERROR(VLOOKUP(EW57,IN_Zugliste!$A$4:$D$2002,4,FALSE),"")</f>
        <v/>
      </c>
      <c r="EX156" t="str">
        <f>+IFERROR(VLOOKUP(EX57,IN_Zugliste!$A$4:$D$2002,4,FALSE),"")</f>
        <v/>
      </c>
      <c r="EY156" t="str">
        <f>+IFERROR(VLOOKUP(EY57,IN_Zugliste!$A$4:$D$2002,4,FALSE),"")</f>
        <v/>
      </c>
      <c r="EZ156" t="str">
        <f>+IFERROR(VLOOKUP(EZ57,IN_Zugliste!$A$4:$D$2002,4,FALSE),"")</f>
        <v/>
      </c>
      <c r="FA156" t="str">
        <f>+IFERROR(VLOOKUP(FA57,IN_Zugliste!$A$4:$D$2002,4,FALSE),"")</f>
        <v/>
      </c>
      <c r="FB156" t="str">
        <f>+IFERROR(VLOOKUP(FB57,IN_Zugliste!$A$4:$D$2002,4,FALSE),"")</f>
        <v/>
      </c>
      <c r="FC156" t="str">
        <f>+IFERROR(VLOOKUP(FC57,IN_Zugliste!$A$4:$D$2002,4,FALSE),"")</f>
        <v/>
      </c>
      <c r="FD156" t="str">
        <f>+IFERROR(VLOOKUP(FD57,IN_Zugliste!$A$4:$D$2002,4,FALSE),"")</f>
        <v/>
      </c>
      <c r="FE156" t="str">
        <f>+IFERROR(VLOOKUP(FE57,IN_Zugliste!$A$4:$D$2002,4,FALSE),"")</f>
        <v/>
      </c>
      <c r="FF156" t="str">
        <f>+IFERROR(VLOOKUP(FF57,IN_Zugliste!$A$4:$D$2002,4,FALSE),"")</f>
        <v/>
      </c>
      <c r="FG156" t="str">
        <f>+IFERROR(VLOOKUP(FG57,IN_Zugliste!$A$4:$D$2002,4,FALSE),"")</f>
        <v/>
      </c>
      <c r="FH156" t="str">
        <f>+IFERROR(VLOOKUP(FH57,IN_Zugliste!$A$4:$D$2002,4,FALSE),"")</f>
        <v/>
      </c>
      <c r="FI156" t="str">
        <f>+IFERROR(VLOOKUP(FI57,IN_Zugliste!$A$4:$D$2002,4,FALSE),"")</f>
        <v/>
      </c>
      <c r="FJ156" t="str">
        <f>+IFERROR(VLOOKUP(FJ57,IN_Zugliste!$A$4:$D$2002,4,FALSE),"")</f>
        <v/>
      </c>
      <c r="FK156" t="str">
        <f>+IFERROR(VLOOKUP(FK57,IN_Zugliste!$A$4:$D$2002,4,FALSE),"")</f>
        <v/>
      </c>
      <c r="FL156" t="str">
        <f>+IFERROR(VLOOKUP(FL57,IN_Zugliste!$A$4:$D$2002,4,FALSE),"")</f>
        <v/>
      </c>
      <c r="FM156" t="str">
        <f>+IFERROR(VLOOKUP(FM57,IN_Zugliste!$A$4:$C$602,4,FALSE),"")</f>
        <v/>
      </c>
      <c r="FN156" t="str">
        <f>+IFERROR(VLOOKUP(FN57,IN_Zugliste!$A$4:$C$602,4,FALSE),"")</f>
        <v/>
      </c>
      <c r="FO156" t="str">
        <f>+IFERROR(VLOOKUP(FO57,IN_Zugliste!$A$4:$C$602,4,FALSE),"")</f>
        <v/>
      </c>
      <c r="FP156" t="str">
        <f>+IFERROR(VLOOKUP(FP57,IN_Zugliste!$A$4:$C$602,4,FALSE),"")</f>
        <v/>
      </c>
      <c r="FQ156" t="str">
        <f>+IFERROR(VLOOKUP(FQ57,IN_Zugliste!$A$4:$C$602,4,FALSE),"")</f>
        <v/>
      </c>
      <c r="FR156" t="str">
        <f>+IFERROR(VLOOKUP(FR57,IN_Zugliste!$A$4:$C$602,4,FALSE),"")</f>
        <v/>
      </c>
      <c r="FS156" t="str">
        <f>+IFERROR(VLOOKUP(FS57,IN_Zugliste!$A$4:$C$602,4,FALSE),"")</f>
        <v/>
      </c>
      <c r="FT156" t="str">
        <f>+IFERROR(VLOOKUP(FT57,IN_Zugliste!$A$4:$C$602,4,FALSE),"")</f>
        <v/>
      </c>
      <c r="FU156" t="str">
        <f>+IFERROR(VLOOKUP(FU57,IN_Zugliste!$A$4:$C$602,4,FALSE),"")</f>
        <v/>
      </c>
      <c r="FV156" t="str">
        <f>+IFERROR(VLOOKUP(FV57,IN_Zugliste!$A$4:$C$602,4,FALSE),"")</f>
        <v/>
      </c>
      <c r="FW156" t="str">
        <f>+IFERROR(VLOOKUP(FW57,IN_Zugliste!$A$4:$C$602,4,FALSE),"")</f>
        <v/>
      </c>
      <c r="FX156" t="str">
        <f>+IFERROR(VLOOKUP(FX57,IN_Zugliste!$A$4:$C$602,4,FALSE),"")</f>
        <v/>
      </c>
      <c r="FY156" t="str">
        <f>+IFERROR(VLOOKUP(FY57,IN_Zugliste!$A$4:$C$602,4,FALSE),"")</f>
        <v/>
      </c>
      <c r="FZ156" t="str">
        <f>+IFERROR(VLOOKUP(FZ57,IN_Zugliste!$A$4:$C$602,4,FALSE),"")</f>
        <v/>
      </c>
      <c r="GA156" t="str">
        <f>+IFERROR(VLOOKUP(GA57,IN_Zugliste!$A$4:$C$602,4,FALSE),"")</f>
        <v/>
      </c>
      <c r="GB156" t="str">
        <f>+IFERROR(VLOOKUP(GB57,IN_Zugliste!$A$4:$C$602,4,FALSE),"")</f>
        <v/>
      </c>
      <c r="GC156" t="str">
        <f>+IFERROR(VLOOKUP(GC57,IN_Zugliste!$A$4:$C$602,4,FALSE),"")</f>
        <v/>
      </c>
      <c r="GD156" t="str">
        <f>+IFERROR(VLOOKUP(GD57,IN_Zugliste!$A$4:$C$602,4,FALSE),"")</f>
        <v/>
      </c>
      <c r="GE156" t="str">
        <f>+IFERROR(VLOOKUP(GE57,IN_Zugliste!$A$4:$C$602,4,FALSE),"")</f>
        <v/>
      </c>
      <c r="GF156" t="str">
        <f>+IFERROR(VLOOKUP(GF57,IN_Zugliste!$A$4:$C$602,4,FALSE),"")</f>
        <v/>
      </c>
      <c r="GG156" t="str">
        <f>+IFERROR(VLOOKUP(GG57,IN_Zugliste!$A$4:$C$602,4,FALSE),"")</f>
        <v/>
      </c>
      <c r="GH156" t="str">
        <f>+IFERROR(VLOOKUP(GH57,IN_Zugliste!$A$4:$C$602,4,FALSE),"")</f>
        <v/>
      </c>
      <c r="GI156" t="str">
        <f>+IFERROR(VLOOKUP(GI57,IN_Zugliste!$A$4:$C$602,4,FALSE),"")</f>
        <v/>
      </c>
      <c r="GJ156" t="str">
        <f>+IFERROR(VLOOKUP(GJ57,IN_Zugliste!$A$4:$C$602,4,FALSE),"")</f>
        <v/>
      </c>
      <c r="GK156" t="str">
        <f>+IFERROR(VLOOKUP(GK57,IN_Zugliste!$A$4:$C$602,4,FALSE),"")</f>
        <v/>
      </c>
      <c r="GL156" t="str">
        <f>+IFERROR(VLOOKUP(GL57,IN_Zugliste!$A$4:$C$602,4,FALSE),"")</f>
        <v/>
      </c>
      <c r="GM156" t="str">
        <f>+IFERROR(VLOOKUP(GM57,IN_Zugliste!$A$4:$C$602,4,FALSE),"")</f>
        <v/>
      </c>
      <c r="GN156" t="str">
        <f>+IFERROR(VLOOKUP(GN57,IN_Zugliste!$A$4:$C$602,4,FALSE),"")</f>
        <v/>
      </c>
      <c r="GO156" t="str">
        <f>+IFERROR(VLOOKUP(GO57,IN_Zugliste!$A$4:$C$602,4,FALSE),"")</f>
        <v/>
      </c>
      <c r="GP156" t="str">
        <f>+IFERROR(VLOOKUP(GP57,IN_Zugliste!$A$4:$C$602,4,FALSE),"")</f>
        <v/>
      </c>
      <c r="GQ156" t="str">
        <f>+IFERROR(VLOOKUP(GQ57,IN_Zugliste!$A$4:$C$602,4,FALSE),"")</f>
        <v/>
      </c>
      <c r="GR156" t="str">
        <f>+IFERROR(VLOOKUP(GR57,IN_Zugliste!$A$4:$C$602,4,FALSE),"")</f>
        <v/>
      </c>
      <c r="GS156" t="str">
        <f>+IFERROR(VLOOKUP(GS57,IN_Zugliste!$A$4:$C$602,4,FALSE),"")</f>
        <v/>
      </c>
      <c r="GT156" t="str">
        <f>+IFERROR(VLOOKUP(GT57,IN_Zugliste!$A$4:$C$602,4,FALSE),"")</f>
        <v/>
      </c>
      <c r="GU156" t="str">
        <f>+IFERROR(VLOOKUP(GU57,IN_Zugliste!$A$4:$C$602,4,FALSE),"")</f>
        <v/>
      </c>
      <c r="GV156" t="str">
        <f>+IFERROR(VLOOKUP(GV57,IN_Zugliste!$A$4:$C$602,4,FALSE),"")</f>
        <v/>
      </c>
      <c r="GW156" t="str">
        <f>+IFERROR(VLOOKUP(GW57,IN_Zugliste!$A$4:$C$602,4,FALSE),"")</f>
        <v/>
      </c>
      <c r="GX156" t="str">
        <f>+IFERROR(VLOOKUP(GX57,IN_Zugliste!$A$4:$C$602,4,FALSE),"")</f>
        <v/>
      </c>
      <c r="GY156" t="str">
        <f>+IFERROR(VLOOKUP(GY57,IN_Zugliste!$A$4:$C$602,4,FALSE),"")</f>
        <v/>
      </c>
      <c r="GZ156" t="str">
        <f>+IFERROR(VLOOKUP(GZ57,IN_Zugliste!$A$4:$C$602,4,FALSE),"")</f>
        <v/>
      </c>
      <c r="HA156" t="str">
        <f>+IFERROR(VLOOKUP(HA57,IN_Zugliste!$A$4:$C$602,4,FALSE),"")</f>
        <v/>
      </c>
      <c r="HB156" t="str">
        <f>+IFERROR(VLOOKUP(HB57,IN_Zugliste!$A$4:$C$602,4,FALSE),"")</f>
        <v/>
      </c>
      <c r="HC156" t="str">
        <f>+IFERROR(VLOOKUP(HC57,IN_Zugliste!$A$4:$C$602,4,FALSE),"")</f>
        <v/>
      </c>
      <c r="HD156" t="str">
        <f>+IFERROR(VLOOKUP(HD57,IN_Zugliste!$A$4:$C$602,4,FALSE),"")</f>
        <v/>
      </c>
      <c r="HE156" t="str">
        <f>+IFERROR(VLOOKUP(HE57,IN_Zugliste!$A$4:$C$602,4,FALSE),"")</f>
        <v/>
      </c>
      <c r="HF156" t="str">
        <f>+IFERROR(VLOOKUP(HF57,IN_Zugliste!$A$4:$C$602,4,FALSE),"")</f>
        <v/>
      </c>
      <c r="HG156" t="str">
        <f>+IFERROR(VLOOKUP(HG57,IN_Zugliste!$A$4:$C$602,4,FALSE),"")</f>
        <v/>
      </c>
      <c r="HH156" t="str">
        <f>+IFERROR(VLOOKUP(HH57,IN_Zugliste!$A$4:$C$602,4,FALSE),"")</f>
        <v/>
      </c>
    </row>
    <row r="157" spans="1:216" x14ac:dyDescent="0.2">
      <c r="A157" t="str">
        <f>+IFERROR(VLOOKUP(A58,IN_Zugliste!$A$4:$D$2002,4,FALSE),"")</f>
        <v/>
      </c>
      <c r="B157" t="str">
        <f>+IFERROR(VLOOKUP(B58,IN_Zugliste!$A$4:$D$2002,4,FALSE),"")</f>
        <v/>
      </c>
      <c r="C157" t="str">
        <f>+IFERROR(VLOOKUP(C58,IN_Zugliste!$A$4:$D$2002,4,FALSE),"")</f>
        <v/>
      </c>
      <c r="D157" t="str">
        <f>+IFERROR(VLOOKUP(D58,IN_Zugliste!$A$4:$D$2002,4,FALSE),"")</f>
        <v/>
      </c>
      <c r="E157" t="str">
        <f>+IFERROR(VLOOKUP(E58,IN_Zugliste!$A$4:$D$2002,4,FALSE),"")</f>
        <v/>
      </c>
      <c r="F157" t="str">
        <f>+IFERROR(VLOOKUP(F58,IN_Zugliste!$A$4:$D$2002,4,FALSE),"")</f>
        <v/>
      </c>
      <c r="G157" t="str">
        <f>+IFERROR(VLOOKUP(G58,IN_Zugliste!$A$4:$D$2002,4,FALSE),"")</f>
        <v/>
      </c>
      <c r="H157" t="str">
        <f>+IFERROR(VLOOKUP(H58,IN_Zugliste!$A$4:$D$2002,4,FALSE),"")</f>
        <v/>
      </c>
      <c r="I157" t="str">
        <f>+IFERROR(VLOOKUP(I58,IN_Zugliste!$A$4:$D$2002,4,FALSE),"")</f>
        <v/>
      </c>
      <c r="J157" t="str">
        <f>+IFERROR(VLOOKUP(J58,IN_Zugliste!$A$4:$D$2002,4,FALSE),"")</f>
        <v/>
      </c>
      <c r="K157" t="str">
        <f>+IFERROR(VLOOKUP(K58,IN_Zugliste!$A$4:$D$2002,4,FALSE),"")</f>
        <v/>
      </c>
      <c r="L157" t="str">
        <f>+IFERROR(VLOOKUP(L58,IN_Zugliste!$A$4:$D$2002,4,FALSE),"")</f>
        <v/>
      </c>
      <c r="M157" t="str">
        <f>+IFERROR(VLOOKUP(M58,IN_Zugliste!$A$4:$D$2002,4,FALSE),"")</f>
        <v/>
      </c>
      <c r="N157" t="str">
        <f>+IFERROR(VLOOKUP(N58,IN_Zugliste!$A$4:$D$2002,4,FALSE),"")</f>
        <v/>
      </c>
      <c r="O157" t="str">
        <f>+IFERROR(VLOOKUP(O58,IN_Zugliste!$A$4:$D$2002,4,FALSE),"")</f>
        <v/>
      </c>
      <c r="P157" t="str">
        <f>+IFERROR(VLOOKUP(P58,IN_Zugliste!$A$4:$D$2002,4,FALSE),"")</f>
        <v/>
      </c>
      <c r="Q157" t="str">
        <f>+IFERROR(VLOOKUP(Q58,IN_Zugliste!$A$4:$D$2002,4,FALSE),"")</f>
        <v/>
      </c>
      <c r="R157" t="str">
        <f>+IFERROR(VLOOKUP(R58,IN_Zugliste!$A$4:$D$2002,4,FALSE),"")</f>
        <v/>
      </c>
      <c r="S157" t="str">
        <f>+IFERROR(VLOOKUP(S58,IN_Zugliste!$A$4:$D$2002,4,FALSE),"")</f>
        <v/>
      </c>
      <c r="T157" t="str">
        <f>+IFERROR(VLOOKUP(T58,IN_Zugliste!$A$4:$D$2002,4,FALSE),"")</f>
        <v/>
      </c>
      <c r="U157" t="str">
        <f>+IFERROR(VLOOKUP(U58,IN_Zugliste!$A$4:$D$2002,4,FALSE),"")</f>
        <v/>
      </c>
      <c r="V157" t="str">
        <f>+IFERROR(VLOOKUP(V58,IN_Zugliste!$A$4:$D$2002,4,FALSE),"")</f>
        <v/>
      </c>
      <c r="W157" t="str">
        <f>+IFERROR(VLOOKUP(W58,IN_Zugliste!$A$4:$D$2002,4,FALSE),"")</f>
        <v/>
      </c>
      <c r="X157" t="str">
        <f>+IFERROR(VLOOKUP(X58,IN_Zugliste!$A$4:$D$2002,4,FALSE),"")</f>
        <v/>
      </c>
      <c r="Y157" t="str">
        <f>+IFERROR(VLOOKUP(Y58,IN_Zugliste!$A$4:$D$2002,4,FALSE),"")</f>
        <v/>
      </c>
      <c r="Z157" t="str">
        <f>+IFERROR(VLOOKUP(Z58,IN_Zugliste!$A$4:$D$2002,4,FALSE),"")</f>
        <v/>
      </c>
      <c r="AA157" t="str">
        <f>+IFERROR(VLOOKUP(AA58,IN_Zugliste!$A$4:$D$2002,4,FALSE),"")</f>
        <v/>
      </c>
      <c r="AB157" t="str">
        <f>+IFERROR(VLOOKUP(AB58,IN_Zugliste!$A$4:$D$2002,4,FALSE),"")</f>
        <v/>
      </c>
      <c r="AC157" t="str">
        <f>+IFERROR(VLOOKUP(AC58,IN_Zugliste!$A$4:$D$2002,4,FALSE),"")</f>
        <v/>
      </c>
      <c r="AD157" t="str">
        <f>+IFERROR(VLOOKUP(AD58,IN_Zugliste!$A$4:$D$2002,4,FALSE),"")</f>
        <v/>
      </c>
      <c r="AE157" t="str">
        <f>+IFERROR(VLOOKUP(AE58,IN_Zugliste!$A$4:$D$2002,4,FALSE),"")</f>
        <v/>
      </c>
      <c r="AF157" t="str">
        <f>+IFERROR(VLOOKUP(AF58,IN_Zugliste!$A$4:$D$2002,4,FALSE),"")</f>
        <v/>
      </c>
      <c r="AG157" t="str">
        <f>+IFERROR(VLOOKUP(AG58,IN_Zugliste!$A$4:$D$2002,4,FALSE),"")</f>
        <v/>
      </c>
      <c r="AH157" t="str">
        <f>+IFERROR(VLOOKUP(AH58,IN_Zugliste!$A$4:$D$2002,4,FALSE),"")</f>
        <v/>
      </c>
      <c r="AI157" t="str">
        <f>+IFERROR(VLOOKUP(AI58,IN_Zugliste!$A$4:$D$2002,4,FALSE),"")</f>
        <v/>
      </c>
      <c r="AJ157" t="str">
        <f>+IFERROR(VLOOKUP(AJ58,IN_Zugliste!$A$4:$D$2002,4,FALSE),"")</f>
        <v/>
      </c>
      <c r="AK157" t="str">
        <f>+IFERROR(VLOOKUP(AK58,IN_Zugliste!$A$4:$D$2002,4,FALSE),"")</f>
        <v/>
      </c>
      <c r="AL157" t="str">
        <f>+IFERROR(VLOOKUP(AL58,IN_Zugliste!$A$4:$D$2002,4,FALSE),"")</f>
        <v/>
      </c>
      <c r="AM157" t="str">
        <f>+IFERROR(VLOOKUP(AM58,IN_Zugliste!$A$4:$D$2002,4,FALSE),"")</f>
        <v/>
      </c>
      <c r="AN157" t="str">
        <f>+IFERROR(VLOOKUP(AN58,IN_Zugliste!$A$4:$D$2002,4,FALSE),"")</f>
        <v/>
      </c>
      <c r="AO157" t="str">
        <f>+IFERROR(VLOOKUP(AO58,IN_Zugliste!$A$4:$D$2002,4,FALSE),"")</f>
        <v/>
      </c>
      <c r="AP157" t="str">
        <f>+IFERROR(VLOOKUP(AP58,IN_Zugliste!$A$4:$D$2002,4,FALSE),"")</f>
        <v/>
      </c>
      <c r="AQ157" t="str">
        <f>+IFERROR(VLOOKUP(AQ58,IN_Zugliste!$A$4:$D$2002,4,FALSE),"")</f>
        <v/>
      </c>
      <c r="AR157" t="str">
        <f>+IFERROR(VLOOKUP(AR58,IN_Zugliste!$A$4:$D$2002,4,FALSE),"")</f>
        <v/>
      </c>
      <c r="AS157" t="str">
        <f>+IFERROR(VLOOKUP(AS58,IN_Zugliste!$A$4:$D$2002,4,FALSE),"")</f>
        <v/>
      </c>
      <c r="AT157" t="str">
        <f>+IFERROR(VLOOKUP(AT58,IN_Zugliste!$A$4:$D$2002,4,FALSE),"")</f>
        <v/>
      </c>
      <c r="AU157" t="str">
        <f>+IFERROR(VLOOKUP(AU58,IN_Zugliste!$A$4:$D$2002,4,FALSE),"")</f>
        <v/>
      </c>
      <c r="AV157" t="str">
        <f>+IFERROR(VLOOKUP(AV58,IN_Zugliste!$A$4:$D$2002,4,FALSE),"")</f>
        <v/>
      </c>
      <c r="AW157" t="str">
        <f>+IFERROR(VLOOKUP(AW58,IN_Zugliste!$A$4:$D$2002,4,FALSE),"")</f>
        <v/>
      </c>
      <c r="AX157" t="str">
        <f>+IFERROR(VLOOKUP(AX58,IN_Zugliste!$A$4:$D$2002,4,FALSE),"")</f>
        <v/>
      </c>
      <c r="AY157" t="str">
        <f>+IFERROR(VLOOKUP(AY58,IN_Zugliste!$A$4:$D$2002,4,FALSE),"")</f>
        <v/>
      </c>
      <c r="AZ157" t="str">
        <f>+IFERROR(VLOOKUP(AZ58,IN_Zugliste!$A$4:$D$2002,4,FALSE),"")</f>
        <v/>
      </c>
      <c r="BA157" t="str">
        <f>+IFERROR(VLOOKUP(BA58,IN_Zugliste!$A$4:$D$2002,4,FALSE),"")</f>
        <v/>
      </c>
      <c r="BB157" t="str">
        <f>+IFERROR(VLOOKUP(BB58,IN_Zugliste!$A$4:$D$2002,4,FALSE),"")</f>
        <v/>
      </c>
      <c r="BC157" t="str">
        <f>+IFERROR(VLOOKUP(BC58,IN_Zugliste!$A$4:$D$2002,4,FALSE),"")</f>
        <v/>
      </c>
      <c r="BD157" t="str">
        <f>+IFERROR(VLOOKUP(BD58,IN_Zugliste!$A$4:$D$2002,4,FALSE),"")</f>
        <v/>
      </c>
      <c r="BE157" t="str">
        <f>+IFERROR(VLOOKUP(BE58,IN_Zugliste!$A$4:$D$2002,4,FALSE),"")</f>
        <v/>
      </c>
      <c r="BF157" t="str">
        <f>+IFERROR(VLOOKUP(BF58,IN_Zugliste!$A$4:$D$2002,4,FALSE),"")</f>
        <v/>
      </c>
      <c r="BG157" t="str">
        <f>+IFERROR(VLOOKUP(BG58,IN_Zugliste!$A$4:$D$2002,4,FALSE),"")</f>
        <v/>
      </c>
      <c r="BH157" t="str">
        <f>+IFERROR(VLOOKUP(BH58,IN_Zugliste!$A$4:$D$2002,4,FALSE),"")</f>
        <v/>
      </c>
      <c r="BI157" t="str">
        <f>+IFERROR(VLOOKUP(BI58,IN_Zugliste!$A$4:$D$2002,4,FALSE),"")</f>
        <v/>
      </c>
      <c r="BJ157" t="str">
        <f>+IFERROR(VLOOKUP(BJ58,IN_Zugliste!$A$4:$D$2002,4,FALSE),"")</f>
        <v/>
      </c>
      <c r="BK157" t="str">
        <f>+IFERROR(VLOOKUP(BK58,IN_Zugliste!$A$4:$D$2002,4,FALSE),"")</f>
        <v/>
      </c>
      <c r="BL157" t="str">
        <f>+IFERROR(VLOOKUP(BL58,IN_Zugliste!$A$4:$D$2002,4,FALSE),"")</f>
        <v/>
      </c>
      <c r="BM157" t="str">
        <f>+IFERROR(VLOOKUP(BM58,IN_Zugliste!$A$4:$D$2002,4,FALSE),"")</f>
        <v/>
      </c>
      <c r="BN157" t="str">
        <f>+IFERROR(VLOOKUP(BN58,IN_Zugliste!$A$4:$D$2002,4,FALSE),"")</f>
        <v/>
      </c>
      <c r="BO157" t="str">
        <f>+IFERROR(VLOOKUP(BO58,IN_Zugliste!$A$4:$D$2002,4,FALSE),"")</f>
        <v/>
      </c>
      <c r="BP157" t="str">
        <f>+IFERROR(VLOOKUP(BP58,IN_Zugliste!$A$4:$D$2002,4,FALSE),"")</f>
        <v/>
      </c>
      <c r="BQ157" t="str">
        <f>+IFERROR(VLOOKUP(BQ58,IN_Zugliste!$A$4:$D$2002,4,FALSE),"")</f>
        <v/>
      </c>
      <c r="BR157" t="str">
        <f>+IFERROR(VLOOKUP(BR58,IN_Zugliste!$A$4:$D$2002,4,FALSE),"")</f>
        <v/>
      </c>
      <c r="BS157" t="str">
        <f>+IFERROR(VLOOKUP(BS58,IN_Zugliste!$A$4:$D$2002,4,FALSE),"")</f>
        <v/>
      </c>
      <c r="BT157" t="str">
        <f>+IFERROR(VLOOKUP(BT58,IN_Zugliste!$A$4:$D$2002,4,FALSE),"")</f>
        <v/>
      </c>
      <c r="BU157" t="str">
        <f>+IFERROR(VLOOKUP(BU58,IN_Zugliste!$A$4:$D$2002,4,FALSE),"")</f>
        <v/>
      </c>
      <c r="BV157" t="str">
        <f>+IFERROR(VLOOKUP(BV58,IN_Zugliste!$A$4:$D$2002,4,FALSE),"")</f>
        <v/>
      </c>
      <c r="BW157" t="str">
        <f>+IFERROR(VLOOKUP(BW58,IN_Zugliste!$A$4:$D$2002,4,FALSE),"")</f>
        <v/>
      </c>
      <c r="BX157" t="str">
        <f>+IFERROR(VLOOKUP(BX58,IN_Zugliste!$A$4:$D$2002,4,FALSE),"")</f>
        <v/>
      </c>
      <c r="BY157" t="str">
        <f>+IFERROR(VLOOKUP(BY58,IN_Zugliste!$A$4:$D$2002,4,FALSE),"")</f>
        <v/>
      </c>
      <c r="BZ157" t="str">
        <f>+IFERROR(VLOOKUP(BZ58,IN_Zugliste!$A$4:$D$2002,4,FALSE),"")</f>
        <v/>
      </c>
      <c r="CA157" t="str">
        <f>+IFERROR(VLOOKUP(CA58,IN_Zugliste!$A$4:$D$2002,4,FALSE),"")</f>
        <v/>
      </c>
      <c r="CB157" t="str">
        <f>+IFERROR(VLOOKUP(CB58,IN_Zugliste!$A$4:$D$2002,4,FALSE),"")</f>
        <v/>
      </c>
      <c r="CC157" t="str">
        <f>+IFERROR(VLOOKUP(CC58,IN_Zugliste!$A$4:$D$2002,4,FALSE),"")</f>
        <v/>
      </c>
      <c r="CD157" t="str">
        <f>+IFERROR(VLOOKUP(CD58,IN_Zugliste!$A$4:$D$2002,4,FALSE),"")</f>
        <v/>
      </c>
      <c r="CE157" t="str">
        <f>+IFERROR(VLOOKUP(CE58,IN_Zugliste!$A$4:$D$2002,4,FALSE),"")</f>
        <v/>
      </c>
      <c r="CF157" t="str">
        <f>+IFERROR(VLOOKUP(CF58,IN_Zugliste!$A$4:$D$2002,4,FALSE),"")</f>
        <v/>
      </c>
      <c r="CG157" t="str">
        <f>+IFERROR(VLOOKUP(CG58,IN_Zugliste!$A$4:$D$2002,4,FALSE),"")</f>
        <v/>
      </c>
      <c r="CH157" t="str">
        <f>+IFERROR(VLOOKUP(CH58,IN_Zugliste!$A$4:$D$2002,4,FALSE),"")</f>
        <v/>
      </c>
      <c r="CI157" t="str">
        <f>+IFERROR(VLOOKUP(CI58,IN_Zugliste!$A$4:$D$2002,4,FALSE),"")</f>
        <v/>
      </c>
      <c r="CJ157" t="str">
        <f>+IFERROR(VLOOKUP(CJ58,IN_Zugliste!$A$4:$D$2002,4,FALSE),"")</f>
        <v/>
      </c>
      <c r="CK157" t="str">
        <f>+IFERROR(VLOOKUP(CK58,IN_Zugliste!$A$4:$D$2002,4,FALSE),"")</f>
        <v/>
      </c>
      <c r="CL157" t="str">
        <f>+IFERROR(VLOOKUP(CL58,IN_Zugliste!$A$4:$D$2002,4,FALSE),"")</f>
        <v/>
      </c>
      <c r="CM157" t="str">
        <f>+IFERROR(VLOOKUP(CM58,IN_Zugliste!$A$4:$D$2002,4,FALSE),"")</f>
        <v/>
      </c>
      <c r="CN157" t="str">
        <f>+IFERROR(VLOOKUP(CN58,IN_Zugliste!$A$4:$D$2002,4,FALSE),"")</f>
        <v/>
      </c>
      <c r="CO157" t="str">
        <f>+IFERROR(VLOOKUP(CO58,IN_Zugliste!$A$4:$D$2002,4,FALSE),"")</f>
        <v/>
      </c>
      <c r="CP157" t="str">
        <f>+IFERROR(VLOOKUP(CP58,IN_Zugliste!$A$4:$D$2002,4,FALSE),"")</f>
        <v/>
      </c>
      <c r="CQ157" t="str">
        <f>+IFERROR(VLOOKUP(CQ58,IN_Zugliste!$A$4:$D$2002,4,FALSE),"")</f>
        <v/>
      </c>
      <c r="CR157" t="str">
        <f>+IFERROR(VLOOKUP(CR58,IN_Zugliste!$A$4:$D$2002,4,FALSE),"")</f>
        <v/>
      </c>
      <c r="CS157" t="str">
        <f>+IFERROR(VLOOKUP(CS58,IN_Zugliste!$A$4:$D$2002,4,FALSE),"")</f>
        <v/>
      </c>
      <c r="CT157" t="str">
        <f>+IFERROR(VLOOKUP(CT58,IN_Zugliste!$A$4:$D$2002,4,FALSE),"")</f>
        <v/>
      </c>
      <c r="CU157" t="str">
        <f>+IFERROR(VLOOKUP(CU58,IN_Zugliste!$A$4:$D$2002,4,FALSE),"")</f>
        <v/>
      </c>
      <c r="CV157" t="str">
        <f>+IFERROR(VLOOKUP(CV58,IN_Zugliste!$A$4:$D$2002,4,FALSE),"")</f>
        <v/>
      </c>
      <c r="CW157" t="str">
        <f>+IFERROR(VLOOKUP(CW58,IN_Zugliste!$A$4:$D$2002,4,FALSE),"")</f>
        <v/>
      </c>
      <c r="CX157" t="str">
        <f>+IFERROR(VLOOKUP(CX58,IN_Zugliste!$A$4:$D$2002,4,FALSE),"")</f>
        <v/>
      </c>
      <c r="CY157" t="str">
        <f>+IFERROR(VLOOKUP(CY58,IN_Zugliste!$A$4:$D$2002,4,FALSE),"")</f>
        <v/>
      </c>
      <c r="CZ157" t="str">
        <f>+IFERROR(VLOOKUP(CZ58,IN_Zugliste!$A$4:$D$2002,4,FALSE),"")</f>
        <v/>
      </c>
      <c r="DA157" t="str">
        <f>+IFERROR(VLOOKUP(DA58,IN_Zugliste!$A$4:$D$2002,4,FALSE),"")</f>
        <v/>
      </c>
      <c r="DB157" t="str">
        <f>+IFERROR(VLOOKUP(DB58,IN_Zugliste!$A$4:$D$2002,4,FALSE),"")</f>
        <v/>
      </c>
      <c r="DC157" t="str">
        <f>+IFERROR(VLOOKUP(DC58,IN_Zugliste!$A$4:$D$2002,4,FALSE),"")</f>
        <v/>
      </c>
      <c r="DD157" t="str">
        <f>+IFERROR(VLOOKUP(DD58,IN_Zugliste!$A$4:$D$2002,4,FALSE),"")</f>
        <v/>
      </c>
      <c r="DE157" t="str">
        <f>+IFERROR(VLOOKUP(DE58,IN_Zugliste!$A$4:$D$2002,4,FALSE),"")</f>
        <v/>
      </c>
      <c r="DF157" t="str">
        <f>+IFERROR(VLOOKUP(DF58,IN_Zugliste!$A$4:$D$2002,4,FALSE),"")</f>
        <v/>
      </c>
      <c r="DG157" t="str">
        <f>+IFERROR(VLOOKUP(DG58,IN_Zugliste!$A$4:$D$2002,4,FALSE),"")</f>
        <v/>
      </c>
      <c r="DH157" t="str">
        <f>+IFERROR(VLOOKUP(DH58,IN_Zugliste!$A$4:$D$2002,4,FALSE),"")</f>
        <v/>
      </c>
      <c r="DI157" t="str">
        <f>+IFERROR(VLOOKUP(DI58,IN_Zugliste!$A$4:$D$2002,4,FALSE),"")</f>
        <v/>
      </c>
      <c r="DJ157" t="str">
        <f>+IFERROR(VLOOKUP(DJ58,IN_Zugliste!$A$4:$D$2002,4,FALSE),"")</f>
        <v/>
      </c>
      <c r="DK157" t="str">
        <f>+IFERROR(VLOOKUP(DK58,IN_Zugliste!$A$4:$D$2002,4,FALSE),"")</f>
        <v/>
      </c>
      <c r="DL157" t="str">
        <f>+IFERROR(VLOOKUP(DL58,IN_Zugliste!$A$4:$D$2002,4,FALSE),"")</f>
        <v/>
      </c>
      <c r="DM157" t="str">
        <f>+IFERROR(VLOOKUP(DM58,IN_Zugliste!$A$4:$D$2002,4,FALSE),"")</f>
        <v/>
      </c>
      <c r="DN157" t="str">
        <f>+IFERROR(VLOOKUP(DN58,IN_Zugliste!$A$4:$D$2002,4,FALSE),"")</f>
        <v/>
      </c>
      <c r="DO157" t="str">
        <f>+IFERROR(VLOOKUP(DO58,IN_Zugliste!$A$4:$D$2002,4,FALSE),"")</f>
        <v/>
      </c>
      <c r="DP157" t="str">
        <f>+IFERROR(VLOOKUP(DP58,IN_Zugliste!$A$4:$D$2002,4,FALSE),"")</f>
        <v/>
      </c>
      <c r="DQ157" t="str">
        <f>+IFERROR(VLOOKUP(DQ58,IN_Zugliste!$A$4:$D$2002,4,FALSE),"")</f>
        <v/>
      </c>
      <c r="DR157" t="str">
        <f>+IFERROR(VLOOKUP(DR58,IN_Zugliste!$A$4:$D$2002,4,FALSE),"")</f>
        <v/>
      </c>
      <c r="DS157" t="str">
        <f>+IFERROR(VLOOKUP(DS58,IN_Zugliste!$A$4:$D$2002,4,FALSE),"")</f>
        <v/>
      </c>
      <c r="DT157" t="str">
        <f>+IFERROR(VLOOKUP(DT58,IN_Zugliste!$A$4:$D$2002,4,FALSE),"")</f>
        <v/>
      </c>
      <c r="DU157" t="str">
        <f>+IFERROR(VLOOKUP(DU58,IN_Zugliste!$A$4:$D$2002,4,FALSE),"")</f>
        <v/>
      </c>
      <c r="DV157" t="str">
        <f>+IFERROR(VLOOKUP(DV58,IN_Zugliste!$A$4:$D$2002,4,FALSE),"")</f>
        <v/>
      </c>
      <c r="DW157" t="str">
        <f>+IFERROR(VLOOKUP(DW58,IN_Zugliste!$A$4:$D$2002,4,FALSE),"")</f>
        <v/>
      </c>
      <c r="DX157" t="str">
        <f>+IFERROR(VLOOKUP(DX58,IN_Zugliste!$A$4:$D$2002,4,FALSE),"")</f>
        <v/>
      </c>
      <c r="DY157" t="str">
        <f>+IFERROR(VLOOKUP(DY58,IN_Zugliste!$A$4:$D$2002,4,FALSE),"")</f>
        <v/>
      </c>
      <c r="DZ157" t="str">
        <f>+IFERROR(VLOOKUP(DZ58,IN_Zugliste!$A$4:$D$2002,4,FALSE),"")</f>
        <v/>
      </c>
      <c r="EA157" t="str">
        <f>+IFERROR(VLOOKUP(EA58,IN_Zugliste!$A$4:$D$2002,4,FALSE),"")</f>
        <v/>
      </c>
      <c r="EB157" t="str">
        <f>+IFERROR(VLOOKUP(EB58,IN_Zugliste!$A$4:$D$2002,4,FALSE),"")</f>
        <v/>
      </c>
      <c r="EC157" t="str">
        <f>+IFERROR(VLOOKUP(EC58,IN_Zugliste!$A$4:$D$2002,4,FALSE),"")</f>
        <v/>
      </c>
      <c r="ED157" t="str">
        <f>+IFERROR(VLOOKUP(ED58,IN_Zugliste!$A$4:$D$2002,4,FALSE),"")</f>
        <v/>
      </c>
      <c r="EE157" t="str">
        <f>+IFERROR(VLOOKUP(EE58,IN_Zugliste!$A$4:$D$2002,4,FALSE),"")</f>
        <v/>
      </c>
      <c r="EF157" t="str">
        <f>+IFERROR(VLOOKUP(EF58,IN_Zugliste!$A$4:$D$2002,4,FALSE),"")</f>
        <v/>
      </c>
      <c r="EG157" t="str">
        <f>+IFERROR(VLOOKUP(EG58,IN_Zugliste!$A$4:$D$2002,4,FALSE),"")</f>
        <v/>
      </c>
      <c r="EH157" t="str">
        <f>+IFERROR(VLOOKUP(EH58,IN_Zugliste!$A$4:$D$2002,4,FALSE),"")</f>
        <v/>
      </c>
      <c r="EI157" t="str">
        <f>+IFERROR(VLOOKUP(EI58,IN_Zugliste!$A$4:$D$2002,4,FALSE),"")</f>
        <v/>
      </c>
      <c r="EJ157" t="str">
        <f>+IFERROR(VLOOKUP(EJ58,IN_Zugliste!$A$4:$D$2002,4,FALSE),"")</f>
        <v/>
      </c>
      <c r="EK157" t="str">
        <f>+IFERROR(VLOOKUP(EK58,IN_Zugliste!$A$4:$D$2002,4,FALSE),"")</f>
        <v/>
      </c>
      <c r="EL157" t="str">
        <f>+IFERROR(VLOOKUP(EL58,IN_Zugliste!$A$4:$D$2002,4,FALSE),"")</f>
        <v/>
      </c>
      <c r="EM157" t="str">
        <f>+IFERROR(VLOOKUP(EM58,IN_Zugliste!$A$4:$D$2002,4,FALSE),"")</f>
        <v/>
      </c>
      <c r="EN157" t="str">
        <f>+IFERROR(VLOOKUP(EN58,IN_Zugliste!$A$4:$D$2002,4,FALSE),"")</f>
        <v/>
      </c>
      <c r="EO157" t="str">
        <f>+IFERROR(VLOOKUP(EO58,IN_Zugliste!$A$4:$D$2002,4,FALSE),"")</f>
        <v/>
      </c>
      <c r="EP157" t="str">
        <f>+IFERROR(VLOOKUP(EP58,IN_Zugliste!$A$4:$D$2002,4,FALSE),"")</f>
        <v/>
      </c>
      <c r="EQ157" t="str">
        <f>+IFERROR(VLOOKUP(EQ58,IN_Zugliste!$A$4:$D$2002,4,FALSE),"")</f>
        <v/>
      </c>
      <c r="ER157" t="str">
        <f>+IFERROR(VLOOKUP(ER58,IN_Zugliste!$A$4:$D$2002,4,FALSE),"")</f>
        <v/>
      </c>
      <c r="ES157" t="str">
        <f>+IFERROR(VLOOKUP(ES58,IN_Zugliste!$A$4:$D$2002,4,FALSE),"")</f>
        <v/>
      </c>
      <c r="ET157" t="str">
        <f>+IFERROR(VLOOKUP(ET58,IN_Zugliste!$A$4:$D$2002,4,FALSE),"")</f>
        <v/>
      </c>
      <c r="EU157" t="str">
        <f>+IFERROR(VLOOKUP(EU58,IN_Zugliste!$A$4:$D$2002,4,FALSE),"")</f>
        <v/>
      </c>
      <c r="EV157" t="str">
        <f>+IFERROR(VLOOKUP(EV58,IN_Zugliste!$A$4:$D$2002,4,FALSE),"")</f>
        <v/>
      </c>
      <c r="EW157" t="str">
        <f>+IFERROR(VLOOKUP(EW58,IN_Zugliste!$A$4:$D$2002,4,FALSE),"")</f>
        <v/>
      </c>
      <c r="EX157" t="str">
        <f>+IFERROR(VLOOKUP(EX58,IN_Zugliste!$A$4:$D$2002,4,FALSE),"")</f>
        <v/>
      </c>
      <c r="EY157" t="str">
        <f>+IFERROR(VLOOKUP(EY58,IN_Zugliste!$A$4:$D$2002,4,FALSE),"")</f>
        <v/>
      </c>
      <c r="EZ157" t="str">
        <f>+IFERROR(VLOOKUP(EZ58,IN_Zugliste!$A$4:$D$2002,4,FALSE),"")</f>
        <v/>
      </c>
      <c r="FA157" t="str">
        <f>+IFERROR(VLOOKUP(FA58,IN_Zugliste!$A$4:$D$2002,4,FALSE),"")</f>
        <v/>
      </c>
      <c r="FB157" t="str">
        <f>+IFERROR(VLOOKUP(FB58,IN_Zugliste!$A$4:$D$2002,4,FALSE),"")</f>
        <v/>
      </c>
      <c r="FC157" t="str">
        <f>+IFERROR(VLOOKUP(FC58,IN_Zugliste!$A$4:$D$2002,4,FALSE),"")</f>
        <v/>
      </c>
      <c r="FD157" t="str">
        <f>+IFERROR(VLOOKUP(FD58,IN_Zugliste!$A$4:$D$2002,4,FALSE),"")</f>
        <v/>
      </c>
      <c r="FE157" t="str">
        <f>+IFERROR(VLOOKUP(FE58,IN_Zugliste!$A$4:$D$2002,4,FALSE),"")</f>
        <v/>
      </c>
      <c r="FF157" t="str">
        <f>+IFERROR(VLOOKUP(FF58,IN_Zugliste!$A$4:$D$2002,4,FALSE),"")</f>
        <v/>
      </c>
      <c r="FG157" t="str">
        <f>+IFERROR(VLOOKUP(FG58,IN_Zugliste!$A$4:$D$2002,4,FALSE),"")</f>
        <v/>
      </c>
      <c r="FH157" t="str">
        <f>+IFERROR(VLOOKUP(FH58,IN_Zugliste!$A$4:$D$2002,4,FALSE),"")</f>
        <v/>
      </c>
      <c r="FI157" t="str">
        <f>+IFERROR(VLOOKUP(FI58,IN_Zugliste!$A$4:$D$2002,4,FALSE),"")</f>
        <v/>
      </c>
      <c r="FJ157" t="str">
        <f>+IFERROR(VLOOKUP(FJ58,IN_Zugliste!$A$4:$D$2002,4,FALSE),"")</f>
        <v/>
      </c>
      <c r="FK157" t="str">
        <f>+IFERROR(VLOOKUP(FK58,IN_Zugliste!$A$4:$D$2002,4,FALSE),"")</f>
        <v/>
      </c>
      <c r="FL157" t="str">
        <f>+IFERROR(VLOOKUP(FL58,IN_Zugliste!$A$4:$D$2002,4,FALSE),"")</f>
        <v/>
      </c>
      <c r="FM157" t="str">
        <f>+IFERROR(VLOOKUP(FM58,IN_Zugliste!$A$4:$C$602,4,FALSE),"")</f>
        <v/>
      </c>
      <c r="FN157" t="str">
        <f>+IFERROR(VLOOKUP(FN58,IN_Zugliste!$A$4:$C$602,4,FALSE),"")</f>
        <v/>
      </c>
      <c r="FO157" t="str">
        <f>+IFERROR(VLOOKUP(FO58,IN_Zugliste!$A$4:$C$602,4,FALSE),"")</f>
        <v/>
      </c>
      <c r="FP157" t="str">
        <f>+IFERROR(VLOOKUP(FP58,IN_Zugliste!$A$4:$C$602,4,FALSE),"")</f>
        <v/>
      </c>
      <c r="FQ157" t="str">
        <f>+IFERROR(VLOOKUP(FQ58,IN_Zugliste!$A$4:$C$602,4,FALSE),"")</f>
        <v/>
      </c>
      <c r="FR157" t="str">
        <f>+IFERROR(VLOOKUP(FR58,IN_Zugliste!$A$4:$C$602,4,FALSE),"")</f>
        <v/>
      </c>
      <c r="FS157" t="str">
        <f>+IFERROR(VLOOKUP(FS58,IN_Zugliste!$A$4:$C$602,4,FALSE),"")</f>
        <v/>
      </c>
      <c r="FT157" t="str">
        <f>+IFERROR(VLOOKUP(FT58,IN_Zugliste!$A$4:$C$602,4,FALSE),"")</f>
        <v/>
      </c>
      <c r="FU157" t="str">
        <f>+IFERROR(VLOOKUP(FU58,IN_Zugliste!$A$4:$C$602,4,FALSE),"")</f>
        <v/>
      </c>
      <c r="FV157" t="str">
        <f>+IFERROR(VLOOKUP(FV58,IN_Zugliste!$A$4:$C$602,4,FALSE),"")</f>
        <v/>
      </c>
      <c r="FW157" t="str">
        <f>+IFERROR(VLOOKUP(FW58,IN_Zugliste!$A$4:$C$602,4,FALSE),"")</f>
        <v/>
      </c>
      <c r="FX157" t="str">
        <f>+IFERROR(VLOOKUP(FX58,IN_Zugliste!$A$4:$C$602,4,FALSE),"")</f>
        <v/>
      </c>
      <c r="FY157" t="str">
        <f>+IFERROR(VLOOKUP(FY58,IN_Zugliste!$A$4:$C$602,4,FALSE),"")</f>
        <v/>
      </c>
      <c r="FZ157" t="str">
        <f>+IFERROR(VLOOKUP(FZ58,IN_Zugliste!$A$4:$C$602,4,FALSE),"")</f>
        <v/>
      </c>
      <c r="GA157" t="str">
        <f>+IFERROR(VLOOKUP(GA58,IN_Zugliste!$A$4:$C$602,4,FALSE),"")</f>
        <v/>
      </c>
      <c r="GB157" t="str">
        <f>+IFERROR(VLOOKUP(GB58,IN_Zugliste!$A$4:$C$602,4,FALSE),"")</f>
        <v/>
      </c>
      <c r="GC157" t="str">
        <f>+IFERROR(VLOOKUP(GC58,IN_Zugliste!$A$4:$C$602,4,FALSE),"")</f>
        <v/>
      </c>
      <c r="GD157" t="str">
        <f>+IFERROR(VLOOKUP(GD58,IN_Zugliste!$A$4:$C$602,4,FALSE),"")</f>
        <v/>
      </c>
      <c r="GE157" t="str">
        <f>+IFERROR(VLOOKUP(GE58,IN_Zugliste!$A$4:$C$602,4,FALSE),"")</f>
        <v/>
      </c>
      <c r="GF157" t="str">
        <f>+IFERROR(VLOOKUP(GF58,IN_Zugliste!$A$4:$C$602,4,FALSE),"")</f>
        <v/>
      </c>
      <c r="GG157" t="str">
        <f>+IFERROR(VLOOKUP(GG58,IN_Zugliste!$A$4:$C$602,4,FALSE),"")</f>
        <v/>
      </c>
      <c r="GH157" t="str">
        <f>+IFERROR(VLOOKUP(GH58,IN_Zugliste!$A$4:$C$602,4,FALSE),"")</f>
        <v/>
      </c>
      <c r="GI157" t="str">
        <f>+IFERROR(VLOOKUP(GI58,IN_Zugliste!$A$4:$C$602,4,FALSE),"")</f>
        <v/>
      </c>
      <c r="GJ157" t="str">
        <f>+IFERROR(VLOOKUP(GJ58,IN_Zugliste!$A$4:$C$602,4,FALSE),"")</f>
        <v/>
      </c>
      <c r="GK157" t="str">
        <f>+IFERROR(VLOOKUP(GK58,IN_Zugliste!$A$4:$C$602,4,FALSE),"")</f>
        <v/>
      </c>
      <c r="GL157" t="str">
        <f>+IFERROR(VLOOKUP(GL58,IN_Zugliste!$A$4:$C$602,4,FALSE),"")</f>
        <v/>
      </c>
      <c r="GM157" t="str">
        <f>+IFERROR(VLOOKUP(GM58,IN_Zugliste!$A$4:$C$602,4,FALSE),"")</f>
        <v/>
      </c>
      <c r="GN157" t="str">
        <f>+IFERROR(VLOOKUP(GN58,IN_Zugliste!$A$4:$C$602,4,FALSE),"")</f>
        <v/>
      </c>
      <c r="GO157" t="str">
        <f>+IFERROR(VLOOKUP(GO58,IN_Zugliste!$A$4:$C$602,4,FALSE),"")</f>
        <v/>
      </c>
      <c r="GP157" t="str">
        <f>+IFERROR(VLOOKUP(GP58,IN_Zugliste!$A$4:$C$602,4,FALSE),"")</f>
        <v/>
      </c>
      <c r="GQ157" t="str">
        <f>+IFERROR(VLOOKUP(GQ58,IN_Zugliste!$A$4:$C$602,4,FALSE),"")</f>
        <v/>
      </c>
      <c r="GR157" t="str">
        <f>+IFERROR(VLOOKUP(GR58,IN_Zugliste!$A$4:$C$602,4,FALSE),"")</f>
        <v/>
      </c>
      <c r="GS157" t="str">
        <f>+IFERROR(VLOOKUP(GS58,IN_Zugliste!$A$4:$C$602,4,FALSE),"")</f>
        <v/>
      </c>
      <c r="GT157" t="str">
        <f>+IFERROR(VLOOKUP(GT58,IN_Zugliste!$A$4:$C$602,4,FALSE),"")</f>
        <v/>
      </c>
      <c r="GU157" t="str">
        <f>+IFERROR(VLOOKUP(GU58,IN_Zugliste!$A$4:$C$602,4,FALSE),"")</f>
        <v/>
      </c>
      <c r="GV157" t="str">
        <f>+IFERROR(VLOOKUP(GV58,IN_Zugliste!$A$4:$C$602,4,FALSE),"")</f>
        <v/>
      </c>
      <c r="GW157" t="str">
        <f>+IFERROR(VLOOKUP(GW58,IN_Zugliste!$A$4:$C$602,4,FALSE),"")</f>
        <v/>
      </c>
      <c r="GX157" t="str">
        <f>+IFERROR(VLOOKUP(GX58,IN_Zugliste!$A$4:$C$602,4,FALSE),"")</f>
        <v/>
      </c>
      <c r="GY157" t="str">
        <f>+IFERROR(VLOOKUP(GY58,IN_Zugliste!$A$4:$C$602,4,FALSE),"")</f>
        <v/>
      </c>
      <c r="GZ157" t="str">
        <f>+IFERROR(VLOOKUP(GZ58,IN_Zugliste!$A$4:$C$602,4,FALSE),"")</f>
        <v/>
      </c>
      <c r="HA157" t="str">
        <f>+IFERROR(VLOOKUP(HA58,IN_Zugliste!$A$4:$C$602,4,FALSE),"")</f>
        <v/>
      </c>
      <c r="HB157" t="str">
        <f>+IFERROR(VLOOKUP(HB58,IN_Zugliste!$A$4:$C$602,4,FALSE),"")</f>
        <v/>
      </c>
      <c r="HC157" t="str">
        <f>+IFERROR(VLOOKUP(HC58,IN_Zugliste!$A$4:$C$602,4,FALSE),"")</f>
        <v/>
      </c>
      <c r="HD157" t="str">
        <f>+IFERROR(VLOOKUP(HD58,IN_Zugliste!$A$4:$C$602,4,FALSE),"")</f>
        <v/>
      </c>
      <c r="HE157" t="str">
        <f>+IFERROR(VLOOKUP(HE58,IN_Zugliste!$A$4:$C$602,4,FALSE),"")</f>
        <v/>
      </c>
      <c r="HF157" t="str">
        <f>+IFERROR(VLOOKUP(HF58,IN_Zugliste!$A$4:$C$602,4,FALSE),"")</f>
        <v/>
      </c>
      <c r="HG157" t="str">
        <f>+IFERROR(VLOOKUP(HG58,IN_Zugliste!$A$4:$C$602,4,FALSE),"")</f>
        <v/>
      </c>
      <c r="HH157" t="str">
        <f>+IFERROR(VLOOKUP(HH58,IN_Zugliste!$A$4:$C$602,4,FALSE),"")</f>
        <v/>
      </c>
    </row>
    <row r="158" spans="1:216" x14ac:dyDescent="0.2">
      <c r="A158" t="str">
        <f>+IFERROR(VLOOKUP(A59,IN_Zugliste!$A$4:$D$2002,4,FALSE),"")</f>
        <v/>
      </c>
      <c r="B158" t="str">
        <f>+IFERROR(VLOOKUP(B59,IN_Zugliste!$A$4:$D$2002,4,FALSE),"")</f>
        <v/>
      </c>
      <c r="C158" t="str">
        <f>+IFERROR(VLOOKUP(C59,IN_Zugliste!$A$4:$D$2002,4,FALSE),"")</f>
        <v/>
      </c>
      <c r="D158" t="str">
        <f>+IFERROR(VLOOKUP(D59,IN_Zugliste!$A$4:$D$2002,4,FALSE),"")</f>
        <v/>
      </c>
      <c r="E158" t="str">
        <f>+IFERROR(VLOOKUP(E59,IN_Zugliste!$A$4:$D$2002,4,FALSE),"")</f>
        <v/>
      </c>
      <c r="F158" t="str">
        <f>+IFERROR(VLOOKUP(F59,IN_Zugliste!$A$4:$D$2002,4,FALSE),"")</f>
        <v/>
      </c>
      <c r="G158" t="str">
        <f>+IFERROR(VLOOKUP(G59,IN_Zugliste!$A$4:$D$2002,4,FALSE),"")</f>
        <v/>
      </c>
      <c r="H158" t="str">
        <f>+IFERROR(VLOOKUP(H59,IN_Zugliste!$A$4:$D$2002,4,FALSE),"")</f>
        <v/>
      </c>
      <c r="I158" t="str">
        <f>+IFERROR(VLOOKUP(I59,IN_Zugliste!$A$4:$D$2002,4,FALSE),"")</f>
        <v/>
      </c>
      <c r="J158" t="str">
        <f>+IFERROR(VLOOKUP(J59,IN_Zugliste!$A$4:$D$2002,4,FALSE),"")</f>
        <v/>
      </c>
      <c r="K158" t="str">
        <f>+IFERROR(VLOOKUP(K59,IN_Zugliste!$A$4:$D$2002,4,FALSE),"")</f>
        <v/>
      </c>
      <c r="L158" t="str">
        <f>+IFERROR(VLOOKUP(L59,IN_Zugliste!$A$4:$D$2002,4,FALSE),"")</f>
        <v/>
      </c>
      <c r="M158" t="str">
        <f>+IFERROR(VLOOKUP(M59,IN_Zugliste!$A$4:$D$2002,4,FALSE),"")</f>
        <v/>
      </c>
      <c r="N158" t="str">
        <f>+IFERROR(VLOOKUP(N59,IN_Zugliste!$A$4:$D$2002,4,FALSE),"")</f>
        <v/>
      </c>
      <c r="O158" t="str">
        <f>+IFERROR(VLOOKUP(O59,IN_Zugliste!$A$4:$D$2002,4,FALSE),"")</f>
        <v/>
      </c>
      <c r="P158" t="str">
        <f>+IFERROR(VLOOKUP(P59,IN_Zugliste!$A$4:$D$2002,4,FALSE),"")</f>
        <v/>
      </c>
      <c r="Q158" t="str">
        <f>+IFERROR(VLOOKUP(Q59,IN_Zugliste!$A$4:$D$2002,4,FALSE),"")</f>
        <v/>
      </c>
      <c r="R158" t="str">
        <f>+IFERROR(VLOOKUP(R59,IN_Zugliste!$A$4:$D$2002,4,FALSE),"")</f>
        <v/>
      </c>
      <c r="S158" t="str">
        <f>+IFERROR(VLOOKUP(S59,IN_Zugliste!$A$4:$D$2002,4,FALSE),"")</f>
        <v/>
      </c>
      <c r="T158" t="str">
        <f>+IFERROR(VLOOKUP(T59,IN_Zugliste!$A$4:$D$2002,4,FALSE),"")</f>
        <v/>
      </c>
      <c r="U158" t="str">
        <f>+IFERROR(VLOOKUP(U59,IN_Zugliste!$A$4:$D$2002,4,FALSE),"")</f>
        <v/>
      </c>
      <c r="V158" t="str">
        <f>+IFERROR(VLOOKUP(V59,IN_Zugliste!$A$4:$D$2002,4,FALSE),"")</f>
        <v/>
      </c>
      <c r="W158" t="str">
        <f>+IFERROR(VLOOKUP(W59,IN_Zugliste!$A$4:$D$2002,4,FALSE),"")</f>
        <v/>
      </c>
      <c r="X158" t="str">
        <f>+IFERROR(VLOOKUP(X59,IN_Zugliste!$A$4:$D$2002,4,FALSE),"")</f>
        <v/>
      </c>
      <c r="Y158" t="str">
        <f>+IFERROR(VLOOKUP(Y59,IN_Zugliste!$A$4:$D$2002,4,FALSE),"")</f>
        <v/>
      </c>
      <c r="Z158" t="str">
        <f>+IFERROR(VLOOKUP(Z59,IN_Zugliste!$A$4:$D$2002,4,FALSE),"")</f>
        <v/>
      </c>
      <c r="AA158" t="str">
        <f>+IFERROR(VLOOKUP(AA59,IN_Zugliste!$A$4:$D$2002,4,FALSE),"")</f>
        <v/>
      </c>
      <c r="AB158" t="str">
        <f>+IFERROR(VLOOKUP(AB59,IN_Zugliste!$A$4:$D$2002,4,FALSE),"")</f>
        <v/>
      </c>
      <c r="AC158" t="str">
        <f>+IFERROR(VLOOKUP(AC59,IN_Zugliste!$A$4:$D$2002,4,FALSE),"")</f>
        <v/>
      </c>
      <c r="AD158" t="str">
        <f>+IFERROR(VLOOKUP(AD59,IN_Zugliste!$A$4:$D$2002,4,FALSE),"")</f>
        <v/>
      </c>
      <c r="AE158" t="str">
        <f>+IFERROR(VLOOKUP(AE59,IN_Zugliste!$A$4:$D$2002,4,FALSE),"")</f>
        <v/>
      </c>
      <c r="AF158" t="str">
        <f>+IFERROR(VLOOKUP(AF59,IN_Zugliste!$A$4:$D$2002,4,FALSE),"")</f>
        <v/>
      </c>
      <c r="AG158" t="str">
        <f>+IFERROR(VLOOKUP(AG59,IN_Zugliste!$A$4:$D$2002,4,FALSE),"")</f>
        <v/>
      </c>
      <c r="AH158" t="str">
        <f>+IFERROR(VLOOKUP(AH59,IN_Zugliste!$A$4:$D$2002,4,FALSE),"")</f>
        <v/>
      </c>
      <c r="AI158" t="str">
        <f>+IFERROR(VLOOKUP(AI59,IN_Zugliste!$A$4:$D$2002,4,FALSE),"")</f>
        <v/>
      </c>
      <c r="AJ158" t="str">
        <f>+IFERROR(VLOOKUP(AJ59,IN_Zugliste!$A$4:$D$2002,4,FALSE),"")</f>
        <v/>
      </c>
      <c r="AK158" t="str">
        <f>+IFERROR(VLOOKUP(AK59,IN_Zugliste!$A$4:$D$2002,4,FALSE),"")</f>
        <v/>
      </c>
      <c r="AL158" t="str">
        <f>+IFERROR(VLOOKUP(AL59,IN_Zugliste!$A$4:$D$2002,4,FALSE),"")</f>
        <v/>
      </c>
      <c r="AM158" t="str">
        <f>+IFERROR(VLOOKUP(AM59,IN_Zugliste!$A$4:$D$2002,4,FALSE),"")</f>
        <v/>
      </c>
      <c r="AN158" t="str">
        <f>+IFERROR(VLOOKUP(AN59,IN_Zugliste!$A$4:$D$2002,4,FALSE),"")</f>
        <v/>
      </c>
      <c r="AO158" t="str">
        <f>+IFERROR(VLOOKUP(AO59,IN_Zugliste!$A$4:$D$2002,4,FALSE),"")</f>
        <v/>
      </c>
      <c r="AP158" t="str">
        <f>+IFERROR(VLOOKUP(AP59,IN_Zugliste!$A$4:$D$2002,4,FALSE),"")</f>
        <v/>
      </c>
      <c r="AQ158" t="str">
        <f>+IFERROR(VLOOKUP(AQ59,IN_Zugliste!$A$4:$D$2002,4,FALSE),"")</f>
        <v/>
      </c>
      <c r="AR158" t="str">
        <f>+IFERROR(VLOOKUP(AR59,IN_Zugliste!$A$4:$D$2002,4,FALSE),"")</f>
        <v/>
      </c>
      <c r="AS158" t="str">
        <f>+IFERROR(VLOOKUP(AS59,IN_Zugliste!$A$4:$D$2002,4,FALSE),"")</f>
        <v/>
      </c>
      <c r="AT158" t="str">
        <f>+IFERROR(VLOOKUP(AT59,IN_Zugliste!$A$4:$D$2002,4,FALSE),"")</f>
        <v/>
      </c>
      <c r="AU158" t="str">
        <f>+IFERROR(VLOOKUP(AU59,IN_Zugliste!$A$4:$D$2002,4,FALSE),"")</f>
        <v/>
      </c>
      <c r="AV158" t="str">
        <f>+IFERROR(VLOOKUP(AV59,IN_Zugliste!$A$4:$D$2002,4,FALSE),"")</f>
        <v/>
      </c>
      <c r="AW158" t="str">
        <f>+IFERROR(VLOOKUP(AW59,IN_Zugliste!$A$4:$D$2002,4,FALSE),"")</f>
        <v/>
      </c>
      <c r="AX158" t="str">
        <f>+IFERROR(VLOOKUP(AX59,IN_Zugliste!$A$4:$D$2002,4,FALSE),"")</f>
        <v/>
      </c>
      <c r="AY158" t="str">
        <f>+IFERROR(VLOOKUP(AY59,IN_Zugliste!$A$4:$D$2002,4,FALSE),"")</f>
        <v/>
      </c>
      <c r="AZ158" t="str">
        <f>+IFERROR(VLOOKUP(AZ59,IN_Zugliste!$A$4:$D$2002,4,FALSE),"")</f>
        <v/>
      </c>
      <c r="BA158" t="str">
        <f>+IFERROR(VLOOKUP(BA59,IN_Zugliste!$A$4:$D$2002,4,FALSE),"")</f>
        <v/>
      </c>
      <c r="BB158" t="str">
        <f>+IFERROR(VLOOKUP(BB59,IN_Zugliste!$A$4:$D$2002,4,FALSE),"")</f>
        <v/>
      </c>
      <c r="BC158" t="str">
        <f>+IFERROR(VLOOKUP(BC59,IN_Zugliste!$A$4:$D$2002,4,FALSE),"")</f>
        <v/>
      </c>
      <c r="BD158" t="str">
        <f>+IFERROR(VLOOKUP(BD59,IN_Zugliste!$A$4:$D$2002,4,FALSE),"")</f>
        <v/>
      </c>
      <c r="BE158" t="str">
        <f>+IFERROR(VLOOKUP(BE59,IN_Zugliste!$A$4:$D$2002,4,FALSE),"")</f>
        <v/>
      </c>
      <c r="BF158" t="str">
        <f>+IFERROR(VLOOKUP(BF59,IN_Zugliste!$A$4:$D$2002,4,FALSE),"")</f>
        <v/>
      </c>
      <c r="BG158" t="str">
        <f>+IFERROR(VLOOKUP(BG59,IN_Zugliste!$A$4:$D$2002,4,FALSE),"")</f>
        <v/>
      </c>
      <c r="BH158" t="str">
        <f>+IFERROR(VLOOKUP(BH59,IN_Zugliste!$A$4:$D$2002,4,FALSE),"")</f>
        <v/>
      </c>
      <c r="BI158" t="str">
        <f>+IFERROR(VLOOKUP(BI59,IN_Zugliste!$A$4:$D$2002,4,FALSE),"")</f>
        <v/>
      </c>
      <c r="BJ158" t="str">
        <f>+IFERROR(VLOOKUP(BJ59,IN_Zugliste!$A$4:$D$2002,4,FALSE),"")</f>
        <v/>
      </c>
      <c r="BK158" t="str">
        <f>+IFERROR(VLOOKUP(BK59,IN_Zugliste!$A$4:$D$2002,4,FALSE),"")</f>
        <v/>
      </c>
      <c r="BL158" t="str">
        <f>+IFERROR(VLOOKUP(BL59,IN_Zugliste!$A$4:$D$2002,4,FALSE),"")</f>
        <v/>
      </c>
      <c r="BM158" t="str">
        <f>+IFERROR(VLOOKUP(BM59,IN_Zugliste!$A$4:$D$2002,4,FALSE),"")</f>
        <v/>
      </c>
      <c r="BN158" t="str">
        <f>+IFERROR(VLOOKUP(BN59,IN_Zugliste!$A$4:$D$2002,4,FALSE),"")</f>
        <v/>
      </c>
      <c r="BO158" t="str">
        <f>+IFERROR(VLOOKUP(BO59,IN_Zugliste!$A$4:$D$2002,4,FALSE),"")</f>
        <v/>
      </c>
      <c r="BP158" t="str">
        <f>+IFERROR(VLOOKUP(BP59,IN_Zugliste!$A$4:$D$2002,4,FALSE),"")</f>
        <v/>
      </c>
      <c r="BQ158" t="str">
        <f>+IFERROR(VLOOKUP(BQ59,IN_Zugliste!$A$4:$D$2002,4,FALSE),"")</f>
        <v/>
      </c>
      <c r="BR158" t="str">
        <f>+IFERROR(VLOOKUP(BR59,IN_Zugliste!$A$4:$D$2002,4,FALSE),"")</f>
        <v/>
      </c>
      <c r="BS158" t="str">
        <f>+IFERROR(VLOOKUP(BS59,IN_Zugliste!$A$4:$D$2002,4,FALSE),"")</f>
        <v/>
      </c>
      <c r="BT158" t="str">
        <f>+IFERROR(VLOOKUP(BT59,IN_Zugliste!$A$4:$D$2002,4,FALSE),"")</f>
        <v/>
      </c>
      <c r="BU158" t="str">
        <f>+IFERROR(VLOOKUP(BU59,IN_Zugliste!$A$4:$D$2002,4,FALSE),"")</f>
        <v/>
      </c>
      <c r="BV158" t="str">
        <f>+IFERROR(VLOOKUP(BV59,IN_Zugliste!$A$4:$D$2002,4,FALSE),"")</f>
        <v/>
      </c>
      <c r="BW158" t="str">
        <f>+IFERROR(VLOOKUP(BW59,IN_Zugliste!$A$4:$D$2002,4,FALSE),"")</f>
        <v/>
      </c>
      <c r="BX158" t="str">
        <f>+IFERROR(VLOOKUP(BX59,IN_Zugliste!$A$4:$D$2002,4,FALSE),"")</f>
        <v/>
      </c>
      <c r="BY158" t="str">
        <f>+IFERROR(VLOOKUP(BY59,IN_Zugliste!$A$4:$D$2002,4,FALSE),"")</f>
        <v/>
      </c>
      <c r="BZ158" t="str">
        <f>+IFERROR(VLOOKUP(BZ59,IN_Zugliste!$A$4:$D$2002,4,FALSE),"")</f>
        <v/>
      </c>
      <c r="CA158" t="str">
        <f>+IFERROR(VLOOKUP(CA59,IN_Zugliste!$A$4:$D$2002,4,FALSE),"")</f>
        <v/>
      </c>
      <c r="CB158" t="str">
        <f>+IFERROR(VLOOKUP(CB59,IN_Zugliste!$A$4:$D$2002,4,FALSE),"")</f>
        <v/>
      </c>
      <c r="CC158" t="str">
        <f>+IFERROR(VLOOKUP(CC59,IN_Zugliste!$A$4:$D$2002,4,FALSE),"")</f>
        <v/>
      </c>
      <c r="CD158" t="str">
        <f>+IFERROR(VLOOKUP(CD59,IN_Zugliste!$A$4:$D$2002,4,FALSE),"")</f>
        <v/>
      </c>
      <c r="CE158" t="str">
        <f>+IFERROR(VLOOKUP(CE59,IN_Zugliste!$A$4:$D$2002,4,FALSE),"")</f>
        <v/>
      </c>
      <c r="CF158" t="str">
        <f>+IFERROR(VLOOKUP(CF59,IN_Zugliste!$A$4:$D$2002,4,FALSE),"")</f>
        <v/>
      </c>
      <c r="CG158" t="str">
        <f>+IFERROR(VLOOKUP(CG59,IN_Zugliste!$A$4:$D$2002,4,FALSE),"")</f>
        <v/>
      </c>
      <c r="CH158" t="str">
        <f>+IFERROR(VLOOKUP(CH59,IN_Zugliste!$A$4:$D$2002,4,FALSE),"")</f>
        <v/>
      </c>
      <c r="CI158" t="str">
        <f>+IFERROR(VLOOKUP(CI59,IN_Zugliste!$A$4:$D$2002,4,FALSE),"")</f>
        <v/>
      </c>
      <c r="CJ158" t="str">
        <f>+IFERROR(VLOOKUP(CJ59,IN_Zugliste!$A$4:$D$2002,4,FALSE),"")</f>
        <v/>
      </c>
      <c r="CK158" t="str">
        <f>+IFERROR(VLOOKUP(CK59,IN_Zugliste!$A$4:$D$2002,4,FALSE),"")</f>
        <v/>
      </c>
      <c r="CL158" t="str">
        <f>+IFERROR(VLOOKUP(CL59,IN_Zugliste!$A$4:$D$2002,4,FALSE),"")</f>
        <v/>
      </c>
      <c r="CM158" t="str">
        <f>+IFERROR(VLOOKUP(CM59,IN_Zugliste!$A$4:$D$2002,4,FALSE),"")</f>
        <v/>
      </c>
      <c r="CN158" t="str">
        <f>+IFERROR(VLOOKUP(CN59,IN_Zugliste!$A$4:$D$2002,4,FALSE),"")</f>
        <v/>
      </c>
      <c r="CO158" t="str">
        <f>+IFERROR(VLOOKUP(CO59,IN_Zugliste!$A$4:$D$2002,4,FALSE),"")</f>
        <v/>
      </c>
      <c r="CP158" t="str">
        <f>+IFERROR(VLOOKUP(CP59,IN_Zugliste!$A$4:$D$2002,4,FALSE),"")</f>
        <v/>
      </c>
      <c r="CQ158" t="str">
        <f>+IFERROR(VLOOKUP(CQ59,IN_Zugliste!$A$4:$D$2002,4,FALSE),"")</f>
        <v/>
      </c>
      <c r="CR158" t="str">
        <f>+IFERROR(VLOOKUP(CR59,IN_Zugliste!$A$4:$D$2002,4,FALSE),"")</f>
        <v/>
      </c>
      <c r="CS158" t="str">
        <f>+IFERROR(VLOOKUP(CS59,IN_Zugliste!$A$4:$D$2002,4,FALSE),"")</f>
        <v/>
      </c>
      <c r="CT158" t="str">
        <f>+IFERROR(VLOOKUP(CT59,IN_Zugliste!$A$4:$D$2002,4,FALSE),"")</f>
        <v/>
      </c>
      <c r="CU158" t="str">
        <f>+IFERROR(VLOOKUP(CU59,IN_Zugliste!$A$4:$D$2002,4,FALSE),"")</f>
        <v/>
      </c>
      <c r="CV158" t="str">
        <f>+IFERROR(VLOOKUP(CV59,IN_Zugliste!$A$4:$D$2002,4,FALSE),"")</f>
        <v/>
      </c>
      <c r="CW158" t="str">
        <f>+IFERROR(VLOOKUP(CW59,IN_Zugliste!$A$4:$D$2002,4,FALSE),"")</f>
        <v/>
      </c>
      <c r="CX158" t="str">
        <f>+IFERROR(VLOOKUP(CX59,IN_Zugliste!$A$4:$D$2002,4,FALSE),"")</f>
        <v/>
      </c>
      <c r="CY158" t="str">
        <f>+IFERROR(VLOOKUP(CY59,IN_Zugliste!$A$4:$D$2002,4,FALSE),"")</f>
        <v/>
      </c>
      <c r="CZ158" t="str">
        <f>+IFERROR(VLOOKUP(CZ59,IN_Zugliste!$A$4:$D$2002,4,FALSE),"")</f>
        <v/>
      </c>
      <c r="DA158" t="str">
        <f>+IFERROR(VLOOKUP(DA59,IN_Zugliste!$A$4:$D$2002,4,FALSE),"")</f>
        <v/>
      </c>
      <c r="DB158" t="str">
        <f>+IFERROR(VLOOKUP(DB59,IN_Zugliste!$A$4:$D$2002,4,FALSE),"")</f>
        <v/>
      </c>
      <c r="DC158" t="str">
        <f>+IFERROR(VLOOKUP(DC59,IN_Zugliste!$A$4:$D$2002,4,FALSE),"")</f>
        <v/>
      </c>
      <c r="DD158" t="str">
        <f>+IFERROR(VLOOKUP(DD59,IN_Zugliste!$A$4:$D$2002,4,FALSE),"")</f>
        <v/>
      </c>
      <c r="DE158" t="str">
        <f>+IFERROR(VLOOKUP(DE59,IN_Zugliste!$A$4:$D$2002,4,FALSE),"")</f>
        <v/>
      </c>
      <c r="DF158" t="str">
        <f>+IFERROR(VLOOKUP(DF59,IN_Zugliste!$A$4:$D$2002,4,FALSE),"")</f>
        <v/>
      </c>
      <c r="DG158" t="str">
        <f>+IFERROR(VLOOKUP(DG59,IN_Zugliste!$A$4:$D$2002,4,FALSE),"")</f>
        <v/>
      </c>
      <c r="DH158" t="str">
        <f>+IFERROR(VLOOKUP(DH59,IN_Zugliste!$A$4:$D$2002,4,FALSE),"")</f>
        <v/>
      </c>
      <c r="DI158" t="str">
        <f>+IFERROR(VLOOKUP(DI59,IN_Zugliste!$A$4:$D$2002,4,FALSE),"")</f>
        <v/>
      </c>
      <c r="DJ158" t="str">
        <f>+IFERROR(VLOOKUP(DJ59,IN_Zugliste!$A$4:$D$2002,4,FALSE),"")</f>
        <v/>
      </c>
      <c r="DK158" t="str">
        <f>+IFERROR(VLOOKUP(DK59,IN_Zugliste!$A$4:$D$2002,4,FALSE),"")</f>
        <v/>
      </c>
      <c r="DL158" t="str">
        <f>+IFERROR(VLOOKUP(DL59,IN_Zugliste!$A$4:$D$2002,4,FALSE),"")</f>
        <v/>
      </c>
      <c r="DM158" t="str">
        <f>+IFERROR(VLOOKUP(DM59,IN_Zugliste!$A$4:$D$2002,4,FALSE),"")</f>
        <v/>
      </c>
      <c r="DN158" t="str">
        <f>+IFERROR(VLOOKUP(DN59,IN_Zugliste!$A$4:$D$2002,4,FALSE),"")</f>
        <v/>
      </c>
      <c r="DO158" t="str">
        <f>+IFERROR(VLOOKUP(DO59,IN_Zugliste!$A$4:$D$2002,4,FALSE),"")</f>
        <v/>
      </c>
      <c r="DP158" t="str">
        <f>+IFERROR(VLOOKUP(DP59,IN_Zugliste!$A$4:$D$2002,4,FALSE),"")</f>
        <v/>
      </c>
      <c r="DQ158" t="str">
        <f>+IFERROR(VLOOKUP(DQ59,IN_Zugliste!$A$4:$D$2002,4,FALSE),"")</f>
        <v/>
      </c>
      <c r="DR158" t="str">
        <f>+IFERROR(VLOOKUP(DR59,IN_Zugliste!$A$4:$D$2002,4,FALSE),"")</f>
        <v/>
      </c>
      <c r="DS158" t="str">
        <f>+IFERROR(VLOOKUP(DS59,IN_Zugliste!$A$4:$D$2002,4,FALSE),"")</f>
        <v/>
      </c>
      <c r="DT158" t="str">
        <f>+IFERROR(VLOOKUP(DT59,IN_Zugliste!$A$4:$D$2002,4,FALSE),"")</f>
        <v/>
      </c>
      <c r="DU158" t="str">
        <f>+IFERROR(VLOOKUP(DU59,IN_Zugliste!$A$4:$D$2002,4,FALSE),"")</f>
        <v/>
      </c>
      <c r="DV158" t="str">
        <f>+IFERROR(VLOOKUP(DV59,IN_Zugliste!$A$4:$D$2002,4,FALSE),"")</f>
        <v/>
      </c>
      <c r="DW158" t="str">
        <f>+IFERROR(VLOOKUP(DW59,IN_Zugliste!$A$4:$D$2002,4,FALSE),"")</f>
        <v/>
      </c>
      <c r="DX158" t="str">
        <f>+IFERROR(VLOOKUP(DX59,IN_Zugliste!$A$4:$D$2002,4,FALSE),"")</f>
        <v/>
      </c>
      <c r="DY158" t="str">
        <f>+IFERROR(VLOOKUP(DY59,IN_Zugliste!$A$4:$D$2002,4,FALSE),"")</f>
        <v/>
      </c>
      <c r="DZ158" t="str">
        <f>+IFERROR(VLOOKUP(DZ59,IN_Zugliste!$A$4:$D$2002,4,FALSE),"")</f>
        <v/>
      </c>
      <c r="EA158" t="str">
        <f>+IFERROR(VLOOKUP(EA59,IN_Zugliste!$A$4:$D$2002,4,FALSE),"")</f>
        <v/>
      </c>
      <c r="EB158" t="str">
        <f>+IFERROR(VLOOKUP(EB59,IN_Zugliste!$A$4:$D$2002,4,FALSE),"")</f>
        <v/>
      </c>
      <c r="EC158" t="str">
        <f>+IFERROR(VLOOKUP(EC59,IN_Zugliste!$A$4:$D$2002,4,FALSE),"")</f>
        <v/>
      </c>
      <c r="ED158" t="str">
        <f>+IFERROR(VLOOKUP(ED59,IN_Zugliste!$A$4:$D$2002,4,FALSE),"")</f>
        <v/>
      </c>
      <c r="EE158" t="str">
        <f>+IFERROR(VLOOKUP(EE59,IN_Zugliste!$A$4:$D$2002,4,FALSE),"")</f>
        <v/>
      </c>
      <c r="EF158" t="str">
        <f>+IFERROR(VLOOKUP(EF59,IN_Zugliste!$A$4:$D$2002,4,FALSE),"")</f>
        <v/>
      </c>
      <c r="EG158" t="str">
        <f>+IFERROR(VLOOKUP(EG59,IN_Zugliste!$A$4:$D$2002,4,FALSE),"")</f>
        <v/>
      </c>
      <c r="EH158" t="str">
        <f>+IFERROR(VLOOKUP(EH59,IN_Zugliste!$A$4:$D$2002,4,FALSE),"")</f>
        <v/>
      </c>
      <c r="EI158" t="str">
        <f>+IFERROR(VLOOKUP(EI59,IN_Zugliste!$A$4:$D$2002,4,FALSE),"")</f>
        <v/>
      </c>
      <c r="EJ158" t="str">
        <f>+IFERROR(VLOOKUP(EJ59,IN_Zugliste!$A$4:$D$2002,4,FALSE),"")</f>
        <v/>
      </c>
      <c r="EK158" t="str">
        <f>+IFERROR(VLOOKUP(EK59,IN_Zugliste!$A$4:$D$2002,4,FALSE),"")</f>
        <v/>
      </c>
      <c r="EL158" t="str">
        <f>+IFERROR(VLOOKUP(EL59,IN_Zugliste!$A$4:$D$2002,4,FALSE),"")</f>
        <v/>
      </c>
      <c r="EM158" t="str">
        <f>+IFERROR(VLOOKUP(EM59,IN_Zugliste!$A$4:$D$2002,4,FALSE),"")</f>
        <v/>
      </c>
      <c r="EN158" t="str">
        <f>+IFERROR(VLOOKUP(EN59,IN_Zugliste!$A$4:$D$2002,4,FALSE),"")</f>
        <v/>
      </c>
      <c r="EO158" t="str">
        <f>+IFERROR(VLOOKUP(EO59,IN_Zugliste!$A$4:$D$2002,4,FALSE),"")</f>
        <v/>
      </c>
      <c r="EP158" t="str">
        <f>+IFERROR(VLOOKUP(EP59,IN_Zugliste!$A$4:$D$2002,4,FALSE),"")</f>
        <v/>
      </c>
      <c r="EQ158" t="str">
        <f>+IFERROR(VLOOKUP(EQ59,IN_Zugliste!$A$4:$D$2002,4,FALSE),"")</f>
        <v/>
      </c>
      <c r="ER158" t="str">
        <f>+IFERROR(VLOOKUP(ER59,IN_Zugliste!$A$4:$D$2002,4,FALSE),"")</f>
        <v/>
      </c>
      <c r="ES158" t="str">
        <f>+IFERROR(VLOOKUP(ES59,IN_Zugliste!$A$4:$D$2002,4,FALSE),"")</f>
        <v/>
      </c>
      <c r="ET158" t="str">
        <f>+IFERROR(VLOOKUP(ET59,IN_Zugliste!$A$4:$D$2002,4,FALSE),"")</f>
        <v/>
      </c>
      <c r="EU158" t="str">
        <f>+IFERROR(VLOOKUP(EU59,IN_Zugliste!$A$4:$D$2002,4,FALSE),"")</f>
        <v/>
      </c>
      <c r="EV158" t="str">
        <f>+IFERROR(VLOOKUP(EV59,IN_Zugliste!$A$4:$D$2002,4,FALSE),"")</f>
        <v/>
      </c>
      <c r="EW158" t="str">
        <f>+IFERROR(VLOOKUP(EW59,IN_Zugliste!$A$4:$D$2002,4,FALSE),"")</f>
        <v/>
      </c>
      <c r="EX158" t="str">
        <f>+IFERROR(VLOOKUP(EX59,IN_Zugliste!$A$4:$D$2002,4,FALSE),"")</f>
        <v/>
      </c>
      <c r="EY158" t="str">
        <f>+IFERROR(VLOOKUP(EY59,IN_Zugliste!$A$4:$D$2002,4,FALSE),"")</f>
        <v/>
      </c>
      <c r="EZ158" t="str">
        <f>+IFERROR(VLOOKUP(EZ59,IN_Zugliste!$A$4:$D$2002,4,FALSE),"")</f>
        <v/>
      </c>
      <c r="FA158" t="str">
        <f>+IFERROR(VLOOKUP(FA59,IN_Zugliste!$A$4:$D$2002,4,FALSE),"")</f>
        <v/>
      </c>
      <c r="FB158" t="str">
        <f>+IFERROR(VLOOKUP(FB59,IN_Zugliste!$A$4:$D$2002,4,FALSE),"")</f>
        <v/>
      </c>
      <c r="FC158" t="str">
        <f>+IFERROR(VLOOKUP(FC59,IN_Zugliste!$A$4:$D$2002,4,FALSE),"")</f>
        <v/>
      </c>
      <c r="FD158" t="str">
        <f>+IFERROR(VLOOKUP(FD59,IN_Zugliste!$A$4:$D$2002,4,FALSE),"")</f>
        <v/>
      </c>
      <c r="FE158" t="str">
        <f>+IFERROR(VLOOKUP(FE59,IN_Zugliste!$A$4:$D$2002,4,FALSE),"")</f>
        <v/>
      </c>
      <c r="FF158" t="str">
        <f>+IFERROR(VLOOKUP(FF59,IN_Zugliste!$A$4:$D$2002,4,FALSE),"")</f>
        <v/>
      </c>
      <c r="FG158" t="str">
        <f>+IFERROR(VLOOKUP(FG59,IN_Zugliste!$A$4:$D$2002,4,FALSE),"")</f>
        <v/>
      </c>
      <c r="FH158" t="str">
        <f>+IFERROR(VLOOKUP(FH59,IN_Zugliste!$A$4:$D$2002,4,FALSE),"")</f>
        <v/>
      </c>
      <c r="FI158" t="str">
        <f>+IFERROR(VLOOKUP(FI59,IN_Zugliste!$A$4:$D$2002,4,FALSE),"")</f>
        <v/>
      </c>
      <c r="FJ158" t="str">
        <f>+IFERROR(VLOOKUP(FJ59,IN_Zugliste!$A$4:$D$2002,4,FALSE),"")</f>
        <v/>
      </c>
      <c r="FK158" t="str">
        <f>+IFERROR(VLOOKUP(FK59,IN_Zugliste!$A$4:$D$2002,4,FALSE),"")</f>
        <v/>
      </c>
      <c r="FL158" t="str">
        <f>+IFERROR(VLOOKUP(FL59,IN_Zugliste!$A$4:$D$2002,4,FALSE),"")</f>
        <v/>
      </c>
      <c r="FM158" t="str">
        <f>+IFERROR(VLOOKUP(FM59,IN_Zugliste!$A$4:$C$602,4,FALSE),"")</f>
        <v/>
      </c>
      <c r="FN158" t="str">
        <f>+IFERROR(VLOOKUP(FN59,IN_Zugliste!$A$4:$C$602,4,FALSE),"")</f>
        <v/>
      </c>
      <c r="FO158" t="str">
        <f>+IFERROR(VLOOKUP(FO59,IN_Zugliste!$A$4:$C$602,4,FALSE),"")</f>
        <v/>
      </c>
      <c r="FP158" t="str">
        <f>+IFERROR(VLOOKUP(FP59,IN_Zugliste!$A$4:$C$602,4,FALSE),"")</f>
        <v/>
      </c>
      <c r="FQ158" t="str">
        <f>+IFERROR(VLOOKUP(FQ59,IN_Zugliste!$A$4:$C$602,4,FALSE),"")</f>
        <v/>
      </c>
      <c r="FR158" t="str">
        <f>+IFERROR(VLOOKUP(FR59,IN_Zugliste!$A$4:$C$602,4,FALSE),"")</f>
        <v/>
      </c>
      <c r="FS158" t="str">
        <f>+IFERROR(VLOOKUP(FS59,IN_Zugliste!$A$4:$C$602,4,FALSE),"")</f>
        <v/>
      </c>
      <c r="FT158" t="str">
        <f>+IFERROR(VLOOKUP(FT59,IN_Zugliste!$A$4:$C$602,4,FALSE),"")</f>
        <v/>
      </c>
      <c r="FU158" t="str">
        <f>+IFERROR(VLOOKUP(FU59,IN_Zugliste!$A$4:$C$602,4,FALSE),"")</f>
        <v/>
      </c>
      <c r="FV158" t="str">
        <f>+IFERROR(VLOOKUP(FV59,IN_Zugliste!$A$4:$C$602,4,FALSE),"")</f>
        <v/>
      </c>
      <c r="FW158" t="str">
        <f>+IFERROR(VLOOKUP(FW59,IN_Zugliste!$A$4:$C$602,4,FALSE),"")</f>
        <v/>
      </c>
      <c r="FX158" t="str">
        <f>+IFERROR(VLOOKUP(FX59,IN_Zugliste!$A$4:$C$602,4,FALSE),"")</f>
        <v/>
      </c>
      <c r="FY158" t="str">
        <f>+IFERROR(VLOOKUP(FY59,IN_Zugliste!$A$4:$C$602,4,FALSE),"")</f>
        <v/>
      </c>
      <c r="FZ158" t="str">
        <f>+IFERROR(VLOOKUP(FZ59,IN_Zugliste!$A$4:$C$602,4,FALSE),"")</f>
        <v/>
      </c>
      <c r="GA158" t="str">
        <f>+IFERROR(VLOOKUP(GA59,IN_Zugliste!$A$4:$C$602,4,FALSE),"")</f>
        <v/>
      </c>
      <c r="GB158" t="str">
        <f>+IFERROR(VLOOKUP(GB59,IN_Zugliste!$A$4:$C$602,4,FALSE),"")</f>
        <v/>
      </c>
      <c r="GC158" t="str">
        <f>+IFERROR(VLOOKUP(GC59,IN_Zugliste!$A$4:$C$602,4,FALSE),"")</f>
        <v/>
      </c>
      <c r="GD158" t="str">
        <f>+IFERROR(VLOOKUP(GD59,IN_Zugliste!$A$4:$C$602,4,FALSE),"")</f>
        <v/>
      </c>
      <c r="GE158" t="str">
        <f>+IFERROR(VLOOKUP(GE59,IN_Zugliste!$A$4:$C$602,4,FALSE),"")</f>
        <v/>
      </c>
      <c r="GF158" t="str">
        <f>+IFERROR(VLOOKUP(GF59,IN_Zugliste!$A$4:$C$602,4,FALSE),"")</f>
        <v/>
      </c>
      <c r="GG158" t="str">
        <f>+IFERROR(VLOOKUP(GG59,IN_Zugliste!$A$4:$C$602,4,FALSE),"")</f>
        <v/>
      </c>
      <c r="GH158" t="str">
        <f>+IFERROR(VLOOKUP(GH59,IN_Zugliste!$A$4:$C$602,4,FALSE),"")</f>
        <v/>
      </c>
      <c r="GI158" t="str">
        <f>+IFERROR(VLOOKUP(GI59,IN_Zugliste!$A$4:$C$602,4,FALSE),"")</f>
        <v/>
      </c>
      <c r="GJ158" t="str">
        <f>+IFERROR(VLOOKUP(GJ59,IN_Zugliste!$A$4:$C$602,4,FALSE),"")</f>
        <v/>
      </c>
      <c r="GK158" t="str">
        <f>+IFERROR(VLOOKUP(GK59,IN_Zugliste!$A$4:$C$602,4,FALSE),"")</f>
        <v/>
      </c>
      <c r="GL158" t="str">
        <f>+IFERROR(VLOOKUP(GL59,IN_Zugliste!$A$4:$C$602,4,FALSE),"")</f>
        <v/>
      </c>
      <c r="GM158" t="str">
        <f>+IFERROR(VLOOKUP(GM59,IN_Zugliste!$A$4:$C$602,4,FALSE),"")</f>
        <v/>
      </c>
      <c r="GN158" t="str">
        <f>+IFERROR(VLOOKUP(GN59,IN_Zugliste!$A$4:$C$602,4,FALSE),"")</f>
        <v/>
      </c>
      <c r="GO158" t="str">
        <f>+IFERROR(VLOOKUP(GO59,IN_Zugliste!$A$4:$C$602,4,FALSE),"")</f>
        <v/>
      </c>
      <c r="GP158" t="str">
        <f>+IFERROR(VLOOKUP(GP59,IN_Zugliste!$A$4:$C$602,4,FALSE),"")</f>
        <v/>
      </c>
      <c r="GQ158" t="str">
        <f>+IFERROR(VLOOKUP(GQ59,IN_Zugliste!$A$4:$C$602,4,FALSE),"")</f>
        <v/>
      </c>
      <c r="GR158" t="str">
        <f>+IFERROR(VLOOKUP(GR59,IN_Zugliste!$A$4:$C$602,4,FALSE),"")</f>
        <v/>
      </c>
      <c r="GS158" t="str">
        <f>+IFERROR(VLOOKUP(GS59,IN_Zugliste!$A$4:$C$602,4,FALSE),"")</f>
        <v/>
      </c>
      <c r="GT158" t="str">
        <f>+IFERROR(VLOOKUP(GT59,IN_Zugliste!$A$4:$C$602,4,FALSE),"")</f>
        <v/>
      </c>
      <c r="GU158" t="str">
        <f>+IFERROR(VLOOKUP(GU59,IN_Zugliste!$A$4:$C$602,4,FALSE),"")</f>
        <v/>
      </c>
      <c r="GV158" t="str">
        <f>+IFERROR(VLOOKUP(GV59,IN_Zugliste!$A$4:$C$602,4,FALSE),"")</f>
        <v/>
      </c>
      <c r="GW158" t="str">
        <f>+IFERROR(VLOOKUP(GW59,IN_Zugliste!$A$4:$C$602,4,FALSE),"")</f>
        <v/>
      </c>
      <c r="GX158" t="str">
        <f>+IFERROR(VLOOKUP(GX59,IN_Zugliste!$A$4:$C$602,4,FALSE),"")</f>
        <v/>
      </c>
      <c r="GY158" t="str">
        <f>+IFERROR(VLOOKUP(GY59,IN_Zugliste!$A$4:$C$602,4,FALSE),"")</f>
        <v/>
      </c>
      <c r="GZ158" t="str">
        <f>+IFERROR(VLOOKUP(GZ59,IN_Zugliste!$A$4:$C$602,4,FALSE),"")</f>
        <v/>
      </c>
      <c r="HA158" t="str">
        <f>+IFERROR(VLOOKUP(HA59,IN_Zugliste!$A$4:$C$602,4,FALSE),"")</f>
        <v/>
      </c>
      <c r="HB158" t="str">
        <f>+IFERROR(VLOOKUP(HB59,IN_Zugliste!$A$4:$C$602,4,FALSE),"")</f>
        <v/>
      </c>
      <c r="HC158" t="str">
        <f>+IFERROR(VLOOKUP(HC59,IN_Zugliste!$A$4:$C$602,4,FALSE),"")</f>
        <v/>
      </c>
      <c r="HD158" t="str">
        <f>+IFERROR(VLOOKUP(HD59,IN_Zugliste!$A$4:$C$602,4,FALSE),"")</f>
        <v/>
      </c>
      <c r="HE158" t="str">
        <f>+IFERROR(VLOOKUP(HE59,IN_Zugliste!$A$4:$C$602,4,FALSE),"")</f>
        <v/>
      </c>
      <c r="HF158" t="str">
        <f>+IFERROR(VLOOKUP(HF59,IN_Zugliste!$A$4:$C$602,4,FALSE),"")</f>
        <v/>
      </c>
      <c r="HG158" t="str">
        <f>+IFERROR(VLOOKUP(HG59,IN_Zugliste!$A$4:$C$602,4,FALSE),"")</f>
        <v/>
      </c>
      <c r="HH158" t="str">
        <f>+IFERROR(VLOOKUP(HH59,IN_Zugliste!$A$4:$C$602,4,FALSE),"")</f>
        <v/>
      </c>
    </row>
    <row r="159" spans="1:216" x14ac:dyDescent="0.2">
      <c r="A159" t="str">
        <f>+IFERROR(VLOOKUP(A60,IN_Zugliste!$A$4:$D$2002,4,FALSE),"")</f>
        <v/>
      </c>
      <c r="B159" t="str">
        <f>+IFERROR(VLOOKUP(B60,IN_Zugliste!$A$4:$D$2002,4,FALSE),"")</f>
        <v/>
      </c>
      <c r="C159" t="str">
        <f>+IFERROR(VLOOKUP(C60,IN_Zugliste!$A$4:$D$2002,4,FALSE),"")</f>
        <v/>
      </c>
      <c r="D159" t="str">
        <f>+IFERROR(VLOOKUP(D60,IN_Zugliste!$A$4:$D$2002,4,FALSE),"")</f>
        <v/>
      </c>
      <c r="E159" t="str">
        <f>+IFERROR(VLOOKUP(E60,IN_Zugliste!$A$4:$D$2002,4,FALSE),"")</f>
        <v/>
      </c>
      <c r="F159" t="str">
        <f>+IFERROR(VLOOKUP(F60,IN_Zugliste!$A$4:$D$2002,4,FALSE),"")</f>
        <v/>
      </c>
      <c r="G159" t="str">
        <f>+IFERROR(VLOOKUP(G60,IN_Zugliste!$A$4:$D$2002,4,FALSE),"")</f>
        <v/>
      </c>
      <c r="H159" t="str">
        <f>+IFERROR(VLOOKUP(H60,IN_Zugliste!$A$4:$D$2002,4,FALSE),"")</f>
        <v/>
      </c>
      <c r="I159" t="str">
        <f>+IFERROR(VLOOKUP(I60,IN_Zugliste!$A$4:$D$2002,4,FALSE),"")</f>
        <v/>
      </c>
      <c r="J159" t="str">
        <f>+IFERROR(VLOOKUP(J60,IN_Zugliste!$A$4:$D$2002,4,FALSE),"")</f>
        <v/>
      </c>
      <c r="K159" t="str">
        <f>+IFERROR(VLOOKUP(K60,IN_Zugliste!$A$4:$D$2002,4,FALSE),"")</f>
        <v/>
      </c>
      <c r="L159" t="str">
        <f>+IFERROR(VLOOKUP(L60,IN_Zugliste!$A$4:$D$2002,4,FALSE),"")</f>
        <v/>
      </c>
      <c r="M159" t="str">
        <f>+IFERROR(VLOOKUP(M60,IN_Zugliste!$A$4:$D$2002,4,FALSE),"")</f>
        <v/>
      </c>
      <c r="N159" t="str">
        <f>+IFERROR(VLOOKUP(N60,IN_Zugliste!$A$4:$D$2002,4,FALSE),"")</f>
        <v/>
      </c>
      <c r="O159" t="str">
        <f>+IFERROR(VLOOKUP(O60,IN_Zugliste!$A$4:$D$2002,4,FALSE),"")</f>
        <v/>
      </c>
      <c r="P159" t="str">
        <f>+IFERROR(VLOOKUP(P60,IN_Zugliste!$A$4:$D$2002,4,FALSE),"")</f>
        <v/>
      </c>
      <c r="Q159" t="str">
        <f>+IFERROR(VLOOKUP(Q60,IN_Zugliste!$A$4:$D$2002,4,FALSE),"")</f>
        <v/>
      </c>
      <c r="R159" t="str">
        <f>+IFERROR(VLOOKUP(R60,IN_Zugliste!$A$4:$D$2002,4,FALSE),"")</f>
        <v/>
      </c>
      <c r="S159" t="str">
        <f>+IFERROR(VLOOKUP(S60,IN_Zugliste!$A$4:$D$2002,4,FALSE),"")</f>
        <v/>
      </c>
      <c r="T159" t="str">
        <f>+IFERROR(VLOOKUP(T60,IN_Zugliste!$A$4:$D$2002,4,FALSE),"")</f>
        <v/>
      </c>
      <c r="U159" t="str">
        <f>+IFERROR(VLOOKUP(U60,IN_Zugliste!$A$4:$D$2002,4,FALSE),"")</f>
        <v/>
      </c>
      <c r="V159" t="str">
        <f>+IFERROR(VLOOKUP(V60,IN_Zugliste!$A$4:$D$2002,4,FALSE),"")</f>
        <v/>
      </c>
      <c r="W159" t="str">
        <f>+IFERROR(VLOOKUP(W60,IN_Zugliste!$A$4:$D$2002,4,FALSE),"")</f>
        <v/>
      </c>
      <c r="X159" t="str">
        <f>+IFERROR(VLOOKUP(X60,IN_Zugliste!$A$4:$D$2002,4,FALSE),"")</f>
        <v/>
      </c>
      <c r="Y159" t="str">
        <f>+IFERROR(VLOOKUP(Y60,IN_Zugliste!$A$4:$D$2002,4,FALSE),"")</f>
        <v/>
      </c>
      <c r="Z159" t="str">
        <f>+IFERROR(VLOOKUP(Z60,IN_Zugliste!$A$4:$D$2002,4,FALSE),"")</f>
        <v/>
      </c>
      <c r="AA159" t="str">
        <f>+IFERROR(VLOOKUP(AA60,IN_Zugliste!$A$4:$D$2002,4,FALSE),"")</f>
        <v/>
      </c>
      <c r="AB159" t="str">
        <f>+IFERROR(VLOOKUP(AB60,IN_Zugliste!$A$4:$D$2002,4,FALSE),"")</f>
        <v/>
      </c>
      <c r="AC159" t="str">
        <f>+IFERROR(VLOOKUP(AC60,IN_Zugliste!$A$4:$D$2002,4,FALSE),"")</f>
        <v/>
      </c>
      <c r="AD159" t="str">
        <f>+IFERROR(VLOOKUP(AD60,IN_Zugliste!$A$4:$D$2002,4,FALSE),"")</f>
        <v/>
      </c>
      <c r="AE159" t="str">
        <f>+IFERROR(VLOOKUP(AE60,IN_Zugliste!$A$4:$D$2002,4,FALSE),"")</f>
        <v/>
      </c>
      <c r="AF159" t="str">
        <f>+IFERROR(VLOOKUP(AF60,IN_Zugliste!$A$4:$D$2002,4,FALSE),"")</f>
        <v/>
      </c>
      <c r="AG159" t="str">
        <f>+IFERROR(VLOOKUP(AG60,IN_Zugliste!$A$4:$D$2002,4,FALSE),"")</f>
        <v/>
      </c>
      <c r="AH159" t="str">
        <f>+IFERROR(VLOOKUP(AH60,IN_Zugliste!$A$4:$D$2002,4,FALSE),"")</f>
        <v/>
      </c>
      <c r="AI159" t="str">
        <f>+IFERROR(VLOOKUP(AI60,IN_Zugliste!$A$4:$D$2002,4,FALSE),"")</f>
        <v/>
      </c>
      <c r="AJ159" t="str">
        <f>+IFERROR(VLOOKUP(AJ60,IN_Zugliste!$A$4:$D$2002,4,FALSE),"")</f>
        <v/>
      </c>
      <c r="AK159" t="str">
        <f>+IFERROR(VLOOKUP(AK60,IN_Zugliste!$A$4:$D$2002,4,FALSE),"")</f>
        <v/>
      </c>
      <c r="AL159" t="str">
        <f>+IFERROR(VLOOKUP(AL60,IN_Zugliste!$A$4:$D$2002,4,FALSE),"")</f>
        <v/>
      </c>
      <c r="AM159" t="str">
        <f>+IFERROR(VLOOKUP(AM60,IN_Zugliste!$A$4:$D$2002,4,FALSE),"")</f>
        <v/>
      </c>
      <c r="AN159" t="str">
        <f>+IFERROR(VLOOKUP(AN60,IN_Zugliste!$A$4:$D$2002,4,FALSE),"")</f>
        <v/>
      </c>
      <c r="AO159" t="str">
        <f>+IFERROR(VLOOKUP(AO60,IN_Zugliste!$A$4:$D$2002,4,FALSE),"")</f>
        <v/>
      </c>
      <c r="AP159" t="str">
        <f>+IFERROR(VLOOKUP(AP60,IN_Zugliste!$A$4:$D$2002,4,FALSE),"")</f>
        <v/>
      </c>
      <c r="AQ159" t="str">
        <f>+IFERROR(VLOOKUP(AQ60,IN_Zugliste!$A$4:$D$2002,4,FALSE),"")</f>
        <v/>
      </c>
      <c r="AR159" t="str">
        <f>+IFERROR(VLOOKUP(AR60,IN_Zugliste!$A$4:$D$2002,4,FALSE),"")</f>
        <v/>
      </c>
      <c r="AS159" t="str">
        <f>+IFERROR(VLOOKUP(AS60,IN_Zugliste!$A$4:$D$2002,4,FALSE),"")</f>
        <v/>
      </c>
      <c r="AT159" t="str">
        <f>+IFERROR(VLOOKUP(AT60,IN_Zugliste!$A$4:$D$2002,4,FALSE),"")</f>
        <v/>
      </c>
      <c r="AU159" t="str">
        <f>+IFERROR(VLOOKUP(AU60,IN_Zugliste!$A$4:$D$2002,4,FALSE),"")</f>
        <v/>
      </c>
      <c r="AV159" t="str">
        <f>+IFERROR(VLOOKUP(AV60,IN_Zugliste!$A$4:$D$2002,4,FALSE),"")</f>
        <v/>
      </c>
      <c r="AW159" t="str">
        <f>+IFERROR(VLOOKUP(AW60,IN_Zugliste!$A$4:$D$2002,4,FALSE),"")</f>
        <v/>
      </c>
      <c r="AX159" t="str">
        <f>+IFERROR(VLOOKUP(AX60,IN_Zugliste!$A$4:$D$2002,4,FALSE),"")</f>
        <v/>
      </c>
      <c r="AY159" t="str">
        <f>+IFERROR(VLOOKUP(AY60,IN_Zugliste!$A$4:$D$2002,4,FALSE),"")</f>
        <v/>
      </c>
      <c r="AZ159" t="str">
        <f>+IFERROR(VLOOKUP(AZ60,IN_Zugliste!$A$4:$D$2002,4,FALSE),"")</f>
        <v/>
      </c>
      <c r="BA159" t="str">
        <f>+IFERROR(VLOOKUP(BA60,IN_Zugliste!$A$4:$D$2002,4,FALSE),"")</f>
        <v/>
      </c>
      <c r="BB159" t="str">
        <f>+IFERROR(VLOOKUP(BB60,IN_Zugliste!$A$4:$D$2002,4,FALSE),"")</f>
        <v/>
      </c>
      <c r="BC159" t="str">
        <f>+IFERROR(VLOOKUP(BC60,IN_Zugliste!$A$4:$D$2002,4,FALSE),"")</f>
        <v/>
      </c>
      <c r="BD159" t="str">
        <f>+IFERROR(VLOOKUP(BD60,IN_Zugliste!$A$4:$D$2002,4,FALSE),"")</f>
        <v/>
      </c>
      <c r="BE159" t="str">
        <f>+IFERROR(VLOOKUP(BE60,IN_Zugliste!$A$4:$D$2002,4,FALSE),"")</f>
        <v/>
      </c>
      <c r="BF159" t="str">
        <f>+IFERROR(VLOOKUP(BF60,IN_Zugliste!$A$4:$D$2002,4,FALSE),"")</f>
        <v/>
      </c>
      <c r="BG159" t="str">
        <f>+IFERROR(VLOOKUP(BG60,IN_Zugliste!$A$4:$D$2002,4,FALSE),"")</f>
        <v/>
      </c>
      <c r="BH159" t="str">
        <f>+IFERROR(VLOOKUP(BH60,IN_Zugliste!$A$4:$D$2002,4,FALSE),"")</f>
        <v/>
      </c>
      <c r="BI159" t="str">
        <f>+IFERROR(VLOOKUP(BI60,IN_Zugliste!$A$4:$D$2002,4,FALSE),"")</f>
        <v/>
      </c>
      <c r="BJ159" t="str">
        <f>+IFERROR(VLOOKUP(BJ60,IN_Zugliste!$A$4:$D$2002,4,FALSE),"")</f>
        <v/>
      </c>
      <c r="BK159" t="str">
        <f>+IFERROR(VLOOKUP(BK60,IN_Zugliste!$A$4:$D$2002,4,FALSE),"")</f>
        <v/>
      </c>
      <c r="BL159" t="str">
        <f>+IFERROR(VLOOKUP(BL60,IN_Zugliste!$A$4:$D$2002,4,FALSE),"")</f>
        <v/>
      </c>
      <c r="BM159" t="str">
        <f>+IFERROR(VLOOKUP(BM60,IN_Zugliste!$A$4:$D$2002,4,FALSE),"")</f>
        <v/>
      </c>
      <c r="BN159" t="str">
        <f>+IFERROR(VLOOKUP(BN60,IN_Zugliste!$A$4:$D$2002,4,FALSE),"")</f>
        <v/>
      </c>
      <c r="BO159" t="str">
        <f>+IFERROR(VLOOKUP(BO60,IN_Zugliste!$A$4:$D$2002,4,FALSE),"")</f>
        <v/>
      </c>
      <c r="BP159" t="str">
        <f>+IFERROR(VLOOKUP(BP60,IN_Zugliste!$A$4:$D$2002,4,FALSE),"")</f>
        <v/>
      </c>
      <c r="BQ159" t="str">
        <f>+IFERROR(VLOOKUP(BQ60,IN_Zugliste!$A$4:$D$2002,4,FALSE),"")</f>
        <v/>
      </c>
      <c r="BR159" t="str">
        <f>+IFERROR(VLOOKUP(BR60,IN_Zugliste!$A$4:$D$2002,4,FALSE),"")</f>
        <v/>
      </c>
      <c r="BS159" t="str">
        <f>+IFERROR(VLOOKUP(BS60,IN_Zugliste!$A$4:$D$2002,4,FALSE),"")</f>
        <v/>
      </c>
      <c r="BT159" t="str">
        <f>+IFERROR(VLOOKUP(BT60,IN_Zugliste!$A$4:$D$2002,4,FALSE),"")</f>
        <v/>
      </c>
      <c r="BU159" t="str">
        <f>+IFERROR(VLOOKUP(BU60,IN_Zugliste!$A$4:$D$2002,4,FALSE),"")</f>
        <v/>
      </c>
      <c r="BV159" t="str">
        <f>+IFERROR(VLOOKUP(BV60,IN_Zugliste!$A$4:$D$2002,4,FALSE),"")</f>
        <v/>
      </c>
      <c r="BW159" t="str">
        <f>+IFERROR(VLOOKUP(BW60,IN_Zugliste!$A$4:$D$2002,4,FALSE),"")</f>
        <v/>
      </c>
      <c r="BX159" t="str">
        <f>+IFERROR(VLOOKUP(BX60,IN_Zugliste!$A$4:$D$2002,4,FALSE),"")</f>
        <v/>
      </c>
      <c r="BY159" t="str">
        <f>+IFERROR(VLOOKUP(BY60,IN_Zugliste!$A$4:$D$2002,4,FALSE),"")</f>
        <v/>
      </c>
      <c r="BZ159" t="str">
        <f>+IFERROR(VLOOKUP(BZ60,IN_Zugliste!$A$4:$D$2002,4,FALSE),"")</f>
        <v/>
      </c>
      <c r="CA159" t="str">
        <f>+IFERROR(VLOOKUP(CA60,IN_Zugliste!$A$4:$D$2002,4,FALSE),"")</f>
        <v/>
      </c>
      <c r="CB159" t="str">
        <f>+IFERROR(VLOOKUP(CB60,IN_Zugliste!$A$4:$D$2002,4,FALSE),"")</f>
        <v/>
      </c>
      <c r="CC159" t="str">
        <f>+IFERROR(VLOOKUP(CC60,IN_Zugliste!$A$4:$D$2002,4,FALSE),"")</f>
        <v/>
      </c>
      <c r="CD159" t="str">
        <f>+IFERROR(VLOOKUP(CD60,IN_Zugliste!$A$4:$D$2002,4,FALSE),"")</f>
        <v/>
      </c>
      <c r="CE159" t="str">
        <f>+IFERROR(VLOOKUP(CE60,IN_Zugliste!$A$4:$D$2002,4,FALSE),"")</f>
        <v/>
      </c>
      <c r="CF159" t="str">
        <f>+IFERROR(VLOOKUP(CF60,IN_Zugliste!$A$4:$D$2002,4,FALSE),"")</f>
        <v/>
      </c>
      <c r="CG159" t="str">
        <f>+IFERROR(VLOOKUP(CG60,IN_Zugliste!$A$4:$D$2002,4,FALSE),"")</f>
        <v/>
      </c>
      <c r="CH159" t="str">
        <f>+IFERROR(VLOOKUP(CH60,IN_Zugliste!$A$4:$D$2002,4,FALSE),"")</f>
        <v/>
      </c>
      <c r="CI159" t="str">
        <f>+IFERROR(VLOOKUP(CI60,IN_Zugliste!$A$4:$D$2002,4,FALSE),"")</f>
        <v/>
      </c>
      <c r="CJ159" t="str">
        <f>+IFERROR(VLOOKUP(CJ60,IN_Zugliste!$A$4:$D$2002,4,FALSE),"")</f>
        <v/>
      </c>
      <c r="CK159" t="str">
        <f>+IFERROR(VLOOKUP(CK60,IN_Zugliste!$A$4:$D$2002,4,FALSE),"")</f>
        <v/>
      </c>
      <c r="CL159" t="str">
        <f>+IFERROR(VLOOKUP(CL60,IN_Zugliste!$A$4:$D$2002,4,FALSE),"")</f>
        <v/>
      </c>
      <c r="CM159" t="str">
        <f>+IFERROR(VLOOKUP(CM60,IN_Zugliste!$A$4:$D$2002,4,FALSE),"")</f>
        <v/>
      </c>
      <c r="CN159" t="str">
        <f>+IFERROR(VLOOKUP(CN60,IN_Zugliste!$A$4:$D$2002,4,FALSE),"")</f>
        <v/>
      </c>
      <c r="CO159" t="str">
        <f>+IFERROR(VLOOKUP(CO60,IN_Zugliste!$A$4:$D$2002,4,FALSE),"")</f>
        <v/>
      </c>
      <c r="CP159" t="str">
        <f>+IFERROR(VLOOKUP(CP60,IN_Zugliste!$A$4:$D$2002,4,FALSE),"")</f>
        <v/>
      </c>
      <c r="CQ159" t="str">
        <f>+IFERROR(VLOOKUP(CQ60,IN_Zugliste!$A$4:$D$2002,4,FALSE),"")</f>
        <v/>
      </c>
      <c r="CR159" t="str">
        <f>+IFERROR(VLOOKUP(CR60,IN_Zugliste!$A$4:$D$2002,4,FALSE),"")</f>
        <v/>
      </c>
      <c r="CS159" t="str">
        <f>+IFERROR(VLOOKUP(CS60,IN_Zugliste!$A$4:$D$2002,4,FALSE),"")</f>
        <v/>
      </c>
      <c r="CT159" t="str">
        <f>+IFERROR(VLOOKUP(CT60,IN_Zugliste!$A$4:$D$2002,4,FALSE),"")</f>
        <v/>
      </c>
      <c r="CU159" t="str">
        <f>+IFERROR(VLOOKUP(CU60,IN_Zugliste!$A$4:$D$2002,4,FALSE),"")</f>
        <v/>
      </c>
      <c r="CV159" t="str">
        <f>+IFERROR(VLOOKUP(CV60,IN_Zugliste!$A$4:$D$2002,4,FALSE),"")</f>
        <v/>
      </c>
      <c r="CW159" t="str">
        <f>+IFERROR(VLOOKUP(CW60,IN_Zugliste!$A$4:$D$2002,4,FALSE),"")</f>
        <v/>
      </c>
      <c r="CX159" t="str">
        <f>+IFERROR(VLOOKUP(CX60,IN_Zugliste!$A$4:$D$2002,4,FALSE),"")</f>
        <v/>
      </c>
      <c r="CY159" t="str">
        <f>+IFERROR(VLOOKUP(CY60,IN_Zugliste!$A$4:$D$2002,4,FALSE),"")</f>
        <v/>
      </c>
      <c r="CZ159" t="str">
        <f>+IFERROR(VLOOKUP(CZ60,IN_Zugliste!$A$4:$D$2002,4,FALSE),"")</f>
        <v/>
      </c>
      <c r="DA159" t="str">
        <f>+IFERROR(VLOOKUP(DA60,IN_Zugliste!$A$4:$D$2002,4,FALSE),"")</f>
        <v/>
      </c>
      <c r="DB159" t="str">
        <f>+IFERROR(VLOOKUP(DB60,IN_Zugliste!$A$4:$D$2002,4,FALSE),"")</f>
        <v/>
      </c>
      <c r="DC159" t="str">
        <f>+IFERROR(VLOOKUP(DC60,IN_Zugliste!$A$4:$D$2002,4,FALSE),"")</f>
        <v/>
      </c>
      <c r="DD159" t="str">
        <f>+IFERROR(VLOOKUP(DD60,IN_Zugliste!$A$4:$D$2002,4,FALSE),"")</f>
        <v/>
      </c>
      <c r="DE159" t="str">
        <f>+IFERROR(VLOOKUP(DE60,IN_Zugliste!$A$4:$D$2002,4,FALSE),"")</f>
        <v/>
      </c>
      <c r="DF159" t="str">
        <f>+IFERROR(VLOOKUP(DF60,IN_Zugliste!$A$4:$D$2002,4,FALSE),"")</f>
        <v/>
      </c>
      <c r="DG159" t="str">
        <f>+IFERROR(VLOOKUP(DG60,IN_Zugliste!$A$4:$D$2002,4,FALSE),"")</f>
        <v/>
      </c>
      <c r="DH159" t="str">
        <f>+IFERROR(VLOOKUP(DH60,IN_Zugliste!$A$4:$D$2002,4,FALSE),"")</f>
        <v/>
      </c>
      <c r="DI159" t="str">
        <f>+IFERROR(VLOOKUP(DI60,IN_Zugliste!$A$4:$D$2002,4,FALSE),"")</f>
        <v/>
      </c>
      <c r="DJ159" t="str">
        <f>+IFERROR(VLOOKUP(DJ60,IN_Zugliste!$A$4:$D$2002,4,FALSE),"")</f>
        <v/>
      </c>
      <c r="DK159" t="str">
        <f>+IFERROR(VLOOKUP(DK60,IN_Zugliste!$A$4:$D$2002,4,FALSE),"")</f>
        <v/>
      </c>
      <c r="DL159" t="str">
        <f>+IFERROR(VLOOKUP(DL60,IN_Zugliste!$A$4:$D$2002,4,FALSE),"")</f>
        <v/>
      </c>
      <c r="DM159" t="str">
        <f>+IFERROR(VLOOKUP(DM60,IN_Zugliste!$A$4:$D$2002,4,FALSE),"")</f>
        <v/>
      </c>
      <c r="DN159" t="str">
        <f>+IFERROR(VLOOKUP(DN60,IN_Zugliste!$A$4:$D$2002,4,FALSE),"")</f>
        <v/>
      </c>
      <c r="DO159" t="str">
        <f>+IFERROR(VLOOKUP(DO60,IN_Zugliste!$A$4:$D$2002,4,FALSE),"")</f>
        <v/>
      </c>
      <c r="DP159" t="str">
        <f>+IFERROR(VLOOKUP(DP60,IN_Zugliste!$A$4:$D$2002,4,FALSE),"")</f>
        <v/>
      </c>
      <c r="DQ159" t="str">
        <f>+IFERROR(VLOOKUP(DQ60,IN_Zugliste!$A$4:$D$2002,4,FALSE),"")</f>
        <v/>
      </c>
      <c r="DR159" t="str">
        <f>+IFERROR(VLOOKUP(DR60,IN_Zugliste!$A$4:$D$2002,4,FALSE),"")</f>
        <v/>
      </c>
      <c r="DS159" t="str">
        <f>+IFERROR(VLOOKUP(DS60,IN_Zugliste!$A$4:$D$2002,4,FALSE),"")</f>
        <v/>
      </c>
      <c r="DT159" t="str">
        <f>+IFERROR(VLOOKUP(DT60,IN_Zugliste!$A$4:$D$2002,4,FALSE),"")</f>
        <v/>
      </c>
      <c r="DU159" t="str">
        <f>+IFERROR(VLOOKUP(DU60,IN_Zugliste!$A$4:$D$2002,4,FALSE),"")</f>
        <v/>
      </c>
      <c r="DV159" t="str">
        <f>+IFERROR(VLOOKUP(DV60,IN_Zugliste!$A$4:$D$2002,4,FALSE),"")</f>
        <v/>
      </c>
      <c r="DW159" t="str">
        <f>+IFERROR(VLOOKUP(DW60,IN_Zugliste!$A$4:$D$2002,4,FALSE),"")</f>
        <v/>
      </c>
      <c r="DX159" t="str">
        <f>+IFERROR(VLOOKUP(DX60,IN_Zugliste!$A$4:$D$2002,4,FALSE),"")</f>
        <v/>
      </c>
      <c r="DY159" t="str">
        <f>+IFERROR(VLOOKUP(DY60,IN_Zugliste!$A$4:$D$2002,4,FALSE),"")</f>
        <v/>
      </c>
      <c r="DZ159" t="str">
        <f>+IFERROR(VLOOKUP(DZ60,IN_Zugliste!$A$4:$D$2002,4,FALSE),"")</f>
        <v/>
      </c>
      <c r="EA159" t="str">
        <f>+IFERROR(VLOOKUP(EA60,IN_Zugliste!$A$4:$D$2002,4,FALSE),"")</f>
        <v/>
      </c>
      <c r="EB159" t="str">
        <f>+IFERROR(VLOOKUP(EB60,IN_Zugliste!$A$4:$D$2002,4,FALSE),"")</f>
        <v/>
      </c>
      <c r="EC159" t="str">
        <f>+IFERROR(VLOOKUP(EC60,IN_Zugliste!$A$4:$D$2002,4,FALSE),"")</f>
        <v/>
      </c>
      <c r="ED159" t="str">
        <f>+IFERROR(VLOOKUP(ED60,IN_Zugliste!$A$4:$D$2002,4,FALSE),"")</f>
        <v/>
      </c>
      <c r="EE159" t="str">
        <f>+IFERROR(VLOOKUP(EE60,IN_Zugliste!$A$4:$D$2002,4,FALSE),"")</f>
        <v/>
      </c>
      <c r="EF159" t="str">
        <f>+IFERROR(VLOOKUP(EF60,IN_Zugliste!$A$4:$D$2002,4,FALSE),"")</f>
        <v/>
      </c>
      <c r="EG159" t="str">
        <f>+IFERROR(VLOOKUP(EG60,IN_Zugliste!$A$4:$D$2002,4,FALSE),"")</f>
        <v/>
      </c>
      <c r="EH159" t="str">
        <f>+IFERROR(VLOOKUP(EH60,IN_Zugliste!$A$4:$D$2002,4,FALSE),"")</f>
        <v/>
      </c>
      <c r="EI159" t="str">
        <f>+IFERROR(VLOOKUP(EI60,IN_Zugliste!$A$4:$D$2002,4,FALSE),"")</f>
        <v/>
      </c>
      <c r="EJ159" t="str">
        <f>+IFERROR(VLOOKUP(EJ60,IN_Zugliste!$A$4:$D$2002,4,FALSE),"")</f>
        <v/>
      </c>
      <c r="EK159" t="str">
        <f>+IFERROR(VLOOKUP(EK60,IN_Zugliste!$A$4:$D$2002,4,FALSE),"")</f>
        <v/>
      </c>
      <c r="EL159" t="str">
        <f>+IFERROR(VLOOKUP(EL60,IN_Zugliste!$A$4:$D$2002,4,FALSE),"")</f>
        <v/>
      </c>
      <c r="EM159" t="str">
        <f>+IFERROR(VLOOKUP(EM60,IN_Zugliste!$A$4:$D$2002,4,FALSE),"")</f>
        <v/>
      </c>
      <c r="EN159" t="str">
        <f>+IFERROR(VLOOKUP(EN60,IN_Zugliste!$A$4:$D$2002,4,FALSE),"")</f>
        <v/>
      </c>
      <c r="EO159" t="str">
        <f>+IFERROR(VLOOKUP(EO60,IN_Zugliste!$A$4:$D$2002,4,FALSE),"")</f>
        <v/>
      </c>
      <c r="EP159" t="str">
        <f>+IFERROR(VLOOKUP(EP60,IN_Zugliste!$A$4:$D$2002,4,FALSE),"")</f>
        <v/>
      </c>
      <c r="EQ159" t="str">
        <f>+IFERROR(VLOOKUP(EQ60,IN_Zugliste!$A$4:$D$2002,4,FALSE),"")</f>
        <v/>
      </c>
      <c r="ER159" t="str">
        <f>+IFERROR(VLOOKUP(ER60,IN_Zugliste!$A$4:$D$2002,4,FALSE),"")</f>
        <v/>
      </c>
      <c r="ES159" t="str">
        <f>+IFERROR(VLOOKUP(ES60,IN_Zugliste!$A$4:$D$2002,4,FALSE),"")</f>
        <v/>
      </c>
      <c r="ET159" t="str">
        <f>+IFERROR(VLOOKUP(ET60,IN_Zugliste!$A$4:$D$2002,4,FALSE),"")</f>
        <v/>
      </c>
      <c r="EU159" t="str">
        <f>+IFERROR(VLOOKUP(EU60,IN_Zugliste!$A$4:$D$2002,4,FALSE),"")</f>
        <v/>
      </c>
      <c r="EV159" t="str">
        <f>+IFERROR(VLOOKUP(EV60,IN_Zugliste!$A$4:$D$2002,4,FALSE),"")</f>
        <v/>
      </c>
      <c r="EW159" t="str">
        <f>+IFERROR(VLOOKUP(EW60,IN_Zugliste!$A$4:$D$2002,4,FALSE),"")</f>
        <v/>
      </c>
      <c r="EX159" t="str">
        <f>+IFERROR(VLOOKUP(EX60,IN_Zugliste!$A$4:$D$2002,4,FALSE),"")</f>
        <v/>
      </c>
      <c r="EY159" t="str">
        <f>+IFERROR(VLOOKUP(EY60,IN_Zugliste!$A$4:$D$2002,4,FALSE),"")</f>
        <v/>
      </c>
      <c r="EZ159" t="str">
        <f>+IFERROR(VLOOKUP(EZ60,IN_Zugliste!$A$4:$D$2002,4,FALSE),"")</f>
        <v/>
      </c>
      <c r="FA159" t="str">
        <f>+IFERROR(VLOOKUP(FA60,IN_Zugliste!$A$4:$D$2002,4,FALSE),"")</f>
        <v/>
      </c>
      <c r="FB159" t="str">
        <f>+IFERROR(VLOOKUP(FB60,IN_Zugliste!$A$4:$D$2002,4,FALSE),"")</f>
        <v/>
      </c>
      <c r="FC159" t="str">
        <f>+IFERROR(VLOOKUP(FC60,IN_Zugliste!$A$4:$D$2002,4,FALSE),"")</f>
        <v/>
      </c>
      <c r="FD159" t="str">
        <f>+IFERROR(VLOOKUP(FD60,IN_Zugliste!$A$4:$D$2002,4,FALSE),"")</f>
        <v/>
      </c>
      <c r="FE159" t="str">
        <f>+IFERROR(VLOOKUP(FE60,IN_Zugliste!$A$4:$D$2002,4,FALSE),"")</f>
        <v/>
      </c>
      <c r="FF159" t="str">
        <f>+IFERROR(VLOOKUP(FF60,IN_Zugliste!$A$4:$D$2002,4,FALSE),"")</f>
        <v/>
      </c>
      <c r="FG159" t="str">
        <f>+IFERROR(VLOOKUP(FG60,IN_Zugliste!$A$4:$D$2002,4,FALSE),"")</f>
        <v/>
      </c>
      <c r="FH159" t="str">
        <f>+IFERROR(VLOOKUP(FH60,IN_Zugliste!$A$4:$D$2002,4,FALSE),"")</f>
        <v/>
      </c>
      <c r="FI159" t="str">
        <f>+IFERROR(VLOOKUP(FI60,IN_Zugliste!$A$4:$D$2002,4,FALSE),"")</f>
        <v/>
      </c>
      <c r="FJ159" t="str">
        <f>+IFERROR(VLOOKUP(FJ60,IN_Zugliste!$A$4:$D$2002,4,FALSE),"")</f>
        <v/>
      </c>
      <c r="FK159" t="str">
        <f>+IFERROR(VLOOKUP(FK60,IN_Zugliste!$A$4:$D$2002,4,FALSE),"")</f>
        <v/>
      </c>
      <c r="FL159" t="str">
        <f>+IFERROR(VLOOKUP(FL60,IN_Zugliste!$A$4:$D$2002,4,FALSE),"")</f>
        <v/>
      </c>
      <c r="FM159" t="str">
        <f>+IFERROR(VLOOKUP(FM60,IN_Zugliste!$A$4:$C$602,4,FALSE),"")</f>
        <v/>
      </c>
      <c r="FN159" t="str">
        <f>+IFERROR(VLOOKUP(FN60,IN_Zugliste!$A$4:$C$602,4,FALSE),"")</f>
        <v/>
      </c>
      <c r="FO159" t="str">
        <f>+IFERROR(VLOOKUP(FO60,IN_Zugliste!$A$4:$C$602,4,FALSE),"")</f>
        <v/>
      </c>
      <c r="FP159" t="str">
        <f>+IFERROR(VLOOKUP(FP60,IN_Zugliste!$A$4:$C$602,4,FALSE),"")</f>
        <v/>
      </c>
      <c r="FQ159" t="str">
        <f>+IFERROR(VLOOKUP(FQ60,IN_Zugliste!$A$4:$C$602,4,FALSE),"")</f>
        <v/>
      </c>
      <c r="FR159" t="str">
        <f>+IFERROR(VLOOKUP(FR60,IN_Zugliste!$A$4:$C$602,4,FALSE),"")</f>
        <v/>
      </c>
      <c r="FS159" t="str">
        <f>+IFERROR(VLOOKUP(FS60,IN_Zugliste!$A$4:$C$602,4,FALSE),"")</f>
        <v/>
      </c>
      <c r="FT159" t="str">
        <f>+IFERROR(VLOOKUP(FT60,IN_Zugliste!$A$4:$C$602,4,FALSE),"")</f>
        <v/>
      </c>
      <c r="FU159" t="str">
        <f>+IFERROR(VLOOKUP(FU60,IN_Zugliste!$A$4:$C$602,4,FALSE),"")</f>
        <v/>
      </c>
      <c r="FV159" t="str">
        <f>+IFERROR(VLOOKUP(FV60,IN_Zugliste!$A$4:$C$602,4,FALSE),"")</f>
        <v/>
      </c>
      <c r="FW159" t="str">
        <f>+IFERROR(VLOOKUP(FW60,IN_Zugliste!$A$4:$C$602,4,FALSE),"")</f>
        <v/>
      </c>
      <c r="FX159" t="str">
        <f>+IFERROR(VLOOKUP(FX60,IN_Zugliste!$A$4:$C$602,4,FALSE),"")</f>
        <v/>
      </c>
      <c r="FY159" t="str">
        <f>+IFERROR(VLOOKUP(FY60,IN_Zugliste!$A$4:$C$602,4,FALSE),"")</f>
        <v/>
      </c>
      <c r="FZ159" t="str">
        <f>+IFERROR(VLOOKUP(FZ60,IN_Zugliste!$A$4:$C$602,4,FALSE),"")</f>
        <v/>
      </c>
      <c r="GA159" t="str">
        <f>+IFERROR(VLOOKUP(GA60,IN_Zugliste!$A$4:$C$602,4,FALSE),"")</f>
        <v/>
      </c>
      <c r="GB159" t="str">
        <f>+IFERROR(VLOOKUP(GB60,IN_Zugliste!$A$4:$C$602,4,FALSE),"")</f>
        <v/>
      </c>
      <c r="GC159" t="str">
        <f>+IFERROR(VLOOKUP(GC60,IN_Zugliste!$A$4:$C$602,4,FALSE),"")</f>
        <v/>
      </c>
      <c r="GD159" t="str">
        <f>+IFERROR(VLOOKUP(GD60,IN_Zugliste!$A$4:$C$602,4,FALSE),"")</f>
        <v/>
      </c>
      <c r="GE159" t="str">
        <f>+IFERROR(VLOOKUP(GE60,IN_Zugliste!$A$4:$C$602,4,FALSE),"")</f>
        <v/>
      </c>
      <c r="GF159" t="str">
        <f>+IFERROR(VLOOKUP(GF60,IN_Zugliste!$A$4:$C$602,4,FALSE),"")</f>
        <v/>
      </c>
      <c r="GG159" t="str">
        <f>+IFERROR(VLOOKUP(GG60,IN_Zugliste!$A$4:$C$602,4,FALSE),"")</f>
        <v/>
      </c>
      <c r="GH159" t="str">
        <f>+IFERROR(VLOOKUP(GH60,IN_Zugliste!$A$4:$C$602,4,FALSE),"")</f>
        <v/>
      </c>
      <c r="GI159" t="str">
        <f>+IFERROR(VLOOKUP(GI60,IN_Zugliste!$A$4:$C$602,4,FALSE),"")</f>
        <v/>
      </c>
      <c r="GJ159" t="str">
        <f>+IFERROR(VLOOKUP(GJ60,IN_Zugliste!$A$4:$C$602,4,FALSE),"")</f>
        <v/>
      </c>
      <c r="GK159" t="str">
        <f>+IFERROR(VLOOKUP(GK60,IN_Zugliste!$A$4:$C$602,4,FALSE),"")</f>
        <v/>
      </c>
      <c r="GL159" t="str">
        <f>+IFERROR(VLOOKUP(GL60,IN_Zugliste!$A$4:$C$602,4,FALSE),"")</f>
        <v/>
      </c>
      <c r="GM159" t="str">
        <f>+IFERROR(VLOOKUP(GM60,IN_Zugliste!$A$4:$C$602,4,FALSE),"")</f>
        <v/>
      </c>
      <c r="GN159" t="str">
        <f>+IFERROR(VLOOKUP(GN60,IN_Zugliste!$A$4:$C$602,4,FALSE),"")</f>
        <v/>
      </c>
      <c r="GO159" t="str">
        <f>+IFERROR(VLOOKUP(GO60,IN_Zugliste!$A$4:$C$602,4,FALSE),"")</f>
        <v/>
      </c>
      <c r="GP159" t="str">
        <f>+IFERROR(VLOOKUP(GP60,IN_Zugliste!$A$4:$C$602,4,FALSE),"")</f>
        <v/>
      </c>
      <c r="GQ159" t="str">
        <f>+IFERROR(VLOOKUP(GQ60,IN_Zugliste!$A$4:$C$602,4,FALSE),"")</f>
        <v/>
      </c>
      <c r="GR159" t="str">
        <f>+IFERROR(VLOOKUP(GR60,IN_Zugliste!$A$4:$C$602,4,FALSE),"")</f>
        <v/>
      </c>
      <c r="GS159" t="str">
        <f>+IFERROR(VLOOKUP(GS60,IN_Zugliste!$A$4:$C$602,4,FALSE),"")</f>
        <v/>
      </c>
      <c r="GT159" t="str">
        <f>+IFERROR(VLOOKUP(GT60,IN_Zugliste!$A$4:$C$602,4,FALSE),"")</f>
        <v/>
      </c>
      <c r="GU159" t="str">
        <f>+IFERROR(VLOOKUP(GU60,IN_Zugliste!$A$4:$C$602,4,FALSE),"")</f>
        <v/>
      </c>
      <c r="GV159" t="str">
        <f>+IFERROR(VLOOKUP(GV60,IN_Zugliste!$A$4:$C$602,4,FALSE),"")</f>
        <v/>
      </c>
      <c r="GW159" t="str">
        <f>+IFERROR(VLOOKUP(GW60,IN_Zugliste!$A$4:$C$602,4,FALSE),"")</f>
        <v/>
      </c>
      <c r="GX159" t="str">
        <f>+IFERROR(VLOOKUP(GX60,IN_Zugliste!$A$4:$C$602,4,FALSE),"")</f>
        <v/>
      </c>
      <c r="GY159" t="str">
        <f>+IFERROR(VLOOKUP(GY60,IN_Zugliste!$A$4:$C$602,4,FALSE),"")</f>
        <v/>
      </c>
      <c r="GZ159" t="str">
        <f>+IFERROR(VLOOKUP(GZ60,IN_Zugliste!$A$4:$C$602,4,FALSE),"")</f>
        <v/>
      </c>
      <c r="HA159" t="str">
        <f>+IFERROR(VLOOKUP(HA60,IN_Zugliste!$A$4:$C$602,4,FALSE),"")</f>
        <v/>
      </c>
      <c r="HB159" t="str">
        <f>+IFERROR(VLOOKUP(HB60,IN_Zugliste!$A$4:$C$602,4,FALSE),"")</f>
        <v/>
      </c>
      <c r="HC159" t="str">
        <f>+IFERROR(VLOOKUP(HC60,IN_Zugliste!$A$4:$C$602,4,FALSE),"")</f>
        <v/>
      </c>
      <c r="HD159" t="str">
        <f>+IFERROR(VLOOKUP(HD60,IN_Zugliste!$A$4:$C$602,4,FALSE),"")</f>
        <v/>
      </c>
      <c r="HE159" t="str">
        <f>+IFERROR(VLOOKUP(HE60,IN_Zugliste!$A$4:$C$602,4,FALSE),"")</f>
        <v/>
      </c>
      <c r="HF159" t="str">
        <f>+IFERROR(VLOOKUP(HF60,IN_Zugliste!$A$4:$C$602,4,FALSE),"")</f>
        <v/>
      </c>
      <c r="HG159" t="str">
        <f>+IFERROR(VLOOKUP(HG60,IN_Zugliste!$A$4:$C$602,4,FALSE),"")</f>
        <v/>
      </c>
      <c r="HH159" t="str">
        <f>+IFERROR(VLOOKUP(HH60,IN_Zugliste!$A$4:$C$602,4,FALSE),"")</f>
        <v/>
      </c>
    </row>
    <row r="160" spans="1:216" x14ac:dyDescent="0.2">
      <c r="A160" t="str">
        <f>+IFERROR(VLOOKUP(A61,IN_Zugliste!$A$4:$D$2002,4,FALSE),"")</f>
        <v/>
      </c>
      <c r="B160" t="str">
        <f>+IFERROR(VLOOKUP(B61,IN_Zugliste!$A$4:$D$2002,4,FALSE),"")</f>
        <v/>
      </c>
      <c r="C160" t="str">
        <f>+IFERROR(VLOOKUP(C61,IN_Zugliste!$A$4:$D$2002,4,FALSE),"")</f>
        <v/>
      </c>
      <c r="D160" t="str">
        <f>+IFERROR(VLOOKUP(D61,IN_Zugliste!$A$4:$D$2002,4,FALSE),"")</f>
        <v/>
      </c>
      <c r="E160" t="str">
        <f>+IFERROR(VLOOKUP(E61,IN_Zugliste!$A$4:$D$2002,4,FALSE),"")</f>
        <v/>
      </c>
      <c r="F160" t="str">
        <f>+IFERROR(VLOOKUP(F61,IN_Zugliste!$A$4:$D$2002,4,FALSE),"")</f>
        <v/>
      </c>
      <c r="G160" t="str">
        <f>+IFERROR(VLOOKUP(G61,IN_Zugliste!$A$4:$D$2002,4,FALSE),"")</f>
        <v/>
      </c>
      <c r="H160" t="str">
        <f>+IFERROR(VLOOKUP(H61,IN_Zugliste!$A$4:$D$2002,4,FALSE),"")</f>
        <v/>
      </c>
      <c r="I160" t="str">
        <f>+IFERROR(VLOOKUP(I61,IN_Zugliste!$A$4:$D$2002,4,FALSE),"")</f>
        <v/>
      </c>
      <c r="J160" t="str">
        <f>+IFERROR(VLOOKUP(J61,IN_Zugliste!$A$4:$D$2002,4,FALSE),"")</f>
        <v/>
      </c>
      <c r="K160" t="str">
        <f>+IFERROR(VLOOKUP(K61,IN_Zugliste!$A$4:$D$2002,4,FALSE),"")</f>
        <v/>
      </c>
      <c r="L160" t="str">
        <f>+IFERROR(VLOOKUP(L61,IN_Zugliste!$A$4:$D$2002,4,FALSE),"")</f>
        <v/>
      </c>
      <c r="M160" t="str">
        <f>+IFERROR(VLOOKUP(M61,IN_Zugliste!$A$4:$D$2002,4,FALSE),"")</f>
        <v/>
      </c>
      <c r="N160" t="str">
        <f>+IFERROR(VLOOKUP(N61,IN_Zugliste!$A$4:$D$2002,4,FALSE),"")</f>
        <v/>
      </c>
      <c r="O160" t="str">
        <f>+IFERROR(VLOOKUP(O61,IN_Zugliste!$A$4:$D$2002,4,FALSE),"")</f>
        <v/>
      </c>
      <c r="P160" t="str">
        <f>+IFERROR(VLOOKUP(P61,IN_Zugliste!$A$4:$D$2002,4,FALSE),"")</f>
        <v/>
      </c>
      <c r="Q160" t="str">
        <f>+IFERROR(VLOOKUP(Q61,IN_Zugliste!$A$4:$D$2002,4,FALSE),"")</f>
        <v/>
      </c>
      <c r="R160" t="str">
        <f>+IFERROR(VLOOKUP(R61,IN_Zugliste!$A$4:$D$2002,4,FALSE),"")</f>
        <v/>
      </c>
      <c r="S160" t="str">
        <f>+IFERROR(VLOOKUP(S61,IN_Zugliste!$A$4:$D$2002,4,FALSE),"")</f>
        <v/>
      </c>
      <c r="T160" t="str">
        <f>+IFERROR(VLOOKUP(T61,IN_Zugliste!$A$4:$D$2002,4,FALSE),"")</f>
        <v/>
      </c>
      <c r="U160" t="str">
        <f>+IFERROR(VLOOKUP(U61,IN_Zugliste!$A$4:$D$2002,4,FALSE),"")</f>
        <v/>
      </c>
      <c r="V160" t="str">
        <f>+IFERROR(VLOOKUP(V61,IN_Zugliste!$A$4:$D$2002,4,FALSE),"")</f>
        <v/>
      </c>
      <c r="W160" t="str">
        <f>+IFERROR(VLOOKUP(W61,IN_Zugliste!$A$4:$D$2002,4,FALSE),"")</f>
        <v/>
      </c>
      <c r="X160" t="str">
        <f>+IFERROR(VLOOKUP(X61,IN_Zugliste!$A$4:$D$2002,4,FALSE),"")</f>
        <v/>
      </c>
      <c r="Y160" t="str">
        <f>+IFERROR(VLOOKUP(Y61,IN_Zugliste!$A$4:$D$2002,4,FALSE),"")</f>
        <v/>
      </c>
      <c r="Z160" t="str">
        <f>+IFERROR(VLOOKUP(Z61,IN_Zugliste!$A$4:$D$2002,4,FALSE),"")</f>
        <v/>
      </c>
      <c r="AA160" t="str">
        <f>+IFERROR(VLOOKUP(AA61,IN_Zugliste!$A$4:$D$2002,4,FALSE),"")</f>
        <v/>
      </c>
      <c r="AB160" t="str">
        <f>+IFERROR(VLOOKUP(AB61,IN_Zugliste!$A$4:$D$2002,4,FALSE),"")</f>
        <v/>
      </c>
      <c r="AC160" t="str">
        <f>+IFERROR(VLOOKUP(AC61,IN_Zugliste!$A$4:$D$2002,4,FALSE),"")</f>
        <v/>
      </c>
      <c r="AD160" t="str">
        <f>+IFERROR(VLOOKUP(AD61,IN_Zugliste!$A$4:$D$2002,4,FALSE),"")</f>
        <v/>
      </c>
      <c r="AE160" t="str">
        <f>+IFERROR(VLOOKUP(AE61,IN_Zugliste!$A$4:$D$2002,4,FALSE),"")</f>
        <v/>
      </c>
      <c r="AF160" t="str">
        <f>+IFERROR(VLOOKUP(AF61,IN_Zugliste!$A$4:$D$2002,4,FALSE),"")</f>
        <v/>
      </c>
      <c r="AG160" t="str">
        <f>+IFERROR(VLOOKUP(AG61,IN_Zugliste!$A$4:$D$2002,4,FALSE),"")</f>
        <v/>
      </c>
      <c r="AH160" t="str">
        <f>+IFERROR(VLOOKUP(AH61,IN_Zugliste!$A$4:$D$2002,4,FALSE),"")</f>
        <v/>
      </c>
      <c r="AI160" t="str">
        <f>+IFERROR(VLOOKUP(AI61,IN_Zugliste!$A$4:$D$2002,4,FALSE),"")</f>
        <v/>
      </c>
      <c r="AJ160" t="str">
        <f>+IFERROR(VLOOKUP(AJ61,IN_Zugliste!$A$4:$D$2002,4,FALSE),"")</f>
        <v/>
      </c>
      <c r="AK160" t="str">
        <f>+IFERROR(VLOOKUP(AK61,IN_Zugliste!$A$4:$D$2002,4,FALSE),"")</f>
        <v/>
      </c>
      <c r="AL160" t="str">
        <f>+IFERROR(VLOOKUP(AL61,IN_Zugliste!$A$4:$D$2002,4,FALSE),"")</f>
        <v/>
      </c>
      <c r="AM160" t="str">
        <f>+IFERROR(VLOOKUP(AM61,IN_Zugliste!$A$4:$D$2002,4,FALSE),"")</f>
        <v/>
      </c>
      <c r="AN160" t="str">
        <f>+IFERROR(VLOOKUP(AN61,IN_Zugliste!$A$4:$D$2002,4,FALSE),"")</f>
        <v/>
      </c>
      <c r="AO160" t="str">
        <f>+IFERROR(VLOOKUP(AO61,IN_Zugliste!$A$4:$D$2002,4,FALSE),"")</f>
        <v/>
      </c>
      <c r="AP160" t="str">
        <f>+IFERROR(VLOOKUP(AP61,IN_Zugliste!$A$4:$D$2002,4,FALSE),"")</f>
        <v/>
      </c>
      <c r="AQ160" t="str">
        <f>+IFERROR(VLOOKUP(AQ61,IN_Zugliste!$A$4:$D$2002,4,FALSE),"")</f>
        <v/>
      </c>
      <c r="AR160" t="str">
        <f>+IFERROR(VLOOKUP(AR61,IN_Zugliste!$A$4:$D$2002,4,FALSE),"")</f>
        <v/>
      </c>
      <c r="AS160" t="str">
        <f>+IFERROR(VLOOKUP(AS61,IN_Zugliste!$A$4:$D$2002,4,FALSE),"")</f>
        <v/>
      </c>
      <c r="AT160" t="str">
        <f>+IFERROR(VLOOKUP(AT61,IN_Zugliste!$A$4:$D$2002,4,FALSE),"")</f>
        <v/>
      </c>
      <c r="AU160" t="str">
        <f>+IFERROR(VLOOKUP(AU61,IN_Zugliste!$A$4:$D$2002,4,FALSE),"")</f>
        <v/>
      </c>
      <c r="AV160" t="str">
        <f>+IFERROR(VLOOKUP(AV61,IN_Zugliste!$A$4:$D$2002,4,FALSE),"")</f>
        <v/>
      </c>
      <c r="AW160" t="str">
        <f>+IFERROR(VLOOKUP(AW61,IN_Zugliste!$A$4:$D$2002,4,FALSE),"")</f>
        <v/>
      </c>
      <c r="AX160" t="str">
        <f>+IFERROR(VLOOKUP(AX61,IN_Zugliste!$A$4:$D$2002,4,FALSE),"")</f>
        <v/>
      </c>
      <c r="AY160" t="str">
        <f>+IFERROR(VLOOKUP(AY61,IN_Zugliste!$A$4:$D$2002,4,FALSE),"")</f>
        <v/>
      </c>
      <c r="AZ160" t="str">
        <f>+IFERROR(VLOOKUP(AZ61,IN_Zugliste!$A$4:$D$2002,4,FALSE),"")</f>
        <v/>
      </c>
      <c r="BA160" t="str">
        <f>+IFERROR(VLOOKUP(BA61,IN_Zugliste!$A$4:$D$2002,4,FALSE),"")</f>
        <v/>
      </c>
      <c r="BB160" t="str">
        <f>+IFERROR(VLOOKUP(BB61,IN_Zugliste!$A$4:$D$2002,4,FALSE),"")</f>
        <v/>
      </c>
      <c r="BC160" t="str">
        <f>+IFERROR(VLOOKUP(BC61,IN_Zugliste!$A$4:$D$2002,4,FALSE),"")</f>
        <v/>
      </c>
      <c r="BD160" t="str">
        <f>+IFERROR(VLOOKUP(BD61,IN_Zugliste!$A$4:$D$2002,4,FALSE),"")</f>
        <v/>
      </c>
      <c r="BE160" t="str">
        <f>+IFERROR(VLOOKUP(BE61,IN_Zugliste!$A$4:$D$2002,4,FALSE),"")</f>
        <v/>
      </c>
      <c r="BF160" t="str">
        <f>+IFERROR(VLOOKUP(BF61,IN_Zugliste!$A$4:$D$2002,4,FALSE),"")</f>
        <v/>
      </c>
      <c r="BG160" t="str">
        <f>+IFERROR(VLOOKUP(BG61,IN_Zugliste!$A$4:$D$2002,4,FALSE),"")</f>
        <v/>
      </c>
      <c r="BH160" t="str">
        <f>+IFERROR(VLOOKUP(BH61,IN_Zugliste!$A$4:$D$2002,4,FALSE),"")</f>
        <v/>
      </c>
      <c r="BI160" t="str">
        <f>+IFERROR(VLOOKUP(BI61,IN_Zugliste!$A$4:$D$2002,4,FALSE),"")</f>
        <v/>
      </c>
      <c r="BJ160" t="str">
        <f>+IFERROR(VLOOKUP(BJ61,IN_Zugliste!$A$4:$D$2002,4,FALSE),"")</f>
        <v/>
      </c>
      <c r="BK160" t="str">
        <f>+IFERROR(VLOOKUP(BK61,IN_Zugliste!$A$4:$D$2002,4,FALSE),"")</f>
        <v/>
      </c>
      <c r="BL160" t="str">
        <f>+IFERROR(VLOOKUP(BL61,IN_Zugliste!$A$4:$D$2002,4,FALSE),"")</f>
        <v/>
      </c>
      <c r="BM160" t="str">
        <f>+IFERROR(VLOOKUP(BM61,IN_Zugliste!$A$4:$D$2002,4,FALSE),"")</f>
        <v/>
      </c>
      <c r="BN160" t="str">
        <f>+IFERROR(VLOOKUP(BN61,IN_Zugliste!$A$4:$D$2002,4,FALSE),"")</f>
        <v/>
      </c>
      <c r="BO160" t="str">
        <f>+IFERROR(VLOOKUP(BO61,IN_Zugliste!$A$4:$D$2002,4,FALSE),"")</f>
        <v/>
      </c>
      <c r="BP160" t="str">
        <f>+IFERROR(VLOOKUP(BP61,IN_Zugliste!$A$4:$D$2002,4,FALSE),"")</f>
        <v/>
      </c>
      <c r="BQ160" t="str">
        <f>+IFERROR(VLOOKUP(BQ61,IN_Zugliste!$A$4:$D$2002,4,FALSE),"")</f>
        <v/>
      </c>
      <c r="BR160" t="str">
        <f>+IFERROR(VLOOKUP(BR61,IN_Zugliste!$A$4:$D$2002,4,FALSE),"")</f>
        <v/>
      </c>
      <c r="BS160" t="str">
        <f>+IFERROR(VLOOKUP(BS61,IN_Zugliste!$A$4:$D$2002,4,FALSE),"")</f>
        <v/>
      </c>
      <c r="BT160" t="str">
        <f>+IFERROR(VLOOKUP(BT61,IN_Zugliste!$A$4:$D$2002,4,FALSE),"")</f>
        <v/>
      </c>
      <c r="BU160" t="str">
        <f>+IFERROR(VLOOKUP(BU61,IN_Zugliste!$A$4:$D$2002,4,FALSE),"")</f>
        <v/>
      </c>
      <c r="BV160" t="str">
        <f>+IFERROR(VLOOKUP(BV61,IN_Zugliste!$A$4:$D$2002,4,FALSE),"")</f>
        <v/>
      </c>
      <c r="BW160" t="str">
        <f>+IFERROR(VLOOKUP(BW61,IN_Zugliste!$A$4:$D$2002,4,FALSE),"")</f>
        <v/>
      </c>
      <c r="BX160" t="str">
        <f>+IFERROR(VLOOKUP(BX61,IN_Zugliste!$A$4:$D$2002,4,FALSE),"")</f>
        <v/>
      </c>
      <c r="BY160" t="str">
        <f>+IFERROR(VLOOKUP(BY61,IN_Zugliste!$A$4:$D$2002,4,FALSE),"")</f>
        <v/>
      </c>
      <c r="BZ160" t="str">
        <f>+IFERROR(VLOOKUP(BZ61,IN_Zugliste!$A$4:$D$2002,4,FALSE),"")</f>
        <v/>
      </c>
      <c r="CA160" t="str">
        <f>+IFERROR(VLOOKUP(CA61,IN_Zugliste!$A$4:$D$2002,4,FALSE),"")</f>
        <v/>
      </c>
      <c r="CB160" t="str">
        <f>+IFERROR(VLOOKUP(CB61,IN_Zugliste!$A$4:$D$2002,4,FALSE),"")</f>
        <v/>
      </c>
      <c r="CC160" t="str">
        <f>+IFERROR(VLOOKUP(CC61,IN_Zugliste!$A$4:$D$2002,4,FALSE),"")</f>
        <v/>
      </c>
      <c r="CD160" t="str">
        <f>+IFERROR(VLOOKUP(CD61,IN_Zugliste!$A$4:$D$2002,4,FALSE),"")</f>
        <v/>
      </c>
      <c r="CE160" t="str">
        <f>+IFERROR(VLOOKUP(CE61,IN_Zugliste!$A$4:$D$2002,4,FALSE),"")</f>
        <v/>
      </c>
      <c r="CF160" t="str">
        <f>+IFERROR(VLOOKUP(CF61,IN_Zugliste!$A$4:$D$2002,4,FALSE),"")</f>
        <v/>
      </c>
      <c r="CG160" t="str">
        <f>+IFERROR(VLOOKUP(CG61,IN_Zugliste!$A$4:$D$2002,4,FALSE),"")</f>
        <v/>
      </c>
      <c r="CH160" t="str">
        <f>+IFERROR(VLOOKUP(CH61,IN_Zugliste!$A$4:$D$2002,4,FALSE),"")</f>
        <v/>
      </c>
      <c r="CI160" t="str">
        <f>+IFERROR(VLOOKUP(CI61,IN_Zugliste!$A$4:$D$2002,4,FALSE),"")</f>
        <v/>
      </c>
      <c r="CJ160" t="str">
        <f>+IFERROR(VLOOKUP(CJ61,IN_Zugliste!$A$4:$D$2002,4,FALSE),"")</f>
        <v/>
      </c>
      <c r="CK160" t="str">
        <f>+IFERROR(VLOOKUP(CK61,IN_Zugliste!$A$4:$D$2002,4,FALSE),"")</f>
        <v/>
      </c>
      <c r="CL160" t="str">
        <f>+IFERROR(VLOOKUP(CL61,IN_Zugliste!$A$4:$D$2002,4,FALSE),"")</f>
        <v/>
      </c>
      <c r="CM160" t="str">
        <f>+IFERROR(VLOOKUP(CM61,IN_Zugliste!$A$4:$D$2002,4,FALSE),"")</f>
        <v/>
      </c>
      <c r="CN160" t="str">
        <f>+IFERROR(VLOOKUP(CN61,IN_Zugliste!$A$4:$D$2002,4,FALSE),"")</f>
        <v/>
      </c>
      <c r="CO160" t="str">
        <f>+IFERROR(VLOOKUP(CO61,IN_Zugliste!$A$4:$D$2002,4,FALSE),"")</f>
        <v/>
      </c>
      <c r="CP160" t="str">
        <f>+IFERROR(VLOOKUP(CP61,IN_Zugliste!$A$4:$D$2002,4,FALSE),"")</f>
        <v/>
      </c>
      <c r="CQ160" t="str">
        <f>+IFERROR(VLOOKUP(CQ61,IN_Zugliste!$A$4:$D$2002,4,FALSE),"")</f>
        <v/>
      </c>
      <c r="CR160" t="str">
        <f>+IFERROR(VLOOKUP(CR61,IN_Zugliste!$A$4:$D$2002,4,FALSE),"")</f>
        <v/>
      </c>
      <c r="CS160" t="str">
        <f>+IFERROR(VLOOKUP(CS61,IN_Zugliste!$A$4:$D$2002,4,FALSE),"")</f>
        <v/>
      </c>
      <c r="CT160" t="str">
        <f>+IFERROR(VLOOKUP(CT61,IN_Zugliste!$A$4:$D$2002,4,FALSE),"")</f>
        <v/>
      </c>
      <c r="CU160" t="str">
        <f>+IFERROR(VLOOKUP(CU61,IN_Zugliste!$A$4:$D$2002,4,FALSE),"")</f>
        <v/>
      </c>
      <c r="CV160" t="str">
        <f>+IFERROR(VLOOKUP(CV61,IN_Zugliste!$A$4:$D$2002,4,FALSE),"")</f>
        <v/>
      </c>
      <c r="CW160" t="str">
        <f>+IFERROR(VLOOKUP(CW61,IN_Zugliste!$A$4:$D$2002,4,FALSE),"")</f>
        <v/>
      </c>
      <c r="CX160" t="str">
        <f>+IFERROR(VLOOKUP(CX61,IN_Zugliste!$A$4:$D$2002,4,FALSE),"")</f>
        <v/>
      </c>
      <c r="CY160" t="str">
        <f>+IFERROR(VLOOKUP(CY61,IN_Zugliste!$A$4:$D$2002,4,FALSE),"")</f>
        <v/>
      </c>
      <c r="CZ160" t="str">
        <f>+IFERROR(VLOOKUP(CZ61,IN_Zugliste!$A$4:$D$2002,4,FALSE),"")</f>
        <v/>
      </c>
      <c r="DA160" t="str">
        <f>+IFERROR(VLOOKUP(DA61,IN_Zugliste!$A$4:$D$2002,4,FALSE),"")</f>
        <v/>
      </c>
      <c r="DB160" t="str">
        <f>+IFERROR(VLOOKUP(DB61,IN_Zugliste!$A$4:$D$2002,4,FALSE),"")</f>
        <v/>
      </c>
      <c r="DC160" t="str">
        <f>+IFERROR(VLOOKUP(DC61,IN_Zugliste!$A$4:$D$2002,4,FALSE),"")</f>
        <v/>
      </c>
      <c r="DD160" t="str">
        <f>+IFERROR(VLOOKUP(DD61,IN_Zugliste!$A$4:$D$2002,4,FALSE),"")</f>
        <v/>
      </c>
      <c r="DE160" t="str">
        <f>+IFERROR(VLOOKUP(DE61,IN_Zugliste!$A$4:$D$2002,4,FALSE),"")</f>
        <v/>
      </c>
      <c r="DF160" t="str">
        <f>+IFERROR(VLOOKUP(DF61,IN_Zugliste!$A$4:$D$2002,4,FALSE),"")</f>
        <v/>
      </c>
      <c r="DG160" t="str">
        <f>+IFERROR(VLOOKUP(DG61,IN_Zugliste!$A$4:$D$2002,4,FALSE),"")</f>
        <v/>
      </c>
      <c r="DH160" t="str">
        <f>+IFERROR(VLOOKUP(DH61,IN_Zugliste!$A$4:$D$2002,4,FALSE),"")</f>
        <v/>
      </c>
      <c r="DI160" t="str">
        <f>+IFERROR(VLOOKUP(DI61,IN_Zugliste!$A$4:$D$2002,4,FALSE),"")</f>
        <v/>
      </c>
      <c r="DJ160" t="str">
        <f>+IFERROR(VLOOKUP(DJ61,IN_Zugliste!$A$4:$D$2002,4,FALSE),"")</f>
        <v/>
      </c>
      <c r="DK160" t="str">
        <f>+IFERROR(VLOOKUP(DK61,IN_Zugliste!$A$4:$D$2002,4,FALSE),"")</f>
        <v/>
      </c>
      <c r="DL160" t="str">
        <f>+IFERROR(VLOOKUP(DL61,IN_Zugliste!$A$4:$D$2002,4,FALSE),"")</f>
        <v/>
      </c>
      <c r="DM160" t="str">
        <f>+IFERROR(VLOOKUP(DM61,IN_Zugliste!$A$4:$D$2002,4,FALSE),"")</f>
        <v/>
      </c>
      <c r="DN160" t="str">
        <f>+IFERROR(VLOOKUP(DN61,IN_Zugliste!$A$4:$D$2002,4,FALSE),"")</f>
        <v/>
      </c>
      <c r="DO160" t="str">
        <f>+IFERROR(VLOOKUP(DO61,IN_Zugliste!$A$4:$D$2002,4,FALSE),"")</f>
        <v/>
      </c>
      <c r="DP160" t="str">
        <f>+IFERROR(VLOOKUP(DP61,IN_Zugliste!$A$4:$D$2002,4,FALSE),"")</f>
        <v/>
      </c>
      <c r="DQ160" t="str">
        <f>+IFERROR(VLOOKUP(DQ61,IN_Zugliste!$A$4:$D$2002,4,FALSE),"")</f>
        <v/>
      </c>
      <c r="DR160" t="str">
        <f>+IFERROR(VLOOKUP(DR61,IN_Zugliste!$A$4:$D$2002,4,FALSE),"")</f>
        <v/>
      </c>
      <c r="DS160" t="str">
        <f>+IFERROR(VLOOKUP(DS61,IN_Zugliste!$A$4:$D$2002,4,FALSE),"")</f>
        <v/>
      </c>
      <c r="DT160" t="str">
        <f>+IFERROR(VLOOKUP(DT61,IN_Zugliste!$A$4:$D$2002,4,FALSE),"")</f>
        <v/>
      </c>
      <c r="DU160" t="str">
        <f>+IFERROR(VLOOKUP(DU61,IN_Zugliste!$A$4:$D$2002,4,FALSE),"")</f>
        <v/>
      </c>
      <c r="DV160" t="str">
        <f>+IFERROR(VLOOKUP(DV61,IN_Zugliste!$A$4:$D$2002,4,FALSE),"")</f>
        <v/>
      </c>
      <c r="DW160" t="str">
        <f>+IFERROR(VLOOKUP(DW61,IN_Zugliste!$A$4:$D$2002,4,FALSE),"")</f>
        <v/>
      </c>
      <c r="DX160" t="str">
        <f>+IFERROR(VLOOKUP(DX61,IN_Zugliste!$A$4:$D$2002,4,FALSE),"")</f>
        <v/>
      </c>
      <c r="DY160" t="str">
        <f>+IFERROR(VLOOKUP(DY61,IN_Zugliste!$A$4:$D$2002,4,FALSE),"")</f>
        <v/>
      </c>
      <c r="DZ160" t="str">
        <f>+IFERROR(VLOOKUP(DZ61,IN_Zugliste!$A$4:$D$2002,4,FALSE),"")</f>
        <v/>
      </c>
      <c r="EA160" t="str">
        <f>+IFERROR(VLOOKUP(EA61,IN_Zugliste!$A$4:$D$2002,4,FALSE),"")</f>
        <v/>
      </c>
      <c r="EB160" t="str">
        <f>+IFERROR(VLOOKUP(EB61,IN_Zugliste!$A$4:$D$2002,4,FALSE),"")</f>
        <v/>
      </c>
      <c r="EC160" t="str">
        <f>+IFERROR(VLOOKUP(EC61,IN_Zugliste!$A$4:$D$2002,4,FALSE),"")</f>
        <v/>
      </c>
      <c r="ED160" t="str">
        <f>+IFERROR(VLOOKUP(ED61,IN_Zugliste!$A$4:$D$2002,4,FALSE),"")</f>
        <v/>
      </c>
      <c r="EE160" t="str">
        <f>+IFERROR(VLOOKUP(EE61,IN_Zugliste!$A$4:$D$2002,4,FALSE),"")</f>
        <v/>
      </c>
      <c r="EF160" t="str">
        <f>+IFERROR(VLOOKUP(EF61,IN_Zugliste!$A$4:$D$2002,4,FALSE),"")</f>
        <v/>
      </c>
      <c r="EG160" t="str">
        <f>+IFERROR(VLOOKUP(EG61,IN_Zugliste!$A$4:$D$2002,4,FALSE),"")</f>
        <v/>
      </c>
      <c r="EH160" t="str">
        <f>+IFERROR(VLOOKUP(EH61,IN_Zugliste!$A$4:$D$2002,4,FALSE),"")</f>
        <v/>
      </c>
      <c r="EI160" t="str">
        <f>+IFERROR(VLOOKUP(EI61,IN_Zugliste!$A$4:$D$2002,4,FALSE),"")</f>
        <v/>
      </c>
      <c r="EJ160" t="str">
        <f>+IFERROR(VLOOKUP(EJ61,IN_Zugliste!$A$4:$D$2002,4,FALSE),"")</f>
        <v/>
      </c>
      <c r="EK160" t="str">
        <f>+IFERROR(VLOOKUP(EK61,IN_Zugliste!$A$4:$D$2002,4,FALSE),"")</f>
        <v/>
      </c>
      <c r="EL160" t="str">
        <f>+IFERROR(VLOOKUP(EL61,IN_Zugliste!$A$4:$D$2002,4,FALSE),"")</f>
        <v/>
      </c>
      <c r="EM160" t="str">
        <f>+IFERROR(VLOOKUP(EM61,IN_Zugliste!$A$4:$D$2002,4,FALSE),"")</f>
        <v/>
      </c>
      <c r="EN160" t="str">
        <f>+IFERROR(VLOOKUP(EN61,IN_Zugliste!$A$4:$D$2002,4,FALSE),"")</f>
        <v/>
      </c>
      <c r="EO160" t="str">
        <f>+IFERROR(VLOOKUP(EO61,IN_Zugliste!$A$4:$D$2002,4,FALSE),"")</f>
        <v/>
      </c>
      <c r="EP160" t="str">
        <f>+IFERROR(VLOOKUP(EP61,IN_Zugliste!$A$4:$D$2002,4,FALSE),"")</f>
        <v/>
      </c>
      <c r="EQ160" t="str">
        <f>+IFERROR(VLOOKUP(EQ61,IN_Zugliste!$A$4:$D$2002,4,FALSE),"")</f>
        <v/>
      </c>
      <c r="ER160" t="str">
        <f>+IFERROR(VLOOKUP(ER61,IN_Zugliste!$A$4:$D$2002,4,FALSE),"")</f>
        <v/>
      </c>
      <c r="ES160" t="str">
        <f>+IFERROR(VLOOKUP(ES61,IN_Zugliste!$A$4:$D$2002,4,FALSE),"")</f>
        <v/>
      </c>
      <c r="ET160" t="str">
        <f>+IFERROR(VLOOKUP(ET61,IN_Zugliste!$A$4:$D$2002,4,FALSE),"")</f>
        <v/>
      </c>
      <c r="EU160" t="str">
        <f>+IFERROR(VLOOKUP(EU61,IN_Zugliste!$A$4:$D$2002,4,FALSE),"")</f>
        <v/>
      </c>
      <c r="EV160" t="str">
        <f>+IFERROR(VLOOKUP(EV61,IN_Zugliste!$A$4:$D$2002,4,FALSE),"")</f>
        <v/>
      </c>
      <c r="EW160" t="str">
        <f>+IFERROR(VLOOKUP(EW61,IN_Zugliste!$A$4:$D$2002,4,FALSE),"")</f>
        <v/>
      </c>
      <c r="EX160" t="str">
        <f>+IFERROR(VLOOKUP(EX61,IN_Zugliste!$A$4:$D$2002,4,FALSE),"")</f>
        <v/>
      </c>
      <c r="EY160" t="str">
        <f>+IFERROR(VLOOKUP(EY61,IN_Zugliste!$A$4:$D$2002,4,FALSE),"")</f>
        <v/>
      </c>
      <c r="EZ160" t="str">
        <f>+IFERROR(VLOOKUP(EZ61,IN_Zugliste!$A$4:$D$2002,4,FALSE),"")</f>
        <v/>
      </c>
      <c r="FA160" t="str">
        <f>+IFERROR(VLOOKUP(FA61,IN_Zugliste!$A$4:$D$2002,4,FALSE),"")</f>
        <v/>
      </c>
      <c r="FB160" t="str">
        <f>+IFERROR(VLOOKUP(FB61,IN_Zugliste!$A$4:$D$2002,4,FALSE),"")</f>
        <v/>
      </c>
      <c r="FC160" t="str">
        <f>+IFERROR(VLOOKUP(FC61,IN_Zugliste!$A$4:$D$2002,4,FALSE),"")</f>
        <v/>
      </c>
      <c r="FD160" t="str">
        <f>+IFERROR(VLOOKUP(FD61,IN_Zugliste!$A$4:$D$2002,4,FALSE),"")</f>
        <v/>
      </c>
      <c r="FE160" t="str">
        <f>+IFERROR(VLOOKUP(FE61,IN_Zugliste!$A$4:$D$2002,4,FALSE),"")</f>
        <v/>
      </c>
      <c r="FF160" t="str">
        <f>+IFERROR(VLOOKUP(FF61,IN_Zugliste!$A$4:$D$2002,4,FALSE),"")</f>
        <v/>
      </c>
      <c r="FG160" t="str">
        <f>+IFERROR(VLOOKUP(FG61,IN_Zugliste!$A$4:$D$2002,4,FALSE),"")</f>
        <v/>
      </c>
      <c r="FH160" t="str">
        <f>+IFERROR(VLOOKUP(FH61,IN_Zugliste!$A$4:$D$2002,4,FALSE),"")</f>
        <v/>
      </c>
      <c r="FI160" t="str">
        <f>+IFERROR(VLOOKUP(FI61,IN_Zugliste!$A$4:$D$2002,4,FALSE),"")</f>
        <v/>
      </c>
      <c r="FJ160" t="str">
        <f>+IFERROR(VLOOKUP(FJ61,IN_Zugliste!$A$4:$D$2002,4,FALSE),"")</f>
        <v/>
      </c>
      <c r="FK160" t="str">
        <f>+IFERROR(VLOOKUP(FK61,IN_Zugliste!$A$4:$D$2002,4,FALSE),"")</f>
        <v/>
      </c>
      <c r="FL160" t="str">
        <f>+IFERROR(VLOOKUP(FL61,IN_Zugliste!$A$4:$D$2002,4,FALSE),"")</f>
        <v/>
      </c>
      <c r="FM160" t="str">
        <f>+IFERROR(VLOOKUP(FM61,IN_Zugliste!$A$4:$C$602,4,FALSE),"")</f>
        <v/>
      </c>
      <c r="FN160" t="str">
        <f>+IFERROR(VLOOKUP(FN61,IN_Zugliste!$A$4:$C$602,4,FALSE),"")</f>
        <v/>
      </c>
      <c r="FO160" t="str">
        <f>+IFERROR(VLOOKUP(FO61,IN_Zugliste!$A$4:$C$602,4,FALSE),"")</f>
        <v/>
      </c>
      <c r="FP160" t="str">
        <f>+IFERROR(VLOOKUP(FP61,IN_Zugliste!$A$4:$C$602,4,FALSE),"")</f>
        <v/>
      </c>
      <c r="FQ160" t="str">
        <f>+IFERROR(VLOOKUP(FQ61,IN_Zugliste!$A$4:$C$602,4,FALSE),"")</f>
        <v/>
      </c>
      <c r="FR160" t="str">
        <f>+IFERROR(VLOOKUP(FR61,IN_Zugliste!$A$4:$C$602,4,FALSE),"")</f>
        <v/>
      </c>
      <c r="FS160" t="str">
        <f>+IFERROR(VLOOKUP(FS61,IN_Zugliste!$A$4:$C$602,4,FALSE),"")</f>
        <v/>
      </c>
      <c r="FT160" t="str">
        <f>+IFERROR(VLOOKUP(FT61,IN_Zugliste!$A$4:$C$602,4,FALSE),"")</f>
        <v/>
      </c>
      <c r="FU160" t="str">
        <f>+IFERROR(VLOOKUP(FU61,IN_Zugliste!$A$4:$C$602,4,FALSE),"")</f>
        <v/>
      </c>
      <c r="FV160" t="str">
        <f>+IFERROR(VLOOKUP(FV61,IN_Zugliste!$A$4:$C$602,4,FALSE),"")</f>
        <v/>
      </c>
      <c r="FW160" t="str">
        <f>+IFERROR(VLOOKUP(FW61,IN_Zugliste!$A$4:$C$602,4,FALSE),"")</f>
        <v/>
      </c>
      <c r="FX160" t="str">
        <f>+IFERROR(VLOOKUP(FX61,IN_Zugliste!$A$4:$C$602,4,FALSE),"")</f>
        <v/>
      </c>
      <c r="FY160" t="str">
        <f>+IFERROR(VLOOKUP(FY61,IN_Zugliste!$A$4:$C$602,4,FALSE),"")</f>
        <v/>
      </c>
      <c r="FZ160" t="str">
        <f>+IFERROR(VLOOKUP(FZ61,IN_Zugliste!$A$4:$C$602,4,FALSE),"")</f>
        <v/>
      </c>
      <c r="GA160" t="str">
        <f>+IFERROR(VLOOKUP(GA61,IN_Zugliste!$A$4:$C$602,4,FALSE),"")</f>
        <v/>
      </c>
      <c r="GB160" t="str">
        <f>+IFERROR(VLOOKUP(GB61,IN_Zugliste!$A$4:$C$602,4,FALSE),"")</f>
        <v/>
      </c>
      <c r="GC160" t="str">
        <f>+IFERROR(VLOOKUP(GC61,IN_Zugliste!$A$4:$C$602,4,FALSE),"")</f>
        <v/>
      </c>
      <c r="GD160" t="str">
        <f>+IFERROR(VLOOKUP(GD61,IN_Zugliste!$A$4:$C$602,4,FALSE),"")</f>
        <v/>
      </c>
      <c r="GE160" t="str">
        <f>+IFERROR(VLOOKUP(GE61,IN_Zugliste!$A$4:$C$602,4,FALSE),"")</f>
        <v/>
      </c>
      <c r="GF160" t="str">
        <f>+IFERROR(VLOOKUP(GF61,IN_Zugliste!$A$4:$C$602,4,FALSE),"")</f>
        <v/>
      </c>
      <c r="GG160" t="str">
        <f>+IFERROR(VLOOKUP(GG61,IN_Zugliste!$A$4:$C$602,4,FALSE),"")</f>
        <v/>
      </c>
      <c r="GH160" t="str">
        <f>+IFERROR(VLOOKUP(GH61,IN_Zugliste!$A$4:$C$602,4,FALSE),"")</f>
        <v/>
      </c>
      <c r="GI160" t="str">
        <f>+IFERROR(VLOOKUP(GI61,IN_Zugliste!$A$4:$C$602,4,FALSE),"")</f>
        <v/>
      </c>
      <c r="GJ160" t="str">
        <f>+IFERROR(VLOOKUP(GJ61,IN_Zugliste!$A$4:$C$602,4,FALSE),"")</f>
        <v/>
      </c>
      <c r="GK160" t="str">
        <f>+IFERROR(VLOOKUP(GK61,IN_Zugliste!$A$4:$C$602,4,FALSE),"")</f>
        <v/>
      </c>
      <c r="GL160" t="str">
        <f>+IFERROR(VLOOKUP(GL61,IN_Zugliste!$A$4:$C$602,4,FALSE),"")</f>
        <v/>
      </c>
      <c r="GM160" t="str">
        <f>+IFERROR(VLOOKUP(GM61,IN_Zugliste!$A$4:$C$602,4,FALSE),"")</f>
        <v/>
      </c>
      <c r="GN160" t="str">
        <f>+IFERROR(VLOOKUP(GN61,IN_Zugliste!$A$4:$C$602,4,FALSE),"")</f>
        <v/>
      </c>
      <c r="GO160" t="str">
        <f>+IFERROR(VLOOKUP(GO61,IN_Zugliste!$A$4:$C$602,4,FALSE),"")</f>
        <v/>
      </c>
      <c r="GP160" t="str">
        <f>+IFERROR(VLOOKUP(GP61,IN_Zugliste!$A$4:$C$602,4,FALSE),"")</f>
        <v/>
      </c>
      <c r="GQ160" t="str">
        <f>+IFERROR(VLOOKUP(GQ61,IN_Zugliste!$A$4:$C$602,4,FALSE),"")</f>
        <v/>
      </c>
      <c r="GR160" t="str">
        <f>+IFERROR(VLOOKUP(GR61,IN_Zugliste!$A$4:$C$602,4,FALSE),"")</f>
        <v/>
      </c>
      <c r="GS160" t="str">
        <f>+IFERROR(VLOOKUP(GS61,IN_Zugliste!$A$4:$C$602,4,FALSE),"")</f>
        <v/>
      </c>
      <c r="GT160" t="str">
        <f>+IFERROR(VLOOKUP(GT61,IN_Zugliste!$A$4:$C$602,4,FALSE),"")</f>
        <v/>
      </c>
      <c r="GU160" t="str">
        <f>+IFERROR(VLOOKUP(GU61,IN_Zugliste!$A$4:$C$602,4,FALSE),"")</f>
        <v/>
      </c>
      <c r="GV160" t="str">
        <f>+IFERROR(VLOOKUP(GV61,IN_Zugliste!$A$4:$C$602,4,FALSE),"")</f>
        <v/>
      </c>
      <c r="GW160" t="str">
        <f>+IFERROR(VLOOKUP(GW61,IN_Zugliste!$A$4:$C$602,4,FALSE),"")</f>
        <v/>
      </c>
      <c r="GX160" t="str">
        <f>+IFERROR(VLOOKUP(GX61,IN_Zugliste!$A$4:$C$602,4,FALSE),"")</f>
        <v/>
      </c>
      <c r="GY160" t="str">
        <f>+IFERROR(VLOOKUP(GY61,IN_Zugliste!$A$4:$C$602,4,FALSE),"")</f>
        <v/>
      </c>
      <c r="GZ160" t="str">
        <f>+IFERROR(VLOOKUP(GZ61,IN_Zugliste!$A$4:$C$602,4,FALSE),"")</f>
        <v/>
      </c>
      <c r="HA160" t="str">
        <f>+IFERROR(VLOOKUP(HA61,IN_Zugliste!$A$4:$C$602,4,FALSE),"")</f>
        <v/>
      </c>
      <c r="HB160" t="str">
        <f>+IFERROR(VLOOKUP(HB61,IN_Zugliste!$A$4:$C$602,4,FALSE),"")</f>
        <v/>
      </c>
      <c r="HC160" t="str">
        <f>+IFERROR(VLOOKUP(HC61,IN_Zugliste!$A$4:$C$602,4,FALSE),"")</f>
        <v/>
      </c>
      <c r="HD160" t="str">
        <f>+IFERROR(VLOOKUP(HD61,IN_Zugliste!$A$4:$C$602,4,FALSE),"")</f>
        <v/>
      </c>
      <c r="HE160" t="str">
        <f>+IFERROR(VLOOKUP(HE61,IN_Zugliste!$A$4:$C$602,4,FALSE),"")</f>
        <v/>
      </c>
      <c r="HF160" t="str">
        <f>+IFERROR(VLOOKUP(HF61,IN_Zugliste!$A$4:$C$602,4,FALSE),"")</f>
        <v/>
      </c>
      <c r="HG160" t="str">
        <f>+IFERROR(VLOOKUP(HG61,IN_Zugliste!$A$4:$C$602,4,FALSE),"")</f>
        <v/>
      </c>
      <c r="HH160" t="str">
        <f>+IFERROR(VLOOKUP(HH61,IN_Zugliste!$A$4:$C$602,4,FALSE),"")</f>
        <v/>
      </c>
    </row>
    <row r="198" spans="1:248" x14ac:dyDescent="0.2">
      <c r="A198" t="str">
        <f>+IFERROR(VLOOKUP("Ja",A201:A250,1,FALSE),"")</f>
        <v/>
      </c>
      <c r="B198" t="str">
        <f t="shared" ref="B198:BM198" si="4">+IFERROR(VLOOKUP("Ja",B201:B250,1,FALSE),"")</f>
        <v/>
      </c>
      <c r="C198" t="str">
        <f t="shared" si="4"/>
        <v/>
      </c>
      <c r="D198" t="str">
        <f t="shared" si="4"/>
        <v/>
      </c>
      <c r="E198" t="str">
        <f t="shared" si="4"/>
        <v/>
      </c>
      <c r="F198" t="str">
        <f t="shared" si="4"/>
        <v/>
      </c>
      <c r="G198" t="str">
        <f t="shared" si="4"/>
        <v/>
      </c>
      <c r="H198" t="str">
        <f t="shared" si="4"/>
        <v/>
      </c>
      <c r="I198" t="str">
        <f t="shared" si="4"/>
        <v/>
      </c>
      <c r="J198" t="str">
        <f t="shared" si="4"/>
        <v/>
      </c>
      <c r="K198" t="str">
        <f t="shared" si="4"/>
        <v/>
      </c>
      <c r="L198" t="str">
        <f t="shared" si="4"/>
        <v/>
      </c>
      <c r="M198" t="str">
        <f t="shared" si="4"/>
        <v/>
      </c>
      <c r="N198" t="str">
        <f t="shared" si="4"/>
        <v/>
      </c>
      <c r="O198" t="str">
        <f t="shared" si="4"/>
        <v/>
      </c>
      <c r="P198" t="str">
        <f t="shared" si="4"/>
        <v/>
      </c>
      <c r="Q198" t="str">
        <f t="shared" si="4"/>
        <v/>
      </c>
      <c r="R198" t="str">
        <f t="shared" si="4"/>
        <v>Ja</v>
      </c>
      <c r="S198" t="str">
        <f t="shared" si="4"/>
        <v>Ja</v>
      </c>
      <c r="T198" t="str">
        <f t="shared" si="4"/>
        <v/>
      </c>
      <c r="U198" t="str">
        <f t="shared" si="4"/>
        <v/>
      </c>
      <c r="V198" t="str">
        <f t="shared" si="4"/>
        <v/>
      </c>
      <c r="W198" t="str">
        <f t="shared" si="4"/>
        <v/>
      </c>
      <c r="X198" t="str">
        <f t="shared" si="4"/>
        <v/>
      </c>
      <c r="Y198" t="str">
        <f t="shared" si="4"/>
        <v/>
      </c>
      <c r="Z198" t="str">
        <f t="shared" si="4"/>
        <v/>
      </c>
      <c r="AA198" t="str">
        <f t="shared" si="4"/>
        <v/>
      </c>
      <c r="AB198" t="str">
        <f t="shared" si="4"/>
        <v/>
      </c>
      <c r="AC198" t="str">
        <f t="shared" si="4"/>
        <v>Ja</v>
      </c>
      <c r="AD198" t="str">
        <f t="shared" si="4"/>
        <v>Ja</v>
      </c>
      <c r="AE198" t="str">
        <f t="shared" si="4"/>
        <v/>
      </c>
      <c r="AF198" t="str">
        <f t="shared" si="4"/>
        <v/>
      </c>
      <c r="AG198" t="str">
        <f t="shared" si="4"/>
        <v/>
      </c>
      <c r="AH198" t="str">
        <f t="shared" si="4"/>
        <v>Ja</v>
      </c>
      <c r="AI198" t="str">
        <f t="shared" si="4"/>
        <v/>
      </c>
      <c r="AJ198" t="str">
        <f t="shared" si="4"/>
        <v/>
      </c>
      <c r="AK198" t="str">
        <f t="shared" si="4"/>
        <v/>
      </c>
      <c r="AL198" t="str">
        <f t="shared" si="4"/>
        <v/>
      </c>
      <c r="AM198" t="str">
        <f t="shared" si="4"/>
        <v>Ja</v>
      </c>
      <c r="AN198" t="str">
        <f t="shared" si="4"/>
        <v/>
      </c>
      <c r="AO198" t="str">
        <f t="shared" si="4"/>
        <v/>
      </c>
      <c r="AP198" t="str">
        <f t="shared" si="4"/>
        <v>Ja</v>
      </c>
      <c r="AQ198" t="str">
        <f t="shared" si="4"/>
        <v/>
      </c>
      <c r="AR198" t="str">
        <f t="shared" si="4"/>
        <v>Ja</v>
      </c>
      <c r="AS198" t="str">
        <f t="shared" si="4"/>
        <v/>
      </c>
      <c r="AT198" t="str">
        <f t="shared" si="4"/>
        <v>Ja</v>
      </c>
      <c r="AU198" t="str">
        <f t="shared" si="4"/>
        <v>Ja</v>
      </c>
      <c r="AV198" t="str">
        <f t="shared" si="4"/>
        <v>Ja</v>
      </c>
      <c r="AW198" t="str">
        <f t="shared" si="4"/>
        <v>Ja</v>
      </c>
      <c r="AX198" t="str">
        <f t="shared" si="4"/>
        <v/>
      </c>
      <c r="AY198" t="str">
        <f t="shared" si="4"/>
        <v>Ja</v>
      </c>
      <c r="AZ198" t="str">
        <f t="shared" si="4"/>
        <v>Ja</v>
      </c>
      <c r="BA198" t="str">
        <f t="shared" si="4"/>
        <v>Ja</v>
      </c>
      <c r="BB198" t="str">
        <f t="shared" si="4"/>
        <v>Ja</v>
      </c>
      <c r="BC198" t="str">
        <f t="shared" si="4"/>
        <v/>
      </c>
      <c r="BD198" t="str">
        <f t="shared" si="4"/>
        <v/>
      </c>
      <c r="BE198" t="str">
        <f t="shared" si="4"/>
        <v>Ja</v>
      </c>
      <c r="BF198" t="str">
        <f t="shared" si="4"/>
        <v>Ja</v>
      </c>
      <c r="BG198" t="str">
        <f t="shared" si="4"/>
        <v/>
      </c>
      <c r="BH198" t="str">
        <f t="shared" si="4"/>
        <v>Ja</v>
      </c>
      <c r="BI198" t="str">
        <f t="shared" si="4"/>
        <v>Ja</v>
      </c>
      <c r="BJ198" t="str">
        <f t="shared" si="4"/>
        <v>Ja</v>
      </c>
      <c r="BK198" t="str">
        <f t="shared" si="4"/>
        <v>Ja</v>
      </c>
      <c r="BL198" t="str">
        <f t="shared" si="4"/>
        <v>Ja</v>
      </c>
      <c r="BM198" t="str">
        <f t="shared" si="4"/>
        <v>Ja</v>
      </c>
      <c r="BN198" t="str">
        <f t="shared" ref="BN198:DY198" si="5">+IFERROR(VLOOKUP("Ja",BN201:BN250,1,FALSE),"")</f>
        <v>Ja</v>
      </c>
      <c r="BO198" t="str">
        <f t="shared" si="5"/>
        <v/>
      </c>
      <c r="BP198" t="str">
        <f t="shared" si="5"/>
        <v>Ja</v>
      </c>
      <c r="BQ198" t="str">
        <f t="shared" si="5"/>
        <v>Ja</v>
      </c>
      <c r="BR198" t="str">
        <f t="shared" si="5"/>
        <v/>
      </c>
      <c r="BS198" t="str">
        <f t="shared" si="5"/>
        <v>Ja</v>
      </c>
      <c r="BT198" t="str">
        <f t="shared" si="5"/>
        <v>Ja</v>
      </c>
      <c r="BU198" t="str">
        <f t="shared" si="5"/>
        <v>Ja</v>
      </c>
      <c r="BV198" t="str">
        <f t="shared" si="5"/>
        <v>Ja</v>
      </c>
      <c r="BW198" t="str">
        <f t="shared" si="5"/>
        <v>Ja</v>
      </c>
      <c r="BX198" t="str">
        <f t="shared" si="5"/>
        <v>Ja</v>
      </c>
      <c r="BY198" t="str">
        <f t="shared" si="5"/>
        <v/>
      </c>
      <c r="BZ198" t="str">
        <f t="shared" si="5"/>
        <v>Ja</v>
      </c>
      <c r="CA198" t="str">
        <f t="shared" si="5"/>
        <v/>
      </c>
      <c r="CB198" t="str">
        <f t="shared" si="5"/>
        <v>Ja</v>
      </c>
      <c r="CC198" t="str">
        <f t="shared" si="5"/>
        <v>Ja</v>
      </c>
      <c r="CD198" t="str">
        <f t="shared" si="5"/>
        <v>Ja</v>
      </c>
      <c r="CE198" t="str">
        <f t="shared" si="5"/>
        <v>Ja</v>
      </c>
      <c r="CF198" t="str">
        <f t="shared" si="5"/>
        <v>Ja</v>
      </c>
      <c r="CG198" t="str">
        <f t="shared" si="5"/>
        <v>Ja</v>
      </c>
      <c r="CH198" t="str">
        <f t="shared" si="5"/>
        <v/>
      </c>
      <c r="CI198" t="str">
        <f t="shared" si="5"/>
        <v>Ja</v>
      </c>
      <c r="CJ198" t="str">
        <f t="shared" si="5"/>
        <v>Ja</v>
      </c>
      <c r="CK198" t="str">
        <f t="shared" si="5"/>
        <v>Ja</v>
      </c>
      <c r="CL198" t="str">
        <f t="shared" si="5"/>
        <v>Ja</v>
      </c>
      <c r="CM198" t="str">
        <f t="shared" si="5"/>
        <v>Ja</v>
      </c>
      <c r="CN198" t="str">
        <f t="shared" si="5"/>
        <v>Ja</v>
      </c>
      <c r="CO198" t="str">
        <f t="shared" si="5"/>
        <v>Ja</v>
      </c>
      <c r="CP198" t="str">
        <f t="shared" si="5"/>
        <v>Ja</v>
      </c>
      <c r="CQ198" t="str">
        <f t="shared" si="5"/>
        <v>Ja</v>
      </c>
      <c r="CR198" t="str">
        <f t="shared" si="5"/>
        <v>Ja</v>
      </c>
      <c r="CS198" t="str">
        <f t="shared" si="5"/>
        <v>Ja</v>
      </c>
      <c r="CT198" t="str">
        <f t="shared" si="5"/>
        <v>Ja</v>
      </c>
      <c r="CU198" t="str">
        <f t="shared" si="5"/>
        <v>Ja</v>
      </c>
      <c r="CV198" t="str">
        <f t="shared" si="5"/>
        <v>Ja</v>
      </c>
      <c r="CW198" t="str">
        <f t="shared" si="5"/>
        <v>Ja</v>
      </c>
      <c r="CX198" t="str">
        <f t="shared" si="5"/>
        <v>Ja</v>
      </c>
      <c r="CY198" t="str">
        <f t="shared" si="5"/>
        <v>Ja</v>
      </c>
      <c r="CZ198" t="str">
        <f t="shared" si="5"/>
        <v>Ja</v>
      </c>
      <c r="DA198" t="str">
        <f t="shared" si="5"/>
        <v/>
      </c>
      <c r="DB198" t="str">
        <f t="shared" si="5"/>
        <v>Ja</v>
      </c>
      <c r="DC198" t="str">
        <f t="shared" si="5"/>
        <v>Ja</v>
      </c>
      <c r="DD198" t="str">
        <f t="shared" si="5"/>
        <v>Ja</v>
      </c>
      <c r="DE198" t="str">
        <f t="shared" si="5"/>
        <v>Ja</v>
      </c>
      <c r="DF198" t="str">
        <f t="shared" si="5"/>
        <v>Ja</v>
      </c>
      <c r="DG198" t="str">
        <f t="shared" si="5"/>
        <v>Ja</v>
      </c>
      <c r="DH198" t="str">
        <f t="shared" si="5"/>
        <v>Ja</v>
      </c>
      <c r="DI198" t="str">
        <f t="shared" si="5"/>
        <v/>
      </c>
      <c r="DJ198" t="str">
        <f t="shared" si="5"/>
        <v/>
      </c>
      <c r="DK198" t="str">
        <f t="shared" si="5"/>
        <v/>
      </c>
      <c r="DL198" t="str">
        <f t="shared" si="5"/>
        <v/>
      </c>
      <c r="DM198" t="str">
        <f t="shared" si="5"/>
        <v/>
      </c>
      <c r="DN198" t="str">
        <f t="shared" si="5"/>
        <v/>
      </c>
      <c r="DO198" t="str">
        <f t="shared" si="5"/>
        <v/>
      </c>
      <c r="DP198" t="str">
        <f t="shared" si="5"/>
        <v/>
      </c>
      <c r="DQ198" t="str">
        <f t="shared" si="5"/>
        <v/>
      </c>
      <c r="DR198" t="str">
        <f t="shared" si="5"/>
        <v/>
      </c>
      <c r="DS198" t="str">
        <f t="shared" si="5"/>
        <v/>
      </c>
      <c r="DT198" t="str">
        <f t="shared" si="5"/>
        <v/>
      </c>
      <c r="DU198" t="str">
        <f t="shared" si="5"/>
        <v/>
      </c>
      <c r="DV198" t="str">
        <f t="shared" si="5"/>
        <v/>
      </c>
      <c r="DW198" t="str">
        <f t="shared" si="5"/>
        <v/>
      </c>
      <c r="DX198" t="str">
        <f t="shared" si="5"/>
        <v/>
      </c>
      <c r="DY198" t="str">
        <f t="shared" si="5"/>
        <v/>
      </c>
      <c r="DZ198" t="str">
        <f t="shared" ref="DZ198:GK198" si="6">+IFERROR(VLOOKUP("Ja",DZ201:DZ250,1,FALSE),"")</f>
        <v/>
      </c>
      <c r="EA198" t="str">
        <f t="shared" si="6"/>
        <v/>
      </c>
      <c r="EB198" t="str">
        <f t="shared" si="6"/>
        <v/>
      </c>
      <c r="EC198" t="str">
        <f t="shared" si="6"/>
        <v/>
      </c>
      <c r="ED198" t="str">
        <f t="shared" si="6"/>
        <v/>
      </c>
      <c r="EE198" t="str">
        <f t="shared" si="6"/>
        <v/>
      </c>
      <c r="EF198" t="str">
        <f t="shared" si="6"/>
        <v/>
      </c>
      <c r="EG198" t="str">
        <f t="shared" si="6"/>
        <v/>
      </c>
      <c r="EH198" t="str">
        <f t="shared" si="6"/>
        <v/>
      </c>
      <c r="EI198" t="str">
        <f t="shared" si="6"/>
        <v/>
      </c>
      <c r="EJ198" t="str">
        <f t="shared" si="6"/>
        <v/>
      </c>
      <c r="EK198" t="str">
        <f t="shared" si="6"/>
        <v/>
      </c>
      <c r="EL198" t="str">
        <f t="shared" si="6"/>
        <v/>
      </c>
      <c r="EM198" t="str">
        <f t="shared" si="6"/>
        <v/>
      </c>
      <c r="EN198" t="str">
        <f t="shared" si="6"/>
        <v/>
      </c>
      <c r="EO198" t="str">
        <f t="shared" si="6"/>
        <v/>
      </c>
      <c r="EP198" t="str">
        <f t="shared" si="6"/>
        <v/>
      </c>
      <c r="EQ198" t="str">
        <f t="shared" si="6"/>
        <v/>
      </c>
      <c r="ER198" t="str">
        <f t="shared" si="6"/>
        <v/>
      </c>
      <c r="ES198" t="str">
        <f t="shared" si="6"/>
        <v/>
      </c>
      <c r="ET198" t="str">
        <f t="shared" si="6"/>
        <v/>
      </c>
      <c r="EU198" t="str">
        <f t="shared" si="6"/>
        <v/>
      </c>
      <c r="EV198" t="str">
        <f t="shared" si="6"/>
        <v/>
      </c>
      <c r="EW198" t="str">
        <f t="shared" si="6"/>
        <v/>
      </c>
      <c r="EX198" t="str">
        <f t="shared" si="6"/>
        <v/>
      </c>
      <c r="EY198" t="str">
        <f t="shared" si="6"/>
        <v/>
      </c>
      <c r="EZ198" t="str">
        <f t="shared" si="6"/>
        <v/>
      </c>
      <c r="FA198" t="str">
        <f t="shared" si="6"/>
        <v/>
      </c>
      <c r="FB198" t="str">
        <f t="shared" si="6"/>
        <v/>
      </c>
      <c r="FC198" t="str">
        <f t="shared" si="6"/>
        <v/>
      </c>
      <c r="FD198" t="str">
        <f t="shared" si="6"/>
        <v/>
      </c>
      <c r="FE198" t="str">
        <f t="shared" si="6"/>
        <v/>
      </c>
      <c r="FF198" t="str">
        <f t="shared" si="6"/>
        <v/>
      </c>
      <c r="FG198" t="str">
        <f t="shared" si="6"/>
        <v/>
      </c>
      <c r="FH198" t="str">
        <f t="shared" si="6"/>
        <v/>
      </c>
      <c r="FI198" t="str">
        <f t="shared" si="6"/>
        <v/>
      </c>
      <c r="FJ198" t="str">
        <f t="shared" si="6"/>
        <v/>
      </c>
      <c r="FK198" t="str">
        <f t="shared" si="6"/>
        <v/>
      </c>
      <c r="FL198" t="str">
        <f t="shared" si="6"/>
        <v/>
      </c>
      <c r="FM198" t="str">
        <f t="shared" si="6"/>
        <v/>
      </c>
      <c r="FN198" t="str">
        <f t="shared" si="6"/>
        <v/>
      </c>
      <c r="FO198" t="str">
        <f t="shared" si="6"/>
        <v/>
      </c>
      <c r="FP198" t="str">
        <f t="shared" si="6"/>
        <v/>
      </c>
      <c r="FQ198" t="str">
        <f t="shared" si="6"/>
        <v/>
      </c>
      <c r="FR198" t="str">
        <f t="shared" si="6"/>
        <v/>
      </c>
      <c r="FS198" t="str">
        <f t="shared" si="6"/>
        <v/>
      </c>
      <c r="FT198" t="str">
        <f t="shared" si="6"/>
        <v/>
      </c>
      <c r="FU198" t="str">
        <f t="shared" si="6"/>
        <v/>
      </c>
      <c r="FV198" t="str">
        <f t="shared" si="6"/>
        <v/>
      </c>
      <c r="FW198" t="str">
        <f t="shared" si="6"/>
        <v/>
      </c>
      <c r="FX198" t="str">
        <f t="shared" si="6"/>
        <v/>
      </c>
      <c r="FY198" t="str">
        <f t="shared" si="6"/>
        <v/>
      </c>
      <c r="FZ198" t="str">
        <f t="shared" si="6"/>
        <v/>
      </c>
      <c r="GA198" t="str">
        <f t="shared" si="6"/>
        <v/>
      </c>
      <c r="GB198" t="str">
        <f t="shared" si="6"/>
        <v/>
      </c>
      <c r="GC198" t="str">
        <f t="shared" si="6"/>
        <v/>
      </c>
      <c r="GD198" t="str">
        <f t="shared" si="6"/>
        <v/>
      </c>
      <c r="GE198" t="str">
        <f t="shared" si="6"/>
        <v/>
      </c>
      <c r="GF198" t="str">
        <f t="shared" si="6"/>
        <v/>
      </c>
      <c r="GG198" t="str">
        <f t="shared" si="6"/>
        <v/>
      </c>
      <c r="GH198" t="str">
        <f t="shared" si="6"/>
        <v/>
      </c>
      <c r="GI198" t="str">
        <f t="shared" si="6"/>
        <v/>
      </c>
      <c r="GJ198" t="str">
        <f t="shared" si="6"/>
        <v/>
      </c>
      <c r="GK198" t="str">
        <f t="shared" si="6"/>
        <v/>
      </c>
      <c r="GL198" t="str">
        <f t="shared" ref="GL198:HH198" si="7">+IFERROR(VLOOKUP("Ja",GL201:GL250,1,FALSE),"")</f>
        <v/>
      </c>
      <c r="GM198" t="str">
        <f t="shared" si="7"/>
        <v/>
      </c>
      <c r="GN198" t="str">
        <f t="shared" si="7"/>
        <v/>
      </c>
      <c r="GO198" t="str">
        <f t="shared" si="7"/>
        <v/>
      </c>
      <c r="GP198" t="str">
        <f t="shared" si="7"/>
        <v/>
      </c>
      <c r="GQ198" t="str">
        <f t="shared" si="7"/>
        <v/>
      </c>
      <c r="GR198" t="str">
        <f t="shared" si="7"/>
        <v/>
      </c>
      <c r="GS198" t="str">
        <f t="shared" si="7"/>
        <v/>
      </c>
      <c r="GT198" t="str">
        <f t="shared" si="7"/>
        <v/>
      </c>
      <c r="GU198" t="str">
        <f t="shared" si="7"/>
        <v/>
      </c>
      <c r="GV198" t="str">
        <f t="shared" si="7"/>
        <v/>
      </c>
      <c r="GW198" t="str">
        <f t="shared" si="7"/>
        <v/>
      </c>
      <c r="GX198" t="str">
        <f t="shared" si="7"/>
        <v/>
      </c>
      <c r="GY198" t="str">
        <f t="shared" si="7"/>
        <v/>
      </c>
      <c r="GZ198" t="str">
        <f t="shared" si="7"/>
        <v/>
      </c>
      <c r="HA198" t="str">
        <f t="shared" si="7"/>
        <v/>
      </c>
      <c r="HB198" t="str">
        <f t="shared" si="7"/>
        <v/>
      </c>
      <c r="HC198" t="str">
        <f t="shared" si="7"/>
        <v/>
      </c>
      <c r="HD198" t="str">
        <f t="shared" si="7"/>
        <v/>
      </c>
      <c r="HE198" t="str">
        <f t="shared" si="7"/>
        <v/>
      </c>
      <c r="HF198" t="str">
        <f t="shared" si="7"/>
        <v/>
      </c>
      <c r="HG198" t="str">
        <f t="shared" si="7"/>
        <v/>
      </c>
      <c r="HH198" t="str">
        <f t="shared" si="7"/>
        <v/>
      </c>
      <c r="HI198" t="str">
        <f t="shared" ref="HI198:IN198" si="8">+IFERROR(VLOOKUP("Ja",HI201:HI250,1,FALSE),"")</f>
        <v/>
      </c>
      <c r="HJ198" t="str">
        <f t="shared" si="8"/>
        <v/>
      </c>
      <c r="HK198" t="str">
        <f t="shared" si="8"/>
        <v/>
      </c>
      <c r="HL198" t="str">
        <f t="shared" si="8"/>
        <v/>
      </c>
      <c r="HM198" t="str">
        <f t="shared" si="8"/>
        <v/>
      </c>
      <c r="HN198" t="str">
        <f t="shared" si="8"/>
        <v/>
      </c>
      <c r="HO198" t="str">
        <f t="shared" si="8"/>
        <v/>
      </c>
      <c r="HP198" t="str">
        <f t="shared" si="8"/>
        <v/>
      </c>
      <c r="HQ198" t="str">
        <f t="shared" si="8"/>
        <v/>
      </c>
      <c r="HR198" t="str">
        <f t="shared" si="8"/>
        <v/>
      </c>
      <c r="HS198" t="str">
        <f t="shared" si="8"/>
        <v/>
      </c>
      <c r="HT198" t="str">
        <f t="shared" si="8"/>
        <v/>
      </c>
      <c r="HU198" t="str">
        <f t="shared" si="8"/>
        <v/>
      </c>
      <c r="HV198" t="str">
        <f t="shared" si="8"/>
        <v/>
      </c>
      <c r="HW198" t="str">
        <f t="shared" si="8"/>
        <v/>
      </c>
      <c r="HX198" t="str">
        <f t="shared" si="8"/>
        <v/>
      </c>
      <c r="HY198" t="str">
        <f t="shared" si="8"/>
        <v/>
      </c>
      <c r="HZ198" t="str">
        <f t="shared" si="8"/>
        <v/>
      </c>
      <c r="IA198" t="str">
        <f t="shared" si="8"/>
        <v/>
      </c>
      <c r="IB198" t="str">
        <f t="shared" si="8"/>
        <v/>
      </c>
      <c r="IC198" t="str">
        <f t="shared" si="8"/>
        <v/>
      </c>
      <c r="ID198" t="str">
        <f t="shared" si="8"/>
        <v/>
      </c>
      <c r="IE198" t="str">
        <f t="shared" si="8"/>
        <v/>
      </c>
      <c r="IF198" t="str">
        <f t="shared" si="8"/>
        <v/>
      </c>
      <c r="IG198" t="str">
        <f t="shared" si="8"/>
        <v/>
      </c>
      <c r="IH198" t="str">
        <f t="shared" si="8"/>
        <v/>
      </c>
      <c r="II198" t="str">
        <f t="shared" si="8"/>
        <v/>
      </c>
      <c r="IJ198" t="str">
        <f t="shared" si="8"/>
        <v/>
      </c>
      <c r="IK198" t="str">
        <f t="shared" si="8"/>
        <v/>
      </c>
      <c r="IL198" t="str">
        <f t="shared" si="8"/>
        <v/>
      </c>
      <c r="IM198" t="str">
        <f t="shared" si="8"/>
        <v/>
      </c>
      <c r="IN198" t="str">
        <f t="shared" si="8"/>
        <v/>
      </c>
    </row>
    <row r="199" spans="1:248" s="7" customFormat="1" x14ac:dyDescent="0.2">
      <c r="A199" s="7" t="s">
        <v>2167</v>
      </c>
    </row>
    <row r="200" spans="1:248" s="7" customFormat="1" x14ac:dyDescent="0.2">
      <c r="A200" s="7" t="str">
        <f>+A1</f>
        <v>Fahrzeug 1</v>
      </c>
      <c r="B200" s="7" t="str">
        <f t="shared" ref="B200:BM200" si="9">+B1</f>
        <v>Fahrzeug 2</v>
      </c>
      <c r="C200" s="7" t="str">
        <f t="shared" si="9"/>
        <v>Fahrzeug 3</v>
      </c>
      <c r="D200" s="7" t="str">
        <f t="shared" si="9"/>
        <v>Fahrzeug 4</v>
      </c>
      <c r="E200" s="7" t="str">
        <f t="shared" si="9"/>
        <v>Fahrzeug 5</v>
      </c>
      <c r="F200" s="7" t="str">
        <f t="shared" si="9"/>
        <v>Fahrzeug 6</v>
      </c>
      <c r="G200" s="7" t="str">
        <f t="shared" si="9"/>
        <v>Fahrzeug 7</v>
      </c>
      <c r="H200" s="7" t="str">
        <f t="shared" si="9"/>
        <v>Fahrzeug 8</v>
      </c>
      <c r="I200" s="7" t="str">
        <f t="shared" si="9"/>
        <v>Fahrzeug 9</v>
      </c>
      <c r="J200" s="7" t="str">
        <f t="shared" si="9"/>
        <v>Fahrzeug 10</v>
      </c>
      <c r="K200" s="7" t="str">
        <f t="shared" si="9"/>
        <v>Fahrzeug 11</v>
      </c>
      <c r="L200" s="7" t="str">
        <f t="shared" si="9"/>
        <v>Fahrzeug 12</v>
      </c>
      <c r="M200" s="7" t="str">
        <f t="shared" si="9"/>
        <v>Fahrzeug 13</v>
      </c>
      <c r="N200" s="7" t="str">
        <f t="shared" si="9"/>
        <v>Fahrzeug 14</v>
      </c>
      <c r="O200" s="7" t="str">
        <f t="shared" si="9"/>
        <v>Fahrzeug 15</v>
      </c>
      <c r="P200" s="7" t="str">
        <f t="shared" si="9"/>
        <v>Fahrzeug 16</v>
      </c>
      <c r="Q200" s="7" t="str">
        <f t="shared" si="9"/>
        <v>Fahrzeug 17</v>
      </c>
      <c r="R200" s="7" t="str">
        <f t="shared" si="9"/>
        <v>Fahrzeug 18</v>
      </c>
      <c r="S200" s="7" t="str">
        <f t="shared" si="9"/>
        <v>Fahrzeug 19</v>
      </c>
      <c r="T200" s="7" t="str">
        <f t="shared" si="9"/>
        <v>Fahrzeug 20</v>
      </c>
      <c r="U200" s="7" t="str">
        <f t="shared" si="9"/>
        <v>Fahrzeug 21</v>
      </c>
      <c r="V200" s="7" t="str">
        <f t="shared" si="9"/>
        <v>Fahrzeug 22</v>
      </c>
      <c r="W200" s="7" t="str">
        <f t="shared" si="9"/>
        <v>Fahrzeug 23</v>
      </c>
      <c r="X200" s="7" t="str">
        <f t="shared" si="9"/>
        <v>Fahrzeug 24</v>
      </c>
      <c r="Y200" s="7" t="str">
        <f t="shared" si="9"/>
        <v>Fahrzeug 25</v>
      </c>
      <c r="Z200" s="7" t="str">
        <f t="shared" si="9"/>
        <v>Fahrzeug 26</v>
      </c>
      <c r="AA200" s="7" t="str">
        <f t="shared" si="9"/>
        <v>Fahrzeug 27</v>
      </c>
      <c r="AB200" s="7" t="str">
        <f t="shared" si="9"/>
        <v>Fahrzeug 28</v>
      </c>
      <c r="AC200" s="7" t="str">
        <f t="shared" si="9"/>
        <v>Fahrzeug 29</v>
      </c>
      <c r="AD200" s="7" t="str">
        <f t="shared" si="9"/>
        <v>Fahrzeug 30</v>
      </c>
      <c r="AE200" s="7" t="str">
        <f t="shared" si="9"/>
        <v>Fahrzeug 31</v>
      </c>
      <c r="AF200" s="7" t="str">
        <f t="shared" si="9"/>
        <v>Fahrzeug 32</v>
      </c>
      <c r="AG200" s="7" t="str">
        <f t="shared" si="9"/>
        <v>Fahrzeug 33</v>
      </c>
      <c r="AH200" s="7" t="str">
        <f t="shared" si="9"/>
        <v>Fahrzeug 34</v>
      </c>
      <c r="AI200" s="7" t="str">
        <f t="shared" si="9"/>
        <v>Fahrzeug 35</v>
      </c>
      <c r="AJ200" s="7" t="str">
        <f t="shared" si="9"/>
        <v>Fahrzeug 36</v>
      </c>
      <c r="AK200" s="7" t="str">
        <f t="shared" si="9"/>
        <v>Fahrzeug 37</v>
      </c>
      <c r="AL200" s="7" t="str">
        <f t="shared" si="9"/>
        <v>Fahrzeug 38</v>
      </c>
      <c r="AM200" s="7" t="str">
        <f t="shared" si="9"/>
        <v>Fahrzeug 39</v>
      </c>
      <c r="AN200" s="7" t="str">
        <f t="shared" si="9"/>
        <v>Fahrzeug 40</v>
      </c>
      <c r="AO200" s="7" t="str">
        <f t="shared" si="9"/>
        <v>Fahrzeug 41</v>
      </c>
      <c r="AP200" s="7" t="str">
        <f t="shared" si="9"/>
        <v>Fahrzeug 42</v>
      </c>
      <c r="AQ200" s="7" t="str">
        <f t="shared" si="9"/>
        <v>Fahrzeug 43</v>
      </c>
      <c r="AR200" s="7" t="str">
        <f t="shared" si="9"/>
        <v>Fahrzeug 44</v>
      </c>
      <c r="AS200" s="7" t="str">
        <f t="shared" si="9"/>
        <v>Fahrzeug 45</v>
      </c>
      <c r="AT200" s="7" t="str">
        <f t="shared" si="9"/>
        <v>Fahrzeug 46</v>
      </c>
      <c r="AU200" s="7" t="str">
        <f t="shared" si="9"/>
        <v>Fahrzeug 47</v>
      </c>
      <c r="AV200" s="7" t="str">
        <f t="shared" si="9"/>
        <v>Fahrzeug 48</v>
      </c>
      <c r="AW200" s="7" t="str">
        <f t="shared" si="9"/>
        <v>Fahrzeug 49</v>
      </c>
      <c r="AX200" s="7" t="str">
        <f t="shared" si="9"/>
        <v>Fahrzeug 50</v>
      </c>
      <c r="AY200" s="7" t="str">
        <f t="shared" si="9"/>
        <v>Fahrzeug 51</v>
      </c>
      <c r="AZ200" s="7" t="str">
        <f t="shared" si="9"/>
        <v>Fahrzeug 52</v>
      </c>
      <c r="BA200" s="7" t="str">
        <f t="shared" si="9"/>
        <v>Fahrzeug 53</v>
      </c>
      <c r="BB200" s="7" t="str">
        <f t="shared" si="9"/>
        <v>Fahrzeug 54</v>
      </c>
      <c r="BC200" s="7" t="str">
        <f t="shared" si="9"/>
        <v>Fahrzeug 55</v>
      </c>
      <c r="BD200" s="7" t="str">
        <f t="shared" si="9"/>
        <v>Fahrzeug 56</v>
      </c>
      <c r="BE200" s="7" t="str">
        <f t="shared" si="9"/>
        <v>Fahrzeug 57</v>
      </c>
      <c r="BF200" s="7" t="str">
        <f t="shared" si="9"/>
        <v>Fahrzeug 58</v>
      </c>
      <c r="BG200" s="7" t="str">
        <f t="shared" si="9"/>
        <v>Fahrzeug 59</v>
      </c>
      <c r="BH200" s="7" t="str">
        <f t="shared" si="9"/>
        <v>Fahrzeug 60</v>
      </c>
      <c r="BI200" s="7" t="str">
        <f t="shared" si="9"/>
        <v>Fahrzeug 61</v>
      </c>
      <c r="BJ200" s="7" t="str">
        <f t="shared" si="9"/>
        <v>Fahrzeug 62</v>
      </c>
      <c r="BK200" s="7" t="str">
        <f t="shared" si="9"/>
        <v>Fahrzeug 63</v>
      </c>
      <c r="BL200" s="7" t="str">
        <f t="shared" si="9"/>
        <v>Fahrzeug 64</v>
      </c>
      <c r="BM200" s="7" t="str">
        <f t="shared" si="9"/>
        <v>Fahrzeug 65</v>
      </c>
      <c r="BN200" s="7" t="str">
        <f t="shared" ref="BN200:DY200" si="10">+BN1</f>
        <v>Fahrzeug 66</v>
      </c>
      <c r="BO200" s="7" t="str">
        <f t="shared" si="10"/>
        <v>Fahrzeug 67</v>
      </c>
      <c r="BP200" s="7" t="str">
        <f t="shared" si="10"/>
        <v>Fahrzeug 68</v>
      </c>
      <c r="BQ200" s="7" t="str">
        <f t="shared" si="10"/>
        <v>Fahrzeug 69</v>
      </c>
      <c r="BR200" s="7" t="str">
        <f t="shared" si="10"/>
        <v>Fahrzeug 70</v>
      </c>
      <c r="BS200" s="7" t="str">
        <f t="shared" si="10"/>
        <v>Fahrzeug 71</v>
      </c>
      <c r="BT200" s="7" t="str">
        <f t="shared" si="10"/>
        <v>Fahrzeug 72</v>
      </c>
      <c r="BU200" s="7" t="str">
        <f t="shared" si="10"/>
        <v>Fahrzeug 73</v>
      </c>
      <c r="BV200" s="7" t="str">
        <f t="shared" si="10"/>
        <v>Fahrzeug 74</v>
      </c>
      <c r="BW200" s="7" t="str">
        <f t="shared" si="10"/>
        <v>Fahrzeug 75</v>
      </c>
      <c r="BX200" s="7" t="str">
        <f t="shared" si="10"/>
        <v>Fahrzeug 76</v>
      </c>
      <c r="BY200" s="7" t="str">
        <f t="shared" si="10"/>
        <v>Fahrzeug 77</v>
      </c>
      <c r="BZ200" s="7" t="str">
        <f t="shared" si="10"/>
        <v>Fahrzeug 78</v>
      </c>
      <c r="CA200" s="7" t="str">
        <f t="shared" si="10"/>
        <v>Fahrzeug 79</v>
      </c>
      <c r="CB200" s="7" t="str">
        <f t="shared" si="10"/>
        <v>Fahrzeug 80</v>
      </c>
      <c r="CC200" s="7" t="str">
        <f t="shared" si="10"/>
        <v>Fahrzeug 81</v>
      </c>
      <c r="CD200" s="7" t="str">
        <f t="shared" si="10"/>
        <v>Fahrzeug 82</v>
      </c>
      <c r="CE200" s="7" t="str">
        <f t="shared" si="10"/>
        <v>Fahrzeug 83</v>
      </c>
      <c r="CF200" s="7" t="str">
        <f t="shared" si="10"/>
        <v>Fahrzeug 84</v>
      </c>
      <c r="CG200" s="7" t="str">
        <f t="shared" si="10"/>
        <v>Fahrzeug 85</v>
      </c>
      <c r="CH200" s="7" t="str">
        <f t="shared" si="10"/>
        <v>Fahrzeug 86</v>
      </c>
      <c r="CI200" s="7" t="str">
        <f t="shared" si="10"/>
        <v>Fahrzeug 87</v>
      </c>
      <c r="CJ200" s="7" t="str">
        <f t="shared" si="10"/>
        <v>Fahrzeug 88</v>
      </c>
      <c r="CK200" s="7" t="str">
        <f t="shared" si="10"/>
        <v>Fahrzeug 89</v>
      </c>
      <c r="CL200" s="7" t="str">
        <f t="shared" si="10"/>
        <v>Fahrzeug 90</v>
      </c>
      <c r="CM200" s="7" t="str">
        <f t="shared" si="10"/>
        <v>Fahrzeug 91</v>
      </c>
      <c r="CN200" s="7" t="str">
        <f t="shared" si="10"/>
        <v>Fahrzeug 92</v>
      </c>
      <c r="CO200" s="7" t="str">
        <f t="shared" si="10"/>
        <v>Fahrzeug 93</v>
      </c>
      <c r="CP200" s="7" t="str">
        <f t="shared" si="10"/>
        <v>Fahrzeug 94</v>
      </c>
      <c r="CQ200" s="7" t="str">
        <f t="shared" si="10"/>
        <v>Fahrzeug 95</v>
      </c>
      <c r="CR200" s="7" t="str">
        <f t="shared" si="10"/>
        <v>Fahrzeug 96</v>
      </c>
      <c r="CS200" s="7" t="str">
        <f t="shared" si="10"/>
        <v>Fahrzeug 97</v>
      </c>
      <c r="CT200" s="7" t="str">
        <f t="shared" si="10"/>
        <v>Fahrzeug 98</v>
      </c>
      <c r="CU200" s="7" t="str">
        <f t="shared" si="10"/>
        <v>Fahrzeug 99</v>
      </c>
      <c r="CV200" s="7" t="str">
        <f t="shared" si="10"/>
        <v>Fahrzeug 100</v>
      </c>
      <c r="CW200" s="7" t="str">
        <f t="shared" si="10"/>
        <v>Fahrzeug 101</v>
      </c>
      <c r="CX200" s="7" t="str">
        <f t="shared" si="10"/>
        <v>Fahrzeug 102</v>
      </c>
      <c r="CY200" s="7" t="str">
        <f t="shared" si="10"/>
        <v>Fahrzeug 103</v>
      </c>
      <c r="CZ200" s="7" t="str">
        <f t="shared" si="10"/>
        <v>Fahrzeug 104</v>
      </c>
      <c r="DA200" s="7" t="str">
        <f t="shared" si="10"/>
        <v>Fahrzeug 105</v>
      </c>
      <c r="DB200" s="7" t="str">
        <f t="shared" si="10"/>
        <v>Fahrzeug 106</v>
      </c>
      <c r="DC200" s="7" t="str">
        <f t="shared" si="10"/>
        <v>Fahrzeug 107</v>
      </c>
      <c r="DD200" s="7" t="str">
        <f t="shared" si="10"/>
        <v>Fahrzeug 108</v>
      </c>
      <c r="DE200" s="7" t="str">
        <f t="shared" si="10"/>
        <v>Fahrzeug 109</v>
      </c>
      <c r="DF200" s="7" t="str">
        <f t="shared" si="10"/>
        <v>Fahrzeug 110</v>
      </c>
      <c r="DG200" s="7" t="str">
        <f t="shared" si="10"/>
        <v>Fahrzeug 111</v>
      </c>
      <c r="DH200" s="7" t="str">
        <f t="shared" si="10"/>
        <v>Fahrzeug 112</v>
      </c>
      <c r="DI200" s="7" t="str">
        <f t="shared" si="10"/>
        <v>Fahrzeug 113</v>
      </c>
      <c r="DJ200" s="7">
        <f t="shared" si="10"/>
        <v>0</v>
      </c>
      <c r="DK200" s="7">
        <f t="shared" si="10"/>
        <v>0</v>
      </c>
      <c r="DL200" s="7">
        <f t="shared" si="10"/>
        <v>0</v>
      </c>
      <c r="DM200" s="7">
        <f t="shared" si="10"/>
        <v>0</v>
      </c>
      <c r="DN200" s="7">
        <f t="shared" si="10"/>
        <v>0</v>
      </c>
      <c r="DO200" s="7">
        <f t="shared" si="10"/>
        <v>0</v>
      </c>
      <c r="DP200" s="7">
        <f t="shared" si="10"/>
        <v>0</v>
      </c>
      <c r="DQ200" s="7">
        <f t="shared" si="10"/>
        <v>0</v>
      </c>
      <c r="DR200" s="7">
        <f t="shared" si="10"/>
        <v>0</v>
      </c>
      <c r="DS200" s="7">
        <f t="shared" si="10"/>
        <v>0</v>
      </c>
      <c r="DT200" s="7">
        <f t="shared" si="10"/>
        <v>0</v>
      </c>
      <c r="DU200" s="7">
        <f t="shared" si="10"/>
        <v>0</v>
      </c>
      <c r="DV200" s="7">
        <f t="shared" si="10"/>
        <v>0</v>
      </c>
      <c r="DW200" s="7">
        <f t="shared" si="10"/>
        <v>0</v>
      </c>
      <c r="DX200" s="7">
        <f t="shared" si="10"/>
        <v>0</v>
      </c>
      <c r="DY200" s="7">
        <f t="shared" si="10"/>
        <v>0</v>
      </c>
      <c r="DZ200" s="7">
        <f t="shared" ref="DZ200:FK200" si="11">+DZ1</f>
        <v>0</v>
      </c>
      <c r="EA200" s="7">
        <f t="shared" si="11"/>
        <v>0</v>
      </c>
      <c r="EB200" s="7">
        <f t="shared" si="11"/>
        <v>0</v>
      </c>
      <c r="EC200" s="7">
        <f t="shared" si="11"/>
        <v>0</v>
      </c>
      <c r="ED200" s="7">
        <f t="shared" si="11"/>
        <v>0</v>
      </c>
      <c r="EE200" s="7">
        <f t="shared" si="11"/>
        <v>0</v>
      </c>
      <c r="EF200" s="7">
        <f t="shared" si="11"/>
        <v>0</v>
      </c>
      <c r="EG200" s="7">
        <f t="shared" si="11"/>
        <v>0</v>
      </c>
      <c r="EH200" s="7">
        <f t="shared" si="11"/>
        <v>0</v>
      </c>
      <c r="EI200" s="7">
        <f t="shared" si="11"/>
        <v>0</v>
      </c>
      <c r="EJ200" s="7">
        <f t="shared" si="11"/>
        <v>0</v>
      </c>
      <c r="EK200" s="7">
        <f t="shared" si="11"/>
        <v>0</v>
      </c>
      <c r="EL200" s="7">
        <f t="shared" si="11"/>
        <v>0</v>
      </c>
      <c r="EM200" s="7">
        <f t="shared" si="11"/>
        <v>0</v>
      </c>
      <c r="EN200" s="7">
        <f t="shared" si="11"/>
        <v>0</v>
      </c>
      <c r="EO200" s="7">
        <f t="shared" si="11"/>
        <v>0</v>
      </c>
      <c r="EP200" s="7">
        <f t="shared" si="11"/>
        <v>0</v>
      </c>
      <c r="EQ200" s="7">
        <f t="shared" si="11"/>
        <v>0</v>
      </c>
      <c r="ER200" s="7">
        <f t="shared" si="11"/>
        <v>0</v>
      </c>
      <c r="ES200" s="7">
        <f t="shared" si="11"/>
        <v>0</v>
      </c>
      <c r="ET200" s="7">
        <f t="shared" si="11"/>
        <v>0</v>
      </c>
      <c r="EU200" s="7">
        <f t="shared" si="11"/>
        <v>0</v>
      </c>
      <c r="EV200" s="7">
        <f t="shared" si="11"/>
        <v>0</v>
      </c>
      <c r="EW200" s="7">
        <f t="shared" si="11"/>
        <v>0</v>
      </c>
      <c r="EX200" s="7">
        <f t="shared" si="11"/>
        <v>0</v>
      </c>
      <c r="EY200" s="7">
        <f t="shared" si="11"/>
        <v>0</v>
      </c>
      <c r="EZ200" s="7">
        <f t="shared" si="11"/>
        <v>0</v>
      </c>
      <c r="FA200" s="7">
        <f t="shared" si="11"/>
        <v>0</v>
      </c>
      <c r="FB200" s="7">
        <f t="shared" si="11"/>
        <v>0</v>
      </c>
      <c r="FC200" s="7">
        <f t="shared" si="11"/>
        <v>0</v>
      </c>
      <c r="FD200" s="7">
        <f t="shared" si="11"/>
        <v>0</v>
      </c>
      <c r="FE200" s="7">
        <f t="shared" si="11"/>
        <v>0</v>
      </c>
      <c r="FF200" s="7">
        <f t="shared" si="11"/>
        <v>0</v>
      </c>
      <c r="FG200" s="7">
        <f t="shared" si="11"/>
        <v>0</v>
      </c>
      <c r="FH200" s="7">
        <f t="shared" si="11"/>
        <v>0</v>
      </c>
      <c r="FI200" s="7">
        <f t="shared" si="11"/>
        <v>0</v>
      </c>
      <c r="FJ200" s="7">
        <f t="shared" si="11"/>
        <v>0</v>
      </c>
      <c r="FK200" s="7">
        <f t="shared" si="11"/>
        <v>0</v>
      </c>
    </row>
    <row r="201" spans="1:248" x14ac:dyDescent="0.2">
      <c r="A201" t="str">
        <f>+IFERROR(VLOOKUP(A2,IN_Zugliste!$A$4:$E$2002,5,FALSE),"")</f>
        <v>Nein</v>
      </c>
      <c r="B201" t="str">
        <f>+IFERROR(VLOOKUP(B2,IN_Zugliste!$A$4:$E$2002,5,FALSE),"")</f>
        <v>Nein</v>
      </c>
      <c r="C201" t="str">
        <f>+IFERROR(VLOOKUP(C2,IN_Zugliste!$A$4:$E$2002,5,FALSE),"")</f>
        <v>Nein</v>
      </c>
      <c r="D201" t="str">
        <f>+IFERROR(VLOOKUP(D2,IN_Zugliste!$A$4:$E$2002,5,FALSE),"")</f>
        <v>Nein</v>
      </c>
      <c r="E201" t="str">
        <f>+IFERROR(VLOOKUP(E2,IN_Zugliste!$A$4:$E$2002,5,FALSE),"")</f>
        <v>Nein</v>
      </c>
      <c r="F201" t="str">
        <f>+IFERROR(VLOOKUP(F2,IN_Zugliste!$A$4:$E$2002,5,FALSE),"")</f>
        <v>Nein</v>
      </c>
      <c r="G201" t="str">
        <f>+IFERROR(VLOOKUP(G2,IN_Zugliste!$A$4:$E$2002,5,FALSE),"")</f>
        <v>Nein</v>
      </c>
      <c r="H201" t="str">
        <f>+IFERROR(VLOOKUP(H2,IN_Zugliste!$A$4:$E$2002,5,FALSE),"")</f>
        <v>Nein</v>
      </c>
      <c r="I201" t="str">
        <f>+IFERROR(VLOOKUP(I2,IN_Zugliste!$A$4:$E$2002,5,FALSE),"")</f>
        <v>Nein</v>
      </c>
      <c r="J201" t="str">
        <f>+IFERROR(VLOOKUP(J2,IN_Zugliste!$A$4:$E$2002,5,FALSE),"")</f>
        <v>Nein</v>
      </c>
      <c r="K201" t="str">
        <f>+IFERROR(VLOOKUP(K2,IN_Zugliste!$A$4:$E$2002,5,FALSE),"")</f>
        <v>Nein</v>
      </c>
      <c r="L201" t="str">
        <f>+IFERROR(VLOOKUP(L2,IN_Zugliste!$A$4:$E$2002,5,FALSE),"")</f>
        <v>Nein</v>
      </c>
      <c r="M201" t="str">
        <f>+IFERROR(VLOOKUP(M2,IN_Zugliste!$A$4:$E$2002,5,FALSE),"")</f>
        <v>Nein</v>
      </c>
      <c r="N201" t="str">
        <f>+IFERROR(VLOOKUP(N2,IN_Zugliste!$A$4:$E$2002,5,FALSE),"")</f>
        <v>Nein</v>
      </c>
      <c r="O201" t="str">
        <f>+IFERROR(VLOOKUP(O2,IN_Zugliste!$A$4:$E$2002,5,FALSE),"")</f>
        <v>Nein</v>
      </c>
      <c r="P201" t="str">
        <f>+IFERROR(VLOOKUP(P2,IN_Zugliste!$A$4:$E$2002,5,FALSE),"")</f>
        <v>Nein</v>
      </c>
      <c r="Q201" t="str">
        <f>+IFERROR(VLOOKUP(Q2,IN_Zugliste!$A$4:$E$2002,5,FALSE),"")</f>
        <v>Nein</v>
      </c>
      <c r="R201" t="str">
        <f>+IFERROR(VLOOKUP(R2,IN_Zugliste!$A$4:$E$2002,5,FALSE),"")</f>
        <v>Ja</v>
      </c>
      <c r="S201" t="str">
        <f>+IFERROR(VLOOKUP(S2,IN_Zugliste!$A$4:$E$2002,5,FALSE),"")</f>
        <v>Ja</v>
      </c>
      <c r="T201" t="str">
        <f>+IFERROR(VLOOKUP(T2,IN_Zugliste!$A$4:$E$2002,5,FALSE),"")</f>
        <v>Nein</v>
      </c>
      <c r="U201" t="str">
        <f>+IFERROR(VLOOKUP(U2,IN_Zugliste!$A$4:$E$2002,5,FALSE),"")</f>
        <v>Nein</v>
      </c>
      <c r="V201" t="str">
        <f>+IFERROR(VLOOKUP(V2,IN_Zugliste!$A$4:$E$2002,5,FALSE),"")</f>
        <v>Nein</v>
      </c>
      <c r="W201" t="str">
        <f>+IFERROR(VLOOKUP(W2,IN_Zugliste!$A$4:$E$2002,5,FALSE),"")</f>
        <v>Nein</v>
      </c>
      <c r="X201" t="str">
        <f>+IFERROR(VLOOKUP(X2,IN_Zugliste!$A$4:$E$2002,5,FALSE),"")</f>
        <v>Nein</v>
      </c>
      <c r="Y201" t="str">
        <f>+IFERROR(VLOOKUP(Y2,IN_Zugliste!$A$4:$E$2002,5,FALSE),"")</f>
        <v>Nein</v>
      </c>
      <c r="Z201" t="str">
        <f>+IFERROR(VLOOKUP(Z2,IN_Zugliste!$A$4:$E$2002,5,FALSE),"")</f>
        <v>Nein</v>
      </c>
      <c r="AA201" t="str">
        <f>+IFERROR(VLOOKUP(AA2,IN_Zugliste!$A$4:$E$2002,5,FALSE),"")</f>
        <v>Nein</v>
      </c>
      <c r="AB201" t="str">
        <f>+IFERROR(VLOOKUP(AB2,IN_Zugliste!$A$4:$E$2002,5,FALSE),"")</f>
        <v>Nein</v>
      </c>
      <c r="AC201" t="str">
        <f>+IFERROR(VLOOKUP(AC2,IN_Zugliste!$A$4:$E$2002,5,FALSE),"")</f>
        <v>Ja</v>
      </c>
      <c r="AD201" t="str">
        <f>+IFERROR(VLOOKUP(AD2,IN_Zugliste!$A$4:$E$2002,5,FALSE),"")</f>
        <v>Ja</v>
      </c>
      <c r="AE201" t="str">
        <f>+IFERROR(VLOOKUP(AE2,IN_Zugliste!$A$4:$E$2002,5,FALSE),"")</f>
        <v>Nein</v>
      </c>
      <c r="AF201" t="str">
        <f>+IFERROR(VLOOKUP(AF2,IN_Zugliste!$A$4:$E$2002,5,FALSE),"")</f>
        <v>Nein</v>
      </c>
      <c r="AG201" t="str">
        <f>+IFERROR(VLOOKUP(AG2,IN_Zugliste!$A$4:$E$2002,5,FALSE),"")</f>
        <v>Nein</v>
      </c>
      <c r="AH201" t="str">
        <f>+IFERROR(VLOOKUP(AH2,IN_Zugliste!$A$4:$E$2002,5,FALSE),"")</f>
        <v>Ja</v>
      </c>
      <c r="AI201" t="str">
        <f>+IFERROR(VLOOKUP(AI2,IN_Zugliste!$A$4:$E$2002,5,FALSE),"")</f>
        <v>Nein</v>
      </c>
      <c r="AJ201" t="str">
        <f>+IFERROR(VLOOKUP(AJ2,IN_Zugliste!$A$4:$E$2002,5,FALSE),"")</f>
        <v>Nein</v>
      </c>
      <c r="AK201" t="str">
        <f>+IFERROR(VLOOKUP(AK2,IN_Zugliste!$A$4:$E$2002,5,FALSE),"")</f>
        <v>Nein</v>
      </c>
      <c r="AL201" t="str">
        <f>+IFERROR(VLOOKUP(AL2,IN_Zugliste!$A$4:$E$2002,5,FALSE),"")</f>
        <v>Nein</v>
      </c>
      <c r="AM201" t="str">
        <f>+IFERROR(VLOOKUP(AM2,IN_Zugliste!$A$4:$E$2002,5,FALSE),"")</f>
        <v>Ja</v>
      </c>
      <c r="AN201" t="str">
        <f>+IFERROR(VLOOKUP(AN2,IN_Zugliste!$A$4:$E$2002,5,FALSE),"")</f>
        <v>Nein</v>
      </c>
      <c r="AO201" t="str">
        <f>+IFERROR(VLOOKUP(AO2,IN_Zugliste!$A$4:$E$2002,5,FALSE),"")</f>
        <v>Nein</v>
      </c>
      <c r="AP201" t="str">
        <f>+IFERROR(VLOOKUP(AP2,IN_Zugliste!$A$4:$E$2002,5,FALSE),"")</f>
        <v>Ja</v>
      </c>
      <c r="AQ201" t="str">
        <f>+IFERROR(VLOOKUP(AQ2,IN_Zugliste!$A$4:$E$2002,5,FALSE),"")</f>
        <v>Nein</v>
      </c>
      <c r="AR201" t="str">
        <f>+IFERROR(VLOOKUP(AR2,IN_Zugliste!$A$4:$E$2002,5,FALSE),"")</f>
        <v>Ja</v>
      </c>
      <c r="AS201" t="str">
        <f>+IFERROR(VLOOKUP(AS2,IN_Zugliste!$A$4:$E$2002,5,FALSE),"")</f>
        <v>Nein</v>
      </c>
      <c r="AT201" t="str">
        <f>+IFERROR(VLOOKUP(AT2,IN_Zugliste!$A$4:$E$2002,5,FALSE),"")</f>
        <v>Ja</v>
      </c>
      <c r="AU201" t="str">
        <f>+IFERROR(VLOOKUP(AU2,IN_Zugliste!$A$4:$E$2002,5,FALSE),"")</f>
        <v>Ja</v>
      </c>
      <c r="AV201" t="str">
        <f>+IFERROR(VLOOKUP(AV2,IN_Zugliste!$A$4:$E$2002,5,FALSE),"")</f>
        <v>Ja</v>
      </c>
      <c r="AW201" t="str">
        <f>+IFERROR(VLOOKUP(AW2,IN_Zugliste!$A$4:$E$2002,5,FALSE),"")</f>
        <v>Ja</v>
      </c>
      <c r="AX201" t="str">
        <f>+IFERROR(VLOOKUP(AX2,IN_Zugliste!$A$4:$E$2002,5,FALSE),"")</f>
        <v>Nein</v>
      </c>
      <c r="AY201" t="str">
        <f>+IFERROR(VLOOKUP(AY2,IN_Zugliste!$A$4:$E$2002,5,FALSE),"")</f>
        <v>Ja</v>
      </c>
      <c r="AZ201" t="str">
        <f>+IFERROR(VLOOKUP(AZ2,IN_Zugliste!$A$4:$E$2002,5,FALSE),"")</f>
        <v>Ja</v>
      </c>
      <c r="BA201" t="str">
        <f>+IFERROR(VLOOKUP(BA2,IN_Zugliste!$A$4:$E$2002,5,FALSE),"")</f>
        <v>Ja</v>
      </c>
      <c r="BB201" t="str">
        <f>+IFERROR(VLOOKUP(BB2,IN_Zugliste!$A$4:$E$2002,5,FALSE),"")</f>
        <v>Ja</v>
      </c>
      <c r="BC201" t="str">
        <f>+IFERROR(VLOOKUP(BC2,IN_Zugliste!$A$4:$E$2002,5,FALSE),"")</f>
        <v>Nein</v>
      </c>
      <c r="BD201" t="str">
        <f>+IFERROR(VLOOKUP(BD2,IN_Zugliste!$A$4:$E$2002,5,FALSE),"")</f>
        <v>Nein</v>
      </c>
      <c r="BE201" t="str">
        <f>+IFERROR(VLOOKUP(BE2,IN_Zugliste!$A$4:$E$2002,5,FALSE),"")</f>
        <v>Ja</v>
      </c>
      <c r="BF201" t="str">
        <f>+IFERROR(VLOOKUP(BF2,IN_Zugliste!$A$4:$E$2002,5,FALSE),"")</f>
        <v>Ja</v>
      </c>
      <c r="BG201" t="str">
        <f>+IFERROR(VLOOKUP(BG2,IN_Zugliste!$A$4:$E$2002,5,FALSE),"")</f>
        <v>Nein</v>
      </c>
      <c r="BH201" t="str">
        <f>+IFERROR(VLOOKUP(BH2,IN_Zugliste!$A$4:$E$2002,5,FALSE),"")</f>
        <v>Ja</v>
      </c>
      <c r="BI201" t="str">
        <f>+IFERROR(VLOOKUP(BI2,IN_Zugliste!$A$4:$E$2002,5,FALSE),"")</f>
        <v>Ja</v>
      </c>
      <c r="BJ201" t="str">
        <f>+IFERROR(VLOOKUP(BJ2,IN_Zugliste!$A$4:$E$2002,5,FALSE),"")</f>
        <v>Ja</v>
      </c>
      <c r="BK201" t="str">
        <f>+IFERROR(VLOOKUP(BK2,IN_Zugliste!$A$4:$E$2002,5,FALSE),"")</f>
        <v>Ja</v>
      </c>
      <c r="BL201" t="str">
        <f>+IFERROR(VLOOKUP(BL2,IN_Zugliste!$A$4:$E$2002,5,FALSE),"")</f>
        <v>Ja</v>
      </c>
      <c r="BM201" t="str">
        <f>+IFERROR(VLOOKUP(BM2,IN_Zugliste!$A$4:$E$2002,5,FALSE),"")</f>
        <v>Ja</v>
      </c>
      <c r="BN201" t="str">
        <f>+IFERROR(VLOOKUP(BN2,IN_Zugliste!$A$4:$E$2002,5,FALSE),"")</f>
        <v>Ja</v>
      </c>
      <c r="BO201" t="str">
        <f>+IFERROR(VLOOKUP(BO2,IN_Zugliste!$A$4:$E$2002,5,FALSE),"")</f>
        <v>Nein</v>
      </c>
      <c r="BP201" t="str">
        <f>+IFERROR(VLOOKUP(BP2,IN_Zugliste!$A$4:$E$2002,5,FALSE),"")</f>
        <v>Ja</v>
      </c>
      <c r="BQ201" t="str">
        <f>+IFERROR(VLOOKUP(BQ2,IN_Zugliste!$A$4:$E$2002,5,FALSE),"")</f>
        <v>Ja</v>
      </c>
      <c r="BR201" t="str">
        <f>+IFERROR(VLOOKUP(BR2,IN_Zugliste!$A$4:$E$2002,5,FALSE),"")</f>
        <v>Nein</v>
      </c>
      <c r="BS201" t="str">
        <f>+IFERROR(VLOOKUP(BS2,IN_Zugliste!$A$4:$E$2002,5,FALSE),"")</f>
        <v>Ja</v>
      </c>
      <c r="BT201" t="str">
        <f>+IFERROR(VLOOKUP(BT2,IN_Zugliste!$A$4:$E$2002,5,FALSE),"")</f>
        <v>Ja</v>
      </c>
      <c r="BU201" t="str">
        <f>+IFERROR(VLOOKUP(BU2,IN_Zugliste!$A$4:$E$2002,5,FALSE),"")</f>
        <v>Ja</v>
      </c>
      <c r="BV201" t="str">
        <f>+IFERROR(VLOOKUP(BV2,IN_Zugliste!$A$4:$E$2002,5,FALSE),"")</f>
        <v>Ja</v>
      </c>
      <c r="BW201" t="str">
        <f>+IFERROR(VLOOKUP(BW2,IN_Zugliste!$A$4:$E$2002,5,FALSE),"")</f>
        <v>Ja</v>
      </c>
      <c r="BX201" t="str">
        <f>+IFERROR(VLOOKUP(BX2,IN_Zugliste!$A$4:$E$2002,5,FALSE),"")</f>
        <v>Ja</v>
      </c>
      <c r="BY201" t="str">
        <f>+IFERROR(VLOOKUP(BY2,IN_Zugliste!$A$4:$E$2002,5,FALSE),"")</f>
        <v>Nein</v>
      </c>
      <c r="BZ201" t="str">
        <f>+IFERROR(VLOOKUP(BZ2,IN_Zugliste!$A$4:$E$2002,5,FALSE),"")</f>
        <v>Ja</v>
      </c>
      <c r="CA201" t="str">
        <f>+IFERROR(VLOOKUP(CA2,IN_Zugliste!$A$4:$E$2002,5,FALSE),"")</f>
        <v>Nein</v>
      </c>
      <c r="CB201" t="str">
        <f>+IFERROR(VLOOKUP(CB2,IN_Zugliste!$A$4:$E$2002,5,FALSE),"")</f>
        <v>Ja</v>
      </c>
      <c r="CC201" t="str">
        <f>+IFERROR(VLOOKUP(CC2,IN_Zugliste!$A$4:$E$2002,5,FALSE),"")</f>
        <v>Ja</v>
      </c>
      <c r="CD201" t="str">
        <f>+IFERROR(VLOOKUP(CD2,IN_Zugliste!$A$4:$E$2002,5,FALSE),"")</f>
        <v>Ja</v>
      </c>
      <c r="CE201" t="str">
        <f>+IFERROR(VLOOKUP(CE2,IN_Zugliste!$A$4:$E$2002,5,FALSE),"")</f>
        <v>Ja</v>
      </c>
      <c r="CF201" t="str">
        <f>+IFERROR(VLOOKUP(CF2,IN_Zugliste!$A$4:$E$2002,5,FALSE),"")</f>
        <v>Ja</v>
      </c>
      <c r="CG201" t="str">
        <f>+IFERROR(VLOOKUP(CG2,IN_Zugliste!$A$4:$E$2002,5,FALSE),"")</f>
        <v>Ja</v>
      </c>
      <c r="CH201" t="str">
        <f>+IFERROR(VLOOKUP(CH2,IN_Zugliste!$A$4:$E$2002,5,FALSE),"")</f>
        <v>Nein</v>
      </c>
      <c r="CI201" t="str">
        <f>+IFERROR(VLOOKUP(CI2,IN_Zugliste!$A$4:$E$2002,5,FALSE),"")</f>
        <v>Ja</v>
      </c>
      <c r="CJ201" t="str">
        <f>+IFERROR(VLOOKUP(CJ2,IN_Zugliste!$A$4:$E$2002,5,FALSE),"")</f>
        <v>Ja</v>
      </c>
      <c r="CK201" t="str">
        <f>+IFERROR(VLOOKUP(CK2,IN_Zugliste!$A$4:$E$2002,5,FALSE),"")</f>
        <v>Ja</v>
      </c>
      <c r="CL201" t="str">
        <f>+IFERROR(VLOOKUP(CL2,IN_Zugliste!$A$4:$E$2002,5,FALSE),"")</f>
        <v>Ja</v>
      </c>
      <c r="CM201" t="str">
        <f>+IFERROR(VLOOKUP(CM2,IN_Zugliste!$A$4:$E$2002,5,FALSE),"")</f>
        <v>Ja</v>
      </c>
      <c r="CN201" t="str">
        <f>+IFERROR(VLOOKUP(CN2,IN_Zugliste!$A$4:$E$2002,5,FALSE),"")</f>
        <v>Ja</v>
      </c>
      <c r="CO201" t="str">
        <f>+IFERROR(VLOOKUP(CO2,IN_Zugliste!$A$4:$E$2002,5,FALSE),"")</f>
        <v>Ja</v>
      </c>
      <c r="CP201" t="str">
        <f>+IFERROR(VLOOKUP(CP2,IN_Zugliste!$A$4:$E$2002,5,FALSE),"")</f>
        <v>Ja</v>
      </c>
      <c r="CQ201" t="str">
        <f>+IFERROR(VLOOKUP(CQ2,IN_Zugliste!$A$4:$E$2002,5,FALSE),"")</f>
        <v>Ja</v>
      </c>
      <c r="CR201" t="str">
        <f>+IFERROR(VLOOKUP(CR2,IN_Zugliste!$A$4:$E$2002,5,FALSE),"")</f>
        <v>Ja</v>
      </c>
      <c r="CS201" t="str">
        <f>+IFERROR(VLOOKUP(CS2,IN_Zugliste!$A$4:$E$2002,5,FALSE),"")</f>
        <v>Ja</v>
      </c>
      <c r="CT201" t="str">
        <f>+IFERROR(VLOOKUP(CT2,IN_Zugliste!$A$4:$E$2002,5,FALSE),"")</f>
        <v>Ja</v>
      </c>
      <c r="CU201" t="str">
        <f>+IFERROR(VLOOKUP(CU2,IN_Zugliste!$A$4:$E$2002,5,FALSE),"")</f>
        <v>Ja</v>
      </c>
      <c r="CV201" t="str">
        <f>+IFERROR(VLOOKUP(CV2,IN_Zugliste!$A$4:$E$2002,5,FALSE),"")</f>
        <v>Ja</v>
      </c>
      <c r="CW201" t="str">
        <f>+IFERROR(VLOOKUP(CW2,IN_Zugliste!$A$4:$E$2002,5,FALSE),"")</f>
        <v>Ja</v>
      </c>
      <c r="CX201" t="str">
        <f>+IFERROR(VLOOKUP(CX2,IN_Zugliste!$A$4:$E$2002,5,FALSE),"")</f>
        <v>Ja</v>
      </c>
      <c r="CY201" t="str">
        <f>+IFERROR(VLOOKUP(CY2,IN_Zugliste!$A$4:$E$2002,5,FALSE),"")</f>
        <v>Ja</v>
      </c>
      <c r="CZ201" t="str">
        <f>+IFERROR(VLOOKUP(CZ2,IN_Zugliste!$A$4:$E$2002,5,FALSE),"")</f>
        <v>Ja</v>
      </c>
      <c r="DA201" t="str">
        <f>+IFERROR(VLOOKUP(DA2,IN_Zugliste!$A$4:$E$2002,5,FALSE),"")</f>
        <v>Nein</v>
      </c>
      <c r="DB201" t="str">
        <f>+IFERROR(VLOOKUP(DB2,IN_Zugliste!$A$4:$E$2002,5,FALSE),"")</f>
        <v>Ja</v>
      </c>
      <c r="DC201" t="str">
        <f>+IFERROR(VLOOKUP(DC2,IN_Zugliste!$A$4:$E$2002,5,FALSE),"")</f>
        <v>Ja</v>
      </c>
      <c r="DD201" t="str">
        <f>+IFERROR(VLOOKUP(DD2,IN_Zugliste!$A$4:$E$2002,5,FALSE),"")</f>
        <v>Ja</v>
      </c>
      <c r="DE201" t="str">
        <f>+IFERROR(VLOOKUP(DE2,IN_Zugliste!$A$4:$E$2002,5,FALSE),"")</f>
        <v>Ja</v>
      </c>
      <c r="DF201" t="str">
        <f>+IFERROR(VLOOKUP(DF2,IN_Zugliste!$A$4:$E$2002,5,FALSE),"")</f>
        <v>Ja</v>
      </c>
      <c r="DG201" t="str">
        <f>+IFERROR(VLOOKUP(DG2,IN_Zugliste!$A$4:$E$2002,5,FALSE),"")</f>
        <v>Ja</v>
      </c>
      <c r="DH201" t="str">
        <f>+IFERROR(VLOOKUP(DH2,IN_Zugliste!$A$4:$E$2002,5,FALSE),"")</f>
        <v>Ja</v>
      </c>
      <c r="DI201" t="str">
        <f>+IFERROR(VLOOKUP(DI2,IN_Zugliste!$A$4:$E$2002,5,FALSE),"")</f>
        <v>Nein</v>
      </c>
      <c r="DJ201" t="str">
        <f>+IFERROR(VLOOKUP(DJ2,IN_Zugliste!$A$4:$E$2002,5,FALSE),"")</f>
        <v/>
      </c>
      <c r="DK201" t="str">
        <f>+IFERROR(VLOOKUP(DK2,IN_Zugliste!$A$4:$E$2002,5,FALSE),"")</f>
        <v/>
      </c>
      <c r="DL201" t="str">
        <f>+IFERROR(VLOOKUP(DL2,IN_Zugliste!$A$4:$E$2002,5,FALSE),"")</f>
        <v/>
      </c>
      <c r="DM201" t="str">
        <f>+IFERROR(VLOOKUP(DM2,IN_Zugliste!$A$4:$E$2002,5,FALSE),"")</f>
        <v/>
      </c>
      <c r="DN201" t="str">
        <f>+IFERROR(VLOOKUP(DN2,IN_Zugliste!$A$4:$E$2002,5,FALSE),"")</f>
        <v/>
      </c>
      <c r="DO201" t="str">
        <f>+IFERROR(VLOOKUP(DO2,IN_Zugliste!$A$4:$E$2002,5,FALSE),"")</f>
        <v/>
      </c>
      <c r="DP201" t="str">
        <f>+IFERROR(VLOOKUP(DP2,IN_Zugliste!$A$4:$E$2002,5,FALSE),"")</f>
        <v/>
      </c>
      <c r="DQ201" t="str">
        <f>+IFERROR(VLOOKUP(DQ2,IN_Zugliste!$A$4:$E$2002,5,FALSE),"")</f>
        <v/>
      </c>
      <c r="DR201" t="str">
        <f>+IFERROR(VLOOKUP(DR2,IN_Zugliste!$A$4:$E$2002,5,FALSE),"")</f>
        <v/>
      </c>
      <c r="DS201" t="str">
        <f>+IFERROR(VLOOKUP(DS2,IN_Zugliste!$A$4:$E$2002,5,FALSE),"")</f>
        <v/>
      </c>
      <c r="DT201" t="str">
        <f>+IFERROR(VLOOKUP(DT2,IN_Zugliste!$A$4:$E$2002,5,FALSE),"")</f>
        <v/>
      </c>
      <c r="DU201" t="str">
        <f>+IFERROR(VLOOKUP(DU2,IN_Zugliste!$A$4:$E$2002,5,FALSE),"")</f>
        <v/>
      </c>
      <c r="DV201" t="str">
        <f>+IFERROR(VLOOKUP(DV2,IN_Zugliste!$A$4:$E$2002,5,FALSE),"")</f>
        <v/>
      </c>
      <c r="DW201" t="str">
        <f>+IFERROR(VLOOKUP(DW2,IN_Zugliste!$A$4:$E$2002,5,FALSE),"")</f>
        <v/>
      </c>
      <c r="DX201" t="str">
        <f>+IFERROR(VLOOKUP(DX2,IN_Zugliste!$A$4:$E$2002,5,FALSE),"")</f>
        <v/>
      </c>
      <c r="DY201" t="str">
        <f>+IFERROR(VLOOKUP(DY2,IN_Zugliste!$A$4:$E$2002,5,FALSE),"")</f>
        <v/>
      </c>
      <c r="DZ201" t="str">
        <f>+IFERROR(VLOOKUP(DZ2,IN_Zugliste!$A$4:$E$2002,5,FALSE),"")</f>
        <v/>
      </c>
      <c r="EA201" t="str">
        <f>+IFERROR(VLOOKUP(EA2,IN_Zugliste!$A$4:$E$2002,5,FALSE),"")</f>
        <v/>
      </c>
      <c r="EB201" t="str">
        <f>+IFERROR(VLOOKUP(EB2,IN_Zugliste!$A$4:$E$2002,5,FALSE),"")</f>
        <v/>
      </c>
      <c r="EC201" t="str">
        <f>+IFERROR(VLOOKUP(EC2,IN_Zugliste!$A$4:$E$2002,5,FALSE),"")</f>
        <v/>
      </c>
      <c r="ED201" t="str">
        <f>+IFERROR(VLOOKUP(ED2,IN_Zugliste!$A$4:$E$2002,5,FALSE),"")</f>
        <v/>
      </c>
      <c r="EE201" t="str">
        <f>+IFERROR(VLOOKUP(EE2,IN_Zugliste!$A$4:$E$2002,5,FALSE),"")</f>
        <v/>
      </c>
      <c r="EF201" t="str">
        <f>+IFERROR(VLOOKUP(EF2,IN_Zugliste!$A$4:$E$2002,5,FALSE),"")</f>
        <v/>
      </c>
      <c r="EG201" t="str">
        <f>+IFERROR(VLOOKUP(EG2,IN_Zugliste!$A$4:$E$2002,5,FALSE),"")</f>
        <v/>
      </c>
      <c r="EH201" t="str">
        <f>+IFERROR(VLOOKUP(EH2,IN_Zugliste!$A$4:$E$2002,5,FALSE),"")</f>
        <v/>
      </c>
      <c r="EI201" t="str">
        <f>+IFERROR(VLOOKUP(EI2,IN_Zugliste!$A$4:$E$2002,5,FALSE),"")</f>
        <v/>
      </c>
      <c r="EJ201" t="str">
        <f>+IFERROR(VLOOKUP(EJ2,IN_Zugliste!$A$4:$E$2002,5,FALSE),"")</f>
        <v/>
      </c>
      <c r="EK201" t="str">
        <f>+IFERROR(VLOOKUP(EK2,IN_Zugliste!$A$4:$E$2002,5,FALSE),"")</f>
        <v/>
      </c>
      <c r="EL201" t="str">
        <f>+IFERROR(VLOOKUP(EL2,IN_Zugliste!$A$4:$E$2002,5,FALSE),"")</f>
        <v/>
      </c>
      <c r="EM201" t="str">
        <f>+IFERROR(VLOOKUP(EM2,IN_Zugliste!$A$4:$E$2002,5,FALSE),"")</f>
        <v/>
      </c>
      <c r="EN201" t="str">
        <f>+IFERROR(VLOOKUP(EN2,IN_Zugliste!$A$4:$E$2002,5,FALSE),"")</f>
        <v/>
      </c>
      <c r="EO201" t="str">
        <f>+IFERROR(VLOOKUP(EO2,IN_Zugliste!$A$4:$E$2002,5,FALSE),"")</f>
        <v/>
      </c>
      <c r="EP201" t="str">
        <f>+IFERROR(VLOOKUP(EP2,IN_Zugliste!$A$4:$E$2002,5,FALSE),"")</f>
        <v/>
      </c>
      <c r="EQ201" t="str">
        <f>+IFERROR(VLOOKUP(EQ2,IN_Zugliste!$A$4:$E$2002,5,FALSE),"")</f>
        <v/>
      </c>
      <c r="ER201" t="str">
        <f>+IFERROR(VLOOKUP(ER2,IN_Zugliste!$A$4:$E$2002,5,FALSE),"")</f>
        <v/>
      </c>
      <c r="ES201" t="str">
        <f>+IFERROR(VLOOKUP(ES2,IN_Zugliste!$A$4:$E$2002,5,FALSE),"")</f>
        <v/>
      </c>
      <c r="ET201" t="str">
        <f>+IFERROR(VLOOKUP(ET2,IN_Zugliste!$A$4:$E$2002,5,FALSE),"")</f>
        <v/>
      </c>
      <c r="EU201" t="str">
        <f>+IFERROR(VLOOKUP(EU2,IN_Zugliste!$A$4:$E$2002,5,FALSE),"")</f>
        <v/>
      </c>
      <c r="EV201" t="str">
        <f>+IFERROR(VLOOKUP(EV2,IN_Zugliste!$A$4:$E$2002,5,FALSE),"")</f>
        <v/>
      </c>
      <c r="EW201" t="str">
        <f>+IFERROR(VLOOKUP(EW2,IN_Zugliste!$A$4:$E$2002,5,FALSE),"")</f>
        <v/>
      </c>
      <c r="EX201" t="str">
        <f>+IFERROR(VLOOKUP(EX2,IN_Zugliste!$A$4:$E$2002,5,FALSE),"")</f>
        <v/>
      </c>
      <c r="EY201" t="str">
        <f>+IFERROR(VLOOKUP(EY2,IN_Zugliste!$A$4:$E$2002,5,FALSE),"")</f>
        <v/>
      </c>
      <c r="EZ201" t="str">
        <f>+IFERROR(VLOOKUP(EZ2,IN_Zugliste!$A$4:$E$2002,5,FALSE),"")</f>
        <v/>
      </c>
      <c r="FA201" t="str">
        <f>+IFERROR(VLOOKUP(FA2,IN_Zugliste!$A$4:$E$2002,5,FALSE),"")</f>
        <v/>
      </c>
      <c r="FB201" t="str">
        <f>+IFERROR(VLOOKUP(FB2,IN_Zugliste!$A$4:$E$2002,5,FALSE),"")</f>
        <v/>
      </c>
      <c r="FC201" t="str">
        <f>+IFERROR(VLOOKUP(FC2,IN_Zugliste!$A$4:$E$2002,5,FALSE),"")</f>
        <v/>
      </c>
      <c r="FD201" t="str">
        <f>+IFERROR(VLOOKUP(FD2,IN_Zugliste!$A$4:$E$2002,5,FALSE),"")</f>
        <v/>
      </c>
      <c r="FE201" t="str">
        <f>+IFERROR(VLOOKUP(FE2,IN_Zugliste!$A$4:$E$2002,5,FALSE),"")</f>
        <v/>
      </c>
      <c r="FF201" t="str">
        <f>+IFERROR(VLOOKUP(FF2,IN_Zugliste!$A$4:$E$2002,5,FALSE),"")</f>
        <v/>
      </c>
      <c r="FG201" t="str">
        <f>+IFERROR(VLOOKUP(FG2,IN_Zugliste!$A$4:$E$2002,5,FALSE),"")</f>
        <v/>
      </c>
      <c r="FH201" t="str">
        <f>+IFERROR(VLOOKUP(FH2,IN_Zugliste!$A$4:$E$2002,5,FALSE),"")</f>
        <v/>
      </c>
      <c r="FI201" t="str">
        <f>+IFERROR(VLOOKUP(FI2,IN_Zugliste!$A$4:$E$2002,5,FALSE),"")</f>
        <v/>
      </c>
      <c r="FJ201" t="str">
        <f>+IFERROR(VLOOKUP(FJ2,IN_Zugliste!$A$4:$E$2002,5,FALSE),"")</f>
        <v/>
      </c>
      <c r="FK201" t="str">
        <f>+IFERROR(VLOOKUP(FK2,IN_Zugliste!$A$4:$E$2002,5,FALSE),"")</f>
        <v/>
      </c>
      <c r="FL201" t="str">
        <f>+IFERROR(VLOOKUP(FL2,IN_Zugliste!$A$4:$E$2002,5,FALSE),"")</f>
        <v/>
      </c>
      <c r="FM201" t="str">
        <f>+IFERROR(VLOOKUP(FM2,IN_Zugliste!$A$4:$D$2002,5,FALSE),"")</f>
        <v/>
      </c>
      <c r="FN201" t="str">
        <f>+IFERROR(VLOOKUP(FN2,IN_Zugliste!$A$4:$D$2002,5,FALSE),"")</f>
        <v/>
      </c>
      <c r="FO201" t="str">
        <f>+IFERROR(VLOOKUP(FO2,IN_Zugliste!$A$4:$D$2002,5,FALSE),"")</f>
        <v/>
      </c>
      <c r="FP201" t="str">
        <f>+IFERROR(VLOOKUP(FP2,IN_Zugliste!$A$4:$D$2002,5,FALSE),"")</f>
        <v/>
      </c>
      <c r="FQ201" t="str">
        <f>+IFERROR(VLOOKUP(FQ2,IN_Zugliste!$A$4:$D$2002,5,FALSE),"")</f>
        <v/>
      </c>
      <c r="FR201" t="str">
        <f>+IFERROR(VLOOKUP(FR2,IN_Zugliste!$A$4:$D$2002,5,FALSE),"")</f>
        <v/>
      </c>
      <c r="FS201" t="str">
        <f>+IFERROR(VLOOKUP(FS2,IN_Zugliste!$A$4:$D$2002,5,FALSE),"")</f>
        <v/>
      </c>
      <c r="FT201" t="str">
        <f>+IFERROR(VLOOKUP(FT2,IN_Zugliste!$A$4:$D$2002,5,FALSE),"")</f>
        <v/>
      </c>
      <c r="FU201" t="str">
        <f>+IFERROR(VLOOKUP(FU2,IN_Zugliste!$A$4:$D$2002,5,FALSE),"")</f>
        <v/>
      </c>
      <c r="FV201" t="str">
        <f>+IFERROR(VLOOKUP(FV2,IN_Zugliste!$A$4:$D$2002,5,FALSE),"")</f>
        <v/>
      </c>
      <c r="FW201" t="str">
        <f>+IFERROR(VLOOKUP(FW2,IN_Zugliste!$A$4:$D$2002,5,FALSE),"")</f>
        <v/>
      </c>
      <c r="FX201" t="str">
        <f>+IFERROR(VLOOKUP(FX2,IN_Zugliste!$A$4:$D$2002,5,FALSE),"")</f>
        <v/>
      </c>
      <c r="FY201" t="str">
        <f>+IFERROR(VLOOKUP(FY2,IN_Zugliste!$A$4:$D$2002,5,FALSE),"")</f>
        <v/>
      </c>
      <c r="FZ201" t="str">
        <f>+IFERROR(VLOOKUP(FZ2,IN_Zugliste!$A$4:$D$2002,5,FALSE),"")</f>
        <v/>
      </c>
      <c r="GA201" t="str">
        <f>+IFERROR(VLOOKUP(GA2,IN_Zugliste!$A$4:$D$2002,5,FALSE),"")</f>
        <v/>
      </c>
      <c r="GB201" t="str">
        <f>+IFERROR(VLOOKUP(GB2,IN_Zugliste!$A$4:$D$2002,5,FALSE),"")</f>
        <v/>
      </c>
      <c r="GC201" t="str">
        <f>+IFERROR(VLOOKUP(GC2,IN_Zugliste!$A$4:$D$2002,5,FALSE),"")</f>
        <v/>
      </c>
      <c r="GD201" t="str">
        <f>+IFERROR(VLOOKUP(GD2,IN_Zugliste!$A$4:$D$2002,5,FALSE),"")</f>
        <v/>
      </c>
      <c r="GE201" t="str">
        <f>+IFERROR(VLOOKUP(GE2,IN_Zugliste!$A$4:$D$2002,5,FALSE),"")</f>
        <v/>
      </c>
      <c r="GF201" t="str">
        <f>+IFERROR(VLOOKUP(GF2,IN_Zugliste!$A$4:$D$2002,5,FALSE),"")</f>
        <v/>
      </c>
      <c r="GG201" t="str">
        <f>+IFERROR(VLOOKUP(GG2,IN_Zugliste!$A$4:$D$2002,5,FALSE),"")</f>
        <v/>
      </c>
      <c r="GH201" t="str">
        <f>+IFERROR(VLOOKUP(GH2,IN_Zugliste!$A$4:$D$2002,5,FALSE),"")</f>
        <v/>
      </c>
      <c r="GI201" t="str">
        <f>+IFERROR(VLOOKUP(GI2,IN_Zugliste!$A$4:$D$2002,5,FALSE),"")</f>
        <v/>
      </c>
      <c r="GJ201" t="str">
        <f>+IFERROR(VLOOKUP(GJ2,IN_Zugliste!$A$4:$D$2002,5,FALSE),"")</f>
        <v/>
      </c>
      <c r="GK201" t="str">
        <f>+IFERROR(VLOOKUP(GK2,IN_Zugliste!$A$4:$D$2002,5,FALSE),"")</f>
        <v/>
      </c>
      <c r="GL201" t="str">
        <f>+IFERROR(VLOOKUP(GL2,IN_Zugliste!$A$4:$D$2002,5,FALSE),"")</f>
        <v/>
      </c>
      <c r="GM201" t="str">
        <f>+IFERROR(VLOOKUP(GM2,IN_Zugliste!$A$4:$D$2002,5,FALSE),"")</f>
        <v/>
      </c>
      <c r="GN201" t="str">
        <f>+IFERROR(VLOOKUP(GN2,IN_Zugliste!$A$4:$D$2002,5,FALSE),"")</f>
        <v/>
      </c>
      <c r="GO201" t="str">
        <f>+IFERROR(VLOOKUP(GO2,IN_Zugliste!$A$4:$D$2002,5,FALSE),"")</f>
        <v/>
      </c>
      <c r="GP201" t="str">
        <f>+IFERROR(VLOOKUP(GP2,IN_Zugliste!$A$4:$D$2002,5,FALSE),"")</f>
        <v/>
      </c>
      <c r="GQ201" t="str">
        <f>+IFERROR(VLOOKUP(GQ2,IN_Zugliste!$A$4:$D$2002,5,FALSE),"")</f>
        <v/>
      </c>
      <c r="GR201" t="str">
        <f>+IFERROR(VLOOKUP(GR2,IN_Zugliste!$A$4:$D$2002,5,FALSE),"")</f>
        <v/>
      </c>
      <c r="GS201" t="str">
        <f>+IFERROR(VLOOKUP(GS2,IN_Zugliste!$A$4:$D$2002,5,FALSE),"")</f>
        <v/>
      </c>
      <c r="GT201" t="str">
        <f>+IFERROR(VLOOKUP(GT2,IN_Zugliste!$A$4:$D$2002,5,FALSE),"")</f>
        <v/>
      </c>
      <c r="GU201" t="str">
        <f>+IFERROR(VLOOKUP(GU2,IN_Zugliste!$A$4:$D$2002,5,FALSE),"")</f>
        <v/>
      </c>
      <c r="GV201" t="str">
        <f>+IFERROR(VLOOKUP(GV2,IN_Zugliste!$A$4:$D$2002,5,FALSE),"")</f>
        <v/>
      </c>
      <c r="GW201" t="str">
        <f>+IFERROR(VLOOKUP(GW2,IN_Zugliste!$A$4:$D$2002,5,FALSE),"")</f>
        <v/>
      </c>
      <c r="GX201" t="str">
        <f>+IFERROR(VLOOKUP(GX2,IN_Zugliste!$A$4:$D$2002,5,FALSE),"")</f>
        <v/>
      </c>
      <c r="GY201" t="str">
        <f>+IFERROR(VLOOKUP(GY2,IN_Zugliste!$A$4:$D$2002,5,FALSE),"")</f>
        <v/>
      </c>
      <c r="GZ201" t="str">
        <f>+IFERROR(VLOOKUP(GZ2,IN_Zugliste!$A$4:$D$2002,5,FALSE),"")</f>
        <v/>
      </c>
      <c r="HA201" t="str">
        <f>+IFERROR(VLOOKUP(HA2,IN_Zugliste!$A$4:$D$2002,5,FALSE),"")</f>
        <v/>
      </c>
      <c r="HB201" t="str">
        <f>+IFERROR(VLOOKUP(HB2,IN_Zugliste!$A$4:$D$2002,5,FALSE),"")</f>
        <v/>
      </c>
      <c r="HC201" t="str">
        <f>+IFERROR(VLOOKUP(HC2,IN_Zugliste!$A$4:$D$2002,5,FALSE),"")</f>
        <v/>
      </c>
      <c r="HD201" t="str">
        <f>+IFERROR(VLOOKUP(HD2,IN_Zugliste!$A$4:$D$2002,5,FALSE),"")</f>
        <v/>
      </c>
      <c r="HE201" t="str">
        <f>+IFERROR(VLOOKUP(HE2,IN_Zugliste!$A$4:$D$2002,5,FALSE),"")</f>
        <v/>
      </c>
      <c r="HF201" t="str">
        <f>+IFERROR(VLOOKUP(HF2,IN_Zugliste!$A$4:$D$2002,5,FALSE),"")</f>
        <v/>
      </c>
      <c r="HG201" t="str">
        <f>+IFERROR(VLOOKUP(HG2,IN_Zugliste!$A$4:$D$2002,5,FALSE),"")</f>
        <v/>
      </c>
      <c r="HH201" t="str">
        <f>+IFERROR(VLOOKUP(HH2,IN_Zugliste!$A$4:$D$2002,5,FALSE),"")</f>
        <v/>
      </c>
      <c r="HI201" t="str">
        <f>+IFERROR(VLOOKUP(HI2,IN_Zugliste!$A$4:$D$2002,5,FALSE),"")</f>
        <v/>
      </c>
      <c r="HJ201" t="str">
        <f>+IFERROR(VLOOKUP(HJ2,IN_Zugliste!$A$4:$D$2002,5,FALSE),"")</f>
        <v/>
      </c>
      <c r="HK201" t="str">
        <f>+IFERROR(VLOOKUP(HK2,IN_Zugliste!$A$4:$D$2002,5,FALSE),"")</f>
        <v/>
      </c>
      <c r="HL201" t="str">
        <f>+IFERROR(VLOOKUP(HL2,IN_Zugliste!$A$4:$D$2002,5,FALSE),"")</f>
        <v/>
      </c>
      <c r="HM201" t="str">
        <f>+IFERROR(VLOOKUP(HM2,IN_Zugliste!$A$4:$D$2002,5,FALSE),"")</f>
        <v/>
      </c>
      <c r="HN201" t="str">
        <f>+IFERROR(VLOOKUP(HN2,IN_Zugliste!$A$4:$D$2002,5,FALSE),"")</f>
        <v/>
      </c>
      <c r="HO201" t="str">
        <f>+IFERROR(VLOOKUP(HO2,IN_Zugliste!$A$4:$D$2002,5,FALSE),"")</f>
        <v/>
      </c>
      <c r="HP201" t="str">
        <f>+IFERROR(VLOOKUP(HP2,IN_Zugliste!$A$4:$D$2002,5,FALSE),"")</f>
        <v/>
      </c>
      <c r="HQ201" t="str">
        <f>+IFERROR(VLOOKUP(HQ2,IN_Zugliste!$A$4:$D$2002,5,FALSE),"")</f>
        <v/>
      </c>
      <c r="HR201" t="str">
        <f>+IFERROR(VLOOKUP(HR2,IN_Zugliste!$A$4:$D$2002,5,FALSE),"")</f>
        <v/>
      </c>
      <c r="HS201" t="str">
        <f>+IFERROR(VLOOKUP(HS2,IN_Zugliste!$A$4:$D$2002,5,FALSE),"")</f>
        <v/>
      </c>
      <c r="HT201" t="str">
        <f>+IFERROR(VLOOKUP(HT2,IN_Zugliste!$A$4:$D$2002,5,FALSE),"")</f>
        <v/>
      </c>
      <c r="HU201" t="str">
        <f>+IFERROR(VLOOKUP(HU2,IN_Zugliste!$A$4:$D$2002,5,FALSE),"")</f>
        <v/>
      </c>
      <c r="HV201" t="str">
        <f>+IFERROR(VLOOKUP(HV2,IN_Zugliste!$A$4:$D$2002,5,FALSE),"")</f>
        <v/>
      </c>
      <c r="HW201" t="str">
        <f>+IFERROR(VLOOKUP(HW2,IN_Zugliste!$A$4:$D$2002,5,FALSE),"")</f>
        <v/>
      </c>
      <c r="HX201" t="str">
        <f>+IFERROR(VLOOKUP(HX2,IN_Zugliste!$A$4:$D$2002,5,FALSE),"")</f>
        <v/>
      </c>
      <c r="HY201" t="str">
        <f>+IFERROR(VLOOKUP(HY2,IN_Zugliste!$A$4:$D$2002,5,FALSE),"")</f>
        <v/>
      </c>
      <c r="HZ201" t="str">
        <f>+IFERROR(VLOOKUP(HZ2,IN_Zugliste!$A$4:$D$2002,5,FALSE),"")</f>
        <v/>
      </c>
      <c r="IA201" t="str">
        <f>+IFERROR(VLOOKUP(IA2,IN_Zugliste!$A$4:$D$2002,5,FALSE),"")</f>
        <v/>
      </c>
      <c r="IB201" t="str">
        <f>+IFERROR(VLOOKUP(IB2,IN_Zugliste!$A$4:$D$2002,5,FALSE),"")</f>
        <v/>
      </c>
      <c r="IC201" t="str">
        <f>+IFERROR(VLOOKUP(IC2,IN_Zugliste!$A$4:$D$2002,5,FALSE),"")</f>
        <v/>
      </c>
      <c r="ID201" t="str">
        <f>+IFERROR(VLOOKUP(ID2,IN_Zugliste!$A$4:$D$2002,5,FALSE),"")</f>
        <v/>
      </c>
      <c r="IE201" t="str">
        <f>+IFERROR(VLOOKUP(IE2,IN_Zugliste!$A$4:$D$2002,5,FALSE),"")</f>
        <v/>
      </c>
      <c r="IF201" t="str">
        <f>+IFERROR(VLOOKUP(IF2,IN_Zugliste!$A$4:$D$2002,5,FALSE),"")</f>
        <v/>
      </c>
      <c r="IG201" t="str">
        <f>+IFERROR(VLOOKUP(IG2,IN_Zugliste!$A$4:$D$2002,5,FALSE),"")</f>
        <v/>
      </c>
      <c r="IH201" t="str">
        <f>+IFERROR(VLOOKUP(IH2,IN_Zugliste!$A$4:$D$2002,5,FALSE),"")</f>
        <v/>
      </c>
      <c r="II201" t="str">
        <f>+IFERROR(VLOOKUP(II2,IN_Zugliste!$A$4:$D$2002,5,FALSE),"")</f>
        <v/>
      </c>
      <c r="IJ201" t="str">
        <f>+IFERROR(VLOOKUP(IJ2,IN_Zugliste!$A$4:$D$2002,5,FALSE),"")</f>
        <v/>
      </c>
      <c r="IK201" t="str">
        <f>+IFERROR(VLOOKUP(IK2,IN_Zugliste!$A$4:$D$2002,5,FALSE),"")</f>
        <v/>
      </c>
      <c r="IL201" t="str">
        <f>+IFERROR(VLOOKUP(IL2,IN_Zugliste!$A$4:$D$2002,5,FALSE),"")</f>
        <v/>
      </c>
      <c r="IM201" t="str">
        <f>+IFERROR(VLOOKUP(IM2,IN_Zugliste!$A$4:$D$2002,5,FALSE),"")</f>
        <v/>
      </c>
      <c r="IN201" t="str">
        <f>+IFERROR(VLOOKUP(IN2,IN_Zugliste!$A$4:$D$2002,5,FALSE),"")</f>
        <v/>
      </c>
    </row>
    <row r="202" spans="1:248" x14ac:dyDescent="0.2">
      <c r="A202" t="str">
        <f>+IFERROR(VLOOKUP(A3,IN_Zugliste!$A$4:$E$2002,5,FALSE),"")</f>
        <v>Nein</v>
      </c>
      <c r="B202" t="str">
        <f>+IFERROR(VLOOKUP(B3,IN_Zugliste!$A$4:$E$2002,5,FALSE),"")</f>
        <v>Nein</v>
      </c>
      <c r="C202" t="str">
        <f>+IFERROR(VLOOKUP(C3,IN_Zugliste!$A$4:$E$2002,5,FALSE),"")</f>
        <v>Nein</v>
      </c>
      <c r="D202" t="str">
        <f>+IFERROR(VLOOKUP(D3,IN_Zugliste!$A$4:$E$2002,5,FALSE),"")</f>
        <v>Nein</v>
      </c>
      <c r="E202" t="str">
        <f>+IFERROR(VLOOKUP(E3,IN_Zugliste!$A$4:$E$2002,5,FALSE),"")</f>
        <v>Nein</v>
      </c>
      <c r="F202" t="str">
        <f>+IFERROR(VLOOKUP(F3,IN_Zugliste!$A$4:$E$2002,5,FALSE),"")</f>
        <v>Nein</v>
      </c>
      <c r="G202" t="str">
        <f>+IFERROR(VLOOKUP(G3,IN_Zugliste!$A$4:$E$2002,5,FALSE),"")</f>
        <v>Nein</v>
      </c>
      <c r="H202" t="str">
        <f>+IFERROR(VLOOKUP(H3,IN_Zugliste!$A$4:$E$2002,5,FALSE),"")</f>
        <v>Nein</v>
      </c>
      <c r="I202" t="str">
        <f>+IFERROR(VLOOKUP(I3,IN_Zugliste!$A$4:$E$2002,5,FALSE),"")</f>
        <v>Nein</v>
      </c>
      <c r="J202" t="str">
        <f>+IFERROR(VLOOKUP(J3,IN_Zugliste!$A$4:$E$2002,5,FALSE),"")</f>
        <v>Nein</v>
      </c>
      <c r="K202" t="str">
        <f>+IFERROR(VLOOKUP(K3,IN_Zugliste!$A$4:$E$2002,5,FALSE),"")</f>
        <v>Nein</v>
      </c>
      <c r="L202" t="str">
        <f>+IFERROR(VLOOKUP(L3,IN_Zugliste!$A$4:$E$2002,5,FALSE),"")</f>
        <v>Nein</v>
      </c>
      <c r="M202" t="str">
        <f>+IFERROR(VLOOKUP(M3,IN_Zugliste!$A$4:$E$2002,5,FALSE),"")</f>
        <v>Nein</v>
      </c>
      <c r="N202" t="str">
        <f>+IFERROR(VLOOKUP(N3,IN_Zugliste!$A$4:$E$2002,5,FALSE),"")</f>
        <v>Nein</v>
      </c>
      <c r="O202" t="str">
        <f>+IFERROR(VLOOKUP(O3,IN_Zugliste!$A$4:$E$2002,5,FALSE),"")</f>
        <v>Nein</v>
      </c>
      <c r="P202" t="str">
        <f>+IFERROR(VLOOKUP(P3,IN_Zugliste!$A$4:$E$2002,5,FALSE),"")</f>
        <v>Nein</v>
      </c>
      <c r="Q202" t="str">
        <f>+IFERROR(VLOOKUP(Q3,IN_Zugliste!$A$4:$E$2002,5,FALSE),"")</f>
        <v>Nein</v>
      </c>
      <c r="R202" t="str">
        <f>+IFERROR(VLOOKUP(R3,IN_Zugliste!$A$4:$E$2002,5,FALSE),"")</f>
        <v>Ja</v>
      </c>
      <c r="S202" t="str">
        <f>+IFERROR(VLOOKUP(S3,IN_Zugliste!$A$4:$E$2002,5,FALSE),"")</f>
        <v>Ja</v>
      </c>
      <c r="T202" t="str">
        <f>+IFERROR(VLOOKUP(T3,IN_Zugliste!$A$4:$E$2002,5,FALSE),"")</f>
        <v>Nein</v>
      </c>
      <c r="U202" t="str">
        <f>+IFERROR(VLOOKUP(U3,IN_Zugliste!$A$4:$E$2002,5,FALSE),"")</f>
        <v>Nein</v>
      </c>
      <c r="V202" t="str">
        <f>+IFERROR(VLOOKUP(V3,IN_Zugliste!$A$4:$E$2002,5,FALSE),"")</f>
        <v>Nein</v>
      </c>
      <c r="W202" t="str">
        <f>+IFERROR(VLOOKUP(W3,IN_Zugliste!$A$4:$E$2002,5,FALSE),"")</f>
        <v>Nein</v>
      </c>
      <c r="X202" t="str">
        <f>+IFERROR(VLOOKUP(X3,IN_Zugliste!$A$4:$E$2002,5,FALSE),"")</f>
        <v>Nein</v>
      </c>
      <c r="Y202" t="str">
        <f>+IFERROR(VLOOKUP(Y3,IN_Zugliste!$A$4:$E$2002,5,FALSE),"")</f>
        <v>Nein</v>
      </c>
      <c r="Z202" t="str">
        <f>+IFERROR(VLOOKUP(Z3,IN_Zugliste!$A$4:$E$2002,5,FALSE),"")</f>
        <v>Nein</v>
      </c>
      <c r="AA202" t="str">
        <f>+IFERROR(VLOOKUP(AA3,IN_Zugliste!$A$4:$E$2002,5,FALSE),"")</f>
        <v>Nein</v>
      </c>
      <c r="AB202" t="str">
        <f>+IFERROR(VLOOKUP(AB3,IN_Zugliste!$A$4:$E$2002,5,FALSE),"")</f>
        <v>Nein</v>
      </c>
      <c r="AC202" t="str">
        <f>+IFERROR(VLOOKUP(AC3,IN_Zugliste!$A$4:$E$2002,5,FALSE),"")</f>
        <v>Ja</v>
      </c>
      <c r="AD202" t="str">
        <f>+IFERROR(VLOOKUP(AD3,IN_Zugliste!$A$4:$E$2002,5,FALSE),"")</f>
        <v>Ja</v>
      </c>
      <c r="AE202" t="str">
        <f>+IFERROR(VLOOKUP(AE3,IN_Zugliste!$A$4:$E$2002,5,FALSE),"")</f>
        <v>Nein</v>
      </c>
      <c r="AF202" t="str">
        <f>+IFERROR(VLOOKUP(AF3,IN_Zugliste!$A$4:$E$2002,5,FALSE),"")</f>
        <v>Nein</v>
      </c>
      <c r="AG202" t="str">
        <f>+IFERROR(VLOOKUP(AG3,IN_Zugliste!$A$4:$E$2002,5,FALSE),"")</f>
        <v>Nein</v>
      </c>
      <c r="AH202" t="str">
        <f>+IFERROR(VLOOKUP(AH3,IN_Zugliste!$A$4:$E$2002,5,FALSE),"")</f>
        <v>Ja</v>
      </c>
      <c r="AI202" t="str">
        <f>+IFERROR(VLOOKUP(AI3,IN_Zugliste!$A$4:$E$2002,5,FALSE),"")</f>
        <v>Nein</v>
      </c>
      <c r="AJ202" t="str">
        <f>+IFERROR(VLOOKUP(AJ3,IN_Zugliste!$A$4:$E$2002,5,FALSE),"")</f>
        <v>Nein</v>
      </c>
      <c r="AK202" t="str">
        <f>+IFERROR(VLOOKUP(AK3,IN_Zugliste!$A$4:$E$2002,5,FALSE),"")</f>
        <v>Nein</v>
      </c>
      <c r="AL202" t="str">
        <f>+IFERROR(VLOOKUP(AL3,IN_Zugliste!$A$4:$E$2002,5,FALSE),"")</f>
        <v>Nein</v>
      </c>
      <c r="AM202" t="str">
        <f>+IFERROR(VLOOKUP(AM3,IN_Zugliste!$A$4:$E$2002,5,FALSE),"")</f>
        <v>Ja</v>
      </c>
      <c r="AN202" t="str">
        <f>+IFERROR(VLOOKUP(AN3,IN_Zugliste!$A$4:$E$2002,5,FALSE),"")</f>
        <v>Nein</v>
      </c>
      <c r="AO202" t="str">
        <f>+IFERROR(VLOOKUP(AO3,IN_Zugliste!$A$4:$E$2002,5,FALSE),"")</f>
        <v>Nein</v>
      </c>
      <c r="AP202" t="str">
        <f>+IFERROR(VLOOKUP(AP3,IN_Zugliste!$A$4:$E$2002,5,FALSE),"")</f>
        <v>Ja</v>
      </c>
      <c r="AQ202" t="str">
        <f>+IFERROR(VLOOKUP(AQ3,IN_Zugliste!$A$4:$E$2002,5,FALSE),"")</f>
        <v>Nein</v>
      </c>
      <c r="AR202" t="str">
        <f>+IFERROR(VLOOKUP(AR3,IN_Zugliste!$A$4:$E$2002,5,FALSE),"")</f>
        <v>Ja</v>
      </c>
      <c r="AS202" t="str">
        <f>+IFERROR(VLOOKUP(AS3,IN_Zugliste!$A$4:$E$2002,5,FALSE),"")</f>
        <v>Nein</v>
      </c>
      <c r="AT202" t="str">
        <f>+IFERROR(VLOOKUP(AT3,IN_Zugliste!$A$4:$E$2002,5,FALSE),"")</f>
        <v>Ja</v>
      </c>
      <c r="AU202" t="str">
        <f>+IFERROR(VLOOKUP(AU3,IN_Zugliste!$A$4:$E$2002,5,FALSE),"")</f>
        <v>Ja</v>
      </c>
      <c r="AV202" t="str">
        <f>+IFERROR(VLOOKUP(AV3,IN_Zugliste!$A$4:$E$2002,5,FALSE),"")</f>
        <v>Ja</v>
      </c>
      <c r="AW202" t="str">
        <f>+IFERROR(VLOOKUP(AW3,IN_Zugliste!$A$4:$E$2002,5,FALSE),"")</f>
        <v>Ja</v>
      </c>
      <c r="AX202" t="str">
        <f>+IFERROR(VLOOKUP(AX3,IN_Zugliste!$A$4:$E$2002,5,FALSE),"")</f>
        <v>Nein</v>
      </c>
      <c r="AY202" t="str">
        <f>+IFERROR(VLOOKUP(AY3,IN_Zugliste!$A$4:$E$2002,5,FALSE),"")</f>
        <v>Ja</v>
      </c>
      <c r="AZ202" t="str">
        <f>+IFERROR(VLOOKUP(AZ3,IN_Zugliste!$A$4:$E$2002,5,FALSE),"")</f>
        <v>Ja</v>
      </c>
      <c r="BA202" t="str">
        <f>+IFERROR(VLOOKUP(BA3,IN_Zugliste!$A$4:$E$2002,5,FALSE),"")</f>
        <v>Ja</v>
      </c>
      <c r="BB202" t="str">
        <f>+IFERROR(VLOOKUP(BB3,IN_Zugliste!$A$4:$E$2002,5,FALSE),"")</f>
        <v>Ja</v>
      </c>
      <c r="BC202" t="str">
        <f>+IFERROR(VLOOKUP(BC3,IN_Zugliste!$A$4:$E$2002,5,FALSE),"")</f>
        <v>Nein</v>
      </c>
      <c r="BD202" t="str">
        <f>+IFERROR(VLOOKUP(BD3,IN_Zugliste!$A$4:$E$2002,5,FALSE),"")</f>
        <v>Nein</v>
      </c>
      <c r="BE202" t="str">
        <f>+IFERROR(VLOOKUP(BE3,IN_Zugliste!$A$4:$E$2002,5,FALSE),"")</f>
        <v>Ja</v>
      </c>
      <c r="BF202" t="str">
        <f>+IFERROR(VLOOKUP(BF3,IN_Zugliste!$A$4:$E$2002,5,FALSE),"")</f>
        <v>Ja</v>
      </c>
      <c r="BG202" t="str">
        <f>+IFERROR(VLOOKUP(BG3,IN_Zugliste!$A$4:$E$2002,5,FALSE),"")</f>
        <v>Nein</v>
      </c>
      <c r="BH202" t="str">
        <f>+IFERROR(VLOOKUP(BH3,IN_Zugliste!$A$4:$E$2002,5,FALSE),"")</f>
        <v>Ja</v>
      </c>
      <c r="BI202" t="str">
        <f>+IFERROR(VLOOKUP(BI3,IN_Zugliste!$A$4:$E$2002,5,FALSE),"")</f>
        <v>Ja</v>
      </c>
      <c r="BJ202" t="str">
        <f>+IFERROR(VLOOKUP(BJ3,IN_Zugliste!$A$4:$E$2002,5,FALSE),"")</f>
        <v>Ja</v>
      </c>
      <c r="BK202" t="str">
        <f>+IFERROR(VLOOKUP(BK3,IN_Zugliste!$A$4:$E$2002,5,FALSE),"")</f>
        <v>Ja</v>
      </c>
      <c r="BL202" t="str">
        <f>+IFERROR(VLOOKUP(BL3,IN_Zugliste!$A$4:$E$2002,5,FALSE),"")</f>
        <v>Ja</v>
      </c>
      <c r="BM202" t="str">
        <f>+IFERROR(VLOOKUP(BM3,IN_Zugliste!$A$4:$E$2002,5,FALSE),"")</f>
        <v>Ja</v>
      </c>
      <c r="BN202" t="str">
        <f>+IFERROR(VLOOKUP(BN3,IN_Zugliste!$A$4:$E$2002,5,FALSE),"")</f>
        <v>Ja</v>
      </c>
      <c r="BO202" t="str">
        <f>+IFERROR(VLOOKUP(BO3,IN_Zugliste!$A$4:$E$2002,5,FALSE),"")</f>
        <v>Nein</v>
      </c>
      <c r="BP202" t="str">
        <f>+IFERROR(VLOOKUP(BP3,IN_Zugliste!$A$4:$E$2002,5,FALSE),"")</f>
        <v>Ja</v>
      </c>
      <c r="BQ202" t="str">
        <f>+IFERROR(VLOOKUP(BQ3,IN_Zugliste!$A$4:$E$2002,5,FALSE),"")</f>
        <v>Ja</v>
      </c>
      <c r="BR202" t="str">
        <f>+IFERROR(VLOOKUP(BR3,IN_Zugliste!$A$4:$E$2002,5,FALSE),"")</f>
        <v>Nein</v>
      </c>
      <c r="BS202" t="str">
        <f>+IFERROR(VLOOKUP(BS3,IN_Zugliste!$A$4:$E$2002,5,FALSE),"")</f>
        <v>Ja</v>
      </c>
      <c r="BT202" t="str">
        <f>+IFERROR(VLOOKUP(BT3,IN_Zugliste!$A$4:$E$2002,5,FALSE),"")</f>
        <v>Ja</v>
      </c>
      <c r="BU202" t="str">
        <f>+IFERROR(VLOOKUP(BU3,IN_Zugliste!$A$4:$E$2002,5,FALSE),"")</f>
        <v>Ja</v>
      </c>
      <c r="BV202" t="str">
        <f>+IFERROR(VLOOKUP(BV3,IN_Zugliste!$A$4:$E$2002,5,FALSE),"")</f>
        <v>Ja</v>
      </c>
      <c r="BW202" t="str">
        <f>+IFERROR(VLOOKUP(BW3,IN_Zugliste!$A$4:$E$2002,5,FALSE),"")</f>
        <v>Ja</v>
      </c>
      <c r="BX202" t="str">
        <f>+IFERROR(VLOOKUP(BX3,IN_Zugliste!$A$4:$E$2002,5,FALSE),"")</f>
        <v>Ja</v>
      </c>
      <c r="BY202" t="str">
        <f>+IFERROR(VLOOKUP(BY3,IN_Zugliste!$A$4:$E$2002,5,FALSE),"")</f>
        <v>Nein</v>
      </c>
      <c r="BZ202" t="str">
        <f>+IFERROR(VLOOKUP(BZ3,IN_Zugliste!$A$4:$E$2002,5,FALSE),"")</f>
        <v>Ja</v>
      </c>
      <c r="CA202" t="str">
        <f>+IFERROR(VLOOKUP(CA3,IN_Zugliste!$A$4:$E$2002,5,FALSE),"")</f>
        <v>Nein</v>
      </c>
      <c r="CB202" t="str">
        <f>+IFERROR(VLOOKUP(CB3,IN_Zugliste!$A$4:$E$2002,5,FALSE),"")</f>
        <v>Ja</v>
      </c>
      <c r="CC202" t="str">
        <f>+IFERROR(VLOOKUP(CC3,IN_Zugliste!$A$4:$E$2002,5,FALSE),"")</f>
        <v>Ja</v>
      </c>
      <c r="CD202" t="str">
        <f>+IFERROR(VLOOKUP(CD3,IN_Zugliste!$A$4:$E$2002,5,FALSE),"")</f>
        <v>Ja</v>
      </c>
      <c r="CE202" t="str">
        <f>+IFERROR(VLOOKUP(CE3,IN_Zugliste!$A$4:$E$2002,5,FALSE),"")</f>
        <v>Ja</v>
      </c>
      <c r="CF202" t="str">
        <f>+IFERROR(VLOOKUP(CF3,IN_Zugliste!$A$4:$E$2002,5,FALSE),"")</f>
        <v>Ja</v>
      </c>
      <c r="CG202" t="str">
        <f>+IFERROR(VLOOKUP(CG3,IN_Zugliste!$A$4:$E$2002,5,FALSE),"")</f>
        <v>Ja</v>
      </c>
      <c r="CH202" t="str">
        <f>+IFERROR(VLOOKUP(CH3,IN_Zugliste!$A$4:$E$2002,5,FALSE),"")</f>
        <v>Nein</v>
      </c>
      <c r="CI202" t="str">
        <f>+IFERROR(VLOOKUP(CI3,IN_Zugliste!$A$4:$E$2002,5,FALSE),"")</f>
        <v>Ja</v>
      </c>
      <c r="CJ202" t="str">
        <f>+IFERROR(VLOOKUP(CJ3,IN_Zugliste!$A$4:$E$2002,5,FALSE),"")</f>
        <v>Ja</v>
      </c>
      <c r="CK202" t="str">
        <f>+IFERROR(VLOOKUP(CK3,IN_Zugliste!$A$4:$E$2002,5,FALSE),"")</f>
        <v>Ja</v>
      </c>
      <c r="CL202" t="str">
        <f>+IFERROR(VLOOKUP(CL3,IN_Zugliste!$A$4:$E$2002,5,FALSE),"")</f>
        <v>Ja</v>
      </c>
      <c r="CM202" t="str">
        <f>+IFERROR(VLOOKUP(CM3,IN_Zugliste!$A$4:$E$2002,5,FALSE),"")</f>
        <v>Ja</v>
      </c>
      <c r="CN202" t="str">
        <f>+IFERROR(VLOOKUP(CN3,IN_Zugliste!$A$4:$E$2002,5,FALSE),"")</f>
        <v>Ja</v>
      </c>
      <c r="CO202" t="str">
        <f>+IFERROR(VLOOKUP(CO3,IN_Zugliste!$A$4:$E$2002,5,FALSE),"")</f>
        <v>Ja</v>
      </c>
      <c r="CP202" t="str">
        <f>+IFERROR(VLOOKUP(CP3,IN_Zugliste!$A$4:$E$2002,5,FALSE),"")</f>
        <v>Ja</v>
      </c>
      <c r="CQ202" t="str">
        <f>+IFERROR(VLOOKUP(CQ3,IN_Zugliste!$A$4:$E$2002,5,FALSE),"")</f>
        <v>Ja</v>
      </c>
      <c r="CR202" t="str">
        <f>+IFERROR(VLOOKUP(CR3,IN_Zugliste!$A$4:$E$2002,5,FALSE),"")</f>
        <v>Ja</v>
      </c>
      <c r="CS202" t="str">
        <f>+IFERROR(VLOOKUP(CS3,IN_Zugliste!$A$4:$E$2002,5,FALSE),"")</f>
        <v>Ja</v>
      </c>
      <c r="CT202" t="str">
        <f>+IFERROR(VLOOKUP(CT3,IN_Zugliste!$A$4:$E$2002,5,FALSE),"")</f>
        <v>Ja</v>
      </c>
      <c r="CU202" t="str">
        <f>+IFERROR(VLOOKUP(CU3,IN_Zugliste!$A$4:$E$2002,5,FALSE),"")</f>
        <v>Ja</v>
      </c>
      <c r="CV202" t="str">
        <f>+IFERROR(VLOOKUP(CV3,IN_Zugliste!$A$4:$E$2002,5,FALSE),"")</f>
        <v>Ja</v>
      </c>
      <c r="CW202" t="str">
        <f>+IFERROR(VLOOKUP(CW3,IN_Zugliste!$A$4:$E$2002,5,FALSE),"")</f>
        <v>Ja</v>
      </c>
      <c r="CX202" t="str">
        <f>+IFERROR(VLOOKUP(CX3,IN_Zugliste!$A$4:$E$2002,5,FALSE),"")</f>
        <v>Ja</v>
      </c>
      <c r="CY202" t="str">
        <f>+IFERROR(VLOOKUP(CY3,IN_Zugliste!$A$4:$E$2002,5,FALSE),"")</f>
        <v>Ja</v>
      </c>
      <c r="CZ202" t="str">
        <f>+IFERROR(VLOOKUP(CZ3,IN_Zugliste!$A$4:$E$2002,5,FALSE),"")</f>
        <v>Ja</v>
      </c>
      <c r="DA202" t="str">
        <f>+IFERROR(VLOOKUP(DA3,IN_Zugliste!$A$4:$E$2002,5,FALSE),"")</f>
        <v>Nein</v>
      </c>
      <c r="DB202" t="str">
        <f>+IFERROR(VLOOKUP(DB3,IN_Zugliste!$A$4:$E$2002,5,FALSE),"")</f>
        <v>Ja</v>
      </c>
      <c r="DC202" t="str">
        <f>+IFERROR(VLOOKUP(DC3,IN_Zugliste!$A$4:$E$2002,5,FALSE),"")</f>
        <v>Ja</v>
      </c>
      <c r="DD202" t="str">
        <f>+IFERROR(VLOOKUP(DD3,IN_Zugliste!$A$4:$E$2002,5,FALSE),"")</f>
        <v>Ja</v>
      </c>
      <c r="DE202" t="str">
        <f>+IFERROR(VLOOKUP(DE3,IN_Zugliste!$A$4:$E$2002,5,FALSE),"")</f>
        <v>Ja</v>
      </c>
      <c r="DF202" t="str">
        <f>+IFERROR(VLOOKUP(DF3,IN_Zugliste!$A$4:$E$2002,5,FALSE),"")</f>
        <v>Ja</v>
      </c>
      <c r="DG202" t="str">
        <f>+IFERROR(VLOOKUP(DG3,IN_Zugliste!$A$4:$E$2002,5,FALSE),"")</f>
        <v>Ja</v>
      </c>
      <c r="DH202" t="str">
        <f>+IFERROR(VLOOKUP(DH3,IN_Zugliste!$A$4:$E$2002,5,FALSE),"")</f>
        <v>Ja</v>
      </c>
      <c r="DI202" t="str">
        <f>+IFERROR(VLOOKUP(DI3,IN_Zugliste!$A$4:$E$2002,5,FALSE),"")</f>
        <v>Nein</v>
      </c>
      <c r="DJ202" t="str">
        <f>+IFERROR(VLOOKUP(DJ3,IN_Zugliste!$A$4:$E$2002,5,FALSE),"")</f>
        <v/>
      </c>
      <c r="DK202" t="str">
        <f>+IFERROR(VLOOKUP(DK3,IN_Zugliste!$A$4:$E$2002,5,FALSE),"")</f>
        <v/>
      </c>
      <c r="DL202" t="str">
        <f>+IFERROR(VLOOKUP(DL3,IN_Zugliste!$A$4:$E$2002,5,FALSE),"")</f>
        <v/>
      </c>
      <c r="DM202" t="str">
        <f>+IFERROR(VLOOKUP(DM3,IN_Zugliste!$A$4:$E$2002,5,FALSE),"")</f>
        <v/>
      </c>
      <c r="DN202" t="str">
        <f>+IFERROR(VLOOKUP(DN3,IN_Zugliste!$A$4:$E$2002,5,FALSE),"")</f>
        <v/>
      </c>
      <c r="DO202" t="str">
        <f>+IFERROR(VLOOKUP(DO3,IN_Zugliste!$A$4:$E$2002,5,FALSE),"")</f>
        <v/>
      </c>
      <c r="DP202" t="str">
        <f>+IFERROR(VLOOKUP(DP3,IN_Zugliste!$A$4:$E$2002,5,FALSE),"")</f>
        <v/>
      </c>
      <c r="DQ202" t="str">
        <f>+IFERROR(VLOOKUP(DQ3,IN_Zugliste!$A$4:$E$2002,5,FALSE),"")</f>
        <v/>
      </c>
      <c r="DR202" t="str">
        <f>+IFERROR(VLOOKUP(DR3,IN_Zugliste!$A$4:$E$2002,5,FALSE),"")</f>
        <v/>
      </c>
      <c r="DS202" t="str">
        <f>+IFERROR(VLOOKUP(DS3,IN_Zugliste!$A$4:$E$2002,5,FALSE),"")</f>
        <v/>
      </c>
      <c r="DT202" t="str">
        <f>+IFERROR(VLOOKUP(DT3,IN_Zugliste!$A$4:$E$2002,5,FALSE),"")</f>
        <v/>
      </c>
      <c r="DU202" t="str">
        <f>+IFERROR(VLOOKUP(DU3,IN_Zugliste!$A$4:$E$2002,5,FALSE),"")</f>
        <v/>
      </c>
      <c r="DV202" t="str">
        <f>+IFERROR(VLOOKUP(DV3,IN_Zugliste!$A$4:$E$2002,5,FALSE),"")</f>
        <v/>
      </c>
      <c r="DW202" t="str">
        <f>+IFERROR(VLOOKUP(DW3,IN_Zugliste!$A$4:$E$2002,5,FALSE),"")</f>
        <v/>
      </c>
      <c r="DX202" t="str">
        <f>+IFERROR(VLOOKUP(DX3,IN_Zugliste!$A$4:$E$2002,5,FALSE),"")</f>
        <v/>
      </c>
      <c r="DY202" t="str">
        <f>+IFERROR(VLOOKUP(DY3,IN_Zugliste!$A$4:$E$2002,5,FALSE),"")</f>
        <v/>
      </c>
      <c r="DZ202" t="str">
        <f>+IFERROR(VLOOKUP(DZ3,IN_Zugliste!$A$4:$E$2002,5,FALSE),"")</f>
        <v/>
      </c>
      <c r="EA202" t="str">
        <f>+IFERROR(VLOOKUP(EA3,IN_Zugliste!$A$4:$E$2002,5,FALSE),"")</f>
        <v/>
      </c>
      <c r="EB202" t="str">
        <f>+IFERROR(VLOOKUP(EB3,IN_Zugliste!$A$4:$E$2002,5,FALSE),"")</f>
        <v/>
      </c>
      <c r="EC202" t="str">
        <f>+IFERROR(VLOOKUP(EC3,IN_Zugliste!$A$4:$E$2002,5,FALSE),"")</f>
        <v/>
      </c>
      <c r="ED202" t="str">
        <f>+IFERROR(VLOOKUP(ED3,IN_Zugliste!$A$4:$E$2002,5,FALSE),"")</f>
        <v/>
      </c>
      <c r="EE202" t="str">
        <f>+IFERROR(VLOOKUP(EE3,IN_Zugliste!$A$4:$E$2002,5,FALSE),"")</f>
        <v/>
      </c>
      <c r="EF202" t="str">
        <f>+IFERROR(VLOOKUP(EF3,IN_Zugliste!$A$4:$E$2002,5,FALSE),"")</f>
        <v/>
      </c>
      <c r="EG202" t="str">
        <f>+IFERROR(VLOOKUP(EG3,IN_Zugliste!$A$4:$E$2002,5,FALSE),"")</f>
        <v/>
      </c>
      <c r="EH202" t="str">
        <f>+IFERROR(VLOOKUP(EH3,IN_Zugliste!$A$4:$E$2002,5,FALSE),"")</f>
        <v/>
      </c>
      <c r="EI202" t="str">
        <f>+IFERROR(VLOOKUP(EI3,IN_Zugliste!$A$4:$E$2002,5,FALSE),"")</f>
        <v/>
      </c>
      <c r="EJ202" t="str">
        <f>+IFERROR(VLOOKUP(EJ3,IN_Zugliste!$A$4:$E$2002,5,FALSE),"")</f>
        <v/>
      </c>
      <c r="EK202" t="str">
        <f>+IFERROR(VLOOKUP(EK3,IN_Zugliste!$A$4:$E$2002,5,FALSE),"")</f>
        <v/>
      </c>
      <c r="EL202" t="str">
        <f>+IFERROR(VLOOKUP(EL3,IN_Zugliste!$A$4:$E$2002,5,FALSE),"")</f>
        <v/>
      </c>
      <c r="EM202" t="str">
        <f>+IFERROR(VLOOKUP(EM3,IN_Zugliste!$A$4:$E$2002,5,FALSE),"")</f>
        <v/>
      </c>
      <c r="EN202" t="str">
        <f>+IFERROR(VLOOKUP(EN3,IN_Zugliste!$A$4:$E$2002,5,FALSE),"")</f>
        <v/>
      </c>
      <c r="EO202" t="str">
        <f>+IFERROR(VLOOKUP(EO3,IN_Zugliste!$A$4:$E$2002,5,FALSE),"")</f>
        <v/>
      </c>
      <c r="EP202" t="str">
        <f>+IFERROR(VLOOKUP(EP3,IN_Zugliste!$A$4:$E$2002,5,FALSE),"")</f>
        <v/>
      </c>
      <c r="EQ202" t="str">
        <f>+IFERROR(VLOOKUP(EQ3,IN_Zugliste!$A$4:$E$2002,5,FALSE),"")</f>
        <v/>
      </c>
      <c r="ER202" t="str">
        <f>+IFERROR(VLOOKUP(ER3,IN_Zugliste!$A$4:$E$2002,5,FALSE),"")</f>
        <v/>
      </c>
      <c r="ES202" t="str">
        <f>+IFERROR(VLOOKUP(ES3,IN_Zugliste!$A$4:$E$2002,5,FALSE),"")</f>
        <v/>
      </c>
      <c r="ET202" t="str">
        <f>+IFERROR(VLOOKUP(ET3,IN_Zugliste!$A$4:$E$2002,5,FALSE),"")</f>
        <v/>
      </c>
      <c r="EU202" t="str">
        <f>+IFERROR(VLOOKUP(EU3,IN_Zugliste!$A$4:$E$2002,5,FALSE),"")</f>
        <v/>
      </c>
      <c r="EV202" t="str">
        <f>+IFERROR(VLOOKUP(EV3,IN_Zugliste!$A$4:$E$2002,5,FALSE),"")</f>
        <v/>
      </c>
      <c r="EW202" t="str">
        <f>+IFERROR(VLOOKUP(EW3,IN_Zugliste!$A$4:$E$2002,5,FALSE),"")</f>
        <v/>
      </c>
      <c r="EX202" t="str">
        <f>+IFERROR(VLOOKUP(EX3,IN_Zugliste!$A$4:$E$2002,5,FALSE),"")</f>
        <v/>
      </c>
      <c r="EY202" t="str">
        <f>+IFERROR(VLOOKUP(EY3,IN_Zugliste!$A$4:$E$2002,5,FALSE),"")</f>
        <v/>
      </c>
      <c r="EZ202" t="str">
        <f>+IFERROR(VLOOKUP(EZ3,IN_Zugliste!$A$4:$E$2002,5,FALSE),"")</f>
        <v/>
      </c>
      <c r="FA202" t="str">
        <f>+IFERROR(VLOOKUP(FA3,IN_Zugliste!$A$4:$E$2002,5,FALSE),"")</f>
        <v/>
      </c>
      <c r="FB202" t="str">
        <f>+IFERROR(VLOOKUP(FB3,IN_Zugliste!$A$4:$E$2002,5,FALSE),"")</f>
        <v/>
      </c>
      <c r="FC202" t="str">
        <f>+IFERROR(VLOOKUP(FC3,IN_Zugliste!$A$4:$E$2002,5,FALSE),"")</f>
        <v/>
      </c>
      <c r="FD202" t="str">
        <f>+IFERROR(VLOOKUP(FD3,IN_Zugliste!$A$4:$E$2002,5,FALSE),"")</f>
        <v/>
      </c>
      <c r="FE202" t="str">
        <f>+IFERROR(VLOOKUP(FE3,IN_Zugliste!$A$4:$E$2002,5,FALSE),"")</f>
        <v/>
      </c>
      <c r="FF202" t="str">
        <f>+IFERROR(VLOOKUP(FF3,IN_Zugliste!$A$4:$E$2002,5,FALSE),"")</f>
        <v/>
      </c>
      <c r="FG202" t="str">
        <f>+IFERROR(VLOOKUP(FG3,IN_Zugliste!$A$4:$E$2002,5,FALSE),"")</f>
        <v/>
      </c>
      <c r="FH202" t="str">
        <f>+IFERROR(VLOOKUP(FH3,IN_Zugliste!$A$4:$E$2002,5,FALSE),"")</f>
        <v/>
      </c>
      <c r="FI202" t="str">
        <f>+IFERROR(VLOOKUP(FI3,IN_Zugliste!$A$4:$E$2002,5,FALSE),"")</f>
        <v/>
      </c>
      <c r="FJ202" t="str">
        <f>+IFERROR(VLOOKUP(FJ3,IN_Zugliste!$A$4:$E$2002,5,FALSE),"")</f>
        <v/>
      </c>
      <c r="FK202" t="str">
        <f>+IFERROR(VLOOKUP(FK3,IN_Zugliste!$A$4:$E$2002,5,FALSE),"")</f>
        <v/>
      </c>
      <c r="FL202" t="str">
        <f>+IFERROR(VLOOKUP(FL3,IN_Zugliste!$A$4:$E$2002,5,FALSE),"")</f>
        <v/>
      </c>
      <c r="FM202" t="str">
        <f>+IFERROR(VLOOKUP(FM3,IN_Zugliste!$A$4:$D$2002,5,FALSE),"")</f>
        <v/>
      </c>
      <c r="FN202" t="str">
        <f>+IFERROR(VLOOKUP(FN3,IN_Zugliste!$A$4:$D$2002,5,FALSE),"")</f>
        <v/>
      </c>
      <c r="FO202" t="str">
        <f>+IFERROR(VLOOKUP(FO3,IN_Zugliste!$A$4:$D$2002,5,FALSE),"")</f>
        <v/>
      </c>
      <c r="FP202" t="str">
        <f>+IFERROR(VLOOKUP(FP3,IN_Zugliste!$A$4:$D$2002,5,FALSE),"")</f>
        <v/>
      </c>
      <c r="FQ202" t="str">
        <f>+IFERROR(VLOOKUP(FQ3,IN_Zugliste!$A$4:$D$2002,5,FALSE),"")</f>
        <v/>
      </c>
      <c r="FR202" t="str">
        <f>+IFERROR(VLOOKUP(FR3,IN_Zugliste!$A$4:$D$2002,5,FALSE),"")</f>
        <v/>
      </c>
      <c r="FS202" t="str">
        <f>+IFERROR(VLOOKUP(FS3,IN_Zugliste!$A$4:$D$2002,5,FALSE),"")</f>
        <v/>
      </c>
      <c r="FT202" t="str">
        <f>+IFERROR(VLOOKUP(FT3,IN_Zugliste!$A$4:$D$2002,5,FALSE),"")</f>
        <v/>
      </c>
      <c r="FU202" t="str">
        <f>+IFERROR(VLOOKUP(FU3,IN_Zugliste!$A$4:$D$2002,5,FALSE),"")</f>
        <v/>
      </c>
      <c r="FV202" t="str">
        <f>+IFERROR(VLOOKUP(FV3,IN_Zugliste!$A$4:$D$2002,5,FALSE),"")</f>
        <v/>
      </c>
      <c r="FW202" t="str">
        <f>+IFERROR(VLOOKUP(FW3,IN_Zugliste!$A$4:$D$2002,5,FALSE),"")</f>
        <v/>
      </c>
      <c r="FX202" t="str">
        <f>+IFERROR(VLOOKUP(FX3,IN_Zugliste!$A$4:$D$2002,5,FALSE),"")</f>
        <v/>
      </c>
      <c r="FY202" t="str">
        <f>+IFERROR(VLOOKUP(FY3,IN_Zugliste!$A$4:$D$2002,5,FALSE),"")</f>
        <v/>
      </c>
      <c r="FZ202" t="str">
        <f>+IFERROR(VLOOKUP(FZ3,IN_Zugliste!$A$4:$D$2002,5,FALSE),"")</f>
        <v/>
      </c>
      <c r="GA202" t="str">
        <f>+IFERROR(VLOOKUP(GA3,IN_Zugliste!$A$4:$D$2002,5,FALSE),"")</f>
        <v/>
      </c>
      <c r="GB202" t="str">
        <f>+IFERROR(VLOOKUP(GB3,IN_Zugliste!$A$4:$D$2002,5,FALSE),"")</f>
        <v/>
      </c>
      <c r="GC202" t="str">
        <f>+IFERROR(VLOOKUP(GC3,IN_Zugliste!$A$4:$D$2002,5,FALSE),"")</f>
        <v/>
      </c>
      <c r="GD202" t="str">
        <f>+IFERROR(VLOOKUP(GD3,IN_Zugliste!$A$4:$D$2002,5,FALSE),"")</f>
        <v/>
      </c>
      <c r="GE202" t="str">
        <f>+IFERROR(VLOOKUP(GE3,IN_Zugliste!$A$4:$D$2002,5,FALSE),"")</f>
        <v/>
      </c>
      <c r="GF202" t="str">
        <f>+IFERROR(VLOOKUP(GF3,IN_Zugliste!$A$4:$D$2002,5,FALSE),"")</f>
        <v/>
      </c>
      <c r="GG202" t="str">
        <f>+IFERROR(VLOOKUP(GG3,IN_Zugliste!$A$4:$D$2002,5,FALSE),"")</f>
        <v/>
      </c>
      <c r="GH202" t="str">
        <f>+IFERROR(VLOOKUP(GH3,IN_Zugliste!$A$4:$D$2002,5,FALSE),"")</f>
        <v/>
      </c>
      <c r="GI202" t="str">
        <f>+IFERROR(VLOOKUP(GI3,IN_Zugliste!$A$4:$D$2002,5,FALSE),"")</f>
        <v/>
      </c>
      <c r="GJ202" t="str">
        <f>+IFERROR(VLOOKUP(GJ3,IN_Zugliste!$A$4:$D$2002,5,FALSE),"")</f>
        <v/>
      </c>
      <c r="GK202" t="str">
        <f>+IFERROR(VLOOKUP(GK3,IN_Zugliste!$A$4:$D$2002,5,FALSE),"")</f>
        <v/>
      </c>
      <c r="GL202" t="str">
        <f>+IFERROR(VLOOKUP(GL3,IN_Zugliste!$A$4:$D$2002,5,FALSE),"")</f>
        <v/>
      </c>
      <c r="GM202" t="str">
        <f>+IFERROR(VLOOKUP(GM3,IN_Zugliste!$A$4:$D$2002,5,FALSE),"")</f>
        <v/>
      </c>
      <c r="GN202" t="str">
        <f>+IFERROR(VLOOKUP(GN3,IN_Zugliste!$A$4:$D$2002,5,FALSE),"")</f>
        <v/>
      </c>
      <c r="GO202" t="str">
        <f>+IFERROR(VLOOKUP(GO3,IN_Zugliste!$A$4:$D$2002,5,FALSE),"")</f>
        <v/>
      </c>
      <c r="GP202" t="str">
        <f>+IFERROR(VLOOKUP(GP3,IN_Zugliste!$A$4:$D$2002,5,FALSE),"")</f>
        <v/>
      </c>
      <c r="GQ202" t="str">
        <f>+IFERROR(VLOOKUP(GQ3,IN_Zugliste!$A$4:$D$2002,5,FALSE),"")</f>
        <v/>
      </c>
      <c r="GR202" t="str">
        <f>+IFERROR(VLOOKUP(GR3,IN_Zugliste!$A$4:$D$2002,5,FALSE),"")</f>
        <v/>
      </c>
      <c r="GS202" t="str">
        <f>+IFERROR(VLOOKUP(GS3,IN_Zugliste!$A$4:$D$2002,5,FALSE),"")</f>
        <v/>
      </c>
      <c r="GT202" t="str">
        <f>+IFERROR(VLOOKUP(GT3,IN_Zugliste!$A$4:$D$2002,5,FALSE),"")</f>
        <v/>
      </c>
      <c r="GU202" t="str">
        <f>+IFERROR(VLOOKUP(GU3,IN_Zugliste!$A$4:$D$2002,5,FALSE),"")</f>
        <v/>
      </c>
      <c r="GV202" t="str">
        <f>+IFERROR(VLOOKUP(GV3,IN_Zugliste!$A$4:$D$2002,5,FALSE),"")</f>
        <v/>
      </c>
      <c r="GW202" t="str">
        <f>+IFERROR(VLOOKUP(GW3,IN_Zugliste!$A$4:$D$2002,5,FALSE),"")</f>
        <v/>
      </c>
      <c r="GX202" t="str">
        <f>+IFERROR(VLOOKUP(GX3,IN_Zugliste!$A$4:$D$2002,5,FALSE),"")</f>
        <v/>
      </c>
      <c r="GY202" t="str">
        <f>+IFERROR(VLOOKUP(GY3,IN_Zugliste!$A$4:$D$2002,5,FALSE),"")</f>
        <v/>
      </c>
      <c r="GZ202" t="str">
        <f>+IFERROR(VLOOKUP(GZ3,IN_Zugliste!$A$4:$D$2002,5,FALSE),"")</f>
        <v/>
      </c>
      <c r="HA202" t="str">
        <f>+IFERROR(VLOOKUP(HA3,IN_Zugliste!$A$4:$D$2002,5,FALSE),"")</f>
        <v/>
      </c>
      <c r="HB202" t="str">
        <f>+IFERROR(VLOOKUP(HB3,IN_Zugliste!$A$4:$D$2002,5,FALSE),"")</f>
        <v/>
      </c>
      <c r="HC202" t="str">
        <f>+IFERROR(VLOOKUP(HC3,IN_Zugliste!$A$4:$D$2002,5,FALSE),"")</f>
        <v/>
      </c>
      <c r="HD202" t="str">
        <f>+IFERROR(VLOOKUP(HD3,IN_Zugliste!$A$4:$D$2002,5,FALSE),"")</f>
        <v/>
      </c>
      <c r="HE202" t="str">
        <f>+IFERROR(VLOOKUP(HE3,IN_Zugliste!$A$4:$D$2002,5,FALSE),"")</f>
        <v/>
      </c>
      <c r="HF202" t="str">
        <f>+IFERROR(VLOOKUP(HF3,IN_Zugliste!$A$4:$D$2002,5,FALSE),"")</f>
        <v/>
      </c>
      <c r="HG202" t="str">
        <f>+IFERROR(VLOOKUP(HG3,IN_Zugliste!$A$4:$D$2002,5,FALSE),"")</f>
        <v/>
      </c>
      <c r="HH202" t="str">
        <f>+IFERROR(VLOOKUP(HH3,IN_Zugliste!$A$4:$D$2002,5,FALSE),"")</f>
        <v/>
      </c>
      <c r="HI202" t="str">
        <f>+IFERROR(VLOOKUP(HI3,IN_Zugliste!$A$4:$D$2002,5,FALSE),"")</f>
        <v/>
      </c>
      <c r="HJ202" t="str">
        <f>+IFERROR(VLOOKUP(HJ3,IN_Zugliste!$A$4:$D$2002,5,FALSE),"")</f>
        <v/>
      </c>
      <c r="HK202" t="str">
        <f>+IFERROR(VLOOKUP(HK3,IN_Zugliste!$A$4:$D$2002,5,FALSE),"")</f>
        <v/>
      </c>
      <c r="HL202" t="str">
        <f>+IFERROR(VLOOKUP(HL3,IN_Zugliste!$A$4:$D$2002,5,FALSE),"")</f>
        <v/>
      </c>
      <c r="HM202" t="str">
        <f>+IFERROR(VLOOKUP(HM3,IN_Zugliste!$A$4:$D$2002,5,FALSE),"")</f>
        <v/>
      </c>
      <c r="HN202" t="str">
        <f>+IFERROR(VLOOKUP(HN3,IN_Zugliste!$A$4:$D$2002,5,FALSE),"")</f>
        <v/>
      </c>
      <c r="HO202" t="str">
        <f>+IFERROR(VLOOKUP(HO3,IN_Zugliste!$A$4:$D$2002,5,FALSE),"")</f>
        <v/>
      </c>
      <c r="HP202" t="str">
        <f>+IFERROR(VLOOKUP(HP3,IN_Zugliste!$A$4:$D$2002,5,FALSE),"")</f>
        <v/>
      </c>
      <c r="HQ202" t="str">
        <f>+IFERROR(VLOOKUP(HQ3,IN_Zugliste!$A$4:$D$2002,5,FALSE),"")</f>
        <v/>
      </c>
      <c r="HR202" t="str">
        <f>+IFERROR(VLOOKUP(HR3,IN_Zugliste!$A$4:$D$2002,5,FALSE),"")</f>
        <v/>
      </c>
      <c r="HS202" t="str">
        <f>+IFERROR(VLOOKUP(HS3,IN_Zugliste!$A$4:$D$2002,5,FALSE),"")</f>
        <v/>
      </c>
      <c r="HT202" t="str">
        <f>+IFERROR(VLOOKUP(HT3,IN_Zugliste!$A$4:$D$2002,5,FALSE),"")</f>
        <v/>
      </c>
      <c r="HU202" t="str">
        <f>+IFERROR(VLOOKUP(HU3,IN_Zugliste!$A$4:$D$2002,5,FALSE),"")</f>
        <v/>
      </c>
      <c r="HV202" t="str">
        <f>+IFERROR(VLOOKUP(HV3,IN_Zugliste!$A$4:$D$2002,5,FALSE),"")</f>
        <v/>
      </c>
      <c r="HW202" t="str">
        <f>+IFERROR(VLOOKUP(HW3,IN_Zugliste!$A$4:$D$2002,5,FALSE),"")</f>
        <v/>
      </c>
      <c r="HX202" t="str">
        <f>+IFERROR(VLOOKUP(HX3,IN_Zugliste!$A$4:$D$2002,5,FALSE),"")</f>
        <v/>
      </c>
      <c r="HY202" t="str">
        <f>+IFERROR(VLOOKUP(HY3,IN_Zugliste!$A$4:$D$2002,5,FALSE),"")</f>
        <v/>
      </c>
      <c r="HZ202" t="str">
        <f>+IFERROR(VLOOKUP(HZ3,IN_Zugliste!$A$4:$D$2002,5,FALSE),"")</f>
        <v/>
      </c>
      <c r="IA202" t="str">
        <f>+IFERROR(VLOOKUP(IA3,IN_Zugliste!$A$4:$D$2002,5,FALSE),"")</f>
        <v/>
      </c>
      <c r="IB202" t="str">
        <f>+IFERROR(VLOOKUP(IB3,IN_Zugliste!$A$4:$D$2002,5,FALSE),"")</f>
        <v/>
      </c>
      <c r="IC202" t="str">
        <f>+IFERROR(VLOOKUP(IC3,IN_Zugliste!$A$4:$D$2002,5,FALSE),"")</f>
        <v/>
      </c>
      <c r="ID202" t="str">
        <f>+IFERROR(VLOOKUP(ID3,IN_Zugliste!$A$4:$D$2002,5,FALSE),"")</f>
        <v/>
      </c>
      <c r="IE202" t="str">
        <f>+IFERROR(VLOOKUP(IE3,IN_Zugliste!$A$4:$D$2002,5,FALSE),"")</f>
        <v/>
      </c>
      <c r="IF202" t="str">
        <f>+IFERROR(VLOOKUP(IF3,IN_Zugliste!$A$4:$D$2002,5,FALSE),"")</f>
        <v/>
      </c>
      <c r="IG202" t="str">
        <f>+IFERROR(VLOOKUP(IG3,IN_Zugliste!$A$4:$D$2002,5,FALSE),"")</f>
        <v/>
      </c>
      <c r="IH202" t="str">
        <f>+IFERROR(VLOOKUP(IH3,IN_Zugliste!$A$4:$D$2002,5,FALSE),"")</f>
        <v/>
      </c>
      <c r="II202" t="str">
        <f>+IFERROR(VLOOKUP(II3,IN_Zugliste!$A$4:$D$2002,5,FALSE),"")</f>
        <v/>
      </c>
      <c r="IJ202" t="str">
        <f>+IFERROR(VLOOKUP(IJ3,IN_Zugliste!$A$4:$D$2002,5,FALSE),"")</f>
        <v/>
      </c>
      <c r="IK202" t="str">
        <f>+IFERROR(VLOOKUP(IK3,IN_Zugliste!$A$4:$D$2002,5,FALSE),"")</f>
        <v/>
      </c>
      <c r="IL202" t="str">
        <f>+IFERROR(VLOOKUP(IL3,IN_Zugliste!$A$4:$D$2002,5,FALSE),"")</f>
        <v/>
      </c>
      <c r="IM202" t="str">
        <f>+IFERROR(VLOOKUP(IM3,IN_Zugliste!$A$4:$D$2002,5,FALSE),"")</f>
        <v/>
      </c>
      <c r="IN202" t="str">
        <f>+IFERROR(VLOOKUP(IN3,IN_Zugliste!$A$4:$D$2002,5,FALSE),"")</f>
        <v/>
      </c>
    </row>
    <row r="203" spans="1:248" x14ac:dyDescent="0.2">
      <c r="A203" t="str">
        <f>+IFERROR(VLOOKUP(A4,IN_Zugliste!$A$4:$E$2002,5,FALSE),"")</f>
        <v>Nein</v>
      </c>
      <c r="B203" t="str">
        <f>+IFERROR(VLOOKUP(B4,IN_Zugliste!$A$4:$E$2002,5,FALSE),"")</f>
        <v>Nein</v>
      </c>
      <c r="C203" t="str">
        <f>+IFERROR(VLOOKUP(C4,IN_Zugliste!$A$4:$E$2002,5,FALSE),"")</f>
        <v>Nein</v>
      </c>
      <c r="D203" t="str">
        <f>+IFERROR(VLOOKUP(D4,IN_Zugliste!$A$4:$E$2002,5,FALSE),"")</f>
        <v>Nein</v>
      </c>
      <c r="E203" t="str">
        <f>+IFERROR(VLOOKUP(E4,IN_Zugliste!$A$4:$E$2002,5,FALSE),"")</f>
        <v>Nein</v>
      </c>
      <c r="F203" t="str">
        <f>+IFERROR(VLOOKUP(F4,IN_Zugliste!$A$4:$E$2002,5,FALSE),"")</f>
        <v>Nein</v>
      </c>
      <c r="G203" t="str">
        <f>+IFERROR(VLOOKUP(G4,IN_Zugliste!$A$4:$E$2002,5,FALSE),"")</f>
        <v>Nein</v>
      </c>
      <c r="H203" t="str">
        <f>+IFERROR(VLOOKUP(H4,IN_Zugliste!$A$4:$E$2002,5,FALSE),"")</f>
        <v>Nein</v>
      </c>
      <c r="I203" t="str">
        <f>+IFERROR(VLOOKUP(I4,IN_Zugliste!$A$4:$E$2002,5,FALSE),"")</f>
        <v>Nein</v>
      </c>
      <c r="J203" t="str">
        <f>+IFERROR(VLOOKUP(J4,IN_Zugliste!$A$4:$E$2002,5,FALSE),"")</f>
        <v>Nein</v>
      </c>
      <c r="K203" t="str">
        <f>+IFERROR(VLOOKUP(K4,IN_Zugliste!$A$4:$E$2002,5,FALSE),"")</f>
        <v>Nein</v>
      </c>
      <c r="L203" t="str">
        <f>+IFERROR(VLOOKUP(L4,IN_Zugliste!$A$4:$E$2002,5,FALSE),"")</f>
        <v>Nein</v>
      </c>
      <c r="M203" t="str">
        <f>+IFERROR(VLOOKUP(M4,IN_Zugliste!$A$4:$E$2002,5,FALSE),"")</f>
        <v>Nein</v>
      </c>
      <c r="N203" t="str">
        <f>+IFERROR(VLOOKUP(N4,IN_Zugliste!$A$4:$E$2002,5,FALSE),"")</f>
        <v>Nein</v>
      </c>
      <c r="O203" t="str">
        <f>+IFERROR(VLOOKUP(O4,IN_Zugliste!$A$4:$E$2002,5,FALSE),"")</f>
        <v>Nein</v>
      </c>
      <c r="P203" t="str">
        <f>+IFERROR(VLOOKUP(P4,IN_Zugliste!$A$4:$E$2002,5,FALSE),"")</f>
        <v>Nein</v>
      </c>
      <c r="Q203" t="str">
        <f>+IFERROR(VLOOKUP(Q4,IN_Zugliste!$A$4:$E$2002,5,FALSE),"")</f>
        <v>Nein</v>
      </c>
      <c r="R203" t="str">
        <f>+IFERROR(VLOOKUP(R4,IN_Zugliste!$A$4:$E$2002,5,FALSE),"")</f>
        <v>Ja</v>
      </c>
      <c r="S203" t="str">
        <f>+IFERROR(VLOOKUP(S4,IN_Zugliste!$A$4:$E$2002,5,FALSE),"")</f>
        <v>Ja</v>
      </c>
      <c r="T203" t="str">
        <f>+IFERROR(VLOOKUP(T4,IN_Zugliste!$A$4:$E$2002,5,FALSE),"")</f>
        <v>Nein</v>
      </c>
      <c r="U203" t="str">
        <f>+IFERROR(VLOOKUP(U4,IN_Zugliste!$A$4:$E$2002,5,FALSE),"")</f>
        <v>Nein</v>
      </c>
      <c r="V203" t="str">
        <f>+IFERROR(VLOOKUP(V4,IN_Zugliste!$A$4:$E$2002,5,FALSE),"")</f>
        <v>Nein</v>
      </c>
      <c r="W203" t="str">
        <f>+IFERROR(VLOOKUP(W4,IN_Zugliste!$A$4:$E$2002,5,FALSE),"")</f>
        <v>Nein</v>
      </c>
      <c r="X203" t="str">
        <f>+IFERROR(VLOOKUP(X4,IN_Zugliste!$A$4:$E$2002,5,FALSE),"")</f>
        <v>Nein</v>
      </c>
      <c r="Y203" t="str">
        <f>+IFERROR(VLOOKUP(Y4,IN_Zugliste!$A$4:$E$2002,5,FALSE),"")</f>
        <v>Nein</v>
      </c>
      <c r="Z203" t="str">
        <f>+IFERROR(VLOOKUP(Z4,IN_Zugliste!$A$4:$E$2002,5,FALSE),"")</f>
        <v>Nein</v>
      </c>
      <c r="AA203" t="str">
        <f>+IFERROR(VLOOKUP(AA4,IN_Zugliste!$A$4:$E$2002,5,FALSE),"")</f>
        <v>Nein</v>
      </c>
      <c r="AB203" t="str">
        <f>+IFERROR(VLOOKUP(AB4,IN_Zugliste!$A$4:$E$2002,5,FALSE),"")</f>
        <v>Nein</v>
      </c>
      <c r="AC203" t="str">
        <f>+IFERROR(VLOOKUP(AC4,IN_Zugliste!$A$4:$E$2002,5,FALSE),"")</f>
        <v>Ja</v>
      </c>
      <c r="AD203" t="str">
        <f>+IFERROR(VLOOKUP(AD4,IN_Zugliste!$A$4:$E$2002,5,FALSE),"")</f>
        <v>Ja</v>
      </c>
      <c r="AE203" t="str">
        <f>+IFERROR(VLOOKUP(AE4,IN_Zugliste!$A$4:$E$2002,5,FALSE),"")</f>
        <v>Nein</v>
      </c>
      <c r="AF203" t="str">
        <f>+IFERROR(VLOOKUP(AF4,IN_Zugliste!$A$4:$E$2002,5,FALSE),"")</f>
        <v>Nein</v>
      </c>
      <c r="AG203" t="str">
        <f>+IFERROR(VLOOKUP(AG4,IN_Zugliste!$A$4:$E$2002,5,FALSE),"")</f>
        <v>Nein</v>
      </c>
      <c r="AH203" t="str">
        <f>+IFERROR(VLOOKUP(AH4,IN_Zugliste!$A$4:$E$2002,5,FALSE),"")</f>
        <v>Ja</v>
      </c>
      <c r="AI203" t="str">
        <f>+IFERROR(VLOOKUP(AI4,IN_Zugliste!$A$4:$E$2002,5,FALSE),"")</f>
        <v>Nein</v>
      </c>
      <c r="AJ203" t="str">
        <f>+IFERROR(VLOOKUP(AJ4,IN_Zugliste!$A$4:$E$2002,5,FALSE),"")</f>
        <v>Nein</v>
      </c>
      <c r="AK203" t="str">
        <f>+IFERROR(VLOOKUP(AK4,IN_Zugliste!$A$4:$E$2002,5,FALSE),"")</f>
        <v>Nein</v>
      </c>
      <c r="AL203" t="str">
        <f>+IFERROR(VLOOKUP(AL4,IN_Zugliste!$A$4:$E$2002,5,FALSE),"")</f>
        <v>Nein</v>
      </c>
      <c r="AM203" t="str">
        <f>+IFERROR(VLOOKUP(AM4,IN_Zugliste!$A$4:$E$2002,5,FALSE),"")</f>
        <v>Ja</v>
      </c>
      <c r="AN203" t="str">
        <f>+IFERROR(VLOOKUP(AN4,IN_Zugliste!$A$4:$E$2002,5,FALSE),"")</f>
        <v>Nein</v>
      </c>
      <c r="AO203" t="str">
        <f>+IFERROR(VLOOKUP(AO4,IN_Zugliste!$A$4:$E$2002,5,FALSE),"")</f>
        <v>Nein</v>
      </c>
      <c r="AP203" t="str">
        <f>+IFERROR(VLOOKUP(AP4,IN_Zugliste!$A$4:$E$2002,5,FALSE),"")</f>
        <v>Ja</v>
      </c>
      <c r="AQ203" t="str">
        <f>+IFERROR(VLOOKUP(AQ4,IN_Zugliste!$A$4:$E$2002,5,FALSE),"")</f>
        <v>Nein</v>
      </c>
      <c r="AR203" t="str">
        <f>+IFERROR(VLOOKUP(AR4,IN_Zugliste!$A$4:$E$2002,5,FALSE),"")</f>
        <v>Ja</v>
      </c>
      <c r="AS203" t="str">
        <f>+IFERROR(VLOOKUP(AS4,IN_Zugliste!$A$4:$E$2002,5,FALSE),"")</f>
        <v>Nein</v>
      </c>
      <c r="AT203" t="str">
        <f>+IFERROR(VLOOKUP(AT4,IN_Zugliste!$A$4:$E$2002,5,FALSE),"")</f>
        <v>Ja</v>
      </c>
      <c r="AU203" t="str">
        <f>+IFERROR(VLOOKUP(AU4,IN_Zugliste!$A$4:$E$2002,5,FALSE),"")</f>
        <v>Ja</v>
      </c>
      <c r="AV203" t="str">
        <f>+IFERROR(VLOOKUP(AV4,IN_Zugliste!$A$4:$E$2002,5,FALSE),"")</f>
        <v>Ja</v>
      </c>
      <c r="AW203" t="str">
        <f>+IFERROR(VLOOKUP(AW4,IN_Zugliste!$A$4:$E$2002,5,FALSE),"")</f>
        <v>Ja</v>
      </c>
      <c r="AX203" t="str">
        <f>+IFERROR(VLOOKUP(AX4,IN_Zugliste!$A$4:$E$2002,5,FALSE),"")</f>
        <v>Nein</v>
      </c>
      <c r="AY203" t="str">
        <f>+IFERROR(VLOOKUP(AY4,IN_Zugliste!$A$4:$E$2002,5,FALSE),"")</f>
        <v>Ja</v>
      </c>
      <c r="AZ203" t="str">
        <f>+IFERROR(VLOOKUP(AZ4,IN_Zugliste!$A$4:$E$2002,5,FALSE),"")</f>
        <v>Ja</v>
      </c>
      <c r="BA203" t="str">
        <f>+IFERROR(VLOOKUP(BA4,IN_Zugliste!$A$4:$E$2002,5,FALSE),"")</f>
        <v>Ja</v>
      </c>
      <c r="BB203" t="str">
        <f>+IFERROR(VLOOKUP(BB4,IN_Zugliste!$A$4:$E$2002,5,FALSE),"")</f>
        <v>Ja</v>
      </c>
      <c r="BC203" t="str">
        <f>+IFERROR(VLOOKUP(BC4,IN_Zugliste!$A$4:$E$2002,5,FALSE),"")</f>
        <v>Nein</v>
      </c>
      <c r="BD203" t="str">
        <f>+IFERROR(VLOOKUP(BD4,IN_Zugliste!$A$4:$E$2002,5,FALSE),"")</f>
        <v>Nein</v>
      </c>
      <c r="BE203" t="str">
        <f>+IFERROR(VLOOKUP(BE4,IN_Zugliste!$A$4:$E$2002,5,FALSE),"")</f>
        <v>Ja</v>
      </c>
      <c r="BF203" t="str">
        <f>+IFERROR(VLOOKUP(BF4,IN_Zugliste!$A$4:$E$2002,5,FALSE),"")</f>
        <v>Ja</v>
      </c>
      <c r="BG203" t="str">
        <f>+IFERROR(VLOOKUP(BG4,IN_Zugliste!$A$4:$E$2002,5,FALSE),"")</f>
        <v>Nein</v>
      </c>
      <c r="BH203" t="str">
        <f>+IFERROR(VLOOKUP(BH4,IN_Zugliste!$A$4:$E$2002,5,FALSE),"")</f>
        <v>Ja</v>
      </c>
      <c r="BI203" t="str">
        <f>+IFERROR(VLOOKUP(BI4,IN_Zugliste!$A$4:$E$2002,5,FALSE),"")</f>
        <v>Ja</v>
      </c>
      <c r="BJ203" t="str">
        <f>+IFERROR(VLOOKUP(BJ4,IN_Zugliste!$A$4:$E$2002,5,FALSE),"")</f>
        <v>Ja</v>
      </c>
      <c r="BK203" t="str">
        <f>+IFERROR(VLOOKUP(BK4,IN_Zugliste!$A$4:$E$2002,5,FALSE),"")</f>
        <v>Ja</v>
      </c>
      <c r="BL203" t="str">
        <f>+IFERROR(VLOOKUP(BL4,IN_Zugliste!$A$4:$E$2002,5,FALSE),"")</f>
        <v>Ja</v>
      </c>
      <c r="BM203" t="str">
        <f>+IFERROR(VLOOKUP(BM4,IN_Zugliste!$A$4:$E$2002,5,FALSE),"")</f>
        <v>Ja</v>
      </c>
      <c r="BN203" t="str">
        <f>+IFERROR(VLOOKUP(BN4,IN_Zugliste!$A$4:$E$2002,5,FALSE),"")</f>
        <v>Ja</v>
      </c>
      <c r="BO203" t="str">
        <f>+IFERROR(VLOOKUP(BO4,IN_Zugliste!$A$4:$E$2002,5,FALSE),"")</f>
        <v>Nein</v>
      </c>
      <c r="BP203" t="str">
        <f>+IFERROR(VLOOKUP(BP4,IN_Zugliste!$A$4:$E$2002,5,FALSE),"")</f>
        <v>Ja</v>
      </c>
      <c r="BQ203" t="str">
        <f>+IFERROR(VLOOKUP(BQ4,IN_Zugliste!$A$4:$E$2002,5,FALSE),"")</f>
        <v>Ja</v>
      </c>
      <c r="BR203" t="str">
        <f>+IFERROR(VLOOKUP(BR4,IN_Zugliste!$A$4:$E$2002,5,FALSE),"")</f>
        <v>Nein</v>
      </c>
      <c r="BS203" t="str">
        <f>+IFERROR(VLOOKUP(BS4,IN_Zugliste!$A$4:$E$2002,5,FALSE),"")</f>
        <v>Ja</v>
      </c>
      <c r="BT203" t="str">
        <f>+IFERROR(VLOOKUP(BT4,IN_Zugliste!$A$4:$E$2002,5,FALSE),"")</f>
        <v>Ja</v>
      </c>
      <c r="BU203" t="str">
        <f>+IFERROR(VLOOKUP(BU4,IN_Zugliste!$A$4:$E$2002,5,FALSE),"")</f>
        <v>Ja</v>
      </c>
      <c r="BV203" t="str">
        <f>+IFERROR(VLOOKUP(BV4,IN_Zugliste!$A$4:$E$2002,5,FALSE),"")</f>
        <v>Ja</v>
      </c>
      <c r="BW203" t="str">
        <f>+IFERROR(VLOOKUP(BW4,IN_Zugliste!$A$4:$E$2002,5,FALSE),"")</f>
        <v>Ja</v>
      </c>
      <c r="BX203" t="str">
        <f>+IFERROR(VLOOKUP(BX4,IN_Zugliste!$A$4:$E$2002,5,FALSE),"")</f>
        <v>Ja</v>
      </c>
      <c r="BY203" t="str">
        <f>+IFERROR(VLOOKUP(BY4,IN_Zugliste!$A$4:$E$2002,5,FALSE),"")</f>
        <v>Nein</v>
      </c>
      <c r="BZ203" t="str">
        <f>+IFERROR(VLOOKUP(BZ4,IN_Zugliste!$A$4:$E$2002,5,FALSE),"")</f>
        <v>Ja</v>
      </c>
      <c r="CA203" t="str">
        <f>+IFERROR(VLOOKUP(CA4,IN_Zugliste!$A$4:$E$2002,5,FALSE),"")</f>
        <v>Nein</v>
      </c>
      <c r="CB203" t="str">
        <f>+IFERROR(VLOOKUP(CB4,IN_Zugliste!$A$4:$E$2002,5,FALSE),"")</f>
        <v>Ja</v>
      </c>
      <c r="CC203" t="str">
        <f>+IFERROR(VLOOKUP(CC4,IN_Zugliste!$A$4:$E$2002,5,FALSE),"")</f>
        <v>Ja</v>
      </c>
      <c r="CD203" t="str">
        <f>+IFERROR(VLOOKUP(CD4,IN_Zugliste!$A$4:$E$2002,5,FALSE),"")</f>
        <v>Ja</v>
      </c>
      <c r="CE203" t="str">
        <f>+IFERROR(VLOOKUP(CE4,IN_Zugliste!$A$4:$E$2002,5,FALSE),"")</f>
        <v>Ja</v>
      </c>
      <c r="CF203" t="str">
        <f>+IFERROR(VLOOKUP(CF4,IN_Zugliste!$A$4:$E$2002,5,FALSE),"")</f>
        <v>Ja</v>
      </c>
      <c r="CG203" t="str">
        <f>+IFERROR(VLOOKUP(CG4,IN_Zugliste!$A$4:$E$2002,5,FALSE),"")</f>
        <v>Ja</v>
      </c>
      <c r="CH203" t="str">
        <f>+IFERROR(VLOOKUP(CH4,IN_Zugliste!$A$4:$E$2002,5,FALSE),"")</f>
        <v>Nein</v>
      </c>
      <c r="CI203" t="str">
        <f>+IFERROR(VLOOKUP(CI4,IN_Zugliste!$A$4:$E$2002,5,FALSE),"")</f>
        <v>Ja</v>
      </c>
      <c r="CJ203" t="str">
        <f>+IFERROR(VLOOKUP(CJ4,IN_Zugliste!$A$4:$E$2002,5,FALSE),"")</f>
        <v>Ja</v>
      </c>
      <c r="CK203" t="str">
        <f>+IFERROR(VLOOKUP(CK4,IN_Zugliste!$A$4:$E$2002,5,FALSE),"")</f>
        <v>Ja</v>
      </c>
      <c r="CL203" t="str">
        <f>+IFERROR(VLOOKUP(CL4,IN_Zugliste!$A$4:$E$2002,5,FALSE),"")</f>
        <v>Ja</v>
      </c>
      <c r="CM203" t="str">
        <f>+IFERROR(VLOOKUP(CM4,IN_Zugliste!$A$4:$E$2002,5,FALSE),"")</f>
        <v>Ja</v>
      </c>
      <c r="CN203" t="str">
        <f>+IFERROR(VLOOKUP(CN4,IN_Zugliste!$A$4:$E$2002,5,FALSE),"")</f>
        <v>Ja</v>
      </c>
      <c r="CO203" t="str">
        <f>+IFERROR(VLOOKUP(CO4,IN_Zugliste!$A$4:$E$2002,5,FALSE),"")</f>
        <v>Ja</v>
      </c>
      <c r="CP203" t="str">
        <f>+IFERROR(VLOOKUP(CP4,IN_Zugliste!$A$4:$E$2002,5,FALSE),"")</f>
        <v>Ja</v>
      </c>
      <c r="CQ203" t="str">
        <f>+IFERROR(VLOOKUP(CQ4,IN_Zugliste!$A$4:$E$2002,5,FALSE),"")</f>
        <v>Ja</v>
      </c>
      <c r="CR203" t="str">
        <f>+IFERROR(VLOOKUP(CR4,IN_Zugliste!$A$4:$E$2002,5,FALSE),"")</f>
        <v>Ja</v>
      </c>
      <c r="CS203" t="str">
        <f>+IFERROR(VLOOKUP(CS4,IN_Zugliste!$A$4:$E$2002,5,FALSE),"")</f>
        <v>Ja</v>
      </c>
      <c r="CT203" t="str">
        <f>+IFERROR(VLOOKUP(CT4,IN_Zugliste!$A$4:$E$2002,5,FALSE),"")</f>
        <v>Ja</v>
      </c>
      <c r="CU203" t="str">
        <f>+IFERROR(VLOOKUP(CU4,IN_Zugliste!$A$4:$E$2002,5,FALSE),"")</f>
        <v>Ja</v>
      </c>
      <c r="CV203" t="str">
        <f>+IFERROR(VLOOKUP(CV4,IN_Zugliste!$A$4:$E$2002,5,FALSE),"")</f>
        <v>Ja</v>
      </c>
      <c r="CW203" t="str">
        <f>+IFERROR(VLOOKUP(CW4,IN_Zugliste!$A$4:$E$2002,5,FALSE),"")</f>
        <v>Ja</v>
      </c>
      <c r="CX203" t="str">
        <f>+IFERROR(VLOOKUP(CX4,IN_Zugliste!$A$4:$E$2002,5,FALSE),"")</f>
        <v>Ja</v>
      </c>
      <c r="CY203" t="str">
        <f>+IFERROR(VLOOKUP(CY4,IN_Zugliste!$A$4:$E$2002,5,FALSE),"")</f>
        <v>Ja</v>
      </c>
      <c r="CZ203" t="str">
        <f>+IFERROR(VLOOKUP(CZ4,IN_Zugliste!$A$4:$E$2002,5,FALSE),"")</f>
        <v>Ja</v>
      </c>
      <c r="DA203" t="str">
        <f>+IFERROR(VLOOKUP(DA4,IN_Zugliste!$A$4:$E$2002,5,FALSE),"")</f>
        <v>Nein</v>
      </c>
      <c r="DB203" t="str">
        <f>+IFERROR(VLOOKUP(DB4,IN_Zugliste!$A$4:$E$2002,5,FALSE),"")</f>
        <v>Ja</v>
      </c>
      <c r="DC203" t="str">
        <f>+IFERROR(VLOOKUP(DC4,IN_Zugliste!$A$4:$E$2002,5,FALSE),"")</f>
        <v>Ja</v>
      </c>
      <c r="DD203" t="str">
        <f>+IFERROR(VLOOKUP(DD4,IN_Zugliste!$A$4:$E$2002,5,FALSE),"")</f>
        <v>Ja</v>
      </c>
      <c r="DE203" t="str">
        <f>+IFERROR(VLOOKUP(DE4,IN_Zugliste!$A$4:$E$2002,5,FALSE),"")</f>
        <v>Ja</v>
      </c>
      <c r="DF203" t="str">
        <f>+IFERROR(VLOOKUP(DF4,IN_Zugliste!$A$4:$E$2002,5,FALSE),"")</f>
        <v>Ja</v>
      </c>
      <c r="DG203" t="str">
        <f>+IFERROR(VLOOKUP(DG4,IN_Zugliste!$A$4:$E$2002,5,FALSE),"")</f>
        <v>Ja</v>
      </c>
      <c r="DH203" t="str">
        <f>+IFERROR(VLOOKUP(DH4,IN_Zugliste!$A$4:$E$2002,5,FALSE),"")</f>
        <v>Ja</v>
      </c>
      <c r="DI203" t="str">
        <f>+IFERROR(VLOOKUP(DI4,IN_Zugliste!$A$4:$E$2002,5,FALSE),"")</f>
        <v>Nein</v>
      </c>
      <c r="DJ203" t="str">
        <f>+IFERROR(VLOOKUP(DJ4,IN_Zugliste!$A$4:$E$2002,5,FALSE),"")</f>
        <v/>
      </c>
      <c r="DK203" t="str">
        <f>+IFERROR(VLOOKUP(DK4,IN_Zugliste!$A$4:$E$2002,5,FALSE),"")</f>
        <v/>
      </c>
      <c r="DL203" t="str">
        <f>+IFERROR(VLOOKUP(DL4,IN_Zugliste!$A$4:$E$2002,5,FALSE),"")</f>
        <v/>
      </c>
      <c r="DM203" t="str">
        <f>+IFERROR(VLOOKUP(DM4,IN_Zugliste!$A$4:$E$2002,5,FALSE),"")</f>
        <v/>
      </c>
      <c r="DN203" t="str">
        <f>+IFERROR(VLOOKUP(DN4,IN_Zugliste!$A$4:$E$2002,5,FALSE),"")</f>
        <v/>
      </c>
      <c r="DO203" t="str">
        <f>+IFERROR(VLOOKUP(DO4,IN_Zugliste!$A$4:$E$2002,5,FALSE),"")</f>
        <v/>
      </c>
      <c r="DP203" t="str">
        <f>+IFERROR(VLOOKUP(DP4,IN_Zugliste!$A$4:$E$2002,5,FALSE),"")</f>
        <v/>
      </c>
      <c r="DQ203" t="str">
        <f>+IFERROR(VLOOKUP(DQ4,IN_Zugliste!$A$4:$E$2002,5,FALSE),"")</f>
        <v/>
      </c>
      <c r="DR203" t="str">
        <f>+IFERROR(VLOOKUP(DR4,IN_Zugliste!$A$4:$E$2002,5,FALSE),"")</f>
        <v/>
      </c>
      <c r="DS203" t="str">
        <f>+IFERROR(VLOOKUP(DS4,IN_Zugliste!$A$4:$E$2002,5,FALSE),"")</f>
        <v/>
      </c>
      <c r="DT203" t="str">
        <f>+IFERROR(VLOOKUP(DT4,IN_Zugliste!$A$4:$E$2002,5,FALSE),"")</f>
        <v/>
      </c>
      <c r="DU203" t="str">
        <f>+IFERROR(VLOOKUP(DU4,IN_Zugliste!$A$4:$E$2002,5,FALSE),"")</f>
        <v/>
      </c>
      <c r="DV203" t="str">
        <f>+IFERROR(VLOOKUP(DV4,IN_Zugliste!$A$4:$E$2002,5,FALSE),"")</f>
        <v/>
      </c>
      <c r="DW203" t="str">
        <f>+IFERROR(VLOOKUP(DW4,IN_Zugliste!$A$4:$E$2002,5,FALSE),"")</f>
        <v/>
      </c>
      <c r="DX203" t="str">
        <f>+IFERROR(VLOOKUP(DX4,IN_Zugliste!$A$4:$E$2002,5,FALSE),"")</f>
        <v/>
      </c>
      <c r="DY203" t="str">
        <f>+IFERROR(VLOOKUP(DY4,IN_Zugliste!$A$4:$E$2002,5,FALSE),"")</f>
        <v/>
      </c>
      <c r="DZ203" t="str">
        <f>+IFERROR(VLOOKUP(DZ4,IN_Zugliste!$A$4:$E$2002,5,FALSE),"")</f>
        <v/>
      </c>
      <c r="EA203" t="str">
        <f>+IFERROR(VLOOKUP(EA4,IN_Zugliste!$A$4:$E$2002,5,FALSE),"")</f>
        <v/>
      </c>
      <c r="EB203" t="str">
        <f>+IFERROR(VLOOKUP(EB4,IN_Zugliste!$A$4:$E$2002,5,FALSE),"")</f>
        <v/>
      </c>
      <c r="EC203" t="str">
        <f>+IFERROR(VLOOKUP(EC4,IN_Zugliste!$A$4:$E$2002,5,FALSE),"")</f>
        <v/>
      </c>
      <c r="ED203" t="str">
        <f>+IFERROR(VLOOKUP(ED4,IN_Zugliste!$A$4:$E$2002,5,FALSE),"")</f>
        <v/>
      </c>
      <c r="EE203" t="str">
        <f>+IFERROR(VLOOKUP(EE4,IN_Zugliste!$A$4:$E$2002,5,FALSE),"")</f>
        <v/>
      </c>
      <c r="EF203" t="str">
        <f>+IFERROR(VLOOKUP(EF4,IN_Zugliste!$A$4:$E$2002,5,FALSE),"")</f>
        <v/>
      </c>
      <c r="EG203" t="str">
        <f>+IFERROR(VLOOKUP(EG4,IN_Zugliste!$A$4:$E$2002,5,FALSE),"")</f>
        <v/>
      </c>
      <c r="EH203" t="str">
        <f>+IFERROR(VLOOKUP(EH4,IN_Zugliste!$A$4:$E$2002,5,FALSE),"")</f>
        <v/>
      </c>
      <c r="EI203" t="str">
        <f>+IFERROR(VLOOKUP(EI4,IN_Zugliste!$A$4:$E$2002,5,FALSE),"")</f>
        <v/>
      </c>
      <c r="EJ203" t="str">
        <f>+IFERROR(VLOOKUP(EJ4,IN_Zugliste!$A$4:$E$2002,5,FALSE),"")</f>
        <v/>
      </c>
      <c r="EK203" t="str">
        <f>+IFERROR(VLOOKUP(EK4,IN_Zugliste!$A$4:$E$2002,5,FALSE),"")</f>
        <v/>
      </c>
      <c r="EL203" t="str">
        <f>+IFERROR(VLOOKUP(EL4,IN_Zugliste!$A$4:$E$2002,5,FALSE),"")</f>
        <v/>
      </c>
      <c r="EM203" t="str">
        <f>+IFERROR(VLOOKUP(EM4,IN_Zugliste!$A$4:$E$2002,5,FALSE),"")</f>
        <v/>
      </c>
      <c r="EN203" t="str">
        <f>+IFERROR(VLOOKUP(EN4,IN_Zugliste!$A$4:$E$2002,5,FALSE),"")</f>
        <v/>
      </c>
      <c r="EO203" t="str">
        <f>+IFERROR(VLOOKUP(EO4,IN_Zugliste!$A$4:$E$2002,5,FALSE),"")</f>
        <v/>
      </c>
      <c r="EP203" t="str">
        <f>+IFERROR(VLOOKUP(EP4,IN_Zugliste!$A$4:$E$2002,5,FALSE),"")</f>
        <v/>
      </c>
      <c r="EQ203" t="str">
        <f>+IFERROR(VLOOKUP(EQ4,IN_Zugliste!$A$4:$E$2002,5,FALSE),"")</f>
        <v/>
      </c>
      <c r="ER203" t="str">
        <f>+IFERROR(VLOOKUP(ER4,IN_Zugliste!$A$4:$E$2002,5,FALSE),"")</f>
        <v/>
      </c>
      <c r="ES203" t="str">
        <f>+IFERROR(VLOOKUP(ES4,IN_Zugliste!$A$4:$E$2002,5,FALSE),"")</f>
        <v/>
      </c>
      <c r="ET203" t="str">
        <f>+IFERROR(VLOOKUP(ET4,IN_Zugliste!$A$4:$E$2002,5,FALSE),"")</f>
        <v/>
      </c>
      <c r="EU203" t="str">
        <f>+IFERROR(VLOOKUP(EU4,IN_Zugliste!$A$4:$E$2002,5,FALSE),"")</f>
        <v/>
      </c>
      <c r="EV203" t="str">
        <f>+IFERROR(VLOOKUP(EV4,IN_Zugliste!$A$4:$E$2002,5,FALSE),"")</f>
        <v/>
      </c>
      <c r="EW203" t="str">
        <f>+IFERROR(VLOOKUP(EW4,IN_Zugliste!$A$4:$E$2002,5,FALSE),"")</f>
        <v/>
      </c>
      <c r="EX203" t="str">
        <f>+IFERROR(VLOOKUP(EX4,IN_Zugliste!$A$4:$E$2002,5,FALSE),"")</f>
        <v/>
      </c>
      <c r="EY203" t="str">
        <f>+IFERROR(VLOOKUP(EY4,IN_Zugliste!$A$4:$E$2002,5,FALSE),"")</f>
        <v/>
      </c>
      <c r="EZ203" t="str">
        <f>+IFERROR(VLOOKUP(EZ4,IN_Zugliste!$A$4:$E$2002,5,FALSE),"")</f>
        <v/>
      </c>
      <c r="FA203" t="str">
        <f>+IFERROR(VLOOKUP(FA4,IN_Zugliste!$A$4:$E$2002,5,FALSE),"")</f>
        <v/>
      </c>
      <c r="FB203" t="str">
        <f>+IFERROR(VLOOKUP(FB4,IN_Zugliste!$A$4:$E$2002,5,FALSE),"")</f>
        <v/>
      </c>
      <c r="FC203" t="str">
        <f>+IFERROR(VLOOKUP(FC4,IN_Zugliste!$A$4:$E$2002,5,FALSE),"")</f>
        <v/>
      </c>
      <c r="FD203" t="str">
        <f>+IFERROR(VLOOKUP(FD4,IN_Zugliste!$A$4:$E$2002,5,FALSE),"")</f>
        <v/>
      </c>
      <c r="FE203" t="str">
        <f>+IFERROR(VLOOKUP(FE4,IN_Zugliste!$A$4:$E$2002,5,FALSE),"")</f>
        <v/>
      </c>
      <c r="FF203" t="str">
        <f>+IFERROR(VLOOKUP(FF4,IN_Zugliste!$A$4:$E$2002,5,FALSE),"")</f>
        <v/>
      </c>
      <c r="FG203" t="str">
        <f>+IFERROR(VLOOKUP(FG4,IN_Zugliste!$A$4:$E$2002,5,FALSE),"")</f>
        <v/>
      </c>
      <c r="FH203" t="str">
        <f>+IFERROR(VLOOKUP(FH4,IN_Zugliste!$A$4:$E$2002,5,FALSE),"")</f>
        <v/>
      </c>
      <c r="FI203" t="str">
        <f>+IFERROR(VLOOKUP(FI4,IN_Zugliste!$A$4:$E$2002,5,FALSE),"")</f>
        <v/>
      </c>
      <c r="FJ203" t="str">
        <f>+IFERROR(VLOOKUP(FJ4,IN_Zugliste!$A$4:$E$2002,5,FALSE),"")</f>
        <v/>
      </c>
      <c r="FK203" t="str">
        <f>+IFERROR(VLOOKUP(FK4,IN_Zugliste!$A$4:$E$2002,5,FALSE),"")</f>
        <v/>
      </c>
      <c r="FL203" t="str">
        <f>+IFERROR(VLOOKUP(FL4,IN_Zugliste!$A$4:$E$2002,5,FALSE),"")</f>
        <v/>
      </c>
      <c r="FM203" t="str">
        <f>+IFERROR(VLOOKUP(FM4,IN_Zugliste!$A$4:$D$2002,5,FALSE),"")</f>
        <v/>
      </c>
      <c r="FN203" t="str">
        <f>+IFERROR(VLOOKUP(FN4,IN_Zugliste!$A$4:$D$2002,5,FALSE),"")</f>
        <v/>
      </c>
      <c r="FO203" t="str">
        <f>+IFERROR(VLOOKUP(FO4,IN_Zugliste!$A$4:$D$2002,5,FALSE),"")</f>
        <v/>
      </c>
      <c r="FP203" t="str">
        <f>+IFERROR(VLOOKUP(FP4,IN_Zugliste!$A$4:$D$2002,5,FALSE),"")</f>
        <v/>
      </c>
      <c r="FQ203" t="str">
        <f>+IFERROR(VLOOKUP(FQ4,IN_Zugliste!$A$4:$D$2002,5,FALSE),"")</f>
        <v/>
      </c>
      <c r="FR203" t="str">
        <f>+IFERROR(VLOOKUP(FR4,IN_Zugliste!$A$4:$D$2002,5,FALSE),"")</f>
        <v/>
      </c>
      <c r="FS203" t="str">
        <f>+IFERROR(VLOOKUP(FS4,IN_Zugliste!$A$4:$D$2002,5,FALSE),"")</f>
        <v/>
      </c>
      <c r="FT203" t="str">
        <f>+IFERROR(VLOOKUP(FT4,IN_Zugliste!$A$4:$D$2002,5,FALSE),"")</f>
        <v/>
      </c>
      <c r="FU203" t="str">
        <f>+IFERROR(VLOOKUP(FU4,IN_Zugliste!$A$4:$D$2002,5,FALSE),"")</f>
        <v/>
      </c>
      <c r="FV203" t="str">
        <f>+IFERROR(VLOOKUP(FV4,IN_Zugliste!$A$4:$D$2002,5,FALSE),"")</f>
        <v/>
      </c>
      <c r="FW203" t="str">
        <f>+IFERROR(VLOOKUP(FW4,IN_Zugliste!$A$4:$D$2002,5,FALSE),"")</f>
        <v/>
      </c>
      <c r="FX203" t="str">
        <f>+IFERROR(VLOOKUP(FX4,IN_Zugliste!$A$4:$D$2002,5,FALSE),"")</f>
        <v/>
      </c>
      <c r="FY203" t="str">
        <f>+IFERROR(VLOOKUP(FY4,IN_Zugliste!$A$4:$D$2002,5,FALSE),"")</f>
        <v/>
      </c>
      <c r="FZ203" t="str">
        <f>+IFERROR(VLOOKUP(FZ4,IN_Zugliste!$A$4:$D$2002,5,FALSE),"")</f>
        <v/>
      </c>
      <c r="GA203" t="str">
        <f>+IFERROR(VLOOKUP(GA4,IN_Zugliste!$A$4:$D$2002,5,FALSE),"")</f>
        <v/>
      </c>
      <c r="GB203" t="str">
        <f>+IFERROR(VLOOKUP(GB4,IN_Zugliste!$A$4:$D$2002,5,FALSE),"")</f>
        <v/>
      </c>
      <c r="GC203" t="str">
        <f>+IFERROR(VLOOKUP(GC4,IN_Zugliste!$A$4:$D$2002,5,FALSE),"")</f>
        <v/>
      </c>
      <c r="GD203" t="str">
        <f>+IFERROR(VLOOKUP(GD4,IN_Zugliste!$A$4:$D$2002,5,FALSE),"")</f>
        <v/>
      </c>
      <c r="GE203" t="str">
        <f>+IFERROR(VLOOKUP(GE4,IN_Zugliste!$A$4:$D$2002,5,FALSE),"")</f>
        <v/>
      </c>
      <c r="GF203" t="str">
        <f>+IFERROR(VLOOKUP(GF4,IN_Zugliste!$A$4:$D$2002,5,FALSE),"")</f>
        <v/>
      </c>
      <c r="GG203" t="str">
        <f>+IFERROR(VLOOKUP(GG4,IN_Zugliste!$A$4:$D$2002,5,FALSE),"")</f>
        <v/>
      </c>
      <c r="GH203" t="str">
        <f>+IFERROR(VLOOKUP(GH4,IN_Zugliste!$A$4:$D$2002,5,FALSE),"")</f>
        <v/>
      </c>
      <c r="GI203" t="str">
        <f>+IFERROR(VLOOKUP(GI4,IN_Zugliste!$A$4:$D$2002,5,FALSE),"")</f>
        <v/>
      </c>
      <c r="GJ203" t="str">
        <f>+IFERROR(VLOOKUP(GJ4,IN_Zugliste!$A$4:$D$2002,5,FALSE),"")</f>
        <v/>
      </c>
      <c r="GK203" t="str">
        <f>+IFERROR(VLOOKUP(GK4,IN_Zugliste!$A$4:$D$2002,5,FALSE),"")</f>
        <v/>
      </c>
      <c r="GL203" t="str">
        <f>+IFERROR(VLOOKUP(GL4,IN_Zugliste!$A$4:$D$2002,5,FALSE),"")</f>
        <v/>
      </c>
      <c r="GM203" t="str">
        <f>+IFERROR(VLOOKUP(GM4,IN_Zugliste!$A$4:$D$2002,5,FALSE),"")</f>
        <v/>
      </c>
      <c r="GN203" t="str">
        <f>+IFERROR(VLOOKUP(GN4,IN_Zugliste!$A$4:$D$2002,5,FALSE),"")</f>
        <v/>
      </c>
      <c r="GO203" t="str">
        <f>+IFERROR(VLOOKUP(GO4,IN_Zugliste!$A$4:$D$2002,5,FALSE),"")</f>
        <v/>
      </c>
      <c r="GP203" t="str">
        <f>+IFERROR(VLOOKUP(GP4,IN_Zugliste!$A$4:$D$2002,5,FALSE),"")</f>
        <v/>
      </c>
      <c r="GQ203" t="str">
        <f>+IFERROR(VLOOKUP(GQ4,IN_Zugliste!$A$4:$D$2002,5,FALSE),"")</f>
        <v/>
      </c>
      <c r="GR203" t="str">
        <f>+IFERROR(VLOOKUP(GR4,IN_Zugliste!$A$4:$D$2002,5,FALSE),"")</f>
        <v/>
      </c>
      <c r="GS203" t="str">
        <f>+IFERROR(VLOOKUP(GS4,IN_Zugliste!$A$4:$D$2002,5,FALSE),"")</f>
        <v/>
      </c>
      <c r="GT203" t="str">
        <f>+IFERROR(VLOOKUP(GT4,IN_Zugliste!$A$4:$D$2002,5,FALSE),"")</f>
        <v/>
      </c>
      <c r="GU203" t="str">
        <f>+IFERROR(VLOOKUP(GU4,IN_Zugliste!$A$4:$D$2002,5,FALSE),"")</f>
        <v/>
      </c>
      <c r="GV203" t="str">
        <f>+IFERROR(VLOOKUP(GV4,IN_Zugliste!$A$4:$D$2002,5,FALSE),"")</f>
        <v/>
      </c>
      <c r="GW203" t="str">
        <f>+IFERROR(VLOOKUP(GW4,IN_Zugliste!$A$4:$D$2002,5,FALSE),"")</f>
        <v/>
      </c>
      <c r="GX203" t="str">
        <f>+IFERROR(VLOOKUP(GX4,IN_Zugliste!$A$4:$D$2002,5,FALSE),"")</f>
        <v/>
      </c>
      <c r="GY203" t="str">
        <f>+IFERROR(VLOOKUP(GY4,IN_Zugliste!$A$4:$D$2002,5,FALSE),"")</f>
        <v/>
      </c>
      <c r="GZ203" t="str">
        <f>+IFERROR(VLOOKUP(GZ4,IN_Zugliste!$A$4:$D$2002,5,FALSE),"")</f>
        <v/>
      </c>
      <c r="HA203" t="str">
        <f>+IFERROR(VLOOKUP(HA4,IN_Zugliste!$A$4:$D$2002,5,FALSE),"")</f>
        <v/>
      </c>
      <c r="HB203" t="str">
        <f>+IFERROR(VLOOKUP(HB4,IN_Zugliste!$A$4:$D$2002,5,FALSE),"")</f>
        <v/>
      </c>
      <c r="HC203" t="str">
        <f>+IFERROR(VLOOKUP(HC4,IN_Zugliste!$A$4:$D$2002,5,FALSE),"")</f>
        <v/>
      </c>
      <c r="HD203" t="str">
        <f>+IFERROR(VLOOKUP(HD4,IN_Zugliste!$A$4:$D$2002,5,FALSE),"")</f>
        <v/>
      </c>
      <c r="HE203" t="str">
        <f>+IFERROR(VLOOKUP(HE4,IN_Zugliste!$A$4:$D$2002,5,FALSE),"")</f>
        <v/>
      </c>
      <c r="HF203" t="str">
        <f>+IFERROR(VLOOKUP(HF4,IN_Zugliste!$A$4:$D$2002,5,FALSE),"")</f>
        <v/>
      </c>
      <c r="HG203" t="str">
        <f>+IFERROR(VLOOKUP(HG4,IN_Zugliste!$A$4:$D$2002,5,FALSE),"")</f>
        <v/>
      </c>
      <c r="HH203" t="str">
        <f>+IFERROR(VLOOKUP(HH4,IN_Zugliste!$A$4:$D$2002,5,FALSE),"")</f>
        <v/>
      </c>
      <c r="HI203" t="str">
        <f>+IFERROR(VLOOKUP(HI4,IN_Zugliste!$A$4:$D$2002,5,FALSE),"")</f>
        <v/>
      </c>
      <c r="HJ203" t="str">
        <f>+IFERROR(VLOOKUP(HJ4,IN_Zugliste!$A$4:$D$2002,5,FALSE),"")</f>
        <v/>
      </c>
      <c r="HK203" t="str">
        <f>+IFERROR(VLOOKUP(HK4,IN_Zugliste!$A$4:$D$2002,5,FALSE),"")</f>
        <v/>
      </c>
      <c r="HL203" t="str">
        <f>+IFERROR(VLOOKUP(HL4,IN_Zugliste!$A$4:$D$2002,5,FALSE),"")</f>
        <v/>
      </c>
      <c r="HM203" t="str">
        <f>+IFERROR(VLOOKUP(HM4,IN_Zugliste!$A$4:$D$2002,5,FALSE),"")</f>
        <v/>
      </c>
      <c r="HN203" t="str">
        <f>+IFERROR(VLOOKUP(HN4,IN_Zugliste!$A$4:$D$2002,5,FALSE),"")</f>
        <v/>
      </c>
      <c r="HO203" t="str">
        <f>+IFERROR(VLOOKUP(HO4,IN_Zugliste!$A$4:$D$2002,5,FALSE),"")</f>
        <v/>
      </c>
      <c r="HP203" t="str">
        <f>+IFERROR(VLOOKUP(HP4,IN_Zugliste!$A$4:$D$2002,5,FALSE),"")</f>
        <v/>
      </c>
      <c r="HQ203" t="str">
        <f>+IFERROR(VLOOKUP(HQ4,IN_Zugliste!$A$4:$D$2002,5,FALSE),"")</f>
        <v/>
      </c>
      <c r="HR203" t="str">
        <f>+IFERROR(VLOOKUP(HR4,IN_Zugliste!$A$4:$D$2002,5,FALSE),"")</f>
        <v/>
      </c>
      <c r="HS203" t="str">
        <f>+IFERROR(VLOOKUP(HS4,IN_Zugliste!$A$4:$D$2002,5,FALSE),"")</f>
        <v/>
      </c>
      <c r="HT203" t="str">
        <f>+IFERROR(VLOOKUP(HT4,IN_Zugliste!$A$4:$D$2002,5,FALSE),"")</f>
        <v/>
      </c>
      <c r="HU203" t="str">
        <f>+IFERROR(VLOOKUP(HU4,IN_Zugliste!$A$4:$D$2002,5,FALSE),"")</f>
        <v/>
      </c>
      <c r="HV203" t="str">
        <f>+IFERROR(VLOOKUP(HV4,IN_Zugliste!$A$4:$D$2002,5,FALSE),"")</f>
        <v/>
      </c>
      <c r="HW203" t="str">
        <f>+IFERROR(VLOOKUP(HW4,IN_Zugliste!$A$4:$D$2002,5,FALSE),"")</f>
        <v/>
      </c>
      <c r="HX203" t="str">
        <f>+IFERROR(VLOOKUP(HX4,IN_Zugliste!$A$4:$D$2002,5,FALSE),"")</f>
        <v/>
      </c>
      <c r="HY203" t="str">
        <f>+IFERROR(VLOOKUP(HY4,IN_Zugliste!$A$4:$D$2002,5,FALSE),"")</f>
        <v/>
      </c>
      <c r="HZ203" t="str">
        <f>+IFERROR(VLOOKUP(HZ4,IN_Zugliste!$A$4:$D$2002,5,FALSE),"")</f>
        <v/>
      </c>
      <c r="IA203" t="str">
        <f>+IFERROR(VLOOKUP(IA4,IN_Zugliste!$A$4:$D$2002,5,FALSE),"")</f>
        <v/>
      </c>
      <c r="IB203" t="str">
        <f>+IFERROR(VLOOKUP(IB4,IN_Zugliste!$A$4:$D$2002,5,FALSE),"")</f>
        <v/>
      </c>
      <c r="IC203" t="str">
        <f>+IFERROR(VLOOKUP(IC4,IN_Zugliste!$A$4:$D$2002,5,FALSE),"")</f>
        <v/>
      </c>
      <c r="ID203" t="str">
        <f>+IFERROR(VLOOKUP(ID4,IN_Zugliste!$A$4:$D$2002,5,FALSE),"")</f>
        <v/>
      </c>
      <c r="IE203" t="str">
        <f>+IFERROR(VLOOKUP(IE4,IN_Zugliste!$A$4:$D$2002,5,FALSE),"")</f>
        <v/>
      </c>
      <c r="IF203" t="str">
        <f>+IFERROR(VLOOKUP(IF4,IN_Zugliste!$A$4:$D$2002,5,FALSE),"")</f>
        <v/>
      </c>
      <c r="IG203" t="str">
        <f>+IFERROR(VLOOKUP(IG4,IN_Zugliste!$A$4:$D$2002,5,FALSE),"")</f>
        <v/>
      </c>
      <c r="IH203" t="str">
        <f>+IFERROR(VLOOKUP(IH4,IN_Zugliste!$A$4:$D$2002,5,FALSE),"")</f>
        <v/>
      </c>
      <c r="II203" t="str">
        <f>+IFERROR(VLOOKUP(II4,IN_Zugliste!$A$4:$D$2002,5,FALSE),"")</f>
        <v/>
      </c>
      <c r="IJ203" t="str">
        <f>+IFERROR(VLOOKUP(IJ4,IN_Zugliste!$A$4:$D$2002,5,FALSE),"")</f>
        <v/>
      </c>
      <c r="IK203" t="str">
        <f>+IFERROR(VLOOKUP(IK4,IN_Zugliste!$A$4:$D$2002,5,FALSE),"")</f>
        <v/>
      </c>
      <c r="IL203" t="str">
        <f>+IFERROR(VLOOKUP(IL4,IN_Zugliste!$A$4:$D$2002,5,FALSE),"")</f>
        <v/>
      </c>
      <c r="IM203" t="str">
        <f>+IFERROR(VLOOKUP(IM4,IN_Zugliste!$A$4:$D$2002,5,FALSE),"")</f>
        <v/>
      </c>
      <c r="IN203" t="str">
        <f>+IFERROR(VLOOKUP(IN4,IN_Zugliste!$A$4:$D$2002,5,FALSE),"")</f>
        <v/>
      </c>
    </row>
    <row r="204" spans="1:248" x14ac:dyDescent="0.2">
      <c r="A204" t="str">
        <f>+IFERROR(VLOOKUP(A5,IN_Zugliste!$A$4:$E$2002,5,FALSE),"")</f>
        <v>Nein</v>
      </c>
      <c r="B204" t="str">
        <f>+IFERROR(VLOOKUP(B5,IN_Zugliste!$A$4:$E$2002,5,FALSE),"")</f>
        <v>Nein</v>
      </c>
      <c r="C204" t="str">
        <f>+IFERROR(VLOOKUP(C5,IN_Zugliste!$A$4:$E$2002,5,FALSE),"")</f>
        <v>Nein</v>
      </c>
      <c r="D204" t="str">
        <f>+IFERROR(VLOOKUP(D5,IN_Zugliste!$A$4:$E$2002,5,FALSE),"")</f>
        <v>Nein</v>
      </c>
      <c r="E204" t="str">
        <f>+IFERROR(VLOOKUP(E5,IN_Zugliste!$A$4:$E$2002,5,FALSE),"")</f>
        <v>Nein</v>
      </c>
      <c r="F204" t="str">
        <f>+IFERROR(VLOOKUP(F5,IN_Zugliste!$A$4:$E$2002,5,FALSE),"")</f>
        <v>Nein</v>
      </c>
      <c r="G204" t="str">
        <f>+IFERROR(VLOOKUP(G5,IN_Zugliste!$A$4:$E$2002,5,FALSE),"")</f>
        <v>Nein</v>
      </c>
      <c r="H204" t="str">
        <f>+IFERROR(VLOOKUP(H5,IN_Zugliste!$A$4:$E$2002,5,FALSE),"")</f>
        <v>Nein</v>
      </c>
      <c r="I204" t="str">
        <f>+IFERROR(VLOOKUP(I5,IN_Zugliste!$A$4:$E$2002,5,FALSE),"")</f>
        <v>Nein</v>
      </c>
      <c r="J204" t="str">
        <f>+IFERROR(VLOOKUP(J5,IN_Zugliste!$A$4:$E$2002,5,FALSE),"")</f>
        <v>Nein</v>
      </c>
      <c r="K204" t="str">
        <f>+IFERROR(VLOOKUP(K5,IN_Zugliste!$A$4:$E$2002,5,FALSE),"")</f>
        <v>Nein</v>
      </c>
      <c r="L204" t="str">
        <f>+IFERROR(VLOOKUP(L5,IN_Zugliste!$A$4:$E$2002,5,FALSE),"")</f>
        <v>Nein</v>
      </c>
      <c r="M204" t="str">
        <f>+IFERROR(VLOOKUP(M5,IN_Zugliste!$A$4:$E$2002,5,FALSE),"")</f>
        <v>Nein</v>
      </c>
      <c r="N204" t="str">
        <f>+IFERROR(VLOOKUP(N5,IN_Zugliste!$A$4:$E$2002,5,FALSE),"")</f>
        <v>Nein</v>
      </c>
      <c r="O204" t="str">
        <f>+IFERROR(VLOOKUP(O5,IN_Zugliste!$A$4:$E$2002,5,FALSE),"")</f>
        <v>Nein</v>
      </c>
      <c r="P204" t="str">
        <f>+IFERROR(VLOOKUP(P5,IN_Zugliste!$A$4:$E$2002,5,FALSE),"")</f>
        <v>Nein</v>
      </c>
      <c r="Q204" t="str">
        <f>+IFERROR(VLOOKUP(Q5,IN_Zugliste!$A$4:$E$2002,5,FALSE),"")</f>
        <v>Nein</v>
      </c>
      <c r="R204" t="str">
        <f>+IFERROR(VLOOKUP(R5,IN_Zugliste!$A$4:$E$2002,5,FALSE),"")</f>
        <v>Ja</v>
      </c>
      <c r="S204" t="str">
        <f>+IFERROR(VLOOKUP(S5,IN_Zugliste!$A$4:$E$2002,5,FALSE),"")</f>
        <v>Ja</v>
      </c>
      <c r="T204" t="str">
        <f>+IFERROR(VLOOKUP(T5,IN_Zugliste!$A$4:$E$2002,5,FALSE),"")</f>
        <v>Nein</v>
      </c>
      <c r="U204" t="str">
        <f>+IFERROR(VLOOKUP(U5,IN_Zugliste!$A$4:$E$2002,5,FALSE),"")</f>
        <v>Nein</v>
      </c>
      <c r="V204" t="str">
        <f>+IFERROR(VLOOKUP(V5,IN_Zugliste!$A$4:$E$2002,5,FALSE),"")</f>
        <v>Nein</v>
      </c>
      <c r="W204" t="str">
        <f>+IFERROR(VLOOKUP(W5,IN_Zugliste!$A$4:$E$2002,5,FALSE),"")</f>
        <v>Nein</v>
      </c>
      <c r="X204" t="str">
        <f>+IFERROR(VLOOKUP(X5,IN_Zugliste!$A$4:$E$2002,5,FALSE),"")</f>
        <v>Nein</v>
      </c>
      <c r="Y204" t="str">
        <f>+IFERROR(VLOOKUP(Y5,IN_Zugliste!$A$4:$E$2002,5,FALSE),"")</f>
        <v>Nein</v>
      </c>
      <c r="Z204" t="str">
        <f>+IFERROR(VLOOKUP(Z5,IN_Zugliste!$A$4:$E$2002,5,FALSE),"")</f>
        <v>Nein</v>
      </c>
      <c r="AA204" t="str">
        <f>+IFERROR(VLOOKUP(AA5,IN_Zugliste!$A$4:$E$2002,5,FALSE),"")</f>
        <v>Nein</v>
      </c>
      <c r="AB204" t="str">
        <f>+IFERROR(VLOOKUP(AB5,IN_Zugliste!$A$4:$E$2002,5,FALSE),"")</f>
        <v>Nein</v>
      </c>
      <c r="AC204" t="str">
        <f>+IFERROR(VLOOKUP(AC5,IN_Zugliste!$A$4:$E$2002,5,FALSE),"")</f>
        <v>Ja</v>
      </c>
      <c r="AD204" t="str">
        <f>+IFERROR(VLOOKUP(AD5,IN_Zugliste!$A$4:$E$2002,5,FALSE),"")</f>
        <v>Ja</v>
      </c>
      <c r="AE204" t="str">
        <f>+IFERROR(VLOOKUP(AE5,IN_Zugliste!$A$4:$E$2002,5,FALSE),"")</f>
        <v>Nein</v>
      </c>
      <c r="AF204" t="str">
        <f>+IFERROR(VLOOKUP(AF5,IN_Zugliste!$A$4:$E$2002,5,FALSE),"")</f>
        <v>Nein</v>
      </c>
      <c r="AG204" t="str">
        <f>+IFERROR(VLOOKUP(AG5,IN_Zugliste!$A$4:$E$2002,5,FALSE),"")</f>
        <v>Nein</v>
      </c>
      <c r="AH204" t="str">
        <f>+IFERROR(VLOOKUP(AH5,IN_Zugliste!$A$4:$E$2002,5,FALSE),"")</f>
        <v>Ja</v>
      </c>
      <c r="AI204" t="str">
        <f>+IFERROR(VLOOKUP(AI5,IN_Zugliste!$A$4:$E$2002,5,FALSE),"")</f>
        <v>Nein</v>
      </c>
      <c r="AJ204" t="str">
        <f>+IFERROR(VLOOKUP(AJ5,IN_Zugliste!$A$4:$E$2002,5,FALSE),"")</f>
        <v>Nein</v>
      </c>
      <c r="AK204" t="str">
        <f>+IFERROR(VLOOKUP(AK5,IN_Zugliste!$A$4:$E$2002,5,FALSE),"")</f>
        <v>Nein</v>
      </c>
      <c r="AL204" t="str">
        <f>+IFERROR(VLOOKUP(AL5,IN_Zugliste!$A$4:$E$2002,5,FALSE),"")</f>
        <v>Nein</v>
      </c>
      <c r="AM204" t="str">
        <f>+IFERROR(VLOOKUP(AM5,IN_Zugliste!$A$4:$E$2002,5,FALSE),"")</f>
        <v>Ja</v>
      </c>
      <c r="AN204" t="str">
        <f>+IFERROR(VLOOKUP(AN5,IN_Zugliste!$A$4:$E$2002,5,FALSE),"")</f>
        <v>Nein</v>
      </c>
      <c r="AO204" t="str">
        <f>+IFERROR(VLOOKUP(AO5,IN_Zugliste!$A$4:$E$2002,5,FALSE),"")</f>
        <v>Nein</v>
      </c>
      <c r="AP204" t="str">
        <f>+IFERROR(VLOOKUP(AP5,IN_Zugliste!$A$4:$E$2002,5,FALSE),"")</f>
        <v>Ja</v>
      </c>
      <c r="AQ204" t="str">
        <f>+IFERROR(VLOOKUP(AQ5,IN_Zugliste!$A$4:$E$2002,5,FALSE),"")</f>
        <v>Nein</v>
      </c>
      <c r="AR204" t="str">
        <f>+IFERROR(VLOOKUP(AR5,IN_Zugliste!$A$4:$E$2002,5,FALSE),"")</f>
        <v>Ja</v>
      </c>
      <c r="AS204" t="str">
        <f>+IFERROR(VLOOKUP(AS5,IN_Zugliste!$A$4:$E$2002,5,FALSE),"")</f>
        <v>Nein</v>
      </c>
      <c r="AT204" t="str">
        <f>+IFERROR(VLOOKUP(AT5,IN_Zugliste!$A$4:$E$2002,5,FALSE),"")</f>
        <v>Ja</v>
      </c>
      <c r="AU204" t="str">
        <f>+IFERROR(VLOOKUP(AU5,IN_Zugliste!$A$4:$E$2002,5,FALSE),"")</f>
        <v>Ja</v>
      </c>
      <c r="AV204" t="str">
        <f>+IFERROR(VLOOKUP(AV5,IN_Zugliste!$A$4:$E$2002,5,FALSE),"")</f>
        <v>Ja</v>
      </c>
      <c r="AW204" t="str">
        <f>+IFERROR(VLOOKUP(AW5,IN_Zugliste!$A$4:$E$2002,5,FALSE),"")</f>
        <v>Ja</v>
      </c>
      <c r="AX204" t="str">
        <f>+IFERROR(VLOOKUP(AX5,IN_Zugliste!$A$4:$E$2002,5,FALSE),"")</f>
        <v>Nein</v>
      </c>
      <c r="AY204" t="str">
        <f>+IFERROR(VLOOKUP(AY5,IN_Zugliste!$A$4:$E$2002,5,FALSE),"")</f>
        <v>Ja</v>
      </c>
      <c r="AZ204" t="str">
        <f>+IFERROR(VLOOKUP(AZ5,IN_Zugliste!$A$4:$E$2002,5,FALSE),"")</f>
        <v>Ja</v>
      </c>
      <c r="BA204" t="str">
        <f>+IFERROR(VLOOKUP(BA5,IN_Zugliste!$A$4:$E$2002,5,FALSE),"")</f>
        <v/>
      </c>
      <c r="BB204" t="str">
        <f>+IFERROR(VLOOKUP(BB5,IN_Zugliste!$A$4:$E$2002,5,FALSE),"")</f>
        <v>Ja</v>
      </c>
      <c r="BC204" t="str">
        <f>+IFERROR(VLOOKUP(BC5,IN_Zugliste!$A$4:$E$2002,5,FALSE),"")</f>
        <v>Nein</v>
      </c>
      <c r="BD204" t="str">
        <f>+IFERROR(VLOOKUP(BD5,IN_Zugliste!$A$4:$E$2002,5,FALSE),"")</f>
        <v>Nein</v>
      </c>
      <c r="BE204" t="str">
        <f>+IFERROR(VLOOKUP(BE5,IN_Zugliste!$A$4:$E$2002,5,FALSE),"")</f>
        <v>Ja</v>
      </c>
      <c r="BF204" t="str">
        <f>+IFERROR(VLOOKUP(BF5,IN_Zugliste!$A$4:$E$2002,5,FALSE),"")</f>
        <v>Ja</v>
      </c>
      <c r="BG204" t="str">
        <f>+IFERROR(VLOOKUP(BG5,IN_Zugliste!$A$4:$E$2002,5,FALSE),"")</f>
        <v>Nein</v>
      </c>
      <c r="BH204" t="str">
        <f>+IFERROR(VLOOKUP(BH5,IN_Zugliste!$A$4:$E$2002,5,FALSE),"")</f>
        <v>Ja</v>
      </c>
      <c r="BI204" t="str">
        <f>+IFERROR(VLOOKUP(BI5,IN_Zugliste!$A$4:$E$2002,5,FALSE),"")</f>
        <v>Ja</v>
      </c>
      <c r="BJ204" t="str">
        <f>+IFERROR(VLOOKUP(BJ5,IN_Zugliste!$A$4:$E$2002,5,FALSE),"")</f>
        <v>Ja</v>
      </c>
      <c r="BK204" t="str">
        <f>+IFERROR(VLOOKUP(BK5,IN_Zugliste!$A$4:$E$2002,5,FALSE),"")</f>
        <v/>
      </c>
      <c r="BL204" t="str">
        <f>+IFERROR(VLOOKUP(BL5,IN_Zugliste!$A$4:$E$2002,5,FALSE),"")</f>
        <v>Ja</v>
      </c>
      <c r="BM204" t="str">
        <f>+IFERROR(VLOOKUP(BM5,IN_Zugliste!$A$4:$E$2002,5,FALSE),"")</f>
        <v>Ja</v>
      </c>
      <c r="BN204" t="str">
        <f>+IFERROR(VLOOKUP(BN5,IN_Zugliste!$A$4:$E$2002,5,FALSE),"")</f>
        <v>Ja</v>
      </c>
      <c r="BO204" t="str">
        <f>+IFERROR(VLOOKUP(BO5,IN_Zugliste!$A$4:$E$2002,5,FALSE),"")</f>
        <v>Nein</v>
      </c>
      <c r="BP204" t="str">
        <f>+IFERROR(VLOOKUP(BP5,IN_Zugliste!$A$4:$E$2002,5,FALSE),"")</f>
        <v>Ja</v>
      </c>
      <c r="BQ204" t="str">
        <f>+IFERROR(VLOOKUP(BQ5,IN_Zugliste!$A$4:$E$2002,5,FALSE),"")</f>
        <v>Ja</v>
      </c>
      <c r="BR204" t="str">
        <f>+IFERROR(VLOOKUP(BR5,IN_Zugliste!$A$4:$E$2002,5,FALSE),"")</f>
        <v>Nein</v>
      </c>
      <c r="BS204" t="str">
        <f>+IFERROR(VLOOKUP(BS5,IN_Zugliste!$A$4:$E$2002,5,FALSE),"")</f>
        <v>Ja</v>
      </c>
      <c r="BT204" t="str">
        <f>+IFERROR(VLOOKUP(BT5,IN_Zugliste!$A$4:$E$2002,5,FALSE),"")</f>
        <v>Ja</v>
      </c>
      <c r="BU204" t="str">
        <f>+IFERROR(VLOOKUP(BU5,IN_Zugliste!$A$4:$E$2002,5,FALSE),"")</f>
        <v>Ja</v>
      </c>
      <c r="BV204" t="str">
        <f>+IFERROR(VLOOKUP(BV5,IN_Zugliste!$A$4:$E$2002,5,FALSE),"")</f>
        <v>Ja</v>
      </c>
      <c r="BW204" t="str">
        <f>+IFERROR(VLOOKUP(BW5,IN_Zugliste!$A$4:$E$2002,5,FALSE),"")</f>
        <v/>
      </c>
      <c r="BX204" t="str">
        <f>+IFERROR(VLOOKUP(BX5,IN_Zugliste!$A$4:$E$2002,5,FALSE),"")</f>
        <v>Ja</v>
      </c>
      <c r="BY204" t="str">
        <f>+IFERROR(VLOOKUP(BY5,IN_Zugliste!$A$4:$E$2002,5,FALSE),"")</f>
        <v>Nein</v>
      </c>
      <c r="BZ204" t="str">
        <f>+IFERROR(VLOOKUP(BZ5,IN_Zugliste!$A$4:$E$2002,5,FALSE),"")</f>
        <v/>
      </c>
      <c r="CA204" t="str">
        <f>+IFERROR(VLOOKUP(CA5,IN_Zugliste!$A$4:$E$2002,5,FALSE),"")</f>
        <v>Nein</v>
      </c>
      <c r="CB204" t="str">
        <f>+IFERROR(VLOOKUP(CB5,IN_Zugliste!$A$4:$E$2002,5,FALSE),"")</f>
        <v>Ja</v>
      </c>
      <c r="CC204" t="str">
        <f>+IFERROR(VLOOKUP(CC5,IN_Zugliste!$A$4:$E$2002,5,FALSE),"")</f>
        <v>Ja</v>
      </c>
      <c r="CD204" t="str">
        <f>+IFERROR(VLOOKUP(CD5,IN_Zugliste!$A$4:$E$2002,5,FALSE),"")</f>
        <v/>
      </c>
      <c r="CE204" t="str">
        <f>+IFERROR(VLOOKUP(CE5,IN_Zugliste!$A$4:$E$2002,5,FALSE),"")</f>
        <v>Ja</v>
      </c>
      <c r="CF204" t="str">
        <f>+IFERROR(VLOOKUP(CF5,IN_Zugliste!$A$4:$E$2002,5,FALSE),"")</f>
        <v>Ja</v>
      </c>
      <c r="CG204" t="str">
        <f>+IFERROR(VLOOKUP(CG5,IN_Zugliste!$A$4:$E$2002,5,FALSE),"")</f>
        <v>Ja</v>
      </c>
      <c r="CH204" t="str">
        <f>+IFERROR(VLOOKUP(CH5,IN_Zugliste!$A$4:$E$2002,5,FALSE),"")</f>
        <v>Nein</v>
      </c>
      <c r="CI204" t="str">
        <f>+IFERROR(VLOOKUP(CI5,IN_Zugliste!$A$4:$E$2002,5,FALSE),"")</f>
        <v>Ja</v>
      </c>
      <c r="CJ204" t="str">
        <f>+IFERROR(VLOOKUP(CJ5,IN_Zugliste!$A$4:$E$2002,5,FALSE),"")</f>
        <v>Ja</v>
      </c>
      <c r="CK204" t="str">
        <f>+IFERROR(VLOOKUP(CK5,IN_Zugliste!$A$4:$E$2002,5,FALSE),"")</f>
        <v>Ja</v>
      </c>
      <c r="CL204" t="str">
        <f>+IFERROR(VLOOKUP(CL5,IN_Zugliste!$A$4:$E$2002,5,FALSE),"")</f>
        <v/>
      </c>
      <c r="CM204" t="str">
        <f>+IFERROR(VLOOKUP(CM5,IN_Zugliste!$A$4:$E$2002,5,FALSE),"")</f>
        <v/>
      </c>
      <c r="CN204" t="str">
        <f>+IFERROR(VLOOKUP(CN5,IN_Zugliste!$A$4:$E$2002,5,FALSE),"")</f>
        <v>Ja</v>
      </c>
      <c r="CO204" t="str">
        <f>+IFERROR(VLOOKUP(CO5,IN_Zugliste!$A$4:$E$2002,5,FALSE),"")</f>
        <v>Ja</v>
      </c>
      <c r="CP204" t="str">
        <f>+IFERROR(VLOOKUP(CP5,IN_Zugliste!$A$4:$E$2002,5,FALSE),"")</f>
        <v>Ja</v>
      </c>
      <c r="CQ204" t="str">
        <f>+IFERROR(VLOOKUP(CQ5,IN_Zugliste!$A$4:$E$2002,5,FALSE),"")</f>
        <v/>
      </c>
      <c r="CR204" t="str">
        <f>+IFERROR(VLOOKUP(CR5,IN_Zugliste!$A$4:$E$2002,5,FALSE),"")</f>
        <v/>
      </c>
      <c r="CS204" t="str">
        <f>+IFERROR(VLOOKUP(CS5,IN_Zugliste!$A$4:$E$2002,5,FALSE),"")</f>
        <v/>
      </c>
      <c r="CT204" t="str">
        <f>+IFERROR(VLOOKUP(CT5,IN_Zugliste!$A$4:$E$2002,5,FALSE),"")</f>
        <v/>
      </c>
      <c r="CU204" t="str">
        <f>+IFERROR(VLOOKUP(CU5,IN_Zugliste!$A$4:$E$2002,5,FALSE),"")</f>
        <v/>
      </c>
      <c r="CV204" t="str">
        <f>+IFERROR(VLOOKUP(CV5,IN_Zugliste!$A$4:$E$2002,5,FALSE),"")</f>
        <v/>
      </c>
      <c r="CW204" t="str">
        <f>+IFERROR(VLOOKUP(CW5,IN_Zugliste!$A$4:$E$2002,5,FALSE),"")</f>
        <v/>
      </c>
      <c r="CX204" t="str">
        <f>+IFERROR(VLOOKUP(CX5,IN_Zugliste!$A$4:$E$2002,5,FALSE),"")</f>
        <v/>
      </c>
      <c r="CY204" t="str">
        <f>+IFERROR(VLOOKUP(CY5,IN_Zugliste!$A$4:$E$2002,5,FALSE),"")</f>
        <v/>
      </c>
      <c r="CZ204" t="str">
        <f>+IFERROR(VLOOKUP(CZ5,IN_Zugliste!$A$4:$E$2002,5,FALSE),"")</f>
        <v/>
      </c>
      <c r="DA204" t="str">
        <f>+IFERROR(VLOOKUP(DA5,IN_Zugliste!$A$4:$E$2002,5,FALSE),"")</f>
        <v>Nein</v>
      </c>
      <c r="DB204" t="str">
        <f>+IFERROR(VLOOKUP(DB5,IN_Zugliste!$A$4:$E$2002,5,FALSE),"")</f>
        <v/>
      </c>
      <c r="DC204" t="str">
        <f>+IFERROR(VLOOKUP(DC5,IN_Zugliste!$A$4:$E$2002,5,FALSE),"")</f>
        <v/>
      </c>
      <c r="DD204" t="str">
        <f>+IFERROR(VLOOKUP(DD5,IN_Zugliste!$A$4:$E$2002,5,FALSE),"")</f>
        <v/>
      </c>
      <c r="DE204" t="str">
        <f>+IFERROR(VLOOKUP(DE5,IN_Zugliste!$A$4:$E$2002,5,FALSE),"")</f>
        <v/>
      </c>
      <c r="DF204" t="str">
        <f>+IFERROR(VLOOKUP(DF5,IN_Zugliste!$A$4:$E$2002,5,FALSE),"")</f>
        <v/>
      </c>
      <c r="DG204" t="str">
        <f>+IFERROR(VLOOKUP(DG5,IN_Zugliste!$A$4:$E$2002,5,FALSE),"")</f>
        <v/>
      </c>
      <c r="DH204" t="str">
        <f>+IFERROR(VLOOKUP(DH5,IN_Zugliste!$A$4:$E$2002,5,FALSE),"")</f>
        <v/>
      </c>
      <c r="DI204" t="str">
        <f>+IFERROR(VLOOKUP(DI5,IN_Zugliste!$A$4:$E$2002,5,FALSE),"")</f>
        <v>Nein</v>
      </c>
      <c r="DJ204" t="str">
        <f>+IFERROR(VLOOKUP(DJ5,IN_Zugliste!$A$4:$E$2002,5,FALSE),"")</f>
        <v/>
      </c>
      <c r="DK204" t="str">
        <f>+IFERROR(VLOOKUP(DK5,IN_Zugliste!$A$4:$E$2002,5,FALSE),"")</f>
        <v/>
      </c>
      <c r="DL204" t="str">
        <f>+IFERROR(VLOOKUP(DL5,IN_Zugliste!$A$4:$E$2002,5,FALSE),"")</f>
        <v/>
      </c>
      <c r="DM204" t="str">
        <f>+IFERROR(VLOOKUP(DM5,IN_Zugliste!$A$4:$E$2002,5,FALSE),"")</f>
        <v/>
      </c>
      <c r="DN204" t="str">
        <f>+IFERROR(VLOOKUP(DN5,IN_Zugliste!$A$4:$E$2002,5,FALSE),"")</f>
        <v/>
      </c>
      <c r="DO204" t="str">
        <f>+IFERROR(VLOOKUP(DO5,IN_Zugliste!$A$4:$E$2002,5,FALSE),"")</f>
        <v/>
      </c>
      <c r="DP204" t="str">
        <f>+IFERROR(VLOOKUP(DP5,IN_Zugliste!$A$4:$E$2002,5,FALSE),"")</f>
        <v/>
      </c>
      <c r="DQ204" t="str">
        <f>+IFERROR(VLOOKUP(DQ5,IN_Zugliste!$A$4:$E$2002,5,FALSE),"")</f>
        <v/>
      </c>
      <c r="DR204" t="str">
        <f>+IFERROR(VLOOKUP(DR5,IN_Zugliste!$A$4:$E$2002,5,FALSE),"")</f>
        <v/>
      </c>
      <c r="DS204" t="str">
        <f>+IFERROR(VLOOKUP(DS5,IN_Zugliste!$A$4:$E$2002,5,FALSE),"")</f>
        <v/>
      </c>
      <c r="DT204" t="str">
        <f>+IFERROR(VLOOKUP(DT5,IN_Zugliste!$A$4:$E$2002,5,FALSE),"")</f>
        <v/>
      </c>
      <c r="DU204" t="str">
        <f>+IFERROR(VLOOKUP(DU5,IN_Zugliste!$A$4:$E$2002,5,FALSE),"")</f>
        <v/>
      </c>
      <c r="DV204" t="str">
        <f>+IFERROR(VLOOKUP(DV5,IN_Zugliste!$A$4:$E$2002,5,FALSE),"")</f>
        <v/>
      </c>
      <c r="DW204" t="str">
        <f>+IFERROR(VLOOKUP(DW5,IN_Zugliste!$A$4:$E$2002,5,FALSE),"")</f>
        <v/>
      </c>
      <c r="DX204" t="str">
        <f>+IFERROR(VLOOKUP(DX5,IN_Zugliste!$A$4:$E$2002,5,FALSE),"")</f>
        <v/>
      </c>
      <c r="DY204" t="str">
        <f>+IFERROR(VLOOKUP(DY5,IN_Zugliste!$A$4:$E$2002,5,FALSE),"")</f>
        <v/>
      </c>
      <c r="DZ204" t="str">
        <f>+IFERROR(VLOOKUP(DZ5,IN_Zugliste!$A$4:$E$2002,5,FALSE),"")</f>
        <v/>
      </c>
      <c r="EA204" t="str">
        <f>+IFERROR(VLOOKUP(EA5,IN_Zugliste!$A$4:$E$2002,5,FALSE),"")</f>
        <v/>
      </c>
      <c r="EB204" t="str">
        <f>+IFERROR(VLOOKUP(EB5,IN_Zugliste!$A$4:$E$2002,5,FALSE),"")</f>
        <v/>
      </c>
      <c r="EC204" t="str">
        <f>+IFERROR(VLOOKUP(EC5,IN_Zugliste!$A$4:$E$2002,5,FALSE),"")</f>
        <v/>
      </c>
      <c r="ED204" t="str">
        <f>+IFERROR(VLOOKUP(ED5,IN_Zugliste!$A$4:$E$2002,5,FALSE),"")</f>
        <v/>
      </c>
      <c r="EE204" t="str">
        <f>+IFERROR(VLOOKUP(EE5,IN_Zugliste!$A$4:$E$2002,5,FALSE),"")</f>
        <v/>
      </c>
      <c r="EF204" t="str">
        <f>+IFERROR(VLOOKUP(EF5,IN_Zugliste!$A$4:$E$2002,5,FALSE),"")</f>
        <v/>
      </c>
      <c r="EG204" t="str">
        <f>+IFERROR(VLOOKUP(EG5,IN_Zugliste!$A$4:$E$2002,5,FALSE),"")</f>
        <v/>
      </c>
      <c r="EH204" t="str">
        <f>+IFERROR(VLOOKUP(EH5,IN_Zugliste!$A$4:$E$2002,5,FALSE),"")</f>
        <v/>
      </c>
      <c r="EI204" t="str">
        <f>+IFERROR(VLOOKUP(EI5,IN_Zugliste!$A$4:$E$2002,5,FALSE),"")</f>
        <v/>
      </c>
      <c r="EJ204" t="str">
        <f>+IFERROR(VLOOKUP(EJ5,IN_Zugliste!$A$4:$E$2002,5,FALSE),"")</f>
        <v/>
      </c>
      <c r="EK204" t="str">
        <f>+IFERROR(VLOOKUP(EK5,IN_Zugliste!$A$4:$E$2002,5,FALSE),"")</f>
        <v/>
      </c>
      <c r="EL204" t="str">
        <f>+IFERROR(VLOOKUP(EL5,IN_Zugliste!$A$4:$E$2002,5,FALSE),"")</f>
        <v/>
      </c>
      <c r="EM204" t="str">
        <f>+IFERROR(VLOOKUP(EM5,IN_Zugliste!$A$4:$E$2002,5,FALSE),"")</f>
        <v/>
      </c>
      <c r="EN204" t="str">
        <f>+IFERROR(VLOOKUP(EN5,IN_Zugliste!$A$4:$E$2002,5,FALSE),"")</f>
        <v/>
      </c>
      <c r="EO204" t="str">
        <f>+IFERROR(VLOOKUP(EO5,IN_Zugliste!$A$4:$E$2002,5,FALSE),"")</f>
        <v/>
      </c>
      <c r="EP204" t="str">
        <f>+IFERROR(VLOOKUP(EP5,IN_Zugliste!$A$4:$E$2002,5,FALSE),"")</f>
        <v/>
      </c>
      <c r="EQ204" t="str">
        <f>+IFERROR(VLOOKUP(EQ5,IN_Zugliste!$A$4:$E$2002,5,FALSE),"")</f>
        <v/>
      </c>
      <c r="ER204" t="str">
        <f>+IFERROR(VLOOKUP(ER5,IN_Zugliste!$A$4:$E$2002,5,FALSE),"")</f>
        <v/>
      </c>
      <c r="ES204" t="str">
        <f>+IFERROR(VLOOKUP(ES5,IN_Zugliste!$A$4:$E$2002,5,FALSE),"")</f>
        <v/>
      </c>
      <c r="ET204" t="str">
        <f>+IFERROR(VLOOKUP(ET5,IN_Zugliste!$A$4:$E$2002,5,FALSE),"")</f>
        <v/>
      </c>
      <c r="EU204" t="str">
        <f>+IFERROR(VLOOKUP(EU5,IN_Zugliste!$A$4:$E$2002,5,FALSE),"")</f>
        <v/>
      </c>
      <c r="EV204" t="str">
        <f>+IFERROR(VLOOKUP(EV5,IN_Zugliste!$A$4:$E$2002,5,FALSE),"")</f>
        <v/>
      </c>
      <c r="EW204" t="str">
        <f>+IFERROR(VLOOKUP(EW5,IN_Zugliste!$A$4:$E$2002,5,FALSE),"")</f>
        <v/>
      </c>
      <c r="EX204" t="str">
        <f>+IFERROR(VLOOKUP(EX5,IN_Zugliste!$A$4:$E$2002,5,FALSE),"")</f>
        <v/>
      </c>
      <c r="EY204" t="str">
        <f>+IFERROR(VLOOKUP(EY5,IN_Zugliste!$A$4:$E$2002,5,FALSE),"")</f>
        <v/>
      </c>
      <c r="EZ204" t="str">
        <f>+IFERROR(VLOOKUP(EZ5,IN_Zugliste!$A$4:$E$2002,5,FALSE),"")</f>
        <v/>
      </c>
      <c r="FA204" t="str">
        <f>+IFERROR(VLOOKUP(FA5,IN_Zugliste!$A$4:$E$2002,5,FALSE),"")</f>
        <v/>
      </c>
      <c r="FB204" t="str">
        <f>+IFERROR(VLOOKUP(FB5,IN_Zugliste!$A$4:$E$2002,5,FALSE),"")</f>
        <v/>
      </c>
      <c r="FC204" t="str">
        <f>+IFERROR(VLOOKUP(FC5,IN_Zugliste!$A$4:$E$2002,5,FALSE),"")</f>
        <v/>
      </c>
      <c r="FD204" t="str">
        <f>+IFERROR(VLOOKUP(FD5,IN_Zugliste!$A$4:$E$2002,5,FALSE),"")</f>
        <v/>
      </c>
      <c r="FE204" t="str">
        <f>+IFERROR(VLOOKUP(FE5,IN_Zugliste!$A$4:$E$2002,5,FALSE),"")</f>
        <v/>
      </c>
      <c r="FF204" t="str">
        <f>+IFERROR(VLOOKUP(FF5,IN_Zugliste!$A$4:$E$2002,5,FALSE),"")</f>
        <v/>
      </c>
      <c r="FG204" t="str">
        <f>+IFERROR(VLOOKUP(FG5,IN_Zugliste!$A$4:$E$2002,5,FALSE),"")</f>
        <v/>
      </c>
      <c r="FH204" t="str">
        <f>+IFERROR(VLOOKUP(FH5,IN_Zugliste!$A$4:$E$2002,5,FALSE),"")</f>
        <v/>
      </c>
      <c r="FI204" t="str">
        <f>+IFERROR(VLOOKUP(FI5,IN_Zugliste!$A$4:$E$2002,5,FALSE),"")</f>
        <v/>
      </c>
      <c r="FJ204" t="str">
        <f>+IFERROR(VLOOKUP(FJ5,IN_Zugliste!$A$4:$E$2002,5,FALSE),"")</f>
        <v/>
      </c>
      <c r="FK204" t="str">
        <f>+IFERROR(VLOOKUP(FK5,IN_Zugliste!$A$4:$E$2002,5,FALSE),"")</f>
        <v/>
      </c>
      <c r="FL204" t="str">
        <f>+IFERROR(VLOOKUP(FL5,IN_Zugliste!$A$4:$E$2002,5,FALSE),"")</f>
        <v/>
      </c>
      <c r="FM204" t="str">
        <f>+IFERROR(VLOOKUP(FM5,IN_Zugliste!$A$4:$D$2002,5,FALSE),"")</f>
        <v/>
      </c>
      <c r="FN204" t="str">
        <f>+IFERROR(VLOOKUP(FN5,IN_Zugliste!$A$4:$D$2002,5,FALSE),"")</f>
        <v/>
      </c>
      <c r="FO204" t="str">
        <f>+IFERROR(VLOOKUP(FO5,IN_Zugliste!$A$4:$D$2002,5,FALSE),"")</f>
        <v/>
      </c>
      <c r="FP204" t="str">
        <f>+IFERROR(VLOOKUP(FP5,IN_Zugliste!$A$4:$D$2002,5,FALSE),"")</f>
        <v/>
      </c>
      <c r="FQ204" t="str">
        <f>+IFERROR(VLOOKUP(FQ5,IN_Zugliste!$A$4:$D$2002,5,FALSE),"")</f>
        <v/>
      </c>
      <c r="FR204" t="str">
        <f>+IFERROR(VLOOKUP(FR5,IN_Zugliste!$A$4:$D$2002,5,FALSE),"")</f>
        <v/>
      </c>
      <c r="FS204" t="str">
        <f>+IFERROR(VLOOKUP(FS5,IN_Zugliste!$A$4:$D$2002,5,FALSE),"")</f>
        <v/>
      </c>
      <c r="FT204" t="str">
        <f>+IFERROR(VLOOKUP(FT5,IN_Zugliste!$A$4:$D$2002,5,FALSE),"")</f>
        <v/>
      </c>
      <c r="FU204" t="str">
        <f>+IFERROR(VLOOKUP(FU5,IN_Zugliste!$A$4:$D$2002,5,FALSE),"")</f>
        <v/>
      </c>
      <c r="FV204" t="str">
        <f>+IFERROR(VLOOKUP(FV5,IN_Zugliste!$A$4:$D$2002,5,FALSE),"")</f>
        <v/>
      </c>
      <c r="FW204" t="str">
        <f>+IFERROR(VLOOKUP(FW5,IN_Zugliste!$A$4:$D$2002,5,FALSE),"")</f>
        <v/>
      </c>
      <c r="FX204" t="str">
        <f>+IFERROR(VLOOKUP(FX5,IN_Zugliste!$A$4:$D$2002,5,FALSE),"")</f>
        <v/>
      </c>
      <c r="FY204" t="str">
        <f>+IFERROR(VLOOKUP(FY5,IN_Zugliste!$A$4:$D$2002,5,FALSE),"")</f>
        <v/>
      </c>
      <c r="FZ204" t="str">
        <f>+IFERROR(VLOOKUP(FZ5,IN_Zugliste!$A$4:$D$2002,5,FALSE),"")</f>
        <v/>
      </c>
      <c r="GA204" t="str">
        <f>+IFERROR(VLOOKUP(GA5,IN_Zugliste!$A$4:$D$2002,5,FALSE),"")</f>
        <v/>
      </c>
      <c r="GB204" t="str">
        <f>+IFERROR(VLOOKUP(GB5,IN_Zugliste!$A$4:$D$2002,5,FALSE),"")</f>
        <v/>
      </c>
      <c r="GC204" t="str">
        <f>+IFERROR(VLOOKUP(GC5,IN_Zugliste!$A$4:$D$2002,5,FALSE),"")</f>
        <v/>
      </c>
      <c r="GD204" t="str">
        <f>+IFERROR(VLOOKUP(GD5,IN_Zugliste!$A$4:$D$2002,5,FALSE),"")</f>
        <v/>
      </c>
      <c r="GE204" t="str">
        <f>+IFERROR(VLOOKUP(GE5,IN_Zugliste!$A$4:$D$2002,5,FALSE),"")</f>
        <v/>
      </c>
      <c r="GF204" t="str">
        <f>+IFERROR(VLOOKUP(GF5,IN_Zugliste!$A$4:$D$2002,5,FALSE),"")</f>
        <v/>
      </c>
      <c r="GG204" t="str">
        <f>+IFERROR(VLOOKUP(GG5,IN_Zugliste!$A$4:$D$2002,5,FALSE),"")</f>
        <v/>
      </c>
      <c r="GH204" t="str">
        <f>+IFERROR(VLOOKUP(GH5,IN_Zugliste!$A$4:$D$2002,5,FALSE),"")</f>
        <v/>
      </c>
      <c r="GI204" t="str">
        <f>+IFERROR(VLOOKUP(GI5,IN_Zugliste!$A$4:$D$2002,5,FALSE),"")</f>
        <v/>
      </c>
      <c r="GJ204" t="str">
        <f>+IFERROR(VLOOKUP(GJ5,IN_Zugliste!$A$4:$D$2002,5,FALSE),"")</f>
        <v/>
      </c>
      <c r="GK204" t="str">
        <f>+IFERROR(VLOOKUP(GK5,IN_Zugliste!$A$4:$D$2002,5,FALSE),"")</f>
        <v/>
      </c>
      <c r="GL204" t="str">
        <f>+IFERROR(VLOOKUP(GL5,IN_Zugliste!$A$4:$D$2002,5,FALSE),"")</f>
        <v/>
      </c>
      <c r="GM204" t="str">
        <f>+IFERROR(VLOOKUP(GM5,IN_Zugliste!$A$4:$D$2002,5,FALSE),"")</f>
        <v/>
      </c>
      <c r="GN204" t="str">
        <f>+IFERROR(VLOOKUP(GN5,IN_Zugliste!$A$4:$D$2002,5,FALSE),"")</f>
        <v/>
      </c>
      <c r="GO204" t="str">
        <f>+IFERROR(VLOOKUP(GO5,IN_Zugliste!$A$4:$D$2002,5,FALSE),"")</f>
        <v/>
      </c>
      <c r="GP204" t="str">
        <f>+IFERROR(VLOOKUP(GP5,IN_Zugliste!$A$4:$D$2002,5,FALSE),"")</f>
        <v/>
      </c>
      <c r="GQ204" t="str">
        <f>+IFERROR(VLOOKUP(GQ5,IN_Zugliste!$A$4:$D$2002,5,FALSE),"")</f>
        <v/>
      </c>
      <c r="GR204" t="str">
        <f>+IFERROR(VLOOKUP(GR5,IN_Zugliste!$A$4:$D$2002,5,FALSE),"")</f>
        <v/>
      </c>
      <c r="GS204" t="str">
        <f>+IFERROR(VLOOKUP(GS5,IN_Zugliste!$A$4:$D$2002,5,FALSE),"")</f>
        <v/>
      </c>
      <c r="GT204" t="str">
        <f>+IFERROR(VLOOKUP(GT5,IN_Zugliste!$A$4:$D$2002,5,FALSE),"")</f>
        <v/>
      </c>
      <c r="GU204" t="str">
        <f>+IFERROR(VLOOKUP(GU5,IN_Zugliste!$A$4:$D$2002,5,FALSE),"")</f>
        <v/>
      </c>
      <c r="GV204" t="str">
        <f>+IFERROR(VLOOKUP(GV5,IN_Zugliste!$A$4:$D$2002,5,FALSE),"")</f>
        <v/>
      </c>
      <c r="GW204" t="str">
        <f>+IFERROR(VLOOKUP(GW5,IN_Zugliste!$A$4:$D$2002,5,FALSE),"")</f>
        <v/>
      </c>
      <c r="GX204" t="str">
        <f>+IFERROR(VLOOKUP(GX5,IN_Zugliste!$A$4:$D$2002,5,FALSE),"")</f>
        <v/>
      </c>
      <c r="GY204" t="str">
        <f>+IFERROR(VLOOKUP(GY5,IN_Zugliste!$A$4:$D$2002,5,FALSE),"")</f>
        <v/>
      </c>
      <c r="GZ204" t="str">
        <f>+IFERROR(VLOOKUP(GZ5,IN_Zugliste!$A$4:$D$2002,5,FALSE),"")</f>
        <v/>
      </c>
      <c r="HA204" t="str">
        <f>+IFERROR(VLOOKUP(HA5,IN_Zugliste!$A$4:$D$2002,5,FALSE),"")</f>
        <v/>
      </c>
      <c r="HB204" t="str">
        <f>+IFERROR(VLOOKUP(HB5,IN_Zugliste!$A$4:$D$2002,5,FALSE),"")</f>
        <v/>
      </c>
      <c r="HC204" t="str">
        <f>+IFERROR(VLOOKUP(HC5,IN_Zugliste!$A$4:$D$2002,5,FALSE),"")</f>
        <v/>
      </c>
      <c r="HD204" t="str">
        <f>+IFERROR(VLOOKUP(HD5,IN_Zugliste!$A$4:$D$2002,5,FALSE),"")</f>
        <v/>
      </c>
      <c r="HE204" t="str">
        <f>+IFERROR(VLOOKUP(HE5,IN_Zugliste!$A$4:$D$2002,5,FALSE),"")</f>
        <v/>
      </c>
      <c r="HF204" t="str">
        <f>+IFERROR(VLOOKUP(HF5,IN_Zugliste!$A$4:$D$2002,5,FALSE),"")</f>
        <v/>
      </c>
      <c r="HG204" t="str">
        <f>+IFERROR(VLOOKUP(HG5,IN_Zugliste!$A$4:$D$2002,5,FALSE),"")</f>
        <v/>
      </c>
      <c r="HH204" t="str">
        <f>+IFERROR(VLOOKUP(HH5,IN_Zugliste!$A$4:$D$2002,5,FALSE),"")</f>
        <v/>
      </c>
      <c r="HI204" t="str">
        <f>+IFERROR(VLOOKUP(HI5,IN_Zugliste!$A$4:$D$2002,5,FALSE),"")</f>
        <v/>
      </c>
      <c r="HJ204" t="str">
        <f>+IFERROR(VLOOKUP(HJ5,IN_Zugliste!$A$4:$D$2002,5,FALSE),"")</f>
        <v/>
      </c>
      <c r="HK204" t="str">
        <f>+IFERROR(VLOOKUP(HK5,IN_Zugliste!$A$4:$D$2002,5,FALSE),"")</f>
        <v/>
      </c>
      <c r="HL204" t="str">
        <f>+IFERROR(VLOOKUP(HL5,IN_Zugliste!$A$4:$D$2002,5,FALSE),"")</f>
        <v/>
      </c>
      <c r="HM204" t="str">
        <f>+IFERROR(VLOOKUP(HM5,IN_Zugliste!$A$4:$D$2002,5,FALSE),"")</f>
        <v/>
      </c>
      <c r="HN204" t="str">
        <f>+IFERROR(VLOOKUP(HN5,IN_Zugliste!$A$4:$D$2002,5,FALSE),"")</f>
        <v/>
      </c>
      <c r="HO204" t="str">
        <f>+IFERROR(VLOOKUP(HO5,IN_Zugliste!$A$4:$D$2002,5,FALSE),"")</f>
        <v/>
      </c>
      <c r="HP204" t="str">
        <f>+IFERROR(VLOOKUP(HP5,IN_Zugliste!$A$4:$D$2002,5,FALSE),"")</f>
        <v/>
      </c>
      <c r="HQ204" t="str">
        <f>+IFERROR(VLOOKUP(HQ5,IN_Zugliste!$A$4:$D$2002,5,FALSE),"")</f>
        <v/>
      </c>
      <c r="HR204" t="str">
        <f>+IFERROR(VLOOKUP(HR5,IN_Zugliste!$A$4:$D$2002,5,FALSE),"")</f>
        <v/>
      </c>
      <c r="HS204" t="str">
        <f>+IFERROR(VLOOKUP(HS5,IN_Zugliste!$A$4:$D$2002,5,FALSE),"")</f>
        <v/>
      </c>
      <c r="HT204" t="str">
        <f>+IFERROR(VLOOKUP(HT5,IN_Zugliste!$A$4:$D$2002,5,FALSE),"")</f>
        <v/>
      </c>
      <c r="HU204" t="str">
        <f>+IFERROR(VLOOKUP(HU5,IN_Zugliste!$A$4:$D$2002,5,FALSE),"")</f>
        <v/>
      </c>
      <c r="HV204" t="str">
        <f>+IFERROR(VLOOKUP(HV5,IN_Zugliste!$A$4:$D$2002,5,FALSE),"")</f>
        <v/>
      </c>
      <c r="HW204" t="str">
        <f>+IFERROR(VLOOKUP(HW5,IN_Zugliste!$A$4:$D$2002,5,FALSE),"")</f>
        <v/>
      </c>
      <c r="HX204" t="str">
        <f>+IFERROR(VLOOKUP(HX5,IN_Zugliste!$A$4:$D$2002,5,FALSE),"")</f>
        <v/>
      </c>
      <c r="HY204" t="str">
        <f>+IFERROR(VLOOKUP(HY5,IN_Zugliste!$A$4:$D$2002,5,FALSE),"")</f>
        <v/>
      </c>
      <c r="HZ204" t="str">
        <f>+IFERROR(VLOOKUP(HZ5,IN_Zugliste!$A$4:$D$2002,5,FALSE),"")</f>
        <v/>
      </c>
      <c r="IA204" t="str">
        <f>+IFERROR(VLOOKUP(IA5,IN_Zugliste!$A$4:$D$2002,5,FALSE),"")</f>
        <v/>
      </c>
      <c r="IB204" t="str">
        <f>+IFERROR(VLOOKUP(IB5,IN_Zugliste!$A$4:$D$2002,5,FALSE),"")</f>
        <v/>
      </c>
      <c r="IC204" t="str">
        <f>+IFERROR(VLOOKUP(IC5,IN_Zugliste!$A$4:$D$2002,5,FALSE),"")</f>
        <v/>
      </c>
      <c r="ID204" t="str">
        <f>+IFERROR(VLOOKUP(ID5,IN_Zugliste!$A$4:$D$2002,5,FALSE),"")</f>
        <v/>
      </c>
      <c r="IE204" t="str">
        <f>+IFERROR(VLOOKUP(IE5,IN_Zugliste!$A$4:$D$2002,5,FALSE),"")</f>
        <v/>
      </c>
      <c r="IF204" t="str">
        <f>+IFERROR(VLOOKUP(IF5,IN_Zugliste!$A$4:$D$2002,5,FALSE),"")</f>
        <v/>
      </c>
      <c r="IG204" t="str">
        <f>+IFERROR(VLOOKUP(IG5,IN_Zugliste!$A$4:$D$2002,5,FALSE),"")</f>
        <v/>
      </c>
      <c r="IH204" t="str">
        <f>+IFERROR(VLOOKUP(IH5,IN_Zugliste!$A$4:$D$2002,5,FALSE),"")</f>
        <v/>
      </c>
      <c r="II204" t="str">
        <f>+IFERROR(VLOOKUP(II5,IN_Zugliste!$A$4:$D$2002,5,FALSE),"")</f>
        <v/>
      </c>
      <c r="IJ204" t="str">
        <f>+IFERROR(VLOOKUP(IJ5,IN_Zugliste!$A$4:$D$2002,5,FALSE),"")</f>
        <v/>
      </c>
      <c r="IK204" t="str">
        <f>+IFERROR(VLOOKUP(IK5,IN_Zugliste!$A$4:$D$2002,5,FALSE),"")</f>
        <v/>
      </c>
      <c r="IL204" t="str">
        <f>+IFERROR(VLOOKUP(IL5,IN_Zugliste!$A$4:$D$2002,5,FALSE),"")</f>
        <v/>
      </c>
      <c r="IM204" t="str">
        <f>+IFERROR(VLOOKUP(IM5,IN_Zugliste!$A$4:$D$2002,5,FALSE),"")</f>
        <v/>
      </c>
      <c r="IN204" t="str">
        <f>+IFERROR(VLOOKUP(IN5,IN_Zugliste!$A$4:$D$2002,5,FALSE),"")</f>
        <v/>
      </c>
    </row>
    <row r="205" spans="1:248" x14ac:dyDescent="0.2">
      <c r="A205" t="str">
        <f>+IFERROR(VLOOKUP(A6,IN_Zugliste!$A$4:$E$2002,5,FALSE),"")</f>
        <v>Nein</v>
      </c>
      <c r="B205" t="str">
        <f>+IFERROR(VLOOKUP(B6,IN_Zugliste!$A$4:$E$2002,5,FALSE),"")</f>
        <v>Nein</v>
      </c>
      <c r="C205" t="str">
        <f>+IFERROR(VLOOKUP(C6,IN_Zugliste!$A$4:$E$2002,5,FALSE),"")</f>
        <v>Nein</v>
      </c>
      <c r="D205" t="str">
        <f>+IFERROR(VLOOKUP(D6,IN_Zugliste!$A$4:$E$2002,5,FALSE),"")</f>
        <v>Nein</v>
      </c>
      <c r="E205" t="str">
        <f>+IFERROR(VLOOKUP(E6,IN_Zugliste!$A$4:$E$2002,5,FALSE),"")</f>
        <v>Nein</v>
      </c>
      <c r="F205" t="str">
        <f>+IFERROR(VLOOKUP(F6,IN_Zugliste!$A$4:$E$2002,5,FALSE),"")</f>
        <v>Nein</v>
      </c>
      <c r="G205" t="str">
        <f>+IFERROR(VLOOKUP(G6,IN_Zugliste!$A$4:$E$2002,5,FALSE),"")</f>
        <v>Nein</v>
      </c>
      <c r="H205" t="str">
        <f>+IFERROR(VLOOKUP(H6,IN_Zugliste!$A$4:$E$2002,5,FALSE),"")</f>
        <v>Nein</v>
      </c>
      <c r="I205" t="str">
        <f>+IFERROR(VLOOKUP(I6,IN_Zugliste!$A$4:$E$2002,5,FALSE),"")</f>
        <v>Nein</v>
      </c>
      <c r="J205" t="str">
        <f>+IFERROR(VLOOKUP(J6,IN_Zugliste!$A$4:$E$2002,5,FALSE),"")</f>
        <v>Nein</v>
      </c>
      <c r="K205" t="str">
        <f>+IFERROR(VLOOKUP(K6,IN_Zugliste!$A$4:$E$2002,5,FALSE),"")</f>
        <v>Nein</v>
      </c>
      <c r="L205" t="str">
        <f>+IFERROR(VLOOKUP(L6,IN_Zugliste!$A$4:$E$2002,5,FALSE),"")</f>
        <v/>
      </c>
      <c r="M205" t="str">
        <f>+IFERROR(VLOOKUP(M6,IN_Zugliste!$A$4:$E$2002,5,FALSE),"")</f>
        <v>Nein</v>
      </c>
      <c r="N205" t="str">
        <f>+IFERROR(VLOOKUP(N6,IN_Zugliste!$A$4:$E$2002,5,FALSE),"")</f>
        <v>Nein</v>
      </c>
      <c r="O205" t="str">
        <f>+IFERROR(VLOOKUP(O6,IN_Zugliste!$A$4:$E$2002,5,FALSE),"")</f>
        <v>Nein</v>
      </c>
      <c r="P205" t="str">
        <f>+IFERROR(VLOOKUP(P6,IN_Zugliste!$A$4:$E$2002,5,FALSE),"")</f>
        <v>Nein</v>
      </c>
      <c r="Q205" t="str">
        <f>+IFERROR(VLOOKUP(Q6,IN_Zugliste!$A$4:$E$2002,5,FALSE),"")</f>
        <v>Nein</v>
      </c>
      <c r="R205" t="str">
        <f>+IFERROR(VLOOKUP(R6,IN_Zugliste!$A$4:$E$2002,5,FALSE),"")</f>
        <v>Ja</v>
      </c>
      <c r="S205" t="str">
        <f>+IFERROR(VLOOKUP(S6,IN_Zugliste!$A$4:$E$2002,5,FALSE),"")</f>
        <v>Ja</v>
      </c>
      <c r="T205" t="str">
        <f>+IFERROR(VLOOKUP(T6,IN_Zugliste!$A$4:$E$2002,5,FALSE),"")</f>
        <v>Nein</v>
      </c>
      <c r="U205" t="str">
        <f>+IFERROR(VLOOKUP(U6,IN_Zugliste!$A$4:$E$2002,5,FALSE),"")</f>
        <v/>
      </c>
      <c r="V205" t="str">
        <f>+IFERROR(VLOOKUP(V6,IN_Zugliste!$A$4:$E$2002,5,FALSE),"")</f>
        <v>Nein</v>
      </c>
      <c r="W205" t="str">
        <f>+IFERROR(VLOOKUP(W6,IN_Zugliste!$A$4:$E$2002,5,FALSE),"")</f>
        <v>Nein</v>
      </c>
      <c r="X205" t="str">
        <f>+IFERROR(VLOOKUP(X6,IN_Zugliste!$A$4:$E$2002,5,FALSE),"")</f>
        <v>Nein</v>
      </c>
      <c r="Y205" t="str">
        <f>+IFERROR(VLOOKUP(Y6,IN_Zugliste!$A$4:$E$2002,5,FALSE),"")</f>
        <v>Nein</v>
      </c>
      <c r="Z205" t="str">
        <f>+IFERROR(VLOOKUP(Z6,IN_Zugliste!$A$4:$E$2002,5,FALSE),"")</f>
        <v>Nein</v>
      </c>
      <c r="AA205" t="str">
        <f>+IFERROR(VLOOKUP(AA6,IN_Zugliste!$A$4:$E$2002,5,FALSE),"")</f>
        <v>Nein</v>
      </c>
      <c r="AB205" t="str">
        <f>+IFERROR(VLOOKUP(AB6,IN_Zugliste!$A$4:$E$2002,5,FALSE),"")</f>
        <v>Nein</v>
      </c>
      <c r="AC205" t="str">
        <f>+IFERROR(VLOOKUP(AC6,IN_Zugliste!$A$4:$E$2002,5,FALSE),"")</f>
        <v/>
      </c>
      <c r="AD205" t="str">
        <f>+IFERROR(VLOOKUP(AD6,IN_Zugliste!$A$4:$E$2002,5,FALSE),"")</f>
        <v/>
      </c>
      <c r="AE205" t="str">
        <f>+IFERROR(VLOOKUP(AE6,IN_Zugliste!$A$4:$E$2002,5,FALSE),"")</f>
        <v>Nein</v>
      </c>
      <c r="AF205" t="str">
        <f>+IFERROR(VLOOKUP(AF6,IN_Zugliste!$A$4:$E$2002,5,FALSE),"")</f>
        <v>Nein</v>
      </c>
      <c r="AG205" t="str">
        <f>+IFERROR(VLOOKUP(AG6,IN_Zugliste!$A$4:$E$2002,5,FALSE),"")</f>
        <v>Nein</v>
      </c>
      <c r="AH205" t="str">
        <f>+IFERROR(VLOOKUP(AH6,IN_Zugliste!$A$4:$E$2002,5,FALSE),"")</f>
        <v/>
      </c>
      <c r="AI205" t="str">
        <f>+IFERROR(VLOOKUP(AI6,IN_Zugliste!$A$4:$E$2002,5,FALSE),"")</f>
        <v>Nein</v>
      </c>
      <c r="AJ205" t="str">
        <f>+IFERROR(VLOOKUP(AJ6,IN_Zugliste!$A$4:$E$2002,5,FALSE),"")</f>
        <v>Nein</v>
      </c>
      <c r="AK205" t="str">
        <f>+IFERROR(VLOOKUP(AK6,IN_Zugliste!$A$4:$E$2002,5,FALSE),"")</f>
        <v/>
      </c>
      <c r="AL205" t="str">
        <f>+IFERROR(VLOOKUP(AL6,IN_Zugliste!$A$4:$E$2002,5,FALSE),"")</f>
        <v>Nein</v>
      </c>
      <c r="AM205" t="str">
        <f>+IFERROR(VLOOKUP(AM6,IN_Zugliste!$A$4:$E$2002,5,FALSE),"")</f>
        <v/>
      </c>
      <c r="AN205" t="str">
        <f>+IFERROR(VLOOKUP(AN6,IN_Zugliste!$A$4:$E$2002,5,FALSE),"")</f>
        <v>Nein</v>
      </c>
      <c r="AO205" t="str">
        <f>+IFERROR(VLOOKUP(AO6,IN_Zugliste!$A$4:$E$2002,5,FALSE),"")</f>
        <v>Nein</v>
      </c>
      <c r="AP205" t="str">
        <f>+IFERROR(VLOOKUP(AP6,IN_Zugliste!$A$4:$E$2002,5,FALSE),"")</f>
        <v/>
      </c>
      <c r="AQ205" t="str">
        <f>+IFERROR(VLOOKUP(AQ6,IN_Zugliste!$A$4:$E$2002,5,FALSE),"")</f>
        <v>Nein</v>
      </c>
      <c r="AR205" t="str">
        <f>+IFERROR(VLOOKUP(AR6,IN_Zugliste!$A$4:$E$2002,5,FALSE),"")</f>
        <v/>
      </c>
      <c r="AS205" t="str">
        <f>+IFERROR(VLOOKUP(AS6,IN_Zugliste!$A$4:$E$2002,5,FALSE),"")</f>
        <v>Nein</v>
      </c>
      <c r="AT205" t="str">
        <f>+IFERROR(VLOOKUP(AT6,IN_Zugliste!$A$4:$E$2002,5,FALSE),"")</f>
        <v>Ja</v>
      </c>
      <c r="AU205" t="str">
        <f>+IFERROR(VLOOKUP(AU6,IN_Zugliste!$A$4:$E$2002,5,FALSE),"")</f>
        <v/>
      </c>
      <c r="AV205" t="str">
        <f>+IFERROR(VLOOKUP(AV6,IN_Zugliste!$A$4:$E$2002,5,FALSE),"")</f>
        <v/>
      </c>
      <c r="AW205" t="str">
        <f>+IFERROR(VLOOKUP(AW6,IN_Zugliste!$A$4:$E$2002,5,FALSE),"")</f>
        <v>Ja</v>
      </c>
      <c r="AX205" t="str">
        <f>+IFERROR(VLOOKUP(AX6,IN_Zugliste!$A$4:$E$2002,5,FALSE),"")</f>
        <v/>
      </c>
      <c r="AY205" t="str">
        <f>+IFERROR(VLOOKUP(AY6,IN_Zugliste!$A$4:$E$2002,5,FALSE),"")</f>
        <v/>
      </c>
      <c r="AZ205" t="str">
        <f>+IFERROR(VLOOKUP(AZ6,IN_Zugliste!$A$4:$E$2002,5,FALSE),"")</f>
        <v/>
      </c>
      <c r="BA205" t="str">
        <f>+IFERROR(VLOOKUP(BA6,IN_Zugliste!$A$4:$E$2002,5,FALSE),"")</f>
        <v/>
      </c>
      <c r="BB205" t="str">
        <f>+IFERROR(VLOOKUP(BB6,IN_Zugliste!$A$4:$E$2002,5,FALSE),"")</f>
        <v/>
      </c>
      <c r="BC205" t="str">
        <f>+IFERROR(VLOOKUP(BC6,IN_Zugliste!$A$4:$E$2002,5,FALSE),"")</f>
        <v>Nein</v>
      </c>
      <c r="BD205" t="str">
        <f>+IFERROR(VLOOKUP(BD6,IN_Zugliste!$A$4:$E$2002,5,FALSE),"")</f>
        <v>Nein</v>
      </c>
      <c r="BE205" t="str">
        <f>+IFERROR(VLOOKUP(BE6,IN_Zugliste!$A$4:$E$2002,5,FALSE),"")</f>
        <v/>
      </c>
      <c r="BF205" t="str">
        <f>+IFERROR(VLOOKUP(BF6,IN_Zugliste!$A$4:$E$2002,5,FALSE),"")</f>
        <v/>
      </c>
      <c r="BG205" t="str">
        <f>+IFERROR(VLOOKUP(BG6,IN_Zugliste!$A$4:$E$2002,5,FALSE),"")</f>
        <v/>
      </c>
      <c r="BH205" t="str">
        <f>+IFERROR(VLOOKUP(BH6,IN_Zugliste!$A$4:$E$2002,5,FALSE),"")</f>
        <v/>
      </c>
      <c r="BI205" t="str">
        <f>+IFERROR(VLOOKUP(BI6,IN_Zugliste!$A$4:$E$2002,5,FALSE),"")</f>
        <v/>
      </c>
      <c r="BJ205" t="str">
        <f>+IFERROR(VLOOKUP(BJ6,IN_Zugliste!$A$4:$E$2002,5,FALSE),"")</f>
        <v/>
      </c>
      <c r="BK205" t="str">
        <f>+IFERROR(VLOOKUP(BK6,IN_Zugliste!$A$4:$E$2002,5,FALSE),"")</f>
        <v/>
      </c>
      <c r="BL205" t="str">
        <f>+IFERROR(VLOOKUP(BL6,IN_Zugliste!$A$4:$E$2002,5,FALSE),"")</f>
        <v/>
      </c>
      <c r="BM205" t="str">
        <f>+IFERROR(VLOOKUP(BM6,IN_Zugliste!$A$4:$E$2002,5,FALSE),"")</f>
        <v/>
      </c>
      <c r="BN205" t="str">
        <f>+IFERROR(VLOOKUP(BN6,IN_Zugliste!$A$4:$E$2002,5,FALSE),"")</f>
        <v/>
      </c>
      <c r="BO205" t="str">
        <f>+IFERROR(VLOOKUP(BO6,IN_Zugliste!$A$4:$E$2002,5,FALSE),"")</f>
        <v>Nein</v>
      </c>
      <c r="BP205" t="str">
        <f>+IFERROR(VLOOKUP(BP6,IN_Zugliste!$A$4:$E$2002,5,FALSE),"")</f>
        <v/>
      </c>
      <c r="BQ205" t="str">
        <f>+IFERROR(VLOOKUP(BQ6,IN_Zugliste!$A$4:$E$2002,5,FALSE),"")</f>
        <v/>
      </c>
      <c r="BR205" t="str">
        <f>+IFERROR(VLOOKUP(BR6,IN_Zugliste!$A$4:$E$2002,5,FALSE),"")</f>
        <v>Nein</v>
      </c>
      <c r="BS205" t="str">
        <f>+IFERROR(VLOOKUP(BS6,IN_Zugliste!$A$4:$E$2002,5,FALSE),"")</f>
        <v/>
      </c>
      <c r="BT205" t="str">
        <f>+IFERROR(VLOOKUP(BT6,IN_Zugliste!$A$4:$E$2002,5,FALSE),"")</f>
        <v/>
      </c>
      <c r="BU205" t="str">
        <f>+IFERROR(VLOOKUP(BU6,IN_Zugliste!$A$4:$E$2002,5,FALSE),"")</f>
        <v/>
      </c>
      <c r="BV205" t="str">
        <f>+IFERROR(VLOOKUP(BV6,IN_Zugliste!$A$4:$E$2002,5,FALSE),"")</f>
        <v/>
      </c>
      <c r="BW205" t="str">
        <f>+IFERROR(VLOOKUP(BW6,IN_Zugliste!$A$4:$E$2002,5,FALSE),"")</f>
        <v/>
      </c>
      <c r="BX205" t="str">
        <f>+IFERROR(VLOOKUP(BX6,IN_Zugliste!$A$4:$E$2002,5,FALSE),"")</f>
        <v/>
      </c>
      <c r="BY205" t="str">
        <f>+IFERROR(VLOOKUP(BY6,IN_Zugliste!$A$4:$E$2002,5,FALSE),"")</f>
        <v/>
      </c>
      <c r="BZ205" t="str">
        <f>+IFERROR(VLOOKUP(BZ6,IN_Zugliste!$A$4:$E$2002,5,FALSE),"")</f>
        <v/>
      </c>
      <c r="CA205" t="str">
        <f>+IFERROR(VLOOKUP(CA6,IN_Zugliste!$A$4:$E$2002,5,FALSE),"")</f>
        <v/>
      </c>
      <c r="CB205" t="str">
        <f>+IFERROR(VLOOKUP(CB6,IN_Zugliste!$A$4:$E$2002,5,FALSE),"")</f>
        <v/>
      </c>
      <c r="CC205" t="str">
        <f>+IFERROR(VLOOKUP(CC6,IN_Zugliste!$A$4:$E$2002,5,FALSE),"")</f>
        <v/>
      </c>
      <c r="CD205" t="str">
        <f>+IFERROR(VLOOKUP(CD6,IN_Zugliste!$A$4:$E$2002,5,FALSE),"")</f>
        <v/>
      </c>
      <c r="CE205" t="str">
        <f>+IFERROR(VLOOKUP(CE6,IN_Zugliste!$A$4:$E$2002,5,FALSE),"")</f>
        <v/>
      </c>
      <c r="CF205" t="str">
        <f>+IFERROR(VLOOKUP(CF6,IN_Zugliste!$A$4:$E$2002,5,FALSE),"")</f>
        <v/>
      </c>
      <c r="CG205" t="str">
        <f>+IFERROR(VLOOKUP(CG6,IN_Zugliste!$A$4:$E$2002,5,FALSE),"")</f>
        <v/>
      </c>
      <c r="CH205" t="str">
        <f>+IFERROR(VLOOKUP(CH6,IN_Zugliste!$A$4:$E$2002,5,FALSE),"")</f>
        <v/>
      </c>
      <c r="CI205" t="str">
        <f>+IFERROR(VLOOKUP(CI6,IN_Zugliste!$A$4:$E$2002,5,FALSE),"")</f>
        <v/>
      </c>
      <c r="CJ205" t="str">
        <f>+IFERROR(VLOOKUP(CJ6,IN_Zugliste!$A$4:$E$2002,5,FALSE),"")</f>
        <v/>
      </c>
      <c r="CK205" t="str">
        <f>+IFERROR(VLOOKUP(CK6,IN_Zugliste!$A$4:$E$2002,5,FALSE),"")</f>
        <v/>
      </c>
      <c r="CL205" t="str">
        <f>+IFERROR(VLOOKUP(CL6,IN_Zugliste!$A$4:$E$2002,5,FALSE),"")</f>
        <v/>
      </c>
      <c r="CM205" t="str">
        <f>+IFERROR(VLOOKUP(CM6,IN_Zugliste!$A$4:$E$2002,5,FALSE),"")</f>
        <v/>
      </c>
      <c r="CN205" t="str">
        <f>+IFERROR(VLOOKUP(CN6,IN_Zugliste!$A$4:$E$2002,5,FALSE),"")</f>
        <v/>
      </c>
      <c r="CO205" t="str">
        <f>+IFERROR(VLOOKUP(CO6,IN_Zugliste!$A$4:$E$2002,5,FALSE),"")</f>
        <v/>
      </c>
      <c r="CP205" t="str">
        <f>+IFERROR(VLOOKUP(CP6,IN_Zugliste!$A$4:$E$2002,5,FALSE),"")</f>
        <v/>
      </c>
      <c r="CQ205" t="str">
        <f>+IFERROR(VLOOKUP(CQ6,IN_Zugliste!$A$4:$E$2002,5,FALSE),"")</f>
        <v/>
      </c>
      <c r="CR205" t="str">
        <f>+IFERROR(VLOOKUP(CR6,IN_Zugliste!$A$4:$E$2002,5,FALSE),"")</f>
        <v/>
      </c>
      <c r="CS205" t="str">
        <f>+IFERROR(VLOOKUP(CS6,IN_Zugliste!$A$4:$E$2002,5,FALSE),"")</f>
        <v/>
      </c>
      <c r="CT205" t="str">
        <f>+IFERROR(VLOOKUP(CT6,IN_Zugliste!$A$4:$E$2002,5,FALSE),"")</f>
        <v/>
      </c>
      <c r="CU205" t="str">
        <f>+IFERROR(VLOOKUP(CU6,IN_Zugliste!$A$4:$E$2002,5,FALSE),"")</f>
        <v/>
      </c>
      <c r="CV205" t="str">
        <f>+IFERROR(VLOOKUP(CV6,IN_Zugliste!$A$4:$E$2002,5,FALSE),"")</f>
        <v/>
      </c>
      <c r="CW205" t="str">
        <f>+IFERROR(VLOOKUP(CW6,IN_Zugliste!$A$4:$E$2002,5,FALSE),"")</f>
        <v/>
      </c>
      <c r="CX205" t="str">
        <f>+IFERROR(VLOOKUP(CX6,IN_Zugliste!$A$4:$E$2002,5,FALSE),"")</f>
        <v/>
      </c>
      <c r="CY205" t="str">
        <f>+IFERROR(VLOOKUP(CY6,IN_Zugliste!$A$4:$E$2002,5,FALSE),"")</f>
        <v/>
      </c>
      <c r="CZ205" t="str">
        <f>+IFERROR(VLOOKUP(CZ6,IN_Zugliste!$A$4:$E$2002,5,FALSE),"")</f>
        <v/>
      </c>
      <c r="DA205" t="str">
        <f>+IFERROR(VLOOKUP(DA6,IN_Zugliste!$A$4:$E$2002,5,FALSE),"")</f>
        <v/>
      </c>
      <c r="DB205" t="str">
        <f>+IFERROR(VLOOKUP(DB6,IN_Zugliste!$A$4:$E$2002,5,FALSE),"")</f>
        <v/>
      </c>
      <c r="DC205" t="str">
        <f>+IFERROR(VLOOKUP(DC6,IN_Zugliste!$A$4:$E$2002,5,FALSE),"")</f>
        <v/>
      </c>
      <c r="DD205" t="str">
        <f>+IFERROR(VLOOKUP(DD6,IN_Zugliste!$A$4:$E$2002,5,FALSE),"")</f>
        <v/>
      </c>
      <c r="DE205" t="str">
        <f>+IFERROR(VLOOKUP(DE6,IN_Zugliste!$A$4:$E$2002,5,FALSE),"")</f>
        <v/>
      </c>
      <c r="DF205" t="str">
        <f>+IFERROR(VLOOKUP(DF6,IN_Zugliste!$A$4:$E$2002,5,FALSE),"")</f>
        <v/>
      </c>
      <c r="DG205" t="str">
        <f>+IFERROR(VLOOKUP(DG6,IN_Zugliste!$A$4:$E$2002,5,FALSE),"")</f>
        <v/>
      </c>
      <c r="DH205" t="str">
        <f>+IFERROR(VLOOKUP(DH6,IN_Zugliste!$A$4:$E$2002,5,FALSE),"")</f>
        <v/>
      </c>
      <c r="DI205" t="str">
        <f>+IFERROR(VLOOKUP(DI6,IN_Zugliste!$A$4:$E$2002,5,FALSE),"")</f>
        <v/>
      </c>
      <c r="DJ205" t="str">
        <f>+IFERROR(VLOOKUP(DJ6,IN_Zugliste!$A$4:$E$2002,5,FALSE),"")</f>
        <v/>
      </c>
      <c r="DK205" t="str">
        <f>+IFERROR(VLOOKUP(DK6,IN_Zugliste!$A$4:$E$2002,5,FALSE),"")</f>
        <v/>
      </c>
      <c r="DL205" t="str">
        <f>+IFERROR(VLOOKUP(DL6,IN_Zugliste!$A$4:$E$2002,5,FALSE),"")</f>
        <v/>
      </c>
      <c r="DM205" t="str">
        <f>+IFERROR(VLOOKUP(DM6,IN_Zugliste!$A$4:$E$2002,5,FALSE),"")</f>
        <v/>
      </c>
      <c r="DN205" t="str">
        <f>+IFERROR(VLOOKUP(DN6,IN_Zugliste!$A$4:$E$2002,5,FALSE),"")</f>
        <v/>
      </c>
      <c r="DO205" t="str">
        <f>+IFERROR(VLOOKUP(DO6,IN_Zugliste!$A$4:$E$2002,5,FALSE),"")</f>
        <v/>
      </c>
      <c r="DP205" t="str">
        <f>+IFERROR(VLOOKUP(DP6,IN_Zugliste!$A$4:$E$2002,5,FALSE),"")</f>
        <v/>
      </c>
      <c r="DQ205" t="str">
        <f>+IFERROR(VLOOKUP(DQ6,IN_Zugliste!$A$4:$E$2002,5,FALSE),"")</f>
        <v/>
      </c>
      <c r="DR205" t="str">
        <f>+IFERROR(VLOOKUP(DR6,IN_Zugliste!$A$4:$E$2002,5,FALSE),"")</f>
        <v/>
      </c>
      <c r="DS205" t="str">
        <f>+IFERROR(VLOOKUP(DS6,IN_Zugliste!$A$4:$E$2002,5,FALSE),"")</f>
        <v/>
      </c>
      <c r="DT205" t="str">
        <f>+IFERROR(VLOOKUP(DT6,IN_Zugliste!$A$4:$E$2002,5,FALSE),"")</f>
        <v/>
      </c>
      <c r="DU205" t="str">
        <f>+IFERROR(VLOOKUP(DU6,IN_Zugliste!$A$4:$E$2002,5,FALSE),"")</f>
        <v/>
      </c>
      <c r="DV205" t="str">
        <f>+IFERROR(VLOOKUP(DV6,IN_Zugliste!$A$4:$E$2002,5,FALSE),"")</f>
        <v/>
      </c>
      <c r="DW205" t="str">
        <f>+IFERROR(VLOOKUP(DW6,IN_Zugliste!$A$4:$E$2002,5,FALSE),"")</f>
        <v/>
      </c>
      <c r="DX205" t="str">
        <f>+IFERROR(VLOOKUP(DX6,IN_Zugliste!$A$4:$E$2002,5,FALSE),"")</f>
        <v/>
      </c>
      <c r="DY205" t="str">
        <f>+IFERROR(VLOOKUP(DY6,IN_Zugliste!$A$4:$E$2002,5,FALSE),"")</f>
        <v/>
      </c>
      <c r="DZ205" t="str">
        <f>+IFERROR(VLOOKUP(DZ6,IN_Zugliste!$A$4:$E$2002,5,FALSE),"")</f>
        <v/>
      </c>
      <c r="EA205" t="str">
        <f>+IFERROR(VLOOKUP(EA6,IN_Zugliste!$A$4:$E$2002,5,FALSE),"")</f>
        <v/>
      </c>
      <c r="EB205" t="str">
        <f>+IFERROR(VLOOKUP(EB6,IN_Zugliste!$A$4:$E$2002,5,FALSE),"")</f>
        <v/>
      </c>
      <c r="EC205" t="str">
        <f>+IFERROR(VLOOKUP(EC6,IN_Zugliste!$A$4:$E$2002,5,FALSE),"")</f>
        <v/>
      </c>
      <c r="ED205" t="str">
        <f>+IFERROR(VLOOKUP(ED6,IN_Zugliste!$A$4:$E$2002,5,FALSE),"")</f>
        <v/>
      </c>
      <c r="EE205" t="str">
        <f>+IFERROR(VLOOKUP(EE6,IN_Zugliste!$A$4:$E$2002,5,FALSE),"")</f>
        <v/>
      </c>
      <c r="EF205" t="str">
        <f>+IFERROR(VLOOKUP(EF6,IN_Zugliste!$A$4:$E$2002,5,FALSE),"")</f>
        <v/>
      </c>
      <c r="EG205" t="str">
        <f>+IFERROR(VLOOKUP(EG6,IN_Zugliste!$A$4:$E$2002,5,FALSE),"")</f>
        <v/>
      </c>
      <c r="EH205" t="str">
        <f>+IFERROR(VLOOKUP(EH6,IN_Zugliste!$A$4:$E$2002,5,FALSE),"")</f>
        <v/>
      </c>
      <c r="EI205" t="str">
        <f>+IFERROR(VLOOKUP(EI6,IN_Zugliste!$A$4:$E$2002,5,FALSE),"")</f>
        <v/>
      </c>
      <c r="EJ205" t="str">
        <f>+IFERROR(VLOOKUP(EJ6,IN_Zugliste!$A$4:$E$2002,5,FALSE),"")</f>
        <v/>
      </c>
      <c r="EK205" t="str">
        <f>+IFERROR(VLOOKUP(EK6,IN_Zugliste!$A$4:$E$2002,5,FALSE),"")</f>
        <v/>
      </c>
      <c r="EL205" t="str">
        <f>+IFERROR(VLOOKUP(EL6,IN_Zugliste!$A$4:$E$2002,5,FALSE),"")</f>
        <v/>
      </c>
      <c r="EM205" t="str">
        <f>+IFERROR(VLOOKUP(EM6,IN_Zugliste!$A$4:$E$2002,5,FALSE),"")</f>
        <v/>
      </c>
      <c r="EN205" t="str">
        <f>+IFERROR(VLOOKUP(EN6,IN_Zugliste!$A$4:$E$2002,5,FALSE),"")</f>
        <v/>
      </c>
      <c r="EO205" t="str">
        <f>+IFERROR(VLOOKUP(EO6,IN_Zugliste!$A$4:$E$2002,5,FALSE),"")</f>
        <v/>
      </c>
      <c r="EP205" t="str">
        <f>+IFERROR(VLOOKUP(EP6,IN_Zugliste!$A$4:$E$2002,5,FALSE),"")</f>
        <v/>
      </c>
      <c r="EQ205" t="str">
        <f>+IFERROR(VLOOKUP(EQ6,IN_Zugliste!$A$4:$E$2002,5,FALSE),"")</f>
        <v/>
      </c>
      <c r="ER205" t="str">
        <f>+IFERROR(VLOOKUP(ER6,IN_Zugliste!$A$4:$E$2002,5,FALSE),"")</f>
        <v/>
      </c>
      <c r="ES205" t="str">
        <f>+IFERROR(VLOOKUP(ES6,IN_Zugliste!$A$4:$E$2002,5,FALSE),"")</f>
        <v/>
      </c>
      <c r="ET205" t="str">
        <f>+IFERROR(VLOOKUP(ET6,IN_Zugliste!$A$4:$E$2002,5,FALSE),"")</f>
        <v/>
      </c>
      <c r="EU205" t="str">
        <f>+IFERROR(VLOOKUP(EU6,IN_Zugliste!$A$4:$E$2002,5,FALSE),"")</f>
        <v/>
      </c>
      <c r="EV205" t="str">
        <f>+IFERROR(VLOOKUP(EV6,IN_Zugliste!$A$4:$E$2002,5,FALSE),"")</f>
        <v/>
      </c>
      <c r="EW205" t="str">
        <f>+IFERROR(VLOOKUP(EW6,IN_Zugliste!$A$4:$E$2002,5,FALSE),"")</f>
        <v/>
      </c>
      <c r="EX205" t="str">
        <f>+IFERROR(VLOOKUP(EX6,IN_Zugliste!$A$4:$E$2002,5,FALSE),"")</f>
        <v/>
      </c>
      <c r="EY205" t="str">
        <f>+IFERROR(VLOOKUP(EY6,IN_Zugliste!$A$4:$E$2002,5,FALSE),"")</f>
        <v/>
      </c>
      <c r="EZ205" t="str">
        <f>+IFERROR(VLOOKUP(EZ6,IN_Zugliste!$A$4:$E$2002,5,FALSE),"")</f>
        <v/>
      </c>
      <c r="FA205" t="str">
        <f>+IFERROR(VLOOKUP(FA6,IN_Zugliste!$A$4:$E$2002,5,FALSE),"")</f>
        <v/>
      </c>
      <c r="FB205" t="str">
        <f>+IFERROR(VLOOKUP(FB6,IN_Zugliste!$A$4:$E$2002,5,FALSE),"")</f>
        <v/>
      </c>
      <c r="FC205" t="str">
        <f>+IFERROR(VLOOKUP(FC6,IN_Zugliste!$A$4:$E$2002,5,FALSE),"")</f>
        <v/>
      </c>
      <c r="FD205" t="str">
        <f>+IFERROR(VLOOKUP(FD6,IN_Zugliste!$A$4:$E$2002,5,FALSE),"")</f>
        <v/>
      </c>
      <c r="FE205" t="str">
        <f>+IFERROR(VLOOKUP(FE6,IN_Zugliste!$A$4:$E$2002,5,FALSE),"")</f>
        <v/>
      </c>
      <c r="FF205" t="str">
        <f>+IFERROR(VLOOKUP(FF6,IN_Zugliste!$A$4:$E$2002,5,FALSE),"")</f>
        <v/>
      </c>
      <c r="FG205" t="str">
        <f>+IFERROR(VLOOKUP(FG6,IN_Zugliste!$A$4:$E$2002,5,FALSE),"")</f>
        <v/>
      </c>
      <c r="FH205" t="str">
        <f>+IFERROR(VLOOKUP(FH6,IN_Zugliste!$A$4:$E$2002,5,FALSE),"")</f>
        <v/>
      </c>
      <c r="FI205" t="str">
        <f>+IFERROR(VLOOKUP(FI6,IN_Zugliste!$A$4:$E$2002,5,FALSE),"")</f>
        <v/>
      </c>
      <c r="FJ205" t="str">
        <f>+IFERROR(VLOOKUP(FJ6,IN_Zugliste!$A$4:$E$2002,5,FALSE),"")</f>
        <v/>
      </c>
      <c r="FK205" t="str">
        <f>+IFERROR(VLOOKUP(FK6,IN_Zugliste!$A$4:$E$2002,5,FALSE),"")</f>
        <v/>
      </c>
      <c r="FL205" t="str">
        <f>+IFERROR(VLOOKUP(FL6,IN_Zugliste!$A$4:$E$2002,5,FALSE),"")</f>
        <v/>
      </c>
      <c r="FM205" t="str">
        <f>+IFERROR(VLOOKUP(FM6,IN_Zugliste!$A$4:$D$2002,5,FALSE),"")</f>
        <v/>
      </c>
      <c r="FN205" t="str">
        <f>+IFERROR(VLOOKUP(FN6,IN_Zugliste!$A$4:$D$2002,5,FALSE),"")</f>
        <v/>
      </c>
      <c r="FO205" t="str">
        <f>+IFERROR(VLOOKUP(FO6,IN_Zugliste!$A$4:$D$2002,5,FALSE),"")</f>
        <v/>
      </c>
      <c r="FP205" t="str">
        <f>+IFERROR(VLOOKUP(FP6,IN_Zugliste!$A$4:$D$2002,5,FALSE),"")</f>
        <v/>
      </c>
      <c r="FQ205" t="str">
        <f>+IFERROR(VLOOKUP(FQ6,IN_Zugliste!$A$4:$D$2002,5,FALSE),"")</f>
        <v/>
      </c>
      <c r="FR205" t="str">
        <f>+IFERROR(VLOOKUP(FR6,IN_Zugliste!$A$4:$D$2002,5,FALSE),"")</f>
        <v/>
      </c>
      <c r="FS205" t="str">
        <f>+IFERROR(VLOOKUP(FS6,IN_Zugliste!$A$4:$D$2002,5,FALSE),"")</f>
        <v/>
      </c>
      <c r="FT205" t="str">
        <f>+IFERROR(VLOOKUP(FT6,IN_Zugliste!$A$4:$D$2002,5,FALSE),"")</f>
        <v/>
      </c>
      <c r="FU205" t="str">
        <f>+IFERROR(VLOOKUP(FU6,IN_Zugliste!$A$4:$D$2002,5,FALSE),"")</f>
        <v/>
      </c>
      <c r="FV205" t="str">
        <f>+IFERROR(VLOOKUP(FV6,IN_Zugliste!$A$4:$D$2002,5,FALSE),"")</f>
        <v/>
      </c>
      <c r="FW205" t="str">
        <f>+IFERROR(VLOOKUP(FW6,IN_Zugliste!$A$4:$D$2002,5,FALSE),"")</f>
        <v/>
      </c>
      <c r="FX205" t="str">
        <f>+IFERROR(VLOOKUP(FX6,IN_Zugliste!$A$4:$D$2002,5,FALSE),"")</f>
        <v/>
      </c>
      <c r="FY205" t="str">
        <f>+IFERROR(VLOOKUP(FY6,IN_Zugliste!$A$4:$D$2002,5,FALSE),"")</f>
        <v/>
      </c>
      <c r="FZ205" t="str">
        <f>+IFERROR(VLOOKUP(FZ6,IN_Zugliste!$A$4:$D$2002,5,FALSE),"")</f>
        <v/>
      </c>
      <c r="GA205" t="str">
        <f>+IFERROR(VLOOKUP(GA6,IN_Zugliste!$A$4:$D$2002,5,FALSE),"")</f>
        <v/>
      </c>
      <c r="GB205" t="str">
        <f>+IFERROR(VLOOKUP(GB6,IN_Zugliste!$A$4:$D$2002,5,FALSE),"")</f>
        <v/>
      </c>
      <c r="GC205" t="str">
        <f>+IFERROR(VLOOKUP(GC6,IN_Zugliste!$A$4:$D$2002,5,FALSE),"")</f>
        <v/>
      </c>
      <c r="GD205" t="str">
        <f>+IFERROR(VLOOKUP(GD6,IN_Zugliste!$A$4:$D$2002,5,FALSE),"")</f>
        <v/>
      </c>
      <c r="GE205" t="str">
        <f>+IFERROR(VLOOKUP(GE6,IN_Zugliste!$A$4:$D$2002,5,FALSE),"")</f>
        <v/>
      </c>
      <c r="GF205" t="str">
        <f>+IFERROR(VLOOKUP(GF6,IN_Zugliste!$A$4:$D$2002,5,FALSE),"")</f>
        <v/>
      </c>
      <c r="GG205" t="str">
        <f>+IFERROR(VLOOKUP(GG6,IN_Zugliste!$A$4:$D$2002,5,FALSE),"")</f>
        <v/>
      </c>
      <c r="GH205" t="str">
        <f>+IFERROR(VLOOKUP(GH6,IN_Zugliste!$A$4:$D$2002,5,FALSE),"")</f>
        <v/>
      </c>
      <c r="GI205" t="str">
        <f>+IFERROR(VLOOKUP(GI6,IN_Zugliste!$A$4:$D$2002,5,FALSE),"")</f>
        <v/>
      </c>
      <c r="GJ205" t="str">
        <f>+IFERROR(VLOOKUP(GJ6,IN_Zugliste!$A$4:$D$2002,5,FALSE),"")</f>
        <v/>
      </c>
      <c r="GK205" t="str">
        <f>+IFERROR(VLOOKUP(GK6,IN_Zugliste!$A$4:$D$2002,5,FALSE),"")</f>
        <v/>
      </c>
      <c r="GL205" t="str">
        <f>+IFERROR(VLOOKUP(GL6,IN_Zugliste!$A$4:$D$2002,5,FALSE),"")</f>
        <v/>
      </c>
      <c r="GM205" t="str">
        <f>+IFERROR(VLOOKUP(GM6,IN_Zugliste!$A$4:$D$2002,5,FALSE),"")</f>
        <v/>
      </c>
      <c r="GN205" t="str">
        <f>+IFERROR(VLOOKUP(GN6,IN_Zugliste!$A$4:$D$2002,5,FALSE),"")</f>
        <v/>
      </c>
      <c r="GO205" t="str">
        <f>+IFERROR(VLOOKUP(GO6,IN_Zugliste!$A$4:$D$2002,5,FALSE),"")</f>
        <v/>
      </c>
      <c r="GP205" t="str">
        <f>+IFERROR(VLOOKUP(GP6,IN_Zugliste!$A$4:$D$2002,5,FALSE),"")</f>
        <v/>
      </c>
      <c r="GQ205" t="str">
        <f>+IFERROR(VLOOKUP(GQ6,IN_Zugliste!$A$4:$D$2002,5,FALSE),"")</f>
        <v/>
      </c>
      <c r="GR205" t="str">
        <f>+IFERROR(VLOOKUP(GR6,IN_Zugliste!$A$4:$D$2002,5,FALSE),"")</f>
        <v/>
      </c>
      <c r="GS205" t="str">
        <f>+IFERROR(VLOOKUP(GS6,IN_Zugliste!$A$4:$D$2002,5,FALSE),"")</f>
        <v/>
      </c>
      <c r="GT205" t="str">
        <f>+IFERROR(VLOOKUP(GT6,IN_Zugliste!$A$4:$D$2002,5,FALSE),"")</f>
        <v/>
      </c>
      <c r="GU205" t="str">
        <f>+IFERROR(VLOOKUP(GU6,IN_Zugliste!$A$4:$D$2002,5,FALSE),"")</f>
        <v/>
      </c>
      <c r="GV205" t="str">
        <f>+IFERROR(VLOOKUP(GV6,IN_Zugliste!$A$4:$D$2002,5,FALSE),"")</f>
        <v/>
      </c>
      <c r="GW205" t="str">
        <f>+IFERROR(VLOOKUP(GW6,IN_Zugliste!$A$4:$D$2002,5,FALSE),"")</f>
        <v/>
      </c>
      <c r="GX205" t="str">
        <f>+IFERROR(VLOOKUP(GX6,IN_Zugliste!$A$4:$D$2002,5,FALSE),"")</f>
        <v/>
      </c>
      <c r="GY205" t="str">
        <f>+IFERROR(VLOOKUP(GY6,IN_Zugliste!$A$4:$D$2002,5,FALSE),"")</f>
        <v/>
      </c>
      <c r="GZ205" t="str">
        <f>+IFERROR(VLOOKUP(GZ6,IN_Zugliste!$A$4:$D$2002,5,FALSE),"")</f>
        <v/>
      </c>
      <c r="HA205" t="str">
        <f>+IFERROR(VLOOKUP(HA6,IN_Zugliste!$A$4:$D$2002,5,FALSE),"")</f>
        <v/>
      </c>
      <c r="HB205" t="str">
        <f>+IFERROR(VLOOKUP(HB6,IN_Zugliste!$A$4:$D$2002,5,FALSE),"")</f>
        <v/>
      </c>
      <c r="HC205" t="str">
        <f>+IFERROR(VLOOKUP(HC6,IN_Zugliste!$A$4:$D$2002,5,FALSE),"")</f>
        <v/>
      </c>
      <c r="HD205" t="str">
        <f>+IFERROR(VLOOKUP(HD6,IN_Zugliste!$A$4:$D$2002,5,FALSE),"")</f>
        <v/>
      </c>
      <c r="HE205" t="str">
        <f>+IFERROR(VLOOKUP(HE6,IN_Zugliste!$A$4:$D$2002,5,FALSE),"")</f>
        <v/>
      </c>
      <c r="HF205" t="str">
        <f>+IFERROR(VLOOKUP(HF6,IN_Zugliste!$A$4:$D$2002,5,FALSE),"")</f>
        <v/>
      </c>
      <c r="HG205" t="str">
        <f>+IFERROR(VLOOKUP(HG6,IN_Zugliste!$A$4:$D$2002,5,FALSE),"")</f>
        <v/>
      </c>
      <c r="HH205" t="str">
        <f>+IFERROR(VLOOKUP(HH6,IN_Zugliste!$A$4:$D$2002,5,FALSE),"")</f>
        <v/>
      </c>
      <c r="HI205" t="str">
        <f>+IFERROR(VLOOKUP(HI6,IN_Zugliste!$A$4:$D$2002,5,FALSE),"")</f>
        <v/>
      </c>
      <c r="HJ205" t="str">
        <f>+IFERROR(VLOOKUP(HJ6,IN_Zugliste!$A$4:$D$2002,5,FALSE),"")</f>
        <v/>
      </c>
      <c r="HK205" t="str">
        <f>+IFERROR(VLOOKUP(HK6,IN_Zugliste!$A$4:$D$2002,5,FALSE),"")</f>
        <v/>
      </c>
      <c r="HL205" t="str">
        <f>+IFERROR(VLOOKUP(HL6,IN_Zugliste!$A$4:$D$2002,5,FALSE),"")</f>
        <v/>
      </c>
      <c r="HM205" t="str">
        <f>+IFERROR(VLOOKUP(HM6,IN_Zugliste!$A$4:$D$2002,5,FALSE),"")</f>
        <v/>
      </c>
      <c r="HN205" t="str">
        <f>+IFERROR(VLOOKUP(HN6,IN_Zugliste!$A$4:$D$2002,5,FALSE),"")</f>
        <v/>
      </c>
      <c r="HO205" t="str">
        <f>+IFERROR(VLOOKUP(HO6,IN_Zugliste!$A$4:$D$2002,5,FALSE),"")</f>
        <v/>
      </c>
      <c r="HP205" t="str">
        <f>+IFERROR(VLOOKUP(HP6,IN_Zugliste!$A$4:$D$2002,5,FALSE),"")</f>
        <v/>
      </c>
      <c r="HQ205" t="str">
        <f>+IFERROR(VLOOKUP(HQ6,IN_Zugliste!$A$4:$D$2002,5,FALSE),"")</f>
        <v/>
      </c>
      <c r="HR205" t="str">
        <f>+IFERROR(VLOOKUP(HR6,IN_Zugliste!$A$4:$D$2002,5,FALSE),"")</f>
        <v/>
      </c>
      <c r="HS205" t="str">
        <f>+IFERROR(VLOOKUP(HS6,IN_Zugliste!$A$4:$D$2002,5,FALSE),"")</f>
        <v/>
      </c>
      <c r="HT205" t="str">
        <f>+IFERROR(VLOOKUP(HT6,IN_Zugliste!$A$4:$D$2002,5,FALSE),"")</f>
        <v/>
      </c>
      <c r="HU205" t="str">
        <f>+IFERROR(VLOOKUP(HU6,IN_Zugliste!$A$4:$D$2002,5,FALSE),"")</f>
        <v/>
      </c>
      <c r="HV205" t="str">
        <f>+IFERROR(VLOOKUP(HV6,IN_Zugliste!$A$4:$D$2002,5,FALSE),"")</f>
        <v/>
      </c>
      <c r="HW205" t="str">
        <f>+IFERROR(VLOOKUP(HW6,IN_Zugliste!$A$4:$D$2002,5,FALSE),"")</f>
        <v/>
      </c>
      <c r="HX205" t="str">
        <f>+IFERROR(VLOOKUP(HX6,IN_Zugliste!$A$4:$D$2002,5,FALSE),"")</f>
        <v/>
      </c>
      <c r="HY205" t="str">
        <f>+IFERROR(VLOOKUP(HY6,IN_Zugliste!$A$4:$D$2002,5,FALSE),"")</f>
        <v/>
      </c>
      <c r="HZ205" t="str">
        <f>+IFERROR(VLOOKUP(HZ6,IN_Zugliste!$A$4:$D$2002,5,FALSE),"")</f>
        <v/>
      </c>
      <c r="IA205" t="str">
        <f>+IFERROR(VLOOKUP(IA6,IN_Zugliste!$A$4:$D$2002,5,FALSE),"")</f>
        <v/>
      </c>
      <c r="IB205" t="str">
        <f>+IFERROR(VLOOKUP(IB6,IN_Zugliste!$A$4:$D$2002,5,FALSE),"")</f>
        <v/>
      </c>
      <c r="IC205" t="str">
        <f>+IFERROR(VLOOKUP(IC6,IN_Zugliste!$A$4:$D$2002,5,FALSE),"")</f>
        <v/>
      </c>
      <c r="ID205" t="str">
        <f>+IFERROR(VLOOKUP(ID6,IN_Zugliste!$A$4:$D$2002,5,FALSE),"")</f>
        <v/>
      </c>
      <c r="IE205" t="str">
        <f>+IFERROR(VLOOKUP(IE6,IN_Zugliste!$A$4:$D$2002,5,FALSE),"")</f>
        <v/>
      </c>
      <c r="IF205" t="str">
        <f>+IFERROR(VLOOKUP(IF6,IN_Zugliste!$A$4:$D$2002,5,FALSE),"")</f>
        <v/>
      </c>
      <c r="IG205" t="str">
        <f>+IFERROR(VLOOKUP(IG6,IN_Zugliste!$A$4:$D$2002,5,FALSE),"")</f>
        <v/>
      </c>
      <c r="IH205" t="str">
        <f>+IFERROR(VLOOKUP(IH6,IN_Zugliste!$A$4:$D$2002,5,FALSE),"")</f>
        <v/>
      </c>
      <c r="II205" t="str">
        <f>+IFERROR(VLOOKUP(II6,IN_Zugliste!$A$4:$D$2002,5,FALSE),"")</f>
        <v/>
      </c>
      <c r="IJ205" t="str">
        <f>+IFERROR(VLOOKUP(IJ6,IN_Zugliste!$A$4:$D$2002,5,FALSE),"")</f>
        <v/>
      </c>
      <c r="IK205" t="str">
        <f>+IFERROR(VLOOKUP(IK6,IN_Zugliste!$A$4:$D$2002,5,FALSE),"")</f>
        <v/>
      </c>
      <c r="IL205" t="str">
        <f>+IFERROR(VLOOKUP(IL6,IN_Zugliste!$A$4:$D$2002,5,FALSE),"")</f>
        <v/>
      </c>
      <c r="IM205" t="str">
        <f>+IFERROR(VLOOKUP(IM6,IN_Zugliste!$A$4:$D$2002,5,FALSE),"")</f>
        <v/>
      </c>
      <c r="IN205" t="str">
        <f>+IFERROR(VLOOKUP(IN6,IN_Zugliste!$A$4:$D$2002,5,FALSE),"")</f>
        <v/>
      </c>
    </row>
    <row r="206" spans="1:248" x14ac:dyDescent="0.2">
      <c r="A206" t="str">
        <f>+IFERROR(VLOOKUP(A7,IN_Zugliste!$A$4:$E$2002,5,FALSE),"")</f>
        <v>Nein</v>
      </c>
      <c r="B206" t="str">
        <f>+IFERROR(VLOOKUP(B7,IN_Zugliste!$A$4:$E$2002,5,FALSE),"")</f>
        <v>Nein</v>
      </c>
      <c r="C206" t="str">
        <f>+IFERROR(VLOOKUP(C7,IN_Zugliste!$A$4:$E$2002,5,FALSE),"")</f>
        <v>Nein</v>
      </c>
      <c r="D206" t="str">
        <f>+IFERROR(VLOOKUP(D7,IN_Zugliste!$A$4:$E$2002,5,FALSE),"")</f>
        <v>Nein</v>
      </c>
      <c r="E206" t="str">
        <f>+IFERROR(VLOOKUP(E7,IN_Zugliste!$A$4:$E$2002,5,FALSE),"")</f>
        <v>Nein</v>
      </c>
      <c r="F206" t="str">
        <f>+IFERROR(VLOOKUP(F7,IN_Zugliste!$A$4:$E$2002,5,FALSE),"")</f>
        <v>Nein</v>
      </c>
      <c r="G206" t="str">
        <f>+IFERROR(VLOOKUP(G7,IN_Zugliste!$A$4:$E$2002,5,FALSE),"")</f>
        <v>Nein</v>
      </c>
      <c r="H206" t="str">
        <f>+IFERROR(VLOOKUP(H7,IN_Zugliste!$A$4:$E$2002,5,FALSE),"")</f>
        <v>Nein</v>
      </c>
      <c r="I206" t="str">
        <f>+IFERROR(VLOOKUP(I7,IN_Zugliste!$A$4:$E$2002,5,FALSE),"")</f>
        <v>Nein</v>
      </c>
      <c r="J206" t="str">
        <f>+IFERROR(VLOOKUP(J7,IN_Zugliste!$A$4:$E$2002,5,FALSE),"")</f>
        <v>Nein</v>
      </c>
      <c r="K206" t="str">
        <f>+IFERROR(VLOOKUP(K7,IN_Zugliste!$A$4:$E$2002,5,FALSE),"")</f>
        <v>Nein</v>
      </c>
      <c r="L206" t="str">
        <f>+IFERROR(VLOOKUP(L7,IN_Zugliste!$A$4:$E$2002,5,FALSE),"")</f>
        <v/>
      </c>
      <c r="M206" t="str">
        <f>+IFERROR(VLOOKUP(M7,IN_Zugliste!$A$4:$E$2002,5,FALSE),"")</f>
        <v>Nein</v>
      </c>
      <c r="N206" t="str">
        <f>+IFERROR(VLOOKUP(N7,IN_Zugliste!$A$4:$E$2002,5,FALSE),"")</f>
        <v>Nein</v>
      </c>
      <c r="O206" t="str">
        <f>+IFERROR(VLOOKUP(O7,IN_Zugliste!$A$4:$E$2002,5,FALSE),"")</f>
        <v>Nein</v>
      </c>
      <c r="P206" t="str">
        <f>+IFERROR(VLOOKUP(P7,IN_Zugliste!$A$4:$E$2002,5,FALSE),"")</f>
        <v>Nein</v>
      </c>
      <c r="Q206" t="str">
        <f>+IFERROR(VLOOKUP(Q7,IN_Zugliste!$A$4:$E$2002,5,FALSE),"")</f>
        <v>Nein</v>
      </c>
      <c r="R206" t="str">
        <f>+IFERROR(VLOOKUP(R7,IN_Zugliste!$A$4:$E$2002,5,FALSE),"")</f>
        <v/>
      </c>
      <c r="S206" t="str">
        <f>+IFERROR(VLOOKUP(S7,IN_Zugliste!$A$4:$E$2002,5,FALSE),"")</f>
        <v/>
      </c>
      <c r="T206" t="str">
        <f>+IFERROR(VLOOKUP(T7,IN_Zugliste!$A$4:$E$2002,5,FALSE),"")</f>
        <v>Nein</v>
      </c>
      <c r="U206" t="str">
        <f>+IFERROR(VLOOKUP(U7,IN_Zugliste!$A$4:$E$2002,5,FALSE),"")</f>
        <v/>
      </c>
      <c r="V206" t="str">
        <f>+IFERROR(VLOOKUP(V7,IN_Zugliste!$A$4:$E$2002,5,FALSE),"")</f>
        <v>Nein</v>
      </c>
      <c r="W206" t="str">
        <f>+IFERROR(VLOOKUP(W7,IN_Zugliste!$A$4:$E$2002,5,FALSE),"")</f>
        <v>Nein</v>
      </c>
      <c r="X206" t="str">
        <f>+IFERROR(VLOOKUP(X7,IN_Zugliste!$A$4:$E$2002,5,FALSE),"")</f>
        <v>Nein</v>
      </c>
      <c r="Y206" t="str">
        <f>+IFERROR(VLOOKUP(Y7,IN_Zugliste!$A$4:$E$2002,5,FALSE),"")</f>
        <v/>
      </c>
      <c r="Z206" t="str">
        <f>+IFERROR(VLOOKUP(Z7,IN_Zugliste!$A$4:$E$2002,5,FALSE),"")</f>
        <v>Nein</v>
      </c>
      <c r="AA206" t="str">
        <f>+IFERROR(VLOOKUP(AA7,IN_Zugliste!$A$4:$E$2002,5,FALSE),"")</f>
        <v>Nein</v>
      </c>
      <c r="AB206" t="str">
        <f>+IFERROR(VLOOKUP(AB7,IN_Zugliste!$A$4:$E$2002,5,FALSE),"")</f>
        <v>Nein</v>
      </c>
      <c r="AC206" t="str">
        <f>+IFERROR(VLOOKUP(AC7,IN_Zugliste!$A$4:$E$2002,5,FALSE),"")</f>
        <v/>
      </c>
      <c r="AD206" t="str">
        <f>+IFERROR(VLOOKUP(AD7,IN_Zugliste!$A$4:$E$2002,5,FALSE),"")</f>
        <v/>
      </c>
      <c r="AE206" t="str">
        <f>+IFERROR(VLOOKUP(AE7,IN_Zugliste!$A$4:$E$2002,5,FALSE),"")</f>
        <v>Nein</v>
      </c>
      <c r="AF206" t="str">
        <f>+IFERROR(VLOOKUP(AF7,IN_Zugliste!$A$4:$E$2002,5,FALSE),"")</f>
        <v>Nein</v>
      </c>
      <c r="AG206" t="str">
        <f>+IFERROR(VLOOKUP(AG7,IN_Zugliste!$A$4:$E$2002,5,FALSE),"")</f>
        <v>Nein</v>
      </c>
      <c r="AH206" t="str">
        <f>+IFERROR(VLOOKUP(AH7,IN_Zugliste!$A$4:$E$2002,5,FALSE),"")</f>
        <v/>
      </c>
      <c r="AI206" t="str">
        <f>+IFERROR(VLOOKUP(AI7,IN_Zugliste!$A$4:$E$2002,5,FALSE),"")</f>
        <v>Nein</v>
      </c>
      <c r="AJ206" t="str">
        <f>+IFERROR(VLOOKUP(AJ7,IN_Zugliste!$A$4:$E$2002,5,FALSE),"")</f>
        <v>Nein</v>
      </c>
      <c r="AK206" t="str">
        <f>+IFERROR(VLOOKUP(AK7,IN_Zugliste!$A$4:$E$2002,5,FALSE),"")</f>
        <v/>
      </c>
      <c r="AL206" t="str">
        <f>+IFERROR(VLOOKUP(AL7,IN_Zugliste!$A$4:$E$2002,5,FALSE),"")</f>
        <v>Nein</v>
      </c>
      <c r="AM206" t="str">
        <f>+IFERROR(VLOOKUP(AM7,IN_Zugliste!$A$4:$E$2002,5,FALSE),"")</f>
        <v/>
      </c>
      <c r="AN206" t="str">
        <f>+IFERROR(VLOOKUP(AN7,IN_Zugliste!$A$4:$E$2002,5,FALSE),"")</f>
        <v>Nein</v>
      </c>
      <c r="AO206" t="str">
        <f>+IFERROR(VLOOKUP(AO7,IN_Zugliste!$A$4:$E$2002,5,FALSE),"")</f>
        <v/>
      </c>
      <c r="AP206" t="str">
        <f>+IFERROR(VLOOKUP(AP7,IN_Zugliste!$A$4:$E$2002,5,FALSE),"")</f>
        <v/>
      </c>
      <c r="AQ206" t="str">
        <f>+IFERROR(VLOOKUP(AQ7,IN_Zugliste!$A$4:$E$2002,5,FALSE),"")</f>
        <v/>
      </c>
      <c r="AR206" t="str">
        <f>+IFERROR(VLOOKUP(AR7,IN_Zugliste!$A$4:$E$2002,5,FALSE),"")</f>
        <v/>
      </c>
      <c r="AS206" t="str">
        <f>+IFERROR(VLOOKUP(AS7,IN_Zugliste!$A$4:$E$2002,5,FALSE),"")</f>
        <v/>
      </c>
      <c r="AT206" t="str">
        <f>+IFERROR(VLOOKUP(AT7,IN_Zugliste!$A$4:$E$2002,5,FALSE),"")</f>
        <v/>
      </c>
      <c r="AU206" t="str">
        <f>+IFERROR(VLOOKUP(AU7,IN_Zugliste!$A$4:$E$2002,5,FALSE),"")</f>
        <v/>
      </c>
      <c r="AV206" t="str">
        <f>+IFERROR(VLOOKUP(AV7,IN_Zugliste!$A$4:$E$2002,5,FALSE),"")</f>
        <v/>
      </c>
      <c r="AW206" t="str">
        <f>+IFERROR(VLOOKUP(AW7,IN_Zugliste!$A$4:$E$2002,5,FALSE),"")</f>
        <v/>
      </c>
      <c r="AX206" t="str">
        <f>+IFERROR(VLOOKUP(AX7,IN_Zugliste!$A$4:$E$2002,5,FALSE),"")</f>
        <v/>
      </c>
      <c r="AY206" t="str">
        <f>+IFERROR(VLOOKUP(AY7,IN_Zugliste!$A$4:$E$2002,5,FALSE),"")</f>
        <v/>
      </c>
      <c r="AZ206" t="str">
        <f>+IFERROR(VLOOKUP(AZ7,IN_Zugliste!$A$4:$E$2002,5,FALSE),"")</f>
        <v/>
      </c>
      <c r="BA206" t="str">
        <f>+IFERROR(VLOOKUP(BA7,IN_Zugliste!$A$4:$E$2002,5,FALSE),"")</f>
        <v/>
      </c>
      <c r="BB206" t="str">
        <f>+IFERROR(VLOOKUP(BB7,IN_Zugliste!$A$4:$E$2002,5,FALSE),"")</f>
        <v/>
      </c>
      <c r="BC206" t="str">
        <f>+IFERROR(VLOOKUP(BC7,IN_Zugliste!$A$4:$E$2002,5,FALSE),"")</f>
        <v/>
      </c>
      <c r="BD206" t="str">
        <f>+IFERROR(VLOOKUP(BD7,IN_Zugliste!$A$4:$E$2002,5,FALSE),"")</f>
        <v/>
      </c>
      <c r="BE206" t="str">
        <f>+IFERROR(VLOOKUP(BE7,IN_Zugliste!$A$4:$E$2002,5,FALSE),"")</f>
        <v/>
      </c>
      <c r="BF206" t="str">
        <f>+IFERROR(VLOOKUP(BF7,IN_Zugliste!$A$4:$E$2002,5,FALSE),"")</f>
        <v/>
      </c>
      <c r="BG206" t="str">
        <f>+IFERROR(VLOOKUP(BG7,IN_Zugliste!$A$4:$E$2002,5,FALSE),"")</f>
        <v/>
      </c>
      <c r="BH206" t="str">
        <f>+IFERROR(VLOOKUP(BH7,IN_Zugliste!$A$4:$E$2002,5,FALSE),"")</f>
        <v/>
      </c>
      <c r="BI206" t="str">
        <f>+IFERROR(VLOOKUP(BI7,IN_Zugliste!$A$4:$E$2002,5,FALSE),"")</f>
        <v/>
      </c>
      <c r="BJ206" t="str">
        <f>+IFERROR(VLOOKUP(BJ7,IN_Zugliste!$A$4:$E$2002,5,FALSE),"")</f>
        <v/>
      </c>
      <c r="BK206" t="str">
        <f>+IFERROR(VLOOKUP(BK7,IN_Zugliste!$A$4:$E$2002,5,FALSE),"")</f>
        <v/>
      </c>
      <c r="BL206" t="str">
        <f>+IFERROR(VLOOKUP(BL7,IN_Zugliste!$A$4:$E$2002,5,FALSE),"")</f>
        <v/>
      </c>
      <c r="BM206" t="str">
        <f>+IFERROR(VLOOKUP(BM7,IN_Zugliste!$A$4:$E$2002,5,FALSE),"")</f>
        <v/>
      </c>
      <c r="BN206" t="str">
        <f>+IFERROR(VLOOKUP(BN7,IN_Zugliste!$A$4:$E$2002,5,FALSE),"")</f>
        <v/>
      </c>
      <c r="BO206" t="str">
        <f>+IFERROR(VLOOKUP(BO7,IN_Zugliste!$A$4:$E$2002,5,FALSE),"")</f>
        <v/>
      </c>
      <c r="BP206" t="str">
        <f>+IFERROR(VLOOKUP(BP7,IN_Zugliste!$A$4:$E$2002,5,FALSE),"")</f>
        <v/>
      </c>
      <c r="BQ206" t="str">
        <f>+IFERROR(VLOOKUP(BQ7,IN_Zugliste!$A$4:$E$2002,5,FALSE),"")</f>
        <v/>
      </c>
      <c r="BR206" t="str">
        <f>+IFERROR(VLOOKUP(BR7,IN_Zugliste!$A$4:$E$2002,5,FALSE),"")</f>
        <v/>
      </c>
      <c r="BS206" t="str">
        <f>+IFERROR(VLOOKUP(BS7,IN_Zugliste!$A$4:$E$2002,5,FALSE),"")</f>
        <v/>
      </c>
      <c r="BT206" t="str">
        <f>+IFERROR(VLOOKUP(BT7,IN_Zugliste!$A$4:$E$2002,5,FALSE),"")</f>
        <v/>
      </c>
      <c r="BU206" t="str">
        <f>+IFERROR(VLOOKUP(BU7,IN_Zugliste!$A$4:$E$2002,5,FALSE),"")</f>
        <v/>
      </c>
      <c r="BV206" t="str">
        <f>+IFERROR(VLOOKUP(BV7,IN_Zugliste!$A$4:$E$2002,5,FALSE),"")</f>
        <v/>
      </c>
      <c r="BW206" t="str">
        <f>+IFERROR(VLOOKUP(BW7,IN_Zugliste!$A$4:$E$2002,5,FALSE),"")</f>
        <v/>
      </c>
      <c r="BX206" t="str">
        <f>+IFERROR(VLOOKUP(BX7,IN_Zugliste!$A$4:$E$2002,5,FALSE),"")</f>
        <v/>
      </c>
      <c r="BY206" t="str">
        <f>+IFERROR(VLOOKUP(BY7,IN_Zugliste!$A$4:$E$2002,5,FALSE),"")</f>
        <v/>
      </c>
      <c r="BZ206" t="str">
        <f>+IFERROR(VLOOKUP(BZ7,IN_Zugliste!$A$4:$E$2002,5,FALSE),"")</f>
        <v/>
      </c>
      <c r="CA206" t="str">
        <f>+IFERROR(VLOOKUP(CA7,IN_Zugliste!$A$4:$E$2002,5,FALSE),"")</f>
        <v/>
      </c>
      <c r="CB206" t="str">
        <f>+IFERROR(VLOOKUP(CB7,IN_Zugliste!$A$4:$E$2002,5,FALSE),"")</f>
        <v/>
      </c>
      <c r="CC206" t="str">
        <f>+IFERROR(VLOOKUP(CC7,IN_Zugliste!$A$4:$E$2002,5,FALSE),"")</f>
        <v/>
      </c>
      <c r="CD206" t="str">
        <f>+IFERROR(VLOOKUP(CD7,IN_Zugliste!$A$4:$E$2002,5,FALSE),"")</f>
        <v/>
      </c>
      <c r="CE206" t="str">
        <f>+IFERROR(VLOOKUP(CE7,IN_Zugliste!$A$4:$E$2002,5,FALSE),"")</f>
        <v/>
      </c>
      <c r="CF206" t="str">
        <f>+IFERROR(VLOOKUP(CF7,IN_Zugliste!$A$4:$E$2002,5,FALSE),"")</f>
        <v/>
      </c>
      <c r="CG206" t="str">
        <f>+IFERROR(VLOOKUP(CG7,IN_Zugliste!$A$4:$E$2002,5,FALSE),"")</f>
        <v/>
      </c>
      <c r="CH206" t="str">
        <f>+IFERROR(VLOOKUP(CH7,IN_Zugliste!$A$4:$E$2002,5,FALSE),"")</f>
        <v/>
      </c>
      <c r="CI206" t="str">
        <f>+IFERROR(VLOOKUP(CI7,IN_Zugliste!$A$4:$E$2002,5,FALSE),"")</f>
        <v/>
      </c>
      <c r="CJ206" t="str">
        <f>+IFERROR(VLOOKUP(CJ7,IN_Zugliste!$A$4:$E$2002,5,FALSE),"")</f>
        <v/>
      </c>
      <c r="CK206" t="str">
        <f>+IFERROR(VLOOKUP(CK7,IN_Zugliste!$A$4:$E$2002,5,FALSE),"")</f>
        <v/>
      </c>
      <c r="CL206" t="str">
        <f>+IFERROR(VLOOKUP(CL7,IN_Zugliste!$A$4:$E$2002,5,FALSE),"")</f>
        <v/>
      </c>
      <c r="CM206" t="str">
        <f>+IFERROR(VLOOKUP(CM7,IN_Zugliste!$A$4:$E$2002,5,FALSE),"")</f>
        <v/>
      </c>
      <c r="CN206" t="str">
        <f>+IFERROR(VLOOKUP(CN7,IN_Zugliste!$A$4:$E$2002,5,FALSE),"")</f>
        <v/>
      </c>
      <c r="CO206" t="str">
        <f>+IFERROR(VLOOKUP(CO7,IN_Zugliste!$A$4:$E$2002,5,FALSE),"")</f>
        <v/>
      </c>
      <c r="CP206" t="str">
        <f>+IFERROR(VLOOKUP(CP7,IN_Zugliste!$A$4:$E$2002,5,FALSE),"")</f>
        <v/>
      </c>
      <c r="CQ206" t="str">
        <f>+IFERROR(VLOOKUP(CQ7,IN_Zugliste!$A$4:$E$2002,5,FALSE),"")</f>
        <v/>
      </c>
      <c r="CR206" t="str">
        <f>+IFERROR(VLOOKUP(CR7,IN_Zugliste!$A$4:$E$2002,5,FALSE),"")</f>
        <v/>
      </c>
      <c r="CS206" t="str">
        <f>+IFERROR(VLOOKUP(CS7,IN_Zugliste!$A$4:$E$2002,5,FALSE),"")</f>
        <v/>
      </c>
      <c r="CT206" t="str">
        <f>+IFERROR(VLOOKUP(CT7,IN_Zugliste!$A$4:$E$2002,5,FALSE),"")</f>
        <v/>
      </c>
      <c r="CU206" t="str">
        <f>+IFERROR(VLOOKUP(CU7,IN_Zugliste!$A$4:$E$2002,5,FALSE),"")</f>
        <v/>
      </c>
      <c r="CV206" t="str">
        <f>+IFERROR(VLOOKUP(CV7,IN_Zugliste!$A$4:$E$2002,5,FALSE),"")</f>
        <v/>
      </c>
      <c r="CW206" t="str">
        <f>+IFERROR(VLOOKUP(CW7,IN_Zugliste!$A$4:$E$2002,5,FALSE),"")</f>
        <v/>
      </c>
      <c r="CX206" t="str">
        <f>+IFERROR(VLOOKUP(CX7,IN_Zugliste!$A$4:$E$2002,5,FALSE),"")</f>
        <v/>
      </c>
      <c r="CY206" t="str">
        <f>+IFERROR(VLOOKUP(CY7,IN_Zugliste!$A$4:$E$2002,5,FALSE),"")</f>
        <v/>
      </c>
      <c r="CZ206" t="str">
        <f>+IFERROR(VLOOKUP(CZ7,IN_Zugliste!$A$4:$E$2002,5,FALSE),"")</f>
        <v/>
      </c>
      <c r="DA206" t="str">
        <f>+IFERROR(VLOOKUP(DA7,IN_Zugliste!$A$4:$E$2002,5,FALSE),"")</f>
        <v/>
      </c>
      <c r="DB206" t="str">
        <f>+IFERROR(VLOOKUP(DB7,IN_Zugliste!$A$4:$E$2002,5,FALSE),"")</f>
        <v/>
      </c>
      <c r="DC206" t="str">
        <f>+IFERROR(VLOOKUP(DC7,IN_Zugliste!$A$4:$E$2002,5,FALSE),"")</f>
        <v/>
      </c>
      <c r="DD206" t="str">
        <f>+IFERROR(VLOOKUP(DD7,IN_Zugliste!$A$4:$E$2002,5,FALSE),"")</f>
        <v/>
      </c>
      <c r="DE206" t="str">
        <f>+IFERROR(VLOOKUP(DE7,IN_Zugliste!$A$4:$E$2002,5,FALSE),"")</f>
        <v/>
      </c>
      <c r="DF206" t="str">
        <f>+IFERROR(VLOOKUP(DF7,IN_Zugliste!$A$4:$E$2002,5,FALSE),"")</f>
        <v/>
      </c>
      <c r="DG206" t="str">
        <f>+IFERROR(VLOOKUP(DG7,IN_Zugliste!$A$4:$E$2002,5,FALSE),"")</f>
        <v/>
      </c>
      <c r="DH206" t="str">
        <f>+IFERROR(VLOOKUP(DH7,IN_Zugliste!$A$4:$E$2002,5,FALSE),"")</f>
        <v/>
      </c>
      <c r="DI206" t="str">
        <f>+IFERROR(VLOOKUP(DI7,IN_Zugliste!$A$4:$E$2002,5,FALSE),"")</f>
        <v/>
      </c>
      <c r="DJ206" t="str">
        <f>+IFERROR(VLOOKUP(DJ7,IN_Zugliste!$A$4:$E$2002,5,FALSE),"")</f>
        <v/>
      </c>
      <c r="DK206" t="str">
        <f>+IFERROR(VLOOKUP(DK7,IN_Zugliste!$A$4:$E$2002,5,FALSE),"")</f>
        <v/>
      </c>
      <c r="DL206" t="str">
        <f>+IFERROR(VLOOKUP(DL7,IN_Zugliste!$A$4:$E$2002,5,FALSE),"")</f>
        <v/>
      </c>
      <c r="DM206" t="str">
        <f>+IFERROR(VLOOKUP(DM7,IN_Zugliste!$A$4:$E$2002,5,FALSE),"")</f>
        <v/>
      </c>
      <c r="DN206" t="str">
        <f>+IFERROR(VLOOKUP(DN7,IN_Zugliste!$A$4:$E$2002,5,FALSE),"")</f>
        <v/>
      </c>
      <c r="DO206" t="str">
        <f>+IFERROR(VLOOKUP(DO7,IN_Zugliste!$A$4:$E$2002,5,FALSE),"")</f>
        <v/>
      </c>
      <c r="DP206" t="str">
        <f>+IFERROR(VLOOKUP(DP7,IN_Zugliste!$A$4:$E$2002,5,FALSE),"")</f>
        <v/>
      </c>
      <c r="DQ206" t="str">
        <f>+IFERROR(VLOOKUP(DQ7,IN_Zugliste!$A$4:$E$2002,5,FALSE),"")</f>
        <v/>
      </c>
      <c r="DR206" t="str">
        <f>+IFERROR(VLOOKUP(DR7,IN_Zugliste!$A$4:$E$2002,5,FALSE),"")</f>
        <v/>
      </c>
      <c r="DS206" t="str">
        <f>+IFERROR(VLOOKUP(DS7,IN_Zugliste!$A$4:$E$2002,5,FALSE),"")</f>
        <v/>
      </c>
      <c r="DT206" t="str">
        <f>+IFERROR(VLOOKUP(DT7,IN_Zugliste!$A$4:$E$2002,5,FALSE),"")</f>
        <v/>
      </c>
      <c r="DU206" t="str">
        <f>+IFERROR(VLOOKUP(DU7,IN_Zugliste!$A$4:$E$2002,5,FALSE),"")</f>
        <v/>
      </c>
      <c r="DV206" t="str">
        <f>+IFERROR(VLOOKUP(DV7,IN_Zugliste!$A$4:$E$2002,5,FALSE),"")</f>
        <v/>
      </c>
      <c r="DW206" t="str">
        <f>+IFERROR(VLOOKUP(DW7,IN_Zugliste!$A$4:$E$2002,5,FALSE),"")</f>
        <v/>
      </c>
      <c r="DX206" t="str">
        <f>+IFERROR(VLOOKUP(DX7,IN_Zugliste!$A$4:$E$2002,5,FALSE),"")</f>
        <v/>
      </c>
      <c r="DY206" t="str">
        <f>+IFERROR(VLOOKUP(DY7,IN_Zugliste!$A$4:$E$2002,5,FALSE),"")</f>
        <v/>
      </c>
      <c r="DZ206" t="str">
        <f>+IFERROR(VLOOKUP(DZ7,IN_Zugliste!$A$4:$E$2002,5,FALSE),"")</f>
        <v/>
      </c>
      <c r="EA206" t="str">
        <f>+IFERROR(VLOOKUP(EA7,IN_Zugliste!$A$4:$E$2002,5,FALSE),"")</f>
        <v/>
      </c>
      <c r="EB206" t="str">
        <f>+IFERROR(VLOOKUP(EB7,IN_Zugliste!$A$4:$E$2002,5,FALSE),"")</f>
        <v/>
      </c>
      <c r="EC206" t="str">
        <f>+IFERROR(VLOOKUP(EC7,IN_Zugliste!$A$4:$E$2002,5,FALSE),"")</f>
        <v/>
      </c>
      <c r="ED206" t="str">
        <f>+IFERROR(VLOOKUP(ED7,IN_Zugliste!$A$4:$E$2002,5,FALSE),"")</f>
        <v/>
      </c>
      <c r="EE206" t="str">
        <f>+IFERROR(VLOOKUP(EE7,IN_Zugliste!$A$4:$E$2002,5,FALSE),"")</f>
        <v/>
      </c>
      <c r="EF206" t="str">
        <f>+IFERROR(VLOOKUP(EF7,IN_Zugliste!$A$4:$E$2002,5,FALSE),"")</f>
        <v/>
      </c>
      <c r="EG206" t="str">
        <f>+IFERROR(VLOOKUP(EG7,IN_Zugliste!$A$4:$E$2002,5,FALSE),"")</f>
        <v/>
      </c>
      <c r="EH206" t="str">
        <f>+IFERROR(VLOOKUP(EH7,IN_Zugliste!$A$4:$E$2002,5,FALSE),"")</f>
        <v/>
      </c>
      <c r="EI206" t="str">
        <f>+IFERROR(VLOOKUP(EI7,IN_Zugliste!$A$4:$E$2002,5,FALSE),"")</f>
        <v/>
      </c>
      <c r="EJ206" t="str">
        <f>+IFERROR(VLOOKUP(EJ7,IN_Zugliste!$A$4:$E$2002,5,FALSE),"")</f>
        <v/>
      </c>
      <c r="EK206" t="str">
        <f>+IFERROR(VLOOKUP(EK7,IN_Zugliste!$A$4:$E$2002,5,FALSE),"")</f>
        <v/>
      </c>
      <c r="EL206" t="str">
        <f>+IFERROR(VLOOKUP(EL7,IN_Zugliste!$A$4:$E$2002,5,FALSE),"")</f>
        <v/>
      </c>
      <c r="EM206" t="str">
        <f>+IFERROR(VLOOKUP(EM7,IN_Zugliste!$A$4:$E$2002,5,FALSE),"")</f>
        <v/>
      </c>
      <c r="EN206" t="str">
        <f>+IFERROR(VLOOKUP(EN7,IN_Zugliste!$A$4:$E$2002,5,FALSE),"")</f>
        <v/>
      </c>
      <c r="EO206" t="str">
        <f>+IFERROR(VLOOKUP(EO7,IN_Zugliste!$A$4:$E$2002,5,FALSE),"")</f>
        <v/>
      </c>
      <c r="EP206" t="str">
        <f>+IFERROR(VLOOKUP(EP7,IN_Zugliste!$A$4:$E$2002,5,FALSE),"")</f>
        <v/>
      </c>
      <c r="EQ206" t="str">
        <f>+IFERROR(VLOOKUP(EQ7,IN_Zugliste!$A$4:$E$2002,5,FALSE),"")</f>
        <v/>
      </c>
      <c r="ER206" t="str">
        <f>+IFERROR(VLOOKUP(ER7,IN_Zugliste!$A$4:$E$2002,5,FALSE),"")</f>
        <v/>
      </c>
      <c r="ES206" t="str">
        <f>+IFERROR(VLOOKUP(ES7,IN_Zugliste!$A$4:$E$2002,5,FALSE),"")</f>
        <v/>
      </c>
      <c r="ET206" t="str">
        <f>+IFERROR(VLOOKUP(ET7,IN_Zugliste!$A$4:$E$2002,5,FALSE),"")</f>
        <v/>
      </c>
      <c r="EU206" t="str">
        <f>+IFERROR(VLOOKUP(EU7,IN_Zugliste!$A$4:$E$2002,5,FALSE),"")</f>
        <v/>
      </c>
      <c r="EV206" t="str">
        <f>+IFERROR(VLOOKUP(EV7,IN_Zugliste!$A$4:$E$2002,5,FALSE),"")</f>
        <v/>
      </c>
      <c r="EW206" t="str">
        <f>+IFERROR(VLOOKUP(EW7,IN_Zugliste!$A$4:$E$2002,5,FALSE),"")</f>
        <v/>
      </c>
      <c r="EX206" t="str">
        <f>+IFERROR(VLOOKUP(EX7,IN_Zugliste!$A$4:$E$2002,5,FALSE),"")</f>
        <v/>
      </c>
      <c r="EY206" t="str">
        <f>+IFERROR(VLOOKUP(EY7,IN_Zugliste!$A$4:$E$2002,5,FALSE),"")</f>
        <v/>
      </c>
      <c r="EZ206" t="str">
        <f>+IFERROR(VLOOKUP(EZ7,IN_Zugliste!$A$4:$E$2002,5,FALSE),"")</f>
        <v/>
      </c>
      <c r="FA206" t="str">
        <f>+IFERROR(VLOOKUP(FA7,IN_Zugliste!$A$4:$E$2002,5,FALSE),"")</f>
        <v/>
      </c>
      <c r="FB206" t="str">
        <f>+IFERROR(VLOOKUP(FB7,IN_Zugliste!$A$4:$E$2002,5,FALSE),"")</f>
        <v/>
      </c>
      <c r="FC206" t="str">
        <f>+IFERROR(VLOOKUP(FC7,IN_Zugliste!$A$4:$E$2002,5,FALSE),"")</f>
        <v/>
      </c>
      <c r="FD206" t="str">
        <f>+IFERROR(VLOOKUP(FD7,IN_Zugliste!$A$4:$E$2002,5,FALSE),"")</f>
        <v/>
      </c>
      <c r="FE206" t="str">
        <f>+IFERROR(VLOOKUP(FE7,IN_Zugliste!$A$4:$E$2002,5,FALSE),"")</f>
        <v/>
      </c>
      <c r="FF206" t="str">
        <f>+IFERROR(VLOOKUP(FF7,IN_Zugliste!$A$4:$E$2002,5,FALSE),"")</f>
        <v/>
      </c>
      <c r="FG206" t="str">
        <f>+IFERROR(VLOOKUP(FG7,IN_Zugliste!$A$4:$E$2002,5,FALSE),"")</f>
        <v/>
      </c>
      <c r="FH206" t="str">
        <f>+IFERROR(VLOOKUP(FH7,IN_Zugliste!$A$4:$E$2002,5,FALSE),"")</f>
        <v/>
      </c>
      <c r="FI206" t="str">
        <f>+IFERROR(VLOOKUP(FI7,IN_Zugliste!$A$4:$E$2002,5,FALSE),"")</f>
        <v/>
      </c>
      <c r="FJ206" t="str">
        <f>+IFERROR(VLOOKUP(FJ7,IN_Zugliste!$A$4:$E$2002,5,FALSE),"")</f>
        <v/>
      </c>
      <c r="FK206" t="str">
        <f>+IFERROR(VLOOKUP(FK7,IN_Zugliste!$A$4:$E$2002,5,FALSE),"")</f>
        <v/>
      </c>
      <c r="FL206" t="str">
        <f>+IFERROR(VLOOKUP(FL7,IN_Zugliste!$A$4:$E$2002,5,FALSE),"")</f>
        <v/>
      </c>
      <c r="FM206" t="str">
        <f>+IFERROR(VLOOKUP(FM7,IN_Zugliste!$A$4:$D$2002,5,FALSE),"")</f>
        <v/>
      </c>
      <c r="FN206" t="str">
        <f>+IFERROR(VLOOKUP(FN7,IN_Zugliste!$A$4:$D$2002,5,FALSE),"")</f>
        <v/>
      </c>
      <c r="FO206" t="str">
        <f>+IFERROR(VLOOKUP(FO7,IN_Zugliste!$A$4:$D$2002,5,FALSE),"")</f>
        <v/>
      </c>
      <c r="FP206" t="str">
        <f>+IFERROR(VLOOKUP(FP7,IN_Zugliste!$A$4:$D$2002,5,FALSE),"")</f>
        <v/>
      </c>
      <c r="FQ206" t="str">
        <f>+IFERROR(VLOOKUP(FQ7,IN_Zugliste!$A$4:$D$2002,5,FALSE),"")</f>
        <v/>
      </c>
      <c r="FR206" t="str">
        <f>+IFERROR(VLOOKUP(FR7,IN_Zugliste!$A$4:$D$2002,5,FALSE),"")</f>
        <v/>
      </c>
      <c r="FS206" t="str">
        <f>+IFERROR(VLOOKUP(FS7,IN_Zugliste!$A$4:$D$2002,5,FALSE),"")</f>
        <v/>
      </c>
      <c r="FT206" t="str">
        <f>+IFERROR(VLOOKUP(FT7,IN_Zugliste!$A$4:$D$2002,5,FALSE),"")</f>
        <v/>
      </c>
      <c r="FU206" t="str">
        <f>+IFERROR(VLOOKUP(FU7,IN_Zugliste!$A$4:$D$2002,5,FALSE),"")</f>
        <v/>
      </c>
      <c r="FV206" t="str">
        <f>+IFERROR(VLOOKUP(FV7,IN_Zugliste!$A$4:$D$2002,5,FALSE),"")</f>
        <v/>
      </c>
      <c r="FW206" t="str">
        <f>+IFERROR(VLOOKUP(FW7,IN_Zugliste!$A$4:$D$2002,5,FALSE),"")</f>
        <v/>
      </c>
      <c r="FX206" t="str">
        <f>+IFERROR(VLOOKUP(FX7,IN_Zugliste!$A$4:$D$2002,5,FALSE),"")</f>
        <v/>
      </c>
      <c r="FY206" t="str">
        <f>+IFERROR(VLOOKUP(FY7,IN_Zugliste!$A$4:$D$2002,5,FALSE),"")</f>
        <v/>
      </c>
      <c r="FZ206" t="str">
        <f>+IFERROR(VLOOKUP(FZ7,IN_Zugliste!$A$4:$D$2002,5,FALSE),"")</f>
        <v/>
      </c>
      <c r="GA206" t="str">
        <f>+IFERROR(VLOOKUP(GA7,IN_Zugliste!$A$4:$D$2002,5,FALSE),"")</f>
        <v/>
      </c>
      <c r="GB206" t="str">
        <f>+IFERROR(VLOOKUP(GB7,IN_Zugliste!$A$4:$D$2002,5,FALSE),"")</f>
        <v/>
      </c>
      <c r="GC206" t="str">
        <f>+IFERROR(VLOOKUP(GC7,IN_Zugliste!$A$4:$D$2002,5,FALSE),"")</f>
        <v/>
      </c>
      <c r="GD206" t="str">
        <f>+IFERROR(VLOOKUP(GD7,IN_Zugliste!$A$4:$D$2002,5,FALSE),"")</f>
        <v/>
      </c>
      <c r="GE206" t="str">
        <f>+IFERROR(VLOOKUP(GE7,IN_Zugliste!$A$4:$D$2002,5,FALSE),"")</f>
        <v/>
      </c>
      <c r="GF206" t="str">
        <f>+IFERROR(VLOOKUP(GF7,IN_Zugliste!$A$4:$D$2002,5,FALSE),"")</f>
        <v/>
      </c>
      <c r="GG206" t="str">
        <f>+IFERROR(VLOOKUP(GG7,IN_Zugliste!$A$4:$D$2002,5,FALSE),"")</f>
        <v/>
      </c>
      <c r="GH206" t="str">
        <f>+IFERROR(VLOOKUP(GH7,IN_Zugliste!$A$4:$D$2002,5,FALSE),"")</f>
        <v/>
      </c>
      <c r="GI206" t="str">
        <f>+IFERROR(VLOOKUP(GI7,IN_Zugliste!$A$4:$D$2002,5,FALSE),"")</f>
        <v/>
      </c>
      <c r="GJ206" t="str">
        <f>+IFERROR(VLOOKUP(GJ7,IN_Zugliste!$A$4:$D$2002,5,FALSE),"")</f>
        <v/>
      </c>
      <c r="GK206" t="str">
        <f>+IFERROR(VLOOKUP(GK7,IN_Zugliste!$A$4:$D$2002,5,FALSE),"")</f>
        <v/>
      </c>
      <c r="GL206" t="str">
        <f>+IFERROR(VLOOKUP(GL7,IN_Zugliste!$A$4:$D$2002,5,FALSE),"")</f>
        <v/>
      </c>
      <c r="GM206" t="str">
        <f>+IFERROR(VLOOKUP(GM7,IN_Zugliste!$A$4:$D$2002,5,FALSE),"")</f>
        <v/>
      </c>
      <c r="GN206" t="str">
        <f>+IFERROR(VLOOKUP(GN7,IN_Zugliste!$A$4:$D$2002,5,FALSE),"")</f>
        <v/>
      </c>
      <c r="GO206" t="str">
        <f>+IFERROR(VLOOKUP(GO7,IN_Zugliste!$A$4:$D$2002,5,FALSE),"")</f>
        <v/>
      </c>
      <c r="GP206" t="str">
        <f>+IFERROR(VLOOKUP(GP7,IN_Zugliste!$A$4:$D$2002,5,FALSE),"")</f>
        <v/>
      </c>
      <c r="GQ206" t="str">
        <f>+IFERROR(VLOOKUP(GQ7,IN_Zugliste!$A$4:$D$2002,5,FALSE),"")</f>
        <v/>
      </c>
      <c r="GR206" t="str">
        <f>+IFERROR(VLOOKUP(GR7,IN_Zugliste!$A$4:$D$2002,5,FALSE),"")</f>
        <v/>
      </c>
      <c r="GS206" t="str">
        <f>+IFERROR(VLOOKUP(GS7,IN_Zugliste!$A$4:$D$2002,5,FALSE),"")</f>
        <v/>
      </c>
      <c r="GT206" t="str">
        <f>+IFERROR(VLOOKUP(GT7,IN_Zugliste!$A$4:$D$2002,5,FALSE),"")</f>
        <v/>
      </c>
      <c r="GU206" t="str">
        <f>+IFERROR(VLOOKUP(GU7,IN_Zugliste!$A$4:$D$2002,5,FALSE),"")</f>
        <v/>
      </c>
      <c r="GV206" t="str">
        <f>+IFERROR(VLOOKUP(GV7,IN_Zugliste!$A$4:$D$2002,5,FALSE),"")</f>
        <v/>
      </c>
      <c r="GW206" t="str">
        <f>+IFERROR(VLOOKUP(GW7,IN_Zugliste!$A$4:$D$2002,5,FALSE),"")</f>
        <v/>
      </c>
      <c r="GX206" t="str">
        <f>+IFERROR(VLOOKUP(GX7,IN_Zugliste!$A$4:$D$2002,5,FALSE),"")</f>
        <v/>
      </c>
      <c r="GY206" t="str">
        <f>+IFERROR(VLOOKUP(GY7,IN_Zugliste!$A$4:$D$2002,5,FALSE),"")</f>
        <v/>
      </c>
      <c r="GZ206" t="str">
        <f>+IFERROR(VLOOKUP(GZ7,IN_Zugliste!$A$4:$D$2002,5,FALSE),"")</f>
        <v/>
      </c>
      <c r="HA206" t="str">
        <f>+IFERROR(VLOOKUP(HA7,IN_Zugliste!$A$4:$D$2002,5,FALSE),"")</f>
        <v/>
      </c>
      <c r="HB206" t="str">
        <f>+IFERROR(VLOOKUP(HB7,IN_Zugliste!$A$4:$D$2002,5,FALSE),"")</f>
        <v/>
      </c>
      <c r="HC206" t="str">
        <f>+IFERROR(VLOOKUP(HC7,IN_Zugliste!$A$4:$D$2002,5,FALSE),"")</f>
        <v/>
      </c>
      <c r="HD206" t="str">
        <f>+IFERROR(VLOOKUP(HD7,IN_Zugliste!$A$4:$D$2002,5,FALSE),"")</f>
        <v/>
      </c>
      <c r="HE206" t="str">
        <f>+IFERROR(VLOOKUP(HE7,IN_Zugliste!$A$4:$D$2002,5,FALSE),"")</f>
        <v/>
      </c>
      <c r="HF206" t="str">
        <f>+IFERROR(VLOOKUP(HF7,IN_Zugliste!$A$4:$D$2002,5,FALSE),"")</f>
        <v/>
      </c>
      <c r="HG206" t="str">
        <f>+IFERROR(VLOOKUP(HG7,IN_Zugliste!$A$4:$D$2002,5,FALSE),"")</f>
        <v/>
      </c>
      <c r="HH206" t="str">
        <f>+IFERROR(VLOOKUP(HH7,IN_Zugliste!$A$4:$D$2002,5,FALSE),"")</f>
        <v/>
      </c>
    </row>
    <row r="207" spans="1:248" x14ac:dyDescent="0.2">
      <c r="A207" t="str">
        <f>+IFERROR(VLOOKUP(A8,IN_Zugliste!$A$4:$E$2002,5,FALSE),"")</f>
        <v>Nein</v>
      </c>
      <c r="B207" t="str">
        <f>+IFERROR(VLOOKUP(B8,IN_Zugliste!$A$4:$E$2002,5,FALSE),"")</f>
        <v>Nein</v>
      </c>
      <c r="C207" t="str">
        <f>+IFERROR(VLOOKUP(C8,IN_Zugliste!$A$4:$E$2002,5,FALSE),"")</f>
        <v>Nein</v>
      </c>
      <c r="D207" t="str">
        <f>+IFERROR(VLOOKUP(D8,IN_Zugliste!$A$4:$E$2002,5,FALSE),"")</f>
        <v>Nein</v>
      </c>
      <c r="E207" t="str">
        <f>+IFERROR(VLOOKUP(E8,IN_Zugliste!$A$4:$E$2002,5,FALSE),"")</f>
        <v>Nein</v>
      </c>
      <c r="F207" t="str">
        <f>+IFERROR(VLOOKUP(F8,IN_Zugliste!$A$4:$E$2002,5,FALSE),"")</f>
        <v>Nein</v>
      </c>
      <c r="G207" t="str">
        <f>+IFERROR(VLOOKUP(G8,IN_Zugliste!$A$4:$E$2002,5,FALSE),"")</f>
        <v>Nein</v>
      </c>
      <c r="H207" t="str">
        <f>+IFERROR(VLOOKUP(H8,IN_Zugliste!$A$4:$E$2002,5,FALSE),"")</f>
        <v>Nein</v>
      </c>
      <c r="I207" t="str">
        <f>+IFERROR(VLOOKUP(I8,IN_Zugliste!$A$4:$E$2002,5,FALSE),"")</f>
        <v>Nein</v>
      </c>
      <c r="J207" t="str">
        <f>+IFERROR(VLOOKUP(J8,IN_Zugliste!$A$4:$E$2002,5,FALSE),"")</f>
        <v>Nein</v>
      </c>
      <c r="K207" t="str">
        <f>+IFERROR(VLOOKUP(K8,IN_Zugliste!$A$4:$E$2002,5,FALSE),"")</f>
        <v>Nein</v>
      </c>
      <c r="L207" t="str">
        <f>+IFERROR(VLOOKUP(L8,IN_Zugliste!$A$4:$E$2002,5,FALSE),"")</f>
        <v/>
      </c>
      <c r="M207" t="str">
        <f>+IFERROR(VLOOKUP(M8,IN_Zugliste!$A$4:$E$2002,5,FALSE),"")</f>
        <v/>
      </c>
      <c r="N207" t="str">
        <f>+IFERROR(VLOOKUP(N8,IN_Zugliste!$A$4:$E$2002,5,FALSE),"")</f>
        <v>Nein</v>
      </c>
      <c r="O207" t="str">
        <f>+IFERROR(VLOOKUP(O8,IN_Zugliste!$A$4:$E$2002,5,FALSE),"")</f>
        <v/>
      </c>
      <c r="P207" t="str">
        <f>+IFERROR(VLOOKUP(P8,IN_Zugliste!$A$4:$E$2002,5,FALSE),"")</f>
        <v/>
      </c>
      <c r="Q207" t="str">
        <f>+IFERROR(VLOOKUP(Q8,IN_Zugliste!$A$4:$E$2002,5,FALSE),"")</f>
        <v/>
      </c>
      <c r="R207" t="str">
        <f>+IFERROR(VLOOKUP(R8,IN_Zugliste!$A$4:$E$2002,5,FALSE),"")</f>
        <v/>
      </c>
      <c r="S207" t="str">
        <f>+IFERROR(VLOOKUP(S8,IN_Zugliste!$A$4:$E$2002,5,FALSE),"")</f>
        <v/>
      </c>
      <c r="T207" t="str">
        <f>+IFERROR(VLOOKUP(T8,IN_Zugliste!$A$4:$E$2002,5,FALSE),"")</f>
        <v>Nein</v>
      </c>
      <c r="U207" t="str">
        <f>+IFERROR(VLOOKUP(U8,IN_Zugliste!$A$4:$E$2002,5,FALSE),"")</f>
        <v/>
      </c>
      <c r="V207" t="str">
        <f>+IFERROR(VLOOKUP(V8,IN_Zugliste!$A$4:$E$2002,5,FALSE),"")</f>
        <v>Nein</v>
      </c>
      <c r="W207" t="str">
        <f>+IFERROR(VLOOKUP(W8,IN_Zugliste!$A$4:$E$2002,5,FALSE),"")</f>
        <v>Nein</v>
      </c>
      <c r="X207" t="str">
        <f>+IFERROR(VLOOKUP(X8,IN_Zugliste!$A$4:$E$2002,5,FALSE),"")</f>
        <v>Nein</v>
      </c>
      <c r="Y207" t="str">
        <f>+IFERROR(VLOOKUP(Y8,IN_Zugliste!$A$4:$E$2002,5,FALSE),"")</f>
        <v/>
      </c>
      <c r="Z207" t="str">
        <f>+IFERROR(VLOOKUP(Z8,IN_Zugliste!$A$4:$E$2002,5,FALSE),"")</f>
        <v/>
      </c>
      <c r="AA207" t="str">
        <f>+IFERROR(VLOOKUP(AA8,IN_Zugliste!$A$4:$E$2002,5,FALSE),"")</f>
        <v/>
      </c>
      <c r="AB207" t="str">
        <f>+IFERROR(VLOOKUP(AB8,IN_Zugliste!$A$4:$E$2002,5,FALSE),"")</f>
        <v>Nein</v>
      </c>
      <c r="AC207" t="str">
        <f>+IFERROR(VLOOKUP(AC8,IN_Zugliste!$A$4:$E$2002,5,FALSE),"")</f>
        <v/>
      </c>
      <c r="AD207" t="str">
        <f>+IFERROR(VLOOKUP(AD8,IN_Zugliste!$A$4:$E$2002,5,FALSE),"")</f>
        <v/>
      </c>
      <c r="AE207" t="str">
        <f>+IFERROR(VLOOKUP(AE8,IN_Zugliste!$A$4:$E$2002,5,FALSE),"")</f>
        <v/>
      </c>
      <c r="AF207" t="str">
        <f>+IFERROR(VLOOKUP(AF8,IN_Zugliste!$A$4:$E$2002,5,FALSE),"")</f>
        <v/>
      </c>
      <c r="AG207" t="str">
        <f>+IFERROR(VLOOKUP(AG8,IN_Zugliste!$A$4:$E$2002,5,FALSE),"")</f>
        <v/>
      </c>
      <c r="AH207" t="str">
        <f>+IFERROR(VLOOKUP(AH8,IN_Zugliste!$A$4:$E$2002,5,FALSE),"")</f>
        <v/>
      </c>
      <c r="AI207" t="str">
        <f>+IFERROR(VLOOKUP(AI8,IN_Zugliste!$A$4:$E$2002,5,FALSE),"")</f>
        <v/>
      </c>
      <c r="AJ207" t="str">
        <f>+IFERROR(VLOOKUP(AJ8,IN_Zugliste!$A$4:$E$2002,5,FALSE),"")</f>
        <v/>
      </c>
      <c r="AK207" t="str">
        <f>+IFERROR(VLOOKUP(AK8,IN_Zugliste!$A$4:$E$2002,5,FALSE),"")</f>
        <v/>
      </c>
      <c r="AL207" t="str">
        <f>+IFERROR(VLOOKUP(AL8,IN_Zugliste!$A$4:$E$2002,5,FALSE),"")</f>
        <v/>
      </c>
      <c r="AM207" t="str">
        <f>+IFERROR(VLOOKUP(AM8,IN_Zugliste!$A$4:$E$2002,5,FALSE),"")</f>
        <v/>
      </c>
      <c r="AN207" t="str">
        <f>+IFERROR(VLOOKUP(AN8,IN_Zugliste!$A$4:$E$2002,5,FALSE),"")</f>
        <v/>
      </c>
      <c r="AO207" t="str">
        <f>+IFERROR(VLOOKUP(AO8,IN_Zugliste!$A$4:$E$2002,5,FALSE),"")</f>
        <v/>
      </c>
      <c r="AP207" t="str">
        <f>+IFERROR(VLOOKUP(AP8,IN_Zugliste!$A$4:$E$2002,5,FALSE),"")</f>
        <v/>
      </c>
      <c r="AQ207" t="str">
        <f>+IFERROR(VLOOKUP(AQ8,IN_Zugliste!$A$4:$E$2002,5,FALSE),"")</f>
        <v/>
      </c>
      <c r="AR207" t="str">
        <f>+IFERROR(VLOOKUP(AR8,IN_Zugliste!$A$4:$E$2002,5,FALSE),"")</f>
        <v/>
      </c>
      <c r="AS207" t="str">
        <f>+IFERROR(VLOOKUP(AS8,IN_Zugliste!$A$4:$E$2002,5,FALSE),"")</f>
        <v/>
      </c>
      <c r="AT207" t="str">
        <f>+IFERROR(VLOOKUP(AT8,IN_Zugliste!$A$4:$E$2002,5,FALSE),"")</f>
        <v/>
      </c>
      <c r="AU207" t="str">
        <f>+IFERROR(VLOOKUP(AU8,IN_Zugliste!$A$4:$E$2002,5,FALSE),"")</f>
        <v/>
      </c>
      <c r="AV207" t="str">
        <f>+IFERROR(VLOOKUP(AV8,IN_Zugliste!$A$4:$E$2002,5,FALSE),"")</f>
        <v/>
      </c>
      <c r="AW207" t="str">
        <f>+IFERROR(VLOOKUP(AW8,IN_Zugliste!$A$4:$E$2002,5,FALSE),"")</f>
        <v/>
      </c>
      <c r="AX207" t="str">
        <f>+IFERROR(VLOOKUP(AX8,IN_Zugliste!$A$4:$E$2002,5,FALSE),"")</f>
        <v/>
      </c>
      <c r="AY207" t="str">
        <f>+IFERROR(VLOOKUP(AY8,IN_Zugliste!$A$4:$E$2002,5,FALSE),"")</f>
        <v/>
      </c>
      <c r="AZ207" t="str">
        <f>+IFERROR(VLOOKUP(AZ8,IN_Zugliste!$A$4:$E$2002,5,FALSE),"")</f>
        <v/>
      </c>
      <c r="BA207" t="str">
        <f>+IFERROR(VLOOKUP(BA8,IN_Zugliste!$A$4:$E$2002,5,FALSE),"")</f>
        <v/>
      </c>
      <c r="BB207" t="str">
        <f>+IFERROR(VLOOKUP(BB8,IN_Zugliste!$A$4:$E$2002,5,FALSE),"")</f>
        <v/>
      </c>
      <c r="BC207" t="str">
        <f>+IFERROR(VLOOKUP(BC8,IN_Zugliste!$A$4:$E$2002,5,FALSE),"")</f>
        <v/>
      </c>
      <c r="BD207" t="str">
        <f>+IFERROR(VLOOKUP(BD8,IN_Zugliste!$A$4:$E$2002,5,FALSE),"")</f>
        <v/>
      </c>
      <c r="BE207" t="str">
        <f>+IFERROR(VLOOKUP(BE8,IN_Zugliste!$A$4:$E$2002,5,FALSE),"")</f>
        <v/>
      </c>
      <c r="BF207" t="str">
        <f>+IFERROR(VLOOKUP(BF8,IN_Zugliste!$A$4:$E$2002,5,FALSE),"")</f>
        <v/>
      </c>
      <c r="BG207" t="str">
        <f>+IFERROR(VLOOKUP(BG8,IN_Zugliste!$A$4:$E$2002,5,FALSE),"")</f>
        <v/>
      </c>
      <c r="BH207" t="str">
        <f>+IFERROR(VLOOKUP(BH8,IN_Zugliste!$A$4:$E$2002,5,FALSE),"")</f>
        <v/>
      </c>
      <c r="BI207" t="str">
        <f>+IFERROR(VLOOKUP(BI8,IN_Zugliste!$A$4:$E$2002,5,FALSE),"")</f>
        <v/>
      </c>
      <c r="BJ207" t="str">
        <f>+IFERROR(VLOOKUP(BJ8,IN_Zugliste!$A$4:$E$2002,5,FALSE),"")</f>
        <v/>
      </c>
      <c r="BK207" t="str">
        <f>+IFERROR(VLOOKUP(BK8,IN_Zugliste!$A$4:$E$2002,5,FALSE),"")</f>
        <v/>
      </c>
      <c r="BL207" t="str">
        <f>+IFERROR(VLOOKUP(BL8,IN_Zugliste!$A$4:$E$2002,5,FALSE),"")</f>
        <v/>
      </c>
      <c r="BM207" t="str">
        <f>+IFERROR(VLOOKUP(BM8,IN_Zugliste!$A$4:$E$2002,5,FALSE),"")</f>
        <v/>
      </c>
      <c r="BN207" t="str">
        <f>+IFERROR(VLOOKUP(BN8,IN_Zugliste!$A$4:$E$2002,5,FALSE),"")</f>
        <v/>
      </c>
      <c r="BO207" t="str">
        <f>+IFERROR(VLOOKUP(BO8,IN_Zugliste!$A$4:$E$2002,5,FALSE),"")</f>
        <v/>
      </c>
      <c r="BP207" t="str">
        <f>+IFERROR(VLOOKUP(BP8,IN_Zugliste!$A$4:$E$2002,5,FALSE),"")</f>
        <v/>
      </c>
      <c r="BQ207" t="str">
        <f>+IFERROR(VLOOKUP(BQ8,IN_Zugliste!$A$4:$E$2002,5,FALSE),"")</f>
        <v/>
      </c>
      <c r="BR207" t="str">
        <f>+IFERROR(VLOOKUP(BR8,IN_Zugliste!$A$4:$E$2002,5,FALSE),"")</f>
        <v/>
      </c>
      <c r="BS207" t="str">
        <f>+IFERROR(VLOOKUP(BS8,IN_Zugliste!$A$4:$E$2002,5,FALSE),"")</f>
        <v/>
      </c>
      <c r="BT207" t="str">
        <f>+IFERROR(VLOOKUP(BT8,IN_Zugliste!$A$4:$E$2002,5,FALSE),"")</f>
        <v/>
      </c>
      <c r="BU207" t="str">
        <f>+IFERROR(VLOOKUP(BU8,IN_Zugliste!$A$4:$E$2002,5,FALSE),"")</f>
        <v/>
      </c>
      <c r="BV207" t="str">
        <f>+IFERROR(VLOOKUP(BV8,IN_Zugliste!$A$4:$E$2002,5,FALSE),"")</f>
        <v/>
      </c>
      <c r="BW207" t="str">
        <f>+IFERROR(VLOOKUP(BW8,IN_Zugliste!$A$4:$E$2002,5,FALSE),"")</f>
        <v/>
      </c>
      <c r="BX207" t="str">
        <f>+IFERROR(VLOOKUP(BX8,IN_Zugliste!$A$4:$E$2002,5,FALSE),"")</f>
        <v/>
      </c>
      <c r="BY207" t="str">
        <f>+IFERROR(VLOOKUP(BY8,IN_Zugliste!$A$4:$E$2002,5,FALSE),"")</f>
        <v/>
      </c>
      <c r="BZ207" t="str">
        <f>+IFERROR(VLOOKUP(BZ8,IN_Zugliste!$A$4:$E$2002,5,FALSE),"")</f>
        <v/>
      </c>
      <c r="CA207" t="str">
        <f>+IFERROR(VLOOKUP(CA8,IN_Zugliste!$A$4:$E$2002,5,FALSE),"")</f>
        <v/>
      </c>
      <c r="CB207" t="str">
        <f>+IFERROR(VLOOKUP(CB8,IN_Zugliste!$A$4:$E$2002,5,FALSE),"")</f>
        <v/>
      </c>
      <c r="CC207" t="str">
        <f>+IFERROR(VLOOKUP(CC8,IN_Zugliste!$A$4:$E$2002,5,FALSE),"")</f>
        <v/>
      </c>
      <c r="CD207" t="str">
        <f>+IFERROR(VLOOKUP(CD8,IN_Zugliste!$A$4:$E$2002,5,FALSE),"")</f>
        <v/>
      </c>
      <c r="CE207" t="str">
        <f>+IFERROR(VLOOKUP(CE8,IN_Zugliste!$A$4:$E$2002,5,FALSE),"")</f>
        <v/>
      </c>
      <c r="CF207" t="str">
        <f>+IFERROR(VLOOKUP(CF8,IN_Zugliste!$A$4:$E$2002,5,FALSE),"")</f>
        <v/>
      </c>
      <c r="CG207" t="str">
        <f>+IFERROR(VLOOKUP(CG8,IN_Zugliste!$A$4:$E$2002,5,FALSE),"")</f>
        <v/>
      </c>
      <c r="CH207" t="str">
        <f>+IFERROR(VLOOKUP(CH8,IN_Zugliste!$A$4:$E$2002,5,FALSE),"")</f>
        <v/>
      </c>
      <c r="CI207" t="str">
        <f>+IFERROR(VLOOKUP(CI8,IN_Zugliste!$A$4:$E$2002,5,FALSE),"")</f>
        <v/>
      </c>
      <c r="CJ207" t="str">
        <f>+IFERROR(VLOOKUP(CJ8,IN_Zugliste!$A$4:$E$2002,5,FALSE),"")</f>
        <v/>
      </c>
      <c r="CK207" t="str">
        <f>+IFERROR(VLOOKUP(CK8,IN_Zugliste!$A$4:$E$2002,5,FALSE),"")</f>
        <v/>
      </c>
      <c r="CL207" t="str">
        <f>+IFERROR(VLOOKUP(CL8,IN_Zugliste!$A$4:$E$2002,5,FALSE),"")</f>
        <v/>
      </c>
      <c r="CM207" t="str">
        <f>+IFERROR(VLOOKUP(CM8,IN_Zugliste!$A$4:$E$2002,5,FALSE),"")</f>
        <v/>
      </c>
      <c r="CN207" t="str">
        <f>+IFERROR(VLOOKUP(CN8,IN_Zugliste!$A$4:$E$2002,5,FALSE),"")</f>
        <v/>
      </c>
      <c r="CO207" t="str">
        <f>+IFERROR(VLOOKUP(CO8,IN_Zugliste!$A$4:$E$2002,5,FALSE),"")</f>
        <v/>
      </c>
      <c r="CP207" t="str">
        <f>+IFERROR(VLOOKUP(CP8,IN_Zugliste!$A$4:$E$2002,5,FALSE),"")</f>
        <v/>
      </c>
      <c r="CQ207" t="str">
        <f>+IFERROR(VLOOKUP(CQ8,IN_Zugliste!$A$4:$E$2002,5,FALSE),"")</f>
        <v/>
      </c>
      <c r="CR207" t="str">
        <f>+IFERROR(VLOOKUP(CR8,IN_Zugliste!$A$4:$E$2002,5,FALSE),"")</f>
        <v/>
      </c>
      <c r="CS207" t="str">
        <f>+IFERROR(VLOOKUP(CS8,IN_Zugliste!$A$4:$E$2002,5,FALSE),"")</f>
        <v/>
      </c>
      <c r="CT207" t="str">
        <f>+IFERROR(VLOOKUP(CT8,IN_Zugliste!$A$4:$E$2002,5,FALSE),"")</f>
        <v/>
      </c>
      <c r="CU207" t="str">
        <f>+IFERROR(VLOOKUP(CU8,IN_Zugliste!$A$4:$E$2002,5,FALSE),"")</f>
        <v/>
      </c>
      <c r="CV207" t="str">
        <f>+IFERROR(VLOOKUP(CV8,IN_Zugliste!$A$4:$E$2002,5,FALSE),"")</f>
        <v/>
      </c>
      <c r="CW207" t="str">
        <f>+IFERROR(VLOOKUP(CW8,IN_Zugliste!$A$4:$E$2002,5,FALSE),"")</f>
        <v/>
      </c>
      <c r="CX207" t="str">
        <f>+IFERROR(VLOOKUP(CX8,IN_Zugliste!$A$4:$E$2002,5,FALSE),"")</f>
        <v/>
      </c>
      <c r="CY207" t="str">
        <f>+IFERROR(VLOOKUP(CY8,IN_Zugliste!$A$4:$E$2002,5,FALSE),"")</f>
        <v/>
      </c>
      <c r="CZ207" t="str">
        <f>+IFERROR(VLOOKUP(CZ8,IN_Zugliste!$A$4:$E$2002,5,FALSE),"")</f>
        <v/>
      </c>
      <c r="DA207" t="str">
        <f>+IFERROR(VLOOKUP(DA8,IN_Zugliste!$A$4:$E$2002,5,FALSE),"")</f>
        <v/>
      </c>
      <c r="DB207" t="str">
        <f>+IFERROR(VLOOKUP(DB8,IN_Zugliste!$A$4:$E$2002,5,FALSE),"")</f>
        <v/>
      </c>
      <c r="DC207" t="str">
        <f>+IFERROR(VLOOKUP(DC8,IN_Zugliste!$A$4:$E$2002,5,FALSE),"")</f>
        <v/>
      </c>
      <c r="DD207" t="str">
        <f>+IFERROR(VLOOKUP(DD8,IN_Zugliste!$A$4:$E$2002,5,FALSE),"")</f>
        <v/>
      </c>
      <c r="DE207" t="str">
        <f>+IFERROR(VLOOKUP(DE8,IN_Zugliste!$A$4:$E$2002,5,FALSE),"")</f>
        <v/>
      </c>
      <c r="DF207" t="str">
        <f>+IFERROR(VLOOKUP(DF8,IN_Zugliste!$A$4:$E$2002,5,FALSE),"")</f>
        <v/>
      </c>
      <c r="DG207" t="str">
        <f>+IFERROR(VLOOKUP(DG8,IN_Zugliste!$A$4:$E$2002,5,FALSE),"")</f>
        <v/>
      </c>
      <c r="DH207" t="str">
        <f>+IFERROR(VLOOKUP(DH8,IN_Zugliste!$A$4:$E$2002,5,FALSE),"")</f>
        <v/>
      </c>
      <c r="DI207" t="str">
        <f>+IFERROR(VLOOKUP(DI8,IN_Zugliste!$A$4:$E$2002,5,FALSE),"")</f>
        <v/>
      </c>
      <c r="DJ207" t="str">
        <f>+IFERROR(VLOOKUP(DJ8,IN_Zugliste!$A$4:$E$2002,5,FALSE),"")</f>
        <v/>
      </c>
      <c r="DK207" t="str">
        <f>+IFERROR(VLOOKUP(DK8,IN_Zugliste!$A$4:$E$2002,5,FALSE),"")</f>
        <v/>
      </c>
      <c r="DL207" t="str">
        <f>+IFERROR(VLOOKUP(DL8,IN_Zugliste!$A$4:$E$2002,5,FALSE),"")</f>
        <v/>
      </c>
      <c r="DM207" t="str">
        <f>+IFERROR(VLOOKUP(DM8,IN_Zugliste!$A$4:$E$2002,5,FALSE),"")</f>
        <v/>
      </c>
      <c r="DN207" t="str">
        <f>+IFERROR(VLOOKUP(DN8,IN_Zugliste!$A$4:$E$2002,5,FALSE),"")</f>
        <v/>
      </c>
      <c r="DO207" t="str">
        <f>+IFERROR(VLOOKUP(DO8,IN_Zugliste!$A$4:$E$2002,5,FALSE),"")</f>
        <v/>
      </c>
      <c r="DP207" t="str">
        <f>+IFERROR(VLOOKUP(DP8,IN_Zugliste!$A$4:$E$2002,5,FALSE),"")</f>
        <v/>
      </c>
      <c r="DQ207" t="str">
        <f>+IFERROR(VLOOKUP(DQ8,IN_Zugliste!$A$4:$E$2002,5,FALSE),"")</f>
        <v/>
      </c>
      <c r="DR207" t="str">
        <f>+IFERROR(VLOOKUP(DR8,IN_Zugliste!$A$4:$E$2002,5,FALSE),"")</f>
        <v/>
      </c>
      <c r="DS207" t="str">
        <f>+IFERROR(VLOOKUP(DS8,IN_Zugliste!$A$4:$E$2002,5,FALSE),"")</f>
        <v/>
      </c>
      <c r="DT207" t="str">
        <f>+IFERROR(VLOOKUP(DT8,IN_Zugliste!$A$4:$E$2002,5,FALSE),"")</f>
        <v/>
      </c>
      <c r="DU207" t="str">
        <f>+IFERROR(VLOOKUP(DU8,IN_Zugliste!$A$4:$E$2002,5,FALSE),"")</f>
        <v/>
      </c>
      <c r="DV207" t="str">
        <f>+IFERROR(VLOOKUP(DV8,IN_Zugliste!$A$4:$E$2002,5,FALSE),"")</f>
        <v/>
      </c>
      <c r="DW207" t="str">
        <f>+IFERROR(VLOOKUP(DW8,IN_Zugliste!$A$4:$E$2002,5,FALSE),"")</f>
        <v/>
      </c>
      <c r="DX207" t="str">
        <f>+IFERROR(VLOOKUP(DX8,IN_Zugliste!$A$4:$E$2002,5,FALSE),"")</f>
        <v/>
      </c>
      <c r="DY207" t="str">
        <f>+IFERROR(VLOOKUP(DY8,IN_Zugliste!$A$4:$E$2002,5,FALSE),"")</f>
        <v/>
      </c>
      <c r="DZ207" t="str">
        <f>+IFERROR(VLOOKUP(DZ8,IN_Zugliste!$A$4:$E$2002,5,FALSE),"")</f>
        <v/>
      </c>
      <c r="EA207" t="str">
        <f>+IFERROR(VLOOKUP(EA8,IN_Zugliste!$A$4:$E$2002,5,FALSE),"")</f>
        <v/>
      </c>
      <c r="EB207" t="str">
        <f>+IFERROR(VLOOKUP(EB8,IN_Zugliste!$A$4:$E$2002,5,FALSE),"")</f>
        <v/>
      </c>
      <c r="EC207" t="str">
        <f>+IFERROR(VLOOKUP(EC8,IN_Zugliste!$A$4:$E$2002,5,FALSE),"")</f>
        <v/>
      </c>
      <c r="ED207" t="str">
        <f>+IFERROR(VLOOKUP(ED8,IN_Zugliste!$A$4:$E$2002,5,FALSE),"")</f>
        <v/>
      </c>
      <c r="EE207" t="str">
        <f>+IFERROR(VLOOKUP(EE8,IN_Zugliste!$A$4:$E$2002,5,FALSE),"")</f>
        <v/>
      </c>
      <c r="EF207" t="str">
        <f>+IFERROR(VLOOKUP(EF8,IN_Zugliste!$A$4:$E$2002,5,FALSE),"")</f>
        <v/>
      </c>
      <c r="EG207" t="str">
        <f>+IFERROR(VLOOKUP(EG8,IN_Zugliste!$A$4:$E$2002,5,FALSE),"")</f>
        <v/>
      </c>
      <c r="EH207" t="str">
        <f>+IFERROR(VLOOKUP(EH8,IN_Zugliste!$A$4:$E$2002,5,FALSE),"")</f>
        <v/>
      </c>
      <c r="EI207" t="str">
        <f>+IFERROR(VLOOKUP(EI8,IN_Zugliste!$A$4:$E$2002,5,FALSE),"")</f>
        <v/>
      </c>
      <c r="EJ207" t="str">
        <f>+IFERROR(VLOOKUP(EJ8,IN_Zugliste!$A$4:$E$2002,5,FALSE),"")</f>
        <v/>
      </c>
      <c r="EK207" t="str">
        <f>+IFERROR(VLOOKUP(EK8,IN_Zugliste!$A$4:$E$2002,5,FALSE),"")</f>
        <v/>
      </c>
      <c r="EL207" t="str">
        <f>+IFERROR(VLOOKUP(EL8,IN_Zugliste!$A$4:$E$2002,5,FALSE),"")</f>
        <v/>
      </c>
      <c r="EM207" t="str">
        <f>+IFERROR(VLOOKUP(EM8,IN_Zugliste!$A$4:$E$2002,5,FALSE),"")</f>
        <v/>
      </c>
      <c r="EN207" t="str">
        <f>+IFERROR(VLOOKUP(EN8,IN_Zugliste!$A$4:$E$2002,5,FALSE),"")</f>
        <v/>
      </c>
      <c r="EO207" t="str">
        <f>+IFERROR(VLOOKUP(EO8,IN_Zugliste!$A$4:$E$2002,5,FALSE),"")</f>
        <v/>
      </c>
      <c r="EP207" t="str">
        <f>+IFERROR(VLOOKUP(EP8,IN_Zugliste!$A$4:$E$2002,5,FALSE),"")</f>
        <v/>
      </c>
      <c r="EQ207" t="str">
        <f>+IFERROR(VLOOKUP(EQ8,IN_Zugliste!$A$4:$E$2002,5,FALSE),"")</f>
        <v/>
      </c>
      <c r="ER207" t="str">
        <f>+IFERROR(VLOOKUP(ER8,IN_Zugliste!$A$4:$E$2002,5,FALSE),"")</f>
        <v/>
      </c>
      <c r="ES207" t="str">
        <f>+IFERROR(VLOOKUP(ES8,IN_Zugliste!$A$4:$E$2002,5,FALSE),"")</f>
        <v/>
      </c>
      <c r="ET207" t="str">
        <f>+IFERROR(VLOOKUP(ET8,IN_Zugliste!$A$4:$E$2002,5,FALSE),"")</f>
        <v/>
      </c>
      <c r="EU207" t="str">
        <f>+IFERROR(VLOOKUP(EU8,IN_Zugliste!$A$4:$E$2002,5,FALSE),"")</f>
        <v/>
      </c>
      <c r="EV207" t="str">
        <f>+IFERROR(VLOOKUP(EV8,IN_Zugliste!$A$4:$E$2002,5,FALSE),"")</f>
        <v/>
      </c>
      <c r="EW207" t="str">
        <f>+IFERROR(VLOOKUP(EW8,IN_Zugliste!$A$4:$E$2002,5,FALSE),"")</f>
        <v/>
      </c>
      <c r="EX207" t="str">
        <f>+IFERROR(VLOOKUP(EX8,IN_Zugliste!$A$4:$E$2002,5,FALSE),"")</f>
        <v/>
      </c>
      <c r="EY207" t="str">
        <f>+IFERROR(VLOOKUP(EY8,IN_Zugliste!$A$4:$E$2002,5,FALSE),"")</f>
        <v/>
      </c>
      <c r="EZ207" t="str">
        <f>+IFERROR(VLOOKUP(EZ8,IN_Zugliste!$A$4:$E$2002,5,FALSE),"")</f>
        <v/>
      </c>
      <c r="FA207" t="str">
        <f>+IFERROR(VLOOKUP(FA8,IN_Zugliste!$A$4:$E$2002,5,FALSE),"")</f>
        <v/>
      </c>
      <c r="FB207" t="str">
        <f>+IFERROR(VLOOKUP(FB8,IN_Zugliste!$A$4:$E$2002,5,FALSE),"")</f>
        <v/>
      </c>
      <c r="FC207" t="str">
        <f>+IFERROR(VLOOKUP(FC8,IN_Zugliste!$A$4:$E$2002,5,FALSE),"")</f>
        <v/>
      </c>
      <c r="FD207" t="str">
        <f>+IFERROR(VLOOKUP(FD8,IN_Zugliste!$A$4:$E$2002,5,FALSE),"")</f>
        <v/>
      </c>
      <c r="FE207" t="str">
        <f>+IFERROR(VLOOKUP(FE8,IN_Zugliste!$A$4:$E$2002,5,FALSE),"")</f>
        <v/>
      </c>
      <c r="FF207" t="str">
        <f>+IFERROR(VLOOKUP(FF8,IN_Zugliste!$A$4:$E$2002,5,FALSE),"")</f>
        <v/>
      </c>
      <c r="FG207" t="str">
        <f>+IFERROR(VLOOKUP(FG8,IN_Zugliste!$A$4:$E$2002,5,FALSE),"")</f>
        <v/>
      </c>
      <c r="FH207" t="str">
        <f>+IFERROR(VLOOKUP(FH8,IN_Zugliste!$A$4:$E$2002,5,FALSE),"")</f>
        <v/>
      </c>
      <c r="FI207" t="str">
        <f>+IFERROR(VLOOKUP(FI8,IN_Zugliste!$A$4:$E$2002,5,FALSE),"")</f>
        <v/>
      </c>
      <c r="FJ207" t="str">
        <f>+IFERROR(VLOOKUP(FJ8,IN_Zugliste!$A$4:$E$2002,5,FALSE),"")</f>
        <v/>
      </c>
      <c r="FK207" t="str">
        <f>+IFERROR(VLOOKUP(FK8,IN_Zugliste!$A$4:$E$2002,5,FALSE),"")</f>
        <v/>
      </c>
      <c r="FL207" t="str">
        <f>+IFERROR(VLOOKUP(FL8,IN_Zugliste!$A$4:$E$2002,5,FALSE),"")</f>
        <v/>
      </c>
      <c r="FM207" t="str">
        <f>+IFERROR(VLOOKUP(FM8,IN_Zugliste!$A$4:$D$2002,5,FALSE),"")</f>
        <v/>
      </c>
      <c r="FN207" t="str">
        <f>+IFERROR(VLOOKUP(FN8,IN_Zugliste!$A$4:$D$2002,5,FALSE),"")</f>
        <v/>
      </c>
      <c r="FO207" t="str">
        <f>+IFERROR(VLOOKUP(FO8,IN_Zugliste!$A$4:$D$2002,5,FALSE),"")</f>
        <v/>
      </c>
      <c r="FP207" t="str">
        <f>+IFERROR(VLOOKUP(FP8,IN_Zugliste!$A$4:$D$2002,5,FALSE),"")</f>
        <v/>
      </c>
      <c r="FQ207" t="str">
        <f>+IFERROR(VLOOKUP(FQ8,IN_Zugliste!$A$4:$D$2002,5,FALSE),"")</f>
        <v/>
      </c>
      <c r="FR207" t="str">
        <f>+IFERROR(VLOOKUP(FR8,IN_Zugliste!$A$4:$D$2002,5,FALSE),"")</f>
        <v/>
      </c>
      <c r="FS207" t="str">
        <f>+IFERROR(VLOOKUP(FS8,IN_Zugliste!$A$4:$D$2002,5,FALSE),"")</f>
        <v/>
      </c>
      <c r="FT207" t="str">
        <f>+IFERROR(VLOOKUP(FT8,IN_Zugliste!$A$4:$D$2002,5,FALSE),"")</f>
        <v/>
      </c>
      <c r="FU207" t="str">
        <f>+IFERROR(VLOOKUP(FU8,IN_Zugliste!$A$4:$D$2002,5,FALSE),"")</f>
        <v/>
      </c>
      <c r="FV207" t="str">
        <f>+IFERROR(VLOOKUP(FV8,IN_Zugliste!$A$4:$D$2002,5,FALSE),"")</f>
        <v/>
      </c>
      <c r="FW207" t="str">
        <f>+IFERROR(VLOOKUP(FW8,IN_Zugliste!$A$4:$D$2002,5,FALSE),"")</f>
        <v/>
      </c>
      <c r="FX207" t="str">
        <f>+IFERROR(VLOOKUP(FX8,IN_Zugliste!$A$4:$D$2002,5,FALSE),"")</f>
        <v/>
      </c>
      <c r="FY207" t="str">
        <f>+IFERROR(VLOOKUP(FY8,IN_Zugliste!$A$4:$D$2002,5,FALSE),"")</f>
        <v/>
      </c>
      <c r="FZ207" t="str">
        <f>+IFERROR(VLOOKUP(FZ8,IN_Zugliste!$A$4:$D$2002,5,FALSE),"")</f>
        <v/>
      </c>
      <c r="GA207" t="str">
        <f>+IFERROR(VLOOKUP(GA8,IN_Zugliste!$A$4:$D$2002,5,FALSE),"")</f>
        <v/>
      </c>
      <c r="GB207" t="str">
        <f>+IFERROR(VLOOKUP(GB8,IN_Zugliste!$A$4:$D$2002,5,FALSE),"")</f>
        <v/>
      </c>
      <c r="GC207" t="str">
        <f>+IFERROR(VLOOKUP(GC8,IN_Zugliste!$A$4:$D$2002,5,FALSE),"")</f>
        <v/>
      </c>
      <c r="GD207" t="str">
        <f>+IFERROR(VLOOKUP(GD8,IN_Zugliste!$A$4:$D$2002,5,FALSE),"")</f>
        <v/>
      </c>
      <c r="GE207" t="str">
        <f>+IFERROR(VLOOKUP(GE8,IN_Zugliste!$A$4:$D$2002,5,FALSE),"")</f>
        <v/>
      </c>
      <c r="GF207" t="str">
        <f>+IFERROR(VLOOKUP(GF8,IN_Zugliste!$A$4:$D$2002,5,FALSE),"")</f>
        <v/>
      </c>
      <c r="GG207" t="str">
        <f>+IFERROR(VLOOKUP(GG8,IN_Zugliste!$A$4:$D$2002,5,FALSE),"")</f>
        <v/>
      </c>
      <c r="GH207" t="str">
        <f>+IFERROR(VLOOKUP(GH8,IN_Zugliste!$A$4:$D$2002,5,FALSE),"")</f>
        <v/>
      </c>
      <c r="GI207" t="str">
        <f>+IFERROR(VLOOKUP(GI8,IN_Zugliste!$A$4:$D$2002,5,FALSE),"")</f>
        <v/>
      </c>
      <c r="GJ207" t="str">
        <f>+IFERROR(VLOOKUP(GJ8,IN_Zugliste!$A$4:$D$2002,5,FALSE),"")</f>
        <v/>
      </c>
      <c r="GK207" t="str">
        <f>+IFERROR(VLOOKUP(GK8,IN_Zugliste!$A$4:$D$2002,5,FALSE),"")</f>
        <v/>
      </c>
      <c r="GL207" t="str">
        <f>+IFERROR(VLOOKUP(GL8,IN_Zugliste!$A$4:$D$2002,5,FALSE),"")</f>
        <v/>
      </c>
      <c r="GM207" t="str">
        <f>+IFERROR(VLOOKUP(GM8,IN_Zugliste!$A$4:$D$2002,5,FALSE),"")</f>
        <v/>
      </c>
      <c r="GN207" t="str">
        <f>+IFERROR(VLOOKUP(GN8,IN_Zugliste!$A$4:$D$2002,5,FALSE),"")</f>
        <v/>
      </c>
      <c r="GO207" t="str">
        <f>+IFERROR(VLOOKUP(GO8,IN_Zugliste!$A$4:$D$2002,5,FALSE),"")</f>
        <v/>
      </c>
      <c r="GP207" t="str">
        <f>+IFERROR(VLOOKUP(GP8,IN_Zugliste!$A$4:$D$2002,5,FALSE),"")</f>
        <v/>
      </c>
      <c r="GQ207" t="str">
        <f>+IFERROR(VLOOKUP(GQ8,IN_Zugliste!$A$4:$D$2002,5,FALSE),"")</f>
        <v/>
      </c>
      <c r="GR207" t="str">
        <f>+IFERROR(VLOOKUP(GR8,IN_Zugliste!$A$4:$D$2002,5,FALSE),"")</f>
        <v/>
      </c>
      <c r="GS207" t="str">
        <f>+IFERROR(VLOOKUP(GS8,IN_Zugliste!$A$4:$D$2002,5,FALSE),"")</f>
        <v/>
      </c>
      <c r="GT207" t="str">
        <f>+IFERROR(VLOOKUP(GT8,IN_Zugliste!$A$4:$D$2002,5,FALSE),"")</f>
        <v/>
      </c>
      <c r="GU207" t="str">
        <f>+IFERROR(VLOOKUP(GU8,IN_Zugliste!$A$4:$D$2002,5,FALSE),"")</f>
        <v/>
      </c>
      <c r="GV207" t="str">
        <f>+IFERROR(VLOOKUP(GV8,IN_Zugliste!$A$4:$D$2002,5,FALSE),"")</f>
        <v/>
      </c>
      <c r="GW207" t="str">
        <f>+IFERROR(VLOOKUP(GW8,IN_Zugliste!$A$4:$D$2002,5,FALSE),"")</f>
        <v/>
      </c>
      <c r="GX207" t="str">
        <f>+IFERROR(VLOOKUP(GX8,IN_Zugliste!$A$4:$D$2002,5,FALSE),"")</f>
        <v/>
      </c>
      <c r="GY207" t="str">
        <f>+IFERROR(VLOOKUP(GY8,IN_Zugliste!$A$4:$D$2002,5,FALSE),"")</f>
        <v/>
      </c>
      <c r="GZ207" t="str">
        <f>+IFERROR(VLOOKUP(GZ8,IN_Zugliste!$A$4:$D$2002,5,FALSE),"")</f>
        <v/>
      </c>
      <c r="HA207" t="str">
        <f>+IFERROR(VLOOKUP(HA8,IN_Zugliste!$A$4:$D$2002,5,FALSE),"")</f>
        <v/>
      </c>
      <c r="HB207" t="str">
        <f>+IFERROR(VLOOKUP(HB8,IN_Zugliste!$A$4:$D$2002,5,FALSE),"")</f>
        <v/>
      </c>
      <c r="HC207" t="str">
        <f>+IFERROR(VLOOKUP(HC8,IN_Zugliste!$A$4:$D$2002,5,FALSE),"")</f>
        <v/>
      </c>
      <c r="HD207" t="str">
        <f>+IFERROR(VLOOKUP(HD8,IN_Zugliste!$A$4:$D$2002,5,FALSE),"")</f>
        <v/>
      </c>
      <c r="HE207" t="str">
        <f>+IFERROR(VLOOKUP(HE8,IN_Zugliste!$A$4:$D$2002,5,FALSE),"")</f>
        <v/>
      </c>
      <c r="HF207" t="str">
        <f>+IFERROR(VLOOKUP(HF8,IN_Zugliste!$A$4:$D$2002,5,FALSE),"")</f>
        <v/>
      </c>
      <c r="HG207" t="str">
        <f>+IFERROR(VLOOKUP(HG8,IN_Zugliste!$A$4:$D$2002,5,FALSE),"")</f>
        <v/>
      </c>
      <c r="HH207" t="str">
        <f>+IFERROR(VLOOKUP(HH8,IN_Zugliste!$A$4:$D$2002,5,FALSE),"")</f>
        <v/>
      </c>
    </row>
    <row r="208" spans="1:248" x14ac:dyDescent="0.2">
      <c r="A208" t="str">
        <f>+IFERROR(VLOOKUP(A9,IN_Zugliste!$A$4:$E$2002,5,FALSE),"")</f>
        <v>Nein</v>
      </c>
      <c r="B208" t="str">
        <f>+IFERROR(VLOOKUP(B9,IN_Zugliste!$A$4:$E$2002,5,FALSE),"")</f>
        <v>Nein</v>
      </c>
      <c r="C208" t="str">
        <f>+IFERROR(VLOOKUP(C9,IN_Zugliste!$A$4:$E$2002,5,FALSE),"")</f>
        <v>Nein</v>
      </c>
      <c r="D208" t="str">
        <f>+IFERROR(VLOOKUP(D9,IN_Zugliste!$A$4:$E$2002,5,FALSE),"")</f>
        <v>Nein</v>
      </c>
      <c r="E208" t="str">
        <f>+IFERROR(VLOOKUP(E9,IN_Zugliste!$A$4:$E$2002,5,FALSE),"")</f>
        <v>Nein</v>
      </c>
      <c r="F208" t="str">
        <f>+IFERROR(VLOOKUP(F9,IN_Zugliste!$A$4:$E$2002,5,FALSE),"")</f>
        <v>Nein</v>
      </c>
      <c r="G208" t="str">
        <f>+IFERROR(VLOOKUP(G9,IN_Zugliste!$A$4:$E$2002,5,FALSE),"")</f>
        <v>Nein</v>
      </c>
      <c r="H208" t="str">
        <f>+IFERROR(VLOOKUP(H9,IN_Zugliste!$A$4:$E$2002,5,FALSE),"")</f>
        <v>Nein</v>
      </c>
      <c r="I208" t="str">
        <f>+IFERROR(VLOOKUP(I9,IN_Zugliste!$A$4:$E$2002,5,FALSE),"")</f>
        <v/>
      </c>
      <c r="J208" t="str">
        <f>+IFERROR(VLOOKUP(J9,IN_Zugliste!$A$4:$E$2002,5,FALSE),"")</f>
        <v/>
      </c>
      <c r="K208" t="str">
        <f>+IFERROR(VLOOKUP(K9,IN_Zugliste!$A$4:$E$2002,5,FALSE),"")</f>
        <v/>
      </c>
      <c r="L208" t="str">
        <f>+IFERROR(VLOOKUP(L9,IN_Zugliste!$A$4:$E$2002,5,FALSE),"")</f>
        <v/>
      </c>
      <c r="M208" t="str">
        <f>+IFERROR(VLOOKUP(M9,IN_Zugliste!$A$4:$E$2002,5,FALSE),"")</f>
        <v/>
      </c>
      <c r="N208" t="str">
        <f>+IFERROR(VLOOKUP(N9,IN_Zugliste!$A$4:$E$2002,5,FALSE),"")</f>
        <v>Nein</v>
      </c>
      <c r="O208" t="str">
        <f>+IFERROR(VLOOKUP(O9,IN_Zugliste!$A$4:$E$2002,5,FALSE),"")</f>
        <v/>
      </c>
      <c r="P208" t="str">
        <f>+IFERROR(VLOOKUP(P9,IN_Zugliste!$A$4:$E$2002,5,FALSE),"")</f>
        <v/>
      </c>
      <c r="Q208" t="str">
        <f>+IFERROR(VLOOKUP(Q9,IN_Zugliste!$A$4:$E$2002,5,FALSE),"")</f>
        <v/>
      </c>
      <c r="R208" t="str">
        <f>+IFERROR(VLOOKUP(R9,IN_Zugliste!$A$4:$E$2002,5,FALSE),"")</f>
        <v/>
      </c>
      <c r="S208" t="str">
        <f>+IFERROR(VLOOKUP(S9,IN_Zugliste!$A$4:$E$2002,5,FALSE),"")</f>
        <v/>
      </c>
      <c r="T208" t="str">
        <f>+IFERROR(VLOOKUP(T9,IN_Zugliste!$A$4:$E$2002,5,FALSE),"")</f>
        <v/>
      </c>
      <c r="U208" t="str">
        <f>+IFERROR(VLOOKUP(U9,IN_Zugliste!$A$4:$E$2002,5,FALSE),"")</f>
        <v/>
      </c>
      <c r="V208" t="str">
        <f>+IFERROR(VLOOKUP(V9,IN_Zugliste!$A$4:$E$2002,5,FALSE),"")</f>
        <v/>
      </c>
      <c r="W208" t="str">
        <f>+IFERROR(VLOOKUP(W9,IN_Zugliste!$A$4:$E$2002,5,FALSE),"")</f>
        <v/>
      </c>
      <c r="X208" t="str">
        <f>+IFERROR(VLOOKUP(X9,IN_Zugliste!$A$4:$E$2002,5,FALSE),"")</f>
        <v>Nein</v>
      </c>
      <c r="Y208" t="str">
        <f>+IFERROR(VLOOKUP(Y9,IN_Zugliste!$A$4:$E$2002,5,FALSE),"")</f>
        <v/>
      </c>
      <c r="Z208" t="str">
        <f>+IFERROR(VLOOKUP(Z9,IN_Zugliste!$A$4:$E$2002,5,FALSE),"")</f>
        <v/>
      </c>
      <c r="AA208" t="str">
        <f>+IFERROR(VLOOKUP(AA9,IN_Zugliste!$A$4:$E$2002,5,FALSE),"")</f>
        <v/>
      </c>
      <c r="AB208" t="str">
        <f>+IFERROR(VLOOKUP(AB9,IN_Zugliste!$A$4:$E$2002,5,FALSE),"")</f>
        <v>Nein</v>
      </c>
      <c r="AC208" t="str">
        <f>+IFERROR(VLOOKUP(AC9,IN_Zugliste!$A$4:$E$2002,5,FALSE),"")</f>
        <v/>
      </c>
      <c r="AD208" t="str">
        <f>+IFERROR(VLOOKUP(AD9,IN_Zugliste!$A$4:$E$2002,5,FALSE),"")</f>
        <v/>
      </c>
      <c r="AE208" t="str">
        <f>+IFERROR(VLOOKUP(AE9,IN_Zugliste!$A$4:$E$2002,5,FALSE),"")</f>
        <v/>
      </c>
      <c r="AF208" t="str">
        <f>+IFERROR(VLOOKUP(AF9,IN_Zugliste!$A$4:$E$2002,5,FALSE),"")</f>
        <v/>
      </c>
      <c r="AG208" t="str">
        <f>+IFERROR(VLOOKUP(AG9,IN_Zugliste!$A$4:$E$2002,5,FALSE),"")</f>
        <v/>
      </c>
      <c r="AH208" t="str">
        <f>+IFERROR(VLOOKUP(AH9,IN_Zugliste!$A$4:$E$2002,5,FALSE),"")</f>
        <v/>
      </c>
      <c r="AI208" t="str">
        <f>+IFERROR(VLOOKUP(AI9,IN_Zugliste!$A$4:$E$2002,5,FALSE),"")</f>
        <v/>
      </c>
      <c r="AJ208" t="str">
        <f>+IFERROR(VLOOKUP(AJ9,IN_Zugliste!$A$4:$E$2002,5,FALSE),"")</f>
        <v/>
      </c>
      <c r="AK208" t="str">
        <f>+IFERROR(VLOOKUP(AK9,IN_Zugliste!$A$4:$E$2002,5,FALSE),"")</f>
        <v/>
      </c>
      <c r="AL208" t="str">
        <f>+IFERROR(VLOOKUP(AL9,IN_Zugliste!$A$4:$E$2002,5,FALSE),"")</f>
        <v/>
      </c>
      <c r="AM208" t="str">
        <f>+IFERROR(VLOOKUP(AM9,IN_Zugliste!$A$4:$E$2002,5,FALSE),"")</f>
        <v/>
      </c>
      <c r="AN208" t="str">
        <f>+IFERROR(VLOOKUP(AN9,IN_Zugliste!$A$4:$E$2002,5,FALSE),"")</f>
        <v/>
      </c>
      <c r="AO208" t="str">
        <f>+IFERROR(VLOOKUP(AO9,IN_Zugliste!$A$4:$E$2002,5,FALSE),"")</f>
        <v/>
      </c>
      <c r="AP208" t="str">
        <f>+IFERROR(VLOOKUP(AP9,IN_Zugliste!$A$4:$E$2002,5,FALSE),"")</f>
        <v/>
      </c>
      <c r="AQ208" t="str">
        <f>+IFERROR(VLOOKUP(AQ9,IN_Zugliste!$A$4:$E$2002,5,FALSE),"")</f>
        <v/>
      </c>
      <c r="AR208" t="str">
        <f>+IFERROR(VLOOKUP(AR9,IN_Zugliste!$A$4:$E$2002,5,FALSE),"")</f>
        <v/>
      </c>
      <c r="AS208" t="str">
        <f>+IFERROR(VLOOKUP(AS9,IN_Zugliste!$A$4:$E$2002,5,FALSE),"")</f>
        <v/>
      </c>
      <c r="AT208" t="str">
        <f>+IFERROR(VLOOKUP(AT9,IN_Zugliste!$A$4:$E$2002,5,FALSE),"")</f>
        <v/>
      </c>
      <c r="AU208" t="str">
        <f>+IFERROR(VLOOKUP(AU9,IN_Zugliste!$A$4:$E$2002,5,FALSE),"")</f>
        <v/>
      </c>
      <c r="AV208" t="str">
        <f>+IFERROR(VLOOKUP(AV9,IN_Zugliste!$A$4:$E$2002,5,FALSE),"")</f>
        <v/>
      </c>
      <c r="AW208" t="str">
        <f>+IFERROR(VLOOKUP(AW9,IN_Zugliste!$A$4:$E$2002,5,FALSE),"")</f>
        <v/>
      </c>
      <c r="AX208" t="str">
        <f>+IFERROR(VLOOKUP(AX9,IN_Zugliste!$A$4:$E$2002,5,FALSE),"")</f>
        <v/>
      </c>
      <c r="AY208" t="str">
        <f>+IFERROR(VLOOKUP(AY9,IN_Zugliste!$A$4:$E$2002,5,FALSE),"")</f>
        <v/>
      </c>
      <c r="AZ208" t="str">
        <f>+IFERROR(VLOOKUP(AZ9,IN_Zugliste!$A$4:$E$2002,5,FALSE),"")</f>
        <v/>
      </c>
      <c r="BA208" t="str">
        <f>+IFERROR(VLOOKUP(BA9,IN_Zugliste!$A$4:$E$2002,5,FALSE),"")</f>
        <v/>
      </c>
      <c r="BB208" t="str">
        <f>+IFERROR(VLOOKUP(BB9,IN_Zugliste!$A$4:$E$2002,5,FALSE),"")</f>
        <v/>
      </c>
      <c r="BC208" t="str">
        <f>+IFERROR(VLOOKUP(BC9,IN_Zugliste!$A$4:$E$2002,5,FALSE),"")</f>
        <v/>
      </c>
      <c r="BD208" t="str">
        <f>+IFERROR(VLOOKUP(BD9,IN_Zugliste!$A$4:$E$2002,5,FALSE),"")</f>
        <v/>
      </c>
      <c r="BE208" t="str">
        <f>+IFERROR(VLOOKUP(BE9,IN_Zugliste!$A$4:$E$2002,5,FALSE),"")</f>
        <v/>
      </c>
      <c r="BF208" t="str">
        <f>+IFERROR(VLOOKUP(BF9,IN_Zugliste!$A$4:$E$2002,5,FALSE),"")</f>
        <v/>
      </c>
      <c r="BG208" t="str">
        <f>+IFERROR(VLOOKUP(BG9,IN_Zugliste!$A$4:$E$2002,5,FALSE),"")</f>
        <v/>
      </c>
      <c r="BH208" t="str">
        <f>+IFERROR(VLOOKUP(BH9,IN_Zugliste!$A$4:$E$2002,5,FALSE),"")</f>
        <v/>
      </c>
      <c r="BI208" t="str">
        <f>+IFERROR(VLOOKUP(BI9,IN_Zugliste!$A$4:$E$2002,5,FALSE),"")</f>
        <v/>
      </c>
      <c r="BJ208" t="str">
        <f>+IFERROR(VLOOKUP(BJ9,IN_Zugliste!$A$4:$E$2002,5,FALSE),"")</f>
        <v/>
      </c>
      <c r="BK208" t="str">
        <f>+IFERROR(VLOOKUP(BK9,IN_Zugliste!$A$4:$E$2002,5,FALSE),"")</f>
        <v/>
      </c>
      <c r="BL208" t="str">
        <f>+IFERROR(VLOOKUP(BL9,IN_Zugliste!$A$4:$E$2002,5,FALSE),"")</f>
        <v/>
      </c>
      <c r="BM208" t="str">
        <f>+IFERROR(VLOOKUP(BM9,IN_Zugliste!$A$4:$E$2002,5,FALSE),"")</f>
        <v/>
      </c>
      <c r="BN208" t="str">
        <f>+IFERROR(VLOOKUP(BN9,IN_Zugliste!$A$4:$E$2002,5,FALSE),"")</f>
        <v/>
      </c>
      <c r="BO208" t="str">
        <f>+IFERROR(VLOOKUP(BO9,IN_Zugliste!$A$4:$E$2002,5,FALSE),"")</f>
        <v/>
      </c>
      <c r="BP208" t="str">
        <f>+IFERROR(VLOOKUP(BP9,IN_Zugliste!$A$4:$E$2002,5,FALSE),"")</f>
        <v/>
      </c>
      <c r="BQ208" t="str">
        <f>+IFERROR(VLOOKUP(BQ9,IN_Zugliste!$A$4:$E$2002,5,FALSE),"")</f>
        <v/>
      </c>
      <c r="BR208" t="str">
        <f>+IFERROR(VLOOKUP(BR9,IN_Zugliste!$A$4:$E$2002,5,FALSE),"")</f>
        <v/>
      </c>
      <c r="BS208" t="str">
        <f>+IFERROR(VLOOKUP(BS9,IN_Zugliste!$A$4:$E$2002,5,FALSE),"")</f>
        <v/>
      </c>
      <c r="BT208" t="str">
        <f>+IFERROR(VLOOKUP(BT9,IN_Zugliste!$A$4:$E$2002,5,FALSE),"")</f>
        <v/>
      </c>
      <c r="BU208" t="str">
        <f>+IFERROR(VLOOKUP(BU9,IN_Zugliste!$A$4:$E$2002,5,FALSE),"")</f>
        <v/>
      </c>
      <c r="BV208" t="str">
        <f>+IFERROR(VLOOKUP(BV9,IN_Zugliste!$A$4:$E$2002,5,FALSE),"")</f>
        <v/>
      </c>
      <c r="BW208" t="str">
        <f>+IFERROR(VLOOKUP(BW9,IN_Zugliste!$A$4:$E$2002,5,FALSE),"")</f>
        <v/>
      </c>
      <c r="BX208" t="str">
        <f>+IFERROR(VLOOKUP(BX9,IN_Zugliste!$A$4:$E$2002,5,FALSE),"")</f>
        <v/>
      </c>
      <c r="BY208" t="str">
        <f>+IFERROR(VLOOKUP(BY9,IN_Zugliste!$A$4:$E$2002,5,FALSE),"")</f>
        <v/>
      </c>
      <c r="BZ208" t="str">
        <f>+IFERROR(VLOOKUP(BZ9,IN_Zugliste!$A$4:$E$2002,5,FALSE),"")</f>
        <v/>
      </c>
      <c r="CA208" t="str">
        <f>+IFERROR(VLOOKUP(CA9,IN_Zugliste!$A$4:$E$2002,5,FALSE),"")</f>
        <v/>
      </c>
      <c r="CB208" t="str">
        <f>+IFERROR(VLOOKUP(CB9,IN_Zugliste!$A$4:$E$2002,5,FALSE),"")</f>
        <v/>
      </c>
      <c r="CC208" t="str">
        <f>+IFERROR(VLOOKUP(CC9,IN_Zugliste!$A$4:$E$2002,5,FALSE),"")</f>
        <v/>
      </c>
      <c r="CD208" t="str">
        <f>+IFERROR(VLOOKUP(CD9,IN_Zugliste!$A$4:$E$2002,5,FALSE),"")</f>
        <v/>
      </c>
      <c r="CE208" t="str">
        <f>+IFERROR(VLOOKUP(CE9,IN_Zugliste!$A$4:$E$2002,5,FALSE),"")</f>
        <v/>
      </c>
      <c r="CF208" t="str">
        <f>+IFERROR(VLOOKUP(CF9,IN_Zugliste!$A$4:$E$2002,5,FALSE),"")</f>
        <v/>
      </c>
      <c r="CG208" t="str">
        <f>+IFERROR(VLOOKUP(CG9,IN_Zugliste!$A$4:$E$2002,5,FALSE),"")</f>
        <v/>
      </c>
      <c r="CH208" t="str">
        <f>+IFERROR(VLOOKUP(CH9,IN_Zugliste!$A$4:$E$2002,5,FALSE),"")</f>
        <v/>
      </c>
      <c r="CI208" t="str">
        <f>+IFERROR(VLOOKUP(CI9,IN_Zugliste!$A$4:$E$2002,5,FALSE),"")</f>
        <v/>
      </c>
      <c r="CJ208" t="str">
        <f>+IFERROR(VLOOKUP(CJ9,IN_Zugliste!$A$4:$E$2002,5,FALSE),"")</f>
        <v/>
      </c>
      <c r="CK208" t="str">
        <f>+IFERROR(VLOOKUP(CK9,IN_Zugliste!$A$4:$E$2002,5,FALSE),"")</f>
        <v/>
      </c>
      <c r="CL208" t="str">
        <f>+IFERROR(VLOOKUP(CL9,IN_Zugliste!$A$4:$E$2002,5,FALSE),"")</f>
        <v/>
      </c>
      <c r="CM208" t="str">
        <f>+IFERROR(VLOOKUP(CM9,IN_Zugliste!$A$4:$E$2002,5,FALSE),"")</f>
        <v/>
      </c>
      <c r="CN208" t="str">
        <f>+IFERROR(VLOOKUP(CN9,IN_Zugliste!$A$4:$E$2002,5,FALSE),"")</f>
        <v/>
      </c>
      <c r="CO208" t="str">
        <f>+IFERROR(VLOOKUP(CO9,IN_Zugliste!$A$4:$E$2002,5,FALSE),"")</f>
        <v/>
      </c>
      <c r="CP208" t="str">
        <f>+IFERROR(VLOOKUP(CP9,IN_Zugliste!$A$4:$E$2002,5,FALSE),"")</f>
        <v/>
      </c>
      <c r="CQ208" t="str">
        <f>+IFERROR(VLOOKUP(CQ9,IN_Zugliste!$A$4:$E$2002,5,FALSE),"")</f>
        <v/>
      </c>
      <c r="CR208" t="str">
        <f>+IFERROR(VLOOKUP(CR9,IN_Zugliste!$A$4:$E$2002,5,FALSE),"")</f>
        <v/>
      </c>
      <c r="CS208" t="str">
        <f>+IFERROR(VLOOKUP(CS9,IN_Zugliste!$A$4:$E$2002,5,FALSE),"")</f>
        <v/>
      </c>
      <c r="CT208" t="str">
        <f>+IFERROR(VLOOKUP(CT9,IN_Zugliste!$A$4:$E$2002,5,FALSE),"")</f>
        <v/>
      </c>
      <c r="CU208" t="str">
        <f>+IFERROR(VLOOKUP(CU9,IN_Zugliste!$A$4:$E$2002,5,FALSE),"")</f>
        <v/>
      </c>
      <c r="CV208" t="str">
        <f>+IFERROR(VLOOKUP(CV9,IN_Zugliste!$A$4:$E$2002,5,FALSE),"")</f>
        <v/>
      </c>
      <c r="CW208" t="str">
        <f>+IFERROR(VLOOKUP(CW9,IN_Zugliste!$A$4:$E$2002,5,FALSE),"")</f>
        <v/>
      </c>
      <c r="CX208" t="str">
        <f>+IFERROR(VLOOKUP(CX9,IN_Zugliste!$A$4:$E$2002,5,FALSE),"")</f>
        <v/>
      </c>
      <c r="CY208" t="str">
        <f>+IFERROR(VLOOKUP(CY9,IN_Zugliste!$A$4:$E$2002,5,FALSE),"")</f>
        <v/>
      </c>
      <c r="CZ208" t="str">
        <f>+IFERROR(VLOOKUP(CZ9,IN_Zugliste!$A$4:$E$2002,5,FALSE),"")</f>
        <v/>
      </c>
      <c r="DA208" t="str">
        <f>+IFERROR(VLOOKUP(DA9,IN_Zugliste!$A$4:$E$2002,5,FALSE),"")</f>
        <v/>
      </c>
      <c r="DB208" t="str">
        <f>+IFERROR(VLOOKUP(DB9,IN_Zugliste!$A$4:$E$2002,5,FALSE),"")</f>
        <v/>
      </c>
      <c r="DC208" t="str">
        <f>+IFERROR(VLOOKUP(DC9,IN_Zugliste!$A$4:$E$2002,5,FALSE),"")</f>
        <v/>
      </c>
      <c r="DD208" t="str">
        <f>+IFERROR(VLOOKUP(DD9,IN_Zugliste!$A$4:$E$2002,5,FALSE),"")</f>
        <v/>
      </c>
      <c r="DE208" t="str">
        <f>+IFERROR(VLOOKUP(DE9,IN_Zugliste!$A$4:$E$2002,5,FALSE),"")</f>
        <v/>
      </c>
      <c r="DF208" t="str">
        <f>+IFERROR(VLOOKUP(DF9,IN_Zugliste!$A$4:$E$2002,5,FALSE),"")</f>
        <v/>
      </c>
      <c r="DG208" t="str">
        <f>+IFERROR(VLOOKUP(DG9,IN_Zugliste!$A$4:$E$2002,5,FALSE),"")</f>
        <v/>
      </c>
      <c r="DH208" t="str">
        <f>+IFERROR(VLOOKUP(DH9,IN_Zugliste!$A$4:$E$2002,5,FALSE),"")</f>
        <v/>
      </c>
      <c r="DI208" t="str">
        <f>+IFERROR(VLOOKUP(DI9,IN_Zugliste!$A$4:$E$2002,5,FALSE),"")</f>
        <v/>
      </c>
      <c r="DJ208" t="str">
        <f>+IFERROR(VLOOKUP(DJ9,IN_Zugliste!$A$4:$E$2002,5,FALSE),"")</f>
        <v/>
      </c>
      <c r="DK208" t="str">
        <f>+IFERROR(VLOOKUP(DK9,IN_Zugliste!$A$4:$E$2002,5,FALSE),"")</f>
        <v/>
      </c>
      <c r="DL208" t="str">
        <f>+IFERROR(VLOOKUP(DL9,IN_Zugliste!$A$4:$E$2002,5,FALSE),"")</f>
        <v/>
      </c>
      <c r="DM208" t="str">
        <f>+IFERROR(VLOOKUP(DM9,IN_Zugliste!$A$4:$E$2002,5,FALSE),"")</f>
        <v/>
      </c>
      <c r="DN208" t="str">
        <f>+IFERROR(VLOOKUP(DN9,IN_Zugliste!$A$4:$E$2002,5,FALSE),"")</f>
        <v/>
      </c>
      <c r="DO208" t="str">
        <f>+IFERROR(VLOOKUP(DO9,IN_Zugliste!$A$4:$E$2002,5,FALSE),"")</f>
        <v/>
      </c>
      <c r="DP208" t="str">
        <f>+IFERROR(VLOOKUP(DP9,IN_Zugliste!$A$4:$E$2002,5,FALSE),"")</f>
        <v/>
      </c>
      <c r="DQ208" t="str">
        <f>+IFERROR(VLOOKUP(DQ9,IN_Zugliste!$A$4:$E$2002,5,FALSE),"")</f>
        <v/>
      </c>
      <c r="DR208" t="str">
        <f>+IFERROR(VLOOKUP(DR9,IN_Zugliste!$A$4:$E$2002,5,FALSE),"")</f>
        <v/>
      </c>
      <c r="DS208" t="str">
        <f>+IFERROR(VLOOKUP(DS9,IN_Zugliste!$A$4:$E$2002,5,FALSE),"")</f>
        <v/>
      </c>
      <c r="DT208" t="str">
        <f>+IFERROR(VLOOKUP(DT9,IN_Zugliste!$A$4:$E$2002,5,FALSE),"")</f>
        <v/>
      </c>
      <c r="DU208" t="str">
        <f>+IFERROR(VLOOKUP(DU9,IN_Zugliste!$A$4:$E$2002,5,FALSE),"")</f>
        <v/>
      </c>
      <c r="DV208" t="str">
        <f>+IFERROR(VLOOKUP(DV9,IN_Zugliste!$A$4:$E$2002,5,FALSE),"")</f>
        <v/>
      </c>
      <c r="DW208" t="str">
        <f>+IFERROR(VLOOKUP(DW9,IN_Zugliste!$A$4:$E$2002,5,FALSE),"")</f>
        <v/>
      </c>
      <c r="DX208" t="str">
        <f>+IFERROR(VLOOKUP(DX9,IN_Zugliste!$A$4:$E$2002,5,FALSE),"")</f>
        <v/>
      </c>
      <c r="DY208" t="str">
        <f>+IFERROR(VLOOKUP(DY9,IN_Zugliste!$A$4:$E$2002,5,FALSE),"")</f>
        <v/>
      </c>
      <c r="DZ208" t="str">
        <f>+IFERROR(VLOOKUP(DZ9,IN_Zugliste!$A$4:$E$2002,5,FALSE),"")</f>
        <v/>
      </c>
      <c r="EA208" t="str">
        <f>+IFERROR(VLOOKUP(EA9,IN_Zugliste!$A$4:$E$2002,5,FALSE),"")</f>
        <v/>
      </c>
      <c r="EB208" t="str">
        <f>+IFERROR(VLOOKUP(EB9,IN_Zugliste!$A$4:$E$2002,5,FALSE),"")</f>
        <v/>
      </c>
      <c r="EC208" t="str">
        <f>+IFERROR(VLOOKUP(EC9,IN_Zugliste!$A$4:$E$2002,5,FALSE),"")</f>
        <v/>
      </c>
      <c r="ED208" t="str">
        <f>+IFERROR(VLOOKUP(ED9,IN_Zugliste!$A$4:$E$2002,5,FALSE),"")</f>
        <v/>
      </c>
      <c r="EE208" t="str">
        <f>+IFERROR(VLOOKUP(EE9,IN_Zugliste!$A$4:$E$2002,5,FALSE),"")</f>
        <v/>
      </c>
      <c r="EF208" t="str">
        <f>+IFERROR(VLOOKUP(EF9,IN_Zugliste!$A$4:$E$2002,5,FALSE),"")</f>
        <v/>
      </c>
      <c r="EG208" t="str">
        <f>+IFERROR(VLOOKUP(EG9,IN_Zugliste!$A$4:$E$2002,5,FALSE),"")</f>
        <v/>
      </c>
      <c r="EH208" t="str">
        <f>+IFERROR(VLOOKUP(EH9,IN_Zugliste!$A$4:$E$2002,5,FALSE),"")</f>
        <v/>
      </c>
      <c r="EI208" t="str">
        <f>+IFERROR(VLOOKUP(EI9,IN_Zugliste!$A$4:$E$2002,5,FALSE),"")</f>
        <v/>
      </c>
      <c r="EJ208" t="str">
        <f>+IFERROR(VLOOKUP(EJ9,IN_Zugliste!$A$4:$E$2002,5,FALSE),"")</f>
        <v/>
      </c>
      <c r="EK208" t="str">
        <f>+IFERROR(VLOOKUP(EK9,IN_Zugliste!$A$4:$E$2002,5,FALSE),"")</f>
        <v/>
      </c>
      <c r="EL208" t="str">
        <f>+IFERROR(VLOOKUP(EL9,IN_Zugliste!$A$4:$E$2002,5,FALSE),"")</f>
        <v/>
      </c>
      <c r="EM208" t="str">
        <f>+IFERROR(VLOOKUP(EM9,IN_Zugliste!$A$4:$E$2002,5,FALSE),"")</f>
        <v/>
      </c>
      <c r="EN208" t="str">
        <f>+IFERROR(VLOOKUP(EN9,IN_Zugliste!$A$4:$E$2002,5,FALSE),"")</f>
        <v/>
      </c>
      <c r="EO208" t="str">
        <f>+IFERROR(VLOOKUP(EO9,IN_Zugliste!$A$4:$E$2002,5,FALSE),"")</f>
        <v/>
      </c>
      <c r="EP208" t="str">
        <f>+IFERROR(VLOOKUP(EP9,IN_Zugliste!$A$4:$E$2002,5,FALSE),"")</f>
        <v/>
      </c>
      <c r="EQ208" t="str">
        <f>+IFERROR(VLOOKUP(EQ9,IN_Zugliste!$A$4:$E$2002,5,FALSE),"")</f>
        <v/>
      </c>
      <c r="ER208" t="str">
        <f>+IFERROR(VLOOKUP(ER9,IN_Zugliste!$A$4:$E$2002,5,FALSE),"")</f>
        <v/>
      </c>
      <c r="ES208" t="str">
        <f>+IFERROR(VLOOKUP(ES9,IN_Zugliste!$A$4:$E$2002,5,FALSE),"")</f>
        <v/>
      </c>
      <c r="ET208" t="str">
        <f>+IFERROR(VLOOKUP(ET9,IN_Zugliste!$A$4:$E$2002,5,FALSE),"")</f>
        <v/>
      </c>
      <c r="EU208" t="str">
        <f>+IFERROR(VLOOKUP(EU9,IN_Zugliste!$A$4:$E$2002,5,FALSE),"")</f>
        <v/>
      </c>
      <c r="EV208" t="str">
        <f>+IFERROR(VLOOKUP(EV9,IN_Zugliste!$A$4:$E$2002,5,FALSE),"")</f>
        <v/>
      </c>
      <c r="EW208" t="str">
        <f>+IFERROR(VLOOKUP(EW9,IN_Zugliste!$A$4:$E$2002,5,FALSE),"")</f>
        <v/>
      </c>
      <c r="EX208" t="str">
        <f>+IFERROR(VLOOKUP(EX9,IN_Zugliste!$A$4:$E$2002,5,FALSE),"")</f>
        <v/>
      </c>
      <c r="EY208" t="str">
        <f>+IFERROR(VLOOKUP(EY9,IN_Zugliste!$A$4:$E$2002,5,FALSE),"")</f>
        <v/>
      </c>
      <c r="EZ208" t="str">
        <f>+IFERROR(VLOOKUP(EZ9,IN_Zugliste!$A$4:$E$2002,5,FALSE),"")</f>
        <v/>
      </c>
      <c r="FA208" t="str">
        <f>+IFERROR(VLOOKUP(FA9,IN_Zugliste!$A$4:$E$2002,5,FALSE),"")</f>
        <v/>
      </c>
      <c r="FB208" t="str">
        <f>+IFERROR(VLOOKUP(FB9,IN_Zugliste!$A$4:$E$2002,5,FALSE),"")</f>
        <v/>
      </c>
      <c r="FC208" t="str">
        <f>+IFERROR(VLOOKUP(FC9,IN_Zugliste!$A$4:$E$2002,5,FALSE),"")</f>
        <v/>
      </c>
      <c r="FD208" t="str">
        <f>+IFERROR(VLOOKUP(FD9,IN_Zugliste!$A$4:$E$2002,5,FALSE),"")</f>
        <v/>
      </c>
      <c r="FE208" t="str">
        <f>+IFERROR(VLOOKUP(FE9,IN_Zugliste!$A$4:$E$2002,5,FALSE),"")</f>
        <v/>
      </c>
      <c r="FF208" t="str">
        <f>+IFERROR(VLOOKUP(FF9,IN_Zugliste!$A$4:$E$2002,5,FALSE),"")</f>
        <v/>
      </c>
      <c r="FG208" t="str">
        <f>+IFERROR(VLOOKUP(FG9,IN_Zugliste!$A$4:$E$2002,5,FALSE),"")</f>
        <v/>
      </c>
      <c r="FH208" t="str">
        <f>+IFERROR(VLOOKUP(FH9,IN_Zugliste!$A$4:$E$2002,5,FALSE),"")</f>
        <v/>
      </c>
      <c r="FI208" t="str">
        <f>+IFERROR(VLOOKUP(FI9,IN_Zugliste!$A$4:$E$2002,5,FALSE),"")</f>
        <v/>
      </c>
      <c r="FJ208" t="str">
        <f>+IFERROR(VLOOKUP(FJ9,IN_Zugliste!$A$4:$E$2002,5,FALSE),"")</f>
        <v/>
      </c>
      <c r="FK208" t="str">
        <f>+IFERROR(VLOOKUP(FK9,IN_Zugliste!$A$4:$E$2002,5,FALSE),"")</f>
        <v/>
      </c>
      <c r="FL208" t="str">
        <f>+IFERROR(VLOOKUP(FL9,IN_Zugliste!$A$4:$E$2002,5,FALSE),"")</f>
        <v/>
      </c>
      <c r="FM208" t="str">
        <f>+IFERROR(VLOOKUP(FM9,IN_Zugliste!$A$4:$D$2002,5,FALSE),"")</f>
        <v/>
      </c>
      <c r="FN208" t="str">
        <f>+IFERROR(VLOOKUP(FN9,IN_Zugliste!$A$4:$D$2002,5,FALSE),"")</f>
        <v/>
      </c>
      <c r="FO208" t="str">
        <f>+IFERROR(VLOOKUP(FO9,IN_Zugliste!$A$4:$D$2002,5,FALSE),"")</f>
        <v/>
      </c>
      <c r="FP208" t="str">
        <f>+IFERROR(VLOOKUP(FP9,IN_Zugliste!$A$4:$D$2002,5,FALSE),"")</f>
        <v/>
      </c>
      <c r="FQ208" t="str">
        <f>+IFERROR(VLOOKUP(FQ9,IN_Zugliste!$A$4:$D$2002,5,FALSE),"")</f>
        <v/>
      </c>
      <c r="FR208" t="str">
        <f>+IFERROR(VLOOKUP(FR9,IN_Zugliste!$A$4:$D$2002,5,FALSE),"")</f>
        <v/>
      </c>
      <c r="FS208" t="str">
        <f>+IFERROR(VLOOKUP(FS9,IN_Zugliste!$A$4:$D$2002,5,FALSE),"")</f>
        <v/>
      </c>
      <c r="FT208" t="str">
        <f>+IFERROR(VLOOKUP(FT9,IN_Zugliste!$A$4:$D$2002,5,FALSE),"")</f>
        <v/>
      </c>
      <c r="FU208" t="str">
        <f>+IFERROR(VLOOKUP(FU9,IN_Zugliste!$A$4:$D$2002,5,FALSE),"")</f>
        <v/>
      </c>
      <c r="FV208" t="str">
        <f>+IFERROR(VLOOKUP(FV9,IN_Zugliste!$A$4:$D$2002,5,FALSE),"")</f>
        <v/>
      </c>
      <c r="FW208" t="str">
        <f>+IFERROR(VLOOKUP(FW9,IN_Zugliste!$A$4:$D$2002,5,FALSE),"")</f>
        <v/>
      </c>
      <c r="FX208" t="str">
        <f>+IFERROR(VLOOKUP(FX9,IN_Zugliste!$A$4:$D$2002,5,FALSE),"")</f>
        <v/>
      </c>
      <c r="FY208" t="str">
        <f>+IFERROR(VLOOKUP(FY9,IN_Zugliste!$A$4:$D$2002,5,FALSE),"")</f>
        <v/>
      </c>
      <c r="FZ208" t="str">
        <f>+IFERROR(VLOOKUP(FZ9,IN_Zugliste!$A$4:$D$2002,5,FALSE),"")</f>
        <v/>
      </c>
      <c r="GA208" t="str">
        <f>+IFERROR(VLOOKUP(GA9,IN_Zugliste!$A$4:$D$2002,5,FALSE),"")</f>
        <v/>
      </c>
      <c r="GB208" t="str">
        <f>+IFERROR(VLOOKUP(GB9,IN_Zugliste!$A$4:$D$2002,5,FALSE),"")</f>
        <v/>
      </c>
      <c r="GC208" t="str">
        <f>+IFERROR(VLOOKUP(GC9,IN_Zugliste!$A$4:$D$2002,5,FALSE),"")</f>
        <v/>
      </c>
      <c r="GD208" t="str">
        <f>+IFERROR(VLOOKUP(GD9,IN_Zugliste!$A$4:$D$2002,5,FALSE),"")</f>
        <v/>
      </c>
      <c r="GE208" t="str">
        <f>+IFERROR(VLOOKUP(GE9,IN_Zugliste!$A$4:$D$2002,5,FALSE),"")</f>
        <v/>
      </c>
      <c r="GF208" t="str">
        <f>+IFERROR(VLOOKUP(GF9,IN_Zugliste!$A$4:$D$2002,5,FALSE),"")</f>
        <v/>
      </c>
      <c r="GG208" t="str">
        <f>+IFERROR(VLOOKUP(GG9,IN_Zugliste!$A$4:$D$2002,5,FALSE),"")</f>
        <v/>
      </c>
      <c r="GH208" t="str">
        <f>+IFERROR(VLOOKUP(GH9,IN_Zugliste!$A$4:$D$2002,5,FALSE),"")</f>
        <v/>
      </c>
      <c r="GI208" t="str">
        <f>+IFERROR(VLOOKUP(GI9,IN_Zugliste!$A$4:$D$2002,5,FALSE),"")</f>
        <v/>
      </c>
      <c r="GJ208" t="str">
        <f>+IFERROR(VLOOKUP(GJ9,IN_Zugliste!$A$4:$D$2002,5,FALSE),"")</f>
        <v/>
      </c>
      <c r="GK208" t="str">
        <f>+IFERROR(VLOOKUP(GK9,IN_Zugliste!$A$4:$D$2002,5,FALSE),"")</f>
        <v/>
      </c>
      <c r="GL208" t="str">
        <f>+IFERROR(VLOOKUP(GL9,IN_Zugliste!$A$4:$D$2002,5,FALSE),"")</f>
        <v/>
      </c>
      <c r="GM208" t="str">
        <f>+IFERROR(VLOOKUP(GM9,IN_Zugliste!$A$4:$D$2002,5,FALSE),"")</f>
        <v/>
      </c>
      <c r="GN208" t="str">
        <f>+IFERROR(VLOOKUP(GN9,IN_Zugliste!$A$4:$D$2002,5,FALSE),"")</f>
        <v/>
      </c>
      <c r="GO208" t="str">
        <f>+IFERROR(VLOOKUP(GO9,IN_Zugliste!$A$4:$D$2002,5,FALSE),"")</f>
        <v/>
      </c>
      <c r="GP208" t="str">
        <f>+IFERROR(VLOOKUP(GP9,IN_Zugliste!$A$4:$D$2002,5,FALSE),"")</f>
        <v/>
      </c>
      <c r="GQ208" t="str">
        <f>+IFERROR(VLOOKUP(GQ9,IN_Zugliste!$A$4:$D$2002,5,FALSE),"")</f>
        <v/>
      </c>
      <c r="GR208" t="str">
        <f>+IFERROR(VLOOKUP(GR9,IN_Zugliste!$A$4:$D$2002,5,FALSE),"")</f>
        <v/>
      </c>
      <c r="GS208" t="str">
        <f>+IFERROR(VLOOKUP(GS9,IN_Zugliste!$A$4:$D$2002,5,FALSE),"")</f>
        <v/>
      </c>
      <c r="GT208" t="str">
        <f>+IFERROR(VLOOKUP(GT9,IN_Zugliste!$A$4:$D$2002,5,FALSE),"")</f>
        <v/>
      </c>
      <c r="GU208" t="str">
        <f>+IFERROR(VLOOKUP(GU9,IN_Zugliste!$A$4:$D$2002,5,FALSE),"")</f>
        <v/>
      </c>
      <c r="GV208" t="str">
        <f>+IFERROR(VLOOKUP(GV9,IN_Zugliste!$A$4:$D$2002,5,FALSE),"")</f>
        <v/>
      </c>
      <c r="GW208" t="str">
        <f>+IFERROR(VLOOKUP(GW9,IN_Zugliste!$A$4:$D$2002,5,FALSE),"")</f>
        <v/>
      </c>
      <c r="GX208" t="str">
        <f>+IFERROR(VLOOKUP(GX9,IN_Zugliste!$A$4:$D$2002,5,FALSE),"")</f>
        <v/>
      </c>
      <c r="GY208" t="str">
        <f>+IFERROR(VLOOKUP(GY9,IN_Zugliste!$A$4:$D$2002,5,FALSE),"")</f>
        <v/>
      </c>
      <c r="GZ208" t="str">
        <f>+IFERROR(VLOOKUP(GZ9,IN_Zugliste!$A$4:$D$2002,5,FALSE),"")</f>
        <v/>
      </c>
      <c r="HA208" t="str">
        <f>+IFERROR(VLOOKUP(HA9,IN_Zugliste!$A$4:$D$2002,5,FALSE),"")</f>
        <v/>
      </c>
      <c r="HB208" t="str">
        <f>+IFERROR(VLOOKUP(HB9,IN_Zugliste!$A$4:$D$2002,5,FALSE),"")</f>
        <v/>
      </c>
      <c r="HC208" t="str">
        <f>+IFERROR(VLOOKUP(HC9,IN_Zugliste!$A$4:$D$2002,5,FALSE),"")</f>
        <v/>
      </c>
      <c r="HD208" t="str">
        <f>+IFERROR(VLOOKUP(HD9,IN_Zugliste!$A$4:$D$2002,5,FALSE),"")</f>
        <v/>
      </c>
      <c r="HE208" t="str">
        <f>+IFERROR(VLOOKUP(HE9,IN_Zugliste!$A$4:$D$2002,5,FALSE),"")</f>
        <v/>
      </c>
      <c r="HF208" t="str">
        <f>+IFERROR(VLOOKUP(HF9,IN_Zugliste!$A$4:$D$2002,5,FALSE),"")</f>
        <v/>
      </c>
      <c r="HG208" t="str">
        <f>+IFERROR(VLOOKUP(HG9,IN_Zugliste!$A$4:$D$2002,5,FALSE),"")</f>
        <v/>
      </c>
      <c r="HH208" t="str">
        <f>+IFERROR(VLOOKUP(HH9,IN_Zugliste!$A$4:$D$2002,5,FALSE),"")</f>
        <v/>
      </c>
    </row>
    <row r="209" spans="1:216" x14ac:dyDescent="0.2">
      <c r="A209" t="str">
        <f>+IFERROR(VLOOKUP(A10,IN_Zugliste!$A$4:$E$2002,5,FALSE),"")</f>
        <v>Nein</v>
      </c>
      <c r="B209" t="str">
        <f>+IFERROR(VLOOKUP(B10,IN_Zugliste!$A$4:$E$2002,5,FALSE),"")</f>
        <v>Nein</v>
      </c>
      <c r="C209" t="str">
        <f>+IFERROR(VLOOKUP(C10,IN_Zugliste!$A$4:$E$2002,5,FALSE),"")</f>
        <v>Nein</v>
      </c>
      <c r="D209" t="str">
        <f>+IFERROR(VLOOKUP(D10,IN_Zugliste!$A$4:$E$2002,5,FALSE),"")</f>
        <v>Nein</v>
      </c>
      <c r="E209" t="str">
        <f>+IFERROR(VLOOKUP(E10,IN_Zugliste!$A$4:$E$2002,5,FALSE),"")</f>
        <v>Nein</v>
      </c>
      <c r="F209" t="str">
        <f>+IFERROR(VLOOKUP(F10,IN_Zugliste!$A$4:$E$2002,5,FALSE),"")</f>
        <v>Nein</v>
      </c>
      <c r="G209" t="str">
        <f>+IFERROR(VLOOKUP(G10,IN_Zugliste!$A$4:$E$2002,5,FALSE),"")</f>
        <v/>
      </c>
      <c r="H209" t="str">
        <f>+IFERROR(VLOOKUP(H10,IN_Zugliste!$A$4:$E$2002,5,FALSE),"")</f>
        <v/>
      </c>
      <c r="I209" t="str">
        <f>+IFERROR(VLOOKUP(I10,IN_Zugliste!$A$4:$E$2002,5,FALSE),"")</f>
        <v/>
      </c>
      <c r="J209" t="str">
        <f>+IFERROR(VLOOKUP(J10,IN_Zugliste!$A$4:$E$2002,5,FALSE),"")</f>
        <v/>
      </c>
      <c r="K209" t="str">
        <f>+IFERROR(VLOOKUP(K10,IN_Zugliste!$A$4:$E$2002,5,FALSE),"")</f>
        <v/>
      </c>
      <c r="L209" t="str">
        <f>+IFERROR(VLOOKUP(L10,IN_Zugliste!$A$4:$E$2002,5,FALSE),"")</f>
        <v/>
      </c>
      <c r="M209" t="str">
        <f>+IFERROR(VLOOKUP(M10,IN_Zugliste!$A$4:$E$2002,5,FALSE),"")</f>
        <v/>
      </c>
      <c r="N209" t="str">
        <f>+IFERROR(VLOOKUP(N10,IN_Zugliste!$A$4:$E$2002,5,FALSE),"")</f>
        <v/>
      </c>
      <c r="O209" t="str">
        <f>+IFERROR(VLOOKUP(O10,IN_Zugliste!$A$4:$E$2002,5,FALSE),"")</f>
        <v/>
      </c>
      <c r="P209" t="str">
        <f>+IFERROR(VLOOKUP(P10,IN_Zugliste!$A$4:$E$2002,5,FALSE),"")</f>
        <v/>
      </c>
      <c r="Q209" t="str">
        <f>+IFERROR(VLOOKUP(Q10,IN_Zugliste!$A$4:$E$2002,5,FALSE),"")</f>
        <v/>
      </c>
      <c r="R209" t="str">
        <f>+IFERROR(VLOOKUP(R10,IN_Zugliste!$A$4:$E$2002,5,FALSE),"")</f>
        <v/>
      </c>
      <c r="S209" t="str">
        <f>+IFERROR(VLOOKUP(S10,IN_Zugliste!$A$4:$E$2002,5,FALSE),"")</f>
        <v/>
      </c>
      <c r="T209" t="str">
        <f>+IFERROR(VLOOKUP(T10,IN_Zugliste!$A$4:$E$2002,5,FALSE),"")</f>
        <v/>
      </c>
      <c r="U209" t="str">
        <f>+IFERROR(VLOOKUP(U10,IN_Zugliste!$A$4:$E$2002,5,FALSE),"")</f>
        <v/>
      </c>
      <c r="V209" t="str">
        <f>+IFERROR(VLOOKUP(V10,IN_Zugliste!$A$4:$E$2002,5,FALSE),"")</f>
        <v/>
      </c>
      <c r="W209" t="str">
        <f>+IFERROR(VLOOKUP(W10,IN_Zugliste!$A$4:$E$2002,5,FALSE),"")</f>
        <v/>
      </c>
      <c r="X209" t="str">
        <f>+IFERROR(VLOOKUP(X10,IN_Zugliste!$A$4:$E$2002,5,FALSE),"")</f>
        <v/>
      </c>
      <c r="Y209" t="str">
        <f>+IFERROR(VLOOKUP(Y10,IN_Zugliste!$A$4:$E$2002,5,FALSE),"")</f>
        <v/>
      </c>
      <c r="Z209" t="str">
        <f>+IFERROR(VLOOKUP(Z10,IN_Zugliste!$A$4:$E$2002,5,FALSE),"")</f>
        <v/>
      </c>
      <c r="AA209" t="str">
        <f>+IFERROR(VLOOKUP(AA10,IN_Zugliste!$A$4:$E$2002,5,FALSE),"")</f>
        <v/>
      </c>
      <c r="AB209" t="str">
        <f>+IFERROR(VLOOKUP(AB10,IN_Zugliste!$A$4:$E$2002,5,FALSE),"")</f>
        <v/>
      </c>
      <c r="AC209" t="str">
        <f>+IFERROR(VLOOKUP(AC10,IN_Zugliste!$A$4:$E$2002,5,FALSE),"")</f>
        <v/>
      </c>
      <c r="AD209" t="str">
        <f>+IFERROR(VLOOKUP(AD10,IN_Zugliste!$A$4:$E$2002,5,FALSE),"")</f>
        <v/>
      </c>
      <c r="AE209" t="str">
        <f>+IFERROR(VLOOKUP(AE10,IN_Zugliste!$A$4:$E$2002,5,FALSE),"")</f>
        <v/>
      </c>
      <c r="AF209" t="str">
        <f>+IFERROR(VLOOKUP(AF10,IN_Zugliste!$A$4:$E$2002,5,FALSE),"")</f>
        <v/>
      </c>
      <c r="AG209" t="str">
        <f>+IFERROR(VLOOKUP(AG10,IN_Zugliste!$A$4:$E$2002,5,FALSE),"")</f>
        <v/>
      </c>
      <c r="AH209" t="str">
        <f>+IFERROR(VLOOKUP(AH10,IN_Zugliste!$A$4:$E$2002,5,FALSE),"")</f>
        <v/>
      </c>
      <c r="AI209" t="str">
        <f>+IFERROR(VLOOKUP(AI10,IN_Zugliste!$A$4:$E$2002,5,FALSE),"")</f>
        <v/>
      </c>
      <c r="AJ209" t="str">
        <f>+IFERROR(VLOOKUP(AJ10,IN_Zugliste!$A$4:$E$2002,5,FALSE),"")</f>
        <v/>
      </c>
      <c r="AK209" t="str">
        <f>+IFERROR(VLOOKUP(AK10,IN_Zugliste!$A$4:$E$2002,5,FALSE),"")</f>
        <v/>
      </c>
      <c r="AL209" t="str">
        <f>+IFERROR(VLOOKUP(AL10,IN_Zugliste!$A$4:$E$2002,5,FALSE),"")</f>
        <v/>
      </c>
      <c r="AM209" t="str">
        <f>+IFERROR(VLOOKUP(AM10,IN_Zugliste!$A$4:$E$2002,5,FALSE),"")</f>
        <v/>
      </c>
      <c r="AN209" t="str">
        <f>+IFERROR(VLOOKUP(AN10,IN_Zugliste!$A$4:$E$2002,5,FALSE),"")</f>
        <v/>
      </c>
      <c r="AO209" t="str">
        <f>+IFERROR(VLOOKUP(AO10,IN_Zugliste!$A$4:$E$2002,5,FALSE),"")</f>
        <v/>
      </c>
      <c r="AP209" t="str">
        <f>+IFERROR(VLOOKUP(AP10,IN_Zugliste!$A$4:$E$2002,5,FALSE),"")</f>
        <v/>
      </c>
      <c r="AQ209" t="str">
        <f>+IFERROR(VLOOKUP(AQ10,IN_Zugliste!$A$4:$E$2002,5,FALSE),"")</f>
        <v/>
      </c>
      <c r="AR209" t="str">
        <f>+IFERROR(VLOOKUP(AR10,IN_Zugliste!$A$4:$E$2002,5,FALSE),"")</f>
        <v/>
      </c>
      <c r="AS209" t="str">
        <f>+IFERROR(VLOOKUP(AS10,IN_Zugliste!$A$4:$E$2002,5,FALSE),"")</f>
        <v/>
      </c>
      <c r="AT209" t="str">
        <f>+IFERROR(VLOOKUP(AT10,IN_Zugliste!$A$4:$E$2002,5,FALSE),"")</f>
        <v/>
      </c>
      <c r="AU209" t="str">
        <f>+IFERROR(VLOOKUP(AU10,IN_Zugliste!$A$4:$E$2002,5,FALSE),"")</f>
        <v/>
      </c>
      <c r="AV209" t="str">
        <f>+IFERROR(VLOOKUP(AV10,IN_Zugliste!$A$4:$E$2002,5,FALSE),"")</f>
        <v/>
      </c>
      <c r="AW209" t="str">
        <f>+IFERROR(VLOOKUP(AW10,IN_Zugliste!$A$4:$E$2002,5,FALSE),"")</f>
        <v/>
      </c>
      <c r="AX209" t="str">
        <f>+IFERROR(VLOOKUP(AX10,IN_Zugliste!$A$4:$E$2002,5,FALSE),"")</f>
        <v/>
      </c>
      <c r="AY209" t="str">
        <f>+IFERROR(VLOOKUP(AY10,IN_Zugliste!$A$4:$E$2002,5,FALSE),"")</f>
        <v/>
      </c>
      <c r="AZ209" t="str">
        <f>+IFERROR(VLOOKUP(AZ10,IN_Zugliste!$A$4:$E$2002,5,FALSE),"")</f>
        <v/>
      </c>
      <c r="BA209" t="str">
        <f>+IFERROR(VLOOKUP(BA10,IN_Zugliste!$A$4:$E$2002,5,FALSE),"")</f>
        <v/>
      </c>
      <c r="BB209" t="str">
        <f>+IFERROR(VLOOKUP(BB10,IN_Zugliste!$A$4:$E$2002,5,FALSE),"")</f>
        <v/>
      </c>
      <c r="BC209" t="str">
        <f>+IFERROR(VLOOKUP(BC10,IN_Zugliste!$A$4:$E$2002,5,FALSE),"")</f>
        <v/>
      </c>
      <c r="BD209" t="str">
        <f>+IFERROR(VLOOKUP(BD10,IN_Zugliste!$A$4:$E$2002,5,FALSE),"")</f>
        <v/>
      </c>
      <c r="BE209" t="str">
        <f>+IFERROR(VLOOKUP(BE10,IN_Zugliste!$A$4:$E$2002,5,FALSE),"")</f>
        <v/>
      </c>
      <c r="BF209" t="str">
        <f>+IFERROR(VLOOKUP(BF10,IN_Zugliste!$A$4:$E$2002,5,FALSE),"")</f>
        <v/>
      </c>
      <c r="BG209" t="str">
        <f>+IFERROR(VLOOKUP(BG10,IN_Zugliste!$A$4:$E$2002,5,FALSE),"")</f>
        <v/>
      </c>
      <c r="BH209" t="str">
        <f>+IFERROR(VLOOKUP(BH10,IN_Zugliste!$A$4:$E$2002,5,FALSE),"")</f>
        <v/>
      </c>
      <c r="BI209" t="str">
        <f>+IFERROR(VLOOKUP(BI10,IN_Zugliste!$A$4:$E$2002,5,FALSE),"")</f>
        <v/>
      </c>
      <c r="BJ209" t="str">
        <f>+IFERROR(VLOOKUP(BJ10,IN_Zugliste!$A$4:$E$2002,5,FALSE),"")</f>
        <v/>
      </c>
      <c r="BK209" t="str">
        <f>+IFERROR(VLOOKUP(BK10,IN_Zugliste!$A$4:$E$2002,5,FALSE),"")</f>
        <v/>
      </c>
      <c r="BL209" t="str">
        <f>+IFERROR(VLOOKUP(BL10,IN_Zugliste!$A$4:$E$2002,5,FALSE),"")</f>
        <v/>
      </c>
      <c r="BM209" t="str">
        <f>+IFERROR(VLOOKUP(BM10,IN_Zugliste!$A$4:$E$2002,5,FALSE),"")</f>
        <v/>
      </c>
      <c r="BN209" t="str">
        <f>+IFERROR(VLOOKUP(BN10,IN_Zugliste!$A$4:$E$2002,5,FALSE),"")</f>
        <v/>
      </c>
      <c r="BO209" t="str">
        <f>+IFERROR(VLOOKUP(BO10,IN_Zugliste!$A$4:$E$2002,5,FALSE),"")</f>
        <v/>
      </c>
      <c r="BP209" t="str">
        <f>+IFERROR(VLOOKUP(BP10,IN_Zugliste!$A$4:$E$2002,5,FALSE),"")</f>
        <v/>
      </c>
      <c r="BQ209" t="str">
        <f>+IFERROR(VLOOKUP(BQ10,IN_Zugliste!$A$4:$E$2002,5,FALSE),"")</f>
        <v/>
      </c>
      <c r="BR209" t="str">
        <f>+IFERROR(VLOOKUP(BR10,IN_Zugliste!$A$4:$E$2002,5,FALSE),"")</f>
        <v/>
      </c>
      <c r="BS209" t="str">
        <f>+IFERROR(VLOOKUP(BS10,IN_Zugliste!$A$4:$E$2002,5,FALSE),"")</f>
        <v/>
      </c>
      <c r="BT209" t="str">
        <f>+IFERROR(VLOOKUP(BT10,IN_Zugliste!$A$4:$E$2002,5,FALSE),"")</f>
        <v/>
      </c>
      <c r="BU209" t="str">
        <f>+IFERROR(VLOOKUP(BU10,IN_Zugliste!$A$4:$E$2002,5,FALSE),"")</f>
        <v/>
      </c>
      <c r="BV209" t="str">
        <f>+IFERROR(VLOOKUP(BV10,IN_Zugliste!$A$4:$E$2002,5,FALSE),"")</f>
        <v/>
      </c>
      <c r="BW209" t="str">
        <f>+IFERROR(VLOOKUP(BW10,IN_Zugliste!$A$4:$E$2002,5,FALSE),"")</f>
        <v/>
      </c>
      <c r="BX209" t="str">
        <f>+IFERROR(VLOOKUP(BX10,IN_Zugliste!$A$4:$E$2002,5,FALSE),"")</f>
        <v/>
      </c>
      <c r="BY209" t="str">
        <f>+IFERROR(VLOOKUP(BY10,IN_Zugliste!$A$4:$E$2002,5,FALSE),"")</f>
        <v/>
      </c>
      <c r="BZ209" t="str">
        <f>+IFERROR(VLOOKUP(BZ10,IN_Zugliste!$A$4:$E$2002,5,FALSE),"")</f>
        <v/>
      </c>
      <c r="CA209" t="str">
        <f>+IFERROR(VLOOKUP(CA10,IN_Zugliste!$A$4:$E$2002,5,FALSE),"")</f>
        <v/>
      </c>
      <c r="CB209" t="str">
        <f>+IFERROR(VLOOKUP(CB10,IN_Zugliste!$A$4:$E$2002,5,FALSE),"")</f>
        <v/>
      </c>
      <c r="CC209" t="str">
        <f>+IFERROR(VLOOKUP(CC10,IN_Zugliste!$A$4:$E$2002,5,FALSE),"")</f>
        <v/>
      </c>
      <c r="CD209" t="str">
        <f>+IFERROR(VLOOKUP(CD10,IN_Zugliste!$A$4:$E$2002,5,FALSE),"")</f>
        <v/>
      </c>
      <c r="CE209" t="str">
        <f>+IFERROR(VLOOKUP(CE10,IN_Zugliste!$A$4:$E$2002,5,FALSE),"")</f>
        <v/>
      </c>
      <c r="CF209" t="str">
        <f>+IFERROR(VLOOKUP(CF10,IN_Zugliste!$A$4:$E$2002,5,FALSE),"")</f>
        <v/>
      </c>
      <c r="CG209" t="str">
        <f>+IFERROR(VLOOKUP(CG10,IN_Zugliste!$A$4:$E$2002,5,FALSE),"")</f>
        <v/>
      </c>
      <c r="CH209" t="str">
        <f>+IFERROR(VLOOKUP(CH10,IN_Zugliste!$A$4:$E$2002,5,FALSE),"")</f>
        <v/>
      </c>
      <c r="CI209" t="str">
        <f>+IFERROR(VLOOKUP(CI10,IN_Zugliste!$A$4:$E$2002,5,FALSE),"")</f>
        <v/>
      </c>
      <c r="CJ209" t="str">
        <f>+IFERROR(VLOOKUP(CJ10,IN_Zugliste!$A$4:$E$2002,5,FALSE),"")</f>
        <v/>
      </c>
      <c r="CK209" t="str">
        <f>+IFERROR(VLOOKUP(CK10,IN_Zugliste!$A$4:$E$2002,5,FALSE),"")</f>
        <v/>
      </c>
      <c r="CL209" t="str">
        <f>+IFERROR(VLOOKUP(CL10,IN_Zugliste!$A$4:$E$2002,5,FALSE),"")</f>
        <v/>
      </c>
      <c r="CM209" t="str">
        <f>+IFERROR(VLOOKUP(CM10,IN_Zugliste!$A$4:$E$2002,5,FALSE),"")</f>
        <v/>
      </c>
      <c r="CN209" t="str">
        <f>+IFERROR(VLOOKUP(CN10,IN_Zugliste!$A$4:$E$2002,5,FALSE),"")</f>
        <v/>
      </c>
      <c r="CO209" t="str">
        <f>+IFERROR(VLOOKUP(CO10,IN_Zugliste!$A$4:$E$2002,5,FALSE),"")</f>
        <v/>
      </c>
      <c r="CP209" t="str">
        <f>+IFERROR(VLOOKUP(CP10,IN_Zugliste!$A$4:$E$2002,5,FALSE),"")</f>
        <v/>
      </c>
      <c r="CQ209" t="str">
        <f>+IFERROR(VLOOKUP(CQ10,IN_Zugliste!$A$4:$E$2002,5,FALSE),"")</f>
        <v/>
      </c>
      <c r="CR209" t="str">
        <f>+IFERROR(VLOOKUP(CR10,IN_Zugliste!$A$4:$E$2002,5,FALSE),"")</f>
        <v/>
      </c>
      <c r="CS209" t="str">
        <f>+IFERROR(VLOOKUP(CS10,IN_Zugliste!$A$4:$E$2002,5,FALSE),"")</f>
        <v/>
      </c>
      <c r="CT209" t="str">
        <f>+IFERROR(VLOOKUP(CT10,IN_Zugliste!$A$4:$E$2002,5,FALSE),"")</f>
        <v/>
      </c>
      <c r="CU209" t="str">
        <f>+IFERROR(VLOOKUP(CU10,IN_Zugliste!$A$4:$E$2002,5,FALSE),"")</f>
        <v/>
      </c>
      <c r="CV209" t="str">
        <f>+IFERROR(VLOOKUP(CV10,IN_Zugliste!$A$4:$E$2002,5,FALSE),"")</f>
        <v/>
      </c>
      <c r="CW209" t="str">
        <f>+IFERROR(VLOOKUP(CW10,IN_Zugliste!$A$4:$E$2002,5,FALSE),"")</f>
        <v/>
      </c>
      <c r="CX209" t="str">
        <f>+IFERROR(VLOOKUP(CX10,IN_Zugliste!$A$4:$E$2002,5,FALSE),"")</f>
        <v/>
      </c>
      <c r="CY209" t="str">
        <f>+IFERROR(VLOOKUP(CY10,IN_Zugliste!$A$4:$E$2002,5,FALSE),"")</f>
        <v/>
      </c>
      <c r="CZ209" t="str">
        <f>+IFERROR(VLOOKUP(CZ10,IN_Zugliste!$A$4:$E$2002,5,FALSE),"")</f>
        <v/>
      </c>
      <c r="DA209" t="str">
        <f>+IFERROR(VLOOKUP(DA10,IN_Zugliste!$A$4:$E$2002,5,FALSE),"")</f>
        <v/>
      </c>
      <c r="DB209" t="str">
        <f>+IFERROR(VLOOKUP(DB10,IN_Zugliste!$A$4:$E$2002,5,FALSE),"")</f>
        <v/>
      </c>
      <c r="DC209" t="str">
        <f>+IFERROR(VLOOKUP(DC10,IN_Zugliste!$A$4:$E$2002,5,FALSE),"")</f>
        <v/>
      </c>
      <c r="DD209" t="str">
        <f>+IFERROR(VLOOKUP(DD10,IN_Zugliste!$A$4:$E$2002,5,FALSE),"")</f>
        <v/>
      </c>
      <c r="DE209" t="str">
        <f>+IFERROR(VLOOKUP(DE10,IN_Zugliste!$A$4:$E$2002,5,FALSE),"")</f>
        <v/>
      </c>
      <c r="DF209" t="str">
        <f>+IFERROR(VLOOKUP(DF10,IN_Zugliste!$A$4:$E$2002,5,FALSE),"")</f>
        <v/>
      </c>
      <c r="DG209" t="str">
        <f>+IFERROR(VLOOKUP(DG10,IN_Zugliste!$A$4:$E$2002,5,FALSE),"")</f>
        <v/>
      </c>
      <c r="DH209" t="str">
        <f>+IFERROR(VLOOKUP(DH10,IN_Zugliste!$A$4:$E$2002,5,FALSE),"")</f>
        <v/>
      </c>
      <c r="DI209" t="str">
        <f>+IFERROR(VLOOKUP(DI10,IN_Zugliste!$A$4:$E$2002,5,FALSE),"")</f>
        <v/>
      </c>
      <c r="DJ209" t="str">
        <f>+IFERROR(VLOOKUP(DJ10,IN_Zugliste!$A$4:$E$2002,5,FALSE),"")</f>
        <v/>
      </c>
      <c r="DK209" t="str">
        <f>+IFERROR(VLOOKUP(DK10,IN_Zugliste!$A$4:$E$2002,5,FALSE),"")</f>
        <v/>
      </c>
      <c r="DL209" t="str">
        <f>+IFERROR(VLOOKUP(DL10,IN_Zugliste!$A$4:$E$2002,5,FALSE),"")</f>
        <v/>
      </c>
      <c r="DM209" t="str">
        <f>+IFERROR(VLOOKUP(DM10,IN_Zugliste!$A$4:$E$2002,5,FALSE),"")</f>
        <v/>
      </c>
      <c r="DN209" t="str">
        <f>+IFERROR(VLOOKUP(DN10,IN_Zugliste!$A$4:$E$2002,5,FALSE),"")</f>
        <v/>
      </c>
      <c r="DO209" t="str">
        <f>+IFERROR(VLOOKUP(DO10,IN_Zugliste!$A$4:$E$2002,5,FALSE),"")</f>
        <v/>
      </c>
      <c r="DP209" t="str">
        <f>+IFERROR(VLOOKUP(DP10,IN_Zugliste!$A$4:$E$2002,5,FALSE),"")</f>
        <v/>
      </c>
      <c r="DQ209" t="str">
        <f>+IFERROR(VLOOKUP(DQ10,IN_Zugliste!$A$4:$E$2002,5,FALSE),"")</f>
        <v/>
      </c>
      <c r="DR209" t="str">
        <f>+IFERROR(VLOOKUP(DR10,IN_Zugliste!$A$4:$E$2002,5,FALSE),"")</f>
        <v/>
      </c>
      <c r="DS209" t="str">
        <f>+IFERROR(VLOOKUP(DS10,IN_Zugliste!$A$4:$E$2002,5,FALSE),"")</f>
        <v/>
      </c>
      <c r="DT209" t="str">
        <f>+IFERROR(VLOOKUP(DT10,IN_Zugliste!$A$4:$E$2002,5,FALSE),"")</f>
        <v/>
      </c>
      <c r="DU209" t="str">
        <f>+IFERROR(VLOOKUP(DU10,IN_Zugliste!$A$4:$E$2002,5,FALSE),"")</f>
        <v/>
      </c>
      <c r="DV209" t="str">
        <f>+IFERROR(VLOOKUP(DV10,IN_Zugliste!$A$4:$E$2002,5,FALSE),"")</f>
        <v/>
      </c>
      <c r="DW209" t="str">
        <f>+IFERROR(VLOOKUP(DW10,IN_Zugliste!$A$4:$E$2002,5,FALSE),"")</f>
        <v/>
      </c>
      <c r="DX209" t="str">
        <f>+IFERROR(VLOOKUP(DX10,IN_Zugliste!$A$4:$E$2002,5,FALSE),"")</f>
        <v/>
      </c>
      <c r="DY209" t="str">
        <f>+IFERROR(VLOOKUP(DY10,IN_Zugliste!$A$4:$E$2002,5,FALSE),"")</f>
        <v/>
      </c>
      <c r="DZ209" t="str">
        <f>+IFERROR(VLOOKUP(DZ10,IN_Zugliste!$A$4:$E$2002,5,FALSE),"")</f>
        <v/>
      </c>
      <c r="EA209" t="str">
        <f>+IFERROR(VLOOKUP(EA10,IN_Zugliste!$A$4:$E$2002,5,FALSE),"")</f>
        <v/>
      </c>
      <c r="EB209" t="str">
        <f>+IFERROR(VLOOKUP(EB10,IN_Zugliste!$A$4:$E$2002,5,FALSE),"")</f>
        <v/>
      </c>
      <c r="EC209" t="str">
        <f>+IFERROR(VLOOKUP(EC10,IN_Zugliste!$A$4:$E$2002,5,FALSE),"")</f>
        <v/>
      </c>
      <c r="ED209" t="str">
        <f>+IFERROR(VLOOKUP(ED10,IN_Zugliste!$A$4:$E$2002,5,FALSE),"")</f>
        <v/>
      </c>
      <c r="EE209" t="str">
        <f>+IFERROR(VLOOKUP(EE10,IN_Zugliste!$A$4:$E$2002,5,FALSE),"")</f>
        <v/>
      </c>
      <c r="EF209" t="str">
        <f>+IFERROR(VLOOKUP(EF10,IN_Zugliste!$A$4:$E$2002,5,FALSE),"")</f>
        <v/>
      </c>
      <c r="EG209" t="str">
        <f>+IFERROR(VLOOKUP(EG10,IN_Zugliste!$A$4:$E$2002,5,FALSE),"")</f>
        <v/>
      </c>
      <c r="EH209" t="str">
        <f>+IFERROR(VLOOKUP(EH10,IN_Zugliste!$A$4:$E$2002,5,FALSE),"")</f>
        <v/>
      </c>
      <c r="EI209" t="str">
        <f>+IFERROR(VLOOKUP(EI10,IN_Zugliste!$A$4:$E$2002,5,FALSE),"")</f>
        <v/>
      </c>
      <c r="EJ209" t="str">
        <f>+IFERROR(VLOOKUP(EJ10,IN_Zugliste!$A$4:$E$2002,5,FALSE),"")</f>
        <v/>
      </c>
      <c r="EK209" t="str">
        <f>+IFERROR(VLOOKUP(EK10,IN_Zugliste!$A$4:$E$2002,5,FALSE),"")</f>
        <v/>
      </c>
      <c r="EL209" t="str">
        <f>+IFERROR(VLOOKUP(EL10,IN_Zugliste!$A$4:$E$2002,5,FALSE),"")</f>
        <v/>
      </c>
      <c r="EM209" t="str">
        <f>+IFERROR(VLOOKUP(EM10,IN_Zugliste!$A$4:$E$2002,5,FALSE),"")</f>
        <v/>
      </c>
      <c r="EN209" t="str">
        <f>+IFERROR(VLOOKUP(EN10,IN_Zugliste!$A$4:$E$2002,5,FALSE),"")</f>
        <v/>
      </c>
      <c r="EO209" t="str">
        <f>+IFERROR(VLOOKUP(EO10,IN_Zugliste!$A$4:$E$2002,5,FALSE),"")</f>
        <v/>
      </c>
      <c r="EP209" t="str">
        <f>+IFERROR(VLOOKUP(EP10,IN_Zugliste!$A$4:$E$2002,5,FALSE),"")</f>
        <v/>
      </c>
      <c r="EQ209" t="str">
        <f>+IFERROR(VLOOKUP(EQ10,IN_Zugliste!$A$4:$E$2002,5,FALSE),"")</f>
        <v/>
      </c>
      <c r="ER209" t="str">
        <f>+IFERROR(VLOOKUP(ER10,IN_Zugliste!$A$4:$E$2002,5,FALSE),"")</f>
        <v/>
      </c>
      <c r="ES209" t="str">
        <f>+IFERROR(VLOOKUP(ES10,IN_Zugliste!$A$4:$E$2002,5,FALSE),"")</f>
        <v/>
      </c>
      <c r="ET209" t="str">
        <f>+IFERROR(VLOOKUP(ET10,IN_Zugliste!$A$4:$E$2002,5,FALSE),"")</f>
        <v/>
      </c>
      <c r="EU209" t="str">
        <f>+IFERROR(VLOOKUP(EU10,IN_Zugliste!$A$4:$E$2002,5,FALSE),"")</f>
        <v/>
      </c>
      <c r="EV209" t="str">
        <f>+IFERROR(VLOOKUP(EV10,IN_Zugliste!$A$4:$E$2002,5,FALSE),"")</f>
        <v/>
      </c>
      <c r="EW209" t="str">
        <f>+IFERROR(VLOOKUP(EW10,IN_Zugliste!$A$4:$E$2002,5,FALSE),"")</f>
        <v/>
      </c>
      <c r="EX209" t="str">
        <f>+IFERROR(VLOOKUP(EX10,IN_Zugliste!$A$4:$E$2002,5,FALSE),"")</f>
        <v/>
      </c>
      <c r="EY209" t="str">
        <f>+IFERROR(VLOOKUP(EY10,IN_Zugliste!$A$4:$E$2002,5,FALSE),"")</f>
        <v/>
      </c>
      <c r="EZ209" t="str">
        <f>+IFERROR(VLOOKUP(EZ10,IN_Zugliste!$A$4:$E$2002,5,FALSE),"")</f>
        <v/>
      </c>
      <c r="FA209" t="str">
        <f>+IFERROR(VLOOKUP(FA10,IN_Zugliste!$A$4:$E$2002,5,FALSE),"")</f>
        <v/>
      </c>
      <c r="FB209" t="str">
        <f>+IFERROR(VLOOKUP(FB10,IN_Zugliste!$A$4:$E$2002,5,FALSE),"")</f>
        <v/>
      </c>
      <c r="FC209" t="str">
        <f>+IFERROR(VLOOKUP(FC10,IN_Zugliste!$A$4:$E$2002,5,FALSE),"")</f>
        <v/>
      </c>
      <c r="FD209" t="str">
        <f>+IFERROR(VLOOKUP(FD10,IN_Zugliste!$A$4:$E$2002,5,FALSE),"")</f>
        <v/>
      </c>
      <c r="FE209" t="str">
        <f>+IFERROR(VLOOKUP(FE10,IN_Zugliste!$A$4:$E$2002,5,FALSE),"")</f>
        <v/>
      </c>
      <c r="FF209" t="str">
        <f>+IFERROR(VLOOKUP(FF10,IN_Zugliste!$A$4:$E$2002,5,FALSE),"")</f>
        <v/>
      </c>
      <c r="FG209" t="str">
        <f>+IFERROR(VLOOKUP(FG10,IN_Zugliste!$A$4:$E$2002,5,FALSE),"")</f>
        <v/>
      </c>
      <c r="FH209" t="str">
        <f>+IFERROR(VLOOKUP(FH10,IN_Zugliste!$A$4:$E$2002,5,FALSE),"")</f>
        <v/>
      </c>
      <c r="FI209" t="str">
        <f>+IFERROR(VLOOKUP(FI10,IN_Zugliste!$A$4:$E$2002,5,FALSE),"")</f>
        <v/>
      </c>
      <c r="FJ209" t="str">
        <f>+IFERROR(VLOOKUP(FJ10,IN_Zugliste!$A$4:$E$2002,5,FALSE),"")</f>
        <v/>
      </c>
      <c r="FK209" t="str">
        <f>+IFERROR(VLOOKUP(FK10,IN_Zugliste!$A$4:$E$2002,5,FALSE),"")</f>
        <v/>
      </c>
      <c r="FL209" t="str">
        <f>+IFERROR(VLOOKUP(FL10,IN_Zugliste!$A$4:$E$2002,5,FALSE),"")</f>
        <v/>
      </c>
      <c r="FM209" t="str">
        <f>+IFERROR(VLOOKUP(FM10,IN_Zugliste!$A$4:$D$2002,5,FALSE),"")</f>
        <v/>
      </c>
      <c r="FN209" t="str">
        <f>+IFERROR(VLOOKUP(FN10,IN_Zugliste!$A$4:$D$2002,5,FALSE),"")</f>
        <v/>
      </c>
      <c r="FO209" t="str">
        <f>+IFERROR(VLOOKUP(FO10,IN_Zugliste!$A$4:$D$2002,5,FALSE),"")</f>
        <v/>
      </c>
      <c r="FP209" t="str">
        <f>+IFERROR(VLOOKUP(FP10,IN_Zugliste!$A$4:$D$2002,5,FALSE),"")</f>
        <v/>
      </c>
      <c r="FQ209" t="str">
        <f>+IFERROR(VLOOKUP(FQ10,IN_Zugliste!$A$4:$D$2002,5,FALSE),"")</f>
        <v/>
      </c>
      <c r="FR209" t="str">
        <f>+IFERROR(VLOOKUP(FR10,IN_Zugliste!$A$4:$D$2002,5,FALSE),"")</f>
        <v/>
      </c>
      <c r="FS209" t="str">
        <f>+IFERROR(VLOOKUP(FS10,IN_Zugliste!$A$4:$D$2002,5,FALSE),"")</f>
        <v/>
      </c>
      <c r="FT209" t="str">
        <f>+IFERROR(VLOOKUP(FT10,IN_Zugliste!$A$4:$D$2002,5,FALSE),"")</f>
        <v/>
      </c>
      <c r="FU209" t="str">
        <f>+IFERROR(VLOOKUP(FU10,IN_Zugliste!$A$4:$D$2002,5,FALSE),"")</f>
        <v/>
      </c>
      <c r="FV209" t="str">
        <f>+IFERROR(VLOOKUP(FV10,IN_Zugliste!$A$4:$D$2002,5,FALSE),"")</f>
        <v/>
      </c>
      <c r="FW209" t="str">
        <f>+IFERROR(VLOOKUP(FW10,IN_Zugliste!$A$4:$D$2002,5,FALSE),"")</f>
        <v/>
      </c>
      <c r="FX209" t="str">
        <f>+IFERROR(VLOOKUP(FX10,IN_Zugliste!$A$4:$D$2002,5,FALSE),"")</f>
        <v/>
      </c>
      <c r="FY209" t="str">
        <f>+IFERROR(VLOOKUP(FY10,IN_Zugliste!$A$4:$D$2002,5,FALSE),"")</f>
        <v/>
      </c>
      <c r="FZ209" t="str">
        <f>+IFERROR(VLOOKUP(FZ10,IN_Zugliste!$A$4:$D$2002,5,FALSE),"")</f>
        <v/>
      </c>
      <c r="GA209" t="str">
        <f>+IFERROR(VLOOKUP(GA10,IN_Zugliste!$A$4:$D$2002,5,FALSE),"")</f>
        <v/>
      </c>
      <c r="GB209" t="str">
        <f>+IFERROR(VLOOKUP(GB10,IN_Zugliste!$A$4:$D$2002,5,FALSE),"")</f>
        <v/>
      </c>
      <c r="GC209" t="str">
        <f>+IFERROR(VLOOKUP(GC10,IN_Zugliste!$A$4:$D$2002,5,FALSE),"")</f>
        <v/>
      </c>
      <c r="GD209" t="str">
        <f>+IFERROR(VLOOKUP(GD10,IN_Zugliste!$A$4:$D$2002,5,FALSE),"")</f>
        <v/>
      </c>
      <c r="GE209" t="str">
        <f>+IFERROR(VLOOKUP(GE10,IN_Zugliste!$A$4:$D$2002,5,FALSE),"")</f>
        <v/>
      </c>
      <c r="GF209" t="str">
        <f>+IFERROR(VLOOKUP(GF10,IN_Zugliste!$A$4:$D$2002,5,FALSE),"")</f>
        <v/>
      </c>
      <c r="GG209" t="str">
        <f>+IFERROR(VLOOKUP(GG10,IN_Zugliste!$A$4:$D$2002,5,FALSE),"")</f>
        <v/>
      </c>
      <c r="GH209" t="str">
        <f>+IFERROR(VLOOKUP(GH10,IN_Zugliste!$A$4:$D$2002,5,FALSE),"")</f>
        <v/>
      </c>
      <c r="GI209" t="str">
        <f>+IFERROR(VLOOKUP(GI10,IN_Zugliste!$A$4:$D$2002,5,FALSE),"")</f>
        <v/>
      </c>
      <c r="GJ209" t="str">
        <f>+IFERROR(VLOOKUP(GJ10,IN_Zugliste!$A$4:$D$2002,5,FALSE),"")</f>
        <v/>
      </c>
      <c r="GK209" t="str">
        <f>+IFERROR(VLOOKUP(GK10,IN_Zugliste!$A$4:$D$2002,5,FALSE),"")</f>
        <v/>
      </c>
      <c r="GL209" t="str">
        <f>+IFERROR(VLOOKUP(GL10,IN_Zugliste!$A$4:$D$2002,5,FALSE),"")</f>
        <v/>
      </c>
      <c r="GM209" t="str">
        <f>+IFERROR(VLOOKUP(GM10,IN_Zugliste!$A$4:$D$2002,5,FALSE),"")</f>
        <v/>
      </c>
      <c r="GN209" t="str">
        <f>+IFERROR(VLOOKUP(GN10,IN_Zugliste!$A$4:$D$2002,5,FALSE),"")</f>
        <v/>
      </c>
      <c r="GO209" t="str">
        <f>+IFERROR(VLOOKUP(GO10,IN_Zugliste!$A$4:$D$2002,5,FALSE),"")</f>
        <v/>
      </c>
      <c r="GP209" t="str">
        <f>+IFERROR(VLOOKUP(GP10,IN_Zugliste!$A$4:$D$2002,5,FALSE),"")</f>
        <v/>
      </c>
      <c r="GQ209" t="str">
        <f>+IFERROR(VLOOKUP(GQ10,IN_Zugliste!$A$4:$D$2002,5,FALSE),"")</f>
        <v/>
      </c>
      <c r="GR209" t="str">
        <f>+IFERROR(VLOOKUP(GR10,IN_Zugliste!$A$4:$D$2002,5,FALSE),"")</f>
        <v/>
      </c>
      <c r="GS209" t="str">
        <f>+IFERROR(VLOOKUP(GS10,IN_Zugliste!$A$4:$D$2002,5,FALSE),"")</f>
        <v/>
      </c>
      <c r="GT209" t="str">
        <f>+IFERROR(VLOOKUP(GT10,IN_Zugliste!$A$4:$D$2002,5,FALSE),"")</f>
        <v/>
      </c>
      <c r="GU209" t="str">
        <f>+IFERROR(VLOOKUP(GU10,IN_Zugliste!$A$4:$D$2002,5,FALSE),"")</f>
        <v/>
      </c>
      <c r="GV209" t="str">
        <f>+IFERROR(VLOOKUP(GV10,IN_Zugliste!$A$4:$D$2002,5,FALSE),"")</f>
        <v/>
      </c>
      <c r="GW209" t="str">
        <f>+IFERROR(VLOOKUP(GW10,IN_Zugliste!$A$4:$D$2002,5,FALSE),"")</f>
        <v/>
      </c>
      <c r="GX209" t="str">
        <f>+IFERROR(VLOOKUP(GX10,IN_Zugliste!$A$4:$D$2002,5,FALSE),"")</f>
        <v/>
      </c>
      <c r="GY209" t="str">
        <f>+IFERROR(VLOOKUP(GY10,IN_Zugliste!$A$4:$D$2002,5,FALSE),"")</f>
        <v/>
      </c>
      <c r="GZ209" t="str">
        <f>+IFERROR(VLOOKUP(GZ10,IN_Zugliste!$A$4:$D$2002,5,FALSE),"")</f>
        <v/>
      </c>
      <c r="HA209" t="str">
        <f>+IFERROR(VLOOKUP(HA10,IN_Zugliste!$A$4:$D$2002,5,FALSE),"")</f>
        <v/>
      </c>
      <c r="HB209" t="str">
        <f>+IFERROR(VLOOKUP(HB10,IN_Zugliste!$A$4:$D$2002,5,FALSE),"")</f>
        <v/>
      </c>
      <c r="HC209" t="str">
        <f>+IFERROR(VLOOKUP(HC10,IN_Zugliste!$A$4:$D$2002,5,FALSE),"")</f>
        <v/>
      </c>
      <c r="HD209" t="str">
        <f>+IFERROR(VLOOKUP(HD10,IN_Zugliste!$A$4:$D$2002,5,FALSE),"")</f>
        <v/>
      </c>
      <c r="HE209" t="str">
        <f>+IFERROR(VLOOKUP(HE10,IN_Zugliste!$A$4:$D$2002,5,FALSE),"")</f>
        <v/>
      </c>
      <c r="HF209" t="str">
        <f>+IFERROR(VLOOKUP(HF10,IN_Zugliste!$A$4:$D$2002,5,FALSE),"")</f>
        <v/>
      </c>
      <c r="HG209" t="str">
        <f>+IFERROR(VLOOKUP(HG10,IN_Zugliste!$A$4:$D$2002,5,FALSE),"")</f>
        <v/>
      </c>
      <c r="HH209" t="str">
        <f>+IFERROR(VLOOKUP(HH10,IN_Zugliste!$A$4:$D$2002,5,FALSE),"")</f>
        <v/>
      </c>
    </row>
    <row r="210" spans="1:216" x14ac:dyDescent="0.2">
      <c r="A210" t="str">
        <f>+IFERROR(VLOOKUP(A11,IN_Zugliste!$A$4:$E$2002,5,FALSE),"")</f>
        <v>Nein</v>
      </c>
      <c r="B210" t="str">
        <f>+IFERROR(VLOOKUP(B11,IN_Zugliste!$A$4:$E$2002,5,FALSE),"")</f>
        <v>Nein</v>
      </c>
      <c r="C210" t="str">
        <f>+IFERROR(VLOOKUP(C11,IN_Zugliste!$A$4:$E$2002,5,FALSE),"")</f>
        <v>Nein</v>
      </c>
      <c r="D210" t="str">
        <f>+IFERROR(VLOOKUP(D11,IN_Zugliste!$A$4:$E$2002,5,FALSE),"")</f>
        <v>Nein</v>
      </c>
      <c r="E210" t="str">
        <f>+IFERROR(VLOOKUP(E11,IN_Zugliste!$A$4:$E$2002,5,FALSE),"")</f>
        <v>Nein</v>
      </c>
      <c r="F210" t="str">
        <f>+IFERROR(VLOOKUP(F11,IN_Zugliste!$A$4:$E$2002,5,FALSE),"")</f>
        <v>Nein</v>
      </c>
      <c r="G210" t="str">
        <f>+IFERROR(VLOOKUP(G11,IN_Zugliste!$A$4:$E$2002,5,FALSE),"")</f>
        <v/>
      </c>
      <c r="H210" t="str">
        <f>+IFERROR(VLOOKUP(H11,IN_Zugliste!$A$4:$E$2002,5,FALSE),"")</f>
        <v/>
      </c>
      <c r="I210" t="str">
        <f>+IFERROR(VLOOKUP(I11,IN_Zugliste!$A$4:$E$2002,5,FALSE),"")</f>
        <v/>
      </c>
      <c r="J210" t="str">
        <f>+IFERROR(VLOOKUP(J11,IN_Zugliste!$A$4:$E$2002,5,FALSE),"")</f>
        <v/>
      </c>
      <c r="K210" t="str">
        <f>+IFERROR(VLOOKUP(K11,IN_Zugliste!$A$4:$E$2002,5,FALSE),"")</f>
        <v/>
      </c>
      <c r="L210" t="str">
        <f>+IFERROR(VLOOKUP(L11,IN_Zugliste!$A$4:$E$2002,5,FALSE),"")</f>
        <v/>
      </c>
      <c r="M210" t="str">
        <f>+IFERROR(VLOOKUP(M11,IN_Zugliste!$A$4:$E$2002,5,FALSE),"")</f>
        <v/>
      </c>
      <c r="N210" t="str">
        <f>+IFERROR(VLOOKUP(N11,IN_Zugliste!$A$4:$E$2002,5,FALSE),"")</f>
        <v/>
      </c>
      <c r="O210" t="str">
        <f>+IFERROR(VLOOKUP(O11,IN_Zugliste!$A$4:$E$2002,5,FALSE),"")</f>
        <v/>
      </c>
      <c r="P210" t="str">
        <f>+IFERROR(VLOOKUP(P11,IN_Zugliste!$A$4:$E$2002,5,FALSE),"")</f>
        <v/>
      </c>
      <c r="Q210" t="str">
        <f>+IFERROR(VLOOKUP(Q11,IN_Zugliste!$A$4:$E$2002,5,FALSE),"")</f>
        <v/>
      </c>
      <c r="R210" t="str">
        <f>+IFERROR(VLOOKUP(R11,IN_Zugliste!$A$4:$E$2002,5,FALSE),"")</f>
        <v/>
      </c>
      <c r="S210" t="str">
        <f>+IFERROR(VLOOKUP(S11,IN_Zugliste!$A$4:$E$2002,5,FALSE),"")</f>
        <v/>
      </c>
      <c r="T210" t="str">
        <f>+IFERROR(VLOOKUP(T11,IN_Zugliste!$A$4:$E$2002,5,FALSE),"")</f>
        <v/>
      </c>
      <c r="U210" t="str">
        <f>+IFERROR(VLOOKUP(U11,IN_Zugliste!$A$4:$E$2002,5,FALSE),"")</f>
        <v/>
      </c>
      <c r="V210" t="str">
        <f>+IFERROR(VLOOKUP(V11,IN_Zugliste!$A$4:$E$2002,5,FALSE),"")</f>
        <v/>
      </c>
      <c r="W210" t="str">
        <f>+IFERROR(VLOOKUP(W11,IN_Zugliste!$A$4:$E$2002,5,FALSE),"")</f>
        <v/>
      </c>
      <c r="X210" t="str">
        <f>+IFERROR(VLOOKUP(X11,IN_Zugliste!$A$4:$E$2002,5,FALSE),"")</f>
        <v/>
      </c>
      <c r="Y210" t="str">
        <f>+IFERROR(VLOOKUP(Y11,IN_Zugliste!$A$4:$E$2002,5,FALSE),"")</f>
        <v/>
      </c>
      <c r="Z210" t="str">
        <f>+IFERROR(VLOOKUP(Z11,IN_Zugliste!$A$4:$E$2002,5,FALSE),"")</f>
        <v/>
      </c>
      <c r="AA210" t="str">
        <f>+IFERROR(VLOOKUP(AA11,IN_Zugliste!$A$4:$E$2002,5,FALSE),"")</f>
        <v/>
      </c>
      <c r="AB210" t="str">
        <f>+IFERROR(VLOOKUP(AB11,IN_Zugliste!$A$4:$E$2002,5,FALSE),"")</f>
        <v/>
      </c>
      <c r="AC210" t="str">
        <f>+IFERROR(VLOOKUP(AC11,IN_Zugliste!$A$4:$E$2002,5,FALSE),"")</f>
        <v/>
      </c>
      <c r="AD210" t="str">
        <f>+IFERROR(VLOOKUP(AD11,IN_Zugliste!$A$4:$E$2002,5,FALSE),"")</f>
        <v/>
      </c>
      <c r="AE210" t="str">
        <f>+IFERROR(VLOOKUP(AE11,IN_Zugliste!$A$4:$E$2002,5,FALSE),"")</f>
        <v/>
      </c>
      <c r="AF210" t="str">
        <f>+IFERROR(VLOOKUP(AF11,IN_Zugliste!$A$4:$E$2002,5,FALSE),"")</f>
        <v/>
      </c>
      <c r="AG210" t="str">
        <f>+IFERROR(VLOOKUP(AG11,IN_Zugliste!$A$4:$E$2002,5,FALSE),"")</f>
        <v/>
      </c>
      <c r="AH210" t="str">
        <f>+IFERROR(VLOOKUP(AH11,IN_Zugliste!$A$4:$E$2002,5,FALSE),"")</f>
        <v/>
      </c>
      <c r="AI210" t="str">
        <f>+IFERROR(VLOOKUP(AI11,IN_Zugliste!$A$4:$E$2002,5,FALSE),"")</f>
        <v/>
      </c>
      <c r="AJ210" t="str">
        <f>+IFERROR(VLOOKUP(AJ11,IN_Zugliste!$A$4:$E$2002,5,FALSE),"")</f>
        <v/>
      </c>
      <c r="AK210" t="str">
        <f>+IFERROR(VLOOKUP(AK11,IN_Zugliste!$A$4:$E$2002,5,FALSE),"")</f>
        <v/>
      </c>
      <c r="AL210" t="str">
        <f>+IFERROR(VLOOKUP(AL11,IN_Zugliste!$A$4:$E$2002,5,FALSE),"")</f>
        <v/>
      </c>
      <c r="AM210" t="str">
        <f>+IFERROR(VLOOKUP(AM11,IN_Zugliste!$A$4:$E$2002,5,FALSE),"")</f>
        <v/>
      </c>
      <c r="AN210" t="str">
        <f>+IFERROR(VLOOKUP(AN11,IN_Zugliste!$A$4:$E$2002,5,FALSE),"")</f>
        <v/>
      </c>
      <c r="AO210" t="str">
        <f>+IFERROR(VLOOKUP(AO11,IN_Zugliste!$A$4:$E$2002,5,FALSE),"")</f>
        <v/>
      </c>
      <c r="AP210" t="str">
        <f>+IFERROR(VLOOKUP(AP11,IN_Zugliste!$A$4:$E$2002,5,FALSE),"")</f>
        <v/>
      </c>
      <c r="AQ210" t="str">
        <f>+IFERROR(VLOOKUP(AQ11,IN_Zugliste!$A$4:$E$2002,5,FALSE),"")</f>
        <v/>
      </c>
      <c r="AR210" t="str">
        <f>+IFERROR(VLOOKUP(AR11,IN_Zugliste!$A$4:$E$2002,5,FALSE),"")</f>
        <v/>
      </c>
      <c r="AS210" t="str">
        <f>+IFERROR(VLOOKUP(AS11,IN_Zugliste!$A$4:$E$2002,5,FALSE),"")</f>
        <v/>
      </c>
      <c r="AT210" t="str">
        <f>+IFERROR(VLOOKUP(AT11,IN_Zugliste!$A$4:$E$2002,5,FALSE),"")</f>
        <v/>
      </c>
      <c r="AU210" t="str">
        <f>+IFERROR(VLOOKUP(AU11,IN_Zugliste!$A$4:$E$2002,5,FALSE),"")</f>
        <v/>
      </c>
      <c r="AV210" t="str">
        <f>+IFERROR(VLOOKUP(AV11,IN_Zugliste!$A$4:$E$2002,5,FALSE),"")</f>
        <v/>
      </c>
      <c r="AW210" t="str">
        <f>+IFERROR(VLOOKUP(AW11,IN_Zugliste!$A$4:$E$2002,5,FALSE),"")</f>
        <v/>
      </c>
      <c r="AX210" t="str">
        <f>+IFERROR(VLOOKUP(AX11,IN_Zugliste!$A$4:$E$2002,5,FALSE),"")</f>
        <v/>
      </c>
      <c r="AY210" t="str">
        <f>+IFERROR(VLOOKUP(AY11,IN_Zugliste!$A$4:$E$2002,5,FALSE),"")</f>
        <v/>
      </c>
      <c r="AZ210" t="str">
        <f>+IFERROR(VLOOKUP(AZ11,IN_Zugliste!$A$4:$E$2002,5,FALSE),"")</f>
        <v/>
      </c>
      <c r="BA210" t="str">
        <f>+IFERROR(VLOOKUP(BA11,IN_Zugliste!$A$4:$E$2002,5,FALSE),"")</f>
        <v/>
      </c>
      <c r="BB210" t="str">
        <f>+IFERROR(VLOOKUP(BB11,IN_Zugliste!$A$4:$E$2002,5,FALSE),"")</f>
        <v/>
      </c>
      <c r="BC210" t="str">
        <f>+IFERROR(VLOOKUP(BC11,IN_Zugliste!$A$4:$E$2002,5,FALSE),"")</f>
        <v/>
      </c>
      <c r="BD210" t="str">
        <f>+IFERROR(VLOOKUP(BD11,IN_Zugliste!$A$4:$E$2002,5,FALSE),"")</f>
        <v/>
      </c>
      <c r="BE210" t="str">
        <f>+IFERROR(VLOOKUP(BE11,IN_Zugliste!$A$4:$E$2002,5,FALSE),"")</f>
        <v/>
      </c>
      <c r="BF210" t="str">
        <f>+IFERROR(VLOOKUP(BF11,IN_Zugliste!$A$4:$E$2002,5,FALSE),"")</f>
        <v/>
      </c>
      <c r="BG210" t="str">
        <f>+IFERROR(VLOOKUP(BG11,IN_Zugliste!$A$4:$E$2002,5,FALSE),"")</f>
        <v/>
      </c>
      <c r="BH210" t="str">
        <f>+IFERROR(VLOOKUP(BH11,IN_Zugliste!$A$4:$E$2002,5,FALSE),"")</f>
        <v/>
      </c>
      <c r="BI210" t="str">
        <f>+IFERROR(VLOOKUP(BI11,IN_Zugliste!$A$4:$E$2002,5,FALSE),"")</f>
        <v/>
      </c>
      <c r="BJ210" t="str">
        <f>+IFERROR(VLOOKUP(BJ11,IN_Zugliste!$A$4:$E$2002,5,FALSE),"")</f>
        <v/>
      </c>
      <c r="BK210" t="str">
        <f>+IFERROR(VLOOKUP(BK11,IN_Zugliste!$A$4:$E$2002,5,FALSE),"")</f>
        <v/>
      </c>
      <c r="BL210" t="str">
        <f>+IFERROR(VLOOKUP(BL11,IN_Zugliste!$A$4:$E$2002,5,FALSE),"")</f>
        <v/>
      </c>
      <c r="BM210" t="str">
        <f>+IFERROR(VLOOKUP(BM11,IN_Zugliste!$A$4:$E$2002,5,FALSE),"")</f>
        <v/>
      </c>
      <c r="BN210" t="str">
        <f>+IFERROR(VLOOKUP(BN11,IN_Zugliste!$A$4:$E$2002,5,FALSE),"")</f>
        <v/>
      </c>
      <c r="BO210" t="str">
        <f>+IFERROR(VLOOKUP(BO11,IN_Zugliste!$A$4:$E$2002,5,FALSE),"")</f>
        <v/>
      </c>
      <c r="BP210" t="str">
        <f>+IFERROR(VLOOKUP(BP11,IN_Zugliste!$A$4:$E$2002,5,FALSE),"")</f>
        <v/>
      </c>
      <c r="BQ210" t="str">
        <f>+IFERROR(VLOOKUP(BQ11,IN_Zugliste!$A$4:$E$2002,5,FALSE),"")</f>
        <v/>
      </c>
      <c r="BR210" t="str">
        <f>+IFERROR(VLOOKUP(BR11,IN_Zugliste!$A$4:$E$2002,5,FALSE),"")</f>
        <v/>
      </c>
      <c r="BS210" t="str">
        <f>+IFERROR(VLOOKUP(BS11,IN_Zugliste!$A$4:$E$2002,5,FALSE),"")</f>
        <v/>
      </c>
      <c r="BT210" t="str">
        <f>+IFERROR(VLOOKUP(BT11,IN_Zugliste!$A$4:$E$2002,5,FALSE),"")</f>
        <v/>
      </c>
      <c r="BU210" t="str">
        <f>+IFERROR(VLOOKUP(BU11,IN_Zugliste!$A$4:$E$2002,5,FALSE),"")</f>
        <v/>
      </c>
      <c r="BV210" t="str">
        <f>+IFERROR(VLOOKUP(BV11,IN_Zugliste!$A$4:$E$2002,5,FALSE),"")</f>
        <v/>
      </c>
      <c r="BW210" t="str">
        <f>+IFERROR(VLOOKUP(BW11,IN_Zugliste!$A$4:$E$2002,5,FALSE),"")</f>
        <v/>
      </c>
      <c r="BX210" t="str">
        <f>+IFERROR(VLOOKUP(BX11,IN_Zugliste!$A$4:$E$2002,5,FALSE),"")</f>
        <v/>
      </c>
      <c r="BY210" t="str">
        <f>+IFERROR(VLOOKUP(BY11,IN_Zugliste!$A$4:$E$2002,5,FALSE),"")</f>
        <v/>
      </c>
      <c r="BZ210" t="str">
        <f>+IFERROR(VLOOKUP(BZ11,IN_Zugliste!$A$4:$E$2002,5,FALSE),"")</f>
        <v/>
      </c>
      <c r="CA210" t="str">
        <f>+IFERROR(VLOOKUP(CA11,IN_Zugliste!$A$4:$E$2002,5,FALSE),"")</f>
        <v/>
      </c>
      <c r="CB210" t="str">
        <f>+IFERROR(VLOOKUP(CB11,IN_Zugliste!$A$4:$E$2002,5,FALSE),"")</f>
        <v/>
      </c>
      <c r="CC210" t="str">
        <f>+IFERROR(VLOOKUP(CC11,IN_Zugliste!$A$4:$E$2002,5,FALSE),"")</f>
        <v/>
      </c>
      <c r="CD210" t="str">
        <f>+IFERROR(VLOOKUP(CD11,IN_Zugliste!$A$4:$E$2002,5,FALSE),"")</f>
        <v/>
      </c>
      <c r="CE210" t="str">
        <f>+IFERROR(VLOOKUP(CE11,IN_Zugliste!$A$4:$E$2002,5,FALSE),"")</f>
        <v/>
      </c>
      <c r="CF210" t="str">
        <f>+IFERROR(VLOOKUP(CF11,IN_Zugliste!$A$4:$E$2002,5,FALSE),"")</f>
        <v/>
      </c>
      <c r="CG210" t="str">
        <f>+IFERROR(VLOOKUP(CG11,IN_Zugliste!$A$4:$E$2002,5,FALSE),"")</f>
        <v/>
      </c>
      <c r="CH210" t="str">
        <f>+IFERROR(VLOOKUP(CH11,IN_Zugliste!$A$4:$E$2002,5,FALSE),"")</f>
        <v/>
      </c>
      <c r="CI210" t="str">
        <f>+IFERROR(VLOOKUP(CI11,IN_Zugliste!$A$4:$E$2002,5,FALSE),"")</f>
        <v/>
      </c>
      <c r="CJ210" t="str">
        <f>+IFERROR(VLOOKUP(CJ11,IN_Zugliste!$A$4:$E$2002,5,FALSE),"")</f>
        <v/>
      </c>
      <c r="CK210" t="str">
        <f>+IFERROR(VLOOKUP(CK11,IN_Zugliste!$A$4:$E$2002,5,FALSE),"")</f>
        <v/>
      </c>
      <c r="CL210" t="str">
        <f>+IFERROR(VLOOKUP(CL11,IN_Zugliste!$A$4:$E$2002,5,FALSE),"")</f>
        <v/>
      </c>
      <c r="CM210" t="str">
        <f>+IFERROR(VLOOKUP(CM11,IN_Zugliste!$A$4:$E$2002,5,FALSE),"")</f>
        <v/>
      </c>
      <c r="CN210" t="str">
        <f>+IFERROR(VLOOKUP(CN11,IN_Zugliste!$A$4:$E$2002,5,FALSE),"")</f>
        <v/>
      </c>
      <c r="CO210" t="str">
        <f>+IFERROR(VLOOKUP(CO11,IN_Zugliste!$A$4:$E$2002,5,FALSE),"")</f>
        <v/>
      </c>
      <c r="CP210" t="str">
        <f>+IFERROR(VLOOKUP(CP11,IN_Zugliste!$A$4:$E$2002,5,FALSE),"")</f>
        <v/>
      </c>
      <c r="CQ210" t="str">
        <f>+IFERROR(VLOOKUP(CQ11,IN_Zugliste!$A$4:$E$2002,5,FALSE),"")</f>
        <v/>
      </c>
      <c r="CR210" t="str">
        <f>+IFERROR(VLOOKUP(CR11,IN_Zugliste!$A$4:$E$2002,5,FALSE),"")</f>
        <v/>
      </c>
      <c r="CS210" t="str">
        <f>+IFERROR(VLOOKUP(CS11,IN_Zugliste!$A$4:$E$2002,5,FALSE),"")</f>
        <v/>
      </c>
      <c r="CT210" t="str">
        <f>+IFERROR(VLOOKUP(CT11,IN_Zugliste!$A$4:$E$2002,5,FALSE),"")</f>
        <v/>
      </c>
      <c r="CU210" t="str">
        <f>+IFERROR(VLOOKUP(CU11,IN_Zugliste!$A$4:$E$2002,5,FALSE),"")</f>
        <v/>
      </c>
      <c r="CV210" t="str">
        <f>+IFERROR(VLOOKUP(CV11,IN_Zugliste!$A$4:$E$2002,5,FALSE),"")</f>
        <v/>
      </c>
      <c r="CW210" t="str">
        <f>+IFERROR(VLOOKUP(CW11,IN_Zugliste!$A$4:$E$2002,5,FALSE),"")</f>
        <v/>
      </c>
      <c r="CX210" t="str">
        <f>+IFERROR(VLOOKUP(CX11,IN_Zugliste!$A$4:$E$2002,5,FALSE),"")</f>
        <v/>
      </c>
      <c r="CY210" t="str">
        <f>+IFERROR(VLOOKUP(CY11,IN_Zugliste!$A$4:$E$2002,5,FALSE),"")</f>
        <v/>
      </c>
      <c r="CZ210" t="str">
        <f>+IFERROR(VLOOKUP(CZ11,IN_Zugliste!$A$4:$E$2002,5,FALSE),"")</f>
        <v/>
      </c>
      <c r="DA210" t="str">
        <f>+IFERROR(VLOOKUP(DA11,IN_Zugliste!$A$4:$E$2002,5,FALSE),"")</f>
        <v/>
      </c>
      <c r="DB210" t="str">
        <f>+IFERROR(VLOOKUP(DB11,IN_Zugliste!$A$4:$E$2002,5,FALSE),"")</f>
        <v/>
      </c>
      <c r="DC210" t="str">
        <f>+IFERROR(VLOOKUP(DC11,IN_Zugliste!$A$4:$E$2002,5,FALSE),"")</f>
        <v/>
      </c>
      <c r="DD210" t="str">
        <f>+IFERROR(VLOOKUP(DD11,IN_Zugliste!$A$4:$E$2002,5,FALSE),"")</f>
        <v/>
      </c>
      <c r="DE210" t="str">
        <f>+IFERROR(VLOOKUP(DE11,IN_Zugliste!$A$4:$E$2002,5,FALSE),"")</f>
        <v/>
      </c>
      <c r="DF210" t="str">
        <f>+IFERROR(VLOOKUP(DF11,IN_Zugliste!$A$4:$E$2002,5,FALSE),"")</f>
        <v/>
      </c>
      <c r="DG210" t="str">
        <f>+IFERROR(VLOOKUP(DG11,IN_Zugliste!$A$4:$E$2002,5,FALSE),"")</f>
        <v/>
      </c>
      <c r="DH210" t="str">
        <f>+IFERROR(VLOOKUP(DH11,IN_Zugliste!$A$4:$E$2002,5,FALSE),"")</f>
        <v/>
      </c>
      <c r="DI210" t="str">
        <f>+IFERROR(VLOOKUP(DI11,IN_Zugliste!$A$4:$E$2002,5,FALSE),"")</f>
        <v/>
      </c>
      <c r="DJ210" t="str">
        <f>+IFERROR(VLOOKUP(DJ11,IN_Zugliste!$A$4:$E$2002,5,FALSE),"")</f>
        <v/>
      </c>
      <c r="DK210" t="str">
        <f>+IFERROR(VLOOKUP(DK11,IN_Zugliste!$A$4:$E$2002,5,FALSE),"")</f>
        <v/>
      </c>
      <c r="DL210" t="str">
        <f>+IFERROR(VLOOKUP(DL11,IN_Zugliste!$A$4:$E$2002,5,FALSE),"")</f>
        <v/>
      </c>
      <c r="DM210" t="str">
        <f>+IFERROR(VLOOKUP(DM11,IN_Zugliste!$A$4:$E$2002,5,FALSE),"")</f>
        <v/>
      </c>
      <c r="DN210" t="str">
        <f>+IFERROR(VLOOKUP(DN11,IN_Zugliste!$A$4:$E$2002,5,FALSE),"")</f>
        <v/>
      </c>
      <c r="DO210" t="str">
        <f>+IFERROR(VLOOKUP(DO11,IN_Zugliste!$A$4:$E$2002,5,FALSE),"")</f>
        <v/>
      </c>
      <c r="DP210" t="str">
        <f>+IFERROR(VLOOKUP(DP11,IN_Zugliste!$A$4:$E$2002,5,FALSE),"")</f>
        <v/>
      </c>
      <c r="DQ210" t="str">
        <f>+IFERROR(VLOOKUP(DQ11,IN_Zugliste!$A$4:$E$2002,5,FALSE),"")</f>
        <v/>
      </c>
      <c r="DR210" t="str">
        <f>+IFERROR(VLOOKUP(DR11,IN_Zugliste!$A$4:$E$2002,5,FALSE),"")</f>
        <v/>
      </c>
      <c r="DS210" t="str">
        <f>+IFERROR(VLOOKUP(DS11,IN_Zugliste!$A$4:$E$2002,5,FALSE),"")</f>
        <v/>
      </c>
      <c r="DT210" t="str">
        <f>+IFERROR(VLOOKUP(DT11,IN_Zugliste!$A$4:$E$2002,5,FALSE),"")</f>
        <v/>
      </c>
      <c r="DU210" t="str">
        <f>+IFERROR(VLOOKUP(DU11,IN_Zugliste!$A$4:$E$2002,5,FALSE),"")</f>
        <v/>
      </c>
      <c r="DV210" t="str">
        <f>+IFERROR(VLOOKUP(DV11,IN_Zugliste!$A$4:$E$2002,5,FALSE),"")</f>
        <v/>
      </c>
      <c r="DW210" t="str">
        <f>+IFERROR(VLOOKUP(DW11,IN_Zugliste!$A$4:$E$2002,5,FALSE),"")</f>
        <v/>
      </c>
      <c r="DX210" t="str">
        <f>+IFERROR(VLOOKUP(DX11,IN_Zugliste!$A$4:$E$2002,5,FALSE),"")</f>
        <v/>
      </c>
      <c r="DY210" t="str">
        <f>+IFERROR(VLOOKUP(DY11,IN_Zugliste!$A$4:$E$2002,5,FALSE),"")</f>
        <v/>
      </c>
      <c r="DZ210" t="str">
        <f>+IFERROR(VLOOKUP(DZ11,IN_Zugliste!$A$4:$E$2002,5,FALSE),"")</f>
        <v/>
      </c>
      <c r="EA210" t="str">
        <f>+IFERROR(VLOOKUP(EA11,IN_Zugliste!$A$4:$E$2002,5,FALSE),"")</f>
        <v/>
      </c>
      <c r="EB210" t="str">
        <f>+IFERROR(VLOOKUP(EB11,IN_Zugliste!$A$4:$E$2002,5,FALSE),"")</f>
        <v/>
      </c>
      <c r="EC210" t="str">
        <f>+IFERROR(VLOOKUP(EC11,IN_Zugliste!$A$4:$E$2002,5,FALSE),"")</f>
        <v/>
      </c>
      <c r="ED210" t="str">
        <f>+IFERROR(VLOOKUP(ED11,IN_Zugliste!$A$4:$E$2002,5,FALSE),"")</f>
        <v/>
      </c>
      <c r="EE210" t="str">
        <f>+IFERROR(VLOOKUP(EE11,IN_Zugliste!$A$4:$E$2002,5,FALSE),"")</f>
        <v/>
      </c>
      <c r="EF210" t="str">
        <f>+IFERROR(VLOOKUP(EF11,IN_Zugliste!$A$4:$E$2002,5,FALSE),"")</f>
        <v/>
      </c>
      <c r="EG210" t="str">
        <f>+IFERROR(VLOOKUP(EG11,IN_Zugliste!$A$4:$E$2002,5,FALSE),"")</f>
        <v/>
      </c>
      <c r="EH210" t="str">
        <f>+IFERROR(VLOOKUP(EH11,IN_Zugliste!$A$4:$E$2002,5,FALSE),"")</f>
        <v/>
      </c>
      <c r="EI210" t="str">
        <f>+IFERROR(VLOOKUP(EI11,IN_Zugliste!$A$4:$E$2002,5,FALSE),"")</f>
        <v/>
      </c>
      <c r="EJ210" t="str">
        <f>+IFERROR(VLOOKUP(EJ11,IN_Zugliste!$A$4:$E$2002,5,FALSE),"")</f>
        <v/>
      </c>
      <c r="EK210" t="str">
        <f>+IFERROR(VLOOKUP(EK11,IN_Zugliste!$A$4:$E$2002,5,FALSE),"")</f>
        <v/>
      </c>
      <c r="EL210" t="str">
        <f>+IFERROR(VLOOKUP(EL11,IN_Zugliste!$A$4:$E$2002,5,FALSE),"")</f>
        <v/>
      </c>
      <c r="EM210" t="str">
        <f>+IFERROR(VLOOKUP(EM11,IN_Zugliste!$A$4:$E$2002,5,FALSE),"")</f>
        <v/>
      </c>
      <c r="EN210" t="str">
        <f>+IFERROR(VLOOKUP(EN11,IN_Zugliste!$A$4:$E$2002,5,FALSE),"")</f>
        <v/>
      </c>
      <c r="EO210" t="str">
        <f>+IFERROR(VLOOKUP(EO11,IN_Zugliste!$A$4:$E$2002,5,FALSE),"")</f>
        <v/>
      </c>
      <c r="EP210" t="str">
        <f>+IFERROR(VLOOKUP(EP11,IN_Zugliste!$A$4:$E$2002,5,FALSE),"")</f>
        <v/>
      </c>
      <c r="EQ210" t="str">
        <f>+IFERROR(VLOOKUP(EQ11,IN_Zugliste!$A$4:$E$2002,5,FALSE),"")</f>
        <v/>
      </c>
      <c r="ER210" t="str">
        <f>+IFERROR(VLOOKUP(ER11,IN_Zugliste!$A$4:$E$2002,5,FALSE),"")</f>
        <v/>
      </c>
      <c r="ES210" t="str">
        <f>+IFERROR(VLOOKUP(ES11,IN_Zugliste!$A$4:$E$2002,5,FALSE),"")</f>
        <v/>
      </c>
      <c r="ET210" t="str">
        <f>+IFERROR(VLOOKUP(ET11,IN_Zugliste!$A$4:$E$2002,5,FALSE),"")</f>
        <v/>
      </c>
      <c r="EU210" t="str">
        <f>+IFERROR(VLOOKUP(EU11,IN_Zugliste!$A$4:$E$2002,5,FALSE),"")</f>
        <v/>
      </c>
      <c r="EV210" t="str">
        <f>+IFERROR(VLOOKUP(EV11,IN_Zugliste!$A$4:$E$2002,5,FALSE),"")</f>
        <v/>
      </c>
      <c r="EW210" t="str">
        <f>+IFERROR(VLOOKUP(EW11,IN_Zugliste!$A$4:$E$2002,5,FALSE),"")</f>
        <v/>
      </c>
      <c r="EX210" t="str">
        <f>+IFERROR(VLOOKUP(EX11,IN_Zugliste!$A$4:$E$2002,5,FALSE),"")</f>
        <v/>
      </c>
      <c r="EY210" t="str">
        <f>+IFERROR(VLOOKUP(EY11,IN_Zugliste!$A$4:$E$2002,5,FALSE),"")</f>
        <v/>
      </c>
      <c r="EZ210" t="str">
        <f>+IFERROR(VLOOKUP(EZ11,IN_Zugliste!$A$4:$E$2002,5,FALSE),"")</f>
        <v/>
      </c>
      <c r="FA210" t="str">
        <f>+IFERROR(VLOOKUP(FA11,IN_Zugliste!$A$4:$E$2002,5,FALSE),"")</f>
        <v/>
      </c>
      <c r="FB210" t="str">
        <f>+IFERROR(VLOOKUP(FB11,IN_Zugliste!$A$4:$E$2002,5,FALSE),"")</f>
        <v/>
      </c>
      <c r="FC210" t="str">
        <f>+IFERROR(VLOOKUP(FC11,IN_Zugliste!$A$4:$E$2002,5,FALSE),"")</f>
        <v/>
      </c>
      <c r="FD210" t="str">
        <f>+IFERROR(VLOOKUP(FD11,IN_Zugliste!$A$4:$E$2002,5,FALSE),"")</f>
        <v/>
      </c>
      <c r="FE210" t="str">
        <f>+IFERROR(VLOOKUP(FE11,IN_Zugliste!$A$4:$E$2002,5,FALSE),"")</f>
        <v/>
      </c>
      <c r="FF210" t="str">
        <f>+IFERROR(VLOOKUP(FF11,IN_Zugliste!$A$4:$E$2002,5,FALSE),"")</f>
        <v/>
      </c>
      <c r="FG210" t="str">
        <f>+IFERROR(VLOOKUP(FG11,IN_Zugliste!$A$4:$E$2002,5,FALSE),"")</f>
        <v/>
      </c>
      <c r="FH210" t="str">
        <f>+IFERROR(VLOOKUP(FH11,IN_Zugliste!$A$4:$E$2002,5,FALSE),"")</f>
        <v/>
      </c>
      <c r="FI210" t="str">
        <f>+IFERROR(VLOOKUP(FI11,IN_Zugliste!$A$4:$E$2002,5,FALSE),"")</f>
        <v/>
      </c>
      <c r="FJ210" t="str">
        <f>+IFERROR(VLOOKUP(FJ11,IN_Zugliste!$A$4:$E$2002,5,FALSE),"")</f>
        <v/>
      </c>
      <c r="FK210" t="str">
        <f>+IFERROR(VLOOKUP(FK11,IN_Zugliste!$A$4:$E$2002,5,FALSE),"")</f>
        <v/>
      </c>
      <c r="FL210" t="str">
        <f>+IFERROR(VLOOKUP(FL11,IN_Zugliste!$A$4:$E$2002,5,FALSE),"")</f>
        <v/>
      </c>
      <c r="FM210" t="str">
        <f>+IFERROR(VLOOKUP(FM11,IN_Zugliste!$A$4:$D$2002,5,FALSE),"")</f>
        <v/>
      </c>
      <c r="FN210" t="str">
        <f>+IFERROR(VLOOKUP(FN11,IN_Zugliste!$A$4:$D$2002,5,FALSE),"")</f>
        <v/>
      </c>
      <c r="FO210" t="str">
        <f>+IFERROR(VLOOKUP(FO11,IN_Zugliste!$A$4:$D$2002,5,FALSE),"")</f>
        <v/>
      </c>
      <c r="FP210" t="str">
        <f>+IFERROR(VLOOKUP(FP11,IN_Zugliste!$A$4:$D$2002,5,FALSE),"")</f>
        <v/>
      </c>
      <c r="FQ210" t="str">
        <f>+IFERROR(VLOOKUP(FQ11,IN_Zugliste!$A$4:$D$2002,5,FALSE),"")</f>
        <v/>
      </c>
      <c r="FR210" t="str">
        <f>+IFERROR(VLOOKUP(FR11,IN_Zugliste!$A$4:$D$2002,5,FALSE),"")</f>
        <v/>
      </c>
      <c r="FS210" t="str">
        <f>+IFERROR(VLOOKUP(FS11,IN_Zugliste!$A$4:$D$2002,5,FALSE),"")</f>
        <v/>
      </c>
      <c r="FT210" t="str">
        <f>+IFERROR(VLOOKUP(FT11,IN_Zugliste!$A$4:$D$2002,5,FALSE),"")</f>
        <v/>
      </c>
      <c r="FU210" t="str">
        <f>+IFERROR(VLOOKUP(FU11,IN_Zugliste!$A$4:$D$2002,5,FALSE),"")</f>
        <v/>
      </c>
      <c r="FV210" t="str">
        <f>+IFERROR(VLOOKUP(FV11,IN_Zugliste!$A$4:$D$2002,5,FALSE),"")</f>
        <v/>
      </c>
      <c r="FW210" t="str">
        <f>+IFERROR(VLOOKUP(FW11,IN_Zugliste!$A$4:$D$2002,5,FALSE),"")</f>
        <v/>
      </c>
      <c r="FX210" t="str">
        <f>+IFERROR(VLOOKUP(FX11,IN_Zugliste!$A$4:$D$2002,5,FALSE),"")</f>
        <v/>
      </c>
      <c r="FY210" t="str">
        <f>+IFERROR(VLOOKUP(FY11,IN_Zugliste!$A$4:$D$2002,5,FALSE),"")</f>
        <v/>
      </c>
      <c r="FZ210" t="str">
        <f>+IFERROR(VLOOKUP(FZ11,IN_Zugliste!$A$4:$D$2002,5,FALSE),"")</f>
        <v/>
      </c>
      <c r="GA210" t="str">
        <f>+IFERROR(VLOOKUP(GA11,IN_Zugliste!$A$4:$D$2002,5,FALSE),"")</f>
        <v/>
      </c>
      <c r="GB210" t="str">
        <f>+IFERROR(VLOOKUP(GB11,IN_Zugliste!$A$4:$D$2002,5,FALSE),"")</f>
        <v/>
      </c>
      <c r="GC210" t="str">
        <f>+IFERROR(VLOOKUP(GC11,IN_Zugliste!$A$4:$D$2002,5,FALSE),"")</f>
        <v/>
      </c>
      <c r="GD210" t="str">
        <f>+IFERROR(VLOOKUP(GD11,IN_Zugliste!$A$4:$D$2002,5,FALSE),"")</f>
        <v/>
      </c>
      <c r="GE210" t="str">
        <f>+IFERROR(VLOOKUP(GE11,IN_Zugliste!$A$4:$D$2002,5,FALSE),"")</f>
        <v/>
      </c>
      <c r="GF210" t="str">
        <f>+IFERROR(VLOOKUP(GF11,IN_Zugliste!$A$4:$D$2002,5,FALSE),"")</f>
        <v/>
      </c>
      <c r="GG210" t="str">
        <f>+IFERROR(VLOOKUP(GG11,IN_Zugliste!$A$4:$D$2002,5,FALSE),"")</f>
        <v/>
      </c>
      <c r="GH210" t="str">
        <f>+IFERROR(VLOOKUP(GH11,IN_Zugliste!$A$4:$D$2002,5,FALSE),"")</f>
        <v/>
      </c>
      <c r="GI210" t="str">
        <f>+IFERROR(VLOOKUP(GI11,IN_Zugliste!$A$4:$D$2002,5,FALSE),"")</f>
        <v/>
      </c>
      <c r="GJ210" t="str">
        <f>+IFERROR(VLOOKUP(GJ11,IN_Zugliste!$A$4:$D$2002,5,FALSE),"")</f>
        <v/>
      </c>
      <c r="GK210" t="str">
        <f>+IFERROR(VLOOKUP(GK11,IN_Zugliste!$A$4:$D$2002,5,FALSE),"")</f>
        <v/>
      </c>
      <c r="GL210" t="str">
        <f>+IFERROR(VLOOKUP(GL11,IN_Zugliste!$A$4:$D$2002,5,FALSE),"")</f>
        <v/>
      </c>
      <c r="GM210" t="str">
        <f>+IFERROR(VLOOKUP(GM11,IN_Zugliste!$A$4:$D$2002,5,FALSE),"")</f>
        <v/>
      </c>
      <c r="GN210" t="str">
        <f>+IFERROR(VLOOKUP(GN11,IN_Zugliste!$A$4:$D$2002,5,FALSE),"")</f>
        <v/>
      </c>
      <c r="GO210" t="str">
        <f>+IFERROR(VLOOKUP(GO11,IN_Zugliste!$A$4:$D$2002,5,FALSE),"")</f>
        <v/>
      </c>
      <c r="GP210" t="str">
        <f>+IFERROR(VLOOKUP(GP11,IN_Zugliste!$A$4:$D$2002,5,FALSE),"")</f>
        <v/>
      </c>
      <c r="GQ210" t="str">
        <f>+IFERROR(VLOOKUP(GQ11,IN_Zugliste!$A$4:$D$2002,5,FALSE),"")</f>
        <v/>
      </c>
      <c r="GR210" t="str">
        <f>+IFERROR(VLOOKUP(GR11,IN_Zugliste!$A$4:$D$2002,5,FALSE),"")</f>
        <v/>
      </c>
      <c r="GS210" t="str">
        <f>+IFERROR(VLOOKUP(GS11,IN_Zugliste!$A$4:$D$2002,5,FALSE),"")</f>
        <v/>
      </c>
      <c r="GT210" t="str">
        <f>+IFERROR(VLOOKUP(GT11,IN_Zugliste!$A$4:$D$2002,5,FALSE),"")</f>
        <v/>
      </c>
      <c r="GU210" t="str">
        <f>+IFERROR(VLOOKUP(GU11,IN_Zugliste!$A$4:$D$2002,5,FALSE),"")</f>
        <v/>
      </c>
      <c r="GV210" t="str">
        <f>+IFERROR(VLOOKUP(GV11,IN_Zugliste!$A$4:$D$2002,5,FALSE),"")</f>
        <v/>
      </c>
      <c r="GW210" t="str">
        <f>+IFERROR(VLOOKUP(GW11,IN_Zugliste!$A$4:$D$2002,5,FALSE),"")</f>
        <v/>
      </c>
      <c r="GX210" t="str">
        <f>+IFERROR(VLOOKUP(GX11,IN_Zugliste!$A$4:$D$2002,5,FALSE),"")</f>
        <v/>
      </c>
      <c r="GY210" t="str">
        <f>+IFERROR(VLOOKUP(GY11,IN_Zugliste!$A$4:$D$2002,5,FALSE),"")</f>
        <v/>
      </c>
      <c r="GZ210" t="str">
        <f>+IFERROR(VLOOKUP(GZ11,IN_Zugliste!$A$4:$D$2002,5,FALSE),"")</f>
        <v/>
      </c>
      <c r="HA210" t="str">
        <f>+IFERROR(VLOOKUP(HA11,IN_Zugliste!$A$4:$D$2002,5,FALSE),"")</f>
        <v/>
      </c>
      <c r="HB210" t="str">
        <f>+IFERROR(VLOOKUP(HB11,IN_Zugliste!$A$4:$D$2002,5,FALSE),"")</f>
        <v/>
      </c>
      <c r="HC210" t="str">
        <f>+IFERROR(VLOOKUP(HC11,IN_Zugliste!$A$4:$D$2002,5,FALSE),"")</f>
        <v/>
      </c>
      <c r="HD210" t="str">
        <f>+IFERROR(VLOOKUP(HD11,IN_Zugliste!$A$4:$D$2002,5,FALSE),"")</f>
        <v/>
      </c>
      <c r="HE210" t="str">
        <f>+IFERROR(VLOOKUP(HE11,IN_Zugliste!$A$4:$D$2002,5,FALSE),"")</f>
        <v/>
      </c>
      <c r="HF210" t="str">
        <f>+IFERROR(VLOOKUP(HF11,IN_Zugliste!$A$4:$D$2002,5,FALSE),"")</f>
        <v/>
      </c>
      <c r="HG210" t="str">
        <f>+IFERROR(VLOOKUP(HG11,IN_Zugliste!$A$4:$D$2002,5,FALSE),"")</f>
        <v/>
      </c>
      <c r="HH210" t="str">
        <f>+IFERROR(VLOOKUP(HH11,IN_Zugliste!$A$4:$D$2002,5,FALSE),"")</f>
        <v/>
      </c>
    </row>
    <row r="211" spans="1:216" x14ac:dyDescent="0.2">
      <c r="A211" t="str">
        <f>+IFERROR(VLOOKUP(A12,IN_Zugliste!$A$4:$E$2002,5,FALSE),"")</f>
        <v/>
      </c>
      <c r="B211" t="str">
        <f>+IFERROR(VLOOKUP(B12,IN_Zugliste!$A$4:$E$2002,5,FALSE),"")</f>
        <v/>
      </c>
      <c r="C211" t="str">
        <f>+IFERROR(VLOOKUP(C12,IN_Zugliste!$A$4:$E$2002,5,FALSE),"")</f>
        <v/>
      </c>
      <c r="D211" t="str">
        <f>+IFERROR(VLOOKUP(D12,IN_Zugliste!$A$4:$E$2002,5,FALSE),"")</f>
        <v/>
      </c>
      <c r="E211" t="str">
        <f>+IFERROR(VLOOKUP(E12,IN_Zugliste!$A$4:$E$2002,5,FALSE),"")</f>
        <v/>
      </c>
      <c r="F211" t="str">
        <f>+IFERROR(VLOOKUP(F12,IN_Zugliste!$A$4:$E$2002,5,FALSE),"")</f>
        <v/>
      </c>
      <c r="G211" t="str">
        <f>+IFERROR(VLOOKUP(G12,IN_Zugliste!$A$4:$E$2002,5,FALSE),"")</f>
        <v/>
      </c>
      <c r="H211" t="str">
        <f>+IFERROR(VLOOKUP(H12,IN_Zugliste!$A$4:$E$2002,5,FALSE),"")</f>
        <v/>
      </c>
      <c r="I211" t="str">
        <f>+IFERROR(VLOOKUP(I12,IN_Zugliste!$A$4:$E$2002,5,FALSE),"")</f>
        <v/>
      </c>
      <c r="J211" t="str">
        <f>+IFERROR(VLOOKUP(J12,IN_Zugliste!$A$4:$E$2002,5,FALSE),"")</f>
        <v/>
      </c>
      <c r="K211" t="str">
        <f>+IFERROR(VLOOKUP(K12,IN_Zugliste!$A$4:$E$2002,5,FALSE),"")</f>
        <v/>
      </c>
      <c r="L211" t="str">
        <f>+IFERROR(VLOOKUP(L12,IN_Zugliste!$A$4:$E$2002,5,FALSE),"")</f>
        <v/>
      </c>
      <c r="M211" t="str">
        <f>+IFERROR(VLOOKUP(M12,IN_Zugliste!$A$4:$E$2002,5,FALSE),"")</f>
        <v/>
      </c>
      <c r="N211" t="str">
        <f>+IFERROR(VLOOKUP(N12,IN_Zugliste!$A$4:$E$2002,5,FALSE),"")</f>
        <v/>
      </c>
      <c r="O211" t="str">
        <f>+IFERROR(VLOOKUP(O12,IN_Zugliste!$A$4:$E$2002,5,FALSE),"")</f>
        <v/>
      </c>
      <c r="P211" t="str">
        <f>+IFERROR(VLOOKUP(P12,IN_Zugliste!$A$4:$E$2002,5,FALSE),"")</f>
        <v/>
      </c>
      <c r="Q211" t="str">
        <f>+IFERROR(VLOOKUP(Q12,IN_Zugliste!$A$4:$E$2002,5,FALSE),"")</f>
        <v/>
      </c>
      <c r="R211" t="str">
        <f>+IFERROR(VLOOKUP(R12,IN_Zugliste!$A$4:$E$2002,5,FALSE),"")</f>
        <v/>
      </c>
      <c r="S211" t="str">
        <f>+IFERROR(VLOOKUP(S12,IN_Zugliste!$A$4:$E$2002,5,FALSE),"")</f>
        <v/>
      </c>
      <c r="T211" t="str">
        <f>+IFERROR(VLOOKUP(T12,IN_Zugliste!$A$4:$E$2002,5,FALSE),"")</f>
        <v/>
      </c>
      <c r="U211" t="str">
        <f>+IFERROR(VLOOKUP(U12,IN_Zugliste!$A$4:$E$2002,5,FALSE),"")</f>
        <v/>
      </c>
      <c r="V211" t="str">
        <f>+IFERROR(VLOOKUP(V12,IN_Zugliste!$A$4:$E$2002,5,FALSE),"")</f>
        <v/>
      </c>
      <c r="W211" t="str">
        <f>+IFERROR(VLOOKUP(W12,IN_Zugliste!$A$4:$E$2002,5,FALSE),"")</f>
        <v/>
      </c>
      <c r="X211" t="str">
        <f>+IFERROR(VLOOKUP(X12,IN_Zugliste!$A$4:$E$2002,5,FALSE),"")</f>
        <v/>
      </c>
      <c r="Y211" t="str">
        <f>+IFERROR(VLOOKUP(Y12,IN_Zugliste!$A$4:$E$2002,5,FALSE),"")</f>
        <v/>
      </c>
      <c r="Z211" t="str">
        <f>+IFERROR(VLOOKUP(Z12,IN_Zugliste!$A$4:$E$2002,5,FALSE),"")</f>
        <v/>
      </c>
      <c r="AA211" t="str">
        <f>+IFERROR(VLOOKUP(AA12,IN_Zugliste!$A$4:$E$2002,5,FALSE),"")</f>
        <v/>
      </c>
      <c r="AB211" t="str">
        <f>+IFERROR(VLOOKUP(AB12,IN_Zugliste!$A$4:$E$2002,5,FALSE),"")</f>
        <v/>
      </c>
      <c r="AC211" t="str">
        <f>+IFERROR(VLOOKUP(AC12,IN_Zugliste!$A$4:$E$2002,5,FALSE),"")</f>
        <v/>
      </c>
      <c r="AD211" t="str">
        <f>+IFERROR(VLOOKUP(AD12,IN_Zugliste!$A$4:$E$2002,5,FALSE),"")</f>
        <v/>
      </c>
      <c r="AE211" t="str">
        <f>+IFERROR(VLOOKUP(AE12,IN_Zugliste!$A$4:$E$2002,5,FALSE),"")</f>
        <v/>
      </c>
      <c r="AF211" t="str">
        <f>+IFERROR(VLOOKUP(AF12,IN_Zugliste!$A$4:$E$2002,5,FALSE),"")</f>
        <v/>
      </c>
      <c r="AG211" t="str">
        <f>+IFERROR(VLOOKUP(AG12,IN_Zugliste!$A$4:$E$2002,5,FALSE),"")</f>
        <v/>
      </c>
      <c r="AH211" t="str">
        <f>+IFERROR(VLOOKUP(AH12,IN_Zugliste!$A$4:$E$2002,5,FALSE),"")</f>
        <v/>
      </c>
      <c r="AI211" t="str">
        <f>+IFERROR(VLOOKUP(AI12,IN_Zugliste!$A$4:$E$2002,5,FALSE),"")</f>
        <v/>
      </c>
      <c r="AJ211" t="str">
        <f>+IFERROR(VLOOKUP(AJ12,IN_Zugliste!$A$4:$E$2002,5,FALSE),"")</f>
        <v/>
      </c>
      <c r="AK211" t="str">
        <f>+IFERROR(VLOOKUP(AK12,IN_Zugliste!$A$4:$E$2002,5,FALSE),"")</f>
        <v/>
      </c>
      <c r="AL211" t="str">
        <f>+IFERROR(VLOOKUP(AL12,IN_Zugliste!$A$4:$E$2002,5,FALSE),"")</f>
        <v/>
      </c>
      <c r="AM211" t="str">
        <f>+IFERROR(VLOOKUP(AM12,IN_Zugliste!$A$4:$E$2002,5,FALSE),"")</f>
        <v/>
      </c>
      <c r="AN211" t="str">
        <f>+IFERROR(VLOOKUP(AN12,IN_Zugliste!$A$4:$E$2002,5,FALSE),"")</f>
        <v/>
      </c>
      <c r="AO211" t="str">
        <f>+IFERROR(VLOOKUP(AO12,IN_Zugliste!$A$4:$E$2002,5,FALSE),"")</f>
        <v/>
      </c>
      <c r="AP211" t="str">
        <f>+IFERROR(VLOOKUP(AP12,IN_Zugliste!$A$4:$E$2002,5,FALSE),"")</f>
        <v/>
      </c>
      <c r="AQ211" t="str">
        <f>+IFERROR(VLOOKUP(AQ12,IN_Zugliste!$A$4:$E$2002,5,FALSE),"")</f>
        <v/>
      </c>
      <c r="AR211" t="str">
        <f>+IFERROR(VLOOKUP(AR12,IN_Zugliste!$A$4:$E$2002,5,FALSE),"")</f>
        <v/>
      </c>
      <c r="AS211" t="str">
        <f>+IFERROR(VLOOKUP(AS12,IN_Zugliste!$A$4:$E$2002,5,FALSE),"")</f>
        <v/>
      </c>
      <c r="AT211" t="str">
        <f>+IFERROR(VLOOKUP(AT12,IN_Zugliste!$A$4:$E$2002,5,FALSE),"")</f>
        <v/>
      </c>
      <c r="AU211" t="str">
        <f>+IFERROR(VLOOKUP(AU12,IN_Zugliste!$A$4:$E$2002,5,FALSE),"")</f>
        <v/>
      </c>
      <c r="AV211" t="str">
        <f>+IFERROR(VLOOKUP(AV12,IN_Zugliste!$A$4:$E$2002,5,FALSE),"")</f>
        <v/>
      </c>
      <c r="AW211" t="str">
        <f>+IFERROR(VLOOKUP(AW12,IN_Zugliste!$A$4:$E$2002,5,FALSE),"")</f>
        <v/>
      </c>
      <c r="AX211" t="str">
        <f>+IFERROR(VLOOKUP(AX12,IN_Zugliste!$A$4:$E$2002,5,FALSE),"")</f>
        <v/>
      </c>
      <c r="AY211" t="str">
        <f>+IFERROR(VLOOKUP(AY12,IN_Zugliste!$A$4:$E$2002,5,FALSE),"")</f>
        <v/>
      </c>
      <c r="AZ211" t="str">
        <f>+IFERROR(VLOOKUP(AZ12,IN_Zugliste!$A$4:$E$2002,5,FALSE),"")</f>
        <v/>
      </c>
      <c r="BA211" t="str">
        <f>+IFERROR(VLOOKUP(BA12,IN_Zugliste!$A$4:$E$2002,5,FALSE),"")</f>
        <v/>
      </c>
      <c r="BB211" t="str">
        <f>+IFERROR(VLOOKUP(BB12,IN_Zugliste!$A$4:$E$2002,5,FALSE),"")</f>
        <v/>
      </c>
      <c r="BC211" t="str">
        <f>+IFERROR(VLOOKUP(BC12,IN_Zugliste!$A$4:$E$2002,5,FALSE),"")</f>
        <v/>
      </c>
      <c r="BD211" t="str">
        <f>+IFERROR(VLOOKUP(BD12,IN_Zugliste!$A$4:$E$2002,5,FALSE),"")</f>
        <v/>
      </c>
      <c r="BE211" t="str">
        <f>+IFERROR(VLOOKUP(BE12,IN_Zugliste!$A$4:$E$2002,5,FALSE),"")</f>
        <v/>
      </c>
      <c r="BF211" t="str">
        <f>+IFERROR(VLOOKUP(BF12,IN_Zugliste!$A$4:$E$2002,5,FALSE),"")</f>
        <v/>
      </c>
      <c r="BG211" t="str">
        <f>+IFERROR(VLOOKUP(BG12,IN_Zugliste!$A$4:$E$2002,5,FALSE),"")</f>
        <v/>
      </c>
      <c r="BH211" t="str">
        <f>+IFERROR(VLOOKUP(BH12,IN_Zugliste!$A$4:$E$2002,5,FALSE),"")</f>
        <v/>
      </c>
      <c r="BI211" t="str">
        <f>+IFERROR(VLOOKUP(BI12,IN_Zugliste!$A$4:$E$2002,5,FALSE),"")</f>
        <v/>
      </c>
      <c r="BJ211" t="str">
        <f>+IFERROR(VLOOKUP(BJ12,IN_Zugliste!$A$4:$E$2002,5,FALSE),"")</f>
        <v/>
      </c>
      <c r="BK211" t="str">
        <f>+IFERROR(VLOOKUP(BK12,IN_Zugliste!$A$4:$E$2002,5,FALSE),"")</f>
        <v/>
      </c>
      <c r="BL211" t="str">
        <f>+IFERROR(VLOOKUP(BL12,IN_Zugliste!$A$4:$E$2002,5,FALSE),"")</f>
        <v/>
      </c>
      <c r="BM211" t="str">
        <f>+IFERROR(VLOOKUP(BM12,IN_Zugliste!$A$4:$E$2002,5,FALSE),"")</f>
        <v/>
      </c>
      <c r="BN211" t="str">
        <f>+IFERROR(VLOOKUP(BN12,IN_Zugliste!$A$4:$E$2002,5,FALSE),"")</f>
        <v/>
      </c>
      <c r="BO211" t="str">
        <f>+IFERROR(VLOOKUP(BO12,IN_Zugliste!$A$4:$E$2002,5,FALSE),"")</f>
        <v/>
      </c>
      <c r="BP211" t="str">
        <f>+IFERROR(VLOOKUP(BP12,IN_Zugliste!$A$4:$E$2002,5,FALSE),"")</f>
        <v/>
      </c>
      <c r="BQ211" t="str">
        <f>+IFERROR(VLOOKUP(BQ12,IN_Zugliste!$A$4:$E$2002,5,FALSE),"")</f>
        <v/>
      </c>
      <c r="BR211" t="str">
        <f>+IFERROR(VLOOKUP(BR12,IN_Zugliste!$A$4:$E$2002,5,FALSE),"")</f>
        <v/>
      </c>
      <c r="BS211" t="str">
        <f>+IFERROR(VLOOKUP(BS12,IN_Zugliste!$A$4:$E$2002,5,FALSE),"")</f>
        <v/>
      </c>
      <c r="BT211" t="str">
        <f>+IFERROR(VLOOKUP(BT12,IN_Zugliste!$A$4:$E$2002,5,FALSE),"")</f>
        <v/>
      </c>
      <c r="BU211" t="str">
        <f>+IFERROR(VLOOKUP(BU12,IN_Zugliste!$A$4:$E$2002,5,FALSE),"")</f>
        <v/>
      </c>
      <c r="BV211" t="str">
        <f>+IFERROR(VLOOKUP(BV12,IN_Zugliste!$A$4:$E$2002,5,FALSE),"")</f>
        <v/>
      </c>
      <c r="BW211" t="str">
        <f>+IFERROR(VLOOKUP(BW12,IN_Zugliste!$A$4:$E$2002,5,FALSE),"")</f>
        <v/>
      </c>
      <c r="BX211" t="str">
        <f>+IFERROR(VLOOKUP(BX12,IN_Zugliste!$A$4:$E$2002,5,FALSE),"")</f>
        <v/>
      </c>
      <c r="BY211" t="str">
        <f>+IFERROR(VLOOKUP(BY12,IN_Zugliste!$A$4:$E$2002,5,FALSE),"")</f>
        <v/>
      </c>
      <c r="BZ211" t="str">
        <f>+IFERROR(VLOOKUP(BZ12,IN_Zugliste!$A$4:$E$2002,5,FALSE),"")</f>
        <v/>
      </c>
      <c r="CA211" t="str">
        <f>+IFERROR(VLOOKUP(CA12,IN_Zugliste!$A$4:$E$2002,5,FALSE),"")</f>
        <v/>
      </c>
      <c r="CB211" t="str">
        <f>+IFERROR(VLOOKUP(CB12,IN_Zugliste!$A$4:$E$2002,5,FALSE),"")</f>
        <v/>
      </c>
      <c r="CC211" t="str">
        <f>+IFERROR(VLOOKUP(CC12,IN_Zugliste!$A$4:$E$2002,5,FALSE),"")</f>
        <v/>
      </c>
      <c r="CD211" t="str">
        <f>+IFERROR(VLOOKUP(CD12,IN_Zugliste!$A$4:$E$2002,5,FALSE),"")</f>
        <v/>
      </c>
      <c r="CE211" t="str">
        <f>+IFERROR(VLOOKUP(CE12,IN_Zugliste!$A$4:$E$2002,5,FALSE),"")</f>
        <v/>
      </c>
      <c r="CF211" t="str">
        <f>+IFERROR(VLOOKUP(CF12,IN_Zugliste!$A$4:$E$2002,5,FALSE),"")</f>
        <v/>
      </c>
      <c r="CG211" t="str">
        <f>+IFERROR(VLOOKUP(CG12,IN_Zugliste!$A$4:$E$2002,5,FALSE),"")</f>
        <v/>
      </c>
      <c r="CH211" t="str">
        <f>+IFERROR(VLOOKUP(CH12,IN_Zugliste!$A$4:$E$2002,5,FALSE),"")</f>
        <v/>
      </c>
      <c r="CI211" t="str">
        <f>+IFERROR(VLOOKUP(CI12,IN_Zugliste!$A$4:$E$2002,5,FALSE),"")</f>
        <v/>
      </c>
      <c r="CJ211" t="str">
        <f>+IFERROR(VLOOKUP(CJ12,IN_Zugliste!$A$4:$E$2002,5,FALSE),"")</f>
        <v/>
      </c>
      <c r="CK211" t="str">
        <f>+IFERROR(VLOOKUP(CK12,IN_Zugliste!$A$4:$E$2002,5,FALSE),"")</f>
        <v/>
      </c>
      <c r="CL211" t="str">
        <f>+IFERROR(VLOOKUP(CL12,IN_Zugliste!$A$4:$E$2002,5,FALSE),"")</f>
        <v/>
      </c>
      <c r="CM211" t="str">
        <f>+IFERROR(VLOOKUP(CM12,IN_Zugliste!$A$4:$E$2002,5,FALSE),"")</f>
        <v/>
      </c>
      <c r="CN211" t="str">
        <f>+IFERROR(VLOOKUP(CN12,IN_Zugliste!$A$4:$E$2002,5,FALSE),"")</f>
        <v/>
      </c>
      <c r="CO211" t="str">
        <f>+IFERROR(VLOOKUP(CO12,IN_Zugliste!$A$4:$E$2002,5,FALSE),"")</f>
        <v/>
      </c>
      <c r="CP211" t="str">
        <f>+IFERROR(VLOOKUP(CP12,IN_Zugliste!$A$4:$E$2002,5,FALSE),"")</f>
        <v/>
      </c>
      <c r="CQ211" t="str">
        <f>+IFERROR(VLOOKUP(CQ12,IN_Zugliste!$A$4:$E$2002,5,FALSE),"")</f>
        <v/>
      </c>
      <c r="CR211" t="str">
        <f>+IFERROR(VLOOKUP(CR12,IN_Zugliste!$A$4:$E$2002,5,FALSE),"")</f>
        <v/>
      </c>
      <c r="CS211" t="str">
        <f>+IFERROR(VLOOKUP(CS12,IN_Zugliste!$A$4:$E$2002,5,FALSE),"")</f>
        <v/>
      </c>
      <c r="CT211" t="str">
        <f>+IFERROR(VLOOKUP(CT12,IN_Zugliste!$A$4:$E$2002,5,FALSE),"")</f>
        <v/>
      </c>
      <c r="CU211" t="str">
        <f>+IFERROR(VLOOKUP(CU12,IN_Zugliste!$A$4:$E$2002,5,FALSE),"")</f>
        <v/>
      </c>
      <c r="CV211" t="str">
        <f>+IFERROR(VLOOKUP(CV12,IN_Zugliste!$A$4:$E$2002,5,FALSE),"")</f>
        <v/>
      </c>
      <c r="CW211" t="str">
        <f>+IFERROR(VLOOKUP(CW12,IN_Zugliste!$A$4:$E$2002,5,FALSE),"")</f>
        <v/>
      </c>
      <c r="CX211" t="str">
        <f>+IFERROR(VLOOKUP(CX12,IN_Zugliste!$A$4:$E$2002,5,FALSE),"")</f>
        <v/>
      </c>
      <c r="CY211" t="str">
        <f>+IFERROR(VLOOKUP(CY12,IN_Zugliste!$A$4:$E$2002,5,FALSE),"")</f>
        <v/>
      </c>
      <c r="CZ211" t="str">
        <f>+IFERROR(VLOOKUP(CZ12,IN_Zugliste!$A$4:$E$2002,5,FALSE),"")</f>
        <v/>
      </c>
      <c r="DA211" t="str">
        <f>+IFERROR(VLOOKUP(DA12,IN_Zugliste!$A$4:$E$2002,5,FALSE),"")</f>
        <v/>
      </c>
      <c r="DB211" t="str">
        <f>+IFERROR(VLOOKUP(DB12,IN_Zugliste!$A$4:$E$2002,5,FALSE),"")</f>
        <v/>
      </c>
      <c r="DC211" t="str">
        <f>+IFERROR(VLOOKUP(DC12,IN_Zugliste!$A$4:$E$2002,5,FALSE),"")</f>
        <v/>
      </c>
      <c r="DD211" t="str">
        <f>+IFERROR(VLOOKUP(DD12,IN_Zugliste!$A$4:$E$2002,5,FALSE),"")</f>
        <v/>
      </c>
      <c r="DE211" t="str">
        <f>+IFERROR(VLOOKUP(DE12,IN_Zugliste!$A$4:$E$2002,5,FALSE),"")</f>
        <v/>
      </c>
      <c r="DF211" t="str">
        <f>+IFERROR(VLOOKUP(DF12,IN_Zugliste!$A$4:$E$2002,5,FALSE),"")</f>
        <v/>
      </c>
      <c r="DG211" t="str">
        <f>+IFERROR(VLOOKUP(DG12,IN_Zugliste!$A$4:$E$2002,5,FALSE),"")</f>
        <v/>
      </c>
      <c r="DH211" t="str">
        <f>+IFERROR(VLOOKUP(DH12,IN_Zugliste!$A$4:$E$2002,5,FALSE),"")</f>
        <v/>
      </c>
      <c r="DI211" t="str">
        <f>+IFERROR(VLOOKUP(DI12,IN_Zugliste!$A$4:$E$2002,5,FALSE),"")</f>
        <v/>
      </c>
      <c r="DJ211" t="str">
        <f>+IFERROR(VLOOKUP(DJ12,IN_Zugliste!$A$4:$E$2002,5,FALSE),"")</f>
        <v/>
      </c>
      <c r="DK211" t="str">
        <f>+IFERROR(VLOOKUP(DK12,IN_Zugliste!$A$4:$E$2002,5,FALSE),"")</f>
        <v/>
      </c>
      <c r="DL211" t="str">
        <f>+IFERROR(VLOOKUP(DL12,IN_Zugliste!$A$4:$E$2002,5,FALSE),"")</f>
        <v/>
      </c>
      <c r="DM211" t="str">
        <f>+IFERROR(VLOOKUP(DM12,IN_Zugliste!$A$4:$E$2002,5,FALSE),"")</f>
        <v/>
      </c>
      <c r="DN211" t="str">
        <f>+IFERROR(VLOOKUP(DN12,IN_Zugliste!$A$4:$E$2002,5,FALSE),"")</f>
        <v/>
      </c>
      <c r="DO211" t="str">
        <f>+IFERROR(VLOOKUP(DO12,IN_Zugliste!$A$4:$E$2002,5,FALSE),"")</f>
        <v/>
      </c>
      <c r="DP211" t="str">
        <f>+IFERROR(VLOOKUP(DP12,IN_Zugliste!$A$4:$E$2002,5,FALSE),"")</f>
        <v/>
      </c>
      <c r="DQ211" t="str">
        <f>+IFERROR(VLOOKUP(DQ12,IN_Zugliste!$A$4:$E$2002,5,FALSE),"")</f>
        <v/>
      </c>
      <c r="DR211" t="str">
        <f>+IFERROR(VLOOKUP(DR12,IN_Zugliste!$A$4:$E$2002,5,FALSE),"")</f>
        <v/>
      </c>
      <c r="DS211" t="str">
        <f>+IFERROR(VLOOKUP(DS12,IN_Zugliste!$A$4:$E$2002,5,FALSE),"")</f>
        <v/>
      </c>
      <c r="DT211" t="str">
        <f>+IFERROR(VLOOKUP(DT12,IN_Zugliste!$A$4:$E$2002,5,FALSE),"")</f>
        <v/>
      </c>
      <c r="DU211" t="str">
        <f>+IFERROR(VLOOKUP(DU12,IN_Zugliste!$A$4:$E$2002,5,FALSE),"")</f>
        <v/>
      </c>
      <c r="DV211" t="str">
        <f>+IFERROR(VLOOKUP(DV12,IN_Zugliste!$A$4:$E$2002,5,FALSE),"")</f>
        <v/>
      </c>
      <c r="DW211" t="str">
        <f>+IFERROR(VLOOKUP(DW12,IN_Zugliste!$A$4:$E$2002,5,FALSE),"")</f>
        <v/>
      </c>
      <c r="DX211" t="str">
        <f>+IFERROR(VLOOKUP(DX12,IN_Zugliste!$A$4:$E$2002,5,FALSE),"")</f>
        <v/>
      </c>
      <c r="DY211" t="str">
        <f>+IFERROR(VLOOKUP(DY12,IN_Zugliste!$A$4:$E$2002,5,FALSE),"")</f>
        <v/>
      </c>
      <c r="DZ211" t="str">
        <f>+IFERROR(VLOOKUP(DZ12,IN_Zugliste!$A$4:$E$2002,5,FALSE),"")</f>
        <v/>
      </c>
      <c r="EA211" t="str">
        <f>+IFERROR(VLOOKUP(EA12,IN_Zugliste!$A$4:$E$2002,5,FALSE),"")</f>
        <v/>
      </c>
      <c r="EB211" t="str">
        <f>+IFERROR(VLOOKUP(EB12,IN_Zugliste!$A$4:$E$2002,5,FALSE),"")</f>
        <v/>
      </c>
      <c r="EC211" t="str">
        <f>+IFERROR(VLOOKUP(EC12,IN_Zugliste!$A$4:$E$2002,5,FALSE),"")</f>
        <v/>
      </c>
      <c r="ED211" t="str">
        <f>+IFERROR(VLOOKUP(ED12,IN_Zugliste!$A$4:$E$2002,5,FALSE),"")</f>
        <v/>
      </c>
      <c r="EE211" t="str">
        <f>+IFERROR(VLOOKUP(EE12,IN_Zugliste!$A$4:$E$2002,5,FALSE),"")</f>
        <v/>
      </c>
      <c r="EF211" t="str">
        <f>+IFERROR(VLOOKUP(EF12,IN_Zugliste!$A$4:$E$2002,5,FALSE),"")</f>
        <v/>
      </c>
      <c r="EG211" t="str">
        <f>+IFERROR(VLOOKUP(EG12,IN_Zugliste!$A$4:$E$2002,5,FALSE),"")</f>
        <v/>
      </c>
      <c r="EH211" t="str">
        <f>+IFERROR(VLOOKUP(EH12,IN_Zugliste!$A$4:$E$2002,5,FALSE),"")</f>
        <v/>
      </c>
      <c r="EI211" t="str">
        <f>+IFERROR(VLOOKUP(EI12,IN_Zugliste!$A$4:$E$2002,5,FALSE),"")</f>
        <v/>
      </c>
      <c r="EJ211" t="str">
        <f>+IFERROR(VLOOKUP(EJ12,IN_Zugliste!$A$4:$E$2002,5,FALSE),"")</f>
        <v/>
      </c>
      <c r="EK211" t="str">
        <f>+IFERROR(VLOOKUP(EK12,IN_Zugliste!$A$4:$E$2002,5,FALSE),"")</f>
        <v/>
      </c>
      <c r="EL211" t="str">
        <f>+IFERROR(VLOOKUP(EL12,IN_Zugliste!$A$4:$E$2002,5,FALSE),"")</f>
        <v/>
      </c>
      <c r="EM211" t="str">
        <f>+IFERROR(VLOOKUP(EM12,IN_Zugliste!$A$4:$E$2002,5,FALSE),"")</f>
        <v/>
      </c>
      <c r="EN211" t="str">
        <f>+IFERROR(VLOOKUP(EN12,IN_Zugliste!$A$4:$E$2002,5,FALSE),"")</f>
        <v/>
      </c>
      <c r="EO211" t="str">
        <f>+IFERROR(VLOOKUP(EO12,IN_Zugliste!$A$4:$E$2002,5,FALSE),"")</f>
        <v/>
      </c>
      <c r="EP211" t="str">
        <f>+IFERROR(VLOOKUP(EP12,IN_Zugliste!$A$4:$E$2002,5,FALSE),"")</f>
        <v/>
      </c>
      <c r="EQ211" t="str">
        <f>+IFERROR(VLOOKUP(EQ12,IN_Zugliste!$A$4:$E$2002,5,FALSE),"")</f>
        <v/>
      </c>
      <c r="ER211" t="str">
        <f>+IFERROR(VLOOKUP(ER12,IN_Zugliste!$A$4:$E$2002,5,FALSE),"")</f>
        <v/>
      </c>
      <c r="ES211" t="str">
        <f>+IFERROR(VLOOKUP(ES12,IN_Zugliste!$A$4:$E$2002,5,FALSE),"")</f>
        <v/>
      </c>
      <c r="ET211" t="str">
        <f>+IFERROR(VLOOKUP(ET12,IN_Zugliste!$A$4:$E$2002,5,FALSE),"")</f>
        <v/>
      </c>
      <c r="EU211" t="str">
        <f>+IFERROR(VLOOKUP(EU12,IN_Zugliste!$A$4:$E$2002,5,FALSE),"")</f>
        <v/>
      </c>
      <c r="EV211" t="str">
        <f>+IFERROR(VLOOKUP(EV12,IN_Zugliste!$A$4:$E$2002,5,FALSE),"")</f>
        <v/>
      </c>
      <c r="EW211" t="str">
        <f>+IFERROR(VLOOKUP(EW12,IN_Zugliste!$A$4:$E$2002,5,FALSE),"")</f>
        <v/>
      </c>
      <c r="EX211" t="str">
        <f>+IFERROR(VLOOKUP(EX12,IN_Zugliste!$A$4:$E$2002,5,FALSE),"")</f>
        <v/>
      </c>
      <c r="EY211" t="str">
        <f>+IFERROR(VLOOKUP(EY12,IN_Zugliste!$A$4:$E$2002,5,FALSE),"")</f>
        <v/>
      </c>
      <c r="EZ211" t="str">
        <f>+IFERROR(VLOOKUP(EZ12,IN_Zugliste!$A$4:$E$2002,5,FALSE),"")</f>
        <v/>
      </c>
      <c r="FA211" t="str">
        <f>+IFERROR(VLOOKUP(FA12,IN_Zugliste!$A$4:$E$2002,5,FALSE),"")</f>
        <v/>
      </c>
      <c r="FB211" t="str">
        <f>+IFERROR(VLOOKUP(FB12,IN_Zugliste!$A$4:$E$2002,5,FALSE),"")</f>
        <v/>
      </c>
      <c r="FC211" t="str">
        <f>+IFERROR(VLOOKUP(FC12,IN_Zugliste!$A$4:$E$2002,5,FALSE),"")</f>
        <v/>
      </c>
      <c r="FD211" t="str">
        <f>+IFERROR(VLOOKUP(FD12,IN_Zugliste!$A$4:$E$2002,5,FALSE),"")</f>
        <v/>
      </c>
      <c r="FE211" t="str">
        <f>+IFERROR(VLOOKUP(FE12,IN_Zugliste!$A$4:$E$2002,5,FALSE),"")</f>
        <v/>
      </c>
      <c r="FF211" t="str">
        <f>+IFERROR(VLOOKUP(FF12,IN_Zugliste!$A$4:$E$2002,5,FALSE),"")</f>
        <v/>
      </c>
      <c r="FG211" t="str">
        <f>+IFERROR(VLOOKUP(FG12,IN_Zugliste!$A$4:$E$2002,5,FALSE),"")</f>
        <v/>
      </c>
      <c r="FH211" t="str">
        <f>+IFERROR(VLOOKUP(FH12,IN_Zugliste!$A$4:$E$2002,5,FALSE),"")</f>
        <v/>
      </c>
      <c r="FI211" t="str">
        <f>+IFERROR(VLOOKUP(FI12,IN_Zugliste!$A$4:$E$2002,5,FALSE),"")</f>
        <v/>
      </c>
      <c r="FJ211" t="str">
        <f>+IFERROR(VLOOKUP(FJ12,IN_Zugliste!$A$4:$E$2002,5,FALSE),"")</f>
        <v/>
      </c>
      <c r="FK211" t="str">
        <f>+IFERROR(VLOOKUP(FK12,IN_Zugliste!$A$4:$E$2002,5,FALSE),"")</f>
        <v/>
      </c>
      <c r="FL211" t="str">
        <f>+IFERROR(VLOOKUP(FL12,IN_Zugliste!$A$4:$E$2002,5,FALSE),"")</f>
        <v/>
      </c>
      <c r="FM211" t="str">
        <f>+IFERROR(VLOOKUP(FM12,IN_Zugliste!$A$4:$D$2002,5,FALSE),"")</f>
        <v/>
      </c>
      <c r="FN211" t="str">
        <f>+IFERROR(VLOOKUP(FN12,IN_Zugliste!$A$4:$D$2002,5,FALSE),"")</f>
        <v/>
      </c>
      <c r="FO211" t="str">
        <f>+IFERROR(VLOOKUP(FO12,IN_Zugliste!$A$4:$D$2002,5,FALSE),"")</f>
        <v/>
      </c>
      <c r="FP211" t="str">
        <f>+IFERROR(VLOOKUP(FP12,IN_Zugliste!$A$4:$D$2002,5,FALSE),"")</f>
        <v/>
      </c>
      <c r="FQ211" t="str">
        <f>+IFERROR(VLOOKUP(FQ12,IN_Zugliste!$A$4:$D$2002,5,FALSE),"")</f>
        <v/>
      </c>
      <c r="FR211" t="str">
        <f>+IFERROR(VLOOKUP(FR12,IN_Zugliste!$A$4:$D$2002,5,FALSE),"")</f>
        <v/>
      </c>
      <c r="FS211" t="str">
        <f>+IFERROR(VLOOKUP(FS12,IN_Zugliste!$A$4:$D$2002,5,FALSE),"")</f>
        <v/>
      </c>
      <c r="FT211" t="str">
        <f>+IFERROR(VLOOKUP(FT12,IN_Zugliste!$A$4:$D$2002,5,FALSE),"")</f>
        <v/>
      </c>
      <c r="FU211" t="str">
        <f>+IFERROR(VLOOKUP(FU12,IN_Zugliste!$A$4:$D$2002,5,FALSE),"")</f>
        <v/>
      </c>
      <c r="FV211" t="str">
        <f>+IFERROR(VLOOKUP(FV12,IN_Zugliste!$A$4:$D$2002,5,FALSE),"")</f>
        <v/>
      </c>
      <c r="FW211" t="str">
        <f>+IFERROR(VLOOKUP(FW12,IN_Zugliste!$A$4:$D$2002,5,FALSE),"")</f>
        <v/>
      </c>
      <c r="FX211" t="str">
        <f>+IFERROR(VLOOKUP(FX12,IN_Zugliste!$A$4:$D$2002,5,FALSE),"")</f>
        <v/>
      </c>
      <c r="FY211" t="str">
        <f>+IFERROR(VLOOKUP(FY12,IN_Zugliste!$A$4:$D$2002,5,FALSE),"")</f>
        <v/>
      </c>
      <c r="FZ211" t="str">
        <f>+IFERROR(VLOOKUP(FZ12,IN_Zugliste!$A$4:$D$2002,5,FALSE),"")</f>
        <v/>
      </c>
      <c r="GA211" t="str">
        <f>+IFERROR(VLOOKUP(GA12,IN_Zugliste!$A$4:$D$2002,5,FALSE),"")</f>
        <v/>
      </c>
      <c r="GB211" t="str">
        <f>+IFERROR(VLOOKUP(GB12,IN_Zugliste!$A$4:$D$2002,5,FALSE),"")</f>
        <v/>
      </c>
      <c r="GC211" t="str">
        <f>+IFERROR(VLOOKUP(GC12,IN_Zugliste!$A$4:$D$2002,5,FALSE),"")</f>
        <v/>
      </c>
      <c r="GD211" t="str">
        <f>+IFERROR(VLOOKUP(GD12,IN_Zugliste!$A$4:$D$2002,5,FALSE),"")</f>
        <v/>
      </c>
      <c r="GE211" t="str">
        <f>+IFERROR(VLOOKUP(GE12,IN_Zugliste!$A$4:$D$2002,5,FALSE),"")</f>
        <v/>
      </c>
      <c r="GF211" t="str">
        <f>+IFERROR(VLOOKUP(GF12,IN_Zugliste!$A$4:$D$2002,5,FALSE),"")</f>
        <v/>
      </c>
      <c r="GG211" t="str">
        <f>+IFERROR(VLOOKUP(GG12,IN_Zugliste!$A$4:$D$2002,5,FALSE),"")</f>
        <v/>
      </c>
      <c r="GH211" t="str">
        <f>+IFERROR(VLOOKUP(GH12,IN_Zugliste!$A$4:$D$2002,5,FALSE),"")</f>
        <v/>
      </c>
      <c r="GI211" t="str">
        <f>+IFERROR(VLOOKUP(GI12,IN_Zugliste!$A$4:$D$2002,5,FALSE),"")</f>
        <v/>
      </c>
      <c r="GJ211" t="str">
        <f>+IFERROR(VLOOKUP(GJ12,IN_Zugliste!$A$4:$D$2002,5,FALSE),"")</f>
        <v/>
      </c>
      <c r="GK211" t="str">
        <f>+IFERROR(VLOOKUP(GK12,IN_Zugliste!$A$4:$D$2002,5,FALSE),"")</f>
        <v/>
      </c>
      <c r="GL211" t="str">
        <f>+IFERROR(VLOOKUP(GL12,IN_Zugliste!$A$4:$D$2002,5,FALSE),"")</f>
        <v/>
      </c>
      <c r="GM211" t="str">
        <f>+IFERROR(VLOOKUP(GM12,IN_Zugliste!$A$4:$D$2002,5,FALSE),"")</f>
        <v/>
      </c>
      <c r="GN211" t="str">
        <f>+IFERROR(VLOOKUP(GN12,IN_Zugliste!$A$4:$D$2002,5,FALSE),"")</f>
        <v/>
      </c>
      <c r="GO211" t="str">
        <f>+IFERROR(VLOOKUP(GO12,IN_Zugliste!$A$4:$D$2002,5,FALSE),"")</f>
        <v/>
      </c>
      <c r="GP211" t="str">
        <f>+IFERROR(VLOOKUP(GP12,IN_Zugliste!$A$4:$D$2002,5,FALSE),"")</f>
        <v/>
      </c>
      <c r="GQ211" t="str">
        <f>+IFERROR(VLOOKUP(GQ12,IN_Zugliste!$A$4:$D$2002,5,FALSE),"")</f>
        <v/>
      </c>
      <c r="GR211" t="str">
        <f>+IFERROR(VLOOKUP(GR12,IN_Zugliste!$A$4:$D$2002,5,FALSE),"")</f>
        <v/>
      </c>
      <c r="GS211" t="str">
        <f>+IFERROR(VLOOKUP(GS12,IN_Zugliste!$A$4:$D$2002,5,FALSE),"")</f>
        <v/>
      </c>
      <c r="GT211" t="str">
        <f>+IFERROR(VLOOKUP(GT12,IN_Zugliste!$A$4:$D$2002,5,FALSE),"")</f>
        <v/>
      </c>
      <c r="GU211" t="str">
        <f>+IFERROR(VLOOKUP(GU12,IN_Zugliste!$A$4:$D$2002,5,FALSE),"")</f>
        <v/>
      </c>
      <c r="GV211" t="str">
        <f>+IFERROR(VLOOKUP(GV12,IN_Zugliste!$A$4:$D$2002,5,FALSE),"")</f>
        <v/>
      </c>
      <c r="GW211" t="str">
        <f>+IFERROR(VLOOKUP(GW12,IN_Zugliste!$A$4:$D$2002,5,FALSE),"")</f>
        <v/>
      </c>
      <c r="GX211" t="str">
        <f>+IFERROR(VLOOKUP(GX12,IN_Zugliste!$A$4:$D$2002,5,FALSE),"")</f>
        <v/>
      </c>
      <c r="GY211" t="str">
        <f>+IFERROR(VLOOKUP(GY12,IN_Zugliste!$A$4:$D$2002,5,FALSE),"")</f>
        <v/>
      </c>
      <c r="GZ211" t="str">
        <f>+IFERROR(VLOOKUP(GZ12,IN_Zugliste!$A$4:$D$2002,5,FALSE),"")</f>
        <v/>
      </c>
      <c r="HA211" t="str">
        <f>+IFERROR(VLOOKUP(HA12,IN_Zugliste!$A$4:$D$2002,5,FALSE),"")</f>
        <v/>
      </c>
      <c r="HB211" t="str">
        <f>+IFERROR(VLOOKUP(HB12,IN_Zugliste!$A$4:$D$2002,5,FALSE),"")</f>
        <v/>
      </c>
      <c r="HC211" t="str">
        <f>+IFERROR(VLOOKUP(HC12,IN_Zugliste!$A$4:$D$2002,5,FALSE),"")</f>
        <v/>
      </c>
      <c r="HD211" t="str">
        <f>+IFERROR(VLOOKUP(HD12,IN_Zugliste!$A$4:$D$2002,5,FALSE),"")</f>
        <v/>
      </c>
      <c r="HE211" t="str">
        <f>+IFERROR(VLOOKUP(HE12,IN_Zugliste!$A$4:$D$2002,5,FALSE),"")</f>
        <v/>
      </c>
      <c r="HF211" t="str">
        <f>+IFERROR(VLOOKUP(HF12,IN_Zugliste!$A$4:$D$2002,5,FALSE),"")</f>
        <v/>
      </c>
      <c r="HG211" t="str">
        <f>+IFERROR(VLOOKUP(HG12,IN_Zugliste!$A$4:$D$2002,5,FALSE),"")</f>
        <v/>
      </c>
      <c r="HH211" t="str">
        <f>+IFERROR(VLOOKUP(HH12,IN_Zugliste!$A$4:$D$2002,5,FALSE),"")</f>
        <v/>
      </c>
    </row>
    <row r="212" spans="1:216" x14ac:dyDescent="0.2">
      <c r="A212" t="str">
        <f>+IFERROR(VLOOKUP(A13,IN_Zugliste!$A$4:$E$2002,5,FALSE),"")</f>
        <v/>
      </c>
      <c r="B212" t="str">
        <f>+IFERROR(VLOOKUP(B13,IN_Zugliste!$A$4:$E$2002,5,FALSE),"")</f>
        <v/>
      </c>
      <c r="C212" t="str">
        <f>+IFERROR(VLOOKUP(C13,IN_Zugliste!$A$4:$E$2002,5,FALSE),"")</f>
        <v/>
      </c>
      <c r="D212" t="str">
        <f>+IFERROR(VLOOKUP(D13,IN_Zugliste!$A$4:$E$2002,5,FALSE),"")</f>
        <v/>
      </c>
      <c r="E212" t="str">
        <f>+IFERROR(VLOOKUP(E13,IN_Zugliste!$A$4:$E$2002,5,FALSE),"")</f>
        <v/>
      </c>
      <c r="F212" t="str">
        <f>+IFERROR(VLOOKUP(F13,IN_Zugliste!$A$4:$E$2002,5,FALSE),"")</f>
        <v/>
      </c>
      <c r="G212" t="str">
        <f>+IFERROR(VLOOKUP(G13,IN_Zugliste!$A$4:$E$2002,5,FALSE),"")</f>
        <v/>
      </c>
      <c r="H212" t="str">
        <f>+IFERROR(VLOOKUP(H13,IN_Zugliste!$A$4:$E$2002,5,FALSE),"")</f>
        <v/>
      </c>
      <c r="I212" t="str">
        <f>+IFERROR(VLOOKUP(I13,IN_Zugliste!$A$4:$E$2002,5,FALSE),"")</f>
        <v/>
      </c>
      <c r="J212" t="str">
        <f>+IFERROR(VLOOKUP(J13,IN_Zugliste!$A$4:$E$2002,5,FALSE),"")</f>
        <v/>
      </c>
      <c r="K212" t="str">
        <f>+IFERROR(VLOOKUP(K13,IN_Zugliste!$A$4:$E$2002,5,FALSE),"")</f>
        <v/>
      </c>
      <c r="L212" t="str">
        <f>+IFERROR(VLOOKUP(L13,IN_Zugliste!$A$4:$E$2002,5,FALSE),"")</f>
        <v/>
      </c>
      <c r="M212" t="str">
        <f>+IFERROR(VLOOKUP(M13,IN_Zugliste!$A$4:$E$2002,5,FALSE),"")</f>
        <v/>
      </c>
      <c r="N212" t="str">
        <f>+IFERROR(VLOOKUP(N13,IN_Zugliste!$A$4:$E$2002,5,FALSE),"")</f>
        <v/>
      </c>
      <c r="O212" t="str">
        <f>+IFERROR(VLOOKUP(O13,IN_Zugliste!$A$4:$E$2002,5,FALSE),"")</f>
        <v/>
      </c>
      <c r="P212" t="str">
        <f>+IFERROR(VLOOKUP(P13,IN_Zugliste!$A$4:$E$2002,5,FALSE),"")</f>
        <v/>
      </c>
      <c r="Q212" t="str">
        <f>+IFERROR(VLOOKUP(Q13,IN_Zugliste!$A$4:$E$2002,5,FALSE),"")</f>
        <v/>
      </c>
      <c r="R212" t="str">
        <f>+IFERROR(VLOOKUP(R13,IN_Zugliste!$A$4:$E$2002,5,FALSE),"")</f>
        <v/>
      </c>
      <c r="S212" t="str">
        <f>+IFERROR(VLOOKUP(S13,IN_Zugliste!$A$4:$E$2002,5,FALSE),"")</f>
        <v/>
      </c>
      <c r="T212" t="str">
        <f>+IFERROR(VLOOKUP(T13,IN_Zugliste!$A$4:$E$2002,5,FALSE),"")</f>
        <v/>
      </c>
      <c r="U212" t="str">
        <f>+IFERROR(VLOOKUP(U13,IN_Zugliste!$A$4:$E$2002,5,FALSE),"")</f>
        <v/>
      </c>
      <c r="V212" t="str">
        <f>+IFERROR(VLOOKUP(V13,IN_Zugliste!$A$4:$E$2002,5,FALSE),"")</f>
        <v/>
      </c>
      <c r="W212" t="str">
        <f>+IFERROR(VLOOKUP(W13,IN_Zugliste!$A$4:$E$2002,5,FALSE),"")</f>
        <v/>
      </c>
      <c r="X212" t="str">
        <f>+IFERROR(VLOOKUP(X13,IN_Zugliste!$A$4:$E$2002,5,FALSE),"")</f>
        <v/>
      </c>
      <c r="Y212" t="str">
        <f>+IFERROR(VLOOKUP(Y13,IN_Zugliste!$A$4:$E$2002,5,FALSE),"")</f>
        <v/>
      </c>
      <c r="Z212" t="str">
        <f>+IFERROR(VLOOKUP(Z13,IN_Zugliste!$A$4:$E$2002,5,FALSE),"")</f>
        <v/>
      </c>
      <c r="AA212" t="str">
        <f>+IFERROR(VLOOKUP(AA13,IN_Zugliste!$A$4:$E$2002,5,FALSE),"")</f>
        <v/>
      </c>
      <c r="AB212" t="str">
        <f>+IFERROR(VLOOKUP(AB13,IN_Zugliste!$A$4:$E$2002,5,FALSE),"")</f>
        <v/>
      </c>
      <c r="AC212" t="str">
        <f>+IFERROR(VLOOKUP(AC13,IN_Zugliste!$A$4:$E$2002,5,FALSE),"")</f>
        <v/>
      </c>
      <c r="AD212" t="str">
        <f>+IFERROR(VLOOKUP(AD13,IN_Zugliste!$A$4:$E$2002,5,FALSE),"")</f>
        <v/>
      </c>
      <c r="AE212" t="str">
        <f>+IFERROR(VLOOKUP(AE13,IN_Zugliste!$A$4:$E$2002,5,FALSE),"")</f>
        <v/>
      </c>
      <c r="AF212" t="str">
        <f>+IFERROR(VLOOKUP(AF13,IN_Zugliste!$A$4:$E$2002,5,FALSE),"")</f>
        <v/>
      </c>
      <c r="AG212" t="str">
        <f>+IFERROR(VLOOKUP(AG13,IN_Zugliste!$A$4:$E$2002,5,FALSE),"")</f>
        <v/>
      </c>
      <c r="AH212" t="str">
        <f>+IFERROR(VLOOKUP(AH13,IN_Zugliste!$A$4:$E$2002,5,FALSE),"")</f>
        <v/>
      </c>
      <c r="AI212" t="str">
        <f>+IFERROR(VLOOKUP(AI13,IN_Zugliste!$A$4:$E$2002,5,FALSE),"")</f>
        <v/>
      </c>
      <c r="AJ212" t="str">
        <f>+IFERROR(VLOOKUP(AJ13,IN_Zugliste!$A$4:$E$2002,5,FALSE),"")</f>
        <v/>
      </c>
      <c r="AK212" t="str">
        <f>+IFERROR(VLOOKUP(AK13,IN_Zugliste!$A$4:$E$2002,5,FALSE),"")</f>
        <v/>
      </c>
      <c r="AL212" t="str">
        <f>+IFERROR(VLOOKUP(AL13,IN_Zugliste!$A$4:$E$2002,5,FALSE),"")</f>
        <v/>
      </c>
      <c r="AM212" t="str">
        <f>+IFERROR(VLOOKUP(AM13,IN_Zugliste!$A$4:$E$2002,5,FALSE),"")</f>
        <v/>
      </c>
      <c r="AN212" t="str">
        <f>+IFERROR(VLOOKUP(AN13,IN_Zugliste!$A$4:$E$2002,5,FALSE),"")</f>
        <v/>
      </c>
      <c r="AO212" t="str">
        <f>+IFERROR(VLOOKUP(AO13,IN_Zugliste!$A$4:$E$2002,5,FALSE),"")</f>
        <v/>
      </c>
      <c r="AP212" t="str">
        <f>+IFERROR(VLOOKUP(AP13,IN_Zugliste!$A$4:$E$2002,5,FALSE),"")</f>
        <v/>
      </c>
      <c r="AQ212" t="str">
        <f>+IFERROR(VLOOKUP(AQ13,IN_Zugliste!$A$4:$E$2002,5,FALSE),"")</f>
        <v/>
      </c>
      <c r="AR212" t="str">
        <f>+IFERROR(VLOOKUP(AR13,IN_Zugliste!$A$4:$E$2002,5,FALSE),"")</f>
        <v/>
      </c>
      <c r="AS212" t="str">
        <f>+IFERROR(VLOOKUP(AS13,IN_Zugliste!$A$4:$E$2002,5,FALSE),"")</f>
        <v/>
      </c>
      <c r="AT212" t="str">
        <f>+IFERROR(VLOOKUP(AT13,IN_Zugliste!$A$4:$E$2002,5,FALSE),"")</f>
        <v/>
      </c>
      <c r="AU212" t="str">
        <f>+IFERROR(VLOOKUP(AU13,IN_Zugliste!$A$4:$E$2002,5,FALSE),"")</f>
        <v/>
      </c>
      <c r="AV212" t="str">
        <f>+IFERROR(VLOOKUP(AV13,IN_Zugliste!$A$4:$E$2002,5,FALSE),"")</f>
        <v/>
      </c>
      <c r="AW212" t="str">
        <f>+IFERROR(VLOOKUP(AW13,IN_Zugliste!$A$4:$E$2002,5,FALSE),"")</f>
        <v/>
      </c>
      <c r="AX212" t="str">
        <f>+IFERROR(VLOOKUP(AX13,IN_Zugliste!$A$4:$E$2002,5,FALSE),"")</f>
        <v/>
      </c>
      <c r="AY212" t="str">
        <f>+IFERROR(VLOOKUP(AY13,IN_Zugliste!$A$4:$E$2002,5,FALSE),"")</f>
        <v/>
      </c>
      <c r="AZ212" t="str">
        <f>+IFERROR(VLOOKUP(AZ13,IN_Zugliste!$A$4:$E$2002,5,FALSE),"")</f>
        <v/>
      </c>
      <c r="BA212" t="str">
        <f>+IFERROR(VLOOKUP(BA13,IN_Zugliste!$A$4:$E$2002,5,FALSE),"")</f>
        <v/>
      </c>
      <c r="BB212" t="str">
        <f>+IFERROR(VLOOKUP(BB13,IN_Zugliste!$A$4:$E$2002,5,FALSE),"")</f>
        <v/>
      </c>
      <c r="BC212" t="str">
        <f>+IFERROR(VLOOKUP(BC13,IN_Zugliste!$A$4:$E$2002,5,FALSE),"")</f>
        <v/>
      </c>
      <c r="BD212" t="str">
        <f>+IFERROR(VLOOKUP(BD13,IN_Zugliste!$A$4:$E$2002,5,FALSE),"")</f>
        <v/>
      </c>
      <c r="BE212" t="str">
        <f>+IFERROR(VLOOKUP(BE13,IN_Zugliste!$A$4:$E$2002,5,FALSE),"")</f>
        <v/>
      </c>
      <c r="BF212" t="str">
        <f>+IFERROR(VLOOKUP(BF13,IN_Zugliste!$A$4:$E$2002,5,FALSE),"")</f>
        <v/>
      </c>
      <c r="BG212" t="str">
        <f>+IFERROR(VLOOKUP(BG13,IN_Zugliste!$A$4:$E$2002,5,FALSE),"")</f>
        <v/>
      </c>
      <c r="BH212" t="str">
        <f>+IFERROR(VLOOKUP(BH13,IN_Zugliste!$A$4:$E$2002,5,FALSE),"")</f>
        <v/>
      </c>
      <c r="BI212" t="str">
        <f>+IFERROR(VLOOKUP(BI13,IN_Zugliste!$A$4:$E$2002,5,FALSE),"")</f>
        <v/>
      </c>
      <c r="BJ212" t="str">
        <f>+IFERROR(VLOOKUP(BJ13,IN_Zugliste!$A$4:$E$2002,5,FALSE),"")</f>
        <v/>
      </c>
      <c r="BK212" t="str">
        <f>+IFERROR(VLOOKUP(BK13,IN_Zugliste!$A$4:$E$2002,5,FALSE),"")</f>
        <v/>
      </c>
      <c r="BL212" t="str">
        <f>+IFERROR(VLOOKUP(BL13,IN_Zugliste!$A$4:$E$2002,5,FALSE),"")</f>
        <v/>
      </c>
      <c r="BM212" t="str">
        <f>+IFERROR(VLOOKUP(BM13,IN_Zugliste!$A$4:$E$2002,5,FALSE),"")</f>
        <v/>
      </c>
      <c r="BN212" t="str">
        <f>+IFERROR(VLOOKUP(BN13,IN_Zugliste!$A$4:$E$2002,5,FALSE),"")</f>
        <v/>
      </c>
      <c r="BO212" t="str">
        <f>+IFERROR(VLOOKUP(BO13,IN_Zugliste!$A$4:$E$2002,5,FALSE),"")</f>
        <v/>
      </c>
      <c r="BP212" t="str">
        <f>+IFERROR(VLOOKUP(BP13,IN_Zugliste!$A$4:$E$2002,5,FALSE),"")</f>
        <v/>
      </c>
      <c r="BQ212" t="str">
        <f>+IFERROR(VLOOKUP(BQ13,IN_Zugliste!$A$4:$E$2002,5,FALSE),"")</f>
        <v/>
      </c>
      <c r="BR212" t="str">
        <f>+IFERROR(VLOOKUP(BR13,IN_Zugliste!$A$4:$E$2002,5,FALSE),"")</f>
        <v/>
      </c>
      <c r="BS212" t="str">
        <f>+IFERROR(VLOOKUP(BS13,IN_Zugliste!$A$4:$E$2002,5,FALSE),"")</f>
        <v/>
      </c>
      <c r="BT212" t="str">
        <f>+IFERROR(VLOOKUP(BT13,IN_Zugliste!$A$4:$E$2002,5,FALSE),"")</f>
        <v/>
      </c>
      <c r="BU212" t="str">
        <f>+IFERROR(VLOOKUP(BU13,IN_Zugliste!$A$4:$E$2002,5,FALSE),"")</f>
        <v/>
      </c>
      <c r="BV212" t="str">
        <f>+IFERROR(VLOOKUP(BV13,IN_Zugliste!$A$4:$E$2002,5,FALSE),"")</f>
        <v/>
      </c>
      <c r="BW212" t="str">
        <f>+IFERROR(VLOOKUP(BW13,IN_Zugliste!$A$4:$E$2002,5,FALSE),"")</f>
        <v/>
      </c>
      <c r="BX212" t="str">
        <f>+IFERROR(VLOOKUP(BX13,IN_Zugliste!$A$4:$E$2002,5,FALSE),"")</f>
        <v/>
      </c>
      <c r="BY212" t="str">
        <f>+IFERROR(VLOOKUP(BY13,IN_Zugliste!$A$4:$E$2002,5,FALSE),"")</f>
        <v/>
      </c>
      <c r="BZ212" t="str">
        <f>+IFERROR(VLOOKUP(BZ13,IN_Zugliste!$A$4:$E$2002,5,FALSE),"")</f>
        <v/>
      </c>
      <c r="CA212" t="str">
        <f>+IFERROR(VLOOKUP(CA13,IN_Zugliste!$A$4:$E$2002,5,FALSE),"")</f>
        <v/>
      </c>
      <c r="CB212" t="str">
        <f>+IFERROR(VLOOKUP(CB13,IN_Zugliste!$A$4:$E$2002,5,FALSE),"")</f>
        <v/>
      </c>
      <c r="CC212" t="str">
        <f>+IFERROR(VLOOKUP(CC13,IN_Zugliste!$A$4:$E$2002,5,FALSE),"")</f>
        <v/>
      </c>
      <c r="CD212" t="str">
        <f>+IFERROR(VLOOKUP(CD13,IN_Zugliste!$A$4:$E$2002,5,FALSE),"")</f>
        <v/>
      </c>
      <c r="CE212" t="str">
        <f>+IFERROR(VLOOKUP(CE13,IN_Zugliste!$A$4:$E$2002,5,FALSE),"")</f>
        <v/>
      </c>
      <c r="CF212" t="str">
        <f>+IFERROR(VLOOKUP(CF13,IN_Zugliste!$A$4:$E$2002,5,FALSE),"")</f>
        <v/>
      </c>
      <c r="CG212" t="str">
        <f>+IFERROR(VLOOKUP(CG13,IN_Zugliste!$A$4:$E$2002,5,FALSE),"")</f>
        <v/>
      </c>
      <c r="CH212" t="str">
        <f>+IFERROR(VLOOKUP(CH13,IN_Zugliste!$A$4:$E$2002,5,FALSE),"")</f>
        <v/>
      </c>
      <c r="CI212" t="str">
        <f>+IFERROR(VLOOKUP(CI13,IN_Zugliste!$A$4:$E$2002,5,FALSE),"")</f>
        <v/>
      </c>
      <c r="CJ212" t="str">
        <f>+IFERROR(VLOOKUP(CJ13,IN_Zugliste!$A$4:$E$2002,5,FALSE),"")</f>
        <v/>
      </c>
      <c r="CK212" t="str">
        <f>+IFERROR(VLOOKUP(CK13,IN_Zugliste!$A$4:$E$2002,5,FALSE),"")</f>
        <v/>
      </c>
      <c r="CL212" t="str">
        <f>+IFERROR(VLOOKUP(CL13,IN_Zugliste!$A$4:$E$2002,5,FALSE),"")</f>
        <v/>
      </c>
      <c r="CM212" t="str">
        <f>+IFERROR(VLOOKUP(CM13,IN_Zugliste!$A$4:$E$2002,5,FALSE),"")</f>
        <v/>
      </c>
      <c r="CN212" t="str">
        <f>+IFERROR(VLOOKUP(CN13,IN_Zugliste!$A$4:$E$2002,5,FALSE),"")</f>
        <v/>
      </c>
      <c r="CO212" t="str">
        <f>+IFERROR(VLOOKUP(CO13,IN_Zugliste!$A$4:$E$2002,5,FALSE),"")</f>
        <v/>
      </c>
      <c r="CP212" t="str">
        <f>+IFERROR(VLOOKUP(CP13,IN_Zugliste!$A$4:$E$2002,5,FALSE),"")</f>
        <v/>
      </c>
      <c r="CQ212" t="str">
        <f>+IFERROR(VLOOKUP(CQ13,IN_Zugliste!$A$4:$E$2002,5,FALSE),"")</f>
        <v/>
      </c>
      <c r="CR212" t="str">
        <f>+IFERROR(VLOOKUP(CR13,IN_Zugliste!$A$4:$E$2002,5,FALSE),"")</f>
        <v/>
      </c>
      <c r="CS212" t="str">
        <f>+IFERROR(VLOOKUP(CS13,IN_Zugliste!$A$4:$E$2002,5,FALSE),"")</f>
        <v/>
      </c>
      <c r="CT212" t="str">
        <f>+IFERROR(VLOOKUP(CT13,IN_Zugliste!$A$4:$E$2002,5,FALSE),"")</f>
        <v/>
      </c>
      <c r="CU212" t="str">
        <f>+IFERROR(VLOOKUP(CU13,IN_Zugliste!$A$4:$E$2002,5,FALSE),"")</f>
        <v/>
      </c>
      <c r="CV212" t="str">
        <f>+IFERROR(VLOOKUP(CV13,IN_Zugliste!$A$4:$E$2002,5,FALSE),"")</f>
        <v/>
      </c>
      <c r="CW212" t="str">
        <f>+IFERROR(VLOOKUP(CW13,IN_Zugliste!$A$4:$E$2002,5,FALSE),"")</f>
        <v/>
      </c>
      <c r="CX212" t="str">
        <f>+IFERROR(VLOOKUP(CX13,IN_Zugliste!$A$4:$E$2002,5,FALSE),"")</f>
        <v/>
      </c>
      <c r="CY212" t="str">
        <f>+IFERROR(VLOOKUP(CY13,IN_Zugliste!$A$4:$E$2002,5,FALSE),"")</f>
        <v/>
      </c>
      <c r="CZ212" t="str">
        <f>+IFERROR(VLOOKUP(CZ13,IN_Zugliste!$A$4:$E$2002,5,FALSE),"")</f>
        <v/>
      </c>
      <c r="DA212" t="str">
        <f>+IFERROR(VLOOKUP(DA13,IN_Zugliste!$A$4:$E$2002,5,FALSE),"")</f>
        <v/>
      </c>
      <c r="DB212" t="str">
        <f>+IFERROR(VLOOKUP(DB13,IN_Zugliste!$A$4:$E$2002,5,FALSE),"")</f>
        <v/>
      </c>
      <c r="DC212" t="str">
        <f>+IFERROR(VLOOKUP(DC13,IN_Zugliste!$A$4:$E$2002,5,FALSE),"")</f>
        <v/>
      </c>
      <c r="DD212" t="str">
        <f>+IFERROR(VLOOKUP(DD13,IN_Zugliste!$A$4:$E$2002,5,FALSE),"")</f>
        <v/>
      </c>
      <c r="DE212" t="str">
        <f>+IFERROR(VLOOKUP(DE13,IN_Zugliste!$A$4:$E$2002,5,FALSE),"")</f>
        <v/>
      </c>
      <c r="DF212" t="str">
        <f>+IFERROR(VLOOKUP(DF13,IN_Zugliste!$A$4:$E$2002,5,FALSE),"")</f>
        <v/>
      </c>
      <c r="DG212" t="str">
        <f>+IFERROR(VLOOKUP(DG13,IN_Zugliste!$A$4:$E$2002,5,FALSE),"")</f>
        <v/>
      </c>
      <c r="DH212" t="str">
        <f>+IFERROR(VLOOKUP(DH13,IN_Zugliste!$A$4:$E$2002,5,FALSE),"")</f>
        <v/>
      </c>
      <c r="DI212" t="str">
        <f>+IFERROR(VLOOKUP(DI13,IN_Zugliste!$A$4:$E$2002,5,FALSE),"")</f>
        <v/>
      </c>
      <c r="DJ212" t="str">
        <f>+IFERROR(VLOOKUP(DJ13,IN_Zugliste!$A$4:$E$2002,5,FALSE),"")</f>
        <v/>
      </c>
      <c r="DK212" t="str">
        <f>+IFERROR(VLOOKUP(DK13,IN_Zugliste!$A$4:$E$2002,5,FALSE),"")</f>
        <v/>
      </c>
      <c r="DL212" t="str">
        <f>+IFERROR(VLOOKUP(DL13,IN_Zugliste!$A$4:$E$2002,5,FALSE),"")</f>
        <v/>
      </c>
      <c r="DM212" t="str">
        <f>+IFERROR(VLOOKUP(DM13,IN_Zugliste!$A$4:$E$2002,5,FALSE),"")</f>
        <v/>
      </c>
      <c r="DN212" t="str">
        <f>+IFERROR(VLOOKUP(DN13,IN_Zugliste!$A$4:$E$2002,5,FALSE),"")</f>
        <v/>
      </c>
      <c r="DO212" t="str">
        <f>+IFERROR(VLOOKUP(DO13,IN_Zugliste!$A$4:$E$2002,5,FALSE),"")</f>
        <v/>
      </c>
      <c r="DP212" t="str">
        <f>+IFERROR(VLOOKUP(DP13,IN_Zugliste!$A$4:$E$2002,5,FALSE),"")</f>
        <v/>
      </c>
      <c r="DQ212" t="str">
        <f>+IFERROR(VLOOKUP(DQ13,IN_Zugliste!$A$4:$E$2002,5,FALSE),"")</f>
        <v/>
      </c>
      <c r="DR212" t="str">
        <f>+IFERROR(VLOOKUP(DR13,IN_Zugliste!$A$4:$E$2002,5,FALSE),"")</f>
        <v/>
      </c>
      <c r="DS212" t="str">
        <f>+IFERROR(VLOOKUP(DS13,IN_Zugliste!$A$4:$E$2002,5,FALSE),"")</f>
        <v/>
      </c>
      <c r="DT212" t="str">
        <f>+IFERROR(VLOOKUP(DT13,IN_Zugliste!$A$4:$E$2002,5,FALSE),"")</f>
        <v/>
      </c>
      <c r="DU212" t="str">
        <f>+IFERROR(VLOOKUP(DU13,IN_Zugliste!$A$4:$E$2002,5,FALSE),"")</f>
        <v/>
      </c>
      <c r="DV212" t="str">
        <f>+IFERROR(VLOOKUP(DV13,IN_Zugliste!$A$4:$E$2002,5,FALSE),"")</f>
        <v/>
      </c>
      <c r="DW212" t="str">
        <f>+IFERROR(VLOOKUP(DW13,IN_Zugliste!$A$4:$E$2002,5,FALSE),"")</f>
        <v/>
      </c>
      <c r="DX212" t="str">
        <f>+IFERROR(VLOOKUP(DX13,IN_Zugliste!$A$4:$E$2002,5,FALSE),"")</f>
        <v/>
      </c>
      <c r="DY212" t="str">
        <f>+IFERROR(VLOOKUP(DY13,IN_Zugliste!$A$4:$E$2002,5,FALSE),"")</f>
        <v/>
      </c>
      <c r="DZ212" t="str">
        <f>+IFERROR(VLOOKUP(DZ13,IN_Zugliste!$A$4:$E$2002,5,FALSE),"")</f>
        <v/>
      </c>
      <c r="EA212" t="str">
        <f>+IFERROR(VLOOKUP(EA13,IN_Zugliste!$A$4:$E$2002,5,FALSE),"")</f>
        <v/>
      </c>
      <c r="EB212" t="str">
        <f>+IFERROR(VLOOKUP(EB13,IN_Zugliste!$A$4:$E$2002,5,FALSE),"")</f>
        <v/>
      </c>
      <c r="EC212" t="str">
        <f>+IFERROR(VLOOKUP(EC13,IN_Zugliste!$A$4:$E$2002,5,FALSE),"")</f>
        <v/>
      </c>
      <c r="ED212" t="str">
        <f>+IFERROR(VLOOKUP(ED13,IN_Zugliste!$A$4:$E$2002,5,FALSE),"")</f>
        <v/>
      </c>
      <c r="EE212" t="str">
        <f>+IFERROR(VLOOKUP(EE13,IN_Zugliste!$A$4:$E$2002,5,FALSE),"")</f>
        <v/>
      </c>
      <c r="EF212" t="str">
        <f>+IFERROR(VLOOKUP(EF13,IN_Zugliste!$A$4:$E$2002,5,FALSE),"")</f>
        <v/>
      </c>
      <c r="EG212" t="str">
        <f>+IFERROR(VLOOKUP(EG13,IN_Zugliste!$A$4:$E$2002,5,FALSE),"")</f>
        <v/>
      </c>
      <c r="EH212" t="str">
        <f>+IFERROR(VLOOKUP(EH13,IN_Zugliste!$A$4:$E$2002,5,FALSE),"")</f>
        <v/>
      </c>
      <c r="EI212" t="str">
        <f>+IFERROR(VLOOKUP(EI13,IN_Zugliste!$A$4:$E$2002,5,FALSE),"")</f>
        <v/>
      </c>
      <c r="EJ212" t="str">
        <f>+IFERROR(VLOOKUP(EJ13,IN_Zugliste!$A$4:$E$2002,5,FALSE),"")</f>
        <v/>
      </c>
      <c r="EK212" t="str">
        <f>+IFERROR(VLOOKUP(EK13,IN_Zugliste!$A$4:$E$2002,5,FALSE),"")</f>
        <v/>
      </c>
      <c r="EL212" t="str">
        <f>+IFERROR(VLOOKUP(EL13,IN_Zugliste!$A$4:$E$2002,5,FALSE),"")</f>
        <v/>
      </c>
      <c r="EM212" t="str">
        <f>+IFERROR(VLOOKUP(EM13,IN_Zugliste!$A$4:$E$2002,5,FALSE),"")</f>
        <v/>
      </c>
      <c r="EN212" t="str">
        <f>+IFERROR(VLOOKUP(EN13,IN_Zugliste!$A$4:$E$2002,5,FALSE),"")</f>
        <v/>
      </c>
      <c r="EO212" t="str">
        <f>+IFERROR(VLOOKUP(EO13,IN_Zugliste!$A$4:$E$2002,5,FALSE),"")</f>
        <v/>
      </c>
      <c r="EP212" t="str">
        <f>+IFERROR(VLOOKUP(EP13,IN_Zugliste!$A$4:$E$2002,5,FALSE),"")</f>
        <v/>
      </c>
      <c r="EQ212" t="str">
        <f>+IFERROR(VLOOKUP(EQ13,IN_Zugliste!$A$4:$E$2002,5,FALSE),"")</f>
        <v/>
      </c>
      <c r="ER212" t="str">
        <f>+IFERROR(VLOOKUP(ER13,IN_Zugliste!$A$4:$E$2002,5,FALSE),"")</f>
        <v/>
      </c>
      <c r="ES212" t="str">
        <f>+IFERROR(VLOOKUP(ES13,IN_Zugliste!$A$4:$E$2002,5,FALSE),"")</f>
        <v/>
      </c>
      <c r="ET212" t="str">
        <f>+IFERROR(VLOOKUP(ET13,IN_Zugliste!$A$4:$E$2002,5,FALSE),"")</f>
        <v/>
      </c>
      <c r="EU212" t="str">
        <f>+IFERROR(VLOOKUP(EU13,IN_Zugliste!$A$4:$E$2002,5,FALSE),"")</f>
        <v/>
      </c>
      <c r="EV212" t="str">
        <f>+IFERROR(VLOOKUP(EV13,IN_Zugliste!$A$4:$E$2002,5,FALSE),"")</f>
        <v/>
      </c>
      <c r="EW212" t="str">
        <f>+IFERROR(VLOOKUP(EW13,IN_Zugliste!$A$4:$E$2002,5,FALSE),"")</f>
        <v/>
      </c>
      <c r="EX212" t="str">
        <f>+IFERROR(VLOOKUP(EX13,IN_Zugliste!$A$4:$E$2002,5,FALSE),"")</f>
        <v/>
      </c>
      <c r="EY212" t="str">
        <f>+IFERROR(VLOOKUP(EY13,IN_Zugliste!$A$4:$E$2002,5,FALSE),"")</f>
        <v/>
      </c>
      <c r="EZ212" t="str">
        <f>+IFERROR(VLOOKUP(EZ13,IN_Zugliste!$A$4:$E$2002,5,FALSE),"")</f>
        <v/>
      </c>
      <c r="FA212" t="str">
        <f>+IFERROR(VLOOKUP(FA13,IN_Zugliste!$A$4:$E$2002,5,FALSE),"")</f>
        <v/>
      </c>
      <c r="FB212" t="str">
        <f>+IFERROR(VLOOKUP(FB13,IN_Zugliste!$A$4:$E$2002,5,FALSE),"")</f>
        <v/>
      </c>
      <c r="FC212" t="str">
        <f>+IFERROR(VLOOKUP(FC13,IN_Zugliste!$A$4:$E$2002,5,FALSE),"")</f>
        <v/>
      </c>
      <c r="FD212" t="str">
        <f>+IFERROR(VLOOKUP(FD13,IN_Zugliste!$A$4:$E$2002,5,FALSE),"")</f>
        <v/>
      </c>
      <c r="FE212" t="str">
        <f>+IFERROR(VLOOKUP(FE13,IN_Zugliste!$A$4:$E$2002,5,FALSE),"")</f>
        <v/>
      </c>
      <c r="FF212" t="str">
        <f>+IFERROR(VLOOKUP(FF13,IN_Zugliste!$A$4:$E$2002,5,FALSE),"")</f>
        <v/>
      </c>
      <c r="FG212" t="str">
        <f>+IFERROR(VLOOKUP(FG13,IN_Zugliste!$A$4:$E$2002,5,FALSE),"")</f>
        <v/>
      </c>
      <c r="FH212" t="str">
        <f>+IFERROR(VLOOKUP(FH13,IN_Zugliste!$A$4:$E$2002,5,FALSE),"")</f>
        <v/>
      </c>
      <c r="FI212" t="str">
        <f>+IFERROR(VLOOKUP(FI13,IN_Zugliste!$A$4:$E$2002,5,FALSE),"")</f>
        <v/>
      </c>
      <c r="FJ212" t="str">
        <f>+IFERROR(VLOOKUP(FJ13,IN_Zugliste!$A$4:$E$2002,5,FALSE),"")</f>
        <v/>
      </c>
      <c r="FK212" t="str">
        <f>+IFERROR(VLOOKUP(FK13,IN_Zugliste!$A$4:$E$2002,5,FALSE),"")</f>
        <v/>
      </c>
      <c r="FL212" t="str">
        <f>+IFERROR(VLOOKUP(FL13,IN_Zugliste!$A$4:$E$2002,5,FALSE),"")</f>
        <v/>
      </c>
      <c r="FM212" t="str">
        <f>+IFERROR(VLOOKUP(FM13,IN_Zugliste!$A$4:$D$2002,5,FALSE),"")</f>
        <v/>
      </c>
      <c r="FN212" t="str">
        <f>+IFERROR(VLOOKUP(FN13,IN_Zugliste!$A$4:$D$2002,5,FALSE),"")</f>
        <v/>
      </c>
      <c r="FO212" t="str">
        <f>+IFERROR(VLOOKUP(FO13,IN_Zugliste!$A$4:$D$2002,5,FALSE),"")</f>
        <v/>
      </c>
      <c r="FP212" t="str">
        <f>+IFERROR(VLOOKUP(FP13,IN_Zugliste!$A$4:$D$2002,5,FALSE),"")</f>
        <v/>
      </c>
      <c r="FQ212" t="str">
        <f>+IFERROR(VLOOKUP(FQ13,IN_Zugliste!$A$4:$D$2002,5,FALSE),"")</f>
        <v/>
      </c>
      <c r="FR212" t="str">
        <f>+IFERROR(VLOOKUP(FR13,IN_Zugliste!$A$4:$D$2002,5,FALSE),"")</f>
        <v/>
      </c>
      <c r="FS212" t="str">
        <f>+IFERROR(VLOOKUP(FS13,IN_Zugliste!$A$4:$D$2002,5,FALSE),"")</f>
        <v/>
      </c>
      <c r="FT212" t="str">
        <f>+IFERROR(VLOOKUP(FT13,IN_Zugliste!$A$4:$D$2002,5,FALSE),"")</f>
        <v/>
      </c>
      <c r="FU212" t="str">
        <f>+IFERROR(VLOOKUP(FU13,IN_Zugliste!$A$4:$D$2002,5,FALSE),"")</f>
        <v/>
      </c>
      <c r="FV212" t="str">
        <f>+IFERROR(VLOOKUP(FV13,IN_Zugliste!$A$4:$D$2002,5,FALSE),"")</f>
        <v/>
      </c>
      <c r="FW212" t="str">
        <f>+IFERROR(VLOOKUP(FW13,IN_Zugliste!$A$4:$D$2002,5,FALSE),"")</f>
        <v/>
      </c>
      <c r="FX212" t="str">
        <f>+IFERROR(VLOOKUP(FX13,IN_Zugliste!$A$4:$D$2002,5,FALSE),"")</f>
        <v/>
      </c>
      <c r="FY212" t="str">
        <f>+IFERROR(VLOOKUP(FY13,IN_Zugliste!$A$4:$D$2002,5,FALSE),"")</f>
        <v/>
      </c>
      <c r="FZ212" t="str">
        <f>+IFERROR(VLOOKUP(FZ13,IN_Zugliste!$A$4:$D$2002,5,FALSE),"")</f>
        <v/>
      </c>
      <c r="GA212" t="str">
        <f>+IFERROR(VLOOKUP(GA13,IN_Zugliste!$A$4:$D$2002,5,FALSE),"")</f>
        <v/>
      </c>
      <c r="GB212" t="str">
        <f>+IFERROR(VLOOKUP(GB13,IN_Zugliste!$A$4:$D$2002,5,FALSE),"")</f>
        <v/>
      </c>
      <c r="GC212" t="str">
        <f>+IFERROR(VLOOKUP(GC13,IN_Zugliste!$A$4:$D$2002,5,FALSE),"")</f>
        <v/>
      </c>
      <c r="GD212" t="str">
        <f>+IFERROR(VLOOKUP(GD13,IN_Zugliste!$A$4:$D$2002,5,FALSE),"")</f>
        <v/>
      </c>
      <c r="GE212" t="str">
        <f>+IFERROR(VLOOKUP(GE13,IN_Zugliste!$A$4:$D$2002,5,FALSE),"")</f>
        <v/>
      </c>
      <c r="GF212" t="str">
        <f>+IFERROR(VLOOKUP(GF13,IN_Zugliste!$A$4:$D$2002,5,FALSE),"")</f>
        <v/>
      </c>
      <c r="GG212" t="str">
        <f>+IFERROR(VLOOKUP(GG13,IN_Zugliste!$A$4:$D$2002,5,FALSE),"")</f>
        <v/>
      </c>
      <c r="GH212" t="str">
        <f>+IFERROR(VLOOKUP(GH13,IN_Zugliste!$A$4:$D$2002,5,FALSE),"")</f>
        <v/>
      </c>
      <c r="GI212" t="str">
        <f>+IFERROR(VLOOKUP(GI13,IN_Zugliste!$A$4:$D$2002,5,FALSE),"")</f>
        <v/>
      </c>
      <c r="GJ212" t="str">
        <f>+IFERROR(VLOOKUP(GJ13,IN_Zugliste!$A$4:$D$2002,5,FALSE),"")</f>
        <v/>
      </c>
      <c r="GK212" t="str">
        <f>+IFERROR(VLOOKUP(GK13,IN_Zugliste!$A$4:$D$2002,5,FALSE),"")</f>
        <v/>
      </c>
      <c r="GL212" t="str">
        <f>+IFERROR(VLOOKUP(GL13,IN_Zugliste!$A$4:$D$2002,5,FALSE),"")</f>
        <v/>
      </c>
      <c r="GM212" t="str">
        <f>+IFERROR(VLOOKUP(GM13,IN_Zugliste!$A$4:$D$2002,5,FALSE),"")</f>
        <v/>
      </c>
      <c r="GN212" t="str">
        <f>+IFERROR(VLOOKUP(GN13,IN_Zugliste!$A$4:$D$2002,5,FALSE),"")</f>
        <v/>
      </c>
      <c r="GO212" t="str">
        <f>+IFERROR(VLOOKUP(GO13,IN_Zugliste!$A$4:$D$2002,5,FALSE),"")</f>
        <v/>
      </c>
      <c r="GP212" t="str">
        <f>+IFERROR(VLOOKUP(GP13,IN_Zugliste!$A$4:$D$2002,5,FALSE),"")</f>
        <v/>
      </c>
      <c r="GQ212" t="str">
        <f>+IFERROR(VLOOKUP(GQ13,IN_Zugliste!$A$4:$D$2002,5,FALSE),"")</f>
        <v/>
      </c>
      <c r="GR212" t="str">
        <f>+IFERROR(VLOOKUP(GR13,IN_Zugliste!$A$4:$D$2002,5,FALSE),"")</f>
        <v/>
      </c>
      <c r="GS212" t="str">
        <f>+IFERROR(VLOOKUP(GS13,IN_Zugliste!$A$4:$D$2002,5,FALSE),"")</f>
        <v/>
      </c>
      <c r="GT212" t="str">
        <f>+IFERROR(VLOOKUP(GT13,IN_Zugliste!$A$4:$D$2002,5,FALSE),"")</f>
        <v/>
      </c>
      <c r="GU212" t="str">
        <f>+IFERROR(VLOOKUP(GU13,IN_Zugliste!$A$4:$D$2002,5,FALSE),"")</f>
        <v/>
      </c>
      <c r="GV212" t="str">
        <f>+IFERROR(VLOOKUP(GV13,IN_Zugliste!$A$4:$D$2002,5,FALSE),"")</f>
        <v/>
      </c>
      <c r="GW212" t="str">
        <f>+IFERROR(VLOOKUP(GW13,IN_Zugliste!$A$4:$D$2002,5,FALSE),"")</f>
        <v/>
      </c>
      <c r="GX212" t="str">
        <f>+IFERROR(VLOOKUP(GX13,IN_Zugliste!$A$4:$D$2002,5,FALSE),"")</f>
        <v/>
      </c>
      <c r="GY212" t="str">
        <f>+IFERROR(VLOOKUP(GY13,IN_Zugliste!$A$4:$D$2002,5,FALSE),"")</f>
        <v/>
      </c>
      <c r="GZ212" t="str">
        <f>+IFERROR(VLOOKUP(GZ13,IN_Zugliste!$A$4:$D$2002,5,FALSE),"")</f>
        <v/>
      </c>
      <c r="HA212" t="str">
        <f>+IFERROR(VLOOKUP(HA13,IN_Zugliste!$A$4:$D$2002,5,FALSE),"")</f>
        <v/>
      </c>
      <c r="HB212" t="str">
        <f>+IFERROR(VLOOKUP(HB13,IN_Zugliste!$A$4:$D$2002,5,FALSE),"")</f>
        <v/>
      </c>
      <c r="HC212" t="str">
        <f>+IFERROR(VLOOKUP(HC13,IN_Zugliste!$A$4:$D$2002,5,FALSE),"")</f>
        <v/>
      </c>
      <c r="HD212" t="str">
        <f>+IFERROR(VLOOKUP(HD13,IN_Zugliste!$A$4:$D$2002,5,FALSE),"")</f>
        <v/>
      </c>
      <c r="HE212" t="str">
        <f>+IFERROR(VLOOKUP(HE13,IN_Zugliste!$A$4:$D$2002,5,FALSE),"")</f>
        <v/>
      </c>
      <c r="HF212" t="str">
        <f>+IFERROR(VLOOKUP(HF13,IN_Zugliste!$A$4:$D$2002,5,FALSE),"")</f>
        <v/>
      </c>
      <c r="HG212" t="str">
        <f>+IFERROR(VLOOKUP(HG13,IN_Zugliste!$A$4:$D$2002,5,FALSE),"")</f>
        <v/>
      </c>
      <c r="HH212" t="str">
        <f>+IFERROR(VLOOKUP(HH13,IN_Zugliste!$A$4:$D$2002,5,FALSE),"")</f>
        <v/>
      </c>
    </row>
    <row r="213" spans="1:216" x14ac:dyDescent="0.2">
      <c r="A213" t="str">
        <f>+IFERROR(VLOOKUP(A14,IN_Zugliste!$A$4:$E$2002,5,FALSE),"")</f>
        <v/>
      </c>
      <c r="B213" t="str">
        <f>+IFERROR(VLOOKUP(B14,IN_Zugliste!$A$4:$E$2002,5,FALSE),"")</f>
        <v/>
      </c>
      <c r="C213" t="str">
        <f>+IFERROR(VLOOKUP(C14,IN_Zugliste!$A$4:$E$2002,5,FALSE),"")</f>
        <v/>
      </c>
      <c r="D213" t="str">
        <f>+IFERROR(VLOOKUP(D14,IN_Zugliste!$A$4:$E$2002,5,FALSE),"")</f>
        <v/>
      </c>
      <c r="E213" t="str">
        <f>+IFERROR(VLOOKUP(E14,IN_Zugliste!$A$4:$E$2002,5,FALSE),"")</f>
        <v/>
      </c>
      <c r="F213" t="str">
        <f>+IFERROR(VLOOKUP(F14,IN_Zugliste!$A$4:$E$2002,5,FALSE),"")</f>
        <v/>
      </c>
      <c r="G213" t="str">
        <f>+IFERROR(VLOOKUP(G14,IN_Zugliste!$A$4:$E$2002,5,FALSE),"")</f>
        <v/>
      </c>
      <c r="H213" t="str">
        <f>+IFERROR(VLOOKUP(H14,IN_Zugliste!$A$4:$E$2002,5,FALSE),"")</f>
        <v/>
      </c>
      <c r="I213" t="str">
        <f>+IFERROR(VLOOKUP(I14,IN_Zugliste!$A$4:$E$2002,5,FALSE),"")</f>
        <v/>
      </c>
      <c r="J213" t="str">
        <f>+IFERROR(VLOOKUP(J14,IN_Zugliste!$A$4:$E$2002,5,FALSE),"")</f>
        <v/>
      </c>
      <c r="K213" t="str">
        <f>+IFERROR(VLOOKUP(K14,IN_Zugliste!$A$4:$E$2002,5,FALSE),"")</f>
        <v/>
      </c>
      <c r="L213" t="str">
        <f>+IFERROR(VLOOKUP(L14,IN_Zugliste!$A$4:$E$2002,5,FALSE),"")</f>
        <v/>
      </c>
      <c r="M213" t="str">
        <f>+IFERROR(VLOOKUP(M14,IN_Zugliste!$A$4:$E$2002,5,FALSE),"")</f>
        <v/>
      </c>
      <c r="N213" t="str">
        <f>+IFERROR(VLOOKUP(N14,IN_Zugliste!$A$4:$E$2002,5,FALSE),"")</f>
        <v/>
      </c>
      <c r="O213" t="str">
        <f>+IFERROR(VLOOKUP(O14,IN_Zugliste!$A$4:$E$2002,5,FALSE),"")</f>
        <v/>
      </c>
      <c r="P213" t="str">
        <f>+IFERROR(VLOOKUP(P14,IN_Zugliste!$A$4:$E$2002,5,FALSE),"")</f>
        <v/>
      </c>
      <c r="Q213" t="str">
        <f>+IFERROR(VLOOKUP(Q14,IN_Zugliste!$A$4:$E$2002,5,FALSE),"")</f>
        <v/>
      </c>
      <c r="R213" t="str">
        <f>+IFERROR(VLOOKUP(R14,IN_Zugliste!$A$4:$E$2002,5,FALSE),"")</f>
        <v/>
      </c>
      <c r="S213" t="str">
        <f>+IFERROR(VLOOKUP(S14,IN_Zugliste!$A$4:$E$2002,5,FALSE),"")</f>
        <v/>
      </c>
      <c r="T213" t="str">
        <f>+IFERROR(VLOOKUP(T14,IN_Zugliste!$A$4:$E$2002,5,FALSE),"")</f>
        <v/>
      </c>
      <c r="U213" t="str">
        <f>+IFERROR(VLOOKUP(U14,IN_Zugliste!$A$4:$E$2002,5,FALSE),"")</f>
        <v/>
      </c>
      <c r="V213" t="str">
        <f>+IFERROR(VLOOKUP(V14,IN_Zugliste!$A$4:$E$2002,5,FALSE),"")</f>
        <v/>
      </c>
      <c r="W213" t="str">
        <f>+IFERROR(VLOOKUP(W14,IN_Zugliste!$A$4:$E$2002,5,FALSE),"")</f>
        <v/>
      </c>
      <c r="X213" t="str">
        <f>+IFERROR(VLOOKUP(X14,IN_Zugliste!$A$4:$E$2002,5,FALSE),"")</f>
        <v/>
      </c>
      <c r="Y213" t="str">
        <f>+IFERROR(VLOOKUP(Y14,IN_Zugliste!$A$4:$E$2002,5,FALSE),"")</f>
        <v/>
      </c>
      <c r="Z213" t="str">
        <f>+IFERROR(VLOOKUP(Z14,IN_Zugliste!$A$4:$E$2002,5,FALSE),"")</f>
        <v/>
      </c>
      <c r="AA213" t="str">
        <f>+IFERROR(VLOOKUP(AA14,IN_Zugliste!$A$4:$E$2002,5,FALSE),"")</f>
        <v/>
      </c>
      <c r="AB213" t="str">
        <f>+IFERROR(VLOOKUP(AB14,IN_Zugliste!$A$4:$E$2002,5,FALSE),"")</f>
        <v/>
      </c>
      <c r="AC213" t="str">
        <f>+IFERROR(VLOOKUP(AC14,IN_Zugliste!$A$4:$E$2002,5,FALSE),"")</f>
        <v/>
      </c>
      <c r="AD213" t="str">
        <f>+IFERROR(VLOOKUP(AD14,IN_Zugliste!$A$4:$E$2002,5,FALSE),"")</f>
        <v/>
      </c>
      <c r="AE213" t="str">
        <f>+IFERROR(VLOOKUP(AE14,IN_Zugliste!$A$4:$E$2002,5,FALSE),"")</f>
        <v/>
      </c>
      <c r="AF213" t="str">
        <f>+IFERROR(VLOOKUP(AF14,IN_Zugliste!$A$4:$E$2002,5,FALSE),"")</f>
        <v/>
      </c>
      <c r="AG213" t="str">
        <f>+IFERROR(VLOOKUP(AG14,IN_Zugliste!$A$4:$E$2002,5,FALSE),"")</f>
        <v/>
      </c>
      <c r="AH213" t="str">
        <f>+IFERROR(VLOOKUP(AH14,IN_Zugliste!$A$4:$E$2002,5,FALSE),"")</f>
        <v/>
      </c>
      <c r="AI213" t="str">
        <f>+IFERROR(VLOOKUP(AI14,IN_Zugliste!$A$4:$E$2002,5,FALSE),"")</f>
        <v/>
      </c>
      <c r="AJ213" t="str">
        <f>+IFERROR(VLOOKUP(AJ14,IN_Zugliste!$A$4:$E$2002,5,FALSE),"")</f>
        <v/>
      </c>
      <c r="AK213" t="str">
        <f>+IFERROR(VLOOKUP(AK14,IN_Zugliste!$A$4:$E$2002,5,FALSE),"")</f>
        <v/>
      </c>
      <c r="AL213" t="str">
        <f>+IFERROR(VLOOKUP(AL14,IN_Zugliste!$A$4:$E$2002,5,FALSE),"")</f>
        <v/>
      </c>
      <c r="AM213" t="str">
        <f>+IFERROR(VLOOKUP(AM14,IN_Zugliste!$A$4:$E$2002,5,FALSE),"")</f>
        <v/>
      </c>
      <c r="AN213" t="str">
        <f>+IFERROR(VLOOKUP(AN14,IN_Zugliste!$A$4:$E$2002,5,FALSE),"")</f>
        <v/>
      </c>
      <c r="AO213" t="str">
        <f>+IFERROR(VLOOKUP(AO14,IN_Zugliste!$A$4:$E$2002,5,FALSE),"")</f>
        <v/>
      </c>
      <c r="AP213" t="str">
        <f>+IFERROR(VLOOKUP(AP14,IN_Zugliste!$A$4:$E$2002,5,FALSE),"")</f>
        <v/>
      </c>
      <c r="AQ213" t="str">
        <f>+IFERROR(VLOOKUP(AQ14,IN_Zugliste!$A$4:$E$2002,5,FALSE),"")</f>
        <v/>
      </c>
      <c r="AR213" t="str">
        <f>+IFERROR(VLOOKUP(AR14,IN_Zugliste!$A$4:$E$2002,5,FALSE),"")</f>
        <v/>
      </c>
      <c r="AS213" t="str">
        <f>+IFERROR(VLOOKUP(AS14,IN_Zugliste!$A$4:$E$2002,5,FALSE),"")</f>
        <v/>
      </c>
      <c r="AT213" t="str">
        <f>+IFERROR(VLOOKUP(AT14,IN_Zugliste!$A$4:$E$2002,5,FALSE),"")</f>
        <v/>
      </c>
      <c r="AU213" t="str">
        <f>+IFERROR(VLOOKUP(AU14,IN_Zugliste!$A$4:$E$2002,5,FALSE),"")</f>
        <v/>
      </c>
      <c r="AV213" t="str">
        <f>+IFERROR(VLOOKUP(AV14,IN_Zugliste!$A$4:$E$2002,5,FALSE),"")</f>
        <v/>
      </c>
      <c r="AW213" t="str">
        <f>+IFERROR(VLOOKUP(AW14,IN_Zugliste!$A$4:$E$2002,5,FALSE),"")</f>
        <v/>
      </c>
      <c r="AX213" t="str">
        <f>+IFERROR(VLOOKUP(AX14,IN_Zugliste!$A$4:$E$2002,5,FALSE),"")</f>
        <v/>
      </c>
      <c r="AY213" t="str">
        <f>+IFERROR(VLOOKUP(AY14,IN_Zugliste!$A$4:$E$2002,5,FALSE),"")</f>
        <v/>
      </c>
      <c r="AZ213" t="str">
        <f>+IFERROR(VLOOKUP(AZ14,IN_Zugliste!$A$4:$E$2002,5,FALSE),"")</f>
        <v/>
      </c>
      <c r="BA213" t="str">
        <f>+IFERROR(VLOOKUP(BA14,IN_Zugliste!$A$4:$E$2002,5,FALSE),"")</f>
        <v/>
      </c>
      <c r="BB213" t="str">
        <f>+IFERROR(VLOOKUP(BB14,IN_Zugliste!$A$4:$E$2002,5,FALSE),"")</f>
        <v/>
      </c>
      <c r="BC213" t="str">
        <f>+IFERROR(VLOOKUP(BC14,IN_Zugliste!$A$4:$E$2002,5,FALSE),"")</f>
        <v/>
      </c>
      <c r="BD213" t="str">
        <f>+IFERROR(VLOOKUP(BD14,IN_Zugliste!$A$4:$E$2002,5,FALSE),"")</f>
        <v/>
      </c>
      <c r="BE213" t="str">
        <f>+IFERROR(VLOOKUP(BE14,IN_Zugliste!$A$4:$E$2002,5,FALSE),"")</f>
        <v/>
      </c>
      <c r="BF213" t="str">
        <f>+IFERROR(VLOOKUP(BF14,IN_Zugliste!$A$4:$E$2002,5,FALSE),"")</f>
        <v/>
      </c>
      <c r="BG213" t="str">
        <f>+IFERROR(VLOOKUP(BG14,IN_Zugliste!$A$4:$E$2002,5,FALSE),"")</f>
        <v/>
      </c>
      <c r="BH213" t="str">
        <f>+IFERROR(VLOOKUP(BH14,IN_Zugliste!$A$4:$E$2002,5,FALSE),"")</f>
        <v/>
      </c>
      <c r="BI213" t="str">
        <f>+IFERROR(VLOOKUP(BI14,IN_Zugliste!$A$4:$E$2002,5,FALSE),"")</f>
        <v/>
      </c>
      <c r="BJ213" t="str">
        <f>+IFERROR(VLOOKUP(BJ14,IN_Zugliste!$A$4:$E$2002,5,FALSE),"")</f>
        <v/>
      </c>
      <c r="BK213" t="str">
        <f>+IFERROR(VLOOKUP(BK14,IN_Zugliste!$A$4:$E$2002,5,FALSE),"")</f>
        <v/>
      </c>
      <c r="BL213" t="str">
        <f>+IFERROR(VLOOKUP(BL14,IN_Zugliste!$A$4:$E$2002,5,FALSE),"")</f>
        <v/>
      </c>
      <c r="BM213" t="str">
        <f>+IFERROR(VLOOKUP(BM14,IN_Zugliste!$A$4:$E$2002,5,FALSE),"")</f>
        <v/>
      </c>
      <c r="BN213" t="str">
        <f>+IFERROR(VLOOKUP(BN14,IN_Zugliste!$A$4:$E$2002,5,FALSE),"")</f>
        <v/>
      </c>
      <c r="BO213" t="str">
        <f>+IFERROR(VLOOKUP(BO14,IN_Zugliste!$A$4:$E$2002,5,FALSE),"")</f>
        <v/>
      </c>
      <c r="BP213" t="str">
        <f>+IFERROR(VLOOKUP(BP14,IN_Zugliste!$A$4:$E$2002,5,FALSE),"")</f>
        <v/>
      </c>
      <c r="BQ213" t="str">
        <f>+IFERROR(VLOOKUP(BQ14,IN_Zugliste!$A$4:$E$2002,5,FALSE),"")</f>
        <v/>
      </c>
      <c r="BR213" t="str">
        <f>+IFERROR(VLOOKUP(BR14,IN_Zugliste!$A$4:$E$2002,5,FALSE),"")</f>
        <v/>
      </c>
      <c r="BS213" t="str">
        <f>+IFERROR(VLOOKUP(BS14,IN_Zugliste!$A$4:$E$2002,5,FALSE),"")</f>
        <v/>
      </c>
      <c r="BT213" t="str">
        <f>+IFERROR(VLOOKUP(BT14,IN_Zugliste!$A$4:$E$2002,5,FALSE),"")</f>
        <v/>
      </c>
      <c r="BU213" t="str">
        <f>+IFERROR(VLOOKUP(BU14,IN_Zugliste!$A$4:$E$2002,5,FALSE),"")</f>
        <v/>
      </c>
      <c r="BV213" t="str">
        <f>+IFERROR(VLOOKUP(BV14,IN_Zugliste!$A$4:$E$2002,5,FALSE),"")</f>
        <v/>
      </c>
      <c r="BW213" t="str">
        <f>+IFERROR(VLOOKUP(BW14,IN_Zugliste!$A$4:$E$2002,5,FALSE),"")</f>
        <v/>
      </c>
      <c r="BX213" t="str">
        <f>+IFERROR(VLOOKUP(BX14,IN_Zugliste!$A$4:$E$2002,5,FALSE),"")</f>
        <v/>
      </c>
      <c r="BY213" t="str">
        <f>+IFERROR(VLOOKUP(BY14,IN_Zugliste!$A$4:$E$2002,5,FALSE),"")</f>
        <v/>
      </c>
      <c r="BZ213" t="str">
        <f>+IFERROR(VLOOKUP(BZ14,IN_Zugliste!$A$4:$E$2002,5,FALSE),"")</f>
        <v/>
      </c>
      <c r="CA213" t="str">
        <f>+IFERROR(VLOOKUP(CA14,IN_Zugliste!$A$4:$E$2002,5,FALSE),"")</f>
        <v/>
      </c>
      <c r="CB213" t="str">
        <f>+IFERROR(VLOOKUP(CB14,IN_Zugliste!$A$4:$E$2002,5,FALSE),"")</f>
        <v/>
      </c>
      <c r="CC213" t="str">
        <f>+IFERROR(VLOOKUP(CC14,IN_Zugliste!$A$4:$E$2002,5,FALSE),"")</f>
        <v/>
      </c>
      <c r="CD213" t="str">
        <f>+IFERROR(VLOOKUP(CD14,IN_Zugliste!$A$4:$E$2002,5,FALSE),"")</f>
        <v/>
      </c>
      <c r="CE213" t="str">
        <f>+IFERROR(VLOOKUP(CE14,IN_Zugliste!$A$4:$E$2002,5,FALSE),"")</f>
        <v/>
      </c>
      <c r="CF213" t="str">
        <f>+IFERROR(VLOOKUP(CF14,IN_Zugliste!$A$4:$E$2002,5,FALSE),"")</f>
        <v/>
      </c>
      <c r="CG213" t="str">
        <f>+IFERROR(VLOOKUP(CG14,IN_Zugliste!$A$4:$E$2002,5,FALSE),"")</f>
        <v/>
      </c>
      <c r="CH213" t="str">
        <f>+IFERROR(VLOOKUP(CH14,IN_Zugliste!$A$4:$E$2002,5,FALSE),"")</f>
        <v/>
      </c>
      <c r="CI213" t="str">
        <f>+IFERROR(VLOOKUP(CI14,IN_Zugliste!$A$4:$E$2002,5,FALSE),"")</f>
        <v/>
      </c>
      <c r="CJ213" t="str">
        <f>+IFERROR(VLOOKUP(CJ14,IN_Zugliste!$A$4:$E$2002,5,FALSE),"")</f>
        <v/>
      </c>
      <c r="CK213" t="str">
        <f>+IFERROR(VLOOKUP(CK14,IN_Zugliste!$A$4:$E$2002,5,FALSE),"")</f>
        <v/>
      </c>
      <c r="CL213" t="str">
        <f>+IFERROR(VLOOKUP(CL14,IN_Zugliste!$A$4:$E$2002,5,FALSE),"")</f>
        <v/>
      </c>
      <c r="CM213" t="str">
        <f>+IFERROR(VLOOKUP(CM14,IN_Zugliste!$A$4:$E$2002,5,FALSE),"")</f>
        <v/>
      </c>
      <c r="CN213" t="str">
        <f>+IFERROR(VLOOKUP(CN14,IN_Zugliste!$A$4:$E$2002,5,FALSE),"")</f>
        <v/>
      </c>
      <c r="CO213" t="str">
        <f>+IFERROR(VLOOKUP(CO14,IN_Zugliste!$A$4:$E$2002,5,FALSE),"")</f>
        <v/>
      </c>
      <c r="CP213" t="str">
        <f>+IFERROR(VLOOKUP(CP14,IN_Zugliste!$A$4:$E$2002,5,FALSE),"")</f>
        <v/>
      </c>
      <c r="CQ213" t="str">
        <f>+IFERROR(VLOOKUP(CQ14,IN_Zugliste!$A$4:$E$2002,5,FALSE),"")</f>
        <v/>
      </c>
      <c r="CR213" t="str">
        <f>+IFERROR(VLOOKUP(CR14,IN_Zugliste!$A$4:$E$2002,5,FALSE),"")</f>
        <v/>
      </c>
      <c r="CS213" t="str">
        <f>+IFERROR(VLOOKUP(CS14,IN_Zugliste!$A$4:$E$2002,5,FALSE),"")</f>
        <v/>
      </c>
      <c r="CT213" t="str">
        <f>+IFERROR(VLOOKUP(CT14,IN_Zugliste!$A$4:$E$2002,5,FALSE),"")</f>
        <v/>
      </c>
      <c r="CU213" t="str">
        <f>+IFERROR(VLOOKUP(CU14,IN_Zugliste!$A$4:$E$2002,5,FALSE),"")</f>
        <v/>
      </c>
      <c r="CV213" t="str">
        <f>+IFERROR(VLOOKUP(CV14,IN_Zugliste!$A$4:$E$2002,5,FALSE),"")</f>
        <v/>
      </c>
      <c r="CW213" t="str">
        <f>+IFERROR(VLOOKUP(CW14,IN_Zugliste!$A$4:$E$2002,5,FALSE),"")</f>
        <v/>
      </c>
      <c r="CX213" t="str">
        <f>+IFERROR(VLOOKUP(CX14,IN_Zugliste!$A$4:$E$2002,5,FALSE),"")</f>
        <v/>
      </c>
      <c r="CY213" t="str">
        <f>+IFERROR(VLOOKUP(CY14,IN_Zugliste!$A$4:$E$2002,5,FALSE),"")</f>
        <v/>
      </c>
      <c r="CZ213" t="str">
        <f>+IFERROR(VLOOKUP(CZ14,IN_Zugliste!$A$4:$E$2002,5,FALSE),"")</f>
        <v/>
      </c>
      <c r="DA213" t="str">
        <f>+IFERROR(VLOOKUP(DA14,IN_Zugliste!$A$4:$E$2002,5,FALSE),"")</f>
        <v/>
      </c>
      <c r="DB213" t="str">
        <f>+IFERROR(VLOOKUP(DB14,IN_Zugliste!$A$4:$E$2002,5,FALSE),"")</f>
        <v/>
      </c>
      <c r="DC213" t="str">
        <f>+IFERROR(VLOOKUP(DC14,IN_Zugliste!$A$4:$E$2002,5,FALSE),"")</f>
        <v/>
      </c>
      <c r="DD213" t="str">
        <f>+IFERROR(VLOOKUP(DD14,IN_Zugliste!$A$4:$E$2002,5,FALSE),"")</f>
        <v/>
      </c>
      <c r="DE213" t="str">
        <f>+IFERROR(VLOOKUP(DE14,IN_Zugliste!$A$4:$E$2002,5,FALSE),"")</f>
        <v/>
      </c>
      <c r="DF213" t="str">
        <f>+IFERROR(VLOOKUP(DF14,IN_Zugliste!$A$4:$E$2002,5,FALSE),"")</f>
        <v/>
      </c>
      <c r="DG213" t="str">
        <f>+IFERROR(VLOOKUP(DG14,IN_Zugliste!$A$4:$E$2002,5,FALSE),"")</f>
        <v/>
      </c>
      <c r="DH213" t="str">
        <f>+IFERROR(VLOOKUP(DH14,IN_Zugliste!$A$4:$E$2002,5,FALSE),"")</f>
        <v/>
      </c>
      <c r="DI213" t="str">
        <f>+IFERROR(VLOOKUP(DI14,IN_Zugliste!$A$4:$E$2002,5,FALSE),"")</f>
        <v/>
      </c>
      <c r="DJ213" t="str">
        <f>+IFERROR(VLOOKUP(DJ14,IN_Zugliste!$A$4:$E$2002,5,FALSE),"")</f>
        <v/>
      </c>
      <c r="DK213" t="str">
        <f>+IFERROR(VLOOKUP(DK14,IN_Zugliste!$A$4:$E$2002,5,FALSE),"")</f>
        <v/>
      </c>
      <c r="DL213" t="str">
        <f>+IFERROR(VLOOKUP(DL14,IN_Zugliste!$A$4:$E$2002,5,FALSE),"")</f>
        <v/>
      </c>
      <c r="DM213" t="str">
        <f>+IFERROR(VLOOKUP(DM14,IN_Zugliste!$A$4:$E$2002,5,FALSE),"")</f>
        <v/>
      </c>
      <c r="DN213" t="str">
        <f>+IFERROR(VLOOKUP(DN14,IN_Zugliste!$A$4:$E$2002,5,FALSE),"")</f>
        <v/>
      </c>
      <c r="DO213" t="str">
        <f>+IFERROR(VLOOKUP(DO14,IN_Zugliste!$A$4:$E$2002,5,FALSE),"")</f>
        <v/>
      </c>
      <c r="DP213" t="str">
        <f>+IFERROR(VLOOKUP(DP14,IN_Zugliste!$A$4:$E$2002,5,FALSE),"")</f>
        <v/>
      </c>
      <c r="DQ213" t="str">
        <f>+IFERROR(VLOOKUP(DQ14,IN_Zugliste!$A$4:$E$2002,5,FALSE),"")</f>
        <v/>
      </c>
      <c r="DR213" t="str">
        <f>+IFERROR(VLOOKUP(DR14,IN_Zugliste!$A$4:$E$2002,5,FALSE),"")</f>
        <v/>
      </c>
      <c r="DS213" t="str">
        <f>+IFERROR(VLOOKUP(DS14,IN_Zugliste!$A$4:$E$2002,5,FALSE),"")</f>
        <v/>
      </c>
      <c r="DT213" t="str">
        <f>+IFERROR(VLOOKUP(DT14,IN_Zugliste!$A$4:$E$2002,5,FALSE),"")</f>
        <v/>
      </c>
      <c r="DU213" t="str">
        <f>+IFERROR(VLOOKUP(DU14,IN_Zugliste!$A$4:$E$2002,5,FALSE),"")</f>
        <v/>
      </c>
      <c r="DV213" t="str">
        <f>+IFERROR(VLOOKUP(DV14,IN_Zugliste!$A$4:$E$2002,5,FALSE),"")</f>
        <v/>
      </c>
      <c r="DW213" t="str">
        <f>+IFERROR(VLOOKUP(DW14,IN_Zugliste!$A$4:$E$2002,5,FALSE),"")</f>
        <v/>
      </c>
      <c r="DX213" t="str">
        <f>+IFERROR(VLOOKUP(DX14,IN_Zugliste!$A$4:$E$2002,5,FALSE),"")</f>
        <v/>
      </c>
      <c r="DY213" t="str">
        <f>+IFERROR(VLOOKUP(DY14,IN_Zugliste!$A$4:$E$2002,5,FALSE),"")</f>
        <v/>
      </c>
      <c r="DZ213" t="str">
        <f>+IFERROR(VLOOKUP(DZ14,IN_Zugliste!$A$4:$E$2002,5,FALSE),"")</f>
        <v/>
      </c>
      <c r="EA213" t="str">
        <f>+IFERROR(VLOOKUP(EA14,IN_Zugliste!$A$4:$E$2002,5,FALSE),"")</f>
        <v/>
      </c>
      <c r="EB213" t="str">
        <f>+IFERROR(VLOOKUP(EB14,IN_Zugliste!$A$4:$E$2002,5,FALSE),"")</f>
        <v/>
      </c>
      <c r="EC213" t="str">
        <f>+IFERROR(VLOOKUP(EC14,IN_Zugliste!$A$4:$E$2002,5,FALSE),"")</f>
        <v/>
      </c>
      <c r="ED213" t="str">
        <f>+IFERROR(VLOOKUP(ED14,IN_Zugliste!$A$4:$E$2002,5,FALSE),"")</f>
        <v/>
      </c>
      <c r="EE213" t="str">
        <f>+IFERROR(VLOOKUP(EE14,IN_Zugliste!$A$4:$E$2002,5,FALSE),"")</f>
        <v/>
      </c>
      <c r="EF213" t="str">
        <f>+IFERROR(VLOOKUP(EF14,IN_Zugliste!$A$4:$E$2002,5,FALSE),"")</f>
        <v/>
      </c>
      <c r="EG213" t="str">
        <f>+IFERROR(VLOOKUP(EG14,IN_Zugliste!$A$4:$E$2002,5,FALSE),"")</f>
        <v/>
      </c>
      <c r="EH213" t="str">
        <f>+IFERROR(VLOOKUP(EH14,IN_Zugliste!$A$4:$E$2002,5,FALSE),"")</f>
        <v/>
      </c>
      <c r="EI213" t="str">
        <f>+IFERROR(VLOOKUP(EI14,IN_Zugliste!$A$4:$E$2002,5,FALSE),"")</f>
        <v/>
      </c>
      <c r="EJ213" t="str">
        <f>+IFERROR(VLOOKUP(EJ14,IN_Zugliste!$A$4:$E$2002,5,FALSE),"")</f>
        <v/>
      </c>
      <c r="EK213" t="str">
        <f>+IFERROR(VLOOKUP(EK14,IN_Zugliste!$A$4:$E$2002,5,FALSE),"")</f>
        <v/>
      </c>
      <c r="EL213" t="str">
        <f>+IFERROR(VLOOKUP(EL14,IN_Zugliste!$A$4:$E$2002,5,FALSE),"")</f>
        <v/>
      </c>
      <c r="EM213" t="str">
        <f>+IFERROR(VLOOKUP(EM14,IN_Zugliste!$A$4:$E$2002,5,FALSE),"")</f>
        <v/>
      </c>
      <c r="EN213" t="str">
        <f>+IFERROR(VLOOKUP(EN14,IN_Zugliste!$A$4:$E$2002,5,FALSE),"")</f>
        <v/>
      </c>
      <c r="EO213" t="str">
        <f>+IFERROR(VLOOKUP(EO14,IN_Zugliste!$A$4:$E$2002,5,FALSE),"")</f>
        <v/>
      </c>
      <c r="EP213" t="str">
        <f>+IFERROR(VLOOKUP(EP14,IN_Zugliste!$A$4:$E$2002,5,FALSE),"")</f>
        <v/>
      </c>
      <c r="EQ213" t="str">
        <f>+IFERROR(VLOOKUP(EQ14,IN_Zugliste!$A$4:$E$2002,5,FALSE),"")</f>
        <v/>
      </c>
      <c r="ER213" t="str">
        <f>+IFERROR(VLOOKUP(ER14,IN_Zugliste!$A$4:$E$2002,5,FALSE),"")</f>
        <v/>
      </c>
      <c r="ES213" t="str">
        <f>+IFERROR(VLOOKUP(ES14,IN_Zugliste!$A$4:$E$2002,5,FALSE),"")</f>
        <v/>
      </c>
      <c r="ET213" t="str">
        <f>+IFERROR(VLOOKUP(ET14,IN_Zugliste!$A$4:$E$2002,5,FALSE),"")</f>
        <v/>
      </c>
      <c r="EU213" t="str">
        <f>+IFERROR(VLOOKUP(EU14,IN_Zugliste!$A$4:$E$2002,5,FALSE),"")</f>
        <v/>
      </c>
      <c r="EV213" t="str">
        <f>+IFERROR(VLOOKUP(EV14,IN_Zugliste!$A$4:$E$2002,5,FALSE),"")</f>
        <v/>
      </c>
      <c r="EW213" t="str">
        <f>+IFERROR(VLOOKUP(EW14,IN_Zugliste!$A$4:$E$2002,5,FALSE),"")</f>
        <v/>
      </c>
      <c r="EX213" t="str">
        <f>+IFERROR(VLOOKUP(EX14,IN_Zugliste!$A$4:$E$2002,5,FALSE),"")</f>
        <v/>
      </c>
      <c r="EY213" t="str">
        <f>+IFERROR(VLOOKUP(EY14,IN_Zugliste!$A$4:$E$2002,5,FALSE),"")</f>
        <v/>
      </c>
      <c r="EZ213" t="str">
        <f>+IFERROR(VLOOKUP(EZ14,IN_Zugliste!$A$4:$E$2002,5,FALSE),"")</f>
        <v/>
      </c>
      <c r="FA213" t="str">
        <f>+IFERROR(VLOOKUP(FA14,IN_Zugliste!$A$4:$E$2002,5,FALSE),"")</f>
        <v/>
      </c>
      <c r="FB213" t="str">
        <f>+IFERROR(VLOOKUP(FB14,IN_Zugliste!$A$4:$E$2002,5,FALSE),"")</f>
        <v/>
      </c>
      <c r="FC213" t="str">
        <f>+IFERROR(VLOOKUP(FC14,IN_Zugliste!$A$4:$E$2002,5,FALSE),"")</f>
        <v/>
      </c>
      <c r="FD213" t="str">
        <f>+IFERROR(VLOOKUP(FD14,IN_Zugliste!$A$4:$E$2002,5,FALSE),"")</f>
        <v/>
      </c>
      <c r="FE213" t="str">
        <f>+IFERROR(VLOOKUP(FE14,IN_Zugliste!$A$4:$E$2002,5,FALSE),"")</f>
        <v/>
      </c>
      <c r="FF213" t="str">
        <f>+IFERROR(VLOOKUP(FF14,IN_Zugliste!$A$4:$E$2002,5,FALSE),"")</f>
        <v/>
      </c>
      <c r="FG213" t="str">
        <f>+IFERROR(VLOOKUP(FG14,IN_Zugliste!$A$4:$E$2002,5,FALSE),"")</f>
        <v/>
      </c>
      <c r="FH213" t="str">
        <f>+IFERROR(VLOOKUP(FH14,IN_Zugliste!$A$4:$E$2002,5,FALSE),"")</f>
        <v/>
      </c>
      <c r="FI213" t="str">
        <f>+IFERROR(VLOOKUP(FI14,IN_Zugliste!$A$4:$E$2002,5,FALSE),"")</f>
        <v/>
      </c>
      <c r="FJ213" t="str">
        <f>+IFERROR(VLOOKUP(FJ14,IN_Zugliste!$A$4:$E$2002,5,FALSE),"")</f>
        <v/>
      </c>
      <c r="FK213" t="str">
        <f>+IFERROR(VLOOKUP(FK14,IN_Zugliste!$A$4:$E$2002,5,FALSE),"")</f>
        <v/>
      </c>
      <c r="FL213" t="str">
        <f>+IFERROR(VLOOKUP(FL14,IN_Zugliste!$A$4:$E$2002,5,FALSE),"")</f>
        <v/>
      </c>
      <c r="FM213" t="str">
        <f>+IFERROR(VLOOKUP(FM14,IN_Zugliste!$A$4:$D$2002,5,FALSE),"")</f>
        <v/>
      </c>
      <c r="FN213" t="str">
        <f>+IFERROR(VLOOKUP(FN14,IN_Zugliste!$A$4:$D$2002,5,FALSE),"")</f>
        <v/>
      </c>
      <c r="FO213" t="str">
        <f>+IFERROR(VLOOKUP(FO14,IN_Zugliste!$A$4:$D$2002,5,FALSE),"")</f>
        <v/>
      </c>
      <c r="FP213" t="str">
        <f>+IFERROR(VLOOKUP(FP14,IN_Zugliste!$A$4:$D$2002,5,FALSE),"")</f>
        <v/>
      </c>
      <c r="FQ213" t="str">
        <f>+IFERROR(VLOOKUP(FQ14,IN_Zugliste!$A$4:$D$2002,5,FALSE),"")</f>
        <v/>
      </c>
      <c r="FR213" t="str">
        <f>+IFERROR(VLOOKUP(FR14,IN_Zugliste!$A$4:$D$2002,5,FALSE),"")</f>
        <v/>
      </c>
      <c r="FS213" t="str">
        <f>+IFERROR(VLOOKUP(FS14,IN_Zugliste!$A$4:$D$2002,5,FALSE),"")</f>
        <v/>
      </c>
      <c r="FT213" t="str">
        <f>+IFERROR(VLOOKUP(FT14,IN_Zugliste!$A$4:$D$2002,5,FALSE),"")</f>
        <v/>
      </c>
      <c r="FU213" t="str">
        <f>+IFERROR(VLOOKUP(FU14,IN_Zugliste!$A$4:$D$2002,5,FALSE),"")</f>
        <v/>
      </c>
      <c r="FV213" t="str">
        <f>+IFERROR(VLOOKUP(FV14,IN_Zugliste!$A$4:$D$2002,5,FALSE),"")</f>
        <v/>
      </c>
      <c r="FW213" t="str">
        <f>+IFERROR(VLOOKUP(FW14,IN_Zugliste!$A$4:$D$2002,5,FALSE),"")</f>
        <v/>
      </c>
      <c r="FX213" t="str">
        <f>+IFERROR(VLOOKUP(FX14,IN_Zugliste!$A$4:$D$2002,5,FALSE),"")</f>
        <v/>
      </c>
      <c r="FY213" t="str">
        <f>+IFERROR(VLOOKUP(FY14,IN_Zugliste!$A$4:$D$2002,5,FALSE),"")</f>
        <v/>
      </c>
      <c r="FZ213" t="str">
        <f>+IFERROR(VLOOKUP(FZ14,IN_Zugliste!$A$4:$D$2002,5,FALSE),"")</f>
        <v/>
      </c>
      <c r="GA213" t="str">
        <f>+IFERROR(VLOOKUP(GA14,IN_Zugliste!$A$4:$D$2002,5,FALSE),"")</f>
        <v/>
      </c>
      <c r="GB213" t="str">
        <f>+IFERROR(VLOOKUP(GB14,IN_Zugliste!$A$4:$D$2002,5,FALSE),"")</f>
        <v/>
      </c>
      <c r="GC213" t="str">
        <f>+IFERROR(VLOOKUP(GC14,IN_Zugliste!$A$4:$D$2002,5,FALSE),"")</f>
        <v/>
      </c>
      <c r="GD213" t="str">
        <f>+IFERROR(VLOOKUP(GD14,IN_Zugliste!$A$4:$D$2002,5,FALSE),"")</f>
        <v/>
      </c>
      <c r="GE213" t="str">
        <f>+IFERROR(VLOOKUP(GE14,IN_Zugliste!$A$4:$D$2002,5,FALSE),"")</f>
        <v/>
      </c>
      <c r="GF213" t="str">
        <f>+IFERROR(VLOOKUP(GF14,IN_Zugliste!$A$4:$D$2002,5,FALSE),"")</f>
        <v/>
      </c>
      <c r="GG213" t="str">
        <f>+IFERROR(VLOOKUP(GG14,IN_Zugliste!$A$4:$D$2002,5,FALSE),"")</f>
        <v/>
      </c>
      <c r="GH213" t="str">
        <f>+IFERROR(VLOOKUP(GH14,IN_Zugliste!$A$4:$D$2002,5,FALSE),"")</f>
        <v/>
      </c>
      <c r="GI213" t="str">
        <f>+IFERROR(VLOOKUP(GI14,IN_Zugliste!$A$4:$D$2002,5,FALSE),"")</f>
        <v/>
      </c>
      <c r="GJ213" t="str">
        <f>+IFERROR(VLOOKUP(GJ14,IN_Zugliste!$A$4:$D$2002,5,FALSE),"")</f>
        <v/>
      </c>
      <c r="GK213" t="str">
        <f>+IFERROR(VLOOKUP(GK14,IN_Zugliste!$A$4:$D$2002,5,FALSE),"")</f>
        <v/>
      </c>
      <c r="GL213" t="str">
        <f>+IFERROR(VLOOKUP(GL14,IN_Zugliste!$A$4:$D$2002,5,FALSE),"")</f>
        <v/>
      </c>
      <c r="GM213" t="str">
        <f>+IFERROR(VLOOKUP(GM14,IN_Zugliste!$A$4:$D$2002,5,FALSE),"")</f>
        <v/>
      </c>
      <c r="GN213" t="str">
        <f>+IFERROR(VLOOKUP(GN14,IN_Zugliste!$A$4:$D$2002,5,FALSE),"")</f>
        <v/>
      </c>
      <c r="GO213" t="str">
        <f>+IFERROR(VLOOKUP(GO14,IN_Zugliste!$A$4:$D$2002,5,FALSE),"")</f>
        <v/>
      </c>
      <c r="GP213" t="str">
        <f>+IFERROR(VLOOKUP(GP14,IN_Zugliste!$A$4:$D$2002,5,FALSE),"")</f>
        <v/>
      </c>
      <c r="GQ213" t="str">
        <f>+IFERROR(VLOOKUP(GQ14,IN_Zugliste!$A$4:$D$2002,5,FALSE),"")</f>
        <v/>
      </c>
      <c r="GR213" t="str">
        <f>+IFERROR(VLOOKUP(GR14,IN_Zugliste!$A$4:$D$2002,5,FALSE),"")</f>
        <v/>
      </c>
      <c r="GS213" t="str">
        <f>+IFERROR(VLOOKUP(GS14,IN_Zugliste!$A$4:$D$2002,5,FALSE),"")</f>
        <v/>
      </c>
      <c r="GT213" t="str">
        <f>+IFERROR(VLOOKUP(GT14,IN_Zugliste!$A$4:$D$2002,5,FALSE),"")</f>
        <v/>
      </c>
      <c r="GU213" t="str">
        <f>+IFERROR(VLOOKUP(GU14,IN_Zugliste!$A$4:$D$2002,5,FALSE),"")</f>
        <v/>
      </c>
      <c r="GV213" t="str">
        <f>+IFERROR(VLOOKUP(GV14,IN_Zugliste!$A$4:$D$2002,5,FALSE),"")</f>
        <v/>
      </c>
      <c r="GW213" t="str">
        <f>+IFERROR(VLOOKUP(GW14,IN_Zugliste!$A$4:$D$2002,5,FALSE),"")</f>
        <v/>
      </c>
      <c r="GX213" t="str">
        <f>+IFERROR(VLOOKUP(GX14,IN_Zugliste!$A$4:$D$2002,5,FALSE),"")</f>
        <v/>
      </c>
      <c r="GY213" t="str">
        <f>+IFERROR(VLOOKUP(GY14,IN_Zugliste!$A$4:$D$2002,5,FALSE),"")</f>
        <v/>
      </c>
      <c r="GZ213" t="str">
        <f>+IFERROR(VLOOKUP(GZ14,IN_Zugliste!$A$4:$D$2002,5,FALSE),"")</f>
        <v/>
      </c>
      <c r="HA213" t="str">
        <f>+IFERROR(VLOOKUP(HA14,IN_Zugliste!$A$4:$D$2002,5,FALSE),"")</f>
        <v/>
      </c>
      <c r="HB213" t="str">
        <f>+IFERROR(VLOOKUP(HB14,IN_Zugliste!$A$4:$D$2002,5,FALSE),"")</f>
        <v/>
      </c>
      <c r="HC213" t="str">
        <f>+IFERROR(VLOOKUP(HC14,IN_Zugliste!$A$4:$D$2002,5,FALSE),"")</f>
        <v/>
      </c>
      <c r="HD213" t="str">
        <f>+IFERROR(VLOOKUP(HD14,IN_Zugliste!$A$4:$D$2002,5,FALSE),"")</f>
        <v/>
      </c>
      <c r="HE213" t="str">
        <f>+IFERROR(VLOOKUP(HE14,IN_Zugliste!$A$4:$D$2002,5,FALSE),"")</f>
        <v/>
      </c>
      <c r="HF213" t="str">
        <f>+IFERROR(VLOOKUP(HF14,IN_Zugliste!$A$4:$D$2002,5,FALSE),"")</f>
        <v/>
      </c>
      <c r="HG213" t="str">
        <f>+IFERROR(VLOOKUP(HG14,IN_Zugliste!$A$4:$D$2002,5,FALSE),"")</f>
        <v/>
      </c>
      <c r="HH213" t="str">
        <f>+IFERROR(VLOOKUP(HH14,IN_Zugliste!$A$4:$D$2002,5,FALSE),"")</f>
        <v/>
      </c>
    </row>
    <row r="214" spans="1:216" x14ac:dyDescent="0.2">
      <c r="A214" t="str">
        <f>+IFERROR(VLOOKUP(A15,IN_Zugliste!$A$4:$E$2002,5,FALSE),"")</f>
        <v/>
      </c>
      <c r="B214" t="str">
        <f>+IFERROR(VLOOKUP(B15,IN_Zugliste!$A$4:$E$2002,5,FALSE),"")</f>
        <v/>
      </c>
      <c r="C214" t="str">
        <f>+IFERROR(VLOOKUP(C15,IN_Zugliste!$A$4:$E$2002,5,FALSE),"")</f>
        <v/>
      </c>
      <c r="D214" t="str">
        <f>+IFERROR(VLOOKUP(D15,IN_Zugliste!$A$4:$E$2002,5,FALSE),"")</f>
        <v/>
      </c>
      <c r="E214" t="str">
        <f>+IFERROR(VLOOKUP(E15,IN_Zugliste!$A$4:$E$2002,5,FALSE),"")</f>
        <v/>
      </c>
      <c r="F214" t="str">
        <f>+IFERROR(VLOOKUP(F15,IN_Zugliste!$A$4:$E$2002,5,FALSE),"")</f>
        <v/>
      </c>
      <c r="G214" t="str">
        <f>+IFERROR(VLOOKUP(G15,IN_Zugliste!$A$4:$E$2002,5,FALSE),"")</f>
        <v/>
      </c>
      <c r="H214" t="str">
        <f>+IFERROR(VLOOKUP(H15,IN_Zugliste!$A$4:$E$2002,5,FALSE),"")</f>
        <v/>
      </c>
      <c r="I214" t="str">
        <f>+IFERROR(VLOOKUP(I15,IN_Zugliste!$A$4:$E$2002,5,FALSE),"")</f>
        <v/>
      </c>
      <c r="J214" t="str">
        <f>+IFERROR(VLOOKUP(J15,IN_Zugliste!$A$4:$E$2002,5,FALSE),"")</f>
        <v/>
      </c>
      <c r="K214" t="str">
        <f>+IFERROR(VLOOKUP(K15,IN_Zugliste!$A$4:$E$2002,5,FALSE),"")</f>
        <v/>
      </c>
      <c r="L214" t="str">
        <f>+IFERROR(VLOOKUP(L15,IN_Zugliste!$A$4:$E$2002,5,FALSE),"")</f>
        <v/>
      </c>
      <c r="M214" t="str">
        <f>+IFERROR(VLOOKUP(M15,IN_Zugliste!$A$4:$E$2002,5,FALSE),"")</f>
        <v/>
      </c>
      <c r="N214" t="str">
        <f>+IFERROR(VLOOKUP(N15,IN_Zugliste!$A$4:$E$2002,5,FALSE),"")</f>
        <v/>
      </c>
      <c r="O214" t="str">
        <f>+IFERROR(VLOOKUP(O15,IN_Zugliste!$A$4:$E$2002,5,FALSE),"")</f>
        <v/>
      </c>
      <c r="P214" t="str">
        <f>+IFERROR(VLOOKUP(P15,IN_Zugliste!$A$4:$E$2002,5,FALSE),"")</f>
        <v/>
      </c>
      <c r="Q214" t="str">
        <f>+IFERROR(VLOOKUP(Q15,IN_Zugliste!$A$4:$E$2002,5,FALSE),"")</f>
        <v/>
      </c>
      <c r="R214" t="str">
        <f>+IFERROR(VLOOKUP(R15,IN_Zugliste!$A$4:$E$2002,5,FALSE),"")</f>
        <v/>
      </c>
      <c r="S214" t="str">
        <f>+IFERROR(VLOOKUP(S15,IN_Zugliste!$A$4:$E$2002,5,FALSE),"")</f>
        <v/>
      </c>
      <c r="T214" t="str">
        <f>+IFERROR(VLOOKUP(T15,IN_Zugliste!$A$4:$E$2002,5,FALSE),"")</f>
        <v/>
      </c>
      <c r="U214" t="str">
        <f>+IFERROR(VLOOKUP(U15,IN_Zugliste!$A$4:$E$2002,5,FALSE),"")</f>
        <v/>
      </c>
      <c r="V214" t="str">
        <f>+IFERROR(VLOOKUP(V15,IN_Zugliste!$A$4:$E$2002,5,FALSE),"")</f>
        <v/>
      </c>
      <c r="W214" t="str">
        <f>+IFERROR(VLOOKUP(W15,IN_Zugliste!$A$4:$E$2002,5,FALSE),"")</f>
        <v/>
      </c>
      <c r="X214" t="str">
        <f>+IFERROR(VLOOKUP(X15,IN_Zugliste!$A$4:$E$2002,5,FALSE),"")</f>
        <v/>
      </c>
      <c r="Y214" t="str">
        <f>+IFERROR(VLOOKUP(Y15,IN_Zugliste!$A$4:$E$2002,5,FALSE),"")</f>
        <v/>
      </c>
      <c r="Z214" t="str">
        <f>+IFERROR(VLOOKUP(Z15,IN_Zugliste!$A$4:$E$2002,5,FALSE),"")</f>
        <v/>
      </c>
      <c r="AA214" t="str">
        <f>+IFERROR(VLOOKUP(AA15,IN_Zugliste!$A$4:$E$2002,5,FALSE),"")</f>
        <v/>
      </c>
      <c r="AB214" t="str">
        <f>+IFERROR(VLOOKUP(AB15,IN_Zugliste!$A$4:$E$2002,5,FALSE),"")</f>
        <v/>
      </c>
      <c r="AC214" t="str">
        <f>+IFERROR(VLOOKUP(AC15,IN_Zugliste!$A$4:$E$2002,5,FALSE),"")</f>
        <v/>
      </c>
      <c r="AD214" t="str">
        <f>+IFERROR(VLOOKUP(AD15,IN_Zugliste!$A$4:$E$2002,5,FALSE),"")</f>
        <v/>
      </c>
      <c r="AE214" t="str">
        <f>+IFERROR(VLOOKUP(AE15,IN_Zugliste!$A$4:$E$2002,5,FALSE),"")</f>
        <v/>
      </c>
      <c r="AF214" t="str">
        <f>+IFERROR(VLOOKUP(AF15,IN_Zugliste!$A$4:$E$2002,5,FALSE),"")</f>
        <v/>
      </c>
      <c r="AG214" t="str">
        <f>+IFERROR(VLOOKUP(AG15,IN_Zugliste!$A$4:$E$2002,5,FALSE),"")</f>
        <v/>
      </c>
      <c r="AH214" t="str">
        <f>+IFERROR(VLOOKUP(AH15,IN_Zugliste!$A$4:$E$2002,5,FALSE),"")</f>
        <v/>
      </c>
      <c r="AI214" t="str">
        <f>+IFERROR(VLOOKUP(AI15,IN_Zugliste!$A$4:$E$2002,5,FALSE),"")</f>
        <v/>
      </c>
      <c r="AJ214" t="str">
        <f>+IFERROR(VLOOKUP(AJ15,IN_Zugliste!$A$4:$E$2002,5,FALSE),"")</f>
        <v/>
      </c>
      <c r="AK214" t="str">
        <f>+IFERROR(VLOOKUP(AK15,IN_Zugliste!$A$4:$E$2002,5,FALSE),"")</f>
        <v/>
      </c>
      <c r="AL214" t="str">
        <f>+IFERROR(VLOOKUP(AL15,IN_Zugliste!$A$4:$E$2002,5,FALSE),"")</f>
        <v/>
      </c>
      <c r="AM214" t="str">
        <f>+IFERROR(VLOOKUP(AM15,IN_Zugliste!$A$4:$E$2002,5,FALSE),"")</f>
        <v/>
      </c>
      <c r="AN214" t="str">
        <f>+IFERROR(VLOOKUP(AN15,IN_Zugliste!$A$4:$E$2002,5,FALSE),"")</f>
        <v/>
      </c>
      <c r="AO214" t="str">
        <f>+IFERROR(VLOOKUP(AO15,IN_Zugliste!$A$4:$E$2002,5,FALSE),"")</f>
        <v/>
      </c>
      <c r="AP214" t="str">
        <f>+IFERROR(VLOOKUP(AP15,IN_Zugliste!$A$4:$E$2002,5,FALSE),"")</f>
        <v/>
      </c>
      <c r="AQ214" t="str">
        <f>+IFERROR(VLOOKUP(AQ15,IN_Zugliste!$A$4:$E$2002,5,FALSE),"")</f>
        <v/>
      </c>
      <c r="AR214" t="str">
        <f>+IFERROR(VLOOKUP(AR15,IN_Zugliste!$A$4:$E$2002,5,FALSE),"")</f>
        <v/>
      </c>
      <c r="AS214" t="str">
        <f>+IFERROR(VLOOKUP(AS15,IN_Zugliste!$A$4:$E$2002,5,FALSE),"")</f>
        <v/>
      </c>
      <c r="AT214" t="str">
        <f>+IFERROR(VLOOKUP(AT15,IN_Zugliste!$A$4:$E$2002,5,FALSE),"")</f>
        <v/>
      </c>
      <c r="AU214" t="str">
        <f>+IFERROR(VLOOKUP(AU15,IN_Zugliste!$A$4:$E$2002,5,FALSE),"")</f>
        <v/>
      </c>
      <c r="AV214" t="str">
        <f>+IFERROR(VLOOKUP(AV15,IN_Zugliste!$A$4:$E$2002,5,FALSE),"")</f>
        <v/>
      </c>
      <c r="AW214" t="str">
        <f>+IFERROR(VLOOKUP(AW15,IN_Zugliste!$A$4:$E$2002,5,FALSE),"")</f>
        <v/>
      </c>
      <c r="AX214" t="str">
        <f>+IFERROR(VLOOKUP(AX15,IN_Zugliste!$A$4:$E$2002,5,FALSE),"")</f>
        <v/>
      </c>
      <c r="AY214" t="str">
        <f>+IFERROR(VLOOKUP(AY15,IN_Zugliste!$A$4:$E$2002,5,FALSE),"")</f>
        <v/>
      </c>
      <c r="AZ214" t="str">
        <f>+IFERROR(VLOOKUP(AZ15,IN_Zugliste!$A$4:$E$2002,5,FALSE),"")</f>
        <v/>
      </c>
      <c r="BA214" t="str">
        <f>+IFERROR(VLOOKUP(BA15,IN_Zugliste!$A$4:$E$2002,5,FALSE),"")</f>
        <v/>
      </c>
      <c r="BB214" t="str">
        <f>+IFERROR(VLOOKUP(BB15,IN_Zugliste!$A$4:$E$2002,5,FALSE),"")</f>
        <v/>
      </c>
      <c r="BC214" t="str">
        <f>+IFERROR(VLOOKUP(BC15,IN_Zugliste!$A$4:$E$2002,5,FALSE),"")</f>
        <v/>
      </c>
      <c r="BD214" t="str">
        <f>+IFERROR(VLOOKUP(BD15,IN_Zugliste!$A$4:$E$2002,5,FALSE),"")</f>
        <v/>
      </c>
      <c r="BE214" t="str">
        <f>+IFERROR(VLOOKUP(BE15,IN_Zugliste!$A$4:$E$2002,5,FALSE),"")</f>
        <v/>
      </c>
      <c r="BF214" t="str">
        <f>+IFERROR(VLOOKUP(BF15,IN_Zugliste!$A$4:$E$2002,5,FALSE),"")</f>
        <v/>
      </c>
      <c r="BG214" t="str">
        <f>+IFERROR(VLOOKUP(BG15,IN_Zugliste!$A$4:$E$2002,5,FALSE),"")</f>
        <v/>
      </c>
      <c r="BH214" t="str">
        <f>+IFERROR(VLOOKUP(BH15,IN_Zugliste!$A$4:$E$2002,5,FALSE),"")</f>
        <v/>
      </c>
      <c r="BI214" t="str">
        <f>+IFERROR(VLOOKUP(BI15,IN_Zugliste!$A$4:$E$2002,5,FALSE),"")</f>
        <v/>
      </c>
      <c r="BJ214" t="str">
        <f>+IFERROR(VLOOKUP(BJ15,IN_Zugliste!$A$4:$E$2002,5,FALSE),"")</f>
        <v/>
      </c>
      <c r="BK214" t="str">
        <f>+IFERROR(VLOOKUP(BK15,IN_Zugliste!$A$4:$E$2002,5,FALSE),"")</f>
        <v/>
      </c>
      <c r="BL214" t="str">
        <f>+IFERROR(VLOOKUP(BL15,IN_Zugliste!$A$4:$E$2002,5,FALSE),"")</f>
        <v/>
      </c>
      <c r="BM214" t="str">
        <f>+IFERROR(VLOOKUP(BM15,IN_Zugliste!$A$4:$E$2002,5,FALSE),"")</f>
        <v/>
      </c>
      <c r="BN214" t="str">
        <f>+IFERROR(VLOOKUP(BN15,IN_Zugliste!$A$4:$E$2002,5,FALSE),"")</f>
        <v/>
      </c>
      <c r="BO214" t="str">
        <f>+IFERROR(VLOOKUP(BO15,IN_Zugliste!$A$4:$E$2002,5,FALSE),"")</f>
        <v/>
      </c>
      <c r="BP214" t="str">
        <f>+IFERROR(VLOOKUP(BP15,IN_Zugliste!$A$4:$E$2002,5,FALSE),"")</f>
        <v/>
      </c>
      <c r="BQ214" t="str">
        <f>+IFERROR(VLOOKUP(BQ15,IN_Zugliste!$A$4:$E$2002,5,FALSE),"")</f>
        <v/>
      </c>
      <c r="BR214" t="str">
        <f>+IFERROR(VLOOKUP(BR15,IN_Zugliste!$A$4:$E$2002,5,FALSE),"")</f>
        <v/>
      </c>
      <c r="BS214" t="str">
        <f>+IFERROR(VLOOKUP(BS15,IN_Zugliste!$A$4:$E$2002,5,FALSE),"")</f>
        <v/>
      </c>
      <c r="BT214" t="str">
        <f>+IFERROR(VLOOKUP(BT15,IN_Zugliste!$A$4:$E$2002,5,FALSE),"")</f>
        <v/>
      </c>
      <c r="BU214" t="str">
        <f>+IFERROR(VLOOKUP(BU15,IN_Zugliste!$A$4:$E$2002,5,FALSE),"")</f>
        <v/>
      </c>
      <c r="BV214" t="str">
        <f>+IFERROR(VLOOKUP(BV15,IN_Zugliste!$A$4:$E$2002,5,FALSE),"")</f>
        <v/>
      </c>
      <c r="BW214" t="str">
        <f>+IFERROR(VLOOKUP(BW15,IN_Zugliste!$A$4:$E$2002,5,FALSE),"")</f>
        <v/>
      </c>
      <c r="BX214" t="str">
        <f>+IFERROR(VLOOKUP(BX15,IN_Zugliste!$A$4:$E$2002,5,FALSE),"")</f>
        <v/>
      </c>
      <c r="BY214" t="str">
        <f>+IFERROR(VLOOKUP(BY15,IN_Zugliste!$A$4:$E$2002,5,FALSE),"")</f>
        <v/>
      </c>
      <c r="BZ214" t="str">
        <f>+IFERROR(VLOOKUP(BZ15,IN_Zugliste!$A$4:$E$2002,5,FALSE),"")</f>
        <v/>
      </c>
      <c r="CA214" t="str">
        <f>+IFERROR(VLOOKUP(CA15,IN_Zugliste!$A$4:$E$2002,5,FALSE),"")</f>
        <v/>
      </c>
      <c r="CB214" t="str">
        <f>+IFERROR(VLOOKUP(CB15,IN_Zugliste!$A$4:$E$2002,5,FALSE),"")</f>
        <v/>
      </c>
      <c r="CC214" t="str">
        <f>+IFERROR(VLOOKUP(CC15,IN_Zugliste!$A$4:$E$2002,5,FALSE),"")</f>
        <v/>
      </c>
      <c r="CD214" t="str">
        <f>+IFERROR(VLOOKUP(CD15,IN_Zugliste!$A$4:$E$2002,5,FALSE),"")</f>
        <v/>
      </c>
      <c r="CE214" t="str">
        <f>+IFERROR(VLOOKUP(CE15,IN_Zugliste!$A$4:$E$2002,5,FALSE),"")</f>
        <v/>
      </c>
      <c r="CF214" t="str">
        <f>+IFERROR(VLOOKUP(CF15,IN_Zugliste!$A$4:$E$2002,5,FALSE),"")</f>
        <v/>
      </c>
      <c r="CG214" t="str">
        <f>+IFERROR(VLOOKUP(CG15,IN_Zugliste!$A$4:$E$2002,5,FALSE),"")</f>
        <v/>
      </c>
      <c r="CH214" t="str">
        <f>+IFERROR(VLOOKUP(CH15,IN_Zugliste!$A$4:$E$2002,5,FALSE),"")</f>
        <v/>
      </c>
      <c r="CI214" t="str">
        <f>+IFERROR(VLOOKUP(CI15,IN_Zugliste!$A$4:$E$2002,5,FALSE),"")</f>
        <v/>
      </c>
      <c r="CJ214" t="str">
        <f>+IFERROR(VLOOKUP(CJ15,IN_Zugliste!$A$4:$E$2002,5,FALSE),"")</f>
        <v/>
      </c>
      <c r="CK214" t="str">
        <f>+IFERROR(VLOOKUP(CK15,IN_Zugliste!$A$4:$E$2002,5,FALSE),"")</f>
        <v/>
      </c>
      <c r="CL214" t="str">
        <f>+IFERROR(VLOOKUP(CL15,IN_Zugliste!$A$4:$E$2002,5,FALSE),"")</f>
        <v/>
      </c>
      <c r="CM214" t="str">
        <f>+IFERROR(VLOOKUP(CM15,IN_Zugliste!$A$4:$E$2002,5,FALSE),"")</f>
        <v/>
      </c>
      <c r="CN214" t="str">
        <f>+IFERROR(VLOOKUP(CN15,IN_Zugliste!$A$4:$E$2002,5,FALSE),"")</f>
        <v/>
      </c>
      <c r="CO214" t="str">
        <f>+IFERROR(VLOOKUP(CO15,IN_Zugliste!$A$4:$E$2002,5,FALSE),"")</f>
        <v/>
      </c>
      <c r="CP214" t="str">
        <f>+IFERROR(VLOOKUP(CP15,IN_Zugliste!$A$4:$E$2002,5,FALSE),"")</f>
        <v/>
      </c>
      <c r="CQ214" t="str">
        <f>+IFERROR(VLOOKUP(CQ15,IN_Zugliste!$A$4:$E$2002,5,FALSE),"")</f>
        <v/>
      </c>
      <c r="CR214" t="str">
        <f>+IFERROR(VLOOKUP(CR15,IN_Zugliste!$A$4:$E$2002,5,FALSE),"")</f>
        <v/>
      </c>
      <c r="CS214" t="str">
        <f>+IFERROR(VLOOKUP(CS15,IN_Zugliste!$A$4:$E$2002,5,FALSE),"")</f>
        <v/>
      </c>
      <c r="CT214" t="str">
        <f>+IFERROR(VLOOKUP(CT15,IN_Zugliste!$A$4:$E$2002,5,FALSE),"")</f>
        <v/>
      </c>
      <c r="CU214" t="str">
        <f>+IFERROR(VLOOKUP(CU15,IN_Zugliste!$A$4:$E$2002,5,FALSE),"")</f>
        <v/>
      </c>
      <c r="CV214" t="str">
        <f>+IFERROR(VLOOKUP(CV15,IN_Zugliste!$A$4:$E$2002,5,FALSE),"")</f>
        <v/>
      </c>
      <c r="CW214" t="str">
        <f>+IFERROR(VLOOKUP(CW15,IN_Zugliste!$A$4:$E$2002,5,FALSE),"")</f>
        <v/>
      </c>
      <c r="CX214" t="str">
        <f>+IFERROR(VLOOKUP(CX15,IN_Zugliste!$A$4:$E$2002,5,FALSE),"")</f>
        <v/>
      </c>
      <c r="CY214" t="str">
        <f>+IFERROR(VLOOKUP(CY15,IN_Zugliste!$A$4:$E$2002,5,FALSE),"")</f>
        <v/>
      </c>
      <c r="CZ214" t="str">
        <f>+IFERROR(VLOOKUP(CZ15,IN_Zugliste!$A$4:$E$2002,5,FALSE),"")</f>
        <v/>
      </c>
      <c r="DA214" t="str">
        <f>+IFERROR(VLOOKUP(DA15,IN_Zugliste!$A$4:$E$2002,5,FALSE),"")</f>
        <v/>
      </c>
      <c r="DB214" t="str">
        <f>+IFERROR(VLOOKUP(DB15,IN_Zugliste!$A$4:$E$2002,5,FALSE),"")</f>
        <v/>
      </c>
      <c r="DC214" t="str">
        <f>+IFERROR(VLOOKUP(DC15,IN_Zugliste!$A$4:$E$2002,5,FALSE),"")</f>
        <v/>
      </c>
      <c r="DD214" t="str">
        <f>+IFERROR(VLOOKUP(DD15,IN_Zugliste!$A$4:$E$2002,5,FALSE),"")</f>
        <v/>
      </c>
      <c r="DE214" t="str">
        <f>+IFERROR(VLOOKUP(DE15,IN_Zugliste!$A$4:$E$2002,5,FALSE),"")</f>
        <v/>
      </c>
      <c r="DF214" t="str">
        <f>+IFERROR(VLOOKUP(DF15,IN_Zugliste!$A$4:$E$2002,5,FALSE),"")</f>
        <v/>
      </c>
      <c r="DG214" t="str">
        <f>+IFERROR(VLOOKUP(DG15,IN_Zugliste!$A$4:$E$2002,5,FALSE),"")</f>
        <v/>
      </c>
      <c r="DH214" t="str">
        <f>+IFERROR(VLOOKUP(DH15,IN_Zugliste!$A$4:$E$2002,5,FALSE),"")</f>
        <v/>
      </c>
      <c r="DI214" t="str">
        <f>+IFERROR(VLOOKUP(DI15,IN_Zugliste!$A$4:$E$2002,5,FALSE),"")</f>
        <v/>
      </c>
      <c r="DJ214" t="str">
        <f>+IFERROR(VLOOKUP(DJ15,IN_Zugliste!$A$4:$E$2002,5,FALSE),"")</f>
        <v/>
      </c>
      <c r="DK214" t="str">
        <f>+IFERROR(VLOOKUP(DK15,IN_Zugliste!$A$4:$E$2002,5,FALSE),"")</f>
        <v/>
      </c>
      <c r="DL214" t="str">
        <f>+IFERROR(VLOOKUP(DL15,IN_Zugliste!$A$4:$E$2002,5,FALSE),"")</f>
        <v/>
      </c>
      <c r="DM214" t="str">
        <f>+IFERROR(VLOOKUP(DM15,IN_Zugliste!$A$4:$E$2002,5,FALSE),"")</f>
        <v/>
      </c>
      <c r="DN214" t="str">
        <f>+IFERROR(VLOOKUP(DN15,IN_Zugliste!$A$4:$E$2002,5,FALSE),"")</f>
        <v/>
      </c>
      <c r="DO214" t="str">
        <f>+IFERROR(VLOOKUP(DO15,IN_Zugliste!$A$4:$E$2002,5,FALSE),"")</f>
        <v/>
      </c>
      <c r="DP214" t="str">
        <f>+IFERROR(VLOOKUP(DP15,IN_Zugliste!$A$4:$E$2002,5,FALSE),"")</f>
        <v/>
      </c>
      <c r="DQ214" t="str">
        <f>+IFERROR(VLOOKUP(DQ15,IN_Zugliste!$A$4:$E$2002,5,FALSE),"")</f>
        <v/>
      </c>
      <c r="DR214" t="str">
        <f>+IFERROR(VLOOKUP(DR15,IN_Zugliste!$A$4:$E$2002,5,FALSE),"")</f>
        <v/>
      </c>
      <c r="DS214" t="str">
        <f>+IFERROR(VLOOKUP(DS15,IN_Zugliste!$A$4:$E$2002,5,FALSE),"")</f>
        <v/>
      </c>
      <c r="DT214" t="str">
        <f>+IFERROR(VLOOKUP(DT15,IN_Zugliste!$A$4:$E$2002,5,FALSE),"")</f>
        <v/>
      </c>
      <c r="DU214" t="str">
        <f>+IFERROR(VLOOKUP(DU15,IN_Zugliste!$A$4:$E$2002,5,FALSE),"")</f>
        <v/>
      </c>
      <c r="DV214" t="str">
        <f>+IFERROR(VLOOKUP(DV15,IN_Zugliste!$A$4:$E$2002,5,FALSE),"")</f>
        <v/>
      </c>
      <c r="DW214" t="str">
        <f>+IFERROR(VLOOKUP(DW15,IN_Zugliste!$A$4:$E$2002,5,FALSE),"")</f>
        <v/>
      </c>
      <c r="DX214" t="str">
        <f>+IFERROR(VLOOKUP(DX15,IN_Zugliste!$A$4:$E$2002,5,FALSE),"")</f>
        <v/>
      </c>
      <c r="DY214" t="str">
        <f>+IFERROR(VLOOKUP(DY15,IN_Zugliste!$A$4:$E$2002,5,FALSE),"")</f>
        <v/>
      </c>
      <c r="DZ214" t="str">
        <f>+IFERROR(VLOOKUP(DZ15,IN_Zugliste!$A$4:$E$2002,5,FALSE),"")</f>
        <v/>
      </c>
      <c r="EA214" t="str">
        <f>+IFERROR(VLOOKUP(EA15,IN_Zugliste!$A$4:$E$2002,5,FALSE),"")</f>
        <v/>
      </c>
      <c r="EB214" t="str">
        <f>+IFERROR(VLOOKUP(EB15,IN_Zugliste!$A$4:$E$2002,5,FALSE),"")</f>
        <v/>
      </c>
      <c r="EC214" t="str">
        <f>+IFERROR(VLOOKUP(EC15,IN_Zugliste!$A$4:$E$2002,5,FALSE),"")</f>
        <v/>
      </c>
      <c r="ED214" t="str">
        <f>+IFERROR(VLOOKUP(ED15,IN_Zugliste!$A$4:$E$2002,5,FALSE),"")</f>
        <v/>
      </c>
      <c r="EE214" t="str">
        <f>+IFERROR(VLOOKUP(EE15,IN_Zugliste!$A$4:$E$2002,5,FALSE),"")</f>
        <v/>
      </c>
      <c r="EF214" t="str">
        <f>+IFERROR(VLOOKUP(EF15,IN_Zugliste!$A$4:$E$2002,5,FALSE),"")</f>
        <v/>
      </c>
      <c r="EG214" t="str">
        <f>+IFERROR(VLOOKUP(EG15,IN_Zugliste!$A$4:$E$2002,5,FALSE),"")</f>
        <v/>
      </c>
      <c r="EH214" t="str">
        <f>+IFERROR(VLOOKUP(EH15,IN_Zugliste!$A$4:$E$2002,5,FALSE),"")</f>
        <v/>
      </c>
      <c r="EI214" t="str">
        <f>+IFERROR(VLOOKUP(EI15,IN_Zugliste!$A$4:$E$2002,5,FALSE),"")</f>
        <v/>
      </c>
      <c r="EJ214" t="str">
        <f>+IFERROR(VLOOKUP(EJ15,IN_Zugliste!$A$4:$E$2002,5,FALSE),"")</f>
        <v/>
      </c>
      <c r="EK214" t="str">
        <f>+IFERROR(VLOOKUP(EK15,IN_Zugliste!$A$4:$E$2002,5,FALSE),"")</f>
        <v/>
      </c>
      <c r="EL214" t="str">
        <f>+IFERROR(VLOOKUP(EL15,IN_Zugliste!$A$4:$E$2002,5,FALSE),"")</f>
        <v/>
      </c>
      <c r="EM214" t="str">
        <f>+IFERROR(VLOOKUP(EM15,IN_Zugliste!$A$4:$E$2002,5,FALSE),"")</f>
        <v/>
      </c>
      <c r="EN214" t="str">
        <f>+IFERROR(VLOOKUP(EN15,IN_Zugliste!$A$4:$E$2002,5,FALSE),"")</f>
        <v/>
      </c>
      <c r="EO214" t="str">
        <f>+IFERROR(VLOOKUP(EO15,IN_Zugliste!$A$4:$E$2002,5,FALSE),"")</f>
        <v/>
      </c>
      <c r="EP214" t="str">
        <f>+IFERROR(VLOOKUP(EP15,IN_Zugliste!$A$4:$E$2002,5,FALSE),"")</f>
        <v/>
      </c>
      <c r="EQ214" t="str">
        <f>+IFERROR(VLOOKUP(EQ15,IN_Zugliste!$A$4:$E$2002,5,FALSE),"")</f>
        <v/>
      </c>
      <c r="ER214" t="str">
        <f>+IFERROR(VLOOKUP(ER15,IN_Zugliste!$A$4:$E$2002,5,FALSE),"")</f>
        <v/>
      </c>
      <c r="ES214" t="str">
        <f>+IFERROR(VLOOKUP(ES15,IN_Zugliste!$A$4:$E$2002,5,FALSE),"")</f>
        <v/>
      </c>
      <c r="ET214" t="str">
        <f>+IFERROR(VLOOKUP(ET15,IN_Zugliste!$A$4:$E$2002,5,FALSE),"")</f>
        <v/>
      </c>
      <c r="EU214" t="str">
        <f>+IFERROR(VLOOKUP(EU15,IN_Zugliste!$A$4:$E$2002,5,FALSE),"")</f>
        <v/>
      </c>
      <c r="EV214" t="str">
        <f>+IFERROR(VLOOKUP(EV15,IN_Zugliste!$A$4:$E$2002,5,FALSE),"")</f>
        <v/>
      </c>
      <c r="EW214" t="str">
        <f>+IFERROR(VLOOKUP(EW15,IN_Zugliste!$A$4:$E$2002,5,FALSE),"")</f>
        <v/>
      </c>
      <c r="EX214" t="str">
        <f>+IFERROR(VLOOKUP(EX15,IN_Zugliste!$A$4:$E$2002,5,FALSE),"")</f>
        <v/>
      </c>
      <c r="EY214" t="str">
        <f>+IFERROR(VLOOKUP(EY15,IN_Zugliste!$A$4:$E$2002,5,FALSE),"")</f>
        <v/>
      </c>
      <c r="EZ214" t="str">
        <f>+IFERROR(VLOOKUP(EZ15,IN_Zugliste!$A$4:$E$2002,5,FALSE),"")</f>
        <v/>
      </c>
      <c r="FA214" t="str">
        <f>+IFERROR(VLOOKUP(FA15,IN_Zugliste!$A$4:$E$2002,5,FALSE),"")</f>
        <v/>
      </c>
      <c r="FB214" t="str">
        <f>+IFERROR(VLOOKUP(FB15,IN_Zugliste!$A$4:$E$2002,5,FALSE),"")</f>
        <v/>
      </c>
      <c r="FC214" t="str">
        <f>+IFERROR(VLOOKUP(FC15,IN_Zugliste!$A$4:$E$2002,5,FALSE),"")</f>
        <v/>
      </c>
      <c r="FD214" t="str">
        <f>+IFERROR(VLOOKUP(FD15,IN_Zugliste!$A$4:$E$2002,5,FALSE),"")</f>
        <v/>
      </c>
      <c r="FE214" t="str">
        <f>+IFERROR(VLOOKUP(FE15,IN_Zugliste!$A$4:$E$2002,5,FALSE),"")</f>
        <v/>
      </c>
      <c r="FF214" t="str">
        <f>+IFERROR(VLOOKUP(FF15,IN_Zugliste!$A$4:$E$2002,5,FALSE),"")</f>
        <v/>
      </c>
      <c r="FG214" t="str">
        <f>+IFERROR(VLOOKUP(FG15,IN_Zugliste!$A$4:$E$2002,5,FALSE),"")</f>
        <v/>
      </c>
      <c r="FH214" t="str">
        <f>+IFERROR(VLOOKUP(FH15,IN_Zugliste!$A$4:$E$2002,5,FALSE),"")</f>
        <v/>
      </c>
      <c r="FI214" t="str">
        <f>+IFERROR(VLOOKUP(FI15,IN_Zugliste!$A$4:$E$2002,5,FALSE),"")</f>
        <v/>
      </c>
      <c r="FJ214" t="str">
        <f>+IFERROR(VLOOKUP(FJ15,IN_Zugliste!$A$4:$E$2002,5,FALSE),"")</f>
        <v/>
      </c>
      <c r="FK214" t="str">
        <f>+IFERROR(VLOOKUP(FK15,IN_Zugliste!$A$4:$E$2002,5,FALSE),"")</f>
        <v/>
      </c>
      <c r="FL214" t="str">
        <f>+IFERROR(VLOOKUP(FL15,IN_Zugliste!$A$4:$E$2002,5,FALSE),"")</f>
        <v/>
      </c>
      <c r="FM214" t="str">
        <f>+IFERROR(VLOOKUP(FM15,IN_Zugliste!$A$4:$D$2002,5,FALSE),"")</f>
        <v/>
      </c>
      <c r="FN214" t="str">
        <f>+IFERROR(VLOOKUP(FN15,IN_Zugliste!$A$4:$D$2002,5,FALSE),"")</f>
        <v/>
      </c>
      <c r="FO214" t="str">
        <f>+IFERROR(VLOOKUP(FO15,IN_Zugliste!$A$4:$D$2002,5,FALSE),"")</f>
        <v/>
      </c>
      <c r="FP214" t="str">
        <f>+IFERROR(VLOOKUP(FP15,IN_Zugliste!$A$4:$D$2002,5,FALSE),"")</f>
        <v/>
      </c>
      <c r="FQ214" t="str">
        <f>+IFERROR(VLOOKUP(FQ15,IN_Zugliste!$A$4:$D$2002,5,FALSE),"")</f>
        <v/>
      </c>
      <c r="FR214" t="str">
        <f>+IFERROR(VLOOKUP(FR15,IN_Zugliste!$A$4:$D$2002,5,FALSE),"")</f>
        <v/>
      </c>
      <c r="FS214" t="str">
        <f>+IFERROR(VLOOKUP(FS15,IN_Zugliste!$A$4:$D$2002,5,FALSE),"")</f>
        <v/>
      </c>
      <c r="FT214" t="str">
        <f>+IFERROR(VLOOKUP(FT15,IN_Zugliste!$A$4:$D$2002,5,FALSE),"")</f>
        <v/>
      </c>
      <c r="FU214" t="str">
        <f>+IFERROR(VLOOKUP(FU15,IN_Zugliste!$A$4:$D$2002,5,FALSE),"")</f>
        <v/>
      </c>
      <c r="FV214" t="str">
        <f>+IFERROR(VLOOKUP(FV15,IN_Zugliste!$A$4:$D$2002,5,FALSE),"")</f>
        <v/>
      </c>
      <c r="FW214" t="str">
        <f>+IFERROR(VLOOKUP(FW15,IN_Zugliste!$A$4:$D$2002,5,FALSE),"")</f>
        <v/>
      </c>
      <c r="FX214" t="str">
        <f>+IFERROR(VLOOKUP(FX15,IN_Zugliste!$A$4:$D$2002,5,FALSE),"")</f>
        <v/>
      </c>
      <c r="FY214" t="str">
        <f>+IFERROR(VLOOKUP(FY15,IN_Zugliste!$A$4:$D$2002,5,FALSE),"")</f>
        <v/>
      </c>
      <c r="FZ214" t="str">
        <f>+IFERROR(VLOOKUP(FZ15,IN_Zugliste!$A$4:$D$2002,5,FALSE),"")</f>
        <v/>
      </c>
      <c r="GA214" t="str">
        <f>+IFERROR(VLOOKUP(GA15,IN_Zugliste!$A$4:$D$2002,5,FALSE),"")</f>
        <v/>
      </c>
      <c r="GB214" t="str">
        <f>+IFERROR(VLOOKUP(GB15,IN_Zugliste!$A$4:$D$2002,5,FALSE),"")</f>
        <v/>
      </c>
      <c r="GC214" t="str">
        <f>+IFERROR(VLOOKUP(GC15,IN_Zugliste!$A$4:$D$2002,5,FALSE),"")</f>
        <v/>
      </c>
      <c r="GD214" t="str">
        <f>+IFERROR(VLOOKUP(GD15,IN_Zugliste!$A$4:$D$2002,5,FALSE),"")</f>
        <v/>
      </c>
      <c r="GE214" t="str">
        <f>+IFERROR(VLOOKUP(GE15,IN_Zugliste!$A$4:$D$2002,5,FALSE),"")</f>
        <v/>
      </c>
      <c r="GF214" t="str">
        <f>+IFERROR(VLOOKUP(GF15,IN_Zugliste!$A$4:$D$2002,5,FALSE),"")</f>
        <v/>
      </c>
      <c r="GG214" t="str">
        <f>+IFERROR(VLOOKUP(GG15,IN_Zugliste!$A$4:$D$2002,5,FALSE),"")</f>
        <v/>
      </c>
      <c r="GH214" t="str">
        <f>+IFERROR(VLOOKUP(GH15,IN_Zugliste!$A$4:$D$2002,5,FALSE),"")</f>
        <v/>
      </c>
      <c r="GI214" t="str">
        <f>+IFERROR(VLOOKUP(GI15,IN_Zugliste!$A$4:$D$2002,5,FALSE),"")</f>
        <v/>
      </c>
      <c r="GJ214" t="str">
        <f>+IFERROR(VLOOKUP(GJ15,IN_Zugliste!$A$4:$D$2002,5,FALSE),"")</f>
        <v/>
      </c>
      <c r="GK214" t="str">
        <f>+IFERROR(VLOOKUP(GK15,IN_Zugliste!$A$4:$D$2002,5,FALSE),"")</f>
        <v/>
      </c>
      <c r="GL214" t="str">
        <f>+IFERROR(VLOOKUP(GL15,IN_Zugliste!$A$4:$D$2002,5,FALSE),"")</f>
        <v/>
      </c>
      <c r="GM214" t="str">
        <f>+IFERROR(VLOOKUP(GM15,IN_Zugliste!$A$4:$D$2002,5,FALSE),"")</f>
        <v/>
      </c>
      <c r="GN214" t="str">
        <f>+IFERROR(VLOOKUP(GN15,IN_Zugliste!$A$4:$D$2002,5,FALSE),"")</f>
        <v/>
      </c>
      <c r="GO214" t="str">
        <f>+IFERROR(VLOOKUP(GO15,IN_Zugliste!$A$4:$D$2002,5,FALSE),"")</f>
        <v/>
      </c>
      <c r="GP214" t="str">
        <f>+IFERROR(VLOOKUP(GP15,IN_Zugliste!$A$4:$D$2002,5,FALSE),"")</f>
        <v/>
      </c>
      <c r="GQ214" t="str">
        <f>+IFERROR(VLOOKUP(GQ15,IN_Zugliste!$A$4:$D$2002,5,FALSE),"")</f>
        <v/>
      </c>
      <c r="GR214" t="str">
        <f>+IFERROR(VLOOKUP(GR15,IN_Zugliste!$A$4:$D$2002,5,FALSE),"")</f>
        <v/>
      </c>
      <c r="GS214" t="str">
        <f>+IFERROR(VLOOKUP(GS15,IN_Zugliste!$A$4:$D$2002,5,FALSE),"")</f>
        <v/>
      </c>
      <c r="GT214" t="str">
        <f>+IFERROR(VLOOKUP(GT15,IN_Zugliste!$A$4:$D$2002,5,FALSE),"")</f>
        <v/>
      </c>
      <c r="GU214" t="str">
        <f>+IFERROR(VLOOKUP(GU15,IN_Zugliste!$A$4:$D$2002,5,FALSE),"")</f>
        <v/>
      </c>
      <c r="GV214" t="str">
        <f>+IFERROR(VLOOKUP(GV15,IN_Zugliste!$A$4:$D$2002,5,FALSE),"")</f>
        <v/>
      </c>
      <c r="GW214" t="str">
        <f>+IFERROR(VLOOKUP(GW15,IN_Zugliste!$A$4:$D$2002,5,FALSE),"")</f>
        <v/>
      </c>
      <c r="GX214" t="str">
        <f>+IFERROR(VLOOKUP(GX15,IN_Zugliste!$A$4:$D$2002,5,FALSE),"")</f>
        <v/>
      </c>
      <c r="GY214" t="str">
        <f>+IFERROR(VLOOKUP(GY15,IN_Zugliste!$A$4:$D$2002,5,FALSE),"")</f>
        <v/>
      </c>
      <c r="GZ214" t="str">
        <f>+IFERROR(VLOOKUP(GZ15,IN_Zugliste!$A$4:$D$2002,5,FALSE),"")</f>
        <v/>
      </c>
      <c r="HA214" t="str">
        <f>+IFERROR(VLOOKUP(HA15,IN_Zugliste!$A$4:$D$2002,5,FALSE),"")</f>
        <v/>
      </c>
      <c r="HB214" t="str">
        <f>+IFERROR(VLOOKUP(HB15,IN_Zugliste!$A$4:$D$2002,5,FALSE),"")</f>
        <v/>
      </c>
      <c r="HC214" t="str">
        <f>+IFERROR(VLOOKUP(HC15,IN_Zugliste!$A$4:$D$2002,5,FALSE),"")</f>
        <v/>
      </c>
      <c r="HD214" t="str">
        <f>+IFERROR(VLOOKUP(HD15,IN_Zugliste!$A$4:$D$2002,5,FALSE),"")</f>
        <v/>
      </c>
      <c r="HE214" t="str">
        <f>+IFERROR(VLOOKUP(HE15,IN_Zugliste!$A$4:$D$2002,5,FALSE),"")</f>
        <v/>
      </c>
      <c r="HF214" t="str">
        <f>+IFERROR(VLOOKUP(HF15,IN_Zugliste!$A$4:$D$2002,5,FALSE),"")</f>
        <v/>
      </c>
      <c r="HG214" t="str">
        <f>+IFERROR(VLOOKUP(HG15,IN_Zugliste!$A$4:$D$2002,5,FALSE),"")</f>
        <v/>
      </c>
      <c r="HH214" t="str">
        <f>+IFERROR(VLOOKUP(HH15,IN_Zugliste!$A$4:$D$2002,5,FALSE),"")</f>
        <v/>
      </c>
    </row>
    <row r="215" spans="1:216" x14ac:dyDescent="0.2">
      <c r="A215" t="str">
        <f>+IFERROR(VLOOKUP(A16,IN_Zugliste!$A$4:$E$2002,5,FALSE),"")</f>
        <v/>
      </c>
      <c r="B215" t="str">
        <f>+IFERROR(VLOOKUP(B16,IN_Zugliste!$A$4:$E$2002,5,FALSE),"")</f>
        <v/>
      </c>
      <c r="C215" t="str">
        <f>+IFERROR(VLOOKUP(C16,IN_Zugliste!$A$4:$E$2002,5,FALSE),"")</f>
        <v/>
      </c>
      <c r="D215" t="str">
        <f>+IFERROR(VLOOKUP(D16,IN_Zugliste!$A$4:$E$2002,5,FALSE),"")</f>
        <v/>
      </c>
      <c r="E215" t="str">
        <f>+IFERROR(VLOOKUP(E16,IN_Zugliste!$A$4:$E$2002,5,FALSE),"")</f>
        <v/>
      </c>
      <c r="F215" t="str">
        <f>+IFERROR(VLOOKUP(F16,IN_Zugliste!$A$4:$E$2002,5,FALSE),"")</f>
        <v/>
      </c>
      <c r="G215" t="str">
        <f>+IFERROR(VLOOKUP(G16,IN_Zugliste!$A$4:$E$2002,5,FALSE),"")</f>
        <v/>
      </c>
      <c r="H215" t="str">
        <f>+IFERROR(VLOOKUP(H16,IN_Zugliste!$A$4:$E$2002,5,FALSE),"")</f>
        <v/>
      </c>
      <c r="I215" t="str">
        <f>+IFERROR(VLOOKUP(I16,IN_Zugliste!$A$4:$E$2002,5,FALSE),"")</f>
        <v/>
      </c>
      <c r="J215" t="str">
        <f>+IFERROR(VLOOKUP(J16,IN_Zugliste!$A$4:$E$2002,5,FALSE),"")</f>
        <v/>
      </c>
      <c r="K215" t="str">
        <f>+IFERROR(VLOOKUP(K16,IN_Zugliste!$A$4:$E$2002,5,FALSE),"")</f>
        <v/>
      </c>
      <c r="L215" t="str">
        <f>+IFERROR(VLOOKUP(L16,IN_Zugliste!$A$4:$E$2002,5,FALSE),"")</f>
        <v/>
      </c>
      <c r="M215" t="str">
        <f>+IFERROR(VLOOKUP(M16,IN_Zugliste!$A$4:$E$2002,5,FALSE),"")</f>
        <v/>
      </c>
      <c r="N215" t="str">
        <f>+IFERROR(VLOOKUP(N16,IN_Zugliste!$A$4:$E$2002,5,FALSE),"")</f>
        <v/>
      </c>
      <c r="O215" t="str">
        <f>+IFERROR(VLOOKUP(O16,IN_Zugliste!$A$4:$E$2002,5,FALSE),"")</f>
        <v/>
      </c>
      <c r="P215" t="str">
        <f>+IFERROR(VLOOKUP(P16,IN_Zugliste!$A$4:$E$2002,5,FALSE),"")</f>
        <v/>
      </c>
      <c r="Q215" t="str">
        <f>+IFERROR(VLOOKUP(Q16,IN_Zugliste!$A$4:$E$2002,5,FALSE),"")</f>
        <v/>
      </c>
      <c r="R215" t="str">
        <f>+IFERROR(VLOOKUP(R16,IN_Zugliste!$A$4:$E$2002,5,FALSE),"")</f>
        <v/>
      </c>
      <c r="S215" t="str">
        <f>+IFERROR(VLOOKUP(S16,IN_Zugliste!$A$4:$E$2002,5,FALSE),"")</f>
        <v/>
      </c>
      <c r="T215" t="str">
        <f>+IFERROR(VLOOKUP(T16,IN_Zugliste!$A$4:$E$2002,5,FALSE),"")</f>
        <v/>
      </c>
      <c r="U215" t="str">
        <f>+IFERROR(VLOOKUP(U16,IN_Zugliste!$A$4:$E$2002,5,FALSE),"")</f>
        <v/>
      </c>
      <c r="V215" t="str">
        <f>+IFERROR(VLOOKUP(V16,IN_Zugliste!$A$4:$E$2002,5,FALSE),"")</f>
        <v/>
      </c>
      <c r="W215" t="str">
        <f>+IFERROR(VLOOKUP(W16,IN_Zugliste!$A$4:$E$2002,5,FALSE),"")</f>
        <v/>
      </c>
      <c r="X215" t="str">
        <f>+IFERROR(VLOOKUP(X16,IN_Zugliste!$A$4:$E$2002,5,FALSE),"")</f>
        <v/>
      </c>
      <c r="Y215" t="str">
        <f>+IFERROR(VLOOKUP(Y16,IN_Zugliste!$A$4:$E$2002,5,FALSE),"")</f>
        <v/>
      </c>
      <c r="Z215" t="str">
        <f>+IFERROR(VLOOKUP(Z16,IN_Zugliste!$A$4:$E$2002,5,FALSE),"")</f>
        <v/>
      </c>
      <c r="AA215" t="str">
        <f>+IFERROR(VLOOKUP(AA16,IN_Zugliste!$A$4:$E$2002,5,FALSE),"")</f>
        <v/>
      </c>
      <c r="AB215" t="str">
        <f>+IFERROR(VLOOKUP(AB16,IN_Zugliste!$A$4:$E$2002,5,FALSE),"")</f>
        <v/>
      </c>
      <c r="AC215" t="str">
        <f>+IFERROR(VLOOKUP(AC16,IN_Zugliste!$A$4:$E$2002,5,FALSE),"")</f>
        <v/>
      </c>
      <c r="AD215" t="str">
        <f>+IFERROR(VLOOKUP(AD16,IN_Zugliste!$A$4:$E$2002,5,FALSE),"")</f>
        <v/>
      </c>
      <c r="AE215" t="str">
        <f>+IFERROR(VLOOKUP(AE16,IN_Zugliste!$A$4:$E$2002,5,FALSE),"")</f>
        <v/>
      </c>
      <c r="AF215" t="str">
        <f>+IFERROR(VLOOKUP(AF16,IN_Zugliste!$A$4:$E$2002,5,FALSE),"")</f>
        <v/>
      </c>
      <c r="AG215" t="str">
        <f>+IFERROR(VLOOKUP(AG16,IN_Zugliste!$A$4:$E$2002,5,FALSE),"")</f>
        <v/>
      </c>
      <c r="AH215" t="str">
        <f>+IFERROR(VLOOKUP(AH16,IN_Zugliste!$A$4:$E$2002,5,FALSE),"")</f>
        <v/>
      </c>
      <c r="AI215" t="str">
        <f>+IFERROR(VLOOKUP(AI16,IN_Zugliste!$A$4:$E$2002,5,FALSE),"")</f>
        <v/>
      </c>
      <c r="AJ215" t="str">
        <f>+IFERROR(VLOOKUP(AJ16,IN_Zugliste!$A$4:$E$2002,5,FALSE),"")</f>
        <v/>
      </c>
      <c r="AK215" t="str">
        <f>+IFERROR(VLOOKUP(AK16,IN_Zugliste!$A$4:$E$2002,5,FALSE),"")</f>
        <v/>
      </c>
      <c r="AL215" t="str">
        <f>+IFERROR(VLOOKUP(AL16,IN_Zugliste!$A$4:$E$2002,5,FALSE),"")</f>
        <v/>
      </c>
      <c r="AM215" t="str">
        <f>+IFERROR(VLOOKUP(AM16,IN_Zugliste!$A$4:$E$2002,5,FALSE),"")</f>
        <v/>
      </c>
      <c r="AN215" t="str">
        <f>+IFERROR(VLOOKUP(AN16,IN_Zugliste!$A$4:$E$2002,5,FALSE),"")</f>
        <v/>
      </c>
      <c r="AO215" t="str">
        <f>+IFERROR(VLOOKUP(AO16,IN_Zugliste!$A$4:$E$2002,5,FALSE),"")</f>
        <v/>
      </c>
      <c r="AP215" t="str">
        <f>+IFERROR(VLOOKUP(AP16,IN_Zugliste!$A$4:$E$2002,5,FALSE),"")</f>
        <v/>
      </c>
      <c r="AQ215" t="str">
        <f>+IFERROR(VLOOKUP(AQ16,IN_Zugliste!$A$4:$E$2002,5,FALSE),"")</f>
        <v/>
      </c>
      <c r="AR215" t="str">
        <f>+IFERROR(VLOOKUP(AR16,IN_Zugliste!$A$4:$E$2002,5,FALSE),"")</f>
        <v/>
      </c>
      <c r="AS215" t="str">
        <f>+IFERROR(VLOOKUP(AS16,IN_Zugliste!$A$4:$E$2002,5,FALSE),"")</f>
        <v/>
      </c>
      <c r="AT215" t="str">
        <f>+IFERROR(VLOOKUP(AT16,IN_Zugliste!$A$4:$E$2002,5,FALSE),"")</f>
        <v/>
      </c>
      <c r="AU215" t="str">
        <f>+IFERROR(VLOOKUP(AU16,IN_Zugliste!$A$4:$E$2002,5,FALSE),"")</f>
        <v/>
      </c>
      <c r="AV215" t="str">
        <f>+IFERROR(VLOOKUP(AV16,IN_Zugliste!$A$4:$E$2002,5,FALSE),"")</f>
        <v/>
      </c>
      <c r="AW215" t="str">
        <f>+IFERROR(VLOOKUP(AW16,IN_Zugliste!$A$4:$E$2002,5,FALSE),"")</f>
        <v/>
      </c>
      <c r="AX215" t="str">
        <f>+IFERROR(VLOOKUP(AX16,IN_Zugliste!$A$4:$E$2002,5,FALSE),"")</f>
        <v/>
      </c>
      <c r="AY215" t="str">
        <f>+IFERROR(VLOOKUP(AY16,IN_Zugliste!$A$4:$E$2002,5,FALSE),"")</f>
        <v/>
      </c>
      <c r="AZ215" t="str">
        <f>+IFERROR(VLOOKUP(AZ16,IN_Zugliste!$A$4:$E$2002,5,FALSE),"")</f>
        <v/>
      </c>
      <c r="BA215" t="str">
        <f>+IFERROR(VLOOKUP(BA16,IN_Zugliste!$A$4:$E$2002,5,FALSE),"")</f>
        <v/>
      </c>
      <c r="BB215" t="str">
        <f>+IFERROR(VLOOKUP(BB16,IN_Zugliste!$A$4:$E$2002,5,FALSE),"")</f>
        <v/>
      </c>
      <c r="BC215" t="str">
        <f>+IFERROR(VLOOKUP(BC16,IN_Zugliste!$A$4:$E$2002,5,FALSE),"")</f>
        <v/>
      </c>
      <c r="BD215" t="str">
        <f>+IFERROR(VLOOKUP(BD16,IN_Zugliste!$A$4:$E$2002,5,FALSE),"")</f>
        <v/>
      </c>
      <c r="BE215" t="str">
        <f>+IFERROR(VLOOKUP(BE16,IN_Zugliste!$A$4:$E$2002,5,FALSE),"")</f>
        <v/>
      </c>
      <c r="BF215" t="str">
        <f>+IFERROR(VLOOKUP(BF16,IN_Zugliste!$A$4:$E$2002,5,FALSE),"")</f>
        <v/>
      </c>
      <c r="BG215" t="str">
        <f>+IFERROR(VLOOKUP(BG16,IN_Zugliste!$A$4:$E$2002,5,FALSE),"")</f>
        <v/>
      </c>
      <c r="BH215" t="str">
        <f>+IFERROR(VLOOKUP(BH16,IN_Zugliste!$A$4:$E$2002,5,FALSE),"")</f>
        <v/>
      </c>
      <c r="BI215" t="str">
        <f>+IFERROR(VLOOKUP(BI16,IN_Zugliste!$A$4:$E$2002,5,FALSE),"")</f>
        <v/>
      </c>
      <c r="BJ215" t="str">
        <f>+IFERROR(VLOOKUP(BJ16,IN_Zugliste!$A$4:$E$2002,5,FALSE),"")</f>
        <v/>
      </c>
      <c r="BK215" t="str">
        <f>+IFERROR(VLOOKUP(BK16,IN_Zugliste!$A$4:$E$2002,5,FALSE),"")</f>
        <v/>
      </c>
      <c r="BL215" t="str">
        <f>+IFERROR(VLOOKUP(BL16,IN_Zugliste!$A$4:$E$2002,5,FALSE),"")</f>
        <v/>
      </c>
      <c r="BM215" t="str">
        <f>+IFERROR(VLOOKUP(BM16,IN_Zugliste!$A$4:$E$2002,5,FALSE),"")</f>
        <v/>
      </c>
      <c r="BN215" t="str">
        <f>+IFERROR(VLOOKUP(BN16,IN_Zugliste!$A$4:$E$2002,5,FALSE),"")</f>
        <v/>
      </c>
      <c r="BO215" t="str">
        <f>+IFERROR(VLOOKUP(BO16,IN_Zugliste!$A$4:$E$2002,5,FALSE),"")</f>
        <v/>
      </c>
      <c r="BP215" t="str">
        <f>+IFERROR(VLOOKUP(BP16,IN_Zugliste!$A$4:$E$2002,5,FALSE),"")</f>
        <v/>
      </c>
      <c r="BQ215" t="str">
        <f>+IFERROR(VLOOKUP(BQ16,IN_Zugliste!$A$4:$E$2002,5,FALSE),"")</f>
        <v/>
      </c>
      <c r="BR215" t="str">
        <f>+IFERROR(VLOOKUP(BR16,IN_Zugliste!$A$4:$E$2002,5,FALSE),"")</f>
        <v/>
      </c>
      <c r="BS215" t="str">
        <f>+IFERROR(VLOOKUP(BS16,IN_Zugliste!$A$4:$E$2002,5,FALSE),"")</f>
        <v/>
      </c>
      <c r="BT215" t="str">
        <f>+IFERROR(VLOOKUP(BT16,IN_Zugliste!$A$4:$E$2002,5,FALSE),"")</f>
        <v/>
      </c>
      <c r="BU215" t="str">
        <f>+IFERROR(VLOOKUP(BU16,IN_Zugliste!$A$4:$E$2002,5,FALSE),"")</f>
        <v/>
      </c>
      <c r="BV215" t="str">
        <f>+IFERROR(VLOOKUP(BV16,IN_Zugliste!$A$4:$E$2002,5,FALSE),"")</f>
        <v/>
      </c>
      <c r="BW215" t="str">
        <f>+IFERROR(VLOOKUP(BW16,IN_Zugliste!$A$4:$E$2002,5,FALSE),"")</f>
        <v/>
      </c>
      <c r="BX215" t="str">
        <f>+IFERROR(VLOOKUP(BX16,IN_Zugliste!$A$4:$E$2002,5,FALSE),"")</f>
        <v/>
      </c>
      <c r="BY215" t="str">
        <f>+IFERROR(VLOOKUP(BY16,IN_Zugliste!$A$4:$E$2002,5,FALSE),"")</f>
        <v/>
      </c>
      <c r="BZ215" t="str">
        <f>+IFERROR(VLOOKUP(BZ16,IN_Zugliste!$A$4:$E$2002,5,FALSE),"")</f>
        <v/>
      </c>
      <c r="CA215" t="str">
        <f>+IFERROR(VLOOKUP(CA16,IN_Zugliste!$A$4:$E$2002,5,FALSE),"")</f>
        <v/>
      </c>
      <c r="CB215" t="str">
        <f>+IFERROR(VLOOKUP(CB16,IN_Zugliste!$A$4:$E$2002,5,FALSE),"")</f>
        <v/>
      </c>
      <c r="CC215" t="str">
        <f>+IFERROR(VLOOKUP(CC16,IN_Zugliste!$A$4:$E$2002,5,FALSE),"")</f>
        <v/>
      </c>
      <c r="CD215" t="str">
        <f>+IFERROR(VLOOKUP(CD16,IN_Zugliste!$A$4:$E$2002,5,FALSE),"")</f>
        <v/>
      </c>
      <c r="CE215" t="str">
        <f>+IFERROR(VLOOKUP(CE16,IN_Zugliste!$A$4:$E$2002,5,FALSE),"")</f>
        <v/>
      </c>
      <c r="CF215" t="str">
        <f>+IFERROR(VLOOKUP(CF16,IN_Zugliste!$A$4:$E$2002,5,FALSE),"")</f>
        <v/>
      </c>
      <c r="CG215" t="str">
        <f>+IFERROR(VLOOKUP(CG16,IN_Zugliste!$A$4:$E$2002,5,FALSE),"")</f>
        <v/>
      </c>
      <c r="CH215" t="str">
        <f>+IFERROR(VLOOKUP(CH16,IN_Zugliste!$A$4:$E$2002,5,FALSE),"")</f>
        <v/>
      </c>
      <c r="CI215" t="str">
        <f>+IFERROR(VLOOKUP(CI16,IN_Zugliste!$A$4:$E$2002,5,FALSE),"")</f>
        <v/>
      </c>
      <c r="CJ215" t="str">
        <f>+IFERROR(VLOOKUP(CJ16,IN_Zugliste!$A$4:$E$2002,5,FALSE),"")</f>
        <v/>
      </c>
      <c r="CK215" t="str">
        <f>+IFERROR(VLOOKUP(CK16,IN_Zugliste!$A$4:$E$2002,5,FALSE),"")</f>
        <v/>
      </c>
      <c r="CL215" t="str">
        <f>+IFERROR(VLOOKUP(CL16,IN_Zugliste!$A$4:$E$2002,5,FALSE),"")</f>
        <v/>
      </c>
      <c r="CM215" t="str">
        <f>+IFERROR(VLOOKUP(CM16,IN_Zugliste!$A$4:$E$2002,5,FALSE),"")</f>
        <v/>
      </c>
      <c r="CN215" t="str">
        <f>+IFERROR(VLOOKUP(CN16,IN_Zugliste!$A$4:$E$2002,5,FALSE),"")</f>
        <v/>
      </c>
      <c r="CO215" t="str">
        <f>+IFERROR(VLOOKUP(CO16,IN_Zugliste!$A$4:$E$2002,5,FALSE),"")</f>
        <v/>
      </c>
      <c r="CP215" t="str">
        <f>+IFERROR(VLOOKUP(CP16,IN_Zugliste!$A$4:$E$2002,5,FALSE),"")</f>
        <v/>
      </c>
      <c r="CQ215" t="str">
        <f>+IFERROR(VLOOKUP(CQ16,IN_Zugliste!$A$4:$E$2002,5,FALSE),"")</f>
        <v/>
      </c>
      <c r="CR215" t="str">
        <f>+IFERROR(VLOOKUP(CR16,IN_Zugliste!$A$4:$E$2002,5,FALSE),"")</f>
        <v/>
      </c>
      <c r="CS215" t="str">
        <f>+IFERROR(VLOOKUP(CS16,IN_Zugliste!$A$4:$E$2002,5,FALSE),"")</f>
        <v/>
      </c>
      <c r="CT215" t="str">
        <f>+IFERROR(VLOOKUP(CT16,IN_Zugliste!$A$4:$E$2002,5,FALSE),"")</f>
        <v/>
      </c>
      <c r="CU215" t="str">
        <f>+IFERROR(VLOOKUP(CU16,IN_Zugliste!$A$4:$E$2002,5,FALSE),"")</f>
        <v/>
      </c>
      <c r="CV215" t="str">
        <f>+IFERROR(VLOOKUP(CV16,IN_Zugliste!$A$4:$E$2002,5,FALSE),"")</f>
        <v/>
      </c>
      <c r="CW215" t="str">
        <f>+IFERROR(VLOOKUP(CW16,IN_Zugliste!$A$4:$E$2002,5,FALSE),"")</f>
        <v/>
      </c>
      <c r="CX215" t="str">
        <f>+IFERROR(VLOOKUP(CX16,IN_Zugliste!$A$4:$E$2002,5,FALSE),"")</f>
        <v/>
      </c>
      <c r="CY215" t="str">
        <f>+IFERROR(VLOOKUP(CY16,IN_Zugliste!$A$4:$E$2002,5,FALSE),"")</f>
        <v/>
      </c>
      <c r="CZ215" t="str">
        <f>+IFERROR(VLOOKUP(CZ16,IN_Zugliste!$A$4:$E$2002,5,FALSE),"")</f>
        <v/>
      </c>
      <c r="DA215" t="str">
        <f>+IFERROR(VLOOKUP(DA16,IN_Zugliste!$A$4:$E$2002,5,FALSE),"")</f>
        <v/>
      </c>
      <c r="DB215" t="str">
        <f>+IFERROR(VLOOKUP(DB16,IN_Zugliste!$A$4:$E$2002,5,FALSE),"")</f>
        <v/>
      </c>
      <c r="DC215" t="str">
        <f>+IFERROR(VLOOKUP(DC16,IN_Zugliste!$A$4:$E$2002,5,FALSE),"")</f>
        <v/>
      </c>
      <c r="DD215" t="str">
        <f>+IFERROR(VLOOKUP(DD16,IN_Zugliste!$A$4:$E$2002,5,FALSE),"")</f>
        <v/>
      </c>
      <c r="DE215" t="str">
        <f>+IFERROR(VLOOKUP(DE16,IN_Zugliste!$A$4:$E$2002,5,FALSE),"")</f>
        <v/>
      </c>
      <c r="DF215" t="str">
        <f>+IFERROR(VLOOKUP(DF16,IN_Zugliste!$A$4:$E$2002,5,FALSE),"")</f>
        <v/>
      </c>
      <c r="DG215" t="str">
        <f>+IFERROR(VLOOKUP(DG16,IN_Zugliste!$A$4:$E$2002,5,FALSE),"")</f>
        <v/>
      </c>
      <c r="DH215" t="str">
        <f>+IFERROR(VLOOKUP(DH16,IN_Zugliste!$A$4:$E$2002,5,FALSE),"")</f>
        <v/>
      </c>
      <c r="DI215" t="str">
        <f>+IFERROR(VLOOKUP(DI16,IN_Zugliste!$A$4:$E$2002,5,FALSE),"")</f>
        <v/>
      </c>
      <c r="DJ215" t="str">
        <f>+IFERROR(VLOOKUP(DJ16,IN_Zugliste!$A$4:$E$2002,5,FALSE),"")</f>
        <v/>
      </c>
      <c r="DK215" t="str">
        <f>+IFERROR(VLOOKUP(DK16,IN_Zugliste!$A$4:$E$2002,5,FALSE),"")</f>
        <v/>
      </c>
      <c r="DL215" t="str">
        <f>+IFERROR(VLOOKUP(DL16,IN_Zugliste!$A$4:$E$2002,5,FALSE),"")</f>
        <v/>
      </c>
      <c r="DM215" t="str">
        <f>+IFERROR(VLOOKUP(DM16,IN_Zugliste!$A$4:$E$2002,5,FALSE),"")</f>
        <v/>
      </c>
      <c r="DN215" t="str">
        <f>+IFERROR(VLOOKUP(DN16,IN_Zugliste!$A$4:$E$2002,5,FALSE),"")</f>
        <v/>
      </c>
      <c r="DO215" t="str">
        <f>+IFERROR(VLOOKUP(DO16,IN_Zugliste!$A$4:$E$2002,5,FALSE),"")</f>
        <v/>
      </c>
      <c r="DP215" t="str">
        <f>+IFERROR(VLOOKUP(DP16,IN_Zugliste!$A$4:$E$2002,5,FALSE),"")</f>
        <v/>
      </c>
      <c r="DQ215" t="str">
        <f>+IFERROR(VLOOKUP(DQ16,IN_Zugliste!$A$4:$E$2002,5,FALSE),"")</f>
        <v/>
      </c>
      <c r="DR215" t="str">
        <f>+IFERROR(VLOOKUP(DR16,IN_Zugliste!$A$4:$E$2002,5,FALSE),"")</f>
        <v/>
      </c>
      <c r="DS215" t="str">
        <f>+IFERROR(VLOOKUP(DS16,IN_Zugliste!$A$4:$E$2002,5,FALSE),"")</f>
        <v/>
      </c>
      <c r="DT215" t="str">
        <f>+IFERROR(VLOOKUP(DT16,IN_Zugliste!$A$4:$E$2002,5,FALSE),"")</f>
        <v/>
      </c>
      <c r="DU215" t="str">
        <f>+IFERROR(VLOOKUP(DU16,IN_Zugliste!$A$4:$E$2002,5,FALSE),"")</f>
        <v/>
      </c>
      <c r="DV215" t="str">
        <f>+IFERROR(VLOOKUP(DV16,IN_Zugliste!$A$4:$E$2002,5,FALSE),"")</f>
        <v/>
      </c>
      <c r="DW215" t="str">
        <f>+IFERROR(VLOOKUP(DW16,IN_Zugliste!$A$4:$E$2002,5,FALSE),"")</f>
        <v/>
      </c>
      <c r="DX215" t="str">
        <f>+IFERROR(VLOOKUP(DX16,IN_Zugliste!$A$4:$E$2002,5,FALSE),"")</f>
        <v/>
      </c>
      <c r="DY215" t="str">
        <f>+IFERROR(VLOOKUP(DY16,IN_Zugliste!$A$4:$E$2002,5,FALSE),"")</f>
        <v/>
      </c>
      <c r="DZ215" t="str">
        <f>+IFERROR(VLOOKUP(DZ16,IN_Zugliste!$A$4:$E$2002,5,FALSE),"")</f>
        <v/>
      </c>
      <c r="EA215" t="str">
        <f>+IFERROR(VLOOKUP(EA16,IN_Zugliste!$A$4:$E$2002,5,FALSE),"")</f>
        <v/>
      </c>
      <c r="EB215" t="str">
        <f>+IFERROR(VLOOKUP(EB16,IN_Zugliste!$A$4:$E$2002,5,FALSE),"")</f>
        <v/>
      </c>
      <c r="EC215" t="str">
        <f>+IFERROR(VLOOKUP(EC16,IN_Zugliste!$A$4:$E$2002,5,FALSE),"")</f>
        <v/>
      </c>
      <c r="ED215" t="str">
        <f>+IFERROR(VLOOKUP(ED16,IN_Zugliste!$A$4:$E$2002,5,FALSE),"")</f>
        <v/>
      </c>
      <c r="EE215" t="str">
        <f>+IFERROR(VLOOKUP(EE16,IN_Zugliste!$A$4:$E$2002,5,FALSE),"")</f>
        <v/>
      </c>
      <c r="EF215" t="str">
        <f>+IFERROR(VLOOKUP(EF16,IN_Zugliste!$A$4:$E$2002,5,FALSE),"")</f>
        <v/>
      </c>
      <c r="EG215" t="str">
        <f>+IFERROR(VLOOKUP(EG16,IN_Zugliste!$A$4:$E$2002,5,FALSE),"")</f>
        <v/>
      </c>
      <c r="EH215" t="str">
        <f>+IFERROR(VLOOKUP(EH16,IN_Zugliste!$A$4:$E$2002,5,FALSE),"")</f>
        <v/>
      </c>
      <c r="EI215" t="str">
        <f>+IFERROR(VLOOKUP(EI16,IN_Zugliste!$A$4:$E$2002,5,FALSE),"")</f>
        <v/>
      </c>
      <c r="EJ215" t="str">
        <f>+IFERROR(VLOOKUP(EJ16,IN_Zugliste!$A$4:$E$2002,5,FALSE),"")</f>
        <v/>
      </c>
      <c r="EK215" t="str">
        <f>+IFERROR(VLOOKUP(EK16,IN_Zugliste!$A$4:$E$2002,5,FALSE),"")</f>
        <v/>
      </c>
      <c r="EL215" t="str">
        <f>+IFERROR(VLOOKUP(EL16,IN_Zugliste!$A$4:$E$2002,5,FALSE),"")</f>
        <v/>
      </c>
      <c r="EM215" t="str">
        <f>+IFERROR(VLOOKUP(EM16,IN_Zugliste!$A$4:$E$2002,5,FALSE),"")</f>
        <v/>
      </c>
      <c r="EN215" t="str">
        <f>+IFERROR(VLOOKUP(EN16,IN_Zugliste!$A$4:$E$2002,5,FALSE),"")</f>
        <v/>
      </c>
      <c r="EO215" t="str">
        <f>+IFERROR(VLOOKUP(EO16,IN_Zugliste!$A$4:$E$2002,5,FALSE),"")</f>
        <v/>
      </c>
      <c r="EP215" t="str">
        <f>+IFERROR(VLOOKUP(EP16,IN_Zugliste!$A$4:$E$2002,5,FALSE),"")</f>
        <v/>
      </c>
      <c r="EQ215" t="str">
        <f>+IFERROR(VLOOKUP(EQ16,IN_Zugliste!$A$4:$E$2002,5,FALSE),"")</f>
        <v/>
      </c>
      <c r="ER215" t="str">
        <f>+IFERROR(VLOOKUP(ER16,IN_Zugliste!$A$4:$E$2002,5,FALSE),"")</f>
        <v/>
      </c>
      <c r="ES215" t="str">
        <f>+IFERROR(VLOOKUP(ES16,IN_Zugliste!$A$4:$E$2002,5,FALSE),"")</f>
        <v/>
      </c>
      <c r="ET215" t="str">
        <f>+IFERROR(VLOOKUP(ET16,IN_Zugliste!$A$4:$E$2002,5,FALSE),"")</f>
        <v/>
      </c>
      <c r="EU215" t="str">
        <f>+IFERROR(VLOOKUP(EU16,IN_Zugliste!$A$4:$E$2002,5,FALSE),"")</f>
        <v/>
      </c>
      <c r="EV215" t="str">
        <f>+IFERROR(VLOOKUP(EV16,IN_Zugliste!$A$4:$E$2002,5,FALSE),"")</f>
        <v/>
      </c>
      <c r="EW215" t="str">
        <f>+IFERROR(VLOOKUP(EW16,IN_Zugliste!$A$4:$E$2002,5,FALSE),"")</f>
        <v/>
      </c>
      <c r="EX215" t="str">
        <f>+IFERROR(VLOOKUP(EX16,IN_Zugliste!$A$4:$E$2002,5,FALSE),"")</f>
        <v/>
      </c>
      <c r="EY215" t="str">
        <f>+IFERROR(VLOOKUP(EY16,IN_Zugliste!$A$4:$E$2002,5,FALSE),"")</f>
        <v/>
      </c>
      <c r="EZ215" t="str">
        <f>+IFERROR(VLOOKUP(EZ16,IN_Zugliste!$A$4:$E$2002,5,FALSE),"")</f>
        <v/>
      </c>
      <c r="FA215" t="str">
        <f>+IFERROR(VLOOKUP(FA16,IN_Zugliste!$A$4:$E$2002,5,FALSE),"")</f>
        <v/>
      </c>
      <c r="FB215" t="str">
        <f>+IFERROR(VLOOKUP(FB16,IN_Zugliste!$A$4:$E$2002,5,FALSE),"")</f>
        <v/>
      </c>
      <c r="FC215" t="str">
        <f>+IFERROR(VLOOKUP(FC16,IN_Zugliste!$A$4:$E$2002,5,FALSE),"")</f>
        <v/>
      </c>
      <c r="FD215" t="str">
        <f>+IFERROR(VLOOKUP(FD16,IN_Zugliste!$A$4:$E$2002,5,FALSE),"")</f>
        <v/>
      </c>
      <c r="FE215" t="str">
        <f>+IFERROR(VLOOKUP(FE16,IN_Zugliste!$A$4:$E$2002,5,FALSE),"")</f>
        <v/>
      </c>
      <c r="FF215" t="str">
        <f>+IFERROR(VLOOKUP(FF16,IN_Zugliste!$A$4:$E$2002,5,FALSE),"")</f>
        <v/>
      </c>
      <c r="FG215" t="str">
        <f>+IFERROR(VLOOKUP(FG16,IN_Zugliste!$A$4:$E$2002,5,FALSE),"")</f>
        <v/>
      </c>
      <c r="FH215" t="str">
        <f>+IFERROR(VLOOKUP(FH16,IN_Zugliste!$A$4:$E$2002,5,FALSE),"")</f>
        <v/>
      </c>
      <c r="FI215" t="str">
        <f>+IFERROR(VLOOKUP(FI16,IN_Zugliste!$A$4:$E$2002,5,FALSE),"")</f>
        <v/>
      </c>
      <c r="FJ215" t="str">
        <f>+IFERROR(VLOOKUP(FJ16,IN_Zugliste!$A$4:$E$2002,5,FALSE),"")</f>
        <v/>
      </c>
      <c r="FK215" t="str">
        <f>+IFERROR(VLOOKUP(FK16,IN_Zugliste!$A$4:$E$2002,5,FALSE),"")</f>
        <v/>
      </c>
      <c r="FL215" t="str">
        <f>+IFERROR(VLOOKUP(FL16,IN_Zugliste!$A$4:$E$2002,5,FALSE),"")</f>
        <v/>
      </c>
      <c r="FM215" t="str">
        <f>+IFERROR(VLOOKUP(FM16,IN_Zugliste!$A$4:$D$2002,5,FALSE),"")</f>
        <v/>
      </c>
      <c r="FN215" t="str">
        <f>+IFERROR(VLOOKUP(FN16,IN_Zugliste!$A$4:$D$2002,5,FALSE),"")</f>
        <v/>
      </c>
      <c r="FO215" t="str">
        <f>+IFERROR(VLOOKUP(FO16,IN_Zugliste!$A$4:$D$2002,5,FALSE),"")</f>
        <v/>
      </c>
      <c r="FP215" t="str">
        <f>+IFERROR(VLOOKUP(FP16,IN_Zugliste!$A$4:$D$2002,5,FALSE),"")</f>
        <v/>
      </c>
      <c r="FQ215" t="str">
        <f>+IFERROR(VLOOKUP(FQ16,IN_Zugliste!$A$4:$D$2002,5,FALSE),"")</f>
        <v/>
      </c>
      <c r="FR215" t="str">
        <f>+IFERROR(VLOOKUP(FR16,IN_Zugliste!$A$4:$D$2002,5,FALSE),"")</f>
        <v/>
      </c>
      <c r="FS215" t="str">
        <f>+IFERROR(VLOOKUP(FS16,IN_Zugliste!$A$4:$D$2002,5,FALSE),"")</f>
        <v/>
      </c>
      <c r="FT215" t="str">
        <f>+IFERROR(VLOOKUP(FT16,IN_Zugliste!$A$4:$D$2002,5,FALSE),"")</f>
        <v/>
      </c>
      <c r="FU215" t="str">
        <f>+IFERROR(VLOOKUP(FU16,IN_Zugliste!$A$4:$D$2002,5,FALSE),"")</f>
        <v/>
      </c>
      <c r="FV215" t="str">
        <f>+IFERROR(VLOOKUP(FV16,IN_Zugliste!$A$4:$D$2002,5,FALSE),"")</f>
        <v/>
      </c>
      <c r="FW215" t="str">
        <f>+IFERROR(VLOOKUP(FW16,IN_Zugliste!$A$4:$D$2002,5,FALSE),"")</f>
        <v/>
      </c>
      <c r="FX215" t="str">
        <f>+IFERROR(VLOOKUP(FX16,IN_Zugliste!$A$4:$D$2002,5,FALSE),"")</f>
        <v/>
      </c>
      <c r="FY215" t="str">
        <f>+IFERROR(VLOOKUP(FY16,IN_Zugliste!$A$4:$D$2002,5,FALSE),"")</f>
        <v/>
      </c>
      <c r="FZ215" t="str">
        <f>+IFERROR(VLOOKUP(FZ16,IN_Zugliste!$A$4:$D$2002,5,FALSE),"")</f>
        <v/>
      </c>
      <c r="GA215" t="str">
        <f>+IFERROR(VLOOKUP(GA16,IN_Zugliste!$A$4:$D$2002,5,FALSE),"")</f>
        <v/>
      </c>
      <c r="GB215" t="str">
        <f>+IFERROR(VLOOKUP(GB16,IN_Zugliste!$A$4:$D$2002,5,FALSE),"")</f>
        <v/>
      </c>
      <c r="GC215" t="str">
        <f>+IFERROR(VLOOKUP(GC16,IN_Zugliste!$A$4:$D$2002,5,FALSE),"")</f>
        <v/>
      </c>
      <c r="GD215" t="str">
        <f>+IFERROR(VLOOKUP(GD16,IN_Zugliste!$A$4:$D$2002,5,FALSE),"")</f>
        <v/>
      </c>
      <c r="GE215" t="str">
        <f>+IFERROR(VLOOKUP(GE16,IN_Zugliste!$A$4:$D$2002,5,FALSE),"")</f>
        <v/>
      </c>
      <c r="GF215" t="str">
        <f>+IFERROR(VLOOKUP(GF16,IN_Zugliste!$A$4:$D$2002,5,FALSE),"")</f>
        <v/>
      </c>
      <c r="GG215" t="str">
        <f>+IFERROR(VLOOKUP(GG16,IN_Zugliste!$A$4:$D$2002,5,FALSE),"")</f>
        <v/>
      </c>
      <c r="GH215" t="str">
        <f>+IFERROR(VLOOKUP(GH16,IN_Zugliste!$A$4:$D$2002,5,FALSE),"")</f>
        <v/>
      </c>
      <c r="GI215" t="str">
        <f>+IFERROR(VLOOKUP(GI16,IN_Zugliste!$A$4:$D$2002,5,FALSE),"")</f>
        <v/>
      </c>
      <c r="GJ215" t="str">
        <f>+IFERROR(VLOOKUP(GJ16,IN_Zugliste!$A$4:$D$2002,5,FALSE),"")</f>
        <v/>
      </c>
      <c r="GK215" t="str">
        <f>+IFERROR(VLOOKUP(GK16,IN_Zugliste!$A$4:$D$2002,5,FALSE),"")</f>
        <v/>
      </c>
      <c r="GL215" t="str">
        <f>+IFERROR(VLOOKUP(GL16,IN_Zugliste!$A$4:$D$2002,5,FALSE),"")</f>
        <v/>
      </c>
      <c r="GM215" t="str">
        <f>+IFERROR(VLOOKUP(GM16,IN_Zugliste!$A$4:$D$2002,5,FALSE),"")</f>
        <v/>
      </c>
      <c r="GN215" t="str">
        <f>+IFERROR(VLOOKUP(GN16,IN_Zugliste!$A$4:$D$2002,5,FALSE),"")</f>
        <v/>
      </c>
      <c r="GO215" t="str">
        <f>+IFERROR(VLOOKUP(GO16,IN_Zugliste!$A$4:$D$2002,5,FALSE),"")</f>
        <v/>
      </c>
      <c r="GP215" t="str">
        <f>+IFERROR(VLOOKUP(GP16,IN_Zugliste!$A$4:$D$2002,5,FALSE),"")</f>
        <v/>
      </c>
      <c r="GQ215" t="str">
        <f>+IFERROR(VLOOKUP(GQ16,IN_Zugliste!$A$4:$D$2002,5,FALSE),"")</f>
        <v/>
      </c>
      <c r="GR215" t="str">
        <f>+IFERROR(VLOOKUP(GR16,IN_Zugliste!$A$4:$D$2002,5,FALSE),"")</f>
        <v/>
      </c>
      <c r="GS215" t="str">
        <f>+IFERROR(VLOOKUP(GS16,IN_Zugliste!$A$4:$D$2002,5,FALSE),"")</f>
        <v/>
      </c>
      <c r="GT215" t="str">
        <f>+IFERROR(VLOOKUP(GT16,IN_Zugliste!$A$4:$D$2002,5,FALSE),"")</f>
        <v/>
      </c>
      <c r="GU215" t="str">
        <f>+IFERROR(VLOOKUP(GU16,IN_Zugliste!$A$4:$D$2002,5,FALSE),"")</f>
        <v/>
      </c>
      <c r="GV215" t="str">
        <f>+IFERROR(VLOOKUP(GV16,IN_Zugliste!$A$4:$D$2002,5,FALSE),"")</f>
        <v/>
      </c>
      <c r="GW215" t="str">
        <f>+IFERROR(VLOOKUP(GW16,IN_Zugliste!$A$4:$D$2002,5,FALSE),"")</f>
        <v/>
      </c>
      <c r="GX215" t="str">
        <f>+IFERROR(VLOOKUP(GX16,IN_Zugliste!$A$4:$D$2002,5,FALSE),"")</f>
        <v/>
      </c>
      <c r="GY215" t="str">
        <f>+IFERROR(VLOOKUP(GY16,IN_Zugliste!$A$4:$D$2002,5,FALSE),"")</f>
        <v/>
      </c>
      <c r="GZ215" t="str">
        <f>+IFERROR(VLOOKUP(GZ16,IN_Zugliste!$A$4:$D$2002,5,FALSE),"")</f>
        <v/>
      </c>
      <c r="HA215" t="str">
        <f>+IFERROR(VLOOKUP(HA16,IN_Zugliste!$A$4:$D$2002,5,FALSE),"")</f>
        <v/>
      </c>
      <c r="HB215" t="str">
        <f>+IFERROR(VLOOKUP(HB16,IN_Zugliste!$A$4:$D$2002,5,FALSE),"")</f>
        <v/>
      </c>
      <c r="HC215" t="str">
        <f>+IFERROR(VLOOKUP(HC16,IN_Zugliste!$A$4:$D$2002,5,FALSE),"")</f>
        <v/>
      </c>
      <c r="HD215" t="str">
        <f>+IFERROR(VLOOKUP(HD16,IN_Zugliste!$A$4:$D$2002,5,FALSE),"")</f>
        <v/>
      </c>
      <c r="HE215" t="str">
        <f>+IFERROR(VLOOKUP(HE16,IN_Zugliste!$A$4:$D$2002,5,FALSE),"")</f>
        <v/>
      </c>
      <c r="HF215" t="str">
        <f>+IFERROR(VLOOKUP(HF16,IN_Zugliste!$A$4:$D$2002,5,FALSE),"")</f>
        <v/>
      </c>
      <c r="HG215" t="str">
        <f>+IFERROR(VLOOKUP(HG16,IN_Zugliste!$A$4:$D$2002,5,FALSE),"")</f>
        <v/>
      </c>
      <c r="HH215" t="str">
        <f>+IFERROR(VLOOKUP(HH16,IN_Zugliste!$A$4:$D$2002,5,FALSE),"")</f>
        <v/>
      </c>
    </row>
    <row r="216" spans="1:216" x14ac:dyDescent="0.2">
      <c r="A216" t="str">
        <f>+IFERROR(VLOOKUP(A17,IN_Zugliste!$A$4:$E$2002,5,FALSE),"")</f>
        <v/>
      </c>
      <c r="B216" t="str">
        <f>+IFERROR(VLOOKUP(B17,IN_Zugliste!$A$4:$E$2002,5,FALSE),"")</f>
        <v/>
      </c>
      <c r="C216" t="str">
        <f>+IFERROR(VLOOKUP(C17,IN_Zugliste!$A$4:$E$2002,5,FALSE),"")</f>
        <v/>
      </c>
      <c r="D216" t="str">
        <f>+IFERROR(VLOOKUP(D17,IN_Zugliste!$A$4:$E$2002,5,FALSE),"")</f>
        <v/>
      </c>
      <c r="E216" t="str">
        <f>+IFERROR(VLOOKUP(E17,IN_Zugliste!$A$4:$E$2002,5,FALSE),"")</f>
        <v/>
      </c>
      <c r="F216" t="str">
        <f>+IFERROR(VLOOKUP(F17,IN_Zugliste!$A$4:$E$2002,5,FALSE),"")</f>
        <v/>
      </c>
      <c r="G216" t="str">
        <f>+IFERROR(VLOOKUP(G17,IN_Zugliste!$A$4:$E$2002,5,FALSE),"")</f>
        <v/>
      </c>
      <c r="H216" t="str">
        <f>+IFERROR(VLOOKUP(H17,IN_Zugliste!$A$4:$E$2002,5,FALSE),"")</f>
        <v/>
      </c>
      <c r="I216" t="str">
        <f>+IFERROR(VLOOKUP(I17,IN_Zugliste!$A$4:$E$2002,5,FALSE),"")</f>
        <v/>
      </c>
      <c r="J216" t="str">
        <f>+IFERROR(VLOOKUP(J17,IN_Zugliste!$A$4:$E$2002,5,FALSE),"")</f>
        <v/>
      </c>
      <c r="K216" t="str">
        <f>+IFERROR(VLOOKUP(K17,IN_Zugliste!$A$4:$E$2002,5,FALSE),"")</f>
        <v/>
      </c>
      <c r="L216" t="str">
        <f>+IFERROR(VLOOKUP(L17,IN_Zugliste!$A$4:$E$2002,5,FALSE),"")</f>
        <v/>
      </c>
      <c r="M216" t="str">
        <f>+IFERROR(VLOOKUP(M17,IN_Zugliste!$A$4:$E$2002,5,FALSE),"")</f>
        <v/>
      </c>
      <c r="N216" t="str">
        <f>+IFERROR(VLOOKUP(N17,IN_Zugliste!$A$4:$E$2002,5,FALSE),"")</f>
        <v/>
      </c>
      <c r="O216" t="str">
        <f>+IFERROR(VLOOKUP(O17,IN_Zugliste!$A$4:$E$2002,5,FALSE),"")</f>
        <v/>
      </c>
      <c r="P216" t="str">
        <f>+IFERROR(VLOOKUP(P17,IN_Zugliste!$A$4:$E$2002,5,FALSE),"")</f>
        <v/>
      </c>
      <c r="Q216" t="str">
        <f>+IFERROR(VLOOKUP(Q17,IN_Zugliste!$A$4:$E$2002,5,FALSE),"")</f>
        <v/>
      </c>
      <c r="R216" t="str">
        <f>+IFERROR(VLOOKUP(R17,IN_Zugliste!$A$4:$E$2002,5,FALSE),"")</f>
        <v/>
      </c>
      <c r="S216" t="str">
        <f>+IFERROR(VLOOKUP(S17,IN_Zugliste!$A$4:$E$2002,5,FALSE),"")</f>
        <v/>
      </c>
      <c r="T216" t="str">
        <f>+IFERROR(VLOOKUP(T17,IN_Zugliste!$A$4:$E$2002,5,FALSE),"")</f>
        <v/>
      </c>
      <c r="U216" t="str">
        <f>+IFERROR(VLOOKUP(U17,IN_Zugliste!$A$4:$E$2002,5,FALSE),"")</f>
        <v/>
      </c>
      <c r="V216" t="str">
        <f>+IFERROR(VLOOKUP(V17,IN_Zugliste!$A$4:$E$2002,5,FALSE),"")</f>
        <v/>
      </c>
      <c r="W216" t="str">
        <f>+IFERROR(VLOOKUP(W17,IN_Zugliste!$A$4:$E$2002,5,FALSE),"")</f>
        <v/>
      </c>
      <c r="X216" t="str">
        <f>+IFERROR(VLOOKUP(X17,IN_Zugliste!$A$4:$E$2002,5,FALSE),"")</f>
        <v/>
      </c>
      <c r="Y216" t="str">
        <f>+IFERROR(VLOOKUP(Y17,IN_Zugliste!$A$4:$E$2002,5,FALSE),"")</f>
        <v/>
      </c>
      <c r="Z216" t="str">
        <f>+IFERROR(VLOOKUP(Z17,IN_Zugliste!$A$4:$E$2002,5,FALSE),"")</f>
        <v/>
      </c>
      <c r="AA216" t="str">
        <f>+IFERROR(VLOOKUP(AA17,IN_Zugliste!$A$4:$E$2002,5,FALSE),"")</f>
        <v/>
      </c>
      <c r="AB216" t="str">
        <f>+IFERROR(VLOOKUP(AB17,IN_Zugliste!$A$4:$E$2002,5,FALSE),"")</f>
        <v/>
      </c>
      <c r="AC216" t="str">
        <f>+IFERROR(VLOOKUP(AC17,IN_Zugliste!$A$4:$E$2002,5,FALSE),"")</f>
        <v/>
      </c>
      <c r="AD216" t="str">
        <f>+IFERROR(VLOOKUP(AD17,IN_Zugliste!$A$4:$E$2002,5,FALSE),"")</f>
        <v/>
      </c>
      <c r="AE216" t="str">
        <f>+IFERROR(VLOOKUP(AE17,IN_Zugliste!$A$4:$E$2002,5,FALSE),"")</f>
        <v/>
      </c>
      <c r="AF216" t="str">
        <f>+IFERROR(VLOOKUP(AF17,IN_Zugliste!$A$4:$E$2002,5,FALSE),"")</f>
        <v/>
      </c>
      <c r="AG216" t="str">
        <f>+IFERROR(VLOOKUP(AG17,IN_Zugliste!$A$4:$E$2002,5,FALSE),"")</f>
        <v/>
      </c>
      <c r="AH216" t="str">
        <f>+IFERROR(VLOOKUP(AH17,IN_Zugliste!$A$4:$E$2002,5,FALSE),"")</f>
        <v/>
      </c>
      <c r="AI216" t="str">
        <f>+IFERROR(VLOOKUP(AI17,IN_Zugliste!$A$4:$E$2002,5,FALSE),"")</f>
        <v/>
      </c>
      <c r="AJ216" t="str">
        <f>+IFERROR(VLOOKUP(AJ17,IN_Zugliste!$A$4:$E$2002,5,FALSE),"")</f>
        <v/>
      </c>
      <c r="AK216" t="str">
        <f>+IFERROR(VLOOKUP(AK17,IN_Zugliste!$A$4:$E$2002,5,FALSE),"")</f>
        <v/>
      </c>
      <c r="AL216" t="str">
        <f>+IFERROR(VLOOKUP(AL17,IN_Zugliste!$A$4:$E$2002,5,FALSE),"")</f>
        <v/>
      </c>
      <c r="AM216" t="str">
        <f>+IFERROR(VLOOKUP(AM17,IN_Zugliste!$A$4:$E$2002,5,FALSE),"")</f>
        <v/>
      </c>
      <c r="AN216" t="str">
        <f>+IFERROR(VLOOKUP(AN17,IN_Zugliste!$A$4:$E$2002,5,FALSE),"")</f>
        <v/>
      </c>
      <c r="AO216" t="str">
        <f>+IFERROR(VLOOKUP(AO17,IN_Zugliste!$A$4:$E$2002,5,FALSE),"")</f>
        <v/>
      </c>
      <c r="AP216" t="str">
        <f>+IFERROR(VLOOKUP(AP17,IN_Zugliste!$A$4:$E$2002,5,FALSE),"")</f>
        <v/>
      </c>
      <c r="AQ216" t="str">
        <f>+IFERROR(VLOOKUP(AQ17,IN_Zugliste!$A$4:$E$2002,5,FALSE),"")</f>
        <v/>
      </c>
      <c r="AR216" t="str">
        <f>+IFERROR(VLOOKUP(AR17,IN_Zugliste!$A$4:$E$2002,5,FALSE),"")</f>
        <v/>
      </c>
      <c r="AS216" t="str">
        <f>+IFERROR(VLOOKUP(AS17,IN_Zugliste!$A$4:$E$2002,5,FALSE),"")</f>
        <v/>
      </c>
      <c r="AT216" t="str">
        <f>+IFERROR(VLOOKUP(AT17,IN_Zugliste!$A$4:$E$2002,5,FALSE),"")</f>
        <v/>
      </c>
      <c r="AU216" t="str">
        <f>+IFERROR(VLOOKUP(AU17,IN_Zugliste!$A$4:$E$2002,5,FALSE),"")</f>
        <v/>
      </c>
      <c r="AV216" t="str">
        <f>+IFERROR(VLOOKUP(AV17,IN_Zugliste!$A$4:$E$2002,5,FALSE),"")</f>
        <v/>
      </c>
      <c r="AW216" t="str">
        <f>+IFERROR(VLOOKUP(AW17,IN_Zugliste!$A$4:$E$2002,5,FALSE),"")</f>
        <v/>
      </c>
      <c r="AX216" t="str">
        <f>+IFERROR(VLOOKUP(AX17,IN_Zugliste!$A$4:$E$2002,5,FALSE),"")</f>
        <v/>
      </c>
      <c r="AY216" t="str">
        <f>+IFERROR(VLOOKUP(AY17,IN_Zugliste!$A$4:$E$2002,5,FALSE),"")</f>
        <v/>
      </c>
      <c r="AZ216" t="str">
        <f>+IFERROR(VLOOKUP(AZ17,IN_Zugliste!$A$4:$E$2002,5,FALSE),"")</f>
        <v/>
      </c>
      <c r="BA216" t="str">
        <f>+IFERROR(VLOOKUP(BA17,IN_Zugliste!$A$4:$E$2002,5,FALSE),"")</f>
        <v/>
      </c>
      <c r="BB216" t="str">
        <f>+IFERROR(VLOOKUP(BB17,IN_Zugliste!$A$4:$E$2002,5,FALSE),"")</f>
        <v/>
      </c>
      <c r="BC216" t="str">
        <f>+IFERROR(VLOOKUP(BC17,IN_Zugliste!$A$4:$E$2002,5,FALSE),"")</f>
        <v/>
      </c>
      <c r="BD216" t="str">
        <f>+IFERROR(VLOOKUP(BD17,IN_Zugliste!$A$4:$E$2002,5,FALSE),"")</f>
        <v/>
      </c>
      <c r="BE216" t="str">
        <f>+IFERROR(VLOOKUP(BE17,IN_Zugliste!$A$4:$E$2002,5,FALSE),"")</f>
        <v/>
      </c>
      <c r="BF216" t="str">
        <f>+IFERROR(VLOOKUP(BF17,IN_Zugliste!$A$4:$E$2002,5,FALSE),"")</f>
        <v/>
      </c>
      <c r="BG216" t="str">
        <f>+IFERROR(VLOOKUP(BG17,IN_Zugliste!$A$4:$E$2002,5,FALSE),"")</f>
        <v/>
      </c>
      <c r="BH216" t="str">
        <f>+IFERROR(VLOOKUP(BH17,IN_Zugliste!$A$4:$E$2002,5,FALSE),"")</f>
        <v/>
      </c>
      <c r="BI216" t="str">
        <f>+IFERROR(VLOOKUP(BI17,IN_Zugliste!$A$4:$E$2002,5,FALSE),"")</f>
        <v/>
      </c>
      <c r="BJ216" t="str">
        <f>+IFERROR(VLOOKUP(BJ17,IN_Zugliste!$A$4:$E$2002,5,FALSE),"")</f>
        <v/>
      </c>
      <c r="BK216" t="str">
        <f>+IFERROR(VLOOKUP(BK17,IN_Zugliste!$A$4:$E$2002,5,FALSE),"")</f>
        <v/>
      </c>
      <c r="BL216" t="str">
        <f>+IFERROR(VLOOKUP(BL17,IN_Zugliste!$A$4:$E$2002,5,FALSE),"")</f>
        <v/>
      </c>
      <c r="BM216" t="str">
        <f>+IFERROR(VLOOKUP(BM17,IN_Zugliste!$A$4:$E$2002,5,FALSE),"")</f>
        <v/>
      </c>
      <c r="BN216" t="str">
        <f>+IFERROR(VLOOKUP(BN17,IN_Zugliste!$A$4:$E$2002,5,FALSE),"")</f>
        <v/>
      </c>
      <c r="BO216" t="str">
        <f>+IFERROR(VLOOKUP(BO17,IN_Zugliste!$A$4:$E$2002,5,FALSE),"")</f>
        <v/>
      </c>
      <c r="BP216" t="str">
        <f>+IFERROR(VLOOKUP(BP17,IN_Zugliste!$A$4:$E$2002,5,FALSE),"")</f>
        <v/>
      </c>
      <c r="BQ216" t="str">
        <f>+IFERROR(VLOOKUP(BQ17,IN_Zugliste!$A$4:$E$2002,5,FALSE),"")</f>
        <v/>
      </c>
      <c r="BR216" t="str">
        <f>+IFERROR(VLOOKUP(BR17,IN_Zugliste!$A$4:$E$2002,5,FALSE),"")</f>
        <v/>
      </c>
      <c r="BS216" t="str">
        <f>+IFERROR(VLOOKUP(BS17,IN_Zugliste!$A$4:$E$2002,5,FALSE),"")</f>
        <v/>
      </c>
      <c r="BT216" t="str">
        <f>+IFERROR(VLOOKUP(BT17,IN_Zugliste!$A$4:$E$2002,5,FALSE),"")</f>
        <v/>
      </c>
      <c r="BU216" t="str">
        <f>+IFERROR(VLOOKUP(BU17,IN_Zugliste!$A$4:$E$2002,5,FALSE),"")</f>
        <v/>
      </c>
      <c r="BV216" t="str">
        <f>+IFERROR(VLOOKUP(BV17,IN_Zugliste!$A$4:$E$2002,5,FALSE),"")</f>
        <v/>
      </c>
      <c r="BW216" t="str">
        <f>+IFERROR(VLOOKUP(BW17,IN_Zugliste!$A$4:$E$2002,5,FALSE),"")</f>
        <v/>
      </c>
      <c r="BX216" t="str">
        <f>+IFERROR(VLOOKUP(BX17,IN_Zugliste!$A$4:$E$2002,5,FALSE),"")</f>
        <v/>
      </c>
      <c r="BY216" t="str">
        <f>+IFERROR(VLOOKUP(BY17,IN_Zugliste!$A$4:$E$2002,5,FALSE),"")</f>
        <v/>
      </c>
      <c r="BZ216" t="str">
        <f>+IFERROR(VLOOKUP(BZ17,IN_Zugliste!$A$4:$E$2002,5,FALSE),"")</f>
        <v/>
      </c>
      <c r="CA216" t="str">
        <f>+IFERROR(VLOOKUP(CA17,IN_Zugliste!$A$4:$E$2002,5,FALSE),"")</f>
        <v/>
      </c>
      <c r="CB216" t="str">
        <f>+IFERROR(VLOOKUP(CB17,IN_Zugliste!$A$4:$E$2002,5,FALSE),"")</f>
        <v/>
      </c>
      <c r="CC216" t="str">
        <f>+IFERROR(VLOOKUP(CC17,IN_Zugliste!$A$4:$E$2002,5,FALSE),"")</f>
        <v/>
      </c>
      <c r="CD216" t="str">
        <f>+IFERROR(VLOOKUP(CD17,IN_Zugliste!$A$4:$E$2002,5,FALSE),"")</f>
        <v/>
      </c>
      <c r="CE216" t="str">
        <f>+IFERROR(VLOOKUP(CE17,IN_Zugliste!$A$4:$E$2002,5,FALSE),"")</f>
        <v/>
      </c>
      <c r="CF216" t="str">
        <f>+IFERROR(VLOOKUP(CF17,IN_Zugliste!$A$4:$E$2002,5,FALSE),"")</f>
        <v/>
      </c>
      <c r="CG216" t="str">
        <f>+IFERROR(VLOOKUP(CG17,IN_Zugliste!$A$4:$E$2002,5,FALSE),"")</f>
        <v/>
      </c>
      <c r="CH216" t="str">
        <f>+IFERROR(VLOOKUP(CH17,IN_Zugliste!$A$4:$E$2002,5,FALSE),"")</f>
        <v/>
      </c>
      <c r="CI216" t="str">
        <f>+IFERROR(VLOOKUP(CI17,IN_Zugliste!$A$4:$E$2002,5,FALSE),"")</f>
        <v/>
      </c>
      <c r="CJ216" t="str">
        <f>+IFERROR(VLOOKUP(CJ17,IN_Zugliste!$A$4:$E$2002,5,FALSE),"")</f>
        <v/>
      </c>
      <c r="CK216" t="str">
        <f>+IFERROR(VLOOKUP(CK17,IN_Zugliste!$A$4:$E$2002,5,FALSE),"")</f>
        <v/>
      </c>
      <c r="CL216" t="str">
        <f>+IFERROR(VLOOKUP(CL17,IN_Zugliste!$A$4:$E$2002,5,FALSE),"")</f>
        <v/>
      </c>
      <c r="CM216" t="str">
        <f>+IFERROR(VLOOKUP(CM17,IN_Zugliste!$A$4:$E$2002,5,FALSE),"")</f>
        <v/>
      </c>
      <c r="CN216" t="str">
        <f>+IFERROR(VLOOKUP(CN17,IN_Zugliste!$A$4:$E$2002,5,FALSE),"")</f>
        <v/>
      </c>
      <c r="CO216" t="str">
        <f>+IFERROR(VLOOKUP(CO17,IN_Zugliste!$A$4:$E$2002,5,FALSE),"")</f>
        <v/>
      </c>
      <c r="CP216" t="str">
        <f>+IFERROR(VLOOKUP(CP17,IN_Zugliste!$A$4:$E$2002,5,FALSE),"")</f>
        <v/>
      </c>
      <c r="CQ216" t="str">
        <f>+IFERROR(VLOOKUP(CQ17,IN_Zugliste!$A$4:$E$2002,5,FALSE),"")</f>
        <v/>
      </c>
      <c r="CR216" t="str">
        <f>+IFERROR(VLOOKUP(CR17,IN_Zugliste!$A$4:$E$2002,5,FALSE),"")</f>
        <v/>
      </c>
      <c r="CS216" t="str">
        <f>+IFERROR(VLOOKUP(CS17,IN_Zugliste!$A$4:$E$2002,5,FALSE),"")</f>
        <v/>
      </c>
      <c r="CT216" t="str">
        <f>+IFERROR(VLOOKUP(CT17,IN_Zugliste!$A$4:$E$2002,5,FALSE),"")</f>
        <v/>
      </c>
      <c r="CU216" t="str">
        <f>+IFERROR(VLOOKUP(CU17,IN_Zugliste!$A$4:$E$2002,5,FALSE),"")</f>
        <v/>
      </c>
      <c r="CV216" t="str">
        <f>+IFERROR(VLOOKUP(CV17,IN_Zugliste!$A$4:$E$2002,5,FALSE),"")</f>
        <v/>
      </c>
      <c r="CW216" t="str">
        <f>+IFERROR(VLOOKUP(CW17,IN_Zugliste!$A$4:$E$2002,5,FALSE),"")</f>
        <v/>
      </c>
      <c r="CX216" t="str">
        <f>+IFERROR(VLOOKUP(CX17,IN_Zugliste!$A$4:$E$2002,5,FALSE),"")</f>
        <v/>
      </c>
      <c r="CY216" t="str">
        <f>+IFERROR(VLOOKUP(CY17,IN_Zugliste!$A$4:$E$2002,5,FALSE),"")</f>
        <v/>
      </c>
      <c r="CZ216" t="str">
        <f>+IFERROR(VLOOKUP(CZ17,IN_Zugliste!$A$4:$E$2002,5,FALSE),"")</f>
        <v/>
      </c>
      <c r="DA216" t="str">
        <f>+IFERROR(VLOOKUP(DA17,IN_Zugliste!$A$4:$E$2002,5,FALSE),"")</f>
        <v/>
      </c>
      <c r="DB216" t="str">
        <f>+IFERROR(VLOOKUP(DB17,IN_Zugliste!$A$4:$E$2002,5,FALSE),"")</f>
        <v/>
      </c>
      <c r="DC216" t="str">
        <f>+IFERROR(VLOOKUP(DC17,IN_Zugliste!$A$4:$E$2002,5,FALSE),"")</f>
        <v/>
      </c>
      <c r="DD216" t="str">
        <f>+IFERROR(VLOOKUP(DD17,IN_Zugliste!$A$4:$E$2002,5,FALSE),"")</f>
        <v/>
      </c>
      <c r="DE216" t="str">
        <f>+IFERROR(VLOOKUP(DE17,IN_Zugliste!$A$4:$E$2002,5,FALSE),"")</f>
        <v/>
      </c>
      <c r="DF216" t="str">
        <f>+IFERROR(VLOOKUP(DF17,IN_Zugliste!$A$4:$E$2002,5,FALSE),"")</f>
        <v/>
      </c>
      <c r="DG216" t="str">
        <f>+IFERROR(VLOOKUP(DG17,IN_Zugliste!$A$4:$E$2002,5,FALSE),"")</f>
        <v/>
      </c>
      <c r="DH216" t="str">
        <f>+IFERROR(VLOOKUP(DH17,IN_Zugliste!$A$4:$E$2002,5,FALSE),"")</f>
        <v/>
      </c>
      <c r="DI216" t="str">
        <f>+IFERROR(VLOOKUP(DI17,IN_Zugliste!$A$4:$E$2002,5,FALSE),"")</f>
        <v/>
      </c>
      <c r="DJ216" t="str">
        <f>+IFERROR(VLOOKUP(DJ17,IN_Zugliste!$A$4:$E$2002,5,FALSE),"")</f>
        <v/>
      </c>
      <c r="DK216" t="str">
        <f>+IFERROR(VLOOKUP(DK17,IN_Zugliste!$A$4:$E$2002,5,FALSE),"")</f>
        <v/>
      </c>
      <c r="DL216" t="str">
        <f>+IFERROR(VLOOKUP(DL17,IN_Zugliste!$A$4:$E$2002,5,FALSE),"")</f>
        <v/>
      </c>
      <c r="DM216" t="str">
        <f>+IFERROR(VLOOKUP(DM17,IN_Zugliste!$A$4:$E$2002,5,FALSE),"")</f>
        <v/>
      </c>
      <c r="DN216" t="str">
        <f>+IFERROR(VLOOKUP(DN17,IN_Zugliste!$A$4:$E$2002,5,FALSE),"")</f>
        <v/>
      </c>
      <c r="DO216" t="str">
        <f>+IFERROR(VLOOKUP(DO17,IN_Zugliste!$A$4:$E$2002,5,FALSE),"")</f>
        <v/>
      </c>
      <c r="DP216" t="str">
        <f>+IFERROR(VLOOKUP(DP17,IN_Zugliste!$A$4:$E$2002,5,FALSE),"")</f>
        <v/>
      </c>
      <c r="DQ216" t="str">
        <f>+IFERROR(VLOOKUP(DQ17,IN_Zugliste!$A$4:$E$2002,5,FALSE),"")</f>
        <v/>
      </c>
      <c r="DR216" t="str">
        <f>+IFERROR(VLOOKUP(DR17,IN_Zugliste!$A$4:$E$2002,5,FALSE),"")</f>
        <v/>
      </c>
      <c r="DS216" t="str">
        <f>+IFERROR(VLOOKUP(DS17,IN_Zugliste!$A$4:$E$2002,5,FALSE),"")</f>
        <v/>
      </c>
      <c r="DT216" t="str">
        <f>+IFERROR(VLOOKUP(DT17,IN_Zugliste!$A$4:$E$2002,5,FALSE),"")</f>
        <v/>
      </c>
      <c r="DU216" t="str">
        <f>+IFERROR(VLOOKUP(DU17,IN_Zugliste!$A$4:$E$2002,5,FALSE),"")</f>
        <v/>
      </c>
      <c r="DV216" t="str">
        <f>+IFERROR(VLOOKUP(DV17,IN_Zugliste!$A$4:$E$2002,5,FALSE),"")</f>
        <v/>
      </c>
      <c r="DW216" t="str">
        <f>+IFERROR(VLOOKUP(DW17,IN_Zugliste!$A$4:$E$2002,5,FALSE),"")</f>
        <v/>
      </c>
      <c r="DX216" t="str">
        <f>+IFERROR(VLOOKUP(DX17,IN_Zugliste!$A$4:$E$2002,5,FALSE),"")</f>
        <v/>
      </c>
      <c r="DY216" t="str">
        <f>+IFERROR(VLOOKUP(DY17,IN_Zugliste!$A$4:$E$2002,5,FALSE),"")</f>
        <v/>
      </c>
      <c r="DZ216" t="str">
        <f>+IFERROR(VLOOKUP(DZ17,IN_Zugliste!$A$4:$E$2002,5,FALSE),"")</f>
        <v/>
      </c>
      <c r="EA216" t="str">
        <f>+IFERROR(VLOOKUP(EA17,IN_Zugliste!$A$4:$E$2002,5,FALSE),"")</f>
        <v/>
      </c>
      <c r="EB216" t="str">
        <f>+IFERROR(VLOOKUP(EB17,IN_Zugliste!$A$4:$E$2002,5,FALSE),"")</f>
        <v/>
      </c>
      <c r="EC216" t="str">
        <f>+IFERROR(VLOOKUP(EC17,IN_Zugliste!$A$4:$E$2002,5,FALSE),"")</f>
        <v/>
      </c>
      <c r="ED216" t="str">
        <f>+IFERROR(VLOOKUP(ED17,IN_Zugliste!$A$4:$E$2002,5,FALSE),"")</f>
        <v/>
      </c>
      <c r="EE216" t="str">
        <f>+IFERROR(VLOOKUP(EE17,IN_Zugliste!$A$4:$E$2002,5,FALSE),"")</f>
        <v/>
      </c>
      <c r="EF216" t="str">
        <f>+IFERROR(VLOOKUP(EF17,IN_Zugliste!$A$4:$E$2002,5,FALSE),"")</f>
        <v/>
      </c>
      <c r="EG216" t="str">
        <f>+IFERROR(VLOOKUP(EG17,IN_Zugliste!$A$4:$E$2002,5,FALSE),"")</f>
        <v/>
      </c>
      <c r="EH216" t="str">
        <f>+IFERROR(VLOOKUP(EH17,IN_Zugliste!$A$4:$E$2002,5,FALSE),"")</f>
        <v/>
      </c>
      <c r="EI216" t="str">
        <f>+IFERROR(VLOOKUP(EI17,IN_Zugliste!$A$4:$E$2002,5,FALSE),"")</f>
        <v/>
      </c>
      <c r="EJ216" t="str">
        <f>+IFERROR(VLOOKUP(EJ17,IN_Zugliste!$A$4:$E$2002,5,FALSE),"")</f>
        <v/>
      </c>
      <c r="EK216" t="str">
        <f>+IFERROR(VLOOKUP(EK17,IN_Zugliste!$A$4:$E$2002,5,FALSE),"")</f>
        <v/>
      </c>
      <c r="EL216" t="str">
        <f>+IFERROR(VLOOKUP(EL17,IN_Zugliste!$A$4:$E$2002,5,FALSE),"")</f>
        <v/>
      </c>
      <c r="EM216" t="str">
        <f>+IFERROR(VLOOKUP(EM17,IN_Zugliste!$A$4:$E$2002,5,FALSE),"")</f>
        <v/>
      </c>
      <c r="EN216" t="str">
        <f>+IFERROR(VLOOKUP(EN17,IN_Zugliste!$A$4:$E$2002,5,FALSE),"")</f>
        <v/>
      </c>
      <c r="EO216" t="str">
        <f>+IFERROR(VLOOKUP(EO17,IN_Zugliste!$A$4:$E$2002,5,FALSE),"")</f>
        <v/>
      </c>
      <c r="EP216" t="str">
        <f>+IFERROR(VLOOKUP(EP17,IN_Zugliste!$A$4:$E$2002,5,FALSE),"")</f>
        <v/>
      </c>
      <c r="EQ216" t="str">
        <f>+IFERROR(VLOOKUP(EQ17,IN_Zugliste!$A$4:$E$2002,5,FALSE),"")</f>
        <v/>
      </c>
      <c r="ER216" t="str">
        <f>+IFERROR(VLOOKUP(ER17,IN_Zugliste!$A$4:$E$2002,5,FALSE),"")</f>
        <v/>
      </c>
      <c r="ES216" t="str">
        <f>+IFERROR(VLOOKUP(ES17,IN_Zugliste!$A$4:$E$2002,5,FALSE),"")</f>
        <v/>
      </c>
      <c r="ET216" t="str">
        <f>+IFERROR(VLOOKUP(ET17,IN_Zugliste!$A$4:$E$2002,5,FALSE),"")</f>
        <v/>
      </c>
      <c r="EU216" t="str">
        <f>+IFERROR(VLOOKUP(EU17,IN_Zugliste!$A$4:$E$2002,5,FALSE),"")</f>
        <v/>
      </c>
      <c r="EV216" t="str">
        <f>+IFERROR(VLOOKUP(EV17,IN_Zugliste!$A$4:$E$2002,5,FALSE),"")</f>
        <v/>
      </c>
      <c r="EW216" t="str">
        <f>+IFERROR(VLOOKUP(EW17,IN_Zugliste!$A$4:$E$2002,5,FALSE),"")</f>
        <v/>
      </c>
      <c r="EX216" t="str">
        <f>+IFERROR(VLOOKUP(EX17,IN_Zugliste!$A$4:$E$2002,5,FALSE),"")</f>
        <v/>
      </c>
      <c r="EY216" t="str">
        <f>+IFERROR(VLOOKUP(EY17,IN_Zugliste!$A$4:$E$2002,5,FALSE),"")</f>
        <v/>
      </c>
      <c r="EZ216" t="str">
        <f>+IFERROR(VLOOKUP(EZ17,IN_Zugliste!$A$4:$E$2002,5,FALSE),"")</f>
        <v/>
      </c>
      <c r="FA216" t="str">
        <f>+IFERROR(VLOOKUP(FA17,IN_Zugliste!$A$4:$E$2002,5,FALSE),"")</f>
        <v/>
      </c>
      <c r="FB216" t="str">
        <f>+IFERROR(VLOOKUP(FB17,IN_Zugliste!$A$4:$E$2002,5,FALSE),"")</f>
        <v/>
      </c>
      <c r="FC216" t="str">
        <f>+IFERROR(VLOOKUP(FC17,IN_Zugliste!$A$4:$E$2002,5,FALSE),"")</f>
        <v/>
      </c>
      <c r="FD216" t="str">
        <f>+IFERROR(VLOOKUP(FD17,IN_Zugliste!$A$4:$E$2002,5,FALSE),"")</f>
        <v/>
      </c>
      <c r="FE216" t="str">
        <f>+IFERROR(VLOOKUP(FE17,IN_Zugliste!$A$4:$E$2002,5,FALSE),"")</f>
        <v/>
      </c>
      <c r="FF216" t="str">
        <f>+IFERROR(VLOOKUP(FF17,IN_Zugliste!$A$4:$E$2002,5,FALSE),"")</f>
        <v/>
      </c>
      <c r="FG216" t="str">
        <f>+IFERROR(VLOOKUP(FG17,IN_Zugliste!$A$4:$E$2002,5,FALSE),"")</f>
        <v/>
      </c>
      <c r="FH216" t="str">
        <f>+IFERROR(VLOOKUP(FH17,IN_Zugliste!$A$4:$E$2002,5,FALSE),"")</f>
        <v/>
      </c>
      <c r="FI216" t="str">
        <f>+IFERROR(VLOOKUP(FI17,IN_Zugliste!$A$4:$E$2002,5,FALSE),"")</f>
        <v/>
      </c>
      <c r="FJ216" t="str">
        <f>+IFERROR(VLOOKUP(FJ17,IN_Zugliste!$A$4:$E$2002,5,FALSE),"")</f>
        <v/>
      </c>
      <c r="FK216" t="str">
        <f>+IFERROR(VLOOKUP(FK17,IN_Zugliste!$A$4:$E$2002,5,FALSE),"")</f>
        <v/>
      </c>
      <c r="FL216" t="str">
        <f>+IFERROR(VLOOKUP(FL17,IN_Zugliste!$A$4:$E$2002,5,FALSE),"")</f>
        <v/>
      </c>
      <c r="FM216" t="str">
        <f>+IFERROR(VLOOKUP(FM17,IN_Zugliste!$A$4:$D$2002,5,FALSE),"")</f>
        <v/>
      </c>
      <c r="FN216" t="str">
        <f>+IFERROR(VLOOKUP(FN17,IN_Zugliste!$A$4:$D$2002,5,FALSE),"")</f>
        <v/>
      </c>
      <c r="FO216" t="str">
        <f>+IFERROR(VLOOKUP(FO17,IN_Zugliste!$A$4:$D$2002,5,FALSE),"")</f>
        <v/>
      </c>
      <c r="FP216" t="str">
        <f>+IFERROR(VLOOKUP(FP17,IN_Zugliste!$A$4:$D$2002,5,FALSE),"")</f>
        <v/>
      </c>
      <c r="FQ216" t="str">
        <f>+IFERROR(VLOOKUP(FQ17,IN_Zugliste!$A$4:$D$2002,5,FALSE),"")</f>
        <v/>
      </c>
      <c r="FR216" t="str">
        <f>+IFERROR(VLOOKUP(FR17,IN_Zugliste!$A$4:$D$2002,5,FALSE),"")</f>
        <v/>
      </c>
      <c r="FS216" t="str">
        <f>+IFERROR(VLOOKUP(FS17,IN_Zugliste!$A$4:$D$2002,5,FALSE),"")</f>
        <v/>
      </c>
      <c r="FT216" t="str">
        <f>+IFERROR(VLOOKUP(FT17,IN_Zugliste!$A$4:$D$2002,5,FALSE),"")</f>
        <v/>
      </c>
      <c r="FU216" t="str">
        <f>+IFERROR(VLOOKUP(FU17,IN_Zugliste!$A$4:$D$2002,5,FALSE),"")</f>
        <v/>
      </c>
      <c r="FV216" t="str">
        <f>+IFERROR(VLOOKUP(FV17,IN_Zugliste!$A$4:$D$2002,5,FALSE),"")</f>
        <v/>
      </c>
      <c r="FW216" t="str">
        <f>+IFERROR(VLOOKUP(FW17,IN_Zugliste!$A$4:$D$2002,5,FALSE),"")</f>
        <v/>
      </c>
      <c r="FX216" t="str">
        <f>+IFERROR(VLOOKUP(FX17,IN_Zugliste!$A$4:$D$2002,5,FALSE),"")</f>
        <v/>
      </c>
      <c r="FY216" t="str">
        <f>+IFERROR(VLOOKUP(FY17,IN_Zugliste!$A$4:$D$2002,5,FALSE),"")</f>
        <v/>
      </c>
      <c r="FZ216" t="str">
        <f>+IFERROR(VLOOKUP(FZ17,IN_Zugliste!$A$4:$D$2002,5,FALSE),"")</f>
        <v/>
      </c>
      <c r="GA216" t="str">
        <f>+IFERROR(VLOOKUP(GA17,IN_Zugliste!$A$4:$D$2002,5,FALSE),"")</f>
        <v/>
      </c>
      <c r="GB216" t="str">
        <f>+IFERROR(VLOOKUP(GB17,IN_Zugliste!$A$4:$D$2002,5,FALSE),"")</f>
        <v/>
      </c>
      <c r="GC216" t="str">
        <f>+IFERROR(VLOOKUP(GC17,IN_Zugliste!$A$4:$D$2002,5,FALSE),"")</f>
        <v/>
      </c>
      <c r="GD216" t="str">
        <f>+IFERROR(VLOOKUP(GD17,IN_Zugliste!$A$4:$D$2002,5,FALSE),"")</f>
        <v/>
      </c>
      <c r="GE216" t="str">
        <f>+IFERROR(VLOOKUP(GE17,IN_Zugliste!$A$4:$D$2002,5,FALSE),"")</f>
        <v/>
      </c>
      <c r="GF216" t="str">
        <f>+IFERROR(VLOOKUP(GF17,IN_Zugliste!$A$4:$D$2002,5,FALSE),"")</f>
        <v/>
      </c>
      <c r="GG216" t="str">
        <f>+IFERROR(VLOOKUP(GG17,IN_Zugliste!$A$4:$D$2002,5,FALSE),"")</f>
        <v/>
      </c>
      <c r="GH216" t="str">
        <f>+IFERROR(VLOOKUP(GH17,IN_Zugliste!$A$4:$D$2002,5,FALSE),"")</f>
        <v/>
      </c>
      <c r="GI216" t="str">
        <f>+IFERROR(VLOOKUP(GI17,IN_Zugliste!$A$4:$D$2002,5,FALSE),"")</f>
        <v/>
      </c>
      <c r="GJ216" t="str">
        <f>+IFERROR(VLOOKUP(GJ17,IN_Zugliste!$A$4:$D$2002,5,FALSE),"")</f>
        <v/>
      </c>
      <c r="GK216" t="str">
        <f>+IFERROR(VLOOKUP(GK17,IN_Zugliste!$A$4:$D$2002,5,FALSE),"")</f>
        <v/>
      </c>
      <c r="GL216" t="str">
        <f>+IFERROR(VLOOKUP(GL17,IN_Zugliste!$A$4:$D$2002,5,FALSE),"")</f>
        <v/>
      </c>
      <c r="GM216" t="str">
        <f>+IFERROR(VLOOKUP(GM17,IN_Zugliste!$A$4:$D$2002,5,FALSE),"")</f>
        <v/>
      </c>
      <c r="GN216" t="str">
        <f>+IFERROR(VLOOKUP(GN17,IN_Zugliste!$A$4:$D$2002,5,FALSE),"")</f>
        <v/>
      </c>
      <c r="GO216" t="str">
        <f>+IFERROR(VLOOKUP(GO17,IN_Zugliste!$A$4:$D$2002,5,FALSE),"")</f>
        <v/>
      </c>
      <c r="GP216" t="str">
        <f>+IFERROR(VLOOKUP(GP17,IN_Zugliste!$A$4:$D$2002,5,FALSE),"")</f>
        <v/>
      </c>
      <c r="GQ216" t="str">
        <f>+IFERROR(VLOOKUP(GQ17,IN_Zugliste!$A$4:$D$2002,5,FALSE),"")</f>
        <v/>
      </c>
      <c r="GR216" t="str">
        <f>+IFERROR(VLOOKUP(GR17,IN_Zugliste!$A$4:$D$2002,5,FALSE),"")</f>
        <v/>
      </c>
      <c r="GS216" t="str">
        <f>+IFERROR(VLOOKUP(GS17,IN_Zugliste!$A$4:$D$2002,5,FALSE),"")</f>
        <v/>
      </c>
      <c r="GT216" t="str">
        <f>+IFERROR(VLOOKUP(GT17,IN_Zugliste!$A$4:$D$2002,5,FALSE),"")</f>
        <v/>
      </c>
      <c r="GU216" t="str">
        <f>+IFERROR(VLOOKUP(GU17,IN_Zugliste!$A$4:$D$2002,5,FALSE),"")</f>
        <v/>
      </c>
      <c r="GV216" t="str">
        <f>+IFERROR(VLOOKUP(GV17,IN_Zugliste!$A$4:$D$2002,5,FALSE),"")</f>
        <v/>
      </c>
      <c r="GW216" t="str">
        <f>+IFERROR(VLOOKUP(GW17,IN_Zugliste!$A$4:$D$2002,5,FALSE),"")</f>
        <v/>
      </c>
      <c r="GX216" t="str">
        <f>+IFERROR(VLOOKUP(GX17,IN_Zugliste!$A$4:$D$2002,5,FALSE),"")</f>
        <v/>
      </c>
      <c r="GY216" t="str">
        <f>+IFERROR(VLOOKUP(GY17,IN_Zugliste!$A$4:$D$2002,5,FALSE),"")</f>
        <v/>
      </c>
      <c r="GZ216" t="str">
        <f>+IFERROR(VLOOKUP(GZ17,IN_Zugliste!$A$4:$D$2002,5,FALSE),"")</f>
        <v/>
      </c>
      <c r="HA216" t="str">
        <f>+IFERROR(VLOOKUP(HA17,IN_Zugliste!$A$4:$D$2002,5,FALSE),"")</f>
        <v/>
      </c>
      <c r="HB216" t="str">
        <f>+IFERROR(VLOOKUP(HB17,IN_Zugliste!$A$4:$D$2002,5,FALSE),"")</f>
        <v/>
      </c>
      <c r="HC216" t="str">
        <f>+IFERROR(VLOOKUP(HC17,IN_Zugliste!$A$4:$D$2002,5,FALSE),"")</f>
        <v/>
      </c>
      <c r="HD216" t="str">
        <f>+IFERROR(VLOOKUP(HD17,IN_Zugliste!$A$4:$D$2002,5,FALSE),"")</f>
        <v/>
      </c>
      <c r="HE216" t="str">
        <f>+IFERROR(VLOOKUP(HE17,IN_Zugliste!$A$4:$D$2002,5,FALSE),"")</f>
        <v/>
      </c>
      <c r="HF216" t="str">
        <f>+IFERROR(VLOOKUP(HF17,IN_Zugliste!$A$4:$D$2002,5,FALSE),"")</f>
        <v/>
      </c>
      <c r="HG216" t="str">
        <f>+IFERROR(VLOOKUP(HG17,IN_Zugliste!$A$4:$D$2002,5,FALSE),"")</f>
        <v/>
      </c>
      <c r="HH216" t="str">
        <f>+IFERROR(VLOOKUP(HH17,IN_Zugliste!$A$4:$D$2002,5,FALSE),"")</f>
        <v/>
      </c>
    </row>
    <row r="217" spans="1:216" x14ac:dyDescent="0.2">
      <c r="A217" t="str">
        <f>+IFERROR(VLOOKUP(A18,IN_Zugliste!$A$4:$E$2002,5,FALSE),"")</f>
        <v/>
      </c>
      <c r="B217" t="str">
        <f>+IFERROR(VLOOKUP(B18,IN_Zugliste!$A$4:$E$2002,5,FALSE),"")</f>
        <v/>
      </c>
      <c r="C217" t="str">
        <f>+IFERROR(VLOOKUP(C18,IN_Zugliste!$A$4:$E$2002,5,FALSE),"")</f>
        <v/>
      </c>
      <c r="D217" t="str">
        <f>+IFERROR(VLOOKUP(D18,IN_Zugliste!$A$4:$E$2002,5,FALSE),"")</f>
        <v/>
      </c>
      <c r="E217" t="str">
        <f>+IFERROR(VLOOKUP(E18,IN_Zugliste!$A$4:$E$2002,5,FALSE),"")</f>
        <v/>
      </c>
      <c r="F217" t="str">
        <f>+IFERROR(VLOOKUP(F18,IN_Zugliste!$A$4:$E$2002,5,FALSE),"")</f>
        <v/>
      </c>
      <c r="G217" t="str">
        <f>+IFERROR(VLOOKUP(G18,IN_Zugliste!$A$4:$E$2002,5,FALSE),"")</f>
        <v/>
      </c>
      <c r="H217" t="str">
        <f>+IFERROR(VLOOKUP(H18,IN_Zugliste!$A$4:$E$2002,5,FALSE),"")</f>
        <v/>
      </c>
      <c r="I217" t="str">
        <f>+IFERROR(VLOOKUP(I18,IN_Zugliste!$A$4:$E$2002,5,FALSE),"")</f>
        <v/>
      </c>
      <c r="J217" t="str">
        <f>+IFERROR(VLOOKUP(J18,IN_Zugliste!$A$4:$E$2002,5,FALSE),"")</f>
        <v/>
      </c>
      <c r="K217" t="str">
        <f>+IFERROR(VLOOKUP(K18,IN_Zugliste!$A$4:$E$2002,5,FALSE),"")</f>
        <v/>
      </c>
      <c r="L217" t="str">
        <f>+IFERROR(VLOOKUP(L18,IN_Zugliste!$A$4:$E$2002,5,FALSE),"")</f>
        <v/>
      </c>
      <c r="M217" t="str">
        <f>+IFERROR(VLOOKUP(M18,IN_Zugliste!$A$4:$E$2002,5,FALSE),"")</f>
        <v/>
      </c>
      <c r="N217" t="str">
        <f>+IFERROR(VLOOKUP(N18,IN_Zugliste!$A$4:$E$2002,5,FALSE),"")</f>
        <v/>
      </c>
      <c r="O217" t="str">
        <f>+IFERROR(VLOOKUP(O18,IN_Zugliste!$A$4:$E$2002,5,FALSE),"")</f>
        <v/>
      </c>
      <c r="P217" t="str">
        <f>+IFERROR(VLOOKUP(P18,IN_Zugliste!$A$4:$E$2002,5,FALSE),"")</f>
        <v/>
      </c>
      <c r="Q217" t="str">
        <f>+IFERROR(VLOOKUP(Q18,IN_Zugliste!$A$4:$E$2002,5,FALSE),"")</f>
        <v/>
      </c>
      <c r="R217" t="str">
        <f>+IFERROR(VLOOKUP(R18,IN_Zugliste!$A$4:$E$2002,5,FALSE),"")</f>
        <v/>
      </c>
      <c r="S217" t="str">
        <f>+IFERROR(VLOOKUP(S18,IN_Zugliste!$A$4:$E$2002,5,FALSE),"")</f>
        <v/>
      </c>
      <c r="T217" t="str">
        <f>+IFERROR(VLOOKUP(T18,IN_Zugliste!$A$4:$E$2002,5,FALSE),"")</f>
        <v/>
      </c>
      <c r="U217" t="str">
        <f>+IFERROR(VLOOKUP(U18,IN_Zugliste!$A$4:$E$2002,5,FALSE),"")</f>
        <v/>
      </c>
      <c r="V217" t="str">
        <f>+IFERROR(VLOOKUP(V18,IN_Zugliste!$A$4:$E$2002,5,FALSE),"")</f>
        <v/>
      </c>
      <c r="W217" t="str">
        <f>+IFERROR(VLOOKUP(W18,IN_Zugliste!$A$4:$E$2002,5,FALSE),"")</f>
        <v/>
      </c>
      <c r="X217" t="str">
        <f>+IFERROR(VLOOKUP(X18,IN_Zugliste!$A$4:$E$2002,5,FALSE),"")</f>
        <v/>
      </c>
      <c r="Y217" t="str">
        <f>+IFERROR(VLOOKUP(Y18,IN_Zugliste!$A$4:$E$2002,5,FALSE),"")</f>
        <v/>
      </c>
      <c r="Z217" t="str">
        <f>+IFERROR(VLOOKUP(Z18,IN_Zugliste!$A$4:$E$2002,5,FALSE),"")</f>
        <v/>
      </c>
      <c r="AA217" t="str">
        <f>+IFERROR(VLOOKUP(AA18,IN_Zugliste!$A$4:$E$2002,5,FALSE),"")</f>
        <v/>
      </c>
      <c r="AB217" t="str">
        <f>+IFERROR(VLOOKUP(AB18,IN_Zugliste!$A$4:$E$2002,5,FALSE),"")</f>
        <v/>
      </c>
      <c r="AC217" t="str">
        <f>+IFERROR(VLOOKUP(AC18,IN_Zugliste!$A$4:$E$2002,5,FALSE),"")</f>
        <v/>
      </c>
      <c r="AD217" t="str">
        <f>+IFERROR(VLOOKUP(AD18,IN_Zugliste!$A$4:$E$2002,5,FALSE),"")</f>
        <v/>
      </c>
      <c r="AE217" t="str">
        <f>+IFERROR(VLOOKUP(AE18,IN_Zugliste!$A$4:$E$2002,5,FALSE),"")</f>
        <v/>
      </c>
      <c r="AF217" t="str">
        <f>+IFERROR(VLOOKUP(AF18,IN_Zugliste!$A$4:$E$2002,5,FALSE),"")</f>
        <v/>
      </c>
      <c r="AG217" t="str">
        <f>+IFERROR(VLOOKUP(AG18,IN_Zugliste!$A$4:$E$2002,5,FALSE),"")</f>
        <v/>
      </c>
      <c r="AH217" t="str">
        <f>+IFERROR(VLOOKUP(AH18,IN_Zugliste!$A$4:$E$2002,5,FALSE),"")</f>
        <v/>
      </c>
      <c r="AI217" t="str">
        <f>+IFERROR(VLOOKUP(AI18,IN_Zugliste!$A$4:$E$2002,5,FALSE),"")</f>
        <v/>
      </c>
      <c r="AJ217" t="str">
        <f>+IFERROR(VLOOKUP(AJ18,IN_Zugliste!$A$4:$E$2002,5,FALSE),"")</f>
        <v/>
      </c>
      <c r="AK217" t="str">
        <f>+IFERROR(VLOOKUP(AK18,IN_Zugliste!$A$4:$E$2002,5,FALSE),"")</f>
        <v/>
      </c>
      <c r="AL217" t="str">
        <f>+IFERROR(VLOOKUP(AL18,IN_Zugliste!$A$4:$E$2002,5,FALSE),"")</f>
        <v/>
      </c>
      <c r="AM217" t="str">
        <f>+IFERROR(VLOOKUP(AM18,IN_Zugliste!$A$4:$E$2002,5,FALSE),"")</f>
        <v/>
      </c>
      <c r="AN217" t="str">
        <f>+IFERROR(VLOOKUP(AN18,IN_Zugliste!$A$4:$E$2002,5,FALSE),"")</f>
        <v/>
      </c>
      <c r="AO217" t="str">
        <f>+IFERROR(VLOOKUP(AO18,IN_Zugliste!$A$4:$E$2002,5,FALSE),"")</f>
        <v/>
      </c>
      <c r="AP217" t="str">
        <f>+IFERROR(VLOOKUP(AP18,IN_Zugliste!$A$4:$E$2002,5,FALSE),"")</f>
        <v/>
      </c>
      <c r="AQ217" t="str">
        <f>+IFERROR(VLOOKUP(AQ18,IN_Zugliste!$A$4:$E$2002,5,FALSE),"")</f>
        <v/>
      </c>
      <c r="AR217" t="str">
        <f>+IFERROR(VLOOKUP(AR18,IN_Zugliste!$A$4:$E$2002,5,FALSE),"")</f>
        <v/>
      </c>
      <c r="AS217" t="str">
        <f>+IFERROR(VLOOKUP(AS18,IN_Zugliste!$A$4:$E$2002,5,FALSE),"")</f>
        <v/>
      </c>
      <c r="AT217" t="str">
        <f>+IFERROR(VLOOKUP(AT18,IN_Zugliste!$A$4:$E$2002,5,FALSE),"")</f>
        <v/>
      </c>
      <c r="AU217" t="str">
        <f>+IFERROR(VLOOKUP(AU18,IN_Zugliste!$A$4:$E$2002,5,FALSE),"")</f>
        <v/>
      </c>
      <c r="AV217" t="str">
        <f>+IFERROR(VLOOKUP(AV18,IN_Zugliste!$A$4:$E$2002,5,FALSE),"")</f>
        <v/>
      </c>
      <c r="AW217" t="str">
        <f>+IFERROR(VLOOKUP(AW18,IN_Zugliste!$A$4:$E$2002,5,FALSE),"")</f>
        <v/>
      </c>
      <c r="AX217" t="str">
        <f>+IFERROR(VLOOKUP(AX18,IN_Zugliste!$A$4:$E$2002,5,FALSE),"")</f>
        <v/>
      </c>
      <c r="AY217" t="str">
        <f>+IFERROR(VLOOKUP(AY18,IN_Zugliste!$A$4:$E$2002,5,FALSE),"")</f>
        <v/>
      </c>
      <c r="AZ217" t="str">
        <f>+IFERROR(VLOOKUP(AZ18,IN_Zugliste!$A$4:$E$2002,5,FALSE),"")</f>
        <v/>
      </c>
      <c r="BA217" t="str">
        <f>+IFERROR(VLOOKUP(BA18,IN_Zugliste!$A$4:$E$2002,5,FALSE),"")</f>
        <v/>
      </c>
      <c r="BB217" t="str">
        <f>+IFERROR(VLOOKUP(BB18,IN_Zugliste!$A$4:$E$2002,5,FALSE),"")</f>
        <v/>
      </c>
      <c r="BC217" t="str">
        <f>+IFERROR(VLOOKUP(BC18,IN_Zugliste!$A$4:$E$2002,5,FALSE),"")</f>
        <v/>
      </c>
      <c r="BD217" t="str">
        <f>+IFERROR(VLOOKUP(BD18,IN_Zugliste!$A$4:$E$2002,5,FALSE),"")</f>
        <v/>
      </c>
      <c r="BE217" t="str">
        <f>+IFERROR(VLOOKUP(BE18,IN_Zugliste!$A$4:$E$2002,5,FALSE),"")</f>
        <v/>
      </c>
      <c r="BF217" t="str">
        <f>+IFERROR(VLOOKUP(BF18,IN_Zugliste!$A$4:$E$2002,5,FALSE),"")</f>
        <v/>
      </c>
      <c r="BG217" t="str">
        <f>+IFERROR(VLOOKUP(BG18,IN_Zugliste!$A$4:$E$2002,5,FALSE),"")</f>
        <v/>
      </c>
      <c r="BH217" t="str">
        <f>+IFERROR(VLOOKUP(BH18,IN_Zugliste!$A$4:$E$2002,5,FALSE),"")</f>
        <v/>
      </c>
      <c r="BI217" t="str">
        <f>+IFERROR(VLOOKUP(BI18,IN_Zugliste!$A$4:$E$2002,5,FALSE),"")</f>
        <v/>
      </c>
      <c r="BJ217" t="str">
        <f>+IFERROR(VLOOKUP(BJ18,IN_Zugliste!$A$4:$E$2002,5,FALSE),"")</f>
        <v/>
      </c>
      <c r="BK217" t="str">
        <f>+IFERROR(VLOOKUP(BK18,IN_Zugliste!$A$4:$E$2002,5,FALSE),"")</f>
        <v/>
      </c>
      <c r="BL217" t="str">
        <f>+IFERROR(VLOOKUP(BL18,IN_Zugliste!$A$4:$E$2002,5,FALSE),"")</f>
        <v/>
      </c>
      <c r="BM217" t="str">
        <f>+IFERROR(VLOOKUP(BM18,IN_Zugliste!$A$4:$E$2002,5,FALSE),"")</f>
        <v/>
      </c>
      <c r="BN217" t="str">
        <f>+IFERROR(VLOOKUP(BN18,IN_Zugliste!$A$4:$E$2002,5,FALSE),"")</f>
        <v/>
      </c>
      <c r="BO217" t="str">
        <f>+IFERROR(VLOOKUP(BO18,IN_Zugliste!$A$4:$E$2002,5,FALSE),"")</f>
        <v/>
      </c>
      <c r="BP217" t="str">
        <f>+IFERROR(VLOOKUP(BP18,IN_Zugliste!$A$4:$E$2002,5,FALSE),"")</f>
        <v/>
      </c>
      <c r="BQ217" t="str">
        <f>+IFERROR(VLOOKUP(BQ18,IN_Zugliste!$A$4:$E$2002,5,FALSE),"")</f>
        <v/>
      </c>
      <c r="BR217" t="str">
        <f>+IFERROR(VLOOKUP(BR18,IN_Zugliste!$A$4:$E$2002,5,FALSE),"")</f>
        <v/>
      </c>
      <c r="BS217" t="str">
        <f>+IFERROR(VLOOKUP(BS18,IN_Zugliste!$A$4:$E$2002,5,FALSE),"")</f>
        <v/>
      </c>
      <c r="BT217" t="str">
        <f>+IFERROR(VLOOKUP(BT18,IN_Zugliste!$A$4:$E$2002,5,FALSE),"")</f>
        <v/>
      </c>
      <c r="BU217" t="str">
        <f>+IFERROR(VLOOKUP(BU18,IN_Zugliste!$A$4:$E$2002,5,FALSE),"")</f>
        <v/>
      </c>
      <c r="BV217" t="str">
        <f>+IFERROR(VLOOKUP(BV18,IN_Zugliste!$A$4:$E$2002,5,FALSE),"")</f>
        <v/>
      </c>
      <c r="BW217" t="str">
        <f>+IFERROR(VLOOKUP(BW18,IN_Zugliste!$A$4:$E$2002,5,FALSE),"")</f>
        <v/>
      </c>
      <c r="BX217" t="str">
        <f>+IFERROR(VLOOKUP(BX18,IN_Zugliste!$A$4:$E$2002,5,FALSE),"")</f>
        <v/>
      </c>
      <c r="BY217" t="str">
        <f>+IFERROR(VLOOKUP(BY18,IN_Zugliste!$A$4:$E$2002,5,FALSE),"")</f>
        <v/>
      </c>
      <c r="BZ217" t="str">
        <f>+IFERROR(VLOOKUP(BZ18,IN_Zugliste!$A$4:$E$2002,5,FALSE),"")</f>
        <v/>
      </c>
      <c r="CA217" t="str">
        <f>+IFERROR(VLOOKUP(CA18,IN_Zugliste!$A$4:$E$2002,5,FALSE),"")</f>
        <v/>
      </c>
      <c r="CB217" t="str">
        <f>+IFERROR(VLOOKUP(CB18,IN_Zugliste!$A$4:$E$2002,5,FALSE),"")</f>
        <v/>
      </c>
      <c r="CC217" t="str">
        <f>+IFERROR(VLOOKUP(CC18,IN_Zugliste!$A$4:$E$2002,5,FALSE),"")</f>
        <v/>
      </c>
      <c r="CD217" t="str">
        <f>+IFERROR(VLOOKUP(CD18,IN_Zugliste!$A$4:$E$2002,5,FALSE),"")</f>
        <v/>
      </c>
      <c r="CE217" t="str">
        <f>+IFERROR(VLOOKUP(CE18,IN_Zugliste!$A$4:$E$2002,5,FALSE),"")</f>
        <v/>
      </c>
      <c r="CF217" t="str">
        <f>+IFERROR(VLOOKUP(CF18,IN_Zugliste!$A$4:$E$2002,5,FALSE),"")</f>
        <v/>
      </c>
      <c r="CG217" t="str">
        <f>+IFERROR(VLOOKUP(CG18,IN_Zugliste!$A$4:$E$2002,5,FALSE),"")</f>
        <v/>
      </c>
      <c r="CH217" t="str">
        <f>+IFERROR(VLOOKUP(CH18,IN_Zugliste!$A$4:$E$2002,5,FALSE),"")</f>
        <v/>
      </c>
      <c r="CI217" t="str">
        <f>+IFERROR(VLOOKUP(CI18,IN_Zugliste!$A$4:$E$2002,5,FALSE),"")</f>
        <v/>
      </c>
      <c r="CJ217" t="str">
        <f>+IFERROR(VLOOKUP(CJ18,IN_Zugliste!$A$4:$E$2002,5,FALSE),"")</f>
        <v/>
      </c>
      <c r="CK217" t="str">
        <f>+IFERROR(VLOOKUP(CK18,IN_Zugliste!$A$4:$E$2002,5,FALSE),"")</f>
        <v/>
      </c>
      <c r="CL217" t="str">
        <f>+IFERROR(VLOOKUP(CL18,IN_Zugliste!$A$4:$E$2002,5,FALSE),"")</f>
        <v/>
      </c>
      <c r="CM217" t="str">
        <f>+IFERROR(VLOOKUP(CM18,IN_Zugliste!$A$4:$E$2002,5,FALSE),"")</f>
        <v/>
      </c>
      <c r="CN217" t="str">
        <f>+IFERROR(VLOOKUP(CN18,IN_Zugliste!$A$4:$E$2002,5,FALSE),"")</f>
        <v/>
      </c>
      <c r="CO217" t="str">
        <f>+IFERROR(VLOOKUP(CO18,IN_Zugliste!$A$4:$E$2002,5,FALSE),"")</f>
        <v/>
      </c>
      <c r="CP217" t="str">
        <f>+IFERROR(VLOOKUP(CP18,IN_Zugliste!$A$4:$E$2002,5,FALSE),"")</f>
        <v/>
      </c>
      <c r="CQ217" t="str">
        <f>+IFERROR(VLOOKUP(CQ18,IN_Zugliste!$A$4:$E$2002,5,FALSE),"")</f>
        <v/>
      </c>
      <c r="CR217" t="str">
        <f>+IFERROR(VLOOKUP(CR18,IN_Zugliste!$A$4:$E$2002,5,FALSE),"")</f>
        <v/>
      </c>
      <c r="CS217" t="str">
        <f>+IFERROR(VLOOKUP(CS18,IN_Zugliste!$A$4:$E$2002,5,FALSE),"")</f>
        <v/>
      </c>
      <c r="CT217" t="str">
        <f>+IFERROR(VLOOKUP(CT18,IN_Zugliste!$A$4:$E$2002,5,FALSE),"")</f>
        <v/>
      </c>
      <c r="CU217" t="str">
        <f>+IFERROR(VLOOKUP(CU18,IN_Zugliste!$A$4:$E$2002,5,FALSE),"")</f>
        <v/>
      </c>
      <c r="CV217" t="str">
        <f>+IFERROR(VLOOKUP(CV18,IN_Zugliste!$A$4:$E$2002,5,FALSE),"")</f>
        <v/>
      </c>
      <c r="CW217" t="str">
        <f>+IFERROR(VLOOKUP(CW18,IN_Zugliste!$A$4:$E$2002,5,FALSE),"")</f>
        <v/>
      </c>
      <c r="CX217" t="str">
        <f>+IFERROR(VLOOKUP(CX18,IN_Zugliste!$A$4:$E$2002,5,FALSE),"")</f>
        <v/>
      </c>
      <c r="CY217" t="str">
        <f>+IFERROR(VLOOKUP(CY18,IN_Zugliste!$A$4:$E$2002,5,FALSE),"")</f>
        <v/>
      </c>
      <c r="CZ217" t="str">
        <f>+IFERROR(VLOOKUP(CZ18,IN_Zugliste!$A$4:$E$2002,5,FALSE),"")</f>
        <v/>
      </c>
      <c r="DA217" t="str">
        <f>+IFERROR(VLOOKUP(DA18,IN_Zugliste!$A$4:$E$2002,5,FALSE),"")</f>
        <v/>
      </c>
      <c r="DB217" t="str">
        <f>+IFERROR(VLOOKUP(DB18,IN_Zugliste!$A$4:$E$2002,5,FALSE),"")</f>
        <v/>
      </c>
      <c r="DC217" t="str">
        <f>+IFERROR(VLOOKUP(DC18,IN_Zugliste!$A$4:$E$2002,5,FALSE),"")</f>
        <v/>
      </c>
      <c r="DD217" t="str">
        <f>+IFERROR(VLOOKUP(DD18,IN_Zugliste!$A$4:$E$2002,5,FALSE),"")</f>
        <v/>
      </c>
      <c r="DE217" t="str">
        <f>+IFERROR(VLOOKUP(DE18,IN_Zugliste!$A$4:$E$2002,5,FALSE),"")</f>
        <v/>
      </c>
      <c r="DF217" t="str">
        <f>+IFERROR(VLOOKUP(DF18,IN_Zugliste!$A$4:$E$2002,5,FALSE),"")</f>
        <v/>
      </c>
      <c r="DG217" t="str">
        <f>+IFERROR(VLOOKUP(DG18,IN_Zugliste!$A$4:$E$2002,5,FALSE),"")</f>
        <v/>
      </c>
      <c r="DH217" t="str">
        <f>+IFERROR(VLOOKUP(DH18,IN_Zugliste!$A$4:$E$2002,5,FALSE),"")</f>
        <v/>
      </c>
      <c r="DI217" t="str">
        <f>+IFERROR(VLOOKUP(DI18,IN_Zugliste!$A$4:$E$2002,5,FALSE),"")</f>
        <v/>
      </c>
      <c r="DJ217" t="str">
        <f>+IFERROR(VLOOKUP(DJ18,IN_Zugliste!$A$4:$E$2002,5,FALSE),"")</f>
        <v/>
      </c>
      <c r="DK217" t="str">
        <f>+IFERROR(VLOOKUP(DK18,IN_Zugliste!$A$4:$E$2002,5,FALSE),"")</f>
        <v/>
      </c>
      <c r="DL217" t="str">
        <f>+IFERROR(VLOOKUP(DL18,IN_Zugliste!$A$4:$E$2002,5,FALSE),"")</f>
        <v/>
      </c>
      <c r="DM217" t="str">
        <f>+IFERROR(VLOOKUP(DM18,IN_Zugliste!$A$4:$E$2002,5,FALSE),"")</f>
        <v/>
      </c>
      <c r="DN217" t="str">
        <f>+IFERROR(VLOOKUP(DN18,IN_Zugliste!$A$4:$E$2002,5,FALSE),"")</f>
        <v/>
      </c>
      <c r="DO217" t="str">
        <f>+IFERROR(VLOOKUP(DO18,IN_Zugliste!$A$4:$E$2002,5,FALSE),"")</f>
        <v/>
      </c>
      <c r="DP217" t="str">
        <f>+IFERROR(VLOOKUP(DP18,IN_Zugliste!$A$4:$E$2002,5,FALSE),"")</f>
        <v/>
      </c>
      <c r="DQ217" t="str">
        <f>+IFERROR(VLOOKUP(DQ18,IN_Zugliste!$A$4:$E$2002,5,FALSE),"")</f>
        <v/>
      </c>
      <c r="DR217" t="str">
        <f>+IFERROR(VLOOKUP(DR18,IN_Zugliste!$A$4:$E$2002,5,FALSE),"")</f>
        <v/>
      </c>
      <c r="DS217" t="str">
        <f>+IFERROR(VLOOKUP(DS18,IN_Zugliste!$A$4:$E$2002,5,FALSE),"")</f>
        <v/>
      </c>
      <c r="DT217" t="str">
        <f>+IFERROR(VLOOKUP(DT18,IN_Zugliste!$A$4:$E$2002,5,FALSE),"")</f>
        <v/>
      </c>
      <c r="DU217" t="str">
        <f>+IFERROR(VLOOKUP(DU18,IN_Zugliste!$A$4:$E$2002,5,FALSE),"")</f>
        <v/>
      </c>
      <c r="DV217" t="str">
        <f>+IFERROR(VLOOKUP(DV18,IN_Zugliste!$A$4:$E$2002,5,FALSE),"")</f>
        <v/>
      </c>
      <c r="DW217" t="str">
        <f>+IFERROR(VLOOKUP(DW18,IN_Zugliste!$A$4:$E$2002,5,FALSE),"")</f>
        <v/>
      </c>
      <c r="DX217" t="str">
        <f>+IFERROR(VLOOKUP(DX18,IN_Zugliste!$A$4:$E$2002,5,FALSE),"")</f>
        <v/>
      </c>
      <c r="DY217" t="str">
        <f>+IFERROR(VLOOKUP(DY18,IN_Zugliste!$A$4:$E$2002,5,FALSE),"")</f>
        <v/>
      </c>
      <c r="DZ217" t="str">
        <f>+IFERROR(VLOOKUP(DZ18,IN_Zugliste!$A$4:$E$2002,5,FALSE),"")</f>
        <v/>
      </c>
      <c r="EA217" t="str">
        <f>+IFERROR(VLOOKUP(EA18,IN_Zugliste!$A$4:$E$2002,5,FALSE),"")</f>
        <v/>
      </c>
      <c r="EB217" t="str">
        <f>+IFERROR(VLOOKUP(EB18,IN_Zugliste!$A$4:$E$2002,5,FALSE),"")</f>
        <v/>
      </c>
      <c r="EC217" t="str">
        <f>+IFERROR(VLOOKUP(EC18,IN_Zugliste!$A$4:$E$2002,5,FALSE),"")</f>
        <v/>
      </c>
      <c r="ED217" t="str">
        <f>+IFERROR(VLOOKUP(ED18,IN_Zugliste!$A$4:$E$2002,5,FALSE),"")</f>
        <v/>
      </c>
      <c r="EE217" t="str">
        <f>+IFERROR(VLOOKUP(EE18,IN_Zugliste!$A$4:$E$2002,5,FALSE),"")</f>
        <v/>
      </c>
      <c r="EF217" t="str">
        <f>+IFERROR(VLOOKUP(EF18,IN_Zugliste!$A$4:$E$2002,5,FALSE),"")</f>
        <v/>
      </c>
      <c r="EG217" t="str">
        <f>+IFERROR(VLOOKUP(EG18,IN_Zugliste!$A$4:$E$2002,5,FALSE),"")</f>
        <v/>
      </c>
      <c r="EH217" t="str">
        <f>+IFERROR(VLOOKUP(EH18,IN_Zugliste!$A$4:$E$2002,5,FALSE),"")</f>
        <v/>
      </c>
      <c r="EI217" t="str">
        <f>+IFERROR(VLOOKUP(EI18,IN_Zugliste!$A$4:$E$2002,5,FALSE),"")</f>
        <v/>
      </c>
      <c r="EJ217" t="str">
        <f>+IFERROR(VLOOKUP(EJ18,IN_Zugliste!$A$4:$E$2002,5,FALSE),"")</f>
        <v/>
      </c>
      <c r="EK217" t="str">
        <f>+IFERROR(VLOOKUP(EK18,IN_Zugliste!$A$4:$E$2002,5,FALSE),"")</f>
        <v/>
      </c>
      <c r="EL217" t="str">
        <f>+IFERROR(VLOOKUP(EL18,IN_Zugliste!$A$4:$E$2002,5,FALSE),"")</f>
        <v/>
      </c>
      <c r="EM217" t="str">
        <f>+IFERROR(VLOOKUP(EM18,IN_Zugliste!$A$4:$E$2002,5,FALSE),"")</f>
        <v/>
      </c>
      <c r="EN217" t="str">
        <f>+IFERROR(VLOOKUP(EN18,IN_Zugliste!$A$4:$E$2002,5,FALSE),"")</f>
        <v/>
      </c>
      <c r="EO217" t="str">
        <f>+IFERROR(VLOOKUP(EO18,IN_Zugliste!$A$4:$E$2002,5,FALSE),"")</f>
        <v/>
      </c>
      <c r="EP217" t="str">
        <f>+IFERROR(VLOOKUP(EP18,IN_Zugliste!$A$4:$E$2002,5,FALSE),"")</f>
        <v/>
      </c>
      <c r="EQ217" t="str">
        <f>+IFERROR(VLOOKUP(EQ18,IN_Zugliste!$A$4:$E$2002,5,FALSE),"")</f>
        <v/>
      </c>
      <c r="ER217" t="str">
        <f>+IFERROR(VLOOKUP(ER18,IN_Zugliste!$A$4:$E$2002,5,FALSE),"")</f>
        <v/>
      </c>
      <c r="ES217" t="str">
        <f>+IFERROR(VLOOKUP(ES18,IN_Zugliste!$A$4:$E$2002,5,FALSE),"")</f>
        <v/>
      </c>
      <c r="ET217" t="str">
        <f>+IFERROR(VLOOKUP(ET18,IN_Zugliste!$A$4:$E$2002,5,FALSE),"")</f>
        <v/>
      </c>
      <c r="EU217" t="str">
        <f>+IFERROR(VLOOKUP(EU18,IN_Zugliste!$A$4:$E$2002,5,FALSE),"")</f>
        <v/>
      </c>
      <c r="EV217" t="str">
        <f>+IFERROR(VLOOKUP(EV18,IN_Zugliste!$A$4:$E$2002,5,FALSE),"")</f>
        <v/>
      </c>
      <c r="EW217" t="str">
        <f>+IFERROR(VLOOKUP(EW18,IN_Zugliste!$A$4:$E$2002,5,FALSE),"")</f>
        <v/>
      </c>
      <c r="EX217" t="str">
        <f>+IFERROR(VLOOKUP(EX18,IN_Zugliste!$A$4:$E$2002,5,FALSE),"")</f>
        <v/>
      </c>
      <c r="EY217" t="str">
        <f>+IFERROR(VLOOKUP(EY18,IN_Zugliste!$A$4:$E$2002,5,FALSE),"")</f>
        <v/>
      </c>
      <c r="EZ217" t="str">
        <f>+IFERROR(VLOOKUP(EZ18,IN_Zugliste!$A$4:$E$2002,5,FALSE),"")</f>
        <v/>
      </c>
      <c r="FA217" t="str">
        <f>+IFERROR(VLOOKUP(FA18,IN_Zugliste!$A$4:$E$2002,5,FALSE),"")</f>
        <v/>
      </c>
      <c r="FB217" t="str">
        <f>+IFERROR(VLOOKUP(FB18,IN_Zugliste!$A$4:$E$2002,5,FALSE),"")</f>
        <v/>
      </c>
      <c r="FC217" t="str">
        <f>+IFERROR(VLOOKUP(FC18,IN_Zugliste!$A$4:$E$2002,5,FALSE),"")</f>
        <v/>
      </c>
      <c r="FD217" t="str">
        <f>+IFERROR(VLOOKUP(FD18,IN_Zugliste!$A$4:$E$2002,5,FALSE),"")</f>
        <v/>
      </c>
      <c r="FE217" t="str">
        <f>+IFERROR(VLOOKUP(FE18,IN_Zugliste!$A$4:$E$2002,5,FALSE),"")</f>
        <v/>
      </c>
      <c r="FF217" t="str">
        <f>+IFERROR(VLOOKUP(FF18,IN_Zugliste!$A$4:$E$2002,5,FALSE),"")</f>
        <v/>
      </c>
      <c r="FG217" t="str">
        <f>+IFERROR(VLOOKUP(FG18,IN_Zugliste!$A$4:$E$2002,5,FALSE),"")</f>
        <v/>
      </c>
      <c r="FH217" t="str">
        <f>+IFERROR(VLOOKUP(FH18,IN_Zugliste!$A$4:$E$2002,5,FALSE),"")</f>
        <v/>
      </c>
      <c r="FI217" t="str">
        <f>+IFERROR(VLOOKUP(FI18,IN_Zugliste!$A$4:$E$2002,5,FALSE),"")</f>
        <v/>
      </c>
      <c r="FJ217" t="str">
        <f>+IFERROR(VLOOKUP(FJ18,IN_Zugliste!$A$4:$E$2002,5,FALSE),"")</f>
        <v/>
      </c>
      <c r="FK217" t="str">
        <f>+IFERROR(VLOOKUP(FK18,IN_Zugliste!$A$4:$E$2002,5,FALSE),"")</f>
        <v/>
      </c>
      <c r="FL217" t="str">
        <f>+IFERROR(VLOOKUP(FL18,IN_Zugliste!$A$4:$E$2002,5,FALSE),"")</f>
        <v/>
      </c>
      <c r="FM217" t="str">
        <f>+IFERROR(VLOOKUP(FM18,IN_Zugliste!$A$4:$D$2002,5,FALSE),"")</f>
        <v/>
      </c>
      <c r="FN217" t="str">
        <f>+IFERROR(VLOOKUP(FN18,IN_Zugliste!$A$4:$D$2002,5,FALSE),"")</f>
        <v/>
      </c>
      <c r="FO217" t="str">
        <f>+IFERROR(VLOOKUP(FO18,IN_Zugliste!$A$4:$D$2002,5,FALSE),"")</f>
        <v/>
      </c>
      <c r="FP217" t="str">
        <f>+IFERROR(VLOOKUP(FP18,IN_Zugliste!$A$4:$D$2002,5,FALSE),"")</f>
        <v/>
      </c>
      <c r="FQ217" t="str">
        <f>+IFERROR(VLOOKUP(FQ18,IN_Zugliste!$A$4:$D$2002,5,FALSE),"")</f>
        <v/>
      </c>
      <c r="FR217" t="str">
        <f>+IFERROR(VLOOKUP(FR18,IN_Zugliste!$A$4:$D$2002,5,FALSE),"")</f>
        <v/>
      </c>
      <c r="FS217" t="str">
        <f>+IFERROR(VLOOKUP(FS18,IN_Zugliste!$A$4:$D$2002,5,FALSE),"")</f>
        <v/>
      </c>
      <c r="FT217" t="str">
        <f>+IFERROR(VLOOKUP(FT18,IN_Zugliste!$A$4:$D$2002,5,FALSE),"")</f>
        <v/>
      </c>
      <c r="FU217" t="str">
        <f>+IFERROR(VLOOKUP(FU18,IN_Zugliste!$A$4:$D$2002,5,FALSE),"")</f>
        <v/>
      </c>
      <c r="FV217" t="str">
        <f>+IFERROR(VLOOKUP(FV18,IN_Zugliste!$A$4:$D$2002,5,FALSE),"")</f>
        <v/>
      </c>
      <c r="FW217" t="str">
        <f>+IFERROR(VLOOKUP(FW18,IN_Zugliste!$A$4:$D$2002,5,FALSE),"")</f>
        <v/>
      </c>
      <c r="FX217" t="str">
        <f>+IFERROR(VLOOKUP(FX18,IN_Zugliste!$A$4:$D$2002,5,FALSE),"")</f>
        <v/>
      </c>
      <c r="FY217" t="str">
        <f>+IFERROR(VLOOKUP(FY18,IN_Zugliste!$A$4:$D$2002,5,FALSE),"")</f>
        <v/>
      </c>
      <c r="FZ217" t="str">
        <f>+IFERROR(VLOOKUP(FZ18,IN_Zugliste!$A$4:$D$2002,5,FALSE),"")</f>
        <v/>
      </c>
      <c r="GA217" t="str">
        <f>+IFERROR(VLOOKUP(GA18,IN_Zugliste!$A$4:$D$2002,5,FALSE),"")</f>
        <v/>
      </c>
      <c r="GB217" t="str">
        <f>+IFERROR(VLOOKUP(GB18,IN_Zugliste!$A$4:$D$2002,5,FALSE),"")</f>
        <v/>
      </c>
      <c r="GC217" t="str">
        <f>+IFERROR(VLOOKUP(GC18,IN_Zugliste!$A$4:$D$2002,5,FALSE),"")</f>
        <v/>
      </c>
      <c r="GD217" t="str">
        <f>+IFERROR(VLOOKUP(GD18,IN_Zugliste!$A$4:$D$2002,5,FALSE),"")</f>
        <v/>
      </c>
      <c r="GE217" t="str">
        <f>+IFERROR(VLOOKUP(GE18,IN_Zugliste!$A$4:$D$2002,5,FALSE),"")</f>
        <v/>
      </c>
      <c r="GF217" t="str">
        <f>+IFERROR(VLOOKUP(GF18,IN_Zugliste!$A$4:$D$2002,5,FALSE),"")</f>
        <v/>
      </c>
      <c r="GG217" t="str">
        <f>+IFERROR(VLOOKUP(GG18,IN_Zugliste!$A$4:$D$2002,5,FALSE),"")</f>
        <v/>
      </c>
      <c r="GH217" t="str">
        <f>+IFERROR(VLOOKUP(GH18,IN_Zugliste!$A$4:$D$2002,5,FALSE),"")</f>
        <v/>
      </c>
      <c r="GI217" t="str">
        <f>+IFERROR(VLOOKUP(GI18,IN_Zugliste!$A$4:$D$2002,5,FALSE),"")</f>
        <v/>
      </c>
      <c r="GJ217" t="str">
        <f>+IFERROR(VLOOKUP(GJ18,IN_Zugliste!$A$4:$D$2002,5,FALSE),"")</f>
        <v/>
      </c>
      <c r="GK217" t="str">
        <f>+IFERROR(VLOOKUP(GK18,IN_Zugliste!$A$4:$D$2002,5,FALSE),"")</f>
        <v/>
      </c>
      <c r="GL217" t="str">
        <f>+IFERROR(VLOOKUP(GL18,IN_Zugliste!$A$4:$D$2002,5,FALSE),"")</f>
        <v/>
      </c>
      <c r="GM217" t="str">
        <f>+IFERROR(VLOOKUP(GM18,IN_Zugliste!$A$4:$D$2002,5,FALSE),"")</f>
        <v/>
      </c>
      <c r="GN217" t="str">
        <f>+IFERROR(VLOOKUP(GN18,IN_Zugliste!$A$4:$D$2002,5,FALSE),"")</f>
        <v/>
      </c>
      <c r="GO217" t="str">
        <f>+IFERROR(VLOOKUP(GO18,IN_Zugliste!$A$4:$D$2002,5,FALSE),"")</f>
        <v/>
      </c>
      <c r="GP217" t="str">
        <f>+IFERROR(VLOOKUP(GP18,IN_Zugliste!$A$4:$D$2002,5,FALSE),"")</f>
        <v/>
      </c>
      <c r="GQ217" t="str">
        <f>+IFERROR(VLOOKUP(GQ18,IN_Zugliste!$A$4:$D$2002,5,FALSE),"")</f>
        <v/>
      </c>
      <c r="GR217" t="str">
        <f>+IFERROR(VLOOKUP(GR18,IN_Zugliste!$A$4:$D$2002,5,FALSE),"")</f>
        <v/>
      </c>
      <c r="GS217" t="str">
        <f>+IFERROR(VLOOKUP(GS18,IN_Zugliste!$A$4:$D$2002,5,FALSE),"")</f>
        <v/>
      </c>
      <c r="GT217" t="str">
        <f>+IFERROR(VLOOKUP(GT18,IN_Zugliste!$A$4:$D$2002,5,FALSE),"")</f>
        <v/>
      </c>
      <c r="GU217" t="str">
        <f>+IFERROR(VLOOKUP(GU18,IN_Zugliste!$A$4:$D$2002,5,FALSE),"")</f>
        <v/>
      </c>
      <c r="GV217" t="str">
        <f>+IFERROR(VLOOKUP(GV18,IN_Zugliste!$A$4:$D$2002,5,FALSE),"")</f>
        <v/>
      </c>
      <c r="GW217" t="str">
        <f>+IFERROR(VLOOKUP(GW18,IN_Zugliste!$A$4:$D$2002,5,FALSE),"")</f>
        <v/>
      </c>
      <c r="GX217" t="str">
        <f>+IFERROR(VLOOKUP(GX18,IN_Zugliste!$A$4:$D$2002,5,FALSE),"")</f>
        <v/>
      </c>
      <c r="GY217" t="str">
        <f>+IFERROR(VLOOKUP(GY18,IN_Zugliste!$A$4:$D$2002,5,FALSE),"")</f>
        <v/>
      </c>
      <c r="GZ217" t="str">
        <f>+IFERROR(VLOOKUP(GZ18,IN_Zugliste!$A$4:$D$2002,5,FALSE),"")</f>
        <v/>
      </c>
      <c r="HA217" t="str">
        <f>+IFERROR(VLOOKUP(HA18,IN_Zugliste!$A$4:$D$2002,5,FALSE),"")</f>
        <v/>
      </c>
      <c r="HB217" t="str">
        <f>+IFERROR(VLOOKUP(HB18,IN_Zugliste!$A$4:$D$2002,5,FALSE),"")</f>
        <v/>
      </c>
      <c r="HC217" t="str">
        <f>+IFERROR(VLOOKUP(HC18,IN_Zugliste!$A$4:$D$2002,5,FALSE),"")</f>
        <v/>
      </c>
      <c r="HD217" t="str">
        <f>+IFERROR(VLOOKUP(HD18,IN_Zugliste!$A$4:$D$2002,5,FALSE),"")</f>
        <v/>
      </c>
      <c r="HE217" t="str">
        <f>+IFERROR(VLOOKUP(HE18,IN_Zugliste!$A$4:$D$2002,5,FALSE),"")</f>
        <v/>
      </c>
      <c r="HF217" t="str">
        <f>+IFERROR(VLOOKUP(HF18,IN_Zugliste!$A$4:$D$2002,5,FALSE),"")</f>
        <v/>
      </c>
      <c r="HG217" t="str">
        <f>+IFERROR(VLOOKUP(HG18,IN_Zugliste!$A$4:$D$2002,5,FALSE),"")</f>
        <v/>
      </c>
      <c r="HH217" t="str">
        <f>+IFERROR(VLOOKUP(HH18,IN_Zugliste!$A$4:$D$2002,5,FALSE),"")</f>
        <v/>
      </c>
    </row>
    <row r="218" spans="1:216" x14ac:dyDescent="0.2">
      <c r="A218" t="str">
        <f>+IFERROR(VLOOKUP(A19,IN_Zugliste!$A$4:$E$2002,5,FALSE),"")</f>
        <v/>
      </c>
      <c r="B218" t="str">
        <f>+IFERROR(VLOOKUP(B19,IN_Zugliste!$A$4:$E$2002,5,FALSE),"")</f>
        <v/>
      </c>
      <c r="C218" t="str">
        <f>+IFERROR(VLOOKUP(C19,IN_Zugliste!$A$4:$E$2002,5,FALSE),"")</f>
        <v/>
      </c>
      <c r="D218" t="str">
        <f>+IFERROR(VLOOKUP(D19,IN_Zugliste!$A$4:$E$2002,5,FALSE),"")</f>
        <v/>
      </c>
      <c r="E218" t="str">
        <f>+IFERROR(VLOOKUP(E19,IN_Zugliste!$A$4:$E$2002,5,FALSE),"")</f>
        <v/>
      </c>
      <c r="F218" t="str">
        <f>+IFERROR(VLOOKUP(F19,IN_Zugliste!$A$4:$E$2002,5,FALSE),"")</f>
        <v/>
      </c>
      <c r="G218" t="str">
        <f>+IFERROR(VLOOKUP(G19,IN_Zugliste!$A$4:$E$2002,5,FALSE),"")</f>
        <v/>
      </c>
      <c r="H218" t="str">
        <f>+IFERROR(VLOOKUP(H19,IN_Zugliste!$A$4:$E$2002,5,FALSE),"")</f>
        <v/>
      </c>
      <c r="I218" t="str">
        <f>+IFERROR(VLOOKUP(I19,IN_Zugliste!$A$4:$E$2002,5,FALSE),"")</f>
        <v/>
      </c>
      <c r="J218" t="str">
        <f>+IFERROR(VLOOKUP(J19,IN_Zugliste!$A$4:$E$2002,5,FALSE),"")</f>
        <v/>
      </c>
      <c r="K218" t="str">
        <f>+IFERROR(VLOOKUP(K19,IN_Zugliste!$A$4:$E$2002,5,FALSE),"")</f>
        <v/>
      </c>
      <c r="L218" t="str">
        <f>+IFERROR(VLOOKUP(L19,IN_Zugliste!$A$4:$E$2002,5,FALSE),"")</f>
        <v/>
      </c>
      <c r="M218" t="str">
        <f>+IFERROR(VLOOKUP(M19,IN_Zugliste!$A$4:$E$2002,5,FALSE),"")</f>
        <v/>
      </c>
      <c r="N218" t="str">
        <f>+IFERROR(VLOOKUP(N19,IN_Zugliste!$A$4:$E$2002,5,FALSE),"")</f>
        <v/>
      </c>
      <c r="O218" t="str">
        <f>+IFERROR(VLOOKUP(O19,IN_Zugliste!$A$4:$E$2002,5,FALSE),"")</f>
        <v/>
      </c>
      <c r="P218" t="str">
        <f>+IFERROR(VLOOKUP(P19,IN_Zugliste!$A$4:$E$2002,5,FALSE),"")</f>
        <v/>
      </c>
      <c r="Q218" t="str">
        <f>+IFERROR(VLOOKUP(Q19,IN_Zugliste!$A$4:$E$2002,5,FALSE),"")</f>
        <v/>
      </c>
      <c r="R218" t="str">
        <f>+IFERROR(VLOOKUP(R19,IN_Zugliste!$A$4:$E$2002,5,FALSE),"")</f>
        <v/>
      </c>
      <c r="S218" t="str">
        <f>+IFERROR(VLOOKUP(S19,IN_Zugliste!$A$4:$E$2002,5,FALSE),"")</f>
        <v/>
      </c>
      <c r="T218" t="str">
        <f>+IFERROR(VLOOKUP(T19,IN_Zugliste!$A$4:$E$2002,5,FALSE),"")</f>
        <v/>
      </c>
      <c r="U218" t="str">
        <f>+IFERROR(VLOOKUP(U19,IN_Zugliste!$A$4:$E$2002,5,FALSE),"")</f>
        <v/>
      </c>
      <c r="V218" t="str">
        <f>+IFERROR(VLOOKUP(V19,IN_Zugliste!$A$4:$E$2002,5,FALSE),"")</f>
        <v/>
      </c>
      <c r="W218" t="str">
        <f>+IFERROR(VLOOKUP(W19,IN_Zugliste!$A$4:$E$2002,5,FALSE),"")</f>
        <v/>
      </c>
      <c r="X218" t="str">
        <f>+IFERROR(VLOOKUP(X19,IN_Zugliste!$A$4:$E$2002,5,FALSE),"")</f>
        <v/>
      </c>
      <c r="Y218" t="str">
        <f>+IFERROR(VLOOKUP(Y19,IN_Zugliste!$A$4:$E$2002,5,FALSE),"")</f>
        <v/>
      </c>
      <c r="Z218" t="str">
        <f>+IFERROR(VLOOKUP(Z19,IN_Zugliste!$A$4:$E$2002,5,FALSE),"")</f>
        <v/>
      </c>
      <c r="AA218" t="str">
        <f>+IFERROR(VLOOKUP(AA19,IN_Zugliste!$A$4:$E$2002,5,FALSE),"")</f>
        <v/>
      </c>
      <c r="AB218" t="str">
        <f>+IFERROR(VLOOKUP(AB19,IN_Zugliste!$A$4:$E$2002,5,FALSE),"")</f>
        <v/>
      </c>
      <c r="AC218" t="str">
        <f>+IFERROR(VLOOKUP(AC19,IN_Zugliste!$A$4:$E$2002,5,FALSE),"")</f>
        <v/>
      </c>
      <c r="AD218" t="str">
        <f>+IFERROR(VLOOKUP(AD19,IN_Zugliste!$A$4:$E$2002,5,FALSE),"")</f>
        <v/>
      </c>
      <c r="AE218" t="str">
        <f>+IFERROR(VLOOKUP(AE19,IN_Zugliste!$A$4:$E$2002,5,FALSE),"")</f>
        <v/>
      </c>
      <c r="AF218" t="str">
        <f>+IFERROR(VLOOKUP(AF19,IN_Zugliste!$A$4:$E$2002,5,FALSE),"")</f>
        <v/>
      </c>
      <c r="AG218" t="str">
        <f>+IFERROR(VLOOKUP(AG19,IN_Zugliste!$A$4:$E$2002,5,FALSE),"")</f>
        <v/>
      </c>
      <c r="AH218" t="str">
        <f>+IFERROR(VLOOKUP(AH19,IN_Zugliste!$A$4:$E$2002,5,FALSE),"")</f>
        <v/>
      </c>
      <c r="AI218" t="str">
        <f>+IFERROR(VLOOKUP(AI19,IN_Zugliste!$A$4:$E$2002,5,FALSE),"")</f>
        <v/>
      </c>
      <c r="AJ218" t="str">
        <f>+IFERROR(VLOOKUP(AJ19,IN_Zugliste!$A$4:$E$2002,5,FALSE),"")</f>
        <v/>
      </c>
      <c r="AK218" t="str">
        <f>+IFERROR(VLOOKUP(AK19,IN_Zugliste!$A$4:$E$2002,5,FALSE),"")</f>
        <v/>
      </c>
      <c r="AL218" t="str">
        <f>+IFERROR(VLOOKUP(AL19,IN_Zugliste!$A$4:$E$2002,5,FALSE),"")</f>
        <v/>
      </c>
      <c r="AM218" t="str">
        <f>+IFERROR(VLOOKUP(AM19,IN_Zugliste!$A$4:$E$2002,5,FALSE),"")</f>
        <v/>
      </c>
      <c r="AN218" t="str">
        <f>+IFERROR(VLOOKUP(AN19,IN_Zugliste!$A$4:$E$2002,5,FALSE),"")</f>
        <v/>
      </c>
      <c r="AO218" t="str">
        <f>+IFERROR(VLOOKUP(AO19,IN_Zugliste!$A$4:$E$2002,5,FALSE),"")</f>
        <v/>
      </c>
      <c r="AP218" t="str">
        <f>+IFERROR(VLOOKUP(AP19,IN_Zugliste!$A$4:$E$2002,5,FALSE),"")</f>
        <v/>
      </c>
      <c r="AQ218" t="str">
        <f>+IFERROR(VLOOKUP(AQ19,IN_Zugliste!$A$4:$E$2002,5,FALSE),"")</f>
        <v/>
      </c>
      <c r="AR218" t="str">
        <f>+IFERROR(VLOOKUP(AR19,IN_Zugliste!$A$4:$E$2002,5,FALSE),"")</f>
        <v/>
      </c>
      <c r="AS218" t="str">
        <f>+IFERROR(VLOOKUP(AS19,IN_Zugliste!$A$4:$E$2002,5,FALSE),"")</f>
        <v/>
      </c>
      <c r="AT218" t="str">
        <f>+IFERROR(VLOOKUP(AT19,IN_Zugliste!$A$4:$E$2002,5,FALSE),"")</f>
        <v/>
      </c>
      <c r="AU218" t="str">
        <f>+IFERROR(VLOOKUP(AU19,IN_Zugliste!$A$4:$E$2002,5,FALSE),"")</f>
        <v/>
      </c>
      <c r="AV218" t="str">
        <f>+IFERROR(VLOOKUP(AV19,IN_Zugliste!$A$4:$E$2002,5,FALSE),"")</f>
        <v/>
      </c>
      <c r="AW218" t="str">
        <f>+IFERROR(VLOOKUP(AW19,IN_Zugliste!$A$4:$E$2002,5,FALSE),"")</f>
        <v/>
      </c>
      <c r="AX218" t="str">
        <f>+IFERROR(VLOOKUP(AX19,IN_Zugliste!$A$4:$E$2002,5,FALSE),"")</f>
        <v/>
      </c>
      <c r="AY218" t="str">
        <f>+IFERROR(VLOOKUP(AY19,IN_Zugliste!$A$4:$E$2002,5,FALSE),"")</f>
        <v/>
      </c>
      <c r="AZ218" t="str">
        <f>+IFERROR(VLOOKUP(AZ19,IN_Zugliste!$A$4:$E$2002,5,FALSE),"")</f>
        <v/>
      </c>
      <c r="BA218" t="str">
        <f>+IFERROR(VLOOKUP(BA19,IN_Zugliste!$A$4:$E$2002,5,FALSE),"")</f>
        <v/>
      </c>
      <c r="BB218" t="str">
        <f>+IFERROR(VLOOKUP(BB19,IN_Zugliste!$A$4:$E$2002,5,FALSE),"")</f>
        <v/>
      </c>
      <c r="BC218" t="str">
        <f>+IFERROR(VLOOKUP(BC19,IN_Zugliste!$A$4:$E$2002,5,FALSE),"")</f>
        <v/>
      </c>
      <c r="BD218" t="str">
        <f>+IFERROR(VLOOKUP(BD19,IN_Zugliste!$A$4:$E$2002,5,FALSE),"")</f>
        <v/>
      </c>
      <c r="BE218" t="str">
        <f>+IFERROR(VLOOKUP(BE19,IN_Zugliste!$A$4:$E$2002,5,FALSE),"")</f>
        <v/>
      </c>
      <c r="BF218" t="str">
        <f>+IFERROR(VLOOKUP(BF19,IN_Zugliste!$A$4:$E$2002,5,FALSE),"")</f>
        <v/>
      </c>
      <c r="BG218" t="str">
        <f>+IFERROR(VLOOKUP(BG19,IN_Zugliste!$A$4:$E$2002,5,FALSE),"")</f>
        <v/>
      </c>
      <c r="BH218" t="str">
        <f>+IFERROR(VLOOKUP(BH19,IN_Zugliste!$A$4:$E$2002,5,FALSE),"")</f>
        <v/>
      </c>
      <c r="BI218" t="str">
        <f>+IFERROR(VLOOKUP(BI19,IN_Zugliste!$A$4:$E$2002,5,FALSE),"")</f>
        <v/>
      </c>
      <c r="BJ218" t="str">
        <f>+IFERROR(VLOOKUP(BJ19,IN_Zugliste!$A$4:$E$2002,5,FALSE),"")</f>
        <v/>
      </c>
      <c r="BK218" t="str">
        <f>+IFERROR(VLOOKUP(BK19,IN_Zugliste!$A$4:$E$2002,5,FALSE),"")</f>
        <v/>
      </c>
      <c r="BL218" t="str">
        <f>+IFERROR(VLOOKUP(BL19,IN_Zugliste!$A$4:$E$2002,5,FALSE),"")</f>
        <v/>
      </c>
      <c r="BM218" t="str">
        <f>+IFERROR(VLOOKUP(BM19,IN_Zugliste!$A$4:$E$2002,5,FALSE),"")</f>
        <v/>
      </c>
      <c r="BN218" t="str">
        <f>+IFERROR(VLOOKUP(BN19,IN_Zugliste!$A$4:$E$2002,5,FALSE),"")</f>
        <v/>
      </c>
      <c r="BO218" t="str">
        <f>+IFERROR(VLOOKUP(BO19,IN_Zugliste!$A$4:$E$2002,5,FALSE),"")</f>
        <v/>
      </c>
      <c r="BP218" t="str">
        <f>+IFERROR(VLOOKUP(BP19,IN_Zugliste!$A$4:$E$2002,5,FALSE),"")</f>
        <v/>
      </c>
      <c r="BQ218" t="str">
        <f>+IFERROR(VLOOKUP(BQ19,IN_Zugliste!$A$4:$E$2002,5,FALSE),"")</f>
        <v/>
      </c>
      <c r="BR218" t="str">
        <f>+IFERROR(VLOOKUP(BR19,IN_Zugliste!$A$4:$E$2002,5,FALSE),"")</f>
        <v/>
      </c>
      <c r="BS218" t="str">
        <f>+IFERROR(VLOOKUP(BS19,IN_Zugliste!$A$4:$E$2002,5,FALSE),"")</f>
        <v/>
      </c>
      <c r="BT218" t="str">
        <f>+IFERROR(VLOOKUP(BT19,IN_Zugliste!$A$4:$E$2002,5,FALSE),"")</f>
        <v/>
      </c>
      <c r="BU218" t="str">
        <f>+IFERROR(VLOOKUP(BU19,IN_Zugliste!$A$4:$E$2002,5,FALSE),"")</f>
        <v/>
      </c>
      <c r="BV218" t="str">
        <f>+IFERROR(VLOOKUP(BV19,IN_Zugliste!$A$4:$E$2002,5,FALSE),"")</f>
        <v/>
      </c>
      <c r="BW218" t="str">
        <f>+IFERROR(VLOOKUP(BW19,IN_Zugliste!$A$4:$E$2002,5,FALSE),"")</f>
        <v/>
      </c>
      <c r="BX218" t="str">
        <f>+IFERROR(VLOOKUP(BX19,IN_Zugliste!$A$4:$E$2002,5,FALSE),"")</f>
        <v/>
      </c>
      <c r="BY218" t="str">
        <f>+IFERROR(VLOOKUP(BY19,IN_Zugliste!$A$4:$E$2002,5,FALSE),"")</f>
        <v/>
      </c>
      <c r="BZ218" t="str">
        <f>+IFERROR(VLOOKUP(BZ19,IN_Zugliste!$A$4:$E$2002,5,FALSE),"")</f>
        <v/>
      </c>
      <c r="CA218" t="str">
        <f>+IFERROR(VLOOKUP(CA19,IN_Zugliste!$A$4:$E$2002,5,FALSE),"")</f>
        <v/>
      </c>
      <c r="CB218" t="str">
        <f>+IFERROR(VLOOKUP(CB19,IN_Zugliste!$A$4:$E$2002,5,FALSE),"")</f>
        <v/>
      </c>
      <c r="CC218" t="str">
        <f>+IFERROR(VLOOKUP(CC19,IN_Zugliste!$A$4:$E$2002,5,FALSE),"")</f>
        <v/>
      </c>
      <c r="CD218" t="str">
        <f>+IFERROR(VLOOKUP(CD19,IN_Zugliste!$A$4:$E$2002,5,FALSE),"")</f>
        <v/>
      </c>
      <c r="CE218" t="str">
        <f>+IFERROR(VLOOKUP(CE19,IN_Zugliste!$A$4:$E$2002,5,FALSE),"")</f>
        <v/>
      </c>
      <c r="CF218" t="str">
        <f>+IFERROR(VLOOKUP(CF19,IN_Zugliste!$A$4:$E$2002,5,FALSE),"")</f>
        <v/>
      </c>
      <c r="CG218" t="str">
        <f>+IFERROR(VLOOKUP(CG19,IN_Zugliste!$A$4:$E$2002,5,FALSE),"")</f>
        <v/>
      </c>
      <c r="CH218" t="str">
        <f>+IFERROR(VLOOKUP(CH19,IN_Zugliste!$A$4:$E$2002,5,FALSE),"")</f>
        <v/>
      </c>
      <c r="CI218" t="str">
        <f>+IFERROR(VLOOKUP(CI19,IN_Zugliste!$A$4:$E$2002,5,FALSE),"")</f>
        <v/>
      </c>
      <c r="CJ218" t="str">
        <f>+IFERROR(VLOOKUP(CJ19,IN_Zugliste!$A$4:$E$2002,5,FALSE),"")</f>
        <v/>
      </c>
      <c r="CK218" t="str">
        <f>+IFERROR(VLOOKUP(CK19,IN_Zugliste!$A$4:$E$2002,5,FALSE),"")</f>
        <v/>
      </c>
      <c r="CL218" t="str">
        <f>+IFERROR(VLOOKUP(CL19,IN_Zugliste!$A$4:$E$2002,5,FALSE),"")</f>
        <v/>
      </c>
      <c r="CM218" t="str">
        <f>+IFERROR(VLOOKUP(CM19,IN_Zugliste!$A$4:$E$2002,5,FALSE),"")</f>
        <v/>
      </c>
      <c r="CN218" t="str">
        <f>+IFERROR(VLOOKUP(CN19,IN_Zugliste!$A$4:$E$2002,5,FALSE),"")</f>
        <v/>
      </c>
      <c r="CO218" t="str">
        <f>+IFERROR(VLOOKUP(CO19,IN_Zugliste!$A$4:$E$2002,5,FALSE),"")</f>
        <v/>
      </c>
      <c r="CP218" t="str">
        <f>+IFERROR(VLOOKUP(CP19,IN_Zugliste!$A$4:$E$2002,5,FALSE),"")</f>
        <v/>
      </c>
      <c r="CQ218" t="str">
        <f>+IFERROR(VLOOKUP(CQ19,IN_Zugliste!$A$4:$E$2002,5,FALSE),"")</f>
        <v/>
      </c>
      <c r="CR218" t="str">
        <f>+IFERROR(VLOOKUP(CR19,IN_Zugliste!$A$4:$E$2002,5,FALSE),"")</f>
        <v/>
      </c>
      <c r="CS218" t="str">
        <f>+IFERROR(VLOOKUP(CS19,IN_Zugliste!$A$4:$E$2002,5,FALSE),"")</f>
        <v/>
      </c>
      <c r="CT218" t="str">
        <f>+IFERROR(VLOOKUP(CT19,IN_Zugliste!$A$4:$E$2002,5,FALSE),"")</f>
        <v/>
      </c>
      <c r="CU218" t="str">
        <f>+IFERROR(VLOOKUP(CU19,IN_Zugliste!$A$4:$E$2002,5,FALSE),"")</f>
        <v/>
      </c>
      <c r="CV218" t="str">
        <f>+IFERROR(VLOOKUP(CV19,IN_Zugliste!$A$4:$E$2002,5,FALSE),"")</f>
        <v/>
      </c>
      <c r="CW218" t="str">
        <f>+IFERROR(VLOOKUP(CW19,IN_Zugliste!$A$4:$E$2002,5,FALSE),"")</f>
        <v/>
      </c>
      <c r="CX218" t="str">
        <f>+IFERROR(VLOOKUP(CX19,IN_Zugliste!$A$4:$E$2002,5,FALSE),"")</f>
        <v/>
      </c>
      <c r="CY218" t="str">
        <f>+IFERROR(VLOOKUP(CY19,IN_Zugliste!$A$4:$E$2002,5,FALSE),"")</f>
        <v/>
      </c>
      <c r="CZ218" t="str">
        <f>+IFERROR(VLOOKUP(CZ19,IN_Zugliste!$A$4:$E$2002,5,FALSE),"")</f>
        <v/>
      </c>
      <c r="DA218" t="str">
        <f>+IFERROR(VLOOKUP(DA19,IN_Zugliste!$A$4:$E$2002,5,FALSE),"")</f>
        <v/>
      </c>
      <c r="DB218" t="str">
        <f>+IFERROR(VLOOKUP(DB19,IN_Zugliste!$A$4:$E$2002,5,FALSE),"")</f>
        <v/>
      </c>
      <c r="DC218" t="str">
        <f>+IFERROR(VLOOKUP(DC19,IN_Zugliste!$A$4:$E$2002,5,FALSE),"")</f>
        <v/>
      </c>
      <c r="DD218" t="str">
        <f>+IFERROR(VLOOKUP(DD19,IN_Zugliste!$A$4:$E$2002,5,FALSE),"")</f>
        <v/>
      </c>
      <c r="DE218" t="str">
        <f>+IFERROR(VLOOKUP(DE19,IN_Zugliste!$A$4:$E$2002,5,FALSE),"")</f>
        <v/>
      </c>
      <c r="DF218" t="str">
        <f>+IFERROR(VLOOKUP(DF19,IN_Zugliste!$A$4:$E$2002,5,FALSE),"")</f>
        <v/>
      </c>
      <c r="DG218" t="str">
        <f>+IFERROR(VLOOKUP(DG19,IN_Zugliste!$A$4:$E$2002,5,FALSE),"")</f>
        <v/>
      </c>
      <c r="DH218" t="str">
        <f>+IFERROR(VLOOKUP(DH19,IN_Zugliste!$A$4:$E$2002,5,FALSE),"")</f>
        <v/>
      </c>
      <c r="DI218" t="str">
        <f>+IFERROR(VLOOKUP(DI19,IN_Zugliste!$A$4:$E$2002,5,FALSE),"")</f>
        <v/>
      </c>
      <c r="DJ218" t="str">
        <f>+IFERROR(VLOOKUP(DJ19,IN_Zugliste!$A$4:$E$2002,5,FALSE),"")</f>
        <v/>
      </c>
      <c r="DK218" t="str">
        <f>+IFERROR(VLOOKUP(DK19,IN_Zugliste!$A$4:$E$2002,5,FALSE),"")</f>
        <v/>
      </c>
      <c r="DL218" t="str">
        <f>+IFERROR(VLOOKUP(DL19,IN_Zugliste!$A$4:$E$2002,5,FALSE),"")</f>
        <v/>
      </c>
      <c r="DM218" t="str">
        <f>+IFERROR(VLOOKUP(DM19,IN_Zugliste!$A$4:$E$2002,5,FALSE),"")</f>
        <v/>
      </c>
      <c r="DN218" t="str">
        <f>+IFERROR(VLOOKUP(DN19,IN_Zugliste!$A$4:$E$2002,5,FALSE),"")</f>
        <v/>
      </c>
      <c r="DO218" t="str">
        <f>+IFERROR(VLOOKUP(DO19,IN_Zugliste!$A$4:$E$2002,5,FALSE),"")</f>
        <v/>
      </c>
      <c r="DP218" t="str">
        <f>+IFERROR(VLOOKUP(DP19,IN_Zugliste!$A$4:$E$2002,5,FALSE),"")</f>
        <v/>
      </c>
      <c r="DQ218" t="str">
        <f>+IFERROR(VLOOKUP(DQ19,IN_Zugliste!$A$4:$E$2002,5,FALSE),"")</f>
        <v/>
      </c>
      <c r="DR218" t="str">
        <f>+IFERROR(VLOOKUP(DR19,IN_Zugliste!$A$4:$E$2002,5,FALSE),"")</f>
        <v/>
      </c>
      <c r="DS218" t="str">
        <f>+IFERROR(VLOOKUP(DS19,IN_Zugliste!$A$4:$E$2002,5,FALSE),"")</f>
        <v/>
      </c>
      <c r="DT218" t="str">
        <f>+IFERROR(VLOOKUP(DT19,IN_Zugliste!$A$4:$E$2002,5,FALSE),"")</f>
        <v/>
      </c>
      <c r="DU218" t="str">
        <f>+IFERROR(VLOOKUP(DU19,IN_Zugliste!$A$4:$E$2002,5,FALSE),"")</f>
        <v/>
      </c>
      <c r="DV218" t="str">
        <f>+IFERROR(VLOOKUP(DV19,IN_Zugliste!$A$4:$E$2002,5,FALSE),"")</f>
        <v/>
      </c>
      <c r="DW218" t="str">
        <f>+IFERROR(VLOOKUP(DW19,IN_Zugliste!$A$4:$E$2002,5,FALSE),"")</f>
        <v/>
      </c>
      <c r="DX218" t="str">
        <f>+IFERROR(VLOOKUP(DX19,IN_Zugliste!$A$4:$E$2002,5,FALSE),"")</f>
        <v/>
      </c>
      <c r="DY218" t="str">
        <f>+IFERROR(VLOOKUP(DY19,IN_Zugliste!$A$4:$E$2002,5,FALSE),"")</f>
        <v/>
      </c>
      <c r="DZ218" t="str">
        <f>+IFERROR(VLOOKUP(DZ19,IN_Zugliste!$A$4:$E$2002,5,FALSE),"")</f>
        <v/>
      </c>
      <c r="EA218" t="str">
        <f>+IFERROR(VLOOKUP(EA19,IN_Zugliste!$A$4:$E$2002,5,FALSE),"")</f>
        <v/>
      </c>
      <c r="EB218" t="str">
        <f>+IFERROR(VLOOKUP(EB19,IN_Zugliste!$A$4:$E$2002,5,FALSE),"")</f>
        <v/>
      </c>
      <c r="EC218" t="str">
        <f>+IFERROR(VLOOKUP(EC19,IN_Zugliste!$A$4:$E$2002,5,FALSE),"")</f>
        <v/>
      </c>
      <c r="ED218" t="str">
        <f>+IFERROR(VLOOKUP(ED19,IN_Zugliste!$A$4:$E$2002,5,FALSE),"")</f>
        <v/>
      </c>
      <c r="EE218" t="str">
        <f>+IFERROR(VLOOKUP(EE19,IN_Zugliste!$A$4:$E$2002,5,FALSE),"")</f>
        <v/>
      </c>
      <c r="EF218" t="str">
        <f>+IFERROR(VLOOKUP(EF19,IN_Zugliste!$A$4:$E$2002,5,FALSE),"")</f>
        <v/>
      </c>
      <c r="EG218" t="str">
        <f>+IFERROR(VLOOKUP(EG19,IN_Zugliste!$A$4:$E$2002,5,FALSE),"")</f>
        <v/>
      </c>
      <c r="EH218" t="str">
        <f>+IFERROR(VLOOKUP(EH19,IN_Zugliste!$A$4:$E$2002,5,FALSE),"")</f>
        <v/>
      </c>
      <c r="EI218" t="str">
        <f>+IFERROR(VLOOKUP(EI19,IN_Zugliste!$A$4:$E$2002,5,FALSE),"")</f>
        <v/>
      </c>
      <c r="EJ218" t="str">
        <f>+IFERROR(VLOOKUP(EJ19,IN_Zugliste!$A$4:$E$2002,5,FALSE),"")</f>
        <v/>
      </c>
      <c r="EK218" t="str">
        <f>+IFERROR(VLOOKUP(EK19,IN_Zugliste!$A$4:$E$2002,5,FALSE),"")</f>
        <v/>
      </c>
      <c r="EL218" t="str">
        <f>+IFERROR(VLOOKUP(EL19,IN_Zugliste!$A$4:$E$2002,5,FALSE),"")</f>
        <v/>
      </c>
      <c r="EM218" t="str">
        <f>+IFERROR(VLOOKUP(EM19,IN_Zugliste!$A$4:$E$2002,5,FALSE),"")</f>
        <v/>
      </c>
      <c r="EN218" t="str">
        <f>+IFERROR(VLOOKUP(EN19,IN_Zugliste!$A$4:$E$2002,5,FALSE),"")</f>
        <v/>
      </c>
      <c r="EO218" t="str">
        <f>+IFERROR(VLOOKUP(EO19,IN_Zugliste!$A$4:$E$2002,5,FALSE),"")</f>
        <v/>
      </c>
      <c r="EP218" t="str">
        <f>+IFERROR(VLOOKUP(EP19,IN_Zugliste!$A$4:$E$2002,5,FALSE),"")</f>
        <v/>
      </c>
      <c r="EQ218" t="str">
        <f>+IFERROR(VLOOKUP(EQ19,IN_Zugliste!$A$4:$E$2002,5,FALSE),"")</f>
        <v/>
      </c>
      <c r="ER218" t="str">
        <f>+IFERROR(VLOOKUP(ER19,IN_Zugliste!$A$4:$E$2002,5,FALSE),"")</f>
        <v/>
      </c>
      <c r="ES218" t="str">
        <f>+IFERROR(VLOOKUP(ES19,IN_Zugliste!$A$4:$E$2002,5,FALSE),"")</f>
        <v/>
      </c>
      <c r="ET218" t="str">
        <f>+IFERROR(VLOOKUP(ET19,IN_Zugliste!$A$4:$E$2002,5,FALSE),"")</f>
        <v/>
      </c>
      <c r="EU218" t="str">
        <f>+IFERROR(VLOOKUP(EU19,IN_Zugliste!$A$4:$E$2002,5,FALSE),"")</f>
        <v/>
      </c>
      <c r="EV218" t="str">
        <f>+IFERROR(VLOOKUP(EV19,IN_Zugliste!$A$4:$E$2002,5,FALSE),"")</f>
        <v/>
      </c>
      <c r="EW218" t="str">
        <f>+IFERROR(VLOOKUP(EW19,IN_Zugliste!$A$4:$E$2002,5,FALSE),"")</f>
        <v/>
      </c>
      <c r="EX218" t="str">
        <f>+IFERROR(VLOOKUP(EX19,IN_Zugliste!$A$4:$E$2002,5,FALSE),"")</f>
        <v/>
      </c>
      <c r="EY218" t="str">
        <f>+IFERROR(VLOOKUP(EY19,IN_Zugliste!$A$4:$E$2002,5,FALSE),"")</f>
        <v/>
      </c>
      <c r="EZ218" t="str">
        <f>+IFERROR(VLOOKUP(EZ19,IN_Zugliste!$A$4:$E$2002,5,FALSE),"")</f>
        <v/>
      </c>
      <c r="FA218" t="str">
        <f>+IFERROR(VLOOKUP(FA19,IN_Zugliste!$A$4:$E$2002,5,FALSE),"")</f>
        <v/>
      </c>
      <c r="FB218" t="str">
        <f>+IFERROR(VLOOKUP(FB19,IN_Zugliste!$A$4:$E$2002,5,FALSE),"")</f>
        <v/>
      </c>
      <c r="FC218" t="str">
        <f>+IFERROR(VLOOKUP(FC19,IN_Zugliste!$A$4:$E$2002,5,FALSE),"")</f>
        <v/>
      </c>
      <c r="FD218" t="str">
        <f>+IFERROR(VLOOKUP(FD19,IN_Zugliste!$A$4:$E$2002,5,FALSE),"")</f>
        <v/>
      </c>
      <c r="FE218" t="str">
        <f>+IFERROR(VLOOKUP(FE19,IN_Zugliste!$A$4:$E$2002,5,FALSE),"")</f>
        <v/>
      </c>
      <c r="FF218" t="str">
        <f>+IFERROR(VLOOKUP(FF19,IN_Zugliste!$A$4:$E$2002,5,FALSE),"")</f>
        <v/>
      </c>
      <c r="FG218" t="str">
        <f>+IFERROR(VLOOKUP(FG19,IN_Zugliste!$A$4:$E$2002,5,FALSE),"")</f>
        <v/>
      </c>
      <c r="FH218" t="str">
        <f>+IFERROR(VLOOKUP(FH19,IN_Zugliste!$A$4:$E$2002,5,FALSE),"")</f>
        <v/>
      </c>
      <c r="FI218" t="str">
        <f>+IFERROR(VLOOKUP(FI19,IN_Zugliste!$A$4:$E$2002,5,FALSE),"")</f>
        <v/>
      </c>
      <c r="FJ218" t="str">
        <f>+IFERROR(VLOOKUP(FJ19,IN_Zugliste!$A$4:$E$2002,5,FALSE),"")</f>
        <v/>
      </c>
      <c r="FK218" t="str">
        <f>+IFERROR(VLOOKUP(FK19,IN_Zugliste!$A$4:$E$2002,5,FALSE),"")</f>
        <v/>
      </c>
      <c r="FL218" t="str">
        <f>+IFERROR(VLOOKUP(FL19,IN_Zugliste!$A$4:$E$2002,5,FALSE),"")</f>
        <v/>
      </c>
      <c r="FM218" t="str">
        <f>+IFERROR(VLOOKUP(FM19,IN_Zugliste!$A$4:$D$2002,5,FALSE),"")</f>
        <v/>
      </c>
      <c r="FN218" t="str">
        <f>+IFERROR(VLOOKUP(FN19,IN_Zugliste!$A$4:$D$2002,5,FALSE),"")</f>
        <v/>
      </c>
      <c r="FO218" t="str">
        <f>+IFERROR(VLOOKUP(FO19,IN_Zugliste!$A$4:$D$2002,5,FALSE),"")</f>
        <v/>
      </c>
      <c r="FP218" t="str">
        <f>+IFERROR(VLOOKUP(FP19,IN_Zugliste!$A$4:$D$2002,5,FALSE),"")</f>
        <v/>
      </c>
      <c r="FQ218" t="str">
        <f>+IFERROR(VLOOKUP(FQ19,IN_Zugliste!$A$4:$D$2002,5,FALSE),"")</f>
        <v/>
      </c>
      <c r="FR218" t="str">
        <f>+IFERROR(VLOOKUP(FR19,IN_Zugliste!$A$4:$D$2002,5,FALSE),"")</f>
        <v/>
      </c>
      <c r="FS218" t="str">
        <f>+IFERROR(VLOOKUP(FS19,IN_Zugliste!$A$4:$D$2002,5,FALSE),"")</f>
        <v/>
      </c>
      <c r="FT218" t="str">
        <f>+IFERROR(VLOOKUP(FT19,IN_Zugliste!$A$4:$D$2002,5,FALSE),"")</f>
        <v/>
      </c>
      <c r="FU218" t="str">
        <f>+IFERROR(VLOOKUP(FU19,IN_Zugliste!$A$4:$D$2002,5,FALSE),"")</f>
        <v/>
      </c>
      <c r="FV218" t="str">
        <f>+IFERROR(VLOOKUP(FV19,IN_Zugliste!$A$4:$D$2002,5,FALSE),"")</f>
        <v/>
      </c>
      <c r="FW218" t="str">
        <f>+IFERROR(VLOOKUP(FW19,IN_Zugliste!$A$4:$D$2002,5,FALSE),"")</f>
        <v/>
      </c>
      <c r="FX218" t="str">
        <f>+IFERROR(VLOOKUP(FX19,IN_Zugliste!$A$4:$D$2002,5,FALSE),"")</f>
        <v/>
      </c>
      <c r="FY218" t="str">
        <f>+IFERROR(VLOOKUP(FY19,IN_Zugliste!$A$4:$D$2002,5,FALSE),"")</f>
        <v/>
      </c>
      <c r="FZ218" t="str">
        <f>+IFERROR(VLOOKUP(FZ19,IN_Zugliste!$A$4:$D$2002,5,FALSE),"")</f>
        <v/>
      </c>
      <c r="GA218" t="str">
        <f>+IFERROR(VLOOKUP(GA19,IN_Zugliste!$A$4:$D$2002,5,FALSE),"")</f>
        <v/>
      </c>
      <c r="GB218" t="str">
        <f>+IFERROR(VLOOKUP(GB19,IN_Zugliste!$A$4:$D$2002,5,FALSE),"")</f>
        <v/>
      </c>
      <c r="GC218" t="str">
        <f>+IFERROR(VLOOKUP(GC19,IN_Zugliste!$A$4:$D$2002,5,FALSE),"")</f>
        <v/>
      </c>
      <c r="GD218" t="str">
        <f>+IFERROR(VLOOKUP(GD19,IN_Zugliste!$A$4:$D$2002,5,FALSE),"")</f>
        <v/>
      </c>
      <c r="GE218" t="str">
        <f>+IFERROR(VLOOKUP(GE19,IN_Zugliste!$A$4:$D$2002,5,FALSE),"")</f>
        <v/>
      </c>
      <c r="GF218" t="str">
        <f>+IFERROR(VLOOKUP(GF19,IN_Zugliste!$A$4:$D$2002,5,FALSE),"")</f>
        <v/>
      </c>
      <c r="GG218" t="str">
        <f>+IFERROR(VLOOKUP(GG19,IN_Zugliste!$A$4:$D$2002,5,FALSE),"")</f>
        <v/>
      </c>
      <c r="GH218" t="str">
        <f>+IFERROR(VLOOKUP(GH19,IN_Zugliste!$A$4:$D$2002,5,FALSE),"")</f>
        <v/>
      </c>
      <c r="GI218" t="str">
        <f>+IFERROR(VLOOKUP(GI19,IN_Zugliste!$A$4:$D$2002,5,FALSE),"")</f>
        <v/>
      </c>
      <c r="GJ218" t="str">
        <f>+IFERROR(VLOOKUP(GJ19,IN_Zugliste!$A$4:$D$2002,5,FALSE),"")</f>
        <v/>
      </c>
      <c r="GK218" t="str">
        <f>+IFERROR(VLOOKUP(GK19,IN_Zugliste!$A$4:$D$2002,5,FALSE),"")</f>
        <v/>
      </c>
      <c r="GL218" t="str">
        <f>+IFERROR(VLOOKUP(GL19,IN_Zugliste!$A$4:$D$2002,5,FALSE),"")</f>
        <v/>
      </c>
      <c r="GM218" t="str">
        <f>+IFERROR(VLOOKUP(GM19,IN_Zugliste!$A$4:$D$2002,5,FALSE),"")</f>
        <v/>
      </c>
      <c r="GN218" t="str">
        <f>+IFERROR(VLOOKUP(GN19,IN_Zugliste!$A$4:$D$2002,5,FALSE),"")</f>
        <v/>
      </c>
      <c r="GO218" t="str">
        <f>+IFERROR(VLOOKUP(GO19,IN_Zugliste!$A$4:$D$2002,5,FALSE),"")</f>
        <v/>
      </c>
      <c r="GP218" t="str">
        <f>+IFERROR(VLOOKUP(GP19,IN_Zugliste!$A$4:$D$2002,5,FALSE),"")</f>
        <v/>
      </c>
      <c r="GQ218" t="str">
        <f>+IFERROR(VLOOKUP(GQ19,IN_Zugliste!$A$4:$D$2002,5,FALSE),"")</f>
        <v/>
      </c>
      <c r="GR218" t="str">
        <f>+IFERROR(VLOOKUP(GR19,IN_Zugliste!$A$4:$D$2002,5,FALSE),"")</f>
        <v/>
      </c>
      <c r="GS218" t="str">
        <f>+IFERROR(VLOOKUP(GS19,IN_Zugliste!$A$4:$D$2002,5,FALSE),"")</f>
        <v/>
      </c>
      <c r="GT218" t="str">
        <f>+IFERROR(VLOOKUP(GT19,IN_Zugliste!$A$4:$D$2002,5,FALSE),"")</f>
        <v/>
      </c>
      <c r="GU218" t="str">
        <f>+IFERROR(VLOOKUP(GU19,IN_Zugliste!$A$4:$D$2002,5,FALSE),"")</f>
        <v/>
      </c>
      <c r="GV218" t="str">
        <f>+IFERROR(VLOOKUP(GV19,IN_Zugliste!$A$4:$D$2002,5,FALSE),"")</f>
        <v/>
      </c>
      <c r="GW218" t="str">
        <f>+IFERROR(VLOOKUP(GW19,IN_Zugliste!$A$4:$D$2002,5,FALSE),"")</f>
        <v/>
      </c>
      <c r="GX218" t="str">
        <f>+IFERROR(VLOOKUP(GX19,IN_Zugliste!$A$4:$D$2002,5,FALSE),"")</f>
        <v/>
      </c>
      <c r="GY218" t="str">
        <f>+IFERROR(VLOOKUP(GY19,IN_Zugliste!$A$4:$D$2002,5,FALSE),"")</f>
        <v/>
      </c>
      <c r="GZ218" t="str">
        <f>+IFERROR(VLOOKUP(GZ19,IN_Zugliste!$A$4:$D$2002,5,FALSE),"")</f>
        <v/>
      </c>
      <c r="HA218" t="str">
        <f>+IFERROR(VLOOKUP(HA19,IN_Zugliste!$A$4:$D$2002,5,FALSE),"")</f>
        <v/>
      </c>
      <c r="HB218" t="str">
        <f>+IFERROR(VLOOKUP(HB19,IN_Zugliste!$A$4:$D$2002,5,FALSE),"")</f>
        <v/>
      </c>
      <c r="HC218" t="str">
        <f>+IFERROR(VLOOKUP(HC19,IN_Zugliste!$A$4:$D$2002,5,FALSE),"")</f>
        <v/>
      </c>
      <c r="HD218" t="str">
        <f>+IFERROR(VLOOKUP(HD19,IN_Zugliste!$A$4:$D$2002,5,FALSE),"")</f>
        <v/>
      </c>
      <c r="HE218" t="str">
        <f>+IFERROR(VLOOKUP(HE19,IN_Zugliste!$A$4:$D$2002,5,FALSE),"")</f>
        <v/>
      </c>
      <c r="HF218" t="str">
        <f>+IFERROR(VLOOKUP(HF19,IN_Zugliste!$A$4:$D$2002,5,FALSE),"")</f>
        <v/>
      </c>
      <c r="HG218" t="str">
        <f>+IFERROR(VLOOKUP(HG19,IN_Zugliste!$A$4:$D$2002,5,FALSE),"")</f>
        <v/>
      </c>
      <c r="HH218" t="str">
        <f>+IFERROR(VLOOKUP(HH19,IN_Zugliste!$A$4:$D$2002,5,FALSE),"")</f>
        <v/>
      </c>
    </row>
    <row r="219" spans="1:216" x14ac:dyDescent="0.2">
      <c r="A219" t="str">
        <f>+IFERROR(VLOOKUP(A20,IN_Zugliste!$A$4:$E$2002,5,FALSE),"")</f>
        <v/>
      </c>
      <c r="B219" t="str">
        <f>+IFERROR(VLOOKUP(B20,IN_Zugliste!$A$4:$E$2002,5,FALSE),"")</f>
        <v/>
      </c>
      <c r="C219" t="str">
        <f>+IFERROR(VLOOKUP(C20,IN_Zugliste!$A$4:$E$2002,5,FALSE),"")</f>
        <v/>
      </c>
      <c r="D219" t="str">
        <f>+IFERROR(VLOOKUP(D20,IN_Zugliste!$A$4:$E$2002,5,FALSE),"")</f>
        <v/>
      </c>
      <c r="E219" t="str">
        <f>+IFERROR(VLOOKUP(E20,IN_Zugliste!$A$4:$E$2002,5,FALSE),"")</f>
        <v/>
      </c>
      <c r="F219" t="str">
        <f>+IFERROR(VLOOKUP(F20,IN_Zugliste!$A$4:$E$2002,5,FALSE),"")</f>
        <v/>
      </c>
      <c r="G219" t="str">
        <f>+IFERROR(VLOOKUP(G20,IN_Zugliste!$A$4:$E$2002,5,FALSE),"")</f>
        <v/>
      </c>
      <c r="H219" t="str">
        <f>+IFERROR(VLOOKUP(H20,IN_Zugliste!$A$4:$E$2002,5,FALSE),"")</f>
        <v/>
      </c>
      <c r="I219" t="str">
        <f>+IFERROR(VLOOKUP(I20,IN_Zugliste!$A$4:$E$2002,5,FALSE),"")</f>
        <v/>
      </c>
      <c r="J219" t="str">
        <f>+IFERROR(VLOOKUP(J20,IN_Zugliste!$A$4:$E$2002,5,FALSE),"")</f>
        <v/>
      </c>
      <c r="K219" t="str">
        <f>+IFERROR(VLOOKUP(K20,IN_Zugliste!$A$4:$E$2002,5,FALSE),"")</f>
        <v/>
      </c>
      <c r="L219" t="str">
        <f>+IFERROR(VLOOKUP(L20,IN_Zugliste!$A$4:$E$2002,5,FALSE),"")</f>
        <v/>
      </c>
      <c r="M219" t="str">
        <f>+IFERROR(VLOOKUP(M20,IN_Zugliste!$A$4:$E$2002,5,FALSE),"")</f>
        <v/>
      </c>
      <c r="N219" t="str">
        <f>+IFERROR(VLOOKUP(N20,IN_Zugliste!$A$4:$E$2002,5,FALSE),"")</f>
        <v/>
      </c>
      <c r="O219" t="str">
        <f>+IFERROR(VLOOKUP(O20,IN_Zugliste!$A$4:$E$2002,5,FALSE),"")</f>
        <v/>
      </c>
      <c r="P219" t="str">
        <f>+IFERROR(VLOOKUP(P20,IN_Zugliste!$A$4:$E$2002,5,FALSE),"")</f>
        <v/>
      </c>
      <c r="Q219" t="str">
        <f>+IFERROR(VLOOKUP(Q20,IN_Zugliste!$A$4:$E$2002,5,FALSE),"")</f>
        <v/>
      </c>
      <c r="R219" t="str">
        <f>+IFERROR(VLOOKUP(R20,IN_Zugliste!$A$4:$E$2002,5,FALSE),"")</f>
        <v/>
      </c>
      <c r="S219" t="str">
        <f>+IFERROR(VLOOKUP(S20,IN_Zugliste!$A$4:$E$2002,5,FALSE),"")</f>
        <v/>
      </c>
      <c r="T219" t="str">
        <f>+IFERROR(VLOOKUP(T20,IN_Zugliste!$A$4:$E$2002,5,FALSE),"")</f>
        <v/>
      </c>
      <c r="U219" t="str">
        <f>+IFERROR(VLOOKUP(U20,IN_Zugliste!$A$4:$E$2002,5,FALSE),"")</f>
        <v/>
      </c>
      <c r="V219" t="str">
        <f>+IFERROR(VLOOKUP(V20,IN_Zugliste!$A$4:$E$2002,5,FALSE),"")</f>
        <v/>
      </c>
      <c r="W219" t="str">
        <f>+IFERROR(VLOOKUP(W20,IN_Zugliste!$A$4:$E$2002,5,FALSE),"")</f>
        <v/>
      </c>
      <c r="X219" t="str">
        <f>+IFERROR(VLOOKUP(X20,IN_Zugliste!$A$4:$E$2002,5,FALSE),"")</f>
        <v/>
      </c>
      <c r="Y219" t="str">
        <f>+IFERROR(VLOOKUP(Y20,IN_Zugliste!$A$4:$E$2002,5,FALSE),"")</f>
        <v/>
      </c>
      <c r="Z219" t="str">
        <f>+IFERROR(VLOOKUP(Z20,IN_Zugliste!$A$4:$E$2002,5,FALSE),"")</f>
        <v/>
      </c>
      <c r="AA219" t="str">
        <f>+IFERROR(VLOOKUP(AA20,IN_Zugliste!$A$4:$E$2002,5,FALSE),"")</f>
        <v/>
      </c>
      <c r="AB219" t="str">
        <f>+IFERROR(VLOOKUP(AB20,IN_Zugliste!$A$4:$E$2002,5,FALSE),"")</f>
        <v/>
      </c>
      <c r="AC219" t="str">
        <f>+IFERROR(VLOOKUP(AC20,IN_Zugliste!$A$4:$E$2002,5,FALSE),"")</f>
        <v/>
      </c>
      <c r="AD219" t="str">
        <f>+IFERROR(VLOOKUP(AD20,IN_Zugliste!$A$4:$E$2002,5,FALSE),"")</f>
        <v/>
      </c>
      <c r="AE219" t="str">
        <f>+IFERROR(VLOOKUP(AE20,IN_Zugliste!$A$4:$E$2002,5,FALSE),"")</f>
        <v/>
      </c>
      <c r="AF219" t="str">
        <f>+IFERROR(VLOOKUP(AF20,IN_Zugliste!$A$4:$E$2002,5,FALSE),"")</f>
        <v/>
      </c>
      <c r="AG219" t="str">
        <f>+IFERROR(VLOOKUP(AG20,IN_Zugliste!$A$4:$E$2002,5,FALSE),"")</f>
        <v/>
      </c>
      <c r="AH219" t="str">
        <f>+IFERROR(VLOOKUP(AH20,IN_Zugliste!$A$4:$E$2002,5,FALSE),"")</f>
        <v/>
      </c>
      <c r="AI219" t="str">
        <f>+IFERROR(VLOOKUP(AI20,IN_Zugliste!$A$4:$E$2002,5,FALSE),"")</f>
        <v/>
      </c>
      <c r="AJ219" t="str">
        <f>+IFERROR(VLOOKUP(AJ20,IN_Zugliste!$A$4:$E$2002,5,FALSE),"")</f>
        <v/>
      </c>
      <c r="AK219" t="str">
        <f>+IFERROR(VLOOKUP(AK20,IN_Zugliste!$A$4:$E$2002,5,FALSE),"")</f>
        <v/>
      </c>
      <c r="AL219" t="str">
        <f>+IFERROR(VLOOKUP(AL20,IN_Zugliste!$A$4:$E$2002,5,FALSE),"")</f>
        <v/>
      </c>
      <c r="AM219" t="str">
        <f>+IFERROR(VLOOKUP(AM20,IN_Zugliste!$A$4:$E$2002,5,FALSE),"")</f>
        <v/>
      </c>
      <c r="AN219" t="str">
        <f>+IFERROR(VLOOKUP(AN20,IN_Zugliste!$A$4:$E$2002,5,FALSE),"")</f>
        <v/>
      </c>
      <c r="AO219" t="str">
        <f>+IFERROR(VLOOKUP(AO20,IN_Zugliste!$A$4:$E$2002,5,FALSE),"")</f>
        <v/>
      </c>
      <c r="AP219" t="str">
        <f>+IFERROR(VLOOKUP(AP20,IN_Zugliste!$A$4:$E$2002,5,FALSE),"")</f>
        <v/>
      </c>
      <c r="AQ219" t="str">
        <f>+IFERROR(VLOOKUP(AQ20,IN_Zugliste!$A$4:$E$2002,5,FALSE),"")</f>
        <v/>
      </c>
      <c r="AR219" t="str">
        <f>+IFERROR(VLOOKUP(AR20,IN_Zugliste!$A$4:$E$2002,5,FALSE),"")</f>
        <v/>
      </c>
      <c r="AS219" t="str">
        <f>+IFERROR(VLOOKUP(AS20,IN_Zugliste!$A$4:$E$2002,5,FALSE),"")</f>
        <v/>
      </c>
      <c r="AT219" t="str">
        <f>+IFERROR(VLOOKUP(AT20,IN_Zugliste!$A$4:$E$2002,5,FALSE),"")</f>
        <v/>
      </c>
      <c r="AU219" t="str">
        <f>+IFERROR(VLOOKUP(AU20,IN_Zugliste!$A$4:$E$2002,5,FALSE),"")</f>
        <v/>
      </c>
      <c r="AV219" t="str">
        <f>+IFERROR(VLOOKUP(AV20,IN_Zugliste!$A$4:$E$2002,5,FALSE),"")</f>
        <v/>
      </c>
      <c r="AW219" t="str">
        <f>+IFERROR(VLOOKUP(AW20,IN_Zugliste!$A$4:$E$2002,5,FALSE),"")</f>
        <v/>
      </c>
      <c r="AX219" t="str">
        <f>+IFERROR(VLOOKUP(AX20,IN_Zugliste!$A$4:$E$2002,5,FALSE),"")</f>
        <v/>
      </c>
      <c r="AY219" t="str">
        <f>+IFERROR(VLOOKUP(AY20,IN_Zugliste!$A$4:$E$2002,5,FALSE),"")</f>
        <v/>
      </c>
      <c r="AZ219" t="str">
        <f>+IFERROR(VLOOKUP(AZ20,IN_Zugliste!$A$4:$E$2002,5,FALSE),"")</f>
        <v/>
      </c>
      <c r="BA219" t="str">
        <f>+IFERROR(VLOOKUP(BA20,IN_Zugliste!$A$4:$E$2002,5,FALSE),"")</f>
        <v/>
      </c>
      <c r="BB219" t="str">
        <f>+IFERROR(VLOOKUP(BB20,IN_Zugliste!$A$4:$E$2002,5,FALSE),"")</f>
        <v/>
      </c>
      <c r="BC219" t="str">
        <f>+IFERROR(VLOOKUP(BC20,IN_Zugliste!$A$4:$E$2002,5,FALSE),"")</f>
        <v/>
      </c>
      <c r="BD219" t="str">
        <f>+IFERROR(VLOOKUP(BD20,IN_Zugliste!$A$4:$E$2002,5,FALSE),"")</f>
        <v/>
      </c>
      <c r="BE219" t="str">
        <f>+IFERROR(VLOOKUP(BE20,IN_Zugliste!$A$4:$E$2002,5,FALSE),"")</f>
        <v/>
      </c>
      <c r="BF219" t="str">
        <f>+IFERROR(VLOOKUP(BF20,IN_Zugliste!$A$4:$E$2002,5,FALSE),"")</f>
        <v/>
      </c>
      <c r="BG219" t="str">
        <f>+IFERROR(VLOOKUP(BG20,IN_Zugliste!$A$4:$E$2002,5,FALSE),"")</f>
        <v/>
      </c>
      <c r="BH219" t="str">
        <f>+IFERROR(VLOOKUP(BH20,IN_Zugliste!$A$4:$E$2002,5,FALSE),"")</f>
        <v/>
      </c>
      <c r="BI219" t="str">
        <f>+IFERROR(VLOOKUP(BI20,IN_Zugliste!$A$4:$E$2002,5,FALSE),"")</f>
        <v/>
      </c>
      <c r="BJ219" t="str">
        <f>+IFERROR(VLOOKUP(BJ20,IN_Zugliste!$A$4:$E$2002,5,FALSE),"")</f>
        <v/>
      </c>
      <c r="BK219" t="str">
        <f>+IFERROR(VLOOKUP(BK20,IN_Zugliste!$A$4:$E$2002,5,FALSE),"")</f>
        <v/>
      </c>
      <c r="BL219" t="str">
        <f>+IFERROR(VLOOKUP(BL20,IN_Zugliste!$A$4:$E$2002,5,FALSE),"")</f>
        <v/>
      </c>
      <c r="BM219" t="str">
        <f>+IFERROR(VLOOKUP(BM20,IN_Zugliste!$A$4:$E$2002,5,FALSE),"")</f>
        <v/>
      </c>
      <c r="BN219" t="str">
        <f>+IFERROR(VLOOKUP(BN20,IN_Zugliste!$A$4:$E$2002,5,FALSE),"")</f>
        <v/>
      </c>
      <c r="BO219" t="str">
        <f>+IFERROR(VLOOKUP(BO20,IN_Zugliste!$A$4:$E$2002,5,FALSE),"")</f>
        <v/>
      </c>
      <c r="BP219" t="str">
        <f>+IFERROR(VLOOKUP(BP20,IN_Zugliste!$A$4:$E$2002,5,FALSE),"")</f>
        <v/>
      </c>
      <c r="BQ219" t="str">
        <f>+IFERROR(VLOOKUP(BQ20,IN_Zugliste!$A$4:$E$2002,5,FALSE),"")</f>
        <v/>
      </c>
      <c r="BR219" t="str">
        <f>+IFERROR(VLOOKUP(BR20,IN_Zugliste!$A$4:$E$2002,5,FALSE),"")</f>
        <v/>
      </c>
      <c r="BS219" t="str">
        <f>+IFERROR(VLOOKUP(BS20,IN_Zugliste!$A$4:$E$2002,5,FALSE),"")</f>
        <v/>
      </c>
      <c r="BT219" t="str">
        <f>+IFERROR(VLOOKUP(BT20,IN_Zugliste!$A$4:$E$2002,5,FALSE),"")</f>
        <v/>
      </c>
      <c r="BU219" t="str">
        <f>+IFERROR(VLOOKUP(BU20,IN_Zugliste!$A$4:$E$2002,5,FALSE),"")</f>
        <v/>
      </c>
      <c r="BV219" t="str">
        <f>+IFERROR(VLOOKUP(BV20,IN_Zugliste!$A$4:$E$2002,5,FALSE),"")</f>
        <v/>
      </c>
      <c r="BW219" t="str">
        <f>+IFERROR(VLOOKUP(BW20,IN_Zugliste!$A$4:$E$2002,5,FALSE),"")</f>
        <v/>
      </c>
      <c r="BX219" t="str">
        <f>+IFERROR(VLOOKUP(BX20,IN_Zugliste!$A$4:$E$2002,5,FALSE),"")</f>
        <v/>
      </c>
      <c r="BY219" t="str">
        <f>+IFERROR(VLOOKUP(BY20,IN_Zugliste!$A$4:$E$2002,5,FALSE),"")</f>
        <v/>
      </c>
      <c r="BZ219" t="str">
        <f>+IFERROR(VLOOKUP(BZ20,IN_Zugliste!$A$4:$E$2002,5,FALSE),"")</f>
        <v/>
      </c>
      <c r="CA219" t="str">
        <f>+IFERROR(VLOOKUP(CA20,IN_Zugliste!$A$4:$E$2002,5,FALSE),"")</f>
        <v/>
      </c>
      <c r="CB219" t="str">
        <f>+IFERROR(VLOOKUP(CB20,IN_Zugliste!$A$4:$E$2002,5,FALSE),"")</f>
        <v/>
      </c>
      <c r="CC219" t="str">
        <f>+IFERROR(VLOOKUP(CC20,IN_Zugliste!$A$4:$E$2002,5,FALSE),"")</f>
        <v/>
      </c>
      <c r="CD219" t="str">
        <f>+IFERROR(VLOOKUP(CD20,IN_Zugliste!$A$4:$E$2002,5,FALSE),"")</f>
        <v/>
      </c>
      <c r="CE219" t="str">
        <f>+IFERROR(VLOOKUP(CE20,IN_Zugliste!$A$4:$E$2002,5,FALSE),"")</f>
        <v/>
      </c>
      <c r="CF219" t="str">
        <f>+IFERROR(VLOOKUP(CF20,IN_Zugliste!$A$4:$E$2002,5,FALSE),"")</f>
        <v/>
      </c>
      <c r="CG219" t="str">
        <f>+IFERROR(VLOOKUP(CG20,IN_Zugliste!$A$4:$E$2002,5,FALSE),"")</f>
        <v/>
      </c>
      <c r="CH219" t="str">
        <f>+IFERROR(VLOOKUP(CH20,IN_Zugliste!$A$4:$E$2002,5,FALSE),"")</f>
        <v/>
      </c>
      <c r="CI219" t="str">
        <f>+IFERROR(VLOOKUP(CI20,IN_Zugliste!$A$4:$E$2002,5,FALSE),"")</f>
        <v/>
      </c>
      <c r="CJ219" t="str">
        <f>+IFERROR(VLOOKUP(CJ20,IN_Zugliste!$A$4:$E$2002,5,FALSE),"")</f>
        <v/>
      </c>
      <c r="CK219" t="str">
        <f>+IFERROR(VLOOKUP(CK20,IN_Zugliste!$A$4:$E$2002,5,FALSE),"")</f>
        <v/>
      </c>
      <c r="CL219" t="str">
        <f>+IFERROR(VLOOKUP(CL20,IN_Zugliste!$A$4:$E$2002,5,FALSE),"")</f>
        <v/>
      </c>
      <c r="CM219" t="str">
        <f>+IFERROR(VLOOKUP(CM20,IN_Zugliste!$A$4:$E$2002,5,FALSE),"")</f>
        <v/>
      </c>
      <c r="CN219" t="str">
        <f>+IFERROR(VLOOKUP(CN20,IN_Zugliste!$A$4:$E$2002,5,FALSE),"")</f>
        <v/>
      </c>
      <c r="CO219" t="str">
        <f>+IFERROR(VLOOKUP(CO20,IN_Zugliste!$A$4:$E$2002,5,FALSE),"")</f>
        <v/>
      </c>
      <c r="CP219" t="str">
        <f>+IFERROR(VLOOKUP(CP20,IN_Zugliste!$A$4:$E$2002,5,FALSE),"")</f>
        <v/>
      </c>
      <c r="CQ219" t="str">
        <f>+IFERROR(VLOOKUP(CQ20,IN_Zugliste!$A$4:$E$2002,5,FALSE),"")</f>
        <v/>
      </c>
      <c r="CR219" t="str">
        <f>+IFERROR(VLOOKUP(CR20,IN_Zugliste!$A$4:$E$2002,5,FALSE),"")</f>
        <v/>
      </c>
      <c r="CS219" t="str">
        <f>+IFERROR(VLOOKUP(CS20,IN_Zugliste!$A$4:$E$2002,5,FALSE),"")</f>
        <v/>
      </c>
      <c r="CT219" t="str">
        <f>+IFERROR(VLOOKUP(CT20,IN_Zugliste!$A$4:$E$2002,5,FALSE),"")</f>
        <v/>
      </c>
      <c r="CU219" t="str">
        <f>+IFERROR(VLOOKUP(CU20,IN_Zugliste!$A$4:$E$2002,5,FALSE),"")</f>
        <v/>
      </c>
      <c r="CV219" t="str">
        <f>+IFERROR(VLOOKUP(CV20,IN_Zugliste!$A$4:$E$2002,5,FALSE),"")</f>
        <v/>
      </c>
      <c r="CW219" t="str">
        <f>+IFERROR(VLOOKUP(CW20,IN_Zugliste!$A$4:$E$2002,5,FALSE),"")</f>
        <v/>
      </c>
      <c r="CX219" t="str">
        <f>+IFERROR(VLOOKUP(CX20,IN_Zugliste!$A$4:$E$2002,5,FALSE),"")</f>
        <v/>
      </c>
      <c r="CY219" t="str">
        <f>+IFERROR(VLOOKUP(CY20,IN_Zugliste!$A$4:$E$2002,5,FALSE),"")</f>
        <v/>
      </c>
      <c r="CZ219" t="str">
        <f>+IFERROR(VLOOKUP(CZ20,IN_Zugliste!$A$4:$E$2002,5,FALSE),"")</f>
        <v/>
      </c>
      <c r="DA219" t="str">
        <f>+IFERROR(VLOOKUP(DA20,IN_Zugliste!$A$4:$E$2002,5,FALSE),"")</f>
        <v/>
      </c>
      <c r="DB219" t="str">
        <f>+IFERROR(VLOOKUP(DB20,IN_Zugliste!$A$4:$E$2002,5,FALSE),"")</f>
        <v/>
      </c>
      <c r="DC219" t="str">
        <f>+IFERROR(VLOOKUP(DC20,IN_Zugliste!$A$4:$E$2002,5,FALSE),"")</f>
        <v/>
      </c>
      <c r="DD219" t="str">
        <f>+IFERROR(VLOOKUP(DD20,IN_Zugliste!$A$4:$E$2002,5,FALSE),"")</f>
        <v/>
      </c>
      <c r="DE219" t="str">
        <f>+IFERROR(VLOOKUP(DE20,IN_Zugliste!$A$4:$E$2002,5,FALSE),"")</f>
        <v/>
      </c>
      <c r="DF219" t="str">
        <f>+IFERROR(VLOOKUP(DF20,IN_Zugliste!$A$4:$E$2002,5,FALSE),"")</f>
        <v/>
      </c>
      <c r="DG219" t="str">
        <f>+IFERROR(VLOOKUP(DG20,IN_Zugliste!$A$4:$E$2002,5,FALSE),"")</f>
        <v/>
      </c>
      <c r="DH219" t="str">
        <f>+IFERROR(VLOOKUP(DH20,IN_Zugliste!$A$4:$E$2002,5,FALSE),"")</f>
        <v/>
      </c>
      <c r="DI219" t="str">
        <f>+IFERROR(VLOOKUP(DI20,IN_Zugliste!$A$4:$E$2002,5,FALSE),"")</f>
        <v/>
      </c>
      <c r="DJ219" t="str">
        <f>+IFERROR(VLOOKUP(DJ20,IN_Zugliste!$A$4:$E$2002,5,FALSE),"")</f>
        <v/>
      </c>
      <c r="DK219" t="str">
        <f>+IFERROR(VLOOKUP(DK20,IN_Zugliste!$A$4:$E$2002,5,FALSE),"")</f>
        <v/>
      </c>
      <c r="DL219" t="str">
        <f>+IFERROR(VLOOKUP(DL20,IN_Zugliste!$A$4:$E$2002,5,FALSE),"")</f>
        <v/>
      </c>
      <c r="DM219" t="str">
        <f>+IFERROR(VLOOKUP(DM20,IN_Zugliste!$A$4:$E$2002,5,FALSE),"")</f>
        <v/>
      </c>
      <c r="DN219" t="str">
        <f>+IFERROR(VLOOKUP(DN20,IN_Zugliste!$A$4:$E$2002,5,FALSE),"")</f>
        <v/>
      </c>
      <c r="DO219" t="str">
        <f>+IFERROR(VLOOKUP(DO20,IN_Zugliste!$A$4:$E$2002,5,FALSE),"")</f>
        <v/>
      </c>
      <c r="DP219" t="str">
        <f>+IFERROR(VLOOKUP(DP20,IN_Zugliste!$A$4:$E$2002,5,FALSE),"")</f>
        <v/>
      </c>
      <c r="DQ219" t="str">
        <f>+IFERROR(VLOOKUP(DQ20,IN_Zugliste!$A$4:$E$2002,5,FALSE),"")</f>
        <v/>
      </c>
      <c r="DR219" t="str">
        <f>+IFERROR(VLOOKUP(DR20,IN_Zugliste!$A$4:$E$2002,5,FALSE),"")</f>
        <v/>
      </c>
      <c r="DS219" t="str">
        <f>+IFERROR(VLOOKUP(DS20,IN_Zugliste!$A$4:$E$2002,5,FALSE),"")</f>
        <v/>
      </c>
      <c r="DT219" t="str">
        <f>+IFERROR(VLOOKUP(DT20,IN_Zugliste!$A$4:$E$2002,5,FALSE),"")</f>
        <v/>
      </c>
      <c r="DU219" t="str">
        <f>+IFERROR(VLOOKUP(DU20,IN_Zugliste!$A$4:$E$2002,5,FALSE),"")</f>
        <v/>
      </c>
      <c r="DV219" t="str">
        <f>+IFERROR(VLOOKUP(DV20,IN_Zugliste!$A$4:$E$2002,5,FALSE),"")</f>
        <v/>
      </c>
      <c r="DW219" t="str">
        <f>+IFERROR(VLOOKUP(DW20,IN_Zugliste!$A$4:$E$2002,5,FALSE),"")</f>
        <v/>
      </c>
      <c r="DX219" t="str">
        <f>+IFERROR(VLOOKUP(DX20,IN_Zugliste!$A$4:$E$2002,5,FALSE),"")</f>
        <v/>
      </c>
      <c r="DY219" t="str">
        <f>+IFERROR(VLOOKUP(DY20,IN_Zugliste!$A$4:$E$2002,5,FALSE),"")</f>
        <v/>
      </c>
      <c r="DZ219" t="str">
        <f>+IFERROR(VLOOKUP(DZ20,IN_Zugliste!$A$4:$E$2002,5,FALSE),"")</f>
        <v/>
      </c>
      <c r="EA219" t="str">
        <f>+IFERROR(VLOOKUP(EA20,IN_Zugliste!$A$4:$E$2002,5,FALSE),"")</f>
        <v/>
      </c>
      <c r="EB219" t="str">
        <f>+IFERROR(VLOOKUP(EB20,IN_Zugliste!$A$4:$E$2002,5,FALSE),"")</f>
        <v/>
      </c>
      <c r="EC219" t="str">
        <f>+IFERROR(VLOOKUP(EC20,IN_Zugliste!$A$4:$E$2002,5,FALSE),"")</f>
        <v/>
      </c>
      <c r="ED219" t="str">
        <f>+IFERROR(VLOOKUP(ED20,IN_Zugliste!$A$4:$E$2002,5,FALSE),"")</f>
        <v/>
      </c>
      <c r="EE219" t="str">
        <f>+IFERROR(VLOOKUP(EE20,IN_Zugliste!$A$4:$E$2002,5,FALSE),"")</f>
        <v/>
      </c>
      <c r="EF219" t="str">
        <f>+IFERROR(VLOOKUP(EF20,IN_Zugliste!$A$4:$E$2002,5,FALSE),"")</f>
        <v/>
      </c>
      <c r="EG219" t="str">
        <f>+IFERROR(VLOOKUP(EG20,IN_Zugliste!$A$4:$E$2002,5,FALSE),"")</f>
        <v/>
      </c>
      <c r="EH219" t="str">
        <f>+IFERROR(VLOOKUP(EH20,IN_Zugliste!$A$4:$E$2002,5,FALSE),"")</f>
        <v/>
      </c>
      <c r="EI219" t="str">
        <f>+IFERROR(VLOOKUP(EI20,IN_Zugliste!$A$4:$E$2002,5,FALSE),"")</f>
        <v/>
      </c>
      <c r="EJ219" t="str">
        <f>+IFERROR(VLOOKUP(EJ20,IN_Zugliste!$A$4:$E$2002,5,FALSE),"")</f>
        <v/>
      </c>
      <c r="EK219" t="str">
        <f>+IFERROR(VLOOKUP(EK20,IN_Zugliste!$A$4:$E$2002,5,FALSE),"")</f>
        <v/>
      </c>
      <c r="EL219" t="str">
        <f>+IFERROR(VLOOKUP(EL20,IN_Zugliste!$A$4:$E$2002,5,FALSE),"")</f>
        <v/>
      </c>
      <c r="EM219" t="str">
        <f>+IFERROR(VLOOKUP(EM20,IN_Zugliste!$A$4:$E$2002,5,FALSE),"")</f>
        <v/>
      </c>
      <c r="EN219" t="str">
        <f>+IFERROR(VLOOKUP(EN20,IN_Zugliste!$A$4:$E$2002,5,FALSE),"")</f>
        <v/>
      </c>
      <c r="EO219" t="str">
        <f>+IFERROR(VLOOKUP(EO20,IN_Zugliste!$A$4:$E$2002,5,FALSE),"")</f>
        <v/>
      </c>
      <c r="EP219" t="str">
        <f>+IFERROR(VLOOKUP(EP20,IN_Zugliste!$A$4:$E$2002,5,FALSE),"")</f>
        <v/>
      </c>
      <c r="EQ219" t="str">
        <f>+IFERROR(VLOOKUP(EQ20,IN_Zugliste!$A$4:$E$2002,5,FALSE),"")</f>
        <v/>
      </c>
      <c r="ER219" t="str">
        <f>+IFERROR(VLOOKUP(ER20,IN_Zugliste!$A$4:$E$2002,5,FALSE),"")</f>
        <v/>
      </c>
      <c r="ES219" t="str">
        <f>+IFERROR(VLOOKUP(ES20,IN_Zugliste!$A$4:$E$2002,5,FALSE),"")</f>
        <v/>
      </c>
      <c r="ET219" t="str">
        <f>+IFERROR(VLOOKUP(ET20,IN_Zugliste!$A$4:$E$2002,5,FALSE),"")</f>
        <v/>
      </c>
      <c r="EU219" t="str">
        <f>+IFERROR(VLOOKUP(EU20,IN_Zugliste!$A$4:$E$2002,5,FALSE),"")</f>
        <v/>
      </c>
      <c r="EV219" t="str">
        <f>+IFERROR(VLOOKUP(EV20,IN_Zugliste!$A$4:$E$2002,5,FALSE),"")</f>
        <v/>
      </c>
      <c r="EW219" t="str">
        <f>+IFERROR(VLOOKUP(EW20,IN_Zugliste!$A$4:$E$2002,5,FALSE),"")</f>
        <v/>
      </c>
      <c r="EX219" t="str">
        <f>+IFERROR(VLOOKUP(EX20,IN_Zugliste!$A$4:$E$2002,5,FALSE),"")</f>
        <v/>
      </c>
      <c r="EY219" t="str">
        <f>+IFERROR(VLOOKUP(EY20,IN_Zugliste!$A$4:$E$2002,5,FALSE),"")</f>
        <v/>
      </c>
      <c r="EZ219" t="str">
        <f>+IFERROR(VLOOKUP(EZ20,IN_Zugliste!$A$4:$E$2002,5,FALSE),"")</f>
        <v/>
      </c>
      <c r="FA219" t="str">
        <f>+IFERROR(VLOOKUP(FA20,IN_Zugliste!$A$4:$E$2002,5,FALSE),"")</f>
        <v/>
      </c>
      <c r="FB219" t="str">
        <f>+IFERROR(VLOOKUP(FB20,IN_Zugliste!$A$4:$E$2002,5,FALSE),"")</f>
        <v/>
      </c>
      <c r="FC219" t="str">
        <f>+IFERROR(VLOOKUP(FC20,IN_Zugliste!$A$4:$E$2002,5,FALSE),"")</f>
        <v/>
      </c>
      <c r="FD219" t="str">
        <f>+IFERROR(VLOOKUP(FD20,IN_Zugliste!$A$4:$E$2002,5,FALSE),"")</f>
        <v/>
      </c>
      <c r="FE219" t="str">
        <f>+IFERROR(VLOOKUP(FE20,IN_Zugliste!$A$4:$E$2002,5,FALSE),"")</f>
        <v/>
      </c>
      <c r="FF219" t="str">
        <f>+IFERROR(VLOOKUP(FF20,IN_Zugliste!$A$4:$E$2002,5,FALSE),"")</f>
        <v/>
      </c>
      <c r="FG219" t="str">
        <f>+IFERROR(VLOOKUP(FG20,IN_Zugliste!$A$4:$E$2002,5,FALSE),"")</f>
        <v/>
      </c>
      <c r="FH219" t="str">
        <f>+IFERROR(VLOOKUP(FH20,IN_Zugliste!$A$4:$E$2002,5,FALSE),"")</f>
        <v/>
      </c>
      <c r="FI219" t="str">
        <f>+IFERROR(VLOOKUP(FI20,IN_Zugliste!$A$4:$E$2002,5,FALSE),"")</f>
        <v/>
      </c>
      <c r="FJ219" t="str">
        <f>+IFERROR(VLOOKUP(FJ20,IN_Zugliste!$A$4:$E$2002,5,FALSE),"")</f>
        <v/>
      </c>
      <c r="FK219" t="str">
        <f>+IFERROR(VLOOKUP(FK20,IN_Zugliste!$A$4:$E$2002,5,FALSE),"")</f>
        <v/>
      </c>
      <c r="FL219" t="str">
        <f>+IFERROR(VLOOKUP(FL20,IN_Zugliste!$A$4:$E$2002,5,FALSE),"")</f>
        <v/>
      </c>
      <c r="FM219" t="str">
        <f>+IFERROR(VLOOKUP(FM20,IN_Zugliste!$A$4:$D$2002,5,FALSE),"")</f>
        <v/>
      </c>
      <c r="FN219" t="str">
        <f>+IFERROR(VLOOKUP(FN20,IN_Zugliste!$A$4:$D$2002,5,FALSE),"")</f>
        <v/>
      </c>
      <c r="FO219" t="str">
        <f>+IFERROR(VLOOKUP(FO20,IN_Zugliste!$A$4:$D$2002,5,FALSE),"")</f>
        <v/>
      </c>
      <c r="FP219" t="str">
        <f>+IFERROR(VLOOKUP(FP20,IN_Zugliste!$A$4:$D$2002,5,FALSE),"")</f>
        <v/>
      </c>
      <c r="FQ219" t="str">
        <f>+IFERROR(VLOOKUP(FQ20,IN_Zugliste!$A$4:$D$2002,5,FALSE),"")</f>
        <v/>
      </c>
      <c r="FR219" t="str">
        <f>+IFERROR(VLOOKUP(FR20,IN_Zugliste!$A$4:$D$2002,5,FALSE),"")</f>
        <v/>
      </c>
      <c r="FS219" t="str">
        <f>+IFERROR(VLOOKUP(FS20,IN_Zugliste!$A$4:$D$2002,5,FALSE),"")</f>
        <v/>
      </c>
      <c r="FT219" t="str">
        <f>+IFERROR(VLOOKUP(FT20,IN_Zugliste!$A$4:$D$2002,5,FALSE),"")</f>
        <v/>
      </c>
      <c r="FU219" t="str">
        <f>+IFERROR(VLOOKUP(FU20,IN_Zugliste!$A$4:$D$2002,5,FALSE),"")</f>
        <v/>
      </c>
      <c r="FV219" t="str">
        <f>+IFERROR(VLOOKUP(FV20,IN_Zugliste!$A$4:$D$2002,5,FALSE),"")</f>
        <v/>
      </c>
      <c r="FW219" t="str">
        <f>+IFERROR(VLOOKUP(FW20,IN_Zugliste!$A$4:$D$2002,5,FALSE),"")</f>
        <v/>
      </c>
      <c r="FX219" t="str">
        <f>+IFERROR(VLOOKUP(FX20,IN_Zugliste!$A$4:$D$2002,5,FALSE),"")</f>
        <v/>
      </c>
      <c r="FY219" t="str">
        <f>+IFERROR(VLOOKUP(FY20,IN_Zugliste!$A$4:$D$2002,5,FALSE),"")</f>
        <v/>
      </c>
      <c r="FZ219" t="str">
        <f>+IFERROR(VLOOKUP(FZ20,IN_Zugliste!$A$4:$D$2002,5,FALSE),"")</f>
        <v/>
      </c>
      <c r="GA219" t="str">
        <f>+IFERROR(VLOOKUP(GA20,IN_Zugliste!$A$4:$D$2002,5,FALSE),"")</f>
        <v/>
      </c>
      <c r="GB219" t="str">
        <f>+IFERROR(VLOOKUP(GB20,IN_Zugliste!$A$4:$D$2002,5,FALSE),"")</f>
        <v/>
      </c>
      <c r="GC219" t="str">
        <f>+IFERROR(VLOOKUP(GC20,IN_Zugliste!$A$4:$D$2002,5,FALSE),"")</f>
        <v/>
      </c>
      <c r="GD219" t="str">
        <f>+IFERROR(VLOOKUP(GD20,IN_Zugliste!$A$4:$D$2002,5,FALSE),"")</f>
        <v/>
      </c>
      <c r="GE219" t="str">
        <f>+IFERROR(VLOOKUP(GE20,IN_Zugliste!$A$4:$D$2002,5,FALSE),"")</f>
        <v/>
      </c>
      <c r="GF219" t="str">
        <f>+IFERROR(VLOOKUP(GF20,IN_Zugliste!$A$4:$D$2002,5,FALSE),"")</f>
        <v/>
      </c>
      <c r="GG219" t="str">
        <f>+IFERROR(VLOOKUP(GG20,IN_Zugliste!$A$4:$D$2002,5,FALSE),"")</f>
        <v/>
      </c>
      <c r="GH219" t="str">
        <f>+IFERROR(VLOOKUP(GH20,IN_Zugliste!$A$4:$D$2002,5,FALSE),"")</f>
        <v/>
      </c>
      <c r="GI219" t="str">
        <f>+IFERROR(VLOOKUP(GI20,IN_Zugliste!$A$4:$D$2002,5,FALSE),"")</f>
        <v/>
      </c>
      <c r="GJ219" t="str">
        <f>+IFERROR(VLOOKUP(GJ20,IN_Zugliste!$A$4:$D$2002,5,FALSE),"")</f>
        <v/>
      </c>
      <c r="GK219" t="str">
        <f>+IFERROR(VLOOKUP(GK20,IN_Zugliste!$A$4:$D$2002,5,FALSE),"")</f>
        <v/>
      </c>
      <c r="GL219" t="str">
        <f>+IFERROR(VLOOKUP(GL20,IN_Zugliste!$A$4:$D$2002,5,FALSE),"")</f>
        <v/>
      </c>
      <c r="GM219" t="str">
        <f>+IFERROR(VLOOKUP(GM20,IN_Zugliste!$A$4:$D$2002,5,FALSE),"")</f>
        <v/>
      </c>
      <c r="GN219" t="str">
        <f>+IFERROR(VLOOKUP(GN20,IN_Zugliste!$A$4:$D$2002,5,FALSE),"")</f>
        <v/>
      </c>
      <c r="GO219" t="str">
        <f>+IFERROR(VLOOKUP(GO20,IN_Zugliste!$A$4:$D$2002,5,FALSE),"")</f>
        <v/>
      </c>
      <c r="GP219" t="str">
        <f>+IFERROR(VLOOKUP(GP20,IN_Zugliste!$A$4:$D$2002,5,FALSE),"")</f>
        <v/>
      </c>
      <c r="GQ219" t="str">
        <f>+IFERROR(VLOOKUP(GQ20,IN_Zugliste!$A$4:$D$2002,5,FALSE),"")</f>
        <v/>
      </c>
      <c r="GR219" t="str">
        <f>+IFERROR(VLOOKUP(GR20,IN_Zugliste!$A$4:$D$2002,5,FALSE),"")</f>
        <v/>
      </c>
      <c r="GS219" t="str">
        <f>+IFERROR(VLOOKUP(GS20,IN_Zugliste!$A$4:$D$2002,5,FALSE),"")</f>
        <v/>
      </c>
      <c r="GT219" t="str">
        <f>+IFERROR(VLOOKUP(GT20,IN_Zugliste!$A$4:$D$2002,5,FALSE),"")</f>
        <v/>
      </c>
      <c r="GU219" t="str">
        <f>+IFERROR(VLOOKUP(GU20,IN_Zugliste!$A$4:$D$2002,5,FALSE),"")</f>
        <v/>
      </c>
      <c r="GV219" t="str">
        <f>+IFERROR(VLOOKUP(GV20,IN_Zugliste!$A$4:$D$2002,5,FALSE),"")</f>
        <v/>
      </c>
      <c r="GW219" t="str">
        <f>+IFERROR(VLOOKUP(GW20,IN_Zugliste!$A$4:$D$2002,5,FALSE),"")</f>
        <v/>
      </c>
      <c r="GX219" t="str">
        <f>+IFERROR(VLOOKUP(GX20,IN_Zugliste!$A$4:$D$2002,5,FALSE),"")</f>
        <v/>
      </c>
      <c r="GY219" t="str">
        <f>+IFERROR(VLOOKUP(GY20,IN_Zugliste!$A$4:$D$2002,5,FALSE),"")</f>
        <v/>
      </c>
      <c r="GZ219" t="str">
        <f>+IFERROR(VLOOKUP(GZ20,IN_Zugliste!$A$4:$D$2002,5,FALSE),"")</f>
        <v/>
      </c>
      <c r="HA219" t="str">
        <f>+IFERROR(VLOOKUP(HA20,IN_Zugliste!$A$4:$D$2002,5,FALSE),"")</f>
        <v/>
      </c>
      <c r="HB219" t="str">
        <f>+IFERROR(VLOOKUP(HB20,IN_Zugliste!$A$4:$D$2002,5,FALSE),"")</f>
        <v/>
      </c>
      <c r="HC219" t="str">
        <f>+IFERROR(VLOOKUP(HC20,IN_Zugliste!$A$4:$D$2002,5,FALSE),"")</f>
        <v/>
      </c>
      <c r="HD219" t="str">
        <f>+IFERROR(VLOOKUP(HD20,IN_Zugliste!$A$4:$D$2002,5,FALSE),"")</f>
        <v/>
      </c>
      <c r="HE219" t="str">
        <f>+IFERROR(VLOOKUP(HE20,IN_Zugliste!$A$4:$D$2002,5,FALSE),"")</f>
        <v/>
      </c>
      <c r="HF219" t="str">
        <f>+IFERROR(VLOOKUP(HF20,IN_Zugliste!$A$4:$D$2002,5,FALSE),"")</f>
        <v/>
      </c>
      <c r="HG219" t="str">
        <f>+IFERROR(VLOOKUP(HG20,IN_Zugliste!$A$4:$D$2002,5,FALSE),"")</f>
        <v/>
      </c>
      <c r="HH219" t="str">
        <f>+IFERROR(VLOOKUP(HH20,IN_Zugliste!$A$4:$D$2002,5,FALSE),"")</f>
        <v/>
      </c>
    </row>
    <row r="220" spans="1:216" x14ac:dyDescent="0.2">
      <c r="A220" t="str">
        <f>+IFERROR(VLOOKUP(A21,IN_Zugliste!$A$4:$E$2002,5,FALSE),"")</f>
        <v/>
      </c>
      <c r="B220" t="str">
        <f>+IFERROR(VLOOKUP(B21,IN_Zugliste!$A$4:$E$2002,5,FALSE),"")</f>
        <v/>
      </c>
      <c r="C220" t="str">
        <f>+IFERROR(VLOOKUP(C21,IN_Zugliste!$A$4:$E$2002,5,FALSE),"")</f>
        <v/>
      </c>
      <c r="D220" t="str">
        <f>+IFERROR(VLOOKUP(D21,IN_Zugliste!$A$4:$E$2002,5,FALSE),"")</f>
        <v/>
      </c>
      <c r="E220" t="str">
        <f>+IFERROR(VLOOKUP(E21,IN_Zugliste!$A$4:$E$2002,5,FALSE),"")</f>
        <v/>
      </c>
      <c r="F220" t="str">
        <f>+IFERROR(VLOOKUP(F21,IN_Zugliste!$A$4:$E$2002,5,FALSE),"")</f>
        <v/>
      </c>
      <c r="G220" t="str">
        <f>+IFERROR(VLOOKUP(G21,IN_Zugliste!$A$4:$E$2002,5,FALSE),"")</f>
        <v/>
      </c>
      <c r="H220" t="str">
        <f>+IFERROR(VLOOKUP(H21,IN_Zugliste!$A$4:$E$2002,5,FALSE),"")</f>
        <v/>
      </c>
      <c r="I220" t="str">
        <f>+IFERROR(VLOOKUP(I21,IN_Zugliste!$A$4:$E$2002,5,FALSE),"")</f>
        <v/>
      </c>
      <c r="J220" t="str">
        <f>+IFERROR(VLOOKUP(J21,IN_Zugliste!$A$4:$E$2002,5,FALSE),"")</f>
        <v/>
      </c>
      <c r="K220" t="str">
        <f>+IFERROR(VLOOKUP(K21,IN_Zugliste!$A$4:$E$2002,5,FALSE),"")</f>
        <v/>
      </c>
      <c r="L220" t="str">
        <f>+IFERROR(VLOOKUP(L21,IN_Zugliste!$A$4:$E$2002,5,FALSE),"")</f>
        <v/>
      </c>
      <c r="M220" t="str">
        <f>+IFERROR(VLOOKUP(M21,IN_Zugliste!$A$4:$E$2002,5,FALSE),"")</f>
        <v/>
      </c>
      <c r="N220" t="str">
        <f>+IFERROR(VLOOKUP(N21,IN_Zugliste!$A$4:$E$2002,5,FALSE),"")</f>
        <v/>
      </c>
      <c r="O220" t="str">
        <f>+IFERROR(VLOOKUP(O21,IN_Zugliste!$A$4:$E$2002,5,FALSE),"")</f>
        <v/>
      </c>
      <c r="P220" t="str">
        <f>+IFERROR(VLOOKUP(P21,IN_Zugliste!$A$4:$E$2002,5,FALSE),"")</f>
        <v/>
      </c>
      <c r="Q220" t="str">
        <f>+IFERROR(VLOOKUP(Q21,IN_Zugliste!$A$4:$E$2002,5,FALSE),"")</f>
        <v/>
      </c>
      <c r="R220" t="str">
        <f>+IFERROR(VLOOKUP(R21,IN_Zugliste!$A$4:$E$2002,5,FALSE),"")</f>
        <v/>
      </c>
      <c r="S220" t="str">
        <f>+IFERROR(VLOOKUP(S21,IN_Zugliste!$A$4:$E$2002,5,FALSE),"")</f>
        <v/>
      </c>
      <c r="T220" t="str">
        <f>+IFERROR(VLOOKUP(T21,IN_Zugliste!$A$4:$E$2002,5,FALSE),"")</f>
        <v/>
      </c>
      <c r="U220" t="str">
        <f>+IFERROR(VLOOKUP(U21,IN_Zugliste!$A$4:$E$2002,5,FALSE),"")</f>
        <v/>
      </c>
      <c r="V220" t="str">
        <f>+IFERROR(VLOOKUP(V21,IN_Zugliste!$A$4:$E$2002,5,FALSE),"")</f>
        <v/>
      </c>
      <c r="W220" t="str">
        <f>+IFERROR(VLOOKUP(W21,IN_Zugliste!$A$4:$E$2002,5,FALSE),"")</f>
        <v/>
      </c>
      <c r="X220" t="str">
        <f>+IFERROR(VLOOKUP(X21,IN_Zugliste!$A$4:$E$2002,5,FALSE),"")</f>
        <v/>
      </c>
      <c r="Y220" t="str">
        <f>+IFERROR(VLOOKUP(Y21,IN_Zugliste!$A$4:$E$2002,5,FALSE),"")</f>
        <v/>
      </c>
      <c r="Z220" t="str">
        <f>+IFERROR(VLOOKUP(Z21,IN_Zugliste!$A$4:$E$2002,5,FALSE),"")</f>
        <v/>
      </c>
      <c r="AA220" t="str">
        <f>+IFERROR(VLOOKUP(AA21,IN_Zugliste!$A$4:$E$2002,5,FALSE),"")</f>
        <v/>
      </c>
      <c r="AB220" t="str">
        <f>+IFERROR(VLOOKUP(AB21,IN_Zugliste!$A$4:$E$2002,5,FALSE),"")</f>
        <v/>
      </c>
      <c r="AC220" t="str">
        <f>+IFERROR(VLOOKUP(AC21,IN_Zugliste!$A$4:$E$2002,5,FALSE),"")</f>
        <v/>
      </c>
      <c r="AD220" t="str">
        <f>+IFERROR(VLOOKUP(AD21,IN_Zugliste!$A$4:$E$2002,5,FALSE),"")</f>
        <v/>
      </c>
      <c r="AE220" t="str">
        <f>+IFERROR(VLOOKUP(AE21,IN_Zugliste!$A$4:$E$2002,5,FALSE),"")</f>
        <v/>
      </c>
      <c r="AF220" t="str">
        <f>+IFERROR(VLOOKUP(AF21,IN_Zugliste!$A$4:$E$2002,5,FALSE),"")</f>
        <v/>
      </c>
      <c r="AG220" t="str">
        <f>+IFERROR(VLOOKUP(AG21,IN_Zugliste!$A$4:$E$2002,5,FALSE),"")</f>
        <v/>
      </c>
      <c r="AH220" t="str">
        <f>+IFERROR(VLOOKUP(AH21,IN_Zugliste!$A$4:$E$2002,5,FALSE),"")</f>
        <v/>
      </c>
      <c r="AI220" t="str">
        <f>+IFERROR(VLOOKUP(AI21,IN_Zugliste!$A$4:$E$2002,5,FALSE),"")</f>
        <v/>
      </c>
      <c r="AJ220" t="str">
        <f>+IFERROR(VLOOKUP(AJ21,IN_Zugliste!$A$4:$E$2002,5,FALSE),"")</f>
        <v/>
      </c>
      <c r="AK220" t="str">
        <f>+IFERROR(VLOOKUP(AK21,IN_Zugliste!$A$4:$E$2002,5,FALSE),"")</f>
        <v/>
      </c>
      <c r="AL220" t="str">
        <f>+IFERROR(VLOOKUP(AL21,IN_Zugliste!$A$4:$E$2002,5,FALSE),"")</f>
        <v/>
      </c>
      <c r="AM220" t="str">
        <f>+IFERROR(VLOOKUP(AM21,IN_Zugliste!$A$4:$E$2002,5,FALSE),"")</f>
        <v/>
      </c>
      <c r="AN220" t="str">
        <f>+IFERROR(VLOOKUP(AN21,IN_Zugliste!$A$4:$E$2002,5,FALSE),"")</f>
        <v/>
      </c>
      <c r="AO220" t="str">
        <f>+IFERROR(VLOOKUP(AO21,IN_Zugliste!$A$4:$E$2002,5,FALSE),"")</f>
        <v/>
      </c>
      <c r="AP220" t="str">
        <f>+IFERROR(VLOOKUP(AP21,IN_Zugliste!$A$4:$E$2002,5,FALSE),"")</f>
        <v/>
      </c>
      <c r="AQ220" t="str">
        <f>+IFERROR(VLOOKUP(AQ21,IN_Zugliste!$A$4:$E$2002,5,FALSE),"")</f>
        <v/>
      </c>
      <c r="AR220" t="str">
        <f>+IFERROR(VLOOKUP(AR21,IN_Zugliste!$A$4:$E$2002,5,FALSE),"")</f>
        <v/>
      </c>
      <c r="AS220" t="str">
        <f>+IFERROR(VLOOKUP(AS21,IN_Zugliste!$A$4:$E$2002,5,FALSE),"")</f>
        <v/>
      </c>
      <c r="AT220" t="str">
        <f>+IFERROR(VLOOKUP(AT21,IN_Zugliste!$A$4:$E$2002,5,FALSE),"")</f>
        <v/>
      </c>
      <c r="AU220" t="str">
        <f>+IFERROR(VLOOKUP(AU21,IN_Zugliste!$A$4:$E$2002,5,FALSE),"")</f>
        <v/>
      </c>
      <c r="AV220" t="str">
        <f>+IFERROR(VLOOKUP(AV21,IN_Zugliste!$A$4:$E$2002,5,FALSE),"")</f>
        <v/>
      </c>
      <c r="AW220" t="str">
        <f>+IFERROR(VLOOKUP(AW21,IN_Zugliste!$A$4:$E$2002,5,FALSE),"")</f>
        <v/>
      </c>
      <c r="AX220" t="str">
        <f>+IFERROR(VLOOKUP(AX21,IN_Zugliste!$A$4:$E$2002,5,FALSE),"")</f>
        <v/>
      </c>
      <c r="AY220" t="str">
        <f>+IFERROR(VLOOKUP(AY21,IN_Zugliste!$A$4:$E$2002,5,FALSE),"")</f>
        <v/>
      </c>
      <c r="AZ220" t="str">
        <f>+IFERROR(VLOOKUP(AZ21,IN_Zugliste!$A$4:$E$2002,5,FALSE),"")</f>
        <v/>
      </c>
      <c r="BA220" t="str">
        <f>+IFERROR(VLOOKUP(BA21,IN_Zugliste!$A$4:$E$2002,5,FALSE),"")</f>
        <v/>
      </c>
      <c r="BB220" t="str">
        <f>+IFERROR(VLOOKUP(BB21,IN_Zugliste!$A$4:$E$2002,5,FALSE),"")</f>
        <v/>
      </c>
      <c r="BC220" t="str">
        <f>+IFERROR(VLOOKUP(BC21,IN_Zugliste!$A$4:$E$2002,5,FALSE),"")</f>
        <v/>
      </c>
      <c r="BD220" t="str">
        <f>+IFERROR(VLOOKUP(BD21,IN_Zugliste!$A$4:$E$2002,5,FALSE),"")</f>
        <v/>
      </c>
      <c r="BE220" t="str">
        <f>+IFERROR(VLOOKUP(BE21,IN_Zugliste!$A$4:$E$2002,5,FALSE),"")</f>
        <v/>
      </c>
      <c r="BF220" t="str">
        <f>+IFERROR(VLOOKUP(BF21,IN_Zugliste!$A$4:$E$2002,5,FALSE),"")</f>
        <v/>
      </c>
      <c r="BG220" t="str">
        <f>+IFERROR(VLOOKUP(BG21,IN_Zugliste!$A$4:$E$2002,5,FALSE),"")</f>
        <v/>
      </c>
      <c r="BH220" t="str">
        <f>+IFERROR(VLOOKUP(BH21,IN_Zugliste!$A$4:$E$2002,5,FALSE),"")</f>
        <v/>
      </c>
      <c r="BI220" t="str">
        <f>+IFERROR(VLOOKUP(BI21,IN_Zugliste!$A$4:$E$2002,5,FALSE),"")</f>
        <v/>
      </c>
      <c r="BJ220" t="str">
        <f>+IFERROR(VLOOKUP(BJ21,IN_Zugliste!$A$4:$E$2002,5,FALSE),"")</f>
        <v/>
      </c>
      <c r="BK220" t="str">
        <f>+IFERROR(VLOOKUP(BK21,IN_Zugliste!$A$4:$E$2002,5,FALSE),"")</f>
        <v/>
      </c>
      <c r="BL220" t="str">
        <f>+IFERROR(VLOOKUP(BL21,IN_Zugliste!$A$4:$E$2002,5,FALSE),"")</f>
        <v/>
      </c>
      <c r="BM220" t="str">
        <f>+IFERROR(VLOOKUP(BM21,IN_Zugliste!$A$4:$E$2002,5,FALSE),"")</f>
        <v/>
      </c>
      <c r="BN220" t="str">
        <f>+IFERROR(VLOOKUP(BN21,IN_Zugliste!$A$4:$E$2002,5,FALSE),"")</f>
        <v/>
      </c>
      <c r="BO220" t="str">
        <f>+IFERROR(VLOOKUP(BO21,IN_Zugliste!$A$4:$E$2002,5,FALSE),"")</f>
        <v/>
      </c>
      <c r="BP220" t="str">
        <f>+IFERROR(VLOOKUP(BP21,IN_Zugliste!$A$4:$E$2002,5,FALSE),"")</f>
        <v/>
      </c>
      <c r="BQ220" t="str">
        <f>+IFERROR(VLOOKUP(BQ21,IN_Zugliste!$A$4:$E$2002,5,FALSE),"")</f>
        <v/>
      </c>
      <c r="BR220" t="str">
        <f>+IFERROR(VLOOKUP(BR21,IN_Zugliste!$A$4:$E$2002,5,FALSE),"")</f>
        <v/>
      </c>
      <c r="BS220" t="str">
        <f>+IFERROR(VLOOKUP(BS21,IN_Zugliste!$A$4:$E$2002,5,FALSE),"")</f>
        <v/>
      </c>
      <c r="BT220" t="str">
        <f>+IFERROR(VLOOKUP(BT21,IN_Zugliste!$A$4:$E$2002,5,FALSE),"")</f>
        <v/>
      </c>
      <c r="BU220" t="str">
        <f>+IFERROR(VLOOKUP(BU21,IN_Zugliste!$A$4:$E$2002,5,FALSE),"")</f>
        <v/>
      </c>
      <c r="BV220" t="str">
        <f>+IFERROR(VLOOKUP(BV21,IN_Zugliste!$A$4:$E$2002,5,FALSE),"")</f>
        <v/>
      </c>
      <c r="BW220" t="str">
        <f>+IFERROR(VLOOKUP(BW21,IN_Zugliste!$A$4:$E$2002,5,FALSE),"")</f>
        <v/>
      </c>
      <c r="BX220" t="str">
        <f>+IFERROR(VLOOKUP(BX21,IN_Zugliste!$A$4:$E$2002,5,FALSE),"")</f>
        <v/>
      </c>
      <c r="BY220" t="str">
        <f>+IFERROR(VLOOKUP(BY21,IN_Zugliste!$A$4:$E$2002,5,FALSE),"")</f>
        <v/>
      </c>
      <c r="BZ220" t="str">
        <f>+IFERROR(VLOOKUP(BZ21,IN_Zugliste!$A$4:$E$2002,5,FALSE),"")</f>
        <v/>
      </c>
      <c r="CA220" t="str">
        <f>+IFERROR(VLOOKUP(CA21,IN_Zugliste!$A$4:$E$2002,5,FALSE),"")</f>
        <v/>
      </c>
      <c r="CB220" t="str">
        <f>+IFERROR(VLOOKUP(CB21,IN_Zugliste!$A$4:$E$2002,5,FALSE),"")</f>
        <v/>
      </c>
      <c r="CC220" t="str">
        <f>+IFERROR(VLOOKUP(CC21,IN_Zugliste!$A$4:$E$2002,5,FALSE),"")</f>
        <v/>
      </c>
      <c r="CD220" t="str">
        <f>+IFERROR(VLOOKUP(CD21,IN_Zugliste!$A$4:$E$2002,5,FALSE),"")</f>
        <v/>
      </c>
      <c r="CE220" t="str">
        <f>+IFERROR(VLOOKUP(CE21,IN_Zugliste!$A$4:$E$2002,5,FALSE),"")</f>
        <v/>
      </c>
      <c r="CF220" t="str">
        <f>+IFERROR(VLOOKUP(CF21,IN_Zugliste!$A$4:$E$2002,5,FALSE),"")</f>
        <v/>
      </c>
      <c r="CG220" t="str">
        <f>+IFERROR(VLOOKUP(CG21,IN_Zugliste!$A$4:$E$2002,5,FALSE),"")</f>
        <v/>
      </c>
      <c r="CH220" t="str">
        <f>+IFERROR(VLOOKUP(CH21,IN_Zugliste!$A$4:$E$2002,5,FALSE),"")</f>
        <v/>
      </c>
      <c r="CI220" t="str">
        <f>+IFERROR(VLOOKUP(CI21,IN_Zugliste!$A$4:$E$2002,5,FALSE),"")</f>
        <v/>
      </c>
      <c r="CJ220" t="str">
        <f>+IFERROR(VLOOKUP(CJ21,IN_Zugliste!$A$4:$E$2002,5,FALSE),"")</f>
        <v/>
      </c>
      <c r="CK220" t="str">
        <f>+IFERROR(VLOOKUP(CK21,IN_Zugliste!$A$4:$E$2002,5,FALSE),"")</f>
        <v/>
      </c>
      <c r="CL220" t="str">
        <f>+IFERROR(VLOOKUP(CL21,IN_Zugliste!$A$4:$E$2002,5,FALSE),"")</f>
        <v/>
      </c>
      <c r="CM220" t="str">
        <f>+IFERROR(VLOOKUP(CM21,IN_Zugliste!$A$4:$E$2002,5,FALSE),"")</f>
        <v/>
      </c>
      <c r="CN220" t="str">
        <f>+IFERROR(VLOOKUP(CN21,IN_Zugliste!$A$4:$E$2002,5,FALSE),"")</f>
        <v/>
      </c>
      <c r="CO220" t="str">
        <f>+IFERROR(VLOOKUP(CO21,IN_Zugliste!$A$4:$E$2002,5,FALSE),"")</f>
        <v/>
      </c>
      <c r="CP220" t="str">
        <f>+IFERROR(VLOOKUP(CP21,IN_Zugliste!$A$4:$E$2002,5,FALSE),"")</f>
        <v/>
      </c>
      <c r="CQ220" t="str">
        <f>+IFERROR(VLOOKUP(CQ21,IN_Zugliste!$A$4:$E$2002,5,FALSE),"")</f>
        <v/>
      </c>
      <c r="CR220" t="str">
        <f>+IFERROR(VLOOKUP(CR21,IN_Zugliste!$A$4:$E$2002,5,FALSE),"")</f>
        <v/>
      </c>
      <c r="CS220" t="str">
        <f>+IFERROR(VLOOKUP(CS21,IN_Zugliste!$A$4:$E$2002,5,FALSE),"")</f>
        <v/>
      </c>
      <c r="CT220" t="str">
        <f>+IFERROR(VLOOKUP(CT21,IN_Zugliste!$A$4:$E$2002,5,FALSE),"")</f>
        <v/>
      </c>
      <c r="CU220" t="str">
        <f>+IFERROR(VLOOKUP(CU21,IN_Zugliste!$A$4:$E$2002,5,FALSE),"")</f>
        <v/>
      </c>
      <c r="CV220" t="str">
        <f>+IFERROR(VLOOKUP(CV21,IN_Zugliste!$A$4:$E$2002,5,FALSE),"")</f>
        <v/>
      </c>
      <c r="CW220" t="str">
        <f>+IFERROR(VLOOKUP(CW21,IN_Zugliste!$A$4:$E$2002,5,FALSE),"")</f>
        <v/>
      </c>
      <c r="CX220" t="str">
        <f>+IFERROR(VLOOKUP(CX21,IN_Zugliste!$A$4:$E$2002,5,FALSE),"")</f>
        <v/>
      </c>
      <c r="CY220" t="str">
        <f>+IFERROR(VLOOKUP(CY21,IN_Zugliste!$A$4:$E$2002,5,FALSE),"")</f>
        <v/>
      </c>
      <c r="CZ220" t="str">
        <f>+IFERROR(VLOOKUP(CZ21,IN_Zugliste!$A$4:$E$2002,5,FALSE),"")</f>
        <v/>
      </c>
      <c r="DA220" t="str">
        <f>+IFERROR(VLOOKUP(DA21,IN_Zugliste!$A$4:$E$2002,5,FALSE),"")</f>
        <v/>
      </c>
      <c r="DB220" t="str">
        <f>+IFERROR(VLOOKUP(DB21,IN_Zugliste!$A$4:$E$2002,5,FALSE),"")</f>
        <v/>
      </c>
      <c r="DC220" t="str">
        <f>+IFERROR(VLOOKUP(DC21,IN_Zugliste!$A$4:$E$2002,5,FALSE),"")</f>
        <v/>
      </c>
      <c r="DD220" t="str">
        <f>+IFERROR(VLOOKUP(DD21,IN_Zugliste!$A$4:$E$2002,5,FALSE),"")</f>
        <v/>
      </c>
      <c r="DE220" t="str">
        <f>+IFERROR(VLOOKUP(DE21,IN_Zugliste!$A$4:$E$2002,5,FALSE),"")</f>
        <v/>
      </c>
      <c r="DF220" t="str">
        <f>+IFERROR(VLOOKUP(DF21,IN_Zugliste!$A$4:$E$2002,5,FALSE),"")</f>
        <v/>
      </c>
      <c r="DG220" t="str">
        <f>+IFERROR(VLOOKUP(DG21,IN_Zugliste!$A$4:$E$2002,5,FALSE),"")</f>
        <v/>
      </c>
      <c r="DH220" t="str">
        <f>+IFERROR(VLOOKUP(DH21,IN_Zugliste!$A$4:$E$2002,5,FALSE),"")</f>
        <v/>
      </c>
      <c r="DI220" t="str">
        <f>+IFERROR(VLOOKUP(DI21,IN_Zugliste!$A$4:$E$2002,5,FALSE),"")</f>
        <v/>
      </c>
      <c r="DJ220" t="str">
        <f>+IFERROR(VLOOKUP(DJ21,IN_Zugliste!$A$4:$E$2002,5,FALSE),"")</f>
        <v/>
      </c>
      <c r="DK220" t="str">
        <f>+IFERROR(VLOOKUP(DK21,IN_Zugliste!$A$4:$E$2002,5,FALSE),"")</f>
        <v/>
      </c>
      <c r="DL220" t="str">
        <f>+IFERROR(VLOOKUP(DL21,IN_Zugliste!$A$4:$E$2002,5,FALSE),"")</f>
        <v/>
      </c>
      <c r="DM220" t="str">
        <f>+IFERROR(VLOOKUP(DM21,IN_Zugliste!$A$4:$E$2002,5,FALSE),"")</f>
        <v/>
      </c>
      <c r="DN220" t="str">
        <f>+IFERROR(VLOOKUP(DN21,IN_Zugliste!$A$4:$E$2002,5,FALSE),"")</f>
        <v/>
      </c>
      <c r="DO220" t="str">
        <f>+IFERROR(VLOOKUP(DO21,IN_Zugliste!$A$4:$E$2002,5,FALSE),"")</f>
        <v/>
      </c>
      <c r="DP220" t="str">
        <f>+IFERROR(VLOOKUP(DP21,IN_Zugliste!$A$4:$E$2002,5,FALSE),"")</f>
        <v/>
      </c>
      <c r="DQ220" t="str">
        <f>+IFERROR(VLOOKUP(DQ21,IN_Zugliste!$A$4:$E$2002,5,FALSE),"")</f>
        <v/>
      </c>
      <c r="DR220" t="str">
        <f>+IFERROR(VLOOKUP(DR21,IN_Zugliste!$A$4:$E$2002,5,FALSE),"")</f>
        <v/>
      </c>
      <c r="DS220" t="str">
        <f>+IFERROR(VLOOKUP(DS21,IN_Zugliste!$A$4:$E$2002,5,FALSE),"")</f>
        <v/>
      </c>
      <c r="DT220" t="str">
        <f>+IFERROR(VLOOKUP(DT21,IN_Zugliste!$A$4:$E$2002,5,FALSE),"")</f>
        <v/>
      </c>
      <c r="DU220" t="str">
        <f>+IFERROR(VLOOKUP(DU21,IN_Zugliste!$A$4:$E$2002,5,FALSE),"")</f>
        <v/>
      </c>
      <c r="DV220" t="str">
        <f>+IFERROR(VLOOKUP(DV21,IN_Zugliste!$A$4:$E$2002,5,FALSE),"")</f>
        <v/>
      </c>
      <c r="DW220" t="str">
        <f>+IFERROR(VLOOKUP(DW21,IN_Zugliste!$A$4:$E$2002,5,FALSE),"")</f>
        <v/>
      </c>
      <c r="DX220" t="str">
        <f>+IFERROR(VLOOKUP(DX21,IN_Zugliste!$A$4:$E$2002,5,FALSE),"")</f>
        <v/>
      </c>
      <c r="DY220" t="str">
        <f>+IFERROR(VLOOKUP(DY21,IN_Zugliste!$A$4:$E$2002,5,FALSE),"")</f>
        <v/>
      </c>
      <c r="DZ220" t="str">
        <f>+IFERROR(VLOOKUP(DZ21,IN_Zugliste!$A$4:$E$2002,5,FALSE),"")</f>
        <v/>
      </c>
      <c r="EA220" t="str">
        <f>+IFERROR(VLOOKUP(EA21,IN_Zugliste!$A$4:$E$2002,5,FALSE),"")</f>
        <v/>
      </c>
      <c r="EB220" t="str">
        <f>+IFERROR(VLOOKUP(EB21,IN_Zugliste!$A$4:$E$2002,5,FALSE),"")</f>
        <v/>
      </c>
      <c r="EC220" t="str">
        <f>+IFERROR(VLOOKUP(EC21,IN_Zugliste!$A$4:$E$2002,5,FALSE),"")</f>
        <v/>
      </c>
      <c r="ED220" t="str">
        <f>+IFERROR(VLOOKUP(ED21,IN_Zugliste!$A$4:$E$2002,5,FALSE),"")</f>
        <v/>
      </c>
      <c r="EE220" t="str">
        <f>+IFERROR(VLOOKUP(EE21,IN_Zugliste!$A$4:$E$2002,5,FALSE),"")</f>
        <v/>
      </c>
      <c r="EF220" t="str">
        <f>+IFERROR(VLOOKUP(EF21,IN_Zugliste!$A$4:$E$2002,5,FALSE),"")</f>
        <v/>
      </c>
      <c r="EG220" t="str">
        <f>+IFERROR(VLOOKUP(EG21,IN_Zugliste!$A$4:$E$2002,5,FALSE),"")</f>
        <v/>
      </c>
      <c r="EH220" t="str">
        <f>+IFERROR(VLOOKUP(EH21,IN_Zugliste!$A$4:$E$2002,5,FALSE),"")</f>
        <v/>
      </c>
      <c r="EI220" t="str">
        <f>+IFERROR(VLOOKUP(EI21,IN_Zugliste!$A$4:$E$2002,5,FALSE),"")</f>
        <v/>
      </c>
      <c r="EJ220" t="str">
        <f>+IFERROR(VLOOKUP(EJ21,IN_Zugliste!$A$4:$E$2002,5,FALSE),"")</f>
        <v/>
      </c>
      <c r="EK220" t="str">
        <f>+IFERROR(VLOOKUP(EK21,IN_Zugliste!$A$4:$E$2002,5,FALSE),"")</f>
        <v/>
      </c>
      <c r="EL220" t="str">
        <f>+IFERROR(VLOOKUP(EL21,IN_Zugliste!$A$4:$E$2002,5,FALSE),"")</f>
        <v/>
      </c>
      <c r="EM220" t="str">
        <f>+IFERROR(VLOOKUP(EM21,IN_Zugliste!$A$4:$E$2002,5,FALSE),"")</f>
        <v/>
      </c>
      <c r="EN220" t="str">
        <f>+IFERROR(VLOOKUP(EN21,IN_Zugliste!$A$4:$E$2002,5,FALSE),"")</f>
        <v/>
      </c>
      <c r="EO220" t="str">
        <f>+IFERROR(VLOOKUP(EO21,IN_Zugliste!$A$4:$E$2002,5,FALSE),"")</f>
        <v/>
      </c>
      <c r="EP220" t="str">
        <f>+IFERROR(VLOOKUP(EP21,IN_Zugliste!$A$4:$E$2002,5,FALSE),"")</f>
        <v/>
      </c>
      <c r="EQ220" t="str">
        <f>+IFERROR(VLOOKUP(EQ21,IN_Zugliste!$A$4:$E$2002,5,FALSE),"")</f>
        <v/>
      </c>
      <c r="ER220" t="str">
        <f>+IFERROR(VLOOKUP(ER21,IN_Zugliste!$A$4:$E$2002,5,FALSE),"")</f>
        <v/>
      </c>
      <c r="ES220" t="str">
        <f>+IFERROR(VLOOKUP(ES21,IN_Zugliste!$A$4:$E$2002,5,FALSE),"")</f>
        <v/>
      </c>
      <c r="ET220" t="str">
        <f>+IFERROR(VLOOKUP(ET21,IN_Zugliste!$A$4:$E$2002,5,FALSE),"")</f>
        <v/>
      </c>
      <c r="EU220" t="str">
        <f>+IFERROR(VLOOKUP(EU21,IN_Zugliste!$A$4:$E$2002,5,FALSE),"")</f>
        <v/>
      </c>
      <c r="EV220" t="str">
        <f>+IFERROR(VLOOKUP(EV21,IN_Zugliste!$A$4:$E$2002,5,FALSE),"")</f>
        <v/>
      </c>
      <c r="EW220" t="str">
        <f>+IFERROR(VLOOKUP(EW21,IN_Zugliste!$A$4:$E$2002,5,FALSE),"")</f>
        <v/>
      </c>
      <c r="EX220" t="str">
        <f>+IFERROR(VLOOKUP(EX21,IN_Zugliste!$A$4:$E$2002,5,FALSE),"")</f>
        <v/>
      </c>
      <c r="EY220" t="str">
        <f>+IFERROR(VLOOKUP(EY21,IN_Zugliste!$A$4:$E$2002,5,FALSE),"")</f>
        <v/>
      </c>
      <c r="EZ220" t="str">
        <f>+IFERROR(VLOOKUP(EZ21,IN_Zugliste!$A$4:$E$2002,5,FALSE),"")</f>
        <v/>
      </c>
      <c r="FA220" t="str">
        <f>+IFERROR(VLOOKUP(FA21,IN_Zugliste!$A$4:$E$2002,5,FALSE),"")</f>
        <v/>
      </c>
      <c r="FB220" t="str">
        <f>+IFERROR(VLOOKUP(FB21,IN_Zugliste!$A$4:$E$2002,5,FALSE),"")</f>
        <v/>
      </c>
      <c r="FC220" t="str">
        <f>+IFERROR(VLOOKUP(FC21,IN_Zugliste!$A$4:$E$2002,5,FALSE),"")</f>
        <v/>
      </c>
      <c r="FD220" t="str">
        <f>+IFERROR(VLOOKUP(FD21,IN_Zugliste!$A$4:$E$2002,5,FALSE),"")</f>
        <v/>
      </c>
      <c r="FE220" t="str">
        <f>+IFERROR(VLOOKUP(FE21,IN_Zugliste!$A$4:$E$2002,5,FALSE),"")</f>
        <v/>
      </c>
      <c r="FF220" t="str">
        <f>+IFERROR(VLOOKUP(FF21,IN_Zugliste!$A$4:$E$2002,5,FALSE),"")</f>
        <v/>
      </c>
      <c r="FG220" t="str">
        <f>+IFERROR(VLOOKUP(FG21,IN_Zugliste!$A$4:$E$2002,5,FALSE),"")</f>
        <v/>
      </c>
      <c r="FH220" t="str">
        <f>+IFERROR(VLOOKUP(FH21,IN_Zugliste!$A$4:$E$2002,5,FALSE),"")</f>
        <v/>
      </c>
      <c r="FI220" t="str">
        <f>+IFERROR(VLOOKUP(FI21,IN_Zugliste!$A$4:$E$2002,5,FALSE),"")</f>
        <v/>
      </c>
      <c r="FJ220" t="str">
        <f>+IFERROR(VLOOKUP(FJ21,IN_Zugliste!$A$4:$E$2002,5,FALSE),"")</f>
        <v/>
      </c>
      <c r="FK220" t="str">
        <f>+IFERROR(VLOOKUP(FK21,IN_Zugliste!$A$4:$E$2002,5,FALSE),"")</f>
        <v/>
      </c>
      <c r="FL220" t="str">
        <f>+IFERROR(VLOOKUP(FL21,IN_Zugliste!$A$4:$E$2002,5,FALSE),"")</f>
        <v/>
      </c>
      <c r="FM220" t="str">
        <f>+IFERROR(VLOOKUP(FM21,IN_Zugliste!$A$4:$D$2002,5,FALSE),"")</f>
        <v/>
      </c>
      <c r="FN220" t="str">
        <f>+IFERROR(VLOOKUP(FN21,IN_Zugliste!$A$4:$D$2002,5,FALSE),"")</f>
        <v/>
      </c>
      <c r="FO220" t="str">
        <f>+IFERROR(VLOOKUP(FO21,IN_Zugliste!$A$4:$D$2002,5,FALSE),"")</f>
        <v/>
      </c>
      <c r="FP220" t="str">
        <f>+IFERROR(VLOOKUP(FP21,IN_Zugliste!$A$4:$D$2002,5,FALSE),"")</f>
        <v/>
      </c>
      <c r="FQ220" t="str">
        <f>+IFERROR(VLOOKUP(FQ21,IN_Zugliste!$A$4:$D$2002,5,FALSE),"")</f>
        <v/>
      </c>
      <c r="FR220" t="str">
        <f>+IFERROR(VLOOKUP(FR21,IN_Zugliste!$A$4:$D$2002,5,FALSE),"")</f>
        <v/>
      </c>
      <c r="FS220" t="str">
        <f>+IFERROR(VLOOKUP(FS21,IN_Zugliste!$A$4:$D$2002,5,FALSE),"")</f>
        <v/>
      </c>
      <c r="FT220" t="str">
        <f>+IFERROR(VLOOKUP(FT21,IN_Zugliste!$A$4:$D$2002,5,FALSE),"")</f>
        <v/>
      </c>
      <c r="FU220" t="str">
        <f>+IFERROR(VLOOKUP(FU21,IN_Zugliste!$A$4:$D$2002,5,FALSE),"")</f>
        <v/>
      </c>
      <c r="FV220" t="str">
        <f>+IFERROR(VLOOKUP(FV21,IN_Zugliste!$A$4:$D$2002,5,FALSE),"")</f>
        <v/>
      </c>
      <c r="FW220" t="str">
        <f>+IFERROR(VLOOKUP(FW21,IN_Zugliste!$A$4:$D$2002,5,FALSE),"")</f>
        <v/>
      </c>
      <c r="FX220" t="str">
        <f>+IFERROR(VLOOKUP(FX21,IN_Zugliste!$A$4:$D$2002,5,FALSE),"")</f>
        <v/>
      </c>
      <c r="FY220" t="str">
        <f>+IFERROR(VLOOKUP(FY21,IN_Zugliste!$A$4:$D$2002,5,FALSE),"")</f>
        <v/>
      </c>
      <c r="FZ220" t="str">
        <f>+IFERROR(VLOOKUP(FZ21,IN_Zugliste!$A$4:$D$2002,5,FALSE),"")</f>
        <v/>
      </c>
      <c r="GA220" t="str">
        <f>+IFERROR(VLOOKUP(GA21,IN_Zugliste!$A$4:$D$2002,5,FALSE),"")</f>
        <v/>
      </c>
      <c r="GB220" t="str">
        <f>+IFERROR(VLOOKUP(GB21,IN_Zugliste!$A$4:$D$2002,5,FALSE),"")</f>
        <v/>
      </c>
      <c r="GC220" t="str">
        <f>+IFERROR(VLOOKUP(GC21,IN_Zugliste!$A$4:$D$2002,5,FALSE),"")</f>
        <v/>
      </c>
      <c r="GD220" t="str">
        <f>+IFERROR(VLOOKUP(GD21,IN_Zugliste!$A$4:$D$2002,5,FALSE),"")</f>
        <v/>
      </c>
      <c r="GE220" t="str">
        <f>+IFERROR(VLOOKUP(GE21,IN_Zugliste!$A$4:$D$2002,5,FALSE),"")</f>
        <v/>
      </c>
      <c r="GF220" t="str">
        <f>+IFERROR(VLOOKUP(GF21,IN_Zugliste!$A$4:$D$2002,5,FALSE),"")</f>
        <v/>
      </c>
      <c r="GG220" t="str">
        <f>+IFERROR(VLOOKUP(GG21,IN_Zugliste!$A$4:$D$2002,5,FALSE),"")</f>
        <v/>
      </c>
      <c r="GH220" t="str">
        <f>+IFERROR(VLOOKUP(GH21,IN_Zugliste!$A$4:$D$2002,5,FALSE),"")</f>
        <v/>
      </c>
      <c r="GI220" t="str">
        <f>+IFERROR(VLOOKUP(GI21,IN_Zugliste!$A$4:$D$2002,5,FALSE),"")</f>
        <v/>
      </c>
      <c r="GJ220" t="str">
        <f>+IFERROR(VLOOKUP(GJ21,IN_Zugliste!$A$4:$D$2002,5,FALSE),"")</f>
        <v/>
      </c>
      <c r="GK220" t="str">
        <f>+IFERROR(VLOOKUP(GK21,IN_Zugliste!$A$4:$D$2002,5,FALSE),"")</f>
        <v/>
      </c>
      <c r="GL220" t="str">
        <f>+IFERROR(VLOOKUP(GL21,IN_Zugliste!$A$4:$D$2002,5,FALSE),"")</f>
        <v/>
      </c>
      <c r="GM220" t="str">
        <f>+IFERROR(VLOOKUP(GM21,IN_Zugliste!$A$4:$D$2002,5,FALSE),"")</f>
        <v/>
      </c>
      <c r="GN220" t="str">
        <f>+IFERROR(VLOOKUP(GN21,IN_Zugliste!$A$4:$D$2002,5,FALSE),"")</f>
        <v/>
      </c>
      <c r="GO220" t="str">
        <f>+IFERROR(VLOOKUP(GO21,IN_Zugliste!$A$4:$D$2002,5,FALSE),"")</f>
        <v/>
      </c>
      <c r="GP220" t="str">
        <f>+IFERROR(VLOOKUP(GP21,IN_Zugliste!$A$4:$D$2002,5,FALSE),"")</f>
        <v/>
      </c>
      <c r="GQ220" t="str">
        <f>+IFERROR(VLOOKUP(GQ21,IN_Zugliste!$A$4:$D$2002,5,FALSE),"")</f>
        <v/>
      </c>
      <c r="GR220" t="str">
        <f>+IFERROR(VLOOKUP(GR21,IN_Zugliste!$A$4:$D$2002,5,FALSE),"")</f>
        <v/>
      </c>
      <c r="GS220" t="str">
        <f>+IFERROR(VLOOKUP(GS21,IN_Zugliste!$A$4:$D$2002,5,FALSE),"")</f>
        <v/>
      </c>
      <c r="GT220" t="str">
        <f>+IFERROR(VLOOKUP(GT21,IN_Zugliste!$A$4:$D$2002,5,FALSE),"")</f>
        <v/>
      </c>
      <c r="GU220" t="str">
        <f>+IFERROR(VLOOKUP(GU21,IN_Zugliste!$A$4:$D$2002,5,FALSE),"")</f>
        <v/>
      </c>
      <c r="GV220" t="str">
        <f>+IFERROR(VLOOKUP(GV21,IN_Zugliste!$A$4:$D$2002,5,FALSE),"")</f>
        <v/>
      </c>
      <c r="GW220" t="str">
        <f>+IFERROR(VLOOKUP(GW21,IN_Zugliste!$A$4:$D$2002,5,FALSE),"")</f>
        <v/>
      </c>
      <c r="GX220" t="str">
        <f>+IFERROR(VLOOKUP(GX21,IN_Zugliste!$A$4:$D$2002,5,FALSE),"")</f>
        <v/>
      </c>
      <c r="GY220" t="str">
        <f>+IFERROR(VLOOKUP(GY21,IN_Zugliste!$A$4:$D$2002,5,FALSE),"")</f>
        <v/>
      </c>
      <c r="GZ220" t="str">
        <f>+IFERROR(VLOOKUP(GZ21,IN_Zugliste!$A$4:$D$2002,5,FALSE),"")</f>
        <v/>
      </c>
      <c r="HA220" t="str">
        <f>+IFERROR(VLOOKUP(HA21,IN_Zugliste!$A$4:$D$2002,5,FALSE),"")</f>
        <v/>
      </c>
      <c r="HB220" t="str">
        <f>+IFERROR(VLOOKUP(HB21,IN_Zugliste!$A$4:$D$2002,5,FALSE),"")</f>
        <v/>
      </c>
      <c r="HC220" t="str">
        <f>+IFERROR(VLOOKUP(HC21,IN_Zugliste!$A$4:$D$2002,5,FALSE),"")</f>
        <v/>
      </c>
      <c r="HD220" t="str">
        <f>+IFERROR(VLOOKUP(HD21,IN_Zugliste!$A$4:$D$2002,5,FALSE),"")</f>
        <v/>
      </c>
      <c r="HE220" t="str">
        <f>+IFERROR(VLOOKUP(HE21,IN_Zugliste!$A$4:$D$2002,5,FALSE),"")</f>
        <v/>
      </c>
      <c r="HF220" t="str">
        <f>+IFERROR(VLOOKUP(HF21,IN_Zugliste!$A$4:$D$2002,5,FALSE),"")</f>
        <v/>
      </c>
      <c r="HG220" t="str">
        <f>+IFERROR(VLOOKUP(HG21,IN_Zugliste!$A$4:$D$2002,5,FALSE),"")</f>
        <v/>
      </c>
      <c r="HH220" t="str">
        <f>+IFERROR(VLOOKUP(HH21,IN_Zugliste!$A$4:$D$2002,5,FALSE),"")</f>
        <v/>
      </c>
    </row>
    <row r="221" spans="1:216" x14ac:dyDescent="0.2">
      <c r="A221" t="str">
        <f>+IFERROR(VLOOKUP(A22,IN_Zugliste!$A$4:$E$2002,5,FALSE),"")</f>
        <v/>
      </c>
      <c r="B221" t="str">
        <f>+IFERROR(VLOOKUP(B22,IN_Zugliste!$A$4:$E$2002,5,FALSE),"")</f>
        <v/>
      </c>
      <c r="C221" t="str">
        <f>+IFERROR(VLOOKUP(C22,IN_Zugliste!$A$4:$E$2002,5,FALSE),"")</f>
        <v/>
      </c>
      <c r="D221" t="str">
        <f>+IFERROR(VLOOKUP(D22,IN_Zugliste!$A$4:$E$2002,5,FALSE),"")</f>
        <v/>
      </c>
      <c r="E221" t="str">
        <f>+IFERROR(VLOOKUP(E22,IN_Zugliste!$A$4:$E$2002,5,FALSE),"")</f>
        <v/>
      </c>
      <c r="F221" t="str">
        <f>+IFERROR(VLOOKUP(F22,IN_Zugliste!$A$4:$E$2002,5,FALSE),"")</f>
        <v/>
      </c>
      <c r="G221" t="str">
        <f>+IFERROR(VLOOKUP(G22,IN_Zugliste!$A$4:$E$2002,5,FALSE),"")</f>
        <v/>
      </c>
      <c r="H221" t="str">
        <f>+IFERROR(VLOOKUP(H22,IN_Zugliste!$A$4:$E$2002,5,FALSE),"")</f>
        <v/>
      </c>
      <c r="I221" t="str">
        <f>+IFERROR(VLOOKUP(I22,IN_Zugliste!$A$4:$E$2002,5,FALSE),"")</f>
        <v/>
      </c>
      <c r="J221" t="str">
        <f>+IFERROR(VLOOKUP(J22,IN_Zugliste!$A$4:$E$2002,5,FALSE),"")</f>
        <v/>
      </c>
      <c r="K221" t="str">
        <f>+IFERROR(VLOOKUP(K22,IN_Zugliste!$A$4:$E$2002,5,FALSE),"")</f>
        <v/>
      </c>
      <c r="L221" t="str">
        <f>+IFERROR(VLOOKUP(L22,IN_Zugliste!$A$4:$E$2002,5,FALSE),"")</f>
        <v/>
      </c>
      <c r="M221" t="str">
        <f>+IFERROR(VLOOKUP(M22,IN_Zugliste!$A$4:$E$2002,5,FALSE),"")</f>
        <v/>
      </c>
      <c r="N221" t="str">
        <f>+IFERROR(VLOOKUP(N22,IN_Zugliste!$A$4:$E$2002,5,FALSE),"")</f>
        <v/>
      </c>
      <c r="O221" t="str">
        <f>+IFERROR(VLOOKUP(O22,IN_Zugliste!$A$4:$E$2002,5,FALSE),"")</f>
        <v/>
      </c>
      <c r="P221" t="str">
        <f>+IFERROR(VLOOKUP(P22,IN_Zugliste!$A$4:$E$2002,5,FALSE),"")</f>
        <v/>
      </c>
      <c r="Q221" t="str">
        <f>+IFERROR(VLOOKUP(Q22,IN_Zugliste!$A$4:$E$2002,5,FALSE),"")</f>
        <v/>
      </c>
      <c r="R221" t="str">
        <f>+IFERROR(VLOOKUP(R22,IN_Zugliste!$A$4:$E$2002,5,FALSE),"")</f>
        <v/>
      </c>
      <c r="S221" t="str">
        <f>+IFERROR(VLOOKUP(S22,IN_Zugliste!$A$4:$E$2002,5,FALSE),"")</f>
        <v/>
      </c>
      <c r="T221" t="str">
        <f>+IFERROR(VLOOKUP(T22,IN_Zugliste!$A$4:$E$2002,5,FALSE),"")</f>
        <v/>
      </c>
      <c r="U221" t="str">
        <f>+IFERROR(VLOOKUP(U22,IN_Zugliste!$A$4:$E$2002,5,FALSE),"")</f>
        <v/>
      </c>
      <c r="V221" t="str">
        <f>+IFERROR(VLOOKUP(V22,IN_Zugliste!$A$4:$E$2002,5,FALSE),"")</f>
        <v/>
      </c>
      <c r="W221" t="str">
        <f>+IFERROR(VLOOKUP(W22,IN_Zugliste!$A$4:$E$2002,5,FALSE),"")</f>
        <v/>
      </c>
      <c r="X221" t="str">
        <f>+IFERROR(VLOOKUP(X22,IN_Zugliste!$A$4:$E$2002,5,FALSE),"")</f>
        <v/>
      </c>
      <c r="Y221" t="str">
        <f>+IFERROR(VLOOKUP(Y22,IN_Zugliste!$A$4:$E$2002,5,FALSE),"")</f>
        <v/>
      </c>
      <c r="Z221" t="str">
        <f>+IFERROR(VLOOKUP(Z22,IN_Zugliste!$A$4:$E$2002,5,FALSE),"")</f>
        <v/>
      </c>
      <c r="AA221" t="str">
        <f>+IFERROR(VLOOKUP(AA22,IN_Zugliste!$A$4:$E$2002,5,FALSE),"")</f>
        <v/>
      </c>
      <c r="AB221" t="str">
        <f>+IFERROR(VLOOKUP(AB22,IN_Zugliste!$A$4:$E$2002,5,FALSE),"")</f>
        <v/>
      </c>
      <c r="AC221" t="str">
        <f>+IFERROR(VLOOKUP(AC22,IN_Zugliste!$A$4:$E$2002,5,FALSE),"")</f>
        <v/>
      </c>
      <c r="AD221" t="str">
        <f>+IFERROR(VLOOKUP(AD22,IN_Zugliste!$A$4:$E$2002,5,FALSE),"")</f>
        <v/>
      </c>
      <c r="AE221" t="str">
        <f>+IFERROR(VLOOKUP(AE22,IN_Zugliste!$A$4:$E$2002,5,FALSE),"")</f>
        <v/>
      </c>
      <c r="AF221" t="str">
        <f>+IFERROR(VLOOKUP(AF22,IN_Zugliste!$A$4:$E$2002,5,FALSE),"")</f>
        <v/>
      </c>
      <c r="AG221" t="str">
        <f>+IFERROR(VLOOKUP(AG22,IN_Zugliste!$A$4:$E$2002,5,FALSE),"")</f>
        <v/>
      </c>
      <c r="AH221" t="str">
        <f>+IFERROR(VLOOKUP(AH22,IN_Zugliste!$A$4:$E$2002,5,FALSE),"")</f>
        <v/>
      </c>
      <c r="AI221" t="str">
        <f>+IFERROR(VLOOKUP(AI22,IN_Zugliste!$A$4:$E$2002,5,FALSE),"")</f>
        <v/>
      </c>
      <c r="AJ221" t="str">
        <f>+IFERROR(VLOOKUP(AJ22,IN_Zugliste!$A$4:$E$2002,5,FALSE),"")</f>
        <v/>
      </c>
      <c r="AK221" t="str">
        <f>+IFERROR(VLOOKUP(AK22,IN_Zugliste!$A$4:$E$2002,5,FALSE),"")</f>
        <v/>
      </c>
      <c r="AL221" t="str">
        <f>+IFERROR(VLOOKUP(AL22,IN_Zugliste!$A$4:$E$2002,5,FALSE),"")</f>
        <v/>
      </c>
      <c r="AM221" t="str">
        <f>+IFERROR(VLOOKUP(AM22,IN_Zugliste!$A$4:$E$2002,5,FALSE),"")</f>
        <v/>
      </c>
      <c r="AN221" t="str">
        <f>+IFERROR(VLOOKUP(AN22,IN_Zugliste!$A$4:$E$2002,5,FALSE),"")</f>
        <v/>
      </c>
      <c r="AO221" t="str">
        <f>+IFERROR(VLOOKUP(AO22,IN_Zugliste!$A$4:$E$2002,5,FALSE),"")</f>
        <v/>
      </c>
      <c r="AP221" t="str">
        <f>+IFERROR(VLOOKUP(AP22,IN_Zugliste!$A$4:$E$2002,5,FALSE),"")</f>
        <v/>
      </c>
      <c r="AQ221" t="str">
        <f>+IFERROR(VLOOKUP(AQ22,IN_Zugliste!$A$4:$E$2002,5,FALSE),"")</f>
        <v/>
      </c>
      <c r="AR221" t="str">
        <f>+IFERROR(VLOOKUP(AR22,IN_Zugliste!$A$4:$E$2002,5,FALSE),"")</f>
        <v/>
      </c>
      <c r="AS221" t="str">
        <f>+IFERROR(VLOOKUP(AS22,IN_Zugliste!$A$4:$E$2002,5,FALSE),"")</f>
        <v/>
      </c>
      <c r="AT221" t="str">
        <f>+IFERROR(VLOOKUP(AT22,IN_Zugliste!$A$4:$E$2002,5,FALSE),"")</f>
        <v/>
      </c>
      <c r="AU221" t="str">
        <f>+IFERROR(VLOOKUP(AU22,IN_Zugliste!$A$4:$E$2002,5,FALSE),"")</f>
        <v/>
      </c>
      <c r="AV221" t="str">
        <f>+IFERROR(VLOOKUP(AV22,IN_Zugliste!$A$4:$E$2002,5,FALSE),"")</f>
        <v/>
      </c>
      <c r="AW221" t="str">
        <f>+IFERROR(VLOOKUP(AW22,IN_Zugliste!$A$4:$E$2002,5,FALSE),"")</f>
        <v/>
      </c>
      <c r="AX221" t="str">
        <f>+IFERROR(VLOOKUP(AX22,IN_Zugliste!$A$4:$E$2002,5,FALSE),"")</f>
        <v/>
      </c>
      <c r="AY221" t="str">
        <f>+IFERROR(VLOOKUP(AY22,IN_Zugliste!$A$4:$E$2002,5,FALSE),"")</f>
        <v/>
      </c>
      <c r="AZ221" t="str">
        <f>+IFERROR(VLOOKUP(AZ22,IN_Zugliste!$A$4:$E$2002,5,FALSE),"")</f>
        <v/>
      </c>
      <c r="BA221" t="str">
        <f>+IFERROR(VLOOKUP(BA22,IN_Zugliste!$A$4:$E$2002,5,FALSE),"")</f>
        <v/>
      </c>
      <c r="BB221" t="str">
        <f>+IFERROR(VLOOKUP(BB22,IN_Zugliste!$A$4:$E$2002,5,FALSE),"")</f>
        <v/>
      </c>
      <c r="BC221" t="str">
        <f>+IFERROR(VLOOKUP(BC22,IN_Zugliste!$A$4:$E$2002,5,FALSE),"")</f>
        <v/>
      </c>
      <c r="BD221" t="str">
        <f>+IFERROR(VLOOKUP(BD22,IN_Zugliste!$A$4:$E$2002,5,FALSE),"")</f>
        <v/>
      </c>
      <c r="BE221" t="str">
        <f>+IFERROR(VLOOKUP(BE22,IN_Zugliste!$A$4:$E$2002,5,FALSE),"")</f>
        <v/>
      </c>
      <c r="BF221" t="str">
        <f>+IFERROR(VLOOKUP(BF22,IN_Zugliste!$A$4:$E$2002,5,FALSE),"")</f>
        <v/>
      </c>
      <c r="BG221" t="str">
        <f>+IFERROR(VLOOKUP(BG22,IN_Zugliste!$A$4:$E$2002,5,FALSE),"")</f>
        <v/>
      </c>
      <c r="BH221" t="str">
        <f>+IFERROR(VLOOKUP(BH22,IN_Zugliste!$A$4:$E$2002,5,FALSE),"")</f>
        <v/>
      </c>
      <c r="BI221" t="str">
        <f>+IFERROR(VLOOKUP(BI22,IN_Zugliste!$A$4:$E$2002,5,FALSE),"")</f>
        <v/>
      </c>
      <c r="BJ221" t="str">
        <f>+IFERROR(VLOOKUP(BJ22,IN_Zugliste!$A$4:$E$2002,5,FALSE),"")</f>
        <v/>
      </c>
      <c r="BK221" t="str">
        <f>+IFERROR(VLOOKUP(BK22,IN_Zugliste!$A$4:$E$2002,5,FALSE),"")</f>
        <v/>
      </c>
      <c r="BL221" t="str">
        <f>+IFERROR(VLOOKUP(BL22,IN_Zugliste!$A$4:$E$2002,5,FALSE),"")</f>
        <v/>
      </c>
      <c r="BM221" t="str">
        <f>+IFERROR(VLOOKUP(BM22,IN_Zugliste!$A$4:$E$2002,5,FALSE),"")</f>
        <v/>
      </c>
      <c r="BN221" t="str">
        <f>+IFERROR(VLOOKUP(BN22,IN_Zugliste!$A$4:$E$2002,5,FALSE),"")</f>
        <v/>
      </c>
      <c r="BO221" t="str">
        <f>+IFERROR(VLOOKUP(BO22,IN_Zugliste!$A$4:$E$2002,5,FALSE),"")</f>
        <v/>
      </c>
      <c r="BP221" t="str">
        <f>+IFERROR(VLOOKUP(BP22,IN_Zugliste!$A$4:$E$2002,5,FALSE),"")</f>
        <v/>
      </c>
      <c r="BQ221" t="str">
        <f>+IFERROR(VLOOKUP(BQ22,IN_Zugliste!$A$4:$E$2002,5,FALSE),"")</f>
        <v/>
      </c>
      <c r="BR221" t="str">
        <f>+IFERROR(VLOOKUP(BR22,IN_Zugliste!$A$4:$E$2002,5,FALSE),"")</f>
        <v/>
      </c>
      <c r="BS221" t="str">
        <f>+IFERROR(VLOOKUP(BS22,IN_Zugliste!$A$4:$E$2002,5,FALSE),"")</f>
        <v/>
      </c>
      <c r="BT221" t="str">
        <f>+IFERROR(VLOOKUP(BT22,IN_Zugliste!$A$4:$E$2002,5,FALSE),"")</f>
        <v/>
      </c>
      <c r="BU221" t="str">
        <f>+IFERROR(VLOOKUP(BU22,IN_Zugliste!$A$4:$E$2002,5,FALSE),"")</f>
        <v/>
      </c>
      <c r="BV221" t="str">
        <f>+IFERROR(VLOOKUP(BV22,IN_Zugliste!$A$4:$E$2002,5,FALSE),"")</f>
        <v/>
      </c>
      <c r="BW221" t="str">
        <f>+IFERROR(VLOOKUP(BW22,IN_Zugliste!$A$4:$E$2002,5,FALSE),"")</f>
        <v/>
      </c>
      <c r="BX221" t="str">
        <f>+IFERROR(VLOOKUP(BX22,IN_Zugliste!$A$4:$E$2002,5,FALSE),"")</f>
        <v/>
      </c>
      <c r="BY221" t="str">
        <f>+IFERROR(VLOOKUP(BY22,IN_Zugliste!$A$4:$E$2002,5,FALSE),"")</f>
        <v/>
      </c>
      <c r="BZ221" t="str">
        <f>+IFERROR(VLOOKUP(BZ22,IN_Zugliste!$A$4:$E$2002,5,FALSE),"")</f>
        <v/>
      </c>
      <c r="CA221" t="str">
        <f>+IFERROR(VLOOKUP(CA22,IN_Zugliste!$A$4:$E$2002,5,FALSE),"")</f>
        <v/>
      </c>
      <c r="CB221" t="str">
        <f>+IFERROR(VLOOKUP(CB22,IN_Zugliste!$A$4:$E$2002,5,FALSE),"")</f>
        <v/>
      </c>
      <c r="CC221" t="str">
        <f>+IFERROR(VLOOKUP(CC22,IN_Zugliste!$A$4:$E$2002,5,FALSE),"")</f>
        <v/>
      </c>
      <c r="CD221" t="str">
        <f>+IFERROR(VLOOKUP(CD22,IN_Zugliste!$A$4:$E$2002,5,FALSE),"")</f>
        <v/>
      </c>
      <c r="CE221" t="str">
        <f>+IFERROR(VLOOKUP(CE22,IN_Zugliste!$A$4:$E$2002,5,FALSE),"")</f>
        <v/>
      </c>
      <c r="CF221" t="str">
        <f>+IFERROR(VLOOKUP(CF22,IN_Zugliste!$A$4:$E$2002,5,FALSE),"")</f>
        <v/>
      </c>
      <c r="CG221" t="str">
        <f>+IFERROR(VLOOKUP(CG22,IN_Zugliste!$A$4:$E$2002,5,FALSE),"")</f>
        <v/>
      </c>
      <c r="CH221" t="str">
        <f>+IFERROR(VLOOKUP(CH22,IN_Zugliste!$A$4:$E$2002,5,FALSE),"")</f>
        <v/>
      </c>
      <c r="CI221" t="str">
        <f>+IFERROR(VLOOKUP(CI22,IN_Zugliste!$A$4:$E$2002,5,FALSE),"")</f>
        <v/>
      </c>
      <c r="CJ221" t="str">
        <f>+IFERROR(VLOOKUP(CJ22,IN_Zugliste!$A$4:$E$2002,5,FALSE),"")</f>
        <v/>
      </c>
      <c r="CK221" t="str">
        <f>+IFERROR(VLOOKUP(CK22,IN_Zugliste!$A$4:$E$2002,5,FALSE),"")</f>
        <v/>
      </c>
      <c r="CL221" t="str">
        <f>+IFERROR(VLOOKUP(CL22,IN_Zugliste!$A$4:$E$2002,5,FALSE),"")</f>
        <v/>
      </c>
      <c r="CM221" t="str">
        <f>+IFERROR(VLOOKUP(CM22,IN_Zugliste!$A$4:$E$2002,5,FALSE),"")</f>
        <v/>
      </c>
      <c r="CN221" t="str">
        <f>+IFERROR(VLOOKUP(CN22,IN_Zugliste!$A$4:$E$2002,5,FALSE),"")</f>
        <v/>
      </c>
      <c r="CO221" t="str">
        <f>+IFERROR(VLOOKUP(CO22,IN_Zugliste!$A$4:$E$2002,5,FALSE),"")</f>
        <v/>
      </c>
      <c r="CP221" t="str">
        <f>+IFERROR(VLOOKUP(CP22,IN_Zugliste!$A$4:$E$2002,5,FALSE),"")</f>
        <v/>
      </c>
      <c r="CQ221" t="str">
        <f>+IFERROR(VLOOKUP(CQ22,IN_Zugliste!$A$4:$E$2002,5,FALSE),"")</f>
        <v/>
      </c>
      <c r="CR221" t="str">
        <f>+IFERROR(VLOOKUP(CR22,IN_Zugliste!$A$4:$E$2002,5,FALSE),"")</f>
        <v/>
      </c>
      <c r="CS221" t="str">
        <f>+IFERROR(VLOOKUP(CS22,IN_Zugliste!$A$4:$E$2002,5,FALSE),"")</f>
        <v/>
      </c>
      <c r="CT221" t="str">
        <f>+IFERROR(VLOOKUP(CT22,IN_Zugliste!$A$4:$E$2002,5,FALSE),"")</f>
        <v/>
      </c>
      <c r="CU221" t="str">
        <f>+IFERROR(VLOOKUP(CU22,IN_Zugliste!$A$4:$E$2002,5,FALSE),"")</f>
        <v/>
      </c>
      <c r="CV221" t="str">
        <f>+IFERROR(VLOOKUP(CV22,IN_Zugliste!$A$4:$E$2002,5,FALSE),"")</f>
        <v/>
      </c>
      <c r="CW221" t="str">
        <f>+IFERROR(VLOOKUP(CW22,IN_Zugliste!$A$4:$E$2002,5,FALSE),"")</f>
        <v/>
      </c>
      <c r="CX221" t="str">
        <f>+IFERROR(VLOOKUP(CX22,IN_Zugliste!$A$4:$E$2002,5,FALSE),"")</f>
        <v/>
      </c>
      <c r="CY221" t="str">
        <f>+IFERROR(VLOOKUP(CY22,IN_Zugliste!$A$4:$E$2002,5,FALSE),"")</f>
        <v/>
      </c>
      <c r="CZ221" t="str">
        <f>+IFERROR(VLOOKUP(CZ22,IN_Zugliste!$A$4:$E$2002,5,FALSE),"")</f>
        <v/>
      </c>
      <c r="DA221" t="str">
        <f>+IFERROR(VLOOKUP(DA22,IN_Zugliste!$A$4:$E$2002,5,FALSE),"")</f>
        <v/>
      </c>
      <c r="DB221" t="str">
        <f>+IFERROR(VLOOKUP(DB22,IN_Zugliste!$A$4:$E$2002,5,FALSE),"")</f>
        <v/>
      </c>
      <c r="DC221" t="str">
        <f>+IFERROR(VLOOKUP(DC22,IN_Zugliste!$A$4:$E$2002,5,FALSE),"")</f>
        <v/>
      </c>
      <c r="DD221" t="str">
        <f>+IFERROR(VLOOKUP(DD22,IN_Zugliste!$A$4:$E$2002,5,FALSE),"")</f>
        <v/>
      </c>
      <c r="DE221" t="str">
        <f>+IFERROR(VLOOKUP(DE22,IN_Zugliste!$A$4:$E$2002,5,FALSE),"")</f>
        <v/>
      </c>
      <c r="DF221" t="str">
        <f>+IFERROR(VLOOKUP(DF22,IN_Zugliste!$A$4:$E$2002,5,FALSE),"")</f>
        <v/>
      </c>
      <c r="DG221" t="str">
        <f>+IFERROR(VLOOKUP(DG22,IN_Zugliste!$A$4:$E$2002,5,FALSE),"")</f>
        <v/>
      </c>
      <c r="DH221" t="str">
        <f>+IFERROR(VLOOKUP(DH22,IN_Zugliste!$A$4:$E$2002,5,FALSE),"")</f>
        <v/>
      </c>
      <c r="DI221" t="str">
        <f>+IFERROR(VLOOKUP(DI22,IN_Zugliste!$A$4:$E$2002,5,FALSE),"")</f>
        <v/>
      </c>
      <c r="DJ221" t="str">
        <f>+IFERROR(VLOOKUP(DJ22,IN_Zugliste!$A$4:$E$2002,5,FALSE),"")</f>
        <v/>
      </c>
      <c r="DK221" t="str">
        <f>+IFERROR(VLOOKUP(DK22,IN_Zugliste!$A$4:$E$2002,5,FALSE),"")</f>
        <v/>
      </c>
      <c r="DL221" t="str">
        <f>+IFERROR(VLOOKUP(DL22,IN_Zugliste!$A$4:$E$2002,5,FALSE),"")</f>
        <v/>
      </c>
      <c r="DM221" t="str">
        <f>+IFERROR(VLOOKUP(DM22,IN_Zugliste!$A$4:$E$2002,5,FALSE),"")</f>
        <v/>
      </c>
      <c r="DN221" t="str">
        <f>+IFERROR(VLOOKUP(DN22,IN_Zugliste!$A$4:$E$2002,5,FALSE),"")</f>
        <v/>
      </c>
      <c r="DO221" t="str">
        <f>+IFERROR(VLOOKUP(DO22,IN_Zugliste!$A$4:$E$2002,5,FALSE),"")</f>
        <v/>
      </c>
      <c r="DP221" t="str">
        <f>+IFERROR(VLOOKUP(DP22,IN_Zugliste!$A$4:$E$2002,5,FALSE),"")</f>
        <v/>
      </c>
      <c r="DQ221" t="str">
        <f>+IFERROR(VLOOKUP(DQ22,IN_Zugliste!$A$4:$E$2002,5,FALSE),"")</f>
        <v/>
      </c>
      <c r="DR221" t="str">
        <f>+IFERROR(VLOOKUP(DR22,IN_Zugliste!$A$4:$E$2002,5,FALSE),"")</f>
        <v/>
      </c>
      <c r="DS221" t="str">
        <f>+IFERROR(VLOOKUP(DS22,IN_Zugliste!$A$4:$E$2002,5,FALSE),"")</f>
        <v/>
      </c>
      <c r="DT221" t="str">
        <f>+IFERROR(VLOOKUP(DT22,IN_Zugliste!$A$4:$E$2002,5,FALSE),"")</f>
        <v/>
      </c>
      <c r="DU221" t="str">
        <f>+IFERROR(VLOOKUP(DU22,IN_Zugliste!$A$4:$E$2002,5,FALSE),"")</f>
        <v/>
      </c>
      <c r="DV221" t="str">
        <f>+IFERROR(VLOOKUP(DV22,IN_Zugliste!$A$4:$E$2002,5,FALSE),"")</f>
        <v/>
      </c>
      <c r="DW221" t="str">
        <f>+IFERROR(VLOOKUP(DW22,IN_Zugliste!$A$4:$E$2002,5,FALSE),"")</f>
        <v/>
      </c>
      <c r="DX221" t="str">
        <f>+IFERROR(VLOOKUP(DX22,IN_Zugliste!$A$4:$E$2002,5,FALSE),"")</f>
        <v/>
      </c>
      <c r="DY221" t="str">
        <f>+IFERROR(VLOOKUP(DY22,IN_Zugliste!$A$4:$E$2002,5,FALSE),"")</f>
        <v/>
      </c>
      <c r="DZ221" t="str">
        <f>+IFERROR(VLOOKUP(DZ22,IN_Zugliste!$A$4:$E$2002,5,FALSE),"")</f>
        <v/>
      </c>
      <c r="EA221" t="str">
        <f>+IFERROR(VLOOKUP(EA22,IN_Zugliste!$A$4:$E$2002,5,FALSE),"")</f>
        <v/>
      </c>
      <c r="EB221" t="str">
        <f>+IFERROR(VLOOKUP(EB22,IN_Zugliste!$A$4:$E$2002,5,FALSE),"")</f>
        <v/>
      </c>
      <c r="EC221" t="str">
        <f>+IFERROR(VLOOKUP(EC22,IN_Zugliste!$A$4:$E$2002,5,FALSE),"")</f>
        <v/>
      </c>
      <c r="ED221" t="str">
        <f>+IFERROR(VLOOKUP(ED22,IN_Zugliste!$A$4:$E$2002,5,FALSE),"")</f>
        <v/>
      </c>
      <c r="EE221" t="str">
        <f>+IFERROR(VLOOKUP(EE22,IN_Zugliste!$A$4:$E$2002,5,FALSE),"")</f>
        <v/>
      </c>
      <c r="EF221" t="str">
        <f>+IFERROR(VLOOKUP(EF22,IN_Zugliste!$A$4:$E$2002,5,FALSE),"")</f>
        <v/>
      </c>
      <c r="EG221" t="str">
        <f>+IFERROR(VLOOKUP(EG22,IN_Zugliste!$A$4:$E$2002,5,FALSE),"")</f>
        <v/>
      </c>
      <c r="EH221" t="str">
        <f>+IFERROR(VLOOKUP(EH22,IN_Zugliste!$A$4:$E$2002,5,FALSE),"")</f>
        <v/>
      </c>
      <c r="EI221" t="str">
        <f>+IFERROR(VLOOKUP(EI22,IN_Zugliste!$A$4:$E$2002,5,FALSE),"")</f>
        <v/>
      </c>
      <c r="EJ221" t="str">
        <f>+IFERROR(VLOOKUP(EJ22,IN_Zugliste!$A$4:$E$2002,5,FALSE),"")</f>
        <v/>
      </c>
      <c r="EK221" t="str">
        <f>+IFERROR(VLOOKUP(EK22,IN_Zugliste!$A$4:$E$2002,5,FALSE),"")</f>
        <v/>
      </c>
      <c r="EL221" t="str">
        <f>+IFERROR(VLOOKUP(EL22,IN_Zugliste!$A$4:$E$2002,5,FALSE),"")</f>
        <v/>
      </c>
      <c r="EM221" t="str">
        <f>+IFERROR(VLOOKUP(EM22,IN_Zugliste!$A$4:$E$2002,5,FALSE),"")</f>
        <v/>
      </c>
      <c r="EN221" t="str">
        <f>+IFERROR(VLOOKUP(EN22,IN_Zugliste!$A$4:$E$2002,5,FALSE),"")</f>
        <v/>
      </c>
      <c r="EO221" t="str">
        <f>+IFERROR(VLOOKUP(EO22,IN_Zugliste!$A$4:$E$2002,5,FALSE),"")</f>
        <v/>
      </c>
      <c r="EP221" t="str">
        <f>+IFERROR(VLOOKUP(EP22,IN_Zugliste!$A$4:$E$2002,5,FALSE),"")</f>
        <v/>
      </c>
      <c r="EQ221" t="str">
        <f>+IFERROR(VLOOKUP(EQ22,IN_Zugliste!$A$4:$E$2002,5,FALSE),"")</f>
        <v/>
      </c>
      <c r="ER221" t="str">
        <f>+IFERROR(VLOOKUP(ER22,IN_Zugliste!$A$4:$E$2002,5,FALSE),"")</f>
        <v/>
      </c>
      <c r="ES221" t="str">
        <f>+IFERROR(VLOOKUP(ES22,IN_Zugliste!$A$4:$E$2002,5,FALSE),"")</f>
        <v/>
      </c>
      <c r="ET221" t="str">
        <f>+IFERROR(VLOOKUP(ET22,IN_Zugliste!$A$4:$E$2002,5,FALSE),"")</f>
        <v/>
      </c>
      <c r="EU221" t="str">
        <f>+IFERROR(VLOOKUP(EU22,IN_Zugliste!$A$4:$E$2002,5,FALSE),"")</f>
        <v/>
      </c>
      <c r="EV221" t="str">
        <f>+IFERROR(VLOOKUP(EV22,IN_Zugliste!$A$4:$E$2002,5,FALSE),"")</f>
        <v/>
      </c>
      <c r="EW221" t="str">
        <f>+IFERROR(VLOOKUP(EW22,IN_Zugliste!$A$4:$E$2002,5,FALSE),"")</f>
        <v/>
      </c>
      <c r="EX221" t="str">
        <f>+IFERROR(VLOOKUP(EX22,IN_Zugliste!$A$4:$E$2002,5,FALSE),"")</f>
        <v/>
      </c>
      <c r="EY221" t="str">
        <f>+IFERROR(VLOOKUP(EY22,IN_Zugliste!$A$4:$E$2002,5,FALSE),"")</f>
        <v/>
      </c>
      <c r="EZ221" t="str">
        <f>+IFERROR(VLOOKUP(EZ22,IN_Zugliste!$A$4:$E$2002,5,FALSE),"")</f>
        <v/>
      </c>
      <c r="FA221" t="str">
        <f>+IFERROR(VLOOKUP(FA22,IN_Zugliste!$A$4:$E$2002,5,FALSE),"")</f>
        <v/>
      </c>
      <c r="FB221" t="str">
        <f>+IFERROR(VLOOKUP(FB22,IN_Zugliste!$A$4:$E$2002,5,FALSE),"")</f>
        <v/>
      </c>
      <c r="FC221" t="str">
        <f>+IFERROR(VLOOKUP(FC22,IN_Zugliste!$A$4:$E$2002,5,FALSE),"")</f>
        <v/>
      </c>
      <c r="FD221" t="str">
        <f>+IFERROR(VLOOKUP(FD22,IN_Zugliste!$A$4:$E$2002,5,FALSE),"")</f>
        <v/>
      </c>
      <c r="FE221" t="str">
        <f>+IFERROR(VLOOKUP(FE22,IN_Zugliste!$A$4:$E$2002,5,FALSE),"")</f>
        <v/>
      </c>
      <c r="FF221" t="str">
        <f>+IFERROR(VLOOKUP(FF22,IN_Zugliste!$A$4:$E$2002,5,FALSE),"")</f>
        <v/>
      </c>
      <c r="FG221" t="str">
        <f>+IFERROR(VLOOKUP(FG22,IN_Zugliste!$A$4:$E$2002,5,FALSE),"")</f>
        <v/>
      </c>
      <c r="FH221" t="str">
        <f>+IFERROR(VLOOKUP(FH22,IN_Zugliste!$A$4:$E$2002,5,FALSE),"")</f>
        <v/>
      </c>
      <c r="FI221" t="str">
        <f>+IFERROR(VLOOKUP(FI22,IN_Zugliste!$A$4:$E$2002,5,FALSE),"")</f>
        <v/>
      </c>
      <c r="FJ221" t="str">
        <f>+IFERROR(VLOOKUP(FJ22,IN_Zugliste!$A$4:$E$2002,5,FALSE),"")</f>
        <v/>
      </c>
      <c r="FK221" t="str">
        <f>+IFERROR(VLOOKUP(FK22,IN_Zugliste!$A$4:$E$2002,5,FALSE),"")</f>
        <v/>
      </c>
      <c r="FL221" t="str">
        <f>+IFERROR(VLOOKUP(FL22,IN_Zugliste!$A$4:$E$2002,5,FALSE),"")</f>
        <v/>
      </c>
      <c r="FM221" t="str">
        <f>+IFERROR(VLOOKUP(FM22,IN_Zugliste!$A$4:$D$2002,5,FALSE),"")</f>
        <v/>
      </c>
      <c r="FN221" t="str">
        <f>+IFERROR(VLOOKUP(FN22,IN_Zugliste!$A$4:$D$2002,5,FALSE),"")</f>
        <v/>
      </c>
      <c r="FO221" t="str">
        <f>+IFERROR(VLOOKUP(FO22,IN_Zugliste!$A$4:$D$2002,5,FALSE),"")</f>
        <v/>
      </c>
      <c r="FP221" t="str">
        <f>+IFERROR(VLOOKUP(FP22,IN_Zugliste!$A$4:$D$2002,5,FALSE),"")</f>
        <v/>
      </c>
      <c r="FQ221" t="str">
        <f>+IFERROR(VLOOKUP(FQ22,IN_Zugliste!$A$4:$D$2002,5,FALSE),"")</f>
        <v/>
      </c>
      <c r="FR221" t="str">
        <f>+IFERROR(VLOOKUP(FR22,IN_Zugliste!$A$4:$D$2002,5,FALSE),"")</f>
        <v/>
      </c>
      <c r="FS221" t="str">
        <f>+IFERROR(VLOOKUP(FS22,IN_Zugliste!$A$4:$D$2002,5,FALSE),"")</f>
        <v/>
      </c>
      <c r="FT221" t="str">
        <f>+IFERROR(VLOOKUP(FT22,IN_Zugliste!$A$4:$D$2002,5,FALSE),"")</f>
        <v/>
      </c>
      <c r="FU221" t="str">
        <f>+IFERROR(VLOOKUP(FU22,IN_Zugliste!$A$4:$D$2002,5,FALSE),"")</f>
        <v/>
      </c>
      <c r="FV221" t="str">
        <f>+IFERROR(VLOOKUP(FV22,IN_Zugliste!$A$4:$D$2002,5,FALSE),"")</f>
        <v/>
      </c>
      <c r="FW221" t="str">
        <f>+IFERROR(VLOOKUP(FW22,IN_Zugliste!$A$4:$D$2002,5,FALSE),"")</f>
        <v/>
      </c>
      <c r="FX221" t="str">
        <f>+IFERROR(VLOOKUP(FX22,IN_Zugliste!$A$4:$D$2002,5,FALSE),"")</f>
        <v/>
      </c>
      <c r="FY221" t="str">
        <f>+IFERROR(VLOOKUP(FY22,IN_Zugliste!$A$4:$D$2002,5,FALSE),"")</f>
        <v/>
      </c>
      <c r="FZ221" t="str">
        <f>+IFERROR(VLOOKUP(FZ22,IN_Zugliste!$A$4:$D$2002,5,FALSE),"")</f>
        <v/>
      </c>
      <c r="GA221" t="str">
        <f>+IFERROR(VLOOKUP(GA22,IN_Zugliste!$A$4:$D$2002,5,FALSE),"")</f>
        <v/>
      </c>
      <c r="GB221" t="str">
        <f>+IFERROR(VLOOKUP(GB22,IN_Zugliste!$A$4:$D$2002,5,FALSE),"")</f>
        <v/>
      </c>
      <c r="GC221" t="str">
        <f>+IFERROR(VLOOKUP(GC22,IN_Zugliste!$A$4:$D$2002,5,FALSE),"")</f>
        <v/>
      </c>
      <c r="GD221" t="str">
        <f>+IFERROR(VLOOKUP(GD22,IN_Zugliste!$A$4:$D$2002,5,FALSE),"")</f>
        <v/>
      </c>
      <c r="GE221" t="str">
        <f>+IFERROR(VLOOKUP(GE22,IN_Zugliste!$A$4:$D$2002,5,FALSE),"")</f>
        <v/>
      </c>
      <c r="GF221" t="str">
        <f>+IFERROR(VLOOKUP(GF22,IN_Zugliste!$A$4:$D$2002,5,FALSE),"")</f>
        <v/>
      </c>
      <c r="GG221" t="str">
        <f>+IFERROR(VLOOKUP(GG22,IN_Zugliste!$A$4:$D$2002,5,FALSE),"")</f>
        <v/>
      </c>
      <c r="GH221" t="str">
        <f>+IFERROR(VLOOKUP(GH22,IN_Zugliste!$A$4:$D$2002,5,FALSE),"")</f>
        <v/>
      </c>
      <c r="GI221" t="str">
        <f>+IFERROR(VLOOKUP(GI22,IN_Zugliste!$A$4:$D$2002,5,FALSE),"")</f>
        <v/>
      </c>
      <c r="GJ221" t="str">
        <f>+IFERROR(VLOOKUP(GJ22,IN_Zugliste!$A$4:$D$2002,5,FALSE),"")</f>
        <v/>
      </c>
      <c r="GK221" t="str">
        <f>+IFERROR(VLOOKUP(GK22,IN_Zugliste!$A$4:$D$2002,5,FALSE),"")</f>
        <v/>
      </c>
      <c r="GL221" t="str">
        <f>+IFERROR(VLOOKUP(GL22,IN_Zugliste!$A$4:$D$2002,5,FALSE),"")</f>
        <v/>
      </c>
      <c r="GM221" t="str">
        <f>+IFERROR(VLOOKUP(GM22,IN_Zugliste!$A$4:$D$2002,5,FALSE),"")</f>
        <v/>
      </c>
      <c r="GN221" t="str">
        <f>+IFERROR(VLOOKUP(GN22,IN_Zugliste!$A$4:$D$2002,5,FALSE),"")</f>
        <v/>
      </c>
      <c r="GO221" t="str">
        <f>+IFERROR(VLOOKUP(GO22,IN_Zugliste!$A$4:$D$2002,5,FALSE),"")</f>
        <v/>
      </c>
      <c r="GP221" t="str">
        <f>+IFERROR(VLOOKUP(GP22,IN_Zugliste!$A$4:$D$2002,5,FALSE),"")</f>
        <v/>
      </c>
      <c r="GQ221" t="str">
        <f>+IFERROR(VLOOKUP(GQ22,IN_Zugliste!$A$4:$D$2002,5,FALSE),"")</f>
        <v/>
      </c>
      <c r="GR221" t="str">
        <f>+IFERROR(VLOOKUP(GR22,IN_Zugliste!$A$4:$D$2002,5,FALSE),"")</f>
        <v/>
      </c>
      <c r="GS221" t="str">
        <f>+IFERROR(VLOOKUP(GS22,IN_Zugliste!$A$4:$D$2002,5,FALSE),"")</f>
        <v/>
      </c>
      <c r="GT221" t="str">
        <f>+IFERROR(VLOOKUP(GT22,IN_Zugliste!$A$4:$D$2002,5,FALSE),"")</f>
        <v/>
      </c>
      <c r="GU221" t="str">
        <f>+IFERROR(VLOOKUP(GU22,IN_Zugliste!$A$4:$D$2002,5,FALSE),"")</f>
        <v/>
      </c>
      <c r="GV221" t="str">
        <f>+IFERROR(VLOOKUP(GV22,IN_Zugliste!$A$4:$D$2002,5,FALSE),"")</f>
        <v/>
      </c>
      <c r="GW221" t="str">
        <f>+IFERROR(VLOOKUP(GW22,IN_Zugliste!$A$4:$D$2002,5,FALSE),"")</f>
        <v/>
      </c>
      <c r="GX221" t="str">
        <f>+IFERROR(VLOOKUP(GX22,IN_Zugliste!$A$4:$D$2002,5,FALSE),"")</f>
        <v/>
      </c>
      <c r="GY221" t="str">
        <f>+IFERROR(VLOOKUP(GY22,IN_Zugliste!$A$4:$D$2002,5,FALSE),"")</f>
        <v/>
      </c>
      <c r="GZ221" t="str">
        <f>+IFERROR(VLOOKUP(GZ22,IN_Zugliste!$A$4:$D$2002,5,FALSE),"")</f>
        <v/>
      </c>
      <c r="HA221" t="str">
        <f>+IFERROR(VLOOKUP(HA22,IN_Zugliste!$A$4:$D$2002,5,FALSE),"")</f>
        <v/>
      </c>
      <c r="HB221" t="str">
        <f>+IFERROR(VLOOKUP(HB22,IN_Zugliste!$A$4:$D$2002,5,FALSE),"")</f>
        <v/>
      </c>
      <c r="HC221" t="str">
        <f>+IFERROR(VLOOKUP(HC22,IN_Zugliste!$A$4:$D$2002,5,FALSE),"")</f>
        <v/>
      </c>
      <c r="HD221" t="str">
        <f>+IFERROR(VLOOKUP(HD22,IN_Zugliste!$A$4:$D$2002,5,FALSE),"")</f>
        <v/>
      </c>
      <c r="HE221" t="str">
        <f>+IFERROR(VLOOKUP(HE22,IN_Zugliste!$A$4:$D$2002,5,FALSE),"")</f>
        <v/>
      </c>
      <c r="HF221" t="str">
        <f>+IFERROR(VLOOKUP(HF22,IN_Zugliste!$A$4:$D$2002,5,FALSE),"")</f>
        <v/>
      </c>
      <c r="HG221" t="str">
        <f>+IFERROR(VLOOKUP(HG22,IN_Zugliste!$A$4:$D$2002,5,FALSE),"")</f>
        <v/>
      </c>
      <c r="HH221" t="str">
        <f>+IFERROR(VLOOKUP(HH22,IN_Zugliste!$A$4:$D$2002,5,FALSE),"")</f>
        <v/>
      </c>
    </row>
    <row r="222" spans="1:216" x14ac:dyDescent="0.2">
      <c r="A222" t="str">
        <f>+IFERROR(VLOOKUP(A23,IN_Zugliste!$A$4:$E$2002,5,FALSE),"")</f>
        <v/>
      </c>
      <c r="B222" t="str">
        <f>+IFERROR(VLOOKUP(B23,IN_Zugliste!$A$4:$E$2002,5,FALSE),"")</f>
        <v/>
      </c>
      <c r="C222" t="str">
        <f>+IFERROR(VLOOKUP(C23,IN_Zugliste!$A$4:$E$2002,5,FALSE),"")</f>
        <v/>
      </c>
      <c r="D222" t="str">
        <f>+IFERROR(VLOOKUP(D23,IN_Zugliste!$A$4:$E$2002,5,FALSE),"")</f>
        <v/>
      </c>
      <c r="E222" t="str">
        <f>+IFERROR(VLOOKUP(E23,IN_Zugliste!$A$4:$E$2002,5,FALSE),"")</f>
        <v/>
      </c>
      <c r="F222" t="str">
        <f>+IFERROR(VLOOKUP(F23,IN_Zugliste!$A$4:$E$2002,5,FALSE),"")</f>
        <v/>
      </c>
      <c r="G222" t="str">
        <f>+IFERROR(VLOOKUP(G23,IN_Zugliste!$A$4:$E$2002,5,FALSE),"")</f>
        <v/>
      </c>
      <c r="H222" t="str">
        <f>+IFERROR(VLOOKUP(H23,IN_Zugliste!$A$4:$E$2002,5,FALSE),"")</f>
        <v/>
      </c>
      <c r="I222" t="str">
        <f>+IFERROR(VLOOKUP(I23,IN_Zugliste!$A$4:$E$2002,5,FALSE),"")</f>
        <v/>
      </c>
      <c r="J222" t="str">
        <f>+IFERROR(VLOOKUP(J23,IN_Zugliste!$A$4:$E$2002,5,FALSE),"")</f>
        <v/>
      </c>
      <c r="K222" t="str">
        <f>+IFERROR(VLOOKUP(K23,IN_Zugliste!$A$4:$E$2002,5,FALSE),"")</f>
        <v/>
      </c>
      <c r="L222" t="str">
        <f>+IFERROR(VLOOKUP(L23,IN_Zugliste!$A$4:$E$2002,5,FALSE),"")</f>
        <v/>
      </c>
      <c r="M222" t="str">
        <f>+IFERROR(VLOOKUP(M23,IN_Zugliste!$A$4:$E$2002,5,FALSE),"")</f>
        <v/>
      </c>
      <c r="N222" t="str">
        <f>+IFERROR(VLOOKUP(N23,IN_Zugliste!$A$4:$E$2002,5,FALSE),"")</f>
        <v/>
      </c>
      <c r="O222" t="str">
        <f>+IFERROR(VLOOKUP(O23,IN_Zugliste!$A$4:$E$2002,5,FALSE),"")</f>
        <v/>
      </c>
      <c r="P222" t="str">
        <f>+IFERROR(VLOOKUP(P23,IN_Zugliste!$A$4:$E$2002,5,FALSE),"")</f>
        <v/>
      </c>
      <c r="Q222" t="str">
        <f>+IFERROR(VLOOKUP(Q23,IN_Zugliste!$A$4:$E$2002,5,FALSE),"")</f>
        <v/>
      </c>
      <c r="R222" t="str">
        <f>+IFERROR(VLOOKUP(R23,IN_Zugliste!$A$4:$E$2002,5,FALSE),"")</f>
        <v/>
      </c>
      <c r="S222" t="str">
        <f>+IFERROR(VLOOKUP(S23,IN_Zugliste!$A$4:$E$2002,5,FALSE),"")</f>
        <v/>
      </c>
      <c r="T222" t="str">
        <f>+IFERROR(VLOOKUP(T23,IN_Zugliste!$A$4:$E$2002,5,FALSE),"")</f>
        <v/>
      </c>
      <c r="U222" t="str">
        <f>+IFERROR(VLOOKUP(U23,IN_Zugliste!$A$4:$E$2002,5,FALSE),"")</f>
        <v/>
      </c>
      <c r="V222" t="str">
        <f>+IFERROR(VLOOKUP(V23,IN_Zugliste!$A$4:$E$2002,5,FALSE),"")</f>
        <v/>
      </c>
      <c r="W222" t="str">
        <f>+IFERROR(VLOOKUP(W23,IN_Zugliste!$A$4:$E$2002,5,FALSE),"")</f>
        <v/>
      </c>
      <c r="X222" t="str">
        <f>+IFERROR(VLOOKUP(X23,IN_Zugliste!$A$4:$E$2002,5,FALSE),"")</f>
        <v/>
      </c>
      <c r="Y222" t="str">
        <f>+IFERROR(VLOOKUP(Y23,IN_Zugliste!$A$4:$E$2002,5,FALSE),"")</f>
        <v/>
      </c>
      <c r="Z222" t="str">
        <f>+IFERROR(VLOOKUP(Z23,IN_Zugliste!$A$4:$E$2002,5,FALSE),"")</f>
        <v/>
      </c>
      <c r="AA222" t="str">
        <f>+IFERROR(VLOOKUP(AA23,IN_Zugliste!$A$4:$E$2002,5,FALSE),"")</f>
        <v/>
      </c>
      <c r="AB222" t="str">
        <f>+IFERROR(VLOOKUP(AB23,IN_Zugliste!$A$4:$E$2002,5,FALSE),"")</f>
        <v/>
      </c>
      <c r="AC222" t="str">
        <f>+IFERROR(VLOOKUP(AC23,IN_Zugliste!$A$4:$E$2002,5,FALSE),"")</f>
        <v/>
      </c>
      <c r="AD222" t="str">
        <f>+IFERROR(VLOOKUP(AD23,IN_Zugliste!$A$4:$E$2002,5,FALSE),"")</f>
        <v/>
      </c>
      <c r="AE222" t="str">
        <f>+IFERROR(VLOOKUP(AE23,IN_Zugliste!$A$4:$E$2002,5,FALSE),"")</f>
        <v/>
      </c>
      <c r="AF222" t="str">
        <f>+IFERROR(VLOOKUP(AF23,IN_Zugliste!$A$4:$E$2002,5,FALSE),"")</f>
        <v/>
      </c>
      <c r="AG222" t="str">
        <f>+IFERROR(VLOOKUP(AG23,IN_Zugliste!$A$4:$E$2002,5,FALSE),"")</f>
        <v/>
      </c>
      <c r="AH222" t="str">
        <f>+IFERROR(VLOOKUP(AH23,IN_Zugliste!$A$4:$E$2002,5,FALSE),"")</f>
        <v/>
      </c>
      <c r="AI222" t="str">
        <f>+IFERROR(VLOOKUP(AI23,IN_Zugliste!$A$4:$E$2002,5,FALSE),"")</f>
        <v/>
      </c>
      <c r="AJ222" t="str">
        <f>+IFERROR(VLOOKUP(AJ23,IN_Zugliste!$A$4:$E$2002,5,FALSE),"")</f>
        <v/>
      </c>
      <c r="AK222" t="str">
        <f>+IFERROR(VLOOKUP(AK23,IN_Zugliste!$A$4:$E$2002,5,FALSE),"")</f>
        <v/>
      </c>
      <c r="AL222" t="str">
        <f>+IFERROR(VLOOKUP(AL23,IN_Zugliste!$A$4:$E$2002,5,FALSE),"")</f>
        <v/>
      </c>
      <c r="AM222" t="str">
        <f>+IFERROR(VLOOKUP(AM23,IN_Zugliste!$A$4:$E$2002,5,FALSE),"")</f>
        <v/>
      </c>
      <c r="AN222" t="str">
        <f>+IFERROR(VLOOKUP(AN23,IN_Zugliste!$A$4:$E$2002,5,FALSE),"")</f>
        <v/>
      </c>
      <c r="AO222" t="str">
        <f>+IFERROR(VLOOKUP(AO23,IN_Zugliste!$A$4:$E$2002,5,FALSE),"")</f>
        <v/>
      </c>
      <c r="AP222" t="str">
        <f>+IFERROR(VLOOKUP(AP23,IN_Zugliste!$A$4:$E$2002,5,FALSE),"")</f>
        <v/>
      </c>
      <c r="AQ222" t="str">
        <f>+IFERROR(VLOOKUP(AQ23,IN_Zugliste!$A$4:$E$2002,5,FALSE),"")</f>
        <v/>
      </c>
      <c r="AR222" t="str">
        <f>+IFERROR(VLOOKUP(AR23,IN_Zugliste!$A$4:$E$2002,5,FALSE),"")</f>
        <v/>
      </c>
      <c r="AS222" t="str">
        <f>+IFERROR(VLOOKUP(AS23,IN_Zugliste!$A$4:$E$2002,5,FALSE),"")</f>
        <v/>
      </c>
      <c r="AT222" t="str">
        <f>+IFERROR(VLOOKUP(AT23,IN_Zugliste!$A$4:$E$2002,5,FALSE),"")</f>
        <v/>
      </c>
      <c r="AU222" t="str">
        <f>+IFERROR(VLOOKUP(AU23,IN_Zugliste!$A$4:$E$2002,5,FALSE),"")</f>
        <v/>
      </c>
      <c r="AV222" t="str">
        <f>+IFERROR(VLOOKUP(AV23,IN_Zugliste!$A$4:$E$2002,5,FALSE),"")</f>
        <v/>
      </c>
      <c r="AW222" t="str">
        <f>+IFERROR(VLOOKUP(AW23,IN_Zugliste!$A$4:$E$2002,5,FALSE),"")</f>
        <v/>
      </c>
      <c r="AX222" t="str">
        <f>+IFERROR(VLOOKUP(AX23,IN_Zugliste!$A$4:$E$2002,5,FALSE),"")</f>
        <v/>
      </c>
      <c r="AY222" t="str">
        <f>+IFERROR(VLOOKUP(AY23,IN_Zugliste!$A$4:$E$2002,5,FALSE),"")</f>
        <v/>
      </c>
      <c r="AZ222" t="str">
        <f>+IFERROR(VLOOKUP(AZ23,IN_Zugliste!$A$4:$E$2002,5,FALSE),"")</f>
        <v/>
      </c>
      <c r="BA222" t="str">
        <f>+IFERROR(VLOOKUP(BA23,IN_Zugliste!$A$4:$E$2002,5,FALSE),"")</f>
        <v/>
      </c>
      <c r="BB222" t="str">
        <f>+IFERROR(VLOOKUP(BB23,IN_Zugliste!$A$4:$E$2002,5,FALSE),"")</f>
        <v/>
      </c>
      <c r="BC222" t="str">
        <f>+IFERROR(VLOOKUP(BC23,IN_Zugliste!$A$4:$E$2002,5,FALSE),"")</f>
        <v/>
      </c>
      <c r="BD222" t="str">
        <f>+IFERROR(VLOOKUP(BD23,IN_Zugliste!$A$4:$E$2002,5,FALSE),"")</f>
        <v/>
      </c>
      <c r="BE222" t="str">
        <f>+IFERROR(VLOOKUP(BE23,IN_Zugliste!$A$4:$E$2002,5,FALSE),"")</f>
        <v/>
      </c>
      <c r="BF222" t="str">
        <f>+IFERROR(VLOOKUP(BF23,IN_Zugliste!$A$4:$E$2002,5,FALSE),"")</f>
        <v/>
      </c>
      <c r="BG222" t="str">
        <f>+IFERROR(VLOOKUP(BG23,IN_Zugliste!$A$4:$E$2002,5,FALSE),"")</f>
        <v/>
      </c>
      <c r="BH222" t="str">
        <f>+IFERROR(VLOOKUP(BH23,IN_Zugliste!$A$4:$E$2002,5,FALSE),"")</f>
        <v/>
      </c>
      <c r="BI222" t="str">
        <f>+IFERROR(VLOOKUP(BI23,IN_Zugliste!$A$4:$E$2002,5,FALSE),"")</f>
        <v/>
      </c>
      <c r="BJ222" t="str">
        <f>+IFERROR(VLOOKUP(BJ23,IN_Zugliste!$A$4:$E$2002,5,FALSE),"")</f>
        <v/>
      </c>
      <c r="BK222" t="str">
        <f>+IFERROR(VLOOKUP(BK23,IN_Zugliste!$A$4:$E$2002,5,FALSE),"")</f>
        <v/>
      </c>
      <c r="BL222" t="str">
        <f>+IFERROR(VLOOKUP(BL23,IN_Zugliste!$A$4:$E$2002,5,FALSE),"")</f>
        <v/>
      </c>
      <c r="BM222" t="str">
        <f>+IFERROR(VLOOKUP(BM23,IN_Zugliste!$A$4:$E$2002,5,FALSE),"")</f>
        <v/>
      </c>
      <c r="BN222" t="str">
        <f>+IFERROR(VLOOKUP(BN23,IN_Zugliste!$A$4:$E$2002,5,FALSE),"")</f>
        <v/>
      </c>
      <c r="BO222" t="str">
        <f>+IFERROR(VLOOKUP(BO23,IN_Zugliste!$A$4:$E$2002,5,FALSE),"")</f>
        <v/>
      </c>
      <c r="BP222" t="str">
        <f>+IFERROR(VLOOKUP(BP23,IN_Zugliste!$A$4:$E$2002,5,FALSE),"")</f>
        <v/>
      </c>
      <c r="BQ222" t="str">
        <f>+IFERROR(VLOOKUP(BQ23,IN_Zugliste!$A$4:$E$2002,5,FALSE),"")</f>
        <v/>
      </c>
      <c r="BR222" t="str">
        <f>+IFERROR(VLOOKUP(BR23,IN_Zugliste!$A$4:$E$2002,5,FALSE),"")</f>
        <v/>
      </c>
      <c r="BS222" t="str">
        <f>+IFERROR(VLOOKUP(BS23,IN_Zugliste!$A$4:$E$2002,5,FALSE),"")</f>
        <v/>
      </c>
      <c r="BT222" t="str">
        <f>+IFERROR(VLOOKUP(BT23,IN_Zugliste!$A$4:$E$2002,5,FALSE),"")</f>
        <v/>
      </c>
      <c r="BU222" t="str">
        <f>+IFERROR(VLOOKUP(BU23,IN_Zugliste!$A$4:$E$2002,5,FALSE),"")</f>
        <v/>
      </c>
      <c r="BV222" t="str">
        <f>+IFERROR(VLOOKUP(BV23,IN_Zugliste!$A$4:$E$2002,5,FALSE),"")</f>
        <v/>
      </c>
      <c r="BW222" t="str">
        <f>+IFERROR(VLOOKUP(BW23,IN_Zugliste!$A$4:$E$2002,5,FALSE),"")</f>
        <v/>
      </c>
      <c r="BX222" t="str">
        <f>+IFERROR(VLOOKUP(BX23,IN_Zugliste!$A$4:$E$2002,5,FALSE),"")</f>
        <v/>
      </c>
      <c r="BY222" t="str">
        <f>+IFERROR(VLOOKUP(BY23,IN_Zugliste!$A$4:$E$2002,5,FALSE),"")</f>
        <v/>
      </c>
      <c r="BZ222" t="str">
        <f>+IFERROR(VLOOKUP(BZ23,IN_Zugliste!$A$4:$E$2002,5,FALSE),"")</f>
        <v/>
      </c>
      <c r="CA222" t="str">
        <f>+IFERROR(VLOOKUP(CA23,IN_Zugliste!$A$4:$E$2002,5,FALSE),"")</f>
        <v/>
      </c>
      <c r="CB222" t="str">
        <f>+IFERROR(VLOOKUP(CB23,IN_Zugliste!$A$4:$E$2002,5,FALSE),"")</f>
        <v/>
      </c>
      <c r="CC222" t="str">
        <f>+IFERROR(VLOOKUP(CC23,IN_Zugliste!$A$4:$E$2002,5,FALSE),"")</f>
        <v/>
      </c>
      <c r="CD222" t="str">
        <f>+IFERROR(VLOOKUP(CD23,IN_Zugliste!$A$4:$E$2002,5,FALSE),"")</f>
        <v/>
      </c>
      <c r="CE222" t="str">
        <f>+IFERROR(VLOOKUP(CE23,IN_Zugliste!$A$4:$E$2002,5,FALSE),"")</f>
        <v/>
      </c>
      <c r="CF222" t="str">
        <f>+IFERROR(VLOOKUP(CF23,IN_Zugliste!$A$4:$E$2002,5,FALSE),"")</f>
        <v/>
      </c>
      <c r="CG222" t="str">
        <f>+IFERROR(VLOOKUP(CG23,IN_Zugliste!$A$4:$E$2002,5,FALSE),"")</f>
        <v/>
      </c>
      <c r="CH222" t="str">
        <f>+IFERROR(VLOOKUP(CH23,IN_Zugliste!$A$4:$E$2002,5,FALSE),"")</f>
        <v/>
      </c>
      <c r="CI222" t="str">
        <f>+IFERROR(VLOOKUP(CI23,IN_Zugliste!$A$4:$E$2002,5,FALSE),"")</f>
        <v/>
      </c>
      <c r="CJ222" t="str">
        <f>+IFERROR(VLOOKUP(CJ23,IN_Zugliste!$A$4:$E$2002,5,FALSE),"")</f>
        <v/>
      </c>
      <c r="CK222" t="str">
        <f>+IFERROR(VLOOKUP(CK23,IN_Zugliste!$A$4:$E$2002,5,FALSE),"")</f>
        <v/>
      </c>
      <c r="CL222" t="str">
        <f>+IFERROR(VLOOKUP(CL23,IN_Zugliste!$A$4:$E$2002,5,FALSE),"")</f>
        <v/>
      </c>
      <c r="CM222" t="str">
        <f>+IFERROR(VLOOKUP(CM23,IN_Zugliste!$A$4:$E$2002,5,FALSE),"")</f>
        <v/>
      </c>
      <c r="CN222" t="str">
        <f>+IFERROR(VLOOKUP(CN23,IN_Zugliste!$A$4:$E$2002,5,FALSE),"")</f>
        <v/>
      </c>
      <c r="CO222" t="str">
        <f>+IFERROR(VLOOKUP(CO23,IN_Zugliste!$A$4:$E$2002,5,FALSE),"")</f>
        <v/>
      </c>
      <c r="CP222" t="str">
        <f>+IFERROR(VLOOKUP(CP23,IN_Zugliste!$A$4:$E$2002,5,FALSE),"")</f>
        <v/>
      </c>
      <c r="CQ222" t="str">
        <f>+IFERROR(VLOOKUP(CQ23,IN_Zugliste!$A$4:$E$2002,5,FALSE),"")</f>
        <v/>
      </c>
      <c r="CR222" t="str">
        <f>+IFERROR(VLOOKUP(CR23,IN_Zugliste!$A$4:$E$2002,5,FALSE),"")</f>
        <v/>
      </c>
      <c r="CS222" t="str">
        <f>+IFERROR(VLOOKUP(CS23,IN_Zugliste!$A$4:$E$2002,5,FALSE),"")</f>
        <v/>
      </c>
      <c r="CT222" t="str">
        <f>+IFERROR(VLOOKUP(CT23,IN_Zugliste!$A$4:$E$2002,5,FALSE),"")</f>
        <v/>
      </c>
      <c r="CU222" t="str">
        <f>+IFERROR(VLOOKUP(CU23,IN_Zugliste!$A$4:$E$2002,5,FALSE),"")</f>
        <v/>
      </c>
      <c r="CV222" t="str">
        <f>+IFERROR(VLOOKUP(CV23,IN_Zugliste!$A$4:$E$2002,5,FALSE),"")</f>
        <v/>
      </c>
      <c r="CW222" t="str">
        <f>+IFERROR(VLOOKUP(CW23,IN_Zugliste!$A$4:$E$2002,5,FALSE),"")</f>
        <v/>
      </c>
      <c r="CX222" t="str">
        <f>+IFERROR(VLOOKUP(CX23,IN_Zugliste!$A$4:$E$2002,5,FALSE),"")</f>
        <v/>
      </c>
      <c r="CY222" t="str">
        <f>+IFERROR(VLOOKUP(CY23,IN_Zugliste!$A$4:$E$2002,5,FALSE),"")</f>
        <v/>
      </c>
      <c r="CZ222" t="str">
        <f>+IFERROR(VLOOKUP(CZ23,IN_Zugliste!$A$4:$E$2002,5,FALSE),"")</f>
        <v/>
      </c>
      <c r="DA222" t="str">
        <f>+IFERROR(VLOOKUP(DA23,IN_Zugliste!$A$4:$E$2002,5,FALSE),"")</f>
        <v/>
      </c>
      <c r="DB222" t="str">
        <f>+IFERROR(VLOOKUP(DB23,IN_Zugliste!$A$4:$E$2002,5,FALSE),"")</f>
        <v/>
      </c>
      <c r="DC222" t="str">
        <f>+IFERROR(VLOOKUP(DC23,IN_Zugliste!$A$4:$E$2002,5,FALSE),"")</f>
        <v/>
      </c>
      <c r="DD222" t="str">
        <f>+IFERROR(VLOOKUP(DD23,IN_Zugliste!$A$4:$E$2002,5,FALSE),"")</f>
        <v/>
      </c>
      <c r="DE222" t="str">
        <f>+IFERROR(VLOOKUP(DE23,IN_Zugliste!$A$4:$E$2002,5,FALSE),"")</f>
        <v/>
      </c>
      <c r="DF222" t="str">
        <f>+IFERROR(VLOOKUP(DF23,IN_Zugliste!$A$4:$E$2002,5,FALSE),"")</f>
        <v/>
      </c>
      <c r="DG222" t="str">
        <f>+IFERROR(VLOOKUP(DG23,IN_Zugliste!$A$4:$E$2002,5,FALSE),"")</f>
        <v/>
      </c>
      <c r="DH222" t="str">
        <f>+IFERROR(VLOOKUP(DH23,IN_Zugliste!$A$4:$E$2002,5,FALSE),"")</f>
        <v/>
      </c>
      <c r="DI222" t="str">
        <f>+IFERROR(VLOOKUP(DI23,IN_Zugliste!$A$4:$E$2002,5,FALSE),"")</f>
        <v/>
      </c>
      <c r="DJ222" t="str">
        <f>+IFERROR(VLOOKUP(DJ23,IN_Zugliste!$A$4:$E$2002,5,FALSE),"")</f>
        <v/>
      </c>
      <c r="DK222" t="str">
        <f>+IFERROR(VLOOKUP(DK23,IN_Zugliste!$A$4:$E$2002,5,FALSE),"")</f>
        <v/>
      </c>
      <c r="DL222" t="str">
        <f>+IFERROR(VLOOKUP(DL23,IN_Zugliste!$A$4:$E$2002,5,FALSE),"")</f>
        <v/>
      </c>
      <c r="DM222" t="str">
        <f>+IFERROR(VLOOKUP(DM23,IN_Zugliste!$A$4:$E$2002,5,FALSE),"")</f>
        <v/>
      </c>
      <c r="DN222" t="str">
        <f>+IFERROR(VLOOKUP(DN23,IN_Zugliste!$A$4:$E$2002,5,FALSE),"")</f>
        <v/>
      </c>
      <c r="DO222" t="str">
        <f>+IFERROR(VLOOKUP(DO23,IN_Zugliste!$A$4:$E$2002,5,FALSE),"")</f>
        <v/>
      </c>
      <c r="DP222" t="str">
        <f>+IFERROR(VLOOKUP(DP23,IN_Zugliste!$A$4:$E$2002,5,FALSE),"")</f>
        <v/>
      </c>
      <c r="DQ222" t="str">
        <f>+IFERROR(VLOOKUP(DQ23,IN_Zugliste!$A$4:$E$2002,5,FALSE),"")</f>
        <v/>
      </c>
      <c r="DR222" t="str">
        <f>+IFERROR(VLOOKUP(DR23,IN_Zugliste!$A$4:$E$2002,5,FALSE),"")</f>
        <v/>
      </c>
      <c r="DS222" t="str">
        <f>+IFERROR(VLOOKUP(DS23,IN_Zugliste!$A$4:$E$2002,5,FALSE),"")</f>
        <v/>
      </c>
      <c r="DT222" t="str">
        <f>+IFERROR(VLOOKUP(DT23,IN_Zugliste!$A$4:$E$2002,5,FALSE),"")</f>
        <v/>
      </c>
      <c r="DU222" t="str">
        <f>+IFERROR(VLOOKUP(DU23,IN_Zugliste!$A$4:$E$2002,5,FALSE),"")</f>
        <v/>
      </c>
      <c r="DV222" t="str">
        <f>+IFERROR(VLOOKUP(DV23,IN_Zugliste!$A$4:$E$2002,5,FALSE),"")</f>
        <v/>
      </c>
      <c r="DW222" t="str">
        <f>+IFERROR(VLOOKUP(DW23,IN_Zugliste!$A$4:$E$2002,5,FALSE),"")</f>
        <v/>
      </c>
      <c r="DX222" t="str">
        <f>+IFERROR(VLOOKUP(DX23,IN_Zugliste!$A$4:$E$2002,5,FALSE),"")</f>
        <v/>
      </c>
      <c r="DY222" t="str">
        <f>+IFERROR(VLOOKUP(DY23,IN_Zugliste!$A$4:$E$2002,5,FALSE),"")</f>
        <v/>
      </c>
      <c r="DZ222" t="str">
        <f>+IFERROR(VLOOKUP(DZ23,IN_Zugliste!$A$4:$E$2002,5,FALSE),"")</f>
        <v/>
      </c>
      <c r="EA222" t="str">
        <f>+IFERROR(VLOOKUP(EA23,IN_Zugliste!$A$4:$E$2002,5,FALSE),"")</f>
        <v/>
      </c>
      <c r="EB222" t="str">
        <f>+IFERROR(VLOOKUP(EB23,IN_Zugliste!$A$4:$E$2002,5,FALSE),"")</f>
        <v/>
      </c>
      <c r="EC222" t="str">
        <f>+IFERROR(VLOOKUP(EC23,IN_Zugliste!$A$4:$E$2002,5,FALSE),"")</f>
        <v/>
      </c>
      <c r="ED222" t="str">
        <f>+IFERROR(VLOOKUP(ED23,IN_Zugliste!$A$4:$E$2002,5,FALSE),"")</f>
        <v/>
      </c>
      <c r="EE222" t="str">
        <f>+IFERROR(VLOOKUP(EE23,IN_Zugliste!$A$4:$E$2002,5,FALSE),"")</f>
        <v/>
      </c>
      <c r="EF222" t="str">
        <f>+IFERROR(VLOOKUP(EF23,IN_Zugliste!$A$4:$E$2002,5,FALSE),"")</f>
        <v/>
      </c>
      <c r="EG222" t="str">
        <f>+IFERROR(VLOOKUP(EG23,IN_Zugliste!$A$4:$E$2002,5,FALSE),"")</f>
        <v/>
      </c>
      <c r="EH222" t="str">
        <f>+IFERROR(VLOOKUP(EH23,IN_Zugliste!$A$4:$E$2002,5,FALSE),"")</f>
        <v/>
      </c>
      <c r="EI222" t="str">
        <f>+IFERROR(VLOOKUP(EI23,IN_Zugliste!$A$4:$E$2002,5,FALSE),"")</f>
        <v/>
      </c>
      <c r="EJ222" t="str">
        <f>+IFERROR(VLOOKUP(EJ23,IN_Zugliste!$A$4:$E$2002,5,FALSE),"")</f>
        <v/>
      </c>
      <c r="EK222" t="str">
        <f>+IFERROR(VLOOKUP(EK23,IN_Zugliste!$A$4:$E$2002,5,FALSE),"")</f>
        <v/>
      </c>
      <c r="EL222" t="str">
        <f>+IFERROR(VLOOKUP(EL23,IN_Zugliste!$A$4:$E$2002,5,FALSE),"")</f>
        <v/>
      </c>
      <c r="EM222" t="str">
        <f>+IFERROR(VLOOKUP(EM23,IN_Zugliste!$A$4:$E$2002,5,FALSE),"")</f>
        <v/>
      </c>
      <c r="EN222" t="str">
        <f>+IFERROR(VLOOKUP(EN23,IN_Zugliste!$A$4:$E$2002,5,FALSE),"")</f>
        <v/>
      </c>
      <c r="EO222" t="str">
        <f>+IFERROR(VLOOKUP(EO23,IN_Zugliste!$A$4:$E$2002,5,FALSE),"")</f>
        <v/>
      </c>
      <c r="EP222" t="str">
        <f>+IFERROR(VLOOKUP(EP23,IN_Zugliste!$A$4:$E$2002,5,FALSE),"")</f>
        <v/>
      </c>
      <c r="EQ222" t="str">
        <f>+IFERROR(VLOOKUP(EQ23,IN_Zugliste!$A$4:$E$2002,5,FALSE),"")</f>
        <v/>
      </c>
      <c r="ER222" t="str">
        <f>+IFERROR(VLOOKUP(ER23,IN_Zugliste!$A$4:$E$2002,5,FALSE),"")</f>
        <v/>
      </c>
      <c r="ES222" t="str">
        <f>+IFERROR(VLOOKUP(ES23,IN_Zugliste!$A$4:$E$2002,5,FALSE),"")</f>
        <v/>
      </c>
      <c r="ET222" t="str">
        <f>+IFERROR(VLOOKUP(ET23,IN_Zugliste!$A$4:$E$2002,5,FALSE),"")</f>
        <v/>
      </c>
      <c r="EU222" t="str">
        <f>+IFERROR(VLOOKUP(EU23,IN_Zugliste!$A$4:$E$2002,5,FALSE),"")</f>
        <v/>
      </c>
      <c r="EV222" t="str">
        <f>+IFERROR(VLOOKUP(EV23,IN_Zugliste!$A$4:$E$2002,5,FALSE),"")</f>
        <v/>
      </c>
      <c r="EW222" t="str">
        <f>+IFERROR(VLOOKUP(EW23,IN_Zugliste!$A$4:$E$2002,5,FALSE),"")</f>
        <v/>
      </c>
      <c r="EX222" t="str">
        <f>+IFERROR(VLOOKUP(EX23,IN_Zugliste!$A$4:$E$2002,5,FALSE),"")</f>
        <v/>
      </c>
      <c r="EY222" t="str">
        <f>+IFERROR(VLOOKUP(EY23,IN_Zugliste!$A$4:$E$2002,5,FALSE),"")</f>
        <v/>
      </c>
      <c r="EZ222" t="str">
        <f>+IFERROR(VLOOKUP(EZ23,IN_Zugliste!$A$4:$E$2002,5,FALSE),"")</f>
        <v/>
      </c>
      <c r="FA222" t="str">
        <f>+IFERROR(VLOOKUP(FA23,IN_Zugliste!$A$4:$E$2002,5,FALSE),"")</f>
        <v/>
      </c>
      <c r="FB222" t="str">
        <f>+IFERROR(VLOOKUP(FB23,IN_Zugliste!$A$4:$E$2002,5,FALSE),"")</f>
        <v/>
      </c>
      <c r="FC222" t="str">
        <f>+IFERROR(VLOOKUP(FC23,IN_Zugliste!$A$4:$E$2002,5,FALSE),"")</f>
        <v/>
      </c>
      <c r="FD222" t="str">
        <f>+IFERROR(VLOOKUP(FD23,IN_Zugliste!$A$4:$E$2002,5,FALSE),"")</f>
        <v/>
      </c>
      <c r="FE222" t="str">
        <f>+IFERROR(VLOOKUP(FE23,IN_Zugliste!$A$4:$E$2002,5,FALSE),"")</f>
        <v/>
      </c>
      <c r="FF222" t="str">
        <f>+IFERROR(VLOOKUP(FF23,IN_Zugliste!$A$4:$E$2002,5,FALSE),"")</f>
        <v/>
      </c>
      <c r="FG222" t="str">
        <f>+IFERROR(VLOOKUP(FG23,IN_Zugliste!$A$4:$E$2002,5,FALSE),"")</f>
        <v/>
      </c>
      <c r="FH222" t="str">
        <f>+IFERROR(VLOOKUP(FH23,IN_Zugliste!$A$4:$E$2002,5,FALSE),"")</f>
        <v/>
      </c>
      <c r="FI222" t="str">
        <f>+IFERROR(VLOOKUP(FI23,IN_Zugliste!$A$4:$E$2002,5,FALSE),"")</f>
        <v/>
      </c>
      <c r="FJ222" t="str">
        <f>+IFERROR(VLOOKUP(FJ23,IN_Zugliste!$A$4:$E$2002,5,FALSE),"")</f>
        <v/>
      </c>
      <c r="FK222" t="str">
        <f>+IFERROR(VLOOKUP(FK23,IN_Zugliste!$A$4:$E$2002,5,FALSE),"")</f>
        <v/>
      </c>
      <c r="FL222" t="str">
        <f>+IFERROR(VLOOKUP(FL23,IN_Zugliste!$A$4:$E$2002,5,FALSE),"")</f>
        <v/>
      </c>
      <c r="FM222" t="str">
        <f>+IFERROR(VLOOKUP(FM23,IN_Zugliste!$A$4:$D$2002,5,FALSE),"")</f>
        <v/>
      </c>
      <c r="FN222" t="str">
        <f>+IFERROR(VLOOKUP(FN23,IN_Zugliste!$A$4:$D$2002,5,FALSE),"")</f>
        <v/>
      </c>
      <c r="FO222" t="str">
        <f>+IFERROR(VLOOKUP(FO23,IN_Zugliste!$A$4:$D$2002,5,FALSE),"")</f>
        <v/>
      </c>
      <c r="FP222" t="str">
        <f>+IFERROR(VLOOKUP(FP23,IN_Zugliste!$A$4:$D$2002,5,FALSE),"")</f>
        <v/>
      </c>
      <c r="FQ222" t="str">
        <f>+IFERROR(VLOOKUP(FQ23,IN_Zugliste!$A$4:$D$2002,5,FALSE),"")</f>
        <v/>
      </c>
      <c r="FR222" t="str">
        <f>+IFERROR(VLOOKUP(FR23,IN_Zugliste!$A$4:$D$2002,5,FALSE),"")</f>
        <v/>
      </c>
      <c r="FS222" t="str">
        <f>+IFERROR(VLOOKUP(FS23,IN_Zugliste!$A$4:$D$2002,5,FALSE),"")</f>
        <v/>
      </c>
      <c r="FT222" t="str">
        <f>+IFERROR(VLOOKUP(FT23,IN_Zugliste!$A$4:$D$2002,5,FALSE),"")</f>
        <v/>
      </c>
      <c r="FU222" t="str">
        <f>+IFERROR(VLOOKUP(FU23,IN_Zugliste!$A$4:$D$2002,5,FALSE),"")</f>
        <v/>
      </c>
      <c r="FV222" t="str">
        <f>+IFERROR(VLOOKUP(FV23,IN_Zugliste!$A$4:$D$2002,5,FALSE),"")</f>
        <v/>
      </c>
      <c r="FW222" t="str">
        <f>+IFERROR(VLOOKUP(FW23,IN_Zugliste!$A$4:$D$2002,5,FALSE),"")</f>
        <v/>
      </c>
      <c r="FX222" t="str">
        <f>+IFERROR(VLOOKUP(FX23,IN_Zugliste!$A$4:$D$2002,5,FALSE),"")</f>
        <v/>
      </c>
      <c r="FY222" t="str">
        <f>+IFERROR(VLOOKUP(FY23,IN_Zugliste!$A$4:$D$2002,5,FALSE),"")</f>
        <v/>
      </c>
      <c r="FZ222" t="str">
        <f>+IFERROR(VLOOKUP(FZ23,IN_Zugliste!$A$4:$D$2002,5,FALSE),"")</f>
        <v/>
      </c>
      <c r="GA222" t="str">
        <f>+IFERROR(VLOOKUP(GA23,IN_Zugliste!$A$4:$D$2002,5,FALSE),"")</f>
        <v/>
      </c>
      <c r="GB222" t="str">
        <f>+IFERROR(VLOOKUP(GB23,IN_Zugliste!$A$4:$D$2002,5,FALSE),"")</f>
        <v/>
      </c>
      <c r="GC222" t="str">
        <f>+IFERROR(VLOOKUP(GC23,IN_Zugliste!$A$4:$D$2002,5,FALSE),"")</f>
        <v/>
      </c>
      <c r="GD222" t="str">
        <f>+IFERROR(VLOOKUP(GD23,IN_Zugliste!$A$4:$D$2002,5,FALSE),"")</f>
        <v/>
      </c>
      <c r="GE222" t="str">
        <f>+IFERROR(VLOOKUP(GE23,IN_Zugliste!$A$4:$D$2002,5,FALSE),"")</f>
        <v/>
      </c>
      <c r="GF222" t="str">
        <f>+IFERROR(VLOOKUP(GF23,IN_Zugliste!$A$4:$D$2002,5,FALSE),"")</f>
        <v/>
      </c>
      <c r="GG222" t="str">
        <f>+IFERROR(VLOOKUP(GG23,IN_Zugliste!$A$4:$D$2002,5,FALSE),"")</f>
        <v/>
      </c>
      <c r="GH222" t="str">
        <f>+IFERROR(VLOOKUP(GH23,IN_Zugliste!$A$4:$D$2002,5,FALSE),"")</f>
        <v/>
      </c>
      <c r="GI222" t="str">
        <f>+IFERROR(VLOOKUP(GI23,IN_Zugliste!$A$4:$D$2002,5,FALSE),"")</f>
        <v/>
      </c>
      <c r="GJ222" t="str">
        <f>+IFERROR(VLOOKUP(GJ23,IN_Zugliste!$A$4:$D$2002,5,FALSE),"")</f>
        <v/>
      </c>
      <c r="GK222" t="str">
        <f>+IFERROR(VLOOKUP(GK23,IN_Zugliste!$A$4:$D$2002,5,FALSE),"")</f>
        <v/>
      </c>
      <c r="GL222" t="str">
        <f>+IFERROR(VLOOKUP(GL23,IN_Zugliste!$A$4:$D$2002,5,FALSE),"")</f>
        <v/>
      </c>
      <c r="GM222" t="str">
        <f>+IFERROR(VLOOKUP(GM23,IN_Zugliste!$A$4:$D$2002,5,FALSE),"")</f>
        <v/>
      </c>
      <c r="GN222" t="str">
        <f>+IFERROR(VLOOKUP(GN23,IN_Zugliste!$A$4:$D$2002,5,FALSE),"")</f>
        <v/>
      </c>
      <c r="GO222" t="str">
        <f>+IFERROR(VLOOKUP(GO23,IN_Zugliste!$A$4:$D$2002,5,FALSE),"")</f>
        <v/>
      </c>
      <c r="GP222" t="str">
        <f>+IFERROR(VLOOKUP(GP23,IN_Zugliste!$A$4:$D$2002,5,FALSE),"")</f>
        <v/>
      </c>
      <c r="GQ222" t="str">
        <f>+IFERROR(VLOOKUP(GQ23,IN_Zugliste!$A$4:$D$2002,5,FALSE),"")</f>
        <v/>
      </c>
      <c r="GR222" t="str">
        <f>+IFERROR(VLOOKUP(GR23,IN_Zugliste!$A$4:$D$2002,5,FALSE),"")</f>
        <v/>
      </c>
      <c r="GS222" t="str">
        <f>+IFERROR(VLOOKUP(GS23,IN_Zugliste!$A$4:$D$2002,5,FALSE),"")</f>
        <v/>
      </c>
      <c r="GT222" t="str">
        <f>+IFERROR(VLOOKUP(GT23,IN_Zugliste!$A$4:$D$2002,5,FALSE),"")</f>
        <v/>
      </c>
      <c r="GU222" t="str">
        <f>+IFERROR(VLOOKUP(GU23,IN_Zugliste!$A$4:$D$2002,5,FALSE),"")</f>
        <v/>
      </c>
      <c r="GV222" t="str">
        <f>+IFERROR(VLOOKUP(GV23,IN_Zugliste!$A$4:$D$2002,5,FALSE),"")</f>
        <v/>
      </c>
      <c r="GW222" t="str">
        <f>+IFERROR(VLOOKUP(GW23,IN_Zugliste!$A$4:$D$2002,5,FALSE),"")</f>
        <v/>
      </c>
      <c r="GX222" t="str">
        <f>+IFERROR(VLOOKUP(GX23,IN_Zugliste!$A$4:$D$2002,5,FALSE),"")</f>
        <v/>
      </c>
      <c r="GY222" t="str">
        <f>+IFERROR(VLOOKUP(GY23,IN_Zugliste!$A$4:$D$2002,5,FALSE),"")</f>
        <v/>
      </c>
      <c r="GZ222" t="str">
        <f>+IFERROR(VLOOKUP(GZ23,IN_Zugliste!$A$4:$D$2002,5,FALSE),"")</f>
        <v/>
      </c>
      <c r="HA222" t="str">
        <f>+IFERROR(VLOOKUP(HA23,IN_Zugliste!$A$4:$D$2002,5,FALSE),"")</f>
        <v/>
      </c>
      <c r="HB222" t="str">
        <f>+IFERROR(VLOOKUP(HB23,IN_Zugliste!$A$4:$D$2002,5,FALSE),"")</f>
        <v/>
      </c>
      <c r="HC222" t="str">
        <f>+IFERROR(VLOOKUP(HC23,IN_Zugliste!$A$4:$D$2002,5,FALSE),"")</f>
        <v/>
      </c>
      <c r="HD222" t="str">
        <f>+IFERROR(VLOOKUP(HD23,IN_Zugliste!$A$4:$D$2002,5,FALSE),"")</f>
        <v/>
      </c>
      <c r="HE222" t="str">
        <f>+IFERROR(VLOOKUP(HE23,IN_Zugliste!$A$4:$D$2002,5,FALSE),"")</f>
        <v/>
      </c>
      <c r="HF222" t="str">
        <f>+IFERROR(VLOOKUP(HF23,IN_Zugliste!$A$4:$D$2002,5,FALSE),"")</f>
        <v/>
      </c>
      <c r="HG222" t="str">
        <f>+IFERROR(VLOOKUP(HG23,IN_Zugliste!$A$4:$D$2002,5,FALSE),"")</f>
        <v/>
      </c>
      <c r="HH222" t="str">
        <f>+IFERROR(VLOOKUP(HH23,IN_Zugliste!$A$4:$D$2002,5,FALSE),"")</f>
        <v/>
      </c>
    </row>
    <row r="223" spans="1:216" x14ac:dyDescent="0.2">
      <c r="A223" t="str">
        <f>+IFERROR(VLOOKUP(A24,IN_Zugliste!$A$4:$E$2002,5,FALSE),"")</f>
        <v/>
      </c>
      <c r="B223" t="str">
        <f>+IFERROR(VLOOKUP(B24,IN_Zugliste!$A$4:$E$2002,5,FALSE),"")</f>
        <v/>
      </c>
      <c r="C223" t="str">
        <f>+IFERROR(VLOOKUP(C24,IN_Zugliste!$A$4:$E$2002,5,FALSE),"")</f>
        <v/>
      </c>
      <c r="D223" t="str">
        <f>+IFERROR(VLOOKUP(D24,IN_Zugliste!$A$4:$E$2002,5,FALSE),"")</f>
        <v/>
      </c>
      <c r="E223" t="str">
        <f>+IFERROR(VLOOKUP(E24,IN_Zugliste!$A$4:$E$2002,5,FALSE),"")</f>
        <v/>
      </c>
      <c r="F223" t="str">
        <f>+IFERROR(VLOOKUP(F24,IN_Zugliste!$A$4:$E$2002,5,FALSE),"")</f>
        <v/>
      </c>
      <c r="G223" t="str">
        <f>+IFERROR(VLOOKUP(G24,IN_Zugliste!$A$4:$E$2002,5,FALSE),"")</f>
        <v/>
      </c>
      <c r="H223" t="str">
        <f>+IFERROR(VLOOKUP(H24,IN_Zugliste!$A$4:$E$2002,5,FALSE),"")</f>
        <v/>
      </c>
      <c r="I223" t="str">
        <f>+IFERROR(VLOOKUP(I24,IN_Zugliste!$A$4:$E$2002,5,FALSE),"")</f>
        <v/>
      </c>
      <c r="J223" t="str">
        <f>+IFERROR(VLOOKUP(J24,IN_Zugliste!$A$4:$E$2002,5,FALSE),"")</f>
        <v/>
      </c>
      <c r="K223" t="str">
        <f>+IFERROR(VLOOKUP(K24,IN_Zugliste!$A$4:$E$2002,5,FALSE),"")</f>
        <v/>
      </c>
      <c r="L223" t="str">
        <f>+IFERROR(VLOOKUP(L24,IN_Zugliste!$A$4:$E$2002,5,FALSE),"")</f>
        <v/>
      </c>
      <c r="M223" t="str">
        <f>+IFERROR(VLOOKUP(M24,IN_Zugliste!$A$4:$E$2002,5,FALSE),"")</f>
        <v/>
      </c>
      <c r="N223" t="str">
        <f>+IFERROR(VLOOKUP(N24,IN_Zugliste!$A$4:$E$2002,5,FALSE),"")</f>
        <v/>
      </c>
      <c r="O223" t="str">
        <f>+IFERROR(VLOOKUP(O24,IN_Zugliste!$A$4:$E$2002,5,FALSE),"")</f>
        <v/>
      </c>
      <c r="P223" t="str">
        <f>+IFERROR(VLOOKUP(P24,IN_Zugliste!$A$4:$E$2002,5,FALSE),"")</f>
        <v/>
      </c>
      <c r="Q223" t="str">
        <f>+IFERROR(VLOOKUP(Q24,IN_Zugliste!$A$4:$E$2002,5,FALSE),"")</f>
        <v/>
      </c>
      <c r="R223" t="str">
        <f>+IFERROR(VLOOKUP(R24,IN_Zugliste!$A$4:$E$2002,5,FALSE),"")</f>
        <v/>
      </c>
      <c r="S223" t="str">
        <f>+IFERROR(VLOOKUP(S24,IN_Zugliste!$A$4:$E$2002,5,FALSE),"")</f>
        <v/>
      </c>
      <c r="T223" t="str">
        <f>+IFERROR(VLOOKUP(T24,IN_Zugliste!$A$4:$E$2002,5,FALSE),"")</f>
        <v/>
      </c>
      <c r="U223" t="str">
        <f>+IFERROR(VLOOKUP(U24,IN_Zugliste!$A$4:$E$2002,5,FALSE),"")</f>
        <v/>
      </c>
      <c r="V223" t="str">
        <f>+IFERROR(VLOOKUP(V24,IN_Zugliste!$A$4:$E$2002,5,FALSE),"")</f>
        <v/>
      </c>
      <c r="W223" t="str">
        <f>+IFERROR(VLOOKUP(W24,IN_Zugliste!$A$4:$E$2002,5,FALSE),"")</f>
        <v/>
      </c>
      <c r="X223" t="str">
        <f>+IFERROR(VLOOKUP(X24,IN_Zugliste!$A$4:$E$2002,5,FALSE),"")</f>
        <v/>
      </c>
      <c r="Y223" t="str">
        <f>+IFERROR(VLOOKUP(Y24,IN_Zugliste!$A$4:$E$2002,5,FALSE),"")</f>
        <v/>
      </c>
      <c r="Z223" t="str">
        <f>+IFERROR(VLOOKUP(Z24,IN_Zugliste!$A$4:$E$2002,5,FALSE),"")</f>
        <v/>
      </c>
      <c r="AA223" t="str">
        <f>+IFERROR(VLOOKUP(AA24,IN_Zugliste!$A$4:$E$2002,5,FALSE),"")</f>
        <v/>
      </c>
      <c r="AB223" t="str">
        <f>+IFERROR(VLOOKUP(AB24,IN_Zugliste!$A$4:$E$2002,5,FALSE),"")</f>
        <v/>
      </c>
      <c r="AC223" t="str">
        <f>+IFERROR(VLOOKUP(AC24,IN_Zugliste!$A$4:$E$2002,5,FALSE),"")</f>
        <v/>
      </c>
      <c r="AD223" t="str">
        <f>+IFERROR(VLOOKUP(AD24,IN_Zugliste!$A$4:$E$2002,5,FALSE),"")</f>
        <v/>
      </c>
      <c r="AE223" t="str">
        <f>+IFERROR(VLOOKUP(AE24,IN_Zugliste!$A$4:$E$2002,5,FALSE),"")</f>
        <v/>
      </c>
      <c r="AF223" t="str">
        <f>+IFERROR(VLOOKUP(AF24,IN_Zugliste!$A$4:$E$2002,5,FALSE),"")</f>
        <v/>
      </c>
      <c r="AG223" t="str">
        <f>+IFERROR(VLOOKUP(AG24,IN_Zugliste!$A$4:$E$2002,5,FALSE),"")</f>
        <v/>
      </c>
      <c r="AH223" t="str">
        <f>+IFERROR(VLOOKUP(AH24,IN_Zugliste!$A$4:$E$2002,5,FALSE),"")</f>
        <v/>
      </c>
      <c r="AI223" t="str">
        <f>+IFERROR(VLOOKUP(AI24,IN_Zugliste!$A$4:$E$2002,5,FALSE),"")</f>
        <v/>
      </c>
      <c r="AJ223" t="str">
        <f>+IFERROR(VLOOKUP(AJ24,IN_Zugliste!$A$4:$E$2002,5,FALSE),"")</f>
        <v/>
      </c>
      <c r="AK223" t="str">
        <f>+IFERROR(VLOOKUP(AK24,IN_Zugliste!$A$4:$E$2002,5,FALSE),"")</f>
        <v/>
      </c>
      <c r="AL223" t="str">
        <f>+IFERROR(VLOOKUP(AL24,IN_Zugliste!$A$4:$E$2002,5,FALSE),"")</f>
        <v/>
      </c>
      <c r="AM223" t="str">
        <f>+IFERROR(VLOOKUP(AM24,IN_Zugliste!$A$4:$E$2002,5,FALSE),"")</f>
        <v/>
      </c>
      <c r="AN223" t="str">
        <f>+IFERROR(VLOOKUP(AN24,IN_Zugliste!$A$4:$E$2002,5,FALSE),"")</f>
        <v/>
      </c>
      <c r="AO223" t="str">
        <f>+IFERROR(VLOOKUP(AO24,IN_Zugliste!$A$4:$E$2002,5,FALSE),"")</f>
        <v/>
      </c>
      <c r="AP223" t="str">
        <f>+IFERROR(VLOOKUP(AP24,IN_Zugliste!$A$4:$E$2002,5,FALSE),"")</f>
        <v/>
      </c>
      <c r="AQ223" t="str">
        <f>+IFERROR(VLOOKUP(AQ24,IN_Zugliste!$A$4:$E$2002,5,FALSE),"")</f>
        <v/>
      </c>
      <c r="AR223" t="str">
        <f>+IFERROR(VLOOKUP(AR24,IN_Zugliste!$A$4:$E$2002,5,FALSE),"")</f>
        <v/>
      </c>
      <c r="AS223" t="str">
        <f>+IFERROR(VLOOKUP(AS24,IN_Zugliste!$A$4:$E$2002,5,FALSE),"")</f>
        <v/>
      </c>
      <c r="AT223" t="str">
        <f>+IFERROR(VLOOKUP(AT24,IN_Zugliste!$A$4:$E$2002,5,FALSE),"")</f>
        <v/>
      </c>
      <c r="AU223" t="str">
        <f>+IFERROR(VLOOKUP(AU24,IN_Zugliste!$A$4:$E$2002,5,FALSE),"")</f>
        <v/>
      </c>
      <c r="AV223" t="str">
        <f>+IFERROR(VLOOKUP(AV24,IN_Zugliste!$A$4:$E$2002,5,FALSE),"")</f>
        <v/>
      </c>
      <c r="AW223" t="str">
        <f>+IFERROR(VLOOKUP(AW24,IN_Zugliste!$A$4:$E$2002,5,FALSE),"")</f>
        <v/>
      </c>
      <c r="AX223" t="str">
        <f>+IFERROR(VLOOKUP(AX24,IN_Zugliste!$A$4:$E$2002,5,FALSE),"")</f>
        <v/>
      </c>
      <c r="AY223" t="str">
        <f>+IFERROR(VLOOKUP(AY24,IN_Zugliste!$A$4:$E$2002,5,FALSE),"")</f>
        <v/>
      </c>
      <c r="AZ223" t="str">
        <f>+IFERROR(VLOOKUP(AZ24,IN_Zugliste!$A$4:$E$2002,5,FALSE),"")</f>
        <v/>
      </c>
      <c r="BA223" t="str">
        <f>+IFERROR(VLOOKUP(BA24,IN_Zugliste!$A$4:$E$2002,5,FALSE),"")</f>
        <v/>
      </c>
      <c r="BB223" t="str">
        <f>+IFERROR(VLOOKUP(BB24,IN_Zugliste!$A$4:$E$2002,5,FALSE),"")</f>
        <v/>
      </c>
      <c r="BC223" t="str">
        <f>+IFERROR(VLOOKUP(BC24,IN_Zugliste!$A$4:$E$2002,5,FALSE),"")</f>
        <v/>
      </c>
      <c r="BD223" t="str">
        <f>+IFERROR(VLOOKUP(BD24,IN_Zugliste!$A$4:$E$2002,5,FALSE),"")</f>
        <v/>
      </c>
      <c r="BE223" t="str">
        <f>+IFERROR(VLOOKUP(BE24,IN_Zugliste!$A$4:$E$2002,5,FALSE),"")</f>
        <v/>
      </c>
      <c r="BF223" t="str">
        <f>+IFERROR(VLOOKUP(BF24,IN_Zugliste!$A$4:$E$2002,5,FALSE),"")</f>
        <v/>
      </c>
      <c r="BG223" t="str">
        <f>+IFERROR(VLOOKUP(BG24,IN_Zugliste!$A$4:$E$2002,5,FALSE),"")</f>
        <v/>
      </c>
      <c r="BH223" t="str">
        <f>+IFERROR(VLOOKUP(BH24,IN_Zugliste!$A$4:$E$2002,5,FALSE),"")</f>
        <v/>
      </c>
      <c r="BI223" t="str">
        <f>+IFERROR(VLOOKUP(BI24,IN_Zugliste!$A$4:$E$2002,5,FALSE),"")</f>
        <v/>
      </c>
      <c r="BJ223" t="str">
        <f>+IFERROR(VLOOKUP(BJ24,IN_Zugliste!$A$4:$E$2002,5,FALSE),"")</f>
        <v/>
      </c>
      <c r="BK223" t="str">
        <f>+IFERROR(VLOOKUP(BK24,IN_Zugliste!$A$4:$E$2002,5,FALSE),"")</f>
        <v/>
      </c>
      <c r="BL223" t="str">
        <f>+IFERROR(VLOOKUP(BL24,IN_Zugliste!$A$4:$E$2002,5,FALSE),"")</f>
        <v/>
      </c>
      <c r="BM223" t="str">
        <f>+IFERROR(VLOOKUP(BM24,IN_Zugliste!$A$4:$E$2002,5,FALSE),"")</f>
        <v/>
      </c>
      <c r="BN223" t="str">
        <f>+IFERROR(VLOOKUP(BN24,IN_Zugliste!$A$4:$E$2002,5,FALSE),"")</f>
        <v/>
      </c>
      <c r="BO223" t="str">
        <f>+IFERROR(VLOOKUP(BO24,IN_Zugliste!$A$4:$E$2002,5,FALSE),"")</f>
        <v/>
      </c>
      <c r="BP223" t="str">
        <f>+IFERROR(VLOOKUP(BP24,IN_Zugliste!$A$4:$E$2002,5,FALSE),"")</f>
        <v/>
      </c>
      <c r="BQ223" t="str">
        <f>+IFERROR(VLOOKUP(BQ24,IN_Zugliste!$A$4:$E$2002,5,FALSE),"")</f>
        <v/>
      </c>
      <c r="BR223" t="str">
        <f>+IFERROR(VLOOKUP(BR24,IN_Zugliste!$A$4:$E$2002,5,FALSE),"")</f>
        <v/>
      </c>
      <c r="BS223" t="str">
        <f>+IFERROR(VLOOKUP(BS24,IN_Zugliste!$A$4:$E$2002,5,FALSE),"")</f>
        <v/>
      </c>
      <c r="BT223" t="str">
        <f>+IFERROR(VLOOKUP(BT24,IN_Zugliste!$A$4:$E$2002,5,FALSE),"")</f>
        <v/>
      </c>
      <c r="BU223" t="str">
        <f>+IFERROR(VLOOKUP(BU24,IN_Zugliste!$A$4:$E$2002,5,FALSE),"")</f>
        <v/>
      </c>
      <c r="BV223" t="str">
        <f>+IFERROR(VLOOKUP(BV24,IN_Zugliste!$A$4:$E$2002,5,FALSE),"")</f>
        <v/>
      </c>
      <c r="BW223" t="str">
        <f>+IFERROR(VLOOKUP(BW24,IN_Zugliste!$A$4:$E$2002,5,FALSE),"")</f>
        <v/>
      </c>
      <c r="BX223" t="str">
        <f>+IFERROR(VLOOKUP(BX24,IN_Zugliste!$A$4:$E$2002,5,FALSE),"")</f>
        <v/>
      </c>
      <c r="BY223" t="str">
        <f>+IFERROR(VLOOKUP(BY24,IN_Zugliste!$A$4:$E$2002,5,FALSE),"")</f>
        <v/>
      </c>
      <c r="BZ223" t="str">
        <f>+IFERROR(VLOOKUP(BZ24,IN_Zugliste!$A$4:$E$2002,5,FALSE),"")</f>
        <v/>
      </c>
      <c r="CA223" t="str">
        <f>+IFERROR(VLOOKUP(CA24,IN_Zugliste!$A$4:$E$2002,5,FALSE),"")</f>
        <v/>
      </c>
      <c r="CB223" t="str">
        <f>+IFERROR(VLOOKUP(CB24,IN_Zugliste!$A$4:$E$2002,5,FALSE),"")</f>
        <v/>
      </c>
      <c r="CC223" t="str">
        <f>+IFERROR(VLOOKUP(CC24,IN_Zugliste!$A$4:$E$2002,5,FALSE),"")</f>
        <v/>
      </c>
      <c r="CD223" t="str">
        <f>+IFERROR(VLOOKUP(CD24,IN_Zugliste!$A$4:$E$2002,5,FALSE),"")</f>
        <v/>
      </c>
      <c r="CE223" t="str">
        <f>+IFERROR(VLOOKUP(CE24,IN_Zugliste!$A$4:$E$2002,5,FALSE),"")</f>
        <v/>
      </c>
      <c r="CF223" t="str">
        <f>+IFERROR(VLOOKUP(CF24,IN_Zugliste!$A$4:$E$2002,5,FALSE),"")</f>
        <v/>
      </c>
      <c r="CG223" t="str">
        <f>+IFERROR(VLOOKUP(CG24,IN_Zugliste!$A$4:$E$2002,5,FALSE),"")</f>
        <v/>
      </c>
      <c r="CH223" t="str">
        <f>+IFERROR(VLOOKUP(CH24,IN_Zugliste!$A$4:$E$2002,5,FALSE),"")</f>
        <v/>
      </c>
      <c r="CI223" t="str">
        <f>+IFERROR(VLOOKUP(CI24,IN_Zugliste!$A$4:$E$2002,5,FALSE),"")</f>
        <v/>
      </c>
      <c r="CJ223" t="str">
        <f>+IFERROR(VLOOKUP(CJ24,IN_Zugliste!$A$4:$E$2002,5,FALSE),"")</f>
        <v/>
      </c>
      <c r="CK223" t="str">
        <f>+IFERROR(VLOOKUP(CK24,IN_Zugliste!$A$4:$E$2002,5,FALSE),"")</f>
        <v/>
      </c>
      <c r="CL223" t="str">
        <f>+IFERROR(VLOOKUP(CL24,IN_Zugliste!$A$4:$E$2002,5,FALSE),"")</f>
        <v/>
      </c>
      <c r="CM223" t="str">
        <f>+IFERROR(VLOOKUP(CM24,IN_Zugliste!$A$4:$E$2002,5,FALSE),"")</f>
        <v/>
      </c>
      <c r="CN223" t="str">
        <f>+IFERROR(VLOOKUP(CN24,IN_Zugliste!$A$4:$E$2002,5,FALSE),"")</f>
        <v/>
      </c>
      <c r="CO223" t="str">
        <f>+IFERROR(VLOOKUP(CO24,IN_Zugliste!$A$4:$E$2002,5,FALSE),"")</f>
        <v/>
      </c>
      <c r="CP223" t="str">
        <f>+IFERROR(VLOOKUP(CP24,IN_Zugliste!$A$4:$E$2002,5,FALSE),"")</f>
        <v/>
      </c>
      <c r="CQ223" t="str">
        <f>+IFERROR(VLOOKUP(CQ24,IN_Zugliste!$A$4:$E$2002,5,FALSE),"")</f>
        <v/>
      </c>
      <c r="CR223" t="str">
        <f>+IFERROR(VLOOKUP(CR24,IN_Zugliste!$A$4:$E$2002,5,FALSE),"")</f>
        <v/>
      </c>
      <c r="CS223" t="str">
        <f>+IFERROR(VLOOKUP(CS24,IN_Zugliste!$A$4:$E$2002,5,FALSE),"")</f>
        <v/>
      </c>
      <c r="CT223" t="str">
        <f>+IFERROR(VLOOKUP(CT24,IN_Zugliste!$A$4:$E$2002,5,FALSE),"")</f>
        <v/>
      </c>
      <c r="CU223" t="str">
        <f>+IFERROR(VLOOKUP(CU24,IN_Zugliste!$A$4:$E$2002,5,FALSE),"")</f>
        <v/>
      </c>
      <c r="CV223" t="str">
        <f>+IFERROR(VLOOKUP(CV24,IN_Zugliste!$A$4:$E$2002,5,FALSE),"")</f>
        <v/>
      </c>
      <c r="CW223" t="str">
        <f>+IFERROR(VLOOKUP(CW24,IN_Zugliste!$A$4:$E$2002,5,FALSE),"")</f>
        <v/>
      </c>
      <c r="CX223" t="str">
        <f>+IFERROR(VLOOKUP(CX24,IN_Zugliste!$A$4:$E$2002,5,FALSE),"")</f>
        <v/>
      </c>
      <c r="CY223" t="str">
        <f>+IFERROR(VLOOKUP(CY24,IN_Zugliste!$A$4:$E$2002,5,FALSE),"")</f>
        <v/>
      </c>
      <c r="CZ223" t="str">
        <f>+IFERROR(VLOOKUP(CZ24,IN_Zugliste!$A$4:$E$2002,5,FALSE),"")</f>
        <v/>
      </c>
      <c r="DA223" t="str">
        <f>+IFERROR(VLOOKUP(DA24,IN_Zugliste!$A$4:$E$2002,5,FALSE),"")</f>
        <v/>
      </c>
      <c r="DB223" t="str">
        <f>+IFERROR(VLOOKUP(DB24,IN_Zugliste!$A$4:$E$2002,5,FALSE),"")</f>
        <v/>
      </c>
      <c r="DC223" t="str">
        <f>+IFERROR(VLOOKUP(DC24,IN_Zugliste!$A$4:$E$2002,5,FALSE),"")</f>
        <v/>
      </c>
      <c r="DD223" t="str">
        <f>+IFERROR(VLOOKUP(DD24,IN_Zugliste!$A$4:$E$2002,5,FALSE),"")</f>
        <v/>
      </c>
      <c r="DE223" t="str">
        <f>+IFERROR(VLOOKUP(DE24,IN_Zugliste!$A$4:$E$2002,5,FALSE),"")</f>
        <v/>
      </c>
      <c r="DF223" t="str">
        <f>+IFERROR(VLOOKUP(DF24,IN_Zugliste!$A$4:$E$2002,5,FALSE),"")</f>
        <v/>
      </c>
      <c r="DG223" t="str">
        <f>+IFERROR(VLOOKUP(DG24,IN_Zugliste!$A$4:$E$2002,5,FALSE),"")</f>
        <v/>
      </c>
      <c r="DH223" t="str">
        <f>+IFERROR(VLOOKUP(DH24,IN_Zugliste!$A$4:$E$2002,5,FALSE),"")</f>
        <v/>
      </c>
      <c r="DI223" t="str">
        <f>+IFERROR(VLOOKUP(DI24,IN_Zugliste!$A$4:$E$2002,5,FALSE),"")</f>
        <v/>
      </c>
      <c r="DJ223" t="str">
        <f>+IFERROR(VLOOKUP(DJ24,IN_Zugliste!$A$4:$E$2002,5,FALSE),"")</f>
        <v/>
      </c>
      <c r="DK223" t="str">
        <f>+IFERROR(VLOOKUP(DK24,IN_Zugliste!$A$4:$E$2002,5,FALSE),"")</f>
        <v/>
      </c>
      <c r="DL223" t="str">
        <f>+IFERROR(VLOOKUP(DL24,IN_Zugliste!$A$4:$E$2002,5,FALSE),"")</f>
        <v/>
      </c>
      <c r="DM223" t="str">
        <f>+IFERROR(VLOOKUP(DM24,IN_Zugliste!$A$4:$E$2002,5,FALSE),"")</f>
        <v/>
      </c>
      <c r="DN223" t="str">
        <f>+IFERROR(VLOOKUP(DN24,IN_Zugliste!$A$4:$E$2002,5,FALSE),"")</f>
        <v/>
      </c>
      <c r="DO223" t="str">
        <f>+IFERROR(VLOOKUP(DO24,IN_Zugliste!$A$4:$E$2002,5,FALSE),"")</f>
        <v/>
      </c>
      <c r="DP223" t="str">
        <f>+IFERROR(VLOOKUP(DP24,IN_Zugliste!$A$4:$E$2002,5,FALSE),"")</f>
        <v/>
      </c>
      <c r="DQ223" t="str">
        <f>+IFERROR(VLOOKUP(DQ24,IN_Zugliste!$A$4:$E$2002,5,FALSE),"")</f>
        <v/>
      </c>
      <c r="DR223" t="str">
        <f>+IFERROR(VLOOKUP(DR24,IN_Zugliste!$A$4:$E$2002,5,FALSE),"")</f>
        <v/>
      </c>
      <c r="DS223" t="str">
        <f>+IFERROR(VLOOKUP(DS24,IN_Zugliste!$A$4:$E$2002,5,FALSE),"")</f>
        <v/>
      </c>
      <c r="DT223" t="str">
        <f>+IFERROR(VLOOKUP(DT24,IN_Zugliste!$A$4:$E$2002,5,FALSE),"")</f>
        <v/>
      </c>
      <c r="DU223" t="str">
        <f>+IFERROR(VLOOKUP(DU24,IN_Zugliste!$A$4:$E$2002,5,FALSE),"")</f>
        <v/>
      </c>
      <c r="DV223" t="str">
        <f>+IFERROR(VLOOKUP(DV24,IN_Zugliste!$A$4:$E$2002,5,FALSE),"")</f>
        <v/>
      </c>
      <c r="DW223" t="str">
        <f>+IFERROR(VLOOKUP(DW24,IN_Zugliste!$A$4:$E$2002,5,FALSE),"")</f>
        <v/>
      </c>
      <c r="DX223" t="str">
        <f>+IFERROR(VLOOKUP(DX24,IN_Zugliste!$A$4:$E$2002,5,FALSE),"")</f>
        <v/>
      </c>
      <c r="DY223" t="str">
        <f>+IFERROR(VLOOKUP(DY24,IN_Zugliste!$A$4:$E$2002,5,FALSE),"")</f>
        <v/>
      </c>
      <c r="DZ223" t="str">
        <f>+IFERROR(VLOOKUP(DZ24,IN_Zugliste!$A$4:$E$2002,5,FALSE),"")</f>
        <v/>
      </c>
      <c r="EA223" t="str">
        <f>+IFERROR(VLOOKUP(EA24,IN_Zugliste!$A$4:$E$2002,5,FALSE),"")</f>
        <v/>
      </c>
      <c r="EB223" t="str">
        <f>+IFERROR(VLOOKUP(EB24,IN_Zugliste!$A$4:$E$2002,5,FALSE),"")</f>
        <v/>
      </c>
      <c r="EC223" t="str">
        <f>+IFERROR(VLOOKUP(EC24,IN_Zugliste!$A$4:$E$2002,5,FALSE),"")</f>
        <v/>
      </c>
      <c r="ED223" t="str">
        <f>+IFERROR(VLOOKUP(ED24,IN_Zugliste!$A$4:$E$2002,5,FALSE),"")</f>
        <v/>
      </c>
      <c r="EE223" t="str">
        <f>+IFERROR(VLOOKUP(EE24,IN_Zugliste!$A$4:$E$2002,5,FALSE),"")</f>
        <v/>
      </c>
      <c r="EF223" t="str">
        <f>+IFERROR(VLOOKUP(EF24,IN_Zugliste!$A$4:$E$2002,5,FALSE),"")</f>
        <v/>
      </c>
      <c r="EG223" t="str">
        <f>+IFERROR(VLOOKUP(EG24,IN_Zugliste!$A$4:$E$2002,5,FALSE),"")</f>
        <v/>
      </c>
      <c r="EH223" t="str">
        <f>+IFERROR(VLOOKUP(EH24,IN_Zugliste!$A$4:$E$2002,5,FALSE),"")</f>
        <v/>
      </c>
      <c r="EI223" t="str">
        <f>+IFERROR(VLOOKUP(EI24,IN_Zugliste!$A$4:$E$2002,5,FALSE),"")</f>
        <v/>
      </c>
      <c r="EJ223" t="str">
        <f>+IFERROR(VLOOKUP(EJ24,IN_Zugliste!$A$4:$E$2002,5,FALSE),"")</f>
        <v/>
      </c>
      <c r="EK223" t="str">
        <f>+IFERROR(VLOOKUP(EK24,IN_Zugliste!$A$4:$E$2002,5,FALSE),"")</f>
        <v/>
      </c>
      <c r="EL223" t="str">
        <f>+IFERROR(VLOOKUP(EL24,IN_Zugliste!$A$4:$E$2002,5,FALSE),"")</f>
        <v/>
      </c>
      <c r="EM223" t="str">
        <f>+IFERROR(VLOOKUP(EM24,IN_Zugliste!$A$4:$E$2002,5,FALSE),"")</f>
        <v/>
      </c>
      <c r="EN223" t="str">
        <f>+IFERROR(VLOOKUP(EN24,IN_Zugliste!$A$4:$E$2002,5,FALSE),"")</f>
        <v/>
      </c>
      <c r="EO223" t="str">
        <f>+IFERROR(VLOOKUP(EO24,IN_Zugliste!$A$4:$E$2002,5,FALSE),"")</f>
        <v/>
      </c>
      <c r="EP223" t="str">
        <f>+IFERROR(VLOOKUP(EP24,IN_Zugliste!$A$4:$E$2002,5,FALSE),"")</f>
        <v/>
      </c>
      <c r="EQ223" t="str">
        <f>+IFERROR(VLOOKUP(EQ24,IN_Zugliste!$A$4:$E$2002,5,FALSE),"")</f>
        <v/>
      </c>
      <c r="ER223" t="str">
        <f>+IFERROR(VLOOKUP(ER24,IN_Zugliste!$A$4:$E$2002,5,FALSE),"")</f>
        <v/>
      </c>
      <c r="ES223" t="str">
        <f>+IFERROR(VLOOKUP(ES24,IN_Zugliste!$A$4:$E$2002,5,FALSE),"")</f>
        <v/>
      </c>
      <c r="ET223" t="str">
        <f>+IFERROR(VLOOKUP(ET24,IN_Zugliste!$A$4:$E$2002,5,FALSE),"")</f>
        <v/>
      </c>
      <c r="EU223" t="str">
        <f>+IFERROR(VLOOKUP(EU24,IN_Zugliste!$A$4:$E$2002,5,FALSE),"")</f>
        <v/>
      </c>
      <c r="EV223" t="str">
        <f>+IFERROR(VLOOKUP(EV24,IN_Zugliste!$A$4:$E$2002,5,FALSE),"")</f>
        <v/>
      </c>
      <c r="EW223" t="str">
        <f>+IFERROR(VLOOKUP(EW24,IN_Zugliste!$A$4:$E$2002,5,FALSE),"")</f>
        <v/>
      </c>
      <c r="EX223" t="str">
        <f>+IFERROR(VLOOKUP(EX24,IN_Zugliste!$A$4:$E$2002,5,FALSE),"")</f>
        <v/>
      </c>
      <c r="EY223" t="str">
        <f>+IFERROR(VLOOKUP(EY24,IN_Zugliste!$A$4:$E$2002,5,FALSE),"")</f>
        <v/>
      </c>
      <c r="EZ223" t="str">
        <f>+IFERROR(VLOOKUP(EZ24,IN_Zugliste!$A$4:$E$2002,5,FALSE),"")</f>
        <v/>
      </c>
      <c r="FA223" t="str">
        <f>+IFERROR(VLOOKUP(FA24,IN_Zugliste!$A$4:$E$2002,5,FALSE),"")</f>
        <v/>
      </c>
      <c r="FB223" t="str">
        <f>+IFERROR(VLOOKUP(FB24,IN_Zugliste!$A$4:$E$2002,5,FALSE),"")</f>
        <v/>
      </c>
      <c r="FC223" t="str">
        <f>+IFERROR(VLOOKUP(FC24,IN_Zugliste!$A$4:$E$2002,5,FALSE),"")</f>
        <v/>
      </c>
      <c r="FD223" t="str">
        <f>+IFERROR(VLOOKUP(FD24,IN_Zugliste!$A$4:$E$2002,5,FALSE),"")</f>
        <v/>
      </c>
      <c r="FE223" t="str">
        <f>+IFERROR(VLOOKUP(FE24,IN_Zugliste!$A$4:$E$2002,5,FALSE),"")</f>
        <v/>
      </c>
      <c r="FF223" t="str">
        <f>+IFERROR(VLOOKUP(FF24,IN_Zugliste!$A$4:$E$2002,5,FALSE),"")</f>
        <v/>
      </c>
      <c r="FG223" t="str">
        <f>+IFERROR(VLOOKUP(FG24,IN_Zugliste!$A$4:$E$2002,5,FALSE),"")</f>
        <v/>
      </c>
      <c r="FH223" t="str">
        <f>+IFERROR(VLOOKUP(FH24,IN_Zugliste!$A$4:$E$2002,5,FALSE),"")</f>
        <v/>
      </c>
      <c r="FI223" t="str">
        <f>+IFERROR(VLOOKUP(FI24,IN_Zugliste!$A$4:$E$2002,5,FALSE),"")</f>
        <v/>
      </c>
      <c r="FJ223" t="str">
        <f>+IFERROR(VLOOKUP(FJ24,IN_Zugliste!$A$4:$E$2002,5,FALSE),"")</f>
        <v/>
      </c>
      <c r="FK223" t="str">
        <f>+IFERROR(VLOOKUP(FK24,IN_Zugliste!$A$4:$E$2002,5,FALSE),"")</f>
        <v/>
      </c>
      <c r="FL223" t="str">
        <f>+IFERROR(VLOOKUP(FL24,IN_Zugliste!$A$4:$E$2002,5,FALSE),"")</f>
        <v/>
      </c>
      <c r="FM223" t="str">
        <f>+IFERROR(VLOOKUP(FM24,IN_Zugliste!$A$4:$D$2002,5,FALSE),"")</f>
        <v/>
      </c>
      <c r="FN223" t="str">
        <f>+IFERROR(VLOOKUP(FN24,IN_Zugliste!$A$4:$D$2002,5,FALSE),"")</f>
        <v/>
      </c>
      <c r="FO223" t="str">
        <f>+IFERROR(VLOOKUP(FO24,IN_Zugliste!$A$4:$D$2002,5,FALSE),"")</f>
        <v/>
      </c>
      <c r="FP223" t="str">
        <f>+IFERROR(VLOOKUP(FP24,IN_Zugliste!$A$4:$D$2002,5,FALSE),"")</f>
        <v/>
      </c>
      <c r="FQ223" t="str">
        <f>+IFERROR(VLOOKUP(FQ24,IN_Zugliste!$A$4:$D$2002,5,FALSE),"")</f>
        <v/>
      </c>
      <c r="FR223" t="str">
        <f>+IFERROR(VLOOKUP(FR24,IN_Zugliste!$A$4:$D$2002,5,FALSE),"")</f>
        <v/>
      </c>
      <c r="FS223" t="str">
        <f>+IFERROR(VLOOKUP(FS24,IN_Zugliste!$A$4:$D$2002,5,FALSE),"")</f>
        <v/>
      </c>
      <c r="FT223" t="str">
        <f>+IFERROR(VLOOKUP(FT24,IN_Zugliste!$A$4:$D$2002,5,FALSE),"")</f>
        <v/>
      </c>
      <c r="FU223" t="str">
        <f>+IFERROR(VLOOKUP(FU24,IN_Zugliste!$A$4:$D$2002,5,FALSE),"")</f>
        <v/>
      </c>
      <c r="FV223" t="str">
        <f>+IFERROR(VLOOKUP(FV24,IN_Zugliste!$A$4:$D$2002,5,FALSE),"")</f>
        <v/>
      </c>
      <c r="FW223" t="str">
        <f>+IFERROR(VLOOKUP(FW24,IN_Zugliste!$A$4:$D$2002,5,FALSE),"")</f>
        <v/>
      </c>
      <c r="FX223" t="str">
        <f>+IFERROR(VLOOKUP(FX24,IN_Zugliste!$A$4:$D$2002,5,FALSE),"")</f>
        <v/>
      </c>
      <c r="FY223" t="str">
        <f>+IFERROR(VLOOKUP(FY24,IN_Zugliste!$A$4:$D$2002,5,FALSE),"")</f>
        <v/>
      </c>
      <c r="FZ223" t="str">
        <f>+IFERROR(VLOOKUP(FZ24,IN_Zugliste!$A$4:$D$2002,5,FALSE),"")</f>
        <v/>
      </c>
      <c r="GA223" t="str">
        <f>+IFERROR(VLOOKUP(GA24,IN_Zugliste!$A$4:$D$2002,5,FALSE),"")</f>
        <v/>
      </c>
      <c r="GB223" t="str">
        <f>+IFERROR(VLOOKUP(GB24,IN_Zugliste!$A$4:$D$2002,5,FALSE),"")</f>
        <v/>
      </c>
      <c r="GC223" t="str">
        <f>+IFERROR(VLOOKUP(GC24,IN_Zugliste!$A$4:$D$2002,5,FALSE),"")</f>
        <v/>
      </c>
      <c r="GD223" t="str">
        <f>+IFERROR(VLOOKUP(GD24,IN_Zugliste!$A$4:$D$2002,5,FALSE),"")</f>
        <v/>
      </c>
      <c r="GE223" t="str">
        <f>+IFERROR(VLOOKUP(GE24,IN_Zugliste!$A$4:$D$2002,5,FALSE),"")</f>
        <v/>
      </c>
      <c r="GF223" t="str">
        <f>+IFERROR(VLOOKUP(GF24,IN_Zugliste!$A$4:$D$2002,5,FALSE),"")</f>
        <v/>
      </c>
      <c r="GG223" t="str">
        <f>+IFERROR(VLOOKUP(GG24,IN_Zugliste!$A$4:$D$2002,5,FALSE),"")</f>
        <v/>
      </c>
      <c r="GH223" t="str">
        <f>+IFERROR(VLOOKUP(GH24,IN_Zugliste!$A$4:$D$2002,5,FALSE),"")</f>
        <v/>
      </c>
      <c r="GI223" t="str">
        <f>+IFERROR(VLOOKUP(GI24,IN_Zugliste!$A$4:$D$2002,5,FALSE),"")</f>
        <v/>
      </c>
      <c r="GJ223" t="str">
        <f>+IFERROR(VLOOKUP(GJ24,IN_Zugliste!$A$4:$D$2002,5,FALSE),"")</f>
        <v/>
      </c>
      <c r="GK223" t="str">
        <f>+IFERROR(VLOOKUP(GK24,IN_Zugliste!$A$4:$D$2002,5,FALSE),"")</f>
        <v/>
      </c>
      <c r="GL223" t="str">
        <f>+IFERROR(VLOOKUP(GL24,IN_Zugliste!$A$4:$D$2002,5,FALSE),"")</f>
        <v/>
      </c>
      <c r="GM223" t="str">
        <f>+IFERROR(VLOOKUP(GM24,IN_Zugliste!$A$4:$D$2002,5,FALSE),"")</f>
        <v/>
      </c>
      <c r="GN223" t="str">
        <f>+IFERROR(VLOOKUP(GN24,IN_Zugliste!$A$4:$D$2002,5,FALSE),"")</f>
        <v/>
      </c>
      <c r="GO223" t="str">
        <f>+IFERROR(VLOOKUP(GO24,IN_Zugliste!$A$4:$D$2002,5,FALSE),"")</f>
        <v/>
      </c>
      <c r="GP223" t="str">
        <f>+IFERROR(VLOOKUP(GP24,IN_Zugliste!$A$4:$D$2002,5,FALSE),"")</f>
        <v/>
      </c>
      <c r="GQ223" t="str">
        <f>+IFERROR(VLOOKUP(GQ24,IN_Zugliste!$A$4:$D$2002,5,FALSE),"")</f>
        <v/>
      </c>
      <c r="GR223" t="str">
        <f>+IFERROR(VLOOKUP(GR24,IN_Zugliste!$A$4:$D$2002,5,FALSE),"")</f>
        <v/>
      </c>
      <c r="GS223" t="str">
        <f>+IFERROR(VLOOKUP(GS24,IN_Zugliste!$A$4:$D$2002,5,FALSE),"")</f>
        <v/>
      </c>
      <c r="GT223" t="str">
        <f>+IFERROR(VLOOKUP(GT24,IN_Zugliste!$A$4:$D$2002,5,FALSE),"")</f>
        <v/>
      </c>
      <c r="GU223" t="str">
        <f>+IFERROR(VLOOKUP(GU24,IN_Zugliste!$A$4:$D$2002,5,FALSE),"")</f>
        <v/>
      </c>
      <c r="GV223" t="str">
        <f>+IFERROR(VLOOKUP(GV24,IN_Zugliste!$A$4:$D$2002,5,FALSE),"")</f>
        <v/>
      </c>
      <c r="GW223" t="str">
        <f>+IFERROR(VLOOKUP(GW24,IN_Zugliste!$A$4:$D$2002,5,FALSE),"")</f>
        <v/>
      </c>
      <c r="GX223" t="str">
        <f>+IFERROR(VLOOKUP(GX24,IN_Zugliste!$A$4:$D$2002,5,FALSE),"")</f>
        <v/>
      </c>
      <c r="GY223" t="str">
        <f>+IFERROR(VLOOKUP(GY24,IN_Zugliste!$A$4:$D$2002,5,FALSE),"")</f>
        <v/>
      </c>
      <c r="GZ223" t="str">
        <f>+IFERROR(VLOOKUP(GZ24,IN_Zugliste!$A$4:$D$2002,5,FALSE),"")</f>
        <v/>
      </c>
      <c r="HA223" t="str">
        <f>+IFERROR(VLOOKUP(HA24,IN_Zugliste!$A$4:$D$2002,5,FALSE),"")</f>
        <v/>
      </c>
      <c r="HB223" t="str">
        <f>+IFERROR(VLOOKUP(HB24,IN_Zugliste!$A$4:$D$2002,5,FALSE),"")</f>
        <v/>
      </c>
      <c r="HC223" t="str">
        <f>+IFERROR(VLOOKUP(HC24,IN_Zugliste!$A$4:$D$2002,5,FALSE),"")</f>
        <v/>
      </c>
      <c r="HD223" t="str">
        <f>+IFERROR(VLOOKUP(HD24,IN_Zugliste!$A$4:$D$2002,5,FALSE),"")</f>
        <v/>
      </c>
      <c r="HE223" t="str">
        <f>+IFERROR(VLOOKUP(HE24,IN_Zugliste!$A$4:$D$2002,5,FALSE),"")</f>
        <v/>
      </c>
      <c r="HF223" t="str">
        <f>+IFERROR(VLOOKUP(HF24,IN_Zugliste!$A$4:$D$2002,5,FALSE),"")</f>
        <v/>
      </c>
      <c r="HG223" t="str">
        <f>+IFERROR(VLOOKUP(HG24,IN_Zugliste!$A$4:$D$2002,5,FALSE),"")</f>
        <v/>
      </c>
      <c r="HH223" t="str">
        <f>+IFERROR(VLOOKUP(HH24,IN_Zugliste!$A$4:$D$2002,5,FALSE),"")</f>
        <v/>
      </c>
    </row>
    <row r="224" spans="1:216" x14ac:dyDescent="0.2">
      <c r="A224" t="str">
        <f>+IFERROR(VLOOKUP(A25,IN_Zugliste!$A$4:$E$2002,5,FALSE),"")</f>
        <v/>
      </c>
      <c r="B224" t="str">
        <f>+IFERROR(VLOOKUP(B25,IN_Zugliste!$A$4:$E$2002,5,FALSE),"")</f>
        <v/>
      </c>
      <c r="C224" t="str">
        <f>+IFERROR(VLOOKUP(C25,IN_Zugliste!$A$4:$E$2002,5,FALSE),"")</f>
        <v/>
      </c>
      <c r="D224" t="str">
        <f>+IFERROR(VLOOKUP(D25,IN_Zugliste!$A$4:$E$2002,5,FALSE),"")</f>
        <v/>
      </c>
      <c r="E224" t="str">
        <f>+IFERROR(VLOOKUP(E25,IN_Zugliste!$A$4:$E$2002,5,FALSE),"")</f>
        <v/>
      </c>
      <c r="F224" t="str">
        <f>+IFERROR(VLOOKUP(F25,IN_Zugliste!$A$4:$E$2002,5,FALSE),"")</f>
        <v/>
      </c>
      <c r="G224" t="str">
        <f>+IFERROR(VLOOKUP(G25,IN_Zugliste!$A$4:$E$2002,5,FALSE),"")</f>
        <v/>
      </c>
      <c r="H224" t="str">
        <f>+IFERROR(VLOOKUP(H25,IN_Zugliste!$A$4:$E$2002,5,FALSE),"")</f>
        <v/>
      </c>
      <c r="I224" t="str">
        <f>+IFERROR(VLOOKUP(I25,IN_Zugliste!$A$4:$E$2002,5,FALSE),"")</f>
        <v/>
      </c>
      <c r="J224" t="str">
        <f>+IFERROR(VLOOKUP(J25,IN_Zugliste!$A$4:$E$2002,5,FALSE),"")</f>
        <v/>
      </c>
      <c r="K224" t="str">
        <f>+IFERROR(VLOOKUP(K25,IN_Zugliste!$A$4:$E$2002,5,FALSE),"")</f>
        <v/>
      </c>
      <c r="L224" t="str">
        <f>+IFERROR(VLOOKUP(L25,IN_Zugliste!$A$4:$E$2002,5,FALSE),"")</f>
        <v/>
      </c>
      <c r="M224" t="str">
        <f>+IFERROR(VLOOKUP(M25,IN_Zugliste!$A$4:$E$2002,5,FALSE),"")</f>
        <v/>
      </c>
      <c r="N224" t="str">
        <f>+IFERROR(VLOOKUP(N25,IN_Zugliste!$A$4:$E$2002,5,FALSE),"")</f>
        <v/>
      </c>
      <c r="O224" t="str">
        <f>+IFERROR(VLOOKUP(O25,IN_Zugliste!$A$4:$E$2002,5,FALSE),"")</f>
        <v/>
      </c>
      <c r="P224" t="str">
        <f>+IFERROR(VLOOKUP(P25,IN_Zugliste!$A$4:$E$2002,5,FALSE),"")</f>
        <v/>
      </c>
      <c r="Q224" t="str">
        <f>+IFERROR(VLOOKUP(Q25,IN_Zugliste!$A$4:$E$2002,5,FALSE),"")</f>
        <v/>
      </c>
      <c r="R224" t="str">
        <f>+IFERROR(VLOOKUP(R25,IN_Zugliste!$A$4:$E$2002,5,FALSE),"")</f>
        <v/>
      </c>
      <c r="S224" t="str">
        <f>+IFERROR(VLOOKUP(S25,IN_Zugliste!$A$4:$E$2002,5,FALSE),"")</f>
        <v/>
      </c>
      <c r="T224" t="str">
        <f>+IFERROR(VLOOKUP(T25,IN_Zugliste!$A$4:$E$2002,5,FALSE),"")</f>
        <v/>
      </c>
      <c r="U224" t="str">
        <f>+IFERROR(VLOOKUP(U25,IN_Zugliste!$A$4:$E$2002,5,FALSE),"")</f>
        <v/>
      </c>
      <c r="V224" t="str">
        <f>+IFERROR(VLOOKUP(V25,IN_Zugliste!$A$4:$E$2002,5,FALSE),"")</f>
        <v/>
      </c>
      <c r="W224" t="str">
        <f>+IFERROR(VLOOKUP(W25,IN_Zugliste!$A$4:$E$2002,5,FALSE),"")</f>
        <v/>
      </c>
      <c r="X224" t="str">
        <f>+IFERROR(VLOOKUP(X25,IN_Zugliste!$A$4:$E$2002,5,FALSE),"")</f>
        <v/>
      </c>
      <c r="Y224" t="str">
        <f>+IFERROR(VLOOKUP(Y25,IN_Zugliste!$A$4:$E$2002,5,FALSE),"")</f>
        <v/>
      </c>
      <c r="Z224" t="str">
        <f>+IFERROR(VLOOKUP(Z25,IN_Zugliste!$A$4:$E$2002,5,FALSE),"")</f>
        <v/>
      </c>
      <c r="AA224" t="str">
        <f>+IFERROR(VLOOKUP(AA25,IN_Zugliste!$A$4:$E$2002,5,FALSE),"")</f>
        <v/>
      </c>
      <c r="AB224" t="str">
        <f>+IFERROR(VLOOKUP(AB25,IN_Zugliste!$A$4:$E$2002,5,FALSE),"")</f>
        <v/>
      </c>
      <c r="AC224" t="str">
        <f>+IFERROR(VLOOKUP(AC25,IN_Zugliste!$A$4:$E$2002,5,FALSE),"")</f>
        <v/>
      </c>
      <c r="AD224" t="str">
        <f>+IFERROR(VLOOKUP(AD25,IN_Zugliste!$A$4:$E$2002,5,FALSE),"")</f>
        <v/>
      </c>
      <c r="AE224" t="str">
        <f>+IFERROR(VLOOKUP(AE25,IN_Zugliste!$A$4:$E$2002,5,FALSE),"")</f>
        <v/>
      </c>
      <c r="AF224" t="str">
        <f>+IFERROR(VLOOKUP(AF25,IN_Zugliste!$A$4:$E$2002,5,FALSE),"")</f>
        <v/>
      </c>
      <c r="AG224" t="str">
        <f>+IFERROR(VLOOKUP(AG25,IN_Zugliste!$A$4:$E$2002,5,FALSE),"")</f>
        <v/>
      </c>
      <c r="AH224" t="str">
        <f>+IFERROR(VLOOKUP(AH25,IN_Zugliste!$A$4:$E$2002,5,FALSE),"")</f>
        <v/>
      </c>
      <c r="AI224" t="str">
        <f>+IFERROR(VLOOKUP(AI25,IN_Zugliste!$A$4:$E$2002,5,FALSE),"")</f>
        <v/>
      </c>
      <c r="AJ224" t="str">
        <f>+IFERROR(VLOOKUP(AJ25,IN_Zugliste!$A$4:$E$2002,5,FALSE),"")</f>
        <v/>
      </c>
      <c r="AK224" t="str">
        <f>+IFERROR(VLOOKUP(AK25,IN_Zugliste!$A$4:$E$2002,5,FALSE),"")</f>
        <v/>
      </c>
      <c r="AL224" t="str">
        <f>+IFERROR(VLOOKUP(AL25,IN_Zugliste!$A$4:$E$2002,5,FALSE),"")</f>
        <v/>
      </c>
      <c r="AM224" t="str">
        <f>+IFERROR(VLOOKUP(AM25,IN_Zugliste!$A$4:$E$2002,5,FALSE),"")</f>
        <v/>
      </c>
      <c r="AN224" t="str">
        <f>+IFERROR(VLOOKUP(AN25,IN_Zugliste!$A$4:$E$2002,5,FALSE),"")</f>
        <v/>
      </c>
      <c r="AO224" t="str">
        <f>+IFERROR(VLOOKUP(AO25,IN_Zugliste!$A$4:$E$2002,5,FALSE),"")</f>
        <v/>
      </c>
      <c r="AP224" t="str">
        <f>+IFERROR(VLOOKUP(AP25,IN_Zugliste!$A$4:$E$2002,5,FALSE),"")</f>
        <v/>
      </c>
      <c r="AQ224" t="str">
        <f>+IFERROR(VLOOKUP(AQ25,IN_Zugliste!$A$4:$E$2002,5,FALSE),"")</f>
        <v/>
      </c>
      <c r="AR224" t="str">
        <f>+IFERROR(VLOOKUP(AR25,IN_Zugliste!$A$4:$E$2002,5,FALSE),"")</f>
        <v/>
      </c>
      <c r="AS224" t="str">
        <f>+IFERROR(VLOOKUP(AS25,IN_Zugliste!$A$4:$E$2002,5,FALSE),"")</f>
        <v/>
      </c>
      <c r="AT224" t="str">
        <f>+IFERROR(VLOOKUP(AT25,IN_Zugliste!$A$4:$E$2002,5,FALSE),"")</f>
        <v/>
      </c>
      <c r="AU224" t="str">
        <f>+IFERROR(VLOOKUP(AU25,IN_Zugliste!$A$4:$E$2002,5,FALSE),"")</f>
        <v/>
      </c>
      <c r="AV224" t="str">
        <f>+IFERROR(VLOOKUP(AV25,IN_Zugliste!$A$4:$E$2002,5,FALSE),"")</f>
        <v/>
      </c>
      <c r="AW224" t="str">
        <f>+IFERROR(VLOOKUP(AW25,IN_Zugliste!$A$4:$E$2002,5,FALSE),"")</f>
        <v/>
      </c>
      <c r="AX224" t="str">
        <f>+IFERROR(VLOOKUP(AX25,IN_Zugliste!$A$4:$E$2002,5,FALSE),"")</f>
        <v/>
      </c>
      <c r="AY224" t="str">
        <f>+IFERROR(VLOOKUP(AY25,IN_Zugliste!$A$4:$E$2002,5,FALSE),"")</f>
        <v/>
      </c>
      <c r="AZ224" t="str">
        <f>+IFERROR(VLOOKUP(AZ25,IN_Zugliste!$A$4:$E$2002,5,FALSE),"")</f>
        <v/>
      </c>
      <c r="BA224" t="str">
        <f>+IFERROR(VLOOKUP(BA25,IN_Zugliste!$A$4:$E$2002,5,FALSE),"")</f>
        <v/>
      </c>
      <c r="BB224" t="str">
        <f>+IFERROR(VLOOKUP(BB25,IN_Zugliste!$A$4:$E$2002,5,FALSE),"")</f>
        <v/>
      </c>
      <c r="BC224" t="str">
        <f>+IFERROR(VLOOKUP(BC25,IN_Zugliste!$A$4:$E$2002,5,FALSE),"")</f>
        <v/>
      </c>
      <c r="BD224" t="str">
        <f>+IFERROR(VLOOKUP(BD25,IN_Zugliste!$A$4:$E$2002,5,FALSE),"")</f>
        <v/>
      </c>
      <c r="BE224" t="str">
        <f>+IFERROR(VLOOKUP(BE25,IN_Zugliste!$A$4:$E$2002,5,FALSE),"")</f>
        <v/>
      </c>
      <c r="BF224" t="str">
        <f>+IFERROR(VLOOKUP(BF25,IN_Zugliste!$A$4:$E$2002,5,FALSE),"")</f>
        <v/>
      </c>
      <c r="BG224" t="str">
        <f>+IFERROR(VLOOKUP(BG25,IN_Zugliste!$A$4:$E$2002,5,FALSE),"")</f>
        <v/>
      </c>
      <c r="BH224" t="str">
        <f>+IFERROR(VLOOKUP(BH25,IN_Zugliste!$A$4:$E$2002,5,FALSE),"")</f>
        <v/>
      </c>
      <c r="BI224" t="str">
        <f>+IFERROR(VLOOKUP(BI25,IN_Zugliste!$A$4:$E$2002,5,FALSE),"")</f>
        <v/>
      </c>
      <c r="BJ224" t="str">
        <f>+IFERROR(VLOOKUP(BJ25,IN_Zugliste!$A$4:$E$2002,5,FALSE),"")</f>
        <v/>
      </c>
      <c r="BK224" t="str">
        <f>+IFERROR(VLOOKUP(BK25,IN_Zugliste!$A$4:$E$2002,5,FALSE),"")</f>
        <v/>
      </c>
      <c r="BL224" t="str">
        <f>+IFERROR(VLOOKUP(BL25,IN_Zugliste!$A$4:$E$2002,5,FALSE),"")</f>
        <v/>
      </c>
      <c r="BM224" t="str">
        <f>+IFERROR(VLOOKUP(BM25,IN_Zugliste!$A$4:$E$2002,5,FALSE),"")</f>
        <v/>
      </c>
      <c r="BN224" t="str">
        <f>+IFERROR(VLOOKUP(BN25,IN_Zugliste!$A$4:$E$2002,5,FALSE),"")</f>
        <v/>
      </c>
      <c r="BO224" t="str">
        <f>+IFERROR(VLOOKUP(BO25,IN_Zugliste!$A$4:$E$2002,5,FALSE),"")</f>
        <v/>
      </c>
      <c r="BP224" t="str">
        <f>+IFERROR(VLOOKUP(BP25,IN_Zugliste!$A$4:$E$2002,5,FALSE),"")</f>
        <v/>
      </c>
      <c r="BQ224" t="str">
        <f>+IFERROR(VLOOKUP(BQ25,IN_Zugliste!$A$4:$E$2002,5,FALSE),"")</f>
        <v/>
      </c>
      <c r="BR224" t="str">
        <f>+IFERROR(VLOOKUP(BR25,IN_Zugliste!$A$4:$E$2002,5,FALSE),"")</f>
        <v/>
      </c>
      <c r="BS224" t="str">
        <f>+IFERROR(VLOOKUP(BS25,IN_Zugliste!$A$4:$E$2002,5,FALSE),"")</f>
        <v/>
      </c>
      <c r="BT224" t="str">
        <f>+IFERROR(VLOOKUP(BT25,IN_Zugliste!$A$4:$E$2002,5,FALSE),"")</f>
        <v/>
      </c>
      <c r="BU224" t="str">
        <f>+IFERROR(VLOOKUP(BU25,IN_Zugliste!$A$4:$E$2002,5,FALSE),"")</f>
        <v/>
      </c>
      <c r="BV224" t="str">
        <f>+IFERROR(VLOOKUP(BV25,IN_Zugliste!$A$4:$E$2002,5,FALSE),"")</f>
        <v/>
      </c>
      <c r="BW224" t="str">
        <f>+IFERROR(VLOOKUP(BW25,IN_Zugliste!$A$4:$E$2002,5,FALSE),"")</f>
        <v/>
      </c>
      <c r="BX224" t="str">
        <f>+IFERROR(VLOOKUP(BX25,IN_Zugliste!$A$4:$E$2002,5,FALSE),"")</f>
        <v/>
      </c>
      <c r="BY224" t="str">
        <f>+IFERROR(VLOOKUP(BY25,IN_Zugliste!$A$4:$E$2002,5,FALSE),"")</f>
        <v/>
      </c>
      <c r="BZ224" t="str">
        <f>+IFERROR(VLOOKUP(BZ25,IN_Zugliste!$A$4:$E$2002,5,FALSE),"")</f>
        <v/>
      </c>
      <c r="CA224" t="str">
        <f>+IFERROR(VLOOKUP(CA25,IN_Zugliste!$A$4:$E$2002,5,FALSE),"")</f>
        <v/>
      </c>
      <c r="CB224" t="str">
        <f>+IFERROR(VLOOKUP(CB25,IN_Zugliste!$A$4:$E$2002,5,FALSE),"")</f>
        <v/>
      </c>
      <c r="CC224" t="str">
        <f>+IFERROR(VLOOKUP(CC25,IN_Zugliste!$A$4:$E$2002,5,FALSE),"")</f>
        <v/>
      </c>
      <c r="CD224" t="str">
        <f>+IFERROR(VLOOKUP(CD25,IN_Zugliste!$A$4:$E$2002,5,FALSE),"")</f>
        <v/>
      </c>
      <c r="CE224" t="str">
        <f>+IFERROR(VLOOKUP(CE25,IN_Zugliste!$A$4:$E$2002,5,FALSE),"")</f>
        <v/>
      </c>
      <c r="CF224" t="str">
        <f>+IFERROR(VLOOKUP(CF25,IN_Zugliste!$A$4:$E$2002,5,FALSE),"")</f>
        <v/>
      </c>
      <c r="CG224" t="str">
        <f>+IFERROR(VLOOKUP(CG25,IN_Zugliste!$A$4:$E$2002,5,FALSE),"")</f>
        <v/>
      </c>
      <c r="CH224" t="str">
        <f>+IFERROR(VLOOKUP(CH25,IN_Zugliste!$A$4:$E$2002,5,FALSE),"")</f>
        <v/>
      </c>
      <c r="CI224" t="str">
        <f>+IFERROR(VLOOKUP(CI25,IN_Zugliste!$A$4:$E$2002,5,FALSE),"")</f>
        <v/>
      </c>
      <c r="CJ224" t="str">
        <f>+IFERROR(VLOOKUP(CJ25,IN_Zugliste!$A$4:$E$2002,5,FALSE),"")</f>
        <v/>
      </c>
      <c r="CK224" t="str">
        <f>+IFERROR(VLOOKUP(CK25,IN_Zugliste!$A$4:$E$2002,5,FALSE),"")</f>
        <v/>
      </c>
      <c r="CL224" t="str">
        <f>+IFERROR(VLOOKUP(CL25,IN_Zugliste!$A$4:$E$2002,5,FALSE),"")</f>
        <v/>
      </c>
      <c r="CM224" t="str">
        <f>+IFERROR(VLOOKUP(CM25,IN_Zugliste!$A$4:$E$2002,5,FALSE),"")</f>
        <v/>
      </c>
      <c r="CN224" t="str">
        <f>+IFERROR(VLOOKUP(CN25,IN_Zugliste!$A$4:$E$2002,5,FALSE),"")</f>
        <v/>
      </c>
      <c r="CO224" t="str">
        <f>+IFERROR(VLOOKUP(CO25,IN_Zugliste!$A$4:$E$2002,5,FALSE),"")</f>
        <v/>
      </c>
      <c r="CP224" t="str">
        <f>+IFERROR(VLOOKUP(CP25,IN_Zugliste!$A$4:$E$2002,5,FALSE),"")</f>
        <v/>
      </c>
      <c r="CQ224" t="str">
        <f>+IFERROR(VLOOKUP(CQ25,IN_Zugliste!$A$4:$E$2002,5,FALSE),"")</f>
        <v/>
      </c>
      <c r="CR224" t="str">
        <f>+IFERROR(VLOOKUP(CR25,IN_Zugliste!$A$4:$E$2002,5,FALSE),"")</f>
        <v/>
      </c>
      <c r="CS224" t="str">
        <f>+IFERROR(VLOOKUP(CS25,IN_Zugliste!$A$4:$E$2002,5,FALSE),"")</f>
        <v/>
      </c>
      <c r="CT224" t="str">
        <f>+IFERROR(VLOOKUP(CT25,IN_Zugliste!$A$4:$E$2002,5,FALSE),"")</f>
        <v/>
      </c>
      <c r="CU224" t="str">
        <f>+IFERROR(VLOOKUP(CU25,IN_Zugliste!$A$4:$E$2002,5,FALSE),"")</f>
        <v/>
      </c>
      <c r="CV224" t="str">
        <f>+IFERROR(VLOOKUP(CV25,IN_Zugliste!$A$4:$E$2002,5,FALSE),"")</f>
        <v/>
      </c>
      <c r="CW224" t="str">
        <f>+IFERROR(VLOOKUP(CW25,IN_Zugliste!$A$4:$E$2002,5,FALSE),"")</f>
        <v/>
      </c>
      <c r="CX224" t="str">
        <f>+IFERROR(VLOOKUP(CX25,IN_Zugliste!$A$4:$E$2002,5,FALSE),"")</f>
        <v/>
      </c>
      <c r="CY224" t="str">
        <f>+IFERROR(VLOOKUP(CY25,IN_Zugliste!$A$4:$E$2002,5,FALSE),"")</f>
        <v/>
      </c>
      <c r="CZ224" t="str">
        <f>+IFERROR(VLOOKUP(CZ25,IN_Zugliste!$A$4:$E$2002,5,FALSE),"")</f>
        <v/>
      </c>
      <c r="DA224" t="str">
        <f>+IFERROR(VLOOKUP(DA25,IN_Zugliste!$A$4:$E$2002,5,FALSE),"")</f>
        <v/>
      </c>
      <c r="DB224" t="str">
        <f>+IFERROR(VLOOKUP(DB25,IN_Zugliste!$A$4:$E$2002,5,FALSE),"")</f>
        <v/>
      </c>
      <c r="DC224" t="str">
        <f>+IFERROR(VLOOKUP(DC25,IN_Zugliste!$A$4:$E$2002,5,FALSE),"")</f>
        <v/>
      </c>
      <c r="DD224" t="str">
        <f>+IFERROR(VLOOKUP(DD25,IN_Zugliste!$A$4:$E$2002,5,FALSE),"")</f>
        <v/>
      </c>
      <c r="DE224" t="str">
        <f>+IFERROR(VLOOKUP(DE25,IN_Zugliste!$A$4:$E$2002,5,FALSE),"")</f>
        <v/>
      </c>
      <c r="DF224" t="str">
        <f>+IFERROR(VLOOKUP(DF25,IN_Zugliste!$A$4:$E$2002,5,FALSE),"")</f>
        <v/>
      </c>
      <c r="DG224" t="str">
        <f>+IFERROR(VLOOKUP(DG25,IN_Zugliste!$A$4:$E$2002,5,FALSE),"")</f>
        <v/>
      </c>
      <c r="DH224" t="str">
        <f>+IFERROR(VLOOKUP(DH25,IN_Zugliste!$A$4:$E$2002,5,FALSE),"")</f>
        <v/>
      </c>
      <c r="DI224" t="str">
        <f>+IFERROR(VLOOKUP(DI25,IN_Zugliste!$A$4:$E$2002,5,FALSE),"")</f>
        <v/>
      </c>
      <c r="DJ224" t="str">
        <f>+IFERROR(VLOOKUP(DJ25,IN_Zugliste!$A$4:$E$2002,5,FALSE),"")</f>
        <v/>
      </c>
      <c r="DK224" t="str">
        <f>+IFERROR(VLOOKUP(DK25,IN_Zugliste!$A$4:$E$2002,5,FALSE),"")</f>
        <v/>
      </c>
      <c r="DL224" t="str">
        <f>+IFERROR(VLOOKUP(DL25,IN_Zugliste!$A$4:$E$2002,5,FALSE),"")</f>
        <v/>
      </c>
      <c r="DM224" t="str">
        <f>+IFERROR(VLOOKUP(DM25,IN_Zugliste!$A$4:$E$2002,5,FALSE),"")</f>
        <v/>
      </c>
      <c r="DN224" t="str">
        <f>+IFERROR(VLOOKUP(DN25,IN_Zugliste!$A$4:$E$2002,5,FALSE),"")</f>
        <v/>
      </c>
      <c r="DO224" t="str">
        <f>+IFERROR(VLOOKUP(DO25,IN_Zugliste!$A$4:$E$2002,5,FALSE),"")</f>
        <v/>
      </c>
      <c r="DP224" t="str">
        <f>+IFERROR(VLOOKUP(DP25,IN_Zugliste!$A$4:$E$2002,5,FALSE),"")</f>
        <v/>
      </c>
      <c r="DQ224" t="str">
        <f>+IFERROR(VLOOKUP(DQ25,IN_Zugliste!$A$4:$E$2002,5,FALSE),"")</f>
        <v/>
      </c>
      <c r="DR224" t="str">
        <f>+IFERROR(VLOOKUP(DR25,IN_Zugliste!$A$4:$E$2002,5,FALSE),"")</f>
        <v/>
      </c>
      <c r="DS224" t="str">
        <f>+IFERROR(VLOOKUP(DS25,IN_Zugliste!$A$4:$E$2002,5,FALSE),"")</f>
        <v/>
      </c>
      <c r="DT224" t="str">
        <f>+IFERROR(VLOOKUP(DT25,IN_Zugliste!$A$4:$E$2002,5,FALSE),"")</f>
        <v/>
      </c>
      <c r="DU224" t="str">
        <f>+IFERROR(VLOOKUP(DU25,IN_Zugliste!$A$4:$E$2002,5,FALSE),"")</f>
        <v/>
      </c>
      <c r="DV224" t="str">
        <f>+IFERROR(VLOOKUP(DV25,IN_Zugliste!$A$4:$E$2002,5,FALSE),"")</f>
        <v/>
      </c>
      <c r="DW224" t="str">
        <f>+IFERROR(VLOOKUP(DW25,IN_Zugliste!$A$4:$E$2002,5,FALSE),"")</f>
        <v/>
      </c>
      <c r="DX224" t="str">
        <f>+IFERROR(VLOOKUP(DX25,IN_Zugliste!$A$4:$E$2002,5,FALSE),"")</f>
        <v/>
      </c>
      <c r="DY224" t="str">
        <f>+IFERROR(VLOOKUP(DY25,IN_Zugliste!$A$4:$E$2002,5,FALSE),"")</f>
        <v/>
      </c>
      <c r="DZ224" t="str">
        <f>+IFERROR(VLOOKUP(DZ25,IN_Zugliste!$A$4:$E$2002,5,FALSE),"")</f>
        <v/>
      </c>
      <c r="EA224" t="str">
        <f>+IFERROR(VLOOKUP(EA25,IN_Zugliste!$A$4:$E$2002,5,FALSE),"")</f>
        <v/>
      </c>
      <c r="EB224" t="str">
        <f>+IFERROR(VLOOKUP(EB25,IN_Zugliste!$A$4:$E$2002,5,FALSE),"")</f>
        <v/>
      </c>
      <c r="EC224" t="str">
        <f>+IFERROR(VLOOKUP(EC25,IN_Zugliste!$A$4:$E$2002,5,FALSE),"")</f>
        <v/>
      </c>
      <c r="ED224" t="str">
        <f>+IFERROR(VLOOKUP(ED25,IN_Zugliste!$A$4:$E$2002,5,FALSE),"")</f>
        <v/>
      </c>
      <c r="EE224" t="str">
        <f>+IFERROR(VLOOKUP(EE25,IN_Zugliste!$A$4:$E$2002,5,FALSE),"")</f>
        <v/>
      </c>
      <c r="EF224" t="str">
        <f>+IFERROR(VLOOKUP(EF25,IN_Zugliste!$A$4:$E$2002,5,FALSE),"")</f>
        <v/>
      </c>
      <c r="EG224" t="str">
        <f>+IFERROR(VLOOKUP(EG25,IN_Zugliste!$A$4:$E$2002,5,FALSE),"")</f>
        <v/>
      </c>
      <c r="EH224" t="str">
        <f>+IFERROR(VLOOKUP(EH25,IN_Zugliste!$A$4:$E$2002,5,FALSE),"")</f>
        <v/>
      </c>
      <c r="EI224" t="str">
        <f>+IFERROR(VLOOKUP(EI25,IN_Zugliste!$A$4:$E$2002,5,FALSE),"")</f>
        <v/>
      </c>
      <c r="EJ224" t="str">
        <f>+IFERROR(VLOOKUP(EJ25,IN_Zugliste!$A$4:$E$2002,5,FALSE),"")</f>
        <v/>
      </c>
      <c r="EK224" t="str">
        <f>+IFERROR(VLOOKUP(EK25,IN_Zugliste!$A$4:$E$2002,5,FALSE),"")</f>
        <v/>
      </c>
      <c r="EL224" t="str">
        <f>+IFERROR(VLOOKUP(EL25,IN_Zugliste!$A$4:$E$2002,5,FALSE),"")</f>
        <v/>
      </c>
      <c r="EM224" t="str">
        <f>+IFERROR(VLOOKUP(EM25,IN_Zugliste!$A$4:$E$2002,5,FALSE),"")</f>
        <v/>
      </c>
      <c r="EN224" t="str">
        <f>+IFERROR(VLOOKUP(EN25,IN_Zugliste!$A$4:$E$2002,5,FALSE),"")</f>
        <v/>
      </c>
      <c r="EO224" t="str">
        <f>+IFERROR(VLOOKUP(EO25,IN_Zugliste!$A$4:$E$2002,5,FALSE),"")</f>
        <v/>
      </c>
      <c r="EP224" t="str">
        <f>+IFERROR(VLOOKUP(EP25,IN_Zugliste!$A$4:$E$2002,5,FALSE),"")</f>
        <v/>
      </c>
      <c r="EQ224" t="str">
        <f>+IFERROR(VLOOKUP(EQ25,IN_Zugliste!$A$4:$E$2002,5,FALSE),"")</f>
        <v/>
      </c>
      <c r="ER224" t="str">
        <f>+IFERROR(VLOOKUP(ER25,IN_Zugliste!$A$4:$E$2002,5,FALSE),"")</f>
        <v/>
      </c>
      <c r="ES224" t="str">
        <f>+IFERROR(VLOOKUP(ES25,IN_Zugliste!$A$4:$E$2002,5,FALSE),"")</f>
        <v/>
      </c>
      <c r="ET224" t="str">
        <f>+IFERROR(VLOOKUP(ET25,IN_Zugliste!$A$4:$E$2002,5,FALSE),"")</f>
        <v/>
      </c>
      <c r="EU224" t="str">
        <f>+IFERROR(VLOOKUP(EU25,IN_Zugliste!$A$4:$E$2002,5,FALSE),"")</f>
        <v/>
      </c>
      <c r="EV224" t="str">
        <f>+IFERROR(VLOOKUP(EV25,IN_Zugliste!$A$4:$E$2002,5,FALSE),"")</f>
        <v/>
      </c>
      <c r="EW224" t="str">
        <f>+IFERROR(VLOOKUP(EW25,IN_Zugliste!$A$4:$E$2002,5,FALSE),"")</f>
        <v/>
      </c>
      <c r="EX224" t="str">
        <f>+IFERROR(VLOOKUP(EX25,IN_Zugliste!$A$4:$E$2002,5,FALSE),"")</f>
        <v/>
      </c>
      <c r="EY224" t="str">
        <f>+IFERROR(VLOOKUP(EY25,IN_Zugliste!$A$4:$E$2002,5,FALSE),"")</f>
        <v/>
      </c>
      <c r="EZ224" t="str">
        <f>+IFERROR(VLOOKUP(EZ25,IN_Zugliste!$A$4:$E$2002,5,FALSE),"")</f>
        <v/>
      </c>
      <c r="FA224" t="str">
        <f>+IFERROR(VLOOKUP(FA25,IN_Zugliste!$A$4:$E$2002,5,FALSE),"")</f>
        <v/>
      </c>
      <c r="FB224" t="str">
        <f>+IFERROR(VLOOKUP(FB25,IN_Zugliste!$A$4:$E$2002,5,FALSE),"")</f>
        <v/>
      </c>
      <c r="FC224" t="str">
        <f>+IFERROR(VLOOKUP(FC25,IN_Zugliste!$A$4:$E$2002,5,FALSE),"")</f>
        <v/>
      </c>
      <c r="FD224" t="str">
        <f>+IFERROR(VLOOKUP(FD25,IN_Zugliste!$A$4:$E$2002,5,FALSE),"")</f>
        <v/>
      </c>
      <c r="FE224" t="str">
        <f>+IFERROR(VLOOKUP(FE25,IN_Zugliste!$A$4:$E$2002,5,FALSE),"")</f>
        <v/>
      </c>
      <c r="FF224" t="str">
        <f>+IFERROR(VLOOKUP(FF25,IN_Zugliste!$A$4:$E$2002,5,FALSE),"")</f>
        <v/>
      </c>
      <c r="FG224" t="str">
        <f>+IFERROR(VLOOKUP(FG25,IN_Zugliste!$A$4:$E$2002,5,FALSE),"")</f>
        <v/>
      </c>
      <c r="FH224" t="str">
        <f>+IFERROR(VLOOKUP(FH25,IN_Zugliste!$A$4:$E$2002,5,FALSE),"")</f>
        <v/>
      </c>
      <c r="FI224" t="str">
        <f>+IFERROR(VLOOKUP(FI25,IN_Zugliste!$A$4:$E$2002,5,FALSE),"")</f>
        <v/>
      </c>
      <c r="FJ224" t="str">
        <f>+IFERROR(VLOOKUP(FJ25,IN_Zugliste!$A$4:$E$2002,5,FALSE),"")</f>
        <v/>
      </c>
      <c r="FK224" t="str">
        <f>+IFERROR(VLOOKUP(FK25,IN_Zugliste!$A$4:$E$2002,5,FALSE),"")</f>
        <v/>
      </c>
      <c r="FL224" t="str">
        <f>+IFERROR(VLOOKUP(FL25,IN_Zugliste!$A$4:$E$2002,5,FALSE),"")</f>
        <v/>
      </c>
      <c r="FM224" t="str">
        <f>+IFERROR(VLOOKUP(FM25,IN_Zugliste!$A$4:$D$2002,5,FALSE),"")</f>
        <v/>
      </c>
      <c r="FN224" t="str">
        <f>+IFERROR(VLOOKUP(FN25,IN_Zugliste!$A$4:$D$2002,5,FALSE),"")</f>
        <v/>
      </c>
      <c r="FO224" t="str">
        <f>+IFERROR(VLOOKUP(FO25,IN_Zugliste!$A$4:$D$2002,5,FALSE),"")</f>
        <v/>
      </c>
      <c r="FP224" t="str">
        <f>+IFERROR(VLOOKUP(FP25,IN_Zugliste!$A$4:$D$2002,5,FALSE),"")</f>
        <v/>
      </c>
      <c r="FQ224" t="str">
        <f>+IFERROR(VLOOKUP(FQ25,IN_Zugliste!$A$4:$D$2002,5,FALSE),"")</f>
        <v/>
      </c>
      <c r="FR224" t="str">
        <f>+IFERROR(VLOOKUP(FR25,IN_Zugliste!$A$4:$D$2002,5,FALSE),"")</f>
        <v/>
      </c>
      <c r="FS224" t="str">
        <f>+IFERROR(VLOOKUP(FS25,IN_Zugliste!$A$4:$D$2002,5,FALSE),"")</f>
        <v/>
      </c>
      <c r="FT224" t="str">
        <f>+IFERROR(VLOOKUP(FT25,IN_Zugliste!$A$4:$D$2002,5,FALSE),"")</f>
        <v/>
      </c>
      <c r="FU224" t="str">
        <f>+IFERROR(VLOOKUP(FU25,IN_Zugliste!$A$4:$D$2002,5,FALSE),"")</f>
        <v/>
      </c>
      <c r="FV224" t="str">
        <f>+IFERROR(VLOOKUP(FV25,IN_Zugliste!$A$4:$D$2002,5,FALSE),"")</f>
        <v/>
      </c>
      <c r="FW224" t="str">
        <f>+IFERROR(VLOOKUP(FW25,IN_Zugliste!$A$4:$D$2002,5,FALSE),"")</f>
        <v/>
      </c>
      <c r="FX224" t="str">
        <f>+IFERROR(VLOOKUP(FX25,IN_Zugliste!$A$4:$D$2002,5,FALSE),"")</f>
        <v/>
      </c>
      <c r="FY224" t="str">
        <f>+IFERROR(VLOOKUP(FY25,IN_Zugliste!$A$4:$D$2002,5,FALSE),"")</f>
        <v/>
      </c>
      <c r="FZ224" t="str">
        <f>+IFERROR(VLOOKUP(FZ25,IN_Zugliste!$A$4:$D$2002,5,FALSE),"")</f>
        <v/>
      </c>
      <c r="GA224" t="str">
        <f>+IFERROR(VLOOKUP(GA25,IN_Zugliste!$A$4:$D$2002,5,FALSE),"")</f>
        <v/>
      </c>
      <c r="GB224" t="str">
        <f>+IFERROR(VLOOKUP(GB25,IN_Zugliste!$A$4:$D$2002,5,FALSE),"")</f>
        <v/>
      </c>
      <c r="GC224" t="str">
        <f>+IFERROR(VLOOKUP(GC25,IN_Zugliste!$A$4:$D$2002,5,FALSE),"")</f>
        <v/>
      </c>
      <c r="GD224" t="str">
        <f>+IFERROR(VLOOKUP(GD25,IN_Zugliste!$A$4:$D$2002,5,FALSE),"")</f>
        <v/>
      </c>
      <c r="GE224" t="str">
        <f>+IFERROR(VLOOKUP(GE25,IN_Zugliste!$A$4:$D$2002,5,FALSE),"")</f>
        <v/>
      </c>
      <c r="GF224" t="str">
        <f>+IFERROR(VLOOKUP(GF25,IN_Zugliste!$A$4:$D$2002,5,FALSE),"")</f>
        <v/>
      </c>
      <c r="GG224" t="str">
        <f>+IFERROR(VLOOKUP(GG25,IN_Zugliste!$A$4:$D$2002,5,FALSE),"")</f>
        <v/>
      </c>
      <c r="GH224" t="str">
        <f>+IFERROR(VLOOKUP(GH25,IN_Zugliste!$A$4:$D$2002,5,FALSE),"")</f>
        <v/>
      </c>
      <c r="GI224" t="str">
        <f>+IFERROR(VLOOKUP(GI25,IN_Zugliste!$A$4:$D$2002,5,FALSE),"")</f>
        <v/>
      </c>
      <c r="GJ224" t="str">
        <f>+IFERROR(VLOOKUP(GJ25,IN_Zugliste!$A$4:$D$2002,5,FALSE),"")</f>
        <v/>
      </c>
      <c r="GK224" t="str">
        <f>+IFERROR(VLOOKUP(GK25,IN_Zugliste!$A$4:$D$2002,5,FALSE),"")</f>
        <v/>
      </c>
      <c r="GL224" t="str">
        <f>+IFERROR(VLOOKUP(GL25,IN_Zugliste!$A$4:$D$2002,5,FALSE),"")</f>
        <v/>
      </c>
      <c r="GM224" t="str">
        <f>+IFERROR(VLOOKUP(GM25,IN_Zugliste!$A$4:$D$2002,5,FALSE),"")</f>
        <v/>
      </c>
      <c r="GN224" t="str">
        <f>+IFERROR(VLOOKUP(GN25,IN_Zugliste!$A$4:$D$2002,5,FALSE),"")</f>
        <v/>
      </c>
      <c r="GO224" t="str">
        <f>+IFERROR(VLOOKUP(GO25,IN_Zugliste!$A$4:$D$2002,5,FALSE),"")</f>
        <v/>
      </c>
      <c r="GP224" t="str">
        <f>+IFERROR(VLOOKUP(GP25,IN_Zugliste!$A$4:$D$2002,5,FALSE),"")</f>
        <v/>
      </c>
      <c r="GQ224" t="str">
        <f>+IFERROR(VLOOKUP(GQ25,IN_Zugliste!$A$4:$D$2002,5,FALSE),"")</f>
        <v/>
      </c>
      <c r="GR224" t="str">
        <f>+IFERROR(VLOOKUP(GR25,IN_Zugliste!$A$4:$D$2002,5,FALSE),"")</f>
        <v/>
      </c>
      <c r="GS224" t="str">
        <f>+IFERROR(VLOOKUP(GS25,IN_Zugliste!$A$4:$D$2002,5,FALSE),"")</f>
        <v/>
      </c>
      <c r="GT224" t="str">
        <f>+IFERROR(VLOOKUP(GT25,IN_Zugliste!$A$4:$D$2002,5,FALSE),"")</f>
        <v/>
      </c>
      <c r="GU224" t="str">
        <f>+IFERROR(VLOOKUP(GU25,IN_Zugliste!$A$4:$D$2002,5,FALSE),"")</f>
        <v/>
      </c>
      <c r="GV224" t="str">
        <f>+IFERROR(VLOOKUP(GV25,IN_Zugliste!$A$4:$D$2002,5,FALSE),"")</f>
        <v/>
      </c>
      <c r="GW224" t="str">
        <f>+IFERROR(VLOOKUP(GW25,IN_Zugliste!$A$4:$D$2002,5,FALSE),"")</f>
        <v/>
      </c>
      <c r="GX224" t="str">
        <f>+IFERROR(VLOOKUP(GX25,IN_Zugliste!$A$4:$D$2002,5,FALSE),"")</f>
        <v/>
      </c>
      <c r="GY224" t="str">
        <f>+IFERROR(VLOOKUP(GY25,IN_Zugliste!$A$4:$D$2002,5,FALSE),"")</f>
        <v/>
      </c>
      <c r="GZ224" t="str">
        <f>+IFERROR(VLOOKUP(GZ25,IN_Zugliste!$A$4:$D$2002,5,FALSE),"")</f>
        <v/>
      </c>
      <c r="HA224" t="str">
        <f>+IFERROR(VLOOKUP(HA25,IN_Zugliste!$A$4:$D$2002,5,FALSE),"")</f>
        <v/>
      </c>
      <c r="HB224" t="str">
        <f>+IFERROR(VLOOKUP(HB25,IN_Zugliste!$A$4:$D$2002,5,FALSE),"")</f>
        <v/>
      </c>
      <c r="HC224" t="str">
        <f>+IFERROR(VLOOKUP(HC25,IN_Zugliste!$A$4:$D$2002,5,FALSE),"")</f>
        <v/>
      </c>
      <c r="HD224" t="str">
        <f>+IFERROR(VLOOKUP(HD25,IN_Zugliste!$A$4:$D$2002,5,FALSE),"")</f>
        <v/>
      </c>
      <c r="HE224" t="str">
        <f>+IFERROR(VLOOKUP(HE25,IN_Zugliste!$A$4:$D$2002,5,FALSE),"")</f>
        <v/>
      </c>
      <c r="HF224" t="str">
        <f>+IFERROR(VLOOKUP(HF25,IN_Zugliste!$A$4:$D$2002,5,FALSE),"")</f>
        <v/>
      </c>
      <c r="HG224" t="str">
        <f>+IFERROR(VLOOKUP(HG25,IN_Zugliste!$A$4:$D$2002,5,FALSE),"")</f>
        <v/>
      </c>
      <c r="HH224" t="str">
        <f>+IFERROR(VLOOKUP(HH25,IN_Zugliste!$A$4:$D$2002,5,FALSE),"")</f>
        <v/>
      </c>
    </row>
    <row r="225" spans="1:216" x14ac:dyDescent="0.2">
      <c r="A225" t="str">
        <f>+IFERROR(VLOOKUP(A26,IN_Zugliste!$A$4:$E$2002,5,FALSE),"")</f>
        <v/>
      </c>
      <c r="B225" t="str">
        <f>+IFERROR(VLOOKUP(B26,IN_Zugliste!$A$4:$E$2002,5,FALSE),"")</f>
        <v/>
      </c>
      <c r="C225" t="str">
        <f>+IFERROR(VLOOKUP(C26,IN_Zugliste!$A$4:$E$2002,5,FALSE),"")</f>
        <v/>
      </c>
      <c r="D225" t="str">
        <f>+IFERROR(VLOOKUP(D26,IN_Zugliste!$A$4:$E$2002,5,FALSE),"")</f>
        <v/>
      </c>
      <c r="E225" t="str">
        <f>+IFERROR(VLOOKUP(E26,IN_Zugliste!$A$4:$E$2002,5,FALSE),"")</f>
        <v/>
      </c>
      <c r="F225" t="str">
        <f>+IFERROR(VLOOKUP(F26,IN_Zugliste!$A$4:$E$2002,5,FALSE),"")</f>
        <v/>
      </c>
      <c r="G225" t="str">
        <f>+IFERROR(VLOOKUP(G26,IN_Zugliste!$A$4:$E$2002,5,FALSE),"")</f>
        <v/>
      </c>
      <c r="H225" t="str">
        <f>+IFERROR(VLOOKUP(H26,IN_Zugliste!$A$4:$E$2002,5,FALSE),"")</f>
        <v/>
      </c>
      <c r="I225" t="str">
        <f>+IFERROR(VLOOKUP(I26,IN_Zugliste!$A$4:$E$2002,5,FALSE),"")</f>
        <v/>
      </c>
      <c r="J225" t="str">
        <f>+IFERROR(VLOOKUP(J26,IN_Zugliste!$A$4:$E$2002,5,FALSE),"")</f>
        <v/>
      </c>
      <c r="K225" t="str">
        <f>+IFERROR(VLOOKUP(K26,IN_Zugliste!$A$4:$E$2002,5,FALSE),"")</f>
        <v/>
      </c>
      <c r="L225" t="str">
        <f>+IFERROR(VLOOKUP(L26,IN_Zugliste!$A$4:$E$2002,5,FALSE),"")</f>
        <v/>
      </c>
      <c r="M225" t="str">
        <f>+IFERROR(VLOOKUP(M26,IN_Zugliste!$A$4:$E$2002,5,FALSE),"")</f>
        <v/>
      </c>
      <c r="N225" t="str">
        <f>+IFERROR(VLOOKUP(N26,IN_Zugliste!$A$4:$E$2002,5,FALSE),"")</f>
        <v/>
      </c>
      <c r="O225" t="str">
        <f>+IFERROR(VLOOKUP(O26,IN_Zugliste!$A$4:$E$2002,5,FALSE),"")</f>
        <v/>
      </c>
      <c r="P225" t="str">
        <f>+IFERROR(VLOOKUP(P26,IN_Zugliste!$A$4:$E$2002,5,FALSE),"")</f>
        <v/>
      </c>
      <c r="Q225" t="str">
        <f>+IFERROR(VLOOKUP(Q26,IN_Zugliste!$A$4:$E$2002,5,FALSE),"")</f>
        <v/>
      </c>
      <c r="R225" t="str">
        <f>+IFERROR(VLOOKUP(R26,IN_Zugliste!$A$4:$E$2002,5,FALSE),"")</f>
        <v/>
      </c>
      <c r="S225" t="str">
        <f>+IFERROR(VLOOKUP(S26,IN_Zugliste!$A$4:$E$2002,5,FALSE),"")</f>
        <v/>
      </c>
      <c r="T225" t="str">
        <f>+IFERROR(VLOOKUP(T26,IN_Zugliste!$A$4:$E$2002,5,FALSE),"")</f>
        <v/>
      </c>
      <c r="U225" t="str">
        <f>+IFERROR(VLOOKUP(U26,IN_Zugliste!$A$4:$E$2002,5,FALSE),"")</f>
        <v/>
      </c>
      <c r="V225" t="str">
        <f>+IFERROR(VLOOKUP(V26,IN_Zugliste!$A$4:$E$2002,5,FALSE),"")</f>
        <v/>
      </c>
      <c r="W225" t="str">
        <f>+IFERROR(VLOOKUP(W26,IN_Zugliste!$A$4:$E$2002,5,FALSE),"")</f>
        <v/>
      </c>
      <c r="X225" t="str">
        <f>+IFERROR(VLOOKUP(X26,IN_Zugliste!$A$4:$E$2002,5,FALSE),"")</f>
        <v/>
      </c>
      <c r="Y225" t="str">
        <f>+IFERROR(VLOOKUP(Y26,IN_Zugliste!$A$4:$E$2002,5,FALSE),"")</f>
        <v/>
      </c>
      <c r="Z225" t="str">
        <f>+IFERROR(VLOOKUP(Z26,IN_Zugliste!$A$4:$E$2002,5,FALSE),"")</f>
        <v/>
      </c>
      <c r="AA225" t="str">
        <f>+IFERROR(VLOOKUP(AA26,IN_Zugliste!$A$4:$E$2002,5,FALSE),"")</f>
        <v/>
      </c>
      <c r="AB225" t="str">
        <f>+IFERROR(VLOOKUP(AB26,IN_Zugliste!$A$4:$E$2002,5,FALSE),"")</f>
        <v/>
      </c>
      <c r="AC225" t="str">
        <f>+IFERROR(VLOOKUP(AC26,IN_Zugliste!$A$4:$E$2002,5,FALSE),"")</f>
        <v/>
      </c>
      <c r="AD225" t="str">
        <f>+IFERROR(VLOOKUP(AD26,IN_Zugliste!$A$4:$E$2002,5,FALSE),"")</f>
        <v/>
      </c>
      <c r="AE225" t="str">
        <f>+IFERROR(VLOOKUP(AE26,IN_Zugliste!$A$4:$E$2002,5,FALSE),"")</f>
        <v/>
      </c>
      <c r="AF225" t="str">
        <f>+IFERROR(VLOOKUP(AF26,IN_Zugliste!$A$4:$E$2002,5,FALSE),"")</f>
        <v/>
      </c>
      <c r="AG225" t="str">
        <f>+IFERROR(VLOOKUP(AG26,IN_Zugliste!$A$4:$E$2002,5,FALSE),"")</f>
        <v/>
      </c>
      <c r="AH225" t="str">
        <f>+IFERROR(VLOOKUP(AH26,IN_Zugliste!$A$4:$E$2002,5,FALSE),"")</f>
        <v/>
      </c>
      <c r="AI225" t="str">
        <f>+IFERROR(VLOOKUP(AI26,IN_Zugliste!$A$4:$E$2002,5,FALSE),"")</f>
        <v/>
      </c>
      <c r="AJ225" t="str">
        <f>+IFERROR(VLOOKUP(AJ26,IN_Zugliste!$A$4:$E$2002,5,FALSE),"")</f>
        <v/>
      </c>
      <c r="AK225" t="str">
        <f>+IFERROR(VLOOKUP(AK26,IN_Zugliste!$A$4:$E$2002,5,FALSE),"")</f>
        <v/>
      </c>
      <c r="AL225" t="str">
        <f>+IFERROR(VLOOKUP(AL26,IN_Zugliste!$A$4:$E$2002,5,FALSE),"")</f>
        <v/>
      </c>
      <c r="AM225" t="str">
        <f>+IFERROR(VLOOKUP(AM26,IN_Zugliste!$A$4:$E$2002,5,FALSE),"")</f>
        <v/>
      </c>
      <c r="AN225" t="str">
        <f>+IFERROR(VLOOKUP(AN26,IN_Zugliste!$A$4:$E$2002,5,FALSE),"")</f>
        <v/>
      </c>
      <c r="AO225" t="str">
        <f>+IFERROR(VLOOKUP(AO26,IN_Zugliste!$A$4:$E$2002,5,FALSE),"")</f>
        <v/>
      </c>
      <c r="AP225" t="str">
        <f>+IFERROR(VLOOKUP(AP26,IN_Zugliste!$A$4:$E$2002,5,FALSE),"")</f>
        <v/>
      </c>
      <c r="AQ225" t="str">
        <f>+IFERROR(VLOOKUP(AQ26,IN_Zugliste!$A$4:$E$2002,5,FALSE),"")</f>
        <v/>
      </c>
      <c r="AR225" t="str">
        <f>+IFERROR(VLOOKUP(AR26,IN_Zugliste!$A$4:$E$2002,5,FALSE),"")</f>
        <v/>
      </c>
      <c r="AS225" t="str">
        <f>+IFERROR(VLOOKUP(AS26,IN_Zugliste!$A$4:$E$2002,5,FALSE),"")</f>
        <v/>
      </c>
      <c r="AT225" t="str">
        <f>+IFERROR(VLOOKUP(AT26,IN_Zugliste!$A$4:$E$2002,5,FALSE),"")</f>
        <v/>
      </c>
      <c r="AU225" t="str">
        <f>+IFERROR(VLOOKUP(AU26,IN_Zugliste!$A$4:$E$2002,5,FALSE),"")</f>
        <v/>
      </c>
      <c r="AV225" t="str">
        <f>+IFERROR(VLOOKUP(AV26,IN_Zugliste!$A$4:$E$2002,5,FALSE),"")</f>
        <v/>
      </c>
      <c r="AW225" t="str">
        <f>+IFERROR(VLOOKUP(AW26,IN_Zugliste!$A$4:$E$2002,5,FALSE),"")</f>
        <v/>
      </c>
      <c r="AX225" t="str">
        <f>+IFERROR(VLOOKUP(AX26,IN_Zugliste!$A$4:$E$2002,5,FALSE),"")</f>
        <v/>
      </c>
      <c r="AY225" t="str">
        <f>+IFERROR(VLOOKUP(AY26,IN_Zugliste!$A$4:$E$2002,5,FALSE),"")</f>
        <v/>
      </c>
      <c r="AZ225" t="str">
        <f>+IFERROR(VLOOKUP(AZ26,IN_Zugliste!$A$4:$E$2002,5,FALSE),"")</f>
        <v/>
      </c>
      <c r="BA225" t="str">
        <f>+IFERROR(VLOOKUP(BA26,IN_Zugliste!$A$4:$E$2002,5,FALSE),"")</f>
        <v/>
      </c>
      <c r="BB225" t="str">
        <f>+IFERROR(VLOOKUP(BB26,IN_Zugliste!$A$4:$E$2002,5,FALSE),"")</f>
        <v/>
      </c>
      <c r="BC225" t="str">
        <f>+IFERROR(VLOOKUP(BC26,IN_Zugliste!$A$4:$E$2002,5,FALSE),"")</f>
        <v/>
      </c>
      <c r="BD225" t="str">
        <f>+IFERROR(VLOOKUP(BD26,IN_Zugliste!$A$4:$E$2002,5,FALSE),"")</f>
        <v/>
      </c>
      <c r="BE225" t="str">
        <f>+IFERROR(VLOOKUP(BE26,IN_Zugliste!$A$4:$E$2002,5,FALSE),"")</f>
        <v/>
      </c>
      <c r="BF225" t="str">
        <f>+IFERROR(VLOOKUP(BF26,IN_Zugliste!$A$4:$E$2002,5,FALSE),"")</f>
        <v/>
      </c>
      <c r="BG225" t="str">
        <f>+IFERROR(VLOOKUP(BG26,IN_Zugliste!$A$4:$E$2002,5,FALSE),"")</f>
        <v/>
      </c>
      <c r="BH225" t="str">
        <f>+IFERROR(VLOOKUP(BH26,IN_Zugliste!$A$4:$E$2002,5,FALSE),"")</f>
        <v/>
      </c>
      <c r="BI225" t="str">
        <f>+IFERROR(VLOOKUP(BI26,IN_Zugliste!$A$4:$E$2002,5,FALSE),"")</f>
        <v/>
      </c>
      <c r="BJ225" t="str">
        <f>+IFERROR(VLOOKUP(BJ26,IN_Zugliste!$A$4:$E$2002,5,FALSE),"")</f>
        <v/>
      </c>
      <c r="BK225" t="str">
        <f>+IFERROR(VLOOKUP(BK26,IN_Zugliste!$A$4:$E$2002,5,FALSE),"")</f>
        <v/>
      </c>
      <c r="BL225" t="str">
        <f>+IFERROR(VLOOKUP(BL26,IN_Zugliste!$A$4:$E$2002,5,FALSE),"")</f>
        <v/>
      </c>
      <c r="BM225" t="str">
        <f>+IFERROR(VLOOKUP(BM26,IN_Zugliste!$A$4:$E$2002,5,FALSE),"")</f>
        <v/>
      </c>
      <c r="BN225" t="str">
        <f>+IFERROR(VLOOKUP(BN26,IN_Zugliste!$A$4:$E$2002,5,FALSE),"")</f>
        <v/>
      </c>
      <c r="BO225" t="str">
        <f>+IFERROR(VLOOKUP(BO26,IN_Zugliste!$A$4:$E$2002,5,FALSE),"")</f>
        <v/>
      </c>
      <c r="BP225" t="str">
        <f>+IFERROR(VLOOKUP(BP26,IN_Zugliste!$A$4:$E$2002,5,FALSE),"")</f>
        <v/>
      </c>
      <c r="BQ225" t="str">
        <f>+IFERROR(VLOOKUP(BQ26,IN_Zugliste!$A$4:$E$2002,5,FALSE),"")</f>
        <v/>
      </c>
      <c r="BR225" t="str">
        <f>+IFERROR(VLOOKUP(BR26,IN_Zugliste!$A$4:$E$2002,5,FALSE),"")</f>
        <v/>
      </c>
      <c r="BS225" t="str">
        <f>+IFERROR(VLOOKUP(BS26,IN_Zugliste!$A$4:$E$2002,5,FALSE),"")</f>
        <v/>
      </c>
      <c r="BT225" t="str">
        <f>+IFERROR(VLOOKUP(BT26,IN_Zugliste!$A$4:$E$2002,5,FALSE),"")</f>
        <v/>
      </c>
      <c r="BU225" t="str">
        <f>+IFERROR(VLOOKUP(BU26,IN_Zugliste!$A$4:$E$2002,5,FALSE),"")</f>
        <v/>
      </c>
      <c r="BV225" t="str">
        <f>+IFERROR(VLOOKUP(BV26,IN_Zugliste!$A$4:$E$2002,5,FALSE),"")</f>
        <v/>
      </c>
      <c r="BW225" t="str">
        <f>+IFERROR(VLOOKUP(BW26,IN_Zugliste!$A$4:$E$2002,5,FALSE),"")</f>
        <v/>
      </c>
      <c r="BX225" t="str">
        <f>+IFERROR(VLOOKUP(BX26,IN_Zugliste!$A$4:$E$2002,5,FALSE),"")</f>
        <v/>
      </c>
      <c r="BY225" t="str">
        <f>+IFERROR(VLOOKUP(BY26,IN_Zugliste!$A$4:$E$2002,5,FALSE),"")</f>
        <v/>
      </c>
      <c r="BZ225" t="str">
        <f>+IFERROR(VLOOKUP(BZ26,IN_Zugliste!$A$4:$E$2002,5,FALSE),"")</f>
        <v/>
      </c>
      <c r="CA225" t="str">
        <f>+IFERROR(VLOOKUP(CA26,IN_Zugliste!$A$4:$E$2002,5,FALSE),"")</f>
        <v/>
      </c>
      <c r="CB225" t="str">
        <f>+IFERROR(VLOOKUP(CB26,IN_Zugliste!$A$4:$E$2002,5,FALSE),"")</f>
        <v/>
      </c>
      <c r="CC225" t="str">
        <f>+IFERROR(VLOOKUP(CC26,IN_Zugliste!$A$4:$E$2002,5,FALSE),"")</f>
        <v/>
      </c>
      <c r="CD225" t="str">
        <f>+IFERROR(VLOOKUP(CD26,IN_Zugliste!$A$4:$E$2002,5,FALSE),"")</f>
        <v/>
      </c>
      <c r="CE225" t="str">
        <f>+IFERROR(VLOOKUP(CE26,IN_Zugliste!$A$4:$E$2002,5,FALSE),"")</f>
        <v/>
      </c>
      <c r="CF225" t="str">
        <f>+IFERROR(VLOOKUP(CF26,IN_Zugliste!$A$4:$E$2002,5,FALSE),"")</f>
        <v/>
      </c>
      <c r="CG225" t="str">
        <f>+IFERROR(VLOOKUP(CG26,IN_Zugliste!$A$4:$E$2002,5,FALSE),"")</f>
        <v/>
      </c>
      <c r="CH225" t="str">
        <f>+IFERROR(VLOOKUP(CH26,IN_Zugliste!$A$4:$E$2002,5,FALSE),"")</f>
        <v/>
      </c>
      <c r="CI225" t="str">
        <f>+IFERROR(VLOOKUP(CI26,IN_Zugliste!$A$4:$E$2002,5,FALSE),"")</f>
        <v/>
      </c>
      <c r="CJ225" t="str">
        <f>+IFERROR(VLOOKUP(CJ26,IN_Zugliste!$A$4:$E$2002,5,FALSE),"")</f>
        <v/>
      </c>
      <c r="CK225" t="str">
        <f>+IFERROR(VLOOKUP(CK26,IN_Zugliste!$A$4:$E$2002,5,FALSE),"")</f>
        <v/>
      </c>
      <c r="CL225" t="str">
        <f>+IFERROR(VLOOKUP(CL26,IN_Zugliste!$A$4:$E$2002,5,FALSE),"")</f>
        <v/>
      </c>
      <c r="CM225" t="str">
        <f>+IFERROR(VLOOKUP(CM26,IN_Zugliste!$A$4:$E$2002,5,FALSE),"")</f>
        <v/>
      </c>
      <c r="CN225" t="str">
        <f>+IFERROR(VLOOKUP(CN26,IN_Zugliste!$A$4:$E$2002,5,FALSE),"")</f>
        <v/>
      </c>
      <c r="CO225" t="str">
        <f>+IFERROR(VLOOKUP(CO26,IN_Zugliste!$A$4:$E$2002,5,FALSE),"")</f>
        <v/>
      </c>
      <c r="CP225" t="str">
        <f>+IFERROR(VLOOKUP(CP26,IN_Zugliste!$A$4:$E$2002,5,FALSE),"")</f>
        <v/>
      </c>
      <c r="CQ225" t="str">
        <f>+IFERROR(VLOOKUP(CQ26,IN_Zugliste!$A$4:$E$2002,5,FALSE),"")</f>
        <v/>
      </c>
      <c r="CR225" t="str">
        <f>+IFERROR(VLOOKUP(CR26,IN_Zugliste!$A$4:$E$2002,5,FALSE),"")</f>
        <v/>
      </c>
      <c r="CS225" t="str">
        <f>+IFERROR(VLOOKUP(CS26,IN_Zugliste!$A$4:$E$2002,5,FALSE),"")</f>
        <v/>
      </c>
      <c r="CT225" t="str">
        <f>+IFERROR(VLOOKUP(CT26,IN_Zugliste!$A$4:$E$2002,5,FALSE),"")</f>
        <v/>
      </c>
      <c r="CU225" t="str">
        <f>+IFERROR(VLOOKUP(CU26,IN_Zugliste!$A$4:$E$2002,5,FALSE),"")</f>
        <v/>
      </c>
      <c r="CV225" t="str">
        <f>+IFERROR(VLOOKUP(CV26,IN_Zugliste!$A$4:$E$2002,5,FALSE),"")</f>
        <v/>
      </c>
      <c r="CW225" t="str">
        <f>+IFERROR(VLOOKUP(CW26,IN_Zugliste!$A$4:$E$2002,5,FALSE),"")</f>
        <v/>
      </c>
      <c r="CX225" t="str">
        <f>+IFERROR(VLOOKUP(CX26,IN_Zugliste!$A$4:$E$2002,5,FALSE),"")</f>
        <v/>
      </c>
      <c r="CY225" t="str">
        <f>+IFERROR(VLOOKUP(CY26,IN_Zugliste!$A$4:$E$2002,5,FALSE),"")</f>
        <v/>
      </c>
      <c r="CZ225" t="str">
        <f>+IFERROR(VLOOKUP(CZ26,IN_Zugliste!$A$4:$E$2002,5,FALSE),"")</f>
        <v/>
      </c>
      <c r="DA225" t="str">
        <f>+IFERROR(VLOOKUP(DA26,IN_Zugliste!$A$4:$E$2002,5,FALSE),"")</f>
        <v/>
      </c>
      <c r="DB225" t="str">
        <f>+IFERROR(VLOOKUP(DB26,IN_Zugliste!$A$4:$E$2002,5,FALSE),"")</f>
        <v/>
      </c>
      <c r="DC225" t="str">
        <f>+IFERROR(VLOOKUP(DC26,IN_Zugliste!$A$4:$E$2002,5,FALSE),"")</f>
        <v/>
      </c>
      <c r="DD225" t="str">
        <f>+IFERROR(VLOOKUP(DD26,IN_Zugliste!$A$4:$E$2002,5,FALSE),"")</f>
        <v/>
      </c>
      <c r="DE225" t="str">
        <f>+IFERROR(VLOOKUP(DE26,IN_Zugliste!$A$4:$E$2002,5,FALSE),"")</f>
        <v/>
      </c>
      <c r="DF225" t="str">
        <f>+IFERROR(VLOOKUP(DF26,IN_Zugliste!$A$4:$E$2002,5,FALSE),"")</f>
        <v/>
      </c>
      <c r="DG225" t="str">
        <f>+IFERROR(VLOOKUP(DG26,IN_Zugliste!$A$4:$E$2002,5,FALSE),"")</f>
        <v/>
      </c>
      <c r="DH225" t="str">
        <f>+IFERROR(VLOOKUP(DH26,IN_Zugliste!$A$4:$E$2002,5,FALSE),"")</f>
        <v/>
      </c>
      <c r="DI225" t="str">
        <f>+IFERROR(VLOOKUP(DI26,IN_Zugliste!$A$4:$E$2002,5,FALSE),"")</f>
        <v/>
      </c>
      <c r="DJ225" t="str">
        <f>+IFERROR(VLOOKUP(DJ26,IN_Zugliste!$A$4:$E$2002,5,FALSE),"")</f>
        <v/>
      </c>
      <c r="DK225" t="str">
        <f>+IFERROR(VLOOKUP(DK26,IN_Zugliste!$A$4:$E$2002,5,FALSE),"")</f>
        <v/>
      </c>
      <c r="DL225" t="str">
        <f>+IFERROR(VLOOKUP(DL26,IN_Zugliste!$A$4:$E$2002,5,FALSE),"")</f>
        <v/>
      </c>
      <c r="DM225" t="str">
        <f>+IFERROR(VLOOKUP(DM26,IN_Zugliste!$A$4:$E$2002,5,FALSE),"")</f>
        <v/>
      </c>
      <c r="DN225" t="str">
        <f>+IFERROR(VLOOKUP(DN26,IN_Zugliste!$A$4:$E$2002,5,FALSE),"")</f>
        <v/>
      </c>
      <c r="DO225" t="str">
        <f>+IFERROR(VLOOKUP(DO26,IN_Zugliste!$A$4:$E$2002,5,FALSE),"")</f>
        <v/>
      </c>
      <c r="DP225" t="str">
        <f>+IFERROR(VLOOKUP(DP26,IN_Zugliste!$A$4:$E$2002,5,FALSE),"")</f>
        <v/>
      </c>
      <c r="DQ225" t="str">
        <f>+IFERROR(VLOOKUP(DQ26,IN_Zugliste!$A$4:$E$2002,5,FALSE),"")</f>
        <v/>
      </c>
      <c r="DR225" t="str">
        <f>+IFERROR(VLOOKUP(DR26,IN_Zugliste!$A$4:$E$2002,5,FALSE),"")</f>
        <v/>
      </c>
      <c r="DS225" t="str">
        <f>+IFERROR(VLOOKUP(DS26,IN_Zugliste!$A$4:$E$2002,5,FALSE),"")</f>
        <v/>
      </c>
      <c r="DT225" t="str">
        <f>+IFERROR(VLOOKUP(DT26,IN_Zugliste!$A$4:$E$2002,5,FALSE),"")</f>
        <v/>
      </c>
      <c r="DU225" t="str">
        <f>+IFERROR(VLOOKUP(DU26,IN_Zugliste!$A$4:$E$2002,5,FALSE),"")</f>
        <v/>
      </c>
      <c r="DV225" t="str">
        <f>+IFERROR(VLOOKUP(DV26,IN_Zugliste!$A$4:$E$2002,5,FALSE),"")</f>
        <v/>
      </c>
      <c r="DW225" t="str">
        <f>+IFERROR(VLOOKUP(DW26,IN_Zugliste!$A$4:$E$2002,5,FALSE),"")</f>
        <v/>
      </c>
      <c r="DX225" t="str">
        <f>+IFERROR(VLOOKUP(DX26,IN_Zugliste!$A$4:$E$2002,5,FALSE),"")</f>
        <v/>
      </c>
      <c r="DY225" t="str">
        <f>+IFERROR(VLOOKUP(DY26,IN_Zugliste!$A$4:$E$2002,5,FALSE),"")</f>
        <v/>
      </c>
      <c r="DZ225" t="str">
        <f>+IFERROR(VLOOKUP(DZ26,IN_Zugliste!$A$4:$E$2002,5,FALSE),"")</f>
        <v/>
      </c>
      <c r="EA225" t="str">
        <f>+IFERROR(VLOOKUP(EA26,IN_Zugliste!$A$4:$E$2002,5,FALSE),"")</f>
        <v/>
      </c>
      <c r="EB225" t="str">
        <f>+IFERROR(VLOOKUP(EB26,IN_Zugliste!$A$4:$E$2002,5,FALSE),"")</f>
        <v/>
      </c>
      <c r="EC225" t="str">
        <f>+IFERROR(VLOOKUP(EC26,IN_Zugliste!$A$4:$E$2002,5,FALSE),"")</f>
        <v/>
      </c>
      <c r="ED225" t="str">
        <f>+IFERROR(VLOOKUP(ED26,IN_Zugliste!$A$4:$E$2002,5,FALSE),"")</f>
        <v/>
      </c>
      <c r="EE225" t="str">
        <f>+IFERROR(VLOOKUP(EE26,IN_Zugliste!$A$4:$E$2002,5,FALSE),"")</f>
        <v/>
      </c>
      <c r="EF225" t="str">
        <f>+IFERROR(VLOOKUP(EF26,IN_Zugliste!$A$4:$E$2002,5,FALSE),"")</f>
        <v/>
      </c>
      <c r="EG225" t="str">
        <f>+IFERROR(VLOOKUP(EG26,IN_Zugliste!$A$4:$E$2002,5,FALSE),"")</f>
        <v/>
      </c>
      <c r="EH225" t="str">
        <f>+IFERROR(VLOOKUP(EH26,IN_Zugliste!$A$4:$E$2002,5,FALSE),"")</f>
        <v/>
      </c>
      <c r="EI225" t="str">
        <f>+IFERROR(VLOOKUP(EI26,IN_Zugliste!$A$4:$E$2002,5,FALSE),"")</f>
        <v/>
      </c>
      <c r="EJ225" t="str">
        <f>+IFERROR(VLOOKUP(EJ26,IN_Zugliste!$A$4:$E$2002,5,FALSE),"")</f>
        <v/>
      </c>
      <c r="EK225" t="str">
        <f>+IFERROR(VLOOKUP(EK26,IN_Zugliste!$A$4:$E$2002,5,FALSE),"")</f>
        <v/>
      </c>
      <c r="EL225" t="str">
        <f>+IFERROR(VLOOKUP(EL26,IN_Zugliste!$A$4:$E$2002,5,FALSE),"")</f>
        <v/>
      </c>
      <c r="EM225" t="str">
        <f>+IFERROR(VLOOKUP(EM26,IN_Zugliste!$A$4:$E$2002,5,FALSE),"")</f>
        <v/>
      </c>
      <c r="EN225" t="str">
        <f>+IFERROR(VLOOKUP(EN26,IN_Zugliste!$A$4:$E$2002,5,FALSE),"")</f>
        <v/>
      </c>
      <c r="EO225" t="str">
        <f>+IFERROR(VLOOKUP(EO26,IN_Zugliste!$A$4:$E$2002,5,FALSE),"")</f>
        <v/>
      </c>
      <c r="EP225" t="str">
        <f>+IFERROR(VLOOKUP(EP26,IN_Zugliste!$A$4:$E$2002,5,FALSE),"")</f>
        <v/>
      </c>
      <c r="EQ225" t="str">
        <f>+IFERROR(VLOOKUP(EQ26,IN_Zugliste!$A$4:$E$2002,5,FALSE),"")</f>
        <v/>
      </c>
      <c r="ER225" t="str">
        <f>+IFERROR(VLOOKUP(ER26,IN_Zugliste!$A$4:$E$2002,5,FALSE),"")</f>
        <v/>
      </c>
      <c r="ES225" t="str">
        <f>+IFERROR(VLOOKUP(ES26,IN_Zugliste!$A$4:$E$2002,5,FALSE),"")</f>
        <v/>
      </c>
      <c r="ET225" t="str">
        <f>+IFERROR(VLOOKUP(ET26,IN_Zugliste!$A$4:$E$2002,5,FALSE),"")</f>
        <v/>
      </c>
      <c r="EU225" t="str">
        <f>+IFERROR(VLOOKUP(EU26,IN_Zugliste!$A$4:$E$2002,5,FALSE),"")</f>
        <v/>
      </c>
      <c r="EV225" t="str">
        <f>+IFERROR(VLOOKUP(EV26,IN_Zugliste!$A$4:$E$2002,5,FALSE),"")</f>
        <v/>
      </c>
      <c r="EW225" t="str">
        <f>+IFERROR(VLOOKUP(EW26,IN_Zugliste!$A$4:$E$2002,5,FALSE),"")</f>
        <v/>
      </c>
      <c r="EX225" t="str">
        <f>+IFERROR(VLOOKUP(EX26,IN_Zugliste!$A$4:$E$2002,5,FALSE),"")</f>
        <v/>
      </c>
      <c r="EY225" t="str">
        <f>+IFERROR(VLOOKUP(EY26,IN_Zugliste!$A$4:$E$2002,5,FALSE),"")</f>
        <v/>
      </c>
      <c r="EZ225" t="str">
        <f>+IFERROR(VLOOKUP(EZ26,IN_Zugliste!$A$4:$E$2002,5,FALSE),"")</f>
        <v/>
      </c>
      <c r="FA225" t="str">
        <f>+IFERROR(VLOOKUP(FA26,IN_Zugliste!$A$4:$E$2002,5,FALSE),"")</f>
        <v/>
      </c>
      <c r="FB225" t="str">
        <f>+IFERROR(VLOOKUP(FB26,IN_Zugliste!$A$4:$E$2002,5,FALSE),"")</f>
        <v/>
      </c>
      <c r="FC225" t="str">
        <f>+IFERROR(VLOOKUP(FC26,IN_Zugliste!$A$4:$E$2002,5,FALSE),"")</f>
        <v/>
      </c>
      <c r="FD225" t="str">
        <f>+IFERROR(VLOOKUP(FD26,IN_Zugliste!$A$4:$E$2002,5,FALSE),"")</f>
        <v/>
      </c>
      <c r="FE225" t="str">
        <f>+IFERROR(VLOOKUP(FE26,IN_Zugliste!$A$4:$E$2002,5,FALSE),"")</f>
        <v/>
      </c>
      <c r="FF225" t="str">
        <f>+IFERROR(VLOOKUP(FF26,IN_Zugliste!$A$4:$E$2002,5,FALSE),"")</f>
        <v/>
      </c>
      <c r="FG225" t="str">
        <f>+IFERROR(VLOOKUP(FG26,IN_Zugliste!$A$4:$E$2002,5,FALSE),"")</f>
        <v/>
      </c>
      <c r="FH225" t="str">
        <f>+IFERROR(VLOOKUP(FH26,IN_Zugliste!$A$4:$E$2002,5,FALSE),"")</f>
        <v/>
      </c>
      <c r="FI225" t="str">
        <f>+IFERROR(VLOOKUP(FI26,IN_Zugliste!$A$4:$E$2002,5,FALSE),"")</f>
        <v/>
      </c>
      <c r="FJ225" t="str">
        <f>+IFERROR(VLOOKUP(FJ26,IN_Zugliste!$A$4:$E$2002,5,FALSE),"")</f>
        <v/>
      </c>
      <c r="FK225" t="str">
        <f>+IFERROR(VLOOKUP(FK26,IN_Zugliste!$A$4:$E$2002,5,FALSE),"")</f>
        <v/>
      </c>
      <c r="FL225" t="str">
        <f>+IFERROR(VLOOKUP(FL26,IN_Zugliste!$A$4:$E$2002,5,FALSE),"")</f>
        <v/>
      </c>
      <c r="FM225" t="str">
        <f>+IFERROR(VLOOKUP(FM26,IN_Zugliste!$A$4:$D$2002,5,FALSE),"")</f>
        <v/>
      </c>
      <c r="FN225" t="str">
        <f>+IFERROR(VLOOKUP(FN26,IN_Zugliste!$A$4:$D$2002,5,FALSE),"")</f>
        <v/>
      </c>
      <c r="FO225" t="str">
        <f>+IFERROR(VLOOKUP(FO26,IN_Zugliste!$A$4:$D$2002,5,FALSE),"")</f>
        <v/>
      </c>
      <c r="FP225" t="str">
        <f>+IFERROR(VLOOKUP(FP26,IN_Zugliste!$A$4:$D$2002,5,FALSE),"")</f>
        <v/>
      </c>
      <c r="FQ225" t="str">
        <f>+IFERROR(VLOOKUP(FQ26,IN_Zugliste!$A$4:$D$2002,5,FALSE),"")</f>
        <v/>
      </c>
      <c r="FR225" t="str">
        <f>+IFERROR(VLOOKUP(FR26,IN_Zugliste!$A$4:$D$2002,5,FALSE),"")</f>
        <v/>
      </c>
      <c r="FS225" t="str">
        <f>+IFERROR(VLOOKUP(FS26,IN_Zugliste!$A$4:$D$2002,5,FALSE),"")</f>
        <v/>
      </c>
      <c r="FT225" t="str">
        <f>+IFERROR(VLOOKUP(FT26,IN_Zugliste!$A$4:$D$2002,5,FALSE),"")</f>
        <v/>
      </c>
      <c r="FU225" t="str">
        <f>+IFERROR(VLOOKUP(FU26,IN_Zugliste!$A$4:$D$2002,5,FALSE),"")</f>
        <v/>
      </c>
      <c r="FV225" t="str">
        <f>+IFERROR(VLOOKUP(FV26,IN_Zugliste!$A$4:$D$2002,5,FALSE),"")</f>
        <v/>
      </c>
      <c r="FW225" t="str">
        <f>+IFERROR(VLOOKUP(FW26,IN_Zugliste!$A$4:$D$2002,5,FALSE),"")</f>
        <v/>
      </c>
      <c r="FX225" t="str">
        <f>+IFERROR(VLOOKUP(FX26,IN_Zugliste!$A$4:$D$2002,5,FALSE),"")</f>
        <v/>
      </c>
      <c r="FY225" t="str">
        <f>+IFERROR(VLOOKUP(FY26,IN_Zugliste!$A$4:$D$2002,5,FALSE),"")</f>
        <v/>
      </c>
      <c r="FZ225" t="str">
        <f>+IFERROR(VLOOKUP(FZ26,IN_Zugliste!$A$4:$D$2002,5,FALSE),"")</f>
        <v/>
      </c>
      <c r="GA225" t="str">
        <f>+IFERROR(VLOOKUP(GA26,IN_Zugliste!$A$4:$D$2002,5,FALSE),"")</f>
        <v/>
      </c>
      <c r="GB225" t="str">
        <f>+IFERROR(VLOOKUP(GB26,IN_Zugliste!$A$4:$D$2002,5,FALSE),"")</f>
        <v/>
      </c>
      <c r="GC225" t="str">
        <f>+IFERROR(VLOOKUP(GC26,IN_Zugliste!$A$4:$D$2002,5,FALSE),"")</f>
        <v/>
      </c>
      <c r="GD225" t="str">
        <f>+IFERROR(VLOOKUP(GD26,IN_Zugliste!$A$4:$D$2002,5,FALSE),"")</f>
        <v/>
      </c>
      <c r="GE225" t="str">
        <f>+IFERROR(VLOOKUP(GE26,IN_Zugliste!$A$4:$D$2002,5,FALSE),"")</f>
        <v/>
      </c>
      <c r="GF225" t="str">
        <f>+IFERROR(VLOOKUP(GF26,IN_Zugliste!$A$4:$D$2002,5,FALSE),"")</f>
        <v/>
      </c>
      <c r="GG225" t="str">
        <f>+IFERROR(VLOOKUP(GG26,IN_Zugliste!$A$4:$D$2002,5,FALSE),"")</f>
        <v/>
      </c>
      <c r="GH225" t="str">
        <f>+IFERROR(VLOOKUP(GH26,IN_Zugliste!$A$4:$D$2002,5,FALSE),"")</f>
        <v/>
      </c>
      <c r="GI225" t="str">
        <f>+IFERROR(VLOOKUP(GI26,IN_Zugliste!$A$4:$D$2002,5,FALSE),"")</f>
        <v/>
      </c>
      <c r="GJ225" t="str">
        <f>+IFERROR(VLOOKUP(GJ26,IN_Zugliste!$A$4:$D$2002,5,FALSE),"")</f>
        <v/>
      </c>
      <c r="GK225" t="str">
        <f>+IFERROR(VLOOKUP(GK26,IN_Zugliste!$A$4:$D$2002,5,FALSE),"")</f>
        <v/>
      </c>
      <c r="GL225" t="str">
        <f>+IFERROR(VLOOKUP(GL26,IN_Zugliste!$A$4:$D$2002,5,FALSE),"")</f>
        <v/>
      </c>
      <c r="GM225" t="str">
        <f>+IFERROR(VLOOKUP(GM26,IN_Zugliste!$A$4:$D$2002,5,FALSE),"")</f>
        <v/>
      </c>
      <c r="GN225" t="str">
        <f>+IFERROR(VLOOKUP(GN26,IN_Zugliste!$A$4:$D$2002,5,FALSE),"")</f>
        <v/>
      </c>
      <c r="GO225" t="str">
        <f>+IFERROR(VLOOKUP(GO26,IN_Zugliste!$A$4:$D$2002,5,FALSE),"")</f>
        <v/>
      </c>
      <c r="GP225" t="str">
        <f>+IFERROR(VLOOKUP(GP26,IN_Zugliste!$A$4:$D$2002,5,FALSE),"")</f>
        <v/>
      </c>
      <c r="GQ225" t="str">
        <f>+IFERROR(VLOOKUP(GQ26,IN_Zugliste!$A$4:$D$2002,5,FALSE),"")</f>
        <v/>
      </c>
      <c r="GR225" t="str">
        <f>+IFERROR(VLOOKUP(GR26,IN_Zugliste!$A$4:$D$2002,5,FALSE),"")</f>
        <v/>
      </c>
      <c r="GS225" t="str">
        <f>+IFERROR(VLOOKUP(GS26,IN_Zugliste!$A$4:$D$2002,5,FALSE),"")</f>
        <v/>
      </c>
      <c r="GT225" t="str">
        <f>+IFERROR(VLOOKUP(GT26,IN_Zugliste!$A$4:$D$2002,5,FALSE),"")</f>
        <v/>
      </c>
      <c r="GU225" t="str">
        <f>+IFERROR(VLOOKUP(GU26,IN_Zugliste!$A$4:$D$2002,5,FALSE),"")</f>
        <v/>
      </c>
      <c r="GV225" t="str">
        <f>+IFERROR(VLOOKUP(GV26,IN_Zugliste!$A$4:$D$2002,5,FALSE),"")</f>
        <v/>
      </c>
      <c r="GW225" t="str">
        <f>+IFERROR(VLOOKUP(GW26,IN_Zugliste!$A$4:$D$2002,5,FALSE),"")</f>
        <v/>
      </c>
      <c r="GX225" t="str">
        <f>+IFERROR(VLOOKUP(GX26,IN_Zugliste!$A$4:$D$2002,5,FALSE),"")</f>
        <v/>
      </c>
      <c r="GY225" t="str">
        <f>+IFERROR(VLOOKUP(GY26,IN_Zugliste!$A$4:$D$2002,5,FALSE),"")</f>
        <v/>
      </c>
      <c r="GZ225" t="str">
        <f>+IFERROR(VLOOKUP(GZ26,IN_Zugliste!$A$4:$D$2002,5,FALSE),"")</f>
        <v/>
      </c>
      <c r="HA225" t="str">
        <f>+IFERROR(VLOOKUP(HA26,IN_Zugliste!$A$4:$D$2002,5,FALSE),"")</f>
        <v/>
      </c>
      <c r="HB225" t="str">
        <f>+IFERROR(VLOOKUP(HB26,IN_Zugliste!$A$4:$D$2002,5,FALSE),"")</f>
        <v/>
      </c>
      <c r="HC225" t="str">
        <f>+IFERROR(VLOOKUP(HC26,IN_Zugliste!$A$4:$D$2002,5,FALSE),"")</f>
        <v/>
      </c>
      <c r="HD225" t="str">
        <f>+IFERROR(VLOOKUP(HD26,IN_Zugliste!$A$4:$D$2002,5,FALSE),"")</f>
        <v/>
      </c>
      <c r="HE225" t="str">
        <f>+IFERROR(VLOOKUP(HE26,IN_Zugliste!$A$4:$D$2002,5,FALSE),"")</f>
        <v/>
      </c>
      <c r="HF225" t="str">
        <f>+IFERROR(VLOOKUP(HF26,IN_Zugliste!$A$4:$D$2002,5,FALSE),"")</f>
        <v/>
      </c>
      <c r="HG225" t="str">
        <f>+IFERROR(VLOOKUP(HG26,IN_Zugliste!$A$4:$D$2002,5,FALSE),"")</f>
        <v/>
      </c>
      <c r="HH225" t="str">
        <f>+IFERROR(VLOOKUP(HH26,IN_Zugliste!$A$4:$D$2002,5,FALSE),"")</f>
        <v/>
      </c>
    </row>
    <row r="226" spans="1:216" x14ac:dyDescent="0.2">
      <c r="A226" t="str">
        <f>+IFERROR(VLOOKUP(A27,IN_Zugliste!$A$4:$E$2002,5,FALSE),"")</f>
        <v/>
      </c>
      <c r="B226" t="str">
        <f>+IFERROR(VLOOKUP(B27,IN_Zugliste!$A$4:$E$2002,5,FALSE),"")</f>
        <v/>
      </c>
      <c r="C226" t="str">
        <f>+IFERROR(VLOOKUP(C27,IN_Zugliste!$A$4:$E$2002,5,FALSE),"")</f>
        <v/>
      </c>
      <c r="D226" t="str">
        <f>+IFERROR(VLOOKUP(D27,IN_Zugliste!$A$4:$E$2002,5,FALSE),"")</f>
        <v/>
      </c>
      <c r="E226" t="str">
        <f>+IFERROR(VLOOKUP(E27,IN_Zugliste!$A$4:$E$2002,5,FALSE),"")</f>
        <v/>
      </c>
      <c r="F226" t="str">
        <f>+IFERROR(VLOOKUP(F27,IN_Zugliste!$A$4:$E$2002,5,FALSE),"")</f>
        <v/>
      </c>
      <c r="G226" t="str">
        <f>+IFERROR(VLOOKUP(G27,IN_Zugliste!$A$4:$E$2002,5,FALSE),"")</f>
        <v/>
      </c>
      <c r="H226" t="str">
        <f>+IFERROR(VLOOKUP(H27,IN_Zugliste!$A$4:$E$2002,5,FALSE),"")</f>
        <v/>
      </c>
      <c r="I226" t="str">
        <f>+IFERROR(VLOOKUP(I27,IN_Zugliste!$A$4:$E$2002,5,FALSE),"")</f>
        <v/>
      </c>
      <c r="J226" t="str">
        <f>+IFERROR(VLOOKUP(J27,IN_Zugliste!$A$4:$E$2002,5,FALSE),"")</f>
        <v/>
      </c>
      <c r="K226" t="str">
        <f>+IFERROR(VLOOKUP(K27,IN_Zugliste!$A$4:$E$2002,5,FALSE),"")</f>
        <v/>
      </c>
      <c r="L226" t="str">
        <f>+IFERROR(VLOOKUP(L27,IN_Zugliste!$A$4:$E$2002,5,FALSE),"")</f>
        <v/>
      </c>
      <c r="M226" t="str">
        <f>+IFERROR(VLOOKUP(M27,IN_Zugliste!$A$4:$E$2002,5,FALSE),"")</f>
        <v/>
      </c>
      <c r="N226" t="str">
        <f>+IFERROR(VLOOKUP(N27,IN_Zugliste!$A$4:$E$2002,5,FALSE),"")</f>
        <v/>
      </c>
      <c r="O226" t="str">
        <f>+IFERROR(VLOOKUP(O27,IN_Zugliste!$A$4:$E$2002,5,FALSE),"")</f>
        <v/>
      </c>
      <c r="P226" t="str">
        <f>+IFERROR(VLOOKUP(P27,IN_Zugliste!$A$4:$E$2002,5,FALSE),"")</f>
        <v/>
      </c>
      <c r="Q226" t="str">
        <f>+IFERROR(VLOOKUP(Q27,IN_Zugliste!$A$4:$E$2002,5,FALSE),"")</f>
        <v/>
      </c>
      <c r="R226" t="str">
        <f>+IFERROR(VLOOKUP(R27,IN_Zugliste!$A$4:$E$2002,5,FALSE),"")</f>
        <v/>
      </c>
      <c r="S226" t="str">
        <f>+IFERROR(VLOOKUP(S27,IN_Zugliste!$A$4:$E$2002,5,FALSE),"")</f>
        <v/>
      </c>
      <c r="T226" t="str">
        <f>+IFERROR(VLOOKUP(T27,IN_Zugliste!$A$4:$E$2002,5,FALSE),"")</f>
        <v/>
      </c>
      <c r="U226" t="str">
        <f>+IFERROR(VLOOKUP(U27,IN_Zugliste!$A$4:$E$2002,5,FALSE),"")</f>
        <v/>
      </c>
      <c r="V226" t="str">
        <f>+IFERROR(VLOOKUP(V27,IN_Zugliste!$A$4:$E$2002,5,FALSE),"")</f>
        <v/>
      </c>
      <c r="W226" t="str">
        <f>+IFERROR(VLOOKUP(W27,IN_Zugliste!$A$4:$E$2002,5,FALSE),"")</f>
        <v/>
      </c>
      <c r="X226" t="str">
        <f>+IFERROR(VLOOKUP(X27,IN_Zugliste!$A$4:$E$2002,5,FALSE),"")</f>
        <v/>
      </c>
      <c r="Y226" t="str">
        <f>+IFERROR(VLOOKUP(Y27,IN_Zugliste!$A$4:$E$2002,5,FALSE),"")</f>
        <v/>
      </c>
      <c r="Z226" t="str">
        <f>+IFERROR(VLOOKUP(Z27,IN_Zugliste!$A$4:$E$2002,5,FALSE),"")</f>
        <v/>
      </c>
      <c r="AA226" t="str">
        <f>+IFERROR(VLOOKUP(AA27,IN_Zugliste!$A$4:$E$2002,5,FALSE),"")</f>
        <v/>
      </c>
      <c r="AB226" t="str">
        <f>+IFERROR(VLOOKUP(AB27,IN_Zugliste!$A$4:$E$2002,5,FALSE),"")</f>
        <v/>
      </c>
      <c r="AC226" t="str">
        <f>+IFERROR(VLOOKUP(AC27,IN_Zugliste!$A$4:$E$2002,5,FALSE),"")</f>
        <v/>
      </c>
      <c r="AD226" t="str">
        <f>+IFERROR(VLOOKUP(AD27,IN_Zugliste!$A$4:$E$2002,5,FALSE),"")</f>
        <v/>
      </c>
      <c r="AE226" t="str">
        <f>+IFERROR(VLOOKUP(AE27,IN_Zugliste!$A$4:$E$2002,5,FALSE),"")</f>
        <v/>
      </c>
      <c r="AF226" t="str">
        <f>+IFERROR(VLOOKUP(AF27,IN_Zugliste!$A$4:$E$2002,5,FALSE),"")</f>
        <v/>
      </c>
      <c r="AG226" t="str">
        <f>+IFERROR(VLOOKUP(AG27,IN_Zugliste!$A$4:$E$2002,5,FALSE),"")</f>
        <v/>
      </c>
      <c r="AH226" t="str">
        <f>+IFERROR(VLOOKUP(AH27,IN_Zugliste!$A$4:$E$2002,5,FALSE),"")</f>
        <v/>
      </c>
      <c r="AI226" t="str">
        <f>+IFERROR(VLOOKUP(AI27,IN_Zugliste!$A$4:$E$2002,5,FALSE),"")</f>
        <v/>
      </c>
      <c r="AJ226" t="str">
        <f>+IFERROR(VLOOKUP(AJ27,IN_Zugliste!$A$4:$E$2002,5,FALSE),"")</f>
        <v/>
      </c>
      <c r="AK226" t="str">
        <f>+IFERROR(VLOOKUP(AK27,IN_Zugliste!$A$4:$E$2002,5,FALSE),"")</f>
        <v/>
      </c>
      <c r="AL226" t="str">
        <f>+IFERROR(VLOOKUP(AL27,IN_Zugliste!$A$4:$E$2002,5,FALSE),"")</f>
        <v/>
      </c>
      <c r="AM226" t="str">
        <f>+IFERROR(VLOOKUP(AM27,IN_Zugliste!$A$4:$E$2002,5,FALSE),"")</f>
        <v/>
      </c>
      <c r="AN226" t="str">
        <f>+IFERROR(VLOOKUP(AN27,IN_Zugliste!$A$4:$E$2002,5,FALSE),"")</f>
        <v/>
      </c>
      <c r="AO226" t="str">
        <f>+IFERROR(VLOOKUP(AO27,IN_Zugliste!$A$4:$E$2002,5,FALSE),"")</f>
        <v/>
      </c>
      <c r="AP226" t="str">
        <f>+IFERROR(VLOOKUP(AP27,IN_Zugliste!$A$4:$E$2002,5,FALSE),"")</f>
        <v/>
      </c>
      <c r="AQ226" t="str">
        <f>+IFERROR(VLOOKUP(AQ27,IN_Zugliste!$A$4:$E$2002,5,FALSE),"")</f>
        <v/>
      </c>
      <c r="AR226" t="str">
        <f>+IFERROR(VLOOKUP(AR27,IN_Zugliste!$A$4:$E$2002,5,FALSE),"")</f>
        <v/>
      </c>
      <c r="AS226" t="str">
        <f>+IFERROR(VLOOKUP(AS27,IN_Zugliste!$A$4:$E$2002,5,FALSE),"")</f>
        <v/>
      </c>
      <c r="AT226" t="str">
        <f>+IFERROR(VLOOKUP(AT27,IN_Zugliste!$A$4:$E$2002,5,FALSE),"")</f>
        <v/>
      </c>
      <c r="AU226" t="str">
        <f>+IFERROR(VLOOKUP(AU27,IN_Zugliste!$A$4:$E$2002,5,FALSE),"")</f>
        <v/>
      </c>
      <c r="AV226" t="str">
        <f>+IFERROR(VLOOKUP(AV27,IN_Zugliste!$A$4:$E$2002,5,FALSE),"")</f>
        <v/>
      </c>
      <c r="AW226" t="str">
        <f>+IFERROR(VLOOKUP(AW27,IN_Zugliste!$A$4:$E$2002,5,FALSE),"")</f>
        <v/>
      </c>
      <c r="AX226" t="str">
        <f>+IFERROR(VLOOKUP(AX27,IN_Zugliste!$A$4:$E$2002,5,FALSE),"")</f>
        <v/>
      </c>
      <c r="AY226" t="str">
        <f>+IFERROR(VLOOKUP(AY27,IN_Zugliste!$A$4:$E$2002,5,FALSE),"")</f>
        <v/>
      </c>
      <c r="AZ226" t="str">
        <f>+IFERROR(VLOOKUP(AZ27,IN_Zugliste!$A$4:$E$2002,5,FALSE),"")</f>
        <v/>
      </c>
      <c r="BA226" t="str">
        <f>+IFERROR(VLOOKUP(BA27,IN_Zugliste!$A$4:$E$2002,5,FALSE),"")</f>
        <v/>
      </c>
      <c r="BB226" t="str">
        <f>+IFERROR(VLOOKUP(BB27,IN_Zugliste!$A$4:$E$2002,5,FALSE),"")</f>
        <v/>
      </c>
      <c r="BC226" t="str">
        <f>+IFERROR(VLOOKUP(BC27,IN_Zugliste!$A$4:$E$2002,5,FALSE),"")</f>
        <v/>
      </c>
      <c r="BD226" t="str">
        <f>+IFERROR(VLOOKUP(BD27,IN_Zugliste!$A$4:$E$2002,5,FALSE),"")</f>
        <v/>
      </c>
      <c r="BE226" t="str">
        <f>+IFERROR(VLOOKUP(BE27,IN_Zugliste!$A$4:$E$2002,5,FALSE),"")</f>
        <v/>
      </c>
      <c r="BF226" t="str">
        <f>+IFERROR(VLOOKUP(BF27,IN_Zugliste!$A$4:$E$2002,5,FALSE),"")</f>
        <v/>
      </c>
      <c r="BG226" t="str">
        <f>+IFERROR(VLOOKUP(BG27,IN_Zugliste!$A$4:$E$2002,5,FALSE),"")</f>
        <v/>
      </c>
      <c r="BH226" t="str">
        <f>+IFERROR(VLOOKUP(BH27,IN_Zugliste!$A$4:$E$2002,5,FALSE),"")</f>
        <v/>
      </c>
      <c r="BI226" t="str">
        <f>+IFERROR(VLOOKUP(BI27,IN_Zugliste!$A$4:$E$2002,5,FALSE),"")</f>
        <v/>
      </c>
      <c r="BJ226" t="str">
        <f>+IFERROR(VLOOKUP(BJ27,IN_Zugliste!$A$4:$E$2002,5,FALSE),"")</f>
        <v/>
      </c>
      <c r="BK226" t="str">
        <f>+IFERROR(VLOOKUP(BK27,IN_Zugliste!$A$4:$E$2002,5,FALSE),"")</f>
        <v/>
      </c>
      <c r="BL226" t="str">
        <f>+IFERROR(VLOOKUP(BL27,IN_Zugliste!$A$4:$E$2002,5,FALSE),"")</f>
        <v/>
      </c>
      <c r="BM226" t="str">
        <f>+IFERROR(VLOOKUP(BM27,IN_Zugliste!$A$4:$E$2002,5,FALSE),"")</f>
        <v/>
      </c>
      <c r="BN226" t="str">
        <f>+IFERROR(VLOOKUP(BN27,IN_Zugliste!$A$4:$E$2002,5,FALSE),"")</f>
        <v/>
      </c>
      <c r="BO226" t="str">
        <f>+IFERROR(VLOOKUP(BO27,IN_Zugliste!$A$4:$E$2002,5,FALSE),"")</f>
        <v/>
      </c>
      <c r="BP226" t="str">
        <f>+IFERROR(VLOOKUP(BP27,IN_Zugliste!$A$4:$E$2002,5,FALSE),"")</f>
        <v/>
      </c>
      <c r="BQ226" t="str">
        <f>+IFERROR(VLOOKUP(BQ27,IN_Zugliste!$A$4:$E$2002,5,FALSE),"")</f>
        <v/>
      </c>
      <c r="BR226" t="str">
        <f>+IFERROR(VLOOKUP(BR27,IN_Zugliste!$A$4:$E$2002,5,FALSE),"")</f>
        <v/>
      </c>
      <c r="BS226" t="str">
        <f>+IFERROR(VLOOKUP(BS27,IN_Zugliste!$A$4:$E$2002,5,FALSE),"")</f>
        <v/>
      </c>
      <c r="BT226" t="str">
        <f>+IFERROR(VLOOKUP(BT27,IN_Zugliste!$A$4:$E$2002,5,FALSE),"")</f>
        <v/>
      </c>
      <c r="BU226" t="str">
        <f>+IFERROR(VLOOKUP(BU27,IN_Zugliste!$A$4:$E$2002,5,FALSE),"")</f>
        <v/>
      </c>
      <c r="BV226" t="str">
        <f>+IFERROR(VLOOKUP(BV27,IN_Zugliste!$A$4:$E$2002,5,FALSE),"")</f>
        <v/>
      </c>
      <c r="BW226" t="str">
        <f>+IFERROR(VLOOKUP(BW27,IN_Zugliste!$A$4:$E$2002,5,FALSE),"")</f>
        <v/>
      </c>
      <c r="BX226" t="str">
        <f>+IFERROR(VLOOKUP(BX27,IN_Zugliste!$A$4:$E$2002,5,FALSE),"")</f>
        <v/>
      </c>
      <c r="BY226" t="str">
        <f>+IFERROR(VLOOKUP(BY27,IN_Zugliste!$A$4:$E$2002,5,FALSE),"")</f>
        <v/>
      </c>
      <c r="BZ226" t="str">
        <f>+IFERROR(VLOOKUP(BZ27,IN_Zugliste!$A$4:$E$2002,5,FALSE),"")</f>
        <v/>
      </c>
      <c r="CA226" t="str">
        <f>+IFERROR(VLOOKUP(CA27,IN_Zugliste!$A$4:$E$2002,5,FALSE),"")</f>
        <v/>
      </c>
      <c r="CB226" t="str">
        <f>+IFERROR(VLOOKUP(CB27,IN_Zugliste!$A$4:$E$2002,5,FALSE),"")</f>
        <v/>
      </c>
      <c r="CC226" t="str">
        <f>+IFERROR(VLOOKUP(CC27,IN_Zugliste!$A$4:$E$2002,5,FALSE),"")</f>
        <v/>
      </c>
      <c r="CD226" t="str">
        <f>+IFERROR(VLOOKUP(CD27,IN_Zugliste!$A$4:$E$2002,5,FALSE),"")</f>
        <v/>
      </c>
      <c r="CE226" t="str">
        <f>+IFERROR(VLOOKUP(CE27,IN_Zugliste!$A$4:$E$2002,5,FALSE),"")</f>
        <v/>
      </c>
      <c r="CF226" t="str">
        <f>+IFERROR(VLOOKUP(CF27,IN_Zugliste!$A$4:$E$2002,5,FALSE),"")</f>
        <v/>
      </c>
      <c r="CG226" t="str">
        <f>+IFERROR(VLOOKUP(CG27,IN_Zugliste!$A$4:$E$2002,5,FALSE),"")</f>
        <v/>
      </c>
      <c r="CH226" t="str">
        <f>+IFERROR(VLOOKUP(CH27,IN_Zugliste!$A$4:$E$2002,5,FALSE),"")</f>
        <v/>
      </c>
      <c r="CI226" t="str">
        <f>+IFERROR(VLOOKUP(CI27,IN_Zugliste!$A$4:$E$2002,5,FALSE),"")</f>
        <v/>
      </c>
      <c r="CJ226" t="str">
        <f>+IFERROR(VLOOKUP(CJ27,IN_Zugliste!$A$4:$E$2002,5,FALSE),"")</f>
        <v/>
      </c>
      <c r="CK226" t="str">
        <f>+IFERROR(VLOOKUP(CK27,IN_Zugliste!$A$4:$E$2002,5,FALSE),"")</f>
        <v/>
      </c>
      <c r="CL226" t="str">
        <f>+IFERROR(VLOOKUP(CL27,IN_Zugliste!$A$4:$E$2002,5,FALSE),"")</f>
        <v/>
      </c>
      <c r="CM226" t="str">
        <f>+IFERROR(VLOOKUP(CM27,IN_Zugliste!$A$4:$E$2002,5,FALSE),"")</f>
        <v/>
      </c>
      <c r="CN226" t="str">
        <f>+IFERROR(VLOOKUP(CN27,IN_Zugliste!$A$4:$E$2002,5,FALSE),"")</f>
        <v/>
      </c>
      <c r="CO226" t="str">
        <f>+IFERROR(VLOOKUP(CO27,IN_Zugliste!$A$4:$E$2002,5,FALSE),"")</f>
        <v/>
      </c>
      <c r="CP226" t="str">
        <f>+IFERROR(VLOOKUP(CP27,IN_Zugliste!$A$4:$E$2002,5,FALSE),"")</f>
        <v/>
      </c>
      <c r="CQ226" t="str">
        <f>+IFERROR(VLOOKUP(CQ27,IN_Zugliste!$A$4:$E$2002,5,FALSE),"")</f>
        <v/>
      </c>
      <c r="CR226" t="str">
        <f>+IFERROR(VLOOKUP(CR27,IN_Zugliste!$A$4:$E$2002,5,FALSE),"")</f>
        <v/>
      </c>
      <c r="CS226" t="str">
        <f>+IFERROR(VLOOKUP(CS27,IN_Zugliste!$A$4:$E$2002,5,FALSE),"")</f>
        <v/>
      </c>
      <c r="CT226" t="str">
        <f>+IFERROR(VLOOKUP(CT27,IN_Zugliste!$A$4:$E$2002,5,FALSE),"")</f>
        <v/>
      </c>
      <c r="CU226" t="str">
        <f>+IFERROR(VLOOKUP(CU27,IN_Zugliste!$A$4:$E$2002,5,FALSE),"")</f>
        <v/>
      </c>
      <c r="CV226" t="str">
        <f>+IFERROR(VLOOKUP(CV27,IN_Zugliste!$A$4:$E$2002,5,FALSE),"")</f>
        <v/>
      </c>
      <c r="CW226" t="str">
        <f>+IFERROR(VLOOKUP(CW27,IN_Zugliste!$A$4:$E$2002,5,FALSE),"")</f>
        <v/>
      </c>
      <c r="CX226" t="str">
        <f>+IFERROR(VLOOKUP(CX27,IN_Zugliste!$A$4:$E$2002,5,FALSE),"")</f>
        <v/>
      </c>
      <c r="CY226" t="str">
        <f>+IFERROR(VLOOKUP(CY27,IN_Zugliste!$A$4:$E$2002,5,FALSE),"")</f>
        <v/>
      </c>
      <c r="CZ226" t="str">
        <f>+IFERROR(VLOOKUP(CZ27,IN_Zugliste!$A$4:$E$2002,5,FALSE),"")</f>
        <v/>
      </c>
      <c r="DA226" t="str">
        <f>+IFERROR(VLOOKUP(DA27,IN_Zugliste!$A$4:$E$2002,5,FALSE),"")</f>
        <v/>
      </c>
      <c r="DB226" t="str">
        <f>+IFERROR(VLOOKUP(DB27,IN_Zugliste!$A$4:$E$2002,5,FALSE),"")</f>
        <v/>
      </c>
      <c r="DC226" t="str">
        <f>+IFERROR(VLOOKUP(DC27,IN_Zugliste!$A$4:$E$2002,5,FALSE),"")</f>
        <v/>
      </c>
      <c r="DD226" t="str">
        <f>+IFERROR(VLOOKUP(DD27,IN_Zugliste!$A$4:$E$2002,5,FALSE),"")</f>
        <v/>
      </c>
      <c r="DE226" t="str">
        <f>+IFERROR(VLOOKUP(DE27,IN_Zugliste!$A$4:$E$2002,5,FALSE),"")</f>
        <v/>
      </c>
      <c r="DF226" t="str">
        <f>+IFERROR(VLOOKUP(DF27,IN_Zugliste!$A$4:$E$2002,5,FALSE),"")</f>
        <v/>
      </c>
      <c r="DG226" t="str">
        <f>+IFERROR(VLOOKUP(DG27,IN_Zugliste!$A$4:$E$2002,5,FALSE),"")</f>
        <v/>
      </c>
      <c r="DH226" t="str">
        <f>+IFERROR(VLOOKUP(DH27,IN_Zugliste!$A$4:$E$2002,5,FALSE),"")</f>
        <v/>
      </c>
      <c r="DI226" t="str">
        <f>+IFERROR(VLOOKUP(DI27,IN_Zugliste!$A$4:$E$2002,5,FALSE),"")</f>
        <v/>
      </c>
      <c r="DJ226" t="str">
        <f>+IFERROR(VLOOKUP(DJ27,IN_Zugliste!$A$4:$E$2002,5,FALSE),"")</f>
        <v/>
      </c>
      <c r="DK226" t="str">
        <f>+IFERROR(VLOOKUP(DK27,IN_Zugliste!$A$4:$E$2002,5,FALSE),"")</f>
        <v/>
      </c>
      <c r="DL226" t="str">
        <f>+IFERROR(VLOOKUP(DL27,IN_Zugliste!$A$4:$E$2002,5,FALSE),"")</f>
        <v/>
      </c>
      <c r="DM226" t="str">
        <f>+IFERROR(VLOOKUP(DM27,IN_Zugliste!$A$4:$E$2002,5,FALSE),"")</f>
        <v/>
      </c>
      <c r="DN226" t="str">
        <f>+IFERROR(VLOOKUP(DN27,IN_Zugliste!$A$4:$E$2002,5,FALSE),"")</f>
        <v/>
      </c>
      <c r="DO226" t="str">
        <f>+IFERROR(VLOOKUP(DO27,IN_Zugliste!$A$4:$E$2002,5,FALSE),"")</f>
        <v/>
      </c>
      <c r="DP226" t="str">
        <f>+IFERROR(VLOOKUP(DP27,IN_Zugliste!$A$4:$E$2002,5,FALSE),"")</f>
        <v/>
      </c>
      <c r="DQ226" t="str">
        <f>+IFERROR(VLOOKUP(DQ27,IN_Zugliste!$A$4:$E$2002,5,FALSE),"")</f>
        <v/>
      </c>
      <c r="DR226" t="str">
        <f>+IFERROR(VLOOKUP(DR27,IN_Zugliste!$A$4:$E$2002,5,FALSE),"")</f>
        <v/>
      </c>
      <c r="DS226" t="str">
        <f>+IFERROR(VLOOKUP(DS27,IN_Zugliste!$A$4:$E$2002,5,FALSE),"")</f>
        <v/>
      </c>
      <c r="DT226" t="str">
        <f>+IFERROR(VLOOKUP(DT27,IN_Zugliste!$A$4:$E$2002,5,FALSE),"")</f>
        <v/>
      </c>
      <c r="DU226" t="str">
        <f>+IFERROR(VLOOKUP(DU27,IN_Zugliste!$A$4:$E$2002,5,FALSE),"")</f>
        <v/>
      </c>
      <c r="DV226" t="str">
        <f>+IFERROR(VLOOKUP(DV27,IN_Zugliste!$A$4:$E$2002,5,FALSE),"")</f>
        <v/>
      </c>
      <c r="DW226" t="str">
        <f>+IFERROR(VLOOKUP(DW27,IN_Zugliste!$A$4:$E$2002,5,FALSE),"")</f>
        <v/>
      </c>
      <c r="DX226" t="str">
        <f>+IFERROR(VLOOKUP(DX27,IN_Zugliste!$A$4:$E$2002,5,FALSE),"")</f>
        <v/>
      </c>
      <c r="DY226" t="str">
        <f>+IFERROR(VLOOKUP(DY27,IN_Zugliste!$A$4:$E$2002,5,FALSE),"")</f>
        <v/>
      </c>
      <c r="DZ226" t="str">
        <f>+IFERROR(VLOOKUP(DZ27,IN_Zugliste!$A$4:$E$2002,5,FALSE),"")</f>
        <v/>
      </c>
      <c r="EA226" t="str">
        <f>+IFERROR(VLOOKUP(EA27,IN_Zugliste!$A$4:$E$2002,5,FALSE),"")</f>
        <v/>
      </c>
      <c r="EB226" t="str">
        <f>+IFERROR(VLOOKUP(EB27,IN_Zugliste!$A$4:$E$2002,5,FALSE),"")</f>
        <v/>
      </c>
      <c r="EC226" t="str">
        <f>+IFERROR(VLOOKUP(EC27,IN_Zugliste!$A$4:$E$2002,5,FALSE),"")</f>
        <v/>
      </c>
      <c r="ED226" t="str">
        <f>+IFERROR(VLOOKUP(ED27,IN_Zugliste!$A$4:$E$2002,5,FALSE),"")</f>
        <v/>
      </c>
      <c r="EE226" t="str">
        <f>+IFERROR(VLOOKUP(EE27,IN_Zugliste!$A$4:$E$2002,5,FALSE),"")</f>
        <v/>
      </c>
      <c r="EF226" t="str">
        <f>+IFERROR(VLOOKUP(EF27,IN_Zugliste!$A$4:$E$2002,5,FALSE),"")</f>
        <v/>
      </c>
      <c r="EG226" t="str">
        <f>+IFERROR(VLOOKUP(EG27,IN_Zugliste!$A$4:$E$2002,5,FALSE),"")</f>
        <v/>
      </c>
      <c r="EH226" t="str">
        <f>+IFERROR(VLOOKUP(EH27,IN_Zugliste!$A$4:$E$2002,5,FALSE),"")</f>
        <v/>
      </c>
      <c r="EI226" t="str">
        <f>+IFERROR(VLOOKUP(EI27,IN_Zugliste!$A$4:$E$2002,5,FALSE),"")</f>
        <v/>
      </c>
      <c r="EJ226" t="str">
        <f>+IFERROR(VLOOKUP(EJ27,IN_Zugliste!$A$4:$E$2002,5,FALSE),"")</f>
        <v/>
      </c>
      <c r="EK226" t="str">
        <f>+IFERROR(VLOOKUP(EK27,IN_Zugliste!$A$4:$E$2002,5,FALSE),"")</f>
        <v/>
      </c>
      <c r="EL226" t="str">
        <f>+IFERROR(VLOOKUP(EL27,IN_Zugliste!$A$4:$E$2002,5,FALSE),"")</f>
        <v/>
      </c>
      <c r="EM226" t="str">
        <f>+IFERROR(VLOOKUP(EM27,IN_Zugliste!$A$4:$E$2002,5,FALSE),"")</f>
        <v/>
      </c>
      <c r="EN226" t="str">
        <f>+IFERROR(VLOOKUP(EN27,IN_Zugliste!$A$4:$E$2002,5,FALSE),"")</f>
        <v/>
      </c>
      <c r="EO226" t="str">
        <f>+IFERROR(VLOOKUP(EO27,IN_Zugliste!$A$4:$E$2002,5,FALSE),"")</f>
        <v/>
      </c>
      <c r="EP226" t="str">
        <f>+IFERROR(VLOOKUP(EP27,IN_Zugliste!$A$4:$E$2002,5,FALSE),"")</f>
        <v/>
      </c>
      <c r="EQ226" t="str">
        <f>+IFERROR(VLOOKUP(EQ27,IN_Zugliste!$A$4:$E$2002,5,FALSE),"")</f>
        <v/>
      </c>
      <c r="ER226" t="str">
        <f>+IFERROR(VLOOKUP(ER27,IN_Zugliste!$A$4:$E$2002,5,FALSE),"")</f>
        <v/>
      </c>
      <c r="ES226" t="str">
        <f>+IFERROR(VLOOKUP(ES27,IN_Zugliste!$A$4:$E$2002,5,FALSE),"")</f>
        <v/>
      </c>
      <c r="ET226" t="str">
        <f>+IFERROR(VLOOKUP(ET27,IN_Zugliste!$A$4:$E$2002,5,FALSE),"")</f>
        <v/>
      </c>
      <c r="EU226" t="str">
        <f>+IFERROR(VLOOKUP(EU27,IN_Zugliste!$A$4:$E$2002,5,FALSE),"")</f>
        <v/>
      </c>
      <c r="EV226" t="str">
        <f>+IFERROR(VLOOKUP(EV27,IN_Zugliste!$A$4:$E$2002,5,FALSE),"")</f>
        <v/>
      </c>
      <c r="EW226" t="str">
        <f>+IFERROR(VLOOKUP(EW27,IN_Zugliste!$A$4:$E$2002,5,FALSE),"")</f>
        <v/>
      </c>
      <c r="EX226" t="str">
        <f>+IFERROR(VLOOKUP(EX27,IN_Zugliste!$A$4:$E$2002,5,FALSE),"")</f>
        <v/>
      </c>
      <c r="EY226" t="str">
        <f>+IFERROR(VLOOKUP(EY27,IN_Zugliste!$A$4:$E$2002,5,FALSE),"")</f>
        <v/>
      </c>
      <c r="EZ226" t="str">
        <f>+IFERROR(VLOOKUP(EZ27,IN_Zugliste!$A$4:$E$2002,5,FALSE),"")</f>
        <v/>
      </c>
      <c r="FA226" t="str">
        <f>+IFERROR(VLOOKUP(FA27,IN_Zugliste!$A$4:$E$2002,5,FALSE),"")</f>
        <v/>
      </c>
      <c r="FB226" t="str">
        <f>+IFERROR(VLOOKUP(FB27,IN_Zugliste!$A$4:$E$2002,5,FALSE),"")</f>
        <v/>
      </c>
      <c r="FC226" t="str">
        <f>+IFERROR(VLOOKUP(FC27,IN_Zugliste!$A$4:$E$2002,5,FALSE),"")</f>
        <v/>
      </c>
      <c r="FD226" t="str">
        <f>+IFERROR(VLOOKUP(FD27,IN_Zugliste!$A$4:$E$2002,5,FALSE),"")</f>
        <v/>
      </c>
      <c r="FE226" t="str">
        <f>+IFERROR(VLOOKUP(FE27,IN_Zugliste!$A$4:$E$2002,5,FALSE),"")</f>
        <v/>
      </c>
      <c r="FF226" t="str">
        <f>+IFERROR(VLOOKUP(FF27,IN_Zugliste!$A$4:$E$2002,5,FALSE),"")</f>
        <v/>
      </c>
      <c r="FG226" t="str">
        <f>+IFERROR(VLOOKUP(FG27,IN_Zugliste!$A$4:$E$2002,5,FALSE),"")</f>
        <v/>
      </c>
      <c r="FH226" t="str">
        <f>+IFERROR(VLOOKUP(FH27,IN_Zugliste!$A$4:$E$2002,5,FALSE),"")</f>
        <v/>
      </c>
      <c r="FI226" t="str">
        <f>+IFERROR(VLOOKUP(FI27,IN_Zugliste!$A$4:$E$2002,5,FALSE),"")</f>
        <v/>
      </c>
      <c r="FJ226" t="str">
        <f>+IFERROR(VLOOKUP(FJ27,IN_Zugliste!$A$4:$E$2002,5,FALSE),"")</f>
        <v/>
      </c>
      <c r="FK226" t="str">
        <f>+IFERROR(VLOOKUP(FK27,IN_Zugliste!$A$4:$E$2002,5,FALSE),"")</f>
        <v/>
      </c>
      <c r="FL226" t="str">
        <f>+IFERROR(VLOOKUP(FL27,IN_Zugliste!$A$4:$E$2002,5,FALSE),"")</f>
        <v/>
      </c>
      <c r="FM226" t="str">
        <f>+IFERROR(VLOOKUP(FM27,IN_Zugliste!$A$4:$D$2002,5,FALSE),"")</f>
        <v/>
      </c>
      <c r="FN226" t="str">
        <f>+IFERROR(VLOOKUP(FN27,IN_Zugliste!$A$4:$D$2002,5,FALSE),"")</f>
        <v/>
      </c>
      <c r="FO226" t="str">
        <f>+IFERROR(VLOOKUP(FO27,IN_Zugliste!$A$4:$D$2002,5,FALSE),"")</f>
        <v/>
      </c>
      <c r="FP226" t="str">
        <f>+IFERROR(VLOOKUP(FP27,IN_Zugliste!$A$4:$D$2002,5,FALSE),"")</f>
        <v/>
      </c>
      <c r="FQ226" t="str">
        <f>+IFERROR(VLOOKUP(FQ27,IN_Zugliste!$A$4:$D$2002,5,FALSE),"")</f>
        <v/>
      </c>
      <c r="FR226" t="str">
        <f>+IFERROR(VLOOKUP(FR27,IN_Zugliste!$A$4:$D$2002,5,FALSE),"")</f>
        <v/>
      </c>
      <c r="FS226" t="str">
        <f>+IFERROR(VLOOKUP(FS27,IN_Zugliste!$A$4:$D$2002,5,FALSE),"")</f>
        <v/>
      </c>
      <c r="FT226" t="str">
        <f>+IFERROR(VLOOKUP(FT27,IN_Zugliste!$A$4:$D$2002,5,FALSE),"")</f>
        <v/>
      </c>
      <c r="FU226" t="str">
        <f>+IFERROR(VLOOKUP(FU27,IN_Zugliste!$A$4:$D$2002,5,FALSE),"")</f>
        <v/>
      </c>
      <c r="FV226" t="str">
        <f>+IFERROR(VLOOKUP(FV27,IN_Zugliste!$A$4:$D$2002,5,FALSE),"")</f>
        <v/>
      </c>
      <c r="FW226" t="str">
        <f>+IFERROR(VLOOKUP(FW27,IN_Zugliste!$A$4:$D$2002,5,FALSE),"")</f>
        <v/>
      </c>
      <c r="FX226" t="str">
        <f>+IFERROR(VLOOKUP(FX27,IN_Zugliste!$A$4:$D$2002,5,FALSE),"")</f>
        <v/>
      </c>
      <c r="FY226" t="str">
        <f>+IFERROR(VLOOKUP(FY27,IN_Zugliste!$A$4:$D$2002,5,FALSE),"")</f>
        <v/>
      </c>
      <c r="FZ226" t="str">
        <f>+IFERROR(VLOOKUP(FZ27,IN_Zugliste!$A$4:$D$2002,5,FALSE),"")</f>
        <v/>
      </c>
      <c r="GA226" t="str">
        <f>+IFERROR(VLOOKUP(GA27,IN_Zugliste!$A$4:$D$2002,5,FALSE),"")</f>
        <v/>
      </c>
      <c r="GB226" t="str">
        <f>+IFERROR(VLOOKUP(GB27,IN_Zugliste!$A$4:$D$2002,5,FALSE),"")</f>
        <v/>
      </c>
      <c r="GC226" t="str">
        <f>+IFERROR(VLOOKUP(GC27,IN_Zugliste!$A$4:$D$2002,5,FALSE),"")</f>
        <v/>
      </c>
      <c r="GD226" t="str">
        <f>+IFERROR(VLOOKUP(GD27,IN_Zugliste!$A$4:$D$2002,5,FALSE),"")</f>
        <v/>
      </c>
      <c r="GE226" t="str">
        <f>+IFERROR(VLOOKUP(GE27,IN_Zugliste!$A$4:$D$2002,5,FALSE),"")</f>
        <v/>
      </c>
      <c r="GF226" t="str">
        <f>+IFERROR(VLOOKUP(GF27,IN_Zugliste!$A$4:$D$2002,5,FALSE),"")</f>
        <v/>
      </c>
      <c r="GG226" t="str">
        <f>+IFERROR(VLOOKUP(GG27,IN_Zugliste!$A$4:$D$2002,5,FALSE),"")</f>
        <v/>
      </c>
      <c r="GH226" t="str">
        <f>+IFERROR(VLOOKUP(GH27,IN_Zugliste!$A$4:$D$2002,5,FALSE),"")</f>
        <v/>
      </c>
      <c r="GI226" t="str">
        <f>+IFERROR(VLOOKUP(GI27,IN_Zugliste!$A$4:$D$2002,5,FALSE),"")</f>
        <v/>
      </c>
      <c r="GJ226" t="str">
        <f>+IFERROR(VLOOKUP(GJ27,IN_Zugliste!$A$4:$D$2002,5,FALSE),"")</f>
        <v/>
      </c>
      <c r="GK226" t="str">
        <f>+IFERROR(VLOOKUP(GK27,IN_Zugliste!$A$4:$D$2002,5,FALSE),"")</f>
        <v/>
      </c>
      <c r="GL226" t="str">
        <f>+IFERROR(VLOOKUP(GL27,IN_Zugliste!$A$4:$D$2002,5,FALSE),"")</f>
        <v/>
      </c>
      <c r="GM226" t="str">
        <f>+IFERROR(VLOOKUP(GM27,IN_Zugliste!$A$4:$D$2002,5,FALSE),"")</f>
        <v/>
      </c>
      <c r="GN226" t="str">
        <f>+IFERROR(VLOOKUP(GN27,IN_Zugliste!$A$4:$D$2002,5,FALSE),"")</f>
        <v/>
      </c>
      <c r="GO226" t="str">
        <f>+IFERROR(VLOOKUP(GO27,IN_Zugliste!$A$4:$D$2002,5,FALSE),"")</f>
        <v/>
      </c>
      <c r="GP226" t="str">
        <f>+IFERROR(VLOOKUP(GP27,IN_Zugliste!$A$4:$D$2002,5,FALSE),"")</f>
        <v/>
      </c>
      <c r="GQ226" t="str">
        <f>+IFERROR(VLOOKUP(GQ27,IN_Zugliste!$A$4:$D$2002,5,FALSE),"")</f>
        <v/>
      </c>
      <c r="GR226" t="str">
        <f>+IFERROR(VLOOKUP(GR27,IN_Zugliste!$A$4:$D$2002,5,FALSE),"")</f>
        <v/>
      </c>
      <c r="GS226" t="str">
        <f>+IFERROR(VLOOKUP(GS27,IN_Zugliste!$A$4:$D$2002,5,FALSE),"")</f>
        <v/>
      </c>
      <c r="GT226" t="str">
        <f>+IFERROR(VLOOKUP(GT27,IN_Zugliste!$A$4:$D$2002,5,FALSE),"")</f>
        <v/>
      </c>
      <c r="GU226" t="str">
        <f>+IFERROR(VLOOKUP(GU27,IN_Zugliste!$A$4:$D$2002,5,FALSE),"")</f>
        <v/>
      </c>
      <c r="GV226" t="str">
        <f>+IFERROR(VLOOKUP(GV27,IN_Zugliste!$A$4:$D$2002,5,FALSE),"")</f>
        <v/>
      </c>
      <c r="GW226" t="str">
        <f>+IFERROR(VLOOKUP(GW27,IN_Zugliste!$A$4:$D$2002,5,FALSE),"")</f>
        <v/>
      </c>
      <c r="GX226" t="str">
        <f>+IFERROR(VLOOKUP(GX27,IN_Zugliste!$A$4:$D$2002,5,FALSE),"")</f>
        <v/>
      </c>
      <c r="GY226" t="str">
        <f>+IFERROR(VLOOKUP(GY27,IN_Zugliste!$A$4:$D$2002,5,FALSE),"")</f>
        <v/>
      </c>
      <c r="GZ226" t="str">
        <f>+IFERROR(VLOOKUP(GZ27,IN_Zugliste!$A$4:$D$2002,5,FALSE),"")</f>
        <v/>
      </c>
      <c r="HA226" t="str">
        <f>+IFERROR(VLOOKUP(HA27,IN_Zugliste!$A$4:$D$2002,5,FALSE),"")</f>
        <v/>
      </c>
      <c r="HB226" t="str">
        <f>+IFERROR(VLOOKUP(HB27,IN_Zugliste!$A$4:$D$2002,5,FALSE),"")</f>
        <v/>
      </c>
      <c r="HC226" t="str">
        <f>+IFERROR(VLOOKUP(HC27,IN_Zugliste!$A$4:$D$2002,5,FALSE),"")</f>
        <v/>
      </c>
      <c r="HD226" t="str">
        <f>+IFERROR(VLOOKUP(HD27,IN_Zugliste!$A$4:$D$2002,5,FALSE),"")</f>
        <v/>
      </c>
      <c r="HE226" t="str">
        <f>+IFERROR(VLOOKUP(HE27,IN_Zugliste!$A$4:$D$2002,5,FALSE),"")</f>
        <v/>
      </c>
      <c r="HF226" t="str">
        <f>+IFERROR(VLOOKUP(HF27,IN_Zugliste!$A$4:$D$2002,5,FALSE),"")</f>
        <v/>
      </c>
      <c r="HG226" t="str">
        <f>+IFERROR(VLOOKUP(HG27,IN_Zugliste!$A$4:$D$2002,5,FALSE),"")</f>
        <v/>
      </c>
      <c r="HH226" t="str">
        <f>+IFERROR(VLOOKUP(HH27,IN_Zugliste!$A$4:$D$2002,5,FALSE),"")</f>
        <v/>
      </c>
    </row>
    <row r="227" spans="1:216" x14ac:dyDescent="0.2">
      <c r="A227" t="str">
        <f>+IFERROR(VLOOKUP(A28,IN_Zugliste!$A$4:$E$2002,5,FALSE),"")</f>
        <v/>
      </c>
      <c r="B227" t="str">
        <f>+IFERROR(VLOOKUP(B28,IN_Zugliste!$A$4:$E$2002,5,FALSE),"")</f>
        <v/>
      </c>
      <c r="C227" t="str">
        <f>+IFERROR(VLOOKUP(C28,IN_Zugliste!$A$4:$E$2002,5,FALSE),"")</f>
        <v/>
      </c>
      <c r="D227" t="str">
        <f>+IFERROR(VLOOKUP(D28,IN_Zugliste!$A$4:$E$2002,5,FALSE),"")</f>
        <v/>
      </c>
      <c r="E227" t="str">
        <f>+IFERROR(VLOOKUP(E28,IN_Zugliste!$A$4:$E$2002,5,FALSE),"")</f>
        <v/>
      </c>
      <c r="F227" t="str">
        <f>+IFERROR(VLOOKUP(F28,IN_Zugliste!$A$4:$E$2002,5,FALSE),"")</f>
        <v/>
      </c>
      <c r="G227" t="str">
        <f>+IFERROR(VLOOKUP(G28,IN_Zugliste!$A$4:$E$2002,5,FALSE),"")</f>
        <v/>
      </c>
      <c r="H227" t="str">
        <f>+IFERROR(VLOOKUP(H28,IN_Zugliste!$A$4:$E$2002,5,FALSE),"")</f>
        <v/>
      </c>
      <c r="I227" t="str">
        <f>+IFERROR(VLOOKUP(I28,IN_Zugliste!$A$4:$E$2002,5,FALSE),"")</f>
        <v/>
      </c>
      <c r="J227" t="str">
        <f>+IFERROR(VLOOKUP(J28,IN_Zugliste!$A$4:$E$2002,5,FALSE),"")</f>
        <v/>
      </c>
      <c r="K227" t="str">
        <f>+IFERROR(VLOOKUP(K28,IN_Zugliste!$A$4:$E$2002,5,FALSE),"")</f>
        <v/>
      </c>
      <c r="L227" t="str">
        <f>+IFERROR(VLOOKUP(L28,IN_Zugliste!$A$4:$E$2002,5,FALSE),"")</f>
        <v/>
      </c>
      <c r="M227" t="str">
        <f>+IFERROR(VLOOKUP(M28,IN_Zugliste!$A$4:$E$2002,5,FALSE),"")</f>
        <v/>
      </c>
      <c r="N227" t="str">
        <f>+IFERROR(VLOOKUP(N28,IN_Zugliste!$A$4:$E$2002,5,FALSE),"")</f>
        <v/>
      </c>
      <c r="O227" t="str">
        <f>+IFERROR(VLOOKUP(O28,IN_Zugliste!$A$4:$E$2002,5,FALSE),"")</f>
        <v/>
      </c>
      <c r="P227" t="str">
        <f>+IFERROR(VLOOKUP(P28,IN_Zugliste!$A$4:$E$2002,5,FALSE),"")</f>
        <v/>
      </c>
      <c r="Q227" t="str">
        <f>+IFERROR(VLOOKUP(Q28,IN_Zugliste!$A$4:$E$2002,5,FALSE),"")</f>
        <v/>
      </c>
      <c r="R227" t="str">
        <f>+IFERROR(VLOOKUP(R28,IN_Zugliste!$A$4:$E$2002,5,FALSE),"")</f>
        <v/>
      </c>
      <c r="S227" t="str">
        <f>+IFERROR(VLOOKUP(S28,IN_Zugliste!$A$4:$E$2002,5,FALSE),"")</f>
        <v/>
      </c>
      <c r="T227" t="str">
        <f>+IFERROR(VLOOKUP(T28,IN_Zugliste!$A$4:$E$2002,5,FALSE),"")</f>
        <v/>
      </c>
      <c r="U227" t="str">
        <f>+IFERROR(VLOOKUP(U28,IN_Zugliste!$A$4:$E$2002,5,FALSE),"")</f>
        <v/>
      </c>
      <c r="V227" t="str">
        <f>+IFERROR(VLOOKUP(V28,IN_Zugliste!$A$4:$E$2002,5,FALSE),"")</f>
        <v/>
      </c>
      <c r="W227" t="str">
        <f>+IFERROR(VLOOKUP(W28,IN_Zugliste!$A$4:$E$2002,5,FALSE),"")</f>
        <v/>
      </c>
      <c r="X227" t="str">
        <f>+IFERROR(VLOOKUP(X28,IN_Zugliste!$A$4:$E$2002,5,FALSE),"")</f>
        <v/>
      </c>
      <c r="Y227" t="str">
        <f>+IFERROR(VLOOKUP(Y28,IN_Zugliste!$A$4:$E$2002,5,FALSE),"")</f>
        <v/>
      </c>
      <c r="Z227" t="str">
        <f>+IFERROR(VLOOKUP(Z28,IN_Zugliste!$A$4:$E$2002,5,FALSE),"")</f>
        <v/>
      </c>
      <c r="AA227" t="str">
        <f>+IFERROR(VLOOKUP(AA28,IN_Zugliste!$A$4:$E$2002,5,FALSE),"")</f>
        <v/>
      </c>
      <c r="AB227" t="str">
        <f>+IFERROR(VLOOKUP(AB28,IN_Zugliste!$A$4:$E$2002,5,FALSE),"")</f>
        <v/>
      </c>
      <c r="AC227" t="str">
        <f>+IFERROR(VLOOKUP(AC28,IN_Zugliste!$A$4:$E$2002,5,FALSE),"")</f>
        <v/>
      </c>
      <c r="AD227" t="str">
        <f>+IFERROR(VLOOKUP(AD28,IN_Zugliste!$A$4:$E$2002,5,FALSE),"")</f>
        <v/>
      </c>
      <c r="AE227" t="str">
        <f>+IFERROR(VLOOKUP(AE28,IN_Zugliste!$A$4:$E$2002,5,FALSE),"")</f>
        <v/>
      </c>
      <c r="AF227" t="str">
        <f>+IFERROR(VLOOKUP(AF28,IN_Zugliste!$A$4:$E$2002,5,FALSE),"")</f>
        <v/>
      </c>
      <c r="AG227" t="str">
        <f>+IFERROR(VLOOKUP(AG28,IN_Zugliste!$A$4:$E$2002,5,FALSE),"")</f>
        <v/>
      </c>
      <c r="AH227" t="str">
        <f>+IFERROR(VLOOKUP(AH28,IN_Zugliste!$A$4:$E$2002,5,FALSE),"")</f>
        <v/>
      </c>
      <c r="AI227" t="str">
        <f>+IFERROR(VLOOKUP(AI28,IN_Zugliste!$A$4:$E$2002,5,FALSE),"")</f>
        <v/>
      </c>
      <c r="AJ227" t="str">
        <f>+IFERROR(VLOOKUP(AJ28,IN_Zugliste!$A$4:$E$2002,5,FALSE),"")</f>
        <v/>
      </c>
      <c r="AK227" t="str">
        <f>+IFERROR(VLOOKUP(AK28,IN_Zugliste!$A$4:$E$2002,5,FALSE),"")</f>
        <v/>
      </c>
      <c r="AL227" t="str">
        <f>+IFERROR(VLOOKUP(AL28,IN_Zugliste!$A$4:$E$2002,5,FALSE),"")</f>
        <v/>
      </c>
      <c r="AM227" t="str">
        <f>+IFERROR(VLOOKUP(AM28,IN_Zugliste!$A$4:$E$2002,5,FALSE),"")</f>
        <v/>
      </c>
      <c r="AN227" t="str">
        <f>+IFERROR(VLOOKUP(AN28,IN_Zugliste!$A$4:$E$2002,5,FALSE),"")</f>
        <v/>
      </c>
      <c r="AO227" t="str">
        <f>+IFERROR(VLOOKUP(AO28,IN_Zugliste!$A$4:$E$2002,5,FALSE),"")</f>
        <v/>
      </c>
      <c r="AP227" t="str">
        <f>+IFERROR(VLOOKUP(AP28,IN_Zugliste!$A$4:$E$2002,5,FALSE),"")</f>
        <v/>
      </c>
      <c r="AQ227" t="str">
        <f>+IFERROR(VLOOKUP(AQ28,IN_Zugliste!$A$4:$E$2002,5,FALSE),"")</f>
        <v/>
      </c>
      <c r="AR227" t="str">
        <f>+IFERROR(VLOOKUP(AR28,IN_Zugliste!$A$4:$E$2002,5,FALSE),"")</f>
        <v/>
      </c>
      <c r="AS227" t="str">
        <f>+IFERROR(VLOOKUP(AS28,IN_Zugliste!$A$4:$E$2002,5,FALSE),"")</f>
        <v/>
      </c>
      <c r="AT227" t="str">
        <f>+IFERROR(VLOOKUP(AT28,IN_Zugliste!$A$4:$E$2002,5,FALSE),"")</f>
        <v/>
      </c>
      <c r="AU227" t="str">
        <f>+IFERROR(VLOOKUP(AU28,IN_Zugliste!$A$4:$E$2002,5,FALSE),"")</f>
        <v/>
      </c>
      <c r="AV227" t="str">
        <f>+IFERROR(VLOOKUP(AV28,IN_Zugliste!$A$4:$E$2002,5,FALSE),"")</f>
        <v/>
      </c>
      <c r="AW227" t="str">
        <f>+IFERROR(VLOOKUP(AW28,IN_Zugliste!$A$4:$E$2002,5,FALSE),"")</f>
        <v/>
      </c>
      <c r="AX227" t="str">
        <f>+IFERROR(VLOOKUP(AX28,IN_Zugliste!$A$4:$E$2002,5,FALSE),"")</f>
        <v/>
      </c>
      <c r="AY227" t="str">
        <f>+IFERROR(VLOOKUP(AY28,IN_Zugliste!$A$4:$E$2002,5,FALSE),"")</f>
        <v/>
      </c>
      <c r="AZ227" t="str">
        <f>+IFERROR(VLOOKUP(AZ28,IN_Zugliste!$A$4:$E$2002,5,FALSE),"")</f>
        <v/>
      </c>
      <c r="BA227" t="str">
        <f>+IFERROR(VLOOKUP(BA28,IN_Zugliste!$A$4:$E$2002,5,FALSE),"")</f>
        <v/>
      </c>
      <c r="BB227" t="str">
        <f>+IFERROR(VLOOKUP(BB28,IN_Zugliste!$A$4:$E$2002,5,FALSE),"")</f>
        <v/>
      </c>
      <c r="BC227" t="str">
        <f>+IFERROR(VLOOKUP(BC28,IN_Zugliste!$A$4:$E$2002,5,FALSE),"")</f>
        <v/>
      </c>
      <c r="BD227" t="str">
        <f>+IFERROR(VLOOKUP(BD28,IN_Zugliste!$A$4:$E$2002,5,FALSE),"")</f>
        <v/>
      </c>
      <c r="BE227" t="str">
        <f>+IFERROR(VLOOKUP(BE28,IN_Zugliste!$A$4:$E$2002,5,FALSE),"")</f>
        <v/>
      </c>
      <c r="BF227" t="str">
        <f>+IFERROR(VLOOKUP(BF28,IN_Zugliste!$A$4:$E$2002,5,FALSE),"")</f>
        <v/>
      </c>
      <c r="BG227" t="str">
        <f>+IFERROR(VLOOKUP(BG28,IN_Zugliste!$A$4:$E$2002,5,FALSE),"")</f>
        <v/>
      </c>
      <c r="BH227" t="str">
        <f>+IFERROR(VLOOKUP(BH28,IN_Zugliste!$A$4:$E$2002,5,FALSE),"")</f>
        <v/>
      </c>
      <c r="BI227" t="str">
        <f>+IFERROR(VLOOKUP(BI28,IN_Zugliste!$A$4:$E$2002,5,FALSE),"")</f>
        <v/>
      </c>
      <c r="BJ227" t="str">
        <f>+IFERROR(VLOOKUP(BJ28,IN_Zugliste!$A$4:$E$2002,5,FALSE),"")</f>
        <v/>
      </c>
      <c r="BK227" t="str">
        <f>+IFERROR(VLOOKUP(BK28,IN_Zugliste!$A$4:$E$2002,5,FALSE),"")</f>
        <v/>
      </c>
      <c r="BL227" t="str">
        <f>+IFERROR(VLOOKUP(BL28,IN_Zugliste!$A$4:$E$2002,5,FALSE),"")</f>
        <v/>
      </c>
      <c r="BM227" t="str">
        <f>+IFERROR(VLOOKUP(BM28,IN_Zugliste!$A$4:$E$2002,5,FALSE),"")</f>
        <v/>
      </c>
      <c r="BN227" t="str">
        <f>+IFERROR(VLOOKUP(BN28,IN_Zugliste!$A$4:$E$2002,5,FALSE),"")</f>
        <v/>
      </c>
      <c r="BO227" t="str">
        <f>+IFERROR(VLOOKUP(BO28,IN_Zugliste!$A$4:$E$2002,5,FALSE),"")</f>
        <v/>
      </c>
      <c r="BP227" t="str">
        <f>+IFERROR(VLOOKUP(BP28,IN_Zugliste!$A$4:$E$2002,5,FALSE),"")</f>
        <v/>
      </c>
      <c r="BQ227" t="str">
        <f>+IFERROR(VLOOKUP(BQ28,IN_Zugliste!$A$4:$E$2002,5,FALSE),"")</f>
        <v/>
      </c>
      <c r="BR227" t="str">
        <f>+IFERROR(VLOOKUP(BR28,IN_Zugliste!$A$4:$E$2002,5,FALSE),"")</f>
        <v/>
      </c>
      <c r="BS227" t="str">
        <f>+IFERROR(VLOOKUP(BS28,IN_Zugliste!$A$4:$E$2002,5,FALSE),"")</f>
        <v/>
      </c>
      <c r="BT227" t="str">
        <f>+IFERROR(VLOOKUP(BT28,IN_Zugliste!$A$4:$E$2002,5,FALSE),"")</f>
        <v/>
      </c>
      <c r="BU227" t="str">
        <f>+IFERROR(VLOOKUP(BU28,IN_Zugliste!$A$4:$E$2002,5,FALSE),"")</f>
        <v/>
      </c>
      <c r="BV227" t="str">
        <f>+IFERROR(VLOOKUP(BV28,IN_Zugliste!$A$4:$E$2002,5,FALSE),"")</f>
        <v/>
      </c>
      <c r="BW227" t="str">
        <f>+IFERROR(VLOOKUP(BW28,IN_Zugliste!$A$4:$E$2002,5,FALSE),"")</f>
        <v/>
      </c>
      <c r="BX227" t="str">
        <f>+IFERROR(VLOOKUP(BX28,IN_Zugliste!$A$4:$E$2002,5,FALSE),"")</f>
        <v/>
      </c>
      <c r="BY227" t="str">
        <f>+IFERROR(VLOOKUP(BY28,IN_Zugliste!$A$4:$E$2002,5,FALSE),"")</f>
        <v/>
      </c>
      <c r="BZ227" t="str">
        <f>+IFERROR(VLOOKUP(BZ28,IN_Zugliste!$A$4:$E$2002,5,FALSE),"")</f>
        <v/>
      </c>
      <c r="CA227" t="str">
        <f>+IFERROR(VLOOKUP(CA28,IN_Zugliste!$A$4:$E$2002,5,FALSE),"")</f>
        <v/>
      </c>
      <c r="CB227" t="str">
        <f>+IFERROR(VLOOKUP(CB28,IN_Zugliste!$A$4:$E$2002,5,FALSE),"")</f>
        <v/>
      </c>
      <c r="CC227" t="str">
        <f>+IFERROR(VLOOKUP(CC28,IN_Zugliste!$A$4:$E$2002,5,FALSE),"")</f>
        <v/>
      </c>
      <c r="CD227" t="str">
        <f>+IFERROR(VLOOKUP(CD28,IN_Zugliste!$A$4:$E$2002,5,FALSE),"")</f>
        <v/>
      </c>
      <c r="CE227" t="str">
        <f>+IFERROR(VLOOKUP(CE28,IN_Zugliste!$A$4:$E$2002,5,FALSE),"")</f>
        <v/>
      </c>
      <c r="CF227" t="str">
        <f>+IFERROR(VLOOKUP(CF28,IN_Zugliste!$A$4:$E$2002,5,FALSE),"")</f>
        <v/>
      </c>
      <c r="CG227" t="str">
        <f>+IFERROR(VLOOKUP(CG28,IN_Zugliste!$A$4:$E$2002,5,FALSE),"")</f>
        <v/>
      </c>
      <c r="CH227" t="str">
        <f>+IFERROR(VLOOKUP(CH28,IN_Zugliste!$A$4:$E$2002,5,FALSE),"")</f>
        <v/>
      </c>
      <c r="CI227" t="str">
        <f>+IFERROR(VLOOKUP(CI28,IN_Zugliste!$A$4:$E$2002,5,FALSE),"")</f>
        <v/>
      </c>
      <c r="CJ227" t="str">
        <f>+IFERROR(VLOOKUP(CJ28,IN_Zugliste!$A$4:$E$2002,5,FALSE),"")</f>
        <v/>
      </c>
      <c r="CK227" t="str">
        <f>+IFERROR(VLOOKUP(CK28,IN_Zugliste!$A$4:$E$2002,5,FALSE),"")</f>
        <v/>
      </c>
      <c r="CL227" t="str">
        <f>+IFERROR(VLOOKUP(CL28,IN_Zugliste!$A$4:$E$2002,5,FALSE),"")</f>
        <v/>
      </c>
      <c r="CM227" t="str">
        <f>+IFERROR(VLOOKUP(CM28,IN_Zugliste!$A$4:$E$2002,5,FALSE),"")</f>
        <v/>
      </c>
      <c r="CN227" t="str">
        <f>+IFERROR(VLOOKUP(CN28,IN_Zugliste!$A$4:$E$2002,5,FALSE),"")</f>
        <v/>
      </c>
      <c r="CO227" t="str">
        <f>+IFERROR(VLOOKUP(CO28,IN_Zugliste!$A$4:$E$2002,5,FALSE),"")</f>
        <v/>
      </c>
      <c r="CP227" t="str">
        <f>+IFERROR(VLOOKUP(CP28,IN_Zugliste!$A$4:$E$2002,5,FALSE),"")</f>
        <v/>
      </c>
      <c r="CQ227" t="str">
        <f>+IFERROR(VLOOKUP(CQ28,IN_Zugliste!$A$4:$E$2002,5,FALSE),"")</f>
        <v/>
      </c>
      <c r="CR227" t="str">
        <f>+IFERROR(VLOOKUP(CR28,IN_Zugliste!$A$4:$E$2002,5,FALSE),"")</f>
        <v/>
      </c>
      <c r="CS227" t="str">
        <f>+IFERROR(VLOOKUP(CS28,IN_Zugliste!$A$4:$E$2002,5,FALSE),"")</f>
        <v/>
      </c>
      <c r="CT227" t="str">
        <f>+IFERROR(VLOOKUP(CT28,IN_Zugliste!$A$4:$E$2002,5,FALSE),"")</f>
        <v/>
      </c>
      <c r="CU227" t="str">
        <f>+IFERROR(VLOOKUP(CU28,IN_Zugliste!$A$4:$E$2002,5,FALSE),"")</f>
        <v/>
      </c>
      <c r="CV227" t="str">
        <f>+IFERROR(VLOOKUP(CV28,IN_Zugliste!$A$4:$E$2002,5,FALSE),"")</f>
        <v/>
      </c>
      <c r="CW227" t="str">
        <f>+IFERROR(VLOOKUP(CW28,IN_Zugliste!$A$4:$E$2002,5,FALSE),"")</f>
        <v/>
      </c>
      <c r="CX227" t="str">
        <f>+IFERROR(VLOOKUP(CX28,IN_Zugliste!$A$4:$E$2002,5,FALSE),"")</f>
        <v/>
      </c>
      <c r="CY227" t="str">
        <f>+IFERROR(VLOOKUP(CY28,IN_Zugliste!$A$4:$E$2002,5,FALSE),"")</f>
        <v/>
      </c>
      <c r="CZ227" t="str">
        <f>+IFERROR(VLOOKUP(CZ28,IN_Zugliste!$A$4:$E$2002,5,FALSE),"")</f>
        <v/>
      </c>
      <c r="DA227" t="str">
        <f>+IFERROR(VLOOKUP(DA28,IN_Zugliste!$A$4:$E$2002,5,FALSE),"")</f>
        <v/>
      </c>
      <c r="DB227" t="str">
        <f>+IFERROR(VLOOKUP(DB28,IN_Zugliste!$A$4:$E$2002,5,FALSE),"")</f>
        <v/>
      </c>
      <c r="DC227" t="str">
        <f>+IFERROR(VLOOKUP(DC28,IN_Zugliste!$A$4:$E$2002,5,FALSE),"")</f>
        <v/>
      </c>
      <c r="DD227" t="str">
        <f>+IFERROR(VLOOKUP(DD28,IN_Zugliste!$A$4:$E$2002,5,FALSE),"")</f>
        <v/>
      </c>
      <c r="DE227" t="str">
        <f>+IFERROR(VLOOKUP(DE28,IN_Zugliste!$A$4:$E$2002,5,FALSE),"")</f>
        <v/>
      </c>
      <c r="DF227" t="str">
        <f>+IFERROR(VLOOKUP(DF28,IN_Zugliste!$A$4:$E$2002,5,FALSE),"")</f>
        <v/>
      </c>
      <c r="DG227" t="str">
        <f>+IFERROR(VLOOKUP(DG28,IN_Zugliste!$A$4:$E$2002,5,FALSE),"")</f>
        <v/>
      </c>
      <c r="DH227" t="str">
        <f>+IFERROR(VLOOKUP(DH28,IN_Zugliste!$A$4:$E$2002,5,FALSE),"")</f>
        <v/>
      </c>
      <c r="DI227" t="str">
        <f>+IFERROR(VLOOKUP(DI28,IN_Zugliste!$A$4:$E$2002,5,FALSE),"")</f>
        <v/>
      </c>
      <c r="DJ227" t="str">
        <f>+IFERROR(VLOOKUP(DJ28,IN_Zugliste!$A$4:$E$2002,5,FALSE),"")</f>
        <v/>
      </c>
      <c r="DK227" t="str">
        <f>+IFERROR(VLOOKUP(DK28,IN_Zugliste!$A$4:$E$2002,5,FALSE),"")</f>
        <v/>
      </c>
      <c r="DL227" t="str">
        <f>+IFERROR(VLOOKUP(DL28,IN_Zugliste!$A$4:$E$2002,5,FALSE),"")</f>
        <v/>
      </c>
      <c r="DM227" t="str">
        <f>+IFERROR(VLOOKUP(DM28,IN_Zugliste!$A$4:$E$2002,5,FALSE),"")</f>
        <v/>
      </c>
      <c r="DN227" t="str">
        <f>+IFERROR(VLOOKUP(DN28,IN_Zugliste!$A$4:$E$2002,5,FALSE),"")</f>
        <v/>
      </c>
      <c r="DO227" t="str">
        <f>+IFERROR(VLOOKUP(DO28,IN_Zugliste!$A$4:$E$2002,5,FALSE),"")</f>
        <v/>
      </c>
      <c r="DP227" t="str">
        <f>+IFERROR(VLOOKUP(DP28,IN_Zugliste!$A$4:$E$2002,5,FALSE),"")</f>
        <v/>
      </c>
      <c r="DQ227" t="str">
        <f>+IFERROR(VLOOKUP(DQ28,IN_Zugliste!$A$4:$E$2002,5,FALSE),"")</f>
        <v/>
      </c>
      <c r="DR227" t="str">
        <f>+IFERROR(VLOOKUP(DR28,IN_Zugliste!$A$4:$E$2002,5,FALSE),"")</f>
        <v/>
      </c>
      <c r="DS227" t="str">
        <f>+IFERROR(VLOOKUP(DS28,IN_Zugliste!$A$4:$E$2002,5,FALSE),"")</f>
        <v/>
      </c>
      <c r="DT227" t="str">
        <f>+IFERROR(VLOOKUP(DT28,IN_Zugliste!$A$4:$E$2002,5,FALSE),"")</f>
        <v/>
      </c>
      <c r="DU227" t="str">
        <f>+IFERROR(VLOOKUP(DU28,IN_Zugliste!$A$4:$E$2002,5,FALSE),"")</f>
        <v/>
      </c>
      <c r="DV227" t="str">
        <f>+IFERROR(VLOOKUP(DV28,IN_Zugliste!$A$4:$E$2002,5,FALSE),"")</f>
        <v/>
      </c>
      <c r="DW227" t="str">
        <f>+IFERROR(VLOOKUP(DW28,IN_Zugliste!$A$4:$E$2002,5,FALSE),"")</f>
        <v/>
      </c>
      <c r="DX227" t="str">
        <f>+IFERROR(VLOOKUP(DX28,IN_Zugliste!$A$4:$E$2002,5,FALSE),"")</f>
        <v/>
      </c>
      <c r="DY227" t="str">
        <f>+IFERROR(VLOOKUP(DY28,IN_Zugliste!$A$4:$E$2002,5,FALSE),"")</f>
        <v/>
      </c>
      <c r="DZ227" t="str">
        <f>+IFERROR(VLOOKUP(DZ28,IN_Zugliste!$A$4:$E$2002,5,FALSE),"")</f>
        <v/>
      </c>
      <c r="EA227" t="str">
        <f>+IFERROR(VLOOKUP(EA28,IN_Zugliste!$A$4:$E$2002,5,FALSE),"")</f>
        <v/>
      </c>
      <c r="EB227" t="str">
        <f>+IFERROR(VLOOKUP(EB28,IN_Zugliste!$A$4:$E$2002,5,FALSE),"")</f>
        <v/>
      </c>
      <c r="EC227" t="str">
        <f>+IFERROR(VLOOKUP(EC28,IN_Zugliste!$A$4:$E$2002,5,FALSE),"")</f>
        <v/>
      </c>
      <c r="ED227" t="str">
        <f>+IFERROR(VLOOKUP(ED28,IN_Zugliste!$A$4:$E$2002,5,FALSE),"")</f>
        <v/>
      </c>
      <c r="EE227" t="str">
        <f>+IFERROR(VLOOKUP(EE28,IN_Zugliste!$A$4:$E$2002,5,FALSE),"")</f>
        <v/>
      </c>
      <c r="EF227" t="str">
        <f>+IFERROR(VLOOKUP(EF28,IN_Zugliste!$A$4:$E$2002,5,FALSE),"")</f>
        <v/>
      </c>
      <c r="EG227" t="str">
        <f>+IFERROR(VLOOKUP(EG28,IN_Zugliste!$A$4:$E$2002,5,FALSE),"")</f>
        <v/>
      </c>
      <c r="EH227" t="str">
        <f>+IFERROR(VLOOKUP(EH28,IN_Zugliste!$A$4:$E$2002,5,FALSE),"")</f>
        <v/>
      </c>
      <c r="EI227" t="str">
        <f>+IFERROR(VLOOKUP(EI28,IN_Zugliste!$A$4:$E$2002,5,FALSE),"")</f>
        <v/>
      </c>
      <c r="EJ227" t="str">
        <f>+IFERROR(VLOOKUP(EJ28,IN_Zugliste!$A$4:$E$2002,5,FALSE),"")</f>
        <v/>
      </c>
      <c r="EK227" t="str">
        <f>+IFERROR(VLOOKUP(EK28,IN_Zugliste!$A$4:$E$2002,5,FALSE),"")</f>
        <v/>
      </c>
      <c r="EL227" t="str">
        <f>+IFERROR(VLOOKUP(EL28,IN_Zugliste!$A$4:$E$2002,5,FALSE),"")</f>
        <v/>
      </c>
      <c r="EM227" t="str">
        <f>+IFERROR(VLOOKUP(EM28,IN_Zugliste!$A$4:$E$2002,5,FALSE),"")</f>
        <v/>
      </c>
      <c r="EN227" t="str">
        <f>+IFERROR(VLOOKUP(EN28,IN_Zugliste!$A$4:$E$2002,5,FALSE),"")</f>
        <v/>
      </c>
      <c r="EO227" t="str">
        <f>+IFERROR(VLOOKUP(EO28,IN_Zugliste!$A$4:$E$2002,5,FALSE),"")</f>
        <v/>
      </c>
      <c r="EP227" t="str">
        <f>+IFERROR(VLOOKUP(EP28,IN_Zugliste!$A$4:$E$2002,5,FALSE),"")</f>
        <v/>
      </c>
      <c r="EQ227" t="str">
        <f>+IFERROR(VLOOKUP(EQ28,IN_Zugliste!$A$4:$E$2002,5,FALSE),"")</f>
        <v/>
      </c>
      <c r="ER227" t="str">
        <f>+IFERROR(VLOOKUP(ER28,IN_Zugliste!$A$4:$E$2002,5,FALSE),"")</f>
        <v/>
      </c>
      <c r="ES227" t="str">
        <f>+IFERROR(VLOOKUP(ES28,IN_Zugliste!$A$4:$E$2002,5,FALSE),"")</f>
        <v/>
      </c>
      <c r="ET227" t="str">
        <f>+IFERROR(VLOOKUP(ET28,IN_Zugliste!$A$4:$E$2002,5,FALSE),"")</f>
        <v/>
      </c>
      <c r="EU227" t="str">
        <f>+IFERROR(VLOOKUP(EU28,IN_Zugliste!$A$4:$E$2002,5,FALSE),"")</f>
        <v/>
      </c>
      <c r="EV227" t="str">
        <f>+IFERROR(VLOOKUP(EV28,IN_Zugliste!$A$4:$E$2002,5,FALSE),"")</f>
        <v/>
      </c>
      <c r="EW227" t="str">
        <f>+IFERROR(VLOOKUP(EW28,IN_Zugliste!$A$4:$E$2002,5,FALSE),"")</f>
        <v/>
      </c>
      <c r="EX227" t="str">
        <f>+IFERROR(VLOOKUP(EX28,IN_Zugliste!$A$4:$E$2002,5,FALSE),"")</f>
        <v/>
      </c>
      <c r="EY227" t="str">
        <f>+IFERROR(VLOOKUP(EY28,IN_Zugliste!$A$4:$E$2002,5,FALSE),"")</f>
        <v/>
      </c>
      <c r="EZ227" t="str">
        <f>+IFERROR(VLOOKUP(EZ28,IN_Zugliste!$A$4:$E$2002,5,FALSE),"")</f>
        <v/>
      </c>
      <c r="FA227" t="str">
        <f>+IFERROR(VLOOKUP(FA28,IN_Zugliste!$A$4:$E$2002,5,FALSE),"")</f>
        <v/>
      </c>
      <c r="FB227" t="str">
        <f>+IFERROR(VLOOKUP(FB28,IN_Zugliste!$A$4:$E$2002,5,FALSE),"")</f>
        <v/>
      </c>
      <c r="FC227" t="str">
        <f>+IFERROR(VLOOKUP(FC28,IN_Zugliste!$A$4:$E$2002,5,FALSE),"")</f>
        <v/>
      </c>
      <c r="FD227" t="str">
        <f>+IFERROR(VLOOKUP(FD28,IN_Zugliste!$A$4:$E$2002,5,FALSE),"")</f>
        <v/>
      </c>
      <c r="FE227" t="str">
        <f>+IFERROR(VLOOKUP(FE28,IN_Zugliste!$A$4:$E$2002,5,FALSE),"")</f>
        <v/>
      </c>
      <c r="FF227" t="str">
        <f>+IFERROR(VLOOKUP(FF28,IN_Zugliste!$A$4:$E$2002,5,FALSE),"")</f>
        <v/>
      </c>
      <c r="FG227" t="str">
        <f>+IFERROR(VLOOKUP(FG28,IN_Zugliste!$A$4:$E$2002,5,FALSE),"")</f>
        <v/>
      </c>
      <c r="FH227" t="str">
        <f>+IFERROR(VLOOKUP(FH28,IN_Zugliste!$A$4:$E$2002,5,FALSE),"")</f>
        <v/>
      </c>
      <c r="FI227" t="str">
        <f>+IFERROR(VLOOKUP(FI28,IN_Zugliste!$A$4:$E$2002,5,FALSE),"")</f>
        <v/>
      </c>
      <c r="FJ227" t="str">
        <f>+IFERROR(VLOOKUP(FJ28,IN_Zugliste!$A$4:$E$2002,5,FALSE),"")</f>
        <v/>
      </c>
      <c r="FK227" t="str">
        <f>+IFERROR(VLOOKUP(FK28,IN_Zugliste!$A$4:$E$2002,5,FALSE),"")</f>
        <v/>
      </c>
      <c r="FL227" t="str">
        <f>+IFERROR(VLOOKUP(FL28,IN_Zugliste!$A$4:$E$2002,5,FALSE),"")</f>
        <v/>
      </c>
      <c r="FM227" t="str">
        <f>+IFERROR(VLOOKUP(FM28,IN_Zugliste!$A$4:$D$2002,5,FALSE),"")</f>
        <v/>
      </c>
      <c r="FN227" t="str">
        <f>+IFERROR(VLOOKUP(FN28,IN_Zugliste!$A$4:$D$2002,5,FALSE),"")</f>
        <v/>
      </c>
      <c r="FO227" t="str">
        <f>+IFERROR(VLOOKUP(FO28,IN_Zugliste!$A$4:$D$2002,5,FALSE),"")</f>
        <v/>
      </c>
      <c r="FP227" t="str">
        <f>+IFERROR(VLOOKUP(FP28,IN_Zugliste!$A$4:$D$2002,5,FALSE),"")</f>
        <v/>
      </c>
      <c r="FQ227" t="str">
        <f>+IFERROR(VLOOKUP(FQ28,IN_Zugliste!$A$4:$D$2002,5,FALSE),"")</f>
        <v/>
      </c>
      <c r="FR227" t="str">
        <f>+IFERROR(VLOOKUP(FR28,IN_Zugliste!$A$4:$D$2002,5,FALSE),"")</f>
        <v/>
      </c>
      <c r="FS227" t="str">
        <f>+IFERROR(VLOOKUP(FS28,IN_Zugliste!$A$4:$D$2002,5,FALSE),"")</f>
        <v/>
      </c>
      <c r="FT227" t="str">
        <f>+IFERROR(VLOOKUP(FT28,IN_Zugliste!$A$4:$D$2002,5,FALSE),"")</f>
        <v/>
      </c>
      <c r="FU227" t="str">
        <f>+IFERROR(VLOOKUP(FU28,IN_Zugliste!$A$4:$D$2002,5,FALSE),"")</f>
        <v/>
      </c>
      <c r="FV227" t="str">
        <f>+IFERROR(VLOOKUP(FV28,IN_Zugliste!$A$4:$D$2002,5,FALSE),"")</f>
        <v/>
      </c>
      <c r="FW227" t="str">
        <f>+IFERROR(VLOOKUP(FW28,IN_Zugliste!$A$4:$D$2002,5,FALSE),"")</f>
        <v/>
      </c>
      <c r="FX227" t="str">
        <f>+IFERROR(VLOOKUP(FX28,IN_Zugliste!$A$4:$D$2002,5,FALSE),"")</f>
        <v/>
      </c>
      <c r="FY227" t="str">
        <f>+IFERROR(VLOOKUP(FY28,IN_Zugliste!$A$4:$D$2002,5,FALSE),"")</f>
        <v/>
      </c>
      <c r="FZ227" t="str">
        <f>+IFERROR(VLOOKUP(FZ28,IN_Zugliste!$A$4:$D$2002,5,FALSE),"")</f>
        <v/>
      </c>
      <c r="GA227" t="str">
        <f>+IFERROR(VLOOKUP(GA28,IN_Zugliste!$A$4:$D$2002,5,FALSE),"")</f>
        <v/>
      </c>
      <c r="GB227" t="str">
        <f>+IFERROR(VLOOKUP(GB28,IN_Zugliste!$A$4:$D$2002,5,FALSE),"")</f>
        <v/>
      </c>
      <c r="GC227" t="str">
        <f>+IFERROR(VLOOKUP(GC28,IN_Zugliste!$A$4:$D$2002,5,FALSE),"")</f>
        <v/>
      </c>
      <c r="GD227" t="str">
        <f>+IFERROR(VLOOKUP(GD28,IN_Zugliste!$A$4:$D$2002,5,FALSE),"")</f>
        <v/>
      </c>
      <c r="GE227" t="str">
        <f>+IFERROR(VLOOKUP(GE28,IN_Zugliste!$A$4:$D$2002,5,FALSE),"")</f>
        <v/>
      </c>
      <c r="GF227" t="str">
        <f>+IFERROR(VLOOKUP(GF28,IN_Zugliste!$A$4:$D$2002,5,FALSE),"")</f>
        <v/>
      </c>
      <c r="GG227" t="str">
        <f>+IFERROR(VLOOKUP(GG28,IN_Zugliste!$A$4:$D$2002,5,FALSE),"")</f>
        <v/>
      </c>
      <c r="GH227" t="str">
        <f>+IFERROR(VLOOKUP(GH28,IN_Zugliste!$A$4:$D$2002,5,FALSE),"")</f>
        <v/>
      </c>
      <c r="GI227" t="str">
        <f>+IFERROR(VLOOKUP(GI28,IN_Zugliste!$A$4:$D$2002,5,FALSE),"")</f>
        <v/>
      </c>
      <c r="GJ227" t="str">
        <f>+IFERROR(VLOOKUP(GJ28,IN_Zugliste!$A$4:$D$2002,5,FALSE),"")</f>
        <v/>
      </c>
      <c r="GK227" t="str">
        <f>+IFERROR(VLOOKUP(GK28,IN_Zugliste!$A$4:$D$2002,5,FALSE),"")</f>
        <v/>
      </c>
      <c r="GL227" t="str">
        <f>+IFERROR(VLOOKUP(GL28,IN_Zugliste!$A$4:$D$2002,5,FALSE),"")</f>
        <v/>
      </c>
      <c r="GM227" t="str">
        <f>+IFERROR(VLOOKUP(GM28,IN_Zugliste!$A$4:$D$2002,5,FALSE),"")</f>
        <v/>
      </c>
      <c r="GN227" t="str">
        <f>+IFERROR(VLOOKUP(GN28,IN_Zugliste!$A$4:$D$2002,5,FALSE),"")</f>
        <v/>
      </c>
      <c r="GO227" t="str">
        <f>+IFERROR(VLOOKUP(GO28,IN_Zugliste!$A$4:$D$2002,5,FALSE),"")</f>
        <v/>
      </c>
      <c r="GP227" t="str">
        <f>+IFERROR(VLOOKUP(GP28,IN_Zugliste!$A$4:$D$2002,5,FALSE),"")</f>
        <v/>
      </c>
      <c r="GQ227" t="str">
        <f>+IFERROR(VLOOKUP(GQ28,IN_Zugliste!$A$4:$D$2002,5,FALSE),"")</f>
        <v/>
      </c>
      <c r="GR227" t="str">
        <f>+IFERROR(VLOOKUP(GR28,IN_Zugliste!$A$4:$D$2002,5,FALSE),"")</f>
        <v/>
      </c>
      <c r="GS227" t="str">
        <f>+IFERROR(VLOOKUP(GS28,IN_Zugliste!$A$4:$D$2002,5,FALSE),"")</f>
        <v/>
      </c>
      <c r="GT227" t="str">
        <f>+IFERROR(VLOOKUP(GT28,IN_Zugliste!$A$4:$D$2002,5,FALSE),"")</f>
        <v/>
      </c>
      <c r="GU227" t="str">
        <f>+IFERROR(VLOOKUP(GU28,IN_Zugliste!$A$4:$D$2002,5,FALSE),"")</f>
        <v/>
      </c>
      <c r="GV227" t="str">
        <f>+IFERROR(VLOOKUP(GV28,IN_Zugliste!$A$4:$D$2002,5,FALSE),"")</f>
        <v/>
      </c>
      <c r="GW227" t="str">
        <f>+IFERROR(VLOOKUP(GW28,IN_Zugliste!$A$4:$D$2002,5,FALSE),"")</f>
        <v/>
      </c>
      <c r="GX227" t="str">
        <f>+IFERROR(VLOOKUP(GX28,IN_Zugliste!$A$4:$D$2002,5,FALSE),"")</f>
        <v/>
      </c>
      <c r="GY227" t="str">
        <f>+IFERROR(VLOOKUP(GY28,IN_Zugliste!$A$4:$D$2002,5,FALSE),"")</f>
        <v/>
      </c>
      <c r="GZ227" t="str">
        <f>+IFERROR(VLOOKUP(GZ28,IN_Zugliste!$A$4:$D$2002,5,FALSE),"")</f>
        <v/>
      </c>
      <c r="HA227" t="str">
        <f>+IFERROR(VLOOKUP(HA28,IN_Zugliste!$A$4:$D$2002,5,FALSE),"")</f>
        <v/>
      </c>
      <c r="HB227" t="str">
        <f>+IFERROR(VLOOKUP(HB28,IN_Zugliste!$A$4:$D$2002,5,FALSE),"")</f>
        <v/>
      </c>
      <c r="HC227" t="str">
        <f>+IFERROR(VLOOKUP(HC28,IN_Zugliste!$A$4:$D$2002,5,FALSE),"")</f>
        <v/>
      </c>
      <c r="HD227" t="str">
        <f>+IFERROR(VLOOKUP(HD28,IN_Zugliste!$A$4:$D$2002,5,FALSE),"")</f>
        <v/>
      </c>
      <c r="HE227" t="str">
        <f>+IFERROR(VLOOKUP(HE28,IN_Zugliste!$A$4:$D$2002,5,FALSE),"")</f>
        <v/>
      </c>
      <c r="HF227" t="str">
        <f>+IFERROR(VLOOKUP(HF28,IN_Zugliste!$A$4:$D$2002,5,FALSE),"")</f>
        <v/>
      </c>
      <c r="HG227" t="str">
        <f>+IFERROR(VLOOKUP(HG28,IN_Zugliste!$A$4:$D$2002,5,FALSE),"")</f>
        <v/>
      </c>
      <c r="HH227" t="str">
        <f>+IFERROR(VLOOKUP(HH28,IN_Zugliste!$A$4:$D$2002,5,FALSE),"")</f>
        <v/>
      </c>
    </row>
    <row r="228" spans="1:216" x14ac:dyDescent="0.2">
      <c r="A228" t="str">
        <f>+IFERROR(VLOOKUP(A29,IN_Zugliste!$A$4:$E$2002,5,FALSE),"")</f>
        <v/>
      </c>
      <c r="B228" t="str">
        <f>+IFERROR(VLOOKUP(B29,IN_Zugliste!$A$4:$E$2002,5,FALSE),"")</f>
        <v/>
      </c>
      <c r="C228" t="str">
        <f>+IFERROR(VLOOKUP(C29,IN_Zugliste!$A$4:$E$2002,5,FALSE),"")</f>
        <v/>
      </c>
      <c r="D228" t="str">
        <f>+IFERROR(VLOOKUP(D29,IN_Zugliste!$A$4:$E$2002,5,FALSE),"")</f>
        <v/>
      </c>
      <c r="E228" t="str">
        <f>+IFERROR(VLOOKUP(E29,IN_Zugliste!$A$4:$E$2002,5,FALSE),"")</f>
        <v/>
      </c>
      <c r="F228" t="str">
        <f>+IFERROR(VLOOKUP(F29,IN_Zugliste!$A$4:$E$2002,5,FALSE),"")</f>
        <v/>
      </c>
      <c r="G228" t="str">
        <f>+IFERROR(VLOOKUP(G29,IN_Zugliste!$A$4:$E$2002,5,FALSE),"")</f>
        <v/>
      </c>
      <c r="H228" t="str">
        <f>+IFERROR(VLOOKUP(H29,IN_Zugliste!$A$4:$E$2002,5,FALSE),"")</f>
        <v/>
      </c>
      <c r="I228" t="str">
        <f>+IFERROR(VLOOKUP(I29,IN_Zugliste!$A$4:$E$2002,5,FALSE),"")</f>
        <v/>
      </c>
      <c r="J228" t="str">
        <f>+IFERROR(VLOOKUP(J29,IN_Zugliste!$A$4:$E$2002,5,FALSE),"")</f>
        <v/>
      </c>
      <c r="K228" t="str">
        <f>+IFERROR(VLOOKUP(K29,IN_Zugliste!$A$4:$E$2002,5,FALSE),"")</f>
        <v/>
      </c>
      <c r="L228" t="str">
        <f>+IFERROR(VLOOKUP(L29,IN_Zugliste!$A$4:$E$2002,5,FALSE),"")</f>
        <v/>
      </c>
      <c r="M228" t="str">
        <f>+IFERROR(VLOOKUP(M29,IN_Zugliste!$A$4:$E$2002,5,FALSE),"")</f>
        <v/>
      </c>
      <c r="N228" t="str">
        <f>+IFERROR(VLOOKUP(N29,IN_Zugliste!$A$4:$E$2002,5,FALSE),"")</f>
        <v/>
      </c>
      <c r="O228" t="str">
        <f>+IFERROR(VLOOKUP(O29,IN_Zugliste!$A$4:$E$2002,5,FALSE),"")</f>
        <v/>
      </c>
      <c r="P228" t="str">
        <f>+IFERROR(VLOOKUP(P29,IN_Zugliste!$A$4:$E$2002,5,FALSE),"")</f>
        <v/>
      </c>
      <c r="Q228" t="str">
        <f>+IFERROR(VLOOKUP(Q29,IN_Zugliste!$A$4:$E$2002,5,FALSE),"")</f>
        <v/>
      </c>
      <c r="R228" t="str">
        <f>+IFERROR(VLOOKUP(R29,IN_Zugliste!$A$4:$E$2002,5,FALSE),"")</f>
        <v/>
      </c>
      <c r="S228" t="str">
        <f>+IFERROR(VLOOKUP(S29,IN_Zugliste!$A$4:$E$2002,5,FALSE),"")</f>
        <v/>
      </c>
      <c r="T228" t="str">
        <f>+IFERROR(VLOOKUP(T29,IN_Zugliste!$A$4:$E$2002,5,FALSE),"")</f>
        <v/>
      </c>
      <c r="U228" t="str">
        <f>+IFERROR(VLOOKUP(U29,IN_Zugliste!$A$4:$E$2002,5,FALSE),"")</f>
        <v/>
      </c>
      <c r="V228" t="str">
        <f>+IFERROR(VLOOKUP(V29,IN_Zugliste!$A$4:$E$2002,5,FALSE),"")</f>
        <v/>
      </c>
      <c r="W228" t="str">
        <f>+IFERROR(VLOOKUP(W29,IN_Zugliste!$A$4:$E$2002,5,FALSE),"")</f>
        <v/>
      </c>
      <c r="X228" t="str">
        <f>+IFERROR(VLOOKUP(X29,IN_Zugliste!$A$4:$E$2002,5,FALSE),"")</f>
        <v/>
      </c>
      <c r="Y228" t="str">
        <f>+IFERROR(VLOOKUP(Y29,IN_Zugliste!$A$4:$E$2002,5,FALSE),"")</f>
        <v/>
      </c>
      <c r="Z228" t="str">
        <f>+IFERROR(VLOOKUP(Z29,IN_Zugliste!$A$4:$E$2002,5,FALSE),"")</f>
        <v/>
      </c>
      <c r="AA228" t="str">
        <f>+IFERROR(VLOOKUP(AA29,IN_Zugliste!$A$4:$E$2002,5,FALSE),"")</f>
        <v/>
      </c>
      <c r="AB228" t="str">
        <f>+IFERROR(VLOOKUP(AB29,IN_Zugliste!$A$4:$E$2002,5,FALSE),"")</f>
        <v/>
      </c>
      <c r="AC228" t="str">
        <f>+IFERROR(VLOOKUP(AC29,IN_Zugliste!$A$4:$E$2002,5,FALSE),"")</f>
        <v/>
      </c>
      <c r="AD228" t="str">
        <f>+IFERROR(VLOOKUP(AD29,IN_Zugliste!$A$4:$E$2002,5,FALSE),"")</f>
        <v/>
      </c>
      <c r="AE228" t="str">
        <f>+IFERROR(VLOOKUP(AE29,IN_Zugliste!$A$4:$E$2002,5,FALSE),"")</f>
        <v/>
      </c>
      <c r="AF228" t="str">
        <f>+IFERROR(VLOOKUP(AF29,IN_Zugliste!$A$4:$E$2002,5,FALSE),"")</f>
        <v/>
      </c>
      <c r="AG228" t="str">
        <f>+IFERROR(VLOOKUP(AG29,IN_Zugliste!$A$4:$E$2002,5,FALSE),"")</f>
        <v/>
      </c>
      <c r="AH228" t="str">
        <f>+IFERROR(VLOOKUP(AH29,IN_Zugliste!$A$4:$E$2002,5,FALSE),"")</f>
        <v/>
      </c>
      <c r="AI228" t="str">
        <f>+IFERROR(VLOOKUP(AI29,IN_Zugliste!$A$4:$E$2002,5,FALSE),"")</f>
        <v/>
      </c>
      <c r="AJ228" t="str">
        <f>+IFERROR(VLOOKUP(AJ29,IN_Zugliste!$A$4:$E$2002,5,FALSE),"")</f>
        <v/>
      </c>
      <c r="AK228" t="str">
        <f>+IFERROR(VLOOKUP(AK29,IN_Zugliste!$A$4:$E$2002,5,FALSE),"")</f>
        <v/>
      </c>
      <c r="AL228" t="str">
        <f>+IFERROR(VLOOKUP(AL29,IN_Zugliste!$A$4:$E$2002,5,FALSE),"")</f>
        <v/>
      </c>
      <c r="AM228" t="str">
        <f>+IFERROR(VLOOKUP(AM29,IN_Zugliste!$A$4:$E$2002,5,FALSE),"")</f>
        <v/>
      </c>
      <c r="AN228" t="str">
        <f>+IFERROR(VLOOKUP(AN29,IN_Zugliste!$A$4:$E$2002,5,FALSE),"")</f>
        <v/>
      </c>
      <c r="AO228" t="str">
        <f>+IFERROR(VLOOKUP(AO29,IN_Zugliste!$A$4:$E$2002,5,FALSE),"")</f>
        <v/>
      </c>
      <c r="AP228" t="str">
        <f>+IFERROR(VLOOKUP(AP29,IN_Zugliste!$A$4:$E$2002,5,FALSE),"")</f>
        <v/>
      </c>
      <c r="AQ228" t="str">
        <f>+IFERROR(VLOOKUP(AQ29,IN_Zugliste!$A$4:$E$2002,5,FALSE),"")</f>
        <v/>
      </c>
      <c r="AR228" t="str">
        <f>+IFERROR(VLOOKUP(AR29,IN_Zugliste!$A$4:$E$2002,5,FALSE),"")</f>
        <v/>
      </c>
      <c r="AS228" t="str">
        <f>+IFERROR(VLOOKUP(AS29,IN_Zugliste!$A$4:$E$2002,5,FALSE),"")</f>
        <v/>
      </c>
      <c r="AT228" t="str">
        <f>+IFERROR(VLOOKUP(AT29,IN_Zugliste!$A$4:$E$2002,5,FALSE),"")</f>
        <v/>
      </c>
      <c r="AU228" t="str">
        <f>+IFERROR(VLOOKUP(AU29,IN_Zugliste!$A$4:$E$2002,5,FALSE),"")</f>
        <v/>
      </c>
      <c r="AV228" t="str">
        <f>+IFERROR(VLOOKUP(AV29,IN_Zugliste!$A$4:$E$2002,5,FALSE),"")</f>
        <v/>
      </c>
      <c r="AW228" t="str">
        <f>+IFERROR(VLOOKUP(AW29,IN_Zugliste!$A$4:$E$2002,5,FALSE),"")</f>
        <v/>
      </c>
      <c r="AX228" t="str">
        <f>+IFERROR(VLOOKUP(AX29,IN_Zugliste!$A$4:$E$2002,5,FALSE),"")</f>
        <v/>
      </c>
      <c r="AY228" t="str">
        <f>+IFERROR(VLOOKUP(AY29,IN_Zugliste!$A$4:$E$2002,5,FALSE),"")</f>
        <v/>
      </c>
      <c r="AZ228" t="str">
        <f>+IFERROR(VLOOKUP(AZ29,IN_Zugliste!$A$4:$E$2002,5,FALSE),"")</f>
        <v/>
      </c>
      <c r="BA228" t="str">
        <f>+IFERROR(VLOOKUP(BA29,IN_Zugliste!$A$4:$E$2002,5,FALSE),"")</f>
        <v/>
      </c>
      <c r="BB228" t="str">
        <f>+IFERROR(VLOOKUP(BB29,IN_Zugliste!$A$4:$E$2002,5,FALSE),"")</f>
        <v/>
      </c>
      <c r="BC228" t="str">
        <f>+IFERROR(VLOOKUP(BC29,IN_Zugliste!$A$4:$E$2002,5,FALSE),"")</f>
        <v/>
      </c>
      <c r="BD228" t="str">
        <f>+IFERROR(VLOOKUP(BD29,IN_Zugliste!$A$4:$E$2002,5,FALSE),"")</f>
        <v/>
      </c>
      <c r="BE228" t="str">
        <f>+IFERROR(VLOOKUP(BE29,IN_Zugliste!$A$4:$E$2002,5,FALSE),"")</f>
        <v/>
      </c>
      <c r="BF228" t="str">
        <f>+IFERROR(VLOOKUP(BF29,IN_Zugliste!$A$4:$E$2002,5,FALSE),"")</f>
        <v/>
      </c>
      <c r="BG228" t="str">
        <f>+IFERROR(VLOOKUP(BG29,IN_Zugliste!$A$4:$E$2002,5,FALSE),"")</f>
        <v/>
      </c>
      <c r="BH228" t="str">
        <f>+IFERROR(VLOOKUP(BH29,IN_Zugliste!$A$4:$E$2002,5,FALSE),"")</f>
        <v/>
      </c>
      <c r="BI228" t="str">
        <f>+IFERROR(VLOOKUP(BI29,IN_Zugliste!$A$4:$E$2002,5,FALSE),"")</f>
        <v/>
      </c>
      <c r="BJ228" t="str">
        <f>+IFERROR(VLOOKUP(BJ29,IN_Zugliste!$A$4:$E$2002,5,FALSE),"")</f>
        <v/>
      </c>
      <c r="BK228" t="str">
        <f>+IFERROR(VLOOKUP(BK29,IN_Zugliste!$A$4:$E$2002,5,FALSE),"")</f>
        <v/>
      </c>
      <c r="BL228" t="str">
        <f>+IFERROR(VLOOKUP(BL29,IN_Zugliste!$A$4:$E$2002,5,FALSE),"")</f>
        <v/>
      </c>
      <c r="BM228" t="str">
        <f>+IFERROR(VLOOKUP(BM29,IN_Zugliste!$A$4:$E$2002,5,FALSE),"")</f>
        <v/>
      </c>
      <c r="BN228" t="str">
        <f>+IFERROR(VLOOKUP(BN29,IN_Zugliste!$A$4:$E$2002,5,FALSE),"")</f>
        <v/>
      </c>
      <c r="BO228" t="str">
        <f>+IFERROR(VLOOKUP(BO29,IN_Zugliste!$A$4:$E$2002,5,FALSE),"")</f>
        <v/>
      </c>
      <c r="BP228" t="str">
        <f>+IFERROR(VLOOKUP(BP29,IN_Zugliste!$A$4:$E$2002,5,FALSE),"")</f>
        <v/>
      </c>
      <c r="BQ228" t="str">
        <f>+IFERROR(VLOOKUP(BQ29,IN_Zugliste!$A$4:$E$2002,5,FALSE),"")</f>
        <v/>
      </c>
      <c r="BR228" t="str">
        <f>+IFERROR(VLOOKUP(BR29,IN_Zugliste!$A$4:$E$2002,5,FALSE),"")</f>
        <v/>
      </c>
      <c r="BS228" t="str">
        <f>+IFERROR(VLOOKUP(BS29,IN_Zugliste!$A$4:$E$2002,5,FALSE),"")</f>
        <v/>
      </c>
      <c r="BT228" t="str">
        <f>+IFERROR(VLOOKUP(BT29,IN_Zugliste!$A$4:$E$2002,5,FALSE),"")</f>
        <v/>
      </c>
      <c r="BU228" t="str">
        <f>+IFERROR(VLOOKUP(BU29,IN_Zugliste!$A$4:$E$2002,5,FALSE),"")</f>
        <v/>
      </c>
      <c r="BV228" t="str">
        <f>+IFERROR(VLOOKUP(BV29,IN_Zugliste!$A$4:$E$2002,5,FALSE),"")</f>
        <v/>
      </c>
      <c r="BW228" t="str">
        <f>+IFERROR(VLOOKUP(BW29,IN_Zugliste!$A$4:$E$2002,5,FALSE),"")</f>
        <v/>
      </c>
      <c r="BX228" t="str">
        <f>+IFERROR(VLOOKUP(BX29,IN_Zugliste!$A$4:$E$2002,5,FALSE),"")</f>
        <v/>
      </c>
      <c r="BY228" t="str">
        <f>+IFERROR(VLOOKUP(BY29,IN_Zugliste!$A$4:$E$2002,5,FALSE),"")</f>
        <v/>
      </c>
      <c r="BZ228" t="str">
        <f>+IFERROR(VLOOKUP(BZ29,IN_Zugliste!$A$4:$E$2002,5,FALSE),"")</f>
        <v/>
      </c>
      <c r="CA228" t="str">
        <f>+IFERROR(VLOOKUP(CA29,IN_Zugliste!$A$4:$E$2002,5,FALSE),"")</f>
        <v/>
      </c>
      <c r="CB228" t="str">
        <f>+IFERROR(VLOOKUP(CB29,IN_Zugliste!$A$4:$E$2002,5,FALSE),"")</f>
        <v/>
      </c>
      <c r="CC228" t="str">
        <f>+IFERROR(VLOOKUP(CC29,IN_Zugliste!$A$4:$E$2002,5,FALSE),"")</f>
        <v/>
      </c>
      <c r="CD228" t="str">
        <f>+IFERROR(VLOOKUP(CD29,IN_Zugliste!$A$4:$E$2002,5,FALSE),"")</f>
        <v/>
      </c>
      <c r="CE228" t="str">
        <f>+IFERROR(VLOOKUP(CE29,IN_Zugliste!$A$4:$E$2002,5,FALSE),"")</f>
        <v/>
      </c>
      <c r="CF228" t="str">
        <f>+IFERROR(VLOOKUP(CF29,IN_Zugliste!$A$4:$E$2002,5,FALSE),"")</f>
        <v/>
      </c>
      <c r="CG228" t="str">
        <f>+IFERROR(VLOOKUP(CG29,IN_Zugliste!$A$4:$E$2002,5,FALSE),"")</f>
        <v/>
      </c>
      <c r="CH228" t="str">
        <f>+IFERROR(VLOOKUP(CH29,IN_Zugliste!$A$4:$E$2002,5,FALSE),"")</f>
        <v/>
      </c>
      <c r="CI228" t="str">
        <f>+IFERROR(VLOOKUP(CI29,IN_Zugliste!$A$4:$E$2002,5,FALSE),"")</f>
        <v/>
      </c>
      <c r="CJ228" t="str">
        <f>+IFERROR(VLOOKUP(CJ29,IN_Zugliste!$A$4:$E$2002,5,FALSE),"")</f>
        <v/>
      </c>
      <c r="CK228" t="str">
        <f>+IFERROR(VLOOKUP(CK29,IN_Zugliste!$A$4:$E$2002,5,FALSE),"")</f>
        <v/>
      </c>
      <c r="CL228" t="str">
        <f>+IFERROR(VLOOKUP(CL29,IN_Zugliste!$A$4:$E$2002,5,FALSE),"")</f>
        <v/>
      </c>
      <c r="CM228" t="str">
        <f>+IFERROR(VLOOKUP(CM29,IN_Zugliste!$A$4:$E$2002,5,FALSE),"")</f>
        <v/>
      </c>
      <c r="CN228" t="str">
        <f>+IFERROR(VLOOKUP(CN29,IN_Zugliste!$A$4:$E$2002,5,FALSE),"")</f>
        <v/>
      </c>
      <c r="CO228" t="str">
        <f>+IFERROR(VLOOKUP(CO29,IN_Zugliste!$A$4:$E$2002,5,FALSE),"")</f>
        <v/>
      </c>
      <c r="CP228" t="str">
        <f>+IFERROR(VLOOKUP(CP29,IN_Zugliste!$A$4:$E$2002,5,FALSE),"")</f>
        <v/>
      </c>
      <c r="CQ228" t="str">
        <f>+IFERROR(VLOOKUP(CQ29,IN_Zugliste!$A$4:$E$2002,5,FALSE),"")</f>
        <v/>
      </c>
      <c r="CR228" t="str">
        <f>+IFERROR(VLOOKUP(CR29,IN_Zugliste!$A$4:$E$2002,5,FALSE),"")</f>
        <v/>
      </c>
      <c r="CS228" t="str">
        <f>+IFERROR(VLOOKUP(CS29,IN_Zugliste!$A$4:$E$2002,5,FALSE),"")</f>
        <v/>
      </c>
      <c r="CT228" t="str">
        <f>+IFERROR(VLOOKUP(CT29,IN_Zugliste!$A$4:$E$2002,5,FALSE),"")</f>
        <v/>
      </c>
      <c r="CU228" t="str">
        <f>+IFERROR(VLOOKUP(CU29,IN_Zugliste!$A$4:$E$2002,5,FALSE),"")</f>
        <v/>
      </c>
      <c r="CV228" t="str">
        <f>+IFERROR(VLOOKUP(CV29,IN_Zugliste!$A$4:$E$2002,5,FALSE),"")</f>
        <v/>
      </c>
      <c r="CW228" t="str">
        <f>+IFERROR(VLOOKUP(CW29,IN_Zugliste!$A$4:$E$2002,5,FALSE),"")</f>
        <v/>
      </c>
      <c r="CX228" t="str">
        <f>+IFERROR(VLOOKUP(CX29,IN_Zugliste!$A$4:$E$2002,5,FALSE),"")</f>
        <v/>
      </c>
      <c r="CY228" t="str">
        <f>+IFERROR(VLOOKUP(CY29,IN_Zugliste!$A$4:$E$2002,5,FALSE),"")</f>
        <v/>
      </c>
      <c r="CZ228" t="str">
        <f>+IFERROR(VLOOKUP(CZ29,IN_Zugliste!$A$4:$E$2002,5,FALSE),"")</f>
        <v/>
      </c>
      <c r="DA228" t="str">
        <f>+IFERROR(VLOOKUP(DA29,IN_Zugliste!$A$4:$E$2002,5,FALSE),"")</f>
        <v/>
      </c>
      <c r="DB228" t="str">
        <f>+IFERROR(VLOOKUP(DB29,IN_Zugliste!$A$4:$E$2002,5,FALSE),"")</f>
        <v/>
      </c>
      <c r="DC228" t="str">
        <f>+IFERROR(VLOOKUP(DC29,IN_Zugliste!$A$4:$E$2002,5,FALSE),"")</f>
        <v/>
      </c>
      <c r="DD228" t="str">
        <f>+IFERROR(VLOOKUP(DD29,IN_Zugliste!$A$4:$E$2002,5,FALSE),"")</f>
        <v/>
      </c>
      <c r="DE228" t="str">
        <f>+IFERROR(VLOOKUP(DE29,IN_Zugliste!$A$4:$E$2002,5,FALSE),"")</f>
        <v/>
      </c>
      <c r="DF228" t="str">
        <f>+IFERROR(VLOOKUP(DF29,IN_Zugliste!$A$4:$E$2002,5,FALSE),"")</f>
        <v/>
      </c>
      <c r="DG228" t="str">
        <f>+IFERROR(VLOOKUP(DG29,IN_Zugliste!$A$4:$E$2002,5,FALSE),"")</f>
        <v/>
      </c>
      <c r="DH228" t="str">
        <f>+IFERROR(VLOOKUP(DH29,IN_Zugliste!$A$4:$E$2002,5,FALSE),"")</f>
        <v/>
      </c>
      <c r="DI228" t="str">
        <f>+IFERROR(VLOOKUP(DI29,IN_Zugliste!$A$4:$E$2002,5,FALSE),"")</f>
        <v/>
      </c>
      <c r="DJ228" t="str">
        <f>+IFERROR(VLOOKUP(DJ29,IN_Zugliste!$A$4:$E$2002,5,FALSE),"")</f>
        <v/>
      </c>
      <c r="DK228" t="str">
        <f>+IFERROR(VLOOKUP(DK29,IN_Zugliste!$A$4:$E$2002,5,FALSE),"")</f>
        <v/>
      </c>
      <c r="DL228" t="str">
        <f>+IFERROR(VLOOKUP(DL29,IN_Zugliste!$A$4:$E$2002,5,FALSE),"")</f>
        <v/>
      </c>
      <c r="DM228" t="str">
        <f>+IFERROR(VLOOKUP(DM29,IN_Zugliste!$A$4:$E$2002,5,FALSE),"")</f>
        <v/>
      </c>
      <c r="DN228" t="str">
        <f>+IFERROR(VLOOKUP(DN29,IN_Zugliste!$A$4:$E$2002,5,FALSE),"")</f>
        <v/>
      </c>
      <c r="DO228" t="str">
        <f>+IFERROR(VLOOKUP(DO29,IN_Zugliste!$A$4:$E$2002,5,FALSE),"")</f>
        <v/>
      </c>
      <c r="DP228" t="str">
        <f>+IFERROR(VLOOKUP(DP29,IN_Zugliste!$A$4:$E$2002,5,FALSE),"")</f>
        <v/>
      </c>
      <c r="DQ228" t="str">
        <f>+IFERROR(VLOOKUP(DQ29,IN_Zugliste!$A$4:$E$2002,5,FALSE),"")</f>
        <v/>
      </c>
      <c r="DR228" t="str">
        <f>+IFERROR(VLOOKUP(DR29,IN_Zugliste!$A$4:$E$2002,5,FALSE),"")</f>
        <v/>
      </c>
      <c r="DS228" t="str">
        <f>+IFERROR(VLOOKUP(DS29,IN_Zugliste!$A$4:$E$2002,5,FALSE),"")</f>
        <v/>
      </c>
      <c r="DT228" t="str">
        <f>+IFERROR(VLOOKUP(DT29,IN_Zugliste!$A$4:$E$2002,5,FALSE),"")</f>
        <v/>
      </c>
      <c r="DU228" t="str">
        <f>+IFERROR(VLOOKUP(DU29,IN_Zugliste!$A$4:$E$2002,5,FALSE),"")</f>
        <v/>
      </c>
      <c r="DV228" t="str">
        <f>+IFERROR(VLOOKUP(DV29,IN_Zugliste!$A$4:$E$2002,5,FALSE),"")</f>
        <v/>
      </c>
      <c r="DW228" t="str">
        <f>+IFERROR(VLOOKUP(DW29,IN_Zugliste!$A$4:$E$2002,5,FALSE),"")</f>
        <v/>
      </c>
      <c r="DX228" t="str">
        <f>+IFERROR(VLOOKUP(DX29,IN_Zugliste!$A$4:$E$2002,5,FALSE),"")</f>
        <v/>
      </c>
      <c r="DY228" t="str">
        <f>+IFERROR(VLOOKUP(DY29,IN_Zugliste!$A$4:$E$2002,5,FALSE),"")</f>
        <v/>
      </c>
      <c r="DZ228" t="str">
        <f>+IFERROR(VLOOKUP(DZ29,IN_Zugliste!$A$4:$E$2002,5,FALSE),"")</f>
        <v/>
      </c>
      <c r="EA228" t="str">
        <f>+IFERROR(VLOOKUP(EA29,IN_Zugliste!$A$4:$E$2002,5,FALSE),"")</f>
        <v/>
      </c>
      <c r="EB228" t="str">
        <f>+IFERROR(VLOOKUP(EB29,IN_Zugliste!$A$4:$E$2002,5,FALSE),"")</f>
        <v/>
      </c>
      <c r="EC228" t="str">
        <f>+IFERROR(VLOOKUP(EC29,IN_Zugliste!$A$4:$E$2002,5,FALSE),"")</f>
        <v/>
      </c>
      <c r="ED228" t="str">
        <f>+IFERROR(VLOOKUP(ED29,IN_Zugliste!$A$4:$E$2002,5,FALSE),"")</f>
        <v/>
      </c>
      <c r="EE228" t="str">
        <f>+IFERROR(VLOOKUP(EE29,IN_Zugliste!$A$4:$E$2002,5,FALSE),"")</f>
        <v/>
      </c>
      <c r="EF228" t="str">
        <f>+IFERROR(VLOOKUP(EF29,IN_Zugliste!$A$4:$E$2002,5,FALSE),"")</f>
        <v/>
      </c>
      <c r="EG228" t="str">
        <f>+IFERROR(VLOOKUP(EG29,IN_Zugliste!$A$4:$E$2002,5,FALSE),"")</f>
        <v/>
      </c>
      <c r="EH228" t="str">
        <f>+IFERROR(VLOOKUP(EH29,IN_Zugliste!$A$4:$E$2002,5,FALSE),"")</f>
        <v/>
      </c>
      <c r="EI228" t="str">
        <f>+IFERROR(VLOOKUP(EI29,IN_Zugliste!$A$4:$E$2002,5,FALSE),"")</f>
        <v/>
      </c>
      <c r="EJ228" t="str">
        <f>+IFERROR(VLOOKUP(EJ29,IN_Zugliste!$A$4:$E$2002,5,FALSE),"")</f>
        <v/>
      </c>
      <c r="EK228" t="str">
        <f>+IFERROR(VLOOKUP(EK29,IN_Zugliste!$A$4:$E$2002,5,FALSE),"")</f>
        <v/>
      </c>
      <c r="EL228" t="str">
        <f>+IFERROR(VLOOKUP(EL29,IN_Zugliste!$A$4:$E$2002,5,FALSE),"")</f>
        <v/>
      </c>
      <c r="EM228" t="str">
        <f>+IFERROR(VLOOKUP(EM29,IN_Zugliste!$A$4:$E$2002,5,FALSE),"")</f>
        <v/>
      </c>
      <c r="EN228" t="str">
        <f>+IFERROR(VLOOKUP(EN29,IN_Zugliste!$A$4:$E$2002,5,FALSE),"")</f>
        <v/>
      </c>
      <c r="EO228" t="str">
        <f>+IFERROR(VLOOKUP(EO29,IN_Zugliste!$A$4:$E$2002,5,FALSE),"")</f>
        <v/>
      </c>
      <c r="EP228" t="str">
        <f>+IFERROR(VLOOKUP(EP29,IN_Zugliste!$A$4:$E$2002,5,FALSE),"")</f>
        <v/>
      </c>
      <c r="EQ228" t="str">
        <f>+IFERROR(VLOOKUP(EQ29,IN_Zugliste!$A$4:$E$2002,5,FALSE),"")</f>
        <v/>
      </c>
      <c r="ER228" t="str">
        <f>+IFERROR(VLOOKUP(ER29,IN_Zugliste!$A$4:$E$2002,5,FALSE),"")</f>
        <v/>
      </c>
      <c r="ES228" t="str">
        <f>+IFERROR(VLOOKUP(ES29,IN_Zugliste!$A$4:$E$2002,5,FALSE),"")</f>
        <v/>
      </c>
      <c r="ET228" t="str">
        <f>+IFERROR(VLOOKUP(ET29,IN_Zugliste!$A$4:$E$2002,5,FALSE),"")</f>
        <v/>
      </c>
      <c r="EU228" t="str">
        <f>+IFERROR(VLOOKUP(EU29,IN_Zugliste!$A$4:$E$2002,5,FALSE),"")</f>
        <v/>
      </c>
      <c r="EV228" t="str">
        <f>+IFERROR(VLOOKUP(EV29,IN_Zugliste!$A$4:$E$2002,5,FALSE),"")</f>
        <v/>
      </c>
      <c r="EW228" t="str">
        <f>+IFERROR(VLOOKUP(EW29,IN_Zugliste!$A$4:$E$2002,5,FALSE),"")</f>
        <v/>
      </c>
      <c r="EX228" t="str">
        <f>+IFERROR(VLOOKUP(EX29,IN_Zugliste!$A$4:$E$2002,5,FALSE),"")</f>
        <v/>
      </c>
      <c r="EY228" t="str">
        <f>+IFERROR(VLOOKUP(EY29,IN_Zugliste!$A$4:$E$2002,5,FALSE),"")</f>
        <v/>
      </c>
      <c r="EZ228" t="str">
        <f>+IFERROR(VLOOKUP(EZ29,IN_Zugliste!$A$4:$E$2002,5,FALSE),"")</f>
        <v/>
      </c>
      <c r="FA228" t="str">
        <f>+IFERROR(VLOOKUP(FA29,IN_Zugliste!$A$4:$E$2002,5,FALSE),"")</f>
        <v/>
      </c>
      <c r="FB228" t="str">
        <f>+IFERROR(VLOOKUP(FB29,IN_Zugliste!$A$4:$E$2002,5,FALSE),"")</f>
        <v/>
      </c>
      <c r="FC228" t="str">
        <f>+IFERROR(VLOOKUP(FC29,IN_Zugliste!$A$4:$E$2002,5,FALSE),"")</f>
        <v/>
      </c>
      <c r="FD228" t="str">
        <f>+IFERROR(VLOOKUP(FD29,IN_Zugliste!$A$4:$E$2002,5,FALSE),"")</f>
        <v/>
      </c>
      <c r="FE228" t="str">
        <f>+IFERROR(VLOOKUP(FE29,IN_Zugliste!$A$4:$E$2002,5,FALSE),"")</f>
        <v/>
      </c>
      <c r="FF228" t="str">
        <f>+IFERROR(VLOOKUP(FF29,IN_Zugliste!$A$4:$E$2002,5,FALSE),"")</f>
        <v/>
      </c>
      <c r="FG228" t="str">
        <f>+IFERROR(VLOOKUP(FG29,IN_Zugliste!$A$4:$E$2002,5,FALSE),"")</f>
        <v/>
      </c>
      <c r="FH228" t="str">
        <f>+IFERROR(VLOOKUP(FH29,IN_Zugliste!$A$4:$E$2002,5,FALSE),"")</f>
        <v/>
      </c>
      <c r="FI228" t="str">
        <f>+IFERROR(VLOOKUP(FI29,IN_Zugliste!$A$4:$E$2002,5,FALSE),"")</f>
        <v/>
      </c>
      <c r="FJ228" t="str">
        <f>+IFERROR(VLOOKUP(FJ29,IN_Zugliste!$A$4:$E$2002,5,FALSE),"")</f>
        <v/>
      </c>
      <c r="FK228" t="str">
        <f>+IFERROR(VLOOKUP(FK29,IN_Zugliste!$A$4:$E$2002,5,FALSE),"")</f>
        <v/>
      </c>
      <c r="FL228" t="str">
        <f>+IFERROR(VLOOKUP(FL29,IN_Zugliste!$A$4:$E$2002,5,FALSE),"")</f>
        <v/>
      </c>
      <c r="FM228" t="str">
        <f>+IFERROR(VLOOKUP(FM29,IN_Zugliste!$A$4:$D$2002,5,FALSE),"")</f>
        <v/>
      </c>
      <c r="FN228" t="str">
        <f>+IFERROR(VLOOKUP(FN29,IN_Zugliste!$A$4:$D$2002,5,FALSE),"")</f>
        <v/>
      </c>
      <c r="FO228" t="str">
        <f>+IFERROR(VLOOKUP(FO29,IN_Zugliste!$A$4:$D$2002,5,FALSE),"")</f>
        <v/>
      </c>
      <c r="FP228" t="str">
        <f>+IFERROR(VLOOKUP(FP29,IN_Zugliste!$A$4:$D$2002,5,FALSE),"")</f>
        <v/>
      </c>
      <c r="FQ228" t="str">
        <f>+IFERROR(VLOOKUP(FQ29,IN_Zugliste!$A$4:$D$2002,5,FALSE),"")</f>
        <v/>
      </c>
      <c r="FR228" t="str">
        <f>+IFERROR(VLOOKUP(FR29,IN_Zugliste!$A$4:$D$2002,5,FALSE),"")</f>
        <v/>
      </c>
      <c r="FS228" t="str">
        <f>+IFERROR(VLOOKUP(FS29,IN_Zugliste!$A$4:$D$2002,5,FALSE),"")</f>
        <v/>
      </c>
      <c r="FT228" t="str">
        <f>+IFERROR(VLOOKUP(FT29,IN_Zugliste!$A$4:$D$2002,5,FALSE),"")</f>
        <v/>
      </c>
      <c r="FU228" t="str">
        <f>+IFERROR(VLOOKUP(FU29,IN_Zugliste!$A$4:$D$2002,5,FALSE),"")</f>
        <v/>
      </c>
      <c r="FV228" t="str">
        <f>+IFERROR(VLOOKUP(FV29,IN_Zugliste!$A$4:$D$2002,5,FALSE),"")</f>
        <v/>
      </c>
      <c r="FW228" t="str">
        <f>+IFERROR(VLOOKUP(FW29,IN_Zugliste!$A$4:$D$2002,5,FALSE),"")</f>
        <v/>
      </c>
      <c r="FX228" t="str">
        <f>+IFERROR(VLOOKUP(FX29,IN_Zugliste!$A$4:$D$2002,5,FALSE),"")</f>
        <v/>
      </c>
      <c r="FY228" t="str">
        <f>+IFERROR(VLOOKUP(FY29,IN_Zugliste!$A$4:$D$2002,5,FALSE),"")</f>
        <v/>
      </c>
      <c r="FZ228" t="str">
        <f>+IFERROR(VLOOKUP(FZ29,IN_Zugliste!$A$4:$D$2002,5,FALSE),"")</f>
        <v/>
      </c>
      <c r="GA228" t="str">
        <f>+IFERROR(VLOOKUP(GA29,IN_Zugliste!$A$4:$D$2002,5,FALSE),"")</f>
        <v/>
      </c>
      <c r="GB228" t="str">
        <f>+IFERROR(VLOOKUP(GB29,IN_Zugliste!$A$4:$D$2002,5,FALSE),"")</f>
        <v/>
      </c>
      <c r="GC228" t="str">
        <f>+IFERROR(VLOOKUP(GC29,IN_Zugliste!$A$4:$D$2002,5,FALSE),"")</f>
        <v/>
      </c>
      <c r="GD228" t="str">
        <f>+IFERROR(VLOOKUP(GD29,IN_Zugliste!$A$4:$D$2002,5,FALSE),"")</f>
        <v/>
      </c>
      <c r="GE228" t="str">
        <f>+IFERROR(VLOOKUP(GE29,IN_Zugliste!$A$4:$D$2002,5,FALSE),"")</f>
        <v/>
      </c>
      <c r="GF228" t="str">
        <f>+IFERROR(VLOOKUP(GF29,IN_Zugliste!$A$4:$D$2002,5,FALSE),"")</f>
        <v/>
      </c>
      <c r="GG228" t="str">
        <f>+IFERROR(VLOOKUP(GG29,IN_Zugliste!$A$4:$D$2002,5,FALSE),"")</f>
        <v/>
      </c>
      <c r="GH228" t="str">
        <f>+IFERROR(VLOOKUP(GH29,IN_Zugliste!$A$4:$D$2002,5,FALSE),"")</f>
        <v/>
      </c>
      <c r="GI228" t="str">
        <f>+IFERROR(VLOOKUP(GI29,IN_Zugliste!$A$4:$D$2002,5,FALSE),"")</f>
        <v/>
      </c>
      <c r="GJ228" t="str">
        <f>+IFERROR(VLOOKUP(GJ29,IN_Zugliste!$A$4:$D$2002,5,FALSE),"")</f>
        <v/>
      </c>
      <c r="GK228" t="str">
        <f>+IFERROR(VLOOKUP(GK29,IN_Zugliste!$A$4:$D$2002,5,FALSE),"")</f>
        <v/>
      </c>
      <c r="GL228" t="str">
        <f>+IFERROR(VLOOKUP(GL29,IN_Zugliste!$A$4:$D$2002,5,FALSE),"")</f>
        <v/>
      </c>
      <c r="GM228" t="str">
        <f>+IFERROR(VLOOKUP(GM29,IN_Zugliste!$A$4:$D$2002,5,FALSE),"")</f>
        <v/>
      </c>
      <c r="GN228" t="str">
        <f>+IFERROR(VLOOKUP(GN29,IN_Zugliste!$A$4:$D$2002,5,FALSE),"")</f>
        <v/>
      </c>
      <c r="GO228" t="str">
        <f>+IFERROR(VLOOKUP(GO29,IN_Zugliste!$A$4:$D$2002,5,FALSE),"")</f>
        <v/>
      </c>
      <c r="GP228" t="str">
        <f>+IFERROR(VLOOKUP(GP29,IN_Zugliste!$A$4:$D$2002,5,FALSE),"")</f>
        <v/>
      </c>
      <c r="GQ228" t="str">
        <f>+IFERROR(VLOOKUP(GQ29,IN_Zugliste!$A$4:$D$2002,5,FALSE),"")</f>
        <v/>
      </c>
      <c r="GR228" t="str">
        <f>+IFERROR(VLOOKUP(GR29,IN_Zugliste!$A$4:$D$2002,5,FALSE),"")</f>
        <v/>
      </c>
      <c r="GS228" t="str">
        <f>+IFERROR(VLOOKUP(GS29,IN_Zugliste!$A$4:$D$2002,5,FALSE),"")</f>
        <v/>
      </c>
      <c r="GT228" t="str">
        <f>+IFERROR(VLOOKUP(GT29,IN_Zugliste!$A$4:$D$2002,5,FALSE),"")</f>
        <v/>
      </c>
      <c r="GU228" t="str">
        <f>+IFERROR(VLOOKUP(GU29,IN_Zugliste!$A$4:$D$2002,5,FALSE),"")</f>
        <v/>
      </c>
      <c r="GV228" t="str">
        <f>+IFERROR(VLOOKUP(GV29,IN_Zugliste!$A$4:$D$2002,5,FALSE),"")</f>
        <v/>
      </c>
      <c r="GW228" t="str">
        <f>+IFERROR(VLOOKUP(GW29,IN_Zugliste!$A$4:$D$2002,5,FALSE),"")</f>
        <v/>
      </c>
      <c r="GX228" t="str">
        <f>+IFERROR(VLOOKUP(GX29,IN_Zugliste!$A$4:$D$2002,5,FALSE),"")</f>
        <v/>
      </c>
      <c r="GY228" t="str">
        <f>+IFERROR(VLOOKUP(GY29,IN_Zugliste!$A$4:$D$2002,5,FALSE),"")</f>
        <v/>
      </c>
      <c r="GZ228" t="str">
        <f>+IFERROR(VLOOKUP(GZ29,IN_Zugliste!$A$4:$D$2002,5,FALSE),"")</f>
        <v/>
      </c>
      <c r="HA228" t="str">
        <f>+IFERROR(VLOOKUP(HA29,IN_Zugliste!$A$4:$D$2002,5,FALSE),"")</f>
        <v/>
      </c>
      <c r="HB228" t="str">
        <f>+IFERROR(VLOOKUP(HB29,IN_Zugliste!$A$4:$D$2002,5,FALSE),"")</f>
        <v/>
      </c>
      <c r="HC228" t="str">
        <f>+IFERROR(VLOOKUP(HC29,IN_Zugliste!$A$4:$D$2002,5,FALSE),"")</f>
        <v/>
      </c>
      <c r="HD228" t="str">
        <f>+IFERROR(VLOOKUP(HD29,IN_Zugliste!$A$4:$D$2002,5,FALSE),"")</f>
        <v/>
      </c>
      <c r="HE228" t="str">
        <f>+IFERROR(VLOOKUP(HE29,IN_Zugliste!$A$4:$D$2002,5,FALSE),"")</f>
        <v/>
      </c>
      <c r="HF228" t="str">
        <f>+IFERROR(VLOOKUP(HF29,IN_Zugliste!$A$4:$D$2002,5,FALSE),"")</f>
        <v/>
      </c>
      <c r="HG228" t="str">
        <f>+IFERROR(VLOOKUP(HG29,IN_Zugliste!$A$4:$D$2002,5,FALSE),"")</f>
        <v/>
      </c>
      <c r="HH228" t="str">
        <f>+IFERROR(VLOOKUP(HH29,IN_Zugliste!$A$4:$D$2002,5,FALSE),"")</f>
        <v/>
      </c>
    </row>
    <row r="229" spans="1:216" x14ac:dyDescent="0.2">
      <c r="A229" t="str">
        <f>+IFERROR(VLOOKUP(A30,IN_Zugliste!$A$4:$E$2002,5,FALSE),"")</f>
        <v/>
      </c>
      <c r="B229" t="str">
        <f>+IFERROR(VLOOKUP(B30,IN_Zugliste!$A$4:$E$2002,5,FALSE),"")</f>
        <v/>
      </c>
      <c r="C229" t="str">
        <f>+IFERROR(VLOOKUP(C30,IN_Zugliste!$A$4:$E$2002,5,FALSE),"")</f>
        <v/>
      </c>
      <c r="D229" t="str">
        <f>+IFERROR(VLOOKUP(D30,IN_Zugliste!$A$4:$E$2002,5,FALSE),"")</f>
        <v/>
      </c>
      <c r="E229" t="str">
        <f>+IFERROR(VLOOKUP(E30,IN_Zugliste!$A$4:$E$2002,5,FALSE),"")</f>
        <v/>
      </c>
      <c r="F229" t="str">
        <f>+IFERROR(VLOOKUP(F30,IN_Zugliste!$A$4:$E$2002,5,FALSE),"")</f>
        <v/>
      </c>
      <c r="G229" t="str">
        <f>+IFERROR(VLOOKUP(G30,IN_Zugliste!$A$4:$E$2002,5,FALSE),"")</f>
        <v/>
      </c>
      <c r="H229" t="str">
        <f>+IFERROR(VLOOKUP(H30,IN_Zugliste!$A$4:$E$2002,5,FALSE),"")</f>
        <v/>
      </c>
      <c r="I229" t="str">
        <f>+IFERROR(VLOOKUP(I30,IN_Zugliste!$A$4:$E$2002,5,FALSE),"")</f>
        <v/>
      </c>
      <c r="J229" t="str">
        <f>+IFERROR(VLOOKUP(J30,IN_Zugliste!$A$4:$E$2002,5,FALSE),"")</f>
        <v/>
      </c>
      <c r="K229" t="str">
        <f>+IFERROR(VLOOKUP(K30,IN_Zugliste!$A$4:$E$2002,5,FALSE),"")</f>
        <v/>
      </c>
      <c r="L229" t="str">
        <f>+IFERROR(VLOOKUP(L30,IN_Zugliste!$A$4:$E$2002,5,FALSE),"")</f>
        <v/>
      </c>
      <c r="M229" t="str">
        <f>+IFERROR(VLOOKUP(M30,IN_Zugliste!$A$4:$E$2002,5,FALSE),"")</f>
        <v/>
      </c>
      <c r="N229" t="str">
        <f>+IFERROR(VLOOKUP(N30,IN_Zugliste!$A$4:$E$2002,5,FALSE),"")</f>
        <v/>
      </c>
      <c r="O229" t="str">
        <f>+IFERROR(VLOOKUP(O30,IN_Zugliste!$A$4:$E$2002,5,FALSE),"")</f>
        <v/>
      </c>
      <c r="P229" t="str">
        <f>+IFERROR(VLOOKUP(P30,IN_Zugliste!$A$4:$E$2002,5,FALSE),"")</f>
        <v/>
      </c>
      <c r="Q229" t="str">
        <f>+IFERROR(VLOOKUP(Q30,IN_Zugliste!$A$4:$E$2002,5,FALSE),"")</f>
        <v/>
      </c>
      <c r="R229" t="str">
        <f>+IFERROR(VLOOKUP(R30,IN_Zugliste!$A$4:$E$2002,5,FALSE),"")</f>
        <v/>
      </c>
      <c r="S229" t="str">
        <f>+IFERROR(VLOOKUP(S30,IN_Zugliste!$A$4:$E$2002,5,FALSE),"")</f>
        <v/>
      </c>
      <c r="T229" t="str">
        <f>+IFERROR(VLOOKUP(T30,IN_Zugliste!$A$4:$E$2002,5,FALSE),"")</f>
        <v/>
      </c>
      <c r="U229" t="str">
        <f>+IFERROR(VLOOKUP(U30,IN_Zugliste!$A$4:$E$2002,5,FALSE),"")</f>
        <v/>
      </c>
      <c r="V229" t="str">
        <f>+IFERROR(VLOOKUP(V30,IN_Zugliste!$A$4:$E$2002,5,FALSE),"")</f>
        <v/>
      </c>
      <c r="W229" t="str">
        <f>+IFERROR(VLOOKUP(W30,IN_Zugliste!$A$4:$E$2002,5,FALSE),"")</f>
        <v/>
      </c>
      <c r="X229" t="str">
        <f>+IFERROR(VLOOKUP(X30,IN_Zugliste!$A$4:$E$2002,5,FALSE),"")</f>
        <v/>
      </c>
      <c r="Y229" t="str">
        <f>+IFERROR(VLOOKUP(Y30,IN_Zugliste!$A$4:$E$2002,5,FALSE),"")</f>
        <v/>
      </c>
      <c r="Z229" t="str">
        <f>+IFERROR(VLOOKUP(Z30,IN_Zugliste!$A$4:$E$2002,5,FALSE),"")</f>
        <v/>
      </c>
      <c r="AA229" t="str">
        <f>+IFERROR(VLOOKUP(AA30,IN_Zugliste!$A$4:$E$2002,5,FALSE),"")</f>
        <v/>
      </c>
      <c r="AB229" t="str">
        <f>+IFERROR(VLOOKUP(AB30,IN_Zugliste!$A$4:$E$2002,5,FALSE),"")</f>
        <v/>
      </c>
      <c r="AC229" t="str">
        <f>+IFERROR(VLOOKUP(AC30,IN_Zugliste!$A$4:$E$2002,5,FALSE),"")</f>
        <v/>
      </c>
      <c r="AD229" t="str">
        <f>+IFERROR(VLOOKUP(AD30,IN_Zugliste!$A$4:$E$2002,5,FALSE),"")</f>
        <v/>
      </c>
      <c r="AE229" t="str">
        <f>+IFERROR(VLOOKUP(AE30,IN_Zugliste!$A$4:$E$2002,5,FALSE),"")</f>
        <v/>
      </c>
      <c r="AF229" t="str">
        <f>+IFERROR(VLOOKUP(AF30,IN_Zugliste!$A$4:$E$2002,5,FALSE),"")</f>
        <v/>
      </c>
      <c r="AG229" t="str">
        <f>+IFERROR(VLOOKUP(AG30,IN_Zugliste!$A$4:$E$2002,5,FALSE),"")</f>
        <v/>
      </c>
      <c r="AH229" t="str">
        <f>+IFERROR(VLOOKUP(AH30,IN_Zugliste!$A$4:$E$2002,5,FALSE),"")</f>
        <v/>
      </c>
      <c r="AI229" t="str">
        <f>+IFERROR(VLOOKUP(AI30,IN_Zugliste!$A$4:$E$2002,5,FALSE),"")</f>
        <v/>
      </c>
      <c r="AJ229" t="str">
        <f>+IFERROR(VLOOKUP(AJ30,IN_Zugliste!$A$4:$E$2002,5,FALSE),"")</f>
        <v/>
      </c>
      <c r="AK229" t="str">
        <f>+IFERROR(VLOOKUP(AK30,IN_Zugliste!$A$4:$E$2002,5,FALSE),"")</f>
        <v/>
      </c>
      <c r="AL229" t="str">
        <f>+IFERROR(VLOOKUP(AL30,IN_Zugliste!$A$4:$E$2002,5,FALSE),"")</f>
        <v/>
      </c>
      <c r="AM229" t="str">
        <f>+IFERROR(VLOOKUP(AM30,IN_Zugliste!$A$4:$E$2002,5,FALSE),"")</f>
        <v/>
      </c>
      <c r="AN229" t="str">
        <f>+IFERROR(VLOOKUP(AN30,IN_Zugliste!$A$4:$E$2002,5,FALSE),"")</f>
        <v/>
      </c>
      <c r="AO229" t="str">
        <f>+IFERROR(VLOOKUP(AO30,IN_Zugliste!$A$4:$E$2002,5,FALSE),"")</f>
        <v/>
      </c>
      <c r="AP229" t="str">
        <f>+IFERROR(VLOOKUP(AP30,IN_Zugliste!$A$4:$E$2002,5,FALSE),"")</f>
        <v/>
      </c>
      <c r="AQ229" t="str">
        <f>+IFERROR(VLOOKUP(AQ30,IN_Zugliste!$A$4:$E$2002,5,FALSE),"")</f>
        <v/>
      </c>
      <c r="AR229" t="str">
        <f>+IFERROR(VLOOKUP(AR30,IN_Zugliste!$A$4:$E$2002,5,FALSE),"")</f>
        <v/>
      </c>
      <c r="AS229" t="str">
        <f>+IFERROR(VLOOKUP(AS30,IN_Zugliste!$A$4:$E$2002,5,FALSE),"")</f>
        <v/>
      </c>
      <c r="AT229" t="str">
        <f>+IFERROR(VLOOKUP(AT30,IN_Zugliste!$A$4:$E$2002,5,FALSE),"")</f>
        <v/>
      </c>
      <c r="AU229" t="str">
        <f>+IFERROR(VLOOKUP(AU30,IN_Zugliste!$A$4:$E$2002,5,FALSE),"")</f>
        <v/>
      </c>
      <c r="AV229" t="str">
        <f>+IFERROR(VLOOKUP(AV30,IN_Zugliste!$A$4:$E$2002,5,FALSE),"")</f>
        <v/>
      </c>
      <c r="AW229" t="str">
        <f>+IFERROR(VLOOKUP(AW30,IN_Zugliste!$A$4:$E$2002,5,FALSE),"")</f>
        <v/>
      </c>
      <c r="AX229" t="str">
        <f>+IFERROR(VLOOKUP(AX30,IN_Zugliste!$A$4:$E$2002,5,FALSE),"")</f>
        <v/>
      </c>
      <c r="AY229" t="str">
        <f>+IFERROR(VLOOKUP(AY30,IN_Zugliste!$A$4:$E$2002,5,FALSE),"")</f>
        <v/>
      </c>
      <c r="AZ229" t="str">
        <f>+IFERROR(VLOOKUP(AZ30,IN_Zugliste!$A$4:$E$2002,5,FALSE),"")</f>
        <v/>
      </c>
      <c r="BA229" t="str">
        <f>+IFERROR(VLOOKUP(BA30,IN_Zugliste!$A$4:$E$2002,5,FALSE),"")</f>
        <v/>
      </c>
      <c r="BB229" t="str">
        <f>+IFERROR(VLOOKUP(BB30,IN_Zugliste!$A$4:$E$2002,5,FALSE),"")</f>
        <v/>
      </c>
      <c r="BC229" t="str">
        <f>+IFERROR(VLOOKUP(BC30,IN_Zugliste!$A$4:$E$2002,5,FALSE),"")</f>
        <v/>
      </c>
      <c r="BD229" t="str">
        <f>+IFERROR(VLOOKUP(BD30,IN_Zugliste!$A$4:$E$2002,5,FALSE),"")</f>
        <v/>
      </c>
      <c r="BE229" t="str">
        <f>+IFERROR(VLOOKUP(BE30,IN_Zugliste!$A$4:$E$2002,5,FALSE),"")</f>
        <v/>
      </c>
      <c r="BF229" t="str">
        <f>+IFERROR(VLOOKUP(BF30,IN_Zugliste!$A$4:$E$2002,5,FALSE),"")</f>
        <v/>
      </c>
      <c r="BG229" t="str">
        <f>+IFERROR(VLOOKUP(BG30,IN_Zugliste!$A$4:$E$2002,5,FALSE),"")</f>
        <v/>
      </c>
      <c r="BH229" t="str">
        <f>+IFERROR(VLOOKUP(BH30,IN_Zugliste!$A$4:$E$2002,5,FALSE),"")</f>
        <v/>
      </c>
      <c r="BI229" t="str">
        <f>+IFERROR(VLOOKUP(BI30,IN_Zugliste!$A$4:$E$2002,5,FALSE),"")</f>
        <v/>
      </c>
      <c r="BJ229" t="str">
        <f>+IFERROR(VLOOKUP(BJ30,IN_Zugliste!$A$4:$E$2002,5,FALSE),"")</f>
        <v/>
      </c>
      <c r="BK229" t="str">
        <f>+IFERROR(VLOOKUP(BK30,IN_Zugliste!$A$4:$E$2002,5,FALSE),"")</f>
        <v/>
      </c>
      <c r="BL229" t="str">
        <f>+IFERROR(VLOOKUP(BL30,IN_Zugliste!$A$4:$E$2002,5,FALSE),"")</f>
        <v/>
      </c>
      <c r="BM229" t="str">
        <f>+IFERROR(VLOOKUP(BM30,IN_Zugliste!$A$4:$E$2002,5,FALSE),"")</f>
        <v/>
      </c>
      <c r="BN229" t="str">
        <f>+IFERROR(VLOOKUP(BN30,IN_Zugliste!$A$4:$E$2002,5,FALSE),"")</f>
        <v/>
      </c>
      <c r="BO229" t="str">
        <f>+IFERROR(VLOOKUP(BO30,IN_Zugliste!$A$4:$E$2002,5,FALSE),"")</f>
        <v/>
      </c>
      <c r="BP229" t="str">
        <f>+IFERROR(VLOOKUP(BP30,IN_Zugliste!$A$4:$E$2002,5,FALSE),"")</f>
        <v/>
      </c>
      <c r="BQ229" t="str">
        <f>+IFERROR(VLOOKUP(BQ30,IN_Zugliste!$A$4:$E$2002,5,FALSE),"")</f>
        <v/>
      </c>
      <c r="BR229" t="str">
        <f>+IFERROR(VLOOKUP(BR30,IN_Zugliste!$A$4:$E$2002,5,FALSE),"")</f>
        <v/>
      </c>
      <c r="BS229" t="str">
        <f>+IFERROR(VLOOKUP(BS30,IN_Zugliste!$A$4:$E$2002,5,FALSE),"")</f>
        <v/>
      </c>
      <c r="BT229" t="str">
        <f>+IFERROR(VLOOKUP(BT30,IN_Zugliste!$A$4:$E$2002,5,FALSE),"")</f>
        <v/>
      </c>
      <c r="BU229" t="str">
        <f>+IFERROR(VLOOKUP(BU30,IN_Zugliste!$A$4:$E$2002,5,FALSE),"")</f>
        <v/>
      </c>
      <c r="BV229" t="str">
        <f>+IFERROR(VLOOKUP(BV30,IN_Zugliste!$A$4:$E$2002,5,FALSE),"")</f>
        <v/>
      </c>
      <c r="BW229" t="str">
        <f>+IFERROR(VLOOKUP(BW30,IN_Zugliste!$A$4:$E$2002,5,FALSE),"")</f>
        <v/>
      </c>
      <c r="BX229" t="str">
        <f>+IFERROR(VLOOKUP(BX30,IN_Zugliste!$A$4:$E$2002,5,FALSE),"")</f>
        <v/>
      </c>
      <c r="BY229" t="str">
        <f>+IFERROR(VLOOKUP(BY30,IN_Zugliste!$A$4:$E$2002,5,FALSE),"")</f>
        <v/>
      </c>
      <c r="BZ229" t="str">
        <f>+IFERROR(VLOOKUP(BZ30,IN_Zugliste!$A$4:$E$2002,5,FALSE),"")</f>
        <v/>
      </c>
      <c r="CA229" t="str">
        <f>+IFERROR(VLOOKUP(CA30,IN_Zugliste!$A$4:$E$2002,5,FALSE),"")</f>
        <v/>
      </c>
      <c r="CB229" t="str">
        <f>+IFERROR(VLOOKUP(CB30,IN_Zugliste!$A$4:$E$2002,5,FALSE),"")</f>
        <v/>
      </c>
      <c r="CC229" t="str">
        <f>+IFERROR(VLOOKUP(CC30,IN_Zugliste!$A$4:$E$2002,5,FALSE),"")</f>
        <v/>
      </c>
      <c r="CD229" t="str">
        <f>+IFERROR(VLOOKUP(CD30,IN_Zugliste!$A$4:$E$2002,5,FALSE),"")</f>
        <v/>
      </c>
      <c r="CE229" t="str">
        <f>+IFERROR(VLOOKUP(CE30,IN_Zugliste!$A$4:$E$2002,5,FALSE),"")</f>
        <v/>
      </c>
      <c r="CF229" t="str">
        <f>+IFERROR(VLOOKUP(CF30,IN_Zugliste!$A$4:$E$2002,5,FALSE),"")</f>
        <v/>
      </c>
      <c r="CG229" t="str">
        <f>+IFERROR(VLOOKUP(CG30,IN_Zugliste!$A$4:$E$2002,5,FALSE),"")</f>
        <v/>
      </c>
      <c r="CH229" t="str">
        <f>+IFERROR(VLOOKUP(CH30,IN_Zugliste!$A$4:$E$2002,5,FALSE),"")</f>
        <v/>
      </c>
      <c r="CI229" t="str">
        <f>+IFERROR(VLOOKUP(CI30,IN_Zugliste!$A$4:$E$2002,5,FALSE),"")</f>
        <v/>
      </c>
      <c r="CJ229" t="str">
        <f>+IFERROR(VLOOKUP(CJ30,IN_Zugliste!$A$4:$E$2002,5,FALSE),"")</f>
        <v/>
      </c>
      <c r="CK229" t="str">
        <f>+IFERROR(VLOOKUP(CK30,IN_Zugliste!$A$4:$E$2002,5,FALSE),"")</f>
        <v/>
      </c>
      <c r="CL229" t="str">
        <f>+IFERROR(VLOOKUP(CL30,IN_Zugliste!$A$4:$E$2002,5,FALSE),"")</f>
        <v/>
      </c>
      <c r="CM229" t="str">
        <f>+IFERROR(VLOOKUP(CM30,IN_Zugliste!$A$4:$E$2002,5,FALSE),"")</f>
        <v/>
      </c>
      <c r="CN229" t="str">
        <f>+IFERROR(VLOOKUP(CN30,IN_Zugliste!$A$4:$E$2002,5,FALSE),"")</f>
        <v/>
      </c>
      <c r="CO229" t="str">
        <f>+IFERROR(VLOOKUP(CO30,IN_Zugliste!$A$4:$E$2002,5,FALSE),"")</f>
        <v/>
      </c>
      <c r="CP229" t="str">
        <f>+IFERROR(VLOOKUP(CP30,IN_Zugliste!$A$4:$E$2002,5,FALSE),"")</f>
        <v/>
      </c>
      <c r="CQ229" t="str">
        <f>+IFERROR(VLOOKUP(CQ30,IN_Zugliste!$A$4:$E$2002,5,FALSE),"")</f>
        <v/>
      </c>
      <c r="CR229" t="str">
        <f>+IFERROR(VLOOKUP(CR30,IN_Zugliste!$A$4:$E$2002,5,FALSE),"")</f>
        <v/>
      </c>
      <c r="CS229" t="str">
        <f>+IFERROR(VLOOKUP(CS30,IN_Zugliste!$A$4:$E$2002,5,FALSE),"")</f>
        <v/>
      </c>
      <c r="CT229" t="str">
        <f>+IFERROR(VLOOKUP(CT30,IN_Zugliste!$A$4:$E$2002,5,FALSE),"")</f>
        <v/>
      </c>
      <c r="CU229" t="str">
        <f>+IFERROR(VLOOKUP(CU30,IN_Zugliste!$A$4:$E$2002,5,FALSE),"")</f>
        <v/>
      </c>
      <c r="CV229" t="str">
        <f>+IFERROR(VLOOKUP(CV30,IN_Zugliste!$A$4:$E$2002,5,FALSE),"")</f>
        <v/>
      </c>
      <c r="CW229" t="str">
        <f>+IFERROR(VLOOKUP(CW30,IN_Zugliste!$A$4:$E$2002,5,FALSE),"")</f>
        <v/>
      </c>
      <c r="CX229" t="str">
        <f>+IFERROR(VLOOKUP(CX30,IN_Zugliste!$A$4:$E$2002,5,FALSE),"")</f>
        <v/>
      </c>
      <c r="CY229" t="str">
        <f>+IFERROR(VLOOKUP(CY30,IN_Zugliste!$A$4:$E$2002,5,FALSE),"")</f>
        <v/>
      </c>
      <c r="CZ229" t="str">
        <f>+IFERROR(VLOOKUP(CZ30,IN_Zugliste!$A$4:$E$2002,5,FALSE),"")</f>
        <v/>
      </c>
      <c r="DA229" t="str">
        <f>+IFERROR(VLOOKUP(DA30,IN_Zugliste!$A$4:$E$2002,5,FALSE),"")</f>
        <v/>
      </c>
      <c r="DB229" t="str">
        <f>+IFERROR(VLOOKUP(DB30,IN_Zugliste!$A$4:$E$2002,5,FALSE),"")</f>
        <v/>
      </c>
      <c r="DC229" t="str">
        <f>+IFERROR(VLOOKUP(DC30,IN_Zugliste!$A$4:$E$2002,5,FALSE),"")</f>
        <v/>
      </c>
      <c r="DD229" t="str">
        <f>+IFERROR(VLOOKUP(DD30,IN_Zugliste!$A$4:$E$2002,5,FALSE),"")</f>
        <v/>
      </c>
      <c r="DE229" t="str">
        <f>+IFERROR(VLOOKUP(DE30,IN_Zugliste!$A$4:$E$2002,5,FALSE),"")</f>
        <v/>
      </c>
      <c r="DF229" t="str">
        <f>+IFERROR(VLOOKUP(DF30,IN_Zugliste!$A$4:$E$2002,5,FALSE),"")</f>
        <v/>
      </c>
      <c r="DG229" t="str">
        <f>+IFERROR(VLOOKUP(DG30,IN_Zugliste!$A$4:$E$2002,5,FALSE),"")</f>
        <v/>
      </c>
      <c r="DH229" t="str">
        <f>+IFERROR(VLOOKUP(DH30,IN_Zugliste!$A$4:$E$2002,5,FALSE),"")</f>
        <v/>
      </c>
      <c r="DI229" t="str">
        <f>+IFERROR(VLOOKUP(DI30,IN_Zugliste!$A$4:$E$2002,5,FALSE),"")</f>
        <v/>
      </c>
      <c r="DJ229" t="str">
        <f>+IFERROR(VLOOKUP(DJ30,IN_Zugliste!$A$4:$E$2002,5,FALSE),"")</f>
        <v/>
      </c>
      <c r="DK229" t="str">
        <f>+IFERROR(VLOOKUP(DK30,IN_Zugliste!$A$4:$E$2002,5,FALSE),"")</f>
        <v/>
      </c>
      <c r="DL229" t="str">
        <f>+IFERROR(VLOOKUP(DL30,IN_Zugliste!$A$4:$E$2002,5,FALSE),"")</f>
        <v/>
      </c>
      <c r="DM229" t="str">
        <f>+IFERROR(VLOOKUP(DM30,IN_Zugliste!$A$4:$E$2002,5,FALSE),"")</f>
        <v/>
      </c>
      <c r="DN229" t="str">
        <f>+IFERROR(VLOOKUP(DN30,IN_Zugliste!$A$4:$E$2002,5,FALSE),"")</f>
        <v/>
      </c>
      <c r="DO229" t="str">
        <f>+IFERROR(VLOOKUP(DO30,IN_Zugliste!$A$4:$E$2002,5,FALSE),"")</f>
        <v/>
      </c>
      <c r="DP229" t="str">
        <f>+IFERROR(VLOOKUP(DP30,IN_Zugliste!$A$4:$E$2002,5,FALSE),"")</f>
        <v/>
      </c>
      <c r="DQ229" t="str">
        <f>+IFERROR(VLOOKUP(DQ30,IN_Zugliste!$A$4:$E$2002,5,FALSE),"")</f>
        <v/>
      </c>
      <c r="DR229" t="str">
        <f>+IFERROR(VLOOKUP(DR30,IN_Zugliste!$A$4:$E$2002,5,FALSE),"")</f>
        <v/>
      </c>
      <c r="DS229" t="str">
        <f>+IFERROR(VLOOKUP(DS30,IN_Zugliste!$A$4:$E$2002,5,FALSE),"")</f>
        <v/>
      </c>
      <c r="DT229" t="str">
        <f>+IFERROR(VLOOKUP(DT30,IN_Zugliste!$A$4:$E$2002,5,FALSE),"")</f>
        <v/>
      </c>
      <c r="DU229" t="str">
        <f>+IFERROR(VLOOKUP(DU30,IN_Zugliste!$A$4:$E$2002,5,FALSE),"")</f>
        <v/>
      </c>
      <c r="DV229" t="str">
        <f>+IFERROR(VLOOKUP(DV30,IN_Zugliste!$A$4:$E$2002,5,FALSE),"")</f>
        <v/>
      </c>
      <c r="DW229" t="str">
        <f>+IFERROR(VLOOKUP(DW30,IN_Zugliste!$A$4:$E$2002,5,FALSE),"")</f>
        <v/>
      </c>
      <c r="DX229" t="str">
        <f>+IFERROR(VLOOKUP(DX30,IN_Zugliste!$A$4:$E$2002,5,FALSE),"")</f>
        <v/>
      </c>
      <c r="DY229" t="str">
        <f>+IFERROR(VLOOKUP(DY30,IN_Zugliste!$A$4:$E$2002,5,FALSE),"")</f>
        <v/>
      </c>
      <c r="DZ229" t="str">
        <f>+IFERROR(VLOOKUP(DZ30,IN_Zugliste!$A$4:$E$2002,5,FALSE),"")</f>
        <v/>
      </c>
      <c r="EA229" t="str">
        <f>+IFERROR(VLOOKUP(EA30,IN_Zugliste!$A$4:$E$2002,5,FALSE),"")</f>
        <v/>
      </c>
      <c r="EB229" t="str">
        <f>+IFERROR(VLOOKUP(EB30,IN_Zugliste!$A$4:$E$2002,5,FALSE),"")</f>
        <v/>
      </c>
      <c r="EC229" t="str">
        <f>+IFERROR(VLOOKUP(EC30,IN_Zugliste!$A$4:$E$2002,5,FALSE),"")</f>
        <v/>
      </c>
      <c r="ED229" t="str">
        <f>+IFERROR(VLOOKUP(ED30,IN_Zugliste!$A$4:$E$2002,5,FALSE),"")</f>
        <v/>
      </c>
      <c r="EE229" t="str">
        <f>+IFERROR(VLOOKUP(EE30,IN_Zugliste!$A$4:$E$2002,5,FALSE),"")</f>
        <v/>
      </c>
      <c r="EF229" t="str">
        <f>+IFERROR(VLOOKUP(EF30,IN_Zugliste!$A$4:$E$2002,5,FALSE),"")</f>
        <v/>
      </c>
      <c r="EG229" t="str">
        <f>+IFERROR(VLOOKUP(EG30,IN_Zugliste!$A$4:$E$2002,5,FALSE),"")</f>
        <v/>
      </c>
      <c r="EH229" t="str">
        <f>+IFERROR(VLOOKUP(EH30,IN_Zugliste!$A$4:$E$2002,5,FALSE),"")</f>
        <v/>
      </c>
      <c r="EI229" t="str">
        <f>+IFERROR(VLOOKUP(EI30,IN_Zugliste!$A$4:$E$2002,5,FALSE),"")</f>
        <v/>
      </c>
      <c r="EJ229" t="str">
        <f>+IFERROR(VLOOKUP(EJ30,IN_Zugliste!$A$4:$E$2002,5,FALSE),"")</f>
        <v/>
      </c>
      <c r="EK229" t="str">
        <f>+IFERROR(VLOOKUP(EK30,IN_Zugliste!$A$4:$E$2002,5,FALSE),"")</f>
        <v/>
      </c>
      <c r="EL229" t="str">
        <f>+IFERROR(VLOOKUP(EL30,IN_Zugliste!$A$4:$E$2002,5,FALSE),"")</f>
        <v/>
      </c>
      <c r="EM229" t="str">
        <f>+IFERROR(VLOOKUP(EM30,IN_Zugliste!$A$4:$E$2002,5,FALSE),"")</f>
        <v/>
      </c>
      <c r="EN229" t="str">
        <f>+IFERROR(VLOOKUP(EN30,IN_Zugliste!$A$4:$E$2002,5,FALSE),"")</f>
        <v/>
      </c>
      <c r="EO229" t="str">
        <f>+IFERROR(VLOOKUP(EO30,IN_Zugliste!$A$4:$E$2002,5,FALSE),"")</f>
        <v/>
      </c>
      <c r="EP229" t="str">
        <f>+IFERROR(VLOOKUP(EP30,IN_Zugliste!$A$4:$E$2002,5,FALSE),"")</f>
        <v/>
      </c>
      <c r="EQ229" t="str">
        <f>+IFERROR(VLOOKUP(EQ30,IN_Zugliste!$A$4:$E$2002,5,FALSE),"")</f>
        <v/>
      </c>
      <c r="ER229" t="str">
        <f>+IFERROR(VLOOKUP(ER30,IN_Zugliste!$A$4:$E$2002,5,FALSE),"")</f>
        <v/>
      </c>
      <c r="ES229" t="str">
        <f>+IFERROR(VLOOKUP(ES30,IN_Zugliste!$A$4:$E$2002,5,FALSE),"")</f>
        <v/>
      </c>
      <c r="ET229" t="str">
        <f>+IFERROR(VLOOKUP(ET30,IN_Zugliste!$A$4:$E$2002,5,FALSE),"")</f>
        <v/>
      </c>
      <c r="EU229" t="str">
        <f>+IFERROR(VLOOKUP(EU30,IN_Zugliste!$A$4:$E$2002,5,FALSE),"")</f>
        <v/>
      </c>
      <c r="EV229" t="str">
        <f>+IFERROR(VLOOKUP(EV30,IN_Zugliste!$A$4:$E$2002,5,FALSE),"")</f>
        <v/>
      </c>
      <c r="EW229" t="str">
        <f>+IFERROR(VLOOKUP(EW30,IN_Zugliste!$A$4:$E$2002,5,FALSE),"")</f>
        <v/>
      </c>
      <c r="EX229" t="str">
        <f>+IFERROR(VLOOKUP(EX30,IN_Zugliste!$A$4:$E$2002,5,FALSE),"")</f>
        <v/>
      </c>
      <c r="EY229" t="str">
        <f>+IFERROR(VLOOKUP(EY30,IN_Zugliste!$A$4:$E$2002,5,FALSE),"")</f>
        <v/>
      </c>
      <c r="EZ229" t="str">
        <f>+IFERROR(VLOOKUP(EZ30,IN_Zugliste!$A$4:$E$2002,5,FALSE),"")</f>
        <v/>
      </c>
      <c r="FA229" t="str">
        <f>+IFERROR(VLOOKUP(FA30,IN_Zugliste!$A$4:$E$2002,5,FALSE),"")</f>
        <v/>
      </c>
      <c r="FB229" t="str">
        <f>+IFERROR(VLOOKUP(FB30,IN_Zugliste!$A$4:$E$2002,5,FALSE),"")</f>
        <v/>
      </c>
      <c r="FC229" t="str">
        <f>+IFERROR(VLOOKUP(FC30,IN_Zugliste!$A$4:$E$2002,5,FALSE),"")</f>
        <v/>
      </c>
      <c r="FD229" t="str">
        <f>+IFERROR(VLOOKUP(FD30,IN_Zugliste!$A$4:$E$2002,5,FALSE),"")</f>
        <v/>
      </c>
      <c r="FE229" t="str">
        <f>+IFERROR(VLOOKUP(FE30,IN_Zugliste!$A$4:$E$2002,5,FALSE),"")</f>
        <v/>
      </c>
      <c r="FF229" t="str">
        <f>+IFERROR(VLOOKUP(FF30,IN_Zugliste!$A$4:$E$2002,5,FALSE),"")</f>
        <v/>
      </c>
      <c r="FG229" t="str">
        <f>+IFERROR(VLOOKUP(FG30,IN_Zugliste!$A$4:$E$2002,5,FALSE),"")</f>
        <v/>
      </c>
      <c r="FH229" t="str">
        <f>+IFERROR(VLOOKUP(FH30,IN_Zugliste!$A$4:$E$2002,5,FALSE),"")</f>
        <v/>
      </c>
      <c r="FI229" t="str">
        <f>+IFERROR(VLOOKUP(FI30,IN_Zugliste!$A$4:$E$2002,5,FALSE),"")</f>
        <v/>
      </c>
      <c r="FJ229" t="str">
        <f>+IFERROR(VLOOKUP(FJ30,IN_Zugliste!$A$4:$E$2002,5,FALSE),"")</f>
        <v/>
      </c>
      <c r="FK229" t="str">
        <f>+IFERROR(VLOOKUP(FK30,IN_Zugliste!$A$4:$E$2002,5,FALSE),"")</f>
        <v/>
      </c>
      <c r="FL229" t="str">
        <f>+IFERROR(VLOOKUP(FL30,IN_Zugliste!$A$4:$E$2002,5,FALSE),"")</f>
        <v/>
      </c>
      <c r="FM229" t="str">
        <f>+IFERROR(VLOOKUP(FM30,IN_Zugliste!$A$4:$D$2002,5,FALSE),"")</f>
        <v/>
      </c>
      <c r="FN229" t="str">
        <f>+IFERROR(VLOOKUP(FN30,IN_Zugliste!$A$4:$D$2002,5,FALSE),"")</f>
        <v/>
      </c>
      <c r="FO229" t="str">
        <f>+IFERROR(VLOOKUP(FO30,IN_Zugliste!$A$4:$D$2002,5,FALSE),"")</f>
        <v/>
      </c>
      <c r="FP229" t="str">
        <f>+IFERROR(VLOOKUP(FP30,IN_Zugliste!$A$4:$D$2002,5,FALSE),"")</f>
        <v/>
      </c>
      <c r="FQ229" t="str">
        <f>+IFERROR(VLOOKUP(FQ30,IN_Zugliste!$A$4:$D$2002,5,FALSE),"")</f>
        <v/>
      </c>
      <c r="FR229" t="str">
        <f>+IFERROR(VLOOKUP(FR30,IN_Zugliste!$A$4:$D$2002,5,FALSE),"")</f>
        <v/>
      </c>
      <c r="FS229" t="str">
        <f>+IFERROR(VLOOKUP(FS30,IN_Zugliste!$A$4:$D$2002,5,FALSE),"")</f>
        <v/>
      </c>
      <c r="FT229" t="str">
        <f>+IFERROR(VLOOKUP(FT30,IN_Zugliste!$A$4:$D$2002,5,FALSE),"")</f>
        <v/>
      </c>
      <c r="FU229" t="str">
        <f>+IFERROR(VLOOKUP(FU30,IN_Zugliste!$A$4:$D$2002,5,FALSE),"")</f>
        <v/>
      </c>
      <c r="FV229" t="str">
        <f>+IFERROR(VLOOKUP(FV30,IN_Zugliste!$A$4:$D$2002,5,FALSE),"")</f>
        <v/>
      </c>
      <c r="FW229" t="str">
        <f>+IFERROR(VLOOKUP(FW30,IN_Zugliste!$A$4:$D$2002,5,FALSE),"")</f>
        <v/>
      </c>
      <c r="FX229" t="str">
        <f>+IFERROR(VLOOKUP(FX30,IN_Zugliste!$A$4:$D$2002,5,FALSE),"")</f>
        <v/>
      </c>
      <c r="FY229" t="str">
        <f>+IFERROR(VLOOKUP(FY30,IN_Zugliste!$A$4:$D$2002,5,FALSE),"")</f>
        <v/>
      </c>
      <c r="FZ229" t="str">
        <f>+IFERROR(VLOOKUP(FZ30,IN_Zugliste!$A$4:$D$2002,5,FALSE),"")</f>
        <v/>
      </c>
      <c r="GA229" t="str">
        <f>+IFERROR(VLOOKUP(GA30,IN_Zugliste!$A$4:$D$2002,5,FALSE),"")</f>
        <v/>
      </c>
      <c r="GB229" t="str">
        <f>+IFERROR(VLOOKUP(GB30,IN_Zugliste!$A$4:$D$2002,5,FALSE),"")</f>
        <v/>
      </c>
      <c r="GC229" t="str">
        <f>+IFERROR(VLOOKUP(GC30,IN_Zugliste!$A$4:$D$2002,5,FALSE),"")</f>
        <v/>
      </c>
      <c r="GD229" t="str">
        <f>+IFERROR(VLOOKUP(GD30,IN_Zugliste!$A$4:$D$2002,5,FALSE),"")</f>
        <v/>
      </c>
      <c r="GE229" t="str">
        <f>+IFERROR(VLOOKUP(GE30,IN_Zugliste!$A$4:$D$2002,5,FALSE),"")</f>
        <v/>
      </c>
      <c r="GF229" t="str">
        <f>+IFERROR(VLOOKUP(GF30,IN_Zugliste!$A$4:$D$2002,5,FALSE),"")</f>
        <v/>
      </c>
      <c r="GG229" t="str">
        <f>+IFERROR(VLOOKUP(GG30,IN_Zugliste!$A$4:$D$2002,5,FALSE),"")</f>
        <v/>
      </c>
      <c r="GH229" t="str">
        <f>+IFERROR(VLOOKUP(GH30,IN_Zugliste!$A$4:$D$2002,5,FALSE),"")</f>
        <v/>
      </c>
      <c r="GI229" t="str">
        <f>+IFERROR(VLOOKUP(GI30,IN_Zugliste!$A$4:$D$2002,5,FALSE),"")</f>
        <v/>
      </c>
      <c r="GJ229" t="str">
        <f>+IFERROR(VLOOKUP(GJ30,IN_Zugliste!$A$4:$D$2002,5,FALSE),"")</f>
        <v/>
      </c>
      <c r="GK229" t="str">
        <f>+IFERROR(VLOOKUP(GK30,IN_Zugliste!$A$4:$D$2002,5,FALSE),"")</f>
        <v/>
      </c>
      <c r="GL229" t="str">
        <f>+IFERROR(VLOOKUP(GL30,IN_Zugliste!$A$4:$D$2002,5,FALSE),"")</f>
        <v/>
      </c>
      <c r="GM229" t="str">
        <f>+IFERROR(VLOOKUP(GM30,IN_Zugliste!$A$4:$D$2002,5,FALSE),"")</f>
        <v/>
      </c>
      <c r="GN229" t="str">
        <f>+IFERROR(VLOOKUP(GN30,IN_Zugliste!$A$4:$D$2002,5,FALSE),"")</f>
        <v/>
      </c>
      <c r="GO229" t="str">
        <f>+IFERROR(VLOOKUP(GO30,IN_Zugliste!$A$4:$D$2002,5,FALSE),"")</f>
        <v/>
      </c>
      <c r="GP229" t="str">
        <f>+IFERROR(VLOOKUP(GP30,IN_Zugliste!$A$4:$D$2002,5,FALSE),"")</f>
        <v/>
      </c>
      <c r="GQ229" t="str">
        <f>+IFERROR(VLOOKUP(GQ30,IN_Zugliste!$A$4:$D$2002,5,FALSE),"")</f>
        <v/>
      </c>
      <c r="GR229" t="str">
        <f>+IFERROR(VLOOKUP(GR30,IN_Zugliste!$A$4:$D$2002,5,FALSE),"")</f>
        <v/>
      </c>
      <c r="GS229" t="str">
        <f>+IFERROR(VLOOKUP(GS30,IN_Zugliste!$A$4:$D$2002,5,FALSE),"")</f>
        <v/>
      </c>
      <c r="GT229" t="str">
        <f>+IFERROR(VLOOKUP(GT30,IN_Zugliste!$A$4:$D$2002,5,FALSE),"")</f>
        <v/>
      </c>
      <c r="GU229" t="str">
        <f>+IFERROR(VLOOKUP(GU30,IN_Zugliste!$A$4:$D$2002,5,FALSE),"")</f>
        <v/>
      </c>
      <c r="GV229" t="str">
        <f>+IFERROR(VLOOKUP(GV30,IN_Zugliste!$A$4:$D$2002,5,FALSE),"")</f>
        <v/>
      </c>
      <c r="GW229" t="str">
        <f>+IFERROR(VLOOKUP(GW30,IN_Zugliste!$A$4:$D$2002,5,FALSE),"")</f>
        <v/>
      </c>
      <c r="GX229" t="str">
        <f>+IFERROR(VLOOKUP(GX30,IN_Zugliste!$A$4:$D$2002,5,FALSE),"")</f>
        <v/>
      </c>
      <c r="GY229" t="str">
        <f>+IFERROR(VLOOKUP(GY30,IN_Zugliste!$A$4:$D$2002,5,FALSE),"")</f>
        <v/>
      </c>
      <c r="GZ229" t="str">
        <f>+IFERROR(VLOOKUP(GZ30,IN_Zugliste!$A$4:$D$2002,5,FALSE),"")</f>
        <v/>
      </c>
      <c r="HA229" t="str">
        <f>+IFERROR(VLOOKUP(HA30,IN_Zugliste!$A$4:$D$2002,5,FALSE),"")</f>
        <v/>
      </c>
      <c r="HB229" t="str">
        <f>+IFERROR(VLOOKUP(HB30,IN_Zugliste!$A$4:$D$2002,5,FALSE),"")</f>
        <v/>
      </c>
      <c r="HC229" t="str">
        <f>+IFERROR(VLOOKUP(HC30,IN_Zugliste!$A$4:$D$2002,5,FALSE),"")</f>
        <v/>
      </c>
      <c r="HD229" t="str">
        <f>+IFERROR(VLOOKUP(HD30,IN_Zugliste!$A$4:$D$2002,5,FALSE),"")</f>
        <v/>
      </c>
      <c r="HE229" t="str">
        <f>+IFERROR(VLOOKUP(HE30,IN_Zugliste!$A$4:$D$2002,5,FALSE),"")</f>
        <v/>
      </c>
      <c r="HF229" t="str">
        <f>+IFERROR(VLOOKUP(HF30,IN_Zugliste!$A$4:$D$2002,5,FALSE),"")</f>
        <v/>
      </c>
      <c r="HG229" t="str">
        <f>+IFERROR(VLOOKUP(HG30,IN_Zugliste!$A$4:$D$2002,5,FALSE),"")</f>
        <v/>
      </c>
      <c r="HH229" t="str">
        <f>+IFERROR(VLOOKUP(HH30,IN_Zugliste!$A$4:$D$2002,5,FALSE),"")</f>
        <v/>
      </c>
    </row>
    <row r="230" spans="1:216" x14ac:dyDescent="0.2">
      <c r="A230" t="str">
        <f>+IFERROR(VLOOKUP(A31,IN_Zugliste!$A$4:$E$2002,5,FALSE),"")</f>
        <v/>
      </c>
      <c r="B230" t="str">
        <f>+IFERROR(VLOOKUP(B31,IN_Zugliste!$A$4:$E$2002,5,FALSE),"")</f>
        <v/>
      </c>
      <c r="C230" t="str">
        <f>+IFERROR(VLOOKUP(C31,IN_Zugliste!$A$4:$E$2002,5,FALSE),"")</f>
        <v/>
      </c>
      <c r="D230" t="str">
        <f>+IFERROR(VLOOKUP(D31,IN_Zugliste!$A$4:$E$2002,5,FALSE),"")</f>
        <v/>
      </c>
      <c r="E230" t="str">
        <f>+IFERROR(VLOOKUP(E31,IN_Zugliste!$A$4:$E$2002,5,FALSE),"")</f>
        <v/>
      </c>
      <c r="F230" t="str">
        <f>+IFERROR(VLOOKUP(F31,IN_Zugliste!$A$4:$E$2002,5,FALSE),"")</f>
        <v/>
      </c>
      <c r="G230" t="str">
        <f>+IFERROR(VLOOKUP(G31,IN_Zugliste!$A$4:$E$2002,5,FALSE),"")</f>
        <v/>
      </c>
      <c r="H230" t="str">
        <f>+IFERROR(VLOOKUP(H31,IN_Zugliste!$A$4:$E$2002,5,FALSE),"")</f>
        <v/>
      </c>
      <c r="I230" t="str">
        <f>+IFERROR(VLOOKUP(I31,IN_Zugliste!$A$4:$E$2002,5,FALSE),"")</f>
        <v/>
      </c>
      <c r="J230" t="str">
        <f>+IFERROR(VLOOKUP(J31,IN_Zugliste!$A$4:$E$2002,5,FALSE),"")</f>
        <v/>
      </c>
      <c r="K230" t="str">
        <f>+IFERROR(VLOOKUP(K31,IN_Zugliste!$A$4:$E$2002,5,FALSE),"")</f>
        <v/>
      </c>
      <c r="L230" t="str">
        <f>+IFERROR(VLOOKUP(L31,IN_Zugliste!$A$4:$E$2002,5,FALSE),"")</f>
        <v/>
      </c>
      <c r="M230" t="str">
        <f>+IFERROR(VLOOKUP(M31,IN_Zugliste!$A$4:$E$2002,5,FALSE),"")</f>
        <v/>
      </c>
      <c r="N230" t="str">
        <f>+IFERROR(VLOOKUP(N31,IN_Zugliste!$A$4:$E$2002,5,FALSE),"")</f>
        <v/>
      </c>
      <c r="O230" t="str">
        <f>+IFERROR(VLOOKUP(O31,IN_Zugliste!$A$4:$E$2002,5,FALSE),"")</f>
        <v/>
      </c>
      <c r="P230" t="str">
        <f>+IFERROR(VLOOKUP(P31,IN_Zugliste!$A$4:$E$2002,5,FALSE),"")</f>
        <v/>
      </c>
      <c r="Q230" t="str">
        <f>+IFERROR(VLOOKUP(Q31,IN_Zugliste!$A$4:$E$2002,5,FALSE),"")</f>
        <v/>
      </c>
      <c r="R230" t="str">
        <f>+IFERROR(VLOOKUP(R31,IN_Zugliste!$A$4:$E$2002,5,FALSE),"")</f>
        <v/>
      </c>
      <c r="S230" t="str">
        <f>+IFERROR(VLOOKUP(S31,IN_Zugliste!$A$4:$E$2002,5,FALSE),"")</f>
        <v/>
      </c>
      <c r="T230" t="str">
        <f>+IFERROR(VLOOKUP(T31,IN_Zugliste!$A$4:$E$2002,5,FALSE),"")</f>
        <v/>
      </c>
      <c r="U230" t="str">
        <f>+IFERROR(VLOOKUP(U31,IN_Zugliste!$A$4:$E$2002,5,FALSE),"")</f>
        <v/>
      </c>
      <c r="V230" t="str">
        <f>+IFERROR(VLOOKUP(V31,IN_Zugliste!$A$4:$E$2002,5,FALSE),"")</f>
        <v/>
      </c>
      <c r="W230" t="str">
        <f>+IFERROR(VLOOKUP(W31,IN_Zugliste!$A$4:$E$2002,5,FALSE),"")</f>
        <v/>
      </c>
      <c r="X230" t="str">
        <f>+IFERROR(VLOOKUP(X31,IN_Zugliste!$A$4:$E$2002,5,FALSE),"")</f>
        <v/>
      </c>
      <c r="Y230" t="str">
        <f>+IFERROR(VLOOKUP(Y31,IN_Zugliste!$A$4:$E$2002,5,FALSE),"")</f>
        <v/>
      </c>
      <c r="Z230" t="str">
        <f>+IFERROR(VLOOKUP(Z31,IN_Zugliste!$A$4:$E$2002,5,FALSE),"")</f>
        <v/>
      </c>
      <c r="AA230" t="str">
        <f>+IFERROR(VLOOKUP(AA31,IN_Zugliste!$A$4:$E$2002,5,FALSE),"")</f>
        <v/>
      </c>
      <c r="AB230" t="str">
        <f>+IFERROR(VLOOKUP(AB31,IN_Zugliste!$A$4:$E$2002,5,FALSE),"")</f>
        <v/>
      </c>
      <c r="AC230" t="str">
        <f>+IFERROR(VLOOKUP(AC31,IN_Zugliste!$A$4:$E$2002,5,FALSE),"")</f>
        <v/>
      </c>
      <c r="AD230" t="str">
        <f>+IFERROR(VLOOKUP(AD31,IN_Zugliste!$A$4:$E$2002,5,FALSE),"")</f>
        <v/>
      </c>
      <c r="AE230" t="str">
        <f>+IFERROR(VLOOKUP(AE31,IN_Zugliste!$A$4:$E$2002,5,FALSE),"")</f>
        <v/>
      </c>
      <c r="AF230" t="str">
        <f>+IFERROR(VLOOKUP(AF31,IN_Zugliste!$A$4:$E$2002,5,FALSE),"")</f>
        <v/>
      </c>
      <c r="AG230" t="str">
        <f>+IFERROR(VLOOKUP(AG31,IN_Zugliste!$A$4:$E$2002,5,FALSE),"")</f>
        <v/>
      </c>
      <c r="AH230" t="str">
        <f>+IFERROR(VLOOKUP(AH31,IN_Zugliste!$A$4:$E$2002,5,FALSE),"")</f>
        <v/>
      </c>
      <c r="AI230" t="str">
        <f>+IFERROR(VLOOKUP(AI31,IN_Zugliste!$A$4:$E$2002,5,FALSE),"")</f>
        <v/>
      </c>
      <c r="AJ230" t="str">
        <f>+IFERROR(VLOOKUP(AJ31,IN_Zugliste!$A$4:$E$2002,5,FALSE),"")</f>
        <v/>
      </c>
      <c r="AK230" t="str">
        <f>+IFERROR(VLOOKUP(AK31,IN_Zugliste!$A$4:$E$2002,5,FALSE),"")</f>
        <v/>
      </c>
      <c r="AL230" t="str">
        <f>+IFERROR(VLOOKUP(AL31,IN_Zugliste!$A$4:$E$2002,5,FALSE),"")</f>
        <v/>
      </c>
      <c r="AM230" t="str">
        <f>+IFERROR(VLOOKUP(AM31,IN_Zugliste!$A$4:$E$2002,5,FALSE),"")</f>
        <v/>
      </c>
      <c r="AN230" t="str">
        <f>+IFERROR(VLOOKUP(AN31,IN_Zugliste!$A$4:$E$2002,5,FALSE),"")</f>
        <v/>
      </c>
      <c r="AO230" t="str">
        <f>+IFERROR(VLOOKUP(AO31,IN_Zugliste!$A$4:$E$2002,5,FALSE),"")</f>
        <v/>
      </c>
      <c r="AP230" t="str">
        <f>+IFERROR(VLOOKUP(AP31,IN_Zugliste!$A$4:$E$2002,5,FALSE),"")</f>
        <v/>
      </c>
      <c r="AQ230" t="str">
        <f>+IFERROR(VLOOKUP(AQ31,IN_Zugliste!$A$4:$E$2002,5,FALSE),"")</f>
        <v/>
      </c>
      <c r="AR230" t="str">
        <f>+IFERROR(VLOOKUP(AR31,IN_Zugliste!$A$4:$E$2002,5,FALSE),"")</f>
        <v/>
      </c>
      <c r="AS230" t="str">
        <f>+IFERROR(VLOOKUP(AS31,IN_Zugliste!$A$4:$E$2002,5,FALSE),"")</f>
        <v/>
      </c>
      <c r="AT230" t="str">
        <f>+IFERROR(VLOOKUP(AT31,IN_Zugliste!$A$4:$E$2002,5,FALSE),"")</f>
        <v/>
      </c>
      <c r="AU230" t="str">
        <f>+IFERROR(VLOOKUP(AU31,IN_Zugliste!$A$4:$E$2002,5,FALSE),"")</f>
        <v/>
      </c>
      <c r="AV230" t="str">
        <f>+IFERROR(VLOOKUP(AV31,IN_Zugliste!$A$4:$E$2002,5,FALSE),"")</f>
        <v/>
      </c>
      <c r="AW230" t="str">
        <f>+IFERROR(VLOOKUP(AW31,IN_Zugliste!$A$4:$E$2002,5,FALSE),"")</f>
        <v/>
      </c>
      <c r="AX230" t="str">
        <f>+IFERROR(VLOOKUP(AX31,IN_Zugliste!$A$4:$E$2002,5,FALSE),"")</f>
        <v/>
      </c>
      <c r="AY230" t="str">
        <f>+IFERROR(VLOOKUP(AY31,IN_Zugliste!$A$4:$E$2002,5,FALSE),"")</f>
        <v/>
      </c>
      <c r="AZ230" t="str">
        <f>+IFERROR(VLOOKUP(AZ31,IN_Zugliste!$A$4:$E$2002,5,FALSE),"")</f>
        <v/>
      </c>
      <c r="BA230" t="str">
        <f>+IFERROR(VLOOKUP(BA31,IN_Zugliste!$A$4:$E$2002,5,FALSE),"")</f>
        <v/>
      </c>
      <c r="BB230" t="str">
        <f>+IFERROR(VLOOKUP(BB31,IN_Zugliste!$A$4:$E$2002,5,FALSE),"")</f>
        <v/>
      </c>
      <c r="BC230" t="str">
        <f>+IFERROR(VLOOKUP(BC31,IN_Zugliste!$A$4:$E$2002,5,FALSE),"")</f>
        <v/>
      </c>
      <c r="BD230" t="str">
        <f>+IFERROR(VLOOKUP(BD31,IN_Zugliste!$A$4:$E$2002,5,FALSE),"")</f>
        <v/>
      </c>
      <c r="BE230" t="str">
        <f>+IFERROR(VLOOKUP(BE31,IN_Zugliste!$A$4:$E$2002,5,FALSE),"")</f>
        <v/>
      </c>
      <c r="BF230" t="str">
        <f>+IFERROR(VLOOKUP(BF31,IN_Zugliste!$A$4:$E$2002,5,FALSE),"")</f>
        <v/>
      </c>
      <c r="BG230" t="str">
        <f>+IFERROR(VLOOKUP(BG31,IN_Zugliste!$A$4:$E$2002,5,FALSE),"")</f>
        <v/>
      </c>
      <c r="BH230" t="str">
        <f>+IFERROR(VLOOKUP(BH31,IN_Zugliste!$A$4:$E$2002,5,FALSE),"")</f>
        <v/>
      </c>
      <c r="BI230" t="str">
        <f>+IFERROR(VLOOKUP(BI31,IN_Zugliste!$A$4:$E$2002,5,FALSE),"")</f>
        <v/>
      </c>
      <c r="BJ230" t="str">
        <f>+IFERROR(VLOOKUP(BJ31,IN_Zugliste!$A$4:$E$2002,5,FALSE),"")</f>
        <v/>
      </c>
      <c r="BK230" t="str">
        <f>+IFERROR(VLOOKUP(BK31,IN_Zugliste!$A$4:$E$2002,5,FALSE),"")</f>
        <v/>
      </c>
      <c r="BL230" t="str">
        <f>+IFERROR(VLOOKUP(BL31,IN_Zugliste!$A$4:$E$2002,5,FALSE),"")</f>
        <v/>
      </c>
      <c r="BM230" t="str">
        <f>+IFERROR(VLOOKUP(BM31,IN_Zugliste!$A$4:$E$2002,5,FALSE),"")</f>
        <v/>
      </c>
      <c r="BN230" t="str">
        <f>+IFERROR(VLOOKUP(BN31,IN_Zugliste!$A$4:$E$2002,5,FALSE),"")</f>
        <v/>
      </c>
      <c r="BO230" t="str">
        <f>+IFERROR(VLOOKUP(BO31,IN_Zugliste!$A$4:$E$2002,5,FALSE),"")</f>
        <v/>
      </c>
      <c r="BP230" t="str">
        <f>+IFERROR(VLOOKUP(BP31,IN_Zugliste!$A$4:$E$2002,5,FALSE),"")</f>
        <v/>
      </c>
      <c r="BQ230" t="str">
        <f>+IFERROR(VLOOKUP(BQ31,IN_Zugliste!$A$4:$E$2002,5,FALSE),"")</f>
        <v/>
      </c>
      <c r="BR230" t="str">
        <f>+IFERROR(VLOOKUP(BR31,IN_Zugliste!$A$4:$E$2002,5,FALSE),"")</f>
        <v/>
      </c>
      <c r="BS230" t="str">
        <f>+IFERROR(VLOOKUP(BS31,IN_Zugliste!$A$4:$E$2002,5,FALSE),"")</f>
        <v/>
      </c>
      <c r="BT230" t="str">
        <f>+IFERROR(VLOOKUP(BT31,IN_Zugliste!$A$4:$E$2002,5,FALSE),"")</f>
        <v/>
      </c>
      <c r="BU230" t="str">
        <f>+IFERROR(VLOOKUP(BU31,IN_Zugliste!$A$4:$E$2002,5,FALSE),"")</f>
        <v/>
      </c>
      <c r="BV230" t="str">
        <f>+IFERROR(VLOOKUP(BV31,IN_Zugliste!$A$4:$E$2002,5,FALSE),"")</f>
        <v/>
      </c>
      <c r="BW230" t="str">
        <f>+IFERROR(VLOOKUP(BW31,IN_Zugliste!$A$4:$E$2002,5,FALSE),"")</f>
        <v/>
      </c>
      <c r="BX230" t="str">
        <f>+IFERROR(VLOOKUP(BX31,IN_Zugliste!$A$4:$E$2002,5,FALSE),"")</f>
        <v/>
      </c>
      <c r="BY230" t="str">
        <f>+IFERROR(VLOOKUP(BY31,IN_Zugliste!$A$4:$E$2002,5,FALSE),"")</f>
        <v/>
      </c>
      <c r="BZ230" t="str">
        <f>+IFERROR(VLOOKUP(BZ31,IN_Zugliste!$A$4:$E$2002,5,FALSE),"")</f>
        <v/>
      </c>
      <c r="CA230" t="str">
        <f>+IFERROR(VLOOKUP(CA31,IN_Zugliste!$A$4:$E$2002,5,FALSE),"")</f>
        <v/>
      </c>
      <c r="CB230" t="str">
        <f>+IFERROR(VLOOKUP(CB31,IN_Zugliste!$A$4:$E$2002,5,FALSE),"")</f>
        <v/>
      </c>
      <c r="CC230" t="str">
        <f>+IFERROR(VLOOKUP(CC31,IN_Zugliste!$A$4:$E$2002,5,FALSE),"")</f>
        <v/>
      </c>
      <c r="CD230" t="str">
        <f>+IFERROR(VLOOKUP(CD31,IN_Zugliste!$A$4:$E$2002,5,FALSE),"")</f>
        <v/>
      </c>
      <c r="CE230" t="str">
        <f>+IFERROR(VLOOKUP(CE31,IN_Zugliste!$A$4:$E$2002,5,FALSE),"")</f>
        <v/>
      </c>
      <c r="CF230" t="str">
        <f>+IFERROR(VLOOKUP(CF31,IN_Zugliste!$A$4:$E$2002,5,FALSE),"")</f>
        <v/>
      </c>
      <c r="CG230" t="str">
        <f>+IFERROR(VLOOKUP(CG31,IN_Zugliste!$A$4:$E$2002,5,FALSE),"")</f>
        <v/>
      </c>
      <c r="CH230" t="str">
        <f>+IFERROR(VLOOKUP(CH31,IN_Zugliste!$A$4:$E$2002,5,FALSE),"")</f>
        <v/>
      </c>
      <c r="CI230" t="str">
        <f>+IFERROR(VLOOKUP(CI31,IN_Zugliste!$A$4:$E$2002,5,FALSE),"")</f>
        <v/>
      </c>
      <c r="CJ230" t="str">
        <f>+IFERROR(VLOOKUP(CJ31,IN_Zugliste!$A$4:$E$2002,5,FALSE),"")</f>
        <v/>
      </c>
      <c r="CK230" t="str">
        <f>+IFERROR(VLOOKUP(CK31,IN_Zugliste!$A$4:$E$2002,5,FALSE),"")</f>
        <v/>
      </c>
      <c r="CL230" t="str">
        <f>+IFERROR(VLOOKUP(CL31,IN_Zugliste!$A$4:$E$2002,5,FALSE),"")</f>
        <v/>
      </c>
      <c r="CM230" t="str">
        <f>+IFERROR(VLOOKUP(CM31,IN_Zugliste!$A$4:$E$2002,5,FALSE),"")</f>
        <v/>
      </c>
      <c r="CN230" t="str">
        <f>+IFERROR(VLOOKUP(CN31,IN_Zugliste!$A$4:$E$2002,5,FALSE),"")</f>
        <v/>
      </c>
      <c r="CO230" t="str">
        <f>+IFERROR(VLOOKUP(CO31,IN_Zugliste!$A$4:$E$2002,5,FALSE),"")</f>
        <v/>
      </c>
      <c r="CP230" t="str">
        <f>+IFERROR(VLOOKUP(CP31,IN_Zugliste!$A$4:$E$2002,5,FALSE),"")</f>
        <v/>
      </c>
      <c r="CQ230" t="str">
        <f>+IFERROR(VLOOKUP(CQ31,IN_Zugliste!$A$4:$E$2002,5,FALSE),"")</f>
        <v/>
      </c>
      <c r="CR230" t="str">
        <f>+IFERROR(VLOOKUP(CR31,IN_Zugliste!$A$4:$E$2002,5,FALSE),"")</f>
        <v/>
      </c>
      <c r="CS230" t="str">
        <f>+IFERROR(VLOOKUP(CS31,IN_Zugliste!$A$4:$E$2002,5,FALSE),"")</f>
        <v/>
      </c>
      <c r="CT230" t="str">
        <f>+IFERROR(VLOOKUP(CT31,IN_Zugliste!$A$4:$E$2002,5,FALSE),"")</f>
        <v/>
      </c>
      <c r="CU230" t="str">
        <f>+IFERROR(VLOOKUP(CU31,IN_Zugliste!$A$4:$E$2002,5,FALSE),"")</f>
        <v/>
      </c>
      <c r="CV230" t="str">
        <f>+IFERROR(VLOOKUP(CV31,IN_Zugliste!$A$4:$E$2002,5,FALSE),"")</f>
        <v/>
      </c>
      <c r="CW230" t="str">
        <f>+IFERROR(VLOOKUP(CW31,IN_Zugliste!$A$4:$E$2002,5,FALSE),"")</f>
        <v/>
      </c>
      <c r="CX230" t="str">
        <f>+IFERROR(VLOOKUP(CX31,IN_Zugliste!$A$4:$E$2002,5,FALSE),"")</f>
        <v/>
      </c>
      <c r="CY230" t="str">
        <f>+IFERROR(VLOOKUP(CY31,IN_Zugliste!$A$4:$E$2002,5,FALSE),"")</f>
        <v/>
      </c>
      <c r="CZ230" t="str">
        <f>+IFERROR(VLOOKUP(CZ31,IN_Zugliste!$A$4:$E$2002,5,FALSE),"")</f>
        <v/>
      </c>
      <c r="DA230" t="str">
        <f>+IFERROR(VLOOKUP(DA31,IN_Zugliste!$A$4:$E$2002,5,FALSE),"")</f>
        <v/>
      </c>
      <c r="DB230" t="str">
        <f>+IFERROR(VLOOKUP(DB31,IN_Zugliste!$A$4:$E$2002,5,FALSE),"")</f>
        <v/>
      </c>
      <c r="DC230" t="str">
        <f>+IFERROR(VLOOKUP(DC31,IN_Zugliste!$A$4:$E$2002,5,FALSE),"")</f>
        <v/>
      </c>
      <c r="DD230" t="str">
        <f>+IFERROR(VLOOKUP(DD31,IN_Zugliste!$A$4:$E$2002,5,FALSE),"")</f>
        <v/>
      </c>
      <c r="DE230" t="str">
        <f>+IFERROR(VLOOKUP(DE31,IN_Zugliste!$A$4:$E$2002,5,FALSE),"")</f>
        <v/>
      </c>
      <c r="DF230" t="str">
        <f>+IFERROR(VLOOKUP(DF31,IN_Zugliste!$A$4:$E$2002,5,FALSE),"")</f>
        <v/>
      </c>
      <c r="DG230" t="str">
        <f>+IFERROR(VLOOKUP(DG31,IN_Zugliste!$A$4:$E$2002,5,FALSE),"")</f>
        <v/>
      </c>
      <c r="DH230" t="str">
        <f>+IFERROR(VLOOKUP(DH31,IN_Zugliste!$A$4:$E$2002,5,FALSE),"")</f>
        <v/>
      </c>
      <c r="DI230" t="str">
        <f>+IFERROR(VLOOKUP(DI31,IN_Zugliste!$A$4:$E$2002,5,FALSE),"")</f>
        <v/>
      </c>
      <c r="DJ230" t="str">
        <f>+IFERROR(VLOOKUP(DJ31,IN_Zugliste!$A$4:$E$2002,5,FALSE),"")</f>
        <v/>
      </c>
      <c r="DK230" t="str">
        <f>+IFERROR(VLOOKUP(DK31,IN_Zugliste!$A$4:$E$2002,5,FALSE),"")</f>
        <v/>
      </c>
      <c r="DL230" t="str">
        <f>+IFERROR(VLOOKUP(DL31,IN_Zugliste!$A$4:$E$2002,5,FALSE),"")</f>
        <v/>
      </c>
      <c r="DM230" t="str">
        <f>+IFERROR(VLOOKUP(DM31,IN_Zugliste!$A$4:$E$2002,5,FALSE),"")</f>
        <v/>
      </c>
      <c r="DN230" t="str">
        <f>+IFERROR(VLOOKUP(DN31,IN_Zugliste!$A$4:$E$2002,5,FALSE),"")</f>
        <v/>
      </c>
      <c r="DO230" t="str">
        <f>+IFERROR(VLOOKUP(DO31,IN_Zugliste!$A$4:$E$2002,5,FALSE),"")</f>
        <v/>
      </c>
      <c r="DP230" t="str">
        <f>+IFERROR(VLOOKUP(DP31,IN_Zugliste!$A$4:$E$2002,5,FALSE),"")</f>
        <v/>
      </c>
      <c r="DQ230" t="str">
        <f>+IFERROR(VLOOKUP(DQ31,IN_Zugliste!$A$4:$E$2002,5,FALSE),"")</f>
        <v/>
      </c>
      <c r="DR230" t="str">
        <f>+IFERROR(VLOOKUP(DR31,IN_Zugliste!$A$4:$E$2002,5,FALSE),"")</f>
        <v/>
      </c>
      <c r="DS230" t="str">
        <f>+IFERROR(VLOOKUP(DS31,IN_Zugliste!$A$4:$E$2002,5,FALSE),"")</f>
        <v/>
      </c>
      <c r="DT230" t="str">
        <f>+IFERROR(VLOOKUP(DT31,IN_Zugliste!$A$4:$E$2002,5,FALSE),"")</f>
        <v/>
      </c>
      <c r="DU230" t="str">
        <f>+IFERROR(VLOOKUP(DU31,IN_Zugliste!$A$4:$E$2002,5,FALSE),"")</f>
        <v/>
      </c>
      <c r="DV230" t="str">
        <f>+IFERROR(VLOOKUP(DV31,IN_Zugliste!$A$4:$E$2002,5,FALSE),"")</f>
        <v/>
      </c>
      <c r="DW230" t="str">
        <f>+IFERROR(VLOOKUP(DW31,IN_Zugliste!$A$4:$E$2002,5,FALSE),"")</f>
        <v/>
      </c>
      <c r="DX230" t="str">
        <f>+IFERROR(VLOOKUP(DX31,IN_Zugliste!$A$4:$E$2002,5,FALSE),"")</f>
        <v/>
      </c>
      <c r="DY230" t="str">
        <f>+IFERROR(VLOOKUP(DY31,IN_Zugliste!$A$4:$E$2002,5,FALSE),"")</f>
        <v/>
      </c>
      <c r="DZ230" t="str">
        <f>+IFERROR(VLOOKUP(DZ31,IN_Zugliste!$A$4:$E$2002,5,FALSE),"")</f>
        <v/>
      </c>
      <c r="EA230" t="str">
        <f>+IFERROR(VLOOKUP(EA31,IN_Zugliste!$A$4:$E$2002,5,FALSE),"")</f>
        <v/>
      </c>
      <c r="EB230" t="str">
        <f>+IFERROR(VLOOKUP(EB31,IN_Zugliste!$A$4:$E$2002,5,FALSE),"")</f>
        <v/>
      </c>
      <c r="EC230" t="str">
        <f>+IFERROR(VLOOKUP(EC31,IN_Zugliste!$A$4:$E$2002,5,FALSE),"")</f>
        <v/>
      </c>
      <c r="ED230" t="str">
        <f>+IFERROR(VLOOKUP(ED31,IN_Zugliste!$A$4:$E$2002,5,FALSE),"")</f>
        <v/>
      </c>
      <c r="EE230" t="str">
        <f>+IFERROR(VLOOKUP(EE31,IN_Zugliste!$A$4:$E$2002,5,FALSE),"")</f>
        <v/>
      </c>
      <c r="EF230" t="str">
        <f>+IFERROR(VLOOKUP(EF31,IN_Zugliste!$A$4:$E$2002,5,FALSE),"")</f>
        <v/>
      </c>
      <c r="EG230" t="str">
        <f>+IFERROR(VLOOKUP(EG31,IN_Zugliste!$A$4:$E$2002,5,FALSE),"")</f>
        <v/>
      </c>
      <c r="EH230" t="str">
        <f>+IFERROR(VLOOKUP(EH31,IN_Zugliste!$A$4:$E$2002,5,FALSE),"")</f>
        <v/>
      </c>
      <c r="EI230" t="str">
        <f>+IFERROR(VLOOKUP(EI31,IN_Zugliste!$A$4:$E$2002,5,FALSE),"")</f>
        <v/>
      </c>
      <c r="EJ230" t="str">
        <f>+IFERROR(VLOOKUP(EJ31,IN_Zugliste!$A$4:$E$2002,5,FALSE),"")</f>
        <v/>
      </c>
      <c r="EK230" t="str">
        <f>+IFERROR(VLOOKUP(EK31,IN_Zugliste!$A$4:$E$2002,5,FALSE),"")</f>
        <v/>
      </c>
      <c r="EL230" t="str">
        <f>+IFERROR(VLOOKUP(EL31,IN_Zugliste!$A$4:$E$2002,5,FALSE),"")</f>
        <v/>
      </c>
      <c r="EM230" t="str">
        <f>+IFERROR(VLOOKUP(EM31,IN_Zugliste!$A$4:$E$2002,5,FALSE),"")</f>
        <v/>
      </c>
      <c r="EN230" t="str">
        <f>+IFERROR(VLOOKUP(EN31,IN_Zugliste!$A$4:$E$2002,5,FALSE),"")</f>
        <v/>
      </c>
      <c r="EO230" t="str">
        <f>+IFERROR(VLOOKUP(EO31,IN_Zugliste!$A$4:$E$2002,5,FALSE),"")</f>
        <v/>
      </c>
      <c r="EP230" t="str">
        <f>+IFERROR(VLOOKUP(EP31,IN_Zugliste!$A$4:$E$2002,5,FALSE),"")</f>
        <v/>
      </c>
      <c r="EQ230" t="str">
        <f>+IFERROR(VLOOKUP(EQ31,IN_Zugliste!$A$4:$E$2002,5,FALSE),"")</f>
        <v/>
      </c>
      <c r="ER230" t="str">
        <f>+IFERROR(VLOOKUP(ER31,IN_Zugliste!$A$4:$E$2002,5,FALSE),"")</f>
        <v/>
      </c>
      <c r="ES230" t="str">
        <f>+IFERROR(VLOOKUP(ES31,IN_Zugliste!$A$4:$E$2002,5,FALSE),"")</f>
        <v/>
      </c>
      <c r="ET230" t="str">
        <f>+IFERROR(VLOOKUP(ET31,IN_Zugliste!$A$4:$E$2002,5,FALSE),"")</f>
        <v/>
      </c>
      <c r="EU230" t="str">
        <f>+IFERROR(VLOOKUP(EU31,IN_Zugliste!$A$4:$E$2002,5,FALSE),"")</f>
        <v/>
      </c>
      <c r="EV230" t="str">
        <f>+IFERROR(VLOOKUP(EV31,IN_Zugliste!$A$4:$E$2002,5,FALSE),"")</f>
        <v/>
      </c>
      <c r="EW230" t="str">
        <f>+IFERROR(VLOOKUP(EW31,IN_Zugliste!$A$4:$E$2002,5,FALSE),"")</f>
        <v/>
      </c>
      <c r="EX230" t="str">
        <f>+IFERROR(VLOOKUP(EX31,IN_Zugliste!$A$4:$E$2002,5,FALSE),"")</f>
        <v/>
      </c>
      <c r="EY230" t="str">
        <f>+IFERROR(VLOOKUP(EY31,IN_Zugliste!$A$4:$E$2002,5,FALSE),"")</f>
        <v/>
      </c>
      <c r="EZ230" t="str">
        <f>+IFERROR(VLOOKUP(EZ31,IN_Zugliste!$A$4:$E$2002,5,FALSE),"")</f>
        <v/>
      </c>
      <c r="FA230" t="str">
        <f>+IFERROR(VLOOKUP(FA31,IN_Zugliste!$A$4:$E$2002,5,FALSE),"")</f>
        <v/>
      </c>
      <c r="FB230" t="str">
        <f>+IFERROR(VLOOKUP(FB31,IN_Zugliste!$A$4:$E$2002,5,FALSE),"")</f>
        <v/>
      </c>
      <c r="FC230" t="str">
        <f>+IFERROR(VLOOKUP(FC31,IN_Zugliste!$A$4:$E$2002,5,FALSE),"")</f>
        <v/>
      </c>
      <c r="FD230" t="str">
        <f>+IFERROR(VLOOKUP(FD31,IN_Zugliste!$A$4:$E$2002,5,FALSE),"")</f>
        <v/>
      </c>
      <c r="FE230" t="str">
        <f>+IFERROR(VLOOKUP(FE31,IN_Zugliste!$A$4:$E$2002,5,FALSE),"")</f>
        <v/>
      </c>
      <c r="FF230" t="str">
        <f>+IFERROR(VLOOKUP(FF31,IN_Zugliste!$A$4:$E$2002,5,FALSE),"")</f>
        <v/>
      </c>
      <c r="FG230" t="str">
        <f>+IFERROR(VLOOKUP(FG31,IN_Zugliste!$A$4:$E$2002,5,FALSE),"")</f>
        <v/>
      </c>
      <c r="FH230" t="str">
        <f>+IFERROR(VLOOKUP(FH31,IN_Zugliste!$A$4:$E$2002,5,FALSE),"")</f>
        <v/>
      </c>
      <c r="FI230" t="str">
        <f>+IFERROR(VLOOKUP(FI31,IN_Zugliste!$A$4:$E$2002,5,FALSE),"")</f>
        <v/>
      </c>
      <c r="FJ230" t="str">
        <f>+IFERROR(VLOOKUP(FJ31,IN_Zugliste!$A$4:$E$2002,5,FALSE),"")</f>
        <v/>
      </c>
      <c r="FK230" t="str">
        <f>+IFERROR(VLOOKUP(FK31,IN_Zugliste!$A$4:$E$2002,5,FALSE),"")</f>
        <v/>
      </c>
      <c r="FL230" t="str">
        <f>+IFERROR(VLOOKUP(FL31,IN_Zugliste!$A$4:$E$2002,5,FALSE),"")</f>
        <v/>
      </c>
      <c r="FM230" t="str">
        <f>+IFERROR(VLOOKUP(FM31,IN_Zugliste!$A$4:$D$2002,5,FALSE),"")</f>
        <v/>
      </c>
      <c r="FN230" t="str">
        <f>+IFERROR(VLOOKUP(FN31,IN_Zugliste!$A$4:$D$2002,5,FALSE),"")</f>
        <v/>
      </c>
      <c r="FO230" t="str">
        <f>+IFERROR(VLOOKUP(FO31,IN_Zugliste!$A$4:$D$2002,5,FALSE),"")</f>
        <v/>
      </c>
      <c r="FP230" t="str">
        <f>+IFERROR(VLOOKUP(FP31,IN_Zugliste!$A$4:$D$2002,5,FALSE),"")</f>
        <v/>
      </c>
      <c r="FQ230" t="str">
        <f>+IFERROR(VLOOKUP(FQ31,IN_Zugliste!$A$4:$D$2002,5,FALSE),"")</f>
        <v/>
      </c>
      <c r="FR230" t="str">
        <f>+IFERROR(VLOOKUP(FR31,IN_Zugliste!$A$4:$D$2002,5,FALSE),"")</f>
        <v/>
      </c>
      <c r="FS230" t="str">
        <f>+IFERROR(VLOOKUP(FS31,IN_Zugliste!$A$4:$D$2002,5,FALSE),"")</f>
        <v/>
      </c>
      <c r="FT230" t="str">
        <f>+IFERROR(VLOOKUP(FT31,IN_Zugliste!$A$4:$D$2002,5,FALSE),"")</f>
        <v/>
      </c>
      <c r="FU230" t="str">
        <f>+IFERROR(VLOOKUP(FU31,IN_Zugliste!$A$4:$D$2002,5,FALSE),"")</f>
        <v/>
      </c>
      <c r="FV230" t="str">
        <f>+IFERROR(VLOOKUP(FV31,IN_Zugliste!$A$4:$D$2002,5,FALSE),"")</f>
        <v/>
      </c>
      <c r="FW230" t="str">
        <f>+IFERROR(VLOOKUP(FW31,IN_Zugliste!$A$4:$D$2002,5,FALSE),"")</f>
        <v/>
      </c>
      <c r="FX230" t="str">
        <f>+IFERROR(VLOOKUP(FX31,IN_Zugliste!$A$4:$D$2002,5,FALSE),"")</f>
        <v/>
      </c>
      <c r="FY230" t="str">
        <f>+IFERROR(VLOOKUP(FY31,IN_Zugliste!$A$4:$D$2002,5,FALSE),"")</f>
        <v/>
      </c>
      <c r="FZ230" t="str">
        <f>+IFERROR(VLOOKUP(FZ31,IN_Zugliste!$A$4:$D$2002,5,FALSE),"")</f>
        <v/>
      </c>
      <c r="GA230" t="str">
        <f>+IFERROR(VLOOKUP(GA31,IN_Zugliste!$A$4:$D$2002,5,FALSE),"")</f>
        <v/>
      </c>
      <c r="GB230" t="str">
        <f>+IFERROR(VLOOKUP(GB31,IN_Zugliste!$A$4:$D$2002,5,FALSE),"")</f>
        <v/>
      </c>
      <c r="GC230" t="str">
        <f>+IFERROR(VLOOKUP(GC31,IN_Zugliste!$A$4:$D$2002,5,FALSE),"")</f>
        <v/>
      </c>
      <c r="GD230" t="str">
        <f>+IFERROR(VLOOKUP(GD31,IN_Zugliste!$A$4:$D$2002,5,FALSE),"")</f>
        <v/>
      </c>
      <c r="GE230" t="str">
        <f>+IFERROR(VLOOKUP(GE31,IN_Zugliste!$A$4:$D$2002,5,FALSE),"")</f>
        <v/>
      </c>
      <c r="GF230" t="str">
        <f>+IFERROR(VLOOKUP(GF31,IN_Zugliste!$A$4:$D$2002,5,FALSE),"")</f>
        <v/>
      </c>
      <c r="GG230" t="str">
        <f>+IFERROR(VLOOKUP(GG31,IN_Zugliste!$A$4:$D$2002,5,FALSE),"")</f>
        <v/>
      </c>
      <c r="GH230" t="str">
        <f>+IFERROR(VLOOKUP(GH31,IN_Zugliste!$A$4:$D$2002,5,FALSE),"")</f>
        <v/>
      </c>
      <c r="GI230" t="str">
        <f>+IFERROR(VLOOKUP(GI31,IN_Zugliste!$A$4:$D$2002,5,FALSE),"")</f>
        <v/>
      </c>
      <c r="GJ230" t="str">
        <f>+IFERROR(VLOOKUP(GJ31,IN_Zugliste!$A$4:$D$2002,5,FALSE),"")</f>
        <v/>
      </c>
      <c r="GK230" t="str">
        <f>+IFERROR(VLOOKUP(GK31,IN_Zugliste!$A$4:$D$2002,5,FALSE),"")</f>
        <v/>
      </c>
      <c r="GL230" t="str">
        <f>+IFERROR(VLOOKUP(GL31,IN_Zugliste!$A$4:$D$2002,5,FALSE),"")</f>
        <v/>
      </c>
      <c r="GM230" t="str">
        <f>+IFERROR(VLOOKUP(GM31,IN_Zugliste!$A$4:$D$2002,5,FALSE),"")</f>
        <v/>
      </c>
      <c r="GN230" t="str">
        <f>+IFERROR(VLOOKUP(GN31,IN_Zugliste!$A$4:$D$2002,5,FALSE),"")</f>
        <v/>
      </c>
      <c r="GO230" t="str">
        <f>+IFERROR(VLOOKUP(GO31,IN_Zugliste!$A$4:$D$2002,5,FALSE),"")</f>
        <v/>
      </c>
      <c r="GP230" t="str">
        <f>+IFERROR(VLOOKUP(GP31,IN_Zugliste!$A$4:$D$2002,5,FALSE),"")</f>
        <v/>
      </c>
      <c r="GQ230" t="str">
        <f>+IFERROR(VLOOKUP(GQ31,IN_Zugliste!$A$4:$D$2002,5,FALSE),"")</f>
        <v/>
      </c>
      <c r="GR230" t="str">
        <f>+IFERROR(VLOOKUP(GR31,IN_Zugliste!$A$4:$D$2002,5,FALSE),"")</f>
        <v/>
      </c>
      <c r="GS230" t="str">
        <f>+IFERROR(VLOOKUP(GS31,IN_Zugliste!$A$4:$D$2002,5,FALSE),"")</f>
        <v/>
      </c>
      <c r="GT230" t="str">
        <f>+IFERROR(VLOOKUP(GT31,IN_Zugliste!$A$4:$D$2002,5,FALSE),"")</f>
        <v/>
      </c>
      <c r="GU230" t="str">
        <f>+IFERROR(VLOOKUP(GU31,IN_Zugliste!$A$4:$D$2002,5,FALSE),"")</f>
        <v/>
      </c>
      <c r="GV230" t="str">
        <f>+IFERROR(VLOOKUP(GV31,IN_Zugliste!$A$4:$D$2002,5,FALSE),"")</f>
        <v/>
      </c>
      <c r="GW230" t="str">
        <f>+IFERROR(VLOOKUP(GW31,IN_Zugliste!$A$4:$D$2002,5,FALSE),"")</f>
        <v/>
      </c>
      <c r="GX230" t="str">
        <f>+IFERROR(VLOOKUP(GX31,IN_Zugliste!$A$4:$D$2002,5,FALSE),"")</f>
        <v/>
      </c>
      <c r="GY230" t="str">
        <f>+IFERROR(VLOOKUP(GY31,IN_Zugliste!$A$4:$D$2002,5,FALSE),"")</f>
        <v/>
      </c>
      <c r="GZ230" t="str">
        <f>+IFERROR(VLOOKUP(GZ31,IN_Zugliste!$A$4:$D$2002,5,FALSE),"")</f>
        <v/>
      </c>
      <c r="HA230" t="str">
        <f>+IFERROR(VLOOKUP(HA31,IN_Zugliste!$A$4:$D$2002,5,FALSE),"")</f>
        <v/>
      </c>
      <c r="HB230" t="str">
        <f>+IFERROR(VLOOKUP(HB31,IN_Zugliste!$A$4:$D$2002,5,FALSE),"")</f>
        <v/>
      </c>
      <c r="HC230" t="str">
        <f>+IFERROR(VLOOKUP(HC31,IN_Zugliste!$A$4:$D$2002,5,FALSE),"")</f>
        <v/>
      </c>
      <c r="HD230" t="str">
        <f>+IFERROR(VLOOKUP(HD31,IN_Zugliste!$A$4:$D$2002,5,FALSE),"")</f>
        <v/>
      </c>
      <c r="HE230" t="str">
        <f>+IFERROR(VLOOKUP(HE31,IN_Zugliste!$A$4:$D$2002,5,FALSE),"")</f>
        <v/>
      </c>
      <c r="HF230" t="str">
        <f>+IFERROR(VLOOKUP(HF31,IN_Zugliste!$A$4:$D$2002,5,FALSE),"")</f>
        <v/>
      </c>
      <c r="HG230" t="str">
        <f>+IFERROR(VLOOKUP(HG31,IN_Zugliste!$A$4:$D$2002,5,FALSE),"")</f>
        <v/>
      </c>
      <c r="HH230" t="str">
        <f>+IFERROR(VLOOKUP(HH31,IN_Zugliste!$A$4:$D$2002,5,FALSE),"")</f>
        <v/>
      </c>
    </row>
    <row r="231" spans="1:216" x14ac:dyDescent="0.2">
      <c r="A231" t="str">
        <f>+IFERROR(VLOOKUP(A32,IN_Zugliste!$A$4:$E$2002,5,FALSE),"")</f>
        <v/>
      </c>
      <c r="B231" t="str">
        <f>+IFERROR(VLOOKUP(B32,IN_Zugliste!$A$4:$E$2002,5,FALSE),"")</f>
        <v/>
      </c>
      <c r="C231" t="str">
        <f>+IFERROR(VLOOKUP(C32,IN_Zugliste!$A$4:$E$2002,5,FALSE),"")</f>
        <v/>
      </c>
      <c r="D231" t="str">
        <f>+IFERROR(VLOOKUP(D32,IN_Zugliste!$A$4:$E$2002,5,FALSE),"")</f>
        <v/>
      </c>
      <c r="E231" t="str">
        <f>+IFERROR(VLOOKUP(E32,IN_Zugliste!$A$4:$E$2002,5,FALSE),"")</f>
        <v/>
      </c>
      <c r="F231" t="str">
        <f>+IFERROR(VLOOKUP(F32,IN_Zugliste!$A$4:$E$2002,5,FALSE),"")</f>
        <v/>
      </c>
      <c r="G231" t="str">
        <f>+IFERROR(VLOOKUP(G32,IN_Zugliste!$A$4:$E$2002,5,FALSE),"")</f>
        <v/>
      </c>
      <c r="H231" t="str">
        <f>+IFERROR(VLOOKUP(H32,IN_Zugliste!$A$4:$E$2002,5,FALSE),"")</f>
        <v/>
      </c>
      <c r="I231" t="str">
        <f>+IFERROR(VLOOKUP(I32,IN_Zugliste!$A$4:$E$2002,5,FALSE),"")</f>
        <v/>
      </c>
      <c r="J231" t="str">
        <f>+IFERROR(VLOOKUP(J32,IN_Zugliste!$A$4:$E$2002,5,FALSE),"")</f>
        <v/>
      </c>
      <c r="K231" t="str">
        <f>+IFERROR(VLOOKUP(K32,IN_Zugliste!$A$4:$E$2002,5,FALSE),"")</f>
        <v/>
      </c>
      <c r="L231" t="str">
        <f>+IFERROR(VLOOKUP(L32,IN_Zugliste!$A$4:$E$2002,5,FALSE),"")</f>
        <v/>
      </c>
      <c r="M231" t="str">
        <f>+IFERROR(VLOOKUP(M32,IN_Zugliste!$A$4:$E$2002,5,FALSE),"")</f>
        <v/>
      </c>
      <c r="N231" t="str">
        <f>+IFERROR(VLOOKUP(N32,IN_Zugliste!$A$4:$E$2002,5,FALSE),"")</f>
        <v/>
      </c>
      <c r="O231" t="str">
        <f>+IFERROR(VLOOKUP(O32,IN_Zugliste!$A$4:$E$2002,5,FALSE),"")</f>
        <v/>
      </c>
      <c r="P231" t="str">
        <f>+IFERROR(VLOOKUP(P32,IN_Zugliste!$A$4:$E$2002,5,FALSE),"")</f>
        <v/>
      </c>
      <c r="Q231" t="str">
        <f>+IFERROR(VLOOKUP(Q32,IN_Zugliste!$A$4:$E$2002,5,FALSE),"")</f>
        <v/>
      </c>
      <c r="R231" t="str">
        <f>+IFERROR(VLOOKUP(R32,IN_Zugliste!$A$4:$E$2002,5,FALSE),"")</f>
        <v/>
      </c>
      <c r="S231" t="str">
        <f>+IFERROR(VLOOKUP(S32,IN_Zugliste!$A$4:$E$2002,5,FALSE),"")</f>
        <v/>
      </c>
      <c r="T231" t="str">
        <f>+IFERROR(VLOOKUP(T32,IN_Zugliste!$A$4:$E$2002,5,FALSE),"")</f>
        <v/>
      </c>
      <c r="U231" t="str">
        <f>+IFERROR(VLOOKUP(U32,IN_Zugliste!$A$4:$E$2002,5,FALSE),"")</f>
        <v/>
      </c>
      <c r="V231" t="str">
        <f>+IFERROR(VLOOKUP(V32,IN_Zugliste!$A$4:$E$2002,5,FALSE),"")</f>
        <v/>
      </c>
      <c r="W231" t="str">
        <f>+IFERROR(VLOOKUP(W32,IN_Zugliste!$A$4:$E$2002,5,FALSE),"")</f>
        <v/>
      </c>
      <c r="X231" t="str">
        <f>+IFERROR(VLOOKUP(X32,IN_Zugliste!$A$4:$E$2002,5,FALSE),"")</f>
        <v/>
      </c>
      <c r="Y231" t="str">
        <f>+IFERROR(VLOOKUP(Y32,IN_Zugliste!$A$4:$E$2002,5,FALSE),"")</f>
        <v/>
      </c>
      <c r="Z231" t="str">
        <f>+IFERROR(VLOOKUP(Z32,IN_Zugliste!$A$4:$E$2002,5,FALSE),"")</f>
        <v/>
      </c>
      <c r="AA231" t="str">
        <f>+IFERROR(VLOOKUP(AA32,IN_Zugliste!$A$4:$E$2002,5,FALSE),"")</f>
        <v/>
      </c>
      <c r="AB231" t="str">
        <f>+IFERROR(VLOOKUP(AB32,IN_Zugliste!$A$4:$E$2002,5,FALSE),"")</f>
        <v/>
      </c>
      <c r="AC231" t="str">
        <f>+IFERROR(VLOOKUP(AC32,IN_Zugliste!$A$4:$E$2002,5,FALSE),"")</f>
        <v/>
      </c>
      <c r="AD231" t="str">
        <f>+IFERROR(VLOOKUP(AD32,IN_Zugliste!$A$4:$E$2002,5,FALSE),"")</f>
        <v/>
      </c>
      <c r="AE231" t="str">
        <f>+IFERROR(VLOOKUP(AE32,IN_Zugliste!$A$4:$E$2002,5,FALSE),"")</f>
        <v/>
      </c>
      <c r="AF231" t="str">
        <f>+IFERROR(VLOOKUP(AF32,IN_Zugliste!$A$4:$E$2002,5,FALSE),"")</f>
        <v/>
      </c>
      <c r="AG231" t="str">
        <f>+IFERROR(VLOOKUP(AG32,IN_Zugliste!$A$4:$E$2002,5,FALSE),"")</f>
        <v/>
      </c>
      <c r="AH231" t="str">
        <f>+IFERROR(VLOOKUP(AH32,IN_Zugliste!$A$4:$E$2002,5,FALSE),"")</f>
        <v/>
      </c>
      <c r="AI231" t="str">
        <f>+IFERROR(VLOOKUP(AI32,IN_Zugliste!$A$4:$E$2002,5,FALSE),"")</f>
        <v/>
      </c>
      <c r="AJ231" t="str">
        <f>+IFERROR(VLOOKUP(AJ32,IN_Zugliste!$A$4:$E$2002,5,FALSE),"")</f>
        <v/>
      </c>
      <c r="AK231" t="str">
        <f>+IFERROR(VLOOKUP(AK32,IN_Zugliste!$A$4:$E$2002,5,FALSE),"")</f>
        <v/>
      </c>
      <c r="AL231" t="str">
        <f>+IFERROR(VLOOKUP(AL32,IN_Zugliste!$A$4:$E$2002,5,FALSE),"")</f>
        <v/>
      </c>
      <c r="AM231" t="str">
        <f>+IFERROR(VLOOKUP(AM32,IN_Zugliste!$A$4:$E$2002,5,FALSE),"")</f>
        <v/>
      </c>
      <c r="AN231" t="str">
        <f>+IFERROR(VLOOKUP(AN32,IN_Zugliste!$A$4:$E$2002,5,FALSE),"")</f>
        <v/>
      </c>
      <c r="AO231" t="str">
        <f>+IFERROR(VLOOKUP(AO32,IN_Zugliste!$A$4:$E$2002,5,FALSE),"")</f>
        <v/>
      </c>
      <c r="AP231" t="str">
        <f>+IFERROR(VLOOKUP(AP32,IN_Zugliste!$A$4:$E$2002,5,FALSE),"")</f>
        <v/>
      </c>
      <c r="AQ231" t="str">
        <f>+IFERROR(VLOOKUP(AQ32,IN_Zugliste!$A$4:$E$2002,5,FALSE),"")</f>
        <v/>
      </c>
      <c r="AR231" t="str">
        <f>+IFERROR(VLOOKUP(AR32,IN_Zugliste!$A$4:$E$2002,5,FALSE),"")</f>
        <v/>
      </c>
      <c r="AS231" t="str">
        <f>+IFERROR(VLOOKUP(AS32,IN_Zugliste!$A$4:$E$2002,5,FALSE),"")</f>
        <v/>
      </c>
      <c r="AT231" t="str">
        <f>+IFERROR(VLOOKUP(AT32,IN_Zugliste!$A$4:$E$2002,5,FALSE),"")</f>
        <v/>
      </c>
      <c r="AU231" t="str">
        <f>+IFERROR(VLOOKUP(AU32,IN_Zugliste!$A$4:$E$2002,5,FALSE),"")</f>
        <v/>
      </c>
      <c r="AV231" t="str">
        <f>+IFERROR(VLOOKUP(AV32,IN_Zugliste!$A$4:$E$2002,5,FALSE),"")</f>
        <v/>
      </c>
      <c r="AW231" t="str">
        <f>+IFERROR(VLOOKUP(AW32,IN_Zugliste!$A$4:$E$2002,5,FALSE),"")</f>
        <v/>
      </c>
      <c r="AX231" t="str">
        <f>+IFERROR(VLOOKUP(AX32,IN_Zugliste!$A$4:$E$2002,5,FALSE),"")</f>
        <v/>
      </c>
      <c r="AY231" t="str">
        <f>+IFERROR(VLOOKUP(AY32,IN_Zugliste!$A$4:$E$2002,5,FALSE),"")</f>
        <v/>
      </c>
      <c r="AZ231" t="str">
        <f>+IFERROR(VLOOKUP(AZ32,IN_Zugliste!$A$4:$E$2002,5,FALSE),"")</f>
        <v/>
      </c>
      <c r="BA231" t="str">
        <f>+IFERROR(VLOOKUP(BA32,IN_Zugliste!$A$4:$E$2002,5,FALSE),"")</f>
        <v/>
      </c>
      <c r="BB231" t="str">
        <f>+IFERROR(VLOOKUP(BB32,IN_Zugliste!$A$4:$E$2002,5,FALSE),"")</f>
        <v/>
      </c>
      <c r="BC231" t="str">
        <f>+IFERROR(VLOOKUP(BC32,IN_Zugliste!$A$4:$E$2002,5,FALSE),"")</f>
        <v/>
      </c>
      <c r="BD231" t="str">
        <f>+IFERROR(VLOOKUP(BD32,IN_Zugliste!$A$4:$E$2002,5,FALSE),"")</f>
        <v/>
      </c>
      <c r="BE231" t="str">
        <f>+IFERROR(VLOOKUP(BE32,IN_Zugliste!$A$4:$E$2002,5,FALSE),"")</f>
        <v/>
      </c>
      <c r="BF231" t="str">
        <f>+IFERROR(VLOOKUP(BF32,IN_Zugliste!$A$4:$E$2002,5,FALSE),"")</f>
        <v/>
      </c>
      <c r="BG231" t="str">
        <f>+IFERROR(VLOOKUP(BG32,IN_Zugliste!$A$4:$E$2002,5,FALSE),"")</f>
        <v/>
      </c>
      <c r="BH231" t="str">
        <f>+IFERROR(VLOOKUP(BH32,IN_Zugliste!$A$4:$E$2002,5,FALSE),"")</f>
        <v/>
      </c>
      <c r="BI231" t="str">
        <f>+IFERROR(VLOOKUP(BI32,IN_Zugliste!$A$4:$E$2002,5,FALSE),"")</f>
        <v/>
      </c>
      <c r="BJ231" t="str">
        <f>+IFERROR(VLOOKUP(BJ32,IN_Zugliste!$A$4:$E$2002,5,FALSE),"")</f>
        <v/>
      </c>
      <c r="BK231" t="str">
        <f>+IFERROR(VLOOKUP(BK32,IN_Zugliste!$A$4:$E$2002,5,FALSE),"")</f>
        <v/>
      </c>
      <c r="BL231" t="str">
        <f>+IFERROR(VLOOKUP(BL32,IN_Zugliste!$A$4:$E$2002,5,FALSE),"")</f>
        <v/>
      </c>
      <c r="BM231" t="str">
        <f>+IFERROR(VLOOKUP(BM32,IN_Zugliste!$A$4:$E$2002,5,FALSE),"")</f>
        <v/>
      </c>
      <c r="BN231" t="str">
        <f>+IFERROR(VLOOKUP(BN32,IN_Zugliste!$A$4:$E$2002,5,FALSE),"")</f>
        <v/>
      </c>
      <c r="BO231" t="str">
        <f>+IFERROR(VLOOKUP(BO32,IN_Zugliste!$A$4:$E$2002,5,FALSE),"")</f>
        <v/>
      </c>
      <c r="BP231" t="str">
        <f>+IFERROR(VLOOKUP(BP32,IN_Zugliste!$A$4:$E$2002,5,FALSE),"")</f>
        <v/>
      </c>
      <c r="BQ231" t="str">
        <f>+IFERROR(VLOOKUP(BQ32,IN_Zugliste!$A$4:$E$2002,5,FALSE),"")</f>
        <v/>
      </c>
      <c r="BR231" t="str">
        <f>+IFERROR(VLOOKUP(BR32,IN_Zugliste!$A$4:$E$2002,5,FALSE),"")</f>
        <v/>
      </c>
      <c r="BS231" t="str">
        <f>+IFERROR(VLOOKUP(BS32,IN_Zugliste!$A$4:$E$2002,5,FALSE),"")</f>
        <v/>
      </c>
      <c r="BT231" t="str">
        <f>+IFERROR(VLOOKUP(BT32,IN_Zugliste!$A$4:$E$2002,5,FALSE),"")</f>
        <v/>
      </c>
      <c r="BU231" t="str">
        <f>+IFERROR(VLOOKUP(BU32,IN_Zugliste!$A$4:$E$2002,5,FALSE),"")</f>
        <v/>
      </c>
      <c r="BV231" t="str">
        <f>+IFERROR(VLOOKUP(BV32,IN_Zugliste!$A$4:$E$2002,5,FALSE),"")</f>
        <v/>
      </c>
      <c r="BW231" t="str">
        <f>+IFERROR(VLOOKUP(BW32,IN_Zugliste!$A$4:$E$2002,5,FALSE),"")</f>
        <v/>
      </c>
      <c r="BX231" t="str">
        <f>+IFERROR(VLOOKUP(BX32,IN_Zugliste!$A$4:$E$2002,5,FALSE),"")</f>
        <v/>
      </c>
      <c r="BY231" t="str">
        <f>+IFERROR(VLOOKUP(BY32,IN_Zugliste!$A$4:$E$2002,5,FALSE),"")</f>
        <v/>
      </c>
      <c r="BZ231" t="str">
        <f>+IFERROR(VLOOKUP(BZ32,IN_Zugliste!$A$4:$E$2002,5,FALSE),"")</f>
        <v/>
      </c>
      <c r="CA231" t="str">
        <f>+IFERROR(VLOOKUP(CA32,IN_Zugliste!$A$4:$E$2002,5,FALSE),"")</f>
        <v/>
      </c>
      <c r="CB231" t="str">
        <f>+IFERROR(VLOOKUP(CB32,IN_Zugliste!$A$4:$E$2002,5,FALSE),"")</f>
        <v/>
      </c>
      <c r="CC231" t="str">
        <f>+IFERROR(VLOOKUP(CC32,IN_Zugliste!$A$4:$E$2002,5,FALSE),"")</f>
        <v/>
      </c>
      <c r="CD231" t="str">
        <f>+IFERROR(VLOOKUP(CD32,IN_Zugliste!$A$4:$E$2002,5,FALSE),"")</f>
        <v/>
      </c>
      <c r="CE231" t="str">
        <f>+IFERROR(VLOOKUP(CE32,IN_Zugliste!$A$4:$E$2002,5,FALSE),"")</f>
        <v/>
      </c>
      <c r="CF231" t="str">
        <f>+IFERROR(VLOOKUP(CF32,IN_Zugliste!$A$4:$E$2002,5,FALSE),"")</f>
        <v/>
      </c>
      <c r="CG231" t="str">
        <f>+IFERROR(VLOOKUP(CG32,IN_Zugliste!$A$4:$E$2002,5,FALSE),"")</f>
        <v/>
      </c>
      <c r="CH231" t="str">
        <f>+IFERROR(VLOOKUP(CH32,IN_Zugliste!$A$4:$E$2002,5,FALSE),"")</f>
        <v/>
      </c>
      <c r="CI231" t="str">
        <f>+IFERROR(VLOOKUP(CI32,IN_Zugliste!$A$4:$E$2002,5,FALSE),"")</f>
        <v/>
      </c>
      <c r="CJ231" t="str">
        <f>+IFERROR(VLOOKUP(CJ32,IN_Zugliste!$A$4:$E$2002,5,FALSE),"")</f>
        <v/>
      </c>
      <c r="CK231" t="str">
        <f>+IFERROR(VLOOKUP(CK32,IN_Zugliste!$A$4:$E$2002,5,FALSE),"")</f>
        <v/>
      </c>
      <c r="CL231" t="str">
        <f>+IFERROR(VLOOKUP(CL32,IN_Zugliste!$A$4:$E$2002,5,FALSE),"")</f>
        <v/>
      </c>
      <c r="CM231" t="str">
        <f>+IFERROR(VLOOKUP(CM32,IN_Zugliste!$A$4:$E$2002,5,FALSE),"")</f>
        <v/>
      </c>
      <c r="CN231" t="str">
        <f>+IFERROR(VLOOKUP(CN32,IN_Zugliste!$A$4:$E$2002,5,FALSE),"")</f>
        <v/>
      </c>
      <c r="CO231" t="str">
        <f>+IFERROR(VLOOKUP(CO32,IN_Zugliste!$A$4:$E$2002,5,FALSE),"")</f>
        <v/>
      </c>
      <c r="CP231" t="str">
        <f>+IFERROR(VLOOKUP(CP32,IN_Zugliste!$A$4:$E$2002,5,FALSE),"")</f>
        <v/>
      </c>
      <c r="CQ231" t="str">
        <f>+IFERROR(VLOOKUP(CQ32,IN_Zugliste!$A$4:$E$2002,5,FALSE),"")</f>
        <v/>
      </c>
      <c r="CR231" t="str">
        <f>+IFERROR(VLOOKUP(CR32,IN_Zugliste!$A$4:$E$2002,5,FALSE),"")</f>
        <v/>
      </c>
      <c r="CS231" t="str">
        <f>+IFERROR(VLOOKUP(CS32,IN_Zugliste!$A$4:$E$2002,5,FALSE),"")</f>
        <v/>
      </c>
      <c r="CT231" t="str">
        <f>+IFERROR(VLOOKUP(CT32,IN_Zugliste!$A$4:$E$2002,5,FALSE),"")</f>
        <v/>
      </c>
      <c r="CU231" t="str">
        <f>+IFERROR(VLOOKUP(CU32,IN_Zugliste!$A$4:$E$2002,5,FALSE),"")</f>
        <v/>
      </c>
      <c r="CV231" t="str">
        <f>+IFERROR(VLOOKUP(CV32,IN_Zugliste!$A$4:$E$2002,5,FALSE),"")</f>
        <v/>
      </c>
      <c r="CW231" t="str">
        <f>+IFERROR(VLOOKUP(CW32,IN_Zugliste!$A$4:$E$2002,5,FALSE),"")</f>
        <v/>
      </c>
      <c r="CX231" t="str">
        <f>+IFERROR(VLOOKUP(CX32,IN_Zugliste!$A$4:$E$2002,5,FALSE),"")</f>
        <v/>
      </c>
      <c r="CY231" t="str">
        <f>+IFERROR(VLOOKUP(CY32,IN_Zugliste!$A$4:$E$2002,5,FALSE),"")</f>
        <v/>
      </c>
      <c r="CZ231" t="str">
        <f>+IFERROR(VLOOKUP(CZ32,IN_Zugliste!$A$4:$E$2002,5,FALSE),"")</f>
        <v/>
      </c>
      <c r="DA231" t="str">
        <f>+IFERROR(VLOOKUP(DA32,IN_Zugliste!$A$4:$E$2002,5,FALSE),"")</f>
        <v/>
      </c>
      <c r="DB231" t="str">
        <f>+IFERROR(VLOOKUP(DB32,IN_Zugliste!$A$4:$E$2002,5,FALSE),"")</f>
        <v/>
      </c>
      <c r="DC231" t="str">
        <f>+IFERROR(VLOOKUP(DC32,IN_Zugliste!$A$4:$E$2002,5,FALSE),"")</f>
        <v/>
      </c>
      <c r="DD231" t="str">
        <f>+IFERROR(VLOOKUP(DD32,IN_Zugliste!$A$4:$E$2002,5,FALSE),"")</f>
        <v/>
      </c>
      <c r="DE231" t="str">
        <f>+IFERROR(VLOOKUP(DE32,IN_Zugliste!$A$4:$E$2002,5,FALSE),"")</f>
        <v/>
      </c>
      <c r="DF231" t="str">
        <f>+IFERROR(VLOOKUP(DF32,IN_Zugliste!$A$4:$E$2002,5,FALSE),"")</f>
        <v/>
      </c>
      <c r="DG231" t="str">
        <f>+IFERROR(VLOOKUP(DG32,IN_Zugliste!$A$4:$E$2002,5,FALSE),"")</f>
        <v/>
      </c>
      <c r="DH231" t="str">
        <f>+IFERROR(VLOOKUP(DH32,IN_Zugliste!$A$4:$E$2002,5,FALSE),"")</f>
        <v/>
      </c>
      <c r="DI231" t="str">
        <f>+IFERROR(VLOOKUP(DI32,IN_Zugliste!$A$4:$E$2002,5,FALSE),"")</f>
        <v/>
      </c>
      <c r="DJ231" t="str">
        <f>+IFERROR(VLOOKUP(DJ32,IN_Zugliste!$A$4:$E$2002,5,FALSE),"")</f>
        <v/>
      </c>
      <c r="DK231" t="str">
        <f>+IFERROR(VLOOKUP(DK32,IN_Zugliste!$A$4:$E$2002,5,FALSE),"")</f>
        <v/>
      </c>
      <c r="DL231" t="str">
        <f>+IFERROR(VLOOKUP(DL32,IN_Zugliste!$A$4:$E$2002,5,FALSE),"")</f>
        <v/>
      </c>
      <c r="DM231" t="str">
        <f>+IFERROR(VLOOKUP(DM32,IN_Zugliste!$A$4:$E$2002,5,FALSE),"")</f>
        <v/>
      </c>
      <c r="DN231" t="str">
        <f>+IFERROR(VLOOKUP(DN32,IN_Zugliste!$A$4:$E$2002,5,FALSE),"")</f>
        <v/>
      </c>
      <c r="DO231" t="str">
        <f>+IFERROR(VLOOKUP(DO32,IN_Zugliste!$A$4:$E$2002,5,FALSE),"")</f>
        <v/>
      </c>
      <c r="DP231" t="str">
        <f>+IFERROR(VLOOKUP(DP32,IN_Zugliste!$A$4:$E$2002,5,FALSE),"")</f>
        <v/>
      </c>
      <c r="DQ231" t="str">
        <f>+IFERROR(VLOOKUP(DQ32,IN_Zugliste!$A$4:$E$2002,5,FALSE),"")</f>
        <v/>
      </c>
      <c r="DR231" t="str">
        <f>+IFERROR(VLOOKUP(DR32,IN_Zugliste!$A$4:$E$2002,5,FALSE),"")</f>
        <v/>
      </c>
      <c r="DS231" t="str">
        <f>+IFERROR(VLOOKUP(DS32,IN_Zugliste!$A$4:$E$2002,5,FALSE),"")</f>
        <v/>
      </c>
      <c r="DT231" t="str">
        <f>+IFERROR(VLOOKUP(DT32,IN_Zugliste!$A$4:$E$2002,5,FALSE),"")</f>
        <v/>
      </c>
      <c r="DU231" t="str">
        <f>+IFERROR(VLOOKUP(DU32,IN_Zugliste!$A$4:$E$2002,5,FALSE),"")</f>
        <v/>
      </c>
      <c r="DV231" t="str">
        <f>+IFERROR(VLOOKUP(DV32,IN_Zugliste!$A$4:$E$2002,5,FALSE),"")</f>
        <v/>
      </c>
      <c r="DW231" t="str">
        <f>+IFERROR(VLOOKUP(DW32,IN_Zugliste!$A$4:$E$2002,5,FALSE),"")</f>
        <v/>
      </c>
      <c r="DX231" t="str">
        <f>+IFERROR(VLOOKUP(DX32,IN_Zugliste!$A$4:$E$2002,5,FALSE),"")</f>
        <v/>
      </c>
      <c r="DY231" t="str">
        <f>+IFERROR(VLOOKUP(DY32,IN_Zugliste!$A$4:$E$2002,5,FALSE),"")</f>
        <v/>
      </c>
      <c r="DZ231" t="str">
        <f>+IFERROR(VLOOKUP(DZ32,IN_Zugliste!$A$4:$E$2002,5,FALSE),"")</f>
        <v/>
      </c>
      <c r="EA231" t="str">
        <f>+IFERROR(VLOOKUP(EA32,IN_Zugliste!$A$4:$E$2002,5,FALSE),"")</f>
        <v/>
      </c>
      <c r="EB231" t="str">
        <f>+IFERROR(VLOOKUP(EB32,IN_Zugliste!$A$4:$E$2002,5,FALSE),"")</f>
        <v/>
      </c>
      <c r="EC231" t="str">
        <f>+IFERROR(VLOOKUP(EC32,IN_Zugliste!$A$4:$E$2002,5,FALSE),"")</f>
        <v/>
      </c>
      <c r="ED231" t="str">
        <f>+IFERROR(VLOOKUP(ED32,IN_Zugliste!$A$4:$E$2002,5,FALSE),"")</f>
        <v/>
      </c>
      <c r="EE231" t="str">
        <f>+IFERROR(VLOOKUP(EE32,IN_Zugliste!$A$4:$E$2002,5,FALSE),"")</f>
        <v/>
      </c>
      <c r="EF231" t="str">
        <f>+IFERROR(VLOOKUP(EF32,IN_Zugliste!$A$4:$E$2002,5,FALSE),"")</f>
        <v/>
      </c>
      <c r="EG231" t="str">
        <f>+IFERROR(VLOOKUP(EG32,IN_Zugliste!$A$4:$E$2002,5,FALSE),"")</f>
        <v/>
      </c>
      <c r="EH231" t="str">
        <f>+IFERROR(VLOOKUP(EH32,IN_Zugliste!$A$4:$E$2002,5,FALSE),"")</f>
        <v/>
      </c>
      <c r="EI231" t="str">
        <f>+IFERROR(VLOOKUP(EI32,IN_Zugliste!$A$4:$E$2002,5,FALSE),"")</f>
        <v/>
      </c>
      <c r="EJ231" t="str">
        <f>+IFERROR(VLOOKUP(EJ32,IN_Zugliste!$A$4:$E$2002,5,FALSE),"")</f>
        <v/>
      </c>
      <c r="EK231" t="str">
        <f>+IFERROR(VLOOKUP(EK32,IN_Zugliste!$A$4:$E$2002,5,FALSE),"")</f>
        <v/>
      </c>
      <c r="EL231" t="str">
        <f>+IFERROR(VLOOKUP(EL32,IN_Zugliste!$A$4:$E$2002,5,FALSE),"")</f>
        <v/>
      </c>
      <c r="EM231" t="str">
        <f>+IFERROR(VLOOKUP(EM32,IN_Zugliste!$A$4:$E$2002,5,FALSE),"")</f>
        <v/>
      </c>
      <c r="EN231" t="str">
        <f>+IFERROR(VLOOKUP(EN32,IN_Zugliste!$A$4:$E$2002,5,FALSE),"")</f>
        <v/>
      </c>
      <c r="EO231" t="str">
        <f>+IFERROR(VLOOKUP(EO32,IN_Zugliste!$A$4:$E$2002,5,FALSE),"")</f>
        <v/>
      </c>
      <c r="EP231" t="str">
        <f>+IFERROR(VLOOKUP(EP32,IN_Zugliste!$A$4:$E$2002,5,FALSE),"")</f>
        <v/>
      </c>
      <c r="EQ231" t="str">
        <f>+IFERROR(VLOOKUP(EQ32,IN_Zugliste!$A$4:$E$2002,5,FALSE),"")</f>
        <v/>
      </c>
      <c r="ER231" t="str">
        <f>+IFERROR(VLOOKUP(ER32,IN_Zugliste!$A$4:$E$2002,5,FALSE),"")</f>
        <v/>
      </c>
      <c r="ES231" t="str">
        <f>+IFERROR(VLOOKUP(ES32,IN_Zugliste!$A$4:$E$2002,5,FALSE),"")</f>
        <v/>
      </c>
      <c r="ET231" t="str">
        <f>+IFERROR(VLOOKUP(ET32,IN_Zugliste!$A$4:$E$2002,5,FALSE),"")</f>
        <v/>
      </c>
      <c r="EU231" t="str">
        <f>+IFERROR(VLOOKUP(EU32,IN_Zugliste!$A$4:$E$2002,5,FALSE),"")</f>
        <v/>
      </c>
      <c r="EV231" t="str">
        <f>+IFERROR(VLOOKUP(EV32,IN_Zugliste!$A$4:$E$2002,5,FALSE),"")</f>
        <v/>
      </c>
      <c r="EW231" t="str">
        <f>+IFERROR(VLOOKUP(EW32,IN_Zugliste!$A$4:$E$2002,5,FALSE),"")</f>
        <v/>
      </c>
      <c r="EX231" t="str">
        <f>+IFERROR(VLOOKUP(EX32,IN_Zugliste!$A$4:$E$2002,5,FALSE),"")</f>
        <v/>
      </c>
      <c r="EY231" t="str">
        <f>+IFERROR(VLOOKUP(EY32,IN_Zugliste!$A$4:$E$2002,5,FALSE),"")</f>
        <v/>
      </c>
      <c r="EZ231" t="str">
        <f>+IFERROR(VLOOKUP(EZ32,IN_Zugliste!$A$4:$E$2002,5,FALSE),"")</f>
        <v/>
      </c>
      <c r="FA231" t="str">
        <f>+IFERROR(VLOOKUP(FA32,IN_Zugliste!$A$4:$E$2002,5,FALSE),"")</f>
        <v/>
      </c>
      <c r="FB231" t="str">
        <f>+IFERROR(VLOOKUP(FB32,IN_Zugliste!$A$4:$E$2002,5,FALSE),"")</f>
        <v/>
      </c>
      <c r="FC231" t="str">
        <f>+IFERROR(VLOOKUP(FC32,IN_Zugliste!$A$4:$E$2002,5,FALSE),"")</f>
        <v/>
      </c>
      <c r="FD231" t="str">
        <f>+IFERROR(VLOOKUP(FD32,IN_Zugliste!$A$4:$E$2002,5,FALSE),"")</f>
        <v/>
      </c>
      <c r="FE231" t="str">
        <f>+IFERROR(VLOOKUP(FE32,IN_Zugliste!$A$4:$E$2002,5,FALSE),"")</f>
        <v/>
      </c>
      <c r="FF231" t="str">
        <f>+IFERROR(VLOOKUP(FF32,IN_Zugliste!$A$4:$E$2002,5,FALSE),"")</f>
        <v/>
      </c>
      <c r="FG231" t="str">
        <f>+IFERROR(VLOOKUP(FG32,IN_Zugliste!$A$4:$E$2002,5,FALSE),"")</f>
        <v/>
      </c>
      <c r="FH231" t="str">
        <f>+IFERROR(VLOOKUP(FH32,IN_Zugliste!$A$4:$E$2002,5,FALSE),"")</f>
        <v/>
      </c>
      <c r="FI231" t="str">
        <f>+IFERROR(VLOOKUP(FI32,IN_Zugliste!$A$4:$E$2002,5,FALSE),"")</f>
        <v/>
      </c>
      <c r="FJ231" t="str">
        <f>+IFERROR(VLOOKUP(FJ32,IN_Zugliste!$A$4:$E$2002,5,FALSE),"")</f>
        <v/>
      </c>
      <c r="FK231" t="str">
        <f>+IFERROR(VLOOKUP(FK32,IN_Zugliste!$A$4:$E$2002,5,FALSE),"")</f>
        <v/>
      </c>
      <c r="FL231" t="str">
        <f>+IFERROR(VLOOKUP(FL32,IN_Zugliste!$A$4:$E$2002,5,FALSE),"")</f>
        <v/>
      </c>
      <c r="FM231" t="str">
        <f>+IFERROR(VLOOKUP(FM32,IN_Zugliste!$A$4:$D$2002,5,FALSE),"")</f>
        <v/>
      </c>
      <c r="FN231" t="str">
        <f>+IFERROR(VLOOKUP(FN32,IN_Zugliste!$A$4:$D$2002,5,FALSE),"")</f>
        <v/>
      </c>
      <c r="FO231" t="str">
        <f>+IFERROR(VLOOKUP(FO32,IN_Zugliste!$A$4:$D$2002,5,FALSE),"")</f>
        <v/>
      </c>
      <c r="FP231" t="str">
        <f>+IFERROR(VLOOKUP(FP32,IN_Zugliste!$A$4:$D$2002,5,FALSE),"")</f>
        <v/>
      </c>
      <c r="FQ231" t="str">
        <f>+IFERROR(VLOOKUP(FQ32,IN_Zugliste!$A$4:$D$2002,5,FALSE),"")</f>
        <v/>
      </c>
      <c r="FR231" t="str">
        <f>+IFERROR(VLOOKUP(FR32,IN_Zugliste!$A$4:$D$2002,5,FALSE),"")</f>
        <v/>
      </c>
      <c r="FS231" t="str">
        <f>+IFERROR(VLOOKUP(FS32,IN_Zugliste!$A$4:$D$2002,5,FALSE),"")</f>
        <v/>
      </c>
      <c r="FT231" t="str">
        <f>+IFERROR(VLOOKUP(FT32,IN_Zugliste!$A$4:$D$2002,5,FALSE),"")</f>
        <v/>
      </c>
      <c r="FU231" t="str">
        <f>+IFERROR(VLOOKUP(FU32,IN_Zugliste!$A$4:$D$2002,5,FALSE),"")</f>
        <v/>
      </c>
      <c r="FV231" t="str">
        <f>+IFERROR(VLOOKUP(FV32,IN_Zugliste!$A$4:$D$2002,5,FALSE),"")</f>
        <v/>
      </c>
      <c r="FW231" t="str">
        <f>+IFERROR(VLOOKUP(FW32,IN_Zugliste!$A$4:$D$2002,5,FALSE),"")</f>
        <v/>
      </c>
      <c r="FX231" t="str">
        <f>+IFERROR(VLOOKUP(FX32,IN_Zugliste!$A$4:$D$2002,5,FALSE),"")</f>
        <v/>
      </c>
      <c r="FY231" t="str">
        <f>+IFERROR(VLOOKUP(FY32,IN_Zugliste!$A$4:$D$2002,5,FALSE),"")</f>
        <v/>
      </c>
      <c r="FZ231" t="str">
        <f>+IFERROR(VLOOKUP(FZ32,IN_Zugliste!$A$4:$D$2002,5,FALSE),"")</f>
        <v/>
      </c>
      <c r="GA231" t="str">
        <f>+IFERROR(VLOOKUP(GA32,IN_Zugliste!$A$4:$D$2002,5,FALSE),"")</f>
        <v/>
      </c>
      <c r="GB231" t="str">
        <f>+IFERROR(VLOOKUP(GB32,IN_Zugliste!$A$4:$D$2002,5,FALSE),"")</f>
        <v/>
      </c>
      <c r="GC231" t="str">
        <f>+IFERROR(VLOOKUP(GC32,IN_Zugliste!$A$4:$D$2002,5,FALSE),"")</f>
        <v/>
      </c>
      <c r="GD231" t="str">
        <f>+IFERROR(VLOOKUP(GD32,IN_Zugliste!$A$4:$D$2002,5,FALSE),"")</f>
        <v/>
      </c>
      <c r="GE231" t="str">
        <f>+IFERROR(VLOOKUP(GE32,IN_Zugliste!$A$4:$D$2002,5,FALSE),"")</f>
        <v/>
      </c>
      <c r="GF231" t="str">
        <f>+IFERROR(VLOOKUP(GF32,IN_Zugliste!$A$4:$D$2002,5,FALSE),"")</f>
        <v/>
      </c>
      <c r="GG231" t="str">
        <f>+IFERROR(VLOOKUP(GG32,IN_Zugliste!$A$4:$D$2002,5,FALSE),"")</f>
        <v/>
      </c>
      <c r="GH231" t="str">
        <f>+IFERROR(VLOOKUP(GH32,IN_Zugliste!$A$4:$D$2002,5,FALSE),"")</f>
        <v/>
      </c>
      <c r="GI231" t="str">
        <f>+IFERROR(VLOOKUP(GI32,IN_Zugliste!$A$4:$D$2002,5,FALSE),"")</f>
        <v/>
      </c>
      <c r="GJ231" t="str">
        <f>+IFERROR(VLOOKUP(GJ32,IN_Zugliste!$A$4:$D$2002,5,FALSE),"")</f>
        <v/>
      </c>
      <c r="GK231" t="str">
        <f>+IFERROR(VLOOKUP(GK32,IN_Zugliste!$A$4:$D$2002,5,FALSE),"")</f>
        <v/>
      </c>
      <c r="GL231" t="str">
        <f>+IFERROR(VLOOKUP(GL32,IN_Zugliste!$A$4:$D$2002,5,FALSE),"")</f>
        <v/>
      </c>
      <c r="GM231" t="str">
        <f>+IFERROR(VLOOKUP(GM32,IN_Zugliste!$A$4:$D$2002,5,FALSE),"")</f>
        <v/>
      </c>
      <c r="GN231" t="str">
        <f>+IFERROR(VLOOKUP(GN32,IN_Zugliste!$A$4:$D$2002,5,FALSE),"")</f>
        <v/>
      </c>
      <c r="GO231" t="str">
        <f>+IFERROR(VLOOKUP(GO32,IN_Zugliste!$A$4:$D$2002,5,FALSE),"")</f>
        <v/>
      </c>
      <c r="GP231" t="str">
        <f>+IFERROR(VLOOKUP(GP32,IN_Zugliste!$A$4:$D$2002,5,FALSE),"")</f>
        <v/>
      </c>
      <c r="GQ231" t="str">
        <f>+IFERROR(VLOOKUP(GQ32,IN_Zugliste!$A$4:$D$2002,5,FALSE),"")</f>
        <v/>
      </c>
      <c r="GR231" t="str">
        <f>+IFERROR(VLOOKUP(GR32,IN_Zugliste!$A$4:$D$2002,5,FALSE),"")</f>
        <v/>
      </c>
      <c r="GS231" t="str">
        <f>+IFERROR(VLOOKUP(GS32,IN_Zugliste!$A$4:$D$2002,5,FALSE),"")</f>
        <v/>
      </c>
      <c r="GT231" t="str">
        <f>+IFERROR(VLOOKUP(GT32,IN_Zugliste!$A$4:$D$2002,5,FALSE),"")</f>
        <v/>
      </c>
      <c r="GU231" t="str">
        <f>+IFERROR(VLOOKUP(GU32,IN_Zugliste!$A$4:$D$2002,5,FALSE),"")</f>
        <v/>
      </c>
      <c r="GV231" t="str">
        <f>+IFERROR(VLOOKUP(GV32,IN_Zugliste!$A$4:$D$2002,5,FALSE),"")</f>
        <v/>
      </c>
      <c r="GW231" t="str">
        <f>+IFERROR(VLOOKUP(GW32,IN_Zugliste!$A$4:$D$2002,5,FALSE),"")</f>
        <v/>
      </c>
      <c r="GX231" t="str">
        <f>+IFERROR(VLOOKUP(GX32,IN_Zugliste!$A$4:$D$2002,5,FALSE),"")</f>
        <v/>
      </c>
      <c r="GY231" t="str">
        <f>+IFERROR(VLOOKUP(GY32,IN_Zugliste!$A$4:$D$2002,5,FALSE),"")</f>
        <v/>
      </c>
      <c r="GZ231" t="str">
        <f>+IFERROR(VLOOKUP(GZ32,IN_Zugliste!$A$4:$D$2002,5,FALSE),"")</f>
        <v/>
      </c>
      <c r="HA231" t="str">
        <f>+IFERROR(VLOOKUP(HA32,IN_Zugliste!$A$4:$D$2002,5,FALSE),"")</f>
        <v/>
      </c>
      <c r="HB231" t="str">
        <f>+IFERROR(VLOOKUP(HB32,IN_Zugliste!$A$4:$D$2002,5,FALSE),"")</f>
        <v/>
      </c>
      <c r="HC231" t="str">
        <f>+IFERROR(VLOOKUP(HC32,IN_Zugliste!$A$4:$D$2002,5,FALSE),"")</f>
        <v/>
      </c>
      <c r="HD231" t="str">
        <f>+IFERROR(VLOOKUP(HD32,IN_Zugliste!$A$4:$D$2002,5,FALSE),"")</f>
        <v/>
      </c>
      <c r="HE231" t="str">
        <f>+IFERROR(VLOOKUP(HE32,IN_Zugliste!$A$4:$D$2002,5,FALSE),"")</f>
        <v/>
      </c>
      <c r="HF231" t="str">
        <f>+IFERROR(VLOOKUP(HF32,IN_Zugliste!$A$4:$D$2002,5,FALSE),"")</f>
        <v/>
      </c>
      <c r="HG231" t="str">
        <f>+IFERROR(VLOOKUP(HG32,IN_Zugliste!$A$4:$D$2002,5,FALSE),"")</f>
        <v/>
      </c>
      <c r="HH231" t="str">
        <f>+IFERROR(VLOOKUP(HH32,IN_Zugliste!$A$4:$D$2002,5,FALSE),"")</f>
        <v/>
      </c>
    </row>
    <row r="232" spans="1:216" x14ac:dyDescent="0.2">
      <c r="A232" t="str">
        <f>+IFERROR(VLOOKUP(A33,IN_Zugliste!$A$4:$E$2002,5,FALSE),"")</f>
        <v/>
      </c>
      <c r="B232" t="str">
        <f>+IFERROR(VLOOKUP(B33,IN_Zugliste!$A$4:$E$2002,5,FALSE),"")</f>
        <v/>
      </c>
      <c r="C232" t="str">
        <f>+IFERROR(VLOOKUP(C33,IN_Zugliste!$A$4:$E$2002,5,FALSE),"")</f>
        <v/>
      </c>
      <c r="D232" t="str">
        <f>+IFERROR(VLOOKUP(D33,IN_Zugliste!$A$4:$E$2002,5,FALSE),"")</f>
        <v/>
      </c>
      <c r="E232" t="str">
        <f>+IFERROR(VLOOKUP(E33,IN_Zugliste!$A$4:$E$2002,5,FALSE),"")</f>
        <v/>
      </c>
      <c r="F232" t="str">
        <f>+IFERROR(VLOOKUP(F33,IN_Zugliste!$A$4:$E$2002,5,FALSE),"")</f>
        <v/>
      </c>
      <c r="G232" t="str">
        <f>+IFERROR(VLOOKUP(G33,IN_Zugliste!$A$4:$E$2002,5,FALSE),"")</f>
        <v/>
      </c>
      <c r="H232" t="str">
        <f>+IFERROR(VLOOKUP(H33,IN_Zugliste!$A$4:$E$2002,5,FALSE),"")</f>
        <v/>
      </c>
      <c r="I232" t="str">
        <f>+IFERROR(VLOOKUP(I33,IN_Zugliste!$A$4:$E$2002,5,FALSE),"")</f>
        <v/>
      </c>
      <c r="J232" t="str">
        <f>+IFERROR(VLOOKUP(J33,IN_Zugliste!$A$4:$E$2002,5,FALSE),"")</f>
        <v/>
      </c>
      <c r="K232" t="str">
        <f>+IFERROR(VLOOKUP(K33,IN_Zugliste!$A$4:$E$2002,5,FALSE),"")</f>
        <v/>
      </c>
      <c r="L232" t="str">
        <f>+IFERROR(VLOOKUP(L33,IN_Zugliste!$A$4:$E$2002,5,FALSE),"")</f>
        <v/>
      </c>
      <c r="M232" t="str">
        <f>+IFERROR(VLOOKUP(M33,IN_Zugliste!$A$4:$E$2002,5,FALSE),"")</f>
        <v/>
      </c>
      <c r="N232" t="str">
        <f>+IFERROR(VLOOKUP(N33,IN_Zugliste!$A$4:$E$2002,5,FALSE),"")</f>
        <v/>
      </c>
      <c r="O232" t="str">
        <f>+IFERROR(VLOOKUP(O33,IN_Zugliste!$A$4:$E$2002,5,FALSE),"")</f>
        <v/>
      </c>
      <c r="P232" t="str">
        <f>+IFERROR(VLOOKUP(P33,IN_Zugliste!$A$4:$E$2002,5,FALSE),"")</f>
        <v/>
      </c>
      <c r="Q232" t="str">
        <f>+IFERROR(VLOOKUP(Q33,IN_Zugliste!$A$4:$E$2002,5,FALSE),"")</f>
        <v/>
      </c>
      <c r="R232" t="str">
        <f>+IFERROR(VLOOKUP(R33,IN_Zugliste!$A$4:$E$2002,5,FALSE),"")</f>
        <v/>
      </c>
      <c r="S232" t="str">
        <f>+IFERROR(VLOOKUP(S33,IN_Zugliste!$A$4:$E$2002,5,FALSE),"")</f>
        <v/>
      </c>
      <c r="T232" t="str">
        <f>+IFERROR(VLOOKUP(T33,IN_Zugliste!$A$4:$E$2002,5,FALSE),"")</f>
        <v/>
      </c>
      <c r="U232" t="str">
        <f>+IFERROR(VLOOKUP(U33,IN_Zugliste!$A$4:$E$2002,5,FALSE),"")</f>
        <v/>
      </c>
      <c r="V232" t="str">
        <f>+IFERROR(VLOOKUP(V33,IN_Zugliste!$A$4:$E$2002,5,FALSE),"")</f>
        <v/>
      </c>
      <c r="W232" t="str">
        <f>+IFERROR(VLOOKUP(W33,IN_Zugliste!$A$4:$E$2002,5,FALSE),"")</f>
        <v/>
      </c>
      <c r="X232" t="str">
        <f>+IFERROR(VLOOKUP(X33,IN_Zugliste!$A$4:$E$2002,5,FALSE),"")</f>
        <v/>
      </c>
      <c r="Y232" t="str">
        <f>+IFERROR(VLOOKUP(Y33,IN_Zugliste!$A$4:$E$2002,5,FALSE),"")</f>
        <v/>
      </c>
      <c r="Z232" t="str">
        <f>+IFERROR(VLOOKUP(Z33,IN_Zugliste!$A$4:$E$2002,5,FALSE),"")</f>
        <v/>
      </c>
      <c r="AA232" t="str">
        <f>+IFERROR(VLOOKUP(AA33,IN_Zugliste!$A$4:$E$2002,5,FALSE),"")</f>
        <v/>
      </c>
      <c r="AB232" t="str">
        <f>+IFERROR(VLOOKUP(AB33,IN_Zugliste!$A$4:$E$2002,5,FALSE),"")</f>
        <v/>
      </c>
      <c r="AC232" t="str">
        <f>+IFERROR(VLOOKUP(AC33,IN_Zugliste!$A$4:$E$2002,5,FALSE),"")</f>
        <v/>
      </c>
      <c r="AD232" t="str">
        <f>+IFERROR(VLOOKUP(AD33,IN_Zugliste!$A$4:$E$2002,5,FALSE),"")</f>
        <v/>
      </c>
      <c r="AE232" t="str">
        <f>+IFERROR(VLOOKUP(AE33,IN_Zugliste!$A$4:$E$2002,5,FALSE),"")</f>
        <v/>
      </c>
      <c r="AF232" t="str">
        <f>+IFERROR(VLOOKUP(AF33,IN_Zugliste!$A$4:$E$2002,5,FALSE),"")</f>
        <v/>
      </c>
      <c r="AG232" t="str">
        <f>+IFERROR(VLOOKUP(AG33,IN_Zugliste!$A$4:$E$2002,5,FALSE),"")</f>
        <v/>
      </c>
      <c r="AH232" t="str">
        <f>+IFERROR(VLOOKUP(AH33,IN_Zugliste!$A$4:$E$2002,5,FALSE),"")</f>
        <v/>
      </c>
      <c r="AI232" t="str">
        <f>+IFERROR(VLOOKUP(AI33,IN_Zugliste!$A$4:$E$2002,5,FALSE),"")</f>
        <v/>
      </c>
      <c r="AJ232" t="str">
        <f>+IFERROR(VLOOKUP(AJ33,IN_Zugliste!$A$4:$E$2002,5,FALSE),"")</f>
        <v/>
      </c>
      <c r="AK232" t="str">
        <f>+IFERROR(VLOOKUP(AK33,IN_Zugliste!$A$4:$E$2002,5,FALSE),"")</f>
        <v/>
      </c>
      <c r="AL232" t="str">
        <f>+IFERROR(VLOOKUP(AL33,IN_Zugliste!$A$4:$E$2002,5,FALSE),"")</f>
        <v/>
      </c>
      <c r="AM232" t="str">
        <f>+IFERROR(VLOOKUP(AM33,IN_Zugliste!$A$4:$E$2002,5,FALSE),"")</f>
        <v/>
      </c>
      <c r="AN232" t="str">
        <f>+IFERROR(VLOOKUP(AN33,IN_Zugliste!$A$4:$E$2002,5,FALSE),"")</f>
        <v/>
      </c>
      <c r="AO232" t="str">
        <f>+IFERROR(VLOOKUP(AO33,IN_Zugliste!$A$4:$E$2002,5,FALSE),"")</f>
        <v/>
      </c>
      <c r="AP232" t="str">
        <f>+IFERROR(VLOOKUP(AP33,IN_Zugliste!$A$4:$E$2002,5,FALSE),"")</f>
        <v/>
      </c>
      <c r="AQ232" t="str">
        <f>+IFERROR(VLOOKUP(AQ33,IN_Zugliste!$A$4:$E$2002,5,FALSE),"")</f>
        <v/>
      </c>
      <c r="AR232" t="str">
        <f>+IFERROR(VLOOKUP(AR33,IN_Zugliste!$A$4:$E$2002,5,FALSE),"")</f>
        <v/>
      </c>
      <c r="AS232" t="str">
        <f>+IFERROR(VLOOKUP(AS33,IN_Zugliste!$A$4:$E$2002,5,FALSE),"")</f>
        <v/>
      </c>
      <c r="AT232" t="str">
        <f>+IFERROR(VLOOKUP(AT33,IN_Zugliste!$A$4:$E$2002,5,FALSE),"")</f>
        <v/>
      </c>
      <c r="AU232" t="str">
        <f>+IFERROR(VLOOKUP(AU33,IN_Zugliste!$A$4:$E$2002,5,FALSE),"")</f>
        <v/>
      </c>
      <c r="AV232" t="str">
        <f>+IFERROR(VLOOKUP(AV33,IN_Zugliste!$A$4:$E$2002,5,FALSE),"")</f>
        <v/>
      </c>
      <c r="AW232" t="str">
        <f>+IFERROR(VLOOKUP(AW33,IN_Zugliste!$A$4:$E$2002,5,FALSE),"")</f>
        <v/>
      </c>
      <c r="AX232" t="str">
        <f>+IFERROR(VLOOKUP(AX33,IN_Zugliste!$A$4:$E$2002,5,FALSE),"")</f>
        <v/>
      </c>
      <c r="AY232" t="str">
        <f>+IFERROR(VLOOKUP(AY33,IN_Zugliste!$A$4:$E$2002,5,FALSE),"")</f>
        <v/>
      </c>
      <c r="AZ232" t="str">
        <f>+IFERROR(VLOOKUP(AZ33,IN_Zugliste!$A$4:$E$2002,5,FALSE),"")</f>
        <v/>
      </c>
      <c r="BA232" t="str">
        <f>+IFERROR(VLOOKUP(BA33,IN_Zugliste!$A$4:$E$2002,5,FALSE),"")</f>
        <v/>
      </c>
      <c r="BB232" t="str">
        <f>+IFERROR(VLOOKUP(BB33,IN_Zugliste!$A$4:$E$2002,5,FALSE),"")</f>
        <v/>
      </c>
      <c r="BC232" t="str">
        <f>+IFERROR(VLOOKUP(BC33,IN_Zugliste!$A$4:$E$2002,5,FALSE),"")</f>
        <v/>
      </c>
      <c r="BD232" t="str">
        <f>+IFERROR(VLOOKUP(BD33,IN_Zugliste!$A$4:$E$2002,5,FALSE),"")</f>
        <v/>
      </c>
      <c r="BE232" t="str">
        <f>+IFERROR(VLOOKUP(BE33,IN_Zugliste!$A$4:$E$2002,5,FALSE),"")</f>
        <v/>
      </c>
      <c r="BF232" t="str">
        <f>+IFERROR(VLOOKUP(BF33,IN_Zugliste!$A$4:$E$2002,5,FALSE),"")</f>
        <v/>
      </c>
      <c r="BG232" t="str">
        <f>+IFERROR(VLOOKUP(BG33,IN_Zugliste!$A$4:$E$2002,5,FALSE),"")</f>
        <v/>
      </c>
      <c r="BH232" t="str">
        <f>+IFERROR(VLOOKUP(BH33,IN_Zugliste!$A$4:$E$2002,5,FALSE),"")</f>
        <v/>
      </c>
      <c r="BI232" t="str">
        <f>+IFERROR(VLOOKUP(BI33,IN_Zugliste!$A$4:$E$2002,5,FALSE),"")</f>
        <v/>
      </c>
      <c r="BJ232" t="str">
        <f>+IFERROR(VLOOKUP(BJ33,IN_Zugliste!$A$4:$E$2002,5,FALSE),"")</f>
        <v/>
      </c>
      <c r="BK232" t="str">
        <f>+IFERROR(VLOOKUP(BK33,IN_Zugliste!$A$4:$E$2002,5,FALSE),"")</f>
        <v/>
      </c>
      <c r="BL232" t="str">
        <f>+IFERROR(VLOOKUP(BL33,IN_Zugliste!$A$4:$E$2002,5,FALSE),"")</f>
        <v/>
      </c>
      <c r="BM232" t="str">
        <f>+IFERROR(VLOOKUP(BM33,IN_Zugliste!$A$4:$E$2002,5,FALSE),"")</f>
        <v/>
      </c>
      <c r="BN232" t="str">
        <f>+IFERROR(VLOOKUP(BN33,IN_Zugliste!$A$4:$E$2002,5,FALSE),"")</f>
        <v/>
      </c>
      <c r="BO232" t="str">
        <f>+IFERROR(VLOOKUP(BO33,IN_Zugliste!$A$4:$E$2002,5,FALSE),"")</f>
        <v/>
      </c>
      <c r="BP232" t="str">
        <f>+IFERROR(VLOOKUP(BP33,IN_Zugliste!$A$4:$E$2002,5,FALSE),"")</f>
        <v/>
      </c>
      <c r="BQ232" t="str">
        <f>+IFERROR(VLOOKUP(BQ33,IN_Zugliste!$A$4:$E$2002,5,FALSE),"")</f>
        <v/>
      </c>
      <c r="BR232" t="str">
        <f>+IFERROR(VLOOKUP(BR33,IN_Zugliste!$A$4:$E$2002,5,FALSE),"")</f>
        <v/>
      </c>
      <c r="BS232" t="str">
        <f>+IFERROR(VLOOKUP(BS33,IN_Zugliste!$A$4:$E$2002,5,FALSE),"")</f>
        <v/>
      </c>
      <c r="BT232" t="str">
        <f>+IFERROR(VLOOKUP(BT33,IN_Zugliste!$A$4:$E$2002,5,FALSE),"")</f>
        <v/>
      </c>
      <c r="BU232" t="str">
        <f>+IFERROR(VLOOKUP(BU33,IN_Zugliste!$A$4:$E$2002,5,FALSE),"")</f>
        <v/>
      </c>
      <c r="BV232" t="str">
        <f>+IFERROR(VLOOKUP(BV33,IN_Zugliste!$A$4:$E$2002,5,FALSE),"")</f>
        <v/>
      </c>
      <c r="BW232" t="str">
        <f>+IFERROR(VLOOKUP(BW33,IN_Zugliste!$A$4:$E$2002,5,FALSE),"")</f>
        <v/>
      </c>
      <c r="BX232" t="str">
        <f>+IFERROR(VLOOKUP(BX33,IN_Zugliste!$A$4:$E$2002,5,FALSE),"")</f>
        <v/>
      </c>
      <c r="BY232" t="str">
        <f>+IFERROR(VLOOKUP(BY33,IN_Zugliste!$A$4:$E$2002,5,FALSE),"")</f>
        <v/>
      </c>
      <c r="BZ232" t="str">
        <f>+IFERROR(VLOOKUP(BZ33,IN_Zugliste!$A$4:$E$2002,5,FALSE),"")</f>
        <v/>
      </c>
      <c r="CA232" t="str">
        <f>+IFERROR(VLOOKUP(CA33,IN_Zugliste!$A$4:$E$2002,5,FALSE),"")</f>
        <v/>
      </c>
      <c r="CB232" t="str">
        <f>+IFERROR(VLOOKUP(CB33,IN_Zugliste!$A$4:$E$2002,5,FALSE),"")</f>
        <v/>
      </c>
      <c r="CC232" t="str">
        <f>+IFERROR(VLOOKUP(CC33,IN_Zugliste!$A$4:$E$2002,5,FALSE),"")</f>
        <v/>
      </c>
      <c r="CD232" t="str">
        <f>+IFERROR(VLOOKUP(CD33,IN_Zugliste!$A$4:$E$2002,5,FALSE),"")</f>
        <v/>
      </c>
      <c r="CE232" t="str">
        <f>+IFERROR(VLOOKUP(CE33,IN_Zugliste!$A$4:$E$2002,5,FALSE),"")</f>
        <v/>
      </c>
      <c r="CF232" t="str">
        <f>+IFERROR(VLOOKUP(CF33,IN_Zugliste!$A$4:$E$2002,5,FALSE),"")</f>
        <v/>
      </c>
      <c r="CG232" t="str">
        <f>+IFERROR(VLOOKUP(CG33,IN_Zugliste!$A$4:$E$2002,5,FALSE),"")</f>
        <v/>
      </c>
      <c r="CH232" t="str">
        <f>+IFERROR(VLOOKUP(CH33,IN_Zugliste!$A$4:$E$2002,5,FALSE),"")</f>
        <v/>
      </c>
      <c r="CI232" t="str">
        <f>+IFERROR(VLOOKUP(CI33,IN_Zugliste!$A$4:$E$2002,5,FALSE),"")</f>
        <v/>
      </c>
      <c r="CJ232" t="str">
        <f>+IFERROR(VLOOKUP(CJ33,IN_Zugliste!$A$4:$E$2002,5,FALSE),"")</f>
        <v/>
      </c>
      <c r="CK232" t="str">
        <f>+IFERROR(VLOOKUP(CK33,IN_Zugliste!$A$4:$E$2002,5,FALSE),"")</f>
        <v/>
      </c>
      <c r="CL232" t="str">
        <f>+IFERROR(VLOOKUP(CL33,IN_Zugliste!$A$4:$E$2002,5,FALSE),"")</f>
        <v/>
      </c>
      <c r="CM232" t="str">
        <f>+IFERROR(VLOOKUP(CM33,IN_Zugliste!$A$4:$E$2002,5,FALSE),"")</f>
        <v/>
      </c>
      <c r="CN232" t="str">
        <f>+IFERROR(VLOOKUP(CN33,IN_Zugliste!$A$4:$E$2002,5,FALSE),"")</f>
        <v/>
      </c>
      <c r="CO232" t="str">
        <f>+IFERROR(VLOOKUP(CO33,IN_Zugliste!$A$4:$E$2002,5,FALSE),"")</f>
        <v/>
      </c>
      <c r="CP232" t="str">
        <f>+IFERROR(VLOOKUP(CP33,IN_Zugliste!$A$4:$E$2002,5,FALSE),"")</f>
        <v/>
      </c>
      <c r="CQ232" t="str">
        <f>+IFERROR(VLOOKUP(CQ33,IN_Zugliste!$A$4:$E$2002,5,FALSE),"")</f>
        <v/>
      </c>
      <c r="CR232" t="str">
        <f>+IFERROR(VLOOKUP(CR33,IN_Zugliste!$A$4:$E$2002,5,FALSE),"")</f>
        <v/>
      </c>
      <c r="CS232" t="str">
        <f>+IFERROR(VLOOKUP(CS33,IN_Zugliste!$A$4:$E$2002,5,FALSE),"")</f>
        <v/>
      </c>
      <c r="CT232" t="str">
        <f>+IFERROR(VLOOKUP(CT33,IN_Zugliste!$A$4:$E$2002,5,FALSE),"")</f>
        <v/>
      </c>
      <c r="CU232" t="str">
        <f>+IFERROR(VLOOKUP(CU33,IN_Zugliste!$A$4:$E$2002,5,FALSE),"")</f>
        <v/>
      </c>
      <c r="CV232" t="str">
        <f>+IFERROR(VLOOKUP(CV33,IN_Zugliste!$A$4:$E$2002,5,FALSE),"")</f>
        <v/>
      </c>
      <c r="CW232" t="str">
        <f>+IFERROR(VLOOKUP(CW33,IN_Zugliste!$A$4:$E$2002,5,FALSE),"")</f>
        <v/>
      </c>
      <c r="CX232" t="str">
        <f>+IFERROR(VLOOKUP(CX33,IN_Zugliste!$A$4:$E$2002,5,FALSE),"")</f>
        <v/>
      </c>
      <c r="CY232" t="str">
        <f>+IFERROR(VLOOKUP(CY33,IN_Zugliste!$A$4:$E$2002,5,FALSE),"")</f>
        <v/>
      </c>
      <c r="CZ232" t="str">
        <f>+IFERROR(VLOOKUP(CZ33,IN_Zugliste!$A$4:$E$2002,5,FALSE),"")</f>
        <v/>
      </c>
      <c r="DA232" t="str">
        <f>+IFERROR(VLOOKUP(DA33,IN_Zugliste!$A$4:$E$2002,5,FALSE),"")</f>
        <v/>
      </c>
      <c r="DB232" t="str">
        <f>+IFERROR(VLOOKUP(DB33,IN_Zugliste!$A$4:$E$2002,5,FALSE),"")</f>
        <v/>
      </c>
      <c r="DC232" t="str">
        <f>+IFERROR(VLOOKUP(DC33,IN_Zugliste!$A$4:$E$2002,5,FALSE),"")</f>
        <v/>
      </c>
      <c r="DD232" t="str">
        <f>+IFERROR(VLOOKUP(DD33,IN_Zugliste!$A$4:$E$2002,5,FALSE),"")</f>
        <v/>
      </c>
      <c r="DE232" t="str">
        <f>+IFERROR(VLOOKUP(DE33,IN_Zugliste!$A$4:$E$2002,5,FALSE),"")</f>
        <v/>
      </c>
      <c r="DF232" t="str">
        <f>+IFERROR(VLOOKUP(DF33,IN_Zugliste!$A$4:$E$2002,5,FALSE),"")</f>
        <v/>
      </c>
      <c r="DG232" t="str">
        <f>+IFERROR(VLOOKUP(DG33,IN_Zugliste!$A$4:$E$2002,5,FALSE),"")</f>
        <v/>
      </c>
      <c r="DH232" t="str">
        <f>+IFERROR(VLOOKUP(DH33,IN_Zugliste!$A$4:$E$2002,5,FALSE),"")</f>
        <v/>
      </c>
      <c r="DI232" t="str">
        <f>+IFERROR(VLOOKUP(DI33,IN_Zugliste!$A$4:$E$2002,5,FALSE),"")</f>
        <v/>
      </c>
      <c r="DJ232" t="str">
        <f>+IFERROR(VLOOKUP(DJ33,IN_Zugliste!$A$4:$E$2002,5,FALSE),"")</f>
        <v/>
      </c>
      <c r="DK232" t="str">
        <f>+IFERROR(VLOOKUP(DK33,IN_Zugliste!$A$4:$E$2002,5,FALSE),"")</f>
        <v/>
      </c>
      <c r="DL232" t="str">
        <f>+IFERROR(VLOOKUP(DL33,IN_Zugliste!$A$4:$E$2002,5,FALSE),"")</f>
        <v/>
      </c>
      <c r="DM232" t="str">
        <f>+IFERROR(VLOOKUP(DM33,IN_Zugliste!$A$4:$E$2002,5,FALSE),"")</f>
        <v/>
      </c>
      <c r="DN232" t="str">
        <f>+IFERROR(VLOOKUP(DN33,IN_Zugliste!$A$4:$E$2002,5,FALSE),"")</f>
        <v/>
      </c>
      <c r="DO232" t="str">
        <f>+IFERROR(VLOOKUP(DO33,IN_Zugliste!$A$4:$E$2002,5,FALSE),"")</f>
        <v/>
      </c>
      <c r="DP232" t="str">
        <f>+IFERROR(VLOOKUP(DP33,IN_Zugliste!$A$4:$E$2002,5,FALSE),"")</f>
        <v/>
      </c>
      <c r="DQ232" t="str">
        <f>+IFERROR(VLOOKUP(DQ33,IN_Zugliste!$A$4:$E$2002,5,FALSE),"")</f>
        <v/>
      </c>
      <c r="DR232" t="str">
        <f>+IFERROR(VLOOKUP(DR33,IN_Zugliste!$A$4:$E$2002,5,FALSE),"")</f>
        <v/>
      </c>
      <c r="DS232" t="str">
        <f>+IFERROR(VLOOKUP(DS33,IN_Zugliste!$A$4:$E$2002,5,FALSE),"")</f>
        <v/>
      </c>
      <c r="DT232" t="str">
        <f>+IFERROR(VLOOKUP(DT33,IN_Zugliste!$A$4:$E$2002,5,FALSE),"")</f>
        <v/>
      </c>
      <c r="DU232" t="str">
        <f>+IFERROR(VLOOKUP(DU33,IN_Zugliste!$A$4:$E$2002,5,FALSE),"")</f>
        <v/>
      </c>
      <c r="DV232" t="str">
        <f>+IFERROR(VLOOKUP(DV33,IN_Zugliste!$A$4:$E$2002,5,FALSE),"")</f>
        <v/>
      </c>
      <c r="DW232" t="str">
        <f>+IFERROR(VLOOKUP(DW33,IN_Zugliste!$A$4:$E$2002,5,FALSE),"")</f>
        <v/>
      </c>
      <c r="DX232" t="str">
        <f>+IFERROR(VLOOKUP(DX33,IN_Zugliste!$A$4:$E$2002,5,FALSE),"")</f>
        <v/>
      </c>
      <c r="DY232" t="str">
        <f>+IFERROR(VLOOKUP(DY33,IN_Zugliste!$A$4:$E$2002,5,FALSE),"")</f>
        <v/>
      </c>
      <c r="DZ232" t="str">
        <f>+IFERROR(VLOOKUP(DZ33,IN_Zugliste!$A$4:$E$2002,5,FALSE),"")</f>
        <v/>
      </c>
      <c r="EA232" t="str">
        <f>+IFERROR(VLOOKUP(EA33,IN_Zugliste!$A$4:$E$2002,5,FALSE),"")</f>
        <v/>
      </c>
      <c r="EB232" t="str">
        <f>+IFERROR(VLOOKUP(EB33,IN_Zugliste!$A$4:$E$2002,5,FALSE),"")</f>
        <v/>
      </c>
      <c r="EC232" t="str">
        <f>+IFERROR(VLOOKUP(EC33,IN_Zugliste!$A$4:$E$2002,5,FALSE),"")</f>
        <v/>
      </c>
      <c r="ED232" t="str">
        <f>+IFERROR(VLOOKUP(ED33,IN_Zugliste!$A$4:$E$2002,5,FALSE),"")</f>
        <v/>
      </c>
      <c r="EE232" t="str">
        <f>+IFERROR(VLOOKUP(EE33,IN_Zugliste!$A$4:$E$2002,5,FALSE),"")</f>
        <v/>
      </c>
      <c r="EF232" t="str">
        <f>+IFERROR(VLOOKUP(EF33,IN_Zugliste!$A$4:$E$2002,5,FALSE),"")</f>
        <v/>
      </c>
      <c r="EG232" t="str">
        <f>+IFERROR(VLOOKUP(EG33,IN_Zugliste!$A$4:$E$2002,5,FALSE),"")</f>
        <v/>
      </c>
      <c r="EH232" t="str">
        <f>+IFERROR(VLOOKUP(EH33,IN_Zugliste!$A$4:$E$2002,5,FALSE),"")</f>
        <v/>
      </c>
      <c r="EI232" t="str">
        <f>+IFERROR(VLOOKUP(EI33,IN_Zugliste!$A$4:$E$2002,5,FALSE),"")</f>
        <v/>
      </c>
      <c r="EJ232" t="str">
        <f>+IFERROR(VLOOKUP(EJ33,IN_Zugliste!$A$4:$E$2002,5,FALSE),"")</f>
        <v/>
      </c>
      <c r="EK232" t="str">
        <f>+IFERROR(VLOOKUP(EK33,IN_Zugliste!$A$4:$E$2002,5,FALSE),"")</f>
        <v/>
      </c>
      <c r="EL232" t="str">
        <f>+IFERROR(VLOOKUP(EL33,IN_Zugliste!$A$4:$E$2002,5,FALSE),"")</f>
        <v/>
      </c>
      <c r="EM232" t="str">
        <f>+IFERROR(VLOOKUP(EM33,IN_Zugliste!$A$4:$E$2002,5,FALSE),"")</f>
        <v/>
      </c>
      <c r="EN232" t="str">
        <f>+IFERROR(VLOOKUP(EN33,IN_Zugliste!$A$4:$E$2002,5,FALSE),"")</f>
        <v/>
      </c>
      <c r="EO232" t="str">
        <f>+IFERROR(VLOOKUP(EO33,IN_Zugliste!$A$4:$E$2002,5,FALSE),"")</f>
        <v/>
      </c>
      <c r="EP232" t="str">
        <f>+IFERROR(VLOOKUP(EP33,IN_Zugliste!$A$4:$E$2002,5,FALSE),"")</f>
        <v/>
      </c>
      <c r="EQ232" t="str">
        <f>+IFERROR(VLOOKUP(EQ33,IN_Zugliste!$A$4:$E$2002,5,FALSE),"")</f>
        <v/>
      </c>
      <c r="ER232" t="str">
        <f>+IFERROR(VLOOKUP(ER33,IN_Zugliste!$A$4:$E$2002,5,FALSE),"")</f>
        <v/>
      </c>
      <c r="ES232" t="str">
        <f>+IFERROR(VLOOKUP(ES33,IN_Zugliste!$A$4:$E$2002,5,FALSE),"")</f>
        <v/>
      </c>
      <c r="ET232" t="str">
        <f>+IFERROR(VLOOKUP(ET33,IN_Zugliste!$A$4:$E$2002,5,FALSE),"")</f>
        <v/>
      </c>
      <c r="EU232" t="str">
        <f>+IFERROR(VLOOKUP(EU33,IN_Zugliste!$A$4:$E$2002,5,FALSE),"")</f>
        <v/>
      </c>
      <c r="EV232" t="str">
        <f>+IFERROR(VLOOKUP(EV33,IN_Zugliste!$A$4:$E$2002,5,FALSE),"")</f>
        <v/>
      </c>
      <c r="EW232" t="str">
        <f>+IFERROR(VLOOKUP(EW33,IN_Zugliste!$A$4:$E$2002,5,FALSE),"")</f>
        <v/>
      </c>
      <c r="EX232" t="str">
        <f>+IFERROR(VLOOKUP(EX33,IN_Zugliste!$A$4:$E$2002,5,FALSE),"")</f>
        <v/>
      </c>
      <c r="EY232" t="str">
        <f>+IFERROR(VLOOKUP(EY33,IN_Zugliste!$A$4:$E$2002,5,FALSE),"")</f>
        <v/>
      </c>
      <c r="EZ232" t="str">
        <f>+IFERROR(VLOOKUP(EZ33,IN_Zugliste!$A$4:$E$2002,5,FALSE),"")</f>
        <v/>
      </c>
      <c r="FA232" t="str">
        <f>+IFERROR(VLOOKUP(FA33,IN_Zugliste!$A$4:$E$2002,5,FALSE),"")</f>
        <v/>
      </c>
      <c r="FB232" t="str">
        <f>+IFERROR(VLOOKUP(FB33,IN_Zugliste!$A$4:$E$2002,5,FALSE),"")</f>
        <v/>
      </c>
      <c r="FC232" t="str">
        <f>+IFERROR(VLOOKUP(FC33,IN_Zugliste!$A$4:$E$2002,5,FALSE),"")</f>
        <v/>
      </c>
      <c r="FD232" t="str">
        <f>+IFERROR(VLOOKUP(FD33,IN_Zugliste!$A$4:$E$2002,5,FALSE),"")</f>
        <v/>
      </c>
      <c r="FE232" t="str">
        <f>+IFERROR(VLOOKUP(FE33,IN_Zugliste!$A$4:$E$2002,5,FALSE),"")</f>
        <v/>
      </c>
      <c r="FF232" t="str">
        <f>+IFERROR(VLOOKUP(FF33,IN_Zugliste!$A$4:$E$2002,5,FALSE),"")</f>
        <v/>
      </c>
      <c r="FG232" t="str">
        <f>+IFERROR(VLOOKUP(FG33,IN_Zugliste!$A$4:$E$2002,5,FALSE),"")</f>
        <v/>
      </c>
      <c r="FH232" t="str">
        <f>+IFERROR(VLOOKUP(FH33,IN_Zugliste!$A$4:$E$2002,5,FALSE),"")</f>
        <v/>
      </c>
      <c r="FI232" t="str">
        <f>+IFERROR(VLOOKUP(FI33,IN_Zugliste!$A$4:$E$2002,5,FALSE),"")</f>
        <v/>
      </c>
      <c r="FJ232" t="str">
        <f>+IFERROR(VLOOKUP(FJ33,IN_Zugliste!$A$4:$E$2002,5,FALSE),"")</f>
        <v/>
      </c>
      <c r="FK232" t="str">
        <f>+IFERROR(VLOOKUP(FK33,IN_Zugliste!$A$4:$E$2002,5,FALSE),"")</f>
        <v/>
      </c>
      <c r="FL232" t="str">
        <f>+IFERROR(VLOOKUP(FL33,IN_Zugliste!$A$4:$E$2002,5,FALSE),"")</f>
        <v/>
      </c>
      <c r="FM232" t="str">
        <f>+IFERROR(VLOOKUP(FM33,IN_Zugliste!$A$4:$D$2002,5,FALSE),"")</f>
        <v/>
      </c>
      <c r="FN232" t="str">
        <f>+IFERROR(VLOOKUP(FN33,IN_Zugliste!$A$4:$D$2002,5,FALSE),"")</f>
        <v/>
      </c>
      <c r="FO232" t="str">
        <f>+IFERROR(VLOOKUP(FO33,IN_Zugliste!$A$4:$D$2002,5,FALSE),"")</f>
        <v/>
      </c>
      <c r="FP232" t="str">
        <f>+IFERROR(VLOOKUP(FP33,IN_Zugliste!$A$4:$D$2002,5,FALSE),"")</f>
        <v/>
      </c>
      <c r="FQ232" t="str">
        <f>+IFERROR(VLOOKUP(FQ33,IN_Zugliste!$A$4:$D$2002,5,FALSE),"")</f>
        <v/>
      </c>
      <c r="FR232" t="str">
        <f>+IFERROR(VLOOKUP(FR33,IN_Zugliste!$A$4:$D$2002,5,FALSE),"")</f>
        <v/>
      </c>
      <c r="FS232" t="str">
        <f>+IFERROR(VLOOKUP(FS33,IN_Zugliste!$A$4:$D$2002,5,FALSE),"")</f>
        <v/>
      </c>
      <c r="FT232" t="str">
        <f>+IFERROR(VLOOKUP(FT33,IN_Zugliste!$A$4:$D$2002,5,FALSE),"")</f>
        <v/>
      </c>
      <c r="FU232" t="str">
        <f>+IFERROR(VLOOKUP(FU33,IN_Zugliste!$A$4:$D$2002,5,FALSE),"")</f>
        <v/>
      </c>
      <c r="FV232" t="str">
        <f>+IFERROR(VLOOKUP(FV33,IN_Zugliste!$A$4:$D$2002,5,FALSE),"")</f>
        <v/>
      </c>
      <c r="FW232" t="str">
        <f>+IFERROR(VLOOKUP(FW33,IN_Zugliste!$A$4:$D$2002,5,FALSE),"")</f>
        <v/>
      </c>
      <c r="FX232" t="str">
        <f>+IFERROR(VLOOKUP(FX33,IN_Zugliste!$A$4:$D$2002,5,FALSE),"")</f>
        <v/>
      </c>
      <c r="FY232" t="str">
        <f>+IFERROR(VLOOKUP(FY33,IN_Zugliste!$A$4:$D$2002,5,FALSE),"")</f>
        <v/>
      </c>
      <c r="FZ232" t="str">
        <f>+IFERROR(VLOOKUP(FZ33,IN_Zugliste!$A$4:$D$2002,5,FALSE),"")</f>
        <v/>
      </c>
      <c r="GA232" t="str">
        <f>+IFERROR(VLOOKUP(GA33,IN_Zugliste!$A$4:$D$2002,5,FALSE),"")</f>
        <v/>
      </c>
      <c r="GB232" t="str">
        <f>+IFERROR(VLOOKUP(GB33,IN_Zugliste!$A$4:$D$2002,5,FALSE),"")</f>
        <v/>
      </c>
      <c r="GC232" t="str">
        <f>+IFERROR(VLOOKUP(GC33,IN_Zugliste!$A$4:$D$2002,5,FALSE),"")</f>
        <v/>
      </c>
      <c r="GD232" t="str">
        <f>+IFERROR(VLOOKUP(GD33,IN_Zugliste!$A$4:$D$2002,5,FALSE),"")</f>
        <v/>
      </c>
      <c r="GE232" t="str">
        <f>+IFERROR(VLOOKUP(GE33,IN_Zugliste!$A$4:$D$2002,5,FALSE),"")</f>
        <v/>
      </c>
      <c r="GF232" t="str">
        <f>+IFERROR(VLOOKUP(GF33,IN_Zugliste!$A$4:$D$2002,5,FALSE),"")</f>
        <v/>
      </c>
      <c r="GG232" t="str">
        <f>+IFERROR(VLOOKUP(GG33,IN_Zugliste!$A$4:$D$2002,5,FALSE),"")</f>
        <v/>
      </c>
      <c r="GH232" t="str">
        <f>+IFERROR(VLOOKUP(GH33,IN_Zugliste!$A$4:$D$2002,5,FALSE),"")</f>
        <v/>
      </c>
      <c r="GI232" t="str">
        <f>+IFERROR(VLOOKUP(GI33,IN_Zugliste!$A$4:$D$2002,5,FALSE),"")</f>
        <v/>
      </c>
      <c r="GJ232" t="str">
        <f>+IFERROR(VLOOKUP(GJ33,IN_Zugliste!$A$4:$D$2002,5,FALSE),"")</f>
        <v/>
      </c>
      <c r="GK232" t="str">
        <f>+IFERROR(VLOOKUP(GK33,IN_Zugliste!$A$4:$D$2002,5,FALSE),"")</f>
        <v/>
      </c>
      <c r="GL232" t="str">
        <f>+IFERROR(VLOOKUP(GL33,IN_Zugliste!$A$4:$D$2002,5,FALSE),"")</f>
        <v/>
      </c>
      <c r="GM232" t="str">
        <f>+IFERROR(VLOOKUP(GM33,IN_Zugliste!$A$4:$D$2002,5,FALSE),"")</f>
        <v/>
      </c>
      <c r="GN232" t="str">
        <f>+IFERROR(VLOOKUP(GN33,IN_Zugliste!$A$4:$D$2002,5,FALSE),"")</f>
        <v/>
      </c>
      <c r="GO232" t="str">
        <f>+IFERROR(VLOOKUP(GO33,IN_Zugliste!$A$4:$D$2002,5,FALSE),"")</f>
        <v/>
      </c>
      <c r="GP232" t="str">
        <f>+IFERROR(VLOOKUP(GP33,IN_Zugliste!$A$4:$D$2002,5,FALSE),"")</f>
        <v/>
      </c>
      <c r="GQ232" t="str">
        <f>+IFERROR(VLOOKUP(GQ33,IN_Zugliste!$A$4:$D$2002,5,FALSE),"")</f>
        <v/>
      </c>
      <c r="GR232" t="str">
        <f>+IFERROR(VLOOKUP(GR33,IN_Zugliste!$A$4:$D$2002,5,FALSE),"")</f>
        <v/>
      </c>
      <c r="GS232" t="str">
        <f>+IFERROR(VLOOKUP(GS33,IN_Zugliste!$A$4:$D$2002,5,FALSE),"")</f>
        <v/>
      </c>
      <c r="GT232" t="str">
        <f>+IFERROR(VLOOKUP(GT33,IN_Zugliste!$A$4:$D$2002,5,FALSE),"")</f>
        <v/>
      </c>
      <c r="GU232" t="str">
        <f>+IFERROR(VLOOKUP(GU33,IN_Zugliste!$A$4:$D$2002,5,FALSE),"")</f>
        <v/>
      </c>
      <c r="GV232" t="str">
        <f>+IFERROR(VLOOKUP(GV33,IN_Zugliste!$A$4:$D$2002,5,FALSE),"")</f>
        <v/>
      </c>
      <c r="GW232" t="str">
        <f>+IFERROR(VLOOKUP(GW33,IN_Zugliste!$A$4:$D$2002,5,FALSE),"")</f>
        <v/>
      </c>
      <c r="GX232" t="str">
        <f>+IFERROR(VLOOKUP(GX33,IN_Zugliste!$A$4:$D$2002,5,FALSE),"")</f>
        <v/>
      </c>
      <c r="GY232" t="str">
        <f>+IFERROR(VLOOKUP(GY33,IN_Zugliste!$A$4:$D$2002,5,FALSE),"")</f>
        <v/>
      </c>
      <c r="GZ232" t="str">
        <f>+IFERROR(VLOOKUP(GZ33,IN_Zugliste!$A$4:$D$2002,5,FALSE),"")</f>
        <v/>
      </c>
      <c r="HA232" t="str">
        <f>+IFERROR(VLOOKUP(HA33,IN_Zugliste!$A$4:$D$2002,5,FALSE),"")</f>
        <v/>
      </c>
      <c r="HB232" t="str">
        <f>+IFERROR(VLOOKUP(HB33,IN_Zugliste!$A$4:$D$2002,5,FALSE),"")</f>
        <v/>
      </c>
      <c r="HC232" t="str">
        <f>+IFERROR(VLOOKUP(HC33,IN_Zugliste!$A$4:$D$2002,5,FALSE),"")</f>
        <v/>
      </c>
      <c r="HD232" t="str">
        <f>+IFERROR(VLOOKUP(HD33,IN_Zugliste!$A$4:$D$2002,5,FALSE),"")</f>
        <v/>
      </c>
      <c r="HE232" t="str">
        <f>+IFERROR(VLOOKUP(HE33,IN_Zugliste!$A$4:$D$2002,5,FALSE),"")</f>
        <v/>
      </c>
      <c r="HF232" t="str">
        <f>+IFERROR(VLOOKUP(HF33,IN_Zugliste!$A$4:$D$2002,5,FALSE),"")</f>
        <v/>
      </c>
      <c r="HG232" t="str">
        <f>+IFERROR(VLOOKUP(HG33,IN_Zugliste!$A$4:$D$2002,5,FALSE),"")</f>
        <v/>
      </c>
      <c r="HH232" t="str">
        <f>+IFERROR(VLOOKUP(HH33,IN_Zugliste!$A$4:$D$2002,5,FALSE),"")</f>
        <v/>
      </c>
    </row>
    <row r="233" spans="1:216" x14ac:dyDescent="0.2">
      <c r="A233" t="str">
        <f>+IFERROR(VLOOKUP(A34,IN_Zugliste!$A$4:$E$2002,5,FALSE),"")</f>
        <v/>
      </c>
      <c r="B233" t="str">
        <f>+IFERROR(VLOOKUP(B34,IN_Zugliste!$A$4:$E$2002,5,FALSE),"")</f>
        <v/>
      </c>
      <c r="C233" t="str">
        <f>+IFERROR(VLOOKUP(C34,IN_Zugliste!$A$4:$E$2002,5,FALSE),"")</f>
        <v/>
      </c>
      <c r="D233" t="str">
        <f>+IFERROR(VLOOKUP(D34,IN_Zugliste!$A$4:$E$2002,5,FALSE),"")</f>
        <v/>
      </c>
      <c r="E233" t="str">
        <f>+IFERROR(VLOOKUP(E34,IN_Zugliste!$A$4:$E$2002,5,FALSE),"")</f>
        <v/>
      </c>
      <c r="F233" t="str">
        <f>+IFERROR(VLOOKUP(F34,IN_Zugliste!$A$4:$E$2002,5,FALSE),"")</f>
        <v/>
      </c>
      <c r="G233" t="str">
        <f>+IFERROR(VLOOKUP(G34,IN_Zugliste!$A$4:$E$2002,5,FALSE),"")</f>
        <v/>
      </c>
      <c r="H233" t="str">
        <f>+IFERROR(VLOOKUP(H34,IN_Zugliste!$A$4:$E$2002,5,FALSE),"")</f>
        <v/>
      </c>
      <c r="I233" t="str">
        <f>+IFERROR(VLOOKUP(I34,IN_Zugliste!$A$4:$E$2002,5,FALSE),"")</f>
        <v/>
      </c>
      <c r="J233" t="str">
        <f>+IFERROR(VLOOKUP(J34,IN_Zugliste!$A$4:$E$2002,5,FALSE),"")</f>
        <v/>
      </c>
      <c r="K233" t="str">
        <f>+IFERROR(VLOOKUP(K34,IN_Zugliste!$A$4:$E$2002,5,FALSE),"")</f>
        <v/>
      </c>
      <c r="L233" t="str">
        <f>+IFERROR(VLOOKUP(L34,IN_Zugliste!$A$4:$E$2002,5,FALSE),"")</f>
        <v/>
      </c>
      <c r="M233" t="str">
        <f>+IFERROR(VLOOKUP(M34,IN_Zugliste!$A$4:$E$2002,5,FALSE),"")</f>
        <v/>
      </c>
      <c r="N233" t="str">
        <f>+IFERROR(VLOOKUP(N34,IN_Zugliste!$A$4:$E$2002,5,FALSE),"")</f>
        <v/>
      </c>
      <c r="O233" t="str">
        <f>+IFERROR(VLOOKUP(O34,IN_Zugliste!$A$4:$E$2002,5,FALSE),"")</f>
        <v/>
      </c>
      <c r="P233" t="str">
        <f>+IFERROR(VLOOKUP(P34,IN_Zugliste!$A$4:$E$2002,5,FALSE),"")</f>
        <v/>
      </c>
      <c r="Q233" t="str">
        <f>+IFERROR(VLOOKUP(Q34,IN_Zugliste!$A$4:$E$2002,5,FALSE),"")</f>
        <v/>
      </c>
      <c r="R233" t="str">
        <f>+IFERROR(VLOOKUP(R34,IN_Zugliste!$A$4:$E$2002,5,FALSE),"")</f>
        <v/>
      </c>
      <c r="S233" t="str">
        <f>+IFERROR(VLOOKUP(S34,IN_Zugliste!$A$4:$E$2002,5,FALSE),"")</f>
        <v/>
      </c>
      <c r="T233" t="str">
        <f>+IFERROR(VLOOKUP(T34,IN_Zugliste!$A$4:$E$2002,5,FALSE),"")</f>
        <v/>
      </c>
      <c r="U233" t="str">
        <f>+IFERROR(VLOOKUP(U34,IN_Zugliste!$A$4:$E$2002,5,FALSE),"")</f>
        <v/>
      </c>
      <c r="V233" t="str">
        <f>+IFERROR(VLOOKUP(V34,IN_Zugliste!$A$4:$E$2002,5,FALSE),"")</f>
        <v/>
      </c>
      <c r="W233" t="str">
        <f>+IFERROR(VLOOKUP(W34,IN_Zugliste!$A$4:$E$2002,5,FALSE),"")</f>
        <v/>
      </c>
      <c r="X233" t="str">
        <f>+IFERROR(VLOOKUP(X34,IN_Zugliste!$A$4:$E$2002,5,FALSE),"")</f>
        <v/>
      </c>
      <c r="Y233" t="str">
        <f>+IFERROR(VLOOKUP(Y34,IN_Zugliste!$A$4:$E$2002,5,FALSE),"")</f>
        <v/>
      </c>
      <c r="Z233" t="str">
        <f>+IFERROR(VLOOKUP(Z34,IN_Zugliste!$A$4:$E$2002,5,FALSE),"")</f>
        <v/>
      </c>
      <c r="AA233" t="str">
        <f>+IFERROR(VLOOKUP(AA34,IN_Zugliste!$A$4:$E$2002,5,FALSE),"")</f>
        <v/>
      </c>
      <c r="AB233" t="str">
        <f>+IFERROR(VLOOKUP(AB34,IN_Zugliste!$A$4:$E$2002,5,FALSE),"")</f>
        <v/>
      </c>
      <c r="AC233" t="str">
        <f>+IFERROR(VLOOKUP(AC34,IN_Zugliste!$A$4:$E$2002,5,FALSE),"")</f>
        <v/>
      </c>
      <c r="AD233" t="str">
        <f>+IFERROR(VLOOKUP(AD34,IN_Zugliste!$A$4:$E$2002,5,FALSE),"")</f>
        <v/>
      </c>
      <c r="AE233" t="str">
        <f>+IFERROR(VLOOKUP(AE34,IN_Zugliste!$A$4:$E$2002,5,FALSE),"")</f>
        <v/>
      </c>
      <c r="AF233" t="str">
        <f>+IFERROR(VLOOKUP(AF34,IN_Zugliste!$A$4:$E$2002,5,FALSE),"")</f>
        <v/>
      </c>
      <c r="AG233" t="str">
        <f>+IFERROR(VLOOKUP(AG34,IN_Zugliste!$A$4:$E$2002,5,FALSE),"")</f>
        <v/>
      </c>
      <c r="AH233" t="str">
        <f>+IFERROR(VLOOKUP(AH34,IN_Zugliste!$A$4:$E$2002,5,FALSE),"")</f>
        <v/>
      </c>
      <c r="AI233" t="str">
        <f>+IFERROR(VLOOKUP(AI34,IN_Zugliste!$A$4:$E$2002,5,FALSE),"")</f>
        <v/>
      </c>
      <c r="AJ233" t="str">
        <f>+IFERROR(VLOOKUP(AJ34,IN_Zugliste!$A$4:$E$2002,5,FALSE),"")</f>
        <v/>
      </c>
      <c r="AK233" t="str">
        <f>+IFERROR(VLOOKUP(AK34,IN_Zugliste!$A$4:$E$2002,5,FALSE),"")</f>
        <v/>
      </c>
      <c r="AL233" t="str">
        <f>+IFERROR(VLOOKUP(AL34,IN_Zugliste!$A$4:$E$2002,5,FALSE),"")</f>
        <v/>
      </c>
      <c r="AM233" t="str">
        <f>+IFERROR(VLOOKUP(AM34,IN_Zugliste!$A$4:$E$2002,5,FALSE),"")</f>
        <v/>
      </c>
      <c r="AN233" t="str">
        <f>+IFERROR(VLOOKUP(AN34,IN_Zugliste!$A$4:$E$2002,5,FALSE),"")</f>
        <v/>
      </c>
      <c r="AO233" t="str">
        <f>+IFERROR(VLOOKUP(AO34,IN_Zugliste!$A$4:$E$2002,5,FALSE),"")</f>
        <v/>
      </c>
      <c r="AP233" t="str">
        <f>+IFERROR(VLOOKUP(AP34,IN_Zugliste!$A$4:$E$2002,5,FALSE),"")</f>
        <v/>
      </c>
      <c r="AQ233" t="str">
        <f>+IFERROR(VLOOKUP(AQ34,IN_Zugliste!$A$4:$E$2002,5,FALSE),"")</f>
        <v/>
      </c>
      <c r="AR233" t="str">
        <f>+IFERROR(VLOOKUP(AR34,IN_Zugliste!$A$4:$E$2002,5,FALSE),"")</f>
        <v/>
      </c>
      <c r="AS233" t="str">
        <f>+IFERROR(VLOOKUP(AS34,IN_Zugliste!$A$4:$E$2002,5,FALSE),"")</f>
        <v/>
      </c>
      <c r="AT233" t="str">
        <f>+IFERROR(VLOOKUP(AT34,IN_Zugliste!$A$4:$E$2002,5,FALSE),"")</f>
        <v/>
      </c>
      <c r="AU233" t="str">
        <f>+IFERROR(VLOOKUP(AU34,IN_Zugliste!$A$4:$E$2002,5,FALSE),"")</f>
        <v/>
      </c>
      <c r="AV233" t="str">
        <f>+IFERROR(VLOOKUP(AV34,IN_Zugliste!$A$4:$E$2002,5,FALSE),"")</f>
        <v/>
      </c>
      <c r="AW233" t="str">
        <f>+IFERROR(VLOOKUP(AW34,IN_Zugliste!$A$4:$E$2002,5,FALSE),"")</f>
        <v/>
      </c>
      <c r="AX233" t="str">
        <f>+IFERROR(VLOOKUP(AX34,IN_Zugliste!$A$4:$E$2002,5,FALSE),"")</f>
        <v/>
      </c>
      <c r="AY233" t="str">
        <f>+IFERROR(VLOOKUP(AY34,IN_Zugliste!$A$4:$E$2002,5,FALSE),"")</f>
        <v/>
      </c>
      <c r="AZ233" t="str">
        <f>+IFERROR(VLOOKUP(AZ34,IN_Zugliste!$A$4:$E$2002,5,FALSE),"")</f>
        <v/>
      </c>
      <c r="BA233" t="str">
        <f>+IFERROR(VLOOKUP(BA34,IN_Zugliste!$A$4:$E$2002,5,FALSE),"")</f>
        <v/>
      </c>
      <c r="BB233" t="str">
        <f>+IFERROR(VLOOKUP(BB34,IN_Zugliste!$A$4:$E$2002,5,FALSE),"")</f>
        <v/>
      </c>
      <c r="BC233" t="str">
        <f>+IFERROR(VLOOKUP(BC34,IN_Zugliste!$A$4:$E$2002,5,FALSE),"")</f>
        <v/>
      </c>
      <c r="BD233" t="str">
        <f>+IFERROR(VLOOKUP(BD34,IN_Zugliste!$A$4:$E$2002,5,FALSE),"")</f>
        <v/>
      </c>
      <c r="BE233" t="str">
        <f>+IFERROR(VLOOKUP(BE34,IN_Zugliste!$A$4:$E$2002,5,FALSE),"")</f>
        <v/>
      </c>
      <c r="BF233" t="str">
        <f>+IFERROR(VLOOKUP(BF34,IN_Zugliste!$A$4:$E$2002,5,FALSE),"")</f>
        <v/>
      </c>
      <c r="BG233" t="str">
        <f>+IFERROR(VLOOKUP(BG34,IN_Zugliste!$A$4:$E$2002,5,FALSE),"")</f>
        <v/>
      </c>
      <c r="BH233" t="str">
        <f>+IFERROR(VLOOKUP(BH34,IN_Zugliste!$A$4:$E$2002,5,FALSE),"")</f>
        <v/>
      </c>
      <c r="BI233" t="str">
        <f>+IFERROR(VLOOKUP(BI34,IN_Zugliste!$A$4:$E$2002,5,FALSE),"")</f>
        <v/>
      </c>
      <c r="BJ233" t="str">
        <f>+IFERROR(VLOOKUP(BJ34,IN_Zugliste!$A$4:$E$2002,5,FALSE),"")</f>
        <v/>
      </c>
      <c r="BK233" t="str">
        <f>+IFERROR(VLOOKUP(BK34,IN_Zugliste!$A$4:$E$2002,5,FALSE),"")</f>
        <v/>
      </c>
      <c r="BL233" t="str">
        <f>+IFERROR(VLOOKUP(BL34,IN_Zugliste!$A$4:$E$2002,5,FALSE),"")</f>
        <v/>
      </c>
      <c r="BM233" t="str">
        <f>+IFERROR(VLOOKUP(BM34,IN_Zugliste!$A$4:$E$2002,5,FALSE),"")</f>
        <v/>
      </c>
      <c r="BN233" t="str">
        <f>+IFERROR(VLOOKUP(BN34,IN_Zugliste!$A$4:$E$2002,5,FALSE),"")</f>
        <v/>
      </c>
      <c r="BO233" t="str">
        <f>+IFERROR(VLOOKUP(BO34,IN_Zugliste!$A$4:$E$2002,5,FALSE),"")</f>
        <v/>
      </c>
      <c r="BP233" t="str">
        <f>+IFERROR(VLOOKUP(BP34,IN_Zugliste!$A$4:$E$2002,5,FALSE),"")</f>
        <v/>
      </c>
      <c r="BQ233" t="str">
        <f>+IFERROR(VLOOKUP(BQ34,IN_Zugliste!$A$4:$E$2002,5,FALSE),"")</f>
        <v/>
      </c>
      <c r="BR233" t="str">
        <f>+IFERROR(VLOOKUP(BR34,IN_Zugliste!$A$4:$E$2002,5,FALSE),"")</f>
        <v/>
      </c>
      <c r="BS233" t="str">
        <f>+IFERROR(VLOOKUP(BS34,IN_Zugliste!$A$4:$E$2002,5,FALSE),"")</f>
        <v/>
      </c>
      <c r="BT233" t="str">
        <f>+IFERROR(VLOOKUP(BT34,IN_Zugliste!$A$4:$E$2002,5,FALSE),"")</f>
        <v/>
      </c>
      <c r="BU233" t="str">
        <f>+IFERROR(VLOOKUP(BU34,IN_Zugliste!$A$4:$E$2002,5,FALSE),"")</f>
        <v/>
      </c>
      <c r="BV233" t="str">
        <f>+IFERROR(VLOOKUP(BV34,IN_Zugliste!$A$4:$E$2002,5,FALSE),"")</f>
        <v/>
      </c>
      <c r="BW233" t="str">
        <f>+IFERROR(VLOOKUP(BW34,IN_Zugliste!$A$4:$E$2002,5,FALSE),"")</f>
        <v/>
      </c>
      <c r="BX233" t="str">
        <f>+IFERROR(VLOOKUP(BX34,IN_Zugliste!$A$4:$E$2002,5,FALSE),"")</f>
        <v/>
      </c>
      <c r="BY233" t="str">
        <f>+IFERROR(VLOOKUP(BY34,IN_Zugliste!$A$4:$E$2002,5,FALSE),"")</f>
        <v/>
      </c>
      <c r="BZ233" t="str">
        <f>+IFERROR(VLOOKUP(BZ34,IN_Zugliste!$A$4:$E$2002,5,FALSE),"")</f>
        <v/>
      </c>
      <c r="CA233" t="str">
        <f>+IFERROR(VLOOKUP(CA34,IN_Zugliste!$A$4:$E$2002,5,FALSE),"")</f>
        <v/>
      </c>
      <c r="CB233" t="str">
        <f>+IFERROR(VLOOKUP(CB34,IN_Zugliste!$A$4:$E$2002,5,FALSE),"")</f>
        <v/>
      </c>
      <c r="CC233" t="str">
        <f>+IFERROR(VLOOKUP(CC34,IN_Zugliste!$A$4:$E$2002,5,FALSE),"")</f>
        <v/>
      </c>
      <c r="CD233" t="str">
        <f>+IFERROR(VLOOKUP(CD34,IN_Zugliste!$A$4:$E$2002,5,FALSE),"")</f>
        <v/>
      </c>
      <c r="CE233" t="str">
        <f>+IFERROR(VLOOKUP(CE34,IN_Zugliste!$A$4:$E$2002,5,FALSE),"")</f>
        <v/>
      </c>
      <c r="CF233" t="str">
        <f>+IFERROR(VLOOKUP(CF34,IN_Zugliste!$A$4:$E$2002,5,FALSE),"")</f>
        <v/>
      </c>
      <c r="CG233" t="str">
        <f>+IFERROR(VLOOKUP(CG34,IN_Zugliste!$A$4:$E$2002,5,FALSE),"")</f>
        <v/>
      </c>
      <c r="CH233" t="str">
        <f>+IFERROR(VLOOKUP(CH34,IN_Zugliste!$A$4:$E$2002,5,FALSE),"")</f>
        <v/>
      </c>
      <c r="CI233" t="str">
        <f>+IFERROR(VLOOKUP(CI34,IN_Zugliste!$A$4:$E$2002,5,FALSE),"")</f>
        <v/>
      </c>
      <c r="CJ233" t="str">
        <f>+IFERROR(VLOOKUP(CJ34,IN_Zugliste!$A$4:$E$2002,5,FALSE),"")</f>
        <v/>
      </c>
      <c r="CK233" t="str">
        <f>+IFERROR(VLOOKUP(CK34,IN_Zugliste!$A$4:$E$2002,5,FALSE),"")</f>
        <v/>
      </c>
      <c r="CL233" t="str">
        <f>+IFERROR(VLOOKUP(CL34,IN_Zugliste!$A$4:$E$2002,5,FALSE),"")</f>
        <v/>
      </c>
      <c r="CM233" t="str">
        <f>+IFERROR(VLOOKUP(CM34,IN_Zugliste!$A$4:$E$2002,5,FALSE),"")</f>
        <v/>
      </c>
      <c r="CN233" t="str">
        <f>+IFERROR(VLOOKUP(CN34,IN_Zugliste!$A$4:$E$2002,5,FALSE),"")</f>
        <v/>
      </c>
      <c r="CO233" t="str">
        <f>+IFERROR(VLOOKUP(CO34,IN_Zugliste!$A$4:$E$2002,5,FALSE),"")</f>
        <v/>
      </c>
      <c r="CP233" t="str">
        <f>+IFERROR(VLOOKUP(CP34,IN_Zugliste!$A$4:$E$2002,5,FALSE),"")</f>
        <v/>
      </c>
      <c r="CQ233" t="str">
        <f>+IFERROR(VLOOKUP(CQ34,IN_Zugliste!$A$4:$E$2002,5,FALSE),"")</f>
        <v/>
      </c>
      <c r="CR233" t="str">
        <f>+IFERROR(VLOOKUP(CR34,IN_Zugliste!$A$4:$E$2002,5,FALSE),"")</f>
        <v/>
      </c>
      <c r="CS233" t="str">
        <f>+IFERROR(VLOOKUP(CS34,IN_Zugliste!$A$4:$E$2002,5,FALSE),"")</f>
        <v/>
      </c>
      <c r="CT233" t="str">
        <f>+IFERROR(VLOOKUP(CT34,IN_Zugliste!$A$4:$E$2002,5,FALSE),"")</f>
        <v/>
      </c>
      <c r="CU233" t="str">
        <f>+IFERROR(VLOOKUP(CU34,IN_Zugliste!$A$4:$E$2002,5,FALSE),"")</f>
        <v/>
      </c>
      <c r="CV233" t="str">
        <f>+IFERROR(VLOOKUP(CV34,IN_Zugliste!$A$4:$E$2002,5,FALSE),"")</f>
        <v/>
      </c>
      <c r="CW233" t="str">
        <f>+IFERROR(VLOOKUP(CW34,IN_Zugliste!$A$4:$E$2002,5,FALSE),"")</f>
        <v/>
      </c>
      <c r="CX233" t="str">
        <f>+IFERROR(VLOOKUP(CX34,IN_Zugliste!$A$4:$E$2002,5,FALSE),"")</f>
        <v/>
      </c>
      <c r="CY233" t="str">
        <f>+IFERROR(VLOOKUP(CY34,IN_Zugliste!$A$4:$E$2002,5,FALSE),"")</f>
        <v/>
      </c>
      <c r="CZ233" t="str">
        <f>+IFERROR(VLOOKUP(CZ34,IN_Zugliste!$A$4:$E$2002,5,FALSE),"")</f>
        <v/>
      </c>
      <c r="DA233" t="str">
        <f>+IFERROR(VLOOKUP(DA34,IN_Zugliste!$A$4:$E$2002,5,FALSE),"")</f>
        <v/>
      </c>
      <c r="DB233" t="str">
        <f>+IFERROR(VLOOKUP(DB34,IN_Zugliste!$A$4:$E$2002,5,FALSE),"")</f>
        <v/>
      </c>
      <c r="DC233" t="str">
        <f>+IFERROR(VLOOKUP(DC34,IN_Zugliste!$A$4:$E$2002,5,FALSE),"")</f>
        <v/>
      </c>
      <c r="DD233" t="str">
        <f>+IFERROR(VLOOKUP(DD34,IN_Zugliste!$A$4:$E$2002,5,FALSE),"")</f>
        <v/>
      </c>
      <c r="DE233" t="str">
        <f>+IFERROR(VLOOKUP(DE34,IN_Zugliste!$A$4:$E$2002,5,FALSE),"")</f>
        <v/>
      </c>
      <c r="DF233" t="str">
        <f>+IFERROR(VLOOKUP(DF34,IN_Zugliste!$A$4:$E$2002,5,FALSE),"")</f>
        <v/>
      </c>
      <c r="DG233" t="str">
        <f>+IFERROR(VLOOKUP(DG34,IN_Zugliste!$A$4:$E$2002,5,FALSE),"")</f>
        <v/>
      </c>
      <c r="DH233" t="str">
        <f>+IFERROR(VLOOKUP(DH34,IN_Zugliste!$A$4:$E$2002,5,FALSE),"")</f>
        <v/>
      </c>
      <c r="DI233" t="str">
        <f>+IFERROR(VLOOKUP(DI34,IN_Zugliste!$A$4:$E$2002,5,FALSE),"")</f>
        <v/>
      </c>
      <c r="DJ233" t="str">
        <f>+IFERROR(VLOOKUP(DJ34,IN_Zugliste!$A$4:$E$2002,5,FALSE),"")</f>
        <v/>
      </c>
      <c r="DK233" t="str">
        <f>+IFERROR(VLOOKUP(DK34,IN_Zugliste!$A$4:$E$2002,5,FALSE),"")</f>
        <v/>
      </c>
      <c r="DL233" t="str">
        <f>+IFERROR(VLOOKUP(DL34,IN_Zugliste!$A$4:$E$2002,5,FALSE),"")</f>
        <v/>
      </c>
      <c r="DM233" t="str">
        <f>+IFERROR(VLOOKUP(DM34,IN_Zugliste!$A$4:$E$2002,5,FALSE),"")</f>
        <v/>
      </c>
      <c r="DN233" t="str">
        <f>+IFERROR(VLOOKUP(DN34,IN_Zugliste!$A$4:$E$2002,5,FALSE),"")</f>
        <v/>
      </c>
      <c r="DO233" t="str">
        <f>+IFERROR(VLOOKUP(DO34,IN_Zugliste!$A$4:$E$2002,5,FALSE),"")</f>
        <v/>
      </c>
      <c r="DP233" t="str">
        <f>+IFERROR(VLOOKUP(DP34,IN_Zugliste!$A$4:$E$2002,5,FALSE),"")</f>
        <v/>
      </c>
      <c r="DQ233" t="str">
        <f>+IFERROR(VLOOKUP(DQ34,IN_Zugliste!$A$4:$E$2002,5,FALSE),"")</f>
        <v/>
      </c>
      <c r="DR233" t="str">
        <f>+IFERROR(VLOOKUP(DR34,IN_Zugliste!$A$4:$E$2002,5,FALSE),"")</f>
        <v/>
      </c>
      <c r="DS233" t="str">
        <f>+IFERROR(VLOOKUP(DS34,IN_Zugliste!$A$4:$E$2002,5,FALSE),"")</f>
        <v/>
      </c>
      <c r="DT233" t="str">
        <f>+IFERROR(VLOOKUP(DT34,IN_Zugliste!$A$4:$E$2002,5,FALSE),"")</f>
        <v/>
      </c>
      <c r="DU233" t="str">
        <f>+IFERROR(VLOOKUP(DU34,IN_Zugliste!$A$4:$E$2002,5,FALSE),"")</f>
        <v/>
      </c>
      <c r="DV233" t="str">
        <f>+IFERROR(VLOOKUP(DV34,IN_Zugliste!$A$4:$E$2002,5,FALSE),"")</f>
        <v/>
      </c>
      <c r="DW233" t="str">
        <f>+IFERROR(VLOOKUP(DW34,IN_Zugliste!$A$4:$E$2002,5,FALSE),"")</f>
        <v/>
      </c>
      <c r="DX233" t="str">
        <f>+IFERROR(VLOOKUP(DX34,IN_Zugliste!$A$4:$E$2002,5,FALSE),"")</f>
        <v/>
      </c>
      <c r="DY233" t="str">
        <f>+IFERROR(VLOOKUP(DY34,IN_Zugliste!$A$4:$E$2002,5,FALSE),"")</f>
        <v/>
      </c>
      <c r="DZ233" t="str">
        <f>+IFERROR(VLOOKUP(DZ34,IN_Zugliste!$A$4:$E$2002,5,FALSE),"")</f>
        <v/>
      </c>
      <c r="EA233" t="str">
        <f>+IFERROR(VLOOKUP(EA34,IN_Zugliste!$A$4:$E$2002,5,FALSE),"")</f>
        <v/>
      </c>
      <c r="EB233" t="str">
        <f>+IFERROR(VLOOKUP(EB34,IN_Zugliste!$A$4:$E$2002,5,FALSE),"")</f>
        <v/>
      </c>
      <c r="EC233" t="str">
        <f>+IFERROR(VLOOKUP(EC34,IN_Zugliste!$A$4:$E$2002,5,FALSE),"")</f>
        <v/>
      </c>
      <c r="ED233" t="str">
        <f>+IFERROR(VLOOKUP(ED34,IN_Zugliste!$A$4:$E$2002,5,FALSE),"")</f>
        <v/>
      </c>
      <c r="EE233" t="str">
        <f>+IFERROR(VLOOKUP(EE34,IN_Zugliste!$A$4:$E$2002,5,FALSE),"")</f>
        <v/>
      </c>
      <c r="EF233" t="str">
        <f>+IFERROR(VLOOKUP(EF34,IN_Zugliste!$A$4:$E$2002,5,FALSE),"")</f>
        <v/>
      </c>
      <c r="EG233" t="str">
        <f>+IFERROR(VLOOKUP(EG34,IN_Zugliste!$A$4:$E$2002,5,FALSE),"")</f>
        <v/>
      </c>
      <c r="EH233" t="str">
        <f>+IFERROR(VLOOKUP(EH34,IN_Zugliste!$A$4:$E$2002,5,FALSE),"")</f>
        <v/>
      </c>
      <c r="EI233" t="str">
        <f>+IFERROR(VLOOKUP(EI34,IN_Zugliste!$A$4:$E$2002,5,FALSE),"")</f>
        <v/>
      </c>
      <c r="EJ233" t="str">
        <f>+IFERROR(VLOOKUP(EJ34,IN_Zugliste!$A$4:$E$2002,5,FALSE),"")</f>
        <v/>
      </c>
      <c r="EK233" t="str">
        <f>+IFERROR(VLOOKUP(EK34,IN_Zugliste!$A$4:$E$2002,5,FALSE),"")</f>
        <v/>
      </c>
      <c r="EL233" t="str">
        <f>+IFERROR(VLOOKUP(EL34,IN_Zugliste!$A$4:$E$2002,5,FALSE),"")</f>
        <v/>
      </c>
      <c r="EM233" t="str">
        <f>+IFERROR(VLOOKUP(EM34,IN_Zugliste!$A$4:$E$2002,5,FALSE),"")</f>
        <v/>
      </c>
      <c r="EN233" t="str">
        <f>+IFERROR(VLOOKUP(EN34,IN_Zugliste!$A$4:$E$2002,5,FALSE),"")</f>
        <v/>
      </c>
      <c r="EO233" t="str">
        <f>+IFERROR(VLOOKUP(EO34,IN_Zugliste!$A$4:$E$2002,5,FALSE),"")</f>
        <v/>
      </c>
      <c r="EP233" t="str">
        <f>+IFERROR(VLOOKUP(EP34,IN_Zugliste!$A$4:$E$2002,5,FALSE),"")</f>
        <v/>
      </c>
      <c r="EQ233" t="str">
        <f>+IFERROR(VLOOKUP(EQ34,IN_Zugliste!$A$4:$E$2002,5,FALSE),"")</f>
        <v/>
      </c>
      <c r="ER233" t="str">
        <f>+IFERROR(VLOOKUP(ER34,IN_Zugliste!$A$4:$E$2002,5,FALSE),"")</f>
        <v/>
      </c>
      <c r="ES233" t="str">
        <f>+IFERROR(VLOOKUP(ES34,IN_Zugliste!$A$4:$E$2002,5,FALSE),"")</f>
        <v/>
      </c>
      <c r="ET233" t="str">
        <f>+IFERROR(VLOOKUP(ET34,IN_Zugliste!$A$4:$E$2002,5,FALSE),"")</f>
        <v/>
      </c>
      <c r="EU233" t="str">
        <f>+IFERROR(VLOOKUP(EU34,IN_Zugliste!$A$4:$E$2002,5,FALSE),"")</f>
        <v/>
      </c>
      <c r="EV233" t="str">
        <f>+IFERROR(VLOOKUP(EV34,IN_Zugliste!$A$4:$E$2002,5,FALSE),"")</f>
        <v/>
      </c>
      <c r="EW233" t="str">
        <f>+IFERROR(VLOOKUP(EW34,IN_Zugliste!$A$4:$E$2002,5,FALSE),"")</f>
        <v/>
      </c>
      <c r="EX233" t="str">
        <f>+IFERROR(VLOOKUP(EX34,IN_Zugliste!$A$4:$E$2002,5,FALSE),"")</f>
        <v/>
      </c>
      <c r="EY233" t="str">
        <f>+IFERROR(VLOOKUP(EY34,IN_Zugliste!$A$4:$E$2002,5,FALSE),"")</f>
        <v/>
      </c>
      <c r="EZ233" t="str">
        <f>+IFERROR(VLOOKUP(EZ34,IN_Zugliste!$A$4:$E$2002,5,FALSE),"")</f>
        <v/>
      </c>
      <c r="FA233" t="str">
        <f>+IFERROR(VLOOKUP(FA34,IN_Zugliste!$A$4:$E$2002,5,FALSE),"")</f>
        <v/>
      </c>
      <c r="FB233" t="str">
        <f>+IFERROR(VLOOKUP(FB34,IN_Zugliste!$A$4:$E$2002,5,FALSE),"")</f>
        <v/>
      </c>
      <c r="FC233" t="str">
        <f>+IFERROR(VLOOKUP(FC34,IN_Zugliste!$A$4:$E$2002,5,FALSE),"")</f>
        <v/>
      </c>
      <c r="FD233" t="str">
        <f>+IFERROR(VLOOKUP(FD34,IN_Zugliste!$A$4:$E$2002,5,FALSE),"")</f>
        <v/>
      </c>
      <c r="FE233" t="str">
        <f>+IFERROR(VLOOKUP(FE34,IN_Zugliste!$A$4:$E$2002,5,FALSE),"")</f>
        <v/>
      </c>
      <c r="FF233" t="str">
        <f>+IFERROR(VLOOKUP(FF34,IN_Zugliste!$A$4:$E$2002,5,FALSE),"")</f>
        <v/>
      </c>
      <c r="FG233" t="str">
        <f>+IFERROR(VLOOKUP(FG34,IN_Zugliste!$A$4:$E$2002,5,FALSE),"")</f>
        <v/>
      </c>
      <c r="FH233" t="str">
        <f>+IFERROR(VLOOKUP(FH34,IN_Zugliste!$A$4:$E$2002,5,FALSE),"")</f>
        <v/>
      </c>
      <c r="FI233" t="str">
        <f>+IFERROR(VLOOKUP(FI34,IN_Zugliste!$A$4:$E$2002,5,FALSE),"")</f>
        <v/>
      </c>
      <c r="FJ233" t="str">
        <f>+IFERROR(VLOOKUP(FJ34,IN_Zugliste!$A$4:$E$2002,5,FALSE),"")</f>
        <v/>
      </c>
      <c r="FK233" t="str">
        <f>+IFERROR(VLOOKUP(FK34,IN_Zugliste!$A$4:$E$2002,5,FALSE),"")</f>
        <v/>
      </c>
      <c r="FL233" t="str">
        <f>+IFERROR(VLOOKUP(FL34,IN_Zugliste!$A$4:$E$2002,5,FALSE),"")</f>
        <v/>
      </c>
      <c r="FM233" t="str">
        <f>+IFERROR(VLOOKUP(FM34,IN_Zugliste!$A$4:$D$2002,5,FALSE),"")</f>
        <v/>
      </c>
      <c r="FN233" t="str">
        <f>+IFERROR(VLOOKUP(FN34,IN_Zugliste!$A$4:$D$2002,5,FALSE),"")</f>
        <v/>
      </c>
      <c r="FO233" t="str">
        <f>+IFERROR(VLOOKUP(FO34,IN_Zugliste!$A$4:$D$2002,5,FALSE),"")</f>
        <v/>
      </c>
      <c r="FP233" t="str">
        <f>+IFERROR(VLOOKUP(FP34,IN_Zugliste!$A$4:$D$2002,5,FALSE),"")</f>
        <v/>
      </c>
      <c r="FQ233" t="str">
        <f>+IFERROR(VLOOKUP(FQ34,IN_Zugliste!$A$4:$D$2002,5,FALSE),"")</f>
        <v/>
      </c>
      <c r="FR233" t="str">
        <f>+IFERROR(VLOOKUP(FR34,IN_Zugliste!$A$4:$D$2002,5,FALSE),"")</f>
        <v/>
      </c>
      <c r="FS233" t="str">
        <f>+IFERROR(VLOOKUP(FS34,IN_Zugliste!$A$4:$D$2002,5,FALSE),"")</f>
        <v/>
      </c>
      <c r="FT233" t="str">
        <f>+IFERROR(VLOOKUP(FT34,IN_Zugliste!$A$4:$D$2002,5,FALSE),"")</f>
        <v/>
      </c>
      <c r="FU233" t="str">
        <f>+IFERROR(VLOOKUP(FU34,IN_Zugliste!$A$4:$D$2002,5,FALSE),"")</f>
        <v/>
      </c>
      <c r="FV233" t="str">
        <f>+IFERROR(VLOOKUP(FV34,IN_Zugliste!$A$4:$D$2002,5,FALSE),"")</f>
        <v/>
      </c>
      <c r="FW233" t="str">
        <f>+IFERROR(VLOOKUP(FW34,IN_Zugliste!$A$4:$D$2002,5,FALSE),"")</f>
        <v/>
      </c>
      <c r="FX233" t="str">
        <f>+IFERROR(VLOOKUP(FX34,IN_Zugliste!$A$4:$D$2002,5,FALSE),"")</f>
        <v/>
      </c>
      <c r="FY233" t="str">
        <f>+IFERROR(VLOOKUP(FY34,IN_Zugliste!$A$4:$D$2002,5,FALSE),"")</f>
        <v/>
      </c>
      <c r="FZ233" t="str">
        <f>+IFERROR(VLOOKUP(FZ34,IN_Zugliste!$A$4:$D$2002,5,FALSE),"")</f>
        <v/>
      </c>
      <c r="GA233" t="str">
        <f>+IFERROR(VLOOKUP(GA34,IN_Zugliste!$A$4:$D$2002,5,FALSE),"")</f>
        <v/>
      </c>
      <c r="GB233" t="str">
        <f>+IFERROR(VLOOKUP(GB34,IN_Zugliste!$A$4:$D$2002,5,FALSE),"")</f>
        <v/>
      </c>
      <c r="GC233" t="str">
        <f>+IFERROR(VLOOKUP(GC34,IN_Zugliste!$A$4:$D$2002,5,FALSE),"")</f>
        <v/>
      </c>
      <c r="GD233" t="str">
        <f>+IFERROR(VLOOKUP(GD34,IN_Zugliste!$A$4:$D$2002,5,FALSE),"")</f>
        <v/>
      </c>
      <c r="GE233" t="str">
        <f>+IFERROR(VLOOKUP(GE34,IN_Zugliste!$A$4:$D$2002,5,FALSE),"")</f>
        <v/>
      </c>
      <c r="GF233" t="str">
        <f>+IFERROR(VLOOKUP(GF34,IN_Zugliste!$A$4:$D$2002,5,FALSE),"")</f>
        <v/>
      </c>
      <c r="GG233" t="str">
        <f>+IFERROR(VLOOKUP(GG34,IN_Zugliste!$A$4:$D$2002,5,FALSE),"")</f>
        <v/>
      </c>
      <c r="GH233" t="str">
        <f>+IFERROR(VLOOKUP(GH34,IN_Zugliste!$A$4:$D$2002,5,FALSE),"")</f>
        <v/>
      </c>
      <c r="GI233" t="str">
        <f>+IFERROR(VLOOKUP(GI34,IN_Zugliste!$A$4:$D$2002,5,FALSE),"")</f>
        <v/>
      </c>
      <c r="GJ233" t="str">
        <f>+IFERROR(VLOOKUP(GJ34,IN_Zugliste!$A$4:$D$2002,5,FALSE),"")</f>
        <v/>
      </c>
      <c r="GK233" t="str">
        <f>+IFERROR(VLOOKUP(GK34,IN_Zugliste!$A$4:$D$2002,5,FALSE),"")</f>
        <v/>
      </c>
      <c r="GL233" t="str">
        <f>+IFERROR(VLOOKUP(GL34,IN_Zugliste!$A$4:$D$2002,5,FALSE),"")</f>
        <v/>
      </c>
      <c r="GM233" t="str">
        <f>+IFERROR(VLOOKUP(GM34,IN_Zugliste!$A$4:$D$2002,5,FALSE),"")</f>
        <v/>
      </c>
      <c r="GN233" t="str">
        <f>+IFERROR(VLOOKUP(GN34,IN_Zugliste!$A$4:$D$2002,5,FALSE),"")</f>
        <v/>
      </c>
      <c r="GO233" t="str">
        <f>+IFERROR(VLOOKUP(GO34,IN_Zugliste!$A$4:$D$2002,5,FALSE),"")</f>
        <v/>
      </c>
      <c r="GP233" t="str">
        <f>+IFERROR(VLOOKUP(GP34,IN_Zugliste!$A$4:$D$2002,5,FALSE),"")</f>
        <v/>
      </c>
      <c r="GQ233" t="str">
        <f>+IFERROR(VLOOKUP(GQ34,IN_Zugliste!$A$4:$D$2002,5,FALSE),"")</f>
        <v/>
      </c>
      <c r="GR233" t="str">
        <f>+IFERROR(VLOOKUP(GR34,IN_Zugliste!$A$4:$D$2002,5,FALSE),"")</f>
        <v/>
      </c>
      <c r="GS233" t="str">
        <f>+IFERROR(VLOOKUP(GS34,IN_Zugliste!$A$4:$D$2002,5,FALSE),"")</f>
        <v/>
      </c>
      <c r="GT233" t="str">
        <f>+IFERROR(VLOOKUP(GT34,IN_Zugliste!$A$4:$D$2002,5,FALSE),"")</f>
        <v/>
      </c>
      <c r="GU233" t="str">
        <f>+IFERROR(VLOOKUP(GU34,IN_Zugliste!$A$4:$D$2002,5,FALSE),"")</f>
        <v/>
      </c>
      <c r="GV233" t="str">
        <f>+IFERROR(VLOOKUP(GV34,IN_Zugliste!$A$4:$D$2002,5,FALSE),"")</f>
        <v/>
      </c>
      <c r="GW233" t="str">
        <f>+IFERROR(VLOOKUP(GW34,IN_Zugliste!$A$4:$D$2002,5,FALSE),"")</f>
        <v/>
      </c>
      <c r="GX233" t="str">
        <f>+IFERROR(VLOOKUP(GX34,IN_Zugliste!$A$4:$D$2002,5,FALSE),"")</f>
        <v/>
      </c>
      <c r="GY233" t="str">
        <f>+IFERROR(VLOOKUP(GY34,IN_Zugliste!$A$4:$D$2002,5,FALSE),"")</f>
        <v/>
      </c>
      <c r="GZ233" t="str">
        <f>+IFERROR(VLOOKUP(GZ34,IN_Zugliste!$A$4:$D$2002,5,FALSE),"")</f>
        <v/>
      </c>
      <c r="HA233" t="str">
        <f>+IFERROR(VLOOKUP(HA34,IN_Zugliste!$A$4:$D$2002,5,FALSE),"")</f>
        <v/>
      </c>
      <c r="HB233" t="str">
        <f>+IFERROR(VLOOKUP(HB34,IN_Zugliste!$A$4:$D$2002,5,FALSE),"")</f>
        <v/>
      </c>
      <c r="HC233" t="str">
        <f>+IFERROR(VLOOKUP(HC34,IN_Zugliste!$A$4:$D$2002,5,FALSE),"")</f>
        <v/>
      </c>
      <c r="HD233" t="str">
        <f>+IFERROR(VLOOKUP(HD34,IN_Zugliste!$A$4:$D$2002,5,FALSE),"")</f>
        <v/>
      </c>
      <c r="HE233" t="str">
        <f>+IFERROR(VLOOKUP(HE34,IN_Zugliste!$A$4:$D$2002,5,FALSE),"")</f>
        <v/>
      </c>
      <c r="HF233" t="str">
        <f>+IFERROR(VLOOKUP(HF34,IN_Zugliste!$A$4:$D$2002,5,FALSE),"")</f>
        <v/>
      </c>
      <c r="HG233" t="str">
        <f>+IFERROR(VLOOKUP(HG34,IN_Zugliste!$A$4:$D$2002,5,FALSE),"")</f>
        <v/>
      </c>
      <c r="HH233" t="str">
        <f>+IFERROR(VLOOKUP(HH34,IN_Zugliste!$A$4:$D$2002,5,FALSE),"")</f>
        <v/>
      </c>
    </row>
    <row r="234" spans="1:216" x14ac:dyDescent="0.2">
      <c r="A234" t="str">
        <f>+IFERROR(VLOOKUP(A35,IN_Zugliste!$A$4:$E$2002,5,FALSE),"")</f>
        <v/>
      </c>
      <c r="B234" t="str">
        <f>+IFERROR(VLOOKUP(B35,IN_Zugliste!$A$4:$E$2002,5,FALSE),"")</f>
        <v/>
      </c>
      <c r="C234" t="str">
        <f>+IFERROR(VLOOKUP(C35,IN_Zugliste!$A$4:$E$2002,5,FALSE),"")</f>
        <v/>
      </c>
      <c r="D234" t="str">
        <f>+IFERROR(VLOOKUP(D35,IN_Zugliste!$A$4:$E$2002,5,FALSE),"")</f>
        <v/>
      </c>
      <c r="E234" t="str">
        <f>+IFERROR(VLOOKUP(E35,IN_Zugliste!$A$4:$E$2002,5,FALSE),"")</f>
        <v/>
      </c>
      <c r="F234" t="str">
        <f>+IFERROR(VLOOKUP(F35,IN_Zugliste!$A$4:$E$2002,5,FALSE),"")</f>
        <v/>
      </c>
      <c r="G234" t="str">
        <f>+IFERROR(VLOOKUP(G35,IN_Zugliste!$A$4:$E$2002,5,FALSE),"")</f>
        <v/>
      </c>
      <c r="H234" t="str">
        <f>+IFERROR(VLOOKUP(H35,IN_Zugliste!$A$4:$E$2002,5,FALSE),"")</f>
        <v/>
      </c>
      <c r="I234" t="str">
        <f>+IFERROR(VLOOKUP(I35,IN_Zugliste!$A$4:$E$2002,5,FALSE),"")</f>
        <v/>
      </c>
      <c r="J234" t="str">
        <f>+IFERROR(VLOOKUP(J35,IN_Zugliste!$A$4:$E$2002,5,FALSE),"")</f>
        <v/>
      </c>
      <c r="K234" t="str">
        <f>+IFERROR(VLOOKUP(K35,IN_Zugliste!$A$4:$E$2002,5,FALSE),"")</f>
        <v/>
      </c>
      <c r="L234" t="str">
        <f>+IFERROR(VLOOKUP(L35,IN_Zugliste!$A$4:$E$2002,5,FALSE),"")</f>
        <v/>
      </c>
      <c r="M234" t="str">
        <f>+IFERROR(VLOOKUP(M35,IN_Zugliste!$A$4:$E$2002,5,FALSE),"")</f>
        <v/>
      </c>
      <c r="N234" t="str">
        <f>+IFERROR(VLOOKUP(N35,IN_Zugliste!$A$4:$E$2002,5,FALSE),"")</f>
        <v/>
      </c>
      <c r="O234" t="str">
        <f>+IFERROR(VLOOKUP(O35,IN_Zugliste!$A$4:$E$2002,5,FALSE),"")</f>
        <v/>
      </c>
      <c r="P234" t="str">
        <f>+IFERROR(VLOOKUP(P35,IN_Zugliste!$A$4:$E$2002,5,FALSE),"")</f>
        <v/>
      </c>
      <c r="Q234" t="str">
        <f>+IFERROR(VLOOKUP(Q35,IN_Zugliste!$A$4:$E$2002,5,FALSE),"")</f>
        <v/>
      </c>
      <c r="R234" t="str">
        <f>+IFERROR(VLOOKUP(R35,IN_Zugliste!$A$4:$E$2002,5,FALSE),"")</f>
        <v/>
      </c>
      <c r="S234" t="str">
        <f>+IFERROR(VLOOKUP(S35,IN_Zugliste!$A$4:$E$2002,5,FALSE),"")</f>
        <v/>
      </c>
      <c r="T234" t="str">
        <f>+IFERROR(VLOOKUP(T35,IN_Zugliste!$A$4:$E$2002,5,FALSE),"")</f>
        <v/>
      </c>
      <c r="U234" t="str">
        <f>+IFERROR(VLOOKUP(U35,IN_Zugliste!$A$4:$E$2002,5,FALSE),"")</f>
        <v/>
      </c>
      <c r="V234" t="str">
        <f>+IFERROR(VLOOKUP(V35,IN_Zugliste!$A$4:$E$2002,5,FALSE),"")</f>
        <v/>
      </c>
      <c r="W234" t="str">
        <f>+IFERROR(VLOOKUP(W35,IN_Zugliste!$A$4:$E$2002,5,FALSE),"")</f>
        <v/>
      </c>
      <c r="X234" t="str">
        <f>+IFERROR(VLOOKUP(X35,IN_Zugliste!$A$4:$E$2002,5,FALSE),"")</f>
        <v/>
      </c>
      <c r="Y234" t="str">
        <f>+IFERROR(VLOOKUP(Y35,IN_Zugliste!$A$4:$E$2002,5,FALSE),"")</f>
        <v/>
      </c>
      <c r="Z234" t="str">
        <f>+IFERROR(VLOOKUP(Z35,IN_Zugliste!$A$4:$E$2002,5,FALSE),"")</f>
        <v/>
      </c>
      <c r="AA234" t="str">
        <f>+IFERROR(VLOOKUP(AA35,IN_Zugliste!$A$4:$E$2002,5,FALSE),"")</f>
        <v/>
      </c>
      <c r="AB234" t="str">
        <f>+IFERROR(VLOOKUP(AB35,IN_Zugliste!$A$4:$E$2002,5,FALSE),"")</f>
        <v/>
      </c>
      <c r="AC234" t="str">
        <f>+IFERROR(VLOOKUP(AC35,IN_Zugliste!$A$4:$E$2002,5,FALSE),"")</f>
        <v/>
      </c>
      <c r="AD234" t="str">
        <f>+IFERROR(VLOOKUP(AD35,IN_Zugliste!$A$4:$E$2002,5,FALSE),"")</f>
        <v/>
      </c>
      <c r="AE234" t="str">
        <f>+IFERROR(VLOOKUP(AE35,IN_Zugliste!$A$4:$E$2002,5,FALSE),"")</f>
        <v/>
      </c>
      <c r="AF234" t="str">
        <f>+IFERROR(VLOOKUP(AF35,IN_Zugliste!$A$4:$E$2002,5,FALSE),"")</f>
        <v/>
      </c>
      <c r="AG234" t="str">
        <f>+IFERROR(VLOOKUP(AG35,IN_Zugliste!$A$4:$E$2002,5,FALSE),"")</f>
        <v/>
      </c>
      <c r="AH234" t="str">
        <f>+IFERROR(VLOOKUP(AH35,IN_Zugliste!$A$4:$E$2002,5,FALSE),"")</f>
        <v/>
      </c>
      <c r="AI234" t="str">
        <f>+IFERROR(VLOOKUP(AI35,IN_Zugliste!$A$4:$E$2002,5,FALSE),"")</f>
        <v/>
      </c>
      <c r="AJ234" t="str">
        <f>+IFERROR(VLOOKUP(AJ35,IN_Zugliste!$A$4:$E$2002,5,FALSE),"")</f>
        <v/>
      </c>
      <c r="AK234" t="str">
        <f>+IFERROR(VLOOKUP(AK35,IN_Zugliste!$A$4:$E$2002,5,FALSE),"")</f>
        <v/>
      </c>
      <c r="AL234" t="str">
        <f>+IFERROR(VLOOKUP(AL35,IN_Zugliste!$A$4:$E$2002,5,FALSE),"")</f>
        <v/>
      </c>
      <c r="AM234" t="str">
        <f>+IFERROR(VLOOKUP(AM35,IN_Zugliste!$A$4:$E$2002,5,FALSE),"")</f>
        <v/>
      </c>
      <c r="AN234" t="str">
        <f>+IFERROR(VLOOKUP(AN35,IN_Zugliste!$A$4:$E$2002,5,FALSE),"")</f>
        <v/>
      </c>
      <c r="AO234" t="str">
        <f>+IFERROR(VLOOKUP(AO35,IN_Zugliste!$A$4:$E$2002,5,FALSE),"")</f>
        <v/>
      </c>
      <c r="AP234" t="str">
        <f>+IFERROR(VLOOKUP(AP35,IN_Zugliste!$A$4:$E$2002,5,FALSE),"")</f>
        <v/>
      </c>
      <c r="AQ234" t="str">
        <f>+IFERROR(VLOOKUP(AQ35,IN_Zugliste!$A$4:$E$2002,5,FALSE),"")</f>
        <v/>
      </c>
      <c r="AR234" t="str">
        <f>+IFERROR(VLOOKUP(AR35,IN_Zugliste!$A$4:$E$2002,5,FALSE),"")</f>
        <v/>
      </c>
      <c r="AS234" t="str">
        <f>+IFERROR(VLOOKUP(AS35,IN_Zugliste!$A$4:$E$2002,5,FALSE),"")</f>
        <v/>
      </c>
      <c r="AT234" t="str">
        <f>+IFERROR(VLOOKUP(AT35,IN_Zugliste!$A$4:$E$2002,5,FALSE),"")</f>
        <v/>
      </c>
      <c r="AU234" t="str">
        <f>+IFERROR(VLOOKUP(AU35,IN_Zugliste!$A$4:$E$2002,5,FALSE),"")</f>
        <v/>
      </c>
      <c r="AV234" t="str">
        <f>+IFERROR(VLOOKUP(AV35,IN_Zugliste!$A$4:$E$2002,5,FALSE),"")</f>
        <v/>
      </c>
      <c r="AW234" t="str">
        <f>+IFERROR(VLOOKUP(AW35,IN_Zugliste!$A$4:$E$2002,5,FALSE),"")</f>
        <v/>
      </c>
      <c r="AX234" t="str">
        <f>+IFERROR(VLOOKUP(AX35,IN_Zugliste!$A$4:$E$2002,5,FALSE),"")</f>
        <v/>
      </c>
      <c r="AY234" t="str">
        <f>+IFERROR(VLOOKUP(AY35,IN_Zugliste!$A$4:$E$2002,5,FALSE),"")</f>
        <v/>
      </c>
      <c r="AZ234" t="str">
        <f>+IFERROR(VLOOKUP(AZ35,IN_Zugliste!$A$4:$E$2002,5,FALSE),"")</f>
        <v/>
      </c>
      <c r="BA234" t="str">
        <f>+IFERROR(VLOOKUP(BA35,IN_Zugliste!$A$4:$E$2002,5,FALSE),"")</f>
        <v/>
      </c>
      <c r="BB234" t="str">
        <f>+IFERROR(VLOOKUP(BB35,IN_Zugliste!$A$4:$E$2002,5,FALSE),"")</f>
        <v/>
      </c>
      <c r="BC234" t="str">
        <f>+IFERROR(VLOOKUP(BC35,IN_Zugliste!$A$4:$E$2002,5,FALSE),"")</f>
        <v/>
      </c>
      <c r="BD234" t="str">
        <f>+IFERROR(VLOOKUP(BD35,IN_Zugliste!$A$4:$E$2002,5,FALSE),"")</f>
        <v/>
      </c>
      <c r="BE234" t="str">
        <f>+IFERROR(VLOOKUP(BE35,IN_Zugliste!$A$4:$E$2002,5,FALSE),"")</f>
        <v/>
      </c>
      <c r="BF234" t="str">
        <f>+IFERROR(VLOOKUP(BF35,IN_Zugliste!$A$4:$E$2002,5,FALSE),"")</f>
        <v/>
      </c>
      <c r="BG234" t="str">
        <f>+IFERROR(VLOOKUP(BG35,IN_Zugliste!$A$4:$E$2002,5,FALSE),"")</f>
        <v/>
      </c>
      <c r="BH234" t="str">
        <f>+IFERROR(VLOOKUP(BH35,IN_Zugliste!$A$4:$E$2002,5,FALSE),"")</f>
        <v/>
      </c>
      <c r="BI234" t="str">
        <f>+IFERROR(VLOOKUP(BI35,IN_Zugliste!$A$4:$E$2002,5,FALSE),"")</f>
        <v/>
      </c>
      <c r="BJ234" t="str">
        <f>+IFERROR(VLOOKUP(BJ35,IN_Zugliste!$A$4:$E$2002,5,FALSE),"")</f>
        <v/>
      </c>
      <c r="BK234" t="str">
        <f>+IFERROR(VLOOKUP(BK35,IN_Zugliste!$A$4:$E$2002,5,FALSE),"")</f>
        <v/>
      </c>
      <c r="BL234" t="str">
        <f>+IFERROR(VLOOKUP(BL35,IN_Zugliste!$A$4:$E$2002,5,FALSE),"")</f>
        <v/>
      </c>
      <c r="BM234" t="str">
        <f>+IFERROR(VLOOKUP(BM35,IN_Zugliste!$A$4:$E$2002,5,FALSE),"")</f>
        <v/>
      </c>
      <c r="BN234" t="str">
        <f>+IFERROR(VLOOKUP(BN35,IN_Zugliste!$A$4:$E$2002,5,FALSE),"")</f>
        <v/>
      </c>
      <c r="BO234" t="str">
        <f>+IFERROR(VLOOKUP(BO35,IN_Zugliste!$A$4:$E$2002,5,FALSE),"")</f>
        <v/>
      </c>
      <c r="BP234" t="str">
        <f>+IFERROR(VLOOKUP(BP35,IN_Zugliste!$A$4:$E$2002,5,FALSE),"")</f>
        <v/>
      </c>
      <c r="BQ234" t="str">
        <f>+IFERROR(VLOOKUP(BQ35,IN_Zugliste!$A$4:$E$2002,5,FALSE),"")</f>
        <v/>
      </c>
      <c r="BR234" t="str">
        <f>+IFERROR(VLOOKUP(BR35,IN_Zugliste!$A$4:$E$2002,5,FALSE),"")</f>
        <v/>
      </c>
      <c r="BS234" t="str">
        <f>+IFERROR(VLOOKUP(BS35,IN_Zugliste!$A$4:$E$2002,5,FALSE),"")</f>
        <v/>
      </c>
      <c r="BT234" t="str">
        <f>+IFERROR(VLOOKUP(BT35,IN_Zugliste!$A$4:$E$2002,5,FALSE),"")</f>
        <v/>
      </c>
      <c r="BU234" t="str">
        <f>+IFERROR(VLOOKUP(BU35,IN_Zugliste!$A$4:$E$2002,5,FALSE),"")</f>
        <v/>
      </c>
      <c r="BV234" t="str">
        <f>+IFERROR(VLOOKUP(BV35,IN_Zugliste!$A$4:$E$2002,5,FALSE),"")</f>
        <v/>
      </c>
      <c r="BW234" t="str">
        <f>+IFERROR(VLOOKUP(BW35,IN_Zugliste!$A$4:$E$2002,5,FALSE),"")</f>
        <v/>
      </c>
      <c r="BX234" t="str">
        <f>+IFERROR(VLOOKUP(BX35,IN_Zugliste!$A$4:$E$2002,5,FALSE),"")</f>
        <v/>
      </c>
      <c r="BY234" t="str">
        <f>+IFERROR(VLOOKUP(BY35,IN_Zugliste!$A$4:$E$2002,5,FALSE),"")</f>
        <v/>
      </c>
      <c r="BZ234" t="str">
        <f>+IFERROR(VLOOKUP(BZ35,IN_Zugliste!$A$4:$E$2002,5,FALSE),"")</f>
        <v/>
      </c>
      <c r="CA234" t="str">
        <f>+IFERROR(VLOOKUP(CA35,IN_Zugliste!$A$4:$E$2002,5,FALSE),"")</f>
        <v/>
      </c>
      <c r="CB234" t="str">
        <f>+IFERROR(VLOOKUP(CB35,IN_Zugliste!$A$4:$E$2002,5,FALSE),"")</f>
        <v/>
      </c>
      <c r="CC234" t="str">
        <f>+IFERROR(VLOOKUP(CC35,IN_Zugliste!$A$4:$E$2002,5,FALSE),"")</f>
        <v/>
      </c>
      <c r="CD234" t="str">
        <f>+IFERROR(VLOOKUP(CD35,IN_Zugliste!$A$4:$E$2002,5,FALSE),"")</f>
        <v/>
      </c>
      <c r="CE234" t="str">
        <f>+IFERROR(VLOOKUP(CE35,IN_Zugliste!$A$4:$E$2002,5,FALSE),"")</f>
        <v/>
      </c>
      <c r="CF234" t="str">
        <f>+IFERROR(VLOOKUP(CF35,IN_Zugliste!$A$4:$E$2002,5,FALSE),"")</f>
        <v/>
      </c>
      <c r="CG234" t="str">
        <f>+IFERROR(VLOOKUP(CG35,IN_Zugliste!$A$4:$E$2002,5,FALSE),"")</f>
        <v/>
      </c>
      <c r="CH234" t="str">
        <f>+IFERROR(VLOOKUP(CH35,IN_Zugliste!$A$4:$E$2002,5,FALSE),"")</f>
        <v/>
      </c>
      <c r="CI234" t="str">
        <f>+IFERROR(VLOOKUP(CI35,IN_Zugliste!$A$4:$E$2002,5,FALSE),"")</f>
        <v/>
      </c>
      <c r="CJ234" t="str">
        <f>+IFERROR(VLOOKUP(CJ35,IN_Zugliste!$A$4:$E$2002,5,FALSE),"")</f>
        <v/>
      </c>
      <c r="CK234" t="str">
        <f>+IFERROR(VLOOKUP(CK35,IN_Zugliste!$A$4:$E$2002,5,FALSE),"")</f>
        <v/>
      </c>
      <c r="CL234" t="str">
        <f>+IFERROR(VLOOKUP(CL35,IN_Zugliste!$A$4:$E$2002,5,FALSE),"")</f>
        <v/>
      </c>
      <c r="CM234" t="str">
        <f>+IFERROR(VLOOKUP(CM35,IN_Zugliste!$A$4:$E$2002,5,FALSE),"")</f>
        <v/>
      </c>
      <c r="CN234" t="str">
        <f>+IFERROR(VLOOKUP(CN35,IN_Zugliste!$A$4:$E$2002,5,FALSE),"")</f>
        <v/>
      </c>
      <c r="CO234" t="str">
        <f>+IFERROR(VLOOKUP(CO35,IN_Zugliste!$A$4:$E$2002,5,FALSE),"")</f>
        <v/>
      </c>
      <c r="CP234" t="str">
        <f>+IFERROR(VLOOKUP(CP35,IN_Zugliste!$A$4:$E$2002,5,FALSE),"")</f>
        <v/>
      </c>
      <c r="CQ234" t="str">
        <f>+IFERROR(VLOOKUP(CQ35,IN_Zugliste!$A$4:$E$2002,5,FALSE),"")</f>
        <v/>
      </c>
      <c r="CR234" t="str">
        <f>+IFERROR(VLOOKUP(CR35,IN_Zugliste!$A$4:$E$2002,5,FALSE),"")</f>
        <v/>
      </c>
      <c r="CS234" t="str">
        <f>+IFERROR(VLOOKUP(CS35,IN_Zugliste!$A$4:$E$2002,5,FALSE),"")</f>
        <v/>
      </c>
      <c r="CT234" t="str">
        <f>+IFERROR(VLOOKUP(CT35,IN_Zugliste!$A$4:$E$2002,5,FALSE),"")</f>
        <v/>
      </c>
      <c r="CU234" t="str">
        <f>+IFERROR(VLOOKUP(CU35,IN_Zugliste!$A$4:$E$2002,5,FALSE),"")</f>
        <v/>
      </c>
      <c r="CV234" t="str">
        <f>+IFERROR(VLOOKUP(CV35,IN_Zugliste!$A$4:$E$2002,5,FALSE),"")</f>
        <v/>
      </c>
      <c r="CW234" t="str">
        <f>+IFERROR(VLOOKUP(CW35,IN_Zugliste!$A$4:$E$2002,5,FALSE),"")</f>
        <v/>
      </c>
      <c r="CX234" t="str">
        <f>+IFERROR(VLOOKUP(CX35,IN_Zugliste!$A$4:$E$2002,5,FALSE),"")</f>
        <v/>
      </c>
      <c r="CY234" t="str">
        <f>+IFERROR(VLOOKUP(CY35,IN_Zugliste!$A$4:$E$2002,5,FALSE),"")</f>
        <v/>
      </c>
      <c r="CZ234" t="str">
        <f>+IFERROR(VLOOKUP(CZ35,IN_Zugliste!$A$4:$E$2002,5,FALSE),"")</f>
        <v/>
      </c>
      <c r="DA234" t="str">
        <f>+IFERROR(VLOOKUP(DA35,IN_Zugliste!$A$4:$E$2002,5,FALSE),"")</f>
        <v/>
      </c>
      <c r="DB234" t="str">
        <f>+IFERROR(VLOOKUP(DB35,IN_Zugliste!$A$4:$E$2002,5,FALSE),"")</f>
        <v/>
      </c>
      <c r="DC234" t="str">
        <f>+IFERROR(VLOOKUP(DC35,IN_Zugliste!$A$4:$E$2002,5,FALSE),"")</f>
        <v/>
      </c>
      <c r="DD234" t="str">
        <f>+IFERROR(VLOOKUP(DD35,IN_Zugliste!$A$4:$E$2002,5,FALSE),"")</f>
        <v/>
      </c>
      <c r="DE234" t="str">
        <f>+IFERROR(VLOOKUP(DE35,IN_Zugliste!$A$4:$E$2002,5,FALSE),"")</f>
        <v/>
      </c>
      <c r="DF234" t="str">
        <f>+IFERROR(VLOOKUP(DF35,IN_Zugliste!$A$4:$E$2002,5,FALSE),"")</f>
        <v/>
      </c>
      <c r="DG234" t="str">
        <f>+IFERROR(VLOOKUP(DG35,IN_Zugliste!$A$4:$E$2002,5,FALSE),"")</f>
        <v/>
      </c>
      <c r="DH234" t="str">
        <f>+IFERROR(VLOOKUP(DH35,IN_Zugliste!$A$4:$E$2002,5,FALSE),"")</f>
        <v/>
      </c>
      <c r="DI234" t="str">
        <f>+IFERROR(VLOOKUP(DI35,IN_Zugliste!$A$4:$E$2002,5,FALSE),"")</f>
        <v/>
      </c>
      <c r="DJ234" t="str">
        <f>+IFERROR(VLOOKUP(DJ35,IN_Zugliste!$A$4:$E$2002,5,FALSE),"")</f>
        <v/>
      </c>
      <c r="DK234" t="str">
        <f>+IFERROR(VLOOKUP(DK35,IN_Zugliste!$A$4:$E$2002,5,FALSE),"")</f>
        <v/>
      </c>
      <c r="DL234" t="str">
        <f>+IFERROR(VLOOKUP(DL35,IN_Zugliste!$A$4:$E$2002,5,FALSE),"")</f>
        <v/>
      </c>
      <c r="DM234" t="str">
        <f>+IFERROR(VLOOKUP(DM35,IN_Zugliste!$A$4:$E$2002,5,FALSE),"")</f>
        <v/>
      </c>
      <c r="DN234" t="str">
        <f>+IFERROR(VLOOKUP(DN35,IN_Zugliste!$A$4:$E$2002,5,FALSE),"")</f>
        <v/>
      </c>
      <c r="DO234" t="str">
        <f>+IFERROR(VLOOKUP(DO35,IN_Zugliste!$A$4:$E$2002,5,FALSE),"")</f>
        <v/>
      </c>
      <c r="DP234" t="str">
        <f>+IFERROR(VLOOKUP(DP35,IN_Zugliste!$A$4:$E$2002,5,FALSE),"")</f>
        <v/>
      </c>
      <c r="DQ234" t="str">
        <f>+IFERROR(VLOOKUP(DQ35,IN_Zugliste!$A$4:$E$2002,5,FALSE),"")</f>
        <v/>
      </c>
      <c r="DR234" t="str">
        <f>+IFERROR(VLOOKUP(DR35,IN_Zugliste!$A$4:$E$2002,5,FALSE),"")</f>
        <v/>
      </c>
      <c r="DS234" t="str">
        <f>+IFERROR(VLOOKUP(DS35,IN_Zugliste!$A$4:$E$2002,5,FALSE),"")</f>
        <v/>
      </c>
      <c r="DT234" t="str">
        <f>+IFERROR(VLOOKUP(DT35,IN_Zugliste!$A$4:$E$2002,5,FALSE),"")</f>
        <v/>
      </c>
      <c r="DU234" t="str">
        <f>+IFERROR(VLOOKUP(DU35,IN_Zugliste!$A$4:$E$2002,5,FALSE),"")</f>
        <v/>
      </c>
      <c r="DV234" t="str">
        <f>+IFERROR(VLOOKUP(DV35,IN_Zugliste!$A$4:$E$2002,5,FALSE),"")</f>
        <v/>
      </c>
      <c r="DW234" t="str">
        <f>+IFERROR(VLOOKUP(DW35,IN_Zugliste!$A$4:$E$2002,5,FALSE),"")</f>
        <v/>
      </c>
      <c r="DX234" t="str">
        <f>+IFERROR(VLOOKUP(DX35,IN_Zugliste!$A$4:$E$2002,5,FALSE),"")</f>
        <v/>
      </c>
      <c r="DY234" t="str">
        <f>+IFERROR(VLOOKUP(DY35,IN_Zugliste!$A$4:$E$2002,5,FALSE),"")</f>
        <v/>
      </c>
      <c r="DZ234" t="str">
        <f>+IFERROR(VLOOKUP(DZ35,IN_Zugliste!$A$4:$E$2002,5,FALSE),"")</f>
        <v/>
      </c>
      <c r="EA234" t="str">
        <f>+IFERROR(VLOOKUP(EA35,IN_Zugliste!$A$4:$E$2002,5,FALSE),"")</f>
        <v/>
      </c>
      <c r="EB234" t="str">
        <f>+IFERROR(VLOOKUP(EB35,IN_Zugliste!$A$4:$E$2002,5,FALSE),"")</f>
        <v/>
      </c>
      <c r="EC234" t="str">
        <f>+IFERROR(VLOOKUP(EC35,IN_Zugliste!$A$4:$E$2002,5,FALSE),"")</f>
        <v/>
      </c>
      <c r="ED234" t="str">
        <f>+IFERROR(VLOOKUP(ED35,IN_Zugliste!$A$4:$E$2002,5,FALSE),"")</f>
        <v/>
      </c>
      <c r="EE234" t="str">
        <f>+IFERROR(VLOOKUP(EE35,IN_Zugliste!$A$4:$E$2002,5,FALSE),"")</f>
        <v/>
      </c>
      <c r="EF234" t="str">
        <f>+IFERROR(VLOOKUP(EF35,IN_Zugliste!$A$4:$E$2002,5,FALSE),"")</f>
        <v/>
      </c>
      <c r="EG234" t="str">
        <f>+IFERROR(VLOOKUP(EG35,IN_Zugliste!$A$4:$E$2002,5,FALSE),"")</f>
        <v/>
      </c>
      <c r="EH234" t="str">
        <f>+IFERROR(VLOOKUP(EH35,IN_Zugliste!$A$4:$E$2002,5,FALSE),"")</f>
        <v/>
      </c>
      <c r="EI234" t="str">
        <f>+IFERROR(VLOOKUP(EI35,IN_Zugliste!$A$4:$E$2002,5,FALSE),"")</f>
        <v/>
      </c>
      <c r="EJ234" t="str">
        <f>+IFERROR(VLOOKUP(EJ35,IN_Zugliste!$A$4:$E$2002,5,FALSE),"")</f>
        <v/>
      </c>
      <c r="EK234" t="str">
        <f>+IFERROR(VLOOKUP(EK35,IN_Zugliste!$A$4:$E$2002,5,FALSE),"")</f>
        <v/>
      </c>
      <c r="EL234" t="str">
        <f>+IFERROR(VLOOKUP(EL35,IN_Zugliste!$A$4:$E$2002,5,FALSE),"")</f>
        <v/>
      </c>
      <c r="EM234" t="str">
        <f>+IFERROR(VLOOKUP(EM35,IN_Zugliste!$A$4:$E$2002,5,FALSE),"")</f>
        <v/>
      </c>
      <c r="EN234" t="str">
        <f>+IFERROR(VLOOKUP(EN35,IN_Zugliste!$A$4:$E$2002,5,FALSE),"")</f>
        <v/>
      </c>
      <c r="EO234" t="str">
        <f>+IFERROR(VLOOKUP(EO35,IN_Zugliste!$A$4:$E$2002,5,FALSE),"")</f>
        <v/>
      </c>
      <c r="EP234" t="str">
        <f>+IFERROR(VLOOKUP(EP35,IN_Zugliste!$A$4:$E$2002,5,FALSE),"")</f>
        <v/>
      </c>
      <c r="EQ234" t="str">
        <f>+IFERROR(VLOOKUP(EQ35,IN_Zugliste!$A$4:$E$2002,5,FALSE),"")</f>
        <v/>
      </c>
      <c r="ER234" t="str">
        <f>+IFERROR(VLOOKUP(ER35,IN_Zugliste!$A$4:$E$2002,5,FALSE),"")</f>
        <v/>
      </c>
      <c r="ES234" t="str">
        <f>+IFERROR(VLOOKUP(ES35,IN_Zugliste!$A$4:$E$2002,5,FALSE),"")</f>
        <v/>
      </c>
      <c r="ET234" t="str">
        <f>+IFERROR(VLOOKUP(ET35,IN_Zugliste!$A$4:$E$2002,5,FALSE),"")</f>
        <v/>
      </c>
      <c r="EU234" t="str">
        <f>+IFERROR(VLOOKUP(EU35,IN_Zugliste!$A$4:$E$2002,5,FALSE),"")</f>
        <v/>
      </c>
      <c r="EV234" t="str">
        <f>+IFERROR(VLOOKUP(EV35,IN_Zugliste!$A$4:$E$2002,5,FALSE),"")</f>
        <v/>
      </c>
      <c r="EW234" t="str">
        <f>+IFERROR(VLOOKUP(EW35,IN_Zugliste!$A$4:$E$2002,5,FALSE),"")</f>
        <v/>
      </c>
      <c r="EX234" t="str">
        <f>+IFERROR(VLOOKUP(EX35,IN_Zugliste!$A$4:$E$2002,5,FALSE),"")</f>
        <v/>
      </c>
      <c r="EY234" t="str">
        <f>+IFERROR(VLOOKUP(EY35,IN_Zugliste!$A$4:$E$2002,5,FALSE),"")</f>
        <v/>
      </c>
      <c r="EZ234" t="str">
        <f>+IFERROR(VLOOKUP(EZ35,IN_Zugliste!$A$4:$E$2002,5,FALSE),"")</f>
        <v/>
      </c>
      <c r="FA234" t="str">
        <f>+IFERROR(VLOOKUP(FA35,IN_Zugliste!$A$4:$E$2002,5,FALSE),"")</f>
        <v/>
      </c>
      <c r="FB234" t="str">
        <f>+IFERROR(VLOOKUP(FB35,IN_Zugliste!$A$4:$E$2002,5,FALSE),"")</f>
        <v/>
      </c>
      <c r="FC234" t="str">
        <f>+IFERROR(VLOOKUP(FC35,IN_Zugliste!$A$4:$E$2002,5,FALSE),"")</f>
        <v/>
      </c>
      <c r="FD234" t="str">
        <f>+IFERROR(VLOOKUP(FD35,IN_Zugliste!$A$4:$E$2002,5,FALSE),"")</f>
        <v/>
      </c>
      <c r="FE234" t="str">
        <f>+IFERROR(VLOOKUP(FE35,IN_Zugliste!$A$4:$E$2002,5,FALSE),"")</f>
        <v/>
      </c>
      <c r="FF234" t="str">
        <f>+IFERROR(VLOOKUP(FF35,IN_Zugliste!$A$4:$E$2002,5,FALSE),"")</f>
        <v/>
      </c>
      <c r="FG234" t="str">
        <f>+IFERROR(VLOOKUP(FG35,IN_Zugliste!$A$4:$E$2002,5,FALSE),"")</f>
        <v/>
      </c>
      <c r="FH234" t="str">
        <f>+IFERROR(VLOOKUP(FH35,IN_Zugliste!$A$4:$E$2002,5,FALSE),"")</f>
        <v/>
      </c>
      <c r="FI234" t="str">
        <f>+IFERROR(VLOOKUP(FI35,IN_Zugliste!$A$4:$E$2002,5,FALSE),"")</f>
        <v/>
      </c>
      <c r="FJ234" t="str">
        <f>+IFERROR(VLOOKUP(FJ35,IN_Zugliste!$A$4:$E$2002,5,FALSE),"")</f>
        <v/>
      </c>
      <c r="FK234" t="str">
        <f>+IFERROR(VLOOKUP(FK35,IN_Zugliste!$A$4:$E$2002,5,FALSE),"")</f>
        <v/>
      </c>
      <c r="FL234" t="str">
        <f>+IFERROR(VLOOKUP(FL35,IN_Zugliste!$A$4:$E$2002,5,FALSE),"")</f>
        <v/>
      </c>
      <c r="FM234" t="str">
        <f>+IFERROR(VLOOKUP(FM35,IN_Zugliste!$A$4:$D$2002,5,FALSE),"")</f>
        <v/>
      </c>
      <c r="FN234" t="str">
        <f>+IFERROR(VLOOKUP(FN35,IN_Zugliste!$A$4:$D$2002,5,FALSE),"")</f>
        <v/>
      </c>
      <c r="FO234" t="str">
        <f>+IFERROR(VLOOKUP(FO35,IN_Zugliste!$A$4:$D$2002,5,FALSE),"")</f>
        <v/>
      </c>
      <c r="FP234" t="str">
        <f>+IFERROR(VLOOKUP(FP35,IN_Zugliste!$A$4:$D$2002,5,FALSE),"")</f>
        <v/>
      </c>
      <c r="FQ234" t="str">
        <f>+IFERROR(VLOOKUP(FQ35,IN_Zugliste!$A$4:$D$2002,5,FALSE),"")</f>
        <v/>
      </c>
      <c r="FR234" t="str">
        <f>+IFERROR(VLOOKUP(FR35,IN_Zugliste!$A$4:$D$2002,5,FALSE),"")</f>
        <v/>
      </c>
      <c r="FS234" t="str">
        <f>+IFERROR(VLOOKUP(FS35,IN_Zugliste!$A$4:$D$2002,5,FALSE),"")</f>
        <v/>
      </c>
      <c r="FT234" t="str">
        <f>+IFERROR(VLOOKUP(FT35,IN_Zugliste!$A$4:$D$2002,5,FALSE),"")</f>
        <v/>
      </c>
      <c r="FU234" t="str">
        <f>+IFERROR(VLOOKUP(FU35,IN_Zugliste!$A$4:$D$2002,5,FALSE),"")</f>
        <v/>
      </c>
      <c r="FV234" t="str">
        <f>+IFERROR(VLOOKUP(FV35,IN_Zugliste!$A$4:$D$2002,5,FALSE),"")</f>
        <v/>
      </c>
      <c r="FW234" t="str">
        <f>+IFERROR(VLOOKUP(FW35,IN_Zugliste!$A$4:$D$2002,5,FALSE),"")</f>
        <v/>
      </c>
      <c r="FX234" t="str">
        <f>+IFERROR(VLOOKUP(FX35,IN_Zugliste!$A$4:$D$2002,5,FALSE),"")</f>
        <v/>
      </c>
      <c r="FY234" t="str">
        <f>+IFERROR(VLOOKUP(FY35,IN_Zugliste!$A$4:$D$2002,5,FALSE),"")</f>
        <v/>
      </c>
      <c r="FZ234" t="str">
        <f>+IFERROR(VLOOKUP(FZ35,IN_Zugliste!$A$4:$D$2002,5,FALSE),"")</f>
        <v/>
      </c>
      <c r="GA234" t="str">
        <f>+IFERROR(VLOOKUP(GA35,IN_Zugliste!$A$4:$D$2002,5,FALSE),"")</f>
        <v/>
      </c>
      <c r="GB234" t="str">
        <f>+IFERROR(VLOOKUP(GB35,IN_Zugliste!$A$4:$D$2002,5,FALSE),"")</f>
        <v/>
      </c>
      <c r="GC234" t="str">
        <f>+IFERROR(VLOOKUP(GC35,IN_Zugliste!$A$4:$D$2002,5,FALSE),"")</f>
        <v/>
      </c>
      <c r="GD234" t="str">
        <f>+IFERROR(VLOOKUP(GD35,IN_Zugliste!$A$4:$D$2002,5,FALSE),"")</f>
        <v/>
      </c>
      <c r="GE234" t="str">
        <f>+IFERROR(VLOOKUP(GE35,IN_Zugliste!$A$4:$D$2002,5,FALSE),"")</f>
        <v/>
      </c>
      <c r="GF234" t="str">
        <f>+IFERROR(VLOOKUP(GF35,IN_Zugliste!$A$4:$D$2002,5,FALSE),"")</f>
        <v/>
      </c>
      <c r="GG234" t="str">
        <f>+IFERROR(VLOOKUP(GG35,IN_Zugliste!$A$4:$D$2002,5,FALSE),"")</f>
        <v/>
      </c>
      <c r="GH234" t="str">
        <f>+IFERROR(VLOOKUP(GH35,IN_Zugliste!$A$4:$D$2002,5,FALSE),"")</f>
        <v/>
      </c>
      <c r="GI234" t="str">
        <f>+IFERROR(VLOOKUP(GI35,IN_Zugliste!$A$4:$D$2002,5,FALSE),"")</f>
        <v/>
      </c>
      <c r="GJ234" t="str">
        <f>+IFERROR(VLOOKUP(GJ35,IN_Zugliste!$A$4:$D$2002,5,FALSE),"")</f>
        <v/>
      </c>
      <c r="GK234" t="str">
        <f>+IFERROR(VLOOKUP(GK35,IN_Zugliste!$A$4:$D$2002,5,FALSE),"")</f>
        <v/>
      </c>
      <c r="GL234" t="str">
        <f>+IFERROR(VLOOKUP(GL35,IN_Zugliste!$A$4:$D$2002,5,FALSE),"")</f>
        <v/>
      </c>
      <c r="GM234" t="str">
        <f>+IFERROR(VLOOKUP(GM35,IN_Zugliste!$A$4:$D$2002,5,FALSE),"")</f>
        <v/>
      </c>
      <c r="GN234" t="str">
        <f>+IFERROR(VLOOKUP(GN35,IN_Zugliste!$A$4:$D$2002,5,FALSE),"")</f>
        <v/>
      </c>
      <c r="GO234" t="str">
        <f>+IFERROR(VLOOKUP(GO35,IN_Zugliste!$A$4:$D$2002,5,FALSE),"")</f>
        <v/>
      </c>
      <c r="GP234" t="str">
        <f>+IFERROR(VLOOKUP(GP35,IN_Zugliste!$A$4:$D$2002,5,FALSE),"")</f>
        <v/>
      </c>
      <c r="GQ234" t="str">
        <f>+IFERROR(VLOOKUP(GQ35,IN_Zugliste!$A$4:$D$2002,5,FALSE),"")</f>
        <v/>
      </c>
      <c r="GR234" t="str">
        <f>+IFERROR(VLOOKUP(GR35,IN_Zugliste!$A$4:$D$2002,5,FALSE),"")</f>
        <v/>
      </c>
      <c r="GS234" t="str">
        <f>+IFERROR(VLOOKUP(GS35,IN_Zugliste!$A$4:$D$2002,5,FALSE),"")</f>
        <v/>
      </c>
      <c r="GT234" t="str">
        <f>+IFERROR(VLOOKUP(GT35,IN_Zugliste!$A$4:$D$2002,5,FALSE),"")</f>
        <v/>
      </c>
      <c r="GU234" t="str">
        <f>+IFERROR(VLOOKUP(GU35,IN_Zugliste!$A$4:$D$2002,5,FALSE),"")</f>
        <v/>
      </c>
      <c r="GV234" t="str">
        <f>+IFERROR(VLOOKUP(GV35,IN_Zugliste!$A$4:$D$2002,5,FALSE),"")</f>
        <v/>
      </c>
      <c r="GW234" t="str">
        <f>+IFERROR(VLOOKUP(GW35,IN_Zugliste!$A$4:$D$2002,5,FALSE),"")</f>
        <v/>
      </c>
      <c r="GX234" t="str">
        <f>+IFERROR(VLOOKUP(GX35,IN_Zugliste!$A$4:$D$2002,5,FALSE),"")</f>
        <v/>
      </c>
      <c r="GY234" t="str">
        <f>+IFERROR(VLOOKUP(GY35,IN_Zugliste!$A$4:$D$2002,5,FALSE),"")</f>
        <v/>
      </c>
      <c r="GZ234" t="str">
        <f>+IFERROR(VLOOKUP(GZ35,IN_Zugliste!$A$4:$D$2002,5,FALSE),"")</f>
        <v/>
      </c>
      <c r="HA234" t="str">
        <f>+IFERROR(VLOOKUP(HA35,IN_Zugliste!$A$4:$D$2002,5,FALSE),"")</f>
        <v/>
      </c>
      <c r="HB234" t="str">
        <f>+IFERROR(VLOOKUP(HB35,IN_Zugliste!$A$4:$D$2002,5,FALSE),"")</f>
        <v/>
      </c>
      <c r="HC234" t="str">
        <f>+IFERROR(VLOOKUP(HC35,IN_Zugliste!$A$4:$D$2002,5,FALSE),"")</f>
        <v/>
      </c>
      <c r="HD234" t="str">
        <f>+IFERROR(VLOOKUP(HD35,IN_Zugliste!$A$4:$D$2002,5,FALSE),"")</f>
        <v/>
      </c>
      <c r="HE234" t="str">
        <f>+IFERROR(VLOOKUP(HE35,IN_Zugliste!$A$4:$D$2002,5,FALSE),"")</f>
        <v/>
      </c>
      <c r="HF234" t="str">
        <f>+IFERROR(VLOOKUP(HF35,IN_Zugliste!$A$4:$D$2002,5,FALSE),"")</f>
        <v/>
      </c>
      <c r="HG234" t="str">
        <f>+IFERROR(VLOOKUP(HG35,IN_Zugliste!$A$4:$D$2002,5,FALSE),"")</f>
        <v/>
      </c>
      <c r="HH234" t="str">
        <f>+IFERROR(VLOOKUP(HH35,IN_Zugliste!$A$4:$D$2002,5,FALSE),"")</f>
        <v/>
      </c>
    </row>
    <row r="235" spans="1:216" x14ac:dyDescent="0.2">
      <c r="A235" t="str">
        <f>+IFERROR(VLOOKUP(A36,IN_Zugliste!$A$4:$E$2002,5,FALSE),"")</f>
        <v/>
      </c>
      <c r="B235" t="str">
        <f>+IFERROR(VLOOKUP(B36,IN_Zugliste!$A$4:$E$2002,5,FALSE),"")</f>
        <v/>
      </c>
      <c r="C235" t="str">
        <f>+IFERROR(VLOOKUP(C36,IN_Zugliste!$A$4:$E$2002,5,FALSE),"")</f>
        <v/>
      </c>
      <c r="D235" t="str">
        <f>+IFERROR(VLOOKUP(D36,IN_Zugliste!$A$4:$E$2002,5,FALSE),"")</f>
        <v/>
      </c>
      <c r="E235" t="str">
        <f>+IFERROR(VLOOKUP(E36,IN_Zugliste!$A$4:$E$2002,5,FALSE),"")</f>
        <v/>
      </c>
      <c r="F235" t="str">
        <f>+IFERROR(VLOOKUP(F36,IN_Zugliste!$A$4:$E$2002,5,FALSE),"")</f>
        <v/>
      </c>
      <c r="G235" t="str">
        <f>+IFERROR(VLOOKUP(G36,IN_Zugliste!$A$4:$E$2002,5,FALSE),"")</f>
        <v/>
      </c>
      <c r="H235" t="str">
        <f>+IFERROR(VLOOKUP(H36,IN_Zugliste!$A$4:$E$2002,5,FALSE),"")</f>
        <v/>
      </c>
      <c r="I235" t="str">
        <f>+IFERROR(VLOOKUP(I36,IN_Zugliste!$A$4:$E$2002,5,FALSE),"")</f>
        <v/>
      </c>
      <c r="J235" t="str">
        <f>+IFERROR(VLOOKUP(J36,IN_Zugliste!$A$4:$E$2002,5,FALSE),"")</f>
        <v/>
      </c>
      <c r="K235" t="str">
        <f>+IFERROR(VLOOKUP(K36,IN_Zugliste!$A$4:$E$2002,5,FALSE),"")</f>
        <v/>
      </c>
      <c r="L235" t="str">
        <f>+IFERROR(VLOOKUP(L36,IN_Zugliste!$A$4:$E$2002,5,FALSE),"")</f>
        <v/>
      </c>
      <c r="M235" t="str">
        <f>+IFERROR(VLOOKUP(M36,IN_Zugliste!$A$4:$E$2002,5,FALSE),"")</f>
        <v/>
      </c>
      <c r="N235" t="str">
        <f>+IFERROR(VLOOKUP(N36,IN_Zugliste!$A$4:$E$2002,5,FALSE),"")</f>
        <v/>
      </c>
      <c r="O235" t="str">
        <f>+IFERROR(VLOOKUP(O36,IN_Zugliste!$A$4:$E$2002,5,FALSE),"")</f>
        <v/>
      </c>
      <c r="P235" t="str">
        <f>+IFERROR(VLOOKUP(P36,IN_Zugliste!$A$4:$E$2002,5,FALSE),"")</f>
        <v/>
      </c>
      <c r="Q235" t="str">
        <f>+IFERROR(VLOOKUP(Q36,IN_Zugliste!$A$4:$E$2002,5,FALSE),"")</f>
        <v/>
      </c>
      <c r="R235" t="str">
        <f>+IFERROR(VLOOKUP(R36,IN_Zugliste!$A$4:$E$2002,5,FALSE),"")</f>
        <v/>
      </c>
      <c r="S235" t="str">
        <f>+IFERROR(VLOOKUP(S36,IN_Zugliste!$A$4:$E$2002,5,FALSE),"")</f>
        <v/>
      </c>
      <c r="T235" t="str">
        <f>+IFERROR(VLOOKUP(T36,IN_Zugliste!$A$4:$E$2002,5,FALSE),"")</f>
        <v/>
      </c>
      <c r="U235" t="str">
        <f>+IFERROR(VLOOKUP(U36,IN_Zugliste!$A$4:$E$2002,5,FALSE),"")</f>
        <v/>
      </c>
      <c r="V235" t="str">
        <f>+IFERROR(VLOOKUP(V36,IN_Zugliste!$A$4:$E$2002,5,FALSE),"")</f>
        <v/>
      </c>
      <c r="W235" t="str">
        <f>+IFERROR(VLOOKUP(W36,IN_Zugliste!$A$4:$E$2002,5,FALSE),"")</f>
        <v/>
      </c>
      <c r="X235" t="str">
        <f>+IFERROR(VLOOKUP(X36,IN_Zugliste!$A$4:$E$2002,5,FALSE),"")</f>
        <v/>
      </c>
      <c r="Y235" t="str">
        <f>+IFERROR(VLOOKUP(Y36,IN_Zugliste!$A$4:$E$2002,5,FALSE),"")</f>
        <v/>
      </c>
      <c r="Z235" t="str">
        <f>+IFERROR(VLOOKUP(Z36,IN_Zugliste!$A$4:$E$2002,5,FALSE),"")</f>
        <v/>
      </c>
      <c r="AA235" t="str">
        <f>+IFERROR(VLOOKUP(AA36,IN_Zugliste!$A$4:$E$2002,5,FALSE),"")</f>
        <v/>
      </c>
      <c r="AB235" t="str">
        <f>+IFERROR(VLOOKUP(AB36,IN_Zugliste!$A$4:$E$2002,5,FALSE),"")</f>
        <v/>
      </c>
      <c r="AC235" t="str">
        <f>+IFERROR(VLOOKUP(AC36,IN_Zugliste!$A$4:$E$2002,5,FALSE),"")</f>
        <v/>
      </c>
      <c r="AD235" t="str">
        <f>+IFERROR(VLOOKUP(AD36,IN_Zugliste!$A$4:$E$2002,5,FALSE),"")</f>
        <v/>
      </c>
      <c r="AE235" t="str">
        <f>+IFERROR(VLOOKUP(AE36,IN_Zugliste!$A$4:$E$2002,5,FALSE),"")</f>
        <v/>
      </c>
      <c r="AF235" t="str">
        <f>+IFERROR(VLOOKUP(AF36,IN_Zugliste!$A$4:$E$2002,5,FALSE),"")</f>
        <v/>
      </c>
      <c r="AG235" t="str">
        <f>+IFERROR(VLOOKUP(AG36,IN_Zugliste!$A$4:$E$2002,5,FALSE),"")</f>
        <v/>
      </c>
      <c r="AH235" t="str">
        <f>+IFERROR(VLOOKUP(AH36,IN_Zugliste!$A$4:$E$2002,5,FALSE),"")</f>
        <v/>
      </c>
      <c r="AI235" t="str">
        <f>+IFERROR(VLOOKUP(AI36,IN_Zugliste!$A$4:$E$2002,5,FALSE),"")</f>
        <v/>
      </c>
      <c r="AJ235" t="str">
        <f>+IFERROR(VLOOKUP(AJ36,IN_Zugliste!$A$4:$E$2002,5,FALSE),"")</f>
        <v/>
      </c>
      <c r="AK235" t="str">
        <f>+IFERROR(VLOOKUP(AK36,IN_Zugliste!$A$4:$E$2002,5,FALSE),"")</f>
        <v/>
      </c>
      <c r="AL235" t="str">
        <f>+IFERROR(VLOOKUP(AL36,IN_Zugliste!$A$4:$E$2002,5,FALSE),"")</f>
        <v/>
      </c>
      <c r="AM235" t="str">
        <f>+IFERROR(VLOOKUP(AM36,IN_Zugliste!$A$4:$E$2002,5,FALSE),"")</f>
        <v/>
      </c>
      <c r="AN235" t="str">
        <f>+IFERROR(VLOOKUP(AN36,IN_Zugliste!$A$4:$E$2002,5,FALSE),"")</f>
        <v/>
      </c>
      <c r="AO235" t="str">
        <f>+IFERROR(VLOOKUP(AO36,IN_Zugliste!$A$4:$E$2002,5,FALSE),"")</f>
        <v/>
      </c>
      <c r="AP235" t="str">
        <f>+IFERROR(VLOOKUP(AP36,IN_Zugliste!$A$4:$E$2002,5,FALSE),"")</f>
        <v/>
      </c>
      <c r="AQ235" t="str">
        <f>+IFERROR(VLOOKUP(AQ36,IN_Zugliste!$A$4:$E$2002,5,FALSE),"")</f>
        <v/>
      </c>
      <c r="AR235" t="str">
        <f>+IFERROR(VLOOKUP(AR36,IN_Zugliste!$A$4:$E$2002,5,FALSE),"")</f>
        <v/>
      </c>
      <c r="AS235" t="str">
        <f>+IFERROR(VLOOKUP(AS36,IN_Zugliste!$A$4:$E$2002,5,FALSE),"")</f>
        <v/>
      </c>
      <c r="AT235" t="str">
        <f>+IFERROR(VLOOKUP(AT36,IN_Zugliste!$A$4:$E$2002,5,FALSE),"")</f>
        <v/>
      </c>
      <c r="AU235" t="str">
        <f>+IFERROR(VLOOKUP(AU36,IN_Zugliste!$A$4:$E$2002,5,FALSE),"")</f>
        <v/>
      </c>
      <c r="AV235" t="str">
        <f>+IFERROR(VLOOKUP(AV36,IN_Zugliste!$A$4:$E$2002,5,FALSE),"")</f>
        <v/>
      </c>
      <c r="AW235" t="str">
        <f>+IFERROR(VLOOKUP(AW36,IN_Zugliste!$A$4:$E$2002,5,FALSE),"")</f>
        <v/>
      </c>
      <c r="AX235" t="str">
        <f>+IFERROR(VLOOKUP(AX36,IN_Zugliste!$A$4:$E$2002,5,FALSE),"")</f>
        <v/>
      </c>
      <c r="AY235" t="str">
        <f>+IFERROR(VLOOKUP(AY36,IN_Zugliste!$A$4:$E$2002,5,FALSE),"")</f>
        <v/>
      </c>
      <c r="AZ235" t="str">
        <f>+IFERROR(VLOOKUP(AZ36,IN_Zugliste!$A$4:$E$2002,5,FALSE),"")</f>
        <v/>
      </c>
      <c r="BA235" t="str">
        <f>+IFERROR(VLOOKUP(BA36,IN_Zugliste!$A$4:$E$2002,5,FALSE),"")</f>
        <v/>
      </c>
      <c r="BB235" t="str">
        <f>+IFERROR(VLOOKUP(BB36,IN_Zugliste!$A$4:$E$2002,5,FALSE),"")</f>
        <v/>
      </c>
      <c r="BC235" t="str">
        <f>+IFERROR(VLOOKUP(BC36,IN_Zugliste!$A$4:$E$2002,5,FALSE),"")</f>
        <v/>
      </c>
      <c r="BD235" t="str">
        <f>+IFERROR(VLOOKUP(BD36,IN_Zugliste!$A$4:$E$2002,5,FALSE),"")</f>
        <v/>
      </c>
      <c r="BE235" t="str">
        <f>+IFERROR(VLOOKUP(BE36,IN_Zugliste!$A$4:$E$2002,5,FALSE),"")</f>
        <v/>
      </c>
      <c r="BF235" t="str">
        <f>+IFERROR(VLOOKUP(BF36,IN_Zugliste!$A$4:$E$2002,5,FALSE),"")</f>
        <v/>
      </c>
      <c r="BG235" t="str">
        <f>+IFERROR(VLOOKUP(BG36,IN_Zugliste!$A$4:$E$2002,5,FALSE),"")</f>
        <v/>
      </c>
      <c r="BH235" t="str">
        <f>+IFERROR(VLOOKUP(BH36,IN_Zugliste!$A$4:$E$2002,5,FALSE),"")</f>
        <v/>
      </c>
      <c r="BI235" t="str">
        <f>+IFERROR(VLOOKUP(BI36,IN_Zugliste!$A$4:$E$2002,5,FALSE),"")</f>
        <v/>
      </c>
      <c r="BJ235" t="str">
        <f>+IFERROR(VLOOKUP(BJ36,IN_Zugliste!$A$4:$E$2002,5,FALSE),"")</f>
        <v/>
      </c>
      <c r="BK235" t="str">
        <f>+IFERROR(VLOOKUP(BK36,IN_Zugliste!$A$4:$E$2002,5,FALSE),"")</f>
        <v/>
      </c>
      <c r="BL235" t="str">
        <f>+IFERROR(VLOOKUP(BL36,IN_Zugliste!$A$4:$E$2002,5,FALSE),"")</f>
        <v/>
      </c>
      <c r="BM235" t="str">
        <f>+IFERROR(VLOOKUP(BM36,IN_Zugliste!$A$4:$E$2002,5,FALSE),"")</f>
        <v/>
      </c>
      <c r="BN235" t="str">
        <f>+IFERROR(VLOOKUP(BN36,IN_Zugliste!$A$4:$E$2002,5,FALSE),"")</f>
        <v/>
      </c>
      <c r="BO235" t="str">
        <f>+IFERROR(VLOOKUP(BO36,IN_Zugliste!$A$4:$E$2002,5,FALSE),"")</f>
        <v/>
      </c>
      <c r="BP235" t="str">
        <f>+IFERROR(VLOOKUP(BP36,IN_Zugliste!$A$4:$E$2002,5,FALSE),"")</f>
        <v/>
      </c>
      <c r="BQ235" t="str">
        <f>+IFERROR(VLOOKUP(BQ36,IN_Zugliste!$A$4:$E$2002,5,FALSE),"")</f>
        <v/>
      </c>
      <c r="BR235" t="str">
        <f>+IFERROR(VLOOKUP(BR36,IN_Zugliste!$A$4:$E$2002,5,FALSE),"")</f>
        <v/>
      </c>
      <c r="BS235" t="str">
        <f>+IFERROR(VLOOKUP(BS36,IN_Zugliste!$A$4:$E$2002,5,FALSE),"")</f>
        <v/>
      </c>
      <c r="BT235" t="str">
        <f>+IFERROR(VLOOKUP(BT36,IN_Zugliste!$A$4:$E$2002,5,FALSE),"")</f>
        <v/>
      </c>
      <c r="BU235" t="str">
        <f>+IFERROR(VLOOKUP(BU36,IN_Zugliste!$A$4:$E$2002,5,FALSE),"")</f>
        <v/>
      </c>
      <c r="BV235" t="str">
        <f>+IFERROR(VLOOKUP(BV36,IN_Zugliste!$A$4:$E$2002,5,FALSE),"")</f>
        <v/>
      </c>
      <c r="BW235" t="str">
        <f>+IFERROR(VLOOKUP(BW36,IN_Zugliste!$A$4:$E$2002,5,FALSE),"")</f>
        <v/>
      </c>
      <c r="BX235" t="str">
        <f>+IFERROR(VLOOKUP(BX36,IN_Zugliste!$A$4:$E$2002,5,FALSE),"")</f>
        <v/>
      </c>
      <c r="BY235" t="str">
        <f>+IFERROR(VLOOKUP(BY36,IN_Zugliste!$A$4:$E$2002,5,FALSE),"")</f>
        <v/>
      </c>
      <c r="BZ235" t="str">
        <f>+IFERROR(VLOOKUP(BZ36,IN_Zugliste!$A$4:$E$2002,5,FALSE),"")</f>
        <v/>
      </c>
      <c r="CA235" t="str">
        <f>+IFERROR(VLOOKUP(CA36,IN_Zugliste!$A$4:$E$2002,5,FALSE),"")</f>
        <v/>
      </c>
      <c r="CB235" t="str">
        <f>+IFERROR(VLOOKUP(CB36,IN_Zugliste!$A$4:$E$2002,5,FALSE),"")</f>
        <v/>
      </c>
      <c r="CC235" t="str">
        <f>+IFERROR(VLOOKUP(CC36,IN_Zugliste!$A$4:$E$2002,5,FALSE),"")</f>
        <v/>
      </c>
      <c r="CD235" t="str">
        <f>+IFERROR(VLOOKUP(CD36,IN_Zugliste!$A$4:$E$2002,5,FALSE),"")</f>
        <v/>
      </c>
      <c r="CE235" t="str">
        <f>+IFERROR(VLOOKUP(CE36,IN_Zugliste!$A$4:$E$2002,5,FALSE),"")</f>
        <v/>
      </c>
      <c r="CF235" t="str">
        <f>+IFERROR(VLOOKUP(CF36,IN_Zugliste!$A$4:$E$2002,5,FALSE),"")</f>
        <v/>
      </c>
      <c r="CG235" t="str">
        <f>+IFERROR(VLOOKUP(CG36,IN_Zugliste!$A$4:$E$2002,5,FALSE),"")</f>
        <v/>
      </c>
      <c r="CH235" t="str">
        <f>+IFERROR(VLOOKUP(CH36,IN_Zugliste!$A$4:$E$2002,5,FALSE),"")</f>
        <v/>
      </c>
      <c r="CI235" t="str">
        <f>+IFERROR(VLOOKUP(CI36,IN_Zugliste!$A$4:$E$2002,5,FALSE),"")</f>
        <v/>
      </c>
      <c r="CJ235" t="str">
        <f>+IFERROR(VLOOKUP(CJ36,IN_Zugliste!$A$4:$E$2002,5,FALSE),"")</f>
        <v/>
      </c>
      <c r="CK235" t="str">
        <f>+IFERROR(VLOOKUP(CK36,IN_Zugliste!$A$4:$E$2002,5,FALSE),"")</f>
        <v/>
      </c>
      <c r="CL235" t="str">
        <f>+IFERROR(VLOOKUP(CL36,IN_Zugliste!$A$4:$E$2002,5,FALSE),"")</f>
        <v/>
      </c>
      <c r="CM235" t="str">
        <f>+IFERROR(VLOOKUP(CM36,IN_Zugliste!$A$4:$E$2002,5,FALSE),"")</f>
        <v/>
      </c>
      <c r="CN235" t="str">
        <f>+IFERROR(VLOOKUP(CN36,IN_Zugliste!$A$4:$E$2002,5,FALSE),"")</f>
        <v/>
      </c>
      <c r="CO235" t="str">
        <f>+IFERROR(VLOOKUP(CO36,IN_Zugliste!$A$4:$E$2002,5,FALSE),"")</f>
        <v/>
      </c>
      <c r="CP235" t="str">
        <f>+IFERROR(VLOOKUP(CP36,IN_Zugliste!$A$4:$E$2002,5,FALSE),"")</f>
        <v/>
      </c>
      <c r="CQ235" t="str">
        <f>+IFERROR(VLOOKUP(CQ36,IN_Zugliste!$A$4:$E$2002,5,FALSE),"")</f>
        <v/>
      </c>
      <c r="CR235" t="str">
        <f>+IFERROR(VLOOKUP(CR36,IN_Zugliste!$A$4:$E$2002,5,FALSE),"")</f>
        <v/>
      </c>
      <c r="CS235" t="str">
        <f>+IFERROR(VLOOKUP(CS36,IN_Zugliste!$A$4:$E$2002,5,FALSE),"")</f>
        <v/>
      </c>
      <c r="CT235" t="str">
        <f>+IFERROR(VLOOKUP(CT36,IN_Zugliste!$A$4:$E$2002,5,FALSE),"")</f>
        <v/>
      </c>
      <c r="CU235" t="str">
        <f>+IFERROR(VLOOKUP(CU36,IN_Zugliste!$A$4:$E$2002,5,FALSE),"")</f>
        <v/>
      </c>
      <c r="CV235" t="str">
        <f>+IFERROR(VLOOKUP(CV36,IN_Zugliste!$A$4:$E$2002,5,FALSE),"")</f>
        <v/>
      </c>
      <c r="CW235" t="str">
        <f>+IFERROR(VLOOKUP(CW36,IN_Zugliste!$A$4:$E$2002,5,FALSE),"")</f>
        <v/>
      </c>
      <c r="CX235" t="str">
        <f>+IFERROR(VLOOKUP(CX36,IN_Zugliste!$A$4:$E$2002,5,FALSE),"")</f>
        <v/>
      </c>
      <c r="CY235" t="str">
        <f>+IFERROR(VLOOKUP(CY36,IN_Zugliste!$A$4:$E$2002,5,FALSE),"")</f>
        <v/>
      </c>
      <c r="CZ235" t="str">
        <f>+IFERROR(VLOOKUP(CZ36,IN_Zugliste!$A$4:$E$2002,5,FALSE),"")</f>
        <v/>
      </c>
      <c r="DA235" t="str">
        <f>+IFERROR(VLOOKUP(DA36,IN_Zugliste!$A$4:$E$2002,5,FALSE),"")</f>
        <v/>
      </c>
      <c r="DB235" t="str">
        <f>+IFERROR(VLOOKUP(DB36,IN_Zugliste!$A$4:$E$2002,5,FALSE),"")</f>
        <v/>
      </c>
      <c r="DC235" t="str">
        <f>+IFERROR(VLOOKUP(DC36,IN_Zugliste!$A$4:$E$2002,5,FALSE),"")</f>
        <v/>
      </c>
      <c r="DD235" t="str">
        <f>+IFERROR(VLOOKUP(DD36,IN_Zugliste!$A$4:$E$2002,5,FALSE),"")</f>
        <v/>
      </c>
      <c r="DE235" t="str">
        <f>+IFERROR(VLOOKUP(DE36,IN_Zugliste!$A$4:$E$2002,5,FALSE),"")</f>
        <v/>
      </c>
      <c r="DF235" t="str">
        <f>+IFERROR(VLOOKUP(DF36,IN_Zugliste!$A$4:$E$2002,5,FALSE),"")</f>
        <v/>
      </c>
      <c r="DG235" t="str">
        <f>+IFERROR(VLOOKUP(DG36,IN_Zugliste!$A$4:$E$2002,5,FALSE),"")</f>
        <v/>
      </c>
      <c r="DH235" t="str">
        <f>+IFERROR(VLOOKUP(DH36,IN_Zugliste!$A$4:$E$2002,5,FALSE),"")</f>
        <v/>
      </c>
      <c r="DI235" t="str">
        <f>+IFERROR(VLOOKUP(DI36,IN_Zugliste!$A$4:$E$2002,5,FALSE),"")</f>
        <v/>
      </c>
      <c r="DJ235" t="str">
        <f>+IFERROR(VLOOKUP(DJ36,IN_Zugliste!$A$4:$E$2002,5,FALSE),"")</f>
        <v/>
      </c>
      <c r="DK235" t="str">
        <f>+IFERROR(VLOOKUP(DK36,IN_Zugliste!$A$4:$E$2002,5,FALSE),"")</f>
        <v/>
      </c>
      <c r="DL235" t="str">
        <f>+IFERROR(VLOOKUP(DL36,IN_Zugliste!$A$4:$E$2002,5,FALSE),"")</f>
        <v/>
      </c>
      <c r="DM235" t="str">
        <f>+IFERROR(VLOOKUP(DM36,IN_Zugliste!$A$4:$E$2002,5,FALSE),"")</f>
        <v/>
      </c>
      <c r="DN235" t="str">
        <f>+IFERROR(VLOOKUP(DN36,IN_Zugliste!$A$4:$E$2002,5,FALSE),"")</f>
        <v/>
      </c>
      <c r="DO235" t="str">
        <f>+IFERROR(VLOOKUP(DO36,IN_Zugliste!$A$4:$E$2002,5,FALSE),"")</f>
        <v/>
      </c>
      <c r="DP235" t="str">
        <f>+IFERROR(VLOOKUP(DP36,IN_Zugliste!$A$4:$E$2002,5,FALSE),"")</f>
        <v/>
      </c>
      <c r="DQ235" t="str">
        <f>+IFERROR(VLOOKUP(DQ36,IN_Zugliste!$A$4:$E$2002,5,FALSE),"")</f>
        <v/>
      </c>
      <c r="DR235" t="str">
        <f>+IFERROR(VLOOKUP(DR36,IN_Zugliste!$A$4:$E$2002,5,FALSE),"")</f>
        <v/>
      </c>
      <c r="DS235" t="str">
        <f>+IFERROR(VLOOKUP(DS36,IN_Zugliste!$A$4:$E$2002,5,FALSE),"")</f>
        <v/>
      </c>
      <c r="DT235" t="str">
        <f>+IFERROR(VLOOKUP(DT36,IN_Zugliste!$A$4:$E$2002,5,FALSE),"")</f>
        <v/>
      </c>
      <c r="DU235" t="str">
        <f>+IFERROR(VLOOKUP(DU36,IN_Zugliste!$A$4:$E$2002,5,FALSE),"")</f>
        <v/>
      </c>
      <c r="DV235" t="str">
        <f>+IFERROR(VLOOKUP(DV36,IN_Zugliste!$A$4:$E$2002,5,FALSE),"")</f>
        <v/>
      </c>
      <c r="DW235" t="str">
        <f>+IFERROR(VLOOKUP(DW36,IN_Zugliste!$A$4:$E$2002,5,FALSE),"")</f>
        <v/>
      </c>
      <c r="DX235" t="str">
        <f>+IFERROR(VLOOKUP(DX36,IN_Zugliste!$A$4:$E$2002,5,FALSE),"")</f>
        <v/>
      </c>
      <c r="DY235" t="str">
        <f>+IFERROR(VLOOKUP(DY36,IN_Zugliste!$A$4:$E$2002,5,FALSE),"")</f>
        <v/>
      </c>
      <c r="DZ235" t="str">
        <f>+IFERROR(VLOOKUP(DZ36,IN_Zugliste!$A$4:$E$2002,5,FALSE),"")</f>
        <v/>
      </c>
      <c r="EA235" t="str">
        <f>+IFERROR(VLOOKUP(EA36,IN_Zugliste!$A$4:$E$2002,5,FALSE),"")</f>
        <v/>
      </c>
      <c r="EB235" t="str">
        <f>+IFERROR(VLOOKUP(EB36,IN_Zugliste!$A$4:$E$2002,5,FALSE),"")</f>
        <v/>
      </c>
      <c r="EC235" t="str">
        <f>+IFERROR(VLOOKUP(EC36,IN_Zugliste!$A$4:$E$2002,5,FALSE),"")</f>
        <v/>
      </c>
      <c r="ED235" t="str">
        <f>+IFERROR(VLOOKUP(ED36,IN_Zugliste!$A$4:$E$2002,5,FALSE),"")</f>
        <v/>
      </c>
      <c r="EE235" t="str">
        <f>+IFERROR(VLOOKUP(EE36,IN_Zugliste!$A$4:$E$2002,5,FALSE),"")</f>
        <v/>
      </c>
      <c r="EF235" t="str">
        <f>+IFERROR(VLOOKUP(EF36,IN_Zugliste!$A$4:$E$2002,5,FALSE),"")</f>
        <v/>
      </c>
      <c r="EG235" t="str">
        <f>+IFERROR(VLOOKUP(EG36,IN_Zugliste!$A$4:$E$2002,5,FALSE),"")</f>
        <v/>
      </c>
      <c r="EH235" t="str">
        <f>+IFERROR(VLOOKUP(EH36,IN_Zugliste!$A$4:$E$2002,5,FALSE),"")</f>
        <v/>
      </c>
      <c r="EI235" t="str">
        <f>+IFERROR(VLOOKUP(EI36,IN_Zugliste!$A$4:$E$2002,5,FALSE),"")</f>
        <v/>
      </c>
      <c r="EJ235" t="str">
        <f>+IFERROR(VLOOKUP(EJ36,IN_Zugliste!$A$4:$E$2002,5,FALSE),"")</f>
        <v/>
      </c>
      <c r="EK235" t="str">
        <f>+IFERROR(VLOOKUP(EK36,IN_Zugliste!$A$4:$E$2002,5,FALSE),"")</f>
        <v/>
      </c>
      <c r="EL235" t="str">
        <f>+IFERROR(VLOOKUP(EL36,IN_Zugliste!$A$4:$E$2002,5,FALSE),"")</f>
        <v/>
      </c>
      <c r="EM235" t="str">
        <f>+IFERROR(VLOOKUP(EM36,IN_Zugliste!$A$4:$E$2002,5,FALSE),"")</f>
        <v/>
      </c>
      <c r="EN235" t="str">
        <f>+IFERROR(VLOOKUP(EN36,IN_Zugliste!$A$4:$E$2002,5,FALSE),"")</f>
        <v/>
      </c>
      <c r="EO235" t="str">
        <f>+IFERROR(VLOOKUP(EO36,IN_Zugliste!$A$4:$E$2002,5,FALSE),"")</f>
        <v/>
      </c>
      <c r="EP235" t="str">
        <f>+IFERROR(VLOOKUP(EP36,IN_Zugliste!$A$4:$E$2002,5,FALSE),"")</f>
        <v/>
      </c>
      <c r="EQ235" t="str">
        <f>+IFERROR(VLOOKUP(EQ36,IN_Zugliste!$A$4:$E$2002,5,FALSE),"")</f>
        <v/>
      </c>
      <c r="ER235" t="str">
        <f>+IFERROR(VLOOKUP(ER36,IN_Zugliste!$A$4:$E$2002,5,FALSE),"")</f>
        <v/>
      </c>
      <c r="ES235" t="str">
        <f>+IFERROR(VLOOKUP(ES36,IN_Zugliste!$A$4:$E$2002,5,FALSE),"")</f>
        <v/>
      </c>
      <c r="ET235" t="str">
        <f>+IFERROR(VLOOKUP(ET36,IN_Zugliste!$A$4:$E$2002,5,FALSE),"")</f>
        <v/>
      </c>
      <c r="EU235" t="str">
        <f>+IFERROR(VLOOKUP(EU36,IN_Zugliste!$A$4:$E$2002,5,FALSE),"")</f>
        <v/>
      </c>
      <c r="EV235" t="str">
        <f>+IFERROR(VLOOKUP(EV36,IN_Zugliste!$A$4:$E$2002,5,FALSE),"")</f>
        <v/>
      </c>
      <c r="EW235" t="str">
        <f>+IFERROR(VLOOKUP(EW36,IN_Zugliste!$A$4:$E$2002,5,FALSE),"")</f>
        <v/>
      </c>
      <c r="EX235" t="str">
        <f>+IFERROR(VLOOKUP(EX36,IN_Zugliste!$A$4:$E$2002,5,FALSE),"")</f>
        <v/>
      </c>
      <c r="EY235" t="str">
        <f>+IFERROR(VLOOKUP(EY36,IN_Zugliste!$A$4:$E$2002,5,FALSE),"")</f>
        <v/>
      </c>
      <c r="EZ235" t="str">
        <f>+IFERROR(VLOOKUP(EZ36,IN_Zugliste!$A$4:$E$2002,5,FALSE),"")</f>
        <v/>
      </c>
      <c r="FA235" t="str">
        <f>+IFERROR(VLOOKUP(FA36,IN_Zugliste!$A$4:$E$2002,5,FALSE),"")</f>
        <v/>
      </c>
      <c r="FB235" t="str">
        <f>+IFERROR(VLOOKUP(FB36,IN_Zugliste!$A$4:$E$2002,5,FALSE),"")</f>
        <v/>
      </c>
      <c r="FC235" t="str">
        <f>+IFERROR(VLOOKUP(FC36,IN_Zugliste!$A$4:$E$2002,5,FALSE),"")</f>
        <v/>
      </c>
      <c r="FD235" t="str">
        <f>+IFERROR(VLOOKUP(FD36,IN_Zugliste!$A$4:$E$2002,5,FALSE),"")</f>
        <v/>
      </c>
      <c r="FE235" t="str">
        <f>+IFERROR(VLOOKUP(FE36,IN_Zugliste!$A$4:$E$2002,5,FALSE),"")</f>
        <v/>
      </c>
      <c r="FF235" t="str">
        <f>+IFERROR(VLOOKUP(FF36,IN_Zugliste!$A$4:$E$2002,5,FALSE),"")</f>
        <v/>
      </c>
      <c r="FG235" t="str">
        <f>+IFERROR(VLOOKUP(FG36,IN_Zugliste!$A$4:$E$2002,5,FALSE),"")</f>
        <v/>
      </c>
      <c r="FH235" t="str">
        <f>+IFERROR(VLOOKUP(FH36,IN_Zugliste!$A$4:$E$2002,5,FALSE),"")</f>
        <v/>
      </c>
      <c r="FI235" t="str">
        <f>+IFERROR(VLOOKUP(FI36,IN_Zugliste!$A$4:$E$2002,5,FALSE),"")</f>
        <v/>
      </c>
      <c r="FJ235" t="str">
        <f>+IFERROR(VLOOKUP(FJ36,IN_Zugliste!$A$4:$E$2002,5,FALSE),"")</f>
        <v/>
      </c>
      <c r="FK235" t="str">
        <f>+IFERROR(VLOOKUP(FK36,IN_Zugliste!$A$4:$E$2002,5,FALSE),"")</f>
        <v/>
      </c>
      <c r="FL235" t="str">
        <f>+IFERROR(VLOOKUP(FL36,IN_Zugliste!$A$4:$E$2002,5,FALSE),"")</f>
        <v/>
      </c>
      <c r="FM235" t="str">
        <f>+IFERROR(VLOOKUP(FM36,IN_Zugliste!$A$4:$D$2002,5,FALSE),"")</f>
        <v/>
      </c>
      <c r="FN235" t="str">
        <f>+IFERROR(VLOOKUP(FN36,IN_Zugliste!$A$4:$D$2002,5,FALSE),"")</f>
        <v/>
      </c>
      <c r="FO235" t="str">
        <f>+IFERROR(VLOOKUP(FO36,IN_Zugliste!$A$4:$D$2002,5,FALSE),"")</f>
        <v/>
      </c>
      <c r="FP235" t="str">
        <f>+IFERROR(VLOOKUP(FP36,IN_Zugliste!$A$4:$D$2002,5,FALSE),"")</f>
        <v/>
      </c>
      <c r="FQ235" t="str">
        <f>+IFERROR(VLOOKUP(FQ36,IN_Zugliste!$A$4:$D$2002,5,FALSE),"")</f>
        <v/>
      </c>
      <c r="FR235" t="str">
        <f>+IFERROR(VLOOKUP(FR36,IN_Zugliste!$A$4:$D$2002,5,FALSE),"")</f>
        <v/>
      </c>
      <c r="FS235" t="str">
        <f>+IFERROR(VLOOKUP(FS36,IN_Zugliste!$A$4:$D$2002,5,FALSE),"")</f>
        <v/>
      </c>
      <c r="FT235" t="str">
        <f>+IFERROR(VLOOKUP(FT36,IN_Zugliste!$A$4:$D$2002,5,FALSE),"")</f>
        <v/>
      </c>
      <c r="FU235" t="str">
        <f>+IFERROR(VLOOKUP(FU36,IN_Zugliste!$A$4:$D$2002,5,FALSE),"")</f>
        <v/>
      </c>
      <c r="FV235" t="str">
        <f>+IFERROR(VLOOKUP(FV36,IN_Zugliste!$A$4:$D$2002,5,FALSE),"")</f>
        <v/>
      </c>
      <c r="FW235" t="str">
        <f>+IFERROR(VLOOKUP(FW36,IN_Zugliste!$A$4:$D$2002,5,FALSE),"")</f>
        <v/>
      </c>
      <c r="FX235" t="str">
        <f>+IFERROR(VLOOKUP(FX36,IN_Zugliste!$A$4:$D$2002,5,FALSE),"")</f>
        <v/>
      </c>
      <c r="FY235" t="str">
        <f>+IFERROR(VLOOKUP(FY36,IN_Zugliste!$A$4:$D$2002,5,FALSE),"")</f>
        <v/>
      </c>
      <c r="FZ235" t="str">
        <f>+IFERROR(VLOOKUP(FZ36,IN_Zugliste!$A$4:$D$2002,5,FALSE),"")</f>
        <v/>
      </c>
      <c r="GA235" t="str">
        <f>+IFERROR(VLOOKUP(GA36,IN_Zugliste!$A$4:$D$2002,5,FALSE),"")</f>
        <v/>
      </c>
      <c r="GB235" t="str">
        <f>+IFERROR(VLOOKUP(GB36,IN_Zugliste!$A$4:$D$2002,5,FALSE),"")</f>
        <v/>
      </c>
      <c r="GC235" t="str">
        <f>+IFERROR(VLOOKUP(GC36,IN_Zugliste!$A$4:$D$2002,5,FALSE),"")</f>
        <v/>
      </c>
      <c r="GD235" t="str">
        <f>+IFERROR(VLOOKUP(GD36,IN_Zugliste!$A$4:$D$2002,5,FALSE),"")</f>
        <v/>
      </c>
      <c r="GE235" t="str">
        <f>+IFERROR(VLOOKUP(GE36,IN_Zugliste!$A$4:$D$2002,5,FALSE),"")</f>
        <v/>
      </c>
      <c r="GF235" t="str">
        <f>+IFERROR(VLOOKUP(GF36,IN_Zugliste!$A$4:$D$2002,5,FALSE),"")</f>
        <v/>
      </c>
      <c r="GG235" t="str">
        <f>+IFERROR(VLOOKUP(GG36,IN_Zugliste!$A$4:$D$2002,5,FALSE),"")</f>
        <v/>
      </c>
      <c r="GH235" t="str">
        <f>+IFERROR(VLOOKUP(GH36,IN_Zugliste!$A$4:$D$2002,5,FALSE),"")</f>
        <v/>
      </c>
      <c r="GI235" t="str">
        <f>+IFERROR(VLOOKUP(GI36,IN_Zugliste!$A$4:$D$2002,5,FALSE),"")</f>
        <v/>
      </c>
      <c r="GJ235" t="str">
        <f>+IFERROR(VLOOKUP(GJ36,IN_Zugliste!$A$4:$D$2002,5,FALSE),"")</f>
        <v/>
      </c>
      <c r="GK235" t="str">
        <f>+IFERROR(VLOOKUP(GK36,IN_Zugliste!$A$4:$D$2002,5,FALSE),"")</f>
        <v/>
      </c>
      <c r="GL235" t="str">
        <f>+IFERROR(VLOOKUP(GL36,IN_Zugliste!$A$4:$D$2002,5,FALSE),"")</f>
        <v/>
      </c>
      <c r="GM235" t="str">
        <f>+IFERROR(VLOOKUP(GM36,IN_Zugliste!$A$4:$D$2002,5,FALSE),"")</f>
        <v/>
      </c>
      <c r="GN235" t="str">
        <f>+IFERROR(VLOOKUP(GN36,IN_Zugliste!$A$4:$D$2002,5,FALSE),"")</f>
        <v/>
      </c>
      <c r="GO235" t="str">
        <f>+IFERROR(VLOOKUP(GO36,IN_Zugliste!$A$4:$D$2002,5,FALSE),"")</f>
        <v/>
      </c>
      <c r="GP235" t="str">
        <f>+IFERROR(VLOOKUP(GP36,IN_Zugliste!$A$4:$D$2002,5,FALSE),"")</f>
        <v/>
      </c>
      <c r="GQ235" t="str">
        <f>+IFERROR(VLOOKUP(GQ36,IN_Zugliste!$A$4:$D$2002,5,FALSE),"")</f>
        <v/>
      </c>
      <c r="GR235" t="str">
        <f>+IFERROR(VLOOKUP(GR36,IN_Zugliste!$A$4:$D$2002,5,FALSE),"")</f>
        <v/>
      </c>
      <c r="GS235" t="str">
        <f>+IFERROR(VLOOKUP(GS36,IN_Zugliste!$A$4:$D$2002,5,FALSE),"")</f>
        <v/>
      </c>
      <c r="GT235" t="str">
        <f>+IFERROR(VLOOKUP(GT36,IN_Zugliste!$A$4:$D$2002,5,FALSE),"")</f>
        <v/>
      </c>
      <c r="GU235" t="str">
        <f>+IFERROR(VLOOKUP(GU36,IN_Zugliste!$A$4:$D$2002,5,FALSE),"")</f>
        <v/>
      </c>
      <c r="GV235" t="str">
        <f>+IFERROR(VLOOKUP(GV36,IN_Zugliste!$A$4:$D$2002,5,FALSE),"")</f>
        <v/>
      </c>
      <c r="GW235" t="str">
        <f>+IFERROR(VLOOKUP(GW36,IN_Zugliste!$A$4:$D$2002,5,FALSE),"")</f>
        <v/>
      </c>
      <c r="GX235" t="str">
        <f>+IFERROR(VLOOKUP(GX36,IN_Zugliste!$A$4:$D$2002,5,FALSE),"")</f>
        <v/>
      </c>
      <c r="GY235" t="str">
        <f>+IFERROR(VLOOKUP(GY36,IN_Zugliste!$A$4:$D$2002,5,FALSE),"")</f>
        <v/>
      </c>
      <c r="GZ235" t="str">
        <f>+IFERROR(VLOOKUP(GZ36,IN_Zugliste!$A$4:$D$2002,5,FALSE),"")</f>
        <v/>
      </c>
      <c r="HA235" t="str">
        <f>+IFERROR(VLOOKUP(HA36,IN_Zugliste!$A$4:$D$2002,5,FALSE),"")</f>
        <v/>
      </c>
      <c r="HB235" t="str">
        <f>+IFERROR(VLOOKUP(HB36,IN_Zugliste!$A$4:$D$2002,5,FALSE),"")</f>
        <v/>
      </c>
      <c r="HC235" t="str">
        <f>+IFERROR(VLOOKUP(HC36,IN_Zugliste!$A$4:$D$2002,5,FALSE),"")</f>
        <v/>
      </c>
      <c r="HD235" t="str">
        <f>+IFERROR(VLOOKUP(HD36,IN_Zugliste!$A$4:$D$2002,5,FALSE),"")</f>
        <v/>
      </c>
      <c r="HE235" t="str">
        <f>+IFERROR(VLOOKUP(HE36,IN_Zugliste!$A$4:$D$2002,5,FALSE),"")</f>
        <v/>
      </c>
      <c r="HF235" t="str">
        <f>+IFERROR(VLOOKUP(HF36,IN_Zugliste!$A$4:$D$2002,5,FALSE),"")</f>
        <v/>
      </c>
      <c r="HG235" t="str">
        <f>+IFERROR(VLOOKUP(HG36,IN_Zugliste!$A$4:$D$2002,5,FALSE),"")</f>
        <v/>
      </c>
      <c r="HH235" t="str">
        <f>+IFERROR(VLOOKUP(HH36,IN_Zugliste!$A$4:$D$2002,5,FALSE),"")</f>
        <v/>
      </c>
    </row>
    <row r="236" spans="1:216" x14ac:dyDescent="0.2">
      <c r="A236" t="str">
        <f>+IFERROR(VLOOKUP(A37,IN_Zugliste!$A$4:$E$2002,5,FALSE),"")</f>
        <v/>
      </c>
      <c r="B236" t="str">
        <f>+IFERROR(VLOOKUP(B37,IN_Zugliste!$A$4:$E$2002,5,FALSE),"")</f>
        <v/>
      </c>
      <c r="C236" t="str">
        <f>+IFERROR(VLOOKUP(C37,IN_Zugliste!$A$4:$E$2002,5,FALSE),"")</f>
        <v/>
      </c>
      <c r="D236" t="str">
        <f>+IFERROR(VLOOKUP(D37,IN_Zugliste!$A$4:$E$2002,5,FALSE),"")</f>
        <v/>
      </c>
      <c r="E236" t="str">
        <f>+IFERROR(VLOOKUP(E37,IN_Zugliste!$A$4:$E$2002,5,FALSE),"")</f>
        <v/>
      </c>
      <c r="F236" t="str">
        <f>+IFERROR(VLOOKUP(F37,IN_Zugliste!$A$4:$E$2002,5,FALSE),"")</f>
        <v/>
      </c>
      <c r="G236" t="str">
        <f>+IFERROR(VLOOKUP(G37,IN_Zugliste!$A$4:$E$2002,5,FALSE),"")</f>
        <v/>
      </c>
      <c r="H236" t="str">
        <f>+IFERROR(VLOOKUP(H37,IN_Zugliste!$A$4:$E$2002,5,FALSE),"")</f>
        <v/>
      </c>
      <c r="I236" t="str">
        <f>+IFERROR(VLOOKUP(I37,IN_Zugliste!$A$4:$E$2002,5,FALSE),"")</f>
        <v/>
      </c>
      <c r="J236" t="str">
        <f>+IFERROR(VLOOKUP(J37,IN_Zugliste!$A$4:$E$2002,5,FALSE),"")</f>
        <v/>
      </c>
      <c r="K236" t="str">
        <f>+IFERROR(VLOOKUP(K37,IN_Zugliste!$A$4:$E$2002,5,FALSE),"")</f>
        <v/>
      </c>
      <c r="L236" t="str">
        <f>+IFERROR(VLOOKUP(L37,IN_Zugliste!$A$4:$E$2002,5,FALSE),"")</f>
        <v/>
      </c>
      <c r="M236" t="str">
        <f>+IFERROR(VLOOKUP(M37,IN_Zugliste!$A$4:$E$2002,5,FALSE),"")</f>
        <v/>
      </c>
      <c r="N236" t="str">
        <f>+IFERROR(VLOOKUP(N37,IN_Zugliste!$A$4:$E$2002,5,FALSE),"")</f>
        <v/>
      </c>
      <c r="O236" t="str">
        <f>+IFERROR(VLOOKUP(O37,IN_Zugliste!$A$4:$E$2002,5,FALSE),"")</f>
        <v/>
      </c>
      <c r="P236" t="str">
        <f>+IFERROR(VLOOKUP(P37,IN_Zugliste!$A$4:$E$2002,5,FALSE),"")</f>
        <v/>
      </c>
      <c r="Q236" t="str">
        <f>+IFERROR(VLOOKUP(Q37,IN_Zugliste!$A$4:$E$2002,5,FALSE),"")</f>
        <v/>
      </c>
      <c r="R236" t="str">
        <f>+IFERROR(VLOOKUP(R37,IN_Zugliste!$A$4:$E$2002,5,FALSE),"")</f>
        <v/>
      </c>
      <c r="S236" t="str">
        <f>+IFERROR(VLOOKUP(S37,IN_Zugliste!$A$4:$E$2002,5,FALSE),"")</f>
        <v/>
      </c>
      <c r="T236" t="str">
        <f>+IFERROR(VLOOKUP(T37,IN_Zugliste!$A$4:$E$2002,5,FALSE),"")</f>
        <v/>
      </c>
      <c r="U236" t="str">
        <f>+IFERROR(VLOOKUP(U37,IN_Zugliste!$A$4:$E$2002,5,FALSE),"")</f>
        <v/>
      </c>
      <c r="V236" t="str">
        <f>+IFERROR(VLOOKUP(V37,IN_Zugliste!$A$4:$E$2002,5,FALSE),"")</f>
        <v/>
      </c>
      <c r="W236" t="str">
        <f>+IFERROR(VLOOKUP(W37,IN_Zugliste!$A$4:$E$2002,5,FALSE),"")</f>
        <v/>
      </c>
      <c r="X236" t="str">
        <f>+IFERROR(VLOOKUP(X37,IN_Zugliste!$A$4:$E$2002,5,FALSE),"")</f>
        <v/>
      </c>
      <c r="Y236" t="str">
        <f>+IFERROR(VLOOKUP(Y37,IN_Zugliste!$A$4:$E$2002,5,FALSE),"")</f>
        <v/>
      </c>
      <c r="Z236" t="str">
        <f>+IFERROR(VLOOKUP(Z37,IN_Zugliste!$A$4:$E$2002,5,FALSE),"")</f>
        <v/>
      </c>
      <c r="AA236" t="str">
        <f>+IFERROR(VLOOKUP(AA37,IN_Zugliste!$A$4:$E$2002,5,FALSE),"")</f>
        <v/>
      </c>
      <c r="AB236" t="str">
        <f>+IFERROR(VLOOKUP(AB37,IN_Zugliste!$A$4:$E$2002,5,FALSE),"")</f>
        <v/>
      </c>
      <c r="AC236" t="str">
        <f>+IFERROR(VLOOKUP(AC37,IN_Zugliste!$A$4:$E$2002,5,FALSE),"")</f>
        <v/>
      </c>
      <c r="AD236" t="str">
        <f>+IFERROR(VLOOKUP(AD37,IN_Zugliste!$A$4:$E$2002,5,FALSE),"")</f>
        <v/>
      </c>
      <c r="AE236" t="str">
        <f>+IFERROR(VLOOKUP(AE37,IN_Zugliste!$A$4:$E$2002,5,FALSE),"")</f>
        <v/>
      </c>
      <c r="AF236" t="str">
        <f>+IFERROR(VLOOKUP(AF37,IN_Zugliste!$A$4:$E$2002,5,FALSE),"")</f>
        <v/>
      </c>
      <c r="AG236" t="str">
        <f>+IFERROR(VLOOKUP(AG37,IN_Zugliste!$A$4:$E$2002,5,FALSE),"")</f>
        <v/>
      </c>
      <c r="AH236" t="str">
        <f>+IFERROR(VLOOKUP(AH37,IN_Zugliste!$A$4:$E$2002,5,FALSE),"")</f>
        <v/>
      </c>
      <c r="AI236" t="str">
        <f>+IFERROR(VLOOKUP(AI37,IN_Zugliste!$A$4:$E$2002,5,FALSE),"")</f>
        <v/>
      </c>
      <c r="AJ236" t="str">
        <f>+IFERROR(VLOOKUP(AJ37,IN_Zugliste!$A$4:$E$2002,5,FALSE),"")</f>
        <v/>
      </c>
      <c r="AK236" t="str">
        <f>+IFERROR(VLOOKUP(AK37,IN_Zugliste!$A$4:$E$2002,5,FALSE),"")</f>
        <v/>
      </c>
      <c r="AL236" t="str">
        <f>+IFERROR(VLOOKUP(AL37,IN_Zugliste!$A$4:$E$2002,5,FALSE),"")</f>
        <v/>
      </c>
      <c r="AM236" t="str">
        <f>+IFERROR(VLOOKUP(AM37,IN_Zugliste!$A$4:$E$2002,5,FALSE),"")</f>
        <v/>
      </c>
      <c r="AN236" t="str">
        <f>+IFERROR(VLOOKUP(AN37,IN_Zugliste!$A$4:$E$2002,5,FALSE),"")</f>
        <v/>
      </c>
      <c r="AO236" t="str">
        <f>+IFERROR(VLOOKUP(AO37,IN_Zugliste!$A$4:$E$2002,5,FALSE),"")</f>
        <v/>
      </c>
      <c r="AP236" t="str">
        <f>+IFERROR(VLOOKUP(AP37,IN_Zugliste!$A$4:$E$2002,5,FALSE),"")</f>
        <v/>
      </c>
      <c r="AQ236" t="str">
        <f>+IFERROR(VLOOKUP(AQ37,IN_Zugliste!$A$4:$E$2002,5,FALSE),"")</f>
        <v/>
      </c>
      <c r="AR236" t="str">
        <f>+IFERROR(VLOOKUP(AR37,IN_Zugliste!$A$4:$E$2002,5,FALSE),"")</f>
        <v/>
      </c>
      <c r="AS236" t="str">
        <f>+IFERROR(VLOOKUP(AS37,IN_Zugliste!$A$4:$E$2002,5,FALSE),"")</f>
        <v/>
      </c>
      <c r="AT236" t="str">
        <f>+IFERROR(VLOOKUP(AT37,IN_Zugliste!$A$4:$E$2002,5,FALSE),"")</f>
        <v/>
      </c>
      <c r="AU236" t="str">
        <f>+IFERROR(VLOOKUP(AU37,IN_Zugliste!$A$4:$E$2002,5,FALSE),"")</f>
        <v/>
      </c>
      <c r="AV236" t="str">
        <f>+IFERROR(VLOOKUP(AV37,IN_Zugliste!$A$4:$E$2002,5,FALSE),"")</f>
        <v/>
      </c>
      <c r="AW236" t="str">
        <f>+IFERROR(VLOOKUP(AW37,IN_Zugliste!$A$4:$E$2002,5,FALSE),"")</f>
        <v/>
      </c>
      <c r="AX236" t="str">
        <f>+IFERROR(VLOOKUP(AX37,IN_Zugliste!$A$4:$E$2002,5,FALSE),"")</f>
        <v/>
      </c>
      <c r="AY236" t="str">
        <f>+IFERROR(VLOOKUP(AY37,IN_Zugliste!$A$4:$E$2002,5,FALSE),"")</f>
        <v/>
      </c>
      <c r="AZ236" t="str">
        <f>+IFERROR(VLOOKUP(AZ37,IN_Zugliste!$A$4:$E$2002,5,FALSE),"")</f>
        <v/>
      </c>
      <c r="BA236" t="str">
        <f>+IFERROR(VLOOKUP(BA37,IN_Zugliste!$A$4:$E$2002,5,FALSE),"")</f>
        <v/>
      </c>
      <c r="BB236" t="str">
        <f>+IFERROR(VLOOKUP(BB37,IN_Zugliste!$A$4:$E$2002,5,FALSE),"")</f>
        <v/>
      </c>
      <c r="BC236" t="str">
        <f>+IFERROR(VLOOKUP(BC37,IN_Zugliste!$A$4:$E$2002,5,FALSE),"")</f>
        <v/>
      </c>
      <c r="BD236" t="str">
        <f>+IFERROR(VLOOKUP(BD37,IN_Zugliste!$A$4:$E$2002,5,FALSE),"")</f>
        <v/>
      </c>
      <c r="BE236" t="str">
        <f>+IFERROR(VLOOKUP(BE37,IN_Zugliste!$A$4:$E$2002,5,FALSE),"")</f>
        <v/>
      </c>
      <c r="BF236" t="str">
        <f>+IFERROR(VLOOKUP(BF37,IN_Zugliste!$A$4:$E$2002,5,FALSE),"")</f>
        <v/>
      </c>
      <c r="BG236" t="str">
        <f>+IFERROR(VLOOKUP(BG37,IN_Zugliste!$A$4:$E$2002,5,FALSE),"")</f>
        <v/>
      </c>
      <c r="BH236" t="str">
        <f>+IFERROR(VLOOKUP(BH37,IN_Zugliste!$A$4:$E$2002,5,FALSE),"")</f>
        <v/>
      </c>
      <c r="BI236" t="str">
        <f>+IFERROR(VLOOKUP(BI37,IN_Zugliste!$A$4:$E$2002,5,FALSE),"")</f>
        <v/>
      </c>
      <c r="BJ236" t="str">
        <f>+IFERROR(VLOOKUP(BJ37,IN_Zugliste!$A$4:$E$2002,5,FALSE),"")</f>
        <v/>
      </c>
      <c r="BK236" t="str">
        <f>+IFERROR(VLOOKUP(BK37,IN_Zugliste!$A$4:$E$2002,5,FALSE),"")</f>
        <v/>
      </c>
      <c r="BL236" t="str">
        <f>+IFERROR(VLOOKUP(BL37,IN_Zugliste!$A$4:$E$2002,5,FALSE),"")</f>
        <v/>
      </c>
      <c r="BM236" t="str">
        <f>+IFERROR(VLOOKUP(BM37,IN_Zugliste!$A$4:$E$2002,5,FALSE),"")</f>
        <v/>
      </c>
      <c r="BN236" t="str">
        <f>+IFERROR(VLOOKUP(BN37,IN_Zugliste!$A$4:$E$2002,5,FALSE),"")</f>
        <v/>
      </c>
      <c r="BO236" t="str">
        <f>+IFERROR(VLOOKUP(BO37,IN_Zugliste!$A$4:$E$2002,5,FALSE),"")</f>
        <v/>
      </c>
      <c r="BP236" t="str">
        <f>+IFERROR(VLOOKUP(BP37,IN_Zugliste!$A$4:$E$2002,5,FALSE),"")</f>
        <v/>
      </c>
      <c r="BQ236" t="str">
        <f>+IFERROR(VLOOKUP(BQ37,IN_Zugliste!$A$4:$E$2002,5,FALSE),"")</f>
        <v/>
      </c>
      <c r="BR236" t="str">
        <f>+IFERROR(VLOOKUP(BR37,IN_Zugliste!$A$4:$E$2002,5,FALSE),"")</f>
        <v/>
      </c>
      <c r="BS236" t="str">
        <f>+IFERROR(VLOOKUP(BS37,IN_Zugliste!$A$4:$E$2002,5,FALSE),"")</f>
        <v/>
      </c>
      <c r="BT236" t="str">
        <f>+IFERROR(VLOOKUP(BT37,IN_Zugliste!$A$4:$E$2002,5,FALSE),"")</f>
        <v/>
      </c>
      <c r="BU236" t="str">
        <f>+IFERROR(VLOOKUP(BU37,IN_Zugliste!$A$4:$E$2002,5,FALSE),"")</f>
        <v/>
      </c>
      <c r="BV236" t="str">
        <f>+IFERROR(VLOOKUP(BV37,IN_Zugliste!$A$4:$E$2002,5,FALSE),"")</f>
        <v/>
      </c>
      <c r="BW236" t="str">
        <f>+IFERROR(VLOOKUP(BW37,IN_Zugliste!$A$4:$E$2002,5,FALSE),"")</f>
        <v/>
      </c>
      <c r="BX236" t="str">
        <f>+IFERROR(VLOOKUP(BX37,IN_Zugliste!$A$4:$E$2002,5,FALSE),"")</f>
        <v/>
      </c>
      <c r="BY236" t="str">
        <f>+IFERROR(VLOOKUP(BY37,IN_Zugliste!$A$4:$E$2002,5,FALSE),"")</f>
        <v/>
      </c>
      <c r="BZ236" t="str">
        <f>+IFERROR(VLOOKUP(BZ37,IN_Zugliste!$A$4:$E$2002,5,FALSE),"")</f>
        <v/>
      </c>
      <c r="CA236" t="str">
        <f>+IFERROR(VLOOKUP(CA37,IN_Zugliste!$A$4:$E$2002,5,FALSE),"")</f>
        <v/>
      </c>
      <c r="CB236" t="str">
        <f>+IFERROR(VLOOKUP(CB37,IN_Zugliste!$A$4:$E$2002,5,FALSE),"")</f>
        <v/>
      </c>
      <c r="CC236" t="str">
        <f>+IFERROR(VLOOKUP(CC37,IN_Zugliste!$A$4:$E$2002,5,FALSE),"")</f>
        <v/>
      </c>
      <c r="CD236" t="str">
        <f>+IFERROR(VLOOKUP(CD37,IN_Zugliste!$A$4:$E$2002,5,FALSE),"")</f>
        <v/>
      </c>
      <c r="CE236" t="str">
        <f>+IFERROR(VLOOKUP(CE37,IN_Zugliste!$A$4:$E$2002,5,FALSE),"")</f>
        <v/>
      </c>
      <c r="CF236" t="str">
        <f>+IFERROR(VLOOKUP(CF37,IN_Zugliste!$A$4:$E$2002,5,FALSE),"")</f>
        <v/>
      </c>
      <c r="CG236" t="str">
        <f>+IFERROR(VLOOKUP(CG37,IN_Zugliste!$A$4:$E$2002,5,FALSE),"")</f>
        <v/>
      </c>
      <c r="CH236" t="str">
        <f>+IFERROR(VLOOKUP(CH37,IN_Zugliste!$A$4:$E$2002,5,FALSE),"")</f>
        <v/>
      </c>
      <c r="CI236" t="str">
        <f>+IFERROR(VLOOKUP(CI37,IN_Zugliste!$A$4:$E$2002,5,FALSE),"")</f>
        <v/>
      </c>
      <c r="CJ236" t="str">
        <f>+IFERROR(VLOOKUP(CJ37,IN_Zugliste!$A$4:$E$2002,5,FALSE),"")</f>
        <v/>
      </c>
      <c r="CK236" t="str">
        <f>+IFERROR(VLOOKUP(CK37,IN_Zugliste!$A$4:$E$2002,5,FALSE),"")</f>
        <v/>
      </c>
      <c r="CL236" t="str">
        <f>+IFERROR(VLOOKUP(CL37,IN_Zugliste!$A$4:$E$2002,5,FALSE),"")</f>
        <v/>
      </c>
      <c r="CM236" t="str">
        <f>+IFERROR(VLOOKUP(CM37,IN_Zugliste!$A$4:$E$2002,5,FALSE),"")</f>
        <v/>
      </c>
      <c r="CN236" t="str">
        <f>+IFERROR(VLOOKUP(CN37,IN_Zugliste!$A$4:$E$2002,5,FALSE),"")</f>
        <v/>
      </c>
      <c r="CO236" t="str">
        <f>+IFERROR(VLOOKUP(CO37,IN_Zugliste!$A$4:$E$2002,5,FALSE),"")</f>
        <v/>
      </c>
      <c r="CP236" t="str">
        <f>+IFERROR(VLOOKUP(CP37,IN_Zugliste!$A$4:$E$2002,5,FALSE),"")</f>
        <v/>
      </c>
      <c r="CQ236" t="str">
        <f>+IFERROR(VLOOKUP(CQ37,IN_Zugliste!$A$4:$E$2002,5,FALSE),"")</f>
        <v/>
      </c>
      <c r="CR236" t="str">
        <f>+IFERROR(VLOOKUP(CR37,IN_Zugliste!$A$4:$E$2002,5,FALSE),"")</f>
        <v/>
      </c>
      <c r="CS236" t="str">
        <f>+IFERROR(VLOOKUP(CS37,IN_Zugliste!$A$4:$E$2002,5,FALSE),"")</f>
        <v/>
      </c>
      <c r="CT236" t="str">
        <f>+IFERROR(VLOOKUP(CT37,IN_Zugliste!$A$4:$E$2002,5,FALSE),"")</f>
        <v/>
      </c>
      <c r="CU236" t="str">
        <f>+IFERROR(VLOOKUP(CU37,IN_Zugliste!$A$4:$E$2002,5,FALSE),"")</f>
        <v/>
      </c>
      <c r="CV236" t="str">
        <f>+IFERROR(VLOOKUP(CV37,IN_Zugliste!$A$4:$E$2002,5,FALSE),"")</f>
        <v/>
      </c>
      <c r="CW236" t="str">
        <f>+IFERROR(VLOOKUP(CW37,IN_Zugliste!$A$4:$E$2002,5,FALSE),"")</f>
        <v/>
      </c>
      <c r="CX236" t="str">
        <f>+IFERROR(VLOOKUP(CX37,IN_Zugliste!$A$4:$E$2002,5,FALSE),"")</f>
        <v/>
      </c>
      <c r="CY236" t="str">
        <f>+IFERROR(VLOOKUP(CY37,IN_Zugliste!$A$4:$E$2002,5,FALSE),"")</f>
        <v/>
      </c>
      <c r="CZ236" t="str">
        <f>+IFERROR(VLOOKUP(CZ37,IN_Zugliste!$A$4:$E$2002,5,FALSE),"")</f>
        <v/>
      </c>
      <c r="DA236" t="str">
        <f>+IFERROR(VLOOKUP(DA37,IN_Zugliste!$A$4:$E$2002,5,FALSE),"")</f>
        <v/>
      </c>
      <c r="DB236" t="str">
        <f>+IFERROR(VLOOKUP(DB37,IN_Zugliste!$A$4:$E$2002,5,FALSE),"")</f>
        <v/>
      </c>
      <c r="DC236" t="str">
        <f>+IFERROR(VLOOKUP(DC37,IN_Zugliste!$A$4:$E$2002,5,FALSE),"")</f>
        <v/>
      </c>
      <c r="DD236" t="str">
        <f>+IFERROR(VLOOKUP(DD37,IN_Zugliste!$A$4:$E$2002,5,FALSE),"")</f>
        <v/>
      </c>
      <c r="DE236" t="str">
        <f>+IFERROR(VLOOKUP(DE37,IN_Zugliste!$A$4:$E$2002,5,FALSE),"")</f>
        <v/>
      </c>
      <c r="DF236" t="str">
        <f>+IFERROR(VLOOKUP(DF37,IN_Zugliste!$A$4:$E$2002,5,FALSE),"")</f>
        <v/>
      </c>
      <c r="DG236" t="str">
        <f>+IFERROR(VLOOKUP(DG37,IN_Zugliste!$A$4:$E$2002,5,FALSE),"")</f>
        <v/>
      </c>
      <c r="DH236" t="str">
        <f>+IFERROR(VLOOKUP(DH37,IN_Zugliste!$A$4:$E$2002,5,FALSE),"")</f>
        <v/>
      </c>
      <c r="DI236" t="str">
        <f>+IFERROR(VLOOKUP(DI37,IN_Zugliste!$A$4:$E$2002,5,FALSE),"")</f>
        <v/>
      </c>
      <c r="DJ236" t="str">
        <f>+IFERROR(VLOOKUP(DJ37,IN_Zugliste!$A$4:$E$2002,5,FALSE),"")</f>
        <v/>
      </c>
      <c r="DK236" t="str">
        <f>+IFERROR(VLOOKUP(DK37,IN_Zugliste!$A$4:$E$2002,5,FALSE),"")</f>
        <v/>
      </c>
      <c r="DL236" t="str">
        <f>+IFERROR(VLOOKUP(DL37,IN_Zugliste!$A$4:$E$2002,5,FALSE),"")</f>
        <v/>
      </c>
      <c r="DM236" t="str">
        <f>+IFERROR(VLOOKUP(DM37,IN_Zugliste!$A$4:$E$2002,5,FALSE),"")</f>
        <v/>
      </c>
      <c r="DN236" t="str">
        <f>+IFERROR(VLOOKUP(DN37,IN_Zugliste!$A$4:$E$2002,5,FALSE),"")</f>
        <v/>
      </c>
      <c r="DO236" t="str">
        <f>+IFERROR(VLOOKUP(DO37,IN_Zugliste!$A$4:$E$2002,5,FALSE),"")</f>
        <v/>
      </c>
      <c r="DP236" t="str">
        <f>+IFERROR(VLOOKUP(DP37,IN_Zugliste!$A$4:$E$2002,5,FALSE),"")</f>
        <v/>
      </c>
      <c r="DQ236" t="str">
        <f>+IFERROR(VLOOKUP(DQ37,IN_Zugliste!$A$4:$E$2002,5,FALSE),"")</f>
        <v/>
      </c>
      <c r="DR236" t="str">
        <f>+IFERROR(VLOOKUP(DR37,IN_Zugliste!$A$4:$E$2002,5,FALSE),"")</f>
        <v/>
      </c>
      <c r="DS236" t="str">
        <f>+IFERROR(VLOOKUP(DS37,IN_Zugliste!$A$4:$E$2002,5,FALSE),"")</f>
        <v/>
      </c>
      <c r="DT236" t="str">
        <f>+IFERROR(VLOOKUP(DT37,IN_Zugliste!$A$4:$E$2002,5,FALSE),"")</f>
        <v/>
      </c>
      <c r="DU236" t="str">
        <f>+IFERROR(VLOOKUP(DU37,IN_Zugliste!$A$4:$E$2002,5,FALSE),"")</f>
        <v/>
      </c>
      <c r="DV236" t="str">
        <f>+IFERROR(VLOOKUP(DV37,IN_Zugliste!$A$4:$E$2002,5,FALSE),"")</f>
        <v/>
      </c>
      <c r="DW236" t="str">
        <f>+IFERROR(VLOOKUP(DW37,IN_Zugliste!$A$4:$E$2002,5,FALSE),"")</f>
        <v/>
      </c>
      <c r="DX236" t="str">
        <f>+IFERROR(VLOOKUP(DX37,IN_Zugliste!$A$4:$E$2002,5,FALSE),"")</f>
        <v/>
      </c>
      <c r="DY236" t="str">
        <f>+IFERROR(VLOOKUP(DY37,IN_Zugliste!$A$4:$E$2002,5,FALSE),"")</f>
        <v/>
      </c>
      <c r="DZ236" t="str">
        <f>+IFERROR(VLOOKUP(DZ37,IN_Zugliste!$A$4:$E$2002,5,FALSE),"")</f>
        <v/>
      </c>
      <c r="EA236" t="str">
        <f>+IFERROR(VLOOKUP(EA37,IN_Zugliste!$A$4:$E$2002,5,FALSE),"")</f>
        <v/>
      </c>
      <c r="EB236" t="str">
        <f>+IFERROR(VLOOKUP(EB37,IN_Zugliste!$A$4:$E$2002,5,FALSE),"")</f>
        <v/>
      </c>
      <c r="EC236" t="str">
        <f>+IFERROR(VLOOKUP(EC37,IN_Zugliste!$A$4:$E$2002,5,FALSE),"")</f>
        <v/>
      </c>
      <c r="ED236" t="str">
        <f>+IFERROR(VLOOKUP(ED37,IN_Zugliste!$A$4:$E$2002,5,FALSE),"")</f>
        <v/>
      </c>
      <c r="EE236" t="str">
        <f>+IFERROR(VLOOKUP(EE37,IN_Zugliste!$A$4:$E$2002,5,FALSE),"")</f>
        <v/>
      </c>
      <c r="EF236" t="str">
        <f>+IFERROR(VLOOKUP(EF37,IN_Zugliste!$A$4:$E$2002,5,FALSE),"")</f>
        <v/>
      </c>
      <c r="EG236" t="str">
        <f>+IFERROR(VLOOKUP(EG37,IN_Zugliste!$A$4:$E$2002,5,FALSE),"")</f>
        <v/>
      </c>
      <c r="EH236" t="str">
        <f>+IFERROR(VLOOKUP(EH37,IN_Zugliste!$A$4:$E$2002,5,FALSE),"")</f>
        <v/>
      </c>
      <c r="EI236" t="str">
        <f>+IFERROR(VLOOKUP(EI37,IN_Zugliste!$A$4:$E$2002,5,FALSE),"")</f>
        <v/>
      </c>
      <c r="EJ236" t="str">
        <f>+IFERROR(VLOOKUP(EJ37,IN_Zugliste!$A$4:$E$2002,5,FALSE),"")</f>
        <v/>
      </c>
      <c r="EK236" t="str">
        <f>+IFERROR(VLOOKUP(EK37,IN_Zugliste!$A$4:$E$2002,5,FALSE),"")</f>
        <v/>
      </c>
      <c r="EL236" t="str">
        <f>+IFERROR(VLOOKUP(EL37,IN_Zugliste!$A$4:$E$2002,5,FALSE),"")</f>
        <v/>
      </c>
      <c r="EM236" t="str">
        <f>+IFERROR(VLOOKUP(EM37,IN_Zugliste!$A$4:$E$2002,5,FALSE),"")</f>
        <v/>
      </c>
      <c r="EN236" t="str">
        <f>+IFERROR(VLOOKUP(EN37,IN_Zugliste!$A$4:$E$2002,5,FALSE),"")</f>
        <v/>
      </c>
      <c r="EO236" t="str">
        <f>+IFERROR(VLOOKUP(EO37,IN_Zugliste!$A$4:$E$2002,5,FALSE),"")</f>
        <v/>
      </c>
      <c r="EP236" t="str">
        <f>+IFERROR(VLOOKUP(EP37,IN_Zugliste!$A$4:$E$2002,5,FALSE),"")</f>
        <v/>
      </c>
      <c r="EQ236" t="str">
        <f>+IFERROR(VLOOKUP(EQ37,IN_Zugliste!$A$4:$E$2002,5,FALSE),"")</f>
        <v/>
      </c>
      <c r="ER236" t="str">
        <f>+IFERROR(VLOOKUP(ER37,IN_Zugliste!$A$4:$E$2002,5,FALSE),"")</f>
        <v/>
      </c>
      <c r="ES236" t="str">
        <f>+IFERROR(VLOOKUP(ES37,IN_Zugliste!$A$4:$E$2002,5,FALSE),"")</f>
        <v/>
      </c>
      <c r="ET236" t="str">
        <f>+IFERROR(VLOOKUP(ET37,IN_Zugliste!$A$4:$E$2002,5,FALSE),"")</f>
        <v/>
      </c>
      <c r="EU236" t="str">
        <f>+IFERROR(VLOOKUP(EU37,IN_Zugliste!$A$4:$E$2002,5,FALSE),"")</f>
        <v/>
      </c>
      <c r="EV236" t="str">
        <f>+IFERROR(VLOOKUP(EV37,IN_Zugliste!$A$4:$E$2002,5,FALSE),"")</f>
        <v/>
      </c>
      <c r="EW236" t="str">
        <f>+IFERROR(VLOOKUP(EW37,IN_Zugliste!$A$4:$E$2002,5,FALSE),"")</f>
        <v/>
      </c>
      <c r="EX236" t="str">
        <f>+IFERROR(VLOOKUP(EX37,IN_Zugliste!$A$4:$E$2002,5,FALSE),"")</f>
        <v/>
      </c>
      <c r="EY236" t="str">
        <f>+IFERROR(VLOOKUP(EY37,IN_Zugliste!$A$4:$E$2002,5,FALSE),"")</f>
        <v/>
      </c>
      <c r="EZ236" t="str">
        <f>+IFERROR(VLOOKUP(EZ37,IN_Zugliste!$A$4:$E$2002,5,FALSE),"")</f>
        <v/>
      </c>
      <c r="FA236" t="str">
        <f>+IFERROR(VLOOKUP(FA37,IN_Zugliste!$A$4:$E$2002,5,FALSE),"")</f>
        <v/>
      </c>
      <c r="FB236" t="str">
        <f>+IFERROR(VLOOKUP(FB37,IN_Zugliste!$A$4:$E$2002,5,FALSE),"")</f>
        <v/>
      </c>
      <c r="FC236" t="str">
        <f>+IFERROR(VLOOKUP(FC37,IN_Zugliste!$A$4:$E$2002,5,FALSE),"")</f>
        <v/>
      </c>
      <c r="FD236" t="str">
        <f>+IFERROR(VLOOKUP(FD37,IN_Zugliste!$A$4:$E$2002,5,FALSE),"")</f>
        <v/>
      </c>
      <c r="FE236" t="str">
        <f>+IFERROR(VLOOKUP(FE37,IN_Zugliste!$A$4:$E$2002,5,FALSE),"")</f>
        <v/>
      </c>
      <c r="FF236" t="str">
        <f>+IFERROR(VLOOKUP(FF37,IN_Zugliste!$A$4:$E$2002,5,FALSE),"")</f>
        <v/>
      </c>
      <c r="FG236" t="str">
        <f>+IFERROR(VLOOKUP(FG37,IN_Zugliste!$A$4:$E$2002,5,FALSE),"")</f>
        <v/>
      </c>
      <c r="FH236" t="str">
        <f>+IFERROR(VLOOKUP(FH37,IN_Zugliste!$A$4:$E$2002,5,FALSE),"")</f>
        <v/>
      </c>
      <c r="FI236" t="str">
        <f>+IFERROR(VLOOKUP(FI37,IN_Zugliste!$A$4:$E$2002,5,FALSE),"")</f>
        <v/>
      </c>
      <c r="FJ236" t="str">
        <f>+IFERROR(VLOOKUP(FJ37,IN_Zugliste!$A$4:$E$2002,5,FALSE),"")</f>
        <v/>
      </c>
      <c r="FK236" t="str">
        <f>+IFERROR(VLOOKUP(FK37,IN_Zugliste!$A$4:$E$2002,5,FALSE),"")</f>
        <v/>
      </c>
      <c r="FL236" t="str">
        <f>+IFERROR(VLOOKUP(FL37,IN_Zugliste!$A$4:$E$2002,5,FALSE),"")</f>
        <v/>
      </c>
      <c r="FM236" t="str">
        <f>+IFERROR(VLOOKUP(FM37,IN_Zugliste!$A$4:$D$2002,5,FALSE),"")</f>
        <v/>
      </c>
      <c r="FN236" t="str">
        <f>+IFERROR(VLOOKUP(FN37,IN_Zugliste!$A$4:$D$2002,5,FALSE),"")</f>
        <v/>
      </c>
      <c r="FO236" t="str">
        <f>+IFERROR(VLOOKUP(FO37,IN_Zugliste!$A$4:$D$2002,5,FALSE),"")</f>
        <v/>
      </c>
      <c r="FP236" t="str">
        <f>+IFERROR(VLOOKUP(FP37,IN_Zugliste!$A$4:$D$2002,5,FALSE),"")</f>
        <v/>
      </c>
      <c r="FQ236" t="str">
        <f>+IFERROR(VLOOKUP(FQ37,IN_Zugliste!$A$4:$D$2002,5,FALSE),"")</f>
        <v/>
      </c>
      <c r="FR236" t="str">
        <f>+IFERROR(VLOOKUP(FR37,IN_Zugliste!$A$4:$D$2002,5,FALSE),"")</f>
        <v/>
      </c>
      <c r="FS236" t="str">
        <f>+IFERROR(VLOOKUP(FS37,IN_Zugliste!$A$4:$D$2002,5,FALSE),"")</f>
        <v/>
      </c>
      <c r="FT236" t="str">
        <f>+IFERROR(VLOOKUP(FT37,IN_Zugliste!$A$4:$D$2002,5,FALSE),"")</f>
        <v/>
      </c>
      <c r="FU236" t="str">
        <f>+IFERROR(VLOOKUP(FU37,IN_Zugliste!$A$4:$D$2002,5,FALSE),"")</f>
        <v/>
      </c>
      <c r="FV236" t="str">
        <f>+IFERROR(VLOOKUP(FV37,IN_Zugliste!$A$4:$D$2002,5,FALSE),"")</f>
        <v/>
      </c>
      <c r="FW236" t="str">
        <f>+IFERROR(VLOOKUP(FW37,IN_Zugliste!$A$4:$D$2002,5,FALSE),"")</f>
        <v/>
      </c>
      <c r="FX236" t="str">
        <f>+IFERROR(VLOOKUP(FX37,IN_Zugliste!$A$4:$D$2002,5,FALSE),"")</f>
        <v/>
      </c>
      <c r="FY236" t="str">
        <f>+IFERROR(VLOOKUP(FY37,IN_Zugliste!$A$4:$D$2002,5,FALSE),"")</f>
        <v/>
      </c>
      <c r="FZ236" t="str">
        <f>+IFERROR(VLOOKUP(FZ37,IN_Zugliste!$A$4:$D$2002,5,FALSE),"")</f>
        <v/>
      </c>
      <c r="GA236" t="str">
        <f>+IFERROR(VLOOKUP(GA37,IN_Zugliste!$A$4:$D$2002,5,FALSE),"")</f>
        <v/>
      </c>
      <c r="GB236" t="str">
        <f>+IFERROR(VLOOKUP(GB37,IN_Zugliste!$A$4:$D$2002,5,FALSE),"")</f>
        <v/>
      </c>
      <c r="GC236" t="str">
        <f>+IFERROR(VLOOKUP(GC37,IN_Zugliste!$A$4:$D$2002,5,FALSE),"")</f>
        <v/>
      </c>
      <c r="GD236" t="str">
        <f>+IFERROR(VLOOKUP(GD37,IN_Zugliste!$A$4:$D$2002,5,FALSE),"")</f>
        <v/>
      </c>
      <c r="GE236" t="str">
        <f>+IFERROR(VLOOKUP(GE37,IN_Zugliste!$A$4:$D$2002,5,FALSE),"")</f>
        <v/>
      </c>
      <c r="GF236" t="str">
        <f>+IFERROR(VLOOKUP(GF37,IN_Zugliste!$A$4:$D$2002,5,FALSE),"")</f>
        <v/>
      </c>
      <c r="GG236" t="str">
        <f>+IFERROR(VLOOKUP(GG37,IN_Zugliste!$A$4:$D$2002,5,FALSE),"")</f>
        <v/>
      </c>
      <c r="GH236" t="str">
        <f>+IFERROR(VLOOKUP(GH37,IN_Zugliste!$A$4:$D$2002,5,FALSE),"")</f>
        <v/>
      </c>
      <c r="GI236" t="str">
        <f>+IFERROR(VLOOKUP(GI37,IN_Zugliste!$A$4:$D$2002,5,FALSE),"")</f>
        <v/>
      </c>
      <c r="GJ236" t="str">
        <f>+IFERROR(VLOOKUP(GJ37,IN_Zugliste!$A$4:$D$2002,5,FALSE),"")</f>
        <v/>
      </c>
      <c r="GK236" t="str">
        <f>+IFERROR(VLOOKUP(GK37,IN_Zugliste!$A$4:$D$2002,5,FALSE),"")</f>
        <v/>
      </c>
      <c r="GL236" t="str">
        <f>+IFERROR(VLOOKUP(GL37,IN_Zugliste!$A$4:$D$2002,5,FALSE),"")</f>
        <v/>
      </c>
      <c r="GM236" t="str">
        <f>+IFERROR(VLOOKUP(GM37,IN_Zugliste!$A$4:$D$2002,5,FALSE),"")</f>
        <v/>
      </c>
      <c r="GN236" t="str">
        <f>+IFERROR(VLOOKUP(GN37,IN_Zugliste!$A$4:$D$2002,5,FALSE),"")</f>
        <v/>
      </c>
      <c r="GO236" t="str">
        <f>+IFERROR(VLOOKUP(GO37,IN_Zugliste!$A$4:$D$2002,5,FALSE),"")</f>
        <v/>
      </c>
      <c r="GP236" t="str">
        <f>+IFERROR(VLOOKUP(GP37,IN_Zugliste!$A$4:$D$2002,5,FALSE),"")</f>
        <v/>
      </c>
      <c r="GQ236" t="str">
        <f>+IFERROR(VLOOKUP(GQ37,IN_Zugliste!$A$4:$D$2002,5,FALSE),"")</f>
        <v/>
      </c>
      <c r="GR236" t="str">
        <f>+IFERROR(VLOOKUP(GR37,IN_Zugliste!$A$4:$D$2002,5,FALSE),"")</f>
        <v/>
      </c>
      <c r="GS236" t="str">
        <f>+IFERROR(VLOOKUP(GS37,IN_Zugliste!$A$4:$D$2002,5,FALSE),"")</f>
        <v/>
      </c>
      <c r="GT236" t="str">
        <f>+IFERROR(VLOOKUP(GT37,IN_Zugliste!$A$4:$D$2002,5,FALSE),"")</f>
        <v/>
      </c>
      <c r="GU236" t="str">
        <f>+IFERROR(VLOOKUP(GU37,IN_Zugliste!$A$4:$D$2002,5,FALSE),"")</f>
        <v/>
      </c>
      <c r="GV236" t="str">
        <f>+IFERROR(VLOOKUP(GV37,IN_Zugliste!$A$4:$D$2002,5,FALSE),"")</f>
        <v/>
      </c>
      <c r="GW236" t="str">
        <f>+IFERROR(VLOOKUP(GW37,IN_Zugliste!$A$4:$D$2002,5,FALSE),"")</f>
        <v/>
      </c>
      <c r="GX236" t="str">
        <f>+IFERROR(VLOOKUP(GX37,IN_Zugliste!$A$4:$D$2002,5,FALSE),"")</f>
        <v/>
      </c>
      <c r="GY236" t="str">
        <f>+IFERROR(VLOOKUP(GY37,IN_Zugliste!$A$4:$D$2002,5,FALSE),"")</f>
        <v/>
      </c>
      <c r="GZ236" t="str">
        <f>+IFERROR(VLOOKUP(GZ37,IN_Zugliste!$A$4:$D$2002,5,FALSE),"")</f>
        <v/>
      </c>
      <c r="HA236" t="str">
        <f>+IFERROR(VLOOKUP(HA37,IN_Zugliste!$A$4:$D$2002,5,FALSE),"")</f>
        <v/>
      </c>
      <c r="HB236" t="str">
        <f>+IFERROR(VLOOKUP(HB37,IN_Zugliste!$A$4:$D$2002,5,FALSE),"")</f>
        <v/>
      </c>
      <c r="HC236" t="str">
        <f>+IFERROR(VLOOKUP(HC37,IN_Zugliste!$A$4:$D$2002,5,FALSE),"")</f>
        <v/>
      </c>
      <c r="HD236" t="str">
        <f>+IFERROR(VLOOKUP(HD37,IN_Zugliste!$A$4:$D$2002,5,FALSE),"")</f>
        <v/>
      </c>
      <c r="HE236" t="str">
        <f>+IFERROR(VLOOKUP(HE37,IN_Zugliste!$A$4:$D$2002,5,FALSE),"")</f>
        <v/>
      </c>
      <c r="HF236" t="str">
        <f>+IFERROR(VLOOKUP(HF37,IN_Zugliste!$A$4:$D$2002,5,FALSE),"")</f>
        <v/>
      </c>
      <c r="HG236" t="str">
        <f>+IFERROR(VLOOKUP(HG37,IN_Zugliste!$A$4:$D$2002,5,FALSE),"")</f>
        <v/>
      </c>
      <c r="HH236" t="str">
        <f>+IFERROR(VLOOKUP(HH37,IN_Zugliste!$A$4:$D$2002,5,FALSE),"")</f>
        <v/>
      </c>
    </row>
    <row r="237" spans="1:216" x14ac:dyDescent="0.2">
      <c r="A237" t="str">
        <f>+IFERROR(VLOOKUP(A38,IN_Zugliste!$A$4:$E$2002,5,FALSE),"")</f>
        <v/>
      </c>
      <c r="B237" t="str">
        <f>+IFERROR(VLOOKUP(B38,IN_Zugliste!$A$4:$E$2002,5,FALSE),"")</f>
        <v/>
      </c>
      <c r="C237" t="str">
        <f>+IFERROR(VLOOKUP(C38,IN_Zugliste!$A$4:$E$2002,5,FALSE),"")</f>
        <v/>
      </c>
      <c r="D237" t="str">
        <f>+IFERROR(VLOOKUP(D38,IN_Zugliste!$A$4:$E$2002,5,FALSE),"")</f>
        <v/>
      </c>
      <c r="E237" t="str">
        <f>+IFERROR(VLOOKUP(E38,IN_Zugliste!$A$4:$E$2002,5,FALSE),"")</f>
        <v/>
      </c>
      <c r="F237" t="str">
        <f>+IFERROR(VLOOKUP(F38,IN_Zugliste!$A$4:$E$2002,5,FALSE),"")</f>
        <v/>
      </c>
      <c r="G237" t="str">
        <f>+IFERROR(VLOOKUP(G38,IN_Zugliste!$A$4:$E$2002,5,FALSE),"")</f>
        <v/>
      </c>
      <c r="H237" t="str">
        <f>+IFERROR(VLOOKUP(H38,IN_Zugliste!$A$4:$E$2002,5,FALSE),"")</f>
        <v/>
      </c>
      <c r="I237" t="str">
        <f>+IFERROR(VLOOKUP(I38,IN_Zugliste!$A$4:$E$2002,5,FALSE),"")</f>
        <v/>
      </c>
      <c r="J237" t="str">
        <f>+IFERROR(VLOOKUP(J38,IN_Zugliste!$A$4:$E$2002,5,FALSE),"")</f>
        <v/>
      </c>
      <c r="K237" t="str">
        <f>+IFERROR(VLOOKUP(K38,IN_Zugliste!$A$4:$E$2002,5,FALSE),"")</f>
        <v/>
      </c>
      <c r="L237" t="str">
        <f>+IFERROR(VLOOKUP(L38,IN_Zugliste!$A$4:$E$2002,5,FALSE),"")</f>
        <v/>
      </c>
      <c r="M237" t="str">
        <f>+IFERROR(VLOOKUP(M38,IN_Zugliste!$A$4:$E$2002,5,FALSE),"")</f>
        <v/>
      </c>
      <c r="N237" t="str">
        <f>+IFERROR(VLOOKUP(N38,IN_Zugliste!$A$4:$E$2002,5,FALSE),"")</f>
        <v/>
      </c>
      <c r="O237" t="str">
        <f>+IFERROR(VLOOKUP(O38,IN_Zugliste!$A$4:$E$2002,5,FALSE),"")</f>
        <v/>
      </c>
      <c r="P237" t="str">
        <f>+IFERROR(VLOOKUP(P38,IN_Zugliste!$A$4:$E$2002,5,FALSE),"")</f>
        <v/>
      </c>
      <c r="Q237" t="str">
        <f>+IFERROR(VLOOKUP(Q38,IN_Zugliste!$A$4:$E$2002,5,FALSE),"")</f>
        <v/>
      </c>
      <c r="R237" t="str">
        <f>+IFERROR(VLOOKUP(R38,IN_Zugliste!$A$4:$E$2002,5,FALSE),"")</f>
        <v/>
      </c>
      <c r="S237" t="str">
        <f>+IFERROR(VLOOKUP(S38,IN_Zugliste!$A$4:$E$2002,5,FALSE),"")</f>
        <v/>
      </c>
      <c r="T237" t="str">
        <f>+IFERROR(VLOOKUP(T38,IN_Zugliste!$A$4:$E$2002,5,FALSE),"")</f>
        <v/>
      </c>
      <c r="U237" t="str">
        <f>+IFERROR(VLOOKUP(U38,IN_Zugliste!$A$4:$E$2002,5,FALSE),"")</f>
        <v/>
      </c>
      <c r="V237" t="str">
        <f>+IFERROR(VLOOKUP(V38,IN_Zugliste!$A$4:$E$2002,5,FALSE),"")</f>
        <v/>
      </c>
      <c r="W237" t="str">
        <f>+IFERROR(VLOOKUP(W38,IN_Zugliste!$A$4:$E$2002,5,FALSE),"")</f>
        <v/>
      </c>
      <c r="X237" t="str">
        <f>+IFERROR(VLOOKUP(X38,IN_Zugliste!$A$4:$E$2002,5,FALSE),"")</f>
        <v/>
      </c>
      <c r="Y237" t="str">
        <f>+IFERROR(VLOOKUP(Y38,IN_Zugliste!$A$4:$E$2002,5,FALSE),"")</f>
        <v/>
      </c>
      <c r="Z237" t="str">
        <f>+IFERROR(VLOOKUP(Z38,IN_Zugliste!$A$4:$E$2002,5,FALSE),"")</f>
        <v/>
      </c>
      <c r="AA237" t="str">
        <f>+IFERROR(VLOOKUP(AA38,IN_Zugliste!$A$4:$E$2002,5,FALSE),"")</f>
        <v/>
      </c>
      <c r="AB237" t="str">
        <f>+IFERROR(VLOOKUP(AB38,IN_Zugliste!$A$4:$E$2002,5,FALSE),"")</f>
        <v/>
      </c>
      <c r="AC237" t="str">
        <f>+IFERROR(VLOOKUP(AC38,IN_Zugliste!$A$4:$E$2002,5,FALSE),"")</f>
        <v/>
      </c>
      <c r="AD237" t="str">
        <f>+IFERROR(VLOOKUP(AD38,IN_Zugliste!$A$4:$E$2002,5,FALSE),"")</f>
        <v/>
      </c>
      <c r="AE237" t="str">
        <f>+IFERROR(VLOOKUP(AE38,IN_Zugliste!$A$4:$E$2002,5,FALSE),"")</f>
        <v/>
      </c>
      <c r="AF237" t="str">
        <f>+IFERROR(VLOOKUP(AF38,IN_Zugliste!$A$4:$E$2002,5,FALSE),"")</f>
        <v/>
      </c>
      <c r="AG237" t="str">
        <f>+IFERROR(VLOOKUP(AG38,IN_Zugliste!$A$4:$E$2002,5,FALSE),"")</f>
        <v/>
      </c>
      <c r="AH237" t="str">
        <f>+IFERROR(VLOOKUP(AH38,IN_Zugliste!$A$4:$E$2002,5,FALSE),"")</f>
        <v/>
      </c>
      <c r="AI237" t="str">
        <f>+IFERROR(VLOOKUP(AI38,IN_Zugliste!$A$4:$E$2002,5,FALSE),"")</f>
        <v/>
      </c>
      <c r="AJ237" t="str">
        <f>+IFERROR(VLOOKUP(AJ38,IN_Zugliste!$A$4:$E$2002,5,FALSE),"")</f>
        <v/>
      </c>
      <c r="AK237" t="str">
        <f>+IFERROR(VLOOKUP(AK38,IN_Zugliste!$A$4:$E$2002,5,FALSE),"")</f>
        <v/>
      </c>
      <c r="AL237" t="str">
        <f>+IFERROR(VLOOKUP(AL38,IN_Zugliste!$A$4:$E$2002,5,FALSE),"")</f>
        <v/>
      </c>
      <c r="AM237" t="str">
        <f>+IFERROR(VLOOKUP(AM38,IN_Zugliste!$A$4:$E$2002,5,FALSE),"")</f>
        <v/>
      </c>
      <c r="AN237" t="str">
        <f>+IFERROR(VLOOKUP(AN38,IN_Zugliste!$A$4:$E$2002,5,FALSE),"")</f>
        <v/>
      </c>
      <c r="AO237" t="str">
        <f>+IFERROR(VLOOKUP(AO38,IN_Zugliste!$A$4:$E$2002,5,FALSE),"")</f>
        <v/>
      </c>
      <c r="AP237" t="str">
        <f>+IFERROR(VLOOKUP(AP38,IN_Zugliste!$A$4:$E$2002,5,FALSE),"")</f>
        <v/>
      </c>
      <c r="AQ237" t="str">
        <f>+IFERROR(VLOOKUP(AQ38,IN_Zugliste!$A$4:$E$2002,5,FALSE),"")</f>
        <v/>
      </c>
      <c r="AR237" t="str">
        <f>+IFERROR(VLOOKUP(AR38,IN_Zugliste!$A$4:$E$2002,5,FALSE),"")</f>
        <v/>
      </c>
      <c r="AS237" t="str">
        <f>+IFERROR(VLOOKUP(AS38,IN_Zugliste!$A$4:$E$2002,5,FALSE),"")</f>
        <v/>
      </c>
      <c r="AT237" t="str">
        <f>+IFERROR(VLOOKUP(AT38,IN_Zugliste!$A$4:$E$2002,5,FALSE),"")</f>
        <v/>
      </c>
      <c r="AU237" t="str">
        <f>+IFERROR(VLOOKUP(AU38,IN_Zugliste!$A$4:$E$2002,5,FALSE),"")</f>
        <v/>
      </c>
      <c r="AV237" t="str">
        <f>+IFERROR(VLOOKUP(AV38,IN_Zugliste!$A$4:$E$2002,5,FALSE),"")</f>
        <v/>
      </c>
      <c r="AW237" t="str">
        <f>+IFERROR(VLOOKUP(AW38,IN_Zugliste!$A$4:$E$2002,5,FALSE),"")</f>
        <v/>
      </c>
      <c r="AX237" t="str">
        <f>+IFERROR(VLOOKUP(AX38,IN_Zugliste!$A$4:$E$2002,5,FALSE),"")</f>
        <v/>
      </c>
      <c r="AY237" t="str">
        <f>+IFERROR(VLOOKUP(AY38,IN_Zugliste!$A$4:$E$2002,5,FALSE),"")</f>
        <v/>
      </c>
      <c r="AZ237" t="str">
        <f>+IFERROR(VLOOKUP(AZ38,IN_Zugliste!$A$4:$E$2002,5,FALSE),"")</f>
        <v/>
      </c>
      <c r="BA237" t="str">
        <f>+IFERROR(VLOOKUP(BA38,IN_Zugliste!$A$4:$E$2002,5,FALSE),"")</f>
        <v/>
      </c>
      <c r="BB237" t="str">
        <f>+IFERROR(VLOOKUP(BB38,IN_Zugliste!$A$4:$E$2002,5,FALSE),"")</f>
        <v/>
      </c>
      <c r="BC237" t="str">
        <f>+IFERROR(VLOOKUP(BC38,IN_Zugliste!$A$4:$E$2002,5,FALSE),"")</f>
        <v/>
      </c>
      <c r="BD237" t="str">
        <f>+IFERROR(VLOOKUP(BD38,IN_Zugliste!$A$4:$E$2002,5,FALSE),"")</f>
        <v/>
      </c>
      <c r="BE237" t="str">
        <f>+IFERROR(VLOOKUP(BE38,IN_Zugliste!$A$4:$E$2002,5,FALSE),"")</f>
        <v/>
      </c>
      <c r="BF237" t="str">
        <f>+IFERROR(VLOOKUP(BF38,IN_Zugliste!$A$4:$E$2002,5,FALSE),"")</f>
        <v/>
      </c>
      <c r="BG237" t="str">
        <f>+IFERROR(VLOOKUP(BG38,IN_Zugliste!$A$4:$E$2002,5,FALSE),"")</f>
        <v/>
      </c>
      <c r="BH237" t="str">
        <f>+IFERROR(VLOOKUP(BH38,IN_Zugliste!$A$4:$E$2002,5,FALSE),"")</f>
        <v/>
      </c>
      <c r="BI237" t="str">
        <f>+IFERROR(VLOOKUP(BI38,IN_Zugliste!$A$4:$E$2002,5,FALSE),"")</f>
        <v/>
      </c>
      <c r="BJ237" t="str">
        <f>+IFERROR(VLOOKUP(BJ38,IN_Zugliste!$A$4:$E$2002,5,FALSE),"")</f>
        <v/>
      </c>
      <c r="BK237" t="str">
        <f>+IFERROR(VLOOKUP(BK38,IN_Zugliste!$A$4:$E$2002,5,FALSE),"")</f>
        <v/>
      </c>
      <c r="BL237" t="str">
        <f>+IFERROR(VLOOKUP(BL38,IN_Zugliste!$A$4:$E$2002,5,FALSE),"")</f>
        <v/>
      </c>
      <c r="BM237" t="str">
        <f>+IFERROR(VLOOKUP(BM38,IN_Zugliste!$A$4:$E$2002,5,FALSE),"")</f>
        <v/>
      </c>
      <c r="BN237" t="str">
        <f>+IFERROR(VLOOKUP(BN38,IN_Zugliste!$A$4:$E$2002,5,FALSE),"")</f>
        <v/>
      </c>
      <c r="BO237" t="str">
        <f>+IFERROR(VLOOKUP(BO38,IN_Zugliste!$A$4:$E$2002,5,FALSE),"")</f>
        <v/>
      </c>
      <c r="BP237" t="str">
        <f>+IFERROR(VLOOKUP(BP38,IN_Zugliste!$A$4:$E$2002,5,FALSE),"")</f>
        <v/>
      </c>
      <c r="BQ237" t="str">
        <f>+IFERROR(VLOOKUP(BQ38,IN_Zugliste!$A$4:$E$2002,5,FALSE),"")</f>
        <v/>
      </c>
      <c r="BR237" t="str">
        <f>+IFERROR(VLOOKUP(BR38,IN_Zugliste!$A$4:$E$2002,5,FALSE),"")</f>
        <v/>
      </c>
      <c r="BS237" t="str">
        <f>+IFERROR(VLOOKUP(BS38,IN_Zugliste!$A$4:$E$2002,5,FALSE),"")</f>
        <v/>
      </c>
      <c r="BT237" t="str">
        <f>+IFERROR(VLOOKUP(BT38,IN_Zugliste!$A$4:$E$2002,5,FALSE),"")</f>
        <v/>
      </c>
      <c r="BU237" t="str">
        <f>+IFERROR(VLOOKUP(BU38,IN_Zugliste!$A$4:$E$2002,5,FALSE),"")</f>
        <v/>
      </c>
      <c r="BV237" t="str">
        <f>+IFERROR(VLOOKUP(BV38,IN_Zugliste!$A$4:$E$2002,5,FALSE),"")</f>
        <v/>
      </c>
      <c r="BW237" t="str">
        <f>+IFERROR(VLOOKUP(BW38,IN_Zugliste!$A$4:$E$2002,5,FALSE),"")</f>
        <v/>
      </c>
      <c r="BX237" t="str">
        <f>+IFERROR(VLOOKUP(BX38,IN_Zugliste!$A$4:$E$2002,5,FALSE),"")</f>
        <v/>
      </c>
      <c r="BY237" t="str">
        <f>+IFERROR(VLOOKUP(BY38,IN_Zugliste!$A$4:$E$2002,5,FALSE),"")</f>
        <v/>
      </c>
      <c r="BZ237" t="str">
        <f>+IFERROR(VLOOKUP(BZ38,IN_Zugliste!$A$4:$E$2002,5,FALSE),"")</f>
        <v/>
      </c>
      <c r="CA237" t="str">
        <f>+IFERROR(VLOOKUP(CA38,IN_Zugliste!$A$4:$E$2002,5,FALSE),"")</f>
        <v/>
      </c>
      <c r="CB237" t="str">
        <f>+IFERROR(VLOOKUP(CB38,IN_Zugliste!$A$4:$E$2002,5,FALSE),"")</f>
        <v/>
      </c>
      <c r="CC237" t="str">
        <f>+IFERROR(VLOOKUP(CC38,IN_Zugliste!$A$4:$E$2002,5,FALSE),"")</f>
        <v/>
      </c>
      <c r="CD237" t="str">
        <f>+IFERROR(VLOOKUP(CD38,IN_Zugliste!$A$4:$E$2002,5,FALSE),"")</f>
        <v/>
      </c>
      <c r="CE237" t="str">
        <f>+IFERROR(VLOOKUP(CE38,IN_Zugliste!$A$4:$E$2002,5,FALSE),"")</f>
        <v/>
      </c>
      <c r="CF237" t="str">
        <f>+IFERROR(VLOOKUP(CF38,IN_Zugliste!$A$4:$E$2002,5,FALSE),"")</f>
        <v/>
      </c>
      <c r="CG237" t="str">
        <f>+IFERROR(VLOOKUP(CG38,IN_Zugliste!$A$4:$E$2002,5,FALSE),"")</f>
        <v/>
      </c>
      <c r="CH237" t="str">
        <f>+IFERROR(VLOOKUP(CH38,IN_Zugliste!$A$4:$E$2002,5,FALSE),"")</f>
        <v/>
      </c>
      <c r="CI237" t="str">
        <f>+IFERROR(VLOOKUP(CI38,IN_Zugliste!$A$4:$E$2002,5,FALSE),"")</f>
        <v/>
      </c>
      <c r="CJ237" t="str">
        <f>+IFERROR(VLOOKUP(CJ38,IN_Zugliste!$A$4:$E$2002,5,FALSE),"")</f>
        <v/>
      </c>
      <c r="CK237" t="str">
        <f>+IFERROR(VLOOKUP(CK38,IN_Zugliste!$A$4:$E$2002,5,FALSE),"")</f>
        <v/>
      </c>
      <c r="CL237" t="str">
        <f>+IFERROR(VLOOKUP(CL38,IN_Zugliste!$A$4:$E$2002,5,FALSE),"")</f>
        <v/>
      </c>
      <c r="CM237" t="str">
        <f>+IFERROR(VLOOKUP(CM38,IN_Zugliste!$A$4:$E$2002,5,FALSE),"")</f>
        <v/>
      </c>
      <c r="CN237" t="str">
        <f>+IFERROR(VLOOKUP(CN38,IN_Zugliste!$A$4:$E$2002,5,FALSE),"")</f>
        <v/>
      </c>
      <c r="CO237" t="str">
        <f>+IFERROR(VLOOKUP(CO38,IN_Zugliste!$A$4:$E$2002,5,FALSE),"")</f>
        <v/>
      </c>
      <c r="CP237" t="str">
        <f>+IFERROR(VLOOKUP(CP38,IN_Zugliste!$A$4:$E$2002,5,FALSE),"")</f>
        <v/>
      </c>
      <c r="CQ237" t="str">
        <f>+IFERROR(VLOOKUP(CQ38,IN_Zugliste!$A$4:$E$2002,5,FALSE),"")</f>
        <v/>
      </c>
      <c r="CR237" t="str">
        <f>+IFERROR(VLOOKUP(CR38,IN_Zugliste!$A$4:$E$2002,5,FALSE),"")</f>
        <v/>
      </c>
      <c r="CS237" t="str">
        <f>+IFERROR(VLOOKUP(CS38,IN_Zugliste!$A$4:$E$2002,5,FALSE),"")</f>
        <v/>
      </c>
      <c r="CT237" t="str">
        <f>+IFERROR(VLOOKUP(CT38,IN_Zugliste!$A$4:$E$2002,5,FALSE),"")</f>
        <v/>
      </c>
      <c r="CU237" t="str">
        <f>+IFERROR(VLOOKUP(CU38,IN_Zugliste!$A$4:$E$2002,5,FALSE),"")</f>
        <v/>
      </c>
      <c r="CV237" t="str">
        <f>+IFERROR(VLOOKUP(CV38,IN_Zugliste!$A$4:$E$2002,5,FALSE),"")</f>
        <v/>
      </c>
      <c r="CW237" t="str">
        <f>+IFERROR(VLOOKUP(CW38,IN_Zugliste!$A$4:$E$2002,5,FALSE),"")</f>
        <v/>
      </c>
      <c r="CX237" t="str">
        <f>+IFERROR(VLOOKUP(CX38,IN_Zugliste!$A$4:$E$2002,5,FALSE),"")</f>
        <v/>
      </c>
      <c r="CY237" t="str">
        <f>+IFERROR(VLOOKUP(CY38,IN_Zugliste!$A$4:$E$2002,5,FALSE),"")</f>
        <v/>
      </c>
      <c r="CZ237" t="str">
        <f>+IFERROR(VLOOKUP(CZ38,IN_Zugliste!$A$4:$E$2002,5,FALSE),"")</f>
        <v/>
      </c>
      <c r="DA237" t="str">
        <f>+IFERROR(VLOOKUP(DA38,IN_Zugliste!$A$4:$E$2002,5,FALSE),"")</f>
        <v/>
      </c>
      <c r="DB237" t="str">
        <f>+IFERROR(VLOOKUP(DB38,IN_Zugliste!$A$4:$E$2002,5,FALSE),"")</f>
        <v/>
      </c>
      <c r="DC237" t="str">
        <f>+IFERROR(VLOOKUP(DC38,IN_Zugliste!$A$4:$E$2002,5,FALSE),"")</f>
        <v/>
      </c>
      <c r="DD237" t="str">
        <f>+IFERROR(VLOOKUP(DD38,IN_Zugliste!$A$4:$E$2002,5,FALSE),"")</f>
        <v/>
      </c>
      <c r="DE237" t="str">
        <f>+IFERROR(VLOOKUP(DE38,IN_Zugliste!$A$4:$E$2002,5,FALSE),"")</f>
        <v/>
      </c>
      <c r="DF237" t="str">
        <f>+IFERROR(VLOOKUP(DF38,IN_Zugliste!$A$4:$E$2002,5,FALSE),"")</f>
        <v/>
      </c>
      <c r="DG237" t="str">
        <f>+IFERROR(VLOOKUP(DG38,IN_Zugliste!$A$4:$E$2002,5,FALSE),"")</f>
        <v/>
      </c>
      <c r="DH237" t="str">
        <f>+IFERROR(VLOOKUP(DH38,IN_Zugliste!$A$4:$E$2002,5,FALSE),"")</f>
        <v/>
      </c>
      <c r="DI237" t="str">
        <f>+IFERROR(VLOOKUP(DI38,IN_Zugliste!$A$4:$E$2002,5,FALSE),"")</f>
        <v/>
      </c>
      <c r="DJ237" t="str">
        <f>+IFERROR(VLOOKUP(DJ38,IN_Zugliste!$A$4:$E$2002,5,FALSE),"")</f>
        <v/>
      </c>
      <c r="DK237" t="str">
        <f>+IFERROR(VLOOKUP(DK38,IN_Zugliste!$A$4:$E$2002,5,FALSE),"")</f>
        <v/>
      </c>
      <c r="DL237" t="str">
        <f>+IFERROR(VLOOKUP(DL38,IN_Zugliste!$A$4:$E$2002,5,FALSE),"")</f>
        <v/>
      </c>
      <c r="DM237" t="str">
        <f>+IFERROR(VLOOKUP(DM38,IN_Zugliste!$A$4:$E$2002,5,FALSE),"")</f>
        <v/>
      </c>
      <c r="DN237" t="str">
        <f>+IFERROR(VLOOKUP(DN38,IN_Zugliste!$A$4:$E$2002,5,FALSE),"")</f>
        <v/>
      </c>
      <c r="DO237" t="str">
        <f>+IFERROR(VLOOKUP(DO38,IN_Zugliste!$A$4:$E$2002,5,FALSE),"")</f>
        <v/>
      </c>
      <c r="DP237" t="str">
        <f>+IFERROR(VLOOKUP(DP38,IN_Zugliste!$A$4:$E$2002,5,FALSE),"")</f>
        <v/>
      </c>
      <c r="DQ237" t="str">
        <f>+IFERROR(VLOOKUP(DQ38,IN_Zugliste!$A$4:$E$2002,5,FALSE),"")</f>
        <v/>
      </c>
      <c r="DR237" t="str">
        <f>+IFERROR(VLOOKUP(DR38,IN_Zugliste!$A$4:$E$2002,5,FALSE),"")</f>
        <v/>
      </c>
      <c r="DS237" t="str">
        <f>+IFERROR(VLOOKUP(DS38,IN_Zugliste!$A$4:$E$2002,5,FALSE),"")</f>
        <v/>
      </c>
      <c r="DT237" t="str">
        <f>+IFERROR(VLOOKUP(DT38,IN_Zugliste!$A$4:$E$2002,5,FALSE),"")</f>
        <v/>
      </c>
      <c r="DU237" t="str">
        <f>+IFERROR(VLOOKUP(DU38,IN_Zugliste!$A$4:$E$2002,5,FALSE),"")</f>
        <v/>
      </c>
      <c r="DV237" t="str">
        <f>+IFERROR(VLOOKUP(DV38,IN_Zugliste!$A$4:$E$2002,5,FALSE),"")</f>
        <v/>
      </c>
      <c r="DW237" t="str">
        <f>+IFERROR(VLOOKUP(DW38,IN_Zugliste!$A$4:$E$2002,5,FALSE),"")</f>
        <v/>
      </c>
      <c r="DX237" t="str">
        <f>+IFERROR(VLOOKUP(DX38,IN_Zugliste!$A$4:$E$2002,5,FALSE),"")</f>
        <v/>
      </c>
      <c r="DY237" t="str">
        <f>+IFERROR(VLOOKUP(DY38,IN_Zugliste!$A$4:$E$2002,5,FALSE),"")</f>
        <v/>
      </c>
      <c r="DZ237" t="str">
        <f>+IFERROR(VLOOKUP(DZ38,IN_Zugliste!$A$4:$E$2002,5,FALSE),"")</f>
        <v/>
      </c>
      <c r="EA237" t="str">
        <f>+IFERROR(VLOOKUP(EA38,IN_Zugliste!$A$4:$E$2002,5,FALSE),"")</f>
        <v/>
      </c>
      <c r="EB237" t="str">
        <f>+IFERROR(VLOOKUP(EB38,IN_Zugliste!$A$4:$E$2002,5,FALSE),"")</f>
        <v/>
      </c>
      <c r="EC237" t="str">
        <f>+IFERROR(VLOOKUP(EC38,IN_Zugliste!$A$4:$E$2002,5,FALSE),"")</f>
        <v/>
      </c>
      <c r="ED237" t="str">
        <f>+IFERROR(VLOOKUP(ED38,IN_Zugliste!$A$4:$E$2002,5,FALSE),"")</f>
        <v/>
      </c>
      <c r="EE237" t="str">
        <f>+IFERROR(VLOOKUP(EE38,IN_Zugliste!$A$4:$E$2002,5,FALSE),"")</f>
        <v/>
      </c>
      <c r="EF237" t="str">
        <f>+IFERROR(VLOOKUP(EF38,IN_Zugliste!$A$4:$E$2002,5,FALSE),"")</f>
        <v/>
      </c>
      <c r="EG237" t="str">
        <f>+IFERROR(VLOOKUP(EG38,IN_Zugliste!$A$4:$E$2002,5,FALSE),"")</f>
        <v/>
      </c>
      <c r="EH237" t="str">
        <f>+IFERROR(VLOOKUP(EH38,IN_Zugliste!$A$4:$E$2002,5,FALSE),"")</f>
        <v/>
      </c>
      <c r="EI237" t="str">
        <f>+IFERROR(VLOOKUP(EI38,IN_Zugliste!$A$4:$E$2002,5,FALSE),"")</f>
        <v/>
      </c>
      <c r="EJ237" t="str">
        <f>+IFERROR(VLOOKUP(EJ38,IN_Zugliste!$A$4:$E$2002,5,FALSE),"")</f>
        <v/>
      </c>
      <c r="EK237" t="str">
        <f>+IFERROR(VLOOKUP(EK38,IN_Zugliste!$A$4:$E$2002,5,FALSE),"")</f>
        <v/>
      </c>
      <c r="EL237" t="str">
        <f>+IFERROR(VLOOKUP(EL38,IN_Zugliste!$A$4:$E$2002,5,FALSE),"")</f>
        <v/>
      </c>
      <c r="EM237" t="str">
        <f>+IFERROR(VLOOKUP(EM38,IN_Zugliste!$A$4:$E$2002,5,FALSE),"")</f>
        <v/>
      </c>
      <c r="EN237" t="str">
        <f>+IFERROR(VLOOKUP(EN38,IN_Zugliste!$A$4:$E$2002,5,FALSE),"")</f>
        <v/>
      </c>
      <c r="EO237" t="str">
        <f>+IFERROR(VLOOKUP(EO38,IN_Zugliste!$A$4:$E$2002,5,FALSE),"")</f>
        <v/>
      </c>
      <c r="EP237" t="str">
        <f>+IFERROR(VLOOKUP(EP38,IN_Zugliste!$A$4:$E$2002,5,FALSE),"")</f>
        <v/>
      </c>
      <c r="EQ237" t="str">
        <f>+IFERROR(VLOOKUP(EQ38,IN_Zugliste!$A$4:$E$2002,5,FALSE),"")</f>
        <v/>
      </c>
      <c r="ER237" t="str">
        <f>+IFERROR(VLOOKUP(ER38,IN_Zugliste!$A$4:$E$2002,5,FALSE),"")</f>
        <v/>
      </c>
      <c r="ES237" t="str">
        <f>+IFERROR(VLOOKUP(ES38,IN_Zugliste!$A$4:$E$2002,5,FALSE),"")</f>
        <v/>
      </c>
      <c r="ET237" t="str">
        <f>+IFERROR(VLOOKUP(ET38,IN_Zugliste!$A$4:$E$2002,5,FALSE),"")</f>
        <v/>
      </c>
      <c r="EU237" t="str">
        <f>+IFERROR(VLOOKUP(EU38,IN_Zugliste!$A$4:$E$2002,5,FALSE),"")</f>
        <v/>
      </c>
      <c r="EV237" t="str">
        <f>+IFERROR(VLOOKUP(EV38,IN_Zugliste!$A$4:$E$2002,5,FALSE),"")</f>
        <v/>
      </c>
      <c r="EW237" t="str">
        <f>+IFERROR(VLOOKUP(EW38,IN_Zugliste!$A$4:$E$2002,5,FALSE),"")</f>
        <v/>
      </c>
      <c r="EX237" t="str">
        <f>+IFERROR(VLOOKUP(EX38,IN_Zugliste!$A$4:$E$2002,5,FALSE),"")</f>
        <v/>
      </c>
      <c r="EY237" t="str">
        <f>+IFERROR(VLOOKUP(EY38,IN_Zugliste!$A$4:$E$2002,5,FALSE),"")</f>
        <v/>
      </c>
      <c r="EZ237" t="str">
        <f>+IFERROR(VLOOKUP(EZ38,IN_Zugliste!$A$4:$E$2002,5,FALSE),"")</f>
        <v/>
      </c>
      <c r="FA237" t="str">
        <f>+IFERROR(VLOOKUP(FA38,IN_Zugliste!$A$4:$E$2002,5,FALSE),"")</f>
        <v/>
      </c>
      <c r="FB237" t="str">
        <f>+IFERROR(VLOOKUP(FB38,IN_Zugliste!$A$4:$E$2002,5,FALSE),"")</f>
        <v/>
      </c>
      <c r="FC237" t="str">
        <f>+IFERROR(VLOOKUP(FC38,IN_Zugliste!$A$4:$E$2002,5,FALSE),"")</f>
        <v/>
      </c>
      <c r="FD237" t="str">
        <f>+IFERROR(VLOOKUP(FD38,IN_Zugliste!$A$4:$E$2002,5,FALSE),"")</f>
        <v/>
      </c>
      <c r="FE237" t="str">
        <f>+IFERROR(VLOOKUP(FE38,IN_Zugliste!$A$4:$E$2002,5,FALSE),"")</f>
        <v/>
      </c>
      <c r="FF237" t="str">
        <f>+IFERROR(VLOOKUP(FF38,IN_Zugliste!$A$4:$E$2002,5,FALSE),"")</f>
        <v/>
      </c>
      <c r="FG237" t="str">
        <f>+IFERROR(VLOOKUP(FG38,IN_Zugliste!$A$4:$E$2002,5,FALSE),"")</f>
        <v/>
      </c>
      <c r="FH237" t="str">
        <f>+IFERROR(VLOOKUP(FH38,IN_Zugliste!$A$4:$E$2002,5,FALSE),"")</f>
        <v/>
      </c>
      <c r="FI237" t="str">
        <f>+IFERROR(VLOOKUP(FI38,IN_Zugliste!$A$4:$E$2002,5,FALSE),"")</f>
        <v/>
      </c>
      <c r="FJ237" t="str">
        <f>+IFERROR(VLOOKUP(FJ38,IN_Zugliste!$A$4:$E$2002,5,FALSE),"")</f>
        <v/>
      </c>
      <c r="FK237" t="str">
        <f>+IFERROR(VLOOKUP(FK38,IN_Zugliste!$A$4:$E$2002,5,FALSE),"")</f>
        <v/>
      </c>
      <c r="FL237" t="str">
        <f>+IFERROR(VLOOKUP(FL38,IN_Zugliste!$A$4:$E$2002,5,FALSE),"")</f>
        <v/>
      </c>
      <c r="FM237" t="str">
        <f>+IFERROR(VLOOKUP(FM38,IN_Zugliste!$A$4:$D$2002,5,FALSE),"")</f>
        <v/>
      </c>
      <c r="FN237" t="str">
        <f>+IFERROR(VLOOKUP(FN38,IN_Zugliste!$A$4:$D$2002,5,FALSE),"")</f>
        <v/>
      </c>
      <c r="FO237" t="str">
        <f>+IFERROR(VLOOKUP(FO38,IN_Zugliste!$A$4:$D$2002,5,FALSE),"")</f>
        <v/>
      </c>
      <c r="FP237" t="str">
        <f>+IFERROR(VLOOKUP(FP38,IN_Zugliste!$A$4:$D$2002,5,FALSE),"")</f>
        <v/>
      </c>
      <c r="FQ237" t="str">
        <f>+IFERROR(VLOOKUP(FQ38,IN_Zugliste!$A$4:$D$2002,5,FALSE),"")</f>
        <v/>
      </c>
      <c r="FR237" t="str">
        <f>+IFERROR(VLOOKUP(FR38,IN_Zugliste!$A$4:$D$2002,5,FALSE),"")</f>
        <v/>
      </c>
      <c r="FS237" t="str">
        <f>+IFERROR(VLOOKUP(FS38,IN_Zugliste!$A$4:$D$2002,5,FALSE),"")</f>
        <v/>
      </c>
      <c r="FT237" t="str">
        <f>+IFERROR(VLOOKUP(FT38,IN_Zugliste!$A$4:$D$2002,5,FALSE),"")</f>
        <v/>
      </c>
      <c r="FU237" t="str">
        <f>+IFERROR(VLOOKUP(FU38,IN_Zugliste!$A$4:$D$2002,5,FALSE),"")</f>
        <v/>
      </c>
      <c r="FV237" t="str">
        <f>+IFERROR(VLOOKUP(FV38,IN_Zugliste!$A$4:$D$2002,5,FALSE),"")</f>
        <v/>
      </c>
      <c r="FW237" t="str">
        <f>+IFERROR(VLOOKUP(FW38,IN_Zugliste!$A$4:$D$2002,5,FALSE),"")</f>
        <v/>
      </c>
      <c r="FX237" t="str">
        <f>+IFERROR(VLOOKUP(FX38,IN_Zugliste!$A$4:$D$2002,5,FALSE),"")</f>
        <v/>
      </c>
      <c r="FY237" t="str">
        <f>+IFERROR(VLOOKUP(FY38,IN_Zugliste!$A$4:$D$2002,5,FALSE),"")</f>
        <v/>
      </c>
      <c r="FZ237" t="str">
        <f>+IFERROR(VLOOKUP(FZ38,IN_Zugliste!$A$4:$D$2002,5,FALSE),"")</f>
        <v/>
      </c>
      <c r="GA237" t="str">
        <f>+IFERROR(VLOOKUP(GA38,IN_Zugliste!$A$4:$D$2002,5,FALSE),"")</f>
        <v/>
      </c>
      <c r="GB237" t="str">
        <f>+IFERROR(VLOOKUP(GB38,IN_Zugliste!$A$4:$D$2002,5,FALSE),"")</f>
        <v/>
      </c>
      <c r="GC237" t="str">
        <f>+IFERROR(VLOOKUP(GC38,IN_Zugliste!$A$4:$D$2002,5,FALSE),"")</f>
        <v/>
      </c>
      <c r="GD237" t="str">
        <f>+IFERROR(VLOOKUP(GD38,IN_Zugliste!$A$4:$D$2002,5,FALSE),"")</f>
        <v/>
      </c>
      <c r="GE237" t="str">
        <f>+IFERROR(VLOOKUP(GE38,IN_Zugliste!$A$4:$D$2002,5,FALSE),"")</f>
        <v/>
      </c>
      <c r="GF237" t="str">
        <f>+IFERROR(VLOOKUP(GF38,IN_Zugliste!$A$4:$D$2002,5,FALSE),"")</f>
        <v/>
      </c>
      <c r="GG237" t="str">
        <f>+IFERROR(VLOOKUP(GG38,IN_Zugliste!$A$4:$D$2002,5,FALSE),"")</f>
        <v/>
      </c>
      <c r="GH237" t="str">
        <f>+IFERROR(VLOOKUP(GH38,IN_Zugliste!$A$4:$D$2002,5,FALSE),"")</f>
        <v/>
      </c>
      <c r="GI237" t="str">
        <f>+IFERROR(VLOOKUP(GI38,IN_Zugliste!$A$4:$D$2002,5,FALSE),"")</f>
        <v/>
      </c>
      <c r="GJ237" t="str">
        <f>+IFERROR(VLOOKUP(GJ38,IN_Zugliste!$A$4:$D$2002,5,FALSE),"")</f>
        <v/>
      </c>
      <c r="GK237" t="str">
        <f>+IFERROR(VLOOKUP(GK38,IN_Zugliste!$A$4:$D$2002,5,FALSE),"")</f>
        <v/>
      </c>
      <c r="GL237" t="str">
        <f>+IFERROR(VLOOKUP(GL38,IN_Zugliste!$A$4:$D$2002,5,FALSE),"")</f>
        <v/>
      </c>
      <c r="GM237" t="str">
        <f>+IFERROR(VLOOKUP(GM38,IN_Zugliste!$A$4:$D$2002,5,FALSE),"")</f>
        <v/>
      </c>
      <c r="GN237" t="str">
        <f>+IFERROR(VLOOKUP(GN38,IN_Zugliste!$A$4:$D$2002,5,FALSE),"")</f>
        <v/>
      </c>
      <c r="GO237" t="str">
        <f>+IFERROR(VLOOKUP(GO38,IN_Zugliste!$A$4:$D$2002,5,FALSE),"")</f>
        <v/>
      </c>
      <c r="GP237" t="str">
        <f>+IFERROR(VLOOKUP(GP38,IN_Zugliste!$A$4:$D$2002,5,FALSE),"")</f>
        <v/>
      </c>
      <c r="GQ237" t="str">
        <f>+IFERROR(VLOOKUP(GQ38,IN_Zugliste!$A$4:$D$2002,5,FALSE),"")</f>
        <v/>
      </c>
      <c r="GR237" t="str">
        <f>+IFERROR(VLOOKUP(GR38,IN_Zugliste!$A$4:$D$2002,5,FALSE),"")</f>
        <v/>
      </c>
      <c r="GS237" t="str">
        <f>+IFERROR(VLOOKUP(GS38,IN_Zugliste!$A$4:$D$2002,5,FALSE),"")</f>
        <v/>
      </c>
      <c r="GT237" t="str">
        <f>+IFERROR(VLOOKUP(GT38,IN_Zugliste!$A$4:$D$2002,5,FALSE),"")</f>
        <v/>
      </c>
      <c r="GU237" t="str">
        <f>+IFERROR(VLOOKUP(GU38,IN_Zugliste!$A$4:$D$2002,5,FALSE),"")</f>
        <v/>
      </c>
      <c r="GV237" t="str">
        <f>+IFERROR(VLOOKUP(GV38,IN_Zugliste!$A$4:$D$2002,5,FALSE),"")</f>
        <v/>
      </c>
      <c r="GW237" t="str">
        <f>+IFERROR(VLOOKUP(GW38,IN_Zugliste!$A$4:$D$2002,5,FALSE),"")</f>
        <v/>
      </c>
      <c r="GX237" t="str">
        <f>+IFERROR(VLOOKUP(GX38,IN_Zugliste!$A$4:$D$2002,5,FALSE),"")</f>
        <v/>
      </c>
      <c r="GY237" t="str">
        <f>+IFERROR(VLOOKUP(GY38,IN_Zugliste!$A$4:$D$2002,5,FALSE),"")</f>
        <v/>
      </c>
      <c r="GZ237" t="str">
        <f>+IFERROR(VLOOKUP(GZ38,IN_Zugliste!$A$4:$D$2002,5,FALSE),"")</f>
        <v/>
      </c>
      <c r="HA237" t="str">
        <f>+IFERROR(VLOOKUP(HA38,IN_Zugliste!$A$4:$D$2002,5,FALSE),"")</f>
        <v/>
      </c>
      <c r="HB237" t="str">
        <f>+IFERROR(VLOOKUP(HB38,IN_Zugliste!$A$4:$D$2002,5,FALSE),"")</f>
        <v/>
      </c>
      <c r="HC237" t="str">
        <f>+IFERROR(VLOOKUP(HC38,IN_Zugliste!$A$4:$D$2002,5,FALSE),"")</f>
        <v/>
      </c>
      <c r="HD237" t="str">
        <f>+IFERROR(VLOOKUP(HD38,IN_Zugliste!$A$4:$D$2002,5,FALSE),"")</f>
        <v/>
      </c>
      <c r="HE237" t="str">
        <f>+IFERROR(VLOOKUP(HE38,IN_Zugliste!$A$4:$D$2002,5,FALSE),"")</f>
        <v/>
      </c>
      <c r="HF237" t="str">
        <f>+IFERROR(VLOOKUP(HF38,IN_Zugliste!$A$4:$D$2002,5,FALSE),"")</f>
        <v/>
      </c>
      <c r="HG237" t="str">
        <f>+IFERROR(VLOOKUP(HG38,IN_Zugliste!$A$4:$D$2002,5,FALSE),"")</f>
        <v/>
      </c>
      <c r="HH237" t="str">
        <f>+IFERROR(VLOOKUP(HH38,IN_Zugliste!$A$4:$D$2002,5,FALSE),"")</f>
        <v/>
      </c>
    </row>
    <row r="238" spans="1:216" x14ac:dyDescent="0.2">
      <c r="A238" t="str">
        <f>+IFERROR(VLOOKUP(A39,IN_Zugliste!$A$4:$E$2002,5,FALSE),"")</f>
        <v/>
      </c>
      <c r="B238" t="str">
        <f>+IFERROR(VLOOKUP(B39,IN_Zugliste!$A$4:$E$2002,5,FALSE),"")</f>
        <v/>
      </c>
      <c r="C238" t="str">
        <f>+IFERROR(VLOOKUP(C39,IN_Zugliste!$A$4:$E$2002,5,FALSE),"")</f>
        <v/>
      </c>
      <c r="D238" t="str">
        <f>+IFERROR(VLOOKUP(D39,IN_Zugliste!$A$4:$E$2002,5,FALSE),"")</f>
        <v/>
      </c>
      <c r="E238" t="str">
        <f>+IFERROR(VLOOKUP(E39,IN_Zugliste!$A$4:$E$2002,5,FALSE),"")</f>
        <v/>
      </c>
      <c r="F238" t="str">
        <f>+IFERROR(VLOOKUP(F39,IN_Zugliste!$A$4:$E$2002,5,FALSE),"")</f>
        <v/>
      </c>
      <c r="G238" t="str">
        <f>+IFERROR(VLOOKUP(G39,IN_Zugliste!$A$4:$E$2002,5,FALSE),"")</f>
        <v/>
      </c>
      <c r="H238" t="str">
        <f>+IFERROR(VLOOKUP(H39,IN_Zugliste!$A$4:$E$2002,5,FALSE),"")</f>
        <v/>
      </c>
      <c r="I238" t="str">
        <f>+IFERROR(VLOOKUP(I39,IN_Zugliste!$A$4:$E$2002,5,FALSE),"")</f>
        <v/>
      </c>
      <c r="J238" t="str">
        <f>+IFERROR(VLOOKUP(J39,IN_Zugliste!$A$4:$E$2002,5,FALSE),"")</f>
        <v/>
      </c>
      <c r="K238" t="str">
        <f>+IFERROR(VLOOKUP(K39,IN_Zugliste!$A$4:$E$2002,5,FALSE),"")</f>
        <v/>
      </c>
      <c r="L238" t="str">
        <f>+IFERROR(VLOOKUP(L39,IN_Zugliste!$A$4:$E$2002,5,FALSE),"")</f>
        <v/>
      </c>
      <c r="M238" t="str">
        <f>+IFERROR(VLOOKUP(M39,IN_Zugliste!$A$4:$E$2002,5,FALSE),"")</f>
        <v/>
      </c>
      <c r="N238" t="str">
        <f>+IFERROR(VLOOKUP(N39,IN_Zugliste!$A$4:$E$2002,5,FALSE),"")</f>
        <v/>
      </c>
      <c r="O238" t="str">
        <f>+IFERROR(VLOOKUP(O39,IN_Zugliste!$A$4:$E$2002,5,FALSE),"")</f>
        <v/>
      </c>
      <c r="P238" t="str">
        <f>+IFERROR(VLOOKUP(P39,IN_Zugliste!$A$4:$E$2002,5,FALSE),"")</f>
        <v/>
      </c>
      <c r="Q238" t="str">
        <f>+IFERROR(VLOOKUP(Q39,IN_Zugliste!$A$4:$E$2002,5,FALSE),"")</f>
        <v/>
      </c>
      <c r="R238" t="str">
        <f>+IFERROR(VLOOKUP(R39,IN_Zugliste!$A$4:$E$2002,5,FALSE),"")</f>
        <v/>
      </c>
      <c r="S238" t="str">
        <f>+IFERROR(VLOOKUP(S39,IN_Zugliste!$A$4:$E$2002,5,FALSE),"")</f>
        <v/>
      </c>
      <c r="T238" t="str">
        <f>+IFERROR(VLOOKUP(T39,IN_Zugliste!$A$4:$E$2002,5,FALSE),"")</f>
        <v/>
      </c>
      <c r="U238" t="str">
        <f>+IFERROR(VLOOKUP(U39,IN_Zugliste!$A$4:$E$2002,5,FALSE),"")</f>
        <v/>
      </c>
      <c r="V238" t="str">
        <f>+IFERROR(VLOOKUP(V39,IN_Zugliste!$A$4:$E$2002,5,FALSE),"")</f>
        <v/>
      </c>
      <c r="W238" t="str">
        <f>+IFERROR(VLOOKUP(W39,IN_Zugliste!$A$4:$E$2002,5,FALSE),"")</f>
        <v/>
      </c>
      <c r="X238" t="str">
        <f>+IFERROR(VLOOKUP(X39,IN_Zugliste!$A$4:$E$2002,5,FALSE),"")</f>
        <v/>
      </c>
      <c r="Y238" t="str">
        <f>+IFERROR(VLOOKUP(Y39,IN_Zugliste!$A$4:$E$2002,5,FALSE),"")</f>
        <v/>
      </c>
      <c r="Z238" t="str">
        <f>+IFERROR(VLOOKUP(Z39,IN_Zugliste!$A$4:$E$2002,5,FALSE),"")</f>
        <v/>
      </c>
      <c r="AA238" t="str">
        <f>+IFERROR(VLOOKUP(AA39,IN_Zugliste!$A$4:$E$2002,5,FALSE),"")</f>
        <v/>
      </c>
      <c r="AB238" t="str">
        <f>+IFERROR(VLOOKUP(AB39,IN_Zugliste!$A$4:$E$2002,5,FALSE),"")</f>
        <v/>
      </c>
      <c r="AC238" t="str">
        <f>+IFERROR(VLOOKUP(AC39,IN_Zugliste!$A$4:$E$2002,5,FALSE),"")</f>
        <v/>
      </c>
      <c r="AD238" t="str">
        <f>+IFERROR(VLOOKUP(AD39,IN_Zugliste!$A$4:$E$2002,5,FALSE),"")</f>
        <v/>
      </c>
      <c r="AE238" t="str">
        <f>+IFERROR(VLOOKUP(AE39,IN_Zugliste!$A$4:$E$2002,5,FALSE),"")</f>
        <v/>
      </c>
      <c r="AF238" t="str">
        <f>+IFERROR(VLOOKUP(AF39,IN_Zugliste!$A$4:$E$2002,5,FALSE),"")</f>
        <v/>
      </c>
      <c r="AG238" t="str">
        <f>+IFERROR(VLOOKUP(AG39,IN_Zugliste!$A$4:$E$2002,5,FALSE),"")</f>
        <v/>
      </c>
      <c r="AH238" t="str">
        <f>+IFERROR(VLOOKUP(AH39,IN_Zugliste!$A$4:$E$2002,5,FALSE),"")</f>
        <v/>
      </c>
      <c r="AI238" t="str">
        <f>+IFERROR(VLOOKUP(AI39,IN_Zugliste!$A$4:$E$2002,5,FALSE),"")</f>
        <v/>
      </c>
      <c r="AJ238" t="str">
        <f>+IFERROR(VLOOKUP(AJ39,IN_Zugliste!$A$4:$E$2002,5,FALSE),"")</f>
        <v/>
      </c>
      <c r="AK238" t="str">
        <f>+IFERROR(VLOOKUP(AK39,IN_Zugliste!$A$4:$E$2002,5,FALSE),"")</f>
        <v/>
      </c>
      <c r="AL238" t="str">
        <f>+IFERROR(VLOOKUP(AL39,IN_Zugliste!$A$4:$E$2002,5,FALSE),"")</f>
        <v/>
      </c>
      <c r="AM238" t="str">
        <f>+IFERROR(VLOOKUP(AM39,IN_Zugliste!$A$4:$E$2002,5,FALSE),"")</f>
        <v/>
      </c>
      <c r="AN238" t="str">
        <f>+IFERROR(VLOOKUP(AN39,IN_Zugliste!$A$4:$E$2002,5,FALSE),"")</f>
        <v/>
      </c>
      <c r="AO238" t="str">
        <f>+IFERROR(VLOOKUP(AO39,IN_Zugliste!$A$4:$E$2002,5,FALSE),"")</f>
        <v/>
      </c>
      <c r="AP238" t="str">
        <f>+IFERROR(VLOOKUP(AP39,IN_Zugliste!$A$4:$E$2002,5,FALSE),"")</f>
        <v/>
      </c>
      <c r="AQ238" t="str">
        <f>+IFERROR(VLOOKUP(AQ39,IN_Zugliste!$A$4:$E$2002,5,FALSE),"")</f>
        <v/>
      </c>
      <c r="AR238" t="str">
        <f>+IFERROR(VLOOKUP(AR39,IN_Zugliste!$A$4:$E$2002,5,FALSE),"")</f>
        <v/>
      </c>
      <c r="AS238" t="str">
        <f>+IFERROR(VLOOKUP(AS39,IN_Zugliste!$A$4:$E$2002,5,FALSE),"")</f>
        <v/>
      </c>
      <c r="AT238" t="str">
        <f>+IFERROR(VLOOKUP(AT39,IN_Zugliste!$A$4:$E$2002,5,FALSE),"")</f>
        <v/>
      </c>
      <c r="AU238" t="str">
        <f>+IFERROR(VLOOKUP(AU39,IN_Zugliste!$A$4:$E$2002,5,FALSE),"")</f>
        <v/>
      </c>
      <c r="AV238" t="str">
        <f>+IFERROR(VLOOKUP(AV39,IN_Zugliste!$A$4:$E$2002,5,FALSE),"")</f>
        <v/>
      </c>
      <c r="AW238" t="str">
        <f>+IFERROR(VLOOKUP(AW39,IN_Zugliste!$A$4:$E$2002,5,FALSE),"")</f>
        <v/>
      </c>
      <c r="AX238" t="str">
        <f>+IFERROR(VLOOKUP(AX39,IN_Zugliste!$A$4:$E$2002,5,FALSE),"")</f>
        <v/>
      </c>
      <c r="AY238" t="str">
        <f>+IFERROR(VLOOKUP(AY39,IN_Zugliste!$A$4:$E$2002,5,FALSE),"")</f>
        <v/>
      </c>
      <c r="AZ238" t="str">
        <f>+IFERROR(VLOOKUP(AZ39,IN_Zugliste!$A$4:$E$2002,5,FALSE),"")</f>
        <v/>
      </c>
      <c r="BA238" t="str">
        <f>+IFERROR(VLOOKUP(BA39,IN_Zugliste!$A$4:$E$2002,5,FALSE),"")</f>
        <v/>
      </c>
      <c r="BB238" t="str">
        <f>+IFERROR(VLOOKUP(BB39,IN_Zugliste!$A$4:$E$2002,5,FALSE),"")</f>
        <v/>
      </c>
      <c r="BC238" t="str">
        <f>+IFERROR(VLOOKUP(BC39,IN_Zugliste!$A$4:$E$2002,5,FALSE),"")</f>
        <v/>
      </c>
      <c r="BD238" t="str">
        <f>+IFERROR(VLOOKUP(BD39,IN_Zugliste!$A$4:$E$2002,5,FALSE),"")</f>
        <v/>
      </c>
      <c r="BE238" t="str">
        <f>+IFERROR(VLOOKUP(BE39,IN_Zugliste!$A$4:$E$2002,5,FALSE),"")</f>
        <v/>
      </c>
      <c r="BF238" t="str">
        <f>+IFERROR(VLOOKUP(BF39,IN_Zugliste!$A$4:$E$2002,5,FALSE),"")</f>
        <v/>
      </c>
      <c r="BG238" t="str">
        <f>+IFERROR(VLOOKUP(BG39,IN_Zugliste!$A$4:$E$2002,5,FALSE),"")</f>
        <v/>
      </c>
      <c r="BH238" t="str">
        <f>+IFERROR(VLOOKUP(BH39,IN_Zugliste!$A$4:$E$2002,5,FALSE),"")</f>
        <v/>
      </c>
      <c r="BI238" t="str">
        <f>+IFERROR(VLOOKUP(BI39,IN_Zugliste!$A$4:$E$2002,5,FALSE),"")</f>
        <v/>
      </c>
      <c r="BJ238" t="str">
        <f>+IFERROR(VLOOKUP(BJ39,IN_Zugliste!$A$4:$E$2002,5,FALSE),"")</f>
        <v/>
      </c>
      <c r="BK238" t="str">
        <f>+IFERROR(VLOOKUP(BK39,IN_Zugliste!$A$4:$E$2002,5,FALSE),"")</f>
        <v/>
      </c>
      <c r="BL238" t="str">
        <f>+IFERROR(VLOOKUP(BL39,IN_Zugliste!$A$4:$E$2002,5,FALSE),"")</f>
        <v/>
      </c>
      <c r="BM238" t="str">
        <f>+IFERROR(VLOOKUP(BM39,IN_Zugliste!$A$4:$E$2002,5,FALSE),"")</f>
        <v/>
      </c>
      <c r="BN238" t="str">
        <f>+IFERROR(VLOOKUP(BN39,IN_Zugliste!$A$4:$E$2002,5,FALSE),"")</f>
        <v/>
      </c>
      <c r="BO238" t="str">
        <f>+IFERROR(VLOOKUP(BO39,IN_Zugliste!$A$4:$E$2002,5,FALSE),"")</f>
        <v/>
      </c>
      <c r="BP238" t="str">
        <f>+IFERROR(VLOOKUP(BP39,IN_Zugliste!$A$4:$E$2002,5,FALSE),"")</f>
        <v/>
      </c>
      <c r="BQ238" t="str">
        <f>+IFERROR(VLOOKUP(BQ39,IN_Zugliste!$A$4:$E$2002,5,FALSE),"")</f>
        <v/>
      </c>
      <c r="BR238" t="str">
        <f>+IFERROR(VLOOKUP(BR39,IN_Zugliste!$A$4:$E$2002,5,FALSE),"")</f>
        <v/>
      </c>
      <c r="BS238" t="str">
        <f>+IFERROR(VLOOKUP(BS39,IN_Zugliste!$A$4:$E$2002,5,FALSE),"")</f>
        <v/>
      </c>
      <c r="BT238" t="str">
        <f>+IFERROR(VLOOKUP(BT39,IN_Zugliste!$A$4:$E$2002,5,FALSE),"")</f>
        <v/>
      </c>
      <c r="BU238" t="str">
        <f>+IFERROR(VLOOKUP(BU39,IN_Zugliste!$A$4:$E$2002,5,FALSE),"")</f>
        <v/>
      </c>
      <c r="BV238" t="str">
        <f>+IFERROR(VLOOKUP(BV39,IN_Zugliste!$A$4:$E$2002,5,FALSE),"")</f>
        <v/>
      </c>
      <c r="BW238" t="str">
        <f>+IFERROR(VLOOKUP(BW39,IN_Zugliste!$A$4:$E$2002,5,FALSE),"")</f>
        <v/>
      </c>
      <c r="BX238" t="str">
        <f>+IFERROR(VLOOKUP(BX39,IN_Zugliste!$A$4:$E$2002,5,FALSE),"")</f>
        <v/>
      </c>
      <c r="BY238" t="str">
        <f>+IFERROR(VLOOKUP(BY39,IN_Zugliste!$A$4:$E$2002,5,FALSE),"")</f>
        <v/>
      </c>
      <c r="BZ238" t="str">
        <f>+IFERROR(VLOOKUP(BZ39,IN_Zugliste!$A$4:$E$2002,5,FALSE),"")</f>
        <v/>
      </c>
      <c r="CA238" t="str">
        <f>+IFERROR(VLOOKUP(CA39,IN_Zugliste!$A$4:$E$2002,5,FALSE),"")</f>
        <v/>
      </c>
      <c r="CB238" t="str">
        <f>+IFERROR(VLOOKUP(CB39,IN_Zugliste!$A$4:$E$2002,5,FALSE),"")</f>
        <v/>
      </c>
      <c r="CC238" t="str">
        <f>+IFERROR(VLOOKUP(CC39,IN_Zugliste!$A$4:$E$2002,5,FALSE),"")</f>
        <v/>
      </c>
      <c r="CD238" t="str">
        <f>+IFERROR(VLOOKUP(CD39,IN_Zugliste!$A$4:$E$2002,5,FALSE),"")</f>
        <v/>
      </c>
      <c r="CE238" t="str">
        <f>+IFERROR(VLOOKUP(CE39,IN_Zugliste!$A$4:$E$2002,5,FALSE),"")</f>
        <v/>
      </c>
      <c r="CF238" t="str">
        <f>+IFERROR(VLOOKUP(CF39,IN_Zugliste!$A$4:$E$2002,5,FALSE),"")</f>
        <v/>
      </c>
      <c r="CG238" t="str">
        <f>+IFERROR(VLOOKUP(CG39,IN_Zugliste!$A$4:$E$2002,5,FALSE),"")</f>
        <v/>
      </c>
      <c r="CH238" t="str">
        <f>+IFERROR(VLOOKUP(CH39,IN_Zugliste!$A$4:$E$2002,5,FALSE),"")</f>
        <v/>
      </c>
      <c r="CI238" t="str">
        <f>+IFERROR(VLOOKUP(CI39,IN_Zugliste!$A$4:$E$2002,5,FALSE),"")</f>
        <v/>
      </c>
      <c r="CJ238" t="str">
        <f>+IFERROR(VLOOKUP(CJ39,IN_Zugliste!$A$4:$E$2002,5,FALSE),"")</f>
        <v/>
      </c>
      <c r="CK238" t="str">
        <f>+IFERROR(VLOOKUP(CK39,IN_Zugliste!$A$4:$E$2002,5,FALSE),"")</f>
        <v/>
      </c>
      <c r="CL238" t="str">
        <f>+IFERROR(VLOOKUP(CL39,IN_Zugliste!$A$4:$E$2002,5,FALSE),"")</f>
        <v/>
      </c>
      <c r="CM238" t="str">
        <f>+IFERROR(VLOOKUP(CM39,IN_Zugliste!$A$4:$E$2002,5,FALSE),"")</f>
        <v/>
      </c>
      <c r="CN238" t="str">
        <f>+IFERROR(VLOOKUP(CN39,IN_Zugliste!$A$4:$E$2002,5,FALSE),"")</f>
        <v/>
      </c>
      <c r="CO238" t="str">
        <f>+IFERROR(VLOOKUP(CO39,IN_Zugliste!$A$4:$E$2002,5,FALSE),"")</f>
        <v/>
      </c>
      <c r="CP238" t="str">
        <f>+IFERROR(VLOOKUP(CP39,IN_Zugliste!$A$4:$E$2002,5,FALSE),"")</f>
        <v/>
      </c>
      <c r="CQ238" t="str">
        <f>+IFERROR(VLOOKUP(CQ39,IN_Zugliste!$A$4:$E$2002,5,FALSE),"")</f>
        <v/>
      </c>
      <c r="CR238" t="str">
        <f>+IFERROR(VLOOKUP(CR39,IN_Zugliste!$A$4:$E$2002,5,FALSE),"")</f>
        <v/>
      </c>
      <c r="CS238" t="str">
        <f>+IFERROR(VLOOKUP(CS39,IN_Zugliste!$A$4:$E$2002,5,FALSE),"")</f>
        <v/>
      </c>
      <c r="CT238" t="str">
        <f>+IFERROR(VLOOKUP(CT39,IN_Zugliste!$A$4:$E$2002,5,FALSE),"")</f>
        <v/>
      </c>
      <c r="CU238" t="str">
        <f>+IFERROR(VLOOKUP(CU39,IN_Zugliste!$A$4:$E$2002,5,FALSE),"")</f>
        <v/>
      </c>
      <c r="CV238" t="str">
        <f>+IFERROR(VLOOKUP(CV39,IN_Zugliste!$A$4:$E$2002,5,FALSE),"")</f>
        <v/>
      </c>
      <c r="CW238" t="str">
        <f>+IFERROR(VLOOKUP(CW39,IN_Zugliste!$A$4:$E$2002,5,FALSE),"")</f>
        <v/>
      </c>
      <c r="CX238" t="str">
        <f>+IFERROR(VLOOKUP(CX39,IN_Zugliste!$A$4:$E$2002,5,FALSE),"")</f>
        <v/>
      </c>
      <c r="CY238" t="str">
        <f>+IFERROR(VLOOKUP(CY39,IN_Zugliste!$A$4:$E$2002,5,FALSE),"")</f>
        <v/>
      </c>
      <c r="CZ238" t="str">
        <f>+IFERROR(VLOOKUP(CZ39,IN_Zugliste!$A$4:$E$2002,5,FALSE),"")</f>
        <v/>
      </c>
      <c r="DA238" t="str">
        <f>+IFERROR(VLOOKUP(DA39,IN_Zugliste!$A$4:$E$2002,5,FALSE),"")</f>
        <v/>
      </c>
      <c r="DB238" t="str">
        <f>+IFERROR(VLOOKUP(DB39,IN_Zugliste!$A$4:$E$2002,5,FALSE),"")</f>
        <v/>
      </c>
      <c r="DC238" t="str">
        <f>+IFERROR(VLOOKUP(DC39,IN_Zugliste!$A$4:$E$2002,5,FALSE),"")</f>
        <v/>
      </c>
      <c r="DD238" t="str">
        <f>+IFERROR(VLOOKUP(DD39,IN_Zugliste!$A$4:$E$2002,5,FALSE),"")</f>
        <v/>
      </c>
      <c r="DE238" t="str">
        <f>+IFERROR(VLOOKUP(DE39,IN_Zugliste!$A$4:$E$2002,5,FALSE),"")</f>
        <v/>
      </c>
      <c r="DF238" t="str">
        <f>+IFERROR(VLOOKUP(DF39,IN_Zugliste!$A$4:$E$2002,5,FALSE),"")</f>
        <v/>
      </c>
      <c r="DG238" t="str">
        <f>+IFERROR(VLOOKUP(DG39,IN_Zugliste!$A$4:$E$2002,5,FALSE),"")</f>
        <v/>
      </c>
      <c r="DH238" t="str">
        <f>+IFERROR(VLOOKUP(DH39,IN_Zugliste!$A$4:$E$2002,5,FALSE),"")</f>
        <v/>
      </c>
      <c r="DI238" t="str">
        <f>+IFERROR(VLOOKUP(DI39,IN_Zugliste!$A$4:$E$2002,5,FALSE),"")</f>
        <v/>
      </c>
      <c r="DJ238" t="str">
        <f>+IFERROR(VLOOKUP(DJ39,IN_Zugliste!$A$4:$E$2002,5,FALSE),"")</f>
        <v/>
      </c>
      <c r="DK238" t="str">
        <f>+IFERROR(VLOOKUP(DK39,IN_Zugliste!$A$4:$E$2002,5,FALSE),"")</f>
        <v/>
      </c>
      <c r="DL238" t="str">
        <f>+IFERROR(VLOOKUP(DL39,IN_Zugliste!$A$4:$E$2002,5,FALSE),"")</f>
        <v/>
      </c>
      <c r="DM238" t="str">
        <f>+IFERROR(VLOOKUP(DM39,IN_Zugliste!$A$4:$E$2002,5,FALSE),"")</f>
        <v/>
      </c>
      <c r="DN238" t="str">
        <f>+IFERROR(VLOOKUP(DN39,IN_Zugliste!$A$4:$E$2002,5,FALSE),"")</f>
        <v/>
      </c>
      <c r="DO238" t="str">
        <f>+IFERROR(VLOOKUP(DO39,IN_Zugliste!$A$4:$E$2002,5,FALSE),"")</f>
        <v/>
      </c>
      <c r="DP238" t="str">
        <f>+IFERROR(VLOOKUP(DP39,IN_Zugliste!$A$4:$E$2002,5,FALSE),"")</f>
        <v/>
      </c>
      <c r="DQ238" t="str">
        <f>+IFERROR(VLOOKUP(DQ39,IN_Zugliste!$A$4:$E$2002,5,FALSE),"")</f>
        <v/>
      </c>
      <c r="DR238" t="str">
        <f>+IFERROR(VLOOKUP(DR39,IN_Zugliste!$A$4:$E$2002,5,FALSE),"")</f>
        <v/>
      </c>
      <c r="DS238" t="str">
        <f>+IFERROR(VLOOKUP(DS39,IN_Zugliste!$A$4:$E$2002,5,FALSE),"")</f>
        <v/>
      </c>
      <c r="DT238" t="str">
        <f>+IFERROR(VLOOKUP(DT39,IN_Zugliste!$A$4:$E$2002,5,FALSE),"")</f>
        <v/>
      </c>
      <c r="DU238" t="str">
        <f>+IFERROR(VLOOKUP(DU39,IN_Zugliste!$A$4:$E$2002,5,FALSE),"")</f>
        <v/>
      </c>
      <c r="DV238" t="str">
        <f>+IFERROR(VLOOKUP(DV39,IN_Zugliste!$A$4:$E$2002,5,FALSE),"")</f>
        <v/>
      </c>
      <c r="DW238" t="str">
        <f>+IFERROR(VLOOKUP(DW39,IN_Zugliste!$A$4:$E$2002,5,FALSE),"")</f>
        <v/>
      </c>
      <c r="DX238" t="str">
        <f>+IFERROR(VLOOKUP(DX39,IN_Zugliste!$A$4:$E$2002,5,FALSE),"")</f>
        <v/>
      </c>
      <c r="DY238" t="str">
        <f>+IFERROR(VLOOKUP(DY39,IN_Zugliste!$A$4:$E$2002,5,FALSE),"")</f>
        <v/>
      </c>
      <c r="DZ238" t="str">
        <f>+IFERROR(VLOOKUP(DZ39,IN_Zugliste!$A$4:$E$2002,5,FALSE),"")</f>
        <v/>
      </c>
      <c r="EA238" t="str">
        <f>+IFERROR(VLOOKUP(EA39,IN_Zugliste!$A$4:$E$2002,5,FALSE),"")</f>
        <v/>
      </c>
      <c r="EB238" t="str">
        <f>+IFERROR(VLOOKUP(EB39,IN_Zugliste!$A$4:$E$2002,5,FALSE),"")</f>
        <v/>
      </c>
      <c r="EC238" t="str">
        <f>+IFERROR(VLOOKUP(EC39,IN_Zugliste!$A$4:$E$2002,5,FALSE),"")</f>
        <v/>
      </c>
      <c r="ED238" t="str">
        <f>+IFERROR(VLOOKUP(ED39,IN_Zugliste!$A$4:$E$2002,5,FALSE),"")</f>
        <v/>
      </c>
      <c r="EE238" t="str">
        <f>+IFERROR(VLOOKUP(EE39,IN_Zugliste!$A$4:$E$2002,5,FALSE),"")</f>
        <v/>
      </c>
      <c r="EF238" t="str">
        <f>+IFERROR(VLOOKUP(EF39,IN_Zugliste!$A$4:$E$2002,5,FALSE),"")</f>
        <v/>
      </c>
      <c r="EG238" t="str">
        <f>+IFERROR(VLOOKUP(EG39,IN_Zugliste!$A$4:$E$2002,5,FALSE),"")</f>
        <v/>
      </c>
      <c r="EH238" t="str">
        <f>+IFERROR(VLOOKUP(EH39,IN_Zugliste!$A$4:$E$2002,5,FALSE),"")</f>
        <v/>
      </c>
      <c r="EI238" t="str">
        <f>+IFERROR(VLOOKUP(EI39,IN_Zugliste!$A$4:$E$2002,5,FALSE),"")</f>
        <v/>
      </c>
      <c r="EJ238" t="str">
        <f>+IFERROR(VLOOKUP(EJ39,IN_Zugliste!$A$4:$E$2002,5,FALSE),"")</f>
        <v/>
      </c>
      <c r="EK238" t="str">
        <f>+IFERROR(VLOOKUP(EK39,IN_Zugliste!$A$4:$E$2002,5,FALSE),"")</f>
        <v/>
      </c>
      <c r="EL238" t="str">
        <f>+IFERROR(VLOOKUP(EL39,IN_Zugliste!$A$4:$E$2002,5,FALSE),"")</f>
        <v/>
      </c>
      <c r="EM238" t="str">
        <f>+IFERROR(VLOOKUP(EM39,IN_Zugliste!$A$4:$E$2002,5,FALSE),"")</f>
        <v/>
      </c>
      <c r="EN238" t="str">
        <f>+IFERROR(VLOOKUP(EN39,IN_Zugliste!$A$4:$E$2002,5,FALSE),"")</f>
        <v/>
      </c>
      <c r="EO238" t="str">
        <f>+IFERROR(VLOOKUP(EO39,IN_Zugliste!$A$4:$E$2002,5,FALSE),"")</f>
        <v/>
      </c>
      <c r="EP238" t="str">
        <f>+IFERROR(VLOOKUP(EP39,IN_Zugliste!$A$4:$E$2002,5,FALSE),"")</f>
        <v/>
      </c>
      <c r="EQ238" t="str">
        <f>+IFERROR(VLOOKUP(EQ39,IN_Zugliste!$A$4:$E$2002,5,FALSE),"")</f>
        <v/>
      </c>
      <c r="ER238" t="str">
        <f>+IFERROR(VLOOKUP(ER39,IN_Zugliste!$A$4:$E$2002,5,FALSE),"")</f>
        <v/>
      </c>
      <c r="ES238" t="str">
        <f>+IFERROR(VLOOKUP(ES39,IN_Zugliste!$A$4:$E$2002,5,FALSE),"")</f>
        <v/>
      </c>
      <c r="ET238" t="str">
        <f>+IFERROR(VLOOKUP(ET39,IN_Zugliste!$A$4:$E$2002,5,FALSE),"")</f>
        <v/>
      </c>
      <c r="EU238" t="str">
        <f>+IFERROR(VLOOKUP(EU39,IN_Zugliste!$A$4:$E$2002,5,FALSE),"")</f>
        <v/>
      </c>
      <c r="EV238" t="str">
        <f>+IFERROR(VLOOKUP(EV39,IN_Zugliste!$A$4:$E$2002,5,FALSE),"")</f>
        <v/>
      </c>
      <c r="EW238" t="str">
        <f>+IFERROR(VLOOKUP(EW39,IN_Zugliste!$A$4:$E$2002,5,FALSE),"")</f>
        <v/>
      </c>
      <c r="EX238" t="str">
        <f>+IFERROR(VLOOKUP(EX39,IN_Zugliste!$A$4:$E$2002,5,FALSE),"")</f>
        <v/>
      </c>
      <c r="EY238" t="str">
        <f>+IFERROR(VLOOKUP(EY39,IN_Zugliste!$A$4:$E$2002,5,FALSE),"")</f>
        <v/>
      </c>
      <c r="EZ238" t="str">
        <f>+IFERROR(VLOOKUP(EZ39,IN_Zugliste!$A$4:$E$2002,5,FALSE),"")</f>
        <v/>
      </c>
      <c r="FA238" t="str">
        <f>+IFERROR(VLOOKUP(FA39,IN_Zugliste!$A$4:$E$2002,5,FALSE),"")</f>
        <v/>
      </c>
      <c r="FB238" t="str">
        <f>+IFERROR(VLOOKUP(FB39,IN_Zugliste!$A$4:$E$2002,5,FALSE),"")</f>
        <v/>
      </c>
      <c r="FC238" t="str">
        <f>+IFERROR(VLOOKUP(FC39,IN_Zugliste!$A$4:$E$2002,5,FALSE),"")</f>
        <v/>
      </c>
      <c r="FD238" t="str">
        <f>+IFERROR(VLOOKUP(FD39,IN_Zugliste!$A$4:$E$2002,5,FALSE),"")</f>
        <v/>
      </c>
      <c r="FE238" t="str">
        <f>+IFERROR(VLOOKUP(FE39,IN_Zugliste!$A$4:$E$2002,5,FALSE),"")</f>
        <v/>
      </c>
      <c r="FF238" t="str">
        <f>+IFERROR(VLOOKUP(FF39,IN_Zugliste!$A$4:$E$2002,5,FALSE),"")</f>
        <v/>
      </c>
      <c r="FG238" t="str">
        <f>+IFERROR(VLOOKUP(FG39,IN_Zugliste!$A$4:$E$2002,5,FALSE),"")</f>
        <v/>
      </c>
      <c r="FH238" t="str">
        <f>+IFERROR(VLOOKUP(FH39,IN_Zugliste!$A$4:$E$2002,5,FALSE),"")</f>
        <v/>
      </c>
      <c r="FI238" t="str">
        <f>+IFERROR(VLOOKUP(FI39,IN_Zugliste!$A$4:$E$2002,5,FALSE),"")</f>
        <v/>
      </c>
      <c r="FJ238" t="str">
        <f>+IFERROR(VLOOKUP(FJ39,IN_Zugliste!$A$4:$E$2002,5,FALSE),"")</f>
        <v/>
      </c>
      <c r="FK238" t="str">
        <f>+IFERROR(VLOOKUP(FK39,IN_Zugliste!$A$4:$E$2002,5,FALSE),"")</f>
        <v/>
      </c>
      <c r="FL238" t="str">
        <f>+IFERROR(VLOOKUP(FL39,IN_Zugliste!$A$4:$E$2002,5,FALSE),"")</f>
        <v/>
      </c>
      <c r="FM238" t="str">
        <f>+IFERROR(VLOOKUP(FM39,IN_Zugliste!$A$4:$D$2002,5,FALSE),"")</f>
        <v/>
      </c>
      <c r="FN238" t="str">
        <f>+IFERROR(VLOOKUP(FN39,IN_Zugliste!$A$4:$D$2002,5,FALSE),"")</f>
        <v/>
      </c>
      <c r="FO238" t="str">
        <f>+IFERROR(VLOOKUP(FO39,IN_Zugliste!$A$4:$D$2002,5,FALSE),"")</f>
        <v/>
      </c>
      <c r="FP238" t="str">
        <f>+IFERROR(VLOOKUP(FP39,IN_Zugliste!$A$4:$D$2002,5,FALSE),"")</f>
        <v/>
      </c>
      <c r="FQ238" t="str">
        <f>+IFERROR(VLOOKUP(FQ39,IN_Zugliste!$A$4:$D$2002,5,FALSE),"")</f>
        <v/>
      </c>
      <c r="FR238" t="str">
        <f>+IFERROR(VLOOKUP(FR39,IN_Zugliste!$A$4:$D$2002,5,FALSE),"")</f>
        <v/>
      </c>
      <c r="FS238" t="str">
        <f>+IFERROR(VLOOKUP(FS39,IN_Zugliste!$A$4:$D$2002,5,FALSE),"")</f>
        <v/>
      </c>
      <c r="FT238" t="str">
        <f>+IFERROR(VLOOKUP(FT39,IN_Zugliste!$A$4:$D$2002,5,FALSE),"")</f>
        <v/>
      </c>
      <c r="FU238" t="str">
        <f>+IFERROR(VLOOKUP(FU39,IN_Zugliste!$A$4:$D$2002,5,FALSE),"")</f>
        <v/>
      </c>
      <c r="FV238" t="str">
        <f>+IFERROR(VLOOKUP(FV39,IN_Zugliste!$A$4:$D$2002,5,FALSE),"")</f>
        <v/>
      </c>
      <c r="FW238" t="str">
        <f>+IFERROR(VLOOKUP(FW39,IN_Zugliste!$A$4:$D$2002,5,FALSE),"")</f>
        <v/>
      </c>
      <c r="FX238" t="str">
        <f>+IFERROR(VLOOKUP(FX39,IN_Zugliste!$A$4:$D$2002,5,FALSE),"")</f>
        <v/>
      </c>
      <c r="FY238" t="str">
        <f>+IFERROR(VLOOKUP(FY39,IN_Zugliste!$A$4:$D$2002,5,FALSE),"")</f>
        <v/>
      </c>
      <c r="FZ238" t="str">
        <f>+IFERROR(VLOOKUP(FZ39,IN_Zugliste!$A$4:$D$2002,5,FALSE),"")</f>
        <v/>
      </c>
      <c r="GA238" t="str">
        <f>+IFERROR(VLOOKUP(GA39,IN_Zugliste!$A$4:$D$2002,5,FALSE),"")</f>
        <v/>
      </c>
      <c r="GB238" t="str">
        <f>+IFERROR(VLOOKUP(GB39,IN_Zugliste!$A$4:$D$2002,5,FALSE),"")</f>
        <v/>
      </c>
      <c r="GC238" t="str">
        <f>+IFERROR(VLOOKUP(GC39,IN_Zugliste!$A$4:$D$2002,5,FALSE),"")</f>
        <v/>
      </c>
      <c r="GD238" t="str">
        <f>+IFERROR(VLOOKUP(GD39,IN_Zugliste!$A$4:$D$2002,5,FALSE),"")</f>
        <v/>
      </c>
      <c r="GE238" t="str">
        <f>+IFERROR(VLOOKUP(GE39,IN_Zugliste!$A$4:$D$2002,5,FALSE),"")</f>
        <v/>
      </c>
      <c r="GF238" t="str">
        <f>+IFERROR(VLOOKUP(GF39,IN_Zugliste!$A$4:$D$2002,5,FALSE),"")</f>
        <v/>
      </c>
      <c r="GG238" t="str">
        <f>+IFERROR(VLOOKUP(GG39,IN_Zugliste!$A$4:$D$2002,5,FALSE),"")</f>
        <v/>
      </c>
      <c r="GH238" t="str">
        <f>+IFERROR(VLOOKUP(GH39,IN_Zugliste!$A$4:$D$2002,5,FALSE),"")</f>
        <v/>
      </c>
      <c r="GI238" t="str">
        <f>+IFERROR(VLOOKUP(GI39,IN_Zugliste!$A$4:$D$2002,5,FALSE),"")</f>
        <v/>
      </c>
      <c r="GJ238" t="str">
        <f>+IFERROR(VLOOKUP(GJ39,IN_Zugliste!$A$4:$D$2002,5,FALSE),"")</f>
        <v/>
      </c>
      <c r="GK238" t="str">
        <f>+IFERROR(VLOOKUP(GK39,IN_Zugliste!$A$4:$D$2002,5,FALSE),"")</f>
        <v/>
      </c>
      <c r="GL238" t="str">
        <f>+IFERROR(VLOOKUP(GL39,IN_Zugliste!$A$4:$D$2002,5,FALSE),"")</f>
        <v/>
      </c>
      <c r="GM238" t="str">
        <f>+IFERROR(VLOOKUP(GM39,IN_Zugliste!$A$4:$D$2002,5,FALSE),"")</f>
        <v/>
      </c>
      <c r="GN238" t="str">
        <f>+IFERROR(VLOOKUP(GN39,IN_Zugliste!$A$4:$D$2002,5,FALSE),"")</f>
        <v/>
      </c>
      <c r="GO238" t="str">
        <f>+IFERROR(VLOOKUP(GO39,IN_Zugliste!$A$4:$D$2002,5,FALSE),"")</f>
        <v/>
      </c>
      <c r="GP238" t="str">
        <f>+IFERROR(VLOOKUP(GP39,IN_Zugliste!$A$4:$D$2002,5,FALSE),"")</f>
        <v/>
      </c>
      <c r="GQ238" t="str">
        <f>+IFERROR(VLOOKUP(GQ39,IN_Zugliste!$A$4:$D$2002,5,FALSE),"")</f>
        <v/>
      </c>
      <c r="GR238" t="str">
        <f>+IFERROR(VLOOKUP(GR39,IN_Zugliste!$A$4:$D$2002,5,FALSE),"")</f>
        <v/>
      </c>
      <c r="GS238" t="str">
        <f>+IFERROR(VLOOKUP(GS39,IN_Zugliste!$A$4:$D$2002,5,FALSE),"")</f>
        <v/>
      </c>
      <c r="GT238" t="str">
        <f>+IFERROR(VLOOKUP(GT39,IN_Zugliste!$A$4:$D$2002,5,FALSE),"")</f>
        <v/>
      </c>
      <c r="GU238" t="str">
        <f>+IFERROR(VLOOKUP(GU39,IN_Zugliste!$A$4:$D$2002,5,FALSE),"")</f>
        <v/>
      </c>
      <c r="GV238" t="str">
        <f>+IFERROR(VLOOKUP(GV39,IN_Zugliste!$A$4:$D$2002,5,FALSE),"")</f>
        <v/>
      </c>
      <c r="GW238" t="str">
        <f>+IFERROR(VLOOKUP(GW39,IN_Zugliste!$A$4:$D$2002,5,FALSE),"")</f>
        <v/>
      </c>
      <c r="GX238" t="str">
        <f>+IFERROR(VLOOKUP(GX39,IN_Zugliste!$A$4:$D$2002,5,FALSE),"")</f>
        <v/>
      </c>
      <c r="GY238" t="str">
        <f>+IFERROR(VLOOKUP(GY39,IN_Zugliste!$A$4:$D$2002,5,FALSE),"")</f>
        <v/>
      </c>
      <c r="GZ238" t="str">
        <f>+IFERROR(VLOOKUP(GZ39,IN_Zugliste!$A$4:$D$2002,5,FALSE),"")</f>
        <v/>
      </c>
      <c r="HA238" t="str">
        <f>+IFERROR(VLOOKUP(HA39,IN_Zugliste!$A$4:$D$2002,5,FALSE),"")</f>
        <v/>
      </c>
      <c r="HB238" t="str">
        <f>+IFERROR(VLOOKUP(HB39,IN_Zugliste!$A$4:$D$2002,5,FALSE),"")</f>
        <v/>
      </c>
      <c r="HC238" t="str">
        <f>+IFERROR(VLOOKUP(HC39,IN_Zugliste!$A$4:$D$2002,5,FALSE),"")</f>
        <v/>
      </c>
      <c r="HD238" t="str">
        <f>+IFERROR(VLOOKUP(HD39,IN_Zugliste!$A$4:$D$2002,5,FALSE),"")</f>
        <v/>
      </c>
      <c r="HE238" t="str">
        <f>+IFERROR(VLOOKUP(HE39,IN_Zugliste!$A$4:$D$2002,5,FALSE),"")</f>
        <v/>
      </c>
      <c r="HF238" t="str">
        <f>+IFERROR(VLOOKUP(HF39,IN_Zugliste!$A$4:$D$2002,5,FALSE),"")</f>
        <v/>
      </c>
      <c r="HG238" t="str">
        <f>+IFERROR(VLOOKUP(HG39,IN_Zugliste!$A$4:$D$2002,5,FALSE),"")</f>
        <v/>
      </c>
      <c r="HH238" t="str">
        <f>+IFERROR(VLOOKUP(HH39,IN_Zugliste!$A$4:$D$2002,5,FALSE),"")</f>
        <v/>
      </c>
    </row>
    <row r="239" spans="1:216" x14ac:dyDescent="0.2">
      <c r="A239" t="str">
        <f>+IFERROR(VLOOKUP(A40,IN_Zugliste!$A$4:$E$2002,5,FALSE),"")</f>
        <v/>
      </c>
      <c r="B239" t="str">
        <f>+IFERROR(VLOOKUP(B40,IN_Zugliste!$A$4:$E$2002,5,FALSE),"")</f>
        <v/>
      </c>
      <c r="C239" t="str">
        <f>+IFERROR(VLOOKUP(C40,IN_Zugliste!$A$4:$E$2002,5,FALSE),"")</f>
        <v/>
      </c>
      <c r="D239" t="str">
        <f>+IFERROR(VLOOKUP(D40,IN_Zugliste!$A$4:$E$2002,5,FALSE),"")</f>
        <v/>
      </c>
      <c r="E239" t="str">
        <f>+IFERROR(VLOOKUP(E40,IN_Zugliste!$A$4:$E$2002,5,FALSE),"")</f>
        <v/>
      </c>
      <c r="F239" t="str">
        <f>+IFERROR(VLOOKUP(F40,IN_Zugliste!$A$4:$E$2002,5,FALSE),"")</f>
        <v/>
      </c>
      <c r="G239" t="str">
        <f>+IFERROR(VLOOKUP(G40,IN_Zugliste!$A$4:$E$2002,5,FALSE),"")</f>
        <v/>
      </c>
      <c r="H239" t="str">
        <f>+IFERROR(VLOOKUP(H40,IN_Zugliste!$A$4:$E$2002,5,FALSE),"")</f>
        <v/>
      </c>
      <c r="I239" t="str">
        <f>+IFERROR(VLOOKUP(I40,IN_Zugliste!$A$4:$E$2002,5,FALSE),"")</f>
        <v/>
      </c>
      <c r="J239" t="str">
        <f>+IFERROR(VLOOKUP(J40,IN_Zugliste!$A$4:$E$2002,5,FALSE),"")</f>
        <v/>
      </c>
      <c r="K239" t="str">
        <f>+IFERROR(VLOOKUP(K40,IN_Zugliste!$A$4:$E$2002,5,FALSE),"")</f>
        <v/>
      </c>
      <c r="L239" t="str">
        <f>+IFERROR(VLOOKUP(L40,IN_Zugliste!$A$4:$E$2002,5,FALSE),"")</f>
        <v/>
      </c>
      <c r="M239" t="str">
        <f>+IFERROR(VLOOKUP(M40,IN_Zugliste!$A$4:$E$2002,5,FALSE),"")</f>
        <v/>
      </c>
      <c r="N239" t="str">
        <f>+IFERROR(VLOOKUP(N40,IN_Zugliste!$A$4:$E$2002,5,FALSE),"")</f>
        <v/>
      </c>
      <c r="O239" t="str">
        <f>+IFERROR(VLOOKUP(O40,IN_Zugliste!$A$4:$E$2002,5,FALSE),"")</f>
        <v/>
      </c>
      <c r="P239" t="str">
        <f>+IFERROR(VLOOKUP(P40,IN_Zugliste!$A$4:$E$2002,5,FALSE),"")</f>
        <v/>
      </c>
      <c r="Q239" t="str">
        <f>+IFERROR(VLOOKUP(Q40,IN_Zugliste!$A$4:$E$2002,5,FALSE),"")</f>
        <v/>
      </c>
      <c r="R239" t="str">
        <f>+IFERROR(VLOOKUP(R40,IN_Zugliste!$A$4:$E$2002,5,FALSE),"")</f>
        <v/>
      </c>
      <c r="S239" t="str">
        <f>+IFERROR(VLOOKUP(S40,IN_Zugliste!$A$4:$E$2002,5,FALSE),"")</f>
        <v/>
      </c>
      <c r="T239" t="str">
        <f>+IFERROR(VLOOKUP(T40,IN_Zugliste!$A$4:$E$2002,5,FALSE),"")</f>
        <v/>
      </c>
      <c r="U239" t="str">
        <f>+IFERROR(VLOOKUP(U40,IN_Zugliste!$A$4:$E$2002,5,FALSE),"")</f>
        <v/>
      </c>
      <c r="V239" t="str">
        <f>+IFERROR(VLOOKUP(V40,IN_Zugliste!$A$4:$E$2002,5,FALSE),"")</f>
        <v/>
      </c>
      <c r="W239" t="str">
        <f>+IFERROR(VLOOKUP(W40,IN_Zugliste!$A$4:$E$2002,5,FALSE),"")</f>
        <v/>
      </c>
      <c r="X239" t="str">
        <f>+IFERROR(VLOOKUP(X40,IN_Zugliste!$A$4:$E$2002,5,FALSE),"")</f>
        <v/>
      </c>
      <c r="Y239" t="str">
        <f>+IFERROR(VLOOKUP(Y40,IN_Zugliste!$A$4:$E$2002,5,FALSE),"")</f>
        <v/>
      </c>
      <c r="Z239" t="str">
        <f>+IFERROR(VLOOKUP(Z40,IN_Zugliste!$A$4:$E$2002,5,FALSE),"")</f>
        <v/>
      </c>
      <c r="AA239" t="str">
        <f>+IFERROR(VLOOKUP(AA40,IN_Zugliste!$A$4:$E$2002,5,FALSE),"")</f>
        <v/>
      </c>
      <c r="AB239" t="str">
        <f>+IFERROR(VLOOKUP(AB40,IN_Zugliste!$A$4:$E$2002,5,FALSE),"")</f>
        <v/>
      </c>
      <c r="AC239" t="str">
        <f>+IFERROR(VLOOKUP(AC40,IN_Zugliste!$A$4:$E$2002,5,FALSE),"")</f>
        <v/>
      </c>
      <c r="AD239" t="str">
        <f>+IFERROR(VLOOKUP(AD40,IN_Zugliste!$A$4:$E$2002,5,FALSE),"")</f>
        <v/>
      </c>
      <c r="AE239" t="str">
        <f>+IFERROR(VLOOKUP(AE40,IN_Zugliste!$A$4:$E$2002,5,FALSE),"")</f>
        <v/>
      </c>
      <c r="AF239" t="str">
        <f>+IFERROR(VLOOKUP(AF40,IN_Zugliste!$A$4:$E$2002,5,FALSE),"")</f>
        <v/>
      </c>
      <c r="AG239" t="str">
        <f>+IFERROR(VLOOKUP(AG40,IN_Zugliste!$A$4:$E$2002,5,FALSE),"")</f>
        <v/>
      </c>
      <c r="AH239" t="str">
        <f>+IFERROR(VLOOKUP(AH40,IN_Zugliste!$A$4:$E$2002,5,FALSE),"")</f>
        <v/>
      </c>
      <c r="AI239" t="str">
        <f>+IFERROR(VLOOKUP(AI40,IN_Zugliste!$A$4:$E$2002,5,FALSE),"")</f>
        <v/>
      </c>
      <c r="AJ239" t="str">
        <f>+IFERROR(VLOOKUP(AJ40,IN_Zugliste!$A$4:$E$2002,5,FALSE),"")</f>
        <v/>
      </c>
      <c r="AK239" t="str">
        <f>+IFERROR(VLOOKUP(AK40,IN_Zugliste!$A$4:$E$2002,5,FALSE),"")</f>
        <v/>
      </c>
      <c r="AL239" t="str">
        <f>+IFERROR(VLOOKUP(AL40,IN_Zugliste!$A$4:$E$2002,5,FALSE),"")</f>
        <v/>
      </c>
      <c r="AM239" t="str">
        <f>+IFERROR(VLOOKUP(AM40,IN_Zugliste!$A$4:$E$2002,5,FALSE),"")</f>
        <v/>
      </c>
      <c r="AN239" t="str">
        <f>+IFERROR(VLOOKUP(AN40,IN_Zugliste!$A$4:$E$2002,5,FALSE),"")</f>
        <v/>
      </c>
      <c r="AO239" t="str">
        <f>+IFERROR(VLOOKUP(AO40,IN_Zugliste!$A$4:$E$2002,5,FALSE),"")</f>
        <v/>
      </c>
      <c r="AP239" t="str">
        <f>+IFERROR(VLOOKUP(AP40,IN_Zugliste!$A$4:$E$2002,5,FALSE),"")</f>
        <v/>
      </c>
      <c r="AQ239" t="str">
        <f>+IFERROR(VLOOKUP(AQ40,IN_Zugliste!$A$4:$E$2002,5,FALSE),"")</f>
        <v/>
      </c>
      <c r="AR239" t="str">
        <f>+IFERROR(VLOOKUP(AR40,IN_Zugliste!$A$4:$E$2002,5,FALSE),"")</f>
        <v/>
      </c>
      <c r="AS239" t="str">
        <f>+IFERROR(VLOOKUP(AS40,IN_Zugliste!$A$4:$E$2002,5,FALSE),"")</f>
        <v/>
      </c>
      <c r="AT239" t="str">
        <f>+IFERROR(VLOOKUP(AT40,IN_Zugliste!$A$4:$E$2002,5,FALSE),"")</f>
        <v/>
      </c>
      <c r="AU239" t="str">
        <f>+IFERROR(VLOOKUP(AU40,IN_Zugliste!$A$4:$E$2002,5,FALSE),"")</f>
        <v/>
      </c>
      <c r="AV239" t="str">
        <f>+IFERROR(VLOOKUP(AV40,IN_Zugliste!$A$4:$E$2002,5,FALSE),"")</f>
        <v/>
      </c>
      <c r="AW239" t="str">
        <f>+IFERROR(VLOOKUP(AW40,IN_Zugliste!$A$4:$E$2002,5,FALSE),"")</f>
        <v/>
      </c>
      <c r="AX239" t="str">
        <f>+IFERROR(VLOOKUP(AX40,IN_Zugliste!$A$4:$E$2002,5,FALSE),"")</f>
        <v/>
      </c>
      <c r="AY239" t="str">
        <f>+IFERROR(VLOOKUP(AY40,IN_Zugliste!$A$4:$E$2002,5,FALSE),"")</f>
        <v/>
      </c>
      <c r="AZ239" t="str">
        <f>+IFERROR(VLOOKUP(AZ40,IN_Zugliste!$A$4:$E$2002,5,FALSE),"")</f>
        <v/>
      </c>
      <c r="BA239" t="str">
        <f>+IFERROR(VLOOKUP(BA40,IN_Zugliste!$A$4:$E$2002,5,FALSE),"")</f>
        <v/>
      </c>
      <c r="BB239" t="str">
        <f>+IFERROR(VLOOKUP(BB40,IN_Zugliste!$A$4:$E$2002,5,FALSE),"")</f>
        <v/>
      </c>
      <c r="BC239" t="str">
        <f>+IFERROR(VLOOKUP(BC40,IN_Zugliste!$A$4:$E$2002,5,FALSE),"")</f>
        <v/>
      </c>
      <c r="BD239" t="str">
        <f>+IFERROR(VLOOKUP(BD40,IN_Zugliste!$A$4:$E$2002,5,FALSE),"")</f>
        <v/>
      </c>
      <c r="BE239" t="str">
        <f>+IFERROR(VLOOKUP(BE40,IN_Zugliste!$A$4:$E$2002,5,FALSE),"")</f>
        <v/>
      </c>
      <c r="BF239" t="str">
        <f>+IFERROR(VLOOKUP(BF40,IN_Zugliste!$A$4:$E$2002,5,FALSE),"")</f>
        <v/>
      </c>
      <c r="BG239" t="str">
        <f>+IFERROR(VLOOKUP(BG40,IN_Zugliste!$A$4:$E$2002,5,FALSE),"")</f>
        <v/>
      </c>
      <c r="BH239" t="str">
        <f>+IFERROR(VLOOKUP(BH40,IN_Zugliste!$A$4:$E$2002,5,FALSE),"")</f>
        <v/>
      </c>
      <c r="BI239" t="str">
        <f>+IFERROR(VLOOKUP(BI40,IN_Zugliste!$A$4:$E$2002,5,FALSE),"")</f>
        <v/>
      </c>
      <c r="BJ239" t="str">
        <f>+IFERROR(VLOOKUP(BJ40,IN_Zugliste!$A$4:$E$2002,5,FALSE),"")</f>
        <v/>
      </c>
      <c r="BK239" t="str">
        <f>+IFERROR(VLOOKUP(BK40,IN_Zugliste!$A$4:$E$2002,5,FALSE),"")</f>
        <v/>
      </c>
      <c r="BL239" t="str">
        <f>+IFERROR(VLOOKUP(BL40,IN_Zugliste!$A$4:$E$2002,5,FALSE),"")</f>
        <v/>
      </c>
      <c r="BM239" t="str">
        <f>+IFERROR(VLOOKUP(BM40,IN_Zugliste!$A$4:$E$2002,5,FALSE),"")</f>
        <v/>
      </c>
      <c r="BN239" t="str">
        <f>+IFERROR(VLOOKUP(BN40,IN_Zugliste!$A$4:$E$2002,5,FALSE),"")</f>
        <v/>
      </c>
      <c r="BO239" t="str">
        <f>+IFERROR(VLOOKUP(BO40,IN_Zugliste!$A$4:$E$2002,5,FALSE),"")</f>
        <v/>
      </c>
      <c r="BP239" t="str">
        <f>+IFERROR(VLOOKUP(BP40,IN_Zugliste!$A$4:$E$2002,5,FALSE),"")</f>
        <v/>
      </c>
      <c r="BQ239" t="str">
        <f>+IFERROR(VLOOKUP(BQ40,IN_Zugliste!$A$4:$E$2002,5,FALSE),"")</f>
        <v/>
      </c>
      <c r="BR239" t="str">
        <f>+IFERROR(VLOOKUP(BR40,IN_Zugliste!$A$4:$E$2002,5,FALSE),"")</f>
        <v/>
      </c>
      <c r="BS239" t="str">
        <f>+IFERROR(VLOOKUP(BS40,IN_Zugliste!$A$4:$E$2002,5,FALSE),"")</f>
        <v/>
      </c>
      <c r="BT239" t="str">
        <f>+IFERROR(VLOOKUP(BT40,IN_Zugliste!$A$4:$E$2002,5,FALSE),"")</f>
        <v/>
      </c>
      <c r="BU239" t="str">
        <f>+IFERROR(VLOOKUP(BU40,IN_Zugliste!$A$4:$E$2002,5,FALSE),"")</f>
        <v/>
      </c>
      <c r="BV239" t="str">
        <f>+IFERROR(VLOOKUP(BV40,IN_Zugliste!$A$4:$E$2002,5,FALSE),"")</f>
        <v/>
      </c>
      <c r="BW239" t="str">
        <f>+IFERROR(VLOOKUP(BW40,IN_Zugliste!$A$4:$E$2002,5,FALSE),"")</f>
        <v/>
      </c>
      <c r="BX239" t="str">
        <f>+IFERROR(VLOOKUP(BX40,IN_Zugliste!$A$4:$E$2002,5,FALSE),"")</f>
        <v/>
      </c>
      <c r="BY239" t="str">
        <f>+IFERROR(VLOOKUP(BY40,IN_Zugliste!$A$4:$E$2002,5,FALSE),"")</f>
        <v/>
      </c>
      <c r="BZ239" t="str">
        <f>+IFERROR(VLOOKUP(BZ40,IN_Zugliste!$A$4:$E$2002,5,FALSE),"")</f>
        <v/>
      </c>
      <c r="CA239" t="str">
        <f>+IFERROR(VLOOKUP(CA40,IN_Zugliste!$A$4:$E$2002,5,FALSE),"")</f>
        <v/>
      </c>
      <c r="CB239" t="str">
        <f>+IFERROR(VLOOKUP(CB40,IN_Zugliste!$A$4:$E$2002,5,FALSE),"")</f>
        <v/>
      </c>
      <c r="CC239" t="str">
        <f>+IFERROR(VLOOKUP(CC40,IN_Zugliste!$A$4:$E$2002,5,FALSE),"")</f>
        <v/>
      </c>
      <c r="CD239" t="str">
        <f>+IFERROR(VLOOKUP(CD40,IN_Zugliste!$A$4:$E$2002,5,FALSE),"")</f>
        <v/>
      </c>
      <c r="CE239" t="str">
        <f>+IFERROR(VLOOKUP(CE40,IN_Zugliste!$A$4:$E$2002,5,FALSE),"")</f>
        <v/>
      </c>
      <c r="CF239" t="str">
        <f>+IFERROR(VLOOKUP(CF40,IN_Zugliste!$A$4:$E$2002,5,FALSE),"")</f>
        <v/>
      </c>
      <c r="CG239" t="str">
        <f>+IFERROR(VLOOKUP(CG40,IN_Zugliste!$A$4:$E$2002,5,FALSE),"")</f>
        <v/>
      </c>
      <c r="CH239" t="str">
        <f>+IFERROR(VLOOKUP(CH40,IN_Zugliste!$A$4:$E$2002,5,FALSE),"")</f>
        <v/>
      </c>
      <c r="CI239" t="str">
        <f>+IFERROR(VLOOKUP(CI40,IN_Zugliste!$A$4:$E$2002,5,FALSE),"")</f>
        <v/>
      </c>
      <c r="CJ239" t="str">
        <f>+IFERROR(VLOOKUP(CJ40,IN_Zugliste!$A$4:$E$2002,5,FALSE),"")</f>
        <v/>
      </c>
      <c r="CK239" t="str">
        <f>+IFERROR(VLOOKUP(CK40,IN_Zugliste!$A$4:$E$2002,5,FALSE),"")</f>
        <v/>
      </c>
      <c r="CL239" t="str">
        <f>+IFERROR(VLOOKUP(CL40,IN_Zugliste!$A$4:$E$2002,5,FALSE),"")</f>
        <v/>
      </c>
      <c r="CM239" t="str">
        <f>+IFERROR(VLOOKUP(CM40,IN_Zugliste!$A$4:$E$2002,5,FALSE),"")</f>
        <v/>
      </c>
      <c r="CN239" t="str">
        <f>+IFERROR(VLOOKUP(CN40,IN_Zugliste!$A$4:$E$2002,5,FALSE),"")</f>
        <v/>
      </c>
      <c r="CO239" t="str">
        <f>+IFERROR(VLOOKUP(CO40,IN_Zugliste!$A$4:$E$2002,5,FALSE),"")</f>
        <v/>
      </c>
      <c r="CP239" t="str">
        <f>+IFERROR(VLOOKUP(CP40,IN_Zugliste!$A$4:$E$2002,5,FALSE),"")</f>
        <v/>
      </c>
      <c r="CQ239" t="str">
        <f>+IFERROR(VLOOKUP(CQ40,IN_Zugliste!$A$4:$E$2002,5,FALSE),"")</f>
        <v/>
      </c>
      <c r="CR239" t="str">
        <f>+IFERROR(VLOOKUP(CR40,IN_Zugliste!$A$4:$E$2002,5,FALSE),"")</f>
        <v/>
      </c>
      <c r="CS239" t="str">
        <f>+IFERROR(VLOOKUP(CS40,IN_Zugliste!$A$4:$E$2002,5,FALSE),"")</f>
        <v/>
      </c>
      <c r="CT239" t="str">
        <f>+IFERROR(VLOOKUP(CT40,IN_Zugliste!$A$4:$E$2002,5,FALSE),"")</f>
        <v/>
      </c>
      <c r="CU239" t="str">
        <f>+IFERROR(VLOOKUP(CU40,IN_Zugliste!$A$4:$E$2002,5,FALSE),"")</f>
        <v/>
      </c>
      <c r="CV239" t="str">
        <f>+IFERROR(VLOOKUP(CV40,IN_Zugliste!$A$4:$E$2002,5,FALSE),"")</f>
        <v/>
      </c>
      <c r="CW239" t="str">
        <f>+IFERROR(VLOOKUP(CW40,IN_Zugliste!$A$4:$E$2002,5,FALSE),"")</f>
        <v/>
      </c>
      <c r="CX239" t="str">
        <f>+IFERROR(VLOOKUP(CX40,IN_Zugliste!$A$4:$E$2002,5,FALSE),"")</f>
        <v/>
      </c>
      <c r="CY239" t="str">
        <f>+IFERROR(VLOOKUP(CY40,IN_Zugliste!$A$4:$E$2002,5,FALSE),"")</f>
        <v/>
      </c>
      <c r="CZ239" t="str">
        <f>+IFERROR(VLOOKUP(CZ40,IN_Zugliste!$A$4:$E$2002,5,FALSE),"")</f>
        <v/>
      </c>
      <c r="DA239" t="str">
        <f>+IFERROR(VLOOKUP(DA40,IN_Zugliste!$A$4:$E$2002,5,FALSE),"")</f>
        <v/>
      </c>
      <c r="DB239" t="str">
        <f>+IFERROR(VLOOKUP(DB40,IN_Zugliste!$A$4:$E$2002,5,FALSE),"")</f>
        <v/>
      </c>
      <c r="DC239" t="str">
        <f>+IFERROR(VLOOKUP(DC40,IN_Zugliste!$A$4:$E$2002,5,FALSE),"")</f>
        <v/>
      </c>
      <c r="DD239" t="str">
        <f>+IFERROR(VLOOKUP(DD40,IN_Zugliste!$A$4:$E$2002,5,FALSE),"")</f>
        <v/>
      </c>
      <c r="DE239" t="str">
        <f>+IFERROR(VLOOKUP(DE40,IN_Zugliste!$A$4:$E$2002,5,FALSE),"")</f>
        <v/>
      </c>
      <c r="DF239" t="str">
        <f>+IFERROR(VLOOKUP(DF40,IN_Zugliste!$A$4:$E$2002,5,FALSE),"")</f>
        <v/>
      </c>
      <c r="DG239" t="str">
        <f>+IFERROR(VLOOKUP(DG40,IN_Zugliste!$A$4:$E$2002,5,FALSE),"")</f>
        <v/>
      </c>
      <c r="DH239" t="str">
        <f>+IFERROR(VLOOKUP(DH40,IN_Zugliste!$A$4:$E$2002,5,FALSE),"")</f>
        <v/>
      </c>
      <c r="DI239" t="str">
        <f>+IFERROR(VLOOKUP(DI40,IN_Zugliste!$A$4:$E$2002,5,FALSE),"")</f>
        <v/>
      </c>
      <c r="DJ239" t="str">
        <f>+IFERROR(VLOOKUP(DJ40,IN_Zugliste!$A$4:$E$2002,5,FALSE),"")</f>
        <v/>
      </c>
      <c r="DK239" t="str">
        <f>+IFERROR(VLOOKUP(DK40,IN_Zugliste!$A$4:$E$2002,5,FALSE),"")</f>
        <v/>
      </c>
      <c r="DL239" t="str">
        <f>+IFERROR(VLOOKUP(DL40,IN_Zugliste!$A$4:$E$2002,5,FALSE),"")</f>
        <v/>
      </c>
      <c r="DM239" t="str">
        <f>+IFERROR(VLOOKUP(DM40,IN_Zugliste!$A$4:$E$2002,5,FALSE),"")</f>
        <v/>
      </c>
      <c r="DN239" t="str">
        <f>+IFERROR(VLOOKUP(DN40,IN_Zugliste!$A$4:$E$2002,5,FALSE),"")</f>
        <v/>
      </c>
      <c r="DO239" t="str">
        <f>+IFERROR(VLOOKUP(DO40,IN_Zugliste!$A$4:$E$2002,5,FALSE),"")</f>
        <v/>
      </c>
      <c r="DP239" t="str">
        <f>+IFERROR(VLOOKUP(DP40,IN_Zugliste!$A$4:$E$2002,5,FALSE),"")</f>
        <v/>
      </c>
      <c r="DQ239" t="str">
        <f>+IFERROR(VLOOKUP(DQ40,IN_Zugliste!$A$4:$E$2002,5,FALSE),"")</f>
        <v/>
      </c>
      <c r="DR239" t="str">
        <f>+IFERROR(VLOOKUP(DR40,IN_Zugliste!$A$4:$E$2002,5,FALSE),"")</f>
        <v/>
      </c>
      <c r="DS239" t="str">
        <f>+IFERROR(VLOOKUP(DS40,IN_Zugliste!$A$4:$E$2002,5,FALSE),"")</f>
        <v/>
      </c>
      <c r="DT239" t="str">
        <f>+IFERROR(VLOOKUP(DT40,IN_Zugliste!$A$4:$E$2002,5,FALSE),"")</f>
        <v/>
      </c>
      <c r="DU239" t="str">
        <f>+IFERROR(VLOOKUP(DU40,IN_Zugliste!$A$4:$E$2002,5,FALSE),"")</f>
        <v/>
      </c>
      <c r="DV239" t="str">
        <f>+IFERROR(VLOOKUP(DV40,IN_Zugliste!$A$4:$E$2002,5,FALSE),"")</f>
        <v/>
      </c>
      <c r="DW239" t="str">
        <f>+IFERROR(VLOOKUP(DW40,IN_Zugliste!$A$4:$E$2002,5,FALSE),"")</f>
        <v/>
      </c>
      <c r="DX239" t="str">
        <f>+IFERROR(VLOOKUP(DX40,IN_Zugliste!$A$4:$E$2002,5,FALSE),"")</f>
        <v/>
      </c>
      <c r="DY239" t="str">
        <f>+IFERROR(VLOOKUP(DY40,IN_Zugliste!$A$4:$E$2002,5,FALSE),"")</f>
        <v/>
      </c>
      <c r="DZ239" t="str">
        <f>+IFERROR(VLOOKUP(DZ40,IN_Zugliste!$A$4:$E$2002,5,FALSE),"")</f>
        <v/>
      </c>
      <c r="EA239" t="str">
        <f>+IFERROR(VLOOKUP(EA40,IN_Zugliste!$A$4:$E$2002,5,FALSE),"")</f>
        <v/>
      </c>
      <c r="EB239" t="str">
        <f>+IFERROR(VLOOKUP(EB40,IN_Zugliste!$A$4:$E$2002,5,FALSE),"")</f>
        <v/>
      </c>
      <c r="EC239" t="str">
        <f>+IFERROR(VLOOKUP(EC40,IN_Zugliste!$A$4:$E$2002,5,FALSE),"")</f>
        <v/>
      </c>
      <c r="ED239" t="str">
        <f>+IFERROR(VLOOKUP(ED40,IN_Zugliste!$A$4:$E$2002,5,FALSE),"")</f>
        <v/>
      </c>
      <c r="EE239" t="str">
        <f>+IFERROR(VLOOKUP(EE40,IN_Zugliste!$A$4:$E$2002,5,FALSE),"")</f>
        <v/>
      </c>
      <c r="EF239" t="str">
        <f>+IFERROR(VLOOKUP(EF40,IN_Zugliste!$A$4:$E$2002,5,FALSE),"")</f>
        <v/>
      </c>
      <c r="EG239" t="str">
        <f>+IFERROR(VLOOKUP(EG40,IN_Zugliste!$A$4:$E$2002,5,FALSE),"")</f>
        <v/>
      </c>
      <c r="EH239" t="str">
        <f>+IFERROR(VLOOKUP(EH40,IN_Zugliste!$A$4:$E$2002,5,FALSE),"")</f>
        <v/>
      </c>
      <c r="EI239" t="str">
        <f>+IFERROR(VLOOKUP(EI40,IN_Zugliste!$A$4:$E$2002,5,FALSE),"")</f>
        <v/>
      </c>
      <c r="EJ239" t="str">
        <f>+IFERROR(VLOOKUP(EJ40,IN_Zugliste!$A$4:$E$2002,5,FALSE),"")</f>
        <v/>
      </c>
      <c r="EK239" t="str">
        <f>+IFERROR(VLOOKUP(EK40,IN_Zugliste!$A$4:$E$2002,5,FALSE),"")</f>
        <v/>
      </c>
      <c r="EL239" t="str">
        <f>+IFERROR(VLOOKUP(EL40,IN_Zugliste!$A$4:$E$2002,5,FALSE),"")</f>
        <v/>
      </c>
      <c r="EM239" t="str">
        <f>+IFERROR(VLOOKUP(EM40,IN_Zugliste!$A$4:$E$2002,5,FALSE),"")</f>
        <v/>
      </c>
      <c r="EN239" t="str">
        <f>+IFERROR(VLOOKUP(EN40,IN_Zugliste!$A$4:$E$2002,5,FALSE),"")</f>
        <v/>
      </c>
      <c r="EO239" t="str">
        <f>+IFERROR(VLOOKUP(EO40,IN_Zugliste!$A$4:$E$2002,5,FALSE),"")</f>
        <v/>
      </c>
      <c r="EP239" t="str">
        <f>+IFERROR(VLOOKUP(EP40,IN_Zugliste!$A$4:$E$2002,5,FALSE),"")</f>
        <v/>
      </c>
      <c r="EQ239" t="str">
        <f>+IFERROR(VLOOKUP(EQ40,IN_Zugliste!$A$4:$E$2002,5,FALSE),"")</f>
        <v/>
      </c>
      <c r="ER239" t="str">
        <f>+IFERROR(VLOOKUP(ER40,IN_Zugliste!$A$4:$E$2002,5,FALSE),"")</f>
        <v/>
      </c>
      <c r="ES239" t="str">
        <f>+IFERROR(VLOOKUP(ES40,IN_Zugliste!$A$4:$E$2002,5,FALSE),"")</f>
        <v/>
      </c>
      <c r="ET239" t="str">
        <f>+IFERROR(VLOOKUP(ET40,IN_Zugliste!$A$4:$E$2002,5,FALSE),"")</f>
        <v/>
      </c>
      <c r="EU239" t="str">
        <f>+IFERROR(VLOOKUP(EU40,IN_Zugliste!$A$4:$E$2002,5,FALSE),"")</f>
        <v/>
      </c>
      <c r="EV239" t="str">
        <f>+IFERROR(VLOOKUP(EV40,IN_Zugliste!$A$4:$E$2002,5,FALSE),"")</f>
        <v/>
      </c>
      <c r="EW239" t="str">
        <f>+IFERROR(VLOOKUP(EW40,IN_Zugliste!$A$4:$E$2002,5,FALSE),"")</f>
        <v/>
      </c>
      <c r="EX239" t="str">
        <f>+IFERROR(VLOOKUP(EX40,IN_Zugliste!$A$4:$E$2002,5,FALSE),"")</f>
        <v/>
      </c>
      <c r="EY239" t="str">
        <f>+IFERROR(VLOOKUP(EY40,IN_Zugliste!$A$4:$E$2002,5,FALSE),"")</f>
        <v/>
      </c>
      <c r="EZ239" t="str">
        <f>+IFERROR(VLOOKUP(EZ40,IN_Zugliste!$A$4:$E$2002,5,FALSE),"")</f>
        <v/>
      </c>
      <c r="FA239" t="str">
        <f>+IFERROR(VLOOKUP(FA40,IN_Zugliste!$A$4:$E$2002,5,FALSE),"")</f>
        <v/>
      </c>
      <c r="FB239" t="str">
        <f>+IFERROR(VLOOKUP(FB40,IN_Zugliste!$A$4:$E$2002,5,FALSE),"")</f>
        <v/>
      </c>
      <c r="FC239" t="str">
        <f>+IFERROR(VLOOKUP(FC40,IN_Zugliste!$A$4:$E$2002,5,FALSE),"")</f>
        <v/>
      </c>
      <c r="FD239" t="str">
        <f>+IFERROR(VLOOKUP(FD40,IN_Zugliste!$A$4:$E$2002,5,FALSE),"")</f>
        <v/>
      </c>
      <c r="FE239" t="str">
        <f>+IFERROR(VLOOKUP(FE40,IN_Zugliste!$A$4:$E$2002,5,FALSE),"")</f>
        <v/>
      </c>
      <c r="FF239" t="str">
        <f>+IFERROR(VLOOKUP(FF40,IN_Zugliste!$A$4:$E$2002,5,FALSE),"")</f>
        <v/>
      </c>
      <c r="FG239" t="str">
        <f>+IFERROR(VLOOKUP(FG40,IN_Zugliste!$A$4:$E$2002,5,FALSE),"")</f>
        <v/>
      </c>
      <c r="FH239" t="str">
        <f>+IFERROR(VLOOKUP(FH40,IN_Zugliste!$A$4:$E$2002,5,FALSE),"")</f>
        <v/>
      </c>
      <c r="FI239" t="str">
        <f>+IFERROR(VLOOKUP(FI40,IN_Zugliste!$A$4:$E$2002,5,FALSE),"")</f>
        <v/>
      </c>
      <c r="FJ239" t="str">
        <f>+IFERROR(VLOOKUP(FJ40,IN_Zugliste!$A$4:$E$2002,5,FALSE),"")</f>
        <v/>
      </c>
      <c r="FK239" t="str">
        <f>+IFERROR(VLOOKUP(FK40,IN_Zugliste!$A$4:$E$2002,5,FALSE),"")</f>
        <v/>
      </c>
      <c r="FL239" t="str">
        <f>+IFERROR(VLOOKUP(FL40,IN_Zugliste!$A$4:$E$2002,5,FALSE),"")</f>
        <v/>
      </c>
      <c r="FM239" t="str">
        <f>+IFERROR(VLOOKUP(FM40,IN_Zugliste!$A$4:$D$2002,5,FALSE),"")</f>
        <v/>
      </c>
      <c r="FN239" t="str">
        <f>+IFERROR(VLOOKUP(FN40,IN_Zugliste!$A$4:$D$2002,5,FALSE),"")</f>
        <v/>
      </c>
      <c r="FO239" t="str">
        <f>+IFERROR(VLOOKUP(FO40,IN_Zugliste!$A$4:$D$2002,5,FALSE),"")</f>
        <v/>
      </c>
      <c r="FP239" t="str">
        <f>+IFERROR(VLOOKUP(FP40,IN_Zugliste!$A$4:$D$2002,5,FALSE),"")</f>
        <v/>
      </c>
      <c r="FQ239" t="str">
        <f>+IFERROR(VLOOKUP(FQ40,IN_Zugliste!$A$4:$D$2002,5,FALSE),"")</f>
        <v/>
      </c>
      <c r="FR239" t="str">
        <f>+IFERROR(VLOOKUP(FR40,IN_Zugliste!$A$4:$D$2002,5,FALSE),"")</f>
        <v/>
      </c>
      <c r="FS239" t="str">
        <f>+IFERROR(VLOOKUP(FS40,IN_Zugliste!$A$4:$D$2002,5,FALSE),"")</f>
        <v/>
      </c>
      <c r="FT239" t="str">
        <f>+IFERROR(VLOOKUP(FT40,IN_Zugliste!$A$4:$D$2002,5,FALSE),"")</f>
        <v/>
      </c>
      <c r="FU239" t="str">
        <f>+IFERROR(VLOOKUP(FU40,IN_Zugliste!$A$4:$D$2002,5,FALSE),"")</f>
        <v/>
      </c>
      <c r="FV239" t="str">
        <f>+IFERROR(VLOOKUP(FV40,IN_Zugliste!$A$4:$D$2002,5,FALSE),"")</f>
        <v/>
      </c>
      <c r="FW239" t="str">
        <f>+IFERROR(VLOOKUP(FW40,IN_Zugliste!$A$4:$D$2002,5,FALSE),"")</f>
        <v/>
      </c>
      <c r="FX239" t="str">
        <f>+IFERROR(VLOOKUP(FX40,IN_Zugliste!$A$4:$D$2002,5,FALSE),"")</f>
        <v/>
      </c>
      <c r="FY239" t="str">
        <f>+IFERROR(VLOOKUP(FY40,IN_Zugliste!$A$4:$D$2002,5,FALSE),"")</f>
        <v/>
      </c>
      <c r="FZ239" t="str">
        <f>+IFERROR(VLOOKUP(FZ40,IN_Zugliste!$A$4:$D$2002,5,FALSE),"")</f>
        <v/>
      </c>
      <c r="GA239" t="str">
        <f>+IFERROR(VLOOKUP(GA40,IN_Zugliste!$A$4:$D$2002,5,FALSE),"")</f>
        <v/>
      </c>
      <c r="GB239" t="str">
        <f>+IFERROR(VLOOKUP(GB40,IN_Zugliste!$A$4:$D$2002,5,FALSE),"")</f>
        <v/>
      </c>
      <c r="GC239" t="str">
        <f>+IFERROR(VLOOKUP(GC40,IN_Zugliste!$A$4:$D$2002,5,FALSE),"")</f>
        <v/>
      </c>
      <c r="GD239" t="str">
        <f>+IFERROR(VLOOKUP(GD40,IN_Zugliste!$A$4:$D$2002,5,FALSE),"")</f>
        <v/>
      </c>
      <c r="GE239" t="str">
        <f>+IFERROR(VLOOKUP(GE40,IN_Zugliste!$A$4:$D$2002,5,FALSE),"")</f>
        <v/>
      </c>
      <c r="GF239" t="str">
        <f>+IFERROR(VLOOKUP(GF40,IN_Zugliste!$A$4:$D$2002,5,FALSE),"")</f>
        <v/>
      </c>
      <c r="GG239" t="str">
        <f>+IFERROR(VLOOKUP(GG40,IN_Zugliste!$A$4:$D$2002,5,FALSE),"")</f>
        <v/>
      </c>
      <c r="GH239" t="str">
        <f>+IFERROR(VLOOKUP(GH40,IN_Zugliste!$A$4:$D$2002,5,FALSE),"")</f>
        <v/>
      </c>
      <c r="GI239" t="str">
        <f>+IFERROR(VLOOKUP(GI40,IN_Zugliste!$A$4:$D$2002,5,FALSE),"")</f>
        <v/>
      </c>
      <c r="GJ239" t="str">
        <f>+IFERROR(VLOOKUP(GJ40,IN_Zugliste!$A$4:$D$2002,5,FALSE),"")</f>
        <v/>
      </c>
      <c r="GK239" t="str">
        <f>+IFERROR(VLOOKUP(GK40,IN_Zugliste!$A$4:$D$2002,5,FALSE),"")</f>
        <v/>
      </c>
      <c r="GL239" t="str">
        <f>+IFERROR(VLOOKUP(GL40,IN_Zugliste!$A$4:$D$2002,5,FALSE),"")</f>
        <v/>
      </c>
      <c r="GM239" t="str">
        <f>+IFERROR(VLOOKUP(GM40,IN_Zugliste!$A$4:$D$2002,5,FALSE),"")</f>
        <v/>
      </c>
      <c r="GN239" t="str">
        <f>+IFERROR(VLOOKUP(GN40,IN_Zugliste!$A$4:$D$2002,5,FALSE),"")</f>
        <v/>
      </c>
      <c r="GO239" t="str">
        <f>+IFERROR(VLOOKUP(GO40,IN_Zugliste!$A$4:$D$2002,5,FALSE),"")</f>
        <v/>
      </c>
      <c r="GP239" t="str">
        <f>+IFERROR(VLOOKUP(GP40,IN_Zugliste!$A$4:$D$2002,5,FALSE),"")</f>
        <v/>
      </c>
      <c r="GQ239" t="str">
        <f>+IFERROR(VLOOKUP(GQ40,IN_Zugliste!$A$4:$D$2002,5,FALSE),"")</f>
        <v/>
      </c>
      <c r="GR239" t="str">
        <f>+IFERROR(VLOOKUP(GR40,IN_Zugliste!$A$4:$D$2002,5,FALSE),"")</f>
        <v/>
      </c>
      <c r="GS239" t="str">
        <f>+IFERROR(VLOOKUP(GS40,IN_Zugliste!$A$4:$D$2002,5,FALSE),"")</f>
        <v/>
      </c>
      <c r="GT239" t="str">
        <f>+IFERROR(VLOOKUP(GT40,IN_Zugliste!$A$4:$D$2002,5,FALSE),"")</f>
        <v/>
      </c>
      <c r="GU239" t="str">
        <f>+IFERROR(VLOOKUP(GU40,IN_Zugliste!$A$4:$D$2002,5,FALSE),"")</f>
        <v/>
      </c>
      <c r="GV239" t="str">
        <f>+IFERROR(VLOOKUP(GV40,IN_Zugliste!$A$4:$D$2002,5,FALSE),"")</f>
        <v/>
      </c>
      <c r="GW239" t="str">
        <f>+IFERROR(VLOOKUP(GW40,IN_Zugliste!$A$4:$D$2002,5,FALSE),"")</f>
        <v/>
      </c>
      <c r="GX239" t="str">
        <f>+IFERROR(VLOOKUP(GX40,IN_Zugliste!$A$4:$D$2002,5,FALSE),"")</f>
        <v/>
      </c>
      <c r="GY239" t="str">
        <f>+IFERROR(VLOOKUP(GY40,IN_Zugliste!$A$4:$D$2002,5,FALSE),"")</f>
        <v/>
      </c>
      <c r="GZ239" t="str">
        <f>+IFERROR(VLOOKUP(GZ40,IN_Zugliste!$A$4:$D$2002,5,FALSE),"")</f>
        <v/>
      </c>
      <c r="HA239" t="str">
        <f>+IFERROR(VLOOKUP(HA40,IN_Zugliste!$A$4:$D$2002,5,FALSE),"")</f>
        <v/>
      </c>
      <c r="HB239" t="str">
        <f>+IFERROR(VLOOKUP(HB40,IN_Zugliste!$A$4:$D$2002,5,FALSE),"")</f>
        <v/>
      </c>
      <c r="HC239" t="str">
        <f>+IFERROR(VLOOKUP(HC40,IN_Zugliste!$A$4:$D$2002,5,FALSE),"")</f>
        <v/>
      </c>
      <c r="HD239" t="str">
        <f>+IFERROR(VLOOKUP(HD40,IN_Zugliste!$A$4:$D$2002,5,FALSE),"")</f>
        <v/>
      </c>
      <c r="HE239" t="str">
        <f>+IFERROR(VLOOKUP(HE40,IN_Zugliste!$A$4:$D$2002,5,FALSE),"")</f>
        <v/>
      </c>
      <c r="HF239" t="str">
        <f>+IFERROR(VLOOKUP(HF40,IN_Zugliste!$A$4:$D$2002,5,FALSE),"")</f>
        <v/>
      </c>
      <c r="HG239" t="str">
        <f>+IFERROR(VLOOKUP(HG40,IN_Zugliste!$A$4:$D$2002,5,FALSE),"")</f>
        <v/>
      </c>
      <c r="HH239" t="str">
        <f>+IFERROR(VLOOKUP(HH40,IN_Zugliste!$A$4:$D$2002,5,FALSE),"")</f>
        <v/>
      </c>
    </row>
    <row r="240" spans="1:216" x14ac:dyDescent="0.2">
      <c r="A240" t="str">
        <f>+IFERROR(VLOOKUP(A41,IN_Zugliste!$A$4:$E$2002,5,FALSE),"")</f>
        <v/>
      </c>
      <c r="B240" t="str">
        <f>+IFERROR(VLOOKUP(B41,IN_Zugliste!$A$4:$E$2002,5,FALSE),"")</f>
        <v/>
      </c>
      <c r="C240" t="str">
        <f>+IFERROR(VLOOKUP(C41,IN_Zugliste!$A$4:$E$2002,5,FALSE),"")</f>
        <v/>
      </c>
      <c r="D240" t="str">
        <f>+IFERROR(VLOOKUP(D41,IN_Zugliste!$A$4:$E$2002,5,FALSE),"")</f>
        <v/>
      </c>
      <c r="E240" t="str">
        <f>+IFERROR(VLOOKUP(E41,IN_Zugliste!$A$4:$E$2002,5,FALSE),"")</f>
        <v/>
      </c>
      <c r="F240" t="str">
        <f>+IFERROR(VLOOKUP(F41,IN_Zugliste!$A$4:$E$2002,5,FALSE),"")</f>
        <v/>
      </c>
      <c r="G240" t="str">
        <f>+IFERROR(VLOOKUP(G41,IN_Zugliste!$A$4:$E$2002,5,FALSE),"")</f>
        <v/>
      </c>
      <c r="H240" t="str">
        <f>+IFERROR(VLOOKUP(H41,IN_Zugliste!$A$4:$E$2002,5,FALSE),"")</f>
        <v/>
      </c>
      <c r="I240" t="str">
        <f>+IFERROR(VLOOKUP(I41,IN_Zugliste!$A$4:$E$2002,5,FALSE),"")</f>
        <v/>
      </c>
      <c r="J240" t="str">
        <f>+IFERROR(VLOOKUP(J41,IN_Zugliste!$A$4:$E$2002,5,FALSE),"")</f>
        <v/>
      </c>
      <c r="K240" t="str">
        <f>+IFERROR(VLOOKUP(K41,IN_Zugliste!$A$4:$E$2002,5,FALSE),"")</f>
        <v/>
      </c>
      <c r="L240" t="str">
        <f>+IFERROR(VLOOKUP(L41,IN_Zugliste!$A$4:$E$2002,5,FALSE),"")</f>
        <v/>
      </c>
      <c r="M240" t="str">
        <f>+IFERROR(VLOOKUP(M41,IN_Zugliste!$A$4:$E$2002,5,FALSE),"")</f>
        <v/>
      </c>
      <c r="N240" t="str">
        <f>+IFERROR(VLOOKUP(N41,IN_Zugliste!$A$4:$E$2002,5,FALSE),"")</f>
        <v/>
      </c>
      <c r="O240" t="str">
        <f>+IFERROR(VLOOKUP(O41,IN_Zugliste!$A$4:$E$2002,5,FALSE),"")</f>
        <v/>
      </c>
      <c r="P240" t="str">
        <f>+IFERROR(VLOOKUP(P41,IN_Zugliste!$A$4:$E$2002,5,FALSE),"")</f>
        <v/>
      </c>
      <c r="Q240" t="str">
        <f>+IFERROR(VLOOKUP(Q41,IN_Zugliste!$A$4:$E$2002,5,FALSE),"")</f>
        <v/>
      </c>
      <c r="R240" t="str">
        <f>+IFERROR(VLOOKUP(R41,IN_Zugliste!$A$4:$E$2002,5,FALSE),"")</f>
        <v/>
      </c>
      <c r="S240" t="str">
        <f>+IFERROR(VLOOKUP(S41,IN_Zugliste!$A$4:$E$2002,5,FALSE),"")</f>
        <v/>
      </c>
      <c r="T240" t="str">
        <f>+IFERROR(VLOOKUP(T41,IN_Zugliste!$A$4:$E$2002,5,FALSE),"")</f>
        <v/>
      </c>
      <c r="U240" t="str">
        <f>+IFERROR(VLOOKUP(U41,IN_Zugliste!$A$4:$E$2002,5,FALSE),"")</f>
        <v/>
      </c>
      <c r="V240" t="str">
        <f>+IFERROR(VLOOKUP(V41,IN_Zugliste!$A$4:$E$2002,5,FALSE),"")</f>
        <v/>
      </c>
      <c r="W240" t="str">
        <f>+IFERROR(VLOOKUP(W41,IN_Zugliste!$A$4:$E$2002,5,FALSE),"")</f>
        <v/>
      </c>
      <c r="X240" t="str">
        <f>+IFERROR(VLOOKUP(X41,IN_Zugliste!$A$4:$E$2002,5,FALSE),"")</f>
        <v/>
      </c>
      <c r="Y240" t="str">
        <f>+IFERROR(VLOOKUP(Y41,IN_Zugliste!$A$4:$E$2002,5,FALSE),"")</f>
        <v/>
      </c>
      <c r="Z240" t="str">
        <f>+IFERROR(VLOOKUP(Z41,IN_Zugliste!$A$4:$E$2002,5,FALSE),"")</f>
        <v/>
      </c>
      <c r="AA240" t="str">
        <f>+IFERROR(VLOOKUP(AA41,IN_Zugliste!$A$4:$E$2002,5,FALSE),"")</f>
        <v/>
      </c>
      <c r="AB240" t="str">
        <f>+IFERROR(VLOOKUP(AB41,IN_Zugliste!$A$4:$E$2002,5,FALSE),"")</f>
        <v/>
      </c>
      <c r="AC240" t="str">
        <f>+IFERROR(VLOOKUP(AC41,IN_Zugliste!$A$4:$E$2002,5,FALSE),"")</f>
        <v/>
      </c>
      <c r="AD240" t="str">
        <f>+IFERROR(VLOOKUP(AD41,IN_Zugliste!$A$4:$E$2002,5,FALSE),"")</f>
        <v/>
      </c>
      <c r="AE240" t="str">
        <f>+IFERROR(VLOOKUP(AE41,IN_Zugliste!$A$4:$E$2002,5,FALSE),"")</f>
        <v/>
      </c>
      <c r="AF240" t="str">
        <f>+IFERROR(VLOOKUP(AF41,IN_Zugliste!$A$4:$E$2002,5,FALSE),"")</f>
        <v/>
      </c>
      <c r="AG240" t="str">
        <f>+IFERROR(VLOOKUP(AG41,IN_Zugliste!$A$4:$E$2002,5,FALSE),"")</f>
        <v/>
      </c>
      <c r="AH240" t="str">
        <f>+IFERROR(VLOOKUP(AH41,IN_Zugliste!$A$4:$E$2002,5,FALSE),"")</f>
        <v/>
      </c>
      <c r="AI240" t="str">
        <f>+IFERROR(VLOOKUP(AI41,IN_Zugliste!$A$4:$E$2002,5,FALSE),"")</f>
        <v/>
      </c>
      <c r="AJ240" t="str">
        <f>+IFERROR(VLOOKUP(AJ41,IN_Zugliste!$A$4:$E$2002,5,FALSE),"")</f>
        <v/>
      </c>
      <c r="AK240" t="str">
        <f>+IFERROR(VLOOKUP(AK41,IN_Zugliste!$A$4:$E$2002,5,FALSE),"")</f>
        <v/>
      </c>
      <c r="AL240" t="str">
        <f>+IFERROR(VLOOKUP(AL41,IN_Zugliste!$A$4:$E$2002,5,FALSE),"")</f>
        <v/>
      </c>
      <c r="AM240" t="str">
        <f>+IFERROR(VLOOKUP(AM41,IN_Zugliste!$A$4:$E$2002,5,FALSE),"")</f>
        <v/>
      </c>
      <c r="AN240" t="str">
        <f>+IFERROR(VLOOKUP(AN41,IN_Zugliste!$A$4:$E$2002,5,FALSE),"")</f>
        <v/>
      </c>
      <c r="AO240" t="str">
        <f>+IFERROR(VLOOKUP(AO41,IN_Zugliste!$A$4:$E$2002,5,FALSE),"")</f>
        <v/>
      </c>
      <c r="AP240" t="str">
        <f>+IFERROR(VLOOKUP(AP41,IN_Zugliste!$A$4:$E$2002,5,FALSE),"")</f>
        <v/>
      </c>
      <c r="AQ240" t="str">
        <f>+IFERROR(VLOOKUP(AQ41,IN_Zugliste!$A$4:$E$2002,5,FALSE),"")</f>
        <v/>
      </c>
      <c r="AR240" t="str">
        <f>+IFERROR(VLOOKUP(AR41,IN_Zugliste!$A$4:$E$2002,5,FALSE),"")</f>
        <v/>
      </c>
      <c r="AS240" t="str">
        <f>+IFERROR(VLOOKUP(AS41,IN_Zugliste!$A$4:$E$2002,5,FALSE),"")</f>
        <v/>
      </c>
      <c r="AT240" t="str">
        <f>+IFERROR(VLOOKUP(AT41,IN_Zugliste!$A$4:$E$2002,5,FALSE),"")</f>
        <v/>
      </c>
      <c r="AU240" t="str">
        <f>+IFERROR(VLOOKUP(AU41,IN_Zugliste!$A$4:$E$2002,5,FALSE),"")</f>
        <v/>
      </c>
      <c r="AV240" t="str">
        <f>+IFERROR(VLOOKUP(AV41,IN_Zugliste!$A$4:$E$2002,5,FALSE),"")</f>
        <v/>
      </c>
      <c r="AW240" t="str">
        <f>+IFERROR(VLOOKUP(AW41,IN_Zugliste!$A$4:$E$2002,5,FALSE),"")</f>
        <v/>
      </c>
      <c r="AX240" t="str">
        <f>+IFERROR(VLOOKUP(AX41,IN_Zugliste!$A$4:$E$2002,5,FALSE),"")</f>
        <v/>
      </c>
      <c r="AY240" t="str">
        <f>+IFERROR(VLOOKUP(AY41,IN_Zugliste!$A$4:$E$2002,5,FALSE),"")</f>
        <v/>
      </c>
      <c r="AZ240" t="str">
        <f>+IFERROR(VLOOKUP(AZ41,IN_Zugliste!$A$4:$E$2002,5,FALSE),"")</f>
        <v/>
      </c>
      <c r="BA240" t="str">
        <f>+IFERROR(VLOOKUP(BA41,IN_Zugliste!$A$4:$E$2002,5,FALSE),"")</f>
        <v/>
      </c>
      <c r="BB240" t="str">
        <f>+IFERROR(VLOOKUP(BB41,IN_Zugliste!$A$4:$E$2002,5,FALSE),"")</f>
        <v/>
      </c>
      <c r="BC240" t="str">
        <f>+IFERROR(VLOOKUP(BC41,IN_Zugliste!$A$4:$E$2002,5,FALSE),"")</f>
        <v/>
      </c>
      <c r="BD240" t="str">
        <f>+IFERROR(VLOOKUP(BD41,IN_Zugliste!$A$4:$E$2002,5,FALSE),"")</f>
        <v/>
      </c>
      <c r="BE240" t="str">
        <f>+IFERROR(VLOOKUP(BE41,IN_Zugliste!$A$4:$E$2002,5,FALSE),"")</f>
        <v/>
      </c>
      <c r="BF240" t="str">
        <f>+IFERROR(VLOOKUP(BF41,IN_Zugliste!$A$4:$E$2002,5,FALSE),"")</f>
        <v/>
      </c>
      <c r="BG240" t="str">
        <f>+IFERROR(VLOOKUP(BG41,IN_Zugliste!$A$4:$E$2002,5,FALSE),"")</f>
        <v/>
      </c>
      <c r="BH240" t="str">
        <f>+IFERROR(VLOOKUP(BH41,IN_Zugliste!$A$4:$E$2002,5,FALSE),"")</f>
        <v/>
      </c>
      <c r="BI240" t="str">
        <f>+IFERROR(VLOOKUP(BI41,IN_Zugliste!$A$4:$E$2002,5,FALSE),"")</f>
        <v/>
      </c>
      <c r="BJ240" t="str">
        <f>+IFERROR(VLOOKUP(BJ41,IN_Zugliste!$A$4:$E$2002,5,FALSE),"")</f>
        <v/>
      </c>
      <c r="BK240" t="str">
        <f>+IFERROR(VLOOKUP(BK41,IN_Zugliste!$A$4:$E$2002,5,FALSE),"")</f>
        <v/>
      </c>
      <c r="BL240" t="str">
        <f>+IFERROR(VLOOKUP(BL41,IN_Zugliste!$A$4:$E$2002,5,FALSE),"")</f>
        <v/>
      </c>
      <c r="BM240" t="str">
        <f>+IFERROR(VLOOKUP(BM41,IN_Zugliste!$A$4:$E$2002,5,FALSE),"")</f>
        <v/>
      </c>
      <c r="BN240" t="str">
        <f>+IFERROR(VLOOKUP(BN41,IN_Zugliste!$A$4:$E$2002,5,FALSE),"")</f>
        <v/>
      </c>
      <c r="BO240" t="str">
        <f>+IFERROR(VLOOKUP(BO41,IN_Zugliste!$A$4:$E$2002,5,FALSE),"")</f>
        <v/>
      </c>
      <c r="BP240" t="str">
        <f>+IFERROR(VLOOKUP(BP41,IN_Zugliste!$A$4:$E$2002,5,FALSE),"")</f>
        <v/>
      </c>
      <c r="BQ240" t="str">
        <f>+IFERROR(VLOOKUP(BQ41,IN_Zugliste!$A$4:$E$2002,5,FALSE),"")</f>
        <v/>
      </c>
      <c r="BR240" t="str">
        <f>+IFERROR(VLOOKUP(BR41,IN_Zugliste!$A$4:$E$2002,5,FALSE),"")</f>
        <v/>
      </c>
      <c r="BS240" t="str">
        <f>+IFERROR(VLOOKUP(BS41,IN_Zugliste!$A$4:$E$2002,5,FALSE),"")</f>
        <v/>
      </c>
      <c r="BT240" t="str">
        <f>+IFERROR(VLOOKUP(BT41,IN_Zugliste!$A$4:$E$2002,5,FALSE),"")</f>
        <v/>
      </c>
      <c r="BU240" t="str">
        <f>+IFERROR(VLOOKUP(BU41,IN_Zugliste!$A$4:$E$2002,5,FALSE),"")</f>
        <v/>
      </c>
      <c r="BV240" t="str">
        <f>+IFERROR(VLOOKUP(BV41,IN_Zugliste!$A$4:$E$2002,5,FALSE),"")</f>
        <v/>
      </c>
      <c r="BW240" t="str">
        <f>+IFERROR(VLOOKUP(BW41,IN_Zugliste!$A$4:$E$2002,5,FALSE),"")</f>
        <v/>
      </c>
      <c r="BX240" t="str">
        <f>+IFERROR(VLOOKUP(BX41,IN_Zugliste!$A$4:$E$2002,5,FALSE),"")</f>
        <v/>
      </c>
      <c r="BY240" t="str">
        <f>+IFERROR(VLOOKUP(BY41,IN_Zugliste!$A$4:$E$2002,5,FALSE),"")</f>
        <v/>
      </c>
      <c r="BZ240" t="str">
        <f>+IFERROR(VLOOKUP(BZ41,IN_Zugliste!$A$4:$E$2002,5,FALSE),"")</f>
        <v/>
      </c>
      <c r="CA240" t="str">
        <f>+IFERROR(VLOOKUP(CA41,IN_Zugliste!$A$4:$E$2002,5,FALSE),"")</f>
        <v/>
      </c>
      <c r="CB240" t="str">
        <f>+IFERROR(VLOOKUP(CB41,IN_Zugliste!$A$4:$E$2002,5,FALSE),"")</f>
        <v/>
      </c>
      <c r="CC240" t="str">
        <f>+IFERROR(VLOOKUP(CC41,IN_Zugliste!$A$4:$E$2002,5,FALSE),"")</f>
        <v/>
      </c>
      <c r="CD240" t="str">
        <f>+IFERROR(VLOOKUP(CD41,IN_Zugliste!$A$4:$E$2002,5,FALSE),"")</f>
        <v/>
      </c>
      <c r="CE240" t="str">
        <f>+IFERROR(VLOOKUP(CE41,IN_Zugliste!$A$4:$E$2002,5,FALSE),"")</f>
        <v/>
      </c>
      <c r="CF240" t="str">
        <f>+IFERROR(VLOOKUP(CF41,IN_Zugliste!$A$4:$E$2002,5,FALSE),"")</f>
        <v/>
      </c>
      <c r="CG240" t="str">
        <f>+IFERROR(VLOOKUP(CG41,IN_Zugliste!$A$4:$E$2002,5,FALSE),"")</f>
        <v/>
      </c>
      <c r="CH240" t="str">
        <f>+IFERROR(VLOOKUP(CH41,IN_Zugliste!$A$4:$E$2002,5,FALSE),"")</f>
        <v/>
      </c>
      <c r="CI240" t="str">
        <f>+IFERROR(VLOOKUP(CI41,IN_Zugliste!$A$4:$E$2002,5,FALSE),"")</f>
        <v/>
      </c>
      <c r="CJ240" t="str">
        <f>+IFERROR(VLOOKUP(CJ41,IN_Zugliste!$A$4:$E$2002,5,FALSE),"")</f>
        <v/>
      </c>
      <c r="CK240" t="str">
        <f>+IFERROR(VLOOKUP(CK41,IN_Zugliste!$A$4:$E$2002,5,FALSE),"")</f>
        <v/>
      </c>
      <c r="CL240" t="str">
        <f>+IFERROR(VLOOKUP(CL41,IN_Zugliste!$A$4:$E$2002,5,FALSE),"")</f>
        <v/>
      </c>
      <c r="CM240" t="str">
        <f>+IFERROR(VLOOKUP(CM41,IN_Zugliste!$A$4:$E$2002,5,FALSE),"")</f>
        <v/>
      </c>
      <c r="CN240" t="str">
        <f>+IFERROR(VLOOKUP(CN41,IN_Zugliste!$A$4:$E$2002,5,FALSE),"")</f>
        <v/>
      </c>
      <c r="CO240" t="str">
        <f>+IFERROR(VLOOKUP(CO41,IN_Zugliste!$A$4:$E$2002,5,FALSE),"")</f>
        <v/>
      </c>
      <c r="CP240" t="str">
        <f>+IFERROR(VLOOKUP(CP41,IN_Zugliste!$A$4:$E$2002,5,FALSE),"")</f>
        <v/>
      </c>
      <c r="CQ240" t="str">
        <f>+IFERROR(VLOOKUP(CQ41,IN_Zugliste!$A$4:$E$2002,5,FALSE),"")</f>
        <v/>
      </c>
      <c r="CR240" t="str">
        <f>+IFERROR(VLOOKUP(CR41,IN_Zugliste!$A$4:$E$2002,5,FALSE),"")</f>
        <v/>
      </c>
      <c r="CS240" t="str">
        <f>+IFERROR(VLOOKUP(CS41,IN_Zugliste!$A$4:$E$2002,5,FALSE),"")</f>
        <v/>
      </c>
      <c r="CT240" t="str">
        <f>+IFERROR(VLOOKUP(CT41,IN_Zugliste!$A$4:$E$2002,5,FALSE),"")</f>
        <v/>
      </c>
      <c r="CU240" t="str">
        <f>+IFERROR(VLOOKUP(CU41,IN_Zugliste!$A$4:$E$2002,5,FALSE),"")</f>
        <v/>
      </c>
      <c r="CV240" t="str">
        <f>+IFERROR(VLOOKUP(CV41,IN_Zugliste!$A$4:$E$2002,5,FALSE),"")</f>
        <v/>
      </c>
      <c r="CW240" t="str">
        <f>+IFERROR(VLOOKUP(CW41,IN_Zugliste!$A$4:$E$2002,5,FALSE),"")</f>
        <v/>
      </c>
      <c r="CX240" t="str">
        <f>+IFERROR(VLOOKUP(CX41,IN_Zugliste!$A$4:$E$2002,5,FALSE),"")</f>
        <v/>
      </c>
      <c r="CY240" t="str">
        <f>+IFERROR(VLOOKUP(CY41,IN_Zugliste!$A$4:$E$2002,5,FALSE),"")</f>
        <v/>
      </c>
      <c r="CZ240" t="str">
        <f>+IFERROR(VLOOKUP(CZ41,IN_Zugliste!$A$4:$E$2002,5,FALSE),"")</f>
        <v/>
      </c>
      <c r="DA240" t="str">
        <f>+IFERROR(VLOOKUP(DA41,IN_Zugliste!$A$4:$E$2002,5,FALSE),"")</f>
        <v/>
      </c>
      <c r="DB240" t="str">
        <f>+IFERROR(VLOOKUP(DB41,IN_Zugliste!$A$4:$E$2002,5,FALSE),"")</f>
        <v/>
      </c>
      <c r="DC240" t="str">
        <f>+IFERROR(VLOOKUP(DC41,IN_Zugliste!$A$4:$E$2002,5,FALSE),"")</f>
        <v/>
      </c>
      <c r="DD240" t="str">
        <f>+IFERROR(VLOOKUP(DD41,IN_Zugliste!$A$4:$E$2002,5,FALSE),"")</f>
        <v/>
      </c>
      <c r="DE240" t="str">
        <f>+IFERROR(VLOOKUP(DE41,IN_Zugliste!$A$4:$E$2002,5,FALSE),"")</f>
        <v/>
      </c>
      <c r="DF240" t="str">
        <f>+IFERROR(VLOOKUP(DF41,IN_Zugliste!$A$4:$E$2002,5,FALSE),"")</f>
        <v/>
      </c>
      <c r="DG240" t="str">
        <f>+IFERROR(VLOOKUP(DG41,IN_Zugliste!$A$4:$E$2002,5,FALSE),"")</f>
        <v/>
      </c>
      <c r="DH240" t="str">
        <f>+IFERROR(VLOOKUP(DH41,IN_Zugliste!$A$4:$E$2002,5,FALSE),"")</f>
        <v/>
      </c>
      <c r="DI240" t="str">
        <f>+IFERROR(VLOOKUP(DI41,IN_Zugliste!$A$4:$E$2002,5,FALSE),"")</f>
        <v/>
      </c>
      <c r="DJ240" t="str">
        <f>+IFERROR(VLOOKUP(DJ41,IN_Zugliste!$A$4:$E$2002,5,FALSE),"")</f>
        <v/>
      </c>
      <c r="DK240" t="str">
        <f>+IFERROR(VLOOKUP(DK41,IN_Zugliste!$A$4:$E$2002,5,FALSE),"")</f>
        <v/>
      </c>
      <c r="DL240" t="str">
        <f>+IFERROR(VLOOKUP(DL41,IN_Zugliste!$A$4:$E$2002,5,FALSE),"")</f>
        <v/>
      </c>
      <c r="DM240" t="str">
        <f>+IFERROR(VLOOKUP(DM41,IN_Zugliste!$A$4:$E$2002,5,FALSE),"")</f>
        <v/>
      </c>
      <c r="DN240" t="str">
        <f>+IFERROR(VLOOKUP(DN41,IN_Zugliste!$A$4:$E$2002,5,FALSE),"")</f>
        <v/>
      </c>
      <c r="DO240" t="str">
        <f>+IFERROR(VLOOKUP(DO41,IN_Zugliste!$A$4:$E$2002,5,FALSE),"")</f>
        <v/>
      </c>
      <c r="DP240" t="str">
        <f>+IFERROR(VLOOKUP(DP41,IN_Zugliste!$A$4:$E$2002,5,FALSE),"")</f>
        <v/>
      </c>
      <c r="DQ240" t="str">
        <f>+IFERROR(VLOOKUP(DQ41,IN_Zugliste!$A$4:$E$2002,5,FALSE),"")</f>
        <v/>
      </c>
      <c r="DR240" t="str">
        <f>+IFERROR(VLOOKUP(DR41,IN_Zugliste!$A$4:$E$2002,5,FALSE),"")</f>
        <v/>
      </c>
      <c r="DS240" t="str">
        <f>+IFERROR(VLOOKUP(DS41,IN_Zugliste!$A$4:$E$2002,5,FALSE),"")</f>
        <v/>
      </c>
      <c r="DT240" t="str">
        <f>+IFERROR(VLOOKUP(DT41,IN_Zugliste!$A$4:$E$2002,5,FALSE),"")</f>
        <v/>
      </c>
      <c r="DU240" t="str">
        <f>+IFERROR(VLOOKUP(DU41,IN_Zugliste!$A$4:$E$2002,5,FALSE),"")</f>
        <v/>
      </c>
      <c r="DV240" t="str">
        <f>+IFERROR(VLOOKUP(DV41,IN_Zugliste!$A$4:$E$2002,5,FALSE),"")</f>
        <v/>
      </c>
      <c r="DW240" t="str">
        <f>+IFERROR(VLOOKUP(DW41,IN_Zugliste!$A$4:$E$2002,5,FALSE),"")</f>
        <v/>
      </c>
      <c r="DX240" t="str">
        <f>+IFERROR(VLOOKUP(DX41,IN_Zugliste!$A$4:$E$2002,5,FALSE),"")</f>
        <v/>
      </c>
      <c r="DY240" t="str">
        <f>+IFERROR(VLOOKUP(DY41,IN_Zugliste!$A$4:$E$2002,5,FALSE),"")</f>
        <v/>
      </c>
      <c r="DZ240" t="str">
        <f>+IFERROR(VLOOKUP(DZ41,IN_Zugliste!$A$4:$E$2002,5,FALSE),"")</f>
        <v/>
      </c>
      <c r="EA240" t="str">
        <f>+IFERROR(VLOOKUP(EA41,IN_Zugliste!$A$4:$E$2002,5,FALSE),"")</f>
        <v/>
      </c>
      <c r="EB240" t="str">
        <f>+IFERROR(VLOOKUP(EB41,IN_Zugliste!$A$4:$E$2002,5,FALSE),"")</f>
        <v/>
      </c>
      <c r="EC240" t="str">
        <f>+IFERROR(VLOOKUP(EC41,IN_Zugliste!$A$4:$E$2002,5,FALSE),"")</f>
        <v/>
      </c>
      <c r="ED240" t="str">
        <f>+IFERROR(VLOOKUP(ED41,IN_Zugliste!$A$4:$E$2002,5,FALSE),"")</f>
        <v/>
      </c>
      <c r="EE240" t="str">
        <f>+IFERROR(VLOOKUP(EE41,IN_Zugliste!$A$4:$E$2002,5,FALSE),"")</f>
        <v/>
      </c>
      <c r="EF240" t="str">
        <f>+IFERROR(VLOOKUP(EF41,IN_Zugliste!$A$4:$E$2002,5,FALSE),"")</f>
        <v/>
      </c>
      <c r="EG240" t="str">
        <f>+IFERROR(VLOOKUP(EG41,IN_Zugliste!$A$4:$E$2002,5,FALSE),"")</f>
        <v/>
      </c>
      <c r="EH240" t="str">
        <f>+IFERROR(VLOOKUP(EH41,IN_Zugliste!$A$4:$E$2002,5,FALSE),"")</f>
        <v/>
      </c>
      <c r="EI240" t="str">
        <f>+IFERROR(VLOOKUP(EI41,IN_Zugliste!$A$4:$E$2002,5,FALSE),"")</f>
        <v/>
      </c>
      <c r="EJ240" t="str">
        <f>+IFERROR(VLOOKUP(EJ41,IN_Zugliste!$A$4:$E$2002,5,FALSE),"")</f>
        <v/>
      </c>
      <c r="EK240" t="str">
        <f>+IFERROR(VLOOKUP(EK41,IN_Zugliste!$A$4:$E$2002,5,FALSE),"")</f>
        <v/>
      </c>
      <c r="EL240" t="str">
        <f>+IFERROR(VLOOKUP(EL41,IN_Zugliste!$A$4:$E$2002,5,FALSE),"")</f>
        <v/>
      </c>
      <c r="EM240" t="str">
        <f>+IFERROR(VLOOKUP(EM41,IN_Zugliste!$A$4:$E$2002,5,FALSE),"")</f>
        <v/>
      </c>
      <c r="EN240" t="str">
        <f>+IFERROR(VLOOKUP(EN41,IN_Zugliste!$A$4:$E$2002,5,FALSE),"")</f>
        <v/>
      </c>
      <c r="EO240" t="str">
        <f>+IFERROR(VLOOKUP(EO41,IN_Zugliste!$A$4:$E$2002,5,FALSE),"")</f>
        <v/>
      </c>
      <c r="EP240" t="str">
        <f>+IFERROR(VLOOKUP(EP41,IN_Zugliste!$A$4:$E$2002,5,FALSE),"")</f>
        <v/>
      </c>
      <c r="EQ240" t="str">
        <f>+IFERROR(VLOOKUP(EQ41,IN_Zugliste!$A$4:$E$2002,5,FALSE),"")</f>
        <v/>
      </c>
      <c r="ER240" t="str">
        <f>+IFERROR(VLOOKUP(ER41,IN_Zugliste!$A$4:$E$2002,5,FALSE),"")</f>
        <v/>
      </c>
      <c r="ES240" t="str">
        <f>+IFERROR(VLOOKUP(ES41,IN_Zugliste!$A$4:$E$2002,5,FALSE),"")</f>
        <v/>
      </c>
      <c r="ET240" t="str">
        <f>+IFERROR(VLOOKUP(ET41,IN_Zugliste!$A$4:$E$2002,5,FALSE),"")</f>
        <v/>
      </c>
      <c r="EU240" t="str">
        <f>+IFERROR(VLOOKUP(EU41,IN_Zugliste!$A$4:$E$2002,5,FALSE),"")</f>
        <v/>
      </c>
      <c r="EV240" t="str">
        <f>+IFERROR(VLOOKUP(EV41,IN_Zugliste!$A$4:$E$2002,5,FALSE),"")</f>
        <v/>
      </c>
      <c r="EW240" t="str">
        <f>+IFERROR(VLOOKUP(EW41,IN_Zugliste!$A$4:$E$2002,5,FALSE),"")</f>
        <v/>
      </c>
      <c r="EX240" t="str">
        <f>+IFERROR(VLOOKUP(EX41,IN_Zugliste!$A$4:$E$2002,5,FALSE),"")</f>
        <v/>
      </c>
      <c r="EY240" t="str">
        <f>+IFERROR(VLOOKUP(EY41,IN_Zugliste!$A$4:$E$2002,5,FALSE),"")</f>
        <v/>
      </c>
      <c r="EZ240" t="str">
        <f>+IFERROR(VLOOKUP(EZ41,IN_Zugliste!$A$4:$E$2002,5,FALSE),"")</f>
        <v/>
      </c>
      <c r="FA240" t="str">
        <f>+IFERROR(VLOOKUP(FA41,IN_Zugliste!$A$4:$E$2002,5,FALSE),"")</f>
        <v/>
      </c>
      <c r="FB240" t="str">
        <f>+IFERROR(VLOOKUP(FB41,IN_Zugliste!$A$4:$E$2002,5,FALSE),"")</f>
        <v/>
      </c>
      <c r="FC240" t="str">
        <f>+IFERROR(VLOOKUP(FC41,IN_Zugliste!$A$4:$E$2002,5,FALSE),"")</f>
        <v/>
      </c>
      <c r="FD240" t="str">
        <f>+IFERROR(VLOOKUP(FD41,IN_Zugliste!$A$4:$E$2002,5,FALSE),"")</f>
        <v/>
      </c>
      <c r="FE240" t="str">
        <f>+IFERROR(VLOOKUP(FE41,IN_Zugliste!$A$4:$E$2002,5,FALSE),"")</f>
        <v/>
      </c>
      <c r="FF240" t="str">
        <f>+IFERROR(VLOOKUP(FF41,IN_Zugliste!$A$4:$E$2002,5,FALSE),"")</f>
        <v/>
      </c>
      <c r="FG240" t="str">
        <f>+IFERROR(VLOOKUP(FG41,IN_Zugliste!$A$4:$E$2002,5,FALSE),"")</f>
        <v/>
      </c>
      <c r="FH240" t="str">
        <f>+IFERROR(VLOOKUP(FH41,IN_Zugliste!$A$4:$E$2002,5,FALSE),"")</f>
        <v/>
      </c>
      <c r="FI240" t="str">
        <f>+IFERROR(VLOOKUP(FI41,IN_Zugliste!$A$4:$E$2002,5,FALSE),"")</f>
        <v/>
      </c>
      <c r="FJ240" t="str">
        <f>+IFERROR(VLOOKUP(FJ41,IN_Zugliste!$A$4:$E$2002,5,FALSE),"")</f>
        <v/>
      </c>
      <c r="FK240" t="str">
        <f>+IFERROR(VLOOKUP(FK41,IN_Zugliste!$A$4:$E$2002,5,FALSE),"")</f>
        <v/>
      </c>
      <c r="FL240" t="str">
        <f>+IFERROR(VLOOKUP(FL41,IN_Zugliste!$A$4:$E$2002,5,FALSE),"")</f>
        <v/>
      </c>
      <c r="FM240" t="str">
        <f>+IFERROR(VLOOKUP(FM41,IN_Zugliste!$A$4:$D$2002,5,FALSE),"")</f>
        <v/>
      </c>
      <c r="FN240" t="str">
        <f>+IFERROR(VLOOKUP(FN41,IN_Zugliste!$A$4:$D$2002,5,FALSE),"")</f>
        <v/>
      </c>
      <c r="FO240" t="str">
        <f>+IFERROR(VLOOKUP(FO41,IN_Zugliste!$A$4:$D$2002,5,FALSE),"")</f>
        <v/>
      </c>
      <c r="FP240" t="str">
        <f>+IFERROR(VLOOKUP(FP41,IN_Zugliste!$A$4:$D$2002,5,FALSE),"")</f>
        <v/>
      </c>
      <c r="FQ240" t="str">
        <f>+IFERROR(VLOOKUP(FQ41,IN_Zugliste!$A$4:$D$2002,5,FALSE),"")</f>
        <v/>
      </c>
      <c r="FR240" t="str">
        <f>+IFERROR(VLOOKUP(FR41,IN_Zugliste!$A$4:$D$2002,5,FALSE),"")</f>
        <v/>
      </c>
      <c r="FS240" t="str">
        <f>+IFERROR(VLOOKUP(FS41,IN_Zugliste!$A$4:$D$2002,5,FALSE),"")</f>
        <v/>
      </c>
      <c r="FT240" t="str">
        <f>+IFERROR(VLOOKUP(FT41,IN_Zugliste!$A$4:$D$2002,5,FALSE),"")</f>
        <v/>
      </c>
      <c r="FU240" t="str">
        <f>+IFERROR(VLOOKUP(FU41,IN_Zugliste!$A$4:$D$2002,5,FALSE),"")</f>
        <v/>
      </c>
      <c r="FV240" t="str">
        <f>+IFERROR(VLOOKUP(FV41,IN_Zugliste!$A$4:$D$2002,5,FALSE),"")</f>
        <v/>
      </c>
      <c r="FW240" t="str">
        <f>+IFERROR(VLOOKUP(FW41,IN_Zugliste!$A$4:$D$2002,5,FALSE),"")</f>
        <v/>
      </c>
      <c r="FX240" t="str">
        <f>+IFERROR(VLOOKUP(FX41,IN_Zugliste!$A$4:$D$2002,5,FALSE),"")</f>
        <v/>
      </c>
      <c r="FY240" t="str">
        <f>+IFERROR(VLOOKUP(FY41,IN_Zugliste!$A$4:$D$2002,5,FALSE),"")</f>
        <v/>
      </c>
      <c r="FZ240" t="str">
        <f>+IFERROR(VLOOKUP(FZ41,IN_Zugliste!$A$4:$D$2002,5,FALSE),"")</f>
        <v/>
      </c>
      <c r="GA240" t="str">
        <f>+IFERROR(VLOOKUP(GA41,IN_Zugliste!$A$4:$D$2002,5,FALSE),"")</f>
        <v/>
      </c>
      <c r="GB240" t="str">
        <f>+IFERROR(VLOOKUP(GB41,IN_Zugliste!$A$4:$D$2002,5,FALSE),"")</f>
        <v/>
      </c>
      <c r="GC240" t="str">
        <f>+IFERROR(VLOOKUP(GC41,IN_Zugliste!$A$4:$D$2002,5,FALSE),"")</f>
        <v/>
      </c>
      <c r="GD240" t="str">
        <f>+IFERROR(VLOOKUP(GD41,IN_Zugliste!$A$4:$D$2002,5,FALSE),"")</f>
        <v/>
      </c>
      <c r="GE240" t="str">
        <f>+IFERROR(VLOOKUP(GE41,IN_Zugliste!$A$4:$D$2002,5,FALSE),"")</f>
        <v/>
      </c>
      <c r="GF240" t="str">
        <f>+IFERROR(VLOOKUP(GF41,IN_Zugliste!$A$4:$D$2002,5,FALSE),"")</f>
        <v/>
      </c>
      <c r="GG240" t="str">
        <f>+IFERROR(VLOOKUP(GG41,IN_Zugliste!$A$4:$D$2002,5,FALSE),"")</f>
        <v/>
      </c>
      <c r="GH240" t="str">
        <f>+IFERROR(VLOOKUP(GH41,IN_Zugliste!$A$4:$D$2002,5,FALSE),"")</f>
        <v/>
      </c>
      <c r="GI240" t="str">
        <f>+IFERROR(VLOOKUP(GI41,IN_Zugliste!$A$4:$D$2002,5,FALSE),"")</f>
        <v/>
      </c>
      <c r="GJ240" t="str">
        <f>+IFERROR(VLOOKUP(GJ41,IN_Zugliste!$A$4:$D$2002,5,FALSE),"")</f>
        <v/>
      </c>
      <c r="GK240" t="str">
        <f>+IFERROR(VLOOKUP(GK41,IN_Zugliste!$A$4:$D$2002,5,FALSE),"")</f>
        <v/>
      </c>
      <c r="GL240" t="str">
        <f>+IFERROR(VLOOKUP(GL41,IN_Zugliste!$A$4:$D$2002,5,FALSE),"")</f>
        <v/>
      </c>
      <c r="GM240" t="str">
        <f>+IFERROR(VLOOKUP(GM41,IN_Zugliste!$A$4:$D$2002,5,FALSE),"")</f>
        <v/>
      </c>
      <c r="GN240" t="str">
        <f>+IFERROR(VLOOKUP(GN41,IN_Zugliste!$A$4:$D$2002,5,FALSE),"")</f>
        <v/>
      </c>
      <c r="GO240" t="str">
        <f>+IFERROR(VLOOKUP(GO41,IN_Zugliste!$A$4:$D$2002,5,FALSE),"")</f>
        <v/>
      </c>
      <c r="GP240" t="str">
        <f>+IFERROR(VLOOKUP(GP41,IN_Zugliste!$A$4:$D$2002,5,FALSE),"")</f>
        <v/>
      </c>
      <c r="GQ240" t="str">
        <f>+IFERROR(VLOOKUP(GQ41,IN_Zugliste!$A$4:$D$2002,5,FALSE),"")</f>
        <v/>
      </c>
      <c r="GR240" t="str">
        <f>+IFERROR(VLOOKUP(GR41,IN_Zugliste!$A$4:$D$2002,5,FALSE),"")</f>
        <v/>
      </c>
      <c r="GS240" t="str">
        <f>+IFERROR(VLOOKUP(GS41,IN_Zugliste!$A$4:$D$2002,5,FALSE),"")</f>
        <v/>
      </c>
      <c r="GT240" t="str">
        <f>+IFERROR(VLOOKUP(GT41,IN_Zugliste!$A$4:$D$2002,5,FALSE),"")</f>
        <v/>
      </c>
      <c r="GU240" t="str">
        <f>+IFERROR(VLOOKUP(GU41,IN_Zugliste!$A$4:$D$2002,5,FALSE),"")</f>
        <v/>
      </c>
      <c r="GV240" t="str">
        <f>+IFERROR(VLOOKUP(GV41,IN_Zugliste!$A$4:$D$2002,5,FALSE),"")</f>
        <v/>
      </c>
      <c r="GW240" t="str">
        <f>+IFERROR(VLOOKUP(GW41,IN_Zugliste!$A$4:$D$2002,5,FALSE),"")</f>
        <v/>
      </c>
      <c r="GX240" t="str">
        <f>+IFERROR(VLOOKUP(GX41,IN_Zugliste!$A$4:$D$2002,5,FALSE),"")</f>
        <v/>
      </c>
      <c r="GY240" t="str">
        <f>+IFERROR(VLOOKUP(GY41,IN_Zugliste!$A$4:$D$2002,5,FALSE),"")</f>
        <v/>
      </c>
      <c r="GZ240" t="str">
        <f>+IFERROR(VLOOKUP(GZ41,IN_Zugliste!$A$4:$D$2002,5,FALSE),"")</f>
        <v/>
      </c>
      <c r="HA240" t="str">
        <f>+IFERROR(VLOOKUP(HA41,IN_Zugliste!$A$4:$D$2002,5,FALSE),"")</f>
        <v/>
      </c>
      <c r="HB240" t="str">
        <f>+IFERROR(VLOOKUP(HB41,IN_Zugliste!$A$4:$D$2002,5,FALSE),"")</f>
        <v/>
      </c>
      <c r="HC240" t="str">
        <f>+IFERROR(VLOOKUP(HC41,IN_Zugliste!$A$4:$D$2002,5,FALSE),"")</f>
        <v/>
      </c>
      <c r="HD240" t="str">
        <f>+IFERROR(VLOOKUP(HD41,IN_Zugliste!$A$4:$D$2002,5,FALSE),"")</f>
        <v/>
      </c>
      <c r="HE240" t="str">
        <f>+IFERROR(VLOOKUP(HE41,IN_Zugliste!$A$4:$D$2002,5,FALSE),"")</f>
        <v/>
      </c>
      <c r="HF240" t="str">
        <f>+IFERROR(VLOOKUP(HF41,IN_Zugliste!$A$4:$D$2002,5,FALSE),"")</f>
        <v/>
      </c>
      <c r="HG240" t="str">
        <f>+IFERROR(VLOOKUP(HG41,IN_Zugliste!$A$4:$D$2002,5,FALSE),"")</f>
        <v/>
      </c>
      <c r="HH240" t="str">
        <f>+IFERROR(VLOOKUP(HH41,IN_Zugliste!$A$4:$D$2002,5,FALSE),"")</f>
        <v/>
      </c>
    </row>
    <row r="241" spans="1:216" x14ac:dyDescent="0.2">
      <c r="A241" t="str">
        <f>+IFERROR(VLOOKUP(A42,IN_Zugliste!$A$4:$E$2002,5,FALSE),"")</f>
        <v/>
      </c>
      <c r="B241" t="str">
        <f>+IFERROR(VLOOKUP(B42,IN_Zugliste!$A$4:$E$2002,5,FALSE),"")</f>
        <v/>
      </c>
      <c r="C241" t="str">
        <f>+IFERROR(VLOOKUP(C42,IN_Zugliste!$A$4:$E$2002,5,FALSE),"")</f>
        <v/>
      </c>
      <c r="D241" t="str">
        <f>+IFERROR(VLOOKUP(D42,IN_Zugliste!$A$4:$E$2002,5,FALSE),"")</f>
        <v/>
      </c>
      <c r="E241" t="str">
        <f>+IFERROR(VLOOKUP(E42,IN_Zugliste!$A$4:$E$2002,5,FALSE),"")</f>
        <v/>
      </c>
      <c r="F241" t="str">
        <f>+IFERROR(VLOOKUP(F42,IN_Zugliste!$A$4:$E$2002,5,FALSE),"")</f>
        <v/>
      </c>
      <c r="G241" t="str">
        <f>+IFERROR(VLOOKUP(G42,IN_Zugliste!$A$4:$E$2002,5,FALSE),"")</f>
        <v/>
      </c>
      <c r="H241" t="str">
        <f>+IFERROR(VLOOKUP(H42,IN_Zugliste!$A$4:$E$2002,5,FALSE),"")</f>
        <v/>
      </c>
      <c r="I241" t="str">
        <f>+IFERROR(VLOOKUP(I42,IN_Zugliste!$A$4:$E$2002,5,FALSE),"")</f>
        <v/>
      </c>
      <c r="J241" t="str">
        <f>+IFERROR(VLOOKUP(J42,IN_Zugliste!$A$4:$E$2002,5,FALSE),"")</f>
        <v/>
      </c>
      <c r="K241" t="str">
        <f>+IFERROR(VLOOKUP(K42,IN_Zugliste!$A$4:$E$2002,5,FALSE),"")</f>
        <v/>
      </c>
      <c r="L241" t="str">
        <f>+IFERROR(VLOOKUP(L42,IN_Zugliste!$A$4:$E$2002,5,FALSE),"")</f>
        <v/>
      </c>
      <c r="M241" t="str">
        <f>+IFERROR(VLOOKUP(M42,IN_Zugliste!$A$4:$E$2002,5,FALSE),"")</f>
        <v/>
      </c>
      <c r="N241" t="str">
        <f>+IFERROR(VLOOKUP(N42,IN_Zugliste!$A$4:$E$2002,5,FALSE),"")</f>
        <v/>
      </c>
      <c r="O241" t="str">
        <f>+IFERROR(VLOOKUP(O42,IN_Zugliste!$A$4:$E$2002,5,FALSE),"")</f>
        <v/>
      </c>
      <c r="P241" t="str">
        <f>+IFERROR(VLOOKUP(P42,IN_Zugliste!$A$4:$E$2002,5,FALSE),"")</f>
        <v/>
      </c>
      <c r="Q241" t="str">
        <f>+IFERROR(VLOOKUP(Q42,IN_Zugliste!$A$4:$E$2002,5,FALSE),"")</f>
        <v/>
      </c>
      <c r="R241" t="str">
        <f>+IFERROR(VLOOKUP(R42,IN_Zugliste!$A$4:$E$2002,5,FALSE),"")</f>
        <v/>
      </c>
      <c r="S241" t="str">
        <f>+IFERROR(VLOOKUP(S42,IN_Zugliste!$A$4:$E$2002,5,FALSE),"")</f>
        <v/>
      </c>
      <c r="T241" t="str">
        <f>+IFERROR(VLOOKUP(T42,IN_Zugliste!$A$4:$E$2002,5,FALSE),"")</f>
        <v/>
      </c>
      <c r="U241" t="str">
        <f>+IFERROR(VLOOKUP(U42,IN_Zugliste!$A$4:$E$2002,5,FALSE),"")</f>
        <v/>
      </c>
      <c r="V241" t="str">
        <f>+IFERROR(VLOOKUP(V42,IN_Zugliste!$A$4:$E$2002,5,FALSE),"")</f>
        <v/>
      </c>
      <c r="W241" t="str">
        <f>+IFERROR(VLOOKUP(W42,IN_Zugliste!$A$4:$E$2002,5,FALSE),"")</f>
        <v/>
      </c>
      <c r="X241" t="str">
        <f>+IFERROR(VLOOKUP(X42,IN_Zugliste!$A$4:$E$2002,5,FALSE),"")</f>
        <v/>
      </c>
      <c r="Y241" t="str">
        <f>+IFERROR(VLOOKUP(Y42,IN_Zugliste!$A$4:$E$2002,5,FALSE),"")</f>
        <v/>
      </c>
      <c r="Z241" t="str">
        <f>+IFERROR(VLOOKUP(Z42,IN_Zugliste!$A$4:$E$2002,5,FALSE),"")</f>
        <v/>
      </c>
      <c r="AA241" t="str">
        <f>+IFERROR(VLOOKUP(AA42,IN_Zugliste!$A$4:$E$2002,5,FALSE),"")</f>
        <v/>
      </c>
      <c r="AB241" t="str">
        <f>+IFERROR(VLOOKUP(AB42,IN_Zugliste!$A$4:$E$2002,5,FALSE),"")</f>
        <v/>
      </c>
      <c r="AC241" t="str">
        <f>+IFERROR(VLOOKUP(AC42,IN_Zugliste!$A$4:$E$2002,5,FALSE),"")</f>
        <v/>
      </c>
      <c r="AD241" t="str">
        <f>+IFERROR(VLOOKUP(AD42,IN_Zugliste!$A$4:$E$2002,5,FALSE),"")</f>
        <v/>
      </c>
      <c r="AE241" t="str">
        <f>+IFERROR(VLOOKUP(AE42,IN_Zugliste!$A$4:$E$2002,5,FALSE),"")</f>
        <v/>
      </c>
      <c r="AF241" t="str">
        <f>+IFERROR(VLOOKUP(AF42,IN_Zugliste!$A$4:$E$2002,5,FALSE),"")</f>
        <v/>
      </c>
      <c r="AG241" t="str">
        <f>+IFERROR(VLOOKUP(AG42,IN_Zugliste!$A$4:$E$2002,5,FALSE),"")</f>
        <v/>
      </c>
      <c r="AH241" t="str">
        <f>+IFERROR(VLOOKUP(AH42,IN_Zugliste!$A$4:$E$2002,5,FALSE),"")</f>
        <v/>
      </c>
      <c r="AI241" t="str">
        <f>+IFERROR(VLOOKUP(AI42,IN_Zugliste!$A$4:$E$2002,5,FALSE),"")</f>
        <v/>
      </c>
      <c r="AJ241" t="str">
        <f>+IFERROR(VLOOKUP(AJ42,IN_Zugliste!$A$4:$E$2002,5,FALSE),"")</f>
        <v/>
      </c>
      <c r="AK241" t="str">
        <f>+IFERROR(VLOOKUP(AK42,IN_Zugliste!$A$4:$E$2002,5,FALSE),"")</f>
        <v/>
      </c>
      <c r="AL241" t="str">
        <f>+IFERROR(VLOOKUP(AL42,IN_Zugliste!$A$4:$E$2002,5,FALSE),"")</f>
        <v/>
      </c>
      <c r="AM241" t="str">
        <f>+IFERROR(VLOOKUP(AM42,IN_Zugliste!$A$4:$E$2002,5,FALSE),"")</f>
        <v/>
      </c>
      <c r="AN241" t="str">
        <f>+IFERROR(VLOOKUP(AN42,IN_Zugliste!$A$4:$E$2002,5,FALSE),"")</f>
        <v/>
      </c>
      <c r="AO241" t="str">
        <f>+IFERROR(VLOOKUP(AO42,IN_Zugliste!$A$4:$E$2002,5,FALSE),"")</f>
        <v/>
      </c>
      <c r="AP241" t="str">
        <f>+IFERROR(VLOOKUP(AP42,IN_Zugliste!$A$4:$E$2002,5,FALSE),"")</f>
        <v/>
      </c>
      <c r="AQ241" t="str">
        <f>+IFERROR(VLOOKUP(AQ42,IN_Zugliste!$A$4:$E$2002,5,FALSE),"")</f>
        <v/>
      </c>
      <c r="AR241" t="str">
        <f>+IFERROR(VLOOKUP(AR42,IN_Zugliste!$A$4:$E$2002,5,FALSE),"")</f>
        <v/>
      </c>
      <c r="AS241" t="str">
        <f>+IFERROR(VLOOKUP(AS42,IN_Zugliste!$A$4:$E$2002,5,FALSE),"")</f>
        <v/>
      </c>
      <c r="AT241" t="str">
        <f>+IFERROR(VLOOKUP(AT42,IN_Zugliste!$A$4:$E$2002,5,FALSE),"")</f>
        <v/>
      </c>
      <c r="AU241" t="str">
        <f>+IFERROR(VLOOKUP(AU42,IN_Zugliste!$A$4:$E$2002,5,FALSE),"")</f>
        <v/>
      </c>
      <c r="AV241" t="str">
        <f>+IFERROR(VLOOKUP(AV42,IN_Zugliste!$A$4:$E$2002,5,FALSE),"")</f>
        <v/>
      </c>
      <c r="AW241" t="str">
        <f>+IFERROR(VLOOKUP(AW42,IN_Zugliste!$A$4:$E$2002,5,FALSE),"")</f>
        <v/>
      </c>
      <c r="AX241" t="str">
        <f>+IFERROR(VLOOKUP(AX42,IN_Zugliste!$A$4:$E$2002,5,FALSE),"")</f>
        <v/>
      </c>
      <c r="AY241" t="str">
        <f>+IFERROR(VLOOKUP(AY42,IN_Zugliste!$A$4:$E$2002,5,FALSE),"")</f>
        <v/>
      </c>
      <c r="AZ241" t="str">
        <f>+IFERROR(VLOOKUP(AZ42,IN_Zugliste!$A$4:$E$2002,5,FALSE),"")</f>
        <v/>
      </c>
      <c r="BA241" t="str">
        <f>+IFERROR(VLOOKUP(BA42,IN_Zugliste!$A$4:$E$2002,5,FALSE),"")</f>
        <v/>
      </c>
      <c r="BB241" t="str">
        <f>+IFERROR(VLOOKUP(BB42,IN_Zugliste!$A$4:$E$2002,5,FALSE),"")</f>
        <v/>
      </c>
      <c r="BC241" t="str">
        <f>+IFERROR(VLOOKUP(BC42,IN_Zugliste!$A$4:$E$2002,5,FALSE),"")</f>
        <v/>
      </c>
      <c r="BD241" t="str">
        <f>+IFERROR(VLOOKUP(BD42,IN_Zugliste!$A$4:$E$2002,5,FALSE),"")</f>
        <v/>
      </c>
      <c r="BE241" t="str">
        <f>+IFERROR(VLOOKUP(BE42,IN_Zugliste!$A$4:$E$2002,5,FALSE),"")</f>
        <v/>
      </c>
      <c r="BF241" t="str">
        <f>+IFERROR(VLOOKUP(BF42,IN_Zugliste!$A$4:$E$2002,5,FALSE),"")</f>
        <v/>
      </c>
      <c r="BG241" t="str">
        <f>+IFERROR(VLOOKUP(BG42,IN_Zugliste!$A$4:$E$2002,5,FALSE),"")</f>
        <v/>
      </c>
      <c r="BH241" t="str">
        <f>+IFERROR(VLOOKUP(BH42,IN_Zugliste!$A$4:$E$2002,5,FALSE),"")</f>
        <v/>
      </c>
      <c r="BI241" t="str">
        <f>+IFERROR(VLOOKUP(BI42,IN_Zugliste!$A$4:$E$2002,5,FALSE),"")</f>
        <v/>
      </c>
      <c r="BJ241" t="str">
        <f>+IFERROR(VLOOKUP(BJ42,IN_Zugliste!$A$4:$E$2002,5,FALSE),"")</f>
        <v/>
      </c>
      <c r="BK241" t="str">
        <f>+IFERROR(VLOOKUP(BK42,IN_Zugliste!$A$4:$E$2002,5,FALSE),"")</f>
        <v/>
      </c>
      <c r="BL241" t="str">
        <f>+IFERROR(VLOOKUP(BL42,IN_Zugliste!$A$4:$E$2002,5,FALSE),"")</f>
        <v/>
      </c>
      <c r="BM241" t="str">
        <f>+IFERROR(VLOOKUP(BM42,IN_Zugliste!$A$4:$E$2002,5,FALSE),"")</f>
        <v/>
      </c>
      <c r="BN241" t="str">
        <f>+IFERROR(VLOOKUP(BN42,IN_Zugliste!$A$4:$E$2002,5,FALSE),"")</f>
        <v/>
      </c>
      <c r="BO241" t="str">
        <f>+IFERROR(VLOOKUP(BO42,IN_Zugliste!$A$4:$E$2002,5,FALSE),"")</f>
        <v/>
      </c>
      <c r="BP241" t="str">
        <f>+IFERROR(VLOOKUP(BP42,IN_Zugliste!$A$4:$E$2002,5,FALSE),"")</f>
        <v/>
      </c>
      <c r="BQ241" t="str">
        <f>+IFERROR(VLOOKUP(BQ42,IN_Zugliste!$A$4:$E$2002,5,FALSE),"")</f>
        <v/>
      </c>
      <c r="BR241" t="str">
        <f>+IFERROR(VLOOKUP(BR42,IN_Zugliste!$A$4:$E$2002,5,FALSE),"")</f>
        <v/>
      </c>
      <c r="BS241" t="str">
        <f>+IFERROR(VLOOKUP(BS42,IN_Zugliste!$A$4:$E$2002,5,FALSE),"")</f>
        <v/>
      </c>
      <c r="BT241" t="str">
        <f>+IFERROR(VLOOKUP(BT42,IN_Zugliste!$A$4:$E$2002,5,FALSE),"")</f>
        <v/>
      </c>
      <c r="BU241" t="str">
        <f>+IFERROR(VLOOKUP(BU42,IN_Zugliste!$A$4:$E$2002,5,FALSE),"")</f>
        <v/>
      </c>
      <c r="BV241" t="str">
        <f>+IFERROR(VLOOKUP(BV42,IN_Zugliste!$A$4:$E$2002,5,FALSE),"")</f>
        <v/>
      </c>
      <c r="BW241" t="str">
        <f>+IFERROR(VLOOKUP(BW42,IN_Zugliste!$A$4:$E$2002,5,FALSE),"")</f>
        <v/>
      </c>
      <c r="BX241" t="str">
        <f>+IFERROR(VLOOKUP(BX42,IN_Zugliste!$A$4:$E$2002,5,FALSE),"")</f>
        <v/>
      </c>
      <c r="BY241" t="str">
        <f>+IFERROR(VLOOKUP(BY42,IN_Zugliste!$A$4:$E$2002,5,FALSE),"")</f>
        <v/>
      </c>
      <c r="BZ241" t="str">
        <f>+IFERROR(VLOOKUP(BZ42,IN_Zugliste!$A$4:$E$2002,5,FALSE),"")</f>
        <v/>
      </c>
      <c r="CA241" t="str">
        <f>+IFERROR(VLOOKUP(CA42,IN_Zugliste!$A$4:$E$2002,5,FALSE),"")</f>
        <v/>
      </c>
      <c r="CB241" t="str">
        <f>+IFERROR(VLOOKUP(CB42,IN_Zugliste!$A$4:$E$2002,5,FALSE),"")</f>
        <v/>
      </c>
      <c r="CC241" t="str">
        <f>+IFERROR(VLOOKUP(CC42,IN_Zugliste!$A$4:$E$2002,5,FALSE),"")</f>
        <v/>
      </c>
      <c r="CD241" t="str">
        <f>+IFERROR(VLOOKUP(CD42,IN_Zugliste!$A$4:$E$2002,5,FALSE),"")</f>
        <v/>
      </c>
      <c r="CE241" t="str">
        <f>+IFERROR(VLOOKUP(CE42,IN_Zugliste!$A$4:$E$2002,5,FALSE),"")</f>
        <v/>
      </c>
      <c r="CF241" t="str">
        <f>+IFERROR(VLOOKUP(CF42,IN_Zugliste!$A$4:$E$2002,5,FALSE),"")</f>
        <v/>
      </c>
      <c r="CG241" t="str">
        <f>+IFERROR(VLOOKUP(CG42,IN_Zugliste!$A$4:$E$2002,5,FALSE),"")</f>
        <v/>
      </c>
      <c r="CH241" t="str">
        <f>+IFERROR(VLOOKUP(CH42,IN_Zugliste!$A$4:$E$2002,5,FALSE),"")</f>
        <v/>
      </c>
      <c r="CI241" t="str">
        <f>+IFERROR(VLOOKUP(CI42,IN_Zugliste!$A$4:$E$2002,5,FALSE),"")</f>
        <v/>
      </c>
      <c r="CJ241" t="str">
        <f>+IFERROR(VLOOKUP(CJ42,IN_Zugliste!$A$4:$E$2002,5,FALSE),"")</f>
        <v/>
      </c>
      <c r="CK241" t="str">
        <f>+IFERROR(VLOOKUP(CK42,IN_Zugliste!$A$4:$E$2002,5,FALSE),"")</f>
        <v/>
      </c>
      <c r="CL241" t="str">
        <f>+IFERROR(VLOOKUP(CL42,IN_Zugliste!$A$4:$E$2002,5,FALSE),"")</f>
        <v/>
      </c>
      <c r="CM241" t="str">
        <f>+IFERROR(VLOOKUP(CM42,IN_Zugliste!$A$4:$E$2002,5,FALSE),"")</f>
        <v/>
      </c>
      <c r="CN241" t="str">
        <f>+IFERROR(VLOOKUP(CN42,IN_Zugliste!$A$4:$E$2002,5,FALSE),"")</f>
        <v/>
      </c>
      <c r="CO241" t="str">
        <f>+IFERROR(VLOOKUP(CO42,IN_Zugliste!$A$4:$E$2002,5,FALSE),"")</f>
        <v/>
      </c>
      <c r="CP241" t="str">
        <f>+IFERROR(VLOOKUP(CP42,IN_Zugliste!$A$4:$E$2002,5,FALSE),"")</f>
        <v/>
      </c>
      <c r="CQ241" t="str">
        <f>+IFERROR(VLOOKUP(CQ42,IN_Zugliste!$A$4:$E$2002,5,FALSE),"")</f>
        <v/>
      </c>
      <c r="CR241" t="str">
        <f>+IFERROR(VLOOKUP(CR42,IN_Zugliste!$A$4:$E$2002,5,FALSE),"")</f>
        <v/>
      </c>
      <c r="CS241" t="str">
        <f>+IFERROR(VLOOKUP(CS42,IN_Zugliste!$A$4:$E$2002,5,FALSE),"")</f>
        <v/>
      </c>
      <c r="CT241" t="str">
        <f>+IFERROR(VLOOKUP(CT42,IN_Zugliste!$A$4:$E$2002,5,FALSE),"")</f>
        <v/>
      </c>
      <c r="CU241" t="str">
        <f>+IFERROR(VLOOKUP(CU42,IN_Zugliste!$A$4:$E$2002,5,FALSE),"")</f>
        <v/>
      </c>
      <c r="CV241" t="str">
        <f>+IFERROR(VLOOKUP(CV42,IN_Zugliste!$A$4:$E$2002,5,FALSE),"")</f>
        <v/>
      </c>
      <c r="CW241" t="str">
        <f>+IFERROR(VLOOKUP(CW42,IN_Zugliste!$A$4:$E$2002,5,FALSE),"")</f>
        <v/>
      </c>
      <c r="CX241" t="str">
        <f>+IFERROR(VLOOKUP(CX42,IN_Zugliste!$A$4:$E$2002,5,FALSE),"")</f>
        <v/>
      </c>
      <c r="CY241" t="str">
        <f>+IFERROR(VLOOKUP(CY42,IN_Zugliste!$A$4:$E$2002,5,FALSE),"")</f>
        <v/>
      </c>
      <c r="CZ241" t="str">
        <f>+IFERROR(VLOOKUP(CZ42,IN_Zugliste!$A$4:$E$2002,5,FALSE),"")</f>
        <v/>
      </c>
      <c r="DA241" t="str">
        <f>+IFERROR(VLOOKUP(DA42,IN_Zugliste!$A$4:$E$2002,5,FALSE),"")</f>
        <v/>
      </c>
      <c r="DB241" t="str">
        <f>+IFERROR(VLOOKUP(DB42,IN_Zugliste!$A$4:$E$2002,5,FALSE),"")</f>
        <v/>
      </c>
      <c r="DC241" t="str">
        <f>+IFERROR(VLOOKUP(DC42,IN_Zugliste!$A$4:$E$2002,5,FALSE),"")</f>
        <v/>
      </c>
      <c r="DD241" t="str">
        <f>+IFERROR(VLOOKUP(DD42,IN_Zugliste!$A$4:$E$2002,5,FALSE),"")</f>
        <v/>
      </c>
      <c r="DE241" t="str">
        <f>+IFERROR(VLOOKUP(DE42,IN_Zugliste!$A$4:$E$2002,5,FALSE),"")</f>
        <v/>
      </c>
      <c r="DF241" t="str">
        <f>+IFERROR(VLOOKUP(DF42,IN_Zugliste!$A$4:$E$2002,5,FALSE),"")</f>
        <v/>
      </c>
      <c r="DG241" t="str">
        <f>+IFERROR(VLOOKUP(DG42,IN_Zugliste!$A$4:$E$2002,5,FALSE),"")</f>
        <v/>
      </c>
      <c r="DH241" t="str">
        <f>+IFERROR(VLOOKUP(DH42,IN_Zugliste!$A$4:$E$2002,5,FALSE),"")</f>
        <v/>
      </c>
      <c r="DI241" t="str">
        <f>+IFERROR(VLOOKUP(DI42,IN_Zugliste!$A$4:$E$2002,5,FALSE),"")</f>
        <v/>
      </c>
      <c r="DJ241" t="str">
        <f>+IFERROR(VLOOKUP(DJ42,IN_Zugliste!$A$4:$E$2002,5,FALSE),"")</f>
        <v/>
      </c>
      <c r="DK241" t="str">
        <f>+IFERROR(VLOOKUP(DK42,IN_Zugliste!$A$4:$E$2002,5,FALSE),"")</f>
        <v/>
      </c>
      <c r="DL241" t="str">
        <f>+IFERROR(VLOOKUP(DL42,IN_Zugliste!$A$4:$E$2002,5,FALSE),"")</f>
        <v/>
      </c>
      <c r="DM241" t="str">
        <f>+IFERROR(VLOOKUP(DM42,IN_Zugliste!$A$4:$E$2002,5,FALSE),"")</f>
        <v/>
      </c>
      <c r="DN241" t="str">
        <f>+IFERROR(VLOOKUP(DN42,IN_Zugliste!$A$4:$E$2002,5,FALSE),"")</f>
        <v/>
      </c>
      <c r="DO241" t="str">
        <f>+IFERROR(VLOOKUP(DO42,IN_Zugliste!$A$4:$E$2002,5,FALSE),"")</f>
        <v/>
      </c>
      <c r="DP241" t="str">
        <f>+IFERROR(VLOOKUP(DP42,IN_Zugliste!$A$4:$E$2002,5,FALSE),"")</f>
        <v/>
      </c>
      <c r="DQ241" t="str">
        <f>+IFERROR(VLOOKUP(DQ42,IN_Zugliste!$A$4:$E$2002,5,FALSE),"")</f>
        <v/>
      </c>
      <c r="DR241" t="str">
        <f>+IFERROR(VLOOKUP(DR42,IN_Zugliste!$A$4:$E$2002,5,FALSE),"")</f>
        <v/>
      </c>
      <c r="DS241" t="str">
        <f>+IFERROR(VLOOKUP(DS42,IN_Zugliste!$A$4:$E$2002,5,FALSE),"")</f>
        <v/>
      </c>
      <c r="DT241" t="str">
        <f>+IFERROR(VLOOKUP(DT42,IN_Zugliste!$A$4:$E$2002,5,FALSE),"")</f>
        <v/>
      </c>
      <c r="DU241" t="str">
        <f>+IFERROR(VLOOKUP(DU42,IN_Zugliste!$A$4:$E$2002,5,FALSE),"")</f>
        <v/>
      </c>
      <c r="DV241" t="str">
        <f>+IFERROR(VLOOKUP(DV42,IN_Zugliste!$A$4:$E$2002,5,FALSE),"")</f>
        <v/>
      </c>
      <c r="DW241" t="str">
        <f>+IFERROR(VLOOKUP(DW42,IN_Zugliste!$A$4:$E$2002,5,FALSE),"")</f>
        <v/>
      </c>
      <c r="DX241" t="str">
        <f>+IFERROR(VLOOKUP(DX42,IN_Zugliste!$A$4:$E$2002,5,FALSE),"")</f>
        <v/>
      </c>
      <c r="DY241" t="str">
        <f>+IFERROR(VLOOKUP(DY42,IN_Zugliste!$A$4:$E$2002,5,FALSE),"")</f>
        <v/>
      </c>
      <c r="DZ241" t="str">
        <f>+IFERROR(VLOOKUP(DZ42,IN_Zugliste!$A$4:$E$2002,5,FALSE),"")</f>
        <v/>
      </c>
      <c r="EA241" t="str">
        <f>+IFERROR(VLOOKUP(EA42,IN_Zugliste!$A$4:$E$2002,5,FALSE),"")</f>
        <v/>
      </c>
      <c r="EB241" t="str">
        <f>+IFERROR(VLOOKUP(EB42,IN_Zugliste!$A$4:$E$2002,5,FALSE),"")</f>
        <v/>
      </c>
      <c r="EC241" t="str">
        <f>+IFERROR(VLOOKUP(EC42,IN_Zugliste!$A$4:$E$2002,5,FALSE),"")</f>
        <v/>
      </c>
      <c r="ED241" t="str">
        <f>+IFERROR(VLOOKUP(ED42,IN_Zugliste!$A$4:$E$2002,5,FALSE),"")</f>
        <v/>
      </c>
      <c r="EE241" t="str">
        <f>+IFERROR(VLOOKUP(EE42,IN_Zugliste!$A$4:$E$2002,5,FALSE),"")</f>
        <v/>
      </c>
      <c r="EF241" t="str">
        <f>+IFERROR(VLOOKUP(EF42,IN_Zugliste!$A$4:$E$2002,5,FALSE),"")</f>
        <v/>
      </c>
      <c r="EG241" t="str">
        <f>+IFERROR(VLOOKUP(EG42,IN_Zugliste!$A$4:$E$2002,5,FALSE),"")</f>
        <v/>
      </c>
      <c r="EH241" t="str">
        <f>+IFERROR(VLOOKUP(EH42,IN_Zugliste!$A$4:$E$2002,5,FALSE),"")</f>
        <v/>
      </c>
      <c r="EI241" t="str">
        <f>+IFERROR(VLOOKUP(EI42,IN_Zugliste!$A$4:$E$2002,5,FALSE),"")</f>
        <v/>
      </c>
      <c r="EJ241" t="str">
        <f>+IFERROR(VLOOKUP(EJ42,IN_Zugliste!$A$4:$E$2002,5,FALSE),"")</f>
        <v/>
      </c>
      <c r="EK241" t="str">
        <f>+IFERROR(VLOOKUP(EK42,IN_Zugliste!$A$4:$E$2002,5,FALSE),"")</f>
        <v/>
      </c>
      <c r="EL241" t="str">
        <f>+IFERROR(VLOOKUP(EL42,IN_Zugliste!$A$4:$E$2002,5,FALSE),"")</f>
        <v/>
      </c>
      <c r="EM241" t="str">
        <f>+IFERROR(VLOOKUP(EM42,IN_Zugliste!$A$4:$E$2002,5,FALSE),"")</f>
        <v/>
      </c>
      <c r="EN241" t="str">
        <f>+IFERROR(VLOOKUP(EN42,IN_Zugliste!$A$4:$E$2002,5,FALSE),"")</f>
        <v/>
      </c>
      <c r="EO241" t="str">
        <f>+IFERROR(VLOOKUP(EO42,IN_Zugliste!$A$4:$E$2002,5,FALSE),"")</f>
        <v/>
      </c>
      <c r="EP241" t="str">
        <f>+IFERROR(VLOOKUP(EP42,IN_Zugliste!$A$4:$E$2002,5,FALSE),"")</f>
        <v/>
      </c>
      <c r="EQ241" t="str">
        <f>+IFERROR(VLOOKUP(EQ42,IN_Zugliste!$A$4:$E$2002,5,FALSE),"")</f>
        <v/>
      </c>
      <c r="ER241" t="str">
        <f>+IFERROR(VLOOKUP(ER42,IN_Zugliste!$A$4:$E$2002,5,FALSE),"")</f>
        <v/>
      </c>
      <c r="ES241" t="str">
        <f>+IFERROR(VLOOKUP(ES42,IN_Zugliste!$A$4:$E$2002,5,FALSE),"")</f>
        <v/>
      </c>
      <c r="ET241" t="str">
        <f>+IFERROR(VLOOKUP(ET42,IN_Zugliste!$A$4:$E$2002,5,FALSE),"")</f>
        <v/>
      </c>
      <c r="EU241" t="str">
        <f>+IFERROR(VLOOKUP(EU42,IN_Zugliste!$A$4:$E$2002,5,FALSE),"")</f>
        <v/>
      </c>
      <c r="EV241" t="str">
        <f>+IFERROR(VLOOKUP(EV42,IN_Zugliste!$A$4:$E$2002,5,FALSE),"")</f>
        <v/>
      </c>
      <c r="EW241" t="str">
        <f>+IFERROR(VLOOKUP(EW42,IN_Zugliste!$A$4:$E$2002,5,FALSE),"")</f>
        <v/>
      </c>
      <c r="EX241" t="str">
        <f>+IFERROR(VLOOKUP(EX42,IN_Zugliste!$A$4:$E$2002,5,FALSE),"")</f>
        <v/>
      </c>
      <c r="EY241" t="str">
        <f>+IFERROR(VLOOKUP(EY42,IN_Zugliste!$A$4:$E$2002,5,FALSE),"")</f>
        <v/>
      </c>
      <c r="EZ241" t="str">
        <f>+IFERROR(VLOOKUP(EZ42,IN_Zugliste!$A$4:$E$2002,5,FALSE),"")</f>
        <v/>
      </c>
      <c r="FA241" t="str">
        <f>+IFERROR(VLOOKUP(FA42,IN_Zugliste!$A$4:$E$2002,5,FALSE),"")</f>
        <v/>
      </c>
      <c r="FB241" t="str">
        <f>+IFERROR(VLOOKUP(FB42,IN_Zugliste!$A$4:$E$2002,5,FALSE),"")</f>
        <v/>
      </c>
      <c r="FC241" t="str">
        <f>+IFERROR(VLOOKUP(FC42,IN_Zugliste!$A$4:$E$2002,5,FALSE),"")</f>
        <v/>
      </c>
      <c r="FD241" t="str">
        <f>+IFERROR(VLOOKUP(FD42,IN_Zugliste!$A$4:$E$2002,5,FALSE),"")</f>
        <v/>
      </c>
      <c r="FE241" t="str">
        <f>+IFERROR(VLOOKUP(FE42,IN_Zugliste!$A$4:$E$2002,5,FALSE),"")</f>
        <v/>
      </c>
      <c r="FF241" t="str">
        <f>+IFERROR(VLOOKUP(FF42,IN_Zugliste!$A$4:$E$2002,5,FALSE),"")</f>
        <v/>
      </c>
      <c r="FG241" t="str">
        <f>+IFERROR(VLOOKUP(FG42,IN_Zugliste!$A$4:$E$2002,5,FALSE),"")</f>
        <v/>
      </c>
      <c r="FH241" t="str">
        <f>+IFERROR(VLOOKUP(FH42,IN_Zugliste!$A$4:$E$2002,5,FALSE),"")</f>
        <v/>
      </c>
      <c r="FI241" t="str">
        <f>+IFERROR(VLOOKUP(FI42,IN_Zugliste!$A$4:$E$2002,5,FALSE),"")</f>
        <v/>
      </c>
      <c r="FJ241" t="str">
        <f>+IFERROR(VLOOKUP(FJ42,IN_Zugliste!$A$4:$E$2002,5,FALSE),"")</f>
        <v/>
      </c>
      <c r="FK241" t="str">
        <f>+IFERROR(VLOOKUP(FK42,IN_Zugliste!$A$4:$E$2002,5,FALSE),"")</f>
        <v/>
      </c>
      <c r="FL241" t="str">
        <f>+IFERROR(VLOOKUP(FL42,IN_Zugliste!$A$4:$E$2002,5,FALSE),"")</f>
        <v/>
      </c>
      <c r="FM241" t="str">
        <f>+IFERROR(VLOOKUP(FM42,IN_Zugliste!$A$4:$D$2002,5,FALSE),"")</f>
        <v/>
      </c>
      <c r="FN241" t="str">
        <f>+IFERROR(VLOOKUP(FN42,IN_Zugliste!$A$4:$D$2002,5,FALSE),"")</f>
        <v/>
      </c>
      <c r="FO241" t="str">
        <f>+IFERROR(VLOOKUP(FO42,IN_Zugliste!$A$4:$D$2002,5,FALSE),"")</f>
        <v/>
      </c>
      <c r="FP241" t="str">
        <f>+IFERROR(VLOOKUP(FP42,IN_Zugliste!$A$4:$D$2002,5,FALSE),"")</f>
        <v/>
      </c>
      <c r="FQ241" t="str">
        <f>+IFERROR(VLOOKUP(FQ42,IN_Zugliste!$A$4:$D$2002,5,FALSE),"")</f>
        <v/>
      </c>
      <c r="FR241" t="str">
        <f>+IFERROR(VLOOKUP(FR42,IN_Zugliste!$A$4:$D$2002,5,FALSE),"")</f>
        <v/>
      </c>
      <c r="FS241" t="str">
        <f>+IFERROR(VLOOKUP(FS42,IN_Zugliste!$A$4:$D$2002,5,FALSE),"")</f>
        <v/>
      </c>
      <c r="FT241" t="str">
        <f>+IFERROR(VLOOKUP(FT42,IN_Zugliste!$A$4:$D$2002,5,FALSE),"")</f>
        <v/>
      </c>
      <c r="FU241" t="str">
        <f>+IFERROR(VLOOKUP(FU42,IN_Zugliste!$A$4:$D$2002,5,FALSE),"")</f>
        <v/>
      </c>
      <c r="FV241" t="str">
        <f>+IFERROR(VLOOKUP(FV42,IN_Zugliste!$A$4:$D$2002,5,FALSE),"")</f>
        <v/>
      </c>
      <c r="FW241" t="str">
        <f>+IFERROR(VLOOKUP(FW42,IN_Zugliste!$A$4:$D$2002,5,FALSE),"")</f>
        <v/>
      </c>
      <c r="FX241" t="str">
        <f>+IFERROR(VLOOKUP(FX42,IN_Zugliste!$A$4:$D$2002,5,FALSE),"")</f>
        <v/>
      </c>
      <c r="FY241" t="str">
        <f>+IFERROR(VLOOKUP(FY42,IN_Zugliste!$A$4:$D$2002,5,FALSE),"")</f>
        <v/>
      </c>
      <c r="FZ241" t="str">
        <f>+IFERROR(VLOOKUP(FZ42,IN_Zugliste!$A$4:$D$2002,5,FALSE),"")</f>
        <v/>
      </c>
      <c r="GA241" t="str">
        <f>+IFERROR(VLOOKUP(GA42,IN_Zugliste!$A$4:$D$2002,5,FALSE),"")</f>
        <v/>
      </c>
      <c r="GB241" t="str">
        <f>+IFERROR(VLOOKUP(GB42,IN_Zugliste!$A$4:$D$2002,5,FALSE),"")</f>
        <v/>
      </c>
      <c r="GC241" t="str">
        <f>+IFERROR(VLOOKUP(GC42,IN_Zugliste!$A$4:$D$2002,5,FALSE),"")</f>
        <v/>
      </c>
      <c r="GD241" t="str">
        <f>+IFERROR(VLOOKUP(GD42,IN_Zugliste!$A$4:$D$2002,5,FALSE),"")</f>
        <v/>
      </c>
      <c r="GE241" t="str">
        <f>+IFERROR(VLOOKUP(GE42,IN_Zugliste!$A$4:$D$2002,5,FALSE),"")</f>
        <v/>
      </c>
      <c r="GF241" t="str">
        <f>+IFERROR(VLOOKUP(GF42,IN_Zugliste!$A$4:$D$2002,5,FALSE),"")</f>
        <v/>
      </c>
      <c r="GG241" t="str">
        <f>+IFERROR(VLOOKUP(GG42,IN_Zugliste!$A$4:$D$2002,5,FALSE),"")</f>
        <v/>
      </c>
      <c r="GH241" t="str">
        <f>+IFERROR(VLOOKUP(GH42,IN_Zugliste!$A$4:$D$2002,5,FALSE),"")</f>
        <v/>
      </c>
      <c r="GI241" t="str">
        <f>+IFERROR(VLOOKUP(GI42,IN_Zugliste!$A$4:$D$2002,5,FALSE),"")</f>
        <v/>
      </c>
      <c r="GJ241" t="str">
        <f>+IFERROR(VLOOKUP(GJ42,IN_Zugliste!$A$4:$D$2002,5,FALSE),"")</f>
        <v/>
      </c>
      <c r="GK241" t="str">
        <f>+IFERROR(VLOOKUP(GK42,IN_Zugliste!$A$4:$D$2002,5,FALSE),"")</f>
        <v/>
      </c>
      <c r="GL241" t="str">
        <f>+IFERROR(VLOOKUP(GL42,IN_Zugliste!$A$4:$D$2002,5,FALSE),"")</f>
        <v/>
      </c>
      <c r="GM241" t="str">
        <f>+IFERROR(VLOOKUP(GM42,IN_Zugliste!$A$4:$D$2002,5,FALSE),"")</f>
        <v/>
      </c>
      <c r="GN241" t="str">
        <f>+IFERROR(VLOOKUP(GN42,IN_Zugliste!$A$4:$D$2002,5,FALSE),"")</f>
        <v/>
      </c>
      <c r="GO241" t="str">
        <f>+IFERROR(VLOOKUP(GO42,IN_Zugliste!$A$4:$D$2002,5,FALSE),"")</f>
        <v/>
      </c>
      <c r="GP241" t="str">
        <f>+IFERROR(VLOOKUP(GP42,IN_Zugliste!$A$4:$D$2002,5,FALSE),"")</f>
        <v/>
      </c>
      <c r="GQ241" t="str">
        <f>+IFERROR(VLOOKUP(GQ42,IN_Zugliste!$A$4:$D$2002,5,FALSE),"")</f>
        <v/>
      </c>
      <c r="GR241" t="str">
        <f>+IFERROR(VLOOKUP(GR42,IN_Zugliste!$A$4:$D$2002,5,FALSE),"")</f>
        <v/>
      </c>
      <c r="GS241" t="str">
        <f>+IFERROR(VLOOKUP(GS42,IN_Zugliste!$A$4:$D$2002,5,FALSE),"")</f>
        <v/>
      </c>
      <c r="GT241" t="str">
        <f>+IFERROR(VLOOKUP(GT42,IN_Zugliste!$A$4:$D$2002,5,FALSE),"")</f>
        <v/>
      </c>
      <c r="GU241" t="str">
        <f>+IFERROR(VLOOKUP(GU42,IN_Zugliste!$A$4:$D$2002,5,FALSE),"")</f>
        <v/>
      </c>
      <c r="GV241" t="str">
        <f>+IFERROR(VLOOKUP(GV42,IN_Zugliste!$A$4:$D$2002,5,FALSE),"")</f>
        <v/>
      </c>
      <c r="GW241" t="str">
        <f>+IFERROR(VLOOKUP(GW42,IN_Zugliste!$A$4:$D$2002,5,FALSE),"")</f>
        <v/>
      </c>
      <c r="GX241" t="str">
        <f>+IFERROR(VLOOKUP(GX42,IN_Zugliste!$A$4:$D$2002,5,FALSE),"")</f>
        <v/>
      </c>
      <c r="GY241" t="str">
        <f>+IFERROR(VLOOKUP(GY42,IN_Zugliste!$A$4:$D$2002,5,FALSE),"")</f>
        <v/>
      </c>
      <c r="GZ241" t="str">
        <f>+IFERROR(VLOOKUP(GZ42,IN_Zugliste!$A$4:$D$2002,5,FALSE),"")</f>
        <v/>
      </c>
      <c r="HA241" t="str">
        <f>+IFERROR(VLOOKUP(HA42,IN_Zugliste!$A$4:$D$2002,5,FALSE),"")</f>
        <v/>
      </c>
      <c r="HB241" t="str">
        <f>+IFERROR(VLOOKUP(HB42,IN_Zugliste!$A$4:$D$2002,5,FALSE),"")</f>
        <v/>
      </c>
      <c r="HC241" t="str">
        <f>+IFERROR(VLOOKUP(HC42,IN_Zugliste!$A$4:$D$2002,5,FALSE),"")</f>
        <v/>
      </c>
      <c r="HD241" t="str">
        <f>+IFERROR(VLOOKUP(HD42,IN_Zugliste!$A$4:$D$2002,5,FALSE),"")</f>
        <v/>
      </c>
      <c r="HE241" t="str">
        <f>+IFERROR(VLOOKUP(HE42,IN_Zugliste!$A$4:$D$2002,5,FALSE),"")</f>
        <v/>
      </c>
      <c r="HF241" t="str">
        <f>+IFERROR(VLOOKUP(HF42,IN_Zugliste!$A$4:$D$2002,5,FALSE),"")</f>
        <v/>
      </c>
      <c r="HG241" t="str">
        <f>+IFERROR(VLOOKUP(HG42,IN_Zugliste!$A$4:$D$2002,5,FALSE),"")</f>
        <v/>
      </c>
      <c r="HH241" t="str">
        <f>+IFERROR(VLOOKUP(HH42,IN_Zugliste!$A$4:$D$2002,5,FALSE),"")</f>
        <v/>
      </c>
    </row>
    <row r="242" spans="1:216" x14ac:dyDescent="0.2">
      <c r="A242" t="str">
        <f>+IFERROR(VLOOKUP(A43,IN_Zugliste!$A$4:$E$2002,5,FALSE),"")</f>
        <v/>
      </c>
      <c r="B242" t="str">
        <f>+IFERROR(VLOOKUP(B43,IN_Zugliste!$A$4:$E$2002,5,FALSE),"")</f>
        <v/>
      </c>
      <c r="C242" t="str">
        <f>+IFERROR(VLOOKUP(C43,IN_Zugliste!$A$4:$E$2002,5,FALSE),"")</f>
        <v/>
      </c>
      <c r="D242" t="str">
        <f>+IFERROR(VLOOKUP(D43,IN_Zugliste!$A$4:$E$2002,5,FALSE),"")</f>
        <v/>
      </c>
      <c r="E242" t="str">
        <f>+IFERROR(VLOOKUP(E43,IN_Zugliste!$A$4:$E$2002,5,FALSE),"")</f>
        <v/>
      </c>
      <c r="F242" t="str">
        <f>+IFERROR(VLOOKUP(F43,IN_Zugliste!$A$4:$E$2002,5,FALSE),"")</f>
        <v/>
      </c>
      <c r="G242" t="str">
        <f>+IFERROR(VLOOKUP(G43,IN_Zugliste!$A$4:$E$2002,5,FALSE),"")</f>
        <v/>
      </c>
      <c r="H242" t="str">
        <f>+IFERROR(VLOOKUP(H43,IN_Zugliste!$A$4:$E$2002,5,FALSE),"")</f>
        <v/>
      </c>
      <c r="I242" t="str">
        <f>+IFERROR(VLOOKUP(I43,IN_Zugliste!$A$4:$E$2002,5,FALSE),"")</f>
        <v/>
      </c>
      <c r="J242" t="str">
        <f>+IFERROR(VLOOKUP(J43,IN_Zugliste!$A$4:$E$2002,5,FALSE),"")</f>
        <v/>
      </c>
      <c r="K242" t="str">
        <f>+IFERROR(VLOOKUP(K43,IN_Zugliste!$A$4:$E$2002,5,FALSE),"")</f>
        <v/>
      </c>
      <c r="L242" t="str">
        <f>+IFERROR(VLOOKUP(L43,IN_Zugliste!$A$4:$E$2002,5,FALSE),"")</f>
        <v/>
      </c>
      <c r="M242" t="str">
        <f>+IFERROR(VLOOKUP(M43,IN_Zugliste!$A$4:$E$2002,5,FALSE),"")</f>
        <v/>
      </c>
      <c r="N242" t="str">
        <f>+IFERROR(VLOOKUP(N43,IN_Zugliste!$A$4:$E$2002,5,FALSE),"")</f>
        <v/>
      </c>
      <c r="O242" t="str">
        <f>+IFERROR(VLOOKUP(O43,IN_Zugliste!$A$4:$E$2002,5,FALSE),"")</f>
        <v/>
      </c>
      <c r="P242" t="str">
        <f>+IFERROR(VLOOKUP(P43,IN_Zugliste!$A$4:$E$2002,5,FALSE),"")</f>
        <v/>
      </c>
      <c r="Q242" t="str">
        <f>+IFERROR(VLOOKUP(Q43,IN_Zugliste!$A$4:$E$2002,5,FALSE),"")</f>
        <v/>
      </c>
      <c r="R242" t="str">
        <f>+IFERROR(VLOOKUP(R43,IN_Zugliste!$A$4:$E$2002,5,FALSE),"")</f>
        <v/>
      </c>
      <c r="S242" t="str">
        <f>+IFERROR(VLOOKUP(S43,IN_Zugliste!$A$4:$E$2002,5,FALSE),"")</f>
        <v/>
      </c>
      <c r="T242" t="str">
        <f>+IFERROR(VLOOKUP(T43,IN_Zugliste!$A$4:$E$2002,5,FALSE),"")</f>
        <v/>
      </c>
      <c r="U242" t="str">
        <f>+IFERROR(VLOOKUP(U43,IN_Zugliste!$A$4:$E$2002,5,FALSE),"")</f>
        <v/>
      </c>
      <c r="V242" t="str">
        <f>+IFERROR(VLOOKUP(V43,IN_Zugliste!$A$4:$E$2002,5,FALSE),"")</f>
        <v/>
      </c>
      <c r="W242" t="str">
        <f>+IFERROR(VLOOKUP(W43,IN_Zugliste!$A$4:$E$2002,5,FALSE),"")</f>
        <v/>
      </c>
      <c r="X242" t="str">
        <f>+IFERROR(VLOOKUP(X43,IN_Zugliste!$A$4:$E$2002,5,FALSE),"")</f>
        <v/>
      </c>
      <c r="Y242" t="str">
        <f>+IFERROR(VLOOKUP(Y43,IN_Zugliste!$A$4:$E$2002,5,FALSE),"")</f>
        <v/>
      </c>
      <c r="Z242" t="str">
        <f>+IFERROR(VLOOKUP(Z43,IN_Zugliste!$A$4:$E$2002,5,FALSE),"")</f>
        <v/>
      </c>
      <c r="AA242" t="str">
        <f>+IFERROR(VLOOKUP(AA43,IN_Zugliste!$A$4:$E$2002,5,FALSE),"")</f>
        <v/>
      </c>
      <c r="AB242" t="str">
        <f>+IFERROR(VLOOKUP(AB43,IN_Zugliste!$A$4:$E$2002,5,FALSE),"")</f>
        <v/>
      </c>
      <c r="AC242" t="str">
        <f>+IFERROR(VLOOKUP(AC43,IN_Zugliste!$A$4:$E$2002,5,FALSE),"")</f>
        <v/>
      </c>
      <c r="AD242" t="str">
        <f>+IFERROR(VLOOKUP(AD43,IN_Zugliste!$A$4:$E$2002,5,FALSE),"")</f>
        <v/>
      </c>
      <c r="AE242" t="str">
        <f>+IFERROR(VLOOKUP(AE43,IN_Zugliste!$A$4:$E$2002,5,FALSE),"")</f>
        <v/>
      </c>
      <c r="AF242" t="str">
        <f>+IFERROR(VLOOKUP(AF43,IN_Zugliste!$A$4:$E$2002,5,FALSE),"")</f>
        <v/>
      </c>
      <c r="AG242" t="str">
        <f>+IFERROR(VLOOKUP(AG43,IN_Zugliste!$A$4:$E$2002,5,FALSE),"")</f>
        <v/>
      </c>
      <c r="AH242" t="str">
        <f>+IFERROR(VLOOKUP(AH43,IN_Zugliste!$A$4:$E$2002,5,FALSE),"")</f>
        <v/>
      </c>
      <c r="AI242" t="str">
        <f>+IFERROR(VLOOKUP(AI43,IN_Zugliste!$A$4:$E$2002,5,FALSE),"")</f>
        <v/>
      </c>
      <c r="AJ242" t="str">
        <f>+IFERROR(VLOOKUP(AJ43,IN_Zugliste!$A$4:$E$2002,5,FALSE),"")</f>
        <v/>
      </c>
      <c r="AK242" t="str">
        <f>+IFERROR(VLOOKUP(AK43,IN_Zugliste!$A$4:$E$2002,5,FALSE),"")</f>
        <v/>
      </c>
      <c r="AL242" t="str">
        <f>+IFERROR(VLOOKUP(AL43,IN_Zugliste!$A$4:$E$2002,5,FALSE),"")</f>
        <v/>
      </c>
      <c r="AM242" t="str">
        <f>+IFERROR(VLOOKUP(AM43,IN_Zugliste!$A$4:$E$2002,5,FALSE),"")</f>
        <v/>
      </c>
      <c r="AN242" t="str">
        <f>+IFERROR(VLOOKUP(AN43,IN_Zugliste!$A$4:$E$2002,5,FALSE),"")</f>
        <v/>
      </c>
      <c r="AO242" t="str">
        <f>+IFERROR(VLOOKUP(AO43,IN_Zugliste!$A$4:$E$2002,5,FALSE),"")</f>
        <v/>
      </c>
      <c r="AP242" t="str">
        <f>+IFERROR(VLOOKUP(AP43,IN_Zugliste!$A$4:$E$2002,5,FALSE),"")</f>
        <v/>
      </c>
      <c r="AQ242" t="str">
        <f>+IFERROR(VLOOKUP(AQ43,IN_Zugliste!$A$4:$E$2002,5,FALSE),"")</f>
        <v/>
      </c>
      <c r="AR242" t="str">
        <f>+IFERROR(VLOOKUP(AR43,IN_Zugliste!$A$4:$E$2002,5,FALSE),"")</f>
        <v/>
      </c>
      <c r="AS242" t="str">
        <f>+IFERROR(VLOOKUP(AS43,IN_Zugliste!$A$4:$E$2002,5,FALSE),"")</f>
        <v/>
      </c>
      <c r="AT242" t="str">
        <f>+IFERROR(VLOOKUP(AT43,IN_Zugliste!$A$4:$E$2002,5,FALSE),"")</f>
        <v/>
      </c>
      <c r="AU242" t="str">
        <f>+IFERROR(VLOOKUP(AU43,IN_Zugliste!$A$4:$E$2002,5,FALSE),"")</f>
        <v/>
      </c>
      <c r="AV242" t="str">
        <f>+IFERROR(VLOOKUP(AV43,IN_Zugliste!$A$4:$E$2002,5,FALSE),"")</f>
        <v/>
      </c>
      <c r="AW242" t="str">
        <f>+IFERROR(VLOOKUP(AW43,IN_Zugliste!$A$4:$E$2002,5,FALSE),"")</f>
        <v/>
      </c>
      <c r="AX242" t="str">
        <f>+IFERROR(VLOOKUP(AX43,IN_Zugliste!$A$4:$E$2002,5,FALSE),"")</f>
        <v/>
      </c>
      <c r="AY242" t="str">
        <f>+IFERROR(VLOOKUP(AY43,IN_Zugliste!$A$4:$E$2002,5,FALSE),"")</f>
        <v/>
      </c>
      <c r="AZ242" t="str">
        <f>+IFERROR(VLOOKUP(AZ43,IN_Zugliste!$A$4:$E$2002,5,FALSE),"")</f>
        <v/>
      </c>
      <c r="BA242" t="str">
        <f>+IFERROR(VLOOKUP(BA43,IN_Zugliste!$A$4:$E$2002,5,FALSE),"")</f>
        <v/>
      </c>
      <c r="BB242" t="str">
        <f>+IFERROR(VLOOKUP(BB43,IN_Zugliste!$A$4:$E$2002,5,FALSE),"")</f>
        <v/>
      </c>
      <c r="BC242" t="str">
        <f>+IFERROR(VLOOKUP(BC43,IN_Zugliste!$A$4:$E$2002,5,FALSE),"")</f>
        <v/>
      </c>
      <c r="BD242" t="str">
        <f>+IFERROR(VLOOKUP(BD43,IN_Zugliste!$A$4:$E$2002,5,FALSE),"")</f>
        <v/>
      </c>
      <c r="BE242" t="str">
        <f>+IFERROR(VLOOKUP(BE43,IN_Zugliste!$A$4:$E$2002,5,FALSE),"")</f>
        <v/>
      </c>
      <c r="BF242" t="str">
        <f>+IFERROR(VLOOKUP(BF43,IN_Zugliste!$A$4:$E$2002,5,FALSE),"")</f>
        <v/>
      </c>
      <c r="BG242" t="str">
        <f>+IFERROR(VLOOKUP(BG43,IN_Zugliste!$A$4:$E$2002,5,FALSE),"")</f>
        <v/>
      </c>
      <c r="BH242" t="str">
        <f>+IFERROR(VLOOKUP(BH43,IN_Zugliste!$A$4:$E$2002,5,FALSE),"")</f>
        <v/>
      </c>
      <c r="BI242" t="str">
        <f>+IFERROR(VLOOKUP(BI43,IN_Zugliste!$A$4:$E$2002,5,FALSE),"")</f>
        <v/>
      </c>
      <c r="BJ242" t="str">
        <f>+IFERROR(VLOOKUP(BJ43,IN_Zugliste!$A$4:$E$2002,5,FALSE),"")</f>
        <v/>
      </c>
      <c r="BK242" t="str">
        <f>+IFERROR(VLOOKUP(BK43,IN_Zugliste!$A$4:$E$2002,5,FALSE),"")</f>
        <v/>
      </c>
      <c r="BL242" t="str">
        <f>+IFERROR(VLOOKUP(BL43,IN_Zugliste!$A$4:$E$2002,5,FALSE),"")</f>
        <v/>
      </c>
      <c r="BM242" t="str">
        <f>+IFERROR(VLOOKUP(BM43,IN_Zugliste!$A$4:$E$2002,5,FALSE),"")</f>
        <v/>
      </c>
      <c r="BN242" t="str">
        <f>+IFERROR(VLOOKUP(BN43,IN_Zugliste!$A$4:$E$2002,5,FALSE),"")</f>
        <v/>
      </c>
      <c r="BO242" t="str">
        <f>+IFERROR(VLOOKUP(BO43,IN_Zugliste!$A$4:$E$2002,5,FALSE),"")</f>
        <v/>
      </c>
      <c r="BP242" t="str">
        <f>+IFERROR(VLOOKUP(BP43,IN_Zugliste!$A$4:$E$2002,5,FALSE),"")</f>
        <v/>
      </c>
      <c r="BQ242" t="str">
        <f>+IFERROR(VLOOKUP(BQ43,IN_Zugliste!$A$4:$E$2002,5,FALSE),"")</f>
        <v/>
      </c>
      <c r="BR242" t="str">
        <f>+IFERROR(VLOOKUP(BR43,IN_Zugliste!$A$4:$E$2002,5,FALSE),"")</f>
        <v/>
      </c>
      <c r="BS242" t="str">
        <f>+IFERROR(VLOOKUP(BS43,IN_Zugliste!$A$4:$E$2002,5,FALSE),"")</f>
        <v/>
      </c>
      <c r="BT242" t="str">
        <f>+IFERROR(VLOOKUP(BT43,IN_Zugliste!$A$4:$E$2002,5,FALSE),"")</f>
        <v/>
      </c>
      <c r="BU242" t="str">
        <f>+IFERROR(VLOOKUP(BU43,IN_Zugliste!$A$4:$E$2002,5,FALSE),"")</f>
        <v/>
      </c>
      <c r="BV242" t="str">
        <f>+IFERROR(VLOOKUP(BV43,IN_Zugliste!$A$4:$E$2002,5,FALSE),"")</f>
        <v/>
      </c>
      <c r="BW242" t="str">
        <f>+IFERROR(VLOOKUP(BW43,IN_Zugliste!$A$4:$E$2002,5,FALSE),"")</f>
        <v/>
      </c>
      <c r="BX242" t="str">
        <f>+IFERROR(VLOOKUP(BX43,IN_Zugliste!$A$4:$E$2002,5,FALSE),"")</f>
        <v/>
      </c>
      <c r="BY242" t="str">
        <f>+IFERROR(VLOOKUP(BY43,IN_Zugliste!$A$4:$E$2002,5,FALSE),"")</f>
        <v/>
      </c>
      <c r="BZ242" t="str">
        <f>+IFERROR(VLOOKUP(BZ43,IN_Zugliste!$A$4:$E$2002,5,FALSE),"")</f>
        <v/>
      </c>
      <c r="CA242" t="str">
        <f>+IFERROR(VLOOKUP(CA43,IN_Zugliste!$A$4:$E$2002,5,FALSE),"")</f>
        <v/>
      </c>
      <c r="CB242" t="str">
        <f>+IFERROR(VLOOKUP(CB43,IN_Zugliste!$A$4:$E$2002,5,FALSE),"")</f>
        <v/>
      </c>
      <c r="CC242" t="str">
        <f>+IFERROR(VLOOKUP(CC43,IN_Zugliste!$A$4:$E$2002,5,FALSE),"")</f>
        <v/>
      </c>
      <c r="CD242" t="str">
        <f>+IFERROR(VLOOKUP(CD43,IN_Zugliste!$A$4:$E$2002,5,FALSE),"")</f>
        <v/>
      </c>
      <c r="CE242" t="str">
        <f>+IFERROR(VLOOKUP(CE43,IN_Zugliste!$A$4:$E$2002,5,FALSE),"")</f>
        <v/>
      </c>
      <c r="CF242" t="str">
        <f>+IFERROR(VLOOKUP(CF43,IN_Zugliste!$A$4:$E$2002,5,FALSE),"")</f>
        <v/>
      </c>
      <c r="CG242" t="str">
        <f>+IFERROR(VLOOKUP(CG43,IN_Zugliste!$A$4:$E$2002,5,FALSE),"")</f>
        <v/>
      </c>
      <c r="CH242" t="str">
        <f>+IFERROR(VLOOKUP(CH43,IN_Zugliste!$A$4:$E$2002,5,FALSE),"")</f>
        <v/>
      </c>
      <c r="CI242" t="str">
        <f>+IFERROR(VLOOKUP(CI43,IN_Zugliste!$A$4:$E$2002,5,FALSE),"")</f>
        <v/>
      </c>
      <c r="CJ242" t="str">
        <f>+IFERROR(VLOOKUP(CJ43,IN_Zugliste!$A$4:$E$2002,5,FALSE),"")</f>
        <v/>
      </c>
      <c r="CK242" t="str">
        <f>+IFERROR(VLOOKUP(CK43,IN_Zugliste!$A$4:$E$2002,5,FALSE),"")</f>
        <v/>
      </c>
      <c r="CL242" t="str">
        <f>+IFERROR(VLOOKUP(CL43,IN_Zugliste!$A$4:$E$2002,5,FALSE),"")</f>
        <v/>
      </c>
      <c r="CM242" t="str">
        <f>+IFERROR(VLOOKUP(CM43,IN_Zugliste!$A$4:$E$2002,5,FALSE),"")</f>
        <v/>
      </c>
      <c r="CN242" t="str">
        <f>+IFERROR(VLOOKUP(CN43,IN_Zugliste!$A$4:$E$2002,5,FALSE),"")</f>
        <v/>
      </c>
      <c r="CO242" t="str">
        <f>+IFERROR(VLOOKUP(CO43,IN_Zugliste!$A$4:$E$2002,5,FALSE),"")</f>
        <v/>
      </c>
      <c r="CP242" t="str">
        <f>+IFERROR(VLOOKUP(CP43,IN_Zugliste!$A$4:$E$2002,5,FALSE),"")</f>
        <v/>
      </c>
      <c r="CQ242" t="str">
        <f>+IFERROR(VLOOKUP(CQ43,IN_Zugliste!$A$4:$E$2002,5,FALSE),"")</f>
        <v/>
      </c>
      <c r="CR242" t="str">
        <f>+IFERROR(VLOOKUP(CR43,IN_Zugliste!$A$4:$E$2002,5,FALSE),"")</f>
        <v/>
      </c>
      <c r="CS242" t="str">
        <f>+IFERROR(VLOOKUP(CS43,IN_Zugliste!$A$4:$E$2002,5,FALSE),"")</f>
        <v/>
      </c>
      <c r="CT242" t="str">
        <f>+IFERROR(VLOOKUP(CT43,IN_Zugliste!$A$4:$E$2002,5,FALSE),"")</f>
        <v/>
      </c>
      <c r="CU242" t="str">
        <f>+IFERROR(VLOOKUP(CU43,IN_Zugliste!$A$4:$E$2002,5,FALSE),"")</f>
        <v/>
      </c>
      <c r="CV242" t="str">
        <f>+IFERROR(VLOOKUP(CV43,IN_Zugliste!$A$4:$E$2002,5,FALSE),"")</f>
        <v/>
      </c>
      <c r="CW242" t="str">
        <f>+IFERROR(VLOOKUP(CW43,IN_Zugliste!$A$4:$E$2002,5,FALSE),"")</f>
        <v/>
      </c>
      <c r="CX242" t="str">
        <f>+IFERROR(VLOOKUP(CX43,IN_Zugliste!$A$4:$E$2002,5,FALSE),"")</f>
        <v/>
      </c>
      <c r="CY242" t="str">
        <f>+IFERROR(VLOOKUP(CY43,IN_Zugliste!$A$4:$E$2002,5,FALSE),"")</f>
        <v/>
      </c>
      <c r="CZ242" t="str">
        <f>+IFERROR(VLOOKUP(CZ43,IN_Zugliste!$A$4:$E$2002,5,FALSE),"")</f>
        <v/>
      </c>
      <c r="DA242" t="str">
        <f>+IFERROR(VLOOKUP(DA43,IN_Zugliste!$A$4:$E$2002,5,FALSE),"")</f>
        <v/>
      </c>
      <c r="DB242" t="str">
        <f>+IFERROR(VLOOKUP(DB43,IN_Zugliste!$A$4:$E$2002,5,FALSE),"")</f>
        <v/>
      </c>
      <c r="DC242" t="str">
        <f>+IFERROR(VLOOKUP(DC43,IN_Zugliste!$A$4:$E$2002,5,FALSE),"")</f>
        <v/>
      </c>
      <c r="DD242" t="str">
        <f>+IFERROR(VLOOKUP(DD43,IN_Zugliste!$A$4:$E$2002,5,FALSE),"")</f>
        <v/>
      </c>
      <c r="DE242" t="str">
        <f>+IFERROR(VLOOKUP(DE43,IN_Zugliste!$A$4:$E$2002,5,FALSE),"")</f>
        <v/>
      </c>
      <c r="DF242" t="str">
        <f>+IFERROR(VLOOKUP(DF43,IN_Zugliste!$A$4:$E$2002,5,FALSE),"")</f>
        <v/>
      </c>
      <c r="DG242" t="str">
        <f>+IFERROR(VLOOKUP(DG43,IN_Zugliste!$A$4:$E$2002,5,FALSE),"")</f>
        <v/>
      </c>
      <c r="DH242" t="str">
        <f>+IFERROR(VLOOKUP(DH43,IN_Zugliste!$A$4:$E$2002,5,FALSE),"")</f>
        <v/>
      </c>
      <c r="DI242" t="str">
        <f>+IFERROR(VLOOKUP(DI43,IN_Zugliste!$A$4:$E$2002,5,FALSE),"")</f>
        <v/>
      </c>
      <c r="DJ242" t="str">
        <f>+IFERROR(VLOOKUP(DJ43,IN_Zugliste!$A$4:$E$2002,5,FALSE),"")</f>
        <v/>
      </c>
      <c r="DK242" t="str">
        <f>+IFERROR(VLOOKUP(DK43,IN_Zugliste!$A$4:$E$2002,5,FALSE),"")</f>
        <v/>
      </c>
      <c r="DL242" t="str">
        <f>+IFERROR(VLOOKUP(DL43,IN_Zugliste!$A$4:$E$2002,5,FALSE),"")</f>
        <v/>
      </c>
      <c r="DM242" t="str">
        <f>+IFERROR(VLOOKUP(DM43,IN_Zugliste!$A$4:$E$2002,5,FALSE),"")</f>
        <v/>
      </c>
      <c r="DN242" t="str">
        <f>+IFERROR(VLOOKUP(DN43,IN_Zugliste!$A$4:$E$2002,5,FALSE),"")</f>
        <v/>
      </c>
      <c r="DO242" t="str">
        <f>+IFERROR(VLOOKUP(DO43,IN_Zugliste!$A$4:$E$2002,5,FALSE),"")</f>
        <v/>
      </c>
      <c r="DP242" t="str">
        <f>+IFERROR(VLOOKUP(DP43,IN_Zugliste!$A$4:$E$2002,5,FALSE),"")</f>
        <v/>
      </c>
      <c r="DQ242" t="str">
        <f>+IFERROR(VLOOKUP(DQ43,IN_Zugliste!$A$4:$E$2002,5,FALSE),"")</f>
        <v/>
      </c>
      <c r="DR242" t="str">
        <f>+IFERROR(VLOOKUP(DR43,IN_Zugliste!$A$4:$E$2002,5,FALSE),"")</f>
        <v/>
      </c>
      <c r="DS242" t="str">
        <f>+IFERROR(VLOOKUP(DS43,IN_Zugliste!$A$4:$E$2002,5,FALSE),"")</f>
        <v/>
      </c>
      <c r="DT242" t="str">
        <f>+IFERROR(VLOOKUP(DT43,IN_Zugliste!$A$4:$E$2002,5,FALSE),"")</f>
        <v/>
      </c>
      <c r="DU242" t="str">
        <f>+IFERROR(VLOOKUP(DU43,IN_Zugliste!$A$4:$E$2002,5,FALSE),"")</f>
        <v/>
      </c>
      <c r="DV242" t="str">
        <f>+IFERROR(VLOOKUP(DV43,IN_Zugliste!$A$4:$E$2002,5,FALSE),"")</f>
        <v/>
      </c>
      <c r="DW242" t="str">
        <f>+IFERROR(VLOOKUP(DW43,IN_Zugliste!$A$4:$E$2002,5,FALSE),"")</f>
        <v/>
      </c>
      <c r="DX242" t="str">
        <f>+IFERROR(VLOOKUP(DX43,IN_Zugliste!$A$4:$E$2002,5,FALSE),"")</f>
        <v/>
      </c>
      <c r="DY242" t="str">
        <f>+IFERROR(VLOOKUP(DY43,IN_Zugliste!$A$4:$E$2002,5,FALSE),"")</f>
        <v/>
      </c>
      <c r="DZ242" t="str">
        <f>+IFERROR(VLOOKUP(DZ43,IN_Zugliste!$A$4:$E$2002,5,FALSE),"")</f>
        <v/>
      </c>
      <c r="EA242" t="str">
        <f>+IFERROR(VLOOKUP(EA43,IN_Zugliste!$A$4:$E$2002,5,FALSE),"")</f>
        <v/>
      </c>
      <c r="EB242" t="str">
        <f>+IFERROR(VLOOKUP(EB43,IN_Zugliste!$A$4:$E$2002,5,FALSE),"")</f>
        <v/>
      </c>
      <c r="EC242" t="str">
        <f>+IFERROR(VLOOKUP(EC43,IN_Zugliste!$A$4:$E$2002,5,FALSE),"")</f>
        <v/>
      </c>
      <c r="ED242" t="str">
        <f>+IFERROR(VLOOKUP(ED43,IN_Zugliste!$A$4:$E$2002,5,FALSE),"")</f>
        <v/>
      </c>
      <c r="EE242" t="str">
        <f>+IFERROR(VLOOKUP(EE43,IN_Zugliste!$A$4:$E$2002,5,FALSE),"")</f>
        <v/>
      </c>
      <c r="EF242" t="str">
        <f>+IFERROR(VLOOKUP(EF43,IN_Zugliste!$A$4:$E$2002,5,FALSE),"")</f>
        <v/>
      </c>
      <c r="EG242" t="str">
        <f>+IFERROR(VLOOKUP(EG43,IN_Zugliste!$A$4:$E$2002,5,FALSE),"")</f>
        <v/>
      </c>
      <c r="EH242" t="str">
        <f>+IFERROR(VLOOKUP(EH43,IN_Zugliste!$A$4:$E$2002,5,FALSE),"")</f>
        <v/>
      </c>
      <c r="EI242" t="str">
        <f>+IFERROR(VLOOKUP(EI43,IN_Zugliste!$A$4:$E$2002,5,FALSE),"")</f>
        <v/>
      </c>
      <c r="EJ242" t="str">
        <f>+IFERROR(VLOOKUP(EJ43,IN_Zugliste!$A$4:$E$2002,5,FALSE),"")</f>
        <v/>
      </c>
      <c r="EK242" t="str">
        <f>+IFERROR(VLOOKUP(EK43,IN_Zugliste!$A$4:$E$2002,5,FALSE),"")</f>
        <v/>
      </c>
      <c r="EL242" t="str">
        <f>+IFERROR(VLOOKUP(EL43,IN_Zugliste!$A$4:$E$2002,5,FALSE),"")</f>
        <v/>
      </c>
      <c r="EM242" t="str">
        <f>+IFERROR(VLOOKUP(EM43,IN_Zugliste!$A$4:$E$2002,5,FALSE),"")</f>
        <v/>
      </c>
      <c r="EN242" t="str">
        <f>+IFERROR(VLOOKUP(EN43,IN_Zugliste!$A$4:$E$2002,5,FALSE),"")</f>
        <v/>
      </c>
      <c r="EO242" t="str">
        <f>+IFERROR(VLOOKUP(EO43,IN_Zugliste!$A$4:$E$2002,5,FALSE),"")</f>
        <v/>
      </c>
      <c r="EP242" t="str">
        <f>+IFERROR(VLOOKUP(EP43,IN_Zugliste!$A$4:$E$2002,5,FALSE),"")</f>
        <v/>
      </c>
      <c r="EQ242" t="str">
        <f>+IFERROR(VLOOKUP(EQ43,IN_Zugliste!$A$4:$E$2002,5,FALSE),"")</f>
        <v/>
      </c>
      <c r="ER242" t="str">
        <f>+IFERROR(VLOOKUP(ER43,IN_Zugliste!$A$4:$E$2002,5,FALSE),"")</f>
        <v/>
      </c>
      <c r="ES242" t="str">
        <f>+IFERROR(VLOOKUP(ES43,IN_Zugliste!$A$4:$E$2002,5,FALSE),"")</f>
        <v/>
      </c>
      <c r="ET242" t="str">
        <f>+IFERROR(VLOOKUP(ET43,IN_Zugliste!$A$4:$E$2002,5,FALSE),"")</f>
        <v/>
      </c>
      <c r="EU242" t="str">
        <f>+IFERROR(VLOOKUP(EU43,IN_Zugliste!$A$4:$E$2002,5,FALSE),"")</f>
        <v/>
      </c>
      <c r="EV242" t="str">
        <f>+IFERROR(VLOOKUP(EV43,IN_Zugliste!$A$4:$E$2002,5,FALSE),"")</f>
        <v/>
      </c>
      <c r="EW242" t="str">
        <f>+IFERROR(VLOOKUP(EW43,IN_Zugliste!$A$4:$E$2002,5,FALSE),"")</f>
        <v/>
      </c>
      <c r="EX242" t="str">
        <f>+IFERROR(VLOOKUP(EX43,IN_Zugliste!$A$4:$E$2002,5,FALSE),"")</f>
        <v/>
      </c>
      <c r="EY242" t="str">
        <f>+IFERROR(VLOOKUP(EY43,IN_Zugliste!$A$4:$E$2002,5,FALSE),"")</f>
        <v/>
      </c>
      <c r="EZ242" t="str">
        <f>+IFERROR(VLOOKUP(EZ43,IN_Zugliste!$A$4:$E$2002,5,FALSE),"")</f>
        <v/>
      </c>
      <c r="FA242" t="str">
        <f>+IFERROR(VLOOKUP(FA43,IN_Zugliste!$A$4:$E$2002,5,FALSE),"")</f>
        <v/>
      </c>
      <c r="FB242" t="str">
        <f>+IFERROR(VLOOKUP(FB43,IN_Zugliste!$A$4:$E$2002,5,FALSE),"")</f>
        <v/>
      </c>
      <c r="FC242" t="str">
        <f>+IFERROR(VLOOKUP(FC43,IN_Zugliste!$A$4:$E$2002,5,FALSE),"")</f>
        <v/>
      </c>
      <c r="FD242" t="str">
        <f>+IFERROR(VLOOKUP(FD43,IN_Zugliste!$A$4:$E$2002,5,FALSE),"")</f>
        <v/>
      </c>
      <c r="FE242" t="str">
        <f>+IFERROR(VLOOKUP(FE43,IN_Zugliste!$A$4:$E$2002,5,FALSE),"")</f>
        <v/>
      </c>
      <c r="FF242" t="str">
        <f>+IFERROR(VLOOKUP(FF43,IN_Zugliste!$A$4:$E$2002,5,FALSE),"")</f>
        <v/>
      </c>
      <c r="FG242" t="str">
        <f>+IFERROR(VLOOKUP(FG43,IN_Zugliste!$A$4:$E$2002,5,FALSE),"")</f>
        <v/>
      </c>
      <c r="FH242" t="str">
        <f>+IFERROR(VLOOKUP(FH43,IN_Zugliste!$A$4:$E$2002,5,FALSE),"")</f>
        <v/>
      </c>
      <c r="FI242" t="str">
        <f>+IFERROR(VLOOKUP(FI43,IN_Zugliste!$A$4:$E$2002,5,FALSE),"")</f>
        <v/>
      </c>
      <c r="FJ242" t="str">
        <f>+IFERROR(VLOOKUP(FJ43,IN_Zugliste!$A$4:$E$2002,5,FALSE),"")</f>
        <v/>
      </c>
      <c r="FK242" t="str">
        <f>+IFERROR(VLOOKUP(FK43,IN_Zugliste!$A$4:$E$2002,5,FALSE),"")</f>
        <v/>
      </c>
      <c r="FL242" t="str">
        <f>+IFERROR(VLOOKUP(FL43,IN_Zugliste!$A$4:$E$2002,5,FALSE),"")</f>
        <v/>
      </c>
      <c r="FM242" t="str">
        <f>+IFERROR(VLOOKUP(FM43,IN_Zugliste!$A$4:$D$2002,5,FALSE),"")</f>
        <v/>
      </c>
      <c r="FN242" t="str">
        <f>+IFERROR(VLOOKUP(FN43,IN_Zugliste!$A$4:$D$2002,5,FALSE),"")</f>
        <v/>
      </c>
      <c r="FO242" t="str">
        <f>+IFERROR(VLOOKUP(FO43,IN_Zugliste!$A$4:$D$2002,5,FALSE),"")</f>
        <v/>
      </c>
      <c r="FP242" t="str">
        <f>+IFERROR(VLOOKUP(FP43,IN_Zugliste!$A$4:$D$2002,5,FALSE),"")</f>
        <v/>
      </c>
      <c r="FQ242" t="str">
        <f>+IFERROR(VLOOKUP(FQ43,IN_Zugliste!$A$4:$D$2002,5,FALSE),"")</f>
        <v/>
      </c>
      <c r="FR242" t="str">
        <f>+IFERROR(VLOOKUP(FR43,IN_Zugliste!$A$4:$D$2002,5,FALSE),"")</f>
        <v/>
      </c>
      <c r="FS242" t="str">
        <f>+IFERROR(VLOOKUP(FS43,IN_Zugliste!$A$4:$D$2002,5,FALSE),"")</f>
        <v/>
      </c>
      <c r="FT242" t="str">
        <f>+IFERROR(VLOOKUP(FT43,IN_Zugliste!$A$4:$D$2002,5,FALSE),"")</f>
        <v/>
      </c>
      <c r="FU242" t="str">
        <f>+IFERROR(VLOOKUP(FU43,IN_Zugliste!$A$4:$D$2002,5,FALSE),"")</f>
        <v/>
      </c>
      <c r="FV242" t="str">
        <f>+IFERROR(VLOOKUP(FV43,IN_Zugliste!$A$4:$D$2002,5,FALSE),"")</f>
        <v/>
      </c>
      <c r="FW242" t="str">
        <f>+IFERROR(VLOOKUP(FW43,IN_Zugliste!$A$4:$D$2002,5,FALSE),"")</f>
        <v/>
      </c>
      <c r="FX242" t="str">
        <f>+IFERROR(VLOOKUP(FX43,IN_Zugliste!$A$4:$D$2002,5,FALSE),"")</f>
        <v/>
      </c>
      <c r="FY242" t="str">
        <f>+IFERROR(VLOOKUP(FY43,IN_Zugliste!$A$4:$D$2002,5,FALSE),"")</f>
        <v/>
      </c>
      <c r="FZ242" t="str">
        <f>+IFERROR(VLOOKUP(FZ43,IN_Zugliste!$A$4:$D$2002,5,FALSE),"")</f>
        <v/>
      </c>
      <c r="GA242" t="str">
        <f>+IFERROR(VLOOKUP(GA43,IN_Zugliste!$A$4:$D$2002,5,FALSE),"")</f>
        <v/>
      </c>
      <c r="GB242" t="str">
        <f>+IFERROR(VLOOKUP(GB43,IN_Zugliste!$A$4:$D$2002,5,FALSE),"")</f>
        <v/>
      </c>
      <c r="GC242" t="str">
        <f>+IFERROR(VLOOKUP(GC43,IN_Zugliste!$A$4:$D$2002,5,FALSE),"")</f>
        <v/>
      </c>
      <c r="GD242" t="str">
        <f>+IFERROR(VLOOKUP(GD43,IN_Zugliste!$A$4:$D$2002,5,FALSE),"")</f>
        <v/>
      </c>
      <c r="GE242" t="str">
        <f>+IFERROR(VLOOKUP(GE43,IN_Zugliste!$A$4:$D$2002,5,FALSE),"")</f>
        <v/>
      </c>
      <c r="GF242" t="str">
        <f>+IFERROR(VLOOKUP(GF43,IN_Zugliste!$A$4:$D$2002,5,FALSE),"")</f>
        <v/>
      </c>
      <c r="GG242" t="str">
        <f>+IFERROR(VLOOKUP(GG43,IN_Zugliste!$A$4:$D$2002,5,FALSE),"")</f>
        <v/>
      </c>
      <c r="GH242" t="str">
        <f>+IFERROR(VLOOKUP(GH43,IN_Zugliste!$A$4:$D$2002,5,FALSE),"")</f>
        <v/>
      </c>
      <c r="GI242" t="str">
        <f>+IFERROR(VLOOKUP(GI43,IN_Zugliste!$A$4:$D$2002,5,FALSE),"")</f>
        <v/>
      </c>
      <c r="GJ242" t="str">
        <f>+IFERROR(VLOOKUP(GJ43,IN_Zugliste!$A$4:$D$2002,5,FALSE),"")</f>
        <v/>
      </c>
      <c r="GK242" t="str">
        <f>+IFERROR(VLOOKUP(GK43,IN_Zugliste!$A$4:$D$2002,5,FALSE),"")</f>
        <v/>
      </c>
      <c r="GL242" t="str">
        <f>+IFERROR(VLOOKUP(GL43,IN_Zugliste!$A$4:$D$2002,5,FALSE),"")</f>
        <v/>
      </c>
      <c r="GM242" t="str">
        <f>+IFERROR(VLOOKUP(GM43,IN_Zugliste!$A$4:$D$2002,5,FALSE),"")</f>
        <v/>
      </c>
      <c r="GN242" t="str">
        <f>+IFERROR(VLOOKUP(GN43,IN_Zugliste!$A$4:$D$2002,5,FALSE),"")</f>
        <v/>
      </c>
      <c r="GO242" t="str">
        <f>+IFERROR(VLOOKUP(GO43,IN_Zugliste!$A$4:$D$2002,5,FALSE),"")</f>
        <v/>
      </c>
      <c r="GP242" t="str">
        <f>+IFERROR(VLOOKUP(GP43,IN_Zugliste!$A$4:$D$2002,5,FALSE),"")</f>
        <v/>
      </c>
      <c r="GQ242" t="str">
        <f>+IFERROR(VLOOKUP(GQ43,IN_Zugliste!$A$4:$D$2002,5,FALSE),"")</f>
        <v/>
      </c>
      <c r="GR242" t="str">
        <f>+IFERROR(VLOOKUP(GR43,IN_Zugliste!$A$4:$D$2002,5,FALSE),"")</f>
        <v/>
      </c>
      <c r="GS242" t="str">
        <f>+IFERROR(VLOOKUP(GS43,IN_Zugliste!$A$4:$D$2002,5,FALSE),"")</f>
        <v/>
      </c>
      <c r="GT242" t="str">
        <f>+IFERROR(VLOOKUP(GT43,IN_Zugliste!$A$4:$D$2002,5,FALSE),"")</f>
        <v/>
      </c>
      <c r="GU242" t="str">
        <f>+IFERROR(VLOOKUP(GU43,IN_Zugliste!$A$4:$D$2002,5,FALSE),"")</f>
        <v/>
      </c>
      <c r="GV242" t="str">
        <f>+IFERROR(VLOOKUP(GV43,IN_Zugliste!$A$4:$D$2002,5,FALSE),"")</f>
        <v/>
      </c>
      <c r="GW242" t="str">
        <f>+IFERROR(VLOOKUP(GW43,IN_Zugliste!$A$4:$D$2002,5,FALSE),"")</f>
        <v/>
      </c>
      <c r="GX242" t="str">
        <f>+IFERROR(VLOOKUP(GX43,IN_Zugliste!$A$4:$D$2002,5,FALSE),"")</f>
        <v/>
      </c>
      <c r="GY242" t="str">
        <f>+IFERROR(VLOOKUP(GY43,IN_Zugliste!$A$4:$D$2002,5,FALSE),"")</f>
        <v/>
      </c>
      <c r="GZ242" t="str">
        <f>+IFERROR(VLOOKUP(GZ43,IN_Zugliste!$A$4:$D$2002,5,FALSE),"")</f>
        <v/>
      </c>
      <c r="HA242" t="str">
        <f>+IFERROR(VLOOKUP(HA43,IN_Zugliste!$A$4:$D$2002,5,FALSE),"")</f>
        <v/>
      </c>
      <c r="HB242" t="str">
        <f>+IFERROR(VLOOKUP(HB43,IN_Zugliste!$A$4:$D$2002,5,FALSE),"")</f>
        <v/>
      </c>
      <c r="HC242" t="str">
        <f>+IFERROR(VLOOKUP(HC43,IN_Zugliste!$A$4:$D$2002,5,FALSE),"")</f>
        <v/>
      </c>
      <c r="HD242" t="str">
        <f>+IFERROR(VLOOKUP(HD43,IN_Zugliste!$A$4:$D$2002,5,FALSE),"")</f>
        <v/>
      </c>
      <c r="HE242" t="str">
        <f>+IFERROR(VLOOKUP(HE43,IN_Zugliste!$A$4:$D$2002,5,FALSE),"")</f>
        <v/>
      </c>
      <c r="HF242" t="str">
        <f>+IFERROR(VLOOKUP(HF43,IN_Zugliste!$A$4:$D$2002,5,FALSE),"")</f>
        <v/>
      </c>
      <c r="HG242" t="str">
        <f>+IFERROR(VLOOKUP(HG43,IN_Zugliste!$A$4:$D$2002,5,FALSE),"")</f>
        <v/>
      </c>
      <c r="HH242" t="str">
        <f>+IFERROR(VLOOKUP(HH43,IN_Zugliste!$A$4:$D$2002,5,FALSE),"")</f>
        <v/>
      </c>
    </row>
    <row r="243" spans="1:216" x14ac:dyDescent="0.2">
      <c r="A243" t="str">
        <f>+IFERROR(VLOOKUP(A44,IN_Zugliste!$A$4:$E$2002,5,FALSE),"")</f>
        <v/>
      </c>
      <c r="B243" t="str">
        <f>+IFERROR(VLOOKUP(B44,IN_Zugliste!$A$4:$E$2002,5,FALSE),"")</f>
        <v/>
      </c>
      <c r="C243" t="str">
        <f>+IFERROR(VLOOKUP(C44,IN_Zugliste!$A$4:$E$2002,5,FALSE),"")</f>
        <v/>
      </c>
      <c r="D243" t="str">
        <f>+IFERROR(VLOOKUP(D44,IN_Zugliste!$A$4:$E$2002,5,FALSE),"")</f>
        <v/>
      </c>
      <c r="E243" t="str">
        <f>+IFERROR(VLOOKUP(E44,IN_Zugliste!$A$4:$E$2002,5,FALSE),"")</f>
        <v/>
      </c>
      <c r="F243" t="str">
        <f>+IFERROR(VLOOKUP(F44,IN_Zugliste!$A$4:$E$2002,5,FALSE),"")</f>
        <v/>
      </c>
      <c r="G243" t="str">
        <f>+IFERROR(VLOOKUP(G44,IN_Zugliste!$A$4:$E$2002,5,FALSE),"")</f>
        <v/>
      </c>
      <c r="H243" t="str">
        <f>+IFERROR(VLOOKUP(H44,IN_Zugliste!$A$4:$E$2002,5,FALSE),"")</f>
        <v/>
      </c>
      <c r="I243" t="str">
        <f>+IFERROR(VLOOKUP(I44,IN_Zugliste!$A$4:$E$2002,5,FALSE),"")</f>
        <v/>
      </c>
      <c r="J243" t="str">
        <f>+IFERROR(VLOOKUP(J44,IN_Zugliste!$A$4:$E$2002,5,FALSE),"")</f>
        <v/>
      </c>
      <c r="K243" t="str">
        <f>+IFERROR(VLOOKUP(K44,IN_Zugliste!$A$4:$E$2002,5,FALSE),"")</f>
        <v/>
      </c>
      <c r="L243" t="str">
        <f>+IFERROR(VLOOKUP(L44,IN_Zugliste!$A$4:$E$2002,5,FALSE),"")</f>
        <v/>
      </c>
      <c r="M243" t="str">
        <f>+IFERROR(VLOOKUP(M44,IN_Zugliste!$A$4:$E$2002,5,FALSE),"")</f>
        <v/>
      </c>
      <c r="N243" t="str">
        <f>+IFERROR(VLOOKUP(N44,IN_Zugliste!$A$4:$E$2002,5,FALSE),"")</f>
        <v/>
      </c>
      <c r="O243" t="str">
        <f>+IFERROR(VLOOKUP(O44,IN_Zugliste!$A$4:$E$2002,5,FALSE),"")</f>
        <v/>
      </c>
      <c r="P243" t="str">
        <f>+IFERROR(VLOOKUP(P44,IN_Zugliste!$A$4:$E$2002,5,FALSE),"")</f>
        <v/>
      </c>
      <c r="Q243" t="str">
        <f>+IFERROR(VLOOKUP(Q44,IN_Zugliste!$A$4:$E$2002,5,FALSE),"")</f>
        <v/>
      </c>
      <c r="R243" t="str">
        <f>+IFERROR(VLOOKUP(R44,IN_Zugliste!$A$4:$E$2002,5,FALSE),"")</f>
        <v/>
      </c>
      <c r="S243" t="str">
        <f>+IFERROR(VLOOKUP(S44,IN_Zugliste!$A$4:$E$2002,5,FALSE),"")</f>
        <v/>
      </c>
      <c r="T243" t="str">
        <f>+IFERROR(VLOOKUP(T44,IN_Zugliste!$A$4:$E$2002,5,FALSE),"")</f>
        <v/>
      </c>
      <c r="U243" t="str">
        <f>+IFERROR(VLOOKUP(U44,IN_Zugliste!$A$4:$E$2002,5,FALSE),"")</f>
        <v/>
      </c>
      <c r="V243" t="str">
        <f>+IFERROR(VLOOKUP(V44,IN_Zugliste!$A$4:$E$2002,5,FALSE),"")</f>
        <v/>
      </c>
      <c r="W243" t="str">
        <f>+IFERROR(VLOOKUP(W44,IN_Zugliste!$A$4:$E$2002,5,FALSE),"")</f>
        <v/>
      </c>
      <c r="X243" t="str">
        <f>+IFERROR(VLOOKUP(X44,IN_Zugliste!$A$4:$E$2002,5,FALSE),"")</f>
        <v/>
      </c>
      <c r="Y243" t="str">
        <f>+IFERROR(VLOOKUP(Y44,IN_Zugliste!$A$4:$E$2002,5,FALSE),"")</f>
        <v/>
      </c>
      <c r="Z243" t="str">
        <f>+IFERROR(VLOOKUP(Z44,IN_Zugliste!$A$4:$E$2002,5,FALSE),"")</f>
        <v/>
      </c>
      <c r="AA243" t="str">
        <f>+IFERROR(VLOOKUP(AA44,IN_Zugliste!$A$4:$E$2002,5,FALSE),"")</f>
        <v/>
      </c>
      <c r="AB243" t="str">
        <f>+IFERROR(VLOOKUP(AB44,IN_Zugliste!$A$4:$E$2002,5,FALSE),"")</f>
        <v/>
      </c>
      <c r="AC243" t="str">
        <f>+IFERROR(VLOOKUP(AC44,IN_Zugliste!$A$4:$E$2002,5,FALSE),"")</f>
        <v/>
      </c>
      <c r="AD243" t="str">
        <f>+IFERROR(VLOOKUP(AD44,IN_Zugliste!$A$4:$E$2002,5,FALSE),"")</f>
        <v/>
      </c>
      <c r="AE243" t="str">
        <f>+IFERROR(VLOOKUP(AE44,IN_Zugliste!$A$4:$E$2002,5,FALSE),"")</f>
        <v/>
      </c>
      <c r="AF243" t="str">
        <f>+IFERROR(VLOOKUP(AF44,IN_Zugliste!$A$4:$E$2002,5,FALSE),"")</f>
        <v/>
      </c>
      <c r="AG243" t="str">
        <f>+IFERROR(VLOOKUP(AG44,IN_Zugliste!$A$4:$E$2002,5,FALSE),"")</f>
        <v/>
      </c>
      <c r="AH243" t="str">
        <f>+IFERROR(VLOOKUP(AH44,IN_Zugliste!$A$4:$E$2002,5,FALSE),"")</f>
        <v/>
      </c>
      <c r="AI243" t="str">
        <f>+IFERROR(VLOOKUP(AI44,IN_Zugliste!$A$4:$E$2002,5,FALSE),"")</f>
        <v/>
      </c>
      <c r="AJ243" t="str">
        <f>+IFERROR(VLOOKUP(AJ44,IN_Zugliste!$A$4:$E$2002,5,FALSE),"")</f>
        <v/>
      </c>
      <c r="AK243" t="str">
        <f>+IFERROR(VLOOKUP(AK44,IN_Zugliste!$A$4:$E$2002,5,FALSE),"")</f>
        <v/>
      </c>
      <c r="AL243" t="str">
        <f>+IFERROR(VLOOKUP(AL44,IN_Zugliste!$A$4:$E$2002,5,FALSE),"")</f>
        <v/>
      </c>
      <c r="AM243" t="str">
        <f>+IFERROR(VLOOKUP(AM44,IN_Zugliste!$A$4:$E$2002,5,FALSE),"")</f>
        <v/>
      </c>
      <c r="AN243" t="str">
        <f>+IFERROR(VLOOKUP(AN44,IN_Zugliste!$A$4:$E$2002,5,FALSE),"")</f>
        <v/>
      </c>
      <c r="AO243" t="str">
        <f>+IFERROR(VLOOKUP(AO44,IN_Zugliste!$A$4:$E$2002,5,FALSE),"")</f>
        <v/>
      </c>
      <c r="AP243" t="str">
        <f>+IFERROR(VLOOKUP(AP44,IN_Zugliste!$A$4:$E$2002,5,FALSE),"")</f>
        <v/>
      </c>
      <c r="AQ243" t="str">
        <f>+IFERROR(VLOOKUP(AQ44,IN_Zugliste!$A$4:$E$2002,5,FALSE),"")</f>
        <v/>
      </c>
      <c r="AR243" t="str">
        <f>+IFERROR(VLOOKUP(AR44,IN_Zugliste!$A$4:$E$2002,5,FALSE),"")</f>
        <v/>
      </c>
      <c r="AS243" t="str">
        <f>+IFERROR(VLOOKUP(AS44,IN_Zugliste!$A$4:$E$2002,5,FALSE),"")</f>
        <v/>
      </c>
      <c r="AT243" t="str">
        <f>+IFERROR(VLOOKUP(AT44,IN_Zugliste!$A$4:$E$2002,5,FALSE),"")</f>
        <v/>
      </c>
      <c r="AU243" t="str">
        <f>+IFERROR(VLOOKUP(AU44,IN_Zugliste!$A$4:$E$2002,5,FALSE),"")</f>
        <v/>
      </c>
      <c r="AV243" t="str">
        <f>+IFERROR(VLOOKUP(AV44,IN_Zugliste!$A$4:$E$2002,5,FALSE),"")</f>
        <v/>
      </c>
      <c r="AW243" t="str">
        <f>+IFERROR(VLOOKUP(AW44,IN_Zugliste!$A$4:$E$2002,5,FALSE),"")</f>
        <v/>
      </c>
      <c r="AX243" t="str">
        <f>+IFERROR(VLOOKUP(AX44,IN_Zugliste!$A$4:$E$2002,5,FALSE),"")</f>
        <v/>
      </c>
      <c r="AY243" t="str">
        <f>+IFERROR(VLOOKUP(AY44,IN_Zugliste!$A$4:$E$2002,5,FALSE),"")</f>
        <v/>
      </c>
      <c r="AZ243" t="str">
        <f>+IFERROR(VLOOKUP(AZ44,IN_Zugliste!$A$4:$E$2002,5,FALSE),"")</f>
        <v/>
      </c>
      <c r="BA243" t="str">
        <f>+IFERROR(VLOOKUP(BA44,IN_Zugliste!$A$4:$E$2002,5,FALSE),"")</f>
        <v/>
      </c>
      <c r="BB243" t="str">
        <f>+IFERROR(VLOOKUP(BB44,IN_Zugliste!$A$4:$E$2002,5,FALSE),"")</f>
        <v/>
      </c>
      <c r="BC243" t="str">
        <f>+IFERROR(VLOOKUP(BC44,IN_Zugliste!$A$4:$E$2002,5,FALSE),"")</f>
        <v/>
      </c>
      <c r="BD243" t="str">
        <f>+IFERROR(VLOOKUP(BD44,IN_Zugliste!$A$4:$E$2002,5,FALSE),"")</f>
        <v/>
      </c>
      <c r="BE243" t="str">
        <f>+IFERROR(VLOOKUP(BE44,IN_Zugliste!$A$4:$E$2002,5,FALSE),"")</f>
        <v/>
      </c>
      <c r="BF243" t="str">
        <f>+IFERROR(VLOOKUP(BF44,IN_Zugliste!$A$4:$E$2002,5,FALSE),"")</f>
        <v/>
      </c>
      <c r="BG243" t="str">
        <f>+IFERROR(VLOOKUP(BG44,IN_Zugliste!$A$4:$E$2002,5,FALSE),"")</f>
        <v/>
      </c>
      <c r="BH243" t="str">
        <f>+IFERROR(VLOOKUP(BH44,IN_Zugliste!$A$4:$E$2002,5,FALSE),"")</f>
        <v/>
      </c>
      <c r="BI243" t="str">
        <f>+IFERROR(VLOOKUP(BI44,IN_Zugliste!$A$4:$E$2002,5,FALSE),"")</f>
        <v/>
      </c>
      <c r="BJ243" t="str">
        <f>+IFERROR(VLOOKUP(BJ44,IN_Zugliste!$A$4:$E$2002,5,FALSE),"")</f>
        <v/>
      </c>
      <c r="BK243" t="str">
        <f>+IFERROR(VLOOKUP(BK44,IN_Zugliste!$A$4:$E$2002,5,FALSE),"")</f>
        <v/>
      </c>
      <c r="BL243" t="str">
        <f>+IFERROR(VLOOKUP(BL44,IN_Zugliste!$A$4:$E$2002,5,FALSE),"")</f>
        <v/>
      </c>
      <c r="BM243" t="str">
        <f>+IFERROR(VLOOKUP(BM44,IN_Zugliste!$A$4:$E$2002,5,FALSE),"")</f>
        <v/>
      </c>
      <c r="BN243" t="str">
        <f>+IFERROR(VLOOKUP(BN44,IN_Zugliste!$A$4:$E$2002,5,FALSE),"")</f>
        <v/>
      </c>
      <c r="BO243" t="str">
        <f>+IFERROR(VLOOKUP(BO44,IN_Zugliste!$A$4:$E$2002,5,FALSE),"")</f>
        <v/>
      </c>
      <c r="BP243" t="str">
        <f>+IFERROR(VLOOKUP(BP44,IN_Zugliste!$A$4:$E$2002,5,FALSE),"")</f>
        <v/>
      </c>
      <c r="BQ243" t="str">
        <f>+IFERROR(VLOOKUP(BQ44,IN_Zugliste!$A$4:$E$2002,5,FALSE),"")</f>
        <v/>
      </c>
      <c r="BR243" t="str">
        <f>+IFERROR(VLOOKUP(BR44,IN_Zugliste!$A$4:$E$2002,5,FALSE),"")</f>
        <v/>
      </c>
      <c r="BS243" t="str">
        <f>+IFERROR(VLOOKUP(BS44,IN_Zugliste!$A$4:$E$2002,5,FALSE),"")</f>
        <v/>
      </c>
      <c r="BT243" t="str">
        <f>+IFERROR(VLOOKUP(BT44,IN_Zugliste!$A$4:$E$2002,5,FALSE),"")</f>
        <v/>
      </c>
      <c r="BU243" t="str">
        <f>+IFERROR(VLOOKUP(BU44,IN_Zugliste!$A$4:$E$2002,5,FALSE),"")</f>
        <v/>
      </c>
      <c r="BV243" t="str">
        <f>+IFERROR(VLOOKUP(BV44,IN_Zugliste!$A$4:$E$2002,5,FALSE),"")</f>
        <v/>
      </c>
      <c r="BW243" t="str">
        <f>+IFERROR(VLOOKUP(BW44,IN_Zugliste!$A$4:$E$2002,5,FALSE),"")</f>
        <v/>
      </c>
      <c r="BX243" t="str">
        <f>+IFERROR(VLOOKUP(BX44,IN_Zugliste!$A$4:$E$2002,5,FALSE),"")</f>
        <v/>
      </c>
      <c r="BY243" t="str">
        <f>+IFERROR(VLOOKUP(BY44,IN_Zugliste!$A$4:$E$2002,5,FALSE),"")</f>
        <v/>
      </c>
      <c r="BZ243" t="str">
        <f>+IFERROR(VLOOKUP(BZ44,IN_Zugliste!$A$4:$E$2002,5,FALSE),"")</f>
        <v/>
      </c>
      <c r="CA243" t="str">
        <f>+IFERROR(VLOOKUP(CA44,IN_Zugliste!$A$4:$E$2002,5,FALSE),"")</f>
        <v/>
      </c>
      <c r="CB243" t="str">
        <f>+IFERROR(VLOOKUP(CB44,IN_Zugliste!$A$4:$E$2002,5,FALSE),"")</f>
        <v/>
      </c>
      <c r="CC243" t="str">
        <f>+IFERROR(VLOOKUP(CC44,IN_Zugliste!$A$4:$E$2002,5,FALSE),"")</f>
        <v/>
      </c>
      <c r="CD243" t="str">
        <f>+IFERROR(VLOOKUP(CD44,IN_Zugliste!$A$4:$E$2002,5,FALSE),"")</f>
        <v/>
      </c>
      <c r="CE243" t="str">
        <f>+IFERROR(VLOOKUP(CE44,IN_Zugliste!$A$4:$E$2002,5,FALSE),"")</f>
        <v/>
      </c>
      <c r="CF243" t="str">
        <f>+IFERROR(VLOOKUP(CF44,IN_Zugliste!$A$4:$E$2002,5,FALSE),"")</f>
        <v/>
      </c>
      <c r="CG243" t="str">
        <f>+IFERROR(VLOOKUP(CG44,IN_Zugliste!$A$4:$E$2002,5,FALSE),"")</f>
        <v/>
      </c>
      <c r="CH243" t="str">
        <f>+IFERROR(VLOOKUP(CH44,IN_Zugliste!$A$4:$E$2002,5,FALSE),"")</f>
        <v/>
      </c>
      <c r="CI243" t="str">
        <f>+IFERROR(VLOOKUP(CI44,IN_Zugliste!$A$4:$E$2002,5,FALSE),"")</f>
        <v/>
      </c>
      <c r="CJ243" t="str">
        <f>+IFERROR(VLOOKUP(CJ44,IN_Zugliste!$A$4:$E$2002,5,FALSE),"")</f>
        <v/>
      </c>
      <c r="CK243" t="str">
        <f>+IFERROR(VLOOKUP(CK44,IN_Zugliste!$A$4:$E$2002,5,FALSE),"")</f>
        <v/>
      </c>
      <c r="CL243" t="str">
        <f>+IFERROR(VLOOKUP(CL44,IN_Zugliste!$A$4:$E$2002,5,FALSE),"")</f>
        <v/>
      </c>
      <c r="CM243" t="str">
        <f>+IFERROR(VLOOKUP(CM44,IN_Zugliste!$A$4:$E$2002,5,FALSE),"")</f>
        <v/>
      </c>
      <c r="CN243" t="str">
        <f>+IFERROR(VLOOKUP(CN44,IN_Zugliste!$A$4:$E$2002,5,FALSE),"")</f>
        <v/>
      </c>
      <c r="CO243" t="str">
        <f>+IFERROR(VLOOKUP(CO44,IN_Zugliste!$A$4:$E$2002,5,FALSE),"")</f>
        <v/>
      </c>
      <c r="CP243" t="str">
        <f>+IFERROR(VLOOKUP(CP44,IN_Zugliste!$A$4:$E$2002,5,FALSE),"")</f>
        <v/>
      </c>
      <c r="CQ243" t="str">
        <f>+IFERROR(VLOOKUP(CQ44,IN_Zugliste!$A$4:$E$2002,5,FALSE),"")</f>
        <v/>
      </c>
      <c r="CR243" t="str">
        <f>+IFERROR(VLOOKUP(CR44,IN_Zugliste!$A$4:$E$2002,5,FALSE),"")</f>
        <v/>
      </c>
      <c r="CS243" t="str">
        <f>+IFERROR(VLOOKUP(CS44,IN_Zugliste!$A$4:$E$2002,5,FALSE),"")</f>
        <v/>
      </c>
      <c r="CT243" t="str">
        <f>+IFERROR(VLOOKUP(CT44,IN_Zugliste!$A$4:$E$2002,5,FALSE),"")</f>
        <v/>
      </c>
      <c r="CU243" t="str">
        <f>+IFERROR(VLOOKUP(CU44,IN_Zugliste!$A$4:$E$2002,5,FALSE),"")</f>
        <v/>
      </c>
      <c r="CV243" t="str">
        <f>+IFERROR(VLOOKUP(CV44,IN_Zugliste!$A$4:$E$2002,5,FALSE),"")</f>
        <v/>
      </c>
      <c r="CW243" t="str">
        <f>+IFERROR(VLOOKUP(CW44,IN_Zugliste!$A$4:$E$2002,5,FALSE),"")</f>
        <v/>
      </c>
      <c r="CX243" t="str">
        <f>+IFERROR(VLOOKUP(CX44,IN_Zugliste!$A$4:$E$2002,5,FALSE),"")</f>
        <v/>
      </c>
      <c r="CY243" t="str">
        <f>+IFERROR(VLOOKUP(CY44,IN_Zugliste!$A$4:$E$2002,5,FALSE),"")</f>
        <v/>
      </c>
      <c r="CZ243" t="str">
        <f>+IFERROR(VLOOKUP(CZ44,IN_Zugliste!$A$4:$E$2002,5,FALSE),"")</f>
        <v/>
      </c>
      <c r="DA243" t="str">
        <f>+IFERROR(VLOOKUP(DA44,IN_Zugliste!$A$4:$E$2002,5,FALSE),"")</f>
        <v/>
      </c>
      <c r="DB243" t="str">
        <f>+IFERROR(VLOOKUP(DB44,IN_Zugliste!$A$4:$E$2002,5,FALSE),"")</f>
        <v/>
      </c>
      <c r="DC243" t="str">
        <f>+IFERROR(VLOOKUP(DC44,IN_Zugliste!$A$4:$E$2002,5,FALSE),"")</f>
        <v/>
      </c>
      <c r="DD243" t="str">
        <f>+IFERROR(VLOOKUP(DD44,IN_Zugliste!$A$4:$E$2002,5,FALSE),"")</f>
        <v/>
      </c>
      <c r="DE243" t="str">
        <f>+IFERROR(VLOOKUP(DE44,IN_Zugliste!$A$4:$E$2002,5,FALSE),"")</f>
        <v/>
      </c>
      <c r="DF243" t="str">
        <f>+IFERROR(VLOOKUP(DF44,IN_Zugliste!$A$4:$E$2002,5,FALSE),"")</f>
        <v/>
      </c>
      <c r="DG243" t="str">
        <f>+IFERROR(VLOOKUP(DG44,IN_Zugliste!$A$4:$E$2002,5,FALSE),"")</f>
        <v/>
      </c>
      <c r="DH243" t="str">
        <f>+IFERROR(VLOOKUP(DH44,IN_Zugliste!$A$4:$E$2002,5,FALSE),"")</f>
        <v/>
      </c>
      <c r="DI243" t="str">
        <f>+IFERROR(VLOOKUP(DI44,IN_Zugliste!$A$4:$E$2002,5,FALSE),"")</f>
        <v/>
      </c>
      <c r="DJ243" t="str">
        <f>+IFERROR(VLOOKUP(DJ44,IN_Zugliste!$A$4:$E$2002,5,FALSE),"")</f>
        <v/>
      </c>
      <c r="DK243" t="str">
        <f>+IFERROR(VLOOKUP(DK44,IN_Zugliste!$A$4:$E$2002,5,FALSE),"")</f>
        <v/>
      </c>
      <c r="DL243" t="str">
        <f>+IFERROR(VLOOKUP(DL44,IN_Zugliste!$A$4:$E$2002,5,FALSE),"")</f>
        <v/>
      </c>
      <c r="DM243" t="str">
        <f>+IFERROR(VLOOKUP(DM44,IN_Zugliste!$A$4:$E$2002,5,FALSE),"")</f>
        <v/>
      </c>
      <c r="DN243" t="str">
        <f>+IFERROR(VLOOKUP(DN44,IN_Zugliste!$A$4:$E$2002,5,FALSE),"")</f>
        <v/>
      </c>
      <c r="DO243" t="str">
        <f>+IFERROR(VLOOKUP(DO44,IN_Zugliste!$A$4:$E$2002,5,FALSE),"")</f>
        <v/>
      </c>
      <c r="DP243" t="str">
        <f>+IFERROR(VLOOKUP(DP44,IN_Zugliste!$A$4:$E$2002,5,FALSE),"")</f>
        <v/>
      </c>
      <c r="DQ243" t="str">
        <f>+IFERROR(VLOOKUP(DQ44,IN_Zugliste!$A$4:$E$2002,5,FALSE),"")</f>
        <v/>
      </c>
      <c r="DR243" t="str">
        <f>+IFERROR(VLOOKUP(DR44,IN_Zugliste!$A$4:$E$2002,5,FALSE),"")</f>
        <v/>
      </c>
      <c r="DS243" t="str">
        <f>+IFERROR(VLOOKUP(DS44,IN_Zugliste!$A$4:$E$2002,5,FALSE),"")</f>
        <v/>
      </c>
      <c r="DT243" t="str">
        <f>+IFERROR(VLOOKUP(DT44,IN_Zugliste!$A$4:$E$2002,5,FALSE),"")</f>
        <v/>
      </c>
      <c r="DU243" t="str">
        <f>+IFERROR(VLOOKUP(DU44,IN_Zugliste!$A$4:$E$2002,5,FALSE),"")</f>
        <v/>
      </c>
      <c r="DV243" t="str">
        <f>+IFERROR(VLOOKUP(DV44,IN_Zugliste!$A$4:$E$2002,5,FALSE),"")</f>
        <v/>
      </c>
      <c r="DW243" t="str">
        <f>+IFERROR(VLOOKUP(DW44,IN_Zugliste!$A$4:$E$2002,5,FALSE),"")</f>
        <v/>
      </c>
      <c r="DX243" t="str">
        <f>+IFERROR(VLOOKUP(DX44,IN_Zugliste!$A$4:$E$2002,5,FALSE),"")</f>
        <v/>
      </c>
      <c r="DY243" t="str">
        <f>+IFERROR(VLOOKUP(DY44,IN_Zugliste!$A$4:$E$2002,5,FALSE),"")</f>
        <v/>
      </c>
      <c r="DZ243" t="str">
        <f>+IFERROR(VLOOKUP(DZ44,IN_Zugliste!$A$4:$E$2002,5,FALSE),"")</f>
        <v/>
      </c>
      <c r="EA243" t="str">
        <f>+IFERROR(VLOOKUP(EA44,IN_Zugliste!$A$4:$E$2002,5,FALSE),"")</f>
        <v/>
      </c>
      <c r="EB243" t="str">
        <f>+IFERROR(VLOOKUP(EB44,IN_Zugliste!$A$4:$E$2002,5,FALSE),"")</f>
        <v/>
      </c>
      <c r="EC243" t="str">
        <f>+IFERROR(VLOOKUP(EC44,IN_Zugliste!$A$4:$E$2002,5,FALSE),"")</f>
        <v/>
      </c>
      <c r="ED243" t="str">
        <f>+IFERROR(VLOOKUP(ED44,IN_Zugliste!$A$4:$E$2002,5,FALSE),"")</f>
        <v/>
      </c>
      <c r="EE243" t="str">
        <f>+IFERROR(VLOOKUP(EE44,IN_Zugliste!$A$4:$E$2002,5,FALSE),"")</f>
        <v/>
      </c>
      <c r="EF243" t="str">
        <f>+IFERROR(VLOOKUP(EF44,IN_Zugliste!$A$4:$E$2002,5,FALSE),"")</f>
        <v/>
      </c>
      <c r="EG243" t="str">
        <f>+IFERROR(VLOOKUP(EG44,IN_Zugliste!$A$4:$E$2002,5,FALSE),"")</f>
        <v/>
      </c>
      <c r="EH243" t="str">
        <f>+IFERROR(VLOOKUP(EH44,IN_Zugliste!$A$4:$E$2002,5,FALSE),"")</f>
        <v/>
      </c>
      <c r="EI243" t="str">
        <f>+IFERROR(VLOOKUP(EI44,IN_Zugliste!$A$4:$E$2002,5,FALSE),"")</f>
        <v/>
      </c>
      <c r="EJ243" t="str">
        <f>+IFERROR(VLOOKUP(EJ44,IN_Zugliste!$A$4:$E$2002,5,FALSE),"")</f>
        <v/>
      </c>
      <c r="EK243" t="str">
        <f>+IFERROR(VLOOKUP(EK44,IN_Zugliste!$A$4:$E$2002,5,FALSE),"")</f>
        <v/>
      </c>
      <c r="EL243" t="str">
        <f>+IFERROR(VLOOKUP(EL44,IN_Zugliste!$A$4:$E$2002,5,FALSE),"")</f>
        <v/>
      </c>
      <c r="EM243" t="str">
        <f>+IFERROR(VLOOKUP(EM44,IN_Zugliste!$A$4:$E$2002,5,FALSE),"")</f>
        <v/>
      </c>
      <c r="EN243" t="str">
        <f>+IFERROR(VLOOKUP(EN44,IN_Zugliste!$A$4:$E$2002,5,FALSE),"")</f>
        <v/>
      </c>
      <c r="EO243" t="str">
        <f>+IFERROR(VLOOKUP(EO44,IN_Zugliste!$A$4:$E$2002,5,FALSE),"")</f>
        <v/>
      </c>
      <c r="EP243" t="str">
        <f>+IFERROR(VLOOKUP(EP44,IN_Zugliste!$A$4:$E$2002,5,FALSE),"")</f>
        <v/>
      </c>
      <c r="EQ243" t="str">
        <f>+IFERROR(VLOOKUP(EQ44,IN_Zugliste!$A$4:$E$2002,5,FALSE),"")</f>
        <v/>
      </c>
      <c r="ER243" t="str">
        <f>+IFERROR(VLOOKUP(ER44,IN_Zugliste!$A$4:$E$2002,5,FALSE),"")</f>
        <v/>
      </c>
      <c r="ES243" t="str">
        <f>+IFERROR(VLOOKUP(ES44,IN_Zugliste!$A$4:$E$2002,5,FALSE),"")</f>
        <v/>
      </c>
      <c r="ET243" t="str">
        <f>+IFERROR(VLOOKUP(ET44,IN_Zugliste!$A$4:$E$2002,5,FALSE),"")</f>
        <v/>
      </c>
      <c r="EU243" t="str">
        <f>+IFERROR(VLOOKUP(EU44,IN_Zugliste!$A$4:$E$2002,5,FALSE),"")</f>
        <v/>
      </c>
      <c r="EV243" t="str">
        <f>+IFERROR(VLOOKUP(EV44,IN_Zugliste!$A$4:$E$2002,5,FALSE),"")</f>
        <v/>
      </c>
      <c r="EW243" t="str">
        <f>+IFERROR(VLOOKUP(EW44,IN_Zugliste!$A$4:$E$2002,5,FALSE),"")</f>
        <v/>
      </c>
      <c r="EX243" t="str">
        <f>+IFERROR(VLOOKUP(EX44,IN_Zugliste!$A$4:$E$2002,5,FALSE),"")</f>
        <v/>
      </c>
      <c r="EY243" t="str">
        <f>+IFERROR(VLOOKUP(EY44,IN_Zugliste!$A$4:$E$2002,5,FALSE),"")</f>
        <v/>
      </c>
      <c r="EZ243" t="str">
        <f>+IFERROR(VLOOKUP(EZ44,IN_Zugliste!$A$4:$E$2002,5,FALSE),"")</f>
        <v/>
      </c>
      <c r="FA243" t="str">
        <f>+IFERROR(VLOOKUP(FA44,IN_Zugliste!$A$4:$E$2002,5,FALSE),"")</f>
        <v/>
      </c>
      <c r="FB243" t="str">
        <f>+IFERROR(VLOOKUP(FB44,IN_Zugliste!$A$4:$E$2002,5,FALSE),"")</f>
        <v/>
      </c>
      <c r="FC243" t="str">
        <f>+IFERROR(VLOOKUP(FC44,IN_Zugliste!$A$4:$E$2002,5,FALSE),"")</f>
        <v/>
      </c>
      <c r="FD243" t="str">
        <f>+IFERROR(VLOOKUP(FD44,IN_Zugliste!$A$4:$E$2002,5,FALSE),"")</f>
        <v/>
      </c>
      <c r="FE243" t="str">
        <f>+IFERROR(VLOOKUP(FE44,IN_Zugliste!$A$4:$E$2002,5,FALSE),"")</f>
        <v/>
      </c>
      <c r="FF243" t="str">
        <f>+IFERROR(VLOOKUP(FF44,IN_Zugliste!$A$4:$E$2002,5,FALSE),"")</f>
        <v/>
      </c>
      <c r="FG243" t="str">
        <f>+IFERROR(VLOOKUP(FG44,IN_Zugliste!$A$4:$E$2002,5,FALSE),"")</f>
        <v/>
      </c>
      <c r="FH243" t="str">
        <f>+IFERROR(VLOOKUP(FH44,IN_Zugliste!$A$4:$E$2002,5,FALSE),"")</f>
        <v/>
      </c>
      <c r="FI243" t="str">
        <f>+IFERROR(VLOOKUP(FI44,IN_Zugliste!$A$4:$E$2002,5,FALSE),"")</f>
        <v/>
      </c>
      <c r="FJ243" t="str">
        <f>+IFERROR(VLOOKUP(FJ44,IN_Zugliste!$A$4:$E$2002,5,FALSE),"")</f>
        <v/>
      </c>
      <c r="FK243" t="str">
        <f>+IFERROR(VLOOKUP(FK44,IN_Zugliste!$A$4:$E$2002,5,FALSE),"")</f>
        <v/>
      </c>
      <c r="FL243" t="str">
        <f>+IFERROR(VLOOKUP(FL44,IN_Zugliste!$A$4:$E$2002,5,FALSE),"")</f>
        <v/>
      </c>
      <c r="FM243" t="str">
        <f>+IFERROR(VLOOKUP(FM44,IN_Zugliste!$A$4:$D$2002,5,FALSE),"")</f>
        <v/>
      </c>
      <c r="FN243" t="str">
        <f>+IFERROR(VLOOKUP(FN44,IN_Zugliste!$A$4:$D$2002,5,FALSE),"")</f>
        <v/>
      </c>
      <c r="FO243" t="str">
        <f>+IFERROR(VLOOKUP(FO44,IN_Zugliste!$A$4:$D$2002,5,FALSE),"")</f>
        <v/>
      </c>
      <c r="FP243" t="str">
        <f>+IFERROR(VLOOKUP(FP44,IN_Zugliste!$A$4:$D$2002,5,FALSE),"")</f>
        <v/>
      </c>
      <c r="FQ243" t="str">
        <f>+IFERROR(VLOOKUP(FQ44,IN_Zugliste!$A$4:$D$2002,5,FALSE),"")</f>
        <v/>
      </c>
      <c r="FR243" t="str">
        <f>+IFERROR(VLOOKUP(FR44,IN_Zugliste!$A$4:$D$2002,5,FALSE),"")</f>
        <v/>
      </c>
      <c r="FS243" t="str">
        <f>+IFERROR(VLOOKUP(FS44,IN_Zugliste!$A$4:$D$2002,5,FALSE),"")</f>
        <v/>
      </c>
      <c r="FT243" t="str">
        <f>+IFERROR(VLOOKUP(FT44,IN_Zugliste!$A$4:$D$2002,5,FALSE),"")</f>
        <v/>
      </c>
      <c r="FU243" t="str">
        <f>+IFERROR(VLOOKUP(FU44,IN_Zugliste!$A$4:$D$2002,5,FALSE),"")</f>
        <v/>
      </c>
      <c r="FV243" t="str">
        <f>+IFERROR(VLOOKUP(FV44,IN_Zugliste!$A$4:$D$2002,5,FALSE),"")</f>
        <v/>
      </c>
      <c r="FW243" t="str">
        <f>+IFERROR(VLOOKUP(FW44,IN_Zugliste!$A$4:$D$2002,5,FALSE),"")</f>
        <v/>
      </c>
      <c r="FX243" t="str">
        <f>+IFERROR(VLOOKUP(FX44,IN_Zugliste!$A$4:$D$2002,5,FALSE),"")</f>
        <v/>
      </c>
      <c r="FY243" t="str">
        <f>+IFERROR(VLOOKUP(FY44,IN_Zugliste!$A$4:$D$2002,5,FALSE),"")</f>
        <v/>
      </c>
      <c r="FZ243" t="str">
        <f>+IFERROR(VLOOKUP(FZ44,IN_Zugliste!$A$4:$D$2002,5,FALSE),"")</f>
        <v/>
      </c>
      <c r="GA243" t="str">
        <f>+IFERROR(VLOOKUP(GA44,IN_Zugliste!$A$4:$D$2002,5,FALSE),"")</f>
        <v/>
      </c>
      <c r="GB243" t="str">
        <f>+IFERROR(VLOOKUP(GB44,IN_Zugliste!$A$4:$D$2002,5,FALSE),"")</f>
        <v/>
      </c>
      <c r="GC243" t="str">
        <f>+IFERROR(VLOOKUP(GC44,IN_Zugliste!$A$4:$D$2002,5,FALSE),"")</f>
        <v/>
      </c>
      <c r="GD243" t="str">
        <f>+IFERROR(VLOOKUP(GD44,IN_Zugliste!$A$4:$D$2002,5,FALSE),"")</f>
        <v/>
      </c>
      <c r="GE243" t="str">
        <f>+IFERROR(VLOOKUP(GE44,IN_Zugliste!$A$4:$D$2002,5,FALSE),"")</f>
        <v/>
      </c>
      <c r="GF243" t="str">
        <f>+IFERROR(VLOOKUP(GF44,IN_Zugliste!$A$4:$D$2002,5,FALSE),"")</f>
        <v/>
      </c>
      <c r="GG243" t="str">
        <f>+IFERROR(VLOOKUP(GG44,IN_Zugliste!$A$4:$D$2002,5,FALSE),"")</f>
        <v/>
      </c>
      <c r="GH243" t="str">
        <f>+IFERROR(VLOOKUP(GH44,IN_Zugliste!$A$4:$D$2002,5,FALSE),"")</f>
        <v/>
      </c>
      <c r="GI243" t="str">
        <f>+IFERROR(VLOOKUP(GI44,IN_Zugliste!$A$4:$D$2002,5,FALSE),"")</f>
        <v/>
      </c>
      <c r="GJ243" t="str">
        <f>+IFERROR(VLOOKUP(GJ44,IN_Zugliste!$A$4:$D$2002,5,FALSE),"")</f>
        <v/>
      </c>
      <c r="GK243" t="str">
        <f>+IFERROR(VLOOKUP(GK44,IN_Zugliste!$A$4:$D$2002,5,FALSE),"")</f>
        <v/>
      </c>
      <c r="GL243" t="str">
        <f>+IFERROR(VLOOKUP(GL44,IN_Zugliste!$A$4:$D$2002,5,FALSE),"")</f>
        <v/>
      </c>
      <c r="GM243" t="str">
        <f>+IFERROR(VLOOKUP(GM44,IN_Zugliste!$A$4:$D$2002,5,FALSE),"")</f>
        <v/>
      </c>
      <c r="GN243" t="str">
        <f>+IFERROR(VLOOKUP(GN44,IN_Zugliste!$A$4:$D$2002,5,FALSE),"")</f>
        <v/>
      </c>
      <c r="GO243" t="str">
        <f>+IFERROR(VLOOKUP(GO44,IN_Zugliste!$A$4:$D$2002,5,FALSE),"")</f>
        <v/>
      </c>
      <c r="GP243" t="str">
        <f>+IFERROR(VLOOKUP(GP44,IN_Zugliste!$A$4:$D$2002,5,FALSE),"")</f>
        <v/>
      </c>
      <c r="GQ243" t="str">
        <f>+IFERROR(VLOOKUP(GQ44,IN_Zugliste!$A$4:$D$2002,5,FALSE),"")</f>
        <v/>
      </c>
      <c r="GR243" t="str">
        <f>+IFERROR(VLOOKUP(GR44,IN_Zugliste!$A$4:$D$2002,5,FALSE),"")</f>
        <v/>
      </c>
      <c r="GS243" t="str">
        <f>+IFERROR(VLOOKUP(GS44,IN_Zugliste!$A$4:$D$2002,5,FALSE),"")</f>
        <v/>
      </c>
      <c r="GT243" t="str">
        <f>+IFERROR(VLOOKUP(GT44,IN_Zugliste!$A$4:$D$2002,5,FALSE),"")</f>
        <v/>
      </c>
      <c r="GU243" t="str">
        <f>+IFERROR(VLOOKUP(GU44,IN_Zugliste!$A$4:$D$2002,5,FALSE),"")</f>
        <v/>
      </c>
      <c r="GV243" t="str">
        <f>+IFERROR(VLOOKUP(GV44,IN_Zugliste!$A$4:$D$2002,5,FALSE),"")</f>
        <v/>
      </c>
      <c r="GW243" t="str">
        <f>+IFERROR(VLOOKUP(GW44,IN_Zugliste!$A$4:$D$2002,5,FALSE),"")</f>
        <v/>
      </c>
      <c r="GX243" t="str">
        <f>+IFERROR(VLOOKUP(GX44,IN_Zugliste!$A$4:$D$2002,5,FALSE),"")</f>
        <v/>
      </c>
      <c r="GY243" t="str">
        <f>+IFERROR(VLOOKUP(GY44,IN_Zugliste!$A$4:$D$2002,5,FALSE),"")</f>
        <v/>
      </c>
      <c r="GZ243" t="str">
        <f>+IFERROR(VLOOKUP(GZ44,IN_Zugliste!$A$4:$D$2002,5,FALSE),"")</f>
        <v/>
      </c>
      <c r="HA243" t="str">
        <f>+IFERROR(VLOOKUP(HA44,IN_Zugliste!$A$4:$D$2002,5,FALSE),"")</f>
        <v/>
      </c>
      <c r="HB243" t="str">
        <f>+IFERROR(VLOOKUP(HB44,IN_Zugliste!$A$4:$D$2002,5,FALSE),"")</f>
        <v/>
      </c>
      <c r="HC243" t="str">
        <f>+IFERROR(VLOOKUP(HC44,IN_Zugliste!$A$4:$D$2002,5,FALSE),"")</f>
        <v/>
      </c>
      <c r="HD243" t="str">
        <f>+IFERROR(VLOOKUP(HD44,IN_Zugliste!$A$4:$D$2002,5,FALSE),"")</f>
        <v/>
      </c>
      <c r="HE243" t="str">
        <f>+IFERROR(VLOOKUP(HE44,IN_Zugliste!$A$4:$D$2002,5,FALSE),"")</f>
        <v/>
      </c>
      <c r="HF243" t="str">
        <f>+IFERROR(VLOOKUP(HF44,IN_Zugliste!$A$4:$D$2002,5,FALSE),"")</f>
        <v/>
      </c>
      <c r="HG243" t="str">
        <f>+IFERROR(VLOOKUP(HG44,IN_Zugliste!$A$4:$D$2002,5,FALSE),"")</f>
        <v/>
      </c>
      <c r="HH243" t="str">
        <f>+IFERROR(VLOOKUP(HH44,IN_Zugliste!$A$4:$D$2002,5,FALSE),"")</f>
        <v/>
      </c>
    </row>
    <row r="244" spans="1:216" x14ac:dyDescent="0.2">
      <c r="A244" t="str">
        <f>+IFERROR(VLOOKUP(A45,IN_Zugliste!$A$4:$E$2002,5,FALSE),"")</f>
        <v/>
      </c>
      <c r="B244" t="str">
        <f>+IFERROR(VLOOKUP(B45,IN_Zugliste!$A$4:$E$2002,5,FALSE),"")</f>
        <v/>
      </c>
      <c r="C244" t="str">
        <f>+IFERROR(VLOOKUP(C45,IN_Zugliste!$A$4:$E$2002,5,FALSE),"")</f>
        <v/>
      </c>
      <c r="D244" t="str">
        <f>+IFERROR(VLOOKUP(D45,IN_Zugliste!$A$4:$E$2002,5,FALSE),"")</f>
        <v/>
      </c>
      <c r="E244" t="str">
        <f>+IFERROR(VLOOKUP(E45,IN_Zugliste!$A$4:$E$2002,5,FALSE),"")</f>
        <v/>
      </c>
      <c r="F244" t="str">
        <f>+IFERROR(VLOOKUP(F45,IN_Zugliste!$A$4:$E$2002,5,FALSE),"")</f>
        <v/>
      </c>
      <c r="G244" t="str">
        <f>+IFERROR(VLOOKUP(G45,IN_Zugliste!$A$4:$E$2002,5,FALSE),"")</f>
        <v/>
      </c>
      <c r="H244" t="str">
        <f>+IFERROR(VLOOKUP(H45,IN_Zugliste!$A$4:$E$2002,5,FALSE),"")</f>
        <v/>
      </c>
      <c r="I244" t="str">
        <f>+IFERROR(VLOOKUP(I45,IN_Zugliste!$A$4:$E$2002,5,FALSE),"")</f>
        <v/>
      </c>
      <c r="J244" t="str">
        <f>+IFERROR(VLOOKUP(J45,IN_Zugliste!$A$4:$E$2002,5,FALSE),"")</f>
        <v/>
      </c>
      <c r="K244" t="str">
        <f>+IFERROR(VLOOKUP(K45,IN_Zugliste!$A$4:$E$2002,5,FALSE),"")</f>
        <v/>
      </c>
      <c r="L244" t="str">
        <f>+IFERROR(VLOOKUP(L45,IN_Zugliste!$A$4:$E$2002,5,FALSE),"")</f>
        <v/>
      </c>
      <c r="M244" t="str">
        <f>+IFERROR(VLOOKUP(M45,IN_Zugliste!$A$4:$E$2002,5,FALSE),"")</f>
        <v/>
      </c>
      <c r="N244" t="str">
        <f>+IFERROR(VLOOKUP(N45,IN_Zugliste!$A$4:$E$2002,5,FALSE),"")</f>
        <v/>
      </c>
      <c r="O244" t="str">
        <f>+IFERROR(VLOOKUP(O45,IN_Zugliste!$A$4:$E$2002,5,FALSE),"")</f>
        <v/>
      </c>
      <c r="P244" t="str">
        <f>+IFERROR(VLOOKUP(P45,IN_Zugliste!$A$4:$E$2002,5,FALSE),"")</f>
        <v/>
      </c>
      <c r="Q244" t="str">
        <f>+IFERROR(VLOOKUP(Q45,IN_Zugliste!$A$4:$E$2002,5,FALSE),"")</f>
        <v/>
      </c>
      <c r="R244" t="str">
        <f>+IFERROR(VLOOKUP(R45,IN_Zugliste!$A$4:$E$2002,5,FALSE),"")</f>
        <v/>
      </c>
      <c r="S244" t="str">
        <f>+IFERROR(VLOOKUP(S45,IN_Zugliste!$A$4:$E$2002,5,FALSE),"")</f>
        <v/>
      </c>
      <c r="T244" t="str">
        <f>+IFERROR(VLOOKUP(T45,IN_Zugliste!$A$4:$E$2002,5,FALSE),"")</f>
        <v/>
      </c>
      <c r="U244" t="str">
        <f>+IFERROR(VLOOKUP(U45,IN_Zugliste!$A$4:$E$2002,5,FALSE),"")</f>
        <v/>
      </c>
      <c r="V244" t="str">
        <f>+IFERROR(VLOOKUP(V45,IN_Zugliste!$A$4:$E$2002,5,FALSE),"")</f>
        <v/>
      </c>
      <c r="W244" t="str">
        <f>+IFERROR(VLOOKUP(W45,IN_Zugliste!$A$4:$E$2002,5,FALSE),"")</f>
        <v/>
      </c>
      <c r="X244" t="str">
        <f>+IFERROR(VLOOKUP(X45,IN_Zugliste!$A$4:$E$2002,5,FALSE),"")</f>
        <v/>
      </c>
      <c r="Y244" t="str">
        <f>+IFERROR(VLOOKUP(Y45,IN_Zugliste!$A$4:$E$2002,5,FALSE),"")</f>
        <v/>
      </c>
      <c r="Z244" t="str">
        <f>+IFERROR(VLOOKUP(Z45,IN_Zugliste!$A$4:$E$2002,5,FALSE),"")</f>
        <v/>
      </c>
      <c r="AA244" t="str">
        <f>+IFERROR(VLOOKUP(AA45,IN_Zugliste!$A$4:$E$2002,5,FALSE),"")</f>
        <v/>
      </c>
      <c r="AB244" t="str">
        <f>+IFERROR(VLOOKUP(AB45,IN_Zugliste!$A$4:$E$2002,5,FALSE),"")</f>
        <v/>
      </c>
      <c r="AC244" t="str">
        <f>+IFERROR(VLOOKUP(AC45,IN_Zugliste!$A$4:$E$2002,5,FALSE),"")</f>
        <v/>
      </c>
      <c r="AD244" t="str">
        <f>+IFERROR(VLOOKUP(AD45,IN_Zugliste!$A$4:$E$2002,5,FALSE),"")</f>
        <v/>
      </c>
      <c r="AE244" t="str">
        <f>+IFERROR(VLOOKUP(AE45,IN_Zugliste!$A$4:$E$2002,5,FALSE),"")</f>
        <v/>
      </c>
      <c r="AF244" t="str">
        <f>+IFERROR(VLOOKUP(AF45,IN_Zugliste!$A$4:$E$2002,5,FALSE),"")</f>
        <v/>
      </c>
      <c r="AG244" t="str">
        <f>+IFERROR(VLOOKUP(AG45,IN_Zugliste!$A$4:$E$2002,5,FALSE),"")</f>
        <v/>
      </c>
      <c r="AH244" t="str">
        <f>+IFERROR(VLOOKUP(AH45,IN_Zugliste!$A$4:$E$2002,5,FALSE),"")</f>
        <v/>
      </c>
      <c r="AI244" t="str">
        <f>+IFERROR(VLOOKUP(AI45,IN_Zugliste!$A$4:$E$2002,5,FALSE),"")</f>
        <v/>
      </c>
      <c r="AJ244" t="str">
        <f>+IFERROR(VLOOKUP(AJ45,IN_Zugliste!$A$4:$E$2002,5,FALSE),"")</f>
        <v/>
      </c>
      <c r="AK244" t="str">
        <f>+IFERROR(VLOOKUP(AK45,IN_Zugliste!$A$4:$E$2002,5,FALSE),"")</f>
        <v/>
      </c>
      <c r="AL244" t="str">
        <f>+IFERROR(VLOOKUP(AL45,IN_Zugliste!$A$4:$E$2002,5,FALSE),"")</f>
        <v/>
      </c>
      <c r="AM244" t="str">
        <f>+IFERROR(VLOOKUP(AM45,IN_Zugliste!$A$4:$E$2002,5,FALSE),"")</f>
        <v/>
      </c>
      <c r="AN244" t="str">
        <f>+IFERROR(VLOOKUP(AN45,IN_Zugliste!$A$4:$E$2002,5,FALSE),"")</f>
        <v/>
      </c>
      <c r="AO244" t="str">
        <f>+IFERROR(VLOOKUP(AO45,IN_Zugliste!$A$4:$E$2002,5,FALSE),"")</f>
        <v/>
      </c>
      <c r="AP244" t="str">
        <f>+IFERROR(VLOOKUP(AP45,IN_Zugliste!$A$4:$E$2002,5,FALSE),"")</f>
        <v/>
      </c>
      <c r="AQ244" t="str">
        <f>+IFERROR(VLOOKUP(AQ45,IN_Zugliste!$A$4:$E$2002,5,FALSE),"")</f>
        <v/>
      </c>
      <c r="AR244" t="str">
        <f>+IFERROR(VLOOKUP(AR45,IN_Zugliste!$A$4:$E$2002,5,FALSE),"")</f>
        <v/>
      </c>
      <c r="AS244" t="str">
        <f>+IFERROR(VLOOKUP(AS45,IN_Zugliste!$A$4:$E$2002,5,FALSE),"")</f>
        <v/>
      </c>
      <c r="AT244" t="str">
        <f>+IFERROR(VLOOKUP(AT45,IN_Zugliste!$A$4:$E$2002,5,FALSE),"")</f>
        <v/>
      </c>
      <c r="AU244" t="str">
        <f>+IFERROR(VLOOKUP(AU45,IN_Zugliste!$A$4:$E$2002,5,FALSE),"")</f>
        <v/>
      </c>
      <c r="AV244" t="str">
        <f>+IFERROR(VLOOKUP(AV45,IN_Zugliste!$A$4:$E$2002,5,FALSE),"")</f>
        <v/>
      </c>
      <c r="AW244" t="str">
        <f>+IFERROR(VLOOKUP(AW45,IN_Zugliste!$A$4:$E$2002,5,FALSE),"")</f>
        <v/>
      </c>
      <c r="AX244" t="str">
        <f>+IFERROR(VLOOKUP(AX45,IN_Zugliste!$A$4:$E$2002,5,FALSE),"")</f>
        <v/>
      </c>
      <c r="AY244" t="str">
        <f>+IFERROR(VLOOKUP(AY45,IN_Zugliste!$A$4:$E$2002,5,FALSE),"")</f>
        <v/>
      </c>
      <c r="AZ244" t="str">
        <f>+IFERROR(VLOOKUP(AZ45,IN_Zugliste!$A$4:$E$2002,5,FALSE),"")</f>
        <v/>
      </c>
      <c r="BA244" t="str">
        <f>+IFERROR(VLOOKUP(BA45,IN_Zugliste!$A$4:$E$2002,5,FALSE),"")</f>
        <v/>
      </c>
      <c r="BB244" t="str">
        <f>+IFERROR(VLOOKUP(BB45,IN_Zugliste!$A$4:$E$2002,5,FALSE),"")</f>
        <v/>
      </c>
      <c r="BC244" t="str">
        <f>+IFERROR(VLOOKUP(BC45,IN_Zugliste!$A$4:$E$2002,5,FALSE),"")</f>
        <v/>
      </c>
      <c r="BD244" t="str">
        <f>+IFERROR(VLOOKUP(BD45,IN_Zugliste!$A$4:$E$2002,5,FALSE),"")</f>
        <v/>
      </c>
      <c r="BE244" t="str">
        <f>+IFERROR(VLOOKUP(BE45,IN_Zugliste!$A$4:$E$2002,5,FALSE),"")</f>
        <v/>
      </c>
      <c r="BF244" t="str">
        <f>+IFERROR(VLOOKUP(BF45,IN_Zugliste!$A$4:$E$2002,5,FALSE),"")</f>
        <v/>
      </c>
      <c r="BG244" t="str">
        <f>+IFERROR(VLOOKUP(BG45,IN_Zugliste!$A$4:$E$2002,5,FALSE),"")</f>
        <v/>
      </c>
      <c r="BH244" t="str">
        <f>+IFERROR(VLOOKUP(BH45,IN_Zugliste!$A$4:$E$2002,5,FALSE),"")</f>
        <v/>
      </c>
      <c r="BI244" t="str">
        <f>+IFERROR(VLOOKUP(BI45,IN_Zugliste!$A$4:$E$2002,5,FALSE),"")</f>
        <v/>
      </c>
      <c r="BJ244" t="str">
        <f>+IFERROR(VLOOKUP(BJ45,IN_Zugliste!$A$4:$E$2002,5,FALSE),"")</f>
        <v/>
      </c>
      <c r="BK244" t="str">
        <f>+IFERROR(VLOOKUP(BK45,IN_Zugliste!$A$4:$E$2002,5,FALSE),"")</f>
        <v/>
      </c>
      <c r="BL244" t="str">
        <f>+IFERROR(VLOOKUP(BL45,IN_Zugliste!$A$4:$E$2002,5,FALSE),"")</f>
        <v/>
      </c>
      <c r="BM244" t="str">
        <f>+IFERROR(VLOOKUP(BM45,IN_Zugliste!$A$4:$E$2002,5,FALSE),"")</f>
        <v/>
      </c>
      <c r="BN244" t="str">
        <f>+IFERROR(VLOOKUP(BN45,IN_Zugliste!$A$4:$E$2002,5,FALSE),"")</f>
        <v/>
      </c>
      <c r="BO244" t="str">
        <f>+IFERROR(VLOOKUP(BO45,IN_Zugliste!$A$4:$E$2002,5,FALSE),"")</f>
        <v/>
      </c>
      <c r="BP244" t="str">
        <f>+IFERROR(VLOOKUP(BP45,IN_Zugliste!$A$4:$E$2002,5,FALSE),"")</f>
        <v/>
      </c>
      <c r="BQ244" t="str">
        <f>+IFERROR(VLOOKUP(BQ45,IN_Zugliste!$A$4:$E$2002,5,FALSE),"")</f>
        <v/>
      </c>
      <c r="BR244" t="str">
        <f>+IFERROR(VLOOKUP(BR45,IN_Zugliste!$A$4:$E$2002,5,FALSE),"")</f>
        <v/>
      </c>
      <c r="BS244" t="str">
        <f>+IFERROR(VLOOKUP(BS45,IN_Zugliste!$A$4:$E$2002,5,FALSE),"")</f>
        <v/>
      </c>
      <c r="BT244" t="str">
        <f>+IFERROR(VLOOKUP(BT45,IN_Zugliste!$A$4:$E$2002,5,FALSE),"")</f>
        <v/>
      </c>
      <c r="BU244" t="str">
        <f>+IFERROR(VLOOKUP(BU45,IN_Zugliste!$A$4:$E$2002,5,FALSE),"")</f>
        <v/>
      </c>
      <c r="BV244" t="str">
        <f>+IFERROR(VLOOKUP(BV45,IN_Zugliste!$A$4:$E$2002,5,FALSE),"")</f>
        <v/>
      </c>
      <c r="BW244" t="str">
        <f>+IFERROR(VLOOKUP(BW45,IN_Zugliste!$A$4:$E$2002,5,FALSE),"")</f>
        <v/>
      </c>
      <c r="BX244" t="str">
        <f>+IFERROR(VLOOKUP(BX45,IN_Zugliste!$A$4:$E$2002,5,FALSE),"")</f>
        <v/>
      </c>
      <c r="BY244" t="str">
        <f>+IFERROR(VLOOKUP(BY45,IN_Zugliste!$A$4:$E$2002,5,FALSE),"")</f>
        <v/>
      </c>
      <c r="BZ244" t="str">
        <f>+IFERROR(VLOOKUP(BZ45,IN_Zugliste!$A$4:$E$2002,5,FALSE),"")</f>
        <v/>
      </c>
      <c r="CA244" t="str">
        <f>+IFERROR(VLOOKUP(CA45,IN_Zugliste!$A$4:$E$2002,5,FALSE),"")</f>
        <v/>
      </c>
      <c r="CB244" t="str">
        <f>+IFERROR(VLOOKUP(CB45,IN_Zugliste!$A$4:$E$2002,5,FALSE),"")</f>
        <v/>
      </c>
      <c r="CC244" t="str">
        <f>+IFERROR(VLOOKUP(CC45,IN_Zugliste!$A$4:$E$2002,5,FALSE),"")</f>
        <v/>
      </c>
      <c r="CD244" t="str">
        <f>+IFERROR(VLOOKUP(CD45,IN_Zugliste!$A$4:$E$2002,5,FALSE),"")</f>
        <v/>
      </c>
      <c r="CE244" t="str">
        <f>+IFERROR(VLOOKUP(CE45,IN_Zugliste!$A$4:$E$2002,5,FALSE),"")</f>
        <v/>
      </c>
      <c r="CF244" t="str">
        <f>+IFERROR(VLOOKUP(CF45,IN_Zugliste!$A$4:$E$2002,5,FALSE),"")</f>
        <v/>
      </c>
      <c r="CG244" t="str">
        <f>+IFERROR(VLOOKUP(CG45,IN_Zugliste!$A$4:$E$2002,5,FALSE),"")</f>
        <v/>
      </c>
      <c r="CH244" t="str">
        <f>+IFERROR(VLOOKUP(CH45,IN_Zugliste!$A$4:$E$2002,5,FALSE),"")</f>
        <v/>
      </c>
      <c r="CI244" t="str">
        <f>+IFERROR(VLOOKUP(CI45,IN_Zugliste!$A$4:$E$2002,5,FALSE),"")</f>
        <v/>
      </c>
      <c r="CJ244" t="str">
        <f>+IFERROR(VLOOKUP(CJ45,IN_Zugliste!$A$4:$E$2002,5,FALSE),"")</f>
        <v/>
      </c>
      <c r="CK244" t="str">
        <f>+IFERROR(VLOOKUP(CK45,IN_Zugliste!$A$4:$E$2002,5,FALSE),"")</f>
        <v/>
      </c>
      <c r="CL244" t="str">
        <f>+IFERROR(VLOOKUP(CL45,IN_Zugliste!$A$4:$E$2002,5,FALSE),"")</f>
        <v/>
      </c>
      <c r="CM244" t="str">
        <f>+IFERROR(VLOOKUP(CM45,IN_Zugliste!$A$4:$E$2002,5,FALSE),"")</f>
        <v/>
      </c>
      <c r="CN244" t="str">
        <f>+IFERROR(VLOOKUP(CN45,IN_Zugliste!$A$4:$E$2002,5,FALSE),"")</f>
        <v/>
      </c>
      <c r="CO244" t="str">
        <f>+IFERROR(VLOOKUP(CO45,IN_Zugliste!$A$4:$E$2002,5,FALSE),"")</f>
        <v/>
      </c>
      <c r="CP244" t="str">
        <f>+IFERROR(VLOOKUP(CP45,IN_Zugliste!$A$4:$E$2002,5,FALSE),"")</f>
        <v/>
      </c>
      <c r="CQ244" t="str">
        <f>+IFERROR(VLOOKUP(CQ45,IN_Zugliste!$A$4:$E$2002,5,FALSE),"")</f>
        <v/>
      </c>
      <c r="CR244" t="str">
        <f>+IFERROR(VLOOKUP(CR45,IN_Zugliste!$A$4:$E$2002,5,FALSE),"")</f>
        <v/>
      </c>
      <c r="CS244" t="str">
        <f>+IFERROR(VLOOKUP(CS45,IN_Zugliste!$A$4:$E$2002,5,FALSE),"")</f>
        <v/>
      </c>
      <c r="CT244" t="str">
        <f>+IFERROR(VLOOKUP(CT45,IN_Zugliste!$A$4:$E$2002,5,FALSE),"")</f>
        <v/>
      </c>
      <c r="CU244" t="str">
        <f>+IFERROR(VLOOKUP(CU45,IN_Zugliste!$A$4:$E$2002,5,FALSE),"")</f>
        <v/>
      </c>
      <c r="CV244" t="str">
        <f>+IFERROR(VLOOKUP(CV45,IN_Zugliste!$A$4:$E$2002,5,FALSE),"")</f>
        <v/>
      </c>
      <c r="CW244" t="str">
        <f>+IFERROR(VLOOKUP(CW45,IN_Zugliste!$A$4:$E$2002,5,FALSE),"")</f>
        <v/>
      </c>
      <c r="CX244" t="str">
        <f>+IFERROR(VLOOKUP(CX45,IN_Zugliste!$A$4:$E$2002,5,FALSE),"")</f>
        <v/>
      </c>
      <c r="CY244" t="str">
        <f>+IFERROR(VLOOKUP(CY45,IN_Zugliste!$A$4:$E$2002,5,FALSE),"")</f>
        <v/>
      </c>
      <c r="CZ244" t="str">
        <f>+IFERROR(VLOOKUP(CZ45,IN_Zugliste!$A$4:$E$2002,5,FALSE),"")</f>
        <v/>
      </c>
      <c r="DA244" t="str">
        <f>+IFERROR(VLOOKUP(DA45,IN_Zugliste!$A$4:$E$2002,5,FALSE),"")</f>
        <v/>
      </c>
      <c r="DB244" t="str">
        <f>+IFERROR(VLOOKUP(DB45,IN_Zugliste!$A$4:$E$2002,5,FALSE),"")</f>
        <v/>
      </c>
      <c r="DC244" t="str">
        <f>+IFERROR(VLOOKUP(DC45,IN_Zugliste!$A$4:$E$2002,5,FALSE),"")</f>
        <v/>
      </c>
      <c r="DD244" t="str">
        <f>+IFERROR(VLOOKUP(DD45,IN_Zugliste!$A$4:$E$2002,5,FALSE),"")</f>
        <v/>
      </c>
      <c r="DE244" t="str">
        <f>+IFERROR(VLOOKUP(DE45,IN_Zugliste!$A$4:$E$2002,5,FALSE),"")</f>
        <v/>
      </c>
      <c r="DF244" t="str">
        <f>+IFERROR(VLOOKUP(DF45,IN_Zugliste!$A$4:$E$2002,5,FALSE),"")</f>
        <v/>
      </c>
      <c r="DG244" t="str">
        <f>+IFERROR(VLOOKUP(DG45,IN_Zugliste!$A$4:$E$2002,5,FALSE),"")</f>
        <v/>
      </c>
      <c r="DH244" t="str">
        <f>+IFERROR(VLOOKUP(DH45,IN_Zugliste!$A$4:$E$2002,5,FALSE),"")</f>
        <v/>
      </c>
      <c r="DI244" t="str">
        <f>+IFERROR(VLOOKUP(DI45,IN_Zugliste!$A$4:$E$2002,5,FALSE),"")</f>
        <v/>
      </c>
      <c r="DJ244" t="str">
        <f>+IFERROR(VLOOKUP(DJ45,IN_Zugliste!$A$4:$E$2002,5,FALSE),"")</f>
        <v/>
      </c>
      <c r="DK244" t="str">
        <f>+IFERROR(VLOOKUP(DK45,IN_Zugliste!$A$4:$E$2002,5,FALSE),"")</f>
        <v/>
      </c>
      <c r="DL244" t="str">
        <f>+IFERROR(VLOOKUP(DL45,IN_Zugliste!$A$4:$E$2002,5,FALSE),"")</f>
        <v/>
      </c>
      <c r="DM244" t="str">
        <f>+IFERROR(VLOOKUP(DM45,IN_Zugliste!$A$4:$E$2002,5,FALSE),"")</f>
        <v/>
      </c>
      <c r="DN244" t="str">
        <f>+IFERROR(VLOOKUP(DN45,IN_Zugliste!$A$4:$E$2002,5,FALSE),"")</f>
        <v/>
      </c>
      <c r="DO244" t="str">
        <f>+IFERROR(VLOOKUP(DO45,IN_Zugliste!$A$4:$E$2002,5,FALSE),"")</f>
        <v/>
      </c>
      <c r="DP244" t="str">
        <f>+IFERROR(VLOOKUP(DP45,IN_Zugliste!$A$4:$E$2002,5,FALSE),"")</f>
        <v/>
      </c>
      <c r="DQ244" t="str">
        <f>+IFERROR(VLOOKUP(DQ45,IN_Zugliste!$A$4:$E$2002,5,FALSE),"")</f>
        <v/>
      </c>
      <c r="DR244" t="str">
        <f>+IFERROR(VLOOKUP(DR45,IN_Zugliste!$A$4:$E$2002,5,FALSE),"")</f>
        <v/>
      </c>
      <c r="DS244" t="str">
        <f>+IFERROR(VLOOKUP(DS45,IN_Zugliste!$A$4:$E$2002,5,FALSE),"")</f>
        <v/>
      </c>
      <c r="DT244" t="str">
        <f>+IFERROR(VLOOKUP(DT45,IN_Zugliste!$A$4:$E$2002,5,FALSE),"")</f>
        <v/>
      </c>
      <c r="DU244" t="str">
        <f>+IFERROR(VLOOKUP(DU45,IN_Zugliste!$A$4:$E$2002,5,FALSE),"")</f>
        <v/>
      </c>
      <c r="DV244" t="str">
        <f>+IFERROR(VLOOKUP(DV45,IN_Zugliste!$A$4:$E$2002,5,FALSE),"")</f>
        <v/>
      </c>
      <c r="DW244" t="str">
        <f>+IFERROR(VLOOKUP(DW45,IN_Zugliste!$A$4:$E$2002,5,FALSE),"")</f>
        <v/>
      </c>
      <c r="DX244" t="str">
        <f>+IFERROR(VLOOKUP(DX45,IN_Zugliste!$A$4:$E$2002,5,FALSE),"")</f>
        <v/>
      </c>
      <c r="DY244" t="str">
        <f>+IFERROR(VLOOKUP(DY45,IN_Zugliste!$A$4:$E$2002,5,FALSE),"")</f>
        <v/>
      </c>
      <c r="DZ244" t="str">
        <f>+IFERROR(VLOOKUP(DZ45,IN_Zugliste!$A$4:$E$2002,5,FALSE),"")</f>
        <v/>
      </c>
      <c r="EA244" t="str">
        <f>+IFERROR(VLOOKUP(EA45,IN_Zugliste!$A$4:$E$2002,5,FALSE),"")</f>
        <v/>
      </c>
      <c r="EB244" t="str">
        <f>+IFERROR(VLOOKUP(EB45,IN_Zugliste!$A$4:$E$2002,5,FALSE),"")</f>
        <v/>
      </c>
      <c r="EC244" t="str">
        <f>+IFERROR(VLOOKUP(EC45,IN_Zugliste!$A$4:$E$2002,5,FALSE),"")</f>
        <v/>
      </c>
      <c r="ED244" t="str">
        <f>+IFERROR(VLOOKUP(ED45,IN_Zugliste!$A$4:$E$2002,5,FALSE),"")</f>
        <v/>
      </c>
      <c r="EE244" t="str">
        <f>+IFERROR(VLOOKUP(EE45,IN_Zugliste!$A$4:$E$2002,5,FALSE),"")</f>
        <v/>
      </c>
      <c r="EF244" t="str">
        <f>+IFERROR(VLOOKUP(EF45,IN_Zugliste!$A$4:$E$2002,5,FALSE),"")</f>
        <v/>
      </c>
      <c r="EG244" t="str">
        <f>+IFERROR(VLOOKUP(EG45,IN_Zugliste!$A$4:$E$2002,5,FALSE),"")</f>
        <v/>
      </c>
      <c r="EH244" t="str">
        <f>+IFERROR(VLOOKUP(EH45,IN_Zugliste!$A$4:$E$2002,5,FALSE),"")</f>
        <v/>
      </c>
      <c r="EI244" t="str">
        <f>+IFERROR(VLOOKUP(EI45,IN_Zugliste!$A$4:$E$2002,5,FALSE),"")</f>
        <v/>
      </c>
      <c r="EJ244" t="str">
        <f>+IFERROR(VLOOKUP(EJ45,IN_Zugliste!$A$4:$E$2002,5,FALSE),"")</f>
        <v/>
      </c>
      <c r="EK244" t="str">
        <f>+IFERROR(VLOOKUP(EK45,IN_Zugliste!$A$4:$E$2002,5,FALSE),"")</f>
        <v/>
      </c>
      <c r="EL244" t="str">
        <f>+IFERROR(VLOOKUP(EL45,IN_Zugliste!$A$4:$E$2002,5,FALSE),"")</f>
        <v/>
      </c>
      <c r="EM244" t="str">
        <f>+IFERROR(VLOOKUP(EM45,IN_Zugliste!$A$4:$E$2002,5,FALSE),"")</f>
        <v/>
      </c>
      <c r="EN244" t="str">
        <f>+IFERROR(VLOOKUP(EN45,IN_Zugliste!$A$4:$E$2002,5,FALSE),"")</f>
        <v/>
      </c>
      <c r="EO244" t="str">
        <f>+IFERROR(VLOOKUP(EO45,IN_Zugliste!$A$4:$E$2002,5,FALSE),"")</f>
        <v/>
      </c>
      <c r="EP244" t="str">
        <f>+IFERROR(VLOOKUP(EP45,IN_Zugliste!$A$4:$E$2002,5,FALSE),"")</f>
        <v/>
      </c>
      <c r="EQ244" t="str">
        <f>+IFERROR(VLOOKUP(EQ45,IN_Zugliste!$A$4:$E$2002,5,FALSE),"")</f>
        <v/>
      </c>
      <c r="ER244" t="str">
        <f>+IFERROR(VLOOKUP(ER45,IN_Zugliste!$A$4:$E$2002,5,FALSE),"")</f>
        <v/>
      </c>
      <c r="ES244" t="str">
        <f>+IFERROR(VLOOKUP(ES45,IN_Zugliste!$A$4:$E$2002,5,FALSE),"")</f>
        <v/>
      </c>
      <c r="ET244" t="str">
        <f>+IFERROR(VLOOKUP(ET45,IN_Zugliste!$A$4:$E$2002,5,FALSE),"")</f>
        <v/>
      </c>
      <c r="EU244" t="str">
        <f>+IFERROR(VLOOKUP(EU45,IN_Zugliste!$A$4:$E$2002,5,FALSE),"")</f>
        <v/>
      </c>
      <c r="EV244" t="str">
        <f>+IFERROR(VLOOKUP(EV45,IN_Zugliste!$A$4:$E$2002,5,FALSE),"")</f>
        <v/>
      </c>
      <c r="EW244" t="str">
        <f>+IFERROR(VLOOKUP(EW45,IN_Zugliste!$A$4:$E$2002,5,FALSE),"")</f>
        <v/>
      </c>
      <c r="EX244" t="str">
        <f>+IFERROR(VLOOKUP(EX45,IN_Zugliste!$A$4:$E$2002,5,FALSE),"")</f>
        <v/>
      </c>
      <c r="EY244" t="str">
        <f>+IFERROR(VLOOKUP(EY45,IN_Zugliste!$A$4:$E$2002,5,FALSE),"")</f>
        <v/>
      </c>
      <c r="EZ244" t="str">
        <f>+IFERROR(VLOOKUP(EZ45,IN_Zugliste!$A$4:$E$2002,5,FALSE),"")</f>
        <v/>
      </c>
      <c r="FA244" t="str">
        <f>+IFERROR(VLOOKUP(FA45,IN_Zugliste!$A$4:$E$2002,5,FALSE),"")</f>
        <v/>
      </c>
      <c r="FB244" t="str">
        <f>+IFERROR(VLOOKUP(FB45,IN_Zugliste!$A$4:$E$2002,5,FALSE),"")</f>
        <v/>
      </c>
      <c r="FC244" t="str">
        <f>+IFERROR(VLOOKUP(FC45,IN_Zugliste!$A$4:$E$2002,5,FALSE),"")</f>
        <v/>
      </c>
      <c r="FD244" t="str">
        <f>+IFERROR(VLOOKUP(FD45,IN_Zugliste!$A$4:$E$2002,5,FALSE),"")</f>
        <v/>
      </c>
      <c r="FE244" t="str">
        <f>+IFERROR(VLOOKUP(FE45,IN_Zugliste!$A$4:$E$2002,5,FALSE),"")</f>
        <v/>
      </c>
      <c r="FF244" t="str">
        <f>+IFERROR(VLOOKUP(FF45,IN_Zugliste!$A$4:$E$2002,5,FALSE),"")</f>
        <v/>
      </c>
      <c r="FG244" t="str">
        <f>+IFERROR(VLOOKUP(FG45,IN_Zugliste!$A$4:$E$2002,5,FALSE),"")</f>
        <v/>
      </c>
      <c r="FH244" t="str">
        <f>+IFERROR(VLOOKUP(FH45,IN_Zugliste!$A$4:$E$2002,5,FALSE),"")</f>
        <v/>
      </c>
      <c r="FI244" t="str">
        <f>+IFERROR(VLOOKUP(FI45,IN_Zugliste!$A$4:$E$2002,5,FALSE),"")</f>
        <v/>
      </c>
      <c r="FJ244" t="str">
        <f>+IFERROR(VLOOKUP(FJ45,IN_Zugliste!$A$4:$E$2002,5,FALSE),"")</f>
        <v/>
      </c>
      <c r="FK244" t="str">
        <f>+IFERROR(VLOOKUP(FK45,IN_Zugliste!$A$4:$E$2002,5,FALSE),"")</f>
        <v/>
      </c>
      <c r="FL244" t="str">
        <f>+IFERROR(VLOOKUP(FL45,IN_Zugliste!$A$4:$E$2002,5,FALSE),"")</f>
        <v/>
      </c>
      <c r="FM244" t="str">
        <f>+IFERROR(VLOOKUP(FM45,IN_Zugliste!$A$4:$D$2002,5,FALSE),"")</f>
        <v/>
      </c>
      <c r="FN244" t="str">
        <f>+IFERROR(VLOOKUP(FN45,IN_Zugliste!$A$4:$D$2002,5,FALSE),"")</f>
        <v/>
      </c>
      <c r="FO244" t="str">
        <f>+IFERROR(VLOOKUP(FO45,IN_Zugliste!$A$4:$D$2002,5,FALSE),"")</f>
        <v/>
      </c>
      <c r="FP244" t="str">
        <f>+IFERROR(VLOOKUP(FP45,IN_Zugliste!$A$4:$D$2002,5,FALSE),"")</f>
        <v/>
      </c>
      <c r="FQ244" t="str">
        <f>+IFERROR(VLOOKUP(FQ45,IN_Zugliste!$A$4:$D$2002,5,FALSE),"")</f>
        <v/>
      </c>
      <c r="FR244" t="str">
        <f>+IFERROR(VLOOKUP(FR45,IN_Zugliste!$A$4:$D$2002,5,FALSE),"")</f>
        <v/>
      </c>
      <c r="FS244" t="str">
        <f>+IFERROR(VLOOKUP(FS45,IN_Zugliste!$A$4:$D$2002,5,FALSE),"")</f>
        <v/>
      </c>
      <c r="FT244" t="str">
        <f>+IFERROR(VLOOKUP(FT45,IN_Zugliste!$A$4:$D$2002,5,FALSE),"")</f>
        <v/>
      </c>
      <c r="FU244" t="str">
        <f>+IFERROR(VLOOKUP(FU45,IN_Zugliste!$A$4:$D$2002,5,FALSE),"")</f>
        <v/>
      </c>
      <c r="FV244" t="str">
        <f>+IFERROR(VLOOKUP(FV45,IN_Zugliste!$A$4:$D$2002,5,FALSE),"")</f>
        <v/>
      </c>
      <c r="FW244" t="str">
        <f>+IFERROR(VLOOKUP(FW45,IN_Zugliste!$A$4:$D$2002,5,FALSE),"")</f>
        <v/>
      </c>
      <c r="FX244" t="str">
        <f>+IFERROR(VLOOKUP(FX45,IN_Zugliste!$A$4:$D$2002,5,FALSE),"")</f>
        <v/>
      </c>
      <c r="FY244" t="str">
        <f>+IFERROR(VLOOKUP(FY45,IN_Zugliste!$A$4:$D$2002,5,FALSE),"")</f>
        <v/>
      </c>
      <c r="FZ244" t="str">
        <f>+IFERROR(VLOOKUP(FZ45,IN_Zugliste!$A$4:$D$2002,5,FALSE),"")</f>
        <v/>
      </c>
      <c r="GA244" t="str">
        <f>+IFERROR(VLOOKUP(GA45,IN_Zugliste!$A$4:$D$2002,5,FALSE),"")</f>
        <v/>
      </c>
      <c r="GB244" t="str">
        <f>+IFERROR(VLOOKUP(GB45,IN_Zugliste!$A$4:$D$2002,5,FALSE),"")</f>
        <v/>
      </c>
      <c r="GC244" t="str">
        <f>+IFERROR(VLOOKUP(GC45,IN_Zugliste!$A$4:$D$2002,5,FALSE),"")</f>
        <v/>
      </c>
      <c r="GD244" t="str">
        <f>+IFERROR(VLOOKUP(GD45,IN_Zugliste!$A$4:$D$2002,5,FALSE),"")</f>
        <v/>
      </c>
      <c r="GE244" t="str">
        <f>+IFERROR(VLOOKUP(GE45,IN_Zugliste!$A$4:$D$2002,5,FALSE),"")</f>
        <v/>
      </c>
      <c r="GF244" t="str">
        <f>+IFERROR(VLOOKUP(GF45,IN_Zugliste!$A$4:$D$2002,5,FALSE),"")</f>
        <v/>
      </c>
      <c r="GG244" t="str">
        <f>+IFERROR(VLOOKUP(GG45,IN_Zugliste!$A$4:$D$2002,5,FALSE),"")</f>
        <v/>
      </c>
      <c r="GH244" t="str">
        <f>+IFERROR(VLOOKUP(GH45,IN_Zugliste!$A$4:$D$2002,5,FALSE),"")</f>
        <v/>
      </c>
      <c r="GI244" t="str">
        <f>+IFERROR(VLOOKUP(GI45,IN_Zugliste!$A$4:$D$2002,5,FALSE),"")</f>
        <v/>
      </c>
      <c r="GJ244" t="str">
        <f>+IFERROR(VLOOKUP(GJ45,IN_Zugliste!$A$4:$D$2002,5,FALSE),"")</f>
        <v/>
      </c>
      <c r="GK244" t="str">
        <f>+IFERROR(VLOOKUP(GK45,IN_Zugliste!$A$4:$D$2002,5,FALSE),"")</f>
        <v/>
      </c>
      <c r="GL244" t="str">
        <f>+IFERROR(VLOOKUP(GL45,IN_Zugliste!$A$4:$D$2002,5,FALSE),"")</f>
        <v/>
      </c>
      <c r="GM244" t="str">
        <f>+IFERROR(VLOOKUP(GM45,IN_Zugliste!$A$4:$D$2002,5,FALSE),"")</f>
        <v/>
      </c>
      <c r="GN244" t="str">
        <f>+IFERROR(VLOOKUP(GN45,IN_Zugliste!$A$4:$D$2002,5,FALSE),"")</f>
        <v/>
      </c>
      <c r="GO244" t="str">
        <f>+IFERROR(VLOOKUP(GO45,IN_Zugliste!$A$4:$D$2002,5,FALSE),"")</f>
        <v/>
      </c>
      <c r="GP244" t="str">
        <f>+IFERROR(VLOOKUP(GP45,IN_Zugliste!$A$4:$D$2002,5,FALSE),"")</f>
        <v/>
      </c>
      <c r="GQ244" t="str">
        <f>+IFERROR(VLOOKUP(GQ45,IN_Zugliste!$A$4:$D$2002,5,FALSE),"")</f>
        <v/>
      </c>
      <c r="GR244" t="str">
        <f>+IFERROR(VLOOKUP(GR45,IN_Zugliste!$A$4:$D$2002,5,FALSE),"")</f>
        <v/>
      </c>
      <c r="GS244" t="str">
        <f>+IFERROR(VLOOKUP(GS45,IN_Zugliste!$A$4:$D$2002,5,FALSE),"")</f>
        <v/>
      </c>
      <c r="GT244" t="str">
        <f>+IFERROR(VLOOKUP(GT45,IN_Zugliste!$A$4:$D$2002,5,FALSE),"")</f>
        <v/>
      </c>
      <c r="GU244" t="str">
        <f>+IFERROR(VLOOKUP(GU45,IN_Zugliste!$A$4:$D$2002,5,FALSE),"")</f>
        <v/>
      </c>
      <c r="GV244" t="str">
        <f>+IFERROR(VLOOKUP(GV45,IN_Zugliste!$A$4:$D$2002,5,FALSE),"")</f>
        <v/>
      </c>
      <c r="GW244" t="str">
        <f>+IFERROR(VLOOKUP(GW45,IN_Zugliste!$A$4:$D$2002,5,FALSE),"")</f>
        <v/>
      </c>
      <c r="GX244" t="str">
        <f>+IFERROR(VLOOKUP(GX45,IN_Zugliste!$A$4:$D$2002,5,FALSE),"")</f>
        <v/>
      </c>
      <c r="GY244" t="str">
        <f>+IFERROR(VLOOKUP(GY45,IN_Zugliste!$A$4:$D$2002,5,FALSE),"")</f>
        <v/>
      </c>
      <c r="GZ244" t="str">
        <f>+IFERROR(VLOOKUP(GZ45,IN_Zugliste!$A$4:$D$2002,5,FALSE),"")</f>
        <v/>
      </c>
      <c r="HA244" t="str">
        <f>+IFERROR(VLOOKUP(HA45,IN_Zugliste!$A$4:$D$2002,5,FALSE),"")</f>
        <v/>
      </c>
      <c r="HB244" t="str">
        <f>+IFERROR(VLOOKUP(HB45,IN_Zugliste!$A$4:$D$2002,5,FALSE),"")</f>
        <v/>
      </c>
      <c r="HC244" t="str">
        <f>+IFERROR(VLOOKUP(HC45,IN_Zugliste!$A$4:$D$2002,5,FALSE),"")</f>
        <v/>
      </c>
      <c r="HD244" t="str">
        <f>+IFERROR(VLOOKUP(HD45,IN_Zugliste!$A$4:$D$2002,5,FALSE),"")</f>
        <v/>
      </c>
      <c r="HE244" t="str">
        <f>+IFERROR(VLOOKUP(HE45,IN_Zugliste!$A$4:$D$2002,5,FALSE),"")</f>
        <v/>
      </c>
      <c r="HF244" t="str">
        <f>+IFERROR(VLOOKUP(HF45,IN_Zugliste!$A$4:$D$2002,5,FALSE),"")</f>
        <v/>
      </c>
      <c r="HG244" t="str">
        <f>+IFERROR(VLOOKUP(HG45,IN_Zugliste!$A$4:$D$2002,5,FALSE),"")</f>
        <v/>
      </c>
      <c r="HH244" t="str">
        <f>+IFERROR(VLOOKUP(HH45,IN_Zugliste!$A$4:$D$2002,5,FALSE),"")</f>
        <v/>
      </c>
    </row>
    <row r="245" spans="1:216" x14ac:dyDescent="0.2">
      <c r="A245" t="str">
        <f>+IFERROR(VLOOKUP(A46,IN_Zugliste!$A$4:$E$2002,5,FALSE),"")</f>
        <v/>
      </c>
      <c r="B245" t="str">
        <f>+IFERROR(VLOOKUP(B46,IN_Zugliste!$A$4:$E$2002,5,FALSE),"")</f>
        <v/>
      </c>
      <c r="C245" t="str">
        <f>+IFERROR(VLOOKUP(C46,IN_Zugliste!$A$4:$E$2002,5,FALSE),"")</f>
        <v/>
      </c>
      <c r="D245" t="str">
        <f>+IFERROR(VLOOKUP(D46,IN_Zugliste!$A$4:$E$2002,5,FALSE),"")</f>
        <v/>
      </c>
      <c r="E245" t="str">
        <f>+IFERROR(VLOOKUP(E46,IN_Zugliste!$A$4:$E$2002,5,FALSE),"")</f>
        <v/>
      </c>
      <c r="F245" t="str">
        <f>+IFERROR(VLOOKUP(F46,IN_Zugliste!$A$4:$E$2002,5,FALSE),"")</f>
        <v/>
      </c>
      <c r="G245" t="str">
        <f>+IFERROR(VLOOKUP(G46,IN_Zugliste!$A$4:$E$2002,5,FALSE),"")</f>
        <v/>
      </c>
      <c r="H245" t="str">
        <f>+IFERROR(VLOOKUP(H46,IN_Zugliste!$A$4:$E$2002,5,FALSE),"")</f>
        <v/>
      </c>
      <c r="I245" t="str">
        <f>+IFERROR(VLOOKUP(I46,IN_Zugliste!$A$4:$E$2002,5,FALSE),"")</f>
        <v/>
      </c>
      <c r="J245" t="str">
        <f>+IFERROR(VLOOKUP(J46,IN_Zugliste!$A$4:$E$2002,5,FALSE),"")</f>
        <v/>
      </c>
      <c r="K245" t="str">
        <f>+IFERROR(VLOOKUP(K46,IN_Zugliste!$A$4:$E$2002,5,FALSE),"")</f>
        <v/>
      </c>
      <c r="L245" t="str">
        <f>+IFERROR(VLOOKUP(L46,IN_Zugliste!$A$4:$E$2002,5,FALSE),"")</f>
        <v/>
      </c>
      <c r="M245" t="str">
        <f>+IFERROR(VLOOKUP(M46,IN_Zugliste!$A$4:$E$2002,5,FALSE),"")</f>
        <v/>
      </c>
      <c r="N245" t="str">
        <f>+IFERROR(VLOOKUP(N46,IN_Zugliste!$A$4:$E$2002,5,FALSE),"")</f>
        <v/>
      </c>
      <c r="O245" t="str">
        <f>+IFERROR(VLOOKUP(O46,IN_Zugliste!$A$4:$E$2002,5,FALSE),"")</f>
        <v/>
      </c>
      <c r="P245" t="str">
        <f>+IFERROR(VLOOKUP(P46,IN_Zugliste!$A$4:$E$2002,5,FALSE),"")</f>
        <v/>
      </c>
      <c r="Q245" t="str">
        <f>+IFERROR(VLOOKUP(Q46,IN_Zugliste!$A$4:$E$2002,5,FALSE),"")</f>
        <v/>
      </c>
      <c r="R245" t="str">
        <f>+IFERROR(VLOOKUP(R46,IN_Zugliste!$A$4:$E$2002,5,FALSE),"")</f>
        <v/>
      </c>
      <c r="S245" t="str">
        <f>+IFERROR(VLOOKUP(S46,IN_Zugliste!$A$4:$E$2002,5,FALSE),"")</f>
        <v/>
      </c>
      <c r="T245" t="str">
        <f>+IFERROR(VLOOKUP(T46,IN_Zugliste!$A$4:$E$2002,5,FALSE),"")</f>
        <v/>
      </c>
      <c r="U245" t="str">
        <f>+IFERROR(VLOOKUP(U46,IN_Zugliste!$A$4:$E$2002,5,FALSE),"")</f>
        <v/>
      </c>
      <c r="V245" t="str">
        <f>+IFERROR(VLOOKUP(V46,IN_Zugliste!$A$4:$E$2002,5,FALSE),"")</f>
        <v/>
      </c>
      <c r="W245" t="str">
        <f>+IFERROR(VLOOKUP(W46,IN_Zugliste!$A$4:$E$2002,5,FALSE),"")</f>
        <v/>
      </c>
      <c r="X245" t="str">
        <f>+IFERROR(VLOOKUP(X46,IN_Zugliste!$A$4:$E$2002,5,FALSE),"")</f>
        <v/>
      </c>
      <c r="Y245" t="str">
        <f>+IFERROR(VLOOKUP(Y46,IN_Zugliste!$A$4:$E$2002,5,FALSE),"")</f>
        <v/>
      </c>
      <c r="Z245" t="str">
        <f>+IFERROR(VLOOKUP(Z46,IN_Zugliste!$A$4:$E$2002,5,FALSE),"")</f>
        <v/>
      </c>
      <c r="AA245" t="str">
        <f>+IFERROR(VLOOKUP(AA46,IN_Zugliste!$A$4:$E$2002,5,FALSE),"")</f>
        <v/>
      </c>
      <c r="AB245" t="str">
        <f>+IFERROR(VLOOKUP(AB46,IN_Zugliste!$A$4:$E$2002,5,FALSE),"")</f>
        <v/>
      </c>
      <c r="AC245" t="str">
        <f>+IFERROR(VLOOKUP(AC46,IN_Zugliste!$A$4:$E$2002,5,FALSE),"")</f>
        <v/>
      </c>
      <c r="AD245" t="str">
        <f>+IFERROR(VLOOKUP(AD46,IN_Zugliste!$A$4:$E$2002,5,FALSE),"")</f>
        <v/>
      </c>
      <c r="AE245" t="str">
        <f>+IFERROR(VLOOKUP(AE46,IN_Zugliste!$A$4:$E$2002,5,FALSE),"")</f>
        <v/>
      </c>
      <c r="AF245" t="str">
        <f>+IFERROR(VLOOKUP(AF46,IN_Zugliste!$A$4:$E$2002,5,FALSE),"")</f>
        <v/>
      </c>
      <c r="AG245" t="str">
        <f>+IFERROR(VLOOKUP(AG46,IN_Zugliste!$A$4:$E$2002,5,FALSE),"")</f>
        <v/>
      </c>
      <c r="AH245" t="str">
        <f>+IFERROR(VLOOKUP(AH46,IN_Zugliste!$A$4:$E$2002,5,FALSE),"")</f>
        <v/>
      </c>
      <c r="AI245" t="str">
        <f>+IFERROR(VLOOKUP(AI46,IN_Zugliste!$A$4:$E$2002,5,FALSE),"")</f>
        <v/>
      </c>
      <c r="AJ245" t="str">
        <f>+IFERROR(VLOOKUP(AJ46,IN_Zugliste!$A$4:$E$2002,5,FALSE),"")</f>
        <v/>
      </c>
      <c r="AK245" t="str">
        <f>+IFERROR(VLOOKUP(AK46,IN_Zugliste!$A$4:$E$2002,5,FALSE),"")</f>
        <v/>
      </c>
      <c r="AL245" t="str">
        <f>+IFERROR(VLOOKUP(AL46,IN_Zugliste!$A$4:$E$2002,5,FALSE),"")</f>
        <v/>
      </c>
      <c r="AM245" t="str">
        <f>+IFERROR(VLOOKUP(AM46,IN_Zugliste!$A$4:$E$2002,5,FALSE),"")</f>
        <v/>
      </c>
      <c r="AN245" t="str">
        <f>+IFERROR(VLOOKUP(AN46,IN_Zugliste!$A$4:$E$2002,5,FALSE),"")</f>
        <v/>
      </c>
      <c r="AO245" t="str">
        <f>+IFERROR(VLOOKUP(AO46,IN_Zugliste!$A$4:$E$2002,5,FALSE),"")</f>
        <v/>
      </c>
      <c r="AP245" t="str">
        <f>+IFERROR(VLOOKUP(AP46,IN_Zugliste!$A$4:$E$2002,5,FALSE),"")</f>
        <v/>
      </c>
      <c r="AQ245" t="str">
        <f>+IFERROR(VLOOKUP(AQ46,IN_Zugliste!$A$4:$E$2002,5,FALSE),"")</f>
        <v/>
      </c>
      <c r="AR245" t="str">
        <f>+IFERROR(VLOOKUP(AR46,IN_Zugliste!$A$4:$E$2002,5,FALSE),"")</f>
        <v/>
      </c>
      <c r="AS245" t="str">
        <f>+IFERROR(VLOOKUP(AS46,IN_Zugliste!$A$4:$E$2002,5,FALSE),"")</f>
        <v/>
      </c>
      <c r="AT245" t="str">
        <f>+IFERROR(VLOOKUP(AT46,IN_Zugliste!$A$4:$E$2002,5,FALSE),"")</f>
        <v/>
      </c>
      <c r="AU245" t="str">
        <f>+IFERROR(VLOOKUP(AU46,IN_Zugliste!$A$4:$E$2002,5,FALSE),"")</f>
        <v/>
      </c>
      <c r="AV245" t="str">
        <f>+IFERROR(VLOOKUP(AV46,IN_Zugliste!$A$4:$E$2002,5,FALSE),"")</f>
        <v/>
      </c>
      <c r="AW245" t="str">
        <f>+IFERROR(VLOOKUP(AW46,IN_Zugliste!$A$4:$E$2002,5,FALSE),"")</f>
        <v/>
      </c>
      <c r="AX245" t="str">
        <f>+IFERROR(VLOOKUP(AX46,IN_Zugliste!$A$4:$E$2002,5,FALSE),"")</f>
        <v/>
      </c>
      <c r="AY245" t="str">
        <f>+IFERROR(VLOOKUP(AY46,IN_Zugliste!$A$4:$E$2002,5,FALSE),"")</f>
        <v/>
      </c>
      <c r="AZ245" t="str">
        <f>+IFERROR(VLOOKUP(AZ46,IN_Zugliste!$A$4:$E$2002,5,FALSE),"")</f>
        <v/>
      </c>
      <c r="BA245" t="str">
        <f>+IFERROR(VLOOKUP(BA46,IN_Zugliste!$A$4:$E$2002,5,FALSE),"")</f>
        <v/>
      </c>
      <c r="BB245" t="str">
        <f>+IFERROR(VLOOKUP(BB46,IN_Zugliste!$A$4:$E$2002,5,FALSE),"")</f>
        <v/>
      </c>
      <c r="BC245" t="str">
        <f>+IFERROR(VLOOKUP(BC46,IN_Zugliste!$A$4:$E$2002,5,FALSE),"")</f>
        <v/>
      </c>
      <c r="BD245" t="str">
        <f>+IFERROR(VLOOKUP(BD46,IN_Zugliste!$A$4:$E$2002,5,FALSE),"")</f>
        <v/>
      </c>
      <c r="BE245" t="str">
        <f>+IFERROR(VLOOKUP(BE46,IN_Zugliste!$A$4:$E$2002,5,FALSE),"")</f>
        <v/>
      </c>
      <c r="BF245" t="str">
        <f>+IFERROR(VLOOKUP(BF46,IN_Zugliste!$A$4:$E$2002,5,FALSE),"")</f>
        <v/>
      </c>
      <c r="BG245" t="str">
        <f>+IFERROR(VLOOKUP(BG46,IN_Zugliste!$A$4:$E$2002,5,FALSE),"")</f>
        <v/>
      </c>
      <c r="BH245" t="str">
        <f>+IFERROR(VLOOKUP(BH46,IN_Zugliste!$A$4:$E$2002,5,FALSE),"")</f>
        <v/>
      </c>
      <c r="BI245" t="str">
        <f>+IFERROR(VLOOKUP(BI46,IN_Zugliste!$A$4:$E$2002,5,FALSE),"")</f>
        <v/>
      </c>
      <c r="BJ245" t="str">
        <f>+IFERROR(VLOOKUP(BJ46,IN_Zugliste!$A$4:$E$2002,5,FALSE),"")</f>
        <v/>
      </c>
      <c r="BK245" t="str">
        <f>+IFERROR(VLOOKUP(BK46,IN_Zugliste!$A$4:$E$2002,5,FALSE),"")</f>
        <v/>
      </c>
      <c r="BL245" t="str">
        <f>+IFERROR(VLOOKUP(BL46,IN_Zugliste!$A$4:$E$2002,5,FALSE),"")</f>
        <v/>
      </c>
      <c r="BM245" t="str">
        <f>+IFERROR(VLOOKUP(BM46,IN_Zugliste!$A$4:$E$2002,5,FALSE),"")</f>
        <v/>
      </c>
      <c r="BN245" t="str">
        <f>+IFERROR(VLOOKUP(BN46,IN_Zugliste!$A$4:$E$2002,5,FALSE),"")</f>
        <v/>
      </c>
      <c r="BO245" t="str">
        <f>+IFERROR(VLOOKUP(BO46,IN_Zugliste!$A$4:$E$2002,5,FALSE),"")</f>
        <v/>
      </c>
      <c r="BP245" t="str">
        <f>+IFERROR(VLOOKUP(BP46,IN_Zugliste!$A$4:$E$2002,5,FALSE),"")</f>
        <v/>
      </c>
      <c r="BQ245" t="str">
        <f>+IFERROR(VLOOKUP(BQ46,IN_Zugliste!$A$4:$E$2002,5,FALSE),"")</f>
        <v/>
      </c>
      <c r="BR245" t="str">
        <f>+IFERROR(VLOOKUP(BR46,IN_Zugliste!$A$4:$E$2002,5,FALSE),"")</f>
        <v/>
      </c>
      <c r="BS245" t="str">
        <f>+IFERROR(VLOOKUP(BS46,IN_Zugliste!$A$4:$E$2002,5,FALSE),"")</f>
        <v/>
      </c>
      <c r="BT245" t="str">
        <f>+IFERROR(VLOOKUP(BT46,IN_Zugliste!$A$4:$E$2002,5,FALSE),"")</f>
        <v/>
      </c>
      <c r="BU245" t="str">
        <f>+IFERROR(VLOOKUP(BU46,IN_Zugliste!$A$4:$E$2002,5,FALSE),"")</f>
        <v/>
      </c>
      <c r="BV245" t="str">
        <f>+IFERROR(VLOOKUP(BV46,IN_Zugliste!$A$4:$E$2002,5,FALSE),"")</f>
        <v/>
      </c>
      <c r="BW245" t="str">
        <f>+IFERROR(VLOOKUP(BW46,IN_Zugliste!$A$4:$E$2002,5,FALSE),"")</f>
        <v/>
      </c>
      <c r="BX245" t="str">
        <f>+IFERROR(VLOOKUP(BX46,IN_Zugliste!$A$4:$E$2002,5,FALSE),"")</f>
        <v/>
      </c>
      <c r="BY245" t="str">
        <f>+IFERROR(VLOOKUP(BY46,IN_Zugliste!$A$4:$E$2002,5,FALSE),"")</f>
        <v/>
      </c>
      <c r="BZ245" t="str">
        <f>+IFERROR(VLOOKUP(BZ46,IN_Zugliste!$A$4:$E$2002,5,FALSE),"")</f>
        <v/>
      </c>
      <c r="CA245" t="str">
        <f>+IFERROR(VLOOKUP(CA46,IN_Zugliste!$A$4:$E$2002,5,FALSE),"")</f>
        <v/>
      </c>
      <c r="CB245" t="str">
        <f>+IFERROR(VLOOKUP(CB46,IN_Zugliste!$A$4:$E$2002,5,FALSE),"")</f>
        <v/>
      </c>
      <c r="CC245" t="str">
        <f>+IFERROR(VLOOKUP(CC46,IN_Zugliste!$A$4:$E$2002,5,FALSE),"")</f>
        <v/>
      </c>
      <c r="CD245" t="str">
        <f>+IFERROR(VLOOKUP(CD46,IN_Zugliste!$A$4:$E$2002,5,FALSE),"")</f>
        <v/>
      </c>
      <c r="CE245" t="str">
        <f>+IFERROR(VLOOKUP(CE46,IN_Zugliste!$A$4:$E$2002,5,FALSE),"")</f>
        <v/>
      </c>
      <c r="CF245" t="str">
        <f>+IFERROR(VLOOKUP(CF46,IN_Zugliste!$A$4:$E$2002,5,FALSE),"")</f>
        <v/>
      </c>
      <c r="CG245" t="str">
        <f>+IFERROR(VLOOKUP(CG46,IN_Zugliste!$A$4:$E$2002,5,FALSE),"")</f>
        <v/>
      </c>
      <c r="CH245" t="str">
        <f>+IFERROR(VLOOKUP(CH46,IN_Zugliste!$A$4:$E$2002,5,FALSE),"")</f>
        <v/>
      </c>
      <c r="CI245" t="str">
        <f>+IFERROR(VLOOKUP(CI46,IN_Zugliste!$A$4:$E$2002,5,FALSE),"")</f>
        <v/>
      </c>
      <c r="CJ245" t="str">
        <f>+IFERROR(VLOOKUP(CJ46,IN_Zugliste!$A$4:$E$2002,5,FALSE),"")</f>
        <v/>
      </c>
      <c r="CK245" t="str">
        <f>+IFERROR(VLOOKUP(CK46,IN_Zugliste!$A$4:$E$2002,5,FALSE),"")</f>
        <v/>
      </c>
      <c r="CL245" t="str">
        <f>+IFERROR(VLOOKUP(CL46,IN_Zugliste!$A$4:$E$2002,5,FALSE),"")</f>
        <v/>
      </c>
      <c r="CM245" t="str">
        <f>+IFERROR(VLOOKUP(CM46,IN_Zugliste!$A$4:$E$2002,5,FALSE),"")</f>
        <v/>
      </c>
      <c r="CN245" t="str">
        <f>+IFERROR(VLOOKUP(CN46,IN_Zugliste!$A$4:$E$2002,5,FALSE),"")</f>
        <v/>
      </c>
      <c r="CO245" t="str">
        <f>+IFERROR(VLOOKUP(CO46,IN_Zugliste!$A$4:$E$2002,5,FALSE),"")</f>
        <v/>
      </c>
      <c r="CP245" t="str">
        <f>+IFERROR(VLOOKUP(CP46,IN_Zugliste!$A$4:$E$2002,5,FALSE),"")</f>
        <v/>
      </c>
      <c r="CQ245" t="str">
        <f>+IFERROR(VLOOKUP(CQ46,IN_Zugliste!$A$4:$E$2002,5,FALSE),"")</f>
        <v/>
      </c>
      <c r="CR245" t="str">
        <f>+IFERROR(VLOOKUP(CR46,IN_Zugliste!$A$4:$E$2002,5,FALSE),"")</f>
        <v/>
      </c>
      <c r="CS245" t="str">
        <f>+IFERROR(VLOOKUP(CS46,IN_Zugliste!$A$4:$E$2002,5,FALSE),"")</f>
        <v/>
      </c>
      <c r="CT245" t="str">
        <f>+IFERROR(VLOOKUP(CT46,IN_Zugliste!$A$4:$E$2002,5,FALSE),"")</f>
        <v/>
      </c>
      <c r="CU245" t="str">
        <f>+IFERROR(VLOOKUP(CU46,IN_Zugliste!$A$4:$E$2002,5,FALSE),"")</f>
        <v/>
      </c>
      <c r="CV245" t="str">
        <f>+IFERROR(VLOOKUP(CV46,IN_Zugliste!$A$4:$E$2002,5,FALSE),"")</f>
        <v/>
      </c>
      <c r="CW245" t="str">
        <f>+IFERROR(VLOOKUP(CW46,IN_Zugliste!$A$4:$E$2002,5,FALSE),"")</f>
        <v/>
      </c>
      <c r="CX245" t="str">
        <f>+IFERROR(VLOOKUP(CX46,IN_Zugliste!$A$4:$E$2002,5,FALSE),"")</f>
        <v/>
      </c>
      <c r="CY245" t="str">
        <f>+IFERROR(VLOOKUP(CY46,IN_Zugliste!$A$4:$E$2002,5,FALSE),"")</f>
        <v/>
      </c>
      <c r="CZ245" t="str">
        <f>+IFERROR(VLOOKUP(CZ46,IN_Zugliste!$A$4:$E$2002,5,FALSE),"")</f>
        <v/>
      </c>
      <c r="DA245" t="str">
        <f>+IFERROR(VLOOKUP(DA46,IN_Zugliste!$A$4:$E$2002,5,FALSE),"")</f>
        <v/>
      </c>
      <c r="DB245" t="str">
        <f>+IFERROR(VLOOKUP(DB46,IN_Zugliste!$A$4:$E$2002,5,FALSE),"")</f>
        <v/>
      </c>
      <c r="DC245" t="str">
        <f>+IFERROR(VLOOKUP(DC46,IN_Zugliste!$A$4:$E$2002,5,FALSE),"")</f>
        <v/>
      </c>
      <c r="DD245" t="str">
        <f>+IFERROR(VLOOKUP(DD46,IN_Zugliste!$A$4:$E$2002,5,FALSE),"")</f>
        <v/>
      </c>
      <c r="DE245" t="str">
        <f>+IFERROR(VLOOKUP(DE46,IN_Zugliste!$A$4:$E$2002,5,FALSE),"")</f>
        <v/>
      </c>
      <c r="DF245" t="str">
        <f>+IFERROR(VLOOKUP(DF46,IN_Zugliste!$A$4:$E$2002,5,FALSE),"")</f>
        <v/>
      </c>
      <c r="DG245" t="str">
        <f>+IFERROR(VLOOKUP(DG46,IN_Zugliste!$A$4:$E$2002,5,FALSE),"")</f>
        <v/>
      </c>
      <c r="DH245" t="str">
        <f>+IFERROR(VLOOKUP(DH46,IN_Zugliste!$A$4:$E$2002,5,FALSE),"")</f>
        <v/>
      </c>
      <c r="DI245" t="str">
        <f>+IFERROR(VLOOKUP(DI46,IN_Zugliste!$A$4:$E$2002,5,FALSE),"")</f>
        <v/>
      </c>
      <c r="DJ245" t="str">
        <f>+IFERROR(VLOOKUP(DJ46,IN_Zugliste!$A$4:$E$2002,5,FALSE),"")</f>
        <v/>
      </c>
      <c r="DK245" t="str">
        <f>+IFERROR(VLOOKUP(DK46,IN_Zugliste!$A$4:$E$2002,5,FALSE),"")</f>
        <v/>
      </c>
      <c r="DL245" t="str">
        <f>+IFERROR(VLOOKUP(DL46,IN_Zugliste!$A$4:$E$2002,5,FALSE),"")</f>
        <v/>
      </c>
      <c r="DM245" t="str">
        <f>+IFERROR(VLOOKUP(DM46,IN_Zugliste!$A$4:$E$2002,5,FALSE),"")</f>
        <v/>
      </c>
      <c r="DN245" t="str">
        <f>+IFERROR(VLOOKUP(DN46,IN_Zugliste!$A$4:$E$2002,5,FALSE),"")</f>
        <v/>
      </c>
      <c r="DO245" t="str">
        <f>+IFERROR(VLOOKUP(DO46,IN_Zugliste!$A$4:$E$2002,5,FALSE),"")</f>
        <v/>
      </c>
      <c r="DP245" t="str">
        <f>+IFERROR(VLOOKUP(DP46,IN_Zugliste!$A$4:$E$2002,5,FALSE),"")</f>
        <v/>
      </c>
      <c r="DQ245" t="str">
        <f>+IFERROR(VLOOKUP(DQ46,IN_Zugliste!$A$4:$E$2002,5,FALSE),"")</f>
        <v/>
      </c>
      <c r="DR245" t="str">
        <f>+IFERROR(VLOOKUP(DR46,IN_Zugliste!$A$4:$E$2002,5,FALSE),"")</f>
        <v/>
      </c>
      <c r="DS245" t="str">
        <f>+IFERROR(VLOOKUP(DS46,IN_Zugliste!$A$4:$E$2002,5,FALSE),"")</f>
        <v/>
      </c>
      <c r="DT245" t="str">
        <f>+IFERROR(VLOOKUP(DT46,IN_Zugliste!$A$4:$E$2002,5,FALSE),"")</f>
        <v/>
      </c>
      <c r="DU245" t="str">
        <f>+IFERROR(VLOOKUP(DU46,IN_Zugliste!$A$4:$E$2002,5,FALSE),"")</f>
        <v/>
      </c>
      <c r="DV245" t="str">
        <f>+IFERROR(VLOOKUP(DV46,IN_Zugliste!$A$4:$E$2002,5,FALSE),"")</f>
        <v/>
      </c>
      <c r="DW245" t="str">
        <f>+IFERROR(VLOOKUP(DW46,IN_Zugliste!$A$4:$E$2002,5,FALSE),"")</f>
        <v/>
      </c>
      <c r="DX245" t="str">
        <f>+IFERROR(VLOOKUP(DX46,IN_Zugliste!$A$4:$E$2002,5,FALSE),"")</f>
        <v/>
      </c>
      <c r="DY245" t="str">
        <f>+IFERROR(VLOOKUP(DY46,IN_Zugliste!$A$4:$E$2002,5,FALSE),"")</f>
        <v/>
      </c>
      <c r="DZ245" t="str">
        <f>+IFERROR(VLOOKUP(DZ46,IN_Zugliste!$A$4:$E$2002,5,FALSE),"")</f>
        <v/>
      </c>
      <c r="EA245" t="str">
        <f>+IFERROR(VLOOKUP(EA46,IN_Zugliste!$A$4:$E$2002,5,FALSE),"")</f>
        <v/>
      </c>
      <c r="EB245" t="str">
        <f>+IFERROR(VLOOKUP(EB46,IN_Zugliste!$A$4:$E$2002,5,FALSE),"")</f>
        <v/>
      </c>
      <c r="EC245" t="str">
        <f>+IFERROR(VLOOKUP(EC46,IN_Zugliste!$A$4:$E$2002,5,FALSE),"")</f>
        <v/>
      </c>
      <c r="ED245" t="str">
        <f>+IFERROR(VLOOKUP(ED46,IN_Zugliste!$A$4:$E$2002,5,FALSE),"")</f>
        <v/>
      </c>
      <c r="EE245" t="str">
        <f>+IFERROR(VLOOKUP(EE46,IN_Zugliste!$A$4:$E$2002,5,FALSE),"")</f>
        <v/>
      </c>
      <c r="EF245" t="str">
        <f>+IFERROR(VLOOKUP(EF46,IN_Zugliste!$A$4:$E$2002,5,FALSE),"")</f>
        <v/>
      </c>
      <c r="EG245" t="str">
        <f>+IFERROR(VLOOKUP(EG46,IN_Zugliste!$A$4:$E$2002,5,FALSE),"")</f>
        <v/>
      </c>
      <c r="EH245" t="str">
        <f>+IFERROR(VLOOKUP(EH46,IN_Zugliste!$A$4:$E$2002,5,FALSE),"")</f>
        <v/>
      </c>
      <c r="EI245" t="str">
        <f>+IFERROR(VLOOKUP(EI46,IN_Zugliste!$A$4:$E$2002,5,FALSE),"")</f>
        <v/>
      </c>
      <c r="EJ245" t="str">
        <f>+IFERROR(VLOOKUP(EJ46,IN_Zugliste!$A$4:$E$2002,5,FALSE),"")</f>
        <v/>
      </c>
      <c r="EK245" t="str">
        <f>+IFERROR(VLOOKUP(EK46,IN_Zugliste!$A$4:$E$2002,5,FALSE),"")</f>
        <v/>
      </c>
      <c r="EL245" t="str">
        <f>+IFERROR(VLOOKUP(EL46,IN_Zugliste!$A$4:$E$2002,5,FALSE),"")</f>
        <v/>
      </c>
      <c r="EM245" t="str">
        <f>+IFERROR(VLOOKUP(EM46,IN_Zugliste!$A$4:$E$2002,5,FALSE),"")</f>
        <v/>
      </c>
      <c r="EN245" t="str">
        <f>+IFERROR(VLOOKUP(EN46,IN_Zugliste!$A$4:$E$2002,5,FALSE),"")</f>
        <v/>
      </c>
      <c r="EO245" t="str">
        <f>+IFERROR(VLOOKUP(EO46,IN_Zugliste!$A$4:$E$2002,5,FALSE),"")</f>
        <v/>
      </c>
      <c r="EP245" t="str">
        <f>+IFERROR(VLOOKUP(EP46,IN_Zugliste!$A$4:$E$2002,5,FALSE),"")</f>
        <v/>
      </c>
      <c r="EQ245" t="str">
        <f>+IFERROR(VLOOKUP(EQ46,IN_Zugliste!$A$4:$E$2002,5,FALSE),"")</f>
        <v/>
      </c>
      <c r="ER245" t="str">
        <f>+IFERROR(VLOOKUP(ER46,IN_Zugliste!$A$4:$E$2002,5,FALSE),"")</f>
        <v/>
      </c>
      <c r="ES245" t="str">
        <f>+IFERROR(VLOOKUP(ES46,IN_Zugliste!$A$4:$E$2002,5,FALSE),"")</f>
        <v/>
      </c>
      <c r="ET245" t="str">
        <f>+IFERROR(VLOOKUP(ET46,IN_Zugliste!$A$4:$E$2002,5,FALSE),"")</f>
        <v/>
      </c>
      <c r="EU245" t="str">
        <f>+IFERROR(VLOOKUP(EU46,IN_Zugliste!$A$4:$E$2002,5,FALSE),"")</f>
        <v/>
      </c>
      <c r="EV245" t="str">
        <f>+IFERROR(VLOOKUP(EV46,IN_Zugliste!$A$4:$E$2002,5,FALSE),"")</f>
        <v/>
      </c>
      <c r="EW245" t="str">
        <f>+IFERROR(VLOOKUP(EW46,IN_Zugliste!$A$4:$E$2002,5,FALSE),"")</f>
        <v/>
      </c>
      <c r="EX245" t="str">
        <f>+IFERROR(VLOOKUP(EX46,IN_Zugliste!$A$4:$E$2002,5,FALSE),"")</f>
        <v/>
      </c>
      <c r="EY245" t="str">
        <f>+IFERROR(VLOOKUP(EY46,IN_Zugliste!$A$4:$E$2002,5,FALSE),"")</f>
        <v/>
      </c>
      <c r="EZ245" t="str">
        <f>+IFERROR(VLOOKUP(EZ46,IN_Zugliste!$A$4:$E$2002,5,FALSE),"")</f>
        <v/>
      </c>
      <c r="FA245" t="str">
        <f>+IFERROR(VLOOKUP(FA46,IN_Zugliste!$A$4:$E$2002,5,FALSE),"")</f>
        <v/>
      </c>
      <c r="FB245" t="str">
        <f>+IFERROR(VLOOKUP(FB46,IN_Zugliste!$A$4:$E$2002,5,FALSE),"")</f>
        <v/>
      </c>
      <c r="FC245" t="str">
        <f>+IFERROR(VLOOKUP(FC46,IN_Zugliste!$A$4:$E$2002,5,FALSE),"")</f>
        <v/>
      </c>
      <c r="FD245" t="str">
        <f>+IFERROR(VLOOKUP(FD46,IN_Zugliste!$A$4:$E$2002,5,FALSE),"")</f>
        <v/>
      </c>
      <c r="FE245" t="str">
        <f>+IFERROR(VLOOKUP(FE46,IN_Zugliste!$A$4:$E$2002,5,FALSE),"")</f>
        <v/>
      </c>
      <c r="FF245" t="str">
        <f>+IFERROR(VLOOKUP(FF46,IN_Zugliste!$A$4:$E$2002,5,FALSE),"")</f>
        <v/>
      </c>
      <c r="FG245" t="str">
        <f>+IFERROR(VLOOKUP(FG46,IN_Zugliste!$A$4:$E$2002,5,FALSE),"")</f>
        <v/>
      </c>
      <c r="FH245" t="str">
        <f>+IFERROR(VLOOKUP(FH46,IN_Zugliste!$A$4:$E$2002,5,FALSE),"")</f>
        <v/>
      </c>
      <c r="FI245" t="str">
        <f>+IFERROR(VLOOKUP(FI46,IN_Zugliste!$A$4:$E$2002,5,FALSE),"")</f>
        <v/>
      </c>
      <c r="FJ245" t="str">
        <f>+IFERROR(VLOOKUP(FJ46,IN_Zugliste!$A$4:$E$2002,5,FALSE),"")</f>
        <v/>
      </c>
      <c r="FK245" t="str">
        <f>+IFERROR(VLOOKUP(FK46,IN_Zugliste!$A$4:$E$2002,5,FALSE),"")</f>
        <v/>
      </c>
      <c r="FL245" t="str">
        <f>+IFERROR(VLOOKUP(FL46,IN_Zugliste!$A$4:$E$2002,5,FALSE),"")</f>
        <v/>
      </c>
      <c r="FM245" t="str">
        <f>+IFERROR(VLOOKUP(FM46,IN_Zugliste!$A$4:$D$2002,5,FALSE),"")</f>
        <v/>
      </c>
      <c r="FN245" t="str">
        <f>+IFERROR(VLOOKUP(FN46,IN_Zugliste!$A$4:$D$2002,5,FALSE),"")</f>
        <v/>
      </c>
      <c r="FO245" t="str">
        <f>+IFERROR(VLOOKUP(FO46,IN_Zugliste!$A$4:$D$2002,5,FALSE),"")</f>
        <v/>
      </c>
      <c r="FP245" t="str">
        <f>+IFERROR(VLOOKUP(FP46,IN_Zugliste!$A$4:$D$2002,5,FALSE),"")</f>
        <v/>
      </c>
      <c r="FQ245" t="str">
        <f>+IFERROR(VLOOKUP(FQ46,IN_Zugliste!$A$4:$D$2002,5,FALSE),"")</f>
        <v/>
      </c>
      <c r="FR245" t="str">
        <f>+IFERROR(VLOOKUP(FR46,IN_Zugliste!$A$4:$D$2002,5,FALSE),"")</f>
        <v/>
      </c>
      <c r="FS245" t="str">
        <f>+IFERROR(VLOOKUP(FS46,IN_Zugliste!$A$4:$D$2002,5,FALSE),"")</f>
        <v/>
      </c>
      <c r="FT245" t="str">
        <f>+IFERROR(VLOOKUP(FT46,IN_Zugliste!$A$4:$D$2002,5,FALSE),"")</f>
        <v/>
      </c>
      <c r="FU245" t="str">
        <f>+IFERROR(VLOOKUP(FU46,IN_Zugliste!$A$4:$D$2002,5,FALSE),"")</f>
        <v/>
      </c>
      <c r="FV245" t="str">
        <f>+IFERROR(VLOOKUP(FV46,IN_Zugliste!$A$4:$D$2002,5,FALSE),"")</f>
        <v/>
      </c>
      <c r="FW245" t="str">
        <f>+IFERROR(VLOOKUP(FW46,IN_Zugliste!$A$4:$D$2002,5,FALSE),"")</f>
        <v/>
      </c>
      <c r="FX245" t="str">
        <f>+IFERROR(VLOOKUP(FX46,IN_Zugliste!$A$4:$D$2002,5,FALSE),"")</f>
        <v/>
      </c>
      <c r="FY245" t="str">
        <f>+IFERROR(VLOOKUP(FY46,IN_Zugliste!$A$4:$D$2002,5,FALSE),"")</f>
        <v/>
      </c>
      <c r="FZ245" t="str">
        <f>+IFERROR(VLOOKUP(FZ46,IN_Zugliste!$A$4:$D$2002,5,FALSE),"")</f>
        <v/>
      </c>
      <c r="GA245" t="str">
        <f>+IFERROR(VLOOKUP(GA46,IN_Zugliste!$A$4:$D$2002,5,FALSE),"")</f>
        <v/>
      </c>
      <c r="GB245" t="str">
        <f>+IFERROR(VLOOKUP(GB46,IN_Zugliste!$A$4:$D$2002,5,FALSE),"")</f>
        <v/>
      </c>
      <c r="GC245" t="str">
        <f>+IFERROR(VLOOKUP(GC46,IN_Zugliste!$A$4:$D$2002,5,FALSE),"")</f>
        <v/>
      </c>
      <c r="GD245" t="str">
        <f>+IFERROR(VLOOKUP(GD46,IN_Zugliste!$A$4:$D$2002,5,FALSE),"")</f>
        <v/>
      </c>
      <c r="GE245" t="str">
        <f>+IFERROR(VLOOKUP(GE46,IN_Zugliste!$A$4:$D$2002,5,FALSE),"")</f>
        <v/>
      </c>
      <c r="GF245" t="str">
        <f>+IFERROR(VLOOKUP(GF46,IN_Zugliste!$A$4:$D$2002,5,FALSE),"")</f>
        <v/>
      </c>
      <c r="GG245" t="str">
        <f>+IFERROR(VLOOKUP(GG46,IN_Zugliste!$A$4:$D$2002,5,FALSE),"")</f>
        <v/>
      </c>
      <c r="GH245" t="str">
        <f>+IFERROR(VLOOKUP(GH46,IN_Zugliste!$A$4:$D$2002,5,FALSE),"")</f>
        <v/>
      </c>
      <c r="GI245" t="str">
        <f>+IFERROR(VLOOKUP(GI46,IN_Zugliste!$A$4:$D$2002,5,FALSE),"")</f>
        <v/>
      </c>
      <c r="GJ245" t="str">
        <f>+IFERROR(VLOOKUP(GJ46,IN_Zugliste!$A$4:$D$2002,5,FALSE),"")</f>
        <v/>
      </c>
      <c r="GK245" t="str">
        <f>+IFERROR(VLOOKUP(GK46,IN_Zugliste!$A$4:$D$2002,5,FALSE),"")</f>
        <v/>
      </c>
      <c r="GL245" t="str">
        <f>+IFERROR(VLOOKUP(GL46,IN_Zugliste!$A$4:$D$2002,5,FALSE),"")</f>
        <v/>
      </c>
      <c r="GM245" t="str">
        <f>+IFERROR(VLOOKUP(GM46,IN_Zugliste!$A$4:$D$2002,5,FALSE),"")</f>
        <v/>
      </c>
      <c r="GN245" t="str">
        <f>+IFERROR(VLOOKUP(GN46,IN_Zugliste!$A$4:$D$2002,5,FALSE),"")</f>
        <v/>
      </c>
      <c r="GO245" t="str">
        <f>+IFERROR(VLOOKUP(GO46,IN_Zugliste!$A$4:$D$2002,5,FALSE),"")</f>
        <v/>
      </c>
      <c r="GP245" t="str">
        <f>+IFERROR(VLOOKUP(GP46,IN_Zugliste!$A$4:$D$2002,5,FALSE),"")</f>
        <v/>
      </c>
      <c r="GQ245" t="str">
        <f>+IFERROR(VLOOKUP(GQ46,IN_Zugliste!$A$4:$D$2002,5,FALSE),"")</f>
        <v/>
      </c>
      <c r="GR245" t="str">
        <f>+IFERROR(VLOOKUP(GR46,IN_Zugliste!$A$4:$D$2002,5,FALSE),"")</f>
        <v/>
      </c>
      <c r="GS245" t="str">
        <f>+IFERROR(VLOOKUP(GS46,IN_Zugliste!$A$4:$D$2002,5,FALSE),"")</f>
        <v/>
      </c>
      <c r="GT245" t="str">
        <f>+IFERROR(VLOOKUP(GT46,IN_Zugliste!$A$4:$D$2002,5,FALSE),"")</f>
        <v/>
      </c>
      <c r="GU245" t="str">
        <f>+IFERROR(VLOOKUP(GU46,IN_Zugliste!$A$4:$D$2002,5,FALSE),"")</f>
        <v/>
      </c>
      <c r="GV245" t="str">
        <f>+IFERROR(VLOOKUP(GV46,IN_Zugliste!$A$4:$D$2002,5,FALSE),"")</f>
        <v/>
      </c>
      <c r="GW245" t="str">
        <f>+IFERROR(VLOOKUP(GW46,IN_Zugliste!$A$4:$D$2002,5,FALSE),"")</f>
        <v/>
      </c>
      <c r="GX245" t="str">
        <f>+IFERROR(VLOOKUP(GX46,IN_Zugliste!$A$4:$D$2002,5,FALSE),"")</f>
        <v/>
      </c>
      <c r="GY245" t="str">
        <f>+IFERROR(VLOOKUP(GY46,IN_Zugliste!$A$4:$D$2002,5,FALSE),"")</f>
        <v/>
      </c>
      <c r="GZ245" t="str">
        <f>+IFERROR(VLOOKUP(GZ46,IN_Zugliste!$A$4:$D$2002,5,FALSE),"")</f>
        <v/>
      </c>
      <c r="HA245" t="str">
        <f>+IFERROR(VLOOKUP(HA46,IN_Zugliste!$A$4:$D$2002,5,FALSE),"")</f>
        <v/>
      </c>
      <c r="HB245" t="str">
        <f>+IFERROR(VLOOKUP(HB46,IN_Zugliste!$A$4:$D$2002,5,FALSE),"")</f>
        <v/>
      </c>
      <c r="HC245" t="str">
        <f>+IFERROR(VLOOKUP(HC46,IN_Zugliste!$A$4:$D$2002,5,FALSE),"")</f>
        <v/>
      </c>
      <c r="HD245" t="str">
        <f>+IFERROR(VLOOKUP(HD46,IN_Zugliste!$A$4:$D$2002,5,FALSE),"")</f>
        <v/>
      </c>
      <c r="HE245" t="str">
        <f>+IFERROR(VLOOKUP(HE46,IN_Zugliste!$A$4:$D$2002,5,FALSE),"")</f>
        <v/>
      </c>
      <c r="HF245" t="str">
        <f>+IFERROR(VLOOKUP(HF46,IN_Zugliste!$A$4:$D$2002,5,FALSE),"")</f>
        <v/>
      </c>
      <c r="HG245" t="str">
        <f>+IFERROR(VLOOKUP(HG46,IN_Zugliste!$A$4:$D$2002,5,FALSE),"")</f>
        <v/>
      </c>
      <c r="HH245" t="str">
        <f>+IFERROR(VLOOKUP(HH46,IN_Zugliste!$A$4:$D$2002,5,FALSE),"")</f>
        <v/>
      </c>
    </row>
    <row r="246" spans="1:216" x14ac:dyDescent="0.2">
      <c r="A246" t="str">
        <f>+IFERROR(VLOOKUP(A47,IN_Zugliste!$A$4:$E$2002,5,FALSE),"")</f>
        <v/>
      </c>
      <c r="B246" t="str">
        <f>+IFERROR(VLOOKUP(B47,IN_Zugliste!$A$4:$E$2002,5,FALSE),"")</f>
        <v/>
      </c>
      <c r="C246" t="str">
        <f>+IFERROR(VLOOKUP(C47,IN_Zugliste!$A$4:$E$2002,5,FALSE),"")</f>
        <v/>
      </c>
      <c r="D246" t="str">
        <f>+IFERROR(VLOOKUP(D47,IN_Zugliste!$A$4:$E$2002,5,FALSE),"")</f>
        <v/>
      </c>
      <c r="E246" t="str">
        <f>+IFERROR(VLOOKUP(E47,IN_Zugliste!$A$4:$E$2002,5,FALSE),"")</f>
        <v/>
      </c>
      <c r="F246" t="str">
        <f>+IFERROR(VLOOKUP(F47,IN_Zugliste!$A$4:$E$2002,5,FALSE),"")</f>
        <v/>
      </c>
      <c r="G246" t="str">
        <f>+IFERROR(VLOOKUP(G47,IN_Zugliste!$A$4:$E$2002,5,FALSE),"")</f>
        <v/>
      </c>
      <c r="H246" t="str">
        <f>+IFERROR(VLOOKUP(H47,IN_Zugliste!$A$4:$E$2002,5,FALSE),"")</f>
        <v/>
      </c>
      <c r="I246" t="str">
        <f>+IFERROR(VLOOKUP(I47,IN_Zugliste!$A$4:$E$2002,5,FALSE),"")</f>
        <v/>
      </c>
      <c r="J246" t="str">
        <f>+IFERROR(VLOOKUP(J47,IN_Zugliste!$A$4:$E$2002,5,FALSE),"")</f>
        <v/>
      </c>
      <c r="K246" t="str">
        <f>+IFERROR(VLOOKUP(K47,IN_Zugliste!$A$4:$E$2002,5,FALSE),"")</f>
        <v/>
      </c>
      <c r="L246" t="str">
        <f>+IFERROR(VLOOKUP(L47,IN_Zugliste!$A$4:$E$2002,5,FALSE),"")</f>
        <v/>
      </c>
      <c r="M246" t="str">
        <f>+IFERROR(VLOOKUP(M47,IN_Zugliste!$A$4:$E$2002,5,FALSE),"")</f>
        <v/>
      </c>
      <c r="N246" t="str">
        <f>+IFERROR(VLOOKUP(N47,IN_Zugliste!$A$4:$E$2002,5,FALSE),"")</f>
        <v/>
      </c>
      <c r="O246" t="str">
        <f>+IFERROR(VLOOKUP(O47,IN_Zugliste!$A$4:$E$2002,5,FALSE),"")</f>
        <v/>
      </c>
      <c r="P246" t="str">
        <f>+IFERROR(VLOOKUP(P47,IN_Zugliste!$A$4:$E$2002,5,FALSE),"")</f>
        <v/>
      </c>
      <c r="Q246" t="str">
        <f>+IFERROR(VLOOKUP(Q47,IN_Zugliste!$A$4:$E$2002,5,FALSE),"")</f>
        <v/>
      </c>
      <c r="R246" t="str">
        <f>+IFERROR(VLOOKUP(R47,IN_Zugliste!$A$4:$E$2002,5,FALSE),"")</f>
        <v/>
      </c>
      <c r="S246" t="str">
        <f>+IFERROR(VLOOKUP(S47,IN_Zugliste!$A$4:$E$2002,5,FALSE),"")</f>
        <v/>
      </c>
      <c r="T246" t="str">
        <f>+IFERROR(VLOOKUP(T47,IN_Zugliste!$A$4:$E$2002,5,FALSE),"")</f>
        <v/>
      </c>
      <c r="U246" t="str">
        <f>+IFERROR(VLOOKUP(U47,IN_Zugliste!$A$4:$E$2002,5,FALSE),"")</f>
        <v/>
      </c>
      <c r="V246" t="str">
        <f>+IFERROR(VLOOKUP(V47,IN_Zugliste!$A$4:$E$2002,5,FALSE),"")</f>
        <v/>
      </c>
      <c r="W246" t="str">
        <f>+IFERROR(VLOOKUP(W47,IN_Zugliste!$A$4:$E$2002,5,FALSE),"")</f>
        <v/>
      </c>
      <c r="X246" t="str">
        <f>+IFERROR(VLOOKUP(X47,IN_Zugliste!$A$4:$E$2002,5,FALSE),"")</f>
        <v/>
      </c>
      <c r="Y246" t="str">
        <f>+IFERROR(VLOOKUP(Y47,IN_Zugliste!$A$4:$E$2002,5,FALSE),"")</f>
        <v/>
      </c>
      <c r="Z246" t="str">
        <f>+IFERROR(VLOOKUP(Z47,IN_Zugliste!$A$4:$E$2002,5,FALSE),"")</f>
        <v/>
      </c>
      <c r="AA246" t="str">
        <f>+IFERROR(VLOOKUP(AA47,IN_Zugliste!$A$4:$E$2002,5,FALSE),"")</f>
        <v/>
      </c>
      <c r="AB246" t="str">
        <f>+IFERROR(VLOOKUP(AB47,IN_Zugliste!$A$4:$E$2002,5,FALSE),"")</f>
        <v/>
      </c>
      <c r="AC246" t="str">
        <f>+IFERROR(VLOOKUP(AC47,IN_Zugliste!$A$4:$E$2002,5,FALSE),"")</f>
        <v/>
      </c>
      <c r="AD246" t="str">
        <f>+IFERROR(VLOOKUP(AD47,IN_Zugliste!$A$4:$E$2002,5,FALSE),"")</f>
        <v/>
      </c>
      <c r="AE246" t="str">
        <f>+IFERROR(VLOOKUP(AE47,IN_Zugliste!$A$4:$E$2002,5,FALSE),"")</f>
        <v/>
      </c>
      <c r="AF246" t="str">
        <f>+IFERROR(VLOOKUP(AF47,IN_Zugliste!$A$4:$E$2002,5,FALSE),"")</f>
        <v/>
      </c>
      <c r="AG246" t="str">
        <f>+IFERROR(VLOOKUP(AG47,IN_Zugliste!$A$4:$E$2002,5,FALSE),"")</f>
        <v/>
      </c>
      <c r="AH246" t="str">
        <f>+IFERROR(VLOOKUP(AH47,IN_Zugliste!$A$4:$E$2002,5,FALSE),"")</f>
        <v/>
      </c>
      <c r="AI246" t="str">
        <f>+IFERROR(VLOOKUP(AI47,IN_Zugliste!$A$4:$E$2002,5,FALSE),"")</f>
        <v/>
      </c>
      <c r="AJ246" t="str">
        <f>+IFERROR(VLOOKUP(AJ47,IN_Zugliste!$A$4:$E$2002,5,FALSE),"")</f>
        <v/>
      </c>
      <c r="AK246" t="str">
        <f>+IFERROR(VLOOKUP(AK47,IN_Zugliste!$A$4:$E$2002,5,FALSE),"")</f>
        <v/>
      </c>
      <c r="AL246" t="str">
        <f>+IFERROR(VLOOKUP(AL47,IN_Zugliste!$A$4:$E$2002,5,FALSE),"")</f>
        <v/>
      </c>
      <c r="AM246" t="str">
        <f>+IFERROR(VLOOKUP(AM47,IN_Zugliste!$A$4:$E$2002,5,FALSE),"")</f>
        <v/>
      </c>
      <c r="AN246" t="str">
        <f>+IFERROR(VLOOKUP(AN47,IN_Zugliste!$A$4:$E$2002,5,FALSE),"")</f>
        <v/>
      </c>
      <c r="AO246" t="str">
        <f>+IFERROR(VLOOKUP(AO47,IN_Zugliste!$A$4:$E$2002,5,FALSE),"")</f>
        <v/>
      </c>
      <c r="AP246" t="str">
        <f>+IFERROR(VLOOKUP(AP47,IN_Zugliste!$A$4:$E$2002,5,FALSE),"")</f>
        <v/>
      </c>
      <c r="AQ246" t="str">
        <f>+IFERROR(VLOOKUP(AQ47,IN_Zugliste!$A$4:$E$2002,5,FALSE),"")</f>
        <v/>
      </c>
      <c r="AR246" t="str">
        <f>+IFERROR(VLOOKUP(AR47,IN_Zugliste!$A$4:$E$2002,5,FALSE),"")</f>
        <v/>
      </c>
      <c r="AS246" t="str">
        <f>+IFERROR(VLOOKUP(AS47,IN_Zugliste!$A$4:$E$2002,5,FALSE),"")</f>
        <v/>
      </c>
      <c r="AT246" t="str">
        <f>+IFERROR(VLOOKUP(AT47,IN_Zugliste!$A$4:$E$2002,5,FALSE),"")</f>
        <v/>
      </c>
      <c r="AU246" t="str">
        <f>+IFERROR(VLOOKUP(AU47,IN_Zugliste!$A$4:$E$2002,5,FALSE),"")</f>
        <v/>
      </c>
      <c r="AV246" t="str">
        <f>+IFERROR(VLOOKUP(AV47,IN_Zugliste!$A$4:$E$2002,5,FALSE),"")</f>
        <v/>
      </c>
      <c r="AW246" t="str">
        <f>+IFERROR(VLOOKUP(AW47,IN_Zugliste!$A$4:$E$2002,5,FALSE),"")</f>
        <v/>
      </c>
      <c r="AX246" t="str">
        <f>+IFERROR(VLOOKUP(AX47,IN_Zugliste!$A$4:$E$2002,5,FALSE),"")</f>
        <v/>
      </c>
      <c r="AY246" t="str">
        <f>+IFERROR(VLOOKUP(AY47,IN_Zugliste!$A$4:$E$2002,5,FALSE),"")</f>
        <v/>
      </c>
      <c r="AZ246" t="str">
        <f>+IFERROR(VLOOKUP(AZ47,IN_Zugliste!$A$4:$E$2002,5,FALSE),"")</f>
        <v/>
      </c>
      <c r="BA246" t="str">
        <f>+IFERROR(VLOOKUP(BA47,IN_Zugliste!$A$4:$E$2002,5,FALSE),"")</f>
        <v/>
      </c>
      <c r="BB246" t="str">
        <f>+IFERROR(VLOOKUP(BB47,IN_Zugliste!$A$4:$E$2002,5,FALSE),"")</f>
        <v/>
      </c>
      <c r="BC246" t="str">
        <f>+IFERROR(VLOOKUP(BC47,IN_Zugliste!$A$4:$E$2002,5,FALSE),"")</f>
        <v/>
      </c>
      <c r="BD246" t="str">
        <f>+IFERROR(VLOOKUP(BD47,IN_Zugliste!$A$4:$E$2002,5,FALSE),"")</f>
        <v/>
      </c>
      <c r="BE246" t="str">
        <f>+IFERROR(VLOOKUP(BE47,IN_Zugliste!$A$4:$E$2002,5,FALSE),"")</f>
        <v/>
      </c>
      <c r="BF246" t="str">
        <f>+IFERROR(VLOOKUP(BF47,IN_Zugliste!$A$4:$E$2002,5,FALSE),"")</f>
        <v/>
      </c>
      <c r="BG246" t="str">
        <f>+IFERROR(VLOOKUP(BG47,IN_Zugliste!$A$4:$E$2002,5,FALSE),"")</f>
        <v/>
      </c>
      <c r="BH246" t="str">
        <f>+IFERROR(VLOOKUP(BH47,IN_Zugliste!$A$4:$E$2002,5,FALSE),"")</f>
        <v/>
      </c>
      <c r="BI246" t="str">
        <f>+IFERROR(VLOOKUP(BI47,IN_Zugliste!$A$4:$E$2002,5,FALSE),"")</f>
        <v/>
      </c>
      <c r="BJ246" t="str">
        <f>+IFERROR(VLOOKUP(BJ47,IN_Zugliste!$A$4:$E$2002,5,FALSE),"")</f>
        <v/>
      </c>
      <c r="BK246" t="str">
        <f>+IFERROR(VLOOKUP(BK47,IN_Zugliste!$A$4:$E$2002,5,FALSE),"")</f>
        <v/>
      </c>
      <c r="BL246" t="str">
        <f>+IFERROR(VLOOKUP(BL47,IN_Zugliste!$A$4:$E$2002,5,FALSE),"")</f>
        <v/>
      </c>
      <c r="BM246" t="str">
        <f>+IFERROR(VLOOKUP(BM47,IN_Zugliste!$A$4:$E$2002,5,FALSE),"")</f>
        <v/>
      </c>
      <c r="BN246" t="str">
        <f>+IFERROR(VLOOKUP(BN47,IN_Zugliste!$A$4:$E$2002,5,FALSE),"")</f>
        <v/>
      </c>
      <c r="BO246" t="str">
        <f>+IFERROR(VLOOKUP(BO47,IN_Zugliste!$A$4:$E$2002,5,FALSE),"")</f>
        <v/>
      </c>
      <c r="BP246" t="str">
        <f>+IFERROR(VLOOKUP(BP47,IN_Zugliste!$A$4:$E$2002,5,FALSE),"")</f>
        <v/>
      </c>
      <c r="BQ246" t="str">
        <f>+IFERROR(VLOOKUP(BQ47,IN_Zugliste!$A$4:$E$2002,5,FALSE),"")</f>
        <v/>
      </c>
      <c r="BR246" t="str">
        <f>+IFERROR(VLOOKUP(BR47,IN_Zugliste!$A$4:$E$2002,5,FALSE),"")</f>
        <v/>
      </c>
      <c r="BS246" t="str">
        <f>+IFERROR(VLOOKUP(BS47,IN_Zugliste!$A$4:$E$2002,5,FALSE),"")</f>
        <v/>
      </c>
      <c r="BT246" t="str">
        <f>+IFERROR(VLOOKUP(BT47,IN_Zugliste!$A$4:$E$2002,5,FALSE),"")</f>
        <v/>
      </c>
      <c r="BU246" t="str">
        <f>+IFERROR(VLOOKUP(BU47,IN_Zugliste!$A$4:$E$2002,5,FALSE),"")</f>
        <v/>
      </c>
      <c r="BV246" t="str">
        <f>+IFERROR(VLOOKUP(BV47,IN_Zugliste!$A$4:$E$2002,5,FALSE),"")</f>
        <v/>
      </c>
      <c r="BW246" t="str">
        <f>+IFERROR(VLOOKUP(BW47,IN_Zugliste!$A$4:$E$2002,5,FALSE),"")</f>
        <v/>
      </c>
      <c r="BX246" t="str">
        <f>+IFERROR(VLOOKUP(BX47,IN_Zugliste!$A$4:$E$2002,5,FALSE),"")</f>
        <v/>
      </c>
      <c r="BY246" t="str">
        <f>+IFERROR(VLOOKUP(BY47,IN_Zugliste!$A$4:$E$2002,5,FALSE),"")</f>
        <v/>
      </c>
      <c r="BZ246" t="str">
        <f>+IFERROR(VLOOKUP(BZ47,IN_Zugliste!$A$4:$E$2002,5,FALSE),"")</f>
        <v/>
      </c>
      <c r="CA246" t="str">
        <f>+IFERROR(VLOOKUP(CA47,IN_Zugliste!$A$4:$E$2002,5,FALSE),"")</f>
        <v/>
      </c>
      <c r="CB246" t="str">
        <f>+IFERROR(VLOOKUP(CB47,IN_Zugliste!$A$4:$E$2002,5,FALSE),"")</f>
        <v/>
      </c>
      <c r="CC246" t="str">
        <f>+IFERROR(VLOOKUP(CC47,IN_Zugliste!$A$4:$E$2002,5,FALSE),"")</f>
        <v/>
      </c>
      <c r="CD246" t="str">
        <f>+IFERROR(VLOOKUP(CD47,IN_Zugliste!$A$4:$E$2002,5,FALSE),"")</f>
        <v/>
      </c>
      <c r="CE246" t="str">
        <f>+IFERROR(VLOOKUP(CE47,IN_Zugliste!$A$4:$E$2002,5,FALSE),"")</f>
        <v/>
      </c>
      <c r="CF246" t="str">
        <f>+IFERROR(VLOOKUP(CF47,IN_Zugliste!$A$4:$E$2002,5,FALSE),"")</f>
        <v/>
      </c>
      <c r="CG246" t="str">
        <f>+IFERROR(VLOOKUP(CG47,IN_Zugliste!$A$4:$E$2002,5,FALSE),"")</f>
        <v/>
      </c>
      <c r="CH246" t="str">
        <f>+IFERROR(VLOOKUP(CH47,IN_Zugliste!$A$4:$E$2002,5,FALSE),"")</f>
        <v/>
      </c>
      <c r="CI246" t="str">
        <f>+IFERROR(VLOOKUP(CI47,IN_Zugliste!$A$4:$E$2002,5,FALSE),"")</f>
        <v/>
      </c>
      <c r="CJ246" t="str">
        <f>+IFERROR(VLOOKUP(CJ47,IN_Zugliste!$A$4:$E$2002,5,FALSE),"")</f>
        <v/>
      </c>
      <c r="CK246" t="str">
        <f>+IFERROR(VLOOKUP(CK47,IN_Zugliste!$A$4:$E$2002,5,FALSE),"")</f>
        <v/>
      </c>
      <c r="CL246" t="str">
        <f>+IFERROR(VLOOKUP(CL47,IN_Zugliste!$A$4:$E$2002,5,FALSE),"")</f>
        <v/>
      </c>
      <c r="CM246" t="str">
        <f>+IFERROR(VLOOKUP(CM47,IN_Zugliste!$A$4:$E$2002,5,FALSE),"")</f>
        <v/>
      </c>
      <c r="CN246" t="str">
        <f>+IFERROR(VLOOKUP(CN47,IN_Zugliste!$A$4:$E$2002,5,FALSE),"")</f>
        <v/>
      </c>
      <c r="CO246" t="str">
        <f>+IFERROR(VLOOKUP(CO47,IN_Zugliste!$A$4:$E$2002,5,FALSE),"")</f>
        <v/>
      </c>
      <c r="CP246" t="str">
        <f>+IFERROR(VLOOKUP(CP47,IN_Zugliste!$A$4:$E$2002,5,FALSE),"")</f>
        <v/>
      </c>
      <c r="CQ246" t="str">
        <f>+IFERROR(VLOOKUP(CQ47,IN_Zugliste!$A$4:$E$2002,5,FALSE),"")</f>
        <v/>
      </c>
      <c r="CR246" t="str">
        <f>+IFERROR(VLOOKUP(CR47,IN_Zugliste!$A$4:$E$2002,5,FALSE),"")</f>
        <v/>
      </c>
      <c r="CS246" t="str">
        <f>+IFERROR(VLOOKUP(CS47,IN_Zugliste!$A$4:$E$2002,5,FALSE),"")</f>
        <v/>
      </c>
      <c r="CT246" t="str">
        <f>+IFERROR(VLOOKUP(CT47,IN_Zugliste!$A$4:$E$2002,5,FALSE),"")</f>
        <v/>
      </c>
      <c r="CU246" t="str">
        <f>+IFERROR(VLOOKUP(CU47,IN_Zugliste!$A$4:$E$2002,5,FALSE),"")</f>
        <v/>
      </c>
      <c r="CV246" t="str">
        <f>+IFERROR(VLOOKUP(CV47,IN_Zugliste!$A$4:$E$2002,5,FALSE),"")</f>
        <v/>
      </c>
      <c r="CW246" t="str">
        <f>+IFERROR(VLOOKUP(CW47,IN_Zugliste!$A$4:$E$2002,5,FALSE),"")</f>
        <v/>
      </c>
      <c r="CX246" t="str">
        <f>+IFERROR(VLOOKUP(CX47,IN_Zugliste!$A$4:$E$2002,5,FALSE),"")</f>
        <v/>
      </c>
      <c r="CY246" t="str">
        <f>+IFERROR(VLOOKUP(CY47,IN_Zugliste!$A$4:$E$2002,5,FALSE),"")</f>
        <v/>
      </c>
      <c r="CZ246" t="str">
        <f>+IFERROR(VLOOKUP(CZ47,IN_Zugliste!$A$4:$E$2002,5,FALSE),"")</f>
        <v/>
      </c>
      <c r="DA246" t="str">
        <f>+IFERROR(VLOOKUP(DA47,IN_Zugliste!$A$4:$E$2002,5,FALSE),"")</f>
        <v/>
      </c>
      <c r="DB246" t="str">
        <f>+IFERROR(VLOOKUP(DB47,IN_Zugliste!$A$4:$E$2002,5,FALSE),"")</f>
        <v/>
      </c>
      <c r="DC246" t="str">
        <f>+IFERROR(VLOOKUP(DC47,IN_Zugliste!$A$4:$E$2002,5,FALSE),"")</f>
        <v/>
      </c>
      <c r="DD246" t="str">
        <f>+IFERROR(VLOOKUP(DD47,IN_Zugliste!$A$4:$E$2002,5,FALSE),"")</f>
        <v/>
      </c>
      <c r="DE246" t="str">
        <f>+IFERROR(VLOOKUP(DE47,IN_Zugliste!$A$4:$E$2002,5,FALSE),"")</f>
        <v/>
      </c>
      <c r="DF246" t="str">
        <f>+IFERROR(VLOOKUP(DF47,IN_Zugliste!$A$4:$E$2002,5,FALSE),"")</f>
        <v/>
      </c>
      <c r="DG246" t="str">
        <f>+IFERROR(VLOOKUP(DG47,IN_Zugliste!$A$4:$E$2002,5,FALSE),"")</f>
        <v/>
      </c>
      <c r="DH246" t="str">
        <f>+IFERROR(VLOOKUP(DH47,IN_Zugliste!$A$4:$E$2002,5,FALSE),"")</f>
        <v/>
      </c>
      <c r="DI246" t="str">
        <f>+IFERROR(VLOOKUP(DI47,IN_Zugliste!$A$4:$E$2002,5,FALSE),"")</f>
        <v/>
      </c>
      <c r="DJ246" t="str">
        <f>+IFERROR(VLOOKUP(DJ47,IN_Zugliste!$A$4:$E$2002,5,FALSE),"")</f>
        <v/>
      </c>
      <c r="DK246" t="str">
        <f>+IFERROR(VLOOKUP(DK47,IN_Zugliste!$A$4:$E$2002,5,FALSE),"")</f>
        <v/>
      </c>
      <c r="DL246" t="str">
        <f>+IFERROR(VLOOKUP(DL47,IN_Zugliste!$A$4:$E$2002,5,FALSE),"")</f>
        <v/>
      </c>
      <c r="DM246" t="str">
        <f>+IFERROR(VLOOKUP(DM47,IN_Zugliste!$A$4:$E$2002,5,FALSE),"")</f>
        <v/>
      </c>
      <c r="DN246" t="str">
        <f>+IFERROR(VLOOKUP(DN47,IN_Zugliste!$A$4:$E$2002,5,FALSE),"")</f>
        <v/>
      </c>
      <c r="DO246" t="str">
        <f>+IFERROR(VLOOKUP(DO47,IN_Zugliste!$A$4:$E$2002,5,FALSE),"")</f>
        <v/>
      </c>
      <c r="DP246" t="str">
        <f>+IFERROR(VLOOKUP(DP47,IN_Zugliste!$A$4:$E$2002,5,FALSE),"")</f>
        <v/>
      </c>
      <c r="DQ246" t="str">
        <f>+IFERROR(VLOOKUP(DQ47,IN_Zugliste!$A$4:$E$2002,5,FALSE),"")</f>
        <v/>
      </c>
      <c r="DR246" t="str">
        <f>+IFERROR(VLOOKUP(DR47,IN_Zugliste!$A$4:$E$2002,5,FALSE),"")</f>
        <v/>
      </c>
      <c r="DS246" t="str">
        <f>+IFERROR(VLOOKUP(DS47,IN_Zugliste!$A$4:$E$2002,5,FALSE),"")</f>
        <v/>
      </c>
      <c r="DT246" t="str">
        <f>+IFERROR(VLOOKUP(DT47,IN_Zugliste!$A$4:$E$2002,5,FALSE),"")</f>
        <v/>
      </c>
      <c r="DU246" t="str">
        <f>+IFERROR(VLOOKUP(DU47,IN_Zugliste!$A$4:$E$2002,5,FALSE),"")</f>
        <v/>
      </c>
      <c r="DV246" t="str">
        <f>+IFERROR(VLOOKUP(DV47,IN_Zugliste!$A$4:$E$2002,5,FALSE),"")</f>
        <v/>
      </c>
      <c r="DW246" t="str">
        <f>+IFERROR(VLOOKUP(DW47,IN_Zugliste!$A$4:$E$2002,5,FALSE),"")</f>
        <v/>
      </c>
      <c r="DX246" t="str">
        <f>+IFERROR(VLOOKUP(DX47,IN_Zugliste!$A$4:$E$2002,5,FALSE),"")</f>
        <v/>
      </c>
      <c r="DY246" t="str">
        <f>+IFERROR(VLOOKUP(DY47,IN_Zugliste!$A$4:$E$2002,5,FALSE),"")</f>
        <v/>
      </c>
      <c r="DZ246" t="str">
        <f>+IFERROR(VLOOKUP(DZ47,IN_Zugliste!$A$4:$E$2002,5,FALSE),"")</f>
        <v/>
      </c>
      <c r="EA246" t="str">
        <f>+IFERROR(VLOOKUP(EA47,IN_Zugliste!$A$4:$E$2002,5,FALSE),"")</f>
        <v/>
      </c>
      <c r="EB246" t="str">
        <f>+IFERROR(VLOOKUP(EB47,IN_Zugliste!$A$4:$E$2002,5,FALSE),"")</f>
        <v/>
      </c>
      <c r="EC246" t="str">
        <f>+IFERROR(VLOOKUP(EC47,IN_Zugliste!$A$4:$E$2002,5,FALSE),"")</f>
        <v/>
      </c>
      <c r="ED246" t="str">
        <f>+IFERROR(VLOOKUP(ED47,IN_Zugliste!$A$4:$E$2002,5,FALSE),"")</f>
        <v/>
      </c>
      <c r="EE246" t="str">
        <f>+IFERROR(VLOOKUP(EE47,IN_Zugliste!$A$4:$E$2002,5,FALSE),"")</f>
        <v/>
      </c>
      <c r="EF246" t="str">
        <f>+IFERROR(VLOOKUP(EF47,IN_Zugliste!$A$4:$E$2002,5,FALSE),"")</f>
        <v/>
      </c>
      <c r="EG246" t="str">
        <f>+IFERROR(VLOOKUP(EG47,IN_Zugliste!$A$4:$E$2002,5,FALSE),"")</f>
        <v/>
      </c>
      <c r="EH246" t="str">
        <f>+IFERROR(VLOOKUP(EH47,IN_Zugliste!$A$4:$E$2002,5,FALSE),"")</f>
        <v/>
      </c>
      <c r="EI246" t="str">
        <f>+IFERROR(VLOOKUP(EI47,IN_Zugliste!$A$4:$E$2002,5,FALSE),"")</f>
        <v/>
      </c>
      <c r="EJ246" t="str">
        <f>+IFERROR(VLOOKUP(EJ47,IN_Zugliste!$A$4:$E$2002,5,FALSE),"")</f>
        <v/>
      </c>
      <c r="EK246" t="str">
        <f>+IFERROR(VLOOKUP(EK47,IN_Zugliste!$A$4:$E$2002,5,FALSE),"")</f>
        <v/>
      </c>
      <c r="EL246" t="str">
        <f>+IFERROR(VLOOKUP(EL47,IN_Zugliste!$A$4:$E$2002,5,FALSE),"")</f>
        <v/>
      </c>
      <c r="EM246" t="str">
        <f>+IFERROR(VLOOKUP(EM47,IN_Zugliste!$A$4:$E$2002,5,FALSE),"")</f>
        <v/>
      </c>
      <c r="EN246" t="str">
        <f>+IFERROR(VLOOKUP(EN47,IN_Zugliste!$A$4:$E$2002,5,FALSE),"")</f>
        <v/>
      </c>
      <c r="EO246" t="str">
        <f>+IFERROR(VLOOKUP(EO47,IN_Zugliste!$A$4:$E$2002,5,FALSE),"")</f>
        <v/>
      </c>
      <c r="EP246" t="str">
        <f>+IFERROR(VLOOKUP(EP47,IN_Zugliste!$A$4:$E$2002,5,FALSE),"")</f>
        <v/>
      </c>
      <c r="EQ246" t="str">
        <f>+IFERROR(VLOOKUP(EQ47,IN_Zugliste!$A$4:$E$2002,5,FALSE),"")</f>
        <v/>
      </c>
      <c r="ER246" t="str">
        <f>+IFERROR(VLOOKUP(ER47,IN_Zugliste!$A$4:$E$2002,5,FALSE),"")</f>
        <v/>
      </c>
      <c r="ES246" t="str">
        <f>+IFERROR(VLOOKUP(ES47,IN_Zugliste!$A$4:$E$2002,5,FALSE),"")</f>
        <v/>
      </c>
      <c r="ET246" t="str">
        <f>+IFERROR(VLOOKUP(ET47,IN_Zugliste!$A$4:$E$2002,5,FALSE),"")</f>
        <v/>
      </c>
      <c r="EU246" t="str">
        <f>+IFERROR(VLOOKUP(EU47,IN_Zugliste!$A$4:$E$2002,5,FALSE),"")</f>
        <v/>
      </c>
      <c r="EV246" t="str">
        <f>+IFERROR(VLOOKUP(EV47,IN_Zugliste!$A$4:$E$2002,5,FALSE),"")</f>
        <v/>
      </c>
      <c r="EW246" t="str">
        <f>+IFERROR(VLOOKUP(EW47,IN_Zugliste!$A$4:$E$2002,5,FALSE),"")</f>
        <v/>
      </c>
      <c r="EX246" t="str">
        <f>+IFERROR(VLOOKUP(EX47,IN_Zugliste!$A$4:$E$2002,5,FALSE),"")</f>
        <v/>
      </c>
      <c r="EY246" t="str">
        <f>+IFERROR(VLOOKUP(EY47,IN_Zugliste!$A$4:$E$2002,5,FALSE),"")</f>
        <v/>
      </c>
      <c r="EZ246" t="str">
        <f>+IFERROR(VLOOKUP(EZ47,IN_Zugliste!$A$4:$E$2002,5,FALSE),"")</f>
        <v/>
      </c>
      <c r="FA246" t="str">
        <f>+IFERROR(VLOOKUP(FA47,IN_Zugliste!$A$4:$E$2002,5,FALSE),"")</f>
        <v/>
      </c>
      <c r="FB246" t="str">
        <f>+IFERROR(VLOOKUP(FB47,IN_Zugliste!$A$4:$E$2002,5,FALSE),"")</f>
        <v/>
      </c>
      <c r="FC246" t="str">
        <f>+IFERROR(VLOOKUP(FC47,IN_Zugliste!$A$4:$E$2002,5,FALSE),"")</f>
        <v/>
      </c>
      <c r="FD246" t="str">
        <f>+IFERROR(VLOOKUP(FD47,IN_Zugliste!$A$4:$E$2002,5,FALSE),"")</f>
        <v/>
      </c>
      <c r="FE246" t="str">
        <f>+IFERROR(VLOOKUP(FE47,IN_Zugliste!$A$4:$E$2002,5,FALSE),"")</f>
        <v/>
      </c>
      <c r="FF246" t="str">
        <f>+IFERROR(VLOOKUP(FF47,IN_Zugliste!$A$4:$E$2002,5,FALSE),"")</f>
        <v/>
      </c>
      <c r="FG246" t="str">
        <f>+IFERROR(VLOOKUP(FG47,IN_Zugliste!$A$4:$E$2002,5,FALSE),"")</f>
        <v/>
      </c>
      <c r="FH246" t="str">
        <f>+IFERROR(VLOOKUP(FH47,IN_Zugliste!$A$4:$E$2002,5,FALSE),"")</f>
        <v/>
      </c>
      <c r="FI246" t="str">
        <f>+IFERROR(VLOOKUP(FI47,IN_Zugliste!$A$4:$E$2002,5,FALSE),"")</f>
        <v/>
      </c>
      <c r="FJ246" t="str">
        <f>+IFERROR(VLOOKUP(FJ47,IN_Zugliste!$A$4:$E$2002,5,FALSE),"")</f>
        <v/>
      </c>
      <c r="FK246" t="str">
        <f>+IFERROR(VLOOKUP(FK47,IN_Zugliste!$A$4:$E$2002,5,FALSE),"")</f>
        <v/>
      </c>
      <c r="FL246" t="str">
        <f>+IFERROR(VLOOKUP(FL47,IN_Zugliste!$A$4:$E$2002,5,FALSE),"")</f>
        <v/>
      </c>
      <c r="FM246" t="str">
        <f>+IFERROR(VLOOKUP(FM47,IN_Zugliste!$A$4:$D$2002,5,FALSE),"")</f>
        <v/>
      </c>
      <c r="FN246" t="str">
        <f>+IFERROR(VLOOKUP(FN47,IN_Zugliste!$A$4:$D$2002,5,FALSE),"")</f>
        <v/>
      </c>
      <c r="FO246" t="str">
        <f>+IFERROR(VLOOKUP(FO47,IN_Zugliste!$A$4:$D$2002,5,FALSE),"")</f>
        <v/>
      </c>
      <c r="FP246" t="str">
        <f>+IFERROR(VLOOKUP(FP47,IN_Zugliste!$A$4:$D$2002,5,FALSE),"")</f>
        <v/>
      </c>
      <c r="FQ246" t="str">
        <f>+IFERROR(VLOOKUP(FQ47,IN_Zugliste!$A$4:$D$2002,5,FALSE),"")</f>
        <v/>
      </c>
      <c r="FR246" t="str">
        <f>+IFERROR(VLOOKUP(FR47,IN_Zugliste!$A$4:$D$2002,5,FALSE),"")</f>
        <v/>
      </c>
      <c r="FS246" t="str">
        <f>+IFERROR(VLOOKUP(FS47,IN_Zugliste!$A$4:$D$2002,5,FALSE),"")</f>
        <v/>
      </c>
      <c r="FT246" t="str">
        <f>+IFERROR(VLOOKUP(FT47,IN_Zugliste!$A$4:$D$2002,5,FALSE),"")</f>
        <v/>
      </c>
      <c r="FU246" t="str">
        <f>+IFERROR(VLOOKUP(FU47,IN_Zugliste!$A$4:$D$2002,5,FALSE),"")</f>
        <v/>
      </c>
      <c r="FV246" t="str">
        <f>+IFERROR(VLOOKUP(FV47,IN_Zugliste!$A$4:$D$2002,5,FALSE),"")</f>
        <v/>
      </c>
      <c r="FW246" t="str">
        <f>+IFERROR(VLOOKUP(FW47,IN_Zugliste!$A$4:$D$2002,5,FALSE),"")</f>
        <v/>
      </c>
      <c r="FX246" t="str">
        <f>+IFERROR(VLOOKUP(FX47,IN_Zugliste!$A$4:$D$2002,5,FALSE),"")</f>
        <v/>
      </c>
      <c r="FY246" t="str">
        <f>+IFERROR(VLOOKUP(FY47,IN_Zugliste!$A$4:$D$2002,5,FALSE),"")</f>
        <v/>
      </c>
      <c r="FZ246" t="str">
        <f>+IFERROR(VLOOKUP(FZ47,IN_Zugliste!$A$4:$D$2002,5,FALSE),"")</f>
        <v/>
      </c>
      <c r="GA246" t="str">
        <f>+IFERROR(VLOOKUP(GA47,IN_Zugliste!$A$4:$D$2002,5,FALSE),"")</f>
        <v/>
      </c>
      <c r="GB246" t="str">
        <f>+IFERROR(VLOOKUP(GB47,IN_Zugliste!$A$4:$D$2002,5,FALSE),"")</f>
        <v/>
      </c>
      <c r="GC246" t="str">
        <f>+IFERROR(VLOOKUP(GC47,IN_Zugliste!$A$4:$D$2002,5,FALSE),"")</f>
        <v/>
      </c>
      <c r="GD246" t="str">
        <f>+IFERROR(VLOOKUP(GD47,IN_Zugliste!$A$4:$D$2002,5,FALSE),"")</f>
        <v/>
      </c>
      <c r="GE246" t="str">
        <f>+IFERROR(VLOOKUP(GE47,IN_Zugliste!$A$4:$D$2002,5,FALSE),"")</f>
        <v/>
      </c>
      <c r="GF246" t="str">
        <f>+IFERROR(VLOOKUP(GF47,IN_Zugliste!$A$4:$D$2002,5,FALSE),"")</f>
        <v/>
      </c>
      <c r="GG246" t="str">
        <f>+IFERROR(VLOOKUP(GG47,IN_Zugliste!$A$4:$D$2002,5,FALSE),"")</f>
        <v/>
      </c>
      <c r="GH246" t="str">
        <f>+IFERROR(VLOOKUP(GH47,IN_Zugliste!$A$4:$D$2002,5,FALSE),"")</f>
        <v/>
      </c>
      <c r="GI246" t="str">
        <f>+IFERROR(VLOOKUP(GI47,IN_Zugliste!$A$4:$D$2002,5,FALSE),"")</f>
        <v/>
      </c>
      <c r="GJ246" t="str">
        <f>+IFERROR(VLOOKUP(GJ47,IN_Zugliste!$A$4:$D$2002,5,FALSE),"")</f>
        <v/>
      </c>
      <c r="GK246" t="str">
        <f>+IFERROR(VLOOKUP(GK47,IN_Zugliste!$A$4:$D$2002,5,FALSE),"")</f>
        <v/>
      </c>
      <c r="GL246" t="str">
        <f>+IFERROR(VLOOKUP(GL47,IN_Zugliste!$A$4:$D$2002,5,FALSE),"")</f>
        <v/>
      </c>
      <c r="GM246" t="str">
        <f>+IFERROR(VLOOKUP(GM47,IN_Zugliste!$A$4:$D$2002,5,FALSE),"")</f>
        <v/>
      </c>
      <c r="GN246" t="str">
        <f>+IFERROR(VLOOKUP(GN47,IN_Zugliste!$A$4:$D$2002,5,FALSE),"")</f>
        <v/>
      </c>
      <c r="GO246" t="str">
        <f>+IFERROR(VLOOKUP(GO47,IN_Zugliste!$A$4:$D$2002,5,FALSE),"")</f>
        <v/>
      </c>
      <c r="GP246" t="str">
        <f>+IFERROR(VLOOKUP(GP47,IN_Zugliste!$A$4:$D$2002,5,FALSE),"")</f>
        <v/>
      </c>
      <c r="GQ246" t="str">
        <f>+IFERROR(VLOOKUP(GQ47,IN_Zugliste!$A$4:$D$2002,5,FALSE),"")</f>
        <v/>
      </c>
      <c r="GR246" t="str">
        <f>+IFERROR(VLOOKUP(GR47,IN_Zugliste!$A$4:$D$2002,5,FALSE),"")</f>
        <v/>
      </c>
      <c r="GS246" t="str">
        <f>+IFERROR(VLOOKUP(GS47,IN_Zugliste!$A$4:$D$2002,5,FALSE),"")</f>
        <v/>
      </c>
      <c r="GT246" t="str">
        <f>+IFERROR(VLOOKUP(GT47,IN_Zugliste!$A$4:$D$2002,5,FALSE),"")</f>
        <v/>
      </c>
      <c r="GU246" t="str">
        <f>+IFERROR(VLOOKUP(GU47,IN_Zugliste!$A$4:$D$2002,5,FALSE),"")</f>
        <v/>
      </c>
      <c r="GV246" t="str">
        <f>+IFERROR(VLOOKUP(GV47,IN_Zugliste!$A$4:$D$2002,5,FALSE),"")</f>
        <v/>
      </c>
      <c r="GW246" t="str">
        <f>+IFERROR(VLOOKUP(GW47,IN_Zugliste!$A$4:$D$2002,5,FALSE),"")</f>
        <v/>
      </c>
      <c r="GX246" t="str">
        <f>+IFERROR(VLOOKUP(GX47,IN_Zugliste!$A$4:$D$2002,5,FALSE),"")</f>
        <v/>
      </c>
      <c r="GY246" t="str">
        <f>+IFERROR(VLOOKUP(GY47,IN_Zugliste!$A$4:$D$2002,5,FALSE),"")</f>
        <v/>
      </c>
      <c r="GZ246" t="str">
        <f>+IFERROR(VLOOKUP(GZ47,IN_Zugliste!$A$4:$D$2002,5,FALSE),"")</f>
        <v/>
      </c>
      <c r="HA246" t="str">
        <f>+IFERROR(VLOOKUP(HA47,IN_Zugliste!$A$4:$D$2002,5,FALSE),"")</f>
        <v/>
      </c>
      <c r="HB246" t="str">
        <f>+IFERROR(VLOOKUP(HB47,IN_Zugliste!$A$4:$D$2002,5,FALSE),"")</f>
        <v/>
      </c>
      <c r="HC246" t="str">
        <f>+IFERROR(VLOOKUP(HC47,IN_Zugliste!$A$4:$D$2002,5,FALSE),"")</f>
        <v/>
      </c>
      <c r="HD246" t="str">
        <f>+IFERROR(VLOOKUP(HD47,IN_Zugliste!$A$4:$D$2002,5,FALSE),"")</f>
        <v/>
      </c>
      <c r="HE246" t="str">
        <f>+IFERROR(VLOOKUP(HE47,IN_Zugliste!$A$4:$D$2002,5,FALSE),"")</f>
        <v/>
      </c>
      <c r="HF246" t="str">
        <f>+IFERROR(VLOOKUP(HF47,IN_Zugliste!$A$4:$D$2002,5,FALSE),"")</f>
        <v/>
      </c>
      <c r="HG246" t="str">
        <f>+IFERROR(VLOOKUP(HG47,IN_Zugliste!$A$4:$D$2002,5,FALSE),"")</f>
        <v/>
      </c>
      <c r="HH246" t="str">
        <f>+IFERROR(VLOOKUP(HH47,IN_Zugliste!$A$4:$D$2002,5,FALSE),"")</f>
        <v/>
      </c>
    </row>
    <row r="247" spans="1:216" x14ac:dyDescent="0.2">
      <c r="A247" t="str">
        <f>+IFERROR(VLOOKUP(A48,IN_Zugliste!$A$4:$E$2002,5,FALSE),"")</f>
        <v/>
      </c>
      <c r="B247" t="str">
        <f>+IFERROR(VLOOKUP(B48,IN_Zugliste!$A$4:$E$2002,5,FALSE),"")</f>
        <v/>
      </c>
      <c r="C247" t="str">
        <f>+IFERROR(VLOOKUP(C48,IN_Zugliste!$A$4:$E$2002,5,FALSE),"")</f>
        <v/>
      </c>
      <c r="D247" t="str">
        <f>+IFERROR(VLOOKUP(D48,IN_Zugliste!$A$4:$E$2002,5,FALSE),"")</f>
        <v/>
      </c>
      <c r="E247" t="str">
        <f>+IFERROR(VLOOKUP(E48,IN_Zugliste!$A$4:$E$2002,5,FALSE),"")</f>
        <v/>
      </c>
      <c r="F247" t="str">
        <f>+IFERROR(VLOOKUP(F48,IN_Zugliste!$A$4:$E$2002,5,FALSE),"")</f>
        <v/>
      </c>
      <c r="G247" t="str">
        <f>+IFERROR(VLOOKUP(G48,IN_Zugliste!$A$4:$E$2002,5,FALSE),"")</f>
        <v/>
      </c>
      <c r="H247" t="str">
        <f>+IFERROR(VLOOKUP(H48,IN_Zugliste!$A$4:$E$2002,5,FALSE),"")</f>
        <v/>
      </c>
      <c r="I247" t="str">
        <f>+IFERROR(VLOOKUP(I48,IN_Zugliste!$A$4:$E$2002,5,FALSE),"")</f>
        <v/>
      </c>
      <c r="J247" t="str">
        <f>+IFERROR(VLOOKUP(J48,IN_Zugliste!$A$4:$E$2002,5,FALSE),"")</f>
        <v/>
      </c>
      <c r="K247" t="str">
        <f>+IFERROR(VLOOKUP(K48,IN_Zugliste!$A$4:$E$2002,5,FALSE),"")</f>
        <v/>
      </c>
      <c r="L247" t="str">
        <f>+IFERROR(VLOOKUP(L48,IN_Zugliste!$A$4:$E$2002,5,FALSE),"")</f>
        <v/>
      </c>
      <c r="M247" t="str">
        <f>+IFERROR(VLOOKUP(M48,IN_Zugliste!$A$4:$E$2002,5,FALSE),"")</f>
        <v/>
      </c>
      <c r="N247" t="str">
        <f>+IFERROR(VLOOKUP(N48,IN_Zugliste!$A$4:$E$2002,5,FALSE),"")</f>
        <v/>
      </c>
      <c r="O247" t="str">
        <f>+IFERROR(VLOOKUP(O48,IN_Zugliste!$A$4:$E$2002,5,FALSE),"")</f>
        <v/>
      </c>
      <c r="P247" t="str">
        <f>+IFERROR(VLOOKUP(P48,IN_Zugliste!$A$4:$E$2002,5,FALSE),"")</f>
        <v/>
      </c>
      <c r="Q247" t="str">
        <f>+IFERROR(VLOOKUP(Q48,IN_Zugliste!$A$4:$E$2002,5,FALSE),"")</f>
        <v/>
      </c>
      <c r="R247" t="str">
        <f>+IFERROR(VLOOKUP(R48,IN_Zugliste!$A$4:$E$2002,5,FALSE),"")</f>
        <v/>
      </c>
      <c r="S247" t="str">
        <f>+IFERROR(VLOOKUP(S48,IN_Zugliste!$A$4:$E$2002,5,FALSE),"")</f>
        <v/>
      </c>
      <c r="T247" t="str">
        <f>+IFERROR(VLOOKUP(T48,IN_Zugliste!$A$4:$E$2002,5,FALSE),"")</f>
        <v/>
      </c>
      <c r="U247" t="str">
        <f>+IFERROR(VLOOKUP(U48,IN_Zugliste!$A$4:$E$2002,5,FALSE),"")</f>
        <v/>
      </c>
      <c r="V247" t="str">
        <f>+IFERROR(VLOOKUP(V48,IN_Zugliste!$A$4:$E$2002,5,FALSE),"")</f>
        <v/>
      </c>
      <c r="W247" t="str">
        <f>+IFERROR(VLOOKUP(W48,IN_Zugliste!$A$4:$E$2002,5,FALSE),"")</f>
        <v/>
      </c>
      <c r="X247" t="str">
        <f>+IFERROR(VLOOKUP(X48,IN_Zugliste!$A$4:$E$2002,5,FALSE),"")</f>
        <v/>
      </c>
      <c r="Y247" t="str">
        <f>+IFERROR(VLOOKUP(Y48,IN_Zugliste!$A$4:$E$2002,5,FALSE),"")</f>
        <v/>
      </c>
      <c r="Z247" t="str">
        <f>+IFERROR(VLOOKUP(Z48,IN_Zugliste!$A$4:$E$2002,5,FALSE),"")</f>
        <v/>
      </c>
      <c r="AA247" t="str">
        <f>+IFERROR(VLOOKUP(AA48,IN_Zugliste!$A$4:$E$2002,5,FALSE),"")</f>
        <v/>
      </c>
      <c r="AB247" t="str">
        <f>+IFERROR(VLOOKUP(AB48,IN_Zugliste!$A$4:$E$2002,5,FALSE),"")</f>
        <v/>
      </c>
      <c r="AC247" t="str">
        <f>+IFERROR(VLOOKUP(AC48,IN_Zugliste!$A$4:$E$2002,5,FALSE),"")</f>
        <v/>
      </c>
      <c r="AD247" t="str">
        <f>+IFERROR(VLOOKUP(AD48,IN_Zugliste!$A$4:$E$2002,5,FALSE),"")</f>
        <v/>
      </c>
      <c r="AE247" t="str">
        <f>+IFERROR(VLOOKUP(AE48,IN_Zugliste!$A$4:$E$2002,5,FALSE),"")</f>
        <v/>
      </c>
      <c r="AF247" t="str">
        <f>+IFERROR(VLOOKUP(AF48,IN_Zugliste!$A$4:$E$2002,5,FALSE),"")</f>
        <v/>
      </c>
      <c r="AG247" t="str">
        <f>+IFERROR(VLOOKUP(AG48,IN_Zugliste!$A$4:$E$2002,5,FALSE),"")</f>
        <v/>
      </c>
      <c r="AH247" t="str">
        <f>+IFERROR(VLOOKUP(AH48,IN_Zugliste!$A$4:$E$2002,5,FALSE),"")</f>
        <v/>
      </c>
      <c r="AI247" t="str">
        <f>+IFERROR(VLOOKUP(AI48,IN_Zugliste!$A$4:$E$2002,5,FALSE),"")</f>
        <v/>
      </c>
      <c r="AJ247" t="str">
        <f>+IFERROR(VLOOKUP(AJ48,IN_Zugliste!$A$4:$E$2002,5,FALSE),"")</f>
        <v/>
      </c>
      <c r="AK247" t="str">
        <f>+IFERROR(VLOOKUP(AK48,IN_Zugliste!$A$4:$E$2002,5,FALSE),"")</f>
        <v/>
      </c>
      <c r="AL247" t="str">
        <f>+IFERROR(VLOOKUP(AL48,IN_Zugliste!$A$4:$E$2002,5,FALSE),"")</f>
        <v/>
      </c>
      <c r="AM247" t="str">
        <f>+IFERROR(VLOOKUP(AM48,IN_Zugliste!$A$4:$E$2002,5,FALSE),"")</f>
        <v/>
      </c>
      <c r="AN247" t="str">
        <f>+IFERROR(VLOOKUP(AN48,IN_Zugliste!$A$4:$E$2002,5,FALSE),"")</f>
        <v/>
      </c>
      <c r="AO247" t="str">
        <f>+IFERROR(VLOOKUP(AO48,IN_Zugliste!$A$4:$E$2002,5,FALSE),"")</f>
        <v/>
      </c>
      <c r="AP247" t="str">
        <f>+IFERROR(VLOOKUP(AP48,IN_Zugliste!$A$4:$E$2002,5,FALSE),"")</f>
        <v/>
      </c>
      <c r="AQ247" t="str">
        <f>+IFERROR(VLOOKUP(AQ48,IN_Zugliste!$A$4:$E$2002,5,FALSE),"")</f>
        <v/>
      </c>
      <c r="AR247" t="str">
        <f>+IFERROR(VLOOKUP(AR48,IN_Zugliste!$A$4:$E$2002,5,FALSE),"")</f>
        <v/>
      </c>
      <c r="AS247" t="str">
        <f>+IFERROR(VLOOKUP(AS48,IN_Zugliste!$A$4:$E$2002,5,FALSE),"")</f>
        <v/>
      </c>
      <c r="AT247" t="str">
        <f>+IFERROR(VLOOKUP(AT48,IN_Zugliste!$A$4:$E$2002,5,FALSE),"")</f>
        <v/>
      </c>
      <c r="AU247" t="str">
        <f>+IFERROR(VLOOKUP(AU48,IN_Zugliste!$A$4:$E$2002,5,FALSE),"")</f>
        <v/>
      </c>
      <c r="AV247" t="str">
        <f>+IFERROR(VLOOKUP(AV48,IN_Zugliste!$A$4:$E$2002,5,FALSE),"")</f>
        <v/>
      </c>
      <c r="AW247" t="str">
        <f>+IFERROR(VLOOKUP(AW48,IN_Zugliste!$A$4:$E$2002,5,FALSE),"")</f>
        <v/>
      </c>
      <c r="AX247" t="str">
        <f>+IFERROR(VLOOKUP(AX48,IN_Zugliste!$A$4:$E$2002,5,FALSE),"")</f>
        <v/>
      </c>
      <c r="AY247" t="str">
        <f>+IFERROR(VLOOKUP(AY48,IN_Zugliste!$A$4:$E$2002,5,FALSE),"")</f>
        <v/>
      </c>
      <c r="AZ247" t="str">
        <f>+IFERROR(VLOOKUP(AZ48,IN_Zugliste!$A$4:$E$2002,5,FALSE),"")</f>
        <v/>
      </c>
      <c r="BA247" t="str">
        <f>+IFERROR(VLOOKUP(BA48,IN_Zugliste!$A$4:$E$2002,5,FALSE),"")</f>
        <v/>
      </c>
      <c r="BB247" t="str">
        <f>+IFERROR(VLOOKUP(BB48,IN_Zugliste!$A$4:$E$2002,5,FALSE),"")</f>
        <v/>
      </c>
      <c r="BC247" t="str">
        <f>+IFERROR(VLOOKUP(BC48,IN_Zugliste!$A$4:$E$2002,5,FALSE),"")</f>
        <v/>
      </c>
      <c r="BD247" t="str">
        <f>+IFERROR(VLOOKUP(BD48,IN_Zugliste!$A$4:$E$2002,5,FALSE),"")</f>
        <v/>
      </c>
      <c r="BE247" t="str">
        <f>+IFERROR(VLOOKUP(BE48,IN_Zugliste!$A$4:$E$2002,5,FALSE),"")</f>
        <v/>
      </c>
      <c r="BF247" t="str">
        <f>+IFERROR(VLOOKUP(BF48,IN_Zugliste!$A$4:$E$2002,5,FALSE),"")</f>
        <v/>
      </c>
      <c r="BG247" t="str">
        <f>+IFERROR(VLOOKUP(BG48,IN_Zugliste!$A$4:$E$2002,5,FALSE),"")</f>
        <v/>
      </c>
      <c r="BH247" t="str">
        <f>+IFERROR(VLOOKUP(BH48,IN_Zugliste!$A$4:$E$2002,5,FALSE),"")</f>
        <v/>
      </c>
      <c r="BI247" t="str">
        <f>+IFERROR(VLOOKUP(BI48,IN_Zugliste!$A$4:$E$2002,5,FALSE),"")</f>
        <v/>
      </c>
      <c r="BJ247" t="str">
        <f>+IFERROR(VLOOKUP(BJ48,IN_Zugliste!$A$4:$E$2002,5,FALSE),"")</f>
        <v/>
      </c>
      <c r="BK247" t="str">
        <f>+IFERROR(VLOOKUP(BK48,IN_Zugliste!$A$4:$E$2002,5,FALSE),"")</f>
        <v/>
      </c>
      <c r="BL247" t="str">
        <f>+IFERROR(VLOOKUP(BL48,IN_Zugliste!$A$4:$E$2002,5,FALSE),"")</f>
        <v/>
      </c>
      <c r="BM247" t="str">
        <f>+IFERROR(VLOOKUP(BM48,IN_Zugliste!$A$4:$E$2002,5,FALSE),"")</f>
        <v/>
      </c>
      <c r="BN247" t="str">
        <f>+IFERROR(VLOOKUP(BN48,IN_Zugliste!$A$4:$E$2002,5,FALSE),"")</f>
        <v/>
      </c>
      <c r="BO247" t="str">
        <f>+IFERROR(VLOOKUP(BO48,IN_Zugliste!$A$4:$E$2002,5,FALSE),"")</f>
        <v/>
      </c>
      <c r="BP247" t="str">
        <f>+IFERROR(VLOOKUP(BP48,IN_Zugliste!$A$4:$E$2002,5,FALSE),"")</f>
        <v/>
      </c>
      <c r="BQ247" t="str">
        <f>+IFERROR(VLOOKUP(BQ48,IN_Zugliste!$A$4:$E$2002,5,FALSE),"")</f>
        <v/>
      </c>
      <c r="BR247" t="str">
        <f>+IFERROR(VLOOKUP(BR48,IN_Zugliste!$A$4:$E$2002,5,FALSE),"")</f>
        <v/>
      </c>
      <c r="BS247" t="str">
        <f>+IFERROR(VLOOKUP(BS48,IN_Zugliste!$A$4:$E$2002,5,FALSE),"")</f>
        <v/>
      </c>
      <c r="BT247" t="str">
        <f>+IFERROR(VLOOKUP(BT48,IN_Zugliste!$A$4:$E$2002,5,FALSE),"")</f>
        <v/>
      </c>
      <c r="BU247" t="str">
        <f>+IFERROR(VLOOKUP(BU48,IN_Zugliste!$A$4:$E$2002,5,FALSE),"")</f>
        <v/>
      </c>
      <c r="BV247" t="str">
        <f>+IFERROR(VLOOKUP(BV48,IN_Zugliste!$A$4:$E$2002,5,FALSE),"")</f>
        <v/>
      </c>
      <c r="BW247" t="str">
        <f>+IFERROR(VLOOKUP(BW48,IN_Zugliste!$A$4:$E$2002,5,FALSE),"")</f>
        <v/>
      </c>
      <c r="BX247" t="str">
        <f>+IFERROR(VLOOKUP(BX48,IN_Zugliste!$A$4:$E$2002,5,FALSE),"")</f>
        <v/>
      </c>
      <c r="BY247" t="str">
        <f>+IFERROR(VLOOKUP(BY48,IN_Zugliste!$A$4:$E$2002,5,FALSE),"")</f>
        <v/>
      </c>
      <c r="BZ247" t="str">
        <f>+IFERROR(VLOOKUP(BZ48,IN_Zugliste!$A$4:$E$2002,5,FALSE),"")</f>
        <v/>
      </c>
      <c r="CA247" t="str">
        <f>+IFERROR(VLOOKUP(CA48,IN_Zugliste!$A$4:$E$2002,5,FALSE),"")</f>
        <v/>
      </c>
      <c r="CB247" t="str">
        <f>+IFERROR(VLOOKUP(CB48,IN_Zugliste!$A$4:$E$2002,5,FALSE),"")</f>
        <v/>
      </c>
      <c r="CC247" t="str">
        <f>+IFERROR(VLOOKUP(CC48,IN_Zugliste!$A$4:$E$2002,5,FALSE),"")</f>
        <v/>
      </c>
      <c r="CD247" t="str">
        <f>+IFERROR(VLOOKUP(CD48,IN_Zugliste!$A$4:$E$2002,5,FALSE),"")</f>
        <v/>
      </c>
      <c r="CE247" t="str">
        <f>+IFERROR(VLOOKUP(CE48,IN_Zugliste!$A$4:$E$2002,5,FALSE),"")</f>
        <v/>
      </c>
      <c r="CF247" t="str">
        <f>+IFERROR(VLOOKUP(CF48,IN_Zugliste!$A$4:$E$2002,5,FALSE),"")</f>
        <v/>
      </c>
      <c r="CG247" t="str">
        <f>+IFERROR(VLOOKUP(CG48,IN_Zugliste!$A$4:$E$2002,5,FALSE),"")</f>
        <v/>
      </c>
      <c r="CH247" t="str">
        <f>+IFERROR(VLOOKUP(CH48,IN_Zugliste!$A$4:$E$2002,5,FALSE),"")</f>
        <v/>
      </c>
      <c r="CI247" t="str">
        <f>+IFERROR(VLOOKUP(CI48,IN_Zugliste!$A$4:$E$2002,5,FALSE),"")</f>
        <v/>
      </c>
      <c r="CJ247" t="str">
        <f>+IFERROR(VLOOKUP(CJ48,IN_Zugliste!$A$4:$E$2002,5,FALSE),"")</f>
        <v/>
      </c>
      <c r="CK247" t="str">
        <f>+IFERROR(VLOOKUP(CK48,IN_Zugliste!$A$4:$E$2002,5,FALSE),"")</f>
        <v/>
      </c>
      <c r="CL247" t="str">
        <f>+IFERROR(VLOOKUP(CL48,IN_Zugliste!$A$4:$E$2002,5,FALSE),"")</f>
        <v/>
      </c>
      <c r="CM247" t="str">
        <f>+IFERROR(VLOOKUP(CM48,IN_Zugliste!$A$4:$E$2002,5,FALSE),"")</f>
        <v/>
      </c>
      <c r="CN247" t="str">
        <f>+IFERROR(VLOOKUP(CN48,IN_Zugliste!$A$4:$E$2002,5,FALSE),"")</f>
        <v/>
      </c>
      <c r="CO247" t="str">
        <f>+IFERROR(VLOOKUP(CO48,IN_Zugliste!$A$4:$E$2002,5,FALSE),"")</f>
        <v/>
      </c>
      <c r="CP247" t="str">
        <f>+IFERROR(VLOOKUP(CP48,IN_Zugliste!$A$4:$E$2002,5,FALSE),"")</f>
        <v/>
      </c>
      <c r="CQ247" t="str">
        <f>+IFERROR(VLOOKUP(CQ48,IN_Zugliste!$A$4:$E$2002,5,FALSE),"")</f>
        <v/>
      </c>
      <c r="CR247" t="str">
        <f>+IFERROR(VLOOKUP(CR48,IN_Zugliste!$A$4:$E$2002,5,FALSE),"")</f>
        <v/>
      </c>
      <c r="CS247" t="str">
        <f>+IFERROR(VLOOKUP(CS48,IN_Zugliste!$A$4:$E$2002,5,FALSE),"")</f>
        <v/>
      </c>
      <c r="CT247" t="str">
        <f>+IFERROR(VLOOKUP(CT48,IN_Zugliste!$A$4:$E$2002,5,FALSE),"")</f>
        <v/>
      </c>
      <c r="CU247" t="str">
        <f>+IFERROR(VLOOKUP(CU48,IN_Zugliste!$A$4:$E$2002,5,FALSE),"")</f>
        <v/>
      </c>
      <c r="CV247" t="str">
        <f>+IFERROR(VLOOKUP(CV48,IN_Zugliste!$A$4:$E$2002,5,FALSE),"")</f>
        <v/>
      </c>
      <c r="CW247" t="str">
        <f>+IFERROR(VLOOKUP(CW48,IN_Zugliste!$A$4:$E$2002,5,FALSE),"")</f>
        <v/>
      </c>
      <c r="CX247" t="str">
        <f>+IFERROR(VLOOKUP(CX48,IN_Zugliste!$A$4:$E$2002,5,FALSE),"")</f>
        <v/>
      </c>
      <c r="CY247" t="str">
        <f>+IFERROR(VLOOKUP(CY48,IN_Zugliste!$A$4:$E$2002,5,FALSE),"")</f>
        <v/>
      </c>
      <c r="CZ247" t="str">
        <f>+IFERROR(VLOOKUP(CZ48,IN_Zugliste!$A$4:$E$2002,5,FALSE),"")</f>
        <v/>
      </c>
      <c r="DA247" t="str">
        <f>+IFERROR(VLOOKUP(DA48,IN_Zugliste!$A$4:$E$2002,5,FALSE),"")</f>
        <v/>
      </c>
      <c r="DB247" t="str">
        <f>+IFERROR(VLOOKUP(DB48,IN_Zugliste!$A$4:$E$2002,5,FALSE),"")</f>
        <v/>
      </c>
      <c r="DC247" t="str">
        <f>+IFERROR(VLOOKUP(DC48,IN_Zugliste!$A$4:$E$2002,5,FALSE),"")</f>
        <v/>
      </c>
      <c r="DD247" t="str">
        <f>+IFERROR(VLOOKUP(DD48,IN_Zugliste!$A$4:$E$2002,5,FALSE),"")</f>
        <v/>
      </c>
      <c r="DE247" t="str">
        <f>+IFERROR(VLOOKUP(DE48,IN_Zugliste!$A$4:$E$2002,5,FALSE),"")</f>
        <v/>
      </c>
      <c r="DF247" t="str">
        <f>+IFERROR(VLOOKUP(DF48,IN_Zugliste!$A$4:$E$2002,5,FALSE),"")</f>
        <v/>
      </c>
      <c r="DG247" t="str">
        <f>+IFERROR(VLOOKUP(DG48,IN_Zugliste!$A$4:$E$2002,5,FALSE),"")</f>
        <v/>
      </c>
      <c r="DH247" t="str">
        <f>+IFERROR(VLOOKUP(DH48,IN_Zugliste!$A$4:$E$2002,5,FALSE),"")</f>
        <v/>
      </c>
      <c r="DI247" t="str">
        <f>+IFERROR(VLOOKUP(DI48,IN_Zugliste!$A$4:$E$2002,5,FALSE),"")</f>
        <v/>
      </c>
      <c r="DJ247" t="str">
        <f>+IFERROR(VLOOKUP(DJ48,IN_Zugliste!$A$4:$E$2002,5,FALSE),"")</f>
        <v/>
      </c>
      <c r="DK247" t="str">
        <f>+IFERROR(VLOOKUP(DK48,IN_Zugliste!$A$4:$E$2002,5,FALSE),"")</f>
        <v/>
      </c>
      <c r="DL247" t="str">
        <f>+IFERROR(VLOOKUP(DL48,IN_Zugliste!$A$4:$E$2002,5,FALSE),"")</f>
        <v/>
      </c>
      <c r="DM247" t="str">
        <f>+IFERROR(VLOOKUP(DM48,IN_Zugliste!$A$4:$E$2002,5,FALSE),"")</f>
        <v/>
      </c>
      <c r="DN247" t="str">
        <f>+IFERROR(VLOOKUP(DN48,IN_Zugliste!$A$4:$E$2002,5,FALSE),"")</f>
        <v/>
      </c>
      <c r="DO247" t="str">
        <f>+IFERROR(VLOOKUP(DO48,IN_Zugliste!$A$4:$E$2002,5,FALSE),"")</f>
        <v/>
      </c>
      <c r="DP247" t="str">
        <f>+IFERROR(VLOOKUP(DP48,IN_Zugliste!$A$4:$E$2002,5,FALSE),"")</f>
        <v/>
      </c>
      <c r="DQ247" t="str">
        <f>+IFERROR(VLOOKUP(DQ48,IN_Zugliste!$A$4:$E$2002,5,FALSE),"")</f>
        <v/>
      </c>
      <c r="DR247" t="str">
        <f>+IFERROR(VLOOKUP(DR48,IN_Zugliste!$A$4:$E$2002,5,FALSE),"")</f>
        <v/>
      </c>
      <c r="DS247" t="str">
        <f>+IFERROR(VLOOKUP(DS48,IN_Zugliste!$A$4:$E$2002,5,FALSE),"")</f>
        <v/>
      </c>
      <c r="DT247" t="str">
        <f>+IFERROR(VLOOKUP(DT48,IN_Zugliste!$A$4:$E$2002,5,FALSE),"")</f>
        <v/>
      </c>
      <c r="DU247" t="str">
        <f>+IFERROR(VLOOKUP(DU48,IN_Zugliste!$A$4:$E$2002,5,FALSE),"")</f>
        <v/>
      </c>
      <c r="DV247" t="str">
        <f>+IFERROR(VLOOKUP(DV48,IN_Zugliste!$A$4:$E$2002,5,FALSE),"")</f>
        <v/>
      </c>
      <c r="DW247" t="str">
        <f>+IFERROR(VLOOKUP(DW48,IN_Zugliste!$A$4:$E$2002,5,FALSE),"")</f>
        <v/>
      </c>
      <c r="DX247" t="str">
        <f>+IFERROR(VLOOKUP(DX48,IN_Zugliste!$A$4:$E$2002,5,FALSE),"")</f>
        <v/>
      </c>
      <c r="DY247" t="str">
        <f>+IFERROR(VLOOKUP(DY48,IN_Zugliste!$A$4:$E$2002,5,FALSE),"")</f>
        <v/>
      </c>
      <c r="DZ247" t="str">
        <f>+IFERROR(VLOOKUP(DZ48,IN_Zugliste!$A$4:$E$2002,5,FALSE),"")</f>
        <v/>
      </c>
      <c r="EA247" t="str">
        <f>+IFERROR(VLOOKUP(EA48,IN_Zugliste!$A$4:$E$2002,5,FALSE),"")</f>
        <v/>
      </c>
      <c r="EB247" t="str">
        <f>+IFERROR(VLOOKUP(EB48,IN_Zugliste!$A$4:$E$2002,5,FALSE),"")</f>
        <v/>
      </c>
      <c r="EC247" t="str">
        <f>+IFERROR(VLOOKUP(EC48,IN_Zugliste!$A$4:$E$2002,5,FALSE),"")</f>
        <v/>
      </c>
      <c r="ED247" t="str">
        <f>+IFERROR(VLOOKUP(ED48,IN_Zugliste!$A$4:$E$2002,5,FALSE),"")</f>
        <v/>
      </c>
      <c r="EE247" t="str">
        <f>+IFERROR(VLOOKUP(EE48,IN_Zugliste!$A$4:$E$2002,5,FALSE),"")</f>
        <v/>
      </c>
      <c r="EF247" t="str">
        <f>+IFERROR(VLOOKUP(EF48,IN_Zugliste!$A$4:$E$2002,5,FALSE),"")</f>
        <v/>
      </c>
      <c r="EG247" t="str">
        <f>+IFERROR(VLOOKUP(EG48,IN_Zugliste!$A$4:$E$2002,5,FALSE),"")</f>
        <v/>
      </c>
      <c r="EH247" t="str">
        <f>+IFERROR(VLOOKUP(EH48,IN_Zugliste!$A$4:$E$2002,5,FALSE),"")</f>
        <v/>
      </c>
      <c r="EI247" t="str">
        <f>+IFERROR(VLOOKUP(EI48,IN_Zugliste!$A$4:$E$2002,5,FALSE),"")</f>
        <v/>
      </c>
      <c r="EJ247" t="str">
        <f>+IFERROR(VLOOKUP(EJ48,IN_Zugliste!$A$4:$E$2002,5,FALSE),"")</f>
        <v/>
      </c>
      <c r="EK247" t="str">
        <f>+IFERROR(VLOOKUP(EK48,IN_Zugliste!$A$4:$E$2002,5,FALSE),"")</f>
        <v/>
      </c>
      <c r="EL247" t="str">
        <f>+IFERROR(VLOOKUP(EL48,IN_Zugliste!$A$4:$E$2002,5,FALSE),"")</f>
        <v/>
      </c>
      <c r="EM247" t="str">
        <f>+IFERROR(VLOOKUP(EM48,IN_Zugliste!$A$4:$E$2002,5,FALSE),"")</f>
        <v/>
      </c>
      <c r="EN247" t="str">
        <f>+IFERROR(VLOOKUP(EN48,IN_Zugliste!$A$4:$E$2002,5,FALSE),"")</f>
        <v/>
      </c>
      <c r="EO247" t="str">
        <f>+IFERROR(VLOOKUP(EO48,IN_Zugliste!$A$4:$E$2002,5,FALSE),"")</f>
        <v/>
      </c>
      <c r="EP247" t="str">
        <f>+IFERROR(VLOOKUP(EP48,IN_Zugliste!$A$4:$E$2002,5,FALSE),"")</f>
        <v/>
      </c>
      <c r="EQ247" t="str">
        <f>+IFERROR(VLOOKUP(EQ48,IN_Zugliste!$A$4:$E$2002,5,FALSE),"")</f>
        <v/>
      </c>
      <c r="ER247" t="str">
        <f>+IFERROR(VLOOKUP(ER48,IN_Zugliste!$A$4:$E$2002,5,FALSE),"")</f>
        <v/>
      </c>
      <c r="ES247" t="str">
        <f>+IFERROR(VLOOKUP(ES48,IN_Zugliste!$A$4:$E$2002,5,FALSE),"")</f>
        <v/>
      </c>
      <c r="ET247" t="str">
        <f>+IFERROR(VLOOKUP(ET48,IN_Zugliste!$A$4:$E$2002,5,FALSE),"")</f>
        <v/>
      </c>
      <c r="EU247" t="str">
        <f>+IFERROR(VLOOKUP(EU48,IN_Zugliste!$A$4:$E$2002,5,FALSE),"")</f>
        <v/>
      </c>
      <c r="EV247" t="str">
        <f>+IFERROR(VLOOKUP(EV48,IN_Zugliste!$A$4:$E$2002,5,FALSE),"")</f>
        <v/>
      </c>
      <c r="EW247" t="str">
        <f>+IFERROR(VLOOKUP(EW48,IN_Zugliste!$A$4:$E$2002,5,FALSE),"")</f>
        <v/>
      </c>
      <c r="EX247" t="str">
        <f>+IFERROR(VLOOKUP(EX48,IN_Zugliste!$A$4:$E$2002,5,FALSE),"")</f>
        <v/>
      </c>
      <c r="EY247" t="str">
        <f>+IFERROR(VLOOKUP(EY48,IN_Zugliste!$A$4:$E$2002,5,FALSE),"")</f>
        <v/>
      </c>
      <c r="EZ247" t="str">
        <f>+IFERROR(VLOOKUP(EZ48,IN_Zugliste!$A$4:$E$2002,5,FALSE),"")</f>
        <v/>
      </c>
      <c r="FA247" t="str">
        <f>+IFERROR(VLOOKUP(FA48,IN_Zugliste!$A$4:$E$2002,5,FALSE),"")</f>
        <v/>
      </c>
      <c r="FB247" t="str">
        <f>+IFERROR(VLOOKUP(FB48,IN_Zugliste!$A$4:$E$2002,5,FALSE),"")</f>
        <v/>
      </c>
      <c r="FC247" t="str">
        <f>+IFERROR(VLOOKUP(FC48,IN_Zugliste!$A$4:$E$2002,5,FALSE),"")</f>
        <v/>
      </c>
      <c r="FD247" t="str">
        <f>+IFERROR(VLOOKUP(FD48,IN_Zugliste!$A$4:$E$2002,5,FALSE),"")</f>
        <v/>
      </c>
      <c r="FE247" t="str">
        <f>+IFERROR(VLOOKUP(FE48,IN_Zugliste!$A$4:$E$2002,5,FALSE),"")</f>
        <v/>
      </c>
      <c r="FF247" t="str">
        <f>+IFERROR(VLOOKUP(FF48,IN_Zugliste!$A$4:$E$2002,5,FALSE),"")</f>
        <v/>
      </c>
      <c r="FG247" t="str">
        <f>+IFERROR(VLOOKUP(FG48,IN_Zugliste!$A$4:$E$2002,5,FALSE),"")</f>
        <v/>
      </c>
      <c r="FH247" t="str">
        <f>+IFERROR(VLOOKUP(FH48,IN_Zugliste!$A$4:$E$2002,5,FALSE),"")</f>
        <v/>
      </c>
      <c r="FI247" t="str">
        <f>+IFERROR(VLOOKUP(FI48,IN_Zugliste!$A$4:$E$2002,5,FALSE),"")</f>
        <v/>
      </c>
      <c r="FJ247" t="str">
        <f>+IFERROR(VLOOKUP(FJ48,IN_Zugliste!$A$4:$E$2002,5,FALSE),"")</f>
        <v/>
      </c>
      <c r="FK247" t="str">
        <f>+IFERROR(VLOOKUP(FK48,IN_Zugliste!$A$4:$E$2002,5,FALSE),"")</f>
        <v/>
      </c>
      <c r="FL247" t="str">
        <f>+IFERROR(VLOOKUP(FL48,IN_Zugliste!$A$4:$E$2002,5,FALSE),"")</f>
        <v/>
      </c>
      <c r="FM247" t="str">
        <f>+IFERROR(VLOOKUP(FM48,IN_Zugliste!$A$4:$D$2002,5,FALSE),"")</f>
        <v/>
      </c>
      <c r="FN247" t="str">
        <f>+IFERROR(VLOOKUP(FN48,IN_Zugliste!$A$4:$D$2002,5,FALSE),"")</f>
        <v/>
      </c>
      <c r="FO247" t="str">
        <f>+IFERROR(VLOOKUP(FO48,IN_Zugliste!$A$4:$D$2002,5,FALSE),"")</f>
        <v/>
      </c>
      <c r="FP247" t="str">
        <f>+IFERROR(VLOOKUP(FP48,IN_Zugliste!$A$4:$D$2002,5,FALSE),"")</f>
        <v/>
      </c>
      <c r="FQ247" t="str">
        <f>+IFERROR(VLOOKUP(FQ48,IN_Zugliste!$A$4:$D$2002,5,FALSE),"")</f>
        <v/>
      </c>
      <c r="FR247" t="str">
        <f>+IFERROR(VLOOKUP(FR48,IN_Zugliste!$A$4:$D$2002,5,FALSE),"")</f>
        <v/>
      </c>
      <c r="FS247" t="str">
        <f>+IFERROR(VLOOKUP(FS48,IN_Zugliste!$A$4:$D$2002,5,FALSE),"")</f>
        <v/>
      </c>
      <c r="FT247" t="str">
        <f>+IFERROR(VLOOKUP(FT48,IN_Zugliste!$A$4:$D$2002,5,FALSE),"")</f>
        <v/>
      </c>
      <c r="FU247" t="str">
        <f>+IFERROR(VLOOKUP(FU48,IN_Zugliste!$A$4:$D$2002,5,FALSE),"")</f>
        <v/>
      </c>
      <c r="FV247" t="str">
        <f>+IFERROR(VLOOKUP(FV48,IN_Zugliste!$A$4:$D$2002,5,FALSE),"")</f>
        <v/>
      </c>
      <c r="FW247" t="str">
        <f>+IFERROR(VLOOKUP(FW48,IN_Zugliste!$A$4:$D$2002,5,FALSE),"")</f>
        <v/>
      </c>
      <c r="FX247" t="str">
        <f>+IFERROR(VLOOKUP(FX48,IN_Zugliste!$A$4:$D$2002,5,FALSE),"")</f>
        <v/>
      </c>
      <c r="FY247" t="str">
        <f>+IFERROR(VLOOKUP(FY48,IN_Zugliste!$A$4:$D$2002,5,FALSE),"")</f>
        <v/>
      </c>
      <c r="FZ247" t="str">
        <f>+IFERROR(VLOOKUP(FZ48,IN_Zugliste!$A$4:$D$2002,5,FALSE),"")</f>
        <v/>
      </c>
      <c r="GA247" t="str">
        <f>+IFERROR(VLOOKUP(GA48,IN_Zugliste!$A$4:$D$2002,5,FALSE),"")</f>
        <v/>
      </c>
      <c r="GB247" t="str">
        <f>+IFERROR(VLOOKUP(GB48,IN_Zugliste!$A$4:$D$2002,5,FALSE),"")</f>
        <v/>
      </c>
      <c r="GC247" t="str">
        <f>+IFERROR(VLOOKUP(GC48,IN_Zugliste!$A$4:$D$2002,5,FALSE),"")</f>
        <v/>
      </c>
      <c r="GD247" t="str">
        <f>+IFERROR(VLOOKUP(GD48,IN_Zugliste!$A$4:$D$2002,5,FALSE),"")</f>
        <v/>
      </c>
      <c r="GE247" t="str">
        <f>+IFERROR(VLOOKUP(GE48,IN_Zugliste!$A$4:$D$2002,5,FALSE),"")</f>
        <v/>
      </c>
      <c r="GF247" t="str">
        <f>+IFERROR(VLOOKUP(GF48,IN_Zugliste!$A$4:$D$2002,5,FALSE),"")</f>
        <v/>
      </c>
      <c r="GG247" t="str">
        <f>+IFERROR(VLOOKUP(GG48,IN_Zugliste!$A$4:$D$2002,5,FALSE),"")</f>
        <v/>
      </c>
      <c r="GH247" t="str">
        <f>+IFERROR(VLOOKUP(GH48,IN_Zugliste!$A$4:$D$2002,5,FALSE),"")</f>
        <v/>
      </c>
      <c r="GI247" t="str">
        <f>+IFERROR(VLOOKUP(GI48,IN_Zugliste!$A$4:$D$2002,5,FALSE),"")</f>
        <v/>
      </c>
      <c r="GJ247" t="str">
        <f>+IFERROR(VLOOKUP(GJ48,IN_Zugliste!$A$4:$D$2002,5,FALSE),"")</f>
        <v/>
      </c>
      <c r="GK247" t="str">
        <f>+IFERROR(VLOOKUP(GK48,IN_Zugliste!$A$4:$D$2002,5,FALSE),"")</f>
        <v/>
      </c>
      <c r="GL247" t="str">
        <f>+IFERROR(VLOOKUP(GL48,IN_Zugliste!$A$4:$D$2002,5,FALSE),"")</f>
        <v/>
      </c>
      <c r="GM247" t="str">
        <f>+IFERROR(VLOOKUP(GM48,IN_Zugliste!$A$4:$D$2002,5,FALSE),"")</f>
        <v/>
      </c>
      <c r="GN247" t="str">
        <f>+IFERROR(VLOOKUP(GN48,IN_Zugliste!$A$4:$D$2002,5,FALSE),"")</f>
        <v/>
      </c>
      <c r="GO247" t="str">
        <f>+IFERROR(VLOOKUP(GO48,IN_Zugliste!$A$4:$D$2002,5,FALSE),"")</f>
        <v/>
      </c>
      <c r="GP247" t="str">
        <f>+IFERROR(VLOOKUP(GP48,IN_Zugliste!$A$4:$D$2002,5,FALSE),"")</f>
        <v/>
      </c>
      <c r="GQ247" t="str">
        <f>+IFERROR(VLOOKUP(GQ48,IN_Zugliste!$A$4:$D$2002,5,FALSE),"")</f>
        <v/>
      </c>
      <c r="GR247" t="str">
        <f>+IFERROR(VLOOKUP(GR48,IN_Zugliste!$A$4:$D$2002,5,FALSE),"")</f>
        <v/>
      </c>
      <c r="GS247" t="str">
        <f>+IFERROR(VLOOKUP(GS48,IN_Zugliste!$A$4:$D$2002,5,FALSE),"")</f>
        <v/>
      </c>
      <c r="GT247" t="str">
        <f>+IFERROR(VLOOKUP(GT48,IN_Zugliste!$A$4:$D$2002,5,FALSE),"")</f>
        <v/>
      </c>
      <c r="GU247" t="str">
        <f>+IFERROR(VLOOKUP(GU48,IN_Zugliste!$A$4:$D$2002,5,FALSE),"")</f>
        <v/>
      </c>
      <c r="GV247" t="str">
        <f>+IFERROR(VLOOKUP(GV48,IN_Zugliste!$A$4:$D$2002,5,FALSE),"")</f>
        <v/>
      </c>
      <c r="GW247" t="str">
        <f>+IFERROR(VLOOKUP(GW48,IN_Zugliste!$A$4:$D$2002,5,FALSE),"")</f>
        <v/>
      </c>
      <c r="GX247" t="str">
        <f>+IFERROR(VLOOKUP(GX48,IN_Zugliste!$A$4:$D$2002,5,FALSE),"")</f>
        <v/>
      </c>
      <c r="GY247" t="str">
        <f>+IFERROR(VLOOKUP(GY48,IN_Zugliste!$A$4:$D$2002,5,FALSE),"")</f>
        <v/>
      </c>
      <c r="GZ247" t="str">
        <f>+IFERROR(VLOOKUP(GZ48,IN_Zugliste!$A$4:$D$2002,5,FALSE),"")</f>
        <v/>
      </c>
      <c r="HA247" t="str">
        <f>+IFERROR(VLOOKUP(HA48,IN_Zugliste!$A$4:$D$2002,5,FALSE),"")</f>
        <v/>
      </c>
      <c r="HB247" t="str">
        <f>+IFERROR(VLOOKUP(HB48,IN_Zugliste!$A$4:$D$2002,5,FALSE),"")</f>
        <v/>
      </c>
      <c r="HC247" t="str">
        <f>+IFERROR(VLOOKUP(HC48,IN_Zugliste!$A$4:$D$2002,5,FALSE),"")</f>
        <v/>
      </c>
      <c r="HD247" t="str">
        <f>+IFERROR(VLOOKUP(HD48,IN_Zugliste!$A$4:$D$2002,5,FALSE),"")</f>
        <v/>
      </c>
      <c r="HE247" t="str">
        <f>+IFERROR(VLOOKUP(HE48,IN_Zugliste!$A$4:$D$2002,5,FALSE),"")</f>
        <v/>
      </c>
      <c r="HF247" t="str">
        <f>+IFERROR(VLOOKUP(HF48,IN_Zugliste!$A$4:$D$2002,5,FALSE),"")</f>
        <v/>
      </c>
      <c r="HG247" t="str">
        <f>+IFERROR(VLOOKUP(HG48,IN_Zugliste!$A$4:$D$2002,5,FALSE),"")</f>
        <v/>
      </c>
      <c r="HH247" t="str">
        <f>+IFERROR(VLOOKUP(HH48,IN_Zugliste!$A$4:$D$2002,5,FALSE),"")</f>
        <v/>
      </c>
    </row>
    <row r="248" spans="1:216" x14ac:dyDescent="0.2">
      <c r="A248" t="str">
        <f>+IFERROR(VLOOKUP(A49,IN_Zugliste!$A$4:$E$2002,5,FALSE),"")</f>
        <v/>
      </c>
      <c r="B248" t="str">
        <f>+IFERROR(VLOOKUP(B49,IN_Zugliste!$A$4:$E$2002,5,FALSE),"")</f>
        <v/>
      </c>
      <c r="C248" t="str">
        <f>+IFERROR(VLOOKUP(C49,IN_Zugliste!$A$4:$E$2002,5,FALSE),"")</f>
        <v/>
      </c>
      <c r="D248" t="str">
        <f>+IFERROR(VLOOKUP(D49,IN_Zugliste!$A$4:$E$2002,5,FALSE),"")</f>
        <v/>
      </c>
      <c r="E248" t="str">
        <f>+IFERROR(VLOOKUP(E49,IN_Zugliste!$A$4:$E$2002,5,FALSE),"")</f>
        <v/>
      </c>
      <c r="F248" t="str">
        <f>+IFERROR(VLOOKUP(F49,IN_Zugliste!$A$4:$E$2002,5,FALSE),"")</f>
        <v/>
      </c>
      <c r="G248" t="str">
        <f>+IFERROR(VLOOKUP(G49,IN_Zugliste!$A$4:$E$2002,5,FALSE),"")</f>
        <v/>
      </c>
      <c r="H248" t="str">
        <f>+IFERROR(VLOOKUP(H49,IN_Zugliste!$A$4:$E$2002,5,FALSE),"")</f>
        <v/>
      </c>
      <c r="I248" t="str">
        <f>+IFERROR(VLOOKUP(I49,IN_Zugliste!$A$4:$E$2002,5,FALSE),"")</f>
        <v/>
      </c>
      <c r="J248" t="str">
        <f>+IFERROR(VLOOKUP(J49,IN_Zugliste!$A$4:$E$2002,5,FALSE),"")</f>
        <v/>
      </c>
      <c r="K248" t="str">
        <f>+IFERROR(VLOOKUP(K49,IN_Zugliste!$A$4:$E$2002,5,FALSE),"")</f>
        <v/>
      </c>
      <c r="L248" t="str">
        <f>+IFERROR(VLOOKUP(L49,IN_Zugliste!$A$4:$E$2002,5,FALSE),"")</f>
        <v/>
      </c>
      <c r="M248" t="str">
        <f>+IFERROR(VLOOKUP(M49,IN_Zugliste!$A$4:$E$2002,5,FALSE),"")</f>
        <v/>
      </c>
      <c r="N248" t="str">
        <f>+IFERROR(VLOOKUP(N49,IN_Zugliste!$A$4:$E$2002,5,FALSE),"")</f>
        <v/>
      </c>
      <c r="O248" t="str">
        <f>+IFERROR(VLOOKUP(O49,IN_Zugliste!$A$4:$E$2002,5,FALSE),"")</f>
        <v/>
      </c>
      <c r="P248" t="str">
        <f>+IFERROR(VLOOKUP(P49,IN_Zugliste!$A$4:$E$2002,5,FALSE),"")</f>
        <v/>
      </c>
      <c r="Q248" t="str">
        <f>+IFERROR(VLOOKUP(Q49,IN_Zugliste!$A$4:$E$2002,5,FALSE),"")</f>
        <v/>
      </c>
      <c r="R248" t="str">
        <f>+IFERROR(VLOOKUP(R49,IN_Zugliste!$A$4:$E$2002,5,FALSE),"")</f>
        <v/>
      </c>
      <c r="S248" t="str">
        <f>+IFERROR(VLOOKUP(S49,IN_Zugliste!$A$4:$E$2002,5,FALSE),"")</f>
        <v/>
      </c>
      <c r="T248" t="str">
        <f>+IFERROR(VLOOKUP(T49,IN_Zugliste!$A$4:$E$2002,5,FALSE),"")</f>
        <v/>
      </c>
      <c r="U248" t="str">
        <f>+IFERROR(VLOOKUP(U49,IN_Zugliste!$A$4:$E$2002,5,FALSE),"")</f>
        <v/>
      </c>
      <c r="V248" t="str">
        <f>+IFERROR(VLOOKUP(V49,IN_Zugliste!$A$4:$E$2002,5,FALSE),"")</f>
        <v/>
      </c>
      <c r="W248" t="str">
        <f>+IFERROR(VLOOKUP(W49,IN_Zugliste!$A$4:$E$2002,5,FALSE),"")</f>
        <v/>
      </c>
      <c r="X248" t="str">
        <f>+IFERROR(VLOOKUP(X49,IN_Zugliste!$A$4:$E$2002,5,FALSE),"")</f>
        <v/>
      </c>
      <c r="Y248" t="str">
        <f>+IFERROR(VLOOKUP(Y49,IN_Zugliste!$A$4:$E$2002,5,FALSE),"")</f>
        <v/>
      </c>
      <c r="Z248" t="str">
        <f>+IFERROR(VLOOKUP(Z49,IN_Zugliste!$A$4:$E$2002,5,FALSE),"")</f>
        <v/>
      </c>
      <c r="AA248" t="str">
        <f>+IFERROR(VLOOKUP(AA49,IN_Zugliste!$A$4:$E$2002,5,FALSE),"")</f>
        <v/>
      </c>
      <c r="AB248" t="str">
        <f>+IFERROR(VLOOKUP(AB49,IN_Zugliste!$A$4:$E$2002,5,FALSE),"")</f>
        <v/>
      </c>
      <c r="AC248" t="str">
        <f>+IFERROR(VLOOKUP(AC49,IN_Zugliste!$A$4:$E$2002,5,FALSE),"")</f>
        <v/>
      </c>
      <c r="AD248" t="str">
        <f>+IFERROR(VLOOKUP(AD49,IN_Zugliste!$A$4:$E$2002,5,FALSE),"")</f>
        <v/>
      </c>
      <c r="AE248" t="str">
        <f>+IFERROR(VLOOKUP(AE49,IN_Zugliste!$A$4:$E$2002,5,FALSE),"")</f>
        <v/>
      </c>
      <c r="AF248" t="str">
        <f>+IFERROR(VLOOKUP(AF49,IN_Zugliste!$A$4:$E$2002,5,FALSE),"")</f>
        <v/>
      </c>
      <c r="AG248" t="str">
        <f>+IFERROR(VLOOKUP(AG49,IN_Zugliste!$A$4:$E$2002,5,FALSE),"")</f>
        <v/>
      </c>
      <c r="AH248" t="str">
        <f>+IFERROR(VLOOKUP(AH49,IN_Zugliste!$A$4:$E$2002,5,FALSE),"")</f>
        <v/>
      </c>
      <c r="AI248" t="str">
        <f>+IFERROR(VLOOKUP(AI49,IN_Zugliste!$A$4:$E$2002,5,FALSE),"")</f>
        <v/>
      </c>
      <c r="AJ248" t="str">
        <f>+IFERROR(VLOOKUP(AJ49,IN_Zugliste!$A$4:$E$2002,5,FALSE),"")</f>
        <v/>
      </c>
      <c r="AK248" t="str">
        <f>+IFERROR(VLOOKUP(AK49,IN_Zugliste!$A$4:$E$2002,5,FALSE),"")</f>
        <v/>
      </c>
      <c r="AL248" t="str">
        <f>+IFERROR(VLOOKUP(AL49,IN_Zugliste!$A$4:$E$2002,5,FALSE),"")</f>
        <v/>
      </c>
      <c r="AM248" t="str">
        <f>+IFERROR(VLOOKUP(AM49,IN_Zugliste!$A$4:$E$2002,5,FALSE),"")</f>
        <v/>
      </c>
      <c r="AN248" t="str">
        <f>+IFERROR(VLOOKUP(AN49,IN_Zugliste!$A$4:$E$2002,5,FALSE),"")</f>
        <v/>
      </c>
      <c r="AO248" t="str">
        <f>+IFERROR(VLOOKUP(AO49,IN_Zugliste!$A$4:$E$2002,5,FALSE),"")</f>
        <v/>
      </c>
      <c r="AP248" t="str">
        <f>+IFERROR(VLOOKUP(AP49,IN_Zugliste!$A$4:$E$2002,5,FALSE),"")</f>
        <v/>
      </c>
      <c r="AQ248" t="str">
        <f>+IFERROR(VLOOKUP(AQ49,IN_Zugliste!$A$4:$E$2002,5,FALSE),"")</f>
        <v/>
      </c>
      <c r="AR248" t="str">
        <f>+IFERROR(VLOOKUP(AR49,IN_Zugliste!$A$4:$E$2002,5,FALSE),"")</f>
        <v/>
      </c>
      <c r="AS248" t="str">
        <f>+IFERROR(VLOOKUP(AS49,IN_Zugliste!$A$4:$E$2002,5,FALSE),"")</f>
        <v/>
      </c>
      <c r="AT248" t="str">
        <f>+IFERROR(VLOOKUP(AT49,IN_Zugliste!$A$4:$E$2002,5,FALSE),"")</f>
        <v/>
      </c>
      <c r="AU248" t="str">
        <f>+IFERROR(VLOOKUP(AU49,IN_Zugliste!$A$4:$E$2002,5,FALSE),"")</f>
        <v/>
      </c>
      <c r="AV248" t="str">
        <f>+IFERROR(VLOOKUP(AV49,IN_Zugliste!$A$4:$E$2002,5,FALSE),"")</f>
        <v/>
      </c>
      <c r="AW248" t="str">
        <f>+IFERROR(VLOOKUP(AW49,IN_Zugliste!$A$4:$E$2002,5,FALSE),"")</f>
        <v/>
      </c>
      <c r="AX248" t="str">
        <f>+IFERROR(VLOOKUP(AX49,IN_Zugliste!$A$4:$E$2002,5,FALSE),"")</f>
        <v/>
      </c>
      <c r="AY248" t="str">
        <f>+IFERROR(VLOOKUP(AY49,IN_Zugliste!$A$4:$E$2002,5,FALSE),"")</f>
        <v/>
      </c>
      <c r="AZ248" t="str">
        <f>+IFERROR(VLOOKUP(AZ49,IN_Zugliste!$A$4:$E$2002,5,FALSE),"")</f>
        <v/>
      </c>
      <c r="BA248" t="str">
        <f>+IFERROR(VLOOKUP(BA49,IN_Zugliste!$A$4:$E$2002,5,FALSE),"")</f>
        <v/>
      </c>
      <c r="BB248" t="str">
        <f>+IFERROR(VLOOKUP(BB49,IN_Zugliste!$A$4:$E$2002,5,FALSE),"")</f>
        <v/>
      </c>
      <c r="BC248" t="str">
        <f>+IFERROR(VLOOKUP(BC49,IN_Zugliste!$A$4:$E$2002,5,FALSE),"")</f>
        <v/>
      </c>
      <c r="BD248" t="str">
        <f>+IFERROR(VLOOKUP(BD49,IN_Zugliste!$A$4:$E$2002,5,FALSE),"")</f>
        <v/>
      </c>
      <c r="BE248" t="str">
        <f>+IFERROR(VLOOKUP(BE49,IN_Zugliste!$A$4:$E$2002,5,FALSE),"")</f>
        <v/>
      </c>
      <c r="BF248" t="str">
        <f>+IFERROR(VLOOKUP(BF49,IN_Zugliste!$A$4:$E$2002,5,FALSE),"")</f>
        <v/>
      </c>
      <c r="BG248" t="str">
        <f>+IFERROR(VLOOKUP(BG49,IN_Zugliste!$A$4:$E$2002,5,FALSE),"")</f>
        <v/>
      </c>
      <c r="BH248" t="str">
        <f>+IFERROR(VLOOKUP(BH49,IN_Zugliste!$A$4:$E$2002,5,FALSE),"")</f>
        <v/>
      </c>
      <c r="BI248" t="str">
        <f>+IFERROR(VLOOKUP(BI49,IN_Zugliste!$A$4:$E$2002,5,FALSE),"")</f>
        <v/>
      </c>
      <c r="BJ248" t="str">
        <f>+IFERROR(VLOOKUP(BJ49,IN_Zugliste!$A$4:$E$2002,5,FALSE),"")</f>
        <v/>
      </c>
      <c r="BK248" t="str">
        <f>+IFERROR(VLOOKUP(BK49,IN_Zugliste!$A$4:$E$2002,5,FALSE),"")</f>
        <v/>
      </c>
      <c r="BL248" t="str">
        <f>+IFERROR(VLOOKUP(BL49,IN_Zugliste!$A$4:$E$2002,5,FALSE),"")</f>
        <v/>
      </c>
      <c r="BM248" t="str">
        <f>+IFERROR(VLOOKUP(BM49,IN_Zugliste!$A$4:$E$2002,5,FALSE),"")</f>
        <v/>
      </c>
      <c r="BN248" t="str">
        <f>+IFERROR(VLOOKUP(BN49,IN_Zugliste!$A$4:$E$2002,5,FALSE),"")</f>
        <v/>
      </c>
      <c r="BO248" t="str">
        <f>+IFERROR(VLOOKUP(BO49,IN_Zugliste!$A$4:$E$2002,5,FALSE),"")</f>
        <v/>
      </c>
      <c r="BP248" t="str">
        <f>+IFERROR(VLOOKUP(BP49,IN_Zugliste!$A$4:$E$2002,5,FALSE),"")</f>
        <v/>
      </c>
      <c r="BQ248" t="str">
        <f>+IFERROR(VLOOKUP(BQ49,IN_Zugliste!$A$4:$E$2002,5,FALSE),"")</f>
        <v/>
      </c>
      <c r="BR248" t="str">
        <f>+IFERROR(VLOOKUP(BR49,IN_Zugliste!$A$4:$E$2002,5,FALSE),"")</f>
        <v/>
      </c>
      <c r="BS248" t="str">
        <f>+IFERROR(VLOOKUP(BS49,IN_Zugliste!$A$4:$E$2002,5,FALSE),"")</f>
        <v/>
      </c>
      <c r="BT248" t="str">
        <f>+IFERROR(VLOOKUP(BT49,IN_Zugliste!$A$4:$E$2002,5,FALSE),"")</f>
        <v/>
      </c>
      <c r="BU248" t="str">
        <f>+IFERROR(VLOOKUP(BU49,IN_Zugliste!$A$4:$E$2002,5,FALSE),"")</f>
        <v/>
      </c>
      <c r="BV248" t="str">
        <f>+IFERROR(VLOOKUP(BV49,IN_Zugliste!$A$4:$E$2002,5,FALSE),"")</f>
        <v/>
      </c>
      <c r="BW248" t="str">
        <f>+IFERROR(VLOOKUP(BW49,IN_Zugliste!$A$4:$E$2002,5,FALSE),"")</f>
        <v/>
      </c>
      <c r="BX248" t="str">
        <f>+IFERROR(VLOOKUP(BX49,IN_Zugliste!$A$4:$E$2002,5,FALSE),"")</f>
        <v/>
      </c>
      <c r="BY248" t="str">
        <f>+IFERROR(VLOOKUP(BY49,IN_Zugliste!$A$4:$E$2002,5,FALSE),"")</f>
        <v/>
      </c>
      <c r="BZ248" t="str">
        <f>+IFERROR(VLOOKUP(BZ49,IN_Zugliste!$A$4:$E$2002,5,FALSE),"")</f>
        <v/>
      </c>
      <c r="CA248" t="str">
        <f>+IFERROR(VLOOKUP(CA49,IN_Zugliste!$A$4:$E$2002,5,FALSE),"")</f>
        <v/>
      </c>
      <c r="CB248" t="str">
        <f>+IFERROR(VLOOKUP(CB49,IN_Zugliste!$A$4:$E$2002,5,FALSE),"")</f>
        <v/>
      </c>
      <c r="CC248" t="str">
        <f>+IFERROR(VLOOKUP(CC49,IN_Zugliste!$A$4:$E$2002,5,FALSE),"")</f>
        <v/>
      </c>
      <c r="CD248" t="str">
        <f>+IFERROR(VLOOKUP(CD49,IN_Zugliste!$A$4:$E$2002,5,FALSE),"")</f>
        <v/>
      </c>
      <c r="CE248" t="str">
        <f>+IFERROR(VLOOKUP(CE49,IN_Zugliste!$A$4:$E$2002,5,FALSE),"")</f>
        <v/>
      </c>
      <c r="CF248" t="str">
        <f>+IFERROR(VLOOKUP(CF49,IN_Zugliste!$A$4:$E$2002,5,FALSE),"")</f>
        <v/>
      </c>
      <c r="CG248" t="str">
        <f>+IFERROR(VLOOKUP(CG49,IN_Zugliste!$A$4:$E$2002,5,FALSE),"")</f>
        <v/>
      </c>
      <c r="CH248" t="str">
        <f>+IFERROR(VLOOKUP(CH49,IN_Zugliste!$A$4:$E$2002,5,FALSE),"")</f>
        <v/>
      </c>
      <c r="CI248" t="str">
        <f>+IFERROR(VLOOKUP(CI49,IN_Zugliste!$A$4:$E$2002,5,FALSE),"")</f>
        <v/>
      </c>
      <c r="CJ248" t="str">
        <f>+IFERROR(VLOOKUP(CJ49,IN_Zugliste!$A$4:$E$2002,5,FALSE),"")</f>
        <v/>
      </c>
      <c r="CK248" t="str">
        <f>+IFERROR(VLOOKUP(CK49,IN_Zugliste!$A$4:$E$2002,5,FALSE),"")</f>
        <v/>
      </c>
      <c r="CL248" t="str">
        <f>+IFERROR(VLOOKUP(CL49,IN_Zugliste!$A$4:$E$2002,5,FALSE),"")</f>
        <v/>
      </c>
      <c r="CM248" t="str">
        <f>+IFERROR(VLOOKUP(CM49,IN_Zugliste!$A$4:$E$2002,5,FALSE),"")</f>
        <v/>
      </c>
      <c r="CN248" t="str">
        <f>+IFERROR(VLOOKUP(CN49,IN_Zugliste!$A$4:$E$2002,5,FALSE),"")</f>
        <v/>
      </c>
      <c r="CO248" t="str">
        <f>+IFERROR(VLOOKUP(CO49,IN_Zugliste!$A$4:$E$2002,5,FALSE),"")</f>
        <v/>
      </c>
      <c r="CP248" t="str">
        <f>+IFERROR(VLOOKUP(CP49,IN_Zugliste!$A$4:$E$2002,5,FALSE),"")</f>
        <v/>
      </c>
      <c r="CQ248" t="str">
        <f>+IFERROR(VLOOKUP(CQ49,IN_Zugliste!$A$4:$E$2002,5,FALSE),"")</f>
        <v/>
      </c>
      <c r="CR248" t="str">
        <f>+IFERROR(VLOOKUP(CR49,IN_Zugliste!$A$4:$E$2002,5,FALSE),"")</f>
        <v/>
      </c>
      <c r="CS248" t="str">
        <f>+IFERROR(VLOOKUP(CS49,IN_Zugliste!$A$4:$E$2002,5,FALSE),"")</f>
        <v/>
      </c>
      <c r="CT248" t="str">
        <f>+IFERROR(VLOOKUP(CT49,IN_Zugliste!$A$4:$E$2002,5,FALSE),"")</f>
        <v/>
      </c>
      <c r="CU248" t="str">
        <f>+IFERROR(VLOOKUP(CU49,IN_Zugliste!$A$4:$E$2002,5,FALSE),"")</f>
        <v/>
      </c>
      <c r="CV248" t="str">
        <f>+IFERROR(VLOOKUP(CV49,IN_Zugliste!$A$4:$E$2002,5,FALSE),"")</f>
        <v/>
      </c>
      <c r="CW248" t="str">
        <f>+IFERROR(VLOOKUP(CW49,IN_Zugliste!$A$4:$E$2002,5,FALSE),"")</f>
        <v/>
      </c>
      <c r="CX248" t="str">
        <f>+IFERROR(VLOOKUP(CX49,IN_Zugliste!$A$4:$E$2002,5,FALSE),"")</f>
        <v/>
      </c>
      <c r="CY248" t="str">
        <f>+IFERROR(VLOOKUP(CY49,IN_Zugliste!$A$4:$E$2002,5,FALSE),"")</f>
        <v/>
      </c>
      <c r="CZ248" t="str">
        <f>+IFERROR(VLOOKUP(CZ49,IN_Zugliste!$A$4:$E$2002,5,FALSE),"")</f>
        <v/>
      </c>
      <c r="DA248" t="str">
        <f>+IFERROR(VLOOKUP(DA49,IN_Zugliste!$A$4:$E$2002,5,FALSE),"")</f>
        <v/>
      </c>
      <c r="DB248" t="str">
        <f>+IFERROR(VLOOKUP(DB49,IN_Zugliste!$A$4:$E$2002,5,FALSE),"")</f>
        <v/>
      </c>
      <c r="DC248" t="str">
        <f>+IFERROR(VLOOKUP(DC49,IN_Zugliste!$A$4:$E$2002,5,FALSE),"")</f>
        <v/>
      </c>
      <c r="DD248" t="str">
        <f>+IFERROR(VLOOKUP(DD49,IN_Zugliste!$A$4:$E$2002,5,FALSE),"")</f>
        <v/>
      </c>
      <c r="DE248" t="str">
        <f>+IFERROR(VLOOKUP(DE49,IN_Zugliste!$A$4:$E$2002,5,FALSE),"")</f>
        <v/>
      </c>
      <c r="DF248" t="str">
        <f>+IFERROR(VLOOKUP(DF49,IN_Zugliste!$A$4:$E$2002,5,FALSE),"")</f>
        <v/>
      </c>
      <c r="DG248" t="str">
        <f>+IFERROR(VLOOKUP(DG49,IN_Zugliste!$A$4:$E$2002,5,FALSE),"")</f>
        <v/>
      </c>
      <c r="DH248" t="str">
        <f>+IFERROR(VLOOKUP(DH49,IN_Zugliste!$A$4:$E$2002,5,FALSE),"")</f>
        <v/>
      </c>
      <c r="DI248" t="str">
        <f>+IFERROR(VLOOKUP(DI49,IN_Zugliste!$A$4:$E$2002,5,FALSE),"")</f>
        <v/>
      </c>
      <c r="DJ248" t="str">
        <f>+IFERROR(VLOOKUP(DJ49,IN_Zugliste!$A$4:$E$2002,5,FALSE),"")</f>
        <v/>
      </c>
      <c r="DK248" t="str">
        <f>+IFERROR(VLOOKUP(DK49,IN_Zugliste!$A$4:$E$2002,5,FALSE),"")</f>
        <v/>
      </c>
      <c r="DL248" t="str">
        <f>+IFERROR(VLOOKUP(DL49,IN_Zugliste!$A$4:$E$2002,5,FALSE),"")</f>
        <v/>
      </c>
      <c r="DM248" t="str">
        <f>+IFERROR(VLOOKUP(DM49,IN_Zugliste!$A$4:$E$2002,5,FALSE),"")</f>
        <v/>
      </c>
      <c r="DN248" t="str">
        <f>+IFERROR(VLOOKUP(DN49,IN_Zugliste!$A$4:$E$2002,5,FALSE),"")</f>
        <v/>
      </c>
      <c r="DO248" t="str">
        <f>+IFERROR(VLOOKUP(DO49,IN_Zugliste!$A$4:$E$2002,5,FALSE),"")</f>
        <v/>
      </c>
      <c r="DP248" t="str">
        <f>+IFERROR(VLOOKUP(DP49,IN_Zugliste!$A$4:$E$2002,5,FALSE),"")</f>
        <v/>
      </c>
      <c r="DQ248" t="str">
        <f>+IFERROR(VLOOKUP(DQ49,IN_Zugliste!$A$4:$E$2002,5,FALSE),"")</f>
        <v/>
      </c>
      <c r="DR248" t="str">
        <f>+IFERROR(VLOOKUP(DR49,IN_Zugliste!$A$4:$E$2002,5,FALSE),"")</f>
        <v/>
      </c>
      <c r="DS248" t="str">
        <f>+IFERROR(VLOOKUP(DS49,IN_Zugliste!$A$4:$E$2002,5,FALSE),"")</f>
        <v/>
      </c>
      <c r="DT248" t="str">
        <f>+IFERROR(VLOOKUP(DT49,IN_Zugliste!$A$4:$E$2002,5,FALSE),"")</f>
        <v/>
      </c>
      <c r="DU248" t="str">
        <f>+IFERROR(VLOOKUP(DU49,IN_Zugliste!$A$4:$E$2002,5,FALSE),"")</f>
        <v/>
      </c>
      <c r="DV248" t="str">
        <f>+IFERROR(VLOOKUP(DV49,IN_Zugliste!$A$4:$E$2002,5,FALSE),"")</f>
        <v/>
      </c>
      <c r="DW248" t="str">
        <f>+IFERROR(VLOOKUP(DW49,IN_Zugliste!$A$4:$E$2002,5,FALSE),"")</f>
        <v/>
      </c>
      <c r="DX248" t="str">
        <f>+IFERROR(VLOOKUP(DX49,IN_Zugliste!$A$4:$E$2002,5,FALSE),"")</f>
        <v/>
      </c>
      <c r="DY248" t="str">
        <f>+IFERROR(VLOOKUP(DY49,IN_Zugliste!$A$4:$E$2002,5,FALSE),"")</f>
        <v/>
      </c>
      <c r="DZ248" t="str">
        <f>+IFERROR(VLOOKUP(DZ49,IN_Zugliste!$A$4:$E$2002,5,FALSE),"")</f>
        <v/>
      </c>
      <c r="EA248" t="str">
        <f>+IFERROR(VLOOKUP(EA49,IN_Zugliste!$A$4:$E$2002,5,FALSE),"")</f>
        <v/>
      </c>
      <c r="EB248" t="str">
        <f>+IFERROR(VLOOKUP(EB49,IN_Zugliste!$A$4:$E$2002,5,FALSE),"")</f>
        <v/>
      </c>
      <c r="EC248" t="str">
        <f>+IFERROR(VLOOKUP(EC49,IN_Zugliste!$A$4:$E$2002,5,FALSE),"")</f>
        <v/>
      </c>
      <c r="ED248" t="str">
        <f>+IFERROR(VLOOKUP(ED49,IN_Zugliste!$A$4:$E$2002,5,FALSE),"")</f>
        <v/>
      </c>
      <c r="EE248" t="str">
        <f>+IFERROR(VLOOKUP(EE49,IN_Zugliste!$A$4:$E$2002,5,FALSE),"")</f>
        <v/>
      </c>
      <c r="EF248" t="str">
        <f>+IFERROR(VLOOKUP(EF49,IN_Zugliste!$A$4:$E$2002,5,FALSE),"")</f>
        <v/>
      </c>
      <c r="EG248" t="str">
        <f>+IFERROR(VLOOKUP(EG49,IN_Zugliste!$A$4:$E$2002,5,FALSE),"")</f>
        <v/>
      </c>
      <c r="EH248" t="str">
        <f>+IFERROR(VLOOKUP(EH49,IN_Zugliste!$A$4:$E$2002,5,FALSE),"")</f>
        <v/>
      </c>
      <c r="EI248" t="str">
        <f>+IFERROR(VLOOKUP(EI49,IN_Zugliste!$A$4:$E$2002,5,FALSE),"")</f>
        <v/>
      </c>
      <c r="EJ248" t="str">
        <f>+IFERROR(VLOOKUP(EJ49,IN_Zugliste!$A$4:$E$2002,5,FALSE),"")</f>
        <v/>
      </c>
      <c r="EK248" t="str">
        <f>+IFERROR(VLOOKUP(EK49,IN_Zugliste!$A$4:$E$2002,5,FALSE),"")</f>
        <v/>
      </c>
      <c r="EL248" t="str">
        <f>+IFERROR(VLOOKUP(EL49,IN_Zugliste!$A$4:$E$2002,5,FALSE),"")</f>
        <v/>
      </c>
      <c r="EM248" t="str">
        <f>+IFERROR(VLOOKUP(EM49,IN_Zugliste!$A$4:$E$2002,5,FALSE),"")</f>
        <v/>
      </c>
      <c r="EN248" t="str">
        <f>+IFERROR(VLOOKUP(EN49,IN_Zugliste!$A$4:$E$2002,5,FALSE),"")</f>
        <v/>
      </c>
      <c r="EO248" t="str">
        <f>+IFERROR(VLOOKUP(EO49,IN_Zugliste!$A$4:$E$2002,5,FALSE),"")</f>
        <v/>
      </c>
      <c r="EP248" t="str">
        <f>+IFERROR(VLOOKUP(EP49,IN_Zugliste!$A$4:$E$2002,5,FALSE),"")</f>
        <v/>
      </c>
      <c r="EQ248" t="str">
        <f>+IFERROR(VLOOKUP(EQ49,IN_Zugliste!$A$4:$E$2002,5,FALSE),"")</f>
        <v/>
      </c>
      <c r="ER248" t="str">
        <f>+IFERROR(VLOOKUP(ER49,IN_Zugliste!$A$4:$E$2002,5,FALSE),"")</f>
        <v/>
      </c>
      <c r="ES248" t="str">
        <f>+IFERROR(VLOOKUP(ES49,IN_Zugliste!$A$4:$E$2002,5,FALSE),"")</f>
        <v/>
      </c>
      <c r="ET248" t="str">
        <f>+IFERROR(VLOOKUP(ET49,IN_Zugliste!$A$4:$E$2002,5,FALSE),"")</f>
        <v/>
      </c>
      <c r="EU248" t="str">
        <f>+IFERROR(VLOOKUP(EU49,IN_Zugliste!$A$4:$E$2002,5,FALSE),"")</f>
        <v/>
      </c>
      <c r="EV248" t="str">
        <f>+IFERROR(VLOOKUP(EV49,IN_Zugliste!$A$4:$E$2002,5,FALSE),"")</f>
        <v/>
      </c>
      <c r="EW248" t="str">
        <f>+IFERROR(VLOOKUP(EW49,IN_Zugliste!$A$4:$E$2002,5,FALSE),"")</f>
        <v/>
      </c>
      <c r="EX248" t="str">
        <f>+IFERROR(VLOOKUP(EX49,IN_Zugliste!$A$4:$E$2002,5,FALSE),"")</f>
        <v/>
      </c>
      <c r="EY248" t="str">
        <f>+IFERROR(VLOOKUP(EY49,IN_Zugliste!$A$4:$E$2002,5,FALSE),"")</f>
        <v/>
      </c>
      <c r="EZ248" t="str">
        <f>+IFERROR(VLOOKUP(EZ49,IN_Zugliste!$A$4:$E$2002,5,FALSE),"")</f>
        <v/>
      </c>
      <c r="FA248" t="str">
        <f>+IFERROR(VLOOKUP(FA49,IN_Zugliste!$A$4:$E$2002,5,FALSE),"")</f>
        <v/>
      </c>
      <c r="FB248" t="str">
        <f>+IFERROR(VLOOKUP(FB49,IN_Zugliste!$A$4:$E$2002,5,FALSE),"")</f>
        <v/>
      </c>
      <c r="FC248" t="str">
        <f>+IFERROR(VLOOKUP(FC49,IN_Zugliste!$A$4:$E$2002,5,FALSE),"")</f>
        <v/>
      </c>
      <c r="FD248" t="str">
        <f>+IFERROR(VLOOKUP(FD49,IN_Zugliste!$A$4:$E$2002,5,FALSE),"")</f>
        <v/>
      </c>
      <c r="FE248" t="str">
        <f>+IFERROR(VLOOKUP(FE49,IN_Zugliste!$A$4:$E$2002,5,FALSE),"")</f>
        <v/>
      </c>
      <c r="FF248" t="str">
        <f>+IFERROR(VLOOKUP(FF49,IN_Zugliste!$A$4:$E$2002,5,FALSE),"")</f>
        <v/>
      </c>
      <c r="FG248" t="str">
        <f>+IFERROR(VLOOKUP(FG49,IN_Zugliste!$A$4:$E$2002,5,FALSE),"")</f>
        <v/>
      </c>
      <c r="FH248" t="str">
        <f>+IFERROR(VLOOKUP(FH49,IN_Zugliste!$A$4:$E$2002,5,FALSE),"")</f>
        <v/>
      </c>
      <c r="FI248" t="str">
        <f>+IFERROR(VLOOKUP(FI49,IN_Zugliste!$A$4:$E$2002,5,FALSE),"")</f>
        <v/>
      </c>
      <c r="FJ248" t="str">
        <f>+IFERROR(VLOOKUP(FJ49,IN_Zugliste!$A$4:$E$2002,5,FALSE),"")</f>
        <v/>
      </c>
      <c r="FK248" t="str">
        <f>+IFERROR(VLOOKUP(FK49,IN_Zugliste!$A$4:$E$2002,5,FALSE),"")</f>
        <v/>
      </c>
      <c r="FL248" t="str">
        <f>+IFERROR(VLOOKUP(FL49,IN_Zugliste!$A$4:$E$2002,5,FALSE),"")</f>
        <v/>
      </c>
      <c r="FM248" t="str">
        <f>+IFERROR(VLOOKUP(FM49,IN_Zugliste!$A$4:$D$2002,5,FALSE),"")</f>
        <v/>
      </c>
      <c r="FN248" t="str">
        <f>+IFERROR(VLOOKUP(FN49,IN_Zugliste!$A$4:$D$2002,5,FALSE),"")</f>
        <v/>
      </c>
      <c r="FO248" t="str">
        <f>+IFERROR(VLOOKUP(FO49,IN_Zugliste!$A$4:$D$2002,5,FALSE),"")</f>
        <v/>
      </c>
      <c r="FP248" t="str">
        <f>+IFERROR(VLOOKUP(FP49,IN_Zugliste!$A$4:$D$2002,5,FALSE),"")</f>
        <v/>
      </c>
      <c r="FQ248" t="str">
        <f>+IFERROR(VLOOKUP(FQ49,IN_Zugliste!$A$4:$D$2002,5,FALSE),"")</f>
        <v/>
      </c>
      <c r="FR248" t="str">
        <f>+IFERROR(VLOOKUP(FR49,IN_Zugliste!$A$4:$D$2002,5,FALSE),"")</f>
        <v/>
      </c>
      <c r="FS248" t="str">
        <f>+IFERROR(VLOOKUP(FS49,IN_Zugliste!$A$4:$D$2002,5,FALSE),"")</f>
        <v/>
      </c>
      <c r="FT248" t="str">
        <f>+IFERROR(VLOOKUP(FT49,IN_Zugliste!$A$4:$D$2002,5,FALSE),"")</f>
        <v/>
      </c>
      <c r="FU248" t="str">
        <f>+IFERROR(VLOOKUP(FU49,IN_Zugliste!$A$4:$D$2002,5,FALSE),"")</f>
        <v/>
      </c>
      <c r="FV248" t="str">
        <f>+IFERROR(VLOOKUP(FV49,IN_Zugliste!$A$4:$D$2002,5,FALSE),"")</f>
        <v/>
      </c>
      <c r="FW248" t="str">
        <f>+IFERROR(VLOOKUP(FW49,IN_Zugliste!$A$4:$D$2002,5,FALSE),"")</f>
        <v/>
      </c>
      <c r="FX248" t="str">
        <f>+IFERROR(VLOOKUP(FX49,IN_Zugliste!$A$4:$D$2002,5,FALSE),"")</f>
        <v/>
      </c>
      <c r="FY248" t="str">
        <f>+IFERROR(VLOOKUP(FY49,IN_Zugliste!$A$4:$D$2002,5,FALSE),"")</f>
        <v/>
      </c>
      <c r="FZ248" t="str">
        <f>+IFERROR(VLOOKUP(FZ49,IN_Zugliste!$A$4:$D$2002,5,FALSE),"")</f>
        <v/>
      </c>
      <c r="GA248" t="str">
        <f>+IFERROR(VLOOKUP(GA49,IN_Zugliste!$A$4:$D$2002,5,FALSE),"")</f>
        <v/>
      </c>
      <c r="GB248" t="str">
        <f>+IFERROR(VLOOKUP(GB49,IN_Zugliste!$A$4:$D$2002,5,FALSE),"")</f>
        <v/>
      </c>
      <c r="GC248" t="str">
        <f>+IFERROR(VLOOKUP(GC49,IN_Zugliste!$A$4:$D$2002,5,FALSE),"")</f>
        <v/>
      </c>
      <c r="GD248" t="str">
        <f>+IFERROR(VLOOKUP(GD49,IN_Zugliste!$A$4:$D$2002,5,FALSE),"")</f>
        <v/>
      </c>
      <c r="GE248" t="str">
        <f>+IFERROR(VLOOKUP(GE49,IN_Zugliste!$A$4:$D$2002,5,FALSE),"")</f>
        <v/>
      </c>
      <c r="GF248" t="str">
        <f>+IFERROR(VLOOKUP(GF49,IN_Zugliste!$A$4:$D$2002,5,FALSE),"")</f>
        <v/>
      </c>
      <c r="GG248" t="str">
        <f>+IFERROR(VLOOKUP(GG49,IN_Zugliste!$A$4:$D$2002,5,FALSE),"")</f>
        <v/>
      </c>
      <c r="GH248" t="str">
        <f>+IFERROR(VLOOKUP(GH49,IN_Zugliste!$A$4:$D$2002,5,FALSE),"")</f>
        <v/>
      </c>
      <c r="GI248" t="str">
        <f>+IFERROR(VLOOKUP(GI49,IN_Zugliste!$A$4:$D$2002,5,FALSE),"")</f>
        <v/>
      </c>
      <c r="GJ248" t="str">
        <f>+IFERROR(VLOOKUP(GJ49,IN_Zugliste!$A$4:$D$2002,5,FALSE),"")</f>
        <v/>
      </c>
      <c r="GK248" t="str">
        <f>+IFERROR(VLOOKUP(GK49,IN_Zugliste!$A$4:$D$2002,5,FALSE),"")</f>
        <v/>
      </c>
      <c r="GL248" t="str">
        <f>+IFERROR(VLOOKUP(GL49,IN_Zugliste!$A$4:$D$2002,5,FALSE),"")</f>
        <v/>
      </c>
      <c r="GM248" t="str">
        <f>+IFERROR(VLOOKUP(GM49,IN_Zugliste!$A$4:$D$2002,5,FALSE),"")</f>
        <v/>
      </c>
      <c r="GN248" t="str">
        <f>+IFERROR(VLOOKUP(GN49,IN_Zugliste!$A$4:$D$2002,5,FALSE),"")</f>
        <v/>
      </c>
      <c r="GO248" t="str">
        <f>+IFERROR(VLOOKUP(GO49,IN_Zugliste!$A$4:$D$2002,5,FALSE),"")</f>
        <v/>
      </c>
      <c r="GP248" t="str">
        <f>+IFERROR(VLOOKUP(GP49,IN_Zugliste!$A$4:$D$2002,5,FALSE),"")</f>
        <v/>
      </c>
      <c r="GQ248" t="str">
        <f>+IFERROR(VLOOKUP(GQ49,IN_Zugliste!$A$4:$D$2002,5,FALSE),"")</f>
        <v/>
      </c>
      <c r="GR248" t="str">
        <f>+IFERROR(VLOOKUP(GR49,IN_Zugliste!$A$4:$D$2002,5,FALSE),"")</f>
        <v/>
      </c>
      <c r="GS248" t="str">
        <f>+IFERROR(VLOOKUP(GS49,IN_Zugliste!$A$4:$D$2002,5,FALSE),"")</f>
        <v/>
      </c>
      <c r="GT248" t="str">
        <f>+IFERROR(VLOOKUP(GT49,IN_Zugliste!$A$4:$D$2002,5,FALSE),"")</f>
        <v/>
      </c>
      <c r="GU248" t="str">
        <f>+IFERROR(VLOOKUP(GU49,IN_Zugliste!$A$4:$D$2002,5,FALSE),"")</f>
        <v/>
      </c>
      <c r="GV248" t="str">
        <f>+IFERROR(VLOOKUP(GV49,IN_Zugliste!$A$4:$D$2002,5,FALSE),"")</f>
        <v/>
      </c>
      <c r="GW248" t="str">
        <f>+IFERROR(VLOOKUP(GW49,IN_Zugliste!$A$4:$D$2002,5,FALSE),"")</f>
        <v/>
      </c>
      <c r="GX248" t="str">
        <f>+IFERROR(VLOOKUP(GX49,IN_Zugliste!$A$4:$D$2002,5,FALSE),"")</f>
        <v/>
      </c>
      <c r="GY248" t="str">
        <f>+IFERROR(VLOOKUP(GY49,IN_Zugliste!$A$4:$D$2002,5,FALSE),"")</f>
        <v/>
      </c>
      <c r="GZ248" t="str">
        <f>+IFERROR(VLOOKUP(GZ49,IN_Zugliste!$A$4:$D$2002,5,FALSE),"")</f>
        <v/>
      </c>
      <c r="HA248" t="str">
        <f>+IFERROR(VLOOKUP(HA49,IN_Zugliste!$A$4:$D$2002,5,FALSE),"")</f>
        <v/>
      </c>
      <c r="HB248" t="str">
        <f>+IFERROR(VLOOKUP(HB49,IN_Zugliste!$A$4:$D$2002,5,FALSE),"")</f>
        <v/>
      </c>
      <c r="HC248" t="str">
        <f>+IFERROR(VLOOKUP(HC49,IN_Zugliste!$A$4:$D$2002,5,FALSE),"")</f>
        <v/>
      </c>
      <c r="HD248" t="str">
        <f>+IFERROR(VLOOKUP(HD49,IN_Zugliste!$A$4:$D$2002,5,FALSE),"")</f>
        <v/>
      </c>
      <c r="HE248" t="str">
        <f>+IFERROR(VLOOKUP(HE49,IN_Zugliste!$A$4:$D$2002,5,FALSE),"")</f>
        <v/>
      </c>
      <c r="HF248" t="str">
        <f>+IFERROR(VLOOKUP(HF49,IN_Zugliste!$A$4:$D$2002,5,FALSE),"")</f>
        <v/>
      </c>
      <c r="HG248" t="str">
        <f>+IFERROR(VLOOKUP(HG49,IN_Zugliste!$A$4:$D$2002,5,FALSE),"")</f>
        <v/>
      </c>
      <c r="HH248" t="str">
        <f>+IFERROR(VLOOKUP(HH49,IN_Zugliste!$A$4:$D$2002,5,FALSE),"")</f>
        <v/>
      </c>
    </row>
    <row r="249" spans="1:216" x14ac:dyDescent="0.2">
      <c r="A249" t="str">
        <f>+IFERROR(VLOOKUP(A50,IN_Zugliste!$A$4:$E$2002,5,FALSE),"")</f>
        <v/>
      </c>
      <c r="B249" t="str">
        <f>+IFERROR(VLOOKUP(B50,IN_Zugliste!$A$4:$E$2002,5,FALSE),"")</f>
        <v/>
      </c>
      <c r="C249" t="str">
        <f>+IFERROR(VLOOKUP(C50,IN_Zugliste!$A$4:$E$2002,5,FALSE),"")</f>
        <v/>
      </c>
      <c r="D249" t="str">
        <f>+IFERROR(VLOOKUP(D50,IN_Zugliste!$A$4:$E$2002,5,FALSE),"")</f>
        <v/>
      </c>
      <c r="E249" t="str">
        <f>+IFERROR(VLOOKUP(E50,IN_Zugliste!$A$4:$E$2002,5,FALSE),"")</f>
        <v/>
      </c>
      <c r="F249" t="str">
        <f>+IFERROR(VLOOKUP(F50,IN_Zugliste!$A$4:$E$2002,5,FALSE),"")</f>
        <v/>
      </c>
      <c r="G249" t="str">
        <f>+IFERROR(VLOOKUP(G50,IN_Zugliste!$A$4:$E$2002,5,FALSE),"")</f>
        <v/>
      </c>
      <c r="H249" t="str">
        <f>+IFERROR(VLOOKUP(H50,IN_Zugliste!$A$4:$E$2002,5,FALSE),"")</f>
        <v/>
      </c>
      <c r="I249" t="str">
        <f>+IFERROR(VLOOKUP(I50,IN_Zugliste!$A$4:$E$2002,5,FALSE),"")</f>
        <v/>
      </c>
      <c r="J249" t="str">
        <f>+IFERROR(VLOOKUP(J50,IN_Zugliste!$A$4:$E$2002,5,FALSE),"")</f>
        <v/>
      </c>
      <c r="K249" t="str">
        <f>+IFERROR(VLOOKUP(K50,IN_Zugliste!$A$4:$E$2002,5,FALSE),"")</f>
        <v/>
      </c>
      <c r="L249" t="str">
        <f>+IFERROR(VLOOKUP(L50,IN_Zugliste!$A$4:$E$2002,5,FALSE),"")</f>
        <v/>
      </c>
      <c r="M249" t="str">
        <f>+IFERROR(VLOOKUP(M50,IN_Zugliste!$A$4:$E$2002,5,FALSE),"")</f>
        <v/>
      </c>
      <c r="N249" t="str">
        <f>+IFERROR(VLOOKUP(N50,IN_Zugliste!$A$4:$E$2002,5,FALSE),"")</f>
        <v/>
      </c>
      <c r="O249" t="str">
        <f>+IFERROR(VLOOKUP(O50,IN_Zugliste!$A$4:$E$2002,5,FALSE),"")</f>
        <v/>
      </c>
      <c r="P249" t="str">
        <f>+IFERROR(VLOOKUP(P50,IN_Zugliste!$A$4:$E$2002,5,FALSE),"")</f>
        <v/>
      </c>
      <c r="Q249" t="str">
        <f>+IFERROR(VLOOKUP(Q50,IN_Zugliste!$A$4:$E$2002,5,FALSE),"")</f>
        <v/>
      </c>
      <c r="R249" t="str">
        <f>+IFERROR(VLOOKUP(R50,IN_Zugliste!$A$4:$E$2002,5,FALSE),"")</f>
        <v/>
      </c>
      <c r="S249" t="str">
        <f>+IFERROR(VLOOKUP(S50,IN_Zugliste!$A$4:$E$2002,5,FALSE),"")</f>
        <v/>
      </c>
      <c r="T249" t="str">
        <f>+IFERROR(VLOOKUP(T50,IN_Zugliste!$A$4:$E$2002,5,FALSE),"")</f>
        <v/>
      </c>
      <c r="U249" t="str">
        <f>+IFERROR(VLOOKUP(U50,IN_Zugliste!$A$4:$E$2002,5,FALSE),"")</f>
        <v/>
      </c>
      <c r="V249" t="str">
        <f>+IFERROR(VLOOKUP(V50,IN_Zugliste!$A$4:$E$2002,5,FALSE),"")</f>
        <v/>
      </c>
      <c r="W249" t="str">
        <f>+IFERROR(VLOOKUP(W50,IN_Zugliste!$A$4:$E$2002,5,FALSE),"")</f>
        <v/>
      </c>
      <c r="X249" t="str">
        <f>+IFERROR(VLOOKUP(X50,IN_Zugliste!$A$4:$E$2002,5,FALSE),"")</f>
        <v/>
      </c>
      <c r="Y249" t="str">
        <f>+IFERROR(VLOOKUP(Y50,IN_Zugliste!$A$4:$E$2002,5,FALSE),"")</f>
        <v/>
      </c>
      <c r="Z249" t="str">
        <f>+IFERROR(VLOOKUP(Z50,IN_Zugliste!$A$4:$E$2002,5,FALSE),"")</f>
        <v/>
      </c>
      <c r="AA249" t="str">
        <f>+IFERROR(VLOOKUP(AA50,IN_Zugliste!$A$4:$E$2002,5,FALSE),"")</f>
        <v/>
      </c>
      <c r="AB249" t="str">
        <f>+IFERROR(VLOOKUP(AB50,IN_Zugliste!$A$4:$E$2002,5,FALSE),"")</f>
        <v/>
      </c>
      <c r="AC249" t="str">
        <f>+IFERROR(VLOOKUP(AC50,IN_Zugliste!$A$4:$E$2002,5,FALSE),"")</f>
        <v/>
      </c>
      <c r="AD249" t="str">
        <f>+IFERROR(VLOOKUP(AD50,IN_Zugliste!$A$4:$E$2002,5,FALSE),"")</f>
        <v/>
      </c>
      <c r="AE249" t="str">
        <f>+IFERROR(VLOOKUP(AE50,IN_Zugliste!$A$4:$E$2002,5,FALSE),"")</f>
        <v/>
      </c>
      <c r="AF249" t="str">
        <f>+IFERROR(VLOOKUP(AF50,IN_Zugliste!$A$4:$E$2002,5,FALSE),"")</f>
        <v/>
      </c>
      <c r="AG249" t="str">
        <f>+IFERROR(VLOOKUP(AG50,IN_Zugliste!$A$4:$E$2002,5,FALSE),"")</f>
        <v/>
      </c>
      <c r="AH249" t="str">
        <f>+IFERROR(VLOOKUP(AH50,IN_Zugliste!$A$4:$E$2002,5,FALSE),"")</f>
        <v/>
      </c>
      <c r="AI249" t="str">
        <f>+IFERROR(VLOOKUP(AI50,IN_Zugliste!$A$4:$E$2002,5,FALSE),"")</f>
        <v/>
      </c>
      <c r="AJ249" t="str">
        <f>+IFERROR(VLOOKUP(AJ50,IN_Zugliste!$A$4:$E$2002,5,FALSE),"")</f>
        <v/>
      </c>
      <c r="AK249" t="str">
        <f>+IFERROR(VLOOKUP(AK50,IN_Zugliste!$A$4:$E$2002,5,FALSE),"")</f>
        <v/>
      </c>
      <c r="AL249" t="str">
        <f>+IFERROR(VLOOKUP(AL50,IN_Zugliste!$A$4:$E$2002,5,FALSE),"")</f>
        <v/>
      </c>
      <c r="AM249" t="str">
        <f>+IFERROR(VLOOKUP(AM50,IN_Zugliste!$A$4:$E$2002,5,FALSE),"")</f>
        <v/>
      </c>
      <c r="AN249" t="str">
        <f>+IFERROR(VLOOKUP(AN50,IN_Zugliste!$A$4:$E$2002,5,FALSE),"")</f>
        <v/>
      </c>
      <c r="AO249" t="str">
        <f>+IFERROR(VLOOKUP(AO50,IN_Zugliste!$A$4:$E$2002,5,FALSE),"")</f>
        <v/>
      </c>
      <c r="AP249" t="str">
        <f>+IFERROR(VLOOKUP(AP50,IN_Zugliste!$A$4:$E$2002,5,FALSE),"")</f>
        <v/>
      </c>
      <c r="AQ249" t="str">
        <f>+IFERROR(VLOOKUP(AQ50,IN_Zugliste!$A$4:$E$2002,5,FALSE),"")</f>
        <v/>
      </c>
      <c r="AR249" t="str">
        <f>+IFERROR(VLOOKUP(AR50,IN_Zugliste!$A$4:$E$2002,5,FALSE),"")</f>
        <v/>
      </c>
      <c r="AS249" t="str">
        <f>+IFERROR(VLOOKUP(AS50,IN_Zugliste!$A$4:$E$2002,5,FALSE),"")</f>
        <v/>
      </c>
      <c r="AT249" t="str">
        <f>+IFERROR(VLOOKUP(AT50,IN_Zugliste!$A$4:$E$2002,5,FALSE),"")</f>
        <v/>
      </c>
      <c r="AU249" t="str">
        <f>+IFERROR(VLOOKUP(AU50,IN_Zugliste!$A$4:$E$2002,5,FALSE),"")</f>
        <v/>
      </c>
      <c r="AV249" t="str">
        <f>+IFERROR(VLOOKUP(AV50,IN_Zugliste!$A$4:$E$2002,5,FALSE),"")</f>
        <v/>
      </c>
      <c r="AW249" t="str">
        <f>+IFERROR(VLOOKUP(AW50,IN_Zugliste!$A$4:$E$2002,5,FALSE),"")</f>
        <v/>
      </c>
      <c r="AX249" t="str">
        <f>+IFERROR(VLOOKUP(AX50,IN_Zugliste!$A$4:$E$2002,5,FALSE),"")</f>
        <v/>
      </c>
      <c r="AY249" t="str">
        <f>+IFERROR(VLOOKUP(AY50,IN_Zugliste!$A$4:$E$2002,5,FALSE),"")</f>
        <v/>
      </c>
      <c r="AZ249" t="str">
        <f>+IFERROR(VLOOKUP(AZ50,IN_Zugliste!$A$4:$E$2002,5,FALSE),"")</f>
        <v/>
      </c>
      <c r="BA249" t="str">
        <f>+IFERROR(VLOOKUP(BA50,IN_Zugliste!$A$4:$E$2002,5,FALSE),"")</f>
        <v/>
      </c>
      <c r="BB249" t="str">
        <f>+IFERROR(VLOOKUP(BB50,IN_Zugliste!$A$4:$E$2002,5,FALSE),"")</f>
        <v/>
      </c>
      <c r="BC249" t="str">
        <f>+IFERROR(VLOOKUP(BC50,IN_Zugliste!$A$4:$E$2002,5,FALSE),"")</f>
        <v/>
      </c>
      <c r="BD249" t="str">
        <f>+IFERROR(VLOOKUP(BD50,IN_Zugliste!$A$4:$E$2002,5,FALSE),"")</f>
        <v/>
      </c>
      <c r="BE249" t="str">
        <f>+IFERROR(VLOOKUP(BE50,IN_Zugliste!$A$4:$E$2002,5,FALSE),"")</f>
        <v/>
      </c>
      <c r="BF249" t="str">
        <f>+IFERROR(VLOOKUP(BF50,IN_Zugliste!$A$4:$E$2002,5,FALSE),"")</f>
        <v/>
      </c>
      <c r="BG249" t="str">
        <f>+IFERROR(VLOOKUP(BG50,IN_Zugliste!$A$4:$E$2002,5,FALSE),"")</f>
        <v/>
      </c>
      <c r="BH249" t="str">
        <f>+IFERROR(VLOOKUP(BH50,IN_Zugliste!$A$4:$E$2002,5,FALSE),"")</f>
        <v/>
      </c>
      <c r="BI249" t="str">
        <f>+IFERROR(VLOOKUP(BI50,IN_Zugliste!$A$4:$E$2002,5,FALSE),"")</f>
        <v/>
      </c>
      <c r="BJ249" t="str">
        <f>+IFERROR(VLOOKUP(BJ50,IN_Zugliste!$A$4:$E$2002,5,FALSE),"")</f>
        <v/>
      </c>
      <c r="BK249" t="str">
        <f>+IFERROR(VLOOKUP(BK50,IN_Zugliste!$A$4:$E$2002,5,FALSE),"")</f>
        <v/>
      </c>
      <c r="BL249" t="str">
        <f>+IFERROR(VLOOKUP(BL50,IN_Zugliste!$A$4:$E$2002,5,FALSE),"")</f>
        <v/>
      </c>
      <c r="BM249" t="str">
        <f>+IFERROR(VLOOKUP(BM50,IN_Zugliste!$A$4:$E$2002,5,FALSE),"")</f>
        <v/>
      </c>
      <c r="BN249" t="str">
        <f>+IFERROR(VLOOKUP(BN50,IN_Zugliste!$A$4:$E$2002,5,FALSE),"")</f>
        <v/>
      </c>
      <c r="BO249" t="str">
        <f>+IFERROR(VLOOKUP(BO50,IN_Zugliste!$A$4:$E$2002,5,FALSE),"")</f>
        <v/>
      </c>
      <c r="BP249" t="str">
        <f>+IFERROR(VLOOKUP(BP50,IN_Zugliste!$A$4:$E$2002,5,FALSE),"")</f>
        <v/>
      </c>
      <c r="BQ249" t="str">
        <f>+IFERROR(VLOOKUP(BQ50,IN_Zugliste!$A$4:$E$2002,5,FALSE),"")</f>
        <v/>
      </c>
      <c r="BR249" t="str">
        <f>+IFERROR(VLOOKUP(BR50,IN_Zugliste!$A$4:$E$2002,5,FALSE),"")</f>
        <v/>
      </c>
      <c r="BS249" t="str">
        <f>+IFERROR(VLOOKUP(BS50,IN_Zugliste!$A$4:$E$2002,5,FALSE),"")</f>
        <v/>
      </c>
      <c r="BT249" t="str">
        <f>+IFERROR(VLOOKUP(BT50,IN_Zugliste!$A$4:$E$2002,5,FALSE),"")</f>
        <v/>
      </c>
      <c r="BU249" t="str">
        <f>+IFERROR(VLOOKUP(BU50,IN_Zugliste!$A$4:$E$2002,5,FALSE),"")</f>
        <v/>
      </c>
      <c r="BV249" t="str">
        <f>+IFERROR(VLOOKUP(BV50,IN_Zugliste!$A$4:$E$2002,5,FALSE),"")</f>
        <v/>
      </c>
      <c r="BW249" t="str">
        <f>+IFERROR(VLOOKUP(BW50,IN_Zugliste!$A$4:$E$2002,5,FALSE),"")</f>
        <v/>
      </c>
      <c r="BX249" t="str">
        <f>+IFERROR(VLOOKUP(BX50,IN_Zugliste!$A$4:$E$2002,5,FALSE),"")</f>
        <v/>
      </c>
      <c r="BY249" t="str">
        <f>+IFERROR(VLOOKUP(BY50,IN_Zugliste!$A$4:$E$2002,5,FALSE),"")</f>
        <v/>
      </c>
      <c r="BZ249" t="str">
        <f>+IFERROR(VLOOKUP(BZ50,IN_Zugliste!$A$4:$E$2002,5,FALSE),"")</f>
        <v/>
      </c>
      <c r="CA249" t="str">
        <f>+IFERROR(VLOOKUP(CA50,IN_Zugliste!$A$4:$E$2002,5,FALSE),"")</f>
        <v/>
      </c>
      <c r="CB249" t="str">
        <f>+IFERROR(VLOOKUP(CB50,IN_Zugliste!$A$4:$E$2002,5,FALSE),"")</f>
        <v/>
      </c>
      <c r="CC249" t="str">
        <f>+IFERROR(VLOOKUP(CC50,IN_Zugliste!$A$4:$E$2002,5,FALSE),"")</f>
        <v/>
      </c>
      <c r="CD249" t="str">
        <f>+IFERROR(VLOOKUP(CD50,IN_Zugliste!$A$4:$E$2002,5,FALSE),"")</f>
        <v/>
      </c>
      <c r="CE249" t="str">
        <f>+IFERROR(VLOOKUP(CE50,IN_Zugliste!$A$4:$E$2002,5,FALSE),"")</f>
        <v/>
      </c>
      <c r="CF249" t="str">
        <f>+IFERROR(VLOOKUP(CF50,IN_Zugliste!$A$4:$E$2002,5,FALSE),"")</f>
        <v/>
      </c>
      <c r="CG249" t="str">
        <f>+IFERROR(VLOOKUP(CG50,IN_Zugliste!$A$4:$E$2002,5,FALSE),"")</f>
        <v/>
      </c>
      <c r="CH249" t="str">
        <f>+IFERROR(VLOOKUP(CH50,IN_Zugliste!$A$4:$E$2002,5,FALSE),"")</f>
        <v/>
      </c>
      <c r="CI249" t="str">
        <f>+IFERROR(VLOOKUP(CI50,IN_Zugliste!$A$4:$E$2002,5,FALSE),"")</f>
        <v/>
      </c>
      <c r="CJ249" t="str">
        <f>+IFERROR(VLOOKUP(CJ50,IN_Zugliste!$A$4:$E$2002,5,FALSE),"")</f>
        <v/>
      </c>
      <c r="CK249" t="str">
        <f>+IFERROR(VLOOKUP(CK50,IN_Zugliste!$A$4:$E$2002,5,FALSE),"")</f>
        <v/>
      </c>
      <c r="CL249" t="str">
        <f>+IFERROR(VLOOKUP(CL50,IN_Zugliste!$A$4:$E$2002,5,FALSE),"")</f>
        <v/>
      </c>
      <c r="CM249" t="str">
        <f>+IFERROR(VLOOKUP(CM50,IN_Zugliste!$A$4:$E$2002,5,FALSE),"")</f>
        <v/>
      </c>
      <c r="CN249" t="str">
        <f>+IFERROR(VLOOKUP(CN50,IN_Zugliste!$A$4:$E$2002,5,FALSE),"")</f>
        <v/>
      </c>
      <c r="CO249" t="str">
        <f>+IFERROR(VLOOKUP(CO50,IN_Zugliste!$A$4:$E$2002,5,FALSE),"")</f>
        <v/>
      </c>
      <c r="CP249" t="str">
        <f>+IFERROR(VLOOKUP(CP50,IN_Zugliste!$A$4:$E$2002,5,FALSE),"")</f>
        <v/>
      </c>
      <c r="CQ249" t="str">
        <f>+IFERROR(VLOOKUP(CQ50,IN_Zugliste!$A$4:$E$2002,5,FALSE),"")</f>
        <v/>
      </c>
      <c r="CR249" t="str">
        <f>+IFERROR(VLOOKUP(CR50,IN_Zugliste!$A$4:$E$2002,5,FALSE),"")</f>
        <v/>
      </c>
      <c r="CS249" t="str">
        <f>+IFERROR(VLOOKUP(CS50,IN_Zugliste!$A$4:$E$2002,5,FALSE),"")</f>
        <v/>
      </c>
      <c r="CT249" t="str">
        <f>+IFERROR(VLOOKUP(CT50,IN_Zugliste!$A$4:$E$2002,5,FALSE),"")</f>
        <v/>
      </c>
      <c r="CU249" t="str">
        <f>+IFERROR(VLOOKUP(CU50,IN_Zugliste!$A$4:$E$2002,5,FALSE),"")</f>
        <v/>
      </c>
      <c r="CV249" t="str">
        <f>+IFERROR(VLOOKUP(CV50,IN_Zugliste!$A$4:$E$2002,5,FALSE),"")</f>
        <v/>
      </c>
      <c r="CW249" t="str">
        <f>+IFERROR(VLOOKUP(CW50,IN_Zugliste!$A$4:$E$2002,5,FALSE),"")</f>
        <v/>
      </c>
      <c r="CX249" t="str">
        <f>+IFERROR(VLOOKUP(CX50,IN_Zugliste!$A$4:$E$2002,5,FALSE),"")</f>
        <v/>
      </c>
      <c r="CY249" t="str">
        <f>+IFERROR(VLOOKUP(CY50,IN_Zugliste!$A$4:$E$2002,5,FALSE),"")</f>
        <v/>
      </c>
      <c r="CZ249" t="str">
        <f>+IFERROR(VLOOKUP(CZ50,IN_Zugliste!$A$4:$E$2002,5,FALSE),"")</f>
        <v/>
      </c>
      <c r="DA249" t="str">
        <f>+IFERROR(VLOOKUP(DA50,IN_Zugliste!$A$4:$E$2002,5,FALSE),"")</f>
        <v/>
      </c>
      <c r="DB249" t="str">
        <f>+IFERROR(VLOOKUP(DB50,IN_Zugliste!$A$4:$E$2002,5,FALSE),"")</f>
        <v/>
      </c>
      <c r="DC249" t="str">
        <f>+IFERROR(VLOOKUP(DC50,IN_Zugliste!$A$4:$E$2002,5,FALSE),"")</f>
        <v/>
      </c>
      <c r="DD249" t="str">
        <f>+IFERROR(VLOOKUP(DD50,IN_Zugliste!$A$4:$E$2002,5,FALSE),"")</f>
        <v/>
      </c>
      <c r="DE249" t="str">
        <f>+IFERROR(VLOOKUP(DE50,IN_Zugliste!$A$4:$E$2002,5,FALSE),"")</f>
        <v/>
      </c>
      <c r="DF249" t="str">
        <f>+IFERROR(VLOOKUP(DF50,IN_Zugliste!$A$4:$E$2002,5,FALSE),"")</f>
        <v/>
      </c>
      <c r="DG249" t="str">
        <f>+IFERROR(VLOOKUP(DG50,IN_Zugliste!$A$4:$E$2002,5,FALSE),"")</f>
        <v/>
      </c>
      <c r="DH249" t="str">
        <f>+IFERROR(VLOOKUP(DH50,IN_Zugliste!$A$4:$E$2002,5,FALSE),"")</f>
        <v/>
      </c>
      <c r="DI249" t="str">
        <f>+IFERROR(VLOOKUP(DI50,IN_Zugliste!$A$4:$E$2002,5,FALSE),"")</f>
        <v/>
      </c>
      <c r="DJ249" t="str">
        <f>+IFERROR(VLOOKUP(DJ50,IN_Zugliste!$A$4:$E$2002,5,FALSE),"")</f>
        <v/>
      </c>
      <c r="DK249" t="str">
        <f>+IFERROR(VLOOKUP(DK50,IN_Zugliste!$A$4:$E$2002,5,FALSE),"")</f>
        <v/>
      </c>
      <c r="DL249" t="str">
        <f>+IFERROR(VLOOKUP(DL50,IN_Zugliste!$A$4:$E$2002,5,FALSE),"")</f>
        <v/>
      </c>
      <c r="DM249" t="str">
        <f>+IFERROR(VLOOKUP(DM50,IN_Zugliste!$A$4:$E$2002,5,FALSE),"")</f>
        <v/>
      </c>
      <c r="DN249" t="str">
        <f>+IFERROR(VLOOKUP(DN50,IN_Zugliste!$A$4:$E$2002,5,FALSE),"")</f>
        <v/>
      </c>
      <c r="DO249" t="str">
        <f>+IFERROR(VLOOKUP(DO50,IN_Zugliste!$A$4:$E$2002,5,FALSE),"")</f>
        <v/>
      </c>
      <c r="DP249" t="str">
        <f>+IFERROR(VLOOKUP(DP50,IN_Zugliste!$A$4:$E$2002,5,FALSE),"")</f>
        <v/>
      </c>
      <c r="DQ249" t="str">
        <f>+IFERROR(VLOOKUP(DQ50,IN_Zugliste!$A$4:$E$2002,5,FALSE),"")</f>
        <v/>
      </c>
      <c r="DR249" t="str">
        <f>+IFERROR(VLOOKUP(DR50,IN_Zugliste!$A$4:$E$2002,5,FALSE),"")</f>
        <v/>
      </c>
      <c r="DS249" t="str">
        <f>+IFERROR(VLOOKUP(DS50,IN_Zugliste!$A$4:$E$2002,5,FALSE),"")</f>
        <v/>
      </c>
      <c r="DT249" t="str">
        <f>+IFERROR(VLOOKUP(DT50,IN_Zugliste!$A$4:$E$2002,5,FALSE),"")</f>
        <v/>
      </c>
      <c r="DU249" t="str">
        <f>+IFERROR(VLOOKUP(DU50,IN_Zugliste!$A$4:$E$2002,5,FALSE),"")</f>
        <v/>
      </c>
      <c r="DV249" t="str">
        <f>+IFERROR(VLOOKUP(DV50,IN_Zugliste!$A$4:$E$2002,5,FALSE),"")</f>
        <v/>
      </c>
      <c r="DW249" t="str">
        <f>+IFERROR(VLOOKUP(DW50,IN_Zugliste!$A$4:$E$2002,5,FALSE),"")</f>
        <v/>
      </c>
      <c r="DX249" t="str">
        <f>+IFERROR(VLOOKUP(DX50,IN_Zugliste!$A$4:$E$2002,5,FALSE),"")</f>
        <v/>
      </c>
      <c r="DY249" t="str">
        <f>+IFERROR(VLOOKUP(DY50,IN_Zugliste!$A$4:$E$2002,5,FALSE),"")</f>
        <v/>
      </c>
      <c r="DZ249" t="str">
        <f>+IFERROR(VLOOKUP(DZ50,IN_Zugliste!$A$4:$E$2002,5,FALSE),"")</f>
        <v/>
      </c>
      <c r="EA249" t="str">
        <f>+IFERROR(VLOOKUP(EA50,IN_Zugliste!$A$4:$E$2002,5,FALSE),"")</f>
        <v/>
      </c>
      <c r="EB249" t="str">
        <f>+IFERROR(VLOOKUP(EB50,IN_Zugliste!$A$4:$E$2002,5,FALSE),"")</f>
        <v/>
      </c>
      <c r="EC249" t="str">
        <f>+IFERROR(VLOOKUP(EC50,IN_Zugliste!$A$4:$E$2002,5,FALSE),"")</f>
        <v/>
      </c>
      <c r="ED249" t="str">
        <f>+IFERROR(VLOOKUP(ED50,IN_Zugliste!$A$4:$E$2002,5,FALSE),"")</f>
        <v/>
      </c>
      <c r="EE249" t="str">
        <f>+IFERROR(VLOOKUP(EE50,IN_Zugliste!$A$4:$E$2002,5,FALSE),"")</f>
        <v/>
      </c>
      <c r="EF249" t="str">
        <f>+IFERROR(VLOOKUP(EF50,IN_Zugliste!$A$4:$E$2002,5,FALSE),"")</f>
        <v/>
      </c>
      <c r="EG249" t="str">
        <f>+IFERROR(VLOOKUP(EG50,IN_Zugliste!$A$4:$E$2002,5,FALSE),"")</f>
        <v/>
      </c>
      <c r="EH249" t="str">
        <f>+IFERROR(VLOOKUP(EH50,IN_Zugliste!$A$4:$E$2002,5,FALSE),"")</f>
        <v/>
      </c>
      <c r="EI249" t="str">
        <f>+IFERROR(VLOOKUP(EI50,IN_Zugliste!$A$4:$E$2002,5,FALSE),"")</f>
        <v/>
      </c>
      <c r="EJ249" t="str">
        <f>+IFERROR(VLOOKUP(EJ50,IN_Zugliste!$A$4:$E$2002,5,FALSE),"")</f>
        <v/>
      </c>
      <c r="EK249" t="str">
        <f>+IFERROR(VLOOKUP(EK50,IN_Zugliste!$A$4:$E$2002,5,FALSE),"")</f>
        <v/>
      </c>
      <c r="EL249" t="str">
        <f>+IFERROR(VLOOKUP(EL50,IN_Zugliste!$A$4:$E$2002,5,FALSE),"")</f>
        <v/>
      </c>
      <c r="EM249" t="str">
        <f>+IFERROR(VLOOKUP(EM50,IN_Zugliste!$A$4:$E$2002,5,FALSE),"")</f>
        <v/>
      </c>
      <c r="EN249" t="str">
        <f>+IFERROR(VLOOKUP(EN50,IN_Zugliste!$A$4:$E$2002,5,FALSE),"")</f>
        <v/>
      </c>
      <c r="EO249" t="str">
        <f>+IFERROR(VLOOKUP(EO50,IN_Zugliste!$A$4:$E$2002,5,FALSE),"")</f>
        <v/>
      </c>
      <c r="EP249" t="str">
        <f>+IFERROR(VLOOKUP(EP50,IN_Zugliste!$A$4:$E$2002,5,FALSE),"")</f>
        <v/>
      </c>
      <c r="EQ249" t="str">
        <f>+IFERROR(VLOOKUP(EQ50,IN_Zugliste!$A$4:$E$2002,5,FALSE),"")</f>
        <v/>
      </c>
      <c r="ER249" t="str">
        <f>+IFERROR(VLOOKUP(ER50,IN_Zugliste!$A$4:$E$2002,5,FALSE),"")</f>
        <v/>
      </c>
      <c r="ES249" t="str">
        <f>+IFERROR(VLOOKUP(ES50,IN_Zugliste!$A$4:$E$2002,5,FALSE),"")</f>
        <v/>
      </c>
      <c r="ET249" t="str">
        <f>+IFERROR(VLOOKUP(ET50,IN_Zugliste!$A$4:$E$2002,5,FALSE),"")</f>
        <v/>
      </c>
      <c r="EU249" t="str">
        <f>+IFERROR(VLOOKUP(EU50,IN_Zugliste!$A$4:$E$2002,5,FALSE),"")</f>
        <v/>
      </c>
      <c r="EV249" t="str">
        <f>+IFERROR(VLOOKUP(EV50,IN_Zugliste!$A$4:$E$2002,5,FALSE),"")</f>
        <v/>
      </c>
      <c r="EW249" t="str">
        <f>+IFERROR(VLOOKUP(EW50,IN_Zugliste!$A$4:$E$2002,5,FALSE),"")</f>
        <v/>
      </c>
      <c r="EX249" t="str">
        <f>+IFERROR(VLOOKUP(EX50,IN_Zugliste!$A$4:$E$2002,5,FALSE),"")</f>
        <v/>
      </c>
      <c r="EY249" t="str">
        <f>+IFERROR(VLOOKUP(EY50,IN_Zugliste!$A$4:$E$2002,5,FALSE),"")</f>
        <v/>
      </c>
      <c r="EZ249" t="str">
        <f>+IFERROR(VLOOKUP(EZ50,IN_Zugliste!$A$4:$E$2002,5,FALSE),"")</f>
        <v/>
      </c>
      <c r="FA249" t="str">
        <f>+IFERROR(VLOOKUP(FA50,IN_Zugliste!$A$4:$E$2002,5,FALSE),"")</f>
        <v/>
      </c>
      <c r="FB249" t="str">
        <f>+IFERROR(VLOOKUP(FB50,IN_Zugliste!$A$4:$E$2002,5,FALSE),"")</f>
        <v/>
      </c>
      <c r="FC249" t="str">
        <f>+IFERROR(VLOOKUP(FC50,IN_Zugliste!$A$4:$E$2002,5,FALSE),"")</f>
        <v/>
      </c>
      <c r="FD249" t="str">
        <f>+IFERROR(VLOOKUP(FD50,IN_Zugliste!$A$4:$E$2002,5,FALSE),"")</f>
        <v/>
      </c>
      <c r="FE249" t="str">
        <f>+IFERROR(VLOOKUP(FE50,IN_Zugliste!$A$4:$E$2002,5,FALSE),"")</f>
        <v/>
      </c>
      <c r="FF249" t="str">
        <f>+IFERROR(VLOOKUP(FF50,IN_Zugliste!$A$4:$E$2002,5,FALSE),"")</f>
        <v/>
      </c>
      <c r="FG249" t="str">
        <f>+IFERROR(VLOOKUP(FG50,IN_Zugliste!$A$4:$E$2002,5,FALSE),"")</f>
        <v/>
      </c>
      <c r="FH249" t="str">
        <f>+IFERROR(VLOOKUP(FH50,IN_Zugliste!$A$4:$E$2002,5,FALSE),"")</f>
        <v/>
      </c>
      <c r="FI249" t="str">
        <f>+IFERROR(VLOOKUP(FI50,IN_Zugliste!$A$4:$E$2002,5,FALSE),"")</f>
        <v/>
      </c>
      <c r="FJ249" t="str">
        <f>+IFERROR(VLOOKUP(FJ50,IN_Zugliste!$A$4:$E$2002,5,FALSE),"")</f>
        <v/>
      </c>
      <c r="FK249" t="str">
        <f>+IFERROR(VLOOKUP(FK50,IN_Zugliste!$A$4:$E$2002,5,FALSE),"")</f>
        <v/>
      </c>
      <c r="FL249" t="str">
        <f>+IFERROR(VLOOKUP(FL50,IN_Zugliste!$A$4:$E$2002,5,FALSE),"")</f>
        <v/>
      </c>
      <c r="FM249" t="str">
        <f>+IFERROR(VLOOKUP(FM50,IN_Zugliste!$A$4:$D$2002,5,FALSE),"")</f>
        <v/>
      </c>
      <c r="FN249" t="str">
        <f>+IFERROR(VLOOKUP(FN50,IN_Zugliste!$A$4:$D$2002,5,FALSE),"")</f>
        <v/>
      </c>
      <c r="FO249" t="str">
        <f>+IFERROR(VLOOKUP(FO50,IN_Zugliste!$A$4:$D$2002,5,FALSE),"")</f>
        <v/>
      </c>
      <c r="FP249" t="str">
        <f>+IFERROR(VLOOKUP(FP50,IN_Zugliste!$A$4:$D$2002,5,FALSE),"")</f>
        <v/>
      </c>
      <c r="FQ249" t="str">
        <f>+IFERROR(VLOOKUP(FQ50,IN_Zugliste!$A$4:$D$2002,5,FALSE),"")</f>
        <v/>
      </c>
      <c r="FR249" t="str">
        <f>+IFERROR(VLOOKUP(FR50,IN_Zugliste!$A$4:$D$2002,5,FALSE),"")</f>
        <v/>
      </c>
      <c r="FS249" t="str">
        <f>+IFERROR(VLOOKUP(FS50,IN_Zugliste!$A$4:$D$2002,5,FALSE),"")</f>
        <v/>
      </c>
      <c r="FT249" t="str">
        <f>+IFERROR(VLOOKUP(FT50,IN_Zugliste!$A$4:$D$2002,5,FALSE),"")</f>
        <v/>
      </c>
      <c r="FU249" t="str">
        <f>+IFERROR(VLOOKUP(FU50,IN_Zugliste!$A$4:$D$2002,5,FALSE),"")</f>
        <v/>
      </c>
      <c r="FV249" t="str">
        <f>+IFERROR(VLOOKUP(FV50,IN_Zugliste!$A$4:$D$2002,5,FALSE),"")</f>
        <v/>
      </c>
      <c r="FW249" t="str">
        <f>+IFERROR(VLOOKUP(FW50,IN_Zugliste!$A$4:$D$2002,5,FALSE),"")</f>
        <v/>
      </c>
      <c r="FX249" t="str">
        <f>+IFERROR(VLOOKUP(FX50,IN_Zugliste!$A$4:$D$2002,5,FALSE),"")</f>
        <v/>
      </c>
      <c r="FY249" t="str">
        <f>+IFERROR(VLOOKUP(FY50,IN_Zugliste!$A$4:$D$2002,5,FALSE),"")</f>
        <v/>
      </c>
      <c r="FZ249" t="str">
        <f>+IFERROR(VLOOKUP(FZ50,IN_Zugliste!$A$4:$D$2002,5,FALSE),"")</f>
        <v/>
      </c>
      <c r="GA249" t="str">
        <f>+IFERROR(VLOOKUP(GA50,IN_Zugliste!$A$4:$D$2002,5,FALSE),"")</f>
        <v/>
      </c>
      <c r="GB249" t="str">
        <f>+IFERROR(VLOOKUP(GB50,IN_Zugliste!$A$4:$D$2002,5,FALSE),"")</f>
        <v/>
      </c>
      <c r="GC249" t="str">
        <f>+IFERROR(VLOOKUP(GC50,IN_Zugliste!$A$4:$D$2002,5,FALSE),"")</f>
        <v/>
      </c>
      <c r="GD249" t="str">
        <f>+IFERROR(VLOOKUP(GD50,IN_Zugliste!$A$4:$D$2002,5,FALSE),"")</f>
        <v/>
      </c>
      <c r="GE249" t="str">
        <f>+IFERROR(VLOOKUP(GE50,IN_Zugliste!$A$4:$D$2002,5,FALSE),"")</f>
        <v/>
      </c>
      <c r="GF249" t="str">
        <f>+IFERROR(VLOOKUP(GF50,IN_Zugliste!$A$4:$D$2002,5,FALSE),"")</f>
        <v/>
      </c>
      <c r="GG249" t="str">
        <f>+IFERROR(VLOOKUP(GG50,IN_Zugliste!$A$4:$D$2002,5,FALSE),"")</f>
        <v/>
      </c>
      <c r="GH249" t="str">
        <f>+IFERROR(VLOOKUP(GH50,IN_Zugliste!$A$4:$D$2002,5,FALSE),"")</f>
        <v/>
      </c>
      <c r="GI249" t="str">
        <f>+IFERROR(VLOOKUP(GI50,IN_Zugliste!$A$4:$D$2002,5,FALSE),"")</f>
        <v/>
      </c>
      <c r="GJ249" t="str">
        <f>+IFERROR(VLOOKUP(GJ50,IN_Zugliste!$A$4:$D$2002,5,FALSE),"")</f>
        <v/>
      </c>
      <c r="GK249" t="str">
        <f>+IFERROR(VLOOKUP(GK50,IN_Zugliste!$A$4:$D$2002,5,FALSE),"")</f>
        <v/>
      </c>
      <c r="GL249" t="str">
        <f>+IFERROR(VLOOKUP(GL50,IN_Zugliste!$A$4:$D$2002,5,FALSE),"")</f>
        <v/>
      </c>
      <c r="GM249" t="str">
        <f>+IFERROR(VLOOKUP(GM50,IN_Zugliste!$A$4:$D$2002,5,FALSE),"")</f>
        <v/>
      </c>
      <c r="GN249" t="str">
        <f>+IFERROR(VLOOKUP(GN50,IN_Zugliste!$A$4:$D$2002,5,FALSE),"")</f>
        <v/>
      </c>
      <c r="GO249" t="str">
        <f>+IFERROR(VLOOKUP(GO50,IN_Zugliste!$A$4:$D$2002,5,FALSE),"")</f>
        <v/>
      </c>
      <c r="GP249" t="str">
        <f>+IFERROR(VLOOKUP(GP50,IN_Zugliste!$A$4:$D$2002,5,FALSE),"")</f>
        <v/>
      </c>
      <c r="GQ249" t="str">
        <f>+IFERROR(VLOOKUP(GQ50,IN_Zugliste!$A$4:$D$2002,5,FALSE),"")</f>
        <v/>
      </c>
      <c r="GR249" t="str">
        <f>+IFERROR(VLOOKUP(GR50,IN_Zugliste!$A$4:$D$2002,5,FALSE),"")</f>
        <v/>
      </c>
      <c r="GS249" t="str">
        <f>+IFERROR(VLOOKUP(GS50,IN_Zugliste!$A$4:$D$2002,5,FALSE),"")</f>
        <v/>
      </c>
      <c r="GT249" t="str">
        <f>+IFERROR(VLOOKUP(GT50,IN_Zugliste!$A$4:$D$2002,5,FALSE),"")</f>
        <v/>
      </c>
      <c r="GU249" t="str">
        <f>+IFERROR(VLOOKUP(GU50,IN_Zugliste!$A$4:$D$2002,5,FALSE),"")</f>
        <v/>
      </c>
      <c r="GV249" t="str">
        <f>+IFERROR(VLOOKUP(GV50,IN_Zugliste!$A$4:$D$2002,5,FALSE),"")</f>
        <v/>
      </c>
      <c r="GW249" t="str">
        <f>+IFERROR(VLOOKUP(GW50,IN_Zugliste!$A$4:$D$2002,5,FALSE),"")</f>
        <v/>
      </c>
      <c r="GX249" t="str">
        <f>+IFERROR(VLOOKUP(GX50,IN_Zugliste!$A$4:$D$2002,5,FALSE),"")</f>
        <v/>
      </c>
      <c r="GY249" t="str">
        <f>+IFERROR(VLOOKUP(GY50,IN_Zugliste!$A$4:$D$2002,5,FALSE),"")</f>
        <v/>
      </c>
      <c r="GZ249" t="str">
        <f>+IFERROR(VLOOKUP(GZ50,IN_Zugliste!$A$4:$D$2002,5,FALSE),"")</f>
        <v/>
      </c>
      <c r="HA249" t="str">
        <f>+IFERROR(VLOOKUP(HA50,IN_Zugliste!$A$4:$D$2002,5,FALSE),"")</f>
        <v/>
      </c>
      <c r="HB249" t="str">
        <f>+IFERROR(VLOOKUP(HB50,IN_Zugliste!$A$4:$D$2002,5,FALSE),"")</f>
        <v/>
      </c>
      <c r="HC249" t="str">
        <f>+IFERROR(VLOOKUP(HC50,IN_Zugliste!$A$4:$D$2002,5,FALSE),"")</f>
        <v/>
      </c>
      <c r="HD249" t="str">
        <f>+IFERROR(VLOOKUP(HD50,IN_Zugliste!$A$4:$D$2002,5,FALSE),"")</f>
        <v/>
      </c>
      <c r="HE249" t="str">
        <f>+IFERROR(VLOOKUP(HE50,IN_Zugliste!$A$4:$D$2002,5,FALSE),"")</f>
        <v/>
      </c>
      <c r="HF249" t="str">
        <f>+IFERROR(VLOOKUP(HF50,IN_Zugliste!$A$4:$D$2002,5,FALSE),"")</f>
        <v/>
      </c>
      <c r="HG249" t="str">
        <f>+IFERROR(VLOOKUP(HG50,IN_Zugliste!$A$4:$D$2002,5,FALSE),"")</f>
        <v/>
      </c>
      <c r="HH249" t="str">
        <f>+IFERROR(VLOOKUP(HH50,IN_Zugliste!$A$4:$D$2002,5,FALSE),"")</f>
        <v/>
      </c>
    </row>
    <row r="250" spans="1:216" x14ac:dyDescent="0.2">
      <c r="A250" t="str">
        <f>+IFERROR(VLOOKUP(A51,IN_Zugliste!$A$4:$E$2002,5,FALSE),"")</f>
        <v/>
      </c>
      <c r="B250" t="str">
        <f>+IFERROR(VLOOKUP(B51,IN_Zugliste!$A$4:$E$2002,5,FALSE),"")</f>
        <v/>
      </c>
      <c r="C250" t="str">
        <f>+IFERROR(VLOOKUP(C51,IN_Zugliste!$A$4:$E$2002,5,FALSE),"")</f>
        <v/>
      </c>
      <c r="D250" t="str">
        <f>+IFERROR(VLOOKUP(D51,IN_Zugliste!$A$4:$E$2002,5,FALSE),"")</f>
        <v/>
      </c>
      <c r="E250" t="str">
        <f>+IFERROR(VLOOKUP(E51,IN_Zugliste!$A$4:$E$2002,5,FALSE),"")</f>
        <v/>
      </c>
      <c r="F250" t="str">
        <f>+IFERROR(VLOOKUP(F51,IN_Zugliste!$A$4:$E$2002,5,FALSE),"")</f>
        <v/>
      </c>
      <c r="G250" t="str">
        <f>+IFERROR(VLOOKUP(G51,IN_Zugliste!$A$4:$E$2002,5,FALSE),"")</f>
        <v/>
      </c>
      <c r="H250" t="str">
        <f>+IFERROR(VLOOKUP(H51,IN_Zugliste!$A$4:$E$2002,5,FALSE),"")</f>
        <v/>
      </c>
      <c r="I250" t="str">
        <f>+IFERROR(VLOOKUP(I51,IN_Zugliste!$A$4:$E$2002,5,FALSE),"")</f>
        <v/>
      </c>
      <c r="J250" t="str">
        <f>+IFERROR(VLOOKUP(J51,IN_Zugliste!$A$4:$E$2002,5,FALSE),"")</f>
        <v/>
      </c>
      <c r="K250" t="str">
        <f>+IFERROR(VLOOKUP(K51,IN_Zugliste!$A$4:$E$2002,5,FALSE),"")</f>
        <v/>
      </c>
      <c r="L250" t="str">
        <f>+IFERROR(VLOOKUP(L51,IN_Zugliste!$A$4:$E$2002,5,FALSE),"")</f>
        <v/>
      </c>
      <c r="M250" t="str">
        <f>+IFERROR(VLOOKUP(M51,IN_Zugliste!$A$4:$E$2002,5,FALSE),"")</f>
        <v/>
      </c>
      <c r="N250" t="str">
        <f>+IFERROR(VLOOKUP(N51,IN_Zugliste!$A$4:$E$2002,5,FALSE),"")</f>
        <v/>
      </c>
      <c r="O250" t="str">
        <f>+IFERROR(VLOOKUP(O51,IN_Zugliste!$A$4:$E$2002,5,FALSE),"")</f>
        <v/>
      </c>
      <c r="P250" t="str">
        <f>+IFERROR(VLOOKUP(P51,IN_Zugliste!$A$4:$E$2002,5,FALSE),"")</f>
        <v/>
      </c>
      <c r="Q250" t="str">
        <f>+IFERROR(VLOOKUP(Q51,IN_Zugliste!$A$4:$E$2002,5,FALSE),"")</f>
        <v/>
      </c>
      <c r="R250" t="str">
        <f>+IFERROR(VLOOKUP(R51,IN_Zugliste!$A$4:$E$2002,5,FALSE),"")</f>
        <v/>
      </c>
      <c r="S250" t="str">
        <f>+IFERROR(VLOOKUP(S51,IN_Zugliste!$A$4:$E$2002,5,FALSE),"")</f>
        <v/>
      </c>
      <c r="T250" t="str">
        <f>+IFERROR(VLOOKUP(T51,IN_Zugliste!$A$4:$E$2002,5,FALSE),"")</f>
        <v/>
      </c>
      <c r="U250" t="str">
        <f>+IFERROR(VLOOKUP(U51,IN_Zugliste!$A$4:$E$2002,5,FALSE),"")</f>
        <v/>
      </c>
      <c r="V250" t="str">
        <f>+IFERROR(VLOOKUP(V51,IN_Zugliste!$A$4:$E$2002,5,FALSE),"")</f>
        <v/>
      </c>
      <c r="W250" t="str">
        <f>+IFERROR(VLOOKUP(W51,IN_Zugliste!$A$4:$E$2002,5,FALSE),"")</f>
        <v/>
      </c>
      <c r="X250" t="str">
        <f>+IFERROR(VLOOKUP(X51,IN_Zugliste!$A$4:$E$2002,5,FALSE),"")</f>
        <v/>
      </c>
      <c r="Y250" t="str">
        <f>+IFERROR(VLOOKUP(Y51,IN_Zugliste!$A$4:$E$2002,5,FALSE),"")</f>
        <v/>
      </c>
      <c r="Z250" t="str">
        <f>+IFERROR(VLOOKUP(Z51,IN_Zugliste!$A$4:$E$2002,5,FALSE),"")</f>
        <v/>
      </c>
      <c r="AA250" t="str">
        <f>+IFERROR(VLOOKUP(AA51,IN_Zugliste!$A$4:$E$2002,5,FALSE),"")</f>
        <v/>
      </c>
      <c r="AB250" t="str">
        <f>+IFERROR(VLOOKUP(AB51,IN_Zugliste!$A$4:$E$2002,5,FALSE),"")</f>
        <v/>
      </c>
      <c r="AC250" t="str">
        <f>+IFERROR(VLOOKUP(AC51,IN_Zugliste!$A$4:$E$2002,5,FALSE),"")</f>
        <v/>
      </c>
      <c r="AD250" t="str">
        <f>+IFERROR(VLOOKUP(AD51,IN_Zugliste!$A$4:$E$2002,5,FALSE),"")</f>
        <v/>
      </c>
      <c r="AE250" t="str">
        <f>+IFERROR(VLOOKUP(AE51,IN_Zugliste!$A$4:$E$2002,5,FALSE),"")</f>
        <v/>
      </c>
      <c r="AF250" t="str">
        <f>+IFERROR(VLOOKUP(AF51,IN_Zugliste!$A$4:$E$2002,5,FALSE),"")</f>
        <v/>
      </c>
      <c r="AG250" t="str">
        <f>+IFERROR(VLOOKUP(AG51,IN_Zugliste!$A$4:$E$2002,5,FALSE),"")</f>
        <v/>
      </c>
      <c r="AH250" t="str">
        <f>+IFERROR(VLOOKUP(AH51,IN_Zugliste!$A$4:$E$2002,5,FALSE),"")</f>
        <v/>
      </c>
      <c r="AI250" t="str">
        <f>+IFERROR(VLOOKUP(AI51,IN_Zugliste!$A$4:$E$2002,5,FALSE),"")</f>
        <v/>
      </c>
      <c r="AJ250" t="str">
        <f>+IFERROR(VLOOKUP(AJ51,IN_Zugliste!$A$4:$E$2002,5,FALSE),"")</f>
        <v/>
      </c>
      <c r="AK250" t="str">
        <f>+IFERROR(VLOOKUP(AK51,IN_Zugliste!$A$4:$E$2002,5,FALSE),"")</f>
        <v/>
      </c>
      <c r="AL250" t="str">
        <f>+IFERROR(VLOOKUP(AL51,IN_Zugliste!$A$4:$E$2002,5,FALSE),"")</f>
        <v/>
      </c>
      <c r="AM250" t="str">
        <f>+IFERROR(VLOOKUP(AM51,IN_Zugliste!$A$4:$E$2002,5,FALSE),"")</f>
        <v/>
      </c>
      <c r="AN250" t="str">
        <f>+IFERROR(VLOOKUP(AN51,IN_Zugliste!$A$4:$E$2002,5,FALSE),"")</f>
        <v/>
      </c>
      <c r="AO250" t="str">
        <f>+IFERROR(VLOOKUP(AO51,IN_Zugliste!$A$4:$E$2002,5,FALSE),"")</f>
        <v/>
      </c>
      <c r="AP250" t="str">
        <f>+IFERROR(VLOOKUP(AP51,IN_Zugliste!$A$4:$E$2002,5,FALSE),"")</f>
        <v/>
      </c>
      <c r="AQ250" t="str">
        <f>+IFERROR(VLOOKUP(AQ51,IN_Zugliste!$A$4:$E$2002,5,FALSE),"")</f>
        <v/>
      </c>
      <c r="AR250" t="str">
        <f>+IFERROR(VLOOKUP(AR51,IN_Zugliste!$A$4:$E$2002,5,FALSE),"")</f>
        <v/>
      </c>
      <c r="AS250" t="str">
        <f>+IFERROR(VLOOKUP(AS51,IN_Zugliste!$A$4:$E$2002,5,FALSE),"")</f>
        <v/>
      </c>
      <c r="AT250" t="str">
        <f>+IFERROR(VLOOKUP(AT51,IN_Zugliste!$A$4:$E$2002,5,FALSE),"")</f>
        <v/>
      </c>
      <c r="AU250" t="str">
        <f>+IFERROR(VLOOKUP(AU51,IN_Zugliste!$A$4:$E$2002,5,FALSE),"")</f>
        <v/>
      </c>
      <c r="AV250" t="str">
        <f>+IFERROR(VLOOKUP(AV51,IN_Zugliste!$A$4:$E$2002,5,FALSE),"")</f>
        <v/>
      </c>
      <c r="AW250" t="str">
        <f>+IFERROR(VLOOKUP(AW51,IN_Zugliste!$A$4:$E$2002,5,FALSE),"")</f>
        <v/>
      </c>
      <c r="AX250" t="str">
        <f>+IFERROR(VLOOKUP(AX51,IN_Zugliste!$A$4:$E$2002,5,FALSE),"")</f>
        <v/>
      </c>
      <c r="AY250" t="str">
        <f>+IFERROR(VLOOKUP(AY51,IN_Zugliste!$A$4:$E$2002,5,FALSE),"")</f>
        <v/>
      </c>
      <c r="AZ250" t="str">
        <f>+IFERROR(VLOOKUP(AZ51,IN_Zugliste!$A$4:$E$2002,5,FALSE),"")</f>
        <v/>
      </c>
      <c r="BA250" t="str">
        <f>+IFERROR(VLOOKUP(BA51,IN_Zugliste!$A$4:$E$2002,5,FALSE),"")</f>
        <v/>
      </c>
      <c r="BB250" t="str">
        <f>+IFERROR(VLOOKUP(BB51,IN_Zugliste!$A$4:$E$2002,5,FALSE),"")</f>
        <v/>
      </c>
      <c r="BC250" t="str">
        <f>+IFERROR(VLOOKUP(BC51,IN_Zugliste!$A$4:$E$2002,5,FALSE),"")</f>
        <v/>
      </c>
      <c r="BD250" t="str">
        <f>+IFERROR(VLOOKUP(BD51,IN_Zugliste!$A$4:$E$2002,5,FALSE),"")</f>
        <v/>
      </c>
      <c r="BE250" t="str">
        <f>+IFERROR(VLOOKUP(BE51,IN_Zugliste!$A$4:$E$2002,5,FALSE),"")</f>
        <v/>
      </c>
      <c r="BF250" t="str">
        <f>+IFERROR(VLOOKUP(BF51,IN_Zugliste!$A$4:$E$2002,5,FALSE),"")</f>
        <v/>
      </c>
      <c r="BG250" t="str">
        <f>+IFERROR(VLOOKUP(BG51,IN_Zugliste!$A$4:$E$2002,5,FALSE),"")</f>
        <v/>
      </c>
      <c r="BH250" t="str">
        <f>+IFERROR(VLOOKUP(BH51,IN_Zugliste!$A$4:$E$2002,5,FALSE),"")</f>
        <v/>
      </c>
      <c r="BI250" t="str">
        <f>+IFERROR(VLOOKUP(BI51,IN_Zugliste!$A$4:$E$2002,5,FALSE),"")</f>
        <v/>
      </c>
      <c r="BJ250" t="str">
        <f>+IFERROR(VLOOKUP(BJ51,IN_Zugliste!$A$4:$E$2002,5,FALSE),"")</f>
        <v/>
      </c>
      <c r="BK250" t="str">
        <f>+IFERROR(VLOOKUP(BK51,IN_Zugliste!$A$4:$E$2002,5,FALSE),"")</f>
        <v/>
      </c>
      <c r="BL250" t="str">
        <f>+IFERROR(VLOOKUP(BL51,IN_Zugliste!$A$4:$E$2002,5,FALSE),"")</f>
        <v/>
      </c>
      <c r="BM250" t="str">
        <f>+IFERROR(VLOOKUP(BM51,IN_Zugliste!$A$4:$E$2002,5,FALSE),"")</f>
        <v/>
      </c>
      <c r="BN250" t="str">
        <f>+IFERROR(VLOOKUP(BN51,IN_Zugliste!$A$4:$E$2002,5,FALSE),"")</f>
        <v/>
      </c>
      <c r="BO250" t="str">
        <f>+IFERROR(VLOOKUP(BO51,IN_Zugliste!$A$4:$E$2002,5,FALSE),"")</f>
        <v/>
      </c>
      <c r="BP250" t="str">
        <f>+IFERROR(VLOOKUP(BP51,IN_Zugliste!$A$4:$E$2002,5,FALSE),"")</f>
        <v/>
      </c>
      <c r="BQ250" t="str">
        <f>+IFERROR(VLOOKUP(BQ51,IN_Zugliste!$A$4:$E$2002,5,FALSE),"")</f>
        <v/>
      </c>
      <c r="BR250" t="str">
        <f>+IFERROR(VLOOKUP(BR51,IN_Zugliste!$A$4:$E$2002,5,FALSE),"")</f>
        <v/>
      </c>
      <c r="BS250" t="str">
        <f>+IFERROR(VLOOKUP(BS51,IN_Zugliste!$A$4:$E$2002,5,FALSE),"")</f>
        <v/>
      </c>
      <c r="BT250" t="str">
        <f>+IFERROR(VLOOKUP(BT51,IN_Zugliste!$A$4:$E$2002,5,FALSE),"")</f>
        <v/>
      </c>
      <c r="BU250" t="str">
        <f>+IFERROR(VLOOKUP(BU51,IN_Zugliste!$A$4:$E$2002,5,FALSE),"")</f>
        <v/>
      </c>
      <c r="BV250" t="str">
        <f>+IFERROR(VLOOKUP(BV51,IN_Zugliste!$A$4:$E$2002,5,FALSE),"")</f>
        <v/>
      </c>
      <c r="BW250" t="str">
        <f>+IFERROR(VLOOKUP(BW51,IN_Zugliste!$A$4:$E$2002,5,FALSE),"")</f>
        <v/>
      </c>
      <c r="BX250" t="str">
        <f>+IFERROR(VLOOKUP(BX51,IN_Zugliste!$A$4:$E$2002,5,FALSE),"")</f>
        <v/>
      </c>
      <c r="BY250" t="str">
        <f>+IFERROR(VLOOKUP(BY51,IN_Zugliste!$A$4:$E$2002,5,FALSE),"")</f>
        <v/>
      </c>
      <c r="BZ250" t="str">
        <f>+IFERROR(VLOOKUP(BZ51,IN_Zugliste!$A$4:$E$2002,5,FALSE),"")</f>
        <v/>
      </c>
      <c r="CA250" t="str">
        <f>+IFERROR(VLOOKUP(CA51,IN_Zugliste!$A$4:$E$2002,5,FALSE),"")</f>
        <v/>
      </c>
      <c r="CB250" t="str">
        <f>+IFERROR(VLOOKUP(CB51,IN_Zugliste!$A$4:$E$2002,5,FALSE),"")</f>
        <v/>
      </c>
      <c r="CC250" t="str">
        <f>+IFERROR(VLOOKUP(CC51,IN_Zugliste!$A$4:$E$2002,5,FALSE),"")</f>
        <v/>
      </c>
      <c r="CD250" t="str">
        <f>+IFERROR(VLOOKUP(CD51,IN_Zugliste!$A$4:$E$2002,5,FALSE),"")</f>
        <v/>
      </c>
      <c r="CE250" t="str">
        <f>+IFERROR(VLOOKUP(CE51,IN_Zugliste!$A$4:$E$2002,5,FALSE),"")</f>
        <v/>
      </c>
      <c r="CF250" t="str">
        <f>+IFERROR(VLOOKUP(CF51,IN_Zugliste!$A$4:$E$2002,5,FALSE),"")</f>
        <v/>
      </c>
      <c r="CG250" t="str">
        <f>+IFERROR(VLOOKUP(CG51,IN_Zugliste!$A$4:$E$2002,5,FALSE),"")</f>
        <v/>
      </c>
      <c r="CH250" t="str">
        <f>+IFERROR(VLOOKUP(CH51,IN_Zugliste!$A$4:$E$2002,5,FALSE),"")</f>
        <v/>
      </c>
      <c r="CI250" t="str">
        <f>+IFERROR(VLOOKUP(CI51,IN_Zugliste!$A$4:$E$2002,5,FALSE),"")</f>
        <v/>
      </c>
      <c r="CJ250" t="str">
        <f>+IFERROR(VLOOKUP(CJ51,IN_Zugliste!$A$4:$E$2002,5,FALSE),"")</f>
        <v/>
      </c>
      <c r="CK250" t="str">
        <f>+IFERROR(VLOOKUP(CK51,IN_Zugliste!$A$4:$E$2002,5,FALSE),"")</f>
        <v/>
      </c>
      <c r="CL250" t="str">
        <f>+IFERROR(VLOOKUP(CL51,IN_Zugliste!$A$4:$E$2002,5,FALSE),"")</f>
        <v/>
      </c>
      <c r="CM250" t="str">
        <f>+IFERROR(VLOOKUP(CM51,IN_Zugliste!$A$4:$E$2002,5,FALSE),"")</f>
        <v/>
      </c>
      <c r="CN250" t="str">
        <f>+IFERROR(VLOOKUP(CN51,IN_Zugliste!$A$4:$E$2002,5,FALSE),"")</f>
        <v/>
      </c>
      <c r="CO250" t="str">
        <f>+IFERROR(VLOOKUP(CO51,IN_Zugliste!$A$4:$E$2002,5,FALSE),"")</f>
        <v/>
      </c>
      <c r="CP250" t="str">
        <f>+IFERROR(VLOOKUP(CP51,IN_Zugliste!$A$4:$E$2002,5,FALSE),"")</f>
        <v/>
      </c>
      <c r="CQ250" t="str">
        <f>+IFERROR(VLOOKUP(CQ51,IN_Zugliste!$A$4:$E$2002,5,FALSE),"")</f>
        <v/>
      </c>
      <c r="CR250" t="str">
        <f>+IFERROR(VLOOKUP(CR51,IN_Zugliste!$A$4:$E$2002,5,FALSE),"")</f>
        <v/>
      </c>
      <c r="CS250" t="str">
        <f>+IFERROR(VLOOKUP(CS51,IN_Zugliste!$A$4:$E$2002,5,FALSE),"")</f>
        <v/>
      </c>
      <c r="CT250" t="str">
        <f>+IFERROR(VLOOKUP(CT51,IN_Zugliste!$A$4:$E$2002,5,FALSE),"")</f>
        <v/>
      </c>
      <c r="CU250" t="str">
        <f>+IFERROR(VLOOKUP(CU51,IN_Zugliste!$A$4:$E$2002,5,FALSE),"")</f>
        <v/>
      </c>
      <c r="CV250" t="str">
        <f>+IFERROR(VLOOKUP(CV51,IN_Zugliste!$A$4:$E$2002,5,FALSE),"")</f>
        <v/>
      </c>
      <c r="CW250" t="str">
        <f>+IFERROR(VLOOKUP(CW51,IN_Zugliste!$A$4:$E$2002,5,FALSE),"")</f>
        <v/>
      </c>
      <c r="CX250" t="str">
        <f>+IFERROR(VLOOKUP(CX51,IN_Zugliste!$A$4:$E$2002,5,FALSE),"")</f>
        <v/>
      </c>
      <c r="CY250" t="str">
        <f>+IFERROR(VLOOKUP(CY51,IN_Zugliste!$A$4:$E$2002,5,FALSE),"")</f>
        <v/>
      </c>
      <c r="CZ250" t="str">
        <f>+IFERROR(VLOOKUP(CZ51,IN_Zugliste!$A$4:$E$2002,5,FALSE),"")</f>
        <v/>
      </c>
      <c r="DA250" t="str">
        <f>+IFERROR(VLOOKUP(DA51,IN_Zugliste!$A$4:$E$2002,5,FALSE),"")</f>
        <v/>
      </c>
      <c r="DB250" t="str">
        <f>+IFERROR(VLOOKUP(DB51,IN_Zugliste!$A$4:$E$2002,5,FALSE),"")</f>
        <v/>
      </c>
      <c r="DC250" t="str">
        <f>+IFERROR(VLOOKUP(DC51,IN_Zugliste!$A$4:$E$2002,5,FALSE),"")</f>
        <v/>
      </c>
      <c r="DD250" t="str">
        <f>+IFERROR(VLOOKUP(DD51,IN_Zugliste!$A$4:$E$2002,5,FALSE),"")</f>
        <v/>
      </c>
      <c r="DE250" t="str">
        <f>+IFERROR(VLOOKUP(DE51,IN_Zugliste!$A$4:$E$2002,5,FALSE),"")</f>
        <v/>
      </c>
      <c r="DF250" t="str">
        <f>+IFERROR(VLOOKUP(DF51,IN_Zugliste!$A$4:$E$2002,5,FALSE),"")</f>
        <v/>
      </c>
      <c r="DG250" t="str">
        <f>+IFERROR(VLOOKUP(DG51,IN_Zugliste!$A$4:$E$2002,5,FALSE),"")</f>
        <v/>
      </c>
      <c r="DH250" t="str">
        <f>+IFERROR(VLOOKUP(DH51,IN_Zugliste!$A$4:$E$2002,5,FALSE),"")</f>
        <v/>
      </c>
      <c r="DI250" t="str">
        <f>+IFERROR(VLOOKUP(DI51,IN_Zugliste!$A$4:$E$2002,5,FALSE),"")</f>
        <v/>
      </c>
      <c r="DJ250" t="str">
        <f>+IFERROR(VLOOKUP(DJ51,IN_Zugliste!$A$4:$E$2002,5,FALSE),"")</f>
        <v/>
      </c>
      <c r="DK250" t="str">
        <f>+IFERROR(VLOOKUP(DK51,IN_Zugliste!$A$4:$E$2002,5,FALSE),"")</f>
        <v/>
      </c>
      <c r="DL250" t="str">
        <f>+IFERROR(VLOOKUP(DL51,IN_Zugliste!$A$4:$E$2002,5,FALSE),"")</f>
        <v/>
      </c>
      <c r="DM250" t="str">
        <f>+IFERROR(VLOOKUP(DM51,IN_Zugliste!$A$4:$E$2002,5,FALSE),"")</f>
        <v/>
      </c>
      <c r="DN250" t="str">
        <f>+IFERROR(VLOOKUP(DN51,IN_Zugliste!$A$4:$E$2002,5,FALSE),"")</f>
        <v/>
      </c>
      <c r="DO250" t="str">
        <f>+IFERROR(VLOOKUP(DO51,IN_Zugliste!$A$4:$E$2002,5,FALSE),"")</f>
        <v/>
      </c>
      <c r="DP250" t="str">
        <f>+IFERROR(VLOOKUP(DP51,IN_Zugliste!$A$4:$E$2002,5,FALSE),"")</f>
        <v/>
      </c>
      <c r="DQ250" t="str">
        <f>+IFERROR(VLOOKUP(DQ51,IN_Zugliste!$A$4:$E$2002,5,FALSE),"")</f>
        <v/>
      </c>
      <c r="DR250" t="str">
        <f>+IFERROR(VLOOKUP(DR51,IN_Zugliste!$A$4:$E$2002,5,FALSE),"")</f>
        <v/>
      </c>
      <c r="DS250" t="str">
        <f>+IFERROR(VLOOKUP(DS51,IN_Zugliste!$A$4:$E$2002,5,FALSE),"")</f>
        <v/>
      </c>
      <c r="DT250" t="str">
        <f>+IFERROR(VLOOKUP(DT51,IN_Zugliste!$A$4:$E$2002,5,FALSE),"")</f>
        <v/>
      </c>
      <c r="DU250" t="str">
        <f>+IFERROR(VLOOKUP(DU51,IN_Zugliste!$A$4:$E$2002,5,FALSE),"")</f>
        <v/>
      </c>
      <c r="DV250" t="str">
        <f>+IFERROR(VLOOKUP(DV51,IN_Zugliste!$A$4:$E$2002,5,FALSE),"")</f>
        <v/>
      </c>
      <c r="DW250" t="str">
        <f>+IFERROR(VLOOKUP(DW51,IN_Zugliste!$A$4:$E$2002,5,FALSE),"")</f>
        <v/>
      </c>
      <c r="DX250" t="str">
        <f>+IFERROR(VLOOKUP(DX51,IN_Zugliste!$A$4:$E$2002,5,FALSE),"")</f>
        <v/>
      </c>
      <c r="DY250" t="str">
        <f>+IFERROR(VLOOKUP(DY51,IN_Zugliste!$A$4:$E$2002,5,FALSE),"")</f>
        <v/>
      </c>
      <c r="DZ250" t="str">
        <f>+IFERROR(VLOOKUP(DZ51,IN_Zugliste!$A$4:$E$2002,5,FALSE),"")</f>
        <v/>
      </c>
      <c r="EA250" t="str">
        <f>+IFERROR(VLOOKUP(EA51,IN_Zugliste!$A$4:$E$2002,5,FALSE),"")</f>
        <v/>
      </c>
      <c r="EB250" t="str">
        <f>+IFERROR(VLOOKUP(EB51,IN_Zugliste!$A$4:$E$2002,5,FALSE),"")</f>
        <v/>
      </c>
      <c r="EC250" t="str">
        <f>+IFERROR(VLOOKUP(EC51,IN_Zugliste!$A$4:$E$2002,5,FALSE),"")</f>
        <v/>
      </c>
      <c r="ED250" t="str">
        <f>+IFERROR(VLOOKUP(ED51,IN_Zugliste!$A$4:$E$2002,5,FALSE),"")</f>
        <v/>
      </c>
      <c r="EE250" t="str">
        <f>+IFERROR(VLOOKUP(EE51,IN_Zugliste!$A$4:$E$2002,5,FALSE),"")</f>
        <v/>
      </c>
      <c r="EF250" t="str">
        <f>+IFERROR(VLOOKUP(EF51,IN_Zugliste!$A$4:$E$2002,5,FALSE),"")</f>
        <v/>
      </c>
      <c r="EG250" t="str">
        <f>+IFERROR(VLOOKUP(EG51,IN_Zugliste!$A$4:$E$2002,5,FALSE),"")</f>
        <v/>
      </c>
      <c r="EH250" t="str">
        <f>+IFERROR(VLOOKUP(EH51,IN_Zugliste!$A$4:$E$2002,5,FALSE),"")</f>
        <v/>
      </c>
      <c r="EI250" t="str">
        <f>+IFERROR(VLOOKUP(EI51,IN_Zugliste!$A$4:$E$2002,5,FALSE),"")</f>
        <v/>
      </c>
      <c r="EJ250" t="str">
        <f>+IFERROR(VLOOKUP(EJ51,IN_Zugliste!$A$4:$E$2002,5,FALSE),"")</f>
        <v/>
      </c>
      <c r="EK250" t="str">
        <f>+IFERROR(VLOOKUP(EK51,IN_Zugliste!$A$4:$E$2002,5,FALSE),"")</f>
        <v/>
      </c>
      <c r="EL250" t="str">
        <f>+IFERROR(VLOOKUP(EL51,IN_Zugliste!$A$4:$E$2002,5,FALSE),"")</f>
        <v/>
      </c>
      <c r="EM250" t="str">
        <f>+IFERROR(VLOOKUP(EM51,IN_Zugliste!$A$4:$E$2002,5,FALSE),"")</f>
        <v/>
      </c>
      <c r="EN250" t="str">
        <f>+IFERROR(VLOOKUP(EN51,IN_Zugliste!$A$4:$E$2002,5,FALSE),"")</f>
        <v/>
      </c>
      <c r="EO250" t="str">
        <f>+IFERROR(VLOOKUP(EO51,IN_Zugliste!$A$4:$E$2002,5,FALSE),"")</f>
        <v/>
      </c>
      <c r="EP250" t="str">
        <f>+IFERROR(VLOOKUP(EP51,IN_Zugliste!$A$4:$E$2002,5,FALSE),"")</f>
        <v/>
      </c>
      <c r="EQ250" t="str">
        <f>+IFERROR(VLOOKUP(EQ51,IN_Zugliste!$A$4:$E$2002,5,FALSE),"")</f>
        <v/>
      </c>
      <c r="ER250" t="str">
        <f>+IFERROR(VLOOKUP(ER51,IN_Zugliste!$A$4:$E$2002,5,FALSE),"")</f>
        <v/>
      </c>
      <c r="ES250" t="str">
        <f>+IFERROR(VLOOKUP(ES51,IN_Zugliste!$A$4:$E$2002,5,FALSE),"")</f>
        <v/>
      </c>
      <c r="ET250" t="str">
        <f>+IFERROR(VLOOKUP(ET51,IN_Zugliste!$A$4:$E$2002,5,FALSE),"")</f>
        <v/>
      </c>
      <c r="EU250" t="str">
        <f>+IFERROR(VLOOKUP(EU51,IN_Zugliste!$A$4:$E$2002,5,FALSE),"")</f>
        <v/>
      </c>
      <c r="EV250" t="str">
        <f>+IFERROR(VLOOKUP(EV51,IN_Zugliste!$A$4:$E$2002,5,FALSE),"")</f>
        <v/>
      </c>
      <c r="EW250" t="str">
        <f>+IFERROR(VLOOKUP(EW51,IN_Zugliste!$A$4:$E$2002,5,FALSE),"")</f>
        <v/>
      </c>
      <c r="EX250" t="str">
        <f>+IFERROR(VLOOKUP(EX51,IN_Zugliste!$A$4:$E$2002,5,FALSE),"")</f>
        <v/>
      </c>
      <c r="EY250" t="str">
        <f>+IFERROR(VLOOKUP(EY51,IN_Zugliste!$A$4:$E$2002,5,FALSE),"")</f>
        <v/>
      </c>
      <c r="EZ250" t="str">
        <f>+IFERROR(VLOOKUP(EZ51,IN_Zugliste!$A$4:$E$2002,5,FALSE),"")</f>
        <v/>
      </c>
      <c r="FA250" t="str">
        <f>+IFERROR(VLOOKUP(FA51,IN_Zugliste!$A$4:$E$2002,5,FALSE),"")</f>
        <v/>
      </c>
      <c r="FB250" t="str">
        <f>+IFERROR(VLOOKUP(FB51,IN_Zugliste!$A$4:$E$2002,5,FALSE),"")</f>
        <v/>
      </c>
      <c r="FC250" t="str">
        <f>+IFERROR(VLOOKUP(FC51,IN_Zugliste!$A$4:$E$2002,5,FALSE),"")</f>
        <v/>
      </c>
      <c r="FD250" t="str">
        <f>+IFERROR(VLOOKUP(FD51,IN_Zugliste!$A$4:$E$2002,5,FALSE),"")</f>
        <v/>
      </c>
      <c r="FE250" t="str">
        <f>+IFERROR(VLOOKUP(FE51,IN_Zugliste!$A$4:$E$2002,5,FALSE),"")</f>
        <v/>
      </c>
      <c r="FF250" t="str">
        <f>+IFERROR(VLOOKUP(FF51,IN_Zugliste!$A$4:$E$2002,5,FALSE),"")</f>
        <v/>
      </c>
      <c r="FG250" t="str">
        <f>+IFERROR(VLOOKUP(FG51,IN_Zugliste!$A$4:$E$2002,5,FALSE),"")</f>
        <v/>
      </c>
      <c r="FH250" t="str">
        <f>+IFERROR(VLOOKUP(FH51,IN_Zugliste!$A$4:$E$2002,5,FALSE),"")</f>
        <v/>
      </c>
      <c r="FI250" t="str">
        <f>+IFERROR(VLOOKUP(FI51,IN_Zugliste!$A$4:$E$2002,5,FALSE),"")</f>
        <v/>
      </c>
      <c r="FJ250" t="str">
        <f>+IFERROR(VLOOKUP(FJ51,IN_Zugliste!$A$4:$E$2002,5,FALSE),"")</f>
        <v/>
      </c>
      <c r="FK250" t="str">
        <f>+IFERROR(VLOOKUP(FK51,IN_Zugliste!$A$4:$E$2002,5,FALSE),"")</f>
        <v/>
      </c>
      <c r="FL250" t="str">
        <f>+IFERROR(VLOOKUP(FL51,IN_Zugliste!$A$4:$E$2002,5,FALSE),"")</f>
        <v/>
      </c>
      <c r="FM250" t="str">
        <f>+IFERROR(VLOOKUP(FM51,IN_Zugliste!$A$4:$D$2002,5,FALSE),"")</f>
        <v/>
      </c>
      <c r="FN250" t="str">
        <f>+IFERROR(VLOOKUP(FN51,IN_Zugliste!$A$4:$D$2002,5,FALSE),"")</f>
        <v/>
      </c>
      <c r="FO250" t="str">
        <f>+IFERROR(VLOOKUP(FO51,IN_Zugliste!$A$4:$D$2002,5,FALSE),"")</f>
        <v/>
      </c>
      <c r="FP250" t="str">
        <f>+IFERROR(VLOOKUP(FP51,IN_Zugliste!$A$4:$D$2002,5,FALSE),"")</f>
        <v/>
      </c>
      <c r="FQ250" t="str">
        <f>+IFERROR(VLOOKUP(FQ51,IN_Zugliste!$A$4:$D$2002,5,FALSE),"")</f>
        <v/>
      </c>
      <c r="FR250" t="str">
        <f>+IFERROR(VLOOKUP(FR51,IN_Zugliste!$A$4:$D$2002,5,FALSE),"")</f>
        <v/>
      </c>
      <c r="FS250" t="str">
        <f>+IFERROR(VLOOKUP(FS51,IN_Zugliste!$A$4:$D$2002,5,FALSE),"")</f>
        <v/>
      </c>
      <c r="FT250" t="str">
        <f>+IFERROR(VLOOKUP(FT51,IN_Zugliste!$A$4:$D$2002,5,FALSE),"")</f>
        <v/>
      </c>
      <c r="FU250" t="str">
        <f>+IFERROR(VLOOKUP(FU51,IN_Zugliste!$A$4:$D$2002,5,FALSE),"")</f>
        <v/>
      </c>
      <c r="FV250" t="str">
        <f>+IFERROR(VLOOKUP(FV51,IN_Zugliste!$A$4:$D$2002,5,FALSE),"")</f>
        <v/>
      </c>
      <c r="FW250" t="str">
        <f>+IFERROR(VLOOKUP(FW51,IN_Zugliste!$A$4:$D$2002,5,FALSE),"")</f>
        <v/>
      </c>
      <c r="FX250" t="str">
        <f>+IFERROR(VLOOKUP(FX51,IN_Zugliste!$A$4:$D$2002,5,FALSE),"")</f>
        <v/>
      </c>
      <c r="FY250" t="str">
        <f>+IFERROR(VLOOKUP(FY51,IN_Zugliste!$A$4:$D$2002,5,FALSE),"")</f>
        <v/>
      </c>
      <c r="FZ250" t="str">
        <f>+IFERROR(VLOOKUP(FZ51,IN_Zugliste!$A$4:$D$2002,5,FALSE),"")</f>
        <v/>
      </c>
      <c r="GA250" t="str">
        <f>+IFERROR(VLOOKUP(GA51,IN_Zugliste!$A$4:$D$2002,5,FALSE),"")</f>
        <v/>
      </c>
      <c r="GB250" t="str">
        <f>+IFERROR(VLOOKUP(GB51,IN_Zugliste!$A$4:$D$2002,5,FALSE),"")</f>
        <v/>
      </c>
      <c r="GC250" t="str">
        <f>+IFERROR(VLOOKUP(GC51,IN_Zugliste!$A$4:$D$2002,5,FALSE),"")</f>
        <v/>
      </c>
      <c r="GD250" t="str">
        <f>+IFERROR(VLOOKUP(GD51,IN_Zugliste!$A$4:$D$2002,5,FALSE),"")</f>
        <v/>
      </c>
      <c r="GE250" t="str">
        <f>+IFERROR(VLOOKUP(GE51,IN_Zugliste!$A$4:$D$2002,5,FALSE),"")</f>
        <v/>
      </c>
      <c r="GF250" t="str">
        <f>+IFERROR(VLOOKUP(GF51,IN_Zugliste!$A$4:$D$2002,5,FALSE),"")</f>
        <v/>
      </c>
      <c r="GG250" t="str">
        <f>+IFERROR(VLOOKUP(GG51,IN_Zugliste!$A$4:$D$2002,5,FALSE),"")</f>
        <v/>
      </c>
      <c r="GH250" t="str">
        <f>+IFERROR(VLOOKUP(GH51,IN_Zugliste!$A$4:$D$2002,5,FALSE),"")</f>
        <v/>
      </c>
      <c r="GI250" t="str">
        <f>+IFERROR(VLOOKUP(GI51,IN_Zugliste!$A$4:$D$2002,5,FALSE),"")</f>
        <v/>
      </c>
      <c r="GJ250" t="str">
        <f>+IFERROR(VLOOKUP(GJ51,IN_Zugliste!$A$4:$D$2002,5,FALSE),"")</f>
        <v/>
      </c>
      <c r="GK250" t="str">
        <f>+IFERROR(VLOOKUP(GK51,IN_Zugliste!$A$4:$D$2002,5,FALSE),"")</f>
        <v/>
      </c>
      <c r="GL250" t="str">
        <f>+IFERROR(VLOOKUP(GL51,IN_Zugliste!$A$4:$D$2002,5,FALSE),"")</f>
        <v/>
      </c>
      <c r="GM250" t="str">
        <f>+IFERROR(VLOOKUP(GM51,IN_Zugliste!$A$4:$D$2002,5,FALSE),"")</f>
        <v/>
      </c>
      <c r="GN250" t="str">
        <f>+IFERROR(VLOOKUP(GN51,IN_Zugliste!$A$4:$D$2002,5,FALSE),"")</f>
        <v/>
      </c>
      <c r="GO250" t="str">
        <f>+IFERROR(VLOOKUP(GO51,IN_Zugliste!$A$4:$D$2002,5,FALSE),"")</f>
        <v/>
      </c>
      <c r="GP250" t="str">
        <f>+IFERROR(VLOOKUP(GP51,IN_Zugliste!$A$4:$D$2002,5,FALSE),"")</f>
        <v/>
      </c>
      <c r="GQ250" t="str">
        <f>+IFERROR(VLOOKUP(GQ51,IN_Zugliste!$A$4:$D$2002,5,FALSE),"")</f>
        <v/>
      </c>
      <c r="GR250" t="str">
        <f>+IFERROR(VLOOKUP(GR51,IN_Zugliste!$A$4:$D$2002,5,FALSE),"")</f>
        <v/>
      </c>
      <c r="GS250" t="str">
        <f>+IFERROR(VLOOKUP(GS51,IN_Zugliste!$A$4:$D$2002,5,FALSE),"")</f>
        <v/>
      </c>
      <c r="GT250" t="str">
        <f>+IFERROR(VLOOKUP(GT51,IN_Zugliste!$A$4:$D$2002,5,FALSE),"")</f>
        <v/>
      </c>
      <c r="GU250" t="str">
        <f>+IFERROR(VLOOKUP(GU51,IN_Zugliste!$A$4:$D$2002,5,FALSE),"")</f>
        <v/>
      </c>
      <c r="GV250" t="str">
        <f>+IFERROR(VLOOKUP(GV51,IN_Zugliste!$A$4:$D$2002,5,FALSE),"")</f>
        <v/>
      </c>
      <c r="GW250" t="str">
        <f>+IFERROR(VLOOKUP(GW51,IN_Zugliste!$A$4:$D$2002,5,FALSE),"")</f>
        <v/>
      </c>
      <c r="GX250" t="str">
        <f>+IFERROR(VLOOKUP(GX51,IN_Zugliste!$A$4:$D$2002,5,FALSE),"")</f>
        <v/>
      </c>
      <c r="GY250" t="str">
        <f>+IFERROR(VLOOKUP(GY51,IN_Zugliste!$A$4:$D$2002,5,FALSE),"")</f>
        <v/>
      </c>
      <c r="GZ250" t="str">
        <f>+IFERROR(VLOOKUP(GZ51,IN_Zugliste!$A$4:$D$2002,5,FALSE),"")</f>
        <v/>
      </c>
      <c r="HA250" t="str">
        <f>+IFERROR(VLOOKUP(HA51,IN_Zugliste!$A$4:$D$2002,5,FALSE),"")</f>
        <v/>
      </c>
      <c r="HB250" t="str">
        <f>+IFERROR(VLOOKUP(HB51,IN_Zugliste!$A$4:$D$2002,5,FALSE),"")</f>
        <v/>
      </c>
      <c r="HC250" t="str">
        <f>+IFERROR(VLOOKUP(HC51,IN_Zugliste!$A$4:$D$2002,5,FALSE),"")</f>
        <v/>
      </c>
      <c r="HD250" t="str">
        <f>+IFERROR(VLOOKUP(HD51,IN_Zugliste!$A$4:$D$2002,5,FALSE),"")</f>
        <v/>
      </c>
      <c r="HE250" t="str">
        <f>+IFERROR(VLOOKUP(HE51,IN_Zugliste!$A$4:$D$2002,5,FALSE),"")</f>
        <v/>
      </c>
      <c r="HF250" t="str">
        <f>+IFERROR(VLOOKUP(HF51,IN_Zugliste!$A$4:$D$2002,5,FALSE),"")</f>
        <v/>
      </c>
      <c r="HG250" t="str">
        <f>+IFERROR(VLOOKUP(HG51,IN_Zugliste!$A$4:$D$2002,5,FALSE),"")</f>
        <v/>
      </c>
      <c r="HH250" t="str">
        <f>+IFERROR(VLOOKUP(HH51,IN_Zugliste!$A$4:$D$2002,5,FALSE),"")</f>
        <v/>
      </c>
    </row>
    <row r="257" spans="1:150" x14ac:dyDescent="0.2">
      <c r="A257" t="s">
        <v>2166</v>
      </c>
      <c r="B257" t="s">
        <v>2166</v>
      </c>
      <c r="C257" t="s">
        <v>2166</v>
      </c>
      <c r="D257" t="s">
        <v>2166</v>
      </c>
      <c r="E257" t="s">
        <v>2166</v>
      </c>
      <c r="F257" t="s">
        <v>2166</v>
      </c>
      <c r="G257" t="s">
        <v>2166</v>
      </c>
      <c r="H257" t="s">
        <v>2166</v>
      </c>
      <c r="I257" t="s">
        <v>2166</v>
      </c>
      <c r="J257" t="s">
        <v>2166</v>
      </c>
      <c r="K257" t="s">
        <v>2166</v>
      </c>
      <c r="L257" t="s">
        <v>2166</v>
      </c>
      <c r="M257" t="s">
        <v>2166</v>
      </c>
      <c r="N257" t="s">
        <v>2166</v>
      </c>
      <c r="O257" t="s">
        <v>2166</v>
      </c>
      <c r="P257" t="s">
        <v>2166</v>
      </c>
      <c r="Q257" t="s">
        <v>2166</v>
      </c>
      <c r="R257" t="s">
        <v>2166</v>
      </c>
      <c r="S257" t="s">
        <v>2166</v>
      </c>
      <c r="T257" t="s">
        <v>2166</v>
      </c>
      <c r="U257" t="s">
        <v>2166</v>
      </c>
      <c r="V257" t="s">
        <v>2166</v>
      </c>
      <c r="W257" t="s">
        <v>2166</v>
      </c>
      <c r="X257" t="s">
        <v>2166</v>
      </c>
      <c r="Y257" t="s">
        <v>2166</v>
      </c>
      <c r="Z257" t="s">
        <v>2166</v>
      </c>
      <c r="AA257" t="s">
        <v>2166</v>
      </c>
      <c r="AB257" t="s">
        <v>2166</v>
      </c>
      <c r="AC257" t="s">
        <v>2166</v>
      </c>
      <c r="AD257" t="s">
        <v>2166</v>
      </c>
      <c r="AE257" t="s">
        <v>2166</v>
      </c>
      <c r="AF257" t="s">
        <v>2166</v>
      </c>
      <c r="AG257" t="s">
        <v>2166</v>
      </c>
      <c r="AH257" t="s">
        <v>2166</v>
      </c>
      <c r="AI257" t="s">
        <v>2166</v>
      </c>
      <c r="AJ257" t="s">
        <v>2166</v>
      </c>
      <c r="AK257" t="s">
        <v>2166</v>
      </c>
      <c r="AL257" t="s">
        <v>2166</v>
      </c>
      <c r="AM257" t="s">
        <v>2166</v>
      </c>
      <c r="AN257" t="s">
        <v>2166</v>
      </c>
      <c r="AO257" t="s">
        <v>2166</v>
      </c>
      <c r="AP257" t="s">
        <v>2166</v>
      </c>
      <c r="AQ257" t="s">
        <v>2166</v>
      </c>
      <c r="AR257" t="s">
        <v>2166</v>
      </c>
      <c r="AS257" t="s">
        <v>2166</v>
      </c>
      <c r="AT257" t="s">
        <v>2166</v>
      </c>
      <c r="AU257" t="s">
        <v>2166</v>
      </c>
      <c r="AV257" t="s">
        <v>2166</v>
      </c>
      <c r="AW257" t="s">
        <v>2166</v>
      </c>
      <c r="AX257" t="s">
        <v>2166</v>
      </c>
      <c r="AY257" t="s">
        <v>2166</v>
      </c>
      <c r="AZ257" t="s">
        <v>2166</v>
      </c>
      <c r="BA257" t="s">
        <v>2166</v>
      </c>
      <c r="BB257" t="s">
        <v>2166</v>
      </c>
      <c r="BC257" t="s">
        <v>2166</v>
      </c>
      <c r="BD257" t="s">
        <v>2166</v>
      </c>
      <c r="BE257" t="s">
        <v>2166</v>
      </c>
      <c r="BF257" t="s">
        <v>2166</v>
      </c>
      <c r="BG257" t="s">
        <v>2166</v>
      </c>
      <c r="BH257" t="s">
        <v>2166</v>
      </c>
      <c r="BI257" t="s">
        <v>2166</v>
      </c>
      <c r="BJ257" t="s">
        <v>2166</v>
      </c>
      <c r="BK257" t="s">
        <v>2166</v>
      </c>
      <c r="BL257" t="s">
        <v>2166</v>
      </c>
      <c r="BM257" t="s">
        <v>2166</v>
      </c>
      <c r="BN257" t="s">
        <v>2166</v>
      </c>
      <c r="BO257" t="s">
        <v>2166</v>
      </c>
      <c r="BP257" t="s">
        <v>2166</v>
      </c>
      <c r="BQ257" t="s">
        <v>2166</v>
      </c>
      <c r="BR257" t="s">
        <v>2166</v>
      </c>
      <c r="BS257" t="s">
        <v>2166</v>
      </c>
      <c r="BT257" t="s">
        <v>2166</v>
      </c>
      <c r="BU257" t="s">
        <v>2166</v>
      </c>
      <c r="BV257" t="s">
        <v>2166</v>
      </c>
      <c r="BW257" t="s">
        <v>2166</v>
      </c>
      <c r="BX257" t="s">
        <v>2166</v>
      </c>
      <c r="BY257" t="s">
        <v>2166</v>
      </c>
      <c r="BZ257" t="s">
        <v>2166</v>
      </c>
      <c r="CA257" t="s">
        <v>2166</v>
      </c>
      <c r="CB257" t="s">
        <v>2166</v>
      </c>
      <c r="CC257" t="s">
        <v>2166</v>
      </c>
      <c r="CD257" t="s">
        <v>2166</v>
      </c>
      <c r="CE257" t="s">
        <v>2166</v>
      </c>
      <c r="CF257" t="s">
        <v>2166</v>
      </c>
      <c r="CG257" t="s">
        <v>2166</v>
      </c>
      <c r="CH257" t="s">
        <v>2166</v>
      </c>
      <c r="CI257" t="s">
        <v>2166</v>
      </c>
      <c r="CJ257" t="s">
        <v>2166</v>
      </c>
      <c r="CK257" t="s">
        <v>2166</v>
      </c>
      <c r="CL257" t="s">
        <v>2166</v>
      </c>
      <c r="CM257" t="s">
        <v>2166</v>
      </c>
      <c r="CN257" t="s">
        <v>2166</v>
      </c>
      <c r="CO257" t="s">
        <v>2166</v>
      </c>
      <c r="CP257" t="s">
        <v>2166</v>
      </c>
      <c r="CQ257" t="s">
        <v>2166</v>
      </c>
      <c r="CR257" t="s">
        <v>2166</v>
      </c>
      <c r="CS257" t="s">
        <v>2166</v>
      </c>
      <c r="CT257" t="s">
        <v>2166</v>
      </c>
      <c r="CU257" t="s">
        <v>2166</v>
      </c>
      <c r="CV257" t="s">
        <v>2166</v>
      </c>
      <c r="CW257" t="s">
        <v>2166</v>
      </c>
      <c r="CX257" t="s">
        <v>2166</v>
      </c>
      <c r="CY257" t="s">
        <v>2166</v>
      </c>
      <c r="CZ257" t="s">
        <v>2166</v>
      </c>
      <c r="DA257" t="s">
        <v>2166</v>
      </c>
      <c r="DB257" t="s">
        <v>2166</v>
      </c>
      <c r="DC257" t="s">
        <v>2166</v>
      </c>
      <c r="DD257" t="s">
        <v>2166</v>
      </c>
      <c r="DE257" t="s">
        <v>2166</v>
      </c>
      <c r="DF257" t="s">
        <v>2166</v>
      </c>
      <c r="DG257" t="s">
        <v>2166</v>
      </c>
      <c r="DH257" t="s">
        <v>2166</v>
      </c>
      <c r="DI257" t="s">
        <v>2166</v>
      </c>
      <c r="DJ257" t="s">
        <v>2166</v>
      </c>
      <c r="DK257" t="s">
        <v>2166</v>
      </c>
      <c r="DL257" t="s">
        <v>2166</v>
      </c>
      <c r="DM257" t="s">
        <v>2166</v>
      </c>
      <c r="DN257" t="s">
        <v>2166</v>
      </c>
      <c r="DO257" t="s">
        <v>2166</v>
      </c>
      <c r="DP257" t="s">
        <v>2166</v>
      </c>
      <c r="DQ257" t="s">
        <v>2166</v>
      </c>
      <c r="DR257" t="s">
        <v>2166</v>
      </c>
      <c r="DS257" t="s">
        <v>2166</v>
      </c>
      <c r="DT257" t="s">
        <v>2166</v>
      </c>
      <c r="DU257" t="s">
        <v>2166</v>
      </c>
      <c r="DV257" t="s">
        <v>2166</v>
      </c>
      <c r="DW257" t="s">
        <v>2166</v>
      </c>
      <c r="DX257" t="s">
        <v>2166</v>
      </c>
      <c r="DY257" t="s">
        <v>2166</v>
      </c>
      <c r="DZ257" t="s">
        <v>2166</v>
      </c>
      <c r="EA257" t="s">
        <v>2166</v>
      </c>
      <c r="EB257" t="s">
        <v>2166</v>
      </c>
      <c r="EC257" t="s">
        <v>2166</v>
      </c>
      <c r="ED257" t="s">
        <v>2166</v>
      </c>
      <c r="EE257" t="s">
        <v>2166</v>
      </c>
      <c r="EF257" t="s">
        <v>2166</v>
      </c>
      <c r="EG257" t="s">
        <v>2166</v>
      </c>
      <c r="EH257" t="s">
        <v>2166</v>
      </c>
      <c r="EI257" t="s">
        <v>2166</v>
      </c>
      <c r="EJ257" t="s">
        <v>2166</v>
      </c>
      <c r="EK257" t="s">
        <v>2166</v>
      </c>
      <c r="EL257" t="s">
        <v>2166</v>
      </c>
      <c r="EM257" t="s">
        <v>2166</v>
      </c>
      <c r="EN257" t="s">
        <v>2166</v>
      </c>
      <c r="EO257" t="s">
        <v>2166</v>
      </c>
      <c r="EP257" t="s">
        <v>2166</v>
      </c>
      <c r="EQ257" t="s">
        <v>2166</v>
      </c>
      <c r="ER257" t="s">
        <v>2166</v>
      </c>
      <c r="ES257" t="s">
        <v>2166</v>
      </c>
      <c r="ET257" t="s">
        <v>2166</v>
      </c>
    </row>
    <row r="258" spans="1:150" x14ac:dyDescent="0.2">
      <c r="A258" t="s">
        <v>2166</v>
      </c>
      <c r="B258" t="s">
        <v>2166</v>
      </c>
      <c r="C258" t="s">
        <v>2166</v>
      </c>
      <c r="D258" t="s">
        <v>2166</v>
      </c>
      <c r="E258" t="s">
        <v>2166</v>
      </c>
      <c r="F258" t="s">
        <v>2166</v>
      </c>
      <c r="G258" t="s">
        <v>2166</v>
      </c>
      <c r="H258" t="s">
        <v>2166</v>
      </c>
      <c r="I258" t="s">
        <v>2166</v>
      </c>
      <c r="J258" t="s">
        <v>2166</v>
      </c>
      <c r="K258" t="s">
        <v>2166</v>
      </c>
      <c r="L258" t="s">
        <v>2166</v>
      </c>
      <c r="M258" t="s">
        <v>2166</v>
      </c>
      <c r="N258" t="s">
        <v>2166</v>
      </c>
      <c r="O258" t="s">
        <v>2166</v>
      </c>
      <c r="P258" t="s">
        <v>2166</v>
      </c>
      <c r="Q258" t="s">
        <v>2166</v>
      </c>
      <c r="R258" t="s">
        <v>2166</v>
      </c>
      <c r="S258" t="s">
        <v>2166</v>
      </c>
      <c r="T258" t="s">
        <v>2166</v>
      </c>
      <c r="U258" t="s">
        <v>2166</v>
      </c>
      <c r="V258" t="s">
        <v>2166</v>
      </c>
      <c r="W258" t="s">
        <v>2166</v>
      </c>
      <c r="X258" t="s">
        <v>2166</v>
      </c>
      <c r="Y258" t="s">
        <v>2166</v>
      </c>
      <c r="Z258" t="s">
        <v>2166</v>
      </c>
      <c r="AA258" t="s">
        <v>2166</v>
      </c>
      <c r="AB258" t="s">
        <v>2166</v>
      </c>
      <c r="AC258" t="s">
        <v>2166</v>
      </c>
      <c r="AD258" t="s">
        <v>2166</v>
      </c>
      <c r="AE258" t="s">
        <v>2166</v>
      </c>
      <c r="AF258" t="s">
        <v>2166</v>
      </c>
      <c r="AG258" t="s">
        <v>2166</v>
      </c>
      <c r="AH258" t="s">
        <v>2166</v>
      </c>
      <c r="AI258" t="s">
        <v>2166</v>
      </c>
      <c r="AJ258" t="s">
        <v>2166</v>
      </c>
      <c r="AK258" t="s">
        <v>2166</v>
      </c>
      <c r="AL258" t="s">
        <v>2166</v>
      </c>
      <c r="AM258" t="s">
        <v>2166</v>
      </c>
      <c r="AN258" t="s">
        <v>2166</v>
      </c>
      <c r="AO258" t="s">
        <v>2166</v>
      </c>
      <c r="AP258" t="s">
        <v>2166</v>
      </c>
      <c r="AQ258" t="s">
        <v>2166</v>
      </c>
      <c r="AR258" t="s">
        <v>2166</v>
      </c>
      <c r="AS258" t="s">
        <v>2166</v>
      </c>
      <c r="AT258" t="s">
        <v>2166</v>
      </c>
      <c r="AU258" t="s">
        <v>2166</v>
      </c>
      <c r="AV258" t="s">
        <v>2166</v>
      </c>
      <c r="AW258" t="s">
        <v>2166</v>
      </c>
      <c r="AX258" t="s">
        <v>2166</v>
      </c>
      <c r="AY258" t="s">
        <v>2166</v>
      </c>
      <c r="AZ258" t="s">
        <v>2166</v>
      </c>
      <c r="BA258" t="s">
        <v>2166</v>
      </c>
      <c r="BB258" t="s">
        <v>2166</v>
      </c>
      <c r="BC258" t="s">
        <v>2166</v>
      </c>
      <c r="BD258" t="s">
        <v>2166</v>
      </c>
      <c r="BE258" t="s">
        <v>2166</v>
      </c>
      <c r="BF258" t="s">
        <v>2166</v>
      </c>
      <c r="BG258" t="s">
        <v>2166</v>
      </c>
      <c r="BH258" t="s">
        <v>2166</v>
      </c>
      <c r="BI258" t="s">
        <v>2166</v>
      </c>
      <c r="BJ258" t="s">
        <v>2166</v>
      </c>
      <c r="BK258" t="s">
        <v>2166</v>
      </c>
      <c r="BL258" t="s">
        <v>2166</v>
      </c>
      <c r="BM258" t="s">
        <v>2166</v>
      </c>
      <c r="BN258" t="s">
        <v>2166</v>
      </c>
      <c r="BO258" t="s">
        <v>2166</v>
      </c>
      <c r="BP258" t="s">
        <v>2166</v>
      </c>
      <c r="BQ258" t="s">
        <v>2166</v>
      </c>
      <c r="BR258" t="s">
        <v>2166</v>
      </c>
      <c r="BS258" t="s">
        <v>2166</v>
      </c>
      <c r="BT258" t="s">
        <v>2166</v>
      </c>
      <c r="BU258" t="s">
        <v>2166</v>
      </c>
      <c r="BV258" t="s">
        <v>2166</v>
      </c>
      <c r="BW258" t="s">
        <v>2166</v>
      </c>
      <c r="BX258" t="s">
        <v>2166</v>
      </c>
      <c r="BY258" t="s">
        <v>2166</v>
      </c>
      <c r="BZ258" t="s">
        <v>2166</v>
      </c>
      <c r="CA258" t="s">
        <v>2166</v>
      </c>
      <c r="CB258" t="s">
        <v>2166</v>
      </c>
      <c r="CC258" t="s">
        <v>2166</v>
      </c>
      <c r="CD258" t="s">
        <v>2166</v>
      </c>
      <c r="CE258" t="s">
        <v>2166</v>
      </c>
      <c r="CF258" t="s">
        <v>2166</v>
      </c>
      <c r="CG258" t="s">
        <v>2166</v>
      </c>
      <c r="CH258" t="s">
        <v>2166</v>
      </c>
      <c r="CI258" t="s">
        <v>2166</v>
      </c>
      <c r="CJ258" t="s">
        <v>2166</v>
      </c>
      <c r="CK258" t="s">
        <v>2166</v>
      </c>
      <c r="CL258" t="s">
        <v>2166</v>
      </c>
      <c r="CM258" t="s">
        <v>2166</v>
      </c>
      <c r="CN258" t="s">
        <v>2166</v>
      </c>
      <c r="CO258" t="s">
        <v>2166</v>
      </c>
      <c r="CP258" t="s">
        <v>2166</v>
      </c>
      <c r="CQ258" t="s">
        <v>2166</v>
      </c>
      <c r="CR258" t="s">
        <v>2166</v>
      </c>
      <c r="CS258" t="s">
        <v>2166</v>
      </c>
      <c r="CT258" t="s">
        <v>2166</v>
      </c>
      <c r="CU258" t="s">
        <v>2166</v>
      </c>
      <c r="CV258" t="s">
        <v>2166</v>
      </c>
      <c r="CW258" t="s">
        <v>2166</v>
      </c>
      <c r="CX258" t="s">
        <v>2166</v>
      </c>
      <c r="CY258" t="s">
        <v>2166</v>
      </c>
      <c r="CZ258" t="s">
        <v>2166</v>
      </c>
      <c r="DA258" t="s">
        <v>2166</v>
      </c>
      <c r="DB258" t="s">
        <v>2166</v>
      </c>
      <c r="DC258" t="s">
        <v>2166</v>
      </c>
      <c r="DD258" t="s">
        <v>2166</v>
      </c>
      <c r="DE258" t="s">
        <v>2166</v>
      </c>
      <c r="DF258" t="s">
        <v>2166</v>
      </c>
      <c r="DG258" t="s">
        <v>2166</v>
      </c>
      <c r="DH258" t="s">
        <v>2166</v>
      </c>
      <c r="DI258" t="s">
        <v>2166</v>
      </c>
      <c r="DJ258" t="s">
        <v>2166</v>
      </c>
      <c r="DK258" t="s">
        <v>2166</v>
      </c>
      <c r="DL258" t="s">
        <v>2166</v>
      </c>
      <c r="DM258" t="s">
        <v>2166</v>
      </c>
      <c r="DN258" t="s">
        <v>2166</v>
      </c>
      <c r="DO258" t="s">
        <v>2166</v>
      </c>
      <c r="DP258" t="s">
        <v>2166</v>
      </c>
      <c r="DQ258" t="s">
        <v>2166</v>
      </c>
      <c r="DR258" t="s">
        <v>2166</v>
      </c>
      <c r="DS258" t="s">
        <v>2166</v>
      </c>
      <c r="DT258" t="s">
        <v>2166</v>
      </c>
      <c r="DU258" t="s">
        <v>2166</v>
      </c>
      <c r="DV258" t="s">
        <v>2166</v>
      </c>
      <c r="DW258" t="s">
        <v>2166</v>
      </c>
      <c r="DX258" t="s">
        <v>2166</v>
      </c>
      <c r="DY258" t="s">
        <v>2166</v>
      </c>
      <c r="DZ258" t="s">
        <v>2166</v>
      </c>
      <c r="EA258" t="s">
        <v>2166</v>
      </c>
      <c r="EB258" t="s">
        <v>2166</v>
      </c>
      <c r="EC258" t="s">
        <v>2166</v>
      </c>
      <c r="ED258" t="s">
        <v>2166</v>
      </c>
      <c r="EE258" t="s">
        <v>2166</v>
      </c>
      <c r="EF258" t="s">
        <v>2166</v>
      </c>
      <c r="EG258" t="s">
        <v>2166</v>
      </c>
      <c r="EH258" t="s">
        <v>2166</v>
      </c>
      <c r="EI258" t="s">
        <v>2166</v>
      </c>
      <c r="EJ258" t="s">
        <v>2166</v>
      </c>
      <c r="EK258" t="s">
        <v>2166</v>
      </c>
      <c r="EL258" t="s">
        <v>2166</v>
      </c>
      <c r="EM258" t="s">
        <v>2166</v>
      </c>
      <c r="EN258" t="s">
        <v>2166</v>
      </c>
      <c r="EO258" t="s">
        <v>2166</v>
      </c>
      <c r="EP258" t="s">
        <v>2166</v>
      </c>
      <c r="EQ258" t="s">
        <v>2166</v>
      </c>
      <c r="ER258" t="s">
        <v>2166</v>
      </c>
      <c r="ES258" t="s">
        <v>2166</v>
      </c>
      <c r="ET258" t="s">
        <v>2166</v>
      </c>
    </row>
    <row r="259" spans="1:150" x14ac:dyDescent="0.2">
      <c r="A259" t="s">
        <v>2166</v>
      </c>
      <c r="B259" t="s">
        <v>2166</v>
      </c>
      <c r="C259" t="s">
        <v>2166</v>
      </c>
      <c r="D259" t="s">
        <v>2166</v>
      </c>
      <c r="E259" t="s">
        <v>2166</v>
      </c>
      <c r="F259" t="s">
        <v>2166</v>
      </c>
      <c r="G259" t="s">
        <v>2166</v>
      </c>
      <c r="H259" t="s">
        <v>2166</v>
      </c>
      <c r="I259" t="s">
        <v>2166</v>
      </c>
      <c r="J259" t="s">
        <v>2166</v>
      </c>
      <c r="K259" t="s">
        <v>2166</v>
      </c>
      <c r="L259" t="s">
        <v>2166</v>
      </c>
      <c r="M259" t="s">
        <v>2166</v>
      </c>
      <c r="N259" t="s">
        <v>2166</v>
      </c>
      <c r="O259" t="s">
        <v>2166</v>
      </c>
      <c r="P259" t="s">
        <v>2166</v>
      </c>
      <c r="Q259" t="s">
        <v>2166</v>
      </c>
      <c r="R259" t="s">
        <v>2166</v>
      </c>
      <c r="S259" t="s">
        <v>2166</v>
      </c>
      <c r="T259" t="s">
        <v>2166</v>
      </c>
      <c r="U259" t="s">
        <v>2166</v>
      </c>
      <c r="V259" t="s">
        <v>2166</v>
      </c>
      <c r="W259" t="s">
        <v>2166</v>
      </c>
      <c r="X259" t="s">
        <v>2166</v>
      </c>
      <c r="Y259" t="s">
        <v>2166</v>
      </c>
      <c r="Z259" t="s">
        <v>2166</v>
      </c>
      <c r="AA259" t="s">
        <v>2166</v>
      </c>
      <c r="AB259" t="s">
        <v>2166</v>
      </c>
      <c r="AC259" t="s">
        <v>2166</v>
      </c>
      <c r="AD259" t="s">
        <v>2166</v>
      </c>
      <c r="AE259" t="s">
        <v>2166</v>
      </c>
      <c r="AF259" t="s">
        <v>2166</v>
      </c>
      <c r="AG259" t="s">
        <v>2166</v>
      </c>
      <c r="AH259" t="s">
        <v>2166</v>
      </c>
      <c r="AI259" t="s">
        <v>2166</v>
      </c>
      <c r="AJ259" t="s">
        <v>2166</v>
      </c>
      <c r="AK259" t="s">
        <v>2166</v>
      </c>
      <c r="AL259" t="s">
        <v>2166</v>
      </c>
      <c r="AM259" t="s">
        <v>2166</v>
      </c>
      <c r="AN259" t="s">
        <v>2166</v>
      </c>
      <c r="AO259" t="s">
        <v>2166</v>
      </c>
      <c r="AP259" t="s">
        <v>2166</v>
      </c>
      <c r="AQ259" t="s">
        <v>2166</v>
      </c>
      <c r="AR259" t="s">
        <v>2166</v>
      </c>
      <c r="AS259" t="s">
        <v>2166</v>
      </c>
      <c r="AT259" t="s">
        <v>2166</v>
      </c>
      <c r="AU259" t="s">
        <v>2166</v>
      </c>
      <c r="AV259" t="s">
        <v>2166</v>
      </c>
      <c r="AW259" t="s">
        <v>2166</v>
      </c>
      <c r="AX259" t="s">
        <v>2166</v>
      </c>
      <c r="AY259" t="s">
        <v>2166</v>
      </c>
      <c r="AZ259" t="s">
        <v>2166</v>
      </c>
      <c r="BA259" t="s">
        <v>2166</v>
      </c>
      <c r="BB259" t="s">
        <v>2166</v>
      </c>
      <c r="BC259" t="s">
        <v>2166</v>
      </c>
      <c r="BD259" t="s">
        <v>2166</v>
      </c>
      <c r="BE259" t="s">
        <v>2166</v>
      </c>
      <c r="BF259" t="s">
        <v>2166</v>
      </c>
      <c r="BG259" t="s">
        <v>2166</v>
      </c>
      <c r="BH259" t="s">
        <v>2166</v>
      </c>
      <c r="BI259" t="s">
        <v>2166</v>
      </c>
      <c r="BJ259" t="s">
        <v>2166</v>
      </c>
      <c r="BK259" t="s">
        <v>2166</v>
      </c>
      <c r="BL259" t="s">
        <v>2166</v>
      </c>
      <c r="BM259" t="s">
        <v>2166</v>
      </c>
      <c r="BN259" t="s">
        <v>2166</v>
      </c>
      <c r="BO259" t="s">
        <v>2166</v>
      </c>
      <c r="BP259" t="s">
        <v>2166</v>
      </c>
      <c r="BQ259" t="s">
        <v>2166</v>
      </c>
      <c r="BR259" t="s">
        <v>2166</v>
      </c>
      <c r="BS259" t="s">
        <v>2166</v>
      </c>
      <c r="BT259" t="s">
        <v>2166</v>
      </c>
      <c r="BU259" t="s">
        <v>2166</v>
      </c>
      <c r="BV259" t="s">
        <v>2166</v>
      </c>
      <c r="BW259" t="s">
        <v>2166</v>
      </c>
      <c r="BX259" t="s">
        <v>2166</v>
      </c>
      <c r="BY259" t="s">
        <v>2166</v>
      </c>
      <c r="BZ259" t="s">
        <v>2166</v>
      </c>
      <c r="CA259" t="s">
        <v>2166</v>
      </c>
      <c r="CB259" t="s">
        <v>2166</v>
      </c>
      <c r="CC259" t="s">
        <v>2166</v>
      </c>
      <c r="CD259" t="s">
        <v>2166</v>
      </c>
      <c r="CE259" t="s">
        <v>2166</v>
      </c>
      <c r="CF259" t="s">
        <v>2166</v>
      </c>
      <c r="CG259" t="s">
        <v>2166</v>
      </c>
      <c r="CH259" t="s">
        <v>2166</v>
      </c>
      <c r="CI259" t="s">
        <v>2166</v>
      </c>
      <c r="CJ259" t="s">
        <v>2166</v>
      </c>
      <c r="CK259" t="s">
        <v>2166</v>
      </c>
      <c r="CL259" t="s">
        <v>2166</v>
      </c>
      <c r="CM259" t="s">
        <v>2166</v>
      </c>
      <c r="CN259" t="s">
        <v>2166</v>
      </c>
      <c r="CO259" t="s">
        <v>2166</v>
      </c>
      <c r="CP259" t="s">
        <v>2166</v>
      </c>
      <c r="CQ259" t="s">
        <v>2166</v>
      </c>
      <c r="CR259" t="s">
        <v>2166</v>
      </c>
      <c r="CS259" t="s">
        <v>2166</v>
      </c>
      <c r="CT259" t="s">
        <v>2166</v>
      </c>
      <c r="CU259" t="s">
        <v>2166</v>
      </c>
      <c r="CV259" t="s">
        <v>2166</v>
      </c>
      <c r="CW259" t="s">
        <v>2166</v>
      </c>
      <c r="CX259" t="s">
        <v>2166</v>
      </c>
      <c r="CY259" t="s">
        <v>2166</v>
      </c>
      <c r="CZ259" t="s">
        <v>2166</v>
      </c>
      <c r="DA259" t="s">
        <v>2166</v>
      </c>
      <c r="DB259" t="s">
        <v>2166</v>
      </c>
      <c r="DC259" t="s">
        <v>2166</v>
      </c>
      <c r="DD259" t="s">
        <v>2166</v>
      </c>
      <c r="DE259" t="s">
        <v>2166</v>
      </c>
      <c r="DF259" t="s">
        <v>2166</v>
      </c>
      <c r="DG259" t="s">
        <v>2166</v>
      </c>
      <c r="DH259" t="s">
        <v>2166</v>
      </c>
      <c r="DI259" t="s">
        <v>2166</v>
      </c>
      <c r="DJ259" t="s">
        <v>2166</v>
      </c>
      <c r="DK259" t="s">
        <v>2166</v>
      </c>
      <c r="DL259" t="s">
        <v>2166</v>
      </c>
      <c r="DM259" t="s">
        <v>2166</v>
      </c>
      <c r="DN259" t="s">
        <v>2166</v>
      </c>
      <c r="DO259" t="s">
        <v>2166</v>
      </c>
      <c r="DP259" t="s">
        <v>2166</v>
      </c>
      <c r="DQ259" t="s">
        <v>2166</v>
      </c>
      <c r="DR259" t="s">
        <v>2166</v>
      </c>
      <c r="DS259" t="s">
        <v>2166</v>
      </c>
      <c r="DT259" t="s">
        <v>2166</v>
      </c>
      <c r="DU259" t="s">
        <v>2166</v>
      </c>
      <c r="DV259" t="s">
        <v>2166</v>
      </c>
      <c r="DW259" t="s">
        <v>2166</v>
      </c>
      <c r="DX259" t="s">
        <v>2166</v>
      </c>
      <c r="DY259" t="s">
        <v>2166</v>
      </c>
      <c r="DZ259" t="s">
        <v>2166</v>
      </c>
      <c r="EA259" t="s">
        <v>2166</v>
      </c>
      <c r="EB259" t="s">
        <v>2166</v>
      </c>
      <c r="EC259" t="s">
        <v>2166</v>
      </c>
      <c r="ED259" t="s">
        <v>2166</v>
      </c>
      <c r="EE259" t="s">
        <v>2166</v>
      </c>
      <c r="EF259" t="s">
        <v>2166</v>
      </c>
      <c r="EG259" t="s">
        <v>2166</v>
      </c>
      <c r="EH259" t="s">
        <v>2166</v>
      </c>
      <c r="EI259" t="s">
        <v>2166</v>
      </c>
      <c r="EJ259" t="s">
        <v>2166</v>
      </c>
      <c r="EK259" t="s">
        <v>2166</v>
      </c>
      <c r="EL259" t="s">
        <v>2166</v>
      </c>
      <c r="EM259" t="s">
        <v>2166</v>
      </c>
      <c r="EN259" t="s">
        <v>2166</v>
      </c>
      <c r="EO259" t="s">
        <v>2166</v>
      </c>
      <c r="EP259" t="s">
        <v>2166</v>
      </c>
      <c r="EQ259" t="s">
        <v>2166</v>
      </c>
      <c r="ER259" t="s">
        <v>2166</v>
      </c>
      <c r="ES259" t="s">
        <v>2166</v>
      </c>
      <c r="ET259" t="s">
        <v>2166</v>
      </c>
    </row>
    <row r="260" spans="1:150" x14ac:dyDescent="0.2">
      <c r="A260" t="s">
        <v>2166</v>
      </c>
      <c r="B260" t="s">
        <v>2166</v>
      </c>
      <c r="C260" t="s">
        <v>2166</v>
      </c>
      <c r="D260" t="s">
        <v>2166</v>
      </c>
      <c r="E260" t="s">
        <v>2166</v>
      </c>
      <c r="F260" t="s">
        <v>2166</v>
      </c>
      <c r="G260" t="s">
        <v>2166</v>
      </c>
      <c r="H260" t="s">
        <v>2166</v>
      </c>
      <c r="I260" t="s">
        <v>2166</v>
      </c>
      <c r="J260" t="s">
        <v>2166</v>
      </c>
      <c r="K260" t="s">
        <v>2166</v>
      </c>
      <c r="L260" t="s">
        <v>2166</v>
      </c>
      <c r="M260" t="s">
        <v>2166</v>
      </c>
      <c r="N260" t="s">
        <v>2166</v>
      </c>
      <c r="O260" t="s">
        <v>2166</v>
      </c>
      <c r="P260" t="s">
        <v>2166</v>
      </c>
      <c r="Q260" t="s">
        <v>2166</v>
      </c>
      <c r="R260" t="s">
        <v>2166</v>
      </c>
      <c r="S260" t="s">
        <v>2166</v>
      </c>
      <c r="T260" t="s">
        <v>2166</v>
      </c>
      <c r="U260" t="s">
        <v>2166</v>
      </c>
      <c r="V260" t="s">
        <v>2166</v>
      </c>
      <c r="W260" t="s">
        <v>2166</v>
      </c>
      <c r="X260" t="s">
        <v>2166</v>
      </c>
      <c r="Y260" t="s">
        <v>2166</v>
      </c>
      <c r="Z260" t="s">
        <v>2166</v>
      </c>
      <c r="AA260" t="s">
        <v>2166</v>
      </c>
      <c r="AB260" t="s">
        <v>2166</v>
      </c>
      <c r="AC260" t="s">
        <v>2166</v>
      </c>
      <c r="AD260" t="s">
        <v>2166</v>
      </c>
      <c r="AE260" t="s">
        <v>2166</v>
      </c>
      <c r="AF260" t="s">
        <v>2166</v>
      </c>
      <c r="AG260" t="s">
        <v>2166</v>
      </c>
      <c r="AH260" t="s">
        <v>2166</v>
      </c>
      <c r="AI260" t="s">
        <v>2166</v>
      </c>
      <c r="AJ260" t="s">
        <v>2166</v>
      </c>
      <c r="AK260" t="s">
        <v>2166</v>
      </c>
      <c r="AL260" t="s">
        <v>2166</v>
      </c>
      <c r="AM260" t="s">
        <v>2166</v>
      </c>
      <c r="AN260" t="s">
        <v>2166</v>
      </c>
      <c r="AO260" t="s">
        <v>2166</v>
      </c>
      <c r="AP260" t="s">
        <v>2166</v>
      </c>
      <c r="AQ260" t="s">
        <v>2166</v>
      </c>
      <c r="AR260" t="s">
        <v>2166</v>
      </c>
      <c r="AS260" t="s">
        <v>2166</v>
      </c>
      <c r="AT260" t="s">
        <v>2166</v>
      </c>
      <c r="AU260" t="s">
        <v>2166</v>
      </c>
      <c r="AV260" t="s">
        <v>2166</v>
      </c>
      <c r="AW260" t="s">
        <v>2166</v>
      </c>
      <c r="AX260" t="s">
        <v>2166</v>
      </c>
      <c r="AY260" t="s">
        <v>2166</v>
      </c>
      <c r="AZ260" t="s">
        <v>2166</v>
      </c>
      <c r="BA260" t="s">
        <v>2166</v>
      </c>
      <c r="BB260" t="s">
        <v>2166</v>
      </c>
      <c r="BC260" t="s">
        <v>2166</v>
      </c>
      <c r="BD260" t="s">
        <v>2166</v>
      </c>
      <c r="BE260" t="s">
        <v>2166</v>
      </c>
      <c r="BF260" t="s">
        <v>2166</v>
      </c>
      <c r="BG260" t="s">
        <v>2166</v>
      </c>
      <c r="BH260" t="s">
        <v>2166</v>
      </c>
      <c r="BI260" t="s">
        <v>2166</v>
      </c>
      <c r="BJ260" t="s">
        <v>2166</v>
      </c>
      <c r="BK260" t="s">
        <v>2166</v>
      </c>
      <c r="BL260" t="s">
        <v>2166</v>
      </c>
      <c r="BM260" t="s">
        <v>2166</v>
      </c>
      <c r="BN260" t="s">
        <v>2166</v>
      </c>
      <c r="BO260" t="s">
        <v>2166</v>
      </c>
      <c r="BP260" t="s">
        <v>2166</v>
      </c>
      <c r="BQ260" t="s">
        <v>2166</v>
      </c>
      <c r="BR260" t="s">
        <v>2166</v>
      </c>
      <c r="BS260" t="s">
        <v>2166</v>
      </c>
      <c r="BT260" t="s">
        <v>2166</v>
      </c>
      <c r="BU260" t="s">
        <v>2166</v>
      </c>
      <c r="BV260" t="s">
        <v>2166</v>
      </c>
      <c r="BW260" t="s">
        <v>2166</v>
      </c>
      <c r="BX260" t="s">
        <v>2166</v>
      </c>
      <c r="BY260" t="s">
        <v>2166</v>
      </c>
      <c r="BZ260" t="s">
        <v>2166</v>
      </c>
      <c r="CA260" t="s">
        <v>2166</v>
      </c>
      <c r="CB260" t="s">
        <v>2166</v>
      </c>
      <c r="CC260" t="s">
        <v>2166</v>
      </c>
      <c r="CD260" t="s">
        <v>2166</v>
      </c>
      <c r="CE260" t="s">
        <v>2166</v>
      </c>
      <c r="CF260" t="s">
        <v>2166</v>
      </c>
      <c r="CG260" t="s">
        <v>2166</v>
      </c>
      <c r="CH260" t="s">
        <v>2166</v>
      </c>
      <c r="CI260" t="s">
        <v>2166</v>
      </c>
      <c r="CJ260" t="s">
        <v>2166</v>
      </c>
      <c r="CK260" t="s">
        <v>2166</v>
      </c>
      <c r="CL260" t="s">
        <v>2166</v>
      </c>
      <c r="CM260" t="s">
        <v>2166</v>
      </c>
      <c r="CN260" t="s">
        <v>2166</v>
      </c>
      <c r="CO260" t="s">
        <v>2166</v>
      </c>
      <c r="CP260" t="s">
        <v>2166</v>
      </c>
      <c r="CQ260" t="s">
        <v>2166</v>
      </c>
      <c r="CR260" t="s">
        <v>2166</v>
      </c>
      <c r="CS260" t="s">
        <v>2166</v>
      </c>
      <c r="CT260" t="s">
        <v>2166</v>
      </c>
      <c r="CU260" t="s">
        <v>2166</v>
      </c>
      <c r="CV260" t="s">
        <v>2166</v>
      </c>
      <c r="CW260" t="s">
        <v>2166</v>
      </c>
      <c r="CX260" t="s">
        <v>2166</v>
      </c>
      <c r="CY260" t="s">
        <v>2166</v>
      </c>
      <c r="CZ260" t="s">
        <v>2166</v>
      </c>
      <c r="DA260" t="s">
        <v>2166</v>
      </c>
      <c r="DB260" t="s">
        <v>2166</v>
      </c>
      <c r="DC260" t="s">
        <v>2166</v>
      </c>
      <c r="DD260" t="s">
        <v>2166</v>
      </c>
      <c r="DE260" t="s">
        <v>2166</v>
      </c>
      <c r="DF260" t="s">
        <v>2166</v>
      </c>
      <c r="DG260" t="s">
        <v>2166</v>
      </c>
      <c r="DH260" t="s">
        <v>2166</v>
      </c>
      <c r="DI260" t="s">
        <v>2166</v>
      </c>
      <c r="DJ260" t="s">
        <v>2166</v>
      </c>
      <c r="DK260" t="s">
        <v>2166</v>
      </c>
      <c r="DL260" t="s">
        <v>2166</v>
      </c>
      <c r="DM260" t="s">
        <v>2166</v>
      </c>
      <c r="DN260" t="s">
        <v>2166</v>
      </c>
      <c r="DO260" t="s">
        <v>2166</v>
      </c>
      <c r="DP260" t="s">
        <v>2166</v>
      </c>
      <c r="DQ260" t="s">
        <v>2166</v>
      </c>
      <c r="DR260" t="s">
        <v>2166</v>
      </c>
      <c r="DS260" t="s">
        <v>2166</v>
      </c>
      <c r="DT260" t="s">
        <v>2166</v>
      </c>
      <c r="DU260" t="s">
        <v>2166</v>
      </c>
      <c r="DV260" t="s">
        <v>2166</v>
      </c>
      <c r="DW260" t="s">
        <v>2166</v>
      </c>
      <c r="DX260" t="s">
        <v>2166</v>
      </c>
      <c r="DY260" t="s">
        <v>2166</v>
      </c>
      <c r="DZ260" t="s">
        <v>2166</v>
      </c>
      <c r="EA260" t="s">
        <v>2166</v>
      </c>
      <c r="EB260" t="s">
        <v>2166</v>
      </c>
      <c r="EC260" t="s">
        <v>2166</v>
      </c>
      <c r="ED260" t="s">
        <v>2166</v>
      </c>
      <c r="EE260" t="s">
        <v>2166</v>
      </c>
      <c r="EF260" t="s">
        <v>2166</v>
      </c>
      <c r="EG260" t="s">
        <v>2166</v>
      </c>
      <c r="EH260" t="s">
        <v>2166</v>
      </c>
      <c r="EI260" t="s">
        <v>2166</v>
      </c>
      <c r="EJ260" t="s">
        <v>2166</v>
      </c>
      <c r="EK260" t="s">
        <v>2166</v>
      </c>
      <c r="EL260" t="s">
        <v>2166</v>
      </c>
      <c r="EM260" t="s">
        <v>2166</v>
      </c>
      <c r="EN260" t="s">
        <v>2166</v>
      </c>
      <c r="EO260" t="s">
        <v>2166</v>
      </c>
      <c r="EP260" t="s">
        <v>2166</v>
      </c>
      <c r="EQ260" t="s">
        <v>2166</v>
      </c>
      <c r="ER260" t="s">
        <v>2166</v>
      </c>
      <c r="ES260" t="s">
        <v>2166</v>
      </c>
      <c r="ET260" t="s">
        <v>2166</v>
      </c>
    </row>
    <row r="299" spans="1:270" x14ac:dyDescent="0.2">
      <c r="A299" s="7" t="s">
        <v>2168</v>
      </c>
    </row>
    <row r="300" spans="1:270" s="7" customFormat="1" x14ac:dyDescent="0.2">
      <c r="A300" s="7" t="str">
        <f t="shared" ref="A300:BL300" si="12">+A1</f>
        <v>Fahrzeug 1</v>
      </c>
      <c r="B300" s="7" t="str">
        <f t="shared" si="12"/>
        <v>Fahrzeug 2</v>
      </c>
      <c r="C300" s="7" t="str">
        <f t="shared" si="12"/>
        <v>Fahrzeug 3</v>
      </c>
      <c r="D300" s="7" t="str">
        <f t="shared" si="12"/>
        <v>Fahrzeug 4</v>
      </c>
      <c r="E300" s="7" t="str">
        <f t="shared" si="12"/>
        <v>Fahrzeug 5</v>
      </c>
      <c r="F300" s="7" t="str">
        <f t="shared" si="12"/>
        <v>Fahrzeug 6</v>
      </c>
      <c r="G300" s="7" t="str">
        <f t="shared" si="12"/>
        <v>Fahrzeug 7</v>
      </c>
      <c r="H300" s="7" t="str">
        <f t="shared" si="12"/>
        <v>Fahrzeug 8</v>
      </c>
      <c r="I300" s="7" t="str">
        <f t="shared" si="12"/>
        <v>Fahrzeug 9</v>
      </c>
      <c r="J300" s="7" t="str">
        <f t="shared" si="12"/>
        <v>Fahrzeug 10</v>
      </c>
      <c r="K300" s="7" t="str">
        <f t="shared" si="12"/>
        <v>Fahrzeug 11</v>
      </c>
      <c r="L300" s="7" t="str">
        <f t="shared" si="12"/>
        <v>Fahrzeug 12</v>
      </c>
      <c r="M300" s="7" t="str">
        <f t="shared" si="12"/>
        <v>Fahrzeug 13</v>
      </c>
      <c r="N300" s="7" t="str">
        <f t="shared" si="12"/>
        <v>Fahrzeug 14</v>
      </c>
      <c r="O300" s="7" t="str">
        <f t="shared" si="12"/>
        <v>Fahrzeug 15</v>
      </c>
      <c r="P300" s="7" t="str">
        <f t="shared" si="12"/>
        <v>Fahrzeug 16</v>
      </c>
      <c r="Q300" s="7" t="str">
        <f t="shared" si="12"/>
        <v>Fahrzeug 17</v>
      </c>
      <c r="R300" s="7" t="str">
        <f t="shared" si="12"/>
        <v>Fahrzeug 18</v>
      </c>
      <c r="S300" s="7" t="str">
        <f t="shared" si="12"/>
        <v>Fahrzeug 19</v>
      </c>
      <c r="T300" s="7" t="str">
        <f t="shared" si="12"/>
        <v>Fahrzeug 20</v>
      </c>
      <c r="U300" s="7" t="str">
        <f t="shared" si="12"/>
        <v>Fahrzeug 21</v>
      </c>
      <c r="V300" s="7" t="str">
        <f t="shared" si="12"/>
        <v>Fahrzeug 22</v>
      </c>
      <c r="W300" s="7" t="str">
        <f t="shared" si="12"/>
        <v>Fahrzeug 23</v>
      </c>
      <c r="X300" s="7" t="str">
        <f t="shared" si="12"/>
        <v>Fahrzeug 24</v>
      </c>
      <c r="Y300" s="7" t="str">
        <f t="shared" si="12"/>
        <v>Fahrzeug 25</v>
      </c>
      <c r="Z300" s="7" t="str">
        <f t="shared" si="12"/>
        <v>Fahrzeug 26</v>
      </c>
      <c r="AA300" s="7" t="str">
        <f t="shared" si="12"/>
        <v>Fahrzeug 27</v>
      </c>
      <c r="AB300" s="7" t="str">
        <f t="shared" si="12"/>
        <v>Fahrzeug 28</v>
      </c>
      <c r="AC300" s="7" t="str">
        <f t="shared" si="12"/>
        <v>Fahrzeug 29</v>
      </c>
      <c r="AD300" s="7" t="str">
        <f t="shared" si="12"/>
        <v>Fahrzeug 30</v>
      </c>
      <c r="AE300" s="7" t="str">
        <f t="shared" si="12"/>
        <v>Fahrzeug 31</v>
      </c>
      <c r="AF300" s="7" t="str">
        <f t="shared" si="12"/>
        <v>Fahrzeug 32</v>
      </c>
      <c r="AG300" s="7" t="str">
        <f t="shared" si="12"/>
        <v>Fahrzeug 33</v>
      </c>
      <c r="AH300" s="7" t="str">
        <f t="shared" si="12"/>
        <v>Fahrzeug 34</v>
      </c>
      <c r="AI300" s="7" t="str">
        <f t="shared" si="12"/>
        <v>Fahrzeug 35</v>
      </c>
      <c r="AJ300" s="7" t="str">
        <f t="shared" si="12"/>
        <v>Fahrzeug 36</v>
      </c>
      <c r="AK300" s="7" t="str">
        <f t="shared" si="12"/>
        <v>Fahrzeug 37</v>
      </c>
      <c r="AL300" s="7" t="str">
        <f t="shared" si="12"/>
        <v>Fahrzeug 38</v>
      </c>
      <c r="AM300" s="7" t="str">
        <f t="shared" si="12"/>
        <v>Fahrzeug 39</v>
      </c>
      <c r="AN300" s="7" t="str">
        <f t="shared" si="12"/>
        <v>Fahrzeug 40</v>
      </c>
      <c r="AO300" s="7" t="str">
        <f t="shared" si="12"/>
        <v>Fahrzeug 41</v>
      </c>
      <c r="AP300" s="7" t="str">
        <f t="shared" si="12"/>
        <v>Fahrzeug 42</v>
      </c>
      <c r="AQ300" s="7" t="str">
        <f t="shared" si="12"/>
        <v>Fahrzeug 43</v>
      </c>
      <c r="AR300" s="7" t="str">
        <f t="shared" si="12"/>
        <v>Fahrzeug 44</v>
      </c>
      <c r="AS300" s="7" t="str">
        <f t="shared" si="12"/>
        <v>Fahrzeug 45</v>
      </c>
      <c r="AT300" s="7" t="str">
        <f t="shared" si="12"/>
        <v>Fahrzeug 46</v>
      </c>
      <c r="AU300" s="7" t="str">
        <f t="shared" si="12"/>
        <v>Fahrzeug 47</v>
      </c>
      <c r="AV300" s="7" t="str">
        <f t="shared" si="12"/>
        <v>Fahrzeug 48</v>
      </c>
      <c r="AW300" s="7" t="str">
        <f t="shared" si="12"/>
        <v>Fahrzeug 49</v>
      </c>
      <c r="AX300" s="7" t="str">
        <f t="shared" si="12"/>
        <v>Fahrzeug 50</v>
      </c>
      <c r="AY300" s="7" t="str">
        <f t="shared" si="12"/>
        <v>Fahrzeug 51</v>
      </c>
      <c r="AZ300" s="7" t="str">
        <f t="shared" si="12"/>
        <v>Fahrzeug 52</v>
      </c>
      <c r="BA300" s="7" t="str">
        <f t="shared" si="12"/>
        <v>Fahrzeug 53</v>
      </c>
      <c r="BB300" s="7" t="str">
        <f t="shared" si="12"/>
        <v>Fahrzeug 54</v>
      </c>
      <c r="BC300" s="7" t="str">
        <f t="shared" si="12"/>
        <v>Fahrzeug 55</v>
      </c>
      <c r="BD300" s="7" t="str">
        <f t="shared" si="12"/>
        <v>Fahrzeug 56</v>
      </c>
      <c r="BE300" s="7" t="str">
        <f t="shared" si="12"/>
        <v>Fahrzeug 57</v>
      </c>
      <c r="BF300" s="7" t="str">
        <f t="shared" si="12"/>
        <v>Fahrzeug 58</v>
      </c>
      <c r="BG300" s="7" t="str">
        <f t="shared" si="12"/>
        <v>Fahrzeug 59</v>
      </c>
      <c r="BH300" s="7" t="str">
        <f t="shared" si="12"/>
        <v>Fahrzeug 60</v>
      </c>
      <c r="BI300" s="7" t="str">
        <f t="shared" si="12"/>
        <v>Fahrzeug 61</v>
      </c>
      <c r="BJ300" s="7" t="str">
        <f t="shared" si="12"/>
        <v>Fahrzeug 62</v>
      </c>
      <c r="BK300" s="7" t="str">
        <f t="shared" si="12"/>
        <v>Fahrzeug 63</v>
      </c>
      <c r="BL300" s="7" t="str">
        <f t="shared" si="12"/>
        <v>Fahrzeug 64</v>
      </c>
      <c r="BM300" s="7" t="str">
        <f t="shared" ref="BM300:DX300" si="13">+BM1</f>
        <v>Fahrzeug 65</v>
      </c>
      <c r="BN300" s="7" t="str">
        <f t="shared" si="13"/>
        <v>Fahrzeug 66</v>
      </c>
      <c r="BO300" s="7" t="str">
        <f t="shared" si="13"/>
        <v>Fahrzeug 67</v>
      </c>
      <c r="BP300" s="7" t="str">
        <f t="shared" si="13"/>
        <v>Fahrzeug 68</v>
      </c>
      <c r="BQ300" s="7" t="str">
        <f t="shared" si="13"/>
        <v>Fahrzeug 69</v>
      </c>
      <c r="BR300" s="7" t="str">
        <f t="shared" si="13"/>
        <v>Fahrzeug 70</v>
      </c>
      <c r="BS300" s="7" t="str">
        <f t="shared" si="13"/>
        <v>Fahrzeug 71</v>
      </c>
      <c r="BT300" s="7" t="str">
        <f t="shared" si="13"/>
        <v>Fahrzeug 72</v>
      </c>
      <c r="BU300" s="7" t="str">
        <f t="shared" si="13"/>
        <v>Fahrzeug 73</v>
      </c>
      <c r="BV300" s="7" t="str">
        <f t="shared" si="13"/>
        <v>Fahrzeug 74</v>
      </c>
      <c r="BW300" s="7" t="str">
        <f t="shared" si="13"/>
        <v>Fahrzeug 75</v>
      </c>
      <c r="BX300" s="7" t="str">
        <f t="shared" si="13"/>
        <v>Fahrzeug 76</v>
      </c>
      <c r="BY300" s="7" t="str">
        <f t="shared" si="13"/>
        <v>Fahrzeug 77</v>
      </c>
      <c r="BZ300" s="7" t="str">
        <f t="shared" si="13"/>
        <v>Fahrzeug 78</v>
      </c>
      <c r="CA300" s="7" t="str">
        <f t="shared" si="13"/>
        <v>Fahrzeug 79</v>
      </c>
      <c r="CB300" s="7" t="str">
        <f t="shared" si="13"/>
        <v>Fahrzeug 80</v>
      </c>
      <c r="CC300" s="7" t="str">
        <f t="shared" si="13"/>
        <v>Fahrzeug 81</v>
      </c>
      <c r="CD300" s="7" t="str">
        <f t="shared" si="13"/>
        <v>Fahrzeug 82</v>
      </c>
      <c r="CE300" s="7" t="str">
        <f t="shared" si="13"/>
        <v>Fahrzeug 83</v>
      </c>
      <c r="CF300" s="7" t="str">
        <f t="shared" si="13"/>
        <v>Fahrzeug 84</v>
      </c>
      <c r="CG300" s="7" t="str">
        <f t="shared" si="13"/>
        <v>Fahrzeug 85</v>
      </c>
      <c r="CH300" s="7" t="str">
        <f t="shared" si="13"/>
        <v>Fahrzeug 86</v>
      </c>
      <c r="CI300" s="7" t="str">
        <f t="shared" si="13"/>
        <v>Fahrzeug 87</v>
      </c>
      <c r="CJ300" s="7" t="str">
        <f t="shared" si="13"/>
        <v>Fahrzeug 88</v>
      </c>
      <c r="CK300" s="7" t="str">
        <f t="shared" si="13"/>
        <v>Fahrzeug 89</v>
      </c>
      <c r="CL300" s="7" t="str">
        <f t="shared" si="13"/>
        <v>Fahrzeug 90</v>
      </c>
      <c r="CM300" s="7" t="str">
        <f t="shared" si="13"/>
        <v>Fahrzeug 91</v>
      </c>
      <c r="CN300" s="7" t="str">
        <f t="shared" si="13"/>
        <v>Fahrzeug 92</v>
      </c>
      <c r="CO300" s="7" t="str">
        <f t="shared" si="13"/>
        <v>Fahrzeug 93</v>
      </c>
      <c r="CP300" s="7" t="str">
        <f t="shared" si="13"/>
        <v>Fahrzeug 94</v>
      </c>
      <c r="CQ300" s="7" t="str">
        <f t="shared" si="13"/>
        <v>Fahrzeug 95</v>
      </c>
      <c r="CR300" s="7" t="str">
        <f t="shared" si="13"/>
        <v>Fahrzeug 96</v>
      </c>
      <c r="CS300" s="7" t="str">
        <f t="shared" si="13"/>
        <v>Fahrzeug 97</v>
      </c>
      <c r="CT300" s="7" t="str">
        <f t="shared" si="13"/>
        <v>Fahrzeug 98</v>
      </c>
      <c r="CU300" s="7" t="str">
        <f t="shared" si="13"/>
        <v>Fahrzeug 99</v>
      </c>
      <c r="CV300" s="7" t="str">
        <f t="shared" si="13"/>
        <v>Fahrzeug 100</v>
      </c>
      <c r="CW300" s="7" t="str">
        <f t="shared" si="13"/>
        <v>Fahrzeug 101</v>
      </c>
      <c r="CX300" s="7" t="str">
        <f t="shared" si="13"/>
        <v>Fahrzeug 102</v>
      </c>
      <c r="CY300" s="7" t="str">
        <f t="shared" si="13"/>
        <v>Fahrzeug 103</v>
      </c>
      <c r="CZ300" s="7" t="str">
        <f t="shared" si="13"/>
        <v>Fahrzeug 104</v>
      </c>
      <c r="DA300" s="7" t="str">
        <f t="shared" si="13"/>
        <v>Fahrzeug 105</v>
      </c>
      <c r="DB300" s="7" t="str">
        <f t="shared" si="13"/>
        <v>Fahrzeug 106</v>
      </c>
      <c r="DC300" s="7" t="str">
        <f t="shared" si="13"/>
        <v>Fahrzeug 107</v>
      </c>
      <c r="DD300" s="7" t="str">
        <f t="shared" si="13"/>
        <v>Fahrzeug 108</v>
      </c>
      <c r="DE300" s="7" t="str">
        <f t="shared" si="13"/>
        <v>Fahrzeug 109</v>
      </c>
      <c r="DF300" s="7" t="str">
        <f t="shared" si="13"/>
        <v>Fahrzeug 110</v>
      </c>
      <c r="DG300" s="7" t="str">
        <f t="shared" si="13"/>
        <v>Fahrzeug 111</v>
      </c>
      <c r="DH300" s="7" t="str">
        <f t="shared" si="13"/>
        <v>Fahrzeug 112</v>
      </c>
      <c r="DI300" s="7" t="str">
        <f t="shared" si="13"/>
        <v>Fahrzeug 113</v>
      </c>
      <c r="DJ300" s="7">
        <f t="shared" si="13"/>
        <v>0</v>
      </c>
      <c r="DK300" s="7">
        <f t="shared" si="13"/>
        <v>0</v>
      </c>
      <c r="DL300" s="7">
        <f t="shared" si="13"/>
        <v>0</v>
      </c>
      <c r="DM300" s="7">
        <f t="shared" si="13"/>
        <v>0</v>
      </c>
      <c r="DN300" s="7">
        <f t="shared" si="13"/>
        <v>0</v>
      </c>
      <c r="DO300" s="7">
        <f t="shared" si="13"/>
        <v>0</v>
      </c>
      <c r="DP300" s="7">
        <f t="shared" si="13"/>
        <v>0</v>
      </c>
      <c r="DQ300" s="7">
        <f t="shared" si="13"/>
        <v>0</v>
      </c>
      <c r="DR300" s="7">
        <f t="shared" si="13"/>
        <v>0</v>
      </c>
      <c r="DS300" s="7">
        <f t="shared" si="13"/>
        <v>0</v>
      </c>
      <c r="DT300" s="7">
        <f t="shared" si="13"/>
        <v>0</v>
      </c>
      <c r="DU300" s="7">
        <f t="shared" si="13"/>
        <v>0</v>
      </c>
      <c r="DV300" s="7">
        <f t="shared" si="13"/>
        <v>0</v>
      </c>
      <c r="DW300" s="7">
        <f t="shared" si="13"/>
        <v>0</v>
      </c>
      <c r="DX300" s="7">
        <f t="shared" si="13"/>
        <v>0</v>
      </c>
      <c r="DY300" s="7">
        <f t="shared" ref="DY300:GL300" si="14">+DY1</f>
        <v>0</v>
      </c>
      <c r="DZ300" s="7">
        <f t="shared" si="14"/>
        <v>0</v>
      </c>
      <c r="EA300" s="7">
        <f t="shared" si="14"/>
        <v>0</v>
      </c>
      <c r="EB300" s="7">
        <f t="shared" si="14"/>
        <v>0</v>
      </c>
      <c r="EC300" s="7">
        <f t="shared" si="14"/>
        <v>0</v>
      </c>
      <c r="ED300" s="7">
        <f t="shared" si="14"/>
        <v>0</v>
      </c>
      <c r="EE300" s="7">
        <f t="shared" si="14"/>
        <v>0</v>
      </c>
      <c r="EF300" s="7">
        <f t="shared" si="14"/>
        <v>0</v>
      </c>
      <c r="EG300" s="7">
        <f t="shared" si="14"/>
        <v>0</v>
      </c>
      <c r="EH300" s="7">
        <f t="shared" si="14"/>
        <v>0</v>
      </c>
      <c r="EI300" s="7">
        <f t="shared" si="14"/>
        <v>0</v>
      </c>
      <c r="EJ300" s="7">
        <f t="shared" si="14"/>
        <v>0</v>
      </c>
      <c r="EK300" s="7">
        <f t="shared" si="14"/>
        <v>0</v>
      </c>
      <c r="EL300" s="7">
        <f t="shared" si="14"/>
        <v>0</v>
      </c>
      <c r="EM300" s="7">
        <f t="shared" si="14"/>
        <v>0</v>
      </c>
      <c r="EN300" s="7">
        <f t="shared" si="14"/>
        <v>0</v>
      </c>
      <c r="EO300" s="7">
        <f t="shared" si="14"/>
        <v>0</v>
      </c>
      <c r="EP300" s="7">
        <f t="shared" si="14"/>
        <v>0</v>
      </c>
      <c r="EQ300" s="7">
        <f t="shared" si="14"/>
        <v>0</v>
      </c>
      <c r="ER300" s="7">
        <f t="shared" si="14"/>
        <v>0</v>
      </c>
      <c r="ES300" s="7">
        <f t="shared" si="14"/>
        <v>0</v>
      </c>
      <c r="ET300" s="7">
        <f t="shared" si="14"/>
        <v>0</v>
      </c>
      <c r="EU300" s="7">
        <f t="shared" si="14"/>
        <v>0</v>
      </c>
      <c r="EV300" s="7">
        <f t="shared" si="14"/>
        <v>0</v>
      </c>
      <c r="EW300" s="7">
        <f t="shared" si="14"/>
        <v>0</v>
      </c>
      <c r="EX300" s="7">
        <f t="shared" si="14"/>
        <v>0</v>
      </c>
      <c r="EY300" s="7">
        <f t="shared" si="14"/>
        <v>0</v>
      </c>
      <c r="EZ300" s="7">
        <f t="shared" si="14"/>
        <v>0</v>
      </c>
      <c r="FA300" s="7">
        <f t="shared" si="14"/>
        <v>0</v>
      </c>
      <c r="FB300" s="7">
        <f t="shared" si="14"/>
        <v>0</v>
      </c>
      <c r="FC300" s="7">
        <f t="shared" si="14"/>
        <v>0</v>
      </c>
      <c r="FD300" s="7">
        <f t="shared" si="14"/>
        <v>0</v>
      </c>
      <c r="FE300" s="7">
        <f t="shared" si="14"/>
        <v>0</v>
      </c>
      <c r="FF300" s="7">
        <f t="shared" si="14"/>
        <v>0</v>
      </c>
      <c r="FG300" s="7">
        <f t="shared" si="14"/>
        <v>0</v>
      </c>
      <c r="FH300" s="7">
        <f t="shared" si="14"/>
        <v>0</v>
      </c>
      <c r="FI300" s="7">
        <f t="shared" si="14"/>
        <v>0</v>
      </c>
      <c r="FJ300" s="7">
        <f t="shared" si="14"/>
        <v>0</v>
      </c>
      <c r="FK300" s="7">
        <f t="shared" si="14"/>
        <v>0</v>
      </c>
      <c r="FL300" s="7">
        <f t="shared" si="14"/>
        <v>0</v>
      </c>
      <c r="FM300" s="7">
        <f t="shared" si="14"/>
        <v>0</v>
      </c>
      <c r="FN300" s="7">
        <f t="shared" si="14"/>
        <v>0</v>
      </c>
      <c r="FO300" s="7">
        <f t="shared" si="14"/>
        <v>0</v>
      </c>
      <c r="FP300" s="7">
        <f t="shared" si="14"/>
        <v>0</v>
      </c>
      <c r="FQ300" s="7">
        <f t="shared" si="14"/>
        <v>0</v>
      </c>
      <c r="FR300" s="7">
        <f t="shared" si="14"/>
        <v>0</v>
      </c>
      <c r="FS300" s="7">
        <f t="shared" si="14"/>
        <v>0</v>
      </c>
      <c r="FT300" s="7">
        <f t="shared" si="14"/>
        <v>0</v>
      </c>
      <c r="FU300" s="7">
        <f t="shared" si="14"/>
        <v>0</v>
      </c>
      <c r="FV300" s="7">
        <f t="shared" si="14"/>
        <v>0</v>
      </c>
      <c r="FW300" s="7">
        <f t="shared" si="14"/>
        <v>0</v>
      </c>
      <c r="FX300" s="7">
        <f t="shared" si="14"/>
        <v>0</v>
      </c>
      <c r="FY300" s="7">
        <f t="shared" si="14"/>
        <v>0</v>
      </c>
      <c r="FZ300" s="7">
        <f t="shared" si="14"/>
        <v>0</v>
      </c>
      <c r="GA300" s="7">
        <f t="shared" si="14"/>
        <v>0</v>
      </c>
      <c r="GB300" s="7">
        <f t="shared" si="14"/>
        <v>0</v>
      </c>
      <c r="GC300" s="7">
        <f t="shared" si="14"/>
        <v>0</v>
      </c>
      <c r="GD300" s="7">
        <f t="shared" si="14"/>
        <v>0</v>
      </c>
      <c r="GE300" s="7">
        <f t="shared" si="14"/>
        <v>0</v>
      </c>
      <c r="GF300" s="7">
        <f t="shared" si="14"/>
        <v>0</v>
      </c>
      <c r="GG300" s="7">
        <f t="shared" si="14"/>
        <v>0</v>
      </c>
      <c r="GH300" s="7">
        <f t="shared" si="14"/>
        <v>0</v>
      </c>
      <c r="GI300" s="7">
        <f t="shared" si="14"/>
        <v>0</v>
      </c>
      <c r="GJ300" s="7">
        <f t="shared" si="14"/>
        <v>0</v>
      </c>
      <c r="GK300" s="7">
        <f t="shared" ref="GK300" si="15">+GK1</f>
        <v>0</v>
      </c>
      <c r="GL300" s="7">
        <f t="shared" si="14"/>
        <v>0</v>
      </c>
      <c r="GM300" s="7">
        <f t="shared" ref="GM300:HH300" si="16">+GM1</f>
        <v>0</v>
      </c>
      <c r="GN300" s="7">
        <f t="shared" si="16"/>
        <v>0</v>
      </c>
      <c r="GO300" s="7">
        <f t="shared" si="16"/>
        <v>0</v>
      </c>
      <c r="GP300" s="7">
        <f t="shared" si="16"/>
        <v>0</v>
      </c>
      <c r="GQ300" s="7">
        <f t="shared" si="16"/>
        <v>0</v>
      </c>
      <c r="GR300" s="7">
        <f t="shared" si="16"/>
        <v>0</v>
      </c>
      <c r="GS300" s="7">
        <f t="shared" si="16"/>
        <v>0</v>
      </c>
      <c r="GT300" s="7">
        <f t="shared" si="16"/>
        <v>0</v>
      </c>
      <c r="GU300" s="7">
        <f t="shared" si="16"/>
        <v>0</v>
      </c>
      <c r="GV300" s="7">
        <f t="shared" si="16"/>
        <v>0</v>
      </c>
      <c r="GW300" s="7">
        <f t="shared" si="16"/>
        <v>0</v>
      </c>
      <c r="GX300" s="7">
        <f t="shared" si="16"/>
        <v>0</v>
      </c>
      <c r="GY300" s="7">
        <f t="shared" si="16"/>
        <v>0</v>
      </c>
      <c r="GZ300" s="7">
        <f t="shared" si="16"/>
        <v>0</v>
      </c>
      <c r="HA300" s="7">
        <f t="shared" si="16"/>
        <v>0</v>
      </c>
      <c r="HB300" s="7">
        <f t="shared" si="16"/>
        <v>0</v>
      </c>
      <c r="HC300" s="7">
        <f t="shared" si="16"/>
        <v>0</v>
      </c>
      <c r="HD300" s="7">
        <f t="shared" si="16"/>
        <v>0</v>
      </c>
      <c r="HE300" s="7">
        <f t="shared" si="16"/>
        <v>0</v>
      </c>
      <c r="HF300" s="7">
        <f t="shared" si="16"/>
        <v>0</v>
      </c>
      <c r="HG300" s="7">
        <f t="shared" si="16"/>
        <v>0</v>
      </c>
      <c r="HH300" s="7">
        <f t="shared" si="16"/>
        <v>0</v>
      </c>
    </row>
    <row r="301" spans="1:270" x14ac:dyDescent="0.2">
      <c r="A301" t="str">
        <f>+IFERROR(VLOOKUP(A2,IN_Zugliste!$A$4:$F$2002,7,FALSE),"")</f>
        <v/>
      </c>
      <c r="B301" t="str">
        <f>+IFERROR(VLOOKUP(B2,IN_Zugliste!$A$4:$F$2002,7,FALSE),"")</f>
        <v/>
      </c>
      <c r="C301" t="str">
        <f>+IFERROR(VLOOKUP(C2,IN_Zugliste!$A$4:$F$2002,7,FALSE),"")</f>
        <v/>
      </c>
      <c r="D301" t="str">
        <f>+IFERROR(VLOOKUP(D2,IN_Zugliste!$A$4:$F$2002,7,FALSE),"")</f>
        <v/>
      </c>
      <c r="E301" t="str">
        <f>+IFERROR(VLOOKUP(E2,IN_Zugliste!$A$4:$F$2002,7,FALSE),"")</f>
        <v/>
      </c>
      <c r="F301" t="str">
        <f>+IFERROR(VLOOKUP(F2,IN_Zugliste!$A$4:$F$2002,7,FALSE),"")</f>
        <v/>
      </c>
      <c r="G301" t="str">
        <f>+IFERROR(VLOOKUP(G2,IN_Zugliste!$A$4:$F$2002,7,FALSE),"")</f>
        <v/>
      </c>
      <c r="H301" t="str">
        <f>+IFERROR(VLOOKUP(H2,IN_Zugliste!$A$4:$F$2002,7,FALSE),"")</f>
        <v/>
      </c>
      <c r="I301" t="str">
        <f>+IFERROR(VLOOKUP(I2,IN_Zugliste!$A$4:$F$2002,7,FALSE),"")</f>
        <v/>
      </c>
      <c r="J301" t="str">
        <f>+IFERROR(VLOOKUP(J2,IN_Zugliste!$A$4:$F$2002,7,FALSE),"")</f>
        <v/>
      </c>
      <c r="K301" t="str">
        <f>+IFERROR(VLOOKUP(K2,IN_Zugliste!$A$4:$F$2002,7,FALSE),"")</f>
        <v/>
      </c>
      <c r="L301" t="str">
        <f>+IFERROR(VLOOKUP(L2,IN_Zugliste!$A$4:$F$2002,7,FALSE),"")</f>
        <v/>
      </c>
      <c r="M301" t="str">
        <f>+IFERROR(VLOOKUP(M2,IN_Zugliste!$A$4:$F$2002,7,FALSE),"")</f>
        <v/>
      </c>
      <c r="N301" t="str">
        <f>+IFERROR(VLOOKUP(N2,IN_Zugliste!$A$4:$F$2002,7,FALSE),"")</f>
        <v/>
      </c>
      <c r="O301" t="str">
        <f>+IFERROR(VLOOKUP(O2,IN_Zugliste!$A$4:$F$2002,7,FALSE),"")</f>
        <v/>
      </c>
      <c r="P301" t="str">
        <f>+IFERROR(VLOOKUP(P2,IN_Zugliste!$A$4:$F$2002,7,FALSE),"")</f>
        <v/>
      </c>
      <c r="Q301" t="str">
        <f>+IFERROR(VLOOKUP(Q2,IN_Zugliste!$A$4:$F$2002,7,FALSE),"")</f>
        <v/>
      </c>
      <c r="R301" t="str">
        <f>+IFERROR(VLOOKUP(R2,IN_Zugliste!$A$4:$F$2002,7,FALSE),"")</f>
        <v/>
      </c>
      <c r="S301" t="str">
        <f>+IFERROR(VLOOKUP(S2,IN_Zugliste!$A$4:$F$2002,7,FALSE),"")</f>
        <v/>
      </c>
      <c r="T301" t="str">
        <f>+IFERROR(VLOOKUP(T2,IN_Zugliste!$A$4:$F$2002,7,FALSE),"")</f>
        <v/>
      </c>
      <c r="U301" t="str">
        <f>+IFERROR(VLOOKUP(U2,IN_Zugliste!$A$4:$F$2002,7,FALSE),"")</f>
        <v/>
      </c>
      <c r="V301" t="str">
        <f>+IFERROR(VLOOKUP(V2,IN_Zugliste!$A$4:$F$2002,7,FALSE),"")</f>
        <v/>
      </c>
      <c r="W301" t="str">
        <f>+IFERROR(VLOOKUP(W2,IN_Zugliste!$A$4:$F$2002,7,FALSE),"")</f>
        <v/>
      </c>
      <c r="X301" t="str">
        <f>+IFERROR(VLOOKUP(X2,IN_Zugliste!$A$4:$F$2002,7,FALSE),"")</f>
        <v/>
      </c>
      <c r="Y301" t="str">
        <f>+IFERROR(VLOOKUP(Y2,IN_Zugliste!$A$4:$F$2002,7,FALSE),"")</f>
        <v/>
      </c>
      <c r="Z301" t="str">
        <f>+IFERROR(VLOOKUP(Z2,IN_Zugliste!$A$4:$F$2002,7,FALSE),"")</f>
        <v/>
      </c>
      <c r="AA301" t="str">
        <f>+IFERROR(VLOOKUP(AA2,IN_Zugliste!$A$4:$F$2002,7,FALSE),"")</f>
        <v/>
      </c>
      <c r="AB301" t="str">
        <f>+IFERROR(VLOOKUP(AB2,IN_Zugliste!$A$4:$F$2002,7,FALSE),"")</f>
        <v/>
      </c>
      <c r="AC301" t="str">
        <f>+IFERROR(VLOOKUP(AC2,IN_Zugliste!$A$4:$F$2002,7,FALSE),"")</f>
        <v/>
      </c>
      <c r="AD301" t="str">
        <f>+IFERROR(VLOOKUP(AD2,IN_Zugliste!$A$4:$F$2002,7,FALSE),"")</f>
        <v/>
      </c>
      <c r="AE301" t="str">
        <f>+IFERROR(VLOOKUP(AE2,IN_Zugliste!$A$4:$F$2002,7,FALSE),"")</f>
        <v/>
      </c>
      <c r="AF301" t="str">
        <f>+IFERROR(VLOOKUP(AF2,IN_Zugliste!$A$4:$F$2002,7,FALSE),"")</f>
        <v/>
      </c>
      <c r="AG301" t="str">
        <f>+IFERROR(VLOOKUP(AG2,IN_Zugliste!$A$4:$F$2002,7,FALSE),"")</f>
        <v/>
      </c>
      <c r="AH301" t="str">
        <f>+IFERROR(VLOOKUP(AH2,IN_Zugliste!$A$4:$F$2002,7,FALSE),"")</f>
        <v/>
      </c>
      <c r="AI301" t="str">
        <f>+IFERROR(VLOOKUP(AI2,IN_Zugliste!$A$4:$F$2002,7,FALSE),"")</f>
        <v/>
      </c>
      <c r="AJ301" t="str">
        <f>+IFERROR(VLOOKUP(AJ2,IN_Zugliste!$A$4:$F$2002,7,FALSE),"")</f>
        <v/>
      </c>
      <c r="AK301" t="str">
        <f>+IFERROR(VLOOKUP(AK2,IN_Zugliste!$A$4:$F$2002,7,FALSE),"")</f>
        <v/>
      </c>
      <c r="AL301" t="str">
        <f>+IFERROR(VLOOKUP(AL2,IN_Zugliste!$A$4:$F$2002,7,FALSE),"")</f>
        <v/>
      </c>
      <c r="AM301" t="str">
        <f>+IFERROR(VLOOKUP(AM2,IN_Zugliste!$A$4:$F$2002,7,FALSE),"")</f>
        <v/>
      </c>
      <c r="AN301" t="str">
        <f>+IFERROR(VLOOKUP(AN2,IN_Zugliste!$A$4:$F$2002,7,FALSE),"")</f>
        <v/>
      </c>
      <c r="AO301" t="str">
        <f>+IFERROR(VLOOKUP(AO2,IN_Zugliste!$A$4:$F$2002,7,FALSE),"")</f>
        <v/>
      </c>
      <c r="AP301" t="str">
        <f>+IFERROR(VLOOKUP(AP2,IN_Zugliste!$A$4:$F$2002,7,FALSE),"")</f>
        <v/>
      </c>
      <c r="AQ301" t="str">
        <f>+IFERROR(VLOOKUP(AQ2,IN_Zugliste!$A$4:$F$2002,7,FALSE),"")</f>
        <v/>
      </c>
      <c r="AR301" t="str">
        <f>+IFERROR(VLOOKUP(AR2,IN_Zugliste!$A$4:$F$2002,7,FALSE),"")</f>
        <v/>
      </c>
      <c r="AS301" t="str">
        <f>+IFERROR(VLOOKUP(AS2,IN_Zugliste!$A$4:$F$2002,7,FALSE),"")</f>
        <v/>
      </c>
      <c r="AT301" t="str">
        <f>+IFERROR(VLOOKUP(AT2,IN_Zugliste!$A$4:$F$2002,7,FALSE),"")</f>
        <v/>
      </c>
      <c r="AU301" t="str">
        <f>+IFERROR(VLOOKUP(AU2,IN_Zugliste!$A$4:$F$2002,7,FALSE),"")</f>
        <v/>
      </c>
      <c r="AV301" t="str">
        <f>+IFERROR(VLOOKUP(AV2,IN_Zugliste!$A$4:$F$2002,7,FALSE),"")</f>
        <v/>
      </c>
      <c r="AW301" t="str">
        <f>+IFERROR(VLOOKUP(AW2,IN_Zugliste!$A$4:$F$2002,7,FALSE),"")</f>
        <v/>
      </c>
      <c r="AX301" t="str">
        <f>+IFERROR(VLOOKUP(AX2,IN_Zugliste!$A$4:$F$2002,7,FALSE),"")</f>
        <v/>
      </c>
      <c r="AY301" t="str">
        <f>+IFERROR(VLOOKUP(AY2,IN_Zugliste!$A$4:$F$2002,7,FALSE),"")</f>
        <v/>
      </c>
      <c r="AZ301" t="str">
        <f>+IFERROR(VLOOKUP(AZ2,IN_Zugliste!$A$4:$F$2002,7,FALSE),"")</f>
        <v/>
      </c>
      <c r="BA301" t="str">
        <f>+IFERROR(VLOOKUP(BA2,IN_Zugliste!$A$4:$F$2002,7,FALSE),"")</f>
        <v/>
      </c>
      <c r="BB301" t="str">
        <f>+IFERROR(VLOOKUP(BB2,IN_Zugliste!$A$4:$F$2002,7,FALSE),"")</f>
        <v/>
      </c>
      <c r="BC301" t="str">
        <f>+IFERROR(VLOOKUP(BC2,IN_Zugliste!$A$4:$F$2002,7,FALSE),"")</f>
        <v/>
      </c>
      <c r="BD301" t="str">
        <f>+IFERROR(VLOOKUP(BD2,IN_Zugliste!$A$4:$F$2002,7,FALSE),"")</f>
        <v/>
      </c>
      <c r="BE301" t="str">
        <f>+IFERROR(VLOOKUP(BE2,IN_Zugliste!$A$4:$F$2002,7,FALSE),"")</f>
        <v/>
      </c>
      <c r="BF301" t="str">
        <f>+IFERROR(VLOOKUP(BF2,IN_Zugliste!$A$4:$F$2002,7,FALSE),"")</f>
        <v/>
      </c>
      <c r="BG301" t="str">
        <f>+IFERROR(VLOOKUP(BG2,IN_Zugliste!$A$4:$F$2002,7,FALSE),"")</f>
        <v/>
      </c>
      <c r="BH301" t="str">
        <f>+IFERROR(VLOOKUP(BH2,IN_Zugliste!$A$4:$F$2002,7,FALSE),"")</f>
        <v/>
      </c>
      <c r="BI301" t="str">
        <f>+IFERROR(VLOOKUP(BI2,IN_Zugliste!$A$4:$F$2002,7,FALSE),"")</f>
        <v/>
      </c>
      <c r="BJ301" t="str">
        <f>+IFERROR(VLOOKUP(BJ2,IN_Zugliste!$A$4:$F$2002,7,FALSE),"")</f>
        <v/>
      </c>
      <c r="BK301" t="str">
        <f>+IFERROR(VLOOKUP(BK2,IN_Zugliste!$A$4:$F$2002,7,FALSE),"")</f>
        <v/>
      </c>
      <c r="BL301" t="str">
        <f>+IFERROR(VLOOKUP(BL2,IN_Zugliste!$A$4:$F$2002,7,FALSE),"")</f>
        <v/>
      </c>
      <c r="BM301" t="str">
        <f>+IFERROR(VLOOKUP(BM2,IN_Zugliste!$A$4:$F$2002,7,FALSE),"")</f>
        <v/>
      </c>
      <c r="BN301" t="str">
        <f>+IFERROR(VLOOKUP(BN2,IN_Zugliste!$A$4:$F$2002,7,FALSE),"")</f>
        <v/>
      </c>
      <c r="BO301" t="str">
        <f>+IFERROR(VLOOKUP(BO2,IN_Zugliste!$A$4:$F$2002,7,FALSE),"")</f>
        <v/>
      </c>
      <c r="BP301" t="str">
        <f>+IFERROR(VLOOKUP(BP2,IN_Zugliste!$A$4:$F$2002,7,FALSE),"")</f>
        <v/>
      </c>
      <c r="BQ301" t="str">
        <f>+IFERROR(VLOOKUP(BQ2,IN_Zugliste!$A$4:$F$2002,7,FALSE),"")</f>
        <v/>
      </c>
      <c r="BR301" t="str">
        <f>+IFERROR(VLOOKUP(BR2,IN_Zugliste!$A$4:$F$2002,7,FALSE),"")</f>
        <v/>
      </c>
      <c r="BS301" t="str">
        <f>+IFERROR(VLOOKUP(BS2,IN_Zugliste!$A$4:$F$2002,7,FALSE),"")</f>
        <v/>
      </c>
      <c r="BT301" t="str">
        <f>+IFERROR(VLOOKUP(BT2,IN_Zugliste!$A$4:$F$2002,7,FALSE),"")</f>
        <v/>
      </c>
      <c r="BU301" t="str">
        <f>+IFERROR(VLOOKUP(BU2,IN_Zugliste!$A$4:$F$2002,7,FALSE),"")</f>
        <v/>
      </c>
      <c r="BV301" t="str">
        <f>+IFERROR(VLOOKUP(BV2,IN_Zugliste!$A$4:$F$2002,7,FALSE),"")</f>
        <v/>
      </c>
      <c r="BW301" t="str">
        <f>+IFERROR(VLOOKUP(BW2,IN_Zugliste!$A$4:$F$2002,7,FALSE),"")</f>
        <v/>
      </c>
      <c r="BX301" t="str">
        <f>+IFERROR(VLOOKUP(BX2,IN_Zugliste!$A$4:$F$2002,7,FALSE),"")</f>
        <v/>
      </c>
      <c r="BY301" t="str">
        <f>+IFERROR(VLOOKUP(BY2,IN_Zugliste!$A$4:$F$2002,7,FALSE),"")</f>
        <v/>
      </c>
      <c r="BZ301" t="str">
        <f>+IFERROR(VLOOKUP(BZ2,IN_Zugliste!$A$4:$F$2002,7,FALSE),"")</f>
        <v/>
      </c>
      <c r="CA301" t="str">
        <f>+IFERROR(VLOOKUP(CA2,IN_Zugliste!$A$4:$F$2002,7,FALSE),"")</f>
        <v/>
      </c>
      <c r="CB301" t="str">
        <f>+IFERROR(VLOOKUP(CB2,IN_Zugliste!$A$4:$F$2002,7,FALSE),"")</f>
        <v/>
      </c>
      <c r="CC301" t="str">
        <f>+IFERROR(VLOOKUP(CC2,IN_Zugliste!$A$4:$F$2002,7,FALSE),"")</f>
        <v/>
      </c>
      <c r="CD301" t="str">
        <f>+IFERROR(VLOOKUP(CD2,IN_Zugliste!$A$4:$F$2002,7,FALSE),"")</f>
        <v/>
      </c>
      <c r="CE301" t="str">
        <f>+IFERROR(VLOOKUP(CE2,IN_Zugliste!$A$4:$F$2002,7,FALSE),"")</f>
        <v/>
      </c>
      <c r="CF301" t="str">
        <f>+IFERROR(VLOOKUP(CF2,IN_Zugliste!$A$4:$F$2002,7,FALSE),"")</f>
        <v/>
      </c>
      <c r="CG301" t="str">
        <f>+IFERROR(VLOOKUP(CG2,IN_Zugliste!$A$4:$F$2002,7,FALSE),"")</f>
        <v/>
      </c>
      <c r="CH301" t="str">
        <f>+IFERROR(VLOOKUP(CH2,IN_Zugliste!$A$4:$F$2002,7,FALSE),"")</f>
        <v/>
      </c>
      <c r="CI301" t="str">
        <f>+IFERROR(VLOOKUP(CI2,IN_Zugliste!$A$4:$F$2002,7,FALSE),"")</f>
        <v/>
      </c>
      <c r="CJ301" t="str">
        <f>+IFERROR(VLOOKUP(CJ2,IN_Zugliste!$A$4:$F$2002,7,FALSE),"")</f>
        <v/>
      </c>
      <c r="CK301" t="str">
        <f>+IFERROR(VLOOKUP(CK2,IN_Zugliste!$A$4:$F$2002,7,FALSE),"")</f>
        <v/>
      </c>
      <c r="CL301" t="str">
        <f>+IFERROR(VLOOKUP(CL2,IN_Zugliste!$A$4:$F$2002,7,FALSE),"")</f>
        <v/>
      </c>
      <c r="CM301" t="str">
        <f>+IFERROR(VLOOKUP(CM2,IN_Zugliste!$A$4:$F$2002,7,FALSE),"")</f>
        <v/>
      </c>
      <c r="CN301" t="str">
        <f>+IFERROR(VLOOKUP(CN2,IN_Zugliste!$A$4:$F$2002,7,FALSE),"")</f>
        <v/>
      </c>
      <c r="CO301" t="str">
        <f>+IFERROR(VLOOKUP(CO2,IN_Zugliste!$A$4:$F$2002,7,FALSE),"")</f>
        <v/>
      </c>
      <c r="CP301" t="str">
        <f>+IFERROR(VLOOKUP(CP2,IN_Zugliste!$A$4:$F$2002,7,FALSE),"")</f>
        <v/>
      </c>
      <c r="CQ301" t="str">
        <f>+IFERROR(VLOOKUP(CQ2,IN_Zugliste!$A$4:$F$2002,7,FALSE),"")</f>
        <v/>
      </c>
      <c r="CR301" t="str">
        <f>+IFERROR(VLOOKUP(CR2,IN_Zugliste!$A$4:$F$2002,7,FALSE),"")</f>
        <v/>
      </c>
      <c r="CS301" t="str">
        <f>+IFERROR(VLOOKUP(CS2,IN_Zugliste!$A$4:$F$2002,7,FALSE),"")</f>
        <v/>
      </c>
      <c r="CT301" t="str">
        <f>+IFERROR(VLOOKUP(CT2,IN_Zugliste!$A$4:$F$2002,7,FALSE),"")</f>
        <v/>
      </c>
      <c r="CU301" t="str">
        <f>+IFERROR(VLOOKUP(CU2,IN_Zugliste!$A$4:$F$2002,7,FALSE),"")</f>
        <v/>
      </c>
      <c r="CV301" t="str">
        <f>+IFERROR(VLOOKUP(CV2,IN_Zugliste!$A$4:$F$2002,7,FALSE),"")</f>
        <v/>
      </c>
      <c r="CW301" t="str">
        <f>+IFERROR(VLOOKUP(CW2,IN_Zugliste!$A$4:$F$2002,7,FALSE),"")</f>
        <v/>
      </c>
      <c r="CX301" t="str">
        <f>+IFERROR(VLOOKUP(CX2,IN_Zugliste!$A$4:$F$2002,7,FALSE),"")</f>
        <v/>
      </c>
      <c r="CY301" t="str">
        <f>+IFERROR(VLOOKUP(CY2,IN_Zugliste!$A$4:$F$2002,7,FALSE),"")</f>
        <v/>
      </c>
      <c r="CZ301" t="str">
        <f>+IFERROR(VLOOKUP(CZ2,IN_Zugliste!$A$4:$F$2002,7,FALSE),"")</f>
        <v/>
      </c>
      <c r="DA301" t="str">
        <f>+IFERROR(VLOOKUP(DA2,IN_Zugliste!$A$4:$F$2002,7,FALSE),"")</f>
        <v/>
      </c>
      <c r="DB301" t="str">
        <f>+IFERROR(VLOOKUP(DB2,IN_Zugliste!$A$4:$F$2002,7,FALSE),"")</f>
        <v/>
      </c>
      <c r="DC301" t="str">
        <f>+IFERROR(VLOOKUP(DC2,IN_Zugliste!$A$4:$F$2002,7,FALSE),"")</f>
        <v/>
      </c>
      <c r="DD301" t="str">
        <f>+IFERROR(VLOOKUP(DD2,IN_Zugliste!$A$4:$F$2002,7,FALSE),"")</f>
        <v/>
      </c>
      <c r="DE301" t="str">
        <f>+IFERROR(VLOOKUP(DE2,IN_Zugliste!$A$4:$F$2002,7,FALSE),"")</f>
        <v/>
      </c>
      <c r="DF301" t="str">
        <f>+IFERROR(VLOOKUP(DF2,IN_Zugliste!$A$4:$F$2002,7,FALSE),"")</f>
        <v/>
      </c>
      <c r="DG301" t="str">
        <f>+IFERROR(VLOOKUP(DG2,IN_Zugliste!$A$4:$F$2002,7,FALSE),"")</f>
        <v/>
      </c>
      <c r="DH301" t="str">
        <f>+IFERROR(VLOOKUP(DH2,IN_Zugliste!$A$4:$F$2002,7,FALSE),"")</f>
        <v/>
      </c>
      <c r="DI301" t="str">
        <f>+IFERROR(VLOOKUP(DI2,IN_Zugliste!$A$4:$F$2002,7,FALSE),"")</f>
        <v/>
      </c>
      <c r="DJ301" t="str">
        <f>+IFERROR(VLOOKUP(DJ2,IN_Zugliste!$A$4:$F$2002,7,FALSE),"")</f>
        <v/>
      </c>
      <c r="DK301" t="str">
        <f>+IFERROR(VLOOKUP(DK2,IN_Zugliste!$A$4:$F$2002,7,FALSE),"")</f>
        <v/>
      </c>
      <c r="DL301" t="str">
        <f>+IFERROR(VLOOKUP(DL2,IN_Zugliste!$A$4:$F$2002,7,FALSE),"")</f>
        <v/>
      </c>
      <c r="DM301" t="str">
        <f>+IFERROR(VLOOKUP(DM2,IN_Zugliste!$A$4:$F$2002,7,FALSE),"")</f>
        <v/>
      </c>
      <c r="DN301" t="str">
        <f>+IFERROR(VLOOKUP(DN2,IN_Zugliste!$A$4:$F$2002,7,FALSE),"")</f>
        <v/>
      </c>
      <c r="DO301" t="str">
        <f>+IFERROR(VLOOKUP(DO2,IN_Zugliste!$A$4:$F$2002,7,FALSE),"")</f>
        <v/>
      </c>
      <c r="DP301" t="str">
        <f>+IFERROR(VLOOKUP(DP2,IN_Zugliste!$A$4:$F$2002,7,FALSE),"")</f>
        <v/>
      </c>
      <c r="DQ301" t="str">
        <f>+IFERROR(VLOOKUP(DQ2,IN_Zugliste!$A$4:$F$2002,7,FALSE),"")</f>
        <v/>
      </c>
      <c r="DR301" t="str">
        <f>+IFERROR(VLOOKUP(DR2,IN_Zugliste!$A$4:$F$2002,7,FALSE),"")</f>
        <v/>
      </c>
      <c r="DS301" t="str">
        <f>+IFERROR(VLOOKUP(DS2,IN_Zugliste!$A$4:$F$2002,7,FALSE),"")</f>
        <v/>
      </c>
      <c r="DT301" t="str">
        <f>+IFERROR(VLOOKUP(DT2,IN_Zugliste!$A$4:$F$2002,7,FALSE),"")</f>
        <v/>
      </c>
      <c r="DU301" t="str">
        <f>+IFERROR(VLOOKUP(DU2,IN_Zugliste!$A$4:$F$2002,7,FALSE),"")</f>
        <v/>
      </c>
      <c r="DV301" t="str">
        <f>+IFERROR(VLOOKUP(DV2,IN_Zugliste!$A$4:$F$2002,7,FALSE),"")</f>
        <v/>
      </c>
      <c r="DW301" t="str">
        <f>+IFERROR(VLOOKUP(DW2,IN_Zugliste!$A$4:$F$2002,7,FALSE),"")</f>
        <v/>
      </c>
      <c r="DX301" t="str">
        <f>+IFERROR(VLOOKUP(DX2,IN_Zugliste!$A$4:$F$2002,7,FALSE),"")</f>
        <v/>
      </c>
      <c r="DY301" t="str">
        <f>+IFERROR(VLOOKUP(DY2,IN_Zugliste!$A$4:$F$2002,7,FALSE),"")</f>
        <v/>
      </c>
      <c r="DZ301" t="str">
        <f>+IFERROR(VLOOKUP(DZ2,IN_Zugliste!$A$4:$F$2002,7,FALSE),"")</f>
        <v/>
      </c>
      <c r="EA301" t="str">
        <f>+IFERROR(VLOOKUP(EA2,IN_Zugliste!$A$4:$F$2002,7,FALSE),"")</f>
        <v/>
      </c>
      <c r="EB301" t="str">
        <f>+IFERROR(VLOOKUP(EB2,IN_Zugliste!$A$4:$F$2002,7,FALSE),"")</f>
        <v/>
      </c>
      <c r="EC301" t="str">
        <f>+IFERROR(VLOOKUP(EC2,IN_Zugliste!$A$4:$F$2002,7,FALSE),"")</f>
        <v/>
      </c>
      <c r="ED301" t="str">
        <f>+IFERROR(VLOOKUP(ED2,IN_Zugliste!$A$4:$F$2002,7,FALSE),"")</f>
        <v/>
      </c>
      <c r="EE301" t="str">
        <f>+IFERROR(VLOOKUP(EE2,IN_Zugliste!$A$4:$F$2002,7,FALSE),"")</f>
        <v/>
      </c>
      <c r="EF301" t="str">
        <f>+IFERROR(VLOOKUP(EF2,IN_Zugliste!$A$4:$F$2002,7,FALSE),"")</f>
        <v/>
      </c>
      <c r="EG301" t="str">
        <f>+IFERROR(VLOOKUP(EG2,IN_Zugliste!$A$4:$F$2002,7,FALSE),"")</f>
        <v/>
      </c>
      <c r="EH301" t="str">
        <f>+IFERROR(VLOOKUP(EH2,IN_Zugliste!$A$4:$F$2002,7,FALSE),"")</f>
        <v/>
      </c>
      <c r="EI301" t="str">
        <f>+IFERROR(VLOOKUP(EI2,IN_Zugliste!$A$4:$F$2002,7,FALSE),"")</f>
        <v/>
      </c>
      <c r="EJ301" t="str">
        <f>+IFERROR(VLOOKUP(EJ2,IN_Zugliste!$A$4:$F$2002,7,FALSE),"")</f>
        <v/>
      </c>
      <c r="EK301" t="str">
        <f>+IFERROR(VLOOKUP(EK2,IN_Zugliste!$A$4:$F$2002,7,FALSE),"")</f>
        <v/>
      </c>
      <c r="EL301" t="str">
        <f>+IFERROR(VLOOKUP(EL2,IN_Zugliste!$A$4:$F$2002,7,FALSE),"")</f>
        <v/>
      </c>
      <c r="EM301" t="str">
        <f>+IFERROR(VLOOKUP(EM2,IN_Zugliste!$A$4:$F$2002,7,FALSE),"")</f>
        <v/>
      </c>
      <c r="EN301" t="str">
        <f>+IFERROR(VLOOKUP(EN2,IN_Zugliste!$A$4:$F$2002,7,FALSE),"")</f>
        <v/>
      </c>
      <c r="EO301" t="str">
        <f>+IFERROR(VLOOKUP(EO2,IN_Zugliste!$A$4:$F$2002,7,FALSE),"")</f>
        <v/>
      </c>
      <c r="EP301" t="str">
        <f>+IFERROR(VLOOKUP(EP2,IN_Zugliste!$A$4:$F$2002,7,FALSE),"")</f>
        <v/>
      </c>
      <c r="EQ301" t="str">
        <f>+IFERROR(VLOOKUP(EQ2,IN_Zugliste!$A$4:$F$2002,7,FALSE),"")</f>
        <v/>
      </c>
      <c r="ER301" t="str">
        <f>+IFERROR(VLOOKUP(ER2,IN_Zugliste!$A$4:$F$2002,7,FALSE),"")</f>
        <v/>
      </c>
      <c r="ES301" t="str">
        <f>+IFERROR(VLOOKUP(ES2,IN_Zugliste!$A$4:$F$2002,7,FALSE),"")</f>
        <v/>
      </c>
      <c r="ET301" t="str">
        <f>+IFERROR(VLOOKUP(ET2,IN_Zugliste!$A$4:$F$2002,7,FALSE),"")</f>
        <v/>
      </c>
      <c r="EU301" t="str">
        <f>+IFERROR(VLOOKUP(EU2,IN_Zugliste!$A$4:$F$2002,7,FALSE),"")</f>
        <v/>
      </c>
      <c r="EV301" t="str">
        <f>+IFERROR(VLOOKUP(EV2,IN_Zugliste!$A$4:$F$2002,7,FALSE),"")</f>
        <v/>
      </c>
      <c r="EW301" t="str">
        <f>+IFERROR(VLOOKUP(EW2,IN_Zugliste!$A$4:$F$2002,7,FALSE),"")</f>
        <v/>
      </c>
      <c r="EX301" t="str">
        <f>+IFERROR(VLOOKUP(EX2,IN_Zugliste!$A$4:$F$2002,7,FALSE),"")</f>
        <v/>
      </c>
      <c r="EY301" t="str">
        <f>+IFERROR(VLOOKUP(EY2,IN_Zugliste!$A$4:$F$2002,7,FALSE),"")</f>
        <v/>
      </c>
      <c r="EZ301" t="str">
        <f>+IFERROR(VLOOKUP(EZ2,IN_Zugliste!$A$4:$F$2002,7,FALSE),"")</f>
        <v/>
      </c>
      <c r="FA301" t="str">
        <f>+IFERROR(VLOOKUP(FA2,IN_Zugliste!$A$4:$F$2002,7,FALSE),"")</f>
        <v/>
      </c>
      <c r="FB301" t="str">
        <f>+IFERROR(VLOOKUP(FB2,IN_Zugliste!$A$4:$F$2002,7,FALSE),"")</f>
        <v/>
      </c>
      <c r="FC301" t="str">
        <f>+IFERROR(VLOOKUP(FC2,IN_Zugliste!$A$4:$F$2002,7,FALSE),"")</f>
        <v/>
      </c>
      <c r="FD301" t="str">
        <f>+IFERROR(VLOOKUP(FD2,IN_Zugliste!$A$4:$F$2002,7,FALSE),"")</f>
        <v/>
      </c>
      <c r="FE301" t="str">
        <f>+IFERROR(VLOOKUP(FE2,IN_Zugliste!$A$4:$F$2002,7,FALSE),"")</f>
        <v/>
      </c>
      <c r="FF301" t="str">
        <f>+IFERROR(VLOOKUP(FF2,IN_Zugliste!$A$4:$F$2002,7,FALSE),"")</f>
        <v/>
      </c>
      <c r="FG301" t="str">
        <f>+IFERROR(VLOOKUP(FG2,IN_Zugliste!$A$4:$F$2002,7,FALSE),"")</f>
        <v/>
      </c>
      <c r="FH301" t="str">
        <f>+IFERROR(VLOOKUP(FH2,IN_Zugliste!$A$4:$F$2002,7,FALSE),"")</f>
        <v/>
      </c>
      <c r="FI301" t="str">
        <f>+IFERROR(VLOOKUP(FI2,IN_Zugliste!$A$4:$F$2002,7,FALSE),"")</f>
        <v/>
      </c>
      <c r="FJ301" t="str">
        <f>+IFERROR(VLOOKUP(FJ2,IN_Zugliste!$A$4:$F$2002,7,FALSE),"")</f>
        <v/>
      </c>
      <c r="FK301" t="str">
        <f>+IFERROR(VLOOKUP(FK2,IN_Zugliste!$A$4:$F$2002,7,FALSE),"")</f>
        <v/>
      </c>
      <c r="FL301" t="str">
        <f>+IFERROR(VLOOKUP(FL2,IN_Zugliste!$A$4:$F$2002,7,FALSE),"")</f>
        <v/>
      </c>
      <c r="FM301" t="str">
        <f>+IFERROR(VLOOKUP(FM2,IN_Zugliste!$A$4:$F$2002,7,FALSE),"")</f>
        <v/>
      </c>
      <c r="FN301" t="str">
        <f>+IFERROR(VLOOKUP(FN2,IN_Zugliste!$A$4:$F$2002,7,FALSE),"")</f>
        <v/>
      </c>
      <c r="FO301" t="str">
        <f>+IFERROR(VLOOKUP(FO2,IN_Zugliste!$A$4:$F$2002,7,FALSE),"")</f>
        <v/>
      </c>
      <c r="FP301" t="str">
        <f>+IFERROR(VLOOKUP(FP2,IN_Zugliste!$A$4:$F$2002,7,FALSE),"")</f>
        <v/>
      </c>
      <c r="FQ301" t="str">
        <f>+IFERROR(VLOOKUP(FQ2,IN_Zugliste!$A$4:$F$2002,7,FALSE),"")</f>
        <v/>
      </c>
      <c r="FR301" t="str">
        <f>+IFERROR(VLOOKUP(FR2,IN_Zugliste!$A$4:$F$2002,7,FALSE),"")</f>
        <v/>
      </c>
      <c r="FS301" t="str">
        <f>+IFERROR(VLOOKUP(FS2,IN_Zugliste!$A$4:$F$2002,7,FALSE),"")</f>
        <v/>
      </c>
      <c r="FT301" t="str">
        <f>+IFERROR(VLOOKUP(FT2,IN_Zugliste!$A$4:$F$2002,7,FALSE),"")</f>
        <v/>
      </c>
      <c r="FU301" t="str">
        <f>+IFERROR(VLOOKUP(FU2,IN_Zugliste!$A$4:$F$2002,7,FALSE),"")</f>
        <v/>
      </c>
      <c r="FV301" t="str">
        <f>+IFERROR(VLOOKUP(FV2,IN_Zugliste!$A$4:$F$2002,7,FALSE),"")</f>
        <v/>
      </c>
      <c r="FW301" t="str">
        <f>+IFERROR(VLOOKUP(FW2,IN_Zugliste!$A$4:$F$2002,7,FALSE),"")</f>
        <v/>
      </c>
      <c r="FX301" t="str">
        <f>+IFERROR(VLOOKUP(FX2,IN_Zugliste!$A$4:$F$2002,7,FALSE),"")</f>
        <v/>
      </c>
      <c r="FY301" t="str">
        <f>+IFERROR(VLOOKUP(FY2,IN_Zugliste!$A$4:$F$2002,7,FALSE),"")</f>
        <v/>
      </c>
      <c r="FZ301" t="str">
        <f>+IFERROR(VLOOKUP(FZ2,IN_Zugliste!$A$4:$F$2002,7,FALSE),"")</f>
        <v/>
      </c>
      <c r="GA301" t="str">
        <f>+IFERROR(VLOOKUP(GA2,IN_Zugliste!$A$4:$F$2002,7,FALSE),"")</f>
        <v/>
      </c>
      <c r="GB301" t="str">
        <f>+IFERROR(VLOOKUP(GB2,IN_Zugliste!$A$4:$F$2002,7,FALSE),"")</f>
        <v/>
      </c>
      <c r="GC301" t="str">
        <f>+IFERROR(VLOOKUP(GC2,IN_Zugliste!$A$4:$F$2002,7,FALSE),"")</f>
        <v/>
      </c>
      <c r="GD301" t="str">
        <f>+IFERROR(VLOOKUP(GD2,IN_Zugliste!$A$4:$F$2002,7,FALSE),"")</f>
        <v/>
      </c>
      <c r="GE301" t="str">
        <f>+IFERROR(VLOOKUP(GE2,IN_Zugliste!$A$4:$F$2002,7,FALSE),"")</f>
        <v/>
      </c>
      <c r="GF301" t="str">
        <f>+IFERROR(VLOOKUP(GF2,IN_Zugliste!$A$4:$F$2002,7,FALSE),"")</f>
        <v/>
      </c>
      <c r="GG301" t="str">
        <f>+IFERROR(VLOOKUP(GG2,IN_Zugliste!$A$4:$F$2002,7,FALSE),"")</f>
        <v/>
      </c>
      <c r="GH301" t="str">
        <f>+IFERROR(VLOOKUP(GH2,IN_Zugliste!$A$4:$F$2002,7,FALSE),"")</f>
        <v/>
      </c>
      <c r="GI301" t="str">
        <f>+IFERROR(VLOOKUP(GI2,IN_Zugliste!$A$4:$F$2002,7,FALSE),"")</f>
        <v/>
      </c>
      <c r="GJ301" t="str">
        <f>+IFERROR(VLOOKUP(GJ2,IN_Zugliste!$A$4:$F$2002,7,FALSE),"")</f>
        <v/>
      </c>
      <c r="GK301" t="str">
        <f>+IFERROR(VLOOKUP(GK2,IN_Zugliste!$A$4:$F$2002,7,FALSE),"")</f>
        <v/>
      </c>
      <c r="GL301" t="str">
        <f>+IFERROR(VLOOKUP(GL2,IN_Zugliste!$A$4:$F$2002,7,FALSE),"")</f>
        <v/>
      </c>
      <c r="GM301" t="str">
        <f>+IFERROR(VLOOKUP(GM2,IN_Zugliste!$A$4:$F$2002,7,FALSE),"")</f>
        <v/>
      </c>
      <c r="GN301" t="str">
        <f>+IFERROR(VLOOKUP(GN2,IN_Zugliste!$A$4:$F$2002,7,FALSE),"")</f>
        <v/>
      </c>
      <c r="GO301" t="str">
        <f>+IFERROR(VLOOKUP(GO2,IN_Zugliste!$A$4:$F$2002,7,FALSE),"")</f>
        <v/>
      </c>
      <c r="GP301" t="str">
        <f>+IFERROR(VLOOKUP(GP2,IN_Zugliste!$A$4:$F$2002,7,FALSE),"")</f>
        <v/>
      </c>
      <c r="GQ301" t="str">
        <f>+IFERROR(VLOOKUP(GQ2,IN_Zugliste!$A$4:$F$2002,7,FALSE),"")</f>
        <v/>
      </c>
      <c r="GR301" t="str">
        <f>+IFERROR(VLOOKUP(GR2,IN_Zugliste!$A$4:$F$2002,7,FALSE),"")</f>
        <v/>
      </c>
      <c r="GS301" t="str">
        <f>+IFERROR(VLOOKUP(GS2,IN_Zugliste!$A$4:$F$2002,7,FALSE),"")</f>
        <v/>
      </c>
      <c r="GT301" t="str">
        <f>+IFERROR(VLOOKUP(GT2,IN_Zugliste!$A$4:$F$2002,7,FALSE),"")</f>
        <v/>
      </c>
      <c r="GU301" t="str">
        <f>+IFERROR(VLOOKUP(GU2,IN_Zugliste!$A$4:$F$2002,7,FALSE),"")</f>
        <v/>
      </c>
      <c r="GV301" t="str">
        <f>+IFERROR(VLOOKUP(GV2,IN_Zugliste!$A$4:$F$2002,7,FALSE),"")</f>
        <v/>
      </c>
      <c r="GW301" t="str">
        <f>+IFERROR(VLOOKUP(GW2,IN_Zugliste!$A$4:$F$2002,7,FALSE),"")</f>
        <v/>
      </c>
      <c r="GX301" t="str">
        <f>+IFERROR(VLOOKUP(GX2,IN_Zugliste!$A$4:$F$2002,7,FALSE),"")</f>
        <v/>
      </c>
      <c r="GY301" t="str">
        <f>+IFERROR(VLOOKUP(GY2,IN_Zugliste!$A$4:$F$2002,7,FALSE),"")</f>
        <v/>
      </c>
      <c r="GZ301" t="str">
        <f>+IFERROR(VLOOKUP(GZ2,IN_Zugliste!$A$4:$F$2002,7,FALSE),"")</f>
        <v/>
      </c>
      <c r="HA301" t="str">
        <f>+IFERROR(VLOOKUP(HA2,IN_Zugliste!$A$4:$F$2002,7,FALSE),"")</f>
        <v/>
      </c>
      <c r="HB301" t="str">
        <f>+IFERROR(VLOOKUP(HB2,IN_Zugliste!$A$4:$F$2002,7,FALSE),"")</f>
        <v/>
      </c>
      <c r="HC301" t="str">
        <f>+IFERROR(VLOOKUP(HC2,IN_Zugliste!$A$4:$F$2002,7,FALSE),"")</f>
        <v/>
      </c>
      <c r="HD301" t="str">
        <f>+IFERROR(VLOOKUP(HD2,IN_Zugliste!$A$4:$F$2002,7,FALSE),"")</f>
        <v/>
      </c>
      <c r="HE301" t="str">
        <f>+IFERROR(VLOOKUP(HE2,IN_Zugliste!$A$4:$F$2002,7,FALSE),"")</f>
        <v/>
      </c>
      <c r="HF301" t="str">
        <f>+IFERROR(VLOOKUP(HF2,IN_Zugliste!$A$4:$F$2002,7,FALSE),"")</f>
        <v/>
      </c>
      <c r="HG301" t="str">
        <f>+IFERROR(VLOOKUP(HG2,IN_Zugliste!$A$4:$F$2002,7,FALSE),"")</f>
        <v/>
      </c>
      <c r="HH301" t="str">
        <f>+IFERROR(VLOOKUP(HH2,IN_Zugliste!$A$4:$F$2002,7,FALSE),"")</f>
        <v/>
      </c>
      <c r="HI301" t="str">
        <f>+IFERROR(VLOOKUP(HI2,IN_Zugliste!$A$4:$F$2002,7,FALSE),"")</f>
        <v/>
      </c>
      <c r="HJ301" t="str">
        <f>+IFERROR(VLOOKUP(HJ2,IN_Zugliste!$A$4:$F$2002,7,FALSE),"")</f>
        <v/>
      </c>
      <c r="HK301" t="str">
        <f>+IFERROR(VLOOKUP(HK2,IN_Zugliste!$A$4:$F$2002,7,FALSE),"")</f>
        <v/>
      </c>
      <c r="HL301" t="str">
        <f>+IFERROR(VLOOKUP(HL2,IN_Zugliste!$A$4:$F$2002,7,FALSE),"")</f>
        <v/>
      </c>
      <c r="HM301" t="str">
        <f>+IFERROR(VLOOKUP(HM2,IN_Zugliste!$A$4:$F$2002,7,FALSE),"")</f>
        <v/>
      </c>
      <c r="HN301" t="str">
        <f>+IFERROR(VLOOKUP(HN2,IN_Zugliste!$A$4:$F$2002,7,FALSE),"")</f>
        <v/>
      </c>
      <c r="HO301" t="str">
        <f>+IFERROR(VLOOKUP(HO2,IN_Zugliste!$A$4:$F$2002,7,FALSE),"")</f>
        <v/>
      </c>
      <c r="HP301" t="str">
        <f>+IFERROR(VLOOKUP(HP2,IN_Zugliste!$A$4:$F$2002,7,FALSE),"")</f>
        <v/>
      </c>
      <c r="HQ301" t="str">
        <f>+IFERROR(VLOOKUP(HQ2,IN_Zugliste!$A$4:$F$2002,7,FALSE),"")</f>
        <v/>
      </c>
      <c r="HR301" t="str">
        <f>+IFERROR(VLOOKUP(HR2,IN_Zugliste!$A$4:$F$2002,7,FALSE),"")</f>
        <v/>
      </c>
      <c r="HS301" t="str">
        <f>+IFERROR(VLOOKUP(HS2,IN_Zugliste!$A$4:$F$2002,7,FALSE),"")</f>
        <v/>
      </c>
      <c r="HT301" t="str">
        <f>+IFERROR(VLOOKUP(HT2,IN_Zugliste!$A$4:$F$2002,7,FALSE),"")</f>
        <v/>
      </c>
      <c r="HU301" t="str">
        <f>+IFERROR(VLOOKUP(HU2,IN_Zugliste!$A$4:$F$2002,7,FALSE),"")</f>
        <v/>
      </c>
      <c r="HV301" t="str">
        <f>+IFERROR(VLOOKUP(HV2,IN_Zugliste!$A$4:$F$2002,7,FALSE),"")</f>
        <v/>
      </c>
      <c r="HW301" t="str">
        <f>+IFERROR(VLOOKUP(HW2,IN_Zugliste!$A$4:$F$2002,7,FALSE),"")</f>
        <v/>
      </c>
      <c r="HX301" t="str">
        <f>+IFERROR(VLOOKUP(HX2,IN_Zugliste!$A$4:$F$2002,7,FALSE),"")</f>
        <v/>
      </c>
      <c r="HY301" t="str">
        <f>+IFERROR(VLOOKUP(HY2,IN_Zugliste!$A$4:$F$2002,7,FALSE),"")</f>
        <v/>
      </c>
      <c r="HZ301" t="str">
        <f>+IFERROR(VLOOKUP(HZ2,IN_Zugliste!$A$4:$F$2002,7,FALSE),"")</f>
        <v/>
      </c>
      <c r="IA301" t="str">
        <f>+IFERROR(VLOOKUP(IA2,IN_Zugliste!$A$4:$F$2002,7,FALSE),"")</f>
        <v/>
      </c>
      <c r="IB301" t="str">
        <f>+IFERROR(VLOOKUP(IB2,IN_Zugliste!$A$4:$F$2002,7,FALSE),"")</f>
        <v/>
      </c>
      <c r="IC301" t="str">
        <f>+IFERROR(VLOOKUP(IC2,IN_Zugliste!$A$4:$F$2002,7,FALSE),"")</f>
        <v/>
      </c>
      <c r="ID301" t="str">
        <f>+IFERROR(VLOOKUP(ID2,IN_Zugliste!$A$4:$F$2002,7,FALSE),"")</f>
        <v/>
      </c>
      <c r="IE301" t="str">
        <f>+IFERROR(VLOOKUP(IE2,IN_Zugliste!$A$4:$F$2002,7,FALSE),"")</f>
        <v/>
      </c>
      <c r="IF301" t="str">
        <f>+IFERROR(VLOOKUP(IF2,IN_Zugliste!$A$4:$F$2002,7,FALSE),"")</f>
        <v/>
      </c>
      <c r="IG301" t="str">
        <f>+IFERROR(VLOOKUP(IG2,IN_Zugliste!$A$4:$F$2002,7,FALSE),"")</f>
        <v/>
      </c>
      <c r="IH301" t="str">
        <f>+IFERROR(VLOOKUP(IH2,IN_Zugliste!$A$4:$F$2002,7,FALSE),"")</f>
        <v/>
      </c>
      <c r="II301" t="str">
        <f>+IFERROR(VLOOKUP(II2,IN_Zugliste!$A$4:$F$2002,7,FALSE),"")</f>
        <v/>
      </c>
      <c r="IJ301" t="str">
        <f>+IFERROR(VLOOKUP(IJ2,IN_Zugliste!$A$4:$F$2002,7,FALSE),"")</f>
        <v/>
      </c>
      <c r="IK301" t="str">
        <f>+IFERROR(VLOOKUP(IK2,IN_Zugliste!$A$4:$F$2002,7,FALSE),"")</f>
        <v/>
      </c>
      <c r="IL301" t="str">
        <f>+IFERROR(VLOOKUP(IL2,IN_Zugliste!$A$4:$F$2002,7,FALSE),"")</f>
        <v/>
      </c>
      <c r="IM301" t="str">
        <f>+IFERROR(VLOOKUP(IM2,IN_Zugliste!$A$4:$F$2002,7,FALSE),"")</f>
        <v/>
      </c>
      <c r="IN301" t="str">
        <f>+IFERROR(VLOOKUP(IN2,IN_Zugliste!$A$4:$F$2002,7,FALSE),"")</f>
        <v/>
      </c>
      <c r="IO301" t="str">
        <f>+IFERROR(VLOOKUP(IO2,IN_Zugliste!$A$4:$F$2002,7,FALSE),"")</f>
        <v/>
      </c>
      <c r="IP301" t="str">
        <f>+IFERROR(VLOOKUP(IP2,IN_Zugliste!$A$4:$F$2002,7,FALSE),"")</f>
        <v/>
      </c>
      <c r="IQ301" t="str">
        <f>+IFERROR(VLOOKUP(IQ2,IN_Zugliste!$A$4:$F$2002,7,FALSE),"")</f>
        <v/>
      </c>
      <c r="IR301" t="str">
        <f>+IFERROR(VLOOKUP(IR2,IN_Zugliste!$A$4:$F$2002,7,FALSE),"")</f>
        <v/>
      </c>
      <c r="IS301" t="str">
        <f>+IFERROR(VLOOKUP(IS2,IN_Zugliste!$A$4:$F$2002,7,FALSE),"")</f>
        <v/>
      </c>
      <c r="IT301" t="str">
        <f>+IFERROR(VLOOKUP(IT2,IN_Zugliste!$A$4:$F$2002,7,FALSE),"")</f>
        <v/>
      </c>
      <c r="IU301" t="str">
        <f>+IFERROR(VLOOKUP(IU2,IN_Zugliste!$A$4:$F$2002,7,FALSE),"")</f>
        <v/>
      </c>
      <c r="IV301" t="str">
        <f>+IFERROR(VLOOKUP(IV2,IN_Zugliste!$A$4:$F$2002,7,FALSE),"")</f>
        <v/>
      </c>
      <c r="IW301" t="str">
        <f>+IFERROR(VLOOKUP(IW2,IN_Zugliste!$A$4:$F$2002,7,FALSE),"")</f>
        <v/>
      </c>
      <c r="IX301" t="str">
        <f>+IFERROR(VLOOKUP(IX2,IN_Zugliste!$A$4:$F$2002,7,FALSE),"")</f>
        <v/>
      </c>
      <c r="IY301" t="str">
        <f>+IFERROR(VLOOKUP(IY2,IN_Zugliste!$A$4:$F$2002,7,FALSE),"")</f>
        <v/>
      </c>
      <c r="IZ301" t="str">
        <f>+IFERROR(VLOOKUP(IZ2,IN_Zugliste!$A$4:$F$2002,7,FALSE),"")</f>
        <v/>
      </c>
      <c r="JA301" t="str">
        <f>+IFERROR(VLOOKUP(JA2,IN_Zugliste!$A$4:$F$2002,7,FALSE),"")</f>
        <v/>
      </c>
      <c r="JB301" t="str">
        <f>+IFERROR(VLOOKUP(JB2,IN_Zugliste!$A$4:$F$2002,7,FALSE),"")</f>
        <v/>
      </c>
      <c r="JC301" t="str">
        <f>+IFERROR(VLOOKUP(JC2,IN_Zugliste!$A$4:$F$2002,7,FALSE),"")</f>
        <v/>
      </c>
      <c r="JD301" t="str">
        <f>+IFERROR(VLOOKUP(JD2,IN_Zugliste!$A$4:$F$2002,7,FALSE),"")</f>
        <v/>
      </c>
      <c r="JE301" t="str">
        <f>+IFERROR(VLOOKUP(JE2,IN_Zugliste!$A$4:$F$2002,7,FALSE),"")</f>
        <v/>
      </c>
      <c r="JF301" t="str">
        <f>+IFERROR(VLOOKUP(JF2,IN_Zugliste!$A$4:$F$2002,7,FALSE),"")</f>
        <v/>
      </c>
      <c r="JG301" t="str">
        <f>+IFERROR(VLOOKUP(JG2,IN_Zugliste!$A$4:$F$2002,7,FALSE),"")</f>
        <v/>
      </c>
      <c r="JH301" t="str">
        <f>+IFERROR(VLOOKUP(JH2,IN_Zugliste!$A$4:$F$2002,7,FALSE),"")</f>
        <v/>
      </c>
      <c r="JI301" t="str">
        <f>+IFERROR(VLOOKUP(JI2,IN_Zugliste!$A$4:$F$2002,7,FALSE),"")</f>
        <v/>
      </c>
      <c r="JJ301" t="str">
        <f>+IFERROR(VLOOKUP(JJ2,IN_Zugliste!$A$4:$F$2002,7,FALSE),"")</f>
        <v/>
      </c>
    </row>
    <row r="302" spans="1:270" x14ac:dyDescent="0.2">
      <c r="A302" t="str">
        <f>+IFERROR(VLOOKUP(A3,IN_Zugliste!$A$4:$F$2002,7,FALSE),"")</f>
        <v/>
      </c>
      <c r="B302" t="str">
        <f>+IFERROR(VLOOKUP(B3,IN_Zugliste!$A$4:$F$2002,7,FALSE),"")</f>
        <v/>
      </c>
      <c r="C302" t="str">
        <f>+IFERROR(VLOOKUP(C3,IN_Zugliste!$A$4:$F$2002,7,FALSE),"")</f>
        <v/>
      </c>
      <c r="D302" t="str">
        <f>+IFERROR(VLOOKUP(D3,IN_Zugliste!$A$4:$F$2002,7,FALSE),"")</f>
        <v/>
      </c>
      <c r="E302" t="str">
        <f>+IFERROR(VLOOKUP(E3,IN_Zugliste!$A$4:$F$2002,7,FALSE),"")</f>
        <v/>
      </c>
      <c r="F302" t="str">
        <f>+IFERROR(VLOOKUP(F3,IN_Zugliste!$A$4:$F$2002,7,FALSE),"")</f>
        <v/>
      </c>
      <c r="G302" t="str">
        <f>+IFERROR(VLOOKUP(G3,IN_Zugliste!$A$4:$F$2002,7,FALSE),"")</f>
        <v/>
      </c>
      <c r="H302" t="str">
        <f>+IFERROR(VLOOKUP(H3,IN_Zugliste!$A$4:$F$2002,7,FALSE),"")</f>
        <v/>
      </c>
      <c r="I302" t="str">
        <f>+IFERROR(VLOOKUP(I3,IN_Zugliste!$A$4:$F$2002,7,FALSE),"")</f>
        <v/>
      </c>
      <c r="J302" t="str">
        <f>+IFERROR(VLOOKUP(J3,IN_Zugliste!$A$4:$F$2002,7,FALSE),"")</f>
        <v/>
      </c>
      <c r="K302" t="str">
        <f>+IFERROR(VLOOKUP(K3,IN_Zugliste!$A$4:$F$2002,7,FALSE),"")</f>
        <v/>
      </c>
      <c r="L302" t="str">
        <f>+IFERROR(VLOOKUP(L3,IN_Zugliste!$A$4:$F$2002,7,FALSE),"")</f>
        <v/>
      </c>
      <c r="M302" t="str">
        <f>+IFERROR(VLOOKUP(M3,IN_Zugliste!$A$4:$F$2002,7,FALSE),"")</f>
        <v/>
      </c>
      <c r="N302" t="str">
        <f>+IFERROR(VLOOKUP(N3,IN_Zugliste!$A$4:$F$2002,7,FALSE),"")</f>
        <v/>
      </c>
      <c r="O302" t="str">
        <f>+IFERROR(VLOOKUP(O3,IN_Zugliste!$A$4:$F$2002,7,FALSE),"")</f>
        <v/>
      </c>
      <c r="P302" t="str">
        <f>+IFERROR(VLOOKUP(P3,IN_Zugliste!$A$4:$F$2002,7,FALSE),"")</f>
        <v/>
      </c>
      <c r="Q302" t="str">
        <f>+IFERROR(VLOOKUP(Q3,IN_Zugliste!$A$4:$F$2002,7,FALSE),"")</f>
        <v/>
      </c>
      <c r="R302" t="str">
        <f>+IFERROR(VLOOKUP(R3,IN_Zugliste!$A$4:$F$2002,7,FALSE),"")</f>
        <v/>
      </c>
      <c r="S302" t="str">
        <f>+IFERROR(VLOOKUP(S3,IN_Zugliste!$A$4:$F$2002,7,FALSE),"")</f>
        <v/>
      </c>
      <c r="T302" t="str">
        <f>+IFERROR(VLOOKUP(T3,IN_Zugliste!$A$4:$F$2002,7,FALSE),"")</f>
        <v/>
      </c>
      <c r="U302" t="str">
        <f>+IFERROR(VLOOKUP(U3,IN_Zugliste!$A$4:$F$2002,7,FALSE),"")</f>
        <v/>
      </c>
      <c r="V302" t="str">
        <f>+IFERROR(VLOOKUP(V3,IN_Zugliste!$A$4:$F$2002,7,FALSE),"")</f>
        <v/>
      </c>
      <c r="W302" t="str">
        <f>+IFERROR(VLOOKUP(W3,IN_Zugliste!$A$4:$F$2002,7,FALSE),"")</f>
        <v/>
      </c>
      <c r="X302" t="str">
        <f>+IFERROR(VLOOKUP(X3,IN_Zugliste!$A$4:$F$2002,7,FALSE),"")</f>
        <v/>
      </c>
      <c r="Y302" t="str">
        <f>+IFERROR(VLOOKUP(Y3,IN_Zugliste!$A$4:$F$2002,7,FALSE),"")</f>
        <v/>
      </c>
      <c r="Z302" t="str">
        <f>+IFERROR(VLOOKUP(Z3,IN_Zugliste!$A$4:$F$2002,7,FALSE),"")</f>
        <v/>
      </c>
      <c r="AA302" t="str">
        <f>+IFERROR(VLOOKUP(AA3,IN_Zugliste!$A$4:$F$2002,7,FALSE),"")</f>
        <v/>
      </c>
      <c r="AB302" t="str">
        <f>+IFERROR(VLOOKUP(AB3,IN_Zugliste!$A$4:$F$2002,7,FALSE),"")</f>
        <v/>
      </c>
      <c r="AC302" t="str">
        <f>+IFERROR(VLOOKUP(AC3,IN_Zugliste!$A$4:$F$2002,7,FALSE),"")</f>
        <v/>
      </c>
      <c r="AD302" t="str">
        <f>+IFERROR(VLOOKUP(AD3,IN_Zugliste!$A$4:$F$2002,7,FALSE),"")</f>
        <v/>
      </c>
      <c r="AE302" t="str">
        <f>+IFERROR(VLOOKUP(AE3,IN_Zugliste!$A$4:$F$2002,7,FALSE),"")</f>
        <v/>
      </c>
      <c r="AF302" t="str">
        <f>+IFERROR(VLOOKUP(AF3,IN_Zugliste!$A$4:$F$2002,7,FALSE),"")</f>
        <v/>
      </c>
      <c r="AG302" t="str">
        <f>+IFERROR(VLOOKUP(AG3,IN_Zugliste!$A$4:$F$2002,7,FALSE),"")</f>
        <v/>
      </c>
      <c r="AH302" t="str">
        <f>+IFERROR(VLOOKUP(AH3,IN_Zugliste!$A$4:$F$2002,7,FALSE),"")</f>
        <v/>
      </c>
      <c r="AI302" t="str">
        <f>+IFERROR(VLOOKUP(AI3,IN_Zugliste!$A$4:$F$2002,7,FALSE),"")</f>
        <v/>
      </c>
      <c r="AJ302" t="str">
        <f>+IFERROR(VLOOKUP(AJ3,IN_Zugliste!$A$4:$F$2002,7,FALSE),"")</f>
        <v/>
      </c>
      <c r="AK302" t="str">
        <f>+IFERROR(VLOOKUP(AK3,IN_Zugliste!$A$4:$F$2002,7,FALSE),"")</f>
        <v/>
      </c>
      <c r="AL302" t="str">
        <f>+IFERROR(VLOOKUP(AL3,IN_Zugliste!$A$4:$F$2002,7,FALSE),"")</f>
        <v/>
      </c>
      <c r="AM302" t="str">
        <f>+IFERROR(VLOOKUP(AM3,IN_Zugliste!$A$4:$F$2002,7,FALSE),"")</f>
        <v/>
      </c>
      <c r="AN302" t="str">
        <f>+IFERROR(VLOOKUP(AN3,IN_Zugliste!$A$4:$F$2002,7,FALSE),"")</f>
        <v/>
      </c>
      <c r="AO302" t="str">
        <f>+IFERROR(VLOOKUP(AO3,IN_Zugliste!$A$4:$F$2002,7,FALSE),"")</f>
        <v/>
      </c>
      <c r="AP302" t="str">
        <f>+IFERROR(VLOOKUP(AP3,IN_Zugliste!$A$4:$F$2002,7,FALSE),"")</f>
        <v/>
      </c>
      <c r="AQ302" t="str">
        <f>+IFERROR(VLOOKUP(AQ3,IN_Zugliste!$A$4:$F$2002,7,FALSE),"")</f>
        <v/>
      </c>
      <c r="AR302" t="str">
        <f>+IFERROR(VLOOKUP(AR3,IN_Zugliste!$A$4:$F$2002,7,FALSE),"")</f>
        <v/>
      </c>
      <c r="AS302" t="str">
        <f>+IFERROR(VLOOKUP(AS3,IN_Zugliste!$A$4:$F$2002,7,FALSE),"")</f>
        <v/>
      </c>
      <c r="AT302" t="str">
        <f>+IFERROR(VLOOKUP(AT3,IN_Zugliste!$A$4:$F$2002,7,FALSE),"")</f>
        <v/>
      </c>
      <c r="AU302" t="str">
        <f>+IFERROR(VLOOKUP(AU3,IN_Zugliste!$A$4:$F$2002,7,FALSE),"")</f>
        <v/>
      </c>
      <c r="AV302" t="str">
        <f>+IFERROR(VLOOKUP(AV3,IN_Zugliste!$A$4:$F$2002,7,FALSE),"")</f>
        <v/>
      </c>
      <c r="AW302" t="str">
        <f>+IFERROR(VLOOKUP(AW3,IN_Zugliste!$A$4:$F$2002,7,FALSE),"")</f>
        <v/>
      </c>
      <c r="AX302" t="str">
        <f>+IFERROR(VLOOKUP(AX3,IN_Zugliste!$A$4:$F$2002,7,FALSE),"")</f>
        <v/>
      </c>
      <c r="AY302" t="str">
        <f>+IFERROR(VLOOKUP(AY3,IN_Zugliste!$A$4:$F$2002,7,FALSE),"")</f>
        <v/>
      </c>
      <c r="AZ302" t="str">
        <f>+IFERROR(VLOOKUP(AZ3,IN_Zugliste!$A$4:$F$2002,7,FALSE),"")</f>
        <v/>
      </c>
      <c r="BA302" t="str">
        <f>+IFERROR(VLOOKUP(BA3,IN_Zugliste!$A$4:$F$2002,7,FALSE),"")</f>
        <v/>
      </c>
      <c r="BB302" t="str">
        <f>+IFERROR(VLOOKUP(BB3,IN_Zugliste!$A$4:$F$2002,7,FALSE),"")</f>
        <v/>
      </c>
      <c r="BC302" t="str">
        <f>+IFERROR(VLOOKUP(BC3,IN_Zugliste!$A$4:$F$2002,7,FALSE),"")</f>
        <v/>
      </c>
      <c r="BD302" t="str">
        <f>+IFERROR(VLOOKUP(BD3,IN_Zugliste!$A$4:$F$2002,7,FALSE),"")</f>
        <v/>
      </c>
      <c r="BE302" t="str">
        <f>+IFERROR(VLOOKUP(BE3,IN_Zugliste!$A$4:$F$2002,7,FALSE),"")</f>
        <v/>
      </c>
      <c r="BF302" t="str">
        <f>+IFERROR(VLOOKUP(BF3,IN_Zugliste!$A$4:$F$2002,7,FALSE),"")</f>
        <v/>
      </c>
      <c r="BG302" t="str">
        <f>+IFERROR(VLOOKUP(BG3,IN_Zugliste!$A$4:$F$2002,7,FALSE),"")</f>
        <v/>
      </c>
      <c r="BH302" t="str">
        <f>+IFERROR(VLOOKUP(BH3,IN_Zugliste!$A$4:$F$2002,7,FALSE),"")</f>
        <v/>
      </c>
      <c r="BI302" t="str">
        <f>+IFERROR(VLOOKUP(BI3,IN_Zugliste!$A$4:$F$2002,7,FALSE),"")</f>
        <v/>
      </c>
      <c r="BJ302" t="str">
        <f>+IFERROR(VLOOKUP(BJ3,IN_Zugliste!$A$4:$F$2002,7,FALSE),"")</f>
        <v/>
      </c>
      <c r="BK302" t="str">
        <f>+IFERROR(VLOOKUP(BK3,IN_Zugliste!$A$4:$F$2002,7,FALSE),"")</f>
        <v/>
      </c>
      <c r="BL302" t="str">
        <f>+IFERROR(VLOOKUP(BL3,IN_Zugliste!$A$4:$F$2002,7,FALSE),"")</f>
        <v/>
      </c>
      <c r="BM302" t="str">
        <f>+IFERROR(VLOOKUP(BM3,IN_Zugliste!$A$4:$F$2002,7,FALSE),"")</f>
        <v/>
      </c>
      <c r="BN302" t="str">
        <f>+IFERROR(VLOOKUP(BN3,IN_Zugliste!$A$4:$F$2002,7,FALSE),"")</f>
        <v/>
      </c>
      <c r="BO302" t="str">
        <f>+IFERROR(VLOOKUP(BO3,IN_Zugliste!$A$4:$F$2002,7,FALSE),"")</f>
        <v/>
      </c>
      <c r="BP302" t="str">
        <f>+IFERROR(VLOOKUP(BP3,IN_Zugliste!$A$4:$F$2002,7,FALSE),"")</f>
        <v/>
      </c>
      <c r="BQ302" t="str">
        <f>+IFERROR(VLOOKUP(BQ3,IN_Zugliste!$A$4:$F$2002,7,FALSE),"")</f>
        <v/>
      </c>
      <c r="BR302" t="str">
        <f>+IFERROR(VLOOKUP(BR3,IN_Zugliste!$A$4:$F$2002,7,FALSE),"")</f>
        <v/>
      </c>
      <c r="BS302" t="str">
        <f>+IFERROR(VLOOKUP(BS3,IN_Zugliste!$A$4:$F$2002,7,FALSE),"")</f>
        <v/>
      </c>
      <c r="BT302" t="str">
        <f>+IFERROR(VLOOKUP(BT3,IN_Zugliste!$A$4:$F$2002,7,FALSE),"")</f>
        <v/>
      </c>
      <c r="BU302" t="str">
        <f>+IFERROR(VLOOKUP(BU3,IN_Zugliste!$A$4:$F$2002,7,FALSE),"")</f>
        <v/>
      </c>
      <c r="BV302" t="str">
        <f>+IFERROR(VLOOKUP(BV3,IN_Zugliste!$A$4:$F$2002,7,FALSE),"")</f>
        <v/>
      </c>
      <c r="BW302" t="str">
        <f>+IFERROR(VLOOKUP(BW3,IN_Zugliste!$A$4:$F$2002,7,FALSE),"")</f>
        <v/>
      </c>
      <c r="BX302" t="str">
        <f>+IFERROR(VLOOKUP(BX3,IN_Zugliste!$A$4:$F$2002,7,FALSE),"")</f>
        <v/>
      </c>
      <c r="BY302" t="str">
        <f>+IFERROR(VLOOKUP(BY3,IN_Zugliste!$A$4:$F$2002,7,FALSE),"")</f>
        <v/>
      </c>
      <c r="BZ302" t="str">
        <f>+IFERROR(VLOOKUP(BZ3,IN_Zugliste!$A$4:$F$2002,7,FALSE),"")</f>
        <v/>
      </c>
      <c r="CA302" t="str">
        <f>+IFERROR(VLOOKUP(CA3,IN_Zugliste!$A$4:$F$2002,7,FALSE),"")</f>
        <v/>
      </c>
      <c r="CB302" t="str">
        <f>+IFERROR(VLOOKUP(CB3,IN_Zugliste!$A$4:$F$2002,7,FALSE),"")</f>
        <v/>
      </c>
      <c r="CC302" t="str">
        <f>+IFERROR(VLOOKUP(CC3,IN_Zugliste!$A$4:$F$2002,7,FALSE),"")</f>
        <v/>
      </c>
      <c r="CD302" t="str">
        <f>+IFERROR(VLOOKUP(CD3,IN_Zugliste!$A$4:$F$2002,7,FALSE),"")</f>
        <v/>
      </c>
      <c r="CE302" t="str">
        <f>+IFERROR(VLOOKUP(CE3,IN_Zugliste!$A$4:$F$2002,7,FALSE),"")</f>
        <v/>
      </c>
      <c r="CF302" t="str">
        <f>+IFERROR(VLOOKUP(CF3,IN_Zugliste!$A$4:$F$2002,7,FALSE),"")</f>
        <v/>
      </c>
      <c r="CG302" t="str">
        <f>+IFERROR(VLOOKUP(CG3,IN_Zugliste!$A$4:$F$2002,7,FALSE),"")</f>
        <v/>
      </c>
      <c r="CH302" t="str">
        <f>+IFERROR(VLOOKUP(CH3,IN_Zugliste!$A$4:$F$2002,7,FALSE),"")</f>
        <v/>
      </c>
      <c r="CI302" t="str">
        <f>+IFERROR(VLOOKUP(CI3,IN_Zugliste!$A$4:$F$2002,7,FALSE),"")</f>
        <v/>
      </c>
      <c r="CJ302" t="str">
        <f>+IFERROR(VLOOKUP(CJ3,IN_Zugliste!$A$4:$F$2002,7,FALSE),"")</f>
        <v/>
      </c>
      <c r="CK302" t="str">
        <f>+IFERROR(VLOOKUP(CK3,IN_Zugliste!$A$4:$F$2002,7,FALSE),"")</f>
        <v/>
      </c>
      <c r="CL302" t="str">
        <f>+IFERROR(VLOOKUP(CL3,IN_Zugliste!$A$4:$F$2002,7,FALSE),"")</f>
        <v/>
      </c>
      <c r="CM302" t="str">
        <f>+IFERROR(VLOOKUP(CM3,IN_Zugliste!$A$4:$F$2002,7,FALSE),"")</f>
        <v/>
      </c>
      <c r="CN302" t="str">
        <f>+IFERROR(VLOOKUP(CN3,IN_Zugliste!$A$4:$F$2002,7,FALSE),"")</f>
        <v/>
      </c>
      <c r="CO302" t="str">
        <f>+IFERROR(VLOOKUP(CO3,IN_Zugliste!$A$4:$F$2002,7,FALSE),"")</f>
        <v/>
      </c>
      <c r="CP302" t="str">
        <f>+IFERROR(VLOOKUP(CP3,IN_Zugliste!$A$4:$F$2002,7,FALSE),"")</f>
        <v/>
      </c>
      <c r="CQ302" t="str">
        <f>+IFERROR(VLOOKUP(CQ3,IN_Zugliste!$A$4:$F$2002,7,FALSE),"")</f>
        <v/>
      </c>
      <c r="CR302" t="str">
        <f>+IFERROR(VLOOKUP(CR3,IN_Zugliste!$A$4:$F$2002,7,FALSE),"")</f>
        <v/>
      </c>
      <c r="CS302" t="str">
        <f>+IFERROR(VLOOKUP(CS3,IN_Zugliste!$A$4:$F$2002,7,FALSE),"")</f>
        <v/>
      </c>
      <c r="CT302" t="str">
        <f>+IFERROR(VLOOKUP(CT3,IN_Zugliste!$A$4:$F$2002,7,FALSE),"")</f>
        <v/>
      </c>
      <c r="CU302" t="str">
        <f>+IFERROR(VLOOKUP(CU3,IN_Zugliste!$A$4:$F$2002,7,FALSE),"")</f>
        <v/>
      </c>
      <c r="CV302" t="str">
        <f>+IFERROR(VLOOKUP(CV3,IN_Zugliste!$A$4:$F$2002,7,FALSE),"")</f>
        <v/>
      </c>
      <c r="CW302" t="str">
        <f>+IFERROR(VLOOKUP(CW3,IN_Zugliste!$A$4:$F$2002,7,FALSE),"")</f>
        <v/>
      </c>
      <c r="CX302" t="str">
        <f>+IFERROR(VLOOKUP(CX3,IN_Zugliste!$A$4:$F$2002,7,FALSE),"")</f>
        <v/>
      </c>
      <c r="CY302" t="str">
        <f>+IFERROR(VLOOKUP(CY3,IN_Zugliste!$A$4:$F$2002,7,FALSE),"")</f>
        <v/>
      </c>
      <c r="CZ302" t="str">
        <f>+IFERROR(VLOOKUP(CZ3,IN_Zugliste!$A$4:$F$2002,7,FALSE),"")</f>
        <v/>
      </c>
      <c r="DA302" t="str">
        <f>+IFERROR(VLOOKUP(DA3,IN_Zugliste!$A$4:$F$2002,7,FALSE),"")</f>
        <v/>
      </c>
      <c r="DB302" t="str">
        <f>+IFERROR(VLOOKUP(DB3,IN_Zugliste!$A$4:$F$2002,7,FALSE),"")</f>
        <v/>
      </c>
      <c r="DC302" t="str">
        <f>+IFERROR(VLOOKUP(DC3,IN_Zugliste!$A$4:$F$2002,7,FALSE),"")</f>
        <v/>
      </c>
      <c r="DD302" t="str">
        <f>+IFERROR(VLOOKUP(DD3,IN_Zugliste!$A$4:$F$2002,7,FALSE),"")</f>
        <v/>
      </c>
      <c r="DE302" t="str">
        <f>+IFERROR(VLOOKUP(DE3,IN_Zugliste!$A$4:$F$2002,7,FALSE),"")</f>
        <v/>
      </c>
      <c r="DF302" t="str">
        <f>+IFERROR(VLOOKUP(DF3,IN_Zugliste!$A$4:$F$2002,7,FALSE),"")</f>
        <v/>
      </c>
      <c r="DG302" t="str">
        <f>+IFERROR(VLOOKUP(DG3,IN_Zugliste!$A$4:$F$2002,7,FALSE),"")</f>
        <v/>
      </c>
      <c r="DH302" t="str">
        <f>+IFERROR(VLOOKUP(DH3,IN_Zugliste!$A$4:$F$2002,7,FALSE),"")</f>
        <v/>
      </c>
      <c r="DI302" t="str">
        <f>+IFERROR(VLOOKUP(DI3,IN_Zugliste!$A$4:$F$2002,7,FALSE),"")</f>
        <v/>
      </c>
      <c r="DJ302" t="str">
        <f>+IFERROR(VLOOKUP(DJ3,IN_Zugliste!$A$4:$F$2002,7,FALSE),"")</f>
        <v/>
      </c>
      <c r="DK302" t="str">
        <f>+IFERROR(VLOOKUP(DK3,IN_Zugliste!$A$4:$F$2002,7,FALSE),"")</f>
        <v/>
      </c>
      <c r="DL302" t="str">
        <f>+IFERROR(VLOOKUP(DL3,IN_Zugliste!$A$4:$F$2002,7,FALSE),"")</f>
        <v/>
      </c>
      <c r="DM302" t="str">
        <f>+IFERROR(VLOOKUP(DM3,IN_Zugliste!$A$4:$F$2002,7,FALSE),"")</f>
        <v/>
      </c>
      <c r="DN302" t="str">
        <f>+IFERROR(VLOOKUP(DN3,IN_Zugliste!$A$4:$F$2002,7,FALSE),"")</f>
        <v/>
      </c>
      <c r="DO302" t="str">
        <f>+IFERROR(VLOOKUP(DO3,IN_Zugliste!$A$4:$F$2002,7,FALSE),"")</f>
        <v/>
      </c>
      <c r="DP302" t="str">
        <f>+IFERROR(VLOOKUP(DP3,IN_Zugliste!$A$4:$F$2002,7,FALSE),"")</f>
        <v/>
      </c>
      <c r="DQ302" t="str">
        <f>+IFERROR(VLOOKUP(DQ3,IN_Zugliste!$A$4:$F$2002,7,FALSE),"")</f>
        <v/>
      </c>
      <c r="DR302" t="str">
        <f>+IFERROR(VLOOKUP(DR3,IN_Zugliste!$A$4:$F$2002,7,FALSE),"")</f>
        <v/>
      </c>
      <c r="DS302" t="str">
        <f>+IFERROR(VLOOKUP(DS3,IN_Zugliste!$A$4:$F$2002,7,FALSE),"")</f>
        <v/>
      </c>
      <c r="DT302" t="str">
        <f>+IFERROR(VLOOKUP(DT3,IN_Zugliste!$A$4:$F$2002,7,FALSE),"")</f>
        <v/>
      </c>
      <c r="DU302" t="str">
        <f>+IFERROR(VLOOKUP(DU3,IN_Zugliste!$A$4:$F$2002,7,FALSE),"")</f>
        <v/>
      </c>
      <c r="DV302" t="str">
        <f>+IFERROR(VLOOKUP(DV3,IN_Zugliste!$A$4:$F$2002,7,FALSE),"")</f>
        <v/>
      </c>
      <c r="DW302" t="str">
        <f>+IFERROR(VLOOKUP(DW3,IN_Zugliste!$A$4:$F$2002,7,FALSE),"")</f>
        <v/>
      </c>
      <c r="DX302" t="str">
        <f>+IFERROR(VLOOKUP(DX3,IN_Zugliste!$A$4:$F$2002,7,FALSE),"")</f>
        <v/>
      </c>
      <c r="DY302" t="str">
        <f>+IFERROR(VLOOKUP(DY3,IN_Zugliste!$A$4:$F$2002,7,FALSE),"")</f>
        <v/>
      </c>
      <c r="DZ302" t="str">
        <f>+IFERROR(VLOOKUP(DZ3,IN_Zugliste!$A$4:$F$2002,7,FALSE),"")</f>
        <v/>
      </c>
      <c r="EA302" t="str">
        <f>+IFERROR(VLOOKUP(EA3,IN_Zugliste!$A$4:$F$2002,7,FALSE),"")</f>
        <v/>
      </c>
      <c r="EB302" t="str">
        <f>+IFERROR(VLOOKUP(EB3,IN_Zugliste!$A$4:$F$2002,7,FALSE),"")</f>
        <v/>
      </c>
      <c r="EC302" t="str">
        <f>+IFERROR(VLOOKUP(EC3,IN_Zugliste!$A$4:$F$2002,7,FALSE),"")</f>
        <v/>
      </c>
      <c r="ED302" t="str">
        <f>+IFERROR(VLOOKUP(ED3,IN_Zugliste!$A$4:$F$2002,7,FALSE),"")</f>
        <v/>
      </c>
      <c r="EE302" t="str">
        <f>+IFERROR(VLOOKUP(EE3,IN_Zugliste!$A$4:$F$2002,7,FALSE),"")</f>
        <v/>
      </c>
      <c r="EF302" t="str">
        <f>+IFERROR(VLOOKUP(EF3,IN_Zugliste!$A$4:$F$2002,7,FALSE),"")</f>
        <v/>
      </c>
      <c r="EG302" t="str">
        <f>+IFERROR(VLOOKUP(EG3,IN_Zugliste!$A$4:$F$2002,7,FALSE),"")</f>
        <v/>
      </c>
      <c r="EH302" t="str">
        <f>+IFERROR(VLOOKUP(EH3,IN_Zugliste!$A$4:$F$2002,7,FALSE),"")</f>
        <v/>
      </c>
      <c r="EI302" t="str">
        <f>+IFERROR(VLOOKUP(EI3,IN_Zugliste!$A$4:$F$2002,7,FALSE),"")</f>
        <v/>
      </c>
      <c r="EJ302" t="str">
        <f>+IFERROR(VLOOKUP(EJ3,IN_Zugliste!$A$4:$F$2002,7,FALSE),"")</f>
        <v/>
      </c>
      <c r="EK302" t="str">
        <f>+IFERROR(VLOOKUP(EK3,IN_Zugliste!$A$4:$F$2002,7,FALSE),"")</f>
        <v/>
      </c>
      <c r="EL302" t="str">
        <f>+IFERROR(VLOOKUP(EL3,IN_Zugliste!$A$4:$F$2002,7,FALSE),"")</f>
        <v/>
      </c>
      <c r="EM302" t="str">
        <f>+IFERROR(VLOOKUP(EM3,IN_Zugliste!$A$4:$F$2002,7,FALSE),"")</f>
        <v/>
      </c>
      <c r="EN302" t="str">
        <f>+IFERROR(VLOOKUP(EN3,IN_Zugliste!$A$4:$F$2002,7,FALSE),"")</f>
        <v/>
      </c>
      <c r="EO302" t="str">
        <f>+IFERROR(VLOOKUP(EO3,IN_Zugliste!$A$4:$F$2002,7,FALSE),"")</f>
        <v/>
      </c>
      <c r="EP302" t="str">
        <f>+IFERROR(VLOOKUP(EP3,IN_Zugliste!$A$4:$F$2002,7,FALSE),"")</f>
        <v/>
      </c>
      <c r="EQ302" t="str">
        <f>+IFERROR(VLOOKUP(EQ3,IN_Zugliste!$A$4:$F$2002,7,FALSE),"")</f>
        <v/>
      </c>
      <c r="ER302" t="str">
        <f>+IFERROR(VLOOKUP(ER3,IN_Zugliste!$A$4:$F$2002,7,FALSE),"")</f>
        <v/>
      </c>
      <c r="ES302" t="str">
        <f>+IFERROR(VLOOKUP(ES3,IN_Zugliste!$A$4:$F$2002,7,FALSE),"")</f>
        <v/>
      </c>
      <c r="ET302" t="str">
        <f>+IFERROR(VLOOKUP(ET3,IN_Zugliste!$A$4:$F$2002,7,FALSE),"")</f>
        <v/>
      </c>
      <c r="EU302" t="str">
        <f>+IFERROR(VLOOKUP(EU3,IN_Zugliste!$A$4:$F$2002,7,FALSE),"")</f>
        <v/>
      </c>
      <c r="EV302" t="str">
        <f>+IFERROR(VLOOKUP(EV3,IN_Zugliste!$A$4:$F$2002,7,FALSE),"")</f>
        <v/>
      </c>
      <c r="EW302" t="str">
        <f>+IFERROR(VLOOKUP(EW3,IN_Zugliste!$A$4:$F$2002,7,FALSE),"")</f>
        <v/>
      </c>
      <c r="EX302" t="str">
        <f>+IFERROR(VLOOKUP(EX3,IN_Zugliste!$A$4:$F$2002,7,FALSE),"")</f>
        <v/>
      </c>
      <c r="EY302" t="str">
        <f>+IFERROR(VLOOKUP(EY3,IN_Zugliste!$A$4:$F$2002,7,FALSE),"")</f>
        <v/>
      </c>
      <c r="EZ302" t="str">
        <f>+IFERROR(VLOOKUP(EZ3,IN_Zugliste!$A$4:$F$2002,7,FALSE),"")</f>
        <v/>
      </c>
      <c r="FA302" t="str">
        <f>+IFERROR(VLOOKUP(FA3,IN_Zugliste!$A$4:$F$2002,7,FALSE),"")</f>
        <v/>
      </c>
      <c r="FB302" t="str">
        <f>+IFERROR(VLOOKUP(FB3,IN_Zugliste!$A$4:$F$2002,7,FALSE),"")</f>
        <v/>
      </c>
      <c r="FC302" t="str">
        <f>+IFERROR(VLOOKUP(FC3,IN_Zugliste!$A$4:$F$2002,7,FALSE),"")</f>
        <v/>
      </c>
      <c r="FD302" t="str">
        <f>+IFERROR(VLOOKUP(FD3,IN_Zugliste!$A$4:$F$2002,7,FALSE),"")</f>
        <v/>
      </c>
      <c r="FE302" t="str">
        <f>+IFERROR(VLOOKUP(FE3,IN_Zugliste!$A$4:$F$2002,7,FALSE),"")</f>
        <v/>
      </c>
      <c r="FF302" t="str">
        <f>+IFERROR(VLOOKUP(FF3,IN_Zugliste!$A$4:$F$2002,7,FALSE),"")</f>
        <v/>
      </c>
      <c r="FG302" t="str">
        <f>+IFERROR(VLOOKUP(FG3,IN_Zugliste!$A$4:$F$2002,7,FALSE),"")</f>
        <v/>
      </c>
      <c r="FH302" t="str">
        <f>+IFERROR(VLOOKUP(FH3,IN_Zugliste!$A$4:$F$2002,7,FALSE),"")</f>
        <v/>
      </c>
      <c r="FI302" t="str">
        <f>+IFERROR(VLOOKUP(FI3,IN_Zugliste!$A$4:$F$2002,7,FALSE),"")</f>
        <v/>
      </c>
      <c r="FJ302" t="str">
        <f>+IFERROR(VLOOKUP(FJ3,IN_Zugliste!$A$4:$F$2002,7,FALSE),"")</f>
        <v/>
      </c>
      <c r="FK302" t="str">
        <f>+IFERROR(VLOOKUP(FK3,IN_Zugliste!$A$4:$F$2002,7,FALSE),"")</f>
        <v/>
      </c>
      <c r="FL302" t="str">
        <f>+IFERROR(VLOOKUP(FL3,IN_Zugliste!$A$4:$F$2002,7,FALSE),"")</f>
        <v/>
      </c>
      <c r="FM302" t="str">
        <f>+IFERROR(VLOOKUP(FM3,IN_Zugliste!$A$4:$F$2002,7,FALSE),"")</f>
        <v/>
      </c>
      <c r="FN302" t="str">
        <f>+IFERROR(VLOOKUP(FN3,IN_Zugliste!$A$4:$F$2002,7,FALSE),"")</f>
        <v/>
      </c>
      <c r="FO302" t="str">
        <f>+IFERROR(VLOOKUP(FO3,IN_Zugliste!$A$4:$F$2002,7,FALSE),"")</f>
        <v/>
      </c>
      <c r="FP302" t="str">
        <f>+IFERROR(VLOOKUP(FP3,IN_Zugliste!$A$4:$F$2002,7,FALSE),"")</f>
        <v/>
      </c>
      <c r="FQ302" t="str">
        <f>+IFERROR(VLOOKUP(FQ3,IN_Zugliste!$A$4:$F$2002,7,FALSE),"")</f>
        <v/>
      </c>
      <c r="FR302" t="str">
        <f>+IFERROR(VLOOKUP(FR3,IN_Zugliste!$A$4:$F$2002,7,FALSE),"")</f>
        <v/>
      </c>
      <c r="FS302" t="str">
        <f>+IFERROR(VLOOKUP(FS3,IN_Zugliste!$A$4:$F$2002,7,FALSE),"")</f>
        <v/>
      </c>
      <c r="FT302" t="str">
        <f>+IFERROR(VLOOKUP(FT3,IN_Zugliste!$A$4:$F$2002,7,FALSE),"")</f>
        <v/>
      </c>
      <c r="FU302" t="str">
        <f>+IFERROR(VLOOKUP(FU3,IN_Zugliste!$A$4:$F$2002,7,FALSE),"")</f>
        <v/>
      </c>
      <c r="FV302" t="str">
        <f>+IFERROR(VLOOKUP(FV3,IN_Zugliste!$A$4:$F$2002,7,FALSE),"")</f>
        <v/>
      </c>
      <c r="FW302" t="str">
        <f>+IFERROR(VLOOKUP(FW3,IN_Zugliste!$A$4:$F$2002,7,FALSE),"")</f>
        <v/>
      </c>
      <c r="FX302" t="str">
        <f>+IFERROR(VLOOKUP(FX3,IN_Zugliste!$A$4:$F$2002,7,FALSE),"")</f>
        <v/>
      </c>
      <c r="FY302" t="str">
        <f>+IFERROR(VLOOKUP(FY3,IN_Zugliste!$A$4:$F$2002,7,FALSE),"")</f>
        <v/>
      </c>
      <c r="FZ302" t="str">
        <f>+IFERROR(VLOOKUP(FZ3,IN_Zugliste!$A$4:$F$2002,7,FALSE),"")</f>
        <v/>
      </c>
      <c r="GA302" t="str">
        <f>+IFERROR(VLOOKUP(GA3,IN_Zugliste!$A$4:$F$2002,7,FALSE),"")</f>
        <v/>
      </c>
      <c r="GB302" t="str">
        <f>+IFERROR(VLOOKUP(GB3,IN_Zugliste!$A$4:$F$2002,7,FALSE),"")</f>
        <v/>
      </c>
      <c r="GC302" t="str">
        <f>+IFERROR(VLOOKUP(GC3,IN_Zugliste!$A$4:$F$2002,7,FALSE),"")</f>
        <v/>
      </c>
      <c r="GD302" t="str">
        <f>+IFERROR(VLOOKUP(GD3,IN_Zugliste!$A$4:$F$2002,7,FALSE),"")</f>
        <v/>
      </c>
      <c r="GE302" t="str">
        <f>+IFERROR(VLOOKUP(GE3,IN_Zugliste!$A$4:$F$2002,7,FALSE),"")</f>
        <v/>
      </c>
      <c r="GF302" t="str">
        <f>+IFERROR(VLOOKUP(GF3,IN_Zugliste!$A$4:$F$2002,7,FALSE),"")</f>
        <v/>
      </c>
      <c r="GG302" t="str">
        <f>+IFERROR(VLOOKUP(GG3,IN_Zugliste!$A$4:$F$2002,7,FALSE),"")</f>
        <v/>
      </c>
      <c r="GH302" t="str">
        <f>+IFERROR(VLOOKUP(GH3,IN_Zugliste!$A$4:$F$2002,7,FALSE),"")</f>
        <v/>
      </c>
      <c r="GI302" t="str">
        <f>+IFERROR(VLOOKUP(GI3,IN_Zugliste!$A$4:$F$2002,7,FALSE),"")</f>
        <v/>
      </c>
      <c r="GJ302" t="str">
        <f>+IFERROR(VLOOKUP(GJ3,IN_Zugliste!$A$4:$F$2002,7,FALSE),"")</f>
        <v/>
      </c>
      <c r="GK302" t="str">
        <f>+IFERROR(VLOOKUP(GK3,IN_Zugliste!$A$4:$F$2002,7,FALSE),"")</f>
        <v/>
      </c>
      <c r="GL302" t="str">
        <f>+IFERROR(VLOOKUP(GL3,IN_Zugliste!$A$4:$F$2002,7,FALSE),"")</f>
        <v/>
      </c>
      <c r="GM302" t="str">
        <f>+IFERROR(VLOOKUP(GM3,IN_Zugliste!$A$4:$F$2002,7,FALSE),"")</f>
        <v/>
      </c>
      <c r="GN302" t="str">
        <f>+IFERROR(VLOOKUP(GN3,IN_Zugliste!$A$4:$F$2002,7,FALSE),"")</f>
        <v/>
      </c>
      <c r="GO302" t="str">
        <f>+IFERROR(VLOOKUP(GO3,IN_Zugliste!$A$4:$F$2002,7,FALSE),"")</f>
        <v/>
      </c>
      <c r="GP302" t="str">
        <f>+IFERROR(VLOOKUP(GP3,IN_Zugliste!$A$4:$F$2002,7,FALSE),"")</f>
        <v/>
      </c>
      <c r="GQ302" t="str">
        <f>+IFERROR(VLOOKUP(GQ3,IN_Zugliste!$A$4:$F$2002,7,FALSE),"")</f>
        <v/>
      </c>
      <c r="GR302" t="str">
        <f>+IFERROR(VLOOKUP(GR3,IN_Zugliste!$A$4:$F$2002,7,FALSE),"")</f>
        <v/>
      </c>
      <c r="GS302" t="str">
        <f>+IFERROR(VLOOKUP(GS3,IN_Zugliste!$A$4:$F$2002,7,FALSE),"")</f>
        <v/>
      </c>
      <c r="GT302" t="str">
        <f>+IFERROR(VLOOKUP(GT3,IN_Zugliste!$A$4:$F$2002,7,FALSE),"")</f>
        <v/>
      </c>
      <c r="GU302" t="str">
        <f>+IFERROR(VLOOKUP(GU3,IN_Zugliste!$A$4:$F$2002,7,FALSE),"")</f>
        <v/>
      </c>
      <c r="GV302" t="str">
        <f>+IFERROR(VLOOKUP(GV3,IN_Zugliste!$A$4:$F$2002,7,FALSE),"")</f>
        <v/>
      </c>
      <c r="GW302" t="str">
        <f>+IFERROR(VLOOKUP(GW3,IN_Zugliste!$A$4:$F$2002,7,FALSE),"")</f>
        <v/>
      </c>
      <c r="GX302" t="str">
        <f>+IFERROR(VLOOKUP(GX3,IN_Zugliste!$A$4:$F$2002,7,FALSE),"")</f>
        <v/>
      </c>
      <c r="GY302" t="str">
        <f>+IFERROR(VLOOKUP(GY3,IN_Zugliste!$A$4:$F$2002,7,FALSE),"")</f>
        <v/>
      </c>
      <c r="GZ302" t="str">
        <f>+IFERROR(VLOOKUP(GZ3,IN_Zugliste!$A$4:$F$2002,7,FALSE),"")</f>
        <v/>
      </c>
      <c r="HA302" t="str">
        <f>+IFERROR(VLOOKUP(HA3,IN_Zugliste!$A$4:$F$2002,7,FALSE),"")</f>
        <v/>
      </c>
      <c r="HB302" t="str">
        <f>+IFERROR(VLOOKUP(HB3,IN_Zugliste!$A$4:$F$2002,7,FALSE),"")</f>
        <v/>
      </c>
      <c r="HC302" t="str">
        <f>+IFERROR(VLOOKUP(HC3,IN_Zugliste!$A$4:$F$2002,7,FALSE),"")</f>
        <v/>
      </c>
      <c r="HD302" t="str">
        <f>+IFERROR(VLOOKUP(HD3,IN_Zugliste!$A$4:$F$2002,7,FALSE),"")</f>
        <v/>
      </c>
      <c r="HE302" t="str">
        <f>+IFERROR(VLOOKUP(HE3,IN_Zugliste!$A$4:$F$2002,7,FALSE),"")</f>
        <v/>
      </c>
      <c r="HF302" t="str">
        <f>+IFERROR(VLOOKUP(HF3,IN_Zugliste!$A$4:$F$2002,7,FALSE),"")</f>
        <v/>
      </c>
      <c r="HG302" t="str">
        <f>+IFERROR(VLOOKUP(HG3,IN_Zugliste!$A$4:$F$2002,7,FALSE),"")</f>
        <v/>
      </c>
      <c r="HH302" t="str">
        <f>+IFERROR(VLOOKUP(HH3,IN_Zugliste!$A$4:$F$2002,7,FALSE),"")</f>
        <v/>
      </c>
      <c r="HI302" t="str">
        <f>+IFERROR(VLOOKUP(HI3,IN_Zugliste!$A$4:$F$2002,7,FALSE),"")</f>
        <v/>
      </c>
      <c r="HJ302" t="str">
        <f>+IFERROR(VLOOKUP(HJ3,IN_Zugliste!$A$4:$F$2002,7,FALSE),"")</f>
        <v/>
      </c>
      <c r="HK302" t="str">
        <f>+IFERROR(VLOOKUP(HK3,IN_Zugliste!$A$4:$F$2002,7,FALSE),"")</f>
        <v/>
      </c>
      <c r="HL302" t="str">
        <f>+IFERROR(VLOOKUP(HL3,IN_Zugliste!$A$4:$F$2002,7,FALSE),"")</f>
        <v/>
      </c>
      <c r="HM302" t="str">
        <f>+IFERROR(VLOOKUP(HM3,IN_Zugliste!$A$4:$F$2002,7,FALSE),"")</f>
        <v/>
      </c>
      <c r="HN302" t="str">
        <f>+IFERROR(VLOOKUP(HN3,IN_Zugliste!$A$4:$F$2002,7,FALSE),"")</f>
        <v/>
      </c>
      <c r="HO302" t="str">
        <f>+IFERROR(VLOOKUP(HO3,IN_Zugliste!$A$4:$F$2002,7,FALSE),"")</f>
        <v/>
      </c>
      <c r="HP302" t="str">
        <f>+IFERROR(VLOOKUP(HP3,IN_Zugliste!$A$4:$F$2002,7,FALSE),"")</f>
        <v/>
      </c>
      <c r="HQ302" t="str">
        <f>+IFERROR(VLOOKUP(HQ3,IN_Zugliste!$A$4:$F$2002,7,FALSE),"")</f>
        <v/>
      </c>
      <c r="HR302" t="str">
        <f>+IFERROR(VLOOKUP(HR3,IN_Zugliste!$A$4:$F$2002,7,FALSE),"")</f>
        <v/>
      </c>
      <c r="HS302" t="str">
        <f>+IFERROR(VLOOKUP(HS3,IN_Zugliste!$A$4:$F$2002,7,FALSE),"")</f>
        <v/>
      </c>
      <c r="HT302" t="str">
        <f>+IFERROR(VLOOKUP(HT3,IN_Zugliste!$A$4:$F$2002,7,FALSE),"")</f>
        <v/>
      </c>
      <c r="HU302" t="str">
        <f>+IFERROR(VLOOKUP(HU3,IN_Zugliste!$A$4:$F$2002,7,FALSE),"")</f>
        <v/>
      </c>
      <c r="HV302" t="str">
        <f>+IFERROR(VLOOKUP(HV3,IN_Zugliste!$A$4:$F$2002,7,FALSE),"")</f>
        <v/>
      </c>
      <c r="HW302" t="str">
        <f>+IFERROR(VLOOKUP(HW3,IN_Zugliste!$A$4:$F$2002,7,FALSE),"")</f>
        <v/>
      </c>
      <c r="HX302" t="str">
        <f>+IFERROR(VLOOKUP(HX3,IN_Zugliste!$A$4:$F$2002,7,FALSE),"")</f>
        <v/>
      </c>
      <c r="HY302" t="str">
        <f>+IFERROR(VLOOKUP(HY3,IN_Zugliste!$A$4:$F$2002,7,FALSE),"")</f>
        <v/>
      </c>
      <c r="HZ302" t="str">
        <f>+IFERROR(VLOOKUP(HZ3,IN_Zugliste!$A$4:$F$2002,7,FALSE),"")</f>
        <v/>
      </c>
      <c r="IA302" t="str">
        <f>+IFERROR(VLOOKUP(IA3,IN_Zugliste!$A$4:$F$2002,7,FALSE),"")</f>
        <v/>
      </c>
      <c r="IB302" t="str">
        <f>+IFERROR(VLOOKUP(IB3,IN_Zugliste!$A$4:$F$2002,7,FALSE),"")</f>
        <v/>
      </c>
      <c r="IC302" t="str">
        <f>+IFERROR(VLOOKUP(IC3,IN_Zugliste!$A$4:$F$2002,7,FALSE),"")</f>
        <v/>
      </c>
      <c r="ID302" t="str">
        <f>+IFERROR(VLOOKUP(ID3,IN_Zugliste!$A$4:$F$2002,7,FALSE),"")</f>
        <v/>
      </c>
      <c r="IE302" t="str">
        <f>+IFERROR(VLOOKUP(IE3,IN_Zugliste!$A$4:$F$2002,7,FALSE),"")</f>
        <v/>
      </c>
      <c r="IF302" t="str">
        <f>+IFERROR(VLOOKUP(IF3,IN_Zugliste!$A$4:$F$2002,7,FALSE),"")</f>
        <v/>
      </c>
      <c r="IG302" t="str">
        <f>+IFERROR(VLOOKUP(IG3,IN_Zugliste!$A$4:$F$2002,7,FALSE),"")</f>
        <v/>
      </c>
      <c r="IH302" t="str">
        <f>+IFERROR(VLOOKUP(IH3,IN_Zugliste!$A$4:$F$2002,7,FALSE),"")</f>
        <v/>
      </c>
      <c r="II302" t="str">
        <f>+IFERROR(VLOOKUP(II3,IN_Zugliste!$A$4:$F$2002,7,FALSE),"")</f>
        <v/>
      </c>
      <c r="IJ302" t="str">
        <f>+IFERROR(VLOOKUP(IJ3,IN_Zugliste!$A$4:$F$2002,7,FALSE),"")</f>
        <v/>
      </c>
      <c r="IK302" t="str">
        <f>+IFERROR(VLOOKUP(IK3,IN_Zugliste!$A$4:$F$2002,7,FALSE),"")</f>
        <v/>
      </c>
      <c r="IL302" t="str">
        <f>+IFERROR(VLOOKUP(IL3,IN_Zugliste!$A$4:$F$2002,7,FALSE),"")</f>
        <v/>
      </c>
      <c r="IM302" t="str">
        <f>+IFERROR(VLOOKUP(IM3,IN_Zugliste!$A$4:$F$2002,7,FALSE),"")</f>
        <v/>
      </c>
      <c r="IN302" t="str">
        <f>+IFERROR(VLOOKUP(IN3,IN_Zugliste!$A$4:$F$2002,7,FALSE),"")</f>
        <v/>
      </c>
      <c r="IO302" t="str">
        <f>+IFERROR(VLOOKUP(IO3,IN_Zugliste!$A$4:$F$2002,7,FALSE),"")</f>
        <v/>
      </c>
      <c r="IP302" t="str">
        <f>+IFERROR(VLOOKUP(IP3,IN_Zugliste!$A$4:$F$2002,7,FALSE),"")</f>
        <v/>
      </c>
      <c r="IQ302" t="str">
        <f>+IFERROR(VLOOKUP(IQ3,IN_Zugliste!$A$4:$F$2002,7,FALSE),"")</f>
        <v/>
      </c>
      <c r="IR302" t="str">
        <f>+IFERROR(VLOOKUP(IR3,IN_Zugliste!$A$4:$F$2002,7,FALSE),"")</f>
        <v/>
      </c>
      <c r="IS302" t="str">
        <f>+IFERROR(VLOOKUP(IS3,IN_Zugliste!$A$4:$F$2002,7,FALSE),"")</f>
        <v/>
      </c>
      <c r="IT302" t="str">
        <f>+IFERROR(VLOOKUP(IT3,IN_Zugliste!$A$4:$F$2002,7,FALSE),"")</f>
        <v/>
      </c>
      <c r="IU302" t="str">
        <f>+IFERROR(VLOOKUP(IU3,IN_Zugliste!$A$4:$F$2002,7,FALSE),"")</f>
        <v/>
      </c>
      <c r="IV302" t="str">
        <f>+IFERROR(VLOOKUP(IV3,IN_Zugliste!$A$4:$F$2002,7,FALSE),"")</f>
        <v/>
      </c>
      <c r="IW302" t="str">
        <f>+IFERROR(VLOOKUP(IW3,IN_Zugliste!$A$4:$F$2002,7,FALSE),"")</f>
        <v/>
      </c>
      <c r="IX302" t="str">
        <f>+IFERROR(VLOOKUP(IX3,IN_Zugliste!$A$4:$F$2002,7,FALSE),"")</f>
        <v/>
      </c>
      <c r="IY302" t="str">
        <f>+IFERROR(VLOOKUP(IY3,IN_Zugliste!$A$4:$F$2002,7,FALSE),"")</f>
        <v/>
      </c>
      <c r="IZ302" t="str">
        <f>+IFERROR(VLOOKUP(IZ3,IN_Zugliste!$A$4:$F$2002,7,FALSE),"")</f>
        <v/>
      </c>
      <c r="JA302" t="str">
        <f>+IFERROR(VLOOKUP(JA3,IN_Zugliste!$A$4:$F$2002,7,FALSE),"")</f>
        <v/>
      </c>
      <c r="JB302" t="str">
        <f>+IFERROR(VLOOKUP(JB3,IN_Zugliste!$A$4:$F$2002,7,FALSE),"")</f>
        <v/>
      </c>
      <c r="JC302" t="str">
        <f>+IFERROR(VLOOKUP(JC3,IN_Zugliste!$A$4:$F$2002,7,FALSE),"")</f>
        <v/>
      </c>
      <c r="JD302" t="str">
        <f>+IFERROR(VLOOKUP(JD3,IN_Zugliste!$A$4:$F$2002,7,FALSE),"")</f>
        <v/>
      </c>
      <c r="JE302" t="str">
        <f>+IFERROR(VLOOKUP(JE3,IN_Zugliste!$A$4:$F$2002,7,FALSE),"")</f>
        <v/>
      </c>
      <c r="JF302" t="str">
        <f>+IFERROR(VLOOKUP(JF3,IN_Zugliste!$A$4:$F$2002,7,FALSE),"")</f>
        <v/>
      </c>
      <c r="JG302" t="str">
        <f>+IFERROR(VLOOKUP(JG3,IN_Zugliste!$A$4:$F$2002,7,FALSE),"")</f>
        <v/>
      </c>
      <c r="JH302" t="str">
        <f>+IFERROR(VLOOKUP(JH3,IN_Zugliste!$A$4:$F$2002,7,FALSE),"")</f>
        <v/>
      </c>
      <c r="JI302" t="str">
        <f>+IFERROR(VLOOKUP(JI3,IN_Zugliste!$A$4:$F$2002,7,FALSE),"")</f>
        <v/>
      </c>
      <c r="JJ302" t="str">
        <f>+IFERROR(VLOOKUP(JJ3,IN_Zugliste!$A$4:$F$2002,7,FALSE),"")</f>
        <v/>
      </c>
    </row>
    <row r="303" spans="1:270" x14ac:dyDescent="0.2">
      <c r="A303" t="str">
        <f>+IFERROR(VLOOKUP(A4,IN_Zugliste!$A$4:$F$2002,7,FALSE),"")</f>
        <v/>
      </c>
      <c r="B303" t="str">
        <f>+IFERROR(VLOOKUP(B4,IN_Zugliste!$A$4:$F$2002,7,FALSE),"")</f>
        <v/>
      </c>
      <c r="C303" t="str">
        <f>+IFERROR(VLOOKUP(C4,IN_Zugliste!$A$4:$F$2002,7,FALSE),"")</f>
        <v/>
      </c>
      <c r="D303" t="str">
        <f>+IFERROR(VLOOKUP(D4,IN_Zugliste!$A$4:$F$2002,7,FALSE),"")</f>
        <v/>
      </c>
      <c r="E303" t="str">
        <f>+IFERROR(VLOOKUP(E4,IN_Zugliste!$A$4:$F$2002,7,FALSE),"")</f>
        <v/>
      </c>
      <c r="F303" t="str">
        <f>+IFERROR(VLOOKUP(F4,IN_Zugliste!$A$4:$F$2002,7,FALSE),"")</f>
        <v/>
      </c>
      <c r="G303" t="str">
        <f>+IFERROR(VLOOKUP(G4,IN_Zugliste!$A$4:$F$2002,7,FALSE),"")</f>
        <v/>
      </c>
      <c r="H303" t="str">
        <f>+IFERROR(VLOOKUP(H4,IN_Zugliste!$A$4:$F$2002,7,FALSE),"")</f>
        <v/>
      </c>
      <c r="I303" t="str">
        <f>+IFERROR(VLOOKUP(I4,IN_Zugliste!$A$4:$F$2002,7,FALSE),"")</f>
        <v/>
      </c>
      <c r="J303" t="str">
        <f>+IFERROR(VLOOKUP(J4,IN_Zugliste!$A$4:$F$2002,7,FALSE),"")</f>
        <v/>
      </c>
      <c r="K303" t="str">
        <f>+IFERROR(VLOOKUP(K4,IN_Zugliste!$A$4:$F$2002,7,FALSE),"")</f>
        <v/>
      </c>
      <c r="L303" t="str">
        <f>+IFERROR(VLOOKUP(L4,IN_Zugliste!$A$4:$F$2002,7,FALSE),"")</f>
        <v/>
      </c>
      <c r="M303" t="str">
        <f>+IFERROR(VLOOKUP(M4,IN_Zugliste!$A$4:$F$2002,7,FALSE),"")</f>
        <v/>
      </c>
      <c r="N303" t="str">
        <f>+IFERROR(VLOOKUP(N4,IN_Zugliste!$A$4:$F$2002,7,FALSE),"")</f>
        <v/>
      </c>
      <c r="O303" t="str">
        <f>+IFERROR(VLOOKUP(O4,IN_Zugliste!$A$4:$F$2002,7,FALSE),"")</f>
        <v/>
      </c>
      <c r="P303" t="str">
        <f>+IFERROR(VLOOKUP(P4,IN_Zugliste!$A$4:$F$2002,7,FALSE),"")</f>
        <v/>
      </c>
      <c r="Q303" t="str">
        <f>+IFERROR(VLOOKUP(Q4,IN_Zugliste!$A$4:$F$2002,7,FALSE),"")</f>
        <v/>
      </c>
      <c r="R303" t="str">
        <f>+IFERROR(VLOOKUP(R4,IN_Zugliste!$A$4:$F$2002,7,FALSE),"")</f>
        <v/>
      </c>
      <c r="S303" t="str">
        <f>+IFERROR(VLOOKUP(S4,IN_Zugliste!$A$4:$F$2002,7,FALSE),"")</f>
        <v/>
      </c>
      <c r="T303" t="str">
        <f>+IFERROR(VLOOKUP(T4,IN_Zugliste!$A$4:$F$2002,7,FALSE),"")</f>
        <v/>
      </c>
      <c r="U303" t="str">
        <f>+IFERROR(VLOOKUP(U4,IN_Zugliste!$A$4:$F$2002,7,FALSE),"")</f>
        <v/>
      </c>
      <c r="V303" t="str">
        <f>+IFERROR(VLOOKUP(V4,IN_Zugliste!$A$4:$F$2002,7,FALSE),"")</f>
        <v/>
      </c>
      <c r="W303" t="str">
        <f>+IFERROR(VLOOKUP(W4,IN_Zugliste!$A$4:$F$2002,7,FALSE),"")</f>
        <v/>
      </c>
      <c r="X303" t="str">
        <f>+IFERROR(VLOOKUP(X4,IN_Zugliste!$A$4:$F$2002,7,FALSE),"")</f>
        <v/>
      </c>
      <c r="Y303" t="str">
        <f>+IFERROR(VLOOKUP(Y4,IN_Zugliste!$A$4:$F$2002,7,FALSE),"")</f>
        <v/>
      </c>
      <c r="Z303" t="str">
        <f>+IFERROR(VLOOKUP(Z4,IN_Zugliste!$A$4:$F$2002,7,FALSE),"")</f>
        <v/>
      </c>
      <c r="AA303" t="str">
        <f>+IFERROR(VLOOKUP(AA4,IN_Zugliste!$A$4:$F$2002,7,FALSE),"")</f>
        <v/>
      </c>
      <c r="AB303" t="str">
        <f>+IFERROR(VLOOKUP(AB4,IN_Zugliste!$A$4:$F$2002,7,FALSE),"")</f>
        <v/>
      </c>
      <c r="AC303" t="str">
        <f>+IFERROR(VLOOKUP(AC4,IN_Zugliste!$A$4:$F$2002,7,FALSE),"")</f>
        <v/>
      </c>
      <c r="AD303" t="str">
        <f>+IFERROR(VLOOKUP(AD4,IN_Zugliste!$A$4:$F$2002,7,FALSE),"")</f>
        <v/>
      </c>
      <c r="AE303" t="str">
        <f>+IFERROR(VLOOKUP(AE4,IN_Zugliste!$A$4:$F$2002,7,FALSE),"")</f>
        <v/>
      </c>
      <c r="AF303" t="str">
        <f>+IFERROR(VLOOKUP(AF4,IN_Zugliste!$A$4:$F$2002,7,FALSE),"")</f>
        <v/>
      </c>
      <c r="AG303" t="str">
        <f>+IFERROR(VLOOKUP(AG4,IN_Zugliste!$A$4:$F$2002,7,FALSE),"")</f>
        <v/>
      </c>
      <c r="AH303" t="str">
        <f>+IFERROR(VLOOKUP(AH4,IN_Zugliste!$A$4:$F$2002,7,FALSE),"")</f>
        <v/>
      </c>
      <c r="AI303" t="str">
        <f>+IFERROR(VLOOKUP(AI4,IN_Zugliste!$A$4:$F$2002,7,FALSE),"")</f>
        <v/>
      </c>
      <c r="AJ303" t="str">
        <f>+IFERROR(VLOOKUP(AJ4,IN_Zugliste!$A$4:$F$2002,7,FALSE),"")</f>
        <v/>
      </c>
      <c r="AK303" t="str">
        <f>+IFERROR(VLOOKUP(AK4,IN_Zugliste!$A$4:$F$2002,7,FALSE),"")</f>
        <v/>
      </c>
      <c r="AL303" t="str">
        <f>+IFERROR(VLOOKUP(AL4,IN_Zugliste!$A$4:$F$2002,7,FALSE),"")</f>
        <v/>
      </c>
      <c r="AM303" t="str">
        <f>+IFERROR(VLOOKUP(AM4,IN_Zugliste!$A$4:$F$2002,7,FALSE),"")</f>
        <v/>
      </c>
      <c r="AN303" t="str">
        <f>+IFERROR(VLOOKUP(AN4,IN_Zugliste!$A$4:$F$2002,7,FALSE),"")</f>
        <v/>
      </c>
      <c r="AO303" t="str">
        <f>+IFERROR(VLOOKUP(AO4,IN_Zugliste!$A$4:$F$2002,7,FALSE),"")</f>
        <v/>
      </c>
      <c r="AP303" t="str">
        <f>+IFERROR(VLOOKUP(AP4,IN_Zugliste!$A$4:$F$2002,7,FALSE),"")</f>
        <v/>
      </c>
      <c r="AQ303" t="str">
        <f>+IFERROR(VLOOKUP(AQ4,IN_Zugliste!$A$4:$F$2002,7,FALSE),"")</f>
        <v/>
      </c>
      <c r="AR303" t="str">
        <f>+IFERROR(VLOOKUP(AR4,IN_Zugliste!$A$4:$F$2002,7,FALSE),"")</f>
        <v/>
      </c>
      <c r="AS303" t="str">
        <f>+IFERROR(VLOOKUP(AS4,IN_Zugliste!$A$4:$F$2002,7,FALSE),"")</f>
        <v/>
      </c>
      <c r="AT303" t="str">
        <f>+IFERROR(VLOOKUP(AT4,IN_Zugliste!$A$4:$F$2002,7,FALSE),"")</f>
        <v/>
      </c>
      <c r="AU303" t="str">
        <f>+IFERROR(VLOOKUP(AU4,IN_Zugliste!$A$4:$F$2002,7,FALSE),"")</f>
        <v/>
      </c>
      <c r="AV303" t="str">
        <f>+IFERROR(VLOOKUP(AV4,IN_Zugliste!$A$4:$F$2002,7,FALSE),"")</f>
        <v/>
      </c>
      <c r="AW303" t="str">
        <f>+IFERROR(VLOOKUP(AW4,IN_Zugliste!$A$4:$F$2002,7,FALSE),"")</f>
        <v/>
      </c>
      <c r="AX303" t="str">
        <f>+IFERROR(VLOOKUP(AX4,IN_Zugliste!$A$4:$F$2002,7,FALSE),"")</f>
        <v/>
      </c>
      <c r="AY303" t="str">
        <f>+IFERROR(VLOOKUP(AY4,IN_Zugliste!$A$4:$F$2002,7,FALSE),"")</f>
        <v/>
      </c>
      <c r="AZ303" t="str">
        <f>+IFERROR(VLOOKUP(AZ4,IN_Zugliste!$A$4:$F$2002,7,FALSE),"")</f>
        <v/>
      </c>
      <c r="BA303" t="str">
        <f>+IFERROR(VLOOKUP(BA4,IN_Zugliste!$A$4:$F$2002,7,FALSE),"")</f>
        <v/>
      </c>
      <c r="BB303" t="str">
        <f>+IFERROR(VLOOKUP(BB4,IN_Zugliste!$A$4:$F$2002,7,FALSE),"")</f>
        <v/>
      </c>
      <c r="BC303" t="str">
        <f>+IFERROR(VLOOKUP(BC4,IN_Zugliste!$A$4:$F$2002,7,FALSE),"")</f>
        <v/>
      </c>
      <c r="BD303" t="str">
        <f>+IFERROR(VLOOKUP(BD4,IN_Zugliste!$A$4:$F$2002,7,FALSE),"")</f>
        <v/>
      </c>
      <c r="BE303" t="str">
        <f>+IFERROR(VLOOKUP(BE4,IN_Zugliste!$A$4:$F$2002,7,FALSE),"")</f>
        <v/>
      </c>
      <c r="BF303" t="str">
        <f>+IFERROR(VLOOKUP(BF4,IN_Zugliste!$A$4:$F$2002,7,FALSE),"")</f>
        <v/>
      </c>
      <c r="BG303" t="str">
        <f>+IFERROR(VLOOKUP(BG4,IN_Zugliste!$A$4:$F$2002,7,FALSE),"")</f>
        <v/>
      </c>
      <c r="BH303" t="str">
        <f>+IFERROR(VLOOKUP(BH4,IN_Zugliste!$A$4:$F$2002,7,FALSE),"")</f>
        <v/>
      </c>
      <c r="BI303" t="str">
        <f>+IFERROR(VLOOKUP(BI4,IN_Zugliste!$A$4:$F$2002,7,FALSE),"")</f>
        <v/>
      </c>
      <c r="BJ303" t="str">
        <f>+IFERROR(VLOOKUP(BJ4,IN_Zugliste!$A$4:$F$2002,7,FALSE),"")</f>
        <v/>
      </c>
      <c r="BK303" t="str">
        <f>+IFERROR(VLOOKUP(BK4,IN_Zugliste!$A$4:$F$2002,7,FALSE),"")</f>
        <v/>
      </c>
      <c r="BL303" t="str">
        <f>+IFERROR(VLOOKUP(BL4,IN_Zugliste!$A$4:$F$2002,7,FALSE),"")</f>
        <v/>
      </c>
      <c r="BM303" t="str">
        <f>+IFERROR(VLOOKUP(BM4,IN_Zugliste!$A$4:$F$2002,7,FALSE),"")</f>
        <v/>
      </c>
      <c r="BN303" t="str">
        <f>+IFERROR(VLOOKUP(BN4,IN_Zugliste!$A$4:$F$2002,7,FALSE),"")</f>
        <v/>
      </c>
      <c r="BO303" t="str">
        <f>+IFERROR(VLOOKUP(BO4,IN_Zugliste!$A$4:$F$2002,7,FALSE),"")</f>
        <v/>
      </c>
      <c r="BP303" t="str">
        <f>+IFERROR(VLOOKUP(BP4,IN_Zugliste!$A$4:$F$2002,7,FALSE),"")</f>
        <v/>
      </c>
      <c r="BQ303" t="str">
        <f>+IFERROR(VLOOKUP(BQ4,IN_Zugliste!$A$4:$F$2002,7,FALSE),"")</f>
        <v/>
      </c>
      <c r="BR303" t="str">
        <f>+IFERROR(VLOOKUP(BR4,IN_Zugliste!$A$4:$F$2002,7,FALSE),"")</f>
        <v/>
      </c>
      <c r="BS303" t="str">
        <f>+IFERROR(VLOOKUP(BS4,IN_Zugliste!$A$4:$F$2002,7,FALSE),"")</f>
        <v/>
      </c>
      <c r="BT303" t="str">
        <f>+IFERROR(VLOOKUP(BT4,IN_Zugliste!$A$4:$F$2002,7,FALSE),"")</f>
        <v/>
      </c>
      <c r="BU303" t="str">
        <f>+IFERROR(VLOOKUP(BU4,IN_Zugliste!$A$4:$F$2002,7,FALSE),"")</f>
        <v/>
      </c>
      <c r="BV303" t="str">
        <f>+IFERROR(VLOOKUP(BV4,IN_Zugliste!$A$4:$F$2002,7,FALSE),"")</f>
        <v/>
      </c>
      <c r="BW303" t="str">
        <f>+IFERROR(VLOOKUP(BW4,IN_Zugliste!$A$4:$F$2002,7,FALSE),"")</f>
        <v/>
      </c>
      <c r="BX303" t="str">
        <f>+IFERROR(VLOOKUP(BX4,IN_Zugliste!$A$4:$F$2002,7,FALSE),"")</f>
        <v/>
      </c>
      <c r="BY303" t="str">
        <f>+IFERROR(VLOOKUP(BY4,IN_Zugliste!$A$4:$F$2002,7,FALSE),"")</f>
        <v/>
      </c>
      <c r="BZ303" t="str">
        <f>+IFERROR(VLOOKUP(BZ4,IN_Zugliste!$A$4:$F$2002,7,FALSE),"")</f>
        <v/>
      </c>
      <c r="CA303" t="str">
        <f>+IFERROR(VLOOKUP(CA4,IN_Zugliste!$A$4:$F$2002,7,FALSE),"")</f>
        <v/>
      </c>
      <c r="CB303" t="str">
        <f>+IFERROR(VLOOKUP(CB4,IN_Zugliste!$A$4:$F$2002,7,FALSE),"")</f>
        <v/>
      </c>
      <c r="CC303" t="str">
        <f>+IFERROR(VLOOKUP(CC4,IN_Zugliste!$A$4:$F$2002,7,FALSE),"")</f>
        <v/>
      </c>
      <c r="CD303" t="str">
        <f>+IFERROR(VLOOKUP(CD4,IN_Zugliste!$A$4:$F$2002,7,FALSE),"")</f>
        <v/>
      </c>
      <c r="CE303" t="str">
        <f>+IFERROR(VLOOKUP(CE4,IN_Zugliste!$A$4:$F$2002,7,FALSE),"")</f>
        <v/>
      </c>
      <c r="CF303" t="str">
        <f>+IFERROR(VLOOKUP(CF4,IN_Zugliste!$A$4:$F$2002,7,FALSE),"")</f>
        <v/>
      </c>
      <c r="CG303" t="str">
        <f>+IFERROR(VLOOKUP(CG4,IN_Zugliste!$A$4:$F$2002,7,FALSE),"")</f>
        <v/>
      </c>
      <c r="CH303" t="str">
        <f>+IFERROR(VLOOKUP(CH4,IN_Zugliste!$A$4:$F$2002,7,FALSE),"")</f>
        <v/>
      </c>
      <c r="CI303" t="str">
        <f>+IFERROR(VLOOKUP(CI4,IN_Zugliste!$A$4:$F$2002,7,FALSE),"")</f>
        <v/>
      </c>
      <c r="CJ303" t="str">
        <f>+IFERROR(VLOOKUP(CJ4,IN_Zugliste!$A$4:$F$2002,7,FALSE),"")</f>
        <v/>
      </c>
      <c r="CK303" t="str">
        <f>+IFERROR(VLOOKUP(CK4,IN_Zugliste!$A$4:$F$2002,7,FALSE),"")</f>
        <v/>
      </c>
      <c r="CL303" t="str">
        <f>+IFERROR(VLOOKUP(CL4,IN_Zugliste!$A$4:$F$2002,7,FALSE),"")</f>
        <v/>
      </c>
      <c r="CM303" t="str">
        <f>+IFERROR(VLOOKUP(CM4,IN_Zugliste!$A$4:$F$2002,7,FALSE),"")</f>
        <v/>
      </c>
      <c r="CN303" t="str">
        <f>+IFERROR(VLOOKUP(CN4,IN_Zugliste!$A$4:$F$2002,7,FALSE),"")</f>
        <v/>
      </c>
      <c r="CO303" t="str">
        <f>+IFERROR(VLOOKUP(CO4,IN_Zugliste!$A$4:$F$2002,7,FALSE),"")</f>
        <v/>
      </c>
      <c r="CP303" t="str">
        <f>+IFERROR(VLOOKUP(CP4,IN_Zugliste!$A$4:$F$2002,7,FALSE),"")</f>
        <v/>
      </c>
      <c r="CQ303" t="str">
        <f>+IFERROR(VLOOKUP(CQ4,IN_Zugliste!$A$4:$F$2002,7,FALSE),"")</f>
        <v/>
      </c>
      <c r="CR303" t="str">
        <f>+IFERROR(VLOOKUP(CR4,IN_Zugliste!$A$4:$F$2002,7,FALSE),"")</f>
        <v/>
      </c>
      <c r="CS303" t="str">
        <f>+IFERROR(VLOOKUP(CS4,IN_Zugliste!$A$4:$F$2002,7,FALSE),"")</f>
        <v/>
      </c>
      <c r="CT303" t="str">
        <f>+IFERROR(VLOOKUP(CT4,IN_Zugliste!$A$4:$F$2002,7,FALSE),"")</f>
        <v/>
      </c>
      <c r="CU303" t="str">
        <f>+IFERROR(VLOOKUP(CU4,IN_Zugliste!$A$4:$F$2002,7,FALSE),"")</f>
        <v/>
      </c>
      <c r="CV303" t="str">
        <f>+IFERROR(VLOOKUP(CV4,IN_Zugliste!$A$4:$F$2002,7,FALSE),"")</f>
        <v/>
      </c>
      <c r="CW303" t="str">
        <f>+IFERROR(VLOOKUP(CW4,IN_Zugliste!$A$4:$F$2002,7,FALSE),"")</f>
        <v/>
      </c>
      <c r="CX303" t="str">
        <f>+IFERROR(VLOOKUP(CX4,IN_Zugliste!$A$4:$F$2002,7,FALSE),"")</f>
        <v/>
      </c>
      <c r="CY303" t="str">
        <f>+IFERROR(VLOOKUP(CY4,IN_Zugliste!$A$4:$F$2002,7,FALSE),"")</f>
        <v/>
      </c>
      <c r="CZ303" t="str">
        <f>+IFERROR(VLOOKUP(CZ4,IN_Zugliste!$A$4:$F$2002,7,FALSE),"")</f>
        <v/>
      </c>
      <c r="DA303" t="str">
        <f>+IFERROR(VLOOKUP(DA4,IN_Zugliste!$A$4:$F$2002,7,FALSE),"")</f>
        <v/>
      </c>
      <c r="DB303" t="str">
        <f>+IFERROR(VLOOKUP(DB4,IN_Zugliste!$A$4:$F$2002,7,FALSE),"")</f>
        <v/>
      </c>
      <c r="DC303" t="str">
        <f>+IFERROR(VLOOKUP(DC4,IN_Zugliste!$A$4:$F$2002,7,FALSE),"")</f>
        <v/>
      </c>
      <c r="DD303" t="str">
        <f>+IFERROR(VLOOKUP(DD4,IN_Zugliste!$A$4:$F$2002,7,FALSE),"")</f>
        <v/>
      </c>
      <c r="DE303" t="str">
        <f>+IFERROR(VLOOKUP(DE4,IN_Zugliste!$A$4:$F$2002,7,FALSE),"")</f>
        <v/>
      </c>
      <c r="DF303" t="str">
        <f>+IFERROR(VLOOKUP(DF4,IN_Zugliste!$A$4:$F$2002,7,FALSE),"")</f>
        <v/>
      </c>
      <c r="DG303" t="str">
        <f>+IFERROR(VLOOKUP(DG4,IN_Zugliste!$A$4:$F$2002,7,FALSE),"")</f>
        <v/>
      </c>
      <c r="DH303" t="str">
        <f>+IFERROR(VLOOKUP(DH4,IN_Zugliste!$A$4:$F$2002,7,FALSE),"")</f>
        <v/>
      </c>
      <c r="DI303" t="str">
        <f>+IFERROR(VLOOKUP(DI4,IN_Zugliste!$A$4:$F$2002,7,FALSE),"")</f>
        <v/>
      </c>
      <c r="DJ303" t="str">
        <f>+IFERROR(VLOOKUP(DJ4,IN_Zugliste!$A$4:$F$2002,7,FALSE),"")</f>
        <v/>
      </c>
      <c r="DK303" t="str">
        <f>+IFERROR(VLOOKUP(DK4,IN_Zugliste!$A$4:$F$2002,7,FALSE),"")</f>
        <v/>
      </c>
      <c r="DL303" t="str">
        <f>+IFERROR(VLOOKUP(DL4,IN_Zugliste!$A$4:$F$2002,7,FALSE),"")</f>
        <v/>
      </c>
      <c r="DM303" t="str">
        <f>+IFERROR(VLOOKUP(DM4,IN_Zugliste!$A$4:$F$2002,7,FALSE),"")</f>
        <v/>
      </c>
      <c r="DN303" t="str">
        <f>+IFERROR(VLOOKUP(DN4,IN_Zugliste!$A$4:$F$2002,7,FALSE),"")</f>
        <v/>
      </c>
      <c r="DO303" t="str">
        <f>+IFERROR(VLOOKUP(DO4,IN_Zugliste!$A$4:$F$2002,7,FALSE),"")</f>
        <v/>
      </c>
      <c r="DP303" t="str">
        <f>+IFERROR(VLOOKUP(DP4,IN_Zugliste!$A$4:$F$2002,7,FALSE),"")</f>
        <v/>
      </c>
      <c r="DQ303" t="str">
        <f>+IFERROR(VLOOKUP(DQ4,IN_Zugliste!$A$4:$F$2002,7,FALSE),"")</f>
        <v/>
      </c>
      <c r="DR303" t="str">
        <f>+IFERROR(VLOOKUP(DR4,IN_Zugliste!$A$4:$F$2002,7,FALSE),"")</f>
        <v/>
      </c>
      <c r="DS303" t="str">
        <f>+IFERROR(VLOOKUP(DS4,IN_Zugliste!$A$4:$F$2002,7,FALSE),"")</f>
        <v/>
      </c>
      <c r="DT303" t="str">
        <f>+IFERROR(VLOOKUP(DT4,IN_Zugliste!$A$4:$F$2002,7,FALSE),"")</f>
        <v/>
      </c>
      <c r="DU303" t="str">
        <f>+IFERROR(VLOOKUP(DU4,IN_Zugliste!$A$4:$F$2002,7,FALSE),"")</f>
        <v/>
      </c>
      <c r="DV303" t="str">
        <f>+IFERROR(VLOOKUP(DV4,IN_Zugliste!$A$4:$F$2002,7,FALSE),"")</f>
        <v/>
      </c>
      <c r="DW303" t="str">
        <f>+IFERROR(VLOOKUP(DW4,IN_Zugliste!$A$4:$F$2002,7,FALSE),"")</f>
        <v/>
      </c>
      <c r="DX303" t="str">
        <f>+IFERROR(VLOOKUP(DX4,IN_Zugliste!$A$4:$F$2002,7,FALSE),"")</f>
        <v/>
      </c>
      <c r="DY303" t="str">
        <f>+IFERROR(VLOOKUP(DY4,IN_Zugliste!$A$4:$F$2002,7,FALSE),"")</f>
        <v/>
      </c>
      <c r="DZ303" t="str">
        <f>+IFERROR(VLOOKUP(DZ4,IN_Zugliste!$A$4:$F$2002,7,FALSE),"")</f>
        <v/>
      </c>
      <c r="EA303" t="str">
        <f>+IFERROR(VLOOKUP(EA4,IN_Zugliste!$A$4:$F$2002,7,FALSE),"")</f>
        <v/>
      </c>
      <c r="EB303" t="str">
        <f>+IFERROR(VLOOKUP(EB4,IN_Zugliste!$A$4:$F$2002,7,FALSE),"")</f>
        <v/>
      </c>
      <c r="EC303" t="str">
        <f>+IFERROR(VLOOKUP(EC4,IN_Zugliste!$A$4:$F$2002,7,FALSE),"")</f>
        <v/>
      </c>
      <c r="ED303" t="str">
        <f>+IFERROR(VLOOKUP(ED4,IN_Zugliste!$A$4:$F$2002,7,FALSE),"")</f>
        <v/>
      </c>
      <c r="EE303" t="str">
        <f>+IFERROR(VLOOKUP(EE4,IN_Zugliste!$A$4:$F$2002,7,FALSE),"")</f>
        <v/>
      </c>
      <c r="EF303" t="str">
        <f>+IFERROR(VLOOKUP(EF4,IN_Zugliste!$A$4:$F$2002,7,FALSE),"")</f>
        <v/>
      </c>
      <c r="EG303" t="str">
        <f>+IFERROR(VLOOKUP(EG4,IN_Zugliste!$A$4:$F$2002,7,FALSE),"")</f>
        <v/>
      </c>
      <c r="EH303" t="str">
        <f>+IFERROR(VLOOKUP(EH4,IN_Zugliste!$A$4:$F$2002,7,FALSE),"")</f>
        <v/>
      </c>
      <c r="EI303" t="str">
        <f>+IFERROR(VLOOKUP(EI4,IN_Zugliste!$A$4:$F$2002,7,FALSE),"")</f>
        <v/>
      </c>
      <c r="EJ303" t="str">
        <f>+IFERROR(VLOOKUP(EJ4,IN_Zugliste!$A$4:$F$2002,7,FALSE),"")</f>
        <v/>
      </c>
      <c r="EK303" t="str">
        <f>+IFERROR(VLOOKUP(EK4,IN_Zugliste!$A$4:$F$2002,7,FALSE),"")</f>
        <v/>
      </c>
      <c r="EL303" t="str">
        <f>+IFERROR(VLOOKUP(EL4,IN_Zugliste!$A$4:$F$2002,7,FALSE),"")</f>
        <v/>
      </c>
      <c r="EM303" t="str">
        <f>+IFERROR(VLOOKUP(EM4,IN_Zugliste!$A$4:$F$2002,7,FALSE),"")</f>
        <v/>
      </c>
      <c r="EN303" t="str">
        <f>+IFERROR(VLOOKUP(EN4,IN_Zugliste!$A$4:$F$2002,7,FALSE),"")</f>
        <v/>
      </c>
      <c r="EO303" t="str">
        <f>+IFERROR(VLOOKUP(EO4,IN_Zugliste!$A$4:$F$2002,7,FALSE),"")</f>
        <v/>
      </c>
      <c r="EP303" t="str">
        <f>+IFERROR(VLOOKUP(EP4,IN_Zugliste!$A$4:$F$2002,7,FALSE),"")</f>
        <v/>
      </c>
      <c r="EQ303" t="str">
        <f>+IFERROR(VLOOKUP(EQ4,IN_Zugliste!$A$4:$F$2002,7,FALSE),"")</f>
        <v/>
      </c>
      <c r="ER303" t="str">
        <f>+IFERROR(VLOOKUP(ER4,IN_Zugliste!$A$4:$F$2002,7,FALSE),"")</f>
        <v/>
      </c>
      <c r="ES303" t="str">
        <f>+IFERROR(VLOOKUP(ES4,IN_Zugliste!$A$4:$F$2002,7,FALSE),"")</f>
        <v/>
      </c>
      <c r="ET303" t="str">
        <f>+IFERROR(VLOOKUP(ET4,IN_Zugliste!$A$4:$F$2002,7,FALSE),"")</f>
        <v/>
      </c>
      <c r="EU303" t="str">
        <f>+IFERROR(VLOOKUP(EU4,IN_Zugliste!$A$4:$F$2002,7,FALSE),"")</f>
        <v/>
      </c>
      <c r="EV303" t="str">
        <f>+IFERROR(VLOOKUP(EV4,IN_Zugliste!$A$4:$F$2002,7,FALSE),"")</f>
        <v/>
      </c>
      <c r="EW303" t="str">
        <f>+IFERROR(VLOOKUP(EW4,IN_Zugliste!$A$4:$F$2002,7,FALSE),"")</f>
        <v/>
      </c>
      <c r="EX303" t="str">
        <f>+IFERROR(VLOOKUP(EX4,IN_Zugliste!$A$4:$F$2002,7,FALSE),"")</f>
        <v/>
      </c>
      <c r="EY303" t="str">
        <f>+IFERROR(VLOOKUP(EY4,IN_Zugliste!$A$4:$F$2002,7,FALSE),"")</f>
        <v/>
      </c>
      <c r="EZ303" t="str">
        <f>+IFERROR(VLOOKUP(EZ4,IN_Zugliste!$A$4:$F$2002,7,FALSE),"")</f>
        <v/>
      </c>
      <c r="FA303" t="str">
        <f>+IFERROR(VLOOKUP(FA4,IN_Zugliste!$A$4:$F$2002,7,FALSE),"")</f>
        <v/>
      </c>
      <c r="FB303" t="str">
        <f>+IFERROR(VLOOKUP(FB4,IN_Zugliste!$A$4:$F$2002,7,FALSE),"")</f>
        <v/>
      </c>
      <c r="FC303" t="str">
        <f>+IFERROR(VLOOKUP(FC4,IN_Zugliste!$A$4:$F$2002,7,FALSE),"")</f>
        <v/>
      </c>
      <c r="FD303" t="str">
        <f>+IFERROR(VLOOKUP(FD4,IN_Zugliste!$A$4:$F$2002,7,FALSE),"")</f>
        <v/>
      </c>
      <c r="FE303" t="str">
        <f>+IFERROR(VLOOKUP(FE4,IN_Zugliste!$A$4:$F$2002,7,FALSE),"")</f>
        <v/>
      </c>
      <c r="FF303" t="str">
        <f>+IFERROR(VLOOKUP(FF4,IN_Zugliste!$A$4:$F$2002,7,FALSE),"")</f>
        <v/>
      </c>
      <c r="FG303" t="str">
        <f>+IFERROR(VLOOKUP(FG4,IN_Zugliste!$A$4:$F$2002,7,FALSE),"")</f>
        <v/>
      </c>
      <c r="FH303" t="str">
        <f>+IFERROR(VLOOKUP(FH4,IN_Zugliste!$A$4:$F$2002,7,FALSE),"")</f>
        <v/>
      </c>
      <c r="FI303" t="str">
        <f>+IFERROR(VLOOKUP(FI4,IN_Zugliste!$A$4:$F$2002,7,FALSE),"")</f>
        <v/>
      </c>
      <c r="FJ303" t="str">
        <f>+IFERROR(VLOOKUP(FJ4,IN_Zugliste!$A$4:$F$2002,7,FALSE),"")</f>
        <v/>
      </c>
      <c r="FK303" t="str">
        <f>+IFERROR(VLOOKUP(FK4,IN_Zugliste!$A$4:$F$2002,7,FALSE),"")</f>
        <v/>
      </c>
      <c r="FL303" t="str">
        <f>+IFERROR(VLOOKUP(FL4,IN_Zugliste!$A$4:$F$2002,7,FALSE),"")</f>
        <v/>
      </c>
      <c r="FM303" t="str">
        <f>+IFERROR(VLOOKUP(FM4,IN_Zugliste!$A$4:$F$2002,7,FALSE),"")</f>
        <v/>
      </c>
      <c r="FN303" t="str">
        <f>+IFERROR(VLOOKUP(FN4,IN_Zugliste!$A$4:$F$2002,7,FALSE),"")</f>
        <v/>
      </c>
      <c r="FO303" t="str">
        <f>+IFERROR(VLOOKUP(FO4,IN_Zugliste!$A$4:$F$2002,7,FALSE),"")</f>
        <v/>
      </c>
      <c r="FP303" t="str">
        <f>+IFERROR(VLOOKUP(FP4,IN_Zugliste!$A$4:$F$2002,7,FALSE),"")</f>
        <v/>
      </c>
      <c r="FQ303" t="str">
        <f>+IFERROR(VLOOKUP(FQ4,IN_Zugliste!$A$4:$F$2002,7,FALSE),"")</f>
        <v/>
      </c>
      <c r="FR303" t="str">
        <f>+IFERROR(VLOOKUP(FR4,IN_Zugliste!$A$4:$F$2002,7,FALSE),"")</f>
        <v/>
      </c>
      <c r="FS303" t="str">
        <f>+IFERROR(VLOOKUP(FS4,IN_Zugliste!$A$4:$F$2002,7,FALSE),"")</f>
        <v/>
      </c>
      <c r="FT303" t="str">
        <f>+IFERROR(VLOOKUP(FT4,IN_Zugliste!$A$4:$F$2002,7,FALSE),"")</f>
        <v/>
      </c>
      <c r="FU303" t="str">
        <f>+IFERROR(VLOOKUP(FU4,IN_Zugliste!$A$4:$F$2002,7,FALSE),"")</f>
        <v/>
      </c>
      <c r="FV303" t="str">
        <f>+IFERROR(VLOOKUP(FV4,IN_Zugliste!$A$4:$F$2002,7,FALSE),"")</f>
        <v/>
      </c>
      <c r="FW303" t="str">
        <f>+IFERROR(VLOOKUP(FW4,IN_Zugliste!$A$4:$F$2002,7,FALSE),"")</f>
        <v/>
      </c>
      <c r="FX303" t="str">
        <f>+IFERROR(VLOOKUP(FX4,IN_Zugliste!$A$4:$F$2002,7,FALSE),"")</f>
        <v/>
      </c>
      <c r="FY303" t="str">
        <f>+IFERROR(VLOOKUP(FY4,IN_Zugliste!$A$4:$F$2002,7,FALSE),"")</f>
        <v/>
      </c>
      <c r="FZ303" t="str">
        <f>+IFERROR(VLOOKUP(FZ4,IN_Zugliste!$A$4:$F$2002,7,FALSE),"")</f>
        <v/>
      </c>
      <c r="GA303" t="str">
        <f>+IFERROR(VLOOKUP(GA4,IN_Zugliste!$A$4:$F$2002,7,FALSE),"")</f>
        <v/>
      </c>
      <c r="GB303" t="str">
        <f>+IFERROR(VLOOKUP(GB4,IN_Zugliste!$A$4:$F$2002,7,FALSE),"")</f>
        <v/>
      </c>
      <c r="GC303" t="str">
        <f>+IFERROR(VLOOKUP(GC4,IN_Zugliste!$A$4:$F$2002,7,FALSE),"")</f>
        <v/>
      </c>
      <c r="GD303" t="str">
        <f>+IFERROR(VLOOKUP(GD4,IN_Zugliste!$A$4:$F$2002,7,FALSE),"")</f>
        <v/>
      </c>
      <c r="GE303" t="str">
        <f>+IFERROR(VLOOKUP(GE4,IN_Zugliste!$A$4:$F$2002,7,FALSE),"")</f>
        <v/>
      </c>
      <c r="GF303" t="str">
        <f>+IFERROR(VLOOKUP(GF4,IN_Zugliste!$A$4:$F$2002,7,FALSE),"")</f>
        <v/>
      </c>
      <c r="GG303" t="str">
        <f>+IFERROR(VLOOKUP(GG4,IN_Zugliste!$A$4:$F$2002,7,FALSE),"")</f>
        <v/>
      </c>
      <c r="GH303" t="str">
        <f>+IFERROR(VLOOKUP(GH4,IN_Zugliste!$A$4:$F$2002,7,FALSE),"")</f>
        <v/>
      </c>
      <c r="GI303" t="str">
        <f>+IFERROR(VLOOKUP(GI4,IN_Zugliste!$A$4:$F$2002,7,FALSE),"")</f>
        <v/>
      </c>
      <c r="GJ303" t="str">
        <f>+IFERROR(VLOOKUP(GJ4,IN_Zugliste!$A$4:$F$2002,7,FALSE),"")</f>
        <v/>
      </c>
      <c r="GK303" t="str">
        <f>+IFERROR(VLOOKUP(GK4,IN_Zugliste!$A$4:$F$2002,7,FALSE),"")</f>
        <v/>
      </c>
      <c r="GL303" t="str">
        <f>+IFERROR(VLOOKUP(GL4,IN_Zugliste!$A$4:$F$2002,7,FALSE),"")</f>
        <v/>
      </c>
      <c r="GM303" t="str">
        <f>+IFERROR(VLOOKUP(GM4,IN_Zugliste!$A$4:$F$2002,7,FALSE),"")</f>
        <v/>
      </c>
      <c r="GN303" t="str">
        <f>+IFERROR(VLOOKUP(GN4,IN_Zugliste!$A$4:$F$2002,7,FALSE),"")</f>
        <v/>
      </c>
      <c r="GO303" t="str">
        <f>+IFERROR(VLOOKUP(GO4,IN_Zugliste!$A$4:$F$2002,7,FALSE),"")</f>
        <v/>
      </c>
      <c r="GP303" t="str">
        <f>+IFERROR(VLOOKUP(GP4,IN_Zugliste!$A$4:$F$2002,7,FALSE),"")</f>
        <v/>
      </c>
      <c r="GQ303" t="str">
        <f>+IFERROR(VLOOKUP(GQ4,IN_Zugliste!$A$4:$F$2002,7,FALSE),"")</f>
        <v/>
      </c>
      <c r="GR303" t="str">
        <f>+IFERROR(VLOOKUP(GR4,IN_Zugliste!$A$4:$F$2002,7,FALSE),"")</f>
        <v/>
      </c>
      <c r="GS303" t="str">
        <f>+IFERROR(VLOOKUP(GS4,IN_Zugliste!$A$4:$F$2002,7,FALSE),"")</f>
        <v/>
      </c>
      <c r="GT303" t="str">
        <f>+IFERROR(VLOOKUP(GT4,IN_Zugliste!$A$4:$F$2002,7,FALSE),"")</f>
        <v/>
      </c>
      <c r="GU303" t="str">
        <f>+IFERROR(VLOOKUP(GU4,IN_Zugliste!$A$4:$F$2002,7,FALSE),"")</f>
        <v/>
      </c>
      <c r="GV303" t="str">
        <f>+IFERROR(VLOOKUP(GV4,IN_Zugliste!$A$4:$F$2002,7,FALSE),"")</f>
        <v/>
      </c>
      <c r="GW303" t="str">
        <f>+IFERROR(VLOOKUP(GW4,IN_Zugliste!$A$4:$F$2002,7,FALSE),"")</f>
        <v/>
      </c>
      <c r="GX303" t="str">
        <f>+IFERROR(VLOOKUP(GX4,IN_Zugliste!$A$4:$F$2002,7,FALSE),"")</f>
        <v/>
      </c>
      <c r="GY303" t="str">
        <f>+IFERROR(VLOOKUP(GY4,IN_Zugliste!$A$4:$F$2002,7,FALSE),"")</f>
        <v/>
      </c>
      <c r="GZ303" t="str">
        <f>+IFERROR(VLOOKUP(GZ4,IN_Zugliste!$A$4:$F$2002,7,FALSE),"")</f>
        <v/>
      </c>
      <c r="HA303" t="str">
        <f>+IFERROR(VLOOKUP(HA4,IN_Zugliste!$A$4:$F$2002,7,FALSE),"")</f>
        <v/>
      </c>
      <c r="HB303" t="str">
        <f>+IFERROR(VLOOKUP(HB4,IN_Zugliste!$A$4:$F$2002,7,FALSE),"")</f>
        <v/>
      </c>
      <c r="HC303" t="str">
        <f>+IFERROR(VLOOKUP(HC4,IN_Zugliste!$A$4:$F$2002,7,FALSE),"")</f>
        <v/>
      </c>
      <c r="HD303" t="str">
        <f>+IFERROR(VLOOKUP(HD4,IN_Zugliste!$A$4:$F$2002,7,FALSE),"")</f>
        <v/>
      </c>
      <c r="HE303" t="str">
        <f>+IFERROR(VLOOKUP(HE4,IN_Zugliste!$A$4:$F$2002,7,FALSE),"")</f>
        <v/>
      </c>
      <c r="HF303" t="str">
        <f>+IFERROR(VLOOKUP(HF4,IN_Zugliste!$A$4:$F$2002,7,FALSE),"")</f>
        <v/>
      </c>
      <c r="HG303" t="str">
        <f>+IFERROR(VLOOKUP(HG4,IN_Zugliste!$A$4:$F$2002,7,FALSE),"")</f>
        <v/>
      </c>
      <c r="HH303" t="str">
        <f>+IFERROR(VLOOKUP(HH4,IN_Zugliste!$A$4:$F$2002,7,FALSE),"")</f>
        <v/>
      </c>
      <c r="HI303" t="str">
        <f>+IFERROR(VLOOKUP(HI4,IN_Zugliste!$A$4:$F$2002,7,FALSE),"")</f>
        <v/>
      </c>
      <c r="HJ303" t="str">
        <f>+IFERROR(VLOOKUP(HJ4,IN_Zugliste!$A$4:$F$2002,7,FALSE),"")</f>
        <v/>
      </c>
      <c r="HK303" t="str">
        <f>+IFERROR(VLOOKUP(HK4,IN_Zugliste!$A$4:$F$2002,7,FALSE),"")</f>
        <v/>
      </c>
      <c r="HL303" t="str">
        <f>+IFERROR(VLOOKUP(HL4,IN_Zugliste!$A$4:$F$2002,7,FALSE),"")</f>
        <v/>
      </c>
      <c r="HM303" t="str">
        <f>+IFERROR(VLOOKUP(HM4,IN_Zugliste!$A$4:$F$2002,7,FALSE),"")</f>
        <v/>
      </c>
      <c r="HN303" t="str">
        <f>+IFERROR(VLOOKUP(HN4,IN_Zugliste!$A$4:$F$2002,7,FALSE),"")</f>
        <v/>
      </c>
      <c r="HO303" t="str">
        <f>+IFERROR(VLOOKUP(HO4,IN_Zugliste!$A$4:$F$2002,7,FALSE),"")</f>
        <v/>
      </c>
      <c r="HP303" t="str">
        <f>+IFERROR(VLOOKUP(HP4,IN_Zugliste!$A$4:$F$2002,7,FALSE),"")</f>
        <v/>
      </c>
      <c r="HQ303" t="str">
        <f>+IFERROR(VLOOKUP(HQ4,IN_Zugliste!$A$4:$F$2002,7,FALSE),"")</f>
        <v/>
      </c>
      <c r="HR303" t="str">
        <f>+IFERROR(VLOOKUP(HR4,IN_Zugliste!$A$4:$F$2002,7,FALSE),"")</f>
        <v/>
      </c>
      <c r="HS303" t="str">
        <f>+IFERROR(VLOOKUP(HS4,IN_Zugliste!$A$4:$F$2002,7,FALSE),"")</f>
        <v/>
      </c>
      <c r="HT303" t="str">
        <f>+IFERROR(VLOOKUP(HT4,IN_Zugliste!$A$4:$F$2002,7,FALSE),"")</f>
        <v/>
      </c>
      <c r="HU303" t="str">
        <f>+IFERROR(VLOOKUP(HU4,IN_Zugliste!$A$4:$F$2002,7,FALSE),"")</f>
        <v/>
      </c>
      <c r="HV303" t="str">
        <f>+IFERROR(VLOOKUP(HV4,IN_Zugliste!$A$4:$F$2002,7,FALSE),"")</f>
        <v/>
      </c>
      <c r="HW303" t="str">
        <f>+IFERROR(VLOOKUP(HW4,IN_Zugliste!$A$4:$F$2002,7,FALSE),"")</f>
        <v/>
      </c>
      <c r="HX303" t="str">
        <f>+IFERROR(VLOOKUP(HX4,IN_Zugliste!$A$4:$F$2002,7,FALSE),"")</f>
        <v/>
      </c>
      <c r="HY303" t="str">
        <f>+IFERROR(VLOOKUP(HY4,IN_Zugliste!$A$4:$F$2002,7,FALSE),"")</f>
        <v/>
      </c>
      <c r="HZ303" t="str">
        <f>+IFERROR(VLOOKUP(HZ4,IN_Zugliste!$A$4:$F$2002,7,FALSE),"")</f>
        <v/>
      </c>
      <c r="IA303" t="str">
        <f>+IFERROR(VLOOKUP(IA4,IN_Zugliste!$A$4:$F$2002,7,FALSE),"")</f>
        <v/>
      </c>
      <c r="IB303" t="str">
        <f>+IFERROR(VLOOKUP(IB4,IN_Zugliste!$A$4:$F$2002,7,FALSE),"")</f>
        <v/>
      </c>
      <c r="IC303" t="str">
        <f>+IFERROR(VLOOKUP(IC4,IN_Zugliste!$A$4:$F$2002,7,FALSE),"")</f>
        <v/>
      </c>
      <c r="ID303" t="str">
        <f>+IFERROR(VLOOKUP(ID4,IN_Zugliste!$A$4:$F$2002,7,FALSE),"")</f>
        <v/>
      </c>
      <c r="IE303" t="str">
        <f>+IFERROR(VLOOKUP(IE4,IN_Zugliste!$A$4:$F$2002,7,FALSE),"")</f>
        <v/>
      </c>
      <c r="IF303" t="str">
        <f>+IFERROR(VLOOKUP(IF4,IN_Zugliste!$A$4:$F$2002,7,FALSE),"")</f>
        <v/>
      </c>
      <c r="IG303" t="str">
        <f>+IFERROR(VLOOKUP(IG4,IN_Zugliste!$A$4:$F$2002,7,FALSE),"")</f>
        <v/>
      </c>
      <c r="IH303" t="str">
        <f>+IFERROR(VLOOKUP(IH4,IN_Zugliste!$A$4:$F$2002,7,FALSE),"")</f>
        <v/>
      </c>
      <c r="II303" t="str">
        <f>+IFERROR(VLOOKUP(II4,IN_Zugliste!$A$4:$F$2002,7,FALSE),"")</f>
        <v/>
      </c>
      <c r="IJ303" t="str">
        <f>+IFERROR(VLOOKUP(IJ4,IN_Zugliste!$A$4:$F$2002,7,FALSE),"")</f>
        <v/>
      </c>
      <c r="IK303" t="str">
        <f>+IFERROR(VLOOKUP(IK4,IN_Zugliste!$A$4:$F$2002,7,FALSE),"")</f>
        <v/>
      </c>
      <c r="IL303" t="str">
        <f>+IFERROR(VLOOKUP(IL4,IN_Zugliste!$A$4:$F$2002,7,FALSE),"")</f>
        <v/>
      </c>
      <c r="IM303" t="str">
        <f>+IFERROR(VLOOKUP(IM4,IN_Zugliste!$A$4:$F$2002,7,FALSE),"")</f>
        <v/>
      </c>
      <c r="IN303" t="str">
        <f>+IFERROR(VLOOKUP(IN4,IN_Zugliste!$A$4:$F$2002,7,FALSE),"")</f>
        <v/>
      </c>
      <c r="IO303" t="str">
        <f>+IFERROR(VLOOKUP(IO4,IN_Zugliste!$A$4:$F$2002,7,FALSE),"")</f>
        <v/>
      </c>
      <c r="IP303" t="str">
        <f>+IFERROR(VLOOKUP(IP4,IN_Zugliste!$A$4:$F$2002,7,FALSE),"")</f>
        <v/>
      </c>
      <c r="IQ303" t="str">
        <f>+IFERROR(VLOOKUP(IQ4,IN_Zugliste!$A$4:$F$2002,7,FALSE),"")</f>
        <v/>
      </c>
      <c r="IR303" t="str">
        <f>+IFERROR(VLOOKUP(IR4,IN_Zugliste!$A$4:$F$2002,7,FALSE),"")</f>
        <v/>
      </c>
      <c r="IS303" t="str">
        <f>+IFERROR(VLOOKUP(IS4,IN_Zugliste!$A$4:$F$2002,7,FALSE),"")</f>
        <v/>
      </c>
      <c r="IT303" t="str">
        <f>+IFERROR(VLOOKUP(IT4,IN_Zugliste!$A$4:$F$2002,7,FALSE),"")</f>
        <v/>
      </c>
      <c r="IU303" t="str">
        <f>+IFERROR(VLOOKUP(IU4,IN_Zugliste!$A$4:$F$2002,7,FALSE),"")</f>
        <v/>
      </c>
      <c r="IV303" t="str">
        <f>+IFERROR(VLOOKUP(IV4,IN_Zugliste!$A$4:$F$2002,7,FALSE),"")</f>
        <v/>
      </c>
      <c r="IW303" t="str">
        <f>+IFERROR(VLOOKUP(IW4,IN_Zugliste!$A$4:$F$2002,7,FALSE),"")</f>
        <v/>
      </c>
      <c r="IX303" t="str">
        <f>+IFERROR(VLOOKUP(IX4,IN_Zugliste!$A$4:$F$2002,7,FALSE),"")</f>
        <v/>
      </c>
      <c r="IY303" t="str">
        <f>+IFERROR(VLOOKUP(IY4,IN_Zugliste!$A$4:$F$2002,7,FALSE),"")</f>
        <v/>
      </c>
      <c r="IZ303" t="str">
        <f>+IFERROR(VLOOKUP(IZ4,IN_Zugliste!$A$4:$F$2002,7,FALSE),"")</f>
        <v/>
      </c>
      <c r="JA303" t="str">
        <f>+IFERROR(VLOOKUP(JA4,IN_Zugliste!$A$4:$F$2002,7,FALSE),"")</f>
        <v/>
      </c>
      <c r="JB303" t="str">
        <f>+IFERROR(VLOOKUP(JB4,IN_Zugliste!$A$4:$F$2002,7,FALSE),"")</f>
        <v/>
      </c>
      <c r="JC303" t="str">
        <f>+IFERROR(VLOOKUP(JC4,IN_Zugliste!$A$4:$F$2002,7,FALSE),"")</f>
        <v/>
      </c>
      <c r="JD303" t="str">
        <f>+IFERROR(VLOOKUP(JD4,IN_Zugliste!$A$4:$F$2002,7,FALSE),"")</f>
        <v/>
      </c>
      <c r="JE303" t="str">
        <f>+IFERROR(VLOOKUP(JE4,IN_Zugliste!$A$4:$F$2002,7,FALSE),"")</f>
        <v/>
      </c>
      <c r="JF303" t="str">
        <f>+IFERROR(VLOOKUP(JF4,IN_Zugliste!$A$4:$F$2002,7,FALSE),"")</f>
        <v/>
      </c>
      <c r="JG303" t="str">
        <f>+IFERROR(VLOOKUP(JG4,IN_Zugliste!$A$4:$F$2002,7,FALSE),"")</f>
        <v/>
      </c>
      <c r="JH303" t="str">
        <f>+IFERROR(VLOOKUP(JH4,IN_Zugliste!$A$4:$F$2002,7,FALSE),"")</f>
        <v/>
      </c>
      <c r="JI303" t="str">
        <f>+IFERROR(VLOOKUP(JI4,IN_Zugliste!$A$4:$F$2002,7,FALSE),"")</f>
        <v/>
      </c>
      <c r="JJ303" t="str">
        <f>+IFERROR(VLOOKUP(JJ4,IN_Zugliste!$A$4:$F$2002,7,FALSE),"")</f>
        <v/>
      </c>
    </row>
    <row r="304" spans="1:270" x14ac:dyDescent="0.2">
      <c r="A304" t="str">
        <f>+IFERROR(VLOOKUP(A5,IN_Zugliste!$A$4:$F$2002,7,FALSE),"")</f>
        <v/>
      </c>
      <c r="B304" t="str">
        <f>+IFERROR(VLOOKUP(B5,IN_Zugliste!$A$4:$F$2002,7,FALSE),"")</f>
        <v/>
      </c>
      <c r="C304" t="str">
        <f>+IFERROR(VLOOKUP(C5,IN_Zugliste!$A$4:$F$2002,7,FALSE),"")</f>
        <v/>
      </c>
      <c r="D304" t="str">
        <f>+IFERROR(VLOOKUP(D5,IN_Zugliste!$A$4:$F$2002,7,FALSE),"")</f>
        <v/>
      </c>
      <c r="E304" t="str">
        <f>+IFERROR(VLOOKUP(E5,IN_Zugliste!$A$4:$F$2002,7,FALSE),"")</f>
        <v/>
      </c>
      <c r="F304" t="str">
        <f>+IFERROR(VLOOKUP(F5,IN_Zugliste!$A$4:$F$2002,7,FALSE),"")</f>
        <v/>
      </c>
      <c r="G304" t="str">
        <f>+IFERROR(VLOOKUP(G5,IN_Zugliste!$A$4:$F$2002,7,FALSE),"")</f>
        <v/>
      </c>
      <c r="H304" t="str">
        <f>+IFERROR(VLOOKUP(H5,IN_Zugliste!$A$4:$F$2002,7,FALSE),"")</f>
        <v/>
      </c>
      <c r="I304" t="str">
        <f>+IFERROR(VLOOKUP(I5,IN_Zugliste!$A$4:$F$2002,7,FALSE),"")</f>
        <v/>
      </c>
      <c r="J304" t="str">
        <f>+IFERROR(VLOOKUP(J5,IN_Zugliste!$A$4:$F$2002,7,FALSE),"")</f>
        <v/>
      </c>
      <c r="K304" t="str">
        <f>+IFERROR(VLOOKUP(K5,IN_Zugliste!$A$4:$F$2002,7,FALSE),"")</f>
        <v/>
      </c>
      <c r="L304" t="str">
        <f>+IFERROR(VLOOKUP(L5,IN_Zugliste!$A$4:$F$2002,7,FALSE),"")</f>
        <v/>
      </c>
      <c r="M304" t="str">
        <f>+IFERROR(VLOOKUP(M5,IN_Zugliste!$A$4:$F$2002,7,FALSE),"")</f>
        <v/>
      </c>
      <c r="N304" t="str">
        <f>+IFERROR(VLOOKUP(N5,IN_Zugliste!$A$4:$F$2002,7,FALSE),"")</f>
        <v/>
      </c>
      <c r="O304" t="str">
        <f>+IFERROR(VLOOKUP(O5,IN_Zugliste!$A$4:$F$2002,7,FALSE),"")</f>
        <v/>
      </c>
      <c r="P304" t="str">
        <f>+IFERROR(VLOOKUP(P5,IN_Zugliste!$A$4:$F$2002,7,FALSE),"")</f>
        <v/>
      </c>
      <c r="Q304" t="str">
        <f>+IFERROR(VLOOKUP(Q5,IN_Zugliste!$A$4:$F$2002,7,FALSE),"")</f>
        <v/>
      </c>
      <c r="R304" t="str">
        <f>+IFERROR(VLOOKUP(R5,IN_Zugliste!$A$4:$F$2002,7,FALSE),"")</f>
        <v/>
      </c>
      <c r="S304" t="str">
        <f>+IFERROR(VLOOKUP(S5,IN_Zugliste!$A$4:$F$2002,7,FALSE),"")</f>
        <v/>
      </c>
      <c r="T304" t="str">
        <f>+IFERROR(VLOOKUP(T5,IN_Zugliste!$A$4:$F$2002,7,FALSE),"")</f>
        <v/>
      </c>
      <c r="U304" t="str">
        <f>+IFERROR(VLOOKUP(U5,IN_Zugliste!$A$4:$F$2002,7,FALSE),"")</f>
        <v/>
      </c>
      <c r="V304" t="str">
        <f>+IFERROR(VLOOKUP(V5,IN_Zugliste!$A$4:$F$2002,7,FALSE),"")</f>
        <v/>
      </c>
      <c r="W304" t="str">
        <f>+IFERROR(VLOOKUP(W5,IN_Zugliste!$A$4:$F$2002,7,FALSE),"")</f>
        <v/>
      </c>
      <c r="X304" t="str">
        <f>+IFERROR(VLOOKUP(X5,IN_Zugliste!$A$4:$F$2002,7,FALSE),"")</f>
        <v/>
      </c>
      <c r="Y304" t="str">
        <f>+IFERROR(VLOOKUP(Y5,IN_Zugliste!$A$4:$F$2002,7,FALSE),"")</f>
        <v/>
      </c>
      <c r="Z304" t="str">
        <f>+IFERROR(VLOOKUP(Z5,IN_Zugliste!$A$4:$F$2002,7,FALSE),"")</f>
        <v/>
      </c>
      <c r="AA304" t="str">
        <f>+IFERROR(VLOOKUP(AA5,IN_Zugliste!$A$4:$F$2002,7,FALSE),"")</f>
        <v/>
      </c>
      <c r="AB304" t="str">
        <f>+IFERROR(VLOOKUP(AB5,IN_Zugliste!$A$4:$F$2002,7,FALSE),"")</f>
        <v/>
      </c>
      <c r="AC304" t="str">
        <f>+IFERROR(VLOOKUP(AC5,IN_Zugliste!$A$4:$F$2002,7,FALSE),"")</f>
        <v/>
      </c>
      <c r="AD304" t="str">
        <f>+IFERROR(VLOOKUP(AD5,IN_Zugliste!$A$4:$F$2002,7,FALSE),"")</f>
        <v/>
      </c>
      <c r="AE304" t="str">
        <f>+IFERROR(VLOOKUP(AE5,IN_Zugliste!$A$4:$F$2002,7,FALSE),"")</f>
        <v/>
      </c>
      <c r="AF304" t="str">
        <f>+IFERROR(VLOOKUP(AF5,IN_Zugliste!$A$4:$F$2002,7,FALSE),"")</f>
        <v/>
      </c>
      <c r="AG304" t="str">
        <f>+IFERROR(VLOOKUP(AG5,IN_Zugliste!$A$4:$F$2002,7,FALSE),"")</f>
        <v/>
      </c>
      <c r="AH304" t="str">
        <f>+IFERROR(VLOOKUP(AH5,IN_Zugliste!$A$4:$F$2002,7,FALSE),"")</f>
        <v/>
      </c>
      <c r="AI304" t="str">
        <f>+IFERROR(VLOOKUP(AI5,IN_Zugliste!$A$4:$F$2002,7,FALSE),"")</f>
        <v/>
      </c>
      <c r="AJ304" t="str">
        <f>+IFERROR(VLOOKUP(AJ5,IN_Zugliste!$A$4:$F$2002,7,FALSE),"")</f>
        <v/>
      </c>
      <c r="AK304" t="str">
        <f>+IFERROR(VLOOKUP(AK5,IN_Zugliste!$A$4:$F$2002,7,FALSE),"")</f>
        <v/>
      </c>
      <c r="AL304" t="str">
        <f>+IFERROR(VLOOKUP(AL5,IN_Zugliste!$A$4:$F$2002,7,FALSE),"")</f>
        <v/>
      </c>
      <c r="AM304" t="str">
        <f>+IFERROR(VLOOKUP(AM5,IN_Zugliste!$A$4:$F$2002,7,FALSE),"")</f>
        <v/>
      </c>
      <c r="AN304" t="str">
        <f>+IFERROR(VLOOKUP(AN5,IN_Zugliste!$A$4:$F$2002,7,FALSE),"")</f>
        <v/>
      </c>
      <c r="AO304" t="str">
        <f>+IFERROR(VLOOKUP(AO5,IN_Zugliste!$A$4:$F$2002,7,FALSE),"")</f>
        <v/>
      </c>
      <c r="AP304" t="str">
        <f>+IFERROR(VLOOKUP(AP5,IN_Zugliste!$A$4:$F$2002,7,FALSE),"")</f>
        <v/>
      </c>
      <c r="AQ304" t="str">
        <f>+IFERROR(VLOOKUP(AQ5,IN_Zugliste!$A$4:$F$2002,7,FALSE),"")</f>
        <v/>
      </c>
      <c r="AR304" t="str">
        <f>+IFERROR(VLOOKUP(AR5,IN_Zugliste!$A$4:$F$2002,7,FALSE),"")</f>
        <v/>
      </c>
      <c r="AS304" t="str">
        <f>+IFERROR(VLOOKUP(AS5,IN_Zugliste!$A$4:$F$2002,7,FALSE),"")</f>
        <v/>
      </c>
      <c r="AT304" t="str">
        <f>+IFERROR(VLOOKUP(AT5,IN_Zugliste!$A$4:$F$2002,7,FALSE),"")</f>
        <v/>
      </c>
      <c r="AU304" t="str">
        <f>+IFERROR(VLOOKUP(AU5,IN_Zugliste!$A$4:$F$2002,7,FALSE),"")</f>
        <v/>
      </c>
      <c r="AV304" t="str">
        <f>+IFERROR(VLOOKUP(AV5,IN_Zugliste!$A$4:$F$2002,7,FALSE),"")</f>
        <v/>
      </c>
      <c r="AW304" t="str">
        <f>+IFERROR(VLOOKUP(AW5,IN_Zugliste!$A$4:$F$2002,7,FALSE),"")</f>
        <v/>
      </c>
      <c r="AX304" t="str">
        <f>+IFERROR(VLOOKUP(AX5,IN_Zugliste!$A$4:$F$2002,7,FALSE),"")</f>
        <v/>
      </c>
      <c r="AY304" t="str">
        <f>+IFERROR(VLOOKUP(AY5,IN_Zugliste!$A$4:$F$2002,7,FALSE),"")</f>
        <v/>
      </c>
      <c r="AZ304" t="str">
        <f>+IFERROR(VLOOKUP(AZ5,IN_Zugliste!$A$4:$F$2002,7,FALSE),"")</f>
        <v/>
      </c>
      <c r="BA304" t="str">
        <f>+IFERROR(VLOOKUP(BA5,IN_Zugliste!$A$4:$F$2002,7,FALSE),"")</f>
        <v/>
      </c>
      <c r="BB304" t="str">
        <f>+IFERROR(VLOOKUP(BB5,IN_Zugliste!$A$4:$F$2002,7,FALSE),"")</f>
        <v/>
      </c>
      <c r="BC304" t="str">
        <f>+IFERROR(VLOOKUP(BC5,IN_Zugliste!$A$4:$F$2002,7,FALSE),"")</f>
        <v/>
      </c>
      <c r="BD304" t="str">
        <f>+IFERROR(VLOOKUP(BD5,IN_Zugliste!$A$4:$F$2002,7,FALSE),"")</f>
        <v/>
      </c>
      <c r="BE304" t="str">
        <f>+IFERROR(VLOOKUP(BE5,IN_Zugliste!$A$4:$F$2002,7,FALSE),"")</f>
        <v/>
      </c>
      <c r="BF304" t="str">
        <f>+IFERROR(VLOOKUP(BF5,IN_Zugliste!$A$4:$F$2002,7,FALSE),"")</f>
        <v/>
      </c>
      <c r="BG304" t="str">
        <f>+IFERROR(VLOOKUP(BG5,IN_Zugliste!$A$4:$F$2002,7,FALSE),"")</f>
        <v/>
      </c>
      <c r="BH304" t="str">
        <f>+IFERROR(VLOOKUP(BH5,IN_Zugliste!$A$4:$F$2002,7,FALSE),"")</f>
        <v/>
      </c>
      <c r="BI304" t="str">
        <f>+IFERROR(VLOOKUP(BI5,IN_Zugliste!$A$4:$F$2002,7,FALSE),"")</f>
        <v/>
      </c>
      <c r="BJ304" t="str">
        <f>+IFERROR(VLOOKUP(BJ5,IN_Zugliste!$A$4:$F$2002,7,FALSE),"")</f>
        <v/>
      </c>
      <c r="BK304" t="str">
        <f>+IFERROR(VLOOKUP(BK5,IN_Zugliste!$A$4:$F$2002,7,FALSE),"")</f>
        <v/>
      </c>
      <c r="BL304" t="str">
        <f>+IFERROR(VLOOKUP(BL5,IN_Zugliste!$A$4:$F$2002,7,FALSE),"")</f>
        <v/>
      </c>
      <c r="BM304" t="str">
        <f>+IFERROR(VLOOKUP(BM5,IN_Zugliste!$A$4:$F$2002,7,FALSE),"")</f>
        <v/>
      </c>
      <c r="BN304" t="str">
        <f>+IFERROR(VLOOKUP(BN5,IN_Zugliste!$A$4:$F$2002,7,FALSE),"")</f>
        <v/>
      </c>
      <c r="BO304" t="str">
        <f>+IFERROR(VLOOKUP(BO5,IN_Zugliste!$A$4:$F$2002,7,FALSE),"")</f>
        <v/>
      </c>
      <c r="BP304" t="str">
        <f>+IFERROR(VLOOKUP(BP5,IN_Zugliste!$A$4:$F$2002,7,FALSE),"")</f>
        <v/>
      </c>
      <c r="BQ304" t="str">
        <f>+IFERROR(VLOOKUP(BQ5,IN_Zugliste!$A$4:$F$2002,7,FALSE),"")</f>
        <v/>
      </c>
      <c r="BR304" t="str">
        <f>+IFERROR(VLOOKUP(BR5,IN_Zugliste!$A$4:$F$2002,7,FALSE),"")</f>
        <v/>
      </c>
      <c r="BS304" t="str">
        <f>+IFERROR(VLOOKUP(BS5,IN_Zugliste!$A$4:$F$2002,7,FALSE),"")</f>
        <v/>
      </c>
      <c r="BT304" t="str">
        <f>+IFERROR(VLOOKUP(BT5,IN_Zugliste!$A$4:$F$2002,7,FALSE),"")</f>
        <v/>
      </c>
      <c r="BU304" t="str">
        <f>+IFERROR(VLOOKUP(BU5,IN_Zugliste!$A$4:$F$2002,7,FALSE),"")</f>
        <v/>
      </c>
      <c r="BV304" t="str">
        <f>+IFERROR(VLOOKUP(BV5,IN_Zugliste!$A$4:$F$2002,7,FALSE),"")</f>
        <v/>
      </c>
      <c r="BW304" t="str">
        <f>+IFERROR(VLOOKUP(BW5,IN_Zugliste!$A$4:$F$2002,7,FALSE),"")</f>
        <v/>
      </c>
      <c r="BX304" t="str">
        <f>+IFERROR(VLOOKUP(BX5,IN_Zugliste!$A$4:$F$2002,7,FALSE),"")</f>
        <v/>
      </c>
      <c r="BY304" t="str">
        <f>+IFERROR(VLOOKUP(BY5,IN_Zugliste!$A$4:$F$2002,7,FALSE),"")</f>
        <v/>
      </c>
      <c r="BZ304" t="str">
        <f>+IFERROR(VLOOKUP(BZ5,IN_Zugliste!$A$4:$F$2002,7,FALSE),"")</f>
        <v/>
      </c>
      <c r="CA304" t="str">
        <f>+IFERROR(VLOOKUP(CA5,IN_Zugliste!$A$4:$F$2002,7,FALSE),"")</f>
        <v/>
      </c>
      <c r="CB304" t="str">
        <f>+IFERROR(VLOOKUP(CB5,IN_Zugliste!$A$4:$F$2002,7,FALSE),"")</f>
        <v/>
      </c>
      <c r="CC304" t="str">
        <f>+IFERROR(VLOOKUP(CC5,IN_Zugliste!$A$4:$F$2002,7,FALSE),"")</f>
        <v/>
      </c>
      <c r="CD304" t="str">
        <f>+IFERROR(VLOOKUP(CD5,IN_Zugliste!$A$4:$F$2002,7,FALSE),"")</f>
        <v/>
      </c>
      <c r="CE304" t="str">
        <f>+IFERROR(VLOOKUP(CE5,IN_Zugliste!$A$4:$F$2002,7,FALSE),"")</f>
        <v/>
      </c>
      <c r="CF304" t="str">
        <f>+IFERROR(VLOOKUP(CF5,IN_Zugliste!$A$4:$F$2002,7,FALSE),"")</f>
        <v/>
      </c>
      <c r="CG304" t="str">
        <f>+IFERROR(VLOOKUP(CG5,IN_Zugliste!$A$4:$F$2002,7,FALSE),"")</f>
        <v/>
      </c>
      <c r="CH304" t="str">
        <f>+IFERROR(VLOOKUP(CH5,IN_Zugliste!$A$4:$F$2002,7,FALSE),"")</f>
        <v/>
      </c>
      <c r="CI304" t="str">
        <f>+IFERROR(VLOOKUP(CI5,IN_Zugliste!$A$4:$F$2002,7,FALSE),"")</f>
        <v/>
      </c>
      <c r="CJ304" t="str">
        <f>+IFERROR(VLOOKUP(CJ5,IN_Zugliste!$A$4:$F$2002,7,FALSE),"")</f>
        <v/>
      </c>
      <c r="CK304" t="str">
        <f>+IFERROR(VLOOKUP(CK5,IN_Zugliste!$A$4:$F$2002,7,FALSE),"")</f>
        <v/>
      </c>
      <c r="CL304" t="str">
        <f>+IFERROR(VLOOKUP(CL5,IN_Zugliste!$A$4:$F$2002,7,FALSE),"")</f>
        <v/>
      </c>
      <c r="CM304" t="str">
        <f>+IFERROR(VLOOKUP(CM5,IN_Zugliste!$A$4:$F$2002,7,FALSE),"")</f>
        <v/>
      </c>
      <c r="CN304" t="str">
        <f>+IFERROR(VLOOKUP(CN5,IN_Zugliste!$A$4:$F$2002,7,FALSE),"")</f>
        <v/>
      </c>
      <c r="CO304" t="str">
        <f>+IFERROR(VLOOKUP(CO5,IN_Zugliste!$A$4:$F$2002,7,FALSE),"")</f>
        <v/>
      </c>
      <c r="CP304" t="str">
        <f>+IFERROR(VLOOKUP(CP5,IN_Zugliste!$A$4:$F$2002,7,FALSE),"")</f>
        <v/>
      </c>
      <c r="CQ304" t="str">
        <f>+IFERROR(VLOOKUP(CQ5,IN_Zugliste!$A$4:$F$2002,7,FALSE),"")</f>
        <v/>
      </c>
      <c r="CR304" t="str">
        <f>+IFERROR(VLOOKUP(CR5,IN_Zugliste!$A$4:$F$2002,7,FALSE),"")</f>
        <v/>
      </c>
      <c r="CS304" t="str">
        <f>+IFERROR(VLOOKUP(CS5,IN_Zugliste!$A$4:$F$2002,7,FALSE),"")</f>
        <v/>
      </c>
      <c r="CT304" t="str">
        <f>+IFERROR(VLOOKUP(CT5,IN_Zugliste!$A$4:$F$2002,7,FALSE),"")</f>
        <v/>
      </c>
      <c r="CU304" t="str">
        <f>+IFERROR(VLOOKUP(CU5,IN_Zugliste!$A$4:$F$2002,7,FALSE),"")</f>
        <v/>
      </c>
      <c r="CV304" t="str">
        <f>+IFERROR(VLOOKUP(CV5,IN_Zugliste!$A$4:$F$2002,7,FALSE),"")</f>
        <v/>
      </c>
      <c r="CW304" t="str">
        <f>+IFERROR(VLOOKUP(CW5,IN_Zugliste!$A$4:$F$2002,7,FALSE),"")</f>
        <v/>
      </c>
      <c r="CX304" t="str">
        <f>+IFERROR(VLOOKUP(CX5,IN_Zugliste!$A$4:$F$2002,7,FALSE),"")</f>
        <v/>
      </c>
      <c r="CY304" t="str">
        <f>+IFERROR(VLOOKUP(CY5,IN_Zugliste!$A$4:$F$2002,7,FALSE),"")</f>
        <v/>
      </c>
      <c r="CZ304" t="str">
        <f>+IFERROR(VLOOKUP(CZ5,IN_Zugliste!$A$4:$F$2002,7,FALSE),"")</f>
        <v/>
      </c>
      <c r="DA304" t="str">
        <f>+IFERROR(VLOOKUP(DA5,IN_Zugliste!$A$4:$F$2002,7,FALSE),"")</f>
        <v/>
      </c>
      <c r="DB304" t="str">
        <f>+IFERROR(VLOOKUP(DB5,IN_Zugliste!$A$4:$F$2002,7,FALSE),"")</f>
        <v/>
      </c>
      <c r="DC304" t="str">
        <f>+IFERROR(VLOOKUP(DC5,IN_Zugliste!$A$4:$F$2002,7,FALSE),"")</f>
        <v/>
      </c>
      <c r="DD304" t="str">
        <f>+IFERROR(VLOOKUP(DD5,IN_Zugliste!$A$4:$F$2002,7,FALSE),"")</f>
        <v/>
      </c>
      <c r="DE304" t="str">
        <f>+IFERROR(VLOOKUP(DE5,IN_Zugliste!$A$4:$F$2002,7,FALSE),"")</f>
        <v/>
      </c>
      <c r="DF304" t="str">
        <f>+IFERROR(VLOOKUP(DF5,IN_Zugliste!$A$4:$F$2002,7,FALSE),"")</f>
        <v/>
      </c>
      <c r="DG304" t="str">
        <f>+IFERROR(VLOOKUP(DG5,IN_Zugliste!$A$4:$F$2002,7,FALSE),"")</f>
        <v/>
      </c>
      <c r="DH304" t="str">
        <f>+IFERROR(VLOOKUP(DH5,IN_Zugliste!$A$4:$F$2002,7,FALSE),"")</f>
        <v/>
      </c>
      <c r="DI304" t="str">
        <f>+IFERROR(VLOOKUP(DI5,IN_Zugliste!$A$4:$F$2002,7,FALSE),"")</f>
        <v/>
      </c>
      <c r="DJ304" t="str">
        <f>+IFERROR(VLOOKUP(DJ5,IN_Zugliste!$A$4:$F$2002,7,FALSE),"")</f>
        <v/>
      </c>
      <c r="DK304" t="str">
        <f>+IFERROR(VLOOKUP(DK5,IN_Zugliste!$A$4:$F$2002,7,FALSE),"")</f>
        <v/>
      </c>
      <c r="DL304" t="str">
        <f>+IFERROR(VLOOKUP(DL5,IN_Zugliste!$A$4:$F$2002,7,FALSE),"")</f>
        <v/>
      </c>
      <c r="DM304" t="str">
        <f>+IFERROR(VLOOKUP(DM5,IN_Zugliste!$A$4:$F$2002,7,FALSE),"")</f>
        <v/>
      </c>
      <c r="DN304" t="str">
        <f>+IFERROR(VLOOKUP(DN5,IN_Zugliste!$A$4:$F$2002,7,FALSE),"")</f>
        <v/>
      </c>
      <c r="DO304" t="str">
        <f>+IFERROR(VLOOKUP(DO5,IN_Zugliste!$A$4:$F$2002,7,FALSE),"")</f>
        <v/>
      </c>
      <c r="DP304" t="str">
        <f>+IFERROR(VLOOKUP(DP5,IN_Zugliste!$A$4:$F$2002,7,FALSE),"")</f>
        <v/>
      </c>
      <c r="DQ304" t="str">
        <f>+IFERROR(VLOOKUP(DQ5,IN_Zugliste!$A$4:$F$2002,7,FALSE),"")</f>
        <v/>
      </c>
      <c r="DR304" t="str">
        <f>+IFERROR(VLOOKUP(DR5,IN_Zugliste!$A$4:$F$2002,7,FALSE),"")</f>
        <v/>
      </c>
      <c r="DS304" t="str">
        <f>+IFERROR(VLOOKUP(DS5,IN_Zugliste!$A$4:$F$2002,7,FALSE),"")</f>
        <v/>
      </c>
      <c r="DT304" t="str">
        <f>+IFERROR(VLOOKUP(DT5,IN_Zugliste!$A$4:$F$2002,7,FALSE),"")</f>
        <v/>
      </c>
      <c r="DU304" t="str">
        <f>+IFERROR(VLOOKUP(DU5,IN_Zugliste!$A$4:$F$2002,7,FALSE),"")</f>
        <v/>
      </c>
      <c r="DV304" t="str">
        <f>+IFERROR(VLOOKUP(DV5,IN_Zugliste!$A$4:$F$2002,7,FALSE),"")</f>
        <v/>
      </c>
      <c r="DW304" t="str">
        <f>+IFERROR(VLOOKUP(DW5,IN_Zugliste!$A$4:$F$2002,7,FALSE),"")</f>
        <v/>
      </c>
      <c r="DX304" t="str">
        <f>+IFERROR(VLOOKUP(DX5,IN_Zugliste!$A$4:$F$2002,7,FALSE),"")</f>
        <v/>
      </c>
      <c r="DY304" t="str">
        <f>+IFERROR(VLOOKUP(DY5,IN_Zugliste!$A$4:$F$2002,7,FALSE),"")</f>
        <v/>
      </c>
      <c r="DZ304" t="str">
        <f>+IFERROR(VLOOKUP(DZ5,IN_Zugliste!$A$4:$F$2002,7,FALSE),"")</f>
        <v/>
      </c>
      <c r="EA304" t="str">
        <f>+IFERROR(VLOOKUP(EA5,IN_Zugliste!$A$4:$F$2002,7,FALSE),"")</f>
        <v/>
      </c>
      <c r="EB304" t="str">
        <f>+IFERROR(VLOOKUP(EB5,IN_Zugliste!$A$4:$F$2002,7,FALSE),"")</f>
        <v/>
      </c>
      <c r="EC304" t="str">
        <f>+IFERROR(VLOOKUP(EC5,IN_Zugliste!$A$4:$F$2002,7,FALSE),"")</f>
        <v/>
      </c>
      <c r="ED304" t="str">
        <f>+IFERROR(VLOOKUP(ED5,IN_Zugliste!$A$4:$F$2002,7,FALSE),"")</f>
        <v/>
      </c>
      <c r="EE304" t="str">
        <f>+IFERROR(VLOOKUP(EE5,IN_Zugliste!$A$4:$F$2002,7,FALSE),"")</f>
        <v/>
      </c>
      <c r="EF304" t="str">
        <f>+IFERROR(VLOOKUP(EF5,IN_Zugliste!$A$4:$F$2002,7,FALSE),"")</f>
        <v/>
      </c>
      <c r="EG304" t="str">
        <f>+IFERROR(VLOOKUP(EG5,IN_Zugliste!$A$4:$F$2002,7,FALSE),"")</f>
        <v/>
      </c>
      <c r="EH304" t="str">
        <f>+IFERROR(VLOOKUP(EH5,IN_Zugliste!$A$4:$F$2002,7,FALSE),"")</f>
        <v/>
      </c>
      <c r="EI304" t="str">
        <f>+IFERROR(VLOOKUP(EI5,IN_Zugliste!$A$4:$F$2002,7,FALSE),"")</f>
        <v/>
      </c>
      <c r="EJ304" t="str">
        <f>+IFERROR(VLOOKUP(EJ5,IN_Zugliste!$A$4:$F$2002,7,FALSE),"")</f>
        <v/>
      </c>
      <c r="EK304" t="str">
        <f>+IFERROR(VLOOKUP(EK5,IN_Zugliste!$A$4:$F$2002,7,FALSE),"")</f>
        <v/>
      </c>
      <c r="EL304" t="str">
        <f>+IFERROR(VLOOKUP(EL5,IN_Zugliste!$A$4:$F$2002,7,FALSE),"")</f>
        <v/>
      </c>
      <c r="EM304" t="str">
        <f>+IFERROR(VLOOKUP(EM5,IN_Zugliste!$A$4:$F$2002,7,FALSE),"")</f>
        <v/>
      </c>
      <c r="EN304" t="str">
        <f>+IFERROR(VLOOKUP(EN5,IN_Zugliste!$A$4:$F$2002,7,FALSE),"")</f>
        <v/>
      </c>
      <c r="EO304" t="str">
        <f>+IFERROR(VLOOKUP(EO5,IN_Zugliste!$A$4:$F$2002,7,FALSE),"")</f>
        <v/>
      </c>
      <c r="EP304" t="str">
        <f>+IFERROR(VLOOKUP(EP5,IN_Zugliste!$A$4:$F$2002,7,FALSE),"")</f>
        <v/>
      </c>
      <c r="EQ304" t="str">
        <f>+IFERROR(VLOOKUP(EQ5,IN_Zugliste!$A$4:$F$2002,7,FALSE),"")</f>
        <v/>
      </c>
      <c r="ER304" t="str">
        <f>+IFERROR(VLOOKUP(ER5,IN_Zugliste!$A$4:$F$2002,7,FALSE),"")</f>
        <v/>
      </c>
      <c r="ES304" t="str">
        <f>+IFERROR(VLOOKUP(ES5,IN_Zugliste!$A$4:$F$2002,7,FALSE),"")</f>
        <v/>
      </c>
      <c r="ET304" t="str">
        <f>+IFERROR(VLOOKUP(ET5,IN_Zugliste!$A$4:$F$2002,7,FALSE),"")</f>
        <v/>
      </c>
      <c r="EU304" t="str">
        <f>+IFERROR(VLOOKUP(EU5,IN_Zugliste!$A$4:$F$2002,7,FALSE),"")</f>
        <v/>
      </c>
      <c r="EV304" t="str">
        <f>+IFERROR(VLOOKUP(EV5,IN_Zugliste!$A$4:$F$2002,7,FALSE),"")</f>
        <v/>
      </c>
      <c r="EW304" t="str">
        <f>+IFERROR(VLOOKUP(EW5,IN_Zugliste!$A$4:$F$2002,7,FALSE),"")</f>
        <v/>
      </c>
      <c r="EX304" t="str">
        <f>+IFERROR(VLOOKUP(EX5,IN_Zugliste!$A$4:$F$2002,7,FALSE),"")</f>
        <v/>
      </c>
      <c r="EY304" t="str">
        <f>+IFERROR(VLOOKUP(EY5,IN_Zugliste!$A$4:$F$2002,7,FALSE),"")</f>
        <v/>
      </c>
      <c r="EZ304" t="str">
        <f>+IFERROR(VLOOKUP(EZ5,IN_Zugliste!$A$4:$F$2002,7,FALSE),"")</f>
        <v/>
      </c>
      <c r="FA304" t="str">
        <f>+IFERROR(VLOOKUP(FA5,IN_Zugliste!$A$4:$F$2002,7,FALSE),"")</f>
        <v/>
      </c>
      <c r="FB304" t="str">
        <f>+IFERROR(VLOOKUP(FB5,IN_Zugliste!$A$4:$F$2002,7,FALSE),"")</f>
        <v/>
      </c>
      <c r="FC304" t="str">
        <f>+IFERROR(VLOOKUP(FC5,IN_Zugliste!$A$4:$F$2002,7,FALSE),"")</f>
        <v/>
      </c>
      <c r="FD304" t="str">
        <f>+IFERROR(VLOOKUP(FD5,IN_Zugliste!$A$4:$F$2002,7,FALSE),"")</f>
        <v/>
      </c>
      <c r="FE304" t="str">
        <f>+IFERROR(VLOOKUP(FE5,IN_Zugliste!$A$4:$F$2002,7,FALSE),"")</f>
        <v/>
      </c>
      <c r="FF304" t="str">
        <f>+IFERROR(VLOOKUP(FF5,IN_Zugliste!$A$4:$F$2002,7,FALSE),"")</f>
        <v/>
      </c>
      <c r="FG304" t="str">
        <f>+IFERROR(VLOOKUP(FG5,IN_Zugliste!$A$4:$F$2002,7,FALSE),"")</f>
        <v/>
      </c>
      <c r="FH304" t="str">
        <f>+IFERROR(VLOOKUP(FH5,IN_Zugliste!$A$4:$F$2002,7,FALSE),"")</f>
        <v/>
      </c>
      <c r="FI304" t="str">
        <f>+IFERROR(VLOOKUP(FI5,IN_Zugliste!$A$4:$F$2002,7,FALSE),"")</f>
        <v/>
      </c>
      <c r="FJ304" t="str">
        <f>+IFERROR(VLOOKUP(FJ5,IN_Zugliste!$A$4:$F$2002,7,FALSE),"")</f>
        <v/>
      </c>
      <c r="FK304" t="str">
        <f>+IFERROR(VLOOKUP(FK5,IN_Zugliste!$A$4:$F$2002,7,FALSE),"")</f>
        <v/>
      </c>
      <c r="FL304" t="str">
        <f>+IFERROR(VLOOKUP(FL5,IN_Zugliste!$A$4:$F$2002,7,FALSE),"")</f>
        <v/>
      </c>
      <c r="FM304" t="str">
        <f>+IFERROR(VLOOKUP(FM5,IN_Zugliste!$A$4:$F$2002,7,FALSE),"")</f>
        <v/>
      </c>
      <c r="FN304" t="str">
        <f>+IFERROR(VLOOKUP(FN5,IN_Zugliste!$A$4:$F$2002,7,FALSE),"")</f>
        <v/>
      </c>
      <c r="FO304" t="str">
        <f>+IFERROR(VLOOKUP(FO5,IN_Zugliste!$A$4:$F$2002,7,FALSE),"")</f>
        <v/>
      </c>
      <c r="FP304" t="str">
        <f>+IFERROR(VLOOKUP(FP5,IN_Zugliste!$A$4:$F$2002,7,FALSE),"")</f>
        <v/>
      </c>
      <c r="FQ304" t="str">
        <f>+IFERROR(VLOOKUP(FQ5,IN_Zugliste!$A$4:$F$2002,7,FALSE),"")</f>
        <v/>
      </c>
      <c r="FR304" t="str">
        <f>+IFERROR(VLOOKUP(FR5,IN_Zugliste!$A$4:$F$2002,7,FALSE),"")</f>
        <v/>
      </c>
      <c r="FS304" t="str">
        <f>+IFERROR(VLOOKUP(FS5,IN_Zugliste!$A$4:$F$2002,7,FALSE),"")</f>
        <v/>
      </c>
      <c r="FT304" t="str">
        <f>+IFERROR(VLOOKUP(FT5,IN_Zugliste!$A$4:$F$2002,7,FALSE),"")</f>
        <v/>
      </c>
      <c r="FU304" t="str">
        <f>+IFERROR(VLOOKUP(FU5,IN_Zugliste!$A$4:$F$2002,7,FALSE),"")</f>
        <v/>
      </c>
      <c r="FV304" t="str">
        <f>+IFERROR(VLOOKUP(FV5,IN_Zugliste!$A$4:$F$2002,7,FALSE),"")</f>
        <v/>
      </c>
      <c r="FW304" t="str">
        <f>+IFERROR(VLOOKUP(FW5,IN_Zugliste!$A$4:$F$2002,7,FALSE),"")</f>
        <v/>
      </c>
      <c r="FX304" t="str">
        <f>+IFERROR(VLOOKUP(FX5,IN_Zugliste!$A$4:$F$2002,7,FALSE),"")</f>
        <v/>
      </c>
      <c r="FY304" t="str">
        <f>+IFERROR(VLOOKUP(FY5,IN_Zugliste!$A$4:$F$2002,7,FALSE),"")</f>
        <v/>
      </c>
      <c r="FZ304" t="str">
        <f>+IFERROR(VLOOKUP(FZ5,IN_Zugliste!$A$4:$F$2002,7,FALSE),"")</f>
        <v/>
      </c>
      <c r="GA304" t="str">
        <f>+IFERROR(VLOOKUP(GA5,IN_Zugliste!$A$4:$F$2002,7,FALSE),"")</f>
        <v/>
      </c>
      <c r="GB304" t="str">
        <f>+IFERROR(VLOOKUP(GB5,IN_Zugliste!$A$4:$F$2002,7,FALSE),"")</f>
        <v/>
      </c>
      <c r="GC304" t="str">
        <f>+IFERROR(VLOOKUP(GC5,IN_Zugliste!$A$4:$F$2002,7,FALSE),"")</f>
        <v/>
      </c>
      <c r="GD304" t="str">
        <f>+IFERROR(VLOOKUP(GD5,IN_Zugliste!$A$4:$F$2002,7,FALSE),"")</f>
        <v/>
      </c>
      <c r="GE304" t="str">
        <f>+IFERROR(VLOOKUP(GE5,IN_Zugliste!$A$4:$F$2002,7,FALSE),"")</f>
        <v/>
      </c>
      <c r="GF304" t="str">
        <f>+IFERROR(VLOOKUP(GF5,IN_Zugliste!$A$4:$F$2002,7,FALSE),"")</f>
        <v/>
      </c>
      <c r="GG304" t="str">
        <f>+IFERROR(VLOOKUP(GG5,IN_Zugliste!$A$4:$F$2002,7,FALSE),"")</f>
        <v/>
      </c>
      <c r="GH304" t="str">
        <f>+IFERROR(VLOOKUP(GH5,IN_Zugliste!$A$4:$F$2002,7,FALSE),"")</f>
        <v/>
      </c>
      <c r="GI304" t="str">
        <f>+IFERROR(VLOOKUP(GI5,IN_Zugliste!$A$4:$F$2002,7,FALSE),"")</f>
        <v/>
      </c>
      <c r="GJ304" t="str">
        <f>+IFERROR(VLOOKUP(GJ5,IN_Zugliste!$A$4:$F$2002,7,FALSE),"")</f>
        <v/>
      </c>
      <c r="GK304" t="str">
        <f>+IFERROR(VLOOKUP(GK5,IN_Zugliste!$A$4:$F$2002,7,FALSE),"")</f>
        <v/>
      </c>
      <c r="GL304" t="str">
        <f>+IFERROR(VLOOKUP(GL5,IN_Zugliste!$A$4:$F$2002,7,FALSE),"")</f>
        <v/>
      </c>
      <c r="GM304" t="str">
        <f>+IFERROR(VLOOKUP(GM5,IN_Zugliste!$A$4:$F$2002,7,FALSE),"")</f>
        <v/>
      </c>
      <c r="GN304" t="str">
        <f>+IFERROR(VLOOKUP(GN5,IN_Zugliste!$A$4:$F$2002,7,FALSE),"")</f>
        <v/>
      </c>
      <c r="GO304" t="str">
        <f>+IFERROR(VLOOKUP(GO5,IN_Zugliste!$A$4:$F$2002,7,FALSE),"")</f>
        <v/>
      </c>
      <c r="GP304" t="str">
        <f>+IFERROR(VLOOKUP(GP5,IN_Zugliste!$A$4:$F$2002,7,FALSE),"")</f>
        <v/>
      </c>
      <c r="GQ304" t="str">
        <f>+IFERROR(VLOOKUP(GQ5,IN_Zugliste!$A$4:$F$2002,7,FALSE),"")</f>
        <v/>
      </c>
      <c r="GR304" t="str">
        <f>+IFERROR(VLOOKUP(GR5,IN_Zugliste!$A$4:$F$2002,7,FALSE),"")</f>
        <v/>
      </c>
      <c r="GS304" t="str">
        <f>+IFERROR(VLOOKUP(GS5,IN_Zugliste!$A$4:$F$2002,7,FALSE),"")</f>
        <v/>
      </c>
      <c r="GT304" t="str">
        <f>+IFERROR(VLOOKUP(GT5,IN_Zugliste!$A$4:$F$2002,7,FALSE),"")</f>
        <v/>
      </c>
      <c r="GU304" t="str">
        <f>+IFERROR(VLOOKUP(GU5,IN_Zugliste!$A$4:$F$2002,7,FALSE),"")</f>
        <v/>
      </c>
      <c r="GV304" t="str">
        <f>+IFERROR(VLOOKUP(GV5,IN_Zugliste!$A$4:$F$2002,7,FALSE),"")</f>
        <v/>
      </c>
      <c r="GW304" t="str">
        <f>+IFERROR(VLOOKUP(GW5,IN_Zugliste!$A$4:$F$2002,7,FALSE),"")</f>
        <v/>
      </c>
      <c r="GX304" t="str">
        <f>+IFERROR(VLOOKUP(GX5,IN_Zugliste!$A$4:$F$2002,7,FALSE),"")</f>
        <v/>
      </c>
      <c r="GY304" t="str">
        <f>+IFERROR(VLOOKUP(GY5,IN_Zugliste!$A$4:$F$2002,7,FALSE),"")</f>
        <v/>
      </c>
      <c r="GZ304" t="str">
        <f>+IFERROR(VLOOKUP(GZ5,IN_Zugliste!$A$4:$F$2002,7,FALSE),"")</f>
        <v/>
      </c>
      <c r="HA304" t="str">
        <f>+IFERROR(VLOOKUP(HA5,IN_Zugliste!$A$4:$F$2002,7,FALSE),"")</f>
        <v/>
      </c>
      <c r="HB304" t="str">
        <f>+IFERROR(VLOOKUP(HB5,IN_Zugliste!$A$4:$F$2002,7,FALSE),"")</f>
        <v/>
      </c>
      <c r="HC304" t="str">
        <f>+IFERROR(VLOOKUP(HC5,IN_Zugliste!$A$4:$F$2002,7,FALSE),"")</f>
        <v/>
      </c>
      <c r="HD304" t="str">
        <f>+IFERROR(VLOOKUP(HD5,IN_Zugliste!$A$4:$F$2002,7,FALSE),"")</f>
        <v/>
      </c>
      <c r="HE304" t="str">
        <f>+IFERROR(VLOOKUP(HE5,IN_Zugliste!$A$4:$F$2002,7,FALSE),"")</f>
        <v/>
      </c>
      <c r="HF304" t="str">
        <f>+IFERROR(VLOOKUP(HF5,IN_Zugliste!$A$4:$F$2002,7,FALSE),"")</f>
        <v/>
      </c>
      <c r="HG304" t="str">
        <f>+IFERROR(VLOOKUP(HG5,IN_Zugliste!$A$4:$F$2002,7,FALSE),"")</f>
        <v/>
      </c>
      <c r="HH304" t="str">
        <f>+IFERROR(VLOOKUP(HH5,IN_Zugliste!$A$4:$F$2002,7,FALSE),"")</f>
        <v/>
      </c>
      <c r="HI304" t="str">
        <f>+IFERROR(VLOOKUP(HI5,IN_Zugliste!$A$4:$F$2002,7,FALSE),"")</f>
        <v/>
      </c>
      <c r="HJ304" t="str">
        <f>+IFERROR(VLOOKUP(HJ5,IN_Zugliste!$A$4:$F$2002,7,FALSE),"")</f>
        <v/>
      </c>
      <c r="HK304" t="str">
        <f>+IFERROR(VLOOKUP(HK5,IN_Zugliste!$A$4:$F$2002,7,FALSE),"")</f>
        <v/>
      </c>
      <c r="HL304" t="str">
        <f>+IFERROR(VLOOKUP(HL5,IN_Zugliste!$A$4:$F$2002,7,FALSE),"")</f>
        <v/>
      </c>
      <c r="HM304" t="str">
        <f>+IFERROR(VLOOKUP(HM5,IN_Zugliste!$A$4:$F$2002,7,FALSE),"")</f>
        <v/>
      </c>
      <c r="HN304" t="str">
        <f>+IFERROR(VLOOKUP(HN5,IN_Zugliste!$A$4:$F$2002,7,FALSE),"")</f>
        <v/>
      </c>
      <c r="HO304" t="str">
        <f>+IFERROR(VLOOKUP(HO5,IN_Zugliste!$A$4:$F$2002,7,FALSE),"")</f>
        <v/>
      </c>
      <c r="HP304" t="str">
        <f>+IFERROR(VLOOKUP(HP5,IN_Zugliste!$A$4:$F$2002,7,FALSE),"")</f>
        <v/>
      </c>
      <c r="HQ304" t="str">
        <f>+IFERROR(VLOOKUP(HQ5,IN_Zugliste!$A$4:$F$2002,7,FALSE),"")</f>
        <v/>
      </c>
      <c r="HR304" t="str">
        <f>+IFERROR(VLOOKUP(HR5,IN_Zugliste!$A$4:$F$2002,7,FALSE),"")</f>
        <v/>
      </c>
      <c r="HS304" t="str">
        <f>+IFERROR(VLOOKUP(HS5,IN_Zugliste!$A$4:$F$2002,7,FALSE),"")</f>
        <v/>
      </c>
      <c r="HT304" t="str">
        <f>+IFERROR(VLOOKUP(HT5,IN_Zugliste!$A$4:$F$2002,7,FALSE),"")</f>
        <v/>
      </c>
      <c r="HU304" t="str">
        <f>+IFERROR(VLOOKUP(HU5,IN_Zugliste!$A$4:$F$2002,7,FALSE),"")</f>
        <v/>
      </c>
      <c r="HV304" t="str">
        <f>+IFERROR(VLOOKUP(HV5,IN_Zugliste!$A$4:$F$2002,7,FALSE),"")</f>
        <v/>
      </c>
      <c r="HW304" t="str">
        <f>+IFERROR(VLOOKUP(HW5,IN_Zugliste!$A$4:$F$2002,7,FALSE),"")</f>
        <v/>
      </c>
      <c r="HX304" t="str">
        <f>+IFERROR(VLOOKUP(HX5,IN_Zugliste!$A$4:$F$2002,7,FALSE),"")</f>
        <v/>
      </c>
      <c r="HY304" t="str">
        <f>+IFERROR(VLOOKUP(HY5,IN_Zugliste!$A$4:$F$2002,7,FALSE),"")</f>
        <v/>
      </c>
      <c r="HZ304" t="str">
        <f>+IFERROR(VLOOKUP(HZ5,IN_Zugliste!$A$4:$F$2002,7,FALSE),"")</f>
        <v/>
      </c>
      <c r="IA304" t="str">
        <f>+IFERROR(VLOOKUP(IA5,IN_Zugliste!$A$4:$F$2002,7,FALSE),"")</f>
        <v/>
      </c>
      <c r="IB304" t="str">
        <f>+IFERROR(VLOOKUP(IB5,IN_Zugliste!$A$4:$F$2002,7,FALSE),"")</f>
        <v/>
      </c>
      <c r="IC304" t="str">
        <f>+IFERROR(VLOOKUP(IC5,IN_Zugliste!$A$4:$F$2002,7,FALSE),"")</f>
        <v/>
      </c>
      <c r="ID304" t="str">
        <f>+IFERROR(VLOOKUP(ID5,IN_Zugliste!$A$4:$F$2002,7,FALSE),"")</f>
        <v/>
      </c>
      <c r="IE304" t="str">
        <f>+IFERROR(VLOOKUP(IE5,IN_Zugliste!$A$4:$F$2002,7,FALSE),"")</f>
        <v/>
      </c>
      <c r="IF304" t="str">
        <f>+IFERROR(VLOOKUP(IF5,IN_Zugliste!$A$4:$F$2002,7,FALSE),"")</f>
        <v/>
      </c>
      <c r="IG304" t="str">
        <f>+IFERROR(VLOOKUP(IG5,IN_Zugliste!$A$4:$F$2002,7,FALSE),"")</f>
        <v/>
      </c>
      <c r="IH304" t="str">
        <f>+IFERROR(VLOOKUP(IH5,IN_Zugliste!$A$4:$F$2002,7,FALSE),"")</f>
        <v/>
      </c>
      <c r="II304" t="str">
        <f>+IFERROR(VLOOKUP(II5,IN_Zugliste!$A$4:$F$2002,7,FALSE),"")</f>
        <v/>
      </c>
      <c r="IJ304" t="str">
        <f>+IFERROR(VLOOKUP(IJ5,IN_Zugliste!$A$4:$F$2002,7,FALSE),"")</f>
        <v/>
      </c>
      <c r="IK304" t="str">
        <f>+IFERROR(VLOOKUP(IK5,IN_Zugliste!$A$4:$F$2002,7,FALSE),"")</f>
        <v/>
      </c>
      <c r="IL304" t="str">
        <f>+IFERROR(VLOOKUP(IL5,IN_Zugliste!$A$4:$F$2002,7,FALSE),"")</f>
        <v/>
      </c>
      <c r="IM304" t="str">
        <f>+IFERROR(VLOOKUP(IM5,IN_Zugliste!$A$4:$F$2002,7,FALSE),"")</f>
        <v/>
      </c>
      <c r="IN304" t="str">
        <f>+IFERROR(VLOOKUP(IN5,IN_Zugliste!$A$4:$F$2002,7,FALSE),"")</f>
        <v/>
      </c>
      <c r="IO304" t="str">
        <f>+IFERROR(VLOOKUP(IO5,IN_Zugliste!$A$4:$F$2002,7,FALSE),"")</f>
        <v/>
      </c>
      <c r="IP304" t="str">
        <f>+IFERROR(VLOOKUP(IP5,IN_Zugliste!$A$4:$F$2002,7,FALSE),"")</f>
        <v/>
      </c>
      <c r="IQ304" t="str">
        <f>+IFERROR(VLOOKUP(IQ5,IN_Zugliste!$A$4:$F$2002,7,FALSE),"")</f>
        <v/>
      </c>
      <c r="IR304" t="str">
        <f>+IFERROR(VLOOKUP(IR5,IN_Zugliste!$A$4:$F$2002,7,FALSE),"")</f>
        <v/>
      </c>
      <c r="IS304" t="str">
        <f>+IFERROR(VLOOKUP(IS5,IN_Zugliste!$A$4:$F$2002,7,FALSE),"")</f>
        <v/>
      </c>
      <c r="IT304" t="str">
        <f>+IFERROR(VLOOKUP(IT5,IN_Zugliste!$A$4:$F$2002,7,FALSE),"")</f>
        <v/>
      </c>
      <c r="IU304" t="str">
        <f>+IFERROR(VLOOKUP(IU5,IN_Zugliste!$A$4:$F$2002,7,FALSE),"")</f>
        <v/>
      </c>
      <c r="IV304" t="str">
        <f>+IFERROR(VLOOKUP(IV5,IN_Zugliste!$A$4:$F$2002,7,FALSE),"")</f>
        <v/>
      </c>
      <c r="IW304" t="str">
        <f>+IFERROR(VLOOKUP(IW5,IN_Zugliste!$A$4:$F$2002,7,FALSE),"")</f>
        <v/>
      </c>
      <c r="IX304" t="str">
        <f>+IFERROR(VLOOKUP(IX5,IN_Zugliste!$A$4:$F$2002,7,FALSE),"")</f>
        <v/>
      </c>
      <c r="IY304" t="str">
        <f>+IFERROR(VLOOKUP(IY5,IN_Zugliste!$A$4:$F$2002,7,FALSE),"")</f>
        <v/>
      </c>
      <c r="IZ304" t="str">
        <f>+IFERROR(VLOOKUP(IZ5,IN_Zugliste!$A$4:$F$2002,7,FALSE),"")</f>
        <v/>
      </c>
      <c r="JA304" t="str">
        <f>+IFERROR(VLOOKUP(JA5,IN_Zugliste!$A$4:$F$2002,7,FALSE),"")</f>
        <v/>
      </c>
      <c r="JB304" t="str">
        <f>+IFERROR(VLOOKUP(JB5,IN_Zugliste!$A$4:$F$2002,7,FALSE),"")</f>
        <v/>
      </c>
      <c r="JC304" t="str">
        <f>+IFERROR(VLOOKUP(JC5,IN_Zugliste!$A$4:$F$2002,7,FALSE),"")</f>
        <v/>
      </c>
      <c r="JD304" t="str">
        <f>+IFERROR(VLOOKUP(JD5,IN_Zugliste!$A$4:$F$2002,7,FALSE),"")</f>
        <v/>
      </c>
      <c r="JE304" t="str">
        <f>+IFERROR(VLOOKUP(JE5,IN_Zugliste!$A$4:$F$2002,7,FALSE),"")</f>
        <v/>
      </c>
      <c r="JF304" t="str">
        <f>+IFERROR(VLOOKUP(JF5,IN_Zugliste!$A$4:$F$2002,7,FALSE),"")</f>
        <v/>
      </c>
      <c r="JG304" t="str">
        <f>+IFERROR(VLOOKUP(JG5,IN_Zugliste!$A$4:$F$2002,7,FALSE),"")</f>
        <v/>
      </c>
      <c r="JH304" t="str">
        <f>+IFERROR(VLOOKUP(JH5,IN_Zugliste!$A$4:$F$2002,7,FALSE),"")</f>
        <v/>
      </c>
      <c r="JI304" t="str">
        <f>+IFERROR(VLOOKUP(JI5,IN_Zugliste!$A$4:$F$2002,7,FALSE),"")</f>
        <v/>
      </c>
      <c r="JJ304" t="str">
        <f>+IFERROR(VLOOKUP(JJ5,IN_Zugliste!$A$4:$F$2002,7,FALSE),"")</f>
        <v/>
      </c>
    </row>
    <row r="305" spans="1:270" x14ac:dyDescent="0.2">
      <c r="A305" t="str">
        <f>+IFERROR(VLOOKUP(A6,IN_Zugliste!$A$4:$F$2002,7,FALSE),"")</f>
        <v/>
      </c>
      <c r="B305" t="str">
        <f>+IFERROR(VLOOKUP(B6,IN_Zugliste!$A$4:$F$2002,7,FALSE),"")</f>
        <v/>
      </c>
      <c r="C305" t="str">
        <f>+IFERROR(VLOOKUP(C6,IN_Zugliste!$A$4:$F$2002,7,FALSE),"")</f>
        <v/>
      </c>
      <c r="D305" t="str">
        <f>+IFERROR(VLOOKUP(D6,IN_Zugliste!$A$4:$F$2002,7,FALSE),"")</f>
        <v/>
      </c>
      <c r="E305" t="str">
        <f>+IFERROR(VLOOKUP(E6,IN_Zugliste!$A$4:$F$2002,7,FALSE),"")</f>
        <v/>
      </c>
      <c r="F305" t="str">
        <f>+IFERROR(VLOOKUP(F6,IN_Zugliste!$A$4:$F$2002,7,FALSE),"")</f>
        <v/>
      </c>
      <c r="G305" t="str">
        <f>+IFERROR(VLOOKUP(G6,IN_Zugliste!$A$4:$F$2002,7,FALSE),"")</f>
        <v/>
      </c>
      <c r="H305" t="str">
        <f>+IFERROR(VLOOKUP(H6,IN_Zugliste!$A$4:$F$2002,7,FALSE),"")</f>
        <v/>
      </c>
      <c r="I305" t="str">
        <f>+IFERROR(VLOOKUP(I6,IN_Zugliste!$A$4:$F$2002,7,FALSE),"")</f>
        <v/>
      </c>
      <c r="J305" t="str">
        <f>+IFERROR(VLOOKUP(J6,IN_Zugliste!$A$4:$F$2002,7,FALSE),"")</f>
        <v/>
      </c>
      <c r="K305" t="str">
        <f>+IFERROR(VLOOKUP(K6,IN_Zugliste!$A$4:$F$2002,7,FALSE),"")</f>
        <v/>
      </c>
      <c r="L305" t="str">
        <f>+IFERROR(VLOOKUP(L6,IN_Zugliste!$A$4:$F$2002,7,FALSE),"")</f>
        <v/>
      </c>
      <c r="M305" t="str">
        <f>+IFERROR(VLOOKUP(M6,IN_Zugliste!$A$4:$F$2002,7,FALSE),"")</f>
        <v/>
      </c>
      <c r="N305" t="str">
        <f>+IFERROR(VLOOKUP(N6,IN_Zugliste!$A$4:$F$2002,7,FALSE),"")</f>
        <v/>
      </c>
      <c r="O305" t="str">
        <f>+IFERROR(VLOOKUP(O6,IN_Zugliste!$A$4:$F$2002,7,FALSE),"")</f>
        <v/>
      </c>
      <c r="P305" t="str">
        <f>+IFERROR(VLOOKUP(P6,IN_Zugliste!$A$4:$F$2002,7,FALSE),"")</f>
        <v/>
      </c>
      <c r="Q305" t="str">
        <f>+IFERROR(VLOOKUP(Q6,IN_Zugliste!$A$4:$F$2002,7,FALSE),"")</f>
        <v/>
      </c>
      <c r="R305" t="str">
        <f>+IFERROR(VLOOKUP(R6,IN_Zugliste!$A$4:$F$2002,7,FALSE),"")</f>
        <v/>
      </c>
      <c r="S305" t="str">
        <f>+IFERROR(VLOOKUP(S6,IN_Zugliste!$A$4:$F$2002,7,FALSE),"")</f>
        <v/>
      </c>
      <c r="T305" t="str">
        <f>+IFERROR(VLOOKUP(T6,IN_Zugliste!$A$4:$F$2002,7,FALSE),"")</f>
        <v/>
      </c>
      <c r="U305" t="str">
        <f>+IFERROR(VLOOKUP(U6,IN_Zugliste!$A$4:$F$2002,7,FALSE),"")</f>
        <v/>
      </c>
      <c r="V305" t="str">
        <f>+IFERROR(VLOOKUP(V6,IN_Zugliste!$A$4:$F$2002,7,FALSE),"")</f>
        <v/>
      </c>
      <c r="W305" t="str">
        <f>+IFERROR(VLOOKUP(W6,IN_Zugliste!$A$4:$F$2002,7,FALSE),"")</f>
        <v/>
      </c>
      <c r="X305" t="str">
        <f>+IFERROR(VLOOKUP(X6,IN_Zugliste!$A$4:$F$2002,7,FALSE),"")</f>
        <v/>
      </c>
      <c r="Y305" t="str">
        <f>+IFERROR(VLOOKUP(Y6,IN_Zugliste!$A$4:$F$2002,7,FALSE),"")</f>
        <v/>
      </c>
      <c r="Z305" t="str">
        <f>+IFERROR(VLOOKUP(Z6,IN_Zugliste!$A$4:$F$2002,7,FALSE),"")</f>
        <v/>
      </c>
      <c r="AA305" t="str">
        <f>+IFERROR(VLOOKUP(AA6,IN_Zugliste!$A$4:$F$2002,7,FALSE),"")</f>
        <v/>
      </c>
      <c r="AB305" t="str">
        <f>+IFERROR(VLOOKUP(AB6,IN_Zugliste!$A$4:$F$2002,7,FALSE),"")</f>
        <v/>
      </c>
      <c r="AC305" t="str">
        <f>+IFERROR(VLOOKUP(AC6,IN_Zugliste!$A$4:$F$2002,7,FALSE),"")</f>
        <v/>
      </c>
      <c r="AD305" t="str">
        <f>+IFERROR(VLOOKUP(AD6,IN_Zugliste!$A$4:$F$2002,7,FALSE),"")</f>
        <v/>
      </c>
      <c r="AE305" t="str">
        <f>+IFERROR(VLOOKUP(AE6,IN_Zugliste!$A$4:$F$2002,7,FALSE),"")</f>
        <v/>
      </c>
      <c r="AF305" t="str">
        <f>+IFERROR(VLOOKUP(AF6,IN_Zugliste!$A$4:$F$2002,7,FALSE),"")</f>
        <v/>
      </c>
      <c r="AG305" t="str">
        <f>+IFERROR(VLOOKUP(AG6,IN_Zugliste!$A$4:$F$2002,7,FALSE),"")</f>
        <v/>
      </c>
      <c r="AH305" t="str">
        <f>+IFERROR(VLOOKUP(AH6,IN_Zugliste!$A$4:$F$2002,7,FALSE),"")</f>
        <v/>
      </c>
      <c r="AI305" t="str">
        <f>+IFERROR(VLOOKUP(AI6,IN_Zugliste!$A$4:$F$2002,7,FALSE),"")</f>
        <v/>
      </c>
      <c r="AJ305" t="str">
        <f>+IFERROR(VLOOKUP(AJ6,IN_Zugliste!$A$4:$F$2002,7,FALSE),"")</f>
        <v/>
      </c>
      <c r="AK305" t="str">
        <f>+IFERROR(VLOOKUP(AK6,IN_Zugliste!$A$4:$F$2002,7,FALSE),"")</f>
        <v/>
      </c>
      <c r="AL305" t="str">
        <f>+IFERROR(VLOOKUP(AL6,IN_Zugliste!$A$4:$F$2002,7,FALSE),"")</f>
        <v/>
      </c>
      <c r="AM305" t="str">
        <f>+IFERROR(VLOOKUP(AM6,IN_Zugliste!$A$4:$F$2002,7,FALSE),"")</f>
        <v/>
      </c>
      <c r="AN305" t="str">
        <f>+IFERROR(VLOOKUP(AN6,IN_Zugliste!$A$4:$F$2002,7,FALSE),"")</f>
        <v/>
      </c>
      <c r="AO305" t="str">
        <f>+IFERROR(VLOOKUP(AO6,IN_Zugliste!$A$4:$F$2002,7,FALSE),"")</f>
        <v/>
      </c>
      <c r="AP305" t="str">
        <f>+IFERROR(VLOOKUP(AP6,IN_Zugliste!$A$4:$F$2002,7,FALSE),"")</f>
        <v/>
      </c>
      <c r="AQ305" t="str">
        <f>+IFERROR(VLOOKUP(AQ6,IN_Zugliste!$A$4:$F$2002,7,FALSE),"")</f>
        <v/>
      </c>
      <c r="AR305" t="str">
        <f>+IFERROR(VLOOKUP(AR6,IN_Zugliste!$A$4:$F$2002,7,FALSE),"")</f>
        <v/>
      </c>
      <c r="AS305" t="str">
        <f>+IFERROR(VLOOKUP(AS6,IN_Zugliste!$A$4:$F$2002,7,FALSE),"")</f>
        <v/>
      </c>
      <c r="AT305" t="str">
        <f>+IFERROR(VLOOKUP(AT6,IN_Zugliste!$A$4:$F$2002,7,FALSE),"")</f>
        <v/>
      </c>
      <c r="AU305" t="str">
        <f>+IFERROR(VLOOKUP(AU6,IN_Zugliste!$A$4:$F$2002,7,FALSE),"")</f>
        <v/>
      </c>
      <c r="AV305" t="str">
        <f>+IFERROR(VLOOKUP(AV6,IN_Zugliste!$A$4:$F$2002,7,FALSE),"")</f>
        <v/>
      </c>
      <c r="AW305" t="str">
        <f>+IFERROR(VLOOKUP(AW6,IN_Zugliste!$A$4:$F$2002,7,FALSE),"")</f>
        <v/>
      </c>
      <c r="AX305" t="str">
        <f>+IFERROR(VLOOKUP(AX6,IN_Zugliste!$A$4:$F$2002,7,FALSE),"")</f>
        <v/>
      </c>
      <c r="AY305" t="str">
        <f>+IFERROR(VLOOKUP(AY6,IN_Zugliste!$A$4:$F$2002,7,FALSE),"")</f>
        <v/>
      </c>
      <c r="AZ305" t="str">
        <f>+IFERROR(VLOOKUP(AZ6,IN_Zugliste!$A$4:$F$2002,7,FALSE),"")</f>
        <v/>
      </c>
      <c r="BA305" t="str">
        <f>+IFERROR(VLOOKUP(BA6,IN_Zugliste!$A$4:$F$2002,7,FALSE),"")</f>
        <v/>
      </c>
      <c r="BB305" t="str">
        <f>+IFERROR(VLOOKUP(BB6,IN_Zugliste!$A$4:$F$2002,7,FALSE),"")</f>
        <v/>
      </c>
      <c r="BC305" t="str">
        <f>+IFERROR(VLOOKUP(BC6,IN_Zugliste!$A$4:$F$2002,7,FALSE),"")</f>
        <v/>
      </c>
      <c r="BD305" t="str">
        <f>+IFERROR(VLOOKUP(BD6,IN_Zugliste!$A$4:$F$2002,7,FALSE),"")</f>
        <v/>
      </c>
      <c r="BE305" t="str">
        <f>+IFERROR(VLOOKUP(BE6,IN_Zugliste!$A$4:$F$2002,7,FALSE),"")</f>
        <v/>
      </c>
      <c r="BF305" t="str">
        <f>+IFERROR(VLOOKUP(BF6,IN_Zugliste!$A$4:$F$2002,7,FALSE),"")</f>
        <v/>
      </c>
      <c r="BG305" t="str">
        <f>+IFERROR(VLOOKUP(BG6,IN_Zugliste!$A$4:$F$2002,7,FALSE),"")</f>
        <v/>
      </c>
      <c r="BH305" t="str">
        <f>+IFERROR(VLOOKUP(BH6,IN_Zugliste!$A$4:$F$2002,7,FALSE),"")</f>
        <v/>
      </c>
      <c r="BI305" t="str">
        <f>+IFERROR(VLOOKUP(BI6,IN_Zugliste!$A$4:$F$2002,7,FALSE),"")</f>
        <v/>
      </c>
      <c r="BJ305" t="str">
        <f>+IFERROR(VLOOKUP(BJ6,IN_Zugliste!$A$4:$F$2002,7,FALSE),"")</f>
        <v/>
      </c>
      <c r="BK305" t="str">
        <f>+IFERROR(VLOOKUP(BK6,IN_Zugliste!$A$4:$F$2002,7,FALSE),"")</f>
        <v/>
      </c>
      <c r="BL305" t="str">
        <f>+IFERROR(VLOOKUP(BL6,IN_Zugliste!$A$4:$F$2002,7,FALSE),"")</f>
        <v/>
      </c>
      <c r="BM305" t="str">
        <f>+IFERROR(VLOOKUP(BM6,IN_Zugliste!$A$4:$F$2002,7,FALSE),"")</f>
        <v/>
      </c>
      <c r="BN305" t="str">
        <f>+IFERROR(VLOOKUP(BN6,IN_Zugliste!$A$4:$F$2002,7,FALSE),"")</f>
        <v/>
      </c>
      <c r="BO305" t="str">
        <f>+IFERROR(VLOOKUP(BO6,IN_Zugliste!$A$4:$F$2002,7,FALSE),"")</f>
        <v/>
      </c>
      <c r="BP305" t="str">
        <f>+IFERROR(VLOOKUP(BP6,IN_Zugliste!$A$4:$F$2002,7,FALSE),"")</f>
        <v/>
      </c>
      <c r="BQ305" t="str">
        <f>+IFERROR(VLOOKUP(BQ6,IN_Zugliste!$A$4:$F$2002,7,FALSE),"")</f>
        <v/>
      </c>
      <c r="BR305" t="str">
        <f>+IFERROR(VLOOKUP(BR6,IN_Zugliste!$A$4:$F$2002,7,FALSE),"")</f>
        <v/>
      </c>
      <c r="BS305" t="str">
        <f>+IFERROR(VLOOKUP(BS6,IN_Zugliste!$A$4:$F$2002,7,FALSE),"")</f>
        <v/>
      </c>
      <c r="BT305" t="str">
        <f>+IFERROR(VLOOKUP(BT6,IN_Zugliste!$A$4:$F$2002,7,FALSE),"")</f>
        <v/>
      </c>
      <c r="BU305" t="str">
        <f>+IFERROR(VLOOKUP(BU6,IN_Zugliste!$A$4:$F$2002,7,FALSE),"")</f>
        <v/>
      </c>
      <c r="BV305" t="str">
        <f>+IFERROR(VLOOKUP(BV6,IN_Zugliste!$A$4:$F$2002,7,FALSE),"")</f>
        <v/>
      </c>
      <c r="BW305" t="str">
        <f>+IFERROR(VLOOKUP(BW6,IN_Zugliste!$A$4:$F$2002,7,FALSE),"")</f>
        <v/>
      </c>
      <c r="BX305" t="str">
        <f>+IFERROR(VLOOKUP(BX6,IN_Zugliste!$A$4:$F$2002,7,FALSE),"")</f>
        <v/>
      </c>
      <c r="BY305" t="str">
        <f>+IFERROR(VLOOKUP(BY6,IN_Zugliste!$A$4:$F$2002,7,FALSE),"")</f>
        <v/>
      </c>
      <c r="BZ305" t="str">
        <f>+IFERROR(VLOOKUP(BZ6,IN_Zugliste!$A$4:$F$2002,7,FALSE),"")</f>
        <v/>
      </c>
      <c r="CA305" t="str">
        <f>+IFERROR(VLOOKUP(CA6,IN_Zugliste!$A$4:$F$2002,7,FALSE),"")</f>
        <v/>
      </c>
      <c r="CB305" t="str">
        <f>+IFERROR(VLOOKUP(CB6,IN_Zugliste!$A$4:$F$2002,7,FALSE),"")</f>
        <v/>
      </c>
      <c r="CC305" t="str">
        <f>+IFERROR(VLOOKUP(CC6,IN_Zugliste!$A$4:$F$2002,7,FALSE),"")</f>
        <v/>
      </c>
      <c r="CD305" t="str">
        <f>+IFERROR(VLOOKUP(CD6,IN_Zugliste!$A$4:$F$2002,7,FALSE),"")</f>
        <v/>
      </c>
      <c r="CE305" t="str">
        <f>+IFERROR(VLOOKUP(CE6,IN_Zugliste!$A$4:$F$2002,7,FALSE),"")</f>
        <v/>
      </c>
      <c r="CF305" t="str">
        <f>+IFERROR(VLOOKUP(CF6,IN_Zugliste!$A$4:$F$2002,7,FALSE),"")</f>
        <v/>
      </c>
      <c r="CG305" t="str">
        <f>+IFERROR(VLOOKUP(CG6,IN_Zugliste!$A$4:$F$2002,7,FALSE),"")</f>
        <v/>
      </c>
      <c r="CH305" t="str">
        <f>+IFERROR(VLOOKUP(CH6,IN_Zugliste!$A$4:$F$2002,7,FALSE),"")</f>
        <v/>
      </c>
      <c r="CI305" t="str">
        <f>+IFERROR(VLOOKUP(CI6,IN_Zugliste!$A$4:$F$2002,7,FALSE),"")</f>
        <v/>
      </c>
      <c r="CJ305" t="str">
        <f>+IFERROR(VLOOKUP(CJ6,IN_Zugliste!$A$4:$F$2002,7,FALSE),"")</f>
        <v/>
      </c>
      <c r="CK305" t="str">
        <f>+IFERROR(VLOOKUP(CK6,IN_Zugliste!$A$4:$F$2002,7,FALSE),"")</f>
        <v/>
      </c>
      <c r="CL305" t="str">
        <f>+IFERROR(VLOOKUP(CL6,IN_Zugliste!$A$4:$F$2002,7,FALSE),"")</f>
        <v/>
      </c>
      <c r="CM305" t="str">
        <f>+IFERROR(VLOOKUP(CM6,IN_Zugliste!$A$4:$F$2002,7,FALSE),"")</f>
        <v/>
      </c>
      <c r="CN305" t="str">
        <f>+IFERROR(VLOOKUP(CN6,IN_Zugliste!$A$4:$F$2002,7,FALSE),"")</f>
        <v/>
      </c>
      <c r="CO305" t="str">
        <f>+IFERROR(VLOOKUP(CO6,IN_Zugliste!$A$4:$F$2002,7,FALSE),"")</f>
        <v/>
      </c>
      <c r="CP305" t="str">
        <f>+IFERROR(VLOOKUP(CP6,IN_Zugliste!$A$4:$F$2002,7,FALSE),"")</f>
        <v/>
      </c>
      <c r="CQ305" t="str">
        <f>+IFERROR(VLOOKUP(CQ6,IN_Zugliste!$A$4:$F$2002,7,FALSE),"")</f>
        <v/>
      </c>
      <c r="CR305" t="str">
        <f>+IFERROR(VLOOKUP(CR6,IN_Zugliste!$A$4:$F$2002,7,FALSE),"")</f>
        <v/>
      </c>
      <c r="CS305" t="str">
        <f>+IFERROR(VLOOKUP(CS6,IN_Zugliste!$A$4:$F$2002,7,FALSE),"")</f>
        <v/>
      </c>
      <c r="CT305" t="str">
        <f>+IFERROR(VLOOKUP(CT6,IN_Zugliste!$A$4:$F$2002,7,FALSE),"")</f>
        <v/>
      </c>
      <c r="CU305" t="str">
        <f>+IFERROR(VLOOKUP(CU6,IN_Zugliste!$A$4:$F$2002,7,FALSE),"")</f>
        <v/>
      </c>
      <c r="CV305" t="str">
        <f>+IFERROR(VLOOKUP(CV6,IN_Zugliste!$A$4:$F$2002,7,FALSE),"")</f>
        <v/>
      </c>
      <c r="CW305" t="str">
        <f>+IFERROR(VLOOKUP(CW6,IN_Zugliste!$A$4:$F$2002,7,FALSE),"")</f>
        <v/>
      </c>
      <c r="CX305" t="str">
        <f>+IFERROR(VLOOKUP(CX6,IN_Zugliste!$A$4:$F$2002,7,FALSE),"")</f>
        <v/>
      </c>
      <c r="CY305" t="str">
        <f>+IFERROR(VLOOKUP(CY6,IN_Zugliste!$A$4:$F$2002,7,FALSE),"")</f>
        <v/>
      </c>
      <c r="CZ305" t="str">
        <f>+IFERROR(VLOOKUP(CZ6,IN_Zugliste!$A$4:$F$2002,7,FALSE),"")</f>
        <v/>
      </c>
      <c r="DA305" t="str">
        <f>+IFERROR(VLOOKUP(DA6,IN_Zugliste!$A$4:$F$2002,7,FALSE),"")</f>
        <v/>
      </c>
      <c r="DB305" t="str">
        <f>+IFERROR(VLOOKUP(DB6,IN_Zugliste!$A$4:$F$2002,7,FALSE),"")</f>
        <v/>
      </c>
      <c r="DC305" t="str">
        <f>+IFERROR(VLOOKUP(DC6,IN_Zugliste!$A$4:$F$2002,7,FALSE),"")</f>
        <v/>
      </c>
      <c r="DD305" t="str">
        <f>+IFERROR(VLOOKUP(DD6,IN_Zugliste!$A$4:$F$2002,7,FALSE),"")</f>
        <v/>
      </c>
      <c r="DE305" t="str">
        <f>+IFERROR(VLOOKUP(DE6,IN_Zugliste!$A$4:$F$2002,7,FALSE),"")</f>
        <v/>
      </c>
      <c r="DF305" t="str">
        <f>+IFERROR(VLOOKUP(DF6,IN_Zugliste!$A$4:$F$2002,7,FALSE),"")</f>
        <v/>
      </c>
      <c r="DG305" t="str">
        <f>+IFERROR(VLOOKUP(DG6,IN_Zugliste!$A$4:$F$2002,7,FALSE),"")</f>
        <v/>
      </c>
      <c r="DH305" t="str">
        <f>+IFERROR(VLOOKUP(DH6,IN_Zugliste!$A$4:$F$2002,7,FALSE),"")</f>
        <v/>
      </c>
      <c r="DI305" t="str">
        <f>+IFERROR(VLOOKUP(DI6,IN_Zugliste!$A$4:$F$2002,7,FALSE),"")</f>
        <v/>
      </c>
      <c r="DJ305" t="str">
        <f>+IFERROR(VLOOKUP(DJ6,IN_Zugliste!$A$4:$F$2002,7,FALSE),"")</f>
        <v/>
      </c>
      <c r="DK305" t="str">
        <f>+IFERROR(VLOOKUP(DK6,IN_Zugliste!$A$4:$F$2002,7,FALSE),"")</f>
        <v/>
      </c>
      <c r="DL305" t="str">
        <f>+IFERROR(VLOOKUP(DL6,IN_Zugliste!$A$4:$F$2002,7,FALSE),"")</f>
        <v/>
      </c>
      <c r="DM305" t="str">
        <f>+IFERROR(VLOOKUP(DM6,IN_Zugliste!$A$4:$F$2002,7,FALSE),"")</f>
        <v/>
      </c>
      <c r="DN305" t="str">
        <f>+IFERROR(VLOOKUP(DN6,IN_Zugliste!$A$4:$F$2002,7,FALSE),"")</f>
        <v/>
      </c>
      <c r="DO305" t="str">
        <f>+IFERROR(VLOOKUP(DO6,IN_Zugliste!$A$4:$F$2002,7,FALSE),"")</f>
        <v/>
      </c>
      <c r="DP305" t="str">
        <f>+IFERROR(VLOOKUP(DP6,IN_Zugliste!$A$4:$F$2002,7,FALSE),"")</f>
        <v/>
      </c>
      <c r="DQ305" t="str">
        <f>+IFERROR(VLOOKUP(DQ6,IN_Zugliste!$A$4:$F$2002,7,FALSE),"")</f>
        <v/>
      </c>
      <c r="DR305" t="str">
        <f>+IFERROR(VLOOKUP(DR6,IN_Zugliste!$A$4:$F$2002,7,FALSE),"")</f>
        <v/>
      </c>
      <c r="DS305" t="str">
        <f>+IFERROR(VLOOKUP(DS6,IN_Zugliste!$A$4:$F$2002,7,FALSE),"")</f>
        <v/>
      </c>
      <c r="DT305" t="str">
        <f>+IFERROR(VLOOKUP(DT6,IN_Zugliste!$A$4:$F$2002,7,FALSE),"")</f>
        <v/>
      </c>
      <c r="DU305" t="str">
        <f>+IFERROR(VLOOKUP(DU6,IN_Zugliste!$A$4:$F$2002,7,FALSE),"")</f>
        <v/>
      </c>
      <c r="DV305" t="str">
        <f>+IFERROR(VLOOKUP(DV6,IN_Zugliste!$A$4:$F$2002,7,FALSE),"")</f>
        <v/>
      </c>
      <c r="DW305" t="str">
        <f>+IFERROR(VLOOKUP(DW6,IN_Zugliste!$A$4:$F$2002,7,FALSE),"")</f>
        <v/>
      </c>
      <c r="DX305" t="str">
        <f>+IFERROR(VLOOKUP(DX6,IN_Zugliste!$A$4:$F$2002,7,FALSE),"")</f>
        <v/>
      </c>
      <c r="DY305" t="str">
        <f>+IFERROR(VLOOKUP(DY6,IN_Zugliste!$A$4:$F$2002,7,FALSE),"")</f>
        <v/>
      </c>
      <c r="DZ305" t="str">
        <f>+IFERROR(VLOOKUP(DZ6,IN_Zugliste!$A$4:$F$2002,7,FALSE),"")</f>
        <v/>
      </c>
      <c r="EA305" t="str">
        <f>+IFERROR(VLOOKUP(EA6,IN_Zugliste!$A$4:$F$2002,7,FALSE),"")</f>
        <v/>
      </c>
      <c r="EB305" t="str">
        <f>+IFERROR(VLOOKUP(EB6,IN_Zugliste!$A$4:$F$2002,7,FALSE),"")</f>
        <v/>
      </c>
      <c r="EC305" t="str">
        <f>+IFERROR(VLOOKUP(EC6,IN_Zugliste!$A$4:$F$2002,7,FALSE),"")</f>
        <v/>
      </c>
      <c r="ED305" t="str">
        <f>+IFERROR(VLOOKUP(ED6,IN_Zugliste!$A$4:$F$2002,7,FALSE),"")</f>
        <v/>
      </c>
      <c r="EE305" t="str">
        <f>+IFERROR(VLOOKUP(EE6,IN_Zugliste!$A$4:$F$2002,7,FALSE),"")</f>
        <v/>
      </c>
      <c r="EF305" t="str">
        <f>+IFERROR(VLOOKUP(EF6,IN_Zugliste!$A$4:$F$2002,7,FALSE),"")</f>
        <v/>
      </c>
      <c r="EG305" t="str">
        <f>+IFERROR(VLOOKUP(EG6,IN_Zugliste!$A$4:$F$2002,7,FALSE),"")</f>
        <v/>
      </c>
      <c r="EH305" t="str">
        <f>+IFERROR(VLOOKUP(EH6,IN_Zugliste!$A$4:$F$2002,7,FALSE),"")</f>
        <v/>
      </c>
      <c r="EI305" t="str">
        <f>+IFERROR(VLOOKUP(EI6,IN_Zugliste!$A$4:$F$2002,7,FALSE),"")</f>
        <v/>
      </c>
      <c r="EJ305" t="str">
        <f>+IFERROR(VLOOKUP(EJ6,IN_Zugliste!$A$4:$F$2002,7,FALSE),"")</f>
        <v/>
      </c>
      <c r="EK305" t="str">
        <f>+IFERROR(VLOOKUP(EK6,IN_Zugliste!$A$4:$F$2002,7,FALSE),"")</f>
        <v/>
      </c>
      <c r="EL305" t="str">
        <f>+IFERROR(VLOOKUP(EL6,IN_Zugliste!$A$4:$F$2002,7,FALSE),"")</f>
        <v/>
      </c>
      <c r="EM305" t="str">
        <f>+IFERROR(VLOOKUP(EM6,IN_Zugliste!$A$4:$F$2002,7,FALSE),"")</f>
        <v/>
      </c>
      <c r="EN305" t="str">
        <f>+IFERROR(VLOOKUP(EN6,IN_Zugliste!$A$4:$F$2002,7,FALSE),"")</f>
        <v/>
      </c>
      <c r="EO305" t="str">
        <f>+IFERROR(VLOOKUP(EO6,IN_Zugliste!$A$4:$F$2002,7,FALSE),"")</f>
        <v/>
      </c>
      <c r="EP305" t="str">
        <f>+IFERROR(VLOOKUP(EP6,IN_Zugliste!$A$4:$F$2002,7,FALSE),"")</f>
        <v/>
      </c>
      <c r="EQ305" t="str">
        <f>+IFERROR(VLOOKUP(EQ6,IN_Zugliste!$A$4:$F$2002,7,FALSE),"")</f>
        <v/>
      </c>
      <c r="ER305" t="str">
        <f>+IFERROR(VLOOKUP(ER6,IN_Zugliste!$A$4:$F$2002,7,FALSE),"")</f>
        <v/>
      </c>
      <c r="ES305" t="str">
        <f>+IFERROR(VLOOKUP(ES6,IN_Zugliste!$A$4:$F$2002,7,FALSE),"")</f>
        <v/>
      </c>
      <c r="ET305" t="str">
        <f>+IFERROR(VLOOKUP(ET6,IN_Zugliste!$A$4:$F$2002,7,FALSE),"")</f>
        <v/>
      </c>
      <c r="EU305" t="str">
        <f>+IFERROR(VLOOKUP(EU6,IN_Zugliste!$A$4:$F$2002,7,FALSE),"")</f>
        <v/>
      </c>
      <c r="EV305" t="str">
        <f>+IFERROR(VLOOKUP(EV6,IN_Zugliste!$A$4:$F$2002,7,FALSE),"")</f>
        <v/>
      </c>
      <c r="EW305" t="str">
        <f>+IFERROR(VLOOKUP(EW6,IN_Zugliste!$A$4:$F$2002,7,FALSE),"")</f>
        <v/>
      </c>
      <c r="EX305" t="str">
        <f>+IFERROR(VLOOKUP(EX6,IN_Zugliste!$A$4:$F$2002,7,FALSE),"")</f>
        <v/>
      </c>
      <c r="EY305" t="str">
        <f>+IFERROR(VLOOKUP(EY6,IN_Zugliste!$A$4:$F$2002,7,FALSE),"")</f>
        <v/>
      </c>
      <c r="EZ305" t="str">
        <f>+IFERROR(VLOOKUP(EZ6,IN_Zugliste!$A$4:$F$2002,7,FALSE),"")</f>
        <v/>
      </c>
      <c r="FA305" t="str">
        <f>+IFERROR(VLOOKUP(FA6,IN_Zugliste!$A$4:$F$2002,7,FALSE),"")</f>
        <v/>
      </c>
      <c r="FB305" t="str">
        <f>+IFERROR(VLOOKUP(FB6,IN_Zugliste!$A$4:$F$2002,7,FALSE),"")</f>
        <v/>
      </c>
      <c r="FC305" t="str">
        <f>+IFERROR(VLOOKUP(FC6,IN_Zugliste!$A$4:$F$2002,7,FALSE),"")</f>
        <v/>
      </c>
      <c r="FD305" t="str">
        <f>+IFERROR(VLOOKUP(FD6,IN_Zugliste!$A$4:$F$2002,7,FALSE),"")</f>
        <v/>
      </c>
      <c r="FE305" t="str">
        <f>+IFERROR(VLOOKUP(FE6,IN_Zugliste!$A$4:$F$2002,7,FALSE),"")</f>
        <v/>
      </c>
      <c r="FF305" t="str">
        <f>+IFERROR(VLOOKUP(FF6,IN_Zugliste!$A$4:$F$2002,7,FALSE),"")</f>
        <v/>
      </c>
      <c r="FG305" t="str">
        <f>+IFERROR(VLOOKUP(FG6,IN_Zugliste!$A$4:$F$2002,7,FALSE),"")</f>
        <v/>
      </c>
      <c r="FH305" t="str">
        <f>+IFERROR(VLOOKUP(FH6,IN_Zugliste!$A$4:$F$2002,7,FALSE),"")</f>
        <v/>
      </c>
      <c r="FI305" t="str">
        <f>+IFERROR(VLOOKUP(FI6,IN_Zugliste!$A$4:$F$2002,7,FALSE),"")</f>
        <v/>
      </c>
      <c r="FJ305" t="str">
        <f>+IFERROR(VLOOKUP(FJ6,IN_Zugliste!$A$4:$F$2002,7,FALSE),"")</f>
        <v/>
      </c>
      <c r="FK305" t="str">
        <f>+IFERROR(VLOOKUP(FK6,IN_Zugliste!$A$4:$F$2002,7,FALSE),"")</f>
        <v/>
      </c>
      <c r="FL305" t="str">
        <f>+IFERROR(VLOOKUP(FL6,IN_Zugliste!$A$4:$F$2002,7,FALSE),"")</f>
        <v/>
      </c>
      <c r="FM305" t="str">
        <f>+IFERROR(VLOOKUP(FM6,IN_Zugliste!$A$4:$F$2002,7,FALSE),"")</f>
        <v/>
      </c>
      <c r="FN305" t="str">
        <f>+IFERROR(VLOOKUP(FN6,IN_Zugliste!$A$4:$F$2002,7,FALSE),"")</f>
        <v/>
      </c>
      <c r="FO305" t="str">
        <f>+IFERROR(VLOOKUP(FO6,IN_Zugliste!$A$4:$F$2002,7,FALSE),"")</f>
        <v/>
      </c>
      <c r="FP305" t="str">
        <f>+IFERROR(VLOOKUP(FP6,IN_Zugliste!$A$4:$F$2002,7,FALSE),"")</f>
        <v/>
      </c>
      <c r="FQ305" t="str">
        <f>+IFERROR(VLOOKUP(FQ6,IN_Zugliste!$A$4:$F$2002,7,FALSE),"")</f>
        <v/>
      </c>
      <c r="FR305" t="str">
        <f>+IFERROR(VLOOKUP(FR6,IN_Zugliste!$A$4:$F$2002,7,FALSE),"")</f>
        <v/>
      </c>
      <c r="FS305" t="str">
        <f>+IFERROR(VLOOKUP(FS6,IN_Zugliste!$A$4:$F$2002,7,FALSE),"")</f>
        <v/>
      </c>
      <c r="FT305" t="str">
        <f>+IFERROR(VLOOKUP(FT6,IN_Zugliste!$A$4:$F$2002,7,FALSE),"")</f>
        <v/>
      </c>
      <c r="FU305" t="str">
        <f>+IFERROR(VLOOKUP(FU6,IN_Zugliste!$A$4:$F$2002,7,FALSE),"")</f>
        <v/>
      </c>
      <c r="FV305" t="str">
        <f>+IFERROR(VLOOKUP(FV6,IN_Zugliste!$A$4:$F$2002,7,FALSE),"")</f>
        <v/>
      </c>
      <c r="FW305" t="str">
        <f>+IFERROR(VLOOKUP(FW6,IN_Zugliste!$A$4:$F$2002,7,FALSE),"")</f>
        <v/>
      </c>
      <c r="FX305" t="str">
        <f>+IFERROR(VLOOKUP(FX6,IN_Zugliste!$A$4:$F$2002,7,FALSE),"")</f>
        <v/>
      </c>
      <c r="FY305" t="str">
        <f>+IFERROR(VLOOKUP(FY6,IN_Zugliste!$A$4:$F$2002,7,FALSE),"")</f>
        <v/>
      </c>
      <c r="FZ305" t="str">
        <f>+IFERROR(VLOOKUP(FZ6,IN_Zugliste!$A$4:$F$2002,7,FALSE),"")</f>
        <v/>
      </c>
      <c r="GA305" t="str">
        <f>+IFERROR(VLOOKUP(GA6,IN_Zugliste!$A$4:$F$2002,7,FALSE),"")</f>
        <v/>
      </c>
      <c r="GB305" t="str">
        <f>+IFERROR(VLOOKUP(GB6,IN_Zugliste!$A$4:$F$2002,7,FALSE),"")</f>
        <v/>
      </c>
      <c r="GC305" t="str">
        <f>+IFERROR(VLOOKUP(GC6,IN_Zugliste!$A$4:$F$2002,7,FALSE),"")</f>
        <v/>
      </c>
      <c r="GD305" t="str">
        <f>+IFERROR(VLOOKUP(GD6,IN_Zugliste!$A$4:$F$2002,7,FALSE),"")</f>
        <v/>
      </c>
      <c r="GE305" t="str">
        <f>+IFERROR(VLOOKUP(GE6,IN_Zugliste!$A$4:$F$2002,7,FALSE),"")</f>
        <v/>
      </c>
      <c r="GF305" t="str">
        <f>+IFERROR(VLOOKUP(GF6,IN_Zugliste!$A$4:$F$2002,7,FALSE),"")</f>
        <v/>
      </c>
      <c r="GG305" t="str">
        <f>+IFERROR(VLOOKUP(GG6,IN_Zugliste!$A$4:$F$2002,7,FALSE),"")</f>
        <v/>
      </c>
      <c r="GH305" t="str">
        <f>+IFERROR(VLOOKUP(GH6,IN_Zugliste!$A$4:$F$2002,7,FALSE),"")</f>
        <v/>
      </c>
      <c r="GI305" t="str">
        <f>+IFERROR(VLOOKUP(GI6,IN_Zugliste!$A$4:$F$2002,7,FALSE),"")</f>
        <v/>
      </c>
      <c r="GJ305" t="str">
        <f>+IFERROR(VLOOKUP(GJ6,IN_Zugliste!$A$4:$F$2002,7,FALSE),"")</f>
        <v/>
      </c>
      <c r="GK305" t="str">
        <f>+IFERROR(VLOOKUP(GK6,IN_Zugliste!$A$4:$F$2002,7,FALSE),"")</f>
        <v/>
      </c>
      <c r="GL305" t="str">
        <f>+IFERROR(VLOOKUP(GL6,IN_Zugliste!$A$4:$F$2002,7,FALSE),"")</f>
        <v/>
      </c>
      <c r="GM305" t="str">
        <f>+IFERROR(VLOOKUP(GM6,IN_Zugliste!$A$4:$F$2002,7,FALSE),"")</f>
        <v/>
      </c>
      <c r="GN305" t="str">
        <f>+IFERROR(VLOOKUP(GN6,IN_Zugliste!$A$4:$F$2002,7,FALSE),"")</f>
        <v/>
      </c>
      <c r="GO305" t="str">
        <f>+IFERROR(VLOOKUP(GO6,IN_Zugliste!$A$4:$F$2002,7,FALSE),"")</f>
        <v/>
      </c>
      <c r="GP305" t="str">
        <f>+IFERROR(VLOOKUP(GP6,IN_Zugliste!$A$4:$F$2002,7,FALSE),"")</f>
        <v/>
      </c>
      <c r="GQ305" t="str">
        <f>+IFERROR(VLOOKUP(GQ6,IN_Zugliste!$A$4:$F$2002,7,FALSE),"")</f>
        <v/>
      </c>
      <c r="GR305" t="str">
        <f>+IFERROR(VLOOKUP(GR6,IN_Zugliste!$A$4:$F$2002,7,FALSE),"")</f>
        <v/>
      </c>
      <c r="GS305" t="str">
        <f>+IFERROR(VLOOKUP(GS6,IN_Zugliste!$A$4:$F$2002,7,FALSE),"")</f>
        <v/>
      </c>
      <c r="GT305" t="str">
        <f>+IFERROR(VLOOKUP(GT6,IN_Zugliste!$A$4:$F$2002,7,FALSE),"")</f>
        <v/>
      </c>
      <c r="GU305" t="str">
        <f>+IFERROR(VLOOKUP(GU6,IN_Zugliste!$A$4:$F$2002,7,FALSE),"")</f>
        <v/>
      </c>
      <c r="GV305" t="str">
        <f>+IFERROR(VLOOKUP(GV6,IN_Zugliste!$A$4:$F$2002,7,FALSE),"")</f>
        <v/>
      </c>
      <c r="GW305" t="str">
        <f>+IFERROR(VLOOKUP(GW6,IN_Zugliste!$A$4:$F$2002,7,FALSE),"")</f>
        <v/>
      </c>
      <c r="GX305" t="str">
        <f>+IFERROR(VLOOKUP(GX6,IN_Zugliste!$A$4:$F$2002,7,FALSE),"")</f>
        <v/>
      </c>
      <c r="GY305" t="str">
        <f>+IFERROR(VLOOKUP(GY6,IN_Zugliste!$A$4:$F$2002,7,FALSE),"")</f>
        <v/>
      </c>
      <c r="GZ305" t="str">
        <f>+IFERROR(VLOOKUP(GZ6,IN_Zugliste!$A$4:$F$2002,7,FALSE),"")</f>
        <v/>
      </c>
      <c r="HA305" t="str">
        <f>+IFERROR(VLOOKUP(HA6,IN_Zugliste!$A$4:$F$2002,7,FALSE),"")</f>
        <v/>
      </c>
      <c r="HB305" t="str">
        <f>+IFERROR(VLOOKUP(HB6,IN_Zugliste!$A$4:$F$2002,7,FALSE),"")</f>
        <v/>
      </c>
      <c r="HC305" t="str">
        <f>+IFERROR(VLOOKUP(HC6,IN_Zugliste!$A$4:$F$2002,7,FALSE),"")</f>
        <v/>
      </c>
      <c r="HD305" t="str">
        <f>+IFERROR(VLOOKUP(HD6,IN_Zugliste!$A$4:$F$2002,7,FALSE),"")</f>
        <v/>
      </c>
      <c r="HE305" t="str">
        <f>+IFERROR(VLOOKUP(HE6,IN_Zugliste!$A$4:$F$2002,7,FALSE),"")</f>
        <v/>
      </c>
      <c r="HF305" t="str">
        <f>+IFERROR(VLOOKUP(HF6,IN_Zugliste!$A$4:$F$2002,7,FALSE),"")</f>
        <v/>
      </c>
      <c r="HG305" t="str">
        <f>+IFERROR(VLOOKUP(HG6,IN_Zugliste!$A$4:$F$2002,7,FALSE),"")</f>
        <v/>
      </c>
      <c r="HH305" t="str">
        <f>+IFERROR(VLOOKUP(HH6,IN_Zugliste!$A$4:$F$2002,7,FALSE),"")</f>
        <v/>
      </c>
      <c r="HI305" t="str">
        <f>+IFERROR(VLOOKUP(HI6,IN_Zugliste!$A$4:$F$2002,7,FALSE),"")</f>
        <v/>
      </c>
      <c r="HJ305" t="str">
        <f>+IFERROR(VLOOKUP(HJ6,IN_Zugliste!$A$4:$F$2002,7,FALSE),"")</f>
        <v/>
      </c>
      <c r="HK305" t="str">
        <f>+IFERROR(VLOOKUP(HK6,IN_Zugliste!$A$4:$F$2002,7,FALSE),"")</f>
        <v/>
      </c>
      <c r="HL305" t="str">
        <f>+IFERROR(VLOOKUP(HL6,IN_Zugliste!$A$4:$F$2002,7,FALSE),"")</f>
        <v/>
      </c>
      <c r="HM305" t="str">
        <f>+IFERROR(VLOOKUP(HM6,IN_Zugliste!$A$4:$F$2002,7,FALSE),"")</f>
        <v/>
      </c>
      <c r="HN305" t="str">
        <f>+IFERROR(VLOOKUP(HN6,IN_Zugliste!$A$4:$F$2002,7,FALSE),"")</f>
        <v/>
      </c>
      <c r="HO305" t="str">
        <f>+IFERROR(VLOOKUP(HO6,IN_Zugliste!$A$4:$F$2002,7,FALSE),"")</f>
        <v/>
      </c>
      <c r="HP305" t="str">
        <f>+IFERROR(VLOOKUP(HP6,IN_Zugliste!$A$4:$F$2002,7,FALSE),"")</f>
        <v/>
      </c>
      <c r="HQ305" t="str">
        <f>+IFERROR(VLOOKUP(HQ6,IN_Zugliste!$A$4:$F$2002,7,FALSE),"")</f>
        <v/>
      </c>
      <c r="HR305" t="str">
        <f>+IFERROR(VLOOKUP(HR6,IN_Zugliste!$A$4:$F$2002,7,FALSE),"")</f>
        <v/>
      </c>
      <c r="HS305" t="str">
        <f>+IFERROR(VLOOKUP(HS6,IN_Zugliste!$A$4:$F$2002,7,FALSE),"")</f>
        <v/>
      </c>
      <c r="HT305" t="str">
        <f>+IFERROR(VLOOKUP(HT6,IN_Zugliste!$A$4:$F$2002,7,FALSE),"")</f>
        <v/>
      </c>
      <c r="HU305" t="str">
        <f>+IFERROR(VLOOKUP(HU6,IN_Zugliste!$A$4:$F$2002,7,FALSE),"")</f>
        <v/>
      </c>
      <c r="HV305" t="str">
        <f>+IFERROR(VLOOKUP(HV6,IN_Zugliste!$A$4:$F$2002,7,FALSE),"")</f>
        <v/>
      </c>
      <c r="HW305" t="str">
        <f>+IFERROR(VLOOKUP(HW6,IN_Zugliste!$A$4:$F$2002,7,FALSE),"")</f>
        <v/>
      </c>
      <c r="HX305" t="str">
        <f>+IFERROR(VLOOKUP(HX6,IN_Zugliste!$A$4:$F$2002,7,FALSE),"")</f>
        <v/>
      </c>
      <c r="HY305" t="str">
        <f>+IFERROR(VLOOKUP(HY6,IN_Zugliste!$A$4:$F$2002,7,FALSE),"")</f>
        <v/>
      </c>
      <c r="HZ305" t="str">
        <f>+IFERROR(VLOOKUP(HZ6,IN_Zugliste!$A$4:$F$2002,7,FALSE),"")</f>
        <v/>
      </c>
      <c r="IA305" t="str">
        <f>+IFERROR(VLOOKUP(IA6,IN_Zugliste!$A$4:$F$2002,7,FALSE),"")</f>
        <v/>
      </c>
      <c r="IB305" t="str">
        <f>+IFERROR(VLOOKUP(IB6,IN_Zugliste!$A$4:$F$2002,7,FALSE),"")</f>
        <v/>
      </c>
      <c r="IC305" t="str">
        <f>+IFERROR(VLOOKUP(IC6,IN_Zugliste!$A$4:$F$2002,7,FALSE),"")</f>
        <v/>
      </c>
      <c r="ID305" t="str">
        <f>+IFERROR(VLOOKUP(ID6,IN_Zugliste!$A$4:$F$2002,7,FALSE),"")</f>
        <v/>
      </c>
      <c r="IE305" t="str">
        <f>+IFERROR(VLOOKUP(IE6,IN_Zugliste!$A$4:$F$2002,7,FALSE),"")</f>
        <v/>
      </c>
      <c r="IF305" t="str">
        <f>+IFERROR(VLOOKUP(IF6,IN_Zugliste!$A$4:$F$2002,7,FALSE),"")</f>
        <v/>
      </c>
      <c r="IG305" t="str">
        <f>+IFERROR(VLOOKUP(IG6,IN_Zugliste!$A$4:$F$2002,7,FALSE),"")</f>
        <v/>
      </c>
      <c r="IH305" t="str">
        <f>+IFERROR(VLOOKUP(IH6,IN_Zugliste!$A$4:$F$2002,7,FALSE),"")</f>
        <v/>
      </c>
      <c r="II305" t="str">
        <f>+IFERROR(VLOOKUP(II6,IN_Zugliste!$A$4:$F$2002,7,FALSE),"")</f>
        <v/>
      </c>
      <c r="IJ305" t="str">
        <f>+IFERROR(VLOOKUP(IJ6,IN_Zugliste!$A$4:$F$2002,7,FALSE),"")</f>
        <v/>
      </c>
      <c r="IK305" t="str">
        <f>+IFERROR(VLOOKUP(IK6,IN_Zugliste!$A$4:$F$2002,7,FALSE),"")</f>
        <v/>
      </c>
      <c r="IL305" t="str">
        <f>+IFERROR(VLOOKUP(IL6,IN_Zugliste!$A$4:$F$2002,7,FALSE),"")</f>
        <v/>
      </c>
      <c r="IM305" t="str">
        <f>+IFERROR(VLOOKUP(IM6,IN_Zugliste!$A$4:$F$2002,7,FALSE),"")</f>
        <v/>
      </c>
      <c r="IN305" t="str">
        <f>+IFERROR(VLOOKUP(IN6,IN_Zugliste!$A$4:$F$2002,7,FALSE),"")</f>
        <v/>
      </c>
      <c r="IO305" t="str">
        <f>+IFERROR(VLOOKUP(IO6,IN_Zugliste!$A$4:$F$2002,7,FALSE),"")</f>
        <v/>
      </c>
      <c r="IP305" t="str">
        <f>+IFERROR(VLOOKUP(IP6,IN_Zugliste!$A$4:$F$2002,7,FALSE),"")</f>
        <v/>
      </c>
      <c r="IQ305" t="str">
        <f>+IFERROR(VLOOKUP(IQ6,IN_Zugliste!$A$4:$F$2002,7,FALSE),"")</f>
        <v/>
      </c>
      <c r="IR305" t="str">
        <f>+IFERROR(VLOOKUP(IR6,IN_Zugliste!$A$4:$F$2002,7,FALSE),"")</f>
        <v/>
      </c>
      <c r="IS305" t="str">
        <f>+IFERROR(VLOOKUP(IS6,IN_Zugliste!$A$4:$F$2002,7,FALSE),"")</f>
        <v/>
      </c>
      <c r="IT305" t="str">
        <f>+IFERROR(VLOOKUP(IT6,IN_Zugliste!$A$4:$F$2002,7,FALSE),"")</f>
        <v/>
      </c>
      <c r="IU305" t="str">
        <f>+IFERROR(VLOOKUP(IU6,IN_Zugliste!$A$4:$F$2002,7,FALSE),"")</f>
        <v/>
      </c>
      <c r="IV305" t="str">
        <f>+IFERROR(VLOOKUP(IV6,IN_Zugliste!$A$4:$F$2002,7,FALSE),"")</f>
        <v/>
      </c>
      <c r="IW305" t="str">
        <f>+IFERROR(VLOOKUP(IW6,IN_Zugliste!$A$4:$F$2002,7,FALSE),"")</f>
        <v/>
      </c>
      <c r="IX305" t="str">
        <f>+IFERROR(VLOOKUP(IX6,IN_Zugliste!$A$4:$F$2002,7,FALSE),"")</f>
        <v/>
      </c>
      <c r="IY305" t="str">
        <f>+IFERROR(VLOOKUP(IY6,IN_Zugliste!$A$4:$F$2002,7,FALSE),"")</f>
        <v/>
      </c>
      <c r="IZ305" t="str">
        <f>+IFERROR(VLOOKUP(IZ6,IN_Zugliste!$A$4:$F$2002,7,FALSE),"")</f>
        <v/>
      </c>
      <c r="JA305" t="str">
        <f>+IFERROR(VLOOKUP(JA6,IN_Zugliste!$A$4:$F$2002,7,FALSE),"")</f>
        <v/>
      </c>
      <c r="JB305" t="str">
        <f>+IFERROR(VLOOKUP(JB6,IN_Zugliste!$A$4:$F$2002,7,FALSE),"")</f>
        <v/>
      </c>
      <c r="JC305" t="str">
        <f>+IFERROR(VLOOKUP(JC6,IN_Zugliste!$A$4:$F$2002,7,FALSE),"")</f>
        <v/>
      </c>
      <c r="JD305" t="str">
        <f>+IFERROR(VLOOKUP(JD6,IN_Zugliste!$A$4:$F$2002,7,FALSE),"")</f>
        <v/>
      </c>
      <c r="JE305" t="str">
        <f>+IFERROR(VLOOKUP(JE6,IN_Zugliste!$A$4:$F$2002,7,FALSE),"")</f>
        <v/>
      </c>
      <c r="JF305" t="str">
        <f>+IFERROR(VLOOKUP(JF6,IN_Zugliste!$A$4:$F$2002,7,FALSE),"")</f>
        <v/>
      </c>
      <c r="JG305" t="str">
        <f>+IFERROR(VLOOKUP(JG6,IN_Zugliste!$A$4:$F$2002,7,FALSE),"")</f>
        <v/>
      </c>
      <c r="JH305" t="str">
        <f>+IFERROR(VLOOKUP(JH6,IN_Zugliste!$A$4:$F$2002,7,FALSE),"")</f>
        <v/>
      </c>
      <c r="JI305" t="str">
        <f>+IFERROR(VLOOKUP(JI6,IN_Zugliste!$A$4:$F$2002,7,FALSE),"")</f>
        <v/>
      </c>
      <c r="JJ305" t="str">
        <f>+IFERROR(VLOOKUP(JJ6,IN_Zugliste!$A$4:$F$2002,7,FALSE),"")</f>
        <v/>
      </c>
    </row>
    <row r="306" spans="1:270" x14ac:dyDescent="0.2">
      <c r="A306" t="str">
        <f>+IFERROR(VLOOKUP(A7,IN_Zugliste!$A$4:$F$2002,7,FALSE),"")</f>
        <v/>
      </c>
      <c r="B306" t="str">
        <f>+IFERROR(VLOOKUP(B7,IN_Zugliste!$A$4:$F$2002,7,FALSE),"")</f>
        <v/>
      </c>
      <c r="C306" t="str">
        <f>+IFERROR(VLOOKUP(C7,IN_Zugliste!$A$4:$F$2002,7,FALSE),"")</f>
        <v/>
      </c>
      <c r="D306" t="str">
        <f>+IFERROR(VLOOKUP(D7,IN_Zugliste!$A$4:$F$2002,7,FALSE),"")</f>
        <v/>
      </c>
      <c r="E306" t="str">
        <f>+IFERROR(VLOOKUP(E7,IN_Zugliste!$A$4:$F$2002,7,FALSE),"")</f>
        <v/>
      </c>
      <c r="F306" t="str">
        <f>+IFERROR(VLOOKUP(F7,IN_Zugliste!$A$4:$F$2002,7,FALSE),"")</f>
        <v/>
      </c>
      <c r="G306" t="str">
        <f>+IFERROR(VLOOKUP(G7,IN_Zugliste!$A$4:$F$2002,7,FALSE),"")</f>
        <v/>
      </c>
      <c r="H306" t="str">
        <f>+IFERROR(VLOOKUP(H7,IN_Zugliste!$A$4:$F$2002,7,FALSE),"")</f>
        <v/>
      </c>
      <c r="I306" t="str">
        <f>+IFERROR(VLOOKUP(I7,IN_Zugliste!$A$4:$F$2002,7,FALSE),"")</f>
        <v/>
      </c>
      <c r="J306" t="str">
        <f>+IFERROR(VLOOKUP(J7,IN_Zugliste!$A$4:$F$2002,7,FALSE),"")</f>
        <v/>
      </c>
      <c r="K306" t="str">
        <f>+IFERROR(VLOOKUP(K7,IN_Zugliste!$A$4:$F$2002,7,FALSE),"")</f>
        <v/>
      </c>
      <c r="L306" t="str">
        <f>+IFERROR(VLOOKUP(L7,IN_Zugliste!$A$4:$F$2002,7,FALSE),"")</f>
        <v/>
      </c>
      <c r="M306" t="str">
        <f>+IFERROR(VLOOKUP(M7,IN_Zugliste!$A$4:$F$2002,7,FALSE),"")</f>
        <v/>
      </c>
      <c r="N306" t="str">
        <f>+IFERROR(VLOOKUP(N7,IN_Zugliste!$A$4:$F$2002,7,FALSE),"")</f>
        <v/>
      </c>
      <c r="O306" t="str">
        <f>+IFERROR(VLOOKUP(O7,IN_Zugliste!$A$4:$F$2002,7,FALSE),"")</f>
        <v/>
      </c>
      <c r="P306" t="str">
        <f>+IFERROR(VLOOKUP(P7,IN_Zugliste!$A$4:$F$2002,7,FALSE),"")</f>
        <v/>
      </c>
      <c r="Q306" t="str">
        <f>+IFERROR(VLOOKUP(Q7,IN_Zugliste!$A$4:$F$2002,7,FALSE),"")</f>
        <v/>
      </c>
      <c r="R306" t="str">
        <f>+IFERROR(VLOOKUP(R7,IN_Zugliste!$A$4:$F$2002,7,FALSE),"")</f>
        <v/>
      </c>
      <c r="S306" t="str">
        <f>+IFERROR(VLOOKUP(S7,IN_Zugliste!$A$4:$F$2002,7,FALSE),"")</f>
        <v/>
      </c>
      <c r="T306" t="str">
        <f>+IFERROR(VLOOKUP(T7,IN_Zugliste!$A$4:$F$2002,7,FALSE),"")</f>
        <v/>
      </c>
      <c r="U306" t="str">
        <f>+IFERROR(VLOOKUP(U7,IN_Zugliste!$A$4:$F$2002,7,FALSE),"")</f>
        <v/>
      </c>
      <c r="V306" t="str">
        <f>+IFERROR(VLOOKUP(V7,IN_Zugliste!$A$4:$F$2002,7,FALSE),"")</f>
        <v/>
      </c>
      <c r="W306" t="str">
        <f>+IFERROR(VLOOKUP(W7,IN_Zugliste!$A$4:$F$2002,7,FALSE),"")</f>
        <v/>
      </c>
      <c r="X306" t="str">
        <f>+IFERROR(VLOOKUP(X7,IN_Zugliste!$A$4:$F$2002,7,FALSE),"")</f>
        <v/>
      </c>
      <c r="Y306" t="str">
        <f>+IFERROR(VLOOKUP(Y7,IN_Zugliste!$A$4:$F$2002,7,FALSE),"")</f>
        <v/>
      </c>
      <c r="Z306" t="str">
        <f>+IFERROR(VLOOKUP(Z7,IN_Zugliste!$A$4:$F$2002,7,FALSE),"")</f>
        <v/>
      </c>
      <c r="AA306" t="str">
        <f>+IFERROR(VLOOKUP(AA7,IN_Zugliste!$A$4:$F$2002,7,FALSE),"")</f>
        <v/>
      </c>
      <c r="AB306" t="str">
        <f>+IFERROR(VLOOKUP(AB7,IN_Zugliste!$A$4:$F$2002,7,FALSE),"")</f>
        <v/>
      </c>
      <c r="AC306" t="str">
        <f>+IFERROR(VLOOKUP(AC7,IN_Zugliste!$A$4:$F$2002,7,FALSE),"")</f>
        <v/>
      </c>
      <c r="AD306" t="str">
        <f>+IFERROR(VLOOKUP(AD7,IN_Zugliste!$A$4:$F$2002,7,FALSE),"")</f>
        <v/>
      </c>
      <c r="AE306" t="str">
        <f>+IFERROR(VLOOKUP(AE7,IN_Zugliste!$A$4:$F$2002,7,FALSE),"")</f>
        <v/>
      </c>
      <c r="AF306" t="str">
        <f>+IFERROR(VLOOKUP(AF7,IN_Zugliste!$A$4:$F$2002,7,FALSE),"")</f>
        <v/>
      </c>
      <c r="AG306" t="str">
        <f>+IFERROR(VLOOKUP(AG7,IN_Zugliste!$A$4:$F$2002,7,FALSE),"")</f>
        <v/>
      </c>
      <c r="AH306" t="str">
        <f>+IFERROR(VLOOKUP(AH7,IN_Zugliste!$A$4:$F$2002,7,FALSE),"")</f>
        <v/>
      </c>
      <c r="AI306" t="str">
        <f>+IFERROR(VLOOKUP(AI7,IN_Zugliste!$A$4:$F$2002,7,FALSE),"")</f>
        <v/>
      </c>
      <c r="AJ306" t="str">
        <f>+IFERROR(VLOOKUP(AJ7,IN_Zugliste!$A$4:$F$2002,7,FALSE),"")</f>
        <v/>
      </c>
      <c r="AK306" t="str">
        <f>+IFERROR(VLOOKUP(AK7,IN_Zugliste!$A$4:$F$2002,7,FALSE),"")</f>
        <v/>
      </c>
      <c r="AL306" t="str">
        <f>+IFERROR(VLOOKUP(AL7,IN_Zugliste!$A$4:$F$2002,7,FALSE),"")</f>
        <v/>
      </c>
      <c r="AM306" t="str">
        <f>+IFERROR(VLOOKUP(AM7,IN_Zugliste!$A$4:$F$2002,7,FALSE),"")</f>
        <v/>
      </c>
      <c r="AN306" t="str">
        <f>+IFERROR(VLOOKUP(AN7,IN_Zugliste!$A$4:$F$2002,7,FALSE),"")</f>
        <v/>
      </c>
      <c r="AO306" t="str">
        <f>+IFERROR(VLOOKUP(AO7,IN_Zugliste!$A$4:$F$2002,7,FALSE),"")</f>
        <v/>
      </c>
      <c r="AP306" t="str">
        <f>+IFERROR(VLOOKUP(AP7,IN_Zugliste!$A$4:$F$2002,7,FALSE),"")</f>
        <v/>
      </c>
      <c r="AQ306" t="str">
        <f>+IFERROR(VLOOKUP(AQ7,IN_Zugliste!$A$4:$F$2002,7,FALSE),"")</f>
        <v/>
      </c>
      <c r="AR306" t="str">
        <f>+IFERROR(VLOOKUP(AR7,IN_Zugliste!$A$4:$F$2002,7,FALSE),"")</f>
        <v/>
      </c>
      <c r="AS306" t="str">
        <f>+IFERROR(VLOOKUP(AS7,IN_Zugliste!$A$4:$F$2002,7,FALSE),"")</f>
        <v/>
      </c>
      <c r="AT306" t="str">
        <f>+IFERROR(VLOOKUP(AT7,IN_Zugliste!$A$4:$F$2002,7,FALSE),"")</f>
        <v/>
      </c>
      <c r="AU306" t="str">
        <f>+IFERROR(VLOOKUP(AU7,IN_Zugliste!$A$4:$F$2002,7,FALSE),"")</f>
        <v/>
      </c>
      <c r="AV306" t="str">
        <f>+IFERROR(VLOOKUP(AV7,IN_Zugliste!$A$4:$F$2002,7,FALSE),"")</f>
        <v/>
      </c>
      <c r="AW306" t="str">
        <f>+IFERROR(VLOOKUP(AW7,IN_Zugliste!$A$4:$F$2002,7,FALSE),"")</f>
        <v/>
      </c>
      <c r="AX306" t="str">
        <f>+IFERROR(VLOOKUP(AX7,IN_Zugliste!$A$4:$F$2002,7,FALSE),"")</f>
        <v/>
      </c>
      <c r="AY306" t="str">
        <f>+IFERROR(VLOOKUP(AY7,IN_Zugliste!$A$4:$F$2002,7,FALSE),"")</f>
        <v/>
      </c>
      <c r="AZ306" t="str">
        <f>+IFERROR(VLOOKUP(AZ7,IN_Zugliste!$A$4:$F$2002,7,FALSE),"")</f>
        <v/>
      </c>
      <c r="BA306" t="str">
        <f>+IFERROR(VLOOKUP(BA7,IN_Zugliste!$A$4:$F$2002,7,FALSE),"")</f>
        <v/>
      </c>
      <c r="BB306" t="str">
        <f>+IFERROR(VLOOKUP(BB7,IN_Zugliste!$A$4:$F$2002,7,FALSE),"")</f>
        <v/>
      </c>
      <c r="BC306" t="str">
        <f>+IFERROR(VLOOKUP(BC7,IN_Zugliste!$A$4:$F$2002,7,FALSE),"")</f>
        <v/>
      </c>
      <c r="BD306" t="str">
        <f>+IFERROR(VLOOKUP(BD7,IN_Zugliste!$A$4:$F$2002,7,FALSE),"")</f>
        <v/>
      </c>
      <c r="BE306" t="str">
        <f>+IFERROR(VLOOKUP(BE7,IN_Zugliste!$A$4:$F$2002,7,FALSE),"")</f>
        <v/>
      </c>
      <c r="BF306" t="str">
        <f>+IFERROR(VLOOKUP(BF7,IN_Zugliste!$A$4:$F$2002,7,FALSE),"")</f>
        <v/>
      </c>
      <c r="BG306" t="str">
        <f>+IFERROR(VLOOKUP(BG7,IN_Zugliste!$A$4:$F$2002,7,FALSE),"")</f>
        <v/>
      </c>
      <c r="BH306" t="str">
        <f>+IFERROR(VLOOKUP(BH7,IN_Zugliste!$A$4:$F$2002,7,FALSE),"")</f>
        <v/>
      </c>
      <c r="BI306" t="str">
        <f>+IFERROR(VLOOKUP(BI7,IN_Zugliste!$A$4:$F$2002,7,FALSE),"")</f>
        <v/>
      </c>
      <c r="BJ306" t="str">
        <f>+IFERROR(VLOOKUP(BJ7,IN_Zugliste!$A$4:$F$2002,7,FALSE),"")</f>
        <v/>
      </c>
      <c r="BK306" t="str">
        <f>+IFERROR(VLOOKUP(BK7,IN_Zugliste!$A$4:$F$2002,7,FALSE),"")</f>
        <v/>
      </c>
      <c r="BL306" t="str">
        <f>+IFERROR(VLOOKUP(BL7,IN_Zugliste!$A$4:$F$2002,7,FALSE),"")</f>
        <v/>
      </c>
      <c r="BM306" t="str">
        <f>+IFERROR(VLOOKUP(BM7,IN_Zugliste!$A$4:$F$2002,7,FALSE),"")</f>
        <v/>
      </c>
      <c r="BN306" t="str">
        <f>+IFERROR(VLOOKUP(BN7,IN_Zugliste!$A$4:$F$2002,7,FALSE),"")</f>
        <v/>
      </c>
      <c r="BO306" t="str">
        <f>+IFERROR(VLOOKUP(BO7,IN_Zugliste!$A$4:$F$2002,7,FALSE),"")</f>
        <v/>
      </c>
      <c r="BP306" t="str">
        <f>+IFERROR(VLOOKUP(BP7,IN_Zugliste!$A$4:$F$2002,7,FALSE),"")</f>
        <v/>
      </c>
      <c r="BQ306" t="str">
        <f>+IFERROR(VLOOKUP(BQ7,IN_Zugliste!$A$4:$F$2002,7,FALSE),"")</f>
        <v/>
      </c>
      <c r="BR306" t="str">
        <f>+IFERROR(VLOOKUP(BR7,IN_Zugliste!$A$4:$F$2002,7,FALSE),"")</f>
        <v/>
      </c>
      <c r="BS306" t="str">
        <f>+IFERROR(VLOOKUP(BS7,IN_Zugliste!$A$4:$F$2002,7,FALSE),"")</f>
        <v/>
      </c>
      <c r="BT306" t="str">
        <f>+IFERROR(VLOOKUP(BT7,IN_Zugliste!$A$4:$F$2002,7,FALSE),"")</f>
        <v/>
      </c>
      <c r="BU306" t="str">
        <f>+IFERROR(VLOOKUP(BU7,IN_Zugliste!$A$4:$F$2002,7,FALSE),"")</f>
        <v/>
      </c>
      <c r="BV306" t="str">
        <f>+IFERROR(VLOOKUP(BV7,IN_Zugliste!$A$4:$F$2002,7,FALSE),"")</f>
        <v/>
      </c>
      <c r="BW306" t="str">
        <f>+IFERROR(VLOOKUP(BW7,IN_Zugliste!$A$4:$F$2002,7,FALSE),"")</f>
        <v/>
      </c>
      <c r="BX306" t="str">
        <f>+IFERROR(VLOOKUP(BX7,IN_Zugliste!$A$4:$F$2002,7,FALSE),"")</f>
        <v/>
      </c>
      <c r="BY306" t="str">
        <f>+IFERROR(VLOOKUP(BY7,IN_Zugliste!$A$4:$F$2002,7,FALSE),"")</f>
        <v/>
      </c>
      <c r="BZ306" t="str">
        <f>+IFERROR(VLOOKUP(BZ7,IN_Zugliste!$A$4:$F$2002,7,FALSE),"")</f>
        <v/>
      </c>
      <c r="CA306" t="str">
        <f>+IFERROR(VLOOKUP(CA7,IN_Zugliste!$A$4:$F$2002,7,FALSE),"")</f>
        <v/>
      </c>
      <c r="CB306" t="str">
        <f>+IFERROR(VLOOKUP(CB7,IN_Zugliste!$A$4:$F$2002,7,FALSE),"")</f>
        <v/>
      </c>
      <c r="CC306" t="str">
        <f>+IFERROR(VLOOKUP(CC7,IN_Zugliste!$A$4:$F$2002,7,FALSE),"")</f>
        <v/>
      </c>
      <c r="CD306" t="str">
        <f>+IFERROR(VLOOKUP(CD7,IN_Zugliste!$A$4:$F$2002,7,FALSE),"")</f>
        <v/>
      </c>
      <c r="CE306" t="str">
        <f>+IFERROR(VLOOKUP(CE7,IN_Zugliste!$A$4:$F$2002,7,FALSE),"")</f>
        <v/>
      </c>
      <c r="CF306" t="str">
        <f>+IFERROR(VLOOKUP(CF7,IN_Zugliste!$A$4:$F$2002,7,FALSE),"")</f>
        <v/>
      </c>
      <c r="CG306" t="str">
        <f>+IFERROR(VLOOKUP(CG7,IN_Zugliste!$A$4:$F$2002,7,FALSE),"")</f>
        <v/>
      </c>
      <c r="CH306" t="str">
        <f>+IFERROR(VLOOKUP(CH7,IN_Zugliste!$A$4:$F$2002,7,FALSE),"")</f>
        <v/>
      </c>
      <c r="CI306" t="str">
        <f>+IFERROR(VLOOKUP(CI7,IN_Zugliste!$A$4:$F$2002,7,FALSE),"")</f>
        <v/>
      </c>
      <c r="CJ306" t="str">
        <f>+IFERROR(VLOOKUP(CJ7,IN_Zugliste!$A$4:$F$2002,7,FALSE),"")</f>
        <v/>
      </c>
      <c r="CK306" t="str">
        <f>+IFERROR(VLOOKUP(CK7,IN_Zugliste!$A$4:$F$2002,7,FALSE),"")</f>
        <v/>
      </c>
      <c r="CL306" t="str">
        <f>+IFERROR(VLOOKUP(CL7,IN_Zugliste!$A$4:$F$2002,7,FALSE),"")</f>
        <v/>
      </c>
      <c r="CM306" t="str">
        <f>+IFERROR(VLOOKUP(CM7,IN_Zugliste!$A$4:$F$2002,7,FALSE),"")</f>
        <v/>
      </c>
      <c r="CN306" t="str">
        <f>+IFERROR(VLOOKUP(CN7,IN_Zugliste!$A$4:$F$2002,7,FALSE),"")</f>
        <v/>
      </c>
      <c r="CO306" t="str">
        <f>+IFERROR(VLOOKUP(CO7,IN_Zugliste!$A$4:$F$2002,7,FALSE),"")</f>
        <v/>
      </c>
      <c r="CP306" t="str">
        <f>+IFERROR(VLOOKUP(CP7,IN_Zugliste!$A$4:$F$2002,7,FALSE),"")</f>
        <v/>
      </c>
      <c r="CQ306" t="str">
        <f>+IFERROR(VLOOKUP(CQ7,IN_Zugliste!$A$4:$F$2002,7,FALSE),"")</f>
        <v/>
      </c>
      <c r="CR306" t="str">
        <f>+IFERROR(VLOOKUP(CR7,IN_Zugliste!$A$4:$F$2002,7,FALSE),"")</f>
        <v/>
      </c>
      <c r="CS306" t="str">
        <f>+IFERROR(VLOOKUP(CS7,IN_Zugliste!$A$4:$F$2002,7,FALSE),"")</f>
        <v/>
      </c>
      <c r="CT306" t="str">
        <f>+IFERROR(VLOOKUP(CT7,IN_Zugliste!$A$4:$F$2002,7,FALSE),"")</f>
        <v/>
      </c>
      <c r="CU306" t="str">
        <f>+IFERROR(VLOOKUP(CU7,IN_Zugliste!$A$4:$F$2002,7,FALSE),"")</f>
        <v/>
      </c>
      <c r="CV306" t="str">
        <f>+IFERROR(VLOOKUP(CV7,IN_Zugliste!$A$4:$F$2002,7,FALSE),"")</f>
        <v/>
      </c>
      <c r="CW306" t="str">
        <f>+IFERROR(VLOOKUP(CW7,IN_Zugliste!$A$4:$F$2002,7,FALSE),"")</f>
        <v/>
      </c>
      <c r="CX306" t="str">
        <f>+IFERROR(VLOOKUP(CX7,IN_Zugliste!$A$4:$F$2002,7,FALSE),"")</f>
        <v/>
      </c>
      <c r="CY306" t="str">
        <f>+IFERROR(VLOOKUP(CY7,IN_Zugliste!$A$4:$F$2002,7,FALSE),"")</f>
        <v/>
      </c>
      <c r="CZ306" t="str">
        <f>+IFERROR(VLOOKUP(CZ7,IN_Zugliste!$A$4:$F$2002,7,FALSE),"")</f>
        <v/>
      </c>
      <c r="DA306" t="str">
        <f>+IFERROR(VLOOKUP(DA7,IN_Zugliste!$A$4:$F$2002,7,FALSE),"")</f>
        <v/>
      </c>
      <c r="DB306" t="str">
        <f>+IFERROR(VLOOKUP(DB7,IN_Zugliste!$A$4:$F$2002,7,FALSE),"")</f>
        <v/>
      </c>
      <c r="DC306" t="str">
        <f>+IFERROR(VLOOKUP(DC7,IN_Zugliste!$A$4:$F$2002,7,FALSE),"")</f>
        <v/>
      </c>
      <c r="DD306" t="str">
        <f>+IFERROR(VLOOKUP(DD7,IN_Zugliste!$A$4:$F$2002,7,FALSE),"")</f>
        <v/>
      </c>
      <c r="DE306" t="str">
        <f>+IFERROR(VLOOKUP(DE7,IN_Zugliste!$A$4:$F$2002,7,FALSE),"")</f>
        <v/>
      </c>
      <c r="DF306" t="str">
        <f>+IFERROR(VLOOKUP(DF7,IN_Zugliste!$A$4:$F$2002,7,FALSE),"")</f>
        <v/>
      </c>
      <c r="DG306" t="str">
        <f>+IFERROR(VLOOKUP(DG7,IN_Zugliste!$A$4:$F$2002,7,FALSE),"")</f>
        <v/>
      </c>
      <c r="DH306" t="str">
        <f>+IFERROR(VLOOKUP(DH7,IN_Zugliste!$A$4:$F$2002,7,FALSE),"")</f>
        <v/>
      </c>
      <c r="DI306" t="str">
        <f>+IFERROR(VLOOKUP(DI7,IN_Zugliste!$A$4:$F$2002,7,FALSE),"")</f>
        <v/>
      </c>
      <c r="DJ306" t="str">
        <f>+IFERROR(VLOOKUP(DJ7,IN_Zugliste!$A$4:$F$2002,7,FALSE),"")</f>
        <v/>
      </c>
      <c r="DK306" t="str">
        <f>+IFERROR(VLOOKUP(DK7,IN_Zugliste!$A$4:$F$2002,7,FALSE),"")</f>
        <v/>
      </c>
      <c r="DL306" t="str">
        <f>+IFERROR(VLOOKUP(DL7,IN_Zugliste!$A$4:$F$2002,7,FALSE),"")</f>
        <v/>
      </c>
      <c r="DM306" t="str">
        <f>+IFERROR(VLOOKUP(DM7,IN_Zugliste!$A$4:$F$2002,7,FALSE),"")</f>
        <v/>
      </c>
      <c r="DN306" t="str">
        <f>+IFERROR(VLOOKUP(DN7,IN_Zugliste!$A$4:$F$2002,7,FALSE),"")</f>
        <v/>
      </c>
      <c r="DO306" t="str">
        <f>+IFERROR(VLOOKUP(DO7,IN_Zugliste!$A$4:$F$2002,7,FALSE),"")</f>
        <v/>
      </c>
      <c r="DP306" t="str">
        <f>+IFERROR(VLOOKUP(DP7,IN_Zugliste!$A$4:$F$2002,7,FALSE),"")</f>
        <v/>
      </c>
      <c r="DQ306" t="str">
        <f>+IFERROR(VLOOKUP(DQ7,IN_Zugliste!$A$4:$F$2002,7,FALSE),"")</f>
        <v/>
      </c>
      <c r="DR306" t="str">
        <f>+IFERROR(VLOOKUP(DR7,IN_Zugliste!$A$4:$F$2002,7,FALSE),"")</f>
        <v/>
      </c>
      <c r="DS306" t="str">
        <f>+IFERROR(VLOOKUP(DS7,IN_Zugliste!$A$4:$F$2002,7,FALSE),"")</f>
        <v/>
      </c>
      <c r="DT306" t="str">
        <f>+IFERROR(VLOOKUP(DT7,IN_Zugliste!$A$4:$F$2002,7,FALSE),"")</f>
        <v/>
      </c>
      <c r="DU306" t="str">
        <f>+IFERROR(VLOOKUP(DU7,IN_Zugliste!$A$4:$F$2002,7,FALSE),"")</f>
        <v/>
      </c>
      <c r="DV306" t="str">
        <f>+IFERROR(VLOOKUP(DV7,IN_Zugliste!$A$4:$F$2002,7,FALSE),"")</f>
        <v/>
      </c>
      <c r="DW306" t="str">
        <f>+IFERROR(VLOOKUP(DW7,IN_Zugliste!$A$4:$F$2002,7,FALSE),"")</f>
        <v/>
      </c>
      <c r="DX306" t="str">
        <f>+IFERROR(VLOOKUP(DX7,IN_Zugliste!$A$4:$F$2002,7,FALSE),"")</f>
        <v/>
      </c>
      <c r="DY306" t="str">
        <f>+IFERROR(VLOOKUP(DY7,IN_Zugliste!$A$4:$F$2002,7,FALSE),"")</f>
        <v/>
      </c>
      <c r="DZ306" t="str">
        <f>+IFERROR(VLOOKUP(DZ7,IN_Zugliste!$A$4:$F$2002,7,FALSE),"")</f>
        <v/>
      </c>
      <c r="EA306" t="str">
        <f>+IFERROR(VLOOKUP(EA7,IN_Zugliste!$A$4:$F$2002,7,FALSE),"")</f>
        <v/>
      </c>
      <c r="EB306" t="str">
        <f>+IFERROR(VLOOKUP(EB7,IN_Zugliste!$A$4:$F$2002,7,FALSE),"")</f>
        <v/>
      </c>
      <c r="EC306" t="str">
        <f>+IFERROR(VLOOKUP(EC7,IN_Zugliste!$A$4:$F$2002,7,FALSE),"")</f>
        <v/>
      </c>
      <c r="ED306" t="str">
        <f>+IFERROR(VLOOKUP(ED7,IN_Zugliste!$A$4:$F$2002,7,FALSE),"")</f>
        <v/>
      </c>
      <c r="EE306" t="str">
        <f>+IFERROR(VLOOKUP(EE7,IN_Zugliste!$A$4:$F$2002,7,FALSE),"")</f>
        <v/>
      </c>
      <c r="EF306" t="str">
        <f>+IFERROR(VLOOKUP(EF7,IN_Zugliste!$A$4:$F$2002,7,FALSE),"")</f>
        <v/>
      </c>
      <c r="EG306" t="str">
        <f>+IFERROR(VLOOKUP(EG7,IN_Zugliste!$A$4:$F$2002,7,FALSE),"")</f>
        <v/>
      </c>
      <c r="EH306" t="str">
        <f>+IFERROR(VLOOKUP(EH7,IN_Zugliste!$A$4:$F$2002,7,FALSE),"")</f>
        <v/>
      </c>
      <c r="EI306" t="str">
        <f>+IFERROR(VLOOKUP(EI7,IN_Zugliste!$A$4:$F$2002,7,FALSE),"")</f>
        <v/>
      </c>
      <c r="EJ306" t="str">
        <f>+IFERROR(VLOOKUP(EJ7,IN_Zugliste!$A$4:$F$2002,7,FALSE),"")</f>
        <v/>
      </c>
      <c r="EK306" t="str">
        <f>+IFERROR(VLOOKUP(EK7,IN_Zugliste!$A$4:$F$2002,7,FALSE),"")</f>
        <v/>
      </c>
      <c r="EL306" t="str">
        <f>+IFERROR(VLOOKUP(EL7,IN_Zugliste!$A$4:$F$2002,7,FALSE),"")</f>
        <v/>
      </c>
      <c r="EM306" t="str">
        <f>+IFERROR(VLOOKUP(EM7,IN_Zugliste!$A$4:$F$2002,7,FALSE),"")</f>
        <v/>
      </c>
      <c r="EN306" t="str">
        <f>+IFERROR(VLOOKUP(EN7,IN_Zugliste!$A$4:$F$2002,7,FALSE),"")</f>
        <v/>
      </c>
      <c r="EO306" t="str">
        <f>+IFERROR(VLOOKUP(EO7,IN_Zugliste!$A$4:$F$2002,7,FALSE),"")</f>
        <v/>
      </c>
      <c r="EP306" t="str">
        <f>+IFERROR(VLOOKUP(EP7,IN_Zugliste!$A$4:$F$2002,7,FALSE),"")</f>
        <v/>
      </c>
      <c r="EQ306" t="str">
        <f>+IFERROR(VLOOKUP(EQ7,IN_Zugliste!$A$4:$F$2002,7,FALSE),"")</f>
        <v/>
      </c>
      <c r="ER306" t="str">
        <f>+IFERROR(VLOOKUP(ER7,IN_Zugliste!$A$4:$F$2002,7,FALSE),"")</f>
        <v/>
      </c>
      <c r="ES306" t="str">
        <f>+IFERROR(VLOOKUP(ES7,IN_Zugliste!$A$4:$F$2002,7,FALSE),"")</f>
        <v/>
      </c>
      <c r="ET306" t="str">
        <f>+IFERROR(VLOOKUP(ET7,IN_Zugliste!$A$4:$F$2002,7,FALSE),"")</f>
        <v/>
      </c>
      <c r="EU306" t="str">
        <f>+IFERROR(VLOOKUP(EU7,IN_Zugliste!$A$4:$F$2002,7,FALSE),"")</f>
        <v/>
      </c>
      <c r="EV306" t="str">
        <f>+IFERROR(VLOOKUP(EV7,IN_Zugliste!$A$4:$F$2002,7,FALSE),"")</f>
        <v/>
      </c>
      <c r="EW306" t="str">
        <f>+IFERROR(VLOOKUP(EW7,IN_Zugliste!$A$4:$F$2002,7,FALSE),"")</f>
        <v/>
      </c>
      <c r="EX306" t="str">
        <f>+IFERROR(VLOOKUP(EX7,IN_Zugliste!$A$4:$F$2002,7,FALSE),"")</f>
        <v/>
      </c>
      <c r="EY306" t="str">
        <f>+IFERROR(VLOOKUP(EY7,IN_Zugliste!$A$4:$F$2002,7,FALSE),"")</f>
        <v/>
      </c>
      <c r="EZ306" t="str">
        <f>+IFERROR(VLOOKUP(EZ7,IN_Zugliste!$A$4:$F$2002,7,FALSE),"")</f>
        <v/>
      </c>
      <c r="FA306" t="str">
        <f>+IFERROR(VLOOKUP(FA7,IN_Zugliste!$A$4:$F$2002,7,FALSE),"")</f>
        <v/>
      </c>
      <c r="FB306" t="str">
        <f>+IFERROR(VLOOKUP(FB7,IN_Zugliste!$A$4:$F$2002,7,FALSE),"")</f>
        <v/>
      </c>
      <c r="FC306" t="str">
        <f>+IFERROR(VLOOKUP(FC7,IN_Zugliste!$A$4:$F$2002,7,FALSE),"")</f>
        <v/>
      </c>
      <c r="FD306" t="str">
        <f>+IFERROR(VLOOKUP(FD7,IN_Zugliste!$A$4:$F$2002,7,FALSE),"")</f>
        <v/>
      </c>
      <c r="FE306" t="str">
        <f>+IFERROR(VLOOKUP(FE7,IN_Zugliste!$A$4:$F$2002,7,FALSE),"")</f>
        <v/>
      </c>
      <c r="FF306" t="str">
        <f>+IFERROR(VLOOKUP(FF7,IN_Zugliste!$A$4:$F$2002,7,FALSE),"")</f>
        <v/>
      </c>
      <c r="FG306" t="str">
        <f>+IFERROR(VLOOKUP(FG7,IN_Zugliste!$A$4:$F$2002,7,FALSE),"")</f>
        <v/>
      </c>
      <c r="FH306" t="str">
        <f>+IFERROR(VLOOKUP(FH7,IN_Zugliste!$A$4:$F$2002,7,FALSE),"")</f>
        <v/>
      </c>
      <c r="FI306" t="str">
        <f>+IFERROR(VLOOKUP(FI7,IN_Zugliste!$A$4:$F$2002,7,FALSE),"")</f>
        <v/>
      </c>
      <c r="FJ306" t="str">
        <f>+IFERROR(VLOOKUP(FJ7,IN_Zugliste!$A$4:$F$2002,7,FALSE),"")</f>
        <v/>
      </c>
      <c r="FK306" t="str">
        <f>+IFERROR(VLOOKUP(FK7,IN_Zugliste!$A$4:$F$2002,7,FALSE),"")</f>
        <v/>
      </c>
      <c r="FL306" t="str">
        <f>+IFERROR(VLOOKUP(FL7,IN_Zugliste!$A$4:$F$2002,7,FALSE),"")</f>
        <v/>
      </c>
      <c r="FM306" t="str">
        <f>+IFERROR(VLOOKUP(FM7,IN_Zugliste!$A$4:$F$2002,7,FALSE),"")</f>
        <v/>
      </c>
      <c r="FN306" t="str">
        <f>+IFERROR(VLOOKUP(FN7,IN_Zugliste!$A$4:$F$2002,7,FALSE),"")</f>
        <v/>
      </c>
      <c r="FO306" t="str">
        <f>+IFERROR(VLOOKUP(FO7,IN_Zugliste!$A$4:$F$2002,7,FALSE),"")</f>
        <v/>
      </c>
      <c r="FP306" t="str">
        <f>+IFERROR(VLOOKUP(FP7,IN_Zugliste!$A$4:$F$2002,7,FALSE),"")</f>
        <v/>
      </c>
      <c r="FQ306" t="str">
        <f>+IFERROR(VLOOKUP(FQ7,IN_Zugliste!$A$4:$F$2002,7,FALSE),"")</f>
        <v/>
      </c>
      <c r="FR306" t="str">
        <f>+IFERROR(VLOOKUP(FR7,IN_Zugliste!$A$4:$F$2002,7,FALSE),"")</f>
        <v/>
      </c>
      <c r="FS306" t="str">
        <f>+IFERROR(VLOOKUP(FS7,IN_Zugliste!$A$4:$F$2002,7,FALSE),"")</f>
        <v/>
      </c>
      <c r="FT306" t="str">
        <f>+IFERROR(VLOOKUP(FT7,IN_Zugliste!$A$4:$F$2002,7,FALSE),"")</f>
        <v/>
      </c>
      <c r="FU306" t="str">
        <f>+IFERROR(VLOOKUP(FU7,IN_Zugliste!$A$4:$F$2002,7,FALSE),"")</f>
        <v/>
      </c>
      <c r="FV306" t="str">
        <f>+IFERROR(VLOOKUP(FV7,IN_Zugliste!$A$4:$F$2002,7,FALSE),"")</f>
        <v/>
      </c>
      <c r="FW306" t="str">
        <f>+IFERROR(VLOOKUP(FW7,IN_Zugliste!$A$4:$F$2002,7,FALSE),"")</f>
        <v/>
      </c>
      <c r="FX306" t="str">
        <f>+IFERROR(VLOOKUP(FX7,IN_Zugliste!$A$4:$F$2002,7,FALSE),"")</f>
        <v/>
      </c>
      <c r="FY306" t="str">
        <f>+IFERROR(VLOOKUP(FY7,IN_Zugliste!$A$4:$F$2002,7,FALSE),"")</f>
        <v/>
      </c>
      <c r="FZ306" t="str">
        <f>+IFERROR(VLOOKUP(FZ7,IN_Zugliste!$A$4:$F$2002,7,FALSE),"")</f>
        <v/>
      </c>
      <c r="GA306" t="str">
        <f>+IFERROR(VLOOKUP(GA7,IN_Zugliste!$A$4:$F$2002,7,FALSE),"")</f>
        <v/>
      </c>
      <c r="GB306" t="str">
        <f>+IFERROR(VLOOKUP(GB7,IN_Zugliste!$A$4:$F$2002,7,FALSE),"")</f>
        <v/>
      </c>
      <c r="GC306" t="str">
        <f>+IFERROR(VLOOKUP(GC7,IN_Zugliste!$A$4:$F$2002,7,FALSE),"")</f>
        <v/>
      </c>
      <c r="GD306" t="str">
        <f>+IFERROR(VLOOKUP(GD7,IN_Zugliste!$A$4:$F$2002,7,FALSE),"")</f>
        <v/>
      </c>
      <c r="GE306" t="str">
        <f>+IFERROR(VLOOKUP(GE7,IN_Zugliste!$A$4:$F$2002,7,FALSE),"")</f>
        <v/>
      </c>
      <c r="GF306" t="str">
        <f>+IFERROR(VLOOKUP(GF7,IN_Zugliste!$A$4:$F$2002,7,FALSE),"")</f>
        <v/>
      </c>
      <c r="GG306" t="str">
        <f>+IFERROR(VLOOKUP(GG7,IN_Zugliste!$A$4:$F$2002,7,FALSE),"")</f>
        <v/>
      </c>
      <c r="GH306" t="str">
        <f>+IFERROR(VLOOKUP(GH7,IN_Zugliste!$A$4:$F$2002,7,FALSE),"")</f>
        <v/>
      </c>
      <c r="GI306" t="str">
        <f>+IFERROR(VLOOKUP(GI7,IN_Zugliste!$A$4:$F$2002,7,FALSE),"")</f>
        <v/>
      </c>
      <c r="GJ306" t="str">
        <f>+IFERROR(VLOOKUP(GJ7,IN_Zugliste!$A$4:$F$2002,7,FALSE),"")</f>
        <v/>
      </c>
      <c r="GK306" t="str">
        <f>+IFERROR(VLOOKUP(GK7,IN_Zugliste!$A$4:$F$2002,7,FALSE),"")</f>
        <v/>
      </c>
      <c r="GL306" t="str">
        <f>+IFERROR(VLOOKUP(GL7,IN_Zugliste!$A$4:$F$2002,7,FALSE),"")</f>
        <v/>
      </c>
      <c r="GM306" t="str">
        <f>+IFERROR(VLOOKUP(GM7,IN_Zugliste!$A$4:$F$2002,7,FALSE),"")</f>
        <v/>
      </c>
      <c r="GN306" t="str">
        <f>+IFERROR(VLOOKUP(GN7,IN_Zugliste!$A$4:$F$2002,7,FALSE),"")</f>
        <v/>
      </c>
      <c r="GO306" t="str">
        <f>+IFERROR(VLOOKUP(GO7,IN_Zugliste!$A$4:$F$2002,7,FALSE),"")</f>
        <v/>
      </c>
      <c r="GP306" t="str">
        <f>+IFERROR(VLOOKUP(GP7,IN_Zugliste!$A$4:$F$2002,7,FALSE),"")</f>
        <v/>
      </c>
      <c r="GQ306" t="str">
        <f>+IFERROR(VLOOKUP(GQ7,IN_Zugliste!$A$4:$F$2002,7,FALSE),"")</f>
        <v/>
      </c>
      <c r="GR306" t="str">
        <f>+IFERROR(VLOOKUP(GR7,IN_Zugliste!$A$4:$F$2002,7,FALSE),"")</f>
        <v/>
      </c>
      <c r="GS306" t="str">
        <f>+IFERROR(VLOOKUP(GS7,IN_Zugliste!$A$4:$F$2002,7,FALSE),"")</f>
        <v/>
      </c>
      <c r="GT306" t="str">
        <f>+IFERROR(VLOOKUP(GT7,IN_Zugliste!$A$4:$F$2002,7,FALSE),"")</f>
        <v/>
      </c>
      <c r="GU306" t="str">
        <f>+IFERROR(VLOOKUP(GU7,IN_Zugliste!$A$4:$F$2002,7,FALSE),"")</f>
        <v/>
      </c>
      <c r="GV306" t="str">
        <f>+IFERROR(VLOOKUP(GV7,IN_Zugliste!$A$4:$F$2002,7,FALSE),"")</f>
        <v/>
      </c>
      <c r="GW306" t="str">
        <f>+IFERROR(VLOOKUP(GW7,IN_Zugliste!$A$4:$F$2002,7,FALSE),"")</f>
        <v/>
      </c>
      <c r="GX306" t="str">
        <f>+IFERROR(VLOOKUP(GX7,IN_Zugliste!$A$4:$F$2002,7,FALSE),"")</f>
        <v/>
      </c>
      <c r="GY306" t="str">
        <f>+IFERROR(VLOOKUP(GY7,IN_Zugliste!$A$4:$F$2002,7,FALSE),"")</f>
        <v/>
      </c>
      <c r="GZ306" t="str">
        <f>+IFERROR(VLOOKUP(GZ7,IN_Zugliste!$A$4:$F$2002,7,FALSE),"")</f>
        <v/>
      </c>
      <c r="HA306" t="str">
        <f>+IFERROR(VLOOKUP(HA7,IN_Zugliste!$A$4:$F$2002,7,FALSE),"")</f>
        <v/>
      </c>
      <c r="HB306" t="str">
        <f>+IFERROR(VLOOKUP(HB7,IN_Zugliste!$A$4:$F$2002,7,FALSE),"")</f>
        <v/>
      </c>
      <c r="HC306" t="str">
        <f>+IFERROR(VLOOKUP(HC7,IN_Zugliste!$A$4:$F$2002,7,FALSE),"")</f>
        <v/>
      </c>
      <c r="HD306" t="str">
        <f>+IFERROR(VLOOKUP(HD7,IN_Zugliste!$A$4:$F$2002,7,FALSE),"")</f>
        <v/>
      </c>
      <c r="HE306" t="str">
        <f>+IFERROR(VLOOKUP(HE7,IN_Zugliste!$A$4:$F$2002,7,FALSE),"")</f>
        <v/>
      </c>
      <c r="HF306" t="str">
        <f>+IFERROR(VLOOKUP(HF7,IN_Zugliste!$A$4:$F$2002,7,FALSE),"")</f>
        <v/>
      </c>
      <c r="HG306" t="str">
        <f>+IFERROR(VLOOKUP(HG7,IN_Zugliste!$A$4:$F$2002,7,FALSE),"")</f>
        <v/>
      </c>
      <c r="HH306" t="str">
        <f>+IFERROR(VLOOKUP(HH7,IN_Zugliste!$A$4:$F$2002,7,FALSE),"")</f>
        <v/>
      </c>
      <c r="HI306" t="str">
        <f>+IFERROR(VLOOKUP(HI7,IN_Zugliste!$A$4:$F$2002,7,FALSE),"")</f>
        <v/>
      </c>
      <c r="HJ306" t="str">
        <f>+IFERROR(VLOOKUP(HJ7,IN_Zugliste!$A$4:$F$2002,7,FALSE),"")</f>
        <v/>
      </c>
      <c r="HK306" t="str">
        <f>+IFERROR(VLOOKUP(HK7,IN_Zugliste!$A$4:$F$2002,7,FALSE),"")</f>
        <v/>
      </c>
      <c r="HL306" t="str">
        <f>+IFERROR(VLOOKUP(HL7,IN_Zugliste!$A$4:$F$2002,7,FALSE),"")</f>
        <v/>
      </c>
      <c r="HM306" t="str">
        <f>+IFERROR(VLOOKUP(HM7,IN_Zugliste!$A$4:$F$2002,7,FALSE),"")</f>
        <v/>
      </c>
      <c r="HN306" t="str">
        <f>+IFERROR(VLOOKUP(HN7,IN_Zugliste!$A$4:$F$2002,7,FALSE),"")</f>
        <v/>
      </c>
      <c r="HO306" t="str">
        <f>+IFERROR(VLOOKUP(HO7,IN_Zugliste!$A$4:$F$2002,7,FALSE),"")</f>
        <v/>
      </c>
      <c r="HP306" t="str">
        <f>+IFERROR(VLOOKUP(HP7,IN_Zugliste!$A$4:$F$2002,7,FALSE),"")</f>
        <v/>
      </c>
      <c r="HQ306" t="str">
        <f>+IFERROR(VLOOKUP(HQ7,IN_Zugliste!$A$4:$F$2002,7,FALSE),"")</f>
        <v/>
      </c>
      <c r="HR306" t="str">
        <f>+IFERROR(VLOOKUP(HR7,IN_Zugliste!$A$4:$F$2002,7,FALSE),"")</f>
        <v/>
      </c>
      <c r="HS306" t="str">
        <f>+IFERROR(VLOOKUP(HS7,IN_Zugliste!$A$4:$F$2002,7,FALSE),"")</f>
        <v/>
      </c>
      <c r="HT306" t="str">
        <f>+IFERROR(VLOOKUP(HT7,IN_Zugliste!$A$4:$F$2002,7,FALSE),"")</f>
        <v/>
      </c>
      <c r="HU306" t="str">
        <f>+IFERROR(VLOOKUP(HU7,IN_Zugliste!$A$4:$F$2002,7,FALSE),"")</f>
        <v/>
      </c>
      <c r="HV306" t="str">
        <f>+IFERROR(VLOOKUP(HV7,IN_Zugliste!$A$4:$F$2002,7,FALSE),"")</f>
        <v/>
      </c>
      <c r="HW306" t="str">
        <f>+IFERROR(VLOOKUP(HW7,IN_Zugliste!$A$4:$F$2002,7,FALSE),"")</f>
        <v/>
      </c>
      <c r="HX306" t="str">
        <f>+IFERROR(VLOOKUP(HX7,IN_Zugliste!$A$4:$F$2002,7,FALSE),"")</f>
        <v/>
      </c>
      <c r="HY306" t="str">
        <f>+IFERROR(VLOOKUP(HY7,IN_Zugliste!$A$4:$F$2002,7,FALSE),"")</f>
        <v/>
      </c>
      <c r="HZ306" t="str">
        <f>+IFERROR(VLOOKUP(HZ7,IN_Zugliste!$A$4:$F$2002,7,FALSE),"")</f>
        <v/>
      </c>
      <c r="IA306" t="str">
        <f>+IFERROR(VLOOKUP(IA7,IN_Zugliste!$A$4:$F$2002,7,FALSE),"")</f>
        <v/>
      </c>
      <c r="IB306" t="str">
        <f>+IFERROR(VLOOKUP(IB7,IN_Zugliste!$A$4:$F$2002,7,FALSE),"")</f>
        <v/>
      </c>
      <c r="IC306" t="str">
        <f>+IFERROR(VLOOKUP(IC7,IN_Zugliste!$A$4:$F$2002,7,FALSE),"")</f>
        <v/>
      </c>
      <c r="ID306" t="str">
        <f>+IFERROR(VLOOKUP(ID7,IN_Zugliste!$A$4:$F$2002,7,FALSE),"")</f>
        <v/>
      </c>
      <c r="IE306" t="str">
        <f>+IFERROR(VLOOKUP(IE7,IN_Zugliste!$A$4:$F$2002,7,FALSE),"")</f>
        <v/>
      </c>
      <c r="IF306" t="str">
        <f>+IFERROR(VLOOKUP(IF7,IN_Zugliste!$A$4:$F$2002,7,FALSE),"")</f>
        <v/>
      </c>
      <c r="IG306" t="str">
        <f>+IFERROR(VLOOKUP(IG7,IN_Zugliste!$A$4:$F$2002,7,FALSE),"")</f>
        <v/>
      </c>
      <c r="IH306" t="str">
        <f>+IFERROR(VLOOKUP(IH7,IN_Zugliste!$A$4:$F$2002,7,FALSE),"")</f>
        <v/>
      </c>
      <c r="II306" t="str">
        <f>+IFERROR(VLOOKUP(II7,IN_Zugliste!$A$4:$F$2002,7,FALSE),"")</f>
        <v/>
      </c>
      <c r="IJ306" t="str">
        <f>+IFERROR(VLOOKUP(IJ7,IN_Zugliste!$A$4:$F$2002,7,FALSE),"")</f>
        <v/>
      </c>
      <c r="IK306" t="str">
        <f>+IFERROR(VLOOKUP(IK7,IN_Zugliste!$A$4:$F$2002,7,FALSE),"")</f>
        <v/>
      </c>
      <c r="IL306" t="str">
        <f>+IFERROR(VLOOKUP(IL7,IN_Zugliste!$A$4:$F$2002,7,FALSE),"")</f>
        <v/>
      </c>
      <c r="IM306" t="str">
        <f>+IFERROR(VLOOKUP(IM7,IN_Zugliste!$A$4:$F$2002,7,FALSE),"")</f>
        <v/>
      </c>
      <c r="IN306" t="str">
        <f>+IFERROR(VLOOKUP(IN7,IN_Zugliste!$A$4:$F$2002,7,FALSE),"")</f>
        <v/>
      </c>
      <c r="IO306" t="str">
        <f>+IFERROR(VLOOKUP(IO7,IN_Zugliste!$A$4:$F$2002,7,FALSE),"")</f>
        <v/>
      </c>
      <c r="IP306" t="str">
        <f>+IFERROR(VLOOKUP(IP7,IN_Zugliste!$A$4:$F$2002,7,FALSE),"")</f>
        <v/>
      </c>
      <c r="IQ306" t="str">
        <f>+IFERROR(VLOOKUP(IQ7,IN_Zugliste!$A$4:$F$2002,7,FALSE),"")</f>
        <v/>
      </c>
      <c r="IR306" t="str">
        <f>+IFERROR(VLOOKUP(IR7,IN_Zugliste!$A$4:$F$2002,7,FALSE),"")</f>
        <v/>
      </c>
      <c r="IS306" t="str">
        <f>+IFERROR(VLOOKUP(IS7,IN_Zugliste!$A$4:$F$2002,7,FALSE),"")</f>
        <v/>
      </c>
      <c r="IT306" t="str">
        <f>+IFERROR(VLOOKUP(IT7,IN_Zugliste!$A$4:$F$2002,7,FALSE),"")</f>
        <v/>
      </c>
      <c r="IU306" t="str">
        <f>+IFERROR(VLOOKUP(IU7,IN_Zugliste!$A$4:$F$2002,7,FALSE),"")</f>
        <v/>
      </c>
      <c r="IV306" t="str">
        <f>+IFERROR(VLOOKUP(IV7,IN_Zugliste!$A$4:$F$2002,7,FALSE),"")</f>
        <v/>
      </c>
      <c r="IW306" t="str">
        <f>+IFERROR(VLOOKUP(IW7,IN_Zugliste!$A$4:$F$2002,7,FALSE),"")</f>
        <v/>
      </c>
      <c r="IX306" t="str">
        <f>+IFERROR(VLOOKUP(IX7,IN_Zugliste!$A$4:$F$2002,7,FALSE),"")</f>
        <v/>
      </c>
      <c r="IY306" t="str">
        <f>+IFERROR(VLOOKUP(IY7,IN_Zugliste!$A$4:$F$2002,7,FALSE),"")</f>
        <v/>
      </c>
      <c r="IZ306" t="str">
        <f>+IFERROR(VLOOKUP(IZ7,IN_Zugliste!$A$4:$F$2002,7,FALSE),"")</f>
        <v/>
      </c>
      <c r="JA306" t="str">
        <f>+IFERROR(VLOOKUP(JA7,IN_Zugliste!$A$4:$F$2002,7,FALSE),"")</f>
        <v/>
      </c>
      <c r="JB306" t="str">
        <f>+IFERROR(VLOOKUP(JB7,IN_Zugliste!$A$4:$F$2002,7,FALSE),"")</f>
        <v/>
      </c>
      <c r="JC306" t="str">
        <f>+IFERROR(VLOOKUP(JC7,IN_Zugliste!$A$4:$F$2002,7,FALSE),"")</f>
        <v/>
      </c>
      <c r="JD306" t="str">
        <f>+IFERROR(VLOOKUP(JD7,IN_Zugliste!$A$4:$F$2002,7,FALSE),"")</f>
        <v/>
      </c>
      <c r="JE306" t="str">
        <f>+IFERROR(VLOOKUP(JE7,IN_Zugliste!$A$4:$F$2002,7,FALSE),"")</f>
        <v/>
      </c>
      <c r="JF306" t="str">
        <f>+IFERROR(VLOOKUP(JF7,IN_Zugliste!$A$4:$F$2002,7,FALSE),"")</f>
        <v/>
      </c>
      <c r="JG306" t="str">
        <f>+IFERROR(VLOOKUP(JG7,IN_Zugliste!$A$4:$F$2002,7,FALSE),"")</f>
        <v/>
      </c>
      <c r="JH306" t="str">
        <f>+IFERROR(VLOOKUP(JH7,IN_Zugliste!$A$4:$F$2002,7,FALSE),"")</f>
        <v/>
      </c>
      <c r="JI306" t="str">
        <f>+IFERROR(VLOOKUP(JI7,IN_Zugliste!$A$4:$F$2002,7,FALSE),"")</f>
        <v/>
      </c>
      <c r="JJ306" t="str">
        <f>+IFERROR(VLOOKUP(JJ7,IN_Zugliste!$A$4:$F$2002,7,FALSE),"")</f>
        <v/>
      </c>
    </row>
    <row r="307" spans="1:270" x14ac:dyDescent="0.2">
      <c r="A307" t="str">
        <f>+IFERROR(VLOOKUP(A8,IN_Zugliste!$A$4:$F$2002,7,FALSE),"")</f>
        <v/>
      </c>
      <c r="B307" t="str">
        <f>+IFERROR(VLOOKUP(B8,IN_Zugliste!$A$4:$F$2002,7,FALSE),"")</f>
        <v/>
      </c>
      <c r="C307" t="str">
        <f>+IFERROR(VLOOKUP(C8,IN_Zugliste!$A$4:$F$2002,7,FALSE),"")</f>
        <v/>
      </c>
      <c r="D307" t="str">
        <f>+IFERROR(VLOOKUP(D8,IN_Zugliste!$A$4:$F$2002,7,FALSE),"")</f>
        <v/>
      </c>
      <c r="E307" t="str">
        <f>+IFERROR(VLOOKUP(E8,IN_Zugliste!$A$4:$F$2002,7,FALSE),"")</f>
        <v/>
      </c>
      <c r="F307" t="str">
        <f>+IFERROR(VLOOKUP(F8,IN_Zugliste!$A$4:$F$2002,7,FALSE),"")</f>
        <v/>
      </c>
      <c r="G307" t="str">
        <f>+IFERROR(VLOOKUP(G8,IN_Zugliste!$A$4:$F$2002,7,FALSE),"")</f>
        <v/>
      </c>
      <c r="H307" t="str">
        <f>+IFERROR(VLOOKUP(H8,IN_Zugliste!$A$4:$F$2002,7,FALSE),"")</f>
        <v/>
      </c>
      <c r="I307" t="str">
        <f>+IFERROR(VLOOKUP(I8,IN_Zugliste!$A$4:$F$2002,7,FALSE),"")</f>
        <v/>
      </c>
      <c r="J307" t="str">
        <f>+IFERROR(VLOOKUP(J8,IN_Zugliste!$A$4:$F$2002,7,FALSE),"")</f>
        <v/>
      </c>
      <c r="K307" t="str">
        <f>+IFERROR(VLOOKUP(K8,IN_Zugliste!$A$4:$F$2002,7,FALSE),"")</f>
        <v/>
      </c>
      <c r="L307" t="str">
        <f>+IFERROR(VLOOKUP(L8,IN_Zugliste!$A$4:$F$2002,7,FALSE),"")</f>
        <v/>
      </c>
      <c r="M307" t="str">
        <f>+IFERROR(VLOOKUP(M8,IN_Zugliste!$A$4:$F$2002,7,FALSE),"")</f>
        <v/>
      </c>
      <c r="N307" t="str">
        <f>+IFERROR(VLOOKUP(N8,IN_Zugliste!$A$4:$F$2002,7,FALSE),"")</f>
        <v/>
      </c>
      <c r="O307" t="str">
        <f>+IFERROR(VLOOKUP(O8,IN_Zugliste!$A$4:$F$2002,7,FALSE),"")</f>
        <v/>
      </c>
      <c r="P307" t="str">
        <f>+IFERROR(VLOOKUP(P8,IN_Zugliste!$A$4:$F$2002,7,FALSE),"")</f>
        <v/>
      </c>
      <c r="Q307" t="str">
        <f>+IFERROR(VLOOKUP(Q8,IN_Zugliste!$A$4:$F$2002,7,FALSE),"")</f>
        <v/>
      </c>
      <c r="R307" t="str">
        <f>+IFERROR(VLOOKUP(R8,IN_Zugliste!$A$4:$F$2002,7,FALSE),"")</f>
        <v/>
      </c>
      <c r="S307" t="str">
        <f>+IFERROR(VLOOKUP(S8,IN_Zugliste!$A$4:$F$2002,7,FALSE),"")</f>
        <v/>
      </c>
      <c r="T307" t="str">
        <f>+IFERROR(VLOOKUP(T8,IN_Zugliste!$A$4:$F$2002,7,FALSE),"")</f>
        <v/>
      </c>
      <c r="U307" t="str">
        <f>+IFERROR(VLOOKUP(U8,IN_Zugliste!$A$4:$F$2002,7,FALSE),"")</f>
        <v/>
      </c>
      <c r="V307" t="str">
        <f>+IFERROR(VLOOKUP(V8,IN_Zugliste!$A$4:$F$2002,7,FALSE),"")</f>
        <v/>
      </c>
      <c r="W307" t="str">
        <f>+IFERROR(VLOOKUP(W8,IN_Zugliste!$A$4:$F$2002,7,FALSE),"")</f>
        <v/>
      </c>
      <c r="X307" t="str">
        <f>+IFERROR(VLOOKUP(X8,IN_Zugliste!$A$4:$F$2002,7,FALSE),"")</f>
        <v/>
      </c>
      <c r="Y307" t="str">
        <f>+IFERROR(VLOOKUP(Y8,IN_Zugliste!$A$4:$F$2002,7,FALSE),"")</f>
        <v/>
      </c>
      <c r="Z307" t="str">
        <f>+IFERROR(VLOOKUP(Z8,IN_Zugliste!$A$4:$F$2002,7,FALSE),"")</f>
        <v/>
      </c>
      <c r="AA307" t="str">
        <f>+IFERROR(VLOOKUP(AA8,IN_Zugliste!$A$4:$F$2002,7,FALSE),"")</f>
        <v/>
      </c>
      <c r="AB307" t="str">
        <f>+IFERROR(VLOOKUP(AB8,IN_Zugliste!$A$4:$F$2002,7,FALSE),"")</f>
        <v/>
      </c>
      <c r="AC307" t="str">
        <f>+IFERROR(VLOOKUP(AC8,IN_Zugliste!$A$4:$F$2002,7,FALSE),"")</f>
        <v/>
      </c>
      <c r="AD307" t="str">
        <f>+IFERROR(VLOOKUP(AD8,IN_Zugliste!$A$4:$F$2002,7,FALSE),"")</f>
        <v/>
      </c>
      <c r="AE307" t="str">
        <f>+IFERROR(VLOOKUP(AE8,IN_Zugliste!$A$4:$F$2002,7,FALSE),"")</f>
        <v/>
      </c>
      <c r="AF307" t="str">
        <f>+IFERROR(VLOOKUP(AF8,IN_Zugliste!$A$4:$F$2002,7,FALSE),"")</f>
        <v/>
      </c>
      <c r="AG307" t="str">
        <f>+IFERROR(VLOOKUP(AG8,IN_Zugliste!$A$4:$F$2002,7,FALSE),"")</f>
        <v/>
      </c>
      <c r="AH307" t="str">
        <f>+IFERROR(VLOOKUP(AH8,IN_Zugliste!$A$4:$F$2002,7,FALSE),"")</f>
        <v/>
      </c>
      <c r="AI307" t="str">
        <f>+IFERROR(VLOOKUP(AI8,IN_Zugliste!$A$4:$F$2002,7,FALSE),"")</f>
        <v/>
      </c>
      <c r="AJ307" t="str">
        <f>+IFERROR(VLOOKUP(AJ8,IN_Zugliste!$A$4:$F$2002,7,FALSE),"")</f>
        <v/>
      </c>
      <c r="AK307" t="str">
        <f>+IFERROR(VLOOKUP(AK8,IN_Zugliste!$A$4:$F$2002,7,FALSE),"")</f>
        <v/>
      </c>
      <c r="AL307" t="str">
        <f>+IFERROR(VLOOKUP(AL8,IN_Zugliste!$A$4:$F$2002,7,FALSE),"")</f>
        <v/>
      </c>
      <c r="AM307" t="str">
        <f>+IFERROR(VLOOKUP(AM8,IN_Zugliste!$A$4:$F$2002,7,FALSE),"")</f>
        <v/>
      </c>
      <c r="AN307" t="str">
        <f>+IFERROR(VLOOKUP(AN8,IN_Zugliste!$A$4:$F$2002,7,FALSE),"")</f>
        <v/>
      </c>
      <c r="AO307" t="str">
        <f>+IFERROR(VLOOKUP(AO8,IN_Zugliste!$A$4:$F$2002,7,FALSE),"")</f>
        <v/>
      </c>
      <c r="AP307" t="str">
        <f>+IFERROR(VLOOKUP(AP8,IN_Zugliste!$A$4:$F$2002,7,FALSE),"")</f>
        <v/>
      </c>
      <c r="AQ307" t="str">
        <f>+IFERROR(VLOOKUP(AQ8,IN_Zugliste!$A$4:$F$2002,7,FALSE),"")</f>
        <v/>
      </c>
      <c r="AR307" t="str">
        <f>+IFERROR(VLOOKUP(AR8,IN_Zugliste!$A$4:$F$2002,7,FALSE),"")</f>
        <v/>
      </c>
      <c r="AS307" t="str">
        <f>+IFERROR(VLOOKUP(AS8,IN_Zugliste!$A$4:$F$2002,7,FALSE),"")</f>
        <v/>
      </c>
      <c r="AT307" t="str">
        <f>+IFERROR(VLOOKUP(AT8,IN_Zugliste!$A$4:$F$2002,7,FALSE),"")</f>
        <v/>
      </c>
      <c r="AU307" t="str">
        <f>+IFERROR(VLOOKUP(AU8,IN_Zugliste!$A$4:$F$2002,7,FALSE),"")</f>
        <v/>
      </c>
      <c r="AV307" t="str">
        <f>+IFERROR(VLOOKUP(AV8,IN_Zugliste!$A$4:$F$2002,7,FALSE),"")</f>
        <v/>
      </c>
      <c r="AW307" t="str">
        <f>+IFERROR(VLOOKUP(AW8,IN_Zugliste!$A$4:$F$2002,7,FALSE),"")</f>
        <v/>
      </c>
      <c r="AX307" t="str">
        <f>+IFERROR(VLOOKUP(AX8,IN_Zugliste!$A$4:$F$2002,7,FALSE),"")</f>
        <v/>
      </c>
      <c r="AY307" t="str">
        <f>+IFERROR(VLOOKUP(AY8,IN_Zugliste!$A$4:$F$2002,7,FALSE),"")</f>
        <v/>
      </c>
      <c r="AZ307" t="str">
        <f>+IFERROR(VLOOKUP(AZ8,IN_Zugliste!$A$4:$F$2002,7,FALSE),"")</f>
        <v/>
      </c>
      <c r="BA307" t="str">
        <f>+IFERROR(VLOOKUP(BA8,IN_Zugliste!$A$4:$F$2002,7,FALSE),"")</f>
        <v/>
      </c>
      <c r="BB307" t="str">
        <f>+IFERROR(VLOOKUP(BB8,IN_Zugliste!$A$4:$F$2002,7,FALSE),"")</f>
        <v/>
      </c>
      <c r="BC307" t="str">
        <f>+IFERROR(VLOOKUP(BC8,IN_Zugliste!$A$4:$F$2002,7,FALSE),"")</f>
        <v/>
      </c>
      <c r="BD307" t="str">
        <f>+IFERROR(VLOOKUP(BD8,IN_Zugliste!$A$4:$F$2002,7,FALSE),"")</f>
        <v/>
      </c>
      <c r="BE307" t="str">
        <f>+IFERROR(VLOOKUP(BE8,IN_Zugliste!$A$4:$F$2002,7,FALSE),"")</f>
        <v/>
      </c>
      <c r="BF307" t="str">
        <f>+IFERROR(VLOOKUP(BF8,IN_Zugliste!$A$4:$F$2002,7,FALSE),"")</f>
        <v/>
      </c>
      <c r="BG307" t="str">
        <f>+IFERROR(VLOOKUP(BG8,IN_Zugliste!$A$4:$F$2002,7,FALSE),"")</f>
        <v/>
      </c>
      <c r="BH307" t="str">
        <f>+IFERROR(VLOOKUP(BH8,IN_Zugliste!$A$4:$F$2002,7,FALSE),"")</f>
        <v/>
      </c>
      <c r="BI307" t="str">
        <f>+IFERROR(VLOOKUP(BI8,IN_Zugliste!$A$4:$F$2002,7,FALSE),"")</f>
        <v/>
      </c>
      <c r="BJ307" t="str">
        <f>+IFERROR(VLOOKUP(BJ8,IN_Zugliste!$A$4:$F$2002,7,FALSE),"")</f>
        <v/>
      </c>
      <c r="BK307" t="str">
        <f>+IFERROR(VLOOKUP(BK8,IN_Zugliste!$A$4:$F$2002,7,FALSE),"")</f>
        <v/>
      </c>
      <c r="BL307" t="str">
        <f>+IFERROR(VLOOKUP(BL8,IN_Zugliste!$A$4:$F$2002,7,FALSE),"")</f>
        <v/>
      </c>
      <c r="BM307" t="str">
        <f>+IFERROR(VLOOKUP(BM8,IN_Zugliste!$A$4:$F$2002,7,FALSE),"")</f>
        <v/>
      </c>
      <c r="BN307" t="str">
        <f>+IFERROR(VLOOKUP(BN8,IN_Zugliste!$A$4:$F$2002,7,FALSE),"")</f>
        <v/>
      </c>
      <c r="BO307" t="str">
        <f>+IFERROR(VLOOKUP(BO8,IN_Zugliste!$A$4:$F$2002,7,FALSE),"")</f>
        <v/>
      </c>
      <c r="BP307" t="str">
        <f>+IFERROR(VLOOKUP(BP8,IN_Zugliste!$A$4:$F$2002,7,FALSE),"")</f>
        <v/>
      </c>
      <c r="BQ307" t="str">
        <f>+IFERROR(VLOOKUP(BQ8,IN_Zugliste!$A$4:$F$2002,7,FALSE),"")</f>
        <v/>
      </c>
      <c r="BR307" t="str">
        <f>+IFERROR(VLOOKUP(BR8,IN_Zugliste!$A$4:$F$2002,7,FALSE),"")</f>
        <v/>
      </c>
      <c r="BS307" t="str">
        <f>+IFERROR(VLOOKUP(BS8,IN_Zugliste!$A$4:$F$2002,7,FALSE),"")</f>
        <v/>
      </c>
      <c r="BT307" t="str">
        <f>+IFERROR(VLOOKUP(BT8,IN_Zugliste!$A$4:$F$2002,7,FALSE),"")</f>
        <v/>
      </c>
      <c r="BU307" t="str">
        <f>+IFERROR(VLOOKUP(BU8,IN_Zugliste!$A$4:$F$2002,7,FALSE),"")</f>
        <v/>
      </c>
      <c r="BV307" t="str">
        <f>+IFERROR(VLOOKUP(BV8,IN_Zugliste!$A$4:$F$2002,7,FALSE),"")</f>
        <v/>
      </c>
      <c r="BW307" t="str">
        <f>+IFERROR(VLOOKUP(BW8,IN_Zugliste!$A$4:$F$2002,7,FALSE),"")</f>
        <v/>
      </c>
      <c r="BX307" t="str">
        <f>+IFERROR(VLOOKUP(BX8,IN_Zugliste!$A$4:$F$2002,7,FALSE),"")</f>
        <v/>
      </c>
      <c r="BY307" t="str">
        <f>+IFERROR(VLOOKUP(BY8,IN_Zugliste!$A$4:$F$2002,7,FALSE),"")</f>
        <v/>
      </c>
      <c r="BZ307" t="str">
        <f>+IFERROR(VLOOKUP(BZ8,IN_Zugliste!$A$4:$F$2002,7,FALSE),"")</f>
        <v/>
      </c>
      <c r="CA307" t="str">
        <f>+IFERROR(VLOOKUP(CA8,IN_Zugliste!$A$4:$F$2002,7,FALSE),"")</f>
        <v/>
      </c>
      <c r="CB307" t="str">
        <f>+IFERROR(VLOOKUP(CB8,IN_Zugliste!$A$4:$F$2002,7,FALSE),"")</f>
        <v/>
      </c>
      <c r="CC307" t="str">
        <f>+IFERROR(VLOOKUP(CC8,IN_Zugliste!$A$4:$F$2002,7,FALSE),"")</f>
        <v/>
      </c>
      <c r="CD307" t="str">
        <f>+IFERROR(VLOOKUP(CD8,IN_Zugliste!$A$4:$F$2002,7,FALSE),"")</f>
        <v/>
      </c>
      <c r="CE307" t="str">
        <f>+IFERROR(VLOOKUP(CE8,IN_Zugliste!$A$4:$F$2002,7,FALSE),"")</f>
        <v/>
      </c>
      <c r="CF307" t="str">
        <f>+IFERROR(VLOOKUP(CF8,IN_Zugliste!$A$4:$F$2002,7,FALSE),"")</f>
        <v/>
      </c>
      <c r="CG307" t="str">
        <f>+IFERROR(VLOOKUP(CG8,IN_Zugliste!$A$4:$F$2002,7,FALSE),"")</f>
        <v/>
      </c>
      <c r="CH307" t="str">
        <f>+IFERROR(VLOOKUP(CH8,IN_Zugliste!$A$4:$F$2002,7,FALSE),"")</f>
        <v/>
      </c>
      <c r="CI307" t="str">
        <f>+IFERROR(VLOOKUP(CI8,IN_Zugliste!$A$4:$F$2002,7,FALSE),"")</f>
        <v/>
      </c>
      <c r="CJ307" t="str">
        <f>+IFERROR(VLOOKUP(CJ8,IN_Zugliste!$A$4:$F$2002,7,FALSE),"")</f>
        <v/>
      </c>
      <c r="CK307" t="str">
        <f>+IFERROR(VLOOKUP(CK8,IN_Zugliste!$A$4:$F$2002,7,FALSE),"")</f>
        <v/>
      </c>
      <c r="CL307" t="str">
        <f>+IFERROR(VLOOKUP(CL8,IN_Zugliste!$A$4:$F$2002,7,FALSE),"")</f>
        <v/>
      </c>
      <c r="CM307" t="str">
        <f>+IFERROR(VLOOKUP(CM8,IN_Zugliste!$A$4:$F$2002,7,FALSE),"")</f>
        <v/>
      </c>
      <c r="CN307" t="str">
        <f>+IFERROR(VLOOKUP(CN8,IN_Zugliste!$A$4:$F$2002,7,FALSE),"")</f>
        <v/>
      </c>
      <c r="CO307" t="str">
        <f>+IFERROR(VLOOKUP(CO8,IN_Zugliste!$A$4:$F$2002,7,FALSE),"")</f>
        <v/>
      </c>
      <c r="CP307" t="str">
        <f>+IFERROR(VLOOKUP(CP8,IN_Zugliste!$A$4:$F$2002,7,FALSE),"")</f>
        <v/>
      </c>
      <c r="CQ307" t="str">
        <f>+IFERROR(VLOOKUP(CQ8,IN_Zugliste!$A$4:$F$2002,7,FALSE),"")</f>
        <v/>
      </c>
      <c r="CR307" t="str">
        <f>+IFERROR(VLOOKUP(CR8,IN_Zugliste!$A$4:$F$2002,7,FALSE),"")</f>
        <v/>
      </c>
      <c r="CS307" t="str">
        <f>+IFERROR(VLOOKUP(CS8,IN_Zugliste!$A$4:$F$2002,7,FALSE),"")</f>
        <v/>
      </c>
      <c r="CT307" t="str">
        <f>+IFERROR(VLOOKUP(CT8,IN_Zugliste!$A$4:$F$2002,7,FALSE),"")</f>
        <v/>
      </c>
      <c r="CU307" t="str">
        <f>+IFERROR(VLOOKUP(CU8,IN_Zugliste!$A$4:$F$2002,7,FALSE),"")</f>
        <v/>
      </c>
      <c r="CV307" t="str">
        <f>+IFERROR(VLOOKUP(CV8,IN_Zugliste!$A$4:$F$2002,7,FALSE),"")</f>
        <v/>
      </c>
      <c r="CW307" t="str">
        <f>+IFERROR(VLOOKUP(CW8,IN_Zugliste!$A$4:$F$2002,7,FALSE),"")</f>
        <v/>
      </c>
      <c r="CX307" t="str">
        <f>+IFERROR(VLOOKUP(CX8,IN_Zugliste!$A$4:$F$2002,7,FALSE),"")</f>
        <v/>
      </c>
      <c r="CY307" t="str">
        <f>+IFERROR(VLOOKUP(CY8,IN_Zugliste!$A$4:$F$2002,7,FALSE),"")</f>
        <v/>
      </c>
      <c r="CZ307" t="str">
        <f>+IFERROR(VLOOKUP(CZ8,IN_Zugliste!$A$4:$F$2002,7,FALSE),"")</f>
        <v/>
      </c>
      <c r="DA307" t="str">
        <f>+IFERROR(VLOOKUP(DA8,IN_Zugliste!$A$4:$F$2002,7,FALSE),"")</f>
        <v/>
      </c>
      <c r="DB307" t="str">
        <f>+IFERROR(VLOOKUP(DB8,IN_Zugliste!$A$4:$F$2002,7,FALSE),"")</f>
        <v/>
      </c>
      <c r="DC307" t="str">
        <f>+IFERROR(VLOOKUP(DC8,IN_Zugliste!$A$4:$F$2002,7,FALSE),"")</f>
        <v/>
      </c>
      <c r="DD307" t="str">
        <f>+IFERROR(VLOOKUP(DD8,IN_Zugliste!$A$4:$F$2002,7,FALSE),"")</f>
        <v/>
      </c>
      <c r="DE307" t="str">
        <f>+IFERROR(VLOOKUP(DE8,IN_Zugliste!$A$4:$F$2002,7,FALSE),"")</f>
        <v/>
      </c>
      <c r="DF307" t="str">
        <f>+IFERROR(VLOOKUP(DF8,IN_Zugliste!$A$4:$F$2002,7,FALSE),"")</f>
        <v/>
      </c>
      <c r="DG307" t="str">
        <f>+IFERROR(VLOOKUP(DG8,IN_Zugliste!$A$4:$F$2002,7,FALSE),"")</f>
        <v/>
      </c>
      <c r="DH307" t="str">
        <f>+IFERROR(VLOOKUP(DH8,IN_Zugliste!$A$4:$F$2002,7,FALSE),"")</f>
        <v/>
      </c>
      <c r="DI307" t="str">
        <f>+IFERROR(VLOOKUP(DI8,IN_Zugliste!$A$4:$F$2002,7,FALSE),"")</f>
        <v/>
      </c>
      <c r="DJ307" t="str">
        <f>+IFERROR(VLOOKUP(DJ8,IN_Zugliste!$A$4:$F$2002,7,FALSE),"")</f>
        <v/>
      </c>
      <c r="DK307" t="str">
        <f>+IFERROR(VLOOKUP(DK8,IN_Zugliste!$A$4:$F$2002,7,FALSE),"")</f>
        <v/>
      </c>
      <c r="DL307" t="str">
        <f>+IFERROR(VLOOKUP(DL8,IN_Zugliste!$A$4:$F$2002,7,FALSE),"")</f>
        <v/>
      </c>
      <c r="DM307" t="str">
        <f>+IFERROR(VLOOKUP(DM8,IN_Zugliste!$A$4:$F$2002,7,FALSE),"")</f>
        <v/>
      </c>
      <c r="DN307" t="str">
        <f>+IFERROR(VLOOKUP(DN8,IN_Zugliste!$A$4:$F$2002,7,FALSE),"")</f>
        <v/>
      </c>
      <c r="DO307" t="str">
        <f>+IFERROR(VLOOKUP(DO8,IN_Zugliste!$A$4:$F$2002,7,FALSE),"")</f>
        <v/>
      </c>
      <c r="DP307" t="str">
        <f>+IFERROR(VLOOKUP(DP8,IN_Zugliste!$A$4:$F$2002,7,FALSE),"")</f>
        <v/>
      </c>
      <c r="DQ307" t="str">
        <f>+IFERROR(VLOOKUP(DQ8,IN_Zugliste!$A$4:$F$2002,7,FALSE),"")</f>
        <v/>
      </c>
      <c r="DR307" t="str">
        <f>+IFERROR(VLOOKUP(DR8,IN_Zugliste!$A$4:$F$2002,7,FALSE),"")</f>
        <v/>
      </c>
      <c r="DS307" t="str">
        <f>+IFERROR(VLOOKUP(DS8,IN_Zugliste!$A$4:$F$2002,7,FALSE),"")</f>
        <v/>
      </c>
      <c r="DT307" t="str">
        <f>+IFERROR(VLOOKUP(DT8,IN_Zugliste!$A$4:$F$2002,7,FALSE),"")</f>
        <v/>
      </c>
      <c r="DU307" t="str">
        <f>+IFERROR(VLOOKUP(DU8,IN_Zugliste!$A$4:$F$2002,7,FALSE),"")</f>
        <v/>
      </c>
      <c r="DV307" t="str">
        <f>+IFERROR(VLOOKUP(DV8,IN_Zugliste!$A$4:$F$2002,7,FALSE),"")</f>
        <v/>
      </c>
      <c r="DW307" t="str">
        <f>+IFERROR(VLOOKUP(DW8,IN_Zugliste!$A$4:$F$2002,7,FALSE),"")</f>
        <v/>
      </c>
      <c r="DX307" t="str">
        <f>+IFERROR(VLOOKUP(DX8,IN_Zugliste!$A$4:$F$2002,7,FALSE),"")</f>
        <v/>
      </c>
      <c r="DY307" t="str">
        <f>+IFERROR(VLOOKUP(DY8,IN_Zugliste!$A$4:$F$2002,7,FALSE),"")</f>
        <v/>
      </c>
      <c r="DZ307" t="str">
        <f>+IFERROR(VLOOKUP(DZ8,IN_Zugliste!$A$4:$F$2002,7,FALSE),"")</f>
        <v/>
      </c>
      <c r="EA307" t="str">
        <f>+IFERROR(VLOOKUP(EA8,IN_Zugliste!$A$4:$F$2002,7,FALSE),"")</f>
        <v/>
      </c>
      <c r="EB307" t="str">
        <f>+IFERROR(VLOOKUP(EB8,IN_Zugliste!$A$4:$F$2002,7,FALSE),"")</f>
        <v/>
      </c>
      <c r="EC307" t="str">
        <f>+IFERROR(VLOOKUP(EC8,IN_Zugliste!$A$4:$F$2002,7,FALSE),"")</f>
        <v/>
      </c>
      <c r="ED307" t="str">
        <f>+IFERROR(VLOOKUP(ED8,IN_Zugliste!$A$4:$F$2002,7,FALSE),"")</f>
        <v/>
      </c>
      <c r="EE307" t="str">
        <f>+IFERROR(VLOOKUP(EE8,IN_Zugliste!$A$4:$F$2002,7,FALSE),"")</f>
        <v/>
      </c>
      <c r="EF307" t="str">
        <f>+IFERROR(VLOOKUP(EF8,IN_Zugliste!$A$4:$F$2002,7,FALSE),"")</f>
        <v/>
      </c>
      <c r="EG307" t="str">
        <f>+IFERROR(VLOOKUP(EG8,IN_Zugliste!$A$4:$F$2002,7,FALSE),"")</f>
        <v/>
      </c>
      <c r="EH307" t="str">
        <f>+IFERROR(VLOOKUP(EH8,IN_Zugliste!$A$4:$F$2002,7,FALSE),"")</f>
        <v/>
      </c>
      <c r="EI307" t="str">
        <f>+IFERROR(VLOOKUP(EI8,IN_Zugliste!$A$4:$F$2002,7,FALSE),"")</f>
        <v/>
      </c>
      <c r="EJ307" t="str">
        <f>+IFERROR(VLOOKUP(EJ8,IN_Zugliste!$A$4:$F$2002,7,FALSE),"")</f>
        <v/>
      </c>
      <c r="EK307" t="str">
        <f>+IFERROR(VLOOKUP(EK8,IN_Zugliste!$A$4:$F$2002,7,FALSE),"")</f>
        <v/>
      </c>
      <c r="EL307" t="str">
        <f>+IFERROR(VLOOKUP(EL8,IN_Zugliste!$A$4:$F$2002,7,FALSE),"")</f>
        <v/>
      </c>
      <c r="EM307" t="str">
        <f>+IFERROR(VLOOKUP(EM8,IN_Zugliste!$A$4:$F$2002,7,FALSE),"")</f>
        <v/>
      </c>
      <c r="EN307" t="str">
        <f>+IFERROR(VLOOKUP(EN8,IN_Zugliste!$A$4:$F$2002,7,FALSE),"")</f>
        <v/>
      </c>
      <c r="EO307" t="str">
        <f>+IFERROR(VLOOKUP(EO8,IN_Zugliste!$A$4:$F$2002,7,FALSE),"")</f>
        <v/>
      </c>
      <c r="EP307" t="str">
        <f>+IFERROR(VLOOKUP(EP8,IN_Zugliste!$A$4:$F$2002,7,FALSE),"")</f>
        <v/>
      </c>
      <c r="EQ307" t="str">
        <f>+IFERROR(VLOOKUP(EQ8,IN_Zugliste!$A$4:$F$2002,7,FALSE),"")</f>
        <v/>
      </c>
      <c r="ER307" t="str">
        <f>+IFERROR(VLOOKUP(ER8,IN_Zugliste!$A$4:$F$2002,7,FALSE),"")</f>
        <v/>
      </c>
      <c r="ES307" t="str">
        <f>+IFERROR(VLOOKUP(ES8,IN_Zugliste!$A$4:$F$2002,7,FALSE),"")</f>
        <v/>
      </c>
      <c r="ET307" t="str">
        <f>+IFERROR(VLOOKUP(ET8,IN_Zugliste!$A$4:$F$2002,7,FALSE),"")</f>
        <v/>
      </c>
      <c r="EU307" t="str">
        <f>+IFERROR(VLOOKUP(EU8,IN_Zugliste!$A$4:$F$2002,7,FALSE),"")</f>
        <v/>
      </c>
      <c r="EV307" t="str">
        <f>+IFERROR(VLOOKUP(EV8,IN_Zugliste!$A$4:$F$2002,7,FALSE),"")</f>
        <v/>
      </c>
      <c r="EW307" t="str">
        <f>+IFERROR(VLOOKUP(EW8,IN_Zugliste!$A$4:$F$2002,7,FALSE),"")</f>
        <v/>
      </c>
      <c r="EX307" t="str">
        <f>+IFERROR(VLOOKUP(EX8,IN_Zugliste!$A$4:$F$2002,7,FALSE),"")</f>
        <v/>
      </c>
      <c r="EY307" t="str">
        <f>+IFERROR(VLOOKUP(EY8,IN_Zugliste!$A$4:$F$2002,7,FALSE),"")</f>
        <v/>
      </c>
      <c r="EZ307" t="str">
        <f>+IFERROR(VLOOKUP(EZ8,IN_Zugliste!$A$4:$F$2002,7,FALSE),"")</f>
        <v/>
      </c>
      <c r="FA307" t="str">
        <f>+IFERROR(VLOOKUP(FA8,IN_Zugliste!$A$4:$F$2002,7,FALSE),"")</f>
        <v/>
      </c>
      <c r="FB307" t="str">
        <f>+IFERROR(VLOOKUP(FB8,IN_Zugliste!$A$4:$F$2002,7,FALSE),"")</f>
        <v/>
      </c>
      <c r="FC307" t="str">
        <f>+IFERROR(VLOOKUP(FC8,IN_Zugliste!$A$4:$F$2002,7,FALSE),"")</f>
        <v/>
      </c>
      <c r="FD307" t="str">
        <f>+IFERROR(VLOOKUP(FD8,IN_Zugliste!$A$4:$F$2002,7,FALSE),"")</f>
        <v/>
      </c>
      <c r="FE307" t="str">
        <f>+IFERROR(VLOOKUP(FE8,IN_Zugliste!$A$4:$F$2002,7,FALSE),"")</f>
        <v/>
      </c>
      <c r="FF307" t="str">
        <f>+IFERROR(VLOOKUP(FF8,IN_Zugliste!$A$4:$F$2002,7,FALSE),"")</f>
        <v/>
      </c>
      <c r="FG307" t="str">
        <f>+IFERROR(VLOOKUP(FG8,IN_Zugliste!$A$4:$F$2002,7,FALSE),"")</f>
        <v/>
      </c>
      <c r="FH307" t="str">
        <f>+IFERROR(VLOOKUP(FH8,IN_Zugliste!$A$4:$F$2002,7,FALSE),"")</f>
        <v/>
      </c>
      <c r="FI307" t="str">
        <f>+IFERROR(VLOOKUP(FI8,IN_Zugliste!$A$4:$F$2002,7,FALSE),"")</f>
        <v/>
      </c>
      <c r="FJ307" t="str">
        <f>+IFERROR(VLOOKUP(FJ8,IN_Zugliste!$A$4:$F$2002,7,FALSE),"")</f>
        <v/>
      </c>
      <c r="FK307" t="str">
        <f>+IFERROR(VLOOKUP(FK8,IN_Zugliste!$A$4:$F$2002,7,FALSE),"")</f>
        <v/>
      </c>
      <c r="FL307" t="str">
        <f>+IFERROR(VLOOKUP(FL8,IN_Zugliste!$A$4:$F$2002,7,FALSE),"")</f>
        <v/>
      </c>
      <c r="FM307" t="str">
        <f>+IFERROR(VLOOKUP(FM8,IN_Zugliste!$A$4:$F$2002,7,FALSE),"")</f>
        <v/>
      </c>
      <c r="FN307" t="str">
        <f>+IFERROR(VLOOKUP(FN8,IN_Zugliste!$A$4:$F$2002,7,FALSE),"")</f>
        <v/>
      </c>
      <c r="FO307" t="str">
        <f>+IFERROR(VLOOKUP(FO8,IN_Zugliste!$A$4:$F$2002,7,FALSE),"")</f>
        <v/>
      </c>
      <c r="FP307" t="str">
        <f>+IFERROR(VLOOKUP(FP8,IN_Zugliste!$A$4:$F$2002,7,FALSE),"")</f>
        <v/>
      </c>
      <c r="FQ307" t="str">
        <f>+IFERROR(VLOOKUP(FQ8,IN_Zugliste!$A$4:$F$2002,7,FALSE),"")</f>
        <v/>
      </c>
      <c r="FR307" t="str">
        <f>+IFERROR(VLOOKUP(FR8,IN_Zugliste!$A$4:$F$2002,7,FALSE),"")</f>
        <v/>
      </c>
      <c r="FS307" t="str">
        <f>+IFERROR(VLOOKUP(FS8,IN_Zugliste!$A$4:$F$2002,7,FALSE),"")</f>
        <v/>
      </c>
      <c r="FT307" t="str">
        <f>+IFERROR(VLOOKUP(FT8,IN_Zugliste!$A$4:$F$2002,7,FALSE),"")</f>
        <v/>
      </c>
      <c r="FU307" t="str">
        <f>+IFERROR(VLOOKUP(FU8,IN_Zugliste!$A$4:$F$2002,7,FALSE),"")</f>
        <v/>
      </c>
      <c r="FV307" t="str">
        <f>+IFERROR(VLOOKUP(FV8,IN_Zugliste!$A$4:$F$2002,7,FALSE),"")</f>
        <v/>
      </c>
      <c r="FW307" t="str">
        <f>+IFERROR(VLOOKUP(FW8,IN_Zugliste!$A$4:$F$2002,7,FALSE),"")</f>
        <v/>
      </c>
      <c r="FX307" t="str">
        <f>+IFERROR(VLOOKUP(FX8,IN_Zugliste!$A$4:$F$2002,7,FALSE),"")</f>
        <v/>
      </c>
      <c r="FY307" t="str">
        <f>+IFERROR(VLOOKUP(FY8,IN_Zugliste!$A$4:$F$2002,7,FALSE),"")</f>
        <v/>
      </c>
      <c r="FZ307" t="str">
        <f>+IFERROR(VLOOKUP(FZ8,IN_Zugliste!$A$4:$F$2002,7,FALSE),"")</f>
        <v/>
      </c>
      <c r="GA307" t="str">
        <f>+IFERROR(VLOOKUP(GA8,IN_Zugliste!$A$4:$F$2002,7,FALSE),"")</f>
        <v/>
      </c>
      <c r="GB307" t="str">
        <f>+IFERROR(VLOOKUP(GB8,IN_Zugliste!$A$4:$F$2002,7,FALSE),"")</f>
        <v/>
      </c>
      <c r="GC307" t="str">
        <f>+IFERROR(VLOOKUP(GC8,IN_Zugliste!$A$4:$F$2002,7,FALSE),"")</f>
        <v/>
      </c>
      <c r="GD307" t="str">
        <f>+IFERROR(VLOOKUP(GD8,IN_Zugliste!$A$4:$F$2002,7,FALSE),"")</f>
        <v/>
      </c>
      <c r="GE307" t="str">
        <f>+IFERROR(VLOOKUP(GE8,IN_Zugliste!$A$4:$F$2002,7,FALSE),"")</f>
        <v/>
      </c>
      <c r="GF307" t="str">
        <f>+IFERROR(VLOOKUP(GF8,IN_Zugliste!$A$4:$F$2002,7,FALSE),"")</f>
        <v/>
      </c>
      <c r="GG307" t="str">
        <f>+IFERROR(VLOOKUP(GG8,IN_Zugliste!$A$4:$F$2002,7,FALSE),"")</f>
        <v/>
      </c>
      <c r="GH307" t="str">
        <f>+IFERROR(VLOOKUP(GH8,IN_Zugliste!$A$4:$F$2002,7,FALSE),"")</f>
        <v/>
      </c>
      <c r="GI307" t="str">
        <f>+IFERROR(VLOOKUP(GI8,IN_Zugliste!$A$4:$F$2002,7,FALSE),"")</f>
        <v/>
      </c>
      <c r="GJ307" t="str">
        <f>+IFERROR(VLOOKUP(GJ8,IN_Zugliste!$A$4:$F$2002,7,FALSE),"")</f>
        <v/>
      </c>
      <c r="GK307" t="str">
        <f>+IFERROR(VLOOKUP(GK8,IN_Zugliste!$A$4:$F$2002,7,FALSE),"")</f>
        <v/>
      </c>
      <c r="GL307" t="str">
        <f>+IFERROR(VLOOKUP(GL8,IN_Zugliste!$A$4:$F$2002,7,FALSE),"")</f>
        <v/>
      </c>
      <c r="GM307" t="str">
        <f>+IFERROR(VLOOKUP(GM8,IN_Zugliste!$A$4:$F$2002,7,FALSE),"")</f>
        <v/>
      </c>
      <c r="GN307" t="str">
        <f>+IFERROR(VLOOKUP(GN8,IN_Zugliste!$A$4:$F$2002,7,FALSE),"")</f>
        <v/>
      </c>
      <c r="GO307" t="str">
        <f>+IFERROR(VLOOKUP(GO8,IN_Zugliste!$A$4:$F$2002,7,FALSE),"")</f>
        <v/>
      </c>
      <c r="GP307" t="str">
        <f>+IFERROR(VLOOKUP(GP8,IN_Zugliste!$A$4:$F$2002,7,FALSE),"")</f>
        <v/>
      </c>
      <c r="GQ307" t="str">
        <f>+IFERROR(VLOOKUP(GQ8,IN_Zugliste!$A$4:$F$2002,7,FALSE),"")</f>
        <v/>
      </c>
      <c r="GR307" t="str">
        <f>+IFERROR(VLOOKUP(GR8,IN_Zugliste!$A$4:$F$2002,7,FALSE),"")</f>
        <v/>
      </c>
      <c r="GS307" t="str">
        <f>+IFERROR(VLOOKUP(GS8,IN_Zugliste!$A$4:$F$2002,7,FALSE),"")</f>
        <v/>
      </c>
      <c r="GT307" t="str">
        <f>+IFERROR(VLOOKUP(GT8,IN_Zugliste!$A$4:$F$2002,7,FALSE),"")</f>
        <v/>
      </c>
      <c r="GU307" t="str">
        <f>+IFERROR(VLOOKUP(GU8,IN_Zugliste!$A$4:$F$2002,7,FALSE),"")</f>
        <v/>
      </c>
      <c r="GV307" t="str">
        <f>+IFERROR(VLOOKUP(GV8,IN_Zugliste!$A$4:$F$2002,7,FALSE),"")</f>
        <v/>
      </c>
      <c r="GW307" t="str">
        <f>+IFERROR(VLOOKUP(GW8,IN_Zugliste!$A$4:$F$2002,7,FALSE),"")</f>
        <v/>
      </c>
      <c r="GX307" t="str">
        <f>+IFERROR(VLOOKUP(GX8,IN_Zugliste!$A$4:$F$2002,7,FALSE),"")</f>
        <v/>
      </c>
      <c r="GY307" t="str">
        <f>+IFERROR(VLOOKUP(GY8,IN_Zugliste!$A$4:$F$2002,7,FALSE),"")</f>
        <v/>
      </c>
      <c r="GZ307" t="str">
        <f>+IFERROR(VLOOKUP(GZ8,IN_Zugliste!$A$4:$F$2002,7,FALSE),"")</f>
        <v/>
      </c>
      <c r="HA307" t="str">
        <f>+IFERROR(VLOOKUP(HA8,IN_Zugliste!$A$4:$F$2002,7,FALSE),"")</f>
        <v/>
      </c>
      <c r="HB307" t="str">
        <f>+IFERROR(VLOOKUP(HB8,IN_Zugliste!$A$4:$F$2002,7,FALSE),"")</f>
        <v/>
      </c>
      <c r="HC307" t="str">
        <f>+IFERROR(VLOOKUP(HC8,IN_Zugliste!$A$4:$F$2002,7,FALSE),"")</f>
        <v/>
      </c>
      <c r="HD307" t="str">
        <f>+IFERROR(VLOOKUP(HD8,IN_Zugliste!$A$4:$F$2002,7,FALSE),"")</f>
        <v/>
      </c>
      <c r="HE307" t="str">
        <f>+IFERROR(VLOOKUP(HE8,IN_Zugliste!$A$4:$F$2002,7,FALSE),"")</f>
        <v/>
      </c>
      <c r="HF307" t="str">
        <f>+IFERROR(VLOOKUP(HF8,IN_Zugliste!$A$4:$F$2002,7,FALSE),"")</f>
        <v/>
      </c>
      <c r="HG307" t="str">
        <f>+IFERROR(VLOOKUP(HG8,IN_Zugliste!$A$4:$F$2002,7,FALSE),"")</f>
        <v/>
      </c>
      <c r="HH307" t="str">
        <f>+IFERROR(VLOOKUP(HH8,IN_Zugliste!$A$4:$F$2002,7,FALSE),"")</f>
        <v/>
      </c>
      <c r="HI307" t="str">
        <f>+IFERROR(VLOOKUP(HI8,IN_Zugliste!$A$4:$F$2002,7,FALSE),"")</f>
        <v/>
      </c>
      <c r="HJ307" t="str">
        <f>+IFERROR(VLOOKUP(HJ8,IN_Zugliste!$A$4:$F$2002,7,FALSE),"")</f>
        <v/>
      </c>
      <c r="HK307" t="str">
        <f>+IFERROR(VLOOKUP(HK8,IN_Zugliste!$A$4:$F$2002,7,FALSE),"")</f>
        <v/>
      </c>
      <c r="HL307" t="str">
        <f>+IFERROR(VLOOKUP(HL8,IN_Zugliste!$A$4:$F$2002,7,FALSE),"")</f>
        <v/>
      </c>
      <c r="HM307" t="str">
        <f>+IFERROR(VLOOKUP(HM8,IN_Zugliste!$A$4:$F$2002,7,FALSE),"")</f>
        <v/>
      </c>
      <c r="HN307" t="str">
        <f>+IFERROR(VLOOKUP(HN8,IN_Zugliste!$A$4:$F$2002,7,FALSE),"")</f>
        <v/>
      </c>
      <c r="HO307" t="str">
        <f>+IFERROR(VLOOKUP(HO8,IN_Zugliste!$A$4:$F$2002,7,FALSE),"")</f>
        <v/>
      </c>
      <c r="HP307" t="str">
        <f>+IFERROR(VLOOKUP(HP8,IN_Zugliste!$A$4:$F$2002,7,FALSE),"")</f>
        <v/>
      </c>
      <c r="HQ307" t="str">
        <f>+IFERROR(VLOOKUP(HQ8,IN_Zugliste!$A$4:$F$2002,7,FALSE),"")</f>
        <v/>
      </c>
      <c r="HR307" t="str">
        <f>+IFERROR(VLOOKUP(HR8,IN_Zugliste!$A$4:$F$2002,7,FALSE),"")</f>
        <v/>
      </c>
      <c r="HS307" t="str">
        <f>+IFERROR(VLOOKUP(HS8,IN_Zugliste!$A$4:$F$2002,7,FALSE),"")</f>
        <v/>
      </c>
      <c r="HT307" t="str">
        <f>+IFERROR(VLOOKUP(HT8,IN_Zugliste!$A$4:$F$2002,7,FALSE),"")</f>
        <v/>
      </c>
      <c r="HU307" t="str">
        <f>+IFERROR(VLOOKUP(HU8,IN_Zugliste!$A$4:$F$2002,7,FALSE),"")</f>
        <v/>
      </c>
      <c r="HV307" t="str">
        <f>+IFERROR(VLOOKUP(HV8,IN_Zugliste!$A$4:$F$2002,7,FALSE),"")</f>
        <v/>
      </c>
      <c r="HW307" t="str">
        <f>+IFERROR(VLOOKUP(HW8,IN_Zugliste!$A$4:$F$2002,7,FALSE),"")</f>
        <v/>
      </c>
      <c r="HX307" t="str">
        <f>+IFERROR(VLOOKUP(HX8,IN_Zugliste!$A$4:$F$2002,7,FALSE),"")</f>
        <v/>
      </c>
      <c r="HY307" t="str">
        <f>+IFERROR(VLOOKUP(HY8,IN_Zugliste!$A$4:$F$2002,7,FALSE),"")</f>
        <v/>
      </c>
      <c r="HZ307" t="str">
        <f>+IFERROR(VLOOKUP(HZ8,IN_Zugliste!$A$4:$F$2002,7,FALSE),"")</f>
        <v/>
      </c>
      <c r="IA307" t="str">
        <f>+IFERROR(VLOOKUP(IA8,IN_Zugliste!$A$4:$F$2002,7,FALSE),"")</f>
        <v/>
      </c>
      <c r="IB307" t="str">
        <f>+IFERROR(VLOOKUP(IB8,IN_Zugliste!$A$4:$F$2002,7,FALSE),"")</f>
        <v/>
      </c>
      <c r="IC307" t="str">
        <f>+IFERROR(VLOOKUP(IC8,IN_Zugliste!$A$4:$F$2002,7,FALSE),"")</f>
        <v/>
      </c>
      <c r="ID307" t="str">
        <f>+IFERROR(VLOOKUP(ID8,IN_Zugliste!$A$4:$F$2002,7,FALSE),"")</f>
        <v/>
      </c>
      <c r="IE307" t="str">
        <f>+IFERROR(VLOOKUP(IE8,IN_Zugliste!$A$4:$F$2002,7,FALSE),"")</f>
        <v/>
      </c>
      <c r="IF307" t="str">
        <f>+IFERROR(VLOOKUP(IF8,IN_Zugliste!$A$4:$F$2002,7,FALSE),"")</f>
        <v/>
      </c>
      <c r="IG307" t="str">
        <f>+IFERROR(VLOOKUP(IG8,IN_Zugliste!$A$4:$F$2002,7,FALSE),"")</f>
        <v/>
      </c>
      <c r="IH307" t="str">
        <f>+IFERROR(VLOOKUP(IH8,IN_Zugliste!$A$4:$F$2002,7,FALSE),"")</f>
        <v/>
      </c>
      <c r="II307" t="str">
        <f>+IFERROR(VLOOKUP(II8,IN_Zugliste!$A$4:$F$2002,7,FALSE),"")</f>
        <v/>
      </c>
      <c r="IJ307" t="str">
        <f>+IFERROR(VLOOKUP(IJ8,IN_Zugliste!$A$4:$F$2002,7,FALSE),"")</f>
        <v/>
      </c>
      <c r="IK307" t="str">
        <f>+IFERROR(VLOOKUP(IK8,IN_Zugliste!$A$4:$F$2002,7,FALSE),"")</f>
        <v/>
      </c>
      <c r="IL307" t="str">
        <f>+IFERROR(VLOOKUP(IL8,IN_Zugliste!$A$4:$F$2002,7,FALSE),"")</f>
        <v/>
      </c>
      <c r="IM307" t="str">
        <f>+IFERROR(VLOOKUP(IM8,IN_Zugliste!$A$4:$F$2002,7,FALSE),"")</f>
        <v/>
      </c>
      <c r="IN307" t="str">
        <f>+IFERROR(VLOOKUP(IN8,IN_Zugliste!$A$4:$F$2002,7,FALSE),"")</f>
        <v/>
      </c>
      <c r="IO307" t="str">
        <f>+IFERROR(VLOOKUP(IO8,IN_Zugliste!$A$4:$F$2002,7,FALSE),"")</f>
        <v/>
      </c>
      <c r="IP307" t="str">
        <f>+IFERROR(VLOOKUP(IP8,IN_Zugliste!$A$4:$F$2002,7,FALSE),"")</f>
        <v/>
      </c>
      <c r="IQ307" t="str">
        <f>+IFERROR(VLOOKUP(IQ8,IN_Zugliste!$A$4:$F$2002,7,FALSE),"")</f>
        <v/>
      </c>
      <c r="IR307" t="str">
        <f>+IFERROR(VLOOKUP(IR8,IN_Zugliste!$A$4:$F$2002,7,FALSE),"")</f>
        <v/>
      </c>
      <c r="IS307" t="str">
        <f>+IFERROR(VLOOKUP(IS8,IN_Zugliste!$A$4:$F$2002,7,FALSE),"")</f>
        <v/>
      </c>
      <c r="IT307" t="str">
        <f>+IFERROR(VLOOKUP(IT8,IN_Zugliste!$A$4:$F$2002,7,FALSE),"")</f>
        <v/>
      </c>
      <c r="IU307" t="str">
        <f>+IFERROR(VLOOKUP(IU8,IN_Zugliste!$A$4:$F$2002,7,FALSE),"")</f>
        <v/>
      </c>
      <c r="IV307" t="str">
        <f>+IFERROR(VLOOKUP(IV8,IN_Zugliste!$A$4:$F$2002,7,FALSE),"")</f>
        <v/>
      </c>
      <c r="IW307" t="str">
        <f>+IFERROR(VLOOKUP(IW8,IN_Zugliste!$A$4:$F$2002,7,FALSE),"")</f>
        <v/>
      </c>
      <c r="IX307" t="str">
        <f>+IFERROR(VLOOKUP(IX8,IN_Zugliste!$A$4:$F$2002,7,FALSE),"")</f>
        <v/>
      </c>
      <c r="IY307" t="str">
        <f>+IFERROR(VLOOKUP(IY8,IN_Zugliste!$A$4:$F$2002,7,FALSE),"")</f>
        <v/>
      </c>
      <c r="IZ307" t="str">
        <f>+IFERROR(VLOOKUP(IZ8,IN_Zugliste!$A$4:$F$2002,7,FALSE),"")</f>
        <v/>
      </c>
      <c r="JA307" t="str">
        <f>+IFERROR(VLOOKUP(JA8,IN_Zugliste!$A$4:$F$2002,7,FALSE),"")</f>
        <v/>
      </c>
      <c r="JB307" t="str">
        <f>+IFERROR(VLOOKUP(JB8,IN_Zugliste!$A$4:$F$2002,7,FALSE),"")</f>
        <v/>
      </c>
      <c r="JC307" t="str">
        <f>+IFERROR(VLOOKUP(JC8,IN_Zugliste!$A$4:$F$2002,7,FALSE),"")</f>
        <v/>
      </c>
      <c r="JD307" t="str">
        <f>+IFERROR(VLOOKUP(JD8,IN_Zugliste!$A$4:$F$2002,7,FALSE),"")</f>
        <v/>
      </c>
      <c r="JE307" t="str">
        <f>+IFERROR(VLOOKUP(JE8,IN_Zugliste!$A$4:$F$2002,7,FALSE),"")</f>
        <v/>
      </c>
      <c r="JF307" t="str">
        <f>+IFERROR(VLOOKUP(JF8,IN_Zugliste!$A$4:$F$2002,7,FALSE),"")</f>
        <v/>
      </c>
      <c r="JG307" t="str">
        <f>+IFERROR(VLOOKUP(JG8,IN_Zugliste!$A$4:$F$2002,7,FALSE),"")</f>
        <v/>
      </c>
      <c r="JH307" t="str">
        <f>+IFERROR(VLOOKUP(JH8,IN_Zugliste!$A$4:$F$2002,7,FALSE),"")</f>
        <v/>
      </c>
      <c r="JI307" t="str">
        <f>+IFERROR(VLOOKUP(JI8,IN_Zugliste!$A$4:$F$2002,7,FALSE),"")</f>
        <v/>
      </c>
      <c r="JJ307" t="str">
        <f>+IFERROR(VLOOKUP(JJ8,IN_Zugliste!$A$4:$F$2002,7,FALSE),"")</f>
        <v/>
      </c>
    </row>
    <row r="308" spans="1:270" x14ac:dyDescent="0.2">
      <c r="A308" t="str">
        <f>+IFERROR(VLOOKUP(A9,IN_Zugliste!$A$4:$F$2002,7,FALSE),"")</f>
        <v/>
      </c>
      <c r="B308" t="str">
        <f>+IFERROR(VLOOKUP(B9,IN_Zugliste!$A$4:$F$2002,7,FALSE),"")</f>
        <v/>
      </c>
      <c r="C308" t="str">
        <f>+IFERROR(VLOOKUP(C9,IN_Zugliste!$A$4:$F$2002,7,FALSE),"")</f>
        <v/>
      </c>
      <c r="D308" t="str">
        <f>+IFERROR(VLOOKUP(D9,IN_Zugliste!$A$4:$F$2002,7,FALSE),"")</f>
        <v/>
      </c>
      <c r="E308" t="str">
        <f>+IFERROR(VLOOKUP(E9,IN_Zugliste!$A$4:$F$2002,7,FALSE),"")</f>
        <v/>
      </c>
      <c r="F308" t="str">
        <f>+IFERROR(VLOOKUP(F9,IN_Zugliste!$A$4:$F$2002,7,FALSE),"")</f>
        <v/>
      </c>
      <c r="G308" t="str">
        <f>+IFERROR(VLOOKUP(G9,IN_Zugliste!$A$4:$F$2002,7,FALSE),"")</f>
        <v/>
      </c>
      <c r="H308" t="str">
        <f>+IFERROR(VLOOKUP(H9,IN_Zugliste!$A$4:$F$2002,7,FALSE),"")</f>
        <v/>
      </c>
      <c r="I308" t="str">
        <f>+IFERROR(VLOOKUP(I9,IN_Zugliste!$A$4:$F$2002,7,FALSE),"")</f>
        <v/>
      </c>
      <c r="J308" t="str">
        <f>+IFERROR(VLOOKUP(J9,IN_Zugliste!$A$4:$F$2002,7,FALSE),"")</f>
        <v/>
      </c>
      <c r="K308" t="str">
        <f>+IFERROR(VLOOKUP(K9,IN_Zugliste!$A$4:$F$2002,7,FALSE),"")</f>
        <v/>
      </c>
      <c r="L308" t="str">
        <f>+IFERROR(VLOOKUP(L9,IN_Zugliste!$A$4:$F$2002,7,FALSE),"")</f>
        <v/>
      </c>
      <c r="M308" t="str">
        <f>+IFERROR(VLOOKUP(M9,IN_Zugliste!$A$4:$F$2002,7,FALSE),"")</f>
        <v/>
      </c>
      <c r="N308" t="str">
        <f>+IFERROR(VLOOKUP(N9,IN_Zugliste!$A$4:$F$2002,7,FALSE),"")</f>
        <v/>
      </c>
      <c r="O308" t="str">
        <f>+IFERROR(VLOOKUP(O9,IN_Zugliste!$A$4:$F$2002,7,FALSE),"")</f>
        <v/>
      </c>
      <c r="P308" t="str">
        <f>+IFERROR(VLOOKUP(P9,IN_Zugliste!$A$4:$F$2002,7,FALSE),"")</f>
        <v/>
      </c>
      <c r="Q308" t="str">
        <f>+IFERROR(VLOOKUP(Q9,IN_Zugliste!$A$4:$F$2002,7,FALSE),"")</f>
        <v/>
      </c>
      <c r="R308" t="str">
        <f>+IFERROR(VLOOKUP(R9,IN_Zugliste!$A$4:$F$2002,7,FALSE),"")</f>
        <v/>
      </c>
      <c r="S308" t="str">
        <f>+IFERROR(VLOOKUP(S9,IN_Zugliste!$A$4:$F$2002,7,FALSE),"")</f>
        <v/>
      </c>
      <c r="T308" t="str">
        <f>+IFERROR(VLOOKUP(T9,IN_Zugliste!$A$4:$F$2002,7,FALSE),"")</f>
        <v/>
      </c>
      <c r="U308" t="str">
        <f>+IFERROR(VLOOKUP(U9,IN_Zugliste!$A$4:$F$2002,7,FALSE),"")</f>
        <v/>
      </c>
      <c r="V308" t="str">
        <f>+IFERROR(VLOOKUP(V9,IN_Zugliste!$A$4:$F$2002,7,FALSE),"")</f>
        <v/>
      </c>
      <c r="W308" t="str">
        <f>+IFERROR(VLOOKUP(W9,IN_Zugliste!$A$4:$F$2002,7,FALSE),"")</f>
        <v/>
      </c>
      <c r="X308" t="str">
        <f>+IFERROR(VLOOKUP(X9,IN_Zugliste!$A$4:$F$2002,7,FALSE),"")</f>
        <v/>
      </c>
      <c r="Y308" t="str">
        <f>+IFERROR(VLOOKUP(Y9,IN_Zugliste!$A$4:$F$2002,7,FALSE),"")</f>
        <v/>
      </c>
      <c r="Z308" t="str">
        <f>+IFERROR(VLOOKUP(Z9,IN_Zugliste!$A$4:$F$2002,7,FALSE),"")</f>
        <v/>
      </c>
      <c r="AA308" t="str">
        <f>+IFERROR(VLOOKUP(AA9,IN_Zugliste!$A$4:$F$2002,7,FALSE),"")</f>
        <v/>
      </c>
      <c r="AB308" t="str">
        <f>+IFERROR(VLOOKUP(AB9,IN_Zugliste!$A$4:$F$2002,7,FALSE),"")</f>
        <v/>
      </c>
      <c r="AC308" t="str">
        <f>+IFERROR(VLOOKUP(AC9,IN_Zugliste!$A$4:$F$2002,7,FALSE),"")</f>
        <v/>
      </c>
      <c r="AD308" t="str">
        <f>+IFERROR(VLOOKUP(AD9,IN_Zugliste!$A$4:$F$2002,7,FALSE),"")</f>
        <v/>
      </c>
      <c r="AE308" t="str">
        <f>+IFERROR(VLOOKUP(AE9,IN_Zugliste!$A$4:$F$2002,7,FALSE),"")</f>
        <v/>
      </c>
      <c r="AF308" t="str">
        <f>+IFERROR(VLOOKUP(AF9,IN_Zugliste!$A$4:$F$2002,7,FALSE),"")</f>
        <v/>
      </c>
      <c r="AG308" t="str">
        <f>+IFERROR(VLOOKUP(AG9,IN_Zugliste!$A$4:$F$2002,7,FALSE),"")</f>
        <v/>
      </c>
      <c r="AH308" t="str">
        <f>+IFERROR(VLOOKUP(AH9,IN_Zugliste!$A$4:$F$2002,7,FALSE),"")</f>
        <v/>
      </c>
      <c r="AI308" t="str">
        <f>+IFERROR(VLOOKUP(AI9,IN_Zugliste!$A$4:$F$2002,7,FALSE),"")</f>
        <v/>
      </c>
      <c r="AJ308" t="str">
        <f>+IFERROR(VLOOKUP(AJ9,IN_Zugliste!$A$4:$F$2002,7,FALSE),"")</f>
        <v/>
      </c>
      <c r="AK308" t="str">
        <f>+IFERROR(VLOOKUP(AK9,IN_Zugliste!$A$4:$F$2002,7,FALSE),"")</f>
        <v/>
      </c>
      <c r="AL308" t="str">
        <f>+IFERROR(VLOOKUP(AL9,IN_Zugliste!$A$4:$F$2002,7,FALSE),"")</f>
        <v/>
      </c>
      <c r="AM308" t="str">
        <f>+IFERROR(VLOOKUP(AM9,IN_Zugliste!$A$4:$F$2002,7,FALSE),"")</f>
        <v/>
      </c>
      <c r="AN308" t="str">
        <f>+IFERROR(VLOOKUP(AN9,IN_Zugliste!$A$4:$F$2002,7,FALSE),"")</f>
        <v/>
      </c>
      <c r="AO308" t="str">
        <f>+IFERROR(VLOOKUP(AO9,IN_Zugliste!$A$4:$F$2002,7,FALSE),"")</f>
        <v/>
      </c>
      <c r="AP308" t="str">
        <f>+IFERROR(VLOOKUP(AP9,IN_Zugliste!$A$4:$F$2002,7,FALSE),"")</f>
        <v/>
      </c>
      <c r="AQ308" t="str">
        <f>+IFERROR(VLOOKUP(AQ9,IN_Zugliste!$A$4:$F$2002,7,FALSE),"")</f>
        <v/>
      </c>
      <c r="AR308" t="str">
        <f>+IFERROR(VLOOKUP(AR9,IN_Zugliste!$A$4:$F$2002,7,FALSE),"")</f>
        <v/>
      </c>
      <c r="AS308" t="str">
        <f>+IFERROR(VLOOKUP(AS9,IN_Zugliste!$A$4:$F$2002,7,FALSE),"")</f>
        <v/>
      </c>
      <c r="AT308" t="str">
        <f>+IFERROR(VLOOKUP(AT9,IN_Zugliste!$A$4:$F$2002,7,FALSE),"")</f>
        <v/>
      </c>
      <c r="AU308" t="str">
        <f>+IFERROR(VLOOKUP(AU9,IN_Zugliste!$A$4:$F$2002,7,FALSE),"")</f>
        <v/>
      </c>
      <c r="AV308" t="str">
        <f>+IFERROR(VLOOKUP(AV9,IN_Zugliste!$A$4:$F$2002,7,FALSE),"")</f>
        <v/>
      </c>
      <c r="AW308" t="str">
        <f>+IFERROR(VLOOKUP(AW9,IN_Zugliste!$A$4:$F$2002,7,FALSE),"")</f>
        <v/>
      </c>
      <c r="AX308" t="str">
        <f>+IFERROR(VLOOKUP(AX9,IN_Zugliste!$A$4:$F$2002,7,FALSE),"")</f>
        <v/>
      </c>
      <c r="AY308" t="str">
        <f>+IFERROR(VLOOKUP(AY9,IN_Zugliste!$A$4:$F$2002,7,FALSE),"")</f>
        <v/>
      </c>
      <c r="AZ308" t="str">
        <f>+IFERROR(VLOOKUP(AZ9,IN_Zugliste!$A$4:$F$2002,7,FALSE),"")</f>
        <v/>
      </c>
      <c r="BA308" t="str">
        <f>+IFERROR(VLOOKUP(BA9,IN_Zugliste!$A$4:$F$2002,7,FALSE),"")</f>
        <v/>
      </c>
      <c r="BB308" t="str">
        <f>+IFERROR(VLOOKUP(BB9,IN_Zugliste!$A$4:$F$2002,7,FALSE),"")</f>
        <v/>
      </c>
      <c r="BC308" t="str">
        <f>+IFERROR(VLOOKUP(BC9,IN_Zugliste!$A$4:$F$2002,7,FALSE),"")</f>
        <v/>
      </c>
      <c r="BD308" t="str">
        <f>+IFERROR(VLOOKUP(BD9,IN_Zugliste!$A$4:$F$2002,7,FALSE),"")</f>
        <v/>
      </c>
      <c r="BE308" t="str">
        <f>+IFERROR(VLOOKUP(BE9,IN_Zugliste!$A$4:$F$2002,7,FALSE),"")</f>
        <v/>
      </c>
      <c r="BF308" t="str">
        <f>+IFERROR(VLOOKUP(BF9,IN_Zugliste!$A$4:$F$2002,7,FALSE),"")</f>
        <v/>
      </c>
      <c r="BG308" t="str">
        <f>+IFERROR(VLOOKUP(BG9,IN_Zugliste!$A$4:$F$2002,7,FALSE),"")</f>
        <v/>
      </c>
      <c r="BH308" t="str">
        <f>+IFERROR(VLOOKUP(BH9,IN_Zugliste!$A$4:$F$2002,7,FALSE),"")</f>
        <v/>
      </c>
      <c r="BI308" t="str">
        <f>+IFERROR(VLOOKUP(BI9,IN_Zugliste!$A$4:$F$2002,7,FALSE),"")</f>
        <v/>
      </c>
      <c r="BJ308" t="str">
        <f>+IFERROR(VLOOKUP(BJ9,IN_Zugliste!$A$4:$F$2002,7,FALSE),"")</f>
        <v/>
      </c>
      <c r="BK308" t="str">
        <f>+IFERROR(VLOOKUP(BK9,IN_Zugliste!$A$4:$F$2002,7,FALSE),"")</f>
        <v/>
      </c>
      <c r="BL308" t="str">
        <f>+IFERROR(VLOOKUP(BL9,IN_Zugliste!$A$4:$F$2002,7,FALSE),"")</f>
        <v/>
      </c>
      <c r="BM308" t="str">
        <f>+IFERROR(VLOOKUP(BM9,IN_Zugliste!$A$4:$F$2002,7,FALSE),"")</f>
        <v/>
      </c>
      <c r="BN308" t="str">
        <f>+IFERROR(VLOOKUP(BN9,IN_Zugliste!$A$4:$F$2002,7,FALSE),"")</f>
        <v/>
      </c>
      <c r="BO308" t="str">
        <f>+IFERROR(VLOOKUP(BO9,IN_Zugliste!$A$4:$F$2002,7,FALSE),"")</f>
        <v/>
      </c>
      <c r="BP308" t="str">
        <f>+IFERROR(VLOOKUP(BP9,IN_Zugliste!$A$4:$F$2002,7,FALSE),"")</f>
        <v/>
      </c>
      <c r="BQ308" t="str">
        <f>+IFERROR(VLOOKUP(BQ9,IN_Zugliste!$A$4:$F$2002,7,FALSE),"")</f>
        <v/>
      </c>
      <c r="BR308" t="str">
        <f>+IFERROR(VLOOKUP(BR9,IN_Zugliste!$A$4:$F$2002,7,FALSE),"")</f>
        <v/>
      </c>
      <c r="BS308" t="str">
        <f>+IFERROR(VLOOKUP(BS9,IN_Zugliste!$A$4:$F$2002,7,FALSE),"")</f>
        <v/>
      </c>
      <c r="BT308" t="str">
        <f>+IFERROR(VLOOKUP(BT9,IN_Zugliste!$A$4:$F$2002,7,FALSE),"")</f>
        <v/>
      </c>
      <c r="BU308" t="str">
        <f>+IFERROR(VLOOKUP(BU9,IN_Zugliste!$A$4:$F$2002,7,FALSE),"")</f>
        <v/>
      </c>
      <c r="BV308" t="str">
        <f>+IFERROR(VLOOKUP(BV9,IN_Zugliste!$A$4:$F$2002,7,FALSE),"")</f>
        <v/>
      </c>
      <c r="BW308" t="str">
        <f>+IFERROR(VLOOKUP(BW9,IN_Zugliste!$A$4:$F$2002,7,FALSE),"")</f>
        <v/>
      </c>
      <c r="BX308" t="str">
        <f>+IFERROR(VLOOKUP(BX9,IN_Zugliste!$A$4:$F$2002,7,FALSE),"")</f>
        <v/>
      </c>
      <c r="BY308" t="str">
        <f>+IFERROR(VLOOKUP(BY9,IN_Zugliste!$A$4:$F$2002,7,FALSE),"")</f>
        <v/>
      </c>
      <c r="BZ308" t="str">
        <f>+IFERROR(VLOOKUP(BZ9,IN_Zugliste!$A$4:$F$2002,7,FALSE),"")</f>
        <v/>
      </c>
      <c r="CA308" t="str">
        <f>+IFERROR(VLOOKUP(CA9,IN_Zugliste!$A$4:$F$2002,7,FALSE),"")</f>
        <v/>
      </c>
      <c r="CB308" t="str">
        <f>+IFERROR(VLOOKUP(CB9,IN_Zugliste!$A$4:$F$2002,7,FALSE),"")</f>
        <v/>
      </c>
      <c r="CC308" t="str">
        <f>+IFERROR(VLOOKUP(CC9,IN_Zugliste!$A$4:$F$2002,7,FALSE),"")</f>
        <v/>
      </c>
      <c r="CD308" t="str">
        <f>+IFERROR(VLOOKUP(CD9,IN_Zugliste!$A$4:$F$2002,7,FALSE),"")</f>
        <v/>
      </c>
      <c r="CE308" t="str">
        <f>+IFERROR(VLOOKUP(CE9,IN_Zugliste!$A$4:$F$2002,7,FALSE),"")</f>
        <v/>
      </c>
      <c r="CF308" t="str">
        <f>+IFERROR(VLOOKUP(CF9,IN_Zugliste!$A$4:$F$2002,7,FALSE),"")</f>
        <v/>
      </c>
      <c r="CG308" t="str">
        <f>+IFERROR(VLOOKUP(CG9,IN_Zugliste!$A$4:$F$2002,7,FALSE),"")</f>
        <v/>
      </c>
      <c r="CH308" t="str">
        <f>+IFERROR(VLOOKUP(CH9,IN_Zugliste!$A$4:$F$2002,7,FALSE),"")</f>
        <v/>
      </c>
      <c r="CI308" t="str">
        <f>+IFERROR(VLOOKUP(CI9,IN_Zugliste!$A$4:$F$2002,7,FALSE),"")</f>
        <v/>
      </c>
      <c r="CJ308" t="str">
        <f>+IFERROR(VLOOKUP(CJ9,IN_Zugliste!$A$4:$F$2002,7,FALSE),"")</f>
        <v/>
      </c>
      <c r="CK308" t="str">
        <f>+IFERROR(VLOOKUP(CK9,IN_Zugliste!$A$4:$F$2002,7,FALSE),"")</f>
        <v/>
      </c>
      <c r="CL308" t="str">
        <f>+IFERROR(VLOOKUP(CL9,IN_Zugliste!$A$4:$F$2002,7,FALSE),"")</f>
        <v/>
      </c>
      <c r="CM308" t="str">
        <f>+IFERROR(VLOOKUP(CM9,IN_Zugliste!$A$4:$F$2002,7,FALSE),"")</f>
        <v/>
      </c>
      <c r="CN308" t="str">
        <f>+IFERROR(VLOOKUP(CN9,IN_Zugliste!$A$4:$F$2002,7,FALSE),"")</f>
        <v/>
      </c>
      <c r="CO308" t="str">
        <f>+IFERROR(VLOOKUP(CO9,IN_Zugliste!$A$4:$F$2002,7,FALSE),"")</f>
        <v/>
      </c>
      <c r="CP308" t="str">
        <f>+IFERROR(VLOOKUP(CP9,IN_Zugliste!$A$4:$F$2002,7,FALSE),"")</f>
        <v/>
      </c>
      <c r="CQ308" t="str">
        <f>+IFERROR(VLOOKUP(CQ9,IN_Zugliste!$A$4:$F$2002,7,FALSE),"")</f>
        <v/>
      </c>
      <c r="CR308" t="str">
        <f>+IFERROR(VLOOKUP(CR9,IN_Zugliste!$A$4:$F$2002,7,FALSE),"")</f>
        <v/>
      </c>
      <c r="CS308" t="str">
        <f>+IFERROR(VLOOKUP(CS9,IN_Zugliste!$A$4:$F$2002,7,FALSE),"")</f>
        <v/>
      </c>
      <c r="CT308" t="str">
        <f>+IFERROR(VLOOKUP(CT9,IN_Zugliste!$A$4:$F$2002,7,FALSE),"")</f>
        <v/>
      </c>
      <c r="CU308" t="str">
        <f>+IFERROR(VLOOKUP(CU9,IN_Zugliste!$A$4:$F$2002,7,FALSE),"")</f>
        <v/>
      </c>
      <c r="CV308" t="str">
        <f>+IFERROR(VLOOKUP(CV9,IN_Zugliste!$A$4:$F$2002,7,FALSE),"")</f>
        <v/>
      </c>
      <c r="CW308" t="str">
        <f>+IFERROR(VLOOKUP(CW9,IN_Zugliste!$A$4:$F$2002,7,FALSE),"")</f>
        <v/>
      </c>
      <c r="CX308" t="str">
        <f>+IFERROR(VLOOKUP(CX9,IN_Zugliste!$A$4:$F$2002,7,FALSE),"")</f>
        <v/>
      </c>
      <c r="CY308" t="str">
        <f>+IFERROR(VLOOKUP(CY9,IN_Zugliste!$A$4:$F$2002,7,FALSE),"")</f>
        <v/>
      </c>
      <c r="CZ308" t="str">
        <f>+IFERROR(VLOOKUP(CZ9,IN_Zugliste!$A$4:$F$2002,7,FALSE),"")</f>
        <v/>
      </c>
      <c r="DA308" t="str">
        <f>+IFERROR(VLOOKUP(DA9,IN_Zugliste!$A$4:$F$2002,7,FALSE),"")</f>
        <v/>
      </c>
      <c r="DB308" t="str">
        <f>+IFERROR(VLOOKUP(DB9,IN_Zugliste!$A$4:$F$2002,7,FALSE),"")</f>
        <v/>
      </c>
      <c r="DC308" t="str">
        <f>+IFERROR(VLOOKUP(DC9,IN_Zugliste!$A$4:$F$2002,7,FALSE),"")</f>
        <v/>
      </c>
      <c r="DD308" t="str">
        <f>+IFERROR(VLOOKUP(DD9,IN_Zugliste!$A$4:$F$2002,7,FALSE),"")</f>
        <v/>
      </c>
      <c r="DE308" t="str">
        <f>+IFERROR(VLOOKUP(DE9,IN_Zugliste!$A$4:$F$2002,7,FALSE),"")</f>
        <v/>
      </c>
      <c r="DF308" t="str">
        <f>+IFERROR(VLOOKUP(DF9,IN_Zugliste!$A$4:$F$2002,7,FALSE),"")</f>
        <v/>
      </c>
      <c r="DG308" t="str">
        <f>+IFERROR(VLOOKUP(DG9,IN_Zugliste!$A$4:$F$2002,7,FALSE),"")</f>
        <v/>
      </c>
      <c r="DH308" t="str">
        <f>+IFERROR(VLOOKUP(DH9,IN_Zugliste!$A$4:$F$2002,7,FALSE),"")</f>
        <v/>
      </c>
      <c r="DI308" t="str">
        <f>+IFERROR(VLOOKUP(DI9,IN_Zugliste!$A$4:$F$2002,7,FALSE),"")</f>
        <v/>
      </c>
      <c r="DJ308" t="str">
        <f>+IFERROR(VLOOKUP(DJ9,IN_Zugliste!$A$4:$F$2002,7,FALSE),"")</f>
        <v/>
      </c>
      <c r="DK308" t="str">
        <f>+IFERROR(VLOOKUP(DK9,IN_Zugliste!$A$4:$F$2002,7,FALSE),"")</f>
        <v/>
      </c>
      <c r="DL308" t="str">
        <f>+IFERROR(VLOOKUP(DL9,IN_Zugliste!$A$4:$F$2002,7,FALSE),"")</f>
        <v/>
      </c>
      <c r="DM308" t="str">
        <f>+IFERROR(VLOOKUP(DM9,IN_Zugliste!$A$4:$F$2002,7,FALSE),"")</f>
        <v/>
      </c>
      <c r="DN308" t="str">
        <f>+IFERROR(VLOOKUP(DN9,IN_Zugliste!$A$4:$F$2002,7,FALSE),"")</f>
        <v/>
      </c>
      <c r="DO308" t="str">
        <f>+IFERROR(VLOOKUP(DO9,IN_Zugliste!$A$4:$F$2002,7,FALSE),"")</f>
        <v/>
      </c>
      <c r="DP308" t="str">
        <f>+IFERROR(VLOOKUP(DP9,IN_Zugliste!$A$4:$F$2002,7,FALSE),"")</f>
        <v/>
      </c>
      <c r="DQ308" t="str">
        <f>+IFERROR(VLOOKUP(DQ9,IN_Zugliste!$A$4:$F$2002,7,FALSE),"")</f>
        <v/>
      </c>
      <c r="DR308" t="str">
        <f>+IFERROR(VLOOKUP(DR9,IN_Zugliste!$A$4:$F$2002,7,FALSE),"")</f>
        <v/>
      </c>
      <c r="DS308" t="str">
        <f>+IFERROR(VLOOKUP(DS9,IN_Zugliste!$A$4:$F$2002,7,FALSE),"")</f>
        <v/>
      </c>
      <c r="DT308" t="str">
        <f>+IFERROR(VLOOKUP(DT9,IN_Zugliste!$A$4:$F$2002,7,FALSE),"")</f>
        <v/>
      </c>
      <c r="DU308" t="str">
        <f>+IFERROR(VLOOKUP(DU9,IN_Zugliste!$A$4:$F$2002,7,FALSE),"")</f>
        <v/>
      </c>
      <c r="DV308" t="str">
        <f>+IFERROR(VLOOKUP(DV9,IN_Zugliste!$A$4:$F$2002,7,FALSE),"")</f>
        <v/>
      </c>
      <c r="DW308" t="str">
        <f>+IFERROR(VLOOKUP(DW9,IN_Zugliste!$A$4:$F$2002,7,FALSE),"")</f>
        <v/>
      </c>
      <c r="DX308" t="str">
        <f>+IFERROR(VLOOKUP(DX9,IN_Zugliste!$A$4:$F$2002,7,FALSE),"")</f>
        <v/>
      </c>
      <c r="DY308" t="str">
        <f>+IFERROR(VLOOKUP(DY9,IN_Zugliste!$A$4:$F$2002,7,FALSE),"")</f>
        <v/>
      </c>
      <c r="DZ308" t="str">
        <f>+IFERROR(VLOOKUP(DZ9,IN_Zugliste!$A$4:$F$2002,7,FALSE),"")</f>
        <v/>
      </c>
      <c r="EA308" t="str">
        <f>+IFERROR(VLOOKUP(EA9,IN_Zugliste!$A$4:$F$2002,7,FALSE),"")</f>
        <v/>
      </c>
      <c r="EB308" t="str">
        <f>+IFERROR(VLOOKUP(EB9,IN_Zugliste!$A$4:$F$2002,7,FALSE),"")</f>
        <v/>
      </c>
      <c r="EC308" t="str">
        <f>+IFERROR(VLOOKUP(EC9,IN_Zugliste!$A$4:$F$2002,7,FALSE),"")</f>
        <v/>
      </c>
      <c r="ED308" t="str">
        <f>+IFERROR(VLOOKUP(ED9,IN_Zugliste!$A$4:$F$2002,7,FALSE),"")</f>
        <v/>
      </c>
      <c r="EE308" t="str">
        <f>+IFERROR(VLOOKUP(EE9,IN_Zugliste!$A$4:$F$2002,7,FALSE),"")</f>
        <v/>
      </c>
      <c r="EF308" t="str">
        <f>+IFERROR(VLOOKUP(EF9,IN_Zugliste!$A$4:$F$2002,7,FALSE),"")</f>
        <v/>
      </c>
      <c r="EG308" t="str">
        <f>+IFERROR(VLOOKUP(EG9,IN_Zugliste!$A$4:$F$2002,7,FALSE),"")</f>
        <v/>
      </c>
      <c r="EH308" t="str">
        <f>+IFERROR(VLOOKUP(EH9,IN_Zugliste!$A$4:$F$2002,7,FALSE),"")</f>
        <v/>
      </c>
      <c r="EI308" t="str">
        <f>+IFERROR(VLOOKUP(EI9,IN_Zugliste!$A$4:$F$2002,7,FALSE),"")</f>
        <v/>
      </c>
      <c r="EJ308" t="str">
        <f>+IFERROR(VLOOKUP(EJ9,IN_Zugliste!$A$4:$F$2002,7,FALSE),"")</f>
        <v/>
      </c>
      <c r="EK308" t="str">
        <f>+IFERROR(VLOOKUP(EK9,IN_Zugliste!$A$4:$F$2002,7,FALSE),"")</f>
        <v/>
      </c>
      <c r="EL308" t="str">
        <f>+IFERROR(VLOOKUP(EL9,IN_Zugliste!$A$4:$F$2002,7,FALSE),"")</f>
        <v/>
      </c>
      <c r="EM308" t="str">
        <f>+IFERROR(VLOOKUP(EM9,IN_Zugliste!$A$4:$F$2002,7,FALSE),"")</f>
        <v/>
      </c>
      <c r="EN308" t="str">
        <f>+IFERROR(VLOOKUP(EN9,IN_Zugliste!$A$4:$F$2002,7,FALSE),"")</f>
        <v/>
      </c>
      <c r="EO308" t="str">
        <f>+IFERROR(VLOOKUP(EO9,IN_Zugliste!$A$4:$F$2002,7,FALSE),"")</f>
        <v/>
      </c>
      <c r="EP308" t="str">
        <f>+IFERROR(VLOOKUP(EP9,IN_Zugliste!$A$4:$F$2002,7,FALSE),"")</f>
        <v/>
      </c>
      <c r="EQ308" t="str">
        <f>+IFERROR(VLOOKUP(EQ9,IN_Zugliste!$A$4:$F$2002,7,FALSE),"")</f>
        <v/>
      </c>
      <c r="ER308" t="str">
        <f>+IFERROR(VLOOKUP(ER9,IN_Zugliste!$A$4:$F$2002,7,FALSE),"")</f>
        <v/>
      </c>
      <c r="ES308" t="str">
        <f>+IFERROR(VLOOKUP(ES9,IN_Zugliste!$A$4:$F$2002,7,FALSE),"")</f>
        <v/>
      </c>
      <c r="ET308" t="str">
        <f>+IFERROR(VLOOKUP(ET9,IN_Zugliste!$A$4:$F$2002,7,FALSE),"")</f>
        <v/>
      </c>
      <c r="EU308" t="str">
        <f>+IFERROR(VLOOKUP(EU9,IN_Zugliste!$A$4:$F$2002,7,FALSE),"")</f>
        <v/>
      </c>
      <c r="EV308" t="str">
        <f>+IFERROR(VLOOKUP(EV9,IN_Zugliste!$A$4:$F$2002,7,FALSE),"")</f>
        <v/>
      </c>
      <c r="EW308" t="str">
        <f>+IFERROR(VLOOKUP(EW9,IN_Zugliste!$A$4:$F$2002,7,FALSE),"")</f>
        <v/>
      </c>
      <c r="EX308" t="str">
        <f>+IFERROR(VLOOKUP(EX9,IN_Zugliste!$A$4:$F$2002,7,FALSE),"")</f>
        <v/>
      </c>
      <c r="EY308" t="str">
        <f>+IFERROR(VLOOKUP(EY9,IN_Zugliste!$A$4:$F$2002,7,FALSE),"")</f>
        <v/>
      </c>
      <c r="EZ308" t="str">
        <f>+IFERROR(VLOOKUP(EZ9,IN_Zugliste!$A$4:$F$2002,7,FALSE),"")</f>
        <v/>
      </c>
      <c r="FA308" t="str">
        <f>+IFERROR(VLOOKUP(FA9,IN_Zugliste!$A$4:$F$2002,7,FALSE),"")</f>
        <v/>
      </c>
      <c r="FB308" t="str">
        <f>+IFERROR(VLOOKUP(FB9,IN_Zugliste!$A$4:$F$2002,7,FALSE),"")</f>
        <v/>
      </c>
      <c r="FC308" t="str">
        <f>+IFERROR(VLOOKUP(FC9,IN_Zugliste!$A$4:$F$2002,7,FALSE),"")</f>
        <v/>
      </c>
      <c r="FD308" t="str">
        <f>+IFERROR(VLOOKUP(FD9,IN_Zugliste!$A$4:$F$2002,7,FALSE),"")</f>
        <v/>
      </c>
      <c r="FE308" t="str">
        <f>+IFERROR(VLOOKUP(FE9,IN_Zugliste!$A$4:$F$2002,7,FALSE),"")</f>
        <v/>
      </c>
      <c r="FF308" t="str">
        <f>+IFERROR(VLOOKUP(FF9,IN_Zugliste!$A$4:$F$2002,7,FALSE),"")</f>
        <v/>
      </c>
      <c r="FG308" t="str">
        <f>+IFERROR(VLOOKUP(FG9,IN_Zugliste!$A$4:$F$2002,7,FALSE),"")</f>
        <v/>
      </c>
      <c r="FH308" t="str">
        <f>+IFERROR(VLOOKUP(FH9,IN_Zugliste!$A$4:$F$2002,7,FALSE),"")</f>
        <v/>
      </c>
      <c r="FI308" t="str">
        <f>+IFERROR(VLOOKUP(FI9,IN_Zugliste!$A$4:$F$2002,7,FALSE),"")</f>
        <v/>
      </c>
      <c r="FJ308" t="str">
        <f>+IFERROR(VLOOKUP(FJ9,IN_Zugliste!$A$4:$F$2002,7,FALSE),"")</f>
        <v/>
      </c>
      <c r="FK308" t="str">
        <f>+IFERROR(VLOOKUP(FK9,IN_Zugliste!$A$4:$F$2002,7,FALSE),"")</f>
        <v/>
      </c>
      <c r="FL308" t="str">
        <f>+IFERROR(VLOOKUP(FL9,IN_Zugliste!$A$4:$F$2002,7,FALSE),"")</f>
        <v/>
      </c>
      <c r="FM308" t="str">
        <f>+IFERROR(VLOOKUP(FM9,IN_Zugliste!$A$4:$F$2002,7,FALSE),"")</f>
        <v/>
      </c>
      <c r="FN308" t="str">
        <f>+IFERROR(VLOOKUP(FN9,IN_Zugliste!$A$4:$F$2002,7,FALSE),"")</f>
        <v/>
      </c>
      <c r="FO308" t="str">
        <f>+IFERROR(VLOOKUP(FO9,IN_Zugliste!$A$4:$F$2002,7,FALSE),"")</f>
        <v/>
      </c>
      <c r="FP308" t="str">
        <f>+IFERROR(VLOOKUP(FP9,IN_Zugliste!$A$4:$F$2002,7,FALSE),"")</f>
        <v/>
      </c>
      <c r="FQ308" t="str">
        <f>+IFERROR(VLOOKUP(FQ9,IN_Zugliste!$A$4:$F$2002,7,FALSE),"")</f>
        <v/>
      </c>
      <c r="FR308" t="str">
        <f>+IFERROR(VLOOKUP(FR9,IN_Zugliste!$A$4:$F$2002,7,FALSE),"")</f>
        <v/>
      </c>
      <c r="FS308" t="str">
        <f>+IFERROR(VLOOKUP(FS9,IN_Zugliste!$A$4:$F$2002,7,FALSE),"")</f>
        <v/>
      </c>
      <c r="FT308" t="str">
        <f>+IFERROR(VLOOKUP(FT9,IN_Zugliste!$A$4:$F$2002,7,FALSE),"")</f>
        <v/>
      </c>
      <c r="FU308" t="str">
        <f>+IFERROR(VLOOKUP(FU9,IN_Zugliste!$A$4:$F$2002,7,FALSE),"")</f>
        <v/>
      </c>
      <c r="FV308" t="str">
        <f>+IFERROR(VLOOKUP(FV9,IN_Zugliste!$A$4:$F$2002,7,FALSE),"")</f>
        <v/>
      </c>
      <c r="FW308" t="str">
        <f>+IFERROR(VLOOKUP(FW9,IN_Zugliste!$A$4:$F$2002,7,FALSE),"")</f>
        <v/>
      </c>
      <c r="FX308" t="str">
        <f>+IFERROR(VLOOKUP(FX9,IN_Zugliste!$A$4:$F$2002,7,FALSE),"")</f>
        <v/>
      </c>
      <c r="FY308" t="str">
        <f>+IFERROR(VLOOKUP(FY9,IN_Zugliste!$A$4:$F$2002,7,FALSE),"")</f>
        <v/>
      </c>
      <c r="FZ308" t="str">
        <f>+IFERROR(VLOOKUP(FZ9,IN_Zugliste!$A$4:$F$2002,7,FALSE),"")</f>
        <v/>
      </c>
      <c r="GA308" t="str">
        <f>+IFERROR(VLOOKUP(GA9,IN_Zugliste!$A$4:$F$2002,7,FALSE),"")</f>
        <v/>
      </c>
      <c r="GB308" t="str">
        <f>+IFERROR(VLOOKUP(GB9,IN_Zugliste!$A$4:$F$2002,7,FALSE),"")</f>
        <v/>
      </c>
      <c r="GC308" t="str">
        <f>+IFERROR(VLOOKUP(GC9,IN_Zugliste!$A$4:$F$2002,7,FALSE),"")</f>
        <v/>
      </c>
      <c r="GD308" t="str">
        <f>+IFERROR(VLOOKUP(GD9,IN_Zugliste!$A$4:$F$2002,7,FALSE),"")</f>
        <v/>
      </c>
      <c r="GE308" t="str">
        <f>+IFERROR(VLOOKUP(GE9,IN_Zugliste!$A$4:$F$2002,7,FALSE),"")</f>
        <v/>
      </c>
      <c r="GF308" t="str">
        <f>+IFERROR(VLOOKUP(GF9,IN_Zugliste!$A$4:$F$2002,7,FALSE),"")</f>
        <v/>
      </c>
      <c r="GG308" t="str">
        <f>+IFERROR(VLOOKUP(GG9,IN_Zugliste!$A$4:$F$2002,7,FALSE),"")</f>
        <v/>
      </c>
      <c r="GH308" t="str">
        <f>+IFERROR(VLOOKUP(GH9,IN_Zugliste!$A$4:$F$2002,7,FALSE),"")</f>
        <v/>
      </c>
      <c r="GI308" t="str">
        <f>+IFERROR(VLOOKUP(GI9,IN_Zugliste!$A$4:$F$2002,7,FALSE),"")</f>
        <v/>
      </c>
      <c r="GJ308" t="str">
        <f>+IFERROR(VLOOKUP(GJ9,IN_Zugliste!$A$4:$F$2002,7,FALSE),"")</f>
        <v/>
      </c>
      <c r="GK308" t="str">
        <f>+IFERROR(VLOOKUP(GK9,IN_Zugliste!$A$4:$F$2002,7,FALSE),"")</f>
        <v/>
      </c>
      <c r="GL308" t="str">
        <f>+IFERROR(VLOOKUP(GL9,IN_Zugliste!$A$4:$F$2002,7,FALSE),"")</f>
        <v/>
      </c>
      <c r="GM308" t="str">
        <f>+IFERROR(VLOOKUP(GM9,IN_Zugliste!$A$4:$F$2002,7,FALSE),"")</f>
        <v/>
      </c>
      <c r="GN308" t="str">
        <f>+IFERROR(VLOOKUP(GN9,IN_Zugliste!$A$4:$F$2002,7,FALSE),"")</f>
        <v/>
      </c>
      <c r="GO308" t="str">
        <f>+IFERROR(VLOOKUP(GO9,IN_Zugliste!$A$4:$F$2002,7,FALSE),"")</f>
        <v/>
      </c>
      <c r="GP308" t="str">
        <f>+IFERROR(VLOOKUP(GP9,IN_Zugliste!$A$4:$F$2002,7,FALSE),"")</f>
        <v/>
      </c>
      <c r="GQ308" t="str">
        <f>+IFERROR(VLOOKUP(GQ9,IN_Zugliste!$A$4:$F$2002,7,FALSE),"")</f>
        <v/>
      </c>
      <c r="GR308" t="str">
        <f>+IFERROR(VLOOKUP(GR9,IN_Zugliste!$A$4:$F$2002,7,FALSE),"")</f>
        <v/>
      </c>
      <c r="GS308" t="str">
        <f>+IFERROR(VLOOKUP(GS9,IN_Zugliste!$A$4:$F$2002,7,FALSE),"")</f>
        <v/>
      </c>
      <c r="GT308" t="str">
        <f>+IFERROR(VLOOKUP(GT9,IN_Zugliste!$A$4:$F$2002,7,FALSE),"")</f>
        <v/>
      </c>
      <c r="GU308" t="str">
        <f>+IFERROR(VLOOKUP(GU9,IN_Zugliste!$A$4:$F$2002,7,FALSE),"")</f>
        <v/>
      </c>
      <c r="GV308" t="str">
        <f>+IFERROR(VLOOKUP(GV9,IN_Zugliste!$A$4:$F$2002,7,FALSE),"")</f>
        <v/>
      </c>
      <c r="GW308" t="str">
        <f>+IFERROR(VLOOKUP(GW9,IN_Zugliste!$A$4:$F$2002,7,FALSE),"")</f>
        <v/>
      </c>
      <c r="GX308" t="str">
        <f>+IFERROR(VLOOKUP(GX9,IN_Zugliste!$A$4:$F$2002,7,FALSE),"")</f>
        <v/>
      </c>
      <c r="GY308" t="str">
        <f>+IFERROR(VLOOKUP(GY9,IN_Zugliste!$A$4:$F$2002,7,FALSE),"")</f>
        <v/>
      </c>
      <c r="GZ308" t="str">
        <f>+IFERROR(VLOOKUP(GZ9,IN_Zugliste!$A$4:$F$2002,7,FALSE),"")</f>
        <v/>
      </c>
      <c r="HA308" t="str">
        <f>+IFERROR(VLOOKUP(HA9,IN_Zugliste!$A$4:$F$2002,7,FALSE),"")</f>
        <v/>
      </c>
      <c r="HB308" t="str">
        <f>+IFERROR(VLOOKUP(HB9,IN_Zugliste!$A$4:$F$2002,7,FALSE),"")</f>
        <v/>
      </c>
      <c r="HC308" t="str">
        <f>+IFERROR(VLOOKUP(HC9,IN_Zugliste!$A$4:$F$2002,7,FALSE),"")</f>
        <v/>
      </c>
      <c r="HD308" t="str">
        <f>+IFERROR(VLOOKUP(HD9,IN_Zugliste!$A$4:$F$2002,7,FALSE),"")</f>
        <v/>
      </c>
      <c r="HE308" t="str">
        <f>+IFERROR(VLOOKUP(HE9,IN_Zugliste!$A$4:$F$2002,7,FALSE),"")</f>
        <v/>
      </c>
      <c r="HF308" t="str">
        <f>+IFERROR(VLOOKUP(HF9,IN_Zugliste!$A$4:$F$2002,7,FALSE),"")</f>
        <v/>
      </c>
      <c r="HG308" t="str">
        <f>+IFERROR(VLOOKUP(HG9,IN_Zugliste!$A$4:$F$2002,7,FALSE),"")</f>
        <v/>
      </c>
      <c r="HH308" t="str">
        <f>+IFERROR(VLOOKUP(HH9,IN_Zugliste!$A$4:$F$2002,7,FALSE),"")</f>
        <v/>
      </c>
      <c r="HI308" t="str">
        <f>+IFERROR(VLOOKUP(HI9,IN_Zugliste!$A$4:$F$2002,7,FALSE),"")</f>
        <v/>
      </c>
      <c r="HJ308" t="str">
        <f>+IFERROR(VLOOKUP(HJ9,IN_Zugliste!$A$4:$F$2002,7,FALSE),"")</f>
        <v/>
      </c>
      <c r="HK308" t="str">
        <f>+IFERROR(VLOOKUP(HK9,IN_Zugliste!$A$4:$F$2002,7,FALSE),"")</f>
        <v/>
      </c>
      <c r="HL308" t="str">
        <f>+IFERROR(VLOOKUP(HL9,IN_Zugliste!$A$4:$F$2002,7,FALSE),"")</f>
        <v/>
      </c>
      <c r="HM308" t="str">
        <f>+IFERROR(VLOOKUP(HM9,IN_Zugliste!$A$4:$F$2002,7,FALSE),"")</f>
        <v/>
      </c>
      <c r="HN308" t="str">
        <f>+IFERROR(VLOOKUP(HN9,IN_Zugliste!$A$4:$F$2002,7,FALSE),"")</f>
        <v/>
      </c>
      <c r="HO308" t="str">
        <f>+IFERROR(VLOOKUP(HO9,IN_Zugliste!$A$4:$F$2002,7,FALSE),"")</f>
        <v/>
      </c>
      <c r="HP308" t="str">
        <f>+IFERROR(VLOOKUP(HP9,IN_Zugliste!$A$4:$F$2002,7,FALSE),"")</f>
        <v/>
      </c>
      <c r="HQ308" t="str">
        <f>+IFERROR(VLOOKUP(HQ9,IN_Zugliste!$A$4:$F$2002,7,FALSE),"")</f>
        <v/>
      </c>
      <c r="HR308" t="str">
        <f>+IFERROR(VLOOKUP(HR9,IN_Zugliste!$A$4:$F$2002,7,FALSE),"")</f>
        <v/>
      </c>
      <c r="HS308" t="str">
        <f>+IFERROR(VLOOKUP(HS9,IN_Zugliste!$A$4:$F$2002,7,FALSE),"")</f>
        <v/>
      </c>
      <c r="HT308" t="str">
        <f>+IFERROR(VLOOKUP(HT9,IN_Zugliste!$A$4:$F$2002,7,FALSE),"")</f>
        <v/>
      </c>
      <c r="HU308" t="str">
        <f>+IFERROR(VLOOKUP(HU9,IN_Zugliste!$A$4:$F$2002,7,FALSE),"")</f>
        <v/>
      </c>
      <c r="HV308" t="str">
        <f>+IFERROR(VLOOKUP(HV9,IN_Zugliste!$A$4:$F$2002,7,FALSE),"")</f>
        <v/>
      </c>
      <c r="HW308" t="str">
        <f>+IFERROR(VLOOKUP(HW9,IN_Zugliste!$A$4:$F$2002,7,FALSE),"")</f>
        <v/>
      </c>
      <c r="HX308" t="str">
        <f>+IFERROR(VLOOKUP(HX9,IN_Zugliste!$A$4:$F$2002,7,FALSE),"")</f>
        <v/>
      </c>
      <c r="HY308" t="str">
        <f>+IFERROR(VLOOKUP(HY9,IN_Zugliste!$A$4:$F$2002,7,FALSE),"")</f>
        <v/>
      </c>
      <c r="HZ308" t="str">
        <f>+IFERROR(VLOOKUP(HZ9,IN_Zugliste!$A$4:$F$2002,7,FALSE),"")</f>
        <v/>
      </c>
      <c r="IA308" t="str">
        <f>+IFERROR(VLOOKUP(IA9,IN_Zugliste!$A$4:$F$2002,7,FALSE),"")</f>
        <v/>
      </c>
      <c r="IB308" t="str">
        <f>+IFERROR(VLOOKUP(IB9,IN_Zugliste!$A$4:$F$2002,7,FALSE),"")</f>
        <v/>
      </c>
      <c r="IC308" t="str">
        <f>+IFERROR(VLOOKUP(IC9,IN_Zugliste!$A$4:$F$2002,7,FALSE),"")</f>
        <v/>
      </c>
      <c r="ID308" t="str">
        <f>+IFERROR(VLOOKUP(ID9,IN_Zugliste!$A$4:$F$2002,7,FALSE),"")</f>
        <v/>
      </c>
      <c r="IE308" t="str">
        <f>+IFERROR(VLOOKUP(IE9,IN_Zugliste!$A$4:$F$2002,7,FALSE),"")</f>
        <v/>
      </c>
      <c r="IF308" t="str">
        <f>+IFERROR(VLOOKUP(IF9,IN_Zugliste!$A$4:$F$2002,7,FALSE),"")</f>
        <v/>
      </c>
      <c r="IG308" t="str">
        <f>+IFERROR(VLOOKUP(IG9,IN_Zugliste!$A$4:$F$2002,7,FALSE),"")</f>
        <v/>
      </c>
      <c r="IH308" t="str">
        <f>+IFERROR(VLOOKUP(IH9,IN_Zugliste!$A$4:$F$2002,7,FALSE),"")</f>
        <v/>
      </c>
      <c r="II308" t="str">
        <f>+IFERROR(VLOOKUP(II9,IN_Zugliste!$A$4:$F$2002,7,FALSE),"")</f>
        <v/>
      </c>
      <c r="IJ308" t="str">
        <f>+IFERROR(VLOOKUP(IJ9,IN_Zugliste!$A$4:$F$2002,7,FALSE),"")</f>
        <v/>
      </c>
      <c r="IK308" t="str">
        <f>+IFERROR(VLOOKUP(IK9,IN_Zugliste!$A$4:$F$2002,7,FALSE),"")</f>
        <v/>
      </c>
      <c r="IL308" t="str">
        <f>+IFERROR(VLOOKUP(IL9,IN_Zugliste!$A$4:$F$2002,7,FALSE),"")</f>
        <v/>
      </c>
      <c r="IM308" t="str">
        <f>+IFERROR(VLOOKUP(IM9,IN_Zugliste!$A$4:$F$2002,7,FALSE),"")</f>
        <v/>
      </c>
      <c r="IN308" t="str">
        <f>+IFERROR(VLOOKUP(IN9,IN_Zugliste!$A$4:$F$2002,7,FALSE),"")</f>
        <v/>
      </c>
      <c r="IO308" t="str">
        <f>+IFERROR(VLOOKUP(IO9,IN_Zugliste!$A$4:$F$2002,7,FALSE),"")</f>
        <v/>
      </c>
      <c r="IP308" t="str">
        <f>+IFERROR(VLOOKUP(IP9,IN_Zugliste!$A$4:$F$2002,7,FALSE),"")</f>
        <v/>
      </c>
      <c r="IQ308" t="str">
        <f>+IFERROR(VLOOKUP(IQ9,IN_Zugliste!$A$4:$F$2002,7,FALSE),"")</f>
        <v/>
      </c>
      <c r="IR308" t="str">
        <f>+IFERROR(VLOOKUP(IR9,IN_Zugliste!$A$4:$F$2002,7,FALSE),"")</f>
        <v/>
      </c>
      <c r="IS308" t="str">
        <f>+IFERROR(VLOOKUP(IS9,IN_Zugliste!$A$4:$F$2002,7,FALSE),"")</f>
        <v/>
      </c>
      <c r="IT308" t="str">
        <f>+IFERROR(VLOOKUP(IT9,IN_Zugliste!$A$4:$F$2002,7,FALSE),"")</f>
        <v/>
      </c>
      <c r="IU308" t="str">
        <f>+IFERROR(VLOOKUP(IU9,IN_Zugliste!$A$4:$F$2002,7,FALSE),"")</f>
        <v/>
      </c>
      <c r="IV308" t="str">
        <f>+IFERROR(VLOOKUP(IV9,IN_Zugliste!$A$4:$F$2002,7,FALSE),"")</f>
        <v/>
      </c>
      <c r="IW308" t="str">
        <f>+IFERROR(VLOOKUP(IW9,IN_Zugliste!$A$4:$F$2002,7,FALSE),"")</f>
        <v/>
      </c>
      <c r="IX308" t="str">
        <f>+IFERROR(VLOOKUP(IX9,IN_Zugliste!$A$4:$F$2002,7,FALSE),"")</f>
        <v/>
      </c>
      <c r="IY308" t="str">
        <f>+IFERROR(VLOOKUP(IY9,IN_Zugliste!$A$4:$F$2002,7,FALSE),"")</f>
        <v/>
      </c>
      <c r="IZ308" t="str">
        <f>+IFERROR(VLOOKUP(IZ9,IN_Zugliste!$A$4:$F$2002,7,FALSE),"")</f>
        <v/>
      </c>
      <c r="JA308" t="str">
        <f>+IFERROR(VLOOKUP(JA9,IN_Zugliste!$A$4:$F$2002,7,FALSE),"")</f>
        <v/>
      </c>
      <c r="JB308" t="str">
        <f>+IFERROR(VLOOKUP(JB9,IN_Zugliste!$A$4:$F$2002,7,FALSE),"")</f>
        <v/>
      </c>
      <c r="JC308" t="str">
        <f>+IFERROR(VLOOKUP(JC9,IN_Zugliste!$A$4:$F$2002,7,FALSE),"")</f>
        <v/>
      </c>
      <c r="JD308" t="str">
        <f>+IFERROR(VLOOKUP(JD9,IN_Zugliste!$A$4:$F$2002,7,FALSE),"")</f>
        <v/>
      </c>
      <c r="JE308" t="str">
        <f>+IFERROR(VLOOKUP(JE9,IN_Zugliste!$A$4:$F$2002,7,FALSE),"")</f>
        <v/>
      </c>
      <c r="JF308" t="str">
        <f>+IFERROR(VLOOKUP(JF9,IN_Zugliste!$A$4:$F$2002,7,FALSE),"")</f>
        <v/>
      </c>
      <c r="JG308" t="str">
        <f>+IFERROR(VLOOKUP(JG9,IN_Zugliste!$A$4:$F$2002,7,FALSE),"")</f>
        <v/>
      </c>
      <c r="JH308" t="str">
        <f>+IFERROR(VLOOKUP(JH9,IN_Zugliste!$A$4:$F$2002,7,FALSE),"")</f>
        <v/>
      </c>
      <c r="JI308" t="str">
        <f>+IFERROR(VLOOKUP(JI9,IN_Zugliste!$A$4:$F$2002,7,FALSE),"")</f>
        <v/>
      </c>
      <c r="JJ308" t="str">
        <f>+IFERROR(VLOOKUP(JJ9,IN_Zugliste!$A$4:$F$2002,7,FALSE),"")</f>
        <v/>
      </c>
    </row>
    <row r="309" spans="1:270" x14ac:dyDescent="0.2">
      <c r="A309" t="str">
        <f>+IFERROR(VLOOKUP(A10,IN_Zugliste!$A$4:$F$2002,7,FALSE),"")</f>
        <v/>
      </c>
      <c r="B309" t="str">
        <f>+IFERROR(VLOOKUP(B10,IN_Zugliste!$A$4:$F$2002,7,FALSE),"")</f>
        <v/>
      </c>
      <c r="C309" t="str">
        <f>+IFERROR(VLOOKUP(C10,IN_Zugliste!$A$4:$F$2002,7,FALSE),"")</f>
        <v/>
      </c>
      <c r="D309" t="str">
        <f>+IFERROR(VLOOKUP(D10,IN_Zugliste!$A$4:$F$2002,7,FALSE),"")</f>
        <v/>
      </c>
      <c r="E309" t="str">
        <f>+IFERROR(VLOOKUP(E10,IN_Zugliste!$A$4:$F$2002,7,FALSE),"")</f>
        <v/>
      </c>
      <c r="F309" t="str">
        <f>+IFERROR(VLOOKUP(F10,IN_Zugliste!$A$4:$F$2002,7,FALSE),"")</f>
        <v/>
      </c>
      <c r="G309" t="str">
        <f>+IFERROR(VLOOKUP(G10,IN_Zugliste!$A$4:$F$2002,7,FALSE),"")</f>
        <v/>
      </c>
      <c r="H309" t="str">
        <f>+IFERROR(VLOOKUP(H10,IN_Zugliste!$A$4:$F$2002,7,FALSE),"")</f>
        <v/>
      </c>
      <c r="I309" t="str">
        <f>+IFERROR(VLOOKUP(I10,IN_Zugliste!$A$4:$F$2002,7,FALSE),"")</f>
        <v/>
      </c>
      <c r="J309" t="str">
        <f>+IFERROR(VLOOKUP(J10,IN_Zugliste!$A$4:$F$2002,7,FALSE),"")</f>
        <v/>
      </c>
      <c r="K309" t="str">
        <f>+IFERROR(VLOOKUP(K10,IN_Zugliste!$A$4:$F$2002,7,FALSE),"")</f>
        <v/>
      </c>
      <c r="L309" t="str">
        <f>+IFERROR(VLOOKUP(L10,IN_Zugliste!$A$4:$F$2002,7,FALSE),"")</f>
        <v/>
      </c>
      <c r="M309" t="str">
        <f>+IFERROR(VLOOKUP(M10,IN_Zugliste!$A$4:$F$2002,7,FALSE),"")</f>
        <v/>
      </c>
      <c r="N309" t="str">
        <f>+IFERROR(VLOOKUP(N10,IN_Zugliste!$A$4:$F$2002,7,FALSE),"")</f>
        <v/>
      </c>
      <c r="O309" t="str">
        <f>+IFERROR(VLOOKUP(O10,IN_Zugliste!$A$4:$F$2002,7,FALSE),"")</f>
        <v/>
      </c>
      <c r="P309" t="str">
        <f>+IFERROR(VLOOKUP(P10,IN_Zugliste!$A$4:$F$2002,7,FALSE),"")</f>
        <v/>
      </c>
      <c r="Q309" t="str">
        <f>+IFERROR(VLOOKUP(Q10,IN_Zugliste!$A$4:$F$2002,7,FALSE),"")</f>
        <v/>
      </c>
      <c r="R309" t="str">
        <f>+IFERROR(VLOOKUP(R10,IN_Zugliste!$A$4:$F$2002,7,FALSE),"")</f>
        <v/>
      </c>
      <c r="S309" t="str">
        <f>+IFERROR(VLOOKUP(S10,IN_Zugliste!$A$4:$F$2002,7,FALSE),"")</f>
        <v/>
      </c>
      <c r="T309" t="str">
        <f>+IFERROR(VLOOKUP(T10,IN_Zugliste!$A$4:$F$2002,7,FALSE),"")</f>
        <v/>
      </c>
      <c r="U309" t="str">
        <f>+IFERROR(VLOOKUP(U10,IN_Zugliste!$A$4:$F$2002,7,FALSE),"")</f>
        <v/>
      </c>
      <c r="V309" t="str">
        <f>+IFERROR(VLOOKUP(V10,IN_Zugliste!$A$4:$F$2002,7,FALSE),"")</f>
        <v/>
      </c>
      <c r="W309" t="str">
        <f>+IFERROR(VLOOKUP(W10,IN_Zugliste!$A$4:$F$2002,7,FALSE),"")</f>
        <v/>
      </c>
      <c r="X309" t="str">
        <f>+IFERROR(VLOOKUP(X10,IN_Zugliste!$A$4:$F$2002,7,FALSE),"")</f>
        <v/>
      </c>
      <c r="Y309" t="str">
        <f>+IFERROR(VLOOKUP(Y10,IN_Zugliste!$A$4:$F$2002,7,FALSE),"")</f>
        <v/>
      </c>
      <c r="Z309" t="str">
        <f>+IFERROR(VLOOKUP(Z10,IN_Zugliste!$A$4:$F$2002,7,FALSE),"")</f>
        <v/>
      </c>
      <c r="AA309" t="str">
        <f>+IFERROR(VLOOKUP(AA10,IN_Zugliste!$A$4:$F$2002,7,FALSE),"")</f>
        <v/>
      </c>
      <c r="AB309" t="str">
        <f>+IFERROR(VLOOKUP(AB10,IN_Zugliste!$A$4:$F$2002,7,FALSE),"")</f>
        <v/>
      </c>
      <c r="AC309" t="str">
        <f>+IFERROR(VLOOKUP(AC10,IN_Zugliste!$A$4:$F$2002,7,FALSE),"")</f>
        <v/>
      </c>
      <c r="AD309" t="str">
        <f>+IFERROR(VLOOKUP(AD10,IN_Zugliste!$A$4:$F$2002,7,FALSE),"")</f>
        <v/>
      </c>
      <c r="AE309" t="str">
        <f>+IFERROR(VLOOKUP(AE10,IN_Zugliste!$A$4:$F$2002,7,FALSE),"")</f>
        <v/>
      </c>
      <c r="AF309" t="str">
        <f>+IFERROR(VLOOKUP(AF10,IN_Zugliste!$A$4:$F$2002,7,FALSE),"")</f>
        <v/>
      </c>
      <c r="AG309" t="str">
        <f>+IFERROR(VLOOKUP(AG10,IN_Zugliste!$A$4:$F$2002,7,FALSE),"")</f>
        <v/>
      </c>
      <c r="AH309" t="str">
        <f>+IFERROR(VLOOKUP(AH10,IN_Zugliste!$A$4:$F$2002,7,FALSE),"")</f>
        <v/>
      </c>
      <c r="AI309" t="str">
        <f>+IFERROR(VLOOKUP(AI10,IN_Zugliste!$A$4:$F$2002,7,FALSE),"")</f>
        <v/>
      </c>
      <c r="AJ309" t="str">
        <f>+IFERROR(VLOOKUP(AJ10,IN_Zugliste!$A$4:$F$2002,7,FALSE),"")</f>
        <v/>
      </c>
      <c r="AK309" t="str">
        <f>+IFERROR(VLOOKUP(AK10,IN_Zugliste!$A$4:$F$2002,7,FALSE),"")</f>
        <v/>
      </c>
      <c r="AL309" t="str">
        <f>+IFERROR(VLOOKUP(AL10,IN_Zugliste!$A$4:$F$2002,7,FALSE),"")</f>
        <v/>
      </c>
      <c r="AM309" t="str">
        <f>+IFERROR(VLOOKUP(AM10,IN_Zugliste!$A$4:$F$2002,7,FALSE),"")</f>
        <v/>
      </c>
      <c r="AN309" t="str">
        <f>+IFERROR(VLOOKUP(AN10,IN_Zugliste!$A$4:$F$2002,7,FALSE),"")</f>
        <v/>
      </c>
      <c r="AO309" t="str">
        <f>+IFERROR(VLOOKUP(AO10,IN_Zugliste!$A$4:$F$2002,7,FALSE),"")</f>
        <v/>
      </c>
      <c r="AP309" t="str">
        <f>+IFERROR(VLOOKUP(AP10,IN_Zugliste!$A$4:$F$2002,7,FALSE),"")</f>
        <v/>
      </c>
      <c r="AQ309" t="str">
        <f>+IFERROR(VLOOKUP(AQ10,IN_Zugliste!$A$4:$F$2002,7,FALSE),"")</f>
        <v/>
      </c>
      <c r="AR309" t="str">
        <f>+IFERROR(VLOOKUP(AR10,IN_Zugliste!$A$4:$F$2002,7,FALSE),"")</f>
        <v/>
      </c>
      <c r="AS309" t="str">
        <f>+IFERROR(VLOOKUP(AS10,IN_Zugliste!$A$4:$F$2002,7,FALSE),"")</f>
        <v/>
      </c>
      <c r="AT309" t="str">
        <f>+IFERROR(VLOOKUP(AT10,IN_Zugliste!$A$4:$F$2002,7,FALSE),"")</f>
        <v/>
      </c>
      <c r="AU309" t="str">
        <f>+IFERROR(VLOOKUP(AU10,IN_Zugliste!$A$4:$F$2002,7,FALSE),"")</f>
        <v/>
      </c>
      <c r="AV309" t="str">
        <f>+IFERROR(VLOOKUP(AV10,IN_Zugliste!$A$4:$F$2002,7,FALSE),"")</f>
        <v/>
      </c>
      <c r="AW309" t="str">
        <f>+IFERROR(VLOOKUP(AW10,IN_Zugliste!$A$4:$F$2002,7,FALSE),"")</f>
        <v/>
      </c>
      <c r="AX309" t="str">
        <f>+IFERROR(VLOOKUP(AX10,IN_Zugliste!$A$4:$F$2002,7,FALSE),"")</f>
        <v/>
      </c>
      <c r="AY309" t="str">
        <f>+IFERROR(VLOOKUP(AY10,IN_Zugliste!$A$4:$F$2002,7,FALSE),"")</f>
        <v/>
      </c>
      <c r="AZ309" t="str">
        <f>+IFERROR(VLOOKUP(AZ10,IN_Zugliste!$A$4:$F$2002,7,FALSE),"")</f>
        <v/>
      </c>
      <c r="BA309" t="str">
        <f>+IFERROR(VLOOKUP(BA10,IN_Zugliste!$A$4:$F$2002,7,FALSE),"")</f>
        <v/>
      </c>
      <c r="BB309" t="str">
        <f>+IFERROR(VLOOKUP(BB10,IN_Zugliste!$A$4:$F$2002,7,FALSE),"")</f>
        <v/>
      </c>
      <c r="BC309" t="str">
        <f>+IFERROR(VLOOKUP(BC10,IN_Zugliste!$A$4:$F$2002,7,FALSE),"")</f>
        <v/>
      </c>
      <c r="BD309" t="str">
        <f>+IFERROR(VLOOKUP(BD10,IN_Zugliste!$A$4:$F$2002,7,FALSE),"")</f>
        <v/>
      </c>
      <c r="BE309" t="str">
        <f>+IFERROR(VLOOKUP(BE10,IN_Zugliste!$A$4:$F$2002,7,FALSE),"")</f>
        <v/>
      </c>
      <c r="BF309" t="str">
        <f>+IFERROR(VLOOKUP(BF10,IN_Zugliste!$A$4:$F$2002,7,FALSE),"")</f>
        <v/>
      </c>
      <c r="BG309" t="str">
        <f>+IFERROR(VLOOKUP(BG10,IN_Zugliste!$A$4:$F$2002,7,FALSE),"")</f>
        <v/>
      </c>
      <c r="BH309" t="str">
        <f>+IFERROR(VLOOKUP(BH10,IN_Zugliste!$A$4:$F$2002,7,FALSE),"")</f>
        <v/>
      </c>
      <c r="BI309" t="str">
        <f>+IFERROR(VLOOKUP(BI10,IN_Zugliste!$A$4:$F$2002,7,FALSE),"")</f>
        <v/>
      </c>
      <c r="BJ309" t="str">
        <f>+IFERROR(VLOOKUP(BJ10,IN_Zugliste!$A$4:$F$2002,7,FALSE),"")</f>
        <v/>
      </c>
      <c r="BK309" t="str">
        <f>+IFERROR(VLOOKUP(BK10,IN_Zugliste!$A$4:$F$2002,7,FALSE),"")</f>
        <v/>
      </c>
      <c r="BL309" t="str">
        <f>+IFERROR(VLOOKUP(BL10,IN_Zugliste!$A$4:$F$2002,7,FALSE),"")</f>
        <v/>
      </c>
      <c r="BM309" t="str">
        <f>+IFERROR(VLOOKUP(BM10,IN_Zugliste!$A$4:$F$2002,7,FALSE),"")</f>
        <v/>
      </c>
      <c r="BN309" t="str">
        <f>+IFERROR(VLOOKUP(BN10,IN_Zugliste!$A$4:$F$2002,7,FALSE),"")</f>
        <v/>
      </c>
      <c r="BO309" t="str">
        <f>+IFERROR(VLOOKUP(BO10,IN_Zugliste!$A$4:$F$2002,7,FALSE),"")</f>
        <v/>
      </c>
      <c r="BP309" t="str">
        <f>+IFERROR(VLOOKUP(BP10,IN_Zugliste!$A$4:$F$2002,7,FALSE),"")</f>
        <v/>
      </c>
      <c r="BQ309" t="str">
        <f>+IFERROR(VLOOKUP(BQ10,IN_Zugliste!$A$4:$F$2002,7,FALSE),"")</f>
        <v/>
      </c>
      <c r="BR309" t="str">
        <f>+IFERROR(VLOOKUP(BR10,IN_Zugliste!$A$4:$F$2002,7,FALSE),"")</f>
        <v/>
      </c>
      <c r="BS309" t="str">
        <f>+IFERROR(VLOOKUP(BS10,IN_Zugliste!$A$4:$F$2002,7,FALSE),"")</f>
        <v/>
      </c>
      <c r="BT309" t="str">
        <f>+IFERROR(VLOOKUP(BT10,IN_Zugliste!$A$4:$F$2002,7,FALSE),"")</f>
        <v/>
      </c>
      <c r="BU309" t="str">
        <f>+IFERROR(VLOOKUP(BU10,IN_Zugliste!$A$4:$F$2002,7,FALSE),"")</f>
        <v/>
      </c>
      <c r="BV309" t="str">
        <f>+IFERROR(VLOOKUP(BV10,IN_Zugliste!$A$4:$F$2002,7,FALSE),"")</f>
        <v/>
      </c>
      <c r="BW309" t="str">
        <f>+IFERROR(VLOOKUP(BW10,IN_Zugliste!$A$4:$F$2002,7,FALSE),"")</f>
        <v/>
      </c>
      <c r="BX309" t="str">
        <f>+IFERROR(VLOOKUP(BX10,IN_Zugliste!$A$4:$F$2002,7,FALSE),"")</f>
        <v/>
      </c>
      <c r="BY309" t="str">
        <f>+IFERROR(VLOOKUP(BY10,IN_Zugliste!$A$4:$F$2002,7,FALSE),"")</f>
        <v/>
      </c>
      <c r="BZ309" t="str">
        <f>+IFERROR(VLOOKUP(BZ10,IN_Zugliste!$A$4:$F$2002,7,FALSE),"")</f>
        <v/>
      </c>
      <c r="CA309" t="str">
        <f>+IFERROR(VLOOKUP(CA10,IN_Zugliste!$A$4:$F$2002,7,FALSE),"")</f>
        <v/>
      </c>
      <c r="CB309" t="str">
        <f>+IFERROR(VLOOKUP(CB10,IN_Zugliste!$A$4:$F$2002,7,FALSE),"")</f>
        <v/>
      </c>
      <c r="CC309" t="str">
        <f>+IFERROR(VLOOKUP(CC10,IN_Zugliste!$A$4:$F$2002,7,FALSE),"")</f>
        <v/>
      </c>
      <c r="CD309" t="str">
        <f>+IFERROR(VLOOKUP(CD10,IN_Zugliste!$A$4:$F$2002,7,FALSE),"")</f>
        <v/>
      </c>
      <c r="CE309" t="str">
        <f>+IFERROR(VLOOKUP(CE10,IN_Zugliste!$A$4:$F$2002,7,FALSE),"")</f>
        <v/>
      </c>
      <c r="CF309" t="str">
        <f>+IFERROR(VLOOKUP(CF10,IN_Zugliste!$A$4:$F$2002,7,FALSE),"")</f>
        <v/>
      </c>
      <c r="CG309" t="str">
        <f>+IFERROR(VLOOKUP(CG10,IN_Zugliste!$A$4:$F$2002,7,FALSE),"")</f>
        <v/>
      </c>
      <c r="CH309" t="str">
        <f>+IFERROR(VLOOKUP(CH10,IN_Zugliste!$A$4:$F$2002,7,FALSE),"")</f>
        <v/>
      </c>
      <c r="CI309" t="str">
        <f>+IFERROR(VLOOKUP(CI10,IN_Zugliste!$A$4:$F$2002,7,FALSE),"")</f>
        <v/>
      </c>
      <c r="CJ309" t="str">
        <f>+IFERROR(VLOOKUP(CJ10,IN_Zugliste!$A$4:$F$2002,7,FALSE),"")</f>
        <v/>
      </c>
      <c r="CK309" t="str">
        <f>+IFERROR(VLOOKUP(CK10,IN_Zugliste!$A$4:$F$2002,7,FALSE),"")</f>
        <v/>
      </c>
      <c r="CL309" t="str">
        <f>+IFERROR(VLOOKUP(CL10,IN_Zugliste!$A$4:$F$2002,7,FALSE),"")</f>
        <v/>
      </c>
      <c r="CM309" t="str">
        <f>+IFERROR(VLOOKUP(CM10,IN_Zugliste!$A$4:$F$2002,7,FALSE),"")</f>
        <v/>
      </c>
      <c r="CN309" t="str">
        <f>+IFERROR(VLOOKUP(CN10,IN_Zugliste!$A$4:$F$2002,7,FALSE),"")</f>
        <v/>
      </c>
      <c r="CO309" t="str">
        <f>+IFERROR(VLOOKUP(CO10,IN_Zugliste!$A$4:$F$2002,7,FALSE),"")</f>
        <v/>
      </c>
      <c r="CP309" t="str">
        <f>+IFERROR(VLOOKUP(CP10,IN_Zugliste!$A$4:$F$2002,7,FALSE),"")</f>
        <v/>
      </c>
      <c r="CQ309" t="str">
        <f>+IFERROR(VLOOKUP(CQ10,IN_Zugliste!$A$4:$F$2002,7,FALSE),"")</f>
        <v/>
      </c>
      <c r="CR309" t="str">
        <f>+IFERROR(VLOOKUP(CR10,IN_Zugliste!$A$4:$F$2002,7,FALSE),"")</f>
        <v/>
      </c>
      <c r="CS309" t="str">
        <f>+IFERROR(VLOOKUP(CS10,IN_Zugliste!$A$4:$F$2002,7,FALSE),"")</f>
        <v/>
      </c>
      <c r="CT309" t="str">
        <f>+IFERROR(VLOOKUP(CT10,IN_Zugliste!$A$4:$F$2002,7,FALSE),"")</f>
        <v/>
      </c>
      <c r="CU309" t="str">
        <f>+IFERROR(VLOOKUP(CU10,IN_Zugliste!$A$4:$F$2002,7,FALSE),"")</f>
        <v/>
      </c>
      <c r="CV309" t="str">
        <f>+IFERROR(VLOOKUP(CV10,IN_Zugliste!$A$4:$F$2002,7,FALSE),"")</f>
        <v/>
      </c>
      <c r="CW309" t="str">
        <f>+IFERROR(VLOOKUP(CW10,IN_Zugliste!$A$4:$F$2002,7,FALSE),"")</f>
        <v/>
      </c>
      <c r="CX309" t="str">
        <f>+IFERROR(VLOOKUP(CX10,IN_Zugliste!$A$4:$F$2002,7,FALSE),"")</f>
        <v/>
      </c>
      <c r="CY309" t="str">
        <f>+IFERROR(VLOOKUP(CY10,IN_Zugliste!$A$4:$F$2002,7,FALSE),"")</f>
        <v/>
      </c>
      <c r="CZ309" t="str">
        <f>+IFERROR(VLOOKUP(CZ10,IN_Zugliste!$A$4:$F$2002,7,FALSE),"")</f>
        <v/>
      </c>
      <c r="DA309" t="str">
        <f>+IFERROR(VLOOKUP(DA10,IN_Zugliste!$A$4:$F$2002,7,FALSE),"")</f>
        <v/>
      </c>
      <c r="DB309" t="str">
        <f>+IFERROR(VLOOKUP(DB10,IN_Zugliste!$A$4:$F$2002,7,FALSE),"")</f>
        <v/>
      </c>
      <c r="DC309" t="str">
        <f>+IFERROR(VLOOKUP(DC10,IN_Zugliste!$A$4:$F$2002,7,FALSE),"")</f>
        <v/>
      </c>
      <c r="DD309" t="str">
        <f>+IFERROR(VLOOKUP(DD10,IN_Zugliste!$A$4:$F$2002,7,FALSE),"")</f>
        <v/>
      </c>
      <c r="DE309" t="str">
        <f>+IFERROR(VLOOKUP(DE10,IN_Zugliste!$A$4:$F$2002,7,FALSE),"")</f>
        <v/>
      </c>
      <c r="DF309" t="str">
        <f>+IFERROR(VLOOKUP(DF10,IN_Zugliste!$A$4:$F$2002,7,FALSE),"")</f>
        <v/>
      </c>
      <c r="DG309" t="str">
        <f>+IFERROR(VLOOKUP(DG10,IN_Zugliste!$A$4:$F$2002,7,FALSE),"")</f>
        <v/>
      </c>
      <c r="DH309" t="str">
        <f>+IFERROR(VLOOKUP(DH10,IN_Zugliste!$A$4:$F$2002,7,FALSE),"")</f>
        <v/>
      </c>
      <c r="DI309" t="str">
        <f>+IFERROR(VLOOKUP(DI10,IN_Zugliste!$A$4:$F$2002,7,FALSE),"")</f>
        <v/>
      </c>
      <c r="DJ309" t="str">
        <f>+IFERROR(VLOOKUP(DJ10,IN_Zugliste!$A$4:$F$2002,7,FALSE),"")</f>
        <v/>
      </c>
      <c r="DK309" t="str">
        <f>+IFERROR(VLOOKUP(DK10,IN_Zugliste!$A$4:$F$2002,7,FALSE),"")</f>
        <v/>
      </c>
      <c r="DL309" t="str">
        <f>+IFERROR(VLOOKUP(DL10,IN_Zugliste!$A$4:$F$2002,7,FALSE),"")</f>
        <v/>
      </c>
      <c r="DM309" t="str">
        <f>+IFERROR(VLOOKUP(DM10,IN_Zugliste!$A$4:$F$2002,7,FALSE),"")</f>
        <v/>
      </c>
      <c r="DN309" t="str">
        <f>+IFERROR(VLOOKUP(DN10,IN_Zugliste!$A$4:$F$2002,7,FALSE),"")</f>
        <v/>
      </c>
      <c r="DO309" t="str">
        <f>+IFERROR(VLOOKUP(DO10,IN_Zugliste!$A$4:$F$2002,7,FALSE),"")</f>
        <v/>
      </c>
      <c r="DP309" t="str">
        <f>+IFERROR(VLOOKUP(DP10,IN_Zugliste!$A$4:$F$2002,7,FALSE),"")</f>
        <v/>
      </c>
      <c r="DQ309" t="str">
        <f>+IFERROR(VLOOKUP(DQ10,IN_Zugliste!$A$4:$F$2002,7,FALSE),"")</f>
        <v/>
      </c>
      <c r="DR309" t="str">
        <f>+IFERROR(VLOOKUP(DR10,IN_Zugliste!$A$4:$F$2002,7,FALSE),"")</f>
        <v/>
      </c>
      <c r="DS309" t="str">
        <f>+IFERROR(VLOOKUP(DS10,IN_Zugliste!$A$4:$F$2002,7,FALSE),"")</f>
        <v/>
      </c>
      <c r="DT309" t="str">
        <f>+IFERROR(VLOOKUP(DT10,IN_Zugliste!$A$4:$F$2002,7,FALSE),"")</f>
        <v/>
      </c>
      <c r="DU309" t="str">
        <f>+IFERROR(VLOOKUP(DU10,IN_Zugliste!$A$4:$F$2002,7,FALSE),"")</f>
        <v/>
      </c>
      <c r="DV309" t="str">
        <f>+IFERROR(VLOOKUP(DV10,IN_Zugliste!$A$4:$F$2002,7,FALSE),"")</f>
        <v/>
      </c>
      <c r="DW309" t="str">
        <f>+IFERROR(VLOOKUP(DW10,IN_Zugliste!$A$4:$F$2002,7,FALSE),"")</f>
        <v/>
      </c>
      <c r="DX309" t="str">
        <f>+IFERROR(VLOOKUP(DX10,IN_Zugliste!$A$4:$F$2002,7,FALSE),"")</f>
        <v/>
      </c>
      <c r="DY309" t="str">
        <f>+IFERROR(VLOOKUP(DY10,IN_Zugliste!$A$4:$F$2002,7,FALSE),"")</f>
        <v/>
      </c>
      <c r="DZ309" t="str">
        <f>+IFERROR(VLOOKUP(DZ10,IN_Zugliste!$A$4:$F$2002,7,FALSE),"")</f>
        <v/>
      </c>
      <c r="EA309" t="str">
        <f>+IFERROR(VLOOKUP(EA10,IN_Zugliste!$A$4:$F$2002,7,FALSE),"")</f>
        <v/>
      </c>
      <c r="EB309" t="str">
        <f>+IFERROR(VLOOKUP(EB10,IN_Zugliste!$A$4:$F$2002,7,FALSE),"")</f>
        <v/>
      </c>
      <c r="EC309" t="str">
        <f>+IFERROR(VLOOKUP(EC10,IN_Zugliste!$A$4:$F$2002,7,FALSE),"")</f>
        <v/>
      </c>
      <c r="ED309" t="str">
        <f>+IFERROR(VLOOKUP(ED10,IN_Zugliste!$A$4:$F$2002,7,FALSE),"")</f>
        <v/>
      </c>
      <c r="EE309" t="str">
        <f>+IFERROR(VLOOKUP(EE10,IN_Zugliste!$A$4:$F$2002,7,FALSE),"")</f>
        <v/>
      </c>
      <c r="EF309" t="str">
        <f>+IFERROR(VLOOKUP(EF10,IN_Zugliste!$A$4:$F$2002,7,FALSE),"")</f>
        <v/>
      </c>
      <c r="EG309" t="str">
        <f>+IFERROR(VLOOKUP(EG10,IN_Zugliste!$A$4:$F$2002,7,FALSE),"")</f>
        <v/>
      </c>
      <c r="EH309" t="str">
        <f>+IFERROR(VLOOKUP(EH10,IN_Zugliste!$A$4:$F$2002,7,FALSE),"")</f>
        <v/>
      </c>
      <c r="EI309" t="str">
        <f>+IFERROR(VLOOKUP(EI10,IN_Zugliste!$A$4:$F$2002,7,FALSE),"")</f>
        <v/>
      </c>
      <c r="EJ309" t="str">
        <f>+IFERROR(VLOOKUP(EJ10,IN_Zugliste!$A$4:$F$2002,7,FALSE),"")</f>
        <v/>
      </c>
      <c r="EK309" t="str">
        <f>+IFERROR(VLOOKUP(EK10,IN_Zugliste!$A$4:$F$2002,7,FALSE),"")</f>
        <v/>
      </c>
      <c r="EL309" t="str">
        <f>+IFERROR(VLOOKUP(EL10,IN_Zugliste!$A$4:$F$2002,7,FALSE),"")</f>
        <v/>
      </c>
      <c r="EM309" t="str">
        <f>+IFERROR(VLOOKUP(EM10,IN_Zugliste!$A$4:$F$2002,7,FALSE),"")</f>
        <v/>
      </c>
      <c r="EN309" t="str">
        <f>+IFERROR(VLOOKUP(EN10,IN_Zugliste!$A$4:$F$2002,7,FALSE),"")</f>
        <v/>
      </c>
      <c r="EO309" t="str">
        <f>+IFERROR(VLOOKUP(EO10,IN_Zugliste!$A$4:$F$2002,7,FALSE),"")</f>
        <v/>
      </c>
      <c r="EP309" t="str">
        <f>+IFERROR(VLOOKUP(EP10,IN_Zugliste!$A$4:$F$2002,7,FALSE),"")</f>
        <v/>
      </c>
      <c r="EQ309" t="str">
        <f>+IFERROR(VLOOKUP(EQ10,IN_Zugliste!$A$4:$F$2002,7,FALSE),"")</f>
        <v/>
      </c>
      <c r="ER309" t="str">
        <f>+IFERROR(VLOOKUP(ER10,IN_Zugliste!$A$4:$F$2002,7,FALSE),"")</f>
        <v/>
      </c>
      <c r="ES309" t="str">
        <f>+IFERROR(VLOOKUP(ES10,IN_Zugliste!$A$4:$F$2002,7,FALSE),"")</f>
        <v/>
      </c>
      <c r="ET309" t="str">
        <f>+IFERROR(VLOOKUP(ET10,IN_Zugliste!$A$4:$F$2002,7,FALSE),"")</f>
        <v/>
      </c>
      <c r="EU309" t="str">
        <f>+IFERROR(VLOOKUP(EU10,IN_Zugliste!$A$4:$F$2002,7,FALSE),"")</f>
        <v/>
      </c>
      <c r="EV309" t="str">
        <f>+IFERROR(VLOOKUP(EV10,IN_Zugliste!$A$4:$F$2002,7,FALSE),"")</f>
        <v/>
      </c>
      <c r="EW309" t="str">
        <f>+IFERROR(VLOOKUP(EW10,IN_Zugliste!$A$4:$F$2002,7,FALSE),"")</f>
        <v/>
      </c>
      <c r="EX309" t="str">
        <f>+IFERROR(VLOOKUP(EX10,IN_Zugliste!$A$4:$F$2002,7,FALSE),"")</f>
        <v/>
      </c>
      <c r="EY309" t="str">
        <f>+IFERROR(VLOOKUP(EY10,IN_Zugliste!$A$4:$F$2002,7,FALSE),"")</f>
        <v/>
      </c>
      <c r="EZ309" t="str">
        <f>+IFERROR(VLOOKUP(EZ10,IN_Zugliste!$A$4:$F$2002,7,FALSE),"")</f>
        <v/>
      </c>
      <c r="FA309" t="str">
        <f>+IFERROR(VLOOKUP(FA10,IN_Zugliste!$A$4:$F$2002,7,FALSE),"")</f>
        <v/>
      </c>
      <c r="FB309" t="str">
        <f>+IFERROR(VLOOKUP(FB10,IN_Zugliste!$A$4:$F$2002,7,FALSE),"")</f>
        <v/>
      </c>
      <c r="FC309" t="str">
        <f>+IFERROR(VLOOKUP(FC10,IN_Zugliste!$A$4:$F$2002,7,FALSE),"")</f>
        <v/>
      </c>
      <c r="FD309" t="str">
        <f>+IFERROR(VLOOKUP(FD10,IN_Zugliste!$A$4:$F$2002,7,FALSE),"")</f>
        <v/>
      </c>
      <c r="FE309" t="str">
        <f>+IFERROR(VLOOKUP(FE10,IN_Zugliste!$A$4:$F$2002,7,FALSE),"")</f>
        <v/>
      </c>
      <c r="FF309" t="str">
        <f>+IFERROR(VLOOKUP(FF10,IN_Zugliste!$A$4:$F$2002,7,FALSE),"")</f>
        <v/>
      </c>
      <c r="FG309" t="str">
        <f>+IFERROR(VLOOKUP(FG10,IN_Zugliste!$A$4:$F$2002,7,FALSE),"")</f>
        <v/>
      </c>
      <c r="FH309" t="str">
        <f>+IFERROR(VLOOKUP(FH10,IN_Zugliste!$A$4:$F$2002,7,FALSE),"")</f>
        <v/>
      </c>
      <c r="FI309" t="str">
        <f>+IFERROR(VLOOKUP(FI10,IN_Zugliste!$A$4:$F$2002,7,FALSE),"")</f>
        <v/>
      </c>
      <c r="FJ309" t="str">
        <f>+IFERROR(VLOOKUP(FJ10,IN_Zugliste!$A$4:$F$2002,7,FALSE),"")</f>
        <v/>
      </c>
      <c r="FK309" t="str">
        <f>+IFERROR(VLOOKUP(FK10,IN_Zugliste!$A$4:$F$2002,7,FALSE),"")</f>
        <v/>
      </c>
      <c r="FL309" t="str">
        <f>+IFERROR(VLOOKUP(FL10,IN_Zugliste!$A$4:$F$2002,7,FALSE),"")</f>
        <v/>
      </c>
      <c r="FM309" t="str">
        <f>+IFERROR(VLOOKUP(FM10,IN_Zugliste!$A$4:$F$2002,7,FALSE),"")</f>
        <v/>
      </c>
      <c r="FN309" t="str">
        <f>+IFERROR(VLOOKUP(FN10,IN_Zugliste!$A$4:$F$2002,7,FALSE),"")</f>
        <v/>
      </c>
      <c r="FO309" t="str">
        <f>+IFERROR(VLOOKUP(FO10,IN_Zugliste!$A$4:$F$2002,7,FALSE),"")</f>
        <v/>
      </c>
      <c r="FP309" t="str">
        <f>+IFERROR(VLOOKUP(FP10,IN_Zugliste!$A$4:$F$2002,7,FALSE),"")</f>
        <v/>
      </c>
      <c r="FQ309" t="str">
        <f>+IFERROR(VLOOKUP(FQ10,IN_Zugliste!$A$4:$F$2002,7,FALSE),"")</f>
        <v/>
      </c>
      <c r="FR309" t="str">
        <f>+IFERROR(VLOOKUP(FR10,IN_Zugliste!$A$4:$F$2002,7,FALSE),"")</f>
        <v/>
      </c>
      <c r="FS309" t="str">
        <f>+IFERROR(VLOOKUP(FS10,IN_Zugliste!$A$4:$F$2002,7,FALSE),"")</f>
        <v/>
      </c>
      <c r="FT309" t="str">
        <f>+IFERROR(VLOOKUP(FT10,IN_Zugliste!$A$4:$F$2002,7,FALSE),"")</f>
        <v/>
      </c>
      <c r="FU309" t="str">
        <f>+IFERROR(VLOOKUP(FU10,IN_Zugliste!$A$4:$F$2002,7,FALSE),"")</f>
        <v/>
      </c>
      <c r="FV309" t="str">
        <f>+IFERROR(VLOOKUP(FV10,IN_Zugliste!$A$4:$F$2002,7,FALSE),"")</f>
        <v/>
      </c>
      <c r="FW309" t="str">
        <f>+IFERROR(VLOOKUP(FW10,IN_Zugliste!$A$4:$F$2002,7,FALSE),"")</f>
        <v/>
      </c>
      <c r="FX309" t="str">
        <f>+IFERROR(VLOOKUP(FX10,IN_Zugliste!$A$4:$F$2002,7,FALSE),"")</f>
        <v/>
      </c>
      <c r="FY309" t="str">
        <f>+IFERROR(VLOOKUP(FY10,IN_Zugliste!$A$4:$F$2002,7,FALSE),"")</f>
        <v/>
      </c>
      <c r="FZ309" t="str">
        <f>+IFERROR(VLOOKUP(FZ10,IN_Zugliste!$A$4:$F$2002,7,FALSE),"")</f>
        <v/>
      </c>
      <c r="GA309" t="str">
        <f>+IFERROR(VLOOKUP(GA10,IN_Zugliste!$A$4:$F$2002,7,FALSE),"")</f>
        <v/>
      </c>
      <c r="GB309" t="str">
        <f>+IFERROR(VLOOKUP(GB10,IN_Zugliste!$A$4:$F$2002,7,FALSE),"")</f>
        <v/>
      </c>
      <c r="GC309" t="str">
        <f>+IFERROR(VLOOKUP(GC10,IN_Zugliste!$A$4:$F$2002,7,FALSE),"")</f>
        <v/>
      </c>
      <c r="GD309" t="str">
        <f>+IFERROR(VLOOKUP(GD10,IN_Zugliste!$A$4:$F$2002,7,FALSE),"")</f>
        <v/>
      </c>
      <c r="GE309" t="str">
        <f>+IFERROR(VLOOKUP(GE10,IN_Zugliste!$A$4:$F$2002,7,FALSE),"")</f>
        <v/>
      </c>
      <c r="GF309" t="str">
        <f>+IFERROR(VLOOKUP(GF10,IN_Zugliste!$A$4:$F$2002,7,FALSE),"")</f>
        <v/>
      </c>
      <c r="GG309" t="str">
        <f>+IFERROR(VLOOKUP(GG10,IN_Zugliste!$A$4:$F$2002,7,FALSE),"")</f>
        <v/>
      </c>
      <c r="GH309" t="str">
        <f>+IFERROR(VLOOKUP(GH10,IN_Zugliste!$A$4:$F$2002,7,FALSE),"")</f>
        <v/>
      </c>
      <c r="GI309" t="str">
        <f>+IFERROR(VLOOKUP(GI10,IN_Zugliste!$A$4:$F$2002,7,FALSE),"")</f>
        <v/>
      </c>
      <c r="GJ309" t="str">
        <f>+IFERROR(VLOOKUP(GJ10,IN_Zugliste!$A$4:$F$2002,7,FALSE),"")</f>
        <v/>
      </c>
      <c r="GK309" t="str">
        <f>+IFERROR(VLOOKUP(GK10,IN_Zugliste!$A$4:$F$2002,7,FALSE),"")</f>
        <v/>
      </c>
      <c r="GL309" t="str">
        <f>+IFERROR(VLOOKUP(GL10,IN_Zugliste!$A$4:$F$2002,7,FALSE),"")</f>
        <v/>
      </c>
      <c r="GM309" t="str">
        <f>+IFERROR(VLOOKUP(GM10,IN_Zugliste!$A$4:$F$2002,7,FALSE),"")</f>
        <v/>
      </c>
      <c r="GN309" t="str">
        <f>+IFERROR(VLOOKUP(GN10,IN_Zugliste!$A$4:$F$2002,7,FALSE),"")</f>
        <v/>
      </c>
      <c r="GO309" t="str">
        <f>+IFERROR(VLOOKUP(GO10,IN_Zugliste!$A$4:$F$2002,7,FALSE),"")</f>
        <v/>
      </c>
      <c r="GP309" t="str">
        <f>+IFERROR(VLOOKUP(GP10,IN_Zugliste!$A$4:$F$2002,7,FALSE),"")</f>
        <v/>
      </c>
      <c r="GQ309" t="str">
        <f>+IFERROR(VLOOKUP(GQ10,IN_Zugliste!$A$4:$F$2002,7,FALSE),"")</f>
        <v/>
      </c>
      <c r="GR309" t="str">
        <f>+IFERROR(VLOOKUP(GR10,IN_Zugliste!$A$4:$F$2002,7,FALSE),"")</f>
        <v/>
      </c>
      <c r="GS309" t="str">
        <f>+IFERROR(VLOOKUP(GS10,IN_Zugliste!$A$4:$F$2002,7,FALSE),"")</f>
        <v/>
      </c>
      <c r="GT309" t="str">
        <f>+IFERROR(VLOOKUP(GT10,IN_Zugliste!$A$4:$F$2002,7,FALSE),"")</f>
        <v/>
      </c>
      <c r="GU309" t="str">
        <f>+IFERROR(VLOOKUP(GU10,IN_Zugliste!$A$4:$F$2002,7,FALSE),"")</f>
        <v/>
      </c>
      <c r="GV309" t="str">
        <f>+IFERROR(VLOOKUP(GV10,IN_Zugliste!$A$4:$F$2002,7,FALSE),"")</f>
        <v/>
      </c>
      <c r="GW309" t="str">
        <f>+IFERROR(VLOOKUP(GW10,IN_Zugliste!$A$4:$F$2002,7,FALSE),"")</f>
        <v/>
      </c>
      <c r="GX309" t="str">
        <f>+IFERROR(VLOOKUP(GX10,IN_Zugliste!$A$4:$F$2002,7,FALSE),"")</f>
        <v/>
      </c>
      <c r="GY309" t="str">
        <f>+IFERROR(VLOOKUP(GY10,IN_Zugliste!$A$4:$F$2002,7,FALSE),"")</f>
        <v/>
      </c>
      <c r="GZ309" t="str">
        <f>+IFERROR(VLOOKUP(GZ10,IN_Zugliste!$A$4:$F$2002,7,FALSE),"")</f>
        <v/>
      </c>
      <c r="HA309" t="str">
        <f>+IFERROR(VLOOKUP(HA10,IN_Zugliste!$A$4:$F$2002,7,FALSE),"")</f>
        <v/>
      </c>
      <c r="HB309" t="str">
        <f>+IFERROR(VLOOKUP(HB10,IN_Zugliste!$A$4:$F$2002,7,FALSE),"")</f>
        <v/>
      </c>
      <c r="HC309" t="str">
        <f>+IFERROR(VLOOKUP(HC10,IN_Zugliste!$A$4:$F$2002,7,FALSE),"")</f>
        <v/>
      </c>
      <c r="HD309" t="str">
        <f>+IFERROR(VLOOKUP(HD10,IN_Zugliste!$A$4:$F$2002,7,FALSE),"")</f>
        <v/>
      </c>
      <c r="HE309" t="str">
        <f>+IFERROR(VLOOKUP(HE10,IN_Zugliste!$A$4:$F$2002,7,FALSE),"")</f>
        <v/>
      </c>
      <c r="HF309" t="str">
        <f>+IFERROR(VLOOKUP(HF10,IN_Zugliste!$A$4:$F$2002,7,FALSE),"")</f>
        <v/>
      </c>
      <c r="HG309" t="str">
        <f>+IFERROR(VLOOKUP(HG10,IN_Zugliste!$A$4:$F$2002,7,FALSE),"")</f>
        <v/>
      </c>
      <c r="HH309" t="str">
        <f>+IFERROR(VLOOKUP(HH10,IN_Zugliste!$A$4:$F$2002,7,FALSE),"")</f>
        <v/>
      </c>
      <c r="HI309" t="str">
        <f>+IFERROR(VLOOKUP(HI10,IN_Zugliste!$A$4:$F$2002,7,FALSE),"")</f>
        <v/>
      </c>
      <c r="HJ309" t="str">
        <f>+IFERROR(VLOOKUP(HJ10,IN_Zugliste!$A$4:$F$2002,7,FALSE),"")</f>
        <v/>
      </c>
      <c r="HK309" t="str">
        <f>+IFERROR(VLOOKUP(HK10,IN_Zugliste!$A$4:$F$2002,7,FALSE),"")</f>
        <v/>
      </c>
      <c r="HL309" t="str">
        <f>+IFERROR(VLOOKUP(HL10,IN_Zugliste!$A$4:$F$2002,7,FALSE),"")</f>
        <v/>
      </c>
      <c r="HM309" t="str">
        <f>+IFERROR(VLOOKUP(HM10,IN_Zugliste!$A$4:$F$2002,7,FALSE),"")</f>
        <v/>
      </c>
      <c r="HN309" t="str">
        <f>+IFERROR(VLOOKUP(HN10,IN_Zugliste!$A$4:$F$2002,7,FALSE),"")</f>
        <v/>
      </c>
      <c r="HO309" t="str">
        <f>+IFERROR(VLOOKUP(HO10,IN_Zugliste!$A$4:$F$2002,7,FALSE),"")</f>
        <v/>
      </c>
      <c r="HP309" t="str">
        <f>+IFERROR(VLOOKUP(HP10,IN_Zugliste!$A$4:$F$2002,7,FALSE),"")</f>
        <v/>
      </c>
      <c r="HQ309" t="str">
        <f>+IFERROR(VLOOKUP(HQ10,IN_Zugliste!$A$4:$F$2002,7,FALSE),"")</f>
        <v/>
      </c>
      <c r="HR309" t="str">
        <f>+IFERROR(VLOOKUP(HR10,IN_Zugliste!$A$4:$F$2002,7,FALSE),"")</f>
        <v/>
      </c>
      <c r="HS309" t="str">
        <f>+IFERROR(VLOOKUP(HS10,IN_Zugliste!$A$4:$F$2002,7,FALSE),"")</f>
        <v/>
      </c>
      <c r="HT309" t="str">
        <f>+IFERROR(VLOOKUP(HT10,IN_Zugliste!$A$4:$F$2002,7,FALSE),"")</f>
        <v/>
      </c>
      <c r="HU309" t="str">
        <f>+IFERROR(VLOOKUP(HU10,IN_Zugliste!$A$4:$F$2002,7,FALSE),"")</f>
        <v/>
      </c>
      <c r="HV309" t="str">
        <f>+IFERROR(VLOOKUP(HV10,IN_Zugliste!$A$4:$F$2002,7,FALSE),"")</f>
        <v/>
      </c>
      <c r="HW309" t="str">
        <f>+IFERROR(VLOOKUP(HW10,IN_Zugliste!$A$4:$F$2002,7,FALSE),"")</f>
        <v/>
      </c>
      <c r="HX309" t="str">
        <f>+IFERROR(VLOOKUP(HX10,IN_Zugliste!$A$4:$F$2002,7,FALSE),"")</f>
        <v/>
      </c>
      <c r="HY309" t="str">
        <f>+IFERROR(VLOOKUP(HY10,IN_Zugliste!$A$4:$F$2002,7,FALSE),"")</f>
        <v/>
      </c>
      <c r="HZ309" t="str">
        <f>+IFERROR(VLOOKUP(HZ10,IN_Zugliste!$A$4:$F$2002,7,FALSE),"")</f>
        <v/>
      </c>
      <c r="IA309" t="str">
        <f>+IFERROR(VLOOKUP(IA10,IN_Zugliste!$A$4:$F$2002,7,FALSE),"")</f>
        <v/>
      </c>
      <c r="IB309" t="str">
        <f>+IFERROR(VLOOKUP(IB10,IN_Zugliste!$A$4:$F$2002,7,FALSE),"")</f>
        <v/>
      </c>
      <c r="IC309" t="str">
        <f>+IFERROR(VLOOKUP(IC10,IN_Zugliste!$A$4:$F$2002,7,FALSE),"")</f>
        <v/>
      </c>
      <c r="ID309" t="str">
        <f>+IFERROR(VLOOKUP(ID10,IN_Zugliste!$A$4:$F$2002,7,FALSE),"")</f>
        <v/>
      </c>
      <c r="IE309" t="str">
        <f>+IFERROR(VLOOKUP(IE10,IN_Zugliste!$A$4:$F$2002,7,FALSE),"")</f>
        <v/>
      </c>
      <c r="IF309" t="str">
        <f>+IFERROR(VLOOKUP(IF10,IN_Zugliste!$A$4:$F$2002,7,FALSE),"")</f>
        <v/>
      </c>
      <c r="IG309" t="str">
        <f>+IFERROR(VLOOKUP(IG10,IN_Zugliste!$A$4:$F$2002,7,FALSE),"")</f>
        <v/>
      </c>
      <c r="IH309" t="str">
        <f>+IFERROR(VLOOKUP(IH10,IN_Zugliste!$A$4:$F$2002,7,FALSE),"")</f>
        <v/>
      </c>
      <c r="II309" t="str">
        <f>+IFERROR(VLOOKUP(II10,IN_Zugliste!$A$4:$F$2002,7,FALSE),"")</f>
        <v/>
      </c>
      <c r="IJ309" t="str">
        <f>+IFERROR(VLOOKUP(IJ10,IN_Zugliste!$A$4:$F$2002,7,FALSE),"")</f>
        <v/>
      </c>
      <c r="IK309" t="str">
        <f>+IFERROR(VLOOKUP(IK10,IN_Zugliste!$A$4:$F$2002,7,FALSE),"")</f>
        <v/>
      </c>
      <c r="IL309" t="str">
        <f>+IFERROR(VLOOKUP(IL10,IN_Zugliste!$A$4:$F$2002,7,FALSE),"")</f>
        <v/>
      </c>
      <c r="IM309" t="str">
        <f>+IFERROR(VLOOKUP(IM10,IN_Zugliste!$A$4:$F$2002,7,FALSE),"")</f>
        <v/>
      </c>
      <c r="IN309" t="str">
        <f>+IFERROR(VLOOKUP(IN10,IN_Zugliste!$A$4:$F$2002,7,FALSE),"")</f>
        <v/>
      </c>
      <c r="IO309" t="str">
        <f>+IFERROR(VLOOKUP(IO10,IN_Zugliste!$A$4:$F$2002,7,FALSE),"")</f>
        <v/>
      </c>
      <c r="IP309" t="str">
        <f>+IFERROR(VLOOKUP(IP10,IN_Zugliste!$A$4:$F$2002,7,FALSE),"")</f>
        <v/>
      </c>
      <c r="IQ309" t="str">
        <f>+IFERROR(VLOOKUP(IQ10,IN_Zugliste!$A$4:$F$2002,7,FALSE),"")</f>
        <v/>
      </c>
      <c r="IR309" t="str">
        <f>+IFERROR(VLOOKUP(IR10,IN_Zugliste!$A$4:$F$2002,7,FALSE),"")</f>
        <v/>
      </c>
      <c r="IS309" t="str">
        <f>+IFERROR(VLOOKUP(IS10,IN_Zugliste!$A$4:$F$2002,7,FALSE),"")</f>
        <v/>
      </c>
      <c r="IT309" t="str">
        <f>+IFERROR(VLOOKUP(IT10,IN_Zugliste!$A$4:$F$2002,7,FALSE),"")</f>
        <v/>
      </c>
      <c r="IU309" t="str">
        <f>+IFERROR(VLOOKUP(IU10,IN_Zugliste!$A$4:$F$2002,7,FALSE),"")</f>
        <v/>
      </c>
      <c r="IV309" t="str">
        <f>+IFERROR(VLOOKUP(IV10,IN_Zugliste!$A$4:$F$2002,7,FALSE),"")</f>
        <v/>
      </c>
      <c r="IW309" t="str">
        <f>+IFERROR(VLOOKUP(IW10,IN_Zugliste!$A$4:$F$2002,7,FALSE),"")</f>
        <v/>
      </c>
      <c r="IX309" t="str">
        <f>+IFERROR(VLOOKUP(IX10,IN_Zugliste!$A$4:$F$2002,7,FALSE),"")</f>
        <v/>
      </c>
      <c r="IY309" t="str">
        <f>+IFERROR(VLOOKUP(IY10,IN_Zugliste!$A$4:$F$2002,7,FALSE),"")</f>
        <v/>
      </c>
      <c r="IZ309" t="str">
        <f>+IFERROR(VLOOKUP(IZ10,IN_Zugliste!$A$4:$F$2002,7,FALSE),"")</f>
        <v/>
      </c>
      <c r="JA309" t="str">
        <f>+IFERROR(VLOOKUP(JA10,IN_Zugliste!$A$4:$F$2002,7,FALSE),"")</f>
        <v/>
      </c>
      <c r="JB309" t="str">
        <f>+IFERROR(VLOOKUP(JB10,IN_Zugliste!$A$4:$F$2002,7,FALSE),"")</f>
        <v/>
      </c>
      <c r="JC309" t="str">
        <f>+IFERROR(VLOOKUP(JC10,IN_Zugliste!$A$4:$F$2002,7,FALSE),"")</f>
        <v/>
      </c>
      <c r="JD309" t="str">
        <f>+IFERROR(VLOOKUP(JD10,IN_Zugliste!$A$4:$F$2002,7,FALSE),"")</f>
        <v/>
      </c>
      <c r="JE309" t="str">
        <f>+IFERROR(VLOOKUP(JE10,IN_Zugliste!$A$4:$F$2002,7,FALSE),"")</f>
        <v/>
      </c>
      <c r="JF309" t="str">
        <f>+IFERROR(VLOOKUP(JF10,IN_Zugliste!$A$4:$F$2002,7,FALSE),"")</f>
        <v/>
      </c>
      <c r="JG309" t="str">
        <f>+IFERROR(VLOOKUP(JG10,IN_Zugliste!$A$4:$F$2002,7,FALSE),"")</f>
        <v/>
      </c>
      <c r="JH309" t="str">
        <f>+IFERROR(VLOOKUP(JH10,IN_Zugliste!$A$4:$F$2002,7,FALSE),"")</f>
        <v/>
      </c>
      <c r="JI309" t="str">
        <f>+IFERROR(VLOOKUP(JI10,IN_Zugliste!$A$4:$F$2002,7,FALSE),"")</f>
        <v/>
      </c>
      <c r="JJ309" t="str">
        <f>+IFERROR(VLOOKUP(JJ10,IN_Zugliste!$A$4:$F$2002,7,FALSE),"")</f>
        <v/>
      </c>
    </row>
    <row r="310" spans="1:270" x14ac:dyDescent="0.2">
      <c r="A310" t="str">
        <f>+IFERROR(VLOOKUP(A11,IN_Zugliste!$A$4:$F$2002,7,FALSE),"")</f>
        <v/>
      </c>
      <c r="B310" t="str">
        <f>+IFERROR(VLOOKUP(B11,IN_Zugliste!$A$4:$F$2002,7,FALSE),"")</f>
        <v/>
      </c>
      <c r="C310" t="str">
        <f>+IFERROR(VLOOKUP(C11,IN_Zugliste!$A$4:$F$2002,7,FALSE),"")</f>
        <v/>
      </c>
      <c r="D310" t="str">
        <f>+IFERROR(VLOOKUP(D11,IN_Zugliste!$A$4:$F$2002,7,FALSE),"")</f>
        <v/>
      </c>
      <c r="E310" t="str">
        <f>+IFERROR(VLOOKUP(E11,IN_Zugliste!$A$4:$F$2002,7,FALSE),"")</f>
        <v/>
      </c>
      <c r="F310" t="str">
        <f>+IFERROR(VLOOKUP(F11,IN_Zugliste!$A$4:$F$2002,7,FALSE),"")</f>
        <v/>
      </c>
      <c r="G310" t="str">
        <f>+IFERROR(VLOOKUP(G11,IN_Zugliste!$A$4:$F$2002,7,FALSE),"")</f>
        <v/>
      </c>
      <c r="H310" t="str">
        <f>+IFERROR(VLOOKUP(H11,IN_Zugliste!$A$4:$F$2002,7,FALSE),"")</f>
        <v/>
      </c>
      <c r="I310" t="str">
        <f>+IFERROR(VLOOKUP(I11,IN_Zugliste!$A$4:$F$2002,7,FALSE),"")</f>
        <v/>
      </c>
      <c r="J310" t="str">
        <f>+IFERROR(VLOOKUP(J11,IN_Zugliste!$A$4:$F$2002,7,FALSE),"")</f>
        <v/>
      </c>
      <c r="K310" t="str">
        <f>+IFERROR(VLOOKUP(K11,IN_Zugliste!$A$4:$F$2002,7,FALSE),"")</f>
        <v/>
      </c>
      <c r="L310" t="str">
        <f>+IFERROR(VLOOKUP(L11,IN_Zugliste!$A$4:$F$2002,7,FALSE),"")</f>
        <v/>
      </c>
      <c r="M310" t="str">
        <f>+IFERROR(VLOOKUP(M11,IN_Zugliste!$A$4:$F$2002,7,FALSE),"")</f>
        <v/>
      </c>
      <c r="N310" t="str">
        <f>+IFERROR(VLOOKUP(N11,IN_Zugliste!$A$4:$F$2002,7,FALSE),"")</f>
        <v/>
      </c>
      <c r="O310" t="str">
        <f>+IFERROR(VLOOKUP(O11,IN_Zugliste!$A$4:$F$2002,7,FALSE),"")</f>
        <v/>
      </c>
      <c r="P310" t="str">
        <f>+IFERROR(VLOOKUP(P11,IN_Zugliste!$A$4:$F$2002,7,FALSE),"")</f>
        <v/>
      </c>
      <c r="Q310" t="str">
        <f>+IFERROR(VLOOKUP(Q11,IN_Zugliste!$A$4:$F$2002,7,FALSE),"")</f>
        <v/>
      </c>
      <c r="R310" t="str">
        <f>+IFERROR(VLOOKUP(R11,IN_Zugliste!$A$4:$F$2002,7,FALSE),"")</f>
        <v/>
      </c>
      <c r="S310" t="str">
        <f>+IFERROR(VLOOKUP(S11,IN_Zugliste!$A$4:$F$2002,7,FALSE),"")</f>
        <v/>
      </c>
      <c r="T310" t="str">
        <f>+IFERROR(VLOOKUP(T11,IN_Zugliste!$A$4:$F$2002,7,FALSE),"")</f>
        <v/>
      </c>
      <c r="U310" t="str">
        <f>+IFERROR(VLOOKUP(U11,IN_Zugliste!$A$4:$F$2002,7,FALSE),"")</f>
        <v/>
      </c>
      <c r="V310" t="str">
        <f>+IFERROR(VLOOKUP(V11,IN_Zugliste!$A$4:$F$2002,7,FALSE),"")</f>
        <v/>
      </c>
      <c r="W310" t="str">
        <f>+IFERROR(VLOOKUP(W11,IN_Zugliste!$A$4:$F$2002,7,FALSE),"")</f>
        <v/>
      </c>
      <c r="X310" t="str">
        <f>+IFERROR(VLOOKUP(X11,IN_Zugliste!$A$4:$F$2002,7,FALSE),"")</f>
        <v/>
      </c>
      <c r="Y310" t="str">
        <f>+IFERROR(VLOOKUP(Y11,IN_Zugliste!$A$4:$F$2002,7,FALSE),"")</f>
        <v/>
      </c>
      <c r="Z310" t="str">
        <f>+IFERROR(VLOOKUP(Z11,IN_Zugliste!$A$4:$F$2002,7,FALSE),"")</f>
        <v/>
      </c>
      <c r="AA310" t="str">
        <f>+IFERROR(VLOOKUP(AA11,IN_Zugliste!$A$4:$F$2002,7,FALSE),"")</f>
        <v/>
      </c>
      <c r="AB310" t="str">
        <f>+IFERROR(VLOOKUP(AB11,IN_Zugliste!$A$4:$F$2002,7,FALSE),"")</f>
        <v/>
      </c>
      <c r="AC310" t="str">
        <f>+IFERROR(VLOOKUP(AC11,IN_Zugliste!$A$4:$F$2002,7,FALSE),"")</f>
        <v/>
      </c>
      <c r="AD310" t="str">
        <f>+IFERROR(VLOOKUP(AD11,IN_Zugliste!$A$4:$F$2002,7,FALSE),"")</f>
        <v/>
      </c>
      <c r="AE310" t="str">
        <f>+IFERROR(VLOOKUP(AE11,IN_Zugliste!$A$4:$F$2002,7,FALSE),"")</f>
        <v/>
      </c>
      <c r="AF310" t="str">
        <f>+IFERROR(VLOOKUP(AF11,IN_Zugliste!$A$4:$F$2002,7,FALSE),"")</f>
        <v/>
      </c>
      <c r="AG310" t="str">
        <f>+IFERROR(VLOOKUP(AG11,IN_Zugliste!$A$4:$F$2002,7,FALSE),"")</f>
        <v/>
      </c>
      <c r="AH310" t="str">
        <f>+IFERROR(VLOOKUP(AH11,IN_Zugliste!$A$4:$F$2002,7,FALSE),"")</f>
        <v/>
      </c>
      <c r="AI310" t="str">
        <f>+IFERROR(VLOOKUP(AI11,IN_Zugliste!$A$4:$F$2002,7,FALSE),"")</f>
        <v/>
      </c>
      <c r="AJ310" t="str">
        <f>+IFERROR(VLOOKUP(AJ11,IN_Zugliste!$A$4:$F$2002,7,FALSE),"")</f>
        <v/>
      </c>
      <c r="AK310" t="str">
        <f>+IFERROR(VLOOKUP(AK11,IN_Zugliste!$A$4:$F$2002,7,FALSE),"")</f>
        <v/>
      </c>
      <c r="AL310" t="str">
        <f>+IFERROR(VLOOKUP(AL11,IN_Zugliste!$A$4:$F$2002,7,FALSE),"")</f>
        <v/>
      </c>
      <c r="AM310" t="str">
        <f>+IFERROR(VLOOKUP(AM11,IN_Zugliste!$A$4:$F$2002,7,FALSE),"")</f>
        <v/>
      </c>
      <c r="AN310" t="str">
        <f>+IFERROR(VLOOKUP(AN11,IN_Zugliste!$A$4:$F$2002,7,FALSE),"")</f>
        <v/>
      </c>
      <c r="AO310" t="str">
        <f>+IFERROR(VLOOKUP(AO11,IN_Zugliste!$A$4:$F$2002,7,FALSE),"")</f>
        <v/>
      </c>
      <c r="AP310" t="str">
        <f>+IFERROR(VLOOKUP(AP11,IN_Zugliste!$A$4:$F$2002,7,FALSE),"")</f>
        <v/>
      </c>
      <c r="AQ310" t="str">
        <f>+IFERROR(VLOOKUP(AQ11,IN_Zugliste!$A$4:$F$2002,7,FALSE),"")</f>
        <v/>
      </c>
      <c r="AR310" t="str">
        <f>+IFERROR(VLOOKUP(AR11,IN_Zugliste!$A$4:$F$2002,7,FALSE),"")</f>
        <v/>
      </c>
      <c r="AS310" t="str">
        <f>+IFERROR(VLOOKUP(AS11,IN_Zugliste!$A$4:$F$2002,7,FALSE),"")</f>
        <v/>
      </c>
      <c r="AT310" t="str">
        <f>+IFERROR(VLOOKUP(AT11,IN_Zugliste!$A$4:$F$2002,7,FALSE),"")</f>
        <v/>
      </c>
      <c r="AU310" t="str">
        <f>+IFERROR(VLOOKUP(AU11,IN_Zugliste!$A$4:$F$2002,7,FALSE),"")</f>
        <v/>
      </c>
      <c r="AV310" t="str">
        <f>+IFERROR(VLOOKUP(AV11,IN_Zugliste!$A$4:$F$2002,7,FALSE),"")</f>
        <v/>
      </c>
      <c r="AW310" t="str">
        <f>+IFERROR(VLOOKUP(AW11,IN_Zugliste!$A$4:$F$2002,7,FALSE),"")</f>
        <v/>
      </c>
      <c r="AX310" t="str">
        <f>+IFERROR(VLOOKUP(AX11,IN_Zugliste!$A$4:$F$2002,7,FALSE),"")</f>
        <v/>
      </c>
      <c r="AY310" t="str">
        <f>+IFERROR(VLOOKUP(AY11,IN_Zugliste!$A$4:$F$2002,7,FALSE),"")</f>
        <v/>
      </c>
      <c r="AZ310" t="str">
        <f>+IFERROR(VLOOKUP(AZ11,IN_Zugliste!$A$4:$F$2002,7,FALSE),"")</f>
        <v/>
      </c>
      <c r="BA310" t="str">
        <f>+IFERROR(VLOOKUP(BA11,IN_Zugliste!$A$4:$F$2002,7,FALSE),"")</f>
        <v/>
      </c>
      <c r="BB310" t="str">
        <f>+IFERROR(VLOOKUP(BB11,IN_Zugliste!$A$4:$F$2002,7,FALSE),"")</f>
        <v/>
      </c>
      <c r="BC310" t="str">
        <f>+IFERROR(VLOOKUP(BC11,IN_Zugliste!$A$4:$F$2002,7,FALSE),"")</f>
        <v/>
      </c>
      <c r="BD310" t="str">
        <f>+IFERROR(VLOOKUP(BD11,IN_Zugliste!$A$4:$F$2002,7,FALSE),"")</f>
        <v/>
      </c>
      <c r="BE310" t="str">
        <f>+IFERROR(VLOOKUP(BE11,IN_Zugliste!$A$4:$F$2002,7,FALSE),"")</f>
        <v/>
      </c>
      <c r="BF310" t="str">
        <f>+IFERROR(VLOOKUP(BF11,IN_Zugliste!$A$4:$F$2002,7,FALSE),"")</f>
        <v/>
      </c>
      <c r="BG310" t="str">
        <f>+IFERROR(VLOOKUP(BG11,IN_Zugliste!$A$4:$F$2002,7,FALSE),"")</f>
        <v/>
      </c>
      <c r="BH310" t="str">
        <f>+IFERROR(VLOOKUP(BH11,IN_Zugliste!$A$4:$F$2002,7,FALSE),"")</f>
        <v/>
      </c>
      <c r="BI310" t="str">
        <f>+IFERROR(VLOOKUP(BI11,IN_Zugliste!$A$4:$F$2002,7,FALSE),"")</f>
        <v/>
      </c>
      <c r="BJ310" t="str">
        <f>+IFERROR(VLOOKUP(BJ11,IN_Zugliste!$A$4:$F$2002,7,FALSE),"")</f>
        <v/>
      </c>
      <c r="BK310" t="str">
        <f>+IFERROR(VLOOKUP(BK11,IN_Zugliste!$A$4:$F$2002,7,FALSE),"")</f>
        <v/>
      </c>
      <c r="BL310" t="str">
        <f>+IFERROR(VLOOKUP(BL11,IN_Zugliste!$A$4:$F$2002,7,FALSE),"")</f>
        <v/>
      </c>
      <c r="BM310" t="str">
        <f>+IFERROR(VLOOKUP(BM11,IN_Zugliste!$A$4:$F$2002,7,FALSE),"")</f>
        <v/>
      </c>
      <c r="BN310" t="str">
        <f>+IFERROR(VLOOKUP(BN11,IN_Zugliste!$A$4:$F$2002,7,FALSE),"")</f>
        <v/>
      </c>
      <c r="BO310" t="str">
        <f>+IFERROR(VLOOKUP(BO11,IN_Zugliste!$A$4:$F$2002,7,FALSE),"")</f>
        <v/>
      </c>
      <c r="BP310" t="str">
        <f>+IFERROR(VLOOKUP(BP11,IN_Zugliste!$A$4:$F$2002,7,FALSE),"")</f>
        <v/>
      </c>
      <c r="BQ310" t="str">
        <f>+IFERROR(VLOOKUP(BQ11,IN_Zugliste!$A$4:$F$2002,7,FALSE),"")</f>
        <v/>
      </c>
      <c r="BR310" t="str">
        <f>+IFERROR(VLOOKUP(BR11,IN_Zugliste!$A$4:$F$2002,7,FALSE),"")</f>
        <v/>
      </c>
      <c r="BS310" t="str">
        <f>+IFERROR(VLOOKUP(BS11,IN_Zugliste!$A$4:$F$2002,7,FALSE),"")</f>
        <v/>
      </c>
      <c r="BT310" t="str">
        <f>+IFERROR(VLOOKUP(BT11,IN_Zugliste!$A$4:$F$2002,7,FALSE),"")</f>
        <v/>
      </c>
      <c r="BU310" t="str">
        <f>+IFERROR(VLOOKUP(BU11,IN_Zugliste!$A$4:$F$2002,7,FALSE),"")</f>
        <v/>
      </c>
      <c r="BV310" t="str">
        <f>+IFERROR(VLOOKUP(BV11,IN_Zugliste!$A$4:$F$2002,7,FALSE),"")</f>
        <v/>
      </c>
      <c r="BW310" t="str">
        <f>+IFERROR(VLOOKUP(BW11,IN_Zugliste!$A$4:$F$2002,7,FALSE),"")</f>
        <v/>
      </c>
      <c r="BX310" t="str">
        <f>+IFERROR(VLOOKUP(BX11,IN_Zugliste!$A$4:$F$2002,7,FALSE),"")</f>
        <v/>
      </c>
      <c r="BY310" t="str">
        <f>+IFERROR(VLOOKUP(BY11,IN_Zugliste!$A$4:$F$2002,7,FALSE),"")</f>
        <v/>
      </c>
      <c r="BZ310" t="str">
        <f>+IFERROR(VLOOKUP(BZ11,IN_Zugliste!$A$4:$F$2002,7,FALSE),"")</f>
        <v/>
      </c>
      <c r="CA310" t="str">
        <f>+IFERROR(VLOOKUP(CA11,IN_Zugliste!$A$4:$F$2002,7,FALSE),"")</f>
        <v/>
      </c>
      <c r="CB310" t="str">
        <f>+IFERROR(VLOOKUP(CB11,IN_Zugliste!$A$4:$F$2002,7,FALSE),"")</f>
        <v/>
      </c>
      <c r="CC310" t="str">
        <f>+IFERROR(VLOOKUP(CC11,IN_Zugliste!$A$4:$F$2002,7,FALSE),"")</f>
        <v/>
      </c>
      <c r="CD310" t="str">
        <f>+IFERROR(VLOOKUP(CD11,IN_Zugliste!$A$4:$F$2002,7,FALSE),"")</f>
        <v/>
      </c>
      <c r="CE310" t="str">
        <f>+IFERROR(VLOOKUP(CE11,IN_Zugliste!$A$4:$F$2002,7,FALSE),"")</f>
        <v/>
      </c>
      <c r="CF310" t="str">
        <f>+IFERROR(VLOOKUP(CF11,IN_Zugliste!$A$4:$F$2002,7,FALSE),"")</f>
        <v/>
      </c>
      <c r="CG310" t="str">
        <f>+IFERROR(VLOOKUP(CG11,IN_Zugliste!$A$4:$F$2002,7,FALSE),"")</f>
        <v/>
      </c>
      <c r="CH310" t="str">
        <f>+IFERROR(VLOOKUP(CH11,IN_Zugliste!$A$4:$F$2002,7,FALSE),"")</f>
        <v/>
      </c>
      <c r="CI310" t="str">
        <f>+IFERROR(VLOOKUP(CI11,IN_Zugliste!$A$4:$F$2002,7,FALSE),"")</f>
        <v/>
      </c>
      <c r="CJ310" t="str">
        <f>+IFERROR(VLOOKUP(CJ11,IN_Zugliste!$A$4:$F$2002,7,FALSE),"")</f>
        <v/>
      </c>
      <c r="CK310" t="str">
        <f>+IFERROR(VLOOKUP(CK11,IN_Zugliste!$A$4:$F$2002,7,FALSE),"")</f>
        <v/>
      </c>
      <c r="CL310" t="str">
        <f>+IFERROR(VLOOKUP(CL11,IN_Zugliste!$A$4:$F$2002,7,FALSE),"")</f>
        <v/>
      </c>
      <c r="CM310" t="str">
        <f>+IFERROR(VLOOKUP(CM11,IN_Zugliste!$A$4:$F$2002,7,FALSE),"")</f>
        <v/>
      </c>
      <c r="CN310" t="str">
        <f>+IFERROR(VLOOKUP(CN11,IN_Zugliste!$A$4:$F$2002,7,FALSE),"")</f>
        <v/>
      </c>
      <c r="CO310" t="str">
        <f>+IFERROR(VLOOKUP(CO11,IN_Zugliste!$A$4:$F$2002,7,FALSE),"")</f>
        <v/>
      </c>
      <c r="CP310" t="str">
        <f>+IFERROR(VLOOKUP(CP11,IN_Zugliste!$A$4:$F$2002,7,FALSE),"")</f>
        <v/>
      </c>
      <c r="CQ310" t="str">
        <f>+IFERROR(VLOOKUP(CQ11,IN_Zugliste!$A$4:$F$2002,7,FALSE),"")</f>
        <v/>
      </c>
      <c r="CR310" t="str">
        <f>+IFERROR(VLOOKUP(CR11,IN_Zugliste!$A$4:$F$2002,7,FALSE),"")</f>
        <v/>
      </c>
      <c r="CS310" t="str">
        <f>+IFERROR(VLOOKUP(CS11,IN_Zugliste!$A$4:$F$2002,7,FALSE),"")</f>
        <v/>
      </c>
      <c r="CT310" t="str">
        <f>+IFERROR(VLOOKUP(CT11,IN_Zugliste!$A$4:$F$2002,7,FALSE),"")</f>
        <v/>
      </c>
      <c r="CU310" t="str">
        <f>+IFERROR(VLOOKUP(CU11,IN_Zugliste!$A$4:$F$2002,7,FALSE),"")</f>
        <v/>
      </c>
      <c r="CV310" t="str">
        <f>+IFERROR(VLOOKUP(CV11,IN_Zugliste!$A$4:$F$2002,7,FALSE),"")</f>
        <v/>
      </c>
      <c r="CW310" t="str">
        <f>+IFERROR(VLOOKUP(CW11,IN_Zugliste!$A$4:$F$2002,7,FALSE),"")</f>
        <v/>
      </c>
      <c r="CX310" t="str">
        <f>+IFERROR(VLOOKUP(CX11,IN_Zugliste!$A$4:$F$2002,7,FALSE),"")</f>
        <v/>
      </c>
      <c r="CY310" t="str">
        <f>+IFERROR(VLOOKUP(CY11,IN_Zugliste!$A$4:$F$2002,7,FALSE),"")</f>
        <v/>
      </c>
      <c r="CZ310" t="str">
        <f>+IFERROR(VLOOKUP(CZ11,IN_Zugliste!$A$4:$F$2002,7,FALSE),"")</f>
        <v/>
      </c>
      <c r="DA310" t="str">
        <f>+IFERROR(VLOOKUP(DA11,IN_Zugliste!$A$4:$F$2002,7,FALSE),"")</f>
        <v/>
      </c>
      <c r="DB310" t="str">
        <f>+IFERROR(VLOOKUP(DB11,IN_Zugliste!$A$4:$F$2002,7,FALSE),"")</f>
        <v/>
      </c>
      <c r="DC310" t="str">
        <f>+IFERROR(VLOOKUP(DC11,IN_Zugliste!$A$4:$F$2002,7,FALSE),"")</f>
        <v/>
      </c>
      <c r="DD310" t="str">
        <f>+IFERROR(VLOOKUP(DD11,IN_Zugliste!$A$4:$F$2002,7,FALSE),"")</f>
        <v/>
      </c>
      <c r="DE310" t="str">
        <f>+IFERROR(VLOOKUP(DE11,IN_Zugliste!$A$4:$F$2002,7,FALSE),"")</f>
        <v/>
      </c>
      <c r="DF310" t="str">
        <f>+IFERROR(VLOOKUP(DF11,IN_Zugliste!$A$4:$F$2002,7,FALSE),"")</f>
        <v/>
      </c>
      <c r="DG310" t="str">
        <f>+IFERROR(VLOOKUP(DG11,IN_Zugliste!$A$4:$F$2002,7,FALSE),"")</f>
        <v/>
      </c>
      <c r="DH310" t="str">
        <f>+IFERROR(VLOOKUP(DH11,IN_Zugliste!$A$4:$F$2002,7,FALSE),"")</f>
        <v/>
      </c>
      <c r="DI310" t="str">
        <f>+IFERROR(VLOOKUP(DI11,IN_Zugliste!$A$4:$F$2002,7,FALSE),"")</f>
        <v/>
      </c>
      <c r="DJ310" t="str">
        <f>+IFERROR(VLOOKUP(DJ11,IN_Zugliste!$A$4:$F$2002,7,FALSE),"")</f>
        <v/>
      </c>
      <c r="DK310" t="str">
        <f>+IFERROR(VLOOKUP(DK11,IN_Zugliste!$A$4:$F$2002,7,FALSE),"")</f>
        <v/>
      </c>
      <c r="DL310" t="str">
        <f>+IFERROR(VLOOKUP(DL11,IN_Zugliste!$A$4:$F$2002,7,FALSE),"")</f>
        <v/>
      </c>
      <c r="DM310" t="str">
        <f>+IFERROR(VLOOKUP(DM11,IN_Zugliste!$A$4:$F$2002,7,FALSE),"")</f>
        <v/>
      </c>
      <c r="DN310" t="str">
        <f>+IFERROR(VLOOKUP(DN11,IN_Zugliste!$A$4:$F$2002,7,FALSE),"")</f>
        <v/>
      </c>
      <c r="DO310" t="str">
        <f>+IFERROR(VLOOKUP(DO11,IN_Zugliste!$A$4:$F$2002,7,FALSE),"")</f>
        <v/>
      </c>
      <c r="DP310" t="str">
        <f>+IFERROR(VLOOKUP(DP11,IN_Zugliste!$A$4:$F$2002,7,FALSE),"")</f>
        <v/>
      </c>
      <c r="DQ310" t="str">
        <f>+IFERROR(VLOOKUP(DQ11,IN_Zugliste!$A$4:$F$2002,7,FALSE),"")</f>
        <v/>
      </c>
      <c r="DR310" t="str">
        <f>+IFERROR(VLOOKUP(DR11,IN_Zugliste!$A$4:$F$2002,7,FALSE),"")</f>
        <v/>
      </c>
      <c r="DS310" t="str">
        <f>+IFERROR(VLOOKUP(DS11,IN_Zugliste!$A$4:$F$2002,7,FALSE),"")</f>
        <v/>
      </c>
      <c r="DT310" t="str">
        <f>+IFERROR(VLOOKUP(DT11,IN_Zugliste!$A$4:$F$2002,7,FALSE),"")</f>
        <v/>
      </c>
      <c r="DU310" t="str">
        <f>+IFERROR(VLOOKUP(DU11,IN_Zugliste!$A$4:$F$2002,7,FALSE),"")</f>
        <v/>
      </c>
      <c r="DV310" t="str">
        <f>+IFERROR(VLOOKUP(DV11,IN_Zugliste!$A$4:$F$2002,7,FALSE),"")</f>
        <v/>
      </c>
      <c r="DW310" t="str">
        <f>+IFERROR(VLOOKUP(DW11,IN_Zugliste!$A$4:$F$2002,7,FALSE),"")</f>
        <v/>
      </c>
      <c r="DX310" t="str">
        <f>+IFERROR(VLOOKUP(DX11,IN_Zugliste!$A$4:$F$2002,7,FALSE),"")</f>
        <v/>
      </c>
      <c r="DY310" t="str">
        <f>+IFERROR(VLOOKUP(DY11,IN_Zugliste!$A$4:$F$2002,7,FALSE),"")</f>
        <v/>
      </c>
      <c r="DZ310" t="str">
        <f>+IFERROR(VLOOKUP(DZ11,IN_Zugliste!$A$4:$F$2002,7,FALSE),"")</f>
        <v/>
      </c>
      <c r="EA310" t="str">
        <f>+IFERROR(VLOOKUP(EA11,IN_Zugliste!$A$4:$F$2002,7,FALSE),"")</f>
        <v/>
      </c>
      <c r="EB310" t="str">
        <f>+IFERROR(VLOOKUP(EB11,IN_Zugliste!$A$4:$F$2002,7,FALSE),"")</f>
        <v/>
      </c>
      <c r="EC310" t="str">
        <f>+IFERROR(VLOOKUP(EC11,IN_Zugliste!$A$4:$F$2002,7,FALSE),"")</f>
        <v/>
      </c>
      <c r="ED310" t="str">
        <f>+IFERROR(VLOOKUP(ED11,IN_Zugliste!$A$4:$F$2002,7,FALSE),"")</f>
        <v/>
      </c>
      <c r="EE310" t="str">
        <f>+IFERROR(VLOOKUP(EE11,IN_Zugliste!$A$4:$F$2002,7,FALSE),"")</f>
        <v/>
      </c>
      <c r="EF310" t="str">
        <f>+IFERROR(VLOOKUP(EF11,IN_Zugliste!$A$4:$F$2002,7,FALSE),"")</f>
        <v/>
      </c>
      <c r="EG310" t="str">
        <f>+IFERROR(VLOOKUP(EG11,IN_Zugliste!$A$4:$F$2002,7,FALSE),"")</f>
        <v/>
      </c>
      <c r="EH310" t="str">
        <f>+IFERROR(VLOOKUP(EH11,IN_Zugliste!$A$4:$F$2002,7,FALSE),"")</f>
        <v/>
      </c>
      <c r="EI310" t="str">
        <f>+IFERROR(VLOOKUP(EI11,IN_Zugliste!$A$4:$F$2002,7,FALSE),"")</f>
        <v/>
      </c>
      <c r="EJ310" t="str">
        <f>+IFERROR(VLOOKUP(EJ11,IN_Zugliste!$A$4:$F$2002,7,FALSE),"")</f>
        <v/>
      </c>
      <c r="EK310" t="str">
        <f>+IFERROR(VLOOKUP(EK11,IN_Zugliste!$A$4:$F$2002,7,FALSE),"")</f>
        <v/>
      </c>
      <c r="EL310" t="str">
        <f>+IFERROR(VLOOKUP(EL11,IN_Zugliste!$A$4:$F$2002,7,FALSE),"")</f>
        <v/>
      </c>
      <c r="EM310" t="str">
        <f>+IFERROR(VLOOKUP(EM11,IN_Zugliste!$A$4:$F$2002,7,FALSE),"")</f>
        <v/>
      </c>
      <c r="EN310" t="str">
        <f>+IFERROR(VLOOKUP(EN11,IN_Zugliste!$A$4:$F$2002,7,FALSE),"")</f>
        <v/>
      </c>
      <c r="EO310" t="str">
        <f>+IFERROR(VLOOKUP(EO11,IN_Zugliste!$A$4:$F$2002,7,FALSE),"")</f>
        <v/>
      </c>
      <c r="EP310" t="str">
        <f>+IFERROR(VLOOKUP(EP11,IN_Zugliste!$A$4:$F$2002,7,FALSE),"")</f>
        <v/>
      </c>
      <c r="EQ310" t="str">
        <f>+IFERROR(VLOOKUP(EQ11,IN_Zugliste!$A$4:$F$2002,7,FALSE),"")</f>
        <v/>
      </c>
      <c r="ER310" t="str">
        <f>+IFERROR(VLOOKUP(ER11,IN_Zugliste!$A$4:$F$2002,7,FALSE),"")</f>
        <v/>
      </c>
      <c r="ES310" t="str">
        <f>+IFERROR(VLOOKUP(ES11,IN_Zugliste!$A$4:$F$2002,7,FALSE),"")</f>
        <v/>
      </c>
      <c r="ET310" t="str">
        <f>+IFERROR(VLOOKUP(ET11,IN_Zugliste!$A$4:$F$2002,7,FALSE),"")</f>
        <v/>
      </c>
      <c r="EU310" t="str">
        <f>+IFERROR(VLOOKUP(EU11,IN_Zugliste!$A$4:$F$2002,7,FALSE),"")</f>
        <v/>
      </c>
      <c r="EV310" t="str">
        <f>+IFERROR(VLOOKUP(EV11,IN_Zugliste!$A$4:$F$2002,7,FALSE),"")</f>
        <v/>
      </c>
      <c r="EW310" t="str">
        <f>+IFERROR(VLOOKUP(EW11,IN_Zugliste!$A$4:$F$2002,7,FALSE),"")</f>
        <v/>
      </c>
      <c r="EX310" t="str">
        <f>+IFERROR(VLOOKUP(EX11,IN_Zugliste!$A$4:$F$2002,7,FALSE),"")</f>
        <v/>
      </c>
      <c r="EY310" t="str">
        <f>+IFERROR(VLOOKUP(EY11,IN_Zugliste!$A$4:$F$2002,7,FALSE),"")</f>
        <v/>
      </c>
      <c r="EZ310" t="str">
        <f>+IFERROR(VLOOKUP(EZ11,IN_Zugliste!$A$4:$F$2002,7,FALSE),"")</f>
        <v/>
      </c>
      <c r="FA310" t="str">
        <f>+IFERROR(VLOOKUP(FA11,IN_Zugliste!$A$4:$F$2002,7,FALSE),"")</f>
        <v/>
      </c>
      <c r="FB310" t="str">
        <f>+IFERROR(VLOOKUP(FB11,IN_Zugliste!$A$4:$F$2002,7,FALSE),"")</f>
        <v/>
      </c>
      <c r="FC310" t="str">
        <f>+IFERROR(VLOOKUP(FC11,IN_Zugliste!$A$4:$F$2002,7,FALSE),"")</f>
        <v/>
      </c>
      <c r="FD310" t="str">
        <f>+IFERROR(VLOOKUP(FD11,IN_Zugliste!$A$4:$F$2002,7,FALSE),"")</f>
        <v/>
      </c>
      <c r="FE310" t="str">
        <f>+IFERROR(VLOOKUP(FE11,IN_Zugliste!$A$4:$F$2002,7,FALSE),"")</f>
        <v/>
      </c>
      <c r="FF310" t="str">
        <f>+IFERROR(VLOOKUP(FF11,IN_Zugliste!$A$4:$F$2002,7,FALSE),"")</f>
        <v/>
      </c>
      <c r="FG310" t="str">
        <f>+IFERROR(VLOOKUP(FG11,IN_Zugliste!$A$4:$F$2002,7,FALSE),"")</f>
        <v/>
      </c>
      <c r="FH310" t="str">
        <f>+IFERROR(VLOOKUP(FH11,IN_Zugliste!$A$4:$F$2002,7,FALSE),"")</f>
        <v/>
      </c>
      <c r="FI310" t="str">
        <f>+IFERROR(VLOOKUP(FI11,IN_Zugliste!$A$4:$F$2002,7,FALSE),"")</f>
        <v/>
      </c>
      <c r="FJ310" t="str">
        <f>+IFERROR(VLOOKUP(FJ11,IN_Zugliste!$A$4:$F$2002,7,FALSE),"")</f>
        <v/>
      </c>
      <c r="FK310" t="str">
        <f>+IFERROR(VLOOKUP(FK11,IN_Zugliste!$A$4:$F$2002,7,FALSE),"")</f>
        <v/>
      </c>
      <c r="FL310" t="str">
        <f>+IFERROR(VLOOKUP(FL11,IN_Zugliste!$A$4:$F$2002,7,FALSE),"")</f>
        <v/>
      </c>
      <c r="FM310" t="str">
        <f>+IFERROR(VLOOKUP(FM11,IN_Zugliste!$A$4:$F$2002,7,FALSE),"")</f>
        <v/>
      </c>
      <c r="FN310" t="str">
        <f>+IFERROR(VLOOKUP(FN11,IN_Zugliste!$A$4:$F$2002,7,FALSE),"")</f>
        <v/>
      </c>
      <c r="FO310" t="str">
        <f>+IFERROR(VLOOKUP(FO11,IN_Zugliste!$A$4:$F$2002,7,FALSE),"")</f>
        <v/>
      </c>
      <c r="FP310" t="str">
        <f>+IFERROR(VLOOKUP(FP11,IN_Zugliste!$A$4:$F$2002,7,FALSE),"")</f>
        <v/>
      </c>
      <c r="FQ310" t="str">
        <f>+IFERROR(VLOOKUP(FQ11,IN_Zugliste!$A$4:$F$2002,7,FALSE),"")</f>
        <v/>
      </c>
      <c r="FR310" t="str">
        <f>+IFERROR(VLOOKUP(FR11,IN_Zugliste!$A$4:$F$2002,7,FALSE),"")</f>
        <v/>
      </c>
      <c r="FS310" t="str">
        <f>+IFERROR(VLOOKUP(FS11,IN_Zugliste!$A$4:$F$2002,7,FALSE),"")</f>
        <v/>
      </c>
      <c r="FT310" t="str">
        <f>+IFERROR(VLOOKUP(FT11,IN_Zugliste!$A$4:$F$2002,7,FALSE),"")</f>
        <v/>
      </c>
      <c r="FU310" t="str">
        <f>+IFERROR(VLOOKUP(FU11,IN_Zugliste!$A$4:$F$2002,7,FALSE),"")</f>
        <v/>
      </c>
      <c r="FV310" t="str">
        <f>+IFERROR(VLOOKUP(FV11,IN_Zugliste!$A$4:$F$2002,7,FALSE),"")</f>
        <v/>
      </c>
      <c r="FW310" t="str">
        <f>+IFERROR(VLOOKUP(FW11,IN_Zugliste!$A$4:$F$2002,7,FALSE),"")</f>
        <v/>
      </c>
      <c r="FX310" t="str">
        <f>+IFERROR(VLOOKUP(FX11,IN_Zugliste!$A$4:$F$2002,7,FALSE),"")</f>
        <v/>
      </c>
      <c r="FY310" t="str">
        <f>+IFERROR(VLOOKUP(FY11,IN_Zugliste!$A$4:$F$2002,7,FALSE),"")</f>
        <v/>
      </c>
      <c r="FZ310" t="str">
        <f>+IFERROR(VLOOKUP(FZ11,IN_Zugliste!$A$4:$F$2002,7,FALSE),"")</f>
        <v/>
      </c>
      <c r="GA310" t="str">
        <f>+IFERROR(VLOOKUP(GA11,IN_Zugliste!$A$4:$F$2002,7,FALSE),"")</f>
        <v/>
      </c>
      <c r="GB310" t="str">
        <f>+IFERROR(VLOOKUP(GB11,IN_Zugliste!$A$4:$F$2002,7,FALSE),"")</f>
        <v/>
      </c>
      <c r="GC310" t="str">
        <f>+IFERROR(VLOOKUP(GC11,IN_Zugliste!$A$4:$F$2002,7,FALSE),"")</f>
        <v/>
      </c>
      <c r="GD310" t="str">
        <f>+IFERROR(VLOOKUP(GD11,IN_Zugliste!$A$4:$F$2002,7,FALSE),"")</f>
        <v/>
      </c>
      <c r="GE310" t="str">
        <f>+IFERROR(VLOOKUP(GE11,IN_Zugliste!$A$4:$F$2002,7,FALSE),"")</f>
        <v/>
      </c>
      <c r="GF310" t="str">
        <f>+IFERROR(VLOOKUP(GF11,IN_Zugliste!$A$4:$F$2002,7,FALSE),"")</f>
        <v/>
      </c>
      <c r="GG310" t="str">
        <f>+IFERROR(VLOOKUP(GG11,IN_Zugliste!$A$4:$F$2002,7,FALSE),"")</f>
        <v/>
      </c>
      <c r="GH310" t="str">
        <f>+IFERROR(VLOOKUP(GH11,IN_Zugliste!$A$4:$F$2002,7,FALSE),"")</f>
        <v/>
      </c>
      <c r="GI310" t="str">
        <f>+IFERROR(VLOOKUP(GI11,IN_Zugliste!$A$4:$F$2002,7,FALSE),"")</f>
        <v/>
      </c>
      <c r="GJ310" t="str">
        <f>+IFERROR(VLOOKUP(GJ11,IN_Zugliste!$A$4:$F$2002,7,FALSE),"")</f>
        <v/>
      </c>
      <c r="GK310" t="str">
        <f>+IFERROR(VLOOKUP(GK11,IN_Zugliste!$A$4:$F$2002,7,FALSE),"")</f>
        <v/>
      </c>
      <c r="GL310" t="str">
        <f>+IFERROR(VLOOKUP(GL11,IN_Zugliste!$A$4:$F$2002,7,FALSE),"")</f>
        <v/>
      </c>
      <c r="GM310" t="str">
        <f>+IFERROR(VLOOKUP(GM11,IN_Zugliste!$A$4:$F$2002,7,FALSE),"")</f>
        <v/>
      </c>
      <c r="GN310" t="str">
        <f>+IFERROR(VLOOKUP(GN11,IN_Zugliste!$A$4:$F$2002,7,FALSE),"")</f>
        <v/>
      </c>
      <c r="GO310" t="str">
        <f>+IFERROR(VLOOKUP(GO11,IN_Zugliste!$A$4:$F$2002,7,FALSE),"")</f>
        <v/>
      </c>
      <c r="GP310" t="str">
        <f>+IFERROR(VLOOKUP(GP11,IN_Zugliste!$A$4:$F$2002,7,FALSE),"")</f>
        <v/>
      </c>
      <c r="GQ310" t="str">
        <f>+IFERROR(VLOOKUP(GQ11,IN_Zugliste!$A$4:$F$2002,7,FALSE),"")</f>
        <v/>
      </c>
      <c r="GR310" t="str">
        <f>+IFERROR(VLOOKUP(GR11,IN_Zugliste!$A$4:$F$2002,7,FALSE),"")</f>
        <v/>
      </c>
      <c r="GS310" t="str">
        <f>+IFERROR(VLOOKUP(GS11,IN_Zugliste!$A$4:$F$2002,7,FALSE),"")</f>
        <v/>
      </c>
      <c r="GT310" t="str">
        <f>+IFERROR(VLOOKUP(GT11,IN_Zugliste!$A$4:$F$2002,7,FALSE),"")</f>
        <v/>
      </c>
      <c r="GU310" t="str">
        <f>+IFERROR(VLOOKUP(GU11,IN_Zugliste!$A$4:$F$2002,7,FALSE),"")</f>
        <v/>
      </c>
      <c r="GV310" t="str">
        <f>+IFERROR(VLOOKUP(GV11,IN_Zugliste!$A$4:$F$2002,7,FALSE),"")</f>
        <v/>
      </c>
      <c r="GW310" t="str">
        <f>+IFERROR(VLOOKUP(GW11,IN_Zugliste!$A$4:$F$2002,7,FALSE),"")</f>
        <v/>
      </c>
      <c r="GX310" t="str">
        <f>+IFERROR(VLOOKUP(GX11,IN_Zugliste!$A$4:$F$2002,7,FALSE),"")</f>
        <v/>
      </c>
      <c r="GY310" t="str">
        <f>+IFERROR(VLOOKUP(GY11,IN_Zugliste!$A$4:$F$2002,7,FALSE),"")</f>
        <v/>
      </c>
      <c r="GZ310" t="str">
        <f>+IFERROR(VLOOKUP(GZ11,IN_Zugliste!$A$4:$F$2002,7,FALSE),"")</f>
        <v/>
      </c>
      <c r="HA310" t="str">
        <f>+IFERROR(VLOOKUP(HA11,IN_Zugliste!$A$4:$F$2002,7,FALSE),"")</f>
        <v/>
      </c>
      <c r="HB310" t="str">
        <f>+IFERROR(VLOOKUP(HB11,IN_Zugliste!$A$4:$F$2002,7,FALSE),"")</f>
        <v/>
      </c>
      <c r="HC310" t="str">
        <f>+IFERROR(VLOOKUP(HC11,IN_Zugliste!$A$4:$F$2002,7,FALSE),"")</f>
        <v/>
      </c>
      <c r="HD310" t="str">
        <f>+IFERROR(VLOOKUP(HD11,IN_Zugliste!$A$4:$F$2002,7,FALSE),"")</f>
        <v/>
      </c>
      <c r="HE310" t="str">
        <f>+IFERROR(VLOOKUP(HE11,IN_Zugliste!$A$4:$F$2002,7,FALSE),"")</f>
        <v/>
      </c>
      <c r="HF310" t="str">
        <f>+IFERROR(VLOOKUP(HF11,IN_Zugliste!$A$4:$F$2002,7,FALSE),"")</f>
        <v/>
      </c>
      <c r="HG310" t="str">
        <f>+IFERROR(VLOOKUP(HG11,IN_Zugliste!$A$4:$F$2002,7,FALSE),"")</f>
        <v/>
      </c>
      <c r="HH310" t="str">
        <f>+IFERROR(VLOOKUP(HH11,IN_Zugliste!$A$4:$F$2002,7,FALSE),"")</f>
        <v/>
      </c>
      <c r="HI310" t="str">
        <f>+IFERROR(VLOOKUP(HI11,IN_Zugliste!$A$4:$F$2002,7,FALSE),"")</f>
        <v/>
      </c>
      <c r="HJ310" t="str">
        <f>+IFERROR(VLOOKUP(HJ11,IN_Zugliste!$A$4:$F$2002,7,FALSE),"")</f>
        <v/>
      </c>
      <c r="HK310" t="str">
        <f>+IFERROR(VLOOKUP(HK11,IN_Zugliste!$A$4:$F$2002,7,FALSE),"")</f>
        <v/>
      </c>
      <c r="HL310" t="str">
        <f>+IFERROR(VLOOKUP(HL11,IN_Zugliste!$A$4:$F$2002,7,FALSE),"")</f>
        <v/>
      </c>
      <c r="HM310" t="str">
        <f>+IFERROR(VLOOKUP(HM11,IN_Zugliste!$A$4:$F$2002,7,FALSE),"")</f>
        <v/>
      </c>
      <c r="HN310" t="str">
        <f>+IFERROR(VLOOKUP(HN11,IN_Zugliste!$A$4:$F$2002,7,FALSE),"")</f>
        <v/>
      </c>
      <c r="HO310" t="str">
        <f>+IFERROR(VLOOKUP(HO11,IN_Zugliste!$A$4:$F$2002,7,FALSE),"")</f>
        <v/>
      </c>
      <c r="HP310" t="str">
        <f>+IFERROR(VLOOKUP(HP11,IN_Zugliste!$A$4:$F$2002,7,FALSE),"")</f>
        <v/>
      </c>
      <c r="HQ310" t="str">
        <f>+IFERROR(VLOOKUP(HQ11,IN_Zugliste!$A$4:$F$2002,7,FALSE),"")</f>
        <v/>
      </c>
      <c r="HR310" t="str">
        <f>+IFERROR(VLOOKUP(HR11,IN_Zugliste!$A$4:$F$2002,7,FALSE),"")</f>
        <v/>
      </c>
      <c r="HS310" t="str">
        <f>+IFERROR(VLOOKUP(HS11,IN_Zugliste!$A$4:$F$2002,7,FALSE),"")</f>
        <v/>
      </c>
      <c r="HT310" t="str">
        <f>+IFERROR(VLOOKUP(HT11,IN_Zugliste!$A$4:$F$2002,7,FALSE),"")</f>
        <v/>
      </c>
      <c r="HU310" t="str">
        <f>+IFERROR(VLOOKUP(HU11,IN_Zugliste!$A$4:$F$2002,7,FALSE),"")</f>
        <v/>
      </c>
      <c r="HV310" t="str">
        <f>+IFERROR(VLOOKUP(HV11,IN_Zugliste!$A$4:$F$2002,7,FALSE),"")</f>
        <v/>
      </c>
      <c r="HW310" t="str">
        <f>+IFERROR(VLOOKUP(HW11,IN_Zugliste!$A$4:$F$2002,7,FALSE),"")</f>
        <v/>
      </c>
      <c r="HX310" t="str">
        <f>+IFERROR(VLOOKUP(HX11,IN_Zugliste!$A$4:$F$2002,7,FALSE),"")</f>
        <v/>
      </c>
      <c r="HY310" t="str">
        <f>+IFERROR(VLOOKUP(HY11,IN_Zugliste!$A$4:$F$2002,7,FALSE),"")</f>
        <v/>
      </c>
      <c r="HZ310" t="str">
        <f>+IFERROR(VLOOKUP(HZ11,IN_Zugliste!$A$4:$F$2002,7,FALSE),"")</f>
        <v/>
      </c>
      <c r="IA310" t="str">
        <f>+IFERROR(VLOOKUP(IA11,IN_Zugliste!$A$4:$F$2002,7,FALSE),"")</f>
        <v/>
      </c>
      <c r="IB310" t="str">
        <f>+IFERROR(VLOOKUP(IB11,IN_Zugliste!$A$4:$F$2002,7,FALSE),"")</f>
        <v/>
      </c>
      <c r="IC310" t="str">
        <f>+IFERROR(VLOOKUP(IC11,IN_Zugliste!$A$4:$F$2002,7,FALSE),"")</f>
        <v/>
      </c>
      <c r="ID310" t="str">
        <f>+IFERROR(VLOOKUP(ID11,IN_Zugliste!$A$4:$F$2002,7,FALSE),"")</f>
        <v/>
      </c>
      <c r="IE310" t="str">
        <f>+IFERROR(VLOOKUP(IE11,IN_Zugliste!$A$4:$F$2002,7,FALSE),"")</f>
        <v/>
      </c>
      <c r="IF310" t="str">
        <f>+IFERROR(VLOOKUP(IF11,IN_Zugliste!$A$4:$F$2002,7,FALSE),"")</f>
        <v/>
      </c>
      <c r="IG310" t="str">
        <f>+IFERROR(VLOOKUP(IG11,IN_Zugliste!$A$4:$F$2002,7,FALSE),"")</f>
        <v/>
      </c>
      <c r="IH310" t="str">
        <f>+IFERROR(VLOOKUP(IH11,IN_Zugliste!$A$4:$F$2002,7,FALSE),"")</f>
        <v/>
      </c>
      <c r="II310" t="str">
        <f>+IFERROR(VLOOKUP(II11,IN_Zugliste!$A$4:$F$2002,7,FALSE),"")</f>
        <v/>
      </c>
      <c r="IJ310" t="str">
        <f>+IFERROR(VLOOKUP(IJ11,IN_Zugliste!$A$4:$F$2002,7,FALSE),"")</f>
        <v/>
      </c>
      <c r="IK310" t="str">
        <f>+IFERROR(VLOOKUP(IK11,IN_Zugliste!$A$4:$F$2002,7,FALSE),"")</f>
        <v/>
      </c>
      <c r="IL310" t="str">
        <f>+IFERROR(VLOOKUP(IL11,IN_Zugliste!$A$4:$F$2002,7,FALSE),"")</f>
        <v/>
      </c>
      <c r="IM310" t="str">
        <f>+IFERROR(VLOOKUP(IM11,IN_Zugliste!$A$4:$F$2002,7,FALSE),"")</f>
        <v/>
      </c>
      <c r="IN310" t="str">
        <f>+IFERROR(VLOOKUP(IN11,IN_Zugliste!$A$4:$F$2002,7,FALSE),"")</f>
        <v/>
      </c>
      <c r="IO310" t="str">
        <f>+IFERROR(VLOOKUP(IO11,IN_Zugliste!$A$4:$F$2002,7,FALSE),"")</f>
        <v/>
      </c>
      <c r="IP310" t="str">
        <f>+IFERROR(VLOOKUP(IP11,IN_Zugliste!$A$4:$F$2002,7,FALSE),"")</f>
        <v/>
      </c>
      <c r="IQ310" t="str">
        <f>+IFERROR(VLOOKUP(IQ11,IN_Zugliste!$A$4:$F$2002,7,FALSE),"")</f>
        <v/>
      </c>
      <c r="IR310" t="str">
        <f>+IFERROR(VLOOKUP(IR11,IN_Zugliste!$A$4:$F$2002,7,FALSE),"")</f>
        <v/>
      </c>
      <c r="IS310" t="str">
        <f>+IFERROR(VLOOKUP(IS11,IN_Zugliste!$A$4:$F$2002,7,FALSE),"")</f>
        <v/>
      </c>
      <c r="IT310" t="str">
        <f>+IFERROR(VLOOKUP(IT11,IN_Zugliste!$A$4:$F$2002,7,FALSE),"")</f>
        <v/>
      </c>
      <c r="IU310" t="str">
        <f>+IFERROR(VLOOKUP(IU11,IN_Zugliste!$A$4:$F$2002,7,FALSE),"")</f>
        <v/>
      </c>
      <c r="IV310" t="str">
        <f>+IFERROR(VLOOKUP(IV11,IN_Zugliste!$A$4:$F$2002,7,FALSE),"")</f>
        <v/>
      </c>
      <c r="IW310" t="str">
        <f>+IFERROR(VLOOKUP(IW11,IN_Zugliste!$A$4:$F$2002,7,FALSE),"")</f>
        <v/>
      </c>
      <c r="IX310" t="str">
        <f>+IFERROR(VLOOKUP(IX11,IN_Zugliste!$A$4:$F$2002,7,FALSE),"")</f>
        <v/>
      </c>
      <c r="IY310" t="str">
        <f>+IFERROR(VLOOKUP(IY11,IN_Zugliste!$A$4:$F$2002,7,FALSE),"")</f>
        <v/>
      </c>
      <c r="IZ310" t="str">
        <f>+IFERROR(VLOOKUP(IZ11,IN_Zugliste!$A$4:$F$2002,7,FALSE),"")</f>
        <v/>
      </c>
      <c r="JA310" t="str">
        <f>+IFERROR(VLOOKUP(JA11,IN_Zugliste!$A$4:$F$2002,7,FALSE),"")</f>
        <v/>
      </c>
      <c r="JB310" t="str">
        <f>+IFERROR(VLOOKUP(JB11,IN_Zugliste!$A$4:$F$2002,7,FALSE),"")</f>
        <v/>
      </c>
      <c r="JC310" t="str">
        <f>+IFERROR(VLOOKUP(JC11,IN_Zugliste!$A$4:$F$2002,7,FALSE),"")</f>
        <v/>
      </c>
      <c r="JD310" t="str">
        <f>+IFERROR(VLOOKUP(JD11,IN_Zugliste!$A$4:$F$2002,7,FALSE),"")</f>
        <v/>
      </c>
      <c r="JE310" t="str">
        <f>+IFERROR(VLOOKUP(JE11,IN_Zugliste!$A$4:$F$2002,7,FALSE),"")</f>
        <v/>
      </c>
      <c r="JF310" t="str">
        <f>+IFERROR(VLOOKUP(JF11,IN_Zugliste!$A$4:$F$2002,7,FALSE),"")</f>
        <v/>
      </c>
      <c r="JG310" t="str">
        <f>+IFERROR(VLOOKUP(JG11,IN_Zugliste!$A$4:$F$2002,7,FALSE),"")</f>
        <v/>
      </c>
      <c r="JH310" t="str">
        <f>+IFERROR(VLOOKUP(JH11,IN_Zugliste!$A$4:$F$2002,7,FALSE),"")</f>
        <v/>
      </c>
      <c r="JI310" t="str">
        <f>+IFERROR(VLOOKUP(JI11,IN_Zugliste!$A$4:$F$2002,7,FALSE),"")</f>
        <v/>
      </c>
      <c r="JJ310" t="str">
        <f>+IFERROR(VLOOKUP(JJ11,IN_Zugliste!$A$4:$F$2002,7,FALSE),"")</f>
        <v/>
      </c>
    </row>
    <row r="311" spans="1:270" x14ac:dyDescent="0.2">
      <c r="A311" t="str">
        <f>+IFERROR(VLOOKUP(A12,IN_Zugliste!$A$4:$F$2002,7,FALSE),"")</f>
        <v/>
      </c>
      <c r="B311" t="str">
        <f>+IFERROR(VLOOKUP(B12,IN_Zugliste!$A$4:$F$2002,7,FALSE),"")</f>
        <v/>
      </c>
      <c r="C311" t="str">
        <f>+IFERROR(VLOOKUP(C12,IN_Zugliste!$A$4:$F$2002,7,FALSE),"")</f>
        <v/>
      </c>
      <c r="D311" t="str">
        <f>+IFERROR(VLOOKUP(D12,IN_Zugliste!$A$4:$F$2002,7,FALSE),"")</f>
        <v/>
      </c>
      <c r="E311" t="str">
        <f>+IFERROR(VLOOKUP(E12,IN_Zugliste!$A$4:$F$2002,7,FALSE),"")</f>
        <v/>
      </c>
      <c r="F311" t="str">
        <f>+IFERROR(VLOOKUP(F12,IN_Zugliste!$A$4:$F$2002,7,FALSE),"")</f>
        <v/>
      </c>
      <c r="G311" t="str">
        <f>+IFERROR(VLOOKUP(G12,IN_Zugliste!$A$4:$F$2002,7,FALSE),"")</f>
        <v/>
      </c>
      <c r="H311" t="str">
        <f>+IFERROR(VLOOKUP(H12,IN_Zugliste!$A$4:$F$2002,7,FALSE),"")</f>
        <v/>
      </c>
      <c r="I311" t="str">
        <f>+IFERROR(VLOOKUP(I12,IN_Zugliste!$A$4:$F$2002,7,FALSE),"")</f>
        <v/>
      </c>
      <c r="J311" t="str">
        <f>+IFERROR(VLOOKUP(J12,IN_Zugliste!$A$4:$F$2002,7,FALSE),"")</f>
        <v/>
      </c>
      <c r="K311" t="str">
        <f>+IFERROR(VLOOKUP(K12,IN_Zugliste!$A$4:$F$2002,7,FALSE),"")</f>
        <v/>
      </c>
      <c r="L311" t="str">
        <f>+IFERROR(VLOOKUP(L12,IN_Zugliste!$A$4:$F$2002,7,FALSE),"")</f>
        <v/>
      </c>
      <c r="M311" t="str">
        <f>+IFERROR(VLOOKUP(M12,IN_Zugliste!$A$4:$F$2002,7,FALSE),"")</f>
        <v/>
      </c>
      <c r="N311" t="str">
        <f>+IFERROR(VLOOKUP(N12,IN_Zugliste!$A$4:$F$2002,7,FALSE),"")</f>
        <v/>
      </c>
      <c r="O311" t="str">
        <f>+IFERROR(VLOOKUP(O12,IN_Zugliste!$A$4:$F$2002,7,FALSE),"")</f>
        <v/>
      </c>
      <c r="P311" t="str">
        <f>+IFERROR(VLOOKUP(P12,IN_Zugliste!$A$4:$F$2002,7,FALSE),"")</f>
        <v/>
      </c>
      <c r="Q311" t="str">
        <f>+IFERROR(VLOOKUP(Q12,IN_Zugliste!$A$4:$F$2002,7,FALSE),"")</f>
        <v/>
      </c>
      <c r="R311" t="str">
        <f>+IFERROR(VLOOKUP(R12,IN_Zugliste!$A$4:$F$2002,7,FALSE),"")</f>
        <v/>
      </c>
      <c r="S311" t="str">
        <f>+IFERROR(VLOOKUP(S12,IN_Zugliste!$A$4:$F$2002,7,FALSE),"")</f>
        <v/>
      </c>
      <c r="T311" t="str">
        <f>+IFERROR(VLOOKUP(T12,IN_Zugliste!$A$4:$F$2002,7,FALSE),"")</f>
        <v/>
      </c>
      <c r="U311" t="str">
        <f>+IFERROR(VLOOKUP(U12,IN_Zugliste!$A$4:$F$2002,7,FALSE),"")</f>
        <v/>
      </c>
      <c r="V311" t="str">
        <f>+IFERROR(VLOOKUP(V12,IN_Zugliste!$A$4:$F$2002,7,FALSE),"")</f>
        <v/>
      </c>
      <c r="W311" t="str">
        <f>+IFERROR(VLOOKUP(W12,IN_Zugliste!$A$4:$F$2002,7,FALSE),"")</f>
        <v/>
      </c>
      <c r="X311" t="str">
        <f>+IFERROR(VLOOKUP(X12,IN_Zugliste!$A$4:$F$2002,7,FALSE),"")</f>
        <v/>
      </c>
      <c r="Y311" t="str">
        <f>+IFERROR(VLOOKUP(Y12,IN_Zugliste!$A$4:$F$2002,7,FALSE),"")</f>
        <v/>
      </c>
      <c r="Z311" t="str">
        <f>+IFERROR(VLOOKUP(Z12,IN_Zugliste!$A$4:$F$2002,7,FALSE),"")</f>
        <v/>
      </c>
      <c r="AA311" t="str">
        <f>+IFERROR(VLOOKUP(AA12,IN_Zugliste!$A$4:$F$2002,7,FALSE),"")</f>
        <v/>
      </c>
      <c r="AB311" t="str">
        <f>+IFERROR(VLOOKUP(AB12,IN_Zugliste!$A$4:$F$2002,7,FALSE),"")</f>
        <v/>
      </c>
      <c r="AC311" t="str">
        <f>+IFERROR(VLOOKUP(AC12,IN_Zugliste!$A$4:$F$2002,7,FALSE),"")</f>
        <v/>
      </c>
      <c r="AD311" t="str">
        <f>+IFERROR(VLOOKUP(AD12,IN_Zugliste!$A$4:$F$2002,7,FALSE),"")</f>
        <v/>
      </c>
      <c r="AE311" t="str">
        <f>+IFERROR(VLOOKUP(AE12,IN_Zugliste!$A$4:$F$2002,7,FALSE),"")</f>
        <v/>
      </c>
      <c r="AF311" t="str">
        <f>+IFERROR(VLOOKUP(AF12,IN_Zugliste!$A$4:$F$2002,7,FALSE),"")</f>
        <v/>
      </c>
      <c r="AG311" t="str">
        <f>+IFERROR(VLOOKUP(AG12,IN_Zugliste!$A$4:$F$2002,7,FALSE),"")</f>
        <v/>
      </c>
      <c r="AH311" t="str">
        <f>+IFERROR(VLOOKUP(AH12,IN_Zugliste!$A$4:$F$2002,7,FALSE),"")</f>
        <v/>
      </c>
      <c r="AI311" t="str">
        <f>+IFERROR(VLOOKUP(AI12,IN_Zugliste!$A$4:$F$2002,7,FALSE),"")</f>
        <v/>
      </c>
      <c r="AJ311" t="str">
        <f>+IFERROR(VLOOKUP(AJ12,IN_Zugliste!$A$4:$F$2002,7,FALSE),"")</f>
        <v/>
      </c>
      <c r="AK311" t="str">
        <f>+IFERROR(VLOOKUP(AK12,IN_Zugliste!$A$4:$F$2002,7,FALSE),"")</f>
        <v/>
      </c>
      <c r="AL311" t="str">
        <f>+IFERROR(VLOOKUP(AL12,IN_Zugliste!$A$4:$F$2002,7,FALSE),"")</f>
        <v/>
      </c>
      <c r="AM311" t="str">
        <f>+IFERROR(VLOOKUP(AM12,IN_Zugliste!$A$4:$F$2002,7,FALSE),"")</f>
        <v/>
      </c>
      <c r="AN311" t="str">
        <f>+IFERROR(VLOOKUP(AN12,IN_Zugliste!$A$4:$F$2002,7,FALSE),"")</f>
        <v/>
      </c>
      <c r="AO311" t="str">
        <f>+IFERROR(VLOOKUP(AO12,IN_Zugliste!$A$4:$F$2002,7,FALSE),"")</f>
        <v/>
      </c>
      <c r="AP311" t="str">
        <f>+IFERROR(VLOOKUP(AP12,IN_Zugliste!$A$4:$F$2002,7,FALSE),"")</f>
        <v/>
      </c>
      <c r="AQ311" t="str">
        <f>+IFERROR(VLOOKUP(AQ12,IN_Zugliste!$A$4:$F$2002,7,FALSE),"")</f>
        <v/>
      </c>
      <c r="AR311" t="str">
        <f>+IFERROR(VLOOKUP(AR12,IN_Zugliste!$A$4:$F$2002,7,FALSE),"")</f>
        <v/>
      </c>
      <c r="AS311" t="str">
        <f>+IFERROR(VLOOKUP(AS12,IN_Zugliste!$A$4:$F$2002,7,FALSE),"")</f>
        <v/>
      </c>
      <c r="AT311" t="str">
        <f>+IFERROR(VLOOKUP(AT12,IN_Zugliste!$A$4:$F$2002,7,FALSE),"")</f>
        <v/>
      </c>
      <c r="AU311" t="str">
        <f>+IFERROR(VLOOKUP(AU12,IN_Zugliste!$A$4:$F$2002,7,FALSE),"")</f>
        <v/>
      </c>
      <c r="AV311" t="str">
        <f>+IFERROR(VLOOKUP(AV12,IN_Zugliste!$A$4:$F$2002,7,FALSE),"")</f>
        <v/>
      </c>
      <c r="AW311" t="str">
        <f>+IFERROR(VLOOKUP(AW12,IN_Zugliste!$A$4:$F$2002,7,FALSE),"")</f>
        <v/>
      </c>
      <c r="AX311" t="str">
        <f>+IFERROR(VLOOKUP(AX12,IN_Zugliste!$A$4:$F$2002,7,FALSE),"")</f>
        <v/>
      </c>
      <c r="AY311" t="str">
        <f>+IFERROR(VLOOKUP(AY12,IN_Zugliste!$A$4:$F$2002,7,FALSE),"")</f>
        <v/>
      </c>
      <c r="AZ311" t="str">
        <f>+IFERROR(VLOOKUP(AZ12,IN_Zugliste!$A$4:$F$2002,7,FALSE),"")</f>
        <v/>
      </c>
      <c r="BA311" t="str">
        <f>+IFERROR(VLOOKUP(BA12,IN_Zugliste!$A$4:$F$2002,7,FALSE),"")</f>
        <v/>
      </c>
      <c r="BB311" t="str">
        <f>+IFERROR(VLOOKUP(BB12,IN_Zugliste!$A$4:$F$2002,7,FALSE),"")</f>
        <v/>
      </c>
      <c r="BC311" t="str">
        <f>+IFERROR(VLOOKUP(BC12,IN_Zugliste!$A$4:$F$2002,7,FALSE),"")</f>
        <v/>
      </c>
      <c r="BD311" t="str">
        <f>+IFERROR(VLOOKUP(BD12,IN_Zugliste!$A$4:$F$2002,7,FALSE),"")</f>
        <v/>
      </c>
      <c r="BE311" t="str">
        <f>+IFERROR(VLOOKUP(BE12,IN_Zugliste!$A$4:$F$2002,7,FALSE),"")</f>
        <v/>
      </c>
      <c r="BF311" t="str">
        <f>+IFERROR(VLOOKUP(BF12,IN_Zugliste!$A$4:$F$2002,7,FALSE),"")</f>
        <v/>
      </c>
      <c r="BG311" t="str">
        <f>+IFERROR(VLOOKUP(BG12,IN_Zugliste!$A$4:$F$2002,7,FALSE),"")</f>
        <v/>
      </c>
      <c r="BH311" t="str">
        <f>+IFERROR(VLOOKUP(BH12,IN_Zugliste!$A$4:$F$2002,7,FALSE),"")</f>
        <v/>
      </c>
      <c r="BI311" t="str">
        <f>+IFERROR(VLOOKUP(BI12,IN_Zugliste!$A$4:$F$2002,7,FALSE),"")</f>
        <v/>
      </c>
      <c r="BJ311" t="str">
        <f>+IFERROR(VLOOKUP(BJ12,IN_Zugliste!$A$4:$F$2002,7,FALSE),"")</f>
        <v/>
      </c>
      <c r="BK311" t="str">
        <f>+IFERROR(VLOOKUP(BK12,IN_Zugliste!$A$4:$F$2002,7,FALSE),"")</f>
        <v/>
      </c>
      <c r="BL311" t="str">
        <f>+IFERROR(VLOOKUP(BL12,IN_Zugliste!$A$4:$F$2002,7,FALSE),"")</f>
        <v/>
      </c>
      <c r="BM311" t="str">
        <f>+IFERROR(VLOOKUP(BM12,IN_Zugliste!$A$4:$F$2002,7,FALSE),"")</f>
        <v/>
      </c>
      <c r="BN311" t="str">
        <f>+IFERROR(VLOOKUP(BN12,IN_Zugliste!$A$4:$F$2002,7,FALSE),"")</f>
        <v/>
      </c>
      <c r="BO311" t="str">
        <f>+IFERROR(VLOOKUP(BO12,IN_Zugliste!$A$4:$F$2002,7,FALSE),"")</f>
        <v/>
      </c>
      <c r="BP311" t="str">
        <f>+IFERROR(VLOOKUP(BP12,IN_Zugliste!$A$4:$F$2002,7,FALSE),"")</f>
        <v/>
      </c>
      <c r="BQ311" t="str">
        <f>+IFERROR(VLOOKUP(BQ12,IN_Zugliste!$A$4:$F$2002,7,FALSE),"")</f>
        <v/>
      </c>
      <c r="BR311" t="str">
        <f>+IFERROR(VLOOKUP(BR12,IN_Zugliste!$A$4:$F$2002,7,FALSE),"")</f>
        <v/>
      </c>
      <c r="BS311" t="str">
        <f>+IFERROR(VLOOKUP(BS12,IN_Zugliste!$A$4:$F$2002,7,FALSE),"")</f>
        <v/>
      </c>
      <c r="BT311" t="str">
        <f>+IFERROR(VLOOKUP(BT12,IN_Zugliste!$A$4:$F$2002,7,FALSE),"")</f>
        <v/>
      </c>
      <c r="BU311" t="str">
        <f>+IFERROR(VLOOKUP(BU12,IN_Zugliste!$A$4:$F$2002,7,FALSE),"")</f>
        <v/>
      </c>
      <c r="BV311" t="str">
        <f>+IFERROR(VLOOKUP(BV12,IN_Zugliste!$A$4:$F$2002,7,FALSE),"")</f>
        <v/>
      </c>
      <c r="BW311" t="str">
        <f>+IFERROR(VLOOKUP(BW12,IN_Zugliste!$A$4:$F$2002,7,FALSE),"")</f>
        <v/>
      </c>
      <c r="BX311" t="str">
        <f>+IFERROR(VLOOKUP(BX12,IN_Zugliste!$A$4:$F$2002,7,FALSE),"")</f>
        <v/>
      </c>
      <c r="BY311" t="str">
        <f>+IFERROR(VLOOKUP(BY12,IN_Zugliste!$A$4:$F$2002,7,FALSE),"")</f>
        <v/>
      </c>
      <c r="BZ311" t="str">
        <f>+IFERROR(VLOOKUP(BZ12,IN_Zugliste!$A$4:$F$2002,7,FALSE),"")</f>
        <v/>
      </c>
      <c r="CA311" t="str">
        <f>+IFERROR(VLOOKUP(CA12,IN_Zugliste!$A$4:$F$2002,7,FALSE),"")</f>
        <v/>
      </c>
      <c r="CB311" t="str">
        <f>+IFERROR(VLOOKUP(CB12,IN_Zugliste!$A$4:$F$2002,7,FALSE),"")</f>
        <v/>
      </c>
      <c r="CC311" t="str">
        <f>+IFERROR(VLOOKUP(CC12,IN_Zugliste!$A$4:$F$2002,7,FALSE),"")</f>
        <v/>
      </c>
      <c r="CD311" t="str">
        <f>+IFERROR(VLOOKUP(CD12,IN_Zugliste!$A$4:$F$2002,7,FALSE),"")</f>
        <v/>
      </c>
      <c r="CE311" t="str">
        <f>+IFERROR(VLOOKUP(CE12,IN_Zugliste!$A$4:$F$2002,7,FALSE),"")</f>
        <v/>
      </c>
      <c r="CF311" t="str">
        <f>+IFERROR(VLOOKUP(CF12,IN_Zugliste!$A$4:$F$2002,7,FALSE),"")</f>
        <v/>
      </c>
      <c r="CG311" t="str">
        <f>+IFERROR(VLOOKUP(CG12,IN_Zugliste!$A$4:$F$2002,7,FALSE),"")</f>
        <v/>
      </c>
      <c r="CH311" t="str">
        <f>+IFERROR(VLOOKUP(CH12,IN_Zugliste!$A$4:$F$2002,7,FALSE),"")</f>
        <v/>
      </c>
      <c r="CI311" t="str">
        <f>+IFERROR(VLOOKUP(CI12,IN_Zugliste!$A$4:$F$2002,7,FALSE),"")</f>
        <v/>
      </c>
      <c r="CJ311" t="str">
        <f>+IFERROR(VLOOKUP(CJ12,IN_Zugliste!$A$4:$F$2002,7,FALSE),"")</f>
        <v/>
      </c>
      <c r="CK311" t="str">
        <f>+IFERROR(VLOOKUP(CK12,IN_Zugliste!$A$4:$F$2002,7,FALSE),"")</f>
        <v/>
      </c>
      <c r="CL311" t="str">
        <f>+IFERROR(VLOOKUP(CL12,IN_Zugliste!$A$4:$F$2002,7,FALSE),"")</f>
        <v/>
      </c>
      <c r="CM311" t="str">
        <f>+IFERROR(VLOOKUP(CM12,IN_Zugliste!$A$4:$F$2002,7,FALSE),"")</f>
        <v/>
      </c>
      <c r="CN311" t="str">
        <f>+IFERROR(VLOOKUP(CN12,IN_Zugliste!$A$4:$F$2002,7,FALSE),"")</f>
        <v/>
      </c>
      <c r="CO311" t="str">
        <f>+IFERROR(VLOOKUP(CO12,IN_Zugliste!$A$4:$F$2002,7,FALSE),"")</f>
        <v/>
      </c>
      <c r="CP311" t="str">
        <f>+IFERROR(VLOOKUP(CP12,IN_Zugliste!$A$4:$F$2002,7,FALSE),"")</f>
        <v/>
      </c>
      <c r="CQ311" t="str">
        <f>+IFERROR(VLOOKUP(CQ12,IN_Zugliste!$A$4:$F$2002,7,FALSE),"")</f>
        <v/>
      </c>
      <c r="CR311" t="str">
        <f>+IFERROR(VLOOKUP(CR12,IN_Zugliste!$A$4:$F$2002,7,FALSE),"")</f>
        <v/>
      </c>
      <c r="CS311" t="str">
        <f>+IFERROR(VLOOKUP(CS12,IN_Zugliste!$A$4:$F$2002,7,FALSE),"")</f>
        <v/>
      </c>
      <c r="CT311" t="str">
        <f>+IFERROR(VLOOKUP(CT12,IN_Zugliste!$A$4:$F$2002,7,FALSE),"")</f>
        <v/>
      </c>
      <c r="CU311" t="str">
        <f>+IFERROR(VLOOKUP(CU12,IN_Zugliste!$A$4:$F$2002,7,FALSE),"")</f>
        <v/>
      </c>
      <c r="CV311" t="str">
        <f>+IFERROR(VLOOKUP(CV12,IN_Zugliste!$A$4:$F$2002,7,FALSE),"")</f>
        <v/>
      </c>
      <c r="CW311" t="str">
        <f>+IFERROR(VLOOKUP(CW12,IN_Zugliste!$A$4:$F$2002,7,FALSE),"")</f>
        <v/>
      </c>
      <c r="CX311" t="str">
        <f>+IFERROR(VLOOKUP(CX12,IN_Zugliste!$A$4:$F$2002,7,FALSE),"")</f>
        <v/>
      </c>
      <c r="CY311" t="str">
        <f>+IFERROR(VLOOKUP(CY12,IN_Zugliste!$A$4:$F$2002,7,FALSE),"")</f>
        <v/>
      </c>
      <c r="CZ311" t="str">
        <f>+IFERROR(VLOOKUP(CZ12,IN_Zugliste!$A$4:$F$2002,7,FALSE),"")</f>
        <v/>
      </c>
      <c r="DA311" t="str">
        <f>+IFERROR(VLOOKUP(DA12,IN_Zugliste!$A$4:$F$2002,7,FALSE),"")</f>
        <v/>
      </c>
      <c r="DB311" t="str">
        <f>+IFERROR(VLOOKUP(DB12,IN_Zugliste!$A$4:$F$2002,7,FALSE),"")</f>
        <v/>
      </c>
      <c r="DC311" t="str">
        <f>+IFERROR(VLOOKUP(DC12,IN_Zugliste!$A$4:$F$2002,7,FALSE),"")</f>
        <v/>
      </c>
      <c r="DD311" t="str">
        <f>+IFERROR(VLOOKUP(DD12,IN_Zugliste!$A$4:$F$2002,7,FALSE),"")</f>
        <v/>
      </c>
      <c r="DE311" t="str">
        <f>+IFERROR(VLOOKUP(DE12,IN_Zugliste!$A$4:$F$2002,7,FALSE),"")</f>
        <v/>
      </c>
      <c r="DF311" t="str">
        <f>+IFERROR(VLOOKUP(DF12,IN_Zugliste!$A$4:$F$2002,7,FALSE),"")</f>
        <v/>
      </c>
      <c r="DG311" t="str">
        <f>+IFERROR(VLOOKUP(DG12,IN_Zugliste!$A$4:$F$2002,7,FALSE),"")</f>
        <v/>
      </c>
      <c r="DH311" t="str">
        <f>+IFERROR(VLOOKUP(DH12,IN_Zugliste!$A$4:$F$2002,7,FALSE),"")</f>
        <v/>
      </c>
      <c r="DI311" t="str">
        <f>+IFERROR(VLOOKUP(DI12,IN_Zugliste!$A$4:$F$2002,7,FALSE),"")</f>
        <v/>
      </c>
      <c r="DJ311" t="str">
        <f>+IFERROR(VLOOKUP(DJ12,IN_Zugliste!$A$4:$F$2002,7,FALSE),"")</f>
        <v/>
      </c>
      <c r="DK311" t="str">
        <f>+IFERROR(VLOOKUP(DK12,IN_Zugliste!$A$4:$F$2002,7,FALSE),"")</f>
        <v/>
      </c>
      <c r="DL311" t="str">
        <f>+IFERROR(VLOOKUP(DL12,IN_Zugliste!$A$4:$F$2002,7,FALSE),"")</f>
        <v/>
      </c>
      <c r="DM311" t="str">
        <f>+IFERROR(VLOOKUP(DM12,IN_Zugliste!$A$4:$F$2002,7,FALSE),"")</f>
        <v/>
      </c>
      <c r="DN311" t="str">
        <f>+IFERROR(VLOOKUP(DN12,IN_Zugliste!$A$4:$F$2002,7,FALSE),"")</f>
        <v/>
      </c>
      <c r="DO311" t="str">
        <f>+IFERROR(VLOOKUP(DO12,IN_Zugliste!$A$4:$F$2002,7,FALSE),"")</f>
        <v/>
      </c>
      <c r="DP311" t="str">
        <f>+IFERROR(VLOOKUP(DP12,IN_Zugliste!$A$4:$F$2002,7,FALSE),"")</f>
        <v/>
      </c>
      <c r="DQ311" t="str">
        <f>+IFERROR(VLOOKUP(DQ12,IN_Zugliste!$A$4:$F$2002,7,FALSE),"")</f>
        <v/>
      </c>
      <c r="DR311" t="str">
        <f>+IFERROR(VLOOKUP(DR12,IN_Zugliste!$A$4:$F$2002,7,FALSE),"")</f>
        <v/>
      </c>
      <c r="DS311" t="str">
        <f>+IFERROR(VLOOKUP(DS12,IN_Zugliste!$A$4:$F$2002,7,FALSE),"")</f>
        <v/>
      </c>
      <c r="DT311" t="str">
        <f>+IFERROR(VLOOKUP(DT12,IN_Zugliste!$A$4:$F$2002,7,FALSE),"")</f>
        <v/>
      </c>
      <c r="DU311" t="str">
        <f>+IFERROR(VLOOKUP(DU12,IN_Zugliste!$A$4:$F$2002,7,FALSE),"")</f>
        <v/>
      </c>
      <c r="DV311" t="str">
        <f>+IFERROR(VLOOKUP(DV12,IN_Zugliste!$A$4:$F$2002,7,FALSE),"")</f>
        <v/>
      </c>
      <c r="DW311" t="str">
        <f>+IFERROR(VLOOKUP(DW12,IN_Zugliste!$A$4:$F$2002,7,FALSE),"")</f>
        <v/>
      </c>
      <c r="DX311" t="str">
        <f>+IFERROR(VLOOKUP(DX12,IN_Zugliste!$A$4:$F$2002,7,FALSE),"")</f>
        <v/>
      </c>
      <c r="DY311" t="str">
        <f>+IFERROR(VLOOKUP(DY12,IN_Zugliste!$A$4:$F$2002,7,FALSE),"")</f>
        <v/>
      </c>
      <c r="DZ311" t="str">
        <f>+IFERROR(VLOOKUP(DZ12,IN_Zugliste!$A$4:$F$2002,7,FALSE),"")</f>
        <v/>
      </c>
      <c r="EA311" t="str">
        <f>+IFERROR(VLOOKUP(EA12,IN_Zugliste!$A$4:$F$2002,7,FALSE),"")</f>
        <v/>
      </c>
      <c r="EB311" t="str">
        <f>+IFERROR(VLOOKUP(EB12,IN_Zugliste!$A$4:$F$2002,7,FALSE),"")</f>
        <v/>
      </c>
      <c r="EC311" t="str">
        <f>+IFERROR(VLOOKUP(EC12,IN_Zugliste!$A$4:$F$2002,7,FALSE),"")</f>
        <v/>
      </c>
      <c r="ED311" t="str">
        <f>+IFERROR(VLOOKUP(ED12,IN_Zugliste!$A$4:$F$2002,7,FALSE),"")</f>
        <v/>
      </c>
      <c r="EE311" t="str">
        <f>+IFERROR(VLOOKUP(EE12,IN_Zugliste!$A$4:$F$2002,7,FALSE),"")</f>
        <v/>
      </c>
      <c r="EF311" t="str">
        <f>+IFERROR(VLOOKUP(EF12,IN_Zugliste!$A$4:$F$2002,7,FALSE),"")</f>
        <v/>
      </c>
      <c r="EG311" t="str">
        <f>+IFERROR(VLOOKUP(EG12,IN_Zugliste!$A$4:$F$2002,7,FALSE),"")</f>
        <v/>
      </c>
      <c r="EH311" t="str">
        <f>+IFERROR(VLOOKUP(EH12,IN_Zugliste!$A$4:$F$2002,7,FALSE),"")</f>
        <v/>
      </c>
      <c r="EI311" t="str">
        <f>+IFERROR(VLOOKUP(EI12,IN_Zugliste!$A$4:$F$2002,7,FALSE),"")</f>
        <v/>
      </c>
      <c r="EJ311" t="str">
        <f>+IFERROR(VLOOKUP(EJ12,IN_Zugliste!$A$4:$F$2002,7,FALSE),"")</f>
        <v/>
      </c>
      <c r="EK311" t="str">
        <f>+IFERROR(VLOOKUP(EK12,IN_Zugliste!$A$4:$F$2002,7,FALSE),"")</f>
        <v/>
      </c>
      <c r="EL311" t="str">
        <f>+IFERROR(VLOOKUP(EL12,IN_Zugliste!$A$4:$F$2002,7,FALSE),"")</f>
        <v/>
      </c>
      <c r="EM311" t="str">
        <f>+IFERROR(VLOOKUP(EM12,IN_Zugliste!$A$4:$F$2002,7,FALSE),"")</f>
        <v/>
      </c>
      <c r="EN311" t="str">
        <f>+IFERROR(VLOOKUP(EN12,IN_Zugliste!$A$4:$F$2002,7,FALSE),"")</f>
        <v/>
      </c>
      <c r="EO311" t="str">
        <f>+IFERROR(VLOOKUP(EO12,IN_Zugliste!$A$4:$F$2002,7,FALSE),"")</f>
        <v/>
      </c>
      <c r="EP311" t="str">
        <f>+IFERROR(VLOOKUP(EP12,IN_Zugliste!$A$4:$F$2002,7,FALSE),"")</f>
        <v/>
      </c>
      <c r="EQ311" t="str">
        <f>+IFERROR(VLOOKUP(EQ12,IN_Zugliste!$A$4:$F$2002,7,FALSE),"")</f>
        <v/>
      </c>
      <c r="ER311" t="str">
        <f>+IFERROR(VLOOKUP(ER12,IN_Zugliste!$A$4:$F$2002,7,FALSE),"")</f>
        <v/>
      </c>
      <c r="ES311" t="str">
        <f>+IFERROR(VLOOKUP(ES12,IN_Zugliste!$A$4:$F$2002,7,FALSE),"")</f>
        <v/>
      </c>
      <c r="ET311" t="str">
        <f>+IFERROR(VLOOKUP(ET12,IN_Zugliste!$A$4:$F$2002,7,FALSE),"")</f>
        <v/>
      </c>
      <c r="EU311" t="str">
        <f>+IFERROR(VLOOKUP(EU12,IN_Zugliste!$A$4:$F$2002,7,FALSE),"")</f>
        <v/>
      </c>
      <c r="EV311" t="str">
        <f>+IFERROR(VLOOKUP(EV12,IN_Zugliste!$A$4:$F$2002,7,FALSE),"")</f>
        <v/>
      </c>
      <c r="EW311" t="str">
        <f>+IFERROR(VLOOKUP(EW12,IN_Zugliste!$A$4:$F$2002,7,FALSE),"")</f>
        <v/>
      </c>
      <c r="EX311" t="str">
        <f>+IFERROR(VLOOKUP(EX12,IN_Zugliste!$A$4:$F$2002,7,FALSE),"")</f>
        <v/>
      </c>
      <c r="EY311" t="str">
        <f>+IFERROR(VLOOKUP(EY12,IN_Zugliste!$A$4:$F$2002,7,FALSE),"")</f>
        <v/>
      </c>
      <c r="EZ311" t="str">
        <f>+IFERROR(VLOOKUP(EZ12,IN_Zugliste!$A$4:$F$2002,7,FALSE),"")</f>
        <v/>
      </c>
      <c r="FA311" t="str">
        <f>+IFERROR(VLOOKUP(FA12,IN_Zugliste!$A$4:$F$2002,7,FALSE),"")</f>
        <v/>
      </c>
      <c r="FB311" t="str">
        <f>+IFERROR(VLOOKUP(FB12,IN_Zugliste!$A$4:$F$2002,7,FALSE),"")</f>
        <v/>
      </c>
      <c r="FC311" t="str">
        <f>+IFERROR(VLOOKUP(FC12,IN_Zugliste!$A$4:$F$2002,7,FALSE),"")</f>
        <v/>
      </c>
      <c r="FD311" t="str">
        <f>+IFERROR(VLOOKUP(FD12,IN_Zugliste!$A$4:$F$2002,7,FALSE),"")</f>
        <v/>
      </c>
      <c r="FE311" t="str">
        <f>+IFERROR(VLOOKUP(FE12,IN_Zugliste!$A$4:$F$2002,7,FALSE),"")</f>
        <v/>
      </c>
      <c r="FF311" t="str">
        <f>+IFERROR(VLOOKUP(FF12,IN_Zugliste!$A$4:$F$2002,7,FALSE),"")</f>
        <v/>
      </c>
      <c r="FG311" t="str">
        <f>+IFERROR(VLOOKUP(FG12,IN_Zugliste!$A$4:$F$2002,7,FALSE),"")</f>
        <v/>
      </c>
      <c r="FH311" t="str">
        <f>+IFERROR(VLOOKUP(FH12,IN_Zugliste!$A$4:$F$2002,7,FALSE),"")</f>
        <v/>
      </c>
      <c r="FI311" t="str">
        <f>+IFERROR(VLOOKUP(FI12,IN_Zugliste!$A$4:$F$2002,7,FALSE),"")</f>
        <v/>
      </c>
      <c r="FJ311" t="str">
        <f>+IFERROR(VLOOKUP(FJ12,IN_Zugliste!$A$4:$F$2002,7,FALSE),"")</f>
        <v/>
      </c>
      <c r="FK311" t="str">
        <f>+IFERROR(VLOOKUP(FK12,IN_Zugliste!$A$4:$F$2002,7,FALSE),"")</f>
        <v/>
      </c>
      <c r="FL311" t="str">
        <f>+IFERROR(VLOOKUP(FL12,IN_Zugliste!$A$4:$F$2002,7,FALSE),"")</f>
        <v/>
      </c>
      <c r="FM311" t="str">
        <f>+IFERROR(VLOOKUP(FM12,IN_Zugliste!$A$4:$F$2002,7,FALSE),"")</f>
        <v/>
      </c>
      <c r="FN311" t="str">
        <f>+IFERROR(VLOOKUP(FN12,IN_Zugliste!$A$4:$F$2002,7,FALSE),"")</f>
        <v/>
      </c>
      <c r="FO311" t="str">
        <f>+IFERROR(VLOOKUP(FO12,IN_Zugliste!$A$4:$F$2002,7,FALSE),"")</f>
        <v/>
      </c>
      <c r="FP311" t="str">
        <f>+IFERROR(VLOOKUP(FP12,IN_Zugliste!$A$4:$F$2002,7,FALSE),"")</f>
        <v/>
      </c>
      <c r="FQ311" t="str">
        <f>+IFERROR(VLOOKUP(FQ12,IN_Zugliste!$A$4:$F$2002,7,FALSE),"")</f>
        <v/>
      </c>
      <c r="FR311" t="str">
        <f>+IFERROR(VLOOKUP(FR12,IN_Zugliste!$A$4:$F$2002,7,FALSE),"")</f>
        <v/>
      </c>
      <c r="FS311" t="str">
        <f>+IFERROR(VLOOKUP(FS12,IN_Zugliste!$A$4:$F$2002,7,FALSE),"")</f>
        <v/>
      </c>
      <c r="FT311" t="str">
        <f>+IFERROR(VLOOKUP(FT12,IN_Zugliste!$A$4:$F$2002,7,FALSE),"")</f>
        <v/>
      </c>
      <c r="FU311" t="str">
        <f>+IFERROR(VLOOKUP(FU12,IN_Zugliste!$A$4:$F$2002,7,FALSE),"")</f>
        <v/>
      </c>
      <c r="FV311" t="str">
        <f>+IFERROR(VLOOKUP(FV12,IN_Zugliste!$A$4:$F$2002,7,FALSE),"")</f>
        <v/>
      </c>
      <c r="FW311" t="str">
        <f>+IFERROR(VLOOKUP(FW12,IN_Zugliste!$A$4:$F$2002,7,FALSE),"")</f>
        <v/>
      </c>
      <c r="FX311" t="str">
        <f>+IFERROR(VLOOKUP(FX12,IN_Zugliste!$A$4:$F$2002,7,FALSE),"")</f>
        <v/>
      </c>
      <c r="FY311" t="str">
        <f>+IFERROR(VLOOKUP(FY12,IN_Zugliste!$A$4:$F$2002,7,FALSE),"")</f>
        <v/>
      </c>
      <c r="FZ311" t="str">
        <f>+IFERROR(VLOOKUP(FZ12,IN_Zugliste!$A$4:$F$2002,7,FALSE),"")</f>
        <v/>
      </c>
      <c r="GA311" t="str">
        <f>+IFERROR(VLOOKUP(GA12,IN_Zugliste!$A$4:$F$2002,7,FALSE),"")</f>
        <v/>
      </c>
      <c r="GB311" t="str">
        <f>+IFERROR(VLOOKUP(GB12,IN_Zugliste!$A$4:$F$2002,7,FALSE),"")</f>
        <v/>
      </c>
      <c r="GC311" t="str">
        <f>+IFERROR(VLOOKUP(GC12,IN_Zugliste!$A$4:$F$2002,7,FALSE),"")</f>
        <v/>
      </c>
      <c r="GD311" t="str">
        <f>+IFERROR(VLOOKUP(GD12,IN_Zugliste!$A$4:$F$2002,7,FALSE),"")</f>
        <v/>
      </c>
      <c r="GE311" t="str">
        <f>+IFERROR(VLOOKUP(GE12,IN_Zugliste!$A$4:$F$2002,7,FALSE),"")</f>
        <v/>
      </c>
      <c r="GF311" t="str">
        <f>+IFERROR(VLOOKUP(GF12,IN_Zugliste!$A$4:$F$2002,7,FALSE),"")</f>
        <v/>
      </c>
      <c r="GG311" t="str">
        <f>+IFERROR(VLOOKUP(GG12,IN_Zugliste!$A$4:$F$2002,7,FALSE),"")</f>
        <v/>
      </c>
      <c r="GH311" t="str">
        <f>+IFERROR(VLOOKUP(GH12,IN_Zugliste!$A$4:$F$2002,7,FALSE),"")</f>
        <v/>
      </c>
      <c r="GI311" t="str">
        <f>+IFERROR(VLOOKUP(GI12,IN_Zugliste!$A$4:$F$2002,7,FALSE),"")</f>
        <v/>
      </c>
      <c r="GJ311" t="str">
        <f>+IFERROR(VLOOKUP(GJ12,IN_Zugliste!$A$4:$F$2002,7,FALSE),"")</f>
        <v/>
      </c>
      <c r="GK311" t="str">
        <f>+IFERROR(VLOOKUP(GK12,IN_Zugliste!$A$4:$F$2002,7,FALSE),"")</f>
        <v/>
      </c>
      <c r="GL311" t="str">
        <f>+IFERROR(VLOOKUP(GL12,IN_Zugliste!$A$4:$F$2002,7,FALSE),"")</f>
        <v/>
      </c>
      <c r="GM311" t="str">
        <f>+IFERROR(VLOOKUP(GM12,IN_Zugliste!$A$4:$F$2002,7,FALSE),"")</f>
        <v/>
      </c>
      <c r="GN311" t="str">
        <f>+IFERROR(VLOOKUP(GN12,IN_Zugliste!$A$4:$F$2002,7,FALSE),"")</f>
        <v/>
      </c>
      <c r="GO311" t="str">
        <f>+IFERROR(VLOOKUP(GO12,IN_Zugliste!$A$4:$F$2002,7,FALSE),"")</f>
        <v/>
      </c>
      <c r="GP311" t="str">
        <f>+IFERROR(VLOOKUP(GP12,IN_Zugliste!$A$4:$F$2002,7,FALSE),"")</f>
        <v/>
      </c>
      <c r="GQ311" t="str">
        <f>+IFERROR(VLOOKUP(GQ12,IN_Zugliste!$A$4:$F$2002,7,FALSE),"")</f>
        <v/>
      </c>
      <c r="GR311" t="str">
        <f>+IFERROR(VLOOKUP(GR12,IN_Zugliste!$A$4:$F$2002,7,FALSE),"")</f>
        <v/>
      </c>
      <c r="GS311" t="str">
        <f>+IFERROR(VLOOKUP(GS12,IN_Zugliste!$A$4:$F$2002,7,FALSE),"")</f>
        <v/>
      </c>
      <c r="GT311" t="str">
        <f>+IFERROR(VLOOKUP(GT12,IN_Zugliste!$A$4:$F$2002,7,FALSE),"")</f>
        <v/>
      </c>
      <c r="GU311" t="str">
        <f>+IFERROR(VLOOKUP(GU12,IN_Zugliste!$A$4:$F$2002,7,FALSE),"")</f>
        <v/>
      </c>
      <c r="GV311" t="str">
        <f>+IFERROR(VLOOKUP(GV12,IN_Zugliste!$A$4:$F$2002,7,FALSE),"")</f>
        <v/>
      </c>
      <c r="GW311" t="str">
        <f>+IFERROR(VLOOKUP(GW12,IN_Zugliste!$A$4:$F$2002,7,FALSE),"")</f>
        <v/>
      </c>
      <c r="GX311" t="str">
        <f>+IFERROR(VLOOKUP(GX12,IN_Zugliste!$A$4:$F$2002,7,FALSE),"")</f>
        <v/>
      </c>
      <c r="GY311" t="str">
        <f>+IFERROR(VLOOKUP(GY12,IN_Zugliste!$A$4:$F$2002,7,FALSE),"")</f>
        <v/>
      </c>
      <c r="GZ311" t="str">
        <f>+IFERROR(VLOOKUP(GZ12,IN_Zugliste!$A$4:$F$2002,7,FALSE),"")</f>
        <v/>
      </c>
      <c r="HA311" t="str">
        <f>+IFERROR(VLOOKUP(HA12,IN_Zugliste!$A$4:$F$2002,7,FALSE),"")</f>
        <v/>
      </c>
      <c r="HB311" t="str">
        <f>+IFERROR(VLOOKUP(HB12,IN_Zugliste!$A$4:$F$2002,7,FALSE),"")</f>
        <v/>
      </c>
      <c r="HC311" t="str">
        <f>+IFERROR(VLOOKUP(HC12,IN_Zugliste!$A$4:$F$2002,7,FALSE),"")</f>
        <v/>
      </c>
      <c r="HD311" t="str">
        <f>+IFERROR(VLOOKUP(HD12,IN_Zugliste!$A$4:$F$2002,7,FALSE),"")</f>
        <v/>
      </c>
      <c r="HE311" t="str">
        <f>+IFERROR(VLOOKUP(HE12,IN_Zugliste!$A$4:$F$2002,7,FALSE),"")</f>
        <v/>
      </c>
      <c r="HF311" t="str">
        <f>+IFERROR(VLOOKUP(HF12,IN_Zugliste!$A$4:$F$2002,7,FALSE),"")</f>
        <v/>
      </c>
      <c r="HG311" t="str">
        <f>+IFERROR(VLOOKUP(HG12,IN_Zugliste!$A$4:$F$2002,7,FALSE),"")</f>
        <v/>
      </c>
      <c r="HH311" t="str">
        <f>+IFERROR(VLOOKUP(HH12,IN_Zugliste!$A$4:$F$2002,7,FALSE),"")</f>
        <v/>
      </c>
      <c r="HI311" t="str">
        <f>+IFERROR(VLOOKUP(HI12,IN_Zugliste!$A$4:$F$2002,7,FALSE),"")</f>
        <v/>
      </c>
      <c r="HJ311" t="str">
        <f>+IFERROR(VLOOKUP(HJ12,IN_Zugliste!$A$4:$F$2002,7,FALSE),"")</f>
        <v/>
      </c>
      <c r="HK311" t="str">
        <f>+IFERROR(VLOOKUP(HK12,IN_Zugliste!$A$4:$F$2002,7,FALSE),"")</f>
        <v/>
      </c>
      <c r="HL311" t="str">
        <f>+IFERROR(VLOOKUP(HL12,IN_Zugliste!$A$4:$F$2002,7,FALSE),"")</f>
        <v/>
      </c>
      <c r="HM311" t="str">
        <f>+IFERROR(VLOOKUP(HM12,IN_Zugliste!$A$4:$F$2002,7,FALSE),"")</f>
        <v/>
      </c>
      <c r="HN311" t="str">
        <f>+IFERROR(VLOOKUP(HN12,IN_Zugliste!$A$4:$F$2002,7,FALSE),"")</f>
        <v/>
      </c>
      <c r="HO311" t="str">
        <f>+IFERROR(VLOOKUP(HO12,IN_Zugliste!$A$4:$F$2002,7,FALSE),"")</f>
        <v/>
      </c>
      <c r="HP311" t="str">
        <f>+IFERROR(VLOOKUP(HP12,IN_Zugliste!$A$4:$F$2002,7,FALSE),"")</f>
        <v/>
      </c>
      <c r="HQ311" t="str">
        <f>+IFERROR(VLOOKUP(HQ12,IN_Zugliste!$A$4:$F$2002,7,FALSE),"")</f>
        <v/>
      </c>
      <c r="HR311" t="str">
        <f>+IFERROR(VLOOKUP(HR12,IN_Zugliste!$A$4:$F$2002,7,FALSE),"")</f>
        <v/>
      </c>
      <c r="HS311" t="str">
        <f>+IFERROR(VLOOKUP(HS12,IN_Zugliste!$A$4:$F$2002,7,FALSE),"")</f>
        <v/>
      </c>
      <c r="HT311" t="str">
        <f>+IFERROR(VLOOKUP(HT12,IN_Zugliste!$A$4:$F$2002,7,FALSE),"")</f>
        <v/>
      </c>
      <c r="HU311" t="str">
        <f>+IFERROR(VLOOKUP(HU12,IN_Zugliste!$A$4:$F$2002,7,FALSE),"")</f>
        <v/>
      </c>
      <c r="HV311" t="str">
        <f>+IFERROR(VLOOKUP(HV12,IN_Zugliste!$A$4:$F$2002,7,FALSE),"")</f>
        <v/>
      </c>
      <c r="HW311" t="str">
        <f>+IFERROR(VLOOKUP(HW12,IN_Zugliste!$A$4:$F$2002,7,FALSE),"")</f>
        <v/>
      </c>
      <c r="HX311" t="str">
        <f>+IFERROR(VLOOKUP(HX12,IN_Zugliste!$A$4:$F$2002,7,FALSE),"")</f>
        <v/>
      </c>
      <c r="HY311" t="str">
        <f>+IFERROR(VLOOKUP(HY12,IN_Zugliste!$A$4:$F$2002,7,FALSE),"")</f>
        <v/>
      </c>
      <c r="HZ311" t="str">
        <f>+IFERROR(VLOOKUP(HZ12,IN_Zugliste!$A$4:$F$2002,7,FALSE),"")</f>
        <v/>
      </c>
      <c r="IA311" t="str">
        <f>+IFERROR(VLOOKUP(IA12,IN_Zugliste!$A$4:$F$2002,7,FALSE),"")</f>
        <v/>
      </c>
      <c r="IB311" t="str">
        <f>+IFERROR(VLOOKUP(IB12,IN_Zugliste!$A$4:$F$2002,7,FALSE),"")</f>
        <v/>
      </c>
      <c r="IC311" t="str">
        <f>+IFERROR(VLOOKUP(IC12,IN_Zugliste!$A$4:$F$2002,7,FALSE),"")</f>
        <v/>
      </c>
      <c r="ID311" t="str">
        <f>+IFERROR(VLOOKUP(ID12,IN_Zugliste!$A$4:$F$2002,7,FALSE),"")</f>
        <v/>
      </c>
      <c r="IE311" t="str">
        <f>+IFERROR(VLOOKUP(IE12,IN_Zugliste!$A$4:$F$2002,7,FALSE),"")</f>
        <v/>
      </c>
      <c r="IF311" t="str">
        <f>+IFERROR(VLOOKUP(IF12,IN_Zugliste!$A$4:$F$2002,7,FALSE),"")</f>
        <v/>
      </c>
      <c r="IG311" t="str">
        <f>+IFERROR(VLOOKUP(IG12,IN_Zugliste!$A$4:$F$2002,7,FALSE),"")</f>
        <v/>
      </c>
      <c r="IH311" t="str">
        <f>+IFERROR(VLOOKUP(IH12,IN_Zugliste!$A$4:$F$2002,7,FALSE),"")</f>
        <v/>
      </c>
      <c r="II311" t="str">
        <f>+IFERROR(VLOOKUP(II12,IN_Zugliste!$A$4:$F$2002,7,FALSE),"")</f>
        <v/>
      </c>
      <c r="IJ311" t="str">
        <f>+IFERROR(VLOOKUP(IJ12,IN_Zugliste!$A$4:$F$2002,7,FALSE),"")</f>
        <v/>
      </c>
      <c r="IK311" t="str">
        <f>+IFERROR(VLOOKUP(IK12,IN_Zugliste!$A$4:$F$2002,7,FALSE),"")</f>
        <v/>
      </c>
      <c r="IL311" t="str">
        <f>+IFERROR(VLOOKUP(IL12,IN_Zugliste!$A$4:$F$2002,7,FALSE),"")</f>
        <v/>
      </c>
      <c r="IM311" t="str">
        <f>+IFERROR(VLOOKUP(IM12,IN_Zugliste!$A$4:$F$2002,7,FALSE),"")</f>
        <v/>
      </c>
      <c r="IN311" t="str">
        <f>+IFERROR(VLOOKUP(IN12,IN_Zugliste!$A$4:$F$2002,7,FALSE),"")</f>
        <v/>
      </c>
      <c r="IO311" t="str">
        <f>+IFERROR(VLOOKUP(IO12,IN_Zugliste!$A$4:$F$2002,7,FALSE),"")</f>
        <v/>
      </c>
      <c r="IP311" t="str">
        <f>+IFERROR(VLOOKUP(IP12,IN_Zugliste!$A$4:$F$2002,7,FALSE),"")</f>
        <v/>
      </c>
      <c r="IQ311" t="str">
        <f>+IFERROR(VLOOKUP(IQ12,IN_Zugliste!$A$4:$F$2002,7,FALSE),"")</f>
        <v/>
      </c>
      <c r="IR311" t="str">
        <f>+IFERROR(VLOOKUP(IR12,IN_Zugliste!$A$4:$F$2002,7,FALSE),"")</f>
        <v/>
      </c>
      <c r="IS311" t="str">
        <f>+IFERROR(VLOOKUP(IS12,IN_Zugliste!$A$4:$F$2002,7,FALSE),"")</f>
        <v/>
      </c>
      <c r="IT311" t="str">
        <f>+IFERROR(VLOOKUP(IT12,IN_Zugliste!$A$4:$F$2002,7,FALSE),"")</f>
        <v/>
      </c>
      <c r="IU311" t="str">
        <f>+IFERROR(VLOOKUP(IU12,IN_Zugliste!$A$4:$F$2002,7,FALSE),"")</f>
        <v/>
      </c>
      <c r="IV311" t="str">
        <f>+IFERROR(VLOOKUP(IV12,IN_Zugliste!$A$4:$F$2002,7,FALSE),"")</f>
        <v/>
      </c>
      <c r="IW311" t="str">
        <f>+IFERROR(VLOOKUP(IW12,IN_Zugliste!$A$4:$F$2002,7,FALSE),"")</f>
        <v/>
      </c>
      <c r="IX311" t="str">
        <f>+IFERROR(VLOOKUP(IX12,IN_Zugliste!$A$4:$F$2002,7,FALSE),"")</f>
        <v/>
      </c>
      <c r="IY311" t="str">
        <f>+IFERROR(VLOOKUP(IY12,IN_Zugliste!$A$4:$F$2002,7,FALSE),"")</f>
        <v/>
      </c>
      <c r="IZ311" t="str">
        <f>+IFERROR(VLOOKUP(IZ12,IN_Zugliste!$A$4:$F$2002,7,FALSE),"")</f>
        <v/>
      </c>
      <c r="JA311" t="str">
        <f>+IFERROR(VLOOKUP(JA12,IN_Zugliste!$A$4:$F$2002,7,FALSE),"")</f>
        <v/>
      </c>
      <c r="JB311" t="str">
        <f>+IFERROR(VLOOKUP(JB12,IN_Zugliste!$A$4:$F$2002,7,FALSE),"")</f>
        <v/>
      </c>
      <c r="JC311" t="str">
        <f>+IFERROR(VLOOKUP(JC12,IN_Zugliste!$A$4:$F$2002,7,FALSE),"")</f>
        <v/>
      </c>
      <c r="JD311" t="str">
        <f>+IFERROR(VLOOKUP(JD12,IN_Zugliste!$A$4:$F$2002,7,FALSE),"")</f>
        <v/>
      </c>
      <c r="JE311" t="str">
        <f>+IFERROR(VLOOKUP(JE12,IN_Zugliste!$A$4:$F$2002,7,FALSE),"")</f>
        <v/>
      </c>
      <c r="JF311" t="str">
        <f>+IFERROR(VLOOKUP(JF12,IN_Zugliste!$A$4:$F$2002,7,FALSE),"")</f>
        <v/>
      </c>
      <c r="JG311" t="str">
        <f>+IFERROR(VLOOKUP(JG12,IN_Zugliste!$A$4:$F$2002,7,FALSE),"")</f>
        <v/>
      </c>
      <c r="JH311" t="str">
        <f>+IFERROR(VLOOKUP(JH12,IN_Zugliste!$A$4:$F$2002,7,FALSE),"")</f>
        <v/>
      </c>
      <c r="JI311" t="str">
        <f>+IFERROR(VLOOKUP(JI12,IN_Zugliste!$A$4:$F$2002,7,FALSE),"")</f>
        <v/>
      </c>
      <c r="JJ311" t="str">
        <f>+IFERROR(VLOOKUP(JJ12,IN_Zugliste!$A$4:$F$2002,7,FALSE),"")</f>
        <v/>
      </c>
    </row>
    <row r="312" spans="1:270" x14ac:dyDescent="0.2">
      <c r="A312" t="str">
        <f>+IFERROR(VLOOKUP(A13,IN_Zugliste!$A$4:$F$2002,7,FALSE),"")</f>
        <v/>
      </c>
      <c r="B312" t="str">
        <f>+IFERROR(VLOOKUP(B13,IN_Zugliste!$A$4:$F$2002,7,FALSE),"")</f>
        <v/>
      </c>
      <c r="C312" t="str">
        <f>+IFERROR(VLOOKUP(C13,IN_Zugliste!$A$4:$F$2002,7,FALSE),"")</f>
        <v/>
      </c>
      <c r="D312" t="str">
        <f>+IFERROR(VLOOKUP(D13,IN_Zugliste!$A$4:$F$2002,7,FALSE),"")</f>
        <v/>
      </c>
      <c r="E312" t="str">
        <f>+IFERROR(VLOOKUP(E13,IN_Zugliste!$A$4:$F$2002,7,FALSE),"")</f>
        <v/>
      </c>
      <c r="F312" t="str">
        <f>+IFERROR(VLOOKUP(F13,IN_Zugliste!$A$4:$F$2002,7,FALSE),"")</f>
        <v/>
      </c>
      <c r="G312" t="str">
        <f>+IFERROR(VLOOKUP(G13,IN_Zugliste!$A$4:$F$2002,7,FALSE),"")</f>
        <v/>
      </c>
      <c r="H312" t="str">
        <f>+IFERROR(VLOOKUP(H13,IN_Zugliste!$A$4:$F$2002,7,FALSE),"")</f>
        <v/>
      </c>
      <c r="I312" t="str">
        <f>+IFERROR(VLOOKUP(I13,IN_Zugliste!$A$4:$F$2002,7,FALSE),"")</f>
        <v/>
      </c>
      <c r="J312" t="str">
        <f>+IFERROR(VLOOKUP(J13,IN_Zugliste!$A$4:$F$2002,7,FALSE),"")</f>
        <v/>
      </c>
      <c r="K312" t="str">
        <f>+IFERROR(VLOOKUP(K13,IN_Zugliste!$A$4:$F$2002,7,FALSE),"")</f>
        <v/>
      </c>
      <c r="L312" t="str">
        <f>+IFERROR(VLOOKUP(L13,IN_Zugliste!$A$4:$F$2002,7,FALSE),"")</f>
        <v/>
      </c>
      <c r="M312" t="str">
        <f>+IFERROR(VLOOKUP(M13,IN_Zugliste!$A$4:$F$2002,7,FALSE),"")</f>
        <v/>
      </c>
      <c r="N312" t="str">
        <f>+IFERROR(VLOOKUP(N13,IN_Zugliste!$A$4:$F$2002,7,FALSE),"")</f>
        <v/>
      </c>
      <c r="O312" t="str">
        <f>+IFERROR(VLOOKUP(O13,IN_Zugliste!$A$4:$F$2002,7,FALSE),"")</f>
        <v/>
      </c>
      <c r="P312" t="str">
        <f>+IFERROR(VLOOKUP(P13,IN_Zugliste!$A$4:$F$2002,7,FALSE),"")</f>
        <v/>
      </c>
      <c r="Q312" t="str">
        <f>+IFERROR(VLOOKUP(Q13,IN_Zugliste!$A$4:$F$2002,7,FALSE),"")</f>
        <v/>
      </c>
      <c r="R312" t="str">
        <f>+IFERROR(VLOOKUP(R13,IN_Zugliste!$A$4:$F$2002,7,FALSE),"")</f>
        <v/>
      </c>
      <c r="S312" t="str">
        <f>+IFERROR(VLOOKUP(S13,IN_Zugliste!$A$4:$F$2002,7,FALSE),"")</f>
        <v/>
      </c>
      <c r="T312" t="str">
        <f>+IFERROR(VLOOKUP(T13,IN_Zugliste!$A$4:$F$2002,7,FALSE),"")</f>
        <v/>
      </c>
      <c r="U312" t="str">
        <f>+IFERROR(VLOOKUP(U13,IN_Zugliste!$A$4:$F$2002,7,FALSE),"")</f>
        <v/>
      </c>
      <c r="V312" t="str">
        <f>+IFERROR(VLOOKUP(V13,IN_Zugliste!$A$4:$F$2002,7,FALSE),"")</f>
        <v/>
      </c>
      <c r="W312" t="str">
        <f>+IFERROR(VLOOKUP(W13,IN_Zugliste!$A$4:$F$2002,7,FALSE),"")</f>
        <v/>
      </c>
      <c r="X312" t="str">
        <f>+IFERROR(VLOOKUP(X13,IN_Zugliste!$A$4:$F$2002,7,FALSE),"")</f>
        <v/>
      </c>
      <c r="Y312" t="str">
        <f>+IFERROR(VLOOKUP(Y13,IN_Zugliste!$A$4:$F$2002,7,FALSE),"")</f>
        <v/>
      </c>
      <c r="Z312" t="str">
        <f>+IFERROR(VLOOKUP(Z13,IN_Zugliste!$A$4:$F$2002,7,FALSE),"")</f>
        <v/>
      </c>
      <c r="AA312" t="str">
        <f>+IFERROR(VLOOKUP(AA13,IN_Zugliste!$A$4:$F$2002,7,FALSE),"")</f>
        <v/>
      </c>
      <c r="AB312" t="str">
        <f>+IFERROR(VLOOKUP(AB13,IN_Zugliste!$A$4:$F$2002,7,FALSE),"")</f>
        <v/>
      </c>
      <c r="AC312" t="str">
        <f>+IFERROR(VLOOKUP(AC13,IN_Zugliste!$A$4:$F$2002,7,FALSE),"")</f>
        <v/>
      </c>
      <c r="AD312" t="str">
        <f>+IFERROR(VLOOKUP(AD13,IN_Zugliste!$A$4:$F$2002,7,FALSE),"")</f>
        <v/>
      </c>
      <c r="AE312" t="str">
        <f>+IFERROR(VLOOKUP(AE13,IN_Zugliste!$A$4:$F$2002,7,FALSE),"")</f>
        <v/>
      </c>
      <c r="AF312" t="str">
        <f>+IFERROR(VLOOKUP(AF13,IN_Zugliste!$A$4:$F$2002,7,FALSE),"")</f>
        <v/>
      </c>
      <c r="AG312" t="str">
        <f>+IFERROR(VLOOKUP(AG13,IN_Zugliste!$A$4:$F$2002,7,FALSE),"")</f>
        <v/>
      </c>
      <c r="AH312" t="str">
        <f>+IFERROR(VLOOKUP(AH13,IN_Zugliste!$A$4:$F$2002,7,FALSE),"")</f>
        <v/>
      </c>
      <c r="AI312" t="str">
        <f>+IFERROR(VLOOKUP(AI13,IN_Zugliste!$A$4:$F$2002,7,FALSE),"")</f>
        <v/>
      </c>
      <c r="AJ312" t="str">
        <f>+IFERROR(VLOOKUP(AJ13,IN_Zugliste!$A$4:$F$2002,7,FALSE),"")</f>
        <v/>
      </c>
      <c r="AK312" t="str">
        <f>+IFERROR(VLOOKUP(AK13,IN_Zugliste!$A$4:$F$2002,7,FALSE),"")</f>
        <v/>
      </c>
      <c r="AL312" t="str">
        <f>+IFERROR(VLOOKUP(AL13,IN_Zugliste!$A$4:$F$2002,7,FALSE),"")</f>
        <v/>
      </c>
      <c r="AM312" t="str">
        <f>+IFERROR(VLOOKUP(AM13,IN_Zugliste!$A$4:$F$2002,7,FALSE),"")</f>
        <v/>
      </c>
      <c r="AN312" t="str">
        <f>+IFERROR(VLOOKUP(AN13,IN_Zugliste!$A$4:$F$2002,7,FALSE),"")</f>
        <v/>
      </c>
      <c r="AO312" t="str">
        <f>+IFERROR(VLOOKUP(AO13,IN_Zugliste!$A$4:$F$2002,7,FALSE),"")</f>
        <v/>
      </c>
      <c r="AP312" t="str">
        <f>+IFERROR(VLOOKUP(AP13,IN_Zugliste!$A$4:$F$2002,7,FALSE),"")</f>
        <v/>
      </c>
      <c r="AQ312" t="str">
        <f>+IFERROR(VLOOKUP(AQ13,IN_Zugliste!$A$4:$F$2002,7,FALSE),"")</f>
        <v/>
      </c>
      <c r="AR312" t="str">
        <f>+IFERROR(VLOOKUP(AR13,IN_Zugliste!$A$4:$F$2002,7,FALSE),"")</f>
        <v/>
      </c>
      <c r="AS312" t="str">
        <f>+IFERROR(VLOOKUP(AS13,IN_Zugliste!$A$4:$F$2002,7,FALSE),"")</f>
        <v/>
      </c>
      <c r="AT312" t="str">
        <f>+IFERROR(VLOOKUP(AT13,IN_Zugliste!$A$4:$F$2002,7,FALSE),"")</f>
        <v/>
      </c>
      <c r="AU312" t="str">
        <f>+IFERROR(VLOOKUP(AU13,IN_Zugliste!$A$4:$F$2002,7,FALSE),"")</f>
        <v/>
      </c>
      <c r="AV312" t="str">
        <f>+IFERROR(VLOOKUP(AV13,IN_Zugliste!$A$4:$F$2002,7,FALSE),"")</f>
        <v/>
      </c>
      <c r="AW312" t="str">
        <f>+IFERROR(VLOOKUP(AW13,IN_Zugliste!$A$4:$F$2002,7,FALSE),"")</f>
        <v/>
      </c>
      <c r="AX312" t="str">
        <f>+IFERROR(VLOOKUP(AX13,IN_Zugliste!$A$4:$F$2002,7,FALSE),"")</f>
        <v/>
      </c>
      <c r="AY312" t="str">
        <f>+IFERROR(VLOOKUP(AY13,IN_Zugliste!$A$4:$F$2002,7,FALSE),"")</f>
        <v/>
      </c>
      <c r="AZ312" t="str">
        <f>+IFERROR(VLOOKUP(AZ13,IN_Zugliste!$A$4:$F$2002,7,FALSE),"")</f>
        <v/>
      </c>
      <c r="BA312" t="str">
        <f>+IFERROR(VLOOKUP(BA13,IN_Zugliste!$A$4:$F$2002,7,FALSE),"")</f>
        <v/>
      </c>
      <c r="BB312" t="str">
        <f>+IFERROR(VLOOKUP(BB13,IN_Zugliste!$A$4:$F$2002,7,FALSE),"")</f>
        <v/>
      </c>
      <c r="BC312" t="str">
        <f>+IFERROR(VLOOKUP(BC13,IN_Zugliste!$A$4:$F$2002,7,FALSE),"")</f>
        <v/>
      </c>
      <c r="BD312" t="str">
        <f>+IFERROR(VLOOKUP(BD13,IN_Zugliste!$A$4:$F$2002,7,FALSE),"")</f>
        <v/>
      </c>
      <c r="BE312" t="str">
        <f>+IFERROR(VLOOKUP(BE13,IN_Zugliste!$A$4:$F$2002,7,FALSE),"")</f>
        <v/>
      </c>
      <c r="BF312" t="str">
        <f>+IFERROR(VLOOKUP(BF13,IN_Zugliste!$A$4:$F$2002,7,FALSE),"")</f>
        <v/>
      </c>
      <c r="BG312" t="str">
        <f>+IFERROR(VLOOKUP(BG13,IN_Zugliste!$A$4:$F$2002,7,FALSE),"")</f>
        <v/>
      </c>
      <c r="BH312" t="str">
        <f>+IFERROR(VLOOKUP(BH13,IN_Zugliste!$A$4:$F$2002,7,FALSE),"")</f>
        <v/>
      </c>
      <c r="BI312" t="str">
        <f>+IFERROR(VLOOKUP(BI13,IN_Zugliste!$A$4:$F$2002,7,FALSE),"")</f>
        <v/>
      </c>
      <c r="BJ312" t="str">
        <f>+IFERROR(VLOOKUP(BJ13,IN_Zugliste!$A$4:$F$2002,7,FALSE),"")</f>
        <v/>
      </c>
      <c r="BK312" t="str">
        <f>+IFERROR(VLOOKUP(BK13,IN_Zugliste!$A$4:$F$2002,7,FALSE),"")</f>
        <v/>
      </c>
      <c r="BL312" t="str">
        <f>+IFERROR(VLOOKUP(BL13,IN_Zugliste!$A$4:$F$2002,7,FALSE),"")</f>
        <v/>
      </c>
      <c r="BM312" t="str">
        <f>+IFERROR(VLOOKUP(BM13,IN_Zugliste!$A$4:$F$2002,7,FALSE),"")</f>
        <v/>
      </c>
      <c r="BN312" t="str">
        <f>+IFERROR(VLOOKUP(BN13,IN_Zugliste!$A$4:$F$2002,7,FALSE),"")</f>
        <v/>
      </c>
      <c r="BO312" t="str">
        <f>+IFERROR(VLOOKUP(BO13,IN_Zugliste!$A$4:$F$2002,7,FALSE),"")</f>
        <v/>
      </c>
      <c r="BP312" t="str">
        <f>+IFERROR(VLOOKUP(BP13,IN_Zugliste!$A$4:$F$2002,7,FALSE),"")</f>
        <v/>
      </c>
      <c r="BQ312" t="str">
        <f>+IFERROR(VLOOKUP(BQ13,IN_Zugliste!$A$4:$F$2002,7,FALSE),"")</f>
        <v/>
      </c>
      <c r="BR312" t="str">
        <f>+IFERROR(VLOOKUP(BR13,IN_Zugliste!$A$4:$F$2002,7,FALSE),"")</f>
        <v/>
      </c>
      <c r="BS312" t="str">
        <f>+IFERROR(VLOOKUP(BS13,IN_Zugliste!$A$4:$F$2002,7,FALSE),"")</f>
        <v/>
      </c>
      <c r="BT312" t="str">
        <f>+IFERROR(VLOOKUP(BT13,IN_Zugliste!$A$4:$F$2002,7,FALSE),"")</f>
        <v/>
      </c>
      <c r="BU312" t="str">
        <f>+IFERROR(VLOOKUP(BU13,IN_Zugliste!$A$4:$F$2002,7,FALSE),"")</f>
        <v/>
      </c>
      <c r="BV312" t="str">
        <f>+IFERROR(VLOOKUP(BV13,IN_Zugliste!$A$4:$F$2002,7,FALSE),"")</f>
        <v/>
      </c>
      <c r="BW312" t="str">
        <f>+IFERROR(VLOOKUP(BW13,IN_Zugliste!$A$4:$F$2002,7,FALSE),"")</f>
        <v/>
      </c>
      <c r="BX312" t="str">
        <f>+IFERROR(VLOOKUP(BX13,IN_Zugliste!$A$4:$F$2002,7,FALSE),"")</f>
        <v/>
      </c>
      <c r="BY312" t="str">
        <f>+IFERROR(VLOOKUP(BY13,IN_Zugliste!$A$4:$F$2002,7,FALSE),"")</f>
        <v/>
      </c>
      <c r="BZ312" t="str">
        <f>+IFERROR(VLOOKUP(BZ13,IN_Zugliste!$A$4:$F$2002,7,FALSE),"")</f>
        <v/>
      </c>
      <c r="CA312" t="str">
        <f>+IFERROR(VLOOKUP(CA13,IN_Zugliste!$A$4:$F$2002,7,FALSE),"")</f>
        <v/>
      </c>
      <c r="CB312" t="str">
        <f>+IFERROR(VLOOKUP(CB13,IN_Zugliste!$A$4:$F$2002,7,FALSE),"")</f>
        <v/>
      </c>
      <c r="CC312" t="str">
        <f>+IFERROR(VLOOKUP(CC13,IN_Zugliste!$A$4:$F$2002,7,FALSE),"")</f>
        <v/>
      </c>
      <c r="CD312" t="str">
        <f>+IFERROR(VLOOKUP(CD13,IN_Zugliste!$A$4:$F$2002,7,FALSE),"")</f>
        <v/>
      </c>
      <c r="CE312" t="str">
        <f>+IFERROR(VLOOKUP(CE13,IN_Zugliste!$A$4:$F$2002,7,FALSE),"")</f>
        <v/>
      </c>
      <c r="CF312" t="str">
        <f>+IFERROR(VLOOKUP(CF13,IN_Zugliste!$A$4:$F$2002,7,FALSE),"")</f>
        <v/>
      </c>
      <c r="CG312" t="str">
        <f>+IFERROR(VLOOKUP(CG13,IN_Zugliste!$A$4:$F$2002,7,FALSE),"")</f>
        <v/>
      </c>
      <c r="CH312" t="str">
        <f>+IFERROR(VLOOKUP(CH13,IN_Zugliste!$A$4:$F$2002,7,FALSE),"")</f>
        <v/>
      </c>
      <c r="CI312" t="str">
        <f>+IFERROR(VLOOKUP(CI13,IN_Zugliste!$A$4:$F$2002,7,FALSE),"")</f>
        <v/>
      </c>
      <c r="CJ312" t="str">
        <f>+IFERROR(VLOOKUP(CJ13,IN_Zugliste!$A$4:$F$2002,7,FALSE),"")</f>
        <v/>
      </c>
      <c r="CK312" t="str">
        <f>+IFERROR(VLOOKUP(CK13,IN_Zugliste!$A$4:$F$2002,7,FALSE),"")</f>
        <v/>
      </c>
      <c r="CL312" t="str">
        <f>+IFERROR(VLOOKUP(CL13,IN_Zugliste!$A$4:$F$2002,7,FALSE),"")</f>
        <v/>
      </c>
      <c r="CM312" t="str">
        <f>+IFERROR(VLOOKUP(CM13,IN_Zugliste!$A$4:$F$2002,7,FALSE),"")</f>
        <v/>
      </c>
      <c r="CN312" t="str">
        <f>+IFERROR(VLOOKUP(CN13,IN_Zugliste!$A$4:$F$2002,7,FALSE),"")</f>
        <v/>
      </c>
      <c r="CO312" t="str">
        <f>+IFERROR(VLOOKUP(CO13,IN_Zugliste!$A$4:$F$2002,7,FALSE),"")</f>
        <v/>
      </c>
      <c r="CP312" t="str">
        <f>+IFERROR(VLOOKUP(CP13,IN_Zugliste!$A$4:$F$2002,7,FALSE),"")</f>
        <v/>
      </c>
      <c r="CQ312" t="str">
        <f>+IFERROR(VLOOKUP(CQ13,IN_Zugliste!$A$4:$F$2002,7,FALSE),"")</f>
        <v/>
      </c>
      <c r="CR312" t="str">
        <f>+IFERROR(VLOOKUP(CR13,IN_Zugliste!$A$4:$F$2002,7,FALSE),"")</f>
        <v/>
      </c>
      <c r="CS312" t="str">
        <f>+IFERROR(VLOOKUP(CS13,IN_Zugliste!$A$4:$F$2002,7,FALSE),"")</f>
        <v/>
      </c>
      <c r="CT312" t="str">
        <f>+IFERROR(VLOOKUP(CT13,IN_Zugliste!$A$4:$F$2002,7,FALSE),"")</f>
        <v/>
      </c>
      <c r="CU312" t="str">
        <f>+IFERROR(VLOOKUP(CU13,IN_Zugliste!$A$4:$F$2002,7,FALSE),"")</f>
        <v/>
      </c>
      <c r="CV312" t="str">
        <f>+IFERROR(VLOOKUP(CV13,IN_Zugliste!$A$4:$F$2002,7,FALSE),"")</f>
        <v/>
      </c>
      <c r="CW312" t="str">
        <f>+IFERROR(VLOOKUP(CW13,IN_Zugliste!$A$4:$F$2002,7,FALSE),"")</f>
        <v/>
      </c>
      <c r="CX312" t="str">
        <f>+IFERROR(VLOOKUP(CX13,IN_Zugliste!$A$4:$F$2002,7,FALSE),"")</f>
        <v/>
      </c>
      <c r="CY312" t="str">
        <f>+IFERROR(VLOOKUP(CY13,IN_Zugliste!$A$4:$F$2002,7,FALSE),"")</f>
        <v/>
      </c>
      <c r="CZ312" t="str">
        <f>+IFERROR(VLOOKUP(CZ13,IN_Zugliste!$A$4:$F$2002,7,FALSE),"")</f>
        <v/>
      </c>
      <c r="DA312" t="str">
        <f>+IFERROR(VLOOKUP(DA13,IN_Zugliste!$A$4:$F$2002,7,FALSE),"")</f>
        <v/>
      </c>
      <c r="DB312" t="str">
        <f>+IFERROR(VLOOKUP(DB13,IN_Zugliste!$A$4:$F$2002,7,FALSE),"")</f>
        <v/>
      </c>
      <c r="DC312" t="str">
        <f>+IFERROR(VLOOKUP(DC13,IN_Zugliste!$A$4:$F$2002,7,FALSE),"")</f>
        <v/>
      </c>
      <c r="DD312" t="str">
        <f>+IFERROR(VLOOKUP(DD13,IN_Zugliste!$A$4:$F$2002,7,FALSE),"")</f>
        <v/>
      </c>
      <c r="DE312" t="str">
        <f>+IFERROR(VLOOKUP(DE13,IN_Zugliste!$A$4:$F$2002,7,FALSE),"")</f>
        <v/>
      </c>
      <c r="DF312" t="str">
        <f>+IFERROR(VLOOKUP(DF13,IN_Zugliste!$A$4:$F$2002,7,FALSE),"")</f>
        <v/>
      </c>
      <c r="DG312" t="str">
        <f>+IFERROR(VLOOKUP(DG13,IN_Zugliste!$A$4:$F$2002,7,FALSE),"")</f>
        <v/>
      </c>
      <c r="DH312" t="str">
        <f>+IFERROR(VLOOKUP(DH13,IN_Zugliste!$A$4:$F$2002,7,FALSE),"")</f>
        <v/>
      </c>
      <c r="DI312" t="str">
        <f>+IFERROR(VLOOKUP(DI13,IN_Zugliste!$A$4:$F$2002,7,FALSE),"")</f>
        <v/>
      </c>
      <c r="DJ312" t="str">
        <f>+IFERROR(VLOOKUP(DJ13,IN_Zugliste!$A$4:$F$2002,7,FALSE),"")</f>
        <v/>
      </c>
      <c r="DK312" t="str">
        <f>+IFERROR(VLOOKUP(DK13,IN_Zugliste!$A$4:$F$2002,7,FALSE),"")</f>
        <v/>
      </c>
      <c r="DL312" t="str">
        <f>+IFERROR(VLOOKUP(DL13,IN_Zugliste!$A$4:$F$2002,7,FALSE),"")</f>
        <v/>
      </c>
      <c r="DM312" t="str">
        <f>+IFERROR(VLOOKUP(DM13,IN_Zugliste!$A$4:$F$2002,7,FALSE),"")</f>
        <v/>
      </c>
      <c r="DN312" t="str">
        <f>+IFERROR(VLOOKUP(DN13,IN_Zugliste!$A$4:$F$2002,7,FALSE),"")</f>
        <v/>
      </c>
      <c r="DO312" t="str">
        <f>+IFERROR(VLOOKUP(DO13,IN_Zugliste!$A$4:$F$2002,7,FALSE),"")</f>
        <v/>
      </c>
      <c r="DP312" t="str">
        <f>+IFERROR(VLOOKUP(DP13,IN_Zugliste!$A$4:$F$2002,7,FALSE),"")</f>
        <v/>
      </c>
      <c r="DQ312" t="str">
        <f>+IFERROR(VLOOKUP(DQ13,IN_Zugliste!$A$4:$F$2002,7,FALSE),"")</f>
        <v/>
      </c>
      <c r="DR312" t="str">
        <f>+IFERROR(VLOOKUP(DR13,IN_Zugliste!$A$4:$F$2002,7,FALSE),"")</f>
        <v/>
      </c>
      <c r="DS312" t="str">
        <f>+IFERROR(VLOOKUP(DS13,IN_Zugliste!$A$4:$F$2002,7,FALSE),"")</f>
        <v/>
      </c>
      <c r="DT312" t="str">
        <f>+IFERROR(VLOOKUP(DT13,IN_Zugliste!$A$4:$F$2002,7,FALSE),"")</f>
        <v/>
      </c>
      <c r="DU312" t="str">
        <f>+IFERROR(VLOOKUP(DU13,IN_Zugliste!$A$4:$F$2002,7,FALSE),"")</f>
        <v/>
      </c>
      <c r="DV312" t="str">
        <f>+IFERROR(VLOOKUP(DV13,IN_Zugliste!$A$4:$F$2002,7,FALSE),"")</f>
        <v/>
      </c>
      <c r="DW312" t="str">
        <f>+IFERROR(VLOOKUP(DW13,IN_Zugliste!$A$4:$F$2002,7,FALSE),"")</f>
        <v/>
      </c>
      <c r="DX312" t="str">
        <f>+IFERROR(VLOOKUP(DX13,IN_Zugliste!$A$4:$F$2002,7,FALSE),"")</f>
        <v/>
      </c>
      <c r="DY312" t="str">
        <f>+IFERROR(VLOOKUP(DY13,IN_Zugliste!$A$4:$F$2002,7,FALSE),"")</f>
        <v/>
      </c>
      <c r="DZ312" t="str">
        <f>+IFERROR(VLOOKUP(DZ13,IN_Zugliste!$A$4:$F$2002,7,FALSE),"")</f>
        <v/>
      </c>
      <c r="EA312" t="str">
        <f>+IFERROR(VLOOKUP(EA13,IN_Zugliste!$A$4:$F$2002,7,FALSE),"")</f>
        <v/>
      </c>
      <c r="EB312" t="str">
        <f>+IFERROR(VLOOKUP(EB13,IN_Zugliste!$A$4:$F$2002,7,FALSE),"")</f>
        <v/>
      </c>
      <c r="EC312" t="str">
        <f>+IFERROR(VLOOKUP(EC13,IN_Zugliste!$A$4:$F$2002,7,FALSE),"")</f>
        <v/>
      </c>
      <c r="ED312" t="str">
        <f>+IFERROR(VLOOKUP(ED13,IN_Zugliste!$A$4:$F$2002,7,FALSE),"")</f>
        <v/>
      </c>
      <c r="EE312" t="str">
        <f>+IFERROR(VLOOKUP(EE13,IN_Zugliste!$A$4:$F$2002,7,FALSE),"")</f>
        <v/>
      </c>
      <c r="EF312" t="str">
        <f>+IFERROR(VLOOKUP(EF13,IN_Zugliste!$A$4:$F$2002,7,FALSE),"")</f>
        <v/>
      </c>
      <c r="EG312" t="str">
        <f>+IFERROR(VLOOKUP(EG13,IN_Zugliste!$A$4:$F$2002,7,FALSE),"")</f>
        <v/>
      </c>
      <c r="EH312" t="str">
        <f>+IFERROR(VLOOKUP(EH13,IN_Zugliste!$A$4:$F$2002,7,FALSE),"")</f>
        <v/>
      </c>
      <c r="EI312" t="str">
        <f>+IFERROR(VLOOKUP(EI13,IN_Zugliste!$A$4:$F$2002,7,FALSE),"")</f>
        <v/>
      </c>
      <c r="EJ312" t="str">
        <f>+IFERROR(VLOOKUP(EJ13,IN_Zugliste!$A$4:$F$2002,7,FALSE),"")</f>
        <v/>
      </c>
      <c r="EK312" t="str">
        <f>+IFERROR(VLOOKUP(EK13,IN_Zugliste!$A$4:$F$2002,7,FALSE),"")</f>
        <v/>
      </c>
      <c r="EL312" t="str">
        <f>+IFERROR(VLOOKUP(EL13,IN_Zugliste!$A$4:$F$2002,7,FALSE),"")</f>
        <v/>
      </c>
      <c r="EM312" t="str">
        <f>+IFERROR(VLOOKUP(EM13,IN_Zugliste!$A$4:$F$2002,7,FALSE),"")</f>
        <v/>
      </c>
      <c r="EN312" t="str">
        <f>+IFERROR(VLOOKUP(EN13,IN_Zugliste!$A$4:$F$2002,7,FALSE),"")</f>
        <v/>
      </c>
      <c r="EO312" t="str">
        <f>+IFERROR(VLOOKUP(EO13,IN_Zugliste!$A$4:$F$2002,7,FALSE),"")</f>
        <v/>
      </c>
      <c r="EP312" t="str">
        <f>+IFERROR(VLOOKUP(EP13,IN_Zugliste!$A$4:$F$2002,7,FALSE),"")</f>
        <v/>
      </c>
      <c r="EQ312" t="str">
        <f>+IFERROR(VLOOKUP(EQ13,IN_Zugliste!$A$4:$F$2002,7,FALSE),"")</f>
        <v/>
      </c>
      <c r="ER312" t="str">
        <f>+IFERROR(VLOOKUP(ER13,IN_Zugliste!$A$4:$F$2002,7,FALSE),"")</f>
        <v/>
      </c>
      <c r="ES312" t="str">
        <f>+IFERROR(VLOOKUP(ES13,IN_Zugliste!$A$4:$F$2002,7,FALSE),"")</f>
        <v/>
      </c>
      <c r="ET312" t="str">
        <f>+IFERROR(VLOOKUP(ET13,IN_Zugliste!$A$4:$F$2002,7,FALSE),"")</f>
        <v/>
      </c>
      <c r="EU312" t="str">
        <f>+IFERROR(VLOOKUP(EU13,IN_Zugliste!$A$4:$F$2002,7,FALSE),"")</f>
        <v/>
      </c>
      <c r="EV312" t="str">
        <f>+IFERROR(VLOOKUP(EV13,IN_Zugliste!$A$4:$F$2002,7,FALSE),"")</f>
        <v/>
      </c>
      <c r="EW312" t="str">
        <f>+IFERROR(VLOOKUP(EW13,IN_Zugliste!$A$4:$F$2002,7,FALSE),"")</f>
        <v/>
      </c>
      <c r="EX312" t="str">
        <f>+IFERROR(VLOOKUP(EX13,IN_Zugliste!$A$4:$F$2002,7,FALSE),"")</f>
        <v/>
      </c>
      <c r="EY312" t="str">
        <f>+IFERROR(VLOOKUP(EY13,IN_Zugliste!$A$4:$F$2002,7,FALSE),"")</f>
        <v/>
      </c>
      <c r="EZ312" t="str">
        <f>+IFERROR(VLOOKUP(EZ13,IN_Zugliste!$A$4:$F$2002,7,FALSE),"")</f>
        <v/>
      </c>
      <c r="FA312" t="str">
        <f>+IFERROR(VLOOKUP(FA13,IN_Zugliste!$A$4:$F$2002,7,FALSE),"")</f>
        <v/>
      </c>
      <c r="FB312" t="str">
        <f>+IFERROR(VLOOKUP(FB13,IN_Zugliste!$A$4:$F$2002,7,FALSE),"")</f>
        <v/>
      </c>
      <c r="FC312" t="str">
        <f>+IFERROR(VLOOKUP(FC13,IN_Zugliste!$A$4:$F$2002,7,FALSE),"")</f>
        <v/>
      </c>
      <c r="FD312" t="str">
        <f>+IFERROR(VLOOKUP(FD13,IN_Zugliste!$A$4:$F$2002,7,FALSE),"")</f>
        <v/>
      </c>
      <c r="FE312" t="str">
        <f>+IFERROR(VLOOKUP(FE13,IN_Zugliste!$A$4:$F$2002,7,FALSE),"")</f>
        <v/>
      </c>
      <c r="FF312" t="str">
        <f>+IFERROR(VLOOKUP(FF13,IN_Zugliste!$A$4:$F$2002,7,FALSE),"")</f>
        <v/>
      </c>
      <c r="FG312" t="str">
        <f>+IFERROR(VLOOKUP(FG13,IN_Zugliste!$A$4:$F$2002,7,FALSE),"")</f>
        <v/>
      </c>
      <c r="FH312" t="str">
        <f>+IFERROR(VLOOKUP(FH13,IN_Zugliste!$A$4:$F$2002,7,FALSE),"")</f>
        <v/>
      </c>
      <c r="FI312" t="str">
        <f>+IFERROR(VLOOKUP(FI13,IN_Zugliste!$A$4:$F$2002,7,FALSE),"")</f>
        <v/>
      </c>
      <c r="FJ312" t="str">
        <f>+IFERROR(VLOOKUP(FJ13,IN_Zugliste!$A$4:$F$2002,7,FALSE),"")</f>
        <v/>
      </c>
      <c r="FK312" t="str">
        <f>+IFERROR(VLOOKUP(FK13,IN_Zugliste!$A$4:$F$2002,7,FALSE),"")</f>
        <v/>
      </c>
      <c r="FL312" t="str">
        <f>+IFERROR(VLOOKUP(FL13,IN_Zugliste!$A$4:$F$2002,7,FALSE),"")</f>
        <v/>
      </c>
      <c r="FM312" t="str">
        <f>+IFERROR(VLOOKUP(FM13,IN_Zugliste!$A$4:$F$2002,7,FALSE),"")</f>
        <v/>
      </c>
      <c r="FN312" t="str">
        <f>+IFERROR(VLOOKUP(FN13,IN_Zugliste!$A$4:$F$2002,7,FALSE),"")</f>
        <v/>
      </c>
      <c r="FO312" t="str">
        <f>+IFERROR(VLOOKUP(FO13,IN_Zugliste!$A$4:$F$2002,7,FALSE),"")</f>
        <v/>
      </c>
      <c r="FP312" t="str">
        <f>+IFERROR(VLOOKUP(FP13,IN_Zugliste!$A$4:$F$2002,7,FALSE),"")</f>
        <v/>
      </c>
      <c r="FQ312" t="str">
        <f>+IFERROR(VLOOKUP(FQ13,IN_Zugliste!$A$4:$F$2002,7,FALSE),"")</f>
        <v/>
      </c>
      <c r="FR312" t="str">
        <f>+IFERROR(VLOOKUP(FR13,IN_Zugliste!$A$4:$F$2002,7,FALSE),"")</f>
        <v/>
      </c>
      <c r="FS312" t="str">
        <f>+IFERROR(VLOOKUP(FS13,IN_Zugliste!$A$4:$F$2002,7,FALSE),"")</f>
        <v/>
      </c>
      <c r="FT312" t="str">
        <f>+IFERROR(VLOOKUP(FT13,IN_Zugliste!$A$4:$F$2002,7,FALSE),"")</f>
        <v/>
      </c>
      <c r="FU312" t="str">
        <f>+IFERROR(VLOOKUP(FU13,IN_Zugliste!$A$4:$F$2002,7,FALSE),"")</f>
        <v/>
      </c>
      <c r="FV312" t="str">
        <f>+IFERROR(VLOOKUP(FV13,IN_Zugliste!$A$4:$F$2002,7,FALSE),"")</f>
        <v/>
      </c>
      <c r="FW312" t="str">
        <f>+IFERROR(VLOOKUP(FW13,IN_Zugliste!$A$4:$F$2002,7,FALSE),"")</f>
        <v/>
      </c>
      <c r="FX312" t="str">
        <f>+IFERROR(VLOOKUP(FX13,IN_Zugliste!$A$4:$F$2002,7,FALSE),"")</f>
        <v/>
      </c>
      <c r="FY312" t="str">
        <f>+IFERROR(VLOOKUP(FY13,IN_Zugliste!$A$4:$F$2002,7,FALSE),"")</f>
        <v/>
      </c>
      <c r="FZ312" t="str">
        <f>+IFERROR(VLOOKUP(FZ13,IN_Zugliste!$A$4:$F$2002,7,FALSE),"")</f>
        <v/>
      </c>
      <c r="GA312" t="str">
        <f>+IFERROR(VLOOKUP(GA13,IN_Zugliste!$A$4:$F$2002,7,FALSE),"")</f>
        <v/>
      </c>
      <c r="GB312" t="str">
        <f>+IFERROR(VLOOKUP(GB13,IN_Zugliste!$A$4:$F$2002,7,FALSE),"")</f>
        <v/>
      </c>
      <c r="GC312" t="str">
        <f>+IFERROR(VLOOKUP(GC13,IN_Zugliste!$A$4:$F$2002,7,FALSE),"")</f>
        <v/>
      </c>
      <c r="GD312" t="str">
        <f>+IFERROR(VLOOKUP(GD13,IN_Zugliste!$A$4:$F$2002,7,FALSE),"")</f>
        <v/>
      </c>
      <c r="GE312" t="str">
        <f>+IFERROR(VLOOKUP(GE13,IN_Zugliste!$A$4:$F$2002,7,FALSE),"")</f>
        <v/>
      </c>
      <c r="GF312" t="str">
        <f>+IFERROR(VLOOKUP(GF13,IN_Zugliste!$A$4:$F$2002,7,FALSE),"")</f>
        <v/>
      </c>
      <c r="GG312" t="str">
        <f>+IFERROR(VLOOKUP(GG13,IN_Zugliste!$A$4:$F$2002,7,FALSE),"")</f>
        <v/>
      </c>
      <c r="GH312" t="str">
        <f>+IFERROR(VLOOKUP(GH13,IN_Zugliste!$A$4:$F$2002,7,FALSE),"")</f>
        <v/>
      </c>
      <c r="GI312" t="str">
        <f>+IFERROR(VLOOKUP(GI13,IN_Zugliste!$A$4:$F$2002,7,FALSE),"")</f>
        <v/>
      </c>
      <c r="GJ312" t="str">
        <f>+IFERROR(VLOOKUP(GJ13,IN_Zugliste!$A$4:$F$2002,7,FALSE),"")</f>
        <v/>
      </c>
      <c r="GK312" t="str">
        <f>+IFERROR(VLOOKUP(GK13,IN_Zugliste!$A$4:$F$2002,7,FALSE),"")</f>
        <v/>
      </c>
      <c r="GL312" t="str">
        <f>+IFERROR(VLOOKUP(GL13,IN_Zugliste!$A$4:$F$2002,7,FALSE),"")</f>
        <v/>
      </c>
      <c r="GM312" t="str">
        <f>+IFERROR(VLOOKUP(GM13,IN_Zugliste!$A$4:$F$2002,7,FALSE),"")</f>
        <v/>
      </c>
      <c r="GN312" t="str">
        <f>+IFERROR(VLOOKUP(GN13,IN_Zugliste!$A$4:$F$2002,7,FALSE),"")</f>
        <v/>
      </c>
      <c r="GO312" t="str">
        <f>+IFERROR(VLOOKUP(GO13,IN_Zugliste!$A$4:$F$2002,7,FALSE),"")</f>
        <v/>
      </c>
      <c r="GP312" t="str">
        <f>+IFERROR(VLOOKUP(GP13,IN_Zugliste!$A$4:$F$2002,7,FALSE),"")</f>
        <v/>
      </c>
      <c r="GQ312" t="str">
        <f>+IFERROR(VLOOKUP(GQ13,IN_Zugliste!$A$4:$F$2002,7,FALSE),"")</f>
        <v/>
      </c>
      <c r="GR312" t="str">
        <f>+IFERROR(VLOOKUP(GR13,IN_Zugliste!$A$4:$F$2002,7,FALSE),"")</f>
        <v/>
      </c>
      <c r="GS312" t="str">
        <f>+IFERROR(VLOOKUP(GS13,IN_Zugliste!$A$4:$F$2002,7,FALSE),"")</f>
        <v/>
      </c>
      <c r="GT312" t="str">
        <f>+IFERROR(VLOOKUP(GT13,IN_Zugliste!$A$4:$F$2002,7,FALSE),"")</f>
        <v/>
      </c>
      <c r="GU312" t="str">
        <f>+IFERROR(VLOOKUP(GU13,IN_Zugliste!$A$4:$F$2002,7,FALSE),"")</f>
        <v/>
      </c>
      <c r="GV312" t="str">
        <f>+IFERROR(VLOOKUP(GV13,IN_Zugliste!$A$4:$F$2002,7,FALSE),"")</f>
        <v/>
      </c>
      <c r="GW312" t="str">
        <f>+IFERROR(VLOOKUP(GW13,IN_Zugliste!$A$4:$F$2002,7,FALSE),"")</f>
        <v/>
      </c>
      <c r="GX312" t="str">
        <f>+IFERROR(VLOOKUP(GX13,IN_Zugliste!$A$4:$F$2002,7,FALSE),"")</f>
        <v/>
      </c>
      <c r="GY312" t="str">
        <f>+IFERROR(VLOOKUP(GY13,IN_Zugliste!$A$4:$F$2002,7,FALSE),"")</f>
        <v/>
      </c>
      <c r="GZ312" t="str">
        <f>+IFERROR(VLOOKUP(GZ13,IN_Zugliste!$A$4:$F$2002,7,FALSE),"")</f>
        <v/>
      </c>
      <c r="HA312" t="str">
        <f>+IFERROR(VLOOKUP(HA13,IN_Zugliste!$A$4:$F$2002,7,FALSE),"")</f>
        <v/>
      </c>
      <c r="HB312" t="str">
        <f>+IFERROR(VLOOKUP(HB13,IN_Zugliste!$A$4:$F$2002,7,FALSE),"")</f>
        <v/>
      </c>
      <c r="HC312" t="str">
        <f>+IFERROR(VLOOKUP(HC13,IN_Zugliste!$A$4:$F$2002,7,FALSE),"")</f>
        <v/>
      </c>
      <c r="HD312" t="str">
        <f>+IFERROR(VLOOKUP(HD13,IN_Zugliste!$A$4:$F$2002,7,FALSE),"")</f>
        <v/>
      </c>
      <c r="HE312" t="str">
        <f>+IFERROR(VLOOKUP(HE13,IN_Zugliste!$A$4:$F$2002,7,FALSE),"")</f>
        <v/>
      </c>
      <c r="HF312" t="str">
        <f>+IFERROR(VLOOKUP(HF13,IN_Zugliste!$A$4:$F$2002,7,FALSE),"")</f>
        <v/>
      </c>
      <c r="HG312" t="str">
        <f>+IFERROR(VLOOKUP(HG13,IN_Zugliste!$A$4:$F$2002,7,FALSE),"")</f>
        <v/>
      </c>
      <c r="HH312" t="str">
        <f>+IFERROR(VLOOKUP(HH13,IN_Zugliste!$A$4:$F$2002,7,FALSE),"")</f>
        <v/>
      </c>
      <c r="HI312" t="str">
        <f>+IFERROR(VLOOKUP(HI13,IN_Zugliste!$A$4:$F$2002,7,FALSE),"")</f>
        <v/>
      </c>
      <c r="HJ312" t="str">
        <f>+IFERROR(VLOOKUP(HJ13,IN_Zugliste!$A$4:$F$2002,7,FALSE),"")</f>
        <v/>
      </c>
      <c r="HK312" t="str">
        <f>+IFERROR(VLOOKUP(HK13,IN_Zugliste!$A$4:$F$2002,7,FALSE),"")</f>
        <v/>
      </c>
      <c r="HL312" t="str">
        <f>+IFERROR(VLOOKUP(HL13,IN_Zugliste!$A$4:$F$2002,7,FALSE),"")</f>
        <v/>
      </c>
      <c r="HM312" t="str">
        <f>+IFERROR(VLOOKUP(HM13,IN_Zugliste!$A$4:$F$2002,7,FALSE),"")</f>
        <v/>
      </c>
      <c r="HN312" t="str">
        <f>+IFERROR(VLOOKUP(HN13,IN_Zugliste!$A$4:$F$2002,7,FALSE),"")</f>
        <v/>
      </c>
      <c r="HO312" t="str">
        <f>+IFERROR(VLOOKUP(HO13,IN_Zugliste!$A$4:$F$2002,7,FALSE),"")</f>
        <v/>
      </c>
      <c r="HP312" t="str">
        <f>+IFERROR(VLOOKUP(HP13,IN_Zugliste!$A$4:$F$2002,7,FALSE),"")</f>
        <v/>
      </c>
      <c r="HQ312" t="str">
        <f>+IFERROR(VLOOKUP(HQ13,IN_Zugliste!$A$4:$F$2002,7,FALSE),"")</f>
        <v/>
      </c>
      <c r="HR312" t="str">
        <f>+IFERROR(VLOOKUP(HR13,IN_Zugliste!$A$4:$F$2002,7,FALSE),"")</f>
        <v/>
      </c>
      <c r="HS312" t="str">
        <f>+IFERROR(VLOOKUP(HS13,IN_Zugliste!$A$4:$F$2002,7,FALSE),"")</f>
        <v/>
      </c>
      <c r="HT312" t="str">
        <f>+IFERROR(VLOOKUP(HT13,IN_Zugliste!$A$4:$F$2002,7,FALSE),"")</f>
        <v/>
      </c>
      <c r="HU312" t="str">
        <f>+IFERROR(VLOOKUP(HU13,IN_Zugliste!$A$4:$F$2002,7,FALSE),"")</f>
        <v/>
      </c>
      <c r="HV312" t="str">
        <f>+IFERROR(VLOOKUP(HV13,IN_Zugliste!$A$4:$F$2002,7,FALSE),"")</f>
        <v/>
      </c>
      <c r="HW312" t="str">
        <f>+IFERROR(VLOOKUP(HW13,IN_Zugliste!$A$4:$F$2002,7,FALSE),"")</f>
        <v/>
      </c>
      <c r="HX312" t="str">
        <f>+IFERROR(VLOOKUP(HX13,IN_Zugliste!$A$4:$F$2002,7,FALSE),"")</f>
        <v/>
      </c>
      <c r="HY312" t="str">
        <f>+IFERROR(VLOOKUP(HY13,IN_Zugliste!$A$4:$F$2002,7,FALSE),"")</f>
        <v/>
      </c>
      <c r="HZ312" t="str">
        <f>+IFERROR(VLOOKUP(HZ13,IN_Zugliste!$A$4:$F$2002,7,FALSE),"")</f>
        <v/>
      </c>
      <c r="IA312" t="str">
        <f>+IFERROR(VLOOKUP(IA13,IN_Zugliste!$A$4:$F$2002,7,FALSE),"")</f>
        <v/>
      </c>
      <c r="IB312" t="str">
        <f>+IFERROR(VLOOKUP(IB13,IN_Zugliste!$A$4:$F$2002,7,FALSE),"")</f>
        <v/>
      </c>
      <c r="IC312" t="str">
        <f>+IFERROR(VLOOKUP(IC13,IN_Zugliste!$A$4:$F$2002,7,FALSE),"")</f>
        <v/>
      </c>
      <c r="ID312" t="str">
        <f>+IFERROR(VLOOKUP(ID13,IN_Zugliste!$A$4:$F$2002,7,FALSE),"")</f>
        <v/>
      </c>
      <c r="IE312" t="str">
        <f>+IFERROR(VLOOKUP(IE13,IN_Zugliste!$A$4:$F$2002,7,FALSE),"")</f>
        <v/>
      </c>
      <c r="IF312" t="str">
        <f>+IFERROR(VLOOKUP(IF13,IN_Zugliste!$A$4:$F$2002,7,FALSE),"")</f>
        <v/>
      </c>
      <c r="IG312" t="str">
        <f>+IFERROR(VLOOKUP(IG13,IN_Zugliste!$A$4:$F$2002,7,FALSE),"")</f>
        <v/>
      </c>
      <c r="IH312" t="str">
        <f>+IFERROR(VLOOKUP(IH13,IN_Zugliste!$A$4:$F$2002,7,FALSE),"")</f>
        <v/>
      </c>
      <c r="II312" t="str">
        <f>+IFERROR(VLOOKUP(II13,IN_Zugliste!$A$4:$F$2002,7,FALSE),"")</f>
        <v/>
      </c>
      <c r="IJ312" t="str">
        <f>+IFERROR(VLOOKUP(IJ13,IN_Zugliste!$A$4:$F$2002,7,FALSE),"")</f>
        <v/>
      </c>
      <c r="IK312" t="str">
        <f>+IFERROR(VLOOKUP(IK13,IN_Zugliste!$A$4:$F$2002,7,FALSE),"")</f>
        <v/>
      </c>
      <c r="IL312" t="str">
        <f>+IFERROR(VLOOKUP(IL13,IN_Zugliste!$A$4:$F$2002,7,FALSE),"")</f>
        <v/>
      </c>
      <c r="IM312" t="str">
        <f>+IFERROR(VLOOKUP(IM13,IN_Zugliste!$A$4:$F$2002,7,FALSE),"")</f>
        <v/>
      </c>
      <c r="IN312" t="str">
        <f>+IFERROR(VLOOKUP(IN13,IN_Zugliste!$A$4:$F$2002,7,FALSE),"")</f>
        <v/>
      </c>
      <c r="IO312" t="str">
        <f>+IFERROR(VLOOKUP(IO13,IN_Zugliste!$A$4:$F$2002,7,FALSE),"")</f>
        <v/>
      </c>
      <c r="IP312" t="str">
        <f>+IFERROR(VLOOKUP(IP13,IN_Zugliste!$A$4:$F$2002,7,FALSE),"")</f>
        <v/>
      </c>
      <c r="IQ312" t="str">
        <f>+IFERROR(VLOOKUP(IQ13,IN_Zugliste!$A$4:$F$2002,7,FALSE),"")</f>
        <v/>
      </c>
      <c r="IR312" t="str">
        <f>+IFERROR(VLOOKUP(IR13,IN_Zugliste!$A$4:$F$2002,7,FALSE),"")</f>
        <v/>
      </c>
      <c r="IS312" t="str">
        <f>+IFERROR(VLOOKUP(IS13,IN_Zugliste!$A$4:$F$2002,7,FALSE),"")</f>
        <v/>
      </c>
      <c r="IT312" t="str">
        <f>+IFERROR(VLOOKUP(IT13,IN_Zugliste!$A$4:$F$2002,7,FALSE),"")</f>
        <v/>
      </c>
      <c r="IU312" t="str">
        <f>+IFERROR(VLOOKUP(IU13,IN_Zugliste!$A$4:$F$2002,7,FALSE),"")</f>
        <v/>
      </c>
      <c r="IV312" t="str">
        <f>+IFERROR(VLOOKUP(IV13,IN_Zugliste!$A$4:$F$2002,7,FALSE),"")</f>
        <v/>
      </c>
      <c r="IW312" t="str">
        <f>+IFERROR(VLOOKUP(IW13,IN_Zugliste!$A$4:$F$2002,7,FALSE),"")</f>
        <v/>
      </c>
      <c r="IX312" t="str">
        <f>+IFERROR(VLOOKUP(IX13,IN_Zugliste!$A$4:$F$2002,7,FALSE),"")</f>
        <v/>
      </c>
      <c r="IY312" t="str">
        <f>+IFERROR(VLOOKUP(IY13,IN_Zugliste!$A$4:$F$2002,7,FALSE),"")</f>
        <v/>
      </c>
      <c r="IZ312" t="str">
        <f>+IFERROR(VLOOKUP(IZ13,IN_Zugliste!$A$4:$F$2002,7,FALSE),"")</f>
        <v/>
      </c>
      <c r="JA312" t="str">
        <f>+IFERROR(VLOOKUP(JA13,IN_Zugliste!$A$4:$F$2002,7,FALSE),"")</f>
        <v/>
      </c>
      <c r="JB312" t="str">
        <f>+IFERROR(VLOOKUP(JB13,IN_Zugliste!$A$4:$F$2002,7,FALSE),"")</f>
        <v/>
      </c>
      <c r="JC312" t="str">
        <f>+IFERROR(VLOOKUP(JC13,IN_Zugliste!$A$4:$F$2002,7,FALSE),"")</f>
        <v/>
      </c>
      <c r="JD312" t="str">
        <f>+IFERROR(VLOOKUP(JD13,IN_Zugliste!$A$4:$F$2002,7,FALSE),"")</f>
        <v/>
      </c>
      <c r="JE312" t="str">
        <f>+IFERROR(VLOOKUP(JE13,IN_Zugliste!$A$4:$F$2002,7,FALSE),"")</f>
        <v/>
      </c>
      <c r="JF312" t="str">
        <f>+IFERROR(VLOOKUP(JF13,IN_Zugliste!$A$4:$F$2002,7,FALSE),"")</f>
        <v/>
      </c>
      <c r="JG312" t="str">
        <f>+IFERROR(VLOOKUP(JG13,IN_Zugliste!$A$4:$F$2002,7,FALSE),"")</f>
        <v/>
      </c>
      <c r="JH312" t="str">
        <f>+IFERROR(VLOOKUP(JH13,IN_Zugliste!$A$4:$F$2002,7,FALSE),"")</f>
        <v/>
      </c>
      <c r="JI312" t="str">
        <f>+IFERROR(VLOOKUP(JI13,IN_Zugliste!$A$4:$F$2002,7,FALSE),"")</f>
        <v/>
      </c>
      <c r="JJ312" t="str">
        <f>+IFERROR(VLOOKUP(JJ13,IN_Zugliste!$A$4:$F$2002,7,FALSE),"")</f>
        <v/>
      </c>
    </row>
    <row r="313" spans="1:270" x14ac:dyDescent="0.2">
      <c r="A313" t="str">
        <f>+IFERROR(VLOOKUP(A14,IN_Zugliste!$A$4:$F$2002,7,FALSE),"")</f>
        <v/>
      </c>
      <c r="B313" t="str">
        <f>+IFERROR(VLOOKUP(B14,IN_Zugliste!$A$4:$F$2002,7,FALSE),"")</f>
        <v/>
      </c>
      <c r="C313" t="str">
        <f>+IFERROR(VLOOKUP(C14,IN_Zugliste!$A$4:$F$2002,7,FALSE),"")</f>
        <v/>
      </c>
      <c r="D313" t="str">
        <f>+IFERROR(VLOOKUP(D14,IN_Zugliste!$A$4:$F$2002,7,FALSE),"")</f>
        <v/>
      </c>
      <c r="E313" t="str">
        <f>+IFERROR(VLOOKUP(E14,IN_Zugliste!$A$4:$F$2002,7,FALSE),"")</f>
        <v/>
      </c>
      <c r="F313" t="str">
        <f>+IFERROR(VLOOKUP(F14,IN_Zugliste!$A$4:$F$2002,7,FALSE),"")</f>
        <v/>
      </c>
      <c r="G313" t="str">
        <f>+IFERROR(VLOOKUP(G14,IN_Zugliste!$A$4:$F$2002,7,FALSE),"")</f>
        <v/>
      </c>
      <c r="H313" t="str">
        <f>+IFERROR(VLOOKUP(H14,IN_Zugliste!$A$4:$F$2002,7,FALSE),"")</f>
        <v/>
      </c>
      <c r="I313" t="str">
        <f>+IFERROR(VLOOKUP(I14,IN_Zugliste!$A$4:$F$2002,7,FALSE),"")</f>
        <v/>
      </c>
      <c r="J313" t="str">
        <f>+IFERROR(VLOOKUP(J14,IN_Zugliste!$A$4:$F$2002,7,FALSE),"")</f>
        <v/>
      </c>
      <c r="K313" t="str">
        <f>+IFERROR(VLOOKUP(K14,IN_Zugliste!$A$4:$F$2002,7,FALSE),"")</f>
        <v/>
      </c>
      <c r="L313" t="str">
        <f>+IFERROR(VLOOKUP(L14,IN_Zugliste!$A$4:$F$2002,7,FALSE),"")</f>
        <v/>
      </c>
      <c r="M313" t="str">
        <f>+IFERROR(VLOOKUP(M14,IN_Zugliste!$A$4:$F$2002,7,FALSE),"")</f>
        <v/>
      </c>
      <c r="N313" t="str">
        <f>+IFERROR(VLOOKUP(N14,IN_Zugliste!$A$4:$F$2002,7,FALSE),"")</f>
        <v/>
      </c>
      <c r="O313" t="str">
        <f>+IFERROR(VLOOKUP(O14,IN_Zugliste!$A$4:$F$2002,7,FALSE),"")</f>
        <v/>
      </c>
      <c r="P313" t="str">
        <f>+IFERROR(VLOOKUP(P14,IN_Zugliste!$A$4:$F$2002,7,FALSE),"")</f>
        <v/>
      </c>
      <c r="Q313" t="str">
        <f>+IFERROR(VLOOKUP(Q14,IN_Zugliste!$A$4:$F$2002,7,FALSE),"")</f>
        <v/>
      </c>
      <c r="R313" t="str">
        <f>+IFERROR(VLOOKUP(R14,IN_Zugliste!$A$4:$F$2002,7,FALSE),"")</f>
        <v/>
      </c>
      <c r="S313" t="str">
        <f>+IFERROR(VLOOKUP(S14,IN_Zugliste!$A$4:$F$2002,7,FALSE),"")</f>
        <v/>
      </c>
      <c r="T313" t="str">
        <f>+IFERROR(VLOOKUP(T14,IN_Zugliste!$A$4:$F$2002,7,FALSE),"")</f>
        <v/>
      </c>
      <c r="U313" t="str">
        <f>+IFERROR(VLOOKUP(U14,IN_Zugliste!$A$4:$F$2002,7,FALSE),"")</f>
        <v/>
      </c>
      <c r="V313" t="str">
        <f>+IFERROR(VLOOKUP(V14,IN_Zugliste!$A$4:$F$2002,7,FALSE),"")</f>
        <v/>
      </c>
      <c r="W313" t="str">
        <f>+IFERROR(VLOOKUP(W14,IN_Zugliste!$A$4:$F$2002,7,FALSE),"")</f>
        <v/>
      </c>
      <c r="X313" t="str">
        <f>+IFERROR(VLOOKUP(X14,IN_Zugliste!$A$4:$F$2002,7,FALSE),"")</f>
        <v/>
      </c>
      <c r="Y313" t="str">
        <f>+IFERROR(VLOOKUP(Y14,IN_Zugliste!$A$4:$F$2002,7,FALSE),"")</f>
        <v/>
      </c>
      <c r="Z313" t="str">
        <f>+IFERROR(VLOOKUP(Z14,IN_Zugliste!$A$4:$F$2002,7,FALSE),"")</f>
        <v/>
      </c>
      <c r="AA313" t="str">
        <f>+IFERROR(VLOOKUP(AA14,IN_Zugliste!$A$4:$F$2002,7,FALSE),"")</f>
        <v/>
      </c>
      <c r="AB313" t="str">
        <f>+IFERROR(VLOOKUP(AB14,IN_Zugliste!$A$4:$F$2002,7,FALSE),"")</f>
        <v/>
      </c>
      <c r="AC313" t="str">
        <f>+IFERROR(VLOOKUP(AC14,IN_Zugliste!$A$4:$F$2002,7,FALSE),"")</f>
        <v/>
      </c>
      <c r="AD313" t="str">
        <f>+IFERROR(VLOOKUP(AD14,IN_Zugliste!$A$4:$F$2002,7,FALSE),"")</f>
        <v/>
      </c>
      <c r="AE313" t="str">
        <f>+IFERROR(VLOOKUP(AE14,IN_Zugliste!$A$4:$F$2002,7,FALSE),"")</f>
        <v/>
      </c>
      <c r="AF313" t="str">
        <f>+IFERROR(VLOOKUP(AF14,IN_Zugliste!$A$4:$F$2002,7,FALSE),"")</f>
        <v/>
      </c>
      <c r="AG313" t="str">
        <f>+IFERROR(VLOOKUP(AG14,IN_Zugliste!$A$4:$F$2002,7,FALSE),"")</f>
        <v/>
      </c>
      <c r="AH313" t="str">
        <f>+IFERROR(VLOOKUP(AH14,IN_Zugliste!$A$4:$F$2002,7,FALSE),"")</f>
        <v/>
      </c>
      <c r="AI313" t="str">
        <f>+IFERROR(VLOOKUP(AI14,IN_Zugliste!$A$4:$F$2002,7,FALSE),"")</f>
        <v/>
      </c>
      <c r="AJ313" t="str">
        <f>+IFERROR(VLOOKUP(AJ14,IN_Zugliste!$A$4:$F$2002,7,FALSE),"")</f>
        <v/>
      </c>
      <c r="AK313" t="str">
        <f>+IFERROR(VLOOKUP(AK14,IN_Zugliste!$A$4:$F$2002,7,FALSE),"")</f>
        <v/>
      </c>
      <c r="AL313" t="str">
        <f>+IFERROR(VLOOKUP(AL14,IN_Zugliste!$A$4:$F$2002,7,FALSE),"")</f>
        <v/>
      </c>
      <c r="AM313" t="str">
        <f>+IFERROR(VLOOKUP(AM14,IN_Zugliste!$A$4:$F$2002,7,FALSE),"")</f>
        <v/>
      </c>
      <c r="AN313" t="str">
        <f>+IFERROR(VLOOKUP(AN14,IN_Zugliste!$A$4:$F$2002,7,FALSE),"")</f>
        <v/>
      </c>
      <c r="AO313" t="str">
        <f>+IFERROR(VLOOKUP(AO14,IN_Zugliste!$A$4:$F$2002,7,FALSE),"")</f>
        <v/>
      </c>
      <c r="AP313" t="str">
        <f>+IFERROR(VLOOKUP(AP14,IN_Zugliste!$A$4:$F$2002,7,FALSE),"")</f>
        <v/>
      </c>
      <c r="AQ313" t="str">
        <f>+IFERROR(VLOOKUP(AQ14,IN_Zugliste!$A$4:$F$2002,7,FALSE),"")</f>
        <v/>
      </c>
      <c r="AR313" t="str">
        <f>+IFERROR(VLOOKUP(AR14,IN_Zugliste!$A$4:$F$2002,7,FALSE),"")</f>
        <v/>
      </c>
      <c r="AS313" t="str">
        <f>+IFERROR(VLOOKUP(AS14,IN_Zugliste!$A$4:$F$2002,7,FALSE),"")</f>
        <v/>
      </c>
      <c r="AT313" t="str">
        <f>+IFERROR(VLOOKUP(AT14,IN_Zugliste!$A$4:$F$2002,7,FALSE),"")</f>
        <v/>
      </c>
      <c r="AU313" t="str">
        <f>+IFERROR(VLOOKUP(AU14,IN_Zugliste!$A$4:$F$2002,7,FALSE),"")</f>
        <v/>
      </c>
      <c r="AV313" t="str">
        <f>+IFERROR(VLOOKUP(AV14,IN_Zugliste!$A$4:$F$2002,7,FALSE),"")</f>
        <v/>
      </c>
      <c r="AW313" t="str">
        <f>+IFERROR(VLOOKUP(AW14,IN_Zugliste!$A$4:$F$2002,7,FALSE),"")</f>
        <v/>
      </c>
      <c r="AX313" t="str">
        <f>+IFERROR(VLOOKUP(AX14,IN_Zugliste!$A$4:$F$2002,7,FALSE),"")</f>
        <v/>
      </c>
      <c r="AY313" t="str">
        <f>+IFERROR(VLOOKUP(AY14,IN_Zugliste!$A$4:$F$2002,7,FALSE),"")</f>
        <v/>
      </c>
      <c r="AZ313" t="str">
        <f>+IFERROR(VLOOKUP(AZ14,IN_Zugliste!$A$4:$F$2002,7,FALSE),"")</f>
        <v/>
      </c>
      <c r="BA313" t="str">
        <f>+IFERROR(VLOOKUP(BA14,IN_Zugliste!$A$4:$F$2002,7,FALSE),"")</f>
        <v/>
      </c>
      <c r="BB313" t="str">
        <f>+IFERROR(VLOOKUP(BB14,IN_Zugliste!$A$4:$F$2002,7,FALSE),"")</f>
        <v/>
      </c>
      <c r="BC313" t="str">
        <f>+IFERROR(VLOOKUP(BC14,IN_Zugliste!$A$4:$F$2002,7,FALSE),"")</f>
        <v/>
      </c>
      <c r="BD313" t="str">
        <f>+IFERROR(VLOOKUP(BD14,IN_Zugliste!$A$4:$F$2002,7,FALSE),"")</f>
        <v/>
      </c>
      <c r="BE313" t="str">
        <f>+IFERROR(VLOOKUP(BE14,IN_Zugliste!$A$4:$F$2002,7,FALSE),"")</f>
        <v/>
      </c>
      <c r="BF313" t="str">
        <f>+IFERROR(VLOOKUP(BF14,IN_Zugliste!$A$4:$F$2002,7,FALSE),"")</f>
        <v/>
      </c>
      <c r="BG313" t="str">
        <f>+IFERROR(VLOOKUP(BG14,IN_Zugliste!$A$4:$F$2002,7,FALSE),"")</f>
        <v/>
      </c>
      <c r="BH313" t="str">
        <f>+IFERROR(VLOOKUP(BH14,IN_Zugliste!$A$4:$F$2002,7,FALSE),"")</f>
        <v/>
      </c>
      <c r="BI313" t="str">
        <f>+IFERROR(VLOOKUP(BI14,IN_Zugliste!$A$4:$F$2002,7,FALSE),"")</f>
        <v/>
      </c>
      <c r="BJ313" t="str">
        <f>+IFERROR(VLOOKUP(BJ14,IN_Zugliste!$A$4:$F$2002,7,FALSE),"")</f>
        <v/>
      </c>
      <c r="BK313" t="str">
        <f>+IFERROR(VLOOKUP(BK14,IN_Zugliste!$A$4:$F$2002,7,FALSE),"")</f>
        <v/>
      </c>
      <c r="BL313" t="str">
        <f>+IFERROR(VLOOKUP(BL14,IN_Zugliste!$A$4:$F$2002,7,FALSE),"")</f>
        <v/>
      </c>
      <c r="BM313" t="str">
        <f>+IFERROR(VLOOKUP(BM14,IN_Zugliste!$A$4:$F$2002,7,FALSE),"")</f>
        <v/>
      </c>
      <c r="BN313" t="str">
        <f>+IFERROR(VLOOKUP(BN14,IN_Zugliste!$A$4:$F$2002,7,FALSE),"")</f>
        <v/>
      </c>
      <c r="BO313" t="str">
        <f>+IFERROR(VLOOKUP(BO14,IN_Zugliste!$A$4:$F$2002,7,FALSE),"")</f>
        <v/>
      </c>
      <c r="BP313" t="str">
        <f>+IFERROR(VLOOKUP(BP14,IN_Zugliste!$A$4:$F$2002,7,FALSE),"")</f>
        <v/>
      </c>
      <c r="BQ313" t="str">
        <f>+IFERROR(VLOOKUP(BQ14,IN_Zugliste!$A$4:$F$2002,7,FALSE),"")</f>
        <v/>
      </c>
      <c r="BR313" t="str">
        <f>+IFERROR(VLOOKUP(BR14,IN_Zugliste!$A$4:$F$2002,7,FALSE),"")</f>
        <v/>
      </c>
      <c r="BS313" t="str">
        <f>+IFERROR(VLOOKUP(BS14,IN_Zugliste!$A$4:$F$2002,7,FALSE),"")</f>
        <v/>
      </c>
      <c r="BT313" t="str">
        <f>+IFERROR(VLOOKUP(BT14,IN_Zugliste!$A$4:$F$2002,7,FALSE),"")</f>
        <v/>
      </c>
      <c r="BU313" t="str">
        <f>+IFERROR(VLOOKUP(BU14,IN_Zugliste!$A$4:$F$2002,7,FALSE),"")</f>
        <v/>
      </c>
      <c r="BV313" t="str">
        <f>+IFERROR(VLOOKUP(BV14,IN_Zugliste!$A$4:$F$2002,7,FALSE),"")</f>
        <v/>
      </c>
      <c r="BW313" t="str">
        <f>+IFERROR(VLOOKUP(BW14,IN_Zugliste!$A$4:$F$2002,7,FALSE),"")</f>
        <v/>
      </c>
      <c r="BX313" t="str">
        <f>+IFERROR(VLOOKUP(BX14,IN_Zugliste!$A$4:$F$2002,7,FALSE),"")</f>
        <v/>
      </c>
      <c r="BY313" t="str">
        <f>+IFERROR(VLOOKUP(BY14,IN_Zugliste!$A$4:$F$2002,7,FALSE),"")</f>
        <v/>
      </c>
      <c r="BZ313" t="str">
        <f>+IFERROR(VLOOKUP(BZ14,IN_Zugliste!$A$4:$F$2002,7,FALSE),"")</f>
        <v/>
      </c>
      <c r="CA313" t="str">
        <f>+IFERROR(VLOOKUP(CA14,IN_Zugliste!$A$4:$F$2002,7,FALSE),"")</f>
        <v/>
      </c>
      <c r="CB313" t="str">
        <f>+IFERROR(VLOOKUP(CB14,IN_Zugliste!$A$4:$F$2002,7,FALSE),"")</f>
        <v/>
      </c>
      <c r="CC313" t="str">
        <f>+IFERROR(VLOOKUP(CC14,IN_Zugliste!$A$4:$F$2002,7,FALSE),"")</f>
        <v/>
      </c>
      <c r="CD313" t="str">
        <f>+IFERROR(VLOOKUP(CD14,IN_Zugliste!$A$4:$F$2002,7,FALSE),"")</f>
        <v/>
      </c>
      <c r="CE313" t="str">
        <f>+IFERROR(VLOOKUP(CE14,IN_Zugliste!$A$4:$F$2002,7,FALSE),"")</f>
        <v/>
      </c>
      <c r="CF313" t="str">
        <f>+IFERROR(VLOOKUP(CF14,IN_Zugliste!$A$4:$F$2002,7,FALSE),"")</f>
        <v/>
      </c>
      <c r="CG313" t="str">
        <f>+IFERROR(VLOOKUP(CG14,IN_Zugliste!$A$4:$F$2002,7,FALSE),"")</f>
        <v/>
      </c>
      <c r="CH313" t="str">
        <f>+IFERROR(VLOOKUP(CH14,IN_Zugliste!$A$4:$F$2002,7,FALSE),"")</f>
        <v/>
      </c>
      <c r="CI313" t="str">
        <f>+IFERROR(VLOOKUP(CI14,IN_Zugliste!$A$4:$F$2002,7,FALSE),"")</f>
        <v/>
      </c>
      <c r="CJ313" t="str">
        <f>+IFERROR(VLOOKUP(CJ14,IN_Zugliste!$A$4:$F$2002,7,FALSE),"")</f>
        <v/>
      </c>
      <c r="CK313" t="str">
        <f>+IFERROR(VLOOKUP(CK14,IN_Zugliste!$A$4:$F$2002,7,FALSE),"")</f>
        <v/>
      </c>
      <c r="CL313" t="str">
        <f>+IFERROR(VLOOKUP(CL14,IN_Zugliste!$A$4:$F$2002,7,FALSE),"")</f>
        <v/>
      </c>
      <c r="CM313" t="str">
        <f>+IFERROR(VLOOKUP(CM14,IN_Zugliste!$A$4:$F$2002,7,FALSE),"")</f>
        <v/>
      </c>
      <c r="CN313" t="str">
        <f>+IFERROR(VLOOKUP(CN14,IN_Zugliste!$A$4:$F$2002,7,FALSE),"")</f>
        <v/>
      </c>
      <c r="CO313" t="str">
        <f>+IFERROR(VLOOKUP(CO14,IN_Zugliste!$A$4:$F$2002,7,FALSE),"")</f>
        <v/>
      </c>
      <c r="CP313" t="str">
        <f>+IFERROR(VLOOKUP(CP14,IN_Zugliste!$A$4:$F$2002,7,FALSE),"")</f>
        <v/>
      </c>
      <c r="CQ313" t="str">
        <f>+IFERROR(VLOOKUP(CQ14,IN_Zugliste!$A$4:$F$2002,7,FALSE),"")</f>
        <v/>
      </c>
      <c r="CR313" t="str">
        <f>+IFERROR(VLOOKUP(CR14,IN_Zugliste!$A$4:$F$2002,7,FALSE),"")</f>
        <v/>
      </c>
      <c r="CS313" t="str">
        <f>+IFERROR(VLOOKUP(CS14,IN_Zugliste!$A$4:$F$2002,7,FALSE),"")</f>
        <v/>
      </c>
      <c r="CT313" t="str">
        <f>+IFERROR(VLOOKUP(CT14,IN_Zugliste!$A$4:$F$2002,7,FALSE),"")</f>
        <v/>
      </c>
      <c r="CU313" t="str">
        <f>+IFERROR(VLOOKUP(CU14,IN_Zugliste!$A$4:$F$2002,7,FALSE),"")</f>
        <v/>
      </c>
      <c r="CV313" t="str">
        <f>+IFERROR(VLOOKUP(CV14,IN_Zugliste!$A$4:$F$2002,7,FALSE),"")</f>
        <v/>
      </c>
      <c r="CW313" t="str">
        <f>+IFERROR(VLOOKUP(CW14,IN_Zugliste!$A$4:$F$2002,7,FALSE),"")</f>
        <v/>
      </c>
      <c r="CX313" t="str">
        <f>+IFERROR(VLOOKUP(CX14,IN_Zugliste!$A$4:$F$2002,7,FALSE),"")</f>
        <v/>
      </c>
      <c r="CY313" t="str">
        <f>+IFERROR(VLOOKUP(CY14,IN_Zugliste!$A$4:$F$2002,7,FALSE),"")</f>
        <v/>
      </c>
      <c r="CZ313" t="str">
        <f>+IFERROR(VLOOKUP(CZ14,IN_Zugliste!$A$4:$F$2002,7,FALSE),"")</f>
        <v/>
      </c>
      <c r="DA313" t="str">
        <f>+IFERROR(VLOOKUP(DA14,IN_Zugliste!$A$4:$F$2002,7,FALSE),"")</f>
        <v/>
      </c>
      <c r="DB313" t="str">
        <f>+IFERROR(VLOOKUP(DB14,IN_Zugliste!$A$4:$F$2002,7,FALSE),"")</f>
        <v/>
      </c>
      <c r="DC313" t="str">
        <f>+IFERROR(VLOOKUP(DC14,IN_Zugliste!$A$4:$F$2002,7,FALSE),"")</f>
        <v/>
      </c>
      <c r="DD313" t="str">
        <f>+IFERROR(VLOOKUP(DD14,IN_Zugliste!$A$4:$F$2002,7,FALSE),"")</f>
        <v/>
      </c>
      <c r="DE313" t="str">
        <f>+IFERROR(VLOOKUP(DE14,IN_Zugliste!$A$4:$F$2002,7,FALSE),"")</f>
        <v/>
      </c>
      <c r="DF313" t="str">
        <f>+IFERROR(VLOOKUP(DF14,IN_Zugliste!$A$4:$F$2002,7,FALSE),"")</f>
        <v/>
      </c>
      <c r="DG313" t="str">
        <f>+IFERROR(VLOOKUP(DG14,IN_Zugliste!$A$4:$F$2002,7,FALSE),"")</f>
        <v/>
      </c>
      <c r="DH313" t="str">
        <f>+IFERROR(VLOOKUP(DH14,IN_Zugliste!$A$4:$F$2002,7,FALSE),"")</f>
        <v/>
      </c>
      <c r="DI313" t="str">
        <f>+IFERROR(VLOOKUP(DI14,IN_Zugliste!$A$4:$F$2002,7,FALSE),"")</f>
        <v/>
      </c>
      <c r="DJ313" t="str">
        <f>+IFERROR(VLOOKUP(DJ14,IN_Zugliste!$A$4:$F$2002,7,FALSE),"")</f>
        <v/>
      </c>
      <c r="DK313" t="str">
        <f>+IFERROR(VLOOKUP(DK14,IN_Zugliste!$A$4:$F$2002,7,FALSE),"")</f>
        <v/>
      </c>
      <c r="DL313" t="str">
        <f>+IFERROR(VLOOKUP(DL14,IN_Zugliste!$A$4:$F$2002,7,FALSE),"")</f>
        <v/>
      </c>
      <c r="DM313" t="str">
        <f>+IFERROR(VLOOKUP(DM14,IN_Zugliste!$A$4:$F$2002,7,FALSE),"")</f>
        <v/>
      </c>
      <c r="DN313" t="str">
        <f>+IFERROR(VLOOKUP(DN14,IN_Zugliste!$A$4:$F$2002,7,FALSE),"")</f>
        <v/>
      </c>
      <c r="DO313" t="str">
        <f>+IFERROR(VLOOKUP(DO14,IN_Zugliste!$A$4:$F$2002,7,FALSE),"")</f>
        <v/>
      </c>
      <c r="DP313" t="str">
        <f>+IFERROR(VLOOKUP(DP14,IN_Zugliste!$A$4:$F$2002,7,FALSE),"")</f>
        <v/>
      </c>
      <c r="DQ313" t="str">
        <f>+IFERROR(VLOOKUP(DQ14,IN_Zugliste!$A$4:$F$2002,7,FALSE),"")</f>
        <v/>
      </c>
      <c r="DR313" t="str">
        <f>+IFERROR(VLOOKUP(DR14,IN_Zugliste!$A$4:$F$2002,7,FALSE),"")</f>
        <v/>
      </c>
      <c r="DS313" t="str">
        <f>+IFERROR(VLOOKUP(DS14,IN_Zugliste!$A$4:$F$2002,7,FALSE),"")</f>
        <v/>
      </c>
      <c r="DT313" t="str">
        <f>+IFERROR(VLOOKUP(DT14,IN_Zugliste!$A$4:$F$2002,7,FALSE),"")</f>
        <v/>
      </c>
      <c r="DU313" t="str">
        <f>+IFERROR(VLOOKUP(DU14,IN_Zugliste!$A$4:$F$2002,7,FALSE),"")</f>
        <v/>
      </c>
      <c r="DV313" t="str">
        <f>+IFERROR(VLOOKUP(DV14,IN_Zugliste!$A$4:$F$2002,7,FALSE),"")</f>
        <v/>
      </c>
      <c r="DW313" t="str">
        <f>+IFERROR(VLOOKUP(DW14,IN_Zugliste!$A$4:$F$2002,7,FALSE),"")</f>
        <v/>
      </c>
      <c r="DX313" t="str">
        <f>+IFERROR(VLOOKUP(DX14,IN_Zugliste!$A$4:$F$2002,7,FALSE),"")</f>
        <v/>
      </c>
      <c r="DY313" t="str">
        <f>+IFERROR(VLOOKUP(DY14,IN_Zugliste!$A$4:$F$2002,7,FALSE),"")</f>
        <v/>
      </c>
      <c r="DZ313" t="str">
        <f>+IFERROR(VLOOKUP(DZ14,IN_Zugliste!$A$4:$F$2002,7,FALSE),"")</f>
        <v/>
      </c>
      <c r="EA313" t="str">
        <f>+IFERROR(VLOOKUP(EA14,IN_Zugliste!$A$4:$F$2002,7,FALSE),"")</f>
        <v/>
      </c>
      <c r="EB313" t="str">
        <f>+IFERROR(VLOOKUP(EB14,IN_Zugliste!$A$4:$F$2002,7,FALSE),"")</f>
        <v/>
      </c>
      <c r="EC313" t="str">
        <f>+IFERROR(VLOOKUP(EC14,IN_Zugliste!$A$4:$F$2002,7,FALSE),"")</f>
        <v/>
      </c>
      <c r="ED313" t="str">
        <f>+IFERROR(VLOOKUP(ED14,IN_Zugliste!$A$4:$F$2002,7,FALSE),"")</f>
        <v/>
      </c>
      <c r="EE313" t="str">
        <f>+IFERROR(VLOOKUP(EE14,IN_Zugliste!$A$4:$F$2002,7,FALSE),"")</f>
        <v/>
      </c>
      <c r="EF313" t="str">
        <f>+IFERROR(VLOOKUP(EF14,IN_Zugliste!$A$4:$F$2002,7,FALSE),"")</f>
        <v/>
      </c>
      <c r="EG313" t="str">
        <f>+IFERROR(VLOOKUP(EG14,IN_Zugliste!$A$4:$F$2002,7,FALSE),"")</f>
        <v/>
      </c>
      <c r="EH313" t="str">
        <f>+IFERROR(VLOOKUP(EH14,IN_Zugliste!$A$4:$F$2002,7,FALSE),"")</f>
        <v/>
      </c>
      <c r="EI313" t="str">
        <f>+IFERROR(VLOOKUP(EI14,IN_Zugliste!$A$4:$F$2002,7,FALSE),"")</f>
        <v/>
      </c>
      <c r="EJ313" t="str">
        <f>+IFERROR(VLOOKUP(EJ14,IN_Zugliste!$A$4:$F$2002,7,FALSE),"")</f>
        <v/>
      </c>
      <c r="EK313" t="str">
        <f>+IFERROR(VLOOKUP(EK14,IN_Zugliste!$A$4:$F$2002,7,FALSE),"")</f>
        <v/>
      </c>
      <c r="EL313" t="str">
        <f>+IFERROR(VLOOKUP(EL14,IN_Zugliste!$A$4:$F$2002,7,FALSE),"")</f>
        <v/>
      </c>
      <c r="EM313" t="str">
        <f>+IFERROR(VLOOKUP(EM14,IN_Zugliste!$A$4:$F$2002,7,FALSE),"")</f>
        <v/>
      </c>
      <c r="EN313" t="str">
        <f>+IFERROR(VLOOKUP(EN14,IN_Zugliste!$A$4:$F$2002,7,FALSE),"")</f>
        <v/>
      </c>
      <c r="EO313" t="str">
        <f>+IFERROR(VLOOKUP(EO14,IN_Zugliste!$A$4:$F$2002,7,FALSE),"")</f>
        <v/>
      </c>
      <c r="EP313" t="str">
        <f>+IFERROR(VLOOKUP(EP14,IN_Zugliste!$A$4:$F$2002,7,FALSE),"")</f>
        <v/>
      </c>
      <c r="EQ313" t="str">
        <f>+IFERROR(VLOOKUP(EQ14,IN_Zugliste!$A$4:$F$2002,7,FALSE),"")</f>
        <v/>
      </c>
      <c r="ER313" t="str">
        <f>+IFERROR(VLOOKUP(ER14,IN_Zugliste!$A$4:$F$2002,7,FALSE),"")</f>
        <v/>
      </c>
      <c r="ES313" t="str">
        <f>+IFERROR(VLOOKUP(ES14,IN_Zugliste!$A$4:$F$2002,7,FALSE),"")</f>
        <v/>
      </c>
      <c r="ET313" t="str">
        <f>+IFERROR(VLOOKUP(ET14,IN_Zugliste!$A$4:$F$2002,7,FALSE),"")</f>
        <v/>
      </c>
      <c r="EU313" t="str">
        <f>+IFERROR(VLOOKUP(EU14,IN_Zugliste!$A$4:$F$2002,7,FALSE),"")</f>
        <v/>
      </c>
      <c r="EV313" t="str">
        <f>+IFERROR(VLOOKUP(EV14,IN_Zugliste!$A$4:$F$2002,7,FALSE),"")</f>
        <v/>
      </c>
      <c r="EW313" t="str">
        <f>+IFERROR(VLOOKUP(EW14,IN_Zugliste!$A$4:$F$2002,7,FALSE),"")</f>
        <v/>
      </c>
      <c r="EX313" t="str">
        <f>+IFERROR(VLOOKUP(EX14,IN_Zugliste!$A$4:$F$2002,7,FALSE),"")</f>
        <v/>
      </c>
      <c r="EY313" t="str">
        <f>+IFERROR(VLOOKUP(EY14,IN_Zugliste!$A$4:$F$2002,7,FALSE),"")</f>
        <v/>
      </c>
      <c r="EZ313" t="str">
        <f>+IFERROR(VLOOKUP(EZ14,IN_Zugliste!$A$4:$F$2002,7,FALSE),"")</f>
        <v/>
      </c>
      <c r="FA313" t="str">
        <f>+IFERROR(VLOOKUP(FA14,IN_Zugliste!$A$4:$F$2002,7,FALSE),"")</f>
        <v/>
      </c>
      <c r="FB313" t="str">
        <f>+IFERROR(VLOOKUP(FB14,IN_Zugliste!$A$4:$F$2002,7,FALSE),"")</f>
        <v/>
      </c>
      <c r="FC313" t="str">
        <f>+IFERROR(VLOOKUP(FC14,IN_Zugliste!$A$4:$F$2002,7,FALSE),"")</f>
        <v/>
      </c>
      <c r="FD313" t="str">
        <f>+IFERROR(VLOOKUP(FD14,IN_Zugliste!$A$4:$F$2002,7,FALSE),"")</f>
        <v/>
      </c>
      <c r="FE313" t="str">
        <f>+IFERROR(VLOOKUP(FE14,IN_Zugliste!$A$4:$F$2002,7,FALSE),"")</f>
        <v/>
      </c>
      <c r="FF313" t="str">
        <f>+IFERROR(VLOOKUP(FF14,IN_Zugliste!$A$4:$F$2002,7,FALSE),"")</f>
        <v/>
      </c>
      <c r="FG313" t="str">
        <f>+IFERROR(VLOOKUP(FG14,IN_Zugliste!$A$4:$F$2002,7,FALSE),"")</f>
        <v/>
      </c>
      <c r="FH313" t="str">
        <f>+IFERROR(VLOOKUP(FH14,IN_Zugliste!$A$4:$F$2002,7,FALSE),"")</f>
        <v/>
      </c>
      <c r="FI313" t="str">
        <f>+IFERROR(VLOOKUP(FI14,IN_Zugliste!$A$4:$F$2002,7,FALSE),"")</f>
        <v/>
      </c>
      <c r="FJ313" t="str">
        <f>+IFERROR(VLOOKUP(FJ14,IN_Zugliste!$A$4:$F$2002,7,FALSE),"")</f>
        <v/>
      </c>
      <c r="FK313" t="str">
        <f>+IFERROR(VLOOKUP(FK14,IN_Zugliste!$A$4:$F$2002,7,FALSE),"")</f>
        <v/>
      </c>
      <c r="FL313" t="str">
        <f>+IFERROR(VLOOKUP(FL14,IN_Zugliste!$A$4:$F$2002,7,FALSE),"")</f>
        <v/>
      </c>
      <c r="FM313" t="str">
        <f>+IFERROR(VLOOKUP(FM14,IN_Zugliste!$A$4:$F$2002,7,FALSE),"")</f>
        <v/>
      </c>
      <c r="FN313" t="str">
        <f>+IFERROR(VLOOKUP(FN14,IN_Zugliste!$A$4:$F$2002,7,FALSE),"")</f>
        <v/>
      </c>
      <c r="FO313" t="str">
        <f>+IFERROR(VLOOKUP(FO14,IN_Zugliste!$A$4:$F$2002,7,FALSE),"")</f>
        <v/>
      </c>
      <c r="FP313" t="str">
        <f>+IFERROR(VLOOKUP(FP14,IN_Zugliste!$A$4:$F$2002,7,FALSE),"")</f>
        <v/>
      </c>
      <c r="FQ313" t="str">
        <f>+IFERROR(VLOOKUP(FQ14,IN_Zugliste!$A$4:$F$2002,7,FALSE),"")</f>
        <v/>
      </c>
      <c r="FR313" t="str">
        <f>+IFERROR(VLOOKUP(FR14,IN_Zugliste!$A$4:$F$2002,7,FALSE),"")</f>
        <v/>
      </c>
      <c r="FS313" t="str">
        <f>+IFERROR(VLOOKUP(FS14,IN_Zugliste!$A$4:$F$2002,7,FALSE),"")</f>
        <v/>
      </c>
      <c r="FT313" t="str">
        <f>+IFERROR(VLOOKUP(FT14,IN_Zugliste!$A$4:$F$2002,7,FALSE),"")</f>
        <v/>
      </c>
      <c r="FU313" t="str">
        <f>+IFERROR(VLOOKUP(FU14,IN_Zugliste!$A$4:$F$2002,7,FALSE),"")</f>
        <v/>
      </c>
      <c r="FV313" t="str">
        <f>+IFERROR(VLOOKUP(FV14,IN_Zugliste!$A$4:$F$2002,7,FALSE),"")</f>
        <v/>
      </c>
      <c r="FW313" t="str">
        <f>+IFERROR(VLOOKUP(FW14,IN_Zugliste!$A$4:$F$2002,7,FALSE),"")</f>
        <v/>
      </c>
      <c r="FX313" t="str">
        <f>+IFERROR(VLOOKUP(FX14,IN_Zugliste!$A$4:$F$2002,7,FALSE),"")</f>
        <v/>
      </c>
      <c r="FY313" t="str">
        <f>+IFERROR(VLOOKUP(FY14,IN_Zugliste!$A$4:$F$2002,7,FALSE),"")</f>
        <v/>
      </c>
      <c r="FZ313" t="str">
        <f>+IFERROR(VLOOKUP(FZ14,IN_Zugliste!$A$4:$F$2002,7,FALSE),"")</f>
        <v/>
      </c>
      <c r="GA313" t="str">
        <f>+IFERROR(VLOOKUP(GA14,IN_Zugliste!$A$4:$F$2002,7,FALSE),"")</f>
        <v/>
      </c>
      <c r="GB313" t="str">
        <f>+IFERROR(VLOOKUP(GB14,IN_Zugliste!$A$4:$F$2002,7,FALSE),"")</f>
        <v/>
      </c>
      <c r="GC313" t="str">
        <f>+IFERROR(VLOOKUP(GC14,IN_Zugliste!$A$4:$F$2002,7,FALSE),"")</f>
        <v/>
      </c>
      <c r="GD313" t="str">
        <f>+IFERROR(VLOOKUP(GD14,IN_Zugliste!$A$4:$F$2002,7,FALSE),"")</f>
        <v/>
      </c>
      <c r="GE313" t="str">
        <f>+IFERROR(VLOOKUP(GE14,IN_Zugliste!$A$4:$F$2002,7,FALSE),"")</f>
        <v/>
      </c>
      <c r="GF313" t="str">
        <f>+IFERROR(VLOOKUP(GF14,IN_Zugliste!$A$4:$F$2002,7,FALSE),"")</f>
        <v/>
      </c>
      <c r="GG313" t="str">
        <f>+IFERROR(VLOOKUP(GG14,IN_Zugliste!$A$4:$F$2002,7,FALSE),"")</f>
        <v/>
      </c>
      <c r="GH313" t="str">
        <f>+IFERROR(VLOOKUP(GH14,IN_Zugliste!$A$4:$F$2002,7,FALSE),"")</f>
        <v/>
      </c>
      <c r="GI313" t="str">
        <f>+IFERROR(VLOOKUP(GI14,IN_Zugliste!$A$4:$F$2002,7,FALSE),"")</f>
        <v/>
      </c>
      <c r="GJ313" t="str">
        <f>+IFERROR(VLOOKUP(GJ14,IN_Zugliste!$A$4:$F$2002,7,FALSE),"")</f>
        <v/>
      </c>
      <c r="GK313" t="str">
        <f>+IFERROR(VLOOKUP(GK14,IN_Zugliste!$A$4:$F$2002,7,FALSE),"")</f>
        <v/>
      </c>
      <c r="GL313" t="str">
        <f>+IFERROR(VLOOKUP(GL14,IN_Zugliste!$A$4:$F$2002,7,FALSE),"")</f>
        <v/>
      </c>
      <c r="GM313" t="str">
        <f>+IFERROR(VLOOKUP(GM14,IN_Zugliste!$A$4:$F$2002,7,FALSE),"")</f>
        <v/>
      </c>
      <c r="GN313" t="str">
        <f>+IFERROR(VLOOKUP(GN14,IN_Zugliste!$A$4:$F$2002,7,FALSE),"")</f>
        <v/>
      </c>
      <c r="GO313" t="str">
        <f>+IFERROR(VLOOKUP(GO14,IN_Zugliste!$A$4:$F$2002,7,FALSE),"")</f>
        <v/>
      </c>
      <c r="GP313" t="str">
        <f>+IFERROR(VLOOKUP(GP14,IN_Zugliste!$A$4:$F$2002,7,FALSE),"")</f>
        <v/>
      </c>
      <c r="GQ313" t="str">
        <f>+IFERROR(VLOOKUP(GQ14,IN_Zugliste!$A$4:$F$2002,7,FALSE),"")</f>
        <v/>
      </c>
      <c r="GR313" t="str">
        <f>+IFERROR(VLOOKUP(GR14,IN_Zugliste!$A$4:$F$2002,7,FALSE),"")</f>
        <v/>
      </c>
      <c r="GS313" t="str">
        <f>+IFERROR(VLOOKUP(GS14,IN_Zugliste!$A$4:$F$2002,7,FALSE),"")</f>
        <v/>
      </c>
      <c r="GT313" t="str">
        <f>+IFERROR(VLOOKUP(GT14,IN_Zugliste!$A$4:$F$2002,7,FALSE),"")</f>
        <v/>
      </c>
      <c r="GU313" t="str">
        <f>+IFERROR(VLOOKUP(GU14,IN_Zugliste!$A$4:$F$2002,7,FALSE),"")</f>
        <v/>
      </c>
      <c r="GV313" t="str">
        <f>+IFERROR(VLOOKUP(GV14,IN_Zugliste!$A$4:$F$2002,7,FALSE),"")</f>
        <v/>
      </c>
      <c r="GW313" t="str">
        <f>+IFERROR(VLOOKUP(GW14,IN_Zugliste!$A$4:$F$2002,7,FALSE),"")</f>
        <v/>
      </c>
      <c r="GX313" t="str">
        <f>+IFERROR(VLOOKUP(GX14,IN_Zugliste!$A$4:$F$2002,7,FALSE),"")</f>
        <v/>
      </c>
      <c r="GY313" t="str">
        <f>+IFERROR(VLOOKUP(GY14,IN_Zugliste!$A$4:$F$2002,7,FALSE),"")</f>
        <v/>
      </c>
      <c r="GZ313" t="str">
        <f>+IFERROR(VLOOKUP(GZ14,IN_Zugliste!$A$4:$F$2002,7,FALSE),"")</f>
        <v/>
      </c>
      <c r="HA313" t="str">
        <f>+IFERROR(VLOOKUP(HA14,IN_Zugliste!$A$4:$F$2002,7,FALSE),"")</f>
        <v/>
      </c>
      <c r="HB313" t="str">
        <f>+IFERROR(VLOOKUP(HB14,IN_Zugliste!$A$4:$F$2002,7,FALSE),"")</f>
        <v/>
      </c>
      <c r="HC313" t="str">
        <f>+IFERROR(VLOOKUP(HC14,IN_Zugliste!$A$4:$F$2002,7,FALSE),"")</f>
        <v/>
      </c>
      <c r="HD313" t="str">
        <f>+IFERROR(VLOOKUP(HD14,IN_Zugliste!$A$4:$F$2002,7,FALSE),"")</f>
        <v/>
      </c>
      <c r="HE313" t="str">
        <f>+IFERROR(VLOOKUP(HE14,IN_Zugliste!$A$4:$F$2002,7,FALSE),"")</f>
        <v/>
      </c>
      <c r="HF313" t="str">
        <f>+IFERROR(VLOOKUP(HF14,IN_Zugliste!$A$4:$F$2002,7,FALSE),"")</f>
        <v/>
      </c>
      <c r="HG313" t="str">
        <f>+IFERROR(VLOOKUP(HG14,IN_Zugliste!$A$4:$F$2002,7,FALSE),"")</f>
        <v/>
      </c>
      <c r="HH313" t="str">
        <f>+IFERROR(VLOOKUP(HH14,IN_Zugliste!$A$4:$F$2002,7,FALSE),"")</f>
        <v/>
      </c>
      <c r="HI313" t="str">
        <f>+IFERROR(VLOOKUP(HI14,IN_Zugliste!$A$4:$F$2002,7,FALSE),"")</f>
        <v/>
      </c>
      <c r="HJ313" t="str">
        <f>+IFERROR(VLOOKUP(HJ14,IN_Zugliste!$A$4:$F$2002,7,FALSE),"")</f>
        <v/>
      </c>
      <c r="HK313" t="str">
        <f>+IFERROR(VLOOKUP(HK14,IN_Zugliste!$A$4:$F$2002,7,FALSE),"")</f>
        <v/>
      </c>
      <c r="HL313" t="str">
        <f>+IFERROR(VLOOKUP(HL14,IN_Zugliste!$A$4:$F$2002,7,FALSE),"")</f>
        <v/>
      </c>
      <c r="HM313" t="str">
        <f>+IFERROR(VLOOKUP(HM14,IN_Zugliste!$A$4:$F$2002,7,FALSE),"")</f>
        <v/>
      </c>
      <c r="HN313" t="str">
        <f>+IFERROR(VLOOKUP(HN14,IN_Zugliste!$A$4:$F$2002,7,FALSE),"")</f>
        <v/>
      </c>
      <c r="HO313" t="str">
        <f>+IFERROR(VLOOKUP(HO14,IN_Zugliste!$A$4:$F$2002,7,FALSE),"")</f>
        <v/>
      </c>
      <c r="HP313" t="str">
        <f>+IFERROR(VLOOKUP(HP14,IN_Zugliste!$A$4:$F$2002,7,FALSE),"")</f>
        <v/>
      </c>
      <c r="HQ313" t="str">
        <f>+IFERROR(VLOOKUP(HQ14,IN_Zugliste!$A$4:$F$2002,7,FALSE),"")</f>
        <v/>
      </c>
      <c r="HR313" t="str">
        <f>+IFERROR(VLOOKUP(HR14,IN_Zugliste!$A$4:$F$2002,7,FALSE),"")</f>
        <v/>
      </c>
      <c r="HS313" t="str">
        <f>+IFERROR(VLOOKUP(HS14,IN_Zugliste!$A$4:$F$2002,7,FALSE),"")</f>
        <v/>
      </c>
      <c r="HT313" t="str">
        <f>+IFERROR(VLOOKUP(HT14,IN_Zugliste!$A$4:$F$2002,7,FALSE),"")</f>
        <v/>
      </c>
      <c r="HU313" t="str">
        <f>+IFERROR(VLOOKUP(HU14,IN_Zugliste!$A$4:$F$2002,7,FALSE),"")</f>
        <v/>
      </c>
      <c r="HV313" t="str">
        <f>+IFERROR(VLOOKUP(HV14,IN_Zugliste!$A$4:$F$2002,7,FALSE),"")</f>
        <v/>
      </c>
      <c r="HW313" t="str">
        <f>+IFERROR(VLOOKUP(HW14,IN_Zugliste!$A$4:$F$2002,7,FALSE),"")</f>
        <v/>
      </c>
      <c r="HX313" t="str">
        <f>+IFERROR(VLOOKUP(HX14,IN_Zugliste!$A$4:$F$2002,7,FALSE),"")</f>
        <v/>
      </c>
      <c r="HY313" t="str">
        <f>+IFERROR(VLOOKUP(HY14,IN_Zugliste!$A$4:$F$2002,7,FALSE),"")</f>
        <v/>
      </c>
      <c r="HZ313" t="str">
        <f>+IFERROR(VLOOKUP(HZ14,IN_Zugliste!$A$4:$F$2002,7,FALSE),"")</f>
        <v/>
      </c>
      <c r="IA313" t="str">
        <f>+IFERROR(VLOOKUP(IA14,IN_Zugliste!$A$4:$F$2002,7,FALSE),"")</f>
        <v/>
      </c>
      <c r="IB313" t="str">
        <f>+IFERROR(VLOOKUP(IB14,IN_Zugliste!$A$4:$F$2002,7,FALSE),"")</f>
        <v/>
      </c>
      <c r="IC313" t="str">
        <f>+IFERROR(VLOOKUP(IC14,IN_Zugliste!$A$4:$F$2002,7,FALSE),"")</f>
        <v/>
      </c>
      <c r="ID313" t="str">
        <f>+IFERROR(VLOOKUP(ID14,IN_Zugliste!$A$4:$F$2002,7,FALSE),"")</f>
        <v/>
      </c>
      <c r="IE313" t="str">
        <f>+IFERROR(VLOOKUP(IE14,IN_Zugliste!$A$4:$F$2002,7,FALSE),"")</f>
        <v/>
      </c>
      <c r="IF313" t="str">
        <f>+IFERROR(VLOOKUP(IF14,IN_Zugliste!$A$4:$F$2002,7,FALSE),"")</f>
        <v/>
      </c>
      <c r="IG313" t="str">
        <f>+IFERROR(VLOOKUP(IG14,IN_Zugliste!$A$4:$F$2002,7,FALSE),"")</f>
        <v/>
      </c>
      <c r="IH313" t="str">
        <f>+IFERROR(VLOOKUP(IH14,IN_Zugliste!$A$4:$F$2002,7,FALSE),"")</f>
        <v/>
      </c>
      <c r="II313" t="str">
        <f>+IFERROR(VLOOKUP(II14,IN_Zugliste!$A$4:$F$2002,7,FALSE),"")</f>
        <v/>
      </c>
      <c r="IJ313" t="str">
        <f>+IFERROR(VLOOKUP(IJ14,IN_Zugliste!$A$4:$F$2002,7,FALSE),"")</f>
        <v/>
      </c>
      <c r="IK313" t="str">
        <f>+IFERROR(VLOOKUP(IK14,IN_Zugliste!$A$4:$F$2002,7,FALSE),"")</f>
        <v/>
      </c>
      <c r="IL313" t="str">
        <f>+IFERROR(VLOOKUP(IL14,IN_Zugliste!$A$4:$F$2002,7,FALSE),"")</f>
        <v/>
      </c>
      <c r="IM313" t="str">
        <f>+IFERROR(VLOOKUP(IM14,IN_Zugliste!$A$4:$F$2002,7,FALSE),"")</f>
        <v/>
      </c>
      <c r="IN313" t="str">
        <f>+IFERROR(VLOOKUP(IN14,IN_Zugliste!$A$4:$F$2002,7,FALSE),"")</f>
        <v/>
      </c>
      <c r="IO313" t="str">
        <f>+IFERROR(VLOOKUP(IO14,IN_Zugliste!$A$4:$F$2002,7,FALSE),"")</f>
        <v/>
      </c>
      <c r="IP313" t="str">
        <f>+IFERROR(VLOOKUP(IP14,IN_Zugliste!$A$4:$F$2002,7,FALSE),"")</f>
        <v/>
      </c>
      <c r="IQ313" t="str">
        <f>+IFERROR(VLOOKUP(IQ14,IN_Zugliste!$A$4:$F$2002,7,FALSE),"")</f>
        <v/>
      </c>
      <c r="IR313" t="str">
        <f>+IFERROR(VLOOKUP(IR14,IN_Zugliste!$A$4:$F$2002,7,FALSE),"")</f>
        <v/>
      </c>
      <c r="IS313" t="str">
        <f>+IFERROR(VLOOKUP(IS14,IN_Zugliste!$A$4:$F$2002,7,FALSE),"")</f>
        <v/>
      </c>
      <c r="IT313" t="str">
        <f>+IFERROR(VLOOKUP(IT14,IN_Zugliste!$A$4:$F$2002,7,FALSE),"")</f>
        <v/>
      </c>
      <c r="IU313" t="str">
        <f>+IFERROR(VLOOKUP(IU14,IN_Zugliste!$A$4:$F$2002,7,FALSE),"")</f>
        <v/>
      </c>
      <c r="IV313" t="str">
        <f>+IFERROR(VLOOKUP(IV14,IN_Zugliste!$A$4:$F$2002,7,FALSE),"")</f>
        <v/>
      </c>
      <c r="IW313" t="str">
        <f>+IFERROR(VLOOKUP(IW14,IN_Zugliste!$A$4:$F$2002,7,FALSE),"")</f>
        <v/>
      </c>
      <c r="IX313" t="str">
        <f>+IFERROR(VLOOKUP(IX14,IN_Zugliste!$A$4:$F$2002,7,FALSE),"")</f>
        <v/>
      </c>
      <c r="IY313" t="str">
        <f>+IFERROR(VLOOKUP(IY14,IN_Zugliste!$A$4:$F$2002,7,FALSE),"")</f>
        <v/>
      </c>
      <c r="IZ313" t="str">
        <f>+IFERROR(VLOOKUP(IZ14,IN_Zugliste!$A$4:$F$2002,7,FALSE),"")</f>
        <v/>
      </c>
      <c r="JA313" t="str">
        <f>+IFERROR(VLOOKUP(JA14,IN_Zugliste!$A$4:$F$2002,7,FALSE),"")</f>
        <v/>
      </c>
      <c r="JB313" t="str">
        <f>+IFERROR(VLOOKUP(JB14,IN_Zugliste!$A$4:$F$2002,7,FALSE),"")</f>
        <v/>
      </c>
      <c r="JC313" t="str">
        <f>+IFERROR(VLOOKUP(JC14,IN_Zugliste!$A$4:$F$2002,7,FALSE),"")</f>
        <v/>
      </c>
      <c r="JD313" t="str">
        <f>+IFERROR(VLOOKUP(JD14,IN_Zugliste!$A$4:$F$2002,7,FALSE),"")</f>
        <v/>
      </c>
      <c r="JE313" t="str">
        <f>+IFERROR(VLOOKUP(JE14,IN_Zugliste!$A$4:$F$2002,7,FALSE),"")</f>
        <v/>
      </c>
      <c r="JF313" t="str">
        <f>+IFERROR(VLOOKUP(JF14,IN_Zugliste!$A$4:$F$2002,7,FALSE),"")</f>
        <v/>
      </c>
      <c r="JG313" t="str">
        <f>+IFERROR(VLOOKUP(JG14,IN_Zugliste!$A$4:$F$2002,7,FALSE),"")</f>
        <v/>
      </c>
      <c r="JH313" t="str">
        <f>+IFERROR(VLOOKUP(JH14,IN_Zugliste!$A$4:$F$2002,7,FALSE),"")</f>
        <v/>
      </c>
      <c r="JI313" t="str">
        <f>+IFERROR(VLOOKUP(JI14,IN_Zugliste!$A$4:$F$2002,7,FALSE),"")</f>
        <v/>
      </c>
      <c r="JJ313" t="str">
        <f>+IFERROR(VLOOKUP(JJ14,IN_Zugliste!$A$4:$F$2002,7,FALSE),"")</f>
        <v/>
      </c>
    </row>
    <row r="314" spans="1:270" x14ac:dyDescent="0.2">
      <c r="A314" t="str">
        <f>+IFERROR(VLOOKUP(A15,IN_Zugliste!$A$4:$F$2002,7,FALSE),"")</f>
        <v/>
      </c>
      <c r="B314" t="str">
        <f>+IFERROR(VLOOKUP(B15,IN_Zugliste!$A$4:$F$2002,7,FALSE),"")</f>
        <v/>
      </c>
      <c r="C314" t="str">
        <f>+IFERROR(VLOOKUP(C15,IN_Zugliste!$A$4:$F$2002,7,FALSE),"")</f>
        <v/>
      </c>
      <c r="D314" t="str">
        <f>+IFERROR(VLOOKUP(D15,IN_Zugliste!$A$4:$F$2002,7,FALSE),"")</f>
        <v/>
      </c>
      <c r="E314" t="str">
        <f>+IFERROR(VLOOKUP(E15,IN_Zugliste!$A$4:$F$2002,7,FALSE),"")</f>
        <v/>
      </c>
      <c r="F314" t="str">
        <f>+IFERROR(VLOOKUP(F15,IN_Zugliste!$A$4:$F$2002,7,FALSE),"")</f>
        <v/>
      </c>
      <c r="G314" t="str">
        <f>+IFERROR(VLOOKUP(G15,IN_Zugliste!$A$4:$F$2002,7,FALSE),"")</f>
        <v/>
      </c>
      <c r="H314" t="str">
        <f>+IFERROR(VLOOKUP(H15,IN_Zugliste!$A$4:$F$2002,7,FALSE),"")</f>
        <v/>
      </c>
      <c r="I314" t="str">
        <f>+IFERROR(VLOOKUP(I15,IN_Zugliste!$A$4:$F$2002,7,FALSE),"")</f>
        <v/>
      </c>
      <c r="J314" t="str">
        <f>+IFERROR(VLOOKUP(J15,IN_Zugliste!$A$4:$F$2002,7,FALSE),"")</f>
        <v/>
      </c>
      <c r="K314" t="str">
        <f>+IFERROR(VLOOKUP(K15,IN_Zugliste!$A$4:$F$2002,7,FALSE),"")</f>
        <v/>
      </c>
      <c r="L314" t="str">
        <f>+IFERROR(VLOOKUP(L15,IN_Zugliste!$A$4:$F$2002,7,FALSE),"")</f>
        <v/>
      </c>
      <c r="M314" t="str">
        <f>+IFERROR(VLOOKUP(M15,IN_Zugliste!$A$4:$F$2002,7,FALSE),"")</f>
        <v/>
      </c>
      <c r="N314" t="str">
        <f>+IFERROR(VLOOKUP(N15,IN_Zugliste!$A$4:$F$2002,7,FALSE),"")</f>
        <v/>
      </c>
      <c r="O314" t="str">
        <f>+IFERROR(VLOOKUP(O15,IN_Zugliste!$A$4:$F$2002,7,FALSE),"")</f>
        <v/>
      </c>
      <c r="P314" t="str">
        <f>+IFERROR(VLOOKUP(P15,IN_Zugliste!$A$4:$F$2002,7,FALSE),"")</f>
        <v/>
      </c>
      <c r="Q314" t="str">
        <f>+IFERROR(VLOOKUP(Q15,IN_Zugliste!$A$4:$F$2002,7,FALSE),"")</f>
        <v/>
      </c>
      <c r="R314" t="str">
        <f>+IFERROR(VLOOKUP(R15,IN_Zugliste!$A$4:$F$2002,7,FALSE),"")</f>
        <v/>
      </c>
      <c r="S314" t="str">
        <f>+IFERROR(VLOOKUP(S15,IN_Zugliste!$A$4:$F$2002,7,FALSE),"")</f>
        <v/>
      </c>
      <c r="T314" t="str">
        <f>+IFERROR(VLOOKUP(T15,IN_Zugliste!$A$4:$F$2002,7,FALSE),"")</f>
        <v/>
      </c>
      <c r="U314" t="str">
        <f>+IFERROR(VLOOKUP(U15,IN_Zugliste!$A$4:$F$2002,7,FALSE),"")</f>
        <v/>
      </c>
      <c r="V314" t="str">
        <f>+IFERROR(VLOOKUP(V15,IN_Zugliste!$A$4:$F$2002,7,FALSE),"")</f>
        <v/>
      </c>
      <c r="W314" t="str">
        <f>+IFERROR(VLOOKUP(W15,IN_Zugliste!$A$4:$F$2002,7,FALSE),"")</f>
        <v/>
      </c>
      <c r="X314" t="str">
        <f>+IFERROR(VLOOKUP(X15,IN_Zugliste!$A$4:$F$2002,7,FALSE),"")</f>
        <v/>
      </c>
      <c r="Y314" t="str">
        <f>+IFERROR(VLOOKUP(Y15,IN_Zugliste!$A$4:$F$2002,7,FALSE),"")</f>
        <v/>
      </c>
      <c r="Z314" t="str">
        <f>+IFERROR(VLOOKUP(Z15,IN_Zugliste!$A$4:$F$2002,7,FALSE),"")</f>
        <v/>
      </c>
      <c r="AA314" t="str">
        <f>+IFERROR(VLOOKUP(AA15,IN_Zugliste!$A$4:$F$2002,7,FALSE),"")</f>
        <v/>
      </c>
      <c r="AB314" t="str">
        <f>+IFERROR(VLOOKUP(AB15,IN_Zugliste!$A$4:$F$2002,7,FALSE),"")</f>
        <v/>
      </c>
      <c r="AC314" t="str">
        <f>+IFERROR(VLOOKUP(AC15,IN_Zugliste!$A$4:$F$2002,7,FALSE),"")</f>
        <v/>
      </c>
      <c r="AD314" t="str">
        <f>+IFERROR(VLOOKUP(AD15,IN_Zugliste!$A$4:$F$2002,7,FALSE),"")</f>
        <v/>
      </c>
      <c r="AE314" t="str">
        <f>+IFERROR(VLOOKUP(AE15,IN_Zugliste!$A$4:$F$2002,7,FALSE),"")</f>
        <v/>
      </c>
      <c r="AF314" t="str">
        <f>+IFERROR(VLOOKUP(AF15,IN_Zugliste!$A$4:$F$2002,7,FALSE),"")</f>
        <v/>
      </c>
      <c r="AG314" t="str">
        <f>+IFERROR(VLOOKUP(AG15,IN_Zugliste!$A$4:$F$2002,7,FALSE),"")</f>
        <v/>
      </c>
      <c r="AH314" t="str">
        <f>+IFERROR(VLOOKUP(AH15,IN_Zugliste!$A$4:$F$2002,7,FALSE),"")</f>
        <v/>
      </c>
      <c r="AI314" t="str">
        <f>+IFERROR(VLOOKUP(AI15,IN_Zugliste!$A$4:$F$2002,7,FALSE),"")</f>
        <v/>
      </c>
      <c r="AJ314" t="str">
        <f>+IFERROR(VLOOKUP(AJ15,IN_Zugliste!$A$4:$F$2002,7,FALSE),"")</f>
        <v/>
      </c>
      <c r="AK314" t="str">
        <f>+IFERROR(VLOOKUP(AK15,IN_Zugliste!$A$4:$F$2002,7,FALSE),"")</f>
        <v/>
      </c>
      <c r="AL314" t="str">
        <f>+IFERROR(VLOOKUP(AL15,IN_Zugliste!$A$4:$F$2002,7,FALSE),"")</f>
        <v/>
      </c>
      <c r="AM314" t="str">
        <f>+IFERROR(VLOOKUP(AM15,IN_Zugliste!$A$4:$F$2002,7,FALSE),"")</f>
        <v/>
      </c>
      <c r="AN314" t="str">
        <f>+IFERROR(VLOOKUP(AN15,IN_Zugliste!$A$4:$F$2002,7,FALSE),"")</f>
        <v/>
      </c>
      <c r="AO314" t="str">
        <f>+IFERROR(VLOOKUP(AO15,IN_Zugliste!$A$4:$F$2002,7,FALSE),"")</f>
        <v/>
      </c>
      <c r="AP314" t="str">
        <f>+IFERROR(VLOOKUP(AP15,IN_Zugliste!$A$4:$F$2002,7,FALSE),"")</f>
        <v/>
      </c>
      <c r="AQ314" t="str">
        <f>+IFERROR(VLOOKUP(AQ15,IN_Zugliste!$A$4:$F$2002,7,FALSE),"")</f>
        <v/>
      </c>
      <c r="AR314" t="str">
        <f>+IFERROR(VLOOKUP(AR15,IN_Zugliste!$A$4:$F$2002,7,FALSE),"")</f>
        <v/>
      </c>
      <c r="AS314" t="str">
        <f>+IFERROR(VLOOKUP(AS15,IN_Zugliste!$A$4:$F$2002,7,FALSE),"")</f>
        <v/>
      </c>
      <c r="AT314" t="str">
        <f>+IFERROR(VLOOKUP(AT15,IN_Zugliste!$A$4:$F$2002,7,FALSE),"")</f>
        <v/>
      </c>
      <c r="AU314" t="str">
        <f>+IFERROR(VLOOKUP(AU15,IN_Zugliste!$A$4:$F$2002,7,FALSE),"")</f>
        <v/>
      </c>
      <c r="AV314" t="str">
        <f>+IFERROR(VLOOKUP(AV15,IN_Zugliste!$A$4:$F$2002,7,FALSE),"")</f>
        <v/>
      </c>
      <c r="AW314" t="str">
        <f>+IFERROR(VLOOKUP(AW15,IN_Zugliste!$A$4:$F$2002,7,FALSE),"")</f>
        <v/>
      </c>
      <c r="AX314" t="str">
        <f>+IFERROR(VLOOKUP(AX15,IN_Zugliste!$A$4:$F$2002,7,FALSE),"")</f>
        <v/>
      </c>
      <c r="AY314" t="str">
        <f>+IFERROR(VLOOKUP(AY15,IN_Zugliste!$A$4:$F$2002,7,FALSE),"")</f>
        <v/>
      </c>
      <c r="AZ314" t="str">
        <f>+IFERROR(VLOOKUP(AZ15,IN_Zugliste!$A$4:$F$2002,7,FALSE),"")</f>
        <v/>
      </c>
      <c r="BA314" t="str">
        <f>+IFERROR(VLOOKUP(BA15,IN_Zugliste!$A$4:$F$2002,7,FALSE),"")</f>
        <v/>
      </c>
      <c r="BB314" t="str">
        <f>+IFERROR(VLOOKUP(BB15,IN_Zugliste!$A$4:$F$2002,7,FALSE),"")</f>
        <v/>
      </c>
      <c r="BC314" t="str">
        <f>+IFERROR(VLOOKUP(BC15,IN_Zugliste!$A$4:$F$2002,7,FALSE),"")</f>
        <v/>
      </c>
      <c r="BD314" t="str">
        <f>+IFERROR(VLOOKUP(BD15,IN_Zugliste!$A$4:$F$2002,7,FALSE),"")</f>
        <v/>
      </c>
      <c r="BE314" t="str">
        <f>+IFERROR(VLOOKUP(BE15,IN_Zugliste!$A$4:$F$2002,7,FALSE),"")</f>
        <v/>
      </c>
      <c r="BF314" t="str">
        <f>+IFERROR(VLOOKUP(BF15,IN_Zugliste!$A$4:$F$2002,7,FALSE),"")</f>
        <v/>
      </c>
      <c r="BG314" t="str">
        <f>+IFERROR(VLOOKUP(BG15,IN_Zugliste!$A$4:$F$2002,7,FALSE),"")</f>
        <v/>
      </c>
      <c r="BH314" t="str">
        <f>+IFERROR(VLOOKUP(BH15,IN_Zugliste!$A$4:$F$2002,7,FALSE),"")</f>
        <v/>
      </c>
      <c r="BI314" t="str">
        <f>+IFERROR(VLOOKUP(BI15,IN_Zugliste!$A$4:$F$2002,7,FALSE),"")</f>
        <v/>
      </c>
      <c r="BJ314" t="str">
        <f>+IFERROR(VLOOKUP(BJ15,IN_Zugliste!$A$4:$F$2002,7,FALSE),"")</f>
        <v/>
      </c>
      <c r="BK314" t="str">
        <f>+IFERROR(VLOOKUP(BK15,IN_Zugliste!$A$4:$F$2002,7,FALSE),"")</f>
        <v/>
      </c>
      <c r="BL314" t="str">
        <f>+IFERROR(VLOOKUP(BL15,IN_Zugliste!$A$4:$F$2002,7,FALSE),"")</f>
        <v/>
      </c>
      <c r="BM314" t="str">
        <f>+IFERROR(VLOOKUP(BM15,IN_Zugliste!$A$4:$F$2002,7,FALSE),"")</f>
        <v/>
      </c>
      <c r="BN314" t="str">
        <f>+IFERROR(VLOOKUP(BN15,IN_Zugliste!$A$4:$F$2002,7,FALSE),"")</f>
        <v/>
      </c>
      <c r="BO314" t="str">
        <f>+IFERROR(VLOOKUP(BO15,IN_Zugliste!$A$4:$F$2002,7,FALSE),"")</f>
        <v/>
      </c>
      <c r="BP314" t="str">
        <f>+IFERROR(VLOOKUP(BP15,IN_Zugliste!$A$4:$F$2002,7,FALSE),"")</f>
        <v/>
      </c>
      <c r="BQ314" t="str">
        <f>+IFERROR(VLOOKUP(BQ15,IN_Zugliste!$A$4:$F$2002,7,FALSE),"")</f>
        <v/>
      </c>
      <c r="BR314" t="str">
        <f>+IFERROR(VLOOKUP(BR15,IN_Zugliste!$A$4:$F$2002,7,FALSE),"")</f>
        <v/>
      </c>
      <c r="BS314" t="str">
        <f>+IFERROR(VLOOKUP(BS15,IN_Zugliste!$A$4:$F$2002,7,FALSE),"")</f>
        <v/>
      </c>
      <c r="BT314" t="str">
        <f>+IFERROR(VLOOKUP(BT15,IN_Zugliste!$A$4:$F$2002,7,FALSE),"")</f>
        <v/>
      </c>
      <c r="BU314" t="str">
        <f>+IFERROR(VLOOKUP(BU15,IN_Zugliste!$A$4:$F$2002,7,FALSE),"")</f>
        <v/>
      </c>
      <c r="BV314" t="str">
        <f>+IFERROR(VLOOKUP(BV15,IN_Zugliste!$A$4:$F$2002,7,FALSE),"")</f>
        <v/>
      </c>
      <c r="BW314" t="str">
        <f>+IFERROR(VLOOKUP(BW15,IN_Zugliste!$A$4:$F$2002,7,FALSE),"")</f>
        <v/>
      </c>
      <c r="BX314" t="str">
        <f>+IFERROR(VLOOKUP(BX15,IN_Zugliste!$A$4:$F$2002,7,FALSE),"")</f>
        <v/>
      </c>
      <c r="BY314" t="str">
        <f>+IFERROR(VLOOKUP(BY15,IN_Zugliste!$A$4:$F$2002,7,FALSE),"")</f>
        <v/>
      </c>
      <c r="BZ314" t="str">
        <f>+IFERROR(VLOOKUP(BZ15,IN_Zugliste!$A$4:$F$2002,7,FALSE),"")</f>
        <v/>
      </c>
      <c r="CA314" t="str">
        <f>+IFERROR(VLOOKUP(CA15,IN_Zugliste!$A$4:$F$2002,7,FALSE),"")</f>
        <v/>
      </c>
      <c r="CB314" t="str">
        <f>+IFERROR(VLOOKUP(CB15,IN_Zugliste!$A$4:$F$2002,7,FALSE),"")</f>
        <v/>
      </c>
      <c r="CC314" t="str">
        <f>+IFERROR(VLOOKUP(CC15,IN_Zugliste!$A$4:$F$2002,7,FALSE),"")</f>
        <v/>
      </c>
      <c r="CD314" t="str">
        <f>+IFERROR(VLOOKUP(CD15,IN_Zugliste!$A$4:$F$2002,7,FALSE),"")</f>
        <v/>
      </c>
      <c r="CE314" t="str">
        <f>+IFERROR(VLOOKUP(CE15,IN_Zugliste!$A$4:$F$2002,7,FALSE),"")</f>
        <v/>
      </c>
      <c r="CF314" t="str">
        <f>+IFERROR(VLOOKUP(CF15,IN_Zugliste!$A$4:$F$2002,7,FALSE),"")</f>
        <v/>
      </c>
      <c r="CG314" t="str">
        <f>+IFERROR(VLOOKUP(CG15,IN_Zugliste!$A$4:$F$2002,7,FALSE),"")</f>
        <v/>
      </c>
      <c r="CH314" t="str">
        <f>+IFERROR(VLOOKUP(CH15,IN_Zugliste!$A$4:$F$2002,7,FALSE),"")</f>
        <v/>
      </c>
      <c r="CI314" t="str">
        <f>+IFERROR(VLOOKUP(CI15,IN_Zugliste!$A$4:$F$2002,7,FALSE),"")</f>
        <v/>
      </c>
      <c r="CJ314" t="str">
        <f>+IFERROR(VLOOKUP(CJ15,IN_Zugliste!$A$4:$F$2002,7,FALSE),"")</f>
        <v/>
      </c>
      <c r="CK314" t="str">
        <f>+IFERROR(VLOOKUP(CK15,IN_Zugliste!$A$4:$F$2002,7,FALSE),"")</f>
        <v/>
      </c>
      <c r="CL314" t="str">
        <f>+IFERROR(VLOOKUP(CL15,IN_Zugliste!$A$4:$F$2002,7,FALSE),"")</f>
        <v/>
      </c>
      <c r="CM314" t="str">
        <f>+IFERROR(VLOOKUP(CM15,IN_Zugliste!$A$4:$F$2002,7,FALSE),"")</f>
        <v/>
      </c>
      <c r="CN314" t="str">
        <f>+IFERROR(VLOOKUP(CN15,IN_Zugliste!$A$4:$F$2002,7,FALSE),"")</f>
        <v/>
      </c>
      <c r="CO314" t="str">
        <f>+IFERROR(VLOOKUP(CO15,IN_Zugliste!$A$4:$F$2002,7,FALSE),"")</f>
        <v/>
      </c>
      <c r="CP314" t="str">
        <f>+IFERROR(VLOOKUP(CP15,IN_Zugliste!$A$4:$F$2002,7,FALSE),"")</f>
        <v/>
      </c>
      <c r="CQ314" t="str">
        <f>+IFERROR(VLOOKUP(CQ15,IN_Zugliste!$A$4:$F$2002,7,FALSE),"")</f>
        <v/>
      </c>
      <c r="CR314" t="str">
        <f>+IFERROR(VLOOKUP(CR15,IN_Zugliste!$A$4:$F$2002,7,FALSE),"")</f>
        <v/>
      </c>
      <c r="CS314" t="str">
        <f>+IFERROR(VLOOKUP(CS15,IN_Zugliste!$A$4:$F$2002,7,FALSE),"")</f>
        <v/>
      </c>
      <c r="CT314" t="str">
        <f>+IFERROR(VLOOKUP(CT15,IN_Zugliste!$A$4:$F$2002,7,FALSE),"")</f>
        <v/>
      </c>
      <c r="CU314" t="str">
        <f>+IFERROR(VLOOKUP(CU15,IN_Zugliste!$A$4:$F$2002,7,FALSE),"")</f>
        <v/>
      </c>
      <c r="CV314" t="str">
        <f>+IFERROR(VLOOKUP(CV15,IN_Zugliste!$A$4:$F$2002,7,FALSE),"")</f>
        <v/>
      </c>
      <c r="CW314" t="str">
        <f>+IFERROR(VLOOKUP(CW15,IN_Zugliste!$A$4:$F$2002,7,FALSE),"")</f>
        <v/>
      </c>
      <c r="CX314" t="str">
        <f>+IFERROR(VLOOKUP(CX15,IN_Zugliste!$A$4:$F$2002,7,FALSE),"")</f>
        <v/>
      </c>
      <c r="CY314" t="str">
        <f>+IFERROR(VLOOKUP(CY15,IN_Zugliste!$A$4:$F$2002,7,FALSE),"")</f>
        <v/>
      </c>
      <c r="CZ314" t="str">
        <f>+IFERROR(VLOOKUP(CZ15,IN_Zugliste!$A$4:$F$2002,7,FALSE),"")</f>
        <v/>
      </c>
      <c r="DA314" t="str">
        <f>+IFERROR(VLOOKUP(DA15,IN_Zugliste!$A$4:$F$2002,7,FALSE),"")</f>
        <v/>
      </c>
      <c r="DB314" t="str">
        <f>+IFERROR(VLOOKUP(DB15,IN_Zugliste!$A$4:$F$2002,7,FALSE),"")</f>
        <v/>
      </c>
      <c r="DC314" t="str">
        <f>+IFERROR(VLOOKUP(DC15,IN_Zugliste!$A$4:$F$2002,7,FALSE),"")</f>
        <v/>
      </c>
      <c r="DD314" t="str">
        <f>+IFERROR(VLOOKUP(DD15,IN_Zugliste!$A$4:$F$2002,7,FALSE),"")</f>
        <v/>
      </c>
      <c r="DE314" t="str">
        <f>+IFERROR(VLOOKUP(DE15,IN_Zugliste!$A$4:$F$2002,7,FALSE),"")</f>
        <v/>
      </c>
      <c r="DF314" t="str">
        <f>+IFERROR(VLOOKUP(DF15,IN_Zugliste!$A$4:$F$2002,7,FALSE),"")</f>
        <v/>
      </c>
      <c r="DG314" t="str">
        <f>+IFERROR(VLOOKUP(DG15,IN_Zugliste!$A$4:$F$2002,7,FALSE),"")</f>
        <v/>
      </c>
      <c r="DH314" t="str">
        <f>+IFERROR(VLOOKUP(DH15,IN_Zugliste!$A$4:$F$2002,7,FALSE),"")</f>
        <v/>
      </c>
      <c r="DI314" t="str">
        <f>+IFERROR(VLOOKUP(DI15,IN_Zugliste!$A$4:$F$2002,7,FALSE),"")</f>
        <v/>
      </c>
      <c r="DJ314" t="str">
        <f>+IFERROR(VLOOKUP(DJ15,IN_Zugliste!$A$4:$F$2002,7,FALSE),"")</f>
        <v/>
      </c>
      <c r="DK314" t="str">
        <f>+IFERROR(VLOOKUP(DK15,IN_Zugliste!$A$4:$F$2002,7,FALSE),"")</f>
        <v/>
      </c>
      <c r="DL314" t="str">
        <f>+IFERROR(VLOOKUP(DL15,IN_Zugliste!$A$4:$F$2002,7,FALSE),"")</f>
        <v/>
      </c>
      <c r="DM314" t="str">
        <f>+IFERROR(VLOOKUP(DM15,IN_Zugliste!$A$4:$F$2002,7,FALSE),"")</f>
        <v/>
      </c>
      <c r="DN314" t="str">
        <f>+IFERROR(VLOOKUP(DN15,IN_Zugliste!$A$4:$F$2002,7,FALSE),"")</f>
        <v/>
      </c>
      <c r="DO314" t="str">
        <f>+IFERROR(VLOOKUP(DO15,IN_Zugliste!$A$4:$F$2002,7,FALSE),"")</f>
        <v/>
      </c>
      <c r="DP314" t="str">
        <f>+IFERROR(VLOOKUP(DP15,IN_Zugliste!$A$4:$F$2002,7,FALSE),"")</f>
        <v/>
      </c>
      <c r="DQ314" t="str">
        <f>+IFERROR(VLOOKUP(DQ15,IN_Zugliste!$A$4:$F$2002,7,FALSE),"")</f>
        <v/>
      </c>
      <c r="DR314" t="str">
        <f>+IFERROR(VLOOKUP(DR15,IN_Zugliste!$A$4:$F$2002,7,FALSE),"")</f>
        <v/>
      </c>
      <c r="DS314" t="str">
        <f>+IFERROR(VLOOKUP(DS15,IN_Zugliste!$A$4:$F$2002,7,FALSE),"")</f>
        <v/>
      </c>
      <c r="DT314" t="str">
        <f>+IFERROR(VLOOKUP(DT15,IN_Zugliste!$A$4:$F$2002,7,FALSE),"")</f>
        <v/>
      </c>
      <c r="DU314" t="str">
        <f>+IFERROR(VLOOKUP(DU15,IN_Zugliste!$A$4:$F$2002,7,FALSE),"")</f>
        <v/>
      </c>
      <c r="DV314" t="str">
        <f>+IFERROR(VLOOKUP(DV15,IN_Zugliste!$A$4:$F$2002,7,FALSE),"")</f>
        <v/>
      </c>
      <c r="DW314" t="str">
        <f>+IFERROR(VLOOKUP(DW15,IN_Zugliste!$A$4:$F$2002,7,FALSE),"")</f>
        <v/>
      </c>
      <c r="DX314" t="str">
        <f>+IFERROR(VLOOKUP(DX15,IN_Zugliste!$A$4:$F$2002,7,FALSE),"")</f>
        <v/>
      </c>
      <c r="DY314" t="str">
        <f>+IFERROR(VLOOKUP(DY15,IN_Zugliste!$A$4:$F$2002,7,FALSE),"")</f>
        <v/>
      </c>
      <c r="DZ314" t="str">
        <f>+IFERROR(VLOOKUP(DZ15,IN_Zugliste!$A$4:$F$2002,7,FALSE),"")</f>
        <v/>
      </c>
      <c r="EA314" t="str">
        <f>+IFERROR(VLOOKUP(EA15,IN_Zugliste!$A$4:$F$2002,7,FALSE),"")</f>
        <v/>
      </c>
      <c r="EB314" t="str">
        <f>+IFERROR(VLOOKUP(EB15,IN_Zugliste!$A$4:$F$2002,7,FALSE),"")</f>
        <v/>
      </c>
      <c r="EC314" t="str">
        <f>+IFERROR(VLOOKUP(EC15,IN_Zugliste!$A$4:$F$2002,7,FALSE),"")</f>
        <v/>
      </c>
      <c r="ED314" t="str">
        <f>+IFERROR(VLOOKUP(ED15,IN_Zugliste!$A$4:$F$2002,7,FALSE),"")</f>
        <v/>
      </c>
      <c r="EE314" t="str">
        <f>+IFERROR(VLOOKUP(EE15,IN_Zugliste!$A$4:$F$2002,7,FALSE),"")</f>
        <v/>
      </c>
      <c r="EF314" t="str">
        <f>+IFERROR(VLOOKUP(EF15,IN_Zugliste!$A$4:$F$2002,7,FALSE),"")</f>
        <v/>
      </c>
      <c r="EG314" t="str">
        <f>+IFERROR(VLOOKUP(EG15,IN_Zugliste!$A$4:$F$2002,7,FALSE),"")</f>
        <v/>
      </c>
      <c r="EH314" t="str">
        <f>+IFERROR(VLOOKUP(EH15,IN_Zugliste!$A$4:$F$2002,7,FALSE),"")</f>
        <v/>
      </c>
      <c r="EI314" t="str">
        <f>+IFERROR(VLOOKUP(EI15,IN_Zugliste!$A$4:$F$2002,7,FALSE),"")</f>
        <v/>
      </c>
      <c r="EJ314" t="str">
        <f>+IFERROR(VLOOKUP(EJ15,IN_Zugliste!$A$4:$F$2002,7,FALSE),"")</f>
        <v/>
      </c>
      <c r="EK314" t="str">
        <f>+IFERROR(VLOOKUP(EK15,IN_Zugliste!$A$4:$F$2002,7,FALSE),"")</f>
        <v/>
      </c>
      <c r="EL314" t="str">
        <f>+IFERROR(VLOOKUP(EL15,IN_Zugliste!$A$4:$F$2002,7,FALSE),"")</f>
        <v/>
      </c>
      <c r="EM314" t="str">
        <f>+IFERROR(VLOOKUP(EM15,IN_Zugliste!$A$4:$F$2002,7,FALSE),"")</f>
        <v/>
      </c>
      <c r="EN314" t="str">
        <f>+IFERROR(VLOOKUP(EN15,IN_Zugliste!$A$4:$F$2002,7,FALSE),"")</f>
        <v/>
      </c>
      <c r="EO314" t="str">
        <f>+IFERROR(VLOOKUP(EO15,IN_Zugliste!$A$4:$F$2002,7,FALSE),"")</f>
        <v/>
      </c>
      <c r="EP314" t="str">
        <f>+IFERROR(VLOOKUP(EP15,IN_Zugliste!$A$4:$F$2002,7,FALSE),"")</f>
        <v/>
      </c>
      <c r="EQ314" t="str">
        <f>+IFERROR(VLOOKUP(EQ15,IN_Zugliste!$A$4:$F$2002,7,FALSE),"")</f>
        <v/>
      </c>
      <c r="ER314" t="str">
        <f>+IFERROR(VLOOKUP(ER15,IN_Zugliste!$A$4:$F$2002,7,FALSE),"")</f>
        <v/>
      </c>
      <c r="ES314" t="str">
        <f>+IFERROR(VLOOKUP(ES15,IN_Zugliste!$A$4:$F$2002,7,FALSE),"")</f>
        <v/>
      </c>
      <c r="ET314" t="str">
        <f>+IFERROR(VLOOKUP(ET15,IN_Zugliste!$A$4:$F$2002,7,FALSE),"")</f>
        <v/>
      </c>
      <c r="EU314" t="str">
        <f>+IFERROR(VLOOKUP(EU15,IN_Zugliste!$A$4:$F$2002,7,FALSE),"")</f>
        <v/>
      </c>
      <c r="EV314" t="str">
        <f>+IFERROR(VLOOKUP(EV15,IN_Zugliste!$A$4:$F$2002,7,FALSE),"")</f>
        <v/>
      </c>
      <c r="EW314" t="str">
        <f>+IFERROR(VLOOKUP(EW15,IN_Zugliste!$A$4:$F$2002,7,FALSE),"")</f>
        <v/>
      </c>
      <c r="EX314" t="str">
        <f>+IFERROR(VLOOKUP(EX15,IN_Zugliste!$A$4:$F$2002,7,FALSE),"")</f>
        <v/>
      </c>
      <c r="EY314" t="str">
        <f>+IFERROR(VLOOKUP(EY15,IN_Zugliste!$A$4:$F$2002,7,FALSE),"")</f>
        <v/>
      </c>
      <c r="EZ314" t="str">
        <f>+IFERROR(VLOOKUP(EZ15,IN_Zugliste!$A$4:$F$2002,7,FALSE),"")</f>
        <v/>
      </c>
      <c r="FA314" t="str">
        <f>+IFERROR(VLOOKUP(FA15,IN_Zugliste!$A$4:$F$2002,7,FALSE),"")</f>
        <v/>
      </c>
      <c r="FB314" t="str">
        <f>+IFERROR(VLOOKUP(FB15,IN_Zugliste!$A$4:$F$2002,7,FALSE),"")</f>
        <v/>
      </c>
      <c r="FC314" t="str">
        <f>+IFERROR(VLOOKUP(FC15,IN_Zugliste!$A$4:$F$2002,7,FALSE),"")</f>
        <v/>
      </c>
      <c r="FD314" t="str">
        <f>+IFERROR(VLOOKUP(FD15,IN_Zugliste!$A$4:$F$2002,7,FALSE),"")</f>
        <v/>
      </c>
      <c r="FE314" t="str">
        <f>+IFERROR(VLOOKUP(FE15,IN_Zugliste!$A$4:$F$2002,7,FALSE),"")</f>
        <v/>
      </c>
      <c r="FF314" t="str">
        <f>+IFERROR(VLOOKUP(FF15,IN_Zugliste!$A$4:$F$2002,7,FALSE),"")</f>
        <v/>
      </c>
      <c r="FG314" t="str">
        <f>+IFERROR(VLOOKUP(FG15,IN_Zugliste!$A$4:$F$2002,7,FALSE),"")</f>
        <v/>
      </c>
      <c r="FH314" t="str">
        <f>+IFERROR(VLOOKUP(FH15,IN_Zugliste!$A$4:$F$2002,7,FALSE),"")</f>
        <v/>
      </c>
      <c r="FI314" t="str">
        <f>+IFERROR(VLOOKUP(FI15,IN_Zugliste!$A$4:$F$2002,7,FALSE),"")</f>
        <v/>
      </c>
      <c r="FJ314" t="str">
        <f>+IFERROR(VLOOKUP(FJ15,IN_Zugliste!$A$4:$F$2002,7,FALSE),"")</f>
        <v/>
      </c>
      <c r="FK314" t="str">
        <f>+IFERROR(VLOOKUP(FK15,IN_Zugliste!$A$4:$F$2002,7,FALSE),"")</f>
        <v/>
      </c>
      <c r="FL314" t="str">
        <f>+IFERROR(VLOOKUP(FL15,IN_Zugliste!$A$4:$F$2002,7,FALSE),"")</f>
        <v/>
      </c>
      <c r="FM314" t="str">
        <f>+IFERROR(VLOOKUP(FM15,IN_Zugliste!$A$4:$F$2002,7,FALSE),"")</f>
        <v/>
      </c>
      <c r="FN314" t="str">
        <f>+IFERROR(VLOOKUP(FN15,IN_Zugliste!$A$4:$F$2002,7,FALSE),"")</f>
        <v/>
      </c>
      <c r="FO314" t="str">
        <f>+IFERROR(VLOOKUP(FO15,IN_Zugliste!$A$4:$F$2002,7,FALSE),"")</f>
        <v/>
      </c>
      <c r="FP314" t="str">
        <f>+IFERROR(VLOOKUP(FP15,IN_Zugliste!$A$4:$F$2002,7,FALSE),"")</f>
        <v/>
      </c>
      <c r="FQ314" t="str">
        <f>+IFERROR(VLOOKUP(FQ15,IN_Zugliste!$A$4:$F$2002,7,FALSE),"")</f>
        <v/>
      </c>
      <c r="FR314" t="str">
        <f>+IFERROR(VLOOKUP(FR15,IN_Zugliste!$A$4:$F$2002,7,FALSE),"")</f>
        <v/>
      </c>
      <c r="FS314" t="str">
        <f>+IFERROR(VLOOKUP(FS15,IN_Zugliste!$A$4:$F$2002,7,FALSE),"")</f>
        <v/>
      </c>
      <c r="FT314" t="str">
        <f>+IFERROR(VLOOKUP(FT15,IN_Zugliste!$A$4:$F$2002,7,FALSE),"")</f>
        <v/>
      </c>
      <c r="FU314" t="str">
        <f>+IFERROR(VLOOKUP(FU15,IN_Zugliste!$A$4:$F$2002,7,FALSE),"")</f>
        <v/>
      </c>
      <c r="FV314" t="str">
        <f>+IFERROR(VLOOKUP(FV15,IN_Zugliste!$A$4:$F$2002,7,FALSE),"")</f>
        <v/>
      </c>
      <c r="FW314" t="str">
        <f>+IFERROR(VLOOKUP(FW15,IN_Zugliste!$A$4:$F$2002,7,FALSE),"")</f>
        <v/>
      </c>
      <c r="FX314" t="str">
        <f>+IFERROR(VLOOKUP(FX15,IN_Zugliste!$A$4:$F$2002,7,FALSE),"")</f>
        <v/>
      </c>
      <c r="FY314" t="str">
        <f>+IFERROR(VLOOKUP(FY15,IN_Zugliste!$A$4:$F$2002,7,FALSE),"")</f>
        <v/>
      </c>
      <c r="FZ314" t="str">
        <f>+IFERROR(VLOOKUP(FZ15,IN_Zugliste!$A$4:$F$2002,7,FALSE),"")</f>
        <v/>
      </c>
      <c r="GA314" t="str">
        <f>+IFERROR(VLOOKUP(GA15,IN_Zugliste!$A$4:$F$2002,7,FALSE),"")</f>
        <v/>
      </c>
      <c r="GB314" t="str">
        <f>+IFERROR(VLOOKUP(GB15,IN_Zugliste!$A$4:$F$2002,7,FALSE),"")</f>
        <v/>
      </c>
      <c r="GC314" t="str">
        <f>+IFERROR(VLOOKUP(GC15,IN_Zugliste!$A$4:$F$2002,7,FALSE),"")</f>
        <v/>
      </c>
      <c r="GD314" t="str">
        <f>+IFERROR(VLOOKUP(GD15,IN_Zugliste!$A$4:$F$2002,7,FALSE),"")</f>
        <v/>
      </c>
      <c r="GE314" t="str">
        <f>+IFERROR(VLOOKUP(GE15,IN_Zugliste!$A$4:$F$2002,7,FALSE),"")</f>
        <v/>
      </c>
      <c r="GF314" t="str">
        <f>+IFERROR(VLOOKUP(GF15,IN_Zugliste!$A$4:$F$2002,7,FALSE),"")</f>
        <v/>
      </c>
      <c r="GG314" t="str">
        <f>+IFERROR(VLOOKUP(GG15,IN_Zugliste!$A$4:$F$2002,7,FALSE),"")</f>
        <v/>
      </c>
      <c r="GH314" t="str">
        <f>+IFERROR(VLOOKUP(GH15,IN_Zugliste!$A$4:$F$2002,7,FALSE),"")</f>
        <v/>
      </c>
      <c r="GI314" t="str">
        <f>+IFERROR(VLOOKUP(GI15,IN_Zugliste!$A$4:$F$2002,7,FALSE),"")</f>
        <v/>
      </c>
      <c r="GJ314" t="str">
        <f>+IFERROR(VLOOKUP(GJ15,IN_Zugliste!$A$4:$F$2002,7,FALSE),"")</f>
        <v/>
      </c>
      <c r="GK314" t="str">
        <f>+IFERROR(VLOOKUP(GK15,IN_Zugliste!$A$4:$F$2002,7,FALSE),"")</f>
        <v/>
      </c>
      <c r="GL314" t="str">
        <f>+IFERROR(VLOOKUP(GL15,IN_Zugliste!$A$4:$F$2002,7,FALSE),"")</f>
        <v/>
      </c>
      <c r="GM314" t="str">
        <f>+IFERROR(VLOOKUP(GM15,IN_Zugliste!$A$4:$F$2002,7,FALSE),"")</f>
        <v/>
      </c>
      <c r="GN314" t="str">
        <f>+IFERROR(VLOOKUP(GN15,IN_Zugliste!$A$4:$F$2002,7,FALSE),"")</f>
        <v/>
      </c>
      <c r="GO314" t="str">
        <f>+IFERROR(VLOOKUP(GO15,IN_Zugliste!$A$4:$F$2002,7,FALSE),"")</f>
        <v/>
      </c>
      <c r="GP314" t="str">
        <f>+IFERROR(VLOOKUP(GP15,IN_Zugliste!$A$4:$F$2002,7,FALSE),"")</f>
        <v/>
      </c>
      <c r="GQ314" t="str">
        <f>+IFERROR(VLOOKUP(GQ15,IN_Zugliste!$A$4:$F$2002,7,FALSE),"")</f>
        <v/>
      </c>
      <c r="GR314" t="str">
        <f>+IFERROR(VLOOKUP(GR15,IN_Zugliste!$A$4:$F$2002,7,FALSE),"")</f>
        <v/>
      </c>
      <c r="GS314" t="str">
        <f>+IFERROR(VLOOKUP(GS15,IN_Zugliste!$A$4:$F$2002,7,FALSE),"")</f>
        <v/>
      </c>
      <c r="GT314" t="str">
        <f>+IFERROR(VLOOKUP(GT15,IN_Zugliste!$A$4:$F$2002,7,FALSE),"")</f>
        <v/>
      </c>
      <c r="GU314" t="str">
        <f>+IFERROR(VLOOKUP(GU15,IN_Zugliste!$A$4:$F$2002,7,FALSE),"")</f>
        <v/>
      </c>
      <c r="GV314" t="str">
        <f>+IFERROR(VLOOKUP(GV15,IN_Zugliste!$A$4:$F$2002,7,FALSE),"")</f>
        <v/>
      </c>
      <c r="GW314" t="str">
        <f>+IFERROR(VLOOKUP(GW15,IN_Zugliste!$A$4:$F$2002,7,FALSE),"")</f>
        <v/>
      </c>
      <c r="GX314" t="str">
        <f>+IFERROR(VLOOKUP(GX15,IN_Zugliste!$A$4:$F$2002,7,FALSE),"")</f>
        <v/>
      </c>
      <c r="GY314" t="str">
        <f>+IFERROR(VLOOKUP(GY15,IN_Zugliste!$A$4:$F$2002,7,FALSE),"")</f>
        <v/>
      </c>
      <c r="GZ314" t="str">
        <f>+IFERROR(VLOOKUP(GZ15,IN_Zugliste!$A$4:$F$2002,7,FALSE),"")</f>
        <v/>
      </c>
      <c r="HA314" t="str">
        <f>+IFERROR(VLOOKUP(HA15,IN_Zugliste!$A$4:$F$2002,7,FALSE),"")</f>
        <v/>
      </c>
      <c r="HB314" t="str">
        <f>+IFERROR(VLOOKUP(HB15,IN_Zugliste!$A$4:$F$2002,7,FALSE),"")</f>
        <v/>
      </c>
      <c r="HC314" t="str">
        <f>+IFERROR(VLOOKUP(HC15,IN_Zugliste!$A$4:$F$2002,7,FALSE),"")</f>
        <v/>
      </c>
      <c r="HD314" t="str">
        <f>+IFERROR(VLOOKUP(HD15,IN_Zugliste!$A$4:$F$2002,7,FALSE),"")</f>
        <v/>
      </c>
      <c r="HE314" t="str">
        <f>+IFERROR(VLOOKUP(HE15,IN_Zugliste!$A$4:$F$2002,7,FALSE),"")</f>
        <v/>
      </c>
      <c r="HF314" t="str">
        <f>+IFERROR(VLOOKUP(HF15,IN_Zugliste!$A$4:$F$2002,7,FALSE),"")</f>
        <v/>
      </c>
      <c r="HG314" t="str">
        <f>+IFERROR(VLOOKUP(HG15,IN_Zugliste!$A$4:$F$2002,7,FALSE),"")</f>
        <v/>
      </c>
      <c r="HH314" t="str">
        <f>+IFERROR(VLOOKUP(HH15,IN_Zugliste!$A$4:$F$2002,7,FALSE),"")</f>
        <v/>
      </c>
      <c r="HI314" t="str">
        <f>+IFERROR(VLOOKUP(HI15,IN_Zugliste!$A$4:$F$2002,7,FALSE),"")</f>
        <v/>
      </c>
      <c r="HJ314" t="str">
        <f>+IFERROR(VLOOKUP(HJ15,IN_Zugliste!$A$4:$F$2002,7,FALSE),"")</f>
        <v/>
      </c>
      <c r="HK314" t="str">
        <f>+IFERROR(VLOOKUP(HK15,IN_Zugliste!$A$4:$F$2002,7,FALSE),"")</f>
        <v/>
      </c>
      <c r="HL314" t="str">
        <f>+IFERROR(VLOOKUP(HL15,IN_Zugliste!$A$4:$F$2002,7,FALSE),"")</f>
        <v/>
      </c>
      <c r="HM314" t="str">
        <f>+IFERROR(VLOOKUP(HM15,IN_Zugliste!$A$4:$F$2002,7,FALSE),"")</f>
        <v/>
      </c>
      <c r="HN314" t="str">
        <f>+IFERROR(VLOOKUP(HN15,IN_Zugliste!$A$4:$F$2002,7,FALSE),"")</f>
        <v/>
      </c>
      <c r="HO314" t="str">
        <f>+IFERROR(VLOOKUP(HO15,IN_Zugliste!$A$4:$F$2002,7,FALSE),"")</f>
        <v/>
      </c>
      <c r="HP314" t="str">
        <f>+IFERROR(VLOOKUP(HP15,IN_Zugliste!$A$4:$F$2002,7,FALSE),"")</f>
        <v/>
      </c>
      <c r="HQ314" t="str">
        <f>+IFERROR(VLOOKUP(HQ15,IN_Zugliste!$A$4:$F$2002,7,FALSE),"")</f>
        <v/>
      </c>
      <c r="HR314" t="str">
        <f>+IFERROR(VLOOKUP(HR15,IN_Zugliste!$A$4:$F$2002,7,FALSE),"")</f>
        <v/>
      </c>
      <c r="HS314" t="str">
        <f>+IFERROR(VLOOKUP(HS15,IN_Zugliste!$A$4:$F$2002,7,FALSE),"")</f>
        <v/>
      </c>
      <c r="HT314" t="str">
        <f>+IFERROR(VLOOKUP(HT15,IN_Zugliste!$A$4:$F$2002,7,FALSE),"")</f>
        <v/>
      </c>
      <c r="HU314" t="str">
        <f>+IFERROR(VLOOKUP(HU15,IN_Zugliste!$A$4:$F$2002,7,FALSE),"")</f>
        <v/>
      </c>
      <c r="HV314" t="str">
        <f>+IFERROR(VLOOKUP(HV15,IN_Zugliste!$A$4:$F$2002,7,FALSE),"")</f>
        <v/>
      </c>
      <c r="HW314" t="str">
        <f>+IFERROR(VLOOKUP(HW15,IN_Zugliste!$A$4:$F$2002,7,FALSE),"")</f>
        <v/>
      </c>
      <c r="HX314" t="str">
        <f>+IFERROR(VLOOKUP(HX15,IN_Zugliste!$A$4:$F$2002,7,FALSE),"")</f>
        <v/>
      </c>
      <c r="HY314" t="str">
        <f>+IFERROR(VLOOKUP(HY15,IN_Zugliste!$A$4:$F$2002,7,FALSE),"")</f>
        <v/>
      </c>
      <c r="HZ314" t="str">
        <f>+IFERROR(VLOOKUP(HZ15,IN_Zugliste!$A$4:$F$2002,7,FALSE),"")</f>
        <v/>
      </c>
      <c r="IA314" t="str">
        <f>+IFERROR(VLOOKUP(IA15,IN_Zugliste!$A$4:$F$2002,7,FALSE),"")</f>
        <v/>
      </c>
      <c r="IB314" t="str">
        <f>+IFERROR(VLOOKUP(IB15,IN_Zugliste!$A$4:$F$2002,7,FALSE),"")</f>
        <v/>
      </c>
      <c r="IC314" t="str">
        <f>+IFERROR(VLOOKUP(IC15,IN_Zugliste!$A$4:$F$2002,7,FALSE),"")</f>
        <v/>
      </c>
      <c r="ID314" t="str">
        <f>+IFERROR(VLOOKUP(ID15,IN_Zugliste!$A$4:$F$2002,7,FALSE),"")</f>
        <v/>
      </c>
      <c r="IE314" t="str">
        <f>+IFERROR(VLOOKUP(IE15,IN_Zugliste!$A$4:$F$2002,7,FALSE),"")</f>
        <v/>
      </c>
      <c r="IF314" t="str">
        <f>+IFERROR(VLOOKUP(IF15,IN_Zugliste!$A$4:$F$2002,7,FALSE),"")</f>
        <v/>
      </c>
      <c r="IG314" t="str">
        <f>+IFERROR(VLOOKUP(IG15,IN_Zugliste!$A$4:$F$2002,7,FALSE),"")</f>
        <v/>
      </c>
      <c r="IH314" t="str">
        <f>+IFERROR(VLOOKUP(IH15,IN_Zugliste!$A$4:$F$2002,7,FALSE),"")</f>
        <v/>
      </c>
      <c r="II314" t="str">
        <f>+IFERROR(VLOOKUP(II15,IN_Zugliste!$A$4:$F$2002,7,FALSE),"")</f>
        <v/>
      </c>
      <c r="IJ314" t="str">
        <f>+IFERROR(VLOOKUP(IJ15,IN_Zugliste!$A$4:$F$2002,7,FALSE),"")</f>
        <v/>
      </c>
      <c r="IK314" t="str">
        <f>+IFERROR(VLOOKUP(IK15,IN_Zugliste!$A$4:$F$2002,7,FALSE),"")</f>
        <v/>
      </c>
      <c r="IL314" t="str">
        <f>+IFERROR(VLOOKUP(IL15,IN_Zugliste!$A$4:$F$2002,7,FALSE),"")</f>
        <v/>
      </c>
      <c r="IM314" t="str">
        <f>+IFERROR(VLOOKUP(IM15,IN_Zugliste!$A$4:$F$2002,7,FALSE),"")</f>
        <v/>
      </c>
      <c r="IN314" t="str">
        <f>+IFERROR(VLOOKUP(IN15,IN_Zugliste!$A$4:$F$2002,7,FALSE),"")</f>
        <v/>
      </c>
      <c r="IO314" t="str">
        <f>+IFERROR(VLOOKUP(IO15,IN_Zugliste!$A$4:$F$2002,7,FALSE),"")</f>
        <v/>
      </c>
      <c r="IP314" t="str">
        <f>+IFERROR(VLOOKUP(IP15,IN_Zugliste!$A$4:$F$2002,7,FALSE),"")</f>
        <v/>
      </c>
      <c r="IQ314" t="str">
        <f>+IFERROR(VLOOKUP(IQ15,IN_Zugliste!$A$4:$F$2002,7,FALSE),"")</f>
        <v/>
      </c>
      <c r="IR314" t="str">
        <f>+IFERROR(VLOOKUP(IR15,IN_Zugliste!$A$4:$F$2002,7,FALSE),"")</f>
        <v/>
      </c>
      <c r="IS314" t="str">
        <f>+IFERROR(VLOOKUP(IS15,IN_Zugliste!$A$4:$F$2002,7,FALSE),"")</f>
        <v/>
      </c>
      <c r="IT314" t="str">
        <f>+IFERROR(VLOOKUP(IT15,IN_Zugliste!$A$4:$F$2002,7,FALSE),"")</f>
        <v/>
      </c>
      <c r="IU314" t="str">
        <f>+IFERROR(VLOOKUP(IU15,IN_Zugliste!$A$4:$F$2002,7,FALSE),"")</f>
        <v/>
      </c>
      <c r="IV314" t="str">
        <f>+IFERROR(VLOOKUP(IV15,IN_Zugliste!$A$4:$F$2002,7,FALSE),"")</f>
        <v/>
      </c>
      <c r="IW314" t="str">
        <f>+IFERROR(VLOOKUP(IW15,IN_Zugliste!$A$4:$F$2002,7,FALSE),"")</f>
        <v/>
      </c>
      <c r="IX314" t="str">
        <f>+IFERROR(VLOOKUP(IX15,IN_Zugliste!$A$4:$F$2002,7,FALSE),"")</f>
        <v/>
      </c>
      <c r="IY314" t="str">
        <f>+IFERROR(VLOOKUP(IY15,IN_Zugliste!$A$4:$F$2002,7,FALSE),"")</f>
        <v/>
      </c>
      <c r="IZ314" t="str">
        <f>+IFERROR(VLOOKUP(IZ15,IN_Zugliste!$A$4:$F$2002,7,FALSE),"")</f>
        <v/>
      </c>
      <c r="JA314" t="str">
        <f>+IFERROR(VLOOKUP(JA15,IN_Zugliste!$A$4:$F$2002,7,FALSE),"")</f>
        <v/>
      </c>
      <c r="JB314" t="str">
        <f>+IFERROR(VLOOKUP(JB15,IN_Zugliste!$A$4:$F$2002,7,FALSE),"")</f>
        <v/>
      </c>
      <c r="JC314" t="str">
        <f>+IFERROR(VLOOKUP(JC15,IN_Zugliste!$A$4:$F$2002,7,FALSE),"")</f>
        <v/>
      </c>
      <c r="JD314" t="str">
        <f>+IFERROR(VLOOKUP(JD15,IN_Zugliste!$A$4:$F$2002,7,FALSE),"")</f>
        <v/>
      </c>
      <c r="JE314" t="str">
        <f>+IFERROR(VLOOKUP(JE15,IN_Zugliste!$A$4:$F$2002,7,FALSE),"")</f>
        <v/>
      </c>
      <c r="JF314" t="str">
        <f>+IFERROR(VLOOKUP(JF15,IN_Zugliste!$A$4:$F$2002,7,FALSE),"")</f>
        <v/>
      </c>
      <c r="JG314" t="str">
        <f>+IFERROR(VLOOKUP(JG15,IN_Zugliste!$A$4:$F$2002,7,FALSE),"")</f>
        <v/>
      </c>
      <c r="JH314" t="str">
        <f>+IFERROR(VLOOKUP(JH15,IN_Zugliste!$A$4:$F$2002,7,FALSE),"")</f>
        <v/>
      </c>
      <c r="JI314" t="str">
        <f>+IFERROR(VLOOKUP(JI15,IN_Zugliste!$A$4:$F$2002,7,FALSE),"")</f>
        <v/>
      </c>
      <c r="JJ314" t="str">
        <f>+IFERROR(VLOOKUP(JJ15,IN_Zugliste!$A$4:$F$2002,7,FALSE),"")</f>
        <v/>
      </c>
    </row>
    <row r="315" spans="1:270" x14ac:dyDescent="0.2">
      <c r="A315" t="str">
        <f>+IFERROR(VLOOKUP(A16,IN_Zugliste!$A$4:$F$2002,7,FALSE),"")</f>
        <v/>
      </c>
      <c r="B315" t="str">
        <f>+IFERROR(VLOOKUP(B16,IN_Zugliste!$A$4:$F$2002,7,FALSE),"")</f>
        <v/>
      </c>
      <c r="C315" t="str">
        <f>+IFERROR(VLOOKUP(C16,IN_Zugliste!$A$4:$F$2002,7,FALSE),"")</f>
        <v/>
      </c>
      <c r="D315" t="str">
        <f>+IFERROR(VLOOKUP(D16,IN_Zugliste!$A$4:$F$2002,7,FALSE),"")</f>
        <v/>
      </c>
      <c r="E315" t="str">
        <f>+IFERROR(VLOOKUP(E16,IN_Zugliste!$A$4:$F$2002,7,FALSE),"")</f>
        <v/>
      </c>
      <c r="F315" t="str">
        <f>+IFERROR(VLOOKUP(F16,IN_Zugliste!$A$4:$F$2002,7,FALSE),"")</f>
        <v/>
      </c>
      <c r="G315" t="str">
        <f>+IFERROR(VLOOKUP(G16,IN_Zugliste!$A$4:$F$2002,7,FALSE),"")</f>
        <v/>
      </c>
      <c r="H315" t="str">
        <f>+IFERROR(VLOOKUP(H16,IN_Zugliste!$A$4:$F$2002,7,FALSE),"")</f>
        <v/>
      </c>
      <c r="I315" t="str">
        <f>+IFERROR(VLOOKUP(I16,IN_Zugliste!$A$4:$F$2002,7,FALSE),"")</f>
        <v/>
      </c>
      <c r="J315" t="str">
        <f>+IFERROR(VLOOKUP(J16,IN_Zugliste!$A$4:$F$2002,7,FALSE),"")</f>
        <v/>
      </c>
      <c r="K315" t="str">
        <f>+IFERROR(VLOOKUP(K16,IN_Zugliste!$A$4:$F$2002,7,FALSE),"")</f>
        <v/>
      </c>
      <c r="L315" t="str">
        <f>+IFERROR(VLOOKUP(L16,IN_Zugliste!$A$4:$F$2002,7,FALSE),"")</f>
        <v/>
      </c>
      <c r="M315" t="str">
        <f>+IFERROR(VLOOKUP(M16,IN_Zugliste!$A$4:$F$2002,7,FALSE),"")</f>
        <v/>
      </c>
      <c r="N315" t="str">
        <f>+IFERROR(VLOOKUP(N16,IN_Zugliste!$A$4:$F$2002,7,FALSE),"")</f>
        <v/>
      </c>
      <c r="O315" t="str">
        <f>+IFERROR(VLOOKUP(O16,IN_Zugliste!$A$4:$F$2002,7,FALSE),"")</f>
        <v/>
      </c>
      <c r="P315" t="str">
        <f>+IFERROR(VLOOKUP(P16,IN_Zugliste!$A$4:$F$2002,7,FALSE),"")</f>
        <v/>
      </c>
      <c r="Q315" t="str">
        <f>+IFERROR(VLOOKUP(Q16,IN_Zugliste!$A$4:$F$2002,7,FALSE),"")</f>
        <v/>
      </c>
      <c r="R315" t="str">
        <f>+IFERROR(VLOOKUP(R16,IN_Zugliste!$A$4:$F$2002,7,FALSE),"")</f>
        <v/>
      </c>
      <c r="S315" t="str">
        <f>+IFERROR(VLOOKUP(S16,IN_Zugliste!$A$4:$F$2002,7,FALSE),"")</f>
        <v/>
      </c>
      <c r="T315" t="str">
        <f>+IFERROR(VLOOKUP(T16,IN_Zugliste!$A$4:$F$2002,7,FALSE),"")</f>
        <v/>
      </c>
      <c r="U315" t="str">
        <f>+IFERROR(VLOOKUP(U16,IN_Zugliste!$A$4:$F$2002,7,FALSE),"")</f>
        <v/>
      </c>
      <c r="V315" t="str">
        <f>+IFERROR(VLOOKUP(V16,IN_Zugliste!$A$4:$F$2002,7,FALSE),"")</f>
        <v/>
      </c>
      <c r="W315" t="str">
        <f>+IFERROR(VLOOKUP(W16,IN_Zugliste!$A$4:$F$2002,7,FALSE),"")</f>
        <v/>
      </c>
      <c r="X315" t="str">
        <f>+IFERROR(VLOOKUP(X16,IN_Zugliste!$A$4:$F$2002,7,FALSE),"")</f>
        <v/>
      </c>
      <c r="Y315" t="str">
        <f>+IFERROR(VLOOKUP(Y16,IN_Zugliste!$A$4:$F$2002,7,FALSE),"")</f>
        <v/>
      </c>
      <c r="Z315" t="str">
        <f>+IFERROR(VLOOKUP(Z16,IN_Zugliste!$A$4:$F$2002,7,FALSE),"")</f>
        <v/>
      </c>
      <c r="AA315" t="str">
        <f>+IFERROR(VLOOKUP(AA16,IN_Zugliste!$A$4:$F$2002,7,FALSE),"")</f>
        <v/>
      </c>
      <c r="AB315" t="str">
        <f>+IFERROR(VLOOKUP(AB16,IN_Zugliste!$A$4:$F$2002,7,FALSE),"")</f>
        <v/>
      </c>
      <c r="AC315" t="str">
        <f>+IFERROR(VLOOKUP(AC16,IN_Zugliste!$A$4:$F$2002,7,FALSE),"")</f>
        <v/>
      </c>
      <c r="AD315" t="str">
        <f>+IFERROR(VLOOKUP(AD16,IN_Zugliste!$A$4:$F$2002,7,FALSE),"")</f>
        <v/>
      </c>
      <c r="AE315" t="str">
        <f>+IFERROR(VLOOKUP(AE16,IN_Zugliste!$A$4:$F$2002,7,FALSE),"")</f>
        <v/>
      </c>
      <c r="AF315" t="str">
        <f>+IFERROR(VLOOKUP(AF16,IN_Zugliste!$A$4:$F$2002,7,FALSE),"")</f>
        <v/>
      </c>
      <c r="AG315" t="str">
        <f>+IFERROR(VLOOKUP(AG16,IN_Zugliste!$A$4:$F$2002,7,FALSE),"")</f>
        <v/>
      </c>
      <c r="AH315" t="str">
        <f>+IFERROR(VLOOKUP(AH16,IN_Zugliste!$A$4:$F$2002,7,FALSE),"")</f>
        <v/>
      </c>
      <c r="AI315" t="str">
        <f>+IFERROR(VLOOKUP(AI16,IN_Zugliste!$A$4:$F$2002,7,FALSE),"")</f>
        <v/>
      </c>
      <c r="AJ315" t="str">
        <f>+IFERROR(VLOOKUP(AJ16,IN_Zugliste!$A$4:$F$2002,7,FALSE),"")</f>
        <v/>
      </c>
      <c r="AK315" t="str">
        <f>+IFERROR(VLOOKUP(AK16,IN_Zugliste!$A$4:$F$2002,7,FALSE),"")</f>
        <v/>
      </c>
      <c r="AL315" t="str">
        <f>+IFERROR(VLOOKUP(AL16,IN_Zugliste!$A$4:$F$2002,7,FALSE),"")</f>
        <v/>
      </c>
      <c r="AM315" t="str">
        <f>+IFERROR(VLOOKUP(AM16,IN_Zugliste!$A$4:$F$2002,7,FALSE),"")</f>
        <v/>
      </c>
      <c r="AN315" t="str">
        <f>+IFERROR(VLOOKUP(AN16,IN_Zugliste!$A$4:$F$2002,7,FALSE),"")</f>
        <v/>
      </c>
      <c r="AO315" t="str">
        <f>+IFERROR(VLOOKUP(AO16,IN_Zugliste!$A$4:$F$2002,7,FALSE),"")</f>
        <v/>
      </c>
      <c r="AP315" t="str">
        <f>+IFERROR(VLOOKUP(AP16,IN_Zugliste!$A$4:$F$2002,7,FALSE),"")</f>
        <v/>
      </c>
      <c r="AQ315" t="str">
        <f>+IFERROR(VLOOKUP(AQ16,IN_Zugliste!$A$4:$F$2002,7,FALSE),"")</f>
        <v/>
      </c>
      <c r="AR315" t="str">
        <f>+IFERROR(VLOOKUP(AR16,IN_Zugliste!$A$4:$F$2002,7,FALSE),"")</f>
        <v/>
      </c>
      <c r="AS315" t="str">
        <f>+IFERROR(VLOOKUP(AS16,IN_Zugliste!$A$4:$F$2002,7,FALSE),"")</f>
        <v/>
      </c>
      <c r="AT315" t="str">
        <f>+IFERROR(VLOOKUP(AT16,IN_Zugliste!$A$4:$F$2002,7,FALSE),"")</f>
        <v/>
      </c>
      <c r="AU315" t="str">
        <f>+IFERROR(VLOOKUP(AU16,IN_Zugliste!$A$4:$F$2002,7,FALSE),"")</f>
        <v/>
      </c>
      <c r="AV315" t="str">
        <f>+IFERROR(VLOOKUP(AV16,IN_Zugliste!$A$4:$F$2002,7,FALSE),"")</f>
        <v/>
      </c>
      <c r="AW315" t="str">
        <f>+IFERROR(VLOOKUP(AW16,IN_Zugliste!$A$4:$F$2002,7,FALSE),"")</f>
        <v/>
      </c>
      <c r="AX315" t="str">
        <f>+IFERROR(VLOOKUP(AX16,IN_Zugliste!$A$4:$F$2002,7,FALSE),"")</f>
        <v/>
      </c>
      <c r="AY315" t="str">
        <f>+IFERROR(VLOOKUP(AY16,IN_Zugliste!$A$4:$F$2002,7,FALSE),"")</f>
        <v/>
      </c>
      <c r="AZ315" t="str">
        <f>+IFERROR(VLOOKUP(AZ16,IN_Zugliste!$A$4:$F$2002,7,FALSE),"")</f>
        <v/>
      </c>
      <c r="BA315" t="str">
        <f>+IFERROR(VLOOKUP(BA16,IN_Zugliste!$A$4:$F$2002,7,FALSE),"")</f>
        <v/>
      </c>
      <c r="BB315" t="str">
        <f>+IFERROR(VLOOKUP(BB16,IN_Zugliste!$A$4:$F$2002,7,FALSE),"")</f>
        <v/>
      </c>
      <c r="BC315" t="str">
        <f>+IFERROR(VLOOKUP(BC16,IN_Zugliste!$A$4:$F$2002,7,FALSE),"")</f>
        <v/>
      </c>
      <c r="BD315" t="str">
        <f>+IFERROR(VLOOKUP(BD16,IN_Zugliste!$A$4:$F$2002,7,FALSE),"")</f>
        <v/>
      </c>
      <c r="BE315" t="str">
        <f>+IFERROR(VLOOKUP(BE16,IN_Zugliste!$A$4:$F$2002,7,FALSE),"")</f>
        <v/>
      </c>
      <c r="BF315" t="str">
        <f>+IFERROR(VLOOKUP(BF16,IN_Zugliste!$A$4:$F$2002,7,FALSE),"")</f>
        <v/>
      </c>
      <c r="BG315" t="str">
        <f>+IFERROR(VLOOKUP(BG16,IN_Zugliste!$A$4:$F$2002,7,FALSE),"")</f>
        <v/>
      </c>
      <c r="BH315" t="str">
        <f>+IFERROR(VLOOKUP(BH16,IN_Zugliste!$A$4:$F$2002,7,FALSE),"")</f>
        <v/>
      </c>
      <c r="BI315" t="str">
        <f>+IFERROR(VLOOKUP(BI16,IN_Zugliste!$A$4:$F$2002,7,FALSE),"")</f>
        <v/>
      </c>
      <c r="BJ315" t="str">
        <f>+IFERROR(VLOOKUP(BJ16,IN_Zugliste!$A$4:$F$2002,7,FALSE),"")</f>
        <v/>
      </c>
      <c r="BK315" t="str">
        <f>+IFERROR(VLOOKUP(BK16,IN_Zugliste!$A$4:$F$2002,7,FALSE),"")</f>
        <v/>
      </c>
      <c r="BL315" t="str">
        <f>+IFERROR(VLOOKUP(BL16,IN_Zugliste!$A$4:$F$2002,7,FALSE),"")</f>
        <v/>
      </c>
      <c r="BM315" t="str">
        <f>+IFERROR(VLOOKUP(BM16,IN_Zugliste!$A$4:$F$2002,7,FALSE),"")</f>
        <v/>
      </c>
      <c r="BN315" t="str">
        <f>+IFERROR(VLOOKUP(BN16,IN_Zugliste!$A$4:$F$2002,7,FALSE),"")</f>
        <v/>
      </c>
      <c r="BO315" t="str">
        <f>+IFERROR(VLOOKUP(BO16,IN_Zugliste!$A$4:$F$2002,7,FALSE),"")</f>
        <v/>
      </c>
      <c r="BP315" t="str">
        <f>+IFERROR(VLOOKUP(BP16,IN_Zugliste!$A$4:$F$2002,7,FALSE),"")</f>
        <v/>
      </c>
      <c r="BQ315" t="str">
        <f>+IFERROR(VLOOKUP(BQ16,IN_Zugliste!$A$4:$F$2002,7,FALSE),"")</f>
        <v/>
      </c>
      <c r="BR315" t="str">
        <f>+IFERROR(VLOOKUP(BR16,IN_Zugliste!$A$4:$F$2002,7,FALSE),"")</f>
        <v/>
      </c>
      <c r="BS315" t="str">
        <f>+IFERROR(VLOOKUP(BS16,IN_Zugliste!$A$4:$F$2002,7,FALSE),"")</f>
        <v/>
      </c>
      <c r="BT315" t="str">
        <f>+IFERROR(VLOOKUP(BT16,IN_Zugliste!$A$4:$F$2002,7,FALSE),"")</f>
        <v/>
      </c>
      <c r="BU315" t="str">
        <f>+IFERROR(VLOOKUP(BU16,IN_Zugliste!$A$4:$F$2002,7,FALSE),"")</f>
        <v/>
      </c>
      <c r="BV315" t="str">
        <f>+IFERROR(VLOOKUP(BV16,IN_Zugliste!$A$4:$F$2002,7,FALSE),"")</f>
        <v/>
      </c>
      <c r="BW315" t="str">
        <f>+IFERROR(VLOOKUP(BW16,IN_Zugliste!$A$4:$F$2002,7,FALSE),"")</f>
        <v/>
      </c>
      <c r="BX315" t="str">
        <f>+IFERROR(VLOOKUP(BX16,IN_Zugliste!$A$4:$F$2002,7,FALSE),"")</f>
        <v/>
      </c>
      <c r="BY315" t="str">
        <f>+IFERROR(VLOOKUP(BY16,IN_Zugliste!$A$4:$F$2002,7,FALSE),"")</f>
        <v/>
      </c>
      <c r="BZ315" t="str">
        <f>+IFERROR(VLOOKUP(BZ16,IN_Zugliste!$A$4:$F$2002,7,FALSE),"")</f>
        <v/>
      </c>
      <c r="CA315" t="str">
        <f>+IFERROR(VLOOKUP(CA16,IN_Zugliste!$A$4:$F$2002,7,FALSE),"")</f>
        <v/>
      </c>
      <c r="CB315" t="str">
        <f>+IFERROR(VLOOKUP(CB16,IN_Zugliste!$A$4:$F$2002,7,FALSE),"")</f>
        <v/>
      </c>
      <c r="CC315" t="str">
        <f>+IFERROR(VLOOKUP(CC16,IN_Zugliste!$A$4:$F$2002,7,FALSE),"")</f>
        <v/>
      </c>
      <c r="CD315" t="str">
        <f>+IFERROR(VLOOKUP(CD16,IN_Zugliste!$A$4:$F$2002,7,FALSE),"")</f>
        <v/>
      </c>
      <c r="CE315" t="str">
        <f>+IFERROR(VLOOKUP(CE16,IN_Zugliste!$A$4:$F$2002,7,FALSE),"")</f>
        <v/>
      </c>
      <c r="CF315" t="str">
        <f>+IFERROR(VLOOKUP(CF16,IN_Zugliste!$A$4:$F$2002,7,FALSE),"")</f>
        <v/>
      </c>
      <c r="CG315" t="str">
        <f>+IFERROR(VLOOKUP(CG16,IN_Zugliste!$A$4:$F$2002,7,FALSE),"")</f>
        <v/>
      </c>
      <c r="CH315" t="str">
        <f>+IFERROR(VLOOKUP(CH16,IN_Zugliste!$A$4:$F$2002,7,FALSE),"")</f>
        <v/>
      </c>
      <c r="CI315" t="str">
        <f>+IFERROR(VLOOKUP(CI16,IN_Zugliste!$A$4:$F$2002,7,FALSE),"")</f>
        <v/>
      </c>
      <c r="CJ315" t="str">
        <f>+IFERROR(VLOOKUP(CJ16,IN_Zugliste!$A$4:$F$2002,7,FALSE),"")</f>
        <v/>
      </c>
      <c r="CK315" t="str">
        <f>+IFERROR(VLOOKUP(CK16,IN_Zugliste!$A$4:$F$2002,7,FALSE),"")</f>
        <v/>
      </c>
      <c r="CL315" t="str">
        <f>+IFERROR(VLOOKUP(CL16,IN_Zugliste!$A$4:$F$2002,7,FALSE),"")</f>
        <v/>
      </c>
      <c r="CM315" t="str">
        <f>+IFERROR(VLOOKUP(CM16,IN_Zugliste!$A$4:$F$2002,7,FALSE),"")</f>
        <v/>
      </c>
      <c r="CN315" t="str">
        <f>+IFERROR(VLOOKUP(CN16,IN_Zugliste!$A$4:$F$2002,7,FALSE),"")</f>
        <v/>
      </c>
      <c r="CO315" t="str">
        <f>+IFERROR(VLOOKUP(CO16,IN_Zugliste!$A$4:$F$2002,7,FALSE),"")</f>
        <v/>
      </c>
      <c r="CP315" t="str">
        <f>+IFERROR(VLOOKUP(CP16,IN_Zugliste!$A$4:$F$2002,7,FALSE),"")</f>
        <v/>
      </c>
      <c r="CQ315" t="str">
        <f>+IFERROR(VLOOKUP(CQ16,IN_Zugliste!$A$4:$F$2002,7,FALSE),"")</f>
        <v/>
      </c>
      <c r="CR315" t="str">
        <f>+IFERROR(VLOOKUP(CR16,IN_Zugliste!$A$4:$F$2002,7,FALSE),"")</f>
        <v/>
      </c>
      <c r="CS315" t="str">
        <f>+IFERROR(VLOOKUP(CS16,IN_Zugliste!$A$4:$F$2002,7,FALSE),"")</f>
        <v/>
      </c>
      <c r="CT315" t="str">
        <f>+IFERROR(VLOOKUP(CT16,IN_Zugliste!$A$4:$F$2002,7,FALSE),"")</f>
        <v/>
      </c>
      <c r="CU315" t="str">
        <f>+IFERROR(VLOOKUP(CU16,IN_Zugliste!$A$4:$F$2002,7,FALSE),"")</f>
        <v/>
      </c>
      <c r="CV315" t="str">
        <f>+IFERROR(VLOOKUP(CV16,IN_Zugliste!$A$4:$F$2002,7,FALSE),"")</f>
        <v/>
      </c>
      <c r="CW315" t="str">
        <f>+IFERROR(VLOOKUP(CW16,IN_Zugliste!$A$4:$F$2002,7,FALSE),"")</f>
        <v/>
      </c>
      <c r="CX315" t="str">
        <f>+IFERROR(VLOOKUP(CX16,IN_Zugliste!$A$4:$F$2002,7,FALSE),"")</f>
        <v/>
      </c>
      <c r="CY315" t="str">
        <f>+IFERROR(VLOOKUP(CY16,IN_Zugliste!$A$4:$F$2002,7,FALSE),"")</f>
        <v/>
      </c>
      <c r="CZ315" t="str">
        <f>+IFERROR(VLOOKUP(CZ16,IN_Zugliste!$A$4:$F$2002,7,FALSE),"")</f>
        <v/>
      </c>
      <c r="DA315" t="str">
        <f>+IFERROR(VLOOKUP(DA16,IN_Zugliste!$A$4:$F$2002,7,FALSE),"")</f>
        <v/>
      </c>
      <c r="DB315" t="str">
        <f>+IFERROR(VLOOKUP(DB16,IN_Zugliste!$A$4:$F$2002,7,FALSE),"")</f>
        <v/>
      </c>
      <c r="DC315" t="str">
        <f>+IFERROR(VLOOKUP(DC16,IN_Zugliste!$A$4:$F$2002,7,FALSE),"")</f>
        <v/>
      </c>
      <c r="DD315" t="str">
        <f>+IFERROR(VLOOKUP(DD16,IN_Zugliste!$A$4:$F$2002,7,FALSE),"")</f>
        <v/>
      </c>
      <c r="DE315" t="str">
        <f>+IFERROR(VLOOKUP(DE16,IN_Zugliste!$A$4:$F$2002,7,FALSE),"")</f>
        <v/>
      </c>
      <c r="DF315" t="str">
        <f>+IFERROR(VLOOKUP(DF16,IN_Zugliste!$A$4:$F$2002,7,FALSE),"")</f>
        <v/>
      </c>
      <c r="DG315" t="str">
        <f>+IFERROR(VLOOKUP(DG16,IN_Zugliste!$A$4:$F$2002,7,FALSE),"")</f>
        <v/>
      </c>
      <c r="DH315" t="str">
        <f>+IFERROR(VLOOKUP(DH16,IN_Zugliste!$A$4:$F$2002,7,FALSE),"")</f>
        <v/>
      </c>
      <c r="DI315" t="str">
        <f>+IFERROR(VLOOKUP(DI16,IN_Zugliste!$A$4:$F$2002,7,FALSE),"")</f>
        <v/>
      </c>
      <c r="DJ315" t="str">
        <f>+IFERROR(VLOOKUP(DJ16,IN_Zugliste!$A$4:$F$2002,7,FALSE),"")</f>
        <v/>
      </c>
      <c r="DK315" t="str">
        <f>+IFERROR(VLOOKUP(DK16,IN_Zugliste!$A$4:$F$2002,7,FALSE),"")</f>
        <v/>
      </c>
      <c r="DL315" t="str">
        <f>+IFERROR(VLOOKUP(DL16,IN_Zugliste!$A$4:$F$2002,7,FALSE),"")</f>
        <v/>
      </c>
      <c r="DM315" t="str">
        <f>+IFERROR(VLOOKUP(DM16,IN_Zugliste!$A$4:$F$2002,7,FALSE),"")</f>
        <v/>
      </c>
      <c r="DN315" t="str">
        <f>+IFERROR(VLOOKUP(DN16,IN_Zugliste!$A$4:$F$2002,7,FALSE),"")</f>
        <v/>
      </c>
      <c r="DO315" t="str">
        <f>+IFERROR(VLOOKUP(DO16,IN_Zugliste!$A$4:$F$2002,7,FALSE),"")</f>
        <v/>
      </c>
      <c r="DP315" t="str">
        <f>+IFERROR(VLOOKUP(DP16,IN_Zugliste!$A$4:$F$2002,7,FALSE),"")</f>
        <v/>
      </c>
      <c r="DQ315" t="str">
        <f>+IFERROR(VLOOKUP(DQ16,IN_Zugliste!$A$4:$F$2002,7,FALSE),"")</f>
        <v/>
      </c>
      <c r="DR315" t="str">
        <f>+IFERROR(VLOOKUP(DR16,IN_Zugliste!$A$4:$F$2002,7,FALSE),"")</f>
        <v/>
      </c>
      <c r="DS315" t="str">
        <f>+IFERROR(VLOOKUP(DS16,IN_Zugliste!$A$4:$F$2002,7,FALSE),"")</f>
        <v/>
      </c>
      <c r="DT315" t="str">
        <f>+IFERROR(VLOOKUP(DT16,IN_Zugliste!$A$4:$F$2002,7,FALSE),"")</f>
        <v/>
      </c>
      <c r="DU315" t="str">
        <f>+IFERROR(VLOOKUP(DU16,IN_Zugliste!$A$4:$F$2002,7,FALSE),"")</f>
        <v/>
      </c>
      <c r="DV315" t="str">
        <f>+IFERROR(VLOOKUP(DV16,IN_Zugliste!$A$4:$F$2002,7,FALSE),"")</f>
        <v/>
      </c>
      <c r="DW315" t="str">
        <f>+IFERROR(VLOOKUP(DW16,IN_Zugliste!$A$4:$F$2002,7,FALSE),"")</f>
        <v/>
      </c>
      <c r="DX315" t="str">
        <f>+IFERROR(VLOOKUP(DX16,IN_Zugliste!$A$4:$F$2002,7,FALSE),"")</f>
        <v/>
      </c>
      <c r="DY315" t="str">
        <f>+IFERROR(VLOOKUP(DY16,IN_Zugliste!$A$4:$F$2002,7,FALSE),"")</f>
        <v/>
      </c>
      <c r="DZ315" t="str">
        <f>+IFERROR(VLOOKUP(DZ16,IN_Zugliste!$A$4:$F$2002,7,FALSE),"")</f>
        <v/>
      </c>
      <c r="EA315" t="str">
        <f>+IFERROR(VLOOKUP(EA16,IN_Zugliste!$A$4:$F$2002,7,FALSE),"")</f>
        <v/>
      </c>
      <c r="EB315" t="str">
        <f>+IFERROR(VLOOKUP(EB16,IN_Zugliste!$A$4:$F$2002,7,FALSE),"")</f>
        <v/>
      </c>
      <c r="EC315" t="str">
        <f>+IFERROR(VLOOKUP(EC16,IN_Zugliste!$A$4:$F$2002,7,FALSE),"")</f>
        <v/>
      </c>
      <c r="ED315" t="str">
        <f>+IFERROR(VLOOKUP(ED16,IN_Zugliste!$A$4:$F$2002,7,FALSE),"")</f>
        <v/>
      </c>
      <c r="EE315" t="str">
        <f>+IFERROR(VLOOKUP(EE16,IN_Zugliste!$A$4:$F$2002,7,FALSE),"")</f>
        <v/>
      </c>
      <c r="EF315" t="str">
        <f>+IFERROR(VLOOKUP(EF16,IN_Zugliste!$A$4:$F$2002,7,FALSE),"")</f>
        <v/>
      </c>
      <c r="EG315" t="str">
        <f>+IFERROR(VLOOKUP(EG16,IN_Zugliste!$A$4:$F$2002,7,FALSE),"")</f>
        <v/>
      </c>
      <c r="EH315" t="str">
        <f>+IFERROR(VLOOKUP(EH16,IN_Zugliste!$A$4:$F$2002,7,FALSE),"")</f>
        <v/>
      </c>
      <c r="EI315" t="str">
        <f>+IFERROR(VLOOKUP(EI16,IN_Zugliste!$A$4:$F$2002,7,FALSE),"")</f>
        <v/>
      </c>
      <c r="EJ315" t="str">
        <f>+IFERROR(VLOOKUP(EJ16,IN_Zugliste!$A$4:$F$2002,7,FALSE),"")</f>
        <v/>
      </c>
      <c r="EK315" t="str">
        <f>+IFERROR(VLOOKUP(EK16,IN_Zugliste!$A$4:$F$2002,7,FALSE),"")</f>
        <v/>
      </c>
      <c r="EL315" t="str">
        <f>+IFERROR(VLOOKUP(EL16,IN_Zugliste!$A$4:$F$2002,7,FALSE),"")</f>
        <v/>
      </c>
      <c r="EM315" t="str">
        <f>+IFERROR(VLOOKUP(EM16,IN_Zugliste!$A$4:$F$2002,7,FALSE),"")</f>
        <v/>
      </c>
      <c r="EN315" t="str">
        <f>+IFERROR(VLOOKUP(EN16,IN_Zugliste!$A$4:$F$2002,7,FALSE),"")</f>
        <v/>
      </c>
      <c r="EO315" t="str">
        <f>+IFERROR(VLOOKUP(EO16,IN_Zugliste!$A$4:$F$2002,7,FALSE),"")</f>
        <v/>
      </c>
      <c r="EP315" t="str">
        <f>+IFERROR(VLOOKUP(EP16,IN_Zugliste!$A$4:$F$2002,7,FALSE),"")</f>
        <v/>
      </c>
      <c r="EQ315" t="str">
        <f>+IFERROR(VLOOKUP(EQ16,IN_Zugliste!$A$4:$F$2002,7,FALSE),"")</f>
        <v/>
      </c>
      <c r="ER315" t="str">
        <f>+IFERROR(VLOOKUP(ER16,IN_Zugliste!$A$4:$F$2002,7,FALSE),"")</f>
        <v/>
      </c>
      <c r="ES315" t="str">
        <f>+IFERROR(VLOOKUP(ES16,IN_Zugliste!$A$4:$F$2002,7,FALSE),"")</f>
        <v/>
      </c>
      <c r="ET315" t="str">
        <f>+IFERROR(VLOOKUP(ET16,IN_Zugliste!$A$4:$F$2002,7,FALSE),"")</f>
        <v/>
      </c>
      <c r="EU315" t="str">
        <f>+IFERROR(VLOOKUP(EU16,IN_Zugliste!$A$4:$F$2002,7,FALSE),"")</f>
        <v/>
      </c>
      <c r="EV315" t="str">
        <f>+IFERROR(VLOOKUP(EV16,IN_Zugliste!$A$4:$F$2002,7,FALSE),"")</f>
        <v/>
      </c>
      <c r="EW315" t="str">
        <f>+IFERROR(VLOOKUP(EW16,IN_Zugliste!$A$4:$F$2002,7,FALSE),"")</f>
        <v/>
      </c>
      <c r="EX315" t="str">
        <f>+IFERROR(VLOOKUP(EX16,IN_Zugliste!$A$4:$F$2002,7,FALSE),"")</f>
        <v/>
      </c>
      <c r="EY315" t="str">
        <f>+IFERROR(VLOOKUP(EY16,IN_Zugliste!$A$4:$F$2002,7,FALSE),"")</f>
        <v/>
      </c>
      <c r="EZ315" t="str">
        <f>+IFERROR(VLOOKUP(EZ16,IN_Zugliste!$A$4:$F$2002,7,FALSE),"")</f>
        <v/>
      </c>
      <c r="FA315" t="str">
        <f>+IFERROR(VLOOKUP(FA16,IN_Zugliste!$A$4:$F$2002,7,FALSE),"")</f>
        <v/>
      </c>
      <c r="FB315" t="str">
        <f>+IFERROR(VLOOKUP(FB16,IN_Zugliste!$A$4:$F$2002,7,FALSE),"")</f>
        <v/>
      </c>
      <c r="FC315" t="str">
        <f>+IFERROR(VLOOKUP(FC16,IN_Zugliste!$A$4:$F$2002,7,FALSE),"")</f>
        <v/>
      </c>
      <c r="FD315" t="str">
        <f>+IFERROR(VLOOKUP(FD16,IN_Zugliste!$A$4:$F$2002,7,FALSE),"")</f>
        <v/>
      </c>
      <c r="FE315" t="str">
        <f>+IFERROR(VLOOKUP(FE16,IN_Zugliste!$A$4:$F$2002,7,FALSE),"")</f>
        <v/>
      </c>
      <c r="FF315" t="str">
        <f>+IFERROR(VLOOKUP(FF16,IN_Zugliste!$A$4:$F$2002,7,FALSE),"")</f>
        <v/>
      </c>
      <c r="FG315" t="str">
        <f>+IFERROR(VLOOKUP(FG16,IN_Zugliste!$A$4:$F$2002,7,FALSE),"")</f>
        <v/>
      </c>
      <c r="FH315" t="str">
        <f>+IFERROR(VLOOKUP(FH16,IN_Zugliste!$A$4:$F$2002,7,FALSE),"")</f>
        <v/>
      </c>
      <c r="FI315" t="str">
        <f>+IFERROR(VLOOKUP(FI16,IN_Zugliste!$A$4:$F$2002,7,FALSE),"")</f>
        <v/>
      </c>
      <c r="FJ315" t="str">
        <f>+IFERROR(VLOOKUP(FJ16,IN_Zugliste!$A$4:$F$2002,7,FALSE),"")</f>
        <v/>
      </c>
      <c r="FK315" t="str">
        <f>+IFERROR(VLOOKUP(FK16,IN_Zugliste!$A$4:$F$2002,7,FALSE),"")</f>
        <v/>
      </c>
      <c r="FL315" t="str">
        <f>+IFERROR(VLOOKUP(FL16,IN_Zugliste!$A$4:$F$2002,7,FALSE),"")</f>
        <v/>
      </c>
      <c r="FM315" t="str">
        <f>+IFERROR(VLOOKUP(FM16,IN_Zugliste!$A$4:$F$2002,7,FALSE),"")</f>
        <v/>
      </c>
      <c r="FN315" t="str">
        <f>+IFERROR(VLOOKUP(FN16,IN_Zugliste!$A$4:$F$2002,7,FALSE),"")</f>
        <v/>
      </c>
      <c r="FO315" t="str">
        <f>+IFERROR(VLOOKUP(FO16,IN_Zugliste!$A$4:$F$2002,7,FALSE),"")</f>
        <v/>
      </c>
      <c r="FP315" t="str">
        <f>+IFERROR(VLOOKUP(FP16,IN_Zugliste!$A$4:$F$2002,7,FALSE),"")</f>
        <v/>
      </c>
      <c r="FQ315" t="str">
        <f>+IFERROR(VLOOKUP(FQ16,IN_Zugliste!$A$4:$F$2002,7,FALSE),"")</f>
        <v/>
      </c>
      <c r="FR315" t="str">
        <f>+IFERROR(VLOOKUP(FR16,IN_Zugliste!$A$4:$F$2002,7,FALSE),"")</f>
        <v/>
      </c>
      <c r="FS315" t="str">
        <f>+IFERROR(VLOOKUP(FS16,IN_Zugliste!$A$4:$F$2002,7,FALSE),"")</f>
        <v/>
      </c>
      <c r="FT315" t="str">
        <f>+IFERROR(VLOOKUP(FT16,IN_Zugliste!$A$4:$F$2002,7,FALSE),"")</f>
        <v/>
      </c>
      <c r="FU315" t="str">
        <f>+IFERROR(VLOOKUP(FU16,IN_Zugliste!$A$4:$F$2002,7,FALSE),"")</f>
        <v/>
      </c>
      <c r="FV315" t="str">
        <f>+IFERROR(VLOOKUP(FV16,IN_Zugliste!$A$4:$F$2002,7,FALSE),"")</f>
        <v/>
      </c>
      <c r="FW315" t="str">
        <f>+IFERROR(VLOOKUP(FW16,IN_Zugliste!$A$4:$F$2002,7,FALSE),"")</f>
        <v/>
      </c>
      <c r="FX315" t="str">
        <f>+IFERROR(VLOOKUP(FX16,IN_Zugliste!$A$4:$F$2002,7,FALSE),"")</f>
        <v/>
      </c>
      <c r="FY315" t="str">
        <f>+IFERROR(VLOOKUP(FY16,IN_Zugliste!$A$4:$F$2002,7,FALSE),"")</f>
        <v/>
      </c>
      <c r="FZ315" t="str">
        <f>+IFERROR(VLOOKUP(FZ16,IN_Zugliste!$A$4:$F$2002,7,FALSE),"")</f>
        <v/>
      </c>
      <c r="GA315" t="str">
        <f>+IFERROR(VLOOKUP(GA16,IN_Zugliste!$A$4:$F$2002,7,FALSE),"")</f>
        <v/>
      </c>
      <c r="GB315" t="str">
        <f>+IFERROR(VLOOKUP(GB16,IN_Zugliste!$A$4:$F$2002,7,FALSE),"")</f>
        <v/>
      </c>
      <c r="GC315" t="str">
        <f>+IFERROR(VLOOKUP(GC16,IN_Zugliste!$A$4:$F$2002,7,FALSE),"")</f>
        <v/>
      </c>
      <c r="GD315" t="str">
        <f>+IFERROR(VLOOKUP(GD16,IN_Zugliste!$A$4:$F$2002,7,FALSE),"")</f>
        <v/>
      </c>
      <c r="GE315" t="str">
        <f>+IFERROR(VLOOKUP(GE16,IN_Zugliste!$A$4:$F$2002,7,FALSE),"")</f>
        <v/>
      </c>
      <c r="GF315" t="str">
        <f>+IFERROR(VLOOKUP(GF16,IN_Zugliste!$A$4:$F$2002,7,FALSE),"")</f>
        <v/>
      </c>
      <c r="GG315" t="str">
        <f>+IFERROR(VLOOKUP(GG16,IN_Zugliste!$A$4:$F$2002,7,FALSE),"")</f>
        <v/>
      </c>
      <c r="GH315" t="str">
        <f>+IFERROR(VLOOKUP(GH16,IN_Zugliste!$A$4:$F$2002,7,FALSE),"")</f>
        <v/>
      </c>
      <c r="GI315" t="str">
        <f>+IFERROR(VLOOKUP(GI16,IN_Zugliste!$A$4:$F$2002,7,FALSE),"")</f>
        <v/>
      </c>
      <c r="GJ315" t="str">
        <f>+IFERROR(VLOOKUP(GJ16,IN_Zugliste!$A$4:$F$2002,7,FALSE),"")</f>
        <v/>
      </c>
      <c r="GK315" t="str">
        <f>+IFERROR(VLOOKUP(GK16,IN_Zugliste!$A$4:$F$2002,7,FALSE),"")</f>
        <v/>
      </c>
      <c r="GL315" t="str">
        <f>+IFERROR(VLOOKUP(GL16,IN_Zugliste!$A$4:$F$2002,7,FALSE),"")</f>
        <v/>
      </c>
      <c r="GM315" t="str">
        <f>+IFERROR(VLOOKUP(GM16,IN_Zugliste!$A$4:$F$2002,7,FALSE),"")</f>
        <v/>
      </c>
      <c r="GN315" t="str">
        <f>+IFERROR(VLOOKUP(GN16,IN_Zugliste!$A$4:$F$2002,7,FALSE),"")</f>
        <v/>
      </c>
      <c r="GO315" t="str">
        <f>+IFERROR(VLOOKUP(GO16,IN_Zugliste!$A$4:$F$2002,7,FALSE),"")</f>
        <v/>
      </c>
      <c r="GP315" t="str">
        <f>+IFERROR(VLOOKUP(GP16,IN_Zugliste!$A$4:$F$2002,7,FALSE),"")</f>
        <v/>
      </c>
      <c r="GQ315" t="str">
        <f>+IFERROR(VLOOKUP(GQ16,IN_Zugliste!$A$4:$F$2002,7,FALSE),"")</f>
        <v/>
      </c>
      <c r="GR315" t="str">
        <f>+IFERROR(VLOOKUP(GR16,IN_Zugliste!$A$4:$F$2002,7,FALSE),"")</f>
        <v/>
      </c>
      <c r="GS315" t="str">
        <f>+IFERROR(VLOOKUP(GS16,IN_Zugliste!$A$4:$F$2002,7,FALSE),"")</f>
        <v/>
      </c>
      <c r="GT315" t="str">
        <f>+IFERROR(VLOOKUP(GT16,IN_Zugliste!$A$4:$F$2002,7,FALSE),"")</f>
        <v/>
      </c>
      <c r="GU315" t="str">
        <f>+IFERROR(VLOOKUP(GU16,IN_Zugliste!$A$4:$F$2002,7,FALSE),"")</f>
        <v/>
      </c>
      <c r="GV315" t="str">
        <f>+IFERROR(VLOOKUP(GV16,IN_Zugliste!$A$4:$F$2002,7,FALSE),"")</f>
        <v/>
      </c>
      <c r="GW315" t="str">
        <f>+IFERROR(VLOOKUP(GW16,IN_Zugliste!$A$4:$F$2002,7,FALSE),"")</f>
        <v/>
      </c>
      <c r="GX315" t="str">
        <f>+IFERROR(VLOOKUP(GX16,IN_Zugliste!$A$4:$F$2002,7,FALSE),"")</f>
        <v/>
      </c>
      <c r="GY315" t="str">
        <f>+IFERROR(VLOOKUP(GY16,IN_Zugliste!$A$4:$F$2002,7,FALSE),"")</f>
        <v/>
      </c>
      <c r="GZ315" t="str">
        <f>+IFERROR(VLOOKUP(GZ16,IN_Zugliste!$A$4:$F$2002,7,FALSE),"")</f>
        <v/>
      </c>
      <c r="HA315" t="str">
        <f>+IFERROR(VLOOKUP(HA16,IN_Zugliste!$A$4:$F$2002,7,FALSE),"")</f>
        <v/>
      </c>
      <c r="HB315" t="str">
        <f>+IFERROR(VLOOKUP(HB16,IN_Zugliste!$A$4:$F$2002,7,FALSE),"")</f>
        <v/>
      </c>
      <c r="HC315" t="str">
        <f>+IFERROR(VLOOKUP(HC16,IN_Zugliste!$A$4:$F$2002,7,FALSE),"")</f>
        <v/>
      </c>
      <c r="HD315" t="str">
        <f>+IFERROR(VLOOKUP(HD16,IN_Zugliste!$A$4:$F$2002,7,FALSE),"")</f>
        <v/>
      </c>
      <c r="HE315" t="str">
        <f>+IFERROR(VLOOKUP(HE16,IN_Zugliste!$A$4:$F$2002,7,FALSE),"")</f>
        <v/>
      </c>
      <c r="HF315" t="str">
        <f>+IFERROR(VLOOKUP(HF16,IN_Zugliste!$A$4:$F$2002,7,FALSE),"")</f>
        <v/>
      </c>
      <c r="HG315" t="str">
        <f>+IFERROR(VLOOKUP(HG16,IN_Zugliste!$A$4:$F$2002,7,FALSE),"")</f>
        <v/>
      </c>
      <c r="HH315" t="str">
        <f>+IFERROR(VLOOKUP(HH16,IN_Zugliste!$A$4:$F$2002,7,FALSE),"")</f>
        <v/>
      </c>
      <c r="HI315" t="str">
        <f>+IFERROR(VLOOKUP(HI16,IN_Zugliste!$A$4:$F$2002,7,FALSE),"")</f>
        <v/>
      </c>
      <c r="HJ315" t="str">
        <f>+IFERROR(VLOOKUP(HJ16,IN_Zugliste!$A$4:$F$2002,7,FALSE),"")</f>
        <v/>
      </c>
      <c r="HK315" t="str">
        <f>+IFERROR(VLOOKUP(HK16,IN_Zugliste!$A$4:$F$2002,7,FALSE),"")</f>
        <v/>
      </c>
      <c r="HL315" t="str">
        <f>+IFERROR(VLOOKUP(HL16,IN_Zugliste!$A$4:$F$2002,7,FALSE),"")</f>
        <v/>
      </c>
      <c r="HM315" t="str">
        <f>+IFERROR(VLOOKUP(HM16,IN_Zugliste!$A$4:$F$2002,7,FALSE),"")</f>
        <v/>
      </c>
      <c r="HN315" t="str">
        <f>+IFERROR(VLOOKUP(HN16,IN_Zugliste!$A$4:$F$2002,7,FALSE),"")</f>
        <v/>
      </c>
      <c r="HO315" t="str">
        <f>+IFERROR(VLOOKUP(HO16,IN_Zugliste!$A$4:$F$2002,7,FALSE),"")</f>
        <v/>
      </c>
      <c r="HP315" t="str">
        <f>+IFERROR(VLOOKUP(HP16,IN_Zugliste!$A$4:$F$2002,7,FALSE),"")</f>
        <v/>
      </c>
      <c r="HQ315" t="str">
        <f>+IFERROR(VLOOKUP(HQ16,IN_Zugliste!$A$4:$F$2002,7,FALSE),"")</f>
        <v/>
      </c>
      <c r="HR315" t="str">
        <f>+IFERROR(VLOOKUP(HR16,IN_Zugliste!$A$4:$F$2002,7,FALSE),"")</f>
        <v/>
      </c>
      <c r="HS315" t="str">
        <f>+IFERROR(VLOOKUP(HS16,IN_Zugliste!$A$4:$F$2002,7,FALSE),"")</f>
        <v/>
      </c>
      <c r="HT315" t="str">
        <f>+IFERROR(VLOOKUP(HT16,IN_Zugliste!$A$4:$F$2002,7,FALSE),"")</f>
        <v/>
      </c>
      <c r="HU315" t="str">
        <f>+IFERROR(VLOOKUP(HU16,IN_Zugliste!$A$4:$F$2002,7,FALSE),"")</f>
        <v/>
      </c>
      <c r="HV315" t="str">
        <f>+IFERROR(VLOOKUP(HV16,IN_Zugliste!$A$4:$F$2002,7,FALSE),"")</f>
        <v/>
      </c>
      <c r="HW315" t="str">
        <f>+IFERROR(VLOOKUP(HW16,IN_Zugliste!$A$4:$F$2002,7,FALSE),"")</f>
        <v/>
      </c>
      <c r="HX315" t="str">
        <f>+IFERROR(VLOOKUP(HX16,IN_Zugliste!$A$4:$F$2002,7,FALSE),"")</f>
        <v/>
      </c>
      <c r="HY315" t="str">
        <f>+IFERROR(VLOOKUP(HY16,IN_Zugliste!$A$4:$F$2002,7,FALSE),"")</f>
        <v/>
      </c>
      <c r="HZ315" t="str">
        <f>+IFERROR(VLOOKUP(HZ16,IN_Zugliste!$A$4:$F$2002,7,FALSE),"")</f>
        <v/>
      </c>
      <c r="IA315" t="str">
        <f>+IFERROR(VLOOKUP(IA16,IN_Zugliste!$A$4:$F$2002,7,FALSE),"")</f>
        <v/>
      </c>
      <c r="IB315" t="str">
        <f>+IFERROR(VLOOKUP(IB16,IN_Zugliste!$A$4:$F$2002,7,FALSE),"")</f>
        <v/>
      </c>
      <c r="IC315" t="str">
        <f>+IFERROR(VLOOKUP(IC16,IN_Zugliste!$A$4:$F$2002,7,FALSE),"")</f>
        <v/>
      </c>
      <c r="ID315" t="str">
        <f>+IFERROR(VLOOKUP(ID16,IN_Zugliste!$A$4:$F$2002,7,FALSE),"")</f>
        <v/>
      </c>
      <c r="IE315" t="str">
        <f>+IFERROR(VLOOKUP(IE16,IN_Zugliste!$A$4:$F$2002,7,FALSE),"")</f>
        <v/>
      </c>
      <c r="IF315" t="str">
        <f>+IFERROR(VLOOKUP(IF16,IN_Zugliste!$A$4:$F$2002,7,FALSE),"")</f>
        <v/>
      </c>
      <c r="IG315" t="str">
        <f>+IFERROR(VLOOKUP(IG16,IN_Zugliste!$A$4:$F$2002,7,FALSE),"")</f>
        <v/>
      </c>
      <c r="IH315" t="str">
        <f>+IFERROR(VLOOKUP(IH16,IN_Zugliste!$A$4:$F$2002,7,FALSE),"")</f>
        <v/>
      </c>
      <c r="II315" t="str">
        <f>+IFERROR(VLOOKUP(II16,IN_Zugliste!$A$4:$F$2002,7,FALSE),"")</f>
        <v/>
      </c>
      <c r="IJ315" t="str">
        <f>+IFERROR(VLOOKUP(IJ16,IN_Zugliste!$A$4:$F$2002,7,FALSE),"")</f>
        <v/>
      </c>
      <c r="IK315" t="str">
        <f>+IFERROR(VLOOKUP(IK16,IN_Zugliste!$A$4:$F$2002,7,FALSE),"")</f>
        <v/>
      </c>
      <c r="IL315" t="str">
        <f>+IFERROR(VLOOKUP(IL16,IN_Zugliste!$A$4:$F$2002,7,FALSE),"")</f>
        <v/>
      </c>
      <c r="IM315" t="str">
        <f>+IFERROR(VLOOKUP(IM16,IN_Zugliste!$A$4:$F$2002,7,FALSE),"")</f>
        <v/>
      </c>
      <c r="IN315" t="str">
        <f>+IFERROR(VLOOKUP(IN16,IN_Zugliste!$A$4:$F$2002,7,FALSE),"")</f>
        <v/>
      </c>
      <c r="IO315" t="str">
        <f>+IFERROR(VLOOKUP(IO16,IN_Zugliste!$A$4:$F$2002,7,FALSE),"")</f>
        <v/>
      </c>
      <c r="IP315" t="str">
        <f>+IFERROR(VLOOKUP(IP16,IN_Zugliste!$A$4:$F$2002,7,FALSE),"")</f>
        <v/>
      </c>
      <c r="IQ315" t="str">
        <f>+IFERROR(VLOOKUP(IQ16,IN_Zugliste!$A$4:$F$2002,7,FALSE),"")</f>
        <v/>
      </c>
      <c r="IR315" t="str">
        <f>+IFERROR(VLOOKUP(IR16,IN_Zugliste!$A$4:$F$2002,7,FALSE),"")</f>
        <v/>
      </c>
      <c r="IS315" t="str">
        <f>+IFERROR(VLOOKUP(IS16,IN_Zugliste!$A$4:$F$2002,7,FALSE),"")</f>
        <v/>
      </c>
      <c r="IT315" t="str">
        <f>+IFERROR(VLOOKUP(IT16,IN_Zugliste!$A$4:$F$2002,7,FALSE),"")</f>
        <v/>
      </c>
      <c r="IU315" t="str">
        <f>+IFERROR(VLOOKUP(IU16,IN_Zugliste!$A$4:$F$2002,7,FALSE),"")</f>
        <v/>
      </c>
      <c r="IV315" t="str">
        <f>+IFERROR(VLOOKUP(IV16,IN_Zugliste!$A$4:$F$2002,7,FALSE),"")</f>
        <v/>
      </c>
      <c r="IW315" t="str">
        <f>+IFERROR(VLOOKUP(IW16,IN_Zugliste!$A$4:$F$2002,7,FALSE),"")</f>
        <v/>
      </c>
      <c r="IX315" t="str">
        <f>+IFERROR(VLOOKUP(IX16,IN_Zugliste!$A$4:$F$2002,7,FALSE),"")</f>
        <v/>
      </c>
      <c r="IY315" t="str">
        <f>+IFERROR(VLOOKUP(IY16,IN_Zugliste!$A$4:$F$2002,7,FALSE),"")</f>
        <v/>
      </c>
      <c r="IZ315" t="str">
        <f>+IFERROR(VLOOKUP(IZ16,IN_Zugliste!$A$4:$F$2002,7,FALSE),"")</f>
        <v/>
      </c>
      <c r="JA315" t="str">
        <f>+IFERROR(VLOOKUP(JA16,IN_Zugliste!$A$4:$F$2002,7,FALSE),"")</f>
        <v/>
      </c>
      <c r="JB315" t="str">
        <f>+IFERROR(VLOOKUP(JB16,IN_Zugliste!$A$4:$F$2002,7,FALSE),"")</f>
        <v/>
      </c>
      <c r="JC315" t="str">
        <f>+IFERROR(VLOOKUP(JC16,IN_Zugliste!$A$4:$F$2002,7,FALSE),"")</f>
        <v/>
      </c>
      <c r="JD315" t="str">
        <f>+IFERROR(VLOOKUP(JD16,IN_Zugliste!$A$4:$F$2002,7,FALSE),"")</f>
        <v/>
      </c>
      <c r="JE315" t="str">
        <f>+IFERROR(VLOOKUP(JE16,IN_Zugliste!$A$4:$F$2002,7,FALSE),"")</f>
        <v/>
      </c>
      <c r="JF315" t="str">
        <f>+IFERROR(VLOOKUP(JF16,IN_Zugliste!$A$4:$F$2002,7,FALSE),"")</f>
        <v/>
      </c>
      <c r="JG315" t="str">
        <f>+IFERROR(VLOOKUP(JG16,IN_Zugliste!$A$4:$F$2002,7,FALSE),"")</f>
        <v/>
      </c>
      <c r="JH315" t="str">
        <f>+IFERROR(VLOOKUP(JH16,IN_Zugliste!$A$4:$F$2002,7,FALSE),"")</f>
        <v/>
      </c>
      <c r="JI315" t="str">
        <f>+IFERROR(VLOOKUP(JI16,IN_Zugliste!$A$4:$F$2002,7,FALSE),"")</f>
        <v/>
      </c>
      <c r="JJ315" t="str">
        <f>+IFERROR(VLOOKUP(JJ16,IN_Zugliste!$A$4:$F$2002,7,FALSE),"")</f>
        <v/>
      </c>
    </row>
    <row r="316" spans="1:270" x14ac:dyDescent="0.2">
      <c r="A316" t="str">
        <f>+IFERROR(VLOOKUP(A17,IN_Zugliste!$A$4:$F$2002,7,FALSE),"")</f>
        <v/>
      </c>
      <c r="B316" t="str">
        <f>+IFERROR(VLOOKUP(B17,IN_Zugliste!$A$4:$F$2002,7,FALSE),"")</f>
        <v/>
      </c>
      <c r="C316" t="str">
        <f>+IFERROR(VLOOKUP(C17,IN_Zugliste!$A$4:$F$2002,7,FALSE),"")</f>
        <v/>
      </c>
      <c r="D316" t="str">
        <f>+IFERROR(VLOOKUP(D17,IN_Zugliste!$A$4:$F$2002,7,FALSE),"")</f>
        <v/>
      </c>
      <c r="E316" t="str">
        <f>+IFERROR(VLOOKUP(E17,IN_Zugliste!$A$4:$F$2002,7,FALSE),"")</f>
        <v/>
      </c>
      <c r="F316" t="str">
        <f>+IFERROR(VLOOKUP(F17,IN_Zugliste!$A$4:$F$2002,7,FALSE),"")</f>
        <v/>
      </c>
      <c r="G316" t="str">
        <f>+IFERROR(VLOOKUP(G17,IN_Zugliste!$A$4:$F$2002,7,FALSE),"")</f>
        <v/>
      </c>
      <c r="H316" t="str">
        <f>+IFERROR(VLOOKUP(H17,IN_Zugliste!$A$4:$F$2002,7,FALSE),"")</f>
        <v/>
      </c>
      <c r="I316" t="str">
        <f>+IFERROR(VLOOKUP(I17,IN_Zugliste!$A$4:$F$2002,7,FALSE),"")</f>
        <v/>
      </c>
      <c r="J316" t="str">
        <f>+IFERROR(VLOOKUP(J17,IN_Zugliste!$A$4:$F$2002,7,FALSE),"")</f>
        <v/>
      </c>
      <c r="K316" t="str">
        <f>+IFERROR(VLOOKUP(K17,IN_Zugliste!$A$4:$F$2002,7,FALSE),"")</f>
        <v/>
      </c>
      <c r="L316" t="str">
        <f>+IFERROR(VLOOKUP(L17,IN_Zugliste!$A$4:$F$2002,7,FALSE),"")</f>
        <v/>
      </c>
      <c r="M316" t="str">
        <f>+IFERROR(VLOOKUP(M17,IN_Zugliste!$A$4:$F$2002,7,FALSE),"")</f>
        <v/>
      </c>
      <c r="N316" t="str">
        <f>+IFERROR(VLOOKUP(N17,IN_Zugliste!$A$4:$F$2002,7,FALSE),"")</f>
        <v/>
      </c>
      <c r="O316" t="str">
        <f>+IFERROR(VLOOKUP(O17,IN_Zugliste!$A$4:$F$2002,7,FALSE),"")</f>
        <v/>
      </c>
      <c r="P316" t="str">
        <f>+IFERROR(VLOOKUP(P17,IN_Zugliste!$A$4:$F$2002,7,FALSE),"")</f>
        <v/>
      </c>
      <c r="Q316" t="str">
        <f>+IFERROR(VLOOKUP(Q17,IN_Zugliste!$A$4:$F$2002,7,FALSE),"")</f>
        <v/>
      </c>
      <c r="R316" t="str">
        <f>+IFERROR(VLOOKUP(R17,IN_Zugliste!$A$4:$F$2002,7,FALSE),"")</f>
        <v/>
      </c>
      <c r="S316" t="str">
        <f>+IFERROR(VLOOKUP(S17,IN_Zugliste!$A$4:$F$2002,7,FALSE),"")</f>
        <v/>
      </c>
      <c r="T316" t="str">
        <f>+IFERROR(VLOOKUP(T17,IN_Zugliste!$A$4:$F$2002,7,FALSE),"")</f>
        <v/>
      </c>
      <c r="U316" t="str">
        <f>+IFERROR(VLOOKUP(U17,IN_Zugliste!$A$4:$F$2002,7,FALSE),"")</f>
        <v/>
      </c>
      <c r="V316" t="str">
        <f>+IFERROR(VLOOKUP(V17,IN_Zugliste!$A$4:$F$2002,7,FALSE),"")</f>
        <v/>
      </c>
      <c r="W316" t="str">
        <f>+IFERROR(VLOOKUP(W17,IN_Zugliste!$A$4:$F$2002,7,FALSE),"")</f>
        <v/>
      </c>
      <c r="X316" t="str">
        <f>+IFERROR(VLOOKUP(X17,IN_Zugliste!$A$4:$F$2002,7,FALSE),"")</f>
        <v/>
      </c>
      <c r="Y316" t="str">
        <f>+IFERROR(VLOOKUP(Y17,IN_Zugliste!$A$4:$F$2002,7,FALSE),"")</f>
        <v/>
      </c>
      <c r="Z316" t="str">
        <f>+IFERROR(VLOOKUP(Z17,IN_Zugliste!$A$4:$F$2002,7,FALSE),"")</f>
        <v/>
      </c>
      <c r="AA316" t="str">
        <f>+IFERROR(VLOOKUP(AA17,IN_Zugliste!$A$4:$F$2002,7,FALSE),"")</f>
        <v/>
      </c>
      <c r="AB316" t="str">
        <f>+IFERROR(VLOOKUP(AB17,IN_Zugliste!$A$4:$F$2002,7,FALSE),"")</f>
        <v/>
      </c>
      <c r="AC316" t="str">
        <f>+IFERROR(VLOOKUP(AC17,IN_Zugliste!$A$4:$F$2002,7,FALSE),"")</f>
        <v/>
      </c>
      <c r="AD316" t="str">
        <f>+IFERROR(VLOOKUP(AD17,IN_Zugliste!$A$4:$F$2002,7,FALSE),"")</f>
        <v/>
      </c>
      <c r="AE316" t="str">
        <f>+IFERROR(VLOOKUP(AE17,IN_Zugliste!$A$4:$F$2002,7,FALSE),"")</f>
        <v/>
      </c>
      <c r="AF316" t="str">
        <f>+IFERROR(VLOOKUP(AF17,IN_Zugliste!$A$4:$F$2002,7,FALSE),"")</f>
        <v/>
      </c>
      <c r="AG316" t="str">
        <f>+IFERROR(VLOOKUP(AG17,IN_Zugliste!$A$4:$F$2002,7,FALSE),"")</f>
        <v/>
      </c>
      <c r="AH316" t="str">
        <f>+IFERROR(VLOOKUP(AH17,IN_Zugliste!$A$4:$F$2002,7,FALSE),"")</f>
        <v/>
      </c>
      <c r="AI316" t="str">
        <f>+IFERROR(VLOOKUP(AI17,IN_Zugliste!$A$4:$F$2002,7,FALSE),"")</f>
        <v/>
      </c>
      <c r="AJ316" t="str">
        <f>+IFERROR(VLOOKUP(AJ17,IN_Zugliste!$A$4:$F$2002,7,FALSE),"")</f>
        <v/>
      </c>
      <c r="AK316" t="str">
        <f>+IFERROR(VLOOKUP(AK17,IN_Zugliste!$A$4:$F$2002,7,FALSE),"")</f>
        <v/>
      </c>
      <c r="AL316" t="str">
        <f>+IFERROR(VLOOKUP(AL17,IN_Zugliste!$A$4:$F$2002,7,FALSE),"")</f>
        <v/>
      </c>
      <c r="AM316" t="str">
        <f>+IFERROR(VLOOKUP(AM17,IN_Zugliste!$A$4:$F$2002,7,FALSE),"")</f>
        <v/>
      </c>
      <c r="AN316" t="str">
        <f>+IFERROR(VLOOKUP(AN17,IN_Zugliste!$A$4:$F$2002,7,FALSE),"")</f>
        <v/>
      </c>
      <c r="AO316" t="str">
        <f>+IFERROR(VLOOKUP(AO17,IN_Zugliste!$A$4:$F$2002,7,FALSE),"")</f>
        <v/>
      </c>
      <c r="AP316" t="str">
        <f>+IFERROR(VLOOKUP(AP17,IN_Zugliste!$A$4:$F$2002,7,FALSE),"")</f>
        <v/>
      </c>
      <c r="AQ316" t="str">
        <f>+IFERROR(VLOOKUP(AQ17,IN_Zugliste!$A$4:$F$2002,7,FALSE),"")</f>
        <v/>
      </c>
      <c r="AR316" t="str">
        <f>+IFERROR(VLOOKUP(AR17,IN_Zugliste!$A$4:$F$2002,7,FALSE),"")</f>
        <v/>
      </c>
      <c r="AS316" t="str">
        <f>+IFERROR(VLOOKUP(AS17,IN_Zugliste!$A$4:$F$2002,7,FALSE),"")</f>
        <v/>
      </c>
      <c r="AT316" t="str">
        <f>+IFERROR(VLOOKUP(AT17,IN_Zugliste!$A$4:$F$2002,7,FALSE),"")</f>
        <v/>
      </c>
      <c r="AU316" t="str">
        <f>+IFERROR(VLOOKUP(AU17,IN_Zugliste!$A$4:$F$2002,7,FALSE),"")</f>
        <v/>
      </c>
      <c r="AV316" t="str">
        <f>+IFERROR(VLOOKUP(AV17,IN_Zugliste!$A$4:$F$2002,7,FALSE),"")</f>
        <v/>
      </c>
      <c r="AW316" t="str">
        <f>+IFERROR(VLOOKUP(AW17,IN_Zugliste!$A$4:$F$2002,7,FALSE),"")</f>
        <v/>
      </c>
      <c r="AX316" t="str">
        <f>+IFERROR(VLOOKUP(AX17,IN_Zugliste!$A$4:$F$2002,7,FALSE),"")</f>
        <v/>
      </c>
      <c r="AY316" t="str">
        <f>+IFERROR(VLOOKUP(AY17,IN_Zugliste!$A$4:$F$2002,7,FALSE),"")</f>
        <v/>
      </c>
      <c r="AZ316" t="str">
        <f>+IFERROR(VLOOKUP(AZ17,IN_Zugliste!$A$4:$F$2002,7,FALSE),"")</f>
        <v/>
      </c>
      <c r="BA316" t="str">
        <f>+IFERROR(VLOOKUP(BA17,IN_Zugliste!$A$4:$F$2002,7,FALSE),"")</f>
        <v/>
      </c>
      <c r="BB316" t="str">
        <f>+IFERROR(VLOOKUP(BB17,IN_Zugliste!$A$4:$F$2002,7,FALSE),"")</f>
        <v/>
      </c>
      <c r="BC316" t="str">
        <f>+IFERROR(VLOOKUP(BC17,IN_Zugliste!$A$4:$F$2002,7,FALSE),"")</f>
        <v/>
      </c>
      <c r="BD316" t="str">
        <f>+IFERROR(VLOOKUP(BD17,IN_Zugliste!$A$4:$F$2002,7,FALSE),"")</f>
        <v/>
      </c>
      <c r="BE316" t="str">
        <f>+IFERROR(VLOOKUP(BE17,IN_Zugliste!$A$4:$F$2002,7,FALSE),"")</f>
        <v/>
      </c>
      <c r="BF316" t="str">
        <f>+IFERROR(VLOOKUP(BF17,IN_Zugliste!$A$4:$F$2002,7,FALSE),"")</f>
        <v/>
      </c>
      <c r="BG316" t="str">
        <f>+IFERROR(VLOOKUP(BG17,IN_Zugliste!$A$4:$F$2002,7,FALSE),"")</f>
        <v/>
      </c>
      <c r="BH316" t="str">
        <f>+IFERROR(VLOOKUP(BH17,IN_Zugliste!$A$4:$F$2002,7,FALSE),"")</f>
        <v/>
      </c>
      <c r="BI316" t="str">
        <f>+IFERROR(VLOOKUP(BI17,IN_Zugliste!$A$4:$F$2002,7,FALSE),"")</f>
        <v/>
      </c>
      <c r="BJ316" t="str">
        <f>+IFERROR(VLOOKUP(BJ17,IN_Zugliste!$A$4:$F$2002,7,FALSE),"")</f>
        <v/>
      </c>
      <c r="BK316" t="str">
        <f>+IFERROR(VLOOKUP(BK17,IN_Zugliste!$A$4:$F$2002,7,FALSE),"")</f>
        <v/>
      </c>
      <c r="BL316" t="str">
        <f>+IFERROR(VLOOKUP(BL17,IN_Zugliste!$A$4:$F$2002,7,FALSE),"")</f>
        <v/>
      </c>
      <c r="BM316" t="str">
        <f>+IFERROR(VLOOKUP(BM17,IN_Zugliste!$A$4:$F$2002,7,FALSE),"")</f>
        <v/>
      </c>
      <c r="BN316" t="str">
        <f>+IFERROR(VLOOKUP(BN17,IN_Zugliste!$A$4:$F$2002,7,FALSE),"")</f>
        <v/>
      </c>
      <c r="BO316" t="str">
        <f>+IFERROR(VLOOKUP(BO17,IN_Zugliste!$A$4:$F$2002,7,FALSE),"")</f>
        <v/>
      </c>
      <c r="BP316" t="str">
        <f>+IFERROR(VLOOKUP(BP17,IN_Zugliste!$A$4:$F$2002,7,FALSE),"")</f>
        <v/>
      </c>
      <c r="BQ316" t="str">
        <f>+IFERROR(VLOOKUP(BQ17,IN_Zugliste!$A$4:$F$2002,7,FALSE),"")</f>
        <v/>
      </c>
      <c r="BR316" t="str">
        <f>+IFERROR(VLOOKUP(BR17,IN_Zugliste!$A$4:$F$2002,7,FALSE),"")</f>
        <v/>
      </c>
      <c r="BS316" t="str">
        <f>+IFERROR(VLOOKUP(BS17,IN_Zugliste!$A$4:$F$2002,7,FALSE),"")</f>
        <v/>
      </c>
      <c r="BT316" t="str">
        <f>+IFERROR(VLOOKUP(BT17,IN_Zugliste!$A$4:$F$2002,7,FALSE),"")</f>
        <v/>
      </c>
      <c r="BU316" t="str">
        <f>+IFERROR(VLOOKUP(BU17,IN_Zugliste!$A$4:$F$2002,7,FALSE),"")</f>
        <v/>
      </c>
      <c r="BV316" t="str">
        <f>+IFERROR(VLOOKUP(BV17,IN_Zugliste!$A$4:$F$2002,7,FALSE),"")</f>
        <v/>
      </c>
      <c r="BW316" t="str">
        <f>+IFERROR(VLOOKUP(BW17,IN_Zugliste!$A$4:$F$2002,7,FALSE),"")</f>
        <v/>
      </c>
      <c r="BX316" t="str">
        <f>+IFERROR(VLOOKUP(BX17,IN_Zugliste!$A$4:$F$2002,7,FALSE),"")</f>
        <v/>
      </c>
      <c r="BY316" t="str">
        <f>+IFERROR(VLOOKUP(BY17,IN_Zugliste!$A$4:$F$2002,7,FALSE),"")</f>
        <v/>
      </c>
      <c r="BZ316" t="str">
        <f>+IFERROR(VLOOKUP(BZ17,IN_Zugliste!$A$4:$F$2002,7,FALSE),"")</f>
        <v/>
      </c>
      <c r="CA316" t="str">
        <f>+IFERROR(VLOOKUP(CA17,IN_Zugliste!$A$4:$F$2002,7,FALSE),"")</f>
        <v/>
      </c>
      <c r="CB316" t="str">
        <f>+IFERROR(VLOOKUP(CB17,IN_Zugliste!$A$4:$F$2002,7,FALSE),"")</f>
        <v/>
      </c>
      <c r="CC316" t="str">
        <f>+IFERROR(VLOOKUP(CC17,IN_Zugliste!$A$4:$F$2002,7,FALSE),"")</f>
        <v/>
      </c>
      <c r="CD316" t="str">
        <f>+IFERROR(VLOOKUP(CD17,IN_Zugliste!$A$4:$F$2002,7,FALSE),"")</f>
        <v/>
      </c>
      <c r="CE316" t="str">
        <f>+IFERROR(VLOOKUP(CE17,IN_Zugliste!$A$4:$F$2002,7,FALSE),"")</f>
        <v/>
      </c>
      <c r="CF316" t="str">
        <f>+IFERROR(VLOOKUP(CF17,IN_Zugliste!$A$4:$F$2002,7,FALSE),"")</f>
        <v/>
      </c>
      <c r="CG316" t="str">
        <f>+IFERROR(VLOOKUP(CG17,IN_Zugliste!$A$4:$F$2002,7,FALSE),"")</f>
        <v/>
      </c>
      <c r="CH316" t="str">
        <f>+IFERROR(VLOOKUP(CH17,IN_Zugliste!$A$4:$F$2002,7,FALSE),"")</f>
        <v/>
      </c>
      <c r="CI316" t="str">
        <f>+IFERROR(VLOOKUP(CI17,IN_Zugliste!$A$4:$F$2002,7,FALSE),"")</f>
        <v/>
      </c>
      <c r="CJ316" t="str">
        <f>+IFERROR(VLOOKUP(CJ17,IN_Zugliste!$A$4:$F$2002,7,FALSE),"")</f>
        <v/>
      </c>
      <c r="CK316" t="str">
        <f>+IFERROR(VLOOKUP(CK17,IN_Zugliste!$A$4:$F$2002,7,FALSE),"")</f>
        <v/>
      </c>
      <c r="CL316" t="str">
        <f>+IFERROR(VLOOKUP(CL17,IN_Zugliste!$A$4:$F$2002,7,FALSE),"")</f>
        <v/>
      </c>
      <c r="CM316" t="str">
        <f>+IFERROR(VLOOKUP(CM17,IN_Zugliste!$A$4:$F$2002,7,FALSE),"")</f>
        <v/>
      </c>
      <c r="CN316" t="str">
        <f>+IFERROR(VLOOKUP(CN17,IN_Zugliste!$A$4:$F$2002,7,FALSE),"")</f>
        <v/>
      </c>
      <c r="CO316" t="str">
        <f>+IFERROR(VLOOKUP(CO17,IN_Zugliste!$A$4:$F$2002,7,FALSE),"")</f>
        <v/>
      </c>
      <c r="CP316" t="str">
        <f>+IFERROR(VLOOKUP(CP17,IN_Zugliste!$A$4:$F$2002,7,FALSE),"")</f>
        <v/>
      </c>
      <c r="CQ316" t="str">
        <f>+IFERROR(VLOOKUP(CQ17,IN_Zugliste!$A$4:$F$2002,7,FALSE),"")</f>
        <v/>
      </c>
      <c r="CR316" t="str">
        <f>+IFERROR(VLOOKUP(CR17,IN_Zugliste!$A$4:$F$2002,7,FALSE),"")</f>
        <v/>
      </c>
      <c r="CS316" t="str">
        <f>+IFERROR(VLOOKUP(CS17,IN_Zugliste!$A$4:$F$2002,7,FALSE),"")</f>
        <v/>
      </c>
      <c r="CT316" t="str">
        <f>+IFERROR(VLOOKUP(CT17,IN_Zugliste!$A$4:$F$2002,7,FALSE),"")</f>
        <v/>
      </c>
      <c r="CU316" t="str">
        <f>+IFERROR(VLOOKUP(CU17,IN_Zugliste!$A$4:$F$2002,7,FALSE),"")</f>
        <v/>
      </c>
      <c r="CV316" t="str">
        <f>+IFERROR(VLOOKUP(CV17,IN_Zugliste!$A$4:$F$2002,7,FALSE),"")</f>
        <v/>
      </c>
      <c r="CW316" t="str">
        <f>+IFERROR(VLOOKUP(CW17,IN_Zugliste!$A$4:$F$2002,7,FALSE),"")</f>
        <v/>
      </c>
      <c r="CX316" t="str">
        <f>+IFERROR(VLOOKUP(CX17,IN_Zugliste!$A$4:$F$2002,7,FALSE),"")</f>
        <v/>
      </c>
      <c r="CY316" t="str">
        <f>+IFERROR(VLOOKUP(CY17,IN_Zugliste!$A$4:$F$2002,7,FALSE),"")</f>
        <v/>
      </c>
      <c r="CZ316" t="str">
        <f>+IFERROR(VLOOKUP(CZ17,IN_Zugliste!$A$4:$F$2002,7,FALSE),"")</f>
        <v/>
      </c>
      <c r="DA316" t="str">
        <f>+IFERROR(VLOOKUP(DA17,IN_Zugliste!$A$4:$F$2002,7,FALSE),"")</f>
        <v/>
      </c>
      <c r="DB316" t="str">
        <f>+IFERROR(VLOOKUP(DB17,IN_Zugliste!$A$4:$F$2002,7,FALSE),"")</f>
        <v/>
      </c>
      <c r="DC316" t="str">
        <f>+IFERROR(VLOOKUP(DC17,IN_Zugliste!$A$4:$F$2002,7,FALSE),"")</f>
        <v/>
      </c>
      <c r="DD316" t="str">
        <f>+IFERROR(VLOOKUP(DD17,IN_Zugliste!$A$4:$F$2002,7,FALSE),"")</f>
        <v/>
      </c>
      <c r="DE316" t="str">
        <f>+IFERROR(VLOOKUP(DE17,IN_Zugliste!$A$4:$F$2002,7,FALSE),"")</f>
        <v/>
      </c>
      <c r="DF316" t="str">
        <f>+IFERROR(VLOOKUP(DF17,IN_Zugliste!$A$4:$F$2002,7,FALSE),"")</f>
        <v/>
      </c>
      <c r="DG316" t="str">
        <f>+IFERROR(VLOOKUP(DG17,IN_Zugliste!$A$4:$F$2002,7,FALSE),"")</f>
        <v/>
      </c>
      <c r="DH316" t="str">
        <f>+IFERROR(VLOOKUP(DH17,IN_Zugliste!$A$4:$F$2002,7,FALSE),"")</f>
        <v/>
      </c>
      <c r="DI316" t="str">
        <f>+IFERROR(VLOOKUP(DI17,IN_Zugliste!$A$4:$F$2002,7,FALSE),"")</f>
        <v/>
      </c>
      <c r="DJ316" t="str">
        <f>+IFERROR(VLOOKUP(DJ17,IN_Zugliste!$A$4:$F$2002,7,FALSE),"")</f>
        <v/>
      </c>
      <c r="DK316" t="str">
        <f>+IFERROR(VLOOKUP(DK17,IN_Zugliste!$A$4:$F$2002,7,FALSE),"")</f>
        <v/>
      </c>
      <c r="DL316" t="str">
        <f>+IFERROR(VLOOKUP(DL17,IN_Zugliste!$A$4:$F$2002,7,FALSE),"")</f>
        <v/>
      </c>
      <c r="DM316" t="str">
        <f>+IFERROR(VLOOKUP(DM17,IN_Zugliste!$A$4:$F$2002,7,FALSE),"")</f>
        <v/>
      </c>
      <c r="DN316" t="str">
        <f>+IFERROR(VLOOKUP(DN17,IN_Zugliste!$A$4:$F$2002,7,FALSE),"")</f>
        <v/>
      </c>
      <c r="DO316" t="str">
        <f>+IFERROR(VLOOKUP(DO17,IN_Zugliste!$A$4:$F$2002,7,FALSE),"")</f>
        <v/>
      </c>
      <c r="DP316" t="str">
        <f>+IFERROR(VLOOKUP(DP17,IN_Zugliste!$A$4:$F$2002,7,FALSE),"")</f>
        <v/>
      </c>
      <c r="DQ316" t="str">
        <f>+IFERROR(VLOOKUP(DQ17,IN_Zugliste!$A$4:$F$2002,7,FALSE),"")</f>
        <v/>
      </c>
      <c r="DR316" t="str">
        <f>+IFERROR(VLOOKUP(DR17,IN_Zugliste!$A$4:$F$2002,7,FALSE),"")</f>
        <v/>
      </c>
      <c r="DS316" t="str">
        <f>+IFERROR(VLOOKUP(DS17,IN_Zugliste!$A$4:$F$2002,7,FALSE),"")</f>
        <v/>
      </c>
      <c r="DT316" t="str">
        <f>+IFERROR(VLOOKUP(DT17,IN_Zugliste!$A$4:$F$2002,7,FALSE),"")</f>
        <v/>
      </c>
      <c r="DU316" t="str">
        <f>+IFERROR(VLOOKUP(DU17,IN_Zugliste!$A$4:$F$2002,7,FALSE),"")</f>
        <v/>
      </c>
      <c r="DV316" t="str">
        <f>+IFERROR(VLOOKUP(DV17,IN_Zugliste!$A$4:$F$2002,7,FALSE),"")</f>
        <v/>
      </c>
      <c r="DW316" t="str">
        <f>+IFERROR(VLOOKUP(DW17,IN_Zugliste!$A$4:$F$2002,7,FALSE),"")</f>
        <v/>
      </c>
      <c r="DX316" t="str">
        <f>+IFERROR(VLOOKUP(DX17,IN_Zugliste!$A$4:$F$2002,7,FALSE),"")</f>
        <v/>
      </c>
      <c r="DY316" t="str">
        <f>+IFERROR(VLOOKUP(DY17,IN_Zugliste!$A$4:$F$2002,7,FALSE),"")</f>
        <v/>
      </c>
      <c r="DZ316" t="str">
        <f>+IFERROR(VLOOKUP(DZ17,IN_Zugliste!$A$4:$F$2002,7,FALSE),"")</f>
        <v/>
      </c>
      <c r="EA316" t="str">
        <f>+IFERROR(VLOOKUP(EA17,IN_Zugliste!$A$4:$F$2002,7,FALSE),"")</f>
        <v/>
      </c>
      <c r="EB316" t="str">
        <f>+IFERROR(VLOOKUP(EB17,IN_Zugliste!$A$4:$F$2002,7,FALSE),"")</f>
        <v/>
      </c>
      <c r="EC316" t="str">
        <f>+IFERROR(VLOOKUP(EC17,IN_Zugliste!$A$4:$F$2002,7,FALSE),"")</f>
        <v/>
      </c>
      <c r="ED316" t="str">
        <f>+IFERROR(VLOOKUP(ED17,IN_Zugliste!$A$4:$F$2002,7,FALSE),"")</f>
        <v/>
      </c>
      <c r="EE316" t="str">
        <f>+IFERROR(VLOOKUP(EE17,IN_Zugliste!$A$4:$F$2002,7,FALSE),"")</f>
        <v/>
      </c>
      <c r="EF316" t="str">
        <f>+IFERROR(VLOOKUP(EF17,IN_Zugliste!$A$4:$F$2002,7,FALSE),"")</f>
        <v/>
      </c>
      <c r="EG316" t="str">
        <f>+IFERROR(VLOOKUP(EG17,IN_Zugliste!$A$4:$F$2002,7,FALSE),"")</f>
        <v/>
      </c>
      <c r="EH316" t="str">
        <f>+IFERROR(VLOOKUP(EH17,IN_Zugliste!$A$4:$F$2002,7,FALSE),"")</f>
        <v/>
      </c>
      <c r="EI316" t="str">
        <f>+IFERROR(VLOOKUP(EI17,IN_Zugliste!$A$4:$F$2002,7,FALSE),"")</f>
        <v/>
      </c>
      <c r="EJ316" t="str">
        <f>+IFERROR(VLOOKUP(EJ17,IN_Zugliste!$A$4:$F$2002,7,FALSE),"")</f>
        <v/>
      </c>
      <c r="EK316" t="str">
        <f>+IFERROR(VLOOKUP(EK17,IN_Zugliste!$A$4:$F$2002,7,FALSE),"")</f>
        <v/>
      </c>
      <c r="EL316" t="str">
        <f>+IFERROR(VLOOKUP(EL17,IN_Zugliste!$A$4:$F$2002,7,FALSE),"")</f>
        <v/>
      </c>
      <c r="EM316" t="str">
        <f>+IFERROR(VLOOKUP(EM17,IN_Zugliste!$A$4:$F$2002,7,FALSE),"")</f>
        <v/>
      </c>
      <c r="EN316" t="str">
        <f>+IFERROR(VLOOKUP(EN17,IN_Zugliste!$A$4:$F$2002,7,FALSE),"")</f>
        <v/>
      </c>
      <c r="EO316" t="str">
        <f>+IFERROR(VLOOKUP(EO17,IN_Zugliste!$A$4:$F$2002,7,FALSE),"")</f>
        <v/>
      </c>
      <c r="EP316" t="str">
        <f>+IFERROR(VLOOKUP(EP17,IN_Zugliste!$A$4:$F$2002,7,FALSE),"")</f>
        <v/>
      </c>
      <c r="EQ316" t="str">
        <f>+IFERROR(VLOOKUP(EQ17,IN_Zugliste!$A$4:$F$2002,7,FALSE),"")</f>
        <v/>
      </c>
      <c r="ER316" t="str">
        <f>+IFERROR(VLOOKUP(ER17,IN_Zugliste!$A$4:$F$2002,7,FALSE),"")</f>
        <v/>
      </c>
      <c r="ES316" t="str">
        <f>+IFERROR(VLOOKUP(ES17,IN_Zugliste!$A$4:$F$2002,7,FALSE),"")</f>
        <v/>
      </c>
      <c r="ET316" t="str">
        <f>+IFERROR(VLOOKUP(ET17,IN_Zugliste!$A$4:$F$2002,7,FALSE),"")</f>
        <v/>
      </c>
      <c r="EU316" t="str">
        <f>+IFERROR(VLOOKUP(EU17,IN_Zugliste!$A$4:$F$2002,7,FALSE),"")</f>
        <v/>
      </c>
      <c r="EV316" t="str">
        <f>+IFERROR(VLOOKUP(EV17,IN_Zugliste!$A$4:$F$2002,7,FALSE),"")</f>
        <v/>
      </c>
      <c r="EW316" t="str">
        <f>+IFERROR(VLOOKUP(EW17,IN_Zugliste!$A$4:$F$2002,7,FALSE),"")</f>
        <v/>
      </c>
      <c r="EX316" t="str">
        <f>+IFERROR(VLOOKUP(EX17,IN_Zugliste!$A$4:$F$2002,7,FALSE),"")</f>
        <v/>
      </c>
      <c r="EY316" t="str">
        <f>+IFERROR(VLOOKUP(EY17,IN_Zugliste!$A$4:$F$2002,7,FALSE),"")</f>
        <v/>
      </c>
      <c r="EZ316" t="str">
        <f>+IFERROR(VLOOKUP(EZ17,IN_Zugliste!$A$4:$F$2002,7,FALSE),"")</f>
        <v/>
      </c>
      <c r="FA316" t="str">
        <f>+IFERROR(VLOOKUP(FA17,IN_Zugliste!$A$4:$F$2002,7,FALSE),"")</f>
        <v/>
      </c>
      <c r="FB316" t="str">
        <f>+IFERROR(VLOOKUP(FB17,IN_Zugliste!$A$4:$F$2002,7,FALSE),"")</f>
        <v/>
      </c>
      <c r="FC316" t="str">
        <f>+IFERROR(VLOOKUP(FC17,IN_Zugliste!$A$4:$F$2002,7,FALSE),"")</f>
        <v/>
      </c>
      <c r="FD316" t="str">
        <f>+IFERROR(VLOOKUP(FD17,IN_Zugliste!$A$4:$F$2002,7,FALSE),"")</f>
        <v/>
      </c>
      <c r="FE316" t="str">
        <f>+IFERROR(VLOOKUP(FE17,IN_Zugliste!$A$4:$F$2002,7,FALSE),"")</f>
        <v/>
      </c>
      <c r="FF316" t="str">
        <f>+IFERROR(VLOOKUP(FF17,IN_Zugliste!$A$4:$F$2002,7,FALSE),"")</f>
        <v/>
      </c>
      <c r="FG316" t="str">
        <f>+IFERROR(VLOOKUP(FG17,IN_Zugliste!$A$4:$F$2002,7,FALSE),"")</f>
        <v/>
      </c>
      <c r="FH316" t="str">
        <f>+IFERROR(VLOOKUP(FH17,IN_Zugliste!$A$4:$F$2002,7,FALSE),"")</f>
        <v/>
      </c>
      <c r="FI316" t="str">
        <f>+IFERROR(VLOOKUP(FI17,IN_Zugliste!$A$4:$F$2002,7,FALSE),"")</f>
        <v/>
      </c>
      <c r="FJ316" t="str">
        <f>+IFERROR(VLOOKUP(FJ17,IN_Zugliste!$A$4:$F$2002,7,FALSE),"")</f>
        <v/>
      </c>
      <c r="FK316" t="str">
        <f>+IFERROR(VLOOKUP(FK17,IN_Zugliste!$A$4:$F$2002,7,FALSE),"")</f>
        <v/>
      </c>
      <c r="FL316" t="str">
        <f>+IFERROR(VLOOKUP(FL17,IN_Zugliste!$A$4:$F$2002,7,FALSE),"")</f>
        <v/>
      </c>
      <c r="FM316" t="str">
        <f>+IFERROR(VLOOKUP(FM17,IN_Zugliste!$A$4:$F$2002,7,FALSE),"")</f>
        <v/>
      </c>
      <c r="FN316" t="str">
        <f>+IFERROR(VLOOKUP(FN17,IN_Zugliste!$A$4:$F$2002,7,FALSE),"")</f>
        <v/>
      </c>
      <c r="FO316" t="str">
        <f>+IFERROR(VLOOKUP(FO17,IN_Zugliste!$A$4:$F$2002,7,FALSE),"")</f>
        <v/>
      </c>
      <c r="FP316" t="str">
        <f>+IFERROR(VLOOKUP(FP17,IN_Zugliste!$A$4:$F$2002,7,FALSE),"")</f>
        <v/>
      </c>
      <c r="FQ316" t="str">
        <f>+IFERROR(VLOOKUP(FQ17,IN_Zugliste!$A$4:$F$2002,7,FALSE),"")</f>
        <v/>
      </c>
      <c r="FR316" t="str">
        <f>+IFERROR(VLOOKUP(FR17,IN_Zugliste!$A$4:$F$2002,7,FALSE),"")</f>
        <v/>
      </c>
      <c r="FS316" t="str">
        <f>+IFERROR(VLOOKUP(FS17,IN_Zugliste!$A$4:$F$2002,7,FALSE),"")</f>
        <v/>
      </c>
      <c r="FT316" t="str">
        <f>+IFERROR(VLOOKUP(FT17,IN_Zugliste!$A$4:$F$2002,7,FALSE),"")</f>
        <v/>
      </c>
      <c r="FU316" t="str">
        <f>+IFERROR(VLOOKUP(FU17,IN_Zugliste!$A$4:$F$2002,7,FALSE),"")</f>
        <v/>
      </c>
      <c r="FV316" t="str">
        <f>+IFERROR(VLOOKUP(FV17,IN_Zugliste!$A$4:$F$2002,7,FALSE),"")</f>
        <v/>
      </c>
      <c r="FW316" t="str">
        <f>+IFERROR(VLOOKUP(FW17,IN_Zugliste!$A$4:$F$2002,7,FALSE),"")</f>
        <v/>
      </c>
      <c r="FX316" t="str">
        <f>+IFERROR(VLOOKUP(FX17,IN_Zugliste!$A$4:$F$2002,7,FALSE),"")</f>
        <v/>
      </c>
      <c r="FY316" t="str">
        <f>+IFERROR(VLOOKUP(FY17,IN_Zugliste!$A$4:$F$2002,7,FALSE),"")</f>
        <v/>
      </c>
      <c r="FZ316" t="str">
        <f>+IFERROR(VLOOKUP(FZ17,IN_Zugliste!$A$4:$F$2002,7,FALSE),"")</f>
        <v/>
      </c>
      <c r="GA316" t="str">
        <f>+IFERROR(VLOOKUP(GA17,IN_Zugliste!$A$4:$F$2002,7,FALSE),"")</f>
        <v/>
      </c>
      <c r="GB316" t="str">
        <f>+IFERROR(VLOOKUP(GB17,IN_Zugliste!$A$4:$F$2002,7,FALSE),"")</f>
        <v/>
      </c>
      <c r="GC316" t="str">
        <f>+IFERROR(VLOOKUP(GC17,IN_Zugliste!$A$4:$F$2002,7,FALSE),"")</f>
        <v/>
      </c>
      <c r="GD316" t="str">
        <f>+IFERROR(VLOOKUP(GD17,IN_Zugliste!$A$4:$F$2002,7,FALSE),"")</f>
        <v/>
      </c>
      <c r="GE316" t="str">
        <f>+IFERROR(VLOOKUP(GE17,IN_Zugliste!$A$4:$F$2002,7,FALSE),"")</f>
        <v/>
      </c>
      <c r="GF316" t="str">
        <f>+IFERROR(VLOOKUP(GF17,IN_Zugliste!$A$4:$F$2002,7,FALSE),"")</f>
        <v/>
      </c>
      <c r="GG316" t="str">
        <f>+IFERROR(VLOOKUP(GG17,IN_Zugliste!$A$4:$F$2002,7,FALSE),"")</f>
        <v/>
      </c>
      <c r="GH316" t="str">
        <f>+IFERROR(VLOOKUP(GH17,IN_Zugliste!$A$4:$F$2002,7,FALSE),"")</f>
        <v/>
      </c>
      <c r="GI316" t="str">
        <f>+IFERROR(VLOOKUP(GI17,IN_Zugliste!$A$4:$F$2002,7,FALSE),"")</f>
        <v/>
      </c>
      <c r="GJ316" t="str">
        <f>+IFERROR(VLOOKUP(GJ17,IN_Zugliste!$A$4:$F$2002,7,FALSE),"")</f>
        <v/>
      </c>
      <c r="GK316" t="str">
        <f>+IFERROR(VLOOKUP(GK17,IN_Zugliste!$A$4:$F$2002,7,FALSE),"")</f>
        <v/>
      </c>
      <c r="GL316" t="str">
        <f>+IFERROR(VLOOKUP(GL17,IN_Zugliste!$A$4:$F$2002,7,FALSE),"")</f>
        <v/>
      </c>
      <c r="GM316" t="str">
        <f>+IFERROR(VLOOKUP(GM17,IN_Zugliste!$A$4:$F$2002,7,FALSE),"")</f>
        <v/>
      </c>
      <c r="GN316" t="str">
        <f>+IFERROR(VLOOKUP(GN17,IN_Zugliste!$A$4:$F$2002,7,FALSE),"")</f>
        <v/>
      </c>
      <c r="GO316" t="str">
        <f>+IFERROR(VLOOKUP(GO17,IN_Zugliste!$A$4:$F$2002,7,FALSE),"")</f>
        <v/>
      </c>
      <c r="GP316" t="str">
        <f>+IFERROR(VLOOKUP(GP17,IN_Zugliste!$A$4:$F$2002,7,FALSE),"")</f>
        <v/>
      </c>
      <c r="GQ316" t="str">
        <f>+IFERROR(VLOOKUP(GQ17,IN_Zugliste!$A$4:$F$2002,7,FALSE),"")</f>
        <v/>
      </c>
      <c r="GR316" t="str">
        <f>+IFERROR(VLOOKUP(GR17,IN_Zugliste!$A$4:$F$2002,7,FALSE),"")</f>
        <v/>
      </c>
      <c r="GS316" t="str">
        <f>+IFERROR(VLOOKUP(GS17,IN_Zugliste!$A$4:$F$2002,7,FALSE),"")</f>
        <v/>
      </c>
      <c r="GT316" t="str">
        <f>+IFERROR(VLOOKUP(GT17,IN_Zugliste!$A$4:$F$2002,7,FALSE),"")</f>
        <v/>
      </c>
      <c r="GU316" t="str">
        <f>+IFERROR(VLOOKUP(GU17,IN_Zugliste!$A$4:$F$2002,7,FALSE),"")</f>
        <v/>
      </c>
      <c r="GV316" t="str">
        <f>+IFERROR(VLOOKUP(GV17,IN_Zugliste!$A$4:$F$2002,7,FALSE),"")</f>
        <v/>
      </c>
      <c r="GW316" t="str">
        <f>+IFERROR(VLOOKUP(GW17,IN_Zugliste!$A$4:$F$2002,7,FALSE),"")</f>
        <v/>
      </c>
      <c r="GX316" t="str">
        <f>+IFERROR(VLOOKUP(GX17,IN_Zugliste!$A$4:$F$2002,7,FALSE),"")</f>
        <v/>
      </c>
      <c r="GY316" t="str">
        <f>+IFERROR(VLOOKUP(GY17,IN_Zugliste!$A$4:$F$2002,7,FALSE),"")</f>
        <v/>
      </c>
      <c r="GZ316" t="str">
        <f>+IFERROR(VLOOKUP(GZ17,IN_Zugliste!$A$4:$F$2002,7,FALSE),"")</f>
        <v/>
      </c>
      <c r="HA316" t="str">
        <f>+IFERROR(VLOOKUP(HA17,IN_Zugliste!$A$4:$F$2002,7,FALSE),"")</f>
        <v/>
      </c>
      <c r="HB316" t="str">
        <f>+IFERROR(VLOOKUP(HB17,IN_Zugliste!$A$4:$F$2002,7,FALSE),"")</f>
        <v/>
      </c>
      <c r="HC316" t="str">
        <f>+IFERROR(VLOOKUP(HC17,IN_Zugliste!$A$4:$F$2002,7,FALSE),"")</f>
        <v/>
      </c>
      <c r="HD316" t="str">
        <f>+IFERROR(VLOOKUP(HD17,IN_Zugliste!$A$4:$F$2002,7,FALSE),"")</f>
        <v/>
      </c>
      <c r="HE316" t="str">
        <f>+IFERROR(VLOOKUP(HE17,IN_Zugliste!$A$4:$F$2002,7,FALSE),"")</f>
        <v/>
      </c>
      <c r="HF316" t="str">
        <f>+IFERROR(VLOOKUP(HF17,IN_Zugliste!$A$4:$F$2002,7,FALSE),"")</f>
        <v/>
      </c>
      <c r="HG316" t="str">
        <f>+IFERROR(VLOOKUP(HG17,IN_Zugliste!$A$4:$F$2002,7,FALSE),"")</f>
        <v/>
      </c>
      <c r="HH316" t="str">
        <f>+IFERROR(VLOOKUP(HH17,IN_Zugliste!$A$4:$F$2002,7,FALSE),"")</f>
        <v/>
      </c>
      <c r="HI316" t="str">
        <f>+IFERROR(VLOOKUP(HI17,IN_Zugliste!$A$4:$F$2002,7,FALSE),"")</f>
        <v/>
      </c>
      <c r="HJ316" t="str">
        <f>+IFERROR(VLOOKUP(HJ17,IN_Zugliste!$A$4:$F$2002,7,FALSE),"")</f>
        <v/>
      </c>
      <c r="HK316" t="str">
        <f>+IFERROR(VLOOKUP(HK17,IN_Zugliste!$A$4:$F$2002,7,FALSE),"")</f>
        <v/>
      </c>
      <c r="HL316" t="str">
        <f>+IFERROR(VLOOKUP(HL17,IN_Zugliste!$A$4:$F$2002,7,FALSE),"")</f>
        <v/>
      </c>
      <c r="HM316" t="str">
        <f>+IFERROR(VLOOKUP(HM17,IN_Zugliste!$A$4:$F$2002,7,FALSE),"")</f>
        <v/>
      </c>
      <c r="HN316" t="str">
        <f>+IFERROR(VLOOKUP(HN17,IN_Zugliste!$A$4:$F$2002,7,FALSE),"")</f>
        <v/>
      </c>
      <c r="HO316" t="str">
        <f>+IFERROR(VLOOKUP(HO17,IN_Zugliste!$A$4:$F$2002,7,FALSE),"")</f>
        <v/>
      </c>
      <c r="HP316" t="str">
        <f>+IFERROR(VLOOKUP(HP17,IN_Zugliste!$A$4:$F$2002,7,FALSE),"")</f>
        <v/>
      </c>
      <c r="HQ316" t="str">
        <f>+IFERROR(VLOOKUP(HQ17,IN_Zugliste!$A$4:$F$2002,7,FALSE),"")</f>
        <v/>
      </c>
      <c r="HR316" t="str">
        <f>+IFERROR(VLOOKUP(HR17,IN_Zugliste!$A$4:$F$2002,7,FALSE),"")</f>
        <v/>
      </c>
      <c r="HS316" t="str">
        <f>+IFERROR(VLOOKUP(HS17,IN_Zugliste!$A$4:$F$2002,7,FALSE),"")</f>
        <v/>
      </c>
      <c r="HT316" t="str">
        <f>+IFERROR(VLOOKUP(HT17,IN_Zugliste!$A$4:$F$2002,7,FALSE),"")</f>
        <v/>
      </c>
      <c r="HU316" t="str">
        <f>+IFERROR(VLOOKUP(HU17,IN_Zugliste!$A$4:$F$2002,7,FALSE),"")</f>
        <v/>
      </c>
      <c r="HV316" t="str">
        <f>+IFERROR(VLOOKUP(HV17,IN_Zugliste!$A$4:$F$2002,7,FALSE),"")</f>
        <v/>
      </c>
      <c r="HW316" t="str">
        <f>+IFERROR(VLOOKUP(HW17,IN_Zugliste!$A$4:$F$2002,7,FALSE),"")</f>
        <v/>
      </c>
      <c r="HX316" t="str">
        <f>+IFERROR(VLOOKUP(HX17,IN_Zugliste!$A$4:$F$2002,7,FALSE),"")</f>
        <v/>
      </c>
      <c r="HY316" t="str">
        <f>+IFERROR(VLOOKUP(HY17,IN_Zugliste!$A$4:$F$2002,7,FALSE),"")</f>
        <v/>
      </c>
      <c r="HZ316" t="str">
        <f>+IFERROR(VLOOKUP(HZ17,IN_Zugliste!$A$4:$F$2002,7,FALSE),"")</f>
        <v/>
      </c>
      <c r="IA316" t="str">
        <f>+IFERROR(VLOOKUP(IA17,IN_Zugliste!$A$4:$F$2002,7,FALSE),"")</f>
        <v/>
      </c>
      <c r="IB316" t="str">
        <f>+IFERROR(VLOOKUP(IB17,IN_Zugliste!$A$4:$F$2002,7,FALSE),"")</f>
        <v/>
      </c>
      <c r="IC316" t="str">
        <f>+IFERROR(VLOOKUP(IC17,IN_Zugliste!$A$4:$F$2002,7,FALSE),"")</f>
        <v/>
      </c>
      <c r="ID316" t="str">
        <f>+IFERROR(VLOOKUP(ID17,IN_Zugliste!$A$4:$F$2002,7,FALSE),"")</f>
        <v/>
      </c>
      <c r="IE316" t="str">
        <f>+IFERROR(VLOOKUP(IE17,IN_Zugliste!$A$4:$F$2002,7,FALSE),"")</f>
        <v/>
      </c>
      <c r="IF316" t="str">
        <f>+IFERROR(VLOOKUP(IF17,IN_Zugliste!$A$4:$F$2002,7,FALSE),"")</f>
        <v/>
      </c>
      <c r="IG316" t="str">
        <f>+IFERROR(VLOOKUP(IG17,IN_Zugliste!$A$4:$F$2002,7,FALSE),"")</f>
        <v/>
      </c>
      <c r="IH316" t="str">
        <f>+IFERROR(VLOOKUP(IH17,IN_Zugliste!$A$4:$F$2002,7,FALSE),"")</f>
        <v/>
      </c>
      <c r="II316" t="str">
        <f>+IFERROR(VLOOKUP(II17,IN_Zugliste!$A$4:$F$2002,7,FALSE),"")</f>
        <v/>
      </c>
      <c r="IJ316" t="str">
        <f>+IFERROR(VLOOKUP(IJ17,IN_Zugliste!$A$4:$F$2002,7,FALSE),"")</f>
        <v/>
      </c>
      <c r="IK316" t="str">
        <f>+IFERROR(VLOOKUP(IK17,IN_Zugliste!$A$4:$F$2002,7,FALSE),"")</f>
        <v/>
      </c>
      <c r="IL316" t="str">
        <f>+IFERROR(VLOOKUP(IL17,IN_Zugliste!$A$4:$F$2002,7,FALSE),"")</f>
        <v/>
      </c>
      <c r="IM316" t="str">
        <f>+IFERROR(VLOOKUP(IM17,IN_Zugliste!$A$4:$F$2002,7,FALSE),"")</f>
        <v/>
      </c>
      <c r="IN316" t="str">
        <f>+IFERROR(VLOOKUP(IN17,IN_Zugliste!$A$4:$F$2002,7,FALSE),"")</f>
        <v/>
      </c>
      <c r="IO316" t="str">
        <f>+IFERROR(VLOOKUP(IO17,IN_Zugliste!$A$4:$F$2002,7,FALSE),"")</f>
        <v/>
      </c>
      <c r="IP316" t="str">
        <f>+IFERROR(VLOOKUP(IP17,IN_Zugliste!$A$4:$F$2002,7,FALSE),"")</f>
        <v/>
      </c>
      <c r="IQ316" t="str">
        <f>+IFERROR(VLOOKUP(IQ17,IN_Zugliste!$A$4:$F$2002,7,FALSE),"")</f>
        <v/>
      </c>
      <c r="IR316" t="str">
        <f>+IFERROR(VLOOKUP(IR17,IN_Zugliste!$A$4:$F$2002,7,FALSE),"")</f>
        <v/>
      </c>
      <c r="IS316" t="str">
        <f>+IFERROR(VLOOKUP(IS17,IN_Zugliste!$A$4:$F$2002,7,FALSE),"")</f>
        <v/>
      </c>
      <c r="IT316" t="str">
        <f>+IFERROR(VLOOKUP(IT17,IN_Zugliste!$A$4:$F$2002,7,FALSE),"")</f>
        <v/>
      </c>
      <c r="IU316" t="str">
        <f>+IFERROR(VLOOKUP(IU17,IN_Zugliste!$A$4:$F$2002,7,FALSE),"")</f>
        <v/>
      </c>
      <c r="IV316" t="str">
        <f>+IFERROR(VLOOKUP(IV17,IN_Zugliste!$A$4:$F$2002,7,FALSE),"")</f>
        <v/>
      </c>
      <c r="IW316" t="str">
        <f>+IFERROR(VLOOKUP(IW17,IN_Zugliste!$A$4:$F$2002,7,FALSE),"")</f>
        <v/>
      </c>
      <c r="IX316" t="str">
        <f>+IFERROR(VLOOKUP(IX17,IN_Zugliste!$A$4:$F$2002,7,FALSE),"")</f>
        <v/>
      </c>
      <c r="IY316" t="str">
        <f>+IFERROR(VLOOKUP(IY17,IN_Zugliste!$A$4:$F$2002,7,FALSE),"")</f>
        <v/>
      </c>
      <c r="IZ316" t="str">
        <f>+IFERROR(VLOOKUP(IZ17,IN_Zugliste!$A$4:$F$2002,7,FALSE),"")</f>
        <v/>
      </c>
      <c r="JA316" t="str">
        <f>+IFERROR(VLOOKUP(JA17,IN_Zugliste!$A$4:$F$2002,7,FALSE),"")</f>
        <v/>
      </c>
      <c r="JB316" t="str">
        <f>+IFERROR(VLOOKUP(JB17,IN_Zugliste!$A$4:$F$2002,7,FALSE),"")</f>
        <v/>
      </c>
      <c r="JC316" t="str">
        <f>+IFERROR(VLOOKUP(JC17,IN_Zugliste!$A$4:$F$2002,7,FALSE),"")</f>
        <v/>
      </c>
      <c r="JD316" t="str">
        <f>+IFERROR(VLOOKUP(JD17,IN_Zugliste!$A$4:$F$2002,7,FALSE),"")</f>
        <v/>
      </c>
      <c r="JE316" t="str">
        <f>+IFERROR(VLOOKUP(JE17,IN_Zugliste!$A$4:$F$2002,7,FALSE),"")</f>
        <v/>
      </c>
      <c r="JF316" t="str">
        <f>+IFERROR(VLOOKUP(JF17,IN_Zugliste!$A$4:$F$2002,7,FALSE),"")</f>
        <v/>
      </c>
      <c r="JG316" t="str">
        <f>+IFERROR(VLOOKUP(JG17,IN_Zugliste!$A$4:$F$2002,7,FALSE),"")</f>
        <v/>
      </c>
      <c r="JH316" t="str">
        <f>+IFERROR(VLOOKUP(JH17,IN_Zugliste!$A$4:$F$2002,7,FALSE),"")</f>
        <v/>
      </c>
      <c r="JI316" t="str">
        <f>+IFERROR(VLOOKUP(JI17,IN_Zugliste!$A$4:$F$2002,7,FALSE),"")</f>
        <v/>
      </c>
      <c r="JJ316" t="str">
        <f>+IFERROR(VLOOKUP(JJ17,IN_Zugliste!$A$4:$F$2002,7,FALSE),"")</f>
        <v/>
      </c>
    </row>
    <row r="317" spans="1:270" x14ac:dyDescent="0.2">
      <c r="A317" t="str">
        <f>+IFERROR(VLOOKUP(A18,IN_Zugliste!$A$4:$F$2002,7,FALSE),"")</f>
        <v/>
      </c>
      <c r="B317" t="str">
        <f>+IFERROR(VLOOKUP(B18,IN_Zugliste!$A$4:$F$2002,7,FALSE),"")</f>
        <v/>
      </c>
      <c r="C317" t="str">
        <f>+IFERROR(VLOOKUP(C18,IN_Zugliste!$A$4:$F$2002,7,FALSE),"")</f>
        <v/>
      </c>
      <c r="D317" t="str">
        <f>+IFERROR(VLOOKUP(D18,IN_Zugliste!$A$4:$F$2002,7,FALSE),"")</f>
        <v/>
      </c>
      <c r="E317" t="str">
        <f>+IFERROR(VLOOKUP(E18,IN_Zugliste!$A$4:$F$2002,7,FALSE),"")</f>
        <v/>
      </c>
      <c r="F317" t="str">
        <f>+IFERROR(VLOOKUP(F18,IN_Zugliste!$A$4:$F$2002,7,FALSE),"")</f>
        <v/>
      </c>
      <c r="G317" t="str">
        <f>+IFERROR(VLOOKUP(G18,IN_Zugliste!$A$4:$F$2002,7,FALSE),"")</f>
        <v/>
      </c>
      <c r="H317" t="str">
        <f>+IFERROR(VLOOKUP(H18,IN_Zugliste!$A$4:$F$2002,7,FALSE),"")</f>
        <v/>
      </c>
      <c r="I317" t="str">
        <f>+IFERROR(VLOOKUP(I18,IN_Zugliste!$A$4:$F$2002,7,FALSE),"")</f>
        <v/>
      </c>
      <c r="J317" t="str">
        <f>+IFERROR(VLOOKUP(J18,IN_Zugliste!$A$4:$F$2002,7,FALSE),"")</f>
        <v/>
      </c>
      <c r="K317" t="str">
        <f>+IFERROR(VLOOKUP(K18,IN_Zugliste!$A$4:$F$2002,7,FALSE),"")</f>
        <v/>
      </c>
      <c r="L317" t="str">
        <f>+IFERROR(VLOOKUP(L18,IN_Zugliste!$A$4:$F$2002,7,FALSE),"")</f>
        <v/>
      </c>
      <c r="M317" t="str">
        <f>+IFERROR(VLOOKUP(M18,IN_Zugliste!$A$4:$F$2002,7,FALSE),"")</f>
        <v/>
      </c>
      <c r="N317" t="str">
        <f>+IFERROR(VLOOKUP(N18,IN_Zugliste!$A$4:$F$2002,7,FALSE),"")</f>
        <v/>
      </c>
      <c r="O317" t="str">
        <f>+IFERROR(VLOOKUP(O18,IN_Zugliste!$A$4:$F$2002,7,FALSE),"")</f>
        <v/>
      </c>
      <c r="P317" t="str">
        <f>+IFERROR(VLOOKUP(P18,IN_Zugliste!$A$4:$F$2002,7,FALSE),"")</f>
        <v/>
      </c>
      <c r="Q317" t="str">
        <f>+IFERROR(VLOOKUP(Q18,IN_Zugliste!$A$4:$F$2002,7,FALSE),"")</f>
        <v/>
      </c>
      <c r="R317" t="str">
        <f>+IFERROR(VLOOKUP(R18,IN_Zugliste!$A$4:$F$2002,7,FALSE),"")</f>
        <v/>
      </c>
      <c r="S317" t="str">
        <f>+IFERROR(VLOOKUP(S18,IN_Zugliste!$A$4:$F$2002,7,FALSE),"")</f>
        <v/>
      </c>
      <c r="T317" t="str">
        <f>+IFERROR(VLOOKUP(T18,IN_Zugliste!$A$4:$F$2002,7,FALSE),"")</f>
        <v/>
      </c>
      <c r="U317" t="str">
        <f>+IFERROR(VLOOKUP(U18,IN_Zugliste!$A$4:$F$2002,7,FALSE),"")</f>
        <v/>
      </c>
      <c r="V317" t="str">
        <f>+IFERROR(VLOOKUP(V18,IN_Zugliste!$A$4:$F$2002,7,FALSE),"")</f>
        <v/>
      </c>
      <c r="W317" t="str">
        <f>+IFERROR(VLOOKUP(W18,IN_Zugliste!$A$4:$F$2002,7,FALSE),"")</f>
        <v/>
      </c>
      <c r="X317" t="str">
        <f>+IFERROR(VLOOKUP(X18,IN_Zugliste!$A$4:$F$2002,7,FALSE),"")</f>
        <v/>
      </c>
      <c r="Y317" t="str">
        <f>+IFERROR(VLOOKUP(Y18,IN_Zugliste!$A$4:$F$2002,7,FALSE),"")</f>
        <v/>
      </c>
      <c r="Z317" t="str">
        <f>+IFERROR(VLOOKUP(Z18,IN_Zugliste!$A$4:$F$2002,7,FALSE),"")</f>
        <v/>
      </c>
      <c r="AA317" t="str">
        <f>+IFERROR(VLOOKUP(AA18,IN_Zugliste!$A$4:$F$2002,7,FALSE),"")</f>
        <v/>
      </c>
      <c r="AB317" t="str">
        <f>+IFERROR(VLOOKUP(AB18,IN_Zugliste!$A$4:$F$2002,7,FALSE),"")</f>
        <v/>
      </c>
      <c r="AC317" t="str">
        <f>+IFERROR(VLOOKUP(AC18,IN_Zugliste!$A$4:$F$2002,7,FALSE),"")</f>
        <v/>
      </c>
      <c r="AD317" t="str">
        <f>+IFERROR(VLOOKUP(AD18,IN_Zugliste!$A$4:$F$2002,7,FALSE),"")</f>
        <v/>
      </c>
      <c r="AE317" t="str">
        <f>+IFERROR(VLOOKUP(AE18,IN_Zugliste!$A$4:$F$2002,7,FALSE),"")</f>
        <v/>
      </c>
      <c r="AF317" t="str">
        <f>+IFERROR(VLOOKUP(AF18,IN_Zugliste!$A$4:$F$2002,7,FALSE),"")</f>
        <v/>
      </c>
      <c r="AG317" t="str">
        <f>+IFERROR(VLOOKUP(AG18,IN_Zugliste!$A$4:$F$2002,7,FALSE),"")</f>
        <v/>
      </c>
      <c r="AH317" t="str">
        <f>+IFERROR(VLOOKUP(AH18,IN_Zugliste!$A$4:$F$2002,7,FALSE),"")</f>
        <v/>
      </c>
      <c r="AI317" t="str">
        <f>+IFERROR(VLOOKUP(AI18,IN_Zugliste!$A$4:$F$2002,7,FALSE),"")</f>
        <v/>
      </c>
      <c r="AJ317" t="str">
        <f>+IFERROR(VLOOKUP(AJ18,IN_Zugliste!$A$4:$F$2002,7,FALSE),"")</f>
        <v/>
      </c>
      <c r="AK317" t="str">
        <f>+IFERROR(VLOOKUP(AK18,IN_Zugliste!$A$4:$F$2002,7,FALSE),"")</f>
        <v/>
      </c>
      <c r="AL317" t="str">
        <f>+IFERROR(VLOOKUP(AL18,IN_Zugliste!$A$4:$F$2002,7,FALSE),"")</f>
        <v/>
      </c>
      <c r="AM317" t="str">
        <f>+IFERROR(VLOOKUP(AM18,IN_Zugliste!$A$4:$F$2002,7,FALSE),"")</f>
        <v/>
      </c>
      <c r="AN317" t="str">
        <f>+IFERROR(VLOOKUP(AN18,IN_Zugliste!$A$4:$F$2002,7,FALSE),"")</f>
        <v/>
      </c>
      <c r="AO317" t="str">
        <f>+IFERROR(VLOOKUP(AO18,IN_Zugliste!$A$4:$F$2002,7,FALSE),"")</f>
        <v/>
      </c>
      <c r="AP317" t="str">
        <f>+IFERROR(VLOOKUP(AP18,IN_Zugliste!$A$4:$F$2002,7,FALSE),"")</f>
        <v/>
      </c>
      <c r="AQ317" t="str">
        <f>+IFERROR(VLOOKUP(AQ18,IN_Zugliste!$A$4:$F$2002,7,FALSE),"")</f>
        <v/>
      </c>
      <c r="AR317" t="str">
        <f>+IFERROR(VLOOKUP(AR18,IN_Zugliste!$A$4:$F$2002,7,FALSE),"")</f>
        <v/>
      </c>
      <c r="AS317" t="str">
        <f>+IFERROR(VLOOKUP(AS18,IN_Zugliste!$A$4:$F$2002,7,FALSE),"")</f>
        <v/>
      </c>
      <c r="AT317" t="str">
        <f>+IFERROR(VLOOKUP(AT18,IN_Zugliste!$A$4:$F$2002,7,FALSE),"")</f>
        <v/>
      </c>
      <c r="AU317" t="str">
        <f>+IFERROR(VLOOKUP(AU18,IN_Zugliste!$A$4:$F$2002,7,FALSE),"")</f>
        <v/>
      </c>
      <c r="AV317" t="str">
        <f>+IFERROR(VLOOKUP(AV18,IN_Zugliste!$A$4:$F$2002,7,FALSE),"")</f>
        <v/>
      </c>
      <c r="AW317" t="str">
        <f>+IFERROR(VLOOKUP(AW18,IN_Zugliste!$A$4:$F$2002,7,FALSE),"")</f>
        <v/>
      </c>
      <c r="AX317" t="str">
        <f>+IFERROR(VLOOKUP(AX18,IN_Zugliste!$A$4:$F$2002,7,FALSE),"")</f>
        <v/>
      </c>
      <c r="AY317" t="str">
        <f>+IFERROR(VLOOKUP(AY18,IN_Zugliste!$A$4:$F$2002,7,FALSE),"")</f>
        <v/>
      </c>
      <c r="AZ317" t="str">
        <f>+IFERROR(VLOOKUP(AZ18,IN_Zugliste!$A$4:$F$2002,7,FALSE),"")</f>
        <v/>
      </c>
      <c r="BA317" t="str">
        <f>+IFERROR(VLOOKUP(BA18,IN_Zugliste!$A$4:$F$2002,7,FALSE),"")</f>
        <v/>
      </c>
      <c r="BB317" t="str">
        <f>+IFERROR(VLOOKUP(BB18,IN_Zugliste!$A$4:$F$2002,7,FALSE),"")</f>
        <v/>
      </c>
      <c r="BC317" t="str">
        <f>+IFERROR(VLOOKUP(BC18,IN_Zugliste!$A$4:$F$2002,7,FALSE),"")</f>
        <v/>
      </c>
      <c r="BD317" t="str">
        <f>+IFERROR(VLOOKUP(BD18,IN_Zugliste!$A$4:$F$2002,7,FALSE),"")</f>
        <v/>
      </c>
      <c r="BE317" t="str">
        <f>+IFERROR(VLOOKUP(BE18,IN_Zugliste!$A$4:$F$2002,7,FALSE),"")</f>
        <v/>
      </c>
      <c r="BF317" t="str">
        <f>+IFERROR(VLOOKUP(BF18,IN_Zugliste!$A$4:$F$2002,7,FALSE),"")</f>
        <v/>
      </c>
      <c r="BG317" t="str">
        <f>+IFERROR(VLOOKUP(BG18,IN_Zugliste!$A$4:$F$2002,7,FALSE),"")</f>
        <v/>
      </c>
      <c r="BH317" t="str">
        <f>+IFERROR(VLOOKUP(BH18,IN_Zugliste!$A$4:$F$2002,7,FALSE),"")</f>
        <v/>
      </c>
      <c r="BI317" t="str">
        <f>+IFERROR(VLOOKUP(BI18,IN_Zugliste!$A$4:$F$2002,7,FALSE),"")</f>
        <v/>
      </c>
      <c r="BJ317" t="str">
        <f>+IFERROR(VLOOKUP(BJ18,IN_Zugliste!$A$4:$F$2002,7,FALSE),"")</f>
        <v/>
      </c>
      <c r="BK317" t="str">
        <f>+IFERROR(VLOOKUP(BK18,IN_Zugliste!$A$4:$F$2002,7,FALSE),"")</f>
        <v/>
      </c>
      <c r="BL317" t="str">
        <f>+IFERROR(VLOOKUP(BL18,IN_Zugliste!$A$4:$F$2002,7,FALSE),"")</f>
        <v/>
      </c>
      <c r="BM317" t="str">
        <f>+IFERROR(VLOOKUP(BM18,IN_Zugliste!$A$4:$F$2002,7,FALSE),"")</f>
        <v/>
      </c>
      <c r="BN317" t="str">
        <f>+IFERROR(VLOOKUP(BN18,IN_Zugliste!$A$4:$F$2002,7,FALSE),"")</f>
        <v/>
      </c>
      <c r="BO317" t="str">
        <f>+IFERROR(VLOOKUP(BO18,IN_Zugliste!$A$4:$F$2002,7,FALSE),"")</f>
        <v/>
      </c>
      <c r="BP317" t="str">
        <f>+IFERROR(VLOOKUP(BP18,IN_Zugliste!$A$4:$F$2002,7,FALSE),"")</f>
        <v/>
      </c>
      <c r="BQ317" t="str">
        <f>+IFERROR(VLOOKUP(BQ18,IN_Zugliste!$A$4:$F$2002,7,FALSE),"")</f>
        <v/>
      </c>
      <c r="BR317" t="str">
        <f>+IFERROR(VLOOKUP(BR18,IN_Zugliste!$A$4:$F$2002,7,FALSE),"")</f>
        <v/>
      </c>
      <c r="BS317" t="str">
        <f>+IFERROR(VLOOKUP(BS18,IN_Zugliste!$A$4:$F$2002,7,FALSE),"")</f>
        <v/>
      </c>
      <c r="BT317" t="str">
        <f>+IFERROR(VLOOKUP(BT18,IN_Zugliste!$A$4:$F$2002,7,FALSE),"")</f>
        <v/>
      </c>
      <c r="BU317" t="str">
        <f>+IFERROR(VLOOKUP(BU18,IN_Zugliste!$A$4:$F$2002,7,FALSE),"")</f>
        <v/>
      </c>
      <c r="BV317" t="str">
        <f>+IFERROR(VLOOKUP(BV18,IN_Zugliste!$A$4:$F$2002,7,FALSE),"")</f>
        <v/>
      </c>
      <c r="BW317" t="str">
        <f>+IFERROR(VLOOKUP(BW18,IN_Zugliste!$A$4:$F$2002,7,FALSE),"")</f>
        <v/>
      </c>
      <c r="BX317" t="str">
        <f>+IFERROR(VLOOKUP(BX18,IN_Zugliste!$A$4:$F$2002,7,FALSE),"")</f>
        <v/>
      </c>
      <c r="BY317" t="str">
        <f>+IFERROR(VLOOKUP(BY18,IN_Zugliste!$A$4:$F$2002,7,FALSE),"")</f>
        <v/>
      </c>
      <c r="BZ317" t="str">
        <f>+IFERROR(VLOOKUP(BZ18,IN_Zugliste!$A$4:$F$2002,7,FALSE),"")</f>
        <v/>
      </c>
      <c r="CA317" t="str">
        <f>+IFERROR(VLOOKUP(CA18,IN_Zugliste!$A$4:$F$2002,7,FALSE),"")</f>
        <v/>
      </c>
      <c r="CB317" t="str">
        <f>+IFERROR(VLOOKUP(CB18,IN_Zugliste!$A$4:$F$2002,7,FALSE),"")</f>
        <v/>
      </c>
      <c r="CC317" t="str">
        <f>+IFERROR(VLOOKUP(CC18,IN_Zugliste!$A$4:$F$2002,7,FALSE),"")</f>
        <v/>
      </c>
      <c r="CD317" t="str">
        <f>+IFERROR(VLOOKUP(CD18,IN_Zugliste!$A$4:$F$2002,7,FALSE),"")</f>
        <v/>
      </c>
      <c r="CE317" t="str">
        <f>+IFERROR(VLOOKUP(CE18,IN_Zugliste!$A$4:$F$2002,7,FALSE),"")</f>
        <v/>
      </c>
      <c r="CF317" t="str">
        <f>+IFERROR(VLOOKUP(CF18,IN_Zugliste!$A$4:$F$2002,7,FALSE),"")</f>
        <v/>
      </c>
      <c r="CG317" t="str">
        <f>+IFERROR(VLOOKUP(CG18,IN_Zugliste!$A$4:$F$2002,7,FALSE),"")</f>
        <v/>
      </c>
      <c r="CH317" t="str">
        <f>+IFERROR(VLOOKUP(CH18,IN_Zugliste!$A$4:$F$2002,7,FALSE),"")</f>
        <v/>
      </c>
      <c r="CI317" t="str">
        <f>+IFERROR(VLOOKUP(CI18,IN_Zugliste!$A$4:$F$2002,7,FALSE),"")</f>
        <v/>
      </c>
      <c r="CJ317" t="str">
        <f>+IFERROR(VLOOKUP(CJ18,IN_Zugliste!$A$4:$F$2002,7,FALSE),"")</f>
        <v/>
      </c>
      <c r="CK317" t="str">
        <f>+IFERROR(VLOOKUP(CK18,IN_Zugliste!$A$4:$F$2002,7,FALSE),"")</f>
        <v/>
      </c>
      <c r="CL317" t="str">
        <f>+IFERROR(VLOOKUP(CL18,IN_Zugliste!$A$4:$F$2002,7,FALSE),"")</f>
        <v/>
      </c>
      <c r="CM317" t="str">
        <f>+IFERROR(VLOOKUP(CM18,IN_Zugliste!$A$4:$F$2002,7,FALSE),"")</f>
        <v/>
      </c>
      <c r="CN317" t="str">
        <f>+IFERROR(VLOOKUP(CN18,IN_Zugliste!$A$4:$F$2002,7,FALSE),"")</f>
        <v/>
      </c>
      <c r="CO317" t="str">
        <f>+IFERROR(VLOOKUP(CO18,IN_Zugliste!$A$4:$F$2002,7,FALSE),"")</f>
        <v/>
      </c>
      <c r="CP317" t="str">
        <f>+IFERROR(VLOOKUP(CP18,IN_Zugliste!$A$4:$F$2002,7,FALSE),"")</f>
        <v/>
      </c>
      <c r="CQ317" t="str">
        <f>+IFERROR(VLOOKUP(CQ18,IN_Zugliste!$A$4:$F$2002,7,FALSE),"")</f>
        <v/>
      </c>
      <c r="CR317" t="str">
        <f>+IFERROR(VLOOKUP(CR18,IN_Zugliste!$A$4:$F$2002,7,FALSE),"")</f>
        <v/>
      </c>
      <c r="CS317" t="str">
        <f>+IFERROR(VLOOKUP(CS18,IN_Zugliste!$A$4:$F$2002,7,FALSE),"")</f>
        <v/>
      </c>
      <c r="CT317" t="str">
        <f>+IFERROR(VLOOKUP(CT18,IN_Zugliste!$A$4:$F$2002,7,FALSE),"")</f>
        <v/>
      </c>
      <c r="CU317" t="str">
        <f>+IFERROR(VLOOKUP(CU18,IN_Zugliste!$A$4:$F$2002,7,FALSE),"")</f>
        <v/>
      </c>
      <c r="CV317" t="str">
        <f>+IFERROR(VLOOKUP(CV18,IN_Zugliste!$A$4:$F$2002,7,FALSE),"")</f>
        <v/>
      </c>
      <c r="CW317" t="str">
        <f>+IFERROR(VLOOKUP(CW18,IN_Zugliste!$A$4:$F$2002,7,FALSE),"")</f>
        <v/>
      </c>
      <c r="CX317" t="str">
        <f>+IFERROR(VLOOKUP(CX18,IN_Zugliste!$A$4:$F$2002,7,FALSE),"")</f>
        <v/>
      </c>
      <c r="CY317" t="str">
        <f>+IFERROR(VLOOKUP(CY18,IN_Zugliste!$A$4:$F$2002,7,FALSE),"")</f>
        <v/>
      </c>
      <c r="CZ317" t="str">
        <f>+IFERROR(VLOOKUP(CZ18,IN_Zugliste!$A$4:$F$2002,7,FALSE),"")</f>
        <v/>
      </c>
      <c r="DA317" t="str">
        <f>+IFERROR(VLOOKUP(DA18,IN_Zugliste!$A$4:$F$2002,7,FALSE),"")</f>
        <v/>
      </c>
      <c r="DB317" t="str">
        <f>+IFERROR(VLOOKUP(DB18,IN_Zugliste!$A$4:$F$2002,7,FALSE),"")</f>
        <v/>
      </c>
      <c r="DC317" t="str">
        <f>+IFERROR(VLOOKUP(DC18,IN_Zugliste!$A$4:$F$2002,7,FALSE),"")</f>
        <v/>
      </c>
      <c r="DD317" t="str">
        <f>+IFERROR(VLOOKUP(DD18,IN_Zugliste!$A$4:$F$2002,7,FALSE),"")</f>
        <v/>
      </c>
      <c r="DE317" t="str">
        <f>+IFERROR(VLOOKUP(DE18,IN_Zugliste!$A$4:$F$2002,7,FALSE),"")</f>
        <v/>
      </c>
      <c r="DF317" t="str">
        <f>+IFERROR(VLOOKUP(DF18,IN_Zugliste!$A$4:$F$2002,7,FALSE),"")</f>
        <v/>
      </c>
      <c r="DG317" t="str">
        <f>+IFERROR(VLOOKUP(DG18,IN_Zugliste!$A$4:$F$2002,7,FALSE),"")</f>
        <v/>
      </c>
      <c r="DH317" t="str">
        <f>+IFERROR(VLOOKUP(DH18,IN_Zugliste!$A$4:$F$2002,7,FALSE),"")</f>
        <v/>
      </c>
      <c r="DI317" t="str">
        <f>+IFERROR(VLOOKUP(DI18,IN_Zugliste!$A$4:$F$2002,7,FALSE),"")</f>
        <v/>
      </c>
      <c r="DJ317" t="str">
        <f>+IFERROR(VLOOKUP(DJ18,IN_Zugliste!$A$4:$F$2002,7,FALSE),"")</f>
        <v/>
      </c>
      <c r="DK317" t="str">
        <f>+IFERROR(VLOOKUP(DK18,IN_Zugliste!$A$4:$F$2002,7,FALSE),"")</f>
        <v/>
      </c>
      <c r="DL317" t="str">
        <f>+IFERROR(VLOOKUP(DL18,IN_Zugliste!$A$4:$F$2002,7,FALSE),"")</f>
        <v/>
      </c>
      <c r="DM317" t="str">
        <f>+IFERROR(VLOOKUP(DM18,IN_Zugliste!$A$4:$F$2002,7,FALSE),"")</f>
        <v/>
      </c>
      <c r="DN317" t="str">
        <f>+IFERROR(VLOOKUP(DN18,IN_Zugliste!$A$4:$F$2002,7,FALSE),"")</f>
        <v/>
      </c>
      <c r="DO317" t="str">
        <f>+IFERROR(VLOOKUP(DO18,IN_Zugliste!$A$4:$F$2002,7,FALSE),"")</f>
        <v/>
      </c>
      <c r="DP317" t="str">
        <f>+IFERROR(VLOOKUP(DP18,IN_Zugliste!$A$4:$F$2002,7,FALSE),"")</f>
        <v/>
      </c>
      <c r="DQ317" t="str">
        <f>+IFERROR(VLOOKUP(DQ18,IN_Zugliste!$A$4:$F$2002,7,FALSE),"")</f>
        <v/>
      </c>
      <c r="DR317" t="str">
        <f>+IFERROR(VLOOKUP(DR18,IN_Zugliste!$A$4:$F$2002,7,FALSE),"")</f>
        <v/>
      </c>
      <c r="DS317" t="str">
        <f>+IFERROR(VLOOKUP(DS18,IN_Zugliste!$A$4:$F$2002,7,FALSE),"")</f>
        <v/>
      </c>
      <c r="DT317" t="str">
        <f>+IFERROR(VLOOKUP(DT18,IN_Zugliste!$A$4:$F$2002,7,FALSE),"")</f>
        <v/>
      </c>
      <c r="DU317" t="str">
        <f>+IFERROR(VLOOKUP(DU18,IN_Zugliste!$A$4:$F$2002,7,FALSE),"")</f>
        <v/>
      </c>
      <c r="DV317" t="str">
        <f>+IFERROR(VLOOKUP(DV18,IN_Zugliste!$A$4:$F$2002,7,FALSE),"")</f>
        <v/>
      </c>
      <c r="DW317" t="str">
        <f>+IFERROR(VLOOKUP(DW18,IN_Zugliste!$A$4:$F$2002,7,FALSE),"")</f>
        <v/>
      </c>
      <c r="DX317" t="str">
        <f>+IFERROR(VLOOKUP(DX18,IN_Zugliste!$A$4:$F$2002,7,FALSE),"")</f>
        <v/>
      </c>
      <c r="DY317" t="str">
        <f>+IFERROR(VLOOKUP(DY18,IN_Zugliste!$A$4:$F$2002,7,FALSE),"")</f>
        <v/>
      </c>
      <c r="DZ317" t="str">
        <f>+IFERROR(VLOOKUP(DZ18,IN_Zugliste!$A$4:$F$2002,7,FALSE),"")</f>
        <v/>
      </c>
      <c r="EA317" t="str">
        <f>+IFERROR(VLOOKUP(EA18,IN_Zugliste!$A$4:$F$2002,7,FALSE),"")</f>
        <v/>
      </c>
      <c r="EB317" t="str">
        <f>+IFERROR(VLOOKUP(EB18,IN_Zugliste!$A$4:$F$2002,7,FALSE),"")</f>
        <v/>
      </c>
      <c r="EC317" t="str">
        <f>+IFERROR(VLOOKUP(EC18,IN_Zugliste!$A$4:$F$2002,7,FALSE),"")</f>
        <v/>
      </c>
      <c r="ED317" t="str">
        <f>+IFERROR(VLOOKUP(ED18,IN_Zugliste!$A$4:$F$2002,7,FALSE),"")</f>
        <v/>
      </c>
      <c r="EE317" t="str">
        <f>+IFERROR(VLOOKUP(EE18,IN_Zugliste!$A$4:$F$2002,7,FALSE),"")</f>
        <v/>
      </c>
      <c r="EF317" t="str">
        <f>+IFERROR(VLOOKUP(EF18,IN_Zugliste!$A$4:$F$2002,7,FALSE),"")</f>
        <v/>
      </c>
      <c r="EG317" t="str">
        <f>+IFERROR(VLOOKUP(EG18,IN_Zugliste!$A$4:$F$2002,7,FALSE),"")</f>
        <v/>
      </c>
      <c r="EH317" t="str">
        <f>+IFERROR(VLOOKUP(EH18,IN_Zugliste!$A$4:$F$2002,7,FALSE),"")</f>
        <v/>
      </c>
      <c r="EI317" t="str">
        <f>+IFERROR(VLOOKUP(EI18,IN_Zugliste!$A$4:$F$2002,7,FALSE),"")</f>
        <v/>
      </c>
      <c r="EJ317" t="str">
        <f>+IFERROR(VLOOKUP(EJ18,IN_Zugliste!$A$4:$F$2002,7,FALSE),"")</f>
        <v/>
      </c>
      <c r="EK317" t="str">
        <f>+IFERROR(VLOOKUP(EK18,IN_Zugliste!$A$4:$F$2002,7,FALSE),"")</f>
        <v/>
      </c>
      <c r="EL317" t="str">
        <f>+IFERROR(VLOOKUP(EL18,IN_Zugliste!$A$4:$F$2002,7,FALSE),"")</f>
        <v/>
      </c>
      <c r="EM317" t="str">
        <f>+IFERROR(VLOOKUP(EM18,IN_Zugliste!$A$4:$F$2002,7,FALSE),"")</f>
        <v/>
      </c>
      <c r="EN317" t="str">
        <f>+IFERROR(VLOOKUP(EN18,IN_Zugliste!$A$4:$F$2002,7,FALSE),"")</f>
        <v/>
      </c>
      <c r="EO317" t="str">
        <f>+IFERROR(VLOOKUP(EO18,IN_Zugliste!$A$4:$F$2002,7,FALSE),"")</f>
        <v/>
      </c>
      <c r="EP317" t="str">
        <f>+IFERROR(VLOOKUP(EP18,IN_Zugliste!$A$4:$F$2002,7,FALSE),"")</f>
        <v/>
      </c>
      <c r="EQ317" t="str">
        <f>+IFERROR(VLOOKUP(EQ18,IN_Zugliste!$A$4:$F$2002,7,FALSE),"")</f>
        <v/>
      </c>
      <c r="ER317" t="str">
        <f>+IFERROR(VLOOKUP(ER18,IN_Zugliste!$A$4:$F$2002,7,FALSE),"")</f>
        <v/>
      </c>
      <c r="ES317" t="str">
        <f>+IFERROR(VLOOKUP(ES18,IN_Zugliste!$A$4:$F$2002,7,FALSE),"")</f>
        <v/>
      </c>
      <c r="ET317" t="str">
        <f>+IFERROR(VLOOKUP(ET18,IN_Zugliste!$A$4:$F$2002,7,FALSE),"")</f>
        <v/>
      </c>
      <c r="EU317" t="str">
        <f>+IFERROR(VLOOKUP(EU18,IN_Zugliste!$A$4:$F$2002,7,FALSE),"")</f>
        <v/>
      </c>
      <c r="EV317" t="str">
        <f>+IFERROR(VLOOKUP(EV18,IN_Zugliste!$A$4:$F$2002,7,FALSE),"")</f>
        <v/>
      </c>
      <c r="EW317" t="str">
        <f>+IFERROR(VLOOKUP(EW18,IN_Zugliste!$A$4:$F$2002,7,FALSE),"")</f>
        <v/>
      </c>
      <c r="EX317" t="str">
        <f>+IFERROR(VLOOKUP(EX18,IN_Zugliste!$A$4:$F$2002,7,FALSE),"")</f>
        <v/>
      </c>
      <c r="EY317" t="str">
        <f>+IFERROR(VLOOKUP(EY18,IN_Zugliste!$A$4:$F$2002,7,FALSE),"")</f>
        <v/>
      </c>
      <c r="EZ317" t="str">
        <f>+IFERROR(VLOOKUP(EZ18,IN_Zugliste!$A$4:$F$2002,7,FALSE),"")</f>
        <v/>
      </c>
      <c r="FA317" t="str">
        <f>+IFERROR(VLOOKUP(FA18,IN_Zugliste!$A$4:$F$2002,7,FALSE),"")</f>
        <v/>
      </c>
      <c r="FB317" t="str">
        <f>+IFERROR(VLOOKUP(FB18,IN_Zugliste!$A$4:$F$2002,7,FALSE),"")</f>
        <v/>
      </c>
      <c r="FC317" t="str">
        <f>+IFERROR(VLOOKUP(FC18,IN_Zugliste!$A$4:$F$2002,7,FALSE),"")</f>
        <v/>
      </c>
      <c r="FD317" t="str">
        <f>+IFERROR(VLOOKUP(FD18,IN_Zugliste!$A$4:$F$2002,7,FALSE),"")</f>
        <v/>
      </c>
      <c r="FE317" t="str">
        <f>+IFERROR(VLOOKUP(FE18,IN_Zugliste!$A$4:$F$2002,7,FALSE),"")</f>
        <v/>
      </c>
      <c r="FF317" t="str">
        <f>+IFERROR(VLOOKUP(FF18,IN_Zugliste!$A$4:$F$2002,7,FALSE),"")</f>
        <v/>
      </c>
      <c r="FG317" t="str">
        <f>+IFERROR(VLOOKUP(FG18,IN_Zugliste!$A$4:$F$2002,7,FALSE),"")</f>
        <v/>
      </c>
      <c r="FH317" t="str">
        <f>+IFERROR(VLOOKUP(FH18,IN_Zugliste!$A$4:$F$2002,7,FALSE),"")</f>
        <v/>
      </c>
      <c r="FI317" t="str">
        <f>+IFERROR(VLOOKUP(FI18,IN_Zugliste!$A$4:$F$2002,7,FALSE),"")</f>
        <v/>
      </c>
      <c r="FJ317" t="str">
        <f>+IFERROR(VLOOKUP(FJ18,IN_Zugliste!$A$4:$F$2002,7,FALSE),"")</f>
        <v/>
      </c>
      <c r="FK317" t="str">
        <f>+IFERROR(VLOOKUP(FK18,IN_Zugliste!$A$4:$F$2002,7,FALSE),"")</f>
        <v/>
      </c>
      <c r="FL317" t="str">
        <f>+IFERROR(VLOOKUP(FL18,IN_Zugliste!$A$4:$F$2002,7,FALSE),"")</f>
        <v/>
      </c>
      <c r="FM317" t="str">
        <f>+IFERROR(VLOOKUP(FM18,IN_Zugliste!$A$4:$F$2002,7,FALSE),"")</f>
        <v/>
      </c>
      <c r="FN317" t="str">
        <f>+IFERROR(VLOOKUP(FN18,IN_Zugliste!$A$4:$F$2002,7,FALSE),"")</f>
        <v/>
      </c>
      <c r="FO317" t="str">
        <f>+IFERROR(VLOOKUP(FO18,IN_Zugliste!$A$4:$F$2002,7,FALSE),"")</f>
        <v/>
      </c>
      <c r="FP317" t="str">
        <f>+IFERROR(VLOOKUP(FP18,IN_Zugliste!$A$4:$F$2002,7,FALSE),"")</f>
        <v/>
      </c>
      <c r="FQ317" t="str">
        <f>+IFERROR(VLOOKUP(FQ18,IN_Zugliste!$A$4:$F$2002,7,FALSE),"")</f>
        <v/>
      </c>
      <c r="FR317" t="str">
        <f>+IFERROR(VLOOKUP(FR18,IN_Zugliste!$A$4:$F$2002,7,FALSE),"")</f>
        <v/>
      </c>
      <c r="FS317" t="str">
        <f>+IFERROR(VLOOKUP(FS18,IN_Zugliste!$A$4:$F$2002,7,FALSE),"")</f>
        <v/>
      </c>
      <c r="FT317" t="str">
        <f>+IFERROR(VLOOKUP(FT18,IN_Zugliste!$A$4:$F$2002,7,FALSE),"")</f>
        <v/>
      </c>
      <c r="FU317" t="str">
        <f>+IFERROR(VLOOKUP(FU18,IN_Zugliste!$A$4:$F$2002,7,FALSE),"")</f>
        <v/>
      </c>
      <c r="FV317" t="str">
        <f>+IFERROR(VLOOKUP(FV18,IN_Zugliste!$A$4:$F$2002,7,FALSE),"")</f>
        <v/>
      </c>
      <c r="FW317" t="str">
        <f>+IFERROR(VLOOKUP(FW18,IN_Zugliste!$A$4:$F$2002,7,FALSE),"")</f>
        <v/>
      </c>
      <c r="FX317" t="str">
        <f>+IFERROR(VLOOKUP(FX18,IN_Zugliste!$A$4:$F$2002,7,FALSE),"")</f>
        <v/>
      </c>
      <c r="FY317" t="str">
        <f>+IFERROR(VLOOKUP(FY18,IN_Zugliste!$A$4:$F$2002,7,FALSE),"")</f>
        <v/>
      </c>
      <c r="FZ317" t="str">
        <f>+IFERROR(VLOOKUP(FZ18,IN_Zugliste!$A$4:$F$2002,7,FALSE),"")</f>
        <v/>
      </c>
      <c r="GA317" t="str">
        <f>+IFERROR(VLOOKUP(GA18,IN_Zugliste!$A$4:$F$2002,7,FALSE),"")</f>
        <v/>
      </c>
      <c r="GB317" t="str">
        <f>+IFERROR(VLOOKUP(GB18,IN_Zugliste!$A$4:$F$2002,7,FALSE),"")</f>
        <v/>
      </c>
      <c r="GC317" t="str">
        <f>+IFERROR(VLOOKUP(GC18,IN_Zugliste!$A$4:$F$2002,7,FALSE),"")</f>
        <v/>
      </c>
      <c r="GD317" t="str">
        <f>+IFERROR(VLOOKUP(GD18,IN_Zugliste!$A$4:$F$2002,7,FALSE),"")</f>
        <v/>
      </c>
      <c r="GE317" t="str">
        <f>+IFERROR(VLOOKUP(GE18,IN_Zugliste!$A$4:$F$2002,7,FALSE),"")</f>
        <v/>
      </c>
      <c r="GF317" t="str">
        <f>+IFERROR(VLOOKUP(GF18,IN_Zugliste!$A$4:$F$2002,7,FALSE),"")</f>
        <v/>
      </c>
      <c r="GG317" t="str">
        <f>+IFERROR(VLOOKUP(GG18,IN_Zugliste!$A$4:$F$2002,7,FALSE),"")</f>
        <v/>
      </c>
      <c r="GH317" t="str">
        <f>+IFERROR(VLOOKUP(GH18,IN_Zugliste!$A$4:$F$2002,7,FALSE),"")</f>
        <v/>
      </c>
      <c r="GI317" t="str">
        <f>+IFERROR(VLOOKUP(GI18,IN_Zugliste!$A$4:$F$2002,7,FALSE),"")</f>
        <v/>
      </c>
      <c r="GJ317" t="str">
        <f>+IFERROR(VLOOKUP(GJ18,IN_Zugliste!$A$4:$F$2002,7,FALSE),"")</f>
        <v/>
      </c>
      <c r="GK317" t="str">
        <f>+IFERROR(VLOOKUP(GK18,IN_Zugliste!$A$4:$F$2002,7,FALSE),"")</f>
        <v/>
      </c>
      <c r="GL317" t="str">
        <f>+IFERROR(VLOOKUP(GL18,IN_Zugliste!$A$4:$F$2002,7,FALSE),"")</f>
        <v/>
      </c>
      <c r="GM317" t="str">
        <f>+IFERROR(VLOOKUP(GM18,IN_Zugliste!$A$4:$F$2002,7,FALSE),"")</f>
        <v/>
      </c>
      <c r="GN317" t="str">
        <f>+IFERROR(VLOOKUP(GN18,IN_Zugliste!$A$4:$F$2002,7,FALSE),"")</f>
        <v/>
      </c>
      <c r="GO317" t="str">
        <f>+IFERROR(VLOOKUP(GO18,IN_Zugliste!$A$4:$F$2002,7,FALSE),"")</f>
        <v/>
      </c>
      <c r="GP317" t="str">
        <f>+IFERROR(VLOOKUP(GP18,IN_Zugliste!$A$4:$F$2002,7,FALSE),"")</f>
        <v/>
      </c>
      <c r="GQ317" t="str">
        <f>+IFERROR(VLOOKUP(GQ18,IN_Zugliste!$A$4:$F$2002,7,FALSE),"")</f>
        <v/>
      </c>
      <c r="GR317" t="str">
        <f>+IFERROR(VLOOKUP(GR18,IN_Zugliste!$A$4:$F$2002,7,FALSE),"")</f>
        <v/>
      </c>
      <c r="GS317" t="str">
        <f>+IFERROR(VLOOKUP(GS18,IN_Zugliste!$A$4:$F$2002,7,FALSE),"")</f>
        <v/>
      </c>
      <c r="GT317" t="str">
        <f>+IFERROR(VLOOKUP(GT18,IN_Zugliste!$A$4:$F$2002,7,FALSE),"")</f>
        <v/>
      </c>
      <c r="GU317" t="str">
        <f>+IFERROR(VLOOKUP(GU18,IN_Zugliste!$A$4:$F$2002,7,FALSE),"")</f>
        <v/>
      </c>
      <c r="GV317" t="str">
        <f>+IFERROR(VLOOKUP(GV18,IN_Zugliste!$A$4:$F$2002,7,FALSE),"")</f>
        <v/>
      </c>
      <c r="GW317" t="str">
        <f>+IFERROR(VLOOKUP(GW18,IN_Zugliste!$A$4:$F$2002,7,FALSE),"")</f>
        <v/>
      </c>
      <c r="GX317" t="str">
        <f>+IFERROR(VLOOKUP(GX18,IN_Zugliste!$A$4:$F$2002,7,FALSE),"")</f>
        <v/>
      </c>
      <c r="GY317" t="str">
        <f>+IFERROR(VLOOKUP(GY18,IN_Zugliste!$A$4:$F$2002,7,FALSE),"")</f>
        <v/>
      </c>
      <c r="GZ317" t="str">
        <f>+IFERROR(VLOOKUP(GZ18,IN_Zugliste!$A$4:$F$2002,7,FALSE),"")</f>
        <v/>
      </c>
      <c r="HA317" t="str">
        <f>+IFERROR(VLOOKUP(HA18,IN_Zugliste!$A$4:$F$2002,7,FALSE),"")</f>
        <v/>
      </c>
      <c r="HB317" t="str">
        <f>+IFERROR(VLOOKUP(HB18,IN_Zugliste!$A$4:$F$2002,7,FALSE),"")</f>
        <v/>
      </c>
      <c r="HC317" t="str">
        <f>+IFERROR(VLOOKUP(HC18,IN_Zugliste!$A$4:$F$2002,7,FALSE),"")</f>
        <v/>
      </c>
      <c r="HD317" t="str">
        <f>+IFERROR(VLOOKUP(HD18,IN_Zugliste!$A$4:$F$2002,7,FALSE),"")</f>
        <v/>
      </c>
      <c r="HE317" t="str">
        <f>+IFERROR(VLOOKUP(HE18,IN_Zugliste!$A$4:$F$2002,7,FALSE),"")</f>
        <v/>
      </c>
      <c r="HF317" t="str">
        <f>+IFERROR(VLOOKUP(HF18,IN_Zugliste!$A$4:$F$2002,7,FALSE),"")</f>
        <v/>
      </c>
      <c r="HG317" t="str">
        <f>+IFERROR(VLOOKUP(HG18,IN_Zugliste!$A$4:$F$2002,7,FALSE),"")</f>
        <v/>
      </c>
      <c r="HH317" t="str">
        <f>+IFERROR(VLOOKUP(HH18,IN_Zugliste!$A$4:$F$2002,7,FALSE),"")</f>
        <v/>
      </c>
      <c r="HI317" t="str">
        <f>+IFERROR(VLOOKUP(HI18,IN_Zugliste!$A$4:$F$2002,7,FALSE),"")</f>
        <v/>
      </c>
      <c r="HJ317" t="str">
        <f>+IFERROR(VLOOKUP(HJ18,IN_Zugliste!$A$4:$F$2002,7,FALSE),"")</f>
        <v/>
      </c>
      <c r="HK317" t="str">
        <f>+IFERROR(VLOOKUP(HK18,IN_Zugliste!$A$4:$F$2002,7,FALSE),"")</f>
        <v/>
      </c>
      <c r="HL317" t="str">
        <f>+IFERROR(VLOOKUP(HL18,IN_Zugliste!$A$4:$F$2002,7,FALSE),"")</f>
        <v/>
      </c>
      <c r="HM317" t="str">
        <f>+IFERROR(VLOOKUP(HM18,IN_Zugliste!$A$4:$F$2002,7,FALSE),"")</f>
        <v/>
      </c>
      <c r="HN317" t="str">
        <f>+IFERROR(VLOOKUP(HN18,IN_Zugliste!$A$4:$F$2002,7,FALSE),"")</f>
        <v/>
      </c>
      <c r="HO317" t="str">
        <f>+IFERROR(VLOOKUP(HO18,IN_Zugliste!$A$4:$F$2002,7,FALSE),"")</f>
        <v/>
      </c>
      <c r="HP317" t="str">
        <f>+IFERROR(VLOOKUP(HP18,IN_Zugliste!$A$4:$F$2002,7,FALSE),"")</f>
        <v/>
      </c>
      <c r="HQ317" t="str">
        <f>+IFERROR(VLOOKUP(HQ18,IN_Zugliste!$A$4:$F$2002,7,FALSE),"")</f>
        <v/>
      </c>
      <c r="HR317" t="str">
        <f>+IFERROR(VLOOKUP(HR18,IN_Zugliste!$A$4:$F$2002,7,FALSE),"")</f>
        <v/>
      </c>
      <c r="HS317" t="str">
        <f>+IFERROR(VLOOKUP(HS18,IN_Zugliste!$A$4:$F$2002,7,FALSE),"")</f>
        <v/>
      </c>
      <c r="HT317" t="str">
        <f>+IFERROR(VLOOKUP(HT18,IN_Zugliste!$A$4:$F$2002,7,FALSE),"")</f>
        <v/>
      </c>
      <c r="HU317" t="str">
        <f>+IFERROR(VLOOKUP(HU18,IN_Zugliste!$A$4:$F$2002,7,FALSE),"")</f>
        <v/>
      </c>
      <c r="HV317" t="str">
        <f>+IFERROR(VLOOKUP(HV18,IN_Zugliste!$A$4:$F$2002,7,FALSE),"")</f>
        <v/>
      </c>
      <c r="HW317" t="str">
        <f>+IFERROR(VLOOKUP(HW18,IN_Zugliste!$A$4:$F$2002,7,FALSE),"")</f>
        <v/>
      </c>
      <c r="HX317" t="str">
        <f>+IFERROR(VLOOKUP(HX18,IN_Zugliste!$A$4:$F$2002,7,FALSE),"")</f>
        <v/>
      </c>
      <c r="HY317" t="str">
        <f>+IFERROR(VLOOKUP(HY18,IN_Zugliste!$A$4:$F$2002,7,FALSE),"")</f>
        <v/>
      </c>
      <c r="HZ317" t="str">
        <f>+IFERROR(VLOOKUP(HZ18,IN_Zugliste!$A$4:$F$2002,7,FALSE),"")</f>
        <v/>
      </c>
      <c r="IA317" t="str">
        <f>+IFERROR(VLOOKUP(IA18,IN_Zugliste!$A$4:$F$2002,7,FALSE),"")</f>
        <v/>
      </c>
      <c r="IB317" t="str">
        <f>+IFERROR(VLOOKUP(IB18,IN_Zugliste!$A$4:$F$2002,7,FALSE),"")</f>
        <v/>
      </c>
      <c r="IC317" t="str">
        <f>+IFERROR(VLOOKUP(IC18,IN_Zugliste!$A$4:$F$2002,7,FALSE),"")</f>
        <v/>
      </c>
      <c r="ID317" t="str">
        <f>+IFERROR(VLOOKUP(ID18,IN_Zugliste!$A$4:$F$2002,7,FALSE),"")</f>
        <v/>
      </c>
      <c r="IE317" t="str">
        <f>+IFERROR(VLOOKUP(IE18,IN_Zugliste!$A$4:$F$2002,7,FALSE),"")</f>
        <v/>
      </c>
      <c r="IF317" t="str">
        <f>+IFERROR(VLOOKUP(IF18,IN_Zugliste!$A$4:$F$2002,7,FALSE),"")</f>
        <v/>
      </c>
      <c r="IG317" t="str">
        <f>+IFERROR(VLOOKUP(IG18,IN_Zugliste!$A$4:$F$2002,7,FALSE),"")</f>
        <v/>
      </c>
      <c r="IH317" t="str">
        <f>+IFERROR(VLOOKUP(IH18,IN_Zugliste!$A$4:$F$2002,7,FALSE),"")</f>
        <v/>
      </c>
      <c r="II317" t="str">
        <f>+IFERROR(VLOOKUP(II18,IN_Zugliste!$A$4:$F$2002,7,FALSE),"")</f>
        <v/>
      </c>
      <c r="IJ317" t="str">
        <f>+IFERROR(VLOOKUP(IJ18,IN_Zugliste!$A$4:$F$2002,7,FALSE),"")</f>
        <v/>
      </c>
      <c r="IK317" t="str">
        <f>+IFERROR(VLOOKUP(IK18,IN_Zugliste!$A$4:$F$2002,7,FALSE),"")</f>
        <v/>
      </c>
      <c r="IL317" t="str">
        <f>+IFERROR(VLOOKUP(IL18,IN_Zugliste!$A$4:$F$2002,7,FALSE),"")</f>
        <v/>
      </c>
      <c r="IM317" t="str">
        <f>+IFERROR(VLOOKUP(IM18,IN_Zugliste!$A$4:$F$2002,7,FALSE),"")</f>
        <v/>
      </c>
      <c r="IN317" t="str">
        <f>+IFERROR(VLOOKUP(IN18,IN_Zugliste!$A$4:$F$2002,7,FALSE),"")</f>
        <v/>
      </c>
      <c r="IO317" t="str">
        <f>+IFERROR(VLOOKUP(IO18,IN_Zugliste!$A$4:$F$2002,7,FALSE),"")</f>
        <v/>
      </c>
      <c r="IP317" t="str">
        <f>+IFERROR(VLOOKUP(IP18,IN_Zugliste!$A$4:$F$2002,7,FALSE),"")</f>
        <v/>
      </c>
      <c r="IQ317" t="str">
        <f>+IFERROR(VLOOKUP(IQ18,IN_Zugliste!$A$4:$F$2002,7,FALSE),"")</f>
        <v/>
      </c>
      <c r="IR317" t="str">
        <f>+IFERROR(VLOOKUP(IR18,IN_Zugliste!$A$4:$F$2002,7,FALSE),"")</f>
        <v/>
      </c>
      <c r="IS317" t="str">
        <f>+IFERROR(VLOOKUP(IS18,IN_Zugliste!$A$4:$F$2002,7,FALSE),"")</f>
        <v/>
      </c>
      <c r="IT317" t="str">
        <f>+IFERROR(VLOOKUP(IT18,IN_Zugliste!$A$4:$F$2002,7,FALSE),"")</f>
        <v/>
      </c>
      <c r="IU317" t="str">
        <f>+IFERROR(VLOOKUP(IU18,IN_Zugliste!$A$4:$F$2002,7,FALSE),"")</f>
        <v/>
      </c>
      <c r="IV317" t="str">
        <f>+IFERROR(VLOOKUP(IV18,IN_Zugliste!$A$4:$F$2002,7,FALSE),"")</f>
        <v/>
      </c>
      <c r="IW317" t="str">
        <f>+IFERROR(VLOOKUP(IW18,IN_Zugliste!$A$4:$F$2002,7,FALSE),"")</f>
        <v/>
      </c>
      <c r="IX317" t="str">
        <f>+IFERROR(VLOOKUP(IX18,IN_Zugliste!$A$4:$F$2002,7,FALSE),"")</f>
        <v/>
      </c>
      <c r="IY317" t="str">
        <f>+IFERROR(VLOOKUP(IY18,IN_Zugliste!$A$4:$F$2002,7,FALSE),"")</f>
        <v/>
      </c>
      <c r="IZ317" t="str">
        <f>+IFERROR(VLOOKUP(IZ18,IN_Zugliste!$A$4:$F$2002,7,FALSE),"")</f>
        <v/>
      </c>
      <c r="JA317" t="str">
        <f>+IFERROR(VLOOKUP(JA18,IN_Zugliste!$A$4:$F$2002,7,FALSE),"")</f>
        <v/>
      </c>
      <c r="JB317" t="str">
        <f>+IFERROR(VLOOKUP(JB18,IN_Zugliste!$A$4:$F$2002,7,FALSE),"")</f>
        <v/>
      </c>
      <c r="JC317" t="str">
        <f>+IFERROR(VLOOKUP(JC18,IN_Zugliste!$A$4:$F$2002,7,FALSE),"")</f>
        <v/>
      </c>
      <c r="JD317" t="str">
        <f>+IFERROR(VLOOKUP(JD18,IN_Zugliste!$A$4:$F$2002,7,FALSE),"")</f>
        <v/>
      </c>
      <c r="JE317" t="str">
        <f>+IFERROR(VLOOKUP(JE18,IN_Zugliste!$A$4:$F$2002,7,FALSE),"")</f>
        <v/>
      </c>
      <c r="JF317" t="str">
        <f>+IFERROR(VLOOKUP(JF18,IN_Zugliste!$A$4:$F$2002,7,FALSE),"")</f>
        <v/>
      </c>
      <c r="JG317" t="str">
        <f>+IFERROR(VLOOKUP(JG18,IN_Zugliste!$A$4:$F$2002,7,FALSE),"")</f>
        <v/>
      </c>
      <c r="JH317" t="str">
        <f>+IFERROR(VLOOKUP(JH18,IN_Zugliste!$A$4:$F$2002,7,FALSE),"")</f>
        <v/>
      </c>
      <c r="JI317" t="str">
        <f>+IFERROR(VLOOKUP(JI18,IN_Zugliste!$A$4:$F$2002,7,FALSE),"")</f>
        <v/>
      </c>
      <c r="JJ317" t="str">
        <f>+IFERROR(VLOOKUP(JJ18,IN_Zugliste!$A$4:$F$2002,7,FALSE),"")</f>
        <v/>
      </c>
    </row>
    <row r="318" spans="1:270" x14ac:dyDescent="0.2">
      <c r="A318" t="str">
        <f>+IFERROR(VLOOKUP(A19,IN_Zugliste!$A$4:$F$2002,7,FALSE),"")</f>
        <v/>
      </c>
      <c r="B318" t="str">
        <f>+IFERROR(VLOOKUP(B19,IN_Zugliste!$A$4:$F$2002,7,FALSE),"")</f>
        <v/>
      </c>
      <c r="C318" t="str">
        <f>+IFERROR(VLOOKUP(C19,IN_Zugliste!$A$4:$F$2002,7,FALSE),"")</f>
        <v/>
      </c>
      <c r="D318" t="str">
        <f>+IFERROR(VLOOKUP(D19,IN_Zugliste!$A$4:$F$2002,7,FALSE),"")</f>
        <v/>
      </c>
      <c r="E318" t="str">
        <f>+IFERROR(VLOOKUP(E19,IN_Zugliste!$A$4:$F$2002,7,FALSE),"")</f>
        <v/>
      </c>
      <c r="F318" t="str">
        <f>+IFERROR(VLOOKUP(F19,IN_Zugliste!$A$4:$F$2002,7,FALSE),"")</f>
        <v/>
      </c>
      <c r="G318" t="str">
        <f>+IFERROR(VLOOKUP(G19,IN_Zugliste!$A$4:$F$2002,7,FALSE),"")</f>
        <v/>
      </c>
      <c r="H318" t="str">
        <f>+IFERROR(VLOOKUP(H19,IN_Zugliste!$A$4:$F$2002,7,FALSE),"")</f>
        <v/>
      </c>
      <c r="I318" t="str">
        <f>+IFERROR(VLOOKUP(I19,IN_Zugliste!$A$4:$F$2002,7,FALSE),"")</f>
        <v/>
      </c>
      <c r="J318" t="str">
        <f>+IFERROR(VLOOKUP(J19,IN_Zugliste!$A$4:$F$2002,7,FALSE),"")</f>
        <v/>
      </c>
      <c r="K318" t="str">
        <f>+IFERROR(VLOOKUP(K19,IN_Zugliste!$A$4:$F$2002,7,FALSE),"")</f>
        <v/>
      </c>
      <c r="L318" t="str">
        <f>+IFERROR(VLOOKUP(L19,IN_Zugliste!$A$4:$F$2002,7,FALSE),"")</f>
        <v/>
      </c>
      <c r="M318" t="str">
        <f>+IFERROR(VLOOKUP(M19,IN_Zugliste!$A$4:$F$2002,7,FALSE),"")</f>
        <v/>
      </c>
      <c r="N318" t="str">
        <f>+IFERROR(VLOOKUP(N19,IN_Zugliste!$A$4:$F$2002,7,FALSE),"")</f>
        <v/>
      </c>
      <c r="O318" t="str">
        <f>+IFERROR(VLOOKUP(O19,IN_Zugliste!$A$4:$F$2002,7,FALSE),"")</f>
        <v/>
      </c>
      <c r="P318" t="str">
        <f>+IFERROR(VLOOKUP(P19,IN_Zugliste!$A$4:$F$2002,7,FALSE),"")</f>
        <v/>
      </c>
      <c r="Q318" t="str">
        <f>+IFERROR(VLOOKUP(Q19,IN_Zugliste!$A$4:$F$2002,7,FALSE),"")</f>
        <v/>
      </c>
      <c r="R318" t="str">
        <f>+IFERROR(VLOOKUP(R19,IN_Zugliste!$A$4:$F$2002,7,FALSE),"")</f>
        <v/>
      </c>
      <c r="S318" t="str">
        <f>+IFERROR(VLOOKUP(S19,IN_Zugliste!$A$4:$F$2002,7,FALSE),"")</f>
        <v/>
      </c>
      <c r="T318" t="str">
        <f>+IFERROR(VLOOKUP(T19,IN_Zugliste!$A$4:$F$2002,7,FALSE),"")</f>
        <v/>
      </c>
      <c r="U318" t="str">
        <f>+IFERROR(VLOOKUP(U19,IN_Zugliste!$A$4:$F$2002,7,FALSE),"")</f>
        <v/>
      </c>
      <c r="V318" t="str">
        <f>+IFERROR(VLOOKUP(V19,IN_Zugliste!$A$4:$F$2002,7,FALSE),"")</f>
        <v/>
      </c>
      <c r="W318" t="str">
        <f>+IFERROR(VLOOKUP(W19,IN_Zugliste!$A$4:$F$2002,7,FALSE),"")</f>
        <v/>
      </c>
      <c r="X318" t="str">
        <f>+IFERROR(VLOOKUP(X19,IN_Zugliste!$A$4:$F$2002,7,FALSE),"")</f>
        <v/>
      </c>
      <c r="Y318" t="str">
        <f>+IFERROR(VLOOKUP(Y19,IN_Zugliste!$A$4:$F$2002,7,FALSE),"")</f>
        <v/>
      </c>
      <c r="Z318" t="str">
        <f>+IFERROR(VLOOKUP(Z19,IN_Zugliste!$A$4:$F$2002,7,FALSE),"")</f>
        <v/>
      </c>
      <c r="AA318" t="str">
        <f>+IFERROR(VLOOKUP(AA19,IN_Zugliste!$A$4:$F$2002,7,FALSE),"")</f>
        <v/>
      </c>
      <c r="AB318" t="str">
        <f>+IFERROR(VLOOKUP(AB19,IN_Zugliste!$A$4:$F$2002,7,FALSE),"")</f>
        <v/>
      </c>
      <c r="AC318" t="str">
        <f>+IFERROR(VLOOKUP(AC19,IN_Zugliste!$A$4:$F$2002,7,FALSE),"")</f>
        <v/>
      </c>
      <c r="AD318" t="str">
        <f>+IFERROR(VLOOKUP(AD19,IN_Zugliste!$A$4:$F$2002,7,FALSE),"")</f>
        <v/>
      </c>
      <c r="AE318" t="str">
        <f>+IFERROR(VLOOKUP(AE19,IN_Zugliste!$A$4:$F$2002,7,FALSE),"")</f>
        <v/>
      </c>
      <c r="AF318" t="str">
        <f>+IFERROR(VLOOKUP(AF19,IN_Zugliste!$A$4:$F$2002,7,FALSE),"")</f>
        <v/>
      </c>
      <c r="AG318" t="str">
        <f>+IFERROR(VLOOKUP(AG19,IN_Zugliste!$A$4:$F$2002,7,FALSE),"")</f>
        <v/>
      </c>
      <c r="AH318" t="str">
        <f>+IFERROR(VLOOKUP(AH19,IN_Zugliste!$A$4:$F$2002,7,FALSE),"")</f>
        <v/>
      </c>
      <c r="AI318" t="str">
        <f>+IFERROR(VLOOKUP(AI19,IN_Zugliste!$A$4:$F$2002,7,FALSE),"")</f>
        <v/>
      </c>
      <c r="AJ318" t="str">
        <f>+IFERROR(VLOOKUP(AJ19,IN_Zugliste!$A$4:$F$2002,7,FALSE),"")</f>
        <v/>
      </c>
      <c r="AK318" t="str">
        <f>+IFERROR(VLOOKUP(AK19,IN_Zugliste!$A$4:$F$2002,7,FALSE),"")</f>
        <v/>
      </c>
      <c r="AL318" t="str">
        <f>+IFERROR(VLOOKUP(AL19,IN_Zugliste!$A$4:$F$2002,7,FALSE),"")</f>
        <v/>
      </c>
      <c r="AM318" t="str">
        <f>+IFERROR(VLOOKUP(AM19,IN_Zugliste!$A$4:$F$2002,7,FALSE),"")</f>
        <v/>
      </c>
      <c r="AN318" t="str">
        <f>+IFERROR(VLOOKUP(AN19,IN_Zugliste!$A$4:$F$2002,7,FALSE),"")</f>
        <v/>
      </c>
      <c r="AO318" t="str">
        <f>+IFERROR(VLOOKUP(AO19,IN_Zugliste!$A$4:$F$2002,7,FALSE),"")</f>
        <v/>
      </c>
      <c r="AP318" t="str">
        <f>+IFERROR(VLOOKUP(AP19,IN_Zugliste!$A$4:$F$2002,7,FALSE),"")</f>
        <v/>
      </c>
      <c r="AQ318" t="str">
        <f>+IFERROR(VLOOKUP(AQ19,IN_Zugliste!$A$4:$F$2002,7,FALSE),"")</f>
        <v/>
      </c>
      <c r="AR318" t="str">
        <f>+IFERROR(VLOOKUP(AR19,IN_Zugliste!$A$4:$F$2002,7,FALSE),"")</f>
        <v/>
      </c>
      <c r="AS318" t="str">
        <f>+IFERROR(VLOOKUP(AS19,IN_Zugliste!$A$4:$F$2002,7,FALSE),"")</f>
        <v/>
      </c>
      <c r="AT318" t="str">
        <f>+IFERROR(VLOOKUP(AT19,IN_Zugliste!$A$4:$F$2002,7,FALSE),"")</f>
        <v/>
      </c>
      <c r="AU318" t="str">
        <f>+IFERROR(VLOOKUP(AU19,IN_Zugliste!$A$4:$F$2002,7,FALSE),"")</f>
        <v/>
      </c>
      <c r="AV318" t="str">
        <f>+IFERROR(VLOOKUP(AV19,IN_Zugliste!$A$4:$F$2002,7,FALSE),"")</f>
        <v/>
      </c>
      <c r="AW318" t="str">
        <f>+IFERROR(VLOOKUP(AW19,IN_Zugliste!$A$4:$F$2002,7,FALSE),"")</f>
        <v/>
      </c>
      <c r="AX318" t="str">
        <f>+IFERROR(VLOOKUP(AX19,IN_Zugliste!$A$4:$F$2002,7,FALSE),"")</f>
        <v/>
      </c>
      <c r="AY318" t="str">
        <f>+IFERROR(VLOOKUP(AY19,IN_Zugliste!$A$4:$F$2002,7,FALSE),"")</f>
        <v/>
      </c>
      <c r="AZ318" t="str">
        <f>+IFERROR(VLOOKUP(AZ19,IN_Zugliste!$A$4:$F$2002,7,FALSE),"")</f>
        <v/>
      </c>
      <c r="BA318" t="str">
        <f>+IFERROR(VLOOKUP(BA19,IN_Zugliste!$A$4:$F$2002,7,FALSE),"")</f>
        <v/>
      </c>
      <c r="BB318" t="str">
        <f>+IFERROR(VLOOKUP(BB19,IN_Zugliste!$A$4:$F$2002,7,FALSE),"")</f>
        <v/>
      </c>
      <c r="BC318" t="str">
        <f>+IFERROR(VLOOKUP(BC19,IN_Zugliste!$A$4:$F$2002,7,FALSE),"")</f>
        <v/>
      </c>
      <c r="BD318" t="str">
        <f>+IFERROR(VLOOKUP(BD19,IN_Zugliste!$A$4:$F$2002,7,FALSE),"")</f>
        <v/>
      </c>
      <c r="BE318" t="str">
        <f>+IFERROR(VLOOKUP(BE19,IN_Zugliste!$A$4:$F$2002,7,FALSE),"")</f>
        <v/>
      </c>
      <c r="BF318" t="str">
        <f>+IFERROR(VLOOKUP(BF19,IN_Zugliste!$A$4:$F$2002,7,FALSE),"")</f>
        <v/>
      </c>
      <c r="BG318" t="str">
        <f>+IFERROR(VLOOKUP(BG19,IN_Zugliste!$A$4:$F$2002,7,FALSE),"")</f>
        <v/>
      </c>
      <c r="BH318" t="str">
        <f>+IFERROR(VLOOKUP(BH19,IN_Zugliste!$A$4:$F$2002,7,FALSE),"")</f>
        <v/>
      </c>
      <c r="BI318" t="str">
        <f>+IFERROR(VLOOKUP(BI19,IN_Zugliste!$A$4:$F$2002,7,FALSE),"")</f>
        <v/>
      </c>
      <c r="BJ318" t="str">
        <f>+IFERROR(VLOOKUP(BJ19,IN_Zugliste!$A$4:$F$2002,7,FALSE),"")</f>
        <v/>
      </c>
      <c r="BK318" t="str">
        <f>+IFERROR(VLOOKUP(BK19,IN_Zugliste!$A$4:$F$2002,7,FALSE),"")</f>
        <v/>
      </c>
      <c r="BL318" t="str">
        <f>+IFERROR(VLOOKUP(BL19,IN_Zugliste!$A$4:$F$2002,7,FALSE),"")</f>
        <v/>
      </c>
      <c r="BM318" t="str">
        <f>+IFERROR(VLOOKUP(BM19,IN_Zugliste!$A$4:$F$2002,7,FALSE),"")</f>
        <v/>
      </c>
      <c r="BN318" t="str">
        <f>+IFERROR(VLOOKUP(BN19,IN_Zugliste!$A$4:$F$2002,7,FALSE),"")</f>
        <v/>
      </c>
      <c r="BO318" t="str">
        <f>+IFERROR(VLOOKUP(BO19,IN_Zugliste!$A$4:$F$2002,7,FALSE),"")</f>
        <v/>
      </c>
      <c r="BP318" t="str">
        <f>+IFERROR(VLOOKUP(BP19,IN_Zugliste!$A$4:$F$2002,7,FALSE),"")</f>
        <v/>
      </c>
      <c r="BQ318" t="str">
        <f>+IFERROR(VLOOKUP(BQ19,IN_Zugliste!$A$4:$F$2002,7,FALSE),"")</f>
        <v/>
      </c>
      <c r="BR318" t="str">
        <f>+IFERROR(VLOOKUP(BR19,IN_Zugliste!$A$4:$F$2002,7,FALSE),"")</f>
        <v/>
      </c>
      <c r="BS318" t="str">
        <f>+IFERROR(VLOOKUP(BS19,IN_Zugliste!$A$4:$F$2002,7,FALSE),"")</f>
        <v/>
      </c>
      <c r="BT318" t="str">
        <f>+IFERROR(VLOOKUP(BT19,IN_Zugliste!$A$4:$F$2002,7,FALSE),"")</f>
        <v/>
      </c>
      <c r="BU318" t="str">
        <f>+IFERROR(VLOOKUP(BU19,IN_Zugliste!$A$4:$F$2002,7,FALSE),"")</f>
        <v/>
      </c>
      <c r="BV318" t="str">
        <f>+IFERROR(VLOOKUP(BV19,IN_Zugliste!$A$4:$F$2002,7,FALSE),"")</f>
        <v/>
      </c>
      <c r="BW318" t="str">
        <f>+IFERROR(VLOOKUP(BW19,IN_Zugliste!$A$4:$F$2002,7,FALSE),"")</f>
        <v/>
      </c>
      <c r="BX318" t="str">
        <f>+IFERROR(VLOOKUP(BX19,IN_Zugliste!$A$4:$F$2002,7,FALSE),"")</f>
        <v/>
      </c>
      <c r="BY318" t="str">
        <f>+IFERROR(VLOOKUP(BY19,IN_Zugliste!$A$4:$F$2002,7,FALSE),"")</f>
        <v/>
      </c>
      <c r="BZ318" t="str">
        <f>+IFERROR(VLOOKUP(BZ19,IN_Zugliste!$A$4:$F$2002,7,FALSE),"")</f>
        <v/>
      </c>
      <c r="CA318" t="str">
        <f>+IFERROR(VLOOKUP(CA19,IN_Zugliste!$A$4:$F$2002,7,FALSE),"")</f>
        <v/>
      </c>
      <c r="CB318" t="str">
        <f>+IFERROR(VLOOKUP(CB19,IN_Zugliste!$A$4:$F$2002,7,FALSE),"")</f>
        <v/>
      </c>
      <c r="CC318" t="str">
        <f>+IFERROR(VLOOKUP(CC19,IN_Zugliste!$A$4:$F$2002,7,FALSE),"")</f>
        <v/>
      </c>
      <c r="CD318" t="str">
        <f>+IFERROR(VLOOKUP(CD19,IN_Zugliste!$A$4:$F$2002,7,FALSE),"")</f>
        <v/>
      </c>
      <c r="CE318" t="str">
        <f>+IFERROR(VLOOKUP(CE19,IN_Zugliste!$A$4:$F$2002,7,FALSE),"")</f>
        <v/>
      </c>
      <c r="CF318" t="str">
        <f>+IFERROR(VLOOKUP(CF19,IN_Zugliste!$A$4:$F$2002,7,FALSE),"")</f>
        <v/>
      </c>
      <c r="CG318" t="str">
        <f>+IFERROR(VLOOKUP(CG19,IN_Zugliste!$A$4:$F$2002,7,FALSE),"")</f>
        <v/>
      </c>
      <c r="CH318" t="str">
        <f>+IFERROR(VLOOKUP(CH19,IN_Zugliste!$A$4:$F$2002,7,FALSE),"")</f>
        <v/>
      </c>
      <c r="CI318" t="str">
        <f>+IFERROR(VLOOKUP(CI19,IN_Zugliste!$A$4:$F$2002,7,FALSE),"")</f>
        <v/>
      </c>
      <c r="CJ318" t="str">
        <f>+IFERROR(VLOOKUP(CJ19,IN_Zugliste!$A$4:$F$2002,7,FALSE),"")</f>
        <v/>
      </c>
      <c r="CK318" t="str">
        <f>+IFERROR(VLOOKUP(CK19,IN_Zugliste!$A$4:$F$2002,7,FALSE),"")</f>
        <v/>
      </c>
      <c r="CL318" t="str">
        <f>+IFERROR(VLOOKUP(CL19,IN_Zugliste!$A$4:$F$2002,7,FALSE),"")</f>
        <v/>
      </c>
      <c r="CM318" t="str">
        <f>+IFERROR(VLOOKUP(CM19,IN_Zugliste!$A$4:$F$2002,7,FALSE),"")</f>
        <v/>
      </c>
      <c r="CN318" t="str">
        <f>+IFERROR(VLOOKUP(CN19,IN_Zugliste!$A$4:$F$2002,7,FALSE),"")</f>
        <v/>
      </c>
      <c r="CO318" t="str">
        <f>+IFERROR(VLOOKUP(CO19,IN_Zugliste!$A$4:$F$2002,7,FALSE),"")</f>
        <v/>
      </c>
      <c r="CP318" t="str">
        <f>+IFERROR(VLOOKUP(CP19,IN_Zugliste!$A$4:$F$2002,7,FALSE),"")</f>
        <v/>
      </c>
      <c r="CQ318" t="str">
        <f>+IFERROR(VLOOKUP(CQ19,IN_Zugliste!$A$4:$F$2002,7,FALSE),"")</f>
        <v/>
      </c>
      <c r="CR318" t="str">
        <f>+IFERROR(VLOOKUP(CR19,IN_Zugliste!$A$4:$F$2002,7,FALSE),"")</f>
        <v/>
      </c>
      <c r="CS318" t="str">
        <f>+IFERROR(VLOOKUP(CS19,IN_Zugliste!$A$4:$F$2002,7,FALSE),"")</f>
        <v/>
      </c>
      <c r="CT318" t="str">
        <f>+IFERROR(VLOOKUP(CT19,IN_Zugliste!$A$4:$F$2002,7,FALSE),"")</f>
        <v/>
      </c>
      <c r="CU318" t="str">
        <f>+IFERROR(VLOOKUP(CU19,IN_Zugliste!$A$4:$F$2002,7,FALSE),"")</f>
        <v/>
      </c>
      <c r="CV318" t="str">
        <f>+IFERROR(VLOOKUP(CV19,IN_Zugliste!$A$4:$F$2002,7,FALSE),"")</f>
        <v/>
      </c>
      <c r="CW318" t="str">
        <f>+IFERROR(VLOOKUP(CW19,IN_Zugliste!$A$4:$F$2002,7,FALSE),"")</f>
        <v/>
      </c>
      <c r="CX318" t="str">
        <f>+IFERROR(VLOOKUP(CX19,IN_Zugliste!$A$4:$F$2002,7,FALSE),"")</f>
        <v/>
      </c>
      <c r="CY318" t="str">
        <f>+IFERROR(VLOOKUP(CY19,IN_Zugliste!$A$4:$F$2002,7,FALSE),"")</f>
        <v/>
      </c>
      <c r="CZ318" t="str">
        <f>+IFERROR(VLOOKUP(CZ19,IN_Zugliste!$A$4:$F$2002,7,FALSE),"")</f>
        <v/>
      </c>
      <c r="DA318" t="str">
        <f>+IFERROR(VLOOKUP(DA19,IN_Zugliste!$A$4:$F$2002,7,FALSE),"")</f>
        <v/>
      </c>
      <c r="DB318" t="str">
        <f>+IFERROR(VLOOKUP(DB19,IN_Zugliste!$A$4:$F$2002,7,FALSE),"")</f>
        <v/>
      </c>
      <c r="DC318" t="str">
        <f>+IFERROR(VLOOKUP(DC19,IN_Zugliste!$A$4:$F$2002,7,FALSE),"")</f>
        <v/>
      </c>
      <c r="DD318" t="str">
        <f>+IFERROR(VLOOKUP(DD19,IN_Zugliste!$A$4:$F$2002,7,FALSE),"")</f>
        <v/>
      </c>
      <c r="DE318" t="str">
        <f>+IFERROR(VLOOKUP(DE19,IN_Zugliste!$A$4:$F$2002,7,FALSE),"")</f>
        <v/>
      </c>
      <c r="DF318" t="str">
        <f>+IFERROR(VLOOKUP(DF19,IN_Zugliste!$A$4:$F$2002,7,FALSE),"")</f>
        <v/>
      </c>
      <c r="DG318" t="str">
        <f>+IFERROR(VLOOKUP(DG19,IN_Zugliste!$A$4:$F$2002,7,FALSE),"")</f>
        <v/>
      </c>
      <c r="DH318" t="str">
        <f>+IFERROR(VLOOKUP(DH19,IN_Zugliste!$A$4:$F$2002,7,FALSE),"")</f>
        <v/>
      </c>
      <c r="DI318" t="str">
        <f>+IFERROR(VLOOKUP(DI19,IN_Zugliste!$A$4:$F$2002,7,FALSE),"")</f>
        <v/>
      </c>
      <c r="DJ318" t="str">
        <f>+IFERROR(VLOOKUP(DJ19,IN_Zugliste!$A$4:$F$2002,7,FALSE),"")</f>
        <v/>
      </c>
      <c r="DK318" t="str">
        <f>+IFERROR(VLOOKUP(DK19,IN_Zugliste!$A$4:$F$2002,7,FALSE),"")</f>
        <v/>
      </c>
      <c r="DL318" t="str">
        <f>+IFERROR(VLOOKUP(DL19,IN_Zugliste!$A$4:$F$2002,7,FALSE),"")</f>
        <v/>
      </c>
      <c r="DM318" t="str">
        <f>+IFERROR(VLOOKUP(DM19,IN_Zugliste!$A$4:$F$2002,7,FALSE),"")</f>
        <v/>
      </c>
      <c r="DN318" t="str">
        <f>+IFERROR(VLOOKUP(DN19,IN_Zugliste!$A$4:$F$2002,7,FALSE),"")</f>
        <v/>
      </c>
      <c r="DO318" t="str">
        <f>+IFERROR(VLOOKUP(DO19,IN_Zugliste!$A$4:$F$2002,7,FALSE),"")</f>
        <v/>
      </c>
      <c r="DP318" t="str">
        <f>+IFERROR(VLOOKUP(DP19,IN_Zugliste!$A$4:$F$2002,7,FALSE),"")</f>
        <v/>
      </c>
      <c r="DQ318" t="str">
        <f>+IFERROR(VLOOKUP(DQ19,IN_Zugliste!$A$4:$F$2002,7,FALSE),"")</f>
        <v/>
      </c>
      <c r="DR318" t="str">
        <f>+IFERROR(VLOOKUP(DR19,IN_Zugliste!$A$4:$F$2002,7,FALSE),"")</f>
        <v/>
      </c>
      <c r="DS318" t="str">
        <f>+IFERROR(VLOOKUP(DS19,IN_Zugliste!$A$4:$F$2002,7,FALSE),"")</f>
        <v/>
      </c>
      <c r="DT318" t="str">
        <f>+IFERROR(VLOOKUP(DT19,IN_Zugliste!$A$4:$F$2002,7,FALSE),"")</f>
        <v/>
      </c>
      <c r="DU318" t="str">
        <f>+IFERROR(VLOOKUP(DU19,IN_Zugliste!$A$4:$F$2002,7,FALSE),"")</f>
        <v/>
      </c>
      <c r="DV318" t="str">
        <f>+IFERROR(VLOOKUP(DV19,IN_Zugliste!$A$4:$F$2002,7,FALSE),"")</f>
        <v/>
      </c>
      <c r="DW318" t="str">
        <f>+IFERROR(VLOOKUP(DW19,IN_Zugliste!$A$4:$F$2002,7,FALSE),"")</f>
        <v/>
      </c>
      <c r="DX318" t="str">
        <f>+IFERROR(VLOOKUP(DX19,IN_Zugliste!$A$4:$F$2002,7,FALSE),"")</f>
        <v/>
      </c>
      <c r="DY318" t="str">
        <f>+IFERROR(VLOOKUP(DY19,IN_Zugliste!$A$4:$F$2002,7,FALSE),"")</f>
        <v/>
      </c>
      <c r="DZ318" t="str">
        <f>+IFERROR(VLOOKUP(DZ19,IN_Zugliste!$A$4:$F$2002,7,FALSE),"")</f>
        <v/>
      </c>
      <c r="EA318" t="str">
        <f>+IFERROR(VLOOKUP(EA19,IN_Zugliste!$A$4:$F$2002,7,FALSE),"")</f>
        <v/>
      </c>
      <c r="EB318" t="str">
        <f>+IFERROR(VLOOKUP(EB19,IN_Zugliste!$A$4:$F$2002,7,FALSE),"")</f>
        <v/>
      </c>
      <c r="EC318" t="str">
        <f>+IFERROR(VLOOKUP(EC19,IN_Zugliste!$A$4:$F$2002,7,FALSE),"")</f>
        <v/>
      </c>
      <c r="ED318" t="str">
        <f>+IFERROR(VLOOKUP(ED19,IN_Zugliste!$A$4:$F$2002,7,FALSE),"")</f>
        <v/>
      </c>
      <c r="EE318" t="str">
        <f>+IFERROR(VLOOKUP(EE19,IN_Zugliste!$A$4:$F$2002,7,FALSE),"")</f>
        <v/>
      </c>
      <c r="EF318" t="str">
        <f>+IFERROR(VLOOKUP(EF19,IN_Zugliste!$A$4:$F$2002,7,FALSE),"")</f>
        <v/>
      </c>
      <c r="EG318" t="str">
        <f>+IFERROR(VLOOKUP(EG19,IN_Zugliste!$A$4:$F$2002,7,FALSE),"")</f>
        <v/>
      </c>
      <c r="EH318" t="str">
        <f>+IFERROR(VLOOKUP(EH19,IN_Zugliste!$A$4:$F$2002,7,FALSE),"")</f>
        <v/>
      </c>
      <c r="EI318" t="str">
        <f>+IFERROR(VLOOKUP(EI19,IN_Zugliste!$A$4:$F$2002,7,FALSE),"")</f>
        <v/>
      </c>
      <c r="EJ318" t="str">
        <f>+IFERROR(VLOOKUP(EJ19,IN_Zugliste!$A$4:$F$2002,7,FALSE),"")</f>
        <v/>
      </c>
      <c r="EK318" t="str">
        <f>+IFERROR(VLOOKUP(EK19,IN_Zugliste!$A$4:$F$2002,7,FALSE),"")</f>
        <v/>
      </c>
      <c r="EL318" t="str">
        <f>+IFERROR(VLOOKUP(EL19,IN_Zugliste!$A$4:$F$2002,7,FALSE),"")</f>
        <v/>
      </c>
      <c r="EM318" t="str">
        <f>+IFERROR(VLOOKUP(EM19,IN_Zugliste!$A$4:$F$2002,7,FALSE),"")</f>
        <v/>
      </c>
      <c r="EN318" t="str">
        <f>+IFERROR(VLOOKUP(EN19,IN_Zugliste!$A$4:$F$2002,7,FALSE),"")</f>
        <v/>
      </c>
      <c r="EO318" t="str">
        <f>+IFERROR(VLOOKUP(EO19,IN_Zugliste!$A$4:$F$2002,7,FALSE),"")</f>
        <v/>
      </c>
      <c r="EP318" t="str">
        <f>+IFERROR(VLOOKUP(EP19,IN_Zugliste!$A$4:$F$2002,7,FALSE),"")</f>
        <v/>
      </c>
      <c r="EQ318" t="str">
        <f>+IFERROR(VLOOKUP(EQ19,IN_Zugliste!$A$4:$F$2002,7,FALSE),"")</f>
        <v/>
      </c>
      <c r="ER318" t="str">
        <f>+IFERROR(VLOOKUP(ER19,IN_Zugliste!$A$4:$F$2002,7,FALSE),"")</f>
        <v/>
      </c>
      <c r="ES318" t="str">
        <f>+IFERROR(VLOOKUP(ES19,IN_Zugliste!$A$4:$F$2002,7,FALSE),"")</f>
        <v/>
      </c>
      <c r="ET318" t="str">
        <f>+IFERROR(VLOOKUP(ET19,IN_Zugliste!$A$4:$F$2002,7,FALSE),"")</f>
        <v/>
      </c>
      <c r="EU318" t="str">
        <f>+IFERROR(VLOOKUP(EU19,IN_Zugliste!$A$4:$F$2002,7,FALSE),"")</f>
        <v/>
      </c>
      <c r="EV318" t="str">
        <f>+IFERROR(VLOOKUP(EV19,IN_Zugliste!$A$4:$F$2002,7,FALSE),"")</f>
        <v/>
      </c>
      <c r="EW318" t="str">
        <f>+IFERROR(VLOOKUP(EW19,IN_Zugliste!$A$4:$F$2002,7,FALSE),"")</f>
        <v/>
      </c>
      <c r="EX318" t="str">
        <f>+IFERROR(VLOOKUP(EX19,IN_Zugliste!$A$4:$F$2002,7,FALSE),"")</f>
        <v/>
      </c>
      <c r="EY318" t="str">
        <f>+IFERROR(VLOOKUP(EY19,IN_Zugliste!$A$4:$F$2002,7,FALSE),"")</f>
        <v/>
      </c>
      <c r="EZ318" t="str">
        <f>+IFERROR(VLOOKUP(EZ19,IN_Zugliste!$A$4:$F$2002,7,FALSE),"")</f>
        <v/>
      </c>
      <c r="FA318" t="str">
        <f>+IFERROR(VLOOKUP(FA19,IN_Zugliste!$A$4:$F$2002,7,FALSE),"")</f>
        <v/>
      </c>
      <c r="FB318" t="str">
        <f>+IFERROR(VLOOKUP(FB19,IN_Zugliste!$A$4:$F$2002,7,FALSE),"")</f>
        <v/>
      </c>
      <c r="FC318" t="str">
        <f>+IFERROR(VLOOKUP(FC19,IN_Zugliste!$A$4:$F$2002,7,FALSE),"")</f>
        <v/>
      </c>
      <c r="FD318" t="str">
        <f>+IFERROR(VLOOKUP(FD19,IN_Zugliste!$A$4:$F$2002,7,FALSE),"")</f>
        <v/>
      </c>
      <c r="FE318" t="str">
        <f>+IFERROR(VLOOKUP(FE19,IN_Zugliste!$A$4:$F$2002,7,FALSE),"")</f>
        <v/>
      </c>
      <c r="FF318" t="str">
        <f>+IFERROR(VLOOKUP(FF19,IN_Zugliste!$A$4:$F$2002,7,FALSE),"")</f>
        <v/>
      </c>
      <c r="FG318" t="str">
        <f>+IFERROR(VLOOKUP(FG19,IN_Zugliste!$A$4:$F$2002,7,FALSE),"")</f>
        <v/>
      </c>
      <c r="FH318" t="str">
        <f>+IFERROR(VLOOKUP(FH19,IN_Zugliste!$A$4:$F$2002,7,FALSE),"")</f>
        <v/>
      </c>
      <c r="FI318" t="str">
        <f>+IFERROR(VLOOKUP(FI19,IN_Zugliste!$A$4:$F$2002,7,FALSE),"")</f>
        <v/>
      </c>
      <c r="FJ318" t="str">
        <f>+IFERROR(VLOOKUP(FJ19,IN_Zugliste!$A$4:$F$2002,7,FALSE),"")</f>
        <v/>
      </c>
      <c r="FK318" t="str">
        <f>+IFERROR(VLOOKUP(FK19,IN_Zugliste!$A$4:$F$2002,7,FALSE),"")</f>
        <v/>
      </c>
      <c r="FL318" t="str">
        <f>+IFERROR(VLOOKUP(FL19,IN_Zugliste!$A$4:$F$2002,7,FALSE),"")</f>
        <v/>
      </c>
      <c r="FM318" t="str">
        <f>+IFERROR(VLOOKUP(FM19,IN_Zugliste!$A$4:$F$2002,7,FALSE),"")</f>
        <v/>
      </c>
      <c r="FN318" t="str">
        <f>+IFERROR(VLOOKUP(FN19,IN_Zugliste!$A$4:$F$2002,7,FALSE),"")</f>
        <v/>
      </c>
      <c r="FO318" t="str">
        <f>+IFERROR(VLOOKUP(FO19,IN_Zugliste!$A$4:$F$2002,7,FALSE),"")</f>
        <v/>
      </c>
      <c r="FP318" t="str">
        <f>+IFERROR(VLOOKUP(FP19,IN_Zugliste!$A$4:$F$2002,7,FALSE),"")</f>
        <v/>
      </c>
      <c r="FQ318" t="str">
        <f>+IFERROR(VLOOKUP(FQ19,IN_Zugliste!$A$4:$F$2002,7,FALSE),"")</f>
        <v/>
      </c>
      <c r="FR318" t="str">
        <f>+IFERROR(VLOOKUP(FR19,IN_Zugliste!$A$4:$F$2002,7,FALSE),"")</f>
        <v/>
      </c>
      <c r="FS318" t="str">
        <f>+IFERROR(VLOOKUP(FS19,IN_Zugliste!$A$4:$F$2002,7,FALSE),"")</f>
        <v/>
      </c>
      <c r="FT318" t="str">
        <f>+IFERROR(VLOOKUP(FT19,IN_Zugliste!$A$4:$F$2002,7,FALSE),"")</f>
        <v/>
      </c>
      <c r="FU318" t="str">
        <f>+IFERROR(VLOOKUP(FU19,IN_Zugliste!$A$4:$F$2002,7,FALSE),"")</f>
        <v/>
      </c>
      <c r="FV318" t="str">
        <f>+IFERROR(VLOOKUP(FV19,IN_Zugliste!$A$4:$F$2002,7,FALSE),"")</f>
        <v/>
      </c>
      <c r="FW318" t="str">
        <f>+IFERROR(VLOOKUP(FW19,IN_Zugliste!$A$4:$F$2002,7,FALSE),"")</f>
        <v/>
      </c>
      <c r="FX318" t="str">
        <f>+IFERROR(VLOOKUP(FX19,IN_Zugliste!$A$4:$F$2002,7,FALSE),"")</f>
        <v/>
      </c>
      <c r="FY318" t="str">
        <f>+IFERROR(VLOOKUP(FY19,IN_Zugliste!$A$4:$F$2002,7,FALSE),"")</f>
        <v/>
      </c>
      <c r="FZ318" t="str">
        <f>+IFERROR(VLOOKUP(FZ19,IN_Zugliste!$A$4:$F$2002,7,FALSE),"")</f>
        <v/>
      </c>
      <c r="GA318" t="str">
        <f>+IFERROR(VLOOKUP(GA19,IN_Zugliste!$A$4:$F$2002,7,FALSE),"")</f>
        <v/>
      </c>
      <c r="GB318" t="str">
        <f>+IFERROR(VLOOKUP(GB19,IN_Zugliste!$A$4:$F$2002,7,FALSE),"")</f>
        <v/>
      </c>
      <c r="GC318" t="str">
        <f>+IFERROR(VLOOKUP(GC19,IN_Zugliste!$A$4:$F$2002,7,FALSE),"")</f>
        <v/>
      </c>
      <c r="GD318" t="str">
        <f>+IFERROR(VLOOKUP(GD19,IN_Zugliste!$A$4:$F$2002,7,FALSE),"")</f>
        <v/>
      </c>
      <c r="GE318" t="str">
        <f>+IFERROR(VLOOKUP(GE19,IN_Zugliste!$A$4:$F$2002,7,FALSE),"")</f>
        <v/>
      </c>
      <c r="GF318" t="str">
        <f>+IFERROR(VLOOKUP(GF19,IN_Zugliste!$A$4:$F$2002,7,FALSE),"")</f>
        <v/>
      </c>
      <c r="GG318" t="str">
        <f>+IFERROR(VLOOKUP(GG19,IN_Zugliste!$A$4:$F$2002,7,FALSE),"")</f>
        <v/>
      </c>
      <c r="GH318" t="str">
        <f>+IFERROR(VLOOKUP(GH19,IN_Zugliste!$A$4:$F$2002,7,FALSE),"")</f>
        <v/>
      </c>
      <c r="GI318" t="str">
        <f>+IFERROR(VLOOKUP(GI19,IN_Zugliste!$A$4:$F$2002,7,FALSE),"")</f>
        <v/>
      </c>
      <c r="GJ318" t="str">
        <f>+IFERROR(VLOOKUP(GJ19,IN_Zugliste!$A$4:$F$2002,7,FALSE),"")</f>
        <v/>
      </c>
      <c r="GK318" t="str">
        <f>+IFERROR(VLOOKUP(GK19,IN_Zugliste!$A$4:$F$2002,7,FALSE),"")</f>
        <v/>
      </c>
      <c r="GL318" t="str">
        <f>+IFERROR(VLOOKUP(GL19,IN_Zugliste!$A$4:$F$2002,7,FALSE),"")</f>
        <v/>
      </c>
      <c r="GM318" t="str">
        <f>+IFERROR(VLOOKUP(GM19,IN_Zugliste!$A$4:$F$2002,7,FALSE),"")</f>
        <v/>
      </c>
      <c r="GN318" t="str">
        <f>+IFERROR(VLOOKUP(GN19,IN_Zugliste!$A$4:$F$2002,7,FALSE),"")</f>
        <v/>
      </c>
      <c r="GO318" t="str">
        <f>+IFERROR(VLOOKUP(GO19,IN_Zugliste!$A$4:$F$2002,7,FALSE),"")</f>
        <v/>
      </c>
      <c r="GP318" t="str">
        <f>+IFERROR(VLOOKUP(GP19,IN_Zugliste!$A$4:$F$2002,7,FALSE),"")</f>
        <v/>
      </c>
      <c r="GQ318" t="str">
        <f>+IFERROR(VLOOKUP(GQ19,IN_Zugliste!$A$4:$F$2002,7,FALSE),"")</f>
        <v/>
      </c>
      <c r="GR318" t="str">
        <f>+IFERROR(VLOOKUP(GR19,IN_Zugliste!$A$4:$F$2002,7,FALSE),"")</f>
        <v/>
      </c>
      <c r="GS318" t="str">
        <f>+IFERROR(VLOOKUP(GS19,IN_Zugliste!$A$4:$F$2002,7,FALSE),"")</f>
        <v/>
      </c>
      <c r="GT318" t="str">
        <f>+IFERROR(VLOOKUP(GT19,IN_Zugliste!$A$4:$F$2002,7,FALSE),"")</f>
        <v/>
      </c>
      <c r="GU318" t="str">
        <f>+IFERROR(VLOOKUP(GU19,IN_Zugliste!$A$4:$F$2002,7,FALSE),"")</f>
        <v/>
      </c>
      <c r="GV318" t="str">
        <f>+IFERROR(VLOOKUP(GV19,IN_Zugliste!$A$4:$F$2002,7,FALSE),"")</f>
        <v/>
      </c>
      <c r="GW318" t="str">
        <f>+IFERROR(VLOOKUP(GW19,IN_Zugliste!$A$4:$F$2002,7,FALSE),"")</f>
        <v/>
      </c>
      <c r="GX318" t="str">
        <f>+IFERROR(VLOOKUP(GX19,IN_Zugliste!$A$4:$F$2002,7,FALSE),"")</f>
        <v/>
      </c>
      <c r="GY318" t="str">
        <f>+IFERROR(VLOOKUP(GY19,IN_Zugliste!$A$4:$F$2002,7,FALSE),"")</f>
        <v/>
      </c>
      <c r="GZ318" t="str">
        <f>+IFERROR(VLOOKUP(GZ19,IN_Zugliste!$A$4:$F$2002,7,FALSE),"")</f>
        <v/>
      </c>
      <c r="HA318" t="str">
        <f>+IFERROR(VLOOKUP(HA19,IN_Zugliste!$A$4:$F$2002,7,FALSE),"")</f>
        <v/>
      </c>
      <c r="HB318" t="str">
        <f>+IFERROR(VLOOKUP(HB19,IN_Zugliste!$A$4:$F$2002,7,FALSE),"")</f>
        <v/>
      </c>
      <c r="HC318" t="str">
        <f>+IFERROR(VLOOKUP(HC19,IN_Zugliste!$A$4:$F$2002,7,FALSE),"")</f>
        <v/>
      </c>
      <c r="HD318" t="str">
        <f>+IFERROR(VLOOKUP(HD19,IN_Zugliste!$A$4:$F$2002,7,FALSE),"")</f>
        <v/>
      </c>
      <c r="HE318" t="str">
        <f>+IFERROR(VLOOKUP(HE19,IN_Zugliste!$A$4:$F$2002,7,FALSE),"")</f>
        <v/>
      </c>
      <c r="HF318" t="str">
        <f>+IFERROR(VLOOKUP(HF19,IN_Zugliste!$A$4:$F$2002,7,FALSE),"")</f>
        <v/>
      </c>
      <c r="HG318" t="str">
        <f>+IFERROR(VLOOKUP(HG19,IN_Zugliste!$A$4:$F$2002,7,FALSE),"")</f>
        <v/>
      </c>
      <c r="HH318" t="str">
        <f>+IFERROR(VLOOKUP(HH19,IN_Zugliste!$A$4:$F$2002,7,FALSE),"")</f>
        <v/>
      </c>
      <c r="HI318" t="str">
        <f>+IFERROR(VLOOKUP(HI19,IN_Zugliste!$A$4:$F$2002,7,FALSE),"")</f>
        <v/>
      </c>
      <c r="HJ318" t="str">
        <f>+IFERROR(VLOOKUP(HJ19,IN_Zugliste!$A$4:$F$2002,7,FALSE),"")</f>
        <v/>
      </c>
      <c r="HK318" t="str">
        <f>+IFERROR(VLOOKUP(HK19,IN_Zugliste!$A$4:$F$2002,7,FALSE),"")</f>
        <v/>
      </c>
      <c r="HL318" t="str">
        <f>+IFERROR(VLOOKUP(HL19,IN_Zugliste!$A$4:$F$2002,7,FALSE),"")</f>
        <v/>
      </c>
      <c r="HM318" t="str">
        <f>+IFERROR(VLOOKUP(HM19,IN_Zugliste!$A$4:$F$2002,7,FALSE),"")</f>
        <v/>
      </c>
      <c r="HN318" t="str">
        <f>+IFERROR(VLOOKUP(HN19,IN_Zugliste!$A$4:$F$2002,7,FALSE),"")</f>
        <v/>
      </c>
      <c r="HO318" t="str">
        <f>+IFERROR(VLOOKUP(HO19,IN_Zugliste!$A$4:$F$2002,7,FALSE),"")</f>
        <v/>
      </c>
      <c r="HP318" t="str">
        <f>+IFERROR(VLOOKUP(HP19,IN_Zugliste!$A$4:$F$2002,7,FALSE),"")</f>
        <v/>
      </c>
      <c r="HQ318" t="str">
        <f>+IFERROR(VLOOKUP(HQ19,IN_Zugliste!$A$4:$F$2002,7,FALSE),"")</f>
        <v/>
      </c>
      <c r="HR318" t="str">
        <f>+IFERROR(VLOOKUP(HR19,IN_Zugliste!$A$4:$F$2002,7,FALSE),"")</f>
        <v/>
      </c>
      <c r="HS318" t="str">
        <f>+IFERROR(VLOOKUP(HS19,IN_Zugliste!$A$4:$F$2002,7,FALSE),"")</f>
        <v/>
      </c>
      <c r="HT318" t="str">
        <f>+IFERROR(VLOOKUP(HT19,IN_Zugliste!$A$4:$F$2002,7,FALSE),"")</f>
        <v/>
      </c>
      <c r="HU318" t="str">
        <f>+IFERROR(VLOOKUP(HU19,IN_Zugliste!$A$4:$F$2002,7,FALSE),"")</f>
        <v/>
      </c>
      <c r="HV318" t="str">
        <f>+IFERROR(VLOOKUP(HV19,IN_Zugliste!$A$4:$F$2002,7,FALSE),"")</f>
        <v/>
      </c>
      <c r="HW318" t="str">
        <f>+IFERROR(VLOOKUP(HW19,IN_Zugliste!$A$4:$F$2002,7,FALSE),"")</f>
        <v/>
      </c>
      <c r="HX318" t="str">
        <f>+IFERROR(VLOOKUP(HX19,IN_Zugliste!$A$4:$F$2002,7,FALSE),"")</f>
        <v/>
      </c>
      <c r="HY318" t="str">
        <f>+IFERROR(VLOOKUP(HY19,IN_Zugliste!$A$4:$F$2002,7,FALSE),"")</f>
        <v/>
      </c>
      <c r="HZ318" t="str">
        <f>+IFERROR(VLOOKUP(HZ19,IN_Zugliste!$A$4:$F$2002,7,FALSE),"")</f>
        <v/>
      </c>
      <c r="IA318" t="str">
        <f>+IFERROR(VLOOKUP(IA19,IN_Zugliste!$A$4:$F$2002,7,FALSE),"")</f>
        <v/>
      </c>
      <c r="IB318" t="str">
        <f>+IFERROR(VLOOKUP(IB19,IN_Zugliste!$A$4:$F$2002,7,FALSE),"")</f>
        <v/>
      </c>
      <c r="IC318" t="str">
        <f>+IFERROR(VLOOKUP(IC19,IN_Zugliste!$A$4:$F$2002,7,FALSE),"")</f>
        <v/>
      </c>
      <c r="ID318" t="str">
        <f>+IFERROR(VLOOKUP(ID19,IN_Zugliste!$A$4:$F$2002,7,FALSE),"")</f>
        <v/>
      </c>
      <c r="IE318" t="str">
        <f>+IFERROR(VLOOKUP(IE19,IN_Zugliste!$A$4:$F$2002,7,FALSE),"")</f>
        <v/>
      </c>
      <c r="IF318" t="str">
        <f>+IFERROR(VLOOKUP(IF19,IN_Zugliste!$A$4:$F$2002,7,FALSE),"")</f>
        <v/>
      </c>
      <c r="IG318" t="str">
        <f>+IFERROR(VLOOKUP(IG19,IN_Zugliste!$A$4:$F$2002,7,FALSE),"")</f>
        <v/>
      </c>
      <c r="IH318" t="str">
        <f>+IFERROR(VLOOKUP(IH19,IN_Zugliste!$A$4:$F$2002,7,FALSE),"")</f>
        <v/>
      </c>
      <c r="II318" t="str">
        <f>+IFERROR(VLOOKUP(II19,IN_Zugliste!$A$4:$F$2002,7,FALSE),"")</f>
        <v/>
      </c>
      <c r="IJ318" t="str">
        <f>+IFERROR(VLOOKUP(IJ19,IN_Zugliste!$A$4:$F$2002,7,FALSE),"")</f>
        <v/>
      </c>
      <c r="IK318" t="str">
        <f>+IFERROR(VLOOKUP(IK19,IN_Zugliste!$A$4:$F$2002,7,FALSE),"")</f>
        <v/>
      </c>
      <c r="IL318" t="str">
        <f>+IFERROR(VLOOKUP(IL19,IN_Zugliste!$A$4:$F$2002,7,FALSE),"")</f>
        <v/>
      </c>
      <c r="IM318" t="str">
        <f>+IFERROR(VLOOKUP(IM19,IN_Zugliste!$A$4:$F$2002,7,FALSE),"")</f>
        <v/>
      </c>
      <c r="IN318" t="str">
        <f>+IFERROR(VLOOKUP(IN19,IN_Zugliste!$A$4:$F$2002,7,FALSE),"")</f>
        <v/>
      </c>
      <c r="IO318" t="str">
        <f>+IFERROR(VLOOKUP(IO19,IN_Zugliste!$A$4:$F$2002,7,FALSE),"")</f>
        <v/>
      </c>
      <c r="IP318" t="str">
        <f>+IFERROR(VLOOKUP(IP19,IN_Zugliste!$A$4:$F$2002,7,FALSE),"")</f>
        <v/>
      </c>
      <c r="IQ318" t="str">
        <f>+IFERROR(VLOOKUP(IQ19,IN_Zugliste!$A$4:$F$2002,7,FALSE),"")</f>
        <v/>
      </c>
      <c r="IR318" t="str">
        <f>+IFERROR(VLOOKUP(IR19,IN_Zugliste!$A$4:$F$2002,7,FALSE),"")</f>
        <v/>
      </c>
      <c r="IS318" t="str">
        <f>+IFERROR(VLOOKUP(IS19,IN_Zugliste!$A$4:$F$2002,7,FALSE),"")</f>
        <v/>
      </c>
      <c r="IT318" t="str">
        <f>+IFERROR(VLOOKUP(IT19,IN_Zugliste!$A$4:$F$2002,7,FALSE),"")</f>
        <v/>
      </c>
      <c r="IU318" t="str">
        <f>+IFERROR(VLOOKUP(IU19,IN_Zugliste!$A$4:$F$2002,7,FALSE),"")</f>
        <v/>
      </c>
      <c r="IV318" t="str">
        <f>+IFERROR(VLOOKUP(IV19,IN_Zugliste!$A$4:$F$2002,7,FALSE),"")</f>
        <v/>
      </c>
      <c r="IW318" t="str">
        <f>+IFERROR(VLOOKUP(IW19,IN_Zugliste!$A$4:$F$2002,7,FALSE),"")</f>
        <v/>
      </c>
      <c r="IX318" t="str">
        <f>+IFERROR(VLOOKUP(IX19,IN_Zugliste!$A$4:$F$2002,7,FALSE),"")</f>
        <v/>
      </c>
      <c r="IY318" t="str">
        <f>+IFERROR(VLOOKUP(IY19,IN_Zugliste!$A$4:$F$2002,7,FALSE),"")</f>
        <v/>
      </c>
      <c r="IZ318" t="str">
        <f>+IFERROR(VLOOKUP(IZ19,IN_Zugliste!$A$4:$F$2002,7,FALSE),"")</f>
        <v/>
      </c>
      <c r="JA318" t="str">
        <f>+IFERROR(VLOOKUP(JA19,IN_Zugliste!$A$4:$F$2002,7,FALSE),"")</f>
        <v/>
      </c>
      <c r="JB318" t="str">
        <f>+IFERROR(VLOOKUP(JB19,IN_Zugliste!$A$4:$F$2002,7,FALSE),"")</f>
        <v/>
      </c>
      <c r="JC318" t="str">
        <f>+IFERROR(VLOOKUP(JC19,IN_Zugliste!$A$4:$F$2002,7,FALSE),"")</f>
        <v/>
      </c>
      <c r="JD318" t="str">
        <f>+IFERROR(VLOOKUP(JD19,IN_Zugliste!$A$4:$F$2002,7,FALSE),"")</f>
        <v/>
      </c>
      <c r="JE318" t="str">
        <f>+IFERROR(VLOOKUP(JE19,IN_Zugliste!$A$4:$F$2002,7,FALSE),"")</f>
        <v/>
      </c>
      <c r="JF318" t="str">
        <f>+IFERROR(VLOOKUP(JF19,IN_Zugliste!$A$4:$F$2002,7,FALSE),"")</f>
        <v/>
      </c>
      <c r="JG318" t="str">
        <f>+IFERROR(VLOOKUP(JG19,IN_Zugliste!$A$4:$F$2002,7,FALSE),"")</f>
        <v/>
      </c>
      <c r="JH318" t="str">
        <f>+IFERROR(VLOOKUP(JH19,IN_Zugliste!$A$4:$F$2002,7,FALSE),"")</f>
        <v/>
      </c>
      <c r="JI318" t="str">
        <f>+IFERROR(VLOOKUP(JI19,IN_Zugliste!$A$4:$F$2002,7,FALSE),"")</f>
        <v/>
      </c>
      <c r="JJ318" t="str">
        <f>+IFERROR(VLOOKUP(JJ19,IN_Zugliste!$A$4:$F$2002,7,FALSE),"")</f>
        <v/>
      </c>
    </row>
    <row r="319" spans="1:270" x14ac:dyDescent="0.2">
      <c r="A319" t="str">
        <f>+IFERROR(VLOOKUP(A20,IN_Zugliste!$A$4:$F$2002,7,FALSE),"")</f>
        <v/>
      </c>
      <c r="B319" t="str">
        <f>+IFERROR(VLOOKUP(B20,IN_Zugliste!$A$4:$F$2002,7,FALSE),"")</f>
        <v/>
      </c>
      <c r="C319" t="str">
        <f>+IFERROR(VLOOKUP(C20,IN_Zugliste!$A$4:$F$2002,7,FALSE),"")</f>
        <v/>
      </c>
      <c r="D319" t="str">
        <f>+IFERROR(VLOOKUP(D20,IN_Zugliste!$A$4:$F$2002,7,FALSE),"")</f>
        <v/>
      </c>
      <c r="E319" t="str">
        <f>+IFERROR(VLOOKUP(E20,IN_Zugliste!$A$4:$F$2002,7,FALSE),"")</f>
        <v/>
      </c>
      <c r="F319" t="str">
        <f>+IFERROR(VLOOKUP(F20,IN_Zugliste!$A$4:$F$2002,7,FALSE),"")</f>
        <v/>
      </c>
      <c r="G319" t="str">
        <f>+IFERROR(VLOOKUP(G20,IN_Zugliste!$A$4:$F$2002,7,FALSE),"")</f>
        <v/>
      </c>
      <c r="H319" t="str">
        <f>+IFERROR(VLOOKUP(H20,IN_Zugliste!$A$4:$F$2002,7,FALSE),"")</f>
        <v/>
      </c>
      <c r="I319" t="str">
        <f>+IFERROR(VLOOKUP(I20,IN_Zugliste!$A$4:$F$2002,7,FALSE),"")</f>
        <v/>
      </c>
      <c r="J319" t="str">
        <f>+IFERROR(VLOOKUP(J20,IN_Zugliste!$A$4:$F$2002,7,FALSE),"")</f>
        <v/>
      </c>
      <c r="K319" t="str">
        <f>+IFERROR(VLOOKUP(K20,IN_Zugliste!$A$4:$F$2002,7,FALSE),"")</f>
        <v/>
      </c>
      <c r="L319" t="str">
        <f>+IFERROR(VLOOKUP(L20,IN_Zugliste!$A$4:$F$2002,7,FALSE),"")</f>
        <v/>
      </c>
      <c r="M319" t="str">
        <f>+IFERROR(VLOOKUP(M20,IN_Zugliste!$A$4:$F$2002,7,FALSE),"")</f>
        <v/>
      </c>
      <c r="N319" t="str">
        <f>+IFERROR(VLOOKUP(N20,IN_Zugliste!$A$4:$F$2002,7,FALSE),"")</f>
        <v/>
      </c>
      <c r="O319" t="str">
        <f>+IFERROR(VLOOKUP(O20,IN_Zugliste!$A$4:$F$2002,7,FALSE),"")</f>
        <v/>
      </c>
      <c r="P319" t="str">
        <f>+IFERROR(VLOOKUP(P20,IN_Zugliste!$A$4:$F$2002,7,FALSE),"")</f>
        <v/>
      </c>
      <c r="Q319" t="str">
        <f>+IFERROR(VLOOKUP(Q20,IN_Zugliste!$A$4:$F$2002,7,FALSE),"")</f>
        <v/>
      </c>
      <c r="R319" t="str">
        <f>+IFERROR(VLOOKUP(R20,IN_Zugliste!$A$4:$F$2002,7,FALSE),"")</f>
        <v/>
      </c>
      <c r="S319" t="str">
        <f>+IFERROR(VLOOKUP(S20,IN_Zugliste!$A$4:$F$2002,7,FALSE),"")</f>
        <v/>
      </c>
      <c r="T319" t="str">
        <f>+IFERROR(VLOOKUP(T20,IN_Zugliste!$A$4:$F$2002,7,FALSE),"")</f>
        <v/>
      </c>
      <c r="U319" t="str">
        <f>+IFERROR(VLOOKUP(U20,IN_Zugliste!$A$4:$F$2002,7,FALSE),"")</f>
        <v/>
      </c>
      <c r="V319" t="str">
        <f>+IFERROR(VLOOKUP(V20,IN_Zugliste!$A$4:$F$2002,7,FALSE),"")</f>
        <v/>
      </c>
      <c r="W319" t="str">
        <f>+IFERROR(VLOOKUP(W20,IN_Zugliste!$A$4:$F$2002,7,FALSE),"")</f>
        <v/>
      </c>
      <c r="X319" t="str">
        <f>+IFERROR(VLOOKUP(X20,IN_Zugliste!$A$4:$F$2002,7,FALSE),"")</f>
        <v/>
      </c>
      <c r="Y319" t="str">
        <f>+IFERROR(VLOOKUP(Y20,IN_Zugliste!$A$4:$F$2002,7,FALSE),"")</f>
        <v/>
      </c>
      <c r="Z319" t="str">
        <f>+IFERROR(VLOOKUP(Z20,IN_Zugliste!$A$4:$F$2002,7,FALSE),"")</f>
        <v/>
      </c>
      <c r="AA319" t="str">
        <f>+IFERROR(VLOOKUP(AA20,IN_Zugliste!$A$4:$F$2002,7,FALSE),"")</f>
        <v/>
      </c>
      <c r="AB319" t="str">
        <f>+IFERROR(VLOOKUP(AB20,IN_Zugliste!$A$4:$F$2002,7,FALSE),"")</f>
        <v/>
      </c>
      <c r="AC319" t="str">
        <f>+IFERROR(VLOOKUP(AC20,IN_Zugliste!$A$4:$F$2002,7,FALSE),"")</f>
        <v/>
      </c>
      <c r="AD319" t="str">
        <f>+IFERROR(VLOOKUP(AD20,IN_Zugliste!$A$4:$F$2002,7,FALSE),"")</f>
        <v/>
      </c>
      <c r="AE319" t="str">
        <f>+IFERROR(VLOOKUP(AE20,IN_Zugliste!$A$4:$F$2002,7,FALSE),"")</f>
        <v/>
      </c>
      <c r="AF319" t="str">
        <f>+IFERROR(VLOOKUP(AF20,IN_Zugliste!$A$4:$F$2002,7,FALSE),"")</f>
        <v/>
      </c>
      <c r="AG319" t="str">
        <f>+IFERROR(VLOOKUP(AG20,IN_Zugliste!$A$4:$F$2002,7,FALSE),"")</f>
        <v/>
      </c>
      <c r="AH319" t="str">
        <f>+IFERROR(VLOOKUP(AH20,IN_Zugliste!$A$4:$F$2002,7,FALSE),"")</f>
        <v/>
      </c>
      <c r="AI319" t="str">
        <f>+IFERROR(VLOOKUP(AI20,IN_Zugliste!$A$4:$F$2002,7,FALSE),"")</f>
        <v/>
      </c>
      <c r="AJ319" t="str">
        <f>+IFERROR(VLOOKUP(AJ20,IN_Zugliste!$A$4:$F$2002,7,FALSE),"")</f>
        <v/>
      </c>
      <c r="AK319" t="str">
        <f>+IFERROR(VLOOKUP(AK20,IN_Zugliste!$A$4:$F$2002,7,FALSE),"")</f>
        <v/>
      </c>
      <c r="AL319" t="str">
        <f>+IFERROR(VLOOKUP(AL20,IN_Zugliste!$A$4:$F$2002,7,FALSE),"")</f>
        <v/>
      </c>
      <c r="AM319" t="str">
        <f>+IFERROR(VLOOKUP(AM20,IN_Zugliste!$A$4:$F$2002,7,FALSE),"")</f>
        <v/>
      </c>
      <c r="AN319" t="str">
        <f>+IFERROR(VLOOKUP(AN20,IN_Zugliste!$A$4:$F$2002,7,FALSE),"")</f>
        <v/>
      </c>
      <c r="AO319" t="str">
        <f>+IFERROR(VLOOKUP(AO20,IN_Zugliste!$A$4:$F$2002,7,FALSE),"")</f>
        <v/>
      </c>
      <c r="AP319" t="str">
        <f>+IFERROR(VLOOKUP(AP20,IN_Zugliste!$A$4:$F$2002,7,FALSE),"")</f>
        <v/>
      </c>
      <c r="AQ319" t="str">
        <f>+IFERROR(VLOOKUP(AQ20,IN_Zugliste!$A$4:$F$2002,7,FALSE),"")</f>
        <v/>
      </c>
      <c r="AR319" t="str">
        <f>+IFERROR(VLOOKUP(AR20,IN_Zugliste!$A$4:$F$2002,7,FALSE),"")</f>
        <v/>
      </c>
      <c r="AS319" t="str">
        <f>+IFERROR(VLOOKUP(AS20,IN_Zugliste!$A$4:$F$2002,7,FALSE),"")</f>
        <v/>
      </c>
      <c r="AT319" t="str">
        <f>+IFERROR(VLOOKUP(AT20,IN_Zugliste!$A$4:$F$2002,7,FALSE),"")</f>
        <v/>
      </c>
      <c r="AU319" t="str">
        <f>+IFERROR(VLOOKUP(AU20,IN_Zugliste!$A$4:$F$2002,7,FALSE),"")</f>
        <v/>
      </c>
      <c r="AV319" t="str">
        <f>+IFERROR(VLOOKUP(AV20,IN_Zugliste!$A$4:$F$2002,7,FALSE),"")</f>
        <v/>
      </c>
      <c r="AW319" t="str">
        <f>+IFERROR(VLOOKUP(AW20,IN_Zugliste!$A$4:$F$2002,7,FALSE),"")</f>
        <v/>
      </c>
      <c r="AX319" t="str">
        <f>+IFERROR(VLOOKUP(AX20,IN_Zugliste!$A$4:$F$2002,7,FALSE),"")</f>
        <v/>
      </c>
      <c r="AY319" t="str">
        <f>+IFERROR(VLOOKUP(AY20,IN_Zugliste!$A$4:$F$2002,7,FALSE),"")</f>
        <v/>
      </c>
      <c r="AZ319" t="str">
        <f>+IFERROR(VLOOKUP(AZ20,IN_Zugliste!$A$4:$F$2002,7,FALSE),"")</f>
        <v/>
      </c>
      <c r="BA319" t="str">
        <f>+IFERROR(VLOOKUP(BA20,IN_Zugliste!$A$4:$F$2002,7,FALSE),"")</f>
        <v/>
      </c>
      <c r="BB319" t="str">
        <f>+IFERROR(VLOOKUP(BB20,IN_Zugliste!$A$4:$F$2002,7,FALSE),"")</f>
        <v/>
      </c>
      <c r="BC319" t="str">
        <f>+IFERROR(VLOOKUP(BC20,IN_Zugliste!$A$4:$F$2002,7,FALSE),"")</f>
        <v/>
      </c>
      <c r="BD319" t="str">
        <f>+IFERROR(VLOOKUP(BD20,IN_Zugliste!$A$4:$F$2002,7,FALSE),"")</f>
        <v/>
      </c>
      <c r="BE319" t="str">
        <f>+IFERROR(VLOOKUP(BE20,IN_Zugliste!$A$4:$F$2002,7,FALSE),"")</f>
        <v/>
      </c>
      <c r="BF319" t="str">
        <f>+IFERROR(VLOOKUP(BF20,IN_Zugliste!$A$4:$F$2002,7,FALSE),"")</f>
        <v/>
      </c>
      <c r="BG319" t="str">
        <f>+IFERROR(VLOOKUP(BG20,IN_Zugliste!$A$4:$F$2002,7,FALSE),"")</f>
        <v/>
      </c>
      <c r="BH319" t="str">
        <f>+IFERROR(VLOOKUP(BH20,IN_Zugliste!$A$4:$F$2002,7,FALSE),"")</f>
        <v/>
      </c>
      <c r="BI319" t="str">
        <f>+IFERROR(VLOOKUP(BI20,IN_Zugliste!$A$4:$F$2002,7,FALSE),"")</f>
        <v/>
      </c>
      <c r="BJ319" t="str">
        <f>+IFERROR(VLOOKUP(BJ20,IN_Zugliste!$A$4:$F$2002,7,FALSE),"")</f>
        <v/>
      </c>
      <c r="BK319" t="str">
        <f>+IFERROR(VLOOKUP(BK20,IN_Zugliste!$A$4:$F$2002,7,FALSE),"")</f>
        <v/>
      </c>
      <c r="BL319" t="str">
        <f>+IFERROR(VLOOKUP(BL20,IN_Zugliste!$A$4:$F$2002,7,FALSE),"")</f>
        <v/>
      </c>
      <c r="BM319" t="str">
        <f>+IFERROR(VLOOKUP(BM20,IN_Zugliste!$A$4:$F$2002,7,FALSE),"")</f>
        <v/>
      </c>
      <c r="BN319" t="str">
        <f>+IFERROR(VLOOKUP(BN20,IN_Zugliste!$A$4:$F$2002,7,FALSE),"")</f>
        <v/>
      </c>
      <c r="BO319" t="str">
        <f>+IFERROR(VLOOKUP(BO20,IN_Zugliste!$A$4:$F$2002,7,FALSE),"")</f>
        <v/>
      </c>
      <c r="BP319" t="str">
        <f>+IFERROR(VLOOKUP(BP20,IN_Zugliste!$A$4:$F$2002,7,FALSE),"")</f>
        <v/>
      </c>
      <c r="BQ319" t="str">
        <f>+IFERROR(VLOOKUP(BQ20,IN_Zugliste!$A$4:$F$2002,7,FALSE),"")</f>
        <v/>
      </c>
      <c r="BR319" t="str">
        <f>+IFERROR(VLOOKUP(BR20,IN_Zugliste!$A$4:$F$2002,7,FALSE),"")</f>
        <v/>
      </c>
      <c r="BS319" t="str">
        <f>+IFERROR(VLOOKUP(BS20,IN_Zugliste!$A$4:$F$2002,7,FALSE),"")</f>
        <v/>
      </c>
      <c r="BT319" t="str">
        <f>+IFERROR(VLOOKUP(BT20,IN_Zugliste!$A$4:$F$2002,7,FALSE),"")</f>
        <v/>
      </c>
      <c r="BU319" t="str">
        <f>+IFERROR(VLOOKUP(BU20,IN_Zugliste!$A$4:$F$2002,7,FALSE),"")</f>
        <v/>
      </c>
      <c r="BV319" t="str">
        <f>+IFERROR(VLOOKUP(BV20,IN_Zugliste!$A$4:$F$2002,7,FALSE),"")</f>
        <v/>
      </c>
      <c r="BW319" t="str">
        <f>+IFERROR(VLOOKUP(BW20,IN_Zugliste!$A$4:$F$2002,7,FALSE),"")</f>
        <v/>
      </c>
      <c r="BX319" t="str">
        <f>+IFERROR(VLOOKUP(BX20,IN_Zugliste!$A$4:$F$2002,7,FALSE),"")</f>
        <v/>
      </c>
      <c r="BY319" t="str">
        <f>+IFERROR(VLOOKUP(BY20,IN_Zugliste!$A$4:$F$2002,7,FALSE),"")</f>
        <v/>
      </c>
      <c r="BZ319" t="str">
        <f>+IFERROR(VLOOKUP(BZ20,IN_Zugliste!$A$4:$F$2002,7,FALSE),"")</f>
        <v/>
      </c>
      <c r="CA319" t="str">
        <f>+IFERROR(VLOOKUP(CA20,IN_Zugliste!$A$4:$F$2002,7,FALSE),"")</f>
        <v/>
      </c>
      <c r="CB319" t="str">
        <f>+IFERROR(VLOOKUP(CB20,IN_Zugliste!$A$4:$F$2002,7,FALSE),"")</f>
        <v/>
      </c>
      <c r="CC319" t="str">
        <f>+IFERROR(VLOOKUP(CC20,IN_Zugliste!$A$4:$F$2002,7,FALSE),"")</f>
        <v/>
      </c>
      <c r="CD319" t="str">
        <f>+IFERROR(VLOOKUP(CD20,IN_Zugliste!$A$4:$F$2002,7,FALSE),"")</f>
        <v/>
      </c>
      <c r="CE319" t="str">
        <f>+IFERROR(VLOOKUP(CE20,IN_Zugliste!$A$4:$F$2002,7,FALSE),"")</f>
        <v/>
      </c>
      <c r="CF319" t="str">
        <f>+IFERROR(VLOOKUP(CF20,IN_Zugliste!$A$4:$F$2002,7,FALSE),"")</f>
        <v/>
      </c>
      <c r="CG319" t="str">
        <f>+IFERROR(VLOOKUP(CG20,IN_Zugliste!$A$4:$F$2002,7,FALSE),"")</f>
        <v/>
      </c>
      <c r="CH319" t="str">
        <f>+IFERROR(VLOOKUP(CH20,IN_Zugliste!$A$4:$F$2002,7,FALSE),"")</f>
        <v/>
      </c>
      <c r="CI319" t="str">
        <f>+IFERROR(VLOOKUP(CI20,IN_Zugliste!$A$4:$F$2002,7,FALSE),"")</f>
        <v/>
      </c>
      <c r="CJ319" t="str">
        <f>+IFERROR(VLOOKUP(CJ20,IN_Zugliste!$A$4:$F$2002,7,FALSE),"")</f>
        <v/>
      </c>
      <c r="CK319" t="str">
        <f>+IFERROR(VLOOKUP(CK20,IN_Zugliste!$A$4:$F$2002,7,FALSE),"")</f>
        <v/>
      </c>
      <c r="CL319" t="str">
        <f>+IFERROR(VLOOKUP(CL20,IN_Zugliste!$A$4:$F$2002,7,FALSE),"")</f>
        <v/>
      </c>
      <c r="CM319" t="str">
        <f>+IFERROR(VLOOKUP(CM20,IN_Zugliste!$A$4:$F$2002,7,FALSE),"")</f>
        <v/>
      </c>
      <c r="CN319" t="str">
        <f>+IFERROR(VLOOKUP(CN20,IN_Zugliste!$A$4:$F$2002,7,FALSE),"")</f>
        <v/>
      </c>
      <c r="CO319" t="str">
        <f>+IFERROR(VLOOKUP(CO20,IN_Zugliste!$A$4:$F$2002,7,FALSE),"")</f>
        <v/>
      </c>
      <c r="CP319" t="str">
        <f>+IFERROR(VLOOKUP(CP20,IN_Zugliste!$A$4:$F$2002,7,FALSE),"")</f>
        <v/>
      </c>
      <c r="CQ319" t="str">
        <f>+IFERROR(VLOOKUP(CQ20,IN_Zugliste!$A$4:$F$2002,7,FALSE),"")</f>
        <v/>
      </c>
      <c r="CR319" t="str">
        <f>+IFERROR(VLOOKUP(CR20,IN_Zugliste!$A$4:$F$2002,7,FALSE),"")</f>
        <v/>
      </c>
      <c r="CS319" t="str">
        <f>+IFERROR(VLOOKUP(CS20,IN_Zugliste!$A$4:$F$2002,7,FALSE),"")</f>
        <v/>
      </c>
      <c r="CT319" t="str">
        <f>+IFERROR(VLOOKUP(CT20,IN_Zugliste!$A$4:$F$2002,7,FALSE),"")</f>
        <v/>
      </c>
      <c r="CU319" t="str">
        <f>+IFERROR(VLOOKUP(CU20,IN_Zugliste!$A$4:$F$2002,7,FALSE),"")</f>
        <v/>
      </c>
      <c r="CV319" t="str">
        <f>+IFERROR(VLOOKUP(CV20,IN_Zugliste!$A$4:$F$2002,7,FALSE),"")</f>
        <v/>
      </c>
      <c r="CW319" t="str">
        <f>+IFERROR(VLOOKUP(CW20,IN_Zugliste!$A$4:$F$2002,7,FALSE),"")</f>
        <v/>
      </c>
      <c r="CX319" t="str">
        <f>+IFERROR(VLOOKUP(CX20,IN_Zugliste!$A$4:$F$2002,7,FALSE),"")</f>
        <v/>
      </c>
      <c r="CY319" t="str">
        <f>+IFERROR(VLOOKUP(CY20,IN_Zugliste!$A$4:$F$2002,7,FALSE),"")</f>
        <v/>
      </c>
      <c r="CZ319" t="str">
        <f>+IFERROR(VLOOKUP(CZ20,IN_Zugliste!$A$4:$F$2002,7,FALSE),"")</f>
        <v/>
      </c>
      <c r="DA319" t="str">
        <f>+IFERROR(VLOOKUP(DA20,IN_Zugliste!$A$4:$F$2002,7,FALSE),"")</f>
        <v/>
      </c>
      <c r="DB319" t="str">
        <f>+IFERROR(VLOOKUP(DB20,IN_Zugliste!$A$4:$F$2002,7,FALSE),"")</f>
        <v/>
      </c>
      <c r="DC319" t="str">
        <f>+IFERROR(VLOOKUP(DC20,IN_Zugliste!$A$4:$F$2002,7,FALSE),"")</f>
        <v/>
      </c>
      <c r="DD319" t="str">
        <f>+IFERROR(VLOOKUP(DD20,IN_Zugliste!$A$4:$F$2002,7,FALSE),"")</f>
        <v/>
      </c>
      <c r="DE319" t="str">
        <f>+IFERROR(VLOOKUP(DE20,IN_Zugliste!$A$4:$F$2002,7,FALSE),"")</f>
        <v/>
      </c>
      <c r="DF319" t="str">
        <f>+IFERROR(VLOOKUP(DF20,IN_Zugliste!$A$4:$F$2002,7,FALSE),"")</f>
        <v/>
      </c>
      <c r="DG319" t="str">
        <f>+IFERROR(VLOOKUP(DG20,IN_Zugliste!$A$4:$F$2002,7,FALSE),"")</f>
        <v/>
      </c>
      <c r="DH319" t="str">
        <f>+IFERROR(VLOOKUP(DH20,IN_Zugliste!$A$4:$F$2002,7,FALSE),"")</f>
        <v/>
      </c>
      <c r="DI319" t="str">
        <f>+IFERROR(VLOOKUP(DI20,IN_Zugliste!$A$4:$F$2002,7,FALSE),"")</f>
        <v/>
      </c>
      <c r="DJ319" t="str">
        <f>+IFERROR(VLOOKUP(DJ20,IN_Zugliste!$A$4:$F$2002,7,FALSE),"")</f>
        <v/>
      </c>
      <c r="DK319" t="str">
        <f>+IFERROR(VLOOKUP(DK20,IN_Zugliste!$A$4:$F$2002,7,FALSE),"")</f>
        <v/>
      </c>
      <c r="DL319" t="str">
        <f>+IFERROR(VLOOKUP(DL20,IN_Zugliste!$A$4:$F$2002,7,FALSE),"")</f>
        <v/>
      </c>
      <c r="DM319" t="str">
        <f>+IFERROR(VLOOKUP(DM20,IN_Zugliste!$A$4:$F$2002,7,FALSE),"")</f>
        <v/>
      </c>
      <c r="DN319" t="str">
        <f>+IFERROR(VLOOKUP(DN20,IN_Zugliste!$A$4:$F$2002,7,FALSE),"")</f>
        <v/>
      </c>
      <c r="DO319" t="str">
        <f>+IFERROR(VLOOKUP(DO20,IN_Zugliste!$A$4:$F$2002,7,FALSE),"")</f>
        <v/>
      </c>
      <c r="DP319" t="str">
        <f>+IFERROR(VLOOKUP(DP20,IN_Zugliste!$A$4:$F$2002,7,FALSE),"")</f>
        <v/>
      </c>
      <c r="DQ319" t="str">
        <f>+IFERROR(VLOOKUP(DQ20,IN_Zugliste!$A$4:$F$2002,7,FALSE),"")</f>
        <v/>
      </c>
      <c r="DR319" t="str">
        <f>+IFERROR(VLOOKUP(DR20,IN_Zugliste!$A$4:$F$2002,7,FALSE),"")</f>
        <v/>
      </c>
      <c r="DS319" t="str">
        <f>+IFERROR(VLOOKUP(DS20,IN_Zugliste!$A$4:$F$2002,7,FALSE),"")</f>
        <v/>
      </c>
      <c r="DT319" t="str">
        <f>+IFERROR(VLOOKUP(DT20,IN_Zugliste!$A$4:$F$2002,7,FALSE),"")</f>
        <v/>
      </c>
      <c r="DU319" t="str">
        <f>+IFERROR(VLOOKUP(DU20,IN_Zugliste!$A$4:$F$2002,7,FALSE),"")</f>
        <v/>
      </c>
      <c r="DV319" t="str">
        <f>+IFERROR(VLOOKUP(DV20,IN_Zugliste!$A$4:$F$2002,7,FALSE),"")</f>
        <v/>
      </c>
      <c r="DW319" t="str">
        <f>+IFERROR(VLOOKUP(DW20,IN_Zugliste!$A$4:$F$2002,7,FALSE),"")</f>
        <v/>
      </c>
      <c r="DX319" t="str">
        <f>+IFERROR(VLOOKUP(DX20,IN_Zugliste!$A$4:$F$2002,7,FALSE),"")</f>
        <v/>
      </c>
      <c r="DY319" t="str">
        <f>+IFERROR(VLOOKUP(DY20,IN_Zugliste!$A$4:$F$2002,7,FALSE),"")</f>
        <v/>
      </c>
      <c r="DZ319" t="str">
        <f>+IFERROR(VLOOKUP(DZ20,IN_Zugliste!$A$4:$F$2002,7,FALSE),"")</f>
        <v/>
      </c>
      <c r="EA319" t="str">
        <f>+IFERROR(VLOOKUP(EA20,IN_Zugliste!$A$4:$F$2002,7,FALSE),"")</f>
        <v/>
      </c>
      <c r="EB319" t="str">
        <f>+IFERROR(VLOOKUP(EB20,IN_Zugliste!$A$4:$F$2002,7,FALSE),"")</f>
        <v/>
      </c>
      <c r="EC319" t="str">
        <f>+IFERROR(VLOOKUP(EC20,IN_Zugliste!$A$4:$F$2002,7,FALSE),"")</f>
        <v/>
      </c>
      <c r="ED319" t="str">
        <f>+IFERROR(VLOOKUP(ED20,IN_Zugliste!$A$4:$F$2002,7,FALSE),"")</f>
        <v/>
      </c>
      <c r="EE319" t="str">
        <f>+IFERROR(VLOOKUP(EE20,IN_Zugliste!$A$4:$F$2002,7,FALSE),"")</f>
        <v/>
      </c>
      <c r="EF319" t="str">
        <f>+IFERROR(VLOOKUP(EF20,IN_Zugliste!$A$4:$F$2002,7,FALSE),"")</f>
        <v/>
      </c>
      <c r="EG319" t="str">
        <f>+IFERROR(VLOOKUP(EG20,IN_Zugliste!$A$4:$F$2002,7,FALSE),"")</f>
        <v/>
      </c>
      <c r="EH319" t="str">
        <f>+IFERROR(VLOOKUP(EH20,IN_Zugliste!$A$4:$F$2002,7,FALSE),"")</f>
        <v/>
      </c>
      <c r="EI319" t="str">
        <f>+IFERROR(VLOOKUP(EI20,IN_Zugliste!$A$4:$F$2002,7,FALSE),"")</f>
        <v/>
      </c>
      <c r="EJ319" t="str">
        <f>+IFERROR(VLOOKUP(EJ20,IN_Zugliste!$A$4:$F$2002,7,FALSE),"")</f>
        <v/>
      </c>
      <c r="EK319" t="str">
        <f>+IFERROR(VLOOKUP(EK20,IN_Zugliste!$A$4:$F$2002,7,FALSE),"")</f>
        <v/>
      </c>
      <c r="EL319" t="str">
        <f>+IFERROR(VLOOKUP(EL20,IN_Zugliste!$A$4:$F$2002,7,FALSE),"")</f>
        <v/>
      </c>
      <c r="EM319" t="str">
        <f>+IFERROR(VLOOKUP(EM20,IN_Zugliste!$A$4:$F$2002,7,FALSE),"")</f>
        <v/>
      </c>
      <c r="EN319" t="str">
        <f>+IFERROR(VLOOKUP(EN20,IN_Zugliste!$A$4:$F$2002,7,FALSE),"")</f>
        <v/>
      </c>
      <c r="EO319" t="str">
        <f>+IFERROR(VLOOKUP(EO20,IN_Zugliste!$A$4:$F$2002,7,FALSE),"")</f>
        <v/>
      </c>
      <c r="EP319" t="str">
        <f>+IFERROR(VLOOKUP(EP20,IN_Zugliste!$A$4:$F$2002,7,FALSE),"")</f>
        <v/>
      </c>
      <c r="EQ319" t="str">
        <f>+IFERROR(VLOOKUP(EQ20,IN_Zugliste!$A$4:$F$2002,7,FALSE),"")</f>
        <v/>
      </c>
      <c r="ER319" t="str">
        <f>+IFERROR(VLOOKUP(ER20,IN_Zugliste!$A$4:$F$2002,7,FALSE),"")</f>
        <v/>
      </c>
      <c r="ES319" t="str">
        <f>+IFERROR(VLOOKUP(ES20,IN_Zugliste!$A$4:$F$2002,7,FALSE),"")</f>
        <v/>
      </c>
      <c r="ET319" t="str">
        <f>+IFERROR(VLOOKUP(ET20,IN_Zugliste!$A$4:$F$2002,7,FALSE),"")</f>
        <v/>
      </c>
      <c r="EU319" t="str">
        <f>+IFERROR(VLOOKUP(EU20,IN_Zugliste!$A$4:$F$2002,7,FALSE),"")</f>
        <v/>
      </c>
      <c r="EV319" t="str">
        <f>+IFERROR(VLOOKUP(EV20,IN_Zugliste!$A$4:$F$2002,7,FALSE),"")</f>
        <v/>
      </c>
      <c r="EW319" t="str">
        <f>+IFERROR(VLOOKUP(EW20,IN_Zugliste!$A$4:$F$2002,7,FALSE),"")</f>
        <v/>
      </c>
      <c r="EX319" t="str">
        <f>+IFERROR(VLOOKUP(EX20,IN_Zugliste!$A$4:$F$2002,7,FALSE),"")</f>
        <v/>
      </c>
      <c r="EY319" t="str">
        <f>+IFERROR(VLOOKUP(EY20,IN_Zugliste!$A$4:$F$2002,7,FALSE),"")</f>
        <v/>
      </c>
      <c r="EZ319" t="str">
        <f>+IFERROR(VLOOKUP(EZ20,IN_Zugliste!$A$4:$F$2002,7,FALSE),"")</f>
        <v/>
      </c>
      <c r="FA319" t="str">
        <f>+IFERROR(VLOOKUP(FA20,IN_Zugliste!$A$4:$F$2002,7,FALSE),"")</f>
        <v/>
      </c>
      <c r="FB319" t="str">
        <f>+IFERROR(VLOOKUP(FB20,IN_Zugliste!$A$4:$F$2002,7,FALSE),"")</f>
        <v/>
      </c>
      <c r="FC319" t="str">
        <f>+IFERROR(VLOOKUP(FC20,IN_Zugliste!$A$4:$F$2002,7,FALSE),"")</f>
        <v/>
      </c>
      <c r="FD319" t="str">
        <f>+IFERROR(VLOOKUP(FD20,IN_Zugliste!$A$4:$F$2002,7,FALSE),"")</f>
        <v/>
      </c>
      <c r="FE319" t="str">
        <f>+IFERROR(VLOOKUP(FE20,IN_Zugliste!$A$4:$F$2002,7,FALSE),"")</f>
        <v/>
      </c>
      <c r="FF319" t="str">
        <f>+IFERROR(VLOOKUP(FF20,IN_Zugliste!$A$4:$F$2002,7,FALSE),"")</f>
        <v/>
      </c>
      <c r="FG319" t="str">
        <f>+IFERROR(VLOOKUP(FG20,IN_Zugliste!$A$4:$F$2002,7,FALSE),"")</f>
        <v/>
      </c>
      <c r="FH319" t="str">
        <f>+IFERROR(VLOOKUP(FH20,IN_Zugliste!$A$4:$F$2002,7,FALSE),"")</f>
        <v/>
      </c>
      <c r="FI319" t="str">
        <f>+IFERROR(VLOOKUP(FI20,IN_Zugliste!$A$4:$F$2002,7,FALSE),"")</f>
        <v/>
      </c>
      <c r="FJ319" t="str">
        <f>+IFERROR(VLOOKUP(FJ20,IN_Zugliste!$A$4:$F$2002,7,FALSE),"")</f>
        <v/>
      </c>
      <c r="FK319" t="str">
        <f>+IFERROR(VLOOKUP(FK20,IN_Zugliste!$A$4:$F$2002,7,FALSE),"")</f>
        <v/>
      </c>
      <c r="FL319" t="str">
        <f>+IFERROR(VLOOKUP(FL20,IN_Zugliste!$A$4:$F$2002,7,FALSE),"")</f>
        <v/>
      </c>
      <c r="FM319" t="str">
        <f>+IFERROR(VLOOKUP(FM20,IN_Zugliste!$A$4:$F$2002,7,FALSE),"")</f>
        <v/>
      </c>
      <c r="FN319" t="str">
        <f>+IFERROR(VLOOKUP(FN20,IN_Zugliste!$A$4:$F$2002,7,FALSE),"")</f>
        <v/>
      </c>
      <c r="FO319" t="str">
        <f>+IFERROR(VLOOKUP(FO20,IN_Zugliste!$A$4:$F$2002,7,FALSE),"")</f>
        <v/>
      </c>
      <c r="FP319" t="str">
        <f>+IFERROR(VLOOKUP(FP20,IN_Zugliste!$A$4:$F$2002,7,FALSE),"")</f>
        <v/>
      </c>
      <c r="FQ319" t="str">
        <f>+IFERROR(VLOOKUP(FQ20,IN_Zugliste!$A$4:$F$2002,7,FALSE),"")</f>
        <v/>
      </c>
      <c r="FR319" t="str">
        <f>+IFERROR(VLOOKUP(FR20,IN_Zugliste!$A$4:$F$2002,7,FALSE),"")</f>
        <v/>
      </c>
      <c r="FS319" t="str">
        <f>+IFERROR(VLOOKUP(FS20,IN_Zugliste!$A$4:$F$2002,7,FALSE),"")</f>
        <v/>
      </c>
      <c r="FT319" t="str">
        <f>+IFERROR(VLOOKUP(FT20,IN_Zugliste!$A$4:$F$2002,7,FALSE),"")</f>
        <v/>
      </c>
      <c r="FU319" t="str">
        <f>+IFERROR(VLOOKUP(FU20,IN_Zugliste!$A$4:$F$2002,7,FALSE),"")</f>
        <v/>
      </c>
      <c r="FV319" t="str">
        <f>+IFERROR(VLOOKUP(FV20,IN_Zugliste!$A$4:$F$2002,7,FALSE),"")</f>
        <v/>
      </c>
      <c r="FW319" t="str">
        <f>+IFERROR(VLOOKUP(FW20,IN_Zugliste!$A$4:$F$2002,7,FALSE),"")</f>
        <v/>
      </c>
      <c r="FX319" t="str">
        <f>+IFERROR(VLOOKUP(FX20,IN_Zugliste!$A$4:$F$2002,7,FALSE),"")</f>
        <v/>
      </c>
      <c r="FY319" t="str">
        <f>+IFERROR(VLOOKUP(FY20,IN_Zugliste!$A$4:$F$2002,7,FALSE),"")</f>
        <v/>
      </c>
      <c r="FZ319" t="str">
        <f>+IFERROR(VLOOKUP(FZ20,IN_Zugliste!$A$4:$F$2002,7,FALSE),"")</f>
        <v/>
      </c>
      <c r="GA319" t="str">
        <f>+IFERROR(VLOOKUP(GA20,IN_Zugliste!$A$4:$F$2002,7,FALSE),"")</f>
        <v/>
      </c>
      <c r="GB319" t="str">
        <f>+IFERROR(VLOOKUP(GB20,IN_Zugliste!$A$4:$F$2002,7,FALSE),"")</f>
        <v/>
      </c>
      <c r="GC319" t="str">
        <f>+IFERROR(VLOOKUP(GC20,IN_Zugliste!$A$4:$F$2002,7,FALSE),"")</f>
        <v/>
      </c>
      <c r="GD319" t="str">
        <f>+IFERROR(VLOOKUP(GD20,IN_Zugliste!$A$4:$F$2002,7,FALSE),"")</f>
        <v/>
      </c>
      <c r="GE319" t="str">
        <f>+IFERROR(VLOOKUP(GE20,IN_Zugliste!$A$4:$F$2002,7,FALSE),"")</f>
        <v/>
      </c>
      <c r="GF319" t="str">
        <f>+IFERROR(VLOOKUP(GF20,IN_Zugliste!$A$4:$F$2002,7,FALSE),"")</f>
        <v/>
      </c>
      <c r="GG319" t="str">
        <f>+IFERROR(VLOOKUP(GG20,IN_Zugliste!$A$4:$F$2002,7,FALSE),"")</f>
        <v/>
      </c>
      <c r="GH319" t="str">
        <f>+IFERROR(VLOOKUP(GH20,IN_Zugliste!$A$4:$F$2002,7,FALSE),"")</f>
        <v/>
      </c>
      <c r="GI319" t="str">
        <f>+IFERROR(VLOOKUP(GI20,IN_Zugliste!$A$4:$F$2002,7,FALSE),"")</f>
        <v/>
      </c>
      <c r="GJ319" t="str">
        <f>+IFERROR(VLOOKUP(GJ20,IN_Zugliste!$A$4:$F$2002,7,FALSE),"")</f>
        <v/>
      </c>
      <c r="GK319" t="str">
        <f>+IFERROR(VLOOKUP(GK20,IN_Zugliste!$A$4:$F$2002,7,FALSE),"")</f>
        <v/>
      </c>
      <c r="GL319" t="str">
        <f>+IFERROR(VLOOKUP(GL20,IN_Zugliste!$A$4:$F$2002,7,FALSE),"")</f>
        <v/>
      </c>
      <c r="GM319" t="str">
        <f>+IFERROR(VLOOKUP(GM20,IN_Zugliste!$A$4:$F$2002,7,FALSE),"")</f>
        <v/>
      </c>
      <c r="GN319" t="str">
        <f>+IFERROR(VLOOKUP(GN20,IN_Zugliste!$A$4:$F$2002,7,FALSE),"")</f>
        <v/>
      </c>
      <c r="GO319" t="str">
        <f>+IFERROR(VLOOKUP(GO20,IN_Zugliste!$A$4:$F$2002,7,FALSE),"")</f>
        <v/>
      </c>
      <c r="GP319" t="str">
        <f>+IFERROR(VLOOKUP(GP20,IN_Zugliste!$A$4:$F$2002,7,FALSE),"")</f>
        <v/>
      </c>
      <c r="GQ319" t="str">
        <f>+IFERROR(VLOOKUP(GQ20,IN_Zugliste!$A$4:$F$2002,7,FALSE),"")</f>
        <v/>
      </c>
      <c r="GR319" t="str">
        <f>+IFERROR(VLOOKUP(GR20,IN_Zugliste!$A$4:$F$2002,7,FALSE),"")</f>
        <v/>
      </c>
      <c r="GS319" t="str">
        <f>+IFERROR(VLOOKUP(GS20,IN_Zugliste!$A$4:$F$2002,7,FALSE),"")</f>
        <v/>
      </c>
      <c r="GT319" t="str">
        <f>+IFERROR(VLOOKUP(GT20,IN_Zugliste!$A$4:$F$2002,7,FALSE),"")</f>
        <v/>
      </c>
      <c r="GU319" t="str">
        <f>+IFERROR(VLOOKUP(GU20,IN_Zugliste!$A$4:$F$2002,7,FALSE),"")</f>
        <v/>
      </c>
      <c r="GV319" t="str">
        <f>+IFERROR(VLOOKUP(GV20,IN_Zugliste!$A$4:$F$2002,7,FALSE),"")</f>
        <v/>
      </c>
      <c r="GW319" t="str">
        <f>+IFERROR(VLOOKUP(GW20,IN_Zugliste!$A$4:$F$2002,7,FALSE),"")</f>
        <v/>
      </c>
      <c r="GX319" t="str">
        <f>+IFERROR(VLOOKUP(GX20,IN_Zugliste!$A$4:$F$2002,7,FALSE),"")</f>
        <v/>
      </c>
      <c r="GY319" t="str">
        <f>+IFERROR(VLOOKUP(GY20,IN_Zugliste!$A$4:$F$2002,7,FALSE),"")</f>
        <v/>
      </c>
      <c r="GZ319" t="str">
        <f>+IFERROR(VLOOKUP(GZ20,IN_Zugliste!$A$4:$F$2002,7,FALSE),"")</f>
        <v/>
      </c>
      <c r="HA319" t="str">
        <f>+IFERROR(VLOOKUP(HA20,IN_Zugliste!$A$4:$F$2002,7,FALSE),"")</f>
        <v/>
      </c>
      <c r="HB319" t="str">
        <f>+IFERROR(VLOOKUP(HB20,IN_Zugliste!$A$4:$F$2002,7,FALSE),"")</f>
        <v/>
      </c>
      <c r="HC319" t="str">
        <f>+IFERROR(VLOOKUP(HC20,IN_Zugliste!$A$4:$F$2002,7,FALSE),"")</f>
        <v/>
      </c>
      <c r="HD319" t="str">
        <f>+IFERROR(VLOOKUP(HD20,IN_Zugliste!$A$4:$F$2002,7,FALSE),"")</f>
        <v/>
      </c>
      <c r="HE319" t="str">
        <f>+IFERROR(VLOOKUP(HE20,IN_Zugliste!$A$4:$F$2002,7,FALSE),"")</f>
        <v/>
      </c>
      <c r="HF319" t="str">
        <f>+IFERROR(VLOOKUP(HF20,IN_Zugliste!$A$4:$F$2002,7,FALSE),"")</f>
        <v/>
      </c>
      <c r="HG319" t="str">
        <f>+IFERROR(VLOOKUP(HG20,IN_Zugliste!$A$4:$F$2002,7,FALSE),"")</f>
        <v/>
      </c>
      <c r="HH319" t="str">
        <f>+IFERROR(VLOOKUP(HH20,IN_Zugliste!$A$4:$F$2002,7,FALSE),"")</f>
        <v/>
      </c>
      <c r="HI319" t="str">
        <f>+IFERROR(VLOOKUP(HI20,IN_Zugliste!$A$4:$F$2002,7,FALSE),"")</f>
        <v/>
      </c>
      <c r="HJ319" t="str">
        <f>+IFERROR(VLOOKUP(HJ20,IN_Zugliste!$A$4:$F$2002,7,FALSE),"")</f>
        <v/>
      </c>
      <c r="HK319" t="str">
        <f>+IFERROR(VLOOKUP(HK20,IN_Zugliste!$A$4:$F$2002,7,FALSE),"")</f>
        <v/>
      </c>
      <c r="HL319" t="str">
        <f>+IFERROR(VLOOKUP(HL20,IN_Zugliste!$A$4:$F$2002,7,FALSE),"")</f>
        <v/>
      </c>
      <c r="HM319" t="str">
        <f>+IFERROR(VLOOKUP(HM20,IN_Zugliste!$A$4:$F$2002,7,FALSE),"")</f>
        <v/>
      </c>
      <c r="HN319" t="str">
        <f>+IFERROR(VLOOKUP(HN20,IN_Zugliste!$A$4:$F$2002,7,FALSE),"")</f>
        <v/>
      </c>
      <c r="HO319" t="str">
        <f>+IFERROR(VLOOKUP(HO20,IN_Zugliste!$A$4:$F$2002,7,FALSE),"")</f>
        <v/>
      </c>
      <c r="HP319" t="str">
        <f>+IFERROR(VLOOKUP(HP20,IN_Zugliste!$A$4:$F$2002,7,FALSE),"")</f>
        <v/>
      </c>
      <c r="HQ319" t="str">
        <f>+IFERROR(VLOOKUP(HQ20,IN_Zugliste!$A$4:$F$2002,7,FALSE),"")</f>
        <v/>
      </c>
      <c r="HR319" t="str">
        <f>+IFERROR(VLOOKUP(HR20,IN_Zugliste!$A$4:$F$2002,7,FALSE),"")</f>
        <v/>
      </c>
      <c r="HS319" t="str">
        <f>+IFERROR(VLOOKUP(HS20,IN_Zugliste!$A$4:$F$2002,7,FALSE),"")</f>
        <v/>
      </c>
      <c r="HT319" t="str">
        <f>+IFERROR(VLOOKUP(HT20,IN_Zugliste!$A$4:$F$2002,7,FALSE),"")</f>
        <v/>
      </c>
      <c r="HU319" t="str">
        <f>+IFERROR(VLOOKUP(HU20,IN_Zugliste!$A$4:$F$2002,7,FALSE),"")</f>
        <v/>
      </c>
      <c r="HV319" t="str">
        <f>+IFERROR(VLOOKUP(HV20,IN_Zugliste!$A$4:$F$2002,7,FALSE),"")</f>
        <v/>
      </c>
      <c r="HW319" t="str">
        <f>+IFERROR(VLOOKUP(HW20,IN_Zugliste!$A$4:$F$2002,7,FALSE),"")</f>
        <v/>
      </c>
      <c r="HX319" t="str">
        <f>+IFERROR(VLOOKUP(HX20,IN_Zugliste!$A$4:$F$2002,7,FALSE),"")</f>
        <v/>
      </c>
      <c r="HY319" t="str">
        <f>+IFERROR(VLOOKUP(HY20,IN_Zugliste!$A$4:$F$2002,7,FALSE),"")</f>
        <v/>
      </c>
      <c r="HZ319" t="str">
        <f>+IFERROR(VLOOKUP(HZ20,IN_Zugliste!$A$4:$F$2002,7,FALSE),"")</f>
        <v/>
      </c>
      <c r="IA319" t="str">
        <f>+IFERROR(VLOOKUP(IA20,IN_Zugliste!$A$4:$F$2002,7,FALSE),"")</f>
        <v/>
      </c>
      <c r="IB319" t="str">
        <f>+IFERROR(VLOOKUP(IB20,IN_Zugliste!$A$4:$F$2002,7,FALSE),"")</f>
        <v/>
      </c>
      <c r="IC319" t="str">
        <f>+IFERROR(VLOOKUP(IC20,IN_Zugliste!$A$4:$F$2002,7,FALSE),"")</f>
        <v/>
      </c>
      <c r="ID319" t="str">
        <f>+IFERROR(VLOOKUP(ID20,IN_Zugliste!$A$4:$F$2002,7,FALSE),"")</f>
        <v/>
      </c>
      <c r="IE319" t="str">
        <f>+IFERROR(VLOOKUP(IE20,IN_Zugliste!$A$4:$F$2002,7,FALSE),"")</f>
        <v/>
      </c>
      <c r="IF319" t="str">
        <f>+IFERROR(VLOOKUP(IF20,IN_Zugliste!$A$4:$F$2002,7,FALSE),"")</f>
        <v/>
      </c>
      <c r="IG319" t="str">
        <f>+IFERROR(VLOOKUP(IG20,IN_Zugliste!$A$4:$F$2002,7,FALSE),"")</f>
        <v/>
      </c>
      <c r="IH319" t="str">
        <f>+IFERROR(VLOOKUP(IH20,IN_Zugliste!$A$4:$F$2002,7,FALSE),"")</f>
        <v/>
      </c>
      <c r="II319" t="str">
        <f>+IFERROR(VLOOKUP(II20,IN_Zugliste!$A$4:$F$2002,7,FALSE),"")</f>
        <v/>
      </c>
      <c r="IJ319" t="str">
        <f>+IFERROR(VLOOKUP(IJ20,IN_Zugliste!$A$4:$F$2002,7,FALSE),"")</f>
        <v/>
      </c>
      <c r="IK319" t="str">
        <f>+IFERROR(VLOOKUP(IK20,IN_Zugliste!$A$4:$F$2002,7,FALSE),"")</f>
        <v/>
      </c>
      <c r="IL319" t="str">
        <f>+IFERROR(VLOOKUP(IL20,IN_Zugliste!$A$4:$F$2002,7,FALSE),"")</f>
        <v/>
      </c>
      <c r="IM319" t="str">
        <f>+IFERROR(VLOOKUP(IM20,IN_Zugliste!$A$4:$F$2002,7,FALSE),"")</f>
        <v/>
      </c>
      <c r="IN319" t="str">
        <f>+IFERROR(VLOOKUP(IN20,IN_Zugliste!$A$4:$F$2002,7,FALSE),"")</f>
        <v/>
      </c>
      <c r="IO319" t="str">
        <f>+IFERROR(VLOOKUP(IO20,IN_Zugliste!$A$4:$F$2002,7,FALSE),"")</f>
        <v/>
      </c>
      <c r="IP319" t="str">
        <f>+IFERROR(VLOOKUP(IP20,IN_Zugliste!$A$4:$F$2002,7,FALSE),"")</f>
        <v/>
      </c>
      <c r="IQ319" t="str">
        <f>+IFERROR(VLOOKUP(IQ20,IN_Zugliste!$A$4:$F$2002,7,FALSE),"")</f>
        <v/>
      </c>
      <c r="IR319" t="str">
        <f>+IFERROR(VLOOKUP(IR20,IN_Zugliste!$A$4:$F$2002,7,FALSE),"")</f>
        <v/>
      </c>
      <c r="IS319" t="str">
        <f>+IFERROR(VLOOKUP(IS20,IN_Zugliste!$A$4:$F$2002,7,FALSE),"")</f>
        <v/>
      </c>
      <c r="IT319" t="str">
        <f>+IFERROR(VLOOKUP(IT20,IN_Zugliste!$A$4:$F$2002,7,FALSE),"")</f>
        <v/>
      </c>
      <c r="IU319" t="str">
        <f>+IFERROR(VLOOKUP(IU20,IN_Zugliste!$A$4:$F$2002,7,FALSE),"")</f>
        <v/>
      </c>
      <c r="IV319" t="str">
        <f>+IFERROR(VLOOKUP(IV20,IN_Zugliste!$A$4:$F$2002,7,FALSE),"")</f>
        <v/>
      </c>
      <c r="IW319" t="str">
        <f>+IFERROR(VLOOKUP(IW20,IN_Zugliste!$A$4:$F$2002,7,FALSE),"")</f>
        <v/>
      </c>
      <c r="IX319" t="str">
        <f>+IFERROR(VLOOKUP(IX20,IN_Zugliste!$A$4:$F$2002,7,FALSE),"")</f>
        <v/>
      </c>
      <c r="IY319" t="str">
        <f>+IFERROR(VLOOKUP(IY20,IN_Zugliste!$A$4:$F$2002,7,FALSE),"")</f>
        <v/>
      </c>
      <c r="IZ319" t="str">
        <f>+IFERROR(VLOOKUP(IZ20,IN_Zugliste!$A$4:$F$2002,7,FALSE),"")</f>
        <v/>
      </c>
      <c r="JA319" t="str">
        <f>+IFERROR(VLOOKUP(JA20,IN_Zugliste!$A$4:$F$2002,7,FALSE),"")</f>
        <v/>
      </c>
      <c r="JB319" t="str">
        <f>+IFERROR(VLOOKUP(JB20,IN_Zugliste!$A$4:$F$2002,7,FALSE),"")</f>
        <v/>
      </c>
      <c r="JC319" t="str">
        <f>+IFERROR(VLOOKUP(JC20,IN_Zugliste!$A$4:$F$2002,7,FALSE),"")</f>
        <v/>
      </c>
      <c r="JD319" t="str">
        <f>+IFERROR(VLOOKUP(JD20,IN_Zugliste!$A$4:$F$2002,7,FALSE),"")</f>
        <v/>
      </c>
      <c r="JE319" t="str">
        <f>+IFERROR(VLOOKUP(JE20,IN_Zugliste!$A$4:$F$2002,7,FALSE),"")</f>
        <v/>
      </c>
      <c r="JF319" t="str">
        <f>+IFERROR(VLOOKUP(JF20,IN_Zugliste!$A$4:$F$2002,7,FALSE),"")</f>
        <v/>
      </c>
      <c r="JG319" t="str">
        <f>+IFERROR(VLOOKUP(JG20,IN_Zugliste!$A$4:$F$2002,7,FALSE),"")</f>
        <v/>
      </c>
      <c r="JH319" t="str">
        <f>+IFERROR(VLOOKUP(JH20,IN_Zugliste!$A$4:$F$2002,7,FALSE),"")</f>
        <v/>
      </c>
      <c r="JI319" t="str">
        <f>+IFERROR(VLOOKUP(JI20,IN_Zugliste!$A$4:$F$2002,7,FALSE),"")</f>
        <v/>
      </c>
      <c r="JJ319" t="str">
        <f>+IFERROR(VLOOKUP(JJ20,IN_Zugliste!$A$4:$F$2002,7,FALSE),"")</f>
        <v/>
      </c>
    </row>
    <row r="320" spans="1:270" x14ac:dyDescent="0.2">
      <c r="A320" t="str">
        <f>+IFERROR(VLOOKUP(A21,IN_Zugliste!$A$4:$F$2002,7,FALSE),"")</f>
        <v/>
      </c>
      <c r="B320" t="str">
        <f>+IFERROR(VLOOKUP(B21,IN_Zugliste!$A$4:$F$2002,7,FALSE),"")</f>
        <v/>
      </c>
      <c r="C320" t="str">
        <f>+IFERROR(VLOOKUP(C21,IN_Zugliste!$A$4:$F$2002,7,FALSE),"")</f>
        <v/>
      </c>
      <c r="D320" t="str">
        <f>+IFERROR(VLOOKUP(D21,IN_Zugliste!$A$4:$F$2002,7,FALSE),"")</f>
        <v/>
      </c>
      <c r="E320" t="str">
        <f>+IFERROR(VLOOKUP(E21,IN_Zugliste!$A$4:$F$2002,7,FALSE),"")</f>
        <v/>
      </c>
      <c r="F320" t="str">
        <f>+IFERROR(VLOOKUP(F21,IN_Zugliste!$A$4:$F$2002,7,FALSE),"")</f>
        <v/>
      </c>
      <c r="G320" t="str">
        <f>+IFERROR(VLOOKUP(G21,IN_Zugliste!$A$4:$F$2002,7,FALSE),"")</f>
        <v/>
      </c>
      <c r="H320" t="str">
        <f>+IFERROR(VLOOKUP(H21,IN_Zugliste!$A$4:$F$2002,7,FALSE),"")</f>
        <v/>
      </c>
      <c r="I320" t="str">
        <f>+IFERROR(VLOOKUP(I21,IN_Zugliste!$A$4:$F$2002,7,FALSE),"")</f>
        <v/>
      </c>
      <c r="J320" t="str">
        <f>+IFERROR(VLOOKUP(J21,IN_Zugliste!$A$4:$F$2002,7,FALSE),"")</f>
        <v/>
      </c>
      <c r="K320" t="str">
        <f>+IFERROR(VLOOKUP(K21,IN_Zugliste!$A$4:$F$2002,7,FALSE),"")</f>
        <v/>
      </c>
      <c r="L320" t="str">
        <f>+IFERROR(VLOOKUP(L21,IN_Zugliste!$A$4:$F$2002,7,FALSE),"")</f>
        <v/>
      </c>
      <c r="M320" t="str">
        <f>+IFERROR(VLOOKUP(M21,IN_Zugliste!$A$4:$F$2002,7,FALSE),"")</f>
        <v/>
      </c>
      <c r="N320" t="str">
        <f>+IFERROR(VLOOKUP(N21,IN_Zugliste!$A$4:$F$2002,7,FALSE),"")</f>
        <v/>
      </c>
      <c r="O320" t="str">
        <f>+IFERROR(VLOOKUP(O21,IN_Zugliste!$A$4:$F$2002,7,FALSE),"")</f>
        <v/>
      </c>
      <c r="P320" t="str">
        <f>+IFERROR(VLOOKUP(P21,IN_Zugliste!$A$4:$F$2002,7,FALSE),"")</f>
        <v/>
      </c>
      <c r="Q320" t="str">
        <f>+IFERROR(VLOOKUP(Q21,IN_Zugliste!$A$4:$F$2002,7,FALSE),"")</f>
        <v/>
      </c>
      <c r="R320" t="str">
        <f>+IFERROR(VLOOKUP(R21,IN_Zugliste!$A$4:$F$2002,7,FALSE),"")</f>
        <v/>
      </c>
      <c r="S320" t="str">
        <f>+IFERROR(VLOOKUP(S21,IN_Zugliste!$A$4:$F$2002,7,FALSE),"")</f>
        <v/>
      </c>
      <c r="T320" t="str">
        <f>+IFERROR(VLOOKUP(T21,IN_Zugliste!$A$4:$F$2002,7,FALSE),"")</f>
        <v/>
      </c>
      <c r="U320" t="str">
        <f>+IFERROR(VLOOKUP(U21,IN_Zugliste!$A$4:$F$2002,7,FALSE),"")</f>
        <v/>
      </c>
      <c r="V320" t="str">
        <f>+IFERROR(VLOOKUP(V21,IN_Zugliste!$A$4:$F$2002,7,FALSE),"")</f>
        <v/>
      </c>
      <c r="W320" t="str">
        <f>+IFERROR(VLOOKUP(W21,IN_Zugliste!$A$4:$F$2002,7,FALSE),"")</f>
        <v/>
      </c>
      <c r="X320" t="str">
        <f>+IFERROR(VLOOKUP(X21,IN_Zugliste!$A$4:$F$2002,7,FALSE),"")</f>
        <v/>
      </c>
      <c r="Y320" t="str">
        <f>+IFERROR(VLOOKUP(Y21,IN_Zugliste!$A$4:$F$2002,7,FALSE),"")</f>
        <v/>
      </c>
      <c r="Z320" t="str">
        <f>+IFERROR(VLOOKUP(Z21,IN_Zugliste!$A$4:$F$2002,7,FALSE),"")</f>
        <v/>
      </c>
      <c r="AA320" t="str">
        <f>+IFERROR(VLOOKUP(AA21,IN_Zugliste!$A$4:$F$2002,7,FALSE),"")</f>
        <v/>
      </c>
      <c r="AB320" t="str">
        <f>+IFERROR(VLOOKUP(AB21,IN_Zugliste!$A$4:$F$2002,7,FALSE),"")</f>
        <v/>
      </c>
      <c r="AC320" t="str">
        <f>+IFERROR(VLOOKUP(AC21,IN_Zugliste!$A$4:$F$2002,7,FALSE),"")</f>
        <v/>
      </c>
      <c r="AD320" t="str">
        <f>+IFERROR(VLOOKUP(AD21,IN_Zugliste!$A$4:$F$2002,7,FALSE),"")</f>
        <v/>
      </c>
      <c r="AE320" t="str">
        <f>+IFERROR(VLOOKUP(AE21,IN_Zugliste!$A$4:$F$2002,7,FALSE),"")</f>
        <v/>
      </c>
      <c r="AF320" t="str">
        <f>+IFERROR(VLOOKUP(AF21,IN_Zugliste!$A$4:$F$2002,7,FALSE),"")</f>
        <v/>
      </c>
      <c r="AG320" t="str">
        <f>+IFERROR(VLOOKUP(AG21,IN_Zugliste!$A$4:$F$2002,7,FALSE),"")</f>
        <v/>
      </c>
      <c r="AH320" t="str">
        <f>+IFERROR(VLOOKUP(AH21,IN_Zugliste!$A$4:$F$2002,7,FALSE),"")</f>
        <v/>
      </c>
      <c r="AI320" t="str">
        <f>+IFERROR(VLOOKUP(AI21,IN_Zugliste!$A$4:$F$2002,7,FALSE),"")</f>
        <v/>
      </c>
      <c r="AJ320" t="str">
        <f>+IFERROR(VLOOKUP(AJ21,IN_Zugliste!$A$4:$F$2002,7,FALSE),"")</f>
        <v/>
      </c>
      <c r="AK320" t="str">
        <f>+IFERROR(VLOOKUP(AK21,IN_Zugliste!$A$4:$F$2002,7,FALSE),"")</f>
        <v/>
      </c>
      <c r="AL320" t="str">
        <f>+IFERROR(VLOOKUP(AL21,IN_Zugliste!$A$4:$F$2002,7,FALSE),"")</f>
        <v/>
      </c>
      <c r="AM320" t="str">
        <f>+IFERROR(VLOOKUP(AM21,IN_Zugliste!$A$4:$F$2002,7,FALSE),"")</f>
        <v/>
      </c>
      <c r="AN320" t="str">
        <f>+IFERROR(VLOOKUP(AN21,IN_Zugliste!$A$4:$F$2002,7,FALSE),"")</f>
        <v/>
      </c>
      <c r="AO320" t="str">
        <f>+IFERROR(VLOOKUP(AO21,IN_Zugliste!$A$4:$F$2002,7,FALSE),"")</f>
        <v/>
      </c>
      <c r="AP320" t="str">
        <f>+IFERROR(VLOOKUP(AP21,IN_Zugliste!$A$4:$F$2002,7,FALSE),"")</f>
        <v/>
      </c>
      <c r="AQ320" t="str">
        <f>+IFERROR(VLOOKUP(AQ21,IN_Zugliste!$A$4:$F$2002,7,FALSE),"")</f>
        <v/>
      </c>
      <c r="AR320" t="str">
        <f>+IFERROR(VLOOKUP(AR21,IN_Zugliste!$A$4:$F$2002,7,FALSE),"")</f>
        <v/>
      </c>
      <c r="AS320" t="str">
        <f>+IFERROR(VLOOKUP(AS21,IN_Zugliste!$A$4:$F$2002,7,FALSE),"")</f>
        <v/>
      </c>
      <c r="AT320" t="str">
        <f>+IFERROR(VLOOKUP(AT21,IN_Zugliste!$A$4:$F$2002,7,FALSE),"")</f>
        <v/>
      </c>
      <c r="AU320" t="str">
        <f>+IFERROR(VLOOKUP(AU21,IN_Zugliste!$A$4:$F$2002,7,FALSE),"")</f>
        <v/>
      </c>
      <c r="AV320" t="str">
        <f>+IFERROR(VLOOKUP(AV21,IN_Zugliste!$A$4:$F$2002,7,FALSE),"")</f>
        <v/>
      </c>
      <c r="AW320" t="str">
        <f>+IFERROR(VLOOKUP(AW21,IN_Zugliste!$A$4:$F$2002,7,FALSE),"")</f>
        <v/>
      </c>
      <c r="AX320" t="str">
        <f>+IFERROR(VLOOKUP(AX21,IN_Zugliste!$A$4:$F$2002,7,FALSE),"")</f>
        <v/>
      </c>
      <c r="AY320" t="str">
        <f>+IFERROR(VLOOKUP(AY21,IN_Zugliste!$A$4:$F$2002,7,FALSE),"")</f>
        <v/>
      </c>
      <c r="AZ320" t="str">
        <f>+IFERROR(VLOOKUP(AZ21,IN_Zugliste!$A$4:$F$2002,7,FALSE),"")</f>
        <v/>
      </c>
      <c r="BA320" t="str">
        <f>+IFERROR(VLOOKUP(BA21,IN_Zugliste!$A$4:$F$2002,7,FALSE),"")</f>
        <v/>
      </c>
      <c r="BB320" t="str">
        <f>+IFERROR(VLOOKUP(BB21,IN_Zugliste!$A$4:$F$2002,7,FALSE),"")</f>
        <v/>
      </c>
      <c r="BC320" t="str">
        <f>+IFERROR(VLOOKUP(BC21,IN_Zugliste!$A$4:$F$2002,7,FALSE),"")</f>
        <v/>
      </c>
      <c r="BD320" t="str">
        <f>+IFERROR(VLOOKUP(BD21,IN_Zugliste!$A$4:$F$2002,7,FALSE),"")</f>
        <v/>
      </c>
      <c r="BE320" t="str">
        <f>+IFERROR(VLOOKUP(BE21,IN_Zugliste!$A$4:$F$2002,7,FALSE),"")</f>
        <v/>
      </c>
      <c r="BF320" t="str">
        <f>+IFERROR(VLOOKUP(BF21,IN_Zugliste!$A$4:$F$2002,7,FALSE),"")</f>
        <v/>
      </c>
      <c r="BG320" t="str">
        <f>+IFERROR(VLOOKUP(BG21,IN_Zugliste!$A$4:$F$2002,7,FALSE),"")</f>
        <v/>
      </c>
      <c r="BH320" t="str">
        <f>+IFERROR(VLOOKUP(BH21,IN_Zugliste!$A$4:$F$2002,7,FALSE),"")</f>
        <v/>
      </c>
      <c r="BI320" t="str">
        <f>+IFERROR(VLOOKUP(BI21,IN_Zugliste!$A$4:$F$2002,7,FALSE),"")</f>
        <v/>
      </c>
      <c r="BJ320" t="str">
        <f>+IFERROR(VLOOKUP(BJ21,IN_Zugliste!$A$4:$F$2002,7,FALSE),"")</f>
        <v/>
      </c>
      <c r="BK320" t="str">
        <f>+IFERROR(VLOOKUP(BK21,IN_Zugliste!$A$4:$F$2002,7,FALSE),"")</f>
        <v/>
      </c>
      <c r="BL320" t="str">
        <f>+IFERROR(VLOOKUP(BL21,IN_Zugliste!$A$4:$F$2002,7,FALSE),"")</f>
        <v/>
      </c>
      <c r="BM320" t="str">
        <f>+IFERROR(VLOOKUP(BM21,IN_Zugliste!$A$4:$F$2002,7,FALSE),"")</f>
        <v/>
      </c>
      <c r="BN320" t="str">
        <f>+IFERROR(VLOOKUP(BN21,IN_Zugliste!$A$4:$F$2002,7,FALSE),"")</f>
        <v/>
      </c>
      <c r="BO320" t="str">
        <f>+IFERROR(VLOOKUP(BO21,IN_Zugliste!$A$4:$F$2002,7,FALSE),"")</f>
        <v/>
      </c>
      <c r="BP320" t="str">
        <f>+IFERROR(VLOOKUP(BP21,IN_Zugliste!$A$4:$F$2002,7,FALSE),"")</f>
        <v/>
      </c>
      <c r="BQ320" t="str">
        <f>+IFERROR(VLOOKUP(BQ21,IN_Zugliste!$A$4:$F$2002,7,FALSE),"")</f>
        <v/>
      </c>
      <c r="BR320" t="str">
        <f>+IFERROR(VLOOKUP(BR21,IN_Zugliste!$A$4:$F$2002,7,FALSE),"")</f>
        <v/>
      </c>
      <c r="BS320" t="str">
        <f>+IFERROR(VLOOKUP(BS21,IN_Zugliste!$A$4:$F$2002,7,FALSE),"")</f>
        <v/>
      </c>
      <c r="BT320" t="str">
        <f>+IFERROR(VLOOKUP(BT21,IN_Zugliste!$A$4:$F$2002,7,FALSE),"")</f>
        <v/>
      </c>
      <c r="BU320" t="str">
        <f>+IFERROR(VLOOKUP(BU21,IN_Zugliste!$A$4:$F$2002,7,FALSE),"")</f>
        <v/>
      </c>
      <c r="BV320" t="str">
        <f>+IFERROR(VLOOKUP(BV21,IN_Zugliste!$A$4:$F$2002,7,FALSE),"")</f>
        <v/>
      </c>
      <c r="BW320" t="str">
        <f>+IFERROR(VLOOKUP(BW21,IN_Zugliste!$A$4:$F$2002,7,FALSE),"")</f>
        <v/>
      </c>
      <c r="BX320" t="str">
        <f>+IFERROR(VLOOKUP(BX21,IN_Zugliste!$A$4:$F$2002,7,FALSE),"")</f>
        <v/>
      </c>
      <c r="BY320" t="str">
        <f>+IFERROR(VLOOKUP(BY21,IN_Zugliste!$A$4:$F$2002,7,FALSE),"")</f>
        <v/>
      </c>
      <c r="BZ320" t="str">
        <f>+IFERROR(VLOOKUP(BZ21,IN_Zugliste!$A$4:$F$2002,7,FALSE),"")</f>
        <v/>
      </c>
      <c r="CA320" t="str">
        <f>+IFERROR(VLOOKUP(CA21,IN_Zugliste!$A$4:$F$2002,7,FALSE),"")</f>
        <v/>
      </c>
      <c r="CB320" t="str">
        <f>+IFERROR(VLOOKUP(CB21,IN_Zugliste!$A$4:$F$2002,7,FALSE),"")</f>
        <v/>
      </c>
      <c r="CC320" t="str">
        <f>+IFERROR(VLOOKUP(CC21,IN_Zugliste!$A$4:$F$2002,7,FALSE),"")</f>
        <v/>
      </c>
      <c r="CD320" t="str">
        <f>+IFERROR(VLOOKUP(CD21,IN_Zugliste!$A$4:$F$2002,7,FALSE),"")</f>
        <v/>
      </c>
      <c r="CE320" t="str">
        <f>+IFERROR(VLOOKUP(CE21,IN_Zugliste!$A$4:$F$2002,7,FALSE),"")</f>
        <v/>
      </c>
      <c r="CF320" t="str">
        <f>+IFERROR(VLOOKUP(CF21,IN_Zugliste!$A$4:$F$2002,7,FALSE),"")</f>
        <v/>
      </c>
      <c r="CG320" t="str">
        <f>+IFERROR(VLOOKUP(CG21,IN_Zugliste!$A$4:$F$2002,7,FALSE),"")</f>
        <v/>
      </c>
      <c r="CH320" t="str">
        <f>+IFERROR(VLOOKUP(CH21,IN_Zugliste!$A$4:$F$2002,7,FALSE),"")</f>
        <v/>
      </c>
      <c r="CI320" t="str">
        <f>+IFERROR(VLOOKUP(CI21,IN_Zugliste!$A$4:$F$2002,7,FALSE),"")</f>
        <v/>
      </c>
      <c r="CJ320" t="str">
        <f>+IFERROR(VLOOKUP(CJ21,IN_Zugliste!$A$4:$F$2002,7,FALSE),"")</f>
        <v/>
      </c>
      <c r="CK320" t="str">
        <f>+IFERROR(VLOOKUP(CK21,IN_Zugliste!$A$4:$F$2002,7,FALSE),"")</f>
        <v/>
      </c>
      <c r="CL320" t="str">
        <f>+IFERROR(VLOOKUP(CL21,IN_Zugliste!$A$4:$F$2002,7,FALSE),"")</f>
        <v/>
      </c>
      <c r="CM320" t="str">
        <f>+IFERROR(VLOOKUP(CM21,IN_Zugliste!$A$4:$F$2002,7,FALSE),"")</f>
        <v/>
      </c>
      <c r="CN320" t="str">
        <f>+IFERROR(VLOOKUP(CN21,IN_Zugliste!$A$4:$F$2002,7,FALSE),"")</f>
        <v/>
      </c>
      <c r="CO320" t="str">
        <f>+IFERROR(VLOOKUP(CO21,IN_Zugliste!$A$4:$F$2002,7,FALSE),"")</f>
        <v/>
      </c>
      <c r="CP320" t="str">
        <f>+IFERROR(VLOOKUP(CP21,IN_Zugliste!$A$4:$F$2002,7,FALSE),"")</f>
        <v/>
      </c>
      <c r="CQ320" t="str">
        <f>+IFERROR(VLOOKUP(CQ21,IN_Zugliste!$A$4:$F$2002,7,FALSE),"")</f>
        <v/>
      </c>
      <c r="CR320" t="str">
        <f>+IFERROR(VLOOKUP(CR21,IN_Zugliste!$A$4:$F$2002,7,FALSE),"")</f>
        <v/>
      </c>
      <c r="CS320" t="str">
        <f>+IFERROR(VLOOKUP(CS21,IN_Zugliste!$A$4:$F$2002,7,FALSE),"")</f>
        <v/>
      </c>
      <c r="CT320" t="str">
        <f>+IFERROR(VLOOKUP(CT21,IN_Zugliste!$A$4:$F$2002,7,FALSE),"")</f>
        <v/>
      </c>
      <c r="CU320" t="str">
        <f>+IFERROR(VLOOKUP(CU21,IN_Zugliste!$A$4:$F$2002,7,FALSE),"")</f>
        <v/>
      </c>
      <c r="CV320" t="str">
        <f>+IFERROR(VLOOKUP(CV21,IN_Zugliste!$A$4:$F$2002,7,FALSE),"")</f>
        <v/>
      </c>
      <c r="CW320" t="str">
        <f>+IFERROR(VLOOKUP(CW21,IN_Zugliste!$A$4:$F$2002,7,FALSE),"")</f>
        <v/>
      </c>
      <c r="CX320" t="str">
        <f>+IFERROR(VLOOKUP(CX21,IN_Zugliste!$A$4:$F$2002,7,FALSE),"")</f>
        <v/>
      </c>
      <c r="CY320" t="str">
        <f>+IFERROR(VLOOKUP(CY21,IN_Zugliste!$A$4:$F$2002,7,FALSE),"")</f>
        <v/>
      </c>
      <c r="CZ320" t="str">
        <f>+IFERROR(VLOOKUP(CZ21,IN_Zugliste!$A$4:$F$2002,7,FALSE),"")</f>
        <v/>
      </c>
      <c r="DA320" t="str">
        <f>+IFERROR(VLOOKUP(DA21,IN_Zugliste!$A$4:$F$2002,7,FALSE),"")</f>
        <v/>
      </c>
      <c r="DB320" t="str">
        <f>+IFERROR(VLOOKUP(DB21,IN_Zugliste!$A$4:$F$2002,7,FALSE),"")</f>
        <v/>
      </c>
      <c r="DC320" t="str">
        <f>+IFERROR(VLOOKUP(DC21,IN_Zugliste!$A$4:$F$2002,7,FALSE),"")</f>
        <v/>
      </c>
      <c r="DD320" t="str">
        <f>+IFERROR(VLOOKUP(DD21,IN_Zugliste!$A$4:$F$2002,7,FALSE),"")</f>
        <v/>
      </c>
      <c r="DE320" t="str">
        <f>+IFERROR(VLOOKUP(DE21,IN_Zugliste!$A$4:$F$2002,7,FALSE),"")</f>
        <v/>
      </c>
      <c r="DF320" t="str">
        <f>+IFERROR(VLOOKUP(DF21,IN_Zugliste!$A$4:$F$2002,7,FALSE),"")</f>
        <v/>
      </c>
      <c r="DG320" t="str">
        <f>+IFERROR(VLOOKUP(DG21,IN_Zugliste!$A$4:$F$2002,7,FALSE),"")</f>
        <v/>
      </c>
      <c r="DH320" t="str">
        <f>+IFERROR(VLOOKUP(DH21,IN_Zugliste!$A$4:$F$2002,7,FALSE),"")</f>
        <v/>
      </c>
      <c r="DI320" t="str">
        <f>+IFERROR(VLOOKUP(DI21,IN_Zugliste!$A$4:$F$2002,7,FALSE),"")</f>
        <v/>
      </c>
      <c r="DJ320" t="str">
        <f>+IFERROR(VLOOKUP(DJ21,IN_Zugliste!$A$4:$F$2002,7,FALSE),"")</f>
        <v/>
      </c>
      <c r="DK320" t="str">
        <f>+IFERROR(VLOOKUP(DK21,IN_Zugliste!$A$4:$F$2002,7,FALSE),"")</f>
        <v/>
      </c>
      <c r="DL320" t="str">
        <f>+IFERROR(VLOOKUP(DL21,IN_Zugliste!$A$4:$F$2002,7,FALSE),"")</f>
        <v/>
      </c>
      <c r="DM320" t="str">
        <f>+IFERROR(VLOOKUP(DM21,IN_Zugliste!$A$4:$F$2002,7,FALSE),"")</f>
        <v/>
      </c>
      <c r="DN320" t="str">
        <f>+IFERROR(VLOOKUP(DN21,IN_Zugliste!$A$4:$F$2002,7,FALSE),"")</f>
        <v/>
      </c>
      <c r="DO320" t="str">
        <f>+IFERROR(VLOOKUP(DO21,IN_Zugliste!$A$4:$F$2002,7,FALSE),"")</f>
        <v/>
      </c>
      <c r="DP320" t="str">
        <f>+IFERROR(VLOOKUP(DP21,IN_Zugliste!$A$4:$F$2002,7,FALSE),"")</f>
        <v/>
      </c>
      <c r="DQ320" t="str">
        <f>+IFERROR(VLOOKUP(DQ21,IN_Zugliste!$A$4:$F$2002,7,FALSE),"")</f>
        <v/>
      </c>
      <c r="DR320" t="str">
        <f>+IFERROR(VLOOKUP(DR21,IN_Zugliste!$A$4:$F$2002,7,FALSE),"")</f>
        <v/>
      </c>
      <c r="DS320" t="str">
        <f>+IFERROR(VLOOKUP(DS21,IN_Zugliste!$A$4:$F$2002,7,FALSE),"")</f>
        <v/>
      </c>
      <c r="DT320" t="str">
        <f>+IFERROR(VLOOKUP(DT21,IN_Zugliste!$A$4:$F$2002,7,FALSE),"")</f>
        <v/>
      </c>
      <c r="DU320" t="str">
        <f>+IFERROR(VLOOKUP(DU21,IN_Zugliste!$A$4:$F$2002,7,FALSE),"")</f>
        <v/>
      </c>
      <c r="DV320" t="str">
        <f>+IFERROR(VLOOKUP(DV21,IN_Zugliste!$A$4:$F$2002,7,FALSE),"")</f>
        <v/>
      </c>
      <c r="DW320" t="str">
        <f>+IFERROR(VLOOKUP(DW21,IN_Zugliste!$A$4:$F$2002,7,FALSE),"")</f>
        <v/>
      </c>
      <c r="DX320" t="str">
        <f>+IFERROR(VLOOKUP(DX21,IN_Zugliste!$A$4:$F$2002,7,FALSE),"")</f>
        <v/>
      </c>
      <c r="DY320" t="str">
        <f>+IFERROR(VLOOKUP(DY21,IN_Zugliste!$A$4:$F$2002,7,FALSE),"")</f>
        <v/>
      </c>
      <c r="DZ320" t="str">
        <f>+IFERROR(VLOOKUP(DZ21,IN_Zugliste!$A$4:$F$2002,7,FALSE),"")</f>
        <v/>
      </c>
      <c r="EA320" t="str">
        <f>+IFERROR(VLOOKUP(EA21,IN_Zugliste!$A$4:$F$2002,7,FALSE),"")</f>
        <v/>
      </c>
      <c r="EB320" t="str">
        <f>+IFERROR(VLOOKUP(EB21,IN_Zugliste!$A$4:$F$2002,7,FALSE),"")</f>
        <v/>
      </c>
      <c r="EC320" t="str">
        <f>+IFERROR(VLOOKUP(EC21,IN_Zugliste!$A$4:$F$2002,7,FALSE),"")</f>
        <v/>
      </c>
      <c r="ED320" t="str">
        <f>+IFERROR(VLOOKUP(ED21,IN_Zugliste!$A$4:$F$2002,7,FALSE),"")</f>
        <v/>
      </c>
      <c r="EE320" t="str">
        <f>+IFERROR(VLOOKUP(EE21,IN_Zugliste!$A$4:$F$2002,7,FALSE),"")</f>
        <v/>
      </c>
      <c r="EF320" t="str">
        <f>+IFERROR(VLOOKUP(EF21,IN_Zugliste!$A$4:$F$2002,7,FALSE),"")</f>
        <v/>
      </c>
      <c r="EG320" t="str">
        <f>+IFERROR(VLOOKUP(EG21,IN_Zugliste!$A$4:$F$2002,7,FALSE),"")</f>
        <v/>
      </c>
      <c r="EH320" t="str">
        <f>+IFERROR(VLOOKUP(EH21,IN_Zugliste!$A$4:$F$2002,7,FALSE),"")</f>
        <v/>
      </c>
      <c r="EI320" t="str">
        <f>+IFERROR(VLOOKUP(EI21,IN_Zugliste!$A$4:$F$2002,7,FALSE),"")</f>
        <v/>
      </c>
      <c r="EJ320" t="str">
        <f>+IFERROR(VLOOKUP(EJ21,IN_Zugliste!$A$4:$F$2002,7,FALSE),"")</f>
        <v/>
      </c>
      <c r="EK320" t="str">
        <f>+IFERROR(VLOOKUP(EK21,IN_Zugliste!$A$4:$F$2002,7,FALSE),"")</f>
        <v/>
      </c>
      <c r="EL320" t="str">
        <f>+IFERROR(VLOOKUP(EL21,IN_Zugliste!$A$4:$F$2002,7,FALSE),"")</f>
        <v/>
      </c>
      <c r="EM320" t="str">
        <f>+IFERROR(VLOOKUP(EM21,IN_Zugliste!$A$4:$F$2002,7,FALSE),"")</f>
        <v/>
      </c>
      <c r="EN320" t="str">
        <f>+IFERROR(VLOOKUP(EN21,IN_Zugliste!$A$4:$F$2002,7,FALSE),"")</f>
        <v/>
      </c>
      <c r="EO320" t="str">
        <f>+IFERROR(VLOOKUP(EO21,IN_Zugliste!$A$4:$F$2002,7,FALSE),"")</f>
        <v/>
      </c>
      <c r="EP320" t="str">
        <f>+IFERROR(VLOOKUP(EP21,IN_Zugliste!$A$4:$F$2002,7,FALSE),"")</f>
        <v/>
      </c>
      <c r="EQ320" t="str">
        <f>+IFERROR(VLOOKUP(EQ21,IN_Zugliste!$A$4:$F$2002,7,FALSE),"")</f>
        <v/>
      </c>
      <c r="ER320" t="str">
        <f>+IFERROR(VLOOKUP(ER21,IN_Zugliste!$A$4:$F$2002,7,FALSE),"")</f>
        <v/>
      </c>
      <c r="ES320" t="str">
        <f>+IFERROR(VLOOKUP(ES21,IN_Zugliste!$A$4:$F$2002,7,FALSE),"")</f>
        <v/>
      </c>
      <c r="ET320" t="str">
        <f>+IFERROR(VLOOKUP(ET21,IN_Zugliste!$A$4:$F$2002,7,FALSE),"")</f>
        <v/>
      </c>
      <c r="EU320" t="str">
        <f>+IFERROR(VLOOKUP(EU21,IN_Zugliste!$A$4:$F$2002,7,FALSE),"")</f>
        <v/>
      </c>
      <c r="EV320" t="str">
        <f>+IFERROR(VLOOKUP(EV21,IN_Zugliste!$A$4:$F$2002,7,FALSE),"")</f>
        <v/>
      </c>
      <c r="EW320" t="str">
        <f>+IFERROR(VLOOKUP(EW21,IN_Zugliste!$A$4:$F$2002,7,FALSE),"")</f>
        <v/>
      </c>
      <c r="EX320" t="str">
        <f>+IFERROR(VLOOKUP(EX21,IN_Zugliste!$A$4:$F$2002,7,FALSE),"")</f>
        <v/>
      </c>
      <c r="EY320" t="str">
        <f>+IFERROR(VLOOKUP(EY21,IN_Zugliste!$A$4:$F$2002,7,FALSE),"")</f>
        <v/>
      </c>
      <c r="EZ320" t="str">
        <f>+IFERROR(VLOOKUP(EZ21,IN_Zugliste!$A$4:$F$2002,7,FALSE),"")</f>
        <v/>
      </c>
      <c r="FA320" t="str">
        <f>+IFERROR(VLOOKUP(FA21,IN_Zugliste!$A$4:$F$2002,7,FALSE),"")</f>
        <v/>
      </c>
      <c r="FB320" t="str">
        <f>+IFERROR(VLOOKUP(FB21,IN_Zugliste!$A$4:$F$2002,7,FALSE),"")</f>
        <v/>
      </c>
      <c r="FC320" t="str">
        <f>+IFERROR(VLOOKUP(FC21,IN_Zugliste!$A$4:$F$2002,7,FALSE),"")</f>
        <v/>
      </c>
      <c r="FD320" t="str">
        <f>+IFERROR(VLOOKUP(FD21,IN_Zugliste!$A$4:$F$2002,7,FALSE),"")</f>
        <v/>
      </c>
      <c r="FE320" t="str">
        <f>+IFERROR(VLOOKUP(FE21,IN_Zugliste!$A$4:$F$2002,7,FALSE),"")</f>
        <v/>
      </c>
      <c r="FF320" t="str">
        <f>+IFERROR(VLOOKUP(FF21,IN_Zugliste!$A$4:$F$2002,7,FALSE),"")</f>
        <v/>
      </c>
      <c r="FG320" t="str">
        <f>+IFERROR(VLOOKUP(FG21,IN_Zugliste!$A$4:$F$2002,7,FALSE),"")</f>
        <v/>
      </c>
      <c r="FH320" t="str">
        <f>+IFERROR(VLOOKUP(FH21,IN_Zugliste!$A$4:$F$2002,7,FALSE),"")</f>
        <v/>
      </c>
      <c r="FI320" t="str">
        <f>+IFERROR(VLOOKUP(FI21,IN_Zugliste!$A$4:$F$2002,7,FALSE),"")</f>
        <v/>
      </c>
      <c r="FJ320" t="str">
        <f>+IFERROR(VLOOKUP(FJ21,IN_Zugliste!$A$4:$F$2002,7,FALSE),"")</f>
        <v/>
      </c>
      <c r="FK320" t="str">
        <f>+IFERROR(VLOOKUP(FK21,IN_Zugliste!$A$4:$F$2002,7,FALSE),"")</f>
        <v/>
      </c>
      <c r="FL320" t="str">
        <f>+IFERROR(VLOOKUP(FL21,IN_Zugliste!$A$4:$F$2002,7,FALSE),"")</f>
        <v/>
      </c>
      <c r="FM320" t="str">
        <f>+IFERROR(VLOOKUP(FM21,IN_Zugliste!$A$4:$F$2002,7,FALSE),"")</f>
        <v/>
      </c>
      <c r="FN320" t="str">
        <f>+IFERROR(VLOOKUP(FN21,IN_Zugliste!$A$4:$F$2002,7,FALSE),"")</f>
        <v/>
      </c>
      <c r="FO320" t="str">
        <f>+IFERROR(VLOOKUP(FO21,IN_Zugliste!$A$4:$F$2002,7,FALSE),"")</f>
        <v/>
      </c>
      <c r="FP320" t="str">
        <f>+IFERROR(VLOOKUP(FP21,IN_Zugliste!$A$4:$F$2002,7,FALSE),"")</f>
        <v/>
      </c>
      <c r="FQ320" t="str">
        <f>+IFERROR(VLOOKUP(FQ21,IN_Zugliste!$A$4:$F$2002,7,FALSE),"")</f>
        <v/>
      </c>
      <c r="FR320" t="str">
        <f>+IFERROR(VLOOKUP(FR21,IN_Zugliste!$A$4:$F$2002,7,FALSE),"")</f>
        <v/>
      </c>
      <c r="FS320" t="str">
        <f>+IFERROR(VLOOKUP(FS21,IN_Zugliste!$A$4:$F$2002,7,FALSE),"")</f>
        <v/>
      </c>
      <c r="FT320" t="str">
        <f>+IFERROR(VLOOKUP(FT21,IN_Zugliste!$A$4:$F$2002,7,FALSE),"")</f>
        <v/>
      </c>
      <c r="FU320" t="str">
        <f>+IFERROR(VLOOKUP(FU21,IN_Zugliste!$A$4:$F$2002,7,FALSE),"")</f>
        <v/>
      </c>
      <c r="FV320" t="str">
        <f>+IFERROR(VLOOKUP(FV21,IN_Zugliste!$A$4:$F$2002,7,FALSE),"")</f>
        <v/>
      </c>
      <c r="FW320" t="str">
        <f>+IFERROR(VLOOKUP(FW21,IN_Zugliste!$A$4:$F$2002,7,FALSE),"")</f>
        <v/>
      </c>
      <c r="FX320" t="str">
        <f>+IFERROR(VLOOKUP(FX21,IN_Zugliste!$A$4:$F$2002,7,FALSE),"")</f>
        <v/>
      </c>
      <c r="FY320" t="str">
        <f>+IFERROR(VLOOKUP(FY21,IN_Zugliste!$A$4:$F$2002,7,FALSE),"")</f>
        <v/>
      </c>
      <c r="FZ320" t="str">
        <f>+IFERROR(VLOOKUP(FZ21,IN_Zugliste!$A$4:$F$2002,7,FALSE),"")</f>
        <v/>
      </c>
      <c r="GA320" t="str">
        <f>+IFERROR(VLOOKUP(GA21,IN_Zugliste!$A$4:$F$2002,7,FALSE),"")</f>
        <v/>
      </c>
      <c r="GB320" t="str">
        <f>+IFERROR(VLOOKUP(GB21,IN_Zugliste!$A$4:$F$2002,7,FALSE),"")</f>
        <v/>
      </c>
      <c r="GC320" t="str">
        <f>+IFERROR(VLOOKUP(GC21,IN_Zugliste!$A$4:$F$2002,7,FALSE),"")</f>
        <v/>
      </c>
      <c r="GD320" t="str">
        <f>+IFERROR(VLOOKUP(GD21,IN_Zugliste!$A$4:$F$2002,7,FALSE),"")</f>
        <v/>
      </c>
      <c r="GE320" t="str">
        <f>+IFERROR(VLOOKUP(GE21,IN_Zugliste!$A$4:$F$2002,7,FALSE),"")</f>
        <v/>
      </c>
      <c r="GF320" t="str">
        <f>+IFERROR(VLOOKUP(GF21,IN_Zugliste!$A$4:$F$2002,7,FALSE),"")</f>
        <v/>
      </c>
      <c r="GG320" t="str">
        <f>+IFERROR(VLOOKUP(GG21,IN_Zugliste!$A$4:$F$2002,7,FALSE),"")</f>
        <v/>
      </c>
      <c r="GH320" t="str">
        <f>+IFERROR(VLOOKUP(GH21,IN_Zugliste!$A$4:$F$2002,7,FALSE),"")</f>
        <v/>
      </c>
      <c r="GI320" t="str">
        <f>+IFERROR(VLOOKUP(GI21,IN_Zugliste!$A$4:$F$2002,7,FALSE),"")</f>
        <v/>
      </c>
      <c r="GJ320" t="str">
        <f>+IFERROR(VLOOKUP(GJ21,IN_Zugliste!$A$4:$F$2002,7,FALSE),"")</f>
        <v/>
      </c>
      <c r="GK320" t="str">
        <f>+IFERROR(VLOOKUP(GK21,IN_Zugliste!$A$4:$F$2002,7,FALSE),"")</f>
        <v/>
      </c>
      <c r="GL320" t="str">
        <f>+IFERROR(VLOOKUP(GL21,IN_Zugliste!$A$4:$F$2002,7,FALSE),"")</f>
        <v/>
      </c>
      <c r="GM320" t="str">
        <f>+IFERROR(VLOOKUP(GM21,IN_Zugliste!$A$4:$F$2002,7,FALSE),"")</f>
        <v/>
      </c>
      <c r="GN320" t="str">
        <f>+IFERROR(VLOOKUP(GN21,IN_Zugliste!$A$4:$F$2002,7,FALSE),"")</f>
        <v/>
      </c>
      <c r="GO320" t="str">
        <f>+IFERROR(VLOOKUP(GO21,IN_Zugliste!$A$4:$F$2002,7,FALSE),"")</f>
        <v/>
      </c>
      <c r="GP320" t="str">
        <f>+IFERROR(VLOOKUP(GP21,IN_Zugliste!$A$4:$F$2002,7,FALSE),"")</f>
        <v/>
      </c>
      <c r="GQ320" t="str">
        <f>+IFERROR(VLOOKUP(GQ21,IN_Zugliste!$A$4:$F$2002,7,FALSE),"")</f>
        <v/>
      </c>
      <c r="GR320" t="str">
        <f>+IFERROR(VLOOKUP(GR21,IN_Zugliste!$A$4:$F$2002,7,FALSE),"")</f>
        <v/>
      </c>
      <c r="GS320" t="str">
        <f>+IFERROR(VLOOKUP(GS21,IN_Zugliste!$A$4:$F$2002,7,FALSE),"")</f>
        <v/>
      </c>
      <c r="GT320" t="str">
        <f>+IFERROR(VLOOKUP(GT21,IN_Zugliste!$A$4:$F$2002,7,FALSE),"")</f>
        <v/>
      </c>
      <c r="GU320" t="str">
        <f>+IFERROR(VLOOKUP(GU21,IN_Zugliste!$A$4:$F$2002,7,FALSE),"")</f>
        <v/>
      </c>
      <c r="GV320" t="str">
        <f>+IFERROR(VLOOKUP(GV21,IN_Zugliste!$A$4:$F$2002,7,FALSE),"")</f>
        <v/>
      </c>
      <c r="GW320" t="str">
        <f>+IFERROR(VLOOKUP(GW21,IN_Zugliste!$A$4:$F$2002,7,FALSE),"")</f>
        <v/>
      </c>
      <c r="GX320" t="str">
        <f>+IFERROR(VLOOKUP(GX21,IN_Zugliste!$A$4:$F$2002,7,FALSE),"")</f>
        <v/>
      </c>
      <c r="GY320" t="str">
        <f>+IFERROR(VLOOKUP(GY21,IN_Zugliste!$A$4:$F$2002,7,FALSE),"")</f>
        <v/>
      </c>
      <c r="GZ320" t="str">
        <f>+IFERROR(VLOOKUP(GZ21,IN_Zugliste!$A$4:$F$2002,7,FALSE),"")</f>
        <v/>
      </c>
      <c r="HA320" t="str">
        <f>+IFERROR(VLOOKUP(HA21,IN_Zugliste!$A$4:$F$2002,7,FALSE),"")</f>
        <v/>
      </c>
      <c r="HB320" t="str">
        <f>+IFERROR(VLOOKUP(HB21,IN_Zugliste!$A$4:$F$2002,7,FALSE),"")</f>
        <v/>
      </c>
      <c r="HC320" t="str">
        <f>+IFERROR(VLOOKUP(HC21,IN_Zugliste!$A$4:$F$2002,7,FALSE),"")</f>
        <v/>
      </c>
      <c r="HD320" t="str">
        <f>+IFERROR(VLOOKUP(HD21,IN_Zugliste!$A$4:$F$2002,7,FALSE),"")</f>
        <v/>
      </c>
      <c r="HE320" t="str">
        <f>+IFERROR(VLOOKUP(HE21,IN_Zugliste!$A$4:$F$2002,7,FALSE),"")</f>
        <v/>
      </c>
      <c r="HF320" t="str">
        <f>+IFERROR(VLOOKUP(HF21,IN_Zugliste!$A$4:$F$2002,7,FALSE),"")</f>
        <v/>
      </c>
      <c r="HG320" t="str">
        <f>+IFERROR(VLOOKUP(HG21,IN_Zugliste!$A$4:$F$2002,7,FALSE),"")</f>
        <v/>
      </c>
      <c r="HH320" t="str">
        <f>+IFERROR(VLOOKUP(HH21,IN_Zugliste!$A$4:$F$2002,7,FALSE),"")</f>
        <v/>
      </c>
      <c r="HI320" t="str">
        <f>+IFERROR(VLOOKUP(HI21,IN_Zugliste!$A$4:$F$2002,7,FALSE),"")</f>
        <v/>
      </c>
      <c r="HJ320" t="str">
        <f>+IFERROR(VLOOKUP(HJ21,IN_Zugliste!$A$4:$F$2002,7,FALSE),"")</f>
        <v/>
      </c>
      <c r="HK320" t="str">
        <f>+IFERROR(VLOOKUP(HK21,IN_Zugliste!$A$4:$F$2002,7,FALSE),"")</f>
        <v/>
      </c>
      <c r="HL320" t="str">
        <f>+IFERROR(VLOOKUP(HL21,IN_Zugliste!$A$4:$F$2002,7,FALSE),"")</f>
        <v/>
      </c>
      <c r="HM320" t="str">
        <f>+IFERROR(VLOOKUP(HM21,IN_Zugliste!$A$4:$F$2002,7,FALSE),"")</f>
        <v/>
      </c>
      <c r="HN320" t="str">
        <f>+IFERROR(VLOOKUP(HN21,IN_Zugliste!$A$4:$F$2002,7,FALSE),"")</f>
        <v/>
      </c>
      <c r="HO320" t="str">
        <f>+IFERROR(VLOOKUP(HO21,IN_Zugliste!$A$4:$F$2002,7,FALSE),"")</f>
        <v/>
      </c>
      <c r="HP320" t="str">
        <f>+IFERROR(VLOOKUP(HP21,IN_Zugliste!$A$4:$F$2002,7,FALSE),"")</f>
        <v/>
      </c>
      <c r="HQ320" t="str">
        <f>+IFERROR(VLOOKUP(HQ21,IN_Zugliste!$A$4:$F$2002,7,FALSE),"")</f>
        <v/>
      </c>
      <c r="HR320" t="str">
        <f>+IFERROR(VLOOKUP(HR21,IN_Zugliste!$A$4:$F$2002,7,FALSE),"")</f>
        <v/>
      </c>
      <c r="HS320" t="str">
        <f>+IFERROR(VLOOKUP(HS21,IN_Zugliste!$A$4:$F$2002,7,FALSE),"")</f>
        <v/>
      </c>
      <c r="HT320" t="str">
        <f>+IFERROR(VLOOKUP(HT21,IN_Zugliste!$A$4:$F$2002,7,FALSE),"")</f>
        <v/>
      </c>
      <c r="HU320" t="str">
        <f>+IFERROR(VLOOKUP(HU21,IN_Zugliste!$A$4:$F$2002,7,FALSE),"")</f>
        <v/>
      </c>
      <c r="HV320" t="str">
        <f>+IFERROR(VLOOKUP(HV21,IN_Zugliste!$A$4:$F$2002,7,FALSE),"")</f>
        <v/>
      </c>
      <c r="HW320" t="str">
        <f>+IFERROR(VLOOKUP(HW21,IN_Zugliste!$A$4:$F$2002,7,FALSE),"")</f>
        <v/>
      </c>
      <c r="HX320" t="str">
        <f>+IFERROR(VLOOKUP(HX21,IN_Zugliste!$A$4:$F$2002,7,FALSE),"")</f>
        <v/>
      </c>
      <c r="HY320" t="str">
        <f>+IFERROR(VLOOKUP(HY21,IN_Zugliste!$A$4:$F$2002,7,FALSE),"")</f>
        <v/>
      </c>
      <c r="HZ320" t="str">
        <f>+IFERROR(VLOOKUP(HZ21,IN_Zugliste!$A$4:$F$2002,7,FALSE),"")</f>
        <v/>
      </c>
      <c r="IA320" t="str">
        <f>+IFERROR(VLOOKUP(IA21,IN_Zugliste!$A$4:$F$2002,7,FALSE),"")</f>
        <v/>
      </c>
      <c r="IB320" t="str">
        <f>+IFERROR(VLOOKUP(IB21,IN_Zugliste!$A$4:$F$2002,7,FALSE),"")</f>
        <v/>
      </c>
      <c r="IC320" t="str">
        <f>+IFERROR(VLOOKUP(IC21,IN_Zugliste!$A$4:$F$2002,7,FALSE),"")</f>
        <v/>
      </c>
      <c r="ID320" t="str">
        <f>+IFERROR(VLOOKUP(ID21,IN_Zugliste!$A$4:$F$2002,7,FALSE),"")</f>
        <v/>
      </c>
      <c r="IE320" t="str">
        <f>+IFERROR(VLOOKUP(IE21,IN_Zugliste!$A$4:$F$2002,7,FALSE),"")</f>
        <v/>
      </c>
      <c r="IF320" t="str">
        <f>+IFERROR(VLOOKUP(IF21,IN_Zugliste!$A$4:$F$2002,7,FALSE),"")</f>
        <v/>
      </c>
      <c r="IG320" t="str">
        <f>+IFERROR(VLOOKUP(IG21,IN_Zugliste!$A$4:$F$2002,7,FALSE),"")</f>
        <v/>
      </c>
      <c r="IH320" t="str">
        <f>+IFERROR(VLOOKUP(IH21,IN_Zugliste!$A$4:$F$2002,7,FALSE),"")</f>
        <v/>
      </c>
      <c r="II320" t="str">
        <f>+IFERROR(VLOOKUP(II21,IN_Zugliste!$A$4:$F$2002,7,FALSE),"")</f>
        <v/>
      </c>
      <c r="IJ320" t="str">
        <f>+IFERROR(VLOOKUP(IJ21,IN_Zugliste!$A$4:$F$2002,7,FALSE),"")</f>
        <v/>
      </c>
      <c r="IK320" t="str">
        <f>+IFERROR(VLOOKUP(IK21,IN_Zugliste!$A$4:$F$2002,7,FALSE),"")</f>
        <v/>
      </c>
      <c r="IL320" t="str">
        <f>+IFERROR(VLOOKUP(IL21,IN_Zugliste!$A$4:$F$2002,7,FALSE),"")</f>
        <v/>
      </c>
      <c r="IM320" t="str">
        <f>+IFERROR(VLOOKUP(IM21,IN_Zugliste!$A$4:$F$2002,7,FALSE),"")</f>
        <v/>
      </c>
      <c r="IN320" t="str">
        <f>+IFERROR(VLOOKUP(IN21,IN_Zugliste!$A$4:$F$2002,7,FALSE),"")</f>
        <v/>
      </c>
      <c r="IO320" t="str">
        <f>+IFERROR(VLOOKUP(IO21,IN_Zugliste!$A$4:$F$2002,7,FALSE),"")</f>
        <v/>
      </c>
      <c r="IP320" t="str">
        <f>+IFERROR(VLOOKUP(IP21,IN_Zugliste!$A$4:$F$2002,7,FALSE),"")</f>
        <v/>
      </c>
      <c r="IQ320" t="str">
        <f>+IFERROR(VLOOKUP(IQ21,IN_Zugliste!$A$4:$F$2002,7,FALSE),"")</f>
        <v/>
      </c>
      <c r="IR320" t="str">
        <f>+IFERROR(VLOOKUP(IR21,IN_Zugliste!$A$4:$F$2002,7,FALSE),"")</f>
        <v/>
      </c>
      <c r="IS320" t="str">
        <f>+IFERROR(VLOOKUP(IS21,IN_Zugliste!$A$4:$F$2002,7,FALSE),"")</f>
        <v/>
      </c>
      <c r="IT320" t="str">
        <f>+IFERROR(VLOOKUP(IT21,IN_Zugliste!$A$4:$F$2002,7,FALSE),"")</f>
        <v/>
      </c>
      <c r="IU320" t="str">
        <f>+IFERROR(VLOOKUP(IU21,IN_Zugliste!$A$4:$F$2002,7,FALSE),"")</f>
        <v/>
      </c>
      <c r="IV320" t="str">
        <f>+IFERROR(VLOOKUP(IV21,IN_Zugliste!$A$4:$F$2002,7,FALSE),"")</f>
        <v/>
      </c>
      <c r="IW320" t="str">
        <f>+IFERROR(VLOOKUP(IW21,IN_Zugliste!$A$4:$F$2002,7,FALSE),"")</f>
        <v/>
      </c>
      <c r="IX320" t="str">
        <f>+IFERROR(VLOOKUP(IX21,IN_Zugliste!$A$4:$F$2002,7,FALSE),"")</f>
        <v/>
      </c>
      <c r="IY320" t="str">
        <f>+IFERROR(VLOOKUP(IY21,IN_Zugliste!$A$4:$F$2002,7,FALSE),"")</f>
        <v/>
      </c>
      <c r="IZ320" t="str">
        <f>+IFERROR(VLOOKUP(IZ21,IN_Zugliste!$A$4:$F$2002,7,FALSE),"")</f>
        <v/>
      </c>
      <c r="JA320" t="str">
        <f>+IFERROR(VLOOKUP(JA21,IN_Zugliste!$A$4:$F$2002,7,FALSE),"")</f>
        <v/>
      </c>
      <c r="JB320" t="str">
        <f>+IFERROR(VLOOKUP(JB21,IN_Zugliste!$A$4:$F$2002,7,FALSE),"")</f>
        <v/>
      </c>
      <c r="JC320" t="str">
        <f>+IFERROR(VLOOKUP(JC21,IN_Zugliste!$A$4:$F$2002,7,FALSE),"")</f>
        <v/>
      </c>
      <c r="JD320" t="str">
        <f>+IFERROR(VLOOKUP(JD21,IN_Zugliste!$A$4:$F$2002,7,FALSE),"")</f>
        <v/>
      </c>
      <c r="JE320" t="str">
        <f>+IFERROR(VLOOKUP(JE21,IN_Zugliste!$A$4:$F$2002,7,FALSE),"")</f>
        <v/>
      </c>
      <c r="JF320" t="str">
        <f>+IFERROR(VLOOKUP(JF21,IN_Zugliste!$A$4:$F$2002,7,FALSE),"")</f>
        <v/>
      </c>
      <c r="JG320" t="str">
        <f>+IFERROR(VLOOKUP(JG21,IN_Zugliste!$A$4:$F$2002,7,FALSE),"")</f>
        <v/>
      </c>
      <c r="JH320" t="str">
        <f>+IFERROR(VLOOKUP(JH21,IN_Zugliste!$A$4:$F$2002,7,FALSE),"")</f>
        <v/>
      </c>
      <c r="JI320" t="str">
        <f>+IFERROR(VLOOKUP(JI21,IN_Zugliste!$A$4:$F$2002,7,FALSE),"")</f>
        <v/>
      </c>
      <c r="JJ320" t="str">
        <f>+IFERROR(VLOOKUP(JJ21,IN_Zugliste!$A$4:$F$2002,7,FALSE),"")</f>
        <v/>
      </c>
    </row>
    <row r="321" spans="1:270" x14ac:dyDescent="0.2">
      <c r="A321" t="str">
        <f>+IFERROR(VLOOKUP(A22,IN_Zugliste!$A$4:$F$2002,7,FALSE),"")</f>
        <v/>
      </c>
      <c r="B321" t="str">
        <f>+IFERROR(VLOOKUP(B22,IN_Zugliste!$A$4:$F$2002,7,FALSE),"")</f>
        <v/>
      </c>
      <c r="C321" t="str">
        <f>+IFERROR(VLOOKUP(C22,IN_Zugliste!$A$4:$F$2002,7,FALSE),"")</f>
        <v/>
      </c>
      <c r="D321" t="str">
        <f>+IFERROR(VLOOKUP(D22,IN_Zugliste!$A$4:$F$2002,7,FALSE),"")</f>
        <v/>
      </c>
      <c r="E321" t="str">
        <f>+IFERROR(VLOOKUP(E22,IN_Zugliste!$A$4:$F$2002,7,FALSE),"")</f>
        <v/>
      </c>
      <c r="F321" t="str">
        <f>+IFERROR(VLOOKUP(F22,IN_Zugliste!$A$4:$F$2002,7,FALSE),"")</f>
        <v/>
      </c>
      <c r="G321" t="str">
        <f>+IFERROR(VLOOKUP(G22,IN_Zugliste!$A$4:$F$2002,7,FALSE),"")</f>
        <v/>
      </c>
      <c r="H321" t="str">
        <f>+IFERROR(VLOOKUP(H22,IN_Zugliste!$A$4:$F$2002,7,FALSE),"")</f>
        <v/>
      </c>
      <c r="I321" t="str">
        <f>+IFERROR(VLOOKUP(I22,IN_Zugliste!$A$4:$F$2002,7,FALSE),"")</f>
        <v/>
      </c>
      <c r="J321" t="str">
        <f>+IFERROR(VLOOKUP(J22,IN_Zugliste!$A$4:$F$2002,7,FALSE),"")</f>
        <v/>
      </c>
      <c r="K321" t="str">
        <f>+IFERROR(VLOOKUP(K22,IN_Zugliste!$A$4:$F$2002,7,FALSE),"")</f>
        <v/>
      </c>
      <c r="L321" t="str">
        <f>+IFERROR(VLOOKUP(L22,IN_Zugliste!$A$4:$F$2002,7,FALSE),"")</f>
        <v/>
      </c>
      <c r="M321" t="str">
        <f>+IFERROR(VLOOKUP(M22,IN_Zugliste!$A$4:$F$2002,7,FALSE),"")</f>
        <v/>
      </c>
      <c r="N321" t="str">
        <f>+IFERROR(VLOOKUP(N22,IN_Zugliste!$A$4:$F$2002,7,FALSE),"")</f>
        <v/>
      </c>
      <c r="O321" t="str">
        <f>+IFERROR(VLOOKUP(O22,IN_Zugliste!$A$4:$F$2002,7,FALSE),"")</f>
        <v/>
      </c>
      <c r="P321" t="str">
        <f>+IFERROR(VLOOKUP(P22,IN_Zugliste!$A$4:$F$2002,7,FALSE),"")</f>
        <v/>
      </c>
      <c r="Q321" t="str">
        <f>+IFERROR(VLOOKUP(Q22,IN_Zugliste!$A$4:$F$2002,7,FALSE),"")</f>
        <v/>
      </c>
      <c r="R321" t="str">
        <f>+IFERROR(VLOOKUP(R22,IN_Zugliste!$A$4:$F$2002,7,FALSE),"")</f>
        <v/>
      </c>
      <c r="S321" t="str">
        <f>+IFERROR(VLOOKUP(S22,IN_Zugliste!$A$4:$F$2002,7,FALSE),"")</f>
        <v/>
      </c>
      <c r="T321" t="str">
        <f>+IFERROR(VLOOKUP(T22,IN_Zugliste!$A$4:$F$2002,7,FALSE),"")</f>
        <v/>
      </c>
      <c r="U321" t="str">
        <f>+IFERROR(VLOOKUP(U22,IN_Zugliste!$A$4:$F$2002,7,FALSE),"")</f>
        <v/>
      </c>
      <c r="V321" t="str">
        <f>+IFERROR(VLOOKUP(V22,IN_Zugliste!$A$4:$F$2002,7,FALSE),"")</f>
        <v/>
      </c>
      <c r="W321" t="str">
        <f>+IFERROR(VLOOKUP(W22,IN_Zugliste!$A$4:$F$2002,7,FALSE),"")</f>
        <v/>
      </c>
      <c r="X321" t="str">
        <f>+IFERROR(VLOOKUP(X22,IN_Zugliste!$A$4:$F$2002,7,FALSE),"")</f>
        <v/>
      </c>
      <c r="Y321" t="str">
        <f>+IFERROR(VLOOKUP(Y22,IN_Zugliste!$A$4:$F$2002,7,FALSE),"")</f>
        <v/>
      </c>
      <c r="Z321" t="str">
        <f>+IFERROR(VLOOKUP(Z22,IN_Zugliste!$A$4:$F$2002,7,FALSE),"")</f>
        <v/>
      </c>
      <c r="AA321" t="str">
        <f>+IFERROR(VLOOKUP(AA22,IN_Zugliste!$A$4:$F$2002,7,FALSE),"")</f>
        <v/>
      </c>
      <c r="AB321" t="str">
        <f>+IFERROR(VLOOKUP(AB22,IN_Zugliste!$A$4:$F$2002,7,FALSE),"")</f>
        <v/>
      </c>
      <c r="AC321" t="str">
        <f>+IFERROR(VLOOKUP(AC22,IN_Zugliste!$A$4:$F$2002,7,FALSE),"")</f>
        <v/>
      </c>
      <c r="AD321" t="str">
        <f>+IFERROR(VLOOKUP(AD22,IN_Zugliste!$A$4:$F$2002,7,FALSE),"")</f>
        <v/>
      </c>
      <c r="AE321" t="str">
        <f>+IFERROR(VLOOKUP(AE22,IN_Zugliste!$A$4:$F$2002,7,FALSE),"")</f>
        <v/>
      </c>
      <c r="AF321" t="str">
        <f>+IFERROR(VLOOKUP(AF22,IN_Zugliste!$A$4:$F$2002,7,FALSE),"")</f>
        <v/>
      </c>
      <c r="AG321" t="str">
        <f>+IFERROR(VLOOKUP(AG22,IN_Zugliste!$A$4:$F$2002,7,FALSE),"")</f>
        <v/>
      </c>
      <c r="AH321" t="str">
        <f>+IFERROR(VLOOKUP(AH22,IN_Zugliste!$A$4:$F$2002,7,FALSE),"")</f>
        <v/>
      </c>
      <c r="AI321" t="str">
        <f>+IFERROR(VLOOKUP(AI22,IN_Zugliste!$A$4:$F$2002,7,FALSE),"")</f>
        <v/>
      </c>
      <c r="AJ321" t="str">
        <f>+IFERROR(VLOOKUP(AJ22,IN_Zugliste!$A$4:$F$2002,7,FALSE),"")</f>
        <v/>
      </c>
      <c r="AK321" t="str">
        <f>+IFERROR(VLOOKUP(AK22,IN_Zugliste!$A$4:$F$2002,7,FALSE),"")</f>
        <v/>
      </c>
      <c r="AL321" t="str">
        <f>+IFERROR(VLOOKUP(AL22,IN_Zugliste!$A$4:$F$2002,7,FALSE),"")</f>
        <v/>
      </c>
      <c r="AM321" t="str">
        <f>+IFERROR(VLOOKUP(AM22,IN_Zugliste!$A$4:$F$2002,7,FALSE),"")</f>
        <v/>
      </c>
      <c r="AN321" t="str">
        <f>+IFERROR(VLOOKUP(AN22,IN_Zugliste!$A$4:$F$2002,7,FALSE),"")</f>
        <v/>
      </c>
      <c r="AO321" t="str">
        <f>+IFERROR(VLOOKUP(AO22,IN_Zugliste!$A$4:$F$2002,7,FALSE),"")</f>
        <v/>
      </c>
      <c r="AP321" t="str">
        <f>+IFERROR(VLOOKUP(AP22,IN_Zugliste!$A$4:$F$2002,7,FALSE),"")</f>
        <v/>
      </c>
      <c r="AQ321" t="str">
        <f>+IFERROR(VLOOKUP(AQ22,IN_Zugliste!$A$4:$F$2002,7,FALSE),"")</f>
        <v/>
      </c>
      <c r="AR321" t="str">
        <f>+IFERROR(VLOOKUP(AR22,IN_Zugliste!$A$4:$F$2002,7,FALSE),"")</f>
        <v/>
      </c>
      <c r="AS321" t="str">
        <f>+IFERROR(VLOOKUP(AS22,IN_Zugliste!$A$4:$F$2002,7,FALSE),"")</f>
        <v/>
      </c>
      <c r="AT321" t="str">
        <f>+IFERROR(VLOOKUP(AT22,IN_Zugliste!$A$4:$F$2002,7,FALSE),"")</f>
        <v/>
      </c>
      <c r="AU321" t="str">
        <f>+IFERROR(VLOOKUP(AU22,IN_Zugliste!$A$4:$F$2002,7,FALSE),"")</f>
        <v/>
      </c>
      <c r="AV321" t="str">
        <f>+IFERROR(VLOOKUP(AV22,IN_Zugliste!$A$4:$F$2002,7,FALSE),"")</f>
        <v/>
      </c>
      <c r="AW321" t="str">
        <f>+IFERROR(VLOOKUP(AW22,IN_Zugliste!$A$4:$F$2002,7,FALSE),"")</f>
        <v/>
      </c>
      <c r="AX321" t="str">
        <f>+IFERROR(VLOOKUP(AX22,IN_Zugliste!$A$4:$F$2002,7,FALSE),"")</f>
        <v/>
      </c>
      <c r="AY321" t="str">
        <f>+IFERROR(VLOOKUP(AY22,IN_Zugliste!$A$4:$F$2002,7,FALSE),"")</f>
        <v/>
      </c>
      <c r="AZ321" t="str">
        <f>+IFERROR(VLOOKUP(AZ22,IN_Zugliste!$A$4:$F$2002,7,FALSE),"")</f>
        <v/>
      </c>
      <c r="BA321" t="str">
        <f>+IFERROR(VLOOKUP(BA22,IN_Zugliste!$A$4:$F$2002,7,FALSE),"")</f>
        <v/>
      </c>
      <c r="BB321" t="str">
        <f>+IFERROR(VLOOKUP(BB22,IN_Zugliste!$A$4:$F$2002,7,FALSE),"")</f>
        <v/>
      </c>
      <c r="BC321" t="str">
        <f>+IFERROR(VLOOKUP(BC22,IN_Zugliste!$A$4:$F$2002,7,FALSE),"")</f>
        <v/>
      </c>
      <c r="BD321" t="str">
        <f>+IFERROR(VLOOKUP(BD22,IN_Zugliste!$A$4:$F$2002,7,FALSE),"")</f>
        <v/>
      </c>
      <c r="BE321" t="str">
        <f>+IFERROR(VLOOKUP(BE22,IN_Zugliste!$A$4:$F$2002,7,FALSE),"")</f>
        <v/>
      </c>
      <c r="BF321" t="str">
        <f>+IFERROR(VLOOKUP(BF22,IN_Zugliste!$A$4:$F$2002,7,FALSE),"")</f>
        <v/>
      </c>
      <c r="BG321" t="str">
        <f>+IFERROR(VLOOKUP(BG22,IN_Zugliste!$A$4:$F$2002,7,FALSE),"")</f>
        <v/>
      </c>
      <c r="BH321" t="str">
        <f>+IFERROR(VLOOKUP(BH22,IN_Zugliste!$A$4:$F$2002,7,FALSE),"")</f>
        <v/>
      </c>
      <c r="BI321" t="str">
        <f>+IFERROR(VLOOKUP(BI22,IN_Zugliste!$A$4:$F$2002,7,FALSE),"")</f>
        <v/>
      </c>
      <c r="BJ321" t="str">
        <f>+IFERROR(VLOOKUP(BJ22,IN_Zugliste!$A$4:$F$2002,7,FALSE),"")</f>
        <v/>
      </c>
      <c r="BK321" t="str">
        <f>+IFERROR(VLOOKUP(BK22,IN_Zugliste!$A$4:$F$2002,7,FALSE),"")</f>
        <v/>
      </c>
      <c r="BL321" t="str">
        <f>+IFERROR(VLOOKUP(BL22,IN_Zugliste!$A$4:$F$2002,7,FALSE),"")</f>
        <v/>
      </c>
      <c r="BM321" t="str">
        <f>+IFERROR(VLOOKUP(BM22,IN_Zugliste!$A$4:$F$2002,7,FALSE),"")</f>
        <v/>
      </c>
      <c r="BN321" t="str">
        <f>+IFERROR(VLOOKUP(BN22,IN_Zugliste!$A$4:$F$2002,7,FALSE),"")</f>
        <v/>
      </c>
      <c r="BO321" t="str">
        <f>+IFERROR(VLOOKUP(BO22,IN_Zugliste!$A$4:$F$2002,7,FALSE),"")</f>
        <v/>
      </c>
      <c r="BP321" t="str">
        <f>+IFERROR(VLOOKUP(BP22,IN_Zugliste!$A$4:$F$2002,7,FALSE),"")</f>
        <v/>
      </c>
      <c r="BQ321" t="str">
        <f>+IFERROR(VLOOKUP(BQ22,IN_Zugliste!$A$4:$F$2002,7,FALSE),"")</f>
        <v/>
      </c>
      <c r="BR321" t="str">
        <f>+IFERROR(VLOOKUP(BR22,IN_Zugliste!$A$4:$F$2002,7,FALSE),"")</f>
        <v/>
      </c>
      <c r="BS321" t="str">
        <f>+IFERROR(VLOOKUP(BS22,IN_Zugliste!$A$4:$F$2002,7,FALSE),"")</f>
        <v/>
      </c>
      <c r="BT321" t="str">
        <f>+IFERROR(VLOOKUP(BT22,IN_Zugliste!$A$4:$F$2002,7,FALSE),"")</f>
        <v/>
      </c>
      <c r="BU321" t="str">
        <f>+IFERROR(VLOOKUP(BU22,IN_Zugliste!$A$4:$F$2002,7,FALSE),"")</f>
        <v/>
      </c>
      <c r="BV321" t="str">
        <f>+IFERROR(VLOOKUP(BV22,IN_Zugliste!$A$4:$F$2002,7,FALSE),"")</f>
        <v/>
      </c>
      <c r="BW321" t="str">
        <f>+IFERROR(VLOOKUP(BW22,IN_Zugliste!$A$4:$F$2002,7,FALSE),"")</f>
        <v/>
      </c>
      <c r="BX321" t="str">
        <f>+IFERROR(VLOOKUP(BX22,IN_Zugliste!$A$4:$F$2002,7,FALSE),"")</f>
        <v/>
      </c>
      <c r="BY321" t="str">
        <f>+IFERROR(VLOOKUP(BY22,IN_Zugliste!$A$4:$F$2002,7,FALSE),"")</f>
        <v/>
      </c>
      <c r="BZ321" t="str">
        <f>+IFERROR(VLOOKUP(BZ22,IN_Zugliste!$A$4:$F$2002,7,FALSE),"")</f>
        <v/>
      </c>
      <c r="CA321" t="str">
        <f>+IFERROR(VLOOKUP(CA22,IN_Zugliste!$A$4:$F$2002,7,FALSE),"")</f>
        <v/>
      </c>
      <c r="CB321" t="str">
        <f>+IFERROR(VLOOKUP(CB22,IN_Zugliste!$A$4:$F$2002,7,FALSE),"")</f>
        <v/>
      </c>
      <c r="CC321" t="str">
        <f>+IFERROR(VLOOKUP(CC22,IN_Zugliste!$A$4:$F$2002,7,FALSE),"")</f>
        <v/>
      </c>
      <c r="CD321" t="str">
        <f>+IFERROR(VLOOKUP(CD22,IN_Zugliste!$A$4:$F$2002,7,FALSE),"")</f>
        <v/>
      </c>
      <c r="CE321" t="str">
        <f>+IFERROR(VLOOKUP(CE22,IN_Zugliste!$A$4:$F$2002,7,FALSE),"")</f>
        <v/>
      </c>
      <c r="CF321" t="str">
        <f>+IFERROR(VLOOKUP(CF22,IN_Zugliste!$A$4:$F$2002,7,FALSE),"")</f>
        <v/>
      </c>
      <c r="CG321" t="str">
        <f>+IFERROR(VLOOKUP(CG22,IN_Zugliste!$A$4:$F$2002,7,FALSE),"")</f>
        <v/>
      </c>
      <c r="CH321" t="str">
        <f>+IFERROR(VLOOKUP(CH22,IN_Zugliste!$A$4:$F$2002,7,FALSE),"")</f>
        <v/>
      </c>
      <c r="CI321" t="str">
        <f>+IFERROR(VLOOKUP(CI22,IN_Zugliste!$A$4:$F$2002,7,FALSE),"")</f>
        <v/>
      </c>
      <c r="CJ321" t="str">
        <f>+IFERROR(VLOOKUP(CJ22,IN_Zugliste!$A$4:$F$2002,7,FALSE),"")</f>
        <v/>
      </c>
      <c r="CK321" t="str">
        <f>+IFERROR(VLOOKUP(CK22,IN_Zugliste!$A$4:$F$2002,7,FALSE),"")</f>
        <v/>
      </c>
      <c r="CL321" t="str">
        <f>+IFERROR(VLOOKUP(CL22,IN_Zugliste!$A$4:$F$2002,7,FALSE),"")</f>
        <v/>
      </c>
      <c r="CM321" t="str">
        <f>+IFERROR(VLOOKUP(CM22,IN_Zugliste!$A$4:$F$2002,7,FALSE),"")</f>
        <v/>
      </c>
      <c r="CN321" t="str">
        <f>+IFERROR(VLOOKUP(CN22,IN_Zugliste!$A$4:$F$2002,7,FALSE),"")</f>
        <v/>
      </c>
      <c r="CO321" t="str">
        <f>+IFERROR(VLOOKUP(CO22,IN_Zugliste!$A$4:$F$2002,7,FALSE),"")</f>
        <v/>
      </c>
      <c r="CP321" t="str">
        <f>+IFERROR(VLOOKUP(CP22,IN_Zugliste!$A$4:$F$2002,7,FALSE),"")</f>
        <v/>
      </c>
      <c r="CQ321" t="str">
        <f>+IFERROR(VLOOKUP(CQ22,IN_Zugliste!$A$4:$F$2002,7,FALSE),"")</f>
        <v/>
      </c>
      <c r="CR321" t="str">
        <f>+IFERROR(VLOOKUP(CR22,IN_Zugliste!$A$4:$F$2002,7,FALSE),"")</f>
        <v/>
      </c>
      <c r="CS321" t="str">
        <f>+IFERROR(VLOOKUP(CS22,IN_Zugliste!$A$4:$F$2002,7,FALSE),"")</f>
        <v/>
      </c>
      <c r="CT321" t="str">
        <f>+IFERROR(VLOOKUP(CT22,IN_Zugliste!$A$4:$F$2002,7,FALSE),"")</f>
        <v/>
      </c>
      <c r="CU321" t="str">
        <f>+IFERROR(VLOOKUP(CU22,IN_Zugliste!$A$4:$F$2002,7,FALSE),"")</f>
        <v/>
      </c>
      <c r="CV321" t="str">
        <f>+IFERROR(VLOOKUP(CV22,IN_Zugliste!$A$4:$F$2002,7,FALSE),"")</f>
        <v/>
      </c>
      <c r="CW321" t="str">
        <f>+IFERROR(VLOOKUP(CW22,IN_Zugliste!$A$4:$F$2002,7,FALSE),"")</f>
        <v/>
      </c>
      <c r="CX321" t="str">
        <f>+IFERROR(VLOOKUP(CX22,IN_Zugliste!$A$4:$F$2002,7,FALSE),"")</f>
        <v/>
      </c>
      <c r="CY321" t="str">
        <f>+IFERROR(VLOOKUP(CY22,IN_Zugliste!$A$4:$F$2002,7,FALSE),"")</f>
        <v/>
      </c>
      <c r="CZ321" t="str">
        <f>+IFERROR(VLOOKUP(CZ22,IN_Zugliste!$A$4:$F$2002,7,FALSE),"")</f>
        <v/>
      </c>
      <c r="DA321" t="str">
        <f>+IFERROR(VLOOKUP(DA22,IN_Zugliste!$A$4:$F$2002,7,FALSE),"")</f>
        <v/>
      </c>
      <c r="DB321" t="str">
        <f>+IFERROR(VLOOKUP(DB22,IN_Zugliste!$A$4:$F$2002,7,FALSE),"")</f>
        <v/>
      </c>
      <c r="DC321" t="str">
        <f>+IFERROR(VLOOKUP(DC22,IN_Zugliste!$A$4:$F$2002,7,FALSE),"")</f>
        <v/>
      </c>
      <c r="DD321" t="str">
        <f>+IFERROR(VLOOKUP(DD22,IN_Zugliste!$A$4:$F$2002,7,FALSE),"")</f>
        <v/>
      </c>
      <c r="DE321" t="str">
        <f>+IFERROR(VLOOKUP(DE22,IN_Zugliste!$A$4:$F$2002,7,FALSE),"")</f>
        <v/>
      </c>
      <c r="DF321" t="str">
        <f>+IFERROR(VLOOKUP(DF22,IN_Zugliste!$A$4:$F$2002,7,FALSE),"")</f>
        <v/>
      </c>
      <c r="DG321" t="str">
        <f>+IFERROR(VLOOKUP(DG22,IN_Zugliste!$A$4:$F$2002,7,FALSE),"")</f>
        <v/>
      </c>
      <c r="DH321" t="str">
        <f>+IFERROR(VLOOKUP(DH22,IN_Zugliste!$A$4:$F$2002,7,FALSE),"")</f>
        <v/>
      </c>
      <c r="DI321" t="str">
        <f>+IFERROR(VLOOKUP(DI22,IN_Zugliste!$A$4:$F$2002,7,FALSE),"")</f>
        <v/>
      </c>
      <c r="DJ321" t="str">
        <f>+IFERROR(VLOOKUP(DJ22,IN_Zugliste!$A$4:$F$2002,7,FALSE),"")</f>
        <v/>
      </c>
      <c r="DK321" t="str">
        <f>+IFERROR(VLOOKUP(DK22,IN_Zugliste!$A$4:$F$2002,7,FALSE),"")</f>
        <v/>
      </c>
      <c r="DL321" t="str">
        <f>+IFERROR(VLOOKUP(DL22,IN_Zugliste!$A$4:$F$2002,7,FALSE),"")</f>
        <v/>
      </c>
      <c r="DM321" t="str">
        <f>+IFERROR(VLOOKUP(DM22,IN_Zugliste!$A$4:$F$2002,7,FALSE),"")</f>
        <v/>
      </c>
      <c r="DN321" t="str">
        <f>+IFERROR(VLOOKUP(DN22,IN_Zugliste!$A$4:$F$2002,7,FALSE),"")</f>
        <v/>
      </c>
      <c r="DO321" t="str">
        <f>+IFERROR(VLOOKUP(DO22,IN_Zugliste!$A$4:$F$2002,7,FALSE),"")</f>
        <v/>
      </c>
      <c r="DP321" t="str">
        <f>+IFERROR(VLOOKUP(DP22,IN_Zugliste!$A$4:$F$2002,7,FALSE),"")</f>
        <v/>
      </c>
      <c r="DQ321" t="str">
        <f>+IFERROR(VLOOKUP(DQ22,IN_Zugliste!$A$4:$F$2002,7,FALSE),"")</f>
        <v/>
      </c>
      <c r="DR321" t="str">
        <f>+IFERROR(VLOOKUP(DR22,IN_Zugliste!$A$4:$F$2002,7,FALSE),"")</f>
        <v/>
      </c>
      <c r="DS321" t="str">
        <f>+IFERROR(VLOOKUP(DS22,IN_Zugliste!$A$4:$F$2002,7,FALSE),"")</f>
        <v/>
      </c>
      <c r="DT321" t="str">
        <f>+IFERROR(VLOOKUP(DT22,IN_Zugliste!$A$4:$F$2002,7,FALSE),"")</f>
        <v/>
      </c>
      <c r="DU321" t="str">
        <f>+IFERROR(VLOOKUP(DU22,IN_Zugliste!$A$4:$F$2002,7,FALSE),"")</f>
        <v/>
      </c>
      <c r="DV321" t="str">
        <f>+IFERROR(VLOOKUP(DV22,IN_Zugliste!$A$4:$F$2002,7,FALSE),"")</f>
        <v/>
      </c>
      <c r="DW321" t="str">
        <f>+IFERROR(VLOOKUP(DW22,IN_Zugliste!$A$4:$F$2002,7,FALSE),"")</f>
        <v/>
      </c>
      <c r="DX321" t="str">
        <f>+IFERROR(VLOOKUP(DX22,IN_Zugliste!$A$4:$F$2002,7,FALSE),"")</f>
        <v/>
      </c>
      <c r="DY321" t="str">
        <f>+IFERROR(VLOOKUP(DY22,IN_Zugliste!$A$4:$F$2002,7,FALSE),"")</f>
        <v/>
      </c>
      <c r="DZ321" t="str">
        <f>+IFERROR(VLOOKUP(DZ22,IN_Zugliste!$A$4:$F$2002,7,FALSE),"")</f>
        <v/>
      </c>
      <c r="EA321" t="str">
        <f>+IFERROR(VLOOKUP(EA22,IN_Zugliste!$A$4:$F$2002,7,FALSE),"")</f>
        <v/>
      </c>
      <c r="EB321" t="str">
        <f>+IFERROR(VLOOKUP(EB22,IN_Zugliste!$A$4:$F$2002,7,FALSE),"")</f>
        <v/>
      </c>
      <c r="EC321" t="str">
        <f>+IFERROR(VLOOKUP(EC22,IN_Zugliste!$A$4:$F$2002,7,FALSE),"")</f>
        <v/>
      </c>
      <c r="ED321" t="str">
        <f>+IFERROR(VLOOKUP(ED22,IN_Zugliste!$A$4:$F$2002,7,FALSE),"")</f>
        <v/>
      </c>
      <c r="EE321" t="str">
        <f>+IFERROR(VLOOKUP(EE22,IN_Zugliste!$A$4:$F$2002,7,FALSE),"")</f>
        <v/>
      </c>
      <c r="EF321" t="str">
        <f>+IFERROR(VLOOKUP(EF22,IN_Zugliste!$A$4:$F$2002,7,FALSE),"")</f>
        <v/>
      </c>
      <c r="EG321" t="str">
        <f>+IFERROR(VLOOKUP(EG22,IN_Zugliste!$A$4:$F$2002,7,FALSE),"")</f>
        <v/>
      </c>
      <c r="EH321" t="str">
        <f>+IFERROR(VLOOKUP(EH22,IN_Zugliste!$A$4:$F$2002,7,FALSE),"")</f>
        <v/>
      </c>
      <c r="EI321" t="str">
        <f>+IFERROR(VLOOKUP(EI22,IN_Zugliste!$A$4:$F$2002,7,FALSE),"")</f>
        <v/>
      </c>
      <c r="EJ321" t="str">
        <f>+IFERROR(VLOOKUP(EJ22,IN_Zugliste!$A$4:$F$2002,7,FALSE),"")</f>
        <v/>
      </c>
      <c r="EK321" t="str">
        <f>+IFERROR(VLOOKUP(EK22,IN_Zugliste!$A$4:$F$2002,7,FALSE),"")</f>
        <v/>
      </c>
      <c r="EL321" t="str">
        <f>+IFERROR(VLOOKUP(EL22,IN_Zugliste!$A$4:$F$2002,7,FALSE),"")</f>
        <v/>
      </c>
      <c r="EM321" t="str">
        <f>+IFERROR(VLOOKUP(EM22,IN_Zugliste!$A$4:$F$2002,7,FALSE),"")</f>
        <v/>
      </c>
      <c r="EN321" t="str">
        <f>+IFERROR(VLOOKUP(EN22,IN_Zugliste!$A$4:$F$2002,7,FALSE),"")</f>
        <v/>
      </c>
      <c r="EO321" t="str">
        <f>+IFERROR(VLOOKUP(EO22,IN_Zugliste!$A$4:$F$2002,7,FALSE),"")</f>
        <v/>
      </c>
      <c r="EP321" t="str">
        <f>+IFERROR(VLOOKUP(EP22,IN_Zugliste!$A$4:$F$2002,7,FALSE),"")</f>
        <v/>
      </c>
      <c r="EQ321" t="str">
        <f>+IFERROR(VLOOKUP(EQ22,IN_Zugliste!$A$4:$F$2002,7,FALSE),"")</f>
        <v/>
      </c>
      <c r="ER321" t="str">
        <f>+IFERROR(VLOOKUP(ER22,IN_Zugliste!$A$4:$F$2002,7,FALSE),"")</f>
        <v/>
      </c>
      <c r="ES321" t="str">
        <f>+IFERROR(VLOOKUP(ES22,IN_Zugliste!$A$4:$F$2002,7,FALSE),"")</f>
        <v/>
      </c>
      <c r="ET321" t="str">
        <f>+IFERROR(VLOOKUP(ET22,IN_Zugliste!$A$4:$F$2002,7,FALSE),"")</f>
        <v/>
      </c>
      <c r="EU321" t="str">
        <f>+IFERROR(VLOOKUP(EU22,IN_Zugliste!$A$4:$F$2002,7,FALSE),"")</f>
        <v/>
      </c>
      <c r="EV321" t="str">
        <f>+IFERROR(VLOOKUP(EV22,IN_Zugliste!$A$4:$F$2002,7,FALSE),"")</f>
        <v/>
      </c>
      <c r="EW321" t="str">
        <f>+IFERROR(VLOOKUP(EW22,IN_Zugliste!$A$4:$F$2002,7,FALSE),"")</f>
        <v/>
      </c>
      <c r="EX321" t="str">
        <f>+IFERROR(VLOOKUP(EX22,IN_Zugliste!$A$4:$F$2002,7,FALSE),"")</f>
        <v/>
      </c>
      <c r="EY321" t="str">
        <f>+IFERROR(VLOOKUP(EY22,IN_Zugliste!$A$4:$F$2002,7,FALSE),"")</f>
        <v/>
      </c>
      <c r="EZ321" t="str">
        <f>+IFERROR(VLOOKUP(EZ22,IN_Zugliste!$A$4:$F$2002,7,FALSE),"")</f>
        <v/>
      </c>
      <c r="FA321" t="str">
        <f>+IFERROR(VLOOKUP(FA22,IN_Zugliste!$A$4:$F$2002,7,FALSE),"")</f>
        <v/>
      </c>
      <c r="FB321" t="str">
        <f>+IFERROR(VLOOKUP(FB22,IN_Zugliste!$A$4:$F$2002,7,FALSE),"")</f>
        <v/>
      </c>
      <c r="FC321" t="str">
        <f>+IFERROR(VLOOKUP(FC22,IN_Zugliste!$A$4:$F$2002,7,FALSE),"")</f>
        <v/>
      </c>
      <c r="FD321" t="str">
        <f>+IFERROR(VLOOKUP(FD22,IN_Zugliste!$A$4:$F$2002,7,FALSE),"")</f>
        <v/>
      </c>
      <c r="FE321" t="str">
        <f>+IFERROR(VLOOKUP(FE22,IN_Zugliste!$A$4:$F$2002,7,FALSE),"")</f>
        <v/>
      </c>
      <c r="FF321" t="str">
        <f>+IFERROR(VLOOKUP(FF22,IN_Zugliste!$A$4:$F$2002,7,FALSE),"")</f>
        <v/>
      </c>
      <c r="FG321" t="str">
        <f>+IFERROR(VLOOKUP(FG22,IN_Zugliste!$A$4:$F$2002,7,FALSE),"")</f>
        <v/>
      </c>
      <c r="FH321" t="str">
        <f>+IFERROR(VLOOKUP(FH22,IN_Zugliste!$A$4:$F$2002,7,FALSE),"")</f>
        <v/>
      </c>
      <c r="FI321" t="str">
        <f>+IFERROR(VLOOKUP(FI22,IN_Zugliste!$A$4:$F$2002,7,FALSE),"")</f>
        <v/>
      </c>
      <c r="FJ321" t="str">
        <f>+IFERROR(VLOOKUP(FJ22,IN_Zugliste!$A$4:$F$2002,7,FALSE),"")</f>
        <v/>
      </c>
      <c r="FK321" t="str">
        <f>+IFERROR(VLOOKUP(FK22,IN_Zugliste!$A$4:$F$2002,7,FALSE),"")</f>
        <v/>
      </c>
      <c r="FL321" t="str">
        <f>+IFERROR(VLOOKUP(FL22,IN_Zugliste!$A$4:$F$2002,7,FALSE),"")</f>
        <v/>
      </c>
      <c r="FM321" t="str">
        <f>+IFERROR(VLOOKUP(FM22,IN_Zugliste!$A$4:$F$2002,7,FALSE),"")</f>
        <v/>
      </c>
      <c r="FN321" t="str">
        <f>+IFERROR(VLOOKUP(FN22,IN_Zugliste!$A$4:$F$2002,7,FALSE),"")</f>
        <v/>
      </c>
      <c r="FO321" t="str">
        <f>+IFERROR(VLOOKUP(FO22,IN_Zugliste!$A$4:$F$2002,7,FALSE),"")</f>
        <v/>
      </c>
      <c r="FP321" t="str">
        <f>+IFERROR(VLOOKUP(FP22,IN_Zugliste!$A$4:$F$2002,7,FALSE),"")</f>
        <v/>
      </c>
      <c r="FQ321" t="str">
        <f>+IFERROR(VLOOKUP(FQ22,IN_Zugliste!$A$4:$F$2002,7,FALSE),"")</f>
        <v/>
      </c>
      <c r="FR321" t="str">
        <f>+IFERROR(VLOOKUP(FR22,IN_Zugliste!$A$4:$F$2002,7,FALSE),"")</f>
        <v/>
      </c>
      <c r="FS321" t="str">
        <f>+IFERROR(VLOOKUP(FS22,IN_Zugliste!$A$4:$F$2002,7,FALSE),"")</f>
        <v/>
      </c>
      <c r="FT321" t="str">
        <f>+IFERROR(VLOOKUP(FT22,IN_Zugliste!$A$4:$F$2002,7,FALSE),"")</f>
        <v/>
      </c>
      <c r="FU321" t="str">
        <f>+IFERROR(VLOOKUP(FU22,IN_Zugliste!$A$4:$F$2002,7,FALSE),"")</f>
        <v/>
      </c>
      <c r="FV321" t="str">
        <f>+IFERROR(VLOOKUP(FV22,IN_Zugliste!$A$4:$F$2002,7,FALSE),"")</f>
        <v/>
      </c>
      <c r="FW321" t="str">
        <f>+IFERROR(VLOOKUP(FW22,IN_Zugliste!$A$4:$F$2002,7,FALSE),"")</f>
        <v/>
      </c>
      <c r="FX321" t="str">
        <f>+IFERROR(VLOOKUP(FX22,IN_Zugliste!$A$4:$F$2002,7,FALSE),"")</f>
        <v/>
      </c>
      <c r="FY321" t="str">
        <f>+IFERROR(VLOOKUP(FY22,IN_Zugliste!$A$4:$F$2002,7,FALSE),"")</f>
        <v/>
      </c>
      <c r="FZ321" t="str">
        <f>+IFERROR(VLOOKUP(FZ22,IN_Zugliste!$A$4:$F$2002,7,FALSE),"")</f>
        <v/>
      </c>
      <c r="GA321" t="str">
        <f>+IFERROR(VLOOKUP(GA22,IN_Zugliste!$A$4:$F$2002,7,FALSE),"")</f>
        <v/>
      </c>
      <c r="GB321" t="str">
        <f>+IFERROR(VLOOKUP(GB22,IN_Zugliste!$A$4:$F$2002,7,FALSE),"")</f>
        <v/>
      </c>
      <c r="GC321" t="str">
        <f>+IFERROR(VLOOKUP(GC22,IN_Zugliste!$A$4:$F$2002,7,FALSE),"")</f>
        <v/>
      </c>
      <c r="GD321" t="str">
        <f>+IFERROR(VLOOKUP(GD22,IN_Zugliste!$A$4:$F$2002,7,FALSE),"")</f>
        <v/>
      </c>
      <c r="GE321" t="str">
        <f>+IFERROR(VLOOKUP(GE22,IN_Zugliste!$A$4:$F$2002,7,FALSE),"")</f>
        <v/>
      </c>
      <c r="GF321" t="str">
        <f>+IFERROR(VLOOKUP(GF22,IN_Zugliste!$A$4:$F$2002,7,FALSE),"")</f>
        <v/>
      </c>
      <c r="GG321" t="str">
        <f>+IFERROR(VLOOKUP(GG22,IN_Zugliste!$A$4:$F$2002,7,FALSE),"")</f>
        <v/>
      </c>
      <c r="GH321" t="str">
        <f>+IFERROR(VLOOKUP(GH22,IN_Zugliste!$A$4:$F$2002,7,FALSE),"")</f>
        <v/>
      </c>
      <c r="GI321" t="str">
        <f>+IFERROR(VLOOKUP(GI22,IN_Zugliste!$A$4:$F$2002,7,FALSE),"")</f>
        <v/>
      </c>
      <c r="GJ321" t="str">
        <f>+IFERROR(VLOOKUP(GJ22,IN_Zugliste!$A$4:$F$2002,7,FALSE),"")</f>
        <v/>
      </c>
      <c r="GK321" t="str">
        <f>+IFERROR(VLOOKUP(GK22,IN_Zugliste!$A$4:$F$2002,7,FALSE),"")</f>
        <v/>
      </c>
      <c r="GL321" t="str">
        <f>+IFERROR(VLOOKUP(GL22,IN_Zugliste!$A$4:$F$2002,7,FALSE),"")</f>
        <v/>
      </c>
      <c r="GM321" t="str">
        <f>+IFERROR(VLOOKUP(GM22,IN_Zugliste!$A$4:$F$2002,7,FALSE),"")</f>
        <v/>
      </c>
      <c r="GN321" t="str">
        <f>+IFERROR(VLOOKUP(GN22,IN_Zugliste!$A$4:$F$2002,7,FALSE),"")</f>
        <v/>
      </c>
      <c r="GO321" t="str">
        <f>+IFERROR(VLOOKUP(GO22,IN_Zugliste!$A$4:$F$2002,7,FALSE),"")</f>
        <v/>
      </c>
      <c r="GP321" t="str">
        <f>+IFERROR(VLOOKUP(GP22,IN_Zugliste!$A$4:$F$2002,7,FALSE),"")</f>
        <v/>
      </c>
      <c r="GQ321" t="str">
        <f>+IFERROR(VLOOKUP(GQ22,IN_Zugliste!$A$4:$F$2002,7,FALSE),"")</f>
        <v/>
      </c>
      <c r="GR321" t="str">
        <f>+IFERROR(VLOOKUP(GR22,IN_Zugliste!$A$4:$F$2002,7,FALSE),"")</f>
        <v/>
      </c>
      <c r="GS321" t="str">
        <f>+IFERROR(VLOOKUP(GS22,IN_Zugliste!$A$4:$F$2002,7,FALSE),"")</f>
        <v/>
      </c>
      <c r="GT321" t="str">
        <f>+IFERROR(VLOOKUP(GT22,IN_Zugliste!$A$4:$F$2002,7,FALSE),"")</f>
        <v/>
      </c>
      <c r="GU321" t="str">
        <f>+IFERROR(VLOOKUP(GU22,IN_Zugliste!$A$4:$F$2002,7,FALSE),"")</f>
        <v/>
      </c>
      <c r="GV321" t="str">
        <f>+IFERROR(VLOOKUP(GV22,IN_Zugliste!$A$4:$F$2002,7,FALSE),"")</f>
        <v/>
      </c>
      <c r="GW321" t="str">
        <f>+IFERROR(VLOOKUP(GW22,IN_Zugliste!$A$4:$F$2002,7,FALSE),"")</f>
        <v/>
      </c>
      <c r="GX321" t="str">
        <f>+IFERROR(VLOOKUP(GX22,IN_Zugliste!$A$4:$F$2002,7,FALSE),"")</f>
        <v/>
      </c>
      <c r="GY321" t="str">
        <f>+IFERROR(VLOOKUP(GY22,IN_Zugliste!$A$4:$F$2002,7,FALSE),"")</f>
        <v/>
      </c>
      <c r="GZ321" t="str">
        <f>+IFERROR(VLOOKUP(GZ22,IN_Zugliste!$A$4:$F$2002,7,FALSE),"")</f>
        <v/>
      </c>
      <c r="HA321" t="str">
        <f>+IFERROR(VLOOKUP(HA22,IN_Zugliste!$A$4:$F$2002,7,FALSE),"")</f>
        <v/>
      </c>
      <c r="HB321" t="str">
        <f>+IFERROR(VLOOKUP(HB22,IN_Zugliste!$A$4:$F$2002,7,FALSE),"")</f>
        <v/>
      </c>
      <c r="HC321" t="str">
        <f>+IFERROR(VLOOKUP(HC22,IN_Zugliste!$A$4:$F$2002,7,FALSE),"")</f>
        <v/>
      </c>
      <c r="HD321" t="str">
        <f>+IFERROR(VLOOKUP(HD22,IN_Zugliste!$A$4:$F$2002,7,FALSE),"")</f>
        <v/>
      </c>
      <c r="HE321" t="str">
        <f>+IFERROR(VLOOKUP(HE22,IN_Zugliste!$A$4:$F$2002,7,FALSE),"")</f>
        <v/>
      </c>
      <c r="HF321" t="str">
        <f>+IFERROR(VLOOKUP(HF22,IN_Zugliste!$A$4:$F$2002,7,FALSE),"")</f>
        <v/>
      </c>
      <c r="HG321" t="str">
        <f>+IFERROR(VLOOKUP(HG22,IN_Zugliste!$A$4:$F$2002,7,FALSE),"")</f>
        <v/>
      </c>
      <c r="HH321" t="str">
        <f>+IFERROR(VLOOKUP(HH22,IN_Zugliste!$A$4:$F$2002,7,FALSE),"")</f>
        <v/>
      </c>
      <c r="HI321" t="str">
        <f>+IFERROR(VLOOKUP(HI22,IN_Zugliste!$A$4:$F$2002,7,FALSE),"")</f>
        <v/>
      </c>
      <c r="HJ321" t="str">
        <f>+IFERROR(VLOOKUP(HJ22,IN_Zugliste!$A$4:$F$2002,7,FALSE),"")</f>
        <v/>
      </c>
      <c r="HK321" t="str">
        <f>+IFERROR(VLOOKUP(HK22,IN_Zugliste!$A$4:$F$2002,7,FALSE),"")</f>
        <v/>
      </c>
      <c r="HL321" t="str">
        <f>+IFERROR(VLOOKUP(HL22,IN_Zugliste!$A$4:$F$2002,7,FALSE),"")</f>
        <v/>
      </c>
      <c r="HM321" t="str">
        <f>+IFERROR(VLOOKUP(HM22,IN_Zugliste!$A$4:$F$2002,7,FALSE),"")</f>
        <v/>
      </c>
      <c r="HN321" t="str">
        <f>+IFERROR(VLOOKUP(HN22,IN_Zugliste!$A$4:$F$2002,7,FALSE),"")</f>
        <v/>
      </c>
      <c r="HO321" t="str">
        <f>+IFERROR(VLOOKUP(HO22,IN_Zugliste!$A$4:$F$2002,7,FALSE),"")</f>
        <v/>
      </c>
      <c r="HP321" t="str">
        <f>+IFERROR(VLOOKUP(HP22,IN_Zugliste!$A$4:$F$2002,7,FALSE),"")</f>
        <v/>
      </c>
      <c r="HQ321" t="str">
        <f>+IFERROR(VLOOKUP(HQ22,IN_Zugliste!$A$4:$F$2002,7,FALSE),"")</f>
        <v/>
      </c>
      <c r="HR321" t="str">
        <f>+IFERROR(VLOOKUP(HR22,IN_Zugliste!$A$4:$F$2002,7,FALSE),"")</f>
        <v/>
      </c>
      <c r="HS321" t="str">
        <f>+IFERROR(VLOOKUP(HS22,IN_Zugliste!$A$4:$F$2002,7,FALSE),"")</f>
        <v/>
      </c>
      <c r="HT321" t="str">
        <f>+IFERROR(VLOOKUP(HT22,IN_Zugliste!$A$4:$F$2002,7,FALSE),"")</f>
        <v/>
      </c>
      <c r="HU321" t="str">
        <f>+IFERROR(VLOOKUP(HU22,IN_Zugliste!$A$4:$F$2002,7,FALSE),"")</f>
        <v/>
      </c>
      <c r="HV321" t="str">
        <f>+IFERROR(VLOOKUP(HV22,IN_Zugliste!$A$4:$F$2002,7,FALSE),"")</f>
        <v/>
      </c>
      <c r="HW321" t="str">
        <f>+IFERROR(VLOOKUP(HW22,IN_Zugliste!$A$4:$F$2002,7,FALSE),"")</f>
        <v/>
      </c>
      <c r="HX321" t="str">
        <f>+IFERROR(VLOOKUP(HX22,IN_Zugliste!$A$4:$F$2002,7,FALSE),"")</f>
        <v/>
      </c>
      <c r="HY321" t="str">
        <f>+IFERROR(VLOOKUP(HY22,IN_Zugliste!$A$4:$F$2002,7,FALSE),"")</f>
        <v/>
      </c>
      <c r="HZ321" t="str">
        <f>+IFERROR(VLOOKUP(HZ22,IN_Zugliste!$A$4:$F$2002,7,FALSE),"")</f>
        <v/>
      </c>
      <c r="IA321" t="str">
        <f>+IFERROR(VLOOKUP(IA22,IN_Zugliste!$A$4:$F$2002,7,FALSE),"")</f>
        <v/>
      </c>
      <c r="IB321" t="str">
        <f>+IFERROR(VLOOKUP(IB22,IN_Zugliste!$A$4:$F$2002,7,FALSE),"")</f>
        <v/>
      </c>
      <c r="IC321" t="str">
        <f>+IFERROR(VLOOKUP(IC22,IN_Zugliste!$A$4:$F$2002,7,FALSE),"")</f>
        <v/>
      </c>
      <c r="ID321" t="str">
        <f>+IFERROR(VLOOKUP(ID22,IN_Zugliste!$A$4:$F$2002,7,FALSE),"")</f>
        <v/>
      </c>
      <c r="IE321" t="str">
        <f>+IFERROR(VLOOKUP(IE22,IN_Zugliste!$A$4:$F$2002,7,FALSE),"")</f>
        <v/>
      </c>
      <c r="IF321" t="str">
        <f>+IFERROR(VLOOKUP(IF22,IN_Zugliste!$A$4:$F$2002,7,FALSE),"")</f>
        <v/>
      </c>
      <c r="IG321" t="str">
        <f>+IFERROR(VLOOKUP(IG22,IN_Zugliste!$A$4:$F$2002,7,FALSE),"")</f>
        <v/>
      </c>
      <c r="IH321" t="str">
        <f>+IFERROR(VLOOKUP(IH22,IN_Zugliste!$A$4:$F$2002,7,FALSE),"")</f>
        <v/>
      </c>
      <c r="II321" t="str">
        <f>+IFERROR(VLOOKUP(II22,IN_Zugliste!$A$4:$F$2002,7,FALSE),"")</f>
        <v/>
      </c>
      <c r="IJ321" t="str">
        <f>+IFERROR(VLOOKUP(IJ22,IN_Zugliste!$A$4:$F$2002,7,FALSE),"")</f>
        <v/>
      </c>
      <c r="IK321" t="str">
        <f>+IFERROR(VLOOKUP(IK22,IN_Zugliste!$A$4:$F$2002,7,FALSE),"")</f>
        <v/>
      </c>
      <c r="IL321" t="str">
        <f>+IFERROR(VLOOKUP(IL22,IN_Zugliste!$A$4:$F$2002,7,FALSE),"")</f>
        <v/>
      </c>
      <c r="IM321" t="str">
        <f>+IFERROR(VLOOKUP(IM22,IN_Zugliste!$A$4:$F$2002,7,FALSE),"")</f>
        <v/>
      </c>
      <c r="IN321" t="str">
        <f>+IFERROR(VLOOKUP(IN22,IN_Zugliste!$A$4:$F$2002,7,FALSE),"")</f>
        <v/>
      </c>
      <c r="IO321" t="str">
        <f>+IFERROR(VLOOKUP(IO22,IN_Zugliste!$A$4:$F$2002,7,FALSE),"")</f>
        <v/>
      </c>
      <c r="IP321" t="str">
        <f>+IFERROR(VLOOKUP(IP22,IN_Zugliste!$A$4:$F$2002,7,FALSE),"")</f>
        <v/>
      </c>
      <c r="IQ321" t="str">
        <f>+IFERROR(VLOOKUP(IQ22,IN_Zugliste!$A$4:$F$2002,7,FALSE),"")</f>
        <v/>
      </c>
      <c r="IR321" t="str">
        <f>+IFERROR(VLOOKUP(IR22,IN_Zugliste!$A$4:$F$2002,7,FALSE),"")</f>
        <v/>
      </c>
      <c r="IS321" t="str">
        <f>+IFERROR(VLOOKUP(IS22,IN_Zugliste!$A$4:$F$2002,7,FALSE),"")</f>
        <v/>
      </c>
      <c r="IT321" t="str">
        <f>+IFERROR(VLOOKUP(IT22,IN_Zugliste!$A$4:$F$2002,7,FALSE),"")</f>
        <v/>
      </c>
      <c r="IU321" t="str">
        <f>+IFERROR(VLOOKUP(IU22,IN_Zugliste!$A$4:$F$2002,7,FALSE),"")</f>
        <v/>
      </c>
      <c r="IV321" t="str">
        <f>+IFERROR(VLOOKUP(IV22,IN_Zugliste!$A$4:$F$2002,7,FALSE),"")</f>
        <v/>
      </c>
      <c r="IW321" t="str">
        <f>+IFERROR(VLOOKUP(IW22,IN_Zugliste!$A$4:$F$2002,7,FALSE),"")</f>
        <v/>
      </c>
      <c r="IX321" t="str">
        <f>+IFERROR(VLOOKUP(IX22,IN_Zugliste!$A$4:$F$2002,7,FALSE),"")</f>
        <v/>
      </c>
      <c r="IY321" t="str">
        <f>+IFERROR(VLOOKUP(IY22,IN_Zugliste!$A$4:$F$2002,7,FALSE),"")</f>
        <v/>
      </c>
      <c r="IZ321" t="str">
        <f>+IFERROR(VLOOKUP(IZ22,IN_Zugliste!$A$4:$F$2002,7,FALSE),"")</f>
        <v/>
      </c>
      <c r="JA321" t="str">
        <f>+IFERROR(VLOOKUP(JA22,IN_Zugliste!$A$4:$F$2002,7,FALSE),"")</f>
        <v/>
      </c>
      <c r="JB321" t="str">
        <f>+IFERROR(VLOOKUP(JB22,IN_Zugliste!$A$4:$F$2002,7,FALSE),"")</f>
        <v/>
      </c>
      <c r="JC321" t="str">
        <f>+IFERROR(VLOOKUP(JC22,IN_Zugliste!$A$4:$F$2002,7,FALSE),"")</f>
        <v/>
      </c>
      <c r="JD321" t="str">
        <f>+IFERROR(VLOOKUP(JD22,IN_Zugliste!$A$4:$F$2002,7,FALSE),"")</f>
        <v/>
      </c>
      <c r="JE321" t="str">
        <f>+IFERROR(VLOOKUP(JE22,IN_Zugliste!$A$4:$F$2002,7,FALSE),"")</f>
        <v/>
      </c>
      <c r="JF321" t="str">
        <f>+IFERROR(VLOOKUP(JF22,IN_Zugliste!$A$4:$F$2002,7,FALSE),"")</f>
        <v/>
      </c>
      <c r="JG321" t="str">
        <f>+IFERROR(VLOOKUP(JG22,IN_Zugliste!$A$4:$F$2002,7,FALSE),"")</f>
        <v/>
      </c>
      <c r="JH321" t="str">
        <f>+IFERROR(VLOOKUP(JH22,IN_Zugliste!$A$4:$F$2002,7,FALSE),"")</f>
        <v/>
      </c>
      <c r="JI321" t="str">
        <f>+IFERROR(VLOOKUP(JI22,IN_Zugliste!$A$4:$F$2002,7,FALSE),"")</f>
        <v/>
      </c>
      <c r="JJ321" t="str">
        <f>+IFERROR(VLOOKUP(JJ22,IN_Zugliste!$A$4:$F$2002,7,FALSE),"")</f>
        <v/>
      </c>
    </row>
    <row r="322" spans="1:270" x14ac:dyDescent="0.2">
      <c r="A322" t="str">
        <f>+IFERROR(VLOOKUP(A23,IN_Zugliste!$A$4:$F$2002,7,FALSE),"")</f>
        <v/>
      </c>
      <c r="B322" t="str">
        <f>+IFERROR(VLOOKUP(B23,IN_Zugliste!$A$4:$F$2002,7,FALSE),"")</f>
        <v/>
      </c>
      <c r="C322" t="str">
        <f>+IFERROR(VLOOKUP(C23,IN_Zugliste!$A$4:$F$2002,7,FALSE),"")</f>
        <v/>
      </c>
      <c r="D322" t="str">
        <f>+IFERROR(VLOOKUP(D23,IN_Zugliste!$A$4:$F$2002,7,FALSE),"")</f>
        <v/>
      </c>
      <c r="E322" t="str">
        <f>+IFERROR(VLOOKUP(E23,IN_Zugliste!$A$4:$F$2002,7,FALSE),"")</f>
        <v/>
      </c>
      <c r="F322" t="str">
        <f>+IFERROR(VLOOKUP(F23,IN_Zugliste!$A$4:$F$2002,7,FALSE),"")</f>
        <v/>
      </c>
      <c r="G322" t="str">
        <f>+IFERROR(VLOOKUP(G23,IN_Zugliste!$A$4:$F$2002,7,FALSE),"")</f>
        <v/>
      </c>
      <c r="H322" t="str">
        <f>+IFERROR(VLOOKUP(H23,IN_Zugliste!$A$4:$F$2002,7,FALSE),"")</f>
        <v/>
      </c>
      <c r="I322" t="str">
        <f>+IFERROR(VLOOKUP(I23,IN_Zugliste!$A$4:$F$2002,7,FALSE),"")</f>
        <v/>
      </c>
      <c r="J322" t="str">
        <f>+IFERROR(VLOOKUP(J23,IN_Zugliste!$A$4:$F$2002,7,FALSE),"")</f>
        <v/>
      </c>
      <c r="K322" t="str">
        <f>+IFERROR(VLOOKUP(K23,IN_Zugliste!$A$4:$F$2002,7,FALSE),"")</f>
        <v/>
      </c>
      <c r="L322" t="str">
        <f>+IFERROR(VLOOKUP(L23,IN_Zugliste!$A$4:$F$2002,7,FALSE),"")</f>
        <v/>
      </c>
      <c r="M322" t="str">
        <f>+IFERROR(VLOOKUP(M23,IN_Zugliste!$A$4:$F$2002,7,FALSE),"")</f>
        <v/>
      </c>
      <c r="N322" t="str">
        <f>+IFERROR(VLOOKUP(N23,IN_Zugliste!$A$4:$F$2002,7,FALSE),"")</f>
        <v/>
      </c>
      <c r="O322" t="str">
        <f>+IFERROR(VLOOKUP(O23,IN_Zugliste!$A$4:$F$2002,7,FALSE),"")</f>
        <v/>
      </c>
      <c r="P322" t="str">
        <f>+IFERROR(VLOOKUP(P23,IN_Zugliste!$A$4:$F$2002,7,FALSE),"")</f>
        <v/>
      </c>
      <c r="Q322" t="str">
        <f>+IFERROR(VLOOKUP(Q23,IN_Zugliste!$A$4:$F$2002,7,FALSE),"")</f>
        <v/>
      </c>
      <c r="R322" t="str">
        <f>+IFERROR(VLOOKUP(R23,IN_Zugliste!$A$4:$F$2002,7,FALSE),"")</f>
        <v/>
      </c>
      <c r="S322" t="str">
        <f>+IFERROR(VLOOKUP(S23,IN_Zugliste!$A$4:$F$2002,7,FALSE),"")</f>
        <v/>
      </c>
      <c r="T322" t="str">
        <f>+IFERROR(VLOOKUP(T23,IN_Zugliste!$A$4:$F$2002,7,FALSE),"")</f>
        <v/>
      </c>
      <c r="U322" t="str">
        <f>+IFERROR(VLOOKUP(U23,IN_Zugliste!$A$4:$F$2002,7,FALSE),"")</f>
        <v/>
      </c>
      <c r="V322" t="str">
        <f>+IFERROR(VLOOKUP(V23,IN_Zugliste!$A$4:$F$2002,7,FALSE),"")</f>
        <v/>
      </c>
      <c r="W322" t="str">
        <f>+IFERROR(VLOOKUP(W23,IN_Zugliste!$A$4:$F$2002,7,FALSE),"")</f>
        <v/>
      </c>
      <c r="X322" t="str">
        <f>+IFERROR(VLOOKUP(X23,IN_Zugliste!$A$4:$F$2002,7,FALSE),"")</f>
        <v/>
      </c>
      <c r="Y322" t="str">
        <f>+IFERROR(VLOOKUP(Y23,IN_Zugliste!$A$4:$F$2002,7,FALSE),"")</f>
        <v/>
      </c>
      <c r="Z322" t="str">
        <f>+IFERROR(VLOOKUP(Z23,IN_Zugliste!$A$4:$F$2002,7,FALSE),"")</f>
        <v/>
      </c>
      <c r="AA322" t="str">
        <f>+IFERROR(VLOOKUP(AA23,IN_Zugliste!$A$4:$F$2002,7,FALSE),"")</f>
        <v/>
      </c>
      <c r="AB322" t="str">
        <f>+IFERROR(VLOOKUP(AB23,IN_Zugliste!$A$4:$F$2002,7,FALSE),"")</f>
        <v/>
      </c>
      <c r="AC322" t="str">
        <f>+IFERROR(VLOOKUP(AC23,IN_Zugliste!$A$4:$F$2002,7,FALSE),"")</f>
        <v/>
      </c>
      <c r="AD322" t="str">
        <f>+IFERROR(VLOOKUP(AD23,IN_Zugliste!$A$4:$F$2002,7,FALSE),"")</f>
        <v/>
      </c>
      <c r="AE322" t="str">
        <f>+IFERROR(VLOOKUP(AE23,IN_Zugliste!$A$4:$F$2002,7,FALSE),"")</f>
        <v/>
      </c>
      <c r="AF322" t="str">
        <f>+IFERROR(VLOOKUP(AF23,IN_Zugliste!$A$4:$F$2002,7,FALSE),"")</f>
        <v/>
      </c>
      <c r="AG322" t="str">
        <f>+IFERROR(VLOOKUP(AG23,IN_Zugliste!$A$4:$F$2002,7,FALSE),"")</f>
        <v/>
      </c>
      <c r="AH322" t="str">
        <f>+IFERROR(VLOOKUP(AH23,IN_Zugliste!$A$4:$F$2002,7,FALSE),"")</f>
        <v/>
      </c>
      <c r="AI322" t="str">
        <f>+IFERROR(VLOOKUP(AI23,IN_Zugliste!$A$4:$F$2002,7,FALSE),"")</f>
        <v/>
      </c>
      <c r="AJ322" t="str">
        <f>+IFERROR(VLOOKUP(AJ23,IN_Zugliste!$A$4:$F$2002,7,FALSE),"")</f>
        <v/>
      </c>
      <c r="AK322" t="str">
        <f>+IFERROR(VLOOKUP(AK23,IN_Zugliste!$A$4:$F$2002,7,FALSE),"")</f>
        <v/>
      </c>
      <c r="AL322" t="str">
        <f>+IFERROR(VLOOKUP(AL23,IN_Zugliste!$A$4:$F$2002,7,FALSE),"")</f>
        <v/>
      </c>
      <c r="AM322" t="str">
        <f>+IFERROR(VLOOKUP(AM23,IN_Zugliste!$A$4:$F$2002,7,FALSE),"")</f>
        <v/>
      </c>
      <c r="AN322" t="str">
        <f>+IFERROR(VLOOKUP(AN23,IN_Zugliste!$A$4:$F$2002,7,FALSE),"")</f>
        <v/>
      </c>
      <c r="AO322" t="str">
        <f>+IFERROR(VLOOKUP(AO23,IN_Zugliste!$A$4:$F$2002,7,FALSE),"")</f>
        <v/>
      </c>
      <c r="AP322" t="str">
        <f>+IFERROR(VLOOKUP(AP23,IN_Zugliste!$A$4:$F$2002,7,FALSE),"")</f>
        <v/>
      </c>
      <c r="AQ322" t="str">
        <f>+IFERROR(VLOOKUP(AQ23,IN_Zugliste!$A$4:$F$2002,7,FALSE),"")</f>
        <v/>
      </c>
      <c r="AR322" t="str">
        <f>+IFERROR(VLOOKUP(AR23,IN_Zugliste!$A$4:$F$2002,7,FALSE),"")</f>
        <v/>
      </c>
      <c r="AS322" t="str">
        <f>+IFERROR(VLOOKUP(AS23,IN_Zugliste!$A$4:$F$2002,7,FALSE),"")</f>
        <v/>
      </c>
      <c r="AT322" t="str">
        <f>+IFERROR(VLOOKUP(AT23,IN_Zugliste!$A$4:$F$2002,7,FALSE),"")</f>
        <v/>
      </c>
      <c r="AU322" t="str">
        <f>+IFERROR(VLOOKUP(AU23,IN_Zugliste!$A$4:$F$2002,7,FALSE),"")</f>
        <v/>
      </c>
      <c r="AV322" t="str">
        <f>+IFERROR(VLOOKUP(AV23,IN_Zugliste!$A$4:$F$2002,7,FALSE),"")</f>
        <v/>
      </c>
      <c r="AW322" t="str">
        <f>+IFERROR(VLOOKUP(AW23,IN_Zugliste!$A$4:$F$2002,7,FALSE),"")</f>
        <v/>
      </c>
      <c r="AX322" t="str">
        <f>+IFERROR(VLOOKUP(AX23,IN_Zugliste!$A$4:$F$2002,7,FALSE),"")</f>
        <v/>
      </c>
      <c r="AY322" t="str">
        <f>+IFERROR(VLOOKUP(AY23,IN_Zugliste!$A$4:$F$2002,7,FALSE),"")</f>
        <v/>
      </c>
      <c r="AZ322" t="str">
        <f>+IFERROR(VLOOKUP(AZ23,IN_Zugliste!$A$4:$F$2002,7,FALSE),"")</f>
        <v/>
      </c>
      <c r="BA322" t="str">
        <f>+IFERROR(VLOOKUP(BA23,IN_Zugliste!$A$4:$F$2002,7,FALSE),"")</f>
        <v/>
      </c>
      <c r="BB322" t="str">
        <f>+IFERROR(VLOOKUP(BB23,IN_Zugliste!$A$4:$F$2002,7,FALSE),"")</f>
        <v/>
      </c>
      <c r="BC322" t="str">
        <f>+IFERROR(VLOOKUP(BC23,IN_Zugliste!$A$4:$F$2002,7,FALSE),"")</f>
        <v/>
      </c>
      <c r="BD322" t="str">
        <f>+IFERROR(VLOOKUP(BD23,IN_Zugliste!$A$4:$F$2002,7,FALSE),"")</f>
        <v/>
      </c>
      <c r="BE322" t="str">
        <f>+IFERROR(VLOOKUP(BE23,IN_Zugliste!$A$4:$F$2002,7,FALSE),"")</f>
        <v/>
      </c>
      <c r="BF322" t="str">
        <f>+IFERROR(VLOOKUP(BF23,IN_Zugliste!$A$4:$F$2002,7,FALSE),"")</f>
        <v/>
      </c>
      <c r="BG322" t="str">
        <f>+IFERROR(VLOOKUP(BG23,IN_Zugliste!$A$4:$F$2002,7,FALSE),"")</f>
        <v/>
      </c>
      <c r="BH322" t="str">
        <f>+IFERROR(VLOOKUP(BH23,IN_Zugliste!$A$4:$F$2002,7,FALSE),"")</f>
        <v/>
      </c>
      <c r="BI322" t="str">
        <f>+IFERROR(VLOOKUP(BI23,IN_Zugliste!$A$4:$F$2002,7,FALSE),"")</f>
        <v/>
      </c>
      <c r="BJ322" t="str">
        <f>+IFERROR(VLOOKUP(BJ23,IN_Zugliste!$A$4:$F$2002,7,FALSE),"")</f>
        <v/>
      </c>
      <c r="BK322" t="str">
        <f>+IFERROR(VLOOKUP(BK23,IN_Zugliste!$A$4:$F$2002,7,FALSE),"")</f>
        <v/>
      </c>
      <c r="BL322" t="str">
        <f>+IFERROR(VLOOKUP(BL23,IN_Zugliste!$A$4:$F$2002,7,FALSE),"")</f>
        <v/>
      </c>
      <c r="BM322" t="str">
        <f>+IFERROR(VLOOKUP(BM23,IN_Zugliste!$A$4:$F$2002,7,FALSE),"")</f>
        <v/>
      </c>
      <c r="BN322" t="str">
        <f>+IFERROR(VLOOKUP(BN23,IN_Zugliste!$A$4:$F$2002,7,FALSE),"")</f>
        <v/>
      </c>
      <c r="BO322" t="str">
        <f>+IFERROR(VLOOKUP(BO23,IN_Zugliste!$A$4:$F$2002,7,FALSE),"")</f>
        <v/>
      </c>
      <c r="BP322" t="str">
        <f>+IFERROR(VLOOKUP(BP23,IN_Zugliste!$A$4:$F$2002,7,FALSE),"")</f>
        <v/>
      </c>
      <c r="BQ322" t="str">
        <f>+IFERROR(VLOOKUP(BQ23,IN_Zugliste!$A$4:$F$2002,7,FALSE),"")</f>
        <v/>
      </c>
      <c r="BR322" t="str">
        <f>+IFERROR(VLOOKUP(BR23,IN_Zugliste!$A$4:$F$2002,7,FALSE),"")</f>
        <v/>
      </c>
      <c r="BS322" t="str">
        <f>+IFERROR(VLOOKUP(BS23,IN_Zugliste!$A$4:$F$2002,7,FALSE),"")</f>
        <v/>
      </c>
      <c r="BT322" t="str">
        <f>+IFERROR(VLOOKUP(BT23,IN_Zugliste!$A$4:$F$2002,7,FALSE),"")</f>
        <v/>
      </c>
      <c r="BU322" t="str">
        <f>+IFERROR(VLOOKUP(BU23,IN_Zugliste!$A$4:$F$2002,7,FALSE),"")</f>
        <v/>
      </c>
      <c r="BV322" t="str">
        <f>+IFERROR(VLOOKUP(BV23,IN_Zugliste!$A$4:$F$2002,7,FALSE),"")</f>
        <v/>
      </c>
      <c r="BW322" t="str">
        <f>+IFERROR(VLOOKUP(BW23,IN_Zugliste!$A$4:$F$2002,7,FALSE),"")</f>
        <v/>
      </c>
      <c r="BX322" t="str">
        <f>+IFERROR(VLOOKUP(BX23,IN_Zugliste!$A$4:$F$2002,7,FALSE),"")</f>
        <v/>
      </c>
      <c r="BY322" t="str">
        <f>+IFERROR(VLOOKUP(BY23,IN_Zugliste!$A$4:$F$2002,7,FALSE),"")</f>
        <v/>
      </c>
      <c r="BZ322" t="str">
        <f>+IFERROR(VLOOKUP(BZ23,IN_Zugliste!$A$4:$F$2002,7,FALSE),"")</f>
        <v/>
      </c>
      <c r="CA322" t="str">
        <f>+IFERROR(VLOOKUP(CA23,IN_Zugliste!$A$4:$F$2002,7,FALSE),"")</f>
        <v/>
      </c>
      <c r="CB322" t="str">
        <f>+IFERROR(VLOOKUP(CB23,IN_Zugliste!$A$4:$F$2002,7,FALSE),"")</f>
        <v/>
      </c>
      <c r="CC322" t="str">
        <f>+IFERROR(VLOOKUP(CC23,IN_Zugliste!$A$4:$F$2002,7,FALSE),"")</f>
        <v/>
      </c>
      <c r="CD322" t="str">
        <f>+IFERROR(VLOOKUP(CD23,IN_Zugliste!$A$4:$F$2002,7,FALSE),"")</f>
        <v/>
      </c>
      <c r="CE322" t="str">
        <f>+IFERROR(VLOOKUP(CE23,IN_Zugliste!$A$4:$F$2002,7,FALSE),"")</f>
        <v/>
      </c>
      <c r="CF322" t="str">
        <f>+IFERROR(VLOOKUP(CF23,IN_Zugliste!$A$4:$F$2002,7,FALSE),"")</f>
        <v/>
      </c>
      <c r="CG322" t="str">
        <f>+IFERROR(VLOOKUP(CG23,IN_Zugliste!$A$4:$F$2002,7,FALSE),"")</f>
        <v/>
      </c>
      <c r="CH322" t="str">
        <f>+IFERROR(VLOOKUP(CH23,IN_Zugliste!$A$4:$F$2002,7,FALSE),"")</f>
        <v/>
      </c>
      <c r="CI322" t="str">
        <f>+IFERROR(VLOOKUP(CI23,IN_Zugliste!$A$4:$F$2002,7,FALSE),"")</f>
        <v/>
      </c>
      <c r="CJ322" t="str">
        <f>+IFERROR(VLOOKUP(CJ23,IN_Zugliste!$A$4:$F$2002,7,FALSE),"")</f>
        <v/>
      </c>
      <c r="CK322" t="str">
        <f>+IFERROR(VLOOKUP(CK23,IN_Zugliste!$A$4:$F$2002,7,FALSE),"")</f>
        <v/>
      </c>
      <c r="CL322" t="str">
        <f>+IFERROR(VLOOKUP(CL23,IN_Zugliste!$A$4:$F$2002,7,FALSE),"")</f>
        <v/>
      </c>
      <c r="CM322" t="str">
        <f>+IFERROR(VLOOKUP(CM23,IN_Zugliste!$A$4:$F$2002,7,FALSE),"")</f>
        <v/>
      </c>
      <c r="CN322" t="str">
        <f>+IFERROR(VLOOKUP(CN23,IN_Zugliste!$A$4:$F$2002,7,FALSE),"")</f>
        <v/>
      </c>
      <c r="CO322" t="str">
        <f>+IFERROR(VLOOKUP(CO23,IN_Zugliste!$A$4:$F$2002,7,FALSE),"")</f>
        <v/>
      </c>
      <c r="CP322" t="str">
        <f>+IFERROR(VLOOKUP(CP23,IN_Zugliste!$A$4:$F$2002,7,FALSE),"")</f>
        <v/>
      </c>
      <c r="CQ322" t="str">
        <f>+IFERROR(VLOOKUP(CQ23,IN_Zugliste!$A$4:$F$2002,7,FALSE),"")</f>
        <v/>
      </c>
      <c r="CR322" t="str">
        <f>+IFERROR(VLOOKUP(CR23,IN_Zugliste!$A$4:$F$2002,7,FALSE),"")</f>
        <v/>
      </c>
      <c r="CS322" t="str">
        <f>+IFERROR(VLOOKUP(CS23,IN_Zugliste!$A$4:$F$2002,7,FALSE),"")</f>
        <v/>
      </c>
      <c r="CT322" t="str">
        <f>+IFERROR(VLOOKUP(CT23,IN_Zugliste!$A$4:$F$2002,7,FALSE),"")</f>
        <v/>
      </c>
      <c r="CU322" t="str">
        <f>+IFERROR(VLOOKUP(CU23,IN_Zugliste!$A$4:$F$2002,7,FALSE),"")</f>
        <v/>
      </c>
      <c r="CV322" t="str">
        <f>+IFERROR(VLOOKUP(CV23,IN_Zugliste!$A$4:$F$2002,7,FALSE),"")</f>
        <v/>
      </c>
      <c r="CW322" t="str">
        <f>+IFERROR(VLOOKUP(CW23,IN_Zugliste!$A$4:$F$2002,7,FALSE),"")</f>
        <v/>
      </c>
      <c r="CX322" t="str">
        <f>+IFERROR(VLOOKUP(CX23,IN_Zugliste!$A$4:$F$2002,7,FALSE),"")</f>
        <v/>
      </c>
      <c r="CY322" t="str">
        <f>+IFERROR(VLOOKUP(CY23,IN_Zugliste!$A$4:$F$2002,7,FALSE),"")</f>
        <v/>
      </c>
      <c r="CZ322" t="str">
        <f>+IFERROR(VLOOKUP(CZ23,IN_Zugliste!$A$4:$F$2002,7,FALSE),"")</f>
        <v/>
      </c>
      <c r="DA322" t="str">
        <f>+IFERROR(VLOOKUP(DA23,IN_Zugliste!$A$4:$F$2002,7,FALSE),"")</f>
        <v/>
      </c>
      <c r="DB322" t="str">
        <f>+IFERROR(VLOOKUP(DB23,IN_Zugliste!$A$4:$F$2002,7,FALSE),"")</f>
        <v/>
      </c>
      <c r="DC322" t="str">
        <f>+IFERROR(VLOOKUP(DC23,IN_Zugliste!$A$4:$F$2002,7,FALSE),"")</f>
        <v/>
      </c>
      <c r="DD322" t="str">
        <f>+IFERROR(VLOOKUP(DD23,IN_Zugliste!$A$4:$F$2002,7,FALSE),"")</f>
        <v/>
      </c>
      <c r="DE322" t="str">
        <f>+IFERROR(VLOOKUP(DE23,IN_Zugliste!$A$4:$F$2002,7,FALSE),"")</f>
        <v/>
      </c>
      <c r="DF322" t="str">
        <f>+IFERROR(VLOOKUP(DF23,IN_Zugliste!$A$4:$F$2002,7,FALSE),"")</f>
        <v/>
      </c>
      <c r="DG322" t="str">
        <f>+IFERROR(VLOOKUP(DG23,IN_Zugliste!$A$4:$F$2002,7,FALSE),"")</f>
        <v/>
      </c>
      <c r="DH322" t="str">
        <f>+IFERROR(VLOOKUP(DH23,IN_Zugliste!$A$4:$F$2002,7,FALSE),"")</f>
        <v/>
      </c>
      <c r="DI322" t="str">
        <f>+IFERROR(VLOOKUP(DI23,IN_Zugliste!$A$4:$F$2002,7,FALSE),"")</f>
        <v/>
      </c>
      <c r="DJ322" t="str">
        <f>+IFERROR(VLOOKUP(DJ23,IN_Zugliste!$A$4:$F$2002,7,FALSE),"")</f>
        <v/>
      </c>
      <c r="DK322" t="str">
        <f>+IFERROR(VLOOKUP(DK23,IN_Zugliste!$A$4:$F$2002,7,FALSE),"")</f>
        <v/>
      </c>
      <c r="DL322" t="str">
        <f>+IFERROR(VLOOKUP(DL23,IN_Zugliste!$A$4:$F$2002,7,FALSE),"")</f>
        <v/>
      </c>
      <c r="DM322" t="str">
        <f>+IFERROR(VLOOKUP(DM23,IN_Zugliste!$A$4:$F$2002,7,FALSE),"")</f>
        <v/>
      </c>
      <c r="DN322" t="str">
        <f>+IFERROR(VLOOKUP(DN23,IN_Zugliste!$A$4:$F$2002,7,FALSE),"")</f>
        <v/>
      </c>
      <c r="DO322" t="str">
        <f>+IFERROR(VLOOKUP(DO23,IN_Zugliste!$A$4:$F$2002,7,FALSE),"")</f>
        <v/>
      </c>
      <c r="DP322" t="str">
        <f>+IFERROR(VLOOKUP(DP23,IN_Zugliste!$A$4:$F$2002,7,FALSE),"")</f>
        <v/>
      </c>
      <c r="DQ322" t="str">
        <f>+IFERROR(VLOOKUP(DQ23,IN_Zugliste!$A$4:$F$2002,7,FALSE),"")</f>
        <v/>
      </c>
      <c r="DR322" t="str">
        <f>+IFERROR(VLOOKUP(DR23,IN_Zugliste!$A$4:$F$2002,7,FALSE),"")</f>
        <v/>
      </c>
      <c r="DS322" t="str">
        <f>+IFERROR(VLOOKUP(DS23,IN_Zugliste!$A$4:$F$2002,7,FALSE),"")</f>
        <v/>
      </c>
      <c r="DT322" t="str">
        <f>+IFERROR(VLOOKUP(DT23,IN_Zugliste!$A$4:$F$2002,7,FALSE),"")</f>
        <v/>
      </c>
      <c r="DU322" t="str">
        <f>+IFERROR(VLOOKUP(DU23,IN_Zugliste!$A$4:$F$2002,7,FALSE),"")</f>
        <v/>
      </c>
      <c r="DV322" t="str">
        <f>+IFERROR(VLOOKUP(DV23,IN_Zugliste!$A$4:$F$2002,7,FALSE),"")</f>
        <v/>
      </c>
      <c r="DW322" t="str">
        <f>+IFERROR(VLOOKUP(DW23,IN_Zugliste!$A$4:$F$2002,7,FALSE),"")</f>
        <v/>
      </c>
      <c r="DX322" t="str">
        <f>+IFERROR(VLOOKUP(DX23,IN_Zugliste!$A$4:$F$2002,7,FALSE),"")</f>
        <v/>
      </c>
      <c r="DY322" t="str">
        <f>+IFERROR(VLOOKUP(DY23,IN_Zugliste!$A$4:$F$2002,7,FALSE),"")</f>
        <v/>
      </c>
      <c r="DZ322" t="str">
        <f>+IFERROR(VLOOKUP(DZ23,IN_Zugliste!$A$4:$F$2002,7,FALSE),"")</f>
        <v/>
      </c>
      <c r="EA322" t="str">
        <f>+IFERROR(VLOOKUP(EA23,IN_Zugliste!$A$4:$F$2002,7,FALSE),"")</f>
        <v/>
      </c>
      <c r="EB322" t="str">
        <f>+IFERROR(VLOOKUP(EB23,IN_Zugliste!$A$4:$F$2002,7,FALSE),"")</f>
        <v/>
      </c>
      <c r="EC322" t="str">
        <f>+IFERROR(VLOOKUP(EC23,IN_Zugliste!$A$4:$F$2002,7,FALSE),"")</f>
        <v/>
      </c>
      <c r="ED322" t="str">
        <f>+IFERROR(VLOOKUP(ED23,IN_Zugliste!$A$4:$F$2002,7,FALSE),"")</f>
        <v/>
      </c>
      <c r="EE322" t="str">
        <f>+IFERROR(VLOOKUP(EE23,IN_Zugliste!$A$4:$F$2002,7,FALSE),"")</f>
        <v/>
      </c>
      <c r="EF322" t="str">
        <f>+IFERROR(VLOOKUP(EF23,IN_Zugliste!$A$4:$F$2002,7,FALSE),"")</f>
        <v/>
      </c>
      <c r="EG322" t="str">
        <f>+IFERROR(VLOOKUP(EG23,IN_Zugliste!$A$4:$F$2002,7,FALSE),"")</f>
        <v/>
      </c>
      <c r="EH322" t="str">
        <f>+IFERROR(VLOOKUP(EH23,IN_Zugliste!$A$4:$F$2002,7,FALSE),"")</f>
        <v/>
      </c>
      <c r="EI322" t="str">
        <f>+IFERROR(VLOOKUP(EI23,IN_Zugliste!$A$4:$F$2002,7,FALSE),"")</f>
        <v/>
      </c>
      <c r="EJ322" t="str">
        <f>+IFERROR(VLOOKUP(EJ23,IN_Zugliste!$A$4:$F$2002,7,FALSE),"")</f>
        <v/>
      </c>
      <c r="EK322" t="str">
        <f>+IFERROR(VLOOKUP(EK23,IN_Zugliste!$A$4:$F$2002,7,FALSE),"")</f>
        <v/>
      </c>
      <c r="EL322" t="str">
        <f>+IFERROR(VLOOKUP(EL23,IN_Zugliste!$A$4:$F$2002,7,FALSE),"")</f>
        <v/>
      </c>
      <c r="EM322" t="str">
        <f>+IFERROR(VLOOKUP(EM23,IN_Zugliste!$A$4:$F$2002,7,FALSE),"")</f>
        <v/>
      </c>
      <c r="EN322" t="str">
        <f>+IFERROR(VLOOKUP(EN23,IN_Zugliste!$A$4:$F$2002,7,FALSE),"")</f>
        <v/>
      </c>
      <c r="EO322" t="str">
        <f>+IFERROR(VLOOKUP(EO23,IN_Zugliste!$A$4:$F$2002,7,FALSE),"")</f>
        <v/>
      </c>
      <c r="EP322" t="str">
        <f>+IFERROR(VLOOKUP(EP23,IN_Zugliste!$A$4:$F$2002,7,FALSE),"")</f>
        <v/>
      </c>
      <c r="EQ322" t="str">
        <f>+IFERROR(VLOOKUP(EQ23,IN_Zugliste!$A$4:$F$2002,7,FALSE),"")</f>
        <v/>
      </c>
      <c r="ER322" t="str">
        <f>+IFERROR(VLOOKUP(ER23,IN_Zugliste!$A$4:$F$2002,7,FALSE),"")</f>
        <v/>
      </c>
      <c r="ES322" t="str">
        <f>+IFERROR(VLOOKUP(ES23,IN_Zugliste!$A$4:$F$2002,7,FALSE),"")</f>
        <v/>
      </c>
      <c r="ET322" t="str">
        <f>+IFERROR(VLOOKUP(ET23,IN_Zugliste!$A$4:$F$2002,7,FALSE),"")</f>
        <v/>
      </c>
      <c r="EU322" t="str">
        <f>+IFERROR(VLOOKUP(EU23,IN_Zugliste!$A$4:$F$2002,7,FALSE),"")</f>
        <v/>
      </c>
      <c r="EV322" t="str">
        <f>+IFERROR(VLOOKUP(EV23,IN_Zugliste!$A$4:$F$2002,7,FALSE),"")</f>
        <v/>
      </c>
      <c r="EW322" t="str">
        <f>+IFERROR(VLOOKUP(EW23,IN_Zugliste!$A$4:$F$2002,7,FALSE),"")</f>
        <v/>
      </c>
      <c r="EX322" t="str">
        <f>+IFERROR(VLOOKUP(EX23,IN_Zugliste!$A$4:$F$2002,7,FALSE),"")</f>
        <v/>
      </c>
      <c r="EY322" t="str">
        <f>+IFERROR(VLOOKUP(EY23,IN_Zugliste!$A$4:$F$2002,7,FALSE),"")</f>
        <v/>
      </c>
      <c r="EZ322" t="str">
        <f>+IFERROR(VLOOKUP(EZ23,IN_Zugliste!$A$4:$F$2002,7,FALSE),"")</f>
        <v/>
      </c>
      <c r="FA322" t="str">
        <f>+IFERROR(VLOOKUP(FA23,IN_Zugliste!$A$4:$F$2002,7,FALSE),"")</f>
        <v/>
      </c>
      <c r="FB322" t="str">
        <f>+IFERROR(VLOOKUP(FB23,IN_Zugliste!$A$4:$F$2002,7,FALSE),"")</f>
        <v/>
      </c>
      <c r="FC322" t="str">
        <f>+IFERROR(VLOOKUP(FC23,IN_Zugliste!$A$4:$F$2002,7,FALSE),"")</f>
        <v/>
      </c>
      <c r="FD322" t="str">
        <f>+IFERROR(VLOOKUP(FD23,IN_Zugliste!$A$4:$F$2002,7,FALSE),"")</f>
        <v/>
      </c>
      <c r="FE322" t="str">
        <f>+IFERROR(VLOOKUP(FE23,IN_Zugliste!$A$4:$F$2002,7,FALSE),"")</f>
        <v/>
      </c>
      <c r="FF322" t="str">
        <f>+IFERROR(VLOOKUP(FF23,IN_Zugliste!$A$4:$F$2002,7,FALSE),"")</f>
        <v/>
      </c>
      <c r="FG322" t="str">
        <f>+IFERROR(VLOOKUP(FG23,IN_Zugliste!$A$4:$F$2002,7,FALSE),"")</f>
        <v/>
      </c>
      <c r="FH322" t="str">
        <f>+IFERROR(VLOOKUP(FH23,IN_Zugliste!$A$4:$F$2002,7,FALSE),"")</f>
        <v/>
      </c>
      <c r="FI322" t="str">
        <f>+IFERROR(VLOOKUP(FI23,IN_Zugliste!$A$4:$F$2002,7,FALSE),"")</f>
        <v/>
      </c>
      <c r="FJ322" t="str">
        <f>+IFERROR(VLOOKUP(FJ23,IN_Zugliste!$A$4:$F$2002,7,FALSE),"")</f>
        <v/>
      </c>
      <c r="FK322" t="str">
        <f>+IFERROR(VLOOKUP(FK23,IN_Zugliste!$A$4:$F$2002,7,FALSE),"")</f>
        <v/>
      </c>
      <c r="FL322" t="str">
        <f>+IFERROR(VLOOKUP(FL23,IN_Zugliste!$A$4:$F$2002,7,FALSE),"")</f>
        <v/>
      </c>
      <c r="FM322" t="str">
        <f>+IFERROR(VLOOKUP(FM23,IN_Zugliste!$A$4:$F$2002,7,FALSE),"")</f>
        <v/>
      </c>
      <c r="FN322" t="str">
        <f>+IFERROR(VLOOKUP(FN23,IN_Zugliste!$A$4:$F$2002,7,FALSE),"")</f>
        <v/>
      </c>
      <c r="FO322" t="str">
        <f>+IFERROR(VLOOKUP(FO23,IN_Zugliste!$A$4:$F$2002,7,FALSE),"")</f>
        <v/>
      </c>
      <c r="FP322" t="str">
        <f>+IFERROR(VLOOKUP(FP23,IN_Zugliste!$A$4:$F$2002,7,FALSE),"")</f>
        <v/>
      </c>
      <c r="FQ322" t="str">
        <f>+IFERROR(VLOOKUP(FQ23,IN_Zugliste!$A$4:$F$2002,7,FALSE),"")</f>
        <v/>
      </c>
      <c r="FR322" t="str">
        <f>+IFERROR(VLOOKUP(FR23,IN_Zugliste!$A$4:$F$2002,7,FALSE),"")</f>
        <v/>
      </c>
      <c r="FS322" t="str">
        <f>+IFERROR(VLOOKUP(FS23,IN_Zugliste!$A$4:$F$2002,7,FALSE),"")</f>
        <v/>
      </c>
      <c r="FT322" t="str">
        <f>+IFERROR(VLOOKUP(FT23,IN_Zugliste!$A$4:$F$2002,7,FALSE),"")</f>
        <v/>
      </c>
      <c r="FU322" t="str">
        <f>+IFERROR(VLOOKUP(FU23,IN_Zugliste!$A$4:$F$2002,7,FALSE),"")</f>
        <v/>
      </c>
      <c r="FV322" t="str">
        <f>+IFERROR(VLOOKUP(FV23,IN_Zugliste!$A$4:$F$2002,7,FALSE),"")</f>
        <v/>
      </c>
      <c r="FW322" t="str">
        <f>+IFERROR(VLOOKUP(FW23,IN_Zugliste!$A$4:$F$2002,7,FALSE),"")</f>
        <v/>
      </c>
      <c r="FX322" t="str">
        <f>+IFERROR(VLOOKUP(FX23,IN_Zugliste!$A$4:$F$2002,7,FALSE),"")</f>
        <v/>
      </c>
      <c r="FY322" t="str">
        <f>+IFERROR(VLOOKUP(FY23,IN_Zugliste!$A$4:$F$2002,7,FALSE),"")</f>
        <v/>
      </c>
      <c r="FZ322" t="str">
        <f>+IFERROR(VLOOKUP(FZ23,IN_Zugliste!$A$4:$F$2002,7,FALSE),"")</f>
        <v/>
      </c>
      <c r="GA322" t="str">
        <f>+IFERROR(VLOOKUP(GA23,IN_Zugliste!$A$4:$F$2002,7,FALSE),"")</f>
        <v/>
      </c>
      <c r="GB322" t="str">
        <f>+IFERROR(VLOOKUP(GB23,IN_Zugliste!$A$4:$F$2002,7,FALSE),"")</f>
        <v/>
      </c>
      <c r="GC322" t="str">
        <f>+IFERROR(VLOOKUP(GC23,IN_Zugliste!$A$4:$F$2002,7,FALSE),"")</f>
        <v/>
      </c>
      <c r="GD322" t="str">
        <f>+IFERROR(VLOOKUP(GD23,IN_Zugliste!$A$4:$F$2002,7,FALSE),"")</f>
        <v/>
      </c>
      <c r="GE322" t="str">
        <f>+IFERROR(VLOOKUP(GE23,IN_Zugliste!$A$4:$F$2002,7,FALSE),"")</f>
        <v/>
      </c>
      <c r="GF322" t="str">
        <f>+IFERROR(VLOOKUP(GF23,IN_Zugliste!$A$4:$F$2002,7,FALSE),"")</f>
        <v/>
      </c>
      <c r="GG322" t="str">
        <f>+IFERROR(VLOOKUP(GG23,IN_Zugliste!$A$4:$F$2002,7,FALSE),"")</f>
        <v/>
      </c>
      <c r="GH322" t="str">
        <f>+IFERROR(VLOOKUP(GH23,IN_Zugliste!$A$4:$F$2002,7,FALSE),"")</f>
        <v/>
      </c>
      <c r="GI322" t="str">
        <f>+IFERROR(VLOOKUP(GI23,IN_Zugliste!$A$4:$F$2002,7,FALSE),"")</f>
        <v/>
      </c>
      <c r="GJ322" t="str">
        <f>+IFERROR(VLOOKUP(GJ23,IN_Zugliste!$A$4:$F$2002,7,FALSE),"")</f>
        <v/>
      </c>
      <c r="GK322" t="str">
        <f>+IFERROR(VLOOKUP(GK23,IN_Zugliste!$A$4:$F$2002,7,FALSE),"")</f>
        <v/>
      </c>
      <c r="GL322" t="str">
        <f>+IFERROR(VLOOKUP(GL23,IN_Zugliste!$A$4:$F$2002,7,FALSE),"")</f>
        <v/>
      </c>
      <c r="GM322" t="str">
        <f>+IFERROR(VLOOKUP(GM23,IN_Zugliste!$A$4:$F$2002,7,FALSE),"")</f>
        <v/>
      </c>
      <c r="GN322" t="str">
        <f>+IFERROR(VLOOKUP(GN23,IN_Zugliste!$A$4:$F$2002,7,FALSE),"")</f>
        <v/>
      </c>
      <c r="GO322" t="str">
        <f>+IFERROR(VLOOKUP(GO23,IN_Zugliste!$A$4:$F$2002,7,FALSE),"")</f>
        <v/>
      </c>
      <c r="GP322" t="str">
        <f>+IFERROR(VLOOKUP(GP23,IN_Zugliste!$A$4:$F$2002,7,FALSE),"")</f>
        <v/>
      </c>
      <c r="GQ322" t="str">
        <f>+IFERROR(VLOOKUP(GQ23,IN_Zugliste!$A$4:$F$2002,7,FALSE),"")</f>
        <v/>
      </c>
      <c r="GR322" t="str">
        <f>+IFERROR(VLOOKUP(GR23,IN_Zugliste!$A$4:$F$2002,7,FALSE),"")</f>
        <v/>
      </c>
      <c r="GS322" t="str">
        <f>+IFERROR(VLOOKUP(GS23,IN_Zugliste!$A$4:$F$2002,7,FALSE),"")</f>
        <v/>
      </c>
      <c r="GT322" t="str">
        <f>+IFERROR(VLOOKUP(GT23,IN_Zugliste!$A$4:$F$2002,7,FALSE),"")</f>
        <v/>
      </c>
      <c r="GU322" t="str">
        <f>+IFERROR(VLOOKUP(GU23,IN_Zugliste!$A$4:$F$2002,7,FALSE),"")</f>
        <v/>
      </c>
      <c r="GV322" t="str">
        <f>+IFERROR(VLOOKUP(GV23,IN_Zugliste!$A$4:$F$2002,7,FALSE),"")</f>
        <v/>
      </c>
      <c r="GW322" t="str">
        <f>+IFERROR(VLOOKUP(GW23,IN_Zugliste!$A$4:$F$2002,7,FALSE),"")</f>
        <v/>
      </c>
      <c r="GX322" t="str">
        <f>+IFERROR(VLOOKUP(GX23,IN_Zugliste!$A$4:$F$2002,7,FALSE),"")</f>
        <v/>
      </c>
      <c r="GY322" t="str">
        <f>+IFERROR(VLOOKUP(GY23,IN_Zugliste!$A$4:$F$2002,7,FALSE),"")</f>
        <v/>
      </c>
      <c r="GZ322" t="str">
        <f>+IFERROR(VLOOKUP(GZ23,IN_Zugliste!$A$4:$F$2002,7,FALSE),"")</f>
        <v/>
      </c>
      <c r="HA322" t="str">
        <f>+IFERROR(VLOOKUP(HA23,IN_Zugliste!$A$4:$F$2002,7,FALSE),"")</f>
        <v/>
      </c>
      <c r="HB322" t="str">
        <f>+IFERROR(VLOOKUP(HB23,IN_Zugliste!$A$4:$F$2002,7,FALSE),"")</f>
        <v/>
      </c>
      <c r="HC322" t="str">
        <f>+IFERROR(VLOOKUP(HC23,IN_Zugliste!$A$4:$F$2002,7,FALSE),"")</f>
        <v/>
      </c>
      <c r="HD322" t="str">
        <f>+IFERROR(VLOOKUP(HD23,IN_Zugliste!$A$4:$F$2002,7,FALSE),"")</f>
        <v/>
      </c>
      <c r="HE322" t="str">
        <f>+IFERROR(VLOOKUP(HE23,IN_Zugliste!$A$4:$F$2002,7,FALSE),"")</f>
        <v/>
      </c>
      <c r="HF322" t="str">
        <f>+IFERROR(VLOOKUP(HF23,IN_Zugliste!$A$4:$F$2002,7,FALSE),"")</f>
        <v/>
      </c>
      <c r="HG322" t="str">
        <f>+IFERROR(VLOOKUP(HG23,IN_Zugliste!$A$4:$F$2002,7,FALSE),"")</f>
        <v/>
      </c>
      <c r="HH322" t="str">
        <f>+IFERROR(VLOOKUP(HH23,IN_Zugliste!$A$4:$F$2002,7,FALSE),"")</f>
        <v/>
      </c>
      <c r="HI322" t="str">
        <f>+IFERROR(VLOOKUP(HI23,IN_Zugliste!$A$4:$F$2002,7,FALSE),"")</f>
        <v/>
      </c>
      <c r="HJ322" t="str">
        <f>+IFERROR(VLOOKUP(HJ23,IN_Zugliste!$A$4:$F$2002,7,FALSE),"")</f>
        <v/>
      </c>
      <c r="HK322" t="str">
        <f>+IFERROR(VLOOKUP(HK23,IN_Zugliste!$A$4:$F$2002,7,FALSE),"")</f>
        <v/>
      </c>
      <c r="HL322" t="str">
        <f>+IFERROR(VLOOKUP(HL23,IN_Zugliste!$A$4:$F$2002,7,FALSE),"")</f>
        <v/>
      </c>
      <c r="HM322" t="str">
        <f>+IFERROR(VLOOKUP(HM23,IN_Zugliste!$A$4:$F$2002,7,FALSE),"")</f>
        <v/>
      </c>
      <c r="HN322" t="str">
        <f>+IFERROR(VLOOKUP(HN23,IN_Zugliste!$A$4:$F$2002,7,FALSE),"")</f>
        <v/>
      </c>
      <c r="HO322" t="str">
        <f>+IFERROR(VLOOKUP(HO23,IN_Zugliste!$A$4:$F$2002,7,FALSE),"")</f>
        <v/>
      </c>
      <c r="HP322" t="str">
        <f>+IFERROR(VLOOKUP(HP23,IN_Zugliste!$A$4:$F$2002,7,FALSE),"")</f>
        <v/>
      </c>
      <c r="HQ322" t="str">
        <f>+IFERROR(VLOOKUP(HQ23,IN_Zugliste!$A$4:$F$2002,7,FALSE),"")</f>
        <v/>
      </c>
      <c r="HR322" t="str">
        <f>+IFERROR(VLOOKUP(HR23,IN_Zugliste!$A$4:$F$2002,7,FALSE),"")</f>
        <v/>
      </c>
      <c r="HS322" t="str">
        <f>+IFERROR(VLOOKUP(HS23,IN_Zugliste!$A$4:$F$2002,7,FALSE),"")</f>
        <v/>
      </c>
      <c r="HT322" t="str">
        <f>+IFERROR(VLOOKUP(HT23,IN_Zugliste!$A$4:$F$2002,7,FALSE),"")</f>
        <v/>
      </c>
      <c r="HU322" t="str">
        <f>+IFERROR(VLOOKUP(HU23,IN_Zugliste!$A$4:$F$2002,7,FALSE),"")</f>
        <v/>
      </c>
      <c r="HV322" t="str">
        <f>+IFERROR(VLOOKUP(HV23,IN_Zugliste!$A$4:$F$2002,7,FALSE),"")</f>
        <v/>
      </c>
      <c r="HW322" t="str">
        <f>+IFERROR(VLOOKUP(HW23,IN_Zugliste!$A$4:$F$2002,7,FALSE),"")</f>
        <v/>
      </c>
      <c r="HX322" t="str">
        <f>+IFERROR(VLOOKUP(HX23,IN_Zugliste!$A$4:$F$2002,7,FALSE),"")</f>
        <v/>
      </c>
      <c r="HY322" t="str">
        <f>+IFERROR(VLOOKUP(HY23,IN_Zugliste!$A$4:$F$2002,7,FALSE),"")</f>
        <v/>
      </c>
      <c r="HZ322" t="str">
        <f>+IFERROR(VLOOKUP(HZ23,IN_Zugliste!$A$4:$F$2002,7,FALSE),"")</f>
        <v/>
      </c>
      <c r="IA322" t="str">
        <f>+IFERROR(VLOOKUP(IA23,IN_Zugliste!$A$4:$F$2002,7,FALSE),"")</f>
        <v/>
      </c>
      <c r="IB322" t="str">
        <f>+IFERROR(VLOOKUP(IB23,IN_Zugliste!$A$4:$F$2002,7,FALSE),"")</f>
        <v/>
      </c>
      <c r="IC322" t="str">
        <f>+IFERROR(VLOOKUP(IC23,IN_Zugliste!$A$4:$F$2002,7,FALSE),"")</f>
        <v/>
      </c>
      <c r="ID322" t="str">
        <f>+IFERROR(VLOOKUP(ID23,IN_Zugliste!$A$4:$F$2002,7,FALSE),"")</f>
        <v/>
      </c>
      <c r="IE322" t="str">
        <f>+IFERROR(VLOOKUP(IE23,IN_Zugliste!$A$4:$F$2002,7,FALSE),"")</f>
        <v/>
      </c>
      <c r="IF322" t="str">
        <f>+IFERROR(VLOOKUP(IF23,IN_Zugliste!$A$4:$F$2002,7,FALSE),"")</f>
        <v/>
      </c>
      <c r="IG322" t="str">
        <f>+IFERROR(VLOOKUP(IG23,IN_Zugliste!$A$4:$F$2002,7,FALSE),"")</f>
        <v/>
      </c>
      <c r="IH322" t="str">
        <f>+IFERROR(VLOOKUP(IH23,IN_Zugliste!$A$4:$F$2002,7,FALSE),"")</f>
        <v/>
      </c>
      <c r="II322" t="str">
        <f>+IFERROR(VLOOKUP(II23,IN_Zugliste!$A$4:$F$2002,7,FALSE),"")</f>
        <v/>
      </c>
      <c r="IJ322" t="str">
        <f>+IFERROR(VLOOKUP(IJ23,IN_Zugliste!$A$4:$F$2002,7,FALSE),"")</f>
        <v/>
      </c>
      <c r="IK322" t="str">
        <f>+IFERROR(VLOOKUP(IK23,IN_Zugliste!$A$4:$F$2002,7,FALSE),"")</f>
        <v/>
      </c>
      <c r="IL322" t="str">
        <f>+IFERROR(VLOOKUP(IL23,IN_Zugliste!$A$4:$F$2002,7,FALSE),"")</f>
        <v/>
      </c>
      <c r="IM322" t="str">
        <f>+IFERROR(VLOOKUP(IM23,IN_Zugliste!$A$4:$F$2002,7,FALSE),"")</f>
        <v/>
      </c>
      <c r="IN322" t="str">
        <f>+IFERROR(VLOOKUP(IN23,IN_Zugliste!$A$4:$F$2002,7,FALSE),"")</f>
        <v/>
      </c>
      <c r="IO322" t="str">
        <f>+IFERROR(VLOOKUP(IO23,IN_Zugliste!$A$4:$F$2002,7,FALSE),"")</f>
        <v/>
      </c>
      <c r="IP322" t="str">
        <f>+IFERROR(VLOOKUP(IP23,IN_Zugliste!$A$4:$F$2002,7,FALSE),"")</f>
        <v/>
      </c>
      <c r="IQ322" t="str">
        <f>+IFERROR(VLOOKUP(IQ23,IN_Zugliste!$A$4:$F$2002,7,FALSE),"")</f>
        <v/>
      </c>
      <c r="IR322" t="str">
        <f>+IFERROR(VLOOKUP(IR23,IN_Zugliste!$A$4:$F$2002,7,FALSE),"")</f>
        <v/>
      </c>
      <c r="IS322" t="str">
        <f>+IFERROR(VLOOKUP(IS23,IN_Zugliste!$A$4:$F$2002,7,FALSE),"")</f>
        <v/>
      </c>
      <c r="IT322" t="str">
        <f>+IFERROR(VLOOKUP(IT23,IN_Zugliste!$A$4:$F$2002,7,FALSE),"")</f>
        <v/>
      </c>
      <c r="IU322" t="str">
        <f>+IFERROR(VLOOKUP(IU23,IN_Zugliste!$A$4:$F$2002,7,FALSE),"")</f>
        <v/>
      </c>
      <c r="IV322" t="str">
        <f>+IFERROR(VLOOKUP(IV23,IN_Zugliste!$A$4:$F$2002,7,FALSE),"")</f>
        <v/>
      </c>
      <c r="IW322" t="str">
        <f>+IFERROR(VLOOKUP(IW23,IN_Zugliste!$A$4:$F$2002,7,FALSE),"")</f>
        <v/>
      </c>
      <c r="IX322" t="str">
        <f>+IFERROR(VLOOKUP(IX23,IN_Zugliste!$A$4:$F$2002,7,FALSE),"")</f>
        <v/>
      </c>
      <c r="IY322" t="str">
        <f>+IFERROR(VLOOKUP(IY23,IN_Zugliste!$A$4:$F$2002,7,FALSE),"")</f>
        <v/>
      </c>
      <c r="IZ322" t="str">
        <f>+IFERROR(VLOOKUP(IZ23,IN_Zugliste!$A$4:$F$2002,7,FALSE),"")</f>
        <v/>
      </c>
      <c r="JA322" t="str">
        <f>+IFERROR(VLOOKUP(JA23,IN_Zugliste!$A$4:$F$2002,7,FALSE),"")</f>
        <v/>
      </c>
      <c r="JB322" t="str">
        <f>+IFERROR(VLOOKUP(JB23,IN_Zugliste!$A$4:$F$2002,7,FALSE),"")</f>
        <v/>
      </c>
      <c r="JC322" t="str">
        <f>+IFERROR(VLOOKUP(JC23,IN_Zugliste!$A$4:$F$2002,7,FALSE),"")</f>
        <v/>
      </c>
      <c r="JD322" t="str">
        <f>+IFERROR(VLOOKUP(JD23,IN_Zugliste!$A$4:$F$2002,7,FALSE),"")</f>
        <v/>
      </c>
      <c r="JE322" t="str">
        <f>+IFERROR(VLOOKUP(JE23,IN_Zugliste!$A$4:$F$2002,7,FALSE),"")</f>
        <v/>
      </c>
      <c r="JF322" t="str">
        <f>+IFERROR(VLOOKUP(JF23,IN_Zugliste!$A$4:$F$2002,7,FALSE),"")</f>
        <v/>
      </c>
      <c r="JG322" t="str">
        <f>+IFERROR(VLOOKUP(JG23,IN_Zugliste!$A$4:$F$2002,7,FALSE),"")</f>
        <v/>
      </c>
      <c r="JH322" t="str">
        <f>+IFERROR(VLOOKUP(JH23,IN_Zugliste!$A$4:$F$2002,7,FALSE),"")</f>
        <v/>
      </c>
      <c r="JI322" t="str">
        <f>+IFERROR(VLOOKUP(JI23,IN_Zugliste!$A$4:$F$2002,7,FALSE),"")</f>
        <v/>
      </c>
      <c r="JJ322" t="str">
        <f>+IFERROR(VLOOKUP(JJ23,IN_Zugliste!$A$4:$F$2002,7,FALSE),"")</f>
        <v/>
      </c>
    </row>
    <row r="323" spans="1:270" x14ac:dyDescent="0.2">
      <c r="A323" t="str">
        <f>+IFERROR(VLOOKUP(A24,IN_Zugliste!$A$4:$F$2002,7,FALSE),"")</f>
        <v/>
      </c>
      <c r="B323" t="str">
        <f>+IFERROR(VLOOKUP(B24,IN_Zugliste!$A$4:$F$2002,7,FALSE),"")</f>
        <v/>
      </c>
      <c r="C323" t="str">
        <f>+IFERROR(VLOOKUP(C24,IN_Zugliste!$A$4:$F$2002,7,FALSE),"")</f>
        <v/>
      </c>
      <c r="D323" t="str">
        <f>+IFERROR(VLOOKUP(D24,IN_Zugliste!$A$4:$F$2002,7,FALSE),"")</f>
        <v/>
      </c>
      <c r="E323" t="str">
        <f>+IFERROR(VLOOKUP(E24,IN_Zugliste!$A$4:$F$2002,7,FALSE),"")</f>
        <v/>
      </c>
      <c r="F323" t="str">
        <f>+IFERROR(VLOOKUP(F24,IN_Zugliste!$A$4:$F$2002,7,FALSE),"")</f>
        <v/>
      </c>
      <c r="G323" t="str">
        <f>+IFERROR(VLOOKUP(G24,IN_Zugliste!$A$4:$F$2002,7,FALSE),"")</f>
        <v/>
      </c>
      <c r="H323" t="str">
        <f>+IFERROR(VLOOKUP(H24,IN_Zugliste!$A$4:$F$2002,7,FALSE),"")</f>
        <v/>
      </c>
      <c r="I323" t="str">
        <f>+IFERROR(VLOOKUP(I24,IN_Zugliste!$A$4:$F$2002,7,FALSE),"")</f>
        <v/>
      </c>
      <c r="J323" t="str">
        <f>+IFERROR(VLOOKUP(J24,IN_Zugliste!$A$4:$F$2002,7,FALSE),"")</f>
        <v/>
      </c>
      <c r="K323" t="str">
        <f>+IFERROR(VLOOKUP(K24,IN_Zugliste!$A$4:$F$2002,7,FALSE),"")</f>
        <v/>
      </c>
      <c r="L323" t="str">
        <f>+IFERROR(VLOOKUP(L24,IN_Zugliste!$A$4:$F$2002,7,FALSE),"")</f>
        <v/>
      </c>
      <c r="M323" t="str">
        <f>+IFERROR(VLOOKUP(M24,IN_Zugliste!$A$4:$F$2002,7,FALSE),"")</f>
        <v/>
      </c>
      <c r="N323" t="str">
        <f>+IFERROR(VLOOKUP(N24,IN_Zugliste!$A$4:$F$2002,7,FALSE),"")</f>
        <v/>
      </c>
      <c r="O323" t="str">
        <f>+IFERROR(VLOOKUP(O24,IN_Zugliste!$A$4:$F$2002,7,FALSE),"")</f>
        <v/>
      </c>
      <c r="P323" t="str">
        <f>+IFERROR(VLOOKUP(P24,IN_Zugliste!$A$4:$F$2002,7,FALSE),"")</f>
        <v/>
      </c>
      <c r="Q323" t="str">
        <f>+IFERROR(VLOOKUP(Q24,IN_Zugliste!$A$4:$F$2002,7,FALSE),"")</f>
        <v/>
      </c>
      <c r="R323" t="str">
        <f>+IFERROR(VLOOKUP(R24,IN_Zugliste!$A$4:$F$2002,7,FALSE),"")</f>
        <v/>
      </c>
      <c r="S323" t="str">
        <f>+IFERROR(VLOOKUP(S24,IN_Zugliste!$A$4:$F$2002,7,FALSE),"")</f>
        <v/>
      </c>
      <c r="T323" t="str">
        <f>+IFERROR(VLOOKUP(T24,IN_Zugliste!$A$4:$F$2002,7,FALSE),"")</f>
        <v/>
      </c>
      <c r="U323" t="str">
        <f>+IFERROR(VLOOKUP(U24,IN_Zugliste!$A$4:$F$2002,7,FALSE),"")</f>
        <v/>
      </c>
      <c r="V323" t="str">
        <f>+IFERROR(VLOOKUP(V24,IN_Zugliste!$A$4:$F$2002,7,FALSE),"")</f>
        <v/>
      </c>
      <c r="W323" t="str">
        <f>+IFERROR(VLOOKUP(W24,IN_Zugliste!$A$4:$F$2002,7,FALSE),"")</f>
        <v/>
      </c>
      <c r="X323" t="str">
        <f>+IFERROR(VLOOKUP(X24,IN_Zugliste!$A$4:$F$2002,7,FALSE),"")</f>
        <v/>
      </c>
      <c r="Y323" t="str">
        <f>+IFERROR(VLOOKUP(Y24,IN_Zugliste!$A$4:$F$2002,7,FALSE),"")</f>
        <v/>
      </c>
      <c r="Z323" t="str">
        <f>+IFERROR(VLOOKUP(Z24,IN_Zugliste!$A$4:$F$2002,7,FALSE),"")</f>
        <v/>
      </c>
      <c r="AA323" t="str">
        <f>+IFERROR(VLOOKUP(AA24,IN_Zugliste!$A$4:$F$2002,7,FALSE),"")</f>
        <v/>
      </c>
      <c r="AB323" t="str">
        <f>+IFERROR(VLOOKUP(AB24,IN_Zugliste!$A$4:$F$2002,7,FALSE),"")</f>
        <v/>
      </c>
      <c r="AC323" t="str">
        <f>+IFERROR(VLOOKUP(AC24,IN_Zugliste!$A$4:$F$2002,7,FALSE),"")</f>
        <v/>
      </c>
      <c r="AD323" t="str">
        <f>+IFERROR(VLOOKUP(AD24,IN_Zugliste!$A$4:$F$2002,7,FALSE),"")</f>
        <v/>
      </c>
      <c r="AE323" t="str">
        <f>+IFERROR(VLOOKUP(AE24,IN_Zugliste!$A$4:$F$2002,7,FALSE),"")</f>
        <v/>
      </c>
      <c r="AF323" t="str">
        <f>+IFERROR(VLOOKUP(AF24,IN_Zugliste!$A$4:$F$2002,7,FALSE),"")</f>
        <v/>
      </c>
      <c r="AG323" t="str">
        <f>+IFERROR(VLOOKUP(AG24,IN_Zugliste!$A$4:$F$2002,7,FALSE),"")</f>
        <v/>
      </c>
      <c r="AH323" t="str">
        <f>+IFERROR(VLOOKUP(AH24,IN_Zugliste!$A$4:$F$2002,7,FALSE),"")</f>
        <v/>
      </c>
      <c r="AI323" t="str">
        <f>+IFERROR(VLOOKUP(AI24,IN_Zugliste!$A$4:$F$2002,7,FALSE),"")</f>
        <v/>
      </c>
      <c r="AJ323" t="str">
        <f>+IFERROR(VLOOKUP(AJ24,IN_Zugliste!$A$4:$F$2002,7,FALSE),"")</f>
        <v/>
      </c>
      <c r="AK323" t="str">
        <f>+IFERROR(VLOOKUP(AK24,IN_Zugliste!$A$4:$F$2002,7,FALSE),"")</f>
        <v/>
      </c>
      <c r="AL323" t="str">
        <f>+IFERROR(VLOOKUP(AL24,IN_Zugliste!$A$4:$F$2002,7,FALSE),"")</f>
        <v/>
      </c>
      <c r="AM323" t="str">
        <f>+IFERROR(VLOOKUP(AM24,IN_Zugliste!$A$4:$F$2002,7,FALSE),"")</f>
        <v/>
      </c>
      <c r="AN323" t="str">
        <f>+IFERROR(VLOOKUP(AN24,IN_Zugliste!$A$4:$F$2002,7,FALSE),"")</f>
        <v/>
      </c>
      <c r="AO323" t="str">
        <f>+IFERROR(VLOOKUP(AO24,IN_Zugliste!$A$4:$F$2002,7,FALSE),"")</f>
        <v/>
      </c>
      <c r="AP323" t="str">
        <f>+IFERROR(VLOOKUP(AP24,IN_Zugliste!$A$4:$F$2002,7,FALSE),"")</f>
        <v/>
      </c>
      <c r="AQ323" t="str">
        <f>+IFERROR(VLOOKUP(AQ24,IN_Zugliste!$A$4:$F$2002,7,FALSE),"")</f>
        <v/>
      </c>
      <c r="AR323" t="str">
        <f>+IFERROR(VLOOKUP(AR24,IN_Zugliste!$A$4:$F$2002,7,FALSE),"")</f>
        <v/>
      </c>
      <c r="AS323" t="str">
        <f>+IFERROR(VLOOKUP(AS24,IN_Zugliste!$A$4:$F$2002,7,FALSE),"")</f>
        <v/>
      </c>
      <c r="AT323" t="str">
        <f>+IFERROR(VLOOKUP(AT24,IN_Zugliste!$A$4:$F$2002,7,FALSE),"")</f>
        <v/>
      </c>
      <c r="AU323" t="str">
        <f>+IFERROR(VLOOKUP(AU24,IN_Zugliste!$A$4:$F$2002,7,FALSE),"")</f>
        <v/>
      </c>
      <c r="AV323" t="str">
        <f>+IFERROR(VLOOKUP(AV24,IN_Zugliste!$A$4:$F$2002,7,FALSE),"")</f>
        <v/>
      </c>
      <c r="AW323" t="str">
        <f>+IFERROR(VLOOKUP(AW24,IN_Zugliste!$A$4:$F$2002,7,FALSE),"")</f>
        <v/>
      </c>
      <c r="AX323" t="str">
        <f>+IFERROR(VLOOKUP(AX24,IN_Zugliste!$A$4:$F$2002,7,FALSE),"")</f>
        <v/>
      </c>
      <c r="AY323" t="str">
        <f>+IFERROR(VLOOKUP(AY24,IN_Zugliste!$A$4:$F$2002,7,FALSE),"")</f>
        <v/>
      </c>
      <c r="AZ323" t="str">
        <f>+IFERROR(VLOOKUP(AZ24,IN_Zugliste!$A$4:$F$2002,7,FALSE),"")</f>
        <v/>
      </c>
      <c r="BA323" t="str">
        <f>+IFERROR(VLOOKUP(BA24,IN_Zugliste!$A$4:$F$2002,7,FALSE),"")</f>
        <v/>
      </c>
      <c r="BB323" t="str">
        <f>+IFERROR(VLOOKUP(BB24,IN_Zugliste!$A$4:$F$2002,7,FALSE),"")</f>
        <v/>
      </c>
      <c r="BC323" t="str">
        <f>+IFERROR(VLOOKUP(BC24,IN_Zugliste!$A$4:$F$2002,7,FALSE),"")</f>
        <v/>
      </c>
      <c r="BD323" t="str">
        <f>+IFERROR(VLOOKUP(BD24,IN_Zugliste!$A$4:$F$2002,7,FALSE),"")</f>
        <v/>
      </c>
      <c r="BE323" t="str">
        <f>+IFERROR(VLOOKUP(BE24,IN_Zugliste!$A$4:$F$2002,7,FALSE),"")</f>
        <v/>
      </c>
      <c r="BF323" t="str">
        <f>+IFERROR(VLOOKUP(BF24,IN_Zugliste!$A$4:$F$2002,7,FALSE),"")</f>
        <v/>
      </c>
      <c r="BG323" t="str">
        <f>+IFERROR(VLOOKUP(BG24,IN_Zugliste!$A$4:$F$2002,7,FALSE),"")</f>
        <v/>
      </c>
      <c r="BH323" t="str">
        <f>+IFERROR(VLOOKUP(BH24,IN_Zugliste!$A$4:$F$2002,7,FALSE),"")</f>
        <v/>
      </c>
      <c r="BI323" t="str">
        <f>+IFERROR(VLOOKUP(BI24,IN_Zugliste!$A$4:$F$2002,7,FALSE),"")</f>
        <v/>
      </c>
      <c r="BJ323" t="str">
        <f>+IFERROR(VLOOKUP(BJ24,IN_Zugliste!$A$4:$F$2002,7,FALSE),"")</f>
        <v/>
      </c>
      <c r="BK323" t="str">
        <f>+IFERROR(VLOOKUP(BK24,IN_Zugliste!$A$4:$F$2002,7,FALSE),"")</f>
        <v/>
      </c>
      <c r="BL323" t="str">
        <f>+IFERROR(VLOOKUP(BL24,IN_Zugliste!$A$4:$F$2002,7,FALSE),"")</f>
        <v/>
      </c>
      <c r="BM323" t="str">
        <f>+IFERROR(VLOOKUP(BM24,IN_Zugliste!$A$4:$F$2002,7,FALSE),"")</f>
        <v/>
      </c>
      <c r="BN323" t="str">
        <f>+IFERROR(VLOOKUP(BN24,IN_Zugliste!$A$4:$F$2002,7,FALSE),"")</f>
        <v/>
      </c>
      <c r="BO323" t="str">
        <f>+IFERROR(VLOOKUP(BO24,IN_Zugliste!$A$4:$F$2002,7,FALSE),"")</f>
        <v/>
      </c>
      <c r="BP323" t="str">
        <f>+IFERROR(VLOOKUP(BP24,IN_Zugliste!$A$4:$F$2002,7,FALSE),"")</f>
        <v/>
      </c>
      <c r="BQ323" t="str">
        <f>+IFERROR(VLOOKUP(BQ24,IN_Zugliste!$A$4:$F$2002,7,FALSE),"")</f>
        <v/>
      </c>
      <c r="BR323" t="str">
        <f>+IFERROR(VLOOKUP(BR24,IN_Zugliste!$A$4:$F$2002,7,FALSE),"")</f>
        <v/>
      </c>
      <c r="BS323" t="str">
        <f>+IFERROR(VLOOKUP(BS24,IN_Zugliste!$A$4:$F$2002,7,FALSE),"")</f>
        <v/>
      </c>
      <c r="BT323" t="str">
        <f>+IFERROR(VLOOKUP(BT24,IN_Zugliste!$A$4:$F$2002,7,FALSE),"")</f>
        <v/>
      </c>
      <c r="BU323" t="str">
        <f>+IFERROR(VLOOKUP(BU24,IN_Zugliste!$A$4:$F$2002,7,FALSE),"")</f>
        <v/>
      </c>
      <c r="BV323" t="str">
        <f>+IFERROR(VLOOKUP(BV24,IN_Zugliste!$A$4:$F$2002,7,FALSE),"")</f>
        <v/>
      </c>
      <c r="BW323" t="str">
        <f>+IFERROR(VLOOKUP(BW24,IN_Zugliste!$A$4:$F$2002,7,FALSE),"")</f>
        <v/>
      </c>
      <c r="BX323" t="str">
        <f>+IFERROR(VLOOKUP(BX24,IN_Zugliste!$A$4:$F$2002,7,FALSE),"")</f>
        <v/>
      </c>
      <c r="BY323" t="str">
        <f>+IFERROR(VLOOKUP(BY24,IN_Zugliste!$A$4:$F$2002,7,FALSE),"")</f>
        <v/>
      </c>
      <c r="BZ323" t="str">
        <f>+IFERROR(VLOOKUP(BZ24,IN_Zugliste!$A$4:$F$2002,7,FALSE),"")</f>
        <v/>
      </c>
      <c r="CA323" t="str">
        <f>+IFERROR(VLOOKUP(CA24,IN_Zugliste!$A$4:$F$2002,7,FALSE),"")</f>
        <v/>
      </c>
      <c r="CB323" t="str">
        <f>+IFERROR(VLOOKUP(CB24,IN_Zugliste!$A$4:$F$2002,7,FALSE),"")</f>
        <v/>
      </c>
      <c r="CC323" t="str">
        <f>+IFERROR(VLOOKUP(CC24,IN_Zugliste!$A$4:$F$2002,7,FALSE),"")</f>
        <v/>
      </c>
      <c r="CD323" t="str">
        <f>+IFERROR(VLOOKUP(CD24,IN_Zugliste!$A$4:$F$2002,7,FALSE),"")</f>
        <v/>
      </c>
      <c r="CE323" t="str">
        <f>+IFERROR(VLOOKUP(CE24,IN_Zugliste!$A$4:$F$2002,7,FALSE),"")</f>
        <v/>
      </c>
      <c r="CF323" t="str">
        <f>+IFERROR(VLOOKUP(CF24,IN_Zugliste!$A$4:$F$2002,7,FALSE),"")</f>
        <v/>
      </c>
      <c r="CG323" t="str">
        <f>+IFERROR(VLOOKUP(CG24,IN_Zugliste!$A$4:$F$2002,7,FALSE),"")</f>
        <v/>
      </c>
      <c r="CH323" t="str">
        <f>+IFERROR(VLOOKUP(CH24,IN_Zugliste!$A$4:$F$2002,7,FALSE),"")</f>
        <v/>
      </c>
      <c r="CI323" t="str">
        <f>+IFERROR(VLOOKUP(CI24,IN_Zugliste!$A$4:$F$2002,7,FALSE),"")</f>
        <v/>
      </c>
      <c r="CJ323" t="str">
        <f>+IFERROR(VLOOKUP(CJ24,IN_Zugliste!$A$4:$F$2002,7,FALSE),"")</f>
        <v/>
      </c>
      <c r="CK323" t="str">
        <f>+IFERROR(VLOOKUP(CK24,IN_Zugliste!$A$4:$F$2002,7,FALSE),"")</f>
        <v/>
      </c>
      <c r="CL323" t="str">
        <f>+IFERROR(VLOOKUP(CL24,IN_Zugliste!$A$4:$F$2002,7,FALSE),"")</f>
        <v/>
      </c>
      <c r="CM323" t="str">
        <f>+IFERROR(VLOOKUP(CM24,IN_Zugliste!$A$4:$F$2002,7,FALSE),"")</f>
        <v/>
      </c>
      <c r="CN323" t="str">
        <f>+IFERROR(VLOOKUP(CN24,IN_Zugliste!$A$4:$F$2002,7,FALSE),"")</f>
        <v/>
      </c>
      <c r="CO323" t="str">
        <f>+IFERROR(VLOOKUP(CO24,IN_Zugliste!$A$4:$F$2002,7,FALSE),"")</f>
        <v/>
      </c>
      <c r="CP323" t="str">
        <f>+IFERROR(VLOOKUP(CP24,IN_Zugliste!$A$4:$F$2002,7,FALSE),"")</f>
        <v/>
      </c>
      <c r="CQ323" t="str">
        <f>+IFERROR(VLOOKUP(CQ24,IN_Zugliste!$A$4:$F$2002,7,FALSE),"")</f>
        <v/>
      </c>
      <c r="CR323" t="str">
        <f>+IFERROR(VLOOKUP(CR24,IN_Zugliste!$A$4:$F$2002,7,FALSE),"")</f>
        <v/>
      </c>
      <c r="CS323" t="str">
        <f>+IFERROR(VLOOKUP(CS24,IN_Zugliste!$A$4:$F$2002,7,FALSE),"")</f>
        <v/>
      </c>
      <c r="CT323" t="str">
        <f>+IFERROR(VLOOKUP(CT24,IN_Zugliste!$A$4:$F$2002,7,FALSE),"")</f>
        <v/>
      </c>
      <c r="CU323" t="str">
        <f>+IFERROR(VLOOKUP(CU24,IN_Zugliste!$A$4:$F$2002,7,FALSE),"")</f>
        <v/>
      </c>
      <c r="CV323" t="str">
        <f>+IFERROR(VLOOKUP(CV24,IN_Zugliste!$A$4:$F$2002,7,FALSE),"")</f>
        <v/>
      </c>
      <c r="CW323" t="str">
        <f>+IFERROR(VLOOKUP(CW24,IN_Zugliste!$A$4:$F$2002,7,FALSE),"")</f>
        <v/>
      </c>
      <c r="CX323" t="str">
        <f>+IFERROR(VLOOKUP(CX24,IN_Zugliste!$A$4:$F$2002,7,FALSE),"")</f>
        <v/>
      </c>
      <c r="CY323" t="str">
        <f>+IFERROR(VLOOKUP(CY24,IN_Zugliste!$A$4:$F$2002,7,FALSE),"")</f>
        <v/>
      </c>
      <c r="CZ323" t="str">
        <f>+IFERROR(VLOOKUP(CZ24,IN_Zugliste!$A$4:$F$2002,7,FALSE),"")</f>
        <v/>
      </c>
      <c r="DA323" t="str">
        <f>+IFERROR(VLOOKUP(DA24,IN_Zugliste!$A$4:$F$2002,7,FALSE),"")</f>
        <v/>
      </c>
      <c r="DB323" t="str">
        <f>+IFERROR(VLOOKUP(DB24,IN_Zugliste!$A$4:$F$2002,7,FALSE),"")</f>
        <v/>
      </c>
      <c r="DC323" t="str">
        <f>+IFERROR(VLOOKUP(DC24,IN_Zugliste!$A$4:$F$2002,7,FALSE),"")</f>
        <v/>
      </c>
      <c r="DD323" t="str">
        <f>+IFERROR(VLOOKUP(DD24,IN_Zugliste!$A$4:$F$2002,7,FALSE),"")</f>
        <v/>
      </c>
      <c r="DE323" t="str">
        <f>+IFERROR(VLOOKUP(DE24,IN_Zugliste!$A$4:$F$2002,7,FALSE),"")</f>
        <v/>
      </c>
      <c r="DF323" t="str">
        <f>+IFERROR(VLOOKUP(DF24,IN_Zugliste!$A$4:$F$2002,7,FALSE),"")</f>
        <v/>
      </c>
      <c r="DG323" t="str">
        <f>+IFERROR(VLOOKUP(DG24,IN_Zugliste!$A$4:$F$2002,7,FALSE),"")</f>
        <v/>
      </c>
      <c r="DH323" t="str">
        <f>+IFERROR(VLOOKUP(DH24,IN_Zugliste!$A$4:$F$2002,7,FALSE),"")</f>
        <v/>
      </c>
      <c r="DI323" t="str">
        <f>+IFERROR(VLOOKUP(DI24,IN_Zugliste!$A$4:$F$2002,7,FALSE),"")</f>
        <v/>
      </c>
      <c r="DJ323" t="str">
        <f>+IFERROR(VLOOKUP(DJ24,IN_Zugliste!$A$4:$F$2002,7,FALSE),"")</f>
        <v/>
      </c>
      <c r="DK323" t="str">
        <f>+IFERROR(VLOOKUP(DK24,IN_Zugliste!$A$4:$F$2002,7,FALSE),"")</f>
        <v/>
      </c>
      <c r="DL323" t="str">
        <f>+IFERROR(VLOOKUP(DL24,IN_Zugliste!$A$4:$F$2002,7,FALSE),"")</f>
        <v/>
      </c>
      <c r="DM323" t="str">
        <f>+IFERROR(VLOOKUP(DM24,IN_Zugliste!$A$4:$F$2002,7,FALSE),"")</f>
        <v/>
      </c>
      <c r="DN323" t="str">
        <f>+IFERROR(VLOOKUP(DN24,IN_Zugliste!$A$4:$F$2002,7,FALSE),"")</f>
        <v/>
      </c>
      <c r="DO323" t="str">
        <f>+IFERROR(VLOOKUP(DO24,IN_Zugliste!$A$4:$F$2002,7,FALSE),"")</f>
        <v/>
      </c>
      <c r="DP323" t="str">
        <f>+IFERROR(VLOOKUP(DP24,IN_Zugliste!$A$4:$F$2002,7,FALSE),"")</f>
        <v/>
      </c>
      <c r="DQ323" t="str">
        <f>+IFERROR(VLOOKUP(DQ24,IN_Zugliste!$A$4:$F$2002,7,FALSE),"")</f>
        <v/>
      </c>
      <c r="DR323" t="str">
        <f>+IFERROR(VLOOKUP(DR24,IN_Zugliste!$A$4:$F$2002,7,FALSE),"")</f>
        <v/>
      </c>
      <c r="DS323" t="str">
        <f>+IFERROR(VLOOKUP(DS24,IN_Zugliste!$A$4:$F$2002,7,FALSE),"")</f>
        <v/>
      </c>
      <c r="DT323" t="str">
        <f>+IFERROR(VLOOKUP(DT24,IN_Zugliste!$A$4:$F$2002,7,FALSE),"")</f>
        <v/>
      </c>
      <c r="DU323" t="str">
        <f>+IFERROR(VLOOKUP(DU24,IN_Zugliste!$A$4:$F$2002,7,FALSE),"")</f>
        <v/>
      </c>
      <c r="DV323" t="str">
        <f>+IFERROR(VLOOKUP(DV24,IN_Zugliste!$A$4:$F$2002,7,FALSE),"")</f>
        <v/>
      </c>
      <c r="DW323" t="str">
        <f>+IFERROR(VLOOKUP(DW24,IN_Zugliste!$A$4:$F$2002,7,FALSE),"")</f>
        <v/>
      </c>
      <c r="DX323" t="str">
        <f>+IFERROR(VLOOKUP(DX24,IN_Zugliste!$A$4:$F$2002,7,FALSE),"")</f>
        <v/>
      </c>
      <c r="DY323" t="str">
        <f>+IFERROR(VLOOKUP(DY24,IN_Zugliste!$A$4:$F$2002,7,FALSE),"")</f>
        <v/>
      </c>
      <c r="DZ323" t="str">
        <f>+IFERROR(VLOOKUP(DZ24,IN_Zugliste!$A$4:$F$2002,7,FALSE),"")</f>
        <v/>
      </c>
      <c r="EA323" t="str">
        <f>+IFERROR(VLOOKUP(EA24,IN_Zugliste!$A$4:$F$2002,7,FALSE),"")</f>
        <v/>
      </c>
      <c r="EB323" t="str">
        <f>+IFERROR(VLOOKUP(EB24,IN_Zugliste!$A$4:$F$2002,7,FALSE),"")</f>
        <v/>
      </c>
      <c r="EC323" t="str">
        <f>+IFERROR(VLOOKUP(EC24,IN_Zugliste!$A$4:$F$2002,7,FALSE),"")</f>
        <v/>
      </c>
      <c r="ED323" t="str">
        <f>+IFERROR(VLOOKUP(ED24,IN_Zugliste!$A$4:$F$2002,7,FALSE),"")</f>
        <v/>
      </c>
      <c r="EE323" t="str">
        <f>+IFERROR(VLOOKUP(EE24,IN_Zugliste!$A$4:$F$2002,7,FALSE),"")</f>
        <v/>
      </c>
      <c r="EF323" t="str">
        <f>+IFERROR(VLOOKUP(EF24,IN_Zugliste!$A$4:$F$2002,7,FALSE),"")</f>
        <v/>
      </c>
      <c r="EG323" t="str">
        <f>+IFERROR(VLOOKUP(EG24,IN_Zugliste!$A$4:$F$2002,7,FALSE),"")</f>
        <v/>
      </c>
      <c r="EH323" t="str">
        <f>+IFERROR(VLOOKUP(EH24,IN_Zugliste!$A$4:$F$2002,7,FALSE),"")</f>
        <v/>
      </c>
      <c r="EI323" t="str">
        <f>+IFERROR(VLOOKUP(EI24,IN_Zugliste!$A$4:$F$2002,7,FALSE),"")</f>
        <v/>
      </c>
      <c r="EJ323" t="str">
        <f>+IFERROR(VLOOKUP(EJ24,IN_Zugliste!$A$4:$F$2002,7,FALSE),"")</f>
        <v/>
      </c>
      <c r="EK323" t="str">
        <f>+IFERROR(VLOOKUP(EK24,IN_Zugliste!$A$4:$F$2002,7,FALSE),"")</f>
        <v/>
      </c>
      <c r="EL323" t="str">
        <f>+IFERROR(VLOOKUP(EL24,IN_Zugliste!$A$4:$F$2002,7,FALSE),"")</f>
        <v/>
      </c>
      <c r="EM323" t="str">
        <f>+IFERROR(VLOOKUP(EM24,IN_Zugliste!$A$4:$F$2002,7,FALSE),"")</f>
        <v/>
      </c>
      <c r="EN323" t="str">
        <f>+IFERROR(VLOOKUP(EN24,IN_Zugliste!$A$4:$F$2002,7,FALSE),"")</f>
        <v/>
      </c>
      <c r="EO323" t="str">
        <f>+IFERROR(VLOOKUP(EO24,IN_Zugliste!$A$4:$F$2002,7,FALSE),"")</f>
        <v/>
      </c>
      <c r="EP323" t="str">
        <f>+IFERROR(VLOOKUP(EP24,IN_Zugliste!$A$4:$F$2002,7,FALSE),"")</f>
        <v/>
      </c>
      <c r="EQ323" t="str">
        <f>+IFERROR(VLOOKUP(EQ24,IN_Zugliste!$A$4:$F$2002,7,FALSE),"")</f>
        <v/>
      </c>
      <c r="ER323" t="str">
        <f>+IFERROR(VLOOKUP(ER24,IN_Zugliste!$A$4:$F$2002,7,FALSE),"")</f>
        <v/>
      </c>
      <c r="ES323" t="str">
        <f>+IFERROR(VLOOKUP(ES24,IN_Zugliste!$A$4:$F$2002,7,FALSE),"")</f>
        <v/>
      </c>
      <c r="ET323" t="str">
        <f>+IFERROR(VLOOKUP(ET24,IN_Zugliste!$A$4:$F$2002,7,FALSE),"")</f>
        <v/>
      </c>
      <c r="EU323" t="str">
        <f>+IFERROR(VLOOKUP(EU24,IN_Zugliste!$A$4:$F$2002,7,FALSE),"")</f>
        <v/>
      </c>
      <c r="EV323" t="str">
        <f>+IFERROR(VLOOKUP(EV24,IN_Zugliste!$A$4:$F$2002,7,FALSE),"")</f>
        <v/>
      </c>
      <c r="EW323" t="str">
        <f>+IFERROR(VLOOKUP(EW24,IN_Zugliste!$A$4:$F$2002,7,FALSE),"")</f>
        <v/>
      </c>
      <c r="EX323" t="str">
        <f>+IFERROR(VLOOKUP(EX24,IN_Zugliste!$A$4:$F$2002,7,FALSE),"")</f>
        <v/>
      </c>
      <c r="EY323" t="str">
        <f>+IFERROR(VLOOKUP(EY24,IN_Zugliste!$A$4:$F$2002,7,FALSE),"")</f>
        <v/>
      </c>
      <c r="EZ323" t="str">
        <f>+IFERROR(VLOOKUP(EZ24,IN_Zugliste!$A$4:$F$2002,7,FALSE),"")</f>
        <v/>
      </c>
      <c r="FA323" t="str">
        <f>+IFERROR(VLOOKUP(FA24,IN_Zugliste!$A$4:$F$2002,7,FALSE),"")</f>
        <v/>
      </c>
      <c r="FB323" t="str">
        <f>+IFERROR(VLOOKUP(FB24,IN_Zugliste!$A$4:$F$2002,7,FALSE),"")</f>
        <v/>
      </c>
      <c r="FC323" t="str">
        <f>+IFERROR(VLOOKUP(FC24,IN_Zugliste!$A$4:$F$2002,7,FALSE),"")</f>
        <v/>
      </c>
      <c r="FD323" t="str">
        <f>+IFERROR(VLOOKUP(FD24,IN_Zugliste!$A$4:$F$2002,7,FALSE),"")</f>
        <v/>
      </c>
      <c r="FE323" t="str">
        <f>+IFERROR(VLOOKUP(FE24,IN_Zugliste!$A$4:$F$2002,7,FALSE),"")</f>
        <v/>
      </c>
      <c r="FF323" t="str">
        <f>+IFERROR(VLOOKUP(FF24,IN_Zugliste!$A$4:$F$2002,7,FALSE),"")</f>
        <v/>
      </c>
      <c r="FG323" t="str">
        <f>+IFERROR(VLOOKUP(FG24,IN_Zugliste!$A$4:$F$2002,7,FALSE),"")</f>
        <v/>
      </c>
      <c r="FH323" t="str">
        <f>+IFERROR(VLOOKUP(FH24,IN_Zugliste!$A$4:$F$2002,7,FALSE),"")</f>
        <v/>
      </c>
      <c r="FI323" t="str">
        <f>+IFERROR(VLOOKUP(FI24,IN_Zugliste!$A$4:$F$2002,7,FALSE),"")</f>
        <v/>
      </c>
      <c r="FJ323" t="str">
        <f>+IFERROR(VLOOKUP(FJ24,IN_Zugliste!$A$4:$F$2002,7,FALSE),"")</f>
        <v/>
      </c>
      <c r="FK323" t="str">
        <f>+IFERROR(VLOOKUP(FK24,IN_Zugliste!$A$4:$F$2002,7,FALSE),"")</f>
        <v/>
      </c>
      <c r="FL323" t="str">
        <f>+IFERROR(VLOOKUP(FL24,IN_Zugliste!$A$4:$F$2002,7,FALSE),"")</f>
        <v/>
      </c>
      <c r="FM323" t="str">
        <f>+IFERROR(VLOOKUP(FM24,IN_Zugliste!$A$4:$F$2002,7,FALSE),"")</f>
        <v/>
      </c>
      <c r="FN323" t="str">
        <f>+IFERROR(VLOOKUP(FN24,IN_Zugliste!$A$4:$F$2002,7,FALSE),"")</f>
        <v/>
      </c>
      <c r="FO323" t="str">
        <f>+IFERROR(VLOOKUP(FO24,IN_Zugliste!$A$4:$F$2002,7,FALSE),"")</f>
        <v/>
      </c>
      <c r="FP323" t="str">
        <f>+IFERROR(VLOOKUP(FP24,IN_Zugliste!$A$4:$F$2002,7,FALSE),"")</f>
        <v/>
      </c>
      <c r="FQ323" t="str">
        <f>+IFERROR(VLOOKUP(FQ24,IN_Zugliste!$A$4:$F$2002,7,FALSE),"")</f>
        <v/>
      </c>
      <c r="FR323" t="str">
        <f>+IFERROR(VLOOKUP(FR24,IN_Zugliste!$A$4:$F$2002,7,FALSE),"")</f>
        <v/>
      </c>
      <c r="FS323" t="str">
        <f>+IFERROR(VLOOKUP(FS24,IN_Zugliste!$A$4:$F$2002,7,FALSE),"")</f>
        <v/>
      </c>
      <c r="FT323" t="str">
        <f>+IFERROR(VLOOKUP(FT24,IN_Zugliste!$A$4:$F$2002,7,FALSE),"")</f>
        <v/>
      </c>
      <c r="FU323" t="str">
        <f>+IFERROR(VLOOKUP(FU24,IN_Zugliste!$A$4:$F$2002,7,FALSE),"")</f>
        <v/>
      </c>
      <c r="FV323" t="str">
        <f>+IFERROR(VLOOKUP(FV24,IN_Zugliste!$A$4:$F$2002,7,FALSE),"")</f>
        <v/>
      </c>
      <c r="FW323" t="str">
        <f>+IFERROR(VLOOKUP(FW24,IN_Zugliste!$A$4:$F$2002,7,FALSE),"")</f>
        <v/>
      </c>
      <c r="FX323" t="str">
        <f>+IFERROR(VLOOKUP(FX24,IN_Zugliste!$A$4:$F$2002,7,FALSE),"")</f>
        <v/>
      </c>
      <c r="FY323" t="str">
        <f>+IFERROR(VLOOKUP(FY24,IN_Zugliste!$A$4:$F$2002,7,FALSE),"")</f>
        <v/>
      </c>
      <c r="FZ323" t="str">
        <f>+IFERROR(VLOOKUP(FZ24,IN_Zugliste!$A$4:$F$2002,7,FALSE),"")</f>
        <v/>
      </c>
      <c r="GA323" t="str">
        <f>+IFERROR(VLOOKUP(GA24,IN_Zugliste!$A$4:$F$2002,7,FALSE),"")</f>
        <v/>
      </c>
      <c r="GB323" t="str">
        <f>+IFERROR(VLOOKUP(GB24,IN_Zugliste!$A$4:$F$2002,7,FALSE),"")</f>
        <v/>
      </c>
      <c r="GC323" t="str">
        <f>+IFERROR(VLOOKUP(GC24,IN_Zugliste!$A$4:$F$2002,7,FALSE),"")</f>
        <v/>
      </c>
      <c r="GD323" t="str">
        <f>+IFERROR(VLOOKUP(GD24,IN_Zugliste!$A$4:$F$2002,7,FALSE),"")</f>
        <v/>
      </c>
      <c r="GE323" t="str">
        <f>+IFERROR(VLOOKUP(GE24,IN_Zugliste!$A$4:$F$2002,7,FALSE),"")</f>
        <v/>
      </c>
      <c r="GF323" t="str">
        <f>+IFERROR(VLOOKUP(GF24,IN_Zugliste!$A$4:$F$2002,7,FALSE),"")</f>
        <v/>
      </c>
      <c r="GG323" t="str">
        <f>+IFERROR(VLOOKUP(GG24,IN_Zugliste!$A$4:$F$2002,7,FALSE),"")</f>
        <v/>
      </c>
      <c r="GH323" t="str">
        <f>+IFERROR(VLOOKUP(GH24,IN_Zugliste!$A$4:$F$2002,7,FALSE),"")</f>
        <v/>
      </c>
      <c r="GI323" t="str">
        <f>+IFERROR(VLOOKUP(GI24,IN_Zugliste!$A$4:$F$2002,7,FALSE),"")</f>
        <v/>
      </c>
      <c r="GJ323" t="str">
        <f>+IFERROR(VLOOKUP(GJ24,IN_Zugliste!$A$4:$F$2002,7,FALSE),"")</f>
        <v/>
      </c>
      <c r="GK323" t="str">
        <f>+IFERROR(VLOOKUP(GK24,IN_Zugliste!$A$4:$F$2002,7,FALSE),"")</f>
        <v/>
      </c>
      <c r="GL323" t="str">
        <f>+IFERROR(VLOOKUP(GL24,IN_Zugliste!$A$4:$F$2002,7,FALSE),"")</f>
        <v/>
      </c>
      <c r="GM323" t="str">
        <f>+IFERROR(VLOOKUP(GM24,IN_Zugliste!$A$4:$F$2002,7,FALSE),"")</f>
        <v/>
      </c>
      <c r="GN323" t="str">
        <f>+IFERROR(VLOOKUP(GN24,IN_Zugliste!$A$4:$F$2002,7,FALSE),"")</f>
        <v/>
      </c>
      <c r="GO323" t="str">
        <f>+IFERROR(VLOOKUP(GO24,IN_Zugliste!$A$4:$F$2002,7,FALSE),"")</f>
        <v/>
      </c>
      <c r="GP323" t="str">
        <f>+IFERROR(VLOOKUP(GP24,IN_Zugliste!$A$4:$F$2002,7,FALSE),"")</f>
        <v/>
      </c>
      <c r="GQ323" t="str">
        <f>+IFERROR(VLOOKUP(GQ24,IN_Zugliste!$A$4:$F$2002,7,FALSE),"")</f>
        <v/>
      </c>
      <c r="GR323" t="str">
        <f>+IFERROR(VLOOKUP(GR24,IN_Zugliste!$A$4:$F$2002,7,FALSE),"")</f>
        <v/>
      </c>
      <c r="GS323" t="str">
        <f>+IFERROR(VLOOKUP(GS24,IN_Zugliste!$A$4:$F$2002,7,FALSE),"")</f>
        <v/>
      </c>
      <c r="GT323" t="str">
        <f>+IFERROR(VLOOKUP(GT24,IN_Zugliste!$A$4:$F$2002,7,FALSE),"")</f>
        <v/>
      </c>
      <c r="GU323" t="str">
        <f>+IFERROR(VLOOKUP(GU24,IN_Zugliste!$A$4:$F$2002,7,FALSE),"")</f>
        <v/>
      </c>
      <c r="GV323" t="str">
        <f>+IFERROR(VLOOKUP(GV24,IN_Zugliste!$A$4:$F$2002,7,FALSE),"")</f>
        <v/>
      </c>
      <c r="GW323" t="str">
        <f>+IFERROR(VLOOKUP(GW24,IN_Zugliste!$A$4:$F$2002,7,FALSE),"")</f>
        <v/>
      </c>
      <c r="GX323" t="str">
        <f>+IFERROR(VLOOKUP(GX24,IN_Zugliste!$A$4:$F$2002,7,FALSE),"")</f>
        <v/>
      </c>
      <c r="GY323" t="str">
        <f>+IFERROR(VLOOKUP(GY24,IN_Zugliste!$A$4:$F$2002,7,FALSE),"")</f>
        <v/>
      </c>
      <c r="GZ323" t="str">
        <f>+IFERROR(VLOOKUP(GZ24,IN_Zugliste!$A$4:$F$2002,7,FALSE),"")</f>
        <v/>
      </c>
      <c r="HA323" t="str">
        <f>+IFERROR(VLOOKUP(HA24,IN_Zugliste!$A$4:$F$2002,7,FALSE),"")</f>
        <v/>
      </c>
      <c r="HB323" t="str">
        <f>+IFERROR(VLOOKUP(HB24,IN_Zugliste!$A$4:$F$2002,7,FALSE),"")</f>
        <v/>
      </c>
      <c r="HC323" t="str">
        <f>+IFERROR(VLOOKUP(HC24,IN_Zugliste!$A$4:$F$2002,7,FALSE),"")</f>
        <v/>
      </c>
      <c r="HD323" t="str">
        <f>+IFERROR(VLOOKUP(HD24,IN_Zugliste!$A$4:$F$2002,7,FALSE),"")</f>
        <v/>
      </c>
      <c r="HE323" t="str">
        <f>+IFERROR(VLOOKUP(HE24,IN_Zugliste!$A$4:$F$2002,7,FALSE),"")</f>
        <v/>
      </c>
      <c r="HF323" t="str">
        <f>+IFERROR(VLOOKUP(HF24,IN_Zugliste!$A$4:$F$2002,7,FALSE),"")</f>
        <v/>
      </c>
      <c r="HG323" t="str">
        <f>+IFERROR(VLOOKUP(HG24,IN_Zugliste!$A$4:$F$2002,7,FALSE),"")</f>
        <v/>
      </c>
      <c r="HH323" t="str">
        <f>+IFERROR(VLOOKUP(HH24,IN_Zugliste!$A$4:$F$2002,7,FALSE),"")</f>
        <v/>
      </c>
      <c r="HI323" t="str">
        <f>+IFERROR(VLOOKUP(HI24,IN_Zugliste!$A$4:$F$2002,7,FALSE),"")</f>
        <v/>
      </c>
      <c r="HJ323" t="str">
        <f>+IFERROR(VLOOKUP(HJ24,IN_Zugliste!$A$4:$F$2002,7,FALSE),"")</f>
        <v/>
      </c>
      <c r="HK323" t="str">
        <f>+IFERROR(VLOOKUP(HK24,IN_Zugliste!$A$4:$F$2002,7,FALSE),"")</f>
        <v/>
      </c>
      <c r="HL323" t="str">
        <f>+IFERROR(VLOOKUP(HL24,IN_Zugliste!$A$4:$F$2002,7,FALSE),"")</f>
        <v/>
      </c>
      <c r="HM323" t="str">
        <f>+IFERROR(VLOOKUP(HM24,IN_Zugliste!$A$4:$F$2002,7,FALSE),"")</f>
        <v/>
      </c>
      <c r="HN323" t="str">
        <f>+IFERROR(VLOOKUP(HN24,IN_Zugliste!$A$4:$F$2002,7,FALSE),"")</f>
        <v/>
      </c>
      <c r="HO323" t="str">
        <f>+IFERROR(VLOOKUP(HO24,IN_Zugliste!$A$4:$F$2002,7,FALSE),"")</f>
        <v/>
      </c>
      <c r="HP323" t="str">
        <f>+IFERROR(VLOOKUP(HP24,IN_Zugliste!$A$4:$F$2002,7,FALSE),"")</f>
        <v/>
      </c>
      <c r="HQ323" t="str">
        <f>+IFERROR(VLOOKUP(HQ24,IN_Zugliste!$A$4:$F$2002,7,FALSE),"")</f>
        <v/>
      </c>
      <c r="HR323" t="str">
        <f>+IFERROR(VLOOKUP(HR24,IN_Zugliste!$A$4:$F$2002,7,FALSE),"")</f>
        <v/>
      </c>
      <c r="HS323" t="str">
        <f>+IFERROR(VLOOKUP(HS24,IN_Zugliste!$A$4:$F$2002,7,FALSE),"")</f>
        <v/>
      </c>
      <c r="HT323" t="str">
        <f>+IFERROR(VLOOKUP(HT24,IN_Zugliste!$A$4:$F$2002,7,FALSE),"")</f>
        <v/>
      </c>
      <c r="HU323" t="str">
        <f>+IFERROR(VLOOKUP(HU24,IN_Zugliste!$A$4:$F$2002,7,FALSE),"")</f>
        <v/>
      </c>
      <c r="HV323" t="str">
        <f>+IFERROR(VLOOKUP(HV24,IN_Zugliste!$A$4:$F$2002,7,FALSE),"")</f>
        <v/>
      </c>
      <c r="HW323" t="str">
        <f>+IFERROR(VLOOKUP(HW24,IN_Zugliste!$A$4:$F$2002,7,FALSE),"")</f>
        <v/>
      </c>
      <c r="HX323" t="str">
        <f>+IFERROR(VLOOKUP(HX24,IN_Zugliste!$A$4:$F$2002,7,FALSE),"")</f>
        <v/>
      </c>
      <c r="HY323" t="str">
        <f>+IFERROR(VLOOKUP(HY24,IN_Zugliste!$A$4:$F$2002,7,FALSE),"")</f>
        <v/>
      </c>
      <c r="HZ323" t="str">
        <f>+IFERROR(VLOOKUP(HZ24,IN_Zugliste!$A$4:$F$2002,7,FALSE),"")</f>
        <v/>
      </c>
      <c r="IA323" t="str">
        <f>+IFERROR(VLOOKUP(IA24,IN_Zugliste!$A$4:$F$2002,7,FALSE),"")</f>
        <v/>
      </c>
      <c r="IB323" t="str">
        <f>+IFERROR(VLOOKUP(IB24,IN_Zugliste!$A$4:$F$2002,7,FALSE),"")</f>
        <v/>
      </c>
      <c r="IC323" t="str">
        <f>+IFERROR(VLOOKUP(IC24,IN_Zugliste!$A$4:$F$2002,7,FALSE),"")</f>
        <v/>
      </c>
      <c r="ID323" t="str">
        <f>+IFERROR(VLOOKUP(ID24,IN_Zugliste!$A$4:$F$2002,7,FALSE),"")</f>
        <v/>
      </c>
      <c r="IE323" t="str">
        <f>+IFERROR(VLOOKUP(IE24,IN_Zugliste!$A$4:$F$2002,7,FALSE),"")</f>
        <v/>
      </c>
      <c r="IF323" t="str">
        <f>+IFERROR(VLOOKUP(IF24,IN_Zugliste!$A$4:$F$2002,7,FALSE),"")</f>
        <v/>
      </c>
      <c r="IG323" t="str">
        <f>+IFERROR(VLOOKUP(IG24,IN_Zugliste!$A$4:$F$2002,7,FALSE),"")</f>
        <v/>
      </c>
      <c r="IH323" t="str">
        <f>+IFERROR(VLOOKUP(IH24,IN_Zugliste!$A$4:$F$2002,7,FALSE),"")</f>
        <v/>
      </c>
      <c r="II323" t="str">
        <f>+IFERROR(VLOOKUP(II24,IN_Zugliste!$A$4:$F$2002,7,FALSE),"")</f>
        <v/>
      </c>
      <c r="IJ323" t="str">
        <f>+IFERROR(VLOOKUP(IJ24,IN_Zugliste!$A$4:$F$2002,7,FALSE),"")</f>
        <v/>
      </c>
      <c r="IK323" t="str">
        <f>+IFERROR(VLOOKUP(IK24,IN_Zugliste!$A$4:$F$2002,7,FALSE),"")</f>
        <v/>
      </c>
      <c r="IL323" t="str">
        <f>+IFERROR(VLOOKUP(IL24,IN_Zugliste!$A$4:$F$2002,7,FALSE),"")</f>
        <v/>
      </c>
      <c r="IM323" t="str">
        <f>+IFERROR(VLOOKUP(IM24,IN_Zugliste!$A$4:$F$2002,7,FALSE),"")</f>
        <v/>
      </c>
      <c r="IN323" t="str">
        <f>+IFERROR(VLOOKUP(IN24,IN_Zugliste!$A$4:$F$2002,7,FALSE),"")</f>
        <v/>
      </c>
      <c r="IO323" t="str">
        <f>+IFERROR(VLOOKUP(IO24,IN_Zugliste!$A$4:$F$2002,7,FALSE),"")</f>
        <v/>
      </c>
      <c r="IP323" t="str">
        <f>+IFERROR(VLOOKUP(IP24,IN_Zugliste!$A$4:$F$2002,7,FALSE),"")</f>
        <v/>
      </c>
      <c r="IQ323" t="str">
        <f>+IFERROR(VLOOKUP(IQ24,IN_Zugliste!$A$4:$F$2002,7,FALSE),"")</f>
        <v/>
      </c>
      <c r="IR323" t="str">
        <f>+IFERROR(VLOOKUP(IR24,IN_Zugliste!$A$4:$F$2002,7,FALSE),"")</f>
        <v/>
      </c>
      <c r="IS323" t="str">
        <f>+IFERROR(VLOOKUP(IS24,IN_Zugliste!$A$4:$F$2002,7,FALSE),"")</f>
        <v/>
      </c>
      <c r="IT323" t="str">
        <f>+IFERROR(VLOOKUP(IT24,IN_Zugliste!$A$4:$F$2002,7,FALSE),"")</f>
        <v/>
      </c>
      <c r="IU323" t="str">
        <f>+IFERROR(VLOOKUP(IU24,IN_Zugliste!$A$4:$F$2002,7,FALSE),"")</f>
        <v/>
      </c>
      <c r="IV323" t="str">
        <f>+IFERROR(VLOOKUP(IV24,IN_Zugliste!$A$4:$F$2002,7,FALSE),"")</f>
        <v/>
      </c>
      <c r="IW323" t="str">
        <f>+IFERROR(VLOOKUP(IW24,IN_Zugliste!$A$4:$F$2002,7,FALSE),"")</f>
        <v/>
      </c>
      <c r="IX323" t="str">
        <f>+IFERROR(VLOOKUP(IX24,IN_Zugliste!$A$4:$F$2002,7,FALSE),"")</f>
        <v/>
      </c>
      <c r="IY323" t="str">
        <f>+IFERROR(VLOOKUP(IY24,IN_Zugliste!$A$4:$F$2002,7,FALSE),"")</f>
        <v/>
      </c>
      <c r="IZ323" t="str">
        <f>+IFERROR(VLOOKUP(IZ24,IN_Zugliste!$A$4:$F$2002,7,FALSE),"")</f>
        <v/>
      </c>
      <c r="JA323" t="str">
        <f>+IFERROR(VLOOKUP(JA24,IN_Zugliste!$A$4:$F$2002,7,FALSE),"")</f>
        <v/>
      </c>
      <c r="JB323" t="str">
        <f>+IFERROR(VLOOKUP(JB24,IN_Zugliste!$A$4:$F$2002,7,FALSE),"")</f>
        <v/>
      </c>
      <c r="JC323" t="str">
        <f>+IFERROR(VLOOKUP(JC24,IN_Zugliste!$A$4:$F$2002,7,FALSE),"")</f>
        <v/>
      </c>
      <c r="JD323" t="str">
        <f>+IFERROR(VLOOKUP(JD24,IN_Zugliste!$A$4:$F$2002,7,FALSE),"")</f>
        <v/>
      </c>
      <c r="JE323" t="str">
        <f>+IFERROR(VLOOKUP(JE24,IN_Zugliste!$A$4:$F$2002,7,FALSE),"")</f>
        <v/>
      </c>
      <c r="JF323" t="str">
        <f>+IFERROR(VLOOKUP(JF24,IN_Zugliste!$A$4:$F$2002,7,FALSE),"")</f>
        <v/>
      </c>
      <c r="JG323" t="str">
        <f>+IFERROR(VLOOKUP(JG24,IN_Zugliste!$A$4:$F$2002,7,FALSE),"")</f>
        <v/>
      </c>
      <c r="JH323" t="str">
        <f>+IFERROR(VLOOKUP(JH24,IN_Zugliste!$A$4:$F$2002,7,FALSE),"")</f>
        <v/>
      </c>
      <c r="JI323" t="str">
        <f>+IFERROR(VLOOKUP(JI24,IN_Zugliste!$A$4:$F$2002,7,FALSE),"")</f>
        <v/>
      </c>
      <c r="JJ323" t="str">
        <f>+IFERROR(VLOOKUP(JJ24,IN_Zugliste!$A$4:$F$2002,7,FALSE),"")</f>
        <v/>
      </c>
    </row>
    <row r="324" spans="1:270" x14ac:dyDescent="0.2">
      <c r="A324" t="str">
        <f>+IFERROR(VLOOKUP(A25,IN_Zugliste!$A$4:$F$2002,7,FALSE),"")</f>
        <v/>
      </c>
      <c r="B324" t="str">
        <f>+IFERROR(VLOOKUP(B25,IN_Zugliste!$A$4:$F$2002,7,FALSE),"")</f>
        <v/>
      </c>
      <c r="C324" t="str">
        <f>+IFERROR(VLOOKUP(C25,IN_Zugliste!$A$4:$F$2002,7,FALSE),"")</f>
        <v/>
      </c>
      <c r="D324" t="str">
        <f>+IFERROR(VLOOKUP(D25,IN_Zugliste!$A$4:$F$2002,7,FALSE),"")</f>
        <v/>
      </c>
      <c r="E324" t="str">
        <f>+IFERROR(VLOOKUP(E25,IN_Zugliste!$A$4:$F$2002,7,FALSE),"")</f>
        <v/>
      </c>
      <c r="F324" t="str">
        <f>+IFERROR(VLOOKUP(F25,IN_Zugliste!$A$4:$F$2002,7,FALSE),"")</f>
        <v/>
      </c>
      <c r="G324" t="str">
        <f>+IFERROR(VLOOKUP(G25,IN_Zugliste!$A$4:$F$2002,7,FALSE),"")</f>
        <v/>
      </c>
      <c r="H324" t="str">
        <f>+IFERROR(VLOOKUP(H25,IN_Zugliste!$A$4:$F$2002,7,FALSE),"")</f>
        <v/>
      </c>
      <c r="I324" t="str">
        <f>+IFERROR(VLOOKUP(I25,IN_Zugliste!$A$4:$F$2002,7,FALSE),"")</f>
        <v/>
      </c>
      <c r="J324" t="str">
        <f>+IFERROR(VLOOKUP(J25,IN_Zugliste!$A$4:$F$2002,7,FALSE),"")</f>
        <v/>
      </c>
      <c r="K324" t="str">
        <f>+IFERROR(VLOOKUP(K25,IN_Zugliste!$A$4:$F$2002,7,FALSE),"")</f>
        <v/>
      </c>
      <c r="L324" t="str">
        <f>+IFERROR(VLOOKUP(L25,IN_Zugliste!$A$4:$F$2002,7,FALSE),"")</f>
        <v/>
      </c>
      <c r="M324" t="str">
        <f>+IFERROR(VLOOKUP(M25,IN_Zugliste!$A$4:$F$2002,7,FALSE),"")</f>
        <v/>
      </c>
      <c r="N324" t="str">
        <f>+IFERROR(VLOOKUP(N25,IN_Zugliste!$A$4:$F$2002,7,FALSE),"")</f>
        <v/>
      </c>
      <c r="O324" t="str">
        <f>+IFERROR(VLOOKUP(O25,IN_Zugliste!$A$4:$F$2002,7,FALSE),"")</f>
        <v/>
      </c>
      <c r="P324" t="str">
        <f>+IFERROR(VLOOKUP(P25,IN_Zugliste!$A$4:$F$2002,7,FALSE),"")</f>
        <v/>
      </c>
      <c r="Q324" t="str">
        <f>+IFERROR(VLOOKUP(Q25,IN_Zugliste!$A$4:$F$2002,7,FALSE),"")</f>
        <v/>
      </c>
      <c r="R324" t="str">
        <f>+IFERROR(VLOOKUP(R25,IN_Zugliste!$A$4:$F$2002,7,FALSE),"")</f>
        <v/>
      </c>
      <c r="S324" t="str">
        <f>+IFERROR(VLOOKUP(S25,IN_Zugliste!$A$4:$F$2002,7,FALSE),"")</f>
        <v/>
      </c>
      <c r="T324" t="str">
        <f>+IFERROR(VLOOKUP(T25,IN_Zugliste!$A$4:$F$2002,7,FALSE),"")</f>
        <v/>
      </c>
      <c r="U324" t="str">
        <f>+IFERROR(VLOOKUP(U25,IN_Zugliste!$A$4:$F$2002,7,FALSE),"")</f>
        <v/>
      </c>
      <c r="V324" t="str">
        <f>+IFERROR(VLOOKUP(V25,IN_Zugliste!$A$4:$F$2002,7,FALSE),"")</f>
        <v/>
      </c>
      <c r="W324" t="str">
        <f>+IFERROR(VLOOKUP(W25,IN_Zugliste!$A$4:$F$2002,7,FALSE),"")</f>
        <v/>
      </c>
      <c r="X324" t="str">
        <f>+IFERROR(VLOOKUP(X25,IN_Zugliste!$A$4:$F$2002,7,FALSE),"")</f>
        <v/>
      </c>
      <c r="Y324" t="str">
        <f>+IFERROR(VLOOKUP(Y25,IN_Zugliste!$A$4:$F$2002,7,FALSE),"")</f>
        <v/>
      </c>
      <c r="Z324" t="str">
        <f>+IFERROR(VLOOKUP(Z25,IN_Zugliste!$A$4:$F$2002,7,FALSE),"")</f>
        <v/>
      </c>
      <c r="AA324" t="str">
        <f>+IFERROR(VLOOKUP(AA25,IN_Zugliste!$A$4:$F$2002,7,FALSE),"")</f>
        <v/>
      </c>
      <c r="AB324" t="str">
        <f>+IFERROR(VLOOKUP(AB25,IN_Zugliste!$A$4:$F$2002,7,FALSE),"")</f>
        <v/>
      </c>
      <c r="AC324" t="str">
        <f>+IFERROR(VLOOKUP(AC25,IN_Zugliste!$A$4:$F$2002,7,FALSE),"")</f>
        <v/>
      </c>
      <c r="AD324" t="str">
        <f>+IFERROR(VLOOKUP(AD25,IN_Zugliste!$A$4:$F$2002,7,FALSE),"")</f>
        <v/>
      </c>
      <c r="AE324" t="str">
        <f>+IFERROR(VLOOKUP(AE25,IN_Zugliste!$A$4:$F$2002,7,FALSE),"")</f>
        <v/>
      </c>
      <c r="AF324" t="str">
        <f>+IFERROR(VLOOKUP(AF25,IN_Zugliste!$A$4:$F$2002,7,FALSE),"")</f>
        <v/>
      </c>
      <c r="AG324" t="str">
        <f>+IFERROR(VLOOKUP(AG25,IN_Zugliste!$A$4:$F$2002,7,FALSE),"")</f>
        <v/>
      </c>
      <c r="AH324" t="str">
        <f>+IFERROR(VLOOKUP(AH25,IN_Zugliste!$A$4:$F$2002,7,FALSE),"")</f>
        <v/>
      </c>
      <c r="AI324" t="str">
        <f>+IFERROR(VLOOKUP(AI25,IN_Zugliste!$A$4:$F$2002,7,FALSE),"")</f>
        <v/>
      </c>
      <c r="AJ324" t="str">
        <f>+IFERROR(VLOOKUP(AJ25,IN_Zugliste!$A$4:$F$2002,7,FALSE),"")</f>
        <v/>
      </c>
      <c r="AK324" t="str">
        <f>+IFERROR(VLOOKUP(AK25,IN_Zugliste!$A$4:$F$2002,7,FALSE),"")</f>
        <v/>
      </c>
      <c r="AL324" t="str">
        <f>+IFERROR(VLOOKUP(AL25,IN_Zugliste!$A$4:$F$2002,7,FALSE),"")</f>
        <v/>
      </c>
      <c r="AM324" t="str">
        <f>+IFERROR(VLOOKUP(AM25,IN_Zugliste!$A$4:$F$2002,7,FALSE),"")</f>
        <v/>
      </c>
      <c r="AN324" t="str">
        <f>+IFERROR(VLOOKUP(AN25,IN_Zugliste!$A$4:$F$2002,7,FALSE),"")</f>
        <v/>
      </c>
      <c r="AO324" t="str">
        <f>+IFERROR(VLOOKUP(AO25,IN_Zugliste!$A$4:$F$2002,7,FALSE),"")</f>
        <v/>
      </c>
      <c r="AP324" t="str">
        <f>+IFERROR(VLOOKUP(AP25,IN_Zugliste!$A$4:$F$2002,7,FALSE),"")</f>
        <v/>
      </c>
      <c r="AQ324" t="str">
        <f>+IFERROR(VLOOKUP(AQ25,IN_Zugliste!$A$4:$F$2002,7,FALSE),"")</f>
        <v/>
      </c>
      <c r="AR324" t="str">
        <f>+IFERROR(VLOOKUP(AR25,IN_Zugliste!$A$4:$F$2002,7,FALSE),"")</f>
        <v/>
      </c>
      <c r="AS324" t="str">
        <f>+IFERROR(VLOOKUP(AS25,IN_Zugliste!$A$4:$F$2002,7,FALSE),"")</f>
        <v/>
      </c>
      <c r="AT324" t="str">
        <f>+IFERROR(VLOOKUP(AT25,IN_Zugliste!$A$4:$F$2002,7,FALSE),"")</f>
        <v/>
      </c>
      <c r="AU324" t="str">
        <f>+IFERROR(VLOOKUP(AU25,IN_Zugliste!$A$4:$F$2002,7,FALSE),"")</f>
        <v/>
      </c>
      <c r="AV324" t="str">
        <f>+IFERROR(VLOOKUP(AV25,IN_Zugliste!$A$4:$F$2002,7,FALSE),"")</f>
        <v/>
      </c>
      <c r="AW324" t="str">
        <f>+IFERROR(VLOOKUP(AW25,IN_Zugliste!$A$4:$F$2002,7,FALSE),"")</f>
        <v/>
      </c>
      <c r="AX324" t="str">
        <f>+IFERROR(VLOOKUP(AX25,IN_Zugliste!$A$4:$F$2002,7,FALSE),"")</f>
        <v/>
      </c>
      <c r="AY324" t="str">
        <f>+IFERROR(VLOOKUP(AY25,IN_Zugliste!$A$4:$F$2002,7,FALSE),"")</f>
        <v/>
      </c>
      <c r="AZ324" t="str">
        <f>+IFERROR(VLOOKUP(AZ25,IN_Zugliste!$A$4:$F$2002,7,FALSE),"")</f>
        <v/>
      </c>
      <c r="BA324" t="str">
        <f>+IFERROR(VLOOKUP(BA25,IN_Zugliste!$A$4:$F$2002,7,FALSE),"")</f>
        <v/>
      </c>
      <c r="BB324" t="str">
        <f>+IFERROR(VLOOKUP(BB25,IN_Zugliste!$A$4:$F$2002,7,FALSE),"")</f>
        <v/>
      </c>
      <c r="BC324" t="str">
        <f>+IFERROR(VLOOKUP(BC25,IN_Zugliste!$A$4:$F$2002,7,FALSE),"")</f>
        <v/>
      </c>
      <c r="BD324" t="str">
        <f>+IFERROR(VLOOKUP(BD25,IN_Zugliste!$A$4:$F$2002,7,FALSE),"")</f>
        <v/>
      </c>
      <c r="BE324" t="str">
        <f>+IFERROR(VLOOKUP(BE25,IN_Zugliste!$A$4:$F$2002,7,FALSE),"")</f>
        <v/>
      </c>
      <c r="BF324" t="str">
        <f>+IFERROR(VLOOKUP(BF25,IN_Zugliste!$A$4:$F$2002,7,FALSE),"")</f>
        <v/>
      </c>
      <c r="BG324" t="str">
        <f>+IFERROR(VLOOKUP(BG25,IN_Zugliste!$A$4:$F$2002,7,FALSE),"")</f>
        <v/>
      </c>
      <c r="BH324" t="str">
        <f>+IFERROR(VLOOKUP(BH25,IN_Zugliste!$A$4:$F$2002,7,FALSE),"")</f>
        <v/>
      </c>
      <c r="BI324" t="str">
        <f>+IFERROR(VLOOKUP(BI25,IN_Zugliste!$A$4:$F$2002,7,FALSE),"")</f>
        <v/>
      </c>
      <c r="BJ324" t="str">
        <f>+IFERROR(VLOOKUP(BJ25,IN_Zugliste!$A$4:$F$2002,7,FALSE),"")</f>
        <v/>
      </c>
      <c r="BK324" t="str">
        <f>+IFERROR(VLOOKUP(BK25,IN_Zugliste!$A$4:$F$2002,7,FALSE),"")</f>
        <v/>
      </c>
      <c r="BL324" t="str">
        <f>+IFERROR(VLOOKUP(BL25,IN_Zugliste!$A$4:$F$2002,7,FALSE),"")</f>
        <v/>
      </c>
      <c r="BM324" t="str">
        <f>+IFERROR(VLOOKUP(BM25,IN_Zugliste!$A$4:$F$2002,7,FALSE),"")</f>
        <v/>
      </c>
      <c r="BN324" t="str">
        <f>+IFERROR(VLOOKUP(BN25,IN_Zugliste!$A$4:$F$2002,7,FALSE),"")</f>
        <v/>
      </c>
      <c r="BO324" t="str">
        <f>+IFERROR(VLOOKUP(BO25,IN_Zugliste!$A$4:$F$2002,7,FALSE),"")</f>
        <v/>
      </c>
      <c r="BP324" t="str">
        <f>+IFERROR(VLOOKUP(BP25,IN_Zugliste!$A$4:$F$2002,7,FALSE),"")</f>
        <v/>
      </c>
      <c r="BQ324" t="str">
        <f>+IFERROR(VLOOKUP(BQ25,IN_Zugliste!$A$4:$F$2002,7,FALSE),"")</f>
        <v/>
      </c>
      <c r="BR324" t="str">
        <f>+IFERROR(VLOOKUP(BR25,IN_Zugliste!$A$4:$F$2002,7,FALSE),"")</f>
        <v/>
      </c>
      <c r="BS324" t="str">
        <f>+IFERROR(VLOOKUP(BS25,IN_Zugliste!$A$4:$F$2002,7,FALSE),"")</f>
        <v/>
      </c>
      <c r="BT324" t="str">
        <f>+IFERROR(VLOOKUP(BT25,IN_Zugliste!$A$4:$F$2002,7,FALSE),"")</f>
        <v/>
      </c>
      <c r="BU324" t="str">
        <f>+IFERROR(VLOOKUP(BU25,IN_Zugliste!$A$4:$F$2002,7,FALSE),"")</f>
        <v/>
      </c>
      <c r="BV324" t="str">
        <f>+IFERROR(VLOOKUP(BV25,IN_Zugliste!$A$4:$F$2002,7,FALSE),"")</f>
        <v/>
      </c>
      <c r="BW324" t="str">
        <f>+IFERROR(VLOOKUP(BW25,IN_Zugliste!$A$4:$F$2002,7,FALSE),"")</f>
        <v/>
      </c>
      <c r="BX324" t="str">
        <f>+IFERROR(VLOOKUP(BX25,IN_Zugliste!$A$4:$F$2002,7,FALSE),"")</f>
        <v/>
      </c>
      <c r="BY324" t="str">
        <f>+IFERROR(VLOOKUP(BY25,IN_Zugliste!$A$4:$F$2002,7,FALSE),"")</f>
        <v/>
      </c>
      <c r="BZ324" t="str">
        <f>+IFERROR(VLOOKUP(BZ25,IN_Zugliste!$A$4:$F$2002,7,FALSE),"")</f>
        <v/>
      </c>
      <c r="CA324" t="str">
        <f>+IFERROR(VLOOKUP(CA25,IN_Zugliste!$A$4:$F$2002,7,FALSE),"")</f>
        <v/>
      </c>
      <c r="CB324" t="str">
        <f>+IFERROR(VLOOKUP(CB25,IN_Zugliste!$A$4:$F$2002,7,FALSE),"")</f>
        <v/>
      </c>
      <c r="CC324" t="str">
        <f>+IFERROR(VLOOKUP(CC25,IN_Zugliste!$A$4:$F$2002,7,FALSE),"")</f>
        <v/>
      </c>
      <c r="CD324" t="str">
        <f>+IFERROR(VLOOKUP(CD25,IN_Zugliste!$A$4:$F$2002,7,FALSE),"")</f>
        <v/>
      </c>
      <c r="CE324" t="str">
        <f>+IFERROR(VLOOKUP(CE25,IN_Zugliste!$A$4:$F$2002,7,FALSE),"")</f>
        <v/>
      </c>
      <c r="CF324" t="str">
        <f>+IFERROR(VLOOKUP(CF25,IN_Zugliste!$A$4:$F$2002,7,FALSE),"")</f>
        <v/>
      </c>
      <c r="CG324" t="str">
        <f>+IFERROR(VLOOKUP(CG25,IN_Zugliste!$A$4:$F$2002,7,FALSE),"")</f>
        <v/>
      </c>
      <c r="CH324" t="str">
        <f>+IFERROR(VLOOKUP(CH25,IN_Zugliste!$A$4:$F$2002,7,FALSE),"")</f>
        <v/>
      </c>
      <c r="CI324" t="str">
        <f>+IFERROR(VLOOKUP(CI25,IN_Zugliste!$A$4:$F$2002,7,FALSE),"")</f>
        <v/>
      </c>
      <c r="CJ324" t="str">
        <f>+IFERROR(VLOOKUP(CJ25,IN_Zugliste!$A$4:$F$2002,7,FALSE),"")</f>
        <v/>
      </c>
      <c r="CK324" t="str">
        <f>+IFERROR(VLOOKUP(CK25,IN_Zugliste!$A$4:$F$2002,7,FALSE),"")</f>
        <v/>
      </c>
      <c r="CL324" t="str">
        <f>+IFERROR(VLOOKUP(CL25,IN_Zugliste!$A$4:$F$2002,7,FALSE),"")</f>
        <v/>
      </c>
      <c r="CM324" t="str">
        <f>+IFERROR(VLOOKUP(CM25,IN_Zugliste!$A$4:$F$2002,7,FALSE),"")</f>
        <v/>
      </c>
      <c r="CN324" t="str">
        <f>+IFERROR(VLOOKUP(CN25,IN_Zugliste!$A$4:$F$2002,7,FALSE),"")</f>
        <v/>
      </c>
      <c r="CO324" t="str">
        <f>+IFERROR(VLOOKUP(CO25,IN_Zugliste!$A$4:$F$2002,7,FALSE),"")</f>
        <v/>
      </c>
      <c r="CP324" t="str">
        <f>+IFERROR(VLOOKUP(CP25,IN_Zugliste!$A$4:$F$2002,7,FALSE),"")</f>
        <v/>
      </c>
      <c r="CQ324" t="str">
        <f>+IFERROR(VLOOKUP(CQ25,IN_Zugliste!$A$4:$F$2002,7,FALSE),"")</f>
        <v/>
      </c>
      <c r="CR324" t="str">
        <f>+IFERROR(VLOOKUP(CR25,IN_Zugliste!$A$4:$F$2002,7,FALSE),"")</f>
        <v/>
      </c>
      <c r="CS324" t="str">
        <f>+IFERROR(VLOOKUP(CS25,IN_Zugliste!$A$4:$F$2002,7,FALSE),"")</f>
        <v/>
      </c>
      <c r="CT324" t="str">
        <f>+IFERROR(VLOOKUP(CT25,IN_Zugliste!$A$4:$F$2002,7,FALSE),"")</f>
        <v/>
      </c>
      <c r="CU324" t="str">
        <f>+IFERROR(VLOOKUP(CU25,IN_Zugliste!$A$4:$F$2002,7,FALSE),"")</f>
        <v/>
      </c>
      <c r="CV324" t="str">
        <f>+IFERROR(VLOOKUP(CV25,IN_Zugliste!$A$4:$F$2002,7,FALSE),"")</f>
        <v/>
      </c>
      <c r="CW324" t="str">
        <f>+IFERROR(VLOOKUP(CW25,IN_Zugliste!$A$4:$F$2002,7,FALSE),"")</f>
        <v/>
      </c>
      <c r="CX324" t="str">
        <f>+IFERROR(VLOOKUP(CX25,IN_Zugliste!$A$4:$F$2002,7,FALSE),"")</f>
        <v/>
      </c>
      <c r="CY324" t="str">
        <f>+IFERROR(VLOOKUP(CY25,IN_Zugliste!$A$4:$F$2002,7,FALSE),"")</f>
        <v/>
      </c>
      <c r="CZ324" t="str">
        <f>+IFERROR(VLOOKUP(CZ25,IN_Zugliste!$A$4:$F$2002,7,FALSE),"")</f>
        <v/>
      </c>
      <c r="DA324" t="str">
        <f>+IFERROR(VLOOKUP(DA25,IN_Zugliste!$A$4:$F$2002,7,FALSE),"")</f>
        <v/>
      </c>
      <c r="DB324" t="str">
        <f>+IFERROR(VLOOKUP(DB25,IN_Zugliste!$A$4:$F$2002,7,FALSE),"")</f>
        <v/>
      </c>
      <c r="DC324" t="str">
        <f>+IFERROR(VLOOKUP(DC25,IN_Zugliste!$A$4:$F$2002,7,FALSE),"")</f>
        <v/>
      </c>
      <c r="DD324" t="str">
        <f>+IFERROR(VLOOKUP(DD25,IN_Zugliste!$A$4:$F$2002,7,FALSE),"")</f>
        <v/>
      </c>
      <c r="DE324" t="str">
        <f>+IFERROR(VLOOKUP(DE25,IN_Zugliste!$A$4:$F$2002,7,FALSE),"")</f>
        <v/>
      </c>
      <c r="DF324" t="str">
        <f>+IFERROR(VLOOKUP(DF25,IN_Zugliste!$A$4:$F$2002,7,FALSE),"")</f>
        <v/>
      </c>
      <c r="DG324" t="str">
        <f>+IFERROR(VLOOKUP(DG25,IN_Zugliste!$A$4:$F$2002,7,FALSE),"")</f>
        <v/>
      </c>
      <c r="DH324" t="str">
        <f>+IFERROR(VLOOKUP(DH25,IN_Zugliste!$A$4:$F$2002,7,FALSE),"")</f>
        <v/>
      </c>
      <c r="DI324" t="str">
        <f>+IFERROR(VLOOKUP(DI25,IN_Zugliste!$A$4:$F$2002,7,FALSE),"")</f>
        <v/>
      </c>
      <c r="DJ324" t="str">
        <f>+IFERROR(VLOOKUP(DJ25,IN_Zugliste!$A$4:$F$2002,7,FALSE),"")</f>
        <v/>
      </c>
      <c r="DK324" t="str">
        <f>+IFERROR(VLOOKUP(DK25,IN_Zugliste!$A$4:$F$2002,7,FALSE),"")</f>
        <v/>
      </c>
      <c r="DL324" t="str">
        <f>+IFERROR(VLOOKUP(DL25,IN_Zugliste!$A$4:$F$2002,7,FALSE),"")</f>
        <v/>
      </c>
      <c r="DM324" t="str">
        <f>+IFERROR(VLOOKUP(DM25,IN_Zugliste!$A$4:$F$2002,7,FALSE),"")</f>
        <v/>
      </c>
      <c r="DN324" t="str">
        <f>+IFERROR(VLOOKUP(DN25,IN_Zugliste!$A$4:$F$2002,7,FALSE),"")</f>
        <v/>
      </c>
      <c r="DO324" t="str">
        <f>+IFERROR(VLOOKUP(DO25,IN_Zugliste!$A$4:$F$2002,7,FALSE),"")</f>
        <v/>
      </c>
      <c r="DP324" t="str">
        <f>+IFERROR(VLOOKUP(DP25,IN_Zugliste!$A$4:$F$2002,7,FALSE),"")</f>
        <v/>
      </c>
      <c r="DQ324" t="str">
        <f>+IFERROR(VLOOKUP(DQ25,IN_Zugliste!$A$4:$F$2002,7,FALSE),"")</f>
        <v/>
      </c>
      <c r="DR324" t="str">
        <f>+IFERROR(VLOOKUP(DR25,IN_Zugliste!$A$4:$F$2002,7,FALSE),"")</f>
        <v/>
      </c>
      <c r="DS324" t="str">
        <f>+IFERROR(VLOOKUP(DS25,IN_Zugliste!$A$4:$F$2002,7,FALSE),"")</f>
        <v/>
      </c>
      <c r="DT324" t="str">
        <f>+IFERROR(VLOOKUP(DT25,IN_Zugliste!$A$4:$F$2002,7,FALSE),"")</f>
        <v/>
      </c>
      <c r="DU324" t="str">
        <f>+IFERROR(VLOOKUP(DU25,IN_Zugliste!$A$4:$F$2002,7,FALSE),"")</f>
        <v/>
      </c>
      <c r="DV324" t="str">
        <f>+IFERROR(VLOOKUP(DV25,IN_Zugliste!$A$4:$F$2002,7,FALSE),"")</f>
        <v/>
      </c>
      <c r="DW324" t="str">
        <f>+IFERROR(VLOOKUP(DW25,IN_Zugliste!$A$4:$F$2002,7,FALSE),"")</f>
        <v/>
      </c>
      <c r="DX324" t="str">
        <f>+IFERROR(VLOOKUP(DX25,IN_Zugliste!$A$4:$F$2002,7,FALSE),"")</f>
        <v/>
      </c>
      <c r="DY324" t="str">
        <f>+IFERROR(VLOOKUP(DY25,IN_Zugliste!$A$4:$F$2002,7,FALSE),"")</f>
        <v/>
      </c>
      <c r="DZ324" t="str">
        <f>+IFERROR(VLOOKUP(DZ25,IN_Zugliste!$A$4:$F$2002,7,FALSE),"")</f>
        <v/>
      </c>
      <c r="EA324" t="str">
        <f>+IFERROR(VLOOKUP(EA25,IN_Zugliste!$A$4:$F$2002,7,FALSE),"")</f>
        <v/>
      </c>
      <c r="EB324" t="str">
        <f>+IFERROR(VLOOKUP(EB25,IN_Zugliste!$A$4:$F$2002,7,FALSE),"")</f>
        <v/>
      </c>
      <c r="EC324" t="str">
        <f>+IFERROR(VLOOKUP(EC25,IN_Zugliste!$A$4:$F$2002,7,FALSE),"")</f>
        <v/>
      </c>
      <c r="ED324" t="str">
        <f>+IFERROR(VLOOKUP(ED25,IN_Zugliste!$A$4:$F$2002,7,FALSE),"")</f>
        <v/>
      </c>
      <c r="EE324" t="str">
        <f>+IFERROR(VLOOKUP(EE25,IN_Zugliste!$A$4:$F$2002,7,FALSE),"")</f>
        <v/>
      </c>
      <c r="EF324" t="str">
        <f>+IFERROR(VLOOKUP(EF25,IN_Zugliste!$A$4:$F$2002,7,FALSE),"")</f>
        <v/>
      </c>
      <c r="EG324" t="str">
        <f>+IFERROR(VLOOKUP(EG25,IN_Zugliste!$A$4:$F$2002,7,FALSE),"")</f>
        <v/>
      </c>
      <c r="EH324" t="str">
        <f>+IFERROR(VLOOKUP(EH25,IN_Zugliste!$A$4:$F$2002,7,FALSE),"")</f>
        <v/>
      </c>
      <c r="EI324" t="str">
        <f>+IFERROR(VLOOKUP(EI25,IN_Zugliste!$A$4:$F$2002,7,FALSE),"")</f>
        <v/>
      </c>
      <c r="EJ324" t="str">
        <f>+IFERROR(VLOOKUP(EJ25,IN_Zugliste!$A$4:$F$2002,7,FALSE),"")</f>
        <v/>
      </c>
      <c r="EK324" t="str">
        <f>+IFERROR(VLOOKUP(EK25,IN_Zugliste!$A$4:$F$2002,7,FALSE),"")</f>
        <v/>
      </c>
      <c r="EL324" t="str">
        <f>+IFERROR(VLOOKUP(EL25,IN_Zugliste!$A$4:$F$2002,7,FALSE),"")</f>
        <v/>
      </c>
      <c r="EM324" t="str">
        <f>+IFERROR(VLOOKUP(EM25,IN_Zugliste!$A$4:$F$2002,7,FALSE),"")</f>
        <v/>
      </c>
      <c r="EN324" t="str">
        <f>+IFERROR(VLOOKUP(EN25,IN_Zugliste!$A$4:$F$2002,7,FALSE),"")</f>
        <v/>
      </c>
      <c r="EO324" t="str">
        <f>+IFERROR(VLOOKUP(EO25,IN_Zugliste!$A$4:$F$2002,7,FALSE),"")</f>
        <v/>
      </c>
      <c r="EP324" t="str">
        <f>+IFERROR(VLOOKUP(EP25,IN_Zugliste!$A$4:$F$2002,7,FALSE),"")</f>
        <v/>
      </c>
      <c r="EQ324" t="str">
        <f>+IFERROR(VLOOKUP(EQ25,IN_Zugliste!$A$4:$F$2002,7,FALSE),"")</f>
        <v/>
      </c>
      <c r="ER324" t="str">
        <f>+IFERROR(VLOOKUP(ER25,IN_Zugliste!$A$4:$F$2002,7,FALSE),"")</f>
        <v/>
      </c>
      <c r="ES324" t="str">
        <f>+IFERROR(VLOOKUP(ES25,IN_Zugliste!$A$4:$F$2002,7,FALSE),"")</f>
        <v/>
      </c>
      <c r="ET324" t="str">
        <f>+IFERROR(VLOOKUP(ET25,IN_Zugliste!$A$4:$F$2002,7,FALSE),"")</f>
        <v/>
      </c>
      <c r="EU324" t="str">
        <f>+IFERROR(VLOOKUP(EU25,IN_Zugliste!$A$4:$F$2002,7,FALSE),"")</f>
        <v/>
      </c>
      <c r="EV324" t="str">
        <f>+IFERROR(VLOOKUP(EV25,IN_Zugliste!$A$4:$F$2002,7,FALSE),"")</f>
        <v/>
      </c>
      <c r="EW324" t="str">
        <f>+IFERROR(VLOOKUP(EW25,IN_Zugliste!$A$4:$F$2002,7,FALSE),"")</f>
        <v/>
      </c>
      <c r="EX324" t="str">
        <f>+IFERROR(VLOOKUP(EX25,IN_Zugliste!$A$4:$F$2002,7,FALSE),"")</f>
        <v/>
      </c>
      <c r="EY324" t="str">
        <f>+IFERROR(VLOOKUP(EY25,IN_Zugliste!$A$4:$F$2002,7,FALSE),"")</f>
        <v/>
      </c>
      <c r="EZ324" t="str">
        <f>+IFERROR(VLOOKUP(EZ25,IN_Zugliste!$A$4:$F$2002,7,FALSE),"")</f>
        <v/>
      </c>
      <c r="FA324" t="str">
        <f>+IFERROR(VLOOKUP(FA25,IN_Zugliste!$A$4:$F$2002,7,FALSE),"")</f>
        <v/>
      </c>
      <c r="FB324" t="str">
        <f>+IFERROR(VLOOKUP(FB25,IN_Zugliste!$A$4:$F$2002,7,FALSE),"")</f>
        <v/>
      </c>
      <c r="FC324" t="str">
        <f>+IFERROR(VLOOKUP(FC25,IN_Zugliste!$A$4:$F$2002,7,FALSE),"")</f>
        <v/>
      </c>
      <c r="FD324" t="str">
        <f>+IFERROR(VLOOKUP(FD25,IN_Zugliste!$A$4:$F$2002,7,FALSE),"")</f>
        <v/>
      </c>
      <c r="FE324" t="str">
        <f>+IFERROR(VLOOKUP(FE25,IN_Zugliste!$A$4:$F$2002,7,FALSE),"")</f>
        <v/>
      </c>
      <c r="FF324" t="str">
        <f>+IFERROR(VLOOKUP(FF25,IN_Zugliste!$A$4:$F$2002,7,FALSE),"")</f>
        <v/>
      </c>
      <c r="FG324" t="str">
        <f>+IFERROR(VLOOKUP(FG25,IN_Zugliste!$A$4:$F$2002,7,FALSE),"")</f>
        <v/>
      </c>
      <c r="FH324" t="str">
        <f>+IFERROR(VLOOKUP(FH25,IN_Zugliste!$A$4:$F$2002,7,FALSE),"")</f>
        <v/>
      </c>
      <c r="FI324" t="str">
        <f>+IFERROR(VLOOKUP(FI25,IN_Zugliste!$A$4:$F$2002,7,FALSE),"")</f>
        <v/>
      </c>
      <c r="FJ324" t="str">
        <f>+IFERROR(VLOOKUP(FJ25,IN_Zugliste!$A$4:$F$2002,7,FALSE),"")</f>
        <v/>
      </c>
      <c r="FK324" t="str">
        <f>+IFERROR(VLOOKUP(FK25,IN_Zugliste!$A$4:$F$2002,7,FALSE),"")</f>
        <v/>
      </c>
      <c r="FL324" t="str">
        <f>+IFERROR(VLOOKUP(FL25,IN_Zugliste!$A$4:$F$2002,7,FALSE),"")</f>
        <v/>
      </c>
      <c r="FM324" t="str">
        <f>+IFERROR(VLOOKUP(FM25,IN_Zugliste!$A$4:$F$2002,7,FALSE),"")</f>
        <v/>
      </c>
      <c r="FN324" t="str">
        <f>+IFERROR(VLOOKUP(FN25,IN_Zugliste!$A$4:$F$2002,7,FALSE),"")</f>
        <v/>
      </c>
      <c r="FO324" t="str">
        <f>+IFERROR(VLOOKUP(FO25,IN_Zugliste!$A$4:$F$2002,7,FALSE),"")</f>
        <v/>
      </c>
      <c r="FP324" t="str">
        <f>+IFERROR(VLOOKUP(FP25,IN_Zugliste!$A$4:$F$2002,7,FALSE),"")</f>
        <v/>
      </c>
      <c r="FQ324" t="str">
        <f>+IFERROR(VLOOKUP(FQ25,IN_Zugliste!$A$4:$F$2002,7,FALSE),"")</f>
        <v/>
      </c>
      <c r="FR324" t="str">
        <f>+IFERROR(VLOOKUP(FR25,IN_Zugliste!$A$4:$F$2002,7,FALSE),"")</f>
        <v/>
      </c>
      <c r="FS324" t="str">
        <f>+IFERROR(VLOOKUP(FS25,IN_Zugliste!$A$4:$F$2002,7,FALSE),"")</f>
        <v/>
      </c>
      <c r="FT324" t="str">
        <f>+IFERROR(VLOOKUP(FT25,IN_Zugliste!$A$4:$F$2002,7,FALSE),"")</f>
        <v/>
      </c>
      <c r="FU324" t="str">
        <f>+IFERROR(VLOOKUP(FU25,IN_Zugliste!$A$4:$F$2002,7,FALSE),"")</f>
        <v/>
      </c>
      <c r="FV324" t="str">
        <f>+IFERROR(VLOOKUP(FV25,IN_Zugliste!$A$4:$F$2002,7,FALSE),"")</f>
        <v/>
      </c>
      <c r="FW324" t="str">
        <f>+IFERROR(VLOOKUP(FW25,IN_Zugliste!$A$4:$F$2002,7,FALSE),"")</f>
        <v/>
      </c>
      <c r="FX324" t="str">
        <f>+IFERROR(VLOOKUP(FX25,IN_Zugliste!$A$4:$F$2002,7,FALSE),"")</f>
        <v/>
      </c>
      <c r="FY324" t="str">
        <f>+IFERROR(VLOOKUP(FY25,IN_Zugliste!$A$4:$F$2002,7,FALSE),"")</f>
        <v/>
      </c>
      <c r="FZ324" t="str">
        <f>+IFERROR(VLOOKUP(FZ25,IN_Zugliste!$A$4:$F$2002,7,FALSE),"")</f>
        <v/>
      </c>
      <c r="GA324" t="str">
        <f>+IFERROR(VLOOKUP(GA25,IN_Zugliste!$A$4:$F$2002,7,FALSE),"")</f>
        <v/>
      </c>
      <c r="GB324" t="str">
        <f>+IFERROR(VLOOKUP(GB25,IN_Zugliste!$A$4:$F$2002,7,FALSE),"")</f>
        <v/>
      </c>
      <c r="GC324" t="str">
        <f>+IFERROR(VLOOKUP(GC25,IN_Zugliste!$A$4:$F$2002,7,FALSE),"")</f>
        <v/>
      </c>
      <c r="GD324" t="str">
        <f>+IFERROR(VLOOKUP(GD25,IN_Zugliste!$A$4:$F$2002,7,FALSE),"")</f>
        <v/>
      </c>
      <c r="GE324" t="str">
        <f>+IFERROR(VLOOKUP(GE25,IN_Zugliste!$A$4:$F$2002,7,FALSE),"")</f>
        <v/>
      </c>
      <c r="GF324" t="str">
        <f>+IFERROR(VLOOKUP(GF25,IN_Zugliste!$A$4:$F$2002,7,FALSE),"")</f>
        <v/>
      </c>
      <c r="GG324" t="str">
        <f>+IFERROR(VLOOKUP(GG25,IN_Zugliste!$A$4:$F$2002,7,FALSE),"")</f>
        <v/>
      </c>
      <c r="GH324" t="str">
        <f>+IFERROR(VLOOKUP(GH25,IN_Zugliste!$A$4:$F$2002,7,FALSE),"")</f>
        <v/>
      </c>
      <c r="GI324" t="str">
        <f>+IFERROR(VLOOKUP(GI25,IN_Zugliste!$A$4:$F$2002,7,FALSE),"")</f>
        <v/>
      </c>
      <c r="GJ324" t="str">
        <f>+IFERROR(VLOOKUP(GJ25,IN_Zugliste!$A$4:$F$2002,7,FALSE),"")</f>
        <v/>
      </c>
      <c r="GK324" t="str">
        <f>+IFERROR(VLOOKUP(GK25,IN_Zugliste!$A$4:$F$2002,7,FALSE),"")</f>
        <v/>
      </c>
      <c r="GL324" t="str">
        <f>+IFERROR(VLOOKUP(GL25,IN_Zugliste!$A$4:$F$2002,7,FALSE),"")</f>
        <v/>
      </c>
      <c r="GM324" t="str">
        <f>+IFERROR(VLOOKUP(GM25,IN_Zugliste!$A$4:$F$2002,7,FALSE),"")</f>
        <v/>
      </c>
      <c r="GN324" t="str">
        <f>+IFERROR(VLOOKUP(GN25,IN_Zugliste!$A$4:$F$2002,7,FALSE),"")</f>
        <v/>
      </c>
      <c r="GO324" t="str">
        <f>+IFERROR(VLOOKUP(GO25,IN_Zugliste!$A$4:$F$2002,7,FALSE),"")</f>
        <v/>
      </c>
      <c r="GP324" t="str">
        <f>+IFERROR(VLOOKUP(GP25,IN_Zugliste!$A$4:$F$2002,7,FALSE),"")</f>
        <v/>
      </c>
      <c r="GQ324" t="str">
        <f>+IFERROR(VLOOKUP(GQ25,IN_Zugliste!$A$4:$F$2002,7,FALSE),"")</f>
        <v/>
      </c>
      <c r="GR324" t="str">
        <f>+IFERROR(VLOOKUP(GR25,IN_Zugliste!$A$4:$F$2002,7,FALSE),"")</f>
        <v/>
      </c>
      <c r="GS324" t="str">
        <f>+IFERROR(VLOOKUP(GS25,IN_Zugliste!$A$4:$F$2002,7,FALSE),"")</f>
        <v/>
      </c>
      <c r="GT324" t="str">
        <f>+IFERROR(VLOOKUP(GT25,IN_Zugliste!$A$4:$F$2002,7,FALSE),"")</f>
        <v/>
      </c>
      <c r="GU324" t="str">
        <f>+IFERROR(VLOOKUP(GU25,IN_Zugliste!$A$4:$F$2002,7,FALSE),"")</f>
        <v/>
      </c>
      <c r="GV324" t="str">
        <f>+IFERROR(VLOOKUP(GV25,IN_Zugliste!$A$4:$F$2002,7,FALSE),"")</f>
        <v/>
      </c>
      <c r="GW324" t="str">
        <f>+IFERROR(VLOOKUP(GW25,IN_Zugliste!$A$4:$F$2002,7,FALSE),"")</f>
        <v/>
      </c>
      <c r="GX324" t="str">
        <f>+IFERROR(VLOOKUP(GX25,IN_Zugliste!$A$4:$F$2002,7,FALSE),"")</f>
        <v/>
      </c>
      <c r="GY324" t="str">
        <f>+IFERROR(VLOOKUP(GY25,IN_Zugliste!$A$4:$F$2002,7,FALSE),"")</f>
        <v/>
      </c>
      <c r="GZ324" t="str">
        <f>+IFERROR(VLOOKUP(GZ25,IN_Zugliste!$A$4:$F$2002,7,FALSE),"")</f>
        <v/>
      </c>
      <c r="HA324" t="str">
        <f>+IFERROR(VLOOKUP(HA25,IN_Zugliste!$A$4:$F$2002,7,FALSE),"")</f>
        <v/>
      </c>
      <c r="HB324" t="str">
        <f>+IFERROR(VLOOKUP(HB25,IN_Zugliste!$A$4:$F$2002,7,FALSE),"")</f>
        <v/>
      </c>
      <c r="HC324" t="str">
        <f>+IFERROR(VLOOKUP(HC25,IN_Zugliste!$A$4:$F$2002,7,FALSE),"")</f>
        <v/>
      </c>
      <c r="HD324" t="str">
        <f>+IFERROR(VLOOKUP(HD25,IN_Zugliste!$A$4:$F$2002,7,FALSE),"")</f>
        <v/>
      </c>
      <c r="HE324" t="str">
        <f>+IFERROR(VLOOKUP(HE25,IN_Zugliste!$A$4:$F$2002,7,FALSE),"")</f>
        <v/>
      </c>
      <c r="HF324" t="str">
        <f>+IFERROR(VLOOKUP(HF25,IN_Zugliste!$A$4:$F$2002,7,FALSE),"")</f>
        <v/>
      </c>
      <c r="HG324" t="str">
        <f>+IFERROR(VLOOKUP(HG25,IN_Zugliste!$A$4:$F$2002,7,FALSE),"")</f>
        <v/>
      </c>
      <c r="HH324" t="str">
        <f>+IFERROR(VLOOKUP(HH25,IN_Zugliste!$A$4:$F$2002,7,FALSE),"")</f>
        <v/>
      </c>
      <c r="HI324" t="str">
        <f>+IFERROR(VLOOKUP(HI25,IN_Zugliste!$A$4:$F$2002,7,FALSE),"")</f>
        <v/>
      </c>
      <c r="HJ324" t="str">
        <f>+IFERROR(VLOOKUP(HJ25,IN_Zugliste!$A$4:$F$2002,7,FALSE),"")</f>
        <v/>
      </c>
      <c r="HK324" t="str">
        <f>+IFERROR(VLOOKUP(HK25,IN_Zugliste!$A$4:$F$2002,7,FALSE),"")</f>
        <v/>
      </c>
      <c r="HL324" t="str">
        <f>+IFERROR(VLOOKUP(HL25,IN_Zugliste!$A$4:$F$2002,7,FALSE),"")</f>
        <v/>
      </c>
      <c r="HM324" t="str">
        <f>+IFERROR(VLOOKUP(HM25,IN_Zugliste!$A$4:$F$2002,7,FALSE),"")</f>
        <v/>
      </c>
      <c r="HN324" t="str">
        <f>+IFERROR(VLOOKUP(HN25,IN_Zugliste!$A$4:$F$2002,7,FALSE),"")</f>
        <v/>
      </c>
      <c r="HO324" t="str">
        <f>+IFERROR(VLOOKUP(HO25,IN_Zugliste!$A$4:$F$2002,7,FALSE),"")</f>
        <v/>
      </c>
      <c r="HP324" t="str">
        <f>+IFERROR(VLOOKUP(HP25,IN_Zugliste!$A$4:$F$2002,7,FALSE),"")</f>
        <v/>
      </c>
      <c r="HQ324" t="str">
        <f>+IFERROR(VLOOKUP(HQ25,IN_Zugliste!$A$4:$F$2002,7,FALSE),"")</f>
        <v/>
      </c>
      <c r="HR324" t="str">
        <f>+IFERROR(VLOOKUP(HR25,IN_Zugliste!$A$4:$F$2002,7,FALSE),"")</f>
        <v/>
      </c>
      <c r="HS324" t="str">
        <f>+IFERROR(VLOOKUP(HS25,IN_Zugliste!$A$4:$F$2002,7,FALSE),"")</f>
        <v/>
      </c>
      <c r="HT324" t="str">
        <f>+IFERROR(VLOOKUP(HT25,IN_Zugliste!$A$4:$F$2002,7,FALSE),"")</f>
        <v/>
      </c>
      <c r="HU324" t="str">
        <f>+IFERROR(VLOOKUP(HU25,IN_Zugliste!$A$4:$F$2002,7,FALSE),"")</f>
        <v/>
      </c>
      <c r="HV324" t="str">
        <f>+IFERROR(VLOOKUP(HV25,IN_Zugliste!$A$4:$F$2002,7,FALSE),"")</f>
        <v/>
      </c>
      <c r="HW324" t="str">
        <f>+IFERROR(VLOOKUP(HW25,IN_Zugliste!$A$4:$F$2002,7,FALSE),"")</f>
        <v/>
      </c>
      <c r="HX324" t="str">
        <f>+IFERROR(VLOOKUP(HX25,IN_Zugliste!$A$4:$F$2002,7,FALSE),"")</f>
        <v/>
      </c>
      <c r="HY324" t="str">
        <f>+IFERROR(VLOOKUP(HY25,IN_Zugliste!$A$4:$F$2002,7,FALSE),"")</f>
        <v/>
      </c>
      <c r="HZ324" t="str">
        <f>+IFERROR(VLOOKUP(HZ25,IN_Zugliste!$A$4:$F$2002,7,FALSE),"")</f>
        <v/>
      </c>
      <c r="IA324" t="str">
        <f>+IFERROR(VLOOKUP(IA25,IN_Zugliste!$A$4:$F$2002,7,FALSE),"")</f>
        <v/>
      </c>
      <c r="IB324" t="str">
        <f>+IFERROR(VLOOKUP(IB25,IN_Zugliste!$A$4:$F$2002,7,FALSE),"")</f>
        <v/>
      </c>
      <c r="IC324" t="str">
        <f>+IFERROR(VLOOKUP(IC25,IN_Zugliste!$A$4:$F$2002,7,FALSE),"")</f>
        <v/>
      </c>
      <c r="ID324" t="str">
        <f>+IFERROR(VLOOKUP(ID25,IN_Zugliste!$A$4:$F$2002,7,FALSE),"")</f>
        <v/>
      </c>
      <c r="IE324" t="str">
        <f>+IFERROR(VLOOKUP(IE25,IN_Zugliste!$A$4:$F$2002,7,FALSE),"")</f>
        <v/>
      </c>
      <c r="IF324" t="str">
        <f>+IFERROR(VLOOKUP(IF25,IN_Zugliste!$A$4:$F$2002,7,FALSE),"")</f>
        <v/>
      </c>
      <c r="IG324" t="str">
        <f>+IFERROR(VLOOKUP(IG25,IN_Zugliste!$A$4:$F$2002,7,FALSE),"")</f>
        <v/>
      </c>
      <c r="IH324" t="str">
        <f>+IFERROR(VLOOKUP(IH25,IN_Zugliste!$A$4:$F$2002,7,FALSE),"")</f>
        <v/>
      </c>
      <c r="II324" t="str">
        <f>+IFERROR(VLOOKUP(II25,IN_Zugliste!$A$4:$F$2002,7,FALSE),"")</f>
        <v/>
      </c>
      <c r="IJ324" t="str">
        <f>+IFERROR(VLOOKUP(IJ25,IN_Zugliste!$A$4:$F$2002,7,FALSE),"")</f>
        <v/>
      </c>
      <c r="IK324" t="str">
        <f>+IFERROR(VLOOKUP(IK25,IN_Zugliste!$A$4:$F$2002,7,FALSE),"")</f>
        <v/>
      </c>
      <c r="IL324" t="str">
        <f>+IFERROR(VLOOKUP(IL25,IN_Zugliste!$A$4:$F$2002,7,FALSE),"")</f>
        <v/>
      </c>
      <c r="IM324" t="str">
        <f>+IFERROR(VLOOKUP(IM25,IN_Zugliste!$A$4:$F$2002,7,FALSE),"")</f>
        <v/>
      </c>
      <c r="IN324" t="str">
        <f>+IFERROR(VLOOKUP(IN25,IN_Zugliste!$A$4:$F$2002,7,FALSE),"")</f>
        <v/>
      </c>
      <c r="IO324" t="str">
        <f>+IFERROR(VLOOKUP(IO25,IN_Zugliste!$A$4:$F$2002,7,FALSE),"")</f>
        <v/>
      </c>
      <c r="IP324" t="str">
        <f>+IFERROR(VLOOKUP(IP25,IN_Zugliste!$A$4:$F$2002,7,FALSE),"")</f>
        <v/>
      </c>
      <c r="IQ324" t="str">
        <f>+IFERROR(VLOOKUP(IQ25,IN_Zugliste!$A$4:$F$2002,7,FALSE),"")</f>
        <v/>
      </c>
      <c r="IR324" t="str">
        <f>+IFERROR(VLOOKUP(IR25,IN_Zugliste!$A$4:$F$2002,7,FALSE),"")</f>
        <v/>
      </c>
      <c r="IS324" t="str">
        <f>+IFERROR(VLOOKUP(IS25,IN_Zugliste!$A$4:$F$2002,7,FALSE),"")</f>
        <v/>
      </c>
      <c r="IT324" t="str">
        <f>+IFERROR(VLOOKUP(IT25,IN_Zugliste!$A$4:$F$2002,7,FALSE),"")</f>
        <v/>
      </c>
      <c r="IU324" t="str">
        <f>+IFERROR(VLOOKUP(IU25,IN_Zugliste!$A$4:$F$2002,7,FALSE),"")</f>
        <v/>
      </c>
      <c r="IV324" t="str">
        <f>+IFERROR(VLOOKUP(IV25,IN_Zugliste!$A$4:$F$2002,7,FALSE),"")</f>
        <v/>
      </c>
      <c r="IW324" t="str">
        <f>+IFERROR(VLOOKUP(IW25,IN_Zugliste!$A$4:$F$2002,7,FALSE),"")</f>
        <v/>
      </c>
      <c r="IX324" t="str">
        <f>+IFERROR(VLOOKUP(IX25,IN_Zugliste!$A$4:$F$2002,7,FALSE),"")</f>
        <v/>
      </c>
      <c r="IY324" t="str">
        <f>+IFERROR(VLOOKUP(IY25,IN_Zugliste!$A$4:$F$2002,7,FALSE),"")</f>
        <v/>
      </c>
      <c r="IZ324" t="str">
        <f>+IFERROR(VLOOKUP(IZ25,IN_Zugliste!$A$4:$F$2002,7,FALSE),"")</f>
        <v/>
      </c>
      <c r="JA324" t="str">
        <f>+IFERROR(VLOOKUP(JA25,IN_Zugliste!$A$4:$F$2002,7,FALSE),"")</f>
        <v/>
      </c>
      <c r="JB324" t="str">
        <f>+IFERROR(VLOOKUP(JB25,IN_Zugliste!$A$4:$F$2002,7,FALSE),"")</f>
        <v/>
      </c>
      <c r="JC324" t="str">
        <f>+IFERROR(VLOOKUP(JC25,IN_Zugliste!$A$4:$F$2002,7,FALSE),"")</f>
        <v/>
      </c>
      <c r="JD324" t="str">
        <f>+IFERROR(VLOOKUP(JD25,IN_Zugliste!$A$4:$F$2002,7,FALSE),"")</f>
        <v/>
      </c>
      <c r="JE324" t="str">
        <f>+IFERROR(VLOOKUP(JE25,IN_Zugliste!$A$4:$F$2002,7,FALSE),"")</f>
        <v/>
      </c>
      <c r="JF324" t="str">
        <f>+IFERROR(VLOOKUP(JF25,IN_Zugliste!$A$4:$F$2002,7,FALSE),"")</f>
        <v/>
      </c>
      <c r="JG324" t="str">
        <f>+IFERROR(VLOOKUP(JG25,IN_Zugliste!$A$4:$F$2002,7,FALSE),"")</f>
        <v/>
      </c>
      <c r="JH324" t="str">
        <f>+IFERROR(VLOOKUP(JH25,IN_Zugliste!$A$4:$F$2002,7,FALSE),"")</f>
        <v/>
      </c>
      <c r="JI324" t="str">
        <f>+IFERROR(VLOOKUP(JI25,IN_Zugliste!$A$4:$F$2002,7,FALSE),"")</f>
        <v/>
      </c>
      <c r="JJ324" t="str">
        <f>+IFERROR(VLOOKUP(JJ25,IN_Zugliste!$A$4:$F$2002,7,FALSE),"")</f>
        <v/>
      </c>
    </row>
    <row r="325" spans="1:270" x14ac:dyDescent="0.2">
      <c r="A325" t="str">
        <f>+IFERROR(VLOOKUP(A26,IN_Zugliste!$A$4:$F$2002,7,FALSE),"")</f>
        <v/>
      </c>
      <c r="B325" t="str">
        <f>+IFERROR(VLOOKUP(B26,IN_Zugliste!$A$4:$F$2002,7,FALSE),"")</f>
        <v/>
      </c>
      <c r="C325" t="str">
        <f>+IFERROR(VLOOKUP(C26,IN_Zugliste!$A$4:$F$2002,7,FALSE),"")</f>
        <v/>
      </c>
      <c r="D325" t="str">
        <f>+IFERROR(VLOOKUP(D26,IN_Zugliste!$A$4:$F$2002,7,FALSE),"")</f>
        <v/>
      </c>
      <c r="E325" t="str">
        <f>+IFERROR(VLOOKUP(E26,IN_Zugliste!$A$4:$F$2002,7,FALSE),"")</f>
        <v/>
      </c>
      <c r="F325" t="str">
        <f>+IFERROR(VLOOKUP(F26,IN_Zugliste!$A$4:$F$2002,7,FALSE),"")</f>
        <v/>
      </c>
      <c r="G325" t="str">
        <f>+IFERROR(VLOOKUP(G26,IN_Zugliste!$A$4:$F$2002,7,FALSE),"")</f>
        <v/>
      </c>
      <c r="H325" t="str">
        <f>+IFERROR(VLOOKUP(H26,IN_Zugliste!$A$4:$F$2002,7,FALSE),"")</f>
        <v/>
      </c>
      <c r="I325" t="str">
        <f>+IFERROR(VLOOKUP(I26,IN_Zugliste!$A$4:$F$2002,7,FALSE),"")</f>
        <v/>
      </c>
      <c r="J325" t="str">
        <f>+IFERROR(VLOOKUP(J26,IN_Zugliste!$A$4:$F$2002,7,FALSE),"")</f>
        <v/>
      </c>
      <c r="K325" t="str">
        <f>+IFERROR(VLOOKUP(K26,IN_Zugliste!$A$4:$F$2002,7,FALSE),"")</f>
        <v/>
      </c>
      <c r="L325" t="str">
        <f>+IFERROR(VLOOKUP(L26,IN_Zugliste!$A$4:$F$2002,7,FALSE),"")</f>
        <v/>
      </c>
      <c r="M325" t="str">
        <f>+IFERROR(VLOOKUP(M26,IN_Zugliste!$A$4:$F$2002,7,FALSE),"")</f>
        <v/>
      </c>
      <c r="N325" t="str">
        <f>+IFERROR(VLOOKUP(N26,IN_Zugliste!$A$4:$F$2002,7,FALSE),"")</f>
        <v/>
      </c>
      <c r="O325" t="str">
        <f>+IFERROR(VLOOKUP(O26,IN_Zugliste!$A$4:$F$2002,7,FALSE),"")</f>
        <v/>
      </c>
      <c r="P325" t="str">
        <f>+IFERROR(VLOOKUP(P26,IN_Zugliste!$A$4:$F$2002,7,FALSE),"")</f>
        <v/>
      </c>
      <c r="Q325" t="str">
        <f>+IFERROR(VLOOKUP(Q26,IN_Zugliste!$A$4:$F$2002,7,FALSE),"")</f>
        <v/>
      </c>
      <c r="R325" t="str">
        <f>+IFERROR(VLOOKUP(R26,IN_Zugliste!$A$4:$F$2002,7,FALSE),"")</f>
        <v/>
      </c>
      <c r="S325" t="str">
        <f>+IFERROR(VLOOKUP(S26,IN_Zugliste!$A$4:$F$2002,7,FALSE),"")</f>
        <v/>
      </c>
      <c r="T325" t="str">
        <f>+IFERROR(VLOOKUP(T26,IN_Zugliste!$A$4:$F$2002,7,FALSE),"")</f>
        <v/>
      </c>
      <c r="U325" t="str">
        <f>+IFERROR(VLOOKUP(U26,IN_Zugliste!$A$4:$F$2002,7,FALSE),"")</f>
        <v/>
      </c>
      <c r="V325" t="str">
        <f>+IFERROR(VLOOKUP(V26,IN_Zugliste!$A$4:$F$2002,7,FALSE),"")</f>
        <v/>
      </c>
      <c r="W325" t="str">
        <f>+IFERROR(VLOOKUP(W26,IN_Zugliste!$A$4:$F$2002,7,FALSE),"")</f>
        <v/>
      </c>
      <c r="X325" t="str">
        <f>+IFERROR(VLOOKUP(X26,IN_Zugliste!$A$4:$F$2002,7,FALSE),"")</f>
        <v/>
      </c>
      <c r="Y325" t="str">
        <f>+IFERROR(VLOOKUP(Y26,IN_Zugliste!$A$4:$F$2002,7,FALSE),"")</f>
        <v/>
      </c>
      <c r="Z325" t="str">
        <f>+IFERROR(VLOOKUP(Z26,IN_Zugliste!$A$4:$F$2002,7,FALSE),"")</f>
        <v/>
      </c>
      <c r="AA325" t="str">
        <f>+IFERROR(VLOOKUP(AA26,IN_Zugliste!$A$4:$F$2002,7,FALSE),"")</f>
        <v/>
      </c>
      <c r="AB325" t="str">
        <f>+IFERROR(VLOOKUP(AB26,IN_Zugliste!$A$4:$F$2002,7,FALSE),"")</f>
        <v/>
      </c>
      <c r="AC325" t="str">
        <f>+IFERROR(VLOOKUP(AC26,IN_Zugliste!$A$4:$F$2002,7,FALSE),"")</f>
        <v/>
      </c>
      <c r="AD325" t="str">
        <f>+IFERROR(VLOOKUP(AD26,IN_Zugliste!$A$4:$F$2002,7,FALSE),"")</f>
        <v/>
      </c>
      <c r="AE325" t="str">
        <f>+IFERROR(VLOOKUP(AE26,IN_Zugliste!$A$4:$F$2002,7,FALSE),"")</f>
        <v/>
      </c>
      <c r="AF325" t="str">
        <f>+IFERROR(VLOOKUP(AF26,IN_Zugliste!$A$4:$F$2002,7,FALSE),"")</f>
        <v/>
      </c>
      <c r="AG325" t="str">
        <f>+IFERROR(VLOOKUP(AG26,IN_Zugliste!$A$4:$F$2002,7,FALSE),"")</f>
        <v/>
      </c>
      <c r="AH325" t="str">
        <f>+IFERROR(VLOOKUP(AH26,IN_Zugliste!$A$4:$F$2002,7,FALSE),"")</f>
        <v/>
      </c>
      <c r="AI325" t="str">
        <f>+IFERROR(VLOOKUP(AI26,IN_Zugliste!$A$4:$F$2002,7,FALSE),"")</f>
        <v/>
      </c>
      <c r="AJ325" t="str">
        <f>+IFERROR(VLOOKUP(AJ26,IN_Zugliste!$A$4:$F$2002,7,FALSE),"")</f>
        <v/>
      </c>
      <c r="AK325" t="str">
        <f>+IFERROR(VLOOKUP(AK26,IN_Zugliste!$A$4:$F$2002,7,FALSE),"")</f>
        <v/>
      </c>
      <c r="AL325" t="str">
        <f>+IFERROR(VLOOKUP(AL26,IN_Zugliste!$A$4:$F$2002,7,FALSE),"")</f>
        <v/>
      </c>
      <c r="AM325" t="str">
        <f>+IFERROR(VLOOKUP(AM26,IN_Zugliste!$A$4:$F$2002,7,FALSE),"")</f>
        <v/>
      </c>
      <c r="AN325" t="str">
        <f>+IFERROR(VLOOKUP(AN26,IN_Zugliste!$A$4:$F$2002,7,FALSE),"")</f>
        <v/>
      </c>
      <c r="AO325" t="str">
        <f>+IFERROR(VLOOKUP(AO26,IN_Zugliste!$A$4:$F$2002,7,FALSE),"")</f>
        <v/>
      </c>
      <c r="AP325" t="str">
        <f>+IFERROR(VLOOKUP(AP26,IN_Zugliste!$A$4:$F$2002,7,FALSE),"")</f>
        <v/>
      </c>
      <c r="AQ325" t="str">
        <f>+IFERROR(VLOOKUP(AQ26,IN_Zugliste!$A$4:$F$2002,7,FALSE),"")</f>
        <v/>
      </c>
      <c r="AR325" t="str">
        <f>+IFERROR(VLOOKUP(AR26,IN_Zugliste!$A$4:$F$2002,7,FALSE),"")</f>
        <v/>
      </c>
      <c r="AS325" t="str">
        <f>+IFERROR(VLOOKUP(AS26,IN_Zugliste!$A$4:$F$2002,7,FALSE),"")</f>
        <v/>
      </c>
      <c r="AT325" t="str">
        <f>+IFERROR(VLOOKUP(AT26,IN_Zugliste!$A$4:$F$2002,7,FALSE),"")</f>
        <v/>
      </c>
      <c r="AU325" t="str">
        <f>+IFERROR(VLOOKUP(AU26,IN_Zugliste!$A$4:$F$2002,7,FALSE),"")</f>
        <v/>
      </c>
      <c r="AV325" t="str">
        <f>+IFERROR(VLOOKUP(AV26,IN_Zugliste!$A$4:$F$2002,7,FALSE),"")</f>
        <v/>
      </c>
      <c r="AW325" t="str">
        <f>+IFERROR(VLOOKUP(AW26,IN_Zugliste!$A$4:$F$2002,7,FALSE),"")</f>
        <v/>
      </c>
      <c r="AX325" t="str">
        <f>+IFERROR(VLOOKUP(AX26,IN_Zugliste!$A$4:$F$2002,7,FALSE),"")</f>
        <v/>
      </c>
      <c r="AY325" t="str">
        <f>+IFERROR(VLOOKUP(AY26,IN_Zugliste!$A$4:$F$2002,7,FALSE),"")</f>
        <v/>
      </c>
      <c r="AZ325" t="str">
        <f>+IFERROR(VLOOKUP(AZ26,IN_Zugliste!$A$4:$F$2002,7,FALSE),"")</f>
        <v/>
      </c>
      <c r="BA325" t="str">
        <f>+IFERROR(VLOOKUP(BA26,IN_Zugliste!$A$4:$F$2002,7,FALSE),"")</f>
        <v/>
      </c>
      <c r="BB325" t="str">
        <f>+IFERROR(VLOOKUP(BB26,IN_Zugliste!$A$4:$F$2002,7,FALSE),"")</f>
        <v/>
      </c>
      <c r="BC325" t="str">
        <f>+IFERROR(VLOOKUP(BC26,IN_Zugliste!$A$4:$F$2002,7,FALSE),"")</f>
        <v/>
      </c>
      <c r="BD325" t="str">
        <f>+IFERROR(VLOOKUP(BD26,IN_Zugliste!$A$4:$F$2002,7,FALSE),"")</f>
        <v/>
      </c>
      <c r="BE325" t="str">
        <f>+IFERROR(VLOOKUP(BE26,IN_Zugliste!$A$4:$F$2002,7,FALSE),"")</f>
        <v/>
      </c>
      <c r="BF325" t="str">
        <f>+IFERROR(VLOOKUP(BF26,IN_Zugliste!$A$4:$F$2002,7,FALSE),"")</f>
        <v/>
      </c>
      <c r="BG325" t="str">
        <f>+IFERROR(VLOOKUP(BG26,IN_Zugliste!$A$4:$F$2002,7,FALSE),"")</f>
        <v/>
      </c>
      <c r="BH325" t="str">
        <f>+IFERROR(VLOOKUP(BH26,IN_Zugliste!$A$4:$F$2002,7,FALSE),"")</f>
        <v/>
      </c>
      <c r="BI325" t="str">
        <f>+IFERROR(VLOOKUP(BI26,IN_Zugliste!$A$4:$F$2002,7,FALSE),"")</f>
        <v/>
      </c>
      <c r="BJ325" t="str">
        <f>+IFERROR(VLOOKUP(BJ26,IN_Zugliste!$A$4:$F$2002,7,FALSE),"")</f>
        <v/>
      </c>
      <c r="BK325" t="str">
        <f>+IFERROR(VLOOKUP(BK26,IN_Zugliste!$A$4:$F$2002,7,FALSE),"")</f>
        <v/>
      </c>
      <c r="BL325" t="str">
        <f>+IFERROR(VLOOKUP(BL26,IN_Zugliste!$A$4:$F$2002,7,FALSE),"")</f>
        <v/>
      </c>
      <c r="BM325" t="str">
        <f>+IFERROR(VLOOKUP(BM26,IN_Zugliste!$A$4:$F$2002,7,FALSE),"")</f>
        <v/>
      </c>
      <c r="BN325" t="str">
        <f>+IFERROR(VLOOKUP(BN26,IN_Zugliste!$A$4:$F$2002,7,FALSE),"")</f>
        <v/>
      </c>
      <c r="BO325" t="str">
        <f>+IFERROR(VLOOKUP(BO26,IN_Zugliste!$A$4:$F$2002,7,FALSE),"")</f>
        <v/>
      </c>
      <c r="BP325" t="str">
        <f>+IFERROR(VLOOKUP(BP26,IN_Zugliste!$A$4:$F$2002,7,FALSE),"")</f>
        <v/>
      </c>
      <c r="BQ325" t="str">
        <f>+IFERROR(VLOOKUP(BQ26,IN_Zugliste!$A$4:$F$2002,7,FALSE),"")</f>
        <v/>
      </c>
      <c r="BR325" t="str">
        <f>+IFERROR(VLOOKUP(BR26,IN_Zugliste!$A$4:$F$2002,7,FALSE),"")</f>
        <v/>
      </c>
      <c r="BS325" t="str">
        <f>+IFERROR(VLOOKUP(BS26,IN_Zugliste!$A$4:$F$2002,7,FALSE),"")</f>
        <v/>
      </c>
      <c r="BT325" t="str">
        <f>+IFERROR(VLOOKUP(BT26,IN_Zugliste!$A$4:$F$2002,7,FALSE),"")</f>
        <v/>
      </c>
      <c r="BU325" t="str">
        <f>+IFERROR(VLOOKUP(BU26,IN_Zugliste!$A$4:$F$2002,7,FALSE),"")</f>
        <v/>
      </c>
      <c r="BV325" t="str">
        <f>+IFERROR(VLOOKUP(BV26,IN_Zugliste!$A$4:$F$2002,7,FALSE),"")</f>
        <v/>
      </c>
      <c r="BW325" t="str">
        <f>+IFERROR(VLOOKUP(BW26,IN_Zugliste!$A$4:$F$2002,7,FALSE),"")</f>
        <v/>
      </c>
      <c r="BX325" t="str">
        <f>+IFERROR(VLOOKUP(BX26,IN_Zugliste!$A$4:$F$2002,7,FALSE),"")</f>
        <v/>
      </c>
      <c r="BY325" t="str">
        <f>+IFERROR(VLOOKUP(BY26,IN_Zugliste!$A$4:$F$2002,7,FALSE),"")</f>
        <v/>
      </c>
      <c r="BZ325" t="str">
        <f>+IFERROR(VLOOKUP(BZ26,IN_Zugliste!$A$4:$F$2002,7,FALSE),"")</f>
        <v/>
      </c>
      <c r="CA325" t="str">
        <f>+IFERROR(VLOOKUP(CA26,IN_Zugliste!$A$4:$F$2002,7,FALSE),"")</f>
        <v/>
      </c>
      <c r="CB325" t="str">
        <f>+IFERROR(VLOOKUP(CB26,IN_Zugliste!$A$4:$F$2002,7,FALSE),"")</f>
        <v/>
      </c>
      <c r="CC325" t="str">
        <f>+IFERROR(VLOOKUP(CC26,IN_Zugliste!$A$4:$F$2002,7,FALSE),"")</f>
        <v/>
      </c>
      <c r="CD325" t="str">
        <f>+IFERROR(VLOOKUP(CD26,IN_Zugliste!$A$4:$F$2002,7,FALSE),"")</f>
        <v/>
      </c>
      <c r="CE325" t="str">
        <f>+IFERROR(VLOOKUP(CE26,IN_Zugliste!$A$4:$F$2002,7,FALSE),"")</f>
        <v/>
      </c>
      <c r="CF325" t="str">
        <f>+IFERROR(VLOOKUP(CF26,IN_Zugliste!$A$4:$F$2002,7,FALSE),"")</f>
        <v/>
      </c>
      <c r="CG325" t="str">
        <f>+IFERROR(VLOOKUP(CG26,IN_Zugliste!$A$4:$F$2002,7,FALSE),"")</f>
        <v/>
      </c>
      <c r="CH325" t="str">
        <f>+IFERROR(VLOOKUP(CH26,IN_Zugliste!$A$4:$F$2002,7,FALSE),"")</f>
        <v/>
      </c>
      <c r="CI325" t="str">
        <f>+IFERROR(VLOOKUP(CI26,IN_Zugliste!$A$4:$F$2002,7,FALSE),"")</f>
        <v/>
      </c>
      <c r="CJ325" t="str">
        <f>+IFERROR(VLOOKUP(CJ26,IN_Zugliste!$A$4:$F$2002,7,FALSE),"")</f>
        <v/>
      </c>
      <c r="CK325" t="str">
        <f>+IFERROR(VLOOKUP(CK26,IN_Zugliste!$A$4:$F$2002,7,FALSE),"")</f>
        <v/>
      </c>
      <c r="CL325" t="str">
        <f>+IFERROR(VLOOKUP(CL26,IN_Zugliste!$A$4:$F$2002,7,FALSE),"")</f>
        <v/>
      </c>
      <c r="CM325" t="str">
        <f>+IFERROR(VLOOKUP(CM26,IN_Zugliste!$A$4:$F$2002,7,FALSE),"")</f>
        <v/>
      </c>
      <c r="CN325" t="str">
        <f>+IFERROR(VLOOKUP(CN26,IN_Zugliste!$A$4:$F$2002,7,FALSE),"")</f>
        <v/>
      </c>
      <c r="CO325" t="str">
        <f>+IFERROR(VLOOKUP(CO26,IN_Zugliste!$A$4:$F$2002,7,FALSE),"")</f>
        <v/>
      </c>
      <c r="CP325" t="str">
        <f>+IFERROR(VLOOKUP(CP26,IN_Zugliste!$A$4:$F$2002,7,FALSE),"")</f>
        <v/>
      </c>
      <c r="CQ325" t="str">
        <f>+IFERROR(VLOOKUP(CQ26,IN_Zugliste!$A$4:$F$2002,7,FALSE),"")</f>
        <v/>
      </c>
      <c r="CR325" t="str">
        <f>+IFERROR(VLOOKUP(CR26,IN_Zugliste!$A$4:$F$2002,7,FALSE),"")</f>
        <v/>
      </c>
      <c r="CS325" t="str">
        <f>+IFERROR(VLOOKUP(CS26,IN_Zugliste!$A$4:$F$2002,7,FALSE),"")</f>
        <v/>
      </c>
      <c r="CT325" t="str">
        <f>+IFERROR(VLOOKUP(CT26,IN_Zugliste!$A$4:$F$2002,7,FALSE),"")</f>
        <v/>
      </c>
      <c r="CU325" t="str">
        <f>+IFERROR(VLOOKUP(CU26,IN_Zugliste!$A$4:$F$2002,7,FALSE),"")</f>
        <v/>
      </c>
      <c r="CV325" t="str">
        <f>+IFERROR(VLOOKUP(CV26,IN_Zugliste!$A$4:$F$2002,7,FALSE),"")</f>
        <v/>
      </c>
      <c r="CW325" t="str">
        <f>+IFERROR(VLOOKUP(CW26,IN_Zugliste!$A$4:$F$2002,7,FALSE),"")</f>
        <v/>
      </c>
      <c r="CX325" t="str">
        <f>+IFERROR(VLOOKUP(CX26,IN_Zugliste!$A$4:$F$2002,7,FALSE),"")</f>
        <v/>
      </c>
      <c r="CY325" t="str">
        <f>+IFERROR(VLOOKUP(CY26,IN_Zugliste!$A$4:$F$2002,7,FALSE),"")</f>
        <v/>
      </c>
      <c r="CZ325" t="str">
        <f>+IFERROR(VLOOKUP(CZ26,IN_Zugliste!$A$4:$F$2002,7,FALSE),"")</f>
        <v/>
      </c>
      <c r="DA325" t="str">
        <f>+IFERROR(VLOOKUP(DA26,IN_Zugliste!$A$4:$F$2002,7,FALSE),"")</f>
        <v/>
      </c>
      <c r="DB325" t="str">
        <f>+IFERROR(VLOOKUP(DB26,IN_Zugliste!$A$4:$F$2002,7,FALSE),"")</f>
        <v/>
      </c>
      <c r="DC325" t="str">
        <f>+IFERROR(VLOOKUP(DC26,IN_Zugliste!$A$4:$F$2002,7,FALSE),"")</f>
        <v/>
      </c>
      <c r="DD325" t="str">
        <f>+IFERROR(VLOOKUP(DD26,IN_Zugliste!$A$4:$F$2002,7,FALSE),"")</f>
        <v/>
      </c>
      <c r="DE325" t="str">
        <f>+IFERROR(VLOOKUP(DE26,IN_Zugliste!$A$4:$F$2002,7,FALSE),"")</f>
        <v/>
      </c>
      <c r="DF325" t="str">
        <f>+IFERROR(VLOOKUP(DF26,IN_Zugliste!$A$4:$F$2002,7,FALSE),"")</f>
        <v/>
      </c>
      <c r="DG325" t="str">
        <f>+IFERROR(VLOOKUP(DG26,IN_Zugliste!$A$4:$F$2002,7,FALSE),"")</f>
        <v/>
      </c>
      <c r="DH325" t="str">
        <f>+IFERROR(VLOOKUP(DH26,IN_Zugliste!$A$4:$F$2002,7,FALSE),"")</f>
        <v/>
      </c>
      <c r="DI325" t="str">
        <f>+IFERROR(VLOOKUP(DI26,IN_Zugliste!$A$4:$F$2002,7,FALSE),"")</f>
        <v/>
      </c>
      <c r="DJ325" t="str">
        <f>+IFERROR(VLOOKUP(DJ26,IN_Zugliste!$A$4:$F$2002,7,FALSE),"")</f>
        <v/>
      </c>
      <c r="DK325" t="str">
        <f>+IFERROR(VLOOKUP(DK26,IN_Zugliste!$A$4:$F$2002,7,FALSE),"")</f>
        <v/>
      </c>
      <c r="DL325" t="str">
        <f>+IFERROR(VLOOKUP(DL26,IN_Zugliste!$A$4:$F$2002,7,FALSE),"")</f>
        <v/>
      </c>
      <c r="DM325" t="str">
        <f>+IFERROR(VLOOKUP(DM26,IN_Zugliste!$A$4:$F$2002,7,FALSE),"")</f>
        <v/>
      </c>
      <c r="DN325" t="str">
        <f>+IFERROR(VLOOKUP(DN26,IN_Zugliste!$A$4:$F$2002,7,FALSE),"")</f>
        <v/>
      </c>
      <c r="DO325" t="str">
        <f>+IFERROR(VLOOKUP(DO26,IN_Zugliste!$A$4:$F$2002,7,FALSE),"")</f>
        <v/>
      </c>
      <c r="DP325" t="str">
        <f>+IFERROR(VLOOKUP(DP26,IN_Zugliste!$A$4:$F$2002,7,FALSE),"")</f>
        <v/>
      </c>
      <c r="DQ325" t="str">
        <f>+IFERROR(VLOOKUP(DQ26,IN_Zugliste!$A$4:$F$2002,7,FALSE),"")</f>
        <v/>
      </c>
      <c r="DR325" t="str">
        <f>+IFERROR(VLOOKUP(DR26,IN_Zugliste!$A$4:$F$2002,7,FALSE),"")</f>
        <v/>
      </c>
      <c r="DS325" t="str">
        <f>+IFERROR(VLOOKUP(DS26,IN_Zugliste!$A$4:$F$2002,7,FALSE),"")</f>
        <v/>
      </c>
      <c r="DT325" t="str">
        <f>+IFERROR(VLOOKUP(DT26,IN_Zugliste!$A$4:$F$2002,7,FALSE),"")</f>
        <v/>
      </c>
      <c r="DU325" t="str">
        <f>+IFERROR(VLOOKUP(DU26,IN_Zugliste!$A$4:$F$2002,7,FALSE),"")</f>
        <v/>
      </c>
      <c r="DV325" t="str">
        <f>+IFERROR(VLOOKUP(DV26,IN_Zugliste!$A$4:$F$2002,7,FALSE),"")</f>
        <v/>
      </c>
      <c r="DW325" t="str">
        <f>+IFERROR(VLOOKUP(DW26,IN_Zugliste!$A$4:$F$2002,7,FALSE),"")</f>
        <v/>
      </c>
      <c r="DX325" t="str">
        <f>+IFERROR(VLOOKUP(DX26,IN_Zugliste!$A$4:$F$2002,7,FALSE),"")</f>
        <v/>
      </c>
      <c r="DY325" t="str">
        <f>+IFERROR(VLOOKUP(DY26,IN_Zugliste!$A$4:$F$2002,7,FALSE),"")</f>
        <v/>
      </c>
      <c r="DZ325" t="str">
        <f>+IFERROR(VLOOKUP(DZ26,IN_Zugliste!$A$4:$F$2002,7,FALSE),"")</f>
        <v/>
      </c>
      <c r="EA325" t="str">
        <f>+IFERROR(VLOOKUP(EA26,IN_Zugliste!$A$4:$F$2002,7,FALSE),"")</f>
        <v/>
      </c>
      <c r="EB325" t="str">
        <f>+IFERROR(VLOOKUP(EB26,IN_Zugliste!$A$4:$F$2002,7,FALSE),"")</f>
        <v/>
      </c>
      <c r="EC325" t="str">
        <f>+IFERROR(VLOOKUP(EC26,IN_Zugliste!$A$4:$F$2002,7,FALSE),"")</f>
        <v/>
      </c>
      <c r="ED325" t="str">
        <f>+IFERROR(VLOOKUP(ED26,IN_Zugliste!$A$4:$F$2002,7,FALSE),"")</f>
        <v/>
      </c>
      <c r="EE325" t="str">
        <f>+IFERROR(VLOOKUP(EE26,IN_Zugliste!$A$4:$F$2002,7,FALSE),"")</f>
        <v/>
      </c>
      <c r="EF325" t="str">
        <f>+IFERROR(VLOOKUP(EF26,IN_Zugliste!$A$4:$F$2002,7,FALSE),"")</f>
        <v/>
      </c>
      <c r="EG325" t="str">
        <f>+IFERROR(VLOOKUP(EG26,IN_Zugliste!$A$4:$F$2002,7,FALSE),"")</f>
        <v/>
      </c>
      <c r="EH325" t="str">
        <f>+IFERROR(VLOOKUP(EH26,IN_Zugliste!$A$4:$F$2002,7,FALSE),"")</f>
        <v/>
      </c>
      <c r="EI325" t="str">
        <f>+IFERROR(VLOOKUP(EI26,IN_Zugliste!$A$4:$F$2002,7,FALSE),"")</f>
        <v/>
      </c>
      <c r="EJ325" t="str">
        <f>+IFERROR(VLOOKUP(EJ26,IN_Zugliste!$A$4:$F$2002,7,FALSE),"")</f>
        <v/>
      </c>
      <c r="EK325" t="str">
        <f>+IFERROR(VLOOKUP(EK26,IN_Zugliste!$A$4:$F$2002,7,FALSE),"")</f>
        <v/>
      </c>
      <c r="EL325" t="str">
        <f>+IFERROR(VLOOKUP(EL26,IN_Zugliste!$A$4:$F$2002,7,FALSE),"")</f>
        <v/>
      </c>
      <c r="EM325" t="str">
        <f>+IFERROR(VLOOKUP(EM26,IN_Zugliste!$A$4:$F$2002,7,FALSE),"")</f>
        <v/>
      </c>
      <c r="EN325" t="str">
        <f>+IFERROR(VLOOKUP(EN26,IN_Zugliste!$A$4:$F$2002,7,FALSE),"")</f>
        <v/>
      </c>
      <c r="EO325" t="str">
        <f>+IFERROR(VLOOKUP(EO26,IN_Zugliste!$A$4:$F$2002,7,FALSE),"")</f>
        <v/>
      </c>
      <c r="EP325" t="str">
        <f>+IFERROR(VLOOKUP(EP26,IN_Zugliste!$A$4:$F$2002,7,FALSE),"")</f>
        <v/>
      </c>
      <c r="EQ325" t="str">
        <f>+IFERROR(VLOOKUP(EQ26,IN_Zugliste!$A$4:$F$2002,7,FALSE),"")</f>
        <v/>
      </c>
      <c r="ER325" t="str">
        <f>+IFERROR(VLOOKUP(ER26,IN_Zugliste!$A$4:$F$2002,7,FALSE),"")</f>
        <v/>
      </c>
      <c r="ES325" t="str">
        <f>+IFERROR(VLOOKUP(ES26,IN_Zugliste!$A$4:$F$2002,7,FALSE),"")</f>
        <v/>
      </c>
      <c r="ET325" t="str">
        <f>+IFERROR(VLOOKUP(ET26,IN_Zugliste!$A$4:$F$2002,7,FALSE),"")</f>
        <v/>
      </c>
      <c r="EU325" t="str">
        <f>+IFERROR(VLOOKUP(EU26,IN_Zugliste!$A$4:$F$2002,7,FALSE),"")</f>
        <v/>
      </c>
      <c r="EV325" t="str">
        <f>+IFERROR(VLOOKUP(EV26,IN_Zugliste!$A$4:$F$2002,7,FALSE),"")</f>
        <v/>
      </c>
      <c r="EW325" t="str">
        <f>+IFERROR(VLOOKUP(EW26,IN_Zugliste!$A$4:$F$2002,7,FALSE),"")</f>
        <v/>
      </c>
      <c r="EX325" t="str">
        <f>+IFERROR(VLOOKUP(EX26,IN_Zugliste!$A$4:$F$2002,7,FALSE),"")</f>
        <v/>
      </c>
      <c r="EY325" t="str">
        <f>+IFERROR(VLOOKUP(EY26,IN_Zugliste!$A$4:$F$2002,7,FALSE),"")</f>
        <v/>
      </c>
      <c r="EZ325" t="str">
        <f>+IFERROR(VLOOKUP(EZ26,IN_Zugliste!$A$4:$F$2002,7,FALSE),"")</f>
        <v/>
      </c>
      <c r="FA325" t="str">
        <f>+IFERROR(VLOOKUP(FA26,IN_Zugliste!$A$4:$F$2002,7,FALSE),"")</f>
        <v/>
      </c>
      <c r="FB325" t="str">
        <f>+IFERROR(VLOOKUP(FB26,IN_Zugliste!$A$4:$F$2002,7,FALSE),"")</f>
        <v/>
      </c>
      <c r="FC325" t="str">
        <f>+IFERROR(VLOOKUP(FC26,IN_Zugliste!$A$4:$F$2002,7,FALSE),"")</f>
        <v/>
      </c>
      <c r="FD325" t="str">
        <f>+IFERROR(VLOOKUP(FD26,IN_Zugliste!$A$4:$F$2002,7,FALSE),"")</f>
        <v/>
      </c>
      <c r="FE325" t="str">
        <f>+IFERROR(VLOOKUP(FE26,IN_Zugliste!$A$4:$F$2002,7,FALSE),"")</f>
        <v/>
      </c>
      <c r="FF325" t="str">
        <f>+IFERROR(VLOOKUP(FF26,IN_Zugliste!$A$4:$F$2002,7,FALSE),"")</f>
        <v/>
      </c>
      <c r="FG325" t="str">
        <f>+IFERROR(VLOOKUP(FG26,IN_Zugliste!$A$4:$F$2002,7,FALSE),"")</f>
        <v/>
      </c>
      <c r="FH325" t="str">
        <f>+IFERROR(VLOOKUP(FH26,IN_Zugliste!$A$4:$F$2002,7,FALSE),"")</f>
        <v/>
      </c>
      <c r="FI325" t="str">
        <f>+IFERROR(VLOOKUP(FI26,IN_Zugliste!$A$4:$F$2002,7,FALSE),"")</f>
        <v/>
      </c>
      <c r="FJ325" t="str">
        <f>+IFERROR(VLOOKUP(FJ26,IN_Zugliste!$A$4:$F$2002,7,FALSE),"")</f>
        <v/>
      </c>
      <c r="FK325" t="str">
        <f>+IFERROR(VLOOKUP(FK26,IN_Zugliste!$A$4:$F$2002,7,FALSE),"")</f>
        <v/>
      </c>
      <c r="FL325" t="str">
        <f>+IFERROR(VLOOKUP(FL26,IN_Zugliste!$A$4:$F$2002,7,FALSE),"")</f>
        <v/>
      </c>
      <c r="FM325" t="str">
        <f>+IFERROR(VLOOKUP(FM26,IN_Zugliste!$A$4:$F$2002,7,FALSE),"")</f>
        <v/>
      </c>
      <c r="FN325" t="str">
        <f>+IFERROR(VLOOKUP(FN26,IN_Zugliste!$A$4:$F$2002,7,FALSE),"")</f>
        <v/>
      </c>
      <c r="FO325" t="str">
        <f>+IFERROR(VLOOKUP(FO26,IN_Zugliste!$A$4:$F$2002,7,FALSE),"")</f>
        <v/>
      </c>
      <c r="FP325" t="str">
        <f>+IFERROR(VLOOKUP(FP26,IN_Zugliste!$A$4:$F$2002,7,FALSE),"")</f>
        <v/>
      </c>
      <c r="FQ325" t="str">
        <f>+IFERROR(VLOOKUP(FQ26,IN_Zugliste!$A$4:$F$2002,7,FALSE),"")</f>
        <v/>
      </c>
      <c r="FR325" t="str">
        <f>+IFERROR(VLOOKUP(FR26,IN_Zugliste!$A$4:$F$2002,7,FALSE),"")</f>
        <v/>
      </c>
      <c r="FS325" t="str">
        <f>+IFERROR(VLOOKUP(FS26,IN_Zugliste!$A$4:$F$2002,7,FALSE),"")</f>
        <v/>
      </c>
      <c r="FT325" t="str">
        <f>+IFERROR(VLOOKUP(FT26,IN_Zugliste!$A$4:$F$2002,7,FALSE),"")</f>
        <v/>
      </c>
      <c r="FU325" t="str">
        <f>+IFERROR(VLOOKUP(FU26,IN_Zugliste!$A$4:$F$2002,7,FALSE),"")</f>
        <v/>
      </c>
      <c r="FV325" t="str">
        <f>+IFERROR(VLOOKUP(FV26,IN_Zugliste!$A$4:$F$2002,7,FALSE),"")</f>
        <v/>
      </c>
      <c r="FW325" t="str">
        <f>+IFERROR(VLOOKUP(FW26,IN_Zugliste!$A$4:$F$2002,7,FALSE),"")</f>
        <v/>
      </c>
      <c r="FX325" t="str">
        <f>+IFERROR(VLOOKUP(FX26,IN_Zugliste!$A$4:$F$2002,7,FALSE),"")</f>
        <v/>
      </c>
      <c r="FY325" t="str">
        <f>+IFERROR(VLOOKUP(FY26,IN_Zugliste!$A$4:$F$2002,7,FALSE),"")</f>
        <v/>
      </c>
      <c r="FZ325" t="str">
        <f>+IFERROR(VLOOKUP(FZ26,IN_Zugliste!$A$4:$F$2002,7,FALSE),"")</f>
        <v/>
      </c>
      <c r="GA325" t="str">
        <f>+IFERROR(VLOOKUP(GA26,IN_Zugliste!$A$4:$F$2002,7,FALSE),"")</f>
        <v/>
      </c>
      <c r="GB325" t="str">
        <f>+IFERROR(VLOOKUP(GB26,IN_Zugliste!$A$4:$F$2002,7,FALSE),"")</f>
        <v/>
      </c>
      <c r="GC325" t="str">
        <f>+IFERROR(VLOOKUP(GC26,IN_Zugliste!$A$4:$F$2002,7,FALSE),"")</f>
        <v/>
      </c>
      <c r="GD325" t="str">
        <f>+IFERROR(VLOOKUP(GD26,IN_Zugliste!$A$4:$F$2002,7,FALSE),"")</f>
        <v/>
      </c>
      <c r="GE325" t="str">
        <f>+IFERROR(VLOOKUP(GE26,IN_Zugliste!$A$4:$F$2002,7,FALSE),"")</f>
        <v/>
      </c>
      <c r="GF325" t="str">
        <f>+IFERROR(VLOOKUP(GF26,IN_Zugliste!$A$4:$F$2002,7,FALSE),"")</f>
        <v/>
      </c>
      <c r="GG325" t="str">
        <f>+IFERROR(VLOOKUP(GG26,IN_Zugliste!$A$4:$F$2002,7,FALSE),"")</f>
        <v/>
      </c>
      <c r="GH325" t="str">
        <f>+IFERROR(VLOOKUP(GH26,IN_Zugliste!$A$4:$F$2002,7,FALSE),"")</f>
        <v/>
      </c>
      <c r="GI325" t="str">
        <f>+IFERROR(VLOOKUP(GI26,IN_Zugliste!$A$4:$F$2002,7,FALSE),"")</f>
        <v/>
      </c>
      <c r="GJ325" t="str">
        <f>+IFERROR(VLOOKUP(GJ26,IN_Zugliste!$A$4:$F$2002,7,FALSE),"")</f>
        <v/>
      </c>
      <c r="GK325" t="str">
        <f>+IFERROR(VLOOKUP(GK26,IN_Zugliste!$A$4:$F$2002,7,FALSE),"")</f>
        <v/>
      </c>
      <c r="GL325" t="str">
        <f>+IFERROR(VLOOKUP(GL26,IN_Zugliste!$A$4:$F$2002,7,FALSE),"")</f>
        <v/>
      </c>
      <c r="GM325" t="str">
        <f>+IFERROR(VLOOKUP(GM26,IN_Zugliste!$A$4:$F$2002,7,FALSE),"")</f>
        <v/>
      </c>
      <c r="GN325" t="str">
        <f>+IFERROR(VLOOKUP(GN26,IN_Zugliste!$A$4:$F$2002,7,FALSE),"")</f>
        <v/>
      </c>
      <c r="GO325" t="str">
        <f>+IFERROR(VLOOKUP(GO26,IN_Zugliste!$A$4:$F$2002,7,FALSE),"")</f>
        <v/>
      </c>
      <c r="GP325" t="str">
        <f>+IFERROR(VLOOKUP(GP26,IN_Zugliste!$A$4:$F$2002,7,FALSE),"")</f>
        <v/>
      </c>
      <c r="GQ325" t="str">
        <f>+IFERROR(VLOOKUP(GQ26,IN_Zugliste!$A$4:$F$2002,7,FALSE),"")</f>
        <v/>
      </c>
      <c r="GR325" t="str">
        <f>+IFERROR(VLOOKUP(GR26,IN_Zugliste!$A$4:$F$2002,7,FALSE),"")</f>
        <v/>
      </c>
      <c r="GS325" t="str">
        <f>+IFERROR(VLOOKUP(GS26,IN_Zugliste!$A$4:$F$2002,7,FALSE),"")</f>
        <v/>
      </c>
      <c r="GT325" t="str">
        <f>+IFERROR(VLOOKUP(GT26,IN_Zugliste!$A$4:$F$2002,7,FALSE),"")</f>
        <v/>
      </c>
      <c r="GU325" t="str">
        <f>+IFERROR(VLOOKUP(GU26,IN_Zugliste!$A$4:$F$2002,7,FALSE),"")</f>
        <v/>
      </c>
      <c r="GV325" t="str">
        <f>+IFERROR(VLOOKUP(GV26,IN_Zugliste!$A$4:$F$2002,7,FALSE),"")</f>
        <v/>
      </c>
      <c r="GW325" t="str">
        <f>+IFERROR(VLOOKUP(GW26,IN_Zugliste!$A$4:$F$2002,7,FALSE),"")</f>
        <v/>
      </c>
      <c r="GX325" t="str">
        <f>+IFERROR(VLOOKUP(GX26,IN_Zugliste!$A$4:$F$2002,7,FALSE),"")</f>
        <v/>
      </c>
      <c r="GY325" t="str">
        <f>+IFERROR(VLOOKUP(GY26,IN_Zugliste!$A$4:$F$2002,7,FALSE),"")</f>
        <v/>
      </c>
      <c r="GZ325" t="str">
        <f>+IFERROR(VLOOKUP(GZ26,IN_Zugliste!$A$4:$F$2002,7,FALSE),"")</f>
        <v/>
      </c>
      <c r="HA325" t="str">
        <f>+IFERROR(VLOOKUP(HA26,IN_Zugliste!$A$4:$F$2002,7,FALSE),"")</f>
        <v/>
      </c>
      <c r="HB325" t="str">
        <f>+IFERROR(VLOOKUP(HB26,IN_Zugliste!$A$4:$F$2002,7,FALSE),"")</f>
        <v/>
      </c>
      <c r="HC325" t="str">
        <f>+IFERROR(VLOOKUP(HC26,IN_Zugliste!$A$4:$F$2002,7,FALSE),"")</f>
        <v/>
      </c>
      <c r="HD325" t="str">
        <f>+IFERROR(VLOOKUP(HD26,IN_Zugliste!$A$4:$F$2002,7,FALSE),"")</f>
        <v/>
      </c>
      <c r="HE325" t="str">
        <f>+IFERROR(VLOOKUP(HE26,IN_Zugliste!$A$4:$F$2002,7,FALSE),"")</f>
        <v/>
      </c>
      <c r="HF325" t="str">
        <f>+IFERROR(VLOOKUP(HF26,IN_Zugliste!$A$4:$F$2002,7,FALSE),"")</f>
        <v/>
      </c>
      <c r="HG325" t="str">
        <f>+IFERROR(VLOOKUP(HG26,IN_Zugliste!$A$4:$F$2002,7,FALSE),"")</f>
        <v/>
      </c>
      <c r="HH325" t="str">
        <f>+IFERROR(VLOOKUP(HH26,IN_Zugliste!$A$4:$F$2002,7,FALSE),"")</f>
        <v/>
      </c>
      <c r="HI325" t="str">
        <f>+IFERROR(VLOOKUP(HI26,IN_Zugliste!$A$4:$F$2002,7,FALSE),"")</f>
        <v/>
      </c>
      <c r="HJ325" t="str">
        <f>+IFERROR(VLOOKUP(HJ26,IN_Zugliste!$A$4:$F$2002,7,FALSE),"")</f>
        <v/>
      </c>
      <c r="HK325" t="str">
        <f>+IFERROR(VLOOKUP(HK26,IN_Zugliste!$A$4:$F$2002,7,FALSE),"")</f>
        <v/>
      </c>
      <c r="HL325" t="str">
        <f>+IFERROR(VLOOKUP(HL26,IN_Zugliste!$A$4:$F$2002,7,FALSE),"")</f>
        <v/>
      </c>
      <c r="HM325" t="str">
        <f>+IFERROR(VLOOKUP(HM26,IN_Zugliste!$A$4:$F$2002,7,FALSE),"")</f>
        <v/>
      </c>
      <c r="HN325" t="str">
        <f>+IFERROR(VLOOKUP(HN26,IN_Zugliste!$A$4:$F$2002,7,FALSE),"")</f>
        <v/>
      </c>
      <c r="HO325" t="str">
        <f>+IFERROR(VLOOKUP(HO26,IN_Zugliste!$A$4:$F$2002,7,FALSE),"")</f>
        <v/>
      </c>
      <c r="HP325" t="str">
        <f>+IFERROR(VLOOKUP(HP26,IN_Zugliste!$A$4:$F$2002,7,FALSE),"")</f>
        <v/>
      </c>
      <c r="HQ325" t="str">
        <f>+IFERROR(VLOOKUP(HQ26,IN_Zugliste!$A$4:$F$2002,7,FALSE),"")</f>
        <v/>
      </c>
      <c r="HR325" t="str">
        <f>+IFERROR(VLOOKUP(HR26,IN_Zugliste!$A$4:$F$2002,7,FALSE),"")</f>
        <v/>
      </c>
      <c r="HS325" t="str">
        <f>+IFERROR(VLOOKUP(HS26,IN_Zugliste!$A$4:$F$2002,7,FALSE),"")</f>
        <v/>
      </c>
      <c r="HT325" t="str">
        <f>+IFERROR(VLOOKUP(HT26,IN_Zugliste!$A$4:$F$2002,7,FALSE),"")</f>
        <v/>
      </c>
      <c r="HU325" t="str">
        <f>+IFERROR(VLOOKUP(HU26,IN_Zugliste!$A$4:$F$2002,7,FALSE),"")</f>
        <v/>
      </c>
      <c r="HV325" t="str">
        <f>+IFERROR(VLOOKUP(HV26,IN_Zugliste!$A$4:$F$2002,7,FALSE),"")</f>
        <v/>
      </c>
      <c r="HW325" t="str">
        <f>+IFERROR(VLOOKUP(HW26,IN_Zugliste!$A$4:$F$2002,7,FALSE),"")</f>
        <v/>
      </c>
      <c r="HX325" t="str">
        <f>+IFERROR(VLOOKUP(HX26,IN_Zugliste!$A$4:$F$2002,7,FALSE),"")</f>
        <v/>
      </c>
      <c r="HY325" t="str">
        <f>+IFERROR(VLOOKUP(HY26,IN_Zugliste!$A$4:$F$2002,7,FALSE),"")</f>
        <v/>
      </c>
      <c r="HZ325" t="str">
        <f>+IFERROR(VLOOKUP(HZ26,IN_Zugliste!$A$4:$F$2002,7,FALSE),"")</f>
        <v/>
      </c>
      <c r="IA325" t="str">
        <f>+IFERROR(VLOOKUP(IA26,IN_Zugliste!$A$4:$F$2002,7,FALSE),"")</f>
        <v/>
      </c>
      <c r="IB325" t="str">
        <f>+IFERROR(VLOOKUP(IB26,IN_Zugliste!$A$4:$F$2002,7,FALSE),"")</f>
        <v/>
      </c>
      <c r="IC325" t="str">
        <f>+IFERROR(VLOOKUP(IC26,IN_Zugliste!$A$4:$F$2002,7,FALSE),"")</f>
        <v/>
      </c>
      <c r="ID325" t="str">
        <f>+IFERROR(VLOOKUP(ID26,IN_Zugliste!$A$4:$F$2002,7,FALSE),"")</f>
        <v/>
      </c>
      <c r="IE325" t="str">
        <f>+IFERROR(VLOOKUP(IE26,IN_Zugliste!$A$4:$F$2002,7,FALSE),"")</f>
        <v/>
      </c>
      <c r="IF325" t="str">
        <f>+IFERROR(VLOOKUP(IF26,IN_Zugliste!$A$4:$F$2002,7,FALSE),"")</f>
        <v/>
      </c>
      <c r="IG325" t="str">
        <f>+IFERROR(VLOOKUP(IG26,IN_Zugliste!$A$4:$F$2002,7,FALSE),"")</f>
        <v/>
      </c>
      <c r="IH325" t="str">
        <f>+IFERROR(VLOOKUP(IH26,IN_Zugliste!$A$4:$F$2002,7,FALSE),"")</f>
        <v/>
      </c>
      <c r="II325" t="str">
        <f>+IFERROR(VLOOKUP(II26,IN_Zugliste!$A$4:$F$2002,7,FALSE),"")</f>
        <v/>
      </c>
      <c r="IJ325" t="str">
        <f>+IFERROR(VLOOKUP(IJ26,IN_Zugliste!$A$4:$F$2002,7,FALSE),"")</f>
        <v/>
      </c>
      <c r="IK325" t="str">
        <f>+IFERROR(VLOOKUP(IK26,IN_Zugliste!$A$4:$F$2002,7,FALSE),"")</f>
        <v/>
      </c>
      <c r="IL325" t="str">
        <f>+IFERROR(VLOOKUP(IL26,IN_Zugliste!$A$4:$F$2002,7,FALSE),"")</f>
        <v/>
      </c>
      <c r="IM325" t="str">
        <f>+IFERROR(VLOOKUP(IM26,IN_Zugliste!$A$4:$F$2002,7,FALSE),"")</f>
        <v/>
      </c>
      <c r="IN325" t="str">
        <f>+IFERROR(VLOOKUP(IN26,IN_Zugliste!$A$4:$F$2002,7,FALSE),"")</f>
        <v/>
      </c>
      <c r="IO325" t="str">
        <f>+IFERROR(VLOOKUP(IO26,IN_Zugliste!$A$4:$F$2002,7,FALSE),"")</f>
        <v/>
      </c>
      <c r="IP325" t="str">
        <f>+IFERROR(VLOOKUP(IP26,IN_Zugliste!$A$4:$F$2002,7,FALSE),"")</f>
        <v/>
      </c>
      <c r="IQ325" t="str">
        <f>+IFERROR(VLOOKUP(IQ26,IN_Zugliste!$A$4:$F$2002,7,FALSE),"")</f>
        <v/>
      </c>
      <c r="IR325" t="str">
        <f>+IFERROR(VLOOKUP(IR26,IN_Zugliste!$A$4:$F$2002,7,FALSE),"")</f>
        <v/>
      </c>
      <c r="IS325" t="str">
        <f>+IFERROR(VLOOKUP(IS26,IN_Zugliste!$A$4:$F$2002,7,FALSE),"")</f>
        <v/>
      </c>
      <c r="IT325" t="str">
        <f>+IFERROR(VLOOKUP(IT26,IN_Zugliste!$A$4:$F$2002,7,FALSE),"")</f>
        <v/>
      </c>
      <c r="IU325" t="str">
        <f>+IFERROR(VLOOKUP(IU26,IN_Zugliste!$A$4:$F$2002,7,FALSE),"")</f>
        <v/>
      </c>
      <c r="IV325" t="str">
        <f>+IFERROR(VLOOKUP(IV26,IN_Zugliste!$A$4:$F$2002,7,FALSE),"")</f>
        <v/>
      </c>
      <c r="IW325" t="str">
        <f>+IFERROR(VLOOKUP(IW26,IN_Zugliste!$A$4:$F$2002,7,FALSE),"")</f>
        <v/>
      </c>
      <c r="IX325" t="str">
        <f>+IFERROR(VLOOKUP(IX26,IN_Zugliste!$A$4:$F$2002,7,FALSE),"")</f>
        <v/>
      </c>
      <c r="IY325" t="str">
        <f>+IFERROR(VLOOKUP(IY26,IN_Zugliste!$A$4:$F$2002,7,FALSE),"")</f>
        <v/>
      </c>
      <c r="IZ325" t="str">
        <f>+IFERROR(VLOOKUP(IZ26,IN_Zugliste!$A$4:$F$2002,7,FALSE),"")</f>
        <v/>
      </c>
      <c r="JA325" t="str">
        <f>+IFERROR(VLOOKUP(JA26,IN_Zugliste!$A$4:$F$2002,7,FALSE),"")</f>
        <v/>
      </c>
      <c r="JB325" t="str">
        <f>+IFERROR(VLOOKUP(JB26,IN_Zugliste!$A$4:$F$2002,7,FALSE),"")</f>
        <v/>
      </c>
      <c r="JC325" t="str">
        <f>+IFERROR(VLOOKUP(JC26,IN_Zugliste!$A$4:$F$2002,7,FALSE),"")</f>
        <v/>
      </c>
      <c r="JD325" t="str">
        <f>+IFERROR(VLOOKUP(JD26,IN_Zugliste!$A$4:$F$2002,7,FALSE),"")</f>
        <v/>
      </c>
      <c r="JE325" t="str">
        <f>+IFERROR(VLOOKUP(JE26,IN_Zugliste!$A$4:$F$2002,7,FALSE),"")</f>
        <v/>
      </c>
      <c r="JF325" t="str">
        <f>+IFERROR(VLOOKUP(JF26,IN_Zugliste!$A$4:$F$2002,7,FALSE),"")</f>
        <v/>
      </c>
      <c r="JG325" t="str">
        <f>+IFERROR(VLOOKUP(JG26,IN_Zugliste!$A$4:$F$2002,7,FALSE),"")</f>
        <v/>
      </c>
      <c r="JH325" t="str">
        <f>+IFERROR(VLOOKUP(JH26,IN_Zugliste!$A$4:$F$2002,7,FALSE),"")</f>
        <v/>
      </c>
      <c r="JI325" t="str">
        <f>+IFERROR(VLOOKUP(JI26,IN_Zugliste!$A$4:$F$2002,7,FALSE),"")</f>
        <v/>
      </c>
      <c r="JJ325" t="str">
        <f>+IFERROR(VLOOKUP(JJ26,IN_Zugliste!$A$4:$F$2002,7,FALSE),"")</f>
        <v/>
      </c>
    </row>
    <row r="326" spans="1:270" x14ac:dyDescent="0.2">
      <c r="A326" t="str">
        <f>+IFERROR(VLOOKUP(A27,IN_Zugliste!$A$4:$F$2002,7,FALSE),"")</f>
        <v/>
      </c>
      <c r="B326" t="str">
        <f>+IFERROR(VLOOKUP(B27,IN_Zugliste!$A$4:$F$2002,7,FALSE),"")</f>
        <v/>
      </c>
      <c r="C326" t="str">
        <f>+IFERROR(VLOOKUP(C27,IN_Zugliste!$A$4:$F$2002,7,FALSE),"")</f>
        <v/>
      </c>
      <c r="D326" t="str">
        <f>+IFERROR(VLOOKUP(D27,IN_Zugliste!$A$4:$F$2002,7,FALSE),"")</f>
        <v/>
      </c>
      <c r="E326" t="str">
        <f>+IFERROR(VLOOKUP(E27,IN_Zugliste!$A$4:$F$2002,7,FALSE),"")</f>
        <v/>
      </c>
      <c r="F326" t="str">
        <f>+IFERROR(VLOOKUP(F27,IN_Zugliste!$A$4:$F$2002,7,FALSE),"")</f>
        <v/>
      </c>
      <c r="G326" t="str">
        <f>+IFERROR(VLOOKUP(G27,IN_Zugliste!$A$4:$F$2002,7,FALSE),"")</f>
        <v/>
      </c>
      <c r="H326" t="str">
        <f>+IFERROR(VLOOKUP(H27,IN_Zugliste!$A$4:$F$2002,7,FALSE),"")</f>
        <v/>
      </c>
      <c r="I326" t="str">
        <f>+IFERROR(VLOOKUP(I27,IN_Zugliste!$A$4:$F$2002,7,FALSE),"")</f>
        <v/>
      </c>
      <c r="J326" t="str">
        <f>+IFERROR(VLOOKUP(J27,IN_Zugliste!$A$4:$F$2002,7,FALSE),"")</f>
        <v/>
      </c>
      <c r="K326" t="str">
        <f>+IFERROR(VLOOKUP(K27,IN_Zugliste!$A$4:$F$2002,7,FALSE),"")</f>
        <v/>
      </c>
      <c r="L326" t="str">
        <f>+IFERROR(VLOOKUP(L27,IN_Zugliste!$A$4:$F$2002,7,FALSE),"")</f>
        <v/>
      </c>
      <c r="M326" t="str">
        <f>+IFERROR(VLOOKUP(M27,IN_Zugliste!$A$4:$F$2002,7,FALSE),"")</f>
        <v/>
      </c>
      <c r="N326" t="str">
        <f>+IFERROR(VLOOKUP(N27,IN_Zugliste!$A$4:$F$2002,7,FALSE),"")</f>
        <v/>
      </c>
      <c r="O326" t="str">
        <f>+IFERROR(VLOOKUP(O27,IN_Zugliste!$A$4:$F$2002,7,FALSE),"")</f>
        <v/>
      </c>
      <c r="P326" t="str">
        <f>+IFERROR(VLOOKUP(P27,IN_Zugliste!$A$4:$F$2002,7,FALSE),"")</f>
        <v/>
      </c>
      <c r="Q326" t="str">
        <f>+IFERROR(VLOOKUP(Q27,IN_Zugliste!$A$4:$F$2002,7,FALSE),"")</f>
        <v/>
      </c>
      <c r="R326" t="str">
        <f>+IFERROR(VLOOKUP(R27,IN_Zugliste!$A$4:$F$2002,7,FALSE),"")</f>
        <v/>
      </c>
      <c r="S326" t="str">
        <f>+IFERROR(VLOOKUP(S27,IN_Zugliste!$A$4:$F$2002,7,FALSE),"")</f>
        <v/>
      </c>
      <c r="T326" t="str">
        <f>+IFERROR(VLOOKUP(T27,IN_Zugliste!$A$4:$F$2002,7,FALSE),"")</f>
        <v/>
      </c>
      <c r="U326" t="str">
        <f>+IFERROR(VLOOKUP(U27,IN_Zugliste!$A$4:$F$2002,7,FALSE),"")</f>
        <v/>
      </c>
      <c r="V326" t="str">
        <f>+IFERROR(VLOOKUP(V27,IN_Zugliste!$A$4:$F$2002,7,FALSE),"")</f>
        <v/>
      </c>
      <c r="W326" t="str">
        <f>+IFERROR(VLOOKUP(W27,IN_Zugliste!$A$4:$F$2002,7,FALSE),"")</f>
        <v/>
      </c>
      <c r="X326" t="str">
        <f>+IFERROR(VLOOKUP(X27,IN_Zugliste!$A$4:$F$2002,7,FALSE),"")</f>
        <v/>
      </c>
      <c r="Y326" t="str">
        <f>+IFERROR(VLOOKUP(Y27,IN_Zugliste!$A$4:$F$2002,7,FALSE),"")</f>
        <v/>
      </c>
      <c r="Z326" t="str">
        <f>+IFERROR(VLOOKUP(Z27,IN_Zugliste!$A$4:$F$2002,7,FALSE),"")</f>
        <v/>
      </c>
      <c r="AA326" t="str">
        <f>+IFERROR(VLOOKUP(AA27,IN_Zugliste!$A$4:$F$2002,7,FALSE),"")</f>
        <v/>
      </c>
      <c r="AB326" t="str">
        <f>+IFERROR(VLOOKUP(AB27,IN_Zugliste!$A$4:$F$2002,7,FALSE),"")</f>
        <v/>
      </c>
      <c r="AC326" t="str">
        <f>+IFERROR(VLOOKUP(AC27,IN_Zugliste!$A$4:$F$2002,7,FALSE),"")</f>
        <v/>
      </c>
      <c r="AD326" t="str">
        <f>+IFERROR(VLOOKUP(AD27,IN_Zugliste!$A$4:$F$2002,7,FALSE),"")</f>
        <v/>
      </c>
      <c r="AE326" t="str">
        <f>+IFERROR(VLOOKUP(AE27,IN_Zugliste!$A$4:$F$2002,7,FALSE),"")</f>
        <v/>
      </c>
      <c r="AF326" t="str">
        <f>+IFERROR(VLOOKUP(AF27,IN_Zugliste!$A$4:$F$2002,7,FALSE),"")</f>
        <v/>
      </c>
      <c r="AG326" t="str">
        <f>+IFERROR(VLOOKUP(AG27,IN_Zugliste!$A$4:$F$2002,7,FALSE),"")</f>
        <v/>
      </c>
      <c r="AH326" t="str">
        <f>+IFERROR(VLOOKUP(AH27,IN_Zugliste!$A$4:$F$2002,7,FALSE),"")</f>
        <v/>
      </c>
      <c r="AI326" t="str">
        <f>+IFERROR(VLOOKUP(AI27,IN_Zugliste!$A$4:$F$2002,7,FALSE),"")</f>
        <v/>
      </c>
      <c r="AJ326" t="str">
        <f>+IFERROR(VLOOKUP(AJ27,IN_Zugliste!$A$4:$F$2002,7,FALSE),"")</f>
        <v/>
      </c>
      <c r="AK326" t="str">
        <f>+IFERROR(VLOOKUP(AK27,IN_Zugliste!$A$4:$F$2002,7,FALSE),"")</f>
        <v/>
      </c>
      <c r="AL326" t="str">
        <f>+IFERROR(VLOOKUP(AL27,IN_Zugliste!$A$4:$F$2002,7,FALSE),"")</f>
        <v/>
      </c>
      <c r="AM326" t="str">
        <f>+IFERROR(VLOOKUP(AM27,IN_Zugliste!$A$4:$F$2002,7,FALSE),"")</f>
        <v/>
      </c>
      <c r="AN326" t="str">
        <f>+IFERROR(VLOOKUP(AN27,IN_Zugliste!$A$4:$F$2002,7,FALSE),"")</f>
        <v/>
      </c>
      <c r="AO326" t="str">
        <f>+IFERROR(VLOOKUP(AO27,IN_Zugliste!$A$4:$F$2002,7,FALSE),"")</f>
        <v/>
      </c>
      <c r="AP326" t="str">
        <f>+IFERROR(VLOOKUP(AP27,IN_Zugliste!$A$4:$F$2002,7,FALSE),"")</f>
        <v/>
      </c>
      <c r="AQ326" t="str">
        <f>+IFERROR(VLOOKUP(AQ27,IN_Zugliste!$A$4:$F$2002,7,FALSE),"")</f>
        <v/>
      </c>
      <c r="AR326" t="str">
        <f>+IFERROR(VLOOKUP(AR27,IN_Zugliste!$A$4:$F$2002,7,FALSE),"")</f>
        <v/>
      </c>
      <c r="AS326" t="str">
        <f>+IFERROR(VLOOKUP(AS27,IN_Zugliste!$A$4:$F$2002,7,FALSE),"")</f>
        <v/>
      </c>
      <c r="AT326" t="str">
        <f>+IFERROR(VLOOKUP(AT27,IN_Zugliste!$A$4:$F$2002,7,FALSE),"")</f>
        <v/>
      </c>
      <c r="AU326" t="str">
        <f>+IFERROR(VLOOKUP(AU27,IN_Zugliste!$A$4:$F$2002,7,FALSE),"")</f>
        <v/>
      </c>
      <c r="AV326" t="str">
        <f>+IFERROR(VLOOKUP(AV27,IN_Zugliste!$A$4:$F$2002,7,FALSE),"")</f>
        <v/>
      </c>
      <c r="AW326" t="str">
        <f>+IFERROR(VLOOKUP(AW27,IN_Zugliste!$A$4:$F$2002,7,FALSE),"")</f>
        <v/>
      </c>
      <c r="AX326" t="str">
        <f>+IFERROR(VLOOKUP(AX27,IN_Zugliste!$A$4:$F$2002,7,FALSE),"")</f>
        <v/>
      </c>
      <c r="AY326" t="str">
        <f>+IFERROR(VLOOKUP(AY27,IN_Zugliste!$A$4:$F$2002,7,FALSE),"")</f>
        <v/>
      </c>
      <c r="AZ326" t="str">
        <f>+IFERROR(VLOOKUP(AZ27,IN_Zugliste!$A$4:$F$2002,7,FALSE),"")</f>
        <v/>
      </c>
      <c r="BA326" t="str">
        <f>+IFERROR(VLOOKUP(BA27,IN_Zugliste!$A$4:$F$2002,7,FALSE),"")</f>
        <v/>
      </c>
      <c r="BB326" t="str">
        <f>+IFERROR(VLOOKUP(BB27,IN_Zugliste!$A$4:$F$2002,7,FALSE),"")</f>
        <v/>
      </c>
      <c r="BC326" t="str">
        <f>+IFERROR(VLOOKUP(BC27,IN_Zugliste!$A$4:$F$2002,7,FALSE),"")</f>
        <v/>
      </c>
      <c r="BD326" t="str">
        <f>+IFERROR(VLOOKUP(BD27,IN_Zugliste!$A$4:$F$2002,7,FALSE),"")</f>
        <v/>
      </c>
      <c r="BE326" t="str">
        <f>+IFERROR(VLOOKUP(BE27,IN_Zugliste!$A$4:$F$2002,7,FALSE),"")</f>
        <v/>
      </c>
      <c r="BF326" t="str">
        <f>+IFERROR(VLOOKUP(BF27,IN_Zugliste!$A$4:$F$2002,7,FALSE),"")</f>
        <v/>
      </c>
      <c r="BG326" t="str">
        <f>+IFERROR(VLOOKUP(BG27,IN_Zugliste!$A$4:$F$2002,7,FALSE),"")</f>
        <v/>
      </c>
      <c r="BH326" t="str">
        <f>+IFERROR(VLOOKUP(BH27,IN_Zugliste!$A$4:$F$2002,7,FALSE),"")</f>
        <v/>
      </c>
      <c r="BI326" t="str">
        <f>+IFERROR(VLOOKUP(BI27,IN_Zugliste!$A$4:$F$2002,7,FALSE),"")</f>
        <v/>
      </c>
      <c r="BJ326" t="str">
        <f>+IFERROR(VLOOKUP(BJ27,IN_Zugliste!$A$4:$F$2002,7,FALSE),"")</f>
        <v/>
      </c>
      <c r="BK326" t="str">
        <f>+IFERROR(VLOOKUP(BK27,IN_Zugliste!$A$4:$F$2002,7,FALSE),"")</f>
        <v/>
      </c>
      <c r="BL326" t="str">
        <f>+IFERROR(VLOOKUP(BL27,IN_Zugliste!$A$4:$F$2002,7,FALSE),"")</f>
        <v/>
      </c>
      <c r="BM326" t="str">
        <f>+IFERROR(VLOOKUP(BM27,IN_Zugliste!$A$4:$F$2002,7,FALSE),"")</f>
        <v/>
      </c>
      <c r="BN326" t="str">
        <f>+IFERROR(VLOOKUP(BN27,IN_Zugliste!$A$4:$F$2002,7,FALSE),"")</f>
        <v/>
      </c>
      <c r="BO326" t="str">
        <f>+IFERROR(VLOOKUP(BO27,IN_Zugliste!$A$4:$F$2002,7,FALSE),"")</f>
        <v/>
      </c>
      <c r="BP326" t="str">
        <f>+IFERROR(VLOOKUP(BP27,IN_Zugliste!$A$4:$F$2002,7,FALSE),"")</f>
        <v/>
      </c>
      <c r="BQ326" t="str">
        <f>+IFERROR(VLOOKUP(BQ27,IN_Zugliste!$A$4:$F$2002,7,FALSE),"")</f>
        <v/>
      </c>
      <c r="BR326" t="str">
        <f>+IFERROR(VLOOKUP(BR27,IN_Zugliste!$A$4:$F$2002,7,FALSE),"")</f>
        <v/>
      </c>
      <c r="BS326" t="str">
        <f>+IFERROR(VLOOKUP(BS27,IN_Zugliste!$A$4:$F$2002,7,FALSE),"")</f>
        <v/>
      </c>
      <c r="BT326" t="str">
        <f>+IFERROR(VLOOKUP(BT27,IN_Zugliste!$A$4:$F$2002,7,FALSE),"")</f>
        <v/>
      </c>
      <c r="BU326" t="str">
        <f>+IFERROR(VLOOKUP(BU27,IN_Zugliste!$A$4:$F$2002,7,FALSE),"")</f>
        <v/>
      </c>
      <c r="BV326" t="str">
        <f>+IFERROR(VLOOKUP(BV27,IN_Zugliste!$A$4:$F$2002,7,FALSE),"")</f>
        <v/>
      </c>
      <c r="BW326" t="str">
        <f>+IFERROR(VLOOKUP(BW27,IN_Zugliste!$A$4:$F$2002,7,FALSE),"")</f>
        <v/>
      </c>
      <c r="BX326" t="str">
        <f>+IFERROR(VLOOKUP(BX27,IN_Zugliste!$A$4:$F$2002,7,FALSE),"")</f>
        <v/>
      </c>
      <c r="BY326" t="str">
        <f>+IFERROR(VLOOKUP(BY27,IN_Zugliste!$A$4:$F$2002,7,FALSE),"")</f>
        <v/>
      </c>
      <c r="BZ326" t="str">
        <f>+IFERROR(VLOOKUP(BZ27,IN_Zugliste!$A$4:$F$2002,7,FALSE),"")</f>
        <v/>
      </c>
      <c r="CA326" t="str">
        <f>+IFERROR(VLOOKUP(CA27,IN_Zugliste!$A$4:$F$2002,7,FALSE),"")</f>
        <v/>
      </c>
      <c r="CB326" t="str">
        <f>+IFERROR(VLOOKUP(CB27,IN_Zugliste!$A$4:$F$2002,7,FALSE),"")</f>
        <v/>
      </c>
      <c r="CC326" t="str">
        <f>+IFERROR(VLOOKUP(CC27,IN_Zugliste!$A$4:$F$2002,7,FALSE),"")</f>
        <v/>
      </c>
      <c r="CD326" t="str">
        <f>+IFERROR(VLOOKUP(CD27,IN_Zugliste!$A$4:$F$2002,7,FALSE),"")</f>
        <v/>
      </c>
      <c r="CE326" t="str">
        <f>+IFERROR(VLOOKUP(CE27,IN_Zugliste!$A$4:$F$2002,7,FALSE),"")</f>
        <v/>
      </c>
      <c r="CF326" t="str">
        <f>+IFERROR(VLOOKUP(CF27,IN_Zugliste!$A$4:$F$2002,7,FALSE),"")</f>
        <v/>
      </c>
      <c r="CG326" t="str">
        <f>+IFERROR(VLOOKUP(CG27,IN_Zugliste!$A$4:$F$2002,7,FALSE),"")</f>
        <v/>
      </c>
      <c r="CH326" t="str">
        <f>+IFERROR(VLOOKUP(CH27,IN_Zugliste!$A$4:$F$2002,7,FALSE),"")</f>
        <v/>
      </c>
      <c r="CI326" t="str">
        <f>+IFERROR(VLOOKUP(CI27,IN_Zugliste!$A$4:$F$2002,7,FALSE),"")</f>
        <v/>
      </c>
      <c r="CJ326" t="str">
        <f>+IFERROR(VLOOKUP(CJ27,IN_Zugliste!$A$4:$F$2002,7,FALSE),"")</f>
        <v/>
      </c>
      <c r="CK326" t="str">
        <f>+IFERROR(VLOOKUP(CK27,IN_Zugliste!$A$4:$F$2002,7,FALSE),"")</f>
        <v/>
      </c>
      <c r="CL326" t="str">
        <f>+IFERROR(VLOOKUP(CL27,IN_Zugliste!$A$4:$F$2002,7,FALSE),"")</f>
        <v/>
      </c>
      <c r="CM326" t="str">
        <f>+IFERROR(VLOOKUP(CM27,IN_Zugliste!$A$4:$F$2002,7,FALSE),"")</f>
        <v/>
      </c>
      <c r="CN326" t="str">
        <f>+IFERROR(VLOOKUP(CN27,IN_Zugliste!$A$4:$F$2002,7,FALSE),"")</f>
        <v/>
      </c>
      <c r="CO326" t="str">
        <f>+IFERROR(VLOOKUP(CO27,IN_Zugliste!$A$4:$F$2002,7,FALSE),"")</f>
        <v/>
      </c>
      <c r="CP326" t="str">
        <f>+IFERROR(VLOOKUP(CP27,IN_Zugliste!$A$4:$F$2002,7,FALSE),"")</f>
        <v/>
      </c>
      <c r="CQ326" t="str">
        <f>+IFERROR(VLOOKUP(CQ27,IN_Zugliste!$A$4:$F$2002,7,FALSE),"")</f>
        <v/>
      </c>
      <c r="CR326" t="str">
        <f>+IFERROR(VLOOKUP(CR27,IN_Zugliste!$A$4:$F$2002,7,FALSE),"")</f>
        <v/>
      </c>
      <c r="CS326" t="str">
        <f>+IFERROR(VLOOKUP(CS27,IN_Zugliste!$A$4:$F$2002,7,FALSE),"")</f>
        <v/>
      </c>
      <c r="CT326" t="str">
        <f>+IFERROR(VLOOKUP(CT27,IN_Zugliste!$A$4:$F$2002,7,FALSE),"")</f>
        <v/>
      </c>
      <c r="CU326" t="str">
        <f>+IFERROR(VLOOKUP(CU27,IN_Zugliste!$A$4:$F$2002,7,FALSE),"")</f>
        <v/>
      </c>
      <c r="CV326" t="str">
        <f>+IFERROR(VLOOKUP(CV27,IN_Zugliste!$A$4:$F$2002,7,FALSE),"")</f>
        <v/>
      </c>
      <c r="CW326" t="str">
        <f>+IFERROR(VLOOKUP(CW27,IN_Zugliste!$A$4:$F$2002,7,FALSE),"")</f>
        <v/>
      </c>
      <c r="CX326" t="str">
        <f>+IFERROR(VLOOKUP(CX27,IN_Zugliste!$A$4:$F$2002,7,FALSE),"")</f>
        <v/>
      </c>
      <c r="CY326" t="str">
        <f>+IFERROR(VLOOKUP(CY27,IN_Zugliste!$A$4:$F$2002,7,FALSE),"")</f>
        <v/>
      </c>
      <c r="CZ326" t="str">
        <f>+IFERROR(VLOOKUP(CZ27,IN_Zugliste!$A$4:$F$2002,7,FALSE),"")</f>
        <v/>
      </c>
      <c r="DA326" t="str">
        <f>+IFERROR(VLOOKUP(DA27,IN_Zugliste!$A$4:$F$2002,7,FALSE),"")</f>
        <v/>
      </c>
      <c r="DB326" t="str">
        <f>+IFERROR(VLOOKUP(DB27,IN_Zugliste!$A$4:$F$2002,7,FALSE),"")</f>
        <v/>
      </c>
      <c r="DC326" t="str">
        <f>+IFERROR(VLOOKUP(DC27,IN_Zugliste!$A$4:$F$2002,7,FALSE),"")</f>
        <v/>
      </c>
      <c r="DD326" t="str">
        <f>+IFERROR(VLOOKUP(DD27,IN_Zugliste!$A$4:$F$2002,7,FALSE),"")</f>
        <v/>
      </c>
      <c r="DE326" t="str">
        <f>+IFERROR(VLOOKUP(DE27,IN_Zugliste!$A$4:$F$2002,7,FALSE),"")</f>
        <v/>
      </c>
      <c r="DF326" t="str">
        <f>+IFERROR(VLOOKUP(DF27,IN_Zugliste!$A$4:$F$2002,7,FALSE),"")</f>
        <v/>
      </c>
      <c r="DG326" t="str">
        <f>+IFERROR(VLOOKUP(DG27,IN_Zugliste!$A$4:$F$2002,7,FALSE),"")</f>
        <v/>
      </c>
      <c r="DH326" t="str">
        <f>+IFERROR(VLOOKUP(DH27,IN_Zugliste!$A$4:$F$2002,7,FALSE),"")</f>
        <v/>
      </c>
      <c r="DI326" t="str">
        <f>+IFERROR(VLOOKUP(DI27,IN_Zugliste!$A$4:$F$2002,7,FALSE),"")</f>
        <v/>
      </c>
      <c r="DJ326" t="str">
        <f>+IFERROR(VLOOKUP(DJ27,IN_Zugliste!$A$4:$F$2002,7,FALSE),"")</f>
        <v/>
      </c>
      <c r="DK326" t="str">
        <f>+IFERROR(VLOOKUP(DK27,IN_Zugliste!$A$4:$F$2002,7,FALSE),"")</f>
        <v/>
      </c>
      <c r="DL326" t="str">
        <f>+IFERROR(VLOOKUP(DL27,IN_Zugliste!$A$4:$F$2002,7,FALSE),"")</f>
        <v/>
      </c>
      <c r="DM326" t="str">
        <f>+IFERROR(VLOOKUP(DM27,IN_Zugliste!$A$4:$F$2002,7,FALSE),"")</f>
        <v/>
      </c>
      <c r="DN326" t="str">
        <f>+IFERROR(VLOOKUP(DN27,IN_Zugliste!$A$4:$F$2002,7,FALSE),"")</f>
        <v/>
      </c>
      <c r="DO326" t="str">
        <f>+IFERROR(VLOOKUP(DO27,IN_Zugliste!$A$4:$F$2002,7,FALSE),"")</f>
        <v/>
      </c>
      <c r="DP326" t="str">
        <f>+IFERROR(VLOOKUP(DP27,IN_Zugliste!$A$4:$F$2002,7,FALSE),"")</f>
        <v/>
      </c>
      <c r="DQ326" t="str">
        <f>+IFERROR(VLOOKUP(DQ27,IN_Zugliste!$A$4:$F$2002,7,FALSE),"")</f>
        <v/>
      </c>
      <c r="DR326" t="str">
        <f>+IFERROR(VLOOKUP(DR27,IN_Zugliste!$A$4:$F$2002,7,FALSE),"")</f>
        <v/>
      </c>
      <c r="DS326" t="str">
        <f>+IFERROR(VLOOKUP(DS27,IN_Zugliste!$A$4:$F$2002,7,FALSE),"")</f>
        <v/>
      </c>
      <c r="DT326" t="str">
        <f>+IFERROR(VLOOKUP(DT27,IN_Zugliste!$A$4:$F$2002,7,FALSE),"")</f>
        <v/>
      </c>
      <c r="DU326" t="str">
        <f>+IFERROR(VLOOKUP(DU27,IN_Zugliste!$A$4:$F$2002,7,FALSE),"")</f>
        <v/>
      </c>
      <c r="DV326" t="str">
        <f>+IFERROR(VLOOKUP(DV27,IN_Zugliste!$A$4:$F$2002,7,FALSE),"")</f>
        <v/>
      </c>
      <c r="DW326" t="str">
        <f>+IFERROR(VLOOKUP(DW27,IN_Zugliste!$A$4:$F$2002,7,FALSE),"")</f>
        <v/>
      </c>
      <c r="DX326" t="str">
        <f>+IFERROR(VLOOKUP(DX27,IN_Zugliste!$A$4:$F$2002,7,FALSE),"")</f>
        <v/>
      </c>
      <c r="DY326" t="str">
        <f>+IFERROR(VLOOKUP(DY27,IN_Zugliste!$A$4:$F$2002,7,FALSE),"")</f>
        <v/>
      </c>
      <c r="DZ326" t="str">
        <f>+IFERROR(VLOOKUP(DZ27,IN_Zugliste!$A$4:$F$2002,7,FALSE),"")</f>
        <v/>
      </c>
      <c r="EA326" t="str">
        <f>+IFERROR(VLOOKUP(EA27,IN_Zugliste!$A$4:$F$2002,7,FALSE),"")</f>
        <v/>
      </c>
      <c r="EB326" t="str">
        <f>+IFERROR(VLOOKUP(EB27,IN_Zugliste!$A$4:$F$2002,7,FALSE),"")</f>
        <v/>
      </c>
      <c r="EC326" t="str">
        <f>+IFERROR(VLOOKUP(EC27,IN_Zugliste!$A$4:$F$2002,7,FALSE),"")</f>
        <v/>
      </c>
      <c r="ED326" t="str">
        <f>+IFERROR(VLOOKUP(ED27,IN_Zugliste!$A$4:$F$2002,7,FALSE),"")</f>
        <v/>
      </c>
      <c r="EE326" t="str">
        <f>+IFERROR(VLOOKUP(EE27,IN_Zugliste!$A$4:$F$2002,7,FALSE),"")</f>
        <v/>
      </c>
      <c r="EF326" t="str">
        <f>+IFERROR(VLOOKUP(EF27,IN_Zugliste!$A$4:$F$2002,7,FALSE),"")</f>
        <v/>
      </c>
      <c r="EG326" t="str">
        <f>+IFERROR(VLOOKUP(EG27,IN_Zugliste!$A$4:$F$2002,7,FALSE),"")</f>
        <v/>
      </c>
      <c r="EH326" t="str">
        <f>+IFERROR(VLOOKUP(EH27,IN_Zugliste!$A$4:$F$2002,7,FALSE),"")</f>
        <v/>
      </c>
      <c r="EI326" t="str">
        <f>+IFERROR(VLOOKUP(EI27,IN_Zugliste!$A$4:$F$2002,7,FALSE),"")</f>
        <v/>
      </c>
      <c r="EJ326" t="str">
        <f>+IFERROR(VLOOKUP(EJ27,IN_Zugliste!$A$4:$F$2002,7,FALSE),"")</f>
        <v/>
      </c>
      <c r="EK326" t="str">
        <f>+IFERROR(VLOOKUP(EK27,IN_Zugliste!$A$4:$F$2002,7,FALSE),"")</f>
        <v/>
      </c>
      <c r="EL326" t="str">
        <f>+IFERROR(VLOOKUP(EL27,IN_Zugliste!$A$4:$F$2002,7,FALSE),"")</f>
        <v/>
      </c>
      <c r="EM326" t="str">
        <f>+IFERROR(VLOOKUP(EM27,IN_Zugliste!$A$4:$F$2002,7,FALSE),"")</f>
        <v/>
      </c>
      <c r="EN326" t="str">
        <f>+IFERROR(VLOOKUP(EN27,IN_Zugliste!$A$4:$F$2002,7,FALSE),"")</f>
        <v/>
      </c>
      <c r="EO326" t="str">
        <f>+IFERROR(VLOOKUP(EO27,IN_Zugliste!$A$4:$F$2002,7,FALSE),"")</f>
        <v/>
      </c>
      <c r="EP326" t="str">
        <f>+IFERROR(VLOOKUP(EP27,IN_Zugliste!$A$4:$F$2002,7,FALSE),"")</f>
        <v/>
      </c>
      <c r="EQ326" t="str">
        <f>+IFERROR(VLOOKUP(EQ27,IN_Zugliste!$A$4:$F$2002,7,FALSE),"")</f>
        <v/>
      </c>
      <c r="ER326" t="str">
        <f>+IFERROR(VLOOKUP(ER27,IN_Zugliste!$A$4:$F$2002,7,FALSE),"")</f>
        <v/>
      </c>
      <c r="ES326" t="str">
        <f>+IFERROR(VLOOKUP(ES27,IN_Zugliste!$A$4:$F$2002,7,FALSE),"")</f>
        <v/>
      </c>
      <c r="ET326" t="str">
        <f>+IFERROR(VLOOKUP(ET27,IN_Zugliste!$A$4:$F$2002,7,FALSE),"")</f>
        <v/>
      </c>
      <c r="EU326" t="str">
        <f>+IFERROR(VLOOKUP(EU27,IN_Zugliste!$A$4:$F$2002,7,FALSE),"")</f>
        <v/>
      </c>
      <c r="EV326" t="str">
        <f>+IFERROR(VLOOKUP(EV27,IN_Zugliste!$A$4:$F$2002,7,FALSE),"")</f>
        <v/>
      </c>
      <c r="EW326" t="str">
        <f>+IFERROR(VLOOKUP(EW27,IN_Zugliste!$A$4:$F$2002,7,FALSE),"")</f>
        <v/>
      </c>
      <c r="EX326" t="str">
        <f>+IFERROR(VLOOKUP(EX27,IN_Zugliste!$A$4:$F$2002,7,FALSE),"")</f>
        <v/>
      </c>
      <c r="EY326" t="str">
        <f>+IFERROR(VLOOKUP(EY27,IN_Zugliste!$A$4:$F$2002,7,FALSE),"")</f>
        <v/>
      </c>
      <c r="EZ326" t="str">
        <f>+IFERROR(VLOOKUP(EZ27,IN_Zugliste!$A$4:$F$2002,7,FALSE),"")</f>
        <v/>
      </c>
      <c r="FA326" t="str">
        <f>+IFERROR(VLOOKUP(FA27,IN_Zugliste!$A$4:$F$2002,7,FALSE),"")</f>
        <v/>
      </c>
      <c r="FB326" t="str">
        <f>+IFERROR(VLOOKUP(FB27,IN_Zugliste!$A$4:$F$2002,7,FALSE),"")</f>
        <v/>
      </c>
      <c r="FC326" t="str">
        <f>+IFERROR(VLOOKUP(FC27,IN_Zugliste!$A$4:$F$2002,7,FALSE),"")</f>
        <v/>
      </c>
      <c r="FD326" t="str">
        <f>+IFERROR(VLOOKUP(FD27,IN_Zugliste!$A$4:$F$2002,7,FALSE),"")</f>
        <v/>
      </c>
      <c r="FE326" t="str">
        <f>+IFERROR(VLOOKUP(FE27,IN_Zugliste!$A$4:$F$2002,7,FALSE),"")</f>
        <v/>
      </c>
      <c r="FF326" t="str">
        <f>+IFERROR(VLOOKUP(FF27,IN_Zugliste!$A$4:$F$2002,7,FALSE),"")</f>
        <v/>
      </c>
      <c r="FG326" t="str">
        <f>+IFERROR(VLOOKUP(FG27,IN_Zugliste!$A$4:$F$2002,7,FALSE),"")</f>
        <v/>
      </c>
      <c r="FH326" t="str">
        <f>+IFERROR(VLOOKUP(FH27,IN_Zugliste!$A$4:$F$2002,7,FALSE),"")</f>
        <v/>
      </c>
      <c r="FI326" t="str">
        <f>+IFERROR(VLOOKUP(FI27,IN_Zugliste!$A$4:$F$2002,7,FALSE),"")</f>
        <v/>
      </c>
      <c r="FJ326" t="str">
        <f>+IFERROR(VLOOKUP(FJ27,IN_Zugliste!$A$4:$F$2002,7,FALSE),"")</f>
        <v/>
      </c>
      <c r="FK326" t="str">
        <f>+IFERROR(VLOOKUP(FK27,IN_Zugliste!$A$4:$F$2002,7,FALSE),"")</f>
        <v/>
      </c>
      <c r="FL326" t="str">
        <f>+IFERROR(VLOOKUP(FL27,IN_Zugliste!$A$4:$F$2002,7,FALSE),"")</f>
        <v/>
      </c>
      <c r="FM326" t="str">
        <f>+IFERROR(VLOOKUP(FM27,IN_Zugliste!$A$4:$F$2002,7,FALSE),"")</f>
        <v/>
      </c>
      <c r="FN326" t="str">
        <f>+IFERROR(VLOOKUP(FN27,IN_Zugliste!$A$4:$F$2002,7,FALSE),"")</f>
        <v/>
      </c>
      <c r="FO326" t="str">
        <f>+IFERROR(VLOOKUP(FO27,IN_Zugliste!$A$4:$F$2002,7,FALSE),"")</f>
        <v/>
      </c>
      <c r="FP326" t="str">
        <f>+IFERROR(VLOOKUP(FP27,IN_Zugliste!$A$4:$F$2002,7,FALSE),"")</f>
        <v/>
      </c>
      <c r="FQ326" t="str">
        <f>+IFERROR(VLOOKUP(FQ27,IN_Zugliste!$A$4:$F$2002,7,FALSE),"")</f>
        <v/>
      </c>
      <c r="FR326" t="str">
        <f>+IFERROR(VLOOKUP(FR27,IN_Zugliste!$A$4:$F$2002,7,FALSE),"")</f>
        <v/>
      </c>
      <c r="FS326" t="str">
        <f>+IFERROR(VLOOKUP(FS27,IN_Zugliste!$A$4:$F$2002,7,FALSE),"")</f>
        <v/>
      </c>
      <c r="FT326" t="str">
        <f>+IFERROR(VLOOKUP(FT27,IN_Zugliste!$A$4:$F$2002,7,FALSE),"")</f>
        <v/>
      </c>
      <c r="FU326" t="str">
        <f>+IFERROR(VLOOKUP(FU27,IN_Zugliste!$A$4:$F$2002,7,FALSE),"")</f>
        <v/>
      </c>
      <c r="FV326" t="str">
        <f>+IFERROR(VLOOKUP(FV27,IN_Zugliste!$A$4:$F$2002,7,FALSE),"")</f>
        <v/>
      </c>
      <c r="FW326" t="str">
        <f>+IFERROR(VLOOKUP(FW27,IN_Zugliste!$A$4:$F$2002,7,FALSE),"")</f>
        <v/>
      </c>
      <c r="FX326" t="str">
        <f>+IFERROR(VLOOKUP(FX27,IN_Zugliste!$A$4:$F$2002,7,FALSE),"")</f>
        <v/>
      </c>
      <c r="FY326" t="str">
        <f>+IFERROR(VLOOKUP(FY27,IN_Zugliste!$A$4:$F$2002,7,FALSE),"")</f>
        <v/>
      </c>
      <c r="FZ326" t="str">
        <f>+IFERROR(VLOOKUP(FZ27,IN_Zugliste!$A$4:$F$2002,7,FALSE),"")</f>
        <v/>
      </c>
      <c r="GA326" t="str">
        <f>+IFERROR(VLOOKUP(GA27,IN_Zugliste!$A$4:$F$2002,7,FALSE),"")</f>
        <v/>
      </c>
      <c r="GB326" t="str">
        <f>+IFERROR(VLOOKUP(GB27,IN_Zugliste!$A$4:$F$2002,7,FALSE),"")</f>
        <v/>
      </c>
      <c r="GC326" t="str">
        <f>+IFERROR(VLOOKUP(GC27,IN_Zugliste!$A$4:$F$2002,7,FALSE),"")</f>
        <v/>
      </c>
      <c r="GD326" t="str">
        <f>+IFERROR(VLOOKUP(GD27,IN_Zugliste!$A$4:$F$2002,7,FALSE),"")</f>
        <v/>
      </c>
      <c r="GE326" t="str">
        <f>+IFERROR(VLOOKUP(GE27,IN_Zugliste!$A$4:$F$2002,7,FALSE),"")</f>
        <v/>
      </c>
      <c r="GF326" t="str">
        <f>+IFERROR(VLOOKUP(GF27,IN_Zugliste!$A$4:$F$2002,7,FALSE),"")</f>
        <v/>
      </c>
      <c r="GG326" t="str">
        <f>+IFERROR(VLOOKUP(GG27,IN_Zugliste!$A$4:$F$2002,7,FALSE),"")</f>
        <v/>
      </c>
      <c r="GH326" t="str">
        <f>+IFERROR(VLOOKUP(GH27,IN_Zugliste!$A$4:$F$2002,7,FALSE),"")</f>
        <v/>
      </c>
      <c r="GI326" t="str">
        <f>+IFERROR(VLOOKUP(GI27,IN_Zugliste!$A$4:$F$2002,7,FALSE),"")</f>
        <v/>
      </c>
      <c r="GJ326" t="str">
        <f>+IFERROR(VLOOKUP(GJ27,IN_Zugliste!$A$4:$F$2002,7,FALSE),"")</f>
        <v/>
      </c>
      <c r="GK326" t="str">
        <f>+IFERROR(VLOOKUP(GK27,IN_Zugliste!$A$4:$F$2002,7,FALSE),"")</f>
        <v/>
      </c>
      <c r="GL326" t="str">
        <f>+IFERROR(VLOOKUP(GL27,IN_Zugliste!$A$4:$F$2002,7,FALSE),"")</f>
        <v/>
      </c>
      <c r="GM326" t="str">
        <f>+IFERROR(VLOOKUP(GM27,IN_Zugliste!$A$4:$F$2002,7,FALSE),"")</f>
        <v/>
      </c>
      <c r="GN326" t="str">
        <f>+IFERROR(VLOOKUP(GN27,IN_Zugliste!$A$4:$F$2002,7,FALSE),"")</f>
        <v/>
      </c>
      <c r="GO326" t="str">
        <f>+IFERROR(VLOOKUP(GO27,IN_Zugliste!$A$4:$F$2002,7,FALSE),"")</f>
        <v/>
      </c>
      <c r="GP326" t="str">
        <f>+IFERROR(VLOOKUP(GP27,IN_Zugliste!$A$4:$F$2002,7,FALSE),"")</f>
        <v/>
      </c>
      <c r="GQ326" t="str">
        <f>+IFERROR(VLOOKUP(GQ27,IN_Zugliste!$A$4:$F$2002,7,FALSE),"")</f>
        <v/>
      </c>
      <c r="GR326" t="str">
        <f>+IFERROR(VLOOKUP(GR27,IN_Zugliste!$A$4:$F$2002,7,FALSE),"")</f>
        <v/>
      </c>
      <c r="GS326" t="str">
        <f>+IFERROR(VLOOKUP(GS27,IN_Zugliste!$A$4:$F$2002,7,FALSE),"")</f>
        <v/>
      </c>
      <c r="GT326" t="str">
        <f>+IFERROR(VLOOKUP(GT27,IN_Zugliste!$A$4:$F$2002,7,FALSE),"")</f>
        <v/>
      </c>
      <c r="GU326" t="str">
        <f>+IFERROR(VLOOKUP(GU27,IN_Zugliste!$A$4:$F$2002,7,FALSE),"")</f>
        <v/>
      </c>
      <c r="GV326" t="str">
        <f>+IFERROR(VLOOKUP(GV27,IN_Zugliste!$A$4:$F$2002,7,FALSE),"")</f>
        <v/>
      </c>
      <c r="GW326" t="str">
        <f>+IFERROR(VLOOKUP(GW27,IN_Zugliste!$A$4:$F$2002,7,FALSE),"")</f>
        <v/>
      </c>
      <c r="GX326" t="str">
        <f>+IFERROR(VLOOKUP(GX27,IN_Zugliste!$A$4:$F$2002,7,FALSE),"")</f>
        <v/>
      </c>
      <c r="GY326" t="str">
        <f>+IFERROR(VLOOKUP(GY27,IN_Zugliste!$A$4:$F$2002,7,FALSE),"")</f>
        <v/>
      </c>
      <c r="GZ326" t="str">
        <f>+IFERROR(VLOOKUP(GZ27,IN_Zugliste!$A$4:$F$2002,7,FALSE),"")</f>
        <v/>
      </c>
      <c r="HA326" t="str">
        <f>+IFERROR(VLOOKUP(HA27,IN_Zugliste!$A$4:$F$2002,7,FALSE),"")</f>
        <v/>
      </c>
      <c r="HB326" t="str">
        <f>+IFERROR(VLOOKUP(HB27,IN_Zugliste!$A$4:$F$2002,7,FALSE),"")</f>
        <v/>
      </c>
      <c r="HC326" t="str">
        <f>+IFERROR(VLOOKUP(HC27,IN_Zugliste!$A$4:$F$2002,7,FALSE),"")</f>
        <v/>
      </c>
      <c r="HD326" t="str">
        <f>+IFERROR(VLOOKUP(HD27,IN_Zugliste!$A$4:$F$2002,7,FALSE),"")</f>
        <v/>
      </c>
      <c r="HE326" t="str">
        <f>+IFERROR(VLOOKUP(HE27,IN_Zugliste!$A$4:$F$2002,7,FALSE),"")</f>
        <v/>
      </c>
      <c r="HF326" t="str">
        <f>+IFERROR(VLOOKUP(HF27,IN_Zugliste!$A$4:$F$2002,7,FALSE),"")</f>
        <v/>
      </c>
      <c r="HG326" t="str">
        <f>+IFERROR(VLOOKUP(HG27,IN_Zugliste!$A$4:$F$2002,7,FALSE),"")</f>
        <v/>
      </c>
      <c r="HH326" t="str">
        <f>+IFERROR(VLOOKUP(HH27,IN_Zugliste!$A$4:$F$2002,7,FALSE),"")</f>
        <v/>
      </c>
      <c r="HI326" t="str">
        <f>+IFERROR(VLOOKUP(HI27,IN_Zugliste!$A$4:$F$2002,7,FALSE),"")</f>
        <v/>
      </c>
      <c r="HJ326" t="str">
        <f>+IFERROR(VLOOKUP(HJ27,IN_Zugliste!$A$4:$F$2002,7,FALSE),"")</f>
        <v/>
      </c>
      <c r="HK326" t="str">
        <f>+IFERROR(VLOOKUP(HK27,IN_Zugliste!$A$4:$F$2002,7,FALSE),"")</f>
        <v/>
      </c>
      <c r="HL326" t="str">
        <f>+IFERROR(VLOOKUP(HL27,IN_Zugliste!$A$4:$F$2002,7,FALSE),"")</f>
        <v/>
      </c>
      <c r="HM326" t="str">
        <f>+IFERROR(VLOOKUP(HM27,IN_Zugliste!$A$4:$F$2002,7,FALSE),"")</f>
        <v/>
      </c>
      <c r="HN326" t="str">
        <f>+IFERROR(VLOOKUP(HN27,IN_Zugliste!$A$4:$F$2002,7,FALSE),"")</f>
        <v/>
      </c>
      <c r="HO326" t="str">
        <f>+IFERROR(VLOOKUP(HO27,IN_Zugliste!$A$4:$F$2002,7,FALSE),"")</f>
        <v/>
      </c>
      <c r="HP326" t="str">
        <f>+IFERROR(VLOOKUP(HP27,IN_Zugliste!$A$4:$F$2002,7,FALSE),"")</f>
        <v/>
      </c>
      <c r="HQ326" t="str">
        <f>+IFERROR(VLOOKUP(HQ27,IN_Zugliste!$A$4:$F$2002,7,FALSE),"")</f>
        <v/>
      </c>
      <c r="HR326" t="str">
        <f>+IFERROR(VLOOKUP(HR27,IN_Zugliste!$A$4:$F$2002,7,FALSE),"")</f>
        <v/>
      </c>
      <c r="HS326" t="str">
        <f>+IFERROR(VLOOKUP(HS27,IN_Zugliste!$A$4:$F$2002,7,FALSE),"")</f>
        <v/>
      </c>
      <c r="HT326" t="str">
        <f>+IFERROR(VLOOKUP(HT27,IN_Zugliste!$A$4:$F$2002,7,FALSE),"")</f>
        <v/>
      </c>
      <c r="HU326" t="str">
        <f>+IFERROR(VLOOKUP(HU27,IN_Zugliste!$A$4:$F$2002,7,FALSE),"")</f>
        <v/>
      </c>
      <c r="HV326" t="str">
        <f>+IFERROR(VLOOKUP(HV27,IN_Zugliste!$A$4:$F$2002,7,FALSE),"")</f>
        <v/>
      </c>
      <c r="HW326" t="str">
        <f>+IFERROR(VLOOKUP(HW27,IN_Zugliste!$A$4:$F$2002,7,FALSE),"")</f>
        <v/>
      </c>
      <c r="HX326" t="str">
        <f>+IFERROR(VLOOKUP(HX27,IN_Zugliste!$A$4:$F$2002,7,FALSE),"")</f>
        <v/>
      </c>
      <c r="HY326" t="str">
        <f>+IFERROR(VLOOKUP(HY27,IN_Zugliste!$A$4:$F$2002,7,FALSE),"")</f>
        <v/>
      </c>
      <c r="HZ326" t="str">
        <f>+IFERROR(VLOOKUP(HZ27,IN_Zugliste!$A$4:$F$2002,7,FALSE),"")</f>
        <v/>
      </c>
      <c r="IA326" t="str">
        <f>+IFERROR(VLOOKUP(IA27,IN_Zugliste!$A$4:$F$2002,7,FALSE),"")</f>
        <v/>
      </c>
      <c r="IB326" t="str">
        <f>+IFERROR(VLOOKUP(IB27,IN_Zugliste!$A$4:$F$2002,7,FALSE),"")</f>
        <v/>
      </c>
      <c r="IC326" t="str">
        <f>+IFERROR(VLOOKUP(IC27,IN_Zugliste!$A$4:$F$2002,7,FALSE),"")</f>
        <v/>
      </c>
      <c r="ID326" t="str">
        <f>+IFERROR(VLOOKUP(ID27,IN_Zugliste!$A$4:$F$2002,7,FALSE),"")</f>
        <v/>
      </c>
      <c r="IE326" t="str">
        <f>+IFERROR(VLOOKUP(IE27,IN_Zugliste!$A$4:$F$2002,7,FALSE),"")</f>
        <v/>
      </c>
      <c r="IF326" t="str">
        <f>+IFERROR(VLOOKUP(IF27,IN_Zugliste!$A$4:$F$2002,7,FALSE),"")</f>
        <v/>
      </c>
      <c r="IG326" t="str">
        <f>+IFERROR(VLOOKUP(IG27,IN_Zugliste!$A$4:$F$2002,7,FALSE),"")</f>
        <v/>
      </c>
      <c r="IH326" t="str">
        <f>+IFERROR(VLOOKUP(IH27,IN_Zugliste!$A$4:$F$2002,7,FALSE),"")</f>
        <v/>
      </c>
      <c r="II326" t="str">
        <f>+IFERROR(VLOOKUP(II27,IN_Zugliste!$A$4:$F$2002,7,FALSE),"")</f>
        <v/>
      </c>
      <c r="IJ326" t="str">
        <f>+IFERROR(VLOOKUP(IJ27,IN_Zugliste!$A$4:$F$2002,7,FALSE),"")</f>
        <v/>
      </c>
      <c r="IK326" t="str">
        <f>+IFERROR(VLOOKUP(IK27,IN_Zugliste!$A$4:$F$2002,7,FALSE),"")</f>
        <v/>
      </c>
      <c r="IL326" t="str">
        <f>+IFERROR(VLOOKUP(IL27,IN_Zugliste!$A$4:$F$2002,7,FALSE),"")</f>
        <v/>
      </c>
      <c r="IM326" t="str">
        <f>+IFERROR(VLOOKUP(IM27,IN_Zugliste!$A$4:$F$2002,7,FALSE),"")</f>
        <v/>
      </c>
      <c r="IN326" t="str">
        <f>+IFERROR(VLOOKUP(IN27,IN_Zugliste!$A$4:$F$2002,7,FALSE),"")</f>
        <v/>
      </c>
      <c r="IO326" t="str">
        <f>+IFERROR(VLOOKUP(IO27,IN_Zugliste!$A$4:$F$2002,7,FALSE),"")</f>
        <v/>
      </c>
      <c r="IP326" t="str">
        <f>+IFERROR(VLOOKUP(IP27,IN_Zugliste!$A$4:$F$2002,7,FALSE),"")</f>
        <v/>
      </c>
      <c r="IQ326" t="str">
        <f>+IFERROR(VLOOKUP(IQ27,IN_Zugliste!$A$4:$F$2002,7,FALSE),"")</f>
        <v/>
      </c>
      <c r="IR326" t="str">
        <f>+IFERROR(VLOOKUP(IR27,IN_Zugliste!$A$4:$F$2002,7,FALSE),"")</f>
        <v/>
      </c>
      <c r="IS326" t="str">
        <f>+IFERROR(VLOOKUP(IS27,IN_Zugliste!$A$4:$F$2002,7,FALSE),"")</f>
        <v/>
      </c>
      <c r="IT326" t="str">
        <f>+IFERROR(VLOOKUP(IT27,IN_Zugliste!$A$4:$F$2002,7,FALSE),"")</f>
        <v/>
      </c>
      <c r="IU326" t="str">
        <f>+IFERROR(VLOOKUP(IU27,IN_Zugliste!$A$4:$F$2002,7,FALSE),"")</f>
        <v/>
      </c>
      <c r="IV326" t="str">
        <f>+IFERROR(VLOOKUP(IV27,IN_Zugliste!$A$4:$F$2002,7,FALSE),"")</f>
        <v/>
      </c>
      <c r="IW326" t="str">
        <f>+IFERROR(VLOOKUP(IW27,IN_Zugliste!$A$4:$F$2002,7,FALSE),"")</f>
        <v/>
      </c>
      <c r="IX326" t="str">
        <f>+IFERROR(VLOOKUP(IX27,IN_Zugliste!$A$4:$F$2002,7,FALSE),"")</f>
        <v/>
      </c>
      <c r="IY326" t="str">
        <f>+IFERROR(VLOOKUP(IY27,IN_Zugliste!$A$4:$F$2002,7,FALSE),"")</f>
        <v/>
      </c>
      <c r="IZ326" t="str">
        <f>+IFERROR(VLOOKUP(IZ27,IN_Zugliste!$A$4:$F$2002,7,FALSE),"")</f>
        <v/>
      </c>
      <c r="JA326" t="str">
        <f>+IFERROR(VLOOKUP(JA27,IN_Zugliste!$A$4:$F$2002,7,FALSE),"")</f>
        <v/>
      </c>
      <c r="JB326" t="str">
        <f>+IFERROR(VLOOKUP(JB27,IN_Zugliste!$A$4:$F$2002,7,FALSE),"")</f>
        <v/>
      </c>
      <c r="JC326" t="str">
        <f>+IFERROR(VLOOKUP(JC27,IN_Zugliste!$A$4:$F$2002,7,FALSE),"")</f>
        <v/>
      </c>
      <c r="JD326" t="str">
        <f>+IFERROR(VLOOKUP(JD27,IN_Zugliste!$A$4:$F$2002,7,FALSE),"")</f>
        <v/>
      </c>
      <c r="JE326" t="str">
        <f>+IFERROR(VLOOKUP(JE27,IN_Zugliste!$A$4:$F$2002,7,FALSE),"")</f>
        <v/>
      </c>
      <c r="JF326" t="str">
        <f>+IFERROR(VLOOKUP(JF27,IN_Zugliste!$A$4:$F$2002,7,FALSE),"")</f>
        <v/>
      </c>
      <c r="JG326" t="str">
        <f>+IFERROR(VLOOKUP(JG27,IN_Zugliste!$A$4:$F$2002,7,FALSE),"")</f>
        <v/>
      </c>
      <c r="JH326" t="str">
        <f>+IFERROR(VLOOKUP(JH27,IN_Zugliste!$A$4:$F$2002,7,FALSE),"")</f>
        <v/>
      </c>
      <c r="JI326" t="str">
        <f>+IFERROR(VLOOKUP(JI27,IN_Zugliste!$A$4:$F$2002,7,FALSE),"")</f>
        <v/>
      </c>
      <c r="JJ326" t="str">
        <f>+IFERROR(VLOOKUP(JJ27,IN_Zugliste!$A$4:$F$2002,7,FALSE),"")</f>
        <v/>
      </c>
    </row>
    <row r="327" spans="1:270" x14ac:dyDescent="0.2">
      <c r="A327" t="str">
        <f>+IFERROR(VLOOKUP(A28,IN_Zugliste!$A$4:$F$2002,7,FALSE),"")</f>
        <v/>
      </c>
      <c r="B327" t="str">
        <f>+IFERROR(VLOOKUP(B28,IN_Zugliste!$A$4:$F$2002,7,FALSE),"")</f>
        <v/>
      </c>
      <c r="C327" t="str">
        <f>+IFERROR(VLOOKUP(C28,IN_Zugliste!$A$4:$F$2002,7,FALSE),"")</f>
        <v/>
      </c>
      <c r="D327" t="str">
        <f>+IFERROR(VLOOKUP(D28,IN_Zugliste!$A$4:$F$2002,7,FALSE),"")</f>
        <v/>
      </c>
      <c r="E327" t="str">
        <f>+IFERROR(VLOOKUP(E28,IN_Zugliste!$A$4:$F$2002,7,FALSE),"")</f>
        <v/>
      </c>
      <c r="F327" t="str">
        <f>+IFERROR(VLOOKUP(F28,IN_Zugliste!$A$4:$F$2002,7,FALSE),"")</f>
        <v/>
      </c>
      <c r="G327" t="str">
        <f>+IFERROR(VLOOKUP(G28,IN_Zugliste!$A$4:$F$2002,7,FALSE),"")</f>
        <v/>
      </c>
      <c r="H327" t="str">
        <f>+IFERROR(VLOOKUP(H28,IN_Zugliste!$A$4:$F$2002,7,FALSE),"")</f>
        <v/>
      </c>
      <c r="I327" t="str">
        <f>+IFERROR(VLOOKUP(I28,IN_Zugliste!$A$4:$F$2002,7,FALSE),"")</f>
        <v/>
      </c>
      <c r="J327" t="str">
        <f>+IFERROR(VLOOKUP(J28,IN_Zugliste!$A$4:$F$2002,7,FALSE),"")</f>
        <v/>
      </c>
      <c r="K327" t="str">
        <f>+IFERROR(VLOOKUP(K28,IN_Zugliste!$A$4:$F$2002,7,FALSE),"")</f>
        <v/>
      </c>
      <c r="L327" t="str">
        <f>+IFERROR(VLOOKUP(L28,IN_Zugliste!$A$4:$F$2002,7,FALSE),"")</f>
        <v/>
      </c>
      <c r="M327" t="str">
        <f>+IFERROR(VLOOKUP(M28,IN_Zugliste!$A$4:$F$2002,7,FALSE),"")</f>
        <v/>
      </c>
      <c r="N327" t="str">
        <f>+IFERROR(VLOOKUP(N28,IN_Zugliste!$A$4:$F$2002,7,FALSE),"")</f>
        <v/>
      </c>
      <c r="O327" t="str">
        <f>+IFERROR(VLOOKUP(O28,IN_Zugliste!$A$4:$F$2002,7,FALSE),"")</f>
        <v/>
      </c>
      <c r="P327" t="str">
        <f>+IFERROR(VLOOKUP(P28,IN_Zugliste!$A$4:$F$2002,7,FALSE),"")</f>
        <v/>
      </c>
      <c r="Q327" t="str">
        <f>+IFERROR(VLOOKUP(Q28,IN_Zugliste!$A$4:$F$2002,7,FALSE),"")</f>
        <v/>
      </c>
      <c r="R327" t="str">
        <f>+IFERROR(VLOOKUP(R28,IN_Zugliste!$A$4:$F$2002,7,FALSE),"")</f>
        <v/>
      </c>
      <c r="S327" t="str">
        <f>+IFERROR(VLOOKUP(S28,IN_Zugliste!$A$4:$F$2002,7,FALSE),"")</f>
        <v/>
      </c>
      <c r="T327" t="str">
        <f>+IFERROR(VLOOKUP(T28,IN_Zugliste!$A$4:$F$2002,7,FALSE),"")</f>
        <v/>
      </c>
      <c r="U327" t="str">
        <f>+IFERROR(VLOOKUP(U28,IN_Zugliste!$A$4:$F$2002,7,FALSE),"")</f>
        <v/>
      </c>
      <c r="V327" t="str">
        <f>+IFERROR(VLOOKUP(V28,IN_Zugliste!$A$4:$F$2002,7,FALSE),"")</f>
        <v/>
      </c>
      <c r="W327" t="str">
        <f>+IFERROR(VLOOKUP(W28,IN_Zugliste!$A$4:$F$2002,7,FALSE),"")</f>
        <v/>
      </c>
      <c r="X327" t="str">
        <f>+IFERROR(VLOOKUP(X28,IN_Zugliste!$A$4:$F$2002,7,FALSE),"")</f>
        <v/>
      </c>
      <c r="Y327" t="str">
        <f>+IFERROR(VLOOKUP(Y28,IN_Zugliste!$A$4:$F$2002,7,FALSE),"")</f>
        <v/>
      </c>
      <c r="Z327" t="str">
        <f>+IFERROR(VLOOKUP(Z28,IN_Zugliste!$A$4:$F$2002,7,FALSE),"")</f>
        <v/>
      </c>
      <c r="AA327" t="str">
        <f>+IFERROR(VLOOKUP(AA28,IN_Zugliste!$A$4:$F$2002,7,FALSE),"")</f>
        <v/>
      </c>
      <c r="AB327" t="str">
        <f>+IFERROR(VLOOKUP(AB28,IN_Zugliste!$A$4:$F$2002,7,FALSE),"")</f>
        <v/>
      </c>
      <c r="AC327" t="str">
        <f>+IFERROR(VLOOKUP(AC28,IN_Zugliste!$A$4:$F$2002,7,FALSE),"")</f>
        <v/>
      </c>
      <c r="AD327" t="str">
        <f>+IFERROR(VLOOKUP(AD28,IN_Zugliste!$A$4:$F$2002,7,FALSE),"")</f>
        <v/>
      </c>
      <c r="AE327" t="str">
        <f>+IFERROR(VLOOKUP(AE28,IN_Zugliste!$A$4:$F$2002,7,FALSE),"")</f>
        <v/>
      </c>
      <c r="AF327" t="str">
        <f>+IFERROR(VLOOKUP(AF28,IN_Zugliste!$A$4:$F$2002,7,FALSE),"")</f>
        <v/>
      </c>
      <c r="AG327" t="str">
        <f>+IFERROR(VLOOKUP(AG28,IN_Zugliste!$A$4:$F$2002,7,FALSE),"")</f>
        <v/>
      </c>
      <c r="AH327" t="str">
        <f>+IFERROR(VLOOKUP(AH28,IN_Zugliste!$A$4:$F$2002,7,FALSE),"")</f>
        <v/>
      </c>
      <c r="AI327" t="str">
        <f>+IFERROR(VLOOKUP(AI28,IN_Zugliste!$A$4:$F$2002,7,FALSE),"")</f>
        <v/>
      </c>
      <c r="AJ327" t="str">
        <f>+IFERROR(VLOOKUP(AJ28,IN_Zugliste!$A$4:$F$2002,7,FALSE),"")</f>
        <v/>
      </c>
      <c r="AK327" t="str">
        <f>+IFERROR(VLOOKUP(AK28,IN_Zugliste!$A$4:$F$2002,7,FALSE),"")</f>
        <v/>
      </c>
      <c r="AL327" t="str">
        <f>+IFERROR(VLOOKUP(AL28,IN_Zugliste!$A$4:$F$2002,7,FALSE),"")</f>
        <v/>
      </c>
      <c r="AM327" t="str">
        <f>+IFERROR(VLOOKUP(AM28,IN_Zugliste!$A$4:$F$2002,7,FALSE),"")</f>
        <v/>
      </c>
      <c r="AN327" t="str">
        <f>+IFERROR(VLOOKUP(AN28,IN_Zugliste!$A$4:$F$2002,7,FALSE),"")</f>
        <v/>
      </c>
      <c r="AO327" t="str">
        <f>+IFERROR(VLOOKUP(AO28,IN_Zugliste!$A$4:$F$2002,7,FALSE),"")</f>
        <v/>
      </c>
      <c r="AP327" t="str">
        <f>+IFERROR(VLOOKUP(AP28,IN_Zugliste!$A$4:$F$2002,7,FALSE),"")</f>
        <v/>
      </c>
      <c r="AQ327" t="str">
        <f>+IFERROR(VLOOKUP(AQ28,IN_Zugliste!$A$4:$F$2002,7,FALSE),"")</f>
        <v/>
      </c>
      <c r="AR327" t="str">
        <f>+IFERROR(VLOOKUP(AR28,IN_Zugliste!$A$4:$F$2002,7,FALSE),"")</f>
        <v/>
      </c>
      <c r="AS327" t="str">
        <f>+IFERROR(VLOOKUP(AS28,IN_Zugliste!$A$4:$F$2002,7,FALSE),"")</f>
        <v/>
      </c>
      <c r="AT327" t="str">
        <f>+IFERROR(VLOOKUP(AT28,IN_Zugliste!$A$4:$F$2002,7,FALSE),"")</f>
        <v/>
      </c>
      <c r="AU327" t="str">
        <f>+IFERROR(VLOOKUP(AU28,IN_Zugliste!$A$4:$F$2002,7,FALSE),"")</f>
        <v/>
      </c>
      <c r="AV327" t="str">
        <f>+IFERROR(VLOOKUP(AV28,IN_Zugliste!$A$4:$F$2002,7,FALSE),"")</f>
        <v/>
      </c>
      <c r="AW327" t="str">
        <f>+IFERROR(VLOOKUP(AW28,IN_Zugliste!$A$4:$F$2002,7,FALSE),"")</f>
        <v/>
      </c>
      <c r="AX327" t="str">
        <f>+IFERROR(VLOOKUP(AX28,IN_Zugliste!$A$4:$F$2002,7,FALSE),"")</f>
        <v/>
      </c>
      <c r="AY327" t="str">
        <f>+IFERROR(VLOOKUP(AY28,IN_Zugliste!$A$4:$F$2002,7,FALSE),"")</f>
        <v/>
      </c>
      <c r="AZ327" t="str">
        <f>+IFERROR(VLOOKUP(AZ28,IN_Zugliste!$A$4:$F$2002,7,FALSE),"")</f>
        <v/>
      </c>
      <c r="BA327" t="str">
        <f>+IFERROR(VLOOKUP(BA28,IN_Zugliste!$A$4:$F$2002,7,FALSE),"")</f>
        <v/>
      </c>
      <c r="BB327" t="str">
        <f>+IFERROR(VLOOKUP(BB28,IN_Zugliste!$A$4:$F$2002,7,FALSE),"")</f>
        <v/>
      </c>
      <c r="BC327" t="str">
        <f>+IFERROR(VLOOKUP(BC28,IN_Zugliste!$A$4:$F$2002,7,FALSE),"")</f>
        <v/>
      </c>
      <c r="BD327" t="str">
        <f>+IFERROR(VLOOKUP(BD28,IN_Zugliste!$A$4:$F$2002,7,FALSE),"")</f>
        <v/>
      </c>
      <c r="BE327" t="str">
        <f>+IFERROR(VLOOKUP(BE28,IN_Zugliste!$A$4:$F$2002,7,FALSE),"")</f>
        <v/>
      </c>
      <c r="BF327" t="str">
        <f>+IFERROR(VLOOKUP(BF28,IN_Zugliste!$A$4:$F$2002,7,FALSE),"")</f>
        <v/>
      </c>
      <c r="BG327" t="str">
        <f>+IFERROR(VLOOKUP(BG28,IN_Zugliste!$A$4:$F$2002,7,FALSE),"")</f>
        <v/>
      </c>
      <c r="BH327" t="str">
        <f>+IFERROR(VLOOKUP(BH28,IN_Zugliste!$A$4:$F$2002,7,FALSE),"")</f>
        <v/>
      </c>
      <c r="BI327" t="str">
        <f>+IFERROR(VLOOKUP(BI28,IN_Zugliste!$A$4:$F$2002,7,FALSE),"")</f>
        <v/>
      </c>
      <c r="BJ327" t="str">
        <f>+IFERROR(VLOOKUP(BJ28,IN_Zugliste!$A$4:$F$2002,7,FALSE),"")</f>
        <v/>
      </c>
      <c r="BK327" t="str">
        <f>+IFERROR(VLOOKUP(BK28,IN_Zugliste!$A$4:$F$2002,7,FALSE),"")</f>
        <v/>
      </c>
      <c r="BL327" t="str">
        <f>+IFERROR(VLOOKUP(BL28,IN_Zugliste!$A$4:$F$2002,7,FALSE),"")</f>
        <v/>
      </c>
      <c r="BM327" t="str">
        <f>+IFERROR(VLOOKUP(BM28,IN_Zugliste!$A$4:$F$2002,7,FALSE),"")</f>
        <v/>
      </c>
      <c r="BN327" t="str">
        <f>+IFERROR(VLOOKUP(BN28,IN_Zugliste!$A$4:$F$2002,7,FALSE),"")</f>
        <v/>
      </c>
      <c r="BO327" t="str">
        <f>+IFERROR(VLOOKUP(BO28,IN_Zugliste!$A$4:$F$2002,7,FALSE),"")</f>
        <v/>
      </c>
      <c r="BP327" t="str">
        <f>+IFERROR(VLOOKUP(BP28,IN_Zugliste!$A$4:$F$2002,7,FALSE),"")</f>
        <v/>
      </c>
      <c r="BQ327" t="str">
        <f>+IFERROR(VLOOKUP(BQ28,IN_Zugliste!$A$4:$F$2002,7,FALSE),"")</f>
        <v/>
      </c>
      <c r="BR327" t="str">
        <f>+IFERROR(VLOOKUP(BR28,IN_Zugliste!$A$4:$F$2002,7,FALSE),"")</f>
        <v/>
      </c>
      <c r="BS327" t="str">
        <f>+IFERROR(VLOOKUP(BS28,IN_Zugliste!$A$4:$F$2002,7,FALSE),"")</f>
        <v/>
      </c>
      <c r="BT327" t="str">
        <f>+IFERROR(VLOOKUP(BT28,IN_Zugliste!$A$4:$F$2002,7,FALSE),"")</f>
        <v/>
      </c>
      <c r="BU327" t="str">
        <f>+IFERROR(VLOOKUP(BU28,IN_Zugliste!$A$4:$F$2002,7,FALSE),"")</f>
        <v/>
      </c>
      <c r="BV327" t="str">
        <f>+IFERROR(VLOOKUP(BV28,IN_Zugliste!$A$4:$F$2002,7,FALSE),"")</f>
        <v/>
      </c>
      <c r="BW327" t="str">
        <f>+IFERROR(VLOOKUP(BW28,IN_Zugliste!$A$4:$F$2002,7,FALSE),"")</f>
        <v/>
      </c>
      <c r="BX327" t="str">
        <f>+IFERROR(VLOOKUP(BX28,IN_Zugliste!$A$4:$F$2002,7,FALSE),"")</f>
        <v/>
      </c>
      <c r="BY327" t="str">
        <f>+IFERROR(VLOOKUP(BY28,IN_Zugliste!$A$4:$F$2002,7,FALSE),"")</f>
        <v/>
      </c>
      <c r="BZ327" t="str">
        <f>+IFERROR(VLOOKUP(BZ28,IN_Zugliste!$A$4:$F$2002,7,FALSE),"")</f>
        <v/>
      </c>
      <c r="CA327" t="str">
        <f>+IFERROR(VLOOKUP(CA28,IN_Zugliste!$A$4:$F$2002,7,FALSE),"")</f>
        <v/>
      </c>
      <c r="CB327" t="str">
        <f>+IFERROR(VLOOKUP(CB28,IN_Zugliste!$A$4:$F$2002,7,FALSE),"")</f>
        <v/>
      </c>
      <c r="CC327" t="str">
        <f>+IFERROR(VLOOKUP(CC28,IN_Zugliste!$A$4:$F$2002,7,FALSE),"")</f>
        <v/>
      </c>
      <c r="CD327" t="str">
        <f>+IFERROR(VLOOKUP(CD28,IN_Zugliste!$A$4:$F$2002,7,FALSE),"")</f>
        <v/>
      </c>
      <c r="CE327" t="str">
        <f>+IFERROR(VLOOKUP(CE28,IN_Zugliste!$A$4:$F$2002,7,FALSE),"")</f>
        <v/>
      </c>
      <c r="CF327" t="str">
        <f>+IFERROR(VLOOKUP(CF28,IN_Zugliste!$A$4:$F$2002,7,FALSE),"")</f>
        <v/>
      </c>
      <c r="CG327" t="str">
        <f>+IFERROR(VLOOKUP(CG28,IN_Zugliste!$A$4:$F$2002,7,FALSE),"")</f>
        <v/>
      </c>
      <c r="CH327" t="str">
        <f>+IFERROR(VLOOKUP(CH28,IN_Zugliste!$A$4:$F$2002,7,FALSE),"")</f>
        <v/>
      </c>
      <c r="CI327" t="str">
        <f>+IFERROR(VLOOKUP(CI28,IN_Zugliste!$A$4:$F$2002,7,FALSE),"")</f>
        <v/>
      </c>
      <c r="CJ327" t="str">
        <f>+IFERROR(VLOOKUP(CJ28,IN_Zugliste!$A$4:$F$2002,7,FALSE),"")</f>
        <v/>
      </c>
      <c r="CK327" t="str">
        <f>+IFERROR(VLOOKUP(CK28,IN_Zugliste!$A$4:$F$2002,7,FALSE),"")</f>
        <v/>
      </c>
      <c r="CL327" t="str">
        <f>+IFERROR(VLOOKUP(CL28,IN_Zugliste!$A$4:$F$2002,7,FALSE),"")</f>
        <v/>
      </c>
      <c r="CM327" t="str">
        <f>+IFERROR(VLOOKUP(CM28,IN_Zugliste!$A$4:$F$2002,7,FALSE),"")</f>
        <v/>
      </c>
      <c r="CN327" t="str">
        <f>+IFERROR(VLOOKUP(CN28,IN_Zugliste!$A$4:$F$2002,7,FALSE),"")</f>
        <v/>
      </c>
      <c r="CO327" t="str">
        <f>+IFERROR(VLOOKUP(CO28,IN_Zugliste!$A$4:$F$2002,7,FALSE),"")</f>
        <v/>
      </c>
      <c r="CP327" t="str">
        <f>+IFERROR(VLOOKUP(CP28,IN_Zugliste!$A$4:$F$2002,7,FALSE),"")</f>
        <v/>
      </c>
      <c r="CQ327" t="str">
        <f>+IFERROR(VLOOKUP(CQ28,IN_Zugliste!$A$4:$F$2002,7,FALSE),"")</f>
        <v/>
      </c>
      <c r="CR327" t="str">
        <f>+IFERROR(VLOOKUP(CR28,IN_Zugliste!$A$4:$F$2002,7,FALSE),"")</f>
        <v/>
      </c>
      <c r="CS327" t="str">
        <f>+IFERROR(VLOOKUP(CS28,IN_Zugliste!$A$4:$F$2002,7,FALSE),"")</f>
        <v/>
      </c>
      <c r="CT327" t="str">
        <f>+IFERROR(VLOOKUP(CT28,IN_Zugliste!$A$4:$F$2002,7,FALSE),"")</f>
        <v/>
      </c>
      <c r="CU327" t="str">
        <f>+IFERROR(VLOOKUP(CU28,IN_Zugliste!$A$4:$F$2002,7,FALSE),"")</f>
        <v/>
      </c>
      <c r="CV327" t="str">
        <f>+IFERROR(VLOOKUP(CV28,IN_Zugliste!$A$4:$F$2002,7,FALSE),"")</f>
        <v/>
      </c>
      <c r="CW327" t="str">
        <f>+IFERROR(VLOOKUP(CW28,IN_Zugliste!$A$4:$F$2002,7,FALSE),"")</f>
        <v/>
      </c>
      <c r="CX327" t="str">
        <f>+IFERROR(VLOOKUP(CX28,IN_Zugliste!$A$4:$F$2002,7,FALSE),"")</f>
        <v/>
      </c>
      <c r="CY327" t="str">
        <f>+IFERROR(VLOOKUP(CY28,IN_Zugliste!$A$4:$F$2002,7,FALSE),"")</f>
        <v/>
      </c>
      <c r="CZ327" t="str">
        <f>+IFERROR(VLOOKUP(CZ28,IN_Zugliste!$A$4:$F$2002,7,FALSE),"")</f>
        <v/>
      </c>
      <c r="DA327" t="str">
        <f>+IFERROR(VLOOKUP(DA28,IN_Zugliste!$A$4:$F$2002,7,FALSE),"")</f>
        <v/>
      </c>
      <c r="DB327" t="str">
        <f>+IFERROR(VLOOKUP(DB28,IN_Zugliste!$A$4:$F$2002,7,FALSE),"")</f>
        <v/>
      </c>
      <c r="DC327" t="str">
        <f>+IFERROR(VLOOKUP(DC28,IN_Zugliste!$A$4:$F$2002,7,FALSE),"")</f>
        <v/>
      </c>
      <c r="DD327" t="str">
        <f>+IFERROR(VLOOKUP(DD28,IN_Zugliste!$A$4:$F$2002,7,FALSE),"")</f>
        <v/>
      </c>
      <c r="DE327" t="str">
        <f>+IFERROR(VLOOKUP(DE28,IN_Zugliste!$A$4:$F$2002,7,FALSE),"")</f>
        <v/>
      </c>
      <c r="DF327" t="str">
        <f>+IFERROR(VLOOKUP(DF28,IN_Zugliste!$A$4:$F$2002,7,FALSE),"")</f>
        <v/>
      </c>
      <c r="DG327" t="str">
        <f>+IFERROR(VLOOKUP(DG28,IN_Zugliste!$A$4:$F$2002,7,FALSE),"")</f>
        <v/>
      </c>
      <c r="DH327" t="str">
        <f>+IFERROR(VLOOKUP(DH28,IN_Zugliste!$A$4:$F$2002,7,FALSE),"")</f>
        <v/>
      </c>
      <c r="DI327" t="str">
        <f>+IFERROR(VLOOKUP(DI28,IN_Zugliste!$A$4:$F$2002,7,FALSE),"")</f>
        <v/>
      </c>
      <c r="DJ327" t="str">
        <f>+IFERROR(VLOOKUP(DJ28,IN_Zugliste!$A$4:$F$2002,7,FALSE),"")</f>
        <v/>
      </c>
      <c r="DK327" t="str">
        <f>+IFERROR(VLOOKUP(DK28,IN_Zugliste!$A$4:$F$2002,7,FALSE),"")</f>
        <v/>
      </c>
      <c r="DL327" t="str">
        <f>+IFERROR(VLOOKUP(DL28,IN_Zugliste!$A$4:$F$2002,7,FALSE),"")</f>
        <v/>
      </c>
      <c r="DM327" t="str">
        <f>+IFERROR(VLOOKUP(DM28,IN_Zugliste!$A$4:$F$2002,7,FALSE),"")</f>
        <v/>
      </c>
      <c r="DN327" t="str">
        <f>+IFERROR(VLOOKUP(DN28,IN_Zugliste!$A$4:$F$2002,7,FALSE),"")</f>
        <v/>
      </c>
      <c r="DO327" t="str">
        <f>+IFERROR(VLOOKUP(DO28,IN_Zugliste!$A$4:$F$2002,7,FALSE),"")</f>
        <v/>
      </c>
      <c r="DP327" t="str">
        <f>+IFERROR(VLOOKUP(DP28,IN_Zugliste!$A$4:$F$2002,7,FALSE),"")</f>
        <v/>
      </c>
      <c r="DQ327" t="str">
        <f>+IFERROR(VLOOKUP(DQ28,IN_Zugliste!$A$4:$F$2002,7,FALSE),"")</f>
        <v/>
      </c>
      <c r="DR327" t="str">
        <f>+IFERROR(VLOOKUP(DR28,IN_Zugliste!$A$4:$F$2002,7,FALSE),"")</f>
        <v/>
      </c>
      <c r="DS327" t="str">
        <f>+IFERROR(VLOOKUP(DS28,IN_Zugliste!$A$4:$F$2002,7,FALSE),"")</f>
        <v/>
      </c>
      <c r="DT327" t="str">
        <f>+IFERROR(VLOOKUP(DT28,IN_Zugliste!$A$4:$F$2002,7,FALSE),"")</f>
        <v/>
      </c>
      <c r="DU327" t="str">
        <f>+IFERROR(VLOOKUP(DU28,IN_Zugliste!$A$4:$F$2002,7,FALSE),"")</f>
        <v/>
      </c>
      <c r="DV327" t="str">
        <f>+IFERROR(VLOOKUP(DV28,IN_Zugliste!$A$4:$F$2002,7,FALSE),"")</f>
        <v/>
      </c>
      <c r="DW327" t="str">
        <f>+IFERROR(VLOOKUP(DW28,IN_Zugliste!$A$4:$F$2002,7,FALSE),"")</f>
        <v/>
      </c>
      <c r="DX327" t="str">
        <f>+IFERROR(VLOOKUP(DX28,IN_Zugliste!$A$4:$F$2002,7,FALSE),"")</f>
        <v/>
      </c>
      <c r="DY327" t="str">
        <f>+IFERROR(VLOOKUP(DY28,IN_Zugliste!$A$4:$F$2002,7,FALSE),"")</f>
        <v/>
      </c>
      <c r="DZ327" t="str">
        <f>+IFERROR(VLOOKUP(DZ28,IN_Zugliste!$A$4:$F$2002,7,FALSE),"")</f>
        <v/>
      </c>
      <c r="EA327" t="str">
        <f>+IFERROR(VLOOKUP(EA28,IN_Zugliste!$A$4:$F$2002,7,FALSE),"")</f>
        <v/>
      </c>
      <c r="EB327" t="str">
        <f>+IFERROR(VLOOKUP(EB28,IN_Zugliste!$A$4:$F$2002,7,FALSE),"")</f>
        <v/>
      </c>
      <c r="EC327" t="str">
        <f>+IFERROR(VLOOKUP(EC28,IN_Zugliste!$A$4:$F$2002,7,FALSE),"")</f>
        <v/>
      </c>
      <c r="ED327" t="str">
        <f>+IFERROR(VLOOKUP(ED28,IN_Zugliste!$A$4:$F$2002,7,FALSE),"")</f>
        <v/>
      </c>
      <c r="EE327" t="str">
        <f>+IFERROR(VLOOKUP(EE28,IN_Zugliste!$A$4:$F$2002,7,FALSE),"")</f>
        <v/>
      </c>
      <c r="EF327" t="str">
        <f>+IFERROR(VLOOKUP(EF28,IN_Zugliste!$A$4:$F$2002,7,FALSE),"")</f>
        <v/>
      </c>
      <c r="EG327" t="str">
        <f>+IFERROR(VLOOKUP(EG28,IN_Zugliste!$A$4:$F$2002,7,FALSE),"")</f>
        <v/>
      </c>
      <c r="EH327" t="str">
        <f>+IFERROR(VLOOKUP(EH28,IN_Zugliste!$A$4:$F$2002,7,FALSE),"")</f>
        <v/>
      </c>
      <c r="EI327" t="str">
        <f>+IFERROR(VLOOKUP(EI28,IN_Zugliste!$A$4:$F$2002,7,FALSE),"")</f>
        <v/>
      </c>
      <c r="EJ327" t="str">
        <f>+IFERROR(VLOOKUP(EJ28,IN_Zugliste!$A$4:$F$2002,7,FALSE),"")</f>
        <v/>
      </c>
      <c r="EK327" t="str">
        <f>+IFERROR(VLOOKUP(EK28,IN_Zugliste!$A$4:$F$2002,7,FALSE),"")</f>
        <v/>
      </c>
      <c r="EL327" t="str">
        <f>+IFERROR(VLOOKUP(EL28,IN_Zugliste!$A$4:$F$2002,7,FALSE),"")</f>
        <v/>
      </c>
      <c r="EM327" t="str">
        <f>+IFERROR(VLOOKUP(EM28,IN_Zugliste!$A$4:$F$2002,7,FALSE),"")</f>
        <v/>
      </c>
      <c r="EN327" t="str">
        <f>+IFERROR(VLOOKUP(EN28,IN_Zugliste!$A$4:$F$2002,7,FALSE),"")</f>
        <v/>
      </c>
      <c r="EO327" t="str">
        <f>+IFERROR(VLOOKUP(EO28,IN_Zugliste!$A$4:$F$2002,7,FALSE),"")</f>
        <v/>
      </c>
      <c r="EP327" t="str">
        <f>+IFERROR(VLOOKUP(EP28,IN_Zugliste!$A$4:$F$2002,7,FALSE),"")</f>
        <v/>
      </c>
      <c r="EQ327" t="str">
        <f>+IFERROR(VLOOKUP(EQ28,IN_Zugliste!$A$4:$F$2002,7,FALSE),"")</f>
        <v/>
      </c>
      <c r="ER327" t="str">
        <f>+IFERROR(VLOOKUP(ER28,IN_Zugliste!$A$4:$F$2002,7,FALSE),"")</f>
        <v/>
      </c>
      <c r="ES327" t="str">
        <f>+IFERROR(VLOOKUP(ES28,IN_Zugliste!$A$4:$F$2002,7,FALSE),"")</f>
        <v/>
      </c>
      <c r="ET327" t="str">
        <f>+IFERROR(VLOOKUP(ET28,IN_Zugliste!$A$4:$F$2002,7,FALSE),"")</f>
        <v/>
      </c>
      <c r="EU327" t="str">
        <f>+IFERROR(VLOOKUP(EU28,IN_Zugliste!$A$4:$F$2002,7,FALSE),"")</f>
        <v/>
      </c>
      <c r="EV327" t="str">
        <f>+IFERROR(VLOOKUP(EV28,IN_Zugliste!$A$4:$F$2002,7,FALSE),"")</f>
        <v/>
      </c>
      <c r="EW327" t="str">
        <f>+IFERROR(VLOOKUP(EW28,IN_Zugliste!$A$4:$F$2002,7,FALSE),"")</f>
        <v/>
      </c>
      <c r="EX327" t="str">
        <f>+IFERROR(VLOOKUP(EX28,IN_Zugliste!$A$4:$F$2002,7,FALSE),"")</f>
        <v/>
      </c>
      <c r="EY327" t="str">
        <f>+IFERROR(VLOOKUP(EY28,IN_Zugliste!$A$4:$F$2002,7,FALSE),"")</f>
        <v/>
      </c>
      <c r="EZ327" t="str">
        <f>+IFERROR(VLOOKUP(EZ28,IN_Zugliste!$A$4:$F$2002,7,FALSE),"")</f>
        <v/>
      </c>
      <c r="FA327" t="str">
        <f>+IFERROR(VLOOKUP(FA28,IN_Zugliste!$A$4:$F$2002,7,FALSE),"")</f>
        <v/>
      </c>
      <c r="FB327" t="str">
        <f>+IFERROR(VLOOKUP(FB28,IN_Zugliste!$A$4:$F$2002,7,FALSE),"")</f>
        <v/>
      </c>
      <c r="FC327" t="str">
        <f>+IFERROR(VLOOKUP(FC28,IN_Zugliste!$A$4:$F$2002,7,FALSE),"")</f>
        <v/>
      </c>
      <c r="FD327" t="str">
        <f>+IFERROR(VLOOKUP(FD28,IN_Zugliste!$A$4:$F$2002,7,FALSE),"")</f>
        <v/>
      </c>
      <c r="FE327" t="str">
        <f>+IFERROR(VLOOKUP(FE28,IN_Zugliste!$A$4:$F$2002,7,FALSE),"")</f>
        <v/>
      </c>
      <c r="FF327" t="str">
        <f>+IFERROR(VLOOKUP(FF28,IN_Zugliste!$A$4:$F$2002,7,FALSE),"")</f>
        <v/>
      </c>
      <c r="FG327" t="str">
        <f>+IFERROR(VLOOKUP(FG28,IN_Zugliste!$A$4:$F$2002,7,FALSE),"")</f>
        <v/>
      </c>
      <c r="FH327" t="str">
        <f>+IFERROR(VLOOKUP(FH28,IN_Zugliste!$A$4:$F$2002,7,FALSE),"")</f>
        <v/>
      </c>
      <c r="FI327" t="str">
        <f>+IFERROR(VLOOKUP(FI28,IN_Zugliste!$A$4:$F$2002,7,FALSE),"")</f>
        <v/>
      </c>
      <c r="FJ327" t="str">
        <f>+IFERROR(VLOOKUP(FJ28,IN_Zugliste!$A$4:$F$2002,7,FALSE),"")</f>
        <v/>
      </c>
      <c r="FK327" t="str">
        <f>+IFERROR(VLOOKUP(FK28,IN_Zugliste!$A$4:$F$2002,7,FALSE),"")</f>
        <v/>
      </c>
      <c r="FL327" t="str">
        <f>+IFERROR(VLOOKUP(FL28,IN_Zugliste!$A$4:$F$2002,7,FALSE),"")</f>
        <v/>
      </c>
      <c r="FM327" t="str">
        <f>+IFERROR(VLOOKUP(FM28,IN_Zugliste!$A$4:$F$2002,7,FALSE),"")</f>
        <v/>
      </c>
      <c r="FN327" t="str">
        <f>+IFERROR(VLOOKUP(FN28,IN_Zugliste!$A$4:$F$2002,7,FALSE),"")</f>
        <v/>
      </c>
      <c r="FO327" t="str">
        <f>+IFERROR(VLOOKUP(FO28,IN_Zugliste!$A$4:$F$2002,7,FALSE),"")</f>
        <v/>
      </c>
      <c r="FP327" t="str">
        <f>+IFERROR(VLOOKUP(FP28,IN_Zugliste!$A$4:$F$2002,7,FALSE),"")</f>
        <v/>
      </c>
      <c r="FQ327" t="str">
        <f>+IFERROR(VLOOKUP(FQ28,IN_Zugliste!$A$4:$F$2002,7,FALSE),"")</f>
        <v/>
      </c>
      <c r="FR327" t="str">
        <f>+IFERROR(VLOOKUP(FR28,IN_Zugliste!$A$4:$F$2002,7,FALSE),"")</f>
        <v/>
      </c>
      <c r="FS327" t="str">
        <f>+IFERROR(VLOOKUP(FS28,IN_Zugliste!$A$4:$F$2002,7,FALSE),"")</f>
        <v/>
      </c>
      <c r="FT327" t="str">
        <f>+IFERROR(VLOOKUP(FT28,IN_Zugliste!$A$4:$F$2002,7,FALSE),"")</f>
        <v/>
      </c>
      <c r="FU327" t="str">
        <f>+IFERROR(VLOOKUP(FU28,IN_Zugliste!$A$4:$F$2002,7,FALSE),"")</f>
        <v/>
      </c>
      <c r="FV327" t="str">
        <f>+IFERROR(VLOOKUP(FV28,IN_Zugliste!$A$4:$F$2002,7,FALSE),"")</f>
        <v/>
      </c>
      <c r="FW327" t="str">
        <f>+IFERROR(VLOOKUP(FW28,IN_Zugliste!$A$4:$F$2002,7,FALSE),"")</f>
        <v/>
      </c>
      <c r="FX327" t="str">
        <f>+IFERROR(VLOOKUP(FX28,IN_Zugliste!$A$4:$F$2002,7,FALSE),"")</f>
        <v/>
      </c>
      <c r="FY327" t="str">
        <f>+IFERROR(VLOOKUP(FY28,IN_Zugliste!$A$4:$F$2002,7,FALSE),"")</f>
        <v/>
      </c>
      <c r="FZ327" t="str">
        <f>+IFERROR(VLOOKUP(FZ28,IN_Zugliste!$A$4:$F$2002,7,FALSE),"")</f>
        <v/>
      </c>
      <c r="GA327" t="str">
        <f>+IFERROR(VLOOKUP(GA28,IN_Zugliste!$A$4:$F$2002,7,FALSE),"")</f>
        <v/>
      </c>
      <c r="GB327" t="str">
        <f>+IFERROR(VLOOKUP(GB28,IN_Zugliste!$A$4:$F$2002,7,FALSE),"")</f>
        <v/>
      </c>
      <c r="GC327" t="str">
        <f>+IFERROR(VLOOKUP(GC28,IN_Zugliste!$A$4:$F$2002,7,FALSE),"")</f>
        <v/>
      </c>
      <c r="GD327" t="str">
        <f>+IFERROR(VLOOKUP(GD28,IN_Zugliste!$A$4:$F$2002,7,FALSE),"")</f>
        <v/>
      </c>
      <c r="GE327" t="str">
        <f>+IFERROR(VLOOKUP(GE28,IN_Zugliste!$A$4:$F$2002,7,FALSE),"")</f>
        <v/>
      </c>
      <c r="GF327" t="str">
        <f>+IFERROR(VLOOKUP(GF28,IN_Zugliste!$A$4:$F$2002,7,FALSE),"")</f>
        <v/>
      </c>
      <c r="GG327" t="str">
        <f>+IFERROR(VLOOKUP(GG28,IN_Zugliste!$A$4:$F$2002,7,FALSE),"")</f>
        <v/>
      </c>
      <c r="GH327" t="str">
        <f>+IFERROR(VLOOKUP(GH28,IN_Zugliste!$A$4:$F$2002,7,FALSE),"")</f>
        <v/>
      </c>
      <c r="GI327" t="str">
        <f>+IFERROR(VLOOKUP(GI28,IN_Zugliste!$A$4:$F$2002,7,FALSE),"")</f>
        <v/>
      </c>
      <c r="GJ327" t="str">
        <f>+IFERROR(VLOOKUP(GJ28,IN_Zugliste!$A$4:$F$2002,7,FALSE),"")</f>
        <v/>
      </c>
      <c r="GK327" t="str">
        <f>+IFERROR(VLOOKUP(GK28,IN_Zugliste!$A$4:$F$2002,7,FALSE),"")</f>
        <v/>
      </c>
      <c r="GL327" t="str">
        <f>+IFERROR(VLOOKUP(GL28,IN_Zugliste!$A$4:$F$2002,7,FALSE),"")</f>
        <v/>
      </c>
      <c r="GM327" t="str">
        <f>+IFERROR(VLOOKUP(GM28,IN_Zugliste!$A$4:$F$2002,7,FALSE),"")</f>
        <v/>
      </c>
      <c r="GN327" t="str">
        <f>+IFERROR(VLOOKUP(GN28,IN_Zugliste!$A$4:$F$2002,7,FALSE),"")</f>
        <v/>
      </c>
      <c r="GO327" t="str">
        <f>+IFERROR(VLOOKUP(GO28,IN_Zugliste!$A$4:$F$2002,7,FALSE),"")</f>
        <v/>
      </c>
      <c r="GP327" t="str">
        <f>+IFERROR(VLOOKUP(GP28,IN_Zugliste!$A$4:$F$2002,7,FALSE),"")</f>
        <v/>
      </c>
      <c r="GQ327" t="str">
        <f>+IFERROR(VLOOKUP(GQ28,IN_Zugliste!$A$4:$F$2002,7,FALSE),"")</f>
        <v/>
      </c>
      <c r="GR327" t="str">
        <f>+IFERROR(VLOOKUP(GR28,IN_Zugliste!$A$4:$F$2002,7,FALSE),"")</f>
        <v/>
      </c>
      <c r="GS327" t="str">
        <f>+IFERROR(VLOOKUP(GS28,IN_Zugliste!$A$4:$F$2002,7,FALSE),"")</f>
        <v/>
      </c>
      <c r="GT327" t="str">
        <f>+IFERROR(VLOOKUP(GT28,IN_Zugliste!$A$4:$F$2002,7,FALSE),"")</f>
        <v/>
      </c>
      <c r="GU327" t="str">
        <f>+IFERROR(VLOOKUP(GU28,IN_Zugliste!$A$4:$F$2002,7,FALSE),"")</f>
        <v/>
      </c>
      <c r="GV327" t="str">
        <f>+IFERROR(VLOOKUP(GV28,IN_Zugliste!$A$4:$F$2002,7,FALSE),"")</f>
        <v/>
      </c>
      <c r="GW327" t="str">
        <f>+IFERROR(VLOOKUP(GW28,IN_Zugliste!$A$4:$F$2002,7,FALSE),"")</f>
        <v/>
      </c>
      <c r="GX327" t="str">
        <f>+IFERROR(VLOOKUP(GX28,IN_Zugliste!$A$4:$F$2002,7,FALSE),"")</f>
        <v/>
      </c>
      <c r="GY327" t="str">
        <f>+IFERROR(VLOOKUP(GY28,IN_Zugliste!$A$4:$F$2002,7,FALSE),"")</f>
        <v/>
      </c>
      <c r="GZ327" t="str">
        <f>+IFERROR(VLOOKUP(GZ28,IN_Zugliste!$A$4:$F$2002,7,FALSE),"")</f>
        <v/>
      </c>
      <c r="HA327" t="str">
        <f>+IFERROR(VLOOKUP(HA28,IN_Zugliste!$A$4:$F$2002,7,FALSE),"")</f>
        <v/>
      </c>
      <c r="HB327" t="str">
        <f>+IFERROR(VLOOKUP(HB28,IN_Zugliste!$A$4:$F$2002,7,FALSE),"")</f>
        <v/>
      </c>
      <c r="HC327" t="str">
        <f>+IFERROR(VLOOKUP(HC28,IN_Zugliste!$A$4:$F$2002,7,FALSE),"")</f>
        <v/>
      </c>
      <c r="HD327" t="str">
        <f>+IFERROR(VLOOKUP(HD28,IN_Zugliste!$A$4:$F$2002,7,FALSE),"")</f>
        <v/>
      </c>
      <c r="HE327" t="str">
        <f>+IFERROR(VLOOKUP(HE28,IN_Zugliste!$A$4:$F$2002,7,FALSE),"")</f>
        <v/>
      </c>
      <c r="HF327" t="str">
        <f>+IFERROR(VLOOKUP(HF28,IN_Zugliste!$A$4:$F$2002,7,FALSE),"")</f>
        <v/>
      </c>
      <c r="HG327" t="str">
        <f>+IFERROR(VLOOKUP(HG28,IN_Zugliste!$A$4:$F$2002,7,FALSE),"")</f>
        <v/>
      </c>
      <c r="HH327" t="str">
        <f>+IFERROR(VLOOKUP(HH28,IN_Zugliste!$A$4:$F$2002,7,FALSE),"")</f>
        <v/>
      </c>
      <c r="HI327" t="str">
        <f>+IFERROR(VLOOKUP(HI28,IN_Zugliste!$A$4:$F$2002,7,FALSE),"")</f>
        <v/>
      </c>
      <c r="HJ327" t="str">
        <f>+IFERROR(VLOOKUP(HJ28,IN_Zugliste!$A$4:$F$2002,7,FALSE),"")</f>
        <v/>
      </c>
      <c r="HK327" t="str">
        <f>+IFERROR(VLOOKUP(HK28,IN_Zugliste!$A$4:$F$2002,7,FALSE),"")</f>
        <v/>
      </c>
      <c r="HL327" t="str">
        <f>+IFERROR(VLOOKUP(HL28,IN_Zugliste!$A$4:$F$2002,7,FALSE),"")</f>
        <v/>
      </c>
      <c r="HM327" t="str">
        <f>+IFERROR(VLOOKUP(HM28,IN_Zugliste!$A$4:$F$2002,7,FALSE),"")</f>
        <v/>
      </c>
      <c r="HN327" t="str">
        <f>+IFERROR(VLOOKUP(HN28,IN_Zugliste!$A$4:$F$2002,7,FALSE),"")</f>
        <v/>
      </c>
      <c r="HO327" t="str">
        <f>+IFERROR(VLOOKUP(HO28,IN_Zugliste!$A$4:$F$2002,7,FALSE),"")</f>
        <v/>
      </c>
      <c r="HP327" t="str">
        <f>+IFERROR(VLOOKUP(HP28,IN_Zugliste!$A$4:$F$2002,7,FALSE),"")</f>
        <v/>
      </c>
      <c r="HQ327" t="str">
        <f>+IFERROR(VLOOKUP(HQ28,IN_Zugliste!$A$4:$F$2002,7,FALSE),"")</f>
        <v/>
      </c>
      <c r="HR327" t="str">
        <f>+IFERROR(VLOOKUP(HR28,IN_Zugliste!$A$4:$F$2002,7,FALSE),"")</f>
        <v/>
      </c>
      <c r="HS327" t="str">
        <f>+IFERROR(VLOOKUP(HS28,IN_Zugliste!$A$4:$F$2002,7,FALSE),"")</f>
        <v/>
      </c>
      <c r="HT327" t="str">
        <f>+IFERROR(VLOOKUP(HT28,IN_Zugliste!$A$4:$F$2002,7,FALSE),"")</f>
        <v/>
      </c>
      <c r="HU327" t="str">
        <f>+IFERROR(VLOOKUP(HU28,IN_Zugliste!$A$4:$F$2002,7,FALSE),"")</f>
        <v/>
      </c>
      <c r="HV327" t="str">
        <f>+IFERROR(VLOOKUP(HV28,IN_Zugliste!$A$4:$F$2002,7,FALSE),"")</f>
        <v/>
      </c>
      <c r="HW327" t="str">
        <f>+IFERROR(VLOOKUP(HW28,IN_Zugliste!$A$4:$F$2002,7,FALSE),"")</f>
        <v/>
      </c>
      <c r="HX327" t="str">
        <f>+IFERROR(VLOOKUP(HX28,IN_Zugliste!$A$4:$F$2002,7,FALSE),"")</f>
        <v/>
      </c>
      <c r="HY327" t="str">
        <f>+IFERROR(VLOOKUP(HY28,IN_Zugliste!$A$4:$F$2002,7,FALSE),"")</f>
        <v/>
      </c>
      <c r="HZ327" t="str">
        <f>+IFERROR(VLOOKUP(HZ28,IN_Zugliste!$A$4:$F$2002,7,FALSE),"")</f>
        <v/>
      </c>
      <c r="IA327" t="str">
        <f>+IFERROR(VLOOKUP(IA28,IN_Zugliste!$A$4:$F$2002,7,FALSE),"")</f>
        <v/>
      </c>
      <c r="IB327" t="str">
        <f>+IFERROR(VLOOKUP(IB28,IN_Zugliste!$A$4:$F$2002,7,FALSE),"")</f>
        <v/>
      </c>
      <c r="IC327" t="str">
        <f>+IFERROR(VLOOKUP(IC28,IN_Zugliste!$A$4:$F$2002,7,FALSE),"")</f>
        <v/>
      </c>
      <c r="ID327" t="str">
        <f>+IFERROR(VLOOKUP(ID28,IN_Zugliste!$A$4:$F$2002,7,FALSE),"")</f>
        <v/>
      </c>
      <c r="IE327" t="str">
        <f>+IFERROR(VLOOKUP(IE28,IN_Zugliste!$A$4:$F$2002,7,FALSE),"")</f>
        <v/>
      </c>
      <c r="IF327" t="str">
        <f>+IFERROR(VLOOKUP(IF28,IN_Zugliste!$A$4:$F$2002,7,FALSE),"")</f>
        <v/>
      </c>
      <c r="IG327" t="str">
        <f>+IFERROR(VLOOKUP(IG28,IN_Zugliste!$A$4:$F$2002,7,FALSE),"")</f>
        <v/>
      </c>
      <c r="IH327" t="str">
        <f>+IFERROR(VLOOKUP(IH28,IN_Zugliste!$A$4:$F$2002,7,FALSE),"")</f>
        <v/>
      </c>
      <c r="II327" t="str">
        <f>+IFERROR(VLOOKUP(II28,IN_Zugliste!$A$4:$F$2002,7,FALSE),"")</f>
        <v/>
      </c>
      <c r="IJ327" t="str">
        <f>+IFERROR(VLOOKUP(IJ28,IN_Zugliste!$A$4:$F$2002,7,FALSE),"")</f>
        <v/>
      </c>
      <c r="IK327" t="str">
        <f>+IFERROR(VLOOKUP(IK28,IN_Zugliste!$A$4:$F$2002,7,FALSE),"")</f>
        <v/>
      </c>
      <c r="IL327" t="str">
        <f>+IFERROR(VLOOKUP(IL28,IN_Zugliste!$A$4:$F$2002,7,FALSE),"")</f>
        <v/>
      </c>
      <c r="IM327" t="str">
        <f>+IFERROR(VLOOKUP(IM28,IN_Zugliste!$A$4:$F$2002,7,FALSE),"")</f>
        <v/>
      </c>
      <c r="IN327" t="str">
        <f>+IFERROR(VLOOKUP(IN28,IN_Zugliste!$A$4:$F$2002,7,FALSE),"")</f>
        <v/>
      </c>
      <c r="IO327" t="str">
        <f>+IFERROR(VLOOKUP(IO28,IN_Zugliste!$A$4:$F$2002,7,FALSE),"")</f>
        <v/>
      </c>
      <c r="IP327" t="str">
        <f>+IFERROR(VLOOKUP(IP28,IN_Zugliste!$A$4:$F$2002,7,FALSE),"")</f>
        <v/>
      </c>
      <c r="IQ327" t="str">
        <f>+IFERROR(VLOOKUP(IQ28,IN_Zugliste!$A$4:$F$2002,7,FALSE),"")</f>
        <v/>
      </c>
      <c r="IR327" t="str">
        <f>+IFERROR(VLOOKUP(IR28,IN_Zugliste!$A$4:$F$2002,7,FALSE),"")</f>
        <v/>
      </c>
      <c r="IS327" t="str">
        <f>+IFERROR(VLOOKUP(IS28,IN_Zugliste!$A$4:$F$2002,7,FALSE),"")</f>
        <v/>
      </c>
      <c r="IT327" t="str">
        <f>+IFERROR(VLOOKUP(IT28,IN_Zugliste!$A$4:$F$2002,7,FALSE),"")</f>
        <v/>
      </c>
      <c r="IU327" t="str">
        <f>+IFERROR(VLOOKUP(IU28,IN_Zugliste!$A$4:$F$2002,7,FALSE),"")</f>
        <v/>
      </c>
      <c r="IV327" t="str">
        <f>+IFERROR(VLOOKUP(IV28,IN_Zugliste!$A$4:$F$2002,7,FALSE),"")</f>
        <v/>
      </c>
      <c r="IW327" t="str">
        <f>+IFERROR(VLOOKUP(IW28,IN_Zugliste!$A$4:$F$2002,7,FALSE),"")</f>
        <v/>
      </c>
      <c r="IX327" t="str">
        <f>+IFERROR(VLOOKUP(IX28,IN_Zugliste!$A$4:$F$2002,7,FALSE),"")</f>
        <v/>
      </c>
      <c r="IY327" t="str">
        <f>+IFERROR(VLOOKUP(IY28,IN_Zugliste!$A$4:$F$2002,7,FALSE),"")</f>
        <v/>
      </c>
      <c r="IZ327" t="str">
        <f>+IFERROR(VLOOKUP(IZ28,IN_Zugliste!$A$4:$F$2002,7,FALSE),"")</f>
        <v/>
      </c>
      <c r="JA327" t="str">
        <f>+IFERROR(VLOOKUP(JA28,IN_Zugliste!$A$4:$F$2002,7,FALSE),"")</f>
        <v/>
      </c>
      <c r="JB327" t="str">
        <f>+IFERROR(VLOOKUP(JB28,IN_Zugliste!$A$4:$F$2002,7,FALSE),"")</f>
        <v/>
      </c>
      <c r="JC327" t="str">
        <f>+IFERROR(VLOOKUP(JC28,IN_Zugliste!$A$4:$F$2002,7,FALSE),"")</f>
        <v/>
      </c>
      <c r="JD327" t="str">
        <f>+IFERROR(VLOOKUP(JD28,IN_Zugliste!$A$4:$F$2002,7,FALSE),"")</f>
        <v/>
      </c>
      <c r="JE327" t="str">
        <f>+IFERROR(VLOOKUP(JE28,IN_Zugliste!$A$4:$F$2002,7,FALSE),"")</f>
        <v/>
      </c>
      <c r="JF327" t="str">
        <f>+IFERROR(VLOOKUP(JF28,IN_Zugliste!$A$4:$F$2002,7,FALSE),"")</f>
        <v/>
      </c>
      <c r="JG327" t="str">
        <f>+IFERROR(VLOOKUP(JG28,IN_Zugliste!$A$4:$F$2002,7,FALSE),"")</f>
        <v/>
      </c>
      <c r="JH327" t="str">
        <f>+IFERROR(VLOOKUP(JH28,IN_Zugliste!$A$4:$F$2002,7,FALSE),"")</f>
        <v/>
      </c>
      <c r="JI327" t="str">
        <f>+IFERROR(VLOOKUP(JI28,IN_Zugliste!$A$4:$F$2002,7,FALSE),"")</f>
        <v/>
      </c>
      <c r="JJ327" t="str">
        <f>+IFERROR(VLOOKUP(JJ28,IN_Zugliste!$A$4:$F$2002,7,FALSE),"")</f>
        <v/>
      </c>
    </row>
    <row r="328" spans="1:270" x14ac:dyDescent="0.2">
      <c r="A328" t="str">
        <f>+IFERROR(VLOOKUP(A29,IN_Zugliste!$A$4:$F$2002,7,FALSE),"")</f>
        <v/>
      </c>
      <c r="B328" t="str">
        <f>+IFERROR(VLOOKUP(B29,IN_Zugliste!$A$4:$F$2002,7,FALSE),"")</f>
        <v/>
      </c>
      <c r="C328" t="str">
        <f>+IFERROR(VLOOKUP(C29,IN_Zugliste!$A$4:$F$2002,7,FALSE),"")</f>
        <v/>
      </c>
      <c r="D328" t="str">
        <f>+IFERROR(VLOOKUP(D29,IN_Zugliste!$A$4:$F$2002,7,FALSE),"")</f>
        <v/>
      </c>
      <c r="E328" t="str">
        <f>+IFERROR(VLOOKUP(E29,IN_Zugliste!$A$4:$F$2002,7,FALSE),"")</f>
        <v/>
      </c>
      <c r="F328" t="str">
        <f>+IFERROR(VLOOKUP(F29,IN_Zugliste!$A$4:$F$2002,7,FALSE),"")</f>
        <v/>
      </c>
      <c r="G328" t="str">
        <f>+IFERROR(VLOOKUP(G29,IN_Zugliste!$A$4:$F$2002,7,FALSE),"")</f>
        <v/>
      </c>
      <c r="H328" t="str">
        <f>+IFERROR(VLOOKUP(H29,IN_Zugliste!$A$4:$F$2002,7,FALSE),"")</f>
        <v/>
      </c>
      <c r="I328" t="str">
        <f>+IFERROR(VLOOKUP(I29,IN_Zugliste!$A$4:$F$2002,7,FALSE),"")</f>
        <v/>
      </c>
      <c r="J328" t="str">
        <f>+IFERROR(VLOOKUP(J29,IN_Zugliste!$A$4:$F$2002,7,FALSE),"")</f>
        <v/>
      </c>
      <c r="K328" t="str">
        <f>+IFERROR(VLOOKUP(K29,IN_Zugliste!$A$4:$F$2002,7,FALSE),"")</f>
        <v/>
      </c>
      <c r="L328" t="str">
        <f>+IFERROR(VLOOKUP(L29,IN_Zugliste!$A$4:$F$2002,7,FALSE),"")</f>
        <v/>
      </c>
      <c r="M328" t="str">
        <f>+IFERROR(VLOOKUP(M29,IN_Zugliste!$A$4:$F$2002,7,FALSE),"")</f>
        <v/>
      </c>
      <c r="N328" t="str">
        <f>+IFERROR(VLOOKUP(N29,IN_Zugliste!$A$4:$F$2002,7,FALSE),"")</f>
        <v/>
      </c>
      <c r="O328" t="str">
        <f>+IFERROR(VLOOKUP(O29,IN_Zugliste!$A$4:$F$2002,7,FALSE),"")</f>
        <v/>
      </c>
      <c r="P328" t="str">
        <f>+IFERROR(VLOOKUP(P29,IN_Zugliste!$A$4:$F$2002,7,FALSE),"")</f>
        <v/>
      </c>
      <c r="Q328" t="str">
        <f>+IFERROR(VLOOKUP(Q29,IN_Zugliste!$A$4:$F$2002,7,FALSE),"")</f>
        <v/>
      </c>
      <c r="R328" t="str">
        <f>+IFERROR(VLOOKUP(R29,IN_Zugliste!$A$4:$F$2002,7,FALSE),"")</f>
        <v/>
      </c>
      <c r="S328" t="str">
        <f>+IFERROR(VLOOKUP(S29,IN_Zugliste!$A$4:$F$2002,7,FALSE),"")</f>
        <v/>
      </c>
      <c r="T328" t="str">
        <f>+IFERROR(VLOOKUP(T29,IN_Zugliste!$A$4:$F$2002,7,FALSE),"")</f>
        <v/>
      </c>
      <c r="U328" t="str">
        <f>+IFERROR(VLOOKUP(U29,IN_Zugliste!$A$4:$F$2002,7,FALSE),"")</f>
        <v/>
      </c>
      <c r="V328" t="str">
        <f>+IFERROR(VLOOKUP(V29,IN_Zugliste!$A$4:$F$2002,7,FALSE),"")</f>
        <v/>
      </c>
      <c r="W328" t="str">
        <f>+IFERROR(VLOOKUP(W29,IN_Zugliste!$A$4:$F$2002,7,FALSE),"")</f>
        <v/>
      </c>
      <c r="X328" t="str">
        <f>+IFERROR(VLOOKUP(X29,IN_Zugliste!$A$4:$F$2002,7,FALSE),"")</f>
        <v/>
      </c>
      <c r="Y328" t="str">
        <f>+IFERROR(VLOOKUP(Y29,IN_Zugliste!$A$4:$F$2002,7,FALSE),"")</f>
        <v/>
      </c>
      <c r="Z328" t="str">
        <f>+IFERROR(VLOOKUP(Z29,IN_Zugliste!$A$4:$F$2002,7,FALSE),"")</f>
        <v/>
      </c>
      <c r="AA328" t="str">
        <f>+IFERROR(VLOOKUP(AA29,IN_Zugliste!$A$4:$F$2002,7,FALSE),"")</f>
        <v/>
      </c>
      <c r="AB328" t="str">
        <f>+IFERROR(VLOOKUP(AB29,IN_Zugliste!$A$4:$F$2002,7,FALSE),"")</f>
        <v/>
      </c>
      <c r="AC328" t="str">
        <f>+IFERROR(VLOOKUP(AC29,IN_Zugliste!$A$4:$F$2002,7,FALSE),"")</f>
        <v/>
      </c>
      <c r="AD328" t="str">
        <f>+IFERROR(VLOOKUP(AD29,IN_Zugliste!$A$4:$F$2002,7,FALSE),"")</f>
        <v/>
      </c>
      <c r="AE328" t="str">
        <f>+IFERROR(VLOOKUP(AE29,IN_Zugliste!$A$4:$F$2002,7,FALSE),"")</f>
        <v/>
      </c>
      <c r="AF328" t="str">
        <f>+IFERROR(VLOOKUP(AF29,IN_Zugliste!$A$4:$F$2002,7,FALSE),"")</f>
        <v/>
      </c>
      <c r="AG328" t="str">
        <f>+IFERROR(VLOOKUP(AG29,IN_Zugliste!$A$4:$F$2002,7,FALSE),"")</f>
        <v/>
      </c>
      <c r="AH328" t="str">
        <f>+IFERROR(VLOOKUP(AH29,IN_Zugliste!$A$4:$F$2002,7,FALSE),"")</f>
        <v/>
      </c>
      <c r="AI328" t="str">
        <f>+IFERROR(VLOOKUP(AI29,IN_Zugliste!$A$4:$F$2002,7,FALSE),"")</f>
        <v/>
      </c>
      <c r="AJ328" t="str">
        <f>+IFERROR(VLOOKUP(AJ29,IN_Zugliste!$A$4:$F$2002,7,FALSE),"")</f>
        <v/>
      </c>
      <c r="AK328" t="str">
        <f>+IFERROR(VLOOKUP(AK29,IN_Zugliste!$A$4:$F$2002,7,FALSE),"")</f>
        <v/>
      </c>
      <c r="AL328" t="str">
        <f>+IFERROR(VLOOKUP(AL29,IN_Zugliste!$A$4:$F$2002,7,FALSE),"")</f>
        <v/>
      </c>
      <c r="AM328" t="str">
        <f>+IFERROR(VLOOKUP(AM29,IN_Zugliste!$A$4:$F$2002,7,FALSE),"")</f>
        <v/>
      </c>
      <c r="AN328" t="str">
        <f>+IFERROR(VLOOKUP(AN29,IN_Zugliste!$A$4:$F$2002,7,FALSE),"")</f>
        <v/>
      </c>
      <c r="AO328" t="str">
        <f>+IFERROR(VLOOKUP(AO29,IN_Zugliste!$A$4:$F$2002,7,FALSE),"")</f>
        <v/>
      </c>
      <c r="AP328" t="str">
        <f>+IFERROR(VLOOKUP(AP29,IN_Zugliste!$A$4:$F$2002,7,FALSE),"")</f>
        <v/>
      </c>
      <c r="AQ328" t="str">
        <f>+IFERROR(VLOOKUP(AQ29,IN_Zugliste!$A$4:$F$2002,7,FALSE),"")</f>
        <v/>
      </c>
      <c r="AR328" t="str">
        <f>+IFERROR(VLOOKUP(AR29,IN_Zugliste!$A$4:$F$2002,7,FALSE),"")</f>
        <v/>
      </c>
      <c r="AS328" t="str">
        <f>+IFERROR(VLOOKUP(AS29,IN_Zugliste!$A$4:$F$2002,7,FALSE),"")</f>
        <v/>
      </c>
      <c r="AT328" t="str">
        <f>+IFERROR(VLOOKUP(AT29,IN_Zugliste!$A$4:$F$2002,7,FALSE),"")</f>
        <v/>
      </c>
      <c r="AU328" t="str">
        <f>+IFERROR(VLOOKUP(AU29,IN_Zugliste!$A$4:$F$2002,7,FALSE),"")</f>
        <v/>
      </c>
      <c r="AV328" t="str">
        <f>+IFERROR(VLOOKUP(AV29,IN_Zugliste!$A$4:$F$2002,7,FALSE),"")</f>
        <v/>
      </c>
      <c r="AW328" t="str">
        <f>+IFERROR(VLOOKUP(AW29,IN_Zugliste!$A$4:$F$2002,7,FALSE),"")</f>
        <v/>
      </c>
      <c r="AX328" t="str">
        <f>+IFERROR(VLOOKUP(AX29,IN_Zugliste!$A$4:$F$2002,7,FALSE),"")</f>
        <v/>
      </c>
      <c r="AY328" t="str">
        <f>+IFERROR(VLOOKUP(AY29,IN_Zugliste!$A$4:$F$2002,7,FALSE),"")</f>
        <v/>
      </c>
      <c r="AZ328" t="str">
        <f>+IFERROR(VLOOKUP(AZ29,IN_Zugliste!$A$4:$F$2002,7,FALSE),"")</f>
        <v/>
      </c>
      <c r="BA328" t="str">
        <f>+IFERROR(VLOOKUP(BA29,IN_Zugliste!$A$4:$F$2002,7,FALSE),"")</f>
        <v/>
      </c>
      <c r="BB328" t="str">
        <f>+IFERROR(VLOOKUP(BB29,IN_Zugliste!$A$4:$F$2002,7,FALSE),"")</f>
        <v/>
      </c>
      <c r="BC328" t="str">
        <f>+IFERROR(VLOOKUP(BC29,IN_Zugliste!$A$4:$F$2002,7,FALSE),"")</f>
        <v/>
      </c>
      <c r="BD328" t="str">
        <f>+IFERROR(VLOOKUP(BD29,IN_Zugliste!$A$4:$F$2002,7,FALSE),"")</f>
        <v/>
      </c>
      <c r="BE328" t="str">
        <f>+IFERROR(VLOOKUP(BE29,IN_Zugliste!$A$4:$F$2002,7,FALSE),"")</f>
        <v/>
      </c>
      <c r="BF328" t="str">
        <f>+IFERROR(VLOOKUP(BF29,IN_Zugliste!$A$4:$F$2002,7,FALSE),"")</f>
        <v/>
      </c>
      <c r="BG328" t="str">
        <f>+IFERROR(VLOOKUP(BG29,IN_Zugliste!$A$4:$F$2002,7,FALSE),"")</f>
        <v/>
      </c>
      <c r="BH328" t="str">
        <f>+IFERROR(VLOOKUP(BH29,IN_Zugliste!$A$4:$F$2002,7,FALSE),"")</f>
        <v/>
      </c>
      <c r="BI328" t="str">
        <f>+IFERROR(VLOOKUP(BI29,IN_Zugliste!$A$4:$F$2002,7,FALSE),"")</f>
        <v/>
      </c>
      <c r="BJ328" t="str">
        <f>+IFERROR(VLOOKUP(BJ29,IN_Zugliste!$A$4:$F$2002,7,FALSE),"")</f>
        <v/>
      </c>
      <c r="BK328" t="str">
        <f>+IFERROR(VLOOKUP(BK29,IN_Zugliste!$A$4:$F$2002,7,FALSE),"")</f>
        <v/>
      </c>
      <c r="BL328" t="str">
        <f>+IFERROR(VLOOKUP(BL29,IN_Zugliste!$A$4:$F$2002,7,FALSE),"")</f>
        <v/>
      </c>
      <c r="BM328" t="str">
        <f>+IFERROR(VLOOKUP(BM29,IN_Zugliste!$A$4:$F$2002,7,FALSE),"")</f>
        <v/>
      </c>
      <c r="BN328" t="str">
        <f>+IFERROR(VLOOKUP(BN29,IN_Zugliste!$A$4:$F$2002,7,FALSE),"")</f>
        <v/>
      </c>
      <c r="BO328" t="str">
        <f>+IFERROR(VLOOKUP(BO29,IN_Zugliste!$A$4:$F$2002,7,FALSE),"")</f>
        <v/>
      </c>
      <c r="BP328" t="str">
        <f>+IFERROR(VLOOKUP(BP29,IN_Zugliste!$A$4:$F$2002,7,FALSE),"")</f>
        <v/>
      </c>
      <c r="BQ328" t="str">
        <f>+IFERROR(VLOOKUP(BQ29,IN_Zugliste!$A$4:$F$2002,7,FALSE),"")</f>
        <v/>
      </c>
      <c r="BR328" t="str">
        <f>+IFERROR(VLOOKUP(BR29,IN_Zugliste!$A$4:$F$2002,7,FALSE),"")</f>
        <v/>
      </c>
      <c r="BS328" t="str">
        <f>+IFERROR(VLOOKUP(BS29,IN_Zugliste!$A$4:$F$2002,7,FALSE),"")</f>
        <v/>
      </c>
      <c r="BT328" t="str">
        <f>+IFERROR(VLOOKUP(BT29,IN_Zugliste!$A$4:$F$2002,7,FALSE),"")</f>
        <v/>
      </c>
      <c r="BU328" t="str">
        <f>+IFERROR(VLOOKUP(BU29,IN_Zugliste!$A$4:$F$2002,7,FALSE),"")</f>
        <v/>
      </c>
      <c r="BV328" t="str">
        <f>+IFERROR(VLOOKUP(BV29,IN_Zugliste!$A$4:$F$2002,7,FALSE),"")</f>
        <v/>
      </c>
      <c r="BW328" t="str">
        <f>+IFERROR(VLOOKUP(BW29,IN_Zugliste!$A$4:$F$2002,7,FALSE),"")</f>
        <v/>
      </c>
      <c r="BX328" t="str">
        <f>+IFERROR(VLOOKUP(BX29,IN_Zugliste!$A$4:$F$2002,7,FALSE),"")</f>
        <v/>
      </c>
      <c r="BY328" t="str">
        <f>+IFERROR(VLOOKUP(BY29,IN_Zugliste!$A$4:$F$2002,7,FALSE),"")</f>
        <v/>
      </c>
      <c r="BZ328" t="str">
        <f>+IFERROR(VLOOKUP(BZ29,IN_Zugliste!$A$4:$F$2002,7,FALSE),"")</f>
        <v/>
      </c>
      <c r="CA328" t="str">
        <f>+IFERROR(VLOOKUP(CA29,IN_Zugliste!$A$4:$F$2002,7,FALSE),"")</f>
        <v/>
      </c>
      <c r="CB328" t="str">
        <f>+IFERROR(VLOOKUP(CB29,IN_Zugliste!$A$4:$F$2002,7,FALSE),"")</f>
        <v/>
      </c>
      <c r="CC328" t="str">
        <f>+IFERROR(VLOOKUP(CC29,IN_Zugliste!$A$4:$F$2002,7,FALSE),"")</f>
        <v/>
      </c>
      <c r="CD328" t="str">
        <f>+IFERROR(VLOOKUP(CD29,IN_Zugliste!$A$4:$F$2002,7,FALSE),"")</f>
        <v/>
      </c>
      <c r="CE328" t="str">
        <f>+IFERROR(VLOOKUP(CE29,IN_Zugliste!$A$4:$F$2002,7,FALSE),"")</f>
        <v/>
      </c>
      <c r="CF328" t="str">
        <f>+IFERROR(VLOOKUP(CF29,IN_Zugliste!$A$4:$F$2002,7,FALSE),"")</f>
        <v/>
      </c>
      <c r="CG328" t="str">
        <f>+IFERROR(VLOOKUP(CG29,IN_Zugliste!$A$4:$F$2002,7,FALSE),"")</f>
        <v/>
      </c>
      <c r="CH328" t="str">
        <f>+IFERROR(VLOOKUP(CH29,IN_Zugliste!$A$4:$F$2002,7,FALSE),"")</f>
        <v/>
      </c>
      <c r="CI328" t="str">
        <f>+IFERROR(VLOOKUP(CI29,IN_Zugliste!$A$4:$F$2002,7,FALSE),"")</f>
        <v/>
      </c>
      <c r="CJ328" t="str">
        <f>+IFERROR(VLOOKUP(CJ29,IN_Zugliste!$A$4:$F$2002,7,FALSE),"")</f>
        <v/>
      </c>
      <c r="CK328" t="str">
        <f>+IFERROR(VLOOKUP(CK29,IN_Zugliste!$A$4:$F$2002,7,FALSE),"")</f>
        <v/>
      </c>
      <c r="CL328" t="str">
        <f>+IFERROR(VLOOKUP(CL29,IN_Zugliste!$A$4:$F$2002,7,FALSE),"")</f>
        <v/>
      </c>
      <c r="CM328" t="str">
        <f>+IFERROR(VLOOKUP(CM29,IN_Zugliste!$A$4:$F$2002,7,FALSE),"")</f>
        <v/>
      </c>
      <c r="CN328" t="str">
        <f>+IFERROR(VLOOKUP(CN29,IN_Zugliste!$A$4:$F$2002,7,FALSE),"")</f>
        <v/>
      </c>
      <c r="CO328" t="str">
        <f>+IFERROR(VLOOKUP(CO29,IN_Zugliste!$A$4:$F$2002,7,FALSE),"")</f>
        <v/>
      </c>
      <c r="CP328" t="str">
        <f>+IFERROR(VLOOKUP(CP29,IN_Zugliste!$A$4:$F$2002,7,FALSE),"")</f>
        <v/>
      </c>
      <c r="CQ328" t="str">
        <f>+IFERROR(VLOOKUP(CQ29,IN_Zugliste!$A$4:$F$2002,7,FALSE),"")</f>
        <v/>
      </c>
      <c r="CR328" t="str">
        <f>+IFERROR(VLOOKUP(CR29,IN_Zugliste!$A$4:$F$2002,7,FALSE),"")</f>
        <v/>
      </c>
      <c r="CS328" t="str">
        <f>+IFERROR(VLOOKUP(CS29,IN_Zugliste!$A$4:$F$2002,7,FALSE),"")</f>
        <v/>
      </c>
      <c r="CT328" t="str">
        <f>+IFERROR(VLOOKUP(CT29,IN_Zugliste!$A$4:$F$2002,7,FALSE),"")</f>
        <v/>
      </c>
      <c r="CU328" t="str">
        <f>+IFERROR(VLOOKUP(CU29,IN_Zugliste!$A$4:$F$2002,7,FALSE),"")</f>
        <v/>
      </c>
      <c r="CV328" t="str">
        <f>+IFERROR(VLOOKUP(CV29,IN_Zugliste!$A$4:$F$2002,7,FALSE),"")</f>
        <v/>
      </c>
      <c r="CW328" t="str">
        <f>+IFERROR(VLOOKUP(CW29,IN_Zugliste!$A$4:$F$2002,7,FALSE),"")</f>
        <v/>
      </c>
      <c r="CX328" t="str">
        <f>+IFERROR(VLOOKUP(CX29,IN_Zugliste!$A$4:$F$2002,7,FALSE),"")</f>
        <v/>
      </c>
      <c r="CY328" t="str">
        <f>+IFERROR(VLOOKUP(CY29,IN_Zugliste!$A$4:$F$2002,7,FALSE),"")</f>
        <v/>
      </c>
      <c r="CZ328" t="str">
        <f>+IFERROR(VLOOKUP(CZ29,IN_Zugliste!$A$4:$F$2002,7,FALSE),"")</f>
        <v/>
      </c>
      <c r="DA328" t="str">
        <f>+IFERROR(VLOOKUP(DA29,IN_Zugliste!$A$4:$F$2002,7,FALSE),"")</f>
        <v/>
      </c>
      <c r="DB328" t="str">
        <f>+IFERROR(VLOOKUP(DB29,IN_Zugliste!$A$4:$F$2002,7,FALSE),"")</f>
        <v/>
      </c>
      <c r="DC328" t="str">
        <f>+IFERROR(VLOOKUP(DC29,IN_Zugliste!$A$4:$F$2002,7,FALSE),"")</f>
        <v/>
      </c>
      <c r="DD328" t="str">
        <f>+IFERROR(VLOOKUP(DD29,IN_Zugliste!$A$4:$F$2002,7,FALSE),"")</f>
        <v/>
      </c>
      <c r="DE328" t="str">
        <f>+IFERROR(VLOOKUP(DE29,IN_Zugliste!$A$4:$F$2002,7,FALSE),"")</f>
        <v/>
      </c>
      <c r="DF328" t="str">
        <f>+IFERROR(VLOOKUP(DF29,IN_Zugliste!$A$4:$F$2002,7,FALSE),"")</f>
        <v/>
      </c>
      <c r="DG328" t="str">
        <f>+IFERROR(VLOOKUP(DG29,IN_Zugliste!$A$4:$F$2002,7,FALSE),"")</f>
        <v/>
      </c>
      <c r="DH328" t="str">
        <f>+IFERROR(VLOOKUP(DH29,IN_Zugliste!$A$4:$F$2002,7,FALSE),"")</f>
        <v/>
      </c>
      <c r="DI328" t="str">
        <f>+IFERROR(VLOOKUP(DI29,IN_Zugliste!$A$4:$F$2002,7,FALSE),"")</f>
        <v/>
      </c>
      <c r="DJ328" t="str">
        <f>+IFERROR(VLOOKUP(DJ29,IN_Zugliste!$A$4:$F$2002,7,FALSE),"")</f>
        <v/>
      </c>
      <c r="DK328" t="str">
        <f>+IFERROR(VLOOKUP(DK29,IN_Zugliste!$A$4:$F$2002,7,FALSE),"")</f>
        <v/>
      </c>
      <c r="DL328" t="str">
        <f>+IFERROR(VLOOKUP(DL29,IN_Zugliste!$A$4:$F$2002,7,FALSE),"")</f>
        <v/>
      </c>
      <c r="DM328" t="str">
        <f>+IFERROR(VLOOKUP(DM29,IN_Zugliste!$A$4:$F$2002,7,FALSE),"")</f>
        <v/>
      </c>
      <c r="DN328" t="str">
        <f>+IFERROR(VLOOKUP(DN29,IN_Zugliste!$A$4:$F$2002,7,FALSE),"")</f>
        <v/>
      </c>
      <c r="DO328" t="str">
        <f>+IFERROR(VLOOKUP(DO29,IN_Zugliste!$A$4:$F$2002,7,FALSE),"")</f>
        <v/>
      </c>
      <c r="DP328" t="str">
        <f>+IFERROR(VLOOKUP(DP29,IN_Zugliste!$A$4:$F$2002,7,FALSE),"")</f>
        <v/>
      </c>
      <c r="DQ328" t="str">
        <f>+IFERROR(VLOOKUP(DQ29,IN_Zugliste!$A$4:$F$2002,7,FALSE),"")</f>
        <v/>
      </c>
      <c r="DR328" t="str">
        <f>+IFERROR(VLOOKUP(DR29,IN_Zugliste!$A$4:$F$2002,7,FALSE),"")</f>
        <v/>
      </c>
      <c r="DS328" t="str">
        <f>+IFERROR(VLOOKUP(DS29,IN_Zugliste!$A$4:$F$2002,7,FALSE),"")</f>
        <v/>
      </c>
      <c r="DT328" t="str">
        <f>+IFERROR(VLOOKUP(DT29,IN_Zugliste!$A$4:$F$2002,7,FALSE),"")</f>
        <v/>
      </c>
      <c r="DU328" t="str">
        <f>+IFERROR(VLOOKUP(DU29,IN_Zugliste!$A$4:$F$2002,7,FALSE),"")</f>
        <v/>
      </c>
      <c r="DV328" t="str">
        <f>+IFERROR(VLOOKUP(DV29,IN_Zugliste!$A$4:$F$2002,7,FALSE),"")</f>
        <v/>
      </c>
      <c r="DW328" t="str">
        <f>+IFERROR(VLOOKUP(DW29,IN_Zugliste!$A$4:$F$2002,7,FALSE),"")</f>
        <v/>
      </c>
      <c r="DX328" t="str">
        <f>+IFERROR(VLOOKUP(DX29,IN_Zugliste!$A$4:$F$2002,7,FALSE),"")</f>
        <v/>
      </c>
      <c r="DY328" t="str">
        <f>+IFERROR(VLOOKUP(DY29,IN_Zugliste!$A$4:$F$2002,7,FALSE),"")</f>
        <v/>
      </c>
      <c r="DZ328" t="str">
        <f>+IFERROR(VLOOKUP(DZ29,IN_Zugliste!$A$4:$F$2002,7,FALSE),"")</f>
        <v/>
      </c>
      <c r="EA328" t="str">
        <f>+IFERROR(VLOOKUP(EA29,IN_Zugliste!$A$4:$F$2002,7,FALSE),"")</f>
        <v/>
      </c>
      <c r="EB328" t="str">
        <f>+IFERROR(VLOOKUP(EB29,IN_Zugliste!$A$4:$F$2002,7,FALSE),"")</f>
        <v/>
      </c>
      <c r="EC328" t="str">
        <f>+IFERROR(VLOOKUP(EC29,IN_Zugliste!$A$4:$F$2002,7,FALSE),"")</f>
        <v/>
      </c>
      <c r="ED328" t="str">
        <f>+IFERROR(VLOOKUP(ED29,IN_Zugliste!$A$4:$F$2002,7,FALSE),"")</f>
        <v/>
      </c>
      <c r="EE328" t="str">
        <f>+IFERROR(VLOOKUP(EE29,IN_Zugliste!$A$4:$F$2002,7,FALSE),"")</f>
        <v/>
      </c>
      <c r="EF328" t="str">
        <f>+IFERROR(VLOOKUP(EF29,IN_Zugliste!$A$4:$F$2002,7,FALSE),"")</f>
        <v/>
      </c>
      <c r="EG328" t="str">
        <f>+IFERROR(VLOOKUP(EG29,IN_Zugliste!$A$4:$F$2002,7,FALSE),"")</f>
        <v/>
      </c>
      <c r="EH328" t="str">
        <f>+IFERROR(VLOOKUP(EH29,IN_Zugliste!$A$4:$F$2002,7,FALSE),"")</f>
        <v/>
      </c>
      <c r="EI328" t="str">
        <f>+IFERROR(VLOOKUP(EI29,IN_Zugliste!$A$4:$F$2002,7,FALSE),"")</f>
        <v/>
      </c>
      <c r="EJ328" t="str">
        <f>+IFERROR(VLOOKUP(EJ29,IN_Zugliste!$A$4:$F$2002,7,FALSE),"")</f>
        <v/>
      </c>
      <c r="EK328" t="str">
        <f>+IFERROR(VLOOKUP(EK29,IN_Zugliste!$A$4:$F$2002,7,FALSE),"")</f>
        <v/>
      </c>
      <c r="EL328" t="str">
        <f>+IFERROR(VLOOKUP(EL29,IN_Zugliste!$A$4:$F$2002,7,FALSE),"")</f>
        <v/>
      </c>
      <c r="EM328" t="str">
        <f>+IFERROR(VLOOKUP(EM29,IN_Zugliste!$A$4:$F$2002,7,FALSE),"")</f>
        <v/>
      </c>
      <c r="EN328" t="str">
        <f>+IFERROR(VLOOKUP(EN29,IN_Zugliste!$A$4:$F$2002,7,FALSE),"")</f>
        <v/>
      </c>
      <c r="EO328" t="str">
        <f>+IFERROR(VLOOKUP(EO29,IN_Zugliste!$A$4:$F$2002,7,FALSE),"")</f>
        <v/>
      </c>
      <c r="EP328" t="str">
        <f>+IFERROR(VLOOKUP(EP29,IN_Zugliste!$A$4:$F$2002,7,FALSE),"")</f>
        <v/>
      </c>
      <c r="EQ328" t="str">
        <f>+IFERROR(VLOOKUP(EQ29,IN_Zugliste!$A$4:$F$2002,7,FALSE),"")</f>
        <v/>
      </c>
      <c r="ER328" t="str">
        <f>+IFERROR(VLOOKUP(ER29,IN_Zugliste!$A$4:$F$2002,7,FALSE),"")</f>
        <v/>
      </c>
      <c r="ES328" t="str">
        <f>+IFERROR(VLOOKUP(ES29,IN_Zugliste!$A$4:$F$2002,7,FALSE),"")</f>
        <v/>
      </c>
      <c r="ET328" t="str">
        <f>+IFERROR(VLOOKUP(ET29,IN_Zugliste!$A$4:$F$2002,7,FALSE),"")</f>
        <v/>
      </c>
      <c r="EU328" t="str">
        <f>+IFERROR(VLOOKUP(EU29,IN_Zugliste!$A$4:$F$2002,7,FALSE),"")</f>
        <v/>
      </c>
      <c r="EV328" t="str">
        <f>+IFERROR(VLOOKUP(EV29,IN_Zugliste!$A$4:$F$2002,7,FALSE),"")</f>
        <v/>
      </c>
      <c r="EW328" t="str">
        <f>+IFERROR(VLOOKUP(EW29,IN_Zugliste!$A$4:$F$2002,7,FALSE),"")</f>
        <v/>
      </c>
      <c r="EX328" t="str">
        <f>+IFERROR(VLOOKUP(EX29,IN_Zugliste!$A$4:$F$2002,7,FALSE),"")</f>
        <v/>
      </c>
      <c r="EY328" t="str">
        <f>+IFERROR(VLOOKUP(EY29,IN_Zugliste!$A$4:$F$2002,7,FALSE),"")</f>
        <v/>
      </c>
      <c r="EZ328" t="str">
        <f>+IFERROR(VLOOKUP(EZ29,IN_Zugliste!$A$4:$F$2002,7,FALSE),"")</f>
        <v/>
      </c>
      <c r="FA328" t="str">
        <f>+IFERROR(VLOOKUP(FA29,IN_Zugliste!$A$4:$F$2002,7,FALSE),"")</f>
        <v/>
      </c>
      <c r="FB328" t="str">
        <f>+IFERROR(VLOOKUP(FB29,IN_Zugliste!$A$4:$F$2002,7,FALSE),"")</f>
        <v/>
      </c>
      <c r="FC328" t="str">
        <f>+IFERROR(VLOOKUP(FC29,IN_Zugliste!$A$4:$F$2002,7,FALSE),"")</f>
        <v/>
      </c>
      <c r="FD328" t="str">
        <f>+IFERROR(VLOOKUP(FD29,IN_Zugliste!$A$4:$F$2002,7,FALSE),"")</f>
        <v/>
      </c>
      <c r="FE328" t="str">
        <f>+IFERROR(VLOOKUP(FE29,IN_Zugliste!$A$4:$F$2002,7,FALSE),"")</f>
        <v/>
      </c>
      <c r="FF328" t="str">
        <f>+IFERROR(VLOOKUP(FF29,IN_Zugliste!$A$4:$F$2002,7,FALSE),"")</f>
        <v/>
      </c>
      <c r="FG328" t="str">
        <f>+IFERROR(VLOOKUP(FG29,IN_Zugliste!$A$4:$F$2002,7,FALSE),"")</f>
        <v/>
      </c>
      <c r="FH328" t="str">
        <f>+IFERROR(VLOOKUP(FH29,IN_Zugliste!$A$4:$F$2002,7,FALSE),"")</f>
        <v/>
      </c>
      <c r="FI328" t="str">
        <f>+IFERROR(VLOOKUP(FI29,IN_Zugliste!$A$4:$F$2002,7,FALSE),"")</f>
        <v/>
      </c>
      <c r="FJ328" t="str">
        <f>+IFERROR(VLOOKUP(FJ29,IN_Zugliste!$A$4:$F$2002,7,FALSE),"")</f>
        <v/>
      </c>
      <c r="FK328" t="str">
        <f>+IFERROR(VLOOKUP(FK29,IN_Zugliste!$A$4:$F$2002,7,FALSE),"")</f>
        <v/>
      </c>
      <c r="FL328" t="str">
        <f>+IFERROR(VLOOKUP(FL29,IN_Zugliste!$A$4:$F$2002,7,FALSE),"")</f>
        <v/>
      </c>
      <c r="FM328" t="str">
        <f>+IFERROR(VLOOKUP(FM29,IN_Zugliste!$A$4:$F$2002,7,FALSE),"")</f>
        <v/>
      </c>
      <c r="FN328" t="str">
        <f>+IFERROR(VLOOKUP(FN29,IN_Zugliste!$A$4:$F$2002,7,FALSE),"")</f>
        <v/>
      </c>
      <c r="FO328" t="str">
        <f>+IFERROR(VLOOKUP(FO29,IN_Zugliste!$A$4:$F$2002,7,FALSE),"")</f>
        <v/>
      </c>
      <c r="FP328" t="str">
        <f>+IFERROR(VLOOKUP(FP29,IN_Zugliste!$A$4:$F$2002,7,FALSE),"")</f>
        <v/>
      </c>
      <c r="FQ328" t="str">
        <f>+IFERROR(VLOOKUP(FQ29,IN_Zugliste!$A$4:$F$2002,7,FALSE),"")</f>
        <v/>
      </c>
      <c r="FR328" t="str">
        <f>+IFERROR(VLOOKUP(FR29,IN_Zugliste!$A$4:$F$2002,7,FALSE),"")</f>
        <v/>
      </c>
      <c r="FS328" t="str">
        <f>+IFERROR(VLOOKUP(FS29,IN_Zugliste!$A$4:$F$2002,7,FALSE),"")</f>
        <v/>
      </c>
      <c r="FT328" t="str">
        <f>+IFERROR(VLOOKUP(FT29,IN_Zugliste!$A$4:$F$2002,7,FALSE),"")</f>
        <v/>
      </c>
      <c r="FU328" t="str">
        <f>+IFERROR(VLOOKUP(FU29,IN_Zugliste!$A$4:$F$2002,7,FALSE),"")</f>
        <v/>
      </c>
      <c r="FV328" t="str">
        <f>+IFERROR(VLOOKUP(FV29,IN_Zugliste!$A$4:$F$2002,7,FALSE),"")</f>
        <v/>
      </c>
      <c r="FW328" t="str">
        <f>+IFERROR(VLOOKUP(FW29,IN_Zugliste!$A$4:$F$2002,7,FALSE),"")</f>
        <v/>
      </c>
      <c r="FX328" t="str">
        <f>+IFERROR(VLOOKUP(FX29,IN_Zugliste!$A$4:$F$2002,7,FALSE),"")</f>
        <v/>
      </c>
      <c r="FY328" t="str">
        <f>+IFERROR(VLOOKUP(FY29,IN_Zugliste!$A$4:$F$2002,7,FALSE),"")</f>
        <v/>
      </c>
      <c r="FZ328" t="str">
        <f>+IFERROR(VLOOKUP(FZ29,IN_Zugliste!$A$4:$F$2002,7,FALSE),"")</f>
        <v/>
      </c>
      <c r="GA328" t="str">
        <f>+IFERROR(VLOOKUP(GA29,IN_Zugliste!$A$4:$F$2002,7,FALSE),"")</f>
        <v/>
      </c>
      <c r="GB328" t="str">
        <f>+IFERROR(VLOOKUP(GB29,IN_Zugliste!$A$4:$F$2002,7,FALSE),"")</f>
        <v/>
      </c>
      <c r="GC328" t="str">
        <f>+IFERROR(VLOOKUP(GC29,IN_Zugliste!$A$4:$F$2002,7,FALSE),"")</f>
        <v/>
      </c>
      <c r="GD328" t="str">
        <f>+IFERROR(VLOOKUP(GD29,IN_Zugliste!$A$4:$F$2002,7,FALSE),"")</f>
        <v/>
      </c>
      <c r="GE328" t="str">
        <f>+IFERROR(VLOOKUP(GE29,IN_Zugliste!$A$4:$F$2002,7,FALSE),"")</f>
        <v/>
      </c>
      <c r="GF328" t="str">
        <f>+IFERROR(VLOOKUP(GF29,IN_Zugliste!$A$4:$F$2002,7,FALSE),"")</f>
        <v/>
      </c>
      <c r="GG328" t="str">
        <f>+IFERROR(VLOOKUP(GG29,IN_Zugliste!$A$4:$F$2002,7,FALSE),"")</f>
        <v/>
      </c>
      <c r="GH328" t="str">
        <f>+IFERROR(VLOOKUP(GH29,IN_Zugliste!$A$4:$F$2002,7,FALSE),"")</f>
        <v/>
      </c>
      <c r="GI328" t="str">
        <f>+IFERROR(VLOOKUP(GI29,IN_Zugliste!$A$4:$F$2002,7,FALSE),"")</f>
        <v/>
      </c>
      <c r="GJ328" t="str">
        <f>+IFERROR(VLOOKUP(GJ29,IN_Zugliste!$A$4:$F$2002,7,FALSE),"")</f>
        <v/>
      </c>
      <c r="GK328" t="str">
        <f>+IFERROR(VLOOKUP(GK29,IN_Zugliste!$A$4:$F$2002,7,FALSE),"")</f>
        <v/>
      </c>
      <c r="GL328" t="str">
        <f>+IFERROR(VLOOKUP(GL29,IN_Zugliste!$A$4:$F$2002,7,FALSE),"")</f>
        <v/>
      </c>
      <c r="GM328" t="str">
        <f>+IFERROR(VLOOKUP(GM29,IN_Zugliste!$A$4:$F$2002,7,FALSE),"")</f>
        <v/>
      </c>
      <c r="GN328" t="str">
        <f>+IFERROR(VLOOKUP(GN29,IN_Zugliste!$A$4:$F$2002,7,FALSE),"")</f>
        <v/>
      </c>
      <c r="GO328" t="str">
        <f>+IFERROR(VLOOKUP(GO29,IN_Zugliste!$A$4:$F$2002,7,FALSE),"")</f>
        <v/>
      </c>
      <c r="GP328" t="str">
        <f>+IFERROR(VLOOKUP(GP29,IN_Zugliste!$A$4:$F$2002,7,FALSE),"")</f>
        <v/>
      </c>
      <c r="GQ328" t="str">
        <f>+IFERROR(VLOOKUP(GQ29,IN_Zugliste!$A$4:$F$2002,7,FALSE),"")</f>
        <v/>
      </c>
      <c r="GR328" t="str">
        <f>+IFERROR(VLOOKUP(GR29,IN_Zugliste!$A$4:$F$2002,7,FALSE),"")</f>
        <v/>
      </c>
      <c r="GS328" t="str">
        <f>+IFERROR(VLOOKUP(GS29,IN_Zugliste!$A$4:$F$2002,7,FALSE),"")</f>
        <v/>
      </c>
      <c r="GT328" t="str">
        <f>+IFERROR(VLOOKUP(GT29,IN_Zugliste!$A$4:$F$2002,7,FALSE),"")</f>
        <v/>
      </c>
      <c r="GU328" t="str">
        <f>+IFERROR(VLOOKUP(GU29,IN_Zugliste!$A$4:$F$2002,7,FALSE),"")</f>
        <v/>
      </c>
      <c r="GV328" t="str">
        <f>+IFERROR(VLOOKUP(GV29,IN_Zugliste!$A$4:$F$2002,7,FALSE),"")</f>
        <v/>
      </c>
      <c r="GW328" t="str">
        <f>+IFERROR(VLOOKUP(GW29,IN_Zugliste!$A$4:$F$2002,7,FALSE),"")</f>
        <v/>
      </c>
      <c r="GX328" t="str">
        <f>+IFERROR(VLOOKUP(GX29,IN_Zugliste!$A$4:$F$2002,7,FALSE),"")</f>
        <v/>
      </c>
      <c r="GY328" t="str">
        <f>+IFERROR(VLOOKUP(GY29,IN_Zugliste!$A$4:$F$2002,7,FALSE),"")</f>
        <v/>
      </c>
      <c r="GZ328" t="str">
        <f>+IFERROR(VLOOKUP(GZ29,IN_Zugliste!$A$4:$F$2002,7,FALSE),"")</f>
        <v/>
      </c>
      <c r="HA328" t="str">
        <f>+IFERROR(VLOOKUP(HA29,IN_Zugliste!$A$4:$F$2002,7,FALSE),"")</f>
        <v/>
      </c>
      <c r="HB328" t="str">
        <f>+IFERROR(VLOOKUP(HB29,IN_Zugliste!$A$4:$F$2002,7,FALSE),"")</f>
        <v/>
      </c>
      <c r="HC328" t="str">
        <f>+IFERROR(VLOOKUP(HC29,IN_Zugliste!$A$4:$F$2002,7,FALSE),"")</f>
        <v/>
      </c>
      <c r="HD328" t="str">
        <f>+IFERROR(VLOOKUP(HD29,IN_Zugliste!$A$4:$F$2002,7,FALSE),"")</f>
        <v/>
      </c>
      <c r="HE328" t="str">
        <f>+IFERROR(VLOOKUP(HE29,IN_Zugliste!$A$4:$F$2002,7,FALSE),"")</f>
        <v/>
      </c>
      <c r="HF328" t="str">
        <f>+IFERROR(VLOOKUP(HF29,IN_Zugliste!$A$4:$F$2002,7,FALSE),"")</f>
        <v/>
      </c>
      <c r="HG328" t="str">
        <f>+IFERROR(VLOOKUP(HG29,IN_Zugliste!$A$4:$F$2002,7,FALSE),"")</f>
        <v/>
      </c>
      <c r="HH328" t="str">
        <f>+IFERROR(VLOOKUP(HH29,IN_Zugliste!$A$4:$F$2002,7,FALSE),"")</f>
        <v/>
      </c>
      <c r="HI328" t="str">
        <f>+IFERROR(VLOOKUP(HI29,IN_Zugliste!$A$4:$F$2002,7,FALSE),"")</f>
        <v/>
      </c>
      <c r="HJ328" t="str">
        <f>+IFERROR(VLOOKUP(HJ29,IN_Zugliste!$A$4:$F$2002,7,FALSE),"")</f>
        <v/>
      </c>
      <c r="HK328" t="str">
        <f>+IFERROR(VLOOKUP(HK29,IN_Zugliste!$A$4:$F$2002,7,FALSE),"")</f>
        <v/>
      </c>
      <c r="HL328" t="str">
        <f>+IFERROR(VLOOKUP(HL29,IN_Zugliste!$A$4:$F$2002,7,FALSE),"")</f>
        <v/>
      </c>
      <c r="HM328" t="str">
        <f>+IFERROR(VLOOKUP(HM29,IN_Zugliste!$A$4:$F$2002,7,FALSE),"")</f>
        <v/>
      </c>
      <c r="HN328" t="str">
        <f>+IFERROR(VLOOKUP(HN29,IN_Zugliste!$A$4:$F$2002,7,FALSE),"")</f>
        <v/>
      </c>
      <c r="HO328" t="str">
        <f>+IFERROR(VLOOKUP(HO29,IN_Zugliste!$A$4:$F$2002,7,FALSE),"")</f>
        <v/>
      </c>
      <c r="HP328" t="str">
        <f>+IFERROR(VLOOKUP(HP29,IN_Zugliste!$A$4:$F$2002,7,FALSE),"")</f>
        <v/>
      </c>
      <c r="HQ328" t="str">
        <f>+IFERROR(VLOOKUP(HQ29,IN_Zugliste!$A$4:$F$2002,7,FALSE),"")</f>
        <v/>
      </c>
      <c r="HR328" t="str">
        <f>+IFERROR(VLOOKUP(HR29,IN_Zugliste!$A$4:$F$2002,7,FALSE),"")</f>
        <v/>
      </c>
      <c r="HS328" t="str">
        <f>+IFERROR(VLOOKUP(HS29,IN_Zugliste!$A$4:$F$2002,7,FALSE),"")</f>
        <v/>
      </c>
      <c r="HT328" t="str">
        <f>+IFERROR(VLOOKUP(HT29,IN_Zugliste!$A$4:$F$2002,7,FALSE),"")</f>
        <v/>
      </c>
      <c r="HU328" t="str">
        <f>+IFERROR(VLOOKUP(HU29,IN_Zugliste!$A$4:$F$2002,7,FALSE),"")</f>
        <v/>
      </c>
      <c r="HV328" t="str">
        <f>+IFERROR(VLOOKUP(HV29,IN_Zugliste!$A$4:$F$2002,7,FALSE),"")</f>
        <v/>
      </c>
      <c r="HW328" t="str">
        <f>+IFERROR(VLOOKUP(HW29,IN_Zugliste!$A$4:$F$2002,7,FALSE),"")</f>
        <v/>
      </c>
      <c r="HX328" t="str">
        <f>+IFERROR(VLOOKUP(HX29,IN_Zugliste!$A$4:$F$2002,7,FALSE),"")</f>
        <v/>
      </c>
      <c r="HY328" t="str">
        <f>+IFERROR(VLOOKUP(HY29,IN_Zugliste!$A$4:$F$2002,7,FALSE),"")</f>
        <v/>
      </c>
      <c r="HZ328" t="str">
        <f>+IFERROR(VLOOKUP(HZ29,IN_Zugliste!$A$4:$F$2002,7,FALSE),"")</f>
        <v/>
      </c>
      <c r="IA328" t="str">
        <f>+IFERROR(VLOOKUP(IA29,IN_Zugliste!$A$4:$F$2002,7,FALSE),"")</f>
        <v/>
      </c>
      <c r="IB328" t="str">
        <f>+IFERROR(VLOOKUP(IB29,IN_Zugliste!$A$4:$F$2002,7,FALSE),"")</f>
        <v/>
      </c>
      <c r="IC328" t="str">
        <f>+IFERROR(VLOOKUP(IC29,IN_Zugliste!$A$4:$F$2002,7,FALSE),"")</f>
        <v/>
      </c>
      <c r="ID328" t="str">
        <f>+IFERROR(VLOOKUP(ID29,IN_Zugliste!$A$4:$F$2002,7,FALSE),"")</f>
        <v/>
      </c>
      <c r="IE328" t="str">
        <f>+IFERROR(VLOOKUP(IE29,IN_Zugliste!$A$4:$F$2002,7,FALSE),"")</f>
        <v/>
      </c>
      <c r="IF328" t="str">
        <f>+IFERROR(VLOOKUP(IF29,IN_Zugliste!$A$4:$F$2002,7,FALSE),"")</f>
        <v/>
      </c>
      <c r="IG328" t="str">
        <f>+IFERROR(VLOOKUP(IG29,IN_Zugliste!$A$4:$F$2002,7,FALSE),"")</f>
        <v/>
      </c>
      <c r="IH328" t="str">
        <f>+IFERROR(VLOOKUP(IH29,IN_Zugliste!$A$4:$F$2002,7,FALSE),"")</f>
        <v/>
      </c>
      <c r="II328" t="str">
        <f>+IFERROR(VLOOKUP(II29,IN_Zugliste!$A$4:$F$2002,7,FALSE),"")</f>
        <v/>
      </c>
      <c r="IJ328" t="str">
        <f>+IFERROR(VLOOKUP(IJ29,IN_Zugliste!$A$4:$F$2002,7,FALSE),"")</f>
        <v/>
      </c>
      <c r="IK328" t="str">
        <f>+IFERROR(VLOOKUP(IK29,IN_Zugliste!$A$4:$F$2002,7,FALSE),"")</f>
        <v/>
      </c>
      <c r="IL328" t="str">
        <f>+IFERROR(VLOOKUP(IL29,IN_Zugliste!$A$4:$F$2002,7,FALSE),"")</f>
        <v/>
      </c>
      <c r="IM328" t="str">
        <f>+IFERROR(VLOOKUP(IM29,IN_Zugliste!$A$4:$F$2002,7,FALSE),"")</f>
        <v/>
      </c>
      <c r="IN328" t="str">
        <f>+IFERROR(VLOOKUP(IN29,IN_Zugliste!$A$4:$F$2002,7,FALSE),"")</f>
        <v/>
      </c>
      <c r="IO328" t="str">
        <f>+IFERROR(VLOOKUP(IO29,IN_Zugliste!$A$4:$F$2002,7,FALSE),"")</f>
        <v/>
      </c>
      <c r="IP328" t="str">
        <f>+IFERROR(VLOOKUP(IP29,IN_Zugliste!$A$4:$F$2002,7,FALSE),"")</f>
        <v/>
      </c>
      <c r="IQ328" t="str">
        <f>+IFERROR(VLOOKUP(IQ29,IN_Zugliste!$A$4:$F$2002,7,FALSE),"")</f>
        <v/>
      </c>
      <c r="IR328" t="str">
        <f>+IFERROR(VLOOKUP(IR29,IN_Zugliste!$A$4:$F$2002,7,FALSE),"")</f>
        <v/>
      </c>
      <c r="IS328" t="str">
        <f>+IFERROR(VLOOKUP(IS29,IN_Zugliste!$A$4:$F$2002,7,FALSE),"")</f>
        <v/>
      </c>
      <c r="IT328" t="str">
        <f>+IFERROR(VLOOKUP(IT29,IN_Zugliste!$A$4:$F$2002,7,FALSE),"")</f>
        <v/>
      </c>
      <c r="IU328" t="str">
        <f>+IFERROR(VLOOKUP(IU29,IN_Zugliste!$A$4:$F$2002,7,FALSE),"")</f>
        <v/>
      </c>
      <c r="IV328" t="str">
        <f>+IFERROR(VLOOKUP(IV29,IN_Zugliste!$A$4:$F$2002,7,FALSE),"")</f>
        <v/>
      </c>
      <c r="IW328" t="str">
        <f>+IFERROR(VLOOKUP(IW29,IN_Zugliste!$A$4:$F$2002,7,FALSE),"")</f>
        <v/>
      </c>
      <c r="IX328" t="str">
        <f>+IFERROR(VLOOKUP(IX29,IN_Zugliste!$A$4:$F$2002,7,FALSE),"")</f>
        <v/>
      </c>
      <c r="IY328" t="str">
        <f>+IFERROR(VLOOKUP(IY29,IN_Zugliste!$A$4:$F$2002,7,FALSE),"")</f>
        <v/>
      </c>
      <c r="IZ328" t="str">
        <f>+IFERROR(VLOOKUP(IZ29,IN_Zugliste!$A$4:$F$2002,7,FALSE),"")</f>
        <v/>
      </c>
      <c r="JA328" t="str">
        <f>+IFERROR(VLOOKUP(JA29,IN_Zugliste!$A$4:$F$2002,7,FALSE),"")</f>
        <v/>
      </c>
      <c r="JB328" t="str">
        <f>+IFERROR(VLOOKUP(JB29,IN_Zugliste!$A$4:$F$2002,7,FALSE),"")</f>
        <v/>
      </c>
      <c r="JC328" t="str">
        <f>+IFERROR(VLOOKUP(JC29,IN_Zugliste!$A$4:$F$2002,7,FALSE),"")</f>
        <v/>
      </c>
      <c r="JD328" t="str">
        <f>+IFERROR(VLOOKUP(JD29,IN_Zugliste!$A$4:$F$2002,7,FALSE),"")</f>
        <v/>
      </c>
      <c r="JE328" t="str">
        <f>+IFERROR(VLOOKUP(JE29,IN_Zugliste!$A$4:$F$2002,7,FALSE),"")</f>
        <v/>
      </c>
      <c r="JF328" t="str">
        <f>+IFERROR(VLOOKUP(JF29,IN_Zugliste!$A$4:$F$2002,7,FALSE),"")</f>
        <v/>
      </c>
      <c r="JG328" t="str">
        <f>+IFERROR(VLOOKUP(JG29,IN_Zugliste!$A$4:$F$2002,7,FALSE),"")</f>
        <v/>
      </c>
      <c r="JH328" t="str">
        <f>+IFERROR(VLOOKUP(JH29,IN_Zugliste!$A$4:$F$2002,7,FALSE),"")</f>
        <v/>
      </c>
      <c r="JI328" t="str">
        <f>+IFERROR(VLOOKUP(JI29,IN_Zugliste!$A$4:$F$2002,7,FALSE),"")</f>
        <v/>
      </c>
      <c r="JJ328" t="str">
        <f>+IFERROR(VLOOKUP(JJ29,IN_Zugliste!$A$4:$F$2002,7,FALSE),"")</f>
        <v/>
      </c>
    </row>
    <row r="329" spans="1:270" x14ac:dyDescent="0.2">
      <c r="A329" t="str">
        <f>+IFERROR(VLOOKUP(A30,IN_Zugliste!$A$4:$F$2002,7,FALSE),"")</f>
        <v/>
      </c>
      <c r="B329" t="str">
        <f>+IFERROR(VLOOKUP(B30,IN_Zugliste!$A$4:$F$2002,7,FALSE),"")</f>
        <v/>
      </c>
      <c r="C329" t="str">
        <f>+IFERROR(VLOOKUP(C30,IN_Zugliste!$A$4:$F$2002,7,FALSE),"")</f>
        <v/>
      </c>
      <c r="D329" t="str">
        <f>+IFERROR(VLOOKUP(D30,IN_Zugliste!$A$4:$F$2002,7,FALSE),"")</f>
        <v/>
      </c>
      <c r="E329" t="str">
        <f>+IFERROR(VLOOKUP(E30,IN_Zugliste!$A$4:$F$2002,7,FALSE),"")</f>
        <v/>
      </c>
      <c r="F329" t="str">
        <f>+IFERROR(VLOOKUP(F30,IN_Zugliste!$A$4:$F$2002,7,FALSE),"")</f>
        <v/>
      </c>
      <c r="G329" t="str">
        <f>+IFERROR(VLOOKUP(G30,IN_Zugliste!$A$4:$F$2002,7,FALSE),"")</f>
        <v/>
      </c>
      <c r="H329" t="str">
        <f>+IFERROR(VLOOKUP(H30,IN_Zugliste!$A$4:$F$2002,7,FALSE),"")</f>
        <v/>
      </c>
      <c r="I329" t="str">
        <f>+IFERROR(VLOOKUP(I30,IN_Zugliste!$A$4:$F$2002,7,FALSE),"")</f>
        <v/>
      </c>
      <c r="J329" t="str">
        <f>+IFERROR(VLOOKUP(J30,IN_Zugliste!$A$4:$F$2002,7,FALSE),"")</f>
        <v/>
      </c>
      <c r="K329" t="str">
        <f>+IFERROR(VLOOKUP(K30,IN_Zugliste!$A$4:$F$2002,7,FALSE),"")</f>
        <v/>
      </c>
      <c r="L329" t="str">
        <f>+IFERROR(VLOOKUP(L30,IN_Zugliste!$A$4:$F$2002,7,FALSE),"")</f>
        <v/>
      </c>
      <c r="M329" t="str">
        <f>+IFERROR(VLOOKUP(M30,IN_Zugliste!$A$4:$F$2002,7,FALSE),"")</f>
        <v/>
      </c>
      <c r="N329" t="str">
        <f>+IFERROR(VLOOKUP(N30,IN_Zugliste!$A$4:$F$2002,7,FALSE),"")</f>
        <v/>
      </c>
      <c r="O329" t="str">
        <f>+IFERROR(VLOOKUP(O30,IN_Zugliste!$A$4:$F$2002,7,FALSE),"")</f>
        <v/>
      </c>
      <c r="P329" t="str">
        <f>+IFERROR(VLOOKUP(P30,IN_Zugliste!$A$4:$F$2002,7,FALSE),"")</f>
        <v/>
      </c>
      <c r="Q329" t="str">
        <f>+IFERROR(VLOOKUP(Q30,IN_Zugliste!$A$4:$F$2002,7,FALSE),"")</f>
        <v/>
      </c>
      <c r="R329" t="str">
        <f>+IFERROR(VLOOKUP(R30,IN_Zugliste!$A$4:$F$2002,7,FALSE),"")</f>
        <v/>
      </c>
      <c r="S329" t="str">
        <f>+IFERROR(VLOOKUP(S30,IN_Zugliste!$A$4:$F$2002,7,FALSE),"")</f>
        <v/>
      </c>
      <c r="T329" t="str">
        <f>+IFERROR(VLOOKUP(T30,IN_Zugliste!$A$4:$F$2002,7,FALSE),"")</f>
        <v/>
      </c>
      <c r="U329" t="str">
        <f>+IFERROR(VLOOKUP(U30,IN_Zugliste!$A$4:$F$2002,7,FALSE),"")</f>
        <v/>
      </c>
      <c r="V329" t="str">
        <f>+IFERROR(VLOOKUP(V30,IN_Zugliste!$A$4:$F$2002,7,FALSE),"")</f>
        <v/>
      </c>
      <c r="W329" t="str">
        <f>+IFERROR(VLOOKUP(W30,IN_Zugliste!$A$4:$F$2002,7,FALSE),"")</f>
        <v/>
      </c>
      <c r="X329" t="str">
        <f>+IFERROR(VLOOKUP(X30,IN_Zugliste!$A$4:$F$2002,7,FALSE),"")</f>
        <v/>
      </c>
      <c r="Y329" t="str">
        <f>+IFERROR(VLOOKUP(Y30,IN_Zugliste!$A$4:$F$2002,7,FALSE),"")</f>
        <v/>
      </c>
      <c r="Z329" t="str">
        <f>+IFERROR(VLOOKUP(Z30,IN_Zugliste!$A$4:$F$2002,7,FALSE),"")</f>
        <v/>
      </c>
      <c r="AA329" t="str">
        <f>+IFERROR(VLOOKUP(AA30,IN_Zugliste!$A$4:$F$2002,7,FALSE),"")</f>
        <v/>
      </c>
      <c r="AB329" t="str">
        <f>+IFERROR(VLOOKUP(AB30,IN_Zugliste!$A$4:$F$2002,7,FALSE),"")</f>
        <v/>
      </c>
      <c r="AC329" t="str">
        <f>+IFERROR(VLOOKUP(AC30,IN_Zugliste!$A$4:$F$2002,7,FALSE),"")</f>
        <v/>
      </c>
      <c r="AD329" t="str">
        <f>+IFERROR(VLOOKUP(AD30,IN_Zugliste!$A$4:$F$2002,7,FALSE),"")</f>
        <v/>
      </c>
      <c r="AE329" t="str">
        <f>+IFERROR(VLOOKUP(AE30,IN_Zugliste!$A$4:$F$2002,7,FALSE),"")</f>
        <v/>
      </c>
      <c r="AF329" t="str">
        <f>+IFERROR(VLOOKUP(AF30,IN_Zugliste!$A$4:$F$2002,7,FALSE),"")</f>
        <v/>
      </c>
      <c r="AG329" t="str">
        <f>+IFERROR(VLOOKUP(AG30,IN_Zugliste!$A$4:$F$2002,7,FALSE),"")</f>
        <v/>
      </c>
      <c r="AH329" t="str">
        <f>+IFERROR(VLOOKUP(AH30,IN_Zugliste!$A$4:$F$2002,7,FALSE),"")</f>
        <v/>
      </c>
      <c r="AI329" t="str">
        <f>+IFERROR(VLOOKUP(AI30,IN_Zugliste!$A$4:$F$2002,7,FALSE),"")</f>
        <v/>
      </c>
      <c r="AJ329" t="str">
        <f>+IFERROR(VLOOKUP(AJ30,IN_Zugliste!$A$4:$F$2002,7,FALSE),"")</f>
        <v/>
      </c>
      <c r="AK329" t="str">
        <f>+IFERROR(VLOOKUP(AK30,IN_Zugliste!$A$4:$F$2002,7,FALSE),"")</f>
        <v/>
      </c>
      <c r="AL329" t="str">
        <f>+IFERROR(VLOOKUP(AL30,IN_Zugliste!$A$4:$F$2002,7,FALSE),"")</f>
        <v/>
      </c>
      <c r="AM329" t="str">
        <f>+IFERROR(VLOOKUP(AM30,IN_Zugliste!$A$4:$F$2002,7,FALSE),"")</f>
        <v/>
      </c>
      <c r="AN329" t="str">
        <f>+IFERROR(VLOOKUP(AN30,IN_Zugliste!$A$4:$F$2002,7,FALSE),"")</f>
        <v/>
      </c>
      <c r="AO329" t="str">
        <f>+IFERROR(VLOOKUP(AO30,IN_Zugliste!$A$4:$F$2002,7,FALSE),"")</f>
        <v/>
      </c>
      <c r="AP329" t="str">
        <f>+IFERROR(VLOOKUP(AP30,IN_Zugliste!$A$4:$F$2002,7,FALSE),"")</f>
        <v/>
      </c>
      <c r="AQ329" t="str">
        <f>+IFERROR(VLOOKUP(AQ30,IN_Zugliste!$A$4:$F$2002,7,FALSE),"")</f>
        <v/>
      </c>
      <c r="AR329" t="str">
        <f>+IFERROR(VLOOKUP(AR30,IN_Zugliste!$A$4:$F$2002,7,FALSE),"")</f>
        <v/>
      </c>
      <c r="AS329" t="str">
        <f>+IFERROR(VLOOKUP(AS30,IN_Zugliste!$A$4:$F$2002,7,FALSE),"")</f>
        <v/>
      </c>
      <c r="AT329" t="str">
        <f>+IFERROR(VLOOKUP(AT30,IN_Zugliste!$A$4:$F$2002,7,FALSE),"")</f>
        <v/>
      </c>
      <c r="AU329" t="str">
        <f>+IFERROR(VLOOKUP(AU30,IN_Zugliste!$A$4:$F$2002,7,FALSE),"")</f>
        <v/>
      </c>
      <c r="AV329" t="str">
        <f>+IFERROR(VLOOKUP(AV30,IN_Zugliste!$A$4:$F$2002,7,FALSE),"")</f>
        <v/>
      </c>
      <c r="AW329" t="str">
        <f>+IFERROR(VLOOKUP(AW30,IN_Zugliste!$A$4:$F$2002,7,FALSE),"")</f>
        <v/>
      </c>
      <c r="AX329" t="str">
        <f>+IFERROR(VLOOKUP(AX30,IN_Zugliste!$A$4:$F$2002,7,FALSE),"")</f>
        <v/>
      </c>
      <c r="AY329" t="str">
        <f>+IFERROR(VLOOKUP(AY30,IN_Zugliste!$A$4:$F$2002,7,FALSE),"")</f>
        <v/>
      </c>
      <c r="AZ329" t="str">
        <f>+IFERROR(VLOOKUP(AZ30,IN_Zugliste!$A$4:$F$2002,7,FALSE),"")</f>
        <v/>
      </c>
      <c r="BA329" t="str">
        <f>+IFERROR(VLOOKUP(BA30,IN_Zugliste!$A$4:$F$2002,7,FALSE),"")</f>
        <v/>
      </c>
      <c r="BB329" t="str">
        <f>+IFERROR(VLOOKUP(BB30,IN_Zugliste!$A$4:$F$2002,7,FALSE),"")</f>
        <v/>
      </c>
      <c r="BC329" t="str">
        <f>+IFERROR(VLOOKUP(BC30,IN_Zugliste!$A$4:$F$2002,7,FALSE),"")</f>
        <v/>
      </c>
      <c r="BD329" t="str">
        <f>+IFERROR(VLOOKUP(BD30,IN_Zugliste!$A$4:$F$2002,7,FALSE),"")</f>
        <v/>
      </c>
      <c r="BE329" t="str">
        <f>+IFERROR(VLOOKUP(BE30,IN_Zugliste!$A$4:$F$2002,7,FALSE),"")</f>
        <v/>
      </c>
      <c r="BF329" t="str">
        <f>+IFERROR(VLOOKUP(BF30,IN_Zugliste!$A$4:$F$2002,7,FALSE),"")</f>
        <v/>
      </c>
      <c r="BG329" t="str">
        <f>+IFERROR(VLOOKUP(BG30,IN_Zugliste!$A$4:$F$2002,7,FALSE),"")</f>
        <v/>
      </c>
      <c r="BH329" t="str">
        <f>+IFERROR(VLOOKUP(BH30,IN_Zugliste!$A$4:$F$2002,7,FALSE),"")</f>
        <v/>
      </c>
      <c r="BI329" t="str">
        <f>+IFERROR(VLOOKUP(BI30,IN_Zugliste!$A$4:$F$2002,7,FALSE),"")</f>
        <v/>
      </c>
      <c r="BJ329" t="str">
        <f>+IFERROR(VLOOKUP(BJ30,IN_Zugliste!$A$4:$F$2002,7,FALSE),"")</f>
        <v/>
      </c>
      <c r="BK329" t="str">
        <f>+IFERROR(VLOOKUP(BK30,IN_Zugliste!$A$4:$F$2002,7,FALSE),"")</f>
        <v/>
      </c>
      <c r="BL329" t="str">
        <f>+IFERROR(VLOOKUP(BL30,IN_Zugliste!$A$4:$F$2002,7,FALSE),"")</f>
        <v/>
      </c>
      <c r="BM329" t="str">
        <f>+IFERROR(VLOOKUP(BM30,IN_Zugliste!$A$4:$F$2002,7,FALSE),"")</f>
        <v/>
      </c>
      <c r="BN329" t="str">
        <f>+IFERROR(VLOOKUP(BN30,IN_Zugliste!$A$4:$F$2002,7,FALSE),"")</f>
        <v/>
      </c>
      <c r="BO329" t="str">
        <f>+IFERROR(VLOOKUP(BO30,IN_Zugliste!$A$4:$F$2002,7,FALSE),"")</f>
        <v/>
      </c>
      <c r="BP329" t="str">
        <f>+IFERROR(VLOOKUP(BP30,IN_Zugliste!$A$4:$F$2002,7,FALSE),"")</f>
        <v/>
      </c>
      <c r="BQ329" t="str">
        <f>+IFERROR(VLOOKUP(BQ30,IN_Zugliste!$A$4:$F$2002,7,FALSE),"")</f>
        <v/>
      </c>
      <c r="BR329" t="str">
        <f>+IFERROR(VLOOKUP(BR30,IN_Zugliste!$A$4:$F$2002,7,FALSE),"")</f>
        <v/>
      </c>
      <c r="BS329" t="str">
        <f>+IFERROR(VLOOKUP(BS30,IN_Zugliste!$A$4:$F$2002,7,FALSE),"")</f>
        <v/>
      </c>
      <c r="BT329" t="str">
        <f>+IFERROR(VLOOKUP(BT30,IN_Zugliste!$A$4:$F$2002,7,FALSE),"")</f>
        <v/>
      </c>
      <c r="BU329" t="str">
        <f>+IFERROR(VLOOKUP(BU30,IN_Zugliste!$A$4:$F$2002,7,FALSE),"")</f>
        <v/>
      </c>
      <c r="BV329" t="str">
        <f>+IFERROR(VLOOKUP(BV30,IN_Zugliste!$A$4:$F$2002,7,FALSE),"")</f>
        <v/>
      </c>
      <c r="BW329" t="str">
        <f>+IFERROR(VLOOKUP(BW30,IN_Zugliste!$A$4:$F$2002,7,FALSE),"")</f>
        <v/>
      </c>
      <c r="BX329" t="str">
        <f>+IFERROR(VLOOKUP(BX30,IN_Zugliste!$A$4:$F$2002,7,FALSE),"")</f>
        <v/>
      </c>
      <c r="BY329" t="str">
        <f>+IFERROR(VLOOKUP(BY30,IN_Zugliste!$A$4:$F$2002,7,FALSE),"")</f>
        <v/>
      </c>
      <c r="BZ329" t="str">
        <f>+IFERROR(VLOOKUP(BZ30,IN_Zugliste!$A$4:$F$2002,7,FALSE),"")</f>
        <v/>
      </c>
      <c r="CA329" t="str">
        <f>+IFERROR(VLOOKUP(CA30,IN_Zugliste!$A$4:$F$2002,7,FALSE),"")</f>
        <v/>
      </c>
      <c r="CB329" t="str">
        <f>+IFERROR(VLOOKUP(CB30,IN_Zugliste!$A$4:$F$2002,7,FALSE),"")</f>
        <v/>
      </c>
      <c r="CC329" t="str">
        <f>+IFERROR(VLOOKUP(CC30,IN_Zugliste!$A$4:$F$2002,7,FALSE),"")</f>
        <v/>
      </c>
      <c r="CD329" t="str">
        <f>+IFERROR(VLOOKUP(CD30,IN_Zugliste!$A$4:$F$2002,7,FALSE),"")</f>
        <v/>
      </c>
      <c r="CE329" t="str">
        <f>+IFERROR(VLOOKUP(CE30,IN_Zugliste!$A$4:$F$2002,7,FALSE),"")</f>
        <v/>
      </c>
      <c r="CF329" t="str">
        <f>+IFERROR(VLOOKUP(CF30,IN_Zugliste!$A$4:$F$2002,7,FALSE),"")</f>
        <v/>
      </c>
      <c r="CG329" t="str">
        <f>+IFERROR(VLOOKUP(CG30,IN_Zugliste!$A$4:$F$2002,7,FALSE),"")</f>
        <v/>
      </c>
      <c r="CH329" t="str">
        <f>+IFERROR(VLOOKUP(CH30,IN_Zugliste!$A$4:$F$2002,7,FALSE),"")</f>
        <v/>
      </c>
      <c r="CI329" t="str">
        <f>+IFERROR(VLOOKUP(CI30,IN_Zugliste!$A$4:$F$2002,7,FALSE),"")</f>
        <v/>
      </c>
      <c r="CJ329" t="str">
        <f>+IFERROR(VLOOKUP(CJ30,IN_Zugliste!$A$4:$F$2002,7,FALSE),"")</f>
        <v/>
      </c>
      <c r="CK329" t="str">
        <f>+IFERROR(VLOOKUP(CK30,IN_Zugliste!$A$4:$F$2002,7,FALSE),"")</f>
        <v/>
      </c>
      <c r="CL329" t="str">
        <f>+IFERROR(VLOOKUP(CL30,IN_Zugliste!$A$4:$F$2002,7,FALSE),"")</f>
        <v/>
      </c>
      <c r="CM329" t="str">
        <f>+IFERROR(VLOOKUP(CM30,IN_Zugliste!$A$4:$F$2002,7,FALSE),"")</f>
        <v/>
      </c>
      <c r="CN329" t="str">
        <f>+IFERROR(VLOOKUP(CN30,IN_Zugliste!$A$4:$F$2002,7,FALSE),"")</f>
        <v/>
      </c>
      <c r="CO329" t="str">
        <f>+IFERROR(VLOOKUP(CO30,IN_Zugliste!$A$4:$F$2002,7,FALSE),"")</f>
        <v/>
      </c>
      <c r="CP329" t="str">
        <f>+IFERROR(VLOOKUP(CP30,IN_Zugliste!$A$4:$F$2002,7,FALSE),"")</f>
        <v/>
      </c>
      <c r="CQ329" t="str">
        <f>+IFERROR(VLOOKUP(CQ30,IN_Zugliste!$A$4:$F$2002,7,FALSE),"")</f>
        <v/>
      </c>
      <c r="CR329" t="str">
        <f>+IFERROR(VLOOKUP(CR30,IN_Zugliste!$A$4:$F$2002,7,FALSE),"")</f>
        <v/>
      </c>
      <c r="CS329" t="str">
        <f>+IFERROR(VLOOKUP(CS30,IN_Zugliste!$A$4:$F$2002,7,FALSE),"")</f>
        <v/>
      </c>
      <c r="CT329" t="str">
        <f>+IFERROR(VLOOKUP(CT30,IN_Zugliste!$A$4:$F$2002,7,FALSE),"")</f>
        <v/>
      </c>
      <c r="CU329" t="str">
        <f>+IFERROR(VLOOKUP(CU30,IN_Zugliste!$A$4:$F$2002,7,FALSE),"")</f>
        <v/>
      </c>
      <c r="CV329" t="str">
        <f>+IFERROR(VLOOKUP(CV30,IN_Zugliste!$A$4:$F$2002,7,FALSE),"")</f>
        <v/>
      </c>
      <c r="CW329" t="str">
        <f>+IFERROR(VLOOKUP(CW30,IN_Zugliste!$A$4:$F$2002,7,FALSE),"")</f>
        <v/>
      </c>
      <c r="CX329" t="str">
        <f>+IFERROR(VLOOKUP(CX30,IN_Zugliste!$A$4:$F$2002,7,FALSE),"")</f>
        <v/>
      </c>
      <c r="CY329" t="str">
        <f>+IFERROR(VLOOKUP(CY30,IN_Zugliste!$A$4:$F$2002,7,FALSE),"")</f>
        <v/>
      </c>
      <c r="CZ329" t="str">
        <f>+IFERROR(VLOOKUP(CZ30,IN_Zugliste!$A$4:$F$2002,7,FALSE),"")</f>
        <v/>
      </c>
      <c r="DA329" t="str">
        <f>+IFERROR(VLOOKUP(DA30,IN_Zugliste!$A$4:$F$2002,7,FALSE),"")</f>
        <v/>
      </c>
      <c r="DB329" t="str">
        <f>+IFERROR(VLOOKUP(DB30,IN_Zugliste!$A$4:$F$2002,7,FALSE),"")</f>
        <v/>
      </c>
      <c r="DC329" t="str">
        <f>+IFERROR(VLOOKUP(DC30,IN_Zugliste!$A$4:$F$2002,7,FALSE),"")</f>
        <v/>
      </c>
      <c r="DD329" t="str">
        <f>+IFERROR(VLOOKUP(DD30,IN_Zugliste!$A$4:$F$2002,7,FALSE),"")</f>
        <v/>
      </c>
      <c r="DE329" t="str">
        <f>+IFERROR(VLOOKUP(DE30,IN_Zugliste!$A$4:$F$2002,7,FALSE),"")</f>
        <v/>
      </c>
      <c r="DF329" t="str">
        <f>+IFERROR(VLOOKUP(DF30,IN_Zugliste!$A$4:$F$2002,7,FALSE),"")</f>
        <v/>
      </c>
      <c r="DG329" t="str">
        <f>+IFERROR(VLOOKUP(DG30,IN_Zugliste!$A$4:$F$2002,7,FALSE),"")</f>
        <v/>
      </c>
      <c r="DH329" t="str">
        <f>+IFERROR(VLOOKUP(DH30,IN_Zugliste!$A$4:$F$2002,7,FALSE),"")</f>
        <v/>
      </c>
      <c r="DI329" t="str">
        <f>+IFERROR(VLOOKUP(DI30,IN_Zugliste!$A$4:$F$2002,7,FALSE),"")</f>
        <v/>
      </c>
      <c r="DJ329" t="str">
        <f>+IFERROR(VLOOKUP(DJ30,IN_Zugliste!$A$4:$F$2002,7,FALSE),"")</f>
        <v/>
      </c>
      <c r="DK329" t="str">
        <f>+IFERROR(VLOOKUP(DK30,IN_Zugliste!$A$4:$F$2002,7,FALSE),"")</f>
        <v/>
      </c>
      <c r="DL329" t="str">
        <f>+IFERROR(VLOOKUP(DL30,IN_Zugliste!$A$4:$F$2002,7,FALSE),"")</f>
        <v/>
      </c>
      <c r="DM329" t="str">
        <f>+IFERROR(VLOOKUP(DM30,IN_Zugliste!$A$4:$F$2002,7,FALSE),"")</f>
        <v/>
      </c>
      <c r="DN329" t="str">
        <f>+IFERROR(VLOOKUP(DN30,IN_Zugliste!$A$4:$F$2002,7,FALSE),"")</f>
        <v/>
      </c>
      <c r="DO329" t="str">
        <f>+IFERROR(VLOOKUP(DO30,IN_Zugliste!$A$4:$F$2002,7,FALSE),"")</f>
        <v/>
      </c>
      <c r="DP329" t="str">
        <f>+IFERROR(VLOOKUP(DP30,IN_Zugliste!$A$4:$F$2002,7,FALSE),"")</f>
        <v/>
      </c>
      <c r="DQ329" t="str">
        <f>+IFERROR(VLOOKUP(DQ30,IN_Zugliste!$A$4:$F$2002,7,FALSE),"")</f>
        <v/>
      </c>
      <c r="DR329" t="str">
        <f>+IFERROR(VLOOKUP(DR30,IN_Zugliste!$A$4:$F$2002,7,FALSE),"")</f>
        <v/>
      </c>
      <c r="DS329" t="str">
        <f>+IFERROR(VLOOKUP(DS30,IN_Zugliste!$A$4:$F$2002,7,FALSE),"")</f>
        <v/>
      </c>
      <c r="DT329" t="str">
        <f>+IFERROR(VLOOKUP(DT30,IN_Zugliste!$A$4:$F$2002,7,FALSE),"")</f>
        <v/>
      </c>
      <c r="DU329" t="str">
        <f>+IFERROR(VLOOKUP(DU30,IN_Zugliste!$A$4:$F$2002,7,FALSE),"")</f>
        <v/>
      </c>
      <c r="DV329" t="str">
        <f>+IFERROR(VLOOKUP(DV30,IN_Zugliste!$A$4:$F$2002,7,FALSE),"")</f>
        <v/>
      </c>
      <c r="DW329" t="str">
        <f>+IFERROR(VLOOKUP(DW30,IN_Zugliste!$A$4:$F$2002,7,FALSE),"")</f>
        <v/>
      </c>
      <c r="DX329" t="str">
        <f>+IFERROR(VLOOKUP(DX30,IN_Zugliste!$A$4:$F$2002,7,FALSE),"")</f>
        <v/>
      </c>
      <c r="DY329" t="str">
        <f>+IFERROR(VLOOKUP(DY30,IN_Zugliste!$A$4:$F$2002,7,FALSE),"")</f>
        <v/>
      </c>
      <c r="DZ329" t="str">
        <f>+IFERROR(VLOOKUP(DZ30,IN_Zugliste!$A$4:$F$2002,7,FALSE),"")</f>
        <v/>
      </c>
      <c r="EA329" t="str">
        <f>+IFERROR(VLOOKUP(EA30,IN_Zugliste!$A$4:$F$2002,7,FALSE),"")</f>
        <v/>
      </c>
      <c r="EB329" t="str">
        <f>+IFERROR(VLOOKUP(EB30,IN_Zugliste!$A$4:$F$2002,7,FALSE),"")</f>
        <v/>
      </c>
      <c r="EC329" t="str">
        <f>+IFERROR(VLOOKUP(EC30,IN_Zugliste!$A$4:$F$2002,7,FALSE),"")</f>
        <v/>
      </c>
      <c r="ED329" t="str">
        <f>+IFERROR(VLOOKUP(ED30,IN_Zugliste!$A$4:$F$2002,7,FALSE),"")</f>
        <v/>
      </c>
      <c r="EE329" t="str">
        <f>+IFERROR(VLOOKUP(EE30,IN_Zugliste!$A$4:$F$2002,7,FALSE),"")</f>
        <v/>
      </c>
      <c r="EF329" t="str">
        <f>+IFERROR(VLOOKUP(EF30,IN_Zugliste!$A$4:$F$2002,7,FALSE),"")</f>
        <v/>
      </c>
      <c r="EG329" t="str">
        <f>+IFERROR(VLOOKUP(EG30,IN_Zugliste!$A$4:$F$2002,7,FALSE),"")</f>
        <v/>
      </c>
      <c r="EH329" t="str">
        <f>+IFERROR(VLOOKUP(EH30,IN_Zugliste!$A$4:$F$2002,7,FALSE),"")</f>
        <v/>
      </c>
      <c r="EI329" t="str">
        <f>+IFERROR(VLOOKUP(EI30,IN_Zugliste!$A$4:$F$2002,7,FALSE),"")</f>
        <v/>
      </c>
      <c r="EJ329" t="str">
        <f>+IFERROR(VLOOKUP(EJ30,IN_Zugliste!$A$4:$F$2002,7,FALSE),"")</f>
        <v/>
      </c>
      <c r="EK329" t="str">
        <f>+IFERROR(VLOOKUP(EK30,IN_Zugliste!$A$4:$F$2002,7,FALSE),"")</f>
        <v/>
      </c>
      <c r="EL329" t="str">
        <f>+IFERROR(VLOOKUP(EL30,IN_Zugliste!$A$4:$F$2002,7,FALSE),"")</f>
        <v/>
      </c>
      <c r="EM329" t="str">
        <f>+IFERROR(VLOOKUP(EM30,IN_Zugliste!$A$4:$F$2002,7,FALSE),"")</f>
        <v/>
      </c>
      <c r="EN329" t="str">
        <f>+IFERROR(VLOOKUP(EN30,IN_Zugliste!$A$4:$F$2002,7,FALSE),"")</f>
        <v/>
      </c>
      <c r="EO329" t="str">
        <f>+IFERROR(VLOOKUP(EO30,IN_Zugliste!$A$4:$F$2002,7,FALSE),"")</f>
        <v/>
      </c>
      <c r="EP329" t="str">
        <f>+IFERROR(VLOOKUP(EP30,IN_Zugliste!$A$4:$F$2002,7,FALSE),"")</f>
        <v/>
      </c>
      <c r="EQ329" t="str">
        <f>+IFERROR(VLOOKUP(EQ30,IN_Zugliste!$A$4:$F$2002,7,FALSE),"")</f>
        <v/>
      </c>
      <c r="ER329" t="str">
        <f>+IFERROR(VLOOKUP(ER30,IN_Zugliste!$A$4:$F$2002,7,FALSE),"")</f>
        <v/>
      </c>
      <c r="ES329" t="str">
        <f>+IFERROR(VLOOKUP(ES30,IN_Zugliste!$A$4:$F$2002,7,FALSE),"")</f>
        <v/>
      </c>
      <c r="ET329" t="str">
        <f>+IFERROR(VLOOKUP(ET30,IN_Zugliste!$A$4:$F$2002,7,FALSE),"")</f>
        <v/>
      </c>
      <c r="EU329" t="str">
        <f>+IFERROR(VLOOKUP(EU30,IN_Zugliste!$A$4:$F$2002,7,FALSE),"")</f>
        <v/>
      </c>
      <c r="EV329" t="str">
        <f>+IFERROR(VLOOKUP(EV30,IN_Zugliste!$A$4:$F$2002,7,FALSE),"")</f>
        <v/>
      </c>
      <c r="EW329" t="str">
        <f>+IFERROR(VLOOKUP(EW30,IN_Zugliste!$A$4:$F$2002,7,FALSE),"")</f>
        <v/>
      </c>
      <c r="EX329" t="str">
        <f>+IFERROR(VLOOKUP(EX30,IN_Zugliste!$A$4:$F$2002,7,FALSE),"")</f>
        <v/>
      </c>
      <c r="EY329" t="str">
        <f>+IFERROR(VLOOKUP(EY30,IN_Zugliste!$A$4:$F$2002,7,FALSE),"")</f>
        <v/>
      </c>
      <c r="EZ329" t="str">
        <f>+IFERROR(VLOOKUP(EZ30,IN_Zugliste!$A$4:$F$2002,7,FALSE),"")</f>
        <v/>
      </c>
      <c r="FA329" t="str">
        <f>+IFERROR(VLOOKUP(FA30,IN_Zugliste!$A$4:$F$2002,7,FALSE),"")</f>
        <v/>
      </c>
      <c r="FB329" t="str">
        <f>+IFERROR(VLOOKUP(FB30,IN_Zugliste!$A$4:$F$2002,7,FALSE),"")</f>
        <v/>
      </c>
      <c r="FC329" t="str">
        <f>+IFERROR(VLOOKUP(FC30,IN_Zugliste!$A$4:$F$2002,7,FALSE),"")</f>
        <v/>
      </c>
      <c r="FD329" t="str">
        <f>+IFERROR(VLOOKUP(FD30,IN_Zugliste!$A$4:$F$2002,7,FALSE),"")</f>
        <v/>
      </c>
      <c r="FE329" t="str">
        <f>+IFERROR(VLOOKUP(FE30,IN_Zugliste!$A$4:$F$2002,7,FALSE),"")</f>
        <v/>
      </c>
      <c r="FF329" t="str">
        <f>+IFERROR(VLOOKUP(FF30,IN_Zugliste!$A$4:$F$2002,7,FALSE),"")</f>
        <v/>
      </c>
      <c r="FG329" t="str">
        <f>+IFERROR(VLOOKUP(FG30,IN_Zugliste!$A$4:$F$2002,7,FALSE),"")</f>
        <v/>
      </c>
      <c r="FH329" t="str">
        <f>+IFERROR(VLOOKUP(FH30,IN_Zugliste!$A$4:$F$2002,7,FALSE),"")</f>
        <v/>
      </c>
      <c r="FI329" t="str">
        <f>+IFERROR(VLOOKUP(FI30,IN_Zugliste!$A$4:$F$2002,7,FALSE),"")</f>
        <v/>
      </c>
      <c r="FJ329" t="str">
        <f>+IFERROR(VLOOKUP(FJ30,IN_Zugliste!$A$4:$F$2002,7,FALSE),"")</f>
        <v/>
      </c>
      <c r="FK329" t="str">
        <f>+IFERROR(VLOOKUP(FK30,IN_Zugliste!$A$4:$F$2002,7,FALSE),"")</f>
        <v/>
      </c>
      <c r="FL329" t="str">
        <f>+IFERROR(VLOOKUP(FL30,IN_Zugliste!$A$4:$F$2002,7,FALSE),"")</f>
        <v/>
      </c>
      <c r="FM329" t="str">
        <f>+IFERROR(VLOOKUP(FM30,IN_Zugliste!$A$4:$F$2002,7,FALSE),"")</f>
        <v/>
      </c>
      <c r="FN329" t="str">
        <f>+IFERROR(VLOOKUP(FN30,IN_Zugliste!$A$4:$F$2002,7,FALSE),"")</f>
        <v/>
      </c>
      <c r="FO329" t="str">
        <f>+IFERROR(VLOOKUP(FO30,IN_Zugliste!$A$4:$F$2002,7,FALSE),"")</f>
        <v/>
      </c>
      <c r="FP329" t="str">
        <f>+IFERROR(VLOOKUP(FP30,IN_Zugliste!$A$4:$F$2002,7,FALSE),"")</f>
        <v/>
      </c>
      <c r="FQ329" t="str">
        <f>+IFERROR(VLOOKUP(FQ30,IN_Zugliste!$A$4:$F$2002,7,FALSE),"")</f>
        <v/>
      </c>
      <c r="FR329" t="str">
        <f>+IFERROR(VLOOKUP(FR30,IN_Zugliste!$A$4:$F$2002,7,FALSE),"")</f>
        <v/>
      </c>
      <c r="FS329" t="str">
        <f>+IFERROR(VLOOKUP(FS30,IN_Zugliste!$A$4:$F$2002,7,FALSE),"")</f>
        <v/>
      </c>
      <c r="FT329" t="str">
        <f>+IFERROR(VLOOKUP(FT30,IN_Zugliste!$A$4:$F$2002,7,FALSE),"")</f>
        <v/>
      </c>
      <c r="FU329" t="str">
        <f>+IFERROR(VLOOKUP(FU30,IN_Zugliste!$A$4:$F$2002,7,FALSE),"")</f>
        <v/>
      </c>
      <c r="FV329" t="str">
        <f>+IFERROR(VLOOKUP(FV30,IN_Zugliste!$A$4:$F$2002,7,FALSE),"")</f>
        <v/>
      </c>
      <c r="FW329" t="str">
        <f>+IFERROR(VLOOKUP(FW30,IN_Zugliste!$A$4:$F$2002,7,FALSE),"")</f>
        <v/>
      </c>
      <c r="FX329" t="str">
        <f>+IFERROR(VLOOKUP(FX30,IN_Zugliste!$A$4:$F$2002,7,FALSE),"")</f>
        <v/>
      </c>
      <c r="FY329" t="str">
        <f>+IFERROR(VLOOKUP(FY30,IN_Zugliste!$A$4:$F$2002,7,FALSE),"")</f>
        <v/>
      </c>
      <c r="FZ329" t="str">
        <f>+IFERROR(VLOOKUP(FZ30,IN_Zugliste!$A$4:$F$2002,7,FALSE),"")</f>
        <v/>
      </c>
      <c r="GA329" t="str">
        <f>+IFERROR(VLOOKUP(GA30,IN_Zugliste!$A$4:$F$2002,7,FALSE),"")</f>
        <v/>
      </c>
      <c r="GB329" t="str">
        <f>+IFERROR(VLOOKUP(GB30,IN_Zugliste!$A$4:$F$2002,7,FALSE),"")</f>
        <v/>
      </c>
      <c r="GC329" t="str">
        <f>+IFERROR(VLOOKUP(GC30,IN_Zugliste!$A$4:$F$2002,7,FALSE),"")</f>
        <v/>
      </c>
      <c r="GD329" t="str">
        <f>+IFERROR(VLOOKUP(GD30,IN_Zugliste!$A$4:$F$2002,7,FALSE),"")</f>
        <v/>
      </c>
      <c r="GE329" t="str">
        <f>+IFERROR(VLOOKUP(GE30,IN_Zugliste!$A$4:$F$2002,7,FALSE),"")</f>
        <v/>
      </c>
      <c r="GF329" t="str">
        <f>+IFERROR(VLOOKUP(GF30,IN_Zugliste!$A$4:$F$2002,7,FALSE),"")</f>
        <v/>
      </c>
      <c r="GG329" t="str">
        <f>+IFERROR(VLOOKUP(GG30,IN_Zugliste!$A$4:$F$2002,7,FALSE),"")</f>
        <v/>
      </c>
      <c r="GH329" t="str">
        <f>+IFERROR(VLOOKUP(GH30,IN_Zugliste!$A$4:$F$2002,7,FALSE),"")</f>
        <v/>
      </c>
      <c r="GI329" t="str">
        <f>+IFERROR(VLOOKUP(GI30,IN_Zugliste!$A$4:$F$2002,7,FALSE),"")</f>
        <v/>
      </c>
      <c r="GJ329" t="str">
        <f>+IFERROR(VLOOKUP(GJ30,IN_Zugliste!$A$4:$F$2002,7,FALSE),"")</f>
        <v/>
      </c>
      <c r="GK329" t="str">
        <f>+IFERROR(VLOOKUP(GK30,IN_Zugliste!$A$4:$F$2002,7,FALSE),"")</f>
        <v/>
      </c>
      <c r="GL329" t="str">
        <f>+IFERROR(VLOOKUP(GL30,IN_Zugliste!$A$4:$F$2002,7,FALSE),"")</f>
        <v/>
      </c>
      <c r="GM329" t="str">
        <f>+IFERROR(VLOOKUP(GM30,IN_Zugliste!$A$4:$F$2002,7,FALSE),"")</f>
        <v/>
      </c>
      <c r="GN329" t="str">
        <f>+IFERROR(VLOOKUP(GN30,IN_Zugliste!$A$4:$F$2002,7,FALSE),"")</f>
        <v/>
      </c>
      <c r="GO329" t="str">
        <f>+IFERROR(VLOOKUP(GO30,IN_Zugliste!$A$4:$F$2002,7,FALSE),"")</f>
        <v/>
      </c>
      <c r="GP329" t="str">
        <f>+IFERROR(VLOOKUP(GP30,IN_Zugliste!$A$4:$F$2002,7,FALSE),"")</f>
        <v/>
      </c>
      <c r="GQ329" t="str">
        <f>+IFERROR(VLOOKUP(GQ30,IN_Zugliste!$A$4:$F$2002,7,FALSE),"")</f>
        <v/>
      </c>
      <c r="GR329" t="str">
        <f>+IFERROR(VLOOKUP(GR30,IN_Zugliste!$A$4:$F$2002,7,FALSE),"")</f>
        <v/>
      </c>
      <c r="GS329" t="str">
        <f>+IFERROR(VLOOKUP(GS30,IN_Zugliste!$A$4:$F$2002,7,FALSE),"")</f>
        <v/>
      </c>
      <c r="GT329" t="str">
        <f>+IFERROR(VLOOKUP(GT30,IN_Zugliste!$A$4:$F$2002,7,FALSE),"")</f>
        <v/>
      </c>
      <c r="GU329" t="str">
        <f>+IFERROR(VLOOKUP(GU30,IN_Zugliste!$A$4:$F$2002,7,FALSE),"")</f>
        <v/>
      </c>
      <c r="GV329" t="str">
        <f>+IFERROR(VLOOKUP(GV30,IN_Zugliste!$A$4:$F$2002,7,FALSE),"")</f>
        <v/>
      </c>
      <c r="GW329" t="str">
        <f>+IFERROR(VLOOKUP(GW30,IN_Zugliste!$A$4:$F$2002,7,FALSE),"")</f>
        <v/>
      </c>
      <c r="GX329" t="str">
        <f>+IFERROR(VLOOKUP(GX30,IN_Zugliste!$A$4:$F$2002,7,FALSE),"")</f>
        <v/>
      </c>
      <c r="GY329" t="str">
        <f>+IFERROR(VLOOKUP(GY30,IN_Zugliste!$A$4:$F$2002,7,FALSE),"")</f>
        <v/>
      </c>
      <c r="GZ329" t="str">
        <f>+IFERROR(VLOOKUP(GZ30,IN_Zugliste!$A$4:$F$2002,7,FALSE),"")</f>
        <v/>
      </c>
      <c r="HA329" t="str">
        <f>+IFERROR(VLOOKUP(HA30,IN_Zugliste!$A$4:$F$2002,7,FALSE),"")</f>
        <v/>
      </c>
      <c r="HB329" t="str">
        <f>+IFERROR(VLOOKUP(HB30,IN_Zugliste!$A$4:$F$2002,7,FALSE),"")</f>
        <v/>
      </c>
      <c r="HC329" t="str">
        <f>+IFERROR(VLOOKUP(HC30,IN_Zugliste!$A$4:$F$2002,7,FALSE),"")</f>
        <v/>
      </c>
      <c r="HD329" t="str">
        <f>+IFERROR(VLOOKUP(HD30,IN_Zugliste!$A$4:$F$2002,7,FALSE),"")</f>
        <v/>
      </c>
      <c r="HE329" t="str">
        <f>+IFERROR(VLOOKUP(HE30,IN_Zugliste!$A$4:$F$2002,7,FALSE),"")</f>
        <v/>
      </c>
      <c r="HF329" t="str">
        <f>+IFERROR(VLOOKUP(HF30,IN_Zugliste!$A$4:$F$2002,7,FALSE),"")</f>
        <v/>
      </c>
      <c r="HG329" t="str">
        <f>+IFERROR(VLOOKUP(HG30,IN_Zugliste!$A$4:$F$2002,7,FALSE),"")</f>
        <v/>
      </c>
      <c r="HH329" t="str">
        <f>+IFERROR(VLOOKUP(HH30,IN_Zugliste!$A$4:$F$2002,7,FALSE),"")</f>
        <v/>
      </c>
      <c r="HI329" t="str">
        <f>+IFERROR(VLOOKUP(HI30,IN_Zugliste!$A$4:$F$2002,7,FALSE),"")</f>
        <v/>
      </c>
      <c r="HJ329" t="str">
        <f>+IFERROR(VLOOKUP(HJ30,IN_Zugliste!$A$4:$F$2002,7,FALSE),"")</f>
        <v/>
      </c>
      <c r="HK329" t="str">
        <f>+IFERROR(VLOOKUP(HK30,IN_Zugliste!$A$4:$F$2002,7,FALSE),"")</f>
        <v/>
      </c>
      <c r="HL329" t="str">
        <f>+IFERROR(VLOOKUP(HL30,IN_Zugliste!$A$4:$F$2002,7,FALSE),"")</f>
        <v/>
      </c>
      <c r="HM329" t="str">
        <f>+IFERROR(VLOOKUP(HM30,IN_Zugliste!$A$4:$F$2002,7,FALSE),"")</f>
        <v/>
      </c>
      <c r="HN329" t="str">
        <f>+IFERROR(VLOOKUP(HN30,IN_Zugliste!$A$4:$F$2002,7,FALSE),"")</f>
        <v/>
      </c>
      <c r="HO329" t="str">
        <f>+IFERROR(VLOOKUP(HO30,IN_Zugliste!$A$4:$F$2002,7,FALSE),"")</f>
        <v/>
      </c>
      <c r="HP329" t="str">
        <f>+IFERROR(VLOOKUP(HP30,IN_Zugliste!$A$4:$F$2002,7,FALSE),"")</f>
        <v/>
      </c>
      <c r="HQ329" t="str">
        <f>+IFERROR(VLOOKUP(HQ30,IN_Zugliste!$A$4:$F$2002,7,FALSE),"")</f>
        <v/>
      </c>
      <c r="HR329" t="str">
        <f>+IFERROR(VLOOKUP(HR30,IN_Zugliste!$A$4:$F$2002,7,FALSE),"")</f>
        <v/>
      </c>
      <c r="HS329" t="str">
        <f>+IFERROR(VLOOKUP(HS30,IN_Zugliste!$A$4:$F$2002,7,FALSE),"")</f>
        <v/>
      </c>
      <c r="HT329" t="str">
        <f>+IFERROR(VLOOKUP(HT30,IN_Zugliste!$A$4:$F$2002,7,FALSE),"")</f>
        <v/>
      </c>
      <c r="HU329" t="str">
        <f>+IFERROR(VLOOKUP(HU30,IN_Zugliste!$A$4:$F$2002,7,FALSE),"")</f>
        <v/>
      </c>
      <c r="HV329" t="str">
        <f>+IFERROR(VLOOKUP(HV30,IN_Zugliste!$A$4:$F$2002,7,FALSE),"")</f>
        <v/>
      </c>
      <c r="HW329" t="str">
        <f>+IFERROR(VLOOKUP(HW30,IN_Zugliste!$A$4:$F$2002,7,FALSE),"")</f>
        <v/>
      </c>
      <c r="HX329" t="str">
        <f>+IFERROR(VLOOKUP(HX30,IN_Zugliste!$A$4:$F$2002,7,FALSE),"")</f>
        <v/>
      </c>
      <c r="HY329" t="str">
        <f>+IFERROR(VLOOKUP(HY30,IN_Zugliste!$A$4:$F$2002,7,FALSE),"")</f>
        <v/>
      </c>
      <c r="HZ329" t="str">
        <f>+IFERROR(VLOOKUP(HZ30,IN_Zugliste!$A$4:$F$2002,7,FALSE),"")</f>
        <v/>
      </c>
      <c r="IA329" t="str">
        <f>+IFERROR(VLOOKUP(IA30,IN_Zugliste!$A$4:$F$2002,7,FALSE),"")</f>
        <v/>
      </c>
      <c r="IB329" t="str">
        <f>+IFERROR(VLOOKUP(IB30,IN_Zugliste!$A$4:$F$2002,7,FALSE),"")</f>
        <v/>
      </c>
      <c r="IC329" t="str">
        <f>+IFERROR(VLOOKUP(IC30,IN_Zugliste!$A$4:$F$2002,7,FALSE),"")</f>
        <v/>
      </c>
      <c r="ID329" t="str">
        <f>+IFERROR(VLOOKUP(ID30,IN_Zugliste!$A$4:$F$2002,7,FALSE),"")</f>
        <v/>
      </c>
      <c r="IE329" t="str">
        <f>+IFERROR(VLOOKUP(IE30,IN_Zugliste!$A$4:$F$2002,7,FALSE),"")</f>
        <v/>
      </c>
      <c r="IF329" t="str">
        <f>+IFERROR(VLOOKUP(IF30,IN_Zugliste!$A$4:$F$2002,7,FALSE),"")</f>
        <v/>
      </c>
      <c r="IG329" t="str">
        <f>+IFERROR(VLOOKUP(IG30,IN_Zugliste!$A$4:$F$2002,7,FALSE),"")</f>
        <v/>
      </c>
      <c r="IH329" t="str">
        <f>+IFERROR(VLOOKUP(IH30,IN_Zugliste!$A$4:$F$2002,7,FALSE),"")</f>
        <v/>
      </c>
      <c r="II329" t="str">
        <f>+IFERROR(VLOOKUP(II30,IN_Zugliste!$A$4:$F$2002,7,FALSE),"")</f>
        <v/>
      </c>
      <c r="IJ329" t="str">
        <f>+IFERROR(VLOOKUP(IJ30,IN_Zugliste!$A$4:$F$2002,7,FALSE),"")</f>
        <v/>
      </c>
      <c r="IK329" t="str">
        <f>+IFERROR(VLOOKUP(IK30,IN_Zugliste!$A$4:$F$2002,7,FALSE),"")</f>
        <v/>
      </c>
      <c r="IL329" t="str">
        <f>+IFERROR(VLOOKUP(IL30,IN_Zugliste!$A$4:$F$2002,7,FALSE),"")</f>
        <v/>
      </c>
      <c r="IM329" t="str">
        <f>+IFERROR(VLOOKUP(IM30,IN_Zugliste!$A$4:$F$2002,7,FALSE),"")</f>
        <v/>
      </c>
      <c r="IN329" t="str">
        <f>+IFERROR(VLOOKUP(IN30,IN_Zugliste!$A$4:$F$2002,7,FALSE),"")</f>
        <v/>
      </c>
      <c r="IO329" t="str">
        <f>+IFERROR(VLOOKUP(IO30,IN_Zugliste!$A$4:$F$2002,7,FALSE),"")</f>
        <v/>
      </c>
      <c r="IP329" t="str">
        <f>+IFERROR(VLOOKUP(IP30,IN_Zugliste!$A$4:$F$2002,7,FALSE),"")</f>
        <v/>
      </c>
      <c r="IQ329" t="str">
        <f>+IFERROR(VLOOKUP(IQ30,IN_Zugliste!$A$4:$F$2002,7,FALSE),"")</f>
        <v/>
      </c>
      <c r="IR329" t="str">
        <f>+IFERROR(VLOOKUP(IR30,IN_Zugliste!$A$4:$F$2002,7,FALSE),"")</f>
        <v/>
      </c>
      <c r="IS329" t="str">
        <f>+IFERROR(VLOOKUP(IS30,IN_Zugliste!$A$4:$F$2002,7,FALSE),"")</f>
        <v/>
      </c>
      <c r="IT329" t="str">
        <f>+IFERROR(VLOOKUP(IT30,IN_Zugliste!$A$4:$F$2002,7,FALSE),"")</f>
        <v/>
      </c>
      <c r="IU329" t="str">
        <f>+IFERROR(VLOOKUP(IU30,IN_Zugliste!$A$4:$F$2002,7,FALSE),"")</f>
        <v/>
      </c>
      <c r="IV329" t="str">
        <f>+IFERROR(VLOOKUP(IV30,IN_Zugliste!$A$4:$F$2002,7,FALSE),"")</f>
        <v/>
      </c>
      <c r="IW329" t="str">
        <f>+IFERROR(VLOOKUP(IW30,IN_Zugliste!$A$4:$F$2002,7,FALSE),"")</f>
        <v/>
      </c>
      <c r="IX329" t="str">
        <f>+IFERROR(VLOOKUP(IX30,IN_Zugliste!$A$4:$F$2002,7,FALSE),"")</f>
        <v/>
      </c>
      <c r="IY329" t="str">
        <f>+IFERROR(VLOOKUP(IY30,IN_Zugliste!$A$4:$F$2002,7,FALSE),"")</f>
        <v/>
      </c>
      <c r="IZ329" t="str">
        <f>+IFERROR(VLOOKUP(IZ30,IN_Zugliste!$A$4:$F$2002,7,FALSE),"")</f>
        <v/>
      </c>
      <c r="JA329" t="str">
        <f>+IFERROR(VLOOKUP(JA30,IN_Zugliste!$A$4:$F$2002,7,FALSE),"")</f>
        <v/>
      </c>
      <c r="JB329" t="str">
        <f>+IFERROR(VLOOKUP(JB30,IN_Zugliste!$A$4:$F$2002,7,FALSE),"")</f>
        <v/>
      </c>
      <c r="JC329" t="str">
        <f>+IFERROR(VLOOKUP(JC30,IN_Zugliste!$A$4:$F$2002,7,FALSE),"")</f>
        <v/>
      </c>
      <c r="JD329" t="str">
        <f>+IFERROR(VLOOKUP(JD30,IN_Zugliste!$A$4:$F$2002,7,FALSE),"")</f>
        <v/>
      </c>
      <c r="JE329" t="str">
        <f>+IFERROR(VLOOKUP(JE30,IN_Zugliste!$A$4:$F$2002,7,FALSE),"")</f>
        <v/>
      </c>
      <c r="JF329" t="str">
        <f>+IFERROR(VLOOKUP(JF30,IN_Zugliste!$A$4:$F$2002,7,FALSE),"")</f>
        <v/>
      </c>
      <c r="JG329" t="str">
        <f>+IFERROR(VLOOKUP(JG30,IN_Zugliste!$A$4:$F$2002,7,FALSE),"")</f>
        <v/>
      </c>
      <c r="JH329" t="str">
        <f>+IFERROR(VLOOKUP(JH30,IN_Zugliste!$A$4:$F$2002,7,FALSE),"")</f>
        <v/>
      </c>
      <c r="JI329" t="str">
        <f>+IFERROR(VLOOKUP(JI30,IN_Zugliste!$A$4:$F$2002,7,FALSE),"")</f>
        <v/>
      </c>
      <c r="JJ329" t="str">
        <f>+IFERROR(VLOOKUP(JJ30,IN_Zugliste!$A$4:$F$2002,7,FALSE),"")</f>
        <v/>
      </c>
    </row>
    <row r="330" spans="1:270" x14ac:dyDescent="0.2">
      <c r="A330" t="str">
        <f>+IFERROR(VLOOKUP(A31,IN_Zugliste!$A$4:$F$2002,7,FALSE),"")</f>
        <v/>
      </c>
      <c r="B330" t="str">
        <f>+IFERROR(VLOOKUP(B31,IN_Zugliste!$A$4:$F$2002,7,FALSE),"")</f>
        <v/>
      </c>
      <c r="C330" t="str">
        <f>+IFERROR(VLOOKUP(C31,IN_Zugliste!$A$4:$F$2002,7,FALSE),"")</f>
        <v/>
      </c>
      <c r="D330" t="str">
        <f>+IFERROR(VLOOKUP(D31,IN_Zugliste!$A$4:$F$2002,7,FALSE),"")</f>
        <v/>
      </c>
      <c r="E330" t="str">
        <f>+IFERROR(VLOOKUP(E31,IN_Zugliste!$A$4:$F$2002,7,FALSE),"")</f>
        <v/>
      </c>
      <c r="F330" t="str">
        <f>+IFERROR(VLOOKUP(F31,IN_Zugliste!$A$4:$F$2002,7,FALSE),"")</f>
        <v/>
      </c>
      <c r="G330" t="str">
        <f>+IFERROR(VLOOKUP(G31,IN_Zugliste!$A$4:$F$2002,7,FALSE),"")</f>
        <v/>
      </c>
      <c r="H330" t="str">
        <f>+IFERROR(VLOOKUP(H31,IN_Zugliste!$A$4:$F$2002,7,FALSE),"")</f>
        <v/>
      </c>
      <c r="I330" t="str">
        <f>+IFERROR(VLOOKUP(I31,IN_Zugliste!$A$4:$F$2002,7,FALSE),"")</f>
        <v/>
      </c>
      <c r="J330" t="str">
        <f>+IFERROR(VLOOKUP(J31,IN_Zugliste!$A$4:$F$2002,7,FALSE),"")</f>
        <v/>
      </c>
      <c r="K330" t="str">
        <f>+IFERROR(VLOOKUP(K31,IN_Zugliste!$A$4:$F$2002,7,FALSE),"")</f>
        <v/>
      </c>
      <c r="L330" t="str">
        <f>+IFERROR(VLOOKUP(L31,IN_Zugliste!$A$4:$F$2002,7,FALSE),"")</f>
        <v/>
      </c>
      <c r="M330" t="str">
        <f>+IFERROR(VLOOKUP(M31,IN_Zugliste!$A$4:$F$2002,7,FALSE),"")</f>
        <v/>
      </c>
      <c r="N330" t="str">
        <f>+IFERROR(VLOOKUP(N31,IN_Zugliste!$A$4:$F$2002,7,FALSE),"")</f>
        <v/>
      </c>
      <c r="O330" t="str">
        <f>+IFERROR(VLOOKUP(O31,IN_Zugliste!$A$4:$F$2002,7,FALSE),"")</f>
        <v/>
      </c>
      <c r="P330" t="str">
        <f>+IFERROR(VLOOKUP(P31,IN_Zugliste!$A$4:$F$2002,7,FALSE),"")</f>
        <v/>
      </c>
      <c r="Q330" t="str">
        <f>+IFERROR(VLOOKUP(Q31,IN_Zugliste!$A$4:$F$2002,7,FALSE),"")</f>
        <v/>
      </c>
      <c r="R330" t="str">
        <f>+IFERROR(VLOOKUP(R31,IN_Zugliste!$A$4:$F$2002,7,FALSE),"")</f>
        <v/>
      </c>
      <c r="S330" t="str">
        <f>+IFERROR(VLOOKUP(S31,IN_Zugliste!$A$4:$F$2002,7,FALSE),"")</f>
        <v/>
      </c>
      <c r="T330" t="str">
        <f>+IFERROR(VLOOKUP(T31,IN_Zugliste!$A$4:$F$2002,7,FALSE),"")</f>
        <v/>
      </c>
      <c r="U330" t="str">
        <f>+IFERROR(VLOOKUP(U31,IN_Zugliste!$A$4:$F$2002,7,FALSE),"")</f>
        <v/>
      </c>
      <c r="V330" t="str">
        <f>+IFERROR(VLOOKUP(V31,IN_Zugliste!$A$4:$F$2002,7,FALSE),"")</f>
        <v/>
      </c>
      <c r="W330" t="str">
        <f>+IFERROR(VLOOKUP(W31,IN_Zugliste!$A$4:$F$2002,7,FALSE),"")</f>
        <v/>
      </c>
      <c r="X330" t="str">
        <f>+IFERROR(VLOOKUP(X31,IN_Zugliste!$A$4:$F$2002,7,FALSE),"")</f>
        <v/>
      </c>
      <c r="Y330" t="str">
        <f>+IFERROR(VLOOKUP(Y31,IN_Zugliste!$A$4:$F$2002,7,FALSE),"")</f>
        <v/>
      </c>
      <c r="Z330" t="str">
        <f>+IFERROR(VLOOKUP(Z31,IN_Zugliste!$A$4:$F$2002,7,FALSE),"")</f>
        <v/>
      </c>
      <c r="AA330" t="str">
        <f>+IFERROR(VLOOKUP(AA31,IN_Zugliste!$A$4:$F$2002,7,FALSE),"")</f>
        <v/>
      </c>
      <c r="AB330" t="str">
        <f>+IFERROR(VLOOKUP(AB31,IN_Zugliste!$A$4:$F$2002,7,FALSE),"")</f>
        <v/>
      </c>
      <c r="AC330" t="str">
        <f>+IFERROR(VLOOKUP(AC31,IN_Zugliste!$A$4:$F$2002,7,FALSE),"")</f>
        <v/>
      </c>
      <c r="AD330" t="str">
        <f>+IFERROR(VLOOKUP(AD31,IN_Zugliste!$A$4:$F$2002,7,FALSE),"")</f>
        <v/>
      </c>
      <c r="AE330" t="str">
        <f>+IFERROR(VLOOKUP(AE31,IN_Zugliste!$A$4:$F$2002,7,FALSE),"")</f>
        <v/>
      </c>
      <c r="AF330" t="str">
        <f>+IFERROR(VLOOKUP(AF31,IN_Zugliste!$A$4:$F$2002,7,FALSE),"")</f>
        <v/>
      </c>
      <c r="AG330" t="str">
        <f>+IFERROR(VLOOKUP(AG31,IN_Zugliste!$A$4:$F$2002,7,FALSE),"")</f>
        <v/>
      </c>
      <c r="AH330" t="str">
        <f>+IFERROR(VLOOKUP(AH31,IN_Zugliste!$A$4:$F$2002,7,FALSE),"")</f>
        <v/>
      </c>
      <c r="AI330" t="str">
        <f>+IFERROR(VLOOKUP(AI31,IN_Zugliste!$A$4:$F$2002,7,FALSE),"")</f>
        <v/>
      </c>
      <c r="AJ330" t="str">
        <f>+IFERROR(VLOOKUP(AJ31,IN_Zugliste!$A$4:$F$2002,7,FALSE),"")</f>
        <v/>
      </c>
      <c r="AK330" t="str">
        <f>+IFERROR(VLOOKUP(AK31,IN_Zugliste!$A$4:$F$2002,7,FALSE),"")</f>
        <v/>
      </c>
      <c r="AL330" t="str">
        <f>+IFERROR(VLOOKUP(AL31,IN_Zugliste!$A$4:$F$2002,7,FALSE),"")</f>
        <v/>
      </c>
      <c r="AM330" t="str">
        <f>+IFERROR(VLOOKUP(AM31,IN_Zugliste!$A$4:$F$2002,7,FALSE),"")</f>
        <v/>
      </c>
      <c r="AN330" t="str">
        <f>+IFERROR(VLOOKUP(AN31,IN_Zugliste!$A$4:$F$2002,7,FALSE),"")</f>
        <v/>
      </c>
      <c r="AO330" t="str">
        <f>+IFERROR(VLOOKUP(AO31,IN_Zugliste!$A$4:$F$2002,7,FALSE),"")</f>
        <v/>
      </c>
      <c r="AP330" t="str">
        <f>+IFERROR(VLOOKUP(AP31,IN_Zugliste!$A$4:$F$2002,7,FALSE),"")</f>
        <v/>
      </c>
      <c r="AQ330" t="str">
        <f>+IFERROR(VLOOKUP(AQ31,IN_Zugliste!$A$4:$F$2002,7,FALSE),"")</f>
        <v/>
      </c>
      <c r="AR330" t="str">
        <f>+IFERROR(VLOOKUP(AR31,IN_Zugliste!$A$4:$F$2002,7,FALSE),"")</f>
        <v/>
      </c>
      <c r="AS330" t="str">
        <f>+IFERROR(VLOOKUP(AS31,IN_Zugliste!$A$4:$F$2002,7,FALSE),"")</f>
        <v/>
      </c>
      <c r="AT330" t="str">
        <f>+IFERROR(VLOOKUP(AT31,IN_Zugliste!$A$4:$F$2002,7,FALSE),"")</f>
        <v/>
      </c>
      <c r="AU330" t="str">
        <f>+IFERROR(VLOOKUP(AU31,IN_Zugliste!$A$4:$F$2002,7,FALSE),"")</f>
        <v/>
      </c>
      <c r="AV330" t="str">
        <f>+IFERROR(VLOOKUP(AV31,IN_Zugliste!$A$4:$F$2002,7,FALSE),"")</f>
        <v/>
      </c>
      <c r="AW330" t="str">
        <f>+IFERROR(VLOOKUP(AW31,IN_Zugliste!$A$4:$F$2002,7,FALSE),"")</f>
        <v/>
      </c>
      <c r="AX330" t="str">
        <f>+IFERROR(VLOOKUP(AX31,IN_Zugliste!$A$4:$F$2002,7,FALSE),"")</f>
        <v/>
      </c>
      <c r="AY330" t="str">
        <f>+IFERROR(VLOOKUP(AY31,IN_Zugliste!$A$4:$F$2002,7,FALSE),"")</f>
        <v/>
      </c>
      <c r="AZ330" t="str">
        <f>+IFERROR(VLOOKUP(AZ31,IN_Zugliste!$A$4:$F$2002,7,FALSE),"")</f>
        <v/>
      </c>
      <c r="BA330" t="str">
        <f>+IFERROR(VLOOKUP(BA31,IN_Zugliste!$A$4:$F$2002,7,FALSE),"")</f>
        <v/>
      </c>
      <c r="BB330" t="str">
        <f>+IFERROR(VLOOKUP(BB31,IN_Zugliste!$A$4:$F$2002,7,FALSE),"")</f>
        <v/>
      </c>
      <c r="BC330" t="str">
        <f>+IFERROR(VLOOKUP(BC31,IN_Zugliste!$A$4:$F$2002,7,FALSE),"")</f>
        <v/>
      </c>
      <c r="BD330" t="str">
        <f>+IFERROR(VLOOKUP(BD31,IN_Zugliste!$A$4:$F$2002,7,FALSE),"")</f>
        <v/>
      </c>
      <c r="BE330" t="str">
        <f>+IFERROR(VLOOKUP(BE31,IN_Zugliste!$A$4:$F$2002,7,FALSE),"")</f>
        <v/>
      </c>
      <c r="BF330" t="str">
        <f>+IFERROR(VLOOKUP(BF31,IN_Zugliste!$A$4:$F$2002,7,FALSE),"")</f>
        <v/>
      </c>
      <c r="BG330" t="str">
        <f>+IFERROR(VLOOKUP(BG31,IN_Zugliste!$A$4:$F$2002,7,FALSE),"")</f>
        <v/>
      </c>
      <c r="BH330" t="str">
        <f>+IFERROR(VLOOKUP(BH31,IN_Zugliste!$A$4:$F$2002,7,FALSE),"")</f>
        <v/>
      </c>
      <c r="BI330" t="str">
        <f>+IFERROR(VLOOKUP(BI31,IN_Zugliste!$A$4:$F$2002,7,FALSE),"")</f>
        <v/>
      </c>
      <c r="BJ330" t="str">
        <f>+IFERROR(VLOOKUP(BJ31,IN_Zugliste!$A$4:$F$2002,7,FALSE),"")</f>
        <v/>
      </c>
      <c r="BK330" t="str">
        <f>+IFERROR(VLOOKUP(BK31,IN_Zugliste!$A$4:$F$2002,7,FALSE),"")</f>
        <v/>
      </c>
      <c r="BL330" t="str">
        <f>+IFERROR(VLOOKUP(BL31,IN_Zugliste!$A$4:$F$2002,7,FALSE),"")</f>
        <v/>
      </c>
      <c r="BM330" t="str">
        <f>+IFERROR(VLOOKUP(BM31,IN_Zugliste!$A$4:$F$2002,7,FALSE),"")</f>
        <v/>
      </c>
      <c r="BN330" t="str">
        <f>+IFERROR(VLOOKUP(BN31,IN_Zugliste!$A$4:$F$2002,7,FALSE),"")</f>
        <v/>
      </c>
      <c r="BO330" t="str">
        <f>+IFERROR(VLOOKUP(BO31,IN_Zugliste!$A$4:$F$2002,7,FALSE),"")</f>
        <v/>
      </c>
      <c r="BP330" t="str">
        <f>+IFERROR(VLOOKUP(BP31,IN_Zugliste!$A$4:$F$2002,7,FALSE),"")</f>
        <v/>
      </c>
      <c r="BQ330" t="str">
        <f>+IFERROR(VLOOKUP(BQ31,IN_Zugliste!$A$4:$F$2002,7,FALSE),"")</f>
        <v/>
      </c>
      <c r="BR330" t="str">
        <f>+IFERROR(VLOOKUP(BR31,IN_Zugliste!$A$4:$F$2002,7,FALSE),"")</f>
        <v/>
      </c>
      <c r="BS330" t="str">
        <f>+IFERROR(VLOOKUP(BS31,IN_Zugliste!$A$4:$F$2002,7,FALSE),"")</f>
        <v/>
      </c>
      <c r="BT330" t="str">
        <f>+IFERROR(VLOOKUP(BT31,IN_Zugliste!$A$4:$F$2002,7,FALSE),"")</f>
        <v/>
      </c>
      <c r="BU330" t="str">
        <f>+IFERROR(VLOOKUP(BU31,IN_Zugliste!$A$4:$F$2002,7,FALSE),"")</f>
        <v/>
      </c>
      <c r="BV330" t="str">
        <f>+IFERROR(VLOOKUP(BV31,IN_Zugliste!$A$4:$F$2002,7,FALSE),"")</f>
        <v/>
      </c>
      <c r="BW330" t="str">
        <f>+IFERROR(VLOOKUP(BW31,IN_Zugliste!$A$4:$F$2002,7,FALSE),"")</f>
        <v/>
      </c>
      <c r="BX330" t="str">
        <f>+IFERROR(VLOOKUP(BX31,IN_Zugliste!$A$4:$F$2002,7,FALSE),"")</f>
        <v/>
      </c>
      <c r="BY330" t="str">
        <f>+IFERROR(VLOOKUP(BY31,IN_Zugliste!$A$4:$F$2002,7,FALSE),"")</f>
        <v/>
      </c>
      <c r="BZ330" t="str">
        <f>+IFERROR(VLOOKUP(BZ31,IN_Zugliste!$A$4:$F$2002,7,FALSE),"")</f>
        <v/>
      </c>
      <c r="CA330" t="str">
        <f>+IFERROR(VLOOKUP(CA31,IN_Zugliste!$A$4:$F$2002,7,FALSE),"")</f>
        <v/>
      </c>
      <c r="CB330" t="str">
        <f>+IFERROR(VLOOKUP(CB31,IN_Zugliste!$A$4:$F$2002,7,FALSE),"")</f>
        <v/>
      </c>
      <c r="CC330" t="str">
        <f>+IFERROR(VLOOKUP(CC31,IN_Zugliste!$A$4:$F$2002,7,FALSE),"")</f>
        <v/>
      </c>
      <c r="CD330" t="str">
        <f>+IFERROR(VLOOKUP(CD31,IN_Zugliste!$A$4:$F$2002,7,FALSE),"")</f>
        <v/>
      </c>
      <c r="CE330" t="str">
        <f>+IFERROR(VLOOKUP(CE31,IN_Zugliste!$A$4:$F$2002,7,FALSE),"")</f>
        <v/>
      </c>
      <c r="CF330" t="str">
        <f>+IFERROR(VLOOKUP(CF31,IN_Zugliste!$A$4:$F$2002,7,FALSE),"")</f>
        <v/>
      </c>
      <c r="CG330" t="str">
        <f>+IFERROR(VLOOKUP(CG31,IN_Zugliste!$A$4:$F$2002,7,FALSE),"")</f>
        <v/>
      </c>
      <c r="CH330" t="str">
        <f>+IFERROR(VLOOKUP(CH31,IN_Zugliste!$A$4:$F$2002,7,FALSE),"")</f>
        <v/>
      </c>
      <c r="CI330" t="str">
        <f>+IFERROR(VLOOKUP(CI31,IN_Zugliste!$A$4:$F$2002,7,FALSE),"")</f>
        <v/>
      </c>
      <c r="CJ330" t="str">
        <f>+IFERROR(VLOOKUP(CJ31,IN_Zugliste!$A$4:$F$2002,7,FALSE),"")</f>
        <v/>
      </c>
      <c r="CK330" t="str">
        <f>+IFERROR(VLOOKUP(CK31,IN_Zugliste!$A$4:$F$2002,7,FALSE),"")</f>
        <v/>
      </c>
      <c r="CL330" t="str">
        <f>+IFERROR(VLOOKUP(CL31,IN_Zugliste!$A$4:$F$2002,7,FALSE),"")</f>
        <v/>
      </c>
      <c r="CM330" t="str">
        <f>+IFERROR(VLOOKUP(CM31,IN_Zugliste!$A$4:$F$2002,7,FALSE),"")</f>
        <v/>
      </c>
      <c r="CN330" t="str">
        <f>+IFERROR(VLOOKUP(CN31,IN_Zugliste!$A$4:$F$2002,7,FALSE),"")</f>
        <v/>
      </c>
      <c r="CO330" t="str">
        <f>+IFERROR(VLOOKUP(CO31,IN_Zugliste!$A$4:$F$2002,7,FALSE),"")</f>
        <v/>
      </c>
      <c r="CP330" t="str">
        <f>+IFERROR(VLOOKUP(CP31,IN_Zugliste!$A$4:$F$2002,7,FALSE),"")</f>
        <v/>
      </c>
      <c r="CQ330" t="str">
        <f>+IFERROR(VLOOKUP(CQ31,IN_Zugliste!$A$4:$F$2002,7,FALSE),"")</f>
        <v/>
      </c>
      <c r="CR330" t="str">
        <f>+IFERROR(VLOOKUP(CR31,IN_Zugliste!$A$4:$F$2002,7,FALSE),"")</f>
        <v/>
      </c>
      <c r="CS330" t="str">
        <f>+IFERROR(VLOOKUP(CS31,IN_Zugliste!$A$4:$F$2002,7,FALSE),"")</f>
        <v/>
      </c>
      <c r="CT330" t="str">
        <f>+IFERROR(VLOOKUP(CT31,IN_Zugliste!$A$4:$F$2002,7,FALSE),"")</f>
        <v/>
      </c>
      <c r="CU330" t="str">
        <f>+IFERROR(VLOOKUP(CU31,IN_Zugliste!$A$4:$F$2002,7,FALSE),"")</f>
        <v/>
      </c>
      <c r="CV330" t="str">
        <f>+IFERROR(VLOOKUP(CV31,IN_Zugliste!$A$4:$F$2002,7,FALSE),"")</f>
        <v/>
      </c>
      <c r="CW330" t="str">
        <f>+IFERROR(VLOOKUP(CW31,IN_Zugliste!$A$4:$F$2002,7,FALSE),"")</f>
        <v/>
      </c>
      <c r="CX330" t="str">
        <f>+IFERROR(VLOOKUP(CX31,IN_Zugliste!$A$4:$F$2002,7,FALSE),"")</f>
        <v/>
      </c>
      <c r="CY330" t="str">
        <f>+IFERROR(VLOOKUP(CY31,IN_Zugliste!$A$4:$F$2002,7,FALSE),"")</f>
        <v/>
      </c>
      <c r="CZ330" t="str">
        <f>+IFERROR(VLOOKUP(CZ31,IN_Zugliste!$A$4:$F$2002,7,FALSE),"")</f>
        <v/>
      </c>
      <c r="DA330" t="str">
        <f>+IFERROR(VLOOKUP(DA31,IN_Zugliste!$A$4:$F$2002,7,FALSE),"")</f>
        <v/>
      </c>
      <c r="DB330" t="str">
        <f>+IFERROR(VLOOKUP(DB31,IN_Zugliste!$A$4:$F$2002,7,FALSE),"")</f>
        <v/>
      </c>
      <c r="DC330" t="str">
        <f>+IFERROR(VLOOKUP(DC31,IN_Zugliste!$A$4:$F$2002,7,FALSE),"")</f>
        <v/>
      </c>
      <c r="DD330" t="str">
        <f>+IFERROR(VLOOKUP(DD31,IN_Zugliste!$A$4:$F$2002,7,FALSE),"")</f>
        <v/>
      </c>
      <c r="DE330" t="str">
        <f>+IFERROR(VLOOKUP(DE31,IN_Zugliste!$A$4:$F$2002,7,FALSE),"")</f>
        <v/>
      </c>
      <c r="DF330" t="str">
        <f>+IFERROR(VLOOKUP(DF31,IN_Zugliste!$A$4:$F$2002,7,FALSE),"")</f>
        <v/>
      </c>
      <c r="DG330" t="str">
        <f>+IFERROR(VLOOKUP(DG31,IN_Zugliste!$A$4:$F$2002,7,FALSE),"")</f>
        <v/>
      </c>
      <c r="DH330" t="str">
        <f>+IFERROR(VLOOKUP(DH31,IN_Zugliste!$A$4:$F$2002,7,FALSE),"")</f>
        <v/>
      </c>
      <c r="DI330" t="str">
        <f>+IFERROR(VLOOKUP(DI31,IN_Zugliste!$A$4:$F$2002,7,FALSE),"")</f>
        <v/>
      </c>
      <c r="DJ330" t="str">
        <f>+IFERROR(VLOOKUP(DJ31,IN_Zugliste!$A$4:$F$2002,7,FALSE),"")</f>
        <v/>
      </c>
      <c r="DK330" t="str">
        <f>+IFERROR(VLOOKUP(DK31,IN_Zugliste!$A$4:$F$2002,7,FALSE),"")</f>
        <v/>
      </c>
      <c r="DL330" t="str">
        <f>+IFERROR(VLOOKUP(DL31,IN_Zugliste!$A$4:$F$2002,7,FALSE),"")</f>
        <v/>
      </c>
      <c r="DM330" t="str">
        <f>+IFERROR(VLOOKUP(DM31,IN_Zugliste!$A$4:$F$2002,7,FALSE),"")</f>
        <v/>
      </c>
      <c r="DN330" t="str">
        <f>+IFERROR(VLOOKUP(DN31,IN_Zugliste!$A$4:$F$2002,7,FALSE),"")</f>
        <v/>
      </c>
      <c r="DO330" t="str">
        <f>+IFERROR(VLOOKUP(DO31,IN_Zugliste!$A$4:$F$2002,7,FALSE),"")</f>
        <v/>
      </c>
      <c r="DP330" t="str">
        <f>+IFERROR(VLOOKUP(DP31,IN_Zugliste!$A$4:$F$2002,7,FALSE),"")</f>
        <v/>
      </c>
      <c r="DQ330" t="str">
        <f>+IFERROR(VLOOKUP(DQ31,IN_Zugliste!$A$4:$F$2002,7,FALSE),"")</f>
        <v/>
      </c>
      <c r="DR330" t="str">
        <f>+IFERROR(VLOOKUP(DR31,IN_Zugliste!$A$4:$F$2002,7,FALSE),"")</f>
        <v/>
      </c>
      <c r="DS330" t="str">
        <f>+IFERROR(VLOOKUP(DS31,IN_Zugliste!$A$4:$F$2002,7,FALSE),"")</f>
        <v/>
      </c>
      <c r="DT330" t="str">
        <f>+IFERROR(VLOOKUP(DT31,IN_Zugliste!$A$4:$F$2002,7,FALSE),"")</f>
        <v/>
      </c>
      <c r="DU330" t="str">
        <f>+IFERROR(VLOOKUP(DU31,IN_Zugliste!$A$4:$F$2002,7,FALSE),"")</f>
        <v/>
      </c>
      <c r="DV330" t="str">
        <f>+IFERROR(VLOOKUP(DV31,IN_Zugliste!$A$4:$F$2002,7,FALSE),"")</f>
        <v/>
      </c>
      <c r="DW330" t="str">
        <f>+IFERROR(VLOOKUP(DW31,IN_Zugliste!$A$4:$F$2002,7,FALSE),"")</f>
        <v/>
      </c>
      <c r="DX330" t="str">
        <f>+IFERROR(VLOOKUP(DX31,IN_Zugliste!$A$4:$F$2002,7,FALSE),"")</f>
        <v/>
      </c>
      <c r="DY330" t="str">
        <f>+IFERROR(VLOOKUP(DY31,IN_Zugliste!$A$4:$F$2002,7,FALSE),"")</f>
        <v/>
      </c>
      <c r="DZ330" t="str">
        <f>+IFERROR(VLOOKUP(DZ31,IN_Zugliste!$A$4:$F$2002,7,FALSE),"")</f>
        <v/>
      </c>
      <c r="EA330" t="str">
        <f>+IFERROR(VLOOKUP(EA31,IN_Zugliste!$A$4:$F$2002,7,FALSE),"")</f>
        <v/>
      </c>
      <c r="EB330" t="str">
        <f>+IFERROR(VLOOKUP(EB31,IN_Zugliste!$A$4:$F$2002,7,FALSE),"")</f>
        <v/>
      </c>
      <c r="EC330" t="str">
        <f>+IFERROR(VLOOKUP(EC31,IN_Zugliste!$A$4:$F$2002,7,FALSE),"")</f>
        <v/>
      </c>
      <c r="ED330" t="str">
        <f>+IFERROR(VLOOKUP(ED31,IN_Zugliste!$A$4:$F$2002,7,FALSE),"")</f>
        <v/>
      </c>
      <c r="EE330" t="str">
        <f>+IFERROR(VLOOKUP(EE31,IN_Zugliste!$A$4:$F$2002,7,FALSE),"")</f>
        <v/>
      </c>
      <c r="EF330" t="str">
        <f>+IFERROR(VLOOKUP(EF31,IN_Zugliste!$A$4:$F$2002,7,FALSE),"")</f>
        <v/>
      </c>
      <c r="EG330" t="str">
        <f>+IFERROR(VLOOKUP(EG31,IN_Zugliste!$A$4:$F$2002,7,FALSE),"")</f>
        <v/>
      </c>
      <c r="EH330" t="str">
        <f>+IFERROR(VLOOKUP(EH31,IN_Zugliste!$A$4:$F$2002,7,FALSE),"")</f>
        <v/>
      </c>
      <c r="EI330" t="str">
        <f>+IFERROR(VLOOKUP(EI31,IN_Zugliste!$A$4:$F$2002,7,FALSE),"")</f>
        <v/>
      </c>
      <c r="EJ330" t="str">
        <f>+IFERROR(VLOOKUP(EJ31,IN_Zugliste!$A$4:$F$2002,7,FALSE),"")</f>
        <v/>
      </c>
      <c r="EK330" t="str">
        <f>+IFERROR(VLOOKUP(EK31,IN_Zugliste!$A$4:$F$2002,7,FALSE),"")</f>
        <v/>
      </c>
      <c r="EL330" t="str">
        <f>+IFERROR(VLOOKUP(EL31,IN_Zugliste!$A$4:$F$2002,7,FALSE),"")</f>
        <v/>
      </c>
      <c r="EM330" t="str">
        <f>+IFERROR(VLOOKUP(EM31,IN_Zugliste!$A$4:$F$2002,7,FALSE),"")</f>
        <v/>
      </c>
      <c r="EN330" t="str">
        <f>+IFERROR(VLOOKUP(EN31,IN_Zugliste!$A$4:$F$2002,7,FALSE),"")</f>
        <v/>
      </c>
      <c r="EO330" t="str">
        <f>+IFERROR(VLOOKUP(EO31,IN_Zugliste!$A$4:$F$2002,7,FALSE),"")</f>
        <v/>
      </c>
      <c r="EP330" t="str">
        <f>+IFERROR(VLOOKUP(EP31,IN_Zugliste!$A$4:$F$2002,7,FALSE),"")</f>
        <v/>
      </c>
      <c r="EQ330" t="str">
        <f>+IFERROR(VLOOKUP(EQ31,IN_Zugliste!$A$4:$F$2002,7,FALSE),"")</f>
        <v/>
      </c>
      <c r="ER330" t="str">
        <f>+IFERROR(VLOOKUP(ER31,IN_Zugliste!$A$4:$F$2002,7,FALSE),"")</f>
        <v/>
      </c>
      <c r="ES330" t="str">
        <f>+IFERROR(VLOOKUP(ES31,IN_Zugliste!$A$4:$F$2002,7,FALSE),"")</f>
        <v/>
      </c>
      <c r="ET330" t="str">
        <f>+IFERROR(VLOOKUP(ET31,IN_Zugliste!$A$4:$F$2002,7,FALSE),"")</f>
        <v/>
      </c>
      <c r="EU330" t="str">
        <f>+IFERROR(VLOOKUP(EU31,IN_Zugliste!$A$4:$F$2002,7,FALSE),"")</f>
        <v/>
      </c>
      <c r="EV330" t="str">
        <f>+IFERROR(VLOOKUP(EV31,IN_Zugliste!$A$4:$F$2002,7,FALSE),"")</f>
        <v/>
      </c>
      <c r="EW330" t="str">
        <f>+IFERROR(VLOOKUP(EW31,IN_Zugliste!$A$4:$F$2002,7,FALSE),"")</f>
        <v/>
      </c>
      <c r="EX330" t="str">
        <f>+IFERROR(VLOOKUP(EX31,IN_Zugliste!$A$4:$F$2002,7,FALSE),"")</f>
        <v/>
      </c>
      <c r="EY330" t="str">
        <f>+IFERROR(VLOOKUP(EY31,IN_Zugliste!$A$4:$F$2002,7,FALSE),"")</f>
        <v/>
      </c>
      <c r="EZ330" t="str">
        <f>+IFERROR(VLOOKUP(EZ31,IN_Zugliste!$A$4:$F$2002,7,FALSE),"")</f>
        <v/>
      </c>
      <c r="FA330" t="str">
        <f>+IFERROR(VLOOKUP(FA31,IN_Zugliste!$A$4:$F$2002,7,FALSE),"")</f>
        <v/>
      </c>
      <c r="FB330" t="str">
        <f>+IFERROR(VLOOKUP(FB31,IN_Zugliste!$A$4:$F$2002,7,FALSE),"")</f>
        <v/>
      </c>
      <c r="FC330" t="str">
        <f>+IFERROR(VLOOKUP(FC31,IN_Zugliste!$A$4:$F$2002,7,FALSE),"")</f>
        <v/>
      </c>
      <c r="FD330" t="str">
        <f>+IFERROR(VLOOKUP(FD31,IN_Zugliste!$A$4:$F$2002,7,FALSE),"")</f>
        <v/>
      </c>
      <c r="FE330" t="str">
        <f>+IFERROR(VLOOKUP(FE31,IN_Zugliste!$A$4:$F$2002,7,FALSE),"")</f>
        <v/>
      </c>
      <c r="FF330" t="str">
        <f>+IFERROR(VLOOKUP(FF31,IN_Zugliste!$A$4:$F$2002,7,FALSE),"")</f>
        <v/>
      </c>
      <c r="FG330" t="str">
        <f>+IFERROR(VLOOKUP(FG31,IN_Zugliste!$A$4:$F$2002,7,FALSE),"")</f>
        <v/>
      </c>
      <c r="FH330" t="str">
        <f>+IFERROR(VLOOKUP(FH31,IN_Zugliste!$A$4:$F$2002,7,FALSE),"")</f>
        <v/>
      </c>
      <c r="FI330" t="str">
        <f>+IFERROR(VLOOKUP(FI31,IN_Zugliste!$A$4:$F$2002,7,FALSE),"")</f>
        <v/>
      </c>
      <c r="FJ330" t="str">
        <f>+IFERROR(VLOOKUP(FJ31,IN_Zugliste!$A$4:$F$2002,7,FALSE),"")</f>
        <v/>
      </c>
      <c r="FK330" t="str">
        <f>+IFERROR(VLOOKUP(FK31,IN_Zugliste!$A$4:$F$2002,7,FALSE),"")</f>
        <v/>
      </c>
      <c r="FL330" t="str">
        <f>+IFERROR(VLOOKUP(FL31,IN_Zugliste!$A$4:$F$2002,7,FALSE),"")</f>
        <v/>
      </c>
      <c r="FM330" t="str">
        <f>+IFERROR(VLOOKUP(FM31,IN_Zugliste!$A$4:$F$2002,7,FALSE),"")</f>
        <v/>
      </c>
      <c r="FN330" t="str">
        <f>+IFERROR(VLOOKUP(FN31,IN_Zugliste!$A$4:$F$2002,7,FALSE),"")</f>
        <v/>
      </c>
      <c r="FO330" t="str">
        <f>+IFERROR(VLOOKUP(FO31,IN_Zugliste!$A$4:$F$2002,7,FALSE),"")</f>
        <v/>
      </c>
      <c r="FP330" t="str">
        <f>+IFERROR(VLOOKUP(FP31,IN_Zugliste!$A$4:$F$2002,7,FALSE),"")</f>
        <v/>
      </c>
      <c r="FQ330" t="str">
        <f>+IFERROR(VLOOKUP(FQ31,IN_Zugliste!$A$4:$F$2002,7,FALSE),"")</f>
        <v/>
      </c>
      <c r="FR330" t="str">
        <f>+IFERROR(VLOOKUP(FR31,IN_Zugliste!$A$4:$F$2002,7,FALSE),"")</f>
        <v/>
      </c>
      <c r="FS330" t="str">
        <f>+IFERROR(VLOOKUP(FS31,IN_Zugliste!$A$4:$F$2002,7,FALSE),"")</f>
        <v/>
      </c>
      <c r="FT330" t="str">
        <f>+IFERROR(VLOOKUP(FT31,IN_Zugliste!$A$4:$F$2002,7,FALSE),"")</f>
        <v/>
      </c>
      <c r="FU330" t="str">
        <f>+IFERROR(VLOOKUP(FU31,IN_Zugliste!$A$4:$F$2002,7,FALSE),"")</f>
        <v/>
      </c>
      <c r="FV330" t="str">
        <f>+IFERROR(VLOOKUP(FV31,IN_Zugliste!$A$4:$F$2002,7,FALSE),"")</f>
        <v/>
      </c>
      <c r="FW330" t="str">
        <f>+IFERROR(VLOOKUP(FW31,IN_Zugliste!$A$4:$F$2002,7,FALSE),"")</f>
        <v/>
      </c>
      <c r="FX330" t="str">
        <f>+IFERROR(VLOOKUP(FX31,IN_Zugliste!$A$4:$F$2002,7,FALSE),"")</f>
        <v/>
      </c>
      <c r="FY330" t="str">
        <f>+IFERROR(VLOOKUP(FY31,IN_Zugliste!$A$4:$F$2002,7,FALSE),"")</f>
        <v/>
      </c>
      <c r="FZ330" t="str">
        <f>+IFERROR(VLOOKUP(FZ31,IN_Zugliste!$A$4:$F$2002,7,FALSE),"")</f>
        <v/>
      </c>
      <c r="GA330" t="str">
        <f>+IFERROR(VLOOKUP(GA31,IN_Zugliste!$A$4:$F$2002,7,FALSE),"")</f>
        <v/>
      </c>
      <c r="GB330" t="str">
        <f>+IFERROR(VLOOKUP(GB31,IN_Zugliste!$A$4:$F$2002,7,FALSE),"")</f>
        <v/>
      </c>
      <c r="GC330" t="str">
        <f>+IFERROR(VLOOKUP(GC31,IN_Zugliste!$A$4:$F$2002,7,FALSE),"")</f>
        <v/>
      </c>
      <c r="GD330" t="str">
        <f>+IFERROR(VLOOKUP(GD31,IN_Zugliste!$A$4:$F$2002,7,FALSE),"")</f>
        <v/>
      </c>
      <c r="GE330" t="str">
        <f>+IFERROR(VLOOKUP(GE31,IN_Zugliste!$A$4:$F$2002,7,FALSE),"")</f>
        <v/>
      </c>
      <c r="GF330" t="str">
        <f>+IFERROR(VLOOKUP(GF31,IN_Zugliste!$A$4:$F$2002,7,FALSE),"")</f>
        <v/>
      </c>
      <c r="GG330" t="str">
        <f>+IFERROR(VLOOKUP(GG31,IN_Zugliste!$A$4:$F$2002,7,FALSE),"")</f>
        <v/>
      </c>
      <c r="GH330" t="str">
        <f>+IFERROR(VLOOKUP(GH31,IN_Zugliste!$A$4:$F$2002,7,FALSE),"")</f>
        <v/>
      </c>
      <c r="GI330" t="str">
        <f>+IFERROR(VLOOKUP(GI31,IN_Zugliste!$A$4:$F$2002,7,FALSE),"")</f>
        <v/>
      </c>
      <c r="GJ330" t="str">
        <f>+IFERROR(VLOOKUP(GJ31,IN_Zugliste!$A$4:$F$2002,7,FALSE),"")</f>
        <v/>
      </c>
      <c r="GK330" t="str">
        <f>+IFERROR(VLOOKUP(GK31,IN_Zugliste!$A$4:$F$2002,7,FALSE),"")</f>
        <v/>
      </c>
      <c r="GL330" t="str">
        <f>+IFERROR(VLOOKUP(GL31,IN_Zugliste!$A$4:$F$2002,7,FALSE),"")</f>
        <v/>
      </c>
      <c r="GM330" t="str">
        <f>+IFERROR(VLOOKUP(GM31,IN_Zugliste!$A$4:$F$2002,7,FALSE),"")</f>
        <v/>
      </c>
      <c r="GN330" t="str">
        <f>+IFERROR(VLOOKUP(GN31,IN_Zugliste!$A$4:$F$2002,7,FALSE),"")</f>
        <v/>
      </c>
      <c r="GO330" t="str">
        <f>+IFERROR(VLOOKUP(GO31,IN_Zugliste!$A$4:$F$2002,7,FALSE),"")</f>
        <v/>
      </c>
      <c r="GP330" t="str">
        <f>+IFERROR(VLOOKUP(GP31,IN_Zugliste!$A$4:$F$2002,7,FALSE),"")</f>
        <v/>
      </c>
      <c r="GQ330" t="str">
        <f>+IFERROR(VLOOKUP(GQ31,IN_Zugliste!$A$4:$F$2002,7,FALSE),"")</f>
        <v/>
      </c>
      <c r="GR330" t="str">
        <f>+IFERROR(VLOOKUP(GR31,IN_Zugliste!$A$4:$F$2002,7,FALSE),"")</f>
        <v/>
      </c>
      <c r="GS330" t="str">
        <f>+IFERROR(VLOOKUP(GS31,IN_Zugliste!$A$4:$F$2002,7,FALSE),"")</f>
        <v/>
      </c>
      <c r="GT330" t="str">
        <f>+IFERROR(VLOOKUP(GT31,IN_Zugliste!$A$4:$F$2002,7,FALSE),"")</f>
        <v/>
      </c>
      <c r="GU330" t="str">
        <f>+IFERROR(VLOOKUP(GU31,IN_Zugliste!$A$4:$F$2002,7,FALSE),"")</f>
        <v/>
      </c>
      <c r="GV330" t="str">
        <f>+IFERROR(VLOOKUP(GV31,IN_Zugliste!$A$4:$F$2002,7,FALSE),"")</f>
        <v/>
      </c>
      <c r="GW330" t="str">
        <f>+IFERROR(VLOOKUP(GW31,IN_Zugliste!$A$4:$F$2002,7,FALSE),"")</f>
        <v/>
      </c>
      <c r="GX330" t="str">
        <f>+IFERROR(VLOOKUP(GX31,IN_Zugliste!$A$4:$F$2002,7,FALSE),"")</f>
        <v/>
      </c>
      <c r="GY330" t="str">
        <f>+IFERROR(VLOOKUP(GY31,IN_Zugliste!$A$4:$F$2002,7,FALSE),"")</f>
        <v/>
      </c>
      <c r="GZ330" t="str">
        <f>+IFERROR(VLOOKUP(GZ31,IN_Zugliste!$A$4:$F$2002,7,FALSE),"")</f>
        <v/>
      </c>
      <c r="HA330" t="str">
        <f>+IFERROR(VLOOKUP(HA31,IN_Zugliste!$A$4:$F$2002,7,FALSE),"")</f>
        <v/>
      </c>
      <c r="HB330" t="str">
        <f>+IFERROR(VLOOKUP(HB31,IN_Zugliste!$A$4:$F$2002,7,FALSE),"")</f>
        <v/>
      </c>
      <c r="HC330" t="str">
        <f>+IFERROR(VLOOKUP(HC31,IN_Zugliste!$A$4:$F$2002,7,FALSE),"")</f>
        <v/>
      </c>
      <c r="HD330" t="str">
        <f>+IFERROR(VLOOKUP(HD31,IN_Zugliste!$A$4:$F$2002,7,FALSE),"")</f>
        <v/>
      </c>
      <c r="HE330" t="str">
        <f>+IFERROR(VLOOKUP(HE31,IN_Zugliste!$A$4:$F$2002,7,FALSE),"")</f>
        <v/>
      </c>
      <c r="HF330" t="str">
        <f>+IFERROR(VLOOKUP(HF31,IN_Zugliste!$A$4:$F$2002,7,FALSE),"")</f>
        <v/>
      </c>
      <c r="HG330" t="str">
        <f>+IFERROR(VLOOKUP(HG31,IN_Zugliste!$A$4:$F$2002,7,FALSE),"")</f>
        <v/>
      </c>
      <c r="HH330" t="str">
        <f>+IFERROR(VLOOKUP(HH31,IN_Zugliste!$A$4:$F$2002,7,FALSE),"")</f>
        <v/>
      </c>
      <c r="HI330" t="str">
        <f>+IFERROR(VLOOKUP(HI31,IN_Zugliste!$A$4:$F$2002,7,FALSE),"")</f>
        <v/>
      </c>
      <c r="HJ330" t="str">
        <f>+IFERROR(VLOOKUP(HJ31,IN_Zugliste!$A$4:$F$2002,7,FALSE),"")</f>
        <v/>
      </c>
      <c r="HK330" t="str">
        <f>+IFERROR(VLOOKUP(HK31,IN_Zugliste!$A$4:$F$2002,7,FALSE),"")</f>
        <v/>
      </c>
      <c r="HL330" t="str">
        <f>+IFERROR(VLOOKUP(HL31,IN_Zugliste!$A$4:$F$2002,7,FALSE),"")</f>
        <v/>
      </c>
      <c r="HM330" t="str">
        <f>+IFERROR(VLOOKUP(HM31,IN_Zugliste!$A$4:$F$2002,7,FALSE),"")</f>
        <v/>
      </c>
      <c r="HN330" t="str">
        <f>+IFERROR(VLOOKUP(HN31,IN_Zugliste!$A$4:$F$2002,7,FALSE),"")</f>
        <v/>
      </c>
      <c r="HO330" t="str">
        <f>+IFERROR(VLOOKUP(HO31,IN_Zugliste!$A$4:$F$2002,7,FALSE),"")</f>
        <v/>
      </c>
      <c r="HP330" t="str">
        <f>+IFERROR(VLOOKUP(HP31,IN_Zugliste!$A$4:$F$2002,7,FALSE),"")</f>
        <v/>
      </c>
      <c r="HQ330" t="str">
        <f>+IFERROR(VLOOKUP(HQ31,IN_Zugliste!$A$4:$F$2002,7,FALSE),"")</f>
        <v/>
      </c>
      <c r="HR330" t="str">
        <f>+IFERROR(VLOOKUP(HR31,IN_Zugliste!$A$4:$F$2002,7,FALSE),"")</f>
        <v/>
      </c>
      <c r="HS330" t="str">
        <f>+IFERROR(VLOOKUP(HS31,IN_Zugliste!$A$4:$F$2002,7,FALSE),"")</f>
        <v/>
      </c>
      <c r="HT330" t="str">
        <f>+IFERROR(VLOOKUP(HT31,IN_Zugliste!$A$4:$F$2002,7,FALSE),"")</f>
        <v/>
      </c>
      <c r="HU330" t="str">
        <f>+IFERROR(VLOOKUP(HU31,IN_Zugliste!$A$4:$F$2002,7,FALSE),"")</f>
        <v/>
      </c>
      <c r="HV330" t="str">
        <f>+IFERROR(VLOOKUP(HV31,IN_Zugliste!$A$4:$F$2002,7,FALSE),"")</f>
        <v/>
      </c>
      <c r="HW330" t="str">
        <f>+IFERROR(VLOOKUP(HW31,IN_Zugliste!$A$4:$F$2002,7,FALSE),"")</f>
        <v/>
      </c>
      <c r="HX330" t="str">
        <f>+IFERROR(VLOOKUP(HX31,IN_Zugliste!$A$4:$F$2002,7,FALSE),"")</f>
        <v/>
      </c>
      <c r="HY330" t="str">
        <f>+IFERROR(VLOOKUP(HY31,IN_Zugliste!$A$4:$F$2002,7,FALSE),"")</f>
        <v/>
      </c>
      <c r="HZ330" t="str">
        <f>+IFERROR(VLOOKUP(HZ31,IN_Zugliste!$A$4:$F$2002,7,FALSE),"")</f>
        <v/>
      </c>
      <c r="IA330" t="str">
        <f>+IFERROR(VLOOKUP(IA31,IN_Zugliste!$A$4:$F$2002,7,FALSE),"")</f>
        <v/>
      </c>
      <c r="IB330" t="str">
        <f>+IFERROR(VLOOKUP(IB31,IN_Zugliste!$A$4:$F$2002,7,FALSE),"")</f>
        <v/>
      </c>
      <c r="IC330" t="str">
        <f>+IFERROR(VLOOKUP(IC31,IN_Zugliste!$A$4:$F$2002,7,FALSE),"")</f>
        <v/>
      </c>
      <c r="ID330" t="str">
        <f>+IFERROR(VLOOKUP(ID31,IN_Zugliste!$A$4:$F$2002,7,FALSE),"")</f>
        <v/>
      </c>
      <c r="IE330" t="str">
        <f>+IFERROR(VLOOKUP(IE31,IN_Zugliste!$A$4:$F$2002,7,FALSE),"")</f>
        <v/>
      </c>
      <c r="IF330" t="str">
        <f>+IFERROR(VLOOKUP(IF31,IN_Zugliste!$A$4:$F$2002,7,FALSE),"")</f>
        <v/>
      </c>
      <c r="IG330" t="str">
        <f>+IFERROR(VLOOKUP(IG31,IN_Zugliste!$A$4:$F$2002,7,FALSE),"")</f>
        <v/>
      </c>
      <c r="IH330" t="str">
        <f>+IFERROR(VLOOKUP(IH31,IN_Zugliste!$A$4:$F$2002,7,FALSE),"")</f>
        <v/>
      </c>
      <c r="II330" t="str">
        <f>+IFERROR(VLOOKUP(II31,IN_Zugliste!$A$4:$F$2002,7,FALSE),"")</f>
        <v/>
      </c>
      <c r="IJ330" t="str">
        <f>+IFERROR(VLOOKUP(IJ31,IN_Zugliste!$A$4:$F$2002,7,FALSE),"")</f>
        <v/>
      </c>
      <c r="IK330" t="str">
        <f>+IFERROR(VLOOKUP(IK31,IN_Zugliste!$A$4:$F$2002,7,FALSE),"")</f>
        <v/>
      </c>
      <c r="IL330" t="str">
        <f>+IFERROR(VLOOKUP(IL31,IN_Zugliste!$A$4:$F$2002,7,FALSE),"")</f>
        <v/>
      </c>
      <c r="IM330" t="str">
        <f>+IFERROR(VLOOKUP(IM31,IN_Zugliste!$A$4:$F$2002,7,FALSE),"")</f>
        <v/>
      </c>
      <c r="IN330" t="str">
        <f>+IFERROR(VLOOKUP(IN31,IN_Zugliste!$A$4:$F$2002,7,FALSE),"")</f>
        <v/>
      </c>
      <c r="IO330" t="str">
        <f>+IFERROR(VLOOKUP(IO31,IN_Zugliste!$A$4:$F$2002,7,FALSE),"")</f>
        <v/>
      </c>
      <c r="IP330" t="str">
        <f>+IFERROR(VLOOKUP(IP31,IN_Zugliste!$A$4:$F$2002,7,FALSE),"")</f>
        <v/>
      </c>
      <c r="IQ330" t="str">
        <f>+IFERROR(VLOOKUP(IQ31,IN_Zugliste!$A$4:$F$2002,7,FALSE),"")</f>
        <v/>
      </c>
      <c r="IR330" t="str">
        <f>+IFERROR(VLOOKUP(IR31,IN_Zugliste!$A$4:$F$2002,7,FALSE),"")</f>
        <v/>
      </c>
      <c r="IS330" t="str">
        <f>+IFERROR(VLOOKUP(IS31,IN_Zugliste!$A$4:$F$2002,7,FALSE),"")</f>
        <v/>
      </c>
      <c r="IT330" t="str">
        <f>+IFERROR(VLOOKUP(IT31,IN_Zugliste!$A$4:$F$2002,7,FALSE),"")</f>
        <v/>
      </c>
      <c r="IU330" t="str">
        <f>+IFERROR(VLOOKUP(IU31,IN_Zugliste!$A$4:$F$2002,7,FALSE),"")</f>
        <v/>
      </c>
      <c r="IV330" t="str">
        <f>+IFERROR(VLOOKUP(IV31,IN_Zugliste!$A$4:$F$2002,7,FALSE),"")</f>
        <v/>
      </c>
      <c r="IW330" t="str">
        <f>+IFERROR(VLOOKUP(IW31,IN_Zugliste!$A$4:$F$2002,7,FALSE),"")</f>
        <v/>
      </c>
      <c r="IX330" t="str">
        <f>+IFERROR(VLOOKUP(IX31,IN_Zugliste!$A$4:$F$2002,7,FALSE),"")</f>
        <v/>
      </c>
      <c r="IY330" t="str">
        <f>+IFERROR(VLOOKUP(IY31,IN_Zugliste!$A$4:$F$2002,7,FALSE),"")</f>
        <v/>
      </c>
      <c r="IZ330" t="str">
        <f>+IFERROR(VLOOKUP(IZ31,IN_Zugliste!$A$4:$F$2002,7,FALSE),"")</f>
        <v/>
      </c>
      <c r="JA330" t="str">
        <f>+IFERROR(VLOOKUP(JA31,IN_Zugliste!$A$4:$F$2002,7,FALSE),"")</f>
        <v/>
      </c>
      <c r="JB330" t="str">
        <f>+IFERROR(VLOOKUP(JB31,IN_Zugliste!$A$4:$F$2002,7,FALSE),"")</f>
        <v/>
      </c>
      <c r="JC330" t="str">
        <f>+IFERROR(VLOOKUP(JC31,IN_Zugliste!$A$4:$F$2002,7,FALSE),"")</f>
        <v/>
      </c>
      <c r="JD330" t="str">
        <f>+IFERROR(VLOOKUP(JD31,IN_Zugliste!$A$4:$F$2002,7,FALSE),"")</f>
        <v/>
      </c>
      <c r="JE330" t="str">
        <f>+IFERROR(VLOOKUP(JE31,IN_Zugliste!$A$4:$F$2002,7,FALSE),"")</f>
        <v/>
      </c>
      <c r="JF330" t="str">
        <f>+IFERROR(VLOOKUP(JF31,IN_Zugliste!$A$4:$F$2002,7,FALSE),"")</f>
        <v/>
      </c>
      <c r="JG330" t="str">
        <f>+IFERROR(VLOOKUP(JG31,IN_Zugliste!$A$4:$F$2002,7,FALSE),"")</f>
        <v/>
      </c>
      <c r="JH330" t="str">
        <f>+IFERROR(VLOOKUP(JH31,IN_Zugliste!$A$4:$F$2002,7,FALSE),"")</f>
        <v/>
      </c>
      <c r="JI330" t="str">
        <f>+IFERROR(VLOOKUP(JI31,IN_Zugliste!$A$4:$F$2002,7,FALSE),"")</f>
        <v/>
      </c>
      <c r="JJ330" t="str">
        <f>+IFERROR(VLOOKUP(JJ31,IN_Zugliste!$A$4:$F$2002,7,FALSE),"")</f>
        <v/>
      </c>
    </row>
    <row r="331" spans="1:270" x14ac:dyDescent="0.2">
      <c r="A331" t="str">
        <f>+IFERROR(VLOOKUP(A32,IN_Zugliste!$A$4:$F$2002,7,FALSE),"")</f>
        <v/>
      </c>
      <c r="B331" t="str">
        <f>+IFERROR(VLOOKUP(B32,IN_Zugliste!$A$4:$F$2002,7,FALSE),"")</f>
        <v/>
      </c>
      <c r="C331" t="str">
        <f>+IFERROR(VLOOKUP(C32,IN_Zugliste!$A$4:$F$2002,7,FALSE),"")</f>
        <v/>
      </c>
      <c r="D331" t="str">
        <f>+IFERROR(VLOOKUP(D32,IN_Zugliste!$A$4:$F$2002,7,FALSE),"")</f>
        <v/>
      </c>
      <c r="E331" t="str">
        <f>+IFERROR(VLOOKUP(E32,IN_Zugliste!$A$4:$F$2002,7,FALSE),"")</f>
        <v/>
      </c>
      <c r="F331" t="str">
        <f>+IFERROR(VLOOKUP(F32,IN_Zugliste!$A$4:$F$2002,7,FALSE),"")</f>
        <v/>
      </c>
      <c r="G331" t="str">
        <f>+IFERROR(VLOOKUP(G32,IN_Zugliste!$A$4:$F$2002,7,FALSE),"")</f>
        <v/>
      </c>
      <c r="H331" t="str">
        <f>+IFERROR(VLOOKUP(H32,IN_Zugliste!$A$4:$F$2002,7,FALSE),"")</f>
        <v/>
      </c>
      <c r="I331" t="str">
        <f>+IFERROR(VLOOKUP(I32,IN_Zugliste!$A$4:$F$2002,7,FALSE),"")</f>
        <v/>
      </c>
      <c r="J331" t="str">
        <f>+IFERROR(VLOOKUP(J32,IN_Zugliste!$A$4:$F$2002,7,FALSE),"")</f>
        <v/>
      </c>
      <c r="K331" t="str">
        <f>+IFERROR(VLOOKUP(K32,IN_Zugliste!$A$4:$F$2002,7,FALSE),"")</f>
        <v/>
      </c>
      <c r="L331" t="str">
        <f>+IFERROR(VLOOKUP(L32,IN_Zugliste!$A$4:$F$2002,7,FALSE),"")</f>
        <v/>
      </c>
      <c r="M331" t="str">
        <f>+IFERROR(VLOOKUP(M32,IN_Zugliste!$A$4:$F$2002,7,FALSE),"")</f>
        <v/>
      </c>
      <c r="N331" t="str">
        <f>+IFERROR(VLOOKUP(N32,IN_Zugliste!$A$4:$F$2002,7,FALSE),"")</f>
        <v/>
      </c>
      <c r="O331" t="str">
        <f>+IFERROR(VLOOKUP(O32,IN_Zugliste!$A$4:$F$2002,7,FALSE),"")</f>
        <v/>
      </c>
      <c r="P331" t="str">
        <f>+IFERROR(VLOOKUP(P32,IN_Zugliste!$A$4:$F$2002,7,FALSE),"")</f>
        <v/>
      </c>
      <c r="Q331" t="str">
        <f>+IFERROR(VLOOKUP(Q32,IN_Zugliste!$A$4:$F$2002,7,FALSE),"")</f>
        <v/>
      </c>
      <c r="R331" t="str">
        <f>+IFERROR(VLOOKUP(R32,IN_Zugliste!$A$4:$F$2002,7,FALSE),"")</f>
        <v/>
      </c>
      <c r="S331" t="str">
        <f>+IFERROR(VLOOKUP(S32,IN_Zugliste!$A$4:$F$2002,7,FALSE),"")</f>
        <v/>
      </c>
      <c r="T331" t="str">
        <f>+IFERROR(VLOOKUP(T32,IN_Zugliste!$A$4:$F$2002,7,FALSE),"")</f>
        <v/>
      </c>
      <c r="U331" t="str">
        <f>+IFERROR(VLOOKUP(U32,IN_Zugliste!$A$4:$F$2002,7,FALSE),"")</f>
        <v/>
      </c>
      <c r="V331" t="str">
        <f>+IFERROR(VLOOKUP(V32,IN_Zugliste!$A$4:$F$2002,7,FALSE),"")</f>
        <v/>
      </c>
      <c r="W331" t="str">
        <f>+IFERROR(VLOOKUP(W32,IN_Zugliste!$A$4:$F$2002,7,FALSE),"")</f>
        <v/>
      </c>
      <c r="X331" t="str">
        <f>+IFERROR(VLOOKUP(X32,IN_Zugliste!$A$4:$F$2002,7,FALSE),"")</f>
        <v/>
      </c>
      <c r="Y331" t="str">
        <f>+IFERROR(VLOOKUP(Y32,IN_Zugliste!$A$4:$F$2002,7,FALSE),"")</f>
        <v/>
      </c>
      <c r="Z331" t="str">
        <f>+IFERROR(VLOOKUP(Z32,IN_Zugliste!$A$4:$F$2002,7,FALSE),"")</f>
        <v/>
      </c>
      <c r="AA331" t="str">
        <f>+IFERROR(VLOOKUP(AA32,IN_Zugliste!$A$4:$F$2002,7,FALSE),"")</f>
        <v/>
      </c>
      <c r="AB331" t="str">
        <f>+IFERROR(VLOOKUP(AB32,IN_Zugliste!$A$4:$F$2002,7,FALSE),"")</f>
        <v/>
      </c>
      <c r="AC331" t="str">
        <f>+IFERROR(VLOOKUP(AC32,IN_Zugliste!$A$4:$F$2002,7,FALSE),"")</f>
        <v/>
      </c>
      <c r="AD331" t="str">
        <f>+IFERROR(VLOOKUP(AD32,IN_Zugliste!$A$4:$F$2002,7,FALSE),"")</f>
        <v/>
      </c>
      <c r="AE331" t="str">
        <f>+IFERROR(VLOOKUP(AE32,IN_Zugliste!$A$4:$F$2002,7,FALSE),"")</f>
        <v/>
      </c>
      <c r="AF331" t="str">
        <f>+IFERROR(VLOOKUP(AF32,IN_Zugliste!$A$4:$F$2002,7,FALSE),"")</f>
        <v/>
      </c>
      <c r="AG331" t="str">
        <f>+IFERROR(VLOOKUP(AG32,IN_Zugliste!$A$4:$F$2002,7,FALSE),"")</f>
        <v/>
      </c>
      <c r="AH331" t="str">
        <f>+IFERROR(VLOOKUP(AH32,IN_Zugliste!$A$4:$F$2002,7,FALSE),"")</f>
        <v/>
      </c>
      <c r="AI331" t="str">
        <f>+IFERROR(VLOOKUP(AI32,IN_Zugliste!$A$4:$F$2002,7,FALSE),"")</f>
        <v/>
      </c>
      <c r="AJ331" t="str">
        <f>+IFERROR(VLOOKUP(AJ32,IN_Zugliste!$A$4:$F$2002,7,FALSE),"")</f>
        <v/>
      </c>
      <c r="AK331" t="str">
        <f>+IFERROR(VLOOKUP(AK32,IN_Zugliste!$A$4:$F$2002,7,FALSE),"")</f>
        <v/>
      </c>
      <c r="AL331" t="str">
        <f>+IFERROR(VLOOKUP(AL32,IN_Zugliste!$A$4:$F$2002,7,FALSE),"")</f>
        <v/>
      </c>
      <c r="AM331" t="str">
        <f>+IFERROR(VLOOKUP(AM32,IN_Zugliste!$A$4:$F$2002,7,FALSE),"")</f>
        <v/>
      </c>
      <c r="AN331" t="str">
        <f>+IFERROR(VLOOKUP(AN32,IN_Zugliste!$A$4:$F$2002,7,FALSE),"")</f>
        <v/>
      </c>
      <c r="AO331" t="str">
        <f>+IFERROR(VLOOKUP(AO32,IN_Zugliste!$A$4:$F$2002,7,FALSE),"")</f>
        <v/>
      </c>
      <c r="AP331" t="str">
        <f>+IFERROR(VLOOKUP(AP32,IN_Zugliste!$A$4:$F$2002,7,FALSE),"")</f>
        <v/>
      </c>
      <c r="AQ331" t="str">
        <f>+IFERROR(VLOOKUP(AQ32,IN_Zugliste!$A$4:$F$2002,7,FALSE),"")</f>
        <v/>
      </c>
      <c r="AR331" t="str">
        <f>+IFERROR(VLOOKUP(AR32,IN_Zugliste!$A$4:$F$2002,7,FALSE),"")</f>
        <v/>
      </c>
      <c r="AS331" t="str">
        <f>+IFERROR(VLOOKUP(AS32,IN_Zugliste!$A$4:$F$2002,7,FALSE),"")</f>
        <v/>
      </c>
      <c r="AT331" t="str">
        <f>+IFERROR(VLOOKUP(AT32,IN_Zugliste!$A$4:$F$2002,7,FALSE),"")</f>
        <v/>
      </c>
      <c r="AU331" t="str">
        <f>+IFERROR(VLOOKUP(AU32,IN_Zugliste!$A$4:$F$2002,7,FALSE),"")</f>
        <v/>
      </c>
      <c r="AV331" t="str">
        <f>+IFERROR(VLOOKUP(AV32,IN_Zugliste!$A$4:$F$2002,7,FALSE),"")</f>
        <v/>
      </c>
      <c r="AW331" t="str">
        <f>+IFERROR(VLOOKUP(AW32,IN_Zugliste!$A$4:$F$2002,7,FALSE),"")</f>
        <v/>
      </c>
      <c r="AX331" t="str">
        <f>+IFERROR(VLOOKUP(AX32,IN_Zugliste!$A$4:$F$2002,7,FALSE),"")</f>
        <v/>
      </c>
      <c r="AY331" t="str">
        <f>+IFERROR(VLOOKUP(AY32,IN_Zugliste!$A$4:$F$2002,7,FALSE),"")</f>
        <v/>
      </c>
      <c r="AZ331" t="str">
        <f>+IFERROR(VLOOKUP(AZ32,IN_Zugliste!$A$4:$F$2002,7,FALSE),"")</f>
        <v/>
      </c>
      <c r="BA331" t="str">
        <f>+IFERROR(VLOOKUP(BA32,IN_Zugliste!$A$4:$F$2002,7,FALSE),"")</f>
        <v/>
      </c>
      <c r="BB331" t="str">
        <f>+IFERROR(VLOOKUP(BB32,IN_Zugliste!$A$4:$F$2002,7,FALSE),"")</f>
        <v/>
      </c>
      <c r="BC331" t="str">
        <f>+IFERROR(VLOOKUP(BC32,IN_Zugliste!$A$4:$F$2002,7,FALSE),"")</f>
        <v/>
      </c>
      <c r="BD331" t="str">
        <f>+IFERROR(VLOOKUP(BD32,IN_Zugliste!$A$4:$F$2002,7,FALSE),"")</f>
        <v/>
      </c>
      <c r="BE331" t="str">
        <f>+IFERROR(VLOOKUP(BE32,IN_Zugliste!$A$4:$F$2002,7,FALSE),"")</f>
        <v/>
      </c>
      <c r="BF331" t="str">
        <f>+IFERROR(VLOOKUP(BF32,IN_Zugliste!$A$4:$F$2002,7,FALSE),"")</f>
        <v/>
      </c>
      <c r="BG331" t="str">
        <f>+IFERROR(VLOOKUP(BG32,IN_Zugliste!$A$4:$F$2002,7,FALSE),"")</f>
        <v/>
      </c>
      <c r="BH331" t="str">
        <f>+IFERROR(VLOOKUP(BH32,IN_Zugliste!$A$4:$F$2002,7,FALSE),"")</f>
        <v/>
      </c>
      <c r="BI331" t="str">
        <f>+IFERROR(VLOOKUP(BI32,IN_Zugliste!$A$4:$F$2002,7,FALSE),"")</f>
        <v/>
      </c>
      <c r="BJ331" t="str">
        <f>+IFERROR(VLOOKUP(BJ32,IN_Zugliste!$A$4:$F$2002,7,FALSE),"")</f>
        <v/>
      </c>
      <c r="BK331" t="str">
        <f>+IFERROR(VLOOKUP(BK32,IN_Zugliste!$A$4:$F$2002,7,FALSE),"")</f>
        <v/>
      </c>
      <c r="BL331" t="str">
        <f>+IFERROR(VLOOKUP(BL32,IN_Zugliste!$A$4:$F$2002,7,FALSE),"")</f>
        <v/>
      </c>
      <c r="BM331" t="str">
        <f>+IFERROR(VLOOKUP(BM32,IN_Zugliste!$A$4:$F$2002,7,FALSE),"")</f>
        <v/>
      </c>
      <c r="BN331" t="str">
        <f>+IFERROR(VLOOKUP(BN32,IN_Zugliste!$A$4:$F$2002,7,FALSE),"")</f>
        <v/>
      </c>
      <c r="BO331" t="str">
        <f>+IFERROR(VLOOKUP(BO32,IN_Zugliste!$A$4:$F$2002,7,FALSE),"")</f>
        <v/>
      </c>
      <c r="BP331" t="str">
        <f>+IFERROR(VLOOKUP(BP32,IN_Zugliste!$A$4:$F$2002,7,FALSE),"")</f>
        <v/>
      </c>
      <c r="BQ331" t="str">
        <f>+IFERROR(VLOOKUP(BQ32,IN_Zugliste!$A$4:$F$2002,7,FALSE),"")</f>
        <v/>
      </c>
      <c r="BR331" t="str">
        <f>+IFERROR(VLOOKUP(BR32,IN_Zugliste!$A$4:$F$2002,7,FALSE),"")</f>
        <v/>
      </c>
      <c r="BS331" t="str">
        <f>+IFERROR(VLOOKUP(BS32,IN_Zugliste!$A$4:$F$2002,7,FALSE),"")</f>
        <v/>
      </c>
      <c r="BT331" t="str">
        <f>+IFERROR(VLOOKUP(BT32,IN_Zugliste!$A$4:$F$2002,7,FALSE),"")</f>
        <v/>
      </c>
      <c r="BU331" t="str">
        <f>+IFERROR(VLOOKUP(BU32,IN_Zugliste!$A$4:$F$2002,7,FALSE),"")</f>
        <v/>
      </c>
      <c r="BV331" t="str">
        <f>+IFERROR(VLOOKUP(BV32,IN_Zugliste!$A$4:$F$2002,7,FALSE),"")</f>
        <v/>
      </c>
      <c r="BW331" t="str">
        <f>+IFERROR(VLOOKUP(BW32,IN_Zugliste!$A$4:$F$2002,7,FALSE),"")</f>
        <v/>
      </c>
      <c r="BX331" t="str">
        <f>+IFERROR(VLOOKUP(BX32,IN_Zugliste!$A$4:$F$2002,7,FALSE),"")</f>
        <v/>
      </c>
      <c r="BY331" t="str">
        <f>+IFERROR(VLOOKUP(BY32,IN_Zugliste!$A$4:$F$2002,7,FALSE),"")</f>
        <v/>
      </c>
      <c r="BZ331" t="str">
        <f>+IFERROR(VLOOKUP(BZ32,IN_Zugliste!$A$4:$F$2002,7,FALSE),"")</f>
        <v/>
      </c>
      <c r="CA331" t="str">
        <f>+IFERROR(VLOOKUP(CA32,IN_Zugliste!$A$4:$F$2002,7,FALSE),"")</f>
        <v/>
      </c>
      <c r="CB331" t="str">
        <f>+IFERROR(VLOOKUP(CB32,IN_Zugliste!$A$4:$F$2002,7,FALSE),"")</f>
        <v/>
      </c>
      <c r="CC331" t="str">
        <f>+IFERROR(VLOOKUP(CC32,IN_Zugliste!$A$4:$F$2002,7,FALSE),"")</f>
        <v/>
      </c>
      <c r="CD331" t="str">
        <f>+IFERROR(VLOOKUP(CD32,IN_Zugliste!$A$4:$F$2002,7,FALSE),"")</f>
        <v/>
      </c>
      <c r="CE331" t="str">
        <f>+IFERROR(VLOOKUP(CE32,IN_Zugliste!$A$4:$F$2002,7,FALSE),"")</f>
        <v/>
      </c>
      <c r="CF331" t="str">
        <f>+IFERROR(VLOOKUP(CF32,IN_Zugliste!$A$4:$F$2002,7,FALSE),"")</f>
        <v/>
      </c>
      <c r="CG331" t="str">
        <f>+IFERROR(VLOOKUP(CG32,IN_Zugliste!$A$4:$F$2002,7,FALSE),"")</f>
        <v/>
      </c>
      <c r="CH331" t="str">
        <f>+IFERROR(VLOOKUP(CH32,IN_Zugliste!$A$4:$F$2002,7,FALSE),"")</f>
        <v/>
      </c>
      <c r="CI331" t="str">
        <f>+IFERROR(VLOOKUP(CI32,IN_Zugliste!$A$4:$F$2002,7,FALSE),"")</f>
        <v/>
      </c>
      <c r="CJ331" t="str">
        <f>+IFERROR(VLOOKUP(CJ32,IN_Zugliste!$A$4:$F$2002,7,FALSE),"")</f>
        <v/>
      </c>
      <c r="CK331" t="str">
        <f>+IFERROR(VLOOKUP(CK32,IN_Zugliste!$A$4:$F$2002,7,FALSE),"")</f>
        <v/>
      </c>
      <c r="CL331" t="str">
        <f>+IFERROR(VLOOKUP(CL32,IN_Zugliste!$A$4:$F$2002,7,FALSE),"")</f>
        <v/>
      </c>
      <c r="CM331" t="str">
        <f>+IFERROR(VLOOKUP(CM32,IN_Zugliste!$A$4:$F$2002,7,FALSE),"")</f>
        <v/>
      </c>
      <c r="CN331" t="str">
        <f>+IFERROR(VLOOKUP(CN32,IN_Zugliste!$A$4:$F$2002,7,FALSE),"")</f>
        <v/>
      </c>
      <c r="CO331" t="str">
        <f>+IFERROR(VLOOKUP(CO32,IN_Zugliste!$A$4:$F$2002,7,FALSE),"")</f>
        <v/>
      </c>
      <c r="CP331" t="str">
        <f>+IFERROR(VLOOKUP(CP32,IN_Zugliste!$A$4:$F$2002,7,FALSE),"")</f>
        <v/>
      </c>
      <c r="CQ331" t="str">
        <f>+IFERROR(VLOOKUP(CQ32,IN_Zugliste!$A$4:$F$2002,7,FALSE),"")</f>
        <v/>
      </c>
      <c r="CR331" t="str">
        <f>+IFERROR(VLOOKUP(CR32,IN_Zugliste!$A$4:$F$2002,7,FALSE),"")</f>
        <v/>
      </c>
      <c r="CS331" t="str">
        <f>+IFERROR(VLOOKUP(CS32,IN_Zugliste!$A$4:$F$2002,7,FALSE),"")</f>
        <v/>
      </c>
      <c r="CT331" t="str">
        <f>+IFERROR(VLOOKUP(CT32,IN_Zugliste!$A$4:$F$2002,7,FALSE),"")</f>
        <v/>
      </c>
      <c r="CU331" t="str">
        <f>+IFERROR(VLOOKUP(CU32,IN_Zugliste!$A$4:$F$2002,7,FALSE),"")</f>
        <v/>
      </c>
      <c r="CV331" t="str">
        <f>+IFERROR(VLOOKUP(CV32,IN_Zugliste!$A$4:$F$2002,7,FALSE),"")</f>
        <v/>
      </c>
      <c r="CW331" t="str">
        <f>+IFERROR(VLOOKUP(CW32,IN_Zugliste!$A$4:$F$2002,7,FALSE),"")</f>
        <v/>
      </c>
      <c r="CX331" t="str">
        <f>+IFERROR(VLOOKUP(CX32,IN_Zugliste!$A$4:$F$2002,7,FALSE),"")</f>
        <v/>
      </c>
      <c r="CY331" t="str">
        <f>+IFERROR(VLOOKUP(CY32,IN_Zugliste!$A$4:$F$2002,7,FALSE),"")</f>
        <v/>
      </c>
      <c r="CZ331" t="str">
        <f>+IFERROR(VLOOKUP(CZ32,IN_Zugliste!$A$4:$F$2002,7,FALSE),"")</f>
        <v/>
      </c>
      <c r="DA331" t="str">
        <f>+IFERROR(VLOOKUP(DA32,IN_Zugliste!$A$4:$F$2002,7,FALSE),"")</f>
        <v/>
      </c>
      <c r="DB331" t="str">
        <f>+IFERROR(VLOOKUP(DB32,IN_Zugliste!$A$4:$F$2002,7,FALSE),"")</f>
        <v/>
      </c>
      <c r="DC331" t="str">
        <f>+IFERROR(VLOOKUP(DC32,IN_Zugliste!$A$4:$F$2002,7,FALSE),"")</f>
        <v/>
      </c>
      <c r="DD331" t="str">
        <f>+IFERROR(VLOOKUP(DD32,IN_Zugliste!$A$4:$F$2002,7,FALSE),"")</f>
        <v/>
      </c>
      <c r="DE331" t="str">
        <f>+IFERROR(VLOOKUP(DE32,IN_Zugliste!$A$4:$F$2002,7,FALSE),"")</f>
        <v/>
      </c>
      <c r="DF331" t="str">
        <f>+IFERROR(VLOOKUP(DF32,IN_Zugliste!$A$4:$F$2002,7,FALSE),"")</f>
        <v/>
      </c>
      <c r="DG331" t="str">
        <f>+IFERROR(VLOOKUP(DG32,IN_Zugliste!$A$4:$F$2002,7,FALSE),"")</f>
        <v/>
      </c>
      <c r="DH331" t="str">
        <f>+IFERROR(VLOOKUP(DH32,IN_Zugliste!$A$4:$F$2002,7,FALSE),"")</f>
        <v/>
      </c>
      <c r="DI331" t="str">
        <f>+IFERROR(VLOOKUP(DI32,IN_Zugliste!$A$4:$F$2002,7,FALSE),"")</f>
        <v/>
      </c>
      <c r="DJ331" t="str">
        <f>+IFERROR(VLOOKUP(DJ32,IN_Zugliste!$A$4:$F$2002,7,FALSE),"")</f>
        <v/>
      </c>
      <c r="DK331" t="str">
        <f>+IFERROR(VLOOKUP(DK32,IN_Zugliste!$A$4:$F$2002,7,FALSE),"")</f>
        <v/>
      </c>
      <c r="DL331" t="str">
        <f>+IFERROR(VLOOKUP(DL32,IN_Zugliste!$A$4:$F$2002,7,FALSE),"")</f>
        <v/>
      </c>
      <c r="DM331" t="str">
        <f>+IFERROR(VLOOKUP(DM32,IN_Zugliste!$A$4:$F$2002,7,FALSE),"")</f>
        <v/>
      </c>
      <c r="DN331" t="str">
        <f>+IFERROR(VLOOKUP(DN32,IN_Zugliste!$A$4:$F$2002,7,FALSE),"")</f>
        <v/>
      </c>
      <c r="DO331" t="str">
        <f>+IFERROR(VLOOKUP(DO32,IN_Zugliste!$A$4:$F$2002,7,FALSE),"")</f>
        <v/>
      </c>
      <c r="DP331" t="str">
        <f>+IFERROR(VLOOKUP(DP32,IN_Zugliste!$A$4:$F$2002,7,FALSE),"")</f>
        <v/>
      </c>
      <c r="DQ331" t="str">
        <f>+IFERROR(VLOOKUP(DQ32,IN_Zugliste!$A$4:$F$2002,7,FALSE),"")</f>
        <v/>
      </c>
      <c r="DR331" t="str">
        <f>+IFERROR(VLOOKUP(DR32,IN_Zugliste!$A$4:$F$2002,7,FALSE),"")</f>
        <v/>
      </c>
      <c r="DS331" t="str">
        <f>+IFERROR(VLOOKUP(DS32,IN_Zugliste!$A$4:$F$2002,7,FALSE),"")</f>
        <v/>
      </c>
      <c r="DT331" t="str">
        <f>+IFERROR(VLOOKUP(DT32,IN_Zugliste!$A$4:$F$2002,7,FALSE),"")</f>
        <v/>
      </c>
      <c r="DU331" t="str">
        <f>+IFERROR(VLOOKUP(DU32,IN_Zugliste!$A$4:$F$2002,7,FALSE),"")</f>
        <v/>
      </c>
      <c r="DV331" t="str">
        <f>+IFERROR(VLOOKUP(DV32,IN_Zugliste!$A$4:$F$2002,7,FALSE),"")</f>
        <v/>
      </c>
      <c r="DW331" t="str">
        <f>+IFERROR(VLOOKUP(DW32,IN_Zugliste!$A$4:$F$2002,7,FALSE),"")</f>
        <v/>
      </c>
      <c r="DX331" t="str">
        <f>+IFERROR(VLOOKUP(DX32,IN_Zugliste!$A$4:$F$2002,7,FALSE),"")</f>
        <v/>
      </c>
      <c r="DY331" t="str">
        <f>+IFERROR(VLOOKUP(DY32,IN_Zugliste!$A$4:$F$2002,7,FALSE),"")</f>
        <v/>
      </c>
      <c r="DZ331" t="str">
        <f>+IFERROR(VLOOKUP(DZ32,IN_Zugliste!$A$4:$F$2002,7,FALSE),"")</f>
        <v/>
      </c>
      <c r="EA331" t="str">
        <f>+IFERROR(VLOOKUP(EA32,IN_Zugliste!$A$4:$F$2002,7,FALSE),"")</f>
        <v/>
      </c>
      <c r="EB331" t="str">
        <f>+IFERROR(VLOOKUP(EB32,IN_Zugliste!$A$4:$F$2002,7,FALSE),"")</f>
        <v/>
      </c>
      <c r="EC331" t="str">
        <f>+IFERROR(VLOOKUP(EC32,IN_Zugliste!$A$4:$F$2002,7,FALSE),"")</f>
        <v/>
      </c>
      <c r="ED331" t="str">
        <f>+IFERROR(VLOOKUP(ED32,IN_Zugliste!$A$4:$F$2002,7,FALSE),"")</f>
        <v/>
      </c>
      <c r="EE331" t="str">
        <f>+IFERROR(VLOOKUP(EE32,IN_Zugliste!$A$4:$F$2002,7,FALSE),"")</f>
        <v/>
      </c>
      <c r="EF331" t="str">
        <f>+IFERROR(VLOOKUP(EF32,IN_Zugliste!$A$4:$F$2002,7,FALSE),"")</f>
        <v/>
      </c>
      <c r="EG331" t="str">
        <f>+IFERROR(VLOOKUP(EG32,IN_Zugliste!$A$4:$F$2002,7,FALSE),"")</f>
        <v/>
      </c>
      <c r="EH331" t="str">
        <f>+IFERROR(VLOOKUP(EH32,IN_Zugliste!$A$4:$F$2002,7,FALSE),"")</f>
        <v/>
      </c>
      <c r="EI331" t="str">
        <f>+IFERROR(VLOOKUP(EI32,IN_Zugliste!$A$4:$F$2002,7,FALSE),"")</f>
        <v/>
      </c>
      <c r="EJ331" t="str">
        <f>+IFERROR(VLOOKUP(EJ32,IN_Zugliste!$A$4:$F$2002,7,FALSE),"")</f>
        <v/>
      </c>
      <c r="EK331" t="str">
        <f>+IFERROR(VLOOKUP(EK32,IN_Zugliste!$A$4:$F$2002,7,FALSE),"")</f>
        <v/>
      </c>
      <c r="EL331" t="str">
        <f>+IFERROR(VLOOKUP(EL32,IN_Zugliste!$A$4:$F$2002,7,FALSE),"")</f>
        <v/>
      </c>
      <c r="EM331" t="str">
        <f>+IFERROR(VLOOKUP(EM32,IN_Zugliste!$A$4:$F$2002,7,FALSE),"")</f>
        <v/>
      </c>
      <c r="EN331" t="str">
        <f>+IFERROR(VLOOKUP(EN32,IN_Zugliste!$A$4:$F$2002,7,FALSE),"")</f>
        <v/>
      </c>
      <c r="EO331" t="str">
        <f>+IFERROR(VLOOKUP(EO32,IN_Zugliste!$A$4:$F$2002,7,FALSE),"")</f>
        <v/>
      </c>
      <c r="EP331" t="str">
        <f>+IFERROR(VLOOKUP(EP32,IN_Zugliste!$A$4:$F$2002,7,FALSE),"")</f>
        <v/>
      </c>
      <c r="EQ331" t="str">
        <f>+IFERROR(VLOOKUP(EQ32,IN_Zugliste!$A$4:$F$2002,7,FALSE),"")</f>
        <v/>
      </c>
      <c r="ER331" t="str">
        <f>+IFERROR(VLOOKUP(ER32,IN_Zugliste!$A$4:$F$2002,7,FALSE),"")</f>
        <v/>
      </c>
      <c r="ES331" t="str">
        <f>+IFERROR(VLOOKUP(ES32,IN_Zugliste!$A$4:$F$2002,7,FALSE),"")</f>
        <v/>
      </c>
      <c r="ET331" t="str">
        <f>+IFERROR(VLOOKUP(ET32,IN_Zugliste!$A$4:$F$2002,7,FALSE),"")</f>
        <v/>
      </c>
      <c r="EU331" t="str">
        <f>+IFERROR(VLOOKUP(EU32,IN_Zugliste!$A$4:$F$2002,7,FALSE),"")</f>
        <v/>
      </c>
      <c r="EV331" t="str">
        <f>+IFERROR(VLOOKUP(EV32,IN_Zugliste!$A$4:$F$2002,7,FALSE),"")</f>
        <v/>
      </c>
      <c r="EW331" t="str">
        <f>+IFERROR(VLOOKUP(EW32,IN_Zugliste!$A$4:$F$2002,7,FALSE),"")</f>
        <v/>
      </c>
      <c r="EX331" t="str">
        <f>+IFERROR(VLOOKUP(EX32,IN_Zugliste!$A$4:$F$2002,7,FALSE),"")</f>
        <v/>
      </c>
      <c r="EY331" t="str">
        <f>+IFERROR(VLOOKUP(EY32,IN_Zugliste!$A$4:$F$2002,7,FALSE),"")</f>
        <v/>
      </c>
      <c r="EZ331" t="str">
        <f>+IFERROR(VLOOKUP(EZ32,IN_Zugliste!$A$4:$F$2002,7,FALSE),"")</f>
        <v/>
      </c>
      <c r="FA331" t="str">
        <f>+IFERROR(VLOOKUP(FA32,IN_Zugliste!$A$4:$F$2002,7,FALSE),"")</f>
        <v/>
      </c>
      <c r="FB331" t="str">
        <f>+IFERROR(VLOOKUP(FB32,IN_Zugliste!$A$4:$F$2002,7,FALSE),"")</f>
        <v/>
      </c>
      <c r="FC331" t="str">
        <f>+IFERROR(VLOOKUP(FC32,IN_Zugliste!$A$4:$F$2002,7,FALSE),"")</f>
        <v/>
      </c>
      <c r="FD331" t="str">
        <f>+IFERROR(VLOOKUP(FD32,IN_Zugliste!$A$4:$F$2002,7,FALSE),"")</f>
        <v/>
      </c>
      <c r="FE331" t="str">
        <f>+IFERROR(VLOOKUP(FE32,IN_Zugliste!$A$4:$F$2002,7,FALSE),"")</f>
        <v/>
      </c>
      <c r="FF331" t="str">
        <f>+IFERROR(VLOOKUP(FF32,IN_Zugliste!$A$4:$F$2002,7,FALSE),"")</f>
        <v/>
      </c>
      <c r="FG331" t="str">
        <f>+IFERROR(VLOOKUP(FG32,IN_Zugliste!$A$4:$F$2002,7,FALSE),"")</f>
        <v/>
      </c>
      <c r="FH331" t="str">
        <f>+IFERROR(VLOOKUP(FH32,IN_Zugliste!$A$4:$F$2002,7,FALSE),"")</f>
        <v/>
      </c>
      <c r="FI331" t="str">
        <f>+IFERROR(VLOOKUP(FI32,IN_Zugliste!$A$4:$F$2002,7,FALSE),"")</f>
        <v/>
      </c>
      <c r="FJ331" t="str">
        <f>+IFERROR(VLOOKUP(FJ32,IN_Zugliste!$A$4:$F$2002,7,FALSE),"")</f>
        <v/>
      </c>
      <c r="FK331" t="str">
        <f>+IFERROR(VLOOKUP(FK32,IN_Zugliste!$A$4:$F$2002,7,FALSE),"")</f>
        <v/>
      </c>
      <c r="FL331" t="str">
        <f>+IFERROR(VLOOKUP(FL32,IN_Zugliste!$A$4:$F$2002,7,FALSE),"")</f>
        <v/>
      </c>
      <c r="FM331" t="str">
        <f>+IFERROR(VLOOKUP(FM32,IN_Zugliste!$A$4:$F$2002,7,FALSE),"")</f>
        <v/>
      </c>
      <c r="FN331" t="str">
        <f>+IFERROR(VLOOKUP(FN32,IN_Zugliste!$A$4:$F$2002,7,FALSE),"")</f>
        <v/>
      </c>
      <c r="FO331" t="str">
        <f>+IFERROR(VLOOKUP(FO32,IN_Zugliste!$A$4:$F$2002,7,FALSE),"")</f>
        <v/>
      </c>
      <c r="FP331" t="str">
        <f>+IFERROR(VLOOKUP(FP32,IN_Zugliste!$A$4:$F$2002,7,FALSE),"")</f>
        <v/>
      </c>
      <c r="FQ331" t="str">
        <f>+IFERROR(VLOOKUP(FQ32,IN_Zugliste!$A$4:$F$2002,7,FALSE),"")</f>
        <v/>
      </c>
      <c r="FR331" t="str">
        <f>+IFERROR(VLOOKUP(FR32,IN_Zugliste!$A$4:$F$2002,7,FALSE),"")</f>
        <v/>
      </c>
      <c r="FS331" t="str">
        <f>+IFERROR(VLOOKUP(FS32,IN_Zugliste!$A$4:$F$2002,7,FALSE),"")</f>
        <v/>
      </c>
      <c r="FT331" t="str">
        <f>+IFERROR(VLOOKUP(FT32,IN_Zugliste!$A$4:$F$2002,7,FALSE),"")</f>
        <v/>
      </c>
      <c r="FU331" t="str">
        <f>+IFERROR(VLOOKUP(FU32,IN_Zugliste!$A$4:$F$2002,7,FALSE),"")</f>
        <v/>
      </c>
      <c r="FV331" t="str">
        <f>+IFERROR(VLOOKUP(FV32,IN_Zugliste!$A$4:$F$2002,7,FALSE),"")</f>
        <v/>
      </c>
      <c r="FW331" t="str">
        <f>+IFERROR(VLOOKUP(FW32,IN_Zugliste!$A$4:$F$2002,7,FALSE),"")</f>
        <v/>
      </c>
      <c r="FX331" t="str">
        <f>+IFERROR(VLOOKUP(FX32,IN_Zugliste!$A$4:$F$2002,7,FALSE),"")</f>
        <v/>
      </c>
      <c r="FY331" t="str">
        <f>+IFERROR(VLOOKUP(FY32,IN_Zugliste!$A$4:$F$2002,7,FALSE),"")</f>
        <v/>
      </c>
      <c r="FZ331" t="str">
        <f>+IFERROR(VLOOKUP(FZ32,IN_Zugliste!$A$4:$F$2002,7,FALSE),"")</f>
        <v/>
      </c>
      <c r="GA331" t="str">
        <f>+IFERROR(VLOOKUP(GA32,IN_Zugliste!$A$4:$F$2002,7,FALSE),"")</f>
        <v/>
      </c>
      <c r="GB331" t="str">
        <f>+IFERROR(VLOOKUP(GB32,IN_Zugliste!$A$4:$F$2002,7,FALSE),"")</f>
        <v/>
      </c>
      <c r="GC331" t="str">
        <f>+IFERROR(VLOOKUP(GC32,IN_Zugliste!$A$4:$F$2002,7,FALSE),"")</f>
        <v/>
      </c>
      <c r="GD331" t="str">
        <f>+IFERROR(VLOOKUP(GD32,IN_Zugliste!$A$4:$F$2002,7,FALSE),"")</f>
        <v/>
      </c>
      <c r="GE331" t="str">
        <f>+IFERROR(VLOOKUP(GE32,IN_Zugliste!$A$4:$F$2002,7,FALSE),"")</f>
        <v/>
      </c>
      <c r="GF331" t="str">
        <f>+IFERROR(VLOOKUP(GF32,IN_Zugliste!$A$4:$F$2002,7,FALSE),"")</f>
        <v/>
      </c>
      <c r="GG331" t="str">
        <f>+IFERROR(VLOOKUP(GG32,IN_Zugliste!$A$4:$F$2002,7,FALSE),"")</f>
        <v/>
      </c>
      <c r="GH331" t="str">
        <f>+IFERROR(VLOOKUP(GH32,IN_Zugliste!$A$4:$F$2002,7,FALSE),"")</f>
        <v/>
      </c>
      <c r="GI331" t="str">
        <f>+IFERROR(VLOOKUP(GI32,IN_Zugliste!$A$4:$F$2002,7,FALSE),"")</f>
        <v/>
      </c>
      <c r="GJ331" t="str">
        <f>+IFERROR(VLOOKUP(GJ32,IN_Zugliste!$A$4:$F$2002,7,FALSE),"")</f>
        <v/>
      </c>
      <c r="GK331" t="str">
        <f>+IFERROR(VLOOKUP(GK32,IN_Zugliste!$A$4:$F$2002,7,FALSE),"")</f>
        <v/>
      </c>
      <c r="GL331" t="str">
        <f>+IFERROR(VLOOKUP(GL32,IN_Zugliste!$A$4:$F$2002,7,FALSE),"")</f>
        <v/>
      </c>
      <c r="GM331" t="str">
        <f>+IFERROR(VLOOKUP(GM32,IN_Zugliste!$A$4:$F$2002,7,FALSE),"")</f>
        <v/>
      </c>
      <c r="GN331" t="str">
        <f>+IFERROR(VLOOKUP(GN32,IN_Zugliste!$A$4:$F$2002,7,FALSE),"")</f>
        <v/>
      </c>
      <c r="GO331" t="str">
        <f>+IFERROR(VLOOKUP(GO32,IN_Zugliste!$A$4:$F$2002,7,FALSE),"")</f>
        <v/>
      </c>
      <c r="GP331" t="str">
        <f>+IFERROR(VLOOKUP(GP32,IN_Zugliste!$A$4:$F$2002,7,FALSE),"")</f>
        <v/>
      </c>
      <c r="GQ331" t="str">
        <f>+IFERROR(VLOOKUP(GQ32,IN_Zugliste!$A$4:$F$2002,7,FALSE),"")</f>
        <v/>
      </c>
      <c r="GR331" t="str">
        <f>+IFERROR(VLOOKUP(GR32,IN_Zugliste!$A$4:$F$2002,7,FALSE),"")</f>
        <v/>
      </c>
      <c r="GS331" t="str">
        <f>+IFERROR(VLOOKUP(GS32,IN_Zugliste!$A$4:$F$2002,7,FALSE),"")</f>
        <v/>
      </c>
      <c r="GT331" t="str">
        <f>+IFERROR(VLOOKUP(GT32,IN_Zugliste!$A$4:$F$2002,7,FALSE),"")</f>
        <v/>
      </c>
      <c r="GU331" t="str">
        <f>+IFERROR(VLOOKUP(GU32,IN_Zugliste!$A$4:$F$2002,7,FALSE),"")</f>
        <v/>
      </c>
      <c r="GV331" t="str">
        <f>+IFERROR(VLOOKUP(GV32,IN_Zugliste!$A$4:$F$2002,7,FALSE),"")</f>
        <v/>
      </c>
      <c r="GW331" t="str">
        <f>+IFERROR(VLOOKUP(GW32,IN_Zugliste!$A$4:$F$2002,7,FALSE),"")</f>
        <v/>
      </c>
      <c r="GX331" t="str">
        <f>+IFERROR(VLOOKUP(GX32,IN_Zugliste!$A$4:$F$2002,7,FALSE),"")</f>
        <v/>
      </c>
      <c r="GY331" t="str">
        <f>+IFERROR(VLOOKUP(GY32,IN_Zugliste!$A$4:$F$2002,7,FALSE),"")</f>
        <v/>
      </c>
      <c r="GZ331" t="str">
        <f>+IFERROR(VLOOKUP(GZ32,IN_Zugliste!$A$4:$F$2002,7,FALSE),"")</f>
        <v/>
      </c>
      <c r="HA331" t="str">
        <f>+IFERROR(VLOOKUP(HA32,IN_Zugliste!$A$4:$F$2002,7,FALSE),"")</f>
        <v/>
      </c>
      <c r="HB331" t="str">
        <f>+IFERROR(VLOOKUP(HB32,IN_Zugliste!$A$4:$F$2002,7,FALSE),"")</f>
        <v/>
      </c>
      <c r="HC331" t="str">
        <f>+IFERROR(VLOOKUP(HC32,IN_Zugliste!$A$4:$F$2002,7,FALSE),"")</f>
        <v/>
      </c>
      <c r="HD331" t="str">
        <f>+IFERROR(VLOOKUP(HD32,IN_Zugliste!$A$4:$F$2002,7,FALSE),"")</f>
        <v/>
      </c>
      <c r="HE331" t="str">
        <f>+IFERROR(VLOOKUP(HE32,IN_Zugliste!$A$4:$F$2002,7,FALSE),"")</f>
        <v/>
      </c>
      <c r="HF331" t="str">
        <f>+IFERROR(VLOOKUP(HF32,IN_Zugliste!$A$4:$F$2002,7,FALSE),"")</f>
        <v/>
      </c>
      <c r="HG331" t="str">
        <f>+IFERROR(VLOOKUP(HG32,IN_Zugliste!$A$4:$F$2002,7,FALSE),"")</f>
        <v/>
      </c>
      <c r="HH331" t="str">
        <f>+IFERROR(VLOOKUP(HH32,IN_Zugliste!$A$4:$F$2002,7,FALSE),"")</f>
        <v/>
      </c>
      <c r="HI331" t="str">
        <f>+IFERROR(VLOOKUP(HI32,IN_Zugliste!$A$4:$F$2002,7,FALSE),"")</f>
        <v/>
      </c>
      <c r="HJ331" t="str">
        <f>+IFERROR(VLOOKUP(HJ32,IN_Zugliste!$A$4:$F$2002,7,FALSE),"")</f>
        <v/>
      </c>
      <c r="HK331" t="str">
        <f>+IFERROR(VLOOKUP(HK32,IN_Zugliste!$A$4:$F$2002,7,FALSE),"")</f>
        <v/>
      </c>
      <c r="HL331" t="str">
        <f>+IFERROR(VLOOKUP(HL32,IN_Zugliste!$A$4:$F$2002,7,FALSE),"")</f>
        <v/>
      </c>
      <c r="HM331" t="str">
        <f>+IFERROR(VLOOKUP(HM32,IN_Zugliste!$A$4:$F$2002,7,FALSE),"")</f>
        <v/>
      </c>
      <c r="HN331" t="str">
        <f>+IFERROR(VLOOKUP(HN32,IN_Zugliste!$A$4:$F$2002,7,FALSE),"")</f>
        <v/>
      </c>
      <c r="HO331" t="str">
        <f>+IFERROR(VLOOKUP(HO32,IN_Zugliste!$A$4:$F$2002,7,FALSE),"")</f>
        <v/>
      </c>
      <c r="HP331" t="str">
        <f>+IFERROR(VLOOKUP(HP32,IN_Zugliste!$A$4:$F$2002,7,FALSE),"")</f>
        <v/>
      </c>
      <c r="HQ331" t="str">
        <f>+IFERROR(VLOOKUP(HQ32,IN_Zugliste!$A$4:$F$2002,7,FALSE),"")</f>
        <v/>
      </c>
      <c r="HR331" t="str">
        <f>+IFERROR(VLOOKUP(HR32,IN_Zugliste!$A$4:$F$2002,7,FALSE),"")</f>
        <v/>
      </c>
      <c r="HS331" t="str">
        <f>+IFERROR(VLOOKUP(HS32,IN_Zugliste!$A$4:$F$2002,7,FALSE),"")</f>
        <v/>
      </c>
      <c r="HT331" t="str">
        <f>+IFERROR(VLOOKUP(HT32,IN_Zugliste!$A$4:$F$2002,7,FALSE),"")</f>
        <v/>
      </c>
      <c r="HU331" t="str">
        <f>+IFERROR(VLOOKUP(HU32,IN_Zugliste!$A$4:$F$2002,7,FALSE),"")</f>
        <v/>
      </c>
      <c r="HV331" t="str">
        <f>+IFERROR(VLOOKUP(HV32,IN_Zugliste!$A$4:$F$2002,7,FALSE),"")</f>
        <v/>
      </c>
      <c r="HW331" t="str">
        <f>+IFERROR(VLOOKUP(HW32,IN_Zugliste!$A$4:$F$2002,7,FALSE),"")</f>
        <v/>
      </c>
      <c r="HX331" t="str">
        <f>+IFERROR(VLOOKUP(HX32,IN_Zugliste!$A$4:$F$2002,7,FALSE),"")</f>
        <v/>
      </c>
      <c r="HY331" t="str">
        <f>+IFERROR(VLOOKUP(HY32,IN_Zugliste!$A$4:$F$2002,7,FALSE),"")</f>
        <v/>
      </c>
      <c r="HZ331" t="str">
        <f>+IFERROR(VLOOKUP(HZ32,IN_Zugliste!$A$4:$F$2002,7,FALSE),"")</f>
        <v/>
      </c>
      <c r="IA331" t="str">
        <f>+IFERROR(VLOOKUP(IA32,IN_Zugliste!$A$4:$F$2002,7,FALSE),"")</f>
        <v/>
      </c>
      <c r="IB331" t="str">
        <f>+IFERROR(VLOOKUP(IB32,IN_Zugliste!$A$4:$F$2002,7,FALSE),"")</f>
        <v/>
      </c>
      <c r="IC331" t="str">
        <f>+IFERROR(VLOOKUP(IC32,IN_Zugliste!$A$4:$F$2002,7,FALSE),"")</f>
        <v/>
      </c>
      <c r="ID331" t="str">
        <f>+IFERROR(VLOOKUP(ID32,IN_Zugliste!$A$4:$F$2002,7,FALSE),"")</f>
        <v/>
      </c>
      <c r="IE331" t="str">
        <f>+IFERROR(VLOOKUP(IE32,IN_Zugliste!$A$4:$F$2002,7,FALSE),"")</f>
        <v/>
      </c>
      <c r="IF331" t="str">
        <f>+IFERROR(VLOOKUP(IF32,IN_Zugliste!$A$4:$F$2002,7,FALSE),"")</f>
        <v/>
      </c>
      <c r="IG331" t="str">
        <f>+IFERROR(VLOOKUP(IG32,IN_Zugliste!$A$4:$F$2002,7,FALSE),"")</f>
        <v/>
      </c>
      <c r="IH331" t="str">
        <f>+IFERROR(VLOOKUP(IH32,IN_Zugliste!$A$4:$F$2002,7,FALSE),"")</f>
        <v/>
      </c>
      <c r="II331" t="str">
        <f>+IFERROR(VLOOKUP(II32,IN_Zugliste!$A$4:$F$2002,7,FALSE),"")</f>
        <v/>
      </c>
      <c r="IJ331" t="str">
        <f>+IFERROR(VLOOKUP(IJ32,IN_Zugliste!$A$4:$F$2002,7,FALSE),"")</f>
        <v/>
      </c>
      <c r="IK331" t="str">
        <f>+IFERROR(VLOOKUP(IK32,IN_Zugliste!$A$4:$F$2002,7,FALSE),"")</f>
        <v/>
      </c>
      <c r="IL331" t="str">
        <f>+IFERROR(VLOOKUP(IL32,IN_Zugliste!$A$4:$F$2002,7,FALSE),"")</f>
        <v/>
      </c>
      <c r="IM331" t="str">
        <f>+IFERROR(VLOOKUP(IM32,IN_Zugliste!$A$4:$F$2002,7,FALSE),"")</f>
        <v/>
      </c>
      <c r="IN331" t="str">
        <f>+IFERROR(VLOOKUP(IN32,IN_Zugliste!$A$4:$F$2002,7,FALSE),"")</f>
        <v/>
      </c>
      <c r="IO331" t="str">
        <f>+IFERROR(VLOOKUP(IO32,IN_Zugliste!$A$4:$F$2002,7,FALSE),"")</f>
        <v/>
      </c>
      <c r="IP331" t="str">
        <f>+IFERROR(VLOOKUP(IP32,IN_Zugliste!$A$4:$F$2002,7,FALSE),"")</f>
        <v/>
      </c>
      <c r="IQ331" t="str">
        <f>+IFERROR(VLOOKUP(IQ32,IN_Zugliste!$A$4:$F$2002,7,FALSE),"")</f>
        <v/>
      </c>
      <c r="IR331" t="str">
        <f>+IFERROR(VLOOKUP(IR32,IN_Zugliste!$A$4:$F$2002,7,FALSE),"")</f>
        <v/>
      </c>
      <c r="IS331" t="str">
        <f>+IFERROR(VLOOKUP(IS32,IN_Zugliste!$A$4:$F$2002,7,FALSE),"")</f>
        <v/>
      </c>
      <c r="IT331" t="str">
        <f>+IFERROR(VLOOKUP(IT32,IN_Zugliste!$A$4:$F$2002,7,FALSE),"")</f>
        <v/>
      </c>
      <c r="IU331" t="str">
        <f>+IFERROR(VLOOKUP(IU32,IN_Zugliste!$A$4:$F$2002,7,FALSE),"")</f>
        <v/>
      </c>
      <c r="IV331" t="str">
        <f>+IFERROR(VLOOKUP(IV32,IN_Zugliste!$A$4:$F$2002,7,FALSE),"")</f>
        <v/>
      </c>
      <c r="IW331" t="str">
        <f>+IFERROR(VLOOKUP(IW32,IN_Zugliste!$A$4:$F$2002,7,FALSE),"")</f>
        <v/>
      </c>
      <c r="IX331" t="str">
        <f>+IFERROR(VLOOKUP(IX32,IN_Zugliste!$A$4:$F$2002,7,FALSE),"")</f>
        <v/>
      </c>
      <c r="IY331" t="str">
        <f>+IFERROR(VLOOKUP(IY32,IN_Zugliste!$A$4:$F$2002,7,FALSE),"")</f>
        <v/>
      </c>
      <c r="IZ331" t="str">
        <f>+IFERROR(VLOOKUP(IZ32,IN_Zugliste!$A$4:$F$2002,7,FALSE),"")</f>
        <v/>
      </c>
      <c r="JA331" t="str">
        <f>+IFERROR(VLOOKUP(JA32,IN_Zugliste!$A$4:$F$2002,7,FALSE),"")</f>
        <v/>
      </c>
      <c r="JB331" t="str">
        <f>+IFERROR(VLOOKUP(JB32,IN_Zugliste!$A$4:$F$2002,7,FALSE),"")</f>
        <v/>
      </c>
      <c r="JC331" t="str">
        <f>+IFERROR(VLOOKUP(JC32,IN_Zugliste!$A$4:$F$2002,7,FALSE),"")</f>
        <v/>
      </c>
      <c r="JD331" t="str">
        <f>+IFERROR(VLOOKUP(JD32,IN_Zugliste!$A$4:$F$2002,7,FALSE),"")</f>
        <v/>
      </c>
      <c r="JE331" t="str">
        <f>+IFERROR(VLOOKUP(JE32,IN_Zugliste!$A$4:$F$2002,7,FALSE),"")</f>
        <v/>
      </c>
      <c r="JF331" t="str">
        <f>+IFERROR(VLOOKUP(JF32,IN_Zugliste!$A$4:$F$2002,7,FALSE),"")</f>
        <v/>
      </c>
      <c r="JG331" t="str">
        <f>+IFERROR(VLOOKUP(JG32,IN_Zugliste!$A$4:$F$2002,7,FALSE),"")</f>
        <v/>
      </c>
      <c r="JH331" t="str">
        <f>+IFERROR(VLOOKUP(JH32,IN_Zugliste!$A$4:$F$2002,7,FALSE),"")</f>
        <v/>
      </c>
      <c r="JI331" t="str">
        <f>+IFERROR(VLOOKUP(JI32,IN_Zugliste!$A$4:$F$2002,7,FALSE),"")</f>
        <v/>
      </c>
      <c r="JJ331" t="str">
        <f>+IFERROR(VLOOKUP(JJ32,IN_Zugliste!$A$4:$F$2002,7,FALSE),"")</f>
        <v/>
      </c>
    </row>
    <row r="332" spans="1:270" x14ac:dyDescent="0.2">
      <c r="A332" t="str">
        <f>+IFERROR(VLOOKUP(A33,IN_Zugliste!$A$4:$F$602,7,FALSE),"")</f>
        <v/>
      </c>
      <c r="B332" t="str">
        <f>+IFERROR(VLOOKUP(B33,IN_Zugliste!$A$4:$F$602,7,FALSE),"")</f>
        <v/>
      </c>
      <c r="C332" t="str">
        <f>+IFERROR(VLOOKUP(C33,IN_Zugliste!$A$4:$F$602,7,FALSE),"")</f>
        <v/>
      </c>
      <c r="D332" t="str">
        <f>+IFERROR(VLOOKUP(D33,IN_Zugliste!$A$4:$F$602,7,FALSE),"")</f>
        <v/>
      </c>
      <c r="E332" t="str">
        <f>+IFERROR(VLOOKUP(E33,IN_Zugliste!$A$4:$F$602,7,FALSE),"")</f>
        <v/>
      </c>
      <c r="F332" t="str">
        <f>+IFERROR(VLOOKUP(F33,IN_Zugliste!$A$4:$F$602,7,FALSE),"")</f>
        <v/>
      </c>
      <c r="G332" t="str">
        <f>+IFERROR(VLOOKUP(G33,IN_Zugliste!$A$4:$F$602,7,FALSE),"")</f>
        <v/>
      </c>
      <c r="H332" t="str">
        <f>+IFERROR(VLOOKUP(H33,IN_Zugliste!$A$4:$F$602,7,FALSE),"")</f>
        <v/>
      </c>
      <c r="I332" t="str">
        <f>+IFERROR(VLOOKUP(I33,IN_Zugliste!$A$4:$F$602,7,FALSE),"")</f>
        <v/>
      </c>
      <c r="J332" t="str">
        <f>+IFERROR(VLOOKUP(J33,IN_Zugliste!$A$4:$F$602,7,FALSE),"")</f>
        <v/>
      </c>
      <c r="K332" t="str">
        <f>+IFERROR(VLOOKUP(K33,IN_Zugliste!$A$4:$F$602,7,FALSE),"")</f>
        <v/>
      </c>
      <c r="L332" t="str">
        <f>+IFERROR(VLOOKUP(L33,IN_Zugliste!$A$4:$F$602,7,FALSE),"")</f>
        <v/>
      </c>
      <c r="M332" t="str">
        <f>+IFERROR(VLOOKUP(M33,IN_Zugliste!$A$4:$F$602,7,FALSE),"")</f>
        <v/>
      </c>
      <c r="N332" t="str">
        <f>+IFERROR(VLOOKUP(N33,IN_Zugliste!$A$4:$F$602,7,FALSE),"")</f>
        <v/>
      </c>
      <c r="O332" t="str">
        <f>+IFERROR(VLOOKUP(O33,IN_Zugliste!$A$4:$F$602,7,FALSE),"")</f>
        <v/>
      </c>
      <c r="P332" t="str">
        <f>+IFERROR(VLOOKUP(P33,IN_Zugliste!$A$4:$F$602,7,FALSE),"")</f>
        <v/>
      </c>
      <c r="Q332" t="str">
        <f>+IFERROR(VLOOKUP(Q33,IN_Zugliste!$A$4:$F$602,7,FALSE),"")</f>
        <v/>
      </c>
      <c r="R332" t="str">
        <f>+IFERROR(VLOOKUP(R33,IN_Zugliste!$A$4:$F$602,7,FALSE),"")</f>
        <v/>
      </c>
      <c r="S332" t="str">
        <f>+IFERROR(VLOOKUP(S33,IN_Zugliste!$A$4:$F$602,7,FALSE),"")</f>
        <v/>
      </c>
      <c r="T332" t="str">
        <f>+IFERROR(VLOOKUP(T33,IN_Zugliste!$A$4:$F$602,7,FALSE),"")</f>
        <v/>
      </c>
      <c r="U332" t="str">
        <f>+IFERROR(VLOOKUP(U33,IN_Zugliste!$A$4:$F$602,7,FALSE),"")</f>
        <v/>
      </c>
      <c r="V332" t="str">
        <f>+IFERROR(VLOOKUP(V33,IN_Zugliste!$A$4:$F$602,7,FALSE),"")</f>
        <v/>
      </c>
      <c r="W332" t="str">
        <f>+IFERROR(VLOOKUP(W33,IN_Zugliste!$A$4:$F$602,7,FALSE),"")</f>
        <v/>
      </c>
      <c r="X332" t="str">
        <f>+IFERROR(VLOOKUP(X33,IN_Zugliste!$A$4:$F$602,7,FALSE),"")</f>
        <v/>
      </c>
      <c r="Y332" t="str">
        <f>+IFERROR(VLOOKUP(Y33,IN_Zugliste!$A$4:$F$602,7,FALSE),"")</f>
        <v/>
      </c>
      <c r="Z332" t="str">
        <f>+IFERROR(VLOOKUP(Z33,IN_Zugliste!$A$4:$F$602,7,FALSE),"")</f>
        <v/>
      </c>
      <c r="AA332" t="str">
        <f>+IFERROR(VLOOKUP(AA33,IN_Zugliste!$A$4:$F$602,7,FALSE),"")</f>
        <v/>
      </c>
      <c r="AB332" t="str">
        <f>+IFERROR(VLOOKUP(AB33,IN_Zugliste!$A$4:$F$602,7,FALSE),"")</f>
        <v/>
      </c>
      <c r="AC332" t="str">
        <f>+IFERROR(VLOOKUP(AC33,IN_Zugliste!$A$4:$F$602,7,FALSE),"")</f>
        <v/>
      </c>
      <c r="AD332" t="str">
        <f>+IFERROR(VLOOKUP(AD33,IN_Zugliste!$A$4:$F$602,7,FALSE),"")</f>
        <v/>
      </c>
      <c r="AE332" t="str">
        <f>+IFERROR(VLOOKUP(AE33,IN_Zugliste!$A$4:$F$602,7,FALSE),"")</f>
        <v/>
      </c>
      <c r="AF332" t="str">
        <f>+IFERROR(VLOOKUP(AF33,IN_Zugliste!$A$4:$F$602,7,FALSE),"")</f>
        <v/>
      </c>
      <c r="AG332" t="str">
        <f>+IFERROR(VLOOKUP(AG33,IN_Zugliste!$A$4:$F$602,7,FALSE),"")</f>
        <v/>
      </c>
      <c r="AH332" t="str">
        <f>+IFERROR(VLOOKUP(AH33,IN_Zugliste!$A$4:$F$602,7,FALSE),"")</f>
        <v/>
      </c>
      <c r="AI332" t="str">
        <f>+IFERROR(VLOOKUP(AI33,IN_Zugliste!$A$4:$F$602,7,FALSE),"")</f>
        <v/>
      </c>
      <c r="AJ332" t="str">
        <f>+IFERROR(VLOOKUP(AJ33,IN_Zugliste!$A$4:$F$602,7,FALSE),"")</f>
        <v/>
      </c>
      <c r="AK332" t="str">
        <f>+IFERROR(VLOOKUP(AK33,IN_Zugliste!$A$4:$F$602,7,FALSE),"")</f>
        <v/>
      </c>
      <c r="AL332" t="str">
        <f>+IFERROR(VLOOKUP(AL33,IN_Zugliste!$A$4:$F$602,7,FALSE),"")</f>
        <v/>
      </c>
      <c r="AM332" t="str">
        <f>+IFERROR(VLOOKUP(AM33,IN_Zugliste!$A$4:$F$602,7,FALSE),"")</f>
        <v/>
      </c>
      <c r="AN332" t="str">
        <f>+IFERROR(VLOOKUP(AN33,IN_Zugliste!$A$4:$F$602,7,FALSE),"")</f>
        <v/>
      </c>
      <c r="AO332" t="str">
        <f>+IFERROR(VLOOKUP(AO33,IN_Zugliste!$A$4:$F$602,7,FALSE),"")</f>
        <v/>
      </c>
      <c r="AP332" t="str">
        <f>+IFERROR(VLOOKUP(AP33,IN_Zugliste!$A$4:$F$602,7,FALSE),"")</f>
        <v/>
      </c>
      <c r="AQ332" t="str">
        <f>+IFERROR(VLOOKUP(AQ33,IN_Zugliste!$A$4:$F$602,7,FALSE),"")</f>
        <v/>
      </c>
      <c r="AR332" t="str">
        <f>+IFERROR(VLOOKUP(AR33,IN_Zugliste!$A$4:$F$602,7,FALSE),"")</f>
        <v/>
      </c>
      <c r="AS332" t="str">
        <f>+IFERROR(VLOOKUP(AS33,IN_Zugliste!$A$4:$F$602,7,FALSE),"")</f>
        <v/>
      </c>
      <c r="AT332" t="str">
        <f>+IFERROR(VLOOKUP(AT33,IN_Zugliste!$A$4:$F$602,7,FALSE),"")</f>
        <v/>
      </c>
      <c r="AU332" t="str">
        <f>+IFERROR(VLOOKUP(AU33,IN_Zugliste!$A$4:$F$602,7,FALSE),"")</f>
        <v/>
      </c>
      <c r="AV332" t="str">
        <f>+IFERROR(VLOOKUP(AV33,IN_Zugliste!$A$4:$F$602,7,FALSE),"")</f>
        <v/>
      </c>
      <c r="AW332" t="str">
        <f>+IFERROR(VLOOKUP(AW33,IN_Zugliste!$A$4:$F$602,7,FALSE),"")</f>
        <v/>
      </c>
      <c r="AX332" t="str">
        <f>+IFERROR(VLOOKUP(AX33,IN_Zugliste!$A$4:$F$602,7,FALSE),"")</f>
        <v/>
      </c>
      <c r="AY332" t="str">
        <f>+IFERROR(VLOOKUP(AY33,IN_Zugliste!$A$4:$F$602,7,FALSE),"")</f>
        <v/>
      </c>
      <c r="AZ332" t="str">
        <f>+IFERROR(VLOOKUP(AZ33,IN_Zugliste!$A$4:$F$602,7,FALSE),"")</f>
        <v/>
      </c>
      <c r="BA332" t="str">
        <f>+IFERROR(VLOOKUP(BA33,IN_Zugliste!$A$4:$F$602,7,FALSE),"")</f>
        <v/>
      </c>
      <c r="BB332" t="str">
        <f>+IFERROR(VLOOKUP(BB33,IN_Zugliste!$A$4:$F$602,7,FALSE),"")</f>
        <v/>
      </c>
      <c r="BC332" t="str">
        <f>+IFERROR(VLOOKUP(BC33,IN_Zugliste!$A$4:$F$602,7,FALSE),"")</f>
        <v/>
      </c>
      <c r="BD332" t="str">
        <f>+IFERROR(VLOOKUP(BD33,IN_Zugliste!$A$4:$F$602,7,FALSE),"")</f>
        <v/>
      </c>
      <c r="BE332" t="str">
        <f>+IFERROR(VLOOKUP(BE33,IN_Zugliste!$A$4:$F$602,7,FALSE),"")</f>
        <v/>
      </c>
      <c r="BF332" t="str">
        <f>+IFERROR(VLOOKUP(BF33,IN_Zugliste!$A$4:$F$602,7,FALSE),"")</f>
        <v/>
      </c>
      <c r="BG332" t="str">
        <f>+IFERROR(VLOOKUP(BG33,IN_Zugliste!$A$4:$F$602,7,FALSE),"")</f>
        <v/>
      </c>
      <c r="BH332" t="str">
        <f>+IFERROR(VLOOKUP(BH33,IN_Zugliste!$A$4:$F$602,7,FALSE),"")</f>
        <v/>
      </c>
      <c r="BI332" t="str">
        <f>+IFERROR(VLOOKUP(BI33,IN_Zugliste!$A$4:$F$602,7,FALSE),"")</f>
        <v/>
      </c>
      <c r="BJ332" t="str">
        <f>+IFERROR(VLOOKUP(BJ33,IN_Zugliste!$A$4:$F$602,7,FALSE),"")</f>
        <v/>
      </c>
      <c r="BK332" t="str">
        <f>+IFERROR(VLOOKUP(BK33,IN_Zugliste!$A$4:$F$602,7,FALSE),"")</f>
        <v/>
      </c>
      <c r="BL332" t="str">
        <f>+IFERROR(VLOOKUP(BL33,IN_Zugliste!$A$4:$F$602,7,FALSE),"")</f>
        <v/>
      </c>
      <c r="BM332" t="str">
        <f>+IFERROR(VLOOKUP(BM33,IN_Zugliste!$A$4:$F$602,7,FALSE),"")</f>
        <v/>
      </c>
      <c r="BN332" t="str">
        <f>+IFERROR(VLOOKUP(BN33,IN_Zugliste!$A$4:$F$602,7,FALSE),"")</f>
        <v/>
      </c>
      <c r="BO332" t="str">
        <f>+IFERROR(VLOOKUP(BO33,IN_Zugliste!$A$4:$F$602,7,FALSE),"")</f>
        <v/>
      </c>
      <c r="BP332" t="str">
        <f>+IFERROR(VLOOKUP(BP33,IN_Zugliste!$A$4:$F$602,7,FALSE),"")</f>
        <v/>
      </c>
      <c r="BQ332" t="str">
        <f>+IFERROR(VLOOKUP(BQ33,IN_Zugliste!$A$4:$F$602,7,FALSE),"")</f>
        <v/>
      </c>
      <c r="BR332" t="str">
        <f>+IFERROR(VLOOKUP(BR33,IN_Zugliste!$A$4:$F$602,7,FALSE),"")</f>
        <v/>
      </c>
      <c r="BS332" t="str">
        <f>+IFERROR(VLOOKUP(BS33,IN_Zugliste!$A$4:$F$602,7,FALSE),"")</f>
        <v/>
      </c>
      <c r="BT332" t="str">
        <f>+IFERROR(VLOOKUP(BT33,IN_Zugliste!$A$4:$F$602,7,FALSE),"")</f>
        <v/>
      </c>
      <c r="BU332" t="str">
        <f>+IFERROR(VLOOKUP(BU33,IN_Zugliste!$A$4:$F$602,7,FALSE),"")</f>
        <v/>
      </c>
      <c r="BV332" t="str">
        <f>+IFERROR(VLOOKUP(BV33,IN_Zugliste!$A$4:$F$602,7,FALSE),"")</f>
        <v/>
      </c>
      <c r="BW332" t="str">
        <f>+IFERROR(VLOOKUP(BW33,IN_Zugliste!$A$4:$F$602,7,FALSE),"")</f>
        <v/>
      </c>
      <c r="BX332" t="str">
        <f>+IFERROR(VLOOKUP(BX33,IN_Zugliste!$A$4:$F$602,7,FALSE),"")</f>
        <v/>
      </c>
      <c r="BY332" t="str">
        <f>+IFERROR(VLOOKUP(BY33,IN_Zugliste!$A$4:$F$602,7,FALSE),"")</f>
        <v/>
      </c>
      <c r="BZ332" t="str">
        <f>+IFERROR(VLOOKUP(BZ33,IN_Zugliste!$A$4:$F$602,7,FALSE),"")</f>
        <v/>
      </c>
      <c r="CA332" t="str">
        <f>+IFERROR(VLOOKUP(CA33,IN_Zugliste!$A$4:$F$602,7,FALSE),"")</f>
        <v/>
      </c>
      <c r="CB332" t="str">
        <f>+IFERROR(VLOOKUP(CB33,IN_Zugliste!$A$4:$F$602,7,FALSE),"")</f>
        <v/>
      </c>
      <c r="CC332" t="str">
        <f>+IFERROR(VLOOKUP(CC33,IN_Zugliste!$A$4:$F$602,7,FALSE),"")</f>
        <v/>
      </c>
      <c r="CD332" t="str">
        <f>+IFERROR(VLOOKUP(CD33,IN_Zugliste!$A$4:$F$602,7,FALSE),"")</f>
        <v/>
      </c>
      <c r="CE332" t="str">
        <f>+IFERROR(VLOOKUP(CE33,IN_Zugliste!$A$4:$F$602,7,FALSE),"")</f>
        <v/>
      </c>
      <c r="CF332" t="str">
        <f>+IFERROR(VLOOKUP(CF33,IN_Zugliste!$A$4:$F$602,7,FALSE),"")</f>
        <v/>
      </c>
      <c r="CG332" t="str">
        <f>+IFERROR(VLOOKUP(CG33,IN_Zugliste!$A$4:$F$602,7,FALSE),"")</f>
        <v/>
      </c>
      <c r="CH332" t="str">
        <f>+IFERROR(VLOOKUP(CH33,IN_Zugliste!$A$4:$F$602,7,FALSE),"")</f>
        <v/>
      </c>
      <c r="CI332" t="str">
        <f>+IFERROR(VLOOKUP(CI33,IN_Zugliste!$A$4:$F$602,7,FALSE),"")</f>
        <v/>
      </c>
      <c r="CJ332" t="str">
        <f>+IFERROR(VLOOKUP(CJ33,IN_Zugliste!$A$4:$F$602,7,FALSE),"")</f>
        <v/>
      </c>
      <c r="CK332" t="str">
        <f>+IFERROR(VLOOKUP(CK33,IN_Zugliste!$A$4:$F$602,7,FALSE),"")</f>
        <v/>
      </c>
      <c r="CL332" t="str">
        <f>+IFERROR(VLOOKUP(CL33,IN_Zugliste!$A$4:$F$602,7,FALSE),"")</f>
        <v/>
      </c>
      <c r="CM332" t="str">
        <f>+IFERROR(VLOOKUP(CM33,IN_Zugliste!$A$4:$F$602,7,FALSE),"")</f>
        <v/>
      </c>
      <c r="CN332" t="str">
        <f>+IFERROR(VLOOKUP(CN33,IN_Zugliste!$A$4:$F$602,7,FALSE),"")</f>
        <v/>
      </c>
      <c r="CO332" t="str">
        <f>+IFERROR(VLOOKUP(CO33,IN_Zugliste!$A$4:$F$602,7,FALSE),"")</f>
        <v/>
      </c>
      <c r="CP332" t="str">
        <f>+IFERROR(VLOOKUP(CP33,IN_Zugliste!$A$4:$F$602,7,FALSE),"")</f>
        <v/>
      </c>
      <c r="CQ332" t="str">
        <f>+IFERROR(VLOOKUP(CQ33,IN_Zugliste!$A$4:$F$602,7,FALSE),"")</f>
        <v/>
      </c>
      <c r="CR332" t="str">
        <f>+IFERROR(VLOOKUP(CR33,IN_Zugliste!$A$4:$F$602,7,FALSE),"")</f>
        <v/>
      </c>
      <c r="CS332" t="str">
        <f>+IFERROR(VLOOKUP(CS33,IN_Zugliste!$A$4:$F$602,7,FALSE),"")</f>
        <v/>
      </c>
      <c r="CT332" t="str">
        <f>+IFERROR(VLOOKUP(CT33,IN_Zugliste!$A$4:$F$602,7,FALSE),"")</f>
        <v/>
      </c>
      <c r="CU332" t="str">
        <f>+IFERROR(VLOOKUP(CU33,IN_Zugliste!$A$4:$F$602,7,FALSE),"")</f>
        <v/>
      </c>
      <c r="CV332" t="str">
        <f>+IFERROR(VLOOKUP(CV33,IN_Zugliste!$A$4:$F$602,7,FALSE),"")</f>
        <v/>
      </c>
      <c r="CW332" t="str">
        <f>+IFERROR(VLOOKUP(CW33,IN_Zugliste!$A$4:$F$602,7,FALSE),"")</f>
        <v/>
      </c>
      <c r="CX332" t="str">
        <f>+IFERROR(VLOOKUP(CX33,IN_Zugliste!$A$4:$F$602,7,FALSE),"")</f>
        <v/>
      </c>
      <c r="CY332" t="str">
        <f>+IFERROR(VLOOKUP(CY33,IN_Zugliste!$A$4:$F$602,7,FALSE),"")</f>
        <v/>
      </c>
      <c r="CZ332" t="str">
        <f>+IFERROR(VLOOKUP(CZ33,IN_Zugliste!$A$4:$F$602,7,FALSE),"")</f>
        <v/>
      </c>
      <c r="DA332" t="str">
        <f>+IFERROR(VLOOKUP(DA33,IN_Zugliste!$A$4:$F$602,7,FALSE),"")</f>
        <v/>
      </c>
      <c r="DB332" t="str">
        <f>+IFERROR(VLOOKUP(DB33,IN_Zugliste!$A$4:$F$602,7,FALSE),"")</f>
        <v/>
      </c>
      <c r="DC332" t="str">
        <f>+IFERROR(VLOOKUP(DC33,IN_Zugliste!$A$4:$F$602,7,FALSE),"")</f>
        <v/>
      </c>
      <c r="DD332" t="str">
        <f>+IFERROR(VLOOKUP(DD33,IN_Zugliste!$A$4:$F$602,7,FALSE),"")</f>
        <v/>
      </c>
      <c r="DE332" t="str">
        <f>+IFERROR(VLOOKUP(DE33,IN_Zugliste!$A$4:$F$602,7,FALSE),"")</f>
        <v/>
      </c>
      <c r="DF332" t="str">
        <f>+IFERROR(VLOOKUP(DF33,IN_Zugliste!$A$4:$F$602,7,FALSE),"")</f>
        <v/>
      </c>
      <c r="DG332" t="str">
        <f>+IFERROR(VLOOKUP(DG33,IN_Zugliste!$A$4:$F$602,7,FALSE),"")</f>
        <v/>
      </c>
      <c r="DH332" t="str">
        <f>+IFERROR(VLOOKUP(DH33,IN_Zugliste!$A$4:$F$602,7,FALSE),"")</f>
        <v/>
      </c>
      <c r="DI332" t="str">
        <f>+IFERROR(VLOOKUP(DI33,IN_Zugliste!$A$4:$F$602,7,FALSE),"")</f>
        <v/>
      </c>
      <c r="DJ332" t="str">
        <f>+IFERROR(VLOOKUP(DJ33,IN_Zugliste!$A$4:$F$602,7,FALSE),"")</f>
        <v/>
      </c>
      <c r="DK332" t="str">
        <f>+IFERROR(VLOOKUP(DK33,IN_Zugliste!$A$4:$F$602,7,FALSE),"")</f>
        <v/>
      </c>
      <c r="DL332" t="str">
        <f>+IFERROR(VLOOKUP(DL33,IN_Zugliste!$A$4:$F$602,7,FALSE),"")</f>
        <v/>
      </c>
      <c r="DM332" t="str">
        <f>+IFERROR(VLOOKUP(DM33,IN_Zugliste!$A$4:$F$602,7,FALSE),"")</f>
        <v/>
      </c>
      <c r="DN332" t="str">
        <f>+IFERROR(VLOOKUP(DN33,IN_Zugliste!$A$4:$F$602,7,FALSE),"")</f>
        <v/>
      </c>
      <c r="DO332" t="str">
        <f>+IFERROR(VLOOKUP(DO33,IN_Zugliste!$A$4:$F$602,7,FALSE),"")</f>
        <v/>
      </c>
      <c r="DP332" t="str">
        <f>+IFERROR(VLOOKUP(DP33,IN_Zugliste!$A$4:$F$602,7,FALSE),"")</f>
        <v/>
      </c>
      <c r="DQ332" t="str">
        <f>+IFERROR(VLOOKUP(DQ33,IN_Zugliste!$A$4:$F$602,7,FALSE),"")</f>
        <v/>
      </c>
      <c r="DR332" t="str">
        <f>+IFERROR(VLOOKUP(DR33,IN_Zugliste!$A$4:$F$602,7,FALSE),"")</f>
        <v/>
      </c>
      <c r="DS332" t="str">
        <f>+IFERROR(VLOOKUP(DS33,IN_Zugliste!$A$4:$F$602,7,FALSE),"")</f>
        <v/>
      </c>
      <c r="DT332" t="str">
        <f>+IFERROR(VLOOKUP(DT33,IN_Zugliste!$A$4:$F$602,7,FALSE),"")</f>
        <v/>
      </c>
      <c r="DU332" t="str">
        <f>+IFERROR(VLOOKUP(DU33,IN_Zugliste!$A$4:$F$602,7,FALSE),"")</f>
        <v/>
      </c>
      <c r="DV332" t="str">
        <f>+IFERROR(VLOOKUP(DV33,IN_Zugliste!$A$4:$F$602,7,FALSE),"")</f>
        <v/>
      </c>
      <c r="DW332" t="str">
        <f>+IFERROR(VLOOKUP(DW33,IN_Zugliste!$A$4:$F$602,7,FALSE),"")</f>
        <v/>
      </c>
      <c r="DX332" t="str">
        <f>+IFERROR(VLOOKUP(DX33,IN_Zugliste!$A$4:$F$602,7,FALSE),"")</f>
        <v/>
      </c>
      <c r="DY332" t="str">
        <f>+IFERROR(VLOOKUP(DY33,IN_Zugliste!$A$4:$F$602,7,FALSE),"")</f>
        <v/>
      </c>
      <c r="DZ332" t="str">
        <f>+IFERROR(VLOOKUP(DZ33,IN_Zugliste!$A$4:$F$602,7,FALSE),"")</f>
        <v/>
      </c>
      <c r="EA332" t="str">
        <f>+IFERROR(VLOOKUP(EA33,IN_Zugliste!$A$4:$F$602,7,FALSE),"")</f>
        <v/>
      </c>
      <c r="EB332" t="str">
        <f>+IFERROR(VLOOKUP(EB33,IN_Zugliste!$A$4:$F$602,7,FALSE),"")</f>
        <v/>
      </c>
      <c r="EC332" t="str">
        <f>+IFERROR(VLOOKUP(EC33,IN_Zugliste!$A$4:$F$602,7,FALSE),"")</f>
        <v/>
      </c>
      <c r="ED332" t="str">
        <f>+IFERROR(VLOOKUP(ED33,IN_Zugliste!$A$4:$F$602,7,FALSE),"")</f>
        <v/>
      </c>
      <c r="EE332" t="str">
        <f>+IFERROR(VLOOKUP(EE33,IN_Zugliste!$A$4:$F$602,7,FALSE),"")</f>
        <v/>
      </c>
      <c r="EF332" t="str">
        <f>+IFERROR(VLOOKUP(EF33,IN_Zugliste!$A$4:$F$602,7,FALSE),"")</f>
        <v/>
      </c>
      <c r="EG332" t="str">
        <f>+IFERROR(VLOOKUP(EG33,IN_Zugliste!$A$4:$F$602,7,FALSE),"")</f>
        <v/>
      </c>
      <c r="EH332" t="str">
        <f>+IFERROR(VLOOKUP(EH33,IN_Zugliste!$A$4:$F$602,7,FALSE),"")</f>
        <v/>
      </c>
      <c r="EI332" t="str">
        <f>+IFERROR(VLOOKUP(EI33,IN_Zugliste!$A$4:$F$602,7,FALSE),"")</f>
        <v/>
      </c>
      <c r="EJ332" t="str">
        <f>+IFERROR(VLOOKUP(EJ33,IN_Zugliste!$A$4:$F$602,7,FALSE),"")</f>
        <v/>
      </c>
      <c r="EK332" t="str">
        <f>+IFERROR(VLOOKUP(EK33,IN_Zugliste!$A$4:$F$602,7,FALSE),"")</f>
        <v/>
      </c>
      <c r="EL332" t="str">
        <f>+IFERROR(VLOOKUP(EL33,IN_Zugliste!$A$4:$F$602,7,FALSE),"")</f>
        <v/>
      </c>
      <c r="EM332" t="str">
        <f>+IFERROR(VLOOKUP(EM33,IN_Zugliste!$A$4:$F$602,7,FALSE),"")</f>
        <v/>
      </c>
      <c r="EN332" t="str">
        <f>+IFERROR(VLOOKUP(EN33,IN_Zugliste!$A$4:$F$602,7,FALSE),"")</f>
        <v/>
      </c>
      <c r="EO332" t="str">
        <f>+IFERROR(VLOOKUP(EO33,IN_Zugliste!$A$4:$F$602,7,FALSE),"")</f>
        <v/>
      </c>
      <c r="EP332" t="str">
        <f>+IFERROR(VLOOKUP(EP33,IN_Zugliste!$A$4:$F$602,7,FALSE),"")</f>
        <v/>
      </c>
      <c r="EQ332" t="str">
        <f>+IFERROR(VLOOKUP(EQ33,IN_Zugliste!$A$4:$F$602,7,FALSE),"")</f>
        <v/>
      </c>
      <c r="ER332" t="str">
        <f>+IFERROR(VLOOKUP(ER33,IN_Zugliste!$A$4:$F$602,7,FALSE),"")</f>
        <v/>
      </c>
      <c r="ES332" t="str">
        <f>+IFERROR(VLOOKUP(ES33,IN_Zugliste!$A$4:$F$602,7,FALSE),"")</f>
        <v/>
      </c>
      <c r="ET332" t="str">
        <f>+IFERROR(VLOOKUP(ET33,IN_Zugliste!$A$4:$F$602,7,FALSE),"")</f>
        <v/>
      </c>
      <c r="EU332" t="str">
        <f>+IFERROR(VLOOKUP(EU33,IN_Zugliste!$A$4:$F$602,7,FALSE),"")</f>
        <v/>
      </c>
      <c r="EV332" t="str">
        <f>+IFERROR(VLOOKUP(EV33,IN_Zugliste!$A$4:$F$602,7,FALSE),"")</f>
        <v/>
      </c>
      <c r="EW332" t="str">
        <f>+IFERROR(VLOOKUP(EW33,IN_Zugliste!$A$4:$F$602,7,FALSE),"")</f>
        <v/>
      </c>
      <c r="EX332" t="str">
        <f>+IFERROR(VLOOKUP(EX33,IN_Zugliste!$A$4:$F$602,7,FALSE),"")</f>
        <v/>
      </c>
      <c r="EY332" t="str">
        <f>+IFERROR(VLOOKUP(EY33,IN_Zugliste!$A$4:$F$602,7,FALSE),"")</f>
        <v/>
      </c>
      <c r="EZ332" t="str">
        <f>+IFERROR(VLOOKUP(EZ33,IN_Zugliste!$A$4:$F$602,7,FALSE),"")</f>
        <v/>
      </c>
      <c r="FA332" t="str">
        <f>+IFERROR(VLOOKUP(FA33,IN_Zugliste!$A$4:$F$602,7,FALSE),"")</f>
        <v/>
      </c>
      <c r="FB332" t="str">
        <f>+IFERROR(VLOOKUP(FB33,IN_Zugliste!$A$4:$F$602,7,FALSE),"")</f>
        <v/>
      </c>
      <c r="FC332" t="str">
        <f>+IFERROR(VLOOKUP(FC33,IN_Zugliste!$A$4:$F$602,7,FALSE),"")</f>
        <v/>
      </c>
      <c r="FD332" t="str">
        <f>+IFERROR(VLOOKUP(FD33,IN_Zugliste!$A$4:$F$602,7,FALSE),"")</f>
        <v/>
      </c>
      <c r="FE332" t="str">
        <f>+IFERROR(VLOOKUP(FE33,IN_Zugliste!$A$4:$F$602,7,FALSE),"")</f>
        <v/>
      </c>
      <c r="FF332" t="str">
        <f>+IFERROR(VLOOKUP(FF33,IN_Zugliste!$A$4:$F$602,7,FALSE),"")</f>
        <v/>
      </c>
      <c r="FG332" t="str">
        <f>+IFERROR(VLOOKUP(FG33,IN_Zugliste!$A$4:$F$602,7,FALSE),"")</f>
        <v/>
      </c>
      <c r="FH332" t="str">
        <f>+IFERROR(VLOOKUP(FH33,IN_Zugliste!$A$4:$F$602,7,FALSE),"")</f>
        <v/>
      </c>
      <c r="FI332" t="str">
        <f>+IFERROR(VLOOKUP(FI33,IN_Zugliste!$A$4:$F$602,7,FALSE),"")</f>
        <v/>
      </c>
      <c r="FJ332" t="str">
        <f>+IFERROR(VLOOKUP(FJ33,IN_Zugliste!$A$4:$F$602,7,FALSE),"")</f>
        <v/>
      </c>
      <c r="FK332" t="str">
        <f>+IFERROR(VLOOKUP(FK33,IN_Zugliste!$A$4:$F$602,7,FALSE),"")</f>
        <v/>
      </c>
      <c r="FL332" t="str">
        <f>+IFERROR(VLOOKUP(FL33,IN_Zugliste!$A$4:$F$602,7,FALSE),"")</f>
        <v/>
      </c>
      <c r="FM332" t="str">
        <f>+IFERROR(VLOOKUP(FM33,IN_Zugliste!$A$4:$F$602,7,FALSE),"")</f>
        <v/>
      </c>
      <c r="FN332" t="str">
        <f>+IFERROR(VLOOKUP(FN33,IN_Zugliste!$A$4:$F$602,7,FALSE),"")</f>
        <v/>
      </c>
      <c r="FO332" t="str">
        <f>+IFERROR(VLOOKUP(FO33,IN_Zugliste!$A$4:$F$602,7,FALSE),"")</f>
        <v/>
      </c>
      <c r="FP332" t="str">
        <f>+IFERROR(VLOOKUP(FP33,IN_Zugliste!$A$4:$F$602,7,FALSE),"")</f>
        <v/>
      </c>
      <c r="FQ332" t="str">
        <f>+IFERROR(VLOOKUP(FQ33,IN_Zugliste!$A$4:$F$602,7,FALSE),"")</f>
        <v/>
      </c>
      <c r="FR332" t="str">
        <f>+IFERROR(VLOOKUP(FR33,IN_Zugliste!$A$4:$F$602,7,FALSE),"")</f>
        <v/>
      </c>
      <c r="FS332" t="str">
        <f>+IFERROR(VLOOKUP(FS33,IN_Zugliste!$A$4:$F$602,7,FALSE),"")</f>
        <v/>
      </c>
      <c r="FT332" t="str">
        <f>+IFERROR(VLOOKUP(FT33,IN_Zugliste!$A$4:$F$602,7,FALSE),"")</f>
        <v/>
      </c>
      <c r="FU332" t="str">
        <f>+IFERROR(VLOOKUP(FU33,IN_Zugliste!$A$4:$F$602,7,FALSE),"")</f>
        <v/>
      </c>
      <c r="FV332" t="str">
        <f>+IFERROR(VLOOKUP(FV33,IN_Zugliste!$A$4:$F$602,7,FALSE),"")</f>
        <v/>
      </c>
      <c r="FW332" t="str">
        <f>+IFERROR(VLOOKUP(FW33,IN_Zugliste!$A$4:$F$602,7,FALSE),"")</f>
        <v/>
      </c>
      <c r="FX332" t="str">
        <f>+IFERROR(VLOOKUP(FX33,IN_Zugliste!$A$4:$F$602,7,FALSE),"")</f>
        <v/>
      </c>
      <c r="FY332" t="str">
        <f>+IFERROR(VLOOKUP(FY33,IN_Zugliste!$A$4:$F$602,7,FALSE),"")</f>
        <v/>
      </c>
      <c r="FZ332" t="str">
        <f>+IFERROR(VLOOKUP(FZ33,IN_Zugliste!$A$4:$F$602,7,FALSE),"")</f>
        <v/>
      </c>
      <c r="GA332" t="str">
        <f>+IFERROR(VLOOKUP(GA33,IN_Zugliste!$A$4:$F$602,7,FALSE),"")</f>
        <v/>
      </c>
      <c r="GB332" t="str">
        <f>+IFERROR(VLOOKUP(GB33,IN_Zugliste!$A$4:$F$602,7,FALSE),"")</f>
        <v/>
      </c>
      <c r="GC332" t="str">
        <f>+IFERROR(VLOOKUP(GC33,IN_Zugliste!$A$4:$F$602,7,FALSE),"")</f>
        <v/>
      </c>
      <c r="GD332" t="str">
        <f>+IFERROR(VLOOKUP(GD33,IN_Zugliste!$A$4:$F$602,7,FALSE),"")</f>
        <v/>
      </c>
      <c r="GE332" t="str">
        <f>+IFERROR(VLOOKUP(GE33,IN_Zugliste!$A$4:$F$602,7,FALSE),"")</f>
        <v/>
      </c>
      <c r="GF332" t="str">
        <f>+IFERROR(VLOOKUP(GF33,IN_Zugliste!$A$4:$F$602,7,FALSE),"")</f>
        <v/>
      </c>
      <c r="GG332" t="str">
        <f>+IFERROR(VLOOKUP(GG33,IN_Zugliste!$A$4:$F$602,7,FALSE),"")</f>
        <v/>
      </c>
      <c r="GH332" t="str">
        <f>+IFERROR(VLOOKUP(GH33,IN_Zugliste!$A$4:$F$602,7,FALSE),"")</f>
        <v/>
      </c>
      <c r="GI332" t="str">
        <f>+IFERROR(VLOOKUP(GI33,IN_Zugliste!$A$4:$F$602,7,FALSE),"")</f>
        <v/>
      </c>
      <c r="GJ332" t="str">
        <f>+IFERROR(VLOOKUP(GJ33,IN_Zugliste!$A$4:$F$602,7,FALSE),"")</f>
        <v/>
      </c>
      <c r="GK332" t="str">
        <f>+IFERROR(VLOOKUP(GK33,IN_Zugliste!$A$4:$F$602,7,FALSE),"")</f>
        <v/>
      </c>
      <c r="GL332" t="str">
        <f>+IFERROR(VLOOKUP(GL33,IN_Zugliste!$A$4:$F$602,7,FALSE),"")</f>
        <v/>
      </c>
      <c r="GM332" t="str">
        <f>+IFERROR(VLOOKUP(GM33,IN_Zugliste!$A$4:$F$602,7,FALSE),"")</f>
        <v/>
      </c>
      <c r="GN332" t="str">
        <f>+IFERROR(VLOOKUP(GN33,IN_Zugliste!$A$4:$F$602,7,FALSE),"")</f>
        <v/>
      </c>
      <c r="GO332" t="str">
        <f>+IFERROR(VLOOKUP(GO33,IN_Zugliste!$A$4:$F$602,7,FALSE),"")</f>
        <v/>
      </c>
      <c r="GP332" t="str">
        <f>+IFERROR(VLOOKUP(GP33,IN_Zugliste!$A$4:$F$602,7,FALSE),"")</f>
        <v/>
      </c>
      <c r="GQ332" t="str">
        <f>+IFERROR(VLOOKUP(GQ33,IN_Zugliste!$A$4:$F$602,7,FALSE),"")</f>
        <v/>
      </c>
      <c r="GR332" t="str">
        <f>+IFERROR(VLOOKUP(GR33,IN_Zugliste!$A$4:$F$602,7,FALSE),"")</f>
        <v/>
      </c>
      <c r="GS332" t="str">
        <f>+IFERROR(VLOOKUP(GS33,IN_Zugliste!$A$4:$F$602,7,FALSE),"")</f>
        <v/>
      </c>
      <c r="GT332" t="str">
        <f>+IFERROR(VLOOKUP(GT33,IN_Zugliste!$A$4:$F$602,7,FALSE),"")</f>
        <v/>
      </c>
      <c r="GU332" t="str">
        <f>+IFERROR(VLOOKUP(GU33,IN_Zugliste!$A$4:$F$602,7,FALSE),"")</f>
        <v/>
      </c>
      <c r="GV332" t="str">
        <f>+IFERROR(VLOOKUP(GV33,IN_Zugliste!$A$4:$F$602,7,FALSE),"")</f>
        <v/>
      </c>
      <c r="GW332" t="str">
        <f>+IFERROR(VLOOKUP(GW33,IN_Zugliste!$A$4:$F$602,7,FALSE),"")</f>
        <v/>
      </c>
      <c r="GX332" t="str">
        <f>+IFERROR(VLOOKUP(GX33,IN_Zugliste!$A$4:$F$602,7,FALSE),"")</f>
        <v/>
      </c>
      <c r="GY332" t="str">
        <f>+IFERROR(VLOOKUP(GY33,IN_Zugliste!$A$4:$F$602,7,FALSE),"")</f>
        <v/>
      </c>
      <c r="GZ332" t="str">
        <f>+IFERROR(VLOOKUP(GZ33,IN_Zugliste!$A$4:$F$602,7,FALSE),"")</f>
        <v/>
      </c>
      <c r="HA332" t="str">
        <f>+IFERROR(VLOOKUP(HA33,IN_Zugliste!$A$4:$F$602,7,FALSE),"")</f>
        <v/>
      </c>
      <c r="HB332" t="str">
        <f>+IFERROR(VLOOKUP(HB33,IN_Zugliste!$A$4:$F$602,7,FALSE),"")</f>
        <v/>
      </c>
      <c r="HC332" t="str">
        <f>+IFERROR(VLOOKUP(HC33,IN_Zugliste!$A$4:$F$602,7,FALSE),"")</f>
        <v/>
      </c>
      <c r="HD332" t="str">
        <f>+IFERROR(VLOOKUP(HD33,IN_Zugliste!$A$4:$F$602,7,FALSE),"")</f>
        <v/>
      </c>
      <c r="HE332" t="str">
        <f>+IFERROR(VLOOKUP(HE33,IN_Zugliste!$A$4:$F$602,7,FALSE),"")</f>
        <v/>
      </c>
      <c r="HF332" t="str">
        <f>+IFERROR(VLOOKUP(HF33,IN_Zugliste!$A$4:$F$602,7,FALSE),"")</f>
        <v/>
      </c>
      <c r="HG332" t="str">
        <f>+IFERROR(VLOOKUP(HG33,IN_Zugliste!$A$4:$F$602,7,FALSE),"")</f>
        <v/>
      </c>
      <c r="HH332" t="str">
        <f>+IFERROR(VLOOKUP(HH33,IN_Zugliste!$A$4:$F$602,7,FALSE),"")</f>
        <v/>
      </c>
    </row>
    <row r="333" spans="1:270" x14ac:dyDescent="0.2">
      <c r="A333" t="str">
        <f>+IFERROR(VLOOKUP(A34,IN_Zugliste!$A$4:$F$602,7,FALSE),"")</f>
        <v/>
      </c>
      <c r="B333" t="str">
        <f>+IFERROR(VLOOKUP(B34,IN_Zugliste!$A$4:$F$602,7,FALSE),"")</f>
        <v/>
      </c>
      <c r="C333" t="str">
        <f>+IFERROR(VLOOKUP(C34,IN_Zugliste!$A$4:$F$602,7,FALSE),"")</f>
        <v/>
      </c>
      <c r="D333" t="str">
        <f>+IFERROR(VLOOKUP(D34,IN_Zugliste!$A$4:$F$602,7,FALSE),"")</f>
        <v/>
      </c>
      <c r="E333" t="str">
        <f>+IFERROR(VLOOKUP(E34,IN_Zugliste!$A$4:$F$602,7,FALSE),"")</f>
        <v/>
      </c>
      <c r="F333" t="str">
        <f>+IFERROR(VLOOKUP(F34,IN_Zugliste!$A$4:$F$602,7,FALSE),"")</f>
        <v/>
      </c>
      <c r="G333" t="str">
        <f>+IFERROR(VLOOKUP(G34,IN_Zugliste!$A$4:$F$602,7,FALSE),"")</f>
        <v/>
      </c>
      <c r="H333" t="str">
        <f>+IFERROR(VLOOKUP(H34,IN_Zugliste!$A$4:$F$602,7,FALSE),"")</f>
        <v/>
      </c>
      <c r="I333" t="str">
        <f>+IFERROR(VLOOKUP(I34,IN_Zugliste!$A$4:$F$602,7,FALSE),"")</f>
        <v/>
      </c>
      <c r="J333" t="str">
        <f>+IFERROR(VLOOKUP(J34,IN_Zugliste!$A$4:$F$602,7,FALSE),"")</f>
        <v/>
      </c>
      <c r="K333" t="str">
        <f>+IFERROR(VLOOKUP(K34,IN_Zugliste!$A$4:$F$602,7,FALSE),"")</f>
        <v/>
      </c>
      <c r="L333" t="str">
        <f>+IFERROR(VLOOKUP(L34,IN_Zugliste!$A$4:$F$602,7,FALSE),"")</f>
        <v/>
      </c>
      <c r="M333" t="str">
        <f>+IFERROR(VLOOKUP(M34,IN_Zugliste!$A$4:$F$602,7,FALSE),"")</f>
        <v/>
      </c>
      <c r="N333" t="str">
        <f>+IFERROR(VLOOKUP(N34,IN_Zugliste!$A$4:$F$602,7,FALSE),"")</f>
        <v/>
      </c>
      <c r="O333" t="str">
        <f>+IFERROR(VLOOKUP(O34,IN_Zugliste!$A$4:$F$602,7,FALSE),"")</f>
        <v/>
      </c>
      <c r="P333" t="str">
        <f>+IFERROR(VLOOKUP(P34,IN_Zugliste!$A$4:$F$602,7,FALSE),"")</f>
        <v/>
      </c>
      <c r="Q333" t="str">
        <f>+IFERROR(VLOOKUP(Q34,IN_Zugliste!$A$4:$F$602,7,FALSE),"")</f>
        <v/>
      </c>
      <c r="R333" t="str">
        <f>+IFERROR(VLOOKUP(R34,IN_Zugliste!$A$4:$F$602,7,FALSE),"")</f>
        <v/>
      </c>
      <c r="S333" t="str">
        <f>+IFERROR(VLOOKUP(S34,IN_Zugliste!$A$4:$F$602,7,FALSE),"")</f>
        <v/>
      </c>
      <c r="T333" t="str">
        <f>+IFERROR(VLOOKUP(T34,IN_Zugliste!$A$4:$F$602,7,FALSE),"")</f>
        <v/>
      </c>
      <c r="U333" t="str">
        <f>+IFERROR(VLOOKUP(U34,IN_Zugliste!$A$4:$F$602,7,FALSE),"")</f>
        <v/>
      </c>
      <c r="V333" t="str">
        <f>+IFERROR(VLOOKUP(V34,IN_Zugliste!$A$4:$F$602,7,FALSE),"")</f>
        <v/>
      </c>
      <c r="W333" t="str">
        <f>+IFERROR(VLOOKUP(W34,IN_Zugliste!$A$4:$F$602,7,FALSE),"")</f>
        <v/>
      </c>
      <c r="X333" t="str">
        <f>+IFERROR(VLOOKUP(X34,IN_Zugliste!$A$4:$F$602,7,FALSE),"")</f>
        <v/>
      </c>
      <c r="Y333" t="str">
        <f>+IFERROR(VLOOKUP(Y34,IN_Zugliste!$A$4:$F$602,7,FALSE),"")</f>
        <v/>
      </c>
      <c r="Z333" t="str">
        <f>+IFERROR(VLOOKUP(Z34,IN_Zugliste!$A$4:$F$602,7,FALSE),"")</f>
        <v/>
      </c>
      <c r="AA333" t="str">
        <f>+IFERROR(VLOOKUP(AA34,IN_Zugliste!$A$4:$F$602,7,FALSE),"")</f>
        <v/>
      </c>
      <c r="AB333" t="str">
        <f>+IFERROR(VLOOKUP(AB34,IN_Zugliste!$A$4:$F$602,7,FALSE),"")</f>
        <v/>
      </c>
      <c r="AC333" t="str">
        <f>+IFERROR(VLOOKUP(AC34,IN_Zugliste!$A$4:$F$602,7,FALSE),"")</f>
        <v/>
      </c>
      <c r="AD333" t="str">
        <f>+IFERROR(VLOOKUP(AD34,IN_Zugliste!$A$4:$F$602,7,FALSE),"")</f>
        <v/>
      </c>
      <c r="AE333" t="str">
        <f>+IFERROR(VLOOKUP(AE34,IN_Zugliste!$A$4:$F$602,7,FALSE),"")</f>
        <v/>
      </c>
      <c r="AF333" t="str">
        <f>+IFERROR(VLOOKUP(AF34,IN_Zugliste!$A$4:$F$602,7,FALSE),"")</f>
        <v/>
      </c>
      <c r="AG333" t="str">
        <f>+IFERROR(VLOOKUP(AG34,IN_Zugliste!$A$4:$F$602,7,FALSE),"")</f>
        <v/>
      </c>
      <c r="AH333" t="str">
        <f>+IFERROR(VLOOKUP(AH34,IN_Zugliste!$A$4:$F$602,7,FALSE),"")</f>
        <v/>
      </c>
      <c r="AI333" t="str">
        <f>+IFERROR(VLOOKUP(AI34,IN_Zugliste!$A$4:$F$602,7,FALSE),"")</f>
        <v/>
      </c>
      <c r="AJ333" t="str">
        <f>+IFERROR(VLOOKUP(AJ34,IN_Zugliste!$A$4:$F$602,7,FALSE),"")</f>
        <v/>
      </c>
      <c r="AK333" t="str">
        <f>+IFERROR(VLOOKUP(AK34,IN_Zugliste!$A$4:$F$602,7,FALSE),"")</f>
        <v/>
      </c>
      <c r="AL333" t="str">
        <f>+IFERROR(VLOOKUP(AL34,IN_Zugliste!$A$4:$F$602,7,FALSE),"")</f>
        <v/>
      </c>
      <c r="AM333" t="str">
        <f>+IFERROR(VLOOKUP(AM34,IN_Zugliste!$A$4:$F$602,7,FALSE),"")</f>
        <v/>
      </c>
      <c r="AN333" t="str">
        <f>+IFERROR(VLOOKUP(AN34,IN_Zugliste!$A$4:$F$602,7,FALSE),"")</f>
        <v/>
      </c>
      <c r="AO333" t="str">
        <f>+IFERROR(VLOOKUP(AO34,IN_Zugliste!$A$4:$F$602,7,FALSE),"")</f>
        <v/>
      </c>
      <c r="AP333" t="str">
        <f>+IFERROR(VLOOKUP(AP34,IN_Zugliste!$A$4:$F$602,7,FALSE),"")</f>
        <v/>
      </c>
      <c r="AQ333" t="str">
        <f>+IFERROR(VLOOKUP(AQ34,IN_Zugliste!$A$4:$F$602,7,FALSE),"")</f>
        <v/>
      </c>
      <c r="AR333" t="str">
        <f>+IFERROR(VLOOKUP(AR34,IN_Zugliste!$A$4:$F$602,7,FALSE),"")</f>
        <v/>
      </c>
      <c r="AS333" t="str">
        <f>+IFERROR(VLOOKUP(AS34,IN_Zugliste!$A$4:$F$602,7,FALSE),"")</f>
        <v/>
      </c>
      <c r="AT333" t="str">
        <f>+IFERROR(VLOOKUP(AT34,IN_Zugliste!$A$4:$F$602,7,FALSE),"")</f>
        <v/>
      </c>
      <c r="AU333" t="str">
        <f>+IFERROR(VLOOKUP(AU34,IN_Zugliste!$A$4:$F$602,7,FALSE),"")</f>
        <v/>
      </c>
      <c r="AV333" t="str">
        <f>+IFERROR(VLOOKUP(AV34,IN_Zugliste!$A$4:$F$602,7,FALSE),"")</f>
        <v/>
      </c>
      <c r="AW333" t="str">
        <f>+IFERROR(VLOOKUP(AW34,IN_Zugliste!$A$4:$F$602,7,FALSE),"")</f>
        <v/>
      </c>
      <c r="AX333" t="str">
        <f>+IFERROR(VLOOKUP(AX34,IN_Zugliste!$A$4:$F$602,7,FALSE),"")</f>
        <v/>
      </c>
      <c r="AY333" t="str">
        <f>+IFERROR(VLOOKUP(AY34,IN_Zugliste!$A$4:$F$602,7,FALSE),"")</f>
        <v/>
      </c>
      <c r="AZ333" t="str">
        <f>+IFERROR(VLOOKUP(AZ34,IN_Zugliste!$A$4:$F$602,7,FALSE),"")</f>
        <v/>
      </c>
      <c r="BA333" t="str">
        <f>+IFERROR(VLOOKUP(BA34,IN_Zugliste!$A$4:$F$602,7,FALSE),"")</f>
        <v/>
      </c>
      <c r="BB333" t="str">
        <f>+IFERROR(VLOOKUP(BB34,IN_Zugliste!$A$4:$F$602,7,FALSE),"")</f>
        <v/>
      </c>
      <c r="BC333" t="str">
        <f>+IFERROR(VLOOKUP(BC34,IN_Zugliste!$A$4:$F$602,7,FALSE),"")</f>
        <v/>
      </c>
      <c r="BD333" t="str">
        <f>+IFERROR(VLOOKUP(BD34,IN_Zugliste!$A$4:$F$602,7,FALSE),"")</f>
        <v/>
      </c>
      <c r="BE333" t="str">
        <f>+IFERROR(VLOOKUP(BE34,IN_Zugliste!$A$4:$F$602,7,FALSE),"")</f>
        <v/>
      </c>
      <c r="BF333" t="str">
        <f>+IFERROR(VLOOKUP(BF34,IN_Zugliste!$A$4:$F$602,7,FALSE),"")</f>
        <v/>
      </c>
      <c r="BG333" t="str">
        <f>+IFERROR(VLOOKUP(BG34,IN_Zugliste!$A$4:$F$602,7,FALSE),"")</f>
        <v/>
      </c>
      <c r="BH333" t="str">
        <f>+IFERROR(VLOOKUP(BH34,IN_Zugliste!$A$4:$F$602,7,FALSE),"")</f>
        <v/>
      </c>
      <c r="BI333" t="str">
        <f>+IFERROR(VLOOKUP(BI34,IN_Zugliste!$A$4:$F$602,7,FALSE),"")</f>
        <v/>
      </c>
      <c r="BJ333" t="str">
        <f>+IFERROR(VLOOKUP(BJ34,IN_Zugliste!$A$4:$F$602,7,FALSE),"")</f>
        <v/>
      </c>
      <c r="BK333" t="str">
        <f>+IFERROR(VLOOKUP(BK34,IN_Zugliste!$A$4:$F$602,7,FALSE),"")</f>
        <v/>
      </c>
      <c r="BL333" t="str">
        <f>+IFERROR(VLOOKUP(BL34,IN_Zugliste!$A$4:$F$602,7,FALSE),"")</f>
        <v/>
      </c>
      <c r="BM333" t="str">
        <f>+IFERROR(VLOOKUP(BM34,IN_Zugliste!$A$4:$F$602,7,FALSE),"")</f>
        <v/>
      </c>
      <c r="BN333" t="str">
        <f>+IFERROR(VLOOKUP(BN34,IN_Zugliste!$A$4:$F$602,7,FALSE),"")</f>
        <v/>
      </c>
      <c r="BO333" t="str">
        <f>+IFERROR(VLOOKUP(BO34,IN_Zugliste!$A$4:$F$602,7,FALSE),"")</f>
        <v/>
      </c>
      <c r="BP333" t="str">
        <f>+IFERROR(VLOOKUP(BP34,IN_Zugliste!$A$4:$F$602,7,FALSE),"")</f>
        <v/>
      </c>
      <c r="BQ333" t="str">
        <f>+IFERROR(VLOOKUP(BQ34,IN_Zugliste!$A$4:$F$602,7,FALSE),"")</f>
        <v/>
      </c>
      <c r="BR333" t="str">
        <f>+IFERROR(VLOOKUP(BR34,IN_Zugliste!$A$4:$F$602,7,FALSE),"")</f>
        <v/>
      </c>
      <c r="BS333" t="str">
        <f>+IFERROR(VLOOKUP(BS34,IN_Zugliste!$A$4:$F$602,7,FALSE),"")</f>
        <v/>
      </c>
      <c r="BT333" t="str">
        <f>+IFERROR(VLOOKUP(BT34,IN_Zugliste!$A$4:$F$602,7,FALSE),"")</f>
        <v/>
      </c>
      <c r="BU333" t="str">
        <f>+IFERROR(VLOOKUP(BU34,IN_Zugliste!$A$4:$F$602,7,FALSE),"")</f>
        <v/>
      </c>
      <c r="BV333" t="str">
        <f>+IFERROR(VLOOKUP(BV34,IN_Zugliste!$A$4:$F$602,7,FALSE),"")</f>
        <v/>
      </c>
      <c r="BW333" t="str">
        <f>+IFERROR(VLOOKUP(BW34,IN_Zugliste!$A$4:$F$602,7,FALSE),"")</f>
        <v/>
      </c>
      <c r="BX333" t="str">
        <f>+IFERROR(VLOOKUP(BX34,IN_Zugliste!$A$4:$F$602,7,FALSE),"")</f>
        <v/>
      </c>
      <c r="BY333" t="str">
        <f>+IFERROR(VLOOKUP(BY34,IN_Zugliste!$A$4:$F$602,7,FALSE),"")</f>
        <v/>
      </c>
      <c r="BZ333" t="str">
        <f>+IFERROR(VLOOKUP(BZ34,IN_Zugliste!$A$4:$F$602,7,FALSE),"")</f>
        <v/>
      </c>
      <c r="CA333" t="str">
        <f>+IFERROR(VLOOKUP(CA34,IN_Zugliste!$A$4:$F$602,7,FALSE),"")</f>
        <v/>
      </c>
      <c r="CB333" t="str">
        <f>+IFERROR(VLOOKUP(CB34,IN_Zugliste!$A$4:$F$602,7,FALSE),"")</f>
        <v/>
      </c>
      <c r="CC333" t="str">
        <f>+IFERROR(VLOOKUP(CC34,IN_Zugliste!$A$4:$F$602,7,FALSE),"")</f>
        <v/>
      </c>
      <c r="CD333" t="str">
        <f>+IFERROR(VLOOKUP(CD34,IN_Zugliste!$A$4:$F$602,7,FALSE),"")</f>
        <v/>
      </c>
      <c r="CE333" t="str">
        <f>+IFERROR(VLOOKUP(CE34,IN_Zugliste!$A$4:$F$602,7,FALSE),"")</f>
        <v/>
      </c>
      <c r="CF333" t="str">
        <f>+IFERROR(VLOOKUP(CF34,IN_Zugliste!$A$4:$F$602,7,FALSE),"")</f>
        <v/>
      </c>
      <c r="CG333" t="str">
        <f>+IFERROR(VLOOKUP(CG34,IN_Zugliste!$A$4:$F$602,7,FALSE),"")</f>
        <v/>
      </c>
      <c r="CH333" t="str">
        <f>+IFERROR(VLOOKUP(CH34,IN_Zugliste!$A$4:$F$602,7,FALSE),"")</f>
        <v/>
      </c>
      <c r="CI333" t="str">
        <f>+IFERROR(VLOOKUP(CI34,IN_Zugliste!$A$4:$F$602,7,FALSE),"")</f>
        <v/>
      </c>
      <c r="CJ333" t="str">
        <f>+IFERROR(VLOOKUP(CJ34,IN_Zugliste!$A$4:$F$602,7,FALSE),"")</f>
        <v/>
      </c>
      <c r="CK333" t="str">
        <f>+IFERROR(VLOOKUP(CK34,IN_Zugliste!$A$4:$F$602,7,FALSE),"")</f>
        <v/>
      </c>
      <c r="CL333" t="str">
        <f>+IFERROR(VLOOKUP(CL34,IN_Zugliste!$A$4:$F$602,7,FALSE),"")</f>
        <v/>
      </c>
      <c r="CM333" t="str">
        <f>+IFERROR(VLOOKUP(CM34,IN_Zugliste!$A$4:$F$602,7,FALSE),"")</f>
        <v/>
      </c>
      <c r="CN333" t="str">
        <f>+IFERROR(VLOOKUP(CN34,IN_Zugliste!$A$4:$F$602,7,FALSE),"")</f>
        <v/>
      </c>
      <c r="CO333" t="str">
        <f>+IFERROR(VLOOKUP(CO34,IN_Zugliste!$A$4:$F$602,7,FALSE),"")</f>
        <v/>
      </c>
      <c r="CP333" t="str">
        <f>+IFERROR(VLOOKUP(CP34,IN_Zugliste!$A$4:$F$602,7,FALSE),"")</f>
        <v/>
      </c>
      <c r="CQ333" t="str">
        <f>+IFERROR(VLOOKUP(CQ34,IN_Zugliste!$A$4:$F$602,7,FALSE),"")</f>
        <v/>
      </c>
      <c r="CR333" t="str">
        <f>+IFERROR(VLOOKUP(CR34,IN_Zugliste!$A$4:$F$602,7,FALSE),"")</f>
        <v/>
      </c>
      <c r="CS333" t="str">
        <f>+IFERROR(VLOOKUP(CS34,IN_Zugliste!$A$4:$F$602,7,FALSE),"")</f>
        <v/>
      </c>
      <c r="CT333" t="str">
        <f>+IFERROR(VLOOKUP(CT34,IN_Zugliste!$A$4:$F$602,7,FALSE),"")</f>
        <v/>
      </c>
      <c r="CU333" t="str">
        <f>+IFERROR(VLOOKUP(CU34,IN_Zugliste!$A$4:$F$602,7,FALSE),"")</f>
        <v/>
      </c>
      <c r="CV333" t="str">
        <f>+IFERROR(VLOOKUP(CV34,IN_Zugliste!$A$4:$F$602,7,FALSE),"")</f>
        <v/>
      </c>
      <c r="CW333" t="str">
        <f>+IFERROR(VLOOKUP(CW34,IN_Zugliste!$A$4:$F$602,7,FALSE),"")</f>
        <v/>
      </c>
      <c r="CX333" t="str">
        <f>+IFERROR(VLOOKUP(CX34,IN_Zugliste!$A$4:$F$602,7,FALSE),"")</f>
        <v/>
      </c>
      <c r="CY333" t="str">
        <f>+IFERROR(VLOOKUP(CY34,IN_Zugliste!$A$4:$F$602,7,FALSE),"")</f>
        <v/>
      </c>
      <c r="CZ333" t="str">
        <f>+IFERROR(VLOOKUP(CZ34,IN_Zugliste!$A$4:$F$602,7,FALSE),"")</f>
        <v/>
      </c>
      <c r="DA333" t="str">
        <f>+IFERROR(VLOOKUP(DA34,IN_Zugliste!$A$4:$F$602,7,FALSE),"")</f>
        <v/>
      </c>
      <c r="DB333" t="str">
        <f>+IFERROR(VLOOKUP(DB34,IN_Zugliste!$A$4:$F$602,7,FALSE),"")</f>
        <v/>
      </c>
      <c r="DC333" t="str">
        <f>+IFERROR(VLOOKUP(DC34,IN_Zugliste!$A$4:$F$602,7,FALSE),"")</f>
        <v/>
      </c>
      <c r="DD333" t="str">
        <f>+IFERROR(VLOOKUP(DD34,IN_Zugliste!$A$4:$F$602,7,FALSE),"")</f>
        <v/>
      </c>
      <c r="DE333" t="str">
        <f>+IFERROR(VLOOKUP(DE34,IN_Zugliste!$A$4:$F$602,7,FALSE),"")</f>
        <v/>
      </c>
      <c r="DF333" t="str">
        <f>+IFERROR(VLOOKUP(DF34,IN_Zugliste!$A$4:$F$602,7,FALSE),"")</f>
        <v/>
      </c>
      <c r="DG333" t="str">
        <f>+IFERROR(VLOOKUP(DG34,IN_Zugliste!$A$4:$F$602,7,FALSE),"")</f>
        <v/>
      </c>
      <c r="DH333" t="str">
        <f>+IFERROR(VLOOKUP(DH34,IN_Zugliste!$A$4:$F$602,7,FALSE),"")</f>
        <v/>
      </c>
      <c r="DI333" t="str">
        <f>+IFERROR(VLOOKUP(DI34,IN_Zugliste!$A$4:$F$602,7,FALSE),"")</f>
        <v/>
      </c>
      <c r="DJ333" t="str">
        <f>+IFERROR(VLOOKUP(DJ34,IN_Zugliste!$A$4:$F$602,7,FALSE),"")</f>
        <v/>
      </c>
      <c r="DK333" t="str">
        <f>+IFERROR(VLOOKUP(DK34,IN_Zugliste!$A$4:$F$602,7,FALSE),"")</f>
        <v/>
      </c>
      <c r="DL333" t="str">
        <f>+IFERROR(VLOOKUP(DL34,IN_Zugliste!$A$4:$F$602,7,FALSE),"")</f>
        <v/>
      </c>
      <c r="DM333" t="str">
        <f>+IFERROR(VLOOKUP(DM34,IN_Zugliste!$A$4:$F$602,7,FALSE),"")</f>
        <v/>
      </c>
      <c r="DN333" t="str">
        <f>+IFERROR(VLOOKUP(DN34,IN_Zugliste!$A$4:$F$602,7,FALSE),"")</f>
        <v/>
      </c>
      <c r="DO333" t="str">
        <f>+IFERROR(VLOOKUP(DO34,IN_Zugliste!$A$4:$F$602,7,FALSE),"")</f>
        <v/>
      </c>
      <c r="DP333" t="str">
        <f>+IFERROR(VLOOKUP(DP34,IN_Zugliste!$A$4:$F$602,7,FALSE),"")</f>
        <v/>
      </c>
      <c r="DQ333" t="str">
        <f>+IFERROR(VLOOKUP(DQ34,IN_Zugliste!$A$4:$F$602,7,FALSE),"")</f>
        <v/>
      </c>
      <c r="DR333" t="str">
        <f>+IFERROR(VLOOKUP(DR34,IN_Zugliste!$A$4:$F$602,7,FALSE),"")</f>
        <v/>
      </c>
      <c r="DS333" t="str">
        <f>+IFERROR(VLOOKUP(DS34,IN_Zugliste!$A$4:$F$602,7,FALSE),"")</f>
        <v/>
      </c>
      <c r="DT333" t="str">
        <f>+IFERROR(VLOOKUP(DT34,IN_Zugliste!$A$4:$F$602,7,FALSE),"")</f>
        <v/>
      </c>
      <c r="DU333" t="str">
        <f>+IFERROR(VLOOKUP(DU34,IN_Zugliste!$A$4:$F$602,7,FALSE),"")</f>
        <v/>
      </c>
      <c r="DV333" t="str">
        <f>+IFERROR(VLOOKUP(DV34,IN_Zugliste!$A$4:$F$602,7,FALSE),"")</f>
        <v/>
      </c>
      <c r="DW333" t="str">
        <f>+IFERROR(VLOOKUP(DW34,IN_Zugliste!$A$4:$F$602,7,FALSE),"")</f>
        <v/>
      </c>
      <c r="DX333" t="str">
        <f>+IFERROR(VLOOKUP(DX34,IN_Zugliste!$A$4:$F$602,7,FALSE),"")</f>
        <v/>
      </c>
      <c r="DY333" t="str">
        <f>+IFERROR(VLOOKUP(DY34,IN_Zugliste!$A$4:$F$602,7,FALSE),"")</f>
        <v/>
      </c>
      <c r="DZ333" t="str">
        <f>+IFERROR(VLOOKUP(DZ34,IN_Zugliste!$A$4:$F$602,7,FALSE),"")</f>
        <v/>
      </c>
      <c r="EA333" t="str">
        <f>+IFERROR(VLOOKUP(EA34,IN_Zugliste!$A$4:$F$602,7,FALSE),"")</f>
        <v/>
      </c>
      <c r="EB333" t="str">
        <f>+IFERROR(VLOOKUP(EB34,IN_Zugliste!$A$4:$F$602,7,FALSE),"")</f>
        <v/>
      </c>
      <c r="EC333" t="str">
        <f>+IFERROR(VLOOKUP(EC34,IN_Zugliste!$A$4:$F$602,7,FALSE),"")</f>
        <v/>
      </c>
      <c r="ED333" t="str">
        <f>+IFERROR(VLOOKUP(ED34,IN_Zugliste!$A$4:$F$602,7,FALSE),"")</f>
        <v/>
      </c>
      <c r="EE333" t="str">
        <f>+IFERROR(VLOOKUP(EE34,IN_Zugliste!$A$4:$F$602,7,FALSE),"")</f>
        <v/>
      </c>
      <c r="EF333" t="str">
        <f>+IFERROR(VLOOKUP(EF34,IN_Zugliste!$A$4:$F$602,7,FALSE),"")</f>
        <v/>
      </c>
      <c r="EG333" t="str">
        <f>+IFERROR(VLOOKUP(EG34,IN_Zugliste!$A$4:$F$602,7,FALSE),"")</f>
        <v/>
      </c>
      <c r="EH333" t="str">
        <f>+IFERROR(VLOOKUP(EH34,IN_Zugliste!$A$4:$F$602,7,FALSE),"")</f>
        <v/>
      </c>
      <c r="EI333" t="str">
        <f>+IFERROR(VLOOKUP(EI34,IN_Zugliste!$A$4:$F$602,7,FALSE),"")</f>
        <v/>
      </c>
      <c r="EJ333" t="str">
        <f>+IFERROR(VLOOKUP(EJ34,IN_Zugliste!$A$4:$F$602,7,FALSE),"")</f>
        <v/>
      </c>
      <c r="EK333" t="str">
        <f>+IFERROR(VLOOKUP(EK34,IN_Zugliste!$A$4:$F$602,7,FALSE),"")</f>
        <v/>
      </c>
      <c r="EL333" t="str">
        <f>+IFERROR(VLOOKUP(EL34,IN_Zugliste!$A$4:$F$602,7,FALSE),"")</f>
        <v/>
      </c>
      <c r="EM333" t="str">
        <f>+IFERROR(VLOOKUP(EM34,IN_Zugliste!$A$4:$F$602,7,FALSE),"")</f>
        <v/>
      </c>
      <c r="EN333" t="str">
        <f>+IFERROR(VLOOKUP(EN34,IN_Zugliste!$A$4:$F$602,7,FALSE),"")</f>
        <v/>
      </c>
      <c r="EO333" t="str">
        <f>+IFERROR(VLOOKUP(EO34,IN_Zugliste!$A$4:$F$602,7,FALSE),"")</f>
        <v/>
      </c>
      <c r="EP333" t="str">
        <f>+IFERROR(VLOOKUP(EP34,IN_Zugliste!$A$4:$F$602,7,FALSE),"")</f>
        <v/>
      </c>
      <c r="EQ333" t="str">
        <f>+IFERROR(VLOOKUP(EQ34,IN_Zugliste!$A$4:$F$602,7,FALSE),"")</f>
        <v/>
      </c>
      <c r="ER333" t="str">
        <f>+IFERROR(VLOOKUP(ER34,IN_Zugliste!$A$4:$F$602,7,FALSE),"")</f>
        <v/>
      </c>
      <c r="ES333" t="str">
        <f>+IFERROR(VLOOKUP(ES34,IN_Zugliste!$A$4:$F$602,7,FALSE),"")</f>
        <v/>
      </c>
      <c r="ET333" t="str">
        <f>+IFERROR(VLOOKUP(ET34,IN_Zugliste!$A$4:$F$602,7,FALSE),"")</f>
        <v/>
      </c>
      <c r="EU333" t="str">
        <f>+IFERROR(VLOOKUP(EU34,IN_Zugliste!$A$4:$F$602,7,FALSE),"")</f>
        <v/>
      </c>
      <c r="EV333" t="str">
        <f>+IFERROR(VLOOKUP(EV34,IN_Zugliste!$A$4:$F$602,7,FALSE),"")</f>
        <v/>
      </c>
      <c r="EW333" t="str">
        <f>+IFERROR(VLOOKUP(EW34,IN_Zugliste!$A$4:$F$602,7,FALSE),"")</f>
        <v/>
      </c>
      <c r="EX333" t="str">
        <f>+IFERROR(VLOOKUP(EX34,IN_Zugliste!$A$4:$F$602,7,FALSE),"")</f>
        <v/>
      </c>
      <c r="EY333" t="str">
        <f>+IFERROR(VLOOKUP(EY34,IN_Zugliste!$A$4:$F$602,7,FALSE),"")</f>
        <v/>
      </c>
      <c r="EZ333" t="str">
        <f>+IFERROR(VLOOKUP(EZ34,IN_Zugliste!$A$4:$F$602,7,FALSE),"")</f>
        <v/>
      </c>
      <c r="FA333" t="str">
        <f>+IFERROR(VLOOKUP(FA34,IN_Zugliste!$A$4:$F$602,7,FALSE),"")</f>
        <v/>
      </c>
      <c r="FB333" t="str">
        <f>+IFERROR(VLOOKUP(FB34,IN_Zugliste!$A$4:$F$602,7,FALSE),"")</f>
        <v/>
      </c>
      <c r="FC333" t="str">
        <f>+IFERROR(VLOOKUP(FC34,IN_Zugliste!$A$4:$F$602,7,FALSE),"")</f>
        <v/>
      </c>
      <c r="FD333" t="str">
        <f>+IFERROR(VLOOKUP(FD34,IN_Zugliste!$A$4:$F$602,7,FALSE),"")</f>
        <v/>
      </c>
      <c r="FE333" t="str">
        <f>+IFERROR(VLOOKUP(FE34,IN_Zugliste!$A$4:$F$602,7,FALSE),"")</f>
        <v/>
      </c>
      <c r="FF333" t="str">
        <f>+IFERROR(VLOOKUP(FF34,IN_Zugliste!$A$4:$F$602,7,FALSE),"")</f>
        <v/>
      </c>
      <c r="FG333" t="str">
        <f>+IFERROR(VLOOKUP(FG34,IN_Zugliste!$A$4:$F$602,7,FALSE),"")</f>
        <v/>
      </c>
      <c r="FH333" t="str">
        <f>+IFERROR(VLOOKUP(FH34,IN_Zugliste!$A$4:$F$602,7,FALSE),"")</f>
        <v/>
      </c>
      <c r="FI333" t="str">
        <f>+IFERROR(VLOOKUP(FI34,IN_Zugliste!$A$4:$F$602,7,FALSE),"")</f>
        <v/>
      </c>
      <c r="FJ333" t="str">
        <f>+IFERROR(VLOOKUP(FJ34,IN_Zugliste!$A$4:$F$602,7,FALSE),"")</f>
        <v/>
      </c>
      <c r="FK333" t="str">
        <f>+IFERROR(VLOOKUP(FK34,IN_Zugliste!$A$4:$F$602,7,FALSE),"")</f>
        <v/>
      </c>
      <c r="FL333" t="str">
        <f>+IFERROR(VLOOKUP(FL34,IN_Zugliste!$A$4:$F$602,7,FALSE),"")</f>
        <v/>
      </c>
      <c r="FM333" t="str">
        <f>+IFERROR(VLOOKUP(FM34,IN_Zugliste!$A$4:$F$602,7,FALSE),"")</f>
        <v/>
      </c>
      <c r="FN333" t="str">
        <f>+IFERROR(VLOOKUP(FN34,IN_Zugliste!$A$4:$F$602,7,FALSE),"")</f>
        <v/>
      </c>
      <c r="FO333" t="str">
        <f>+IFERROR(VLOOKUP(FO34,IN_Zugliste!$A$4:$F$602,7,FALSE),"")</f>
        <v/>
      </c>
      <c r="FP333" t="str">
        <f>+IFERROR(VLOOKUP(FP34,IN_Zugliste!$A$4:$F$602,7,FALSE),"")</f>
        <v/>
      </c>
      <c r="FQ333" t="str">
        <f>+IFERROR(VLOOKUP(FQ34,IN_Zugliste!$A$4:$F$602,7,FALSE),"")</f>
        <v/>
      </c>
      <c r="FR333" t="str">
        <f>+IFERROR(VLOOKUP(FR34,IN_Zugliste!$A$4:$F$602,7,FALSE),"")</f>
        <v/>
      </c>
      <c r="FS333" t="str">
        <f>+IFERROR(VLOOKUP(FS34,IN_Zugliste!$A$4:$F$602,7,FALSE),"")</f>
        <v/>
      </c>
      <c r="FT333" t="str">
        <f>+IFERROR(VLOOKUP(FT34,IN_Zugliste!$A$4:$F$602,7,FALSE),"")</f>
        <v/>
      </c>
      <c r="FU333" t="str">
        <f>+IFERROR(VLOOKUP(FU34,IN_Zugliste!$A$4:$F$602,7,FALSE),"")</f>
        <v/>
      </c>
      <c r="FV333" t="str">
        <f>+IFERROR(VLOOKUP(FV34,IN_Zugliste!$A$4:$F$602,7,FALSE),"")</f>
        <v/>
      </c>
      <c r="FW333" t="str">
        <f>+IFERROR(VLOOKUP(FW34,IN_Zugliste!$A$4:$F$602,7,FALSE),"")</f>
        <v/>
      </c>
      <c r="FX333" t="str">
        <f>+IFERROR(VLOOKUP(FX34,IN_Zugliste!$A$4:$F$602,7,FALSE),"")</f>
        <v/>
      </c>
      <c r="FY333" t="str">
        <f>+IFERROR(VLOOKUP(FY34,IN_Zugliste!$A$4:$F$602,7,FALSE),"")</f>
        <v/>
      </c>
      <c r="FZ333" t="str">
        <f>+IFERROR(VLOOKUP(FZ34,IN_Zugliste!$A$4:$F$602,7,FALSE),"")</f>
        <v/>
      </c>
      <c r="GA333" t="str">
        <f>+IFERROR(VLOOKUP(GA34,IN_Zugliste!$A$4:$F$602,7,FALSE),"")</f>
        <v/>
      </c>
      <c r="GB333" t="str">
        <f>+IFERROR(VLOOKUP(GB34,IN_Zugliste!$A$4:$F$602,7,FALSE),"")</f>
        <v/>
      </c>
      <c r="GC333" t="str">
        <f>+IFERROR(VLOOKUP(GC34,IN_Zugliste!$A$4:$F$602,7,FALSE),"")</f>
        <v/>
      </c>
      <c r="GD333" t="str">
        <f>+IFERROR(VLOOKUP(GD34,IN_Zugliste!$A$4:$F$602,7,FALSE),"")</f>
        <v/>
      </c>
      <c r="GE333" t="str">
        <f>+IFERROR(VLOOKUP(GE34,IN_Zugliste!$A$4:$F$602,7,FALSE),"")</f>
        <v/>
      </c>
      <c r="GF333" t="str">
        <f>+IFERROR(VLOOKUP(GF34,IN_Zugliste!$A$4:$F$602,7,FALSE),"")</f>
        <v/>
      </c>
      <c r="GG333" t="str">
        <f>+IFERROR(VLOOKUP(GG34,IN_Zugliste!$A$4:$F$602,7,FALSE),"")</f>
        <v/>
      </c>
      <c r="GH333" t="str">
        <f>+IFERROR(VLOOKUP(GH34,IN_Zugliste!$A$4:$F$602,7,FALSE),"")</f>
        <v/>
      </c>
      <c r="GI333" t="str">
        <f>+IFERROR(VLOOKUP(GI34,IN_Zugliste!$A$4:$F$602,7,FALSE),"")</f>
        <v/>
      </c>
      <c r="GJ333" t="str">
        <f>+IFERROR(VLOOKUP(GJ34,IN_Zugliste!$A$4:$F$602,7,FALSE),"")</f>
        <v/>
      </c>
      <c r="GK333" t="str">
        <f>+IFERROR(VLOOKUP(GK34,IN_Zugliste!$A$4:$F$602,7,FALSE),"")</f>
        <v/>
      </c>
      <c r="GL333" t="str">
        <f>+IFERROR(VLOOKUP(GL34,IN_Zugliste!$A$4:$F$602,7,FALSE),"")</f>
        <v/>
      </c>
      <c r="GM333" t="str">
        <f>+IFERROR(VLOOKUP(GM34,IN_Zugliste!$A$4:$F$602,7,FALSE),"")</f>
        <v/>
      </c>
      <c r="GN333" t="str">
        <f>+IFERROR(VLOOKUP(GN34,IN_Zugliste!$A$4:$F$602,7,FALSE),"")</f>
        <v/>
      </c>
      <c r="GO333" t="str">
        <f>+IFERROR(VLOOKUP(GO34,IN_Zugliste!$A$4:$F$602,7,FALSE),"")</f>
        <v/>
      </c>
      <c r="GP333" t="str">
        <f>+IFERROR(VLOOKUP(GP34,IN_Zugliste!$A$4:$F$602,7,FALSE),"")</f>
        <v/>
      </c>
      <c r="GQ333" t="str">
        <f>+IFERROR(VLOOKUP(GQ34,IN_Zugliste!$A$4:$F$602,7,FALSE),"")</f>
        <v/>
      </c>
      <c r="GR333" t="str">
        <f>+IFERROR(VLOOKUP(GR34,IN_Zugliste!$A$4:$F$602,7,FALSE),"")</f>
        <v/>
      </c>
      <c r="GS333" t="str">
        <f>+IFERROR(VLOOKUP(GS34,IN_Zugliste!$A$4:$F$602,7,FALSE),"")</f>
        <v/>
      </c>
      <c r="GT333" t="str">
        <f>+IFERROR(VLOOKUP(GT34,IN_Zugliste!$A$4:$F$602,7,FALSE),"")</f>
        <v/>
      </c>
      <c r="GU333" t="str">
        <f>+IFERROR(VLOOKUP(GU34,IN_Zugliste!$A$4:$F$602,7,FALSE),"")</f>
        <v/>
      </c>
      <c r="GV333" t="str">
        <f>+IFERROR(VLOOKUP(GV34,IN_Zugliste!$A$4:$F$602,7,FALSE),"")</f>
        <v/>
      </c>
      <c r="GW333" t="str">
        <f>+IFERROR(VLOOKUP(GW34,IN_Zugliste!$A$4:$F$602,7,FALSE),"")</f>
        <v/>
      </c>
      <c r="GX333" t="str">
        <f>+IFERROR(VLOOKUP(GX34,IN_Zugliste!$A$4:$F$602,7,FALSE),"")</f>
        <v/>
      </c>
      <c r="GY333" t="str">
        <f>+IFERROR(VLOOKUP(GY34,IN_Zugliste!$A$4:$F$602,7,FALSE),"")</f>
        <v/>
      </c>
      <c r="GZ333" t="str">
        <f>+IFERROR(VLOOKUP(GZ34,IN_Zugliste!$A$4:$F$602,7,FALSE),"")</f>
        <v/>
      </c>
      <c r="HA333" t="str">
        <f>+IFERROR(VLOOKUP(HA34,IN_Zugliste!$A$4:$F$602,7,FALSE),"")</f>
        <v/>
      </c>
      <c r="HB333" t="str">
        <f>+IFERROR(VLOOKUP(HB34,IN_Zugliste!$A$4:$F$602,7,FALSE),"")</f>
        <v/>
      </c>
      <c r="HC333" t="str">
        <f>+IFERROR(VLOOKUP(HC34,IN_Zugliste!$A$4:$F$602,7,FALSE),"")</f>
        <v/>
      </c>
      <c r="HD333" t="str">
        <f>+IFERROR(VLOOKUP(HD34,IN_Zugliste!$A$4:$F$602,7,FALSE),"")</f>
        <v/>
      </c>
      <c r="HE333" t="str">
        <f>+IFERROR(VLOOKUP(HE34,IN_Zugliste!$A$4:$F$602,7,FALSE),"")</f>
        <v/>
      </c>
      <c r="HF333" t="str">
        <f>+IFERROR(VLOOKUP(HF34,IN_Zugliste!$A$4:$F$602,7,FALSE),"")</f>
        <v/>
      </c>
      <c r="HG333" t="str">
        <f>+IFERROR(VLOOKUP(HG34,IN_Zugliste!$A$4:$F$602,7,FALSE),"")</f>
        <v/>
      </c>
      <c r="HH333" t="str">
        <f>+IFERROR(VLOOKUP(HH34,IN_Zugliste!$A$4:$F$602,7,FALSE),"")</f>
        <v/>
      </c>
    </row>
    <row r="334" spans="1:270" x14ac:dyDescent="0.2">
      <c r="A334" t="str">
        <f>+IFERROR(VLOOKUP(A35,IN_Zugliste!$A$4:$F$602,7,FALSE),"")</f>
        <v/>
      </c>
      <c r="B334" t="str">
        <f>+IFERROR(VLOOKUP(B35,IN_Zugliste!$A$4:$F$602,7,FALSE),"")</f>
        <v/>
      </c>
      <c r="C334" t="str">
        <f>+IFERROR(VLOOKUP(C35,IN_Zugliste!$A$4:$F$602,7,FALSE),"")</f>
        <v/>
      </c>
      <c r="D334" t="str">
        <f>+IFERROR(VLOOKUP(D35,IN_Zugliste!$A$4:$F$602,7,FALSE),"")</f>
        <v/>
      </c>
      <c r="E334" t="str">
        <f>+IFERROR(VLOOKUP(E35,IN_Zugliste!$A$4:$F$602,7,FALSE),"")</f>
        <v/>
      </c>
      <c r="F334" t="str">
        <f>+IFERROR(VLOOKUP(F35,IN_Zugliste!$A$4:$F$602,7,FALSE),"")</f>
        <v/>
      </c>
      <c r="G334" t="str">
        <f>+IFERROR(VLOOKUP(G35,IN_Zugliste!$A$4:$F$602,7,FALSE),"")</f>
        <v/>
      </c>
      <c r="H334" t="str">
        <f>+IFERROR(VLOOKUP(H35,IN_Zugliste!$A$4:$F$602,7,FALSE),"")</f>
        <v/>
      </c>
      <c r="I334" t="str">
        <f>+IFERROR(VLOOKUP(I35,IN_Zugliste!$A$4:$F$602,7,FALSE),"")</f>
        <v/>
      </c>
      <c r="J334" t="str">
        <f>+IFERROR(VLOOKUP(J35,IN_Zugliste!$A$4:$F$602,7,FALSE),"")</f>
        <v/>
      </c>
      <c r="K334" t="str">
        <f>+IFERROR(VLOOKUP(K35,IN_Zugliste!$A$4:$F$602,7,FALSE),"")</f>
        <v/>
      </c>
      <c r="L334" t="str">
        <f>+IFERROR(VLOOKUP(L35,IN_Zugliste!$A$4:$F$602,7,FALSE),"")</f>
        <v/>
      </c>
      <c r="M334" t="str">
        <f>+IFERROR(VLOOKUP(M35,IN_Zugliste!$A$4:$F$602,7,FALSE),"")</f>
        <v/>
      </c>
      <c r="N334" t="str">
        <f>+IFERROR(VLOOKUP(N35,IN_Zugliste!$A$4:$F$602,7,FALSE),"")</f>
        <v/>
      </c>
      <c r="O334" t="str">
        <f>+IFERROR(VLOOKUP(O35,IN_Zugliste!$A$4:$F$602,7,FALSE),"")</f>
        <v/>
      </c>
      <c r="P334" t="str">
        <f>+IFERROR(VLOOKUP(P35,IN_Zugliste!$A$4:$F$602,7,FALSE),"")</f>
        <v/>
      </c>
      <c r="Q334" t="str">
        <f>+IFERROR(VLOOKUP(Q35,IN_Zugliste!$A$4:$F$602,7,FALSE),"")</f>
        <v/>
      </c>
      <c r="R334" t="str">
        <f>+IFERROR(VLOOKUP(R35,IN_Zugliste!$A$4:$F$602,7,FALSE),"")</f>
        <v/>
      </c>
      <c r="S334" t="str">
        <f>+IFERROR(VLOOKUP(S35,IN_Zugliste!$A$4:$F$602,7,FALSE),"")</f>
        <v/>
      </c>
      <c r="T334" t="str">
        <f>+IFERROR(VLOOKUP(T35,IN_Zugliste!$A$4:$F$602,7,FALSE),"")</f>
        <v/>
      </c>
      <c r="U334" t="str">
        <f>+IFERROR(VLOOKUP(U35,IN_Zugliste!$A$4:$F$602,7,FALSE),"")</f>
        <v/>
      </c>
      <c r="V334" t="str">
        <f>+IFERROR(VLOOKUP(V35,IN_Zugliste!$A$4:$F$602,7,FALSE),"")</f>
        <v/>
      </c>
      <c r="W334" t="str">
        <f>+IFERROR(VLOOKUP(W35,IN_Zugliste!$A$4:$F$602,7,FALSE),"")</f>
        <v/>
      </c>
      <c r="X334" t="str">
        <f>+IFERROR(VLOOKUP(X35,IN_Zugliste!$A$4:$F$602,7,FALSE),"")</f>
        <v/>
      </c>
      <c r="Y334" t="str">
        <f>+IFERROR(VLOOKUP(Y35,IN_Zugliste!$A$4:$F$602,7,FALSE),"")</f>
        <v/>
      </c>
      <c r="Z334" t="str">
        <f>+IFERROR(VLOOKUP(Z35,IN_Zugliste!$A$4:$F$602,7,FALSE),"")</f>
        <v/>
      </c>
      <c r="AA334" t="str">
        <f>+IFERROR(VLOOKUP(AA35,IN_Zugliste!$A$4:$F$602,7,FALSE),"")</f>
        <v/>
      </c>
      <c r="AB334" t="str">
        <f>+IFERROR(VLOOKUP(AB35,IN_Zugliste!$A$4:$F$602,7,FALSE),"")</f>
        <v/>
      </c>
      <c r="AC334" t="str">
        <f>+IFERROR(VLOOKUP(AC35,IN_Zugliste!$A$4:$F$602,7,FALSE),"")</f>
        <v/>
      </c>
      <c r="AD334" t="str">
        <f>+IFERROR(VLOOKUP(AD35,IN_Zugliste!$A$4:$F$602,7,FALSE),"")</f>
        <v/>
      </c>
      <c r="AE334" t="str">
        <f>+IFERROR(VLOOKUP(AE35,IN_Zugliste!$A$4:$F$602,7,FALSE),"")</f>
        <v/>
      </c>
      <c r="AF334" t="str">
        <f>+IFERROR(VLOOKUP(AF35,IN_Zugliste!$A$4:$F$602,7,FALSE),"")</f>
        <v/>
      </c>
      <c r="AG334" t="str">
        <f>+IFERROR(VLOOKUP(AG35,IN_Zugliste!$A$4:$F$602,7,FALSE),"")</f>
        <v/>
      </c>
      <c r="AH334" t="str">
        <f>+IFERROR(VLOOKUP(AH35,IN_Zugliste!$A$4:$F$602,7,FALSE),"")</f>
        <v/>
      </c>
      <c r="AI334" t="str">
        <f>+IFERROR(VLOOKUP(AI35,IN_Zugliste!$A$4:$F$602,7,FALSE),"")</f>
        <v/>
      </c>
      <c r="AJ334" t="str">
        <f>+IFERROR(VLOOKUP(AJ35,IN_Zugliste!$A$4:$F$602,7,FALSE),"")</f>
        <v/>
      </c>
      <c r="AK334" t="str">
        <f>+IFERROR(VLOOKUP(AK35,IN_Zugliste!$A$4:$F$602,7,FALSE),"")</f>
        <v/>
      </c>
      <c r="AL334" t="str">
        <f>+IFERROR(VLOOKUP(AL35,IN_Zugliste!$A$4:$F$602,7,FALSE),"")</f>
        <v/>
      </c>
      <c r="AM334" t="str">
        <f>+IFERROR(VLOOKUP(AM35,IN_Zugliste!$A$4:$F$602,7,FALSE),"")</f>
        <v/>
      </c>
      <c r="AN334" t="str">
        <f>+IFERROR(VLOOKUP(AN35,IN_Zugliste!$A$4:$F$602,7,FALSE),"")</f>
        <v/>
      </c>
      <c r="AO334" t="str">
        <f>+IFERROR(VLOOKUP(AO35,IN_Zugliste!$A$4:$F$602,7,FALSE),"")</f>
        <v/>
      </c>
      <c r="AP334" t="str">
        <f>+IFERROR(VLOOKUP(AP35,IN_Zugliste!$A$4:$F$602,7,FALSE),"")</f>
        <v/>
      </c>
      <c r="AQ334" t="str">
        <f>+IFERROR(VLOOKUP(AQ35,IN_Zugliste!$A$4:$F$602,7,FALSE),"")</f>
        <v/>
      </c>
      <c r="AR334" t="str">
        <f>+IFERROR(VLOOKUP(AR35,IN_Zugliste!$A$4:$F$602,7,FALSE),"")</f>
        <v/>
      </c>
      <c r="AS334" t="str">
        <f>+IFERROR(VLOOKUP(AS35,IN_Zugliste!$A$4:$F$602,7,FALSE),"")</f>
        <v/>
      </c>
      <c r="AT334" t="str">
        <f>+IFERROR(VLOOKUP(AT35,IN_Zugliste!$A$4:$F$602,7,FALSE),"")</f>
        <v/>
      </c>
      <c r="AU334" t="str">
        <f>+IFERROR(VLOOKUP(AU35,IN_Zugliste!$A$4:$F$602,7,FALSE),"")</f>
        <v/>
      </c>
      <c r="AV334" t="str">
        <f>+IFERROR(VLOOKUP(AV35,IN_Zugliste!$A$4:$F$602,7,FALSE),"")</f>
        <v/>
      </c>
      <c r="AW334" t="str">
        <f>+IFERROR(VLOOKUP(AW35,IN_Zugliste!$A$4:$F$602,7,FALSE),"")</f>
        <v/>
      </c>
      <c r="AX334" t="str">
        <f>+IFERROR(VLOOKUP(AX35,IN_Zugliste!$A$4:$F$602,7,FALSE),"")</f>
        <v/>
      </c>
      <c r="AY334" t="str">
        <f>+IFERROR(VLOOKUP(AY35,IN_Zugliste!$A$4:$F$602,7,FALSE),"")</f>
        <v/>
      </c>
      <c r="AZ334" t="str">
        <f>+IFERROR(VLOOKUP(AZ35,IN_Zugliste!$A$4:$F$602,7,FALSE),"")</f>
        <v/>
      </c>
      <c r="BA334" t="str">
        <f>+IFERROR(VLOOKUP(BA35,IN_Zugliste!$A$4:$F$602,7,FALSE),"")</f>
        <v/>
      </c>
      <c r="BB334" t="str">
        <f>+IFERROR(VLOOKUP(BB35,IN_Zugliste!$A$4:$F$602,7,FALSE),"")</f>
        <v/>
      </c>
      <c r="BC334" t="str">
        <f>+IFERROR(VLOOKUP(BC35,IN_Zugliste!$A$4:$F$602,7,FALSE),"")</f>
        <v/>
      </c>
      <c r="BD334" t="str">
        <f>+IFERROR(VLOOKUP(BD35,IN_Zugliste!$A$4:$F$602,7,FALSE),"")</f>
        <v/>
      </c>
      <c r="BE334" t="str">
        <f>+IFERROR(VLOOKUP(BE35,IN_Zugliste!$A$4:$F$602,7,FALSE),"")</f>
        <v/>
      </c>
      <c r="BF334" t="str">
        <f>+IFERROR(VLOOKUP(BF35,IN_Zugliste!$A$4:$F$602,7,FALSE),"")</f>
        <v/>
      </c>
      <c r="BG334" t="str">
        <f>+IFERROR(VLOOKUP(BG35,IN_Zugliste!$A$4:$F$602,7,FALSE),"")</f>
        <v/>
      </c>
      <c r="BH334" t="str">
        <f>+IFERROR(VLOOKUP(BH35,IN_Zugliste!$A$4:$F$602,7,FALSE),"")</f>
        <v/>
      </c>
      <c r="BI334" t="str">
        <f>+IFERROR(VLOOKUP(BI35,IN_Zugliste!$A$4:$F$602,7,FALSE),"")</f>
        <v/>
      </c>
      <c r="BJ334" t="str">
        <f>+IFERROR(VLOOKUP(BJ35,IN_Zugliste!$A$4:$F$602,7,FALSE),"")</f>
        <v/>
      </c>
      <c r="BK334" t="str">
        <f>+IFERROR(VLOOKUP(BK35,IN_Zugliste!$A$4:$F$602,7,FALSE),"")</f>
        <v/>
      </c>
      <c r="BL334" t="str">
        <f>+IFERROR(VLOOKUP(BL35,IN_Zugliste!$A$4:$F$602,7,FALSE),"")</f>
        <v/>
      </c>
      <c r="BM334" t="str">
        <f>+IFERROR(VLOOKUP(BM35,IN_Zugliste!$A$4:$F$602,7,FALSE),"")</f>
        <v/>
      </c>
      <c r="BN334" t="str">
        <f>+IFERROR(VLOOKUP(BN35,IN_Zugliste!$A$4:$F$602,7,FALSE),"")</f>
        <v/>
      </c>
      <c r="BO334" t="str">
        <f>+IFERROR(VLOOKUP(BO35,IN_Zugliste!$A$4:$F$602,7,FALSE),"")</f>
        <v/>
      </c>
      <c r="BP334" t="str">
        <f>+IFERROR(VLOOKUP(BP35,IN_Zugliste!$A$4:$F$602,7,FALSE),"")</f>
        <v/>
      </c>
      <c r="BQ334" t="str">
        <f>+IFERROR(VLOOKUP(BQ35,IN_Zugliste!$A$4:$F$602,7,FALSE),"")</f>
        <v/>
      </c>
      <c r="BR334" t="str">
        <f>+IFERROR(VLOOKUP(BR35,IN_Zugliste!$A$4:$F$602,7,FALSE),"")</f>
        <v/>
      </c>
      <c r="BS334" t="str">
        <f>+IFERROR(VLOOKUP(BS35,IN_Zugliste!$A$4:$F$602,7,FALSE),"")</f>
        <v/>
      </c>
      <c r="BT334" t="str">
        <f>+IFERROR(VLOOKUP(BT35,IN_Zugliste!$A$4:$F$602,7,FALSE),"")</f>
        <v/>
      </c>
      <c r="BU334" t="str">
        <f>+IFERROR(VLOOKUP(BU35,IN_Zugliste!$A$4:$F$602,7,FALSE),"")</f>
        <v/>
      </c>
      <c r="BV334" t="str">
        <f>+IFERROR(VLOOKUP(BV35,IN_Zugliste!$A$4:$F$602,7,FALSE),"")</f>
        <v/>
      </c>
      <c r="BW334" t="str">
        <f>+IFERROR(VLOOKUP(BW35,IN_Zugliste!$A$4:$F$602,7,FALSE),"")</f>
        <v/>
      </c>
      <c r="BX334" t="str">
        <f>+IFERROR(VLOOKUP(BX35,IN_Zugliste!$A$4:$F$602,7,FALSE),"")</f>
        <v/>
      </c>
      <c r="BY334" t="str">
        <f>+IFERROR(VLOOKUP(BY35,IN_Zugliste!$A$4:$F$602,7,FALSE),"")</f>
        <v/>
      </c>
      <c r="BZ334" t="str">
        <f>+IFERROR(VLOOKUP(BZ35,IN_Zugliste!$A$4:$F$602,7,FALSE),"")</f>
        <v/>
      </c>
      <c r="CA334" t="str">
        <f>+IFERROR(VLOOKUP(CA35,IN_Zugliste!$A$4:$F$602,7,FALSE),"")</f>
        <v/>
      </c>
      <c r="CB334" t="str">
        <f>+IFERROR(VLOOKUP(CB35,IN_Zugliste!$A$4:$F$602,7,FALSE),"")</f>
        <v/>
      </c>
      <c r="CC334" t="str">
        <f>+IFERROR(VLOOKUP(CC35,IN_Zugliste!$A$4:$F$602,7,FALSE),"")</f>
        <v/>
      </c>
      <c r="CD334" t="str">
        <f>+IFERROR(VLOOKUP(CD35,IN_Zugliste!$A$4:$F$602,7,FALSE),"")</f>
        <v/>
      </c>
      <c r="CE334" t="str">
        <f>+IFERROR(VLOOKUP(CE35,IN_Zugliste!$A$4:$F$602,7,FALSE),"")</f>
        <v/>
      </c>
      <c r="CF334" t="str">
        <f>+IFERROR(VLOOKUP(CF35,IN_Zugliste!$A$4:$F$602,7,FALSE),"")</f>
        <v/>
      </c>
      <c r="CG334" t="str">
        <f>+IFERROR(VLOOKUP(CG35,IN_Zugliste!$A$4:$F$602,7,FALSE),"")</f>
        <v/>
      </c>
      <c r="CH334" t="str">
        <f>+IFERROR(VLOOKUP(CH35,IN_Zugliste!$A$4:$F$602,7,FALSE),"")</f>
        <v/>
      </c>
      <c r="CI334" t="str">
        <f>+IFERROR(VLOOKUP(CI35,IN_Zugliste!$A$4:$F$602,7,FALSE),"")</f>
        <v/>
      </c>
      <c r="CJ334" t="str">
        <f>+IFERROR(VLOOKUP(CJ35,IN_Zugliste!$A$4:$F$602,7,FALSE),"")</f>
        <v/>
      </c>
      <c r="CK334" t="str">
        <f>+IFERROR(VLOOKUP(CK35,IN_Zugliste!$A$4:$F$602,7,FALSE),"")</f>
        <v/>
      </c>
      <c r="CL334" t="str">
        <f>+IFERROR(VLOOKUP(CL35,IN_Zugliste!$A$4:$F$602,7,FALSE),"")</f>
        <v/>
      </c>
      <c r="CM334" t="str">
        <f>+IFERROR(VLOOKUP(CM35,IN_Zugliste!$A$4:$F$602,7,FALSE),"")</f>
        <v/>
      </c>
      <c r="CN334" t="str">
        <f>+IFERROR(VLOOKUP(CN35,IN_Zugliste!$A$4:$F$602,7,FALSE),"")</f>
        <v/>
      </c>
      <c r="CO334" t="str">
        <f>+IFERROR(VLOOKUP(CO35,IN_Zugliste!$A$4:$F$602,7,FALSE),"")</f>
        <v/>
      </c>
      <c r="CP334" t="str">
        <f>+IFERROR(VLOOKUP(CP35,IN_Zugliste!$A$4:$F$602,7,FALSE),"")</f>
        <v/>
      </c>
      <c r="CQ334" t="str">
        <f>+IFERROR(VLOOKUP(CQ35,IN_Zugliste!$A$4:$F$602,7,FALSE),"")</f>
        <v/>
      </c>
      <c r="CR334" t="str">
        <f>+IFERROR(VLOOKUP(CR35,IN_Zugliste!$A$4:$F$602,7,FALSE),"")</f>
        <v/>
      </c>
      <c r="CS334" t="str">
        <f>+IFERROR(VLOOKUP(CS35,IN_Zugliste!$A$4:$F$602,7,FALSE),"")</f>
        <v/>
      </c>
      <c r="CT334" t="str">
        <f>+IFERROR(VLOOKUP(CT35,IN_Zugliste!$A$4:$F$602,7,FALSE),"")</f>
        <v/>
      </c>
      <c r="CU334" t="str">
        <f>+IFERROR(VLOOKUP(CU35,IN_Zugliste!$A$4:$F$602,7,FALSE),"")</f>
        <v/>
      </c>
      <c r="CV334" t="str">
        <f>+IFERROR(VLOOKUP(CV35,IN_Zugliste!$A$4:$F$602,7,FALSE),"")</f>
        <v/>
      </c>
      <c r="CW334" t="str">
        <f>+IFERROR(VLOOKUP(CW35,IN_Zugliste!$A$4:$F$602,7,FALSE),"")</f>
        <v/>
      </c>
      <c r="CX334" t="str">
        <f>+IFERROR(VLOOKUP(CX35,IN_Zugliste!$A$4:$F$602,7,FALSE),"")</f>
        <v/>
      </c>
      <c r="CY334" t="str">
        <f>+IFERROR(VLOOKUP(CY35,IN_Zugliste!$A$4:$F$602,7,FALSE),"")</f>
        <v/>
      </c>
      <c r="CZ334" t="str">
        <f>+IFERROR(VLOOKUP(CZ35,IN_Zugliste!$A$4:$F$602,7,FALSE),"")</f>
        <v/>
      </c>
      <c r="DA334" t="str">
        <f>+IFERROR(VLOOKUP(DA35,IN_Zugliste!$A$4:$F$602,7,FALSE),"")</f>
        <v/>
      </c>
      <c r="DB334" t="str">
        <f>+IFERROR(VLOOKUP(DB35,IN_Zugliste!$A$4:$F$602,7,FALSE),"")</f>
        <v/>
      </c>
      <c r="DC334" t="str">
        <f>+IFERROR(VLOOKUP(DC35,IN_Zugliste!$A$4:$F$602,7,FALSE),"")</f>
        <v/>
      </c>
      <c r="DD334" t="str">
        <f>+IFERROR(VLOOKUP(DD35,IN_Zugliste!$A$4:$F$602,7,FALSE),"")</f>
        <v/>
      </c>
      <c r="DE334" t="str">
        <f>+IFERROR(VLOOKUP(DE35,IN_Zugliste!$A$4:$F$602,7,FALSE),"")</f>
        <v/>
      </c>
      <c r="DF334" t="str">
        <f>+IFERROR(VLOOKUP(DF35,IN_Zugliste!$A$4:$F$602,7,FALSE),"")</f>
        <v/>
      </c>
      <c r="DG334" t="str">
        <f>+IFERROR(VLOOKUP(DG35,IN_Zugliste!$A$4:$F$602,7,FALSE),"")</f>
        <v/>
      </c>
      <c r="DH334" t="str">
        <f>+IFERROR(VLOOKUP(DH35,IN_Zugliste!$A$4:$F$602,7,FALSE),"")</f>
        <v/>
      </c>
      <c r="DI334" t="str">
        <f>+IFERROR(VLOOKUP(DI35,IN_Zugliste!$A$4:$F$602,7,FALSE),"")</f>
        <v/>
      </c>
      <c r="DJ334" t="str">
        <f>+IFERROR(VLOOKUP(DJ35,IN_Zugliste!$A$4:$F$602,7,FALSE),"")</f>
        <v/>
      </c>
      <c r="DK334" t="str">
        <f>+IFERROR(VLOOKUP(DK35,IN_Zugliste!$A$4:$F$602,7,FALSE),"")</f>
        <v/>
      </c>
      <c r="DL334" t="str">
        <f>+IFERROR(VLOOKUP(DL35,IN_Zugliste!$A$4:$F$602,7,FALSE),"")</f>
        <v/>
      </c>
      <c r="DM334" t="str">
        <f>+IFERROR(VLOOKUP(DM35,IN_Zugliste!$A$4:$F$602,7,FALSE),"")</f>
        <v/>
      </c>
      <c r="DN334" t="str">
        <f>+IFERROR(VLOOKUP(DN35,IN_Zugliste!$A$4:$F$602,7,FALSE),"")</f>
        <v/>
      </c>
      <c r="DO334" t="str">
        <f>+IFERROR(VLOOKUP(DO35,IN_Zugliste!$A$4:$F$602,7,FALSE),"")</f>
        <v/>
      </c>
      <c r="DP334" t="str">
        <f>+IFERROR(VLOOKUP(DP35,IN_Zugliste!$A$4:$F$602,7,FALSE),"")</f>
        <v/>
      </c>
      <c r="DQ334" t="str">
        <f>+IFERROR(VLOOKUP(DQ35,IN_Zugliste!$A$4:$F$602,7,FALSE),"")</f>
        <v/>
      </c>
      <c r="DR334" t="str">
        <f>+IFERROR(VLOOKUP(DR35,IN_Zugliste!$A$4:$F$602,7,FALSE),"")</f>
        <v/>
      </c>
      <c r="DS334" t="str">
        <f>+IFERROR(VLOOKUP(DS35,IN_Zugliste!$A$4:$F$602,7,FALSE),"")</f>
        <v/>
      </c>
      <c r="DT334" t="str">
        <f>+IFERROR(VLOOKUP(DT35,IN_Zugliste!$A$4:$F$602,7,FALSE),"")</f>
        <v/>
      </c>
      <c r="DU334" t="str">
        <f>+IFERROR(VLOOKUP(DU35,IN_Zugliste!$A$4:$F$602,7,FALSE),"")</f>
        <v/>
      </c>
      <c r="DV334" t="str">
        <f>+IFERROR(VLOOKUP(DV35,IN_Zugliste!$A$4:$F$602,7,FALSE),"")</f>
        <v/>
      </c>
      <c r="DW334" t="str">
        <f>+IFERROR(VLOOKUP(DW35,IN_Zugliste!$A$4:$F$602,7,FALSE),"")</f>
        <v/>
      </c>
      <c r="DX334" t="str">
        <f>+IFERROR(VLOOKUP(DX35,IN_Zugliste!$A$4:$F$602,7,FALSE),"")</f>
        <v/>
      </c>
      <c r="DY334" t="str">
        <f>+IFERROR(VLOOKUP(DY35,IN_Zugliste!$A$4:$F$602,7,FALSE),"")</f>
        <v/>
      </c>
      <c r="DZ334" t="str">
        <f>+IFERROR(VLOOKUP(DZ35,IN_Zugliste!$A$4:$F$602,7,FALSE),"")</f>
        <v/>
      </c>
      <c r="EA334" t="str">
        <f>+IFERROR(VLOOKUP(EA35,IN_Zugliste!$A$4:$F$602,7,FALSE),"")</f>
        <v/>
      </c>
      <c r="EB334" t="str">
        <f>+IFERROR(VLOOKUP(EB35,IN_Zugliste!$A$4:$F$602,7,FALSE),"")</f>
        <v/>
      </c>
      <c r="EC334" t="str">
        <f>+IFERROR(VLOOKUP(EC35,IN_Zugliste!$A$4:$F$602,7,FALSE),"")</f>
        <v/>
      </c>
      <c r="ED334" t="str">
        <f>+IFERROR(VLOOKUP(ED35,IN_Zugliste!$A$4:$F$602,7,FALSE),"")</f>
        <v/>
      </c>
      <c r="EE334" t="str">
        <f>+IFERROR(VLOOKUP(EE35,IN_Zugliste!$A$4:$F$602,7,FALSE),"")</f>
        <v/>
      </c>
      <c r="EF334" t="str">
        <f>+IFERROR(VLOOKUP(EF35,IN_Zugliste!$A$4:$F$602,7,FALSE),"")</f>
        <v/>
      </c>
      <c r="EG334" t="str">
        <f>+IFERROR(VLOOKUP(EG35,IN_Zugliste!$A$4:$F$602,7,FALSE),"")</f>
        <v/>
      </c>
      <c r="EH334" t="str">
        <f>+IFERROR(VLOOKUP(EH35,IN_Zugliste!$A$4:$F$602,7,FALSE),"")</f>
        <v/>
      </c>
      <c r="EI334" t="str">
        <f>+IFERROR(VLOOKUP(EI35,IN_Zugliste!$A$4:$F$602,7,FALSE),"")</f>
        <v/>
      </c>
      <c r="EJ334" t="str">
        <f>+IFERROR(VLOOKUP(EJ35,IN_Zugliste!$A$4:$F$602,7,FALSE),"")</f>
        <v/>
      </c>
      <c r="EK334" t="str">
        <f>+IFERROR(VLOOKUP(EK35,IN_Zugliste!$A$4:$F$602,7,FALSE),"")</f>
        <v/>
      </c>
      <c r="EL334" t="str">
        <f>+IFERROR(VLOOKUP(EL35,IN_Zugliste!$A$4:$F$602,7,FALSE),"")</f>
        <v/>
      </c>
      <c r="EM334" t="str">
        <f>+IFERROR(VLOOKUP(EM35,IN_Zugliste!$A$4:$F$602,7,FALSE),"")</f>
        <v/>
      </c>
      <c r="EN334" t="str">
        <f>+IFERROR(VLOOKUP(EN35,IN_Zugliste!$A$4:$F$602,7,FALSE),"")</f>
        <v/>
      </c>
      <c r="EO334" t="str">
        <f>+IFERROR(VLOOKUP(EO35,IN_Zugliste!$A$4:$F$602,7,FALSE),"")</f>
        <v/>
      </c>
      <c r="EP334" t="str">
        <f>+IFERROR(VLOOKUP(EP35,IN_Zugliste!$A$4:$F$602,7,FALSE),"")</f>
        <v/>
      </c>
      <c r="EQ334" t="str">
        <f>+IFERROR(VLOOKUP(EQ35,IN_Zugliste!$A$4:$F$602,7,FALSE),"")</f>
        <v/>
      </c>
      <c r="ER334" t="str">
        <f>+IFERROR(VLOOKUP(ER35,IN_Zugliste!$A$4:$F$602,7,FALSE),"")</f>
        <v/>
      </c>
      <c r="ES334" t="str">
        <f>+IFERROR(VLOOKUP(ES35,IN_Zugliste!$A$4:$F$602,7,FALSE),"")</f>
        <v/>
      </c>
      <c r="ET334" t="str">
        <f>+IFERROR(VLOOKUP(ET35,IN_Zugliste!$A$4:$F$602,7,FALSE),"")</f>
        <v/>
      </c>
      <c r="EU334" t="str">
        <f>+IFERROR(VLOOKUP(EU35,IN_Zugliste!$A$4:$F$602,7,FALSE),"")</f>
        <v/>
      </c>
      <c r="EV334" t="str">
        <f>+IFERROR(VLOOKUP(EV35,IN_Zugliste!$A$4:$F$602,7,FALSE),"")</f>
        <v/>
      </c>
      <c r="EW334" t="str">
        <f>+IFERROR(VLOOKUP(EW35,IN_Zugliste!$A$4:$F$602,7,FALSE),"")</f>
        <v/>
      </c>
      <c r="EX334" t="str">
        <f>+IFERROR(VLOOKUP(EX35,IN_Zugliste!$A$4:$F$602,7,FALSE),"")</f>
        <v/>
      </c>
      <c r="EY334" t="str">
        <f>+IFERROR(VLOOKUP(EY35,IN_Zugliste!$A$4:$F$602,7,FALSE),"")</f>
        <v/>
      </c>
      <c r="EZ334" t="str">
        <f>+IFERROR(VLOOKUP(EZ35,IN_Zugliste!$A$4:$F$602,7,FALSE),"")</f>
        <v/>
      </c>
      <c r="FA334" t="str">
        <f>+IFERROR(VLOOKUP(FA35,IN_Zugliste!$A$4:$F$602,7,FALSE),"")</f>
        <v/>
      </c>
      <c r="FB334" t="str">
        <f>+IFERROR(VLOOKUP(FB35,IN_Zugliste!$A$4:$F$602,7,FALSE),"")</f>
        <v/>
      </c>
      <c r="FC334" t="str">
        <f>+IFERROR(VLOOKUP(FC35,IN_Zugliste!$A$4:$F$602,7,FALSE),"")</f>
        <v/>
      </c>
      <c r="FD334" t="str">
        <f>+IFERROR(VLOOKUP(FD35,IN_Zugliste!$A$4:$F$602,7,FALSE),"")</f>
        <v/>
      </c>
      <c r="FE334" t="str">
        <f>+IFERROR(VLOOKUP(FE35,IN_Zugliste!$A$4:$F$602,7,FALSE),"")</f>
        <v/>
      </c>
      <c r="FF334" t="str">
        <f>+IFERROR(VLOOKUP(FF35,IN_Zugliste!$A$4:$F$602,7,FALSE),"")</f>
        <v/>
      </c>
      <c r="FG334" t="str">
        <f>+IFERROR(VLOOKUP(FG35,IN_Zugliste!$A$4:$F$602,7,FALSE),"")</f>
        <v/>
      </c>
      <c r="FH334" t="str">
        <f>+IFERROR(VLOOKUP(FH35,IN_Zugliste!$A$4:$F$602,7,FALSE),"")</f>
        <v/>
      </c>
      <c r="FI334" t="str">
        <f>+IFERROR(VLOOKUP(FI35,IN_Zugliste!$A$4:$F$602,7,FALSE),"")</f>
        <v/>
      </c>
      <c r="FJ334" t="str">
        <f>+IFERROR(VLOOKUP(FJ35,IN_Zugliste!$A$4:$F$602,7,FALSE),"")</f>
        <v/>
      </c>
      <c r="FK334" t="str">
        <f>+IFERROR(VLOOKUP(FK35,IN_Zugliste!$A$4:$F$602,7,FALSE),"")</f>
        <v/>
      </c>
      <c r="FL334" t="str">
        <f>+IFERROR(VLOOKUP(FL35,IN_Zugliste!$A$4:$F$602,7,FALSE),"")</f>
        <v/>
      </c>
      <c r="FM334" t="str">
        <f>+IFERROR(VLOOKUP(FM35,IN_Zugliste!$A$4:$F$602,7,FALSE),"")</f>
        <v/>
      </c>
      <c r="FN334" t="str">
        <f>+IFERROR(VLOOKUP(FN35,IN_Zugliste!$A$4:$F$602,7,FALSE),"")</f>
        <v/>
      </c>
      <c r="FO334" t="str">
        <f>+IFERROR(VLOOKUP(FO35,IN_Zugliste!$A$4:$F$602,7,FALSE),"")</f>
        <v/>
      </c>
      <c r="FP334" t="str">
        <f>+IFERROR(VLOOKUP(FP35,IN_Zugliste!$A$4:$F$602,7,FALSE),"")</f>
        <v/>
      </c>
      <c r="FQ334" t="str">
        <f>+IFERROR(VLOOKUP(FQ35,IN_Zugliste!$A$4:$F$602,7,FALSE),"")</f>
        <v/>
      </c>
      <c r="FR334" t="str">
        <f>+IFERROR(VLOOKUP(FR35,IN_Zugliste!$A$4:$F$602,7,FALSE),"")</f>
        <v/>
      </c>
      <c r="FS334" t="str">
        <f>+IFERROR(VLOOKUP(FS35,IN_Zugliste!$A$4:$F$602,7,FALSE),"")</f>
        <v/>
      </c>
      <c r="FT334" t="str">
        <f>+IFERROR(VLOOKUP(FT35,IN_Zugliste!$A$4:$F$602,7,FALSE),"")</f>
        <v/>
      </c>
      <c r="FU334" t="str">
        <f>+IFERROR(VLOOKUP(FU35,IN_Zugliste!$A$4:$F$602,7,FALSE),"")</f>
        <v/>
      </c>
      <c r="FV334" t="str">
        <f>+IFERROR(VLOOKUP(FV35,IN_Zugliste!$A$4:$F$602,7,FALSE),"")</f>
        <v/>
      </c>
      <c r="FW334" t="str">
        <f>+IFERROR(VLOOKUP(FW35,IN_Zugliste!$A$4:$F$602,7,FALSE),"")</f>
        <v/>
      </c>
      <c r="FX334" t="str">
        <f>+IFERROR(VLOOKUP(FX35,IN_Zugliste!$A$4:$F$602,7,FALSE),"")</f>
        <v/>
      </c>
      <c r="FY334" t="str">
        <f>+IFERROR(VLOOKUP(FY35,IN_Zugliste!$A$4:$F$602,7,FALSE),"")</f>
        <v/>
      </c>
      <c r="FZ334" t="str">
        <f>+IFERROR(VLOOKUP(FZ35,IN_Zugliste!$A$4:$F$602,7,FALSE),"")</f>
        <v/>
      </c>
      <c r="GA334" t="str">
        <f>+IFERROR(VLOOKUP(GA35,IN_Zugliste!$A$4:$F$602,7,FALSE),"")</f>
        <v/>
      </c>
      <c r="GB334" t="str">
        <f>+IFERROR(VLOOKUP(GB35,IN_Zugliste!$A$4:$F$602,7,FALSE),"")</f>
        <v/>
      </c>
      <c r="GC334" t="str">
        <f>+IFERROR(VLOOKUP(GC35,IN_Zugliste!$A$4:$F$602,7,FALSE),"")</f>
        <v/>
      </c>
      <c r="GD334" t="str">
        <f>+IFERROR(VLOOKUP(GD35,IN_Zugliste!$A$4:$F$602,7,FALSE),"")</f>
        <v/>
      </c>
      <c r="GE334" t="str">
        <f>+IFERROR(VLOOKUP(GE35,IN_Zugliste!$A$4:$F$602,7,FALSE),"")</f>
        <v/>
      </c>
      <c r="GF334" t="str">
        <f>+IFERROR(VLOOKUP(GF35,IN_Zugliste!$A$4:$F$602,7,FALSE),"")</f>
        <v/>
      </c>
      <c r="GG334" t="str">
        <f>+IFERROR(VLOOKUP(GG35,IN_Zugliste!$A$4:$F$602,7,FALSE),"")</f>
        <v/>
      </c>
      <c r="GH334" t="str">
        <f>+IFERROR(VLOOKUP(GH35,IN_Zugliste!$A$4:$F$602,7,FALSE),"")</f>
        <v/>
      </c>
      <c r="GI334" t="str">
        <f>+IFERROR(VLOOKUP(GI35,IN_Zugliste!$A$4:$F$602,7,FALSE),"")</f>
        <v/>
      </c>
      <c r="GJ334" t="str">
        <f>+IFERROR(VLOOKUP(GJ35,IN_Zugliste!$A$4:$F$602,7,FALSE),"")</f>
        <v/>
      </c>
      <c r="GK334" t="str">
        <f>+IFERROR(VLOOKUP(GK35,IN_Zugliste!$A$4:$F$602,7,FALSE),"")</f>
        <v/>
      </c>
      <c r="GL334" t="str">
        <f>+IFERROR(VLOOKUP(GL35,IN_Zugliste!$A$4:$F$602,7,FALSE),"")</f>
        <v/>
      </c>
      <c r="GM334" t="str">
        <f>+IFERROR(VLOOKUP(GM35,IN_Zugliste!$A$4:$F$602,7,FALSE),"")</f>
        <v/>
      </c>
      <c r="GN334" t="str">
        <f>+IFERROR(VLOOKUP(GN35,IN_Zugliste!$A$4:$F$602,7,FALSE),"")</f>
        <v/>
      </c>
      <c r="GO334" t="str">
        <f>+IFERROR(VLOOKUP(GO35,IN_Zugliste!$A$4:$F$602,7,FALSE),"")</f>
        <v/>
      </c>
      <c r="GP334" t="str">
        <f>+IFERROR(VLOOKUP(GP35,IN_Zugliste!$A$4:$F$602,7,FALSE),"")</f>
        <v/>
      </c>
      <c r="GQ334" t="str">
        <f>+IFERROR(VLOOKUP(GQ35,IN_Zugliste!$A$4:$F$602,7,FALSE),"")</f>
        <v/>
      </c>
      <c r="GR334" t="str">
        <f>+IFERROR(VLOOKUP(GR35,IN_Zugliste!$A$4:$F$602,7,FALSE),"")</f>
        <v/>
      </c>
      <c r="GS334" t="str">
        <f>+IFERROR(VLOOKUP(GS35,IN_Zugliste!$A$4:$F$602,7,FALSE),"")</f>
        <v/>
      </c>
      <c r="GT334" t="str">
        <f>+IFERROR(VLOOKUP(GT35,IN_Zugliste!$A$4:$F$602,7,FALSE),"")</f>
        <v/>
      </c>
      <c r="GU334" t="str">
        <f>+IFERROR(VLOOKUP(GU35,IN_Zugliste!$A$4:$F$602,7,FALSE),"")</f>
        <v/>
      </c>
      <c r="GV334" t="str">
        <f>+IFERROR(VLOOKUP(GV35,IN_Zugliste!$A$4:$F$602,7,FALSE),"")</f>
        <v/>
      </c>
      <c r="GW334" t="str">
        <f>+IFERROR(VLOOKUP(GW35,IN_Zugliste!$A$4:$F$602,7,FALSE),"")</f>
        <v/>
      </c>
      <c r="GX334" t="str">
        <f>+IFERROR(VLOOKUP(GX35,IN_Zugliste!$A$4:$F$602,7,FALSE),"")</f>
        <v/>
      </c>
      <c r="GY334" t="str">
        <f>+IFERROR(VLOOKUP(GY35,IN_Zugliste!$A$4:$F$602,7,FALSE),"")</f>
        <v/>
      </c>
      <c r="GZ334" t="str">
        <f>+IFERROR(VLOOKUP(GZ35,IN_Zugliste!$A$4:$F$602,7,FALSE),"")</f>
        <v/>
      </c>
      <c r="HA334" t="str">
        <f>+IFERROR(VLOOKUP(HA35,IN_Zugliste!$A$4:$F$602,7,FALSE),"")</f>
        <v/>
      </c>
      <c r="HB334" t="str">
        <f>+IFERROR(VLOOKUP(HB35,IN_Zugliste!$A$4:$F$602,7,FALSE),"")</f>
        <v/>
      </c>
      <c r="HC334" t="str">
        <f>+IFERROR(VLOOKUP(HC35,IN_Zugliste!$A$4:$F$602,7,FALSE),"")</f>
        <v/>
      </c>
      <c r="HD334" t="str">
        <f>+IFERROR(VLOOKUP(HD35,IN_Zugliste!$A$4:$F$602,7,FALSE),"")</f>
        <v/>
      </c>
      <c r="HE334" t="str">
        <f>+IFERROR(VLOOKUP(HE35,IN_Zugliste!$A$4:$F$602,7,FALSE),"")</f>
        <v/>
      </c>
      <c r="HF334" t="str">
        <f>+IFERROR(VLOOKUP(HF35,IN_Zugliste!$A$4:$F$602,7,FALSE),"")</f>
        <v/>
      </c>
      <c r="HG334" t="str">
        <f>+IFERROR(VLOOKUP(HG35,IN_Zugliste!$A$4:$F$602,7,FALSE),"")</f>
        <v/>
      </c>
      <c r="HH334" t="str">
        <f>+IFERROR(VLOOKUP(HH35,IN_Zugliste!$A$4:$F$602,7,FALSE),"")</f>
        <v/>
      </c>
    </row>
    <row r="335" spans="1:270" x14ac:dyDescent="0.2">
      <c r="A335" t="str">
        <f>+IFERROR(VLOOKUP(A36,IN_Zugliste!$A$4:$F$602,7,FALSE),"")</f>
        <v/>
      </c>
      <c r="B335" t="str">
        <f>+IFERROR(VLOOKUP(B36,IN_Zugliste!$A$4:$F$602,7,FALSE),"")</f>
        <v/>
      </c>
      <c r="C335" t="str">
        <f>+IFERROR(VLOOKUP(C36,IN_Zugliste!$A$4:$F$602,7,FALSE),"")</f>
        <v/>
      </c>
      <c r="D335" t="str">
        <f>+IFERROR(VLOOKUP(D36,IN_Zugliste!$A$4:$F$602,7,FALSE),"")</f>
        <v/>
      </c>
      <c r="E335" t="str">
        <f>+IFERROR(VLOOKUP(E36,IN_Zugliste!$A$4:$F$602,7,FALSE),"")</f>
        <v/>
      </c>
      <c r="F335" t="str">
        <f>+IFERROR(VLOOKUP(F36,IN_Zugliste!$A$4:$F$602,7,FALSE),"")</f>
        <v/>
      </c>
      <c r="G335" t="str">
        <f>+IFERROR(VLOOKUP(G36,IN_Zugliste!$A$4:$F$602,7,FALSE),"")</f>
        <v/>
      </c>
      <c r="H335" t="str">
        <f>+IFERROR(VLOOKUP(H36,IN_Zugliste!$A$4:$F$602,7,FALSE),"")</f>
        <v/>
      </c>
      <c r="I335" t="str">
        <f>+IFERROR(VLOOKUP(I36,IN_Zugliste!$A$4:$F$602,7,FALSE),"")</f>
        <v/>
      </c>
      <c r="J335" t="str">
        <f>+IFERROR(VLOOKUP(J36,IN_Zugliste!$A$4:$F$602,7,FALSE),"")</f>
        <v/>
      </c>
      <c r="K335" t="str">
        <f>+IFERROR(VLOOKUP(K36,IN_Zugliste!$A$4:$F$602,7,FALSE),"")</f>
        <v/>
      </c>
      <c r="L335" t="str">
        <f>+IFERROR(VLOOKUP(L36,IN_Zugliste!$A$4:$F$602,7,FALSE),"")</f>
        <v/>
      </c>
      <c r="M335" t="str">
        <f>+IFERROR(VLOOKUP(M36,IN_Zugliste!$A$4:$F$602,7,FALSE),"")</f>
        <v/>
      </c>
      <c r="N335" t="str">
        <f>+IFERROR(VLOOKUP(N36,IN_Zugliste!$A$4:$F$602,7,FALSE),"")</f>
        <v/>
      </c>
      <c r="O335" t="str">
        <f>+IFERROR(VLOOKUP(O36,IN_Zugliste!$A$4:$F$602,7,FALSE),"")</f>
        <v/>
      </c>
      <c r="P335" t="str">
        <f>+IFERROR(VLOOKUP(P36,IN_Zugliste!$A$4:$F$602,7,FALSE),"")</f>
        <v/>
      </c>
      <c r="Q335" t="str">
        <f>+IFERROR(VLOOKUP(Q36,IN_Zugliste!$A$4:$F$602,7,FALSE),"")</f>
        <v/>
      </c>
      <c r="R335" t="str">
        <f>+IFERROR(VLOOKUP(R36,IN_Zugliste!$A$4:$F$602,7,FALSE),"")</f>
        <v/>
      </c>
      <c r="S335" t="str">
        <f>+IFERROR(VLOOKUP(S36,IN_Zugliste!$A$4:$F$602,7,FALSE),"")</f>
        <v/>
      </c>
      <c r="T335" t="str">
        <f>+IFERROR(VLOOKUP(T36,IN_Zugliste!$A$4:$F$602,7,FALSE),"")</f>
        <v/>
      </c>
      <c r="U335" t="str">
        <f>+IFERROR(VLOOKUP(U36,IN_Zugliste!$A$4:$F$602,7,FALSE),"")</f>
        <v/>
      </c>
      <c r="V335" t="str">
        <f>+IFERROR(VLOOKUP(V36,IN_Zugliste!$A$4:$F$602,7,FALSE),"")</f>
        <v/>
      </c>
      <c r="W335" t="str">
        <f>+IFERROR(VLOOKUP(W36,IN_Zugliste!$A$4:$F$602,7,FALSE),"")</f>
        <v/>
      </c>
      <c r="X335" t="str">
        <f>+IFERROR(VLOOKUP(X36,IN_Zugliste!$A$4:$F$602,7,FALSE),"")</f>
        <v/>
      </c>
      <c r="Y335" t="str">
        <f>+IFERROR(VLOOKUP(Y36,IN_Zugliste!$A$4:$F$602,7,FALSE),"")</f>
        <v/>
      </c>
      <c r="Z335" t="str">
        <f>+IFERROR(VLOOKUP(Z36,IN_Zugliste!$A$4:$F$602,7,FALSE),"")</f>
        <v/>
      </c>
      <c r="AA335" t="str">
        <f>+IFERROR(VLOOKUP(AA36,IN_Zugliste!$A$4:$F$602,7,FALSE),"")</f>
        <v/>
      </c>
      <c r="AB335" t="str">
        <f>+IFERROR(VLOOKUP(AB36,IN_Zugliste!$A$4:$F$602,7,FALSE),"")</f>
        <v/>
      </c>
      <c r="AC335" t="str">
        <f>+IFERROR(VLOOKUP(AC36,IN_Zugliste!$A$4:$F$602,7,FALSE),"")</f>
        <v/>
      </c>
      <c r="AD335" t="str">
        <f>+IFERROR(VLOOKUP(AD36,IN_Zugliste!$A$4:$F$602,7,FALSE),"")</f>
        <v/>
      </c>
      <c r="AE335" t="str">
        <f>+IFERROR(VLOOKUP(AE36,IN_Zugliste!$A$4:$F$602,7,FALSE),"")</f>
        <v/>
      </c>
      <c r="AF335" t="str">
        <f>+IFERROR(VLOOKUP(AF36,IN_Zugliste!$A$4:$F$602,7,FALSE),"")</f>
        <v/>
      </c>
      <c r="AG335" t="str">
        <f>+IFERROR(VLOOKUP(AG36,IN_Zugliste!$A$4:$F$602,7,FALSE),"")</f>
        <v/>
      </c>
      <c r="AH335" t="str">
        <f>+IFERROR(VLOOKUP(AH36,IN_Zugliste!$A$4:$F$602,7,FALSE),"")</f>
        <v/>
      </c>
      <c r="AI335" t="str">
        <f>+IFERROR(VLOOKUP(AI36,IN_Zugliste!$A$4:$F$602,7,FALSE),"")</f>
        <v/>
      </c>
      <c r="AJ335" t="str">
        <f>+IFERROR(VLOOKUP(AJ36,IN_Zugliste!$A$4:$F$602,7,FALSE),"")</f>
        <v/>
      </c>
      <c r="AK335" t="str">
        <f>+IFERROR(VLOOKUP(AK36,IN_Zugliste!$A$4:$F$602,7,FALSE),"")</f>
        <v/>
      </c>
      <c r="AL335" t="str">
        <f>+IFERROR(VLOOKUP(AL36,IN_Zugliste!$A$4:$F$602,7,FALSE),"")</f>
        <v/>
      </c>
      <c r="AM335" t="str">
        <f>+IFERROR(VLOOKUP(AM36,IN_Zugliste!$A$4:$F$602,7,FALSE),"")</f>
        <v/>
      </c>
      <c r="AN335" t="str">
        <f>+IFERROR(VLOOKUP(AN36,IN_Zugliste!$A$4:$F$602,7,FALSE),"")</f>
        <v/>
      </c>
      <c r="AO335" t="str">
        <f>+IFERROR(VLOOKUP(AO36,IN_Zugliste!$A$4:$F$602,7,FALSE),"")</f>
        <v/>
      </c>
      <c r="AP335" t="str">
        <f>+IFERROR(VLOOKUP(AP36,IN_Zugliste!$A$4:$F$602,7,FALSE),"")</f>
        <v/>
      </c>
      <c r="AQ335" t="str">
        <f>+IFERROR(VLOOKUP(AQ36,IN_Zugliste!$A$4:$F$602,7,FALSE),"")</f>
        <v/>
      </c>
      <c r="AR335" t="str">
        <f>+IFERROR(VLOOKUP(AR36,IN_Zugliste!$A$4:$F$602,7,FALSE),"")</f>
        <v/>
      </c>
      <c r="AS335" t="str">
        <f>+IFERROR(VLOOKUP(AS36,IN_Zugliste!$A$4:$F$602,7,FALSE),"")</f>
        <v/>
      </c>
      <c r="AT335" t="str">
        <f>+IFERROR(VLOOKUP(AT36,IN_Zugliste!$A$4:$F$602,7,FALSE),"")</f>
        <v/>
      </c>
      <c r="AU335" t="str">
        <f>+IFERROR(VLOOKUP(AU36,IN_Zugliste!$A$4:$F$602,7,FALSE),"")</f>
        <v/>
      </c>
      <c r="AV335" t="str">
        <f>+IFERROR(VLOOKUP(AV36,IN_Zugliste!$A$4:$F$602,7,FALSE),"")</f>
        <v/>
      </c>
      <c r="AW335" t="str">
        <f>+IFERROR(VLOOKUP(AW36,IN_Zugliste!$A$4:$F$602,7,FALSE),"")</f>
        <v/>
      </c>
      <c r="AX335" t="str">
        <f>+IFERROR(VLOOKUP(AX36,IN_Zugliste!$A$4:$F$602,7,FALSE),"")</f>
        <v/>
      </c>
      <c r="AY335" t="str">
        <f>+IFERROR(VLOOKUP(AY36,IN_Zugliste!$A$4:$F$602,7,FALSE),"")</f>
        <v/>
      </c>
      <c r="AZ335" t="str">
        <f>+IFERROR(VLOOKUP(AZ36,IN_Zugliste!$A$4:$F$602,7,FALSE),"")</f>
        <v/>
      </c>
      <c r="BA335" t="str">
        <f>+IFERROR(VLOOKUP(BA36,IN_Zugliste!$A$4:$F$602,7,FALSE),"")</f>
        <v/>
      </c>
      <c r="BB335" t="str">
        <f>+IFERROR(VLOOKUP(BB36,IN_Zugliste!$A$4:$F$602,7,FALSE),"")</f>
        <v/>
      </c>
      <c r="BC335" t="str">
        <f>+IFERROR(VLOOKUP(BC36,IN_Zugliste!$A$4:$F$602,7,FALSE),"")</f>
        <v/>
      </c>
      <c r="BD335" t="str">
        <f>+IFERROR(VLOOKUP(BD36,IN_Zugliste!$A$4:$F$602,7,FALSE),"")</f>
        <v/>
      </c>
      <c r="BE335" t="str">
        <f>+IFERROR(VLOOKUP(BE36,IN_Zugliste!$A$4:$F$602,7,FALSE),"")</f>
        <v/>
      </c>
      <c r="BF335" t="str">
        <f>+IFERROR(VLOOKUP(BF36,IN_Zugliste!$A$4:$F$602,7,FALSE),"")</f>
        <v/>
      </c>
      <c r="BG335" t="str">
        <f>+IFERROR(VLOOKUP(BG36,IN_Zugliste!$A$4:$F$602,7,FALSE),"")</f>
        <v/>
      </c>
      <c r="BH335" t="str">
        <f>+IFERROR(VLOOKUP(BH36,IN_Zugliste!$A$4:$F$602,7,FALSE),"")</f>
        <v/>
      </c>
      <c r="BI335" t="str">
        <f>+IFERROR(VLOOKUP(BI36,IN_Zugliste!$A$4:$F$602,7,FALSE),"")</f>
        <v/>
      </c>
      <c r="BJ335" t="str">
        <f>+IFERROR(VLOOKUP(BJ36,IN_Zugliste!$A$4:$F$602,7,FALSE),"")</f>
        <v/>
      </c>
      <c r="BK335" t="str">
        <f>+IFERROR(VLOOKUP(BK36,IN_Zugliste!$A$4:$F$602,7,FALSE),"")</f>
        <v/>
      </c>
      <c r="BL335" t="str">
        <f>+IFERROR(VLOOKUP(BL36,IN_Zugliste!$A$4:$F$602,7,FALSE),"")</f>
        <v/>
      </c>
      <c r="BM335" t="str">
        <f>+IFERROR(VLOOKUP(BM36,IN_Zugliste!$A$4:$F$602,7,FALSE),"")</f>
        <v/>
      </c>
      <c r="BN335" t="str">
        <f>+IFERROR(VLOOKUP(BN36,IN_Zugliste!$A$4:$F$602,7,FALSE),"")</f>
        <v/>
      </c>
      <c r="BO335" t="str">
        <f>+IFERROR(VLOOKUP(BO36,IN_Zugliste!$A$4:$F$602,7,FALSE),"")</f>
        <v/>
      </c>
      <c r="BP335" t="str">
        <f>+IFERROR(VLOOKUP(BP36,IN_Zugliste!$A$4:$F$602,7,FALSE),"")</f>
        <v/>
      </c>
      <c r="BQ335" t="str">
        <f>+IFERROR(VLOOKUP(BQ36,IN_Zugliste!$A$4:$F$602,7,FALSE),"")</f>
        <v/>
      </c>
      <c r="BR335" t="str">
        <f>+IFERROR(VLOOKUP(BR36,IN_Zugliste!$A$4:$F$602,7,FALSE),"")</f>
        <v/>
      </c>
      <c r="BS335" t="str">
        <f>+IFERROR(VLOOKUP(BS36,IN_Zugliste!$A$4:$F$602,7,FALSE),"")</f>
        <v/>
      </c>
      <c r="BT335" t="str">
        <f>+IFERROR(VLOOKUP(BT36,IN_Zugliste!$A$4:$F$602,7,FALSE),"")</f>
        <v/>
      </c>
      <c r="BU335" t="str">
        <f>+IFERROR(VLOOKUP(BU36,IN_Zugliste!$A$4:$F$602,7,FALSE),"")</f>
        <v/>
      </c>
      <c r="BV335" t="str">
        <f>+IFERROR(VLOOKUP(BV36,IN_Zugliste!$A$4:$F$602,7,FALSE),"")</f>
        <v/>
      </c>
      <c r="BW335" t="str">
        <f>+IFERROR(VLOOKUP(BW36,IN_Zugliste!$A$4:$F$602,7,FALSE),"")</f>
        <v/>
      </c>
      <c r="BX335" t="str">
        <f>+IFERROR(VLOOKUP(BX36,IN_Zugliste!$A$4:$F$602,7,FALSE),"")</f>
        <v/>
      </c>
      <c r="BY335" t="str">
        <f>+IFERROR(VLOOKUP(BY36,IN_Zugliste!$A$4:$F$602,7,FALSE),"")</f>
        <v/>
      </c>
      <c r="BZ335" t="str">
        <f>+IFERROR(VLOOKUP(BZ36,IN_Zugliste!$A$4:$F$602,7,FALSE),"")</f>
        <v/>
      </c>
      <c r="CA335" t="str">
        <f>+IFERROR(VLOOKUP(CA36,IN_Zugliste!$A$4:$F$602,7,FALSE),"")</f>
        <v/>
      </c>
      <c r="CB335" t="str">
        <f>+IFERROR(VLOOKUP(CB36,IN_Zugliste!$A$4:$F$602,7,FALSE),"")</f>
        <v/>
      </c>
      <c r="CC335" t="str">
        <f>+IFERROR(VLOOKUP(CC36,IN_Zugliste!$A$4:$F$602,7,FALSE),"")</f>
        <v/>
      </c>
      <c r="CD335" t="str">
        <f>+IFERROR(VLOOKUP(CD36,IN_Zugliste!$A$4:$F$602,7,FALSE),"")</f>
        <v/>
      </c>
      <c r="CE335" t="str">
        <f>+IFERROR(VLOOKUP(CE36,IN_Zugliste!$A$4:$F$602,7,FALSE),"")</f>
        <v/>
      </c>
      <c r="CF335" t="str">
        <f>+IFERROR(VLOOKUP(CF36,IN_Zugliste!$A$4:$F$602,7,FALSE),"")</f>
        <v/>
      </c>
      <c r="CG335" t="str">
        <f>+IFERROR(VLOOKUP(CG36,IN_Zugliste!$A$4:$F$602,7,FALSE),"")</f>
        <v/>
      </c>
      <c r="CH335" t="str">
        <f>+IFERROR(VLOOKUP(CH36,IN_Zugliste!$A$4:$F$602,7,FALSE),"")</f>
        <v/>
      </c>
      <c r="CI335" t="str">
        <f>+IFERROR(VLOOKUP(CI36,IN_Zugliste!$A$4:$F$602,7,FALSE),"")</f>
        <v/>
      </c>
      <c r="CJ335" t="str">
        <f>+IFERROR(VLOOKUP(CJ36,IN_Zugliste!$A$4:$F$602,7,FALSE),"")</f>
        <v/>
      </c>
      <c r="CK335" t="str">
        <f>+IFERROR(VLOOKUP(CK36,IN_Zugliste!$A$4:$F$602,7,FALSE),"")</f>
        <v/>
      </c>
      <c r="CL335" t="str">
        <f>+IFERROR(VLOOKUP(CL36,IN_Zugliste!$A$4:$F$602,7,FALSE),"")</f>
        <v/>
      </c>
      <c r="CM335" t="str">
        <f>+IFERROR(VLOOKUP(CM36,IN_Zugliste!$A$4:$F$602,7,FALSE),"")</f>
        <v/>
      </c>
      <c r="CN335" t="str">
        <f>+IFERROR(VLOOKUP(CN36,IN_Zugliste!$A$4:$F$602,7,FALSE),"")</f>
        <v/>
      </c>
      <c r="CO335" t="str">
        <f>+IFERROR(VLOOKUP(CO36,IN_Zugliste!$A$4:$F$602,7,FALSE),"")</f>
        <v/>
      </c>
      <c r="CP335" t="str">
        <f>+IFERROR(VLOOKUP(CP36,IN_Zugliste!$A$4:$F$602,7,FALSE),"")</f>
        <v/>
      </c>
      <c r="CQ335" t="str">
        <f>+IFERROR(VLOOKUP(CQ36,IN_Zugliste!$A$4:$F$602,7,FALSE),"")</f>
        <v/>
      </c>
      <c r="CR335" t="str">
        <f>+IFERROR(VLOOKUP(CR36,IN_Zugliste!$A$4:$F$602,7,FALSE),"")</f>
        <v/>
      </c>
      <c r="CS335" t="str">
        <f>+IFERROR(VLOOKUP(CS36,IN_Zugliste!$A$4:$F$602,7,FALSE),"")</f>
        <v/>
      </c>
      <c r="CT335" t="str">
        <f>+IFERROR(VLOOKUP(CT36,IN_Zugliste!$A$4:$F$602,7,FALSE),"")</f>
        <v/>
      </c>
      <c r="CU335" t="str">
        <f>+IFERROR(VLOOKUP(CU36,IN_Zugliste!$A$4:$F$602,7,FALSE),"")</f>
        <v/>
      </c>
      <c r="CV335" t="str">
        <f>+IFERROR(VLOOKUP(CV36,IN_Zugliste!$A$4:$F$602,7,FALSE),"")</f>
        <v/>
      </c>
      <c r="CW335" t="str">
        <f>+IFERROR(VLOOKUP(CW36,IN_Zugliste!$A$4:$F$602,7,FALSE),"")</f>
        <v/>
      </c>
      <c r="CX335" t="str">
        <f>+IFERROR(VLOOKUP(CX36,IN_Zugliste!$A$4:$F$602,7,FALSE),"")</f>
        <v/>
      </c>
      <c r="CY335" t="str">
        <f>+IFERROR(VLOOKUP(CY36,IN_Zugliste!$A$4:$F$602,7,FALSE),"")</f>
        <v/>
      </c>
      <c r="CZ335" t="str">
        <f>+IFERROR(VLOOKUP(CZ36,IN_Zugliste!$A$4:$F$602,7,FALSE),"")</f>
        <v/>
      </c>
      <c r="DA335" t="str">
        <f>+IFERROR(VLOOKUP(DA36,IN_Zugliste!$A$4:$F$602,7,FALSE),"")</f>
        <v/>
      </c>
      <c r="DB335" t="str">
        <f>+IFERROR(VLOOKUP(DB36,IN_Zugliste!$A$4:$F$602,7,FALSE),"")</f>
        <v/>
      </c>
      <c r="DC335" t="str">
        <f>+IFERROR(VLOOKUP(DC36,IN_Zugliste!$A$4:$F$602,7,FALSE),"")</f>
        <v/>
      </c>
      <c r="DD335" t="str">
        <f>+IFERROR(VLOOKUP(DD36,IN_Zugliste!$A$4:$F$602,7,FALSE),"")</f>
        <v/>
      </c>
      <c r="DE335" t="str">
        <f>+IFERROR(VLOOKUP(DE36,IN_Zugliste!$A$4:$F$602,7,FALSE),"")</f>
        <v/>
      </c>
      <c r="DF335" t="str">
        <f>+IFERROR(VLOOKUP(DF36,IN_Zugliste!$A$4:$F$602,7,FALSE),"")</f>
        <v/>
      </c>
      <c r="DG335" t="str">
        <f>+IFERROR(VLOOKUP(DG36,IN_Zugliste!$A$4:$F$602,7,FALSE),"")</f>
        <v/>
      </c>
      <c r="DH335" t="str">
        <f>+IFERROR(VLOOKUP(DH36,IN_Zugliste!$A$4:$F$602,7,FALSE),"")</f>
        <v/>
      </c>
      <c r="DI335" t="str">
        <f>+IFERROR(VLOOKUP(DI36,IN_Zugliste!$A$4:$F$602,7,FALSE),"")</f>
        <v/>
      </c>
      <c r="DJ335" t="str">
        <f>+IFERROR(VLOOKUP(DJ36,IN_Zugliste!$A$4:$F$602,7,FALSE),"")</f>
        <v/>
      </c>
      <c r="DK335" t="str">
        <f>+IFERROR(VLOOKUP(DK36,IN_Zugliste!$A$4:$F$602,7,FALSE),"")</f>
        <v/>
      </c>
      <c r="DL335" t="str">
        <f>+IFERROR(VLOOKUP(DL36,IN_Zugliste!$A$4:$F$602,7,FALSE),"")</f>
        <v/>
      </c>
      <c r="DM335" t="str">
        <f>+IFERROR(VLOOKUP(DM36,IN_Zugliste!$A$4:$F$602,7,FALSE),"")</f>
        <v/>
      </c>
      <c r="DN335" t="str">
        <f>+IFERROR(VLOOKUP(DN36,IN_Zugliste!$A$4:$F$602,7,FALSE),"")</f>
        <v/>
      </c>
      <c r="DO335" t="str">
        <f>+IFERROR(VLOOKUP(DO36,IN_Zugliste!$A$4:$F$602,7,FALSE),"")</f>
        <v/>
      </c>
      <c r="DP335" t="str">
        <f>+IFERROR(VLOOKUP(DP36,IN_Zugliste!$A$4:$F$602,7,FALSE),"")</f>
        <v/>
      </c>
      <c r="DQ335" t="str">
        <f>+IFERROR(VLOOKUP(DQ36,IN_Zugliste!$A$4:$F$602,7,FALSE),"")</f>
        <v/>
      </c>
      <c r="DR335" t="str">
        <f>+IFERROR(VLOOKUP(DR36,IN_Zugliste!$A$4:$F$602,7,FALSE),"")</f>
        <v/>
      </c>
      <c r="DS335" t="str">
        <f>+IFERROR(VLOOKUP(DS36,IN_Zugliste!$A$4:$F$602,7,FALSE),"")</f>
        <v/>
      </c>
      <c r="DT335" t="str">
        <f>+IFERROR(VLOOKUP(DT36,IN_Zugliste!$A$4:$F$602,7,FALSE),"")</f>
        <v/>
      </c>
      <c r="DU335" t="str">
        <f>+IFERROR(VLOOKUP(DU36,IN_Zugliste!$A$4:$F$602,7,FALSE),"")</f>
        <v/>
      </c>
      <c r="DV335" t="str">
        <f>+IFERROR(VLOOKUP(DV36,IN_Zugliste!$A$4:$F$602,7,FALSE),"")</f>
        <v/>
      </c>
      <c r="DW335" t="str">
        <f>+IFERROR(VLOOKUP(DW36,IN_Zugliste!$A$4:$F$602,7,FALSE),"")</f>
        <v/>
      </c>
      <c r="DX335" t="str">
        <f>+IFERROR(VLOOKUP(DX36,IN_Zugliste!$A$4:$F$602,7,FALSE),"")</f>
        <v/>
      </c>
      <c r="DY335" t="str">
        <f>+IFERROR(VLOOKUP(DY36,IN_Zugliste!$A$4:$F$602,7,FALSE),"")</f>
        <v/>
      </c>
      <c r="DZ335" t="str">
        <f>+IFERROR(VLOOKUP(DZ36,IN_Zugliste!$A$4:$F$602,7,FALSE),"")</f>
        <v/>
      </c>
      <c r="EA335" t="str">
        <f>+IFERROR(VLOOKUP(EA36,IN_Zugliste!$A$4:$F$602,7,FALSE),"")</f>
        <v/>
      </c>
      <c r="EB335" t="str">
        <f>+IFERROR(VLOOKUP(EB36,IN_Zugliste!$A$4:$F$602,7,FALSE),"")</f>
        <v/>
      </c>
      <c r="EC335" t="str">
        <f>+IFERROR(VLOOKUP(EC36,IN_Zugliste!$A$4:$F$602,7,FALSE),"")</f>
        <v/>
      </c>
      <c r="ED335" t="str">
        <f>+IFERROR(VLOOKUP(ED36,IN_Zugliste!$A$4:$F$602,7,FALSE),"")</f>
        <v/>
      </c>
      <c r="EE335" t="str">
        <f>+IFERROR(VLOOKUP(EE36,IN_Zugliste!$A$4:$F$602,7,FALSE),"")</f>
        <v/>
      </c>
      <c r="EF335" t="str">
        <f>+IFERROR(VLOOKUP(EF36,IN_Zugliste!$A$4:$F$602,7,FALSE),"")</f>
        <v/>
      </c>
      <c r="EG335" t="str">
        <f>+IFERROR(VLOOKUP(EG36,IN_Zugliste!$A$4:$F$602,7,FALSE),"")</f>
        <v/>
      </c>
      <c r="EH335" t="str">
        <f>+IFERROR(VLOOKUP(EH36,IN_Zugliste!$A$4:$F$602,7,FALSE),"")</f>
        <v/>
      </c>
      <c r="EI335" t="str">
        <f>+IFERROR(VLOOKUP(EI36,IN_Zugliste!$A$4:$F$602,7,FALSE),"")</f>
        <v/>
      </c>
      <c r="EJ335" t="str">
        <f>+IFERROR(VLOOKUP(EJ36,IN_Zugliste!$A$4:$F$602,7,FALSE),"")</f>
        <v/>
      </c>
      <c r="EK335" t="str">
        <f>+IFERROR(VLOOKUP(EK36,IN_Zugliste!$A$4:$F$602,7,FALSE),"")</f>
        <v/>
      </c>
      <c r="EL335" t="str">
        <f>+IFERROR(VLOOKUP(EL36,IN_Zugliste!$A$4:$F$602,7,FALSE),"")</f>
        <v/>
      </c>
      <c r="EM335" t="str">
        <f>+IFERROR(VLOOKUP(EM36,IN_Zugliste!$A$4:$F$602,7,FALSE),"")</f>
        <v/>
      </c>
      <c r="EN335" t="str">
        <f>+IFERROR(VLOOKUP(EN36,IN_Zugliste!$A$4:$F$602,7,FALSE),"")</f>
        <v/>
      </c>
      <c r="EO335" t="str">
        <f>+IFERROR(VLOOKUP(EO36,IN_Zugliste!$A$4:$F$602,7,FALSE),"")</f>
        <v/>
      </c>
      <c r="EP335" t="str">
        <f>+IFERROR(VLOOKUP(EP36,IN_Zugliste!$A$4:$F$602,7,FALSE),"")</f>
        <v/>
      </c>
      <c r="EQ335" t="str">
        <f>+IFERROR(VLOOKUP(EQ36,IN_Zugliste!$A$4:$F$602,7,FALSE),"")</f>
        <v/>
      </c>
      <c r="ER335" t="str">
        <f>+IFERROR(VLOOKUP(ER36,IN_Zugliste!$A$4:$F$602,7,FALSE),"")</f>
        <v/>
      </c>
      <c r="ES335" t="str">
        <f>+IFERROR(VLOOKUP(ES36,IN_Zugliste!$A$4:$F$602,7,FALSE),"")</f>
        <v/>
      </c>
      <c r="ET335" t="str">
        <f>+IFERROR(VLOOKUP(ET36,IN_Zugliste!$A$4:$F$602,7,FALSE),"")</f>
        <v/>
      </c>
      <c r="EU335" t="str">
        <f>+IFERROR(VLOOKUP(EU36,IN_Zugliste!$A$4:$F$602,7,FALSE),"")</f>
        <v/>
      </c>
      <c r="EV335" t="str">
        <f>+IFERROR(VLOOKUP(EV36,IN_Zugliste!$A$4:$F$602,7,FALSE),"")</f>
        <v/>
      </c>
      <c r="EW335" t="str">
        <f>+IFERROR(VLOOKUP(EW36,IN_Zugliste!$A$4:$F$602,7,FALSE),"")</f>
        <v/>
      </c>
      <c r="EX335" t="str">
        <f>+IFERROR(VLOOKUP(EX36,IN_Zugliste!$A$4:$F$602,7,FALSE),"")</f>
        <v/>
      </c>
      <c r="EY335" t="str">
        <f>+IFERROR(VLOOKUP(EY36,IN_Zugliste!$A$4:$F$602,7,FALSE),"")</f>
        <v/>
      </c>
      <c r="EZ335" t="str">
        <f>+IFERROR(VLOOKUP(EZ36,IN_Zugliste!$A$4:$F$602,7,FALSE),"")</f>
        <v/>
      </c>
      <c r="FA335" t="str">
        <f>+IFERROR(VLOOKUP(FA36,IN_Zugliste!$A$4:$F$602,7,FALSE),"")</f>
        <v/>
      </c>
      <c r="FB335" t="str">
        <f>+IFERROR(VLOOKUP(FB36,IN_Zugliste!$A$4:$F$602,7,FALSE),"")</f>
        <v/>
      </c>
      <c r="FC335" t="str">
        <f>+IFERROR(VLOOKUP(FC36,IN_Zugliste!$A$4:$F$602,7,FALSE),"")</f>
        <v/>
      </c>
      <c r="FD335" t="str">
        <f>+IFERROR(VLOOKUP(FD36,IN_Zugliste!$A$4:$F$602,7,FALSE),"")</f>
        <v/>
      </c>
      <c r="FE335" t="str">
        <f>+IFERROR(VLOOKUP(FE36,IN_Zugliste!$A$4:$F$602,7,FALSE),"")</f>
        <v/>
      </c>
      <c r="FF335" t="str">
        <f>+IFERROR(VLOOKUP(FF36,IN_Zugliste!$A$4:$F$602,7,FALSE),"")</f>
        <v/>
      </c>
      <c r="FG335" t="str">
        <f>+IFERROR(VLOOKUP(FG36,IN_Zugliste!$A$4:$F$602,7,FALSE),"")</f>
        <v/>
      </c>
      <c r="FH335" t="str">
        <f>+IFERROR(VLOOKUP(FH36,IN_Zugliste!$A$4:$F$602,7,FALSE),"")</f>
        <v/>
      </c>
      <c r="FI335" t="str">
        <f>+IFERROR(VLOOKUP(FI36,IN_Zugliste!$A$4:$F$602,7,FALSE),"")</f>
        <v/>
      </c>
      <c r="FJ335" t="str">
        <f>+IFERROR(VLOOKUP(FJ36,IN_Zugliste!$A$4:$F$602,7,FALSE),"")</f>
        <v/>
      </c>
      <c r="FK335" t="str">
        <f>+IFERROR(VLOOKUP(FK36,IN_Zugliste!$A$4:$F$602,7,FALSE),"")</f>
        <v/>
      </c>
      <c r="FL335" t="str">
        <f>+IFERROR(VLOOKUP(FL36,IN_Zugliste!$A$4:$F$602,7,FALSE),"")</f>
        <v/>
      </c>
      <c r="FM335" t="str">
        <f>+IFERROR(VLOOKUP(FM36,IN_Zugliste!$A$4:$F$602,7,FALSE),"")</f>
        <v/>
      </c>
      <c r="FN335" t="str">
        <f>+IFERROR(VLOOKUP(FN36,IN_Zugliste!$A$4:$F$602,7,FALSE),"")</f>
        <v/>
      </c>
      <c r="FO335" t="str">
        <f>+IFERROR(VLOOKUP(FO36,IN_Zugliste!$A$4:$F$602,7,FALSE),"")</f>
        <v/>
      </c>
      <c r="FP335" t="str">
        <f>+IFERROR(VLOOKUP(FP36,IN_Zugliste!$A$4:$F$602,7,FALSE),"")</f>
        <v/>
      </c>
      <c r="FQ335" t="str">
        <f>+IFERROR(VLOOKUP(FQ36,IN_Zugliste!$A$4:$F$602,7,FALSE),"")</f>
        <v/>
      </c>
      <c r="FR335" t="str">
        <f>+IFERROR(VLOOKUP(FR36,IN_Zugliste!$A$4:$F$602,7,FALSE),"")</f>
        <v/>
      </c>
      <c r="FS335" t="str">
        <f>+IFERROR(VLOOKUP(FS36,IN_Zugliste!$A$4:$F$602,7,FALSE),"")</f>
        <v/>
      </c>
      <c r="FT335" t="str">
        <f>+IFERROR(VLOOKUP(FT36,IN_Zugliste!$A$4:$F$602,7,FALSE),"")</f>
        <v/>
      </c>
      <c r="FU335" t="str">
        <f>+IFERROR(VLOOKUP(FU36,IN_Zugliste!$A$4:$F$602,7,FALSE),"")</f>
        <v/>
      </c>
      <c r="FV335" t="str">
        <f>+IFERROR(VLOOKUP(FV36,IN_Zugliste!$A$4:$F$602,7,FALSE),"")</f>
        <v/>
      </c>
      <c r="FW335" t="str">
        <f>+IFERROR(VLOOKUP(FW36,IN_Zugliste!$A$4:$F$602,7,FALSE),"")</f>
        <v/>
      </c>
      <c r="FX335" t="str">
        <f>+IFERROR(VLOOKUP(FX36,IN_Zugliste!$A$4:$F$602,7,FALSE),"")</f>
        <v/>
      </c>
      <c r="FY335" t="str">
        <f>+IFERROR(VLOOKUP(FY36,IN_Zugliste!$A$4:$F$602,7,FALSE),"")</f>
        <v/>
      </c>
      <c r="FZ335" t="str">
        <f>+IFERROR(VLOOKUP(FZ36,IN_Zugliste!$A$4:$F$602,7,FALSE),"")</f>
        <v/>
      </c>
      <c r="GA335" t="str">
        <f>+IFERROR(VLOOKUP(GA36,IN_Zugliste!$A$4:$F$602,7,FALSE),"")</f>
        <v/>
      </c>
      <c r="GB335" t="str">
        <f>+IFERROR(VLOOKUP(GB36,IN_Zugliste!$A$4:$F$602,7,FALSE),"")</f>
        <v/>
      </c>
      <c r="GC335" t="str">
        <f>+IFERROR(VLOOKUP(GC36,IN_Zugliste!$A$4:$F$602,7,FALSE),"")</f>
        <v/>
      </c>
      <c r="GD335" t="str">
        <f>+IFERROR(VLOOKUP(GD36,IN_Zugliste!$A$4:$F$602,7,FALSE),"")</f>
        <v/>
      </c>
      <c r="GE335" t="str">
        <f>+IFERROR(VLOOKUP(GE36,IN_Zugliste!$A$4:$F$602,7,FALSE),"")</f>
        <v/>
      </c>
      <c r="GF335" t="str">
        <f>+IFERROR(VLOOKUP(GF36,IN_Zugliste!$A$4:$F$602,7,FALSE),"")</f>
        <v/>
      </c>
      <c r="GG335" t="str">
        <f>+IFERROR(VLOOKUP(GG36,IN_Zugliste!$A$4:$F$602,7,FALSE),"")</f>
        <v/>
      </c>
      <c r="GH335" t="str">
        <f>+IFERROR(VLOOKUP(GH36,IN_Zugliste!$A$4:$F$602,7,FALSE),"")</f>
        <v/>
      </c>
      <c r="GI335" t="str">
        <f>+IFERROR(VLOOKUP(GI36,IN_Zugliste!$A$4:$F$602,7,FALSE),"")</f>
        <v/>
      </c>
      <c r="GJ335" t="str">
        <f>+IFERROR(VLOOKUP(GJ36,IN_Zugliste!$A$4:$F$602,7,FALSE),"")</f>
        <v/>
      </c>
      <c r="GK335" t="str">
        <f>+IFERROR(VLOOKUP(GK36,IN_Zugliste!$A$4:$F$602,7,FALSE),"")</f>
        <v/>
      </c>
      <c r="GL335" t="str">
        <f>+IFERROR(VLOOKUP(GL36,IN_Zugliste!$A$4:$F$602,7,FALSE),"")</f>
        <v/>
      </c>
      <c r="GM335" t="str">
        <f>+IFERROR(VLOOKUP(GM36,IN_Zugliste!$A$4:$F$602,7,FALSE),"")</f>
        <v/>
      </c>
      <c r="GN335" t="str">
        <f>+IFERROR(VLOOKUP(GN36,IN_Zugliste!$A$4:$F$602,7,FALSE),"")</f>
        <v/>
      </c>
      <c r="GO335" t="str">
        <f>+IFERROR(VLOOKUP(GO36,IN_Zugliste!$A$4:$F$602,7,FALSE),"")</f>
        <v/>
      </c>
      <c r="GP335" t="str">
        <f>+IFERROR(VLOOKUP(GP36,IN_Zugliste!$A$4:$F$602,7,FALSE),"")</f>
        <v/>
      </c>
      <c r="GQ335" t="str">
        <f>+IFERROR(VLOOKUP(GQ36,IN_Zugliste!$A$4:$F$602,7,FALSE),"")</f>
        <v/>
      </c>
      <c r="GR335" t="str">
        <f>+IFERROR(VLOOKUP(GR36,IN_Zugliste!$A$4:$F$602,7,FALSE),"")</f>
        <v/>
      </c>
      <c r="GS335" t="str">
        <f>+IFERROR(VLOOKUP(GS36,IN_Zugliste!$A$4:$F$602,7,FALSE),"")</f>
        <v/>
      </c>
      <c r="GT335" t="str">
        <f>+IFERROR(VLOOKUP(GT36,IN_Zugliste!$A$4:$F$602,7,FALSE),"")</f>
        <v/>
      </c>
      <c r="GU335" t="str">
        <f>+IFERROR(VLOOKUP(GU36,IN_Zugliste!$A$4:$F$602,7,FALSE),"")</f>
        <v/>
      </c>
      <c r="GV335" t="str">
        <f>+IFERROR(VLOOKUP(GV36,IN_Zugliste!$A$4:$F$602,7,FALSE),"")</f>
        <v/>
      </c>
      <c r="GW335" t="str">
        <f>+IFERROR(VLOOKUP(GW36,IN_Zugliste!$A$4:$F$602,7,FALSE),"")</f>
        <v/>
      </c>
      <c r="GX335" t="str">
        <f>+IFERROR(VLOOKUP(GX36,IN_Zugliste!$A$4:$F$602,7,FALSE),"")</f>
        <v/>
      </c>
      <c r="GY335" t="str">
        <f>+IFERROR(VLOOKUP(GY36,IN_Zugliste!$A$4:$F$602,7,FALSE),"")</f>
        <v/>
      </c>
      <c r="GZ335" t="str">
        <f>+IFERROR(VLOOKUP(GZ36,IN_Zugliste!$A$4:$F$602,7,FALSE),"")</f>
        <v/>
      </c>
      <c r="HA335" t="str">
        <f>+IFERROR(VLOOKUP(HA36,IN_Zugliste!$A$4:$F$602,7,FALSE),"")</f>
        <v/>
      </c>
      <c r="HB335" t="str">
        <f>+IFERROR(VLOOKUP(HB36,IN_Zugliste!$A$4:$F$602,7,FALSE),"")</f>
        <v/>
      </c>
      <c r="HC335" t="str">
        <f>+IFERROR(VLOOKUP(HC36,IN_Zugliste!$A$4:$F$602,7,FALSE),"")</f>
        <v/>
      </c>
      <c r="HD335" t="str">
        <f>+IFERROR(VLOOKUP(HD36,IN_Zugliste!$A$4:$F$602,7,FALSE),"")</f>
        <v/>
      </c>
      <c r="HE335" t="str">
        <f>+IFERROR(VLOOKUP(HE36,IN_Zugliste!$A$4:$F$602,7,FALSE),"")</f>
        <v/>
      </c>
      <c r="HF335" t="str">
        <f>+IFERROR(VLOOKUP(HF36,IN_Zugliste!$A$4:$F$602,7,FALSE),"")</f>
        <v/>
      </c>
      <c r="HG335" t="str">
        <f>+IFERROR(VLOOKUP(HG36,IN_Zugliste!$A$4:$F$602,7,FALSE),"")</f>
        <v/>
      </c>
      <c r="HH335" t="str">
        <f>+IFERROR(VLOOKUP(HH36,IN_Zugliste!$A$4:$F$602,7,FALSE),"")</f>
        <v/>
      </c>
    </row>
    <row r="336" spans="1:270" x14ac:dyDescent="0.2">
      <c r="A336" t="str">
        <f>+IFERROR(VLOOKUP(A37,IN_Zugliste!$A$4:$F$602,7,FALSE),"")</f>
        <v/>
      </c>
      <c r="B336" t="str">
        <f>+IFERROR(VLOOKUP(B37,IN_Zugliste!$A$4:$F$602,7,FALSE),"")</f>
        <v/>
      </c>
      <c r="C336" t="str">
        <f>+IFERROR(VLOOKUP(C37,IN_Zugliste!$A$4:$F$602,7,FALSE),"")</f>
        <v/>
      </c>
      <c r="D336" t="str">
        <f>+IFERROR(VLOOKUP(D37,IN_Zugliste!$A$4:$F$602,7,FALSE),"")</f>
        <v/>
      </c>
      <c r="E336" t="str">
        <f>+IFERROR(VLOOKUP(E37,IN_Zugliste!$A$4:$F$602,7,FALSE),"")</f>
        <v/>
      </c>
      <c r="F336" t="str">
        <f>+IFERROR(VLOOKUP(F37,IN_Zugliste!$A$4:$F$602,7,FALSE),"")</f>
        <v/>
      </c>
      <c r="G336" t="str">
        <f>+IFERROR(VLOOKUP(G37,IN_Zugliste!$A$4:$F$602,7,FALSE),"")</f>
        <v/>
      </c>
      <c r="H336" t="str">
        <f>+IFERROR(VLOOKUP(H37,IN_Zugliste!$A$4:$F$602,7,FALSE),"")</f>
        <v/>
      </c>
      <c r="I336" t="str">
        <f>+IFERROR(VLOOKUP(I37,IN_Zugliste!$A$4:$F$602,7,FALSE),"")</f>
        <v/>
      </c>
      <c r="J336" t="str">
        <f>+IFERROR(VLOOKUP(J37,IN_Zugliste!$A$4:$F$602,7,FALSE),"")</f>
        <v/>
      </c>
      <c r="K336" t="str">
        <f>+IFERROR(VLOOKUP(K37,IN_Zugliste!$A$4:$F$602,7,FALSE),"")</f>
        <v/>
      </c>
      <c r="L336" t="str">
        <f>+IFERROR(VLOOKUP(L37,IN_Zugliste!$A$4:$F$602,7,FALSE),"")</f>
        <v/>
      </c>
      <c r="M336" t="str">
        <f>+IFERROR(VLOOKUP(M37,IN_Zugliste!$A$4:$F$602,7,FALSE),"")</f>
        <v/>
      </c>
      <c r="N336" t="str">
        <f>+IFERROR(VLOOKUP(N37,IN_Zugliste!$A$4:$F$602,7,FALSE),"")</f>
        <v/>
      </c>
      <c r="O336" t="str">
        <f>+IFERROR(VLOOKUP(O37,IN_Zugliste!$A$4:$F$602,7,FALSE),"")</f>
        <v/>
      </c>
      <c r="P336" t="str">
        <f>+IFERROR(VLOOKUP(P37,IN_Zugliste!$A$4:$F$602,7,FALSE),"")</f>
        <v/>
      </c>
      <c r="Q336" t="str">
        <f>+IFERROR(VLOOKUP(Q37,IN_Zugliste!$A$4:$F$602,7,FALSE),"")</f>
        <v/>
      </c>
      <c r="R336" t="str">
        <f>+IFERROR(VLOOKUP(R37,IN_Zugliste!$A$4:$F$602,7,FALSE),"")</f>
        <v/>
      </c>
      <c r="S336" t="str">
        <f>+IFERROR(VLOOKUP(S37,IN_Zugliste!$A$4:$F$602,7,FALSE),"")</f>
        <v/>
      </c>
      <c r="T336" t="str">
        <f>+IFERROR(VLOOKUP(T37,IN_Zugliste!$A$4:$F$602,7,FALSE),"")</f>
        <v/>
      </c>
      <c r="U336" t="str">
        <f>+IFERROR(VLOOKUP(U37,IN_Zugliste!$A$4:$F$602,7,FALSE),"")</f>
        <v/>
      </c>
      <c r="V336" t="str">
        <f>+IFERROR(VLOOKUP(V37,IN_Zugliste!$A$4:$F$602,7,FALSE),"")</f>
        <v/>
      </c>
      <c r="W336" t="str">
        <f>+IFERROR(VLOOKUP(W37,IN_Zugliste!$A$4:$F$602,7,FALSE),"")</f>
        <v/>
      </c>
      <c r="X336" t="str">
        <f>+IFERROR(VLOOKUP(X37,IN_Zugliste!$A$4:$F$602,7,FALSE),"")</f>
        <v/>
      </c>
      <c r="Y336" t="str">
        <f>+IFERROR(VLOOKUP(Y37,IN_Zugliste!$A$4:$F$602,7,FALSE),"")</f>
        <v/>
      </c>
      <c r="Z336" t="str">
        <f>+IFERROR(VLOOKUP(Z37,IN_Zugliste!$A$4:$F$602,7,FALSE),"")</f>
        <v/>
      </c>
      <c r="AA336" t="str">
        <f>+IFERROR(VLOOKUP(AA37,IN_Zugliste!$A$4:$F$602,7,FALSE),"")</f>
        <v/>
      </c>
      <c r="AB336" t="str">
        <f>+IFERROR(VLOOKUP(AB37,IN_Zugliste!$A$4:$F$602,7,FALSE),"")</f>
        <v/>
      </c>
      <c r="AC336" t="str">
        <f>+IFERROR(VLOOKUP(AC37,IN_Zugliste!$A$4:$F$602,7,FALSE),"")</f>
        <v/>
      </c>
      <c r="AD336" t="str">
        <f>+IFERROR(VLOOKUP(AD37,IN_Zugliste!$A$4:$F$602,7,FALSE),"")</f>
        <v/>
      </c>
      <c r="AE336" t="str">
        <f>+IFERROR(VLOOKUP(AE37,IN_Zugliste!$A$4:$F$602,7,FALSE),"")</f>
        <v/>
      </c>
      <c r="AF336" t="str">
        <f>+IFERROR(VLOOKUP(AF37,IN_Zugliste!$A$4:$F$602,7,FALSE),"")</f>
        <v/>
      </c>
      <c r="AG336" t="str">
        <f>+IFERROR(VLOOKUP(AG37,IN_Zugliste!$A$4:$F$602,7,FALSE),"")</f>
        <v/>
      </c>
      <c r="AH336" t="str">
        <f>+IFERROR(VLOOKUP(AH37,IN_Zugliste!$A$4:$F$602,7,FALSE),"")</f>
        <v/>
      </c>
      <c r="AI336" t="str">
        <f>+IFERROR(VLOOKUP(AI37,IN_Zugliste!$A$4:$F$602,7,FALSE),"")</f>
        <v/>
      </c>
      <c r="AJ336" t="str">
        <f>+IFERROR(VLOOKUP(AJ37,IN_Zugliste!$A$4:$F$602,7,FALSE),"")</f>
        <v/>
      </c>
      <c r="AK336" t="str">
        <f>+IFERROR(VLOOKUP(AK37,IN_Zugliste!$A$4:$F$602,7,FALSE),"")</f>
        <v/>
      </c>
      <c r="AL336" t="str">
        <f>+IFERROR(VLOOKUP(AL37,IN_Zugliste!$A$4:$F$602,7,FALSE),"")</f>
        <v/>
      </c>
      <c r="AM336" t="str">
        <f>+IFERROR(VLOOKUP(AM37,IN_Zugliste!$A$4:$F$602,7,FALSE),"")</f>
        <v/>
      </c>
      <c r="AN336" t="str">
        <f>+IFERROR(VLOOKUP(AN37,IN_Zugliste!$A$4:$F$602,7,FALSE),"")</f>
        <v/>
      </c>
      <c r="AO336" t="str">
        <f>+IFERROR(VLOOKUP(AO37,IN_Zugliste!$A$4:$F$602,7,FALSE),"")</f>
        <v/>
      </c>
      <c r="AP336" t="str">
        <f>+IFERROR(VLOOKUP(AP37,IN_Zugliste!$A$4:$F$602,7,FALSE),"")</f>
        <v/>
      </c>
      <c r="AQ336" t="str">
        <f>+IFERROR(VLOOKUP(AQ37,IN_Zugliste!$A$4:$F$602,7,FALSE),"")</f>
        <v/>
      </c>
      <c r="AR336" t="str">
        <f>+IFERROR(VLOOKUP(AR37,IN_Zugliste!$A$4:$F$602,7,FALSE),"")</f>
        <v/>
      </c>
      <c r="AS336" t="str">
        <f>+IFERROR(VLOOKUP(AS37,IN_Zugliste!$A$4:$F$602,7,FALSE),"")</f>
        <v/>
      </c>
      <c r="AT336" t="str">
        <f>+IFERROR(VLOOKUP(AT37,IN_Zugliste!$A$4:$F$602,7,FALSE),"")</f>
        <v/>
      </c>
      <c r="AU336" t="str">
        <f>+IFERROR(VLOOKUP(AU37,IN_Zugliste!$A$4:$F$602,7,FALSE),"")</f>
        <v/>
      </c>
      <c r="AV336" t="str">
        <f>+IFERROR(VLOOKUP(AV37,IN_Zugliste!$A$4:$F$602,7,FALSE),"")</f>
        <v/>
      </c>
      <c r="AW336" t="str">
        <f>+IFERROR(VLOOKUP(AW37,IN_Zugliste!$A$4:$F$602,7,FALSE),"")</f>
        <v/>
      </c>
      <c r="AX336" t="str">
        <f>+IFERROR(VLOOKUP(AX37,IN_Zugliste!$A$4:$F$602,7,FALSE),"")</f>
        <v/>
      </c>
      <c r="AY336" t="str">
        <f>+IFERROR(VLOOKUP(AY37,IN_Zugliste!$A$4:$F$602,7,FALSE),"")</f>
        <v/>
      </c>
      <c r="AZ336" t="str">
        <f>+IFERROR(VLOOKUP(AZ37,IN_Zugliste!$A$4:$F$602,7,FALSE),"")</f>
        <v/>
      </c>
      <c r="BA336" t="str">
        <f>+IFERROR(VLOOKUP(BA37,IN_Zugliste!$A$4:$F$602,7,FALSE),"")</f>
        <v/>
      </c>
      <c r="BB336" t="str">
        <f>+IFERROR(VLOOKUP(BB37,IN_Zugliste!$A$4:$F$602,7,FALSE),"")</f>
        <v/>
      </c>
      <c r="BC336" t="str">
        <f>+IFERROR(VLOOKUP(BC37,IN_Zugliste!$A$4:$F$602,7,FALSE),"")</f>
        <v/>
      </c>
      <c r="BD336" t="str">
        <f>+IFERROR(VLOOKUP(BD37,IN_Zugliste!$A$4:$F$602,7,FALSE),"")</f>
        <v/>
      </c>
      <c r="BE336" t="str">
        <f>+IFERROR(VLOOKUP(BE37,IN_Zugliste!$A$4:$F$602,7,FALSE),"")</f>
        <v/>
      </c>
      <c r="BF336" t="str">
        <f>+IFERROR(VLOOKUP(BF37,IN_Zugliste!$A$4:$F$602,7,FALSE),"")</f>
        <v/>
      </c>
      <c r="BG336" t="str">
        <f>+IFERROR(VLOOKUP(BG37,IN_Zugliste!$A$4:$F$602,7,FALSE),"")</f>
        <v/>
      </c>
      <c r="BH336" t="str">
        <f>+IFERROR(VLOOKUP(BH37,IN_Zugliste!$A$4:$F$602,7,FALSE),"")</f>
        <v/>
      </c>
      <c r="BI336" t="str">
        <f>+IFERROR(VLOOKUP(BI37,IN_Zugliste!$A$4:$F$602,7,FALSE),"")</f>
        <v/>
      </c>
      <c r="BJ336" t="str">
        <f>+IFERROR(VLOOKUP(BJ37,IN_Zugliste!$A$4:$F$602,7,FALSE),"")</f>
        <v/>
      </c>
      <c r="BK336" t="str">
        <f>+IFERROR(VLOOKUP(BK37,IN_Zugliste!$A$4:$F$602,7,FALSE),"")</f>
        <v/>
      </c>
      <c r="BL336" t="str">
        <f>+IFERROR(VLOOKUP(BL37,IN_Zugliste!$A$4:$F$602,7,FALSE),"")</f>
        <v/>
      </c>
      <c r="BM336" t="str">
        <f>+IFERROR(VLOOKUP(BM37,IN_Zugliste!$A$4:$F$602,7,FALSE),"")</f>
        <v/>
      </c>
      <c r="BN336" t="str">
        <f>+IFERROR(VLOOKUP(BN37,IN_Zugliste!$A$4:$F$602,7,FALSE),"")</f>
        <v/>
      </c>
      <c r="BO336" t="str">
        <f>+IFERROR(VLOOKUP(BO37,IN_Zugliste!$A$4:$F$602,7,FALSE),"")</f>
        <v/>
      </c>
      <c r="BP336" t="str">
        <f>+IFERROR(VLOOKUP(BP37,IN_Zugliste!$A$4:$F$602,7,FALSE),"")</f>
        <v/>
      </c>
      <c r="BQ336" t="str">
        <f>+IFERROR(VLOOKUP(BQ37,IN_Zugliste!$A$4:$F$602,7,FALSE),"")</f>
        <v/>
      </c>
      <c r="BR336" t="str">
        <f>+IFERROR(VLOOKUP(BR37,IN_Zugliste!$A$4:$F$602,7,FALSE),"")</f>
        <v/>
      </c>
      <c r="BS336" t="str">
        <f>+IFERROR(VLOOKUP(BS37,IN_Zugliste!$A$4:$F$602,7,FALSE),"")</f>
        <v/>
      </c>
      <c r="BT336" t="str">
        <f>+IFERROR(VLOOKUP(BT37,IN_Zugliste!$A$4:$F$602,7,FALSE),"")</f>
        <v/>
      </c>
      <c r="BU336" t="str">
        <f>+IFERROR(VLOOKUP(BU37,IN_Zugliste!$A$4:$F$602,7,FALSE),"")</f>
        <v/>
      </c>
      <c r="BV336" t="str">
        <f>+IFERROR(VLOOKUP(BV37,IN_Zugliste!$A$4:$F$602,7,FALSE),"")</f>
        <v/>
      </c>
      <c r="BW336" t="str">
        <f>+IFERROR(VLOOKUP(BW37,IN_Zugliste!$A$4:$F$602,7,FALSE),"")</f>
        <v/>
      </c>
      <c r="BX336" t="str">
        <f>+IFERROR(VLOOKUP(BX37,IN_Zugliste!$A$4:$F$602,7,FALSE),"")</f>
        <v/>
      </c>
      <c r="BY336" t="str">
        <f>+IFERROR(VLOOKUP(BY37,IN_Zugliste!$A$4:$F$602,7,FALSE),"")</f>
        <v/>
      </c>
      <c r="BZ336" t="str">
        <f>+IFERROR(VLOOKUP(BZ37,IN_Zugliste!$A$4:$F$602,7,FALSE),"")</f>
        <v/>
      </c>
      <c r="CA336" t="str">
        <f>+IFERROR(VLOOKUP(CA37,IN_Zugliste!$A$4:$F$602,7,FALSE),"")</f>
        <v/>
      </c>
      <c r="CB336" t="str">
        <f>+IFERROR(VLOOKUP(CB37,IN_Zugliste!$A$4:$F$602,7,FALSE),"")</f>
        <v/>
      </c>
      <c r="CC336" t="str">
        <f>+IFERROR(VLOOKUP(CC37,IN_Zugliste!$A$4:$F$602,7,FALSE),"")</f>
        <v/>
      </c>
      <c r="CD336" t="str">
        <f>+IFERROR(VLOOKUP(CD37,IN_Zugliste!$A$4:$F$602,7,FALSE),"")</f>
        <v/>
      </c>
      <c r="CE336" t="str">
        <f>+IFERROR(VLOOKUP(CE37,IN_Zugliste!$A$4:$F$602,7,FALSE),"")</f>
        <v/>
      </c>
      <c r="CF336" t="str">
        <f>+IFERROR(VLOOKUP(CF37,IN_Zugliste!$A$4:$F$602,7,FALSE),"")</f>
        <v/>
      </c>
      <c r="CG336" t="str">
        <f>+IFERROR(VLOOKUP(CG37,IN_Zugliste!$A$4:$F$602,7,FALSE),"")</f>
        <v/>
      </c>
      <c r="CH336" t="str">
        <f>+IFERROR(VLOOKUP(CH37,IN_Zugliste!$A$4:$F$602,7,FALSE),"")</f>
        <v/>
      </c>
      <c r="CI336" t="str">
        <f>+IFERROR(VLOOKUP(CI37,IN_Zugliste!$A$4:$F$602,7,FALSE),"")</f>
        <v/>
      </c>
      <c r="CJ336" t="str">
        <f>+IFERROR(VLOOKUP(CJ37,IN_Zugliste!$A$4:$F$602,7,FALSE),"")</f>
        <v/>
      </c>
      <c r="CK336" t="str">
        <f>+IFERROR(VLOOKUP(CK37,IN_Zugliste!$A$4:$F$602,7,FALSE),"")</f>
        <v/>
      </c>
      <c r="CL336" t="str">
        <f>+IFERROR(VLOOKUP(CL37,IN_Zugliste!$A$4:$F$602,7,FALSE),"")</f>
        <v/>
      </c>
      <c r="CM336" t="str">
        <f>+IFERROR(VLOOKUP(CM37,IN_Zugliste!$A$4:$F$602,7,FALSE),"")</f>
        <v/>
      </c>
      <c r="CN336" t="str">
        <f>+IFERROR(VLOOKUP(CN37,IN_Zugliste!$A$4:$F$602,7,FALSE),"")</f>
        <v/>
      </c>
      <c r="CO336" t="str">
        <f>+IFERROR(VLOOKUP(CO37,IN_Zugliste!$A$4:$F$602,7,FALSE),"")</f>
        <v/>
      </c>
      <c r="CP336" t="str">
        <f>+IFERROR(VLOOKUP(CP37,IN_Zugliste!$A$4:$F$602,7,FALSE),"")</f>
        <v/>
      </c>
      <c r="CQ336" t="str">
        <f>+IFERROR(VLOOKUP(CQ37,IN_Zugliste!$A$4:$F$602,7,FALSE),"")</f>
        <v/>
      </c>
      <c r="CR336" t="str">
        <f>+IFERROR(VLOOKUP(CR37,IN_Zugliste!$A$4:$F$602,7,FALSE),"")</f>
        <v/>
      </c>
      <c r="CS336" t="str">
        <f>+IFERROR(VLOOKUP(CS37,IN_Zugliste!$A$4:$F$602,7,FALSE),"")</f>
        <v/>
      </c>
      <c r="CT336" t="str">
        <f>+IFERROR(VLOOKUP(CT37,IN_Zugliste!$A$4:$F$602,7,FALSE),"")</f>
        <v/>
      </c>
      <c r="CU336" t="str">
        <f>+IFERROR(VLOOKUP(CU37,IN_Zugliste!$A$4:$F$602,7,FALSE),"")</f>
        <v/>
      </c>
      <c r="CV336" t="str">
        <f>+IFERROR(VLOOKUP(CV37,IN_Zugliste!$A$4:$F$602,7,FALSE),"")</f>
        <v/>
      </c>
      <c r="CW336" t="str">
        <f>+IFERROR(VLOOKUP(CW37,IN_Zugliste!$A$4:$F$602,7,FALSE),"")</f>
        <v/>
      </c>
      <c r="CX336" t="str">
        <f>+IFERROR(VLOOKUP(CX37,IN_Zugliste!$A$4:$F$602,7,FALSE),"")</f>
        <v/>
      </c>
      <c r="CY336" t="str">
        <f>+IFERROR(VLOOKUP(CY37,IN_Zugliste!$A$4:$F$602,7,FALSE),"")</f>
        <v/>
      </c>
      <c r="CZ336" t="str">
        <f>+IFERROR(VLOOKUP(CZ37,IN_Zugliste!$A$4:$F$602,7,FALSE),"")</f>
        <v/>
      </c>
      <c r="DA336" t="str">
        <f>+IFERROR(VLOOKUP(DA37,IN_Zugliste!$A$4:$F$602,7,FALSE),"")</f>
        <v/>
      </c>
      <c r="DB336" t="str">
        <f>+IFERROR(VLOOKUP(DB37,IN_Zugliste!$A$4:$F$602,7,FALSE),"")</f>
        <v/>
      </c>
      <c r="DC336" t="str">
        <f>+IFERROR(VLOOKUP(DC37,IN_Zugliste!$A$4:$F$602,7,FALSE),"")</f>
        <v/>
      </c>
      <c r="DD336" t="str">
        <f>+IFERROR(VLOOKUP(DD37,IN_Zugliste!$A$4:$F$602,7,FALSE),"")</f>
        <v/>
      </c>
      <c r="DE336" t="str">
        <f>+IFERROR(VLOOKUP(DE37,IN_Zugliste!$A$4:$F$602,7,FALSE),"")</f>
        <v/>
      </c>
      <c r="DF336" t="str">
        <f>+IFERROR(VLOOKUP(DF37,IN_Zugliste!$A$4:$F$602,7,FALSE),"")</f>
        <v/>
      </c>
      <c r="DG336" t="str">
        <f>+IFERROR(VLOOKUP(DG37,IN_Zugliste!$A$4:$F$602,7,FALSE),"")</f>
        <v/>
      </c>
      <c r="DH336" t="str">
        <f>+IFERROR(VLOOKUP(DH37,IN_Zugliste!$A$4:$F$602,7,FALSE),"")</f>
        <v/>
      </c>
      <c r="DI336" t="str">
        <f>+IFERROR(VLOOKUP(DI37,IN_Zugliste!$A$4:$F$602,7,FALSE),"")</f>
        <v/>
      </c>
      <c r="DJ336" t="str">
        <f>+IFERROR(VLOOKUP(DJ37,IN_Zugliste!$A$4:$F$602,7,FALSE),"")</f>
        <v/>
      </c>
      <c r="DK336" t="str">
        <f>+IFERROR(VLOOKUP(DK37,IN_Zugliste!$A$4:$F$602,7,FALSE),"")</f>
        <v/>
      </c>
      <c r="DL336" t="str">
        <f>+IFERROR(VLOOKUP(DL37,IN_Zugliste!$A$4:$F$602,7,FALSE),"")</f>
        <v/>
      </c>
      <c r="DM336" t="str">
        <f>+IFERROR(VLOOKUP(DM37,IN_Zugliste!$A$4:$F$602,7,FALSE),"")</f>
        <v/>
      </c>
      <c r="DN336" t="str">
        <f>+IFERROR(VLOOKUP(DN37,IN_Zugliste!$A$4:$F$602,7,FALSE),"")</f>
        <v/>
      </c>
      <c r="DO336" t="str">
        <f>+IFERROR(VLOOKUP(DO37,IN_Zugliste!$A$4:$F$602,7,FALSE),"")</f>
        <v/>
      </c>
      <c r="DP336" t="str">
        <f>+IFERROR(VLOOKUP(DP37,IN_Zugliste!$A$4:$F$602,7,FALSE),"")</f>
        <v/>
      </c>
      <c r="DQ336" t="str">
        <f>+IFERROR(VLOOKUP(DQ37,IN_Zugliste!$A$4:$F$602,7,FALSE),"")</f>
        <v/>
      </c>
      <c r="DR336" t="str">
        <f>+IFERROR(VLOOKUP(DR37,IN_Zugliste!$A$4:$F$602,7,FALSE),"")</f>
        <v/>
      </c>
      <c r="DS336" t="str">
        <f>+IFERROR(VLOOKUP(DS37,IN_Zugliste!$A$4:$F$602,7,FALSE),"")</f>
        <v/>
      </c>
      <c r="DT336" t="str">
        <f>+IFERROR(VLOOKUP(DT37,IN_Zugliste!$A$4:$F$602,7,FALSE),"")</f>
        <v/>
      </c>
      <c r="DU336" t="str">
        <f>+IFERROR(VLOOKUP(DU37,IN_Zugliste!$A$4:$F$602,7,FALSE),"")</f>
        <v/>
      </c>
      <c r="DV336" t="str">
        <f>+IFERROR(VLOOKUP(DV37,IN_Zugliste!$A$4:$F$602,7,FALSE),"")</f>
        <v/>
      </c>
      <c r="DW336" t="str">
        <f>+IFERROR(VLOOKUP(DW37,IN_Zugliste!$A$4:$F$602,7,FALSE),"")</f>
        <v/>
      </c>
      <c r="DX336" t="str">
        <f>+IFERROR(VLOOKUP(DX37,IN_Zugliste!$A$4:$F$602,7,FALSE),"")</f>
        <v/>
      </c>
      <c r="DY336" t="str">
        <f>+IFERROR(VLOOKUP(DY37,IN_Zugliste!$A$4:$F$602,7,FALSE),"")</f>
        <v/>
      </c>
      <c r="DZ336" t="str">
        <f>+IFERROR(VLOOKUP(DZ37,IN_Zugliste!$A$4:$F$602,7,FALSE),"")</f>
        <v/>
      </c>
      <c r="EA336" t="str">
        <f>+IFERROR(VLOOKUP(EA37,IN_Zugliste!$A$4:$F$602,7,FALSE),"")</f>
        <v/>
      </c>
      <c r="EB336" t="str">
        <f>+IFERROR(VLOOKUP(EB37,IN_Zugliste!$A$4:$F$602,7,FALSE),"")</f>
        <v/>
      </c>
      <c r="EC336" t="str">
        <f>+IFERROR(VLOOKUP(EC37,IN_Zugliste!$A$4:$F$602,7,FALSE),"")</f>
        <v/>
      </c>
      <c r="ED336" t="str">
        <f>+IFERROR(VLOOKUP(ED37,IN_Zugliste!$A$4:$F$602,7,FALSE),"")</f>
        <v/>
      </c>
      <c r="EE336" t="str">
        <f>+IFERROR(VLOOKUP(EE37,IN_Zugliste!$A$4:$F$602,7,FALSE),"")</f>
        <v/>
      </c>
      <c r="EF336" t="str">
        <f>+IFERROR(VLOOKUP(EF37,IN_Zugliste!$A$4:$F$602,7,FALSE),"")</f>
        <v/>
      </c>
      <c r="EG336" t="str">
        <f>+IFERROR(VLOOKUP(EG37,IN_Zugliste!$A$4:$F$602,7,FALSE),"")</f>
        <v/>
      </c>
      <c r="EH336" t="str">
        <f>+IFERROR(VLOOKUP(EH37,IN_Zugliste!$A$4:$F$602,7,FALSE),"")</f>
        <v/>
      </c>
      <c r="EI336" t="str">
        <f>+IFERROR(VLOOKUP(EI37,IN_Zugliste!$A$4:$F$602,7,FALSE),"")</f>
        <v/>
      </c>
      <c r="EJ336" t="str">
        <f>+IFERROR(VLOOKUP(EJ37,IN_Zugliste!$A$4:$F$602,7,FALSE),"")</f>
        <v/>
      </c>
      <c r="EK336" t="str">
        <f>+IFERROR(VLOOKUP(EK37,IN_Zugliste!$A$4:$F$602,7,FALSE),"")</f>
        <v/>
      </c>
      <c r="EL336" t="str">
        <f>+IFERROR(VLOOKUP(EL37,IN_Zugliste!$A$4:$F$602,7,FALSE),"")</f>
        <v/>
      </c>
      <c r="EM336" t="str">
        <f>+IFERROR(VLOOKUP(EM37,IN_Zugliste!$A$4:$F$602,7,FALSE),"")</f>
        <v/>
      </c>
      <c r="EN336" t="str">
        <f>+IFERROR(VLOOKUP(EN37,IN_Zugliste!$A$4:$F$602,7,FALSE),"")</f>
        <v/>
      </c>
      <c r="EO336" t="str">
        <f>+IFERROR(VLOOKUP(EO37,IN_Zugliste!$A$4:$F$602,7,FALSE),"")</f>
        <v/>
      </c>
      <c r="EP336" t="str">
        <f>+IFERROR(VLOOKUP(EP37,IN_Zugliste!$A$4:$F$602,7,FALSE),"")</f>
        <v/>
      </c>
      <c r="EQ336" t="str">
        <f>+IFERROR(VLOOKUP(EQ37,IN_Zugliste!$A$4:$F$602,7,FALSE),"")</f>
        <v/>
      </c>
      <c r="ER336" t="str">
        <f>+IFERROR(VLOOKUP(ER37,IN_Zugliste!$A$4:$F$602,7,FALSE),"")</f>
        <v/>
      </c>
      <c r="ES336" t="str">
        <f>+IFERROR(VLOOKUP(ES37,IN_Zugliste!$A$4:$F$602,7,FALSE),"")</f>
        <v/>
      </c>
      <c r="ET336" t="str">
        <f>+IFERROR(VLOOKUP(ET37,IN_Zugliste!$A$4:$F$602,7,FALSE),"")</f>
        <v/>
      </c>
      <c r="EU336" t="str">
        <f>+IFERROR(VLOOKUP(EU37,IN_Zugliste!$A$4:$F$602,7,FALSE),"")</f>
        <v/>
      </c>
      <c r="EV336" t="str">
        <f>+IFERROR(VLOOKUP(EV37,IN_Zugliste!$A$4:$F$602,7,FALSE),"")</f>
        <v/>
      </c>
      <c r="EW336" t="str">
        <f>+IFERROR(VLOOKUP(EW37,IN_Zugliste!$A$4:$F$602,7,FALSE),"")</f>
        <v/>
      </c>
      <c r="EX336" t="str">
        <f>+IFERROR(VLOOKUP(EX37,IN_Zugliste!$A$4:$F$602,7,FALSE),"")</f>
        <v/>
      </c>
      <c r="EY336" t="str">
        <f>+IFERROR(VLOOKUP(EY37,IN_Zugliste!$A$4:$F$602,7,FALSE),"")</f>
        <v/>
      </c>
      <c r="EZ336" t="str">
        <f>+IFERROR(VLOOKUP(EZ37,IN_Zugliste!$A$4:$F$602,7,FALSE),"")</f>
        <v/>
      </c>
      <c r="FA336" t="str">
        <f>+IFERROR(VLOOKUP(FA37,IN_Zugliste!$A$4:$F$602,7,FALSE),"")</f>
        <v/>
      </c>
      <c r="FB336" t="str">
        <f>+IFERROR(VLOOKUP(FB37,IN_Zugliste!$A$4:$F$602,7,FALSE),"")</f>
        <v/>
      </c>
      <c r="FC336" t="str">
        <f>+IFERROR(VLOOKUP(FC37,IN_Zugliste!$A$4:$F$602,7,FALSE),"")</f>
        <v/>
      </c>
      <c r="FD336" t="str">
        <f>+IFERROR(VLOOKUP(FD37,IN_Zugliste!$A$4:$F$602,7,FALSE),"")</f>
        <v/>
      </c>
      <c r="FE336" t="str">
        <f>+IFERROR(VLOOKUP(FE37,IN_Zugliste!$A$4:$F$602,7,FALSE),"")</f>
        <v/>
      </c>
      <c r="FF336" t="str">
        <f>+IFERROR(VLOOKUP(FF37,IN_Zugliste!$A$4:$F$602,7,FALSE),"")</f>
        <v/>
      </c>
      <c r="FG336" t="str">
        <f>+IFERROR(VLOOKUP(FG37,IN_Zugliste!$A$4:$F$602,7,FALSE),"")</f>
        <v/>
      </c>
      <c r="FH336" t="str">
        <f>+IFERROR(VLOOKUP(FH37,IN_Zugliste!$A$4:$F$602,7,FALSE),"")</f>
        <v/>
      </c>
      <c r="FI336" t="str">
        <f>+IFERROR(VLOOKUP(FI37,IN_Zugliste!$A$4:$F$602,7,FALSE),"")</f>
        <v/>
      </c>
      <c r="FJ336" t="str">
        <f>+IFERROR(VLOOKUP(FJ37,IN_Zugliste!$A$4:$F$602,7,FALSE),"")</f>
        <v/>
      </c>
      <c r="FK336" t="str">
        <f>+IFERROR(VLOOKUP(FK37,IN_Zugliste!$A$4:$F$602,7,FALSE),"")</f>
        <v/>
      </c>
      <c r="FL336" t="str">
        <f>+IFERROR(VLOOKUP(FL37,IN_Zugliste!$A$4:$F$602,7,FALSE),"")</f>
        <v/>
      </c>
      <c r="FM336" t="str">
        <f>+IFERROR(VLOOKUP(FM37,IN_Zugliste!$A$4:$F$602,7,FALSE),"")</f>
        <v/>
      </c>
      <c r="FN336" t="str">
        <f>+IFERROR(VLOOKUP(FN37,IN_Zugliste!$A$4:$F$602,7,FALSE),"")</f>
        <v/>
      </c>
      <c r="FO336" t="str">
        <f>+IFERROR(VLOOKUP(FO37,IN_Zugliste!$A$4:$F$602,7,FALSE),"")</f>
        <v/>
      </c>
      <c r="FP336" t="str">
        <f>+IFERROR(VLOOKUP(FP37,IN_Zugliste!$A$4:$F$602,7,FALSE),"")</f>
        <v/>
      </c>
      <c r="FQ336" t="str">
        <f>+IFERROR(VLOOKUP(FQ37,IN_Zugliste!$A$4:$F$602,7,FALSE),"")</f>
        <v/>
      </c>
      <c r="FR336" t="str">
        <f>+IFERROR(VLOOKUP(FR37,IN_Zugliste!$A$4:$F$602,7,FALSE),"")</f>
        <v/>
      </c>
      <c r="FS336" t="str">
        <f>+IFERROR(VLOOKUP(FS37,IN_Zugliste!$A$4:$F$602,7,FALSE),"")</f>
        <v/>
      </c>
      <c r="FT336" t="str">
        <f>+IFERROR(VLOOKUP(FT37,IN_Zugliste!$A$4:$F$602,7,FALSE),"")</f>
        <v/>
      </c>
      <c r="FU336" t="str">
        <f>+IFERROR(VLOOKUP(FU37,IN_Zugliste!$A$4:$F$602,7,FALSE),"")</f>
        <v/>
      </c>
      <c r="FV336" t="str">
        <f>+IFERROR(VLOOKUP(FV37,IN_Zugliste!$A$4:$F$602,7,FALSE),"")</f>
        <v/>
      </c>
      <c r="FW336" t="str">
        <f>+IFERROR(VLOOKUP(FW37,IN_Zugliste!$A$4:$F$602,7,FALSE),"")</f>
        <v/>
      </c>
      <c r="FX336" t="str">
        <f>+IFERROR(VLOOKUP(FX37,IN_Zugliste!$A$4:$F$602,7,FALSE),"")</f>
        <v/>
      </c>
      <c r="FY336" t="str">
        <f>+IFERROR(VLOOKUP(FY37,IN_Zugliste!$A$4:$F$602,7,FALSE),"")</f>
        <v/>
      </c>
      <c r="FZ336" t="str">
        <f>+IFERROR(VLOOKUP(FZ37,IN_Zugliste!$A$4:$F$602,7,FALSE),"")</f>
        <v/>
      </c>
      <c r="GA336" t="str">
        <f>+IFERROR(VLOOKUP(GA37,IN_Zugliste!$A$4:$F$602,7,FALSE),"")</f>
        <v/>
      </c>
      <c r="GB336" t="str">
        <f>+IFERROR(VLOOKUP(GB37,IN_Zugliste!$A$4:$F$602,7,FALSE),"")</f>
        <v/>
      </c>
      <c r="GC336" t="str">
        <f>+IFERROR(VLOOKUP(GC37,IN_Zugliste!$A$4:$F$602,7,FALSE),"")</f>
        <v/>
      </c>
      <c r="GD336" t="str">
        <f>+IFERROR(VLOOKUP(GD37,IN_Zugliste!$A$4:$F$602,7,FALSE),"")</f>
        <v/>
      </c>
      <c r="GE336" t="str">
        <f>+IFERROR(VLOOKUP(GE37,IN_Zugliste!$A$4:$F$602,7,FALSE),"")</f>
        <v/>
      </c>
      <c r="GF336" t="str">
        <f>+IFERROR(VLOOKUP(GF37,IN_Zugliste!$A$4:$F$602,7,FALSE),"")</f>
        <v/>
      </c>
      <c r="GG336" t="str">
        <f>+IFERROR(VLOOKUP(GG37,IN_Zugliste!$A$4:$F$602,7,FALSE),"")</f>
        <v/>
      </c>
      <c r="GH336" t="str">
        <f>+IFERROR(VLOOKUP(GH37,IN_Zugliste!$A$4:$F$602,7,FALSE),"")</f>
        <v/>
      </c>
      <c r="GI336" t="str">
        <f>+IFERROR(VLOOKUP(GI37,IN_Zugliste!$A$4:$F$602,7,FALSE),"")</f>
        <v/>
      </c>
      <c r="GJ336" t="str">
        <f>+IFERROR(VLOOKUP(GJ37,IN_Zugliste!$A$4:$F$602,7,FALSE),"")</f>
        <v/>
      </c>
      <c r="GK336" t="str">
        <f>+IFERROR(VLOOKUP(GK37,IN_Zugliste!$A$4:$F$602,7,FALSE),"")</f>
        <v/>
      </c>
      <c r="GL336" t="str">
        <f>+IFERROR(VLOOKUP(GL37,IN_Zugliste!$A$4:$F$602,7,FALSE),"")</f>
        <v/>
      </c>
      <c r="GM336" t="str">
        <f>+IFERROR(VLOOKUP(GM37,IN_Zugliste!$A$4:$F$602,7,FALSE),"")</f>
        <v/>
      </c>
      <c r="GN336" t="str">
        <f>+IFERROR(VLOOKUP(GN37,IN_Zugliste!$A$4:$F$602,7,FALSE),"")</f>
        <v/>
      </c>
      <c r="GO336" t="str">
        <f>+IFERROR(VLOOKUP(GO37,IN_Zugliste!$A$4:$F$602,7,FALSE),"")</f>
        <v/>
      </c>
      <c r="GP336" t="str">
        <f>+IFERROR(VLOOKUP(GP37,IN_Zugliste!$A$4:$F$602,7,FALSE),"")</f>
        <v/>
      </c>
      <c r="GQ336" t="str">
        <f>+IFERROR(VLOOKUP(GQ37,IN_Zugliste!$A$4:$F$602,7,FALSE),"")</f>
        <v/>
      </c>
      <c r="GR336" t="str">
        <f>+IFERROR(VLOOKUP(GR37,IN_Zugliste!$A$4:$F$602,7,FALSE),"")</f>
        <v/>
      </c>
      <c r="GS336" t="str">
        <f>+IFERROR(VLOOKUP(GS37,IN_Zugliste!$A$4:$F$602,7,FALSE),"")</f>
        <v/>
      </c>
      <c r="GT336" t="str">
        <f>+IFERROR(VLOOKUP(GT37,IN_Zugliste!$A$4:$F$602,7,FALSE),"")</f>
        <v/>
      </c>
      <c r="GU336" t="str">
        <f>+IFERROR(VLOOKUP(GU37,IN_Zugliste!$A$4:$F$602,7,FALSE),"")</f>
        <v/>
      </c>
      <c r="GV336" t="str">
        <f>+IFERROR(VLOOKUP(GV37,IN_Zugliste!$A$4:$F$602,7,FALSE),"")</f>
        <v/>
      </c>
      <c r="GW336" t="str">
        <f>+IFERROR(VLOOKUP(GW37,IN_Zugliste!$A$4:$F$602,7,FALSE),"")</f>
        <v/>
      </c>
      <c r="GX336" t="str">
        <f>+IFERROR(VLOOKUP(GX37,IN_Zugliste!$A$4:$F$602,7,FALSE),"")</f>
        <v/>
      </c>
      <c r="GY336" t="str">
        <f>+IFERROR(VLOOKUP(GY37,IN_Zugliste!$A$4:$F$602,7,FALSE),"")</f>
        <v/>
      </c>
      <c r="GZ336" t="str">
        <f>+IFERROR(VLOOKUP(GZ37,IN_Zugliste!$A$4:$F$602,7,FALSE),"")</f>
        <v/>
      </c>
      <c r="HA336" t="str">
        <f>+IFERROR(VLOOKUP(HA37,IN_Zugliste!$A$4:$F$602,7,FALSE),"")</f>
        <v/>
      </c>
      <c r="HB336" t="str">
        <f>+IFERROR(VLOOKUP(HB37,IN_Zugliste!$A$4:$F$602,7,FALSE),"")</f>
        <v/>
      </c>
      <c r="HC336" t="str">
        <f>+IFERROR(VLOOKUP(HC37,IN_Zugliste!$A$4:$F$602,7,FALSE),"")</f>
        <v/>
      </c>
      <c r="HD336" t="str">
        <f>+IFERROR(VLOOKUP(HD37,IN_Zugliste!$A$4:$F$602,7,FALSE),"")</f>
        <v/>
      </c>
      <c r="HE336" t="str">
        <f>+IFERROR(VLOOKUP(HE37,IN_Zugliste!$A$4:$F$602,7,FALSE),"")</f>
        <v/>
      </c>
      <c r="HF336" t="str">
        <f>+IFERROR(VLOOKUP(HF37,IN_Zugliste!$A$4:$F$602,7,FALSE),"")</f>
        <v/>
      </c>
      <c r="HG336" t="str">
        <f>+IFERROR(VLOOKUP(HG37,IN_Zugliste!$A$4:$F$602,7,FALSE),"")</f>
        <v/>
      </c>
      <c r="HH336" t="str">
        <f>+IFERROR(VLOOKUP(HH37,IN_Zugliste!$A$4:$F$602,7,FALSE),"")</f>
        <v/>
      </c>
    </row>
    <row r="337" spans="1:216" x14ac:dyDescent="0.2">
      <c r="A337" t="str">
        <f>+IFERROR(VLOOKUP(A38,IN_Zugliste!$A$4:$F$602,7,FALSE),"")</f>
        <v/>
      </c>
      <c r="B337" t="str">
        <f>+IFERROR(VLOOKUP(B38,IN_Zugliste!$A$4:$F$602,7,FALSE),"")</f>
        <v/>
      </c>
      <c r="C337" t="str">
        <f>+IFERROR(VLOOKUP(C38,IN_Zugliste!$A$4:$F$602,7,FALSE),"")</f>
        <v/>
      </c>
      <c r="D337" t="str">
        <f>+IFERROR(VLOOKUP(D38,IN_Zugliste!$A$4:$F$602,7,FALSE),"")</f>
        <v/>
      </c>
      <c r="E337" t="str">
        <f>+IFERROR(VLOOKUP(E38,IN_Zugliste!$A$4:$F$602,7,FALSE),"")</f>
        <v/>
      </c>
      <c r="F337" t="str">
        <f>+IFERROR(VLOOKUP(F38,IN_Zugliste!$A$4:$F$602,7,FALSE),"")</f>
        <v/>
      </c>
      <c r="G337" t="str">
        <f>+IFERROR(VLOOKUP(G38,IN_Zugliste!$A$4:$F$602,7,FALSE),"")</f>
        <v/>
      </c>
      <c r="H337" t="str">
        <f>+IFERROR(VLOOKUP(H38,IN_Zugliste!$A$4:$F$602,7,FALSE),"")</f>
        <v/>
      </c>
      <c r="I337" t="str">
        <f>+IFERROR(VLOOKUP(I38,IN_Zugliste!$A$4:$F$602,7,FALSE),"")</f>
        <v/>
      </c>
      <c r="J337" t="str">
        <f>+IFERROR(VLOOKUP(J38,IN_Zugliste!$A$4:$F$602,7,FALSE),"")</f>
        <v/>
      </c>
      <c r="K337" t="str">
        <f>+IFERROR(VLOOKUP(K38,IN_Zugliste!$A$4:$F$602,7,FALSE),"")</f>
        <v/>
      </c>
      <c r="L337" t="str">
        <f>+IFERROR(VLOOKUP(L38,IN_Zugliste!$A$4:$F$602,7,FALSE),"")</f>
        <v/>
      </c>
      <c r="M337" t="str">
        <f>+IFERROR(VLOOKUP(M38,IN_Zugliste!$A$4:$F$602,7,FALSE),"")</f>
        <v/>
      </c>
      <c r="N337" t="str">
        <f>+IFERROR(VLOOKUP(N38,IN_Zugliste!$A$4:$F$602,7,FALSE),"")</f>
        <v/>
      </c>
      <c r="O337" t="str">
        <f>+IFERROR(VLOOKUP(O38,IN_Zugliste!$A$4:$F$602,7,FALSE),"")</f>
        <v/>
      </c>
      <c r="P337" t="str">
        <f>+IFERROR(VLOOKUP(P38,IN_Zugliste!$A$4:$F$602,7,FALSE),"")</f>
        <v/>
      </c>
      <c r="Q337" t="str">
        <f>+IFERROR(VLOOKUP(Q38,IN_Zugliste!$A$4:$F$602,7,FALSE),"")</f>
        <v/>
      </c>
      <c r="R337" t="str">
        <f>+IFERROR(VLOOKUP(R38,IN_Zugliste!$A$4:$F$602,7,FALSE),"")</f>
        <v/>
      </c>
      <c r="S337" t="str">
        <f>+IFERROR(VLOOKUP(S38,IN_Zugliste!$A$4:$F$602,7,FALSE),"")</f>
        <v/>
      </c>
      <c r="T337" t="str">
        <f>+IFERROR(VLOOKUP(T38,IN_Zugliste!$A$4:$F$602,7,FALSE),"")</f>
        <v/>
      </c>
      <c r="U337" t="str">
        <f>+IFERROR(VLOOKUP(U38,IN_Zugliste!$A$4:$F$602,7,FALSE),"")</f>
        <v/>
      </c>
      <c r="V337" t="str">
        <f>+IFERROR(VLOOKUP(V38,IN_Zugliste!$A$4:$F$602,7,FALSE),"")</f>
        <v/>
      </c>
      <c r="W337" t="str">
        <f>+IFERROR(VLOOKUP(W38,IN_Zugliste!$A$4:$F$602,7,FALSE),"")</f>
        <v/>
      </c>
      <c r="X337" t="str">
        <f>+IFERROR(VLOOKUP(X38,IN_Zugliste!$A$4:$F$602,7,FALSE),"")</f>
        <v/>
      </c>
      <c r="Y337" t="str">
        <f>+IFERROR(VLOOKUP(Y38,IN_Zugliste!$A$4:$F$602,7,FALSE),"")</f>
        <v/>
      </c>
      <c r="Z337" t="str">
        <f>+IFERROR(VLOOKUP(Z38,IN_Zugliste!$A$4:$F$602,7,FALSE),"")</f>
        <v/>
      </c>
      <c r="AA337" t="str">
        <f>+IFERROR(VLOOKUP(AA38,IN_Zugliste!$A$4:$F$602,7,FALSE),"")</f>
        <v/>
      </c>
      <c r="AB337" t="str">
        <f>+IFERROR(VLOOKUP(AB38,IN_Zugliste!$A$4:$F$602,7,FALSE),"")</f>
        <v/>
      </c>
      <c r="AC337" t="str">
        <f>+IFERROR(VLOOKUP(AC38,IN_Zugliste!$A$4:$F$602,7,FALSE),"")</f>
        <v/>
      </c>
      <c r="AD337" t="str">
        <f>+IFERROR(VLOOKUP(AD38,IN_Zugliste!$A$4:$F$602,7,FALSE),"")</f>
        <v/>
      </c>
      <c r="AE337" t="str">
        <f>+IFERROR(VLOOKUP(AE38,IN_Zugliste!$A$4:$F$602,7,FALSE),"")</f>
        <v/>
      </c>
      <c r="AF337" t="str">
        <f>+IFERROR(VLOOKUP(AF38,IN_Zugliste!$A$4:$F$602,7,FALSE),"")</f>
        <v/>
      </c>
      <c r="AG337" t="str">
        <f>+IFERROR(VLOOKUP(AG38,IN_Zugliste!$A$4:$F$602,7,FALSE),"")</f>
        <v/>
      </c>
      <c r="AH337" t="str">
        <f>+IFERROR(VLOOKUP(AH38,IN_Zugliste!$A$4:$F$602,7,FALSE),"")</f>
        <v/>
      </c>
      <c r="AI337" t="str">
        <f>+IFERROR(VLOOKUP(AI38,IN_Zugliste!$A$4:$F$602,7,FALSE),"")</f>
        <v/>
      </c>
      <c r="AJ337" t="str">
        <f>+IFERROR(VLOOKUP(AJ38,IN_Zugliste!$A$4:$F$602,7,FALSE),"")</f>
        <v/>
      </c>
      <c r="AK337" t="str">
        <f>+IFERROR(VLOOKUP(AK38,IN_Zugliste!$A$4:$F$602,7,FALSE),"")</f>
        <v/>
      </c>
      <c r="AL337" t="str">
        <f>+IFERROR(VLOOKUP(AL38,IN_Zugliste!$A$4:$F$602,7,FALSE),"")</f>
        <v/>
      </c>
      <c r="AM337" t="str">
        <f>+IFERROR(VLOOKUP(AM38,IN_Zugliste!$A$4:$F$602,7,FALSE),"")</f>
        <v/>
      </c>
      <c r="AN337" t="str">
        <f>+IFERROR(VLOOKUP(AN38,IN_Zugliste!$A$4:$F$602,7,FALSE),"")</f>
        <v/>
      </c>
      <c r="AO337" t="str">
        <f>+IFERROR(VLOOKUP(AO38,IN_Zugliste!$A$4:$F$602,7,FALSE),"")</f>
        <v/>
      </c>
      <c r="AP337" t="str">
        <f>+IFERROR(VLOOKUP(AP38,IN_Zugliste!$A$4:$F$602,7,FALSE),"")</f>
        <v/>
      </c>
      <c r="AQ337" t="str">
        <f>+IFERROR(VLOOKUP(AQ38,IN_Zugliste!$A$4:$F$602,7,FALSE),"")</f>
        <v/>
      </c>
      <c r="AR337" t="str">
        <f>+IFERROR(VLOOKUP(AR38,IN_Zugliste!$A$4:$F$602,7,FALSE),"")</f>
        <v/>
      </c>
      <c r="AS337" t="str">
        <f>+IFERROR(VLOOKUP(AS38,IN_Zugliste!$A$4:$F$602,7,FALSE),"")</f>
        <v/>
      </c>
      <c r="AT337" t="str">
        <f>+IFERROR(VLOOKUP(AT38,IN_Zugliste!$A$4:$F$602,7,FALSE),"")</f>
        <v/>
      </c>
      <c r="AU337" t="str">
        <f>+IFERROR(VLOOKUP(AU38,IN_Zugliste!$A$4:$F$602,7,FALSE),"")</f>
        <v/>
      </c>
      <c r="AV337" t="str">
        <f>+IFERROR(VLOOKUP(AV38,IN_Zugliste!$A$4:$F$602,7,FALSE),"")</f>
        <v/>
      </c>
      <c r="AW337" t="str">
        <f>+IFERROR(VLOOKUP(AW38,IN_Zugliste!$A$4:$F$602,7,FALSE),"")</f>
        <v/>
      </c>
      <c r="AX337" t="str">
        <f>+IFERROR(VLOOKUP(AX38,IN_Zugliste!$A$4:$F$602,7,FALSE),"")</f>
        <v/>
      </c>
      <c r="AY337" t="str">
        <f>+IFERROR(VLOOKUP(AY38,IN_Zugliste!$A$4:$F$602,7,FALSE),"")</f>
        <v/>
      </c>
      <c r="AZ337" t="str">
        <f>+IFERROR(VLOOKUP(AZ38,IN_Zugliste!$A$4:$F$602,7,FALSE),"")</f>
        <v/>
      </c>
      <c r="BA337" t="str">
        <f>+IFERROR(VLOOKUP(BA38,IN_Zugliste!$A$4:$F$602,7,FALSE),"")</f>
        <v/>
      </c>
      <c r="BB337" t="str">
        <f>+IFERROR(VLOOKUP(BB38,IN_Zugliste!$A$4:$F$602,7,FALSE),"")</f>
        <v/>
      </c>
      <c r="BC337" t="str">
        <f>+IFERROR(VLOOKUP(BC38,IN_Zugliste!$A$4:$F$602,7,FALSE),"")</f>
        <v/>
      </c>
      <c r="BD337" t="str">
        <f>+IFERROR(VLOOKUP(BD38,IN_Zugliste!$A$4:$F$602,7,FALSE),"")</f>
        <v/>
      </c>
      <c r="BE337" t="str">
        <f>+IFERROR(VLOOKUP(BE38,IN_Zugliste!$A$4:$F$602,7,FALSE),"")</f>
        <v/>
      </c>
      <c r="BF337" t="str">
        <f>+IFERROR(VLOOKUP(BF38,IN_Zugliste!$A$4:$F$602,7,FALSE),"")</f>
        <v/>
      </c>
      <c r="BG337" t="str">
        <f>+IFERROR(VLOOKUP(BG38,IN_Zugliste!$A$4:$F$602,7,FALSE),"")</f>
        <v/>
      </c>
      <c r="BH337" t="str">
        <f>+IFERROR(VLOOKUP(BH38,IN_Zugliste!$A$4:$F$602,7,FALSE),"")</f>
        <v/>
      </c>
      <c r="BI337" t="str">
        <f>+IFERROR(VLOOKUP(BI38,IN_Zugliste!$A$4:$F$602,7,FALSE),"")</f>
        <v/>
      </c>
      <c r="BJ337" t="str">
        <f>+IFERROR(VLOOKUP(BJ38,IN_Zugliste!$A$4:$F$602,7,FALSE),"")</f>
        <v/>
      </c>
      <c r="BK337" t="str">
        <f>+IFERROR(VLOOKUP(BK38,IN_Zugliste!$A$4:$F$602,7,FALSE),"")</f>
        <v/>
      </c>
      <c r="BL337" t="str">
        <f>+IFERROR(VLOOKUP(BL38,IN_Zugliste!$A$4:$F$602,7,FALSE),"")</f>
        <v/>
      </c>
      <c r="BM337" t="str">
        <f>+IFERROR(VLOOKUP(BM38,IN_Zugliste!$A$4:$F$602,7,FALSE),"")</f>
        <v/>
      </c>
      <c r="BN337" t="str">
        <f>+IFERROR(VLOOKUP(BN38,IN_Zugliste!$A$4:$F$602,7,FALSE),"")</f>
        <v/>
      </c>
      <c r="BO337" t="str">
        <f>+IFERROR(VLOOKUP(BO38,IN_Zugliste!$A$4:$F$602,7,FALSE),"")</f>
        <v/>
      </c>
      <c r="BP337" t="str">
        <f>+IFERROR(VLOOKUP(BP38,IN_Zugliste!$A$4:$F$602,7,FALSE),"")</f>
        <v/>
      </c>
      <c r="BQ337" t="str">
        <f>+IFERROR(VLOOKUP(BQ38,IN_Zugliste!$A$4:$F$602,7,FALSE),"")</f>
        <v/>
      </c>
      <c r="BR337" t="str">
        <f>+IFERROR(VLOOKUP(BR38,IN_Zugliste!$A$4:$F$602,7,FALSE),"")</f>
        <v/>
      </c>
      <c r="BS337" t="str">
        <f>+IFERROR(VLOOKUP(BS38,IN_Zugliste!$A$4:$F$602,7,FALSE),"")</f>
        <v/>
      </c>
      <c r="BT337" t="str">
        <f>+IFERROR(VLOOKUP(BT38,IN_Zugliste!$A$4:$F$602,7,FALSE),"")</f>
        <v/>
      </c>
      <c r="BU337" t="str">
        <f>+IFERROR(VLOOKUP(BU38,IN_Zugliste!$A$4:$F$602,7,FALSE),"")</f>
        <v/>
      </c>
      <c r="BV337" t="str">
        <f>+IFERROR(VLOOKUP(BV38,IN_Zugliste!$A$4:$F$602,7,FALSE),"")</f>
        <v/>
      </c>
      <c r="BW337" t="str">
        <f>+IFERROR(VLOOKUP(BW38,IN_Zugliste!$A$4:$F$602,7,FALSE),"")</f>
        <v/>
      </c>
      <c r="BX337" t="str">
        <f>+IFERROR(VLOOKUP(BX38,IN_Zugliste!$A$4:$F$602,7,FALSE),"")</f>
        <v/>
      </c>
      <c r="BY337" t="str">
        <f>+IFERROR(VLOOKUP(BY38,IN_Zugliste!$A$4:$F$602,7,FALSE),"")</f>
        <v/>
      </c>
      <c r="BZ337" t="str">
        <f>+IFERROR(VLOOKUP(BZ38,IN_Zugliste!$A$4:$F$602,7,FALSE),"")</f>
        <v/>
      </c>
      <c r="CA337" t="str">
        <f>+IFERROR(VLOOKUP(CA38,IN_Zugliste!$A$4:$F$602,7,FALSE),"")</f>
        <v/>
      </c>
      <c r="CB337" t="str">
        <f>+IFERROR(VLOOKUP(CB38,IN_Zugliste!$A$4:$F$602,7,FALSE),"")</f>
        <v/>
      </c>
      <c r="CC337" t="str">
        <f>+IFERROR(VLOOKUP(CC38,IN_Zugliste!$A$4:$F$602,7,FALSE),"")</f>
        <v/>
      </c>
      <c r="CD337" t="str">
        <f>+IFERROR(VLOOKUP(CD38,IN_Zugliste!$A$4:$F$602,7,FALSE),"")</f>
        <v/>
      </c>
      <c r="CE337" t="str">
        <f>+IFERROR(VLOOKUP(CE38,IN_Zugliste!$A$4:$F$602,7,FALSE),"")</f>
        <v/>
      </c>
      <c r="CF337" t="str">
        <f>+IFERROR(VLOOKUP(CF38,IN_Zugliste!$A$4:$F$602,7,FALSE),"")</f>
        <v/>
      </c>
      <c r="CG337" t="str">
        <f>+IFERROR(VLOOKUP(CG38,IN_Zugliste!$A$4:$F$602,7,FALSE),"")</f>
        <v/>
      </c>
      <c r="CH337" t="str">
        <f>+IFERROR(VLOOKUP(CH38,IN_Zugliste!$A$4:$F$602,7,FALSE),"")</f>
        <v/>
      </c>
      <c r="CI337" t="str">
        <f>+IFERROR(VLOOKUP(CI38,IN_Zugliste!$A$4:$F$602,7,FALSE),"")</f>
        <v/>
      </c>
      <c r="CJ337" t="str">
        <f>+IFERROR(VLOOKUP(CJ38,IN_Zugliste!$A$4:$F$602,7,FALSE),"")</f>
        <v/>
      </c>
      <c r="CK337" t="str">
        <f>+IFERROR(VLOOKUP(CK38,IN_Zugliste!$A$4:$F$602,7,FALSE),"")</f>
        <v/>
      </c>
      <c r="CL337" t="str">
        <f>+IFERROR(VLOOKUP(CL38,IN_Zugliste!$A$4:$F$602,7,FALSE),"")</f>
        <v/>
      </c>
      <c r="CM337" t="str">
        <f>+IFERROR(VLOOKUP(CM38,IN_Zugliste!$A$4:$F$602,7,FALSE),"")</f>
        <v/>
      </c>
      <c r="CN337" t="str">
        <f>+IFERROR(VLOOKUP(CN38,IN_Zugliste!$A$4:$F$602,7,FALSE),"")</f>
        <v/>
      </c>
      <c r="CO337" t="str">
        <f>+IFERROR(VLOOKUP(CO38,IN_Zugliste!$A$4:$F$602,7,FALSE),"")</f>
        <v/>
      </c>
      <c r="CP337" t="str">
        <f>+IFERROR(VLOOKUP(CP38,IN_Zugliste!$A$4:$F$602,7,FALSE),"")</f>
        <v/>
      </c>
      <c r="CQ337" t="str">
        <f>+IFERROR(VLOOKUP(CQ38,IN_Zugliste!$A$4:$F$602,7,FALSE),"")</f>
        <v/>
      </c>
      <c r="CR337" t="str">
        <f>+IFERROR(VLOOKUP(CR38,IN_Zugliste!$A$4:$F$602,7,FALSE),"")</f>
        <v/>
      </c>
      <c r="CS337" t="str">
        <f>+IFERROR(VLOOKUP(CS38,IN_Zugliste!$A$4:$F$602,7,FALSE),"")</f>
        <v/>
      </c>
      <c r="CT337" t="str">
        <f>+IFERROR(VLOOKUP(CT38,IN_Zugliste!$A$4:$F$602,7,FALSE),"")</f>
        <v/>
      </c>
      <c r="CU337" t="str">
        <f>+IFERROR(VLOOKUP(CU38,IN_Zugliste!$A$4:$F$602,7,FALSE),"")</f>
        <v/>
      </c>
      <c r="CV337" t="str">
        <f>+IFERROR(VLOOKUP(CV38,IN_Zugliste!$A$4:$F$602,7,FALSE),"")</f>
        <v/>
      </c>
      <c r="CW337" t="str">
        <f>+IFERROR(VLOOKUP(CW38,IN_Zugliste!$A$4:$F$602,7,FALSE),"")</f>
        <v/>
      </c>
      <c r="CX337" t="str">
        <f>+IFERROR(VLOOKUP(CX38,IN_Zugliste!$A$4:$F$602,7,FALSE),"")</f>
        <v/>
      </c>
      <c r="CY337" t="str">
        <f>+IFERROR(VLOOKUP(CY38,IN_Zugliste!$A$4:$F$602,7,FALSE),"")</f>
        <v/>
      </c>
      <c r="CZ337" t="str">
        <f>+IFERROR(VLOOKUP(CZ38,IN_Zugliste!$A$4:$F$602,7,FALSE),"")</f>
        <v/>
      </c>
      <c r="DA337" t="str">
        <f>+IFERROR(VLOOKUP(DA38,IN_Zugliste!$A$4:$F$602,7,FALSE),"")</f>
        <v/>
      </c>
      <c r="DB337" t="str">
        <f>+IFERROR(VLOOKUP(DB38,IN_Zugliste!$A$4:$F$602,7,FALSE),"")</f>
        <v/>
      </c>
      <c r="DC337" t="str">
        <f>+IFERROR(VLOOKUP(DC38,IN_Zugliste!$A$4:$F$602,7,FALSE),"")</f>
        <v/>
      </c>
      <c r="DD337" t="str">
        <f>+IFERROR(VLOOKUP(DD38,IN_Zugliste!$A$4:$F$602,7,FALSE),"")</f>
        <v/>
      </c>
      <c r="DE337" t="str">
        <f>+IFERROR(VLOOKUP(DE38,IN_Zugliste!$A$4:$F$602,7,FALSE),"")</f>
        <v/>
      </c>
      <c r="DF337" t="str">
        <f>+IFERROR(VLOOKUP(DF38,IN_Zugliste!$A$4:$F$602,7,FALSE),"")</f>
        <v/>
      </c>
      <c r="DG337" t="str">
        <f>+IFERROR(VLOOKUP(DG38,IN_Zugliste!$A$4:$F$602,7,FALSE),"")</f>
        <v/>
      </c>
      <c r="DH337" t="str">
        <f>+IFERROR(VLOOKUP(DH38,IN_Zugliste!$A$4:$F$602,7,FALSE),"")</f>
        <v/>
      </c>
      <c r="DI337" t="str">
        <f>+IFERROR(VLOOKUP(DI38,IN_Zugliste!$A$4:$F$602,7,FALSE),"")</f>
        <v/>
      </c>
      <c r="DJ337" t="str">
        <f>+IFERROR(VLOOKUP(DJ38,IN_Zugliste!$A$4:$F$602,7,FALSE),"")</f>
        <v/>
      </c>
      <c r="DK337" t="str">
        <f>+IFERROR(VLOOKUP(DK38,IN_Zugliste!$A$4:$F$602,7,FALSE),"")</f>
        <v/>
      </c>
      <c r="DL337" t="str">
        <f>+IFERROR(VLOOKUP(DL38,IN_Zugliste!$A$4:$F$602,7,FALSE),"")</f>
        <v/>
      </c>
      <c r="DM337" t="str">
        <f>+IFERROR(VLOOKUP(DM38,IN_Zugliste!$A$4:$F$602,7,FALSE),"")</f>
        <v/>
      </c>
      <c r="DN337" t="str">
        <f>+IFERROR(VLOOKUP(DN38,IN_Zugliste!$A$4:$F$602,7,FALSE),"")</f>
        <v/>
      </c>
      <c r="DO337" t="str">
        <f>+IFERROR(VLOOKUP(DO38,IN_Zugliste!$A$4:$F$602,7,FALSE),"")</f>
        <v/>
      </c>
      <c r="DP337" t="str">
        <f>+IFERROR(VLOOKUP(DP38,IN_Zugliste!$A$4:$F$602,7,FALSE),"")</f>
        <v/>
      </c>
      <c r="DQ337" t="str">
        <f>+IFERROR(VLOOKUP(DQ38,IN_Zugliste!$A$4:$F$602,7,FALSE),"")</f>
        <v/>
      </c>
      <c r="DR337" t="str">
        <f>+IFERROR(VLOOKUP(DR38,IN_Zugliste!$A$4:$F$602,7,FALSE),"")</f>
        <v/>
      </c>
      <c r="DS337" t="str">
        <f>+IFERROR(VLOOKUP(DS38,IN_Zugliste!$A$4:$F$602,7,FALSE),"")</f>
        <v/>
      </c>
      <c r="DT337" t="str">
        <f>+IFERROR(VLOOKUP(DT38,IN_Zugliste!$A$4:$F$602,7,FALSE),"")</f>
        <v/>
      </c>
      <c r="DU337" t="str">
        <f>+IFERROR(VLOOKUP(DU38,IN_Zugliste!$A$4:$F$602,7,FALSE),"")</f>
        <v/>
      </c>
      <c r="DV337" t="str">
        <f>+IFERROR(VLOOKUP(DV38,IN_Zugliste!$A$4:$F$602,7,FALSE),"")</f>
        <v/>
      </c>
      <c r="DW337" t="str">
        <f>+IFERROR(VLOOKUP(DW38,IN_Zugliste!$A$4:$F$602,7,FALSE),"")</f>
        <v/>
      </c>
      <c r="DX337" t="str">
        <f>+IFERROR(VLOOKUP(DX38,IN_Zugliste!$A$4:$F$602,7,FALSE),"")</f>
        <v/>
      </c>
      <c r="DY337" t="str">
        <f>+IFERROR(VLOOKUP(DY38,IN_Zugliste!$A$4:$F$602,7,FALSE),"")</f>
        <v/>
      </c>
      <c r="DZ337" t="str">
        <f>+IFERROR(VLOOKUP(DZ38,IN_Zugliste!$A$4:$F$602,7,FALSE),"")</f>
        <v/>
      </c>
      <c r="EA337" t="str">
        <f>+IFERROR(VLOOKUP(EA38,IN_Zugliste!$A$4:$F$602,7,FALSE),"")</f>
        <v/>
      </c>
      <c r="EB337" t="str">
        <f>+IFERROR(VLOOKUP(EB38,IN_Zugliste!$A$4:$F$602,7,FALSE),"")</f>
        <v/>
      </c>
      <c r="EC337" t="str">
        <f>+IFERROR(VLOOKUP(EC38,IN_Zugliste!$A$4:$F$602,7,FALSE),"")</f>
        <v/>
      </c>
      <c r="ED337" t="str">
        <f>+IFERROR(VLOOKUP(ED38,IN_Zugliste!$A$4:$F$602,7,FALSE),"")</f>
        <v/>
      </c>
      <c r="EE337" t="str">
        <f>+IFERROR(VLOOKUP(EE38,IN_Zugliste!$A$4:$F$602,7,FALSE),"")</f>
        <v/>
      </c>
      <c r="EF337" t="str">
        <f>+IFERROR(VLOOKUP(EF38,IN_Zugliste!$A$4:$F$602,7,FALSE),"")</f>
        <v/>
      </c>
      <c r="EG337" t="str">
        <f>+IFERROR(VLOOKUP(EG38,IN_Zugliste!$A$4:$F$602,7,FALSE),"")</f>
        <v/>
      </c>
      <c r="EH337" t="str">
        <f>+IFERROR(VLOOKUP(EH38,IN_Zugliste!$A$4:$F$602,7,FALSE),"")</f>
        <v/>
      </c>
      <c r="EI337" t="str">
        <f>+IFERROR(VLOOKUP(EI38,IN_Zugliste!$A$4:$F$602,7,FALSE),"")</f>
        <v/>
      </c>
      <c r="EJ337" t="str">
        <f>+IFERROR(VLOOKUP(EJ38,IN_Zugliste!$A$4:$F$602,7,FALSE),"")</f>
        <v/>
      </c>
      <c r="EK337" t="str">
        <f>+IFERROR(VLOOKUP(EK38,IN_Zugliste!$A$4:$F$602,7,FALSE),"")</f>
        <v/>
      </c>
      <c r="EL337" t="str">
        <f>+IFERROR(VLOOKUP(EL38,IN_Zugliste!$A$4:$F$602,7,FALSE),"")</f>
        <v/>
      </c>
      <c r="EM337" t="str">
        <f>+IFERROR(VLOOKUP(EM38,IN_Zugliste!$A$4:$F$602,7,FALSE),"")</f>
        <v/>
      </c>
      <c r="EN337" t="str">
        <f>+IFERROR(VLOOKUP(EN38,IN_Zugliste!$A$4:$F$602,7,FALSE),"")</f>
        <v/>
      </c>
      <c r="EO337" t="str">
        <f>+IFERROR(VLOOKUP(EO38,IN_Zugliste!$A$4:$F$602,7,FALSE),"")</f>
        <v/>
      </c>
      <c r="EP337" t="str">
        <f>+IFERROR(VLOOKUP(EP38,IN_Zugliste!$A$4:$F$602,7,FALSE),"")</f>
        <v/>
      </c>
      <c r="EQ337" t="str">
        <f>+IFERROR(VLOOKUP(EQ38,IN_Zugliste!$A$4:$F$602,7,FALSE),"")</f>
        <v/>
      </c>
      <c r="ER337" t="str">
        <f>+IFERROR(VLOOKUP(ER38,IN_Zugliste!$A$4:$F$602,7,FALSE),"")</f>
        <v/>
      </c>
      <c r="ES337" t="str">
        <f>+IFERROR(VLOOKUP(ES38,IN_Zugliste!$A$4:$F$602,7,FALSE),"")</f>
        <v/>
      </c>
      <c r="ET337" t="str">
        <f>+IFERROR(VLOOKUP(ET38,IN_Zugliste!$A$4:$F$602,7,FALSE),"")</f>
        <v/>
      </c>
      <c r="EU337" t="str">
        <f>+IFERROR(VLOOKUP(EU38,IN_Zugliste!$A$4:$F$602,7,FALSE),"")</f>
        <v/>
      </c>
      <c r="EV337" t="str">
        <f>+IFERROR(VLOOKUP(EV38,IN_Zugliste!$A$4:$F$602,7,FALSE),"")</f>
        <v/>
      </c>
      <c r="EW337" t="str">
        <f>+IFERROR(VLOOKUP(EW38,IN_Zugliste!$A$4:$F$602,7,FALSE),"")</f>
        <v/>
      </c>
      <c r="EX337" t="str">
        <f>+IFERROR(VLOOKUP(EX38,IN_Zugliste!$A$4:$F$602,7,FALSE),"")</f>
        <v/>
      </c>
      <c r="EY337" t="str">
        <f>+IFERROR(VLOOKUP(EY38,IN_Zugliste!$A$4:$F$602,7,FALSE),"")</f>
        <v/>
      </c>
      <c r="EZ337" t="str">
        <f>+IFERROR(VLOOKUP(EZ38,IN_Zugliste!$A$4:$F$602,7,FALSE),"")</f>
        <v/>
      </c>
      <c r="FA337" t="str">
        <f>+IFERROR(VLOOKUP(FA38,IN_Zugliste!$A$4:$F$602,7,FALSE),"")</f>
        <v/>
      </c>
      <c r="FB337" t="str">
        <f>+IFERROR(VLOOKUP(FB38,IN_Zugliste!$A$4:$F$602,7,FALSE),"")</f>
        <v/>
      </c>
      <c r="FC337" t="str">
        <f>+IFERROR(VLOOKUP(FC38,IN_Zugliste!$A$4:$F$602,7,FALSE),"")</f>
        <v/>
      </c>
      <c r="FD337" t="str">
        <f>+IFERROR(VLOOKUP(FD38,IN_Zugliste!$A$4:$F$602,7,FALSE),"")</f>
        <v/>
      </c>
      <c r="FE337" t="str">
        <f>+IFERROR(VLOOKUP(FE38,IN_Zugliste!$A$4:$F$602,7,FALSE),"")</f>
        <v/>
      </c>
      <c r="FF337" t="str">
        <f>+IFERROR(VLOOKUP(FF38,IN_Zugliste!$A$4:$F$602,7,FALSE),"")</f>
        <v/>
      </c>
      <c r="FG337" t="str">
        <f>+IFERROR(VLOOKUP(FG38,IN_Zugliste!$A$4:$F$602,7,FALSE),"")</f>
        <v/>
      </c>
      <c r="FH337" t="str">
        <f>+IFERROR(VLOOKUP(FH38,IN_Zugliste!$A$4:$F$602,7,FALSE),"")</f>
        <v/>
      </c>
      <c r="FI337" t="str">
        <f>+IFERROR(VLOOKUP(FI38,IN_Zugliste!$A$4:$F$602,7,FALSE),"")</f>
        <v/>
      </c>
      <c r="FJ337" t="str">
        <f>+IFERROR(VLOOKUP(FJ38,IN_Zugliste!$A$4:$F$602,7,FALSE),"")</f>
        <v/>
      </c>
      <c r="FK337" t="str">
        <f>+IFERROR(VLOOKUP(FK38,IN_Zugliste!$A$4:$F$602,7,FALSE),"")</f>
        <v/>
      </c>
      <c r="FL337" t="str">
        <f>+IFERROR(VLOOKUP(FL38,IN_Zugliste!$A$4:$F$602,7,FALSE),"")</f>
        <v/>
      </c>
      <c r="FM337" t="str">
        <f>+IFERROR(VLOOKUP(FM38,IN_Zugliste!$A$4:$F$602,7,FALSE),"")</f>
        <v/>
      </c>
      <c r="FN337" t="str">
        <f>+IFERROR(VLOOKUP(FN38,IN_Zugliste!$A$4:$F$602,7,FALSE),"")</f>
        <v/>
      </c>
      <c r="FO337" t="str">
        <f>+IFERROR(VLOOKUP(FO38,IN_Zugliste!$A$4:$F$602,7,FALSE),"")</f>
        <v/>
      </c>
      <c r="FP337" t="str">
        <f>+IFERROR(VLOOKUP(FP38,IN_Zugliste!$A$4:$F$602,7,FALSE),"")</f>
        <v/>
      </c>
      <c r="FQ337" t="str">
        <f>+IFERROR(VLOOKUP(FQ38,IN_Zugliste!$A$4:$F$602,7,FALSE),"")</f>
        <v/>
      </c>
      <c r="FR337" t="str">
        <f>+IFERROR(VLOOKUP(FR38,IN_Zugliste!$A$4:$F$602,7,FALSE),"")</f>
        <v/>
      </c>
      <c r="FS337" t="str">
        <f>+IFERROR(VLOOKUP(FS38,IN_Zugliste!$A$4:$F$602,7,FALSE),"")</f>
        <v/>
      </c>
      <c r="FT337" t="str">
        <f>+IFERROR(VLOOKUP(FT38,IN_Zugliste!$A$4:$F$602,7,FALSE),"")</f>
        <v/>
      </c>
      <c r="FU337" t="str">
        <f>+IFERROR(VLOOKUP(FU38,IN_Zugliste!$A$4:$F$602,7,FALSE),"")</f>
        <v/>
      </c>
      <c r="FV337" t="str">
        <f>+IFERROR(VLOOKUP(FV38,IN_Zugliste!$A$4:$F$602,7,FALSE),"")</f>
        <v/>
      </c>
      <c r="FW337" t="str">
        <f>+IFERROR(VLOOKUP(FW38,IN_Zugliste!$A$4:$F$602,7,FALSE),"")</f>
        <v/>
      </c>
      <c r="FX337" t="str">
        <f>+IFERROR(VLOOKUP(FX38,IN_Zugliste!$A$4:$F$602,7,FALSE),"")</f>
        <v/>
      </c>
      <c r="FY337" t="str">
        <f>+IFERROR(VLOOKUP(FY38,IN_Zugliste!$A$4:$F$602,7,FALSE),"")</f>
        <v/>
      </c>
      <c r="FZ337" t="str">
        <f>+IFERROR(VLOOKUP(FZ38,IN_Zugliste!$A$4:$F$602,7,FALSE),"")</f>
        <v/>
      </c>
      <c r="GA337" t="str">
        <f>+IFERROR(VLOOKUP(GA38,IN_Zugliste!$A$4:$F$602,7,FALSE),"")</f>
        <v/>
      </c>
      <c r="GB337" t="str">
        <f>+IFERROR(VLOOKUP(GB38,IN_Zugliste!$A$4:$F$602,7,FALSE),"")</f>
        <v/>
      </c>
      <c r="GC337" t="str">
        <f>+IFERROR(VLOOKUP(GC38,IN_Zugliste!$A$4:$F$602,7,FALSE),"")</f>
        <v/>
      </c>
      <c r="GD337" t="str">
        <f>+IFERROR(VLOOKUP(GD38,IN_Zugliste!$A$4:$F$602,7,FALSE),"")</f>
        <v/>
      </c>
      <c r="GE337" t="str">
        <f>+IFERROR(VLOOKUP(GE38,IN_Zugliste!$A$4:$F$602,7,FALSE),"")</f>
        <v/>
      </c>
      <c r="GF337" t="str">
        <f>+IFERROR(VLOOKUP(GF38,IN_Zugliste!$A$4:$F$602,7,FALSE),"")</f>
        <v/>
      </c>
      <c r="GG337" t="str">
        <f>+IFERROR(VLOOKUP(GG38,IN_Zugliste!$A$4:$F$602,7,FALSE),"")</f>
        <v/>
      </c>
      <c r="GH337" t="str">
        <f>+IFERROR(VLOOKUP(GH38,IN_Zugliste!$A$4:$F$602,7,FALSE),"")</f>
        <v/>
      </c>
      <c r="GI337" t="str">
        <f>+IFERROR(VLOOKUP(GI38,IN_Zugliste!$A$4:$F$602,7,FALSE),"")</f>
        <v/>
      </c>
      <c r="GJ337" t="str">
        <f>+IFERROR(VLOOKUP(GJ38,IN_Zugliste!$A$4:$F$602,7,FALSE),"")</f>
        <v/>
      </c>
      <c r="GK337" t="str">
        <f>+IFERROR(VLOOKUP(GK38,IN_Zugliste!$A$4:$F$602,7,FALSE),"")</f>
        <v/>
      </c>
      <c r="GL337" t="str">
        <f>+IFERROR(VLOOKUP(GL38,IN_Zugliste!$A$4:$F$602,7,FALSE),"")</f>
        <v/>
      </c>
      <c r="GM337" t="str">
        <f>+IFERROR(VLOOKUP(GM38,IN_Zugliste!$A$4:$F$602,7,FALSE),"")</f>
        <v/>
      </c>
      <c r="GN337" t="str">
        <f>+IFERROR(VLOOKUP(GN38,IN_Zugliste!$A$4:$F$602,7,FALSE),"")</f>
        <v/>
      </c>
      <c r="GO337" t="str">
        <f>+IFERROR(VLOOKUP(GO38,IN_Zugliste!$A$4:$F$602,7,FALSE),"")</f>
        <v/>
      </c>
      <c r="GP337" t="str">
        <f>+IFERROR(VLOOKUP(GP38,IN_Zugliste!$A$4:$F$602,7,FALSE),"")</f>
        <v/>
      </c>
      <c r="GQ337" t="str">
        <f>+IFERROR(VLOOKUP(GQ38,IN_Zugliste!$A$4:$F$602,7,FALSE),"")</f>
        <v/>
      </c>
      <c r="GR337" t="str">
        <f>+IFERROR(VLOOKUP(GR38,IN_Zugliste!$A$4:$F$602,7,FALSE),"")</f>
        <v/>
      </c>
      <c r="GS337" t="str">
        <f>+IFERROR(VLOOKUP(GS38,IN_Zugliste!$A$4:$F$602,7,FALSE),"")</f>
        <v/>
      </c>
      <c r="GT337" t="str">
        <f>+IFERROR(VLOOKUP(GT38,IN_Zugliste!$A$4:$F$602,7,FALSE),"")</f>
        <v/>
      </c>
      <c r="GU337" t="str">
        <f>+IFERROR(VLOOKUP(GU38,IN_Zugliste!$A$4:$F$602,7,FALSE),"")</f>
        <v/>
      </c>
      <c r="GV337" t="str">
        <f>+IFERROR(VLOOKUP(GV38,IN_Zugliste!$A$4:$F$602,7,FALSE),"")</f>
        <v/>
      </c>
      <c r="GW337" t="str">
        <f>+IFERROR(VLOOKUP(GW38,IN_Zugliste!$A$4:$F$602,7,FALSE),"")</f>
        <v/>
      </c>
      <c r="GX337" t="str">
        <f>+IFERROR(VLOOKUP(GX38,IN_Zugliste!$A$4:$F$602,7,FALSE),"")</f>
        <v/>
      </c>
      <c r="GY337" t="str">
        <f>+IFERROR(VLOOKUP(GY38,IN_Zugliste!$A$4:$F$602,7,FALSE),"")</f>
        <v/>
      </c>
      <c r="GZ337" t="str">
        <f>+IFERROR(VLOOKUP(GZ38,IN_Zugliste!$A$4:$F$602,7,FALSE),"")</f>
        <v/>
      </c>
      <c r="HA337" t="str">
        <f>+IFERROR(VLOOKUP(HA38,IN_Zugliste!$A$4:$F$602,7,FALSE),"")</f>
        <v/>
      </c>
      <c r="HB337" t="str">
        <f>+IFERROR(VLOOKUP(HB38,IN_Zugliste!$A$4:$F$602,7,FALSE),"")</f>
        <v/>
      </c>
      <c r="HC337" t="str">
        <f>+IFERROR(VLOOKUP(HC38,IN_Zugliste!$A$4:$F$602,7,FALSE),"")</f>
        <v/>
      </c>
      <c r="HD337" t="str">
        <f>+IFERROR(VLOOKUP(HD38,IN_Zugliste!$A$4:$F$602,7,FALSE),"")</f>
        <v/>
      </c>
      <c r="HE337" t="str">
        <f>+IFERROR(VLOOKUP(HE38,IN_Zugliste!$A$4:$F$602,7,FALSE),"")</f>
        <v/>
      </c>
      <c r="HF337" t="str">
        <f>+IFERROR(VLOOKUP(HF38,IN_Zugliste!$A$4:$F$602,7,FALSE),"")</f>
        <v/>
      </c>
      <c r="HG337" t="str">
        <f>+IFERROR(VLOOKUP(HG38,IN_Zugliste!$A$4:$F$602,7,FALSE),"")</f>
        <v/>
      </c>
      <c r="HH337" t="str">
        <f>+IFERROR(VLOOKUP(HH38,IN_Zugliste!$A$4:$F$602,7,FALSE),"")</f>
        <v/>
      </c>
    </row>
    <row r="338" spans="1:216" x14ac:dyDescent="0.2">
      <c r="A338" t="str">
        <f>+IFERROR(VLOOKUP(A39,IN_Zugliste!$A$4:$F$602,7,FALSE),"")</f>
        <v/>
      </c>
      <c r="B338" t="str">
        <f>+IFERROR(VLOOKUP(B39,IN_Zugliste!$A$4:$F$602,7,FALSE),"")</f>
        <v/>
      </c>
      <c r="C338" t="str">
        <f>+IFERROR(VLOOKUP(C39,IN_Zugliste!$A$4:$F$602,7,FALSE),"")</f>
        <v/>
      </c>
      <c r="D338" t="str">
        <f>+IFERROR(VLOOKUP(D39,IN_Zugliste!$A$4:$F$602,7,FALSE),"")</f>
        <v/>
      </c>
      <c r="E338" t="str">
        <f>+IFERROR(VLOOKUP(E39,IN_Zugliste!$A$4:$F$602,7,FALSE),"")</f>
        <v/>
      </c>
      <c r="F338" t="str">
        <f>+IFERROR(VLOOKUP(F39,IN_Zugliste!$A$4:$F$602,7,FALSE),"")</f>
        <v/>
      </c>
      <c r="G338" t="str">
        <f>+IFERROR(VLOOKUP(G39,IN_Zugliste!$A$4:$F$602,7,FALSE),"")</f>
        <v/>
      </c>
      <c r="H338" t="str">
        <f>+IFERROR(VLOOKUP(H39,IN_Zugliste!$A$4:$F$602,7,FALSE),"")</f>
        <v/>
      </c>
      <c r="I338" t="str">
        <f>+IFERROR(VLOOKUP(I39,IN_Zugliste!$A$4:$F$602,7,FALSE),"")</f>
        <v/>
      </c>
      <c r="J338" t="str">
        <f>+IFERROR(VLOOKUP(J39,IN_Zugliste!$A$4:$F$602,7,FALSE),"")</f>
        <v/>
      </c>
      <c r="K338" t="str">
        <f>+IFERROR(VLOOKUP(K39,IN_Zugliste!$A$4:$F$602,7,FALSE),"")</f>
        <v/>
      </c>
      <c r="L338" t="str">
        <f>+IFERROR(VLOOKUP(L39,IN_Zugliste!$A$4:$F$602,7,FALSE),"")</f>
        <v/>
      </c>
      <c r="M338" t="str">
        <f>+IFERROR(VLOOKUP(M39,IN_Zugliste!$A$4:$F$602,7,FALSE),"")</f>
        <v/>
      </c>
      <c r="N338" t="str">
        <f>+IFERROR(VLOOKUP(N39,IN_Zugliste!$A$4:$F$602,7,FALSE),"")</f>
        <v/>
      </c>
      <c r="O338" t="str">
        <f>+IFERROR(VLOOKUP(O39,IN_Zugliste!$A$4:$F$602,7,FALSE),"")</f>
        <v/>
      </c>
      <c r="P338" t="str">
        <f>+IFERROR(VLOOKUP(P39,IN_Zugliste!$A$4:$F$602,7,FALSE),"")</f>
        <v/>
      </c>
      <c r="Q338" t="str">
        <f>+IFERROR(VLOOKUP(Q39,IN_Zugliste!$A$4:$F$602,7,FALSE),"")</f>
        <v/>
      </c>
      <c r="R338" t="str">
        <f>+IFERROR(VLOOKUP(R39,IN_Zugliste!$A$4:$F$602,7,FALSE),"")</f>
        <v/>
      </c>
      <c r="S338" t="str">
        <f>+IFERROR(VLOOKUP(S39,IN_Zugliste!$A$4:$F$602,7,FALSE),"")</f>
        <v/>
      </c>
      <c r="T338" t="str">
        <f>+IFERROR(VLOOKUP(T39,IN_Zugliste!$A$4:$F$602,7,FALSE),"")</f>
        <v/>
      </c>
      <c r="U338" t="str">
        <f>+IFERROR(VLOOKUP(U39,IN_Zugliste!$A$4:$F$602,7,FALSE),"")</f>
        <v/>
      </c>
      <c r="V338" t="str">
        <f>+IFERROR(VLOOKUP(V39,IN_Zugliste!$A$4:$F$602,7,FALSE),"")</f>
        <v/>
      </c>
      <c r="W338" t="str">
        <f>+IFERROR(VLOOKUP(W39,IN_Zugliste!$A$4:$F$602,7,FALSE),"")</f>
        <v/>
      </c>
      <c r="X338" t="str">
        <f>+IFERROR(VLOOKUP(X39,IN_Zugliste!$A$4:$F$602,7,FALSE),"")</f>
        <v/>
      </c>
      <c r="Y338" t="str">
        <f>+IFERROR(VLOOKUP(Y39,IN_Zugliste!$A$4:$F$602,7,FALSE),"")</f>
        <v/>
      </c>
      <c r="Z338" t="str">
        <f>+IFERROR(VLOOKUP(Z39,IN_Zugliste!$A$4:$F$602,7,FALSE),"")</f>
        <v/>
      </c>
      <c r="AA338" t="str">
        <f>+IFERROR(VLOOKUP(AA39,IN_Zugliste!$A$4:$F$602,7,FALSE),"")</f>
        <v/>
      </c>
      <c r="AB338" t="str">
        <f>+IFERROR(VLOOKUP(AB39,IN_Zugliste!$A$4:$F$602,7,FALSE),"")</f>
        <v/>
      </c>
      <c r="AC338" t="str">
        <f>+IFERROR(VLOOKUP(AC39,IN_Zugliste!$A$4:$F$602,7,FALSE),"")</f>
        <v/>
      </c>
      <c r="AD338" t="str">
        <f>+IFERROR(VLOOKUP(AD39,IN_Zugliste!$A$4:$F$602,7,FALSE),"")</f>
        <v/>
      </c>
      <c r="AE338" t="str">
        <f>+IFERROR(VLOOKUP(AE39,IN_Zugliste!$A$4:$F$602,7,FALSE),"")</f>
        <v/>
      </c>
      <c r="AF338" t="str">
        <f>+IFERROR(VLOOKUP(AF39,IN_Zugliste!$A$4:$F$602,7,FALSE),"")</f>
        <v/>
      </c>
      <c r="AG338" t="str">
        <f>+IFERROR(VLOOKUP(AG39,IN_Zugliste!$A$4:$F$602,7,FALSE),"")</f>
        <v/>
      </c>
      <c r="AH338" t="str">
        <f>+IFERROR(VLOOKUP(AH39,IN_Zugliste!$A$4:$F$602,7,FALSE),"")</f>
        <v/>
      </c>
      <c r="AI338" t="str">
        <f>+IFERROR(VLOOKUP(AI39,IN_Zugliste!$A$4:$F$602,7,FALSE),"")</f>
        <v/>
      </c>
      <c r="AJ338" t="str">
        <f>+IFERROR(VLOOKUP(AJ39,IN_Zugliste!$A$4:$F$602,7,FALSE),"")</f>
        <v/>
      </c>
      <c r="AK338" t="str">
        <f>+IFERROR(VLOOKUP(AK39,IN_Zugliste!$A$4:$F$602,7,FALSE),"")</f>
        <v/>
      </c>
      <c r="AL338" t="str">
        <f>+IFERROR(VLOOKUP(AL39,IN_Zugliste!$A$4:$F$602,7,FALSE),"")</f>
        <v/>
      </c>
      <c r="AM338" t="str">
        <f>+IFERROR(VLOOKUP(AM39,IN_Zugliste!$A$4:$F$602,7,FALSE),"")</f>
        <v/>
      </c>
      <c r="AN338" t="str">
        <f>+IFERROR(VLOOKUP(AN39,IN_Zugliste!$A$4:$F$602,7,FALSE),"")</f>
        <v/>
      </c>
      <c r="AO338" t="str">
        <f>+IFERROR(VLOOKUP(AO39,IN_Zugliste!$A$4:$F$602,7,FALSE),"")</f>
        <v/>
      </c>
      <c r="AP338" t="str">
        <f>+IFERROR(VLOOKUP(AP39,IN_Zugliste!$A$4:$F$602,7,FALSE),"")</f>
        <v/>
      </c>
      <c r="AQ338" t="str">
        <f>+IFERROR(VLOOKUP(AQ39,IN_Zugliste!$A$4:$F$602,7,FALSE),"")</f>
        <v/>
      </c>
      <c r="AR338" t="str">
        <f>+IFERROR(VLOOKUP(AR39,IN_Zugliste!$A$4:$F$602,7,FALSE),"")</f>
        <v/>
      </c>
      <c r="AS338" t="str">
        <f>+IFERROR(VLOOKUP(AS39,IN_Zugliste!$A$4:$F$602,7,FALSE),"")</f>
        <v/>
      </c>
      <c r="AT338" t="str">
        <f>+IFERROR(VLOOKUP(AT39,IN_Zugliste!$A$4:$F$602,7,FALSE),"")</f>
        <v/>
      </c>
      <c r="AU338" t="str">
        <f>+IFERROR(VLOOKUP(AU39,IN_Zugliste!$A$4:$F$602,7,FALSE),"")</f>
        <v/>
      </c>
      <c r="AV338" t="str">
        <f>+IFERROR(VLOOKUP(AV39,IN_Zugliste!$A$4:$F$602,7,FALSE),"")</f>
        <v/>
      </c>
      <c r="AW338" t="str">
        <f>+IFERROR(VLOOKUP(AW39,IN_Zugliste!$A$4:$F$602,7,FALSE),"")</f>
        <v/>
      </c>
      <c r="AX338" t="str">
        <f>+IFERROR(VLOOKUP(AX39,IN_Zugliste!$A$4:$F$602,7,FALSE),"")</f>
        <v/>
      </c>
      <c r="AY338" t="str">
        <f>+IFERROR(VLOOKUP(AY39,IN_Zugliste!$A$4:$F$602,7,FALSE),"")</f>
        <v/>
      </c>
      <c r="AZ338" t="str">
        <f>+IFERROR(VLOOKUP(AZ39,IN_Zugliste!$A$4:$F$602,7,FALSE),"")</f>
        <v/>
      </c>
      <c r="BA338" t="str">
        <f>+IFERROR(VLOOKUP(BA39,IN_Zugliste!$A$4:$F$602,7,FALSE),"")</f>
        <v/>
      </c>
      <c r="BB338" t="str">
        <f>+IFERROR(VLOOKUP(BB39,IN_Zugliste!$A$4:$F$602,7,FALSE),"")</f>
        <v/>
      </c>
      <c r="BC338" t="str">
        <f>+IFERROR(VLOOKUP(BC39,IN_Zugliste!$A$4:$F$602,7,FALSE),"")</f>
        <v/>
      </c>
      <c r="BD338" t="str">
        <f>+IFERROR(VLOOKUP(BD39,IN_Zugliste!$A$4:$F$602,7,FALSE),"")</f>
        <v/>
      </c>
      <c r="BE338" t="str">
        <f>+IFERROR(VLOOKUP(BE39,IN_Zugliste!$A$4:$F$602,7,FALSE),"")</f>
        <v/>
      </c>
      <c r="BF338" t="str">
        <f>+IFERROR(VLOOKUP(BF39,IN_Zugliste!$A$4:$F$602,7,FALSE),"")</f>
        <v/>
      </c>
      <c r="BG338" t="str">
        <f>+IFERROR(VLOOKUP(BG39,IN_Zugliste!$A$4:$F$602,7,FALSE),"")</f>
        <v/>
      </c>
      <c r="BH338" t="str">
        <f>+IFERROR(VLOOKUP(BH39,IN_Zugliste!$A$4:$F$602,7,FALSE),"")</f>
        <v/>
      </c>
      <c r="BI338" t="str">
        <f>+IFERROR(VLOOKUP(BI39,IN_Zugliste!$A$4:$F$602,7,FALSE),"")</f>
        <v/>
      </c>
      <c r="BJ338" t="str">
        <f>+IFERROR(VLOOKUP(BJ39,IN_Zugliste!$A$4:$F$602,7,FALSE),"")</f>
        <v/>
      </c>
      <c r="BK338" t="str">
        <f>+IFERROR(VLOOKUP(BK39,IN_Zugliste!$A$4:$F$602,7,FALSE),"")</f>
        <v/>
      </c>
      <c r="BL338" t="str">
        <f>+IFERROR(VLOOKUP(BL39,IN_Zugliste!$A$4:$F$602,7,FALSE),"")</f>
        <v/>
      </c>
      <c r="BM338" t="str">
        <f>+IFERROR(VLOOKUP(BM39,IN_Zugliste!$A$4:$F$602,7,FALSE),"")</f>
        <v/>
      </c>
      <c r="BN338" t="str">
        <f>+IFERROR(VLOOKUP(BN39,IN_Zugliste!$A$4:$F$602,7,FALSE),"")</f>
        <v/>
      </c>
      <c r="BO338" t="str">
        <f>+IFERROR(VLOOKUP(BO39,IN_Zugliste!$A$4:$F$602,7,FALSE),"")</f>
        <v/>
      </c>
      <c r="BP338" t="str">
        <f>+IFERROR(VLOOKUP(BP39,IN_Zugliste!$A$4:$F$602,7,FALSE),"")</f>
        <v/>
      </c>
      <c r="BQ338" t="str">
        <f>+IFERROR(VLOOKUP(BQ39,IN_Zugliste!$A$4:$F$602,7,FALSE),"")</f>
        <v/>
      </c>
      <c r="BR338" t="str">
        <f>+IFERROR(VLOOKUP(BR39,IN_Zugliste!$A$4:$F$602,7,FALSE),"")</f>
        <v/>
      </c>
      <c r="BS338" t="str">
        <f>+IFERROR(VLOOKUP(BS39,IN_Zugliste!$A$4:$F$602,7,FALSE),"")</f>
        <v/>
      </c>
      <c r="BT338" t="str">
        <f>+IFERROR(VLOOKUP(BT39,IN_Zugliste!$A$4:$F$602,7,FALSE),"")</f>
        <v/>
      </c>
      <c r="BU338" t="str">
        <f>+IFERROR(VLOOKUP(BU39,IN_Zugliste!$A$4:$F$602,7,FALSE),"")</f>
        <v/>
      </c>
      <c r="BV338" t="str">
        <f>+IFERROR(VLOOKUP(BV39,IN_Zugliste!$A$4:$F$602,7,FALSE),"")</f>
        <v/>
      </c>
      <c r="BW338" t="str">
        <f>+IFERROR(VLOOKUP(BW39,IN_Zugliste!$A$4:$F$602,7,FALSE),"")</f>
        <v/>
      </c>
      <c r="BX338" t="str">
        <f>+IFERROR(VLOOKUP(BX39,IN_Zugliste!$A$4:$F$602,7,FALSE),"")</f>
        <v/>
      </c>
      <c r="BY338" t="str">
        <f>+IFERROR(VLOOKUP(BY39,IN_Zugliste!$A$4:$F$602,7,FALSE),"")</f>
        <v/>
      </c>
      <c r="BZ338" t="str">
        <f>+IFERROR(VLOOKUP(BZ39,IN_Zugliste!$A$4:$F$602,7,FALSE),"")</f>
        <v/>
      </c>
      <c r="CA338" t="str">
        <f>+IFERROR(VLOOKUP(CA39,IN_Zugliste!$A$4:$F$602,7,FALSE),"")</f>
        <v/>
      </c>
      <c r="CB338" t="str">
        <f>+IFERROR(VLOOKUP(CB39,IN_Zugliste!$A$4:$F$602,7,FALSE),"")</f>
        <v/>
      </c>
      <c r="CC338" t="str">
        <f>+IFERROR(VLOOKUP(CC39,IN_Zugliste!$A$4:$F$602,7,FALSE),"")</f>
        <v/>
      </c>
      <c r="CD338" t="str">
        <f>+IFERROR(VLOOKUP(CD39,IN_Zugliste!$A$4:$F$602,7,FALSE),"")</f>
        <v/>
      </c>
      <c r="CE338" t="str">
        <f>+IFERROR(VLOOKUP(CE39,IN_Zugliste!$A$4:$F$602,7,FALSE),"")</f>
        <v/>
      </c>
      <c r="CF338" t="str">
        <f>+IFERROR(VLOOKUP(CF39,IN_Zugliste!$A$4:$F$602,7,FALSE),"")</f>
        <v/>
      </c>
      <c r="CG338" t="str">
        <f>+IFERROR(VLOOKUP(CG39,IN_Zugliste!$A$4:$F$602,7,FALSE),"")</f>
        <v/>
      </c>
      <c r="CH338" t="str">
        <f>+IFERROR(VLOOKUP(CH39,IN_Zugliste!$A$4:$F$602,7,FALSE),"")</f>
        <v/>
      </c>
      <c r="CI338" t="str">
        <f>+IFERROR(VLOOKUP(CI39,IN_Zugliste!$A$4:$F$602,7,FALSE),"")</f>
        <v/>
      </c>
      <c r="CJ338" t="str">
        <f>+IFERROR(VLOOKUP(CJ39,IN_Zugliste!$A$4:$F$602,7,FALSE),"")</f>
        <v/>
      </c>
      <c r="CK338" t="str">
        <f>+IFERROR(VLOOKUP(CK39,IN_Zugliste!$A$4:$F$602,7,FALSE),"")</f>
        <v/>
      </c>
      <c r="CL338" t="str">
        <f>+IFERROR(VLOOKUP(CL39,IN_Zugliste!$A$4:$F$602,7,FALSE),"")</f>
        <v/>
      </c>
      <c r="CM338" t="str">
        <f>+IFERROR(VLOOKUP(CM39,IN_Zugliste!$A$4:$F$602,7,FALSE),"")</f>
        <v/>
      </c>
      <c r="CN338" t="str">
        <f>+IFERROR(VLOOKUP(CN39,IN_Zugliste!$A$4:$F$602,7,FALSE),"")</f>
        <v/>
      </c>
      <c r="CO338" t="str">
        <f>+IFERROR(VLOOKUP(CO39,IN_Zugliste!$A$4:$F$602,7,FALSE),"")</f>
        <v/>
      </c>
      <c r="CP338" t="str">
        <f>+IFERROR(VLOOKUP(CP39,IN_Zugliste!$A$4:$F$602,7,FALSE),"")</f>
        <v/>
      </c>
      <c r="CQ338" t="str">
        <f>+IFERROR(VLOOKUP(CQ39,IN_Zugliste!$A$4:$F$602,7,FALSE),"")</f>
        <v/>
      </c>
      <c r="CR338" t="str">
        <f>+IFERROR(VLOOKUP(CR39,IN_Zugliste!$A$4:$F$602,7,FALSE),"")</f>
        <v/>
      </c>
      <c r="CS338" t="str">
        <f>+IFERROR(VLOOKUP(CS39,IN_Zugliste!$A$4:$F$602,7,FALSE),"")</f>
        <v/>
      </c>
      <c r="CT338" t="str">
        <f>+IFERROR(VLOOKUP(CT39,IN_Zugliste!$A$4:$F$602,7,FALSE),"")</f>
        <v/>
      </c>
      <c r="CU338" t="str">
        <f>+IFERROR(VLOOKUP(CU39,IN_Zugliste!$A$4:$F$602,7,FALSE),"")</f>
        <v/>
      </c>
      <c r="CV338" t="str">
        <f>+IFERROR(VLOOKUP(CV39,IN_Zugliste!$A$4:$F$602,7,FALSE),"")</f>
        <v/>
      </c>
      <c r="CW338" t="str">
        <f>+IFERROR(VLOOKUP(CW39,IN_Zugliste!$A$4:$F$602,7,FALSE),"")</f>
        <v/>
      </c>
      <c r="CX338" t="str">
        <f>+IFERROR(VLOOKUP(CX39,IN_Zugliste!$A$4:$F$602,7,FALSE),"")</f>
        <v/>
      </c>
      <c r="CY338" t="str">
        <f>+IFERROR(VLOOKUP(CY39,IN_Zugliste!$A$4:$F$602,7,FALSE),"")</f>
        <v/>
      </c>
      <c r="CZ338" t="str">
        <f>+IFERROR(VLOOKUP(CZ39,IN_Zugliste!$A$4:$F$602,7,FALSE),"")</f>
        <v/>
      </c>
      <c r="DA338" t="str">
        <f>+IFERROR(VLOOKUP(DA39,IN_Zugliste!$A$4:$F$602,7,FALSE),"")</f>
        <v/>
      </c>
      <c r="DB338" t="str">
        <f>+IFERROR(VLOOKUP(DB39,IN_Zugliste!$A$4:$F$602,7,FALSE),"")</f>
        <v/>
      </c>
      <c r="DC338" t="str">
        <f>+IFERROR(VLOOKUP(DC39,IN_Zugliste!$A$4:$F$602,7,FALSE),"")</f>
        <v/>
      </c>
      <c r="DD338" t="str">
        <f>+IFERROR(VLOOKUP(DD39,IN_Zugliste!$A$4:$F$602,7,FALSE),"")</f>
        <v/>
      </c>
      <c r="DE338" t="str">
        <f>+IFERROR(VLOOKUP(DE39,IN_Zugliste!$A$4:$F$602,7,FALSE),"")</f>
        <v/>
      </c>
      <c r="DF338" t="str">
        <f>+IFERROR(VLOOKUP(DF39,IN_Zugliste!$A$4:$F$602,7,FALSE),"")</f>
        <v/>
      </c>
      <c r="DG338" t="str">
        <f>+IFERROR(VLOOKUP(DG39,IN_Zugliste!$A$4:$F$602,7,FALSE),"")</f>
        <v/>
      </c>
      <c r="DH338" t="str">
        <f>+IFERROR(VLOOKUP(DH39,IN_Zugliste!$A$4:$F$602,7,FALSE),"")</f>
        <v/>
      </c>
      <c r="DI338" t="str">
        <f>+IFERROR(VLOOKUP(DI39,IN_Zugliste!$A$4:$F$602,7,FALSE),"")</f>
        <v/>
      </c>
      <c r="DJ338" t="str">
        <f>+IFERROR(VLOOKUP(DJ39,IN_Zugliste!$A$4:$F$602,7,FALSE),"")</f>
        <v/>
      </c>
      <c r="DK338" t="str">
        <f>+IFERROR(VLOOKUP(DK39,IN_Zugliste!$A$4:$F$602,7,FALSE),"")</f>
        <v/>
      </c>
      <c r="DL338" t="str">
        <f>+IFERROR(VLOOKUP(DL39,IN_Zugliste!$A$4:$F$602,7,FALSE),"")</f>
        <v/>
      </c>
      <c r="DM338" t="str">
        <f>+IFERROR(VLOOKUP(DM39,IN_Zugliste!$A$4:$F$602,7,FALSE),"")</f>
        <v/>
      </c>
      <c r="DN338" t="str">
        <f>+IFERROR(VLOOKUP(DN39,IN_Zugliste!$A$4:$F$602,7,FALSE),"")</f>
        <v/>
      </c>
      <c r="DO338" t="str">
        <f>+IFERROR(VLOOKUP(DO39,IN_Zugliste!$A$4:$F$602,7,FALSE),"")</f>
        <v/>
      </c>
      <c r="DP338" t="str">
        <f>+IFERROR(VLOOKUP(DP39,IN_Zugliste!$A$4:$F$602,7,FALSE),"")</f>
        <v/>
      </c>
      <c r="DQ338" t="str">
        <f>+IFERROR(VLOOKUP(DQ39,IN_Zugliste!$A$4:$F$602,7,FALSE),"")</f>
        <v/>
      </c>
      <c r="DR338" t="str">
        <f>+IFERROR(VLOOKUP(DR39,IN_Zugliste!$A$4:$F$602,7,FALSE),"")</f>
        <v/>
      </c>
      <c r="DS338" t="str">
        <f>+IFERROR(VLOOKUP(DS39,IN_Zugliste!$A$4:$F$602,7,FALSE),"")</f>
        <v/>
      </c>
      <c r="DT338" t="str">
        <f>+IFERROR(VLOOKUP(DT39,IN_Zugliste!$A$4:$F$602,7,FALSE),"")</f>
        <v/>
      </c>
      <c r="DU338" t="str">
        <f>+IFERROR(VLOOKUP(DU39,IN_Zugliste!$A$4:$F$602,7,FALSE),"")</f>
        <v/>
      </c>
      <c r="DV338" t="str">
        <f>+IFERROR(VLOOKUP(DV39,IN_Zugliste!$A$4:$F$602,7,FALSE),"")</f>
        <v/>
      </c>
      <c r="DW338" t="str">
        <f>+IFERROR(VLOOKUP(DW39,IN_Zugliste!$A$4:$F$602,7,FALSE),"")</f>
        <v/>
      </c>
      <c r="DX338" t="str">
        <f>+IFERROR(VLOOKUP(DX39,IN_Zugliste!$A$4:$F$602,7,FALSE),"")</f>
        <v/>
      </c>
      <c r="DY338" t="str">
        <f>+IFERROR(VLOOKUP(DY39,IN_Zugliste!$A$4:$F$602,7,FALSE),"")</f>
        <v/>
      </c>
      <c r="DZ338" t="str">
        <f>+IFERROR(VLOOKUP(DZ39,IN_Zugliste!$A$4:$F$602,7,FALSE),"")</f>
        <v/>
      </c>
      <c r="EA338" t="str">
        <f>+IFERROR(VLOOKUP(EA39,IN_Zugliste!$A$4:$F$602,7,FALSE),"")</f>
        <v/>
      </c>
      <c r="EB338" t="str">
        <f>+IFERROR(VLOOKUP(EB39,IN_Zugliste!$A$4:$F$602,7,FALSE),"")</f>
        <v/>
      </c>
      <c r="EC338" t="str">
        <f>+IFERROR(VLOOKUP(EC39,IN_Zugliste!$A$4:$F$602,7,FALSE),"")</f>
        <v/>
      </c>
      <c r="ED338" t="str">
        <f>+IFERROR(VLOOKUP(ED39,IN_Zugliste!$A$4:$F$602,7,FALSE),"")</f>
        <v/>
      </c>
      <c r="EE338" t="str">
        <f>+IFERROR(VLOOKUP(EE39,IN_Zugliste!$A$4:$F$602,7,FALSE),"")</f>
        <v/>
      </c>
      <c r="EF338" t="str">
        <f>+IFERROR(VLOOKUP(EF39,IN_Zugliste!$A$4:$F$602,7,FALSE),"")</f>
        <v/>
      </c>
      <c r="EG338" t="str">
        <f>+IFERROR(VLOOKUP(EG39,IN_Zugliste!$A$4:$F$602,7,FALSE),"")</f>
        <v/>
      </c>
      <c r="EH338" t="str">
        <f>+IFERROR(VLOOKUP(EH39,IN_Zugliste!$A$4:$F$602,7,FALSE),"")</f>
        <v/>
      </c>
      <c r="EI338" t="str">
        <f>+IFERROR(VLOOKUP(EI39,IN_Zugliste!$A$4:$F$602,7,FALSE),"")</f>
        <v/>
      </c>
      <c r="EJ338" t="str">
        <f>+IFERROR(VLOOKUP(EJ39,IN_Zugliste!$A$4:$F$602,7,FALSE),"")</f>
        <v/>
      </c>
      <c r="EK338" t="str">
        <f>+IFERROR(VLOOKUP(EK39,IN_Zugliste!$A$4:$F$602,7,FALSE),"")</f>
        <v/>
      </c>
      <c r="EL338" t="str">
        <f>+IFERROR(VLOOKUP(EL39,IN_Zugliste!$A$4:$F$602,7,FALSE),"")</f>
        <v/>
      </c>
      <c r="EM338" t="str">
        <f>+IFERROR(VLOOKUP(EM39,IN_Zugliste!$A$4:$F$602,7,FALSE),"")</f>
        <v/>
      </c>
      <c r="EN338" t="str">
        <f>+IFERROR(VLOOKUP(EN39,IN_Zugliste!$A$4:$F$602,7,FALSE),"")</f>
        <v/>
      </c>
      <c r="EO338" t="str">
        <f>+IFERROR(VLOOKUP(EO39,IN_Zugliste!$A$4:$F$602,7,FALSE),"")</f>
        <v/>
      </c>
      <c r="EP338" t="str">
        <f>+IFERROR(VLOOKUP(EP39,IN_Zugliste!$A$4:$F$602,7,FALSE),"")</f>
        <v/>
      </c>
      <c r="EQ338" t="str">
        <f>+IFERROR(VLOOKUP(EQ39,IN_Zugliste!$A$4:$F$602,7,FALSE),"")</f>
        <v/>
      </c>
      <c r="ER338" t="str">
        <f>+IFERROR(VLOOKUP(ER39,IN_Zugliste!$A$4:$F$602,7,FALSE),"")</f>
        <v/>
      </c>
      <c r="ES338" t="str">
        <f>+IFERROR(VLOOKUP(ES39,IN_Zugliste!$A$4:$F$602,7,FALSE),"")</f>
        <v/>
      </c>
      <c r="ET338" t="str">
        <f>+IFERROR(VLOOKUP(ET39,IN_Zugliste!$A$4:$F$602,7,FALSE),"")</f>
        <v/>
      </c>
      <c r="EU338" t="str">
        <f>+IFERROR(VLOOKUP(EU39,IN_Zugliste!$A$4:$F$602,7,FALSE),"")</f>
        <v/>
      </c>
      <c r="EV338" t="str">
        <f>+IFERROR(VLOOKUP(EV39,IN_Zugliste!$A$4:$F$602,7,FALSE),"")</f>
        <v/>
      </c>
      <c r="EW338" t="str">
        <f>+IFERROR(VLOOKUP(EW39,IN_Zugliste!$A$4:$F$602,7,FALSE),"")</f>
        <v/>
      </c>
      <c r="EX338" t="str">
        <f>+IFERROR(VLOOKUP(EX39,IN_Zugliste!$A$4:$F$602,7,FALSE),"")</f>
        <v/>
      </c>
      <c r="EY338" t="str">
        <f>+IFERROR(VLOOKUP(EY39,IN_Zugliste!$A$4:$F$602,7,FALSE),"")</f>
        <v/>
      </c>
      <c r="EZ338" t="str">
        <f>+IFERROR(VLOOKUP(EZ39,IN_Zugliste!$A$4:$F$602,7,FALSE),"")</f>
        <v/>
      </c>
      <c r="FA338" t="str">
        <f>+IFERROR(VLOOKUP(FA39,IN_Zugliste!$A$4:$F$602,7,FALSE),"")</f>
        <v/>
      </c>
      <c r="FB338" t="str">
        <f>+IFERROR(VLOOKUP(FB39,IN_Zugliste!$A$4:$F$602,7,FALSE),"")</f>
        <v/>
      </c>
      <c r="FC338" t="str">
        <f>+IFERROR(VLOOKUP(FC39,IN_Zugliste!$A$4:$F$602,7,FALSE),"")</f>
        <v/>
      </c>
      <c r="FD338" t="str">
        <f>+IFERROR(VLOOKUP(FD39,IN_Zugliste!$A$4:$F$602,7,FALSE),"")</f>
        <v/>
      </c>
      <c r="FE338" t="str">
        <f>+IFERROR(VLOOKUP(FE39,IN_Zugliste!$A$4:$F$602,7,FALSE),"")</f>
        <v/>
      </c>
      <c r="FF338" t="str">
        <f>+IFERROR(VLOOKUP(FF39,IN_Zugliste!$A$4:$F$602,7,FALSE),"")</f>
        <v/>
      </c>
      <c r="FG338" t="str">
        <f>+IFERROR(VLOOKUP(FG39,IN_Zugliste!$A$4:$F$602,7,FALSE),"")</f>
        <v/>
      </c>
      <c r="FH338" t="str">
        <f>+IFERROR(VLOOKUP(FH39,IN_Zugliste!$A$4:$F$602,7,FALSE),"")</f>
        <v/>
      </c>
      <c r="FI338" t="str">
        <f>+IFERROR(VLOOKUP(FI39,IN_Zugliste!$A$4:$F$602,7,FALSE),"")</f>
        <v/>
      </c>
      <c r="FJ338" t="str">
        <f>+IFERROR(VLOOKUP(FJ39,IN_Zugliste!$A$4:$F$602,7,FALSE),"")</f>
        <v/>
      </c>
      <c r="FK338" t="str">
        <f>+IFERROR(VLOOKUP(FK39,IN_Zugliste!$A$4:$F$602,7,FALSE),"")</f>
        <v/>
      </c>
      <c r="FL338" t="str">
        <f>+IFERROR(VLOOKUP(FL39,IN_Zugliste!$A$4:$F$602,7,FALSE),"")</f>
        <v/>
      </c>
      <c r="FM338" t="str">
        <f>+IFERROR(VLOOKUP(FM39,IN_Zugliste!$A$4:$F$602,7,FALSE),"")</f>
        <v/>
      </c>
      <c r="FN338" t="str">
        <f>+IFERROR(VLOOKUP(FN39,IN_Zugliste!$A$4:$F$602,7,FALSE),"")</f>
        <v/>
      </c>
      <c r="FO338" t="str">
        <f>+IFERROR(VLOOKUP(FO39,IN_Zugliste!$A$4:$F$602,7,FALSE),"")</f>
        <v/>
      </c>
      <c r="FP338" t="str">
        <f>+IFERROR(VLOOKUP(FP39,IN_Zugliste!$A$4:$F$602,7,FALSE),"")</f>
        <v/>
      </c>
      <c r="FQ338" t="str">
        <f>+IFERROR(VLOOKUP(FQ39,IN_Zugliste!$A$4:$F$602,7,FALSE),"")</f>
        <v/>
      </c>
      <c r="FR338" t="str">
        <f>+IFERROR(VLOOKUP(FR39,IN_Zugliste!$A$4:$F$602,7,FALSE),"")</f>
        <v/>
      </c>
      <c r="FS338" t="str">
        <f>+IFERROR(VLOOKUP(FS39,IN_Zugliste!$A$4:$F$602,7,FALSE),"")</f>
        <v/>
      </c>
      <c r="FT338" t="str">
        <f>+IFERROR(VLOOKUP(FT39,IN_Zugliste!$A$4:$F$602,7,FALSE),"")</f>
        <v/>
      </c>
      <c r="FU338" t="str">
        <f>+IFERROR(VLOOKUP(FU39,IN_Zugliste!$A$4:$F$602,7,FALSE),"")</f>
        <v/>
      </c>
      <c r="FV338" t="str">
        <f>+IFERROR(VLOOKUP(FV39,IN_Zugliste!$A$4:$F$602,7,FALSE),"")</f>
        <v/>
      </c>
      <c r="FW338" t="str">
        <f>+IFERROR(VLOOKUP(FW39,IN_Zugliste!$A$4:$F$602,7,FALSE),"")</f>
        <v/>
      </c>
      <c r="FX338" t="str">
        <f>+IFERROR(VLOOKUP(FX39,IN_Zugliste!$A$4:$F$602,7,FALSE),"")</f>
        <v/>
      </c>
      <c r="FY338" t="str">
        <f>+IFERROR(VLOOKUP(FY39,IN_Zugliste!$A$4:$F$602,7,FALSE),"")</f>
        <v/>
      </c>
      <c r="FZ338" t="str">
        <f>+IFERROR(VLOOKUP(FZ39,IN_Zugliste!$A$4:$F$602,7,FALSE),"")</f>
        <v/>
      </c>
      <c r="GA338" t="str">
        <f>+IFERROR(VLOOKUP(GA39,IN_Zugliste!$A$4:$F$602,7,FALSE),"")</f>
        <v/>
      </c>
      <c r="GB338" t="str">
        <f>+IFERROR(VLOOKUP(GB39,IN_Zugliste!$A$4:$F$602,7,FALSE),"")</f>
        <v/>
      </c>
      <c r="GC338" t="str">
        <f>+IFERROR(VLOOKUP(GC39,IN_Zugliste!$A$4:$F$602,7,FALSE),"")</f>
        <v/>
      </c>
      <c r="GD338" t="str">
        <f>+IFERROR(VLOOKUP(GD39,IN_Zugliste!$A$4:$F$602,7,FALSE),"")</f>
        <v/>
      </c>
      <c r="GE338" t="str">
        <f>+IFERROR(VLOOKUP(GE39,IN_Zugliste!$A$4:$F$602,7,FALSE),"")</f>
        <v/>
      </c>
      <c r="GF338" t="str">
        <f>+IFERROR(VLOOKUP(GF39,IN_Zugliste!$A$4:$F$602,7,FALSE),"")</f>
        <v/>
      </c>
      <c r="GG338" t="str">
        <f>+IFERROR(VLOOKUP(GG39,IN_Zugliste!$A$4:$F$602,7,FALSE),"")</f>
        <v/>
      </c>
      <c r="GH338" t="str">
        <f>+IFERROR(VLOOKUP(GH39,IN_Zugliste!$A$4:$F$602,7,FALSE),"")</f>
        <v/>
      </c>
      <c r="GI338" t="str">
        <f>+IFERROR(VLOOKUP(GI39,IN_Zugliste!$A$4:$F$602,7,FALSE),"")</f>
        <v/>
      </c>
      <c r="GJ338" t="str">
        <f>+IFERROR(VLOOKUP(GJ39,IN_Zugliste!$A$4:$F$602,7,FALSE),"")</f>
        <v/>
      </c>
      <c r="GK338" t="str">
        <f>+IFERROR(VLOOKUP(GK39,IN_Zugliste!$A$4:$F$602,7,FALSE),"")</f>
        <v/>
      </c>
      <c r="GL338" t="str">
        <f>+IFERROR(VLOOKUP(GL39,IN_Zugliste!$A$4:$F$602,7,FALSE),"")</f>
        <v/>
      </c>
      <c r="GM338" t="str">
        <f>+IFERROR(VLOOKUP(GM39,IN_Zugliste!$A$4:$F$602,7,FALSE),"")</f>
        <v/>
      </c>
      <c r="GN338" t="str">
        <f>+IFERROR(VLOOKUP(GN39,IN_Zugliste!$A$4:$F$602,7,FALSE),"")</f>
        <v/>
      </c>
      <c r="GO338" t="str">
        <f>+IFERROR(VLOOKUP(GO39,IN_Zugliste!$A$4:$F$602,7,FALSE),"")</f>
        <v/>
      </c>
      <c r="GP338" t="str">
        <f>+IFERROR(VLOOKUP(GP39,IN_Zugliste!$A$4:$F$602,7,FALSE),"")</f>
        <v/>
      </c>
      <c r="GQ338" t="str">
        <f>+IFERROR(VLOOKUP(GQ39,IN_Zugliste!$A$4:$F$602,7,FALSE),"")</f>
        <v/>
      </c>
      <c r="GR338" t="str">
        <f>+IFERROR(VLOOKUP(GR39,IN_Zugliste!$A$4:$F$602,7,FALSE),"")</f>
        <v/>
      </c>
      <c r="GS338" t="str">
        <f>+IFERROR(VLOOKUP(GS39,IN_Zugliste!$A$4:$F$602,7,FALSE),"")</f>
        <v/>
      </c>
      <c r="GT338" t="str">
        <f>+IFERROR(VLOOKUP(GT39,IN_Zugliste!$A$4:$F$602,7,FALSE),"")</f>
        <v/>
      </c>
      <c r="GU338" t="str">
        <f>+IFERROR(VLOOKUP(GU39,IN_Zugliste!$A$4:$F$602,7,FALSE),"")</f>
        <v/>
      </c>
      <c r="GV338" t="str">
        <f>+IFERROR(VLOOKUP(GV39,IN_Zugliste!$A$4:$F$602,7,FALSE),"")</f>
        <v/>
      </c>
      <c r="GW338" t="str">
        <f>+IFERROR(VLOOKUP(GW39,IN_Zugliste!$A$4:$F$602,7,FALSE),"")</f>
        <v/>
      </c>
      <c r="GX338" t="str">
        <f>+IFERROR(VLOOKUP(GX39,IN_Zugliste!$A$4:$F$602,7,FALSE),"")</f>
        <v/>
      </c>
      <c r="GY338" t="str">
        <f>+IFERROR(VLOOKUP(GY39,IN_Zugliste!$A$4:$F$602,7,FALSE),"")</f>
        <v/>
      </c>
      <c r="GZ338" t="str">
        <f>+IFERROR(VLOOKUP(GZ39,IN_Zugliste!$A$4:$F$602,7,FALSE),"")</f>
        <v/>
      </c>
      <c r="HA338" t="str">
        <f>+IFERROR(VLOOKUP(HA39,IN_Zugliste!$A$4:$F$602,7,FALSE),"")</f>
        <v/>
      </c>
      <c r="HB338" t="str">
        <f>+IFERROR(VLOOKUP(HB39,IN_Zugliste!$A$4:$F$602,7,FALSE),"")</f>
        <v/>
      </c>
      <c r="HC338" t="str">
        <f>+IFERROR(VLOOKUP(HC39,IN_Zugliste!$A$4:$F$602,7,FALSE),"")</f>
        <v/>
      </c>
      <c r="HD338" t="str">
        <f>+IFERROR(VLOOKUP(HD39,IN_Zugliste!$A$4:$F$602,7,FALSE),"")</f>
        <v/>
      </c>
      <c r="HE338" t="str">
        <f>+IFERROR(VLOOKUP(HE39,IN_Zugliste!$A$4:$F$602,7,FALSE),"")</f>
        <v/>
      </c>
      <c r="HF338" t="str">
        <f>+IFERROR(VLOOKUP(HF39,IN_Zugliste!$A$4:$F$602,7,FALSE),"")</f>
        <v/>
      </c>
      <c r="HG338" t="str">
        <f>+IFERROR(VLOOKUP(HG39,IN_Zugliste!$A$4:$F$602,7,FALSE),"")</f>
        <v/>
      </c>
      <c r="HH338" t="str">
        <f>+IFERROR(VLOOKUP(HH39,IN_Zugliste!$A$4:$F$602,7,FALSE),"")</f>
        <v/>
      </c>
    </row>
    <row r="339" spans="1:216" x14ac:dyDescent="0.2">
      <c r="A339" t="str">
        <f>+IFERROR(VLOOKUP(A40,IN_Zugliste!$A$4:$F$602,7,FALSE),"")</f>
        <v/>
      </c>
      <c r="B339" t="str">
        <f>+IFERROR(VLOOKUP(B40,IN_Zugliste!$A$4:$F$602,7,FALSE),"")</f>
        <v/>
      </c>
      <c r="C339" t="str">
        <f>+IFERROR(VLOOKUP(C40,IN_Zugliste!$A$4:$F$602,7,FALSE),"")</f>
        <v/>
      </c>
      <c r="D339" t="str">
        <f>+IFERROR(VLOOKUP(D40,IN_Zugliste!$A$4:$F$602,7,FALSE),"")</f>
        <v/>
      </c>
      <c r="E339" t="str">
        <f>+IFERROR(VLOOKUP(E40,IN_Zugliste!$A$4:$F$602,7,FALSE),"")</f>
        <v/>
      </c>
      <c r="F339" t="str">
        <f>+IFERROR(VLOOKUP(F40,IN_Zugliste!$A$4:$F$602,7,FALSE),"")</f>
        <v/>
      </c>
      <c r="G339" t="str">
        <f>+IFERROR(VLOOKUP(G40,IN_Zugliste!$A$4:$F$602,7,FALSE),"")</f>
        <v/>
      </c>
      <c r="H339" t="str">
        <f>+IFERROR(VLOOKUP(H40,IN_Zugliste!$A$4:$F$602,7,FALSE),"")</f>
        <v/>
      </c>
      <c r="I339" t="str">
        <f>+IFERROR(VLOOKUP(I40,IN_Zugliste!$A$4:$F$602,7,FALSE),"")</f>
        <v/>
      </c>
      <c r="J339" t="str">
        <f>+IFERROR(VLOOKUP(J40,IN_Zugliste!$A$4:$F$602,7,FALSE),"")</f>
        <v/>
      </c>
      <c r="K339" t="str">
        <f>+IFERROR(VLOOKUP(K40,IN_Zugliste!$A$4:$F$602,7,FALSE),"")</f>
        <v/>
      </c>
      <c r="L339" t="str">
        <f>+IFERROR(VLOOKUP(L40,IN_Zugliste!$A$4:$F$602,7,FALSE),"")</f>
        <v/>
      </c>
      <c r="M339" t="str">
        <f>+IFERROR(VLOOKUP(M40,IN_Zugliste!$A$4:$F$602,7,FALSE),"")</f>
        <v/>
      </c>
      <c r="N339" t="str">
        <f>+IFERROR(VLOOKUP(N40,IN_Zugliste!$A$4:$F$602,7,FALSE),"")</f>
        <v/>
      </c>
      <c r="O339" t="str">
        <f>+IFERROR(VLOOKUP(O40,IN_Zugliste!$A$4:$F$602,7,FALSE),"")</f>
        <v/>
      </c>
      <c r="P339" t="str">
        <f>+IFERROR(VLOOKUP(P40,IN_Zugliste!$A$4:$F$602,7,FALSE),"")</f>
        <v/>
      </c>
      <c r="Q339" t="str">
        <f>+IFERROR(VLOOKUP(Q40,IN_Zugliste!$A$4:$F$602,7,FALSE),"")</f>
        <v/>
      </c>
      <c r="R339" t="str">
        <f>+IFERROR(VLOOKUP(R40,IN_Zugliste!$A$4:$F$602,7,FALSE),"")</f>
        <v/>
      </c>
      <c r="S339" t="str">
        <f>+IFERROR(VLOOKUP(S40,IN_Zugliste!$A$4:$F$602,7,FALSE),"")</f>
        <v/>
      </c>
      <c r="T339" t="str">
        <f>+IFERROR(VLOOKUP(T40,IN_Zugliste!$A$4:$F$602,7,FALSE),"")</f>
        <v/>
      </c>
      <c r="U339" t="str">
        <f>+IFERROR(VLOOKUP(U40,IN_Zugliste!$A$4:$F$602,7,FALSE),"")</f>
        <v/>
      </c>
      <c r="V339" t="str">
        <f>+IFERROR(VLOOKUP(V40,IN_Zugliste!$A$4:$F$602,7,FALSE),"")</f>
        <v/>
      </c>
      <c r="W339" t="str">
        <f>+IFERROR(VLOOKUP(W40,IN_Zugliste!$A$4:$F$602,7,FALSE),"")</f>
        <v/>
      </c>
      <c r="X339" t="str">
        <f>+IFERROR(VLOOKUP(X40,IN_Zugliste!$A$4:$F$602,7,FALSE),"")</f>
        <v/>
      </c>
      <c r="Y339" t="str">
        <f>+IFERROR(VLOOKUP(Y40,IN_Zugliste!$A$4:$F$602,7,FALSE),"")</f>
        <v/>
      </c>
      <c r="Z339" t="str">
        <f>+IFERROR(VLOOKUP(Z40,IN_Zugliste!$A$4:$F$602,7,FALSE),"")</f>
        <v/>
      </c>
      <c r="AA339" t="str">
        <f>+IFERROR(VLOOKUP(AA40,IN_Zugliste!$A$4:$F$602,7,FALSE),"")</f>
        <v/>
      </c>
      <c r="AB339" t="str">
        <f>+IFERROR(VLOOKUP(AB40,IN_Zugliste!$A$4:$F$602,7,FALSE),"")</f>
        <v/>
      </c>
      <c r="AC339" t="str">
        <f>+IFERROR(VLOOKUP(AC40,IN_Zugliste!$A$4:$F$602,7,FALSE),"")</f>
        <v/>
      </c>
      <c r="AD339" t="str">
        <f>+IFERROR(VLOOKUP(AD40,IN_Zugliste!$A$4:$F$602,7,FALSE),"")</f>
        <v/>
      </c>
      <c r="AE339" t="str">
        <f>+IFERROR(VLOOKUP(AE40,IN_Zugliste!$A$4:$F$602,7,FALSE),"")</f>
        <v/>
      </c>
      <c r="AF339" t="str">
        <f>+IFERROR(VLOOKUP(AF40,IN_Zugliste!$A$4:$F$602,7,FALSE),"")</f>
        <v/>
      </c>
      <c r="AG339" t="str">
        <f>+IFERROR(VLOOKUP(AG40,IN_Zugliste!$A$4:$F$602,7,FALSE),"")</f>
        <v/>
      </c>
      <c r="AH339" t="str">
        <f>+IFERROR(VLOOKUP(AH40,IN_Zugliste!$A$4:$F$602,7,FALSE),"")</f>
        <v/>
      </c>
      <c r="AI339" t="str">
        <f>+IFERROR(VLOOKUP(AI40,IN_Zugliste!$A$4:$F$602,7,FALSE),"")</f>
        <v/>
      </c>
      <c r="AJ339" t="str">
        <f>+IFERROR(VLOOKUP(AJ40,IN_Zugliste!$A$4:$F$602,7,FALSE),"")</f>
        <v/>
      </c>
      <c r="AK339" t="str">
        <f>+IFERROR(VLOOKUP(AK40,IN_Zugliste!$A$4:$F$602,7,FALSE),"")</f>
        <v/>
      </c>
      <c r="AL339" t="str">
        <f>+IFERROR(VLOOKUP(AL40,IN_Zugliste!$A$4:$F$602,7,FALSE),"")</f>
        <v/>
      </c>
      <c r="AM339" t="str">
        <f>+IFERROR(VLOOKUP(AM40,IN_Zugliste!$A$4:$F$602,7,FALSE),"")</f>
        <v/>
      </c>
      <c r="AN339" t="str">
        <f>+IFERROR(VLOOKUP(AN40,IN_Zugliste!$A$4:$F$602,7,FALSE),"")</f>
        <v/>
      </c>
      <c r="AO339" t="str">
        <f>+IFERROR(VLOOKUP(AO40,IN_Zugliste!$A$4:$F$602,7,FALSE),"")</f>
        <v/>
      </c>
      <c r="AP339" t="str">
        <f>+IFERROR(VLOOKUP(AP40,IN_Zugliste!$A$4:$F$602,7,FALSE),"")</f>
        <v/>
      </c>
      <c r="AQ339" t="str">
        <f>+IFERROR(VLOOKUP(AQ40,IN_Zugliste!$A$4:$F$602,7,FALSE),"")</f>
        <v/>
      </c>
      <c r="AR339" t="str">
        <f>+IFERROR(VLOOKUP(AR40,IN_Zugliste!$A$4:$F$602,7,FALSE),"")</f>
        <v/>
      </c>
      <c r="AS339" t="str">
        <f>+IFERROR(VLOOKUP(AS40,IN_Zugliste!$A$4:$F$602,7,FALSE),"")</f>
        <v/>
      </c>
      <c r="AT339" t="str">
        <f>+IFERROR(VLOOKUP(AT40,IN_Zugliste!$A$4:$F$602,7,FALSE),"")</f>
        <v/>
      </c>
      <c r="AU339" t="str">
        <f>+IFERROR(VLOOKUP(AU40,IN_Zugliste!$A$4:$F$602,7,FALSE),"")</f>
        <v/>
      </c>
      <c r="AV339" t="str">
        <f>+IFERROR(VLOOKUP(AV40,IN_Zugliste!$A$4:$F$602,7,FALSE),"")</f>
        <v/>
      </c>
      <c r="AW339" t="str">
        <f>+IFERROR(VLOOKUP(AW40,IN_Zugliste!$A$4:$F$602,7,FALSE),"")</f>
        <v/>
      </c>
      <c r="AX339" t="str">
        <f>+IFERROR(VLOOKUP(AX40,IN_Zugliste!$A$4:$F$602,7,FALSE),"")</f>
        <v/>
      </c>
      <c r="AY339" t="str">
        <f>+IFERROR(VLOOKUP(AY40,IN_Zugliste!$A$4:$F$602,7,FALSE),"")</f>
        <v/>
      </c>
      <c r="AZ339" t="str">
        <f>+IFERROR(VLOOKUP(AZ40,IN_Zugliste!$A$4:$F$602,7,FALSE),"")</f>
        <v/>
      </c>
      <c r="BA339" t="str">
        <f>+IFERROR(VLOOKUP(BA40,IN_Zugliste!$A$4:$F$602,7,FALSE),"")</f>
        <v/>
      </c>
      <c r="BB339" t="str">
        <f>+IFERROR(VLOOKUP(BB40,IN_Zugliste!$A$4:$F$602,7,FALSE),"")</f>
        <v/>
      </c>
      <c r="BC339" t="str">
        <f>+IFERROR(VLOOKUP(BC40,IN_Zugliste!$A$4:$F$602,7,FALSE),"")</f>
        <v/>
      </c>
      <c r="BD339" t="str">
        <f>+IFERROR(VLOOKUP(BD40,IN_Zugliste!$A$4:$F$602,7,FALSE),"")</f>
        <v/>
      </c>
      <c r="BE339" t="str">
        <f>+IFERROR(VLOOKUP(BE40,IN_Zugliste!$A$4:$F$602,7,FALSE),"")</f>
        <v/>
      </c>
      <c r="BF339" t="str">
        <f>+IFERROR(VLOOKUP(BF40,IN_Zugliste!$A$4:$F$602,7,FALSE),"")</f>
        <v/>
      </c>
      <c r="BG339" t="str">
        <f>+IFERROR(VLOOKUP(BG40,IN_Zugliste!$A$4:$F$602,7,FALSE),"")</f>
        <v/>
      </c>
      <c r="BH339" t="str">
        <f>+IFERROR(VLOOKUP(BH40,IN_Zugliste!$A$4:$F$602,7,FALSE),"")</f>
        <v/>
      </c>
      <c r="BI339" t="str">
        <f>+IFERROR(VLOOKUP(BI40,IN_Zugliste!$A$4:$F$602,7,FALSE),"")</f>
        <v/>
      </c>
      <c r="BJ339" t="str">
        <f>+IFERROR(VLOOKUP(BJ40,IN_Zugliste!$A$4:$F$602,7,FALSE),"")</f>
        <v/>
      </c>
      <c r="BK339" t="str">
        <f>+IFERROR(VLOOKUP(BK40,IN_Zugliste!$A$4:$F$602,7,FALSE),"")</f>
        <v/>
      </c>
      <c r="BL339" t="str">
        <f>+IFERROR(VLOOKUP(BL40,IN_Zugliste!$A$4:$F$602,7,FALSE),"")</f>
        <v/>
      </c>
      <c r="BM339" t="str">
        <f>+IFERROR(VLOOKUP(BM40,IN_Zugliste!$A$4:$F$602,7,FALSE),"")</f>
        <v/>
      </c>
      <c r="BN339" t="str">
        <f>+IFERROR(VLOOKUP(BN40,IN_Zugliste!$A$4:$F$602,7,FALSE),"")</f>
        <v/>
      </c>
      <c r="BO339" t="str">
        <f>+IFERROR(VLOOKUP(BO40,IN_Zugliste!$A$4:$F$602,7,FALSE),"")</f>
        <v/>
      </c>
      <c r="BP339" t="str">
        <f>+IFERROR(VLOOKUP(BP40,IN_Zugliste!$A$4:$F$602,7,FALSE),"")</f>
        <v/>
      </c>
      <c r="BQ339" t="str">
        <f>+IFERROR(VLOOKUP(BQ40,IN_Zugliste!$A$4:$F$602,7,FALSE),"")</f>
        <v/>
      </c>
      <c r="BR339" t="str">
        <f>+IFERROR(VLOOKUP(BR40,IN_Zugliste!$A$4:$F$602,7,FALSE),"")</f>
        <v/>
      </c>
      <c r="BS339" t="str">
        <f>+IFERROR(VLOOKUP(BS40,IN_Zugliste!$A$4:$F$602,7,FALSE),"")</f>
        <v/>
      </c>
      <c r="BT339" t="str">
        <f>+IFERROR(VLOOKUP(BT40,IN_Zugliste!$A$4:$F$602,7,FALSE),"")</f>
        <v/>
      </c>
      <c r="BU339" t="str">
        <f>+IFERROR(VLOOKUP(BU40,IN_Zugliste!$A$4:$F$602,7,FALSE),"")</f>
        <v/>
      </c>
      <c r="BV339" t="str">
        <f>+IFERROR(VLOOKUP(BV40,IN_Zugliste!$A$4:$F$602,7,FALSE),"")</f>
        <v/>
      </c>
      <c r="BW339" t="str">
        <f>+IFERROR(VLOOKUP(BW40,IN_Zugliste!$A$4:$F$602,7,FALSE),"")</f>
        <v/>
      </c>
      <c r="BX339" t="str">
        <f>+IFERROR(VLOOKUP(BX40,IN_Zugliste!$A$4:$F$602,7,FALSE),"")</f>
        <v/>
      </c>
      <c r="BY339" t="str">
        <f>+IFERROR(VLOOKUP(BY40,IN_Zugliste!$A$4:$F$602,7,FALSE),"")</f>
        <v/>
      </c>
      <c r="BZ339" t="str">
        <f>+IFERROR(VLOOKUP(BZ40,IN_Zugliste!$A$4:$F$602,7,FALSE),"")</f>
        <v/>
      </c>
      <c r="CA339" t="str">
        <f>+IFERROR(VLOOKUP(CA40,IN_Zugliste!$A$4:$F$602,7,FALSE),"")</f>
        <v/>
      </c>
      <c r="CB339" t="str">
        <f>+IFERROR(VLOOKUP(CB40,IN_Zugliste!$A$4:$F$602,7,FALSE),"")</f>
        <v/>
      </c>
      <c r="CC339" t="str">
        <f>+IFERROR(VLOOKUP(CC40,IN_Zugliste!$A$4:$F$602,7,FALSE),"")</f>
        <v/>
      </c>
      <c r="CD339" t="str">
        <f>+IFERROR(VLOOKUP(CD40,IN_Zugliste!$A$4:$F$602,7,FALSE),"")</f>
        <v/>
      </c>
      <c r="CE339" t="str">
        <f>+IFERROR(VLOOKUP(CE40,IN_Zugliste!$A$4:$F$602,7,FALSE),"")</f>
        <v/>
      </c>
      <c r="CF339" t="str">
        <f>+IFERROR(VLOOKUP(CF40,IN_Zugliste!$A$4:$F$602,7,FALSE),"")</f>
        <v/>
      </c>
      <c r="CG339" t="str">
        <f>+IFERROR(VLOOKUP(CG40,IN_Zugliste!$A$4:$F$602,7,FALSE),"")</f>
        <v/>
      </c>
      <c r="CH339" t="str">
        <f>+IFERROR(VLOOKUP(CH40,IN_Zugliste!$A$4:$F$602,7,FALSE),"")</f>
        <v/>
      </c>
      <c r="CI339" t="str">
        <f>+IFERROR(VLOOKUP(CI40,IN_Zugliste!$A$4:$F$602,7,FALSE),"")</f>
        <v/>
      </c>
      <c r="CJ339" t="str">
        <f>+IFERROR(VLOOKUP(CJ40,IN_Zugliste!$A$4:$F$602,7,FALSE),"")</f>
        <v/>
      </c>
      <c r="CK339" t="str">
        <f>+IFERROR(VLOOKUP(CK40,IN_Zugliste!$A$4:$F$602,7,FALSE),"")</f>
        <v/>
      </c>
      <c r="CL339" t="str">
        <f>+IFERROR(VLOOKUP(CL40,IN_Zugliste!$A$4:$F$602,7,FALSE),"")</f>
        <v/>
      </c>
      <c r="CM339" t="str">
        <f>+IFERROR(VLOOKUP(CM40,IN_Zugliste!$A$4:$F$602,7,FALSE),"")</f>
        <v/>
      </c>
      <c r="CN339" t="str">
        <f>+IFERROR(VLOOKUP(CN40,IN_Zugliste!$A$4:$F$602,7,FALSE),"")</f>
        <v/>
      </c>
      <c r="CO339" t="str">
        <f>+IFERROR(VLOOKUP(CO40,IN_Zugliste!$A$4:$F$602,7,FALSE),"")</f>
        <v/>
      </c>
      <c r="CP339" t="str">
        <f>+IFERROR(VLOOKUP(CP40,IN_Zugliste!$A$4:$F$602,7,FALSE),"")</f>
        <v/>
      </c>
      <c r="CQ339" t="str">
        <f>+IFERROR(VLOOKUP(CQ40,IN_Zugliste!$A$4:$F$602,7,FALSE),"")</f>
        <v/>
      </c>
      <c r="CR339" t="str">
        <f>+IFERROR(VLOOKUP(CR40,IN_Zugliste!$A$4:$F$602,7,FALSE),"")</f>
        <v/>
      </c>
      <c r="CS339" t="str">
        <f>+IFERROR(VLOOKUP(CS40,IN_Zugliste!$A$4:$F$602,7,FALSE),"")</f>
        <v/>
      </c>
      <c r="CT339" t="str">
        <f>+IFERROR(VLOOKUP(CT40,IN_Zugliste!$A$4:$F$602,7,FALSE),"")</f>
        <v/>
      </c>
      <c r="CU339" t="str">
        <f>+IFERROR(VLOOKUP(CU40,IN_Zugliste!$A$4:$F$602,7,FALSE),"")</f>
        <v/>
      </c>
      <c r="CV339" t="str">
        <f>+IFERROR(VLOOKUP(CV40,IN_Zugliste!$A$4:$F$602,7,FALSE),"")</f>
        <v/>
      </c>
      <c r="CW339" t="str">
        <f>+IFERROR(VLOOKUP(CW40,IN_Zugliste!$A$4:$F$602,7,FALSE),"")</f>
        <v/>
      </c>
      <c r="CX339" t="str">
        <f>+IFERROR(VLOOKUP(CX40,IN_Zugliste!$A$4:$F$602,7,FALSE),"")</f>
        <v/>
      </c>
      <c r="CY339" t="str">
        <f>+IFERROR(VLOOKUP(CY40,IN_Zugliste!$A$4:$F$602,7,FALSE),"")</f>
        <v/>
      </c>
      <c r="CZ339" t="str">
        <f>+IFERROR(VLOOKUP(CZ40,IN_Zugliste!$A$4:$F$602,7,FALSE),"")</f>
        <v/>
      </c>
      <c r="DA339" t="str">
        <f>+IFERROR(VLOOKUP(DA40,IN_Zugliste!$A$4:$F$602,7,FALSE),"")</f>
        <v/>
      </c>
      <c r="DB339" t="str">
        <f>+IFERROR(VLOOKUP(DB40,IN_Zugliste!$A$4:$F$602,7,FALSE),"")</f>
        <v/>
      </c>
      <c r="DC339" t="str">
        <f>+IFERROR(VLOOKUP(DC40,IN_Zugliste!$A$4:$F$602,7,FALSE),"")</f>
        <v/>
      </c>
      <c r="DD339" t="str">
        <f>+IFERROR(VLOOKUP(DD40,IN_Zugliste!$A$4:$F$602,7,FALSE),"")</f>
        <v/>
      </c>
      <c r="DE339" t="str">
        <f>+IFERROR(VLOOKUP(DE40,IN_Zugliste!$A$4:$F$602,7,FALSE),"")</f>
        <v/>
      </c>
      <c r="DF339" t="str">
        <f>+IFERROR(VLOOKUP(DF40,IN_Zugliste!$A$4:$F$602,7,FALSE),"")</f>
        <v/>
      </c>
      <c r="DG339" t="str">
        <f>+IFERROR(VLOOKUP(DG40,IN_Zugliste!$A$4:$F$602,7,FALSE),"")</f>
        <v/>
      </c>
      <c r="DH339" t="str">
        <f>+IFERROR(VLOOKUP(DH40,IN_Zugliste!$A$4:$F$602,7,FALSE),"")</f>
        <v/>
      </c>
      <c r="DI339" t="str">
        <f>+IFERROR(VLOOKUP(DI40,IN_Zugliste!$A$4:$F$602,7,FALSE),"")</f>
        <v/>
      </c>
      <c r="DJ339" t="str">
        <f>+IFERROR(VLOOKUP(DJ40,IN_Zugliste!$A$4:$F$602,7,FALSE),"")</f>
        <v/>
      </c>
      <c r="DK339" t="str">
        <f>+IFERROR(VLOOKUP(DK40,IN_Zugliste!$A$4:$F$602,7,FALSE),"")</f>
        <v/>
      </c>
      <c r="DL339" t="str">
        <f>+IFERROR(VLOOKUP(DL40,IN_Zugliste!$A$4:$F$602,7,FALSE),"")</f>
        <v/>
      </c>
      <c r="DM339" t="str">
        <f>+IFERROR(VLOOKUP(DM40,IN_Zugliste!$A$4:$F$602,7,FALSE),"")</f>
        <v/>
      </c>
      <c r="DN339" t="str">
        <f>+IFERROR(VLOOKUP(DN40,IN_Zugliste!$A$4:$F$602,7,FALSE),"")</f>
        <v/>
      </c>
      <c r="DO339" t="str">
        <f>+IFERROR(VLOOKUP(DO40,IN_Zugliste!$A$4:$F$602,7,FALSE),"")</f>
        <v/>
      </c>
      <c r="DP339" t="str">
        <f>+IFERROR(VLOOKUP(DP40,IN_Zugliste!$A$4:$F$602,7,FALSE),"")</f>
        <v/>
      </c>
      <c r="DQ339" t="str">
        <f>+IFERROR(VLOOKUP(DQ40,IN_Zugliste!$A$4:$F$602,7,FALSE),"")</f>
        <v/>
      </c>
      <c r="DR339" t="str">
        <f>+IFERROR(VLOOKUP(DR40,IN_Zugliste!$A$4:$F$602,7,FALSE),"")</f>
        <v/>
      </c>
      <c r="DS339" t="str">
        <f>+IFERROR(VLOOKUP(DS40,IN_Zugliste!$A$4:$F$602,7,FALSE),"")</f>
        <v/>
      </c>
      <c r="DT339" t="str">
        <f>+IFERROR(VLOOKUP(DT40,IN_Zugliste!$A$4:$F$602,7,FALSE),"")</f>
        <v/>
      </c>
      <c r="DU339" t="str">
        <f>+IFERROR(VLOOKUP(DU40,IN_Zugliste!$A$4:$F$602,7,FALSE),"")</f>
        <v/>
      </c>
      <c r="DV339" t="str">
        <f>+IFERROR(VLOOKUP(DV40,IN_Zugliste!$A$4:$F$602,7,FALSE),"")</f>
        <v/>
      </c>
      <c r="DW339" t="str">
        <f>+IFERROR(VLOOKUP(DW40,IN_Zugliste!$A$4:$F$602,7,FALSE),"")</f>
        <v/>
      </c>
      <c r="DX339" t="str">
        <f>+IFERROR(VLOOKUP(DX40,IN_Zugliste!$A$4:$F$602,7,FALSE),"")</f>
        <v/>
      </c>
      <c r="DY339" t="str">
        <f>+IFERROR(VLOOKUP(DY40,IN_Zugliste!$A$4:$F$602,7,FALSE),"")</f>
        <v/>
      </c>
      <c r="DZ339" t="str">
        <f>+IFERROR(VLOOKUP(DZ40,IN_Zugliste!$A$4:$F$602,7,FALSE),"")</f>
        <v/>
      </c>
      <c r="EA339" t="str">
        <f>+IFERROR(VLOOKUP(EA40,IN_Zugliste!$A$4:$F$602,7,FALSE),"")</f>
        <v/>
      </c>
      <c r="EB339" t="str">
        <f>+IFERROR(VLOOKUP(EB40,IN_Zugliste!$A$4:$F$602,7,FALSE),"")</f>
        <v/>
      </c>
      <c r="EC339" t="str">
        <f>+IFERROR(VLOOKUP(EC40,IN_Zugliste!$A$4:$F$602,7,FALSE),"")</f>
        <v/>
      </c>
      <c r="ED339" t="str">
        <f>+IFERROR(VLOOKUP(ED40,IN_Zugliste!$A$4:$F$602,7,FALSE),"")</f>
        <v/>
      </c>
      <c r="EE339" t="str">
        <f>+IFERROR(VLOOKUP(EE40,IN_Zugliste!$A$4:$F$602,7,FALSE),"")</f>
        <v/>
      </c>
      <c r="EF339" t="str">
        <f>+IFERROR(VLOOKUP(EF40,IN_Zugliste!$A$4:$F$602,7,FALSE),"")</f>
        <v/>
      </c>
      <c r="EG339" t="str">
        <f>+IFERROR(VLOOKUP(EG40,IN_Zugliste!$A$4:$F$602,7,FALSE),"")</f>
        <v/>
      </c>
      <c r="EH339" t="str">
        <f>+IFERROR(VLOOKUP(EH40,IN_Zugliste!$A$4:$F$602,7,FALSE),"")</f>
        <v/>
      </c>
      <c r="EI339" t="str">
        <f>+IFERROR(VLOOKUP(EI40,IN_Zugliste!$A$4:$F$602,7,FALSE),"")</f>
        <v/>
      </c>
      <c r="EJ339" t="str">
        <f>+IFERROR(VLOOKUP(EJ40,IN_Zugliste!$A$4:$F$602,7,FALSE),"")</f>
        <v/>
      </c>
      <c r="EK339" t="str">
        <f>+IFERROR(VLOOKUP(EK40,IN_Zugliste!$A$4:$F$602,7,FALSE),"")</f>
        <v/>
      </c>
      <c r="EL339" t="str">
        <f>+IFERROR(VLOOKUP(EL40,IN_Zugliste!$A$4:$F$602,7,FALSE),"")</f>
        <v/>
      </c>
      <c r="EM339" t="str">
        <f>+IFERROR(VLOOKUP(EM40,IN_Zugliste!$A$4:$F$602,7,FALSE),"")</f>
        <v/>
      </c>
      <c r="EN339" t="str">
        <f>+IFERROR(VLOOKUP(EN40,IN_Zugliste!$A$4:$F$602,7,FALSE),"")</f>
        <v/>
      </c>
      <c r="EO339" t="str">
        <f>+IFERROR(VLOOKUP(EO40,IN_Zugliste!$A$4:$F$602,7,FALSE),"")</f>
        <v/>
      </c>
      <c r="EP339" t="str">
        <f>+IFERROR(VLOOKUP(EP40,IN_Zugliste!$A$4:$F$602,7,FALSE),"")</f>
        <v/>
      </c>
      <c r="EQ339" t="str">
        <f>+IFERROR(VLOOKUP(EQ40,IN_Zugliste!$A$4:$F$602,7,FALSE),"")</f>
        <v/>
      </c>
      <c r="ER339" t="str">
        <f>+IFERROR(VLOOKUP(ER40,IN_Zugliste!$A$4:$F$602,7,FALSE),"")</f>
        <v/>
      </c>
      <c r="ES339" t="str">
        <f>+IFERROR(VLOOKUP(ES40,IN_Zugliste!$A$4:$F$602,7,FALSE),"")</f>
        <v/>
      </c>
      <c r="ET339" t="str">
        <f>+IFERROR(VLOOKUP(ET40,IN_Zugliste!$A$4:$F$602,7,FALSE),"")</f>
        <v/>
      </c>
      <c r="EU339" t="str">
        <f>+IFERROR(VLOOKUP(EU40,IN_Zugliste!$A$4:$F$602,7,FALSE),"")</f>
        <v/>
      </c>
      <c r="EV339" t="str">
        <f>+IFERROR(VLOOKUP(EV40,IN_Zugliste!$A$4:$F$602,7,FALSE),"")</f>
        <v/>
      </c>
      <c r="EW339" t="str">
        <f>+IFERROR(VLOOKUP(EW40,IN_Zugliste!$A$4:$F$602,7,FALSE),"")</f>
        <v/>
      </c>
      <c r="EX339" t="str">
        <f>+IFERROR(VLOOKUP(EX40,IN_Zugliste!$A$4:$F$602,7,FALSE),"")</f>
        <v/>
      </c>
      <c r="EY339" t="str">
        <f>+IFERROR(VLOOKUP(EY40,IN_Zugliste!$A$4:$F$602,7,FALSE),"")</f>
        <v/>
      </c>
      <c r="EZ339" t="str">
        <f>+IFERROR(VLOOKUP(EZ40,IN_Zugliste!$A$4:$F$602,7,FALSE),"")</f>
        <v/>
      </c>
      <c r="FA339" t="str">
        <f>+IFERROR(VLOOKUP(FA40,IN_Zugliste!$A$4:$F$602,7,FALSE),"")</f>
        <v/>
      </c>
      <c r="FB339" t="str">
        <f>+IFERROR(VLOOKUP(FB40,IN_Zugliste!$A$4:$F$602,7,FALSE),"")</f>
        <v/>
      </c>
      <c r="FC339" t="str">
        <f>+IFERROR(VLOOKUP(FC40,IN_Zugliste!$A$4:$F$602,7,FALSE),"")</f>
        <v/>
      </c>
      <c r="FD339" t="str">
        <f>+IFERROR(VLOOKUP(FD40,IN_Zugliste!$A$4:$F$602,7,FALSE),"")</f>
        <v/>
      </c>
      <c r="FE339" t="str">
        <f>+IFERROR(VLOOKUP(FE40,IN_Zugliste!$A$4:$F$602,7,FALSE),"")</f>
        <v/>
      </c>
      <c r="FF339" t="str">
        <f>+IFERROR(VLOOKUP(FF40,IN_Zugliste!$A$4:$F$602,7,FALSE),"")</f>
        <v/>
      </c>
      <c r="FG339" t="str">
        <f>+IFERROR(VLOOKUP(FG40,IN_Zugliste!$A$4:$F$602,7,FALSE),"")</f>
        <v/>
      </c>
      <c r="FH339" t="str">
        <f>+IFERROR(VLOOKUP(FH40,IN_Zugliste!$A$4:$F$602,7,FALSE),"")</f>
        <v/>
      </c>
      <c r="FI339" t="str">
        <f>+IFERROR(VLOOKUP(FI40,IN_Zugliste!$A$4:$F$602,7,FALSE),"")</f>
        <v/>
      </c>
      <c r="FJ339" t="str">
        <f>+IFERROR(VLOOKUP(FJ40,IN_Zugliste!$A$4:$F$602,7,FALSE),"")</f>
        <v/>
      </c>
      <c r="FK339" t="str">
        <f>+IFERROR(VLOOKUP(FK40,IN_Zugliste!$A$4:$F$602,7,FALSE),"")</f>
        <v/>
      </c>
      <c r="FL339" t="str">
        <f>+IFERROR(VLOOKUP(FL40,IN_Zugliste!$A$4:$F$602,7,FALSE),"")</f>
        <v/>
      </c>
      <c r="FM339" t="str">
        <f>+IFERROR(VLOOKUP(FM40,IN_Zugliste!$A$4:$F$602,7,FALSE),"")</f>
        <v/>
      </c>
      <c r="FN339" t="str">
        <f>+IFERROR(VLOOKUP(FN40,IN_Zugliste!$A$4:$F$602,7,FALSE),"")</f>
        <v/>
      </c>
      <c r="FO339" t="str">
        <f>+IFERROR(VLOOKUP(FO40,IN_Zugliste!$A$4:$F$602,7,FALSE),"")</f>
        <v/>
      </c>
      <c r="FP339" t="str">
        <f>+IFERROR(VLOOKUP(FP40,IN_Zugliste!$A$4:$F$602,7,FALSE),"")</f>
        <v/>
      </c>
      <c r="FQ339" t="str">
        <f>+IFERROR(VLOOKUP(FQ40,IN_Zugliste!$A$4:$F$602,7,FALSE),"")</f>
        <v/>
      </c>
      <c r="FR339" t="str">
        <f>+IFERROR(VLOOKUP(FR40,IN_Zugliste!$A$4:$F$602,7,FALSE),"")</f>
        <v/>
      </c>
      <c r="FS339" t="str">
        <f>+IFERROR(VLOOKUP(FS40,IN_Zugliste!$A$4:$F$602,7,FALSE),"")</f>
        <v/>
      </c>
      <c r="FT339" t="str">
        <f>+IFERROR(VLOOKUP(FT40,IN_Zugliste!$A$4:$F$602,7,FALSE),"")</f>
        <v/>
      </c>
      <c r="FU339" t="str">
        <f>+IFERROR(VLOOKUP(FU40,IN_Zugliste!$A$4:$F$602,7,FALSE),"")</f>
        <v/>
      </c>
      <c r="FV339" t="str">
        <f>+IFERROR(VLOOKUP(FV40,IN_Zugliste!$A$4:$F$602,7,FALSE),"")</f>
        <v/>
      </c>
      <c r="FW339" t="str">
        <f>+IFERROR(VLOOKUP(FW40,IN_Zugliste!$A$4:$F$602,7,FALSE),"")</f>
        <v/>
      </c>
      <c r="FX339" t="str">
        <f>+IFERROR(VLOOKUP(FX40,IN_Zugliste!$A$4:$F$602,7,FALSE),"")</f>
        <v/>
      </c>
      <c r="FY339" t="str">
        <f>+IFERROR(VLOOKUP(FY40,IN_Zugliste!$A$4:$F$602,7,FALSE),"")</f>
        <v/>
      </c>
      <c r="FZ339" t="str">
        <f>+IFERROR(VLOOKUP(FZ40,IN_Zugliste!$A$4:$F$602,7,FALSE),"")</f>
        <v/>
      </c>
      <c r="GA339" t="str">
        <f>+IFERROR(VLOOKUP(GA40,IN_Zugliste!$A$4:$F$602,7,FALSE),"")</f>
        <v/>
      </c>
      <c r="GB339" t="str">
        <f>+IFERROR(VLOOKUP(GB40,IN_Zugliste!$A$4:$F$602,7,FALSE),"")</f>
        <v/>
      </c>
      <c r="GC339" t="str">
        <f>+IFERROR(VLOOKUP(GC40,IN_Zugliste!$A$4:$F$602,7,FALSE),"")</f>
        <v/>
      </c>
      <c r="GD339" t="str">
        <f>+IFERROR(VLOOKUP(GD40,IN_Zugliste!$A$4:$F$602,7,FALSE),"")</f>
        <v/>
      </c>
      <c r="GE339" t="str">
        <f>+IFERROR(VLOOKUP(GE40,IN_Zugliste!$A$4:$F$602,7,FALSE),"")</f>
        <v/>
      </c>
      <c r="GF339" t="str">
        <f>+IFERROR(VLOOKUP(GF40,IN_Zugliste!$A$4:$F$602,7,FALSE),"")</f>
        <v/>
      </c>
      <c r="GG339" t="str">
        <f>+IFERROR(VLOOKUP(GG40,IN_Zugliste!$A$4:$F$602,7,FALSE),"")</f>
        <v/>
      </c>
      <c r="GH339" t="str">
        <f>+IFERROR(VLOOKUP(GH40,IN_Zugliste!$A$4:$F$602,7,FALSE),"")</f>
        <v/>
      </c>
      <c r="GI339" t="str">
        <f>+IFERROR(VLOOKUP(GI40,IN_Zugliste!$A$4:$F$602,7,FALSE),"")</f>
        <v/>
      </c>
      <c r="GJ339" t="str">
        <f>+IFERROR(VLOOKUP(GJ40,IN_Zugliste!$A$4:$F$602,7,FALSE),"")</f>
        <v/>
      </c>
      <c r="GK339" t="str">
        <f>+IFERROR(VLOOKUP(GK40,IN_Zugliste!$A$4:$F$602,7,FALSE),"")</f>
        <v/>
      </c>
      <c r="GL339" t="str">
        <f>+IFERROR(VLOOKUP(GL40,IN_Zugliste!$A$4:$F$602,7,FALSE),"")</f>
        <v/>
      </c>
      <c r="GM339" t="str">
        <f>+IFERROR(VLOOKUP(GM40,IN_Zugliste!$A$4:$F$602,7,FALSE),"")</f>
        <v/>
      </c>
      <c r="GN339" t="str">
        <f>+IFERROR(VLOOKUP(GN40,IN_Zugliste!$A$4:$F$602,7,FALSE),"")</f>
        <v/>
      </c>
      <c r="GO339" t="str">
        <f>+IFERROR(VLOOKUP(GO40,IN_Zugliste!$A$4:$F$602,7,FALSE),"")</f>
        <v/>
      </c>
      <c r="GP339" t="str">
        <f>+IFERROR(VLOOKUP(GP40,IN_Zugliste!$A$4:$F$602,7,FALSE),"")</f>
        <v/>
      </c>
      <c r="GQ339" t="str">
        <f>+IFERROR(VLOOKUP(GQ40,IN_Zugliste!$A$4:$F$602,7,FALSE),"")</f>
        <v/>
      </c>
      <c r="GR339" t="str">
        <f>+IFERROR(VLOOKUP(GR40,IN_Zugliste!$A$4:$F$602,7,FALSE),"")</f>
        <v/>
      </c>
      <c r="GS339" t="str">
        <f>+IFERROR(VLOOKUP(GS40,IN_Zugliste!$A$4:$F$602,7,FALSE),"")</f>
        <v/>
      </c>
      <c r="GT339" t="str">
        <f>+IFERROR(VLOOKUP(GT40,IN_Zugliste!$A$4:$F$602,7,FALSE),"")</f>
        <v/>
      </c>
      <c r="GU339" t="str">
        <f>+IFERROR(VLOOKUP(GU40,IN_Zugliste!$A$4:$F$602,7,FALSE),"")</f>
        <v/>
      </c>
      <c r="GV339" t="str">
        <f>+IFERROR(VLOOKUP(GV40,IN_Zugliste!$A$4:$F$602,7,FALSE),"")</f>
        <v/>
      </c>
      <c r="GW339" t="str">
        <f>+IFERROR(VLOOKUP(GW40,IN_Zugliste!$A$4:$F$602,7,FALSE),"")</f>
        <v/>
      </c>
      <c r="GX339" t="str">
        <f>+IFERROR(VLOOKUP(GX40,IN_Zugliste!$A$4:$F$602,7,FALSE),"")</f>
        <v/>
      </c>
      <c r="GY339" t="str">
        <f>+IFERROR(VLOOKUP(GY40,IN_Zugliste!$A$4:$F$602,7,FALSE),"")</f>
        <v/>
      </c>
      <c r="GZ339" t="str">
        <f>+IFERROR(VLOOKUP(GZ40,IN_Zugliste!$A$4:$F$602,7,FALSE),"")</f>
        <v/>
      </c>
      <c r="HA339" t="str">
        <f>+IFERROR(VLOOKUP(HA40,IN_Zugliste!$A$4:$F$602,7,FALSE),"")</f>
        <v/>
      </c>
      <c r="HB339" t="str">
        <f>+IFERROR(VLOOKUP(HB40,IN_Zugliste!$A$4:$F$602,7,FALSE),"")</f>
        <v/>
      </c>
      <c r="HC339" t="str">
        <f>+IFERROR(VLOOKUP(HC40,IN_Zugliste!$A$4:$F$602,7,FALSE),"")</f>
        <v/>
      </c>
      <c r="HD339" t="str">
        <f>+IFERROR(VLOOKUP(HD40,IN_Zugliste!$A$4:$F$602,7,FALSE),"")</f>
        <v/>
      </c>
      <c r="HE339" t="str">
        <f>+IFERROR(VLOOKUP(HE40,IN_Zugliste!$A$4:$F$602,7,FALSE),"")</f>
        <v/>
      </c>
      <c r="HF339" t="str">
        <f>+IFERROR(VLOOKUP(HF40,IN_Zugliste!$A$4:$F$602,7,FALSE),"")</f>
        <v/>
      </c>
      <c r="HG339" t="str">
        <f>+IFERROR(VLOOKUP(HG40,IN_Zugliste!$A$4:$F$602,7,FALSE),"")</f>
        <v/>
      </c>
      <c r="HH339" t="str">
        <f>+IFERROR(VLOOKUP(HH40,IN_Zugliste!$A$4:$F$602,7,FALSE),"")</f>
        <v/>
      </c>
    </row>
    <row r="340" spans="1:216" x14ac:dyDescent="0.2">
      <c r="A340" t="str">
        <f>+IFERROR(VLOOKUP(A41,IN_Zugliste!$A$4:$F$602,7,FALSE),"")</f>
        <v/>
      </c>
      <c r="B340" t="str">
        <f>+IFERROR(VLOOKUP(B41,IN_Zugliste!$A$4:$F$602,7,FALSE),"")</f>
        <v/>
      </c>
      <c r="C340" t="str">
        <f>+IFERROR(VLOOKUP(C41,IN_Zugliste!$A$4:$F$602,7,FALSE),"")</f>
        <v/>
      </c>
      <c r="D340" t="str">
        <f>+IFERROR(VLOOKUP(D41,IN_Zugliste!$A$4:$F$602,7,FALSE),"")</f>
        <v/>
      </c>
      <c r="E340" t="str">
        <f>+IFERROR(VLOOKUP(E41,IN_Zugliste!$A$4:$F$602,7,FALSE),"")</f>
        <v/>
      </c>
      <c r="F340" t="str">
        <f>+IFERROR(VLOOKUP(F41,IN_Zugliste!$A$4:$F$602,7,FALSE),"")</f>
        <v/>
      </c>
      <c r="G340" t="str">
        <f>+IFERROR(VLOOKUP(G41,IN_Zugliste!$A$4:$F$602,7,FALSE),"")</f>
        <v/>
      </c>
      <c r="H340" t="str">
        <f>+IFERROR(VLOOKUP(H41,IN_Zugliste!$A$4:$F$602,7,FALSE),"")</f>
        <v/>
      </c>
      <c r="I340" t="str">
        <f>+IFERROR(VLOOKUP(I41,IN_Zugliste!$A$4:$F$602,7,FALSE),"")</f>
        <v/>
      </c>
      <c r="J340" t="str">
        <f>+IFERROR(VLOOKUP(J41,IN_Zugliste!$A$4:$F$602,7,FALSE),"")</f>
        <v/>
      </c>
      <c r="K340" t="str">
        <f>+IFERROR(VLOOKUP(K41,IN_Zugliste!$A$4:$F$602,7,FALSE),"")</f>
        <v/>
      </c>
      <c r="L340" t="str">
        <f>+IFERROR(VLOOKUP(L41,IN_Zugliste!$A$4:$F$602,7,FALSE),"")</f>
        <v/>
      </c>
      <c r="M340" t="str">
        <f>+IFERROR(VLOOKUP(M41,IN_Zugliste!$A$4:$F$602,7,FALSE),"")</f>
        <v/>
      </c>
      <c r="N340" t="str">
        <f>+IFERROR(VLOOKUP(N41,IN_Zugliste!$A$4:$F$602,7,FALSE),"")</f>
        <v/>
      </c>
      <c r="O340" t="str">
        <f>+IFERROR(VLOOKUP(O41,IN_Zugliste!$A$4:$F$602,7,FALSE),"")</f>
        <v/>
      </c>
      <c r="P340" t="str">
        <f>+IFERROR(VLOOKUP(P41,IN_Zugliste!$A$4:$F$602,7,FALSE),"")</f>
        <v/>
      </c>
      <c r="Q340" t="str">
        <f>+IFERROR(VLOOKUP(Q41,IN_Zugliste!$A$4:$F$602,7,FALSE),"")</f>
        <v/>
      </c>
      <c r="R340" t="str">
        <f>+IFERROR(VLOOKUP(R41,IN_Zugliste!$A$4:$F$602,7,FALSE),"")</f>
        <v/>
      </c>
      <c r="S340" t="str">
        <f>+IFERROR(VLOOKUP(S41,IN_Zugliste!$A$4:$F$602,7,FALSE),"")</f>
        <v/>
      </c>
      <c r="T340" t="str">
        <f>+IFERROR(VLOOKUP(T41,IN_Zugliste!$A$4:$F$602,7,FALSE),"")</f>
        <v/>
      </c>
      <c r="U340" t="str">
        <f>+IFERROR(VLOOKUP(U41,IN_Zugliste!$A$4:$F$602,7,FALSE),"")</f>
        <v/>
      </c>
      <c r="V340" t="str">
        <f>+IFERROR(VLOOKUP(V41,IN_Zugliste!$A$4:$F$602,7,FALSE),"")</f>
        <v/>
      </c>
      <c r="W340" t="str">
        <f>+IFERROR(VLOOKUP(W41,IN_Zugliste!$A$4:$F$602,7,FALSE),"")</f>
        <v/>
      </c>
      <c r="X340" t="str">
        <f>+IFERROR(VLOOKUP(X41,IN_Zugliste!$A$4:$F$602,7,FALSE),"")</f>
        <v/>
      </c>
      <c r="Y340" t="str">
        <f>+IFERROR(VLOOKUP(Y41,IN_Zugliste!$A$4:$F$602,7,FALSE),"")</f>
        <v/>
      </c>
      <c r="Z340" t="str">
        <f>+IFERROR(VLOOKUP(Z41,IN_Zugliste!$A$4:$F$602,7,FALSE),"")</f>
        <v/>
      </c>
      <c r="AA340" t="str">
        <f>+IFERROR(VLOOKUP(AA41,IN_Zugliste!$A$4:$F$602,7,FALSE),"")</f>
        <v/>
      </c>
      <c r="AB340" t="str">
        <f>+IFERROR(VLOOKUP(AB41,IN_Zugliste!$A$4:$F$602,7,FALSE),"")</f>
        <v/>
      </c>
      <c r="AC340" t="str">
        <f>+IFERROR(VLOOKUP(AC41,IN_Zugliste!$A$4:$F$602,7,FALSE),"")</f>
        <v/>
      </c>
      <c r="AD340" t="str">
        <f>+IFERROR(VLOOKUP(AD41,IN_Zugliste!$A$4:$F$602,7,FALSE),"")</f>
        <v/>
      </c>
      <c r="AE340" t="str">
        <f>+IFERROR(VLOOKUP(AE41,IN_Zugliste!$A$4:$F$602,7,FALSE),"")</f>
        <v/>
      </c>
      <c r="AF340" t="str">
        <f>+IFERROR(VLOOKUP(AF41,IN_Zugliste!$A$4:$F$602,7,FALSE),"")</f>
        <v/>
      </c>
      <c r="AG340" t="str">
        <f>+IFERROR(VLOOKUP(AG41,IN_Zugliste!$A$4:$F$602,7,FALSE),"")</f>
        <v/>
      </c>
      <c r="AH340" t="str">
        <f>+IFERROR(VLOOKUP(AH41,IN_Zugliste!$A$4:$F$602,7,FALSE),"")</f>
        <v/>
      </c>
      <c r="AI340" t="str">
        <f>+IFERROR(VLOOKUP(AI41,IN_Zugliste!$A$4:$F$602,7,FALSE),"")</f>
        <v/>
      </c>
      <c r="AJ340" t="str">
        <f>+IFERROR(VLOOKUP(AJ41,IN_Zugliste!$A$4:$F$602,7,FALSE),"")</f>
        <v/>
      </c>
      <c r="AK340" t="str">
        <f>+IFERROR(VLOOKUP(AK41,IN_Zugliste!$A$4:$F$602,7,FALSE),"")</f>
        <v/>
      </c>
      <c r="AL340" t="str">
        <f>+IFERROR(VLOOKUP(AL41,IN_Zugliste!$A$4:$F$602,7,FALSE),"")</f>
        <v/>
      </c>
      <c r="AM340" t="str">
        <f>+IFERROR(VLOOKUP(AM41,IN_Zugliste!$A$4:$F$602,7,FALSE),"")</f>
        <v/>
      </c>
      <c r="AN340" t="str">
        <f>+IFERROR(VLOOKUP(AN41,IN_Zugliste!$A$4:$F$602,7,FALSE),"")</f>
        <v/>
      </c>
      <c r="AO340" t="str">
        <f>+IFERROR(VLOOKUP(AO41,IN_Zugliste!$A$4:$F$602,7,FALSE),"")</f>
        <v/>
      </c>
      <c r="AP340" t="str">
        <f>+IFERROR(VLOOKUP(AP41,IN_Zugliste!$A$4:$F$602,7,FALSE),"")</f>
        <v/>
      </c>
      <c r="AQ340" t="str">
        <f>+IFERROR(VLOOKUP(AQ41,IN_Zugliste!$A$4:$F$602,7,FALSE),"")</f>
        <v/>
      </c>
      <c r="AR340" t="str">
        <f>+IFERROR(VLOOKUP(AR41,IN_Zugliste!$A$4:$F$602,7,FALSE),"")</f>
        <v/>
      </c>
      <c r="AS340" t="str">
        <f>+IFERROR(VLOOKUP(AS41,IN_Zugliste!$A$4:$F$602,7,FALSE),"")</f>
        <v/>
      </c>
      <c r="AT340" t="str">
        <f>+IFERROR(VLOOKUP(AT41,IN_Zugliste!$A$4:$F$602,7,FALSE),"")</f>
        <v/>
      </c>
      <c r="AU340" t="str">
        <f>+IFERROR(VLOOKUP(AU41,IN_Zugliste!$A$4:$F$602,7,FALSE),"")</f>
        <v/>
      </c>
      <c r="AV340" t="str">
        <f>+IFERROR(VLOOKUP(AV41,IN_Zugliste!$A$4:$F$602,7,FALSE),"")</f>
        <v/>
      </c>
      <c r="AW340" t="str">
        <f>+IFERROR(VLOOKUP(AW41,IN_Zugliste!$A$4:$F$602,7,FALSE),"")</f>
        <v/>
      </c>
      <c r="AX340" t="str">
        <f>+IFERROR(VLOOKUP(AX41,IN_Zugliste!$A$4:$F$602,7,FALSE),"")</f>
        <v/>
      </c>
      <c r="AY340" t="str">
        <f>+IFERROR(VLOOKUP(AY41,IN_Zugliste!$A$4:$F$602,7,FALSE),"")</f>
        <v/>
      </c>
      <c r="AZ340" t="str">
        <f>+IFERROR(VLOOKUP(AZ41,IN_Zugliste!$A$4:$F$602,7,FALSE),"")</f>
        <v/>
      </c>
      <c r="BA340" t="str">
        <f>+IFERROR(VLOOKUP(BA41,IN_Zugliste!$A$4:$F$602,7,FALSE),"")</f>
        <v/>
      </c>
      <c r="BB340" t="str">
        <f>+IFERROR(VLOOKUP(BB41,IN_Zugliste!$A$4:$F$602,7,FALSE),"")</f>
        <v/>
      </c>
      <c r="BC340" t="str">
        <f>+IFERROR(VLOOKUP(BC41,IN_Zugliste!$A$4:$F$602,7,FALSE),"")</f>
        <v/>
      </c>
      <c r="BD340" t="str">
        <f>+IFERROR(VLOOKUP(BD41,IN_Zugliste!$A$4:$F$602,7,FALSE),"")</f>
        <v/>
      </c>
      <c r="BE340" t="str">
        <f>+IFERROR(VLOOKUP(BE41,IN_Zugliste!$A$4:$F$602,7,FALSE),"")</f>
        <v/>
      </c>
      <c r="BF340" t="str">
        <f>+IFERROR(VLOOKUP(BF41,IN_Zugliste!$A$4:$F$602,7,FALSE),"")</f>
        <v/>
      </c>
      <c r="BG340" t="str">
        <f>+IFERROR(VLOOKUP(BG41,IN_Zugliste!$A$4:$F$602,7,FALSE),"")</f>
        <v/>
      </c>
      <c r="BH340" t="str">
        <f>+IFERROR(VLOOKUP(BH41,IN_Zugliste!$A$4:$F$602,7,FALSE),"")</f>
        <v/>
      </c>
      <c r="BI340" t="str">
        <f>+IFERROR(VLOOKUP(BI41,IN_Zugliste!$A$4:$F$602,7,FALSE),"")</f>
        <v/>
      </c>
      <c r="BJ340" t="str">
        <f>+IFERROR(VLOOKUP(BJ41,IN_Zugliste!$A$4:$F$602,7,FALSE),"")</f>
        <v/>
      </c>
      <c r="BK340" t="str">
        <f>+IFERROR(VLOOKUP(BK41,IN_Zugliste!$A$4:$F$602,7,FALSE),"")</f>
        <v/>
      </c>
      <c r="BL340" t="str">
        <f>+IFERROR(VLOOKUP(BL41,IN_Zugliste!$A$4:$F$602,7,FALSE),"")</f>
        <v/>
      </c>
      <c r="BM340" t="str">
        <f>+IFERROR(VLOOKUP(BM41,IN_Zugliste!$A$4:$F$602,7,FALSE),"")</f>
        <v/>
      </c>
      <c r="BN340" t="str">
        <f>+IFERROR(VLOOKUP(BN41,IN_Zugliste!$A$4:$F$602,7,FALSE),"")</f>
        <v/>
      </c>
      <c r="BO340" t="str">
        <f>+IFERROR(VLOOKUP(BO41,IN_Zugliste!$A$4:$F$602,7,FALSE),"")</f>
        <v/>
      </c>
      <c r="BP340" t="str">
        <f>+IFERROR(VLOOKUP(BP41,IN_Zugliste!$A$4:$F$602,7,FALSE),"")</f>
        <v/>
      </c>
      <c r="BQ340" t="str">
        <f>+IFERROR(VLOOKUP(BQ41,IN_Zugliste!$A$4:$F$602,7,FALSE),"")</f>
        <v/>
      </c>
      <c r="BR340" t="str">
        <f>+IFERROR(VLOOKUP(BR41,IN_Zugliste!$A$4:$F$602,7,FALSE),"")</f>
        <v/>
      </c>
      <c r="BS340" t="str">
        <f>+IFERROR(VLOOKUP(BS41,IN_Zugliste!$A$4:$F$602,7,FALSE),"")</f>
        <v/>
      </c>
      <c r="BT340" t="str">
        <f>+IFERROR(VLOOKUP(BT41,IN_Zugliste!$A$4:$F$602,7,FALSE),"")</f>
        <v/>
      </c>
      <c r="BU340" t="str">
        <f>+IFERROR(VLOOKUP(BU41,IN_Zugliste!$A$4:$F$602,7,FALSE),"")</f>
        <v/>
      </c>
      <c r="BV340" t="str">
        <f>+IFERROR(VLOOKUP(BV41,IN_Zugliste!$A$4:$F$602,7,FALSE),"")</f>
        <v/>
      </c>
      <c r="BW340" t="str">
        <f>+IFERROR(VLOOKUP(BW41,IN_Zugliste!$A$4:$F$602,7,FALSE),"")</f>
        <v/>
      </c>
      <c r="BX340" t="str">
        <f>+IFERROR(VLOOKUP(BX41,IN_Zugliste!$A$4:$F$602,7,FALSE),"")</f>
        <v/>
      </c>
      <c r="BY340" t="str">
        <f>+IFERROR(VLOOKUP(BY41,IN_Zugliste!$A$4:$F$602,7,FALSE),"")</f>
        <v/>
      </c>
      <c r="BZ340" t="str">
        <f>+IFERROR(VLOOKUP(BZ41,IN_Zugliste!$A$4:$F$602,7,FALSE),"")</f>
        <v/>
      </c>
      <c r="CA340" t="str">
        <f>+IFERROR(VLOOKUP(CA41,IN_Zugliste!$A$4:$F$602,7,FALSE),"")</f>
        <v/>
      </c>
      <c r="CB340" t="str">
        <f>+IFERROR(VLOOKUP(CB41,IN_Zugliste!$A$4:$F$602,7,FALSE),"")</f>
        <v/>
      </c>
      <c r="CC340" t="str">
        <f>+IFERROR(VLOOKUP(CC41,IN_Zugliste!$A$4:$F$602,7,FALSE),"")</f>
        <v/>
      </c>
      <c r="CD340" t="str">
        <f>+IFERROR(VLOOKUP(CD41,IN_Zugliste!$A$4:$F$602,7,FALSE),"")</f>
        <v/>
      </c>
      <c r="CE340" t="str">
        <f>+IFERROR(VLOOKUP(CE41,IN_Zugliste!$A$4:$F$602,7,FALSE),"")</f>
        <v/>
      </c>
      <c r="CF340" t="str">
        <f>+IFERROR(VLOOKUP(CF41,IN_Zugliste!$A$4:$F$602,7,FALSE),"")</f>
        <v/>
      </c>
      <c r="CG340" t="str">
        <f>+IFERROR(VLOOKUP(CG41,IN_Zugliste!$A$4:$F$602,7,FALSE),"")</f>
        <v/>
      </c>
      <c r="CH340" t="str">
        <f>+IFERROR(VLOOKUP(CH41,IN_Zugliste!$A$4:$F$602,7,FALSE),"")</f>
        <v/>
      </c>
      <c r="CI340" t="str">
        <f>+IFERROR(VLOOKUP(CI41,IN_Zugliste!$A$4:$F$602,7,FALSE),"")</f>
        <v/>
      </c>
      <c r="CJ340" t="str">
        <f>+IFERROR(VLOOKUP(CJ41,IN_Zugliste!$A$4:$F$602,7,FALSE),"")</f>
        <v/>
      </c>
      <c r="CK340" t="str">
        <f>+IFERROR(VLOOKUP(CK41,IN_Zugliste!$A$4:$F$602,7,FALSE),"")</f>
        <v/>
      </c>
      <c r="CL340" t="str">
        <f>+IFERROR(VLOOKUP(CL41,IN_Zugliste!$A$4:$F$602,7,FALSE),"")</f>
        <v/>
      </c>
      <c r="CM340" t="str">
        <f>+IFERROR(VLOOKUP(CM41,IN_Zugliste!$A$4:$F$602,7,FALSE),"")</f>
        <v/>
      </c>
      <c r="CN340" t="str">
        <f>+IFERROR(VLOOKUP(CN41,IN_Zugliste!$A$4:$F$602,7,FALSE),"")</f>
        <v/>
      </c>
      <c r="CO340" t="str">
        <f>+IFERROR(VLOOKUP(CO41,IN_Zugliste!$A$4:$F$602,7,FALSE),"")</f>
        <v/>
      </c>
      <c r="CP340" t="str">
        <f>+IFERROR(VLOOKUP(CP41,IN_Zugliste!$A$4:$F$602,7,FALSE),"")</f>
        <v/>
      </c>
      <c r="CQ340" t="str">
        <f>+IFERROR(VLOOKUP(CQ41,IN_Zugliste!$A$4:$F$602,7,FALSE),"")</f>
        <v/>
      </c>
      <c r="CR340" t="str">
        <f>+IFERROR(VLOOKUP(CR41,IN_Zugliste!$A$4:$F$602,7,FALSE),"")</f>
        <v/>
      </c>
      <c r="CS340" t="str">
        <f>+IFERROR(VLOOKUP(CS41,IN_Zugliste!$A$4:$F$602,7,FALSE),"")</f>
        <v/>
      </c>
      <c r="CT340" t="str">
        <f>+IFERROR(VLOOKUP(CT41,IN_Zugliste!$A$4:$F$602,7,FALSE),"")</f>
        <v/>
      </c>
      <c r="CU340" t="str">
        <f>+IFERROR(VLOOKUP(CU41,IN_Zugliste!$A$4:$F$602,7,FALSE),"")</f>
        <v/>
      </c>
      <c r="CV340" t="str">
        <f>+IFERROR(VLOOKUP(CV41,IN_Zugliste!$A$4:$F$602,7,FALSE),"")</f>
        <v/>
      </c>
      <c r="CW340" t="str">
        <f>+IFERROR(VLOOKUP(CW41,IN_Zugliste!$A$4:$F$602,7,FALSE),"")</f>
        <v/>
      </c>
      <c r="CX340" t="str">
        <f>+IFERROR(VLOOKUP(CX41,IN_Zugliste!$A$4:$F$602,7,FALSE),"")</f>
        <v/>
      </c>
      <c r="CY340" t="str">
        <f>+IFERROR(VLOOKUP(CY41,IN_Zugliste!$A$4:$F$602,7,FALSE),"")</f>
        <v/>
      </c>
      <c r="CZ340" t="str">
        <f>+IFERROR(VLOOKUP(CZ41,IN_Zugliste!$A$4:$F$602,7,FALSE),"")</f>
        <v/>
      </c>
      <c r="DA340" t="str">
        <f>+IFERROR(VLOOKUP(DA41,IN_Zugliste!$A$4:$F$602,7,FALSE),"")</f>
        <v/>
      </c>
      <c r="DB340" t="str">
        <f>+IFERROR(VLOOKUP(DB41,IN_Zugliste!$A$4:$F$602,7,FALSE),"")</f>
        <v/>
      </c>
      <c r="DC340" t="str">
        <f>+IFERROR(VLOOKUP(DC41,IN_Zugliste!$A$4:$F$602,7,FALSE),"")</f>
        <v/>
      </c>
      <c r="DD340" t="str">
        <f>+IFERROR(VLOOKUP(DD41,IN_Zugliste!$A$4:$F$602,7,FALSE),"")</f>
        <v/>
      </c>
      <c r="DE340" t="str">
        <f>+IFERROR(VLOOKUP(DE41,IN_Zugliste!$A$4:$F$602,7,FALSE),"")</f>
        <v/>
      </c>
      <c r="DF340" t="str">
        <f>+IFERROR(VLOOKUP(DF41,IN_Zugliste!$A$4:$F$602,7,FALSE),"")</f>
        <v/>
      </c>
      <c r="DG340" t="str">
        <f>+IFERROR(VLOOKUP(DG41,IN_Zugliste!$A$4:$F$602,7,FALSE),"")</f>
        <v/>
      </c>
      <c r="DH340" t="str">
        <f>+IFERROR(VLOOKUP(DH41,IN_Zugliste!$A$4:$F$602,7,FALSE),"")</f>
        <v/>
      </c>
      <c r="DI340" t="str">
        <f>+IFERROR(VLOOKUP(DI41,IN_Zugliste!$A$4:$F$602,7,FALSE),"")</f>
        <v/>
      </c>
      <c r="DJ340" t="str">
        <f>+IFERROR(VLOOKUP(DJ41,IN_Zugliste!$A$4:$F$602,7,FALSE),"")</f>
        <v/>
      </c>
      <c r="DK340" t="str">
        <f>+IFERROR(VLOOKUP(DK41,IN_Zugliste!$A$4:$F$602,7,FALSE),"")</f>
        <v/>
      </c>
      <c r="DL340" t="str">
        <f>+IFERROR(VLOOKUP(DL41,IN_Zugliste!$A$4:$F$602,7,FALSE),"")</f>
        <v/>
      </c>
      <c r="DM340" t="str">
        <f>+IFERROR(VLOOKUP(DM41,IN_Zugliste!$A$4:$F$602,7,FALSE),"")</f>
        <v/>
      </c>
      <c r="DN340" t="str">
        <f>+IFERROR(VLOOKUP(DN41,IN_Zugliste!$A$4:$F$602,7,FALSE),"")</f>
        <v/>
      </c>
      <c r="DO340" t="str">
        <f>+IFERROR(VLOOKUP(DO41,IN_Zugliste!$A$4:$F$602,7,FALSE),"")</f>
        <v/>
      </c>
      <c r="DP340" t="str">
        <f>+IFERROR(VLOOKUP(DP41,IN_Zugliste!$A$4:$F$602,7,FALSE),"")</f>
        <v/>
      </c>
      <c r="DQ340" t="str">
        <f>+IFERROR(VLOOKUP(DQ41,IN_Zugliste!$A$4:$F$602,7,FALSE),"")</f>
        <v/>
      </c>
      <c r="DR340" t="str">
        <f>+IFERROR(VLOOKUP(DR41,IN_Zugliste!$A$4:$F$602,7,FALSE),"")</f>
        <v/>
      </c>
      <c r="DS340" t="str">
        <f>+IFERROR(VLOOKUP(DS41,IN_Zugliste!$A$4:$F$602,7,FALSE),"")</f>
        <v/>
      </c>
      <c r="DT340" t="str">
        <f>+IFERROR(VLOOKUP(DT41,IN_Zugliste!$A$4:$F$602,7,FALSE),"")</f>
        <v/>
      </c>
      <c r="DU340" t="str">
        <f>+IFERROR(VLOOKUP(DU41,IN_Zugliste!$A$4:$F$602,7,FALSE),"")</f>
        <v/>
      </c>
      <c r="DV340" t="str">
        <f>+IFERROR(VLOOKUP(DV41,IN_Zugliste!$A$4:$F$602,7,FALSE),"")</f>
        <v/>
      </c>
      <c r="DW340" t="str">
        <f>+IFERROR(VLOOKUP(DW41,IN_Zugliste!$A$4:$F$602,7,FALSE),"")</f>
        <v/>
      </c>
      <c r="DX340" t="str">
        <f>+IFERROR(VLOOKUP(DX41,IN_Zugliste!$A$4:$F$602,7,FALSE),"")</f>
        <v/>
      </c>
      <c r="DY340" t="str">
        <f>+IFERROR(VLOOKUP(DY41,IN_Zugliste!$A$4:$F$602,7,FALSE),"")</f>
        <v/>
      </c>
      <c r="DZ340" t="str">
        <f>+IFERROR(VLOOKUP(DZ41,IN_Zugliste!$A$4:$F$602,7,FALSE),"")</f>
        <v/>
      </c>
      <c r="EA340" t="str">
        <f>+IFERROR(VLOOKUP(EA41,IN_Zugliste!$A$4:$F$602,7,FALSE),"")</f>
        <v/>
      </c>
      <c r="EB340" t="str">
        <f>+IFERROR(VLOOKUP(EB41,IN_Zugliste!$A$4:$F$602,7,FALSE),"")</f>
        <v/>
      </c>
      <c r="EC340" t="str">
        <f>+IFERROR(VLOOKUP(EC41,IN_Zugliste!$A$4:$F$602,7,FALSE),"")</f>
        <v/>
      </c>
      <c r="ED340" t="str">
        <f>+IFERROR(VLOOKUP(ED41,IN_Zugliste!$A$4:$F$602,7,FALSE),"")</f>
        <v/>
      </c>
      <c r="EE340" t="str">
        <f>+IFERROR(VLOOKUP(EE41,IN_Zugliste!$A$4:$F$602,7,FALSE),"")</f>
        <v/>
      </c>
      <c r="EF340" t="str">
        <f>+IFERROR(VLOOKUP(EF41,IN_Zugliste!$A$4:$F$602,7,FALSE),"")</f>
        <v/>
      </c>
      <c r="EG340" t="str">
        <f>+IFERROR(VLOOKUP(EG41,IN_Zugliste!$A$4:$F$602,7,FALSE),"")</f>
        <v/>
      </c>
      <c r="EH340" t="str">
        <f>+IFERROR(VLOOKUP(EH41,IN_Zugliste!$A$4:$F$602,7,FALSE),"")</f>
        <v/>
      </c>
      <c r="EI340" t="str">
        <f>+IFERROR(VLOOKUP(EI41,IN_Zugliste!$A$4:$F$602,7,FALSE),"")</f>
        <v/>
      </c>
      <c r="EJ340" t="str">
        <f>+IFERROR(VLOOKUP(EJ41,IN_Zugliste!$A$4:$F$602,7,FALSE),"")</f>
        <v/>
      </c>
      <c r="EK340" t="str">
        <f>+IFERROR(VLOOKUP(EK41,IN_Zugliste!$A$4:$F$602,7,FALSE),"")</f>
        <v/>
      </c>
      <c r="EL340" t="str">
        <f>+IFERROR(VLOOKUP(EL41,IN_Zugliste!$A$4:$F$602,7,FALSE),"")</f>
        <v/>
      </c>
      <c r="EM340" t="str">
        <f>+IFERROR(VLOOKUP(EM41,IN_Zugliste!$A$4:$F$602,7,FALSE),"")</f>
        <v/>
      </c>
      <c r="EN340" t="str">
        <f>+IFERROR(VLOOKUP(EN41,IN_Zugliste!$A$4:$F$602,7,FALSE),"")</f>
        <v/>
      </c>
      <c r="EO340" t="str">
        <f>+IFERROR(VLOOKUP(EO41,IN_Zugliste!$A$4:$F$602,7,FALSE),"")</f>
        <v/>
      </c>
      <c r="EP340" t="str">
        <f>+IFERROR(VLOOKUP(EP41,IN_Zugliste!$A$4:$F$602,7,FALSE),"")</f>
        <v/>
      </c>
      <c r="EQ340" t="str">
        <f>+IFERROR(VLOOKUP(EQ41,IN_Zugliste!$A$4:$F$602,7,FALSE),"")</f>
        <v/>
      </c>
      <c r="ER340" t="str">
        <f>+IFERROR(VLOOKUP(ER41,IN_Zugliste!$A$4:$F$602,7,FALSE),"")</f>
        <v/>
      </c>
      <c r="ES340" t="str">
        <f>+IFERROR(VLOOKUP(ES41,IN_Zugliste!$A$4:$F$602,7,FALSE),"")</f>
        <v/>
      </c>
      <c r="ET340" t="str">
        <f>+IFERROR(VLOOKUP(ET41,IN_Zugliste!$A$4:$F$602,7,FALSE),"")</f>
        <v/>
      </c>
      <c r="EU340" t="str">
        <f>+IFERROR(VLOOKUP(EU41,IN_Zugliste!$A$4:$F$602,7,FALSE),"")</f>
        <v/>
      </c>
      <c r="EV340" t="str">
        <f>+IFERROR(VLOOKUP(EV41,IN_Zugliste!$A$4:$F$602,7,FALSE),"")</f>
        <v/>
      </c>
      <c r="EW340" t="str">
        <f>+IFERROR(VLOOKUP(EW41,IN_Zugliste!$A$4:$F$602,7,FALSE),"")</f>
        <v/>
      </c>
      <c r="EX340" t="str">
        <f>+IFERROR(VLOOKUP(EX41,IN_Zugliste!$A$4:$F$602,7,FALSE),"")</f>
        <v/>
      </c>
      <c r="EY340" t="str">
        <f>+IFERROR(VLOOKUP(EY41,IN_Zugliste!$A$4:$F$602,7,FALSE),"")</f>
        <v/>
      </c>
      <c r="EZ340" t="str">
        <f>+IFERROR(VLOOKUP(EZ41,IN_Zugliste!$A$4:$F$602,7,FALSE),"")</f>
        <v/>
      </c>
      <c r="FA340" t="str">
        <f>+IFERROR(VLOOKUP(FA41,IN_Zugliste!$A$4:$F$602,7,FALSE),"")</f>
        <v/>
      </c>
      <c r="FB340" t="str">
        <f>+IFERROR(VLOOKUP(FB41,IN_Zugliste!$A$4:$F$602,7,FALSE),"")</f>
        <v/>
      </c>
      <c r="FC340" t="str">
        <f>+IFERROR(VLOOKUP(FC41,IN_Zugliste!$A$4:$F$602,7,FALSE),"")</f>
        <v/>
      </c>
      <c r="FD340" t="str">
        <f>+IFERROR(VLOOKUP(FD41,IN_Zugliste!$A$4:$F$602,7,FALSE),"")</f>
        <v/>
      </c>
      <c r="FE340" t="str">
        <f>+IFERROR(VLOOKUP(FE41,IN_Zugliste!$A$4:$F$602,7,FALSE),"")</f>
        <v/>
      </c>
      <c r="FF340" t="str">
        <f>+IFERROR(VLOOKUP(FF41,IN_Zugliste!$A$4:$F$602,7,FALSE),"")</f>
        <v/>
      </c>
      <c r="FG340" t="str">
        <f>+IFERROR(VLOOKUP(FG41,IN_Zugliste!$A$4:$F$602,7,FALSE),"")</f>
        <v/>
      </c>
      <c r="FH340" t="str">
        <f>+IFERROR(VLOOKUP(FH41,IN_Zugliste!$A$4:$F$602,7,FALSE),"")</f>
        <v/>
      </c>
      <c r="FI340" t="str">
        <f>+IFERROR(VLOOKUP(FI41,IN_Zugliste!$A$4:$F$602,7,FALSE),"")</f>
        <v/>
      </c>
      <c r="FJ340" t="str">
        <f>+IFERROR(VLOOKUP(FJ41,IN_Zugliste!$A$4:$F$602,7,FALSE),"")</f>
        <v/>
      </c>
      <c r="FK340" t="str">
        <f>+IFERROR(VLOOKUP(FK41,IN_Zugliste!$A$4:$F$602,7,FALSE),"")</f>
        <v/>
      </c>
      <c r="FL340" t="str">
        <f>+IFERROR(VLOOKUP(FL41,IN_Zugliste!$A$4:$F$602,7,FALSE),"")</f>
        <v/>
      </c>
      <c r="FM340" t="str">
        <f>+IFERROR(VLOOKUP(FM41,IN_Zugliste!$A$4:$F$602,7,FALSE),"")</f>
        <v/>
      </c>
      <c r="FN340" t="str">
        <f>+IFERROR(VLOOKUP(FN41,IN_Zugliste!$A$4:$F$602,7,FALSE),"")</f>
        <v/>
      </c>
      <c r="FO340" t="str">
        <f>+IFERROR(VLOOKUP(FO41,IN_Zugliste!$A$4:$F$602,7,FALSE),"")</f>
        <v/>
      </c>
      <c r="FP340" t="str">
        <f>+IFERROR(VLOOKUP(FP41,IN_Zugliste!$A$4:$F$602,7,FALSE),"")</f>
        <v/>
      </c>
      <c r="FQ340" t="str">
        <f>+IFERROR(VLOOKUP(FQ41,IN_Zugliste!$A$4:$F$602,7,FALSE),"")</f>
        <v/>
      </c>
      <c r="FR340" t="str">
        <f>+IFERROR(VLOOKUP(FR41,IN_Zugliste!$A$4:$F$602,7,FALSE),"")</f>
        <v/>
      </c>
      <c r="FS340" t="str">
        <f>+IFERROR(VLOOKUP(FS41,IN_Zugliste!$A$4:$F$602,7,FALSE),"")</f>
        <v/>
      </c>
      <c r="FT340" t="str">
        <f>+IFERROR(VLOOKUP(FT41,IN_Zugliste!$A$4:$F$602,7,FALSE),"")</f>
        <v/>
      </c>
      <c r="FU340" t="str">
        <f>+IFERROR(VLOOKUP(FU41,IN_Zugliste!$A$4:$F$602,7,FALSE),"")</f>
        <v/>
      </c>
      <c r="FV340" t="str">
        <f>+IFERROR(VLOOKUP(FV41,IN_Zugliste!$A$4:$F$602,7,FALSE),"")</f>
        <v/>
      </c>
      <c r="FW340" t="str">
        <f>+IFERROR(VLOOKUP(FW41,IN_Zugliste!$A$4:$F$602,7,FALSE),"")</f>
        <v/>
      </c>
      <c r="FX340" t="str">
        <f>+IFERROR(VLOOKUP(FX41,IN_Zugliste!$A$4:$F$602,7,FALSE),"")</f>
        <v/>
      </c>
      <c r="FY340" t="str">
        <f>+IFERROR(VLOOKUP(FY41,IN_Zugliste!$A$4:$F$602,7,FALSE),"")</f>
        <v/>
      </c>
      <c r="FZ340" t="str">
        <f>+IFERROR(VLOOKUP(FZ41,IN_Zugliste!$A$4:$F$602,7,FALSE),"")</f>
        <v/>
      </c>
      <c r="GA340" t="str">
        <f>+IFERROR(VLOOKUP(GA41,IN_Zugliste!$A$4:$F$602,7,FALSE),"")</f>
        <v/>
      </c>
      <c r="GB340" t="str">
        <f>+IFERROR(VLOOKUP(GB41,IN_Zugliste!$A$4:$F$602,7,FALSE),"")</f>
        <v/>
      </c>
      <c r="GC340" t="str">
        <f>+IFERROR(VLOOKUP(GC41,IN_Zugliste!$A$4:$F$602,7,FALSE),"")</f>
        <v/>
      </c>
      <c r="GD340" t="str">
        <f>+IFERROR(VLOOKUP(GD41,IN_Zugliste!$A$4:$F$602,7,FALSE),"")</f>
        <v/>
      </c>
      <c r="GE340" t="str">
        <f>+IFERROR(VLOOKUP(GE41,IN_Zugliste!$A$4:$F$602,7,FALSE),"")</f>
        <v/>
      </c>
      <c r="GF340" t="str">
        <f>+IFERROR(VLOOKUP(GF41,IN_Zugliste!$A$4:$F$602,7,FALSE),"")</f>
        <v/>
      </c>
      <c r="GG340" t="str">
        <f>+IFERROR(VLOOKUP(GG41,IN_Zugliste!$A$4:$F$602,7,FALSE),"")</f>
        <v/>
      </c>
      <c r="GH340" t="str">
        <f>+IFERROR(VLOOKUP(GH41,IN_Zugliste!$A$4:$F$602,7,FALSE),"")</f>
        <v/>
      </c>
      <c r="GI340" t="str">
        <f>+IFERROR(VLOOKUP(GI41,IN_Zugliste!$A$4:$F$602,7,FALSE),"")</f>
        <v/>
      </c>
      <c r="GJ340" t="str">
        <f>+IFERROR(VLOOKUP(GJ41,IN_Zugliste!$A$4:$F$602,7,FALSE),"")</f>
        <v/>
      </c>
      <c r="GK340" t="str">
        <f>+IFERROR(VLOOKUP(GK41,IN_Zugliste!$A$4:$F$602,7,FALSE),"")</f>
        <v/>
      </c>
      <c r="GL340" t="str">
        <f>+IFERROR(VLOOKUP(GL41,IN_Zugliste!$A$4:$F$602,7,FALSE),"")</f>
        <v/>
      </c>
      <c r="GM340" t="str">
        <f>+IFERROR(VLOOKUP(GM41,IN_Zugliste!$A$4:$F$602,7,FALSE),"")</f>
        <v/>
      </c>
      <c r="GN340" t="str">
        <f>+IFERROR(VLOOKUP(GN41,IN_Zugliste!$A$4:$F$602,7,FALSE),"")</f>
        <v/>
      </c>
      <c r="GO340" t="str">
        <f>+IFERROR(VLOOKUP(GO41,IN_Zugliste!$A$4:$F$602,7,FALSE),"")</f>
        <v/>
      </c>
      <c r="GP340" t="str">
        <f>+IFERROR(VLOOKUP(GP41,IN_Zugliste!$A$4:$F$602,7,FALSE),"")</f>
        <v/>
      </c>
      <c r="GQ340" t="str">
        <f>+IFERROR(VLOOKUP(GQ41,IN_Zugliste!$A$4:$F$602,7,FALSE),"")</f>
        <v/>
      </c>
      <c r="GR340" t="str">
        <f>+IFERROR(VLOOKUP(GR41,IN_Zugliste!$A$4:$F$602,7,FALSE),"")</f>
        <v/>
      </c>
      <c r="GS340" t="str">
        <f>+IFERROR(VLOOKUP(GS41,IN_Zugliste!$A$4:$F$602,7,FALSE),"")</f>
        <v/>
      </c>
      <c r="GT340" t="str">
        <f>+IFERROR(VLOOKUP(GT41,IN_Zugliste!$A$4:$F$602,7,FALSE),"")</f>
        <v/>
      </c>
      <c r="GU340" t="str">
        <f>+IFERROR(VLOOKUP(GU41,IN_Zugliste!$A$4:$F$602,7,FALSE),"")</f>
        <v/>
      </c>
      <c r="GV340" t="str">
        <f>+IFERROR(VLOOKUP(GV41,IN_Zugliste!$A$4:$F$602,7,FALSE),"")</f>
        <v/>
      </c>
      <c r="GW340" t="str">
        <f>+IFERROR(VLOOKUP(GW41,IN_Zugliste!$A$4:$F$602,7,FALSE),"")</f>
        <v/>
      </c>
      <c r="GX340" t="str">
        <f>+IFERROR(VLOOKUP(GX41,IN_Zugliste!$A$4:$F$602,7,FALSE),"")</f>
        <v/>
      </c>
      <c r="GY340" t="str">
        <f>+IFERROR(VLOOKUP(GY41,IN_Zugliste!$A$4:$F$602,7,FALSE),"")</f>
        <v/>
      </c>
      <c r="GZ340" t="str">
        <f>+IFERROR(VLOOKUP(GZ41,IN_Zugliste!$A$4:$F$602,7,FALSE),"")</f>
        <v/>
      </c>
      <c r="HA340" t="str">
        <f>+IFERROR(VLOOKUP(HA41,IN_Zugliste!$A$4:$F$602,7,FALSE),"")</f>
        <v/>
      </c>
      <c r="HB340" t="str">
        <f>+IFERROR(VLOOKUP(HB41,IN_Zugliste!$A$4:$F$602,7,FALSE),"")</f>
        <v/>
      </c>
      <c r="HC340" t="str">
        <f>+IFERROR(VLOOKUP(HC41,IN_Zugliste!$A$4:$F$602,7,FALSE),"")</f>
        <v/>
      </c>
      <c r="HD340" t="str">
        <f>+IFERROR(VLOOKUP(HD41,IN_Zugliste!$A$4:$F$602,7,FALSE),"")</f>
        <v/>
      </c>
      <c r="HE340" t="str">
        <f>+IFERROR(VLOOKUP(HE41,IN_Zugliste!$A$4:$F$602,7,FALSE),"")</f>
        <v/>
      </c>
      <c r="HF340" t="str">
        <f>+IFERROR(VLOOKUP(HF41,IN_Zugliste!$A$4:$F$602,7,FALSE),"")</f>
        <v/>
      </c>
      <c r="HG340" t="str">
        <f>+IFERROR(VLOOKUP(HG41,IN_Zugliste!$A$4:$F$602,7,FALSE),"")</f>
        <v/>
      </c>
      <c r="HH340" t="str">
        <f>+IFERROR(VLOOKUP(HH41,IN_Zugliste!$A$4:$F$602,7,FALSE),"")</f>
        <v/>
      </c>
    </row>
    <row r="341" spans="1:216" x14ac:dyDescent="0.2">
      <c r="A341" t="str">
        <f>+IFERROR(VLOOKUP(A42,IN_Zugliste!$A$4:$F$602,7,FALSE),"")</f>
        <v/>
      </c>
      <c r="B341" t="str">
        <f>+IFERROR(VLOOKUP(B42,IN_Zugliste!$A$4:$F$602,7,FALSE),"")</f>
        <v/>
      </c>
      <c r="C341" t="str">
        <f>+IFERROR(VLOOKUP(C42,IN_Zugliste!$A$4:$F$602,7,FALSE),"")</f>
        <v/>
      </c>
      <c r="D341" t="str">
        <f>+IFERROR(VLOOKUP(D42,IN_Zugliste!$A$4:$F$602,7,FALSE),"")</f>
        <v/>
      </c>
      <c r="E341" t="str">
        <f>+IFERROR(VLOOKUP(E42,IN_Zugliste!$A$4:$F$602,7,FALSE),"")</f>
        <v/>
      </c>
      <c r="F341" t="str">
        <f>+IFERROR(VLOOKUP(F42,IN_Zugliste!$A$4:$F$602,7,FALSE),"")</f>
        <v/>
      </c>
      <c r="G341" t="str">
        <f>+IFERROR(VLOOKUP(G42,IN_Zugliste!$A$4:$F$602,7,FALSE),"")</f>
        <v/>
      </c>
      <c r="H341" t="str">
        <f>+IFERROR(VLOOKUP(H42,IN_Zugliste!$A$4:$F$602,7,FALSE),"")</f>
        <v/>
      </c>
      <c r="I341" t="str">
        <f>+IFERROR(VLOOKUP(I42,IN_Zugliste!$A$4:$F$602,7,FALSE),"")</f>
        <v/>
      </c>
      <c r="J341" t="str">
        <f>+IFERROR(VLOOKUP(J42,IN_Zugliste!$A$4:$F$602,7,FALSE),"")</f>
        <v/>
      </c>
      <c r="K341" t="str">
        <f>+IFERROR(VLOOKUP(K42,IN_Zugliste!$A$4:$F$602,7,FALSE),"")</f>
        <v/>
      </c>
      <c r="L341" t="str">
        <f>+IFERROR(VLOOKUP(L42,IN_Zugliste!$A$4:$F$602,7,FALSE),"")</f>
        <v/>
      </c>
      <c r="M341" t="str">
        <f>+IFERROR(VLOOKUP(M42,IN_Zugliste!$A$4:$F$602,7,FALSE),"")</f>
        <v/>
      </c>
      <c r="N341" t="str">
        <f>+IFERROR(VLOOKUP(N42,IN_Zugliste!$A$4:$F$602,7,FALSE),"")</f>
        <v/>
      </c>
      <c r="O341" t="str">
        <f>+IFERROR(VLOOKUP(O42,IN_Zugliste!$A$4:$F$602,7,FALSE),"")</f>
        <v/>
      </c>
      <c r="P341" t="str">
        <f>+IFERROR(VLOOKUP(P42,IN_Zugliste!$A$4:$F$602,7,FALSE),"")</f>
        <v/>
      </c>
      <c r="Q341" t="str">
        <f>+IFERROR(VLOOKUP(Q42,IN_Zugliste!$A$4:$F$602,7,FALSE),"")</f>
        <v/>
      </c>
      <c r="R341" t="str">
        <f>+IFERROR(VLOOKUP(R42,IN_Zugliste!$A$4:$F$602,7,FALSE),"")</f>
        <v/>
      </c>
      <c r="S341" t="str">
        <f>+IFERROR(VLOOKUP(S42,IN_Zugliste!$A$4:$F$602,7,FALSE),"")</f>
        <v/>
      </c>
      <c r="T341" t="str">
        <f>+IFERROR(VLOOKUP(T42,IN_Zugliste!$A$4:$F$602,7,FALSE),"")</f>
        <v/>
      </c>
      <c r="U341" t="str">
        <f>+IFERROR(VLOOKUP(U42,IN_Zugliste!$A$4:$F$602,7,FALSE),"")</f>
        <v/>
      </c>
      <c r="V341" t="str">
        <f>+IFERROR(VLOOKUP(V42,IN_Zugliste!$A$4:$F$602,7,FALSE),"")</f>
        <v/>
      </c>
      <c r="W341" t="str">
        <f>+IFERROR(VLOOKUP(W42,IN_Zugliste!$A$4:$F$602,7,FALSE),"")</f>
        <v/>
      </c>
      <c r="X341" t="str">
        <f>+IFERROR(VLOOKUP(X42,IN_Zugliste!$A$4:$F$602,7,FALSE),"")</f>
        <v/>
      </c>
      <c r="Y341" t="str">
        <f>+IFERROR(VLOOKUP(Y42,IN_Zugliste!$A$4:$F$602,7,FALSE),"")</f>
        <v/>
      </c>
      <c r="Z341" t="str">
        <f>+IFERROR(VLOOKUP(Z42,IN_Zugliste!$A$4:$F$602,7,FALSE),"")</f>
        <v/>
      </c>
      <c r="AA341" t="str">
        <f>+IFERROR(VLOOKUP(AA42,IN_Zugliste!$A$4:$F$602,7,FALSE),"")</f>
        <v/>
      </c>
      <c r="AB341" t="str">
        <f>+IFERROR(VLOOKUP(AB42,IN_Zugliste!$A$4:$F$602,7,FALSE),"")</f>
        <v/>
      </c>
      <c r="AC341" t="str">
        <f>+IFERROR(VLOOKUP(AC42,IN_Zugliste!$A$4:$F$602,7,FALSE),"")</f>
        <v/>
      </c>
      <c r="AD341" t="str">
        <f>+IFERROR(VLOOKUP(AD42,IN_Zugliste!$A$4:$F$602,7,FALSE),"")</f>
        <v/>
      </c>
      <c r="AE341" t="str">
        <f>+IFERROR(VLOOKUP(AE42,IN_Zugliste!$A$4:$F$602,7,FALSE),"")</f>
        <v/>
      </c>
      <c r="AF341" t="str">
        <f>+IFERROR(VLOOKUP(AF42,IN_Zugliste!$A$4:$F$602,7,FALSE),"")</f>
        <v/>
      </c>
      <c r="AG341" t="str">
        <f>+IFERROR(VLOOKUP(AG42,IN_Zugliste!$A$4:$F$602,7,FALSE),"")</f>
        <v/>
      </c>
      <c r="AH341" t="str">
        <f>+IFERROR(VLOOKUP(AH42,IN_Zugliste!$A$4:$F$602,7,FALSE),"")</f>
        <v/>
      </c>
      <c r="AI341" t="str">
        <f>+IFERROR(VLOOKUP(AI42,IN_Zugliste!$A$4:$F$602,7,FALSE),"")</f>
        <v/>
      </c>
      <c r="AJ341" t="str">
        <f>+IFERROR(VLOOKUP(AJ42,IN_Zugliste!$A$4:$F$602,7,FALSE),"")</f>
        <v/>
      </c>
      <c r="AK341" t="str">
        <f>+IFERROR(VLOOKUP(AK42,IN_Zugliste!$A$4:$F$602,7,FALSE),"")</f>
        <v/>
      </c>
      <c r="AL341" t="str">
        <f>+IFERROR(VLOOKUP(AL42,IN_Zugliste!$A$4:$F$602,7,FALSE),"")</f>
        <v/>
      </c>
      <c r="AM341" t="str">
        <f>+IFERROR(VLOOKUP(AM42,IN_Zugliste!$A$4:$F$602,7,FALSE),"")</f>
        <v/>
      </c>
      <c r="AN341" t="str">
        <f>+IFERROR(VLOOKUP(AN42,IN_Zugliste!$A$4:$F$602,7,FALSE),"")</f>
        <v/>
      </c>
      <c r="AO341" t="str">
        <f>+IFERROR(VLOOKUP(AO42,IN_Zugliste!$A$4:$F$602,7,FALSE),"")</f>
        <v/>
      </c>
      <c r="AP341" t="str">
        <f>+IFERROR(VLOOKUP(AP42,IN_Zugliste!$A$4:$F$602,7,FALSE),"")</f>
        <v/>
      </c>
      <c r="AQ341" t="str">
        <f>+IFERROR(VLOOKUP(AQ42,IN_Zugliste!$A$4:$F$602,7,FALSE),"")</f>
        <v/>
      </c>
      <c r="AR341" t="str">
        <f>+IFERROR(VLOOKUP(AR42,IN_Zugliste!$A$4:$F$602,7,FALSE),"")</f>
        <v/>
      </c>
      <c r="AS341" t="str">
        <f>+IFERROR(VLOOKUP(AS42,IN_Zugliste!$A$4:$F$602,7,FALSE),"")</f>
        <v/>
      </c>
      <c r="AT341" t="str">
        <f>+IFERROR(VLOOKUP(AT42,IN_Zugliste!$A$4:$F$602,7,FALSE),"")</f>
        <v/>
      </c>
      <c r="AU341" t="str">
        <f>+IFERROR(VLOOKUP(AU42,IN_Zugliste!$A$4:$F$602,7,FALSE),"")</f>
        <v/>
      </c>
      <c r="AV341" t="str">
        <f>+IFERROR(VLOOKUP(AV42,IN_Zugliste!$A$4:$F$602,7,FALSE),"")</f>
        <v/>
      </c>
      <c r="AW341" t="str">
        <f>+IFERROR(VLOOKUP(AW42,IN_Zugliste!$A$4:$F$602,7,FALSE),"")</f>
        <v/>
      </c>
      <c r="AX341" t="str">
        <f>+IFERROR(VLOOKUP(AX42,IN_Zugliste!$A$4:$F$602,7,FALSE),"")</f>
        <v/>
      </c>
      <c r="AY341" t="str">
        <f>+IFERROR(VLOOKUP(AY42,IN_Zugliste!$A$4:$F$602,7,FALSE),"")</f>
        <v/>
      </c>
      <c r="AZ341" t="str">
        <f>+IFERROR(VLOOKUP(AZ42,IN_Zugliste!$A$4:$F$602,7,FALSE),"")</f>
        <v/>
      </c>
      <c r="BA341" t="str">
        <f>+IFERROR(VLOOKUP(BA42,IN_Zugliste!$A$4:$F$602,7,FALSE),"")</f>
        <v/>
      </c>
      <c r="BB341" t="str">
        <f>+IFERROR(VLOOKUP(BB42,IN_Zugliste!$A$4:$F$602,7,FALSE),"")</f>
        <v/>
      </c>
      <c r="BC341" t="str">
        <f>+IFERROR(VLOOKUP(BC42,IN_Zugliste!$A$4:$F$602,7,FALSE),"")</f>
        <v/>
      </c>
      <c r="BD341" t="str">
        <f>+IFERROR(VLOOKUP(BD42,IN_Zugliste!$A$4:$F$602,7,FALSE),"")</f>
        <v/>
      </c>
      <c r="BE341" t="str">
        <f>+IFERROR(VLOOKUP(BE42,IN_Zugliste!$A$4:$F$602,7,FALSE),"")</f>
        <v/>
      </c>
      <c r="BF341" t="str">
        <f>+IFERROR(VLOOKUP(BF42,IN_Zugliste!$A$4:$F$602,7,FALSE),"")</f>
        <v/>
      </c>
      <c r="BG341" t="str">
        <f>+IFERROR(VLOOKUP(BG42,IN_Zugliste!$A$4:$F$602,7,FALSE),"")</f>
        <v/>
      </c>
      <c r="BH341" t="str">
        <f>+IFERROR(VLOOKUP(BH42,IN_Zugliste!$A$4:$F$602,7,FALSE),"")</f>
        <v/>
      </c>
      <c r="BI341" t="str">
        <f>+IFERROR(VLOOKUP(BI42,IN_Zugliste!$A$4:$F$602,7,FALSE),"")</f>
        <v/>
      </c>
      <c r="BJ341" t="str">
        <f>+IFERROR(VLOOKUP(BJ42,IN_Zugliste!$A$4:$F$602,7,FALSE),"")</f>
        <v/>
      </c>
      <c r="BK341" t="str">
        <f>+IFERROR(VLOOKUP(BK42,IN_Zugliste!$A$4:$F$602,7,FALSE),"")</f>
        <v/>
      </c>
      <c r="BL341" t="str">
        <f>+IFERROR(VLOOKUP(BL42,IN_Zugliste!$A$4:$F$602,7,FALSE),"")</f>
        <v/>
      </c>
      <c r="BM341" t="str">
        <f>+IFERROR(VLOOKUP(BM42,IN_Zugliste!$A$4:$F$602,7,FALSE),"")</f>
        <v/>
      </c>
      <c r="BN341" t="str">
        <f>+IFERROR(VLOOKUP(BN42,IN_Zugliste!$A$4:$F$602,7,FALSE),"")</f>
        <v/>
      </c>
      <c r="BO341" t="str">
        <f>+IFERROR(VLOOKUP(BO42,IN_Zugliste!$A$4:$F$602,7,FALSE),"")</f>
        <v/>
      </c>
      <c r="BP341" t="str">
        <f>+IFERROR(VLOOKUP(BP42,IN_Zugliste!$A$4:$F$602,7,FALSE),"")</f>
        <v/>
      </c>
      <c r="BQ341" t="str">
        <f>+IFERROR(VLOOKUP(BQ42,IN_Zugliste!$A$4:$F$602,7,FALSE),"")</f>
        <v/>
      </c>
      <c r="BR341" t="str">
        <f>+IFERROR(VLOOKUP(BR42,IN_Zugliste!$A$4:$F$602,7,FALSE),"")</f>
        <v/>
      </c>
      <c r="BS341" t="str">
        <f>+IFERROR(VLOOKUP(BS42,IN_Zugliste!$A$4:$F$602,7,FALSE),"")</f>
        <v/>
      </c>
      <c r="BT341" t="str">
        <f>+IFERROR(VLOOKUP(BT42,IN_Zugliste!$A$4:$F$602,7,FALSE),"")</f>
        <v/>
      </c>
      <c r="BU341" t="str">
        <f>+IFERROR(VLOOKUP(BU42,IN_Zugliste!$A$4:$F$602,7,FALSE),"")</f>
        <v/>
      </c>
      <c r="BV341" t="str">
        <f>+IFERROR(VLOOKUP(BV42,IN_Zugliste!$A$4:$F$602,7,FALSE),"")</f>
        <v/>
      </c>
      <c r="BW341" t="str">
        <f>+IFERROR(VLOOKUP(BW42,IN_Zugliste!$A$4:$F$602,7,FALSE),"")</f>
        <v/>
      </c>
      <c r="BX341" t="str">
        <f>+IFERROR(VLOOKUP(BX42,IN_Zugliste!$A$4:$F$602,7,FALSE),"")</f>
        <v/>
      </c>
      <c r="BY341" t="str">
        <f>+IFERROR(VLOOKUP(BY42,IN_Zugliste!$A$4:$F$602,7,FALSE),"")</f>
        <v/>
      </c>
      <c r="BZ341" t="str">
        <f>+IFERROR(VLOOKUP(BZ42,IN_Zugliste!$A$4:$F$602,7,FALSE),"")</f>
        <v/>
      </c>
      <c r="CA341" t="str">
        <f>+IFERROR(VLOOKUP(CA42,IN_Zugliste!$A$4:$F$602,7,FALSE),"")</f>
        <v/>
      </c>
      <c r="CB341" t="str">
        <f>+IFERROR(VLOOKUP(CB42,IN_Zugliste!$A$4:$F$602,7,FALSE),"")</f>
        <v/>
      </c>
      <c r="CC341" t="str">
        <f>+IFERROR(VLOOKUP(CC42,IN_Zugliste!$A$4:$F$602,7,FALSE),"")</f>
        <v/>
      </c>
      <c r="CD341" t="str">
        <f>+IFERROR(VLOOKUP(CD42,IN_Zugliste!$A$4:$F$602,7,FALSE),"")</f>
        <v/>
      </c>
      <c r="CE341" t="str">
        <f>+IFERROR(VLOOKUP(CE42,IN_Zugliste!$A$4:$F$602,7,FALSE),"")</f>
        <v/>
      </c>
      <c r="CF341" t="str">
        <f>+IFERROR(VLOOKUP(CF42,IN_Zugliste!$A$4:$F$602,7,FALSE),"")</f>
        <v/>
      </c>
      <c r="CG341" t="str">
        <f>+IFERROR(VLOOKUP(CG42,IN_Zugliste!$A$4:$F$602,7,FALSE),"")</f>
        <v/>
      </c>
      <c r="CH341" t="str">
        <f>+IFERROR(VLOOKUP(CH42,IN_Zugliste!$A$4:$F$602,7,FALSE),"")</f>
        <v/>
      </c>
      <c r="CI341" t="str">
        <f>+IFERROR(VLOOKUP(CI42,IN_Zugliste!$A$4:$F$602,7,FALSE),"")</f>
        <v/>
      </c>
      <c r="CJ341" t="str">
        <f>+IFERROR(VLOOKUP(CJ42,IN_Zugliste!$A$4:$F$602,7,FALSE),"")</f>
        <v/>
      </c>
      <c r="CK341" t="str">
        <f>+IFERROR(VLOOKUP(CK42,IN_Zugliste!$A$4:$F$602,7,FALSE),"")</f>
        <v/>
      </c>
      <c r="CL341" t="str">
        <f>+IFERROR(VLOOKUP(CL42,IN_Zugliste!$A$4:$F$602,7,FALSE),"")</f>
        <v/>
      </c>
      <c r="CM341" t="str">
        <f>+IFERROR(VLOOKUP(CM42,IN_Zugliste!$A$4:$F$602,7,FALSE),"")</f>
        <v/>
      </c>
      <c r="CN341" t="str">
        <f>+IFERROR(VLOOKUP(CN42,IN_Zugliste!$A$4:$F$602,7,FALSE),"")</f>
        <v/>
      </c>
      <c r="CO341" t="str">
        <f>+IFERROR(VLOOKUP(CO42,IN_Zugliste!$A$4:$F$602,7,FALSE),"")</f>
        <v/>
      </c>
      <c r="CP341" t="str">
        <f>+IFERROR(VLOOKUP(CP42,IN_Zugliste!$A$4:$F$602,7,FALSE),"")</f>
        <v/>
      </c>
      <c r="CQ341" t="str">
        <f>+IFERROR(VLOOKUP(CQ42,IN_Zugliste!$A$4:$F$602,7,FALSE),"")</f>
        <v/>
      </c>
      <c r="CR341" t="str">
        <f>+IFERROR(VLOOKUP(CR42,IN_Zugliste!$A$4:$F$602,7,FALSE),"")</f>
        <v/>
      </c>
      <c r="CS341" t="str">
        <f>+IFERROR(VLOOKUP(CS42,IN_Zugliste!$A$4:$F$602,7,FALSE),"")</f>
        <v/>
      </c>
      <c r="CT341" t="str">
        <f>+IFERROR(VLOOKUP(CT42,IN_Zugliste!$A$4:$F$602,7,FALSE),"")</f>
        <v/>
      </c>
      <c r="CU341" t="str">
        <f>+IFERROR(VLOOKUP(CU42,IN_Zugliste!$A$4:$F$602,7,FALSE),"")</f>
        <v/>
      </c>
      <c r="CV341" t="str">
        <f>+IFERROR(VLOOKUP(CV42,IN_Zugliste!$A$4:$F$602,7,FALSE),"")</f>
        <v/>
      </c>
      <c r="CW341" t="str">
        <f>+IFERROR(VLOOKUP(CW42,IN_Zugliste!$A$4:$F$602,7,FALSE),"")</f>
        <v/>
      </c>
      <c r="CX341" t="str">
        <f>+IFERROR(VLOOKUP(CX42,IN_Zugliste!$A$4:$F$602,7,FALSE),"")</f>
        <v/>
      </c>
      <c r="CY341" t="str">
        <f>+IFERROR(VLOOKUP(CY42,IN_Zugliste!$A$4:$F$602,7,FALSE),"")</f>
        <v/>
      </c>
      <c r="CZ341" t="str">
        <f>+IFERROR(VLOOKUP(CZ42,IN_Zugliste!$A$4:$F$602,7,FALSE),"")</f>
        <v/>
      </c>
      <c r="DA341" t="str">
        <f>+IFERROR(VLOOKUP(DA42,IN_Zugliste!$A$4:$F$602,7,FALSE),"")</f>
        <v/>
      </c>
      <c r="DB341" t="str">
        <f>+IFERROR(VLOOKUP(DB42,IN_Zugliste!$A$4:$F$602,7,FALSE),"")</f>
        <v/>
      </c>
      <c r="DC341" t="str">
        <f>+IFERROR(VLOOKUP(DC42,IN_Zugliste!$A$4:$F$602,7,FALSE),"")</f>
        <v/>
      </c>
      <c r="DD341" t="str">
        <f>+IFERROR(VLOOKUP(DD42,IN_Zugliste!$A$4:$F$602,7,FALSE),"")</f>
        <v/>
      </c>
      <c r="DE341" t="str">
        <f>+IFERROR(VLOOKUP(DE42,IN_Zugliste!$A$4:$F$602,7,FALSE),"")</f>
        <v/>
      </c>
      <c r="DF341" t="str">
        <f>+IFERROR(VLOOKUP(DF42,IN_Zugliste!$A$4:$F$602,7,FALSE),"")</f>
        <v/>
      </c>
      <c r="DG341" t="str">
        <f>+IFERROR(VLOOKUP(DG42,IN_Zugliste!$A$4:$F$602,7,FALSE),"")</f>
        <v/>
      </c>
      <c r="DH341" t="str">
        <f>+IFERROR(VLOOKUP(DH42,IN_Zugliste!$A$4:$F$602,7,FALSE),"")</f>
        <v/>
      </c>
      <c r="DI341" t="str">
        <f>+IFERROR(VLOOKUP(DI42,IN_Zugliste!$A$4:$F$602,7,FALSE),"")</f>
        <v/>
      </c>
      <c r="DJ341" t="str">
        <f>+IFERROR(VLOOKUP(DJ42,IN_Zugliste!$A$4:$F$602,7,FALSE),"")</f>
        <v/>
      </c>
      <c r="DK341" t="str">
        <f>+IFERROR(VLOOKUP(DK42,IN_Zugliste!$A$4:$F$602,7,FALSE),"")</f>
        <v/>
      </c>
      <c r="DL341" t="str">
        <f>+IFERROR(VLOOKUP(DL42,IN_Zugliste!$A$4:$F$602,7,FALSE),"")</f>
        <v/>
      </c>
      <c r="DM341" t="str">
        <f>+IFERROR(VLOOKUP(DM42,IN_Zugliste!$A$4:$F$602,7,FALSE),"")</f>
        <v/>
      </c>
      <c r="DN341" t="str">
        <f>+IFERROR(VLOOKUP(DN42,IN_Zugliste!$A$4:$F$602,7,FALSE),"")</f>
        <v/>
      </c>
      <c r="DO341" t="str">
        <f>+IFERROR(VLOOKUP(DO42,IN_Zugliste!$A$4:$F$602,7,FALSE),"")</f>
        <v/>
      </c>
      <c r="DP341" t="str">
        <f>+IFERROR(VLOOKUP(DP42,IN_Zugliste!$A$4:$F$602,7,FALSE),"")</f>
        <v/>
      </c>
      <c r="DQ341" t="str">
        <f>+IFERROR(VLOOKUP(DQ42,IN_Zugliste!$A$4:$F$602,7,FALSE),"")</f>
        <v/>
      </c>
      <c r="DR341" t="str">
        <f>+IFERROR(VLOOKUP(DR42,IN_Zugliste!$A$4:$F$602,7,FALSE),"")</f>
        <v/>
      </c>
      <c r="DS341" t="str">
        <f>+IFERROR(VLOOKUP(DS42,IN_Zugliste!$A$4:$F$602,7,FALSE),"")</f>
        <v/>
      </c>
      <c r="DT341" t="str">
        <f>+IFERROR(VLOOKUP(DT42,IN_Zugliste!$A$4:$F$602,7,FALSE),"")</f>
        <v/>
      </c>
      <c r="DU341" t="str">
        <f>+IFERROR(VLOOKUP(DU42,IN_Zugliste!$A$4:$F$602,7,FALSE),"")</f>
        <v/>
      </c>
      <c r="DV341" t="str">
        <f>+IFERROR(VLOOKUP(DV42,IN_Zugliste!$A$4:$F$602,7,FALSE),"")</f>
        <v/>
      </c>
      <c r="DW341" t="str">
        <f>+IFERROR(VLOOKUP(DW42,IN_Zugliste!$A$4:$F$602,7,FALSE),"")</f>
        <v/>
      </c>
      <c r="DX341" t="str">
        <f>+IFERROR(VLOOKUP(DX42,IN_Zugliste!$A$4:$F$602,7,FALSE),"")</f>
        <v/>
      </c>
      <c r="DY341" t="str">
        <f>+IFERROR(VLOOKUP(DY42,IN_Zugliste!$A$4:$F$602,7,FALSE),"")</f>
        <v/>
      </c>
      <c r="DZ341" t="str">
        <f>+IFERROR(VLOOKUP(DZ42,IN_Zugliste!$A$4:$F$602,7,FALSE),"")</f>
        <v/>
      </c>
      <c r="EA341" t="str">
        <f>+IFERROR(VLOOKUP(EA42,IN_Zugliste!$A$4:$F$602,7,FALSE),"")</f>
        <v/>
      </c>
      <c r="EB341" t="str">
        <f>+IFERROR(VLOOKUP(EB42,IN_Zugliste!$A$4:$F$602,7,FALSE),"")</f>
        <v/>
      </c>
      <c r="EC341" t="str">
        <f>+IFERROR(VLOOKUP(EC42,IN_Zugliste!$A$4:$F$602,7,FALSE),"")</f>
        <v/>
      </c>
      <c r="ED341" t="str">
        <f>+IFERROR(VLOOKUP(ED42,IN_Zugliste!$A$4:$F$602,7,FALSE),"")</f>
        <v/>
      </c>
      <c r="EE341" t="str">
        <f>+IFERROR(VLOOKUP(EE42,IN_Zugliste!$A$4:$F$602,7,FALSE),"")</f>
        <v/>
      </c>
      <c r="EF341" t="str">
        <f>+IFERROR(VLOOKUP(EF42,IN_Zugliste!$A$4:$F$602,7,FALSE),"")</f>
        <v/>
      </c>
      <c r="EG341" t="str">
        <f>+IFERROR(VLOOKUP(EG42,IN_Zugliste!$A$4:$F$602,7,FALSE),"")</f>
        <v/>
      </c>
      <c r="EH341" t="str">
        <f>+IFERROR(VLOOKUP(EH42,IN_Zugliste!$A$4:$F$602,7,FALSE),"")</f>
        <v/>
      </c>
      <c r="EI341" t="str">
        <f>+IFERROR(VLOOKUP(EI42,IN_Zugliste!$A$4:$F$602,7,FALSE),"")</f>
        <v/>
      </c>
      <c r="EJ341" t="str">
        <f>+IFERROR(VLOOKUP(EJ42,IN_Zugliste!$A$4:$F$602,7,FALSE),"")</f>
        <v/>
      </c>
      <c r="EK341" t="str">
        <f>+IFERROR(VLOOKUP(EK42,IN_Zugliste!$A$4:$F$602,7,FALSE),"")</f>
        <v/>
      </c>
      <c r="EL341" t="str">
        <f>+IFERROR(VLOOKUP(EL42,IN_Zugliste!$A$4:$F$602,7,FALSE),"")</f>
        <v/>
      </c>
      <c r="EM341" t="str">
        <f>+IFERROR(VLOOKUP(EM42,IN_Zugliste!$A$4:$F$602,7,FALSE),"")</f>
        <v/>
      </c>
      <c r="EN341" t="str">
        <f>+IFERROR(VLOOKUP(EN42,IN_Zugliste!$A$4:$F$602,7,FALSE),"")</f>
        <v/>
      </c>
      <c r="EO341" t="str">
        <f>+IFERROR(VLOOKUP(EO42,IN_Zugliste!$A$4:$F$602,7,FALSE),"")</f>
        <v/>
      </c>
      <c r="EP341" t="str">
        <f>+IFERROR(VLOOKUP(EP42,IN_Zugliste!$A$4:$F$602,7,FALSE),"")</f>
        <v/>
      </c>
      <c r="EQ341" t="str">
        <f>+IFERROR(VLOOKUP(EQ42,IN_Zugliste!$A$4:$F$602,7,FALSE),"")</f>
        <v/>
      </c>
      <c r="ER341" t="str">
        <f>+IFERROR(VLOOKUP(ER42,IN_Zugliste!$A$4:$F$602,7,FALSE),"")</f>
        <v/>
      </c>
      <c r="ES341" t="str">
        <f>+IFERROR(VLOOKUP(ES42,IN_Zugliste!$A$4:$F$602,7,FALSE),"")</f>
        <v/>
      </c>
      <c r="ET341" t="str">
        <f>+IFERROR(VLOOKUP(ET42,IN_Zugliste!$A$4:$F$602,7,FALSE),"")</f>
        <v/>
      </c>
      <c r="EU341" t="str">
        <f>+IFERROR(VLOOKUP(EU42,IN_Zugliste!$A$4:$F$602,7,FALSE),"")</f>
        <v/>
      </c>
      <c r="EV341" t="str">
        <f>+IFERROR(VLOOKUP(EV42,IN_Zugliste!$A$4:$F$602,7,FALSE),"")</f>
        <v/>
      </c>
      <c r="EW341" t="str">
        <f>+IFERROR(VLOOKUP(EW42,IN_Zugliste!$A$4:$F$602,7,FALSE),"")</f>
        <v/>
      </c>
      <c r="EX341" t="str">
        <f>+IFERROR(VLOOKUP(EX42,IN_Zugliste!$A$4:$F$602,7,FALSE),"")</f>
        <v/>
      </c>
      <c r="EY341" t="str">
        <f>+IFERROR(VLOOKUP(EY42,IN_Zugliste!$A$4:$F$602,7,FALSE),"")</f>
        <v/>
      </c>
      <c r="EZ341" t="str">
        <f>+IFERROR(VLOOKUP(EZ42,IN_Zugliste!$A$4:$F$602,7,FALSE),"")</f>
        <v/>
      </c>
      <c r="FA341" t="str">
        <f>+IFERROR(VLOOKUP(FA42,IN_Zugliste!$A$4:$F$602,7,FALSE),"")</f>
        <v/>
      </c>
      <c r="FB341" t="str">
        <f>+IFERROR(VLOOKUP(FB42,IN_Zugliste!$A$4:$F$602,7,FALSE),"")</f>
        <v/>
      </c>
      <c r="FC341" t="str">
        <f>+IFERROR(VLOOKUP(FC42,IN_Zugliste!$A$4:$F$602,7,FALSE),"")</f>
        <v/>
      </c>
      <c r="FD341" t="str">
        <f>+IFERROR(VLOOKUP(FD42,IN_Zugliste!$A$4:$F$602,7,FALSE),"")</f>
        <v/>
      </c>
      <c r="FE341" t="str">
        <f>+IFERROR(VLOOKUP(FE42,IN_Zugliste!$A$4:$F$602,7,FALSE),"")</f>
        <v/>
      </c>
      <c r="FF341" t="str">
        <f>+IFERROR(VLOOKUP(FF42,IN_Zugliste!$A$4:$F$602,7,FALSE),"")</f>
        <v/>
      </c>
      <c r="FG341" t="str">
        <f>+IFERROR(VLOOKUP(FG42,IN_Zugliste!$A$4:$F$602,7,FALSE),"")</f>
        <v/>
      </c>
      <c r="FH341" t="str">
        <f>+IFERROR(VLOOKUP(FH42,IN_Zugliste!$A$4:$F$602,7,FALSE),"")</f>
        <v/>
      </c>
      <c r="FI341" t="str">
        <f>+IFERROR(VLOOKUP(FI42,IN_Zugliste!$A$4:$F$602,7,FALSE),"")</f>
        <v/>
      </c>
      <c r="FJ341" t="str">
        <f>+IFERROR(VLOOKUP(FJ42,IN_Zugliste!$A$4:$F$602,7,FALSE),"")</f>
        <v/>
      </c>
      <c r="FK341" t="str">
        <f>+IFERROR(VLOOKUP(FK42,IN_Zugliste!$A$4:$F$602,7,FALSE),"")</f>
        <v/>
      </c>
      <c r="FL341" t="str">
        <f>+IFERROR(VLOOKUP(FL42,IN_Zugliste!$A$4:$F$602,7,FALSE),"")</f>
        <v/>
      </c>
      <c r="FM341" t="str">
        <f>+IFERROR(VLOOKUP(FM42,IN_Zugliste!$A$4:$F$602,7,FALSE),"")</f>
        <v/>
      </c>
      <c r="FN341" t="str">
        <f>+IFERROR(VLOOKUP(FN42,IN_Zugliste!$A$4:$F$602,7,FALSE),"")</f>
        <v/>
      </c>
      <c r="FO341" t="str">
        <f>+IFERROR(VLOOKUP(FO42,IN_Zugliste!$A$4:$F$602,7,FALSE),"")</f>
        <v/>
      </c>
      <c r="FP341" t="str">
        <f>+IFERROR(VLOOKUP(FP42,IN_Zugliste!$A$4:$F$602,7,FALSE),"")</f>
        <v/>
      </c>
      <c r="FQ341" t="str">
        <f>+IFERROR(VLOOKUP(FQ42,IN_Zugliste!$A$4:$F$602,7,FALSE),"")</f>
        <v/>
      </c>
      <c r="FR341" t="str">
        <f>+IFERROR(VLOOKUP(FR42,IN_Zugliste!$A$4:$F$602,7,FALSE),"")</f>
        <v/>
      </c>
      <c r="FS341" t="str">
        <f>+IFERROR(VLOOKUP(FS42,IN_Zugliste!$A$4:$F$602,7,FALSE),"")</f>
        <v/>
      </c>
      <c r="FT341" t="str">
        <f>+IFERROR(VLOOKUP(FT42,IN_Zugliste!$A$4:$F$602,7,FALSE),"")</f>
        <v/>
      </c>
      <c r="FU341" t="str">
        <f>+IFERROR(VLOOKUP(FU42,IN_Zugliste!$A$4:$F$602,7,FALSE),"")</f>
        <v/>
      </c>
      <c r="FV341" t="str">
        <f>+IFERROR(VLOOKUP(FV42,IN_Zugliste!$A$4:$F$602,7,FALSE),"")</f>
        <v/>
      </c>
      <c r="FW341" t="str">
        <f>+IFERROR(VLOOKUP(FW42,IN_Zugliste!$A$4:$F$602,7,FALSE),"")</f>
        <v/>
      </c>
      <c r="FX341" t="str">
        <f>+IFERROR(VLOOKUP(FX42,IN_Zugliste!$A$4:$F$602,7,FALSE),"")</f>
        <v/>
      </c>
      <c r="FY341" t="str">
        <f>+IFERROR(VLOOKUP(FY42,IN_Zugliste!$A$4:$F$602,7,FALSE),"")</f>
        <v/>
      </c>
      <c r="FZ341" t="str">
        <f>+IFERROR(VLOOKUP(FZ42,IN_Zugliste!$A$4:$F$602,7,FALSE),"")</f>
        <v/>
      </c>
      <c r="GA341" t="str">
        <f>+IFERROR(VLOOKUP(GA42,IN_Zugliste!$A$4:$F$602,7,FALSE),"")</f>
        <v/>
      </c>
      <c r="GB341" t="str">
        <f>+IFERROR(VLOOKUP(GB42,IN_Zugliste!$A$4:$F$602,7,FALSE),"")</f>
        <v/>
      </c>
      <c r="GC341" t="str">
        <f>+IFERROR(VLOOKUP(GC42,IN_Zugliste!$A$4:$F$602,7,FALSE),"")</f>
        <v/>
      </c>
      <c r="GD341" t="str">
        <f>+IFERROR(VLOOKUP(GD42,IN_Zugliste!$A$4:$F$602,7,FALSE),"")</f>
        <v/>
      </c>
      <c r="GE341" t="str">
        <f>+IFERROR(VLOOKUP(GE42,IN_Zugliste!$A$4:$F$602,7,FALSE),"")</f>
        <v/>
      </c>
      <c r="GF341" t="str">
        <f>+IFERROR(VLOOKUP(GF42,IN_Zugliste!$A$4:$F$602,7,FALSE),"")</f>
        <v/>
      </c>
      <c r="GG341" t="str">
        <f>+IFERROR(VLOOKUP(GG42,IN_Zugliste!$A$4:$F$602,7,FALSE),"")</f>
        <v/>
      </c>
      <c r="GH341" t="str">
        <f>+IFERROR(VLOOKUP(GH42,IN_Zugliste!$A$4:$F$602,7,FALSE),"")</f>
        <v/>
      </c>
      <c r="GI341" t="str">
        <f>+IFERROR(VLOOKUP(GI42,IN_Zugliste!$A$4:$F$602,7,FALSE),"")</f>
        <v/>
      </c>
      <c r="GJ341" t="str">
        <f>+IFERROR(VLOOKUP(GJ42,IN_Zugliste!$A$4:$F$602,7,FALSE),"")</f>
        <v/>
      </c>
      <c r="GK341" t="str">
        <f>+IFERROR(VLOOKUP(GK42,IN_Zugliste!$A$4:$F$602,7,FALSE),"")</f>
        <v/>
      </c>
      <c r="GL341" t="str">
        <f>+IFERROR(VLOOKUP(GL42,IN_Zugliste!$A$4:$F$602,7,FALSE),"")</f>
        <v/>
      </c>
      <c r="GM341" t="str">
        <f>+IFERROR(VLOOKUP(GM42,IN_Zugliste!$A$4:$F$602,7,FALSE),"")</f>
        <v/>
      </c>
      <c r="GN341" t="str">
        <f>+IFERROR(VLOOKUP(GN42,IN_Zugliste!$A$4:$F$602,7,FALSE),"")</f>
        <v/>
      </c>
      <c r="GO341" t="str">
        <f>+IFERROR(VLOOKUP(GO42,IN_Zugliste!$A$4:$F$602,7,FALSE),"")</f>
        <v/>
      </c>
      <c r="GP341" t="str">
        <f>+IFERROR(VLOOKUP(GP42,IN_Zugliste!$A$4:$F$602,7,FALSE),"")</f>
        <v/>
      </c>
      <c r="GQ341" t="str">
        <f>+IFERROR(VLOOKUP(GQ42,IN_Zugliste!$A$4:$F$602,7,FALSE),"")</f>
        <v/>
      </c>
      <c r="GR341" t="str">
        <f>+IFERROR(VLOOKUP(GR42,IN_Zugliste!$A$4:$F$602,7,FALSE),"")</f>
        <v/>
      </c>
      <c r="GS341" t="str">
        <f>+IFERROR(VLOOKUP(GS42,IN_Zugliste!$A$4:$F$602,7,FALSE),"")</f>
        <v/>
      </c>
      <c r="GT341" t="str">
        <f>+IFERROR(VLOOKUP(GT42,IN_Zugliste!$A$4:$F$602,7,FALSE),"")</f>
        <v/>
      </c>
      <c r="GU341" t="str">
        <f>+IFERROR(VLOOKUP(GU42,IN_Zugliste!$A$4:$F$602,7,FALSE),"")</f>
        <v/>
      </c>
      <c r="GV341" t="str">
        <f>+IFERROR(VLOOKUP(GV42,IN_Zugliste!$A$4:$F$602,7,FALSE),"")</f>
        <v/>
      </c>
      <c r="GW341" t="str">
        <f>+IFERROR(VLOOKUP(GW42,IN_Zugliste!$A$4:$F$602,7,FALSE),"")</f>
        <v/>
      </c>
      <c r="GX341" t="str">
        <f>+IFERROR(VLOOKUP(GX42,IN_Zugliste!$A$4:$F$602,7,FALSE),"")</f>
        <v/>
      </c>
      <c r="GY341" t="str">
        <f>+IFERROR(VLOOKUP(GY42,IN_Zugliste!$A$4:$F$602,7,FALSE),"")</f>
        <v/>
      </c>
      <c r="GZ341" t="str">
        <f>+IFERROR(VLOOKUP(GZ42,IN_Zugliste!$A$4:$F$602,7,FALSE),"")</f>
        <v/>
      </c>
      <c r="HA341" t="str">
        <f>+IFERROR(VLOOKUP(HA42,IN_Zugliste!$A$4:$F$602,7,FALSE),"")</f>
        <v/>
      </c>
      <c r="HB341" t="str">
        <f>+IFERROR(VLOOKUP(HB42,IN_Zugliste!$A$4:$F$602,7,FALSE),"")</f>
        <v/>
      </c>
      <c r="HC341" t="str">
        <f>+IFERROR(VLOOKUP(HC42,IN_Zugliste!$A$4:$F$602,7,FALSE),"")</f>
        <v/>
      </c>
      <c r="HD341" t="str">
        <f>+IFERROR(VLOOKUP(HD42,IN_Zugliste!$A$4:$F$602,7,FALSE),"")</f>
        <v/>
      </c>
      <c r="HE341" t="str">
        <f>+IFERROR(VLOOKUP(HE42,IN_Zugliste!$A$4:$F$602,7,FALSE),"")</f>
        <v/>
      </c>
      <c r="HF341" t="str">
        <f>+IFERROR(VLOOKUP(HF42,IN_Zugliste!$A$4:$F$602,7,FALSE),"")</f>
        <v/>
      </c>
      <c r="HG341" t="str">
        <f>+IFERROR(VLOOKUP(HG42,IN_Zugliste!$A$4:$F$602,7,FALSE),"")</f>
        <v/>
      </c>
      <c r="HH341" t="str">
        <f>+IFERROR(VLOOKUP(HH42,IN_Zugliste!$A$4:$F$602,7,FALSE),"")</f>
        <v/>
      </c>
    </row>
    <row r="342" spans="1:216" x14ac:dyDescent="0.2">
      <c r="A342" t="str">
        <f>+IFERROR(VLOOKUP(A43,IN_Zugliste!$A$4:$F$602,7,FALSE),"")</f>
        <v/>
      </c>
      <c r="B342" t="str">
        <f>+IFERROR(VLOOKUP(B43,IN_Zugliste!$A$4:$F$602,7,FALSE),"")</f>
        <v/>
      </c>
      <c r="C342" t="str">
        <f>+IFERROR(VLOOKUP(C43,IN_Zugliste!$A$4:$F$602,7,FALSE),"")</f>
        <v/>
      </c>
      <c r="D342" t="str">
        <f>+IFERROR(VLOOKUP(D43,IN_Zugliste!$A$4:$F$602,7,FALSE),"")</f>
        <v/>
      </c>
      <c r="E342" t="str">
        <f>+IFERROR(VLOOKUP(E43,IN_Zugliste!$A$4:$F$602,7,FALSE),"")</f>
        <v/>
      </c>
      <c r="F342" t="str">
        <f>+IFERROR(VLOOKUP(F43,IN_Zugliste!$A$4:$F$602,7,FALSE),"")</f>
        <v/>
      </c>
      <c r="G342" t="str">
        <f>+IFERROR(VLOOKUP(G43,IN_Zugliste!$A$4:$F$602,7,FALSE),"")</f>
        <v/>
      </c>
      <c r="H342" t="str">
        <f>+IFERROR(VLOOKUP(H43,IN_Zugliste!$A$4:$F$602,7,FALSE),"")</f>
        <v/>
      </c>
      <c r="I342" t="str">
        <f>+IFERROR(VLOOKUP(I43,IN_Zugliste!$A$4:$F$602,7,FALSE),"")</f>
        <v/>
      </c>
      <c r="J342" t="str">
        <f>+IFERROR(VLOOKUP(J43,IN_Zugliste!$A$4:$F$602,7,FALSE),"")</f>
        <v/>
      </c>
      <c r="K342" t="str">
        <f>+IFERROR(VLOOKUP(K43,IN_Zugliste!$A$4:$F$602,7,FALSE),"")</f>
        <v/>
      </c>
      <c r="L342" t="str">
        <f>+IFERROR(VLOOKUP(L43,IN_Zugliste!$A$4:$F$602,7,FALSE),"")</f>
        <v/>
      </c>
      <c r="M342" t="str">
        <f>+IFERROR(VLOOKUP(M43,IN_Zugliste!$A$4:$F$602,7,FALSE),"")</f>
        <v/>
      </c>
      <c r="N342" t="str">
        <f>+IFERROR(VLOOKUP(N43,IN_Zugliste!$A$4:$F$602,7,FALSE),"")</f>
        <v/>
      </c>
      <c r="O342" t="str">
        <f>+IFERROR(VLOOKUP(O43,IN_Zugliste!$A$4:$F$602,7,FALSE),"")</f>
        <v/>
      </c>
      <c r="P342" t="str">
        <f>+IFERROR(VLOOKUP(P43,IN_Zugliste!$A$4:$F$602,7,FALSE),"")</f>
        <v/>
      </c>
      <c r="Q342" t="str">
        <f>+IFERROR(VLOOKUP(Q43,IN_Zugliste!$A$4:$F$602,7,FALSE),"")</f>
        <v/>
      </c>
      <c r="R342" t="str">
        <f>+IFERROR(VLOOKUP(R43,IN_Zugliste!$A$4:$F$602,7,FALSE),"")</f>
        <v/>
      </c>
      <c r="S342" t="str">
        <f>+IFERROR(VLOOKUP(S43,IN_Zugliste!$A$4:$F$602,7,FALSE),"")</f>
        <v/>
      </c>
      <c r="T342" t="str">
        <f>+IFERROR(VLOOKUP(T43,IN_Zugliste!$A$4:$F$602,7,FALSE),"")</f>
        <v/>
      </c>
      <c r="U342" t="str">
        <f>+IFERROR(VLOOKUP(U43,IN_Zugliste!$A$4:$F$602,7,FALSE),"")</f>
        <v/>
      </c>
      <c r="V342" t="str">
        <f>+IFERROR(VLOOKUP(V43,IN_Zugliste!$A$4:$F$602,7,FALSE),"")</f>
        <v/>
      </c>
      <c r="W342" t="str">
        <f>+IFERROR(VLOOKUP(W43,IN_Zugliste!$A$4:$F$602,7,FALSE),"")</f>
        <v/>
      </c>
      <c r="X342" t="str">
        <f>+IFERROR(VLOOKUP(X43,IN_Zugliste!$A$4:$F$602,7,FALSE),"")</f>
        <v/>
      </c>
      <c r="Y342" t="str">
        <f>+IFERROR(VLOOKUP(Y43,IN_Zugliste!$A$4:$F$602,7,FALSE),"")</f>
        <v/>
      </c>
      <c r="Z342" t="str">
        <f>+IFERROR(VLOOKUP(Z43,IN_Zugliste!$A$4:$F$602,7,FALSE),"")</f>
        <v/>
      </c>
      <c r="AA342" t="str">
        <f>+IFERROR(VLOOKUP(AA43,IN_Zugliste!$A$4:$F$602,7,FALSE),"")</f>
        <v/>
      </c>
      <c r="AB342" t="str">
        <f>+IFERROR(VLOOKUP(AB43,IN_Zugliste!$A$4:$F$602,7,FALSE),"")</f>
        <v/>
      </c>
      <c r="AC342" t="str">
        <f>+IFERROR(VLOOKUP(AC43,IN_Zugliste!$A$4:$F$602,7,FALSE),"")</f>
        <v/>
      </c>
      <c r="AD342" t="str">
        <f>+IFERROR(VLOOKUP(AD43,IN_Zugliste!$A$4:$F$602,7,FALSE),"")</f>
        <v/>
      </c>
      <c r="AE342" t="str">
        <f>+IFERROR(VLOOKUP(AE43,IN_Zugliste!$A$4:$F$602,7,FALSE),"")</f>
        <v/>
      </c>
      <c r="AF342" t="str">
        <f>+IFERROR(VLOOKUP(AF43,IN_Zugliste!$A$4:$F$602,7,FALSE),"")</f>
        <v/>
      </c>
      <c r="AG342" t="str">
        <f>+IFERROR(VLOOKUP(AG43,IN_Zugliste!$A$4:$F$602,7,FALSE),"")</f>
        <v/>
      </c>
      <c r="AH342" t="str">
        <f>+IFERROR(VLOOKUP(AH43,IN_Zugliste!$A$4:$F$602,7,FALSE),"")</f>
        <v/>
      </c>
      <c r="AI342" t="str">
        <f>+IFERROR(VLOOKUP(AI43,IN_Zugliste!$A$4:$F$602,7,FALSE),"")</f>
        <v/>
      </c>
      <c r="AJ342" t="str">
        <f>+IFERROR(VLOOKUP(AJ43,IN_Zugliste!$A$4:$F$602,7,FALSE),"")</f>
        <v/>
      </c>
      <c r="AK342" t="str">
        <f>+IFERROR(VLOOKUP(AK43,IN_Zugliste!$A$4:$F$602,7,FALSE),"")</f>
        <v/>
      </c>
      <c r="AL342" t="str">
        <f>+IFERROR(VLOOKUP(AL43,IN_Zugliste!$A$4:$F$602,7,FALSE),"")</f>
        <v/>
      </c>
      <c r="AM342" t="str">
        <f>+IFERROR(VLOOKUP(AM43,IN_Zugliste!$A$4:$F$602,7,FALSE),"")</f>
        <v/>
      </c>
      <c r="AN342" t="str">
        <f>+IFERROR(VLOOKUP(AN43,IN_Zugliste!$A$4:$F$602,7,FALSE),"")</f>
        <v/>
      </c>
      <c r="AO342" t="str">
        <f>+IFERROR(VLOOKUP(AO43,IN_Zugliste!$A$4:$F$602,7,FALSE),"")</f>
        <v/>
      </c>
      <c r="AP342" t="str">
        <f>+IFERROR(VLOOKUP(AP43,IN_Zugliste!$A$4:$F$602,7,FALSE),"")</f>
        <v/>
      </c>
      <c r="AQ342" t="str">
        <f>+IFERROR(VLOOKUP(AQ43,IN_Zugliste!$A$4:$F$602,7,FALSE),"")</f>
        <v/>
      </c>
      <c r="AR342" t="str">
        <f>+IFERROR(VLOOKUP(AR43,IN_Zugliste!$A$4:$F$602,7,FALSE),"")</f>
        <v/>
      </c>
      <c r="AS342" t="str">
        <f>+IFERROR(VLOOKUP(AS43,IN_Zugliste!$A$4:$F$602,7,FALSE),"")</f>
        <v/>
      </c>
      <c r="AT342" t="str">
        <f>+IFERROR(VLOOKUP(AT43,IN_Zugliste!$A$4:$F$602,7,FALSE),"")</f>
        <v/>
      </c>
      <c r="AU342" t="str">
        <f>+IFERROR(VLOOKUP(AU43,IN_Zugliste!$A$4:$F$602,7,FALSE),"")</f>
        <v/>
      </c>
      <c r="AV342" t="str">
        <f>+IFERROR(VLOOKUP(AV43,IN_Zugliste!$A$4:$F$602,7,FALSE),"")</f>
        <v/>
      </c>
      <c r="AW342" t="str">
        <f>+IFERROR(VLOOKUP(AW43,IN_Zugliste!$A$4:$F$602,7,FALSE),"")</f>
        <v/>
      </c>
      <c r="AX342" t="str">
        <f>+IFERROR(VLOOKUP(AX43,IN_Zugliste!$A$4:$F$602,7,FALSE),"")</f>
        <v/>
      </c>
      <c r="AY342" t="str">
        <f>+IFERROR(VLOOKUP(AY43,IN_Zugliste!$A$4:$F$602,7,FALSE),"")</f>
        <v/>
      </c>
      <c r="AZ342" t="str">
        <f>+IFERROR(VLOOKUP(AZ43,IN_Zugliste!$A$4:$F$602,7,FALSE),"")</f>
        <v/>
      </c>
      <c r="BA342" t="str">
        <f>+IFERROR(VLOOKUP(BA43,IN_Zugliste!$A$4:$F$602,7,FALSE),"")</f>
        <v/>
      </c>
      <c r="BB342" t="str">
        <f>+IFERROR(VLOOKUP(BB43,IN_Zugliste!$A$4:$F$602,7,FALSE),"")</f>
        <v/>
      </c>
      <c r="BC342" t="str">
        <f>+IFERROR(VLOOKUP(BC43,IN_Zugliste!$A$4:$F$602,7,FALSE),"")</f>
        <v/>
      </c>
      <c r="BD342" t="str">
        <f>+IFERROR(VLOOKUP(BD43,IN_Zugliste!$A$4:$F$602,7,FALSE),"")</f>
        <v/>
      </c>
      <c r="BE342" t="str">
        <f>+IFERROR(VLOOKUP(BE43,IN_Zugliste!$A$4:$F$602,7,FALSE),"")</f>
        <v/>
      </c>
      <c r="BF342" t="str">
        <f>+IFERROR(VLOOKUP(BF43,IN_Zugliste!$A$4:$F$602,7,FALSE),"")</f>
        <v/>
      </c>
      <c r="BG342" t="str">
        <f>+IFERROR(VLOOKUP(BG43,IN_Zugliste!$A$4:$F$602,7,FALSE),"")</f>
        <v/>
      </c>
      <c r="BH342" t="str">
        <f>+IFERROR(VLOOKUP(BH43,IN_Zugliste!$A$4:$F$602,7,FALSE),"")</f>
        <v/>
      </c>
      <c r="BI342" t="str">
        <f>+IFERROR(VLOOKUP(BI43,IN_Zugliste!$A$4:$F$602,7,FALSE),"")</f>
        <v/>
      </c>
      <c r="BJ342" t="str">
        <f>+IFERROR(VLOOKUP(BJ43,IN_Zugliste!$A$4:$F$602,7,FALSE),"")</f>
        <v/>
      </c>
      <c r="BK342" t="str">
        <f>+IFERROR(VLOOKUP(BK43,IN_Zugliste!$A$4:$F$602,7,FALSE),"")</f>
        <v/>
      </c>
      <c r="BL342" t="str">
        <f>+IFERROR(VLOOKUP(BL43,IN_Zugliste!$A$4:$F$602,7,FALSE),"")</f>
        <v/>
      </c>
      <c r="BM342" t="str">
        <f>+IFERROR(VLOOKUP(BM43,IN_Zugliste!$A$4:$F$602,7,FALSE),"")</f>
        <v/>
      </c>
      <c r="BN342" t="str">
        <f>+IFERROR(VLOOKUP(BN43,IN_Zugliste!$A$4:$F$602,7,FALSE),"")</f>
        <v/>
      </c>
      <c r="BO342" t="str">
        <f>+IFERROR(VLOOKUP(BO43,IN_Zugliste!$A$4:$F$602,7,FALSE),"")</f>
        <v/>
      </c>
      <c r="BP342" t="str">
        <f>+IFERROR(VLOOKUP(BP43,IN_Zugliste!$A$4:$F$602,7,FALSE),"")</f>
        <v/>
      </c>
      <c r="BQ342" t="str">
        <f>+IFERROR(VLOOKUP(BQ43,IN_Zugliste!$A$4:$F$602,7,FALSE),"")</f>
        <v/>
      </c>
      <c r="BR342" t="str">
        <f>+IFERROR(VLOOKUP(BR43,IN_Zugliste!$A$4:$F$602,7,FALSE),"")</f>
        <v/>
      </c>
      <c r="BS342" t="str">
        <f>+IFERROR(VLOOKUP(BS43,IN_Zugliste!$A$4:$F$602,7,FALSE),"")</f>
        <v/>
      </c>
      <c r="BT342" t="str">
        <f>+IFERROR(VLOOKUP(BT43,IN_Zugliste!$A$4:$F$602,7,FALSE),"")</f>
        <v/>
      </c>
      <c r="BU342" t="str">
        <f>+IFERROR(VLOOKUP(BU43,IN_Zugliste!$A$4:$F$602,7,FALSE),"")</f>
        <v/>
      </c>
      <c r="BV342" t="str">
        <f>+IFERROR(VLOOKUP(BV43,IN_Zugliste!$A$4:$F$602,7,FALSE),"")</f>
        <v/>
      </c>
      <c r="BW342" t="str">
        <f>+IFERROR(VLOOKUP(BW43,IN_Zugliste!$A$4:$F$602,7,FALSE),"")</f>
        <v/>
      </c>
      <c r="BX342" t="str">
        <f>+IFERROR(VLOOKUP(BX43,IN_Zugliste!$A$4:$F$602,7,FALSE),"")</f>
        <v/>
      </c>
      <c r="BY342" t="str">
        <f>+IFERROR(VLOOKUP(BY43,IN_Zugliste!$A$4:$F$602,7,FALSE),"")</f>
        <v/>
      </c>
      <c r="BZ342" t="str">
        <f>+IFERROR(VLOOKUP(BZ43,IN_Zugliste!$A$4:$F$602,7,FALSE),"")</f>
        <v/>
      </c>
      <c r="CA342" t="str">
        <f>+IFERROR(VLOOKUP(CA43,IN_Zugliste!$A$4:$F$602,7,FALSE),"")</f>
        <v/>
      </c>
      <c r="CB342" t="str">
        <f>+IFERROR(VLOOKUP(CB43,IN_Zugliste!$A$4:$F$602,7,FALSE),"")</f>
        <v/>
      </c>
      <c r="CC342" t="str">
        <f>+IFERROR(VLOOKUP(CC43,IN_Zugliste!$A$4:$F$602,7,FALSE),"")</f>
        <v/>
      </c>
      <c r="CD342" t="str">
        <f>+IFERROR(VLOOKUP(CD43,IN_Zugliste!$A$4:$F$602,7,FALSE),"")</f>
        <v/>
      </c>
      <c r="CE342" t="str">
        <f>+IFERROR(VLOOKUP(CE43,IN_Zugliste!$A$4:$F$602,7,FALSE),"")</f>
        <v/>
      </c>
      <c r="CF342" t="str">
        <f>+IFERROR(VLOOKUP(CF43,IN_Zugliste!$A$4:$F$602,7,FALSE),"")</f>
        <v/>
      </c>
      <c r="CG342" t="str">
        <f>+IFERROR(VLOOKUP(CG43,IN_Zugliste!$A$4:$F$602,7,FALSE),"")</f>
        <v/>
      </c>
      <c r="CH342" t="str">
        <f>+IFERROR(VLOOKUP(CH43,IN_Zugliste!$A$4:$F$602,7,FALSE),"")</f>
        <v/>
      </c>
      <c r="CI342" t="str">
        <f>+IFERROR(VLOOKUP(CI43,IN_Zugliste!$A$4:$F$602,7,FALSE),"")</f>
        <v/>
      </c>
      <c r="CJ342" t="str">
        <f>+IFERROR(VLOOKUP(CJ43,IN_Zugliste!$A$4:$F$602,7,FALSE),"")</f>
        <v/>
      </c>
      <c r="CK342" t="str">
        <f>+IFERROR(VLOOKUP(CK43,IN_Zugliste!$A$4:$F$602,7,FALSE),"")</f>
        <v/>
      </c>
      <c r="CL342" t="str">
        <f>+IFERROR(VLOOKUP(CL43,IN_Zugliste!$A$4:$F$602,7,FALSE),"")</f>
        <v/>
      </c>
      <c r="CM342" t="str">
        <f>+IFERROR(VLOOKUP(CM43,IN_Zugliste!$A$4:$F$602,7,FALSE),"")</f>
        <v/>
      </c>
      <c r="CN342" t="str">
        <f>+IFERROR(VLOOKUP(CN43,IN_Zugliste!$A$4:$F$602,7,FALSE),"")</f>
        <v/>
      </c>
      <c r="CO342" t="str">
        <f>+IFERROR(VLOOKUP(CO43,IN_Zugliste!$A$4:$F$602,7,FALSE),"")</f>
        <v/>
      </c>
      <c r="CP342" t="str">
        <f>+IFERROR(VLOOKUP(CP43,IN_Zugliste!$A$4:$F$602,7,FALSE),"")</f>
        <v/>
      </c>
      <c r="CQ342" t="str">
        <f>+IFERROR(VLOOKUP(CQ43,IN_Zugliste!$A$4:$F$602,7,FALSE),"")</f>
        <v/>
      </c>
      <c r="CR342" t="str">
        <f>+IFERROR(VLOOKUP(CR43,IN_Zugliste!$A$4:$F$602,7,FALSE),"")</f>
        <v/>
      </c>
      <c r="CS342" t="str">
        <f>+IFERROR(VLOOKUP(CS43,IN_Zugliste!$A$4:$F$602,7,FALSE),"")</f>
        <v/>
      </c>
      <c r="CT342" t="str">
        <f>+IFERROR(VLOOKUP(CT43,IN_Zugliste!$A$4:$F$602,7,FALSE),"")</f>
        <v/>
      </c>
      <c r="CU342" t="str">
        <f>+IFERROR(VLOOKUP(CU43,IN_Zugliste!$A$4:$F$602,7,FALSE),"")</f>
        <v/>
      </c>
      <c r="CV342" t="str">
        <f>+IFERROR(VLOOKUP(CV43,IN_Zugliste!$A$4:$F$602,7,FALSE),"")</f>
        <v/>
      </c>
      <c r="CW342" t="str">
        <f>+IFERROR(VLOOKUP(CW43,IN_Zugliste!$A$4:$F$602,7,FALSE),"")</f>
        <v/>
      </c>
      <c r="CX342" t="str">
        <f>+IFERROR(VLOOKUP(CX43,IN_Zugliste!$A$4:$F$602,7,FALSE),"")</f>
        <v/>
      </c>
      <c r="CY342" t="str">
        <f>+IFERROR(VLOOKUP(CY43,IN_Zugliste!$A$4:$F$602,7,FALSE),"")</f>
        <v/>
      </c>
      <c r="CZ342" t="str">
        <f>+IFERROR(VLOOKUP(CZ43,IN_Zugliste!$A$4:$F$602,7,FALSE),"")</f>
        <v/>
      </c>
      <c r="DA342" t="str">
        <f>+IFERROR(VLOOKUP(DA43,IN_Zugliste!$A$4:$F$602,7,FALSE),"")</f>
        <v/>
      </c>
      <c r="DB342" t="str">
        <f>+IFERROR(VLOOKUP(DB43,IN_Zugliste!$A$4:$F$602,7,FALSE),"")</f>
        <v/>
      </c>
      <c r="DC342" t="str">
        <f>+IFERROR(VLOOKUP(DC43,IN_Zugliste!$A$4:$F$602,7,FALSE),"")</f>
        <v/>
      </c>
      <c r="DD342" t="str">
        <f>+IFERROR(VLOOKUP(DD43,IN_Zugliste!$A$4:$F$602,7,FALSE),"")</f>
        <v/>
      </c>
      <c r="DE342" t="str">
        <f>+IFERROR(VLOOKUP(DE43,IN_Zugliste!$A$4:$F$602,7,FALSE),"")</f>
        <v/>
      </c>
      <c r="DF342" t="str">
        <f>+IFERROR(VLOOKUP(DF43,IN_Zugliste!$A$4:$F$602,7,FALSE),"")</f>
        <v/>
      </c>
      <c r="DG342" t="str">
        <f>+IFERROR(VLOOKUP(DG43,IN_Zugliste!$A$4:$F$602,7,FALSE),"")</f>
        <v/>
      </c>
      <c r="DH342" t="str">
        <f>+IFERROR(VLOOKUP(DH43,IN_Zugliste!$A$4:$F$602,7,FALSE),"")</f>
        <v/>
      </c>
      <c r="DI342" t="str">
        <f>+IFERROR(VLOOKUP(DI43,IN_Zugliste!$A$4:$F$602,7,FALSE),"")</f>
        <v/>
      </c>
      <c r="DJ342" t="str">
        <f>+IFERROR(VLOOKUP(DJ43,IN_Zugliste!$A$4:$F$602,7,FALSE),"")</f>
        <v/>
      </c>
      <c r="DK342" t="str">
        <f>+IFERROR(VLOOKUP(DK43,IN_Zugliste!$A$4:$F$602,7,FALSE),"")</f>
        <v/>
      </c>
      <c r="DL342" t="str">
        <f>+IFERROR(VLOOKUP(DL43,IN_Zugliste!$A$4:$F$602,7,FALSE),"")</f>
        <v/>
      </c>
      <c r="DM342" t="str">
        <f>+IFERROR(VLOOKUP(DM43,IN_Zugliste!$A$4:$F$602,7,FALSE),"")</f>
        <v/>
      </c>
      <c r="DN342" t="str">
        <f>+IFERROR(VLOOKUP(DN43,IN_Zugliste!$A$4:$F$602,7,FALSE),"")</f>
        <v/>
      </c>
      <c r="DO342" t="str">
        <f>+IFERROR(VLOOKUP(DO43,IN_Zugliste!$A$4:$F$602,7,FALSE),"")</f>
        <v/>
      </c>
      <c r="DP342" t="str">
        <f>+IFERROR(VLOOKUP(DP43,IN_Zugliste!$A$4:$F$602,7,FALSE),"")</f>
        <v/>
      </c>
      <c r="DQ342" t="str">
        <f>+IFERROR(VLOOKUP(DQ43,IN_Zugliste!$A$4:$F$602,7,FALSE),"")</f>
        <v/>
      </c>
      <c r="DR342" t="str">
        <f>+IFERROR(VLOOKUP(DR43,IN_Zugliste!$A$4:$F$602,7,FALSE),"")</f>
        <v/>
      </c>
      <c r="DS342" t="str">
        <f>+IFERROR(VLOOKUP(DS43,IN_Zugliste!$A$4:$F$602,7,FALSE),"")</f>
        <v/>
      </c>
      <c r="DT342" t="str">
        <f>+IFERROR(VLOOKUP(DT43,IN_Zugliste!$A$4:$F$602,7,FALSE),"")</f>
        <v/>
      </c>
      <c r="DU342" t="str">
        <f>+IFERROR(VLOOKUP(DU43,IN_Zugliste!$A$4:$F$602,7,FALSE),"")</f>
        <v/>
      </c>
      <c r="DV342" t="str">
        <f>+IFERROR(VLOOKUP(DV43,IN_Zugliste!$A$4:$F$602,7,FALSE),"")</f>
        <v/>
      </c>
      <c r="DW342" t="str">
        <f>+IFERROR(VLOOKUP(DW43,IN_Zugliste!$A$4:$F$602,7,FALSE),"")</f>
        <v/>
      </c>
      <c r="DX342" t="str">
        <f>+IFERROR(VLOOKUP(DX43,IN_Zugliste!$A$4:$F$602,7,FALSE),"")</f>
        <v/>
      </c>
      <c r="DY342" t="str">
        <f>+IFERROR(VLOOKUP(DY43,IN_Zugliste!$A$4:$F$602,7,FALSE),"")</f>
        <v/>
      </c>
      <c r="DZ342" t="str">
        <f>+IFERROR(VLOOKUP(DZ43,IN_Zugliste!$A$4:$F$602,7,FALSE),"")</f>
        <v/>
      </c>
      <c r="EA342" t="str">
        <f>+IFERROR(VLOOKUP(EA43,IN_Zugliste!$A$4:$F$602,7,FALSE),"")</f>
        <v/>
      </c>
      <c r="EB342" t="str">
        <f>+IFERROR(VLOOKUP(EB43,IN_Zugliste!$A$4:$F$602,7,FALSE),"")</f>
        <v/>
      </c>
      <c r="EC342" t="str">
        <f>+IFERROR(VLOOKUP(EC43,IN_Zugliste!$A$4:$F$602,7,FALSE),"")</f>
        <v/>
      </c>
      <c r="ED342" t="str">
        <f>+IFERROR(VLOOKUP(ED43,IN_Zugliste!$A$4:$F$602,7,FALSE),"")</f>
        <v/>
      </c>
      <c r="EE342" t="str">
        <f>+IFERROR(VLOOKUP(EE43,IN_Zugliste!$A$4:$F$602,7,FALSE),"")</f>
        <v/>
      </c>
      <c r="EF342" t="str">
        <f>+IFERROR(VLOOKUP(EF43,IN_Zugliste!$A$4:$F$602,7,FALSE),"")</f>
        <v/>
      </c>
      <c r="EG342" t="str">
        <f>+IFERROR(VLOOKUP(EG43,IN_Zugliste!$A$4:$F$602,7,FALSE),"")</f>
        <v/>
      </c>
      <c r="EH342" t="str">
        <f>+IFERROR(VLOOKUP(EH43,IN_Zugliste!$A$4:$F$602,7,FALSE),"")</f>
        <v/>
      </c>
      <c r="EI342" t="str">
        <f>+IFERROR(VLOOKUP(EI43,IN_Zugliste!$A$4:$F$602,7,FALSE),"")</f>
        <v/>
      </c>
      <c r="EJ342" t="str">
        <f>+IFERROR(VLOOKUP(EJ43,IN_Zugliste!$A$4:$F$602,7,FALSE),"")</f>
        <v/>
      </c>
      <c r="EK342" t="str">
        <f>+IFERROR(VLOOKUP(EK43,IN_Zugliste!$A$4:$F$602,7,FALSE),"")</f>
        <v/>
      </c>
      <c r="EL342" t="str">
        <f>+IFERROR(VLOOKUP(EL43,IN_Zugliste!$A$4:$F$602,7,FALSE),"")</f>
        <v/>
      </c>
      <c r="EM342" t="str">
        <f>+IFERROR(VLOOKUP(EM43,IN_Zugliste!$A$4:$F$602,7,FALSE),"")</f>
        <v/>
      </c>
      <c r="EN342" t="str">
        <f>+IFERROR(VLOOKUP(EN43,IN_Zugliste!$A$4:$F$602,7,FALSE),"")</f>
        <v/>
      </c>
      <c r="EO342" t="str">
        <f>+IFERROR(VLOOKUP(EO43,IN_Zugliste!$A$4:$F$602,7,FALSE),"")</f>
        <v/>
      </c>
      <c r="EP342" t="str">
        <f>+IFERROR(VLOOKUP(EP43,IN_Zugliste!$A$4:$F$602,7,FALSE),"")</f>
        <v/>
      </c>
      <c r="EQ342" t="str">
        <f>+IFERROR(VLOOKUP(EQ43,IN_Zugliste!$A$4:$F$602,7,FALSE),"")</f>
        <v/>
      </c>
      <c r="ER342" t="str">
        <f>+IFERROR(VLOOKUP(ER43,IN_Zugliste!$A$4:$F$602,7,FALSE),"")</f>
        <v/>
      </c>
      <c r="ES342" t="str">
        <f>+IFERROR(VLOOKUP(ES43,IN_Zugliste!$A$4:$F$602,7,FALSE),"")</f>
        <v/>
      </c>
      <c r="ET342" t="str">
        <f>+IFERROR(VLOOKUP(ET43,IN_Zugliste!$A$4:$F$602,7,FALSE),"")</f>
        <v/>
      </c>
      <c r="EU342" t="str">
        <f>+IFERROR(VLOOKUP(EU43,IN_Zugliste!$A$4:$F$602,7,FALSE),"")</f>
        <v/>
      </c>
      <c r="EV342" t="str">
        <f>+IFERROR(VLOOKUP(EV43,IN_Zugliste!$A$4:$F$602,7,FALSE),"")</f>
        <v/>
      </c>
      <c r="EW342" t="str">
        <f>+IFERROR(VLOOKUP(EW43,IN_Zugliste!$A$4:$F$602,7,FALSE),"")</f>
        <v/>
      </c>
      <c r="EX342" t="str">
        <f>+IFERROR(VLOOKUP(EX43,IN_Zugliste!$A$4:$F$602,7,FALSE),"")</f>
        <v/>
      </c>
      <c r="EY342" t="str">
        <f>+IFERROR(VLOOKUP(EY43,IN_Zugliste!$A$4:$F$602,7,FALSE),"")</f>
        <v/>
      </c>
      <c r="EZ342" t="str">
        <f>+IFERROR(VLOOKUP(EZ43,IN_Zugliste!$A$4:$F$602,7,FALSE),"")</f>
        <v/>
      </c>
      <c r="FA342" t="str">
        <f>+IFERROR(VLOOKUP(FA43,IN_Zugliste!$A$4:$F$602,7,FALSE),"")</f>
        <v/>
      </c>
      <c r="FB342" t="str">
        <f>+IFERROR(VLOOKUP(FB43,IN_Zugliste!$A$4:$F$602,7,FALSE),"")</f>
        <v/>
      </c>
      <c r="FC342" t="str">
        <f>+IFERROR(VLOOKUP(FC43,IN_Zugliste!$A$4:$F$602,7,FALSE),"")</f>
        <v/>
      </c>
      <c r="FD342" t="str">
        <f>+IFERROR(VLOOKUP(FD43,IN_Zugliste!$A$4:$F$602,7,FALSE),"")</f>
        <v/>
      </c>
      <c r="FE342" t="str">
        <f>+IFERROR(VLOOKUP(FE43,IN_Zugliste!$A$4:$F$602,7,FALSE),"")</f>
        <v/>
      </c>
      <c r="FF342" t="str">
        <f>+IFERROR(VLOOKUP(FF43,IN_Zugliste!$A$4:$F$602,7,FALSE),"")</f>
        <v/>
      </c>
      <c r="FG342" t="str">
        <f>+IFERROR(VLOOKUP(FG43,IN_Zugliste!$A$4:$F$602,7,FALSE),"")</f>
        <v/>
      </c>
      <c r="FH342" t="str">
        <f>+IFERROR(VLOOKUP(FH43,IN_Zugliste!$A$4:$F$602,7,FALSE),"")</f>
        <v/>
      </c>
      <c r="FI342" t="str">
        <f>+IFERROR(VLOOKUP(FI43,IN_Zugliste!$A$4:$F$602,7,FALSE),"")</f>
        <v/>
      </c>
      <c r="FJ342" t="str">
        <f>+IFERROR(VLOOKUP(FJ43,IN_Zugliste!$A$4:$F$602,7,FALSE),"")</f>
        <v/>
      </c>
      <c r="FK342" t="str">
        <f>+IFERROR(VLOOKUP(FK43,IN_Zugliste!$A$4:$F$602,7,FALSE),"")</f>
        <v/>
      </c>
      <c r="FL342" t="str">
        <f>+IFERROR(VLOOKUP(FL43,IN_Zugliste!$A$4:$F$602,7,FALSE),"")</f>
        <v/>
      </c>
      <c r="FM342" t="str">
        <f>+IFERROR(VLOOKUP(FM43,IN_Zugliste!$A$4:$F$602,7,FALSE),"")</f>
        <v/>
      </c>
      <c r="FN342" t="str">
        <f>+IFERROR(VLOOKUP(FN43,IN_Zugliste!$A$4:$F$602,7,FALSE),"")</f>
        <v/>
      </c>
      <c r="FO342" t="str">
        <f>+IFERROR(VLOOKUP(FO43,IN_Zugliste!$A$4:$F$602,7,FALSE),"")</f>
        <v/>
      </c>
      <c r="FP342" t="str">
        <f>+IFERROR(VLOOKUP(FP43,IN_Zugliste!$A$4:$F$602,7,FALSE),"")</f>
        <v/>
      </c>
      <c r="FQ342" t="str">
        <f>+IFERROR(VLOOKUP(FQ43,IN_Zugliste!$A$4:$F$602,7,FALSE),"")</f>
        <v/>
      </c>
      <c r="FR342" t="str">
        <f>+IFERROR(VLOOKUP(FR43,IN_Zugliste!$A$4:$F$602,7,FALSE),"")</f>
        <v/>
      </c>
      <c r="FS342" t="str">
        <f>+IFERROR(VLOOKUP(FS43,IN_Zugliste!$A$4:$F$602,7,FALSE),"")</f>
        <v/>
      </c>
      <c r="FT342" t="str">
        <f>+IFERROR(VLOOKUP(FT43,IN_Zugliste!$A$4:$F$602,7,FALSE),"")</f>
        <v/>
      </c>
      <c r="FU342" t="str">
        <f>+IFERROR(VLOOKUP(FU43,IN_Zugliste!$A$4:$F$602,7,FALSE),"")</f>
        <v/>
      </c>
      <c r="FV342" t="str">
        <f>+IFERROR(VLOOKUP(FV43,IN_Zugliste!$A$4:$F$602,7,FALSE),"")</f>
        <v/>
      </c>
      <c r="FW342" t="str">
        <f>+IFERROR(VLOOKUP(FW43,IN_Zugliste!$A$4:$F$602,7,FALSE),"")</f>
        <v/>
      </c>
      <c r="FX342" t="str">
        <f>+IFERROR(VLOOKUP(FX43,IN_Zugliste!$A$4:$F$602,7,FALSE),"")</f>
        <v/>
      </c>
      <c r="FY342" t="str">
        <f>+IFERROR(VLOOKUP(FY43,IN_Zugliste!$A$4:$F$602,7,FALSE),"")</f>
        <v/>
      </c>
      <c r="FZ342" t="str">
        <f>+IFERROR(VLOOKUP(FZ43,IN_Zugliste!$A$4:$F$602,7,FALSE),"")</f>
        <v/>
      </c>
      <c r="GA342" t="str">
        <f>+IFERROR(VLOOKUP(GA43,IN_Zugliste!$A$4:$F$602,7,FALSE),"")</f>
        <v/>
      </c>
      <c r="GB342" t="str">
        <f>+IFERROR(VLOOKUP(GB43,IN_Zugliste!$A$4:$F$602,7,FALSE),"")</f>
        <v/>
      </c>
      <c r="GC342" t="str">
        <f>+IFERROR(VLOOKUP(GC43,IN_Zugliste!$A$4:$F$602,7,FALSE),"")</f>
        <v/>
      </c>
      <c r="GD342" t="str">
        <f>+IFERROR(VLOOKUP(GD43,IN_Zugliste!$A$4:$F$602,7,FALSE),"")</f>
        <v/>
      </c>
      <c r="GE342" t="str">
        <f>+IFERROR(VLOOKUP(GE43,IN_Zugliste!$A$4:$F$602,7,FALSE),"")</f>
        <v/>
      </c>
      <c r="GF342" t="str">
        <f>+IFERROR(VLOOKUP(GF43,IN_Zugliste!$A$4:$F$602,7,FALSE),"")</f>
        <v/>
      </c>
      <c r="GG342" t="str">
        <f>+IFERROR(VLOOKUP(GG43,IN_Zugliste!$A$4:$F$602,7,FALSE),"")</f>
        <v/>
      </c>
      <c r="GH342" t="str">
        <f>+IFERROR(VLOOKUP(GH43,IN_Zugliste!$A$4:$F$602,7,FALSE),"")</f>
        <v/>
      </c>
      <c r="GI342" t="str">
        <f>+IFERROR(VLOOKUP(GI43,IN_Zugliste!$A$4:$F$602,7,FALSE),"")</f>
        <v/>
      </c>
      <c r="GJ342" t="str">
        <f>+IFERROR(VLOOKUP(GJ43,IN_Zugliste!$A$4:$F$602,7,FALSE),"")</f>
        <v/>
      </c>
      <c r="GK342" t="str">
        <f>+IFERROR(VLOOKUP(GK43,IN_Zugliste!$A$4:$F$602,7,FALSE),"")</f>
        <v/>
      </c>
      <c r="GL342" t="str">
        <f>+IFERROR(VLOOKUP(GL43,IN_Zugliste!$A$4:$F$602,7,FALSE),"")</f>
        <v/>
      </c>
      <c r="GM342" t="str">
        <f>+IFERROR(VLOOKUP(GM43,IN_Zugliste!$A$4:$F$602,7,FALSE),"")</f>
        <v/>
      </c>
      <c r="GN342" t="str">
        <f>+IFERROR(VLOOKUP(GN43,IN_Zugliste!$A$4:$F$602,7,FALSE),"")</f>
        <v/>
      </c>
      <c r="GO342" t="str">
        <f>+IFERROR(VLOOKUP(GO43,IN_Zugliste!$A$4:$F$602,7,FALSE),"")</f>
        <v/>
      </c>
      <c r="GP342" t="str">
        <f>+IFERROR(VLOOKUP(GP43,IN_Zugliste!$A$4:$F$602,7,FALSE),"")</f>
        <v/>
      </c>
      <c r="GQ342" t="str">
        <f>+IFERROR(VLOOKUP(GQ43,IN_Zugliste!$A$4:$F$602,7,FALSE),"")</f>
        <v/>
      </c>
      <c r="GR342" t="str">
        <f>+IFERROR(VLOOKUP(GR43,IN_Zugliste!$A$4:$F$602,7,FALSE),"")</f>
        <v/>
      </c>
      <c r="GS342" t="str">
        <f>+IFERROR(VLOOKUP(GS43,IN_Zugliste!$A$4:$F$602,7,FALSE),"")</f>
        <v/>
      </c>
      <c r="GT342" t="str">
        <f>+IFERROR(VLOOKUP(GT43,IN_Zugliste!$A$4:$F$602,7,FALSE),"")</f>
        <v/>
      </c>
      <c r="GU342" t="str">
        <f>+IFERROR(VLOOKUP(GU43,IN_Zugliste!$A$4:$F$602,7,FALSE),"")</f>
        <v/>
      </c>
      <c r="GV342" t="str">
        <f>+IFERROR(VLOOKUP(GV43,IN_Zugliste!$A$4:$F$602,7,FALSE),"")</f>
        <v/>
      </c>
      <c r="GW342" t="str">
        <f>+IFERROR(VLOOKUP(GW43,IN_Zugliste!$A$4:$F$602,7,FALSE),"")</f>
        <v/>
      </c>
      <c r="GX342" t="str">
        <f>+IFERROR(VLOOKUP(GX43,IN_Zugliste!$A$4:$F$602,7,FALSE),"")</f>
        <v/>
      </c>
      <c r="GY342" t="str">
        <f>+IFERROR(VLOOKUP(GY43,IN_Zugliste!$A$4:$F$602,7,FALSE),"")</f>
        <v/>
      </c>
      <c r="GZ342" t="str">
        <f>+IFERROR(VLOOKUP(GZ43,IN_Zugliste!$A$4:$F$602,7,FALSE),"")</f>
        <v/>
      </c>
      <c r="HA342" t="str">
        <f>+IFERROR(VLOOKUP(HA43,IN_Zugliste!$A$4:$F$602,7,FALSE),"")</f>
        <v/>
      </c>
      <c r="HB342" t="str">
        <f>+IFERROR(VLOOKUP(HB43,IN_Zugliste!$A$4:$F$602,7,FALSE),"")</f>
        <v/>
      </c>
      <c r="HC342" t="str">
        <f>+IFERROR(VLOOKUP(HC43,IN_Zugliste!$A$4:$F$602,7,FALSE),"")</f>
        <v/>
      </c>
      <c r="HD342" t="str">
        <f>+IFERROR(VLOOKUP(HD43,IN_Zugliste!$A$4:$F$602,7,FALSE),"")</f>
        <v/>
      </c>
      <c r="HE342" t="str">
        <f>+IFERROR(VLOOKUP(HE43,IN_Zugliste!$A$4:$F$602,7,FALSE),"")</f>
        <v/>
      </c>
      <c r="HF342" t="str">
        <f>+IFERROR(VLOOKUP(HF43,IN_Zugliste!$A$4:$F$602,7,FALSE),"")</f>
        <v/>
      </c>
      <c r="HG342" t="str">
        <f>+IFERROR(VLOOKUP(HG43,IN_Zugliste!$A$4:$F$602,7,FALSE),"")</f>
        <v/>
      </c>
      <c r="HH342" t="str">
        <f>+IFERROR(VLOOKUP(HH43,IN_Zugliste!$A$4:$F$602,7,FALSE),"")</f>
        <v/>
      </c>
    </row>
    <row r="343" spans="1:216" x14ac:dyDescent="0.2">
      <c r="A343" t="str">
        <f>+IFERROR(VLOOKUP(A44,IN_Zugliste!$A$4:$F$602,7,FALSE),"")</f>
        <v/>
      </c>
      <c r="B343" t="str">
        <f>+IFERROR(VLOOKUP(B44,IN_Zugliste!$A$4:$F$602,7,FALSE),"")</f>
        <v/>
      </c>
      <c r="C343" t="str">
        <f>+IFERROR(VLOOKUP(C44,IN_Zugliste!$A$4:$F$602,7,FALSE),"")</f>
        <v/>
      </c>
      <c r="D343" t="str">
        <f>+IFERROR(VLOOKUP(D44,IN_Zugliste!$A$4:$F$602,7,FALSE),"")</f>
        <v/>
      </c>
      <c r="E343" t="str">
        <f>+IFERROR(VLOOKUP(E44,IN_Zugliste!$A$4:$F$602,7,FALSE),"")</f>
        <v/>
      </c>
      <c r="F343" t="str">
        <f>+IFERROR(VLOOKUP(F44,IN_Zugliste!$A$4:$F$602,7,FALSE),"")</f>
        <v/>
      </c>
      <c r="G343" t="str">
        <f>+IFERROR(VLOOKUP(G44,IN_Zugliste!$A$4:$F$602,7,FALSE),"")</f>
        <v/>
      </c>
      <c r="H343" t="str">
        <f>+IFERROR(VLOOKUP(H44,IN_Zugliste!$A$4:$F$602,7,FALSE),"")</f>
        <v/>
      </c>
      <c r="I343" t="str">
        <f>+IFERROR(VLOOKUP(I44,IN_Zugliste!$A$4:$F$602,7,FALSE),"")</f>
        <v/>
      </c>
      <c r="J343" t="str">
        <f>+IFERROR(VLOOKUP(J44,IN_Zugliste!$A$4:$F$602,7,FALSE),"")</f>
        <v/>
      </c>
      <c r="K343" t="str">
        <f>+IFERROR(VLOOKUP(K44,IN_Zugliste!$A$4:$F$602,7,FALSE),"")</f>
        <v/>
      </c>
      <c r="L343" t="str">
        <f>+IFERROR(VLOOKUP(L44,IN_Zugliste!$A$4:$F$602,7,FALSE),"")</f>
        <v/>
      </c>
      <c r="M343" t="str">
        <f>+IFERROR(VLOOKUP(M44,IN_Zugliste!$A$4:$F$602,7,FALSE),"")</f>
        <v/>
      </c>
      <c r="N343" t="str">
        <f>+IFERROR(VLOOKUP(N44,IN_Zugliste!$A$4:$F$602,7,FALSE),"")</f>
        <v/>
      </c>
      <c r="O343" t="str">
        <f>+IFERROR(VLOOKUP(O44,IN_Zugliste!$A$4:$F$602,7,FALSE),"")</f>
        <v/>
      </c>
      <c r="P343" t="str">
        <f>+IFERROR(VLOOKUP(P44,IN_Zugliste!$A$4:$F$602,7,FALSE),"")</f>
        <v/>
      </c>
      <c r="Q343" t="str">
        <f>+IFERROR(VLOOKUP(Q44,IN_Zugliste!$A$4:$F$602,7,FALSE),"")</f>
        <v/>
      </c>
      <c r="R343" t="str">
        <f>+IFERROR(VLOOKUP(R44,IN_Zugliste!$A$4:$F$602,7,FALSE),"")</f>
        <v/>
      </c>
      <c r="S343" t="str">
        <f>+IFERROR(VLOOKUP(S44,IN_Zugliste!$A$4:$F$602,7,FALSE),"")</f>
        <v/>
      </c>
      <c r="T343" t="str">
        <f>+IFERROR(VLOOKUP(T44,IN_Zugliste!$A$4:$F$602,7,FALSE),"")</f>
        <v/>
      </c>
      <c r="U343" t="str">
        <f>+IFERROR(VLOOKUP(U44,IN_Zugliste!$A$4:$F$602,7,FALSE),"")</f>
        <v/>
      </c>
      <c r="V343" t="str">
        <f>+IFERROR(VLOOKUP(V44,IN_Zugliste!$A$4:$F$602,7,FALSE),"")</f>
        <v/>
      </c>
      <c r="W343" t="str">
        <f>+IFERROR(VLOOKUP(W44,IN_Zugliste!$A$4:$F$602,7,FALSE),"")</f>
        <v/>
      </c>
      <c r="X343" t="str">
        <f>+IFERROR(VLOOKUP(X44,IN_Zugliste!$A$4:$F$602,7,FALSE),"")</f>
        <v/>
      </c>
      <c r="Y343" t="str">
        <f>+IFERROR(VLOOKUP(Y44,IN_Zugliste!$A$4:$F$602,7,FALSE),"")</f>
        <v/>
      </c>
      <c r="Z343" t="str">
        <f>+IFERROR(VLOOKUP(Z44,IN_Zugliste!$A$4:$F$602,7,FALSE),"")</f>
        <v/>
      </c>
      <c r="AA343" t="str">
        <f>+IFERROR(VLOOKUP(AA44,IN_Zugliste!$A$4:$F$602,7,FALSE),"")</f>
        <v/>
      </c>
      <c r="AB343" t="str">
        <f>+IFERROR(VLOOKUP(AB44,IN_Zugliste!$A$4:$F$602,7,FALSE),"")</f>
        <v/>
      </c>
      <c r="AC343" t="str">
        <f>+IFERROR(VLOOKUP(AC44,IN_Zugliste!$A$4:$F$602,7,FALSE),"")</f>
        <v/>
      </c>
      <c r="AD343" t="str">
        <f>+IFERROR(VLOOKUP(AD44,IN_Zugliste!$A$4:$F$602,7,FALSE),"")</f>
        <v/>
      </c>
      <c r="AE343" t="str">
        <f>+IFERROR(VLOOKUP(AE44,IN_Zugliste!$A$4:$F$602,7,FALSE),"")</f>
        <v/>
      </c>
      <c r="AF343" t="str">
        <f>+IFERROR(VLOOKUP(AF44,IN_Zugliste!$A$4:$F$602,7,FALSE),"")</f>
        <v/>
      </c>
      <c r="AG343" t="str">
        <f>+IFERROR(VLOOKUP(AG44,IN_Zugliste!$A$4:$F$602,7,FALSE),"")</f>
        <v/>
      </c>
      <c r="AH343" t="str">
        <f>+IFERROR(VLOOKUP(AH44,IN_Zugliste!$A$4:$F$602,7,FALSE),"")</f>
        <v/>
      </c>
      <c r="AI343" t="str">
        <f>+IFERROR(VLOOKUP(AI44,IN_Zugliste!$A$4:$F$602,7,FALSE),"")</f>
        <v/>
      </c>
      <c r="AJ343" t="str">
        <f>+IFERROR(VLOOKUP(AJ44,IN_Zugliste!$A$4:$F$602,7,FALSE),"")</f>
        <v/>
      </c>
      <c r="AK343" t="str">
        <f>+IFERROR(VLOOKUP(AK44,IN_Zugliste!$A$4:$F$602,7,FALSE),"")</f>
        <v/>
      </c>
      <c r="AL343" t="str">
        <f>+IFERROR(VLOOKUP(AL44,IN_Zugliste!$A$4:$F$602,7,FALSE),"")</f>
        <v/>
      </c>
      <c r="AM343" t="str">
        <f>+IFERROR(VLOOKUP(AM44,IN_Zugliste!$A$4:$F$602,7,FALSE),"")</f>
        <v/>
      </c>
      <c r="AN343" t="str">
        <f>+IFERROR(VLOOKUP(AN44,IN_Zugliste!$A$4:$F$602,7,FALSE),"")</f>
        <v/>
      </c>
      <c r="AO343" t="str">
        <f>+IFERROR(VLOOKUP(AO44,IN_Zugliste!$A$4:$F$602,7,FALSE),"")</f>
        <v/>
      </c>
      <c r="AP343" t="str">
        <f>+IFERROR(VLOOKUP(AP44,IN_Zugliste!$A$4:$F$602,7,FALSE),"")</f>
        <v/>
      </c>
      <c r="AQ343" t="str">
        <f>+IFERROR(VLOOKUP(AQ44,IN_Zugliste!$A$4:$F$602,7,FALSE),"")</f>
        <v/>
      </c>
      <c r="AR343" t="str">
        <f>+IFERROR(VLOOKUP(AR44,IN_Zugliste!$A$4:$F$602,7,FALSE),"")</f>
        <v/>
      </c>
      <c r="AS343" t="str">
        <f>+IFERROR(VLOOKUP(AS44,IN_Zugliste!$A$4:$F$602,7,FALSE),"")</f>
        <v/>
      </c>
      <c r="AT343" t="str">
        <f>+IFERROR(VLOOKUP(AT44,IN_Zugliste!$A$4:$F$602,7,FALSE),"")</f>
        <v/>
      </c>
      <c r="AU343" t="str">
        <f>+IFERROR(VLOOKUP(AU44,IN_Zugliste!$A$4:$F$602,7,FALSE),"")</f>
        <v/>
      </c>
      <c r="AV343" t="str">
        <f>+IFERROR(VLOOKUP(AV44,IN_Zugliste!$A$4:$F$602,7,FALSE),"")</f>
        <v/>
      </c>
      <c r="AW343" t="str">
        <f>+IFERROR(VLOOKUP(AW44,IN_Zugliste!$A$4:$F$602,7,FALSE),"")</f>
        <v/>
      </c>
      <c r="AX343" t="str">
        <f>+IFERROR(VLOOKUP(AX44,IN_Zugliste!$A$4:$F$602,7,FALSE),"")</f>
        <v/>
      </c>
      <c r="AY343" t="str">
        <f>+IFERROR(VLOOKUP(AY44,IN_Zugliste!$A$4:$F$602,7,FALSE),"")</f>
        <v/>
      </c>
      <c r="AZ343" t="str">
        <f>+IFERROR(VLOOKUP(AZ44,IN_Zugliste!$A$4:$F$602,7,FALSE),"")</f>
        <v/>
      </c>
      <c r="BA343" t="str">
        <f>+IFERROR(VLOOKUP(BA44,IN_Zugliste!$A$4:$F$602,7,FALSE),"")</f>
        <v/>
      </c>
      <c r="BB343" t="str">
        <f>+IFERROR(VLOOKUP(BB44,IN_Zugliste!$A$4:$F$602,7,FALSE),"")</f>
        <v/>
      </c>
      <c r="BC343" t="str">
        <f>+IFERROR(VLOOKUP(BC44,IN_Zugliste!$A$4:$F$602,7,FALSE),"")</f>
        <v/>
      </c>
      <c r="BD343" t="str">
        <f>+IFERROR(VLOOKUP(BD44,IN_Zugliste!$A$4:$F$602,7,FALSE),"")</f>
        <v/>
      </c>
      <c r="BE343" t="str">
        <f>+IFERROR(VLOOKUP(BE44,IN_Zugliste!$A$4:$F$602,7,FALSE),"")</f>
        <v/>
      </c>
      <c r="BF343" t="str">
        <f>+IFERROR(VLOOKUP(BF44,IN_Zugliste!$A$4:$F$602,7,FALSE),"")</f>
        <v/>
      </c>
      <c r="BG343" t="str">
        <f>+IFERROR(VLOOKUP(BG44,IN_Zugliste!$A$4:$F$602,7,FALSE),"")</f>
        <v/>
      </c>
      <c r="BH343" t="str">
        <f>+IFERROR(VLOOKUP(BH44,IN_Zugliste!$A$4:$F$602,7,FALSE),"")</f>
        <v/>
      </c>
      <c r="BI343" t="str">
        <f>+IFERROR(VLOOKUP(BI44,IN_Zugliste!$A$4:$F$602,7,FALSE),"")</f>
        <v/>
      </c>
      <c r="BJ343" t="str">
        <f>+IFERROR(VLOOKUP(BJ44,IN_Zugliste!$A$4:$F$602,7,FALSE),"")</f>
        <v/>
      </c>
      <c r="BK343" t="str">
        <f>+IFERROR(VLOOKUP(BK44,IN_Zugliste!$A$4:$F$602,7,FALSE),"")</f>
        <v/>
      </c>
      <c r="BL343" t="str">
        <f>+IFERROR(VLOOKUP(BL44,IN_Zugliste!$A$4:$F$602,7,FALSE),"")</f>
        <v/>
      </c>
      <c r="BM343" t="str">
        <f>+IFERROR(VLOOKUP(BM44,IN_Zugliste!$A$4:$F$602,7,FALSE),"")</f>
        <v/>
      </c>
      <c r="BN343" t="str">
        <f>+IFERROR(VLOOKUP(BN44,IN_Zugliste!$A$4:$F$602,7,FALSE),"")</f>
        <v/>
      </c>
      <c r="BO343" t="str">
        <f>+IFERROR(VLOOKUP(BO44,IN_Zugliste!$A$4:$F$602,7,FALSE),"")</f>
        <v/>
      </c>
      <c r="BP343" t="str">
        <f>+IFERROR(VLOOKUP(BP44,IN_Zugliste!$A$4:$F$602,7,FALSE),"")</f>
        <v/>
      </c>
      <c r="BQ343" t="str">
        <f>+IFERROR(VLOOKUP(BQ44,IN_Zugliste!$A$4:$F$602,7,FALSE),"")</f>
        <v/>
      </c>
      <c r="BR343" t="str">
        <f>+IFERROR(VLOOKUP(BR44,IN_Zugliste!$A$4:$F$602,7,FALSE),"")</f>
        <v/>
      </c>
      <c r="BS343" t="str">
        <f>+IFERROR(VLOOKUP(BS44,IN_Zugliste!$A$4:$F$602,7,FALSE),"")</f>
        <v/>
      </c>
      <c r="BT343" t="str">
        <f>+IFERROR(VLOOKUP(BT44,IN_Zugliste!$A$4:$F$602,7,FALSE),"")</f>
        <v/>
      </c>
      <c r="BU343" t="str">
        <f>+IFERROR(VLOOKUP(BU44,IN_Zugliste!$A$4:$F$602,7,FALSE),"")</f>
        <v/>
      </c>
      <c r="BV343" t="str">
        <f>+IFERROR(VLOOKUP(BV44,IN_Zugliste!$A$4:$F$602,7,FALSE),"")</f>
        <v/>
      </c>
      <c r="BW343" t="str">
        <f>+IFERROR(VLOOKUP(BW44,IN_Zugliste!$A$4:$F$602,7,FALSE),"")</f>
        <v/>
      </c>
      <c r="BX343" t="str">
        <f>+IFERROR(VLOOKUP(BX44,IN_Zugliste!$A$4:$F$602,7,FALSE),"")</f>
        <v/>
      </c>
      <c r="BY343" t="str">
        <f>+IFERROR(VLOOKUP(BY44,IN_Zugliste!$A$4:$F$602,7,FALSE),"")</f>
        <v/>
      </c>
      <c r="BZ343" t="str">
        <f>+IFERROR(VLOOKUP(BZ44,IN_Zugliste!$A$4:$F$602,7,FALSE),"")</f>
        <v/>
      </c>
      <c r="CA343" t="str">
        <f>+IFERROR(VLOOKUP(CA44,IN_Zugliste!$A$4:$F$602,7,FALSE),"")</f>
        <v/>
      </c>
      <c r="CB343" t="str">
        <f>+IFERROR(VLOOKUP(CB44,IN_Zugliste!$A$4:$F$602,7,FALSE),"")</f>
        <v/>
      </c>
      <c r="CC343" t="str">
        <f>+IFERROR(VLOOKUP(CC44,IN_Zugliste!$A$4:$F$602,7,FALSE),"")</f>
        <v/>
      </c>
      <c r="CD343" t="str">
        <f>+IFERROR(VLOOKUP(CD44,IN_Zugliste!$A$4:$F$602,7,FALSE),"")</f>
        <v/>
      </c>
      <c r="CE343" t="str">
        <f>+IFERROR(VLOOKUP(CE44,IN_Zugliste!$A$4:$F$602,7,FALSE),"")</f>
        <v/>
      </c>
      <c r="CF343" t="str">
        <f>+IFERROR(VLOOKUP(CF44,IN_Zugliste!$A$4:$F$602,7,FALSE),"")</f>
        <v/>
      </c>
      <c r="CG343" t="str">
        <f>+IFERROR(VLOOKUP(CG44,IN_Zugliste!$A$4:$F$602,7,FALSE),"")</f>
        <v/>
      </c>
      <c r="CH343" t="str">
        <f>+IFERROR(VLOOKUP(CH44,IN_Zugliste!$A$4:$F$602,7,FALSE),"")</f>
        <v/>
      </c>
      <c r="CI343" t="str">
        <f>+IFERROR(VLOOKUP(CI44,IN_Zugliste!$A$4:$F$602,7,FALSE),"")</f>
        <v/>
      </c>
      <c r="CJ343" t="str">
        <f>+IFERROR(VLOOKUP(CJ44,IN_Zugliste!$A$4:$F$602,7,FALSE),"")</f>
        <v/>
      </c>
      <c r="CK343" t="str">
        <f>+IFERROR(VLOOKUP(CK44,IN_Zugliste!$A$4:$F$602,7,FALSE),"")</f>
        <v/>
      </c>
      <c r="CL343" t="str">
        <f>+IFERROR(VLOOKUP(CL44,IN_Zugliste!$A$4:$F$602,7,FALSE),"")</f>
        <v/>
      </c>
      <c r="CM343" t="str">
        <f>+IFERROR(VLOOKUP(CM44,IN_Zugliste!$A$4:$F$602,7,FALSE),"")</f>
        <v/>
      </c>
      <c r="CN343" t="str">
        <f>+IFERROR(VLOOKUP(CN44,IN_Zugliste!$A$4:$F$602,7,FALSE),"")</f>
        <v/>
      </c>
      <c r="CO343" t="str">
        <f>+IFERROR(VLOOKUP(CO44,IN_Zugliste!$A$4:$F$602,7,FALSE),"")</f>
        <v/>
      </c>
      <c r="CP343" t="str">
        <f>+IFERROR(VLOOKUP(CP44,IN_Zugliste!$A$4:$F$602,7,FALSE),"")</f>
        <v/>
      </c>
      <c r="CQ343" t="str">
        <f>+IFERROR(VLOOKUP(CQ44,IN_Zugliste!$A$4:$F$602,7,FALSE),"")</f>
        <v/>
      </c>
      <c r="CR343" t="str">
        <f>+IFERROR(VLOOKUP(CR44,IN_Zugliste!$A$4:$F$602,7,FALSE),"")</f>
        <v/>
      </c>
      <c r="CS343" t="str">
        <f>+IFERROR(VLOOKUP(CS44,IN_Zugliste!$A$4:$F$602,7,FALSE),"")</f>
        <v/>
      </c>
      <c r="CT343" t="str">
        <f>+IFERROR(VLOOKUP(CT44,IN_Zugliste!$A$4:$F$602,7,FALSE),"")</f>
        <v/>
      </c>
      <c r="CU343" t="str">
        <f>+IFERROR(VLOOKUP(CU44,IN_Zugliste!$A$4:$F$602,7,FALSE),"")</f>
        <v/>
      </c>
      <c r="CV343" t="str">
        <f>+IFERROR(VLOOKUP(CV44,IN_Zugliste!$A$4:$F$602,7,FALSE),"")</f>
        <v/>
      </c>
      <c r="CW343" t="str">
        <f>+IFERROR(VLOOKUP(CW44,IN_Zugliste!$A$4:$F$602,7,FALSE),"")</f>
        <v/>
      </c>
      <c r="CX343" t="str">
        <f>+IFERROR(VLOOKUP(CX44,IN_Zugliste!$A$4:$F$602,7,FALSE),"")</f>
        <v/>
      </c>
      <c r="CY343" t="str">
        <f>+IFERROR(VLOOKUP(CY44,IN_Zugliste!$A$4:$F$602,7,FALSE),"")</f>
        <v/>
      </c>
      <c r="CZ343" t="str">
        <f>+IFERROR(VLOOKUP(CZ44,IN_Zugliste!$A$4:$F$602,7,FALSE),"")</f>
        <v/>
      </c>
      <c r="DA343" t="str">
        <f>+IFERROR(VLOOKUP(DA44,IN_Zugliste!$A$4:$F$602,7,FALSE),"")</f>
        <v/>
      </c>
      <c r="DB343" t="str">
        <f>+IFERROR(VLOOKUP(DB44,IN_Zugliste!$A$4:$F$602,7,FALSE),"")</f>
        <v/>
      </c>
      <c r="DC343" t="str">
        <f>+IFERROR(VLOOKUP(DC44,IN_Zugliste!$A$4:$F$602,7,FALSE),"")</f>
        <v/>
      </c>
      <c r="DD343" t="str">
        <f>+IFERROR(VLOOKUP(DD44,IN_Zugliste!$A$4:$F$602,7,FALSE),"")</f>
        <v/>
      </c>
      <c r="DE343" t="str">
        <f>+IFERROR(VLOOKUP(DE44,IN_Zugliste!$A$4:$F$602,7,FALSE),"")</f>
        <v/>
      </c>
      <c r="DF343" t="str">
        <f>+IFERROR(VLOOKUP(DF44,IN_Zugliste!$A$4:$F$602,7,FALSE),"")</f>
        <v/>
      </c>
      <c r="DG343" t="str">
        <f>+IFERROR(VLOOKUP(DG44,IN_Zugliste!$A$4:$F$602,7,FALSE),"")</f>
        <v/>
      </c>
      <c r="DH343" t="str">
        <f>+IFERROR(VLOOKUP(DH44,IN_Zugliste!$A$4:$F$602,7,FALSE),"")</f>
        <v/>
      </c>
      <c r="DI343" t="str">
        <f>+IFERROR(VLOOKUP(DI44,IN_Zugliste!$A$4:$F$602,7,FALSE),"")</f>
        <v/>
      </c>
      <c r="DJ343" t="str">
        <f>+IFERROR(VLOOKUP(DJ44,IN_Zugliste!$A$4:$F$602,7,FALSE),"")</f>
        <v/>
      </c>
      <c r="DK343" t="str">
        <f>+IFERROR(VLOOKUP(DK44,IN_Zugliste!$A$4:$F$602,7,FALSE),"")</f>
        <v/>
      </c>
      <c r="DL343" t="str">
        <f>+IFERROR(VLOOKUP(DL44,IN_Zugliste!$A$4:$F$602,7,FALSE),"")</f>
        <v/>
      </c>
      <c r="DM343" t="str">
        <f>+IFERROR(VLOOKUP(DM44,IN_Zugliste!$A$4:$F$602,7,FALSE),"")</f>
        <v/>
      </c>
      <c r="DN343" t="str">
        <f>+IFERROR(VLOOKUP(DN44,IN_Zugliste!$A$4:$F$602,7,FALSE),"")</f>
        <v/>
      </c>
      <c r="DO343" t="str">
        <f>+IFERROR(VLOOKUP(DO44,IN_Zugliste!$A$4:$F$602,7,FALSE),"")</f>
        <v/>
      </c>
      <c r="DP343" t="str">
        <f>+IFERROR(VLOOKUP(DP44,IN_Zugliste!$A$4:$F$602,7,FALSE),"")</f>
        <v/>
      </c>
      <c r="DQ343" t="str">
        <f>+IFERROR(VLOOKUP(DQ44,IN_Zugliste!$A$4:$F$602,7,FALSE),"")</f>
        <v/>
      </c>
      <c r="DR343" t="str">
        <f>+IFERROR(VLOOKUP(DR44,IN_Zugliste!$A$4:$F$602,7,FALSE),"")</f>
        <v/>
      </c>
      <c r="DS343" t="str">
        <f>+IFERROR(VLOOKUP(DS44,IN_Zugliste!$A$4:$F$602,7,FALSE),"")</f>
        <v/>
      </c>
      <c r="DT343" t="str">
        <f>+IFERROR(VLOOKUP(DT44,IN_Zugliste!$A$4:$F$602,7,FALSE),"")</f>
        <v/>
      </c>
      <c r="DU343" t="str">
        <f>+IFERROR(VLOOKUP(DU44,IN_Zugliste!$A$4:$F$602,7,FALSE),"")</f>
        <v/>
      </c>
      <c r="DV343" t="str">
        <f>+IFERROR(VLOOKUP(DV44,IN_Zugliste!$A$4:$F$602,7,FALSE),"")</f>
        <v/>
      </c>
      <c r="DW343" t="str">
        <f>+IFERROR(VLOOKUP(DW44,IN_Zugliste!$A$4:$F$602,7,FALSE),"")</f>
        <v/>
      </c>
      <c r="DX343" t="str">
        <f>+IFERROR(VLOOKUP(DX44,IN_Zugliste!$A$4:$F$602,7,FALSE),"")</f>
        <v/>
      </c>
      <c r="DY343" t="str">
        <f>+IFERROR(VLOOKUP(DY44,IN_Zugliste!$A$4:$F$602,7,FALSE),"")</f>
        <v/>
      </c>
      <c r="DZ343" t="str">
        <f>+IFERROR(VLOOKUP(DZ44,IN_Zugliste!$A$4:$F$602,7,FALSE),"")</f>
        <v/>
      </c>
      <c r="EA343" t="str">
        <f>+IFERROR(VLOOKUP(EA44,IN_Zugliste!$A$4:$F$602,7,FALSE),"")</f>
        <v/>
      </c>
      <c r="EB343" t="str">
        <f>+IFERROR(VLOOKUP(EB44,IN_Zugliste!$A$4:$F$602,7,FALSE),"")</f>
        <v/>
      </c>
      <c r="EC343" t="str">
        <f>+IFERROR(VLOOKUP(EC44,IN_Zugliste!$A$4:$F$602,7,FALSE),"")</f>
        <v/>
      </c>
      <c r="ED343" t="str">
        <f>+IFERROR(VLOOKUP(ED44,IN_Zugliste!$A$4:$F$602,7,FALSE),"")</f>
        <v/>
      </c>
      <c r="EE343" t="str">
        <f>+IFERROR(VLOOKUP(EE44,IN_Zugliste!$A$4:$F$602,7,FALSE),"")</f>
        <v/>
      </c>
      <c r="EF343" t="str">
        <f>+IFERROR(VLOOKUP(EF44,IN_Zugliste!$A$4:$F$602,7,FALSE),"")</f>
        <v/>
      </c>
      <c r="EG343" t="str">
        <f>+IFERROR(VLOOKUP(EG44,IN_Zugliste!$A$4:$F$602,7,FALSE),"")</f>
        <v/>
      </c>
      <c r="EH343" t="str">
        <f>+IFERROR(VLOOKUP(EH44,IN_Zugliste!$A$4:$F$602,7,FALSE),"")</f>
        <v/>
      </c>
      <c r="EI343" t="str">
        <f>+IFERROR(VLOOKUP(EI44,IN_Zugliste!$A$4:$F$602,7,FALSE),"")</f>
        <v/>
      </c>
      <c r="EJ343" t="str">
        <f>+IFERROR(VLOOKUP(EJ44,IN_Zugliste!$A$4:$F$602,7,FALSE),"")</f>
        <v/>
      </c>
      <c r="EK343" t="str">
        <f>+IFERROR(VLOOKUP(EK44,IN_Zugliste!$A$4:$F$602,7,FALSE),"")</f>
        <v/>
      </c>
      <c r="EL343" t="str">
        <f>+IFERROR(VLOOKUP(EL44,IN_Zugliste!$A$4:$F$602,7,FALSE),"")</f>
        <v/>
      </c>
      <c r="EM343" t="str">
        <f>+IFERROR(VLOOKUP(EM44,IN_Zugliste!$A$4:$F$602,7,FALSE),"")</f>
        <v/>
      </c>
      <c r="EN343" t="str">
        <f>+IFERROR(VLOOKUP(EN44,IN_Zugliste!$A$4:$F$602,7,FALSE),"")</f>
        <v/>
      </c>
      <c r="EO343" t="str">
        <f>+IFERROR(VLOOKUP(EO44,IN_Zugliste!$A$4:$F$602,7,FALSE),"")</f>
        <v/>
      </c>
      <c r="EP343" t="str">
        <f>+IFERROR(VLOOKUP(EP44,IN_Zugliste!$A$4:$F$602,7,FALSE),"")</f>
        <v/>
      </c>
      <c r="EQ343" t="str">
        <f>+IFERROR(VLOOKUP(EQ44,IN_Zugliste!$A$4:$F$602,7,FALSE),"")</f>
        <v/>
      </c>
      <c r="ER343" t="str">
        <f>+IFERROR(VLOOKUP(ER44,IN_Zugliste!$A$4:$F$602,7,FALSE),"")</f>
        <v/>
      </c>
      <c r="ES343" t="str">
        <f>+IFERROR(VLOOKUP(ES44,IN_Zugliste!$A$4:$F$602,7,FALSE),"")</f>
        <v/>
      </c>
      <c r="ET343" t="str">
        <f>+IFERROR(VLOOKUP(ET44,IN_Zugliste!$A$4:$F$602,7,FALSE),"")</f>
        <v/>
      </c>
      <c r="EU343" t="str">
        <f>+IFERROR(VLOOKUP(EU44,IN_Zugliste!$A$4:$F$602,7,FALSE),"")</f>
        <v/>
      </c>
      <c r="EV343" t="str">
        <f>+IFERROR(VLOOKUP(EV44,IN_Zugliste!$A$4:$F$602,7,FALSE),"")</f>
        <v/>
      </c>
      <c r="EW343" t="str">
        <f>+IFERROR(VLOOKUP(EW44,IN_Zugliste!$A$4:$F$602,7,FALSE),"")</f>
        <v/>
      </c>
      <c r="EX343" t="str">
        <f>+IFERROR(VLOOKUP(EX44,IN_Zugliste!$A$4:$F$602,7,FALSE),"")</f>
        <v/>
      </c>
      <c r="EY343" t="str">
        <f>+IFERROR(VLOOKUP(EY44,IN_Zugliste!$A$4:$F$602,7,FALSE),"")</f>
        <v/>
      </c>
      <c r="EZ343" t="str">
        <f>+IFERROR(VLOOKUP(EZ44,IN_Zugliste!$A$4:$F$602,7,FALSE),"")</f>
        <v/>
      </c>
      <c r="FA343" t="str">
        <f>+IFERROR(VLOOKUP(FA44,IN_Zugliste!$A$4:$F$602,7,FALSE),"")</f>
        <v/>
      </c>
      <c r="FB343" t="str">
        <f>+IFERROR(VLOOKUP(FB44,IN_Zugliste!$A$4:$F$602,7,FALSE),"")</f>
        <v/>
      </c>
      <c r="FC343" t="str">
        <f>+IFERROR(VLOOKUP(FC44,IN_Zugliste!$A$4:$F$602,7,FALSE),"")</f>
        <v/>
      </c>
      <c r="FD343" t="str">
        <f>+IFERROR(VLOOKUP(FD44,IN_Zugliste!$A$4:$F$602,7,FALSE),"")</f>
        <v/>
      </c>
      <c r="FE343" t="str">
        <f>+IFERROR(VLOOKUP(FE44,IN_Zugliste!$A$4:$F$602,7,FALSE),"")</f>
        <v/>
      </c>
      <c r="FF343" t="str">
        <f>+IFERROR(VLOOKUP(FF44,IN_Zugliste!$A$4:$F$602,7,FALSE),"")</f>
        <v/>
      </c>
      <c r="FG343" t="str">
        <f>+IFERROR(VLOOKUP(FG44,IN_Zugliste!$A$4:$F$602,7,FALSE),"")</f>
        <v/>
      </c>
      <c r="FH343" t="str">
        <f>+IFERROR(VLOOKUP(FH44,IN_Zugliste!$A$4:$F$602,7,FALSE),"")</f>
        <v/>
      </c>
      <c r="FI343" t="str">
        <f>+IFERROR(VLOOKUP(FI44,IN_Zugliste!$A$4:$F$602,7,FALSE),"")</f>
        <v/>
      </c>
      <c r="FJ343" t="str">
        <f>+IFERROR(VLOOKUP(FJ44,IN_Zugliste!$A$4:$F$602,7,FALSE),"")</f>
        <v/>
      </c>
      <c r="FK343" t="str">
        <f>+IFERROR(VLOOKUP(FK44,IN_Zugliste!$A$4:$F$602,7,FALSE),"")</f>
        <v/>
      </c>
      <c r="FL343" t="str">
        <f>+IFERROR(VLOOKUP(FL44,IN_Zugliste!$A$4:$F$602,7,FALSE),"")</f>
        <v/>
      </c>
      <c r="FM343" t="str">
        <f>+IFERROR(VLOOKUP(FM44,IN_Zugliste!$A$4:$F$602,7,FALSE),"")</f>
        <v/>
      </c>
      <c r="FN343" t="str">
        <f>+IFERROR(VLOOKUP(FN44,IN_Zugliste!$A$4:$F$602,7,FALSE),"")</f>
        <v/>
      </c>
      <c r="FO343" t="str">
        <f>+IFERROR(VLOOKUP(FO44,IN_Zugliste!$A$4:$F$602,7,FALSE),"")</f>
        <v/>
      </c>
      <c r="FP343" t="str">
        <f>+IFERROR(VLOOKUP(FP44,IN_Zugliste!$A$4:$F$602,7,FALSE),"")</f>
        <v/>
      </c>
      <c r="FQ343" t="str">
        <f>+IFERROR(VLOOKUP(FQ44,IN_Zugliste!$A$4:$F$602,7,FALSE),"")</f>
        <v/>
      </c>
      <c r="FR343" t="str">
        <f>+IFERROR(VLOOKUP(FR44,IN_Zugliste!$A$4:$F$602,7,FALSE),"")</f>
        <v/>
      </c>
      <c r="FS343" t="str">
        <f>+IFERROR(VLOOKUP(FS44,IN_Zugliste!$A$4:$F$602,7,FALSE),"")</f>
        <v/>
      </c>
      <c r="FT343" t="str">
        <f>+IFERROR(VLOOKUP(FT44,IN_Zugliste!$A$4:$F$602,7,FALSE),"")</f>
        <v/>
      </c>
      <c r="FU343" t="str">
        <f>+IFERROR(VLOOKUP(FU44,IN_Zugliste!$A$4:$F$602,7,FALSE),"")</f>
        <v/>
      </c>
      <c r="FV343" t="str">
        <f>+IFERROR(VLOOKUP(FV44,IN_Zugliste!$A$4:$F$602,7,FALSE),"")</f>
        <v/>
      </c>
      <c r="FW343" t="str">
        <f>+IFERROR(VLOOKUP(FW44,IN_Zugliste!$A$4:$F$602,7,FALSE),"")</f>
        <v/>
      </c>
      <c r="FX343" t="str">
        <f>+IFERROR(VLOOKUP(FX44,IN_Zugliste!$A$4:$F$602,7,FALSE),"")</f>
        <v/>
      </c>
      <c r="FY343" t="str">
        <f>+IFERROR(VLOOKUP(FY44,IN_Zugliste!$A$4:$F$602,7,FALSE),"")</f>
        <v/>
      </c>
      <c r="FZ343" t="str">
        <f>+IFERROR(VLOOKUP(FZ44,IN_Zugliste!$A$4:$F$602,7,FALSE),"")</f>
        <v/>
      </c>
      <c r="GA343" t="str">
        <f>+IFERROR(VLOOKUP(GA44,IN_Zugliste!$A$4:$F$602,7,FALSE),"")</f>
        <v/>
      </c>
      <c r="GB343" t="str">
        <f>+IFERROR(VLOOKUP(GB44,IN_Zugliste!$A$4:$F$602,7,FALSE),"")</f>
        <v/>
      </c>
      <c r="GC343" t="str">
        <f>+IFERROR(VLOOKUP(GC44,IN_Zugliste!$A$4:$F$602,7,FALSE),"")</f>
        <v/>
      </c>
      <c r="GD343" t="str">
        <f>+IFERROR(VLOOKUP(GD44,IN_Zugliste!$A$4:$F$602,7,FALSE),"")</f>
        <v/>
      </c>
      <c r="GE343" t="str">
        <f>+IFERROR(VLOOKUP(GE44,IN_Zugliste!$A$4:$F$602,7,FALSE),"")</f>
        <v/>
      </c>
      <c r="GF343" t="str">
        <f>+IFERROR(VLOOKUP(GF44,IN_Zugliste!$A$4:$F$602,7,FALSE),"")</f>
        <v/>
      </c>
      <c r="GG343" t="str">
        <f>+IFERROR(VLOOKUP(GG44,IN_Zugliste!$A$4:$F$602,7,FALSE),"")</f>
        <v/>
      </c>
      <c r="GH343" t="str">
        <f>+IFERROR(VLOOKUP(GH44,IN_Zugliste!$A$4:$F$602,7,FALSE),"")</f>
        <v/>
      </c>
      <c r="GI343" t="str">
        <f>+IFERROR(VLOOKUP(GI44,IN_Zugliste!$A$4:$F$602,7,FALSE),"")</f>
        <v/>
      </c>
      <c r="GJ343" t="str">
        <f>+IFERROR(VLOOKUP(GJ44,IN_Zugliste!$A$4:$F$602,7,FALSE),"")</f>
        <v/>
      </c>
      <c r="GK343" t="str">
        <f>+IFERROR(VLOOKUP(GK44,IN_Zugliste!$A$4:$F$602,7,FALSE),"")</f>
        <v/>
      </c>
      <c r="GL343" t="str">
        <f>+IFERROR(VLOOKUP(GL44,IN_Zugliste!$A$4:$F$602,7,FALSE),"")</f>
        <v/>
      </c>
      <c r="GM343" t="str">
        <f>+IFERROR(VLOOKUP(GM44,IN_Zugliste!$A$4:$F$602,7,FALSE),"")</f>
        <v/>
      </c>
      <c r="GN343" t="str">
        <f>+IFERROR(VLOOKUP(GN44,IN_Zugliste!$A$4:$F$602,7,FALSE),"")</f>
        <v/>
      </c>
      <c r="GO343" t="str">
        <f>+IFERROR(VLOOKUP(GO44,IN_Zugliste!$A$4:$F$602,7,FALSE),"")</f>
        <v/>
      </c>
      <c r="GP343" t="str">
        <f>+IFERROR(VLOOKUP(GP44,IN_Zugliste!$A$4:$F$602,7,FALSE),"")</f>
        <v/>
      </c>
      <c r="GQ343" t="str">
        <f>+IFERROR(VLOOKUP(GQ44,IN_Zugliste!$A$4:$F$602,7,FALSE),"")</f>
        <v/>
      </c>
      <c r="GR343" t="str">
        <f>+IFERROR(VLOOKUP(GR44,IN_Zugliste!$A$4:$F$602,7,FALSE),"")</f>
        <v/>
      </c>
      <c r="GS343" t="str">
        <f>+IFERROR(VLOOKUP(GS44,IN_Zugliste!$A$4:$F$602,7,FALSE),"")</f>
        <v/>
      </c>
      <c r="GT343" t="str">
        <f>+IFERROR(VLOOKUP(GT44,IN_Zugliste!$A$4:$F$602,7,FALSE),"")</f>
        <v/>
      </c>
      <c r="GU343" t="str">
        <f>+IFERROR(VLOOKUP(GU44,IN_Zugliste!$A$4:$F$602,7,FALSE),"")</f>
        <v/>
      </c>
      <c r="GV343" t="str">
        <f>+IFERROR(VLOOKUP(GV44,IN_Zugliste!$A$4:$F$602,7,FALSE),"")</f>
        <v/>
      </c>
      <c r="GW343" t="str">
        <f>+IFERROR(VLOOKUP(GW44,IN_Zugliste!$A$4:$F$602,7,FALSE),"")</f>
        <v/>
      </c>
      <c r="GX343" t="str">
        <f>+IFERROR(VLOOKUP(GX44,IN_Zugliste!$A$4:$F$602,7,FALSE),"")</f>
        <v/>
      </c>
      <c r="GY343" t="str">
        <f>+IFERROR(VLOOKUP(GY44,IN_Zugliste!$A$4:$F$602,7,FALSE),"")</f>
        <v/>
      </c>
      <c r="GZ343" t="str">
        <f>+IFERROR(VLOOKUP(GZ44,IN_Zugliste!$A$4:$F$602,7,FALSE),"")</f>
        <v/>
      </c>
      <c r="HA343" t="str">
        <f>+IFERROR(VLOOKUP(HA44,IN_Zugliste!$A$4:$F$602,7,FALSE),"")</f>
        <v/>
      </c>
      <c r="HB343" t="str">
        <f>+IFERROR(VLOOKUP(HB44,IN_Zugliste!$A$4:$F$602,7,FALSE),"")</f>
        <v/>
      </c>
      <c r="HC343" t="str">
        <f>+IFERROR(VLOOKUP(HC44,IN_Zugliste!$A$4:$F$602,7,FALSE),"")</f>
        <v/>
      </c>
      <c r="HD343" t="str">
        <f>+IFERROR(VLOOKUP(HD44,IN_Zugliste!$A$4:$F$602,7,FALSE),"")</f>
        <v/>
      </c>
      <c r="HE343" t="str">
        <f>+IFERROR(VLOOKUP(HE44,IN_Zugliste!$A$4:$F$602,7,FALSE),"")</f>
        <v/>
      </c>
      <c r="HF343" t="str">
        <f>+IFERROR(VLOOKUP(HF44,IN_Zugliste!$A$4:$F$602,7,FALSE),"")</f>
        <v/>
      </c>
      <c r="HG343" t="str">
        <f>+IFERROR(VLOOKUP(HG44,IN_Zugliste!$A$4:$F$602,7,FALSE),"")</f>
        <v/>
      </c>
      <c r="HH343" t="str">
        <f>+IFERROR(VLOOKUP(HH44,IN_Zugliste!$A$4:$F$602,7,FALSE),"")</f>
        <v/>
      </c>
    </row>
    <row r="344" spans="1:216" x14ac:dyDescent="0.2">
      <c r="A344" t="str">
        <f>+IFERROR(VLOOKUP(A45,IN_Zugliste!$A$4:$F$602,7,FALSE),"")</f>
        <v/>
      </c>
      <c r="B344" t="str">
        <f>+IFERROR(VLOOKUP(B45,IN_Zugliste!$A$4:$F$602,7,FALSE),"")</f>
        <v/>
      </c>
      <c r="C344" t="str">
        <f>+IFERROR(VLOOKUP(C45,IN_Zugliste!$A$4:$F$602,7,FALSE),"")</f>
        <v/>
      </c>
      <c r="D344" t="str">
        <f>+IFERROR(VLOOKUP(D45,IN_Zugliste!$A$4:$F$602,7,FALSE),"")</f>
        <v/>
      </c>
      <c r="E344" t="str">
        <f>+IFERROR(VLOOKUP(E45,IN_Zugliste!$A$4:$F$602,7,FALSE),"")</f>
        <v/>
      </c>
      <c r="F344" t="str">
        <f>+IFERROR(VLOOKUP(F45,IN_Zugliste!$A$4:$F$602,7,FALSE),"")</f>
        <v/>
      </c>
      <c r="G344" t="str">
        <f>+IFERROR(VLOOKUP(G45,IN_Zugliste!$A$4:$F$602,7,FALSE),"")</f>
        <v/>
      </c>
      <c r="H344" t="str">
        <f>+IFERROR(VLOOKUP(H45,IN_Zugliste!$A$4:$F$602,7,FALSE),"")</f>
        <v/>
      </c>
      <c r="I344" t="str">
        <f>+IFERROR(VLOOKUP(I45,IN_Zugliste!$A$4:$F$602,7,FALSE),"")</f>
        <v/>
      </c>
      <c r="J344" t="str">
        <f>+IFERROR(VLOOKUP(J45,IN_Zugliste!$A$4:$F$602,7,FALSE),"")</f>
        <v/>
      </c>
      <c r="K344" t="str">
        <f>+IFERROR(VLOOKUP(K45,IN_Zugliste!$A$4:$F$602,7,FALSE),"")</f>
        <v/>
      </c>
      <c r="L344" t="str">
        <f>+IFERROR(VLOOKUP(L45,IN_Zugliste!$A$4:$F$602,7,FALSE),"")</f>
        <v/>
      </c>
      <c r="M344" t="str">
        <f>+IFERROR(VLOOKUP(M45,IN_Zugliste!$A$4:$F$602,7,FALSE),"")</f>
        <v/>
      </c>
      <c r="N344" t="str">
        <f>+IFERROR(VLOOKUP(N45,IN_Zugliste!$A$4:$F$602,7,FALSE),"")</f>
        <v/>
      </c>
      <c r="O344" t="str">
        <f>+IFERROR(VLOOKUP(O45,IN_Zugliste!$A$4:$F$602,7,FALSE),"")</f>
        <v/>
      </c>
      <c r="P344" t="str">
        <f>+IFERROR(VLOOKUP(P45,IN_Zugliste!$A$4:$F$602,7,FALSE),"")</f>
        <v/>
      </c>
      <c r="Q344" t="str">
        <f>+IFERROR(VLOOKUP(Q45,IN_Zugliste!$A$4:$F$602,7,FALSE),"")</f>
        <v/>
      </c>
      <c r="R344" t="str">
        <f>+IFERROR(VLOOKUP(R45,IN_Zugliste!$A$4:$F$602,7,FALSE),"")</f>
        <v/>
      </c>
      <c r="S344" t="str">
        <f>+IFERROR(VLOOKUP(S45,IN_Zugliste!$A$4:$F$602,7,FALSE),"")</f>
        <v/>
      </c>
      <c r="T344" t="str">
        <f>+IFERROR(VLOOKUP(T45,IN_Zugliste!$A$4:$F$602,7,FALSE),"")</f>
        <v/>
      </c>
      <c r="U344" t="str">
        <f>+IFERROR(VLOOKUP(U45,IN_Zugliste!$A$4:$F$602,7,FALSE),"")</f>
        <v/>
      </c>
      <c r="V344" t="str">
        <f>+IFERROR(VLOOKUP(V45,IN_Zugliste!$A$4:$F$602,7,FALSE),"")</f>
        <v/>
      </c>
      <c r="W344" t="str">
        <f>+IFERROR(VLOOKUP(W45,IN_Zugliste!$A$4:$F$602,7,FALSE),"")</f>
        <v/>
      </c>
      <c r="X344" t="str">
        <f>+IFERROR(VLOOKUP(X45,IN_Zugliste!$A$4:$F$602,7,FALSE),"")</f>
        <v/>
      </c>
      <c r="Y344" t="str">
        <f>+IFERROR(VLOOKUP(Y45,IN_Zugliste!$A$4:$F$602,7,FALSE),"")</f>
        <v/>
      </c>
      <c r="Z344" t="str">
        <f>+IFERROR(VLOOKUP(Z45,IN_Zugliste!$A$4:$F$602,7,FALSE),"")</f>
        <v/>
      </c>
      <c r="AA344" t="str">
        <f>+IFERROR(VLOOKUP(AA45,IN_Zugliste!$A$4:$F$602,7,FALSE),"")</f>
        <v/>
      </c>
      <c r="AB344" t="str">
        <f>+IFERROR(VLOOKUP(AB45,IN_Zugliste!$A$4:$F$602,7,FALSE),"")</f>
        <v/>
      </c>
      <c r="AC344" t="str">
        <f>+IFERROR(VLOOKUP(AC45,IN_Zugliste!$A$4:$F$602,7,FALSE),"")</f>
        <v/>
      </c>
      <c r="AD344" t="str">
        <f>+IFERROR(VLOOKUP(AD45,IN_Zugliste!$A$4:$F$602,7,FALSE),"")</f>
        <v/>
      </c>
      <c r="AE344" t="str">
        <f>+IFERROR(VLOOKUP(AE45,IN_Zugliste!$A$4:$F$602,7,FALSE),"")</f>
        <v/>
      </c>
      <c r="AF344" t="str">
        <f>+IFERROR(VLOOKUP(AF45,IN_Zugliste!$A$4:$F$602,7,FALSE),"")</f>
        <v/>
      </c>
      <c r="AG344" t="str">
        <f>+IFERROR(VLOOKUP(AG45,IN_Zugliste!$A$4:$F$602,7,FALSE),"")</f>
        <v/>
      </c>
      <c r="AH344" t="str">
        <f>+IFERROR(VLOOKUP(AH45,IN_Zugliste!$A$4:$F$602,7,FALSE),"")</f>
        <v/>
      </c>
      <c r="AI344" t="str">
        <f>+IFERROR(VLOOKUP(AI45,IN_Zugliste!$A$4:$F$602,7,FALSE),"")</f>
        <v/>
      </c>
      <c r="AJ344" t="str">
        <f>+IFERROR(VLOOKUP(AJ45,IN_Zugliste!$A$4:$F$602,7,FALSE),"")</f>
        <v/>
      </c>
      <c r="AK344" t="str">
        <f>+IFERROR(VLOOKUP(AK45,IN_Zugliste!$A$4:$F$602,7,FALSE),"")</f>
        <v/>
      </c>
      <c r="AL344" t="str">
        <f>+IFERROR(VLOOKUP(AL45,IN_Zugliste!$A$4:$F$602,7,FALSE),"")</f>
        <v/>
      </c>
      <c r="AM344" t="str">
        <f>+IFERROR(VLOOKUP(AM45,IN_Zugliste!$A$4:$F$602,7,FALSE),"")</f>
        <v/>
      </c>
      <c r="AN344" t="str">
        <f>+IFERROR(VLOOKUP(AN45,IN_Zugliste!$A$4:$F$602,7,FALSE),"")</f>
        <v/>
      </c>
      <c r="AO344" t="str">
        <f>+IFERROR(VLOOKUP(AO45,IN_Zugliste!$A$4:$F$602,7,FALSE),"")</f>
        <v/>
      </c>
      <c r="AP344" t="str">
        <f>+IFERROR(VLOOKUP(AP45,IN_Zugliste!$A$4:$F$602,7,FALSE),"")</f>
        <v/>
      </c>
      <c r="AQ344" t="str">
        <f>+IFERROR(VLOOKUP(AQ45,IN_Zugliste!$A$4:$F$602,7,FALSE),"")</f>
        <v/>
      </c>
      <c r="AR344" t="str">
        <f>+IFERROR(VLOOKUP(AR45,IN_Zugliste!$A$4:$F$602,7,FALSE),"")</f>
        <v/>
      </c>
      <c r="AS344" t="str">
        <f>+IFERROR(VLOOKUP(AS45,IN_Zugliste!$A$4:$F$602,7,FALSE),"")</f>
        <v/>
      </c>
      <c r="AT344" t="str">
        <f>+IFERROR(VLOOKUP(AT45,IN_Zugliste!$A$4:$F$602,7,FALSE),"")</f>
        <v/>
      </c>
      <c r="AU344" t="str">
        <f>+IFERROR(VLOOKUP(AU45,IN_Zugliste!$A$4:$F$602,7,FALSE),"")</f>
        <v/>
      </c>
      <c r="AV344" t="str">
        <f>+IFERROR(VLOOKUP(AV45,IN_Zugliste!$A$4:$F$602,7,FALSE),"")</f>
        <v/>
      </c>
      <c r="AW344" t="str">
        <f>+IFERROR(VLOOKUP(AW45,IN_Zugliste!$A$4:$F$602,7,FALSE),"")</f>
        <v/>
      </c>
      <c r="AX344" t="str">
        <f>+IFERROR(VLOOKUP(AX45,IN_Zugliste!$A$4:$F$602,7,FALSE),"")</f>
        <v/>
      </c>
      <c r="AY344" t="str">
        <f>+IFERROR(VLOOKUP(AY45,IN_Zugliste!$A$4:$F$602,7,FALSE),"")</f>
        <v/>
      </c>
      <c r="AZ344" t="str">
        <f>+IFERROR(VLOOKUP(AZ45,IN_Zugliste!$A$4:$F$602,7,FALSE),"")</f>
        <v/>
      </c>
      <c r="BA344" t="str">
        <f>+IFERROR(VLOOKUP(BA45,IN_Zugliste!$A$4:$F$602,7,FALSE),"")</f>
        <v/>
      </c>
      <c r="BB344" t="str">
        <f>+IFERROR(VLOOKUP(BB45,IN_Zugliste!$A$4:$F$602,7,FALSE),"")</f>
        <v/>
      </c>
      <c r="BC344" t="str">
        <f>+IFERROR(VLOOKUP(BC45,IN_Zugliste!$A$4:$F$602,7,FALSE),"")</f>
        <v/>
      </c>
      <c r="BD344" t="str">
        <f>+IFERROR(VLOOKUP(BD45,IN_Zugliste!$A$4:$F$602,7,FALSE),"")</f>
        <v/>
      </c>
      <c r="BE344" t="str">
        <f>+IFERROR(VLOOKUP(BE45,IN_Zugliste!$A$4:$F$602,7,FALSE),"")</f>
        <v/>
      </c>
      <c r="BF344" t="str">
        <f>+IFERROR(VLOOKUP(BF45,IN_Zugliste!$A$4:$F$602,7,FALSE),"")</f>
        <v/>
      </c>
      <c r="BG344" t="str">
        <f>+IFERROR(VLOOKUP(BG45,IN_Zugliste!$A$4:$F$602,7,FALSE),"")</f>
        <v/>
      </c>
      <c r="BH344" t="str">
        <f>+IFERROR(VLOOKUP(BH45,IN_Zugliste!$A$4:$F$602,7,FALSE),"")</f>
        <v/>
      </c>
      <c r="BI344" t="str">
        <f>+IFERROR(VLOOKUP(BI45,IN_Zugliste!$A$4:$F$602,7,FALSE),"")</f>
        <v/>
      </c>
      <c r="BJ344" t="str">
        <f>+IFERROR(VLOOKUP(BJ45,IN_Zugliste!$A$4:$F$602,7,FALSE),"")</f>
        <v/>
      </c>
      <c r="BK344" t="str">
        <f>+IFERROR(VLOOKUP(BK45,IN_Zugliste!$A$4:$F$602,7,FALSE),"")</f>
        <v/>
      </c>
      <c r="BL344" t="str">
        <f>+IFERROR(VLOOKUP(BL45,IN_Zugliste!$A$4:$F$602,7,FALSE),"")</f>
        <v/>
      </c>
      <c r="BM344" t="str">
        <f>+IFERROR(VLOOKUP(BM45,IN_Zugliste!$A$4:$F$602,7,FALSE),"")</f>
        <v/>
      </c>
      <c r="BN344" t="str">
        <f>+IFERROR(VLOOKUP(BN45,IN_Zugliste!$A$4:$F$602,7,FALSE),"")</f>
        <v/>
      </c>
      <c r="BO344" t="str">
        <f>+IFERROR(VLOOKUP(BO45,IN_Zugliste!$A$4:$F$602,7,FALSE),"")</f>
        <v/>
      </c>
      <c r="BP344" t="str">
        <f>+IFERROR(VLOOKUP(BP45,IN_Zugliste!$A$4:$F$602,7,FALSE),"")</f>
        <v/>
      </c>
      <c r="BQ344" t="str">
        <f>+IFERROR(VLOOKUP(BQ45,IN_Zugliste!$A$4:$F$602,7,FALSE),"")</f>
        <v/>
      </c>
      <c r="BR344" t="str">
        <f>+IFERROR(VLOOKUP(BR45,IN_Zugliste!$A$4:$F$602,7,FALSE),"")</f>
        <v/>
      </c>
      <c r="BS344" t="str">
        <f>+IFERROR(VLOOKUP(BS45,IN_Zugliste!$A$4:$F$602,7,FALSE),"")</f>
        <v/>
      </c>
      <c r="BT344" t="str">
        <f>+IFERROR(VLOOKUP(BT45,IN_Zugliste!$A$4:$F$602,7,FALSE),"")</f>
        <v/>
      </c>
      <c r="BU344" t="str">
        <f>+IFERROR(VLOOKUP(BU45,IN_Zugliste!$A$4:$F$602,7,FALSE),"")</f>
        <v/>
      </c>
      <c r="BV344" t="str">
        <f>+IFERROR(VLOOKUP(BV45,IN_Zugliste!$A$4:$F$602,7,FALSE),"")</f>
        <v/>
      </c>
      <c r="BW344" t="str">
        <f>+IFERROR(VLOOKUP(BW45,IN_Zugliste!$A$4:$F$602,7,FALSE),"")</f>
        <v/>
      </c>
      <c r="BX344" t="str">
        <f>+IFERROR(VLOOKUP(BX45,IN_Zugliste!$A$4:$F$602,7,FALSE),"")</f>
        <v/>
      </c>
      <c r="BY344" t="str">
        <f>+IFERROR(VLOOKUP(BY45,IN_Zugliste!$A$4:$F$602,7,FALSE),"")</f>
        <v/>
      </c>
      <c r="BZ344" t="str">
        <f>+IFERROR(VLOOKUP(BZ45,IN_Zugliste!$A$4:$F$602,7,FALSE),"")</f>
        <v/>
      </c>
      <c r="CA344" t="str">
        <f>+IFERROR(VLOOKUP(CA45,IN_Zugliste!$A$4:$F$602,7,FALSE),"")</f>
        <v/>
      </c>
      <c r="CB344" t="str">
        <f>+IFERROR(VLOOKUP(CB45,IN_Zugliste!$A$4:$F$602,7,FALSE),"")</f>
        <v/>
      </c>
      <c r="CC344" t="str">
        <f>+IFERROR(VLOOKUP(CC45,IN_Zugliste!$A$4:$F$602,7,FALSE),"")</f>
        <v/>
      </c>
      <c r="CD344" t="str">
        <f>+IFERROR(VLOOKUP(CD45,IN_Zugliste!$A$4:$F$602,7,FALSE),"")</f>
        <v/>
      </c>
      <c r="CE344" t="str">
        <f>+IFERROR(VLOOKUP(CE45,IN_Zugliste!$A$4:$F$602,7,FALSE),"")</f>
        <v/>
      </c>
      <c r="CF344" t="str">
        <f>+IFERROR(VLOOKUP(CF45,IN_Zugliste!$A$4:$F$602,7,FALSE),"")</f>
        <v/>
      </c>
      <c r="CG344" t="str">
        <f>+IFERROR(VLOOKUP(CG45,IN_Zugliste!$A$4:$F$602,7,FALSE),"")</f>
        <v/>
      </c>
      <c r="CH344" t="str">
        <f>+IFERROR(VLOOKUP(CH45,IN_Zugliste!$A$4:$F$602,7,FALSE),"")</f>
        <v/>
      </c>
      <c r="CI344" t="str">
        <f>+IFERROR(VLOOKUP(CI45,IN_Zugliste!$A$4:$F$602,7,FALSE),"")</f>
        <v/>
      </c>
      <c r="CJ344" t="str">
        <f>+IFERROR(VLOOKUP(CJ45,IN_Zugliste!$A$4:$F$602,7,FALSE),"")</f>
        <v/>
      </c>
      <c r="CK344" t="str">
        <f>+IFERROR(VLOOKUP(CK45,IN_Zugliste!$A$4:$F$602,7,FALSE),"")</f>
        <v/>
      </c>
      <c r="CL344" t="str">
        <f>+IFERROR(VLOOKUP(CL45,IN_Zugliste!$A$4:$F$602,7,FALSE),"")</f>
        <v/>
      </c>
      <c r="CM344" t="str">
        <f>+IFERROR(VLOOKUP(CM45,IN_Zugliste!$A$4:$F$602,7,FALSE),"")</f>
        <v/>
      </c>
      <c r="CN344" t="str">
        <f>+IFERROR(VLOOKUP(CN45,IN_Zugliste!$A$4:$F$602,7,FALSE),"")</f>
        <v/>
      </c>
      <c r="CO344" t="str">
        <f>+IFERROR(VLOOKUP(CO45,IN_Zugliste!$A$4:$F$602,7,FALSE),"")</f>
        <v/>
      </c>
      <c r="CP344" t="str">
        <f>+IFERROR(VLOOKUP(CP45,IN_Zugliste!$A$4:$F$602,7,FALSE),"")</f>
        <v/>
      </c>
      <c r="CQ344" t="str">
        <f>+IFERROR(VLOOKUP(CQ45,IN_Zugliste!$A$4:$F$602,7,FALSE),"")</f>
        <v/>
      </c>
      <c r="CR344" t="str">
        <f>+IFERROR(VLOOKUP(CR45,IN_Zugliste!$A$4:$F$602,7,FALSE),"")</f>
        <v/>
      </c>
      <c r="CS344" t="str">
        <f>+IFERROR(VLOOKUP(CS45,IN_Zugliste!$A$4:$F$602,7,FALSE),"")</f>
        <v/>
      </c>
      <c r="CT344" t="str">
        <f>+IFERROR(VLOOKUP(CT45,IN_Zugliste!$A$4:$F$602,7,FALSE),"")</f>
        <v/>
      </c>
      <c r="CU344" t="str">
        <f>+IFERROR(VLOOKUP(CU45,IN_Zugliste!$A$4:$F$602,7,FALSE),"")</f>
        <v/>
      </c>
      <c r="CV344" t="str">
        <f>+IFERROR(VLOOKUP(CV45,IN_Zugliste!$A$4:$F$602,7,FALSE),"")</f>
        <v/>
      </c>
      <c r="CW344" t="str">
        <f>+IFERROR(VLOOKUP(CW45,IN_Zugliste!$A$4:$F$602,7,FALSE),"")</f>
        <v/>
      </c>
      <c r="CX344" t="str">
        <f>+IFERROR(VLOOKUP(CX45,IN_Zugliste!$A$4:$F$602,7,FALSE),"")</f>
        <v/>
      </c>
      <c r="CY344" t="str">
        <f>+IFERROR(VLOOKUP(CY45,IN_Zugliste!$A$4:$F$602,7,FALSE),"")</f>
        <v/>
      </c>
      <c r="CZ344" t="str">
        <f>+IFERROR(VLOOKUP(CZ45,IN_Zugliste!$A$4:$F$602,7,FALSE),"")</f>
        <v/>
      </c>
      <c r="DA344" t="str">
        <f>+IFERROR(VLOOKUP(DA45,IN_Zugliste!$A$4:$F$602,7,FALSE),"")</f>
        <v/>
      </c>
      <c r="DB344" t="str">
        <f>+IFERROR(VLOOKUP(DB45,IN_Zugliste!$A$4:$F$602,7,FALSE),"")</f>
        <v/>
      </c>
      <c r="DC344" t="str">
        <f>+IFERROR(VLOOKUP(DC45,IN_Zugliste!$A$4:$F$602,7,FALSE),"")</f>
        <v/>
      </c>
      <c r="DD344" t="str">
        <f>+IFERROR(VLOOKUP(DD45,IN_Zugliste!$A$4:$F$602,7,FALSE),"")</f>
        <v/>
      </c>
      <c r="DE344" t="str">
        <f>+IFERROR(VLOOKUP(DE45,IN_Zugliste!$A$4:$F$602,7,FALSE),"")</f>
        <v/>
      </c>
      <c r="DF344" t="str">
        <f>+IFERROR(VLOOKUP(DF45,IN_Zugliste!$A$4:$F$602,7,FALSE),"")</f>
        <v/>
      </c>
      <c r="DG344" t="str">
        <f>+IFERROR(VLOOKUP(DG45,IN_Zugliste!$A$4:$F$602,7,FALSE),"")</f>
        <v/>
      </c>
      <c r="DH344" t="str">
        <f>+IFERROR(VLOOKUP(DH45,IN_Zugliste!$A$4:$F$602,7,FALSE),"")</f>
        <v/>
      </c>
      <c r="DI344" t="str">
        <f>+IFERROR(VLOOKUP(DI45,IN_Zugliste!$A$4:$F$602,7,FALSE),"")</f>
        <v/>
      </c>
      <c r="DJ344" t="str">
        <f>+IFERROR(VLOOKUP(DJ45,IN_Zugliste!$A$4:$F$602,7,FALSE),"")</f>
        <v/>
      </c>
      <c r="DK344" t="str">
        <f>+IFERROR(VLOOKUP(DK45,IN_Zugliste!$A$4:$F$602,7,FALSE),"")</f>
        <v/>
      </c>
      <c r="DL344" t="str">
        <f>+IFERROR(VLOOKUP(DL45,IN_Zugliste!$A$4:$F$602,7,FALSE),"")</f>
        <v/>
      </c>
      <c r="DM344" t="str">
        <f>+IFERROR(VLOOKUP(DM45,IN_Zugliste!$A$4:$F$602,7,FALSE),"")</f>
        <v/>
      </c>
      <c r="DN344" t="str">
        <f>+IFERROR(VLOOKUP(DN45,IN_Zugliste!$A$4:$F$602,7,FALSE),"")</f>
        <v/>
      </c>
      <c r="DO344" t="str">
        <f>+IFERROR(VLOOKUP(DO45,IN_Zugliste!$A$4:$F$602,7,FALSE),"")</f>
        <v/>
      </c>
      <c r="DP344" t="str">
        <f>+IFERROR(VLOOKUP(DP45,IN_Zugliste!$A$4:$F$602,7,FALSE),"")</f>
        <v/>
      </c>
      <c r="DQ344" t="str">
        <f>+IFERROR(VLOOKUP(DQ45,IN_Zugliste!$A$4:$F$602,7,FALSE),"")</f>
        <v/>
      </c>
      <c r="DR344" t="str">
        <f>+IFERROR(VLOOKUP(DR45,IN_Zugliste!$A$4:$F$602,7,FALSE),"")</f>
        <v/>
      </c>
      <c r="DS344" t="str">
        <f>+IFERROR(VLOOKUP(DS45,IN_Zugliste!$A$4:$F$602,7,FALSE),"")</f>
        <v/>
      </c>
      <c r="DT344" t="str">
        <f>+IFERROR(VLOOKUP(DT45,IN_Zugliste!$A$4:$F$602,7,FALSE),"")</f>
        <v/>
      </c>
      <c r="DU344" t="str">
        <f>+IFERROR(VLOOKUP(DU45,IN_Zugliste!$A$4:$F$602,7,FALSE),"")</f>
        <v/>
      </c>
      <c r="DV344" t="str">
        <f>+IFERROR(VLOOKUP(DV45,IN_Zugliste!$A$4:$F$602,7,FALSE),"")</f>
        <v/>
      </c>
      <c r="DW344" t="str">
        <f>+IFERROR(VLOOKUP(DW45,IN_Zugliste!$A$4:$F$602,7,FALSE),"")</f>
        <v/>
      </c>
      <c r="DX344" t="str">
        <f>+IFERROR(VLOOKUP(DX45,IN_Zugliste!$A$4:$F$602,7,FALSE),"")</f>
        <v/>
      </c>
      <c r="DY344" t="str">
        <f>+IFERROR(VLOOKUP(DY45,IN_Zugliste!$A$4:$F$602,7,FALSE),"")</f>
        <v/>
      </c>
      <c r="DZ344" t="str">
        <f>+IFERROR(VLOOKUP(DZ45,IN_Zugliste!$A$4:$F$602,7,FALSE),"")</f>
        <v/>
      </c>
      <c r="EA344" t="str">
        <f>+IFERROR(VLOOKUP(EA45,IN_Zugliste!$A$4:$F$602,7,FALSE),"")</f>
        <v/>
      </c>
      <c r="EB344" t="str">
        <f>+IFERROR(VLOOKUP(EB45,IN_Zugliste!$A$4:$F$602,7,FALSE),"")</f>
        <v/>
      </c>
      <c r="EC344" t="str">
        <f>+IFERROR(VLOOKUP(EC45,IN_Zugliste!$A$4:$F$602,7,FALSE),"")</f>
        <v/>
      </c>
      <c r="ED344" t="str">
        <f>+IFERROR(VLOOKUP(ED45,IN_Zugliste!$A$4:$F$602,7,FALSE),"")</f>
        <v/>
      </c>
      <c r="EE344" t="str">
        <f>+IFERROR(VLOOKUP(EE45,IN_Zugliste!$A$4:$F$602,7,FALSE),"")</f>
        <v/>
      </c>
      <c r="EF344" t="str">
        <f>+IFERROR(VLOOKUP(EF45,IN_Zugliste!$A$4:$F$602,7,FALSE),"")</f>
        <v/>
      </c>
      <c r="EG344" t="str">
        <f>+IFERROR(VLOOKUP(EG45,IN_Zugliste!$A$4:$F$602,7,FALSE),"")</f>
        <v/>
      </c>
      <c r="EH344" t="str">
        <f>+IFERROR(VLOOKUP(EH45,IN_Zugliste!$A$4:$F$602,7,FALSE),"")</f>
        <v/>
      </c>
      <c r="EI344" t="str">
        <f>+IFERROR(VLOOKUP(EI45,IN_Zugliste!$A$4:$F$602,7,FALSE),"")</f>
        <v/>
      </c>
      <c r="EJ344" t="str">
        <f>+IFERROR(VLOOKUP(EJ45,IN_Zugliste!$A$4:$F$602,7,FALSE),"")</f>
        <v/>
      </c>
      <c r="EK344" t="str">
        <f>+IFERROR(VLOOKUP(EK45,IN_Zugliste!$A$4:$F$602,7,FALSE),"")</f>
        <v/>
      </c>
      <c r="EL344" t="str">
        <f>+IFERROR(VLOOKUP(EL45,IN_Zugliste!$A$4:$F$602,7,FALSE),"")</f>
        <v/>
      </c>
      <c r="EM344" t="str">
        <f>+IFERROR(VLOOKUP(EM45,IN_Zugliste!$A$4:$F$602,7,FALSE),"")</f>
        <v/>
      </c>
      <c r="EN344" t="str">
        <f>+IFERROR(VLOOKUP(EN45,IN_Zugliste!$A$4:$F$602,7,FALSE),"")</f>
        <v/>
      </c>
      <c r="EO344" t="str">
        <f>+IFERROR(VLOOKUP(EO45,IN_Zugliste!$A$4:$F$602,7,FALSE),"")</f>
        <v/>
      </c>
      <c r="EP344" t="str">
        <f>+IFERROR(VLOOKUP(EP45,IN_Zugliste!$A$4:$F$602,7,FALSE),"")</f>
        <v/>
      </c>
      <c r="EQ344" t="str">
        <f>+IFERROR(VLOOKUP(EQ45,IN_Zugliste!$A$4:$F$602,7,FALSE),"")</f>
        <v/>
      </c>
      <c r="ER344" t="str">
        <f>+IFERROR(VLOOKUP(ER45,IN_Zugliste!$A$4:$F$602,7,FALSE),"")</f>
        <v/>
      </c>
      <c r="ES344" t="str">
        <f>+IFERROR(VLOOKUP(ES45,IN_Zugliste!$A$4:$F$602,7,FALSE),"")</f>
        <v/>
      </c>
      <c r="ET344" t="str">
        <f>+IFERROR(VLOOKUP(ET45,IN_Zugliste!$A$4:$F$602,7,FALSE),"")</f>
        <v/>
      </c>
      <c r="EU344" t="str">
        <f>+IFERROR(VLOOKUP(EU45,IN_Zugliste!$A$4:$F$602,7,FALSE),"")</f>
        <v/>
      </c>
      <c r="EV344" t="str">
        <f>+IFERROR(VLOOKUP(EV45,IN_Zugliste!$A$4:$F$602,7,FALSE),"")</f>
        <v/>
      </c>
      <c r="EW344" t="str">
        <f>+IFERROR(VLOOKUP(EW45,IN_Zugliste!$A$4:$F$602,7,FALSE),"")</f>
        <v/>
      </c>
      <c r="EX344" t="str">
        <f>+IFERROR(VLOOKUP(EX45,IN_Zugliste!$A$4:$F$602,7,FALSE),"")</f>
        <v/>
      </c>
      <c r="EY344" t="str">
        <f>+IFERROR(VLOOKUP(EY45,IN_Zugliste!$A$4:$F$602,7,FALSE),"")</f>
        <v/>
      </c>
      <c r="EZ344" t="str">
        <f>+IFERROR(VLOOKUP(EZ45,IN_Zugliste!$A$4:$F$602,7,FALSE),"")</f>
        <v/>
      </c>
      <c r="FA344" t="str">
        <f>+IFERROR(VLOOKUP(FA45,IN_Zugliste!$A$4:$F$602,7,FALSE),"")</f>
        <v/>
      </c>
      <c r="FB344" t="str">
        <f>+IFERROR(VLOOKUP(FB45,IN_Zugliste!$A$4:$F$602,7,FALSE),"")</f>
        <v/>
      </c>
      <c r="FC344" t="str">
        <f>+IFERROR(VLOOKUP(FC45,IN_Zugliste!$A$4:$F$602,7,FALSE),"")</f>
        <v/>
      </c>
      <c r="FD344" t="str">
        <f>+IFERROR(VLOOKUP(FD45,IN_Zugliste!$A$4:$F$602,7,FALSE),"")</f>
        <v/>
      </c>
      <c r="FE344" t="str">
        <f>+IFERROR(VLOOKUP(FE45,IN_Zugliste!$A$4:$F$602,7,FALSE),"")</f>
        <v/>
      </c>
      <c r="FF344" t="str">
        <f>+IFERROR(VLOOKUP(FF45,IN_Zugliste!$A$4:$F$602,7,FALSE),"")</f>
        <v/>
      </c>
      <c r="FG344" t="str">
        <f>+IFERROR(VLOOKUP(FG45,IN_Zugliste!$A$4:$F$602,7,FALSE),"")</f>
        <v/>
      </c>
      <c r="FH344" t="str">
        <f>+IFERROR(VLOOKUP(FH45,IN_Zugliste!$A$4:$F$602,7,FALSE),"")</f>
        <v/>
      </c>
      <c r="FI344" t="str">
        <f>+IFERROR(VLOOKUP(FI45,IN_Zugliste!$A$4:$F$602,7,FALSE),"")</f>
        <v/>
      </c>
      <c r="FJ344" t="str">
        <f>+IFERROR(VLOOKUP(FJ45,IN_Zugliste!$A$4:$F$602,7,FALSE),"")</f>
        <v/>
      </c>
      <c r="FK344" t="str">
        <f>+IFERROR(VLOOKUP(FK45,IN_Zugliste!$A$4:$F$602,7,FALSE),"")</f>
        <v/>
      </c>
      <c r="FL344" t="str">
        <f>+IFERROR(VLOOKUP(FL45,IN_Zugliste!$A$4:$F$602,7,FALSE),"")</f>
        <v/>
      </c>
      <c r="FM344" t="str">
        <f>+IFERROR(VLOOKUP(FM45,IN_Zugliste!$A$4:$F$602,7,FALSE),"")</f>
        <v/>
      </c>
      <c r="FN344" t="str">
        <f>+IFERROR(VLOOKUP(FN45,IN_Zugliste!$A$4:$F$602,7,FALSE),"")</f>
        <v/>
      </c>
      <c r="FO344" t="str">
        <f>+IFERROR(VLOOKUP(FO45,IN_Zugliste!$A$4:$F$602,7,FALSE),"")</f>
        <v/>
      </c>
      <c r="FP344" t="str">
        <f>+IFERROR(VLOOKUP(FP45,IN_Zugliste!$A$4:$F$602,7,FALSE),"")</f>
        <v/>
      </c>
      <c r="FQ344" t="str">
        <f>+IFERROR(VLOOKUP(FQ45,IN_Zugliste!$A$4:$F$602,7,FALSE),"")</f>
        <v/>
      </c>
      <c r="FR344" t="str">
        <f>+IFERROR(VLOOKUP(FR45,IN_Zugliste!$A$4:$F$602,7,FALSE),"")</f>
        <v/>
      </c>
      <c r="FS344" t="str">
        <f>+IFERROR(VLOOKUP(FS45,IN_Zugliste!$A$4:$F$602,7,FALSE),"")</f>
        <v/>
      </c>
      <c r="FT344" t="str">
        <f>+IFERROR(VLOOKUP(FT45,IN_Zugliste!$A$4:$F$602,7,FALSE),"")</f>
        <v/>
      </c>
      <c r="FU344" t="str">
        <f>+IFERROR(VLOOKUP(FU45,IN_Zugliste!$A$4:$F$602,7,FALSE),"")</f>
        <v/>
      </c>
      <c r="FV344" t="str">
        <f>+IFERROR(VLOOKUP(FV45,IN_Zugliste!$A$4:$F$602,7,FALSE),"")</f>
        <v/>
      </c>
      <c r="FW344" t="str">
        <f>+IFERROR(VLOOKUP(FW45,IN_Zugliste!$A$4:$F$602,7,FALSE),"")</f>
        <v/>
      </c>
      <c r="FX344" t="str">
        <f>+IFERROR(VLOOKUP(FX45,IN_Zugliste!$A$4:$F$602,7,FALSE),"")</f>
        <v/>
      </c>
      <c r="FY344" t="str">
        <f>+IFERROR(VLOOKUP(FY45,IN_Zugliste!$A$4:$F$602,7,FALSE),"")</f>
        <v/>
      </c>
      <c r="FZ344" t="str">
        <f>+IFERROR(VLOOKUP(FZ45,IN_Zugliste!$A$4:$F$602,7,FALSE),"")</f>
        <v/>
      </c>
      <c r="GA344" t="str">
        <f>+IFERROR(VLOOKUP(GA45,IN_Zugliste!$A$4:$F$602,7,FALSE),"")</f>
        <v/>
      </c>
      <c r="GB344" t="str">
        <f>+IFERROR(VLOOKUP(GB45,IN_Zugliste!$A$4:$F$602,7,FALSE),"")</f>
        <v/>
      </c>
      <c r="GC344" t="str">
        <f>+IFERROR(VLOOKUP(GC45,IN_Zugliste!$A$4:$F$602,7,FALSE),"")</f>
        <v/>
      </c>
      <c r="GD344" t="str">
        <f>+IFERROR(VLOOKUP(GD45,IN_Zugliste!$A$4:$F$602,7,FALSE),"")</f>
        <v/>
      </c>
      <c r="GE344" t="str">
        <f>+IFERROR(VLOOKUP(GE45,IN_Zugliste!$A$4:$F$602,7,FALSE),"")</f>
        <v/>
      </c>
      <c r="GF344" t="str">
        <f>+IFERROR(VLOOKUP(GF45,IN_Zugliste!$A$4:$F$602,7,FALSE),"")</f>
        <v/>
      </c>
      <c r="GG344" t="str">
        <f>+IFERROR(VLOOKUP(GG45,IN_Zugliste!$A$4:$F$602,7,FALSE),"")</f>
        <v/>
      </c>
      <c r="GH344" t="str">
        <f>+IFERROR(VLOOKUP(GH45,IN_Zugliste!$A$4:$F$602,7,FALSE),"")</f>
        <v/>
      </c>
      <c r="GI344" t="str">
        <f>+IFERROR(VLOOKUP(GI45,IN_Zugliste!$A$4:$F$602,7,FALSE),"")</f>
        <v/>
      </c>
      <c r="GJ344" t="str">
        <f>+IFERROR(VLOOKUP(GJ45,IN_Zugliste!$A$4:$F$602,7,FALSE),"")</f>
        <v/>
      </c>
      <c r="GK344" t="str">
        <f>+IFERROR(VLOOKUP(GK45,IN_Zugliste!$A$4:$F$602,7,FALSE),"")</f>
        <v/>
      </c>
      <c r="GL344" t="str">
        <f>+IFERROR(VLOOKUP(GL45,IN_Zugliste!$A$4:$F$602,7,FALSE),"")</f>
        <v/>
      </c>
      <c r="GM344" t="str">
        <f>+IFERROR(VLOOKUP(GM45,IN_Zugliste!$A$4:$F$602,7,FALSE),"")</f>
        <v/>
      </c>
      <c r="GN344" t="str">
        <f>+IFERROR(VLOOKUP(GN45,IN_Zugliste!$A$4:$F$602,7,FALSE),"")</f>
        <v/>
      </c>
      <c r="GO344" t="str">
        <f>+IFERROR(VLOOKUP(GO45,IN_Zugliste!$A$4:$F$602,7,FALSE),"")</f>
        <v/>
      </c>
      <c r="GP344" t="str">
        <f>+IFERROR(VLOOKUP(GP45,IN_Zugliste!$A$4:$F$602,7,FALSE),"")</f>
        <v/>
      </c>
      <c r="GQ344" t="str">
        <f>+IFERROR(VLOOKUP(GQ45,IN_Zugliste!$A$4:$F$602,7,FALSE),"")</f>
        <v/>
      </c>
      <c r="GR344" t="str">
        <f>+IFERROR(VLOOKUP(GR45,IN_Zugliste!$A$4:$F$602,7,FALSE),"")</f>
        <v/>
      </c>
      <c r="GS344" t="str">
        <f>+IFERROR(VLOOKUP(GS45,IN_Zugliste!$A$4:$F$602,7,FALSE),"")</f>
        <v/>
      </c>
      <c r="GT344" t="str">
        <f>+IFERROR(VLOOKUP(GT45,IN_Zugliste!$A$4:$F$602,7,FALSE),"")</f>
        <v/>
      </c>
      <c r="GU344" t="str">
        <f>+IFERROR(VLOOKUP(GU45,IN_Zugliste!$A$4:$F$602,7,FALSE),"")</f>
        <v/>
      </c>
      <c r="GV344" t="str">
        <f>+IFERROR(VLOOKUP(GV45,IN_Zugliste!$A$4:$F$602,7,FALSE),"")</f>
        <v/>
      </c>
      <c r="GW344" t="str">
        <f>+IFERROR(VLOOKUP(GW45,IN_Zugliste!$A$4:$F$602,7,FALSE),"")</f>
        <v/>
      </c>
      <c r="GX344" t="str">
        <f>+IFERROR(VLOOKUP(GX45,IN_Zugliste!$A$4:$F$602,7,FALSE),"")</f>
        <v/>
      </c>
      <c r="GY344" t="str">
        <f>+IFERROR(VLOOKUP(GY45,IN_Zugliste!$A$4:$F$602,7,FALSE),"")</f>
        <v/>
      </c>
      <c r="GZ344" t="str">
        <f>+IFERROR(VLOOKUP(GZ45,IN_Zugliste!$A$4:$F$602,7,FALSE),"")</f>
        <v/>
      </c>
      <c r="HA344" t="str">
        <f>+IFERROR(VLOOKUP(HA45,IN_Zugliste!$A$4:$F$602,7,FALSE),"")</f>
        <v/>
      </c>
      <c r="HB344" t="str">
        <f>+IFERROR(VLOOKUP(HB45,IN_Zugliste!$A$4:$F$602,7,FALSE),"")</f>
        <v/>
      </c>
      <c r="HC344" t="str">
        <f>+IFERROR(VLOOKUP(HC45,IN_Zugliste!$A$4:$F$602,7,FALSE),"")</f>
        <v/>
      </c>
      <c r="HD344" t="str">
        <f>+IFERROR(VLOOKUP(HD45,IN_Zugliste!$A$4:$F$602,7,FALSE),"")</f>
        <v/>
      </c>
      <c r="HE344" t="str">
        <f>+IFERROR(VLOOKUP(HE45,IN_Zugliste!$A$4:$F$602,7,FALSE),"")</f>
        <v/>
      </c>
      <c r="HF344" t="str">
        <f>+IFERROR(VLOOKUP(HF45,IN_Zugliste!$A$4:$F$602,7,FALSE),"")</f>
        <v/>
      </c>
      <c r="HG344" t="str">
        <f>+IFERROR(VLOOKUP(HG45,IN_Zugliste!$A$4:$F$602,7,FALSE),"")</f>
        <v/>
      </c>
      <c r="HH344" t="str">
        <f>+IFERROR(VLOOKUP(HH45,IN_Zugliste!$A$4:$F$602,7,FALSE),"")</f>
        <v/>
      </c>
    </row>
    <row r="345" spans="1:216" x14ac:dyDescent="0.2">
      <c r="A345" t="str">
        <f>+IFERROR(VLOOKUP(A46,IN_Zugliste!$A$4:$F$602,7,FALSE),"")</f>
        <v/>
      </c>
      <c r="B345" t="str">
        <f>+IFERROR(VLOOKUP(B46,IN_Zugliste!$A$4:$F$602,7,FALSE),"")</f>
        <v/>
      </c>
      <c r="C345" t="str">
        <f>+IFERROR(VLOOKUP(C46,IN_Zugliste!$A$4:$F$602,7,FALSE),"")</f>
        <v/>
      </c>
      <c r="D345" t="str">
        <f>+IFERROR(VLOOKUP(D46,IN_Zugliste!$A$4:$F$602,7,FALSE),"")</f>
        <v/>
      </c>
      <c r="E345" t="str">
        <f>+IFERROR(VLOOKUP(E46,IN_Zugliste!$A$4:$F$602,7,FALSE),"")</f>
        <v/>
      </c>
      <c r="F345" t="str">
        <f>+IFERROR(VLOOKUP(F46,IN_Zugliste!$A$4:$F$602,7,FALSE),"")</f>
        <v/>
      </c>
      <c r="G345" t="str">
        <f>+IFERROR(VLOOKUP(G46,IN_Zugliste!$A$4:$F$602,7,FALSE),"")</f>
        <v/>
      </c>
      <c r="H345" t="str">
        <f>+IFERROR(VLOOKUP(H46,IN_Zugliste!$A$4:$F$602,7,FALSE),"")</f>
        <v/>
      </c>
      <c r="I345" t="str">
        <f>+IFERROR(VLOOKUP(I46,IN_Zugliste!$A$4:$F$602,7,FALSE),"")</f>
        <v/>
      </c>
      <c r="J345" t="str">
        <f>+IFERROR(VLOOKUP(J46,IN_Zugliste!$A$4:$F$602,7,FALSE),"")</f>
        <v/>
      </c>
      <c r="K345" t="str">
        <f>+IFERROR(VLOOKUP(K46,IN_Zugliste!$A$4:$F$602,7,FALSE),"")</f>
        <v/>
      </c>
      <c r="L345" t="str">
        <f>+IFERROR(VLOOKUP(L46,IN_Zugliste!$A$4:$F$602,7,FALSE),"")</f>
        <v/>
      </c>
      <c r="M345" t="str">
        <f>+IFERROR(VLOOKUP(M46,IN_Zugliste!$A$4:$F$602,7,FALSE),"")</f>
        <v/>
      </c>
      <c r="N345" t="str">
        <f>+IFERROR(VLOOKUP(N46,IN_Zugliste!$A$4:$F$602,7,FALSE),"")</f>
        <v/>
      </c>
      <c r="O345" t="str">
        <f>+IFERROR(VLOOKUP(O46,IN_Zugliste!$A$4:$F$602,7,FALSE),"")</f>
        <v/>
      </c>
      <c r="P345" t="str">
        <f>+IFERROR(VLOOKUP(P46,IN_Zugliste!$A$4:$F$602,7,FALSE),"")</f>
        <v/>
      </c>
      <c r="Q345" t="str">
        <f>+IFERROR(VLOOKUP(Q46,IN_Zugliste!$A$4:$F$602,7,FALSE),"")</f>
        <v/>
      </c>
      <c r="R345" t="str">
        <f>+IFERROR(VLOOKUP(R46,IN_Zugliste!$A$4:$F$602,7,FALSE),"")</f>
        <v/>
      </c>
      <c r="S345" t="str">
        <f>+IFERROR(VLOOKUP(S46,IN_Zugliste!$A$4:$F$602,7,FALSE),"")</f>
        <v/>
      </c>
      <c r="T345" t="str">
        <f>+IFERROR(VLOOKUP(T46,IN_Zugliste!$A$4:$F$602,7,FALSE),"")</f>
        <v/>
      </c>
      <c r="U345" t="str">
        <f>+IFERROR(VLOOKUP(U46,IN_Zugliste!$A$4:$F$602,7,FALSE),"")</f>
        <v/>
      </c>
      <c r="V345" t="str">
        <f>+IFERROR(VLOOKUP(V46,IN_Zugliste!$A$4:$F$602,7,FALSE),"")</f>
        <v/>
      </c>
      <c r="W345" t="str">
        <f>+IFERROR(VLOOKUP(W46,IN_Zugliste!$A$4:$F$602,7,FALSE),"")</f>
        <v/>
      </c>
      <c r="X345" t="str">
        <f>+IFERROR(VLOOKUP(X46,IN_Zugliste!$A$4:$F$602,7,FALSE),"")</f>
        <v/>
      </c>
      <c r="Y345" t="str">
        <f>+IFERROR(VLOOKUP(Y46,IN_Zugliste!$A$4:$F$602,7,FALSE),"")</f>
        <v/>
      </c>
      <c r="Z345" t="str">
        <f>+IFERROR(VLOOKUP(Z46,IN_Zugliste!$A$4:$F$602,7,FALSE),"")</f>
        <v/>
      </c>
      <c r="AA345" t="str">
        <f>+IFERROR(VLOOKUP(AA46,IN_Zugliste!$A$4:$F$602,7,FALSE),"")</f>
        <v/>
      </c>
      <c r="AB345" t="str">
        <f>+IFERROR(VLOOKUP(AB46,IN_Zugliste!$A$4:$F$602,7,FALSE),"")</f>
        <v/>
      </c>
      <c r="AC345" t="str">
        <f>+IFERROR(VLOOKUP(AC46,IN_Zugliste!$A$4:$F$602,7,FALSE),"")</f>
        <v/>
      </c>
      <c r="AD345" t="str">
        <f>+IFERROR(VLOOKUP(AD46,IN_Zugliste!$A$4:$F$602,7,FALSE),"")</f>
        <v/>
      </c>
      <c r="AE345" t="str">
        <f>+IFERROR(VLOOKUP(AE46,IN_Zugliste!$A$4:$F$602,7,FALSE),"")</f>
        <v/>
      </c>
      <c r="AF345" t="str">
        <f>+IFERROR(VLOOKUP(AF46,IN_Zugliste!$A$4:$F$602,7,FALSE),"")</f>
        <v/>
      </c>
      <c r="AG345" t="str">
        <f>+IFERROR(VLOOKUP(AG46,IN_Zugliste!$A$4:$F$602,7,FALSE),"")</f>
        <v/>
      </c>
      <c r="AH345" t="str">
        <f>+IFERROR(VLOOKUP(AH46,IN_Zugliste!$A$4:$F$602,7,FALSE),"")</f>
        <v/>
      </c>
      <c r="AI345" t="str">
        <f>+IFERROR(VLOOKUP(AI46,IN_Zugliste!$A$4:$F$602,7,FALSE),"")</f>
        <v/>
      </c>
      <c r="AJ345" t="str">
        <f>+IFERROR(VLOOKUP(AJ46,IN_Zugliste!$A$4:$F$602,7,FALSE),"")</f>
        <v/>
      </c>
      <c r="AK345" t="str">
        <f>+IFERROR(VLOOKUP(AK46,IN_Zugliste!$A$4:$F$602,7,FALSE),"")</f>
        <v/>
      </c>
      <c r="AL345" t="str">
        <f>+IFERROR(VLOOKUP(AL46,IN_Zugliste!$A$4:$F$602,7,FALSE),"")</f>
        <v/>
      </c>
      <c r="AM345" t="str">
        <f>+IFERROR(VLOOKUP(AM46,IN_Zugliste!$A$4:$F$602,7,FALSE),"")</f>
        <v/>
      </c>
      <c r="AN345" t="str">
        <f>+IFERROR(VLOOKUP(AN46,IN_Zugliste!$A$4:$F$602,7,FALSE),"")</f>
        <v/>
      </c>
      <c r="AO345" t="str">
        <f>+IFERROR(VLOOKUP(AO46,IN_Zugliste!$A$4:$F$602,7,FALSE),"")</f>
        <v/>
      </c>
      <c r="AP345" t="str">
        <f>+IFERROR(VLOOKUP(AP46,IN_Zugliste!$A$4:$F$602,7,FALSE),"")</f>
        <v/>
      </c>
      <c r="AQ345" t="str">
        <f>+IFERROR(VLOOKUP(AQ46,IN_Zugliste!$A$4:$F$602,7,FALSE),"")</f>
        <v/>
      </c>
      <c r="AR345" t="str">
        <f>+IFERROR(VLOOKUP(AR46,IN_Zugliste!$A$4:$F$602,7,FALSE),"")</f>
        <v/>
      </c>
      <c r="AS345" t="str">
        <f>+IFERROR(VLOOKUP(AS46,IN_Zugliste!$A$4:$F$602,7,FALSE),"")</f>
        <v/>
      </c>
      <c r="AT345" t="str">
        <f>+IFERROR(VLOOKUP(AT46,IN_Zugliste!$A$4:$F$602,7,FALSE),"")</f>
        <v/>
      </c>
      <c r="AU345" t="str">
        <f>+IFERROR(VLOOKUP(AU46,IN_Zugliste!$A$4:$F$602,7,FALSE),"")</f>
        <v/>
      </c>
      <c r="AV345" t="str">
        <f>+IFERROR(VLOOKUP(AV46,IN_Zugliste!$A$4:$F$602,7,FALSE),"")</f>
        <v/>
      </c>
      <c r="AW345" t="str">
        <f>+IFERROR(VLOOKUP(AW46,IN_Zugliste!$A$4:$F$602,7,FALSE),"")</f>
        <v/>
      </c>
      <c r="AX345" t="str">
        <f>+IFERROR(VLOOKUP(AX46,IN_Zugliste!$A$4:$F$602,7,FALSE),"")</f>
        <v/>
      </c>
      <c r="AY345" t="str">
        <f>+IFERROR(VLOOKUP(AY46,IN_Zugliste!$A$4:$F$602,7,FALSE),"")</f>
        <v/>
      </c>
      <c r="AZ345" t="str">
        <f>+IFERROR(VLOOKUP(AZ46,IN_Zugliste!$A$4:$F$602,7,FALSE),"")</f>
        <v/>
      </c>
      <c r="BA345" t="str">
        <f>+IFERROR(VLOOKUP(BA46,IN_Zugliste!$A$4:$F$602,7,FALSE),"")</f>
        <v/>
      </c>
      <c r="BB345" t="str">
        <f>+IFERROR(VLOOKUP(BB46,IN_Zugliste!$A$4:$F$602,7,FALSE),"")</f>
        <v/>
      </c>
      <c r="BC345" t="str">
        <f>+IFERROR(VLOOKUP(BC46,IN_Zugliste!$A$4:$F$602,7,FALSE),"")</f>
        <v/>
      </c>
      <c r="BD345" t="str">
        <f>+IFERROR(VLOOKUP(BD46,IN_Zugliste!$A$4:$F$602,7,FALSE),"")</f>
        <v/>
      </c>
      <c r="BE345" t="str">
        <f>+IFERROR(VLOOKUP(BE46,IN_Zugliste!$A$4:$F$602,7,FALSE),"")</f>
        <v/>
      </c>
      <c r="BF345" t="str">
        <f>+IFERROR(VLOOKUP(BF46,IN_Zugliste!$A$4:$F$602,7,FALSE),"")</f>
        <v/>
      </c>
      <c r="BG345" t="str">
        <f>+IFERROR(VLOOKUP(BG46,IN_Zugliste!$A$4:$F$602,7,FALSE),"")</f>
        <v/>
      </c>
      <c r="BH345" t="str">
        <f>+IFERROR(VLOOKUP(BH46,IN_Zugliste!$A$4:$F$602,7,FALSE),"")</f>
        <v/>
      </c>
      <c r="BI345" t="str">
        <f>+IFERROR(VLOOKUP(BI46,IN_Zugliste!$A$4:$F$602,7,FALSE),"")</f>
        <v/>
      </c>
      <c r="BJ345" t="str">
        <f>+IFERROR(VLOOKUP(BJ46,IN_Zugliste!$A$4:$F$602,7,FALSE),"")</f>
        <v/>
      </c>
      <c r="BK345" t="str">
        <f>+IFERROR(VLOOKUP(BK46,IN_Zugliste!$A$4:$F$602,7,FALSE),"")</f>
        <v/>
      </c>
      <c r="BL345" t="str">
        <f>+IFERROR(VLOOKUP(BL46,IN_Zugliste!$A$4:$F$602,7,FALSE),"")</f>
        <v/>
      </c>
      <c r="BM345" t="str">
        <f>+IFERROR(VLOOKUP(BM46,IN_Zugliste!$A$4:$F$602,7,FALSE),"")</f>
        <v/>
      </c>
      <c r="BN345" t="str">
        <f>+IFERROR(VLOOKUP(BN46,IN_Zugliste!$A$4:$F$602,7,FALSE),"")</f>
        <v/>
      </c>
      <c r="BO345" t="str">
        <f>+IFERROR(VLOOKUP(BO46,IN_Zugliste!$A$4:$F$602,7,FALSE),"")</f>
        <v/>
      </c>
      <c r="BP345" t="str">
        <f>+IFERROR(VLOOKUP(BP46,IN_Zugliste!$A$4:$F$602,7,FALSE),"")</f>
        <v/>
      </c>
      <c r="BQ345" t="str">
        <f>+IFERROR(VLOOKUP(BQ46,IN_Zugliste!$A$4:$F$602,7,FALSE),"")</f>
        <v/>
      </c>
      <c r="BR345" t="str">
        <f>+IFERROR(VLOOKUP(BR46,IN_Zugliste!$A$4:$F$602,7,FALSE),"")</f>
        <v/>
      </c>
      <c r="BS345" t="str">
        <f>+IFERROR(VLOOKUP(BS46,IN_Zugliste!$A$4:$F$602,7,FALSE),"")</f>
        <v/>
      </c>
      <c r="BT345" t="str">
        <f>+IFERROR(VLOOKUP(BT46,IN_Zugliste!$A$4:$F$602,7,FALSE),"")</f>
        <v/>
      </c>
      <c r="BU345" t="str">
        <f>+IFERROR(VLOOKUP(BU46,IN_Zugliste!$A$4:$F$602,7,FALSE),"")</f>
        <v/>
      </c>
      <c r="BV345" t="str">
        <f>+IFERROR(VLOOKUP(BV46,IN_Zugliste!$A$4:$F$602,7,FALSE),"")</f>
        <v/>
      </c>
      <c r="BW345" t="str">
        <f>+IFERROR(VLOOKUP(BW46,IN_Zugliste!$A$4:$F$602,7,FALSE),"")</f>
        <v/>
      </c>
      <c r="BX345" t="str">
        <f>+IFERROR(VLOOKUP(BX46,IN_Zugliste!$A$4:$F$602,7,FALSE),"")</f>
        <v/>
      </c>
      <c r="BY345" t="str">
        <f>+IFERROR(VLOOKUP(BY46,IN_Zugliste!$A$4:$F$602,7,FALSE),"")</f>
        <v/>
      </c>
      <c r="BZ345" t="str">
        <f>+IFERROR(VLOOKUP(BZ46,IN_Zugliste!$A$4:$F$602,7,FALSE),"")</f>
        <v/>
      </c>
      <c r="CA345" t="str">
        <f>+IFERROR(VLOOKUP(CA46,IN_Zugliste!$A$4:$F$602,7,FALSE),"")</f>
        <v/>
      </c>
      <c r="CB345" t="str">
        <f>+IFERROR(VLOOKUP(CB46,IN_Zugliste!$A$4:$F$602,7,FALSE),"")</f>
        <v/>
      </c>
      <c r="CC345" t="str">
        <f>+IFERROR(VLOOKUP(CC46,IN_Zugliste!$A$4:$F$602,7,FALSE),"")</f>
        <v/>
      </c>
      <c r="CD345" t="str">
        <f>+IFERROR(VLOOKUP(CD46,IN_Zugliste!$A$4:$F$602,7,FALSE),"")</f>
        <v/>
      </c>
      <c r="CE345" t="str">
        <f>+IFERROR(VLOOKUP(CE46,IN_Zugliste!$A$4:$F$602,7,FALSE),"")</f>
        <v/>
      </c>
      <c r="CF345" t="str">
        <f>+IFERROR(VLOOKUP(CF46,IN_Zugliste!$A$4:$F$602,7,FALSE),"")</f>
        <v/>
      </c>
      <c r="CG345" t="str">
        <f>+IFERROR(VLOOKUP(CG46,IN_Zugliste!$A$4:$F$602,7,FALSE),"")</f>
        <v/>
      </c>
      <c r="CH345" t="str">
        <f>+IFERROR(VLOOKUP(CH46,IN_Zugliste!$A$4:$F$602,7,FALSE),"")</f>
        <v/>
      </c>
      <c r="CI345" t="str">
        <f>+IFERROR(VLOOKUP(CI46,IN_Zugliste!$A$4:$F$602,7,FALSE),"")</f>
        <v/>
      </c>
      <c r="CJ345" t="str">
        <f>+IFERROR(VLOOKUP(CJ46,IN_Zugliste!$A$4:$F$602,7,FALSE),"")</f>
        <v/>
      </c>
      <c r="CK345" t="str">
        <f>+IFERROR(VLOOKUP(CK46,IN_Zugliste!$A$4:$F$602,7,FALSE),"")</f>
        <v/>
      </c>
      <c r="CL345" t="str">
        <f>+IFERROR(VLOOKUP(CL46,IN_Zugliste!$A$4:$F$602,7,FALSE),"")</f>
        <v/>
      </c>
      <c r="CM345" t="str">
        <f>+IFERROR(VLOOKUP(CM46,IN_Zugliste!$A$4:$F$602,7,FALSE),"")</f>
        <v/>
      </c>
      <c r="CN345" t="str">
        <f>+IFERROR(VLOOKUP(CN46,IN_Zugliste!$A$4:$F$602,7,FALSE),"")</f>
        <v/>
      </c>
      <c r="CO345" t="str">
        <f>+IFERROR(VLOOKUP(CO46,IN_Zugliste!$A$4:$F$602,7,FALSE),"")</f>
        <v/>
      </c>
      <c r="CP345" t="str">
        <f>+IFERROR(VLOOKUP(CP46,IN_Zugliste!$A$4:$F$602,7,FALSE),"")</f>
        <v/>
      </c>
      <c r="CQ345" t="str">
        <f>+IFERROR(VLOOKUP(CQ46,IN_Zugliste!$A$4:$F$602,7,FALSE),"")</f>
        <v/>
      </c>
      <c r="CR345" t="str">
        <f>+IFERROR(VLOOKUP(CR46,IN_Zugliste!$A$4:$F$602,7,FALSE),"")</f>
        <v/>
      </c>
      <c r="CS345" t="str">
        <f>+IFERROR(VLOOKUP(CS46,IN_Zugliste!$A$4:$F$602,7,FALSE),"")</f>
        <v/>
      </c>
      <c r="CT345" t="str">
        <f>+IFERROR(VLOOKUP(CT46,IN_Zugliste!$A$4:$F$602,7,FALSE),"")</f>
        <v/>
      </c>
      <c r="CU345" t="str">
        <f>+IFERROR(VLOOKUP(CU46,IN_Zugliste!$A$4:$F$602,7,FALSE),"")</f>
        <v/>
      </c>
      <c r="CV345" t="str">
        <f>+IFERROR(VLOOKUP(CV46,IN_Zugliste!$A$4:$F$602,7,FALSE),"")</f>
        <v/>
      </c>
      <c r="CW345" t="str">
        <f>+IFERROR(VLOOKUP(CW46,IN_Zugliste!$A$4:$F$602,7,FALSE),"")</f>
        <v/>
      </c>
      <c r="CX345" t="str">
        <f>+IFERROR(VLOOKUP(CX46,IN_Zugliste!$A$4:$F$602,7,FALSE),"")</f>
        <v/>
      </c>
      <c r="CY345" t="str">
        <f>+IFERROR(VLOOKUP(CY46,IN_Zugliste!$A$4:$F$602,7,FALSE),"")</f>
        <v/>
      </c>
      <c r="CZ345" t="str">
        <f>+IFERROR(VLOOKUP(CZ46,IN_Zugliste!$A$4:$F$602,7,FALSE),"")</f>
        <v/>
      </c>
      <c r="DA345" t="str">
        <f>+IFERROR(VLOOKUP(DA46,IN_Zugliste!$A$4:$F$602,7,FALSE),"")</f>
        <v/>
      </c>
      <c r="DB345" t="str">
        <f>+IFERROR(VLOOKUP(DB46,IN_Zugliste!$A$4:$F$602,7,FALSE),"")</f>
        <v/>
      </c>
      <c r="DC345" t="str">
        <f>+IFERROR(VLOOKUP(DC46,IN_Zugliste!$A$4:$F$602,7,FALSE),"")</f>
        <v/>
      </c>
      <c r="DD345" t="str">
        <f>+IFERROR(VLOOKUP(DD46,IN_Zugliste!$A$4:$F$602,7,FALSE),"")</f>
        <v/>
      </c>
      <c r="DE345" t="str">
        <f>+IFERROR(VLOOKUP(DE46,IN_Zugliste!$A$4:$F$602,7,FALSE),"")</f>
        <v/>
      </c>
      <c r="DF345" t="str">
        <f>+IFERROR(VLOOKUP(DF46,IN_Zugliste!$A$4:$F$602,7,FALSE),"")</f>
        <v/>
      </c>
      <c r="DG345" t="str">
        <f>+IFERROR(VLOOKUP(DG46,IN_Zugliste!$A$4:$F$602,7,FALSE),"")</f>
        <v/>
      </c>
      <c r="DH345" t="str">
        <f>+IFERROR(VLOOKUP(DH46,IN_Zugliste!$A$4:$F$602,7,FALSE),"")</f>
        <v/>
      </c>
      <c r="DI345" t="str">
        <f>+IFERROR(VLOOKUP(DI46,IN_Zugliste!$A$4:$F$602,7,FALSE),"")</f>
        <v/>
      </c>
      <c r="DJ345" t="str">
        <f>+IFERROR(VLOOKUP(DJ46,IN_Zugliste!$A$4:$F$602,7,FALSE),"")</f>
        <v/>
      </c>
      <c r="DK345" t="str">
        <f>+IFERROR(VLOOKUP(DK46,IN_Zugliste!$A$4:$F$602,7,FALSE),"")</f>
        <v/>
      </c>
      <c r="DL345" t="str">
        <f>+IFERROR(VLOOKUP(DL46,IN_Zugliste!$A$4:$F$602,7,FALSE),"")</f>
        <v/>
      </c>
      <c r="DM345" t="str">
        <f>+IFERROR(VLOOKUP(DM46,IN_Zugliste!$A$4:$F$602,7,FALSE),"")</f>
        <v/>
      </c>
      <c r="DN345" t="str">
        <f>+IFERROR(VLOOKUP(DN46,IN_Zugliste!$A$4:$F$602,7,FALSE),"")</f>
        <v/>
      </c>
      <c r="DO345" t="str">
        <f>+IFERROR(VLOOKUP(DO46,IN_Zugliste!$A$4:$F$602,7,FALSE),"")</f>
        <v/>
      </c>
      <c r="DP345" t="str">
        <f>+IFERROR(VLOOKUP(DP46,IN_Zugliste!$A$4:$F$602,7,FALSE),"")</f>
        <v/>
      </c>
      <c r="DQ345" t="str">
        <f>+IFERROR(VLOOKUP(DQ46,IN_Zugliste!$A$4:$F$602,7,FALSE),"")</f>
        <v/>
      </c>
      <c r="DR345" t="str">
        <f>+IFERROR(VLOOKUP(DR46,IN_Zugliste!$A$4:$F$602,7,FALSE),"")</f>
        <v/>
      </c>
      <c r="DS345" t="str">
        <f>+IFERROR(VLOOKUP(DS46,IN_Zugliste!$A$4:$F$602,7,FALSE),"")</f>
        <v/>
      </c>
      <c r="DT345" t="str">
        <f>+IFERROR(VLOOKUP(DT46,IN_Zugliste!$A$4:$F$602,7,FALSE),"")</f>
        <v/>
      </c>
      <c r="DU345" t="str">
        <f>+IFERROR(VLOOKUP(DU46,IN_Zugliste!$A$4:$F$602,7,FALSE),"")</f>
        <v/>
      </c>
      <c r="DV345" t="str">
        <f>+IFERROR(VLOOKUP(DV46,IN_Zugliste!$A$4:$F$602,7,FALSE),"")</f>
        <v/>
      </c>
      <c r="DW345" t="str">
        <f>+IFERROR(VLOOKUP(DW46,IN_Zugliste!$A$4:$F$602,7,FALSE),"")</f>
        <v/>
      </c>
      <c r="DX345" t="str">
        <f>+IFERROR(VLOOKUP(DX46,IN_Zugliste!$A$4:$F$602,7,FALSE),"")</f>
        <v/>
      </c>
      <c r="DY345" t="str">
        <f>+IFERROR(VLOOKUP(DY46,IN_Zugliste!$A$4:$F$602,7,FALSE),"")</f>
        <v/>
      </c>
      <c r="DZ345" t="str">
        <f>+IFERROR(VLOOKUP(DZ46,IN_Zugliste!$A$4:$F$602,7,FALSE),"")</f>
        <v/>
      </c>
      <c r="EA345" t="str">
        <f>+IFERROR(VLOOKUP(EA46,IN_Zugliste!$A$4:$F$602,7,FALSE),"")</f>
        <v/>
      </c>
      <c r="EB345" t="str">
        <f>+IFERROR(VLOOKUP(EB46,IN_Zugliste!$A$4:$F$602,7,FALSE),"")</f>
        <v/>
      </c>
      <c r="EC345" t="str">
        <f>+IFERROR(VLOOKUP(EC46,IN_Zugliste!$A$4:$F$602,7,FALSE),"")</f>
        <v/>
      </c>
      <c r="ED345" t="str">
        <f>+IFERROR(VLOOKUP(ED46,IN_Zugliste!$A$4:$F$602,7,FALSE),"")</f>
        <v/>
      </c>
      <c r="EE345" t="str">
        <f>+IFERROR(VLOOKUP(EE46,IN_Zugliste!$A$4:$F$602,7,FALSE),"")</f>
        <v/>
      </c>
      <c r="EF345" t="str">
        <f>+IFERROR(VLOOKUP(EF46,IN_Zugliste!$A$4:$F$602,7,FALSE),"")</f>
        <v/>
      </c>
      <c r="EG345" t="str">
        <f>+IFERROR(VLOOKUP(EG46,IN_Zugliste!$A$4:$F$602,7,FALSE),"")</f>
        <v/>
      </c>
      <c r="EH345" t="str">
        <f>+IFERROR(VLOOKUP(EH46,IN_Zugliste!$A$4:$F$602,7,FALSE),"")</f>
        <v/>
      </c>
      <c r="EI345" t="str">
        <f>+IFERROR(VLOOKUP(EI46,IN_Zugliste!$A$4:$F$602,7,FALSE),"")</f>
        <v/>
      </c>
      <c r="EJ345" t="str">
        <f>+IFERROR(VLOOKUP(EJ46,IN_Zugliste!$A$4:$F$602,7,FALSE),"")</f>
        <v/>
      </c>
      <c r="EK345" t="str">
        <f>+IFERROR(VLOOKUP(EK46,IN_Zugliste!$A$4:$F$602,7,FALSE),"")</f>
        <v/>
      </c>
      <c r="EL345" t="str">
        <f>+IFERROR(VLOOKUP(EL46,IN_Zugliste!$A$4:$F$602,7,FALSE),"")</f>
        <v/>
      </c>
      <c r="EM345" t="str">
        <f>+IFERROR(VLOOKUP(EM46,IN_Zugliste!$A$4:$F$602,7,FALSE),"")</f>
        <v/>
      </c>
      <c r="EN345" t="str">
        <f>+IFERROR(VLOOKUP(EN46,IN_Zugliste!$A$4:$F$602,7,FALSE),"")</f>
        <v/>
      </c>
      <c r="EO345" t="str">
        <f>+IFERROR(VLOOKUP(EO46,IN_Zugliste!$A$4:$F$602,7,FALSE),"")</f>
        <v/>
      </c>
      <c r="EP345" t="str">
        <f>+IFERROR(VLOOKUP(EP46,IN_Zugliste!$A$4:$F$602,7,FALSE),"")</f>
        <v/>
      </c>
      <c r="EQ345" t="str">
        <f>+IFERROR(VLOOKUP(EQ46,IN_Zugliste!$A$4:$F$602,7,FALSE),"")</f>
        <v/>
      </c>
      <c r="ER345" t="str">
        <f>+IFERROR(VLOOKUP(ER46,IN_Zugliste!$A$4:$F$602,7,FALSE),"")</f>
        <v/>
      </c>
      <c r="ES345" t="str">
        <f>+IFERROR(VLOOKUP(ES46,IN_Zugliste!$A$4:$F$602,7,FALSE),"")</f>
        <v/>
      </c>
      <c r="ET345" t="str">
        <f>+IFERROR(VLOOKUP(ET46,IN_Zugliste!$A$4:$F$602,7,FALSE),"")</f>
        <v/>
      </c>
      <c r="EU345" t="str">
        <f>+IFERROR(VLOOKUP(EU46,IN_Zugliste!$A$4:$F$602,7,FALSE),"")</f>
        <v/>
      </c>
      <c r="EV345" t="str">
        <f>+IFERROR(VLOOKUP(EV46,IN_Zugliste!$A$4:$F$602,7,FALSE),"")</f>
        <v/>
      </c>
      <c r="EW345" t="str">
        <f>+IFERROR(VLOOKUP(EW46,IN_Zugliste!$A$4:$F$602,7,FALSE),"")</f>
        <v/>
      </c>
      <c r="EX345" t="str">
        <f>+IFERROR(VLOOKUP(EX46,IN_Zugliste!$A$4:$F$602,7,FALSE),"")</f>
        <v/>
      </c>
      <c r="EY345" t="str">
        <f>+IFERROR(VLOOKUP(EY46,IN_Zugliste!$A$4:$F$602,7,FALSE),"")</f>
        <v/>
      </c>
      <c r="EZ345" t="str">
        <f>+IFERROR(VLOOKUP(EZ46,IN_Zugliste!$A$4:$F$602,7,FALSE),"")</f>
        <v/>
      </c>
      <c r="FA345" t="str">
        <f>+IFERROR(VLOOKUP(FA46,IN_Zugliste!$A$4:$F$602,7,FALSE),"")</f>
        <v/>
      </c>
      <c r="FB345" t="str">
        <f>+IFERROR(VLOOKUP(FB46,IN_Zugliste!$A$4:$F$602,7,FALSE),"")</f>
        <v/>
      </c>
      <c r="FC345" t="str">
        <f>+IFERROR(VLOOKUP(FC46,IN_Zugliste!$A$4:$F$602,7,FALSE),"")</f>
        <v/>
      </c>
      <c r="FD345" t="str">
        <f>+IFERROR(VLOOKUP(FD46,IN_Zugliste!$A$4:$F$602,7,FALSE),"")</f>
        <v/>
      </c>
      <c r="FE345" t="str">
        <f>+IFERROR(VLOOKUP(FE46,IN_Zugliste!$A$4:$F$602,7,FALSE),"")</f>
        <v/>
      </c>
      <c r="FF345" t="str">
        <f>+IFERROR(VLOOKUP(FF46,IN_Zugliste!$A$4:$F$602,7,FALSE),"")</f>
        <v/>
      </c>
      <c r="FG345" t="str">
        <f>+IFERROR(VLOOKUP(FG46,IN_Zugliste!$A$4:$F$602,7,FALSE),"")</f>
        <v/>
      </c>
      <c r="FH345" t="str">
        <f>+IFERROR(VLOOKUP(FH46,IN_Zugliste!$A$4:$F$602,7,FALSE),"")</f>
        <v/>
      </c>
      <c r="FI345" t="str">
        <f>+IFERROR(VLOOKUP(FI46,IN_Zugliste!$A$4:$F$602,7,FALSE),"")</f>
        <v/>
      </c>
      <c r="FJ345" t="str">
        <f>+IFERROR(VLOOKUP(FJ46,IN_Zugliste!$A$4:$F$602,7,FALSE),"")</f>
        <v/>
      </c>
      <c r="FK345" t="str">
        <f>+IFERROR(VLOOKUP(FK46,IN_Zugliste!$A$4:$F$602,7,FALSE),"")</f>
        <v/>
      </c>
      <c r="FL345" t="str">
        <f>+IFERROR(VLOOKUP(FL46,IN_Zugliste!$A$4:$F$602,7,FALSE),"")</f>
        <v/>
      </c>
      <c r="FM345" t="str">
        <f>+IFERROR(VLOOKUP(FM46,IN_Zugliste!$A$4:$F$602,7,FALSE),"")</f>
        <v/>
      </c>
      <c r="FN345" t="str">
        <f>+IFERROR(VLOOKUP(FN46,IN_Zugliste!$A$4:$F$602,7,FALSE),"")</f>
        <v/>
      </c>
      <c r="FO345" t="str">
        <f>+IFERROR(VLOOKUP(FO46,IN_Zugliste!$A$4:$F$602,7,FALSE),"")</f>
        <v/>
      </c>
      <c r="FP345" t="str">
        <f>+IFERROR(VLOOKUP(FP46,IN_Zugliste!$A$4:$F$602,7,FALSE),"")</f>
        <v/>
      </c>
      <c r="FQ345" t="str">
        <f>+IFERROR(VLOOKUP(FQ46,IN_Zugliste!$A$4:$F$602,7,FALSE),"")</f>
        <v/>
      </c>
      <c r="FR345" t="str">
        <f>+IFERROR(VLOOKUP(FR46,IN_Zugliste!$A$4:$F$602,7,FALSE),"")</f>
        <v/>
      </c>
      <c r="FS345" t="str">
        <f>+IFERROR(VLOOKUP(FS46,IN_Zugliste!$A$4:$F$602,7,FALSE),"")</f>
        <v/>
      </c>
      <c r="FT345" t="str">
        <f>+IFERROR(VLOOKUP(FT46,IN_Zugliste!$A$4:$F$602,7,FALSE),"")</f>
        <v/>
      </c>
      <c r="FU345" t="str">
        <f>+IFERROR(VLOOKUP(FU46,IN_Zugliste!$A$4:$F$602,7,FALSE),"")</f>
        <v/>
      </c>
      <c r="FV345" t="str">
        <f>+IFERROR(VLOOKUP(FV46,IN_Zugliste!$A$4:$F$602,7,FALSE),"")</f>
        <v/>
      </c>
      <c r="FW345" t="str">
        <f>+IFERROR(VLOOKUP(FW46,IN_Zugliste!$A$4:$F$602,7,FALSE),"")</f>
        <v/>
      </c>
      <c r="FX345" t="str">
        <f>+IFERROR(VLOOKUP(FX46,IN_Zugliste!$A$4:$F$602,7,FALSE),"")</f>
        <v/>
      </c>
      <c r="FY345" t="str">
        <f>+IFERROR(VLOOKUP(FY46,IN_Zugliste!$A$4:$F$602,7,FALSE),"")</f>
        <v/>
      </c>
      <c r="FZ345" t="str">
        <f>+IFERROR(VLOOKUP(FZ46,IN_Zugliste!$A$4:$F$602,7,FALSE),"")</f>
        <v/>
      </c>
      <c r="GA345" t="str">
        <f>+IFERROR(VLOOKUP(GA46,IN_Zugliste!$A$4:$F$602,7,FALSE),"")</f>
        <v/>
      </c>
      <c r="GB345" t="str">
        <f>+IFERROR(VLOOKUP(GB46,IN_Zugliste!$A$4:$F$602,7,FALSE),"")</f>
        <v/>
      </c>
      <c r="GC345" t="str">
        <f>+IFERROR(VLOOKUP(GC46,IN_Zugliste!$A$4:$F$602,7,FALSE),"")</f>
        <v/>
      </c>
      <c r="GD345" t="str">
        <f>+IFERROR(VLOOKUP(GD46,IN_Zugliste!$A$4:$F$602,7,FALSE),"")</f>
        <v/>
      </c>
      <c r="GE345" t="str">
        <f>+IFERROR(VLOOKUP(GE46,IN_Zugliste!$A$4:$F$602,7,FALSE),"")</f>
        <v/>
      </c>
      <c r="GF345" t="str">
        <f>+IFERROR(VLOOKUP(GF46,IN_Zugliste!$A$4:$F$602,7,FALSE),"")</f>
        <v/>
      </c>
      <c r="GG345" t="str">
        <f>+IFERROR(VLOOKUP(GG46,IN_Zugliste!$A$4:$F$602,7,FALSE),"")</f>
        <v/>
      </c>
      <c r="GH345" t="str">
        <f>+IFERROR(VLOOKUP(GH46,IN_Zugliste!$A$4:$F$602,7,FALSE),"")</f>
        <v/>
      </c>
      <c r="GI345" t="str">
        <f>+IFERROR(VLOOKUP(GI46,IN_Zugliste!$A$4:$F$602,7,FALSE),"")</f>
        <v/>
      </c>
      <c r="GJ345" t="str">
        <f>+IFERROR(VLOOKUP(GJ46,IN_Zugliste!$A$4:$F$602,7,FALSE),"")</f>
        <v/>
      </c>
      <c r="GK345" t="str">
        <f>+IFERROR(VLOOKUP(GK46,IN_Zugliste!$A$4:$F$602,7,FALSE),"")</f>
        <v/>
      </c>
      <c r="GL345" t="str">
        <f>+IFERROR(VLOOKUP(GL46,IN_Zugliste!$A$4:$F$602,7,FALSE),"")</f>
        <v/>
      </c>
      <c r="GM345" t="str">
        <f>+IFERROR(VLOOKUP(GM46,IN_Zugliste!$A$4:$F$602,7,FALSE),"")</f>
        <v/>
      </c>
      <c r="GN345" t="str">
        <f>+IFERROR(VLOOKUP(GN46,IN_Zugliste!$A$4:$F$602,7,FALSE),"")</f>
        <v/>
      </c>
      <c r="GO345" t="str">
        <f>+IFERROR(VLOOKUP(GO46,IN_Zugliste!$A$4:$F$602,7,FALSE),"")</f>
        <v/>
      </c>
      <c r="GP345" t="str">
        <f>+IFERROR(VLOOKUP(GP46,IN_Zugliste!$A$4:$F$602,7,FALSE),"")</f>
        <v/>
      </c>
      <c r="GQ345" t="str">
        <f>+IFERROR(VLOOKUP(GQ46,IN_Zugliste!$A$4:$F$602,7,FALSE),"")</f>
        <v/>
      </c>
      <c r="GR345" t="str">
        <f>+IFERROR(VLOOKUP(GR46,IN_Zugliste!$A$4:$F$602,7,FALSE),"")</f>
        <v/>
      </c>
      <c r="GS345" t="str">
        <f>+IFERROR(VLOOKUP(GS46,IN_Zugliste!$A$4:$F$602,7,FALSE),"")</f>
        <v/>
      </c>
      <c r="GT345" t="str">
        <f>+IFERROR(VLOOKUP(GT46,IN_Zugliste!$A$4:$F$602,7,FALSE),"")</f>
        <v/>
      </c>
      <c r="GU345" t="str">
        <f>+IFERROR(VLOOKUP(GU46,IN_Zugliste!$A$4:$F$602,7,FALSE),"")</f>
        <v/>
      </c>
      <c r="GV345" t="str">
        <f>+IFERROR(VLOOKUP(GV46,IN_Zugliste!$A$4:$F$602,7,FALSE),"")</f>
        <v/>
      </c>
      <c r="GW345" t="str">
        <f>+IFERROR(VLOOKUP(GW46,IN_Zugliste!$A$4:$F$602,7,FALSE),"")</f>
        <v/>
      </c>
      <c r="GX345" t="str">
        <f>+IFERROR(VLOOKUP(GX46,IN_Zugliste!$A$4:$F$602,7,FALSE),"")</f>
        <v/>
      </c>
      <c r="GY345" t="str">
        <f>+IFERROR(VLOOKUP(GY46,IN_Zugliste!$A$4:$F$602,7,FALSE),"")</f>
        <v/>
      </c>
      <c r="GZ345" t="str">
        <f>+IFERROR(VLOOKUP(GZ46,IN_Zugliste!$A$4:$F$602,7,FALSE),"")</f>
        <v/>
      </c>
      <c r="HA345" t="str">
        <f>+IFERROR(VLOOKUP(HA46,IN_Zugliste!$A$4:$F$602,7,FALSE),"")</f>
        <v/>
      </c>
      <c r="HB345" t="str">
        <f>+IFERROR(VLOOKUP(HB46,IN_Zugliste!$A$4:$F$602,7,FALSE),"")</f>
        <v/>
      </c>
      <c r="HC345" t="str">
        <f>+IFERROR(VLOOKUP(HC46,IN_Zugliste!$A$4:$F$602,7,FALSE),"")</f>
        <v/>
      </c>
      <c r="HD345" t="str">
        <f>+IFERROR(VLOOKUP(HD46,IN_Zugliste!$A$4:$F$602,7,FALSE),"")</f>
        <v/>
      </c>
      <c r="HE345" t="str">
        <f>+IFERROR(VLOOKUP(HE46,IN_Zugliste!$A$4:$F$602,7,FALSE),"")</f>
        <v/>
      </c>
      <c r="HF345" t="str">
        <f>+IFERROR(VLOOKUP(HF46,IN_Zugliste!$A$4:$F$602,7,FALSE),"")</f>
        <v/>
      </c>
      <c r="HG345" t="str">
        <f>+IFERROR(VLOOKUP(HG46,IN_Zugliste!$A$4:$F$602,7,FALSE),"")</f>
        <v/>
      </c>
      <c r="HH345" t="str">
        <f>+IFERROR(VLOOKUP(HH46,IN_Zugliste!$A$4:$F$602,7,FALSE),"")</f>
        <v/>
      </c>
    </row>
    <row r="346" spans="1:216" x14ac:dyDescent="0.2">
      <c r="A346" t="str">
        <f>+IFERROR(VLOOKUP(A47,IN_Zugliste!$A$4:$F$602,7,FALSE),"")</f>
        <v/>
      </c>
      <c r="B346" t="str">
        <f>+IFERROR(VLOOKUP(B47,IN_Zugliste!$A$4:$F$602,7,FALSE),"")</f>
        <v/>
      </c>
      <c r="C346" t="str">
        <f>+IFERROR(VLOOKUP(C47,IN_Zugliste!$A$4:$F$602,7,FALSE),"")</f>
        <v/>
      </c>
      <c r="D346" t="str">
        <f>+IFERROR(VLOOKUP(D47,IN_Zugliste!$A$4:$F$602,7,FALSE),"")</f>
        <v/>
      </c>
      <c r="E346" t="str">
        <f>+IFERROR(VLOOKUP(E47,IN_Zugliste!$A$4:$F$602,7,FALSE),"")</f>
        <v/>
      </c>
      <c r="F346" t="str">
        <f>+IFERROR(VLOOKUP(F47,IN_Zugliste!$A$4:$F$602,7,FALSE),"")</f>
        <v/>
      </c>
      <c r="G346" t="str">
        <f>+IFERROR(VLOOKUP(G47,IN_Zugliste!$A$4:$F$602,7,FALSE),"")</f>
        <v/>
      </c>
      <c r="H346" t="str">
        <f>+IFERROR(VLOOKUP(H47,IN_Zugliste!$A$4:$F$602,7,FALSE),"")</f>
        <v/>
      </c>
      <c r="I346" t="str">
        <f>+IFERROR(VLOOKUP(I47,IN_Zugliste!$A$4:$F$602,7,FALSE),"")</f>
        <v/>
      </c>
      <c r="J346" t="str">
        <f>+IFERROR(VLOOKUP(J47,IN_Zugliste!$A$4:$F$602,7,FALSE),"")</f>
        <v/>
      </c>
      <c r="K346" t="str">
        <f>+IFERROR(VLOOKUP(K47,IN_Zugliste!$A$4:$F$602,7,FALSE),"")</f>
        <v/>
      </c>
      <c r="L346" t="str">
        <f>+IFERROR(VLOOKUP(L47,IN_Zugliste!$A$4:$F$602,7,FALSE),"")</f>
        <v/>
      </c>
      <c r="M346" t="str">
        <f>+IFERROR(VLOOKUP(M47,IN_Zugliste!$A$4:$F$602,7,FALSE),"")</f>
        <v/>
      </c>
      <c r="N346" t="str">
        <f>+IFERROR(VLOOKUP(N47,IN_Zugliste!$A$4:$F$602,7,FALSE),"")</f>
        <v/>
      </c>
      <c r="O346" t="str">
        <f>+IFERROR(VLOOKUP(O47,IN_Zugliste!$A$4:$F$602,7,FALSE),"")</f>
        <v/>
      </c>
      <c r="P346" t="str">
        <f>+IFERROR(VLOOKUP(P47,IN_Zugliste!$A$4:$F$602,7,FALSE),"")</f>
        <v/>
      </c>
      <c r="Q346" t="str">
        <f>+IFERROR(VLOOKUP(Q47,IN_Zugliste!$A$4:$F$602,7,FALSE),"")</f>
        <v/>
      </c>
      <c r="R346" t="str">
        <f>+IFERROR(VLOOKUP(R47,IN_Zugliste!$A$4:$F$602,7,FALSE),"")</f>
        <v/>
      </c>
      <c r="S346" t="str">
        <f>+IFERROR(VLOOKUP(S47,IN_Zugliste!$A$4:$F$602,7,FALSE),"")</f>
        <v/>
      </c>
      <c r="T346" t="str">
        <f>+IFERROR(VLOOKUP(T47,IN_Zugliste!$A$4:$F$602,7,FALSE),"")</f>
        <v/>
      </c>
      <c r="U346" t="str">
        <f>+IFERROR(VLOOKUP(U47,IN_Zugliste!$A$4:$F$602,7,FALSE),"")</f>
        <v/>
      </c>
      <c r="V346" t="str">
        <f>+IFERROR(VLOOKUP(V47,IN_Zugliste!$A$4:$F$602,7,FALSE),"")</f>
        <v/>
      </c>
      <c r="W346" t="str">
        <f>+IFERROR(VLOOKUP(W47,IN_Zugliste!$A$4:$F$602,7,FALSE),"")</f>
        <v/>
      </c>
      <c r="X346" t="str">
        <f>+IFERROR(VLOOKUP(X47,IN_Zugliste!$A$4:$F$602,7,FALSE),"")</f>
        <v/>
      </c>
      <c r="Y346" t="str">
        <f>+IFERROR(VLOOKUP(Y47,IN_Zugliste!$A$4:$F$602,7,FALSE),"")</f>
        <v/>
      </c>
      <c r="Z346" t="str">
        <f>+IFERROR(VLOOKUP(Z47,IN_Zugliste!$A$4:$F$602,7,FALSE),"")</f>
        <v/>
      </c>
      <c r="AA346" t="str">
        <f>+IFERROR(VLOOKUP(AA47,IN_Zugliste!$A$4:$F$602,7,FALSE),"")</f>
        <v/>
      </c>
      <c r="AB346" t="str">
        <f>+IFERROR(VLOOKUP(AB47,IN_Zugliste!$A$4:$F$602,7,FALSE),"")</f>
        <v/>
      </c>
      <c r="AC346" t="str">
        <f>+IFERROR(VLOOKUP(AC47,IN_Zugliste!$A$4:$F$602,7,FALSE),"")</f>
        <v/>
      </c>
      <c r="AD346" t="str">
        <f>+IFERROR(VLOOKUP(AD47,IN_Zugliste!$A$4:$F$602,7,FALSE),"")</f>
        <v/>
      </c>
      <c r="AE346" t="str">
        <f>+IFERROR(VLOOKUP(AE47,IN_Zugliste!$A$4:$F$602,7,FALSE),"")</f>
        <v/>
      </c>
      <c r="AF346" t="str">
        <f>+IFERROR(VLOOKUP(AF47,IN_Zugliste!$A$4:$F$602,7,FALSE),"")</f>
        <v/>
      </c>
      <c r="AG346" t="str">
        <f>+IFERROR(VLOOKUP(AG47,IN_Zugliste!$A$4:$F$602,7,FALSE),"")</f>
        <v/>
      </c>
      <c r="AH346" t="str">
        <f>+IFERROR(VLOOKUP(AH47,IN_Zugliste!$A$4:$F$602,7,FALSE),"")</f>
        <v/>
      </c>
      <c r="AI346" t="str">
        <f>+IFERROR(VLOOKUP(AI47,IN_Zugliste!$A$4:$F$602,7,FALSE),"")</f>
        <v/>
      </c>
      <c r="AJ346" t="str">
        <f>+IFERROR(VLOOKUP(AJ47,IN_Zugliste!$A$4:$F$602,7,FALSE),"")</f>
        <v/>
      </c>
      <c r="AK346" t="str">
        <f>+IFERROR(VLOOKUP(AK47,IN_Zugliste!$A$4:$F$602,7,FALSE),"")</f>
        <v/>
      </c>
      <c r="AL346" t="str">
        <f>+IFERROR(VLOOKUP(AL47,IN_Zugliste!$A$4:$F$602,7,FALSE),"")</f>
        <v/>
      </c>
      <c r="AM346" t="str">
        <f>+IFERROR(VLOOKUP(AM47,IN_Zugliste!$A$4:$F$602,7,FALSE),"")</f>
        <v/>
      </c>
      <c r="AN346" t="str">
        <f>+IFERROR(VLOOKUP(AN47,IN_Zugliste!$A$4:$F$602,7,FALSE),"")</f>
        <v/>
      </c>
      <c r="AO346" t="str">
        <f>+IFERROR(VLOOKUP(AO47,IN_Zugliste!$A$4:$F$602,7,FALSE),"")</f>
        <v/>
      </c>
      <c r="AP346" t="str">
        <f>+IFERROR(VLOOKUP(AP47,IN_Zugliste!$A$4:$F$602,7,FALSE),"")</f>
        <v/>
      </c>
      <c r="AQ346" t="str">
        <f>+IFERROR(VLOOKUP(AQ47,IN_Zugliste!$A$4:$F$602,7,FALSE),"")</f>
        <v/>
      </c>
      <c r="AR346" t="str">
        <f>+IFERROR(VLOOKUP(AR47,IN_Zugliste!$A$4:$F$602,7,FALSE),"")</f>
        <v/>
      </c>
      <c r="AS346" t="str">
        <f>+IFERROR(VLOOKUP(AS47,IN_Zugliste!$A$4:$F$602,7,FALSE),"")</f>
        <v/>
      </c>
      <c r="AT346" t="str">
        <f>+IFERROR(VLOOKUP(AT47,IN_Zugliste!$A$4:$F$602,7,FALSE),"")</f>
        <v/>
      </c>
      <c r="AU346" t="str">
        <f>+IFERROR(VLOOKUP(AU47,IN_Zugliste!$A$4:$F$602,7,FALSE),"")</f>
        <v/>
      </c>
      <c r="AV346" t="str">
        <f>+IFERROR(VLOOKUP(AV47,IN_Zugliste!$A$4:$F$602,7,FALSE),"")</f>
        <v/>
      </c>
      <c r="AW346" t="str">
        <f>+IFERROR(VLOOKUP(AW47,IN_Zugliste!$A$4:$F$602,7,FALSE),"")</f>
        <v/>
      </c>
      <c r="AX346" t="str">
        <f>+IFERROR(VLOOKUP(AX47,IN_Zugliste!$A$4:$F$602,7,FALSE),"")</f>
        <v/>
      </c>
      <c r="AY346" t="str">
        <f>+IFERROR(VLOOKUP(AY47,IN_Zugliste!$A$4:$F$602,7,FALSE),"")</f>
        <v/>
      </c>
      <c r="AZ346" t="str">
        <f>+IFERROR(VLOOKUP(AZ47,IN_Zugliste!$A$4:$F$602,7,FALSE),"")</f>
        <v/>
      </c>
      <c r="BA346" t="str">
        <f>+IFERROR(VLOOKUP(BA47,IN_Zugliste!$A$4:$F$602,7,FALSE),"")</f>
        <v/>
      </c>
      <c r="BB346" t="str">
        <f>+IFERROR(VLOOKUP(BB47,IN_Zugliste!$A$4:$F$602,7,FALSE),"")</f>
        <v/>
      </c>
      <c r="BC346" t="str">
        <f>+IFERROR(VLOOKUP(BC47,IN_Zugliste!$A$4:$F$602,7,FALSE),"")</f>
        <v/>
      </c>
      <c r="BD346" t="str">
        <f>+IFERROR(VLOOKUP(BD47,IN_Zugliste!$A$4:$F$602,7,FALSE),"")</f>
        <v/>
      </c>
      <c r="BE346" t="str">
        <f>+IFERROR(VLOOKUP(BE47,IN_Zugliste!$A$4:$F$602,7,FALSE),"")</f>
        <v/>
      </c>
      <c r="BF346" t="str">
        <f>+IFERROR(VLOOKUP(BF47,IN_Zugliste!$A$4:$F$602,7,FALSE),"")</f>
        <v/>
      </c>
      <c r="BG346" t="str">
        <f>+IFERROR(VLOOKUP(BG47,IN_Zugliste!$A$4:$F$602,7,FALSE),"")</f>
        <v/>
      </c>
      <c r="BH346" t="str">
        <f>+IFERROR(VLOOKUP(BH47,IN_Zugliste!$A$4:$F$602,7,FALSE),"")</f>
        <v/>
      </c>
      <c r="BI346" t="str">
        <f>+IFERROR(VLOOKUP(BI47,IN_Zugliste!$A$4:$F$602,7,FALSE),"")</f>
        <v/>
      </c>
      <c r="BJ346" t="str">
        <f>+IFERROR(VLOOKUP(BJ47,IN_Zugliste!$A$4:$F$602,7,FALSE),"")</f>
        <v/>
      </c>
      <c r="BK346" t="str">
        <f>+IFERROR(VLOOKUP(BK47,IN_Zugliste!$A$4:$F$602,7,FALSE),"")</f>
        <v/>
      </c>
      <c r="BL346" t="str">
        <f>+IFERROR(VLOOKUP(BL47,IN_Zugliste!$A$4:$F$602,7,FALSE),"")</f>
        <v/>
      </c>
      <c r="BM346" t="str">
        <f>+IFERROR(VLOOKUP(BM47,IN_Zugliste!$A$4:$F$602,7,FALSE),"")</f>
        <v/>
      </c>
      <c r="BN346" t="str">
        <f>+IFERROR(VLOOKUP(BN47,IN_Zugliste!$A$4:$F$602,7,FALSE),"")</f>
        <v/>
      </c>
      <c r="BO346" t="str">
        <f>+IFERROR(VLOOKUP(BO47,IN_Zugliste!$A$4:$F$602,7,FALSE),"")</f>
        <v/>
      </c>
      <c r="BP346" t="str">
        <f>+IFERROR(VLOOKUP(BP47,IN_Zugliste!$A$4:$F$602,7,FALSE),"")</f>
        <v/>
      </c>
      <c r="BQ346" t="str">
        <f>+IFERROR(VLOOKUP(BQ47,IN_Zugliste!$A$4:$F$602,7,FALSE),"")</f>
        <v/>
      </c>
      <c r="BR346" t="str">
        <f>+IFERROR(VLOOKUP(BR47,IN_Zugliste!$A$4:$F$602,7,FALSE),"")</f>
        <v/>
      </c>
      <c r="BS346" t="str">
        <f>+IFERROR(VLOOKUP(BS47,IN_Zugliste!$A$4:$F$602,7,FALSE),"")</f>
        <v/>
      </c>
      <c r="BT346" t="str">
        <f>+IFERROR(VLOOKUP(BT47,IN_Zugliste!$A$4:$F$602,7,FALSE),"")</f>
        <v/>
      </c>
      <c r="BU346" t="str">
        <f>+IFERROR(VLOOKUP(BU47,IN_Zugliste!$A$4:$F$602,7,FALSE),"")</f>
        <v/>
      </c>
      <c r="BV346" t="str">
        <f>+IFERROR(VLOOKUP(BV47,IN_Zugliste!$A$4:$F$602,7,FALSE),"")</f>
        <v/>
      </c>
      <c r="BW346" t="str">
        <f>+IFERROR(VLOOKUP(BW47,IN_Zugliste!$A$4:$F$602,7,FALSE),"")</f>
        <v/>
      </c>
      <c r="BX346" t="str">
        <f>+IFERROR(VLOOKUP(BX47,IN_Zugliste!$A$4:$F$602,7,FALSE),"")</f>
        <v/>
      </c>
      <c r="BY346" t="str">
        <f>+IFERROR(VLOOKUP(BY47,IN_Zugliste!$A$4:$F$602,7,FALSE),"")</f>
        <v/>
      </c>
      <c r="BZ346" t="str">
        <f>+IFERROR(VLOOKUP(BZ47,IN_Zugliste!$A$4:$F$602,7,FALSE),"")</f>
        <v/>
      </c>
      <c r="CA346" t="str">
        <f>+IFERROR(VLOOKUP(CA47,IN_Zugliste!$A$4:$F$602,7,FALSE),"")</f>
        <v/>
      </c>
      <c r="CB346" t="str">
        <f>+IFERROR(VLOOKUP(CB47,IN_Zugliste!$A$4:$F$602,7,FALSE),"")</f>
        <v/>
      </c>
      <c r="CC346" t="str">
        <f>+IFERROR(VLOOKUP(CC47,IN_Zugliste!$A$4:$F$602,7,FALSE),"")</f>
        <v/>
      </c>
      <c r="CD346" t="str">
        <f>+IFERROR(VLOOKUP(CD47,IN_Zugliste!$A$4:$F$602,7,FALSE),"")</f>
        <v/>
      </c>
      <c r="CE346" t="str">
        <f>+IFERROR(VLOOKUP(CE47,IN_Zugliste!$A$4:$F$602,7,FALSE),"")</f>
        <v/>
      </c>
      <c r="CF346" t="str">
        <f>+IFERROR(VLOOKUP(CF47,IN_Zugliste!$A$4:$F$602,7,FALSE),"")</f>
        <v/>
      </c>
      <c r="CG346" t="str">
        <f>+IFERROR(VLOOKUP(CG47,IN_Zugliste!$A$4:$F$602,7,FALSE),"")</f>
        <v/>
      </c>
      <c r="CH346" t="str">
        <f>+IFERROR(VLOOKUP(CH47,IN_Zugliste!$A$4:$F$602,7,FALSE),"")</f>
        <v/>
      </c>
      <c r="CI346" t="str">
        <f>+IFERROR(VLOOKUP(CI47,IN_Zugliste!$A$4:$F$602,7,FALSE),"")</f>
        <v/>
      </c>
      <c r="CJ346" t="str">
        <f>+IFERROR(VLOOKUP(CJ47,IN_Zugliste!$A$4:$F$602,7,FALSE),"")</f>
        <v/>
      </c>
      <c r="CK346" t="str">
        <f>+IFERROR(VLOOKUP(CK47,IN_Zugliste!$A$4:$F$602,7,FALSE),"")</f>
        <v/>
      </c>
      <c r="CL346" t="str">
        <f>+IFERROR(VLOOKUP(CL47,IN_Zugliste!$A$4:$F$602,7,FALSE),"")</f>
        <v/>
      </c>
      <c r="CM346" t="str">
        <f>+IFERROR(VLOOKUP(CM47,IN_Zugliste!$A$4:$F$602,7,FALSE),"")</f>
        <v/>
      </c>
      <c r="CN346" t="str">
        <f>+IFERROR(VLOOKUP(CN47,IN_Zugliste!$A$4:$F$602,7,FALSE),"")</f>
        <v/>
      </c>
      <c r="CO346" t="str">
        <f>+IFERROR(VLOOKUP(CO47,IN_Zugliste!$A$4:$F$602,7,FALSE),"")</f>
        <v/>
      </c>
      <c r="CP346" t="str">
        <f>+IFERROR(VLOOKUP(CP47,IN_Zugliste!$A$4:$F$602,7,FALSE),"")</f>
        <v/>
      </c>
      <c r="CQ346" t="str">
        <f>+IFERROR(VLOOKUP(CQ47,IN_Zugliste!$A$4:$F$602,7,FALSE),"")</f>
        <v/>
      </c>
      <c r="CR346" t="str">
        <f>+IFERROR(VLOOKUP(CR47,IN_Zugliste!$A$4:$F$602,7,FALSE),"")</f>
        <v/>
      </c>
      <c r="CS346" t="str">
        <f>+IFERROR(VLOOKUP(CS47,IN_Zugliste!$A$4:$F$602,7,FALSE),"")</f>
        <v/>
      </c>
      <c r="CT346" t="str">
        <f>+IFERROR(VLOOKUP(CT47,IN_Zugliste!$A$4:$F$602,7,FALSE),"")</f>
        <v/>
      </c>
      <c r="CU346" t="str">
        <f>+IFERROR(VLOOKUP(CU47,IN_Zugliste!$A$4:$F$602,7,FALSE),"")</f>
        <v/>
      </c>
      <c r="CV346" t="str">
        <f>+IFERROR(VLOOKUP(CV47,IN_Zugliste!$A$4:$F$602,7,FALSE),"")</f>
        <v/>
      </c>
      <c r="CW346" t="str">
        <f>+IFERROR(VLOOKUP(CW47,IN_Zugliste!$A$4:$F$602,7,FALSE),"")</f>
        <v/>
      </c>
      <c r="CX346" t="str">
        <f>+IFERROR(VLOOKUP(CX47,IN_Zugliste!$A$4:$F$602,7,FALSE),"")</f>
        <v/>
      </c>
      <c r="CY346" t="str">
        <f>+IFERROR(VLOOKUP(CY47,IN_Zugliste!$A$4:$F$602,7,FALSE),"")</f>
        <v/>
      </c>
      <c r="CZ346" t="str">
        <f>+IFERROR(VLOOKUP(CZ47,IN_Zugliste!$A$4:$F$602,7,FALSE),"")</f>
        <v/>
      </c>
      <c r="DA346" t="str">
        <f>+IFERROR(VLOOKUP(DA47,IN_Zugliste!$A$4:$F$602,7,FALSE),"")</f>
        <v/>
      </c>
      <c r="DB346" t="str">
        <f>+IFERROR(VLOOKUP(DB47,IN_Zugliste!$A$4:$F$602,7,FALSE),"")</f>
        <v/>
      </c>
      <c r="DC346" t="str">
        <f>+IFERROR(VLOOKUP(DC47,IN_Zugliste!$A$4:$F$602,7,FALSE),"")</f>
        <v/>
      </c>
      <c r="DD346" t="str">
        <f>+IFERROR(VLOOKUP(DD47,IN_Zugliste!$A$4:$F$602,7,FALSE),"")</f>
        <v/>
      </c>
      <c r="DE346" t="str">
        <f>+IFERROR(VLOOKUP(DE47,IN_Zugliste!$A$4:$F$602,7,FALSE),"")</f>
        <v/>
      </c>
      <c r="DF346" t="str">
        <f>+IFERROR(VLOOKUP(DF47,IN_Zugliste!$A$4:$F$602,7,FALSE),"")</f>
        <v/>
      </c>
      <c r="DG346" t="str">
        <f>+IFERROR(VLOOKUP(DG47,IN_Zugliste!$A$4:$F$602,7,FALSE),"")</f>
        <v/>
      </c>
      <c r="DH346" t="str">
        <f>+IFERROR(VLOOKUP(DH47,IN_Zugliste!$A$4:$F$602,7,FALSE),"")</f>
        <v/>
      </c>
      <c r="DI346" t="str">
        <f>+IFERROR(VLOOKUP(DI47,IN_Zugliste!$A$4:$F$602,7,FALSE),"")</f>
        <v/>
      </c>
      <c r="DJ346" t="str">
        <f>+IFERROR(VLOOKUP(DJ47,IN_Zugliste!$A$4:$F$602,7,FALSE),"")</f>
        <v/>
      </c>
      <c r="DK346" t="str">
        <f>+IFERROR(VLOOKUP(DK47,IN_Zugliste!$A$4:$F$602,7,FALSE),"")</f>
        <v/>
      </c>
      <c r="DL346" t="str">
        <f>+IFERROR(VLOOKUP(DL47,IN_Zugliste!$A$4:$F$602,7,FALSE),"")</f>
        <v/>
      </c>
      <c r="DM346" t="str">
        <f>+IFERROR(VLOOKUP(DM47,IN_Zugliste!$A$4:$F$602,7,FALSE),"")</f>
        <v/>
      </c>
      <c r="DN346" t="str">
        <f>+IFERROR(VLOOKUP(DN47,IN_Zugliste!$A$4:$F$602,7,FALSE),"")</f>
        <v/>
      </c>
      <c r="DO346" t="str">
        <f>+IFERROR(VLOOKUP(DO47,IN_Zugliste!$A$4:$F$602,7,FALSE),"")</f>
        <v/>
      </c>
      <c r="DP346" t="str">
        <f>+IFERROR(VLOOKUP(DP47,IN_Zugliste!$A$4:$F$602,7,FALSE),"")</f>
        <v/>
      </c>
      <c r="DQ346" t="str">
        <f>+IFERROR(VLOOKUP(DQ47,IN_Zugliste!$A$4:$F$602,7,FALSE),"")</f>
        <v/>
      </c>
      <c r="DR346" t="str">
        <f>+IFERROR(VLOOKUP(DR47,IN_Zugliste!$A$4:$F$602,7,FALSE),"")</f>
        <v/>
      </c>
      <c r="DS346" t="str">
        <f>+IFERROR(VLOOKUP(DS47,IN_Zugliste!$A$4:$F$602,7,FALSE),"")</f>
        <v/>
      </c>
      <c r="DT346" t="str">
        <f>+IFERROR(VLOOKUP(DT47,IN_Zugliste!$A$4:$F$602,7,FALSE),"")</f>
        <v/>
      </c>
      <c r="DU346" t="str">
        <f>+IFERROR(VLOOKUP(DU47,IN_Zugliste!$A$4:$F$602,7,FALSE),"")</f>
        <v/>
      </c>
      <c r="DV346" t="str">
        <f>+IFERROR(VLOOKUP(DV47,IN_Zugliste!$A$4:$F$602,7,FALSE),"")</f>
        <v/>
      </c>
      <c r="DW346" t="str">
        <f>+IFERROR(VLOOKUP(DW47,IN_Zugliste!$A$4:$F$602,7,FALSE),"")</f>
        <v/>
      </c>
      <c r="DX346" t="str">
        <f>+IFERROR(VLOOKUP(DX47,IN_Zugliste!$A$4:$F$602,7,FALSE),"")</f>
        <v/>
      </c>
      <c r="DY346" t="str">
        <f>+IFERROR(VLOOKUP(DY47,IN_Zugliste!$A$4:$F$602,7,FALSE),"")</f>
        <v/>
      </c>
      <c r="DZ346" t="str">
        <f>+IFERROR(VLOOKUP(DZ47,IN_Zugliste!$A$4:$F$602,7,FALSE),"")</f>
        <v/>
      </c>
      <c r="EA346" t="str">
        <f>+IFERROR(VLOOKUP(EA47,IN_Zugliste!$A$4:$F$602,7,FALSE),"")</f>
        <v/>
      </c>
      <c r="EB346" t="str">
        <f>+IFERROR(VLOOKUP(EB47,IN_Zugliste!$A$4:$F$602,7,FALSE),"")</f>
        <v/>
      </c>
      <c r="EC346" t="str">
        <f>+IFERROR(VLOOKUP(EC47,IN_Zugliste!$A$4:$F$602,7,FALSE),"")</f>
        <v/>
      </c>
      <c r="ED346" t="str">
        <f>+IFERROR(VLOOKUP(ED47,IN_Zugliste!$A$4:$F$602,7,FALSE),"")</f>
        <v/>
      </c>
      <c r="EE346" t="str">
        <f>+IFERROR(VLOOKUP(EE47,IN_Zugliste!$A$4:$F$602,7,FALSE),"")</f>
        <v/>
      </c>
      <c r="EF346" t="str">
        <f>+IFERROR(VLOOKUP(EF47,IN_Zugliste!$A$4:$F$602,7,FALSE),"")</f>
        <v/>
      </c>
      <c r="EG346" t="str">
        <f>+IFERROR(VLOOKUP(EG47,IN_Zugliste!$A$4:$F$602,7,FALSE),"")</f>
        <v/>
      </c>
      <c r="EH346" t="str">
        <f>+IFERROR(VLOOKUP(EH47,IN_Zugliste!$A$4:$F$602,7,FALSE),"")</f>
        <v/>
      </c>
      <c r="EI346" t="str">
        <f>+IFERROR(VLOOKUP(EI47,IN_Zugliste!$A$4:$F$602,7,FALSE),"")</f>
        <v/>
      </c>
      <c r="EJ346" t="str">
        <f>+IFERROR(VLOOKUP(EJ47,IN_Zugliste!$A$4:$F$602,7,FALSE),"")</f>
        <v/>
      </c>
      <c r="EK346" t="str">
        <f>+IFERROR(VLOOKUP(EK47,IN_Zugliste!$A$4:$F$602,7,FALSE),"")</f>
        <v/>
      </c>
      <c r="EL346" t="str">
        <f>+IFERROR(VLOOKUP(EL47,IN_Zugliste!$A$4:$F$602,7,FALSE),"")</f>
        <v/>
      </c>
      <c r="EM346" t="str">
        <f>+IFERROR(VLOOKUP(EM47,IN_Zugliste!$A$4:$F$602,7,FALSE),"")</f>
        <v/>
      </c>
      <c r="EN346" t="str">
        <f>+IFERROR(VLOOKUP(EN47,IN_Zugliste!$A$4:$F$602,7,FALSE),"")</f>
        <v/>
      </c>
      <c r="EO346" t="str">
        <f>+IFERROR(VLOOKUP(EO47,IN_Zugliste!$A$4:$F$602,7,FALSE),"")</f>
        <v/>
      </c>
      <c r="EP346" t="str">
        <f>+IFERROR(VLOOKUP(EP47,IN_Zugliste!$A$4:$F$602,7,FALSE),"")</f>
        <v/>
      </c>
      <c r="EQ346" t="str">
        <f>+IFERROR(VLOOKUP(EQ47,IN_Zugliste!$A$4:$F$602,7,FALSE),"")</f>
        <v/>
      </c>
      <c r="ER346" t="str">
        <f>+IFERROR(VLOOKUP(ER47,IN_Zugliste!$A$4:$F$602,7,FALSE),"")</f>
        <v/>
      </c>
      <c r="ES346" t="str">
        <f>+IFERROR(VLOOKUP(ES47,IN_Zugliste!$A$4:$F$602,7,FALSE),"")</f>
        <v/>
      </c>
      <c r="ET346" t="str">
        <f>+IFERROR(VLOOKUP(ET47,IN_Zugliste!$A$4:$F$602,7,FALSE),"")</f>
        <v/>
      </c>
      <c r="EU346" t="str">
        <f>+IFERROR(VLOOKUP(EU47,IN_Zugliste!$A$4:$F$602,7,FALSE),"")</f>
        <v/>
      </c>
      <c r="EV346" t="str">
        <f>+IFERROR(VLOOKUP(EV47,IN_Zugliste!$A$4:$F$602,7,FALSE),"")</f>
        <v/>
      </c>
      <c r="EW346" t="str">
        <f>+IFERROR(VLOOKUP(EW47,IN_Zugliste!$A$4:$F$602,7,FALSE),"")</f>
        <v/>
      </c>
      <c r="EX346" t="str">
        <f>+IFERROR(VLOOKUP(EX47,IN_Zugliste!$A$4:$F$602,7,FALSE),"")</f>
        <v/>
      </c>
      <c r="EY346" t="str">
        <f>+IFERROR(VLOOKUP(EY47,IN_Zugliste!$A$4:$F$602,7,FALSE),"")</f>
        <v/>
      </c>
      <c r="EZ346" t="str">
        <f>+IFERROR(VLOOKUP(EZ47,IN_Zugliste!$A$4:$F$602,7,FALSE),"")</f>
        <v/>
      </c>
      <c r="FA346" t="str">
        <f>+IFERROR(VLOOKUP(FA47,IN_Zugliste!$A$4:$F$602,7,FALSE),"")</f>
        <v/>
      </c>
      <c r="FB346" t="str">
        <f>+IFERROR(VLOOKUP(FB47,IN_Zugliste!$A$4:$F$602,7,FALSE),"")</f>
        <v/>
      </c>
      <c r="FC346" t="str">
        <f>+IFERROR(VLOOKUP(FC47,IN_Zugliste!$A$4:$F$602,7,FALSE),"")</f>
        <v/>
      </c>
      <c r="FD346" t="str">
        <f>+IFERROR(VLOOKUP(FD47,IN_Zugliste!$A$4:$F$602,7,FALSE),"")</f>
        <v/>
      </c>
      <c r="FE346" t="str">
        <f>+IFERROR(VLOOKUP(FE47,IN_Zugliste!$A$4:$F$602,7,FALSE),"")</f>
        <v/>
      </c>
      <c r="FF346" t="str">
        <f>+IFERROR(VLOOKUP(FF47,IN_Zugliste!$A$4:$F$602,7,FALSE),"")</f>
        <v/>
      </c>
      <c r="FG346" t="str">
        <f>+IFERROR(VLOOKUP(FG47,IN_Zugliste!$A$4:$F$602,7,FALSE),"")</f>
        <v/>
      </c>
      <c r="FH346" t="str">
        <f>+IFERROR(VLOOKUP(FH47,IN_Zugliste!$A$4:$F$602,7,FALSE),"")</f>
        <v/>
      </c>
      <c r="FI346" t="str">
        <f>+IFERROR(VLOOKUP(FI47,IN_Zugliste!$A$4:$F$602,7,FALSE),"")</f>
        <v/>
      </c>
      <c r="FJ346" t="str">
        <f>+IFERROR(VLOOKUP(FJ47,IN_Zugliste!$A$4:$F$602,7,FALSE),"")</f>
        <v/>
      </c>
      <c r="FK346" t="str">
        <f>+IFERROR(VLOOKUP(FK47,IN_Zugliste!$A$4:$F$602,7,FALSE),"")</f>
        <v/>
      </c>
      <c r="FL346" t="str">
        <f>+IFERROR(VLOOKUP(FL47,IN_Zugliste!$A$4:$F$602,7,FALSE),"")</f>
        <v/>
      </c>
      <c r="FM346" t="str">
        <f>+IFERROR(VLOOKUP(FM47,IN_Zugliste!$A$4:$F$602,7,FALSE),"")</f>
        <v/>
      </c>
      <c r="FN346" t="str">
        <f>+IFERROR(VLOOKUP(FN47,IN_Zugliste!$A$4:$F$602,7,FALSE),"")</f>
        <v/>
      </c>
      <c r="FO346" t="str">
        <f>+IFERROR(VLOOKUP(FO47,IN_Zugliste!$A$4:$F$602,7,FALSE),"")</f>
        <v/>
      </c>
      <c r="FP346" t="str">
        <f>+IFERROR(VLOOKUP(FP47,IN_Zugliste!$A$4:$F$602,7,FALSE),"")</f>
        <v/>
      </c>
      <c r="FQ346" t="str">
        <f>+IFERROR(VLOOKUP(FQ47,IN_Zugliste!$A$4:$F$602,7,FALSE),"")</f>
        <v/>
      </c>
      <c r="FR346" t="str">
        <f>+IFERROR(VLOOKUP(FR47,IN_Zugliste!$A$4:$F$602,7,FALSE),"")</f>
        <v/>
      </c>
      <c r="FS346" t="str">
        <f>+IFERROR(VLOOKUP(FS47,IN_Zugliste!$A$4:$F$602,7,FALSE),"")</f>
        <v/>
      </c>
      <c r="FT346" t="str">
        <f>+IFERROR(VLOOKUP(FT47,IN_Zugliste!$A$4:$F$602,7,FALSE),"")</f>
        <v/>
      </c>
      <c r="FU346" t="str">
        <f>+IFERROR(VLOOKUP(FU47,IN_Zugliste!$A$4:$F$602,7,FALSE),"")</f>
        <v/>
      </c>
      <c r="FV346" t="str">
        <f>+IFERROR(VLOOKUP(FV47,IN_Zugliste!$A$4:$F$602,7,FALSE),"")</f>
        <v/>
      </c>
      <c r="FW346" t="str">
        <f>+IFERROR(VLOOKUP(FW47,IN_Zugliste!$A$4:$F$602,7,FALSE),"")</f>
        <v/>
      </c>
      <c r="FX346" t="str">
        <f>+IFERROR(VLOOKUP(FX47,IN_Zugliste!$A$4:$F$602,7,FALSE),"")</f>
        <v/>
      </c>
      <c r="FY346" t="str">
        <f>+IFERROR(VLOOKUP(FY47,IN_Zugliste!$A$4:$F$602,7,FALSE),"")</f>
        <v/>
      </c>
      <c r="FZ346" t="str">
        <f>+IFERROR(VLOOKUP(FZ47,IN_Zugliste!$A$4:$F$602,7,FALSE),"")</f>
        <v/>
      </c>
      <c r="GA346" t="str">
        <f>+IFERROR(VLOOKUP(GA47,IN_Zugliste!$A$4:$F$602,7,FALSE),"")</f>
        <v/>
      </c>
      <c r="GB346" t="str">
        <f>+IFERROR(VLOOKUP(GB47,IN_Zugliste!$A$4:$F$602,7,FALSE),"")</f>
        <v/>
      </c>
      <c r="GC346" t="str">
        <f>+IFERROR(VLOOKUP(GC47,IN_Zugliste!$A$4:$F$602,7,FALSE),"")</f>
        <v/>
      </c>
      <c r="GD346" t="str">
        <f>+IFERROR(VLOOKUP(GD47,IN_Zugliste!$A$4:$F$602,7,FALSE),"")</f>
        <v/>
      </c>
      <c r="GE346" t="str">
        <f>+IFERROR(VLOOKUP(GE47,IN_Zugliste!$A$4:$F$602,7,FALSE),"")</f>
        <v/>
      </c>
      <c r="GF346" t="str">
        <f>+IFERROR(VLOOKUP(GF47,IN_Zugliste!$A$4:$F$602,7,FALSE),"")</f>
        <v/>
      </c>
      <c r="GG346" t="str">
        <f>+IFERROR(VLOOKUP(GG47,IN_Zugliste!$A$4:$F$602,7,FALSE),"")</f>
        <v/>
      </c>
      <c r="GH346" t="str">
        <f>+IFERROR(VLOOKUP(GH47,IN_Zugliste!$A$4:$F$602,7,FALSE),"")</f>
        <v/>
      </c>
      <c r="GI346" t="str">
        <f>+IFERROR(VLOOKUP(GI47,IN_Zugliste!$A$4:$F$602,7,FALSE),"")</f>
        <v/>
      </c>
      <c r="GJ346" t="str">
        <f>+IFERROR(VLOOKUP(GJ47,IN_Zugliste!$A$4:$F$602,7,FALSE),"")</f>
        <v/>
      </c>
      <c r="GK346" t="str">
        <f>+IFERROR(VLOOKUP(GK47,IN_Zugliste!$A$4:$F$602,7,FALSE),"")</f>
        <v/>
      </c>
      <c r="GL346" t="str">
        <f>+IFERROR(VLOOKUP(GL47,IN_Zugliste!$A$4:$F$602,7,FALSE),"")</f>
        <v/>
      </c>
      <c r="GM346" t="str">
        <f>+IFERROR(VLOOKUP(GM47,IN_Zugliste!$A$4:$F$602,7,FALSE),"")</f>
        <v/>
      </c>
      <c r="GN346" t="str">
        <f>+IFERROR(VLOOKUP(GN47,IN_Zugliste!$A$4:$F$602,7,FALSE),"")</f>
        <v/>
      </c>
      <c r="GO346" t="str">
        <f>+IFERROR(VLOOKUP(GO47,IN_Zugliste!$A$4:$F$602,7,FALSE),"")</f>
        <v/>
      </c>
      <c r="GP346" t="str">
        <f>+IFERROR(VLOOKUP(GP47,IN_Zugliste!$A$4:$F$602,7,FALSE),"")</f>
        <v/>
      </c>
      <c r="GQ346" t="str">
        <f>+IFERROR(VLOOKUP(GQ47,IN_Zugliste!$A$4:$F$602,7,FALSE),"")</f>
        <v/>
      </c>
      <c r="GR346" t="str">
        <f>+IFERROR(VLOOKUP(GR47,IN_Zugliste!$A$4:$F$602,7,FALSE),"")</f>
        <v/>
      </c>
      <c r="GS346" t="str">
        <f>+IFERROR(VLOOKUP(GS47,IN_Zugliste!$A$4:$F$602,7,FALSE),"")</f>
        <v/>
      </c>
      <c r="GT346" t="str">
        <f>+IFERROR(VLOOKUP(GT47,IN_Zugliste!$A$4:$F$602,7,FALSE),"")</f>
        <v/>
      </c>
      <c r="GU346" t="str">
        <f>+IFERROR(VLOOKUP(GU47,IN_Zugliste!$A$4:$F$602,7,FALSE),"")</f>
        <v/>
      </c>
      <c r="GV346" t="str">
        <f>+IFERROR(VLOOKUP(GV47,IN_Zugliste!$A$4:$F$602,7,FALSE),"")</f>
        <v/>
      </c>
      <c r="GW346" t="str">
        <f>+IFERROR(VLOOKUP(GW47,IN_Zugliste!$A$4:$F$602,7,FALSE),"")</f>
        <v/>
      </c>
      <c r="GX346" t="str">
        <f>+IFERROR(VLOOKUP(GX47,IN_Zugliste!$A$4:$F$602,7,FALSE),"")</f>
        <v/>
      </c>
      <c r="GY346" t="str">
        <f>+IFERROR(VLOOKUP(GY47,IN_Zugliste!$A$4:$F$602,7,FALSE),"")</f>
        <v/>
      </c>
      <c r="GZ346" t="str">
        <f>+IFERROR(VLOOKUP(GZ47,IN_Zugliste!$A$4:$F$602,7,FALSE),"")</f>
        <v/>
      </c>
      <c r="HA346" t="str">
        <f>+IFERROR(VLOOKUP(HA47,IN_Zugliste!$A$4:$F$602,7,FALSE),"")</f>
        <v/>
      </c>
      <c r="HB346" t="str">
        <f>+IFERROR(VLOOKUP(HB47,IN_Zugliste!$A$4:$F$602,7,FALSE),"")</f>
        <v/>
      </c>
      <c r="HC346" t="str">
        <f>+IFERROR(VLOOKUP(HC47,IN_Zugliste!$A$4:$F$602,7,FALSE),"")</f>
        <v/>
      </c>
      <c r="HD346" t="str">
        <f>+IFERROR(VLOOKUP(HD47,IN_Zugliste!$A$4:$F$602,7,FALSE),"")</f>
        <v/>
      </c>
      <c r="HE346" t="str">
        <f>+IFERROR(VLOOKUP(HE47,IN_Zugliste!$A$4:$F$602,7,FALSE),"")</f>
        <v/>
      </c>
      <c r="HF346" t="str">
        <f>+IFERROR(VLOOKUP(HF47,IN_Zugliste!$A$4:$F$602,7,FALSE),"")</f>
        <v/>
      </c>
      <c r="HG346" t="str">
        <f>+IFERROR(VLOOKUP(HG47,IN_Zugliste!$A$4:$F$602,7,FALSE),"")</f>
        <v/>
      </c>
      <c r="HH346" t="str">
        <f>+IFERROR(VLOOKUP(HH47,IN_Zugliste!$A$4:$F$602,7,FALSE),"")</f>
        <v/>
      </c>
    </row>
    <row r="347" spans="1:216" x14ac:dyDescent="0.2">
      <c r="A347" t="str">
        <f>+IFERROR(VLOOKUP(A48,IN_Zugliste!$A$4:$F$602,7,FALSE),"")</f>
        <v/>
      </c>
      <c r="B347" t="str">
        <f>+IFERROR(VLOOKUP(B48,IN_Zugliste!$A$4:$F$602,7,FALSE),"")</f>
        <v/>
      </c>
      <c r="C347" t="str">
        <f>+IFERROR(VLOOKUP(C48,IN_Zugliste!$A$4:$F$602,7,FALSE),"")</f>
        <v/>
      </c>
      <c r="D347" t="str">
        <f>+IFERROR(VLOOKUP(D48,IN_Zugliste!$A$4:$F$602,7,FALSE),"")</f>
        <v/>
      </c>
      <c r="E347" t="str">
        <f>+IFERROR(VLOOKUP(E48,IN_Zugliste!$A$4:$F$602,7,FALSE),"")</f>
        <v/>
      </c>
      <c r="F347" t="str">
        <f>+IFERROR(VLOOKUP(F48,IN_Zugliste!$A$4:$F$602,7,FALSE),"")</f>
        <v/>
      </c>
      <c r="G347" t="str">
        <f>+IFERROR(VLOOKUP(G48,IN_Zugliste!$A$4:$F$602,7,FALSE),"")</f>
        <v/>
      </c>
      <c r="H347" t="str">
        <f>+IFERROR(VLOOKUP(H48,IN_Zugliste!$A$4:$F$602,7,FALSE),"")</f>
        <v/>
      </c>
      <c r="I347" t="str">
        <f>+IFERROR(VLOOKUP(I48,IN_Zugliste!$A$4:$F$602,7,FALSE),"")</f>
        <v/>
      </c>
      <c r="J347" t="str">
        <f>+IFERROR(VLOOKUP(J48,IN_Zugliste!$A$4:$F$602,7,FALSE),"")</f>
        <v/>
      </c>
      <c r="K347" t="str">
        <f>+IFERROR(VLOOKUP(K48,IN_Zugliste!$A$4:$F$602,7,FALSE),"")</f>
        <v/>
      </c>
      <c r="L347" t="str">
        <f>+IFERROR(VLOOKUP(L48,IN_Zugliste!$A$4:$F$602,7,FALSE),"")</f>
        <v/>
      </c>
      <c r="M347" t="str">
        <f>+IFERROR(VLOOKUP(M48,IN_Zugliste!$A$4:$F$602,7,FALSE),"")</f>
        <v/>
      </c>
      <c r="N347" t="str">
        <f>+IFERROR(VLOOKUP(N48,IN_Zugliste!$A$4:$F$602,7,FALSE),"")</f>
        <v/>
      </c>
      <c r="O347" t="str">
        <f>+IFERROR(VLOOKUP(O48,IN_Zugliste!$A$4:$F$602,7,FALSE),"")</f>
        <v/>
      </c>
      <c r="P347" t="str">
        <f>+IFERROR(VLOOKUP(P48,IN_Zugliste!$A$4:$F$602,7,FALSE),"")</f>
        <v/>
      </c>
      <c r="Q347" t="str">
        <f>+IFERROR(VLOOKUP(Q48,IN_Zugliste!$A$4:$F$602,7,FALSE),"")</f>
        <v/>
      </c>
      <c r="R347" t="str">
        <f>+IFERROR(VLOOKUP(R48,IN_Zugliste!$A$4:$F$602,7,FALSE),"")</f>
        <v/>
      </c>
      <c r="S347" t="str">
        <f>+IFERROR(VLOOKUP(S48,IN_Zugliste!$A$4:$F$602,7,FALSE),"")</f>
        <v/>
      </c>
      <c r="T347" t="str">
        <f>+IFERROR(VLOOKUP(T48,IN_Zugliste!$A$4:$F$602,7,FALSE),"")</f>
        <v/>
      </c>
      <c r="U347" t="str">
        <f>+IFERROR(VLOOKUP(U48,IN_Zugliste!$A$4:$F$602,7,FALSE),"")</f>
        <v/>
      </c>
      <c r="V347" t="str">
        <f>+IFERROR(VLOOKUP(V48,IN_Zugliste!$A$4:$F$602,7,FALSE),"")</f>
        <v/>
      </c>
      <c r="W347" t="str">
        <f>+IFERROR(VLOOKUP(W48,IN_Zugliste!$A$4:$F$602,7,FALSE),"")</f>
        <v/>
      </c>
      <c r="X347" t="str">
        <f>+IFERROR(VLOOKUP(X48,IN_Zugliste!$A$4:$F$602,7,FALSE),"")</f>
        <v/>
      </c>
      <c r="Y347" t="str">
        <f>+IFERROR(VLOOKUP(Y48,IN_Zugliste!$A$4:$F$602,7,FALSE),"")</f>
        <v/>
      </c>
      <c r="Z347" t="str">
        <f>+IFERROR(VLOOKUP(Z48,IN_Zugliste!$A$4:$F$602,7,FALSE),"")</f>
        <v/>
      </c>
      <c r="AA347" t="str">
        <f>+IFERROR(VLOOKUP(AA48,IN_Zugliste!$A$4:$F$602,7,FALSE),"")</f>
        <v/>
      </c>
      <c r="AB347" t="str">
        <f>+IFERROR(VLOOKUP(AB48,IN_Zugliste!$A$4:$F$602,7,FALSE),"")</f>
        <v/>
      </c>
      <c r="AC347" t="str">
        <f>+IFERROR(VLOOKUP(AC48,IN_Zugliste!$A$4:$F$602,7,FALSE),"")</f>
        <v/>
      </c>
      <c r="AD347" t="str">
        <f>+IFERROR(VLOOKUP(AD48,IN_Zugliste!$A$4:$F$602,7,FALSE),"")</f>
        <v/>
      </c>
      <c r="AE347" t="str">
        <f>+IFERROR(VLOOKUP(AE48,IN_Zugliste!$A$4:$F$602,7,FALSE),"")</f>
        <v/>
      </c>
      <c r="AF347" t="str">
        <f>+IFERROR(VLOOKUP(AF48,IN_Zugliste!$A$4:$F$602,7,FALSE),"")</f>
        <v/>
      </c>
      <c r="AG347" t="str">
        <f>+IFERROR(VLOOKUP(AG48,IN_Zugliste!$A$4:$F$602,7,FALSE),"")</f>
        <v/>
      </c>
      <c r="AH347" t="str">
        <f>+IFERROR(VLOOKUP(AH48,IN_Zugliste!$A$4:$F$602,7,FALSE),"")</f>
        <v/>
      </c>
      <c r="AI347" t="str">
        <f>+IFERROR(VLOOKUP(AI48,IN_Zugliste!$A$4:$F$602,7,FALSE),"")</f>
        <v/>
      </c>
      <c r="AJ347" t="str">
        <f>+IFERROR(VLOOKUP(AJ48,IN_Zugliste!$A$4:$F$602,7,FALSE),"")</f>
        <v/>
      </c>
      <c r="AK347" t="str">
        <f>+IFERROR(VLOOKUP(AK48,IN_Zugliste!$A$4:$F$602,7,FALSE),"")</f>
        <v/>
      </c>
      <c r="AL347" t="str">
        <f>+IFERROR(VLOOKUP(AL48,IN_Zugliste!$A$4:$F$602,7,FALSE),"")</f>
        <v/>
      </c>
      <c r="AM347" t="str">
        <f>+IFERROR(VLOOKUP(AM48,IN_Zugliste!$A$4:$F$602,7,FALSE),"")</f>
        <v/>
      </c>
      <c r="AN347" t="str">
        <f>+IFERROR(VLOOKUP(AN48,IN_Zugliste!$A$4:$F$602,7,FALSE),"")</f>
        <v/>
      </c>
      <c r="AO347" t="str">
        <f>+IFERROR(VLOOKUP(AO48,IN_Zugliste!$A$4:$F$602,7,FALSE),"")</f>
        <v/>
      </c>
      <c r="AP347" t="str">
        <f>+IFERROR(VLOOKUP(AP48,IN_Zugliste!$A$4:$F$602,7,FALSE),"")</f>
        <v/>
      </c>
      <c r="AQ347" t="str">
        <f>+IFERROR(VLOOKUP(AQ48,IN_Zugliste!$A$4:$F$602,7,FALSE),"")</f>
        <v/>
      </c>
      <c r="AR347" t="str">
        <f>+IFERROR(VLOOKUP(AR48,IN_Zugliste!$A$4:$F$602,7,FALSE),"")</f>
        <v/>
      </c>
      <c r="AS347" t="str">
        <f>+IFERROR(VLOOKUP(AS48,IN_Zugliste!$A$4:$F$602,7,FALSE),"")</f>
        <v/>
      </c>
      <c r="AT347" t="str">
        <f>+IFERROR(VLOOKUP(AT48,IN_Zugliste!$A$4:$F$602,7,FALSE),"")</f>
        <v/>
      </c>
      <c r="AU347" t="str">
        <f>+IFERROR(VLOOKUP(AU48,IN_Zugliste!$A$4:$F$602,7,FALSE),"")</f>
        <v/>
      </c>
      <c r="AV347" t="str">
        <f>+IFERROR(VLOOKUP(AV48,IN_Zugliste!$A$4:$F$602,7,FALSE),"")</f>
        <v/>
      </c>
      <c r="AW347" t="str">
        <f>+IFERROR(VLOOKUP(AW48,IN_Zugliste!$A$4:$F$602,7,FALSE),"")</f>
        <v/>
      </c>
      <c r="AX347" t="str">
        <f>+IFERROR(VLOOKUP(AX48,IN_Zugliste!$A$4:$F$602,7,FALSE),"")</f>
        <v/>
      </c>
      <c r="AY347" t="str">
        <f>+IFERROR(VLOOKUP(AY48,IN_Zugliste!$A$4:$F$602,7,FALSE),"")</f>
        <v/>
      </c>
      <c r="AZ347" t="str">
        <f>+IFERROR(VLOOKUP(AZ48,IN_Zugliste!$A$4:$F$602,7,FALSE),"")</f>
        <v/>
      </c>
      <c r="BA347" t="str">
        <f>+IFERROR(VLOOKUP(BA48,IN_Zugliste!$A$4:$F$602,7,FALSE),"")</f>
        <v/>
      </c>
      <c r="BB347" t="str">
        <f>+IFERROR(VLOOKUP(BB48,IN_Zugliste!$A$4:$F$602,7,FALSE),"")</f>
        <v/>
      </c>
      <c r="BC347" t="str">
        <f>+IFERROR(VLOOKUP(BC48,IN_Zugliste!$A$4:$F$602,7,FALSE),"")</f>
        <v/>
      </c>
      <c r="BD347" t="str">
        <f>+IFERROR(VLOOKUP(BD48,IN_Zugliste!$A$4:$F$602,7,FALSE),"")</f>
        <v/>
      </c>
      <c r="BE347" t="str">
        <f>+IFERROR(VLOOKUP(BE48,IN_Zugliste!$A$4:$F$602,7,FALSE),"")</f>
        <v/>
      </c>
      <c r="BF347" t="str">
        <f>+IFERROR(VLOOKUP(BF48,IN_Zugliste!$A$4:$F$602,7,FALSE),"")</f>
        <v/>
      </c>
      <c r="BG347" t="str">
        <f>+IFERROR(VLOOKUP(BG48,IN_Zugliste!$A$4:$F$602,7,FALSE),"")</f>
        <v/>
      </c>
      <c r="BH347" t="str">
        <f>+IFERROR(VLOOKUP(BH48,IN_Zugliste!$A$4:$F$602,7,FALSE),"")</f>
        <v/>
      </c>
      <c r="BI347" t="str">
        <f>+IFERROR(VLOOKUP(BI48,IN_Zugliste!$A$4:$F$602,7,FALSE),"")</f>
        <v/>
      </c>
      <c r="BJ347" t="str">
        <f>+IFERROR(VLOOKUP(BJ48,IN_Zugliste!$A$4:$F$602,7,FALSE),"")</f>
        <v/>
      </c>
      <c r="BK347" t="str">
        <f>+IFERROR(VLOOKUP(BK48,IN_Zugliste!$A$4:$F$602,7,FALSE),"")</f>
        <v/>
      </c>
      <c r="BL347" t="str">
        <f>+IFERROR(VLOOKUP(BL48,IN_Zugliste!$A$4:$F$602,7,FALSE),"")</f>
        <v/>
      </c>
      <c r="BM347" t="str">
        <f>+IFERROR(VLOOKUP(BM48,IN_Zugliste!$A$4:$F$602,7,FALSE),"")</f>
        <v/>
      </c>
      <c r="BN347" t="str">
        <f>+IFERROR(VLOOKUP(BN48,IN_Zugliste!$A$4:$F$602,7,FALSE),"")</f>
        <v/>
      </c>
      <c r="BO347" t="str">
        <f>+IFERROR(VLOOKUP(BO48,IN_Zugliste!$A$4:$F$602,7,FALSE),"")</f>
        <v/>
      </c>
      <c r="BP347" t="str">
        <f>+IFERROR(VLOOKUP(BP48,IN_Zugliste!$A$4:$F$602,7,FALSE),"")</f>
        <v/>
      </c>
      <c r="BQ347" t="str">
        <f>+IFERROR(VLOOKUP(BQ48,IN_Zugliste!$A$4:$F$602,7,FALSE),"")</f>
        <v/>
      </c>
      <c r="BR347" t="str">
        <f>+IFERROR(VLOOKUP(BR48,IN_Zugliste!$A$4:$F$602,7,FALSE),"")</f>
        <v/>
      </c>
      <c r="BS347" t="str">
        <f>+IFERROR(VLOOKUP(BS48,IN_Zugliste!$A$4:$F$602,7,FALSE),"")</f>
        <v/>
      </c>
      <c r="BT347" t="str">
        <f>+IFERROR(VLOOKUP(BT48,IN_Zugliste!$A$4:$F$602,7,FALSE),"")</f>
        <v/>
      </c>
      <c r="BU347" t="str">
        <f>+IFERROR(VLOOKUP(BU48,IN_Zugliste!$A$4:$F$602,7,FALSE),"")</f>
        <v/>
      </c>
      <c r="BV347" t="str">
        <f>+IFERROR(VLOOKUP(BV48,IN_Zugliste!$A$4:$F$602,7,FALSE),"")</f>
        <v/>
      </c>
      <c r="BW347" t="str">
        <f>+IFERROR(VLOOKUP(BW48,IN_Zugliste!$A$4:$F$602,7,FALSE),"")</f>
        <v/>
      </c>
      <c r="BX347" t="str">
        <f>+IFERROR(VLOOKUP(BX48,IN_Zugliste!$A$4:$F$602,7,FALSE),"")</f>
        <v/>
      </c>
      <c r="BY347" t="str">
        <f>+IFERROR(VLOOKUP(BY48,IN_Zugliste!$A$4:$F$602,7,FALSE),"")</f>
        <v/>
      </c>
      <c r="BZ347" t="str">
        <f>+IFERROR(VLOOKUP(BZ48,IN_Zugliste!$A$4:$F$602,7,FALSE),"")</f>
        <v/>
      </c>
      <c r="CA347" t="str">
        <f>+IFERROR(VLOOKUP(CA48,IN_Zugliste!$A$4:$F$602,7,FALSE),"")</f>
        <v/>
      </c>
      <c r="CB347" t="str">
        <f>+IFERROR(VLOOKUP(CB48,IN_Zugliste!$A$4:$F$602,7,FALSE),"")</f>
        <v/>
      </c>
      <c r="CC347" t="str">
        <f>+IFERROR(VLOOKUP(CC48,IN_Zugliste!$A$4:$F$602,7,FALSE),"")</f>
        <v/>
      </c>
      <c r="CD347" t="str">
        <f>+IFERROR(VLOOKUP(CD48,IN_Zugliste!$A$4:$F$602,7,FALSE),"")</f>
        <v/>
      </c>
      <c r="CE347" t="str">
        <f>+IFERROR(VLOOKUP(CE48,IN_Zugliste!$A$4:$F$602,7,FALSE),"")</f>
        <v/>
      </c>
      <c r="CF347" t="str">
        <f>+IFERROR(VLOOKUP(CF48,IN_Zugliste!$A$4:$F$602,7,FALSE),"")</f>
        <v/>
      </c>
      <c r="CG347" t="str">
        <f>+IFERROR(VLOOKUP(CG48,IN_Zugliste!$A$4:$F$602,7,FALSE),"")</f>
        <v/>
      </c>
      <c r="CH347" t="str">
        <f>+IFERROR(VLOOKUP(CH48,IN_Zugliste!$A$4:$F$602,7,FALSE),"")</f>
        <v/>
      </c>
      <c r="CI347" t="str">
        <f>+IFERROR(VLOOKUP(CI48,IN_Zugliste!$A$4:$F$602,7,FALSE),"")</f>
        <v/>
      </c>
      <c r="CJ347" t="str">
        <f>+IFERROR(VLOOKUP(CJ48,IN_Zugliste!$A$4:$F$602,7,FALSE),"")</f>
        <v/>
      </c>
      <c r="CK347" t="str">
        <f>+IFERROR(VLOOKUP(CK48,IN_Zugliste!$A$4:$F$602,7,FALSE),"")</f>
        <v/>
      </c>
      <c r="CL347" t="str">
        <f>+IFERROR(VLOOKUP(CL48,IN_Zugliste!$A$4:$F$602,7,FALSE),"")</f>
        <v/>
      </c>
      <c r="CM347" t="str">
        <f>+IFERROR(VLOOKUP(CM48,IN_Zugliste!$A$4:$F$602,7,FALSE),"")</f>
        <v/>
      </c>
      <c r="CN347" t="str">
        <f>+IFERROR(VLOOKUP(CN48,IN_Zugliste!$A$4:$F$602,7,FALSE),"")</f>
        <v/>
      </c>
      <c r="CO347" t="str">
        <f>+IFERROR(VLOOKUP(CO48,IN_Zugliste!$A$4:$F$602,7,FALSE),"")</f>
        <v/>
      </c>
      <c r="CP347" t="str">
        <f>+IFERROR(VLOOKUP(CP48,IN_Zugliste!$A$4:$F$602,7,FALSE),"")</f>
        <v/>
      </c>
      <c r="CQ347" t="str">
        <f>+IFERROR(VLOOKUP(CQ48,IN_Zugliste!$A$4:$F$602,7,FALSE),"")</f>
        <v/>
      </c>
      <c r="CR347" t="str">
        <f>+IFERROR(VLOOKUP(CR48,IN_Zugliste!$A$4:$F$602,7,FALSE),"")</f>
        <v/>
      </c>
      <c r="CS347" t="str">
        <f>+IFERROR(VLOOKUP(CS48,IN_Zugliste!$A$4:$F$602,7,FALSE),"")</f>
        <v/>
      </c>
      <c r="CT347" t="str">
        <f>+IFERROR(VLOOKUP(CT48,IN_Zugliste!$A$4:$F$602,7,FALSE),"")</f>
        <v/>
      </c>
      <c r="CU347" t="str">
        <f>+IFERROR(VLOOKUP(CU48,IN_Zugliste!$A$4:$F$602,7,FALSE),"")</f>
        <v/>
      </c>
      <c r="CV347" t="str">
        <f>+IFERROR(VLOOKUP(CV48,IN_Zugliste!$A$4:$F$602,7,FALSE),"")</f>
        <v/>
      </c>
      <c r="CW347" t="str">
        <f>+IFERROR(VLOOKUP(CW48,IN_Zugliste!$A$4:$F$602,7,FALSE),"")</f>
        <v/>
      </c>
      <c r="CX347" t="str">
        <f>+IFERROR(VLOOKUP(CX48,IN_Zugliste!$A$4:$F$602,7,FALSE),"")</f>
        <v/>
      </c>
      <c r="CY347" t="str">
        <f>+IFERROR(VLOOKUP(CY48,IN_Zugliste!$A$4:$F$602,7,FALSE),"")</f>
        <v/>
      </c>
      <c r="CZ347" t="str">
        <f>+IFERROR(VLOOKUP(CZ48,IN_Zugliste!$A$4:$F$602,7,FALSE),"")</f>
        <v/>
      </c>
      <c r="DA347" t="str">
        <f>+IFERROR(VLOOKUP(DA48,IN_Zugliste!$A$4:$F$602,7,FALSE),"")</f>
        <v/>
      </c>
      <c r="DB347" t="str">
        <f>+IFERROR(VLOOKUP(DB48,IN_Zugliste!$A$4:$F$602,7,FALSE),"")</f>
        <v/>
      </c>
      <c r="DC347" t="str">
        <f>+IFERROR(VLOOKUP(DC48,IN_Zugliste!$A$4:$F$602,7,FALSE),"")</f>
        <v/>
      </c>
      <c r="DD347" t="str">
        <f>+IFERROR(VLOOKUP(DD48,IN_Zugliste!$A$4:$F$602,7,FALSE),"")</f>
        <v/>
      </c>
      <c r="DE347" t="str">
        <f>+IFERROR(VLOOKUP(DE48,IN_Zugliste!$A$4:$F$602,7,FALSE),"")</f>
        <v/>
      </c>
      <c r="DF347" t="str">
        <f>+IFERROR(VLOOKUP(DF48,IN_Zugliste!$A$4:$F$602,7,FALSE),"")</f>
        <v/>
      </c>
      <c r="DG347" t="str">
        <f>+IFERROR(VLOOKUP(DG48,IN_Zugliste!$A$4:$F$602,7,FALSE),"")</f>
        <v/>
      </c>
      <c r="DH347" t="str">
        <f>+IFERROR(VLOOKUP(DH48,IN_Zugliste!$A$4:$F$602,7,FALSE),"")</f>
        <v/>
      </c>
      <c r="DI347" t="str">
        <f>+IFERROR(VLOOKUP(DI48,IN_Zugliste!$A$4:$F$602,7,FALSE),"")</f>
        <v/>
      </c>
      <c r="DJ347" t="str">
        <f>+IFERROR(VLOOKUP(DJ48,IN_Zugliste!$A$4:$F$602,7,FALSE),"")</f>
        <v/>
      </c>
      <c r="DK347" t="str">
        <f>+IFERROR(VLOOKUP(DK48,IN_Zugliste!$A$4:$F$602,7,FALSE),"")</f>
        <v/>
      </c>
      <c r="DL347" t="str">
        <f>+IFERROR(VLOOKUP(DL48,IN_Zugliste!$A$4:$F$602,7,FALSE),"")</f>
        <v/>
      </c>
      <c r="DM347" t="str">
        <f>+IFERROR(VLOOKUP(DM48,IN_Zugliste!$A$4:$F$602,7,FALSE),"")</f>
        <v/>
      </c>
      <c r="DN347" t="str">
        <f>+IFERROR(VLOOKUP(DN48,IN_Zugliste!$A$4:$F$602,7,FALSE),"")</f>
        <v/>
      </c>
      <c r="DO347" t="str">
        <f>+IFERROR(VLOOKUP(DO48,IN_Zugliste!$A$4:$F$602,7,FALSE),"")</f>
        <v/>
      </c>
      <c r="DP347" t="str">
        <f>+IFERROR(VLOOKUP(DP48,IN_Zugliste!$A$4:$F$602,7,FALSE),"")</f>
        <v/>
      </c>
      <c r="DQ347" t="str">
        <f>+IFERROR(VLOOKUP(DQ48,IN_Zugliste!$A$4:$F$602,7,FALSE),"")</f>
        <v/>
      </c>
      <c r="DR347" t="str">
        <f>+IFERROR(VLOOKUP(DR48,IN_Zugliste!$A$4:$F$602,7,FALSE),"")</f>
        <v/>
      </c>
      <c r="DS347" t="str">
        <f>+IFERROR(VLOOKUP(DS48,IN_Zugliste!$A$4:$F$602,7,FALSE),"")</f>
        <v/>
      </c>
      <c r="DT347" t="str">
        <f>+IFERROR(VLOOKUP(DT48,IN_Zugliste!$A$4:$F$602,7,FALSE),"")</f>
        <v/>
      </c>
      <c r="DU347" t="str">
        <f>+IFERROR(VLOOKUP(DU48,IN_Zugliste!$A$4:$F$602,7,FALSE),"")</f>
        <v/>
      </c>
      <c r="DV347" t="str">
        <f>+IFERROR(VLOOKUP(DV48,IN_Zugliste!$A$4:$F$602,7,FALSE),"")</f>
        <v/>
      </c>
      <c r="DW347" t="str">
        <f>+IFERROR(VLOOKUP(DW48,IN_Zugliste!$A$4:$F$602,7,FALSE),"")</f>
        <v/>
      </c>
      <c r="DX347" t="str">
        <f>+IFERROR(VLOOKUP(DX48,IN_Zugliste!$A$4:$F$602,7,FALSE),"")</f>
        <v/>
      </c>
      <c r="DY347" t="str">
        <f>+IFERROR(VLOOKUP(DY48,IN_Zugliste!$A$4:$F$602,7,FALSE),"")</f>
        <v/>
      </c>
      <c r="DZ347" t="str">
        <f>+IFERROR(VLOOKUP(DZ48,IN_Zugliste!$A$4:$F$602,7,FALSE),"")</f>
        <v/>
      </c>
      <c r="EA347" t="str">
        <f>+IFERROR(VLOOKUP(EA48,IN_Zugliste!$A$4:$F$602,7,FALSE),"")</f>
        <v/>
      </c>
      <c r="EB347" t="str">
        <f>+IFERROR(VLOOKUP(EB48,IN_Zugliste!$A$4:$F$602,7,FALSE),"")</f>
        <v/>
      </c>
      <c r="EC347" t="str">
        <f>+IFERROR(VLOOKUP(EC48,IN_Zugliste!$A$4:$F$602,7,FALSE),"")</f>
        <v/>
      </c>
      <c r="ED347" t="str">
        <f>+IFERROR(VLOOKUP(ED48,IN_Zugliste!$A$4:$F$602,7,FALSE),"")</f>
        <v/>
      </c>
      <c r="EE347" t="str">
        <f>+IFERROR(VLOOKUP(EE48,IN_Zugliste!$A$4:$F$602,7,FALSE),"")</f>
        <v/>
      </c>
      <c r="EF347" t="str">
        <f>+IFERROR(VLOOKUP(EF48,IN_Zugliste!$A$4:$F$602,7,FALSE),"")</f>
        <v/>
      </c>
      <c r="EG347" t="str">
        <f>+IFERROR(VLOOKUP(EG48,IN_Zugliste!$A$4:$F$602,7,FALSE),"")</f>
        <v/>
      </c>
      <c r="EH347" t="str">
        <f>+IFERROR(VLOOKUP(EH48,IN_Zugliste!$A$4:$F$602,7,FALSE),"")</f>
        <v/>
      </c>
      <c r="EI347" t="str">
        <f>+IFERROR(VLOOKUP(EI48,IN_Zugliste!$A$4:$F$602,7,FALSE),"")</f>
        <v/>
      </c>
      <c r="EJ347" t="str">
        <f>+IFERROR(VLOOKUP(EJ48,IN_Zugliste!$A$4:$F$602,7,FALSE),"")</f>
        <v/>
      </c>
      <c r="EK347" t="str">
        <f>+IFERROR(VLOOKUP(EK48,IN_Zugliste!$A$4:$F$602,7,FALSE),"")</f>
        <v/>
      </c>
      <c r="EL347" t="str">
        <f>+IFERROR(VLOOKUP(EL48,IN_Zugliste!$A$4:$F$602,7,FALSE),"")</f>
        <v/>
      </c>
      <c r="EM347" t="str">
        <f>+IFERROR(VLOOKUP(EM48,IN_Zugliste!$A$4:$F$602,7,FALSE),"")</f>
        <v/>
      </c>
      <c r="EN347" t="str">
        <f>+IFERROR(VLOOKUP(EN48,IN_Zugliste!$A$4:$F$602,7,FALSE),"")</f>
        <v/>
      </c>
      <c r="EO347" t="str">
        <f>+IFERROR(VLOOKUP(EO48,IN_Zugliste!$A$4:$F$602,7,FALSE),"")</f>
        <v/>
      </c>
      <c r="EP347" t="str">
        <f>+IFERROR(VLOOKUP(EP48,IN_Zugliste!$A$4:$F$602,7,FALSE),"")</f>
        <v/>
      </c>
      <c r="EQ347" t="str">
        <f>+IFERROR(VLOOKUP(EQ48,IN_Zugliste!$A$4:$F$602,7,FALSE),"")</f>
        <v/>
      </c>
      <c r="ER347" t="str">
        <f>+IFERROR(VLOOKUP(ER48,IN_Zugliste!$A$4:$F$602,7,FALSE),"")</f>
        <v/>
      </c>
      <c r="ES347" t="str">
        <f>+IFERROR(VLOOKUP(ES48,IN_Zugliste!$A$4:$F$602,7,FALSE),"")</f>
        <v/>
      </c>
      <c r="ET347" t="str">
        <f>+IFERROR(VLOOKUP(ET48,IN_Zugliste!$A$4:$F$602,7,FALSE),"")</f>
        <v/>
      </c>
      <c r="EU347" t="str">
        <f>+IFERROR(VLOOKUP(EU48,IN_Zugliste!$A$4:$F$602,7,FALSE),"")</f>
        <v/>
      </c>
      <c r="EV347" t="str">
        <f>+IFERROR(VLOOKUP(EV48,IN_Zugliste!$A$4:$F$602,7,FALSE),"")</f>
        <v/>
      </c>
      <c r="EW347" t="str">
        <f>+IFERROR(VLOOKUP(EW48,IN_Zugliste!$A$4:$F$602,7,FALSE),"")</f>
        <v/>
      </c>
      <c r="EX347" t="str">
        <f>+IFERROR(VLOOKUP(EX48,IN_Zugliste!$A$4:$F$602,7,FALSE),"")</f>
        <v/>
      </c>
      <c r="EY347" t="str">
        <f>+IFERROR(VLOOKUP(EY48,IN_Zugliste!$A$4:$F$602,7,FALSE),"")</f>
        <v/>
      </c>
      <c r="EZ347" t="str">
        <f>+IFERROR(VLOOKUP(EZ48,IN_Zugliste!$A$4:$F$602,7,FALSE),"")</f>
        <v/>
      </c>
      <c r="FA347" t="str">
        <f>+IFERROR(VLOOKUP(FA48,IN_Zugliste!$A$4:$F$602,7,FALSE),"")</f>
        <v/>
      </c>
      <c r="FB347" t="str">
        <f>+IFERROR(VLOOKUP(FB48,IN_Zugliste!$A$4:$F$602,7,FALSE),"")</f>
        <v/>
      </c>
      <c r="FC347" t="str">
        <f>+IFERROR(VLOOKUP(FC48,IN_Zugliste!$A$4:$F$602,7,FALSE),"")</f>
        <v/>
      </c>
      <c r="FD347" t="str">
        <f>+IFERROR(VLOOKUP(FD48,IN_Zugliste!$A$4:$F$602,7,FALSE),"")</f>
        <v/>
      </c>
      <c r="FE347" t="str">
        <f>+IFERROR(VLOOKUP(FE48,IN_Zugliste!$A$4:$F$602,7,FALSE),"")</f>
        <v/>
      </c>
      <c r="FF347" t="str">
        <f>+IFERROR(VLOOKUP(FF48,IN_Zugliste!$A$4:$F$602,7,FALSE),"")</f>
        <v/>
      </c>
      <c r="FG347" t="str">
        <f>+IFERROR(VLOOKUP(FG48,IN_Zugliste!$A$4:$F$602,7,FALSE),"")</f>
        <v/>
      </c>
      <c r="FH347" t="str">
        <f>+IFERROR(VLOOKUP(FH48,IN_Zugliste!$A$4:$F$602,7,FALSE),"")</f>
        <v/>
      </c>
      <c r="FI347" t="str">
        <f>+IFERROR(VLOOKUP(FI48,IN_Zugliste!$A$4:$F$602,7,FALSE),"")</f>
        <v/>
      </c>
      <c r="FJ347" t="str">
        <f>+IFERROR(VLOOKUP(FJ48,IN_Zugliste!$A$4:$F$602,7,FALSE),"")</f>
        <v/>
      </c>
      <c r="FK347" t="str">
        <f>+IFERROR(VLOOKUP(FK48,IN_Zugliste!$A$4:$F$602,7,FALSE),"")</f>
        <v/>
      </c>
      <c r="FL347" t="str">
        <f>+IFERROR(VLOOKUP(FL48,IN_Zugliste!$A$4:$F$602,7,FALSE),"")</f>
        <v/>
      </c>
      <c r="FM347" t="str">
        <f>+IFERROR(VLOOKUP(FM48,IN_Zugliste!$A$4:$F$602,7,FALSE),"")</f>
        <v/>
      </c>
      <c r="FN347" t="str">
        <f>+IFERROR(VLOOKUP(FN48,IN_Zugliste!$A$4:$F$602,7,FALSE),"")</f>
        <v/>
      </c>
      <c r="FO347" t="str">
        <f>+IFERROR(VLOOKUP(FO48,IN_Zugliste!$A$4:$F$602,7,FALSE),"")</f>
        <v/>
      </c>
      <c r="FP347" t="str">
        <f>+IFERROR(VLOOKUP(FP48,IN_Zugliste!$A$4:$F$602,7,FALSE),"")</f>
        <v/>
      </c>
      <c r="FQ347" t="str">
        <f>+IFERROR(VLOOKUP(FQ48,IN_Zugliste!$A$4:$F$602,7,FALSE),"")</f>
        <v/>
      </c>
      <c r="FR347" t="str">
        <f>+IFERROR(VLOOKUP(FR48,IN_Zugliste!$A$4:$F$602,7,FALSE),"")</f>
        <v/>
      </c>
      <c r="FS347" t="str">
        <f>+IFERROR(VLOOKUP(FS48,IN_Zugliste!$A$4:$F$602,7,FALSE),"")</f>
        <v/>
      </c>
      <c r="FT347" t="str">
        <f>+IFERROR(VLOOKUP(FT48,IN_Zugliste!$A$4:$F$602,7,FALSE),"")</f>
        <v/>
      </c>
      <c r="FU347" t="str">
        <f>+IFERROR(VLOOKUP(FU48,IN_Zugliste!$A$4:$F$602,7,FALSE),"")</f>
        <v/>
      </c>
      <c r="FV347" t="str">
        <f>+IFERROR(VLOOKUP(FV48,IN_Zugliste!$A$4:$F$602,7,FALSE),"")</f>
        <v/>
      </c>
      <c r="FW347" t="str">
        <f>+IFERROR(VLOOKUP(FW48,IN_Zugliste!$A$4:$F$602,7,FALSE),"")</f>
        <v/>
      </c>
      <c r="FX347" t="str">
        <f>+IFERROR(VLOOKUP(FX48,IN_Zugliste!$A$4:$F$602,7,FALSE),"")</f>
        <v/>
      </c>
      <c r="FY347" t="str">
        <f>+IFERROR(VLOOKUP(FY48,IN_Zugliste!$A$4:$F$602,7,FALSE),"")</f>
        <v/>
      </c>
      <c r="FZ347" t="str">
        <f>+IFERROR(VLOOKUP(FZ48,IN_Zugliste!$A$4:$F$602,7,FALSE),"")</f>
        <v/>
      </c>
      <c r="GA347" t="str">
        <f>+IFERROR(VLOOKUP(GA48,IN_Zugliste!$A$4:$F$602,7,FALSE),"")</f>
        <v/>
      </c>
      <c r="GB347" t="str">
        <f>+IFERROR(VLOOKUP(GB48,IN_Zugliste!$A$4:$F$602,7,FALSE),"")</f>
        <v/>
      </c>
      <c r="GC347" t="str">
        <f>+IFERROR(VLOOKUP(GC48,IN_Zugliste!$A$4:$F$602,7,FALSE),"")</f>
        <v/>
      </c>
      <c r="GD347" t="str">
        <f>+IFERROR(VLOOKUP(GD48,IN_Zugliste!$A$4:$F$602,7,FALSE),"")</f>
        <v/>
      </c>
      <c r="GE347" t="str">
        <f>+IFERROR(VLOOKUP(GE48,IN_Zugliste!$A$4:$F$602,7,FALSE),"")</f>
        <v/>
      </c>
      <c r="GF347" t="str">
        <f>+IFERROR(VLOOKUP(GF48,IN_Zugliste!$A$4:$F$602,7,FALSE),"")</f>
        <v/>
      </c>
      <c r="GG347" t="str">
        <f>+IFERROR(VLOOKUP(GG48,IN_Zugliste!$A$4:$F$602,7,FALSE),"")</f>
        <v/>
      </c>
      <c r="GH347" t="str">
        <f>+IFERROR(VLOOKUP(GH48,IN_Zugliste!$A$4:$F$602,7,FALSE),"")</f>
        <v/>
      </c>
      <c r="GI347" t="str">
        <f>+IFERROR(VLOOKUP(GI48,IN_Zugliste!$A$4:$F$602,7,FALSE),"")</f>
        <v/>
      </c>
      <c r="GJ347" t="str">
        <f>+IFERROR(VLOOKUP(GJ48,IN_Zugliste!$A$4:$F$602,7,FALSE),"")</f>
        <v/>
      </c>
      <c r="GK347" t="str">
        <f>+IFERROR(VLOOKUP(GK48,IN_Zugliste!$A$4:$F$602,7,FALSE),"")</f>
        <v/>
      </c>
      <c r="GL347" t="str">
        <f>+IFERROR(VLOOKUP(GL48,IN_Zugliste!$A$4:$F$602,7,FALSE),"")</f>
        <v/>
      </c>
      <c r="GM347" t="str">
        <f>+IFERROR(VLOOKUP(GM48,IN_Zugliste!$A$4:$F$602,7,FALSE),"")</f>
        <v/>
      </c>
      <c r="GN347" t="str">
        <f>+IFERROR(VLOOKUP(GN48,IN_Zugliste!$A$4:$F$602,7,FALSE),"")</f>
        <v/>
      </c>
      <c r="GO347" t="str">
        <f>+IFERROR(VLOOKUP(GO48,IN_Zugliste!$A$4:$F$602,7,FALSE),"")</f>
        <v/>
      </c>
      <c r="GP347" t="str">
        <f>+IFERROR(VLOOKUP(GP48,IN_Zugliste!$A$4:$F$602,7,FALSE),"")</f>
        <v/>
      </c>
      <c r="GQ347" t="str">
        <f>+IFERROR(VLOOKUP(GQ48,IN_Zugliste!$A$4:$F$602,7,FALSE),"")</f>
        <v/>
      </c>
      <c r="GR347" t="str">
        <f>+IFERROR(VLOOKUP(GR48,IN_Zugliste!$A$4:$F$602,7,FALSE),"")</f>
        <v/>
      </c>
      <c r="GS347" t="str">
        <f>+IFERROR(VLOOKUP(GS48,IN_Zugliste!$A$4:$F$602,7,FALSE),"")</f>
        <v/>
      </c>
      <c r="GT347" t="str">
        <f>+IFERROR(VLOOKUP(GT48,IN_Zugliste!$A$4:$F$602,7,FALSE),"")</f>
        <v/>
      </c>
      <c r="GU347" t="str">
        <f>+IFERROR(VLOOKUP(GU48,IN_Zugliste!$A$4:$F$602,7,FALSE),"")</f>
        <v/>
      </c>
      <c r="GV347" t="str">
        <f>+IFERROR(VLOOKUP(GV48,IN_Zugliste!$A$4:$F$602,7,FALSE),"")</f>
        <v/>
      </c>
      <c r="GW347" t="str">
        <f>+IFERROR(VLOOKUP(GW48,IN_Zugliste!$A$4:$F$602,7,FALSE),"")</f>
        <v/>
      </c>
      <c r="GX347" t="str">
        <f>+IFERROR(VLOOKUP(GX48,IN_Zugliste!$A$4:$F$602,7,FALSE),"")</f>
        <v/>
      </c>
      <c r="GY347" t="str">
        <f>+IFERROR(VLOOKUP(GY48,IN_Zugliste!$A$4:$F$602,7,FALSE),"")</f>
        <v/>
      </c>
      <c r="GZ347" t="str">
        <f>+IFERROR(VLOOKUP(GZ48,IN_Zugliste!$A$4:$F$602,7,FALSE),"")</f>
        <v/>
      </c>
      <c r="HA347" t="str">
        <f>+IFERROR(VLOOKUP(HA48,IN_Zugliste!$A$4:$F$602,7,FALSE),"")</f>
        <v/>
      </c>
      <c r="HB347" t="str">
        <f>+IFERROR(VLOOKUP(HB48,IN_Zugliste!$A$4:$F$602,7,FALSE),"")</f>
        <v/>
      </c>
      <c r="HC347" t="str">
        <f>+IFERROR(VLOOKUP(HC48,IN_Zugliste!$A$4:$F$602,7,FALSE),"")</f>
        <v/>
      </c>
      <c r="HD347" t="str">
        <f>+IFERROR(VLOOKUP(HD48,IN_Zugliste!$A$4:$F$602,7,FALSE),"")</f>
        <v/>
      </c>
      <c r="HE347" t="str">
        <f>+IFERROR(VLOOKUP(HE48,IN_Zugliste!$A$4:$F$602,7,FALSE),"")</f>
        <v/>
      </c>
      <c r="HF347" t="str">
        <f>+IFERROR(VLOOKUP(HF48,IN_Zugliste!$A$4:$F$602,7,FALSE),"")</f>
        <v/>
      </c>
      <c r="HG347" t="str">
        <f>+IFERROR(VLOOKUP(HG48,IN_Zugliste!$A$4:$F$602,7,FALSE),"")</f>
        <v/>
      </c>
      <c r="HH347" t="str">
        <f>+IFERROR(VLOOKUP(HH48,IN_Zugliste!$A$4:$F$602,7,FALSE),"")</f>
        <v/>
      </c>
    </row>
    <row r="348" spans="1:216" x14ac:dyDescent="0.2">
      <c r="A348" t="str">
        <f>+IFERROR(VLOOKUP(A49,IN_Zugliste!$A$4:$F$602,7,FALSE),"")</f>
        <v/>
      </c>
      <c r="B348" t="str">
        <f>+IFERROR(VLOOKUP(B49,IN_Zugliste!$A$4:$F$602,7,FALSE),"")</f>
        <v/>
      </c>
      <c r="C348" t="str">
        <f>+IFERROR(VLOOKUP(C49,IN_Zugliste!$A$4:$F$602,7,FALSE),"")</f>
        <v/>
      </c>
      <c r="D348" t="str">
        <f>+IFERROR(VLOOKUP(D49,IN_Zugliste!$A$4:$F$602,7,FALSE),"")</f>
        <v/>
      </c>
      <c r="E348" t="str">
        <f>+IFERROR(VLOOKUP(E49,IN_Zugliste!$A$4:$F$602,7,FALSE),"")</f>
        <v/>
      </c>
      <c r="F348" t="str">
        <f>+IFERROR(VLOOKUP(F49,IN_Zugliste!$A$4:$F$602,7,FALSE),"")</f>
        <v/>
      </c>
      <c r="G348" t="str">
        <f>+IFERROR(VLOOKUP(G49,IN_Zugliste!$A$4:$F$602,7,FALSE),"")</f>
        <v/>
      </c>
      <c r="H348" t="str">
        <f>+IFERROR(VLOOKUP(H49,IN_Zugliste!$A$4:$F$602,7,FALSE),"")</f>
        <v/>
      </c>
      <c r="I348" t="str">
        <f>+IFERROR(VLOOKUP(I49,IN_Zugliste!$A$4:$F$602,7,FALSE),"")</f>
        <v/>
      </c>
      <c r="J348" t="str">
        <f>+IFERROR(VLOOKUP(J49,IN_Zugliste!$A$4:$F$602,7,FALSE),"")</f>
        <v/>
      </c>
      <c r="K348" t="str">
        <f>+IFERROR(VLOOKUP(K49,IN_Zugliste!$A$4:$F$602,7,FALSE),"")</f>
        <v/>
      </c>
      <c r="L348" t="str">
        <f>+IFERROR(VLOOKUP(L49,IN_Zugliste!$A$4:$F$602,7,FALSE),"")</f>
        <v/>
      </c>
      <c r="M348" t="str">
        <f>+IFERROR(VLOOKUP(M49,IN_Zugliste!$A$4:$F$602,7,FALSE),"")</f>
        <v/>
      </c>
      <c r="N348" t="str">
        <f>+IFERROR(VLOOKUP(N49,IN_Zugliste!$A$4:$F$602,7,FALSE),"")</f>
        <v/>
      </c>
      <c r="O348" t="str">
        <f>+IFERROR(VLOOKUP(O49,IN_Zugliste!$A$4:$F$602,7,FALSE),"")</f>
        <v/>
      </c>
      <c r="P348" t="str">
        <f>+IFERROR(VLOOKUP(P49,IN_Zugliste!$A$4:$F$602,7,FALSE),"")</f>
        <v/>
      </c>
      <c r="Q348" t="str">
        <f>+IFERROR(VLOOKUP(Q49,IN_Zugliste!$A$4:$F$602,7,FALSE),"")</f>
        <v/>
      </c>
      <c r="R348" t="str">
        <f>+IFERROR(VLOOKUP(R49,IN_Zugliste!$A$4:$F$602,7,FALSE),"")</f>
        <v/>
      </c>
      <c r="S348" t="str">
        <f>+IFERROR(VLOOKUP(S49,IN_Zugliste!$A$4:$F$602,7,FALSE),"")</f>
        <v/>
      </c>
      <c r="T348" t="str">
        <f>+IFERROR(VLOOKUP(T49,IN_Zugliste!$A$4:$F$602,7,FALSE),"")</f>
        <v/>
      </c>
      <c r="U348" t="str">
        <f>+IFERROR(VLOOKUP(U49,IN_Zugliste!$A$4:$F$602,7,FALSE),"")</f>
        <v/>
      </c>
      <c r="V348" t="str">
        <f>+IFERROR(VLOOKUP(V49,IN_Zugliste!$A$4:$F$602,7,FALSE),"")</f>
        <v/>
      </c>
      <c r="W348" t="str">
        <f>+IFERROR(VLOOKUP(W49,IN_Zugliste!$A$4:$F$602,7,FALSE),"")</f>
        <v/>
      </c>
      <c r="X348" t="str">
        <f>+IFERROR(VLOOKUP(X49,IN_Zugliste!$A$4:$F$602,7,FALSE),"")</f>
        <v/>
      </c>
      <c r="Y348" t="str">
        <f>+IFERROR(VLOOKUP(Y49,IN_Zugliste!$A$4:$F$602,7,FALSE),"")</f>
        <v/>
      </c>
      <c r="Z348" t="str">
        <f>+IFERROR(VLOOKUP(Z49,IN_Zugliste!$A$4:$F$602,7,FALSE),"")</f>
        <v/>
      </c>
      <c r="AA348" t="str">
        <f>+IFERROR(VLOOKUP(AA49,IN_Zugliste!$A$4:$F$602,7,FALSE),"")</f>
        <v/>
      </c>
      <c r="AB348" t="str">
        <f>+IFERROR(VLOOKUP(AB49,IN_Zugliste!$A$4:$F$602,7,FALSE),"")</f>
        <v/>
      </c>
      <c r="AC348" t="str">
        <f>+IFERROR(VLOOKUP(AC49,IN_Zugliste!$A$4:$F$602,7,FALSE),"")</f>
        <v/>
      </c>
      <c r="AD348" t="str">
        <f>+IFERROR(VLOOKUP(AD49,IN_Zugliste!$A$4:$F$602,7,FALSE),"")</f>
        <v/>
      </c>
      <c r="AE348" t="str">
        <f>+IFERROR(VLOOKUP(AE49,IN_Zugliste!$A$4:$F$602,7,FALSE),"")</f>
        <v/>
      </c>
      <c r="AF348" t="str">
        <f>+IFERROR(VLOOKUP(AF49,IN_Zugliste!$A$4:$F$602,7,FALSE),"")</f>
        <v/>
      </c>
      <c r="AG348" t="str">
        <f>+IFERROR(VLOOKUP(AG49,IN_Zugliste!$A$4:$F$602,7,FALSE),"")</f>
        <v/>
      </c>
      <c r="AH348" t="str">
        <f>+IFERROR(VLOOKUP(AH49,IN_Zugliste!$A$4:$F$602,7,FALSE),"")</f>
        <v/>
      </c>
      <c r="AI348" t="str">
        <f>+IFERROR(VLOOKUP(AI49,IN_Zugliste!$A$4:$F$602,7,FALSE),"")</f>
        <v/>
      </c>
      <c r="AJ348" t="str">
        <f>+IFERROR(VLOOKUP(AJ49,IN_Zugliste!$A$4:$F$602,7,FALSE),"")</f>
        <v/>
      </c>
      <c r="AK348" t="str">
        <f>+IFERROR(VLOOKUP(AK49,IN_Zugliste!$A$4:$F$602,7,FALSE),"")</f>
        <v/>
      </c>
      <c r="AL348" t="str">
        <f>+IFERROR(VLOOKUP(AL49,IN_Zugliste!$A$4:$F$602,7,FALSE),"")</f>
        <v/>
      </c>
      <c r="AM348" t="str">
        <f>+IFERROR(VLOOKUP(AM49,IN_Zugliste!$A$4:$F$602,7,FALSE),"")</f>
        <v/>
      </c>
      <c r="AN348" t="str">
        <f>+IFERROR(VLOOKUP(AN49,IN_Zugliste!$A$4:$F$602,7,FALSE),"")</f>
        <v/>
      </c>
      <c r="AO348" t="str">
        <f>+IFERROR(VLOOKUP(AO49,IN_Zugliste!$A$4:$F$602,7,FALSE),"")</f>
        <v/>
      </c>
      <c r="AP348" t="str">
        <f>+IFERROR(VLOOKUP(AP49,IN_Zugliste!$A$4:$F$602,7,FALSE),"")</f>
        <v/>
      </c>
      <c r="AQ348" t="str">
        <f>+IFERROR(VLOOKUP(AQ49,IN_Zugliste!$A$4:$F$602,7,FALSE),"")</f>
        <v/>
      </c>
      <c r="AR348" t="str">
        <f>+IFERROR(VLOOKUP(AR49,IN_Zugliste!$A$4:$F$602,7,FALSE),"")</f>
        <v/>
      </c>
      <c r="AS348" t="str">
        <f>+IFERROR(VLOOKUP(AS49,IN_Zugliste!$A$4:$F$602,7,FALSE),"")</f>
        <v/>
      </c>
      <c r="AT348" t="str">
        <f>+IFERROR(VLOOKUP(AT49,IN_Zugliste!$A$4:$F$602,7,FALSE),"")</f>
        <v/>
      </c>
      <c r="AU348" t="str">
        <f>+IFERROR(VLOOKUP(AU49,IN_Zugliste!$A$4:$F$602,7,FALSE),"")</f>
        <v/>
      </c>
      <c r="AV348" t="str">
        <f>+IFERROR(VLOOKUP(AV49,IN_Zugliste!$A$4:$F$602,7,FALSE),"")</f>
        <v/>
      </c>
      <c r="AW348" t="str">
        <f>+IFERROR(VLOOKUP(AW49,IN_Zugliste!$A$4:$F$602,7,FALSE),"")</f>
        <v/>
      </c>
      <c r="AX348" t="str">
        <f>+IFERROR(VLOOKUP(AX49,IN_Zugliste!$A$4:$F$602,7,FALSE),"")</f>
        <v/>
      </c>
      <c r="AY348" t="str">
        <f>+IFERROR(VLOOKUP(AY49,IN_Zugliste!$A$4:$F$602,7,FALSE),"")</f>
        <v/>
      </c>
      <c r="AZ348" t="str">
        <f>+IFERROR(VLOOKUP(AZ49,IN_Zugliste!$A$4:$F$602,7,FALSE),"")</f>
        <v/>
      </c>
      <c r="BA348" t="str">
        <f>+IFERROR(VLOOKUP(BA49,IN_Zugliste!$A$4:$F$602,7,FALSE),"")</f>
        <v/>
      </c>
      <c r="BB348" t="str">
        <f>+IFERROR(VLOOKUP(BB49,IN_Zugliste!$A$4:$F$602,7,FALSE),"")</f>
        <v/>
      </c>
      <c r="BC348" t="str">
        <f>+IFERROR(VLOOKUP(BC49,IN_Zugliste!$A$4:$F$602,7,FALSE),"")</f>
        <v/>
      </c>
      <c r="BD348" t="str">
        <f>+IFERROR(VLOOKUP(BD49,IN_Zugliste!$A$4:$F$602,7,FALSE),"")</f>
        <v/>
      </c>
      <c r="BE348" t="str">
        <f>+IFERROR(VLOOKUP(BE49,IN_Zugliste!$A$4:$F$602,7,FALSE),"")</f>
        <v/>
      </c>
      <c r="BF348" t="str">
        <f>+IFERROR(VLOOKUP(BF49,IN_Zugliste!$A$4:$F$602,7,FALSE),"")</f>
        <v/>
      </c>
      <c r="BG348" t="str">
        <f>+IFERROR(VLOOKUP(BG49,IN_Zugliste!$A$4:$F$602,7,FALSE),"")</f>
        <v/>
      </c>
      <c r="BH348" t="str">
        <f>+IFERROR(VLOOKUP(BH49,IN_Zugliste!$A$4:$F$602,7,FALSE),"")</f>
        <v/>
      </c>
      <c r="BI348" t="str">
        <f>+IFERROR(VLOOKUP(BI49,IN_Zugliste!$A$4:$F$602,7,FALSE),"")</f>
        <v/>
      </c>
      <c r="BJ348" t="str">
        <f>+IFERROR(VLOOKUP(BJ49,IN_Zugliste!$A$4:$F$602,7,FALSE),"")</f>
        <v/>
      </c>
      <c r="BK348" t="str">
        <f>+IFERROR(VLOOKUP(BK49,IN_Zugliste!$A$4:$F$602,7,FALSE),"")</f>
        <v/>
      </c>
      <c r="BL348" t="str">
        <f>+IFERROR(VLOOKUP(BL49,IN_Zugliste!$A$4:$F$602,7,FALSE),"")</f>
        <v/>
      </c>
      <c r="BM348" t="str">
        <f>+IFERROR(VLOOKUP(BM49,IN_Zugliste!$A$4:$F$602,7,FALSE),"")</f>
        <v/>
      </c>
      <c r="BN348" t="str">
        <f>+IFERROR(VLOOKUP(BN49,IN_Zugliste!$A$4:$F$602,7,FALSE),"")</f>
        <v/>
      </c>
      <c r="BO348" t="str">
        <f>+IFERROR(VLOOKUP(BO49,IN_Zugliste!$A$4:$F$602,7,FALSE),"")</f>
        <v/>
      </c>
      <c r="BP348" t="str">
        <f>+IFERROR(VLOOKUP(BP49,IN_Zugliste!$A$4:$F$602,7,FALSE),"")</f>
        <v/>
      </c>
      <c r="BQ348" t="str">
        <f>+IFERROR(VLOOKUP(BQ49,IN_Zugliste!$A$4:$F$602,7,FALSE),"")</f>
        <v/>
      </c>
      <c r="BR348" t="str">
        <f>+IFERROR(VLOOKUP(BR49,IN_Zugliste!$A$4:$F$602,7,FALSE),"")</f>
        <v/>
      </c>
      <c r="BS348" t="str">
        <f>+IFERROR(VLOOKUP(BS49,IN_Zugliste!$A$4:$F$602,7,FALSE),"")</f>
        <v/>
      </c>
      <c r="BT348" t="str">
        <f>+IFERROR(VLOOKUP(BT49,IN_Zugliste!$A$4:$F$602,7,FALSE),"")</f>
        <v/>
      </c>
      <c r="BU348" t="str">
        <f>+IFERROR(VLOOKUP(BU49,IN_Zugliste!$A$4:$F$602,7,FALSE),"")</f>
        <v/>
      </c>
      <c r="BV348" t="str">
        <f>+IFERROR(VLOOKUP(BV49,IN_Zugliste!$A$4:$F$602,7,FALSE),"")</f>
        <v/>
      </c>
      <c r="BW348" t="str">
        <f>+IFERROR(VLOOKUP(BW49,IN_Zugliste!$A$4:$F$602,7,FALSE),"")</f>
        <v/>
      </c>
      <c r="BX348" t="str">
        <f>+IFERROR(VLOOKUP(BX49,IN_Zugliste!$A$4:$F$602,7,FALSE),"")</f>
        <v/>
      </c>
      <c r="BY348" t="str">
        <f>+IFERROR(VLOOKUP(BY49,IN_Zugliste!$A$4:$F$602,7,FALSE),"")</f>
        <v/>
      </c>
      <c r="BZ348" t="str">
        <f>+IFERROR(VLOOKUP(BZ49,IN_Zugliste!$A$4:$F$602,7,FALSE),"")</f>
        <v/>
      </c>
      <c r="CA348" t="str">
        <f>+IFERROR(VLOOKUP(CA49,IN_Zugliste!$A$4:$F$602,7,FALSE),"")</f>
        <v/>
      </c>
      <c r="CB348" t="str">
        <f>+IFERROR(VLOOKUP(CB49,IN_Zugliste!$A$4:$F$602,7,FALSE),"")</f>
        <v/>
      </c>
      <c r="CC348" t="str">
        <f>+IFERROR(VLOOKUP(CC49,IN_Zugliste!$A$4:$F$602,7,FALSE),"")</f>
        <v/>
      </c>
      <c r="CD348" t="str">
        <f>+IFERROR(VLOOKUP(CD49,IN_Zugliste!$A$4:$F$602,7,FALSE),"")</f>
        <v/>
      </c>
      <c r="CE348" t="str">
        <f>+IFERROR(VLOOKUP(CE49,IN_Zugliste!$A$4:$F$602,7,FALSE),"")</f>
        <v/>
      </c>
      <c r="CF348" t="str">
        <f>+IFERROR(VLOOKUP(CF49,IN_Zugliste!$A$4:$F$602,7,FALSE),"")</f>
        <v/>
      </c>
      <c r="CG348" t="str">
        <f>+IFERROR(VLOOKUP(CG49,IN_Zugliste!$A$4:$F$602,7,FALSE),"")</f>
        <v/>
      </c>
      <c r="CH348" t="str">
        <f>+IFERROR(VLOOKUP(CH49,IN_Zugliste!$A$4:$F$602,7,FALSE),"")</f>
        <v/>
      </c>
      <c r="CI348" t="str">
        <f>+IFERROR(VLOOKUP(CI49,IN_Zugliste!$A$4:$F$602,7,FALSE),"")</f>
        <v/>
      </c>
      <c r="CJ348" t="str">
        <f>+IFERROR(VLOOKUP(CJ49,IN_Zugliste!$A$4:$F$602,7,FALSE),"")</f>
        <v/>
      </c>
      <c r="CK348" t="str">
        <f>+IFERROR(VLOOKUP(CK49,IN_Zugliste!$A$4:$F$602,7,FALSE),"")</f>
        <v/>
      </c>
      <c r="CL348" t="str">
        <f>+IFERROR(VLOOKUP(CL49,IN_Zugliste!$A$4:$F$602,7,FALSE),"")</f>
        <v/>
      </c>
      <c r="CM348" t="str">
        <f>+IFERROR(VLOOKUP(CM49,IN_Zugliste!$A$4:$F$602,7,FALSE),"")</f>
        <v/>
      </c>
      <c r="CN348" t="str">
        <f>+IFERROR(VLOOKUP(CN49,IN_Zugliste!$A$4:$F$602,7,FALSE),"")</f>
        <v/>
      </c>
      <c r="CO348" t="str">
        <f>+IFERROR(VLOOKUP(CO49,IN_Zugliste!$A$4:$F$602,7,FALSE),"")</f>
        <v/>
      </c>
      <c r="CP348" t="str">
        <f>+IFERROR(VLOOKUP(CP49,IN_Zugliste!$A$4:$F$602,7,FALSE),"")</f>
        <v/>
      </c>
      <c r="CQ348" t="str">
        <f>+IFERROR(VLOOKUP(CQ49,IN_Zugliste!$A$4:$F$602,7,FALSE),"")</f>
        <v/>
      </c>
      <c r="CR348" t="str">
        <f>+IFERROR(VLOOKUP(CR49,IN_Zugliste!$A$4:$F$602,7,FALSE),"")</f>
        <v/>
      </c>
      <c r="CS348" t="str">
        <f>+IFERROR(VLOOKUP(CS49,IN_Zugliste!$A$4:$F$602,7,FALSE),"")</f>
        <v/>
      </c>
      <c r="CT348" t="str">
        <f>+IFERROR(VLOOKUP(CT49,IN_Zugliste!$A$4:$F$602,7,FALSE),"")</f>
        <v/>
      </c>
      <c r="CU348" t="str">
        <f>+IFERROR(VLOOKUP(CU49,IN_Zugliste!$A$4:$F$602,7,FALSE),"")</f>
        <v/>
      </c>
      <c r="CV348" t="str">
        <f>+IFERROR(VLOOKUP(CV49,IN_Zugliste!$A$4:$F$602,7,FALSE),"")</f>
        <v/>
      </c>
      <c r="CW348" t="str">
        <f>+IFERROR(VLOOKUP(CW49,IN_Zugliste!$A$4:$F$602,7,FALSE),"")</f>
        <v/>
      </c>
      <c r="CX348" t="str">
        <f>+IFERROR(VLOOKUP(CX49,IN_Zugliste!$A$4:$F$602,7,FALSE),"")</f>
        <v/>
      </c>
      <c r="CY348" t="str">
        <f>+IFERROR(VLOOKUP(CY49,IN_Zugliste!$A$4:$F$602,7,FALSE),"")</f>
        <v/>
      </c>
      <c r="CZ348" t="str">
        <f>+IFERROR(VLOOKUP(CZ49,IN_Zugliste!$A$4:$F$602,7,FALSE),"")</f>
        <v/>
      </c>
      <c r="DA348" t="str">
        <f>+IFERROR(VLOOKUP(DA49,IN_Zugliste!$A$4:$F$602,7,FALSE),"")</f>
        <v/>
      </c>
      <c r="DB348" t="str">
        <f>+IFERROR(VLOOKUP(DB49,IN_Zugliste!$A$4:$F$602,7,FALSE),"")</f>
        <v/>
      </c>
      <c r="DC348" t="str">
        <f>+IFERROR(VLOOKUP(DC49,IN_Zugliste!$A$4:$F$602,7,FALSE),"")</f>
        <v/>
      </c>
      <c r="DD348" t="str">
        <f>+IFERROR(VLOOKUP(DD49,IN_Zugliste!$A$4:$F$602,7,FALSE),"")</f>
        <v/>
      </c>
      <c r="DE348" t="str">
        <f>+IFERROR(VLOOKUP(DE49,IN_Zugliste!$A$4:$F$602,7,FALSE),"")</f>
        <v/>
      </c>
      <c r="DF348" t="str">
        <f>+IFERROR(VLOOKUP(DF49,IN_Zugliste!$A$4:$F$602,7,FALSE),"")</f>
        <v/>
      </c>
      <c r="DG348" t="str">
        <f>+IFERROR(VLOOKUP(DG49,IN_Zugliste!$A$4:$F$602,7,FALSE),"")</f>
        <v/>
      </c>
      <c r="DH348" t="str">
        <f>+IFERROR(VLOOKUP(DH49,IN_Zugliste!$A$4:$F$602,7,FALSE),"")</f>
        <v/>
      </c>
      <c r="DI348" t="str">
        <f>+IFERROR(VLOOKUP(DI49,IN_Zugliste!$A$4:$F$602,7,FALSE),"")</f>
        <v/>
      </c>
      <c r="DJ348" t="str">
        <f>+IFERROR(VLOOKUP(DJ49,IN_Zugliste!$A$4:$F$602,7,FALSE),"")</f>
        <v/>
      </c>
      <c r="DK348" t="str">
        <f>+IFERROR(VLOOKUP(DK49,IN_Zugliste!$A$4:$F$602,7,FALSE),"")</f>
        <v/>
      </c>
      <c r="DL348" t="str">
        <f>+IFERROR(VLOOKUP(DL49,IN_Zugliste!$A$4:$F$602,7,FALSE),"")</f>
        <v/>
      </c>
      <c r="DM348" t="str">
        <f>+IFERROR(VLOOKUP(DM49,IN_Zugliste!$A$4:$F$602,7,FALSE),"")</f>
        <v/>
      </c>
      <c r="DN348" t="str">
        <f>+IFERROR(VLOOKUP(DN49,IN_Zugliste!$A$4:$F$602,7,FALSE),"")</f>
        <v/>
      </c>
      <c r="DO348" t="str">
        <f>+IFERROR(VLOOKUP(DO49,IN_Zugliste!$A$4:$F$602,7,FALSE),"")</f>
        <v/>
      </c>
      <c r="DP348" t="str">
        <f>+IFERROR(VLOOKUP(DP49,IN_Zugliste!$A$4:$F$602,7,FALSE),"")</f>
        <v/>
      </c>
      <c r="DQ348" t="str">
        <f>+IFERROR(VLOOKUP(DQ49,IN_Zugliste!$A$4:$F$602,7,FALSE),"")</f>
        <v/>
      </c>
      <c r="DR348" t="str">
        <f>+IFERROR(VLOOKUP(DR49,IN_Zugliste!$A$4:$F$602,7,FALSE),"")</f>
        <v/>
      </c>
      <c r="DS348" t="str">
        <f>+IFERROR(VLOOKUP(DS49,IN_Zugliste!$A$4:$F$602,7,FALSE),"")</f>
        <v/>
      </c>
      <c r="DT348" t="str">
        <f>+IFERROR(VLOOKUP(DT49,IN_Zugliste!$A$4:$F$602,7,FALSE),"")</f>
        <v/>
      </c>
      <c r="DU348" t="str">
        <f>+IFERROR(VLOOKUP(DU49,IN_Zugliste!$A$4:$F$602,7,FALSE),"")</f>
        <v/>
      </c>
      <c r="DV348" t="str">
        <f>+IFERROR(VLOOKUP(DV49,IN_Zugliste!$A$4:$F$602,7,FALSE),"")</f>
        <v/>
      </c>
      <c r="DW348" t="str">
        <f>+IFERROR(VLOOKUP(DW49,IN_Zugliste!$A$4:$F$602,7,FALSE),"")</f>
        <v/>
      </c>
      <c r="DX348" t="str">
        <f>+IFERROR(VLOOKUP(DX49,IN_Zugliste!$A$4:$F$602,7,FALSE),"")</f>
        <v/>
      </c>
      <c r="DY348" t="str">
        <f>+IFERROR(VLOOKUP(DY49,IN_Zugliste!$A$4:$F$602,7,FALSE),"")</f>
        <v/>
      </c>
      <c r="DZ348" t="str">
        <f>+IFERROR(VLOOKUP(DZ49,IN_Zugliste!$A$4:$F$602,7,FALSE),"")</f>
        <v/>
      </c>
      <c r="EA348" t="str">
        <f>+IFERROR(VLOOKUP(EA49,IN_Zugliste!$A$4:$F$602,7,FALSE),"")</f>
        <v/>
      </c>
      <c r="EB348" t="str">
        <f>+IFERROR(VLOOKUP(EB49,IN_Zugliste!$A$4:$F$602,7,FALSE),"")</f>
        <v/>
      </c>
      <c r="EC348" t="str">
        <f>+IFERROR(VLOOKUP(EC49,IN_Zugliste!$A$4:$F$602,7,FALSE),"")</f>
        <v/>
      </c>
      <c r="ED348" t="str">
        <f>+IFERROR(VLOOKUP(ED49,IN_Zugliste!$A$4:$F$602,7,FALSE),"")</f>
        <v/>
      </c>
      <c r="EE348" t="str">
        <f>+IFERROR(VLOOKUP(EE49,IN_Zugliste!$A$4:$F$602,7,FALSE),"")</f>
        <v/>
      </c>
      <c r="EF348" t="str">
        <f>+IFERROR(VLOOKUP(EF49,IN_Zugliste!$A$4:$F$602,7,FALSE),"")</f>
        <v/>
      </c>
      <c r="EG348" t="str">
        <f>+IFERROR(VLOOKUP(EG49,IN_Zugliste!$A$4:$F$602,7,FALSE),"")</f>
        <v/>
      </c>
      <c r="EH348" t="str">
        <f>+IFERROR(VLOOKUP(EH49,IN_Zugliste!$A$4:$F$602,7,FALSE),"")</f>
        <v/>
      </c>
      <c r="EI348" t="str">
        <f>+IFERROR(VLOOKUP(EI49,IN_Zugliste!$A$4:$F$602,7,FALSE),"")</f>
        <v/>
      </c>
      <c r="EJ348" t="str">
        <f>+IFERROR(VLOOKUP(EJ49,IN_Zugliste!$A$4:$F$602,7,FALSE),"")</f>
        <v/>
      </c>
      <c r="EK348" t="str">
        <f>+IFERROR(VLOOKUP(EK49,IN_Zugliste!$A$4:$F$602,7,FALSE),"")</f>
        <v/>
      </c>
      <c r="EL348" t="str">
        <f>+IFERROR(VLOOKUP(EL49,IN_Zugliste!$A$4:$F$602,7,FALSE),"")</f>
        <v/>
      </c>
      <c r="EM348" t="str">
        <f>+IFERROR(VLOOKUP(EM49,IN_Zugliste!$A$4:$F$602,7,FALSE),"")</f>
        <v/>
      </c>
      <c r="EN348" t="str">
        <f>+IFERROR(VLOOKUP(EN49,IN_Zugliste!$A$4:$F$602,7,FALSE),"")</f>
        <v/>
      </c>
      <c r="EO348" t="str">
        <f>+IFERROR(VLOOKUP(EO49,IN_Zugliste!$A$4:$F$602,7,FALSE),"")</f>
        <v/>
      </c>
      <c r="EP348" t="str">
        <f>+IFERROR(VLOOKUP(EP49,IN_Zugliste!$A$4:$F$602,7,FALSE),"")</f>
        <v/>
      </c>
      <c r="EQ348" t="str">
        <f>+IFERROR(VLOOKUP(EQ49,IN_Zugliste!$A$4:$F$602,7,FALSE),"")</f>
        <v/>
      </c>
      <c r="ER348" t="str">
        <f>+IFERROR(VLOOKUP(ER49,IN_Zugliste!$A$4:$F$602,7,FALSE),"")</f>
        <v/>
      </c>
      <c r="ES348" t="str">
        <f>+IFERROR(VLOOKUP(ES49,IN_Zugliste!$A$4:$F$602,7,FALSE),"")</f>
        <v/>
      </c>
      <c r="ET348" t="str">
        <f>+IFERROR(VLOOKUP(ET49,IN_Zugliste!$A$4:$F$602,7,FALSE),"")</f>
        <v/>
      </c>
      <c r="EU348" t="str">
        <f>+IFERROR(VLOOKUP(EU49,IN_Zugliste!$A$4:$F$602,7,FALSE),"")</f>
        <v/>
      </c>
      <c r="EV348" t="str">
        <f>+IFERROR(VLOOKUP(EV49,IN_Zugliste!$A$4:$F$602,7,FALSE),"")</f>
        <v/>
      </c>
      <c r="EW348" t="str">
        <f>+IFERROR(VLOOKUP(EW49,IN_Zugliste!$A$4:$F$602,7,FALSE),"")</f>
        <v/>
      </c>
      <c r="EX348" t="str">
        <f>+IFERROR(VLOOKUP(EX49,IN_Zugliste!$A$4:$F$602,7,FALSE),"")</f>
        <v/>
      </c>
      <c r="EY348" t="str">
        <f>+IFERROR(VLOOKUP(EY49,IN_Zugliste!$A$4:$F$602,7,FALSE),"")</f>
        <v/>
      </c>
      <c r="EZ348" t="str">
        <f>+IFERROR(VLOOKUP(EZ49,IN_Zugliste!$A$4:$F$602,7,FALSE),"")</f>
        <v/>
      </c>
      <c r="FA348" t="str">
        <f>+IFERROR(VLOOKUP(FA49,IN_Zugliste!$A$4:$F$602,7,FALSE),"")</f>
        <v/>
      </c>
      <c r="FB348" t="str">
        <f>+IFERROR(VLOOKUP(FB49,IN_Zugliste!$A$4:$F$602,7,FALSE),"")</f>
        <v/>
      </c>
      <c r="FC348" t="str">
        <f>+IFERROR(VLOOKUP(FC49,IN_Zugliste!$A$4:$F$602,7,FALSE),"")</f>
        <v/>
      </c>
      <c r="FD348" t="str">
        <f>+IFERROR(VLOOKUP(FD49,IN_Zugliste!$A$4:$F$602,7,FALSE),"")</f>
        <v/>
      </c>
      <c r="FE348" t="str">
        <f>+IFERROR(VLOOKUP(FE49,IN_Zugliste!$A$4:$F$602,7,FALSE),"")</f>
        <v/>
      </c>
      <c r="FF348" t="str">
        <f>+IFERROR(VLOOKUP(FF49,IN_Zugliste!$A$4:$F$602,7,FALSE),"")</f>
        <v/>
      </c>
      <c r="FG348" t="str">
        <f>+IFERROR(VLOOKUP(FG49,IN_Zugliste!$A$4:$F$602,7,FALSE),"")</f>
        <v/>
      </c>
      <c r="FH348" t="str">
        <f>+IFERROR(VLOOKUP(FH49,IN_Zugliste!$A$4:$F$602,7,FALSE),"")</f>
        <v/>
      </c>
      <c r="FI348" t="str">
        <f>+IFERROR(VLOOKUP(FI49,IN_Zugliste!$A$4:$F$602,7,FALSE),"")</f>
        <v/>
      </c>
      <c r="FJ348" t="str">
        <f>+IFERROR(VLOOKUP(FJ49,IN_Zugliste!$A$4:$F$602,7,FALSE),"")</f>
        <v/>
      </c>
      <c r="FK348" t="str">
        <f>+IFERROR(VLOOKUP(FK49,IN_Zugliste!$A$4:$F$602,7,FALSE),"")</f>
        <v/>
      </c>
      <c r="FL348" t="str">
        <f>+IFERROR(VLOOKUP(FL49,IN_Zugliste!$A$4:$F$602,7,FALSE),"")</f>
        <v/>
      </c>
      <c r="FM348" t="str">
        <f>+IFERROR(VLOOKUP(FM49,IN_Zugliste!$A$4:$F$602,7,FALSE),"")</f>
        <v/>
      </c>
      <c r="FN348" t="str">
        <f>+IFERROR(VLOOKUP(FN49,IN_Zugliste!$A$4:$F$602,7,FALSE),"")</f>
        <v/>
      </c>
      <c r="FO348" t="str">
        <f>+IFERROR(VLOOKUP(FO49,IN_Zugliste!$A$4:$F$602,7,FALSE),"")</f>
        <v/>
      </c>
      <c r="FP348" t="str">
        <f>+IFERROR(VLOOKUP(FP49,IN_Zugliste!$A$4:$F$602,7,FALSE),"")</f>
        <v/>
      </c>
      <c r="FQ348" t="str">
        <f>+IFERROR(VLOOKUP(FQ49,IN_Zugliste!$A$4:$F$602,7,FALSE),"")</f>
        <v/>
      </c>
      <c r="FR348" t="str">
        <f>+IFERROR(VLOOKUP(FR49,IN_Zugliste!$A$4:$F$602,7,FALSE),"")</f>
        <v/>
      </c>
      <c r="FS348" t="str">
        <f>+IFERROR(VLOOKUP(FS49,IN_Zugliste!$A$4:$F$602,7,FALSE),"")</f>
        <v/>
      </c>
      <c r="FT348" t="str">
        <f>+IFERROR(VLOOKUP(FT49,IN_Zugliste!$A$4:$F$602,7,FALSE),"")</f>
        <v/>
      </c>
      <c r="FU348" t="str">
        <f>+IFERROR(VLOOKUP(FU49,IN_Zugliste!$A$4:$F$602,7,FALSE),"")</f>
        <v/>
      </c>
      <c r="FV348" t="str">
        <f>+IFERROR(VLOOKUP(FV49,IN_Zugliste!$A$4:$F$602,7,FALSE),"")</f>
        <v/>
      </c>
      <c r="FW348" t="str">
        <f>+IFERROR(VLOOKUP(FW49,IN_Zugliste!$A$4:$F$602,7,FALSE),"")</f>
        <v/>
      </c>
      <c r="FX348" t="str">
        <f>+IFERROR(VLOOKUP(FX49,IN_Zugliste!$A$4:$F$602,7,FALSE),"")</f>
        <v/>
      </c>
      <c r="FY348" t="str">
        <f>+IFERROR(VLOOKUP(FY49,IN_Zugliste!$A$4:$F$602,7,FALSE),"")</f>
        <v/>
      </c>
      <c r="FZ348" t="str">
        <f>+IFERROR(VLOOKUP(FZ49,IN_Zugliste!$A$4:$F$602,7,FALSE),"")</f>
        <v/>
      </c>
      <c r="GA348" t="str">
        <f>+IFERROR(VLOOKUP(GA49,IN_Zugliste!$A$4:$F$602,7,FALSE),"")</f>
        <v/>
      </c>
      <c r="GB348" t="str">
        <f>+IFERROR(VLOOKUP(GB49,IN_Zugliste!$A$4:$F$602,7,FALSE),"")</f>
        <v/>
      </c>
      <c r="GC348" t="str">
        <f>+IFERROR(VLOOKUP(GC49,IN_Zugliste!$A$4:$F$602,7,FALSE),"")</f>
        <v/>
      </c>
      <c r="GD348" t="str">
        <f>+IFERROR(VLOOKUP(GD49,IN_Zugliste!$A$4:$F$602,7,FALSE),"")</f>
        <v/>
      </c>
      <c r="GE348" t="str">
        <f>+IFERROR(VLOOKUP(GE49,IN_Zugliste!$A$4:$F$602,7,FALSE),"")</f>
        <v/>
      </c>
      <c r="GF348" t="str">
        <f>+IFERROR(VLOOKUP(GF49,IN_Zugliste!$A$4:$F$602,7,FALSE),"")</f>
        <v/>
      </c>
      <c r="GG348" t="str">
        <f>+IFERROR(VLOOKUP(GG49,IN_Zugliste!$A$4:$F$602,7,FALSE),"")</f>
        <v/>
      </c>
      <c r="GH348" t="str">
        <f>+IFERROR(VLOOKUP(GH49,IN_Zugliste!$A$4:$F$602,7,FALSE),"")</f>
        <v/>
      </c>
      <c r="GI348" t="str">
        <f>+IFERROR(VLOOKUP(GI49,IN_Zugliste!$A$4:$F$602,7,FALSE),"")</f>
        <v/>
      </c>
      <c r="GJ348" t="str">
        <f>+IFERROR(VLOOKUP(GJ49,IN_Zugliste!$A$4:$F$602,7,FALSE),"")</f>
        <v/>
      </c>
      <c r="GK348" t="str">
        <f>+IFERROR(VLOOKUP(GK49,IN_Zugliste!$A$4:$F$602,7,FALSE),"")</f>
        <v/>
      </c>
      <c r="GL348" t="str">
        <f>+IFERROR(VLOOKUP(GL49,IN_Zugliste!$A$4:$F$602,7,FALSE),"")</f>
        <v/>
      </c>
      <c r="GM348" t="str">
        <f>+IFERROR(VLOOKUP(GM49,IN_Zugliste!$A$4:$F$602,7,FALSE),"")</f>
        <v/>
      </c>
      <c r="GN348" t="str">
        <f>+IFERROR(VLOOKUP(GN49,IN_Zugliste!$A$4:$F$602,7,FALSE),"")</f>
        <v/>
      </c>
      <c r="GO348" t="str">
        <f>+IFERROR(VLOOKUP(GO49,IN_Zugliste!$A$4:$F$602,7,FALSE),"")</f>
        <v/>
      </c>
      <c r="GP348" t="str">
        <f>+IFERROR(VLOOKUP(GP49,IN_Zugliste!$A$4:$F$602,7,FALSE),"")</f>
        <v/>
      </c>
      <c r="GQ348" t="str">
        <f>+IFERROR(VLOOKUP(GQ49,IN_Zugliste!$A$4:$F$602,7,FALSE),"")</f>
        <v/>
      </c>
      <c r="GR348" t="str">
        <f>+IFERROR(VLOOKUP(GR49,IN_Zugliste!$A$4:$F$602,7,FALSE),"")</f>
        <v/>
      </c>
      <c r="GS348" t="str">
        <f>+IFERROR(VLOOKUP(GS49,IN_Zugliste!$A$4:$F$602,7,FALSE),"")</f>
        <v/>
      </c>
      <c r="GT348" t="str">
        <f>+IFERROR(VLOOKUP(GT49,IN_Zugliste!$A$4:$F$602,7,FALSE),"")</f>
        <v/>
      </c>
      <c r="GU348" t="str">
        <f>+IFERROR(VLOOKUP(GU49,IN_Zugliste!$A$4:$F$602,7,FALSE),"")</f>
        <v/>
      </c>
      <c r="GV348" t="str">
        <f>+IFERROR(VLOOKUP(GV49,IN_Zugliste!$A$4:$F$602,7,FALSE),"")</f>
        <v/>
      </c>
      <c r="GW348" t="str">
        <f>+IFERROR(VLOOKUP(GW49,IN_Zugliste!$A$4:$F$602,7,FALSE),"")</f>
        <v/>
      </c>
      <c r="GX348" t="str">
        <f>+IFERROR(VLOOKUP(GX49,IN_Zugliste!$A$4:$F$602,7,FALSE),"")</f>
        <v/>
      </c>
      <c r="GY348" t="str">
        <f>+IFERROR(VLOOKUP(GY49,IN_Zugliste!$A$4:$F$602,7,FALSE),"")</f>
        <v/>
      </c>
      <c r="GZ348" t="str">
        <f>+IFERROR(VLOOKUP(GZ49,IN_Zugliste!$A$4:$F$602,7,FALSE),"")</f>
        <v/>
      </c>
      <c r="HA348" t="str">
        <f>+IFERROR(VLOOKUP(HA49,IN_Zugliste!$A$4:$F$602,7,FALSE),"")</f>
        <v/>
      </c>
      <c r="HB348" t="str">
        <f>+IFERROR(VLOOKUP(HB49,IN_Zugliste!$A$4:$F$602,7,FALSE),"")</f>
        <v/>
      </c>
      <c r="HC348" t="str">
        <f>+IFERROR(VLOOKUP(HC49,IN_Zugliste!$A$4:$F$602,7,FALSE),"")</f>
        <v/>
      </c>
      <c r="HD348" t="str">
        <f>+IFERROR(VLOOKUP(HD49,IN_Zugliste!$A$4:$F$602,7,FALSE),"")</f>
        <v/>
      </c>
      <c r="HE348" t="str">
        <f>+IFERROR(VLOOKUP(HE49,IN_Zugliste!$A$4:$F$602,7,FALSE),"")</f>
        <v/>
      </c>
      <c r="HF348" t="str">
        <f>+IFERROR(VLOOKUP(HF49,IN_Zugliste!$A$4:$F$602,7,FALSE),"")</f>
        <v/>
      </c>
      <c r="HG348" t="str">
        <f>+IFERROR(VLOOKUP(HG49,IN_Zugliste!$A$4:$F$602,7,FALSE),"")</f>
        <v/>
      </c>
      <c r="HH348" t="str">
        <f>+IFERROR(VLOOKUP(HH49,IN_Zugliste!$A$4:$F$602,7,FALSE),"")</f>
        <v/>
      </c>
    </row>
    <row r="349" spans="1:216" x14ac:dyDescent="0.2">
      <c r="A349" t="str">
        <f>+IFERROR(VLOOKUP(A50,IN_Zugliste!$A$4:$F$602,7,FALSE),"")</f>
        <v/>
      </c>
      <c r="B349" t="str">
        <f>+IFERROR(VLOOKUP(B50,IN_Zugliste!$A$4:$F$602,7,FALSE),"")</f>
        <v/>
      </c>
      <c r="C349" t="str">
        <f>+IFERROR(VLOOKUP(C50,IN_Zugliste!$A$4:$F$602,7,FALSE),"")</f>
        <v/>
      </c>
      <c r="D349" t="str">
        <f>+IFERROR(VLOOKUP(D50,IN_Zugliste!$A$4:$F$602,7,FALSE),"")</f>
        <v/>
      </c>
      <c r="E349" t="str">
        <f>+IFERROR(VLOOKUP(E50,IN_Zugliste!$A$4:$F$602,7,FALSE),"")</f>
        <v/>
      </c>
      <c r="F349" t="str">
        <f>+IFERROR(VLOOKUP(F50,IN_Zugliste!$A$4:$F$602,7,FALSE),"")</f>
        <v/>
      </c>
      <c r="G349" t="str">
        <f>+IFERROR(VLOOKUP(G50,IN_Zugliste!$A$4:$F$602,7,FALSE),"")</f>
        <v/>
      </c>
      <c r="H349" t="str">
        <f>+IFERROR(VLOOKUP(H50,IN_Zugliste!$A$4:$F$602,7,FALSE),"")</f>
        <v/>
      </c>
      <c r="I349" t="str">
        <f>+IFERROR(VLOOKUP(I50,IN_Zugliste!$A$4:$F$602,7,FALSE),"")</f>
        <v/>
      </c>
      <c r="J349" t="str">
        <f>+IFERROR(VLOOKUP(J50,IN_Zugliste!$A$4:$F$602,7,FALSE),"")</f>
        <v/>
      </c>
      <c r="K349" t="str">
        <f>+IFERROR(VLOOKUP(K50,IN_Zugliste!$A$4:$F$602,7,FALSE),"")</f>
        <v/>
      </c>
      <c r="L349" t="str">
        <f>+IFERROR(VLOOKUP(L50,IN_Zugliste!$A$4:$F$602,7,FALSE),"")</f>
        <v/>
      </c>
      <c r="M349" t="str">
        <f>+IFERROR(VLOOKUP(M50,IN_Zugliste!$A$4:$F$602,7,FALSE),"")</f>
        <v/>
      </c>
      <c r="N349" t="str">
        <f>+IFERROR(VLOOKUP(N50,IN_Zugliste!$A$4:$F$602,7,FALSE),"")</f>
        <v/>
      </c>
      <c r="O349" t="str">
        <f>+IFERROR(VLOOKUP(O50,IN_Zugliste!$A$4:$F$602,7,FALSE),"")</f>
        <v/>
      </c>
      <c r="P349" t="str">
        <f>+IFERROR(VLOOKUP(P50,IN_Zugliste!$A$4:$F$602,7,FALSE),"")</f>
        <v/>
      </c>
      <c r="Q349" t="str">
        <f>+IFERROR(VLOOKUP(Q50,IN_Zugliste!$A$4:$F$602,7,FALSE),"")</f>
        <v/>
      </c>
      <c r="R349" t="str">
        <f>+IFERROR(VLOOKUP(R50,IN_Zugliste!$A$4:$F$602,7,FALSE),"")</f>
        <v/>
      </c>
      <c r="S349" t="str">
        <f>+IFERROR(VLOOKUP(S50,IN_Zugliste!$A$4:$F$602,7,FALSE),"")</f>
        <v/>
      </c>
      <c r="T349" t="str">
        <f>+IFERROR(VLOOKUP(T50,IN_Zugliste!$A$4:$F$602,7,FALSE),"")</f>
        <v/>
      </c>
      <c r="U349" t="str">
        <f>+IFERROR(VLOOKUP(U50,IN_Zugliste!$A$4:$F$602,7,FALSE),"")</f>
        <v/>
      </c>
      <c r="V349" t="str">
        <f>+IFERROR(VLOOKUP(V50,IN_Zugliste!$A$4:$F$602,7,FALSE),"")</f>
        <v/>
      </c>
      <c r="W349" t="str">
        <f>+IFERROR(VLOOKUP(W50,IN_Zugliste!$A$4:$F$602,7,FALSE),"")</f>
        <v/>
      </c>
      <c r="X349" t="str">
        <f>+IFERROR(VLOOKUP(X50,IN_Zugliste!$A$4:$F$602,7,FALSE),"")</f>
        <v/>
      </c>
      <c r="Y349" t="str">
        <f>+IFERROR(VLOOKUP(Y50,IN_Zugliste!$A$4:$F$602,7,FALSE),"")</f>
        <v/>
      </c>
      <c r="Z349" t="str">
        <f>+IFERROR(VLOOKUP(Z50,IN_Zugliste!$A$4:$F$602,7,FALSE),"")</f>
        <v/>
      </c>
      <c r="AA349" t="str">
        <f>+IFERROR(VLOOKUP(AA50,IN_Zugliste!$A$4:$F$602,7,FALSE),"")</f>
        <v/>
      </c>
      <c r="AB349" t="str">
        <f>+IFERROR(VLOOKUP(AB50,IN_Zugliste!$A$4:$F$602,7,FALSE),"")</f>
        <v/>
      </c>
      <c r="AC349" t="str">
        <f>+IFERROR(VLOOKUP(AC50,IN_Zugliste!$A$4:$F$602,7,FALSE),"")</f>
        <v/>
      </c>
      <c r="AD349" t="str">
        <f>+IFERROR(VLOOKUP(AD50,IN_Zugliste!$A$4:$F$602,7,FALSE),"")</f>
        <v/>
      </c>
      <c r="AE349" t="str">
        <f>+IFERROR(VLOOKUP(AE50,IN_Zugliste!$A$4:$F$602,7,FALSE),"")</f>
        <v/>
      </c>
      <c r="AF349" t="str">
        <f>+IFERROR(VLOOKUP(AF50,IN_Zugliste!$A$4:$F$602,7,FALSE),"")</f>
        <v/>
      </c>
      <c r="AG349" t="str">
        <f>+IFERROR(VLOOKUP(AG50,IN_Zugliste!$A$4:$F$602,7,FALSE),"")</f>
        <v/>
      </c>
      <c r="AH349" t="str">
        <f>+IFERROR(VLOOKUP(AH50,IN_Zugliste!$A$4:$F$602,7,FALSE),"")</f>
        <v/>
      </c>
      <c r="AI349" t="str">
        <f>+IFERROR(VLOOKUP(AI50,IN_Zugliste!$A$4:$F$602,7,FALSE),"")</f>
        <v/>
      </c>
      <c r="AJ349" t="str">
        <f>+IFERROR(VLOOKUP(AJ50,IN_Zugliste!$A$4:$F$602,7,FALSE),"")</f>
        <v/>
      </c>
      <c r="AK349" t="str">
        <f>+IFERROR(VLOOKUP(AK50,IN_Zugliste!$A$4:$F$602,7,FALSE),"")</f>
        <v/>
      </c>
      <c r="AL349" t="str">
        <f>+IFERROR(VLOOKUP(AL50,IN_Zugliste!$A$4:$F$602,7,FALSE),"")</f>
        <v/>
      </c>
      <c r="AM349" t="str">
        <f>+IFERROR(VLOOKUP(AM50,IN_Zugliste!$A$4:$F$602,7,FALSE),"")</f>
        <v/>
      </c>
      <c r="AN349" t="str">
        <f>+IFERROR(VLOOKUP(AN50,IN_Zugliste!$A$4:$F$602,7,FALSE),"")</f>
        <v/>
      </c>
      <c r="AO349" t="str">
        <f>+IFERROR(VLOOKUP(AO50,IN_Zugliste!$A$4:$F$602,7,FALSE),"")</f>
        <v/>
      </c>
      <c r="AP349" t="str">
        <f>+IFERROR(VLOOKUP(AP50,IN_Zugliste!$A$4:$F$602,7,FALSE),"")</f>
        <v/>
      </c>
      <c r="AQ349" t="str">
        <f>+IFERROR(VLOOKUP(AQ50,IN_Zugliste!$A$4:$F$602,7,FALSE),"")</f>
        <v/>
      </c>
      <c r="AR349" t="str">
        <f>+IFERROR(VLOOKUP(AR50,IN_Zugliste!$A$4:$F$602,7,FALSE),"")</f>
        <v/>
      </c>
      <c r="AS349" t="str">
        <f>+IFERROR(VLOOKUP(AS50,IN_Zugliste!$A$4:$F$602,7,FALSE),"")</f>
        <v/>
      </c>
      <c r="AT349" t="str">
        <f>+IFERROR(VLOOKUP(AT50,IN_Zugliste!$A$4:$F$602,7,FALSE),"")</f>
        <v/>
      </c>
      <c r="AU349" t="str">
        <f>+IFERROR(VLOOKUP(AU50,IN_Zugliste!$A$4:$F$602,7,FALSE),"")</f>
        <v/>
      </c>
      <c r="AV349" t="str">
        <f>+IFERROR(VLOOKUP(AV50,IN_Zugliste!$A$4:$F$602,7,FALSE),"")</f>
        <v/>
      </c>
      <c r="AW349" t="str">
        <f>+IFERROR(VLOOKUP(AW50,IN_Zugliste!$A$4:$F$602,7,FALSE),"")</f>
        <v/>
      </c>
      <c r="AX349" t="str">
        <f>+IFERROR(VLOOKUP(AX50,IN_Zugliste!$A$4:$F$602,7,FALSE),"")</f>
        <v/>
      </c>
      <c r="AY349" t="str">
        <f>+IFERROR(VLOOKUP(AY50,IN_Zugliste!$A$4:$F$602,7,FALSE),"")</f>
        <v/>
      </c>
      <c r="AZ349" t="str">
        <f>+IFERROR(VLOOKUP(AZ50,IN_Zugliste!$A$4:$F$602,7,FALSE),"")</f>
        <v/>
      </c>
      <c r="BA349" t="str">
        <f>+IFERROR(VLOOKUP(BA50,IN_Zugliste!$A$4:$F$602,7,FALSE),"")</f>
        <v/>
      </c>
      <c r="BB349" t="str">
        <f>+IFERROR(VLOOKUP(BB50,IN_Zugliste!$A$4:$F$602,7,FALSE),"")</f>
        <v/>
      </c>
      <c r="BC349" t="str">
        <f>+IFERROR(VLOOKUP(BC50,IN_Zugliste!$A$4:$F$602,7,FALSE),"")</f>
        <v/>
      </c>
      <c r="BD349" t="str">
        <f>+IFERROR(VLOOKUP(BD50,IN_Zugliste!$A$4:$F$602,7,FALSE),"")</f>
        <v/>
      </c>
      <c r="BE349" t="str">
        <f>+IFERROR(VLOOKUP(BE50,IN_Zugliste!$A$4:$F$602,7,FALSE),"")</f>
        <v/>
      </c>
      <c r="BF349" t="str">
        <f>+IFERROR(VLOOKUP(BF50,IN_Zugliste!$A$4:$F$602,7,FALSE),"")</f>
        <v/>
      </c>
      <c r="BG349" t="str">
        <f>+IFERROR(VLOOKUP(BG50,IN_Zugliste!$A$4:$F$602,7,FALSE),"")</f>
        <v/>
      </c>
      <c r="BH349" t="str">
        <f>+IFERROR(VLOOKUP(BH50,IN_Zugliste!$A$4:$F$602,7,FALSE),"")</f>
        <v/>
      </c>
      <c r="BI349" t="str">
        <f>+IFERROR(VLOOKUP(BI50,IN_Zugliste!$A$4:$F$602,7,FALSE),"")</f>
        <v/>
      </c>
      <c r="BJ349" t="str">
        <f>+IFERROR(VLOOKUP(BJ50,IN_Zugliste!$A$4:$F$602,7,FALSE),"")</f>
        <v/>
      </c>
      <c r="BK349" t="str">
        <f>+IFERROR(VLOOKUP(BK50,IN_Zugliste!$A$4:$F$602,7,FALSE),"")</f>
        <v/>
      </c>
      <c r="BL349" t="str">
        <f>+IFERROR(VLOOKUP(BL50,IN_Zugliste!$A$4:$F$602,7,FALSE),"")</f>
        <v/>
      </c>
      <c r="BM349" t="str">
        <f>+IFERROR(VLOOKUP(BM50,IN_Zugliste!$A$4:$F$602,7,FALSE),"")</f>
        <v/>
      </c>
      <c r="BN349" t="str">
        <f>+IFERROR(VLOOKUP(BN50,IN_Zugliste!$A$4:$F$602,7,FALSE),"")</f>
        <v/>
      </c>
      <c r="BO349" t="str">
        <f>+IFERROR(VLOOKUP(BO50,IN_Zugliste!$A$4:$F$602,7,FALSE),"")</f>
        <v/>
      </c>
      <c r="BP349" t="str">
        <f>+IFERROR(VLOOKUP(BP50,IN_Zugliste!$A$4:$F$602,7,FALSE),"")</f>
        <v/>
      </c>
      <c r="BQ349" t="str">
        <f>+IFERROR(VLOOKUP(BQ50,IN_Zugliste!$A$4:$F$602,7,FALSE),"")</f>
        <v/>
      </c>
      <c r="BR349" t="str">
        <f>+IFERROR(VLOOKUP(BR50,IN_Zugliste!$A$4:$F$602,7,FALSE),"")</f>
        <v/>
      </c>
      <c r="BS349" t="str">
        <f>+IFERROR(VLOOKUP(BS50,IN_Zugliste!$A$4:$F$602,7,FALSE),"")</f>
        <v/>
      </c>
      <c r="BT349" t="str">
        <f>+IFERROR(VLOOKUP(BT50,IN_Zugliste!$A$4:$F$602,7,FALSE),"")</f>
        <v/>
      </c>
      <c r="BU349" t="str">
        <f>+IFERROR(VLOOKUP(BU50,IN_Zugliste!$A$4:$F$602,7,FALSE),"")</f>
        <v/>
      </c>
      <c r="BV349" t="str">
        <f>+IFERROR(VLOOKUP(BV50,IN_Zugliste!$A$4:$F$602,7,FALSE),"")</f>
        <v/>
      </c>
      <c r="BW349" t="str">
        <f>+IFERROR(VLOOKUP(BW50,IN_Zugliste!$A$4:$F$602,7,FALSE),"")</f>
        <v/>
      </c>
      <c r="BX349" t="str">
        <f>+IFERROR(VLOOKUP(BX50,IN_Zugliste!$A$4:$F$602,7,FALSE),"")</f>
        <v/>
      </c>
      <c r="BY349" t="str">
        <f>+IFERROR(VLOOKUP(BY50,IN_Zugliste!$A$4:$F$602,7,FALSE),"")</f>
        <v/>
      </c>
      <c r="BZ349" t="str">
        <f>+IFERROR(VLOOKUP(BZ50,IN_Zugliste!$A$4:$F$602,7,FALSE),"")</f>
        <v/>
      </c>
      <c r="CA349" t="str">
        <f>+IFERROR(VLOOKUP(CA50,IN_Zugliste!$A$4:$F$602,7,FALSE),"")</f>
        <v/>
      </c>
      <c r="CB349" t="str">
        <f>+IFERROR(VLOOKUP(CB50,IN_Zugliste!$A$4:$F$602,7,FALSE),"")</f>
        <v/>
      </c>
      <c r="CC349" t="str">
        <f>+IFERROR(VLOOKUP(CC50,IN_Zugliste!$A$4:$F$602,7,FALSE),"")</f>
        <v/>
      </c>
      <c r="CD349" t="str">
        <f>+IFERROR(VLOOKUP(CD50,IN_Zugliste!$A$4:$F$602,7,FALSE),"")</f>
        <v/>
      </c>
      <c r="CE349" t="str">
        <f>+IFERROR(VLOOKUP(CE50,IN_Zugliste!$A$4:$F$602,7,FALSE),"")</f>
        <v/>
      </c>
      <c r="CF349" t="str">
        <f>+IFERROR(VLOOKUP(CF50,IN_Zugliste!$A$4:$F$602,7,FALSE),"")</f>
        <v/>
      </c>
      <c r="CG349" t="str">
        <f>+IFERROR(VLOOKUP(CG50,IN_Zugliste!$A$4:$F$602,7,FALSE),"")</f>
        <v/>
      </c>
      <c r="CH349" t="str">
        <f>+IFERROR(VLOOKUP(CH50,IN_Zugliste!$A$4:$F$602,7,FALSE),"")</f>
        <v/>
      </c>
      <c r="CI349" t="str">
        <f>+IFERROR(VLOOKUP(CI50,IN_Zugliste!$A$4:$F$602,7,FALSE),"")</f>
        <v/>
      </c>
      <c r="CJ349" t="str">
        <f>+IFERROR(VLOOKUP(CJ50,IN_Zugliste!$A$4:$F$602,7,FALSE),"")</f>
        <v/>
      </c>
      <c r="CK349" t="str">
        <f>+IFERROR(VLOOKUP(CK50,IN_Zugliste!$A$4:$F$602,7,FALSE),"")</f>
        <v/>
      </c>
      <c r="CL349" t="str">
        <f>+IFERROR(VLOOKUP(CL50,IN_Zugliste!$A$4:$F$602,7,FALSE),"")</f>
        <v/>
      </c>
      <c r="CM349" t="str">
        <f>+IFERROR(VLOOKUP(CM50,IN_Zugliste!$A$4:$F$602,7,FALSE),"")</f>
        <v/>
      </c>
      <c r="CN349" t="str">
        <f>+IFERROR(VLOOKUP(CN50,IN_Zugliste!$A$4:$F$602,7,FALSE),"")</f>
        <v/>
      </c>
      <c r="CO349" t="str">
        <f>+IFERROR(VLOOKUP(CO50,IN_Zugliste!$A$4:$F$602,7,FALSE),"")</f>
        <v/>
      </c>
      <c r="CP349" t="str">
        <f>+IFERROR(VLOOKUP(CP50,IN_Zugliste!$A$4:$F$602,7,FALSE),"")</f>
        <v/>
      </c>
      <c r="CQ349" t="str">
        <f>+IFERROR(VLOOKUP(CQ50,IN_Zugliste!$A$4:$F$602,7,FALSE),"")</f>
        <v/>
      </c>
      <c r="CR349" t="str">
        <f>+IFERROR(VLOOKUP(CR50,IN_Zugliste!$A$4:$F$602,7,FALSE),"")</f>
        <v/>
      </c>
      <c r="CS349" t="str">
        <f>+IFERROR(VLOOKUP(CS50,IN_Zugliste!$A$4:$F$602,7,FALSE),"")</f>
        <v/>
      </c>
      <c r="CT349" t="str">
        <f>+IFERROR(VLOOKUP(CT50,IN_Zugliste!$A$4:$F$602,7,FALSE),"")</f>
        <v/>
      </c>
      <c r="CU349" t="str">
        <f>+IFERROR(VLOOKUP(CU50,IN_Zugliste!$A$4:$F$602,7,FALSE),"")</f>
        <v/>
      </c>
      <c r="CV349" t="str">
        <f>+IFERROR(VLOOKUP(CV50,IN_Zugliste!$A$4:$F$602,7,FALSE),"")</f>
        <v/>
      </c>
      <c r="CW349" t="str">
        <f>+IFERROR(VLOOKUP(CW50,IN_Zugliste!$A$4:$F$602,7,FALSE),"")</f>
        <v/>
      </c>
      <c r="CX349" t="str">
        <f>+IFERROR(VLOOKUP(CX50,IN_Zugliste!$A$4:$F$602,7,FALSE),"")</f>
        <v/>
      </c>
      <c r="CY349" t="str">
        <f>+IFERROR(VLOOKUP(CY50,IN_Zugliste!$A$4:$F$602,7,FALSE),"")</f>
        <v/>
      </c>
      <c r="CZ349" t="str">
        <f>+IFERROR(VLOOKUP(CZ50,IN_Zugliste!$A$4:$F$602,7,FALSE),"")</f>
        <v/>
      </c>
      <c r="DA349" t="str">
        <f>+IFERROR(VLOOKUP(DA50,IN_Zugliste!$A$4:$F$602,7,FALSE),"")</f>
        <v/>
      </c>
      <c r="DB349" t="str">
        <f>+IFERROR(VLOOKUP(DB50,IN_Zugliste!$A$4:$F$602,7,FALSE),"")</f>
        <v/>
      </c>
      <c r="DC349" t="str">
        <f>+IFERROR(VLOOKUP(DC50,IN_Zugliste!$A$4:$F$602,7,FALSE),"")</f>
        <v/>
      </c>
      <c r="DD349" t="str">
        <f>+IFERROR(VLOOKUP(DD50,IN_Zugliste!$A$4:$F$602,7,FALSE),"")</f>
        <v/>
      </c>
      <c r="DE349" t="str">
        <f>+IFERROR(VLOOKUP(DE50,IN_Zugliste!$A$4:$F$602,7,FALSE),"")</f>
        <v/>
      </c>
      <c r="DF349" t="str">
        <f>+IFERROR(VLOOKUP(DF50,IN_Zugliste!$A$4:$F$602,7,FALSE),"")</f>
        <v/>
      </c>
      <c r="DG349" t="str">
        <f>+IFERROR(VLOOKUP(DG50,IN_Zugliste!$A$4:$F$602,7,FALSE),"")</f>
        <v/>
      </c>
      <c r="DH349" t="str">
        <f>+IFERROR(VLOOKUP(DH50,IN_Zugliste!$A$4:$F$602,7,FALSE),"")</f>
        <v/>
      </c>
      <c r="DI349" t="str">
        <f>+IFERROR(VLOOKUP(DI50,IN_Zugliste!$A$4:$F$602,7,FALSE),"")</f>
        <v/>
      </c>
      <c r="DJ349" t="str">
        <f>+IFERROR(VLOOKUP(DJ50,IN_Zugliste!$A$4:$F$602,7,FALSE),"")</f>
        <v/>
      </c>
      <c r="DK349" t="str">
        <f>+IFERROR(VLOOKUP(DK50,IN_Zugliste!$A$4:$F$602,7,FALSE),"")</f>
        <v/>
      </c>
      <c r="DL349" t="str">
        <f>+IFERROR(VLOOKUP(DL50,IN_Zugliste!$A$4:$F$602,7,FALSE),"")</f>
        <v/>
      </c>
      <c r="DM349" t="str">
        <f>+IFERROR(VLOOKUP(DM50,IN_Zugliste!$A$4:$F$602,7,FALSE),"")</f>
        <v/>
      </c>
      <c r="DN349" t="str">
        <f>+IFERROR(VLOOKUP(DN50,IN_Zugliste!$A$4:$F$602,7,FALSE),"")</f>
        <v/>
      </c>
      <c r="DO349" t="str">
        <f>+IFERROR(VLOOKUP(DO50,IN_Zugliste!$A$4:$F$602,7,FALSE),"")</f>
        <v/>
      </c>
      <c r="DP349" t="str">
        <f>+IFERROR(VLOOKUP(DP50,IN_Zugliste!$A$4:$F$602,7,FALSE),"")</f>
        <v/>
      </c>
      <c r="DQ349" t="str">
        <f>+IFERROR(VLOOKUP(DQ50,IN_Zugliste!$A$4:$F$602,7,FALSE),"")</f>
        <v/>
      </c>
      <c r="DR349" t="str">
        <f>+IFERROR(VLOOKUP(DR50,IN_Zugliste!$A$4:$F$602,7,FALSE),"")</f>
        <v/>
      </c>
      <c r="DS349" t="str">
        <f>+IFERROR(VLOOKUP(DS50,IN_Zugliste!$A$4:$F$602,7,FALSE),"")</f>
        <v/>
      </c>
      <c r="DT349" t="str">
        <f>+IFERROR(VLOOKUP(DT50,IN_Zugliste!$A$4:$F$602,7,FALSE),"")</f>
        <v/>
      </c>
      <c r="DU349" t="str">
        <f>+IFERROR(VLOOKUP(DU50,IN_Zugliste!$A$4:$F$602,7,FALSE),"")</f>
        <v/>
      </c>
      <c r="DV349" t="str">
        <f>+IFERROR(VLOOKUP(DV50,IN_Zugliste!$A$4:$F$602,7,FALSE),"")</f>
        <v/>
      </c>
      <c r="DW349" t="str">
        <f>+IFERROR(VLOOKUP(DW50,IN_Zugliste!$A$4:$F$602,7,FALSE),"")</f>
        <v/>
      </c>
      <c r="DX349" t="str">
        <f>+IFERROR(VLOOKUP(DX50,IN_Zugliste!$A$4:$F$602,7,FALSE),"")</f>
        <v/>
      </c>
      <c r="DY349" t="str">
        <f>+IFERROR(VLOOKUP(DY50,IN_Zugliste!$A$4:$F$602,7,FALSE),"")</f>
        <v/>
      </c>
      <c r="DZ349" t="str">
        <f>+IFERROR(VLOOKUP(DZ50,IN_Zugliste!$A$4:$F$602,7,FALSE),"")</f>
        <v/>
      </c>
      <c r="EA349" t="str">
        <f>+IFERROR(VLOOKUP(EA50,IN_Zugliste!$A$4:$F$602,7,FALSE),"")</f>
        <v/>
      </c>
      <c r="EB349" t="str">
        <f>+IFERROR(VLOOKUP(EB50,IN_Zugliste!$A$4:$F$602,7,FALSE),"")</f>
        <v/>
      </c>
      <c r="EC349" t="str">
        <f>+IFERROR(VLOOKUP(EC50,IN_Zugliste!$A$4:$F$602,7,FALSE),"")</f>
        <v/>
      </c>
      <c r="ED349" t="str">
        <f>+IFERROR(VLOOKUP(ED50,IN_Zugliste!$A$4:$F$602,7,FALSE),"")</f>
        <v/>
      </c>
      <c r="EE349" t="str">
        <f>+IFERROR(VLOOKUP(EE50,IN_Zugliste!$A$4:$F$602,7,FALSE),"")</f>
        <v/>
      </c>
      <c r="EF349" t="str">
        <f>+IFERROR(VLOOKUP(EF50,IN_Zugliste!$A$4:$F$602,7,FALSE),"")</f>
        <v/>
      </c>
      <c r="EG349" t="str">
        <f>+IFERROR(VLOOKUP(EG50,IN_Zugliste!$A$4:$F$602,7,FALSE),"")</f>
        <v/>
      </c>
      <c r="EH349" t="str">
        <f>+IFERROR(VLOOKUP(EH50,IN_Zugliste!$A$4:$F$602,7,FALSE),"")</f>
        <v/>
      </c>
      <c r="EI349" t="str">
        <f>+IFERROR(VLOOKUP(EI50,IN_Zugliste!$A$4:$F$602,7,FALSE),"")</f>
        <v/>
      </c>
      <c r="EJ349" t="str">
        <f>+IFERROR(VLOOKUP(EJ50,IN_Zugliste!$A$4:$F$602,7,FALSE),"")</f>
        <v/>
      </c>
      <c r="EK349" t="str">
        <f>+IFERROR(VLOOKUP(EK50,IN_Zugliste!$A$4:$F$602,7,FALSE),"")</f>
        <v/>
      </c>
      <c r="EL349" t="str">
        <f>+IFERROR(VLOOKUP(EL50,IN_Zugliste!$A$4:$F$602,7,FALSE),"")</f>
        <v/>
      </c>
      <c r="EM349" t="str">
        <f>+IFERROR(VLOOKUP(EM50,IN_Zugliste!$A$4:$F$602,7,FALSE),"")</f>
        <v/>
      </c>
      <c r="EN349" t="str">
        <f>+IFERROR(VLOOKUP(EN50,IN_Zugliste!$A$4:$F$602,7,FALSE),"")</f>
        <v/>
      </c>
      <c r="EO349" t="str">
        <f>+IFERROR(VLOOKUP(EO50,IN_Zugliste!$A$4:$F$602,7,FALSE),"")</f>
        <v/>
      </c>
      <c r="EP349" t="str">
        <f>+IFERROR(VLOOKUP(EP50,IN_Zugliste!$A$4:$F$602,7,FALSE),"")</f>
        <v/>
      </c>
      <c r="EQ349" t="str">
        <f>+IFERROR(VLOOKUP(EQ50,IN_Zugliste!$A$4:$F$602,7,FALSE),"")</f>
        <v/>
      </c>
      <c r="ER349" t="str">
        <f>+IFERROR(VLOOKUP(ER50,IN_Zugliste!$A$4:$F$602,7,FALSE),"")</f>
        <v/>
      </c>
      <c r="ES349" t="str">
        <f>+IFERROR(VLOOKUP(ES50,IN_Zugliste!$A$4:$F$602,7,FALSE),"")</f>
        <v/>
      </c>
      <c r="ET349" t="str">
        <f>+IFERROR(VLOOKUP(ET50,IN_Zugliste!$A$4:$F$602,7,FALSE),"")</f>
        <v/>
      </c>
      <c r="EU349" t="str">
        <f>+IFERROR(VLOOKUP(EU50,IN_Zugliste!$A$4:$F$602,7,FALSE),"")</f>
        <v/>
      </c>
      <c r="EV349" t="str">
        <f>+IFERROR(VLOOKUP(EV50,IN_Zugliste!$A$4:$F$602,7,FALSE),"")</f>
        <v/>
      </c>
      <c r="EW349" t="str">
        <f>+IFERROR(VLOOKUP(EW50,IN_Zugliste!$A$4:$F$602,7,FALSE),"")</f>
        <v/>
      </c>
      <c r="EX349" t="str">
        <f>+IFERROR(VLOOKUP(EX50,IN_Zugliste!$A$4:$F$602,7,FALSE),"")</f>
        <v/>
      </c>
      <c r="EY349" t="str">
        <f>+IFERROR(VLOOKUP(EY50,IN_Zugliste!$A$4:$F$602,7,FALSE),"")</f>
        <v/>
      </c>
      <c r="EZ349" t="str">
        <f>+IFERROR(VLOOKUP(EZ50,IN_Zugliste!$A$4:$F$602,7,FALSE),"")</f>
        <v/>
      </c>
      <c r="FA349" t="str">
        <f>+IFERROR(VLOOKUP(FA50,IN_Zugliste!$A$4:$F$602,7,FALSE),"")</f>
        <v/>
      </c>
      <c r="FB349" t="str">
        <f>+IFERROR(VLOOKUP(FB50,IN_Zugliste!$A$4:$F$602,7,FALSE),"")</f>
        <v/>
      </c>
      <c r="FC349" t="str">
        <f>+IFERROR(VLOOKUP(FC50,IN_Zugliste!$A$4:$F$602,7,FALSE),"")</f>
        <v/>
      </c>
      <c r="FD349" t="str">
        <f>+IFERROR(VLOOKUP(FD50,IN_Zugliste!$A$4:$F$602,7,FALSE),"")</f>
        <v/>
      </c>
      <c r="FE349" t="str">
        <f>+IFERROR(VLOOKUP(FE50,IN_Zugliste!$A$4:$F$602,7,FALSE),"")</f>
        <v/>
      </c>
      <c r="FF349" t="str">
        <f>+IFERROR(VLOOKUP(FF50,IN_Zugliste!$A$4:$F$602,7,FALSE),"")</f>
        <v/>
      </c>
      <c r="FG349" t="str">
        <f>+IFERROR(VLOOKUP(FG50,IN_Zugliste!$A$4:$F$602,7,FALSE),"")</f>
        <v/>
      </c>
      <c r="FH349" t="str">
        <f>+IFERROR(VLOOKUP(FH50,IN_Zugliste!$A$4:$F$602,7,FALSE),"")</f>
        <v/>
      </c>
      <c r="FI349" t="str">
        <f>+IFERROR(VLOOKUP(FI50,IN_Zugliste!$A$4:$F$602,7,FALSE),"")</f>
        <v/>
      </c>
      <c r="FJ349" t="str">
        <f>+IFERROR(VLOOKUP(FJ50,IN_Zugliste!$A$4:$F$602,7,FALSE),"")</f>
        <v/>
      </c>
      <c r="FK349" t="str">
        <f>+IFERROR(VLOOKUP(FK50,IN_Zugliste!$A$4:$F$602,7,FALSE),"")</f>
        <v/>
      </c>
      <c r="FL349" t="str">
        <f>+IFERROR(VLOOKUP(FL50,IN_Zugliste!$A$4:$F$602,7,FALSE),"")</f>
        <v/>
      </c>
      <c r="FM349" t="str">
        <f>+IFERROR(VLOOKUP(FM50,IN_Zugliste!$A$4:$F$602,7,FALSE),"")</f>
        <v/>
      </c>
      <c r="FN349" t="str">
        <f>+IFERROR(VLOOKUP(FN50,IN_Zugliste!$A$4:$F$602,7,FALSE),"")</f>
        <v/>
      </c>
      <c r="FO349" t="str">
        <f>+IFERROR(VLOOKUP(FO50,IN_Zugliste!$A$4:$F$602,7,FALSE),"")</f>
        <v/>
      </c>
      <c r="FP349" t="str">
        <f>+IFERROR(VLOOKUP(FP50,IN_Zugliste!$A$4:$F$602,7,FALSE),"")</f>
        <v/>
      </c>
      <c r="FQ349" t="str">
        <f>+IFERROR(VLOOKUP(FQ50,IN_Zugliste!$A$4:$F$602,7,FALSE),"")</f>
        <v/>
      </c>
      <c r="FR349" t="str">
        <f>+IFERROR(VLOOKUP(FR50,IN_Zugliste!$A$4:$F$602,7,FALSE),"")</f>
        <v/>
      </c>
      <c r="FS349" t="str">
        <f>+IFERROR(VLOOKUP(FS50,IN_Zugliste!$A$4:$F$602,7,FALSE),"")</f>
        <v/>
      </c>
      <c r="FT349" t="str">
        <f>+IFERROR(VLOOKUP(FT50,IN_Zugliste!$A$4:$F$602,7,FALSE),"")</f>
        <v/>
      </c>
      <c r="FU349" t="str">
        <f>+IFERROR(VLOOKUP(FU50,IN_Zugliste!$A$4:$F$602,7,FALSE),"")</f>
        <v/>
      </c>
      <c r="FV349" t="str">
        <f>+IFERROR(VLOOKUP(FV50,IN_Zugliste!$A$4:$F$602,7,FALSE),"")</f>
        <v/>
      </c>
      <c r="FW349" t="str">
        <f>+IFERROR(VLOOKUP(FW50,IN_Zugliste!$A$4:$F$602,7,FALSE),"")</f>
        <v/>
      </c>
      <c r="FX349" t="str">
        <f>+IFERROR(VLOOKUP(FX50,IN_Zugliste!$A$4:$F$602,7,FALSE),"")</f>
        <v/>
      </c>
      <c r="FY349" t="str">
        <f>+IFERROR(VLOOKUP(FY50,IN_Zugliste!$A$4:$F$602,7,FALSE),"")</f>
        <v/>
      </c>
      <c r="FZ349" t="str">
        <f>+IFERROR(VLOOKUP(FZ50,IN_Zugliste!$A$4:$F$602,7,FALSE),"")</f>
        <v/>
      </c>
      <c r="GA349" t="str">
        <f>+IFERROR(VLOOKUP(GA50,IN_Zugliste!$A$4:$F$602,7,FALSE),"")</f>
        <v/>
      </c>
      <c r="GB349" t="str">
        <f>+IFERROR(VLOOKUP(GB50,IN_Zugliste!$A$4:$F$602,7,FALSE),"")</f>
        <v/>
      </c>
      <c r="GC349" t="str">
        <f>+IFERROR(VLOOKUP(GC50,IN_Zugliste!$A$4:$F$602,7,FALSE),"")</f>
        <v/>
      </c>
      <c r="GD349" t="str">
        <f>+IFERROR(VLOOKUP(GD50,IN_Zugliste!$A$4:$F$602,7,FALSE),"")</f>
        <v/>
      </c>
      <c r="GE349" t="str">
        <f>+IFERROR(VLOOKUP(GE50,IN_Zugliste!$A$4:$F$602,7,FALSE),"")</f>
        <v/>
      </c>
      <c r="GF349" t="str">
        <f>+IFERROR(VLOOKUP(GF50,IN_Zugliste!$A$4:$F$602,7,FALSE),"")</f>
        <v/>
      </c>
      <c r="GG349" t="str">
        <f>+IFERROR(VLOOKUP(GG50,IN_Zugliste!$A$4:$F$602,7,FALSE),"")</f>
        <v/>
      </c>
      <c r="GH349" t="str">
        <f>+IFERROR(VLOOKUP(GH50,IN_Zugliste!$A$4:$F$602,7,FALSE),"")</f>
        <v/>
      </c>
      <c r="GI349" t="str">
        <f>+IFERROR(VLOOKUP(GI50,IN_Zugliste!$A$4:$F$602,7,FALSE),"")</f>
        <v/>
      </c>
      <c r="GJ349" t="str">
        <f>+IFERROR(VLOOKUP(GJ50,IN_Zugliste!$A$4:$F$602,7,FALSE),"")</f>
        <v/>
      </c>
      <c r="GK349" t="str">
        <f>+IFERROR(VLOOKUP(GK50,IN_Zugliste!$A$4:$F$602,7,FALSE),"")</f>
        <v/>
      </c>
      <c r="GL349" t="str">
        <f>+IFERROR(VLOOKUP(GL50,IN_Zugliste!$A$4:$F$602,7,FALSE),"")</f>
        <v/>
      </c>
      <c r="GM349" t="str">
        <f>+IFERROR(VLOOKUP(GM50,IN_Zugliste!$A$4:$F$602,7,FALSE),"")</f>
        <v/>
      </c>
      <c r="GN349" t="str">
        <f>+IFERROR(VLOOKUP(GN50,IN_Zugliste!$A$4:$F$602,7,FALSE),"")</f>
        <v/>
      </c>
      <c r="GO349" t="str">
        <f>+IFERROR(VLOOKUP(GO50,IN_Zugliste!$A$4:$F$602,7,FALSE),"")</f>
        <v/>
      </c>
      <c r="GP349" t="str">
        <f>+IFERROR(VLOOKUP(GP50,IN_Zugliste!$A$4:$F$602,7,FALSE),"")</f>
        <v/>
      </c>
      <c r="GQ349" t="str">
        <f>+IFERROR(VLOOKUP(GQ50,IN_Zugliste!$A$4:$F$602,7,FALSE),"")</f>
        <v/>
      </c>
      <c r="GR349" t="str">
        <f>+IFERROR(VLOOKUP(GR50,IN_Zugliste!$A$4:$F$602,7,FALSE),"")</f>
        <v/>
      </c>
      <c r="GS349" t="str">
        <f>+IFERROR(VLOOKUP(GS50,IN_Zugliste!$A$4:$F$602,7,FALSE),"")</f>
        <v/>
      </c>
      <c r="GT349" t="str">
        <f>+IFERROR(VLOOKUP(GT50,IN_Zugliste!$A$4:$F$602,7,FALSE),"")</f>
        <v/>
      </c>
      <c r="GU349" t="str">
        <f>+IFERROR(VLOOKUP(GU50,IN_Zugliste!$A$4:$F$602,7,FALSE),"")</f>
        <v/>
      </c>
      <c r="GV349" t="str">
        <f>+IFERROR(VLOOKUP(GV50,IN_Zugliste!$A$4:$F$602,7,FALSE),"")</f>
        <v/>
      </c>
      <c r="GW349" t="str">
        <f>+IFERROR(VLOOKUP(GW50,IN_Zugliste!$A$4:$F$602,7,FALSE),"")</f>
        <v/>
      </c>
      <c r="GX349" t="str">
        <f>+IFERROR(VLOOKUP(GX50,IN_Zugliste!$A$4:$F$602,7,FALSE),"")</f>
        <v/>
      </c>
      <c r="GY349" t="str">
        <f>+IFERROR(VLOOKUP(GY50,IN_Zugliste!$A$4:$F$602,7,FALSE),"")</f>
        <v/>
      </c>
      <c r="GZ349" t="str">
        <f>+IFERROR(VLOOKUP(GZ50,IN_Zugliste!$A$4:$F$602,7,FALSE),"")</f>
        <v/>
      </c>
      <c r="HA349" t="str">
        <f>+IFERROR(VLOOKUP(HA50,IN_Zugliste!$A$4:$F$602,7,FALSE),"")</f>
        <v/>
      </c>
      <c r="HB349" t="str">
        <f>+IFERROR(VLOOKUP(HB50,IN_Zugliste!$A$4:$F$602,7,FALSE),"")</f>
        <v/>
      </c>
      <c r="HC349" t="str">
        <f>+IFERROR(VLOOKUP(HC50,IN_Zugliste!$A$4:$F$602,7,FALSE),"")</f>
        <v/>
      </c>
      <c r="HD349" t="str">
        <f>+IFERROR(VLOOKUP(HD50,IN_Zugliste!$A$4:$F$602,7,FALSE),"")</f>
        <v/>
      </c>
      <c r="HE349" t="str">
        <f>+IFERROR(VLOOKUP(HE50,IN_Zugliste!$A$4:$F$602,7,FALSE),"")</f>
        <v/>
      </c>
      <c r="HF349" t="str">
        <f>+IFERROR(VLOOKUP(HF50,IN_Zugliste!$A$4:$F$602,7,FALSE),"")</f>
        <v/>
      </c>
      <c r="HG349" t="str">
        <f>+IFERROR(VLOOKUP(HG50,IN_Zugliste!$A$4:$F$602,7,FALSE),"")</f>
        <v/>
      </c>
      <c r="HH349" t="str">
        <f>+IFERROR(VLOOKUP(HH50,IN_Zugliste!$A$4:$F$602,7,FALSE),"")</f>
        <v/>
      </c>
    </row>
    <row r="350" spans="1:216" x14ac:dyDescent="0.2">
      <c r="A350" t="str">
        <f>+IFERROR(VLOOKUP(A51,IN_Zugliste!$A$4:$F$602,7,FALSE),"")</f>
        <v/>
      </c>
      <c r="B350" t="str">
        <f>+IFERROR(VLOOKUP(B51,IN_Zugliste!$A$4:$F$602,7,FALSE),"")</f>
        <v/>
      </c>
      <c r="C350" t="str">
        <f>+IFERROR(VLOOKUP(C51,IN_Zugliste!$A$4:$F$602,7,FALSE),"")</f>
        <v/>
      </c>
      <c r="D350" t="str">
        <f>+IFERROR(VLOOKUP(D51,IN_Zugliste!$A$4:$F$602,7,FALSE),"")</f>
        <v/>
      </c>
      <c r="E350" t="str">
        <f>+IFERROR(VLOOKUP(E51,IN_Zugliste!$A$4:$F$602,7,FALSE),"")</f>
        <v/>
      </c>
      <c r="F350" t="str">
        <f>+IFERROR(VLOOKUP(F51,IN_Zugliste!$A$4:$F$602,7,FALSE),"")</f>
        <v/>
      </c>
      <c r="G350" t="str">
        <f>+IFERROR(VLOOKUP(G51,IN_Zugliste!$A$4:$F$602,7,FALSE),"")</f>
        <v/>
      </c>
      <c r="H350" t="str">
        <f>+IFERROR(VLOOKUP(H51,IN_Zugliste!$A$4:$F$602,7,FALSE),"")</f>
        <v/>
      </c>
      <c r="I350" t="str">
        <f>+IFERROR(VLOOKUP(I51,IN_Zugliste!$A$4:$F$602,7,FALSE),"")</f>
        <v/>
      </c>
      <c r="J350" t="str">
        <f>+IFERROR(VLOOKUP(J51,IN_Zugliste!$A$4:$F$602,7,FALSE),"")</f>
        <v/>
      </c>
      <c r="K350" t="str">
        <f>+IFERROR(VLOOKUP(K51,IN_Zugliste!$A$4:$F$602,7,FALSE),"")</f>
        <v/>
      </c>
      <c r="L350" t="str">
        <f>+IFERROR(VLOOKUP(L51,IN_Zugliste!$A$4:$F$602,7,FALSE),"")</f>
        <v/>
      </c>
      <c r="M350" t="str">
        <f>+IFERROR(VLOOKUP(M51,IN_Zugliste!$A$4:$F$602,7,FALSE),"")</f>
        <v/>
      </c>
      <c r="N350" t="str">
        <f>+IFERROR(VLOOKUP(N51,IN_Zugliste!$A$4:$F$602,7,FALSE),"")</f>
        <v/>
      </c>
      <c r="O350" t="str">
        <f>+IFERROR(VLOOKUP(O51,IN_Zugliste!$A$4:$F$602,7,FALSE),"")</f>
        <v/>
      </c>
      <c r="P350" t="str">
        <f>+IFERROR(VLOOKUP(P51,IN_Zugliste!$A$4:$F$602,7,FALSE),"")</f>
        <v/>
      </c>
      <c r="Q350" t="str">
        <f>+IFERROR(VLOOKUP(Q51,IN_Zugliste!$A$4:$F$602,7,FALSE),"")</f>
        <v/>
      </c>
      <c r="R350" t="str">
        <f>+IFERROR(VLOOKUP(R51,IN_Zugliste!$A$4:$F$602,7,FALSE),"")</f>
        <v/>
      </c>
      <c r="S350" t="str">
        <f>+IFERROR(VLOOKUP(S51,IN_Zugliste!$A$4:$F$602,7,FALSE),"")</f>
        <v/>
      </c>
      <c r="T350" t="str">
        <f>+IFERROR(VLOOKUP(T51,IN_Zugliste!$A$4:$F$602,7,FALSE),"")</f>
        <v/>
      </c>
      <c r="U350" t="str">
        <f>+IFERROR(VLOOKUP(U51,IN_Zugliste!$A$4:$F$602,7,FALSE),"")</f>
        <v/>
      </c>
      <c r="V350" t="str">
        <f>+IFERROR(VLOOKUP(V51,IN_Zugliste!$A$4:$F$602,7,FALSE),"")</f>
        <v/>
      </c>
      <c r="W350" t="str">
        <f>+IFERROR(VLOOKUP(W51,IN_Zugliste!$A$4:$F$602,7,FALSE),"")</f>
        <v/>
      </c>
      <c r="X350" t="str">
        <f>+IFERROR(VLOOKUP(X51,IN_Zugliste!$A$4:$F$602,7,FALSE),"")</f>
        <v/>
      </c>
      <c r="Y350" t="str">
        <f>+IFERROR(VLOOKUP(Y51,IN_Zugliste!$A$4:$F$602,7,FALSE),"")</f>
        <v/>
      </c>
      <c r="Z350" t="str">
        <f>+IFERROR(VLOOKUP(Z51,IN_Zugliste!$A$4:$F$602,7,FALSE),"")</f>
        <v/>
      </c>
      <c r="AA350" t="str">
        <f>+IFERROR(VLOOKUP(AA51,IN_Zugliste!$A$4:$F$602,7,FALSE),"")</f>
        <v/>
      </c>
      <c r="AB350" t="str">
        <f>+IFERROR(VLOOKUP(AB51,IN_Zugliste!$A$4:$F$602,7,FALSE),"")</f>
        <v/>
      </c>
      <c r="AC350" t="str">
        <f>+IFERROR(VLOOKUP(AC51,IN_Zugliste!$A$4:$F$602,7,FALSE),"")</f>
        <v/>
      </c>
      <c r="AD350" t="str">
        <f>+IFERROR(VLOOKUP(AD51,IN_Zugliste!$A$4:$F$602,7,FALSE),"")</f>
        <v/>
      </c>
      <c r="AE350" t="str">
        <f>+IFERROR(VLOOKUP(AE51,IN_Zugliste!$A$4:$F$602,7,FALSE),"")</f>
        <v/>
      </c>
      <c r="AF350" t="str">
        <f>+IFERROR(VLOOKUP(AF51,IN_Zugliste!$A$4:$F$602,7,FALSE),"")</f>
        <v/>
      </c>
      <c r="AG350" t="str">
        <f>+IFERROR(VLOOKUP(AG51,IN_Zugliste!$A$4:$F$602,7,FALSE),"")</f>
        <v/>
      </c>
      <c r="AH350" t="str">
        <f>+IFERROR(VLOOKUP(AH51,IN_Zugliste!$A$4:$F$602,7,FALSE),"")</f>
        <v/>
      </c>
      <c r="AI350" t="str">
        <f>+IFERROR(VLOOKUP(AI51,IN_Zugliste!$A$4:$F$602,7,FALSE),"")</f>
        <v/>
      </c>
      <c r="AJ350" t="str">
        <f>+IFERROR(VLOOKUP(AJ51,IN_Zugliste!$A$4:$F$602,7,FALSE),"")</f>
        <v/>
      </c>
      <c r="AK350" t="str">
        <f>+IFERROR(VLOOKUP(AK51,IN_Zugliste!$A$4:$F$602,7,FALSE),"")</f>
        <v/>
      </c>
      <c r="AL350" t="str">
        <f>+IFERROR(VLOOKUP(AL51,IN_Zugliste!$A$4:$F$602,7,FALSE),"")</f>
        <v/>
      </c>
      <c r="AM350" t="str">
        <f>+IFERROR(VLOOKUP(AM51,IN_Zugliste!$A$4:$F$602,7,FALSE),"")</f>
        <v/>
      </c>
      <c r="AN350" t="str">
        <f>+IFERROR(VLOOKUP(AN51,IN_Zugliste!$A$4:$F$602,7,FALSE),"")</f>
        <v/>
      </c>
      <c r="AO350" t="str">
        <f>+IFERROR(VLOOKUP(AO51,IN_Zugliste!$A$4:$F$602,7,FALSE),"")</f>
        <v/>
      </c>
      <c r="AP350" t="str">
        <f>+IFERROR(VLOOKUP(AP51,IN_Zugliste!$A$4:$F$602,7,FALSE),"")</f>
        <v/>
      </c>
      <c r="AQ350" t="str">
        <f>+IFERROR(VLOOKUP(AQ51,IN_Zugliste!$A$4:$F$602,7,FALSE),"")</f>
        <v/>
      </c>
      <c r="AR350" t="str">
        <f>+IFERROR(VLOOKUP(AR51,IN_Zugliste!$A$4:$F$602,7,FALSE),"")</f>
        <v/>
      </c>
      <c r="AS350" t="str">
        <f>+IFERROR(VLOOKUP(AS51,IN_Zugliste!$A$4:$F$602,7,FALSE),"")</f>
        <v/>
      </c>
      <c r="AT350" t="str">
        <f>+IFERROR(VLOOKUP(AT51,IN_Zugliste!$A$4:$F$602,7,FALSE),"")</f>
        <v/>
      </c>
      <c r="AU350" t="str">
        <f>+IFERROR(VLOOKUP(AU51,IN_Zugliste!$A$4:$F$602,7,FALSE),"")</f>
        <v/>
      </c>
      <c r="AV350" t="str">
        <f>+IFERROR(VLOOKUP(AV51,IN_Zugliste!$A$4:$F$602,7,FALSE),"")</f>
        <v/>
      </c>
      <c r="AW350" t="str">
        <f>+IFERROR(VLOOKUP(AW51,IN_Zugliste!$A$4:$F$602,7,FALSE),"")</f>
        <v/>
      </c>
      <c r="AX350" t="str">
        <f>+IFERROR(VLOOKUP(AX51,IN_Zugliste!$A$4:$F$602,7,FALSE),"")</f>
        <v/>
      </c>
      <c r="AY350" t="str">
        <f>+IFERROR(VLOOKUP(AY51,IN_Zugliste!$A$4:$F$602,7,FALSE),"")</f>
        <v/>
      </c>
      <c r="AZ350" t="str">
        <f>+IFERROR(VLOOKUP(AZ51,IN_Zugliste!$A$4:$F$602,7,FALSE),"")</f>
        <v/>
      </c>
      <c r="BA350" t="str">
        <f>+IFERROR(VLOOKUP(BA51,IN_Zugliste!$A$4:$F$602,7,FALSE),"")</f>
        <v/>
      </c>
      <c r="BB350" t="str">
        <f>+IFERROR(VLOOKUP(BB51,IN_Zugliste!$A$4:$F$602,7,FALSE),"")</f>
        <v/>
      </c>
      <c r="BC350" t="str">
        <f>+IFERROR(VLOOKUP(BC51,IN_Zugliste!$A$4:$F$602,7,FALSE),"")</f>
        <v/>
      </c>
      <c r="BD350" t="str">
        <f>+IFERROR(VLOOKUP(BD51,IN_Zugliste!$A$4:$F$602,7,FALSE),"")</f>
        <v/>
      </c>
      <c r="BE350" t="str">
        <f>+IFERROR(VLOOKUP(BE51,IN_Zugliste!$A$4:$F$602,7,FALSE),"")</f>
        <v/>
      </c>
      <c r="BF350" t="str">
        <f>+IFERROR(VLOOKUP(BF51,IN_Zugliste!$A$4:$F$602,7,FALSE),"")</f>
        <v/>
      </c>
      <c r="BG350" t="str">
        <f>+IFERROR(VLOOKUP(BG51,IN_Zugliste!$A$4:$F$602,7,FALSE),"")</f>
        <v/>
      </c>
      <c r="BH350" t="str">
        <f>+IFERROR(VLOOKUP(BH51,IN_Zugliste!$A$4:$F$602,7,FALSE),"")</f>
        <v/>
      </c>
      <c r="BI350" t="str">
        <f>+IFERROR(VLOOKUP(BI51,IN_Zugliste!$A$4:$F$602,7,FALSE),"")</f>
        <v/>
      </c>
      <c r="BJ350" t="str">
        <f>+IFERROR(VLOOKUP(BJ51,IN_Zugliste!$A$4:$F$602,7,FALSE),"")</f>
        <v/>
      </c>
      <c r="BK350" t="str">
        <f>+IFERROR(VLOOKUP(BK51,IN_Zugliste!$A$4:$F$602,7,FALSE),"")</f>
        <v/>
      </c>
      <c r="BL350" t="str">
        <f>+IFERROR(VLOOKUP(BL51,IN_Zugliste!$A$4:$F$602,7,FALSE),"")</f>
        <v/>
      </c>
      <c r="BM350" t="str">
        <f>+IFERROR(VLOOKUP(BM51,IN_Zugliste!$A$4:$F$602,7,FALSE),"")</f>
        <v/>
      </c>
      <c r="BN350" t="str">
        <f>+IFERROR(VLOOKUP(BN51,IN_Zugliste!$A$4:$F$602,7,FALSE),"")</f>
        <v/>
      </c>
      <c r="BO350" t="str">
        <f>+IFERROR(VLOOKUP(BO51,IN_Zugliste!$A$4:$F$602,7,FALSE),"")</f>
        <v/>
      </c>
      <c r="BP350" t="str">
        <f>+IFERROR(VLOOKUP(BP51,IN_Zugliste!$A$4:$F$602,7,FALSE),"")</f>
        <v/>
      </c>
      <c r="BQ350" t="str">
        <f>+IFERROR(VLOOKUP(BQ51,IN_Zugliste!$A$4:$F$602,7,FALSE),"")</f>
        <v/>
      </c>
      <c r="BR350" t="str">
        <f>+IFERROR(VLOOKUP(BR51,IN_Zugliste!$A$4:$F$602,7,FALSE),"")</f>
        <v/>
      </c>
      <c r="BS350" t="str">
        <f>+IFERROR(VLOOKUP(BS51,IN_Zugliste!$A$4:$F$602,7,FALSE),"")</f>
        <v/>
      </c>
      <c r="BT350" t="str">
        <f>+IFERROR(VLOOKUP(BT51,IN_Zugliste!$A$4:$F$602,7,FALSE),"")</f>
        <v/>
      </c>
      <c r="BU350" t="str">
        <f>+IFERROR(VLOOKUP(BU51,IN_Zugliste!$A$4:$F$602,7,FALSE),"")</f>
        <v/>
      </c>
      <c r="BV350" t="str">
        <f>+IFERROR(VLOOKUP(BV51,IN_Zugliste!$A$4:$F$602,7,FALSE),"")</f>
        <v/>
      </c>
      <c r="BW350" t="str">
        <f>+IFERROR(VLOOKUP(BW51,IN_Zugliste!$A$4:$F$602,7,FALSE),"")</f>
        <v/>
      </c>
      <c r="BX350" t="str">
        <f>+IFERROR(VLOOKUP(BX51,IN_Zugliste!$A$4:$F$602,7,FALSE),"")</f>
        <v/>
      </c>
      <c r="BY350" t="str">
        <f>+IFERROR(VLOOKUP(BY51,IN_Zugliste!$A$4:$F$602,7,FALSE),"")</f>
        <v/>
      </c>
      <c r="BZ350" t="str">
        <f>+IFERROR(VLOOKUP(BZ51,IN_Zugliste!$A$4:$F$602,7,FALSE),"")</f>
        <v/>
      </c>
      <c r="CA350" t="str">
        <f>+IFERROR(VLOOKUP(CA51,IN_Zugliste!$A$4:$F$602,7,FALSE),"")</f>
        <v/>
      </c>
      <c r="CB350" t="str">
        <f>+IFERROR(VLOOKUP(CB51,IN_Zugliste!$A$4:$F$602,7,FALSE),"")</f>
        <v/>
      </c>
      <c r="CC350" t="str">
        <f>+IFERROR(VLOOKUP(CC51,IN_Zugliste!$A$4:$F$602,7,FALSE),"")</f>
        <v/>
      </c>
      <c r="CD350" t="str">
        <f>+IFERROR(VLOOKUP(CD51,IN_Zugliste!$A$4:$F$602,7,FALSE),"")</f>
        <v/>
      </c>
      <c r="CE350" t="str">
        <f>+IFERROR(VLOOKUP(CE51,IN_Zugliste!$A$4:$F$602,7,FALSE),"")</f>
        <v/>
      </c>
      <c r="CF350" t="str">
        <f>+IFERROR(VLOOKUP(CF51,IN_Zugliste!$A$4:$F$602,7,FALSE),"")</f>
        <v/>
      </c>
      <c r="CG350" t="str">
        <f>+IFERROR(VLOOKUP(CG51,IN_Zugliste!$A$4:$F$602,7,FALSE),"")</f>
        <v/>
      </c>
      <c r="CH350" t="str">
        <f>+IFERROR(VLOOKUP(CH51,IN_Zugliste!$A$4:$F$602,7,FALSE),"")</f>
        <v/>
      </c>
      <c r="CI350" t="str">
        <f>+IFERROR(VLOOKUP(CI51,IN_Zugliste!$A$4:$F$602,7,FALSE),"")</f>
        <v/>
      </c>
      <c r="CJ350" t="str">
        <f>+IFERROR(VLOOKUP(CJ51,IN_Zugliste!$A$4:$F$602,7,FALSE),"")</f>
        <v/>
      </c>
      <c r="CK350" t="str">
        <f>+IFERROR(VLOOKUP(CK51,IN_Zugliste!$A$4:$F$602,7,FALSE),"")</f>
        <v/>
      </c>
      <c r="CL350" t="str">
        <f>+IFERROR(VLOOKUP(CL51,IN_Zugliste!$A$4:$F$602,7,FALSE),"")</f>
        <v/>
      </c>
      <c r="CM350" t="str">
        <f>+IFERROR(VLOOKUP(CM51,IN_Zugliste!$A$4:$F$602,7,FALSE),"")</f>
        <v/>
      </c>
      <c r="CN350" t="str">
        <f>+IFERROR(VLOOKUP(CN51,IN_Zugliste!$A$4:$F$602,7,FALSE),"")</f>
        <v/>
      </c>
      <c r="CO350" t="str">
        <f>+IFERROR(VLOOKUP(CO51,IN_Zugliste!$A$4:$F$602,7,FALSE),"")</f>
        <v/>
      </c>
      <c r="CP350" t="str">
        <f>+IFERROR(VLOOKUP(CP51,IN_Zugliste!$A$4:$F$602,7,FALSE),"")</f>
        <v/>
      </c>
      <c r="CQ350" t="str">
        <f>+IFERROR(VLOOKUP(CQ51,IN_Zugliste!$A$4:$F$602,7,FALSE),"")</f>
        <v/>
      </c>
      <c r="CR350" t="str">
        <f>+IFERROR(VLOOKUP(CR51,IN_Zugliste!$A$4:$F$602,7,FALSE),"")</f>
        <v/>
      </c>
      <c r="CS350" t="str">
        <f>+IFERROR(VLOOKUP(CS51,IN_Zugliste!$A$4:$F$602,7,FALSE),"")</f>
        <v/>
      </c>
      <c r="CT350" t="str">
        <f>+IFERROR(VLOOKUP(CT51,IN_Zugliste!$A$4:$F$602,7,FALSE),"")</f>
        <v/>
      </c>
      <c r="CU350" t="str">
        <f>+IFERROR(VLOOKUP(CU51,IN_Zugliste!$A$4:$F$602,7,FALSE),"")</f>
        <v/>
      </c>
      <c r="CV350" t="str">
        <f>+IFERROR(VLOOKUP(CV51,IN_Zugliste!$A$4:$F$602,7,FALSE),"")</f>
        <v/>
      </c>
      <c r="CW350" t="str">
        <f>+IFERROR(VLOOKUP(CW51,IN_Zugliste!$A$4:$F$602,7,FALSE),"")</f>
        <v/>
      </c>
      <c r="CX350" t="str">
        <f>+IFERROR(VLOOKUP(CX51,IN_Zugliste!$A$4:$F$602,7,FALSE),"")</f>
        <v/>
      </c>
      <c r="CY350" t="str">
        <f>+IFERROR(VLOOKUP(CY51,IN_Zugliste!$A$4:$F$602,7,FALSE),"")</f>
        <v/>
      </c>
      <c r="CZ350" t="str">
        <f>+IFERROR(VLOOKUP(CZ51,IN_Zugliste!$A$4:$F$602,7,FALSE),"")</f>
        <v/>
      </c>
      <c r="DA350" t="str">
        <f>+IFERROR(VLOOKUP(DA51,IN_Zugliste!$A$4:$F$602,7,FALSE),"")</f>
        <v/>
      </c>
      <c r="DB350" t="str">
        <f>+IFERROR(VLOOKUP(DB51,IN_Zugliste!$A$4:$F$602,7,FALSE),"")</f>
        <v/>
      </c>
      <c r="DC350" t="str">
        <f>+IFERROR(VLOOKUP(DC51,IN_Zugliste!$A$4:$F$602,7,FALSE),"")</f>
        <v/>
      </c>
      <c r="DD350" t="str">
        <f>+IFERROR(VLOOKUP(DD51,IN_Zugliste!$A$4:$F$602,7,FALSE),"")</f>
        <v/>
      </c>
      <c r="DE350" t="str">
        <f>+IFERROR(VLOOKUP(DE51,IN_Zugliste!$A$4:$F$602,7,FALSE),"")</f>
        <v/>
      </c>
      <c r="DF350" t="str">
        <f>+IFERROR(VLOOKUP(DF51,IN_Zugliste!$A$4:$F$602,7,FALSE),"")</f>
        <v/>
      </c>
      <c r="DG350" t="str">
        <f>+IFERROR(VLOOKUP(DG51,IN_Zugliste!$A$4:$F$602,7,FALSE),"")</f>
        <v/>
      </c>
      <c r="DH350" t="str">
        <f>+IFERROR(VLOOKUP(DH51,IN_Zugliste!$A$4:$F$602,7,FALSE),"")</f>
        <v/>
      </c>
      <c r="DI350" t="str">
        <f>+IFERROR(VLOOKUP(DI51,IN_Zugliste!$A$4:$F$602,7,FALSE),"")</f>
        <v/>
      </c>
      <c r="DJ350" t="str">
        <f>+IFERROR(VLOOKUP(DJ51,IN_Zugliste!$A$4:$F$602,7,FALSE),"")</f>
        <v/>
      </c>
      <c r="DK350" t="str">
        <f>+IFERROR(VLOOKUP(DK51,IN_Zugliste!$A$4:$F$602,7,FALSE),"")</f>
        <v/>
      </c>
      <c r="DL350" t="str">
        <f>+IFERROR(VLOOKUP(DL51,IN_Zugliste!$A$4:$F$602,7,FALSE),"")</f>
        <v/>
      </c>
      <c r="DM350" t="str">
        <f>+IFERROR(VLOOKUP(DM51,IN_Zugliste!$A$4:$F$602,7,FALSE),"")</f>
        <v/>
      </c>
      <c r="DN350" t="str">
        <f>+IFERROR(VLOOKUP(DN51,IN_Zugliste!$A$4:$F$602,7,FALSE),"")</f>
        <v/>
      </c>
      <c r="DO350" t="str">
        <f>+IFERROR(VLOOKUP(DO51,IN_Zugliste!$A$4:$F$602,7,FALSE),"")</f>
        <v/>
      </c>
      <c r="DP350" t="str">
        <f>+IFERROR(VLOOKUP(DP51,IN_Zugliste!$A$4:$F$602,7,FALSE),"")</f>
        <v/>
      </c>
      <c r="DQ350" t="str">
        <f>+IFERROR(VLOOKUP(DQ51,IN_Zugliste!$A$4:$F$602,7,FALSE),"")</f>
        <v/>
      </c>
      <c r="DR350" t="str">
        <f>+IFERROR(VLOOKUP(DR51,IN_Zugliste!$A$4:$F$602,7,FALSE),"")</f>
        <v/>
      </c>
      <c r="DS350" t="str">
        <f>+IFERROR(VLOOKUP(DS51,IN_Zugliste!$A$4:$F$602,7,FALSE),"")</f>
        <v/>
      </c>
      <c r="DT350" t="str">
        <f>+IFERROR(VLOOKUP(DT51,IN_Zugliste!$A$4:$F$602,7,FALSE),"")</f>
        <v/>
      </c>
      <c r="DU350" t="str">
        <f>+IFERROR(VLOOKUP(DU51,IN_Zugliste!$A$4:$F$602,7,FALSE),"")</f>
        <v/>
      </c>
      <c r="DV350" t="str">
        <f>+IFERROR(VLOOKUP(DV51,IN_Zugliste!$A$4:$F$602,7,FALSE),"")</f>
        <v/>
      </c>
      <c r="DW350" t="str">
        <f>+IFERROR(VLOOKUP(DW51,IN_Zugliste!$A$4:$F$602,7,FALSE),"")</f>
        <v/>
      </c>
      <c r="DX350" t="str">
        <f>+IFERROR(VLOOKUP(DX51,IN_Zugliste!$A$4:$F$602,7,FALSE),"")</f>
        <v/>
      </c>
      <c r="DY350" t="str">
        <f>+IFERROR(VLOOKUP(DY51,IN_Zugliste!$A$4:$F$602,7,FALSE),"")</f>
        <v/>
      </c>
      <c r="DZ350" t="str">
        <f>+IFERROR(VLOOKUP(DZ51,IN_Zugliste!$A$4:$F$602,7,FALSE),"")</f>
        <v/>
      </c>
      <c r="EA350" t="str">
        <f>+IFERROR(VLOOKUP(EA51,IN_Zugliste!$A$4:$F$602,7,FALSE),"")</f>
        <v/>
      </c>
      <c r="EB350" t="str">
        <f>+IFERROR(VLOOKUP(EB51,IN_Zugliste!$A$4:$F$602,7,FALSE),"")</f>
        <v/>
      </c>
      <c r="EC350" t="str">
        <f>+IFERROR(VLOOKUP(EC51,IN_Zugliste!$A$4:$F$602,7,FALSE),"")</f>
        <v/>
      </c>
      <c r="ED350" t="str">
        <f>+IFERROR(VLOOKUP(ED51,IN_Zugliste!$A$4:$F$602,7,FALSE),"")</f>
        <v/>
      </c>
      <c r="EE350" t="str">
        <f>+IFERROR(VLOOKUP(EE51,IN_Zugliste!$A$4:$F$602,7,FALSE),"")</f>
        <v/>
      </c>
      <c r="EF350" t="str">
        <f>+IFERROR(VLOOKUP(EF51,IN_Zugliste!$A$4:$F$602,7,FALSE),"")</f>
        <v/>
      </c>
      <c r="EG350" t="str">
        <f>+IFERROR(VLOOKUP(EG51,IN_Zugliste!$A$4:$F$602,7,FALSE),"")</f>
        <v/>
      </c>
      <c r="EH350" t="str">
        <f>+IFERROR(VLOOKUP(EH51,IN_Zugliste!$A$4:$F$602,7,FALSE),"")</f>
        <v/>
      </c>
      <c r="EI350" t="str">
        <f>+IFERROR(VLOOKUP(EI51,IN_Zugliste!$A$4:$F$602,7,FALSE),"")</f>
        <v/>
      </c>
      <c r="EJ350" t="str">
        <f>+IFERROR(VLOOKUP(EJ51,IN_Zugliste!$A$4:$F$602,7,FALSE),"")</f>
        <v/>
      </c>
      <c r="EK350" t="str">
        <f>+IFERROR(VLOOKUP(EK51,IN_Zugliste!$A$4:$F$602,7,FALSE),"")</f>
        <v/>
      </c>
      <c r="EL350" t="str">
        <f>+IFERROR(VLOOKUP(EL51,IN_Zugliste!$A$4:$F$602,7,FALSE),"")</f>
        <v/>
      </c>
      <c r="EM350" t="str">
        <f>+IFERROR(VLOOKUP(EM51,IN_Zugliste!$A$4:$F$602,7,FALSE),"")</f>
        <v/>
      </c>
      <c r="EN350" t="str">
        <f>+IFERROR(VLOOKUP(EN51,IN_Zugliste!$A$4:$F$602,7,FALSE),"")</f>
        <v/>
      </c>
      <c r="EO350" t="str">
        <f>+IFERROR(VLOOKUP(EO51,IN_Zugliste!$A$4:$F$602,7,FALSE),"")</f>
        <v/>
      </c>
      <c r="EP350" t="str">
        <f>+IFERROR(VLOOKUP(EP51,IN_Zugliste!$A$4:$F$602,7,FALSE),"")</f>
        <v/>
      </c>
      <c r="EQ350" t="str">
        <f>+IFERROR(VLOOKUP(EQ51,IN_Zugliste!$A$4:$F$602,7,FALSE),"")</f>
        <v/>
      </c>
      <c r="ER350" t="str">
        <f>+IFERROR(VLOOKUP(ER51,IN_Zugliste!$A$4:$F$602,7,FALSE),"")</f>
        <v/>
      </c>
      <c r="ES350" t="str">
        <f>+IFERROR(VLOOKUP(ES51,IN_Zugliste!$A$4:$F$602,7,FALSE),"")</f>
        <v/>
      </c>
      <c r="ET350" t="str">
        <f>+IFERROR(VLOOKUP(ET51,IN_Zugliste!$A$4:$F$602,7,FALSE),"")</f>
        <v/>
      </c>
      <c r="EU350" t="str">
        <f>+IFERROR(VLOOKUP(EU51,IN_Zugliste!$A$4:$F$602,7,FALSE),"")</f>
        <v/>
      </c>
      <c r="EV350" t="str">
        <f>+IFERROR(VLOOKUP(EV51,IN_Zugliste!$A$4:$F$602,7,FALSE),"")</f>
        <v/>
      </c>
      <c r="EW350" t="str">
        <f>+IFERROR(VLOOKUP(EW51,IN_Zugliste!$A$4:$F$602,7,FALSE),"")</f>
        <v/>
      </c>
      <c r="EX350" t="str">
        <f>+IFERROR(VLOOKUP(EX51,IN_Zugliste!$A$4:$F$602,7,FALSE),"")</f>
        <v/>
      </c>
      <c r="EY350" t="str">
        <f>+IFERROR(VLOOKUP(EY51,IN_Zugliste!$A$4:$F$602,7,FALSE),"")</f>
        <v/>
      </c>
      <c r="EZ350" t="str">
        <f>+IFERROR(VLOOKUP(EZ51,IN_Zugliste!$A$4:$F$602,7,FALSE),"")</f>
        <v/>
      </c>
      <c r="FA350" t="str">
        <f>+IFERROR(VLOOKUP(FA51,IN_Zugliste!$A$4:$F$602,7,FALSE),"")</f>
        <v/>
      </c>
      <c r="FB350" t="str">
        <f>+IFERROR(VLOOKUP(FB51,IN_Zugliste!$A$4:$F$602,7,FALSE),"")</f>
        <v/>
      </c>
      <c r="FC350" t="str">
        <f>+IFERROR(VLOOKUP(FC51,IN_Zugliste!$A$4:$F$602,7,FALSE),"")</f>
        <v/>
      </c>
      <c r="FD350" t="str">
        <f>+IFERROR(VLOOKUP(FD51,IN_Zugliste!$A$4:$F$602,7,FALSE),"")</f>
        <v/>
      </c>
      <c r="FE350" t="str">
        <f>+IFERROR(VLOOKUP(FE51,IN_Zugliste!$A$4:$F$602,7,FALSE),"")</f>
        <v/>
      </c>
      <c r="FF350" t="str">
        <f>+IFERROR(VLOOKUP(FF51,IN_Zugliste!$A$4:$F$602,7,FALSE),"")</f>
        <v/>
      </c>
      <c r="FG350" t="str">
        <f>+IFERROR(VLOOKUP(FG51,IN_Zugliste!$A$4:$F$602,7,FALSE),"")</f>
        <v/>
      </c>
      <c r="FH350" t="str">
        <f>+IFERROR(VLOOKUP(FH51,IN_Zugliste!$A$4:$F$602,7,FALSE),"")</f>
        <v/>
      </c>
      <c r="FI350" t="str">
        <f>+IFERROR(VLOOKUP(FI51,IN_Zugliste!$A$4:$F$602,7,FALSE),"")</f>
        <v/>
      </c>
      <c r="FJ350" t="str">
        <f>+IFERROR(VLOOKUP(FJ51,IN_Zugliste!$A$4:$F$602,7,FALSE),"")</f>
        <v/>
      </c>
      <c r="FK350" t="str">
        <f>+IFERROR(VLOOKUP(FK51,IN_Zugliste!$A$4:$F$602,7,FALSE),"")</f>
        <v/>
      </c>
      <c r="FL350" t="str">
        <f>+IFERROR(VLOOKUP(FL51,IN_Zugliste!$A$4:$F$602,7,FALSE),"")</f>
        <v/>
      </c>
      <c r="FM350" t="str">
        <f>+IFERROR(VLOOKUP(FM51,IN_Zugliste!$A$4:$F$602,7,FALSE),"")</f>
        <v/>
      </c>
      <c r="FN350" t="str">
        <f>+IFERROR(VLOOKUP(FN51,IN_Zugliste!$A$4:$F$602,7,FALSE),"")</f>
        <v/>
      </c>
      <c r="FO350" t="str">
        <f>+IFERROR(VLOOKUP(FO51,IN_Zugliste!$A$4:$F$602,7,FALSE),"")</f>
        <v/>
      </c>
      <c r="FP350" t="str">
        <f>+IFERROR(VLOOKUP(FP51,IN_Zugliste!$A$4:$F$602,7,FALSE),"")</f>
        <v/>
      </c>
      <c r="FQ350" t="str">
        <f>+IFERROR(VLOOKUP(FQ51,IN_Zugliste!$A$4:$F$602,7,FALSE),"")</f>
        <v/>
      </c>
      <c r="FR350" t="str">
        <f>+IFERROR(VLOOKUP(FR51,IN_Zugliste!$A$4:$F$602,7,FALSE),"")</f>
        <v/>
      </c>
      <c r="FS350" t="str">
        <f>+IFERROR(VLOOKUP(FS51,IN_Zugliste!$A$4:$F$602,7,FALSE),"")</f>
        <v/>
      </c>
      <c r="FT350" t="str">
        <f>+IFERROR(VLOOKUP(FT51,IN_Zugliste!$A$4:$F$602,7,FALSE),"")</f>
        <v/>
      </c>
      <c r="FU350" t="str">
        <f>+IFERROR(VLOOKUP(FU51,IN_Zugliste!$A$4:$F$602,7,FALSE),"")</f>
        <v/>
      </c>
      <c r="FV350" t="str">
        <f>+IFERROR(VLOOKUP(FV51,IN_Zugliste!$A$4:$F$602,7,FALSE),"")</f>
        <v/>
      </c>
      <c r="FW350" t="str">
        <f>+IFERROR(VLOOKUP(FW51,IN_Zugliste!$A$4:$F$602,7,FALSE),"")</f>
        <v/>
      </c>
      <c r="FX350" t="str">
        <f>+IFERROR(VLOOKUP(FX51,IN_Zugliste!$A$4:$F$602,7,FALSE),"")</f>
        <v/>
      </c>
      <c r="FY350" t="str">
        <f>+IFERROR(VLOOKUP(FY51,IN_Zugliste!$A$4:$F$602,7,FALSE),"")</f>
        <v/>
      </c>
      <c r="FZ350" t="str">
        <f>+IFERROR(VLOOKUP(FZ51,IN_Zugliste!$A$4:$F$602,7,FALSE),"")</f>
        <v/>
      </c>
      <c r="GA350" t="str">
        <f>+IFERROR(VLOOKUP(GA51,IN_Zugliste!$A$4:$F$602,7,FALSE),"")</f>
        <v/>
      </c>
      <c r="GB350" t="str">
        <f>+IFERROR(VLOOKUP(GB51,IN_Zugliste!$A$4:$F$602,7,FALSE),"")</f>
        <v/>
      </c>
      <c r="GC350" t="str">
        <f>+IFERROR(VLOOKUP(GC51,IN_Zugliste!$A$4:$F$602,7,FALSE),"")</f>
        <v/>
      </c>
      <c r="GD350" t="str">
        <f>+IFERROR(VLOOKUP(GD51,IN_Zugliste!$A$4:$F$602,7,FALSE),"")</f>
        <v/>
      </c>
      <c r="GE350" t="str">
        <f>+IFERROR(VLOOKUP(GE51,IN_Zugliste!$A$4:$F$602,7,FALSE),"")</f>
        <v/>
      </c>
      <c r="GF350" t="str">
        <f>+IFERROR(VLOOKUP(GF51,IN_Zugliste!$A$4:$F$602,7,FALSE),"")</f>
        <v/>
      </c>
      <c r="GG350" t="str">
        <f>+IFERROR(VLOOKUP(GG51,IN_Zugliste!$A$4:$F$602,7,FALSE),"")</f>
        <v/>
      </c>
      <c r="GH350" t="str">
        <f>+IFERROR(VLOOKUP(GH51,IN_Zugliste!$A$4:$F$602,7,FALSE),"")</f>
        <v/>
      </c>
      <c r="GI350" t="str">
        <f>+IFERROR(VLOOKUP(GI51,IN_Zugliste!$A$4:$F$602,7,FALSE),"")</f>
        <v/>
      </c>
      <c r="GJ350" t="str">
        <f>+IFERROR(VLOOKUP(GJ51,IN_Zugliste!$A$4:$F$602,7,FALSE),"")</f>
        <v/>
      </c>
      <c r="GK350" t="str">
        <f>+IFERROR(VLOOKUP(GK51,IN_Zugliste!$A$4:$F$602,7,FALSE),"")</f>
        <v/>
      </c>
      <c r="GL350" t="str">
        <f>+IFERROR(VLOOKUP(GL51,IN_Zugliste!$A$4:$F$602,7,FALSE),"")</f>
        <v/>
      </c>
      <c r="GM350" t="str">
        <f>+IFERROR(VLOOKUP(GM51,IN_Zugliste!$A$4:$F$602,7,FALSE),"")</f>
        <v/>
      </c>
      <c r="GN350" t="str">
        <f>+IFERROR(VLOOKUP(GN51,IN_Zugliste!$A$4:$F$602,7,FALSE),"")</f>
        <v/>
      </c>
      <c r="GO350" t="str">
        <f>+IFERROR(VLOOKUP(GO51,IN_Zugliste!$A$4:$F$602,7,FALSE),"")</f>
        <v/>
      </c>
      <c r="GP350" t="str">
        <f>+IFERROR(VLOOKUP(GP51,IN_Zugliste!$A$4:$F$602,7,FALSE),"")</f>
        <v/>
      </c>
      <c r="GQ350" t="str">
        <f>+IFERROR(VLOOKUP(GQ51,IN_Zugliste!$A$4:$F$602,7,FALSE),"")</f>
        <v/>
      </c>
      <c r="GR350" t="str">
        <f>+IFERROR(VLOOKUP(GR51,IN_Zugliste!$A$4:$F$602,7,FALSE),"")</f>
        <v/>
      </c>
      <c r="GS350" t="str">
        <f>+IFERROR(VLOOKUP(GS51,IN_Zugliste!$A$4:$F$602,7,FALSE),"")</f>
        <v/>
      </c>
      <c r="GT350" t="str">
        <f>+IFERROR(VLOOKUP(GT51,IN_Zugliste!$A$4:$F$602,7,FALSE),"")</f>
        <v/>
      </c>
      <c r="GU350" t="str">
        <f>+IFERROR(VLOOKUP(GU51,IN_Zugliste!$A$4:$F$602,7,FALSE),"")</f>
        <v/>
      </c>
      <c r="GV350" t="str">
        <f>+IFERROR(VLOOKUP(GV51,IN_Zugliste!$A$4:$F$602,7,FALSE),"")</f>
        <v/>
      </c>
      <c r="GW350" t="str">
        <f>+IFERROR(VLOOKUP(GW51,IN_Zugliste!$A$4:$F$602,7,FALSE),"")</f>
        <v/>
      </c>
      <c r="GX350" t="str">
        <f>+IFERROR(VLOOKUP(GX51,IN_Zugliste!$A$4:$F$602,7,FALSE),"")</f>
        <v/>
      </c>
      <c r="GY350" t="str">
        <f>+IFERROR(VLOOKUP(GY51,IN_Zugliste!$A$4:$F$602,7,FALSE),"")</f>
        <v/>
      </c>
      <c r="GZ350" t="str">
        <f>+IFERROR(VLOOKUP(GZ51,IN_Zugliste!$A$4:$F$602,7,FALSE),"")</f>
        <v/>
      </c>
      <c r="HA350" t="str">
        <f>+IFERROR(VLOOKUP(HA51,IN_Zugliste!$A$4:$F$602,7,FALSE),"")</f>
        <v/>
      </c>
      <c r="HB350" t="str">
        <f>+IFERROR(VLOOKUP(HB51,IN_Zugliste!$A$4:$F$602,7,FALSE),"")</f>
        <v/>
      </c>
      <c r="HC350" t="str">
        <f>+IFERROR(VLOOKUP(HC51,IN_Zugliste!$A$4:$F$602,7,FALSE),"")</f>
        <v/>
      </c>
      <c r="HD350" t="str">
        <f>+IFERROR(VLOOKUP(HD51,IN_Zugliste!$A$4:$F$602,7,FALSE),"")</f>
        <v/>
      </c>
      <c r="HE350" t="str">
        <f>+IFERROR(VLOOKUP(HE51,IN_Zugliste!$A$4:$F$602,7,FALSE),"")</f>
        <v/>
      </c>
      <c r="HF350" t="str">
        <f>+IFERROR(VLOOKUP(HF51,IN_Zugliste!$A$4:$F$602,7,FALSE),"")</f>
        <v/>
      </c>
      <c r="HG350" t="str">
        <f>+IFERROR(VLOOKUP(HG51,IN_Zugliste!$A$4:$F$602,7,FALSE),"")</f>
        <v/>
      </c>
      <c r="HH350" t="str">
        <f>+IFERROR(VLOOKUP(HH51,IN_Zugliste!$A$4:$F$602,7,FALSE),"")</f>
        <v/>
      </c>
    </row>
  </sheetData>
  <phoneticPr fontId="6" type="noConversion"/>
  <pageMargins left="0.7" right="0.7" top="0.78740157499999996" bottom="0.78740157499999996" header="0.3" footer="0.3"/>
  <pageSetup paperSize="8"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24736-2E89-4EF6-AA07-0DC2ACB85489}">
  <sheetPr codeName="Tabelle11"/>
  <dimension ref="A1:F135"/>
  <sheetViews>
    <sheetView showZeros="0" zoomScale="80" zoomScaleNormal="80" workbookViewId="0">
      <selection activeCell="D18" sqref="D18"/>
    </sheetView>
  </sheetViews>
  <sheetFormatPr baseColWidth="10" defaultColWidth="11.42578125" defaultRowHeight="15" x14ac:dyDescent="0.25"/>
  <cols>
    <col min="1" max="1" width="15.28515625" style="51" bestFit="1" customWidth="1"/>
    <col min="2" max="2" width="34.28515625" style="51" bestFit="1" customWidth="1"/>
    <col min="3" max="3" width="15.28515625" style="51" bestFit="1" customWidth="1"/>
    <col min="4" max="4" width="35.28515625" style="51" customWidth="1"/>
    <col min="5" max="16384" width="11.42578125" style="51"/>
  </cols>
  <sheetData>
    <row r="1" spans="1:6" x14ac:dyDescent="0.25">
      <c r="A1" s="51" t="s">
        <v>2169</v>
      </c>
      <c r="B1" s="51" t="s">
        <v>2170</v>
      </c>
      <c r="C1" s="51" t="s">
        <v>2171</v>
      </c>
      <c r="D1" s="51" t="s">
        <v>2172</v>
      </c>
      <c r="E1" s="51" t="s">
        <v>2173</v>
      </c>
    </row>
    <row r="2" spans="1:6" x14ac:dyDescent="0.25">
      <c r="A2" s="51" t="s">
        <v>2174</v>
      </c>
      <c r="B2" s="51" t="s">
        <v>2444</v>
      </c>
      <c r="C2" s="51" t="s">
        <v>2175</v>
      </c>
      <c r="D2" s="51" t="s">
        <v>2445</v>
      </c>
      <c r="E2" s="51">
        <v>8700</v>
      </c>
      <c r="F2" s="51" t="str">
        <f t="shared" ref="F2:F33" si="0">IF(C2&lt;A2,C2&amp;"-"&amp;A2,A2&amp;"-"&amp;C2)</f>
        <v>AKO-NAR</v>
      </c>
    </row>
    <row r="3" spans="1:6" x14ac:dyDescent="0.25">
      <c r="A3" s="51" t="s">
        <v>2175</v>
      </c>
      <c r="B3" s="51" t="s">
        <v>2445</v>
      </c>
      <c r="C3" s="51" t="s">
        <v>2176</v>
      </c>
      <c r="D3" s="51" t="s">
        <v>2446</v>
      </c>
      <c r="E3" s="51">
        <v>4500</v>
      </c>
      <c r="F3" s="51" t="str">
        <f t="shared" si="0"/>
        <v>AKO-NAM</v>
      </c>
    </row>
    <row r="4" spans="1:6" x14ac:dyDescent="0.25">
      <c r="A4" s="51" t="s">
        <v>2176</v>
      </c>
      <c r="B4" s="51" t="s">
        <v>2446</v>
      </c>
      <c r="C4" s="51" t="s">
        <v>2177</v>
      </c>
      <c r="D4" s="51" t="s">
        <v>2447</v>
      </c>
      <c r="E4" s="51">
        <v>6300</v>
      </c>
      <c r="F4" s="51" t="str">
        <f t="shared" si="0"/>
        <v>KMZ-NAM</v>
      </c>
    </row>
    <row r="5" spans="1:6" x14ac:dyDescent="0.25">
      <c r="A5" s="51" t="s">
        <v>2177</v>
      </c>
      <c r="B5" s="51" t="s">
        <v>2447</v>
      </c>
      <c r="C5" s="51" t="s">
        <v>2178</v>
      </c>
      <c r="D5" s="51" t="s">
        <v>2448</v>
      </c>
      <c r="E5" s="51">
        <v>806</v>
      </c>
      <c r="F5" s="51" t="str">
        <f t="shared" si="0"/>
        <v>KMH-KMZ</v>
      </c>
    </row>
    <row r="6" spans="1:6" x14ac:dyDescent="0.25">
      <c r="A6" s="51" t="s">
        <v>2178</v>
      </c>
      <c r="B6" s="51" t="s">
        <v>2448</v>
      </c>
      <c r="C6" s="51" t="s">
        <v>2179</v>
      </c>
      <c r="D6" s="51" t="s">
        <v>2449</v>
      </c>
      <c r="E6" s="51">
        <v>944</v>
      </c>
      <c r="F6" s="51" t="str">
        <f t="shared" si="0"/>
        <v>KH-KMH</v>
      </c>
    </row>
    <row r="7" spans="1:6" x14ac:dyDescent="0.25">
      <c r="A7" s="51" t="s">
        <v>2179</v>
      </c>
      <c r="B7" s="51" t="s">
        <v>2449</v>
      </c>
      <c r="C7" s="51" t="s">
        <v>2180</v>
      </c>
      <c r="D7" s="51" t="s">
        <v>2450</v>
      </c>
      <c r="E7" s="51">
        <v>1950</v>
      </c>
      <c r="F7" s="51" t="str">
        <f t="shared" si="0"/>
        <v>HUZ-KH</v>
      </c>
    </row>
    <row r="8" spans="1:6" x14ac:dyDescent="0.25">
      <c r="A8" s="51" t="s">
        <v>2180</v>
      </c>
      <c r="B8" s="51" t="s">
        <v>2450</v>
      </c>
      <c r="C8" s="51" t="s">
        <v>2181</v>
      </c>
      <c r="D8" s="51">
        <v>0</v>
      </c>
      <c r="E8" s="51">
        <v>2415</v>
      </c>
      <c r="F8" s="51" t="str">
        <f t="shared" si="0"/>
        <v>HUZ-LEV</v>
      </c>
    </row>
    <row r="9" spans="1:6" x14ac:dyDescent="0.25">
      <c r="A9" s="51" t="s">
        <v>2181</v>
      </c>
      <c r="B9" s="51">
        <v>0</v>
      </c>
      <c r="C9" s="51" t="s">
        <v>2182</v>
      </c>
      <c r="D9" s="51" t="s">
        <v>2451</v>
      </c>
      <c r="E9" s="51">
        <v>1260</v>
      </c>
      <c r="F9" s="51" t="str">
        <f t="shared" si="0"/>
        <v>LEV-ZVU</v>
      </c>
    </row>
    <row r="10" spans="1:6" x14ac:dyDescent="0.25">
      <c r="A10" s="51" t="s">
        <v>2182</v>
      </c>
      <c r="B10" s="51" t="s">
        <v>2451</v>
      </c>
      <c r="C10" s="51" t="s">
        <v>2183</v>
      </c>
      <c r="D10" s="51" t="s">
        <v>2452</v>
      </c>
      <c r="E10" s="51">
        <v>2395</v>
      </c>
      <c r="F10" s="51" t="str">
        <f t="shared" si="0"/>
        <v>HRH-ZVU</v>
      </c>
    </row>
    <row r="11" spans="1:6" x14ac:dyDescent="0.25">
      <c r="A11" s="51" t="s">
        <v>2183</v>
      </c>
      <c r="B11" s="51" t="s">
        <v>2452</v>
      </c>
      <c r="C11" s="51" t="s">
        <v>2184</v>
      </c>
      <c r="D11" s="51" t="s">
        <v>2453</v>
      </c>
      <c r="E11" s="51">
        <v>1622</v>
      </c>
      <c r="F11" s="51" t="str">
        <f t="shared" si="0"/>
        <v>HMK-HRH</v>
      </c>
    </row>
    <row r="12" spans="1:6" x14ac:dyDescent="0.25">
      <c r="A12" s="51" t="s">
        <v>2184</v>
      </c>
      <c r="B12" s="51" t="s">
        <v>2453</v>
      </c>
      <c r="C12" s="51" t="s">
        <v>2185</v>
      </c>
      <c r="D12" s="51" t="s">
        <v>2454</v>
      </c>
      <c r="E12" s="51">
        <v>1750</v>
      </c>
      <c r="F12" s="51" t="str">
        <f t="shared" si="0"/>
        <v>HBG-HMK</v>
      </c>
    </row>
    <row r="13" spans="1:6" x14ac:dyDescent="0.25">
      <c r="A13" s="51" t="s">
        <v>2185</v>
      </c>
      <c r="B13" s="51" t="s">
        <v>2454</v>
      </c>
      <c r="C13" s="51" t="s">
        <v>2186</v>
      </c>
      <c r="D13" s="51" t="s">
        <v>2455</v>
      </c>
      <c r="E13" s="51">
        <v>5733</v>
      </c>
      <c r="F13" s="51" t="str">
        <f t="shared" si="0"/>
        <v>CRM-HBG</v>
      </c>
    </row>
    <row r="14" spans="1:6" x14ac:dyDescent="0.25">
      <c r="A14" s="51" t="s">
        <v>2186</v>
      </c>
      <c r="B14" s="51" t="s">
        <v>2455</v>
      </c>
      <c r="C14" s="51" t="s">
        <v>2187</v>
      </c>
      <c r="D14" s="51" t="s">
        <v>2456</v>
      </c>
      <c r="E14" s="51">
        <v>5060</v>
      </c>
      <c r="F14" s="51" t="str">
        <f t="shared" si="0"/>
        <v>CRM-HOT</v>
      </c>
    </row>
    <row r="15" spans="1:6" x14ac:dyDescent="0.25">
      <c r="A15" s="51" t="s">
        <v>2187</v>
      </c>
      <c r="B15" s="51" t="s">
        <v>2456</v>
      </c>
      <c r="C15" s="51" t="s">
        <v>2188</v>
      </c>
      <c r="D15" s="51" t="s">
        <v>2457</v>
      </c>
      <c r="E15" s="51">
        <v>6611</v>
      </c>
      <c r="F15" s="51" t="str">
        <f t="shared" si="0"/>
        <v>ATL-HOT</v>
      </c>
    </row>
    <row r="16" spans="1:6" x14ac:dyDescent="0.25">
      <c r="A16" s="51" t="s">
        <v>2188</v>
      </c>
      <c r="B16" s="51" t="s">
        <v>2457</v>
      </c>
      <c r="C16" s="51" t="s">
        <v>2189</v>
      </c>
      <c r="D16" s="51" t="s">
        <v>2458</v>
      </c>
      <c r="E16" s="51">
        <v>7824</v>
      </c>
      <c r="F16" s="51" t="str">
        <f t="shared" si="0"/>
        <v>ATL-DOR</v>
      </c>
    </row>
    <row r="17" spans="1:6" x14ac:dyDescent="0.25">
      <c r="A17" s="51" t="s">
        <v>2189</v>
      </c>
      <c r="B17" s="51" t="s">
        <v>2458</v>
      </c>
      <c r="C17" s="51" t="s">
        <v>2190</v>
      </c>
      <c r="D17" s="51" t="s">
        <v>2459</v>
      </c>
      <c r="E17" s="51">
        <v>5930</v>
      </c>
      <c r="F17" s="51" t="str">
        <f t="shared" si="0"/>
        <v>DOR-ZKB</v>
      </c>
    </row>
    <row r="18" spans="1:6" x14ac:dyDescent="0.25">
      <c r="A18" s="51" t="s">
        <v>2190</v>
      </c>
      <c r="B18" s="51" t="s">
        <v>2459</v>
      </c>
      <c r="C18" s="51" t="s">
        <v>2191</v>
      </c>
      <c r="D18" s="51" t="s">
        <v>2460</v>
      </c>
      <c r="E18" s="51">
        <v>6821</v>
      </c>
      <c r="F18" s="51" t="str">
        <f t="shared" si="0"/>
        <v>BIN-ZKB</v>
      </c>
    </row>
    <row r="19" spans="1:6" x14ac:dyDescent="0.25">
      <c r="A19" s="51" t="s">
        <v>2191</v>
      </c>
      <c r="B19" s="51" t="s">
        <v>2460</v>
      </c>
      <c r="C19" s="51" t="s">
        <v>2192</v>
      </c>
      <c r="D19" s="51" t="s">
        <v>2461</v>
      </c>
      <c r="E19" s="51">
        <v>3214</v>
      </c>
      <c r="F19" s="51" t="str">
        <f t="shared" si="0"/>
        <v>BIN-CSR</v>
      </c>
    </row>
    <row r="20" spans="1:6" x14ac:dyDescent="0.25">
      <c r="A20" s="51" t="s">
        <v>2192</v>
      </c>
      <c r="B20" s="51" t="s">
        <v>2461</v>
      </c>
      <c r="C20" s="51" t="s">
        <v>2193</v>
      </c>
      <c r="D20" s="51" t="s">
        <v>2462</v>
      </c>
      <c r="E20" s="51">
        <v>1240</v>
      </c>
      <c r="F20" s="51" t="str">
        <f t="shared" si="0"/>
        <v>CSR-RMZ</v>
      </c>
    </row>
    <row r="21" spans="1:6" x14ac:dyDescent="0.25">
      <c r="A21" s="51" t="s">
        <v>2193</v>
      </c>
      <c r="B21" s="51" t="s">
        <v>2462</v>
      </c>
      <c r="C21" s="51" t="s">
        <v>2194</v>
      </c>
      <c r="D21" s="51" t="s">
        <v>2463</v>
      </c>
      <c r="E21" s="51">
        <v>3875</v>
      </c>
      <c r="F21" s="51" t="str">
        <f t="shared" si="0"/>
        <v>HADEAST-RMZ</v>
      </c>
    </row>
    <row r="22" spans="1:6" x14ac:dyDescent="0.25">
      <c r="A22" s="51" t="s">
        <v>2194</v>
      </c>
      <c r="B22" s="51" t="s">
        <v>2463</v>
      </c>
      <c r="C22" s="51" t="s">
        <v>2195</v>
      </c>
      <c r="D22" s="51" t="s">
        <v>2464</v>
      </c>
      <c r="E22" s="51">
        <v>8850</v>
      </c>
      <c r="F22" s="51" t="str">
        <f t="shared" si="0"/>
        <v>AHIT-HADEAST</v>
      </c>
    </row>
    <row r="23" spans="1:6" x14ac:dyDescent="0.25">
      <c r="A23" s="51" t="s">
        <v>2195</v>
      </c>
      <c r="B23" s="51" t="s">
        <v>2464</v>
      </c>
      <c r="C23" s="51" t="s">
        <v>2196</v>
      </c>
      <c r="D23" s="51" t="s">
        <v>2465</v>
      </c>
      <c r="E23" s="51">
        <v>12100</v>
      </c>
      <c r="F23" s="51" t="str">
        <f t="shared" si="0"/>
        <v>AHIT-TAY</v>
      </c>
    </row>
    <row r="24" spans="1:6" x14ac:dyDescent="0.25">
      <c r="A24" s="51" t="s">
        <v>2196</v>
      </c>
      <c r="B24" s="51" t="s">
        <v>2465</v>
      </c>
      <c r="C24" s="51" t="s">
        <v>2197</v>
      </c>
      <c r="D24" s="51" t="s">
        <v>2466</v>
      </c>
      <c r="E24" s="51">
        <v>5400</v>
      </c>
      <c r="F24" s="51" t="str">
        <f t="shared" si="0"/>
        <v>TAY-TIRA</v>
      </c>
    </row>
    <row r="25" spans="1:6" x14ac:dyDescent="0.25">
      <c r="A25" s="51" t="s">
        <v>2197</v>
      </c>
      <c r="B25" s="51" t="s">
        <v>2466</v>
      </c>
      <c r="C25" s="51" t="s">
        <v>2198</v>
      </c>
      <c r="D25" s="51" t="s">
        <v>2467</v>
      </c>
      <c r="E25" s="51">
        <v>1900</v>
      </c>
      <c r="F25" s="51" t="str">
        <f t="shared" si="0"/>
        <v>EYAL-TIRA</v>
      </c>
    </row>
    <row r="26" spans="1:6" x14ac:dyDescent="0.25">
      <c r="A26" s="51" t="s">
        <v>2198</v>
      </c>
      <c r="B26" s="51" t="s">
        <v>2467</v>
      </c>
      <c r="C26" s="51" t="s">
        <v>2199</v>
      </c>
      <c r="D26" s="51" t="s">
        <v>2468</v>
      </c>
      <c r="E26" s="51">
        <v>2800</v>
      </c>
      <c r="F26" s="51" t="str">
        <f t="shared" si="0"/>
        <v>EYAL-KSE</v>
      </c>
    </row>
    <row r="27" spans="1:6" x14ac:dyDescent="0.25">
      <c r="A27" s="51" t="s">
        <v>2199</v>
      </c>
      <c r="B27" s="51" t="s">
        <v>2468</v>
      </c>
      <c r="C27" s="51" t="s">
        <v>2200</v>
      </c>
      <c r="D27" s="51">
        <v>0</v>
      </c>
      <c r="E27" s="51">
        <v>6789</v>
      </c>
      <c r="F27" s="51" t="str">
        <f t="shared" si="0"/>
        <v>KSE-THE</v>
      </c>
    </row>
    <row r="28" spans="1:6" x14ac:dyDescent="0.25">
      <c r="A28" s="51" t="s">
        <v>2200</v>
      </c>
      <c r="B28" s="51">
        <v>0</v>
      </c>
      <c r="C28" s="51" t="s">
        <v>2201</v>
      </c>
      <c r="D28" s="51" t="s">
        <v>2469</v>
      </c>
      <c r="E28" s="51">
        <v>2111</v>
      </c>
      <c r="F28" s="51" t="str">
        <f t="shared" si="0"/>
        <v>RST-THE</v>
      </c>
    </row>
    <row r="29" spans="1:6" x14ac:dyDescent="0.25">
      <c r="A29" s="51" t="s">
        <v>2202</v>
      </c>
      <c r="B29" s="51" t="s">
        <v>2470</v>
      </c>
      <c r="C29" s="51" t="s">
        <v>2203</v>
      </c>
      <c r="D29" s="51" t="s">
        <v>2471</v>
      </c>
      <c r="E29" s="51">
        <v>1250</v>
      </c>
      <c r="F29" s="51" t="str">
        <f t="shared" si="0"/>
        <v>RS-RSM</v>
      </c>
    </row>
    <row r="30" spans="1:6" x14ac:dyDescent="0.25">
      <c r="A30" s="51" t="s">
        <v>2203</v>
      </c>
      <c r="B30" s="51" t="s">
        <v>2471</v>
      </c>
      <c r="C30" s="51" t="s">
        <v>2204</v>
      </c>
      <c r="D30" s="51" t="e">
        <v>#N/A</v>
      </c>
      <c r="E30" s="51">
        <v>4330</v>
      </c>
      <c r="F30" s="51" t="str">
        <f t="shared" si="0"/>
        <v>ELAD-RS</v>
      </c>
    </row>
    <row r="31" spans="1:6" x14ac:dyDescent="0.25">
      <c r="A31" s="51" t="s">
        <v>2204</v>
      </c>
      <c r="B31" s="51" t="e">
        <v>#N/A</v>
      </c>
      <c r="C31" s="51" t="s">
        <v>2205</v>
      </c>
      <c r="D31" s="51" t="s">
        <v>2472</v>
      </c>
      <c r="E31" s="51">
        <v>8270</v>
      </c>
      <c r="F31" s="51" t="str">
        <f t="shared" si="0"/>
        <v>ELAD-TF</v>
      </c>
    </row>
    <row r="32" spans="1:6" x14ac:dyDescent="0.25">
      <c r="A32" s="51" t="s">
        <v>2205</v>
      </c>
      <c r="B32" s="51" t="s">
        <v>2472</v>
      </c>
      <c r="C32" s="51" t="s">
        <v>2206</v>
      </c>
      <c r="D32" s="51" t="s">
        <v>2473</v>
      </c>
      <c r="E32" s="51">
        <v>3900</v>
      </c>
      <c r="F32" s="51" t="str">
        <f t="shared" si="0"/>
        <v>TAD-TF</v>
      </c>
    </row>
    <row r="33" spans="1:6" x14ac:dyDescent="0.25">
      <c r="A33" s="51" t="s">
        <v>2206</v>
      </c>
      <c r="B33" s="51" t="s">
        <v>2473</v>
      </c>
      <c r="C33" s="51" t="s">
        <v>2207</v>
      </c>
      <c r="D33" s="51" t="s">
        <v>2474</v>
      </c>
      <c r="E33" s="51">
        <v>2750</v>
      </c>
      <c r="F33" s="51" t="str">
        <f t="shared" si="0"/>
        <v>LOD-TAD</v>
      </c>
    </row>
    <row r="34" spans="1:6" x14ac:dyDescent="0.25">
      <c r="A34" s="51" t="s">
        <v>2207</v>
      </c>
      <c r="B34" s="51" t="s">
        <v>2474</v>
      </c>
      <c r="C34" s="51" t="s">
        <v>2208</v>
      </c>
      <c r="D34" s="51" t="s">
        <v>2475</v>
      </c>
      <c r="E34" s="51">
        <v>2359</v>
      </c>
      <c r="F34" s="51" t="str">
        <f t="shared" ref="F34:F65" si="1">IF(C34&lt;A34,C34&amp;"-"&amp;A34,A34&amp;"-"&amp;C34)</f>
        <v>LOD-RM</v>
      </c>
    </row>
    <row r="35" spans="1:6" x14ac:dyDescent="0.25">
      <c r="A35" s="51" t="s">
        <v>2208</v>
      </c>
      <c r="B35" s="51" t="s">
        <v>2475</v>
      </c>
      <c r="C35" s="51" t="s">
        <v>2209</v>
      </c>
      <c r="D35" s="51" t="s">
        <v>2476</v>
      </c>
      <c r="E35" s="51">
        <v>2260</v>
      </c>
      <c r="F35" s="51" t="str">
        <f t="shared" si="1"/>
        <v>RHV-RM</v>
      </c>
    </row>
    <row r="36" spans="1:6" x14ac:dyDescent="0.25">
      <c r="A36" s="51" t="s">
        <v>2209</v>
      </c>
      <c r="B36" s="51" t="s">
        <v>2476</v>
      </c>
      <c r="C36" s="51" t="s">
        <v>2210</v>
      </c>
      <c r="D36" s="51" t="s">
        <v>2477</v>
      </c>
      <c r="E36" s="51">
        <v>5190</v>
      </c>
      <c r="F36" s="51" t="str">
        <f t="shared" si="1"/>
        <v>NAN-RHV</v>
      </c>
    </row>
    <row r="37" spans="1:6" x14ac:dyDescent="0.25">
      <c r="A37" s="51" t="s">
        <v>2210</v>
      </c>
      <c r="B37" s="51" t="s">
        <v>2477</v>
      </c>
      <c r="C37" s="51" t="s">
        <v>2211</v>
      </c>
      <c r="D37" s="51" t="s">
        <v>2478</v>
      </c>
      <c r="E37" s="51">
        <v>3225</v>
      </c>
      <c r="F37" s="51" t="str">
        <f t="shared" si="1"/>
        <v>MZB-NAN</v>
      </c>
    </row>
    <row r="38" spans="1:6" x14ac:dyDescent="0.25">
      <c r="A38" s="51" t="s">
        <v>2211</v>
      </c>
      <c r="B38" s="51" t="s">
        <v>2478</v>
      </c>
      <c r="C38" s="51" t="s">
        <v>2212</v>
      </c>
      <c r="D38" s="51" t="s">
        <v>2479</v>
      </c>
      <c r="E38" s="51">
        <v>10500</v>
      </c>
      <c r="F38" s="51" t="str">
        <f t="shared" si="1"/>
        <v>MZB-NCM</v>
      </c>
    </row>
    <row r="39" spans="1:6" x14ac:dyDescent="0.25">
      <c r="A39" s="51" t="s">
        <v>2212</v>
      </c>
      <c r="B39" s="51" t="s">
        <v>2479</v>
      </c>
      <c r="C39" s="51" t="s">
        <v>2213</v>
      </c>
      <c r="D39" s="51" t="s">
        <v>2480</v>
      </c>
      <c r="E39" s="51">
        <v>898</v>
      </c>
      <c r="F39" s="51" t="str">
        <f t="shared" si="1"/>
        <v>NCM-QMLA</v>
      </c>
    </row>
    <row r="40" spans="1:6" x14ac:dyDescent="0.25">
      <c r="A40" s="51" t="s">
        <v>2213</v>
      </c>
      <c r="B40" s="51" t="s">
        <v>2480</v>
      </c>
      <c r="C40" s="51" t="s">
        <v>2214</v>
      </c>
      <c r="D40" s="51" t="s">
        <v>2481</v>
      </c>
      <c r="E40" s="51">
        <v>17035</v>
      </c>
      <c r="F40" s="51" t="str">
        <f t="shared" si="1"/>
        <v>GT-QMLA</v>
      </c>
    </row>
    <row r="41" spans="1:6" x14ac:dyDescent="0.25">
      <c r="A41" s="51" t="s">
        <v>2214</v>
      </c>
      <c r="B41" s="51" t="s">
        <v>2481</v>
      </c>
      <c r="C41" s="51" t="s">
        <v>2215</v>
      </c>
      <c r="D41" s="51" t="s">
        <v>2482</v>
      </c>
      <c r="E41" s="51">
        <v>8067</v>
      </c>
      <c r="F41" s="51" t="str">
        <f t="shared" si="1"/>
        <v>CZM-GT</v>
      </c>
    </row>
    <row r="42" spans="1:6" x14ac:dyDescent="0.25">
      <c r="A42" s="51" t="s">
        <v>2215</v>
      </c>
      <c r="B42" s="51" t="s">
        <v>2482</v>
      </c>
      <c r="C42" s="51" t="s">
        <v>2216</v>
      </c>
      <c r="D42" s="51" t="s">
        <v>2483</v>
      </c>
      <c r="E42" s="51">
        <v>5924</v>
      </c>
      <c r="F42" s="51" t="str">
        <f t="shared" si="1"/>
        <v>CZM-NGL</v>
      </c>
    </row>
    <row r="43" spans="1:6" x14ac:dyDescent="0.25">
      <c r="A43" s="51" t="s">
        <v>2216</v>
      </c>
      <c r="B43" s="51" t="s">
        <v>2483</v>
      </c>
      <c r="C43" s="51" t="s">
        <v>2217</v>
      </c>
      <c r="D43" s="51" t="s">
        <v>2484</v>
      </c>
      <c r="E43" s="51">
        <v>7563</v>
      </c>
      <c r="F43" s="51" t="str">
        <f t="shared" si="1"/>
        <v>NGL-VIR</v>
      </c>
    </row>
    <row r="44" spans="1:6" x14ac:dyDescent="0.25">
      <c r="A44" s="51" t="s">
        <v>2217</v>
      </c>
      <c r="B44" s="51" t="s">
        <v>2484</v>
      </c>
      <c r="C44" s="51" t="s">
        <v>2218</v>
      </c>
      <c r="D44" s="51" t="s">
        <v>2485</v>
      </c>
      <c r="E44" s="51">
        <v>5478</v>
      </c>
      <c r="F44" s="51" t="str">
        <f t="shared" si="1"/>
        <v>LHVR-VIR</v>
      </c>
    </row>
    <row r="45" spans="1:6" x14ac:dyDescent="0.25">
      <c r="A45" s="51" t="s">
        <v>2219</v>
      </c>
      <c r="B45" s="51" t="s">
        <v>2486</v>
      </c>
      <c r="C45" s="51" t="s">
        <v>2220</v>
      </c>
      <c r="D45" s="51">
        <v>0</v>
      </c>
      <c r="E45" s="51">
        <v>4680</v>
      </c>
      <c r="F45" s="51" t="str">
        <f t="shared" si="1"/>
        <v>SHK-ZGD</v>
      </c>
    </row>
    <row r="46" spans="1:6" x14ac:dyDescent="0.25">
      <c r="A46" s="51" t="s">
        <v>2221</v>
      </c>
      <c r="B46" s="51" t="s">
        <v>2487</v>
      </c>
      <c r="C46" s="51" t="s">
        <v>2222</v>
      </c>
      <c r="D46" s="51" t="s">
        <v>2488</v>
      </c>
      <c r="E46" s="52">
        <v>11749</v>
      </c>
      <c r="F46" s="51" t="str">
        <f t="shared" si="1"/>
        <v>AHI-KRML</v>
      </c>
    </row>
    <row r="47" spans="1:6" x14ac:dyDescent="0.25">
      <c r="A47" s="51" t="s">
        <v>2222</v>
      </c>
      <c r="B47" s="51" t="s">
        <v>2488</v>
      </c>
      <c r="C47" s="51" t="s">
        <v>2176</v>
      </c>
      <c r="D47" s="51" t="s">
        <v>2446</v>
      </c>
      <c r="E47" s="52">
        <v>10642</v>
      </c>
      <c r="F47" s="51" t="str">
        <f t="shared" si="1"/>
        <v>AHI-NAM</v>
      </c>
    </row>
    <row r="48" spans="1:6" x14ac:dyDescent="0.25">
      <c r="A48" s="51" t="s">
        <v>2193</v>
      </c>
      <c r="B48" s="51" t="s">
        <v>2462</v>
      </c>
      <c r="C48" s="51" t="s">
        <v>2223</v>
      </c>
      <c r="D48" s="51" t="s">
        <v>2489</v>
      </c>
      <c r="E48" s="52">
        <v>6563</v>
      </c>
      <c r="F48" s="51" t="str">
        <f t="shared" si="1"/>
        <v>HDM-RMZ</v>
      </c>
    </row>
    <row r="49" spans="1:6" x14ac:dyDescent="0.25">
      <c r="A49" s="51" t="s">
        <v>2223</v>
      </c>
      <c r="B49" s="51" t="s">
        <v>2489</v>
      </c>
      <c r="C49" s="51" t="s">
        <v>2224</v>
      </c>
      <c r="D49" s="51" t="s">
        <v>2490</v>
      </c>
      <c r="E49" s="52">
        <v>6301</v>
      </c>
      <c r="F49" s="51" t="str">
        <f t="shared" si="1"/>
        <v>HDM-VTK</v>
      </c>
    </row>
    <row r="50" spans="1:6" x14ac:dyDescent="0.25">
      <c r="A50" s="51" t="s">
        <v>2224</v>
      </c>
      <c r="B50" s="51" t="s">
        <v>2490</v>
      </c>
      <c r="C50" s="51" t="s">
        <v>2225</v>
      </c>
      <c r="D50" s="51" t="s">
        <v>2491</v>
      </c>
      <c r="E50" s="52">
        <v>7413</v>
      </c>
      <c r="F50" s="51" t="str">
        <f t="shared" si="1"/>
        <v>NET-VTK</v>
      </c>
    </row>
    <row r="51" spans="1:6" x14ac:dyDescent="0.25">
      <c r="A51" s="51" t="s">
        <v>2225</v>
      </c>
      <c r="B51" s="51" t="s">
        <v>2491</v>
      </c>
      <c r="C51" s="51" t="s">
        <v>2226</v>
      </c>
      <c r="D51" s="51" t="s">
        <v>2492</v>
      </c>
      <c r="E51" s="52">
        <v>4498</v>
      </c>
      <c r="F51" s="51" t="str">
        <f t="shared" si="1"/>
        <v>NET-SPR</v>
      </c>
    </row>
    <row r="52" spans="1:6" x14ac:dyDescent="0.25">
      <c r="A52" s="51" t="s">
        <v>2226</v>
      </c>
      <c r="B52" s="51" t="s">
        <v>2492</v>
      </c>
      <c r="C52" s="51" t="s">
        <v>2227</v>
      </c>
      <c r="D52" s="51" t="s">
        <v>2493</v>
      </c>
      <c r="E52" s="52">
        <v>2015</v>
      </c>
      <c r="F52" s="51" t="str">
        <f t="shared" si="1"/>
        <v>SPR-YSA</v>
      </c>
    </row>
    <row r="53" spans="1:6" x14ac:dyDescent="0.25">
      <c r="A53" s="51" t="s">
        <v>2227</v>
      </c>
      <c r="B53" s="51" t="s">
        <v>2493</v>
      </c>
      <c r="C53" s="51" t="s">
        <v>2228</v>
      </c>
      <c r="D53" s="51" t="s">
        <v>2494</v>
      </c>
      <c r="E53" s="52">
        <v>5964</v>
      </c>
      <c r="F53" s="51" t="str">
        <f t="shared" si="1"/>
        <v>SHF-YSA</v>
      </c>
    </row>
    <row r="54" spans="1:6" x14ac:dyDescent="0.25">
      <c r="A54" s="51" t="s">
        <v>2228</v>
      </c>
      <c r="B54" s="51" t="s">
        <v>2494</v>
      </c>
      <c r="C54" s="51" t="s">
        <v>2229</v>
      </c>
      <c r="D54" s="51">
        <v>0</v>
      </c>
      <c r="E54" s="52">
        <v>3071</v>
      </c>
      <c r="F54" s="51" t="str">
        <f t="shared" si="1"/>
        <v>SHF-ZOSHF</v>
      </c>
    </row>
    <row r="55" spans="1:6" x14ac:dyDescent="0.25">
      <c r="A55" s="51" t="s">
        <v>2229</v>
      </c>
      <c r="B55" s="51">
        <v>0</v>
      </c>
      <c r="C55" s="51" t="s">
        <v>2230</v>
      </c>
      <c r="D55" s="51" t="s">
        <v>2495</v>
      </c>
      <c r="E55" s="52">
        <v>2668</v>
      </c>
      <c r="F55" s="51" t="str">
        <f t="shared" si="1"/>
        <v>RZL-ZOSHF</v>
      </c>
    </row>
    <row r="56" spans="1:6" x14ac:dyDescent="0.25">
      <c r="A56" s="51" t="s">
        <v>2230</v>
      </c>
      <c r="B56" s="51" t="s">
        <v>2495</v>
      </c>
      <c r="C56" s="51" t="s">
        <v>2231</v>
      </c>
      <c r="D56" s="51" t="s">
        <v>2496</v>
      </c>
      <c r="E56" s="52">
        <v>4362</v>
      </c>
      <c r="F56" s="51" t="str">
        <f t="shared" si="1"/>
        <v>BRUH-RZL</v>
      </c>
    </row>
    <row r="57" spans="1:6" x14ac:dyDescent="0.25">
      <c r="A57" s="51" t="s">
        <v>2231</v>
      </c>
      <c r="B57" s="51" t="s">
        <v>2496</v>
      </c>
      <c r="C57" s="51" t="s">
        <v>2232</v>
      </c>
      <c r="D57" s="51" t="s">
        <v>2497</v>
      </c>
      <c r="E57" s="52">
        <v>2440</v>
      </c>
      <c r="F57" s="51" t="str">
        <f t="shared" si="1"/>
        <v>BRUH-UN</v>
      </c>
    </row>
    <row r="58" spans="1:6" x14ac:dyDescent="0.25">
      <c r="A58" s="51" t="s">
        <v>2232</v>
      </c>
      <c r="B58" s="51" t="s">
        <v>2497</v>
      </c>
      <c r="C58" s="51" t="s">
        <v>2233</v>
      </c>
      <c r="D58" s="51" t="s">
        <v>2498</v>
      </c>
      <c r="E58" s="52">
        <v>2380</v>
      </c>
      <c r="F58" s="51" t="str">
        <f t="shared" si="1"/>
        <v>TM-UN</v>
      </c>
    </row>
    <row r="59" spans="1:6" x14ac:dyDescent="0.25">
      <c r="A59" s="51" t="s">
        <v>2233</v>
      </c>
      <c r="B59" s="51" t="s">
        <v>2498</v>
      </c>
      <c r="C59" s="51" t="s">
        <v>2234</v>
      </c>
      <c r="D59" s="51" t="s">
        <v>2499</v>
      </c>
      <c r="E59" s="52">
        <v>1300</v>
      </c>
      <c r="F59" s="51" t="str">
        <f t="shared" si="1"/>
        <v>HSM-TM</v>
      </c>
    </row>
    <row r="60" spans="1:6" x14ac:dyDescent="0.25">
      <c r="A60" s="51" t="s">
        <v>2234</v>
      </c>
      <c r="B60" s="51" t="s">
        <v>2499</v>
      </c>
      <c r="C60" s="51" t="s">
        <v>2235</v>
      </c>
      <c r="D60" s="51">
        <v>0</v>
      </c>
      <c r="E60" s="52">
        <v>1033</v>
      </c>
      <c r="F60" s="51" t="str">
        <f t="shared" si="1"/>
        <v>HSM-SAD</v>
      </c>
    </row>
    <row r="61" spans="1:6" x14ac:dyDescent="0.25">
      <c r="A61" s="51" t="s">
        <v>2235</v>
      </c>
      <c r="B61" s="51">
        <v>0</v>
      </c>
      <c r="C61" s="51" t="s">
        <v>2236</v>
      </c>
      <c r="D61" s="51" t="s">
        <v>2500</v>
      </c>
      <c r="E61" s="52">
        <v>1243</v>
      </c>
      <c r="F61" s="51" t="str">
        <f t="shared" si="1"/>
        <v>HGA-SAD</v>
      </c>
    </row>
    <row r="62" spans="1:6" x14ac:dyDescent="0.25">
      <c r="A62" s="51" t="s">
        <v>2236</v>
      </c>
      <c r="B62" s="51" t="s">
        <v>2500</v>
      </c>
      <c r="C62" s="51" t="s">
        <v>2237</v>
      </c>
      <c r="D62" s="51" t="s">
        <v>2501</v>
      </c>
      <c r="E62" s="52">
        <v>5466</v>
      </c>
      <c r="F62" s="51" t="str">
        <f t="shared" si="1"/>
        <v>GNT-HGA</v>
      </c>
    </row>
    <row r="63" spans="1:6" x14ac:dyDescent="0.25">
      <c r="A63" s="51" t="s">
        <v>2237</v>
      </c>
      <c r="B63" s="51" t="s">
        <v>2501</v>
      </c>
      <c r="C63" s="51" t="s">
        <v>2238</v>
      </c>
      <c r="D63" s="51" t="s">
        <v>2502</v>
      </c>
      <c r="E63" s="52">
        <v>5545</v>
      </c>
      <c r="F63" s="51" t="str">
        <f t="shared" si="1"/>
        <v>GNT-NTBG</v>
      </c>
    </row>
    <row r="64" spans="1:6" x14ac:dyDescent="0.25">
      <c r="A64" s="51" t="s">
        <v>2238</v>
      </c>
      <c r="B64" s="51" t="s">
        <v>2502</v>
      </c>
      <c r="C64" s="51" t="s">
        <v>2239</v>
      </c>
      <c r="D64" s="51" t="s">
        <v>2503</v>
      </c>
      <c r="E64" s="52">
        <v>1275</v>
      </c>
      <c r="F64" s="51" t="str">
        <f t="shared" si="1"/>
        <v>BGTF-NTBG</v>
      </c>
    </row>
    <row r="65" spans="1:6" x14ac:dyDescent="0.25">
      <c r="A65" s="51" t="s">
        <v>2240</v>
      </c>
      <c r="B65" s="51" t="s">
        <v>2504</v>
      </c>
      <c r="C65" s="51" t="s">
        <v>2206</v>
      </c>
      <c r="D65" s="51" t="s">
        <v>2473</v>
      </c>
      <c r="E65" s="52">
        <v>2031</v>
      </c>
      <c r="F65" s="51" t="str">
        <f t="shared" si="1"/>
        <v>TAD-TAM</v>
      </c>
    </row>
    <row r="66" spans="1:6" x14ac:dyDescent="0.25">
      <c r="A66" s="51" t="s">
        <v>2218</v>
      </c>
      <c r="B66" s="51" t="s">
        <v>2485</v>
      </c>
      <c r="C66" s="51" t="s">
        <v>2241</v>
      </c>
      <c r="D66" s="51" t="s">
        <v>2505</v>
      </c>
      <c r="E66" s="52">
        <v>4420</v>
      </c>
      <c r="F66" s="51" t="str">
        <f t="shared" ref="F66:F97" si="2">IF(C66&lt;A66,C66&amp;"-"&amp;A66,A66&amp;"-"&amp;C66)</f>
        <v>LHV-LHVR</v>
      </c>
    </row>
    <row r="67" spans="1:6" x14ac:dyDescent="0.25">
      <c r="A67" s="51" t="s">
        <v>2241</v>
      </c>
      <c r="B67" s="51" t="s">
        <v>2505</v>
      </c>
      <c r="C67" s="51" t="s">
        <v>2219</v>
      </c>
      <c r="D67" s="51" t="s">
        <v>2486</v>
      </c>
      <c r="E67" s="52">
        <v>3595</v>
      </c>
      <c r="F67" s="51" t="str">
        <f t="shared" si="2"/>
        <v>LHV-ZGD</v>
      </c>
    </row>
    <row r="68" spans="1:6" x14ac:dyDescent="0.25">
      <c r="A68" s="51" t="s">
        <v>2219</v>
      </c>
      <c r="B68" s="51" t="s">
        <v>2486</v>
      </c>
      <c r="C68" s="51" t="s">
        <v>2242</v>
      </c>
      <c r="D68" s="51" t="s">
        <v>2506</v>
      </c>
      <c r="E68" s="52">
        <v>4464</v>
      </c>
      <c r="F68" s="51" t="str">
        <f t="shared" si="2"/>
        <v>BS-ZGD</v>
      </c>
    </row>
    <row r="69" spans="1:6" x14ac:dyDescent="0.25">
      <c r="A69" s="51" t="s">
        <v>2242</v>
      </c>
      <c r="B69" s="51" t="s">
        <v>2506</v>
      </c>
      <c r="C69" s="51" t="s">
        <v>2243</v>
      </c>
      <c r="D69" s="51" t="s">
        <v>2507</v>
      </c>
      <c r="E69" s="52">
        <v>5526</v>
      </c>
      <c r="F69" s="51" t="str">
        <f t="shared" si="2"/>
        <v>BS-BSM</v>
      </c>
    </row>
    <row r="70" spans="1:6" x14ac:dyDescent="0.25">
      <c r="A70" s="51" t="s">
        <v>2237</v>
      </c>
      <c r="B70" s="51" t="s">
        <v>2501</v>
      </c>
      <c r="C70" s="51" t="s">
        <v>2244</v>
      </c>
      <c r="D70" s="51" t="s">
        <v>2508</v>
      </c>
      <c r="E70" s="52">
        <v>2725</v>
      </c>
      <c r="F70" s="51" t="str">
        <f t="shared" si="2"/>
        <v>GNT-SFR</v>
      </c>
    </row>
    <row r="71" spans="1:6" x14ac:dyDescent="0.25">
      <c r="A71" s="51" t="s">
        <v>2244</v>
      </c>
      <c r="B71" s="51" t="s">
        <v>2508</v>
      </c>
      <c r="C71" s="51" t="s">
        <v>2245</v>
      </c>
      <c r="D71" s="51" t="s">
        <v>2509</v>
      </c>
      <c r="E71" s="52">
        <v>1430</v>
      </c>
      <c r="F71" s="51" t="str">
        <f t="shared" si="2"/>
        <v>HBD-SFR</v>
      </c>
    </row>
    <row r="72" spans="1:6" x14ac:dyDescent="0.25">
      <c r="A72" s="51" t="s">
        <v>2245</v>
      </c>
      <c r="B72" s="51" t="s">
        <v>2509</v>
      </c>
      <c r="C72" s="51" t="s">
        <v>2246</v>
      </c>
      <c r="D72" s="51" t="s">
        <v>2510</v>
      </c>
      <c r="E72" s="52">
        <v>3675</v>
      </c>
      <c r="F72" s="51" t="str">
        <f t="shared" si="2"/>
        <v>GAV-HBD</v>
      </c>
    </row>
    <row r="73" spans="1:6" x14ac:dyDescent="0.25">
      <c r="A73" s="51" t="s">
        <v>2246</v>
      </c>
      <c r="B73" s="51" t="s">
        <v>2510</v>
      </c>
      <c r="C73" s="51" t="s">
        <v>2207</v>
      </c>
      <c r="D73" s="51" t="s">
        <v>2474</v>
      </c>
      <c r="E73" s="52">
        <v>3063</v>
      </c>
      <c r="F73" s="51" t="str">
        <f t="shared" si="2"/>
        <v>GAV-LOD</v>
      </c>
    </row>
    <row r="74" spans="1:6" x14ac:dyDescent="0.25">
      <c r="A74" s="51" t="s">
        <v>2247</v>
      </c>
      <c r="B74" s="51" t="s">
        <v>2511</v>
      </c>
      <c r="C74" s="51" t="s">
        <v>2248</v>
      </c>
      <c r="D74" s="51" t="s">
        <v>2512</v>
      </c>
      <c r="E74" s="52">
        <v>13800</v>
      </c>
      <c r="F74" s="51" t="str">
        <f t="shared" si="2"/>
        <v>BHN-TYO</v>
      </c>
    </row>
    <row r="75" spans="1:6" x14ac:dyDescent="0.25">
      <c r="A75" s="51" t="s">
        <v>2248</v>
      </c>
      <c r="B75" s="51" t="s">
        <v>2512</v>
      </c>
      <c r="C75" s="51" t="s">
        <v>2249</v>
      </c>
      <c r="D75" s="51" t="s">
        <v>2513</v>
      </c>
      <c r="E75" s="52">
        <v>9325</v>
      </c>
      <c r="F75" s="51" t="str">
        <f t="shared" si="2"/>
        <v>AFA-TYO</v>
      </c>
    </row>
    <row r="76" spans="1:6" x14ac:dyDescent="0.25">
      <c r="A76" s="51" t="s">
        <v>2249</v>
      </c>
      <c r="B76" s="51" t="s">
        <v>2513</v>
      </c>
      <c r="C76" s="51" t="s">
        <v>2250</v>
      </c>
      <c r="D76" s="51" t="s">
        <v>2514</v>
      </c>
      <c r="E76" s="52">
        <v>8699</v>
      </c>
      <c r="F76" s="51" t="str">
        <f t="shared" si="2"/>
        <v>AFA-KBH</v>
      </c>
    </row>
    <row r="77" spans="1:6" x14ac:dyDescent="0.25">
      <c r="A77" s="51" t="s">
        <v>2250</v>
      </c>
      <c r="B77" s="51" t="s">
        <v>2514</v>
      </c>
      <c r="C77" s="51" t="s">
        <v>2251</v>
      </c>
      <c r="D77" s="51" t="s">
        <v>2515</v>
      </c>
      <c r="E77" s="52">
        <v>9046</v>
      </c>
      <c r="F77" s="51" t="str">
        <f t="shared" si="2"/>
        <v>KBH-KYA</v>
      </c>
    </row>
    <row r="78" spans="1:6" x14ac:dyDescent="0.25">
      <c r="A78" s="51" t="s">
        <v>2251</v>
      </c>
      <c r="B78" s="51" t="s">
        <v>2515</v>
      </c>
      <c r="C78" s="51" t="s">
        <v>2252</v>
      </c>
      <c r="D78" s="51" t="s">
        <v>2516</v>
      </c>
      <c r="E78" s="52">
        <v>13364</v>
      </c>
      <c r="F78" s="51" t="str">
        <f t="shared" si="2"/>
        <v>KYA-NES</v>
      </c>
    </row>
    <row r="79" spans="1:6" x14ac:dyDescent="0.25">
      <c r="A79" s="51" t="s">
        <v>2252</v>
      </c>
      <c r="B79" s="51" t="s">
        <v>2516</v>
      </c>
      <c r="C79" s="51" t="s">
        <v>2253</v>
      </c>
      <c r="D79" s="51">
        <v>0</v>
      </c>
      <c r="E79" s="52">
        <v>2466</v>
      </c>
      <c r="F79" s="51" t="str">
        <f t="shared" si="2"/>
        <v>LVM-NES</v>
      </c>
    </row>
    <row r="80" spans="1:6" x14ac:dyDescent="0.25">
      <c r="A80" s="51" t="s">
        <v>2253</v>
      </c>
      <c r="B80" s="51">
        <v>0</v>
      </c>
      <c r="C80" s="51" t="s">
        <v>2182</v>
      </c>
      <c r="D80" s="51" t="s">
        <v>2451</v>
      </c>
      <c r="E80" s="52">
        <v>1090</v>
      </c>
      <c r="F80" s="51" t="str">
        <f t="shared" si="2"/>
        <v>LVM-ZVU</v>
      </c>
    </row>
    <row r="81" spans="1:6" x14ac:dyDescent="0.25">
      <c r="A81" s="51" t="s">
        <v>2201</v>
      </c>
      <c r="B81" s="51" t="s">
        <v>2469</v>
      </c>
      <c r="C81" s="51" t="s">
        <v>2202</v>
      </c>
      <c r="D81" s="51" t="s">
        <v>2470</v>
      </c>
      <c r="E81" s="51">
        <v>2098</v>
      </c>
      <c r="F81" s="51" t="str">
        <f t="shared" si="2"/>
        <v>RSM-RST</v>
      </c>
    </row>
    <row r="82" spans="1:6" x14ac:dyDescent="0.25">
      <c r="A82" s="51" t="s">
        <v>2202</v>
      </c>
      <c r="B82" s="51" t="s">
        <v>2470</v>
      </c>
      <c r="C82" s="51" t="s">
        <v>2254</v>
      </c>
      <c r="D82" s="51" t="s">
        <v>2517</v>
      </c>
      <c r="E82" s="51">
        <v>2074</v>
      </c>
      <c r="F82" s="51" t="str">
        <f t="shared" si="2"/>
        <v>RSM-SGL</v>
      </c>
    </row>
    <row r="83" spans="1:6" x14ac:dyDescent="0.25">
      <c r="A83" s="51" t="s">
        <v>2254</v>
      </c>
      <c r="B83" s="51" t="s">
        <v>2517</v>
      </c>
      <c r="C83" s="51" t="s">
        <v>2255</v>
      </c>
      <c r="D83" s="51" t="s">
        <v>2518</v>
      </c>
      <c r="E83" s="51">
        <v>3779</v>
      </c>
      <c r="F83" s="51" t="str">
        <f t="shared" si="2"/>
        <v>ARIE-SGL</v>
      </c>
    </row>
    <row r="84" spans="1:6" x14ac:dyDescent="0.25">
      <c r="A84" s="51" t="s">
        <v>2255</v>
      </c>
      <c r="B84" s="51" t="s">
        <v>2518</v>
      </c>
      <c r="C84" s="51" t="s">
        <v>2256</v>
      </c>
      <c r="D84" s="51" t="s">
        <v>2519</v>
      </c>
      <c r="E84" s="51">
        <v>3136</v>
      </c>
      <c r="F84" s="51" t="str">
        <f t="shared" si="2"/>
        <v>ARIE-BB</v>
      </c>
    </row>
    <row r="85" spans="1:6" x14ac:dyDescent="0.25">
      <c r="A85" s="51" t="s">
        <v>2256</v>
      </c>
      <c r="B85" s="51" t="s">
        <v>2519</v>
      </c>
      <c r="C85" s="51" t="s">
        <v>2257</v>
      </c>
      <c r="D85" s="51" t="s">
        <v>2520</v>
      </c>
      <c r="E85" s="51">
        <v>1642</v>
      </c>
      <c r="F85" s="51" t="str">
        <f t="shared" si="2"/>
        <v>BB-RKH</v>
      </c>
    </row>
    <row r="86" spans="1:6" x14ac:dyDescent="0.25">
      <c r="A86" s="51" t="s">
        <v>2257</v>
      </c>
      <c r="B86" s="51" t="s">
        <v>2520</v>
      </c>
      <c r="C86" s="51" t="s">
        <v>2232</v>
      </c>
      <c r="D86" s="51" t="s">
        <v>2497</v>
      </c>
      <c r="E86" s="51">
        <v>1225</v>
      </c>
      <c r="F86" s="51" t="str">
        <f t="shared" si="2"/>
        <v>RKH-UN</v>
      </c>
    </row>
    <row r="87" spans="1:6" x14ac:dyDescent="0.25">
      <c r="A87" s="51" t="s">
        <v>2236</v>
      </c>
      <c r="B87" s="51" t="s">
        <v>2500</v>
      </c>
      <c r="C87" s="51" t="s">
        <v>2258</v>
      </c>
      <c r="D87" s="51">
        <v>0</v>
      </c>
      <c r="E87" s="51">
        <v>2213</v>
      </c>
      <c r="F87" s="51" t="str">
        <f t="shared" si="2"/>
        <v>HGA-HOL</v>
      </c>
    </row>
    <row r="88" spans="1:6" x14ac:dyDescent="0.25">
      <c r="A88" s="51" t="s">
        <v>2258</v>
      </c>
      <c r="B88" s="51">
        <v>0</v>
      </c>
      <c r="C88" s="51" t="s">
        <v>2259</v>
      </c>
      <c r="D88" s="51" t="s">
        <v>2521</v>
      </c>
      <c r="E88" s="51">
        <v>1787</v>
      </c>
      <c r="F88" s="51" t="str">
        <f t="shared" si="2"/>
        <v>HOL-VOLF</v>
      </c>
    </row>
    <row r="89" spans="1:6" x14ac:dyDescent="0.25">
      <c r="A89" s="51" t="s">
        <v>2259</v>
      </c>
      <c r="B89" s="51" t="s">
        <v>2521</v>
      </c>
      <c r="C89" s="51" t="s">
        <v>2260</v>
      </c>
      <c r="D89" s="51" t="s">
        <v>2522</v>
      </c>
      <c r="E89" s="51">
        <v>1600</v>
      </c>
      <c r="F89" s="51" t="str">
        <f t="shared" si="2"/>
        <v>TYSF-VOLF</v>
      </c>
    </row>
    <row r="90" spans="1:6" x14ac:dyDescent="0.25">
      <c r="A90" s="51" t="s">
        <v>2260</v>
      </c>
      <c r="B90" s="51" t="s">
        <v>2522</v>
      </c>
      <c r="C90" s="51" t="s">
        <v>2261</v>
      </c>
      <c r="D90" s="51" t="s">
        <v>2523</v>
      </c>
      <c r="E90" s="51">
        <v>716</v>
      </c>
      <c r="F90" s="51" t="str">
        <f t="shared" si="2"/>
        <v>TYSF-YOST</v>
      </c>
    </row>
    <row r="91" spans="1:6" x14ac:dyDescent="0.25">
      <c r="A91" s="51" t="s">
        <v>2261</v>
      </c>
      <c r="B91" s="51" t="s">
        <v>2523</v>
      </c>
      <c r="C91" s="51" t="s">
        <v>2262</v>
      </c>
      <c r="D91" s="51" t="s">
        <v>2524</v>
      </c>
      <c r="E91" s="51">
        <v>1575</v>
      </c>
      <c r="F91" s="51" t="str">
        <f t="shared" si="2"/>
        <v>KOM-YOST</v>
      </c>
    </row>
    <row r="92" spans="1:6" x14ac:dyDescent="0.25">
      <c r="A92" s="51" t="s">
        <v>2262</v>
      </c>
      <c r="B92" s="51" t="s">
        <v>2524</v>
      </c>
      <c r="C92" s="51" t="s">
        <v>2263</v>
      </c>
      <c r="D92" s="51" t="s">
        <v>2525</v>
      </c>
      <c r="E92" s="51">
        <v>1423</v>
      </c>
      <c r="F92" s="51" t="str">
        <f t="shared" si="2"/>
        <v>KOM-RISM</v>
      </c>
    </row>
    <row r="93" spans="1:6" x14ac:dyDescent="0.25">
      <c r="A93" s="51" t="s">
        <v>2263</v>
      </c>
      <c r="B93" s="51" t="s">
        <v>2525</v>
      </c>
      <c r="C93" s="51" t="s">
        <v>2264</v>
      </c>
      <c r="D93" s="51">
        <v>0</v>
      </c>
      <c r="E93" s="51">
        <v>4450</v>
      </c>
      <c r="F93" s="51" t="str">
        <f t="shared" si="2"/>
        <v>RIMS-RISM</v>
      </c>
    </row>
    <row r="94" spans="1:6" x14ac:dyDescent="0.25">
      <c r="A94" s="51" t="s">
        <v>2264</v>
      </c>
      <c r="B94" s="51">
        <v>0</v>
      </c>
      <c r="C94" s="51" t="s">
        <v>2265</v>
      </c>
      <c r="D94" s="51">
        <v>0</v>
      </c>
      <c r="E94" s="51">
        <v>2656</v>
      </c>
      <c r="F94" s="51" t="str">
        <f t="shared" si="2"/>
        <v>RIMS-RSON</v>
      </c>
    </row>
    <row r="95" spans="1:6" x14ac:dyDescent="0.25">
      <c r="A95" s="51" t="s">
        <v>2265</v>
      </c>
      <c r="B95" s="51">
        <v>0</v>
      </c>
      <c r="C95" s="51" t="s">
        <v>2266</v>
      </c>
      <c r="D95" s="51" t="s">
        <v>2526</v>
      </c>
      <c r="E95" s="51">
        <v>7544</v>
      </c>
      <c r="F95" s="51" t="str">
        <f t="shared" si="2"/>
        <v>RAMD-RSON</v>
      </c>
    </row>
    <row r="96" spans="1:6" x14ac:dyDescent="0.25">
      <c r="A96" s="51" t="s">
        <v>2266</v>
      </c>
      <c r="B96" s="51" t="s">
        <v>2526</v>
      </c>
      <c r="C96" s="51" t="s">
        <v>2267</v>
      </c>
      <c r="D96" s="51" t="s">
        <v>2527</v>
      </c>
      <c r="E96" s="51">
        <v>5000</v>
      </c>
      <c r="F96" s="51" t="str">
        <f t="shared" si="2"/>
        <v>GEZ-RAMD</v>
      </c>
    </row>
    <row r="97" spans="1:6" x14ac:dyDescent="0.25">
      <c r="A97" s="51" t="s">
        <v>2267</v>
      </c>
      <c r="B97" s="51" t="s">
        <v>2527</v>
      </c>
      <c r="C97" s="51" t="s">
        <v>2268</v>
      </c>
      <c r="D97" s="51" t="s">
        <v>2528</v>
      </c>
      <c r="E97" s="51">
        <v>3543</v>
      </c>
      <c r="F97" s="51" t="str">
        <f t="shared" si="2"/>
        <v>GEZ-PAM</v>
      </c>
    </row>
    <row r="98" spans="1:6" x14ac:dyDescent="0.25">
      <c r="A98" s="51" t="s">
        <v>2268</v>
      </c>
      <c r="B98" s="51" t="s">
        <v>2528</v>
      </c>
      <c r="C98" s="51" t="s">
        <v>2269</v>
      </c>
      <c r="D98" s="51" t="s">
        <v>2529</v>
      </c>
      <c r="E98" s="51">
        <v>4863</v>
      </c>
      <c r="F98" s="51" t="str">
        <f t="shared" ref="F98:F129" si="3">IF(C98&lt;A98,C98&amp;"-"&amp;A98,A98&amp;"-"&amp;C98)</f>
        <v>MOD-PAM</v>
      </c>
    </row>
    <row r="99" spans="1:6" x14ac:dyDescent="0.25">
      <c r="A99" s="51" t="s">
        <v>2230</v>
      </c>
      <c r="B99" s="51" t="s">
        <v>2495</v>
      </c>
      <c r="C99" s="51" t="s">
        <v>2229</v>
      </c>
      <c r="D99" s="51">
        <v>0</v>
      </c>
      <c r="E99" s="51">
        <v>4137</v>
      </c>
      <c r="F99" s="51" t="str">
        <f t="shared" si="3"/>
        <v>RZL-ZOSHF</v>
      </c>
    </row>
    <row r="100" spans="1:6" x14ac:dyDescent="0.25">
      <c r="A100" s="51" t="s">
        <v>2229</v>
      </c>
      <c r="B100" s="51">
        <v>0</v>
      </c>
      <c r="C100" s="51" t="s">
        <v>2270</v>
      </c>
      <c r="D100" s="51" t="s">
        <v>2530</v>
      </c>
      <c r="E100" s="51">
        <v>1668</v>
      </c>
      <c r="F100" s="51" t="str">
        <f t="shared" si="3"/>
        <v>RAMV-ZOSHF</v>
      </c>
    </row>
    <row r="101" spans="1:6" x14ac:dyDescent="0.25">
      <c r="A101" s="51" t="s">
        <v>2270</v>
      </c>
      <c r="B101" s="51" t="s">
        <v>2530</v>
      </c>
      <c r="C101" s="51" t="s">
        <v>2271</v>
      </c>
      <c r="D101" s="51">
        <v>0</v>
      </c>
      <c r="E101" s="51">
        <v>3579</v>
      </c>
      <c r="F101" s="51" t="str">
        <f t="shared" si="3"/>
        <v>RAMV-RAMZ</v>
      </c>
    </row>
    <row r="102" spans="1:6" x14ac:dyDescent="0.25">
      <c r="A102" s="51" t="s">
        <v>2271</v>
      </c>
      <c r="B102" s="51">
        <v>0</v>
      </c>
      <c r="C102" s="51" t="s">
        <v>2272</v>
      </c>
      <c r="D102" s="51" t="s">
        <v>2531</v>
      </c>
      <c r="E102" s="51">
        <v>1638</v>
      </c>
      <c r="F102" s="51" t="str">
        <f t="shared" si="3"/>
        <v>HOD-RAMZ</v>
      </c>
    </row>
    <row r="103" spans="1:6" x14ac:dyDescent="0.25">
      <c r="A103" s="51" t="s">
        <v>2272</v>
      </c>
      <c r="B103" s="51" t="s">
        <v>2531</v>
      </c>
      <c r="C103" s="51" t="s">
        <v>2273</v>
      </c>
      <c r="D103" s="51" t="s">
        <v>2532</v>
      </c>
      <c r="E103" s="51">
        <v>1415</v>
      </c>
      <c r="F103" s="51" t="str">
        <f t="shared" si="3"/>
        <v>HOD-SAN</v>
      </c>
    </row>
    <row r="104" spans="1:6" x14ac:dyDescent="0.25">
      <c r="A104" s="51" t="s">
        <v>2273</v>
      </c>
      <c r="B104" s="51" t="s">
        <v>2532</v>
      </c>
      <c r="C104" s="51" t="s">
        <v>2200</v>
      </c>
      <c r="D104" s="51">
        <v>0</v>
      </c>
      <c r="E104" s="51">
        <v>3937</v>
      </c>
      <c r="F104" s="51" t="str">
        <f t="shared" si="3"/>
        <v>SAN-THE</v>
      </c>
    </row>
    <row r="105" spans="1:6" x14ac:dyDescent="0.25">
      <c r="A105" s="51" t="s">
        <v>2263</v>
      </c>
      <c r="B105" s="51" t="s">
        <v>2525</v>
      </c>
      <c r="C105" s="51" t="s">
        <v>2274</v>
      </c>
      <c r="D105" s="51" t="s">
        <v>2533</v>
      </c>
      <c r="E105" s="51">
        <v>1910</v>
      </c>
      <c r="F105" s="51" t="str">
        <f t="shared" si="3"/>
        <v>RISD-RISM</v>
      </c>
    </row>
    <row r="106" spans="1:6" x14ac:dyDescent="0.25">
      <c r="A106" s="51" t="s">
        <v>2274</v>
      </c>
      <c r="B106" s="51" t="s">
        <v>2533</v>
      </c>
      <c r="C106" s="51" t="s">
        <v>2275</v>
      </c>
      <c r="D106" s="51" t="s">
        <v>2534</v>
      </c>
      <c r="E106" s="51">
        <v>9431</v>
      </c>
      <c r="F106" s="51" t="str">
        <f t="shared" si="3"/>
        <v>RISD-YVM</v>
      </c>
    </row>
    <row r="107" spans="1:6" x14ac:dyDescent="0.25">
      <c r="A107" s="51" t="s">
        <v>2275</v>
      </c>
      <c r="B107" s="51" t="s">
        <v>2534</v>
      </c>
      <c r="C107" s="51" t="s">
        <v>2276</v>
      </c>
      <c r="D107" s="51" t="s">
        <v>2535</v>
      </c>
      <c r="E107" s="51">
        <v>7609</v>
      </c>
      <c r="F107" s="51" t="str">
        <f t="shared" si="3"/>
        <v>PLS-YVM</v>
      </c>
    </row>
    <row r="108" spans="1:6" x14ac:dyDescent="0.25">
      <c r="A108" s="51" t="s">
        <v>2276</v>
      </c>
      <c r="B108" s="51" t="s">
        <v>2535</v>
      </c>
      <c r="C108" s="51" t="s">
        <v>2277</v>
      </c>
      <c r="D108" s="51" t="s">
        <v>2536</v>
      </c>
      <c r="E108" s="51">
        <v>7570</v>
      </c>
      <c r="F108" s="51" t="str">
        <f t="shared" si="3"/>
        <v>ADA-PLS</v>
      </c>
    </row>
    <row r="109" spans="1:6" x14ac:dyDescent="0.25">
      <c r="A109" s="51" t="s">
        <v>2277</v>
      </c>
      <c r="B109" s="51" t="s">
        <v>2536</v>
      </c>
      <c r="C109" s="51" t="s">
        <v>2278</v>
      </c>
      <c r="D109" s="51" t="s">
        <v>2537</v>
      </c>
      <c r="E109" s="51">
        <v>7450</v>
      </c>
      <c r="F109" s="51" t="str">
        <f t="shared" si="3"/>
        <v>ADA-NZN</v>
      </c>
    </row>
    <row r="110" spans="1:6" x14ac:dyDescent="0.25">
      <c r="A110" s="51" t="s">
        <v>2278</v>
      </c>
      <c r="B110" s="51" t="s">
        <v>2537</v>
      </c>
      <c r="C110" s="51" t="s">
        <v>2279</v>
      </c>
      <c r="D110" s="51" t="s">
        <v>2538</v>
      </c>
      <c r="E110" s="51">
        <v>5050</v>
      </c>
      <c r="F110" s="51" t="str">
        <f t="shared" si="3"/>
        <v>ASK-NZN</v>
      </c>
    </row>
    <row r="111" spans="1:6" x14ac:dyDescent="0.25">
      <c r="A111" s="51" t="s">
        <v>2279</v>
      </c>
      <c r="B111" s="51" t="s">
        <v>2538</v>
      </c>
      <c r="C111" s="51" t="s">
        <v>2280</v>
      </c>
      <c r="D111" s="51" t="s">
        <v>2539</v>
      </c>
      <c r="E111" s="51">
        <v>6150</v>
      </c>
      <c r="F111" s="51" t="str">
        <f t="shared" si="3"/>
        <v>ASK-SKMA</v>
      </c>
    </row>
    <row r="112" spans="1:6" x14ac:dyDescent="0.25">
      <c r="A112" s="51" t="s">
        <v>2280</v>
      </c>
      <c r="B112" s="51" t="s">
        <v>2539</v>
      </c>
      <c r="C112" s="51" t="s">
        <v>2281</v>
      </c>
      <c r="D112" s="51" t="s">
        <v>2540</v>
      </c>
      <c r="E112" s="51">
        <v>12843</v>
      </c>
      <c r="F112" s="51" t="str">
        <f t="shared" si="3"/>
        <v>SDR-SKMA</v>
      </c>
    </row>
    <row r="113" spans="1:6" x14ac:dyDescent="0.25">
      <c r="A113" s="51" t="s">
        <v>2281</v>
      </c>
      <c r="B113" s="51" t="s">
        <v>2540</v>
      </c>
      <c r="C113" s="51" t="s">
        <v>2282</v>
      </c>
      <c r="D113" s="51" t="s">
        <v>2541</v>
      </c>
      <c r="E113" s="51">
        <v>13400</v>
      </c>
      <c r="F113" s="51" t="str">
        <f t="shared" si="3"/>
        <v>NTIV-SDR</v>
      </c>
    </row>
    <row r="114" spans="1:6" x14ac:dyDescent="0.25">
      <c r="A114" s="51" t="s">
        <v>2282</v>
      </c>
      <c r="B114" s="51" t="s">
        <v>2541</v>
      </c>
      <c r="C114" s="51" t="s">
        <v>2283</v>
      </c>
      <c r="D114" s="51" t="s">
        <v>2542</v>
      </c>
      <c r="E114" s="51">
        <v>11965</v>
      </c>
      <c r="F114" s="51" t="str">
        <f t="shared" si="3"/>
        <v>NTIV-OFAQ</v>
      </c>
    </row>
    <row r="115" spans="1:6" x14ac:dyDescent="0.25">
      <c r="A115" s="51" t="s">
        <v>2283</v>
      </c>
      <c r="B115" s="51" t="s">
        <v>2542</v>
      </c>
      <c r="C115" s="51" t="s">
        <v>2284</v>
      </c>
      <c r="D115" s="51" t="s">
        <v>2543</v>
      </c>
      <c r="E115" s="51">
        <v>14979</v>
      </c>
      <c r="F115" s="51" t="str">
        <f t="shared" si="3"/>
        <v>OFAQ-ZGM</v>
      </c>
    </row>
    <row r="116" spans="1:6" x14ac:dyDescent="0.25">
      <c r="A116" s="51" t="s">
        <v>2284</v>
      </c>
      <c r="B116" s="51" t="s">
        <v>2543</v>
      </c>
      <c r="C116" s="51" t="s">
        <v>2219</v>
      </c>
      <c r="D116" s="51" t="s">
        <v>2486</v>
      </c>
      <c r="E116" s="51">
        <v>7215</v>
      </c>
      <c r="F116" s="51" t="str">
        <f t="shared" si="3"/>
        <v>ZGD-ZGM</v>
      </c>
    </row>
    <row r="117" spans="1:6" x14ac:dyDescent="0.25">
      <c r="A117" s="51" t="s">
        <v>2207</v>
      </c>
      <c r="B117" s="51" t="s">
        <v>2474</v>
      </c>
      <c r="C117" s="51" t="s">
        <v>2285</v>
      </c>
      <c r="D117" s="51" t="s">
        <v>2544</v>
      </c>
      <c r="E117" s="51">
        <v>5150</v>
      </c>
      <c r="F117" s="51" t="str">
        <f t="shared" si="3"/>
        <v>BQV-LOD</v>
      </c>
    </row>
    <row r="118" spans="1:6" x14ac:dyDescent="0.25">
      <c r="A118" s="51" t="s">
        <v>2285</v>
      </c>
      <c r="B118" s="51" t="s">
        <v>2544</v>
      </c>
      <c r="C118" s="51" t="s">
        <v>2286</v>
      </c>
      <c r="D118" s="51" t="s">
        <v>2545</v>
      </c>
      <c r="E118" s="51">
        <v>3940</v>
      </c>
      <c r="F118" s="51" t="str">
        <f t="shared" si="3"/>
        <v>BQV-RH</v>
      </c>
    </row>
    <row r="119" spans="1:6" x14ac:dyDescent="0.25">
      <c r="A119" s="51" t="s">
        <v>2286</v>
      </c>
      <c r="B119" s="51" t="s">
        <v>2545</v>
      </c>
      <c r="C119" s="51" t="s">
        <v>2287</v>
      </c>
      <c r="D119" s="51" t="s">
        <v>2546</v>
      </c>
      <c r="E119" s="51">
        <v>2385</v>
      </c>
      <c r="F119" s="51" t="str">
        <f t="shared" si="3"/>
        <v>EB-RH</v>
      </c>
    </row>
    <row r="120" spans="1:6" x14ac:dyDescent="0.25">
      <c r="A120" s="51" t="s">
        <v>2287</v>
      </c>
      <c r="B120" s="51" t="s">
        <v>2546</v>
      </c>
      <c r="C120" s="51" t="s">
        <v>2288</v>
      </c>
      <c r="D120" s="51" t="s">
        <v>2547</v>
      </c>
      <c r="E120" s="51">
        <v>5879</v>
      </c>
      <c r="F120" s="51" t="str">
        <f t="shared" si="3"/>
        <v>EB-HY</v>
      </c>
    </row>
    <row r="121" spans="1:6" x14ac:dyDescent="0.25">
      <c r="A121" s="51" t="s">
        <v>2288</v>
      </c>
      <c r="B121" s="51" t="s">
        <v>2547</v>
      </c>
      <c r="C121" s="51" t="s">
        <v>2276</v>
      </c>
      <c r="D121" s="51" t="s">
        <v>2535</v>
      </c>
      <c r="E121" s="51">
        <v>4676</v>
      </c>
      <c r="F121" s="51" t="str">
        <f t="shared" si="3"/>
        <v>HY-PLS</v>
      </c>
    </row>
    <row r="122" spans="1:6" x14ac:dyDescent="0.25">
      <c r="A122" s="51" t="s">
        <v>2242</v>
      </c>
      <c r="B122" s="51" t="s">
        <v>2506</v>
      </c>
      <c r="C122" s="51" t="s">
        <v>2289</v>
      </c>
      <c r="D122" s="51" t="s">
        <v>2548</v>
      </c>
      <c r="E122" s="51">
        <v>16102</v>
      </c>
      <c r="F122" s="51" t="str">
        <f t="shared" si="3"/>
        <v>BS-NVT</v>
      </c>
    </row>
    <row r="123" spans="1:6" x14ac:dyDescent="0.25">
      <c r="A123" s="51" t="s">
        <v>2289</v>
      </c>
      <c r="B123" s="51" t="s">
        <v>2548</v>
      </c>
      <c r="C123" s="51" t="s">
        <v>2290</v>
      </c>
      <c r="D123" s="51" t="s">
        <v>2549</v>
      </c>
      <c r="E123" s="51">
        <v>10970</v>
      </c>
      <c r="F123" s="51" t="str">
        <f t="shared" si="3"/>
        <v>AR-NVT</v>
      </c>
    </row>
    <row r="124" spans="1:6" x14ac:dyDescent="0.25">
      <c r="A124" s="51" t="s">
        <v>2290</v>
      </c>
      <c r="B124" s="51" t="s">
        <v>2549</v>
      </c>
      <c r="C124" s="51" t="s">
        <v>2291</v>
      </c>
      <c r="D124" s="51" t="s">
        <v>2550</v>
      </c>
      <c r="E124" s="51">
        <v>11104</v>
      </c>
      <c r="F124" s="51" t="str">
        <f t="shared" si="3"/>
        <v>AR-MON</v>
      </c>
    </row>
    <row r="125" spans="1:6" x14ac:dyDescent="0.25">
      <c r="A125" s="51" t="s">
        <v>2229</v>
      </c>
      <c r="B125" s="51">
        <v>0</v>
      </c>
      <c r="C125" s="51" t="s">
        <v>2230</v>
      </c>
      <c r="D125" s="51" t="s">
        <v>2495</v>
      </c>
      <c r="E125" s="51">
        <v>3433</v>
      </c>
      <c r="F125" s="51" t="str">
        <f t="shared" si="3"/>
        <v>RZL-ZOSHF</v>
      </c>
    </row>
    <row r="126" spans="1:6" x14ac:dyDescent="0.25">
      <c r="A126" s="51" t="s">
        <v>2210</v>
      </c>
      <c r="B126" s="51" t="s">
        <v>2477</v>
      </c>
      <c r="C126" s="51" t="s">
        <v>2292</v>
      </c>
      <c r="D126" s="51" t="s">
        <v>2551</v>
      </c>
      <c r="E126" s="51">
        <v>7649</v>
      </c>
      <c r="F126" s="51" t="str">
        <f t="shared" si="3"/>
        <v>NAN-NHL</v>
      </c>
    </row>
    <row r="127" spans="1:6" x14ac:dyDescent="0.25">
      <c r="A127" s="51" t="s">
        <v>2292</v>
      </c>
      <c r="B127" s="51" t="s">
        <v>2551</v>
      </c>
      <c r="C127" s="51" t="s">
        <v>2293</v>
      </c>
      <c r="D127" s="51" t="s">
        <v>2552</v>
      </c>
      <c r="E127" s="51">
        <v>12851</v>
      </c>
      <c r="F127" s="51" t="str">
        <f t="shared" si="3"/>
        <v>NHL-SMS</v>
      </c>
    </row>
    <row r="128" spans="1:6" x14ac:dyDescent="0.25">
      <c r="A128" s="51" t="s">
        <v>2239</v>
      </c>
      <c r="B128" s="51" t="s">
        <v>2503</v>
      </c>
      <c r="C128" s="51" t="s">
        <v>2240</v>
      </c>
      <c r="D128" s="51" t="s">
        <v>2504</v>
      </c>
      <c r="E128" s="51">
        <v>2185</v>
      </c>
      <c r="F128" s="51" t="str">
        <f t="shared" si="3"/>
        <v>BGTF-TAM</v>
      </c>
    </row>
    <row r="129" spans="1:6" x14ac:dyDescent="0.25">
      <c r="A129" s="51" t="s">
        <v>2240</v>
      </c>
      <c r="B129" s="51" t="s">
        <v>2504</v>
      </c>
      <c r="C129" s="51" t="s">
        <v>2294</v>
      </c>
      <c r="D129" s="51" t="s">
        <v>2553</v>
      </c>
      <c r="E129" s="51">
        <v>9033</v>
      </c>
      <c r="F129" s="51" t="str">
        <f t="shared" si="3"/>
        <v>DNI-TAM</v>
      </c>
    </row>
    <row r="130" spans="1:6" x14ac:dyDescent="0.25">
      <c r="A130" s="51" t="s">
        <v>2294</v>
      </c>
      <c r="B130" s="51" t="s">
        <v>2553</v>
      </c>
      <c r="C130" s="51" t="s">
        <v>2295</v>
      </c>
      <c r="D130" s="51" t="s">
        <v>2554</v>
      </c>
      <c r="E130" s="51">
        <v>3227</v>
      </c>
      <c r="F130" s="51" t="str">
        <f t="shared" ref="F130:F135" si="4">IF(C130&lt;A130,C130&amp;"-"&amp;A130,A130&amp;"-"&amp;C130)</f>
        <v>ANB-DNI</v>
      </c>
    </row>
    <row r="131" spans="1:6" x14ac:dyDescent="0.25">
      <c r="A131" s="51" t="s">
        <v>2295</v>
      </c>
      <c r="B131" s="51" t="s">
        <v>2554</v>
      </c>
      <c r="C131" s="51" t="s">
        <v>2296</v>
      </c>
      <c r="D131" s="51" t="s">
        <v>2555</v>
      </c>
      <c r="E131" s="51">
        <v>1855</v>
      </c>
      <c r="F131" s="51" t="str">
        <f t="shared" si="4"/>
        <v>ANB-MSMR</v>
      </c>
    </row>
    <row r="132" spans="1:6" x14ac:dyDescent="0.25">
      <c r="A132" s="51" t="s">
        <v>2296</v>
      </c>
      <c r="B132" s="51" t="s">
        <v>2555</v>
      </c>
      <c r="C132" s="51" t="s">
        <v>2297</v>
      </c>
      <c r="D132" s="51">
        <v>0</v>
      </c>
      <c r="E132" s="51">
        <v>25350</v>
      </c>
      <c r="F132" s="51" t="str">
        <f t="shared" si="4"/>
        <v>BUMA-MSMR</v>
      </c>
    </row>
    <row r="133" spans="1:6" x14ac:dyDescent="0.25">
      <c r="A133" s="51" t="s">
        <v>2294</v>
      </c>
      <c r="B133" s="51" t="s">
        <v>2553</v>
      </c>
      <c r="C133" s="51" t="s">
        <v>2268</v>
      </c>
      <c r="D133" s="51" t="s">
        <v>2528</v>
      </c>
      <c r="E133" s="51">
        <v>2903</v>
      </c>
      <c r="F133" s="51" t="str">
        <f t="shared" si="4"/>
        <v>DNI-PAM</v>
      </c>
    </row>
    <row r="134" spans="1:6" x14ac:dyDescent="0.25">
      <c r="A134" s="51" t="s">
        <v>2269</v>
      </c>
      <c r="B134" s="51" t="s">
        <v>2529</v>
      </c>
      <c r="C134" s="51" t="s">
        <v>2268</v>
      </c>
      <c r="D134" s="51" t="s">
        <v>2528</v>
      </c>
      <c r="E134" s="51">
        <v>4863</v>
      </c>
      <c r="F134" s="51" t="str">
        <f t="shared" si="4"/>
        <v>MOD-PAM</v>
      </c>
    </row>
    <row r="135" spans="1:6" x14ac:dyDescent="0.25">
      <c r="A135" s="51" t="s">
        <v>2268</v>
      </c>
      <c r="B135" s="51" t="s">
        <v>2528</v>
      </c>
      <c r="C135" s="51" t="s">
        <v>2295</v>
      </c>
      <c r="D135" s="51" t="s">
        <v>2554</v>
      </c>
      <c r="E135" s="51">
        <v>2954</v>
      </c>
      <c r="F135" s="51" t="str">
        <f t="shared" si="4"/>
        <v>ANB-PAM</v>
      </c>
    </row>
  </sheetData>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F9060-F3AF-4CDD-98CB-A897A5711D24}">
  <sheetPr codeName="Tabelle5"/>
  <dimension ref="A1:R273"/>
  <sheetViews>
    <sheetView showGridLines="0" workbookViewId="0">
      <selection activeCell="I20" sqref="I20"/>
    </sheetView>
  </sheetViews>
  <sheetFormatPr baseColWidth="10" defaultColWidth="11.42578125" defaultRowHeight="12.75" x14ac:dyDescent="0.2"/>
  <cols>
    <col min="1" max="1" width="14" customWidth="1"/>
    <col min="2" max="2" width="10.28515625" customWidth="1"/>
    <col min="3" max="3" width="9.7109375" customWidth="1"/>
    <col min="4" max="4" width="16.28515625" customWidth="1"/>
    <col min="5" max="5" width="17" bestFit="1" customWidth="1"/>
    <col min="6" max="6" width="21.42578125" customWidth="1"/>
    <col min="7" max="7" width="13.28515625" style="8" customWidth="1"/>
    <col min="8" max="8" width="17.7109375" style="8" bestFit="1" customWidth="1"/>
    <col min="9" max="9" width="24.42578125" style="8" bestFit="1" customWidth="1"/>
    <col min="10" max="10" width="14.5703125" customWidth="1"/>
    <col min="11" max="11" width="14.28515625" customWidth="1"/>
    <col min="12" max="12" width="10.42578125" customWidth="1"/>
    <col min="13" max="13" width="9.5703125" customWidth="1"/>
  </cols>
  <sheetData>
    <row r="1" spans="1:18" x14ac:dyDescent="0.2">
      <c r="A1" s="14" t="s">
        <v>2298</v>
      </c>
      <c r="B1" s="9" t="s">
        <v>2299</v>
      </c>
      <c r="C1" s="15" t="s">
        <v>2167</v>
      </c>
      <c r="D1" s="43" t="s">
        <v>2300</v>
      </c>
      <c r="E1" s="47" t="s">
        <v>2301</v>
      </c>
      <c r="F1" s="44"/>
    </row>
    <row r="2" spans="1:18" x14ac:dyDescent="0.2">
      <c r="A2" s="10" t="s">
        <v>2053</v>
      </c>
      <c r="B2" s="16" t="s">
        <v>29</v>
      </c>
      <c r="C2" s="11" t="s">
        <v>2166</v>
      </c>
      <c r="D2" s="53" t="s">
        <v>2166</v>
      </c>
      <c r="E2" s="11" t="str">
        <f t="shared" ref="E2:E33" si="0">IF(VLOOKUP(B2,G:J,4,FALSE)="Nicht","Tanken","Nicht")</f>
        <v>Tanken</v>
      </c>
      <c r="G2" s="18" t="s">
        <v>2302</v>
      </c>
      <c r="L2" s="7" t="s">
        <v>2303</v>
      </c>
    </row>
    <row r="3" spans="1:18" x14ac:dyDescent="0.2">
      <c r="A3" s="10" t="s">
        <v>2054</v>
      </c>
      <c r="B3" s="16" t="s">
        <v>29</v>
      </c>
      <c r="C3" s="11" t="s">
        <v>2166</v>
      </c>
      <c r="D3" s="16" t="s">
        <v>2166</v>
      </c>
      <c r="E3" s="11" t="str">
        <f t="shared" si="0"/>
        <v>Tanken</v>
      </c>
      <c r="F3" s="49" t="s">
        <v>26</v>
      </c>
      <c r="G3" s="49" t="s">
        <v>2299</v>
      </c>
      <c r="H3" s="49" t="s">
        <v>2304</v>
      </c>
      <c r="I3" s="49" t="s">
        <v>2305</v>
      </c>
      <c r="J3" s="49" t="s">
        <v>28</v>
      </c>
      <c r="L3" s="21">
        <f>+SUM(D2:D250)</f>
        <v>0</v>
      </c>
      <c r="P3" s="1"/>
      <c r="Q3" s="1"/>
      <c r="R3" s="1"/>
    </row>
    <row r="4" spans="1:18" x14ac:dyDescent="0.2">
      <c r="A4" s="10" t="s">
        <v>2055</v>
      </c>
      <c r="B4" s="16" t="s">
        <v>32</v>
      </c>
      <c r="C4" s="11" t="s">
        <v>2166</v>
      </c>
      <c r="D4" s="16" t="s">
        <v>2166</v>
      </c>
      <c r="E4" s="11" t="str">
        <f t="shared" si="0"/>
        <v>Nicht</v>
      </c>
      <c r="F4" t="str">
        <f>IF(G4="101-3.0","Euro3200",
IF(G4="146-3.2","146.1/146.2",
IF(G4="462-1.0","Desiro HC 4-Teilig [ISR]",
IF(G4="242-1.1","JT42BW",
IF(G4="245-2.0","G26B",
IF(G4="101-2.0","Euro 4000 F",
IF(G4="462-4.0","DDEMU 6",
IF(G4="101-1.0","Euro 3200",
IF(G4="600-1.1","IC3 B",
IF(G4="462-5.0","DDEMU 4",
IF(G4="6188-1.2","Traxx","")))))))))))</f>
        <v>Euro3200</v>
      </c>
      <c r="G4" s="48" t="s">
        <v>29</v>
      </c>
      <c r="H4" s="8">
        <f>+IF(G4="","",COUNTIF($B$2:$B$250,G4))</f>
        <v>13</v>
      </c>
      <c r="I4" s="8">
        <f>+IF(G4="","",COUNTIFS($C$2:$C$250,"Ja",$B$2:$B$250,G4))</f>
        <v>0</v>
      </c>
      <c r="J4" t="str">
        <f>IF(OR(G4="146-3.2", G4="462-1.0", G4="6188-1.2", G4="245-2.0", G4="101-2.0", G4="101-1.0", G4="600-1.1"), "Elektro", IF(OR(G4="101-3.0", G4="242-1.1", G4="462-4.0", G4="462-5.0"), "Nicht"))</f>
        <v>Nicht</v>
      </c>
      <c r="O4" s="1"/>
    </row>
    <row r="5" spans="1:18" x14ac:dyDescent="0.2">
      <c r="A5" s="10" t="s">
        <v>2056</v>
      </c>
      <c r="B5" s="16" t="s">
        <v>35</v>
      </c>
      <c r="C5" s="11" t="s">
        <v>2166</v>
      </c>
      <c r="D5" s="16" t="s">
        <v>2166</v>
      </c>
      <c r="E5" s="11" t="str">
        <f t="shared" si="0"/>
        <v>Nicht</v>
      </c>
      <c r="F5" t="str">
        <f t="shared" ref="F5:F16" si="1">IF(G5="101-3.0","Euro3200",
IF(G5="146-3.2","146.1/146.2",
IF(G5="462-1.0","Desiro HC 4-Teilig [ISR]",
IF(G5="242-1.1","JT42BW",
IF(G5="245-2.0","G26B",
IF(G5="101-2.0","Euro 4000 F",
IF(G5="462-4.0","DDEMU 6",
IF(G5="101-1.0","Euro 3200",
IF(G5="600-1.1","IC3 B",
IF(G5="462-5.0","DDEMU 4",
IF(G5="6188-1.2","Traxx","")))))))))))</f>
        <v>146.1/146.2</v>
      </c>
      <c r="G5" s="48" t="s">
        <v>32</v>
      </c>
      <c r="H5" s="8">
        <f t="shared" ref="H5:H16" si="2">+IF(G5="","",COUNTIF($B$2:$B$250,G5))</f>
        <v>33</v>
      </c>
      <c r="I5" s="8">
        <f t="shared" ref="I5:I16" si="3">+IF(G5="","",COUNTIFS($C$2:$C$250,"Ja",$B$2:$B$250,G5))</f>
        <v>0</v>
      </c>
      <c r="J5" t="str">
        <f t="shared" ref="J5:J16" si="4">IF(OR(G5="146-3.2", G5="462-1.0", G5="6188-1.2", G5="245-2.0", G5="101-2.0", G5="101-1.0", G5="600-1.1"), "Elektro", IF(OR(G5="101-3.0", G5="242-1.1", G5="462-4.0", G5="462-5.0"), "Nicht"))</f>
        <v>Elektro</v>
      </c>
      <c r="L5" s="19" t="s">
        <v>2306</v>
      </c>
      <c r="M5" t="s">
        <v>2307</v>
      </c>
      <c r="O5" s="1"/>
    </row>
    <row r="6" spans="1:18" x14ac:dyDescent="0.2">
      <c r="A6" s="10" t="s">
        <v>2057</v>
      </c>
      <c r="B6" s="16" t="s">
        <v>35</v>
      </c>
      <c r="C6" s="11" t="s">
        <v>2166</v>
      </c>
      <c r="D6" s="16" t="s">
        <v>2166</v>
      </c>
      <c r="E6" s="11" t="str">
        <f t="shared" si="0"/>
        <v>Nicht</v>
      </c>
      <c r="F6" t="str">
        <f t="shared" si="1"/>
        <v>Desiro HC 4-Teilig [ISR]</v>
      </c>
      <c r="G6" s="48" t="s">
        <v>35</v>
      </c>
      <c r="H6" s="8">
        <f t="shared" si="2"/>
        <v>67</v>
      </c>
      <c r="I6" s="8">
        <f t="shared" si="3"/>
        <v>65</v>
      </c>
      <c r="J6" t="str">
        <f t="shared" si="4"/>
        <v>Elektro</v>
      </c>
      <c r="M6" t="s">
        <v>2308</v>
      </c>
      <c r="O6" s="1"/>
    </row>
    <row r="7" spans="1:18" x14ac:dyDescent="0.2">
      <c r="A7" s="10" t="s">
        <v>2058</v>
      </c>
      <c r="B7" s="16" t="s">
        <v>32</v>
      </c>
      <c r="C7" s="11" t="s">
        <v>2166</v>
      </c>
      <c r="D7" s="16" t="s">
        <v>2166</v>
      </c>
      <c r="E7" s="11" t="str">
        <f t="shared" si="0"/>
        <v>Nicht</v>
      </c>
      <c r="F7" t="str">
        <f t="shared" si="1"/>
        <v>JT42BW</v>
      </c>
      <c r="G7" s="48" t="s">
        <v>37</v>
      </c>
      <c r="H7" s="8">
        <f t="shared" si="2"/>
        <v>0</v>
      </c>
      <c r="I7" s="8">
        <f t="shared" si="3"/>
        <v>0</v>
      </c>
      <c r="J7" t="str">
        <f t="shared" si="4"/>
        <v>Nicht</v>
      </c>
      <c r="O7" s="1"/>
    </row>
    <row r="8" spans="1:18" x14ac:dyDescent="0.2">
      <c r="A8" s="10" t="s">
        <v>2059</v>
      </c>
      <c r="B8" s="16" t="s">
        <v>29</v>
      </c>
      <c r="C8" s="11" t="s">
        <v>2166</v>
      </c>
      <c r="D8" s="16" t="s">
        <v>2166</v>
      </c>
      <c r="E8" s="11" t="str">
        <f t="shared" si="0"/>
        <v>Tanken</v>
      </c>
      <c r="F8" t="str">
        <f t="shared" si="1"/>
        <v>Traxx</v>
      </c>
      <c r="G8" s="45" t="s">
        <v>39</v>
      </c>
      <c r="H8" s="8">
        <f t="shared" si="2"/>
        <v>0</v>
      </c>
      <c r="I8" s="8">
        <f t="shared" si="3"/>
        <v>0</v>
      </c>
      <c r="J8" t="str">
        <f t="shared" si="4"/>
        <v>Elektro</v>
      </c>
    </row>
    <row r="9" spans="1:18" x14ac:dyDescent="0.2">
      <c r="A9" s="10" t="s">
        <v>2060</v>
      </c>
      <c r="B9" s="16" t="s">
        <v>29</v>
      </c>
      <c r="C9" s="11" t="s">
        <v>2166</v>
      </c>
      <c r="D9" s="16" t="s">
        <v>2166</v>
      </c>
      <c r="E9" s="11" t="str">
        <f t="shared" si="0"/>
        <v>Tanken</v>
      </c>
      <c r="F9" t="str">
        <f>IF(G9="101-3.0","Euro3200",
IF(G9="146-3.2","146.1/146.2",
IF(G9="462-1.0","Desiro HC 4-Teilig [ISR]",
IF(G9="242-1.1","JT42BW",
IF(G9="245-2.0","G26B",
IF(G9="101-2.0","Euro 4000 F",
IF(G9="462-4.0","DDEMU 6",
IF(G9="101-1.0","Euro 3200",
IF(G9="600-1.1","IC3 B",
IF(G9="462-5.0","DDEMU 4",
IF(G9="6188-1.2","Traxx","")))))))))))</f>
        <v/>
      </c>
      <c r="G9" s="48"/>
      <c r="H9" s="8" t="str">
        <f t="shared" si="2"/>
        <v/>
      </c>
      <c r="I9" s="8" t="str">
        <f t="shared" si="3"/>
        <v/>
      </c>
      <c r="J9" t="b">
        <f t="shared" si="4"/>
        <v>0</v>
      </c>
      <c r="L9" s="7" t="s">
        <v>2309</v>
      </c>
    </row>
    <row r="10" spans="1:18" x14ac:dyDescent="0.2">
      <c r="A10" s="10" t="s">
        <v>2061</v>
      </c>
      <c r="B10" s="16" t="s">
        <v>32</v>
      </c>
      <c r="C10" s="11" t="s">
        <v>2166</v>
      </c>
      <c r="D10" s="16" t="s">
        <v>2166</v>
      </c>
      <c r="E10" s="11" t="str">
        <f t="shared" si="0"/>
        <v>Nicht</v>
      </c>
      <c r="F10" t="str">
        <f t="shared" si="1"/>
        <v/>
      </c>
      <c r="G10" s="48"/>
      <c r="H10" s="8" t="str">
        <f t="shared" si="2"/>
        <v/>
      </c>
      <c r="I10" s="8" t="str">
        <f t="shared" si="3"/>
        <v/>
      </c>
      <c r="J10" t="b">
        <f t="shared" si="4"/>
        <v>0</v>
      </c>
      <c r="K10" s="8"/>
      <c r="L10" s="21">
        <f>+SUM(H4:H1048576)</f>
        <v>113</v>
      </c>
    </row>
    <row r="11" spans="1:18" x14ac:dyDescent="0.2">
      <c r="A11" s="10" t="s">
        <v>2062</v>
      </c>
      <c r="B11" s="16" t="s">
        <v>29</v>
      </c>
      <c r="C11" s="11" t="s">
        <v>2166</v>
      </c>
      <c r="D11" s="16" t="s">
        <v>2166</v>
      </c>
      <c r="E11" s="11" t="str">
        <f t="shared" si="0"/>
        <v>Tanken</v>
      </c>
      <c r="F11" t="str">
        <f t="shared" si="1"/>
        <v/>
      </c>
      <c r="G11" s="48"/>
      <c r="H11" s="8" t="str">
        <f t="shared" si="2"/>
        <v/>
      </c>
      <c r="I11" s="8" t="str">
        <f t="shared" si="3"/>
        <v/>
      </c>
      <c r="J11" t="b">
        <f t="shared" si="4"/>
        <v>0</v>
      </c>
      <c r="K11" s="8"/>
    </row>
    <row r="12" spans="1:18" x14ac:dyDescent="0.2">
      <c r="A12" s="10" t="s">
        <v>2063</v>
      </c>
      <c r="B12" s="16" t="s">
        <v>29</v>
      </c>
      <c r="C12" s="11" t="s">
        <v>2166</v>
      </c>
      <c r="D12" s="16" t="s">
        <v>2166</v>
      </c>
      <c r="E12" s="11" t="str">
        <f t="shared" si="0"/>
        <v>Tanken</v>
      </c>
      <c r="F12" t="str">
        <f t="shared" si="1"/>
        <v/>
      </c>
      <c r="G12"/>
      <c r="H12" s="8" t="str">
        <f t="shared" si="2"/>
        <v/>
      </c>
      <c r="I12" s="8" t="str">
        <f t="shared" si="3"/>
        <v/>
      </c>
      <c r="J12" t="b">
        <f t="shared" si="4"/>
        <v>0</v>
      </c>
      <c r="K12" s="8"/>
    </row>
    <row r="13" spans="1:18" x14ac:dyDescent="0.2">
      <c r="A13" s="10" t="s">
        <v>2064</v>
      </c>
      <c r="B13" s="16" t="s">
        <v>32</v>
      </c>
      <c r="C13" s="11" t="s">
        <v>2166</v>
      </c>
      <c r="D13" s="16" t="s">
        <v>2166</v>
      </c>
      <c r="E13" s="11" t="str">
        <f t="shared" si="0"/>
        <v>Nicht</v>
      </c>
      <c r="F13" t="str">
        <f t="shared" si="1"/>
        <v/>
      </c>
      <c r="G13"/>
      <c r="H13" s="8" t="str">
        <f t="shared" si="2"/>
        <v/>
      </c>
      <c r="I13" s="8" t="str">
        <f t="shared" si="3"/>
        <v/>
      </c>
      <c r="J13" t="b">
        <f t="shared" si="4"/>
        <v>0</v>
      </c>
      <c r="K13" s="8"/>
    </row>
    <row r="14" spans="1:18" x14ac:dyDescent="0.2">
      <c r="A14" s="10" t="s">
        <v>2065</v>
      </c>
      <c r="B14" s="16" t="s">
        <v>32</v>
      </c>
      <c r="C14" s="11" t="s">
        <v>2166</v>
      </c>
      <c r="D14" s="16" t="s">
        <v>2166</v>
      </c>
      <c r="E14" s="11" t="str">
        <f t="shared" si="0"/>
        <v>Nicht</v>
      </c>
      <c r="F14" t="str">
        <f t="shared" si="1"/>
        <v/>
      </c>
      <c r="G14"/>
      <c r="H14" s="8" t="str">
        <f t="shared" si="2"/>
        <v/>
      </c>
      <c r="I14" s="8" t="str">
        <f t="shared" si="3"/>
        <v/>
      </c>
      <c r="J14" t="b">
        <f t="shared" si="4"/>
        <v>0</v>
      </c>
      <c r="K14" s="8"/>
    </row>
    <row r="15" spans="1:18" x14ac:dyDescent="0.2">
      <c r="A15" s="10" t="s">
        <v>2066</v>
      </c>
      <c r="B15" s="16" t="s">
        <v>29</v>
      </c>
      <c r="C15" s="11" t="s">
        <v>2166</v>
      </c>
      <c r="D15" s="16" t="s">
        <v>2166</v>
      </c>
      <c r="E15" s="11" t="str">
        <f t="shared" si="0"/>
        <v>Tanken</v>
      </c>
      <c r="F15" t="str">
        <f t="shared" si="1"/>
        <v/>
      </c>
      <c r="G15"/>
      <c r="H15" s="8" t="str">
        <f t="shared" si="2"/>
        <v/>
      </c>
      <c r="I15" s="8" t="str">
        <f t="shared" si="3"/>
        <v/>
      </c>
      <c r="J15" t="b">
        <f t="shared" si="4"/>
        <v>0</v>
      </c>
      <c r="K15" s="8"/>
    </row>
    <row r="16" spans="1:18" x14ac:dyDescent="0.2">
      <c r="A16" s="10" t="s">
        <v>2067</v>
      </c>
      <c r="B16" s="16" t="s">
        <v>32</v>
      </c>
      <c r="C16" s="11" t="s">
        <v>2166</v>
      </c>
      <c r="D16" s="16" t="s">
        <v>2166</v>
      </c>
      <c r="E16" s="11" t="str">
        <f t="shared" si="0"/>
        <v>Nicht</v>
      </c>
      <c r="F16" t="str">
        <f t="shared" si="1"/>
        <v/>
      </c>
      <c r="G16"/>
      <c r="H16" s="8" t="str">
        <f t="shared" si="2"/>
        <v/>
      </c>
      <c r="I16" s="8" t="str">
        <f t="shared" si="3"/>
        <v/>
      </c>
      <c r="J16" t="b">
        <f t="shared" si="4"/>
        <v>0</v>
      </c>
      <c r="K16" s="8"/>
    </row>
    <row r="17" spans="1:11" x14ac:dyDescent="0.2">
      <c r="A17" s="10" t="s">
        <v>2068</v>
      </c>
      <c r="B17" s="16" t="s">
        <v>32</v>
      </c>
      <c r="C17" s="11" t="s">
        <v>2166</v>
      </c>
      <c r="D17" s="16" t="s">
        <v>2166</v>
      </c>
      <c r="E17" s="11" t="str">
        <f t="shared" si="0"/>
        <v>Nicht</v>
      </c>
      <c r="I17"/>
      <c r="J17" s="8"/>
      <c r="K17" s="8"/>
    </row>
    <row r="18" spans="1:11" x14ac:dyDescent="0.2">
      <c r="A18" s="10" t="s">
        <v>2069</v>
      </c>
      <c r="B18" s="16" t="s">
        <v>32</v>
      </c>
      <c r="C18" s="11" t="s">
        <v>2166</v>
      </c>
      <c r="D18" s="16" t="s">
        <v>2166</v>
      </c>
      <c r="E18" s="11" t="str">
        <f t="shared" si="0"/>
        <v>Nicht</v>
      </c>
      <c r="I18" s="46" t="s">
        <v>2310</v>
      </c>
      <c r="J18" s="50" t="s">
        <v>2311</v>
      </c>
      <c r="K18" s="9" t="s">
        <v>2312</v>
      </c>
    </row>
    <row r="19" spans="1:11" x14ac:dyDescent="0.2">
      <c r="A19" s="10" t="s">
        <v>2070</v>
      </c>
      <c r="B19" s="16" t="s">
        <v>35</v>
      </c>
      <c r="C19" s="11" t="s">
        <v>112</v>
      </c>
      <c r="D19" s="16" t="s">
        <v>2166</v>
      </c>
      <c r="E19" s="11" t="str">
        <f t="shared" si="0"/>
        <v>Nicht</v>
      </c>
      <c r="I19"/>
      <c r="J19" s="8"/>
      <c r="K19" s="8"/>
    </row>
    <row r="20" spans="1:11" x14ac:dyDescent="0.2">
      <c r="A20" s="10" t="s">
        <v>2071</v>
      </c>
      <c r="B20" s="16" t="s">
        <v>35</v>
      </c>
      <c r="C20" s="11" t="s">
        <v>112</v>
      </c>
      <c r="D20" s="16" t="s">
        <v>2166</v>
      </c>
      <c r="E20" s="11" t="str">
        <f t="shared" si="0"/>
        <v>Nicht</v>
      </c>
      <c r="I20" s="16" t="str" cm="1">
        <f t="array" ref="I20:I32">_xlfn._xlws.FILTER(A2:A200,E2:E200="Tanken")</f>
        <v>Fahrzeug 1</v>
      </c>
      <c r="J20">
        <f ca="1">INDEX(Laufwege!$C$3:$C$499,MATCH(INDEX(IN_Verknüpfungen!$L$4:$L$500,MATCH(INDEX(Zugfahrten!$A$2:$DI$2,MATCH(I20,Zugfahrten!$A$1:$DI$1,0)),
        IN_Verknüpfungen!$B$4:$B$500,0)),
    Laufwege!$A$3:$A$499,0))</f>
        <v>381435</v>
      </c>
      <c r="K20" s="16" t="str">
        <f ca="1">IF(J20&lt;1010000,"Nein","Ja")</f>
        <v>Nein</v>
      </c>
    </row>
    <row r="21" spans="1:11" x14ac:dyDescent="0.2">
      <c r="A21" s="10" t="s">
        <v>2072</v>
      </c>
      <c r="B21" s="16" t="s">
        <v>32</v>
      </c>
      <c r="C21" s="11" t="s">
        <v>2166</v>
      </c>
      <c r="D21" s="16" t="s">
        <v>2166</v>
      </c>
      <c r="E21" s="11" t="str">
        <f t="shared" si="0"/>
        <v>Nicht</v>
      </c>
      <c r="I21" s="16" t="str">
        <v>Fahrzeug 2</v>
      </c>
      <c r="J21">
        <f ca="1">INDEX(Laufwege!$C$3:$C$499,MATCH(INDEX(IN_Verknüpfungen!$L$4:$L$500,MATCH(INDEX(Zugfahrten!$A$2:$DI$2,MATCH(I21,Zugfahrten!$A$1:$DI$1,0)),
        IN_Verknüpfungen!$B$4:$B$500,0)),
    Laufwege!$A$3:$A$499,0))</f>
        <v>381435</v>
      </c>
      <c r="K21" s="16" t="str">
        <f t="shared" ref="K21:K65" ca="1" si="5">IF(J21&lt;1010000,"Nein","Ja")</f>
        <v>Nein</v>
      </c>
    </row>
    <row r="22" spans="1:11" x14ac:dyDescent="0.2">
      <c r="A22" s="10" t="s">
        <v>2073</v>
      </c>
      <c r="B22" s="16" t="s">
        <v>32</v>
      </c>
      <c r="C22" s="11" t="s">
        <v>2166</v>
      </c>
      <c r="D22" s="16" t="s">
        <v>2166</v>
      </c>
      <c r="E22" s="11" t="str">
        <f t="shared" si="0"/>
        <v>Nicht</v>
      </c>
      <c r="I22" s="16" t="str">
        <v>Fahrzeug 7</v>
      </c>
      <c r="J22">
        <f ca="1">INDEX(Laufwege!$C$3:$C$499,MATCH(INDEX(IN_Verknüpfungen!$L$4:$L$500,MATCH(INDEX(Zugfahrten!$A$2:$DI$2,MATCH(I22,Zugfahrten!$A$1:$DI$1,0)),
        IN_Verknüpfungen!$B$4:$B$500,0)),
    Laufwege!$A$3:$A$499,0))</f>
        <v>459064</v>
      </c>
      <c r="K22" s="16" t="str">
        <f t="shared" ca="1" si="5"/>
        <v>Nein</v>
      </c>
    </row>
    <row r="23" spans="1:11" x14ac:dyDescent="0.2">
      <c r="A23" s="10" t="s">
        <v>2074</v>
      </c>
      <c r="B23" s="16" t="s">
        <v>29</v>
      </c>
      <c r="C23" s="11" t="s">
        <v>2166</v>
      </c>
      <c r="D23" s="16" t="s">
        <v>2166</v>
      </c>
      <c r="E23" s="11" t="str">
        <f t="shared" si="0"/>
        <v>Tanken</v>
      </c>
      <c r="I23" s="16" t="str">
        <v>Fahrzeug 8</v>
      </c>
      <c r="J23">
        <f ca="1">INDEX(Laufwege!$C$3:$C$499,MATCH(INDEX(IN_Verknüpfungen!$L$4:$L$500,MATCH(INDEX(Zugfahrten!$A$2:$DI$2,MATCH(I23,Zugfahrten!$A$1:$DI$1,0)),
        IN_Verknüpfungen!$B$4:$B$500,0)),
    Laufwege!$A$3:$A$499,0))</f>
        <v>459064</v>
      </c>
      <c r="K23" s="16" t="str">
        <f t="shared" ca="1" si="5"/>
        <v>Nein</v>
      </c>
    </row>
    <row r="24" spans="1:11" x14ac:dyDescent="0.2">
      <c r="A24" s="10" t="s">
        <v>2075</v>
      </c>
      <c r="B24" s="16" t="s">
        <v>29</v>
      </c>
      <c r="C24" s="11" t="s">
        <v>2166</v>
      </c>
      <c r="D24" s="16" t="s">
        <v>2166</v>
      </c>
      <c r="E24" s="11" t="str">
        <f t="shared" si="0"/>
        <v>Tanken</v>
      </c>
      <c r="I24" s="16" t="str">
        <v>Fahrzeug 10</v>
      </c>
      <c r="J24">
        <f ca="1">INDEX(Laufwege!$C$3:$C$499,MATCH(INDEX(IN_Verknüpfungen!$L$4:$L$500,MATCH(INDEX(Zugfahrten!$A$2:$DI$2,MATCH(I24,Zugfahrten!$A$1:$DI$1,0)),
        IN_Verknüpfungen!$B$4:$B$500,0)),
    Laufwege!$A$3:$A$499,0))</f>
        <v>487861</v>
      </c>
      <c r="K24" s="16" t="str">
        <f t="shared" ca="1" si="5"/>
        <v>Nein</v>
      </c>
    </row>
    <row r="25" spans="1:11" x14ac:dyDescent="0.2">
      <c r="A25" s="10" t="s">
        <v>2076</v>
      </c>
      <c r="B25" s="16" t="s">
        <v>29</v>
      </c>
      <c r="C25" s="11" t="s">
        <v>2166</v>
      </c>
      <c r="D25" s="16" t="s">
        <v>2166</v>
      </c>
      <c r="E25" s="11" t="str">
        <f t="shared" si="0"/>
        <v>Tanken</v>
      </c>
      <c r="I25" s="16" t="str">
        <v>Fahrzeug 11</v>
      </c>
      <c r="J25">
        <f ca="1">INDEX(Laufwege!$C$3:$C$499,MATCH(INDEX(IN_Verknüpfungen!$L$4:$L$500,MATCH(INDEX(Zugfahrten!$A$2:$DI$2,MATCH(I25,Zugfahrten!$A$1:$DI$1,0)),
        IN_Verknüpfungen!$B$4:$B$500,0)),
    Laufwege!$A$3:$A$499,0))</f>
        <v>566197</v>
      </c>
      <c r="K25" s="16" t="str">
        <f t="shared" ca="1" si="5"/>
        <v>Nein</v>
      </c>
    </row>
    <row r="26" spans="1:11" x14ac:dyDescent="0.2">
      <c r="A26" s="10" t="s">
        <v>2077</v>
      </c>
      <c r="B26" s="16" t="s">
        <v>32</v>
      </c>
      <c r="C26" s="11" t="s">
        <v>2166</v>
      </c>
      <c r="D26" s="16" t="s">
        <v>2166</v>
      </c>
      <c r="E26" s="11" t="str">
        <f t="shared" si="0"/>
        <v>Nicht</v>
      </c>
      <c r="I26" s="16" t="str">
        <v>Fahrzeug 14</v>
      </c>
      <c r="J26">
        <f ca="1">INDEX(Laufwege!$C$3:$C$499,MATCH(INDEX(IN_Verknüpfungen!$L$4:$L$500,MATCH(INDEX(Zugfahrten!$A$2:$DI$2,MATCH(I26,Zugfahrten!$A$1:$DI$1,0)),
        IN_Verknüpfungen!$B$4:$B$500,0)),
    Laufwege!$A$3:$A$499,0))</f>
        <v>459064</v>
      </c>
      <c r="K26" s="16" t="str">
        <f t="shared" ca="1" si="5"/>
        <v>Nein</v>
      </c>
    </row>
    <row r="27" spans="1:11" x14ac:dyDescent="0.2">
      <c r="A27" s="10" t="s">
        <v>2078</v>
      </c>
      <c r="B27" s="16" t="s">
        <v>32</v>
      </c>
      <c r="C27" s="11" t="s">
        <v>2166</v>
      </c>
      <c r="D27" s="16" t="s">
        <v>2166</v>
      </c>
      <c r="E27" s="11" t="str">
        <f t="shared" si="0"/>
        <v>Nicht</v>
      </c>
      <c r="I27" s="16" t="str">
        <v>Fahrzeug 22</v>
      </c>
      <c r="J27">
        <f ca="1">INDEX(Laufwege!$C$3:$C$499,MATCH(INDEX(IN_Verknüpfungen!$L$4:$L$500,MATCH(INDEX(Zugfahrten!$A$2:$DI$2,MATCH(I27,Zugfahrten!$A$1:$DI$1,0)),
        IN_Verknüpfungen!$B$4:$B$500,0)),
    Laufwege!$A$3:$A$499,0))</f>
        <v>487820</v>
      </c>
      <c r="K27" s="16" t="str">
        <f t="shared" ca="1" si="5"/>
        <v>Nein</v>
      </c>
    </row>
    <row r="28" spans="1:11" x14ac:dyDescent="0.2">
      <c r="A28" s="10" t="s">
        <v>2079</v>
      </c>
      <c r="B28" s="16" t="s">
        <v>32</v>
      </c>
      <c r="C28" s="11" t="s">
        <v>2166</v>
      </c>
      <c r="D28" s="16" t="s">
        <v>2166</v>
      </c>
      <c r="E28" s="11" t="str">
        <f t="shared" si="0"/>
        <v>Nicht</v>
      </c>
      <c r="I28" s="16" t="str">
        <v>Fahrzeug 23</v>
      </c>
      <c r="J28">
        <f ca="1">INDEX(Laufwege!$C$3:$C$499,MATCH(INDEX(IN_Verknüpfungen!$L$4:$L$500,MATCH(INDEX(Zugfahrten!$A$2:$DI$2,MATCH(I28,Zugfahrten!$A$1:$DI$1,0)),
        IN_Verknüpfungen!$B$4:$B$500,0)),
    Laufwege!$A$3:$A$499,0))</f>
        <v>566242</v>
      </c>
      <c r="K28" s="16" t="str">
        <f t="shared" ca="1" si="5"/>
        <v>Nein</v>
      </c>
    </row>
    <row r="29" spans="1:11" x14ac:dyDescent="0.2">
      <c r="A29" s="10" t="s">
        <v>2080</v>
      </c>
      <c r="B29" s="16" t="s">
        <v>29</v>
      </c>
      <c r="C29" s="11" t="s">
        <v>2166</v>
      </c>
      <c r="D29" s="16" t="s">
        <v>2166</v>
      </c>
      <c r="E29" s="11" t="str">
        <f t="shared" si="0"/>
        <v>Tanken</v>
      </c>
      <c r="I29" s="16" t="str">
        <v>Fahrzeug 24</v>
      </c>
      <c r="J29">
        <f ca="1">INDEX(Laufwege!$C$3:$C$499,MATCH(INDEX(IN_Verknüpfungen!$L$4:$L$500,MATCH(INDEX(Zugfahrten!$A$2:$DI$2,MATCH(I29,Zugfahrten!$A$1:$DI$1,0)),
        IN_Verknüpfungen!$B$4:$B$500,0)),
    Laufwege!$A$3:$A$499,0))</f>
        <v>459064</v>
      </c>
      <c r="K29" s="16" t="str">
        <f t="shared" ca="1" si="5"/>
        <v>Nein</v>
      </c>
    </row>
    <row r="30" spans="1:11" x14ac:dyDescent="0.2">
      <c r="A30" s="10" t="s">
        <v>2081</v>
      </c>
      <c r="B30" s="16" t="s">
        <v>35</v>
      </c>
      <c r="C30" s="11" t="s">
        <v>112</v>
      </c>
      <c r="D30" s="16" t="s">
        <v>2166</v>
      </c>
      <c r="E30" s="11" t="str">
        <f t="shared" si="0"/>
        <v>Nicht</v>
      </c>
      <c r="I30" s="16" t="str">
        <v>Fahrzeug 28</v>
      </c>
      <c r="J30">
        <f ca="1">INDEX(Laufwege!$C$3:$C$499,MATCH(INDEX(IN_Verknüpfungen!$L$4:$L$500,MATCH(INDEX(Zugfahrten!$A$2:$DI$2,MATCH(I30,Zugfahrten!$A$1:$DI$1,0)),
        IN_Verknüpfungen!$B$4:$B$500,0)),
    Laufwege!$A$3:$A$499,0))</f>
        <v>459064</v>
      </c>
      <c r="K30" s="16" t="str">
        <f t="shared" ca="1" si="5"/>
        <v>Nein</v>
      </c>
    </row>
    <row r="31" spans="1:11" x14ac:dyDescent="0.2">
      <c r="A31" s="10" t="s">
        <v>2082</v>
      </c>
      <c r="B31" s="16" t="s">
        <v>35</v>
      </c>
      <c r="C31" s="11" t="s">
        <v>112</v>
      </c>
      <c r="D31" s="16" t="s">
        <v>2166</v>
      </c>
      <c r="E31" s="11" t="str">
        <f t="shared" si="0"/>
        <v>Nicht</v>
      </c>
      <c r="I31" s="16" t="str">
        <v>Fahrzeug 33</v>
      </c>
      <c r="J31">
        <f ca="1">INDEX(Laufwege!$C$3:$C$499,MATCH(INDEX(IN_Verknüpfungen!$L$4:$L$500,MATCH(INDEX(Zugfahrten!$A$2:$DI$2,MATCH(I31,Zugfahrten!$A$1:$DI$1,0)),
        IN_Verknüpfungen!$B$4:$B$500,0)),
    Laufwege!$A$3:$A$499,0))</f>
        <v>418149</v>
      </c>
      <c r="K31" s="16" t="str">
        <f t="shared" ca="1" si="5"/>
        <v>Nein</v>
      </c>
    </row>
    <row r="32" spans="1:11" x14ac:dyDescent="0.2">
      <c r="A32" s="10" t="s">
        <v>2083</v>
      </c>
      <c r="B32" s="16" t="s">
        <v>32</v>
      </c>
      <c r="C32" s="11" t="s">
        <v>2166</v>
      </c>
      <c r="D32" s="16" t="s">
        <v>2166</v>
      </c>
      <c r="E32" s="11" t="str">
        <f t="shared" si="0"/>
        <v>Nicht</v>
      </c>
      <c r="I32" s="16" t="str">
        <v>Fahrzeug 36</v>
      </c>
      <c r="J32">
        <f ca="1">INDEX(Laufwege!$C$3:$C$499,MATCH(INDEX(IN_Verknüpfungen!$L$4:$L$500,MATCH(INDEX(Zugfahrten!$A$2:$DI$2,MATCH(I32,Zugfahrten!$A$1:$DI$1,0)),
        IN_Verknüpfungen!$B$4:$B$500,0)),
    Laufwege!$A$3:$A$499,0))</f>
        <v>485331</v>
      </c>
      <c r="K32" s="16" t="str">
        <f t="shared" ca="1" si="5"/>
        <v>Nein</v>
      </c>
    </row>
    <row r="33" spans="1:11" x14ac:dyDescent="0.2">
      <c r="A33" s="10" t="s">
        <v>2084</v>
      </c>
      <c r="B33" s="16" t="s">
        <v>32</v>
      </c>
      <c r="C33" s="11" t="s">
        <v>2166</v>
      </c>
      <c r="D33" s="16" t="s">
        <v>2166</v>
      </c>
      <c r="E33" s="11" t="str">
        <f t="shared" si="0"/>
        <v>Nicht</v>
      </c>
      <c r="I33" s="16"/>
      <c r="J33" t="e">
        <f>INDEX(Laufwege!$C$3:$C$499,MATCH(INDEX(IN_Verknüpfungen!$L$4:$L$500,MATCH(INDEX(Zugfahrten!$A$2:$Z$2,MATCH(I33,Zugfahrten!$A$1:$Z$1,0)),
        IN_Verknüpfungen!$B$4:$B$500,0)),
    Laufwege!$A$3:$A$499,0))</f>
        <v>#N/A</v>
      </c>
      <c r="K33" s="16" t="e">
        <f t="shared" si="5"/>
        <v>#N/A</v>
      </c>
    </row>
    <row r="34" spans="1:11" x14ac:dyDescent="0.2">
      <c r="A34" s="10" t="s">
        <v>2085</v>
      </c>
      <c r="B34" s="16" t="s">
        <v>29</v>
      </c>
      <c r="C34" s="11" t="s">
        <v>2166</v>
      </c>
      <c r="D34" s="16" t="s">
        <v>2166</v>
      </c>
      <c r="E34" s="11" t="str">
        <f t="shared" ref="E34:E65" si="6">IF(VLOOKUP(B34,G:J,4,FALSE)="Nicht","Tanken","Nicht")</f>
        <v>Tanken</v>
      </c>
      <c r="I34" s="16"/>
      <c r="J34" t="e">
        <f>INDEX(Laufwege!$C$3:$C$499,MATCH(INDEX(IN_Verknüpfungen!$L$4:$L$500,MATCH(INDEX(Zugfahrten!$A$2:$Z$2,MATCH(I34,Zugfahrten!$A$1:$Z$1,0)),
        IN_Verknüpfungen!$B$4:$B$500,0)),
    Laufwege!$A$3:$A$499,0))</f>
        <v>#N/A</v>
      </c>
      <c r="K34" s="16" t="e">
        <f t="shared" si="5"/>
        <v>#N/A</v>
      </c>
    </row>
    <row r="35" spans="1:11" x14ac:dyDescent="0.2">
      <c r="A35" s="10" t="s">
        <v>2086</v>
      </c>
      <c r="B35" s="16" t="s">
        <v>35</v>
      </c>
      <c r="C35" s="11" t="s">
        <v>112</v>
      </c>
      <c r="D35" s="16" t="s">
        <v>2166</v>
      </c>
      <c r="E35" s="11" t="str">
        <f t="shared" si="6"/>
        <v>Nicht</v>
      </c>
      <c r="I35" s="16"/>
      <c r="J35" t="e">
        <f>INDEX(Laufwege!$C$3:$C$499,MATCH(INDEX(IN_Verknüpfungen!$L$4:$L$500,MATCH(INDEX(Zugfahrten!$A$2:$Z$2,MATCH(I35,Zugfahrten!$A$1:$Z$1,0)),
        IN_Verknüpfungen!$B$4:$B$500,0)),
    Laufwege!$A$3:$A$499,0))</f>
        <v>#N/A</v>
      </c>
      <c r="K35" s="16" t="e">
        <f t="shared" si="5"/>
        <v>#N/A</v>
      </c>
    </row>
    <row r="36" spans="1:11" x14ac:dyDescent="0.2">
      <c r="A36" s="10" t="s">
        <v>2087</v>
      </c>
      <c r="B36" s="16" t="s">
        <v>32</v>
      </c>
      <c r="C36" s="11" t="s">
        <v>2166</v>
      </c>
      <c r="D36" s="16" t="s">
        <v>2166</v>
      </c>
      <c r="E36" s="11" t="str">
        <f t="shared" si="6"/>
        <v>Nicht</v>
      </c>
      <c r="I36" s="16"/>
      <c r="J36" t="e">
        <f>INDEX(Laufwege!$C$3:$C$499,MATCH(INDEX(IN_Verknüpfungen!$L$4:$L$500,MATCH(INDEX(Zugfahrten!$A$2:$Z$2,MATCH(I36,Zugfahrten!$A$1:$Z$1,0)),
        IN_Verknüpfungen!$B$4:$B$500,0)),
    Laufwege!$A$3:$A$499,0))</f>
        <v>#N/A</v>
      </c>
      <c r="K36" s="16" t="e">
        <f t="shared" si="5"/>
        <v>#N/A</v>
      </c>
    </row>
    <row r="37" spans="1:11" x14ac:dyDescent="0.2">
      <c r="A37" s="10" t="s">
        <v>2088</v>
      </c>
      <c r="B37" s="16" t="s">
        <v>29</v>
      </c>
      <c r="C37" s="11" t="s">
        <v>2166</v>
      </c>
      <c r="D37" s="16" t="s">
        <v>2166</v>
      </c>
      <c r="E37" s="11" t="str">
        <f t="shared" si="6"/>
        <v>Tanken</v>
      </c>
      <c r="I37" s="16"/>
      <c r="J37" t="e">
        <f>INDEX(Laufwege!$C$3:$C$499,MATCH(INDEX(IN_Verknüpfungen!$L$4:$L$500,MATCH(INDEX(Zugfahrten!$A$2:$Z$2,MATCH(I37,Zugfahrten!$A$1:$Z$1,0)),
        IN_Verknüpfungen!$B$4:$B$500,0)),
    Laufwege!$A$3:$A$499,0))</f>
        <v>#N/A</v>
      </c>
      <c r="K37" s="16" t="e">
        <f t="shared" si="5"/>
        <v>#N/A</v>
      </c>
    </row>
    <row r="38" spans="1:11" x14ac:dyDescent="0.2">
      <c r="A38" s="10" t="s">
        <v>2089</v>
      </c>
      <c r="B38" s="16" t="s">
        <v>32</v>
      </c>
      <c r="C38" s="11" t="s">
        <v>2166</v>
      </c>
      <c r="D38" s="16" t="s">
        <v>2166</v>
      </c>
      <c r="E38" s="11" t="str">
        <f t="shared" si="6"/>
        <v>Nicht</v>
      </c>
      <c r="I38" s="16"/>
      <c r="J38" t="e">
        <f>INDEX(Laufwege!$C$3:$C$499,MATCH(INDEX(IN_Verknüpfungen!$L$4:$L$500,MATCH(INDEX(Zugfahrten!$A$2:$Z$2,MATCH(I38,Zugfahrten!$A$1:$Z$1,0)),
        IN_Verknüpfungen!$B$4:$B$500,0)),
    Laufwege!$A$3:$A$499,0))</f>
        <v>#N/A</v>
      </c>
      <c r="K38" s="16" t="e">
        <f t="shared" si="5"/>
        <v>#N/A</v>
      </c>
    </row>
    <row r="39" spans="1:11" x14ac:dyDescent="0.2">
      <c r="A39" s="10" t="s">
        <v>2090</v>
      </c>
      <c r="B39" s="16" t="s">
        <v>32</v>
      </c>
      <c r="C39" s="11" t="s">
        <v>2166</v>
      </c>
      <c r="D39" s="16" t="s">
        <v>2166</v>
      </c>
      <c r="E39" s="11" t="str">
        <f t="shared" si="6"/>
        <v>Nicht</v>
      </c>
      <c r="I39" s="16"/>
      <c r="J39" t="e">
        <f>INDEX(Laufwege!$C$3:$C$499,MATCH(INDEX(IN_Verknüpfungen!$L$4:$L$500,MATCH(INDEX(Zugfahrten!$A$2:$Z$2,MATCH(I39,Zugfahrten!$A$1:$Z$1,0)),
        IN_Verknüpfungen!$B$4:$B$500,0)),
    Laufwege!$A$3:$A$499,0))</f>
        <v>#N/A</v>
      </c>
      <c r="K39" s="16" t="e">
        <f t="shared" si="5"/>
        <v>#N/A</v>
      </c>
    </row>
    <row r="40" spans="1:11" x14ac:dyDescent="0.2">
      <c r="A40" s="10" t="s">
        <v>2091</v>
      </c>
      <c r="B40" s="16" t="s">
        <v>35</v>
      </c>
      <c r="C40" s="11" t="s">
        <v>112</v>
      </c>
      <c r="D40" s="16" t="s">
        <v>2166</v>
      </c>
      <c r="E40" s="11" t="str">
        <f t="shared" si="6"/>
        <v>Nicht</v>
      </c>
      <c r="I40" s="16"/>
      <c r="J40" t="e">
        <f>INDEX(Laufwege!$C$3:$C$499,MATCH(INDEX(IN_Verknüpfungen!$L$4:$L$500,MATCH(INDEX(Zugfahrten!$A$2:$Z$2,MATCH(I40,Zugfahrten!$A$1:$Z$1,0)),
        IN_Verknüpfungen!$B$4:$B$500,0)),
    Laufwege!$A$3:$A$499,0))</f>
        <v>#N/A</v>
      </c>
      <c r="K40" s="16" t="e">
        <f t="shared" si="5"/>
        <v>#N/A</v>
      </c>
    </row>
    <row r="41" spans="1:11" x14ac:dyDescent="0.2">
      <c r="A41" s="10" t="s">
        <v>2092</v>
      </c>
      <c r="B41" s="16" t="s">
        <v>32</v>
      </c>
      <c r="C41" s="11" t="s">
        <v>2166</v>
      </c>
      <c r="D41" s="16" t="s">
        <v>2166</v>
      </c>
      <c r="E41" s="11" t="str">
        <f t="shared" si="6"/>
        <v>Nicht</v>
      </c>
      <c r="I41" s="16"/>
      <c r="J41" t="e">
        <f>INDEX(Laufwege!$C$3:$C$499,MATCH(INDEX(IN_Verknüpfungen!$L$4:$L$500,MATCH(INDEX(Zugfahrten!$A$2:$Z$2,MATCH(I41,Zugfahrten!$A$1:$Z$1,0)),
        IN_Verknüpfungen!$B$4:$B$500,0)),
    Laufwege!$A$3:$A$499,0))</f>
        <v>#N/A</v>
      </c>
      <c r="K41" s="16" t="e">
        <f t="shared" si="5"/>
        <v>#N/A</v>
      </c>
    </row>
    <row r="42" spans="1:11" x14ac:dyDescent="0.2">
      <c r="A42" s="10" t="s">
        <v>2093</v>
      </c>
      <c r="B42" s="16" t="s">
        <v>32</v>
      </c>
      <c r="C42" s="11" t="s">
        <v>2166</v>
      </c>
      <c r="D42" s="16" t="s">
        <v>2166</v>
      </c>
      <c r="E42" s="11" t="str">
        <f t="shared" si="6"/>
        <v>Nicht</v>
      </c>
      <c r="I42" s="16"/>
      <c r="J42" t="e">
        <f>INDEX(Laufwege!$C$3:$C$499,MATCH(INDEX(IN_Verknüpfungen!$L$4:$L$500,MATCH(INDEX(Zugfahrten!$A$2:$Z$2,MATCH(I42,Zugfahrten!$A$1:$Z$1,0)),
        IN_Verknüpfungen!$B$4:$B$500,0)),
    Laufwege!$A$3:$A$499,0))</f>
        <v>#N/A</v>
      </c>
      <c r="K42" s="16" t="e">
        <f t="shared" si="5"/>
        <v>#N/A</v>
      </c>
    </row>
    <row r="43" spans="1:11" x14ac:dyDescent="0.2">
      <c r="A43" s="10" t="s">
        <v>2094</v>
      </c>
      <c r="B43" s="16" t="s">
        <v>35</v>
      </c>
      <c r="C43" s="11" t="s">
        <v>112</v>
      </c>
      <c r="D43" s="16" t="s">
        <v>2166</v>
      </c>
      <c r="E43" s="11" t="str">
        <f t="shared" si="6"/>
        <v>Nicht</v>
      </c>
      <c r="I43" s="16"/>
      <c r="J43" t="e">
        <f>INDEX(Laufwege!$C$3:$C$499,MATCH(INDEX(IN_Verknüpfungen!$L$4:$L$500,MATCH(INDEX(Zugfahrten!$A$2:$Z$2,MATCH(I43,Zugfahrten!$A$1:$Z$1,0)),
        IN_Verknüpfungen!$B$4:$B$500,0)),
    Laufwege!$A$3:$A$499,0))</f>
        <v>#N/A</v>
      </c>
      <c r="K43" s="16" t="e">
        <f t="shared" si="5"/>
        <v>#N/A</v>
      </c>
    </row>
    <row r="44" spans="1:11" x14ac:dyDescent="0.2">
      <c r="A44" s="10" t="s">
        <v>2095</v>
      </c>
      <c r="B44" s="16" t="s">
        <v>32</v>
      </c>
      <c r="C44" s="11" t="s">
        <v>2166</v>
      </c>
      <c r="D44" s="16" t="s">
        <v>2166</v>
      </c>
      <c r="E44" s="11" t="str">
        <f t="shared" si="6"/>
        <v>Nicht</v>
      </c>
      <c r="I44" s="16"/>
      <c r="J44" t="e">
        <f>INDEX(Laufwege!$C$3:$C$499,MATCH(INDEX(IN_Verknüpfungen!$L$4:$L$500,MATCH(INDEX(Zugfahrten!$A$2:$Z$2,MATCH(I44,Zugfahrten!$A$1:$Z$1,0)),
        IN_Verknüpfungen!$B$4:$B$500,0)),
    Laufwege!$A$3:$A$499,0))</f>
        <v>#N/A</v>
      </c>
      <c r="K44" s="16" t="e">
        <f t="shared" si="5"/>
        <v>#N/A</v>
      </c>
    </row>
    <row r="45" spans="1:11" x14ac:dyDescent="0.2">
      <c r="A45" s="10" t="s">
        <v>2096</v>
      </c>
      <c r="B45" s="16" t="s">
        <v>35</v>
      </c>
      <c r="C45" s="11" t="s">
        <v>112</v>
      </c>
      <c r="D45" s="16" t="s">
        <v>2166</v>
      </c>
      <c r="E45" s="11" t="str">
        <f t="shared" si="6"/>
        <v>Nicht</v>
      </c>
      <c r="I45" s="16"/>
      <c r="J45" t="e">
        <f>INDEX(Laufwege!$C$3:$C$499,MATCH(INDEX(IN_Verknüpfungen!$L$4:$L$500,MATCH(INDEX(Zugfahrten!$A$2:$Z$2,MATCH(I45,Zugfahrten!$A$1:$Z$1,0)),
        IN_Verknüpfungen!$B$4:$B$500,0)),
    Laufwege!$A$3:$A$499,0))</f>
        <v>#N/A</v>
      </c>
      <c r="K45" s="16" t="e">
        <f t="shared" si="5"/>
        <v>#N/A</v>
      </c>
    </row>
    <row r="46" spans="1:11" x14ac:dyDescent="0.2">
      <c r="A46" s="10" t="s">
        <v>2097</v>
      </c>
      <c r="B46" s="16" t="s">
        <v>32</v>
      </c>
      <c r="C46" s="11" t="s">
        <v>2166</v>
      </c>
      <c r="D46" s="16" t="s">
        <v>2166</v>
      </c>
      <c r="E46" s="11" t="str">
        <f t="shared" si="6"/>
        <v>Nicht</v>
      </c>
      <c r="I46" s="16"/>
      <c r="J46" t="e">
        <f>INDEX(Laufwege!$C$3:$C$499,MATCH(INDEX(IN_Verknüpfungen!$L$4:$L$500,MATCH(INDEX(Zugfahrten!$A$2:$Z$2,MATCH(I46,Zugfahrten!$A$1:$Z$1,0)),
        IN_Verknüpfungen!$B$4:$B$500,0)),
    Laufwege!$A$3:$A$499,0))</f>
        <v>#N/A</v>
      </c>
      <c r="K46" s="16" t="e">
        <f t="shared" si="5"/>
        <v>#N/A</v>
      </c>
    </row>
    <row r="47" spans="1:11" x14ac:dyDescent="0.2">
      <c r="A47" s="10" t="s">
        <v>2098</v>
      </c>
      <c r="B47" s="16" t="s">
        <v>35</v>
      </c>
      <c r="C47" s="11" t="s">
        <v>112</v>
      </c>
      <c r="D47" s="16" t="s">
        <v>2166</v>
      </c>
      <c r="E47" s="11" t="str">
        <f t="shared" si="6"/>
        <v>Nicht</v>
      </c>
      <c r="I47" s="16"/>
      <c r="J47" t="e">
        <f>INDEX(Laufwege!$C$3:$C$499,MATCH(INDEX(IN_Verknüpfungen!$L$4:$L$500,MATCH(INDEX(Zugfahrten!$A$2:$Z$2,MATCH(I47,Zugfahrten!$A$1:$Z$1,0)),
        IN_Verknüpfungen!$B$4:$B$500,0)),
    Laufwege!$A$3:$A$499,0))</f>
        <v>#N/A</v>
      </c>
      <c r="K47" s="16" t="e">
        <f t="shared" si="5"/>
        <v>#N/A</v>
      </c>
    </row>
    <row r="48" spans="1:11" x14ac:dyDescent="0.2">
      <c r="A48" s="10" t="s">
        <v>2099</v>
      </c>
      <c r="B48" s="16" t="s">
        <v>35</v>
      </c>
      <c r="C48" s="11" t="s">
        <v>112</v>
      </c>
      <c r="D48" s="16" t="s">
        <v>2166</v>
      </c>
      <c r="E48" s="11" t="str">
        <f t="shared" si="6"/>
        <v>Nicht</v>
      </c>
      <c r="I48" s="16"/>
      <c r="J48" t="e">
        <f>INDEX(Laufwege!$C$3:$C$499,MATCH(INDEX(IN_Verknüpfungen!$L$4:$L$500,MATCH(INDEX(Zugfahrten!$A$2:$Z$2,MATCH(I48,Zugfahrten!$A$1:$Z$1,0)),
        IN_Verknüpfungen!$B$4:$B$500,0)),
    Laufwege!$A$3:$A$499,0))</f>
        <v>#N/A</v>
      </c>
      <c r="K48" s="16" t="e">
        <f t="shared" si="5"/>
        <v>#N/A</v>
      </c>
    </row>
    <row r="49" spans="1:11" x14ac:dyDescent="0.2">
      <c r="A49" s="10" t="s">
        <v>2100</v>
      </c>
      <c r="B49" s="16" t="s">
        <v>35</v>
      </c>
      <c r="C49" s="11" t="s">
        <v>112</v>
      </c>
      <c r="D49" s="16" t="s">
        <v>2166</v>
      </c>
      <c r="E49" s="11" t="str">
        <f t="shared" si="6"/>
        <v>Nicht</v>
      </c>
      <c r="I49" s="16"/>
      <c r="J49" t="e">
        <f>INDEX(Laufwege!$C$3:$C$499,MATCH(INDEX(IN_Verknüpfungen!$L$4:$L$500,MATCH(INDEX(Zugfahrten!$A$2:$Z$2,MATCH(I49,Zugfahrten!$A$1:$Z$1,0)),
        IN_Verknüpfungen!$B$4:$B$500,0)),
    Laufwege!$A$3:$A$499,0))</f>
        <v>#N/A</v>
      </c>
      <c r="K49" s="16" t="e">
        <f t="shared" si="5"/>
        <v>#N/A</v>
      </c>
    </row>
    <row r="50" spans="1:11" x14ac:dyDescent="0.2">
      <c r="A50" s="10" t="s">
        <v>2101</v>
      </c>
      <c r="B50" s="16" t="s">
        <v>35</v>
      </c>
      <c r="C50" s="11" t="s">
        <v>112</v>
      </c>
      <c r="D50" s="16" t="s">
        <v>2166</v>
      </c>
      <c r="E50" s="11" t="str">
        <f t="shared" si="6"/>
        <v>Nicht</v>
      </c>
      <c r="I50" s="16"/>
      <c r="J50" t="e">
        <f>INDEX(Laufwege!$C$3:$C$499,MATCH(INDEX(IN_Verknüpfungen!$L$4:$L$500,MATCH(INDEX(Zugfahrten!$A$2:$Z$2,MATCH(I50,Zugfahrten!$A$1:$Z$1,0)),
        IN_Verknüpfungen!$B$4:$B$500,0)),
    Laufwege!$A$3:$A$499,0))</f>
        <v>#N/A</v>
      </c>
      <c r="K50" s="16" t="e">
        <f t="shared" si="5"/>
        <v>#N/A</v>
      </c>
    </row>
    <row r="51" spans="1:11" x14ac:dyDescent="0.2">
      <c r="A51" s="10" t="s">
        <v>2102</v>
      </c>
      <c r="B51" s="16" t="s">
        <v>32</v>
      </c>
      <c r="C51" s="11" t="s">
        <v>2166</v>
      </c>
      <c r="D51" s="16" t="s">
        <v>2166</v>
      </c>
      <c r="E51" s="11" t="str">
        <f t="shared" si="6"/>
        <v>Nicht</v>
      </c>
      <c r="I51" s="16"/>
      <c r="J51" t="e">
        <f>INDEX(Laufwege!$C$3:$C$499,MATCH(INDEX(IN_Verknüpfungen!$L$4:$L$500,MATCH(INDEX(Zugfahrten!$A$2:$Z$2,MATCH(I51,Zugfahrten!$A$1:$Z$1,0)),
        IN_Verknüpfungen!$B$4:$B$500,0)),
    Laufwege!$A$3:$A$499,0))</f>
        <v>#N/A</v>
      </c>
      <c r="K51" s="16" t="e">
        <f t="shared" si="5"/>
        <v>#N/A</v>
      </c>
    </row>
    <row r="52" spans="1:11" x14ac:dyDescent="0.2">
      <c r="A52" s="10" t="s">
        <v>2103</v>
      </c>
      <c r="B52" s="16" t="s">
        <v>35</v>
      </c>
      <c r="C52" s="11" t="s">
        <v>112</v>
      </c>
      <c r="D52" s="16" t="s">
        <v>2166</v>
      </c>
      <c r="E52" s="11" t="str">
        <f t="shared" si="6"/>
        <v>Nicht</v>
      </c>
      <c r="I52" s="16"/>
      <c r="J52" t="e">
        <f>INDEX(Laufwege!$C$3:$C$499,MATCH(INDEX(IN_Verknüpfungen!$L$4:$L$500,MATCH(INDEX(Zugfahrten!$A$2:$Z$2,MATCH(I52,Zugfahrten!$A$1:$Z$1,0)),
        IN_Verknüpfungen!$B$4:$B$500,0)),
    Laufwege!$A$3:$A$499,0))</f>
        <v>#N/A</v>
      </c>
      <c r="K52" s="16" t="e">
        <f t="shared" si="5"/>
        <v>#N/A</v>
      </c>
    </row>
    <row r="53" spans="1:11" x14ac:dyDescent="0.2">
      <c r="A53" s="10" t="s">
        <v>2104</v>
      </c>
      <c r="B53" s="16" t="s">
        <v>35</v>
      </c>
      <c r="C53" s="11" t="s">
        <v>112</v>
      </c>
      <c r="D53" s="16" t="s">
        <v>2166</v>
      </c>
      <c r="E53" s="11" t="str">
        <f t="shared" si="6"/>
        <v>Nicht</v>
      </c>
      <c r="I53" s="16"/>
      <c r="J53" t="e">
        <f>INDEX(Laufwege!$C$3:$C$499,MATCH(INDEX(IN_Verknüpfungen!$L$4:$L$500,MATCH(INDEX(Zugfahrten!$A$2:$Z$2,MATCH(I53,Zugfahrten!$A$1:$Z$1,0)),
        IN_Verknüpfungen!$B$4:$B$500,0)),
    Laufwege!$A$3:$A$499,0))</f>
        <v>#N/A</v>
      </c>
      <c r="K53" s="16" t="e">
        <f t="shared" si="5"/>
        <v>#N/A</v>
      </c>
    </row>
    <row r="54" spans="1:11" x14ac:dyDescent="0.2">
      <c r="A54" s="10" t="s">
        <v>2105</v>
      </c>
      <c r="B54" s="16" t="s">
        <v>35</v>
      </c>
      <c r="C54" s="11" t="s">
        <v>112</v>
      </c>
      <c r="D54" s="16" t="s">
        <v>2166</v>
      </c>
      <c r="E54" s="11" t="str">
        <f t="shared" si="6"/>
        <v>Nicht</v>
      </c>
      <c r="I54" s="16"/>
      <c r="J54" t="e">
        <f>INDEX(Laufwege!$C$3:$C$499,MATCH(INDEX(IN_Verknüpfungen!$L$4:$L$500,MATCH(INDEX(Zugfahrten!$A$2:$Z$2,MATCH(I54,Zugfahrten!$A$1:$Z$1,0)),
        IN_Verknüpfungen!$B$4:$B$500,0)),
    Laufwege!$A$3:$A$499,0))</f>
        <v>#N/A</v>
      </c>
      <c r="K54" s="16" t="e">
        <f t="shared" si="5"/>
        <v>#N/A</v>
      </c>
    </row>
    <row r="55" spans="1:11" x14ac:dyDescent="0.2">
      <c r="A55" s="10" t="s">
        <v>2106</v>
      </c>
      <c r="B55" s="16" t="s">
        <v>35</v>
      </c>
      <c r="C55" s="11" t="s">
        <v>112</v>
      </c>
      <c r="D55" s="16" t="s">
        <v>2166</v>
      </c>
      <c r="E55" s="11" t="str">
        <f t="shared" si="6"/>
        <v>Nicht</v>
      </c>
      <c r="I55" s="16"/>
      <c r="J55" t="e">
        <f>INDEX(Laufwege!$C$3:$C$499,MATCH(INDEX(IN_Verknüpfungen!$L$4:$L$500,MATCH(INDEX(Zugfahrten!$A$2:$Z$2,MATCH(I55,Zugfahrten!$A$1:$Z$1,0)),
        IN_Verknüpfungen!$B$4:$B$500,0)),
    Laufwege!$A$3:$A$499,0))</f>
        <v>#N/A</v>
      </c>
      <c r="K55" s="16" t="e">
        <f t="shared" si="5"/>
        <v>#N/A</v>
      </c>
    </row>
    <row r="56" spans="1:11" x14ac:dyDescent="0.2">
      <c r="A56" s="10" t="s">
        <v>2107</v>
      </c>
      <c r="B56" s="16" t="s">
        <v>32</v>
      </c>
      <c r="C56" s="11" t="s">
        <v>2166</v>
      </c>
      <c r="D56" s="16" t="s">
        <v>2166</v>
      </c>
      <c r="E56" s="11" t="str">
        <f t="shared" si="6"/>
        <v>Nicht</v>
      </c>
      <c r="I56" s="16"/>
      <c r="J56" t="e">
        <f>INDEX(Laufwege!$C$3:$C$499,MATCH(INDEX(IN_Verknüpfungen!$L$4:$L$500,MATCH(INDEX(Zugfahrten!$A$2:$Z$2,MATCH(I56,Zugfahrten!$A$1:$Z$1,0)),
        IN_Verknüpfungen!$B$4:$B$500,0)),
    Laufwege!$A$3:$A$499,0))</f>
        <v>#N/A</v>
      </c>
      <c r="K56" s="16" t="e">
        <f t="shared" si="5"/>
        <v>#N/A</v>
      </c>
    </row>
    <row r="57" spans="1:11" x14ac:dyDescent="0.2">
      <c r="A57" s="10" t="s">
        <v>2108</v>
      </c>
      <c r="B57" s="16" t="s">
        <v>32</v>
      </c>
      <c r="C57" s="11" t="s">
        <v>2166</v>
      </c>
      <c r="D57" s="16" t="s">
        <v>2166</v>
      </c>
      <c r="E57" s="11" t="str">
        <f t="shared" si="6"/>
        <v>Nicht</v>
      </c>
      <c r="I57" s="16"/>
      <c r="J57" t="e">
        <f>INDEX(Laufwege!$C$3:$C$499,MATCH(INDEX(IN_Verknüpfungen!$L$4:$L$500,MATCH(INDEX(Zugfahrten!$A$2:$Z$2,MATCH(I57,Zugfahrten!$A$1:$Z$1,0)),
        IN_Verknüpfungen!$B$4:$B$500,0)),
    Laufwege!$A$3:$A$499,0))</f>
        <v>#N/A</v>
      </c>
      <c r="K57" s="16" t="e">
        <f t="shared" si="5"/>
        <v>#N/A</v>
      </c>
    </row>
    <row r="58" spans="1:11" x14ac:dyDescent="0.2">
      <c r="A58" s="10" t="s">
        <v>2109</v>
      </c>
      <c r="B58" s="16" t="s">
        <v>35</v>
      </c>
      <c r="C58" s="11" t="s">
        <v>112</v>
      </c>
      <c r="D58" s="16" t="s">
        <v>2166</v>
      </c>
      <c r="E58" s="11" t="str">
        <f t="shared" si="6"/>
        <v>Nicht</v>
      </c>
      <c r="I58" s="16"/>
      <c r="J58" t="e">
        <f>INDEX(Laufwege!$C$3:$C$499,MATCH(INDEX(IN_Verknüpfungen!$L$4:$L$500,MATCH(INDEX(Zugfahrten!$A$2:$Z$2,MATCH(I58,Zugfahrten!$A$1:$Z$1,0)),
        IN_Verknüpfungen!$B$4:$B$500,0)),
    Laufwege!$A$3:$A$499,0))</f>
        <v>#N/A</v>
      </c>
      <c r="K58" s="16" t="e">
        <f t="shared" si="5"/>
        <v>#N/A</v>
      </c>
    </row>
    <row r="59" spans="1:11" x14ac:dyDescent="0.2">
      <c r="A59" s="10" t="s">
        <v>2110</v>
      </c>
      <c r="B59" s="16" t="s">
        <v>35</v>
      </c>
      <c r="C59" s="11" t="s">
        <v>112</v>
      </c>
      <c r="D59" s="16" t="s">
        <v>2166</v>
      </c>
      <c r="E59" s="11" t="str">
        <f t="shared" si="6"/>
        <v>Nicht</v>
      </c>
      <c r="I59" s="16"/>
      <c r="J59" t="e">
        <f>INDEX(Laufwege!$C$3:$C$499,MATCH(INDEX(IN_Verknüpfungen!$L$4:$L$500,MATCH(INDEX(Zugfahrten!$A$2:$Z$2,MATCH(I59,Zugfahrten!$A$1:$Z$1,0)),
        IN_Verknüpfungen!$B$4:$B$500,0)),
    Laufwege!$A$3:$A$499,0))</f>
        <v>#N/A</v>
      </c>
      <c r="K59" s="16" t="e">
        <f t="shared" si="5"/>
        <v>#N/A</v>
      </c>
    </row>
    <row r="60" spans="1:11" x14ac:dyDescent="0.2">
      <c r="A60" s="10" t="s">
        <v>2111</v>
      </c>
      <c r="B60" s="16" t="s">
        <v>32</v>
      </c>
      <c r="C60" s="11" t="s">
        <v>2166</v>
      </c>
      <c r="D60" s="16" t="s">
        <v>2166</v>
      </c>
      <c r="E60" s="11" t="str">
        <f t="shared" si="6"/>
        <v>Nicht</v>
      </c>
      <c r="I60" s="16"/>
      <c r="J60" t="e">
        <f>INDEX(Laufwege!$C$3:$C$499,MATCH(INDEX(IN_Verknüpfungen!$L$4:$L$500,MATCH(INDEX(Zugfahrten!$A$2:$Z$2,MATCH(I60,Zugfahrten!$A$1:$Z$1,0)),
        IN_Verknüpfungen!$B$4:$B$500,0)),
    Laufwege!$A$3:$A$499,0))</f>
        <v>#N/A</v>
      </c>
      <c r="K60" s="16" t="e">
        <f t="shared" si="5"/>
        <v>#N/A</v>
      </c>
    </row>
    <row r="61" spans="1:11" x14ac:dyDescent="0.2">
      <c r="A61" s="10" t="s">
        <v>2112</v>
      </c>
      <c r="B61" s="16" t="s">
        <v>35</v>
      </c>
      <c r="C61" s="11" t="s">
        <v>112</v>
      </c>
      <c r="D61" s="16" t="s">
        <v>2166</v>
      </c>
      <c r="E61" s="11" t="str">
        <f t="shared" si="6"/>
        <v>Nicht</v>
      </c>
      <c r="I61" s="16"/>
      <c r="J61" t="e">
        <f>INDEX(Laufwege!$C$3:$C$499,MATCH(INDEX(IN_Verknüpfungen!$L$4:$L$500,MATCH(INDEX(Zugfahrten!$A$2:$Z$2,MATCH(I61,Zugfahrten!$A$1:$Z$1,0)),
        IN_Verknüpfungen!$B$4:$B$500,0)),
    Laufwege!$A$3:$A$499,0))</f>
        <v>#N/A</v>
      </c>
      <c r="K61" s="16" t="e">
        <f t="shared" si="5"/>
        <v>#N/A</v>
      </c>
    </row>
    <row r="62" spans="1:11" x14ac:dyDescent="0.2">
      <c r="A62" s="10" t="s">
        <v>2113</v>
      </c>
      <c r="B62" s="16" t="s">
        <v>35</v>
      </c>
      <c r="C62" s="11" t="s">
        <v>112</v>
      </c>
      <c r="D62" s="16" t="s">
        <v>2166</v>
      </c>
      <c r="E62" s="11" t="str">
        <f t="shared" si="6"/>
        <v>Nicht</v>
      </c>
      <c r="I62" s="16"/>
      <c r="J62" t="e">
        <f>INDEX(Laufwege!$C$3:$C$499,MATCH(INDEX(IN_Verknüpfungen!$L$4:$L$500,MATCH(INDEX(Zugfahrten!$A$2:$Z$2,MATCH(I62,Zugfahrten!$A$1:$Z$1,0)),
        IN_Verknüpfungen!$B$4:$B$500,0)),
    Laufwege!$A$3:$A$499,0))</f>
        <v>#N/A</v>
      </c>
      <c r="K62" s="16" t="e">
        <f t="shared" si="5"/>
        <v>#N/A</v>
      </c>
    </row>
    <row r="63" spans="1:11" x14ac:dyDescent="0.2">
      <c r="A63" s="10" t="s">
        <v>2114</v>
      </c>
      <c r="B63" s="16" t="s">
        <v>35</v>
      </c>
      <c r="C63" s="11" t="s">
        <v>112</v>
      </c>
      <c r="D63" s="16" t="s">
        <v>2166</v>
      </c>
      <c r="E63" s="11" t="str">
        <f t="shared" si="6"/>
        <v>Nicht</v>
      </c>
      <c r="I63" s="16"/>
      <c r="J63" t="e">
        <f>INDEX(Laufwege!$C$3:$C$499,MATCH(INDEX(IN_Verknüpfungen!$L$4:$L$500,MATCH(INDEX(Zugfahrten!$A$2:$Z$2,MATCH(I63,Zugfahrten!$A$1:$Z$1,0)),
        IN_Verknüpfungen!$B$4:$B$500,0)),
    Laufwege!$A$3:$A$499,0))</f>
        <v>#N/A</v>
      </c>
      <c r="K63" s="16" t="e">
        <f t="shared" si="5"/>
        <v>#N/A</v>
      </c>
    </row>
    <row r="64" spans="1:11" x14ac:dyDescent="0.2">
      <c r="A64" s="10" t="s">
        <v>2115</v>
      </c>
      <c r="B64" s="16" t="s">
        <v>35</v>
      </c>
      <c r="C64" s="11" t="s">
        <v>112</v>
      </c>
      <c r="D64" s="16" t="s">
        <v>2166</v>
      </c>
      <c r="E64" s="11" t="str">
        <f t="shared" si="6"/>
        <v>Nicht</v>
      </c>
      <c r="I64" s="16"/>
      <c r="J64" t="e">
        <f>INDEX(Laufwege!$C$3:$C$499,MATCH(INDEX(IN_Verknüpfungen!$L$4:$L$500,MATCH(INDEX(Zugfahrten!$A$2:$Z$2,MATCH(I64,Zugfahrten!$A$1:$Z$1,0)),
        IN_Verknüpfungen!$B$4:$B$500,0)),
    Laufwege!$A$3:$A$499,0))</f>
        <v>#N/A</v>
      </c>
      <c r="K64" s="16" t="e">
        <f t="shared" si="5"/>
        <v>#N/A</v>
      </c>
    </row>
    <row r="65" spans="1:11" x14ac:dyDescent="0.2">
      <c r="A65" s="10" t="s">
        <v>2116</v>
      </c>
      <c r="B65" s="16" t="s">
        <v>35</v>
      </c>
      <c r="C65" s="11" t="s">
        <v>112</v>
      </c>
      <c r="D65" s="16" t="s">
        <v>2166</v>
      </c>
      <c r="E65" s="11" t="str">
        <f t="shared" si="6"/>
        <v>Nicht</v>
      </c>
      <c r="I65" s="16"/>
      <c r="J65" t="e">
        <f>INDEX(Laufwege!$C$3:$C$499,MATCH(INDEX(IN_Verknüpfungen!$L$4:$L$500,MATCH(INDEX(Zugfahrten!$A$2:$Z$2,MATCH(I65,Zugfahrten!$A$1:$Z$1,0)),
        IN_Verknüpfungen!$B$4:$B$500,0)),
    Laufwege!$A$3:$A$499,0))</f>
        <v>#N/A</v>
      </c>
      <c r="K65" s="16" t="e">
        <f t="shared" si="5"/>
        <v>#N/A</v>
      </c>
    </row>
    <row r="66" spans="1:11" x14ac:dyDescent="0.2">
      <c r="A66" s="10" t="s">
        <v>2117</v>
      </c>
      <c r="B66" s="16" t="s">
        <v>35</v>
      </c>
      <c r="C66" s="11" t="s">
        <v>112</v>
      </c>
      <c r="D66" s="16" t="s">
        <v>2166</v>
      </c>
      <c r="E66" s="11" t="str">
        <f t="shared" ref="E66:E97" si="7">IF(VLOOKUP(B66,G:J,4,FALSE)="Nicht","Tanken","Nicht")</f>
        <v>Nicht</v>
      </c>
    </row>
    <row r="67" spans="1:11" x14ac:dyDescent="0.2">
      <c r="A67" s="10" t="s">
        <v>2118</v>
      </c>
      <c r="B67" s="16" t="s">
        <v>35</v>
      </c>
      <c r="C67" s="11" t="s">
        <v>112</v>
      </c>
      <c r="D67" s="16" t="s">
        <v>2166</v>
      </c>
      <c r="E67" s="11" t="str">
        <f t="shared" si="7"/>
        <v>Nicht</v>
      </c>
    </row>
    <row r="68" spans="1:11" x14ac:dyDescent="0.2">
      <c r="A68" s="10" t="s">
        <v>2119</v>
      </c>
      <c r="B68" s="16" t="s">
        <v>32</v>
      </c>
      <c r="C68" s="11" t="s">
        <v>2166</v>
      </c>
      <c r="D68" s="16" t="s">
        <v>2166</v>
      </c>
      <c r="E68" s="11" t="str">
        <f t="shared" si="7"/>
        <v>Nicht</v>
      </c>
    </row>
    <row r="69" spans="1:11" x14ac:dyDescent="0.2">
      <c r="A69" s="10" t="s">
        <v>2120</v>
      </c>
      <c r="B69" s="16" t="s">
        <v>35</v>
      </c>
      <c r="C69" s="11" t="s">
        <v>112</v>
      </c>
      <c r="D69" s="16" t="s">
        <v>2166</v>
      </c>
      <c r="E69" s="11" t="str">
        <f t="shared" si="7"/>
        <v>Nicht</v>
      </c>
    </row>
    <row r="70" spans="1:11" x14ac:dyDescent="0.2">
      <c r="A70" s="10" t="s">
        <v>2121</v>
      </c>
      <c r="B70" s="16" t="s">
        <v>35</v>
      </c>
      <c r="C70" s="11" t="s">
        <v>112</v>
      </c>
      <c r="D70" s="16" t="s">
        <v>2166</v>
      </c>
      <c r="E70" s="11" t="str">
        <f t="shared" si="7"/>
        <v>Nicht</v>
      </c>
    </row>
    <row r="71" spans="1:11" x14ac:dyDescent="0.2">
      <c r="A71" s="10" t="s">
        <v>2122</v>
      </c>
      <c r="B71" s="16" t="s">
        <v>32</v>
      </c>
      <c r="C71" s="11" t="s">
        <v>2166</v>
      </c>
      <c r="D71" s="16" t="s">
        <v>2166</v>
      </c>
      <c r="E71" s="11" t="str">
        <f t="shared" si="7"/>
        <v>Nicht</v>
      </c>
    </row>
    <row r="72" spans="1:11" x14ac:dyDescent="0.2">
      <c r="A72" s="10" t="s">
        <v>2123</v>
      </c>
      <c r="B72" s="16" t="s">
        <v>35</v>
      </c>
      <c r="C72" s="11" t="s">
        <v>112</v>
      </c>
      <c r="D72" s="16" t="s">
        <v>2166</v>
      </c>
      <c r="E72" s="11" t="str">
        <f t="shared" si="7"/>
        <v>Nicht</v>
      </c>
    </row>
    <row r="73" spans="1:11" x14ac:dyDescent="0.2">
      <c r="A73" s="10" t="s">
        <v>2124</v>
      </c>
      <c r="B73" s="16" t="s">
        <v>35</v>
      </c>
      <c r="C73" s="11" t="s">
        <v>112</v>
      </c>
      <c r="D73" s="16" t="s">
        <v>2166</v>
      </c>
      <c r="E73" s="11" t="str">
        <f t="shared" si="7"/>
        <v>Nicht</v>
      </c>
    </row>
    <row r="74" spans="1:11" x14ac:dyDescent="0.2">
      <c r="A74" s="10" t="s">
        <v>2125</v>
      </c>
      <c r="B74" s="16" t="s">
        <v>35</v>
      </c>
      <c r="C74" s="11" t="s">
        <v>112</v>
      </c>
      <c r="D74" s="16" t="s">
        <v>2166</v>
      </c>
      <c r="E74" s="11" t="str">
        <f t="shared" si="7"/>
        <v>Nicht</v>
      </c>
    </row>
    <row r="75" spans="1:11" x14ac:dyDescent="0.2">
      <c r="A75" s="10" t="s">
        <v>2126</v>
      </c>
      <c r="B75" s="16" t="s">
        <v>35</v>
      </c>
      <c r="C75" s="11" t="s">
        <v>112</v>
      </c>
      <c r="D75" s="16" t="s">
        <v>2166</v>
      </c>
      <c r="E75" s="11" t="str">
        <f t="shared" si="7"/>
        <v>Nicht</v>
      </c>
    </row>
    <row r="76" spans="1:11" x14ac:dyDescent="0.2">
      <c r="A76" s="10" t="s">
        <v>2127</v>
      </c>
      <c r="B76" s="16" t="s">
        <v>35</v>
      </c>
      <c r="C76" s="11" t="s">
        <v>112</v>
      </c>
      <c r="D76" s="16" t="s">
        <v>2166</v>
      </c>
      <c r="E76" s="11" t="str">
        <f t="shared" si="7"/>
        <v>Nicht</v>
      </c>
    </row>
    <row r="77" spans="1:11" x14ac:dyDescent="0.2">
      <c r="A77" s="10" t="s">
        <v>2128</v>
      </c>
      <c r="B77" s="16" t="s">
        <v>35</v>
      </c>
      <c r="C77" s="11" t="s">
        <v>112</v>
      </c>
      <c r="D77" s="16" t="s">
        <v>2166</v>
      </c>
      <c r="E77" s="11" t="str">
        <f t="shared" si="7"/>
        <v>Nicht</v>
      </c>
    </row>
    <row r="78" spans="1:11" x14ac:dyDescent="0.2">
      <c r="A78" s="10" t="s">
        <v>2129</v>
      </c>
      <c r="B78" s="16" t="s">
        <v>32</v>
      </c>
      <c r="C78" s="11" t="s">
        <v>2166</v>
      </c>
      <c r="D78" s="16" t="s">
        <v>2166</v>
      </c>
      <c r="E78" s="11" t="str">
        <f t="shared" si="7"/>
        <v>Nicht</v>
      </c>
    </row>
    <row r="79" spans="1:11" x14ac:dyDescent="0.2">
      <c r="A79" s="10" t="s">
        <v>2130</v>
      </c>
      <c r="B79" s="16" t="s">
        <v>35</v>
      </c>
      <c r="C79" s="11" t="s">
        <v>112</v>
      </c>
      <c r="D79" s="16" t="s">
        <v>2166</v>
      </c>
      <c r="E79" s="11" t="str">
        <f t="shared" si="7"/>
        <v>Nicht</v>
      </c>
    </row>
    <row r="80" spans="1:11" x14ac:dyDescent="0.2">
      <c r="A80" s="10" t="s">
        <v>2131</v>
      </c>
      <c r="B80" s="16" t="s">
        <v>32</v>
      </c>
      <c r="C80" s="11" t="s">
        <v>2166</v>
      </c>
      <c r="D80" s="16" t="s">
        <v>2166</v>
      </c>
      <c r="E80" s="11" t="str">
        <f t="shared" si="7"/>
        <v>Nicht</v>
      </c>
    </row>
    <row r="81" spans="1:5" x14ac:dyDescent="0.2">
      <c r="A81" s="10" t="s">
        <v>2132</v>
      </c>
      <c r="B81" s="16" t="s">
        <v>35</v>
      </c>
      <c r="C81" s="11" t="s">
        <v>112</v>
      </c>
      <c r="D81" s="16" t="s">
        <v>2166</v>
      </c>
      <c r="E81" s="11" t="str">
        <f t="shared" si="7"/>
        <v>Nicht</v>
      </c>
    </row>
    <row r="82" spans="1:5" x14ac:dyDescent="0.2">
      <c r="A82" s="10" t="s">
        <v>2133</v>
      </c>
      <c r="B82" s="16" t="s">
        <v>35</v>
      </c>
      <c r="C82" s="11" t="s">
        <v>112</v>
      </c>
      <c r="D82" s="16" t="s">
        <v>2166</v>
      </c>
      <c r="E82" s="11" t="str">
        <f t="shared" si="7"/>
        <v>Nicht</v>
      </c>
    </row>
    <row r="83" spans="1:5" x14ac:dyDescent="0.2">
      <c r="A83" s="10" t="s">
        <v>2134</v>
      </c>
      <c r="B83" s="16" t="s">
        <v>35</v>
      </c>
      <c r="C83" s="11" t="s">
        <v>112</v>
      </c>
      <c r="D83" s="16" t="s">
        <v>2166</v>
      </c>
      <c r="E83" s="11" t="str">
        <f t="shared" si="7"/>
        <v>Nicht</v>
      </c>
    </row>
    <row r="84" spans="1:5" x14ac:dyDescent="0.2">
      <c r="A84" s="10" t="s">
        <v>2135</v>
      </c>
      <c r="B84" s="16" t="s">
        <v>35</v>
      </c>
      <c r="C84" s="11" t="s">
        <v>112</v>
      </c>
      <c r="D84" s="16" t="s">
        <v>2166</v>
      </c>
      <c r="E84" s="11" t="str">
        <f t="shared" si="7"/>
        <v>Nicht</v>
      </c>
    </row>
    <row r="85" spans="1:5" x14ac:dyDescent="0.2">
      <c r="A85" s="10" t="s">
        <v>2136</v>
      </c>
      <c r="B85" s="16" t="s">
        <v>35</v>
      </c>
      <c r="C85" s="11" t="s">
        <v>112</v>
      </c>
      <c r="D85" s="16" t="s">
        <v>2166</v>
      </c>
      <c r="E85" s="11" t="str">
        <f t="shared" si="7"/>
        <v>Nicht</v>
      </c>
    </row>
    <row r="86" spans="1:5" x14ac:dyDescent="0.2">
      <c r="A86" s="10" t="s">
        <v>2137</v>
      </c>
      <c r="B86" s="16" t="s">
        <v>35</v>
      </c>
      <c r="C86" s="11" t="s">
        <v>112</v>
      </c>
      <c r="D86" s="16" t="s">
        <v>2166</v>
      </c>
      <c r="E86" s="11" t="str">
        <f t="shared" si="7"/>
        <v>Nicht</v>
      </c>
    </row>
    <row r="87" spans="1:5" x14ac:dyDescent="0.2">
      <c r="A87" s="10" t="s">
        <v>2138</v>
      </c>
      <c r="B87" s="16" t="s">
        <v>32</v>
      </c>
      <c r="C87" s="11" t="s">
        <v>2166</v>
      </c>
      <c r="D87" s="16" t="s">
        <v>2166</v>
      </c>
      <c r="E87" s="11" t="str">
        <f t="shared" si="7"/>
        <v>Nicht</v>
      </c>
    </row>
    <row r="88" spans="1:5" x14ac:dyDescent="0.2">
      <c r="A88" s="10" t="s">
        <v>2139</v>
      </c>
      <c r="B88" s="16" t="s">
        <v>35</v>
      </c>
      <c r="C88" s="11" t="s">
        <v>112</v>
      </c>
      <c r="D88" s="16" t="s">
        <v>2166</v>
      </c>
      <c r="E88" s="11" t="str">
        <f t="shared" si="7"/>
        <v>Nicht</v>
      </c>
    </row>
    <row r="89" spans="1:5" x14ac:dyDescent="0.2">
      <c r="A89" s="10" t="s">
        <v>2140</v>
      </c>
      <c r="B89" s="16" t="s">
        <v>35</v>
      </c>
      <c r="C89" s="11" t="s">
        <v>112</v>
      </c>
      <c r="D89" s="16" t="s">
        <v>2166</v>
      </c>
      <c r="E89" s="11" t="str">
        <f t="shared" si="7"/>
        <v>Nicht</v>
      </c>
    </row>
    <row r="90" spans="1:5" x14ac:dyDescent="0.2">
      <c r="A90" s="10" t="s">
        <v>2141</v>
      </c>
      <c r="B90" s="16" t="s">
        <v>35</v>
      </c>
      <c r="C90" s="11" t="s">
        <v>112</v>
      </c>
      <c r="D90" s="16" t="s">
        <v>2166</v>
      </c>
      <c r="E90" s="11" t="str">
        <f t="shared" si="7"/>
        <v>Nicht</v>
      </c>
    </row>
    <row r="91" spans="1:5" x14ac:dyDescent="0.2">
      <c r="A91" s="10" t="s">
        <v>2142</v>
      </c>
      <c r="B91" s="16" t="s">
        <v>35</v>
      </c>
      <c r="C91" s="11" t="s">
        <v>112</v>
      </c>
      <c r="D91" s="16" t="s">
        <v>2166</v>
      </c>
      <c r="E91" s="11" t="str">
        <f t="shared" si="7"/>
        <v>Nicht</v>
      </c>
    </row>
    <row r="92" spans="1:5" x14ac:dyDescent="0.2">
      <c r="A92" s="10" t="s">
        <v>2143</v>
      </c>
      <c r="B92" s="16" t="s">
        <v>35</v>
      </c>
      <c r="C92" s="11" t="s">
        <v>112</v>
      </c>
      <c r="D92" s="16" t="s">
        <v>2166</v>
      </c>
      <c r="E92" s="11" t="str">
        <f t="shared" si="7"/>
        <v>Nicht</v>
      </c>
    </row>
    <row r="93" spans="1:5" x14ac:dyDescent="0.2">
      <c r="A93" s="10" t="s">
        <v>2144</v>
      </c>
      <c r="B93" s="16" t="s">
        <v>35</v>
      </c>
      <c r="C93" s="11" t="s">
        <v>112</v>
      </c>
      <c r="D93" s="16" t="s">
        <v>2166</v>
      </c>
      <c r="E93" s="11" t="str">
        <f t="shared" si="7"/>
        <v>Nicht</v>
      </c>
    </row>
    <row r="94" spans="1:5" x14ac:dyDescent="0.2">
      <c r="A94" s="10" t="s">
        <v>2145</v>
      </c>
      <c r="B94" s="16" t="s">
        <v>35</v>
      </c>
      <c r="C94" s="11" t="s">
        <v>112</v>
      </c>
      <c r="D94" s="16" t="s">
        <v>2166</v>
      </c>
      <c r="E94" s="11" t="str">
        <f t="shared" si="7"/>
        <v>Nicht</v>
      </c>
    </row>
    <row r="95" spans="1:5" x14ac:dyDescent="0.2">
      <c r="A95" s="10" t="s">
        <v>2146</v>
      </c>
      <c r="B95" s="16" t="s">
        <v>35</v>
      </c>
      <c r="C95" s="11" t="s">
        <v>112</v>
      </c>
      <c r="D95" s="16" t="s">
        <v>2166</v>
      </c>
      <c r="E95" s="11" t="str">
        <f t="shared" si="7"/>
        <v>Nicht</v>
      </c>
    </row>
    <row r="96" spans="1:5" x14ac:dyDescent="0.2">
      <c r="A96" s="10" t="s">
        <v>2147</v>
      </c>
      <c r="B96" s="16" t="s">
        <v>35</v>
      </c>
      <c r="C96" s="11" t="s">
        <v>112</v>
      </c>
      <c r="D96" s="16" t="s">
        <v>2166</v>
      </c>
      <c r="E96" s="11" t="str">
        <f t="shared" si="7"/>
        <v>Nicht</v>
      </c>
    </row>
    <row r="97" spans="1:5" x14ac:dyDescent="0.2">
      <c r="A97" s="10" t="s">
        <v>2148</v>
      </c>
      <c r="B97" s="16" t="s">
        <v>35</v>
      </c>
      <c r="C97" s="11" t="s">
        <v>112</v>
      </c>
      <c r="D97" s="16" t="s">
        <v>2166</v>
      </c>
      <c r="E97" s="11" t="str">
        <f t="shared" si="7"/>
        <v>Nicht</v>
      </c>
    </row>
    <row r="98" spans="1:5" x14ac:dyDescent="0.2">
      <c r="A98" s="10" t="s">
        <v>2149</v>
      </c>
      <c r="B98" s="16" t="s">
        <v>35</v>
      </c>
      <c r="C98" s="11" t="s">
        <v>112</v>
      </c>
      <c r="D98" s="16" t="s">
        <v>2166</v>
      </c>
      <c r="E98" s="11" t="str">
        <f t="shared" ref="E98:E114" si="8">IF(VLOOKUP(B98,G:J,4,FALSE)="Nicht","Tanken","Nicht")</f>
        <v>Nicht</v>
      </c>
    </row>
    <row r="99" spans="1:5" x14ac:dyDescent="0.2">
      <c r="A99" s="10" t="s">
        <v>2150</v>
      </c>
      <c r="B99" s="16" t="s">
        <v>35</v>
      </c>
      <c r="C99" s="11" t="s">
        <v>112</v>
      </c>
      <c r="D99" s="16" t="s">
        <v>2166</v>
      </c>
      <c r="E99" s="11" t="str">
        <f t="shared" si="8"/>
        <v>Nicht</v>
      </c>
    </row>
    <row r="100" spans="1:5" x14ac:dyDescent="0.2">
      <c r="A100" s="10" t="s">
        <v>2151</v>
      </c>
      <c r="B100" s="16" t="s">
        <v>35</v>
      </c>
      <c r="C100" s="11" t="s">
        <v>112</v>
      </c>
      <c r="D100" s="16" t="s">
        <v>2166</v>
      </c>
      <c r="E100" s="11" t="str">
        <f t="shared" si="8"/>
        <v>Nicht</v>
      </c>
    </row>
    <row r="101" spans="1:5" x14ac:dyDescent="0.2">
      <c r="A101" s="10" t="s">
        <v>2152</v>
      </c>
      <c r="B101" s="16" t="s">
        <v>35</v>
      </c>
      <c r="C101" s="11" t="s">
        <v>112</v>
      </c>
      <c r="D101" s="16" t="s">
        <v>2166</v>
      </c>
      <c r="E101" s="11" t="str">
        <f t="shared" si="8"/>
        <v>Nicht</v>
      </c>
    </row>
    <row r="102" spans="1:5" x14ac:dyDescent="0.2">
      <c r="A102" s="10" t="s">
        <v>2153</v>
      </c>
      <c r="B102" s="16" t="s">
        <v>35</v>
      </c>
      <c r="C102" s="11" t="s">
        <v>112</v>
      </c>
      <c r="D102" s="16" t="s">
        <v>2166</v>
      </c>
      <c r="E102" s="11" t="str">
        <f t="shared" si="8"/>
        <v>Nicht</v>
      </c>
    </row>
    <row r="103" spans="1:5" x14ac:dyDescent="0.2">
      <c r="A103" s="10" t="s">
        <v>2154</v>
      </c>
      <c r="B103" s="16" t="s">
        <v>35</v>
      </c>
      <c r="C103" s="11" t="s">
        <v>112</v>
      </c>
      <c r="D103" s="16" t="s">
        <v>2166</v>
      </c>
      <c r="E103" s="11" t="str">
        <f t="shared" si="8"/>
        <v>Nicht</v>
      </c>
    </row>
    <row r="104" spans="1:5" x14ac:dyDescent="0.2">
      <c r="A104" s="10" t="s">
        <v>2155</v>
      </c>
      <c r="B104" s="16" t="s">
        <v>35</v>
      </c>
      <c r="C104" s="11" t="s">
        <v>112</v>
      </c>
      <c r="D104" s="16" t="s">
        <v>2166</v>
      </c>
      <c r="E104" s="11" t="str">
        <f t="shared" si="8"/>
        <v>Nicht</v>
      </c>
    </row>
    <row r="105" spans="1:5" x14ac:dyDescent="0.2">
      <c r="A105" s="10" t="s">
        <v>2156</v>
      </c>
      <c r="B105" s="16" t="s">
        <v>35</v>
      </c>
      <c r="C105" s="11" t="s">
        <v>112</v>
      </c>
      <c r="D105" s="16" t="s">
        <v>2166</v>
      </c>
      <c r="E105" s="11" t="str">
        <f t="shared" si="8"/>
        <v>Nicht</v>
      </c>
    </row>
    <row r="106" spans="1:5" x14ac:dyDescent="0.2">
      <c r="A106" s="10" t="s">
        <v>2157</v>
      </c>
      <c r="B106" s="16" t="s">
        <v>32</v>
      </c>
      <c r="C106" s="11" t="s">
        <v>2166</v>
      </c>
      <c r="D106" s="16" t="s">
        <v>2166</v>
      </c>
      <c r="E106" s="11" t="str">
        <f t="shared" si="8"/>
        <v>Nicht</v>
      </c>
    </row>
    <row r="107" spans="1:5" x14ac:dyDescent="0.2">
      <c r="A107" s="10" t="s">
        <v>2158</v>
      </c>
      <c r="B107" s="16" t="s">
        <v>35</v>
      </c>
      <c r="C107" s="11" t="s">
        <v>112</v>
      </c>
      <c r="D107" s="16" t="s">
        <v>2166</v>
      </c>
      <c r="E107" s="11" t="str">
        <f t="shared" si="8"/>
        <v>Nicht</v>
      </c>
    </row>
    <row r="108" spans="1:5" x14ac:dyDescent="0.2">
      <c r="A108" s="10" t="s">
        <v>2159</v>
      </c>
      <c r="B108" s="16" t="s">
        <v>35</v>
      </c>
      <c r="C108" s="11" t="s">
        <v>112</v>
      </c>
      <c r="D108" s="16" t="s">
        <v>2166</v>
      </c>
      <c r="E108" s="11" t="str">
        <f t="shared" si="8"/>
        <v>Nicht</v>
      </c>
    </row>
    <row r="109" spans="1:5" x14ac:dyDescent="0.2">
      <c r="A109" s="10" t="s">
        <v>2160</v>
      </c>
      <c r="B109" s="16" t="s">
        <v>35</v>
      </c>
      <c r="C109" s="11" t="s">
        <v>112</v>
      </c>
      <c r="D109" s="16" t="s">
        <v>2166</v>
      </c>
      <c r="E109" s="11" t="str">
        <f t="shared" si="8"/>
        <v>Nicht</v>
      </c>
    </row>
    <row r="110" spans="1:5" x14ac:dyDescent="0.2">
      <c r="A110" s="10" t="s">
        <v>2161</v>
      </c>
      <c r="B110" s="16" t="s">
        <v>35</v>
      </c>
      <c r="C110" s="11" t="s">
        <v>112</v>
      </c>
      <c r="D110" s="16" t="s">
        <v>2166</v>
      </c>
      <c r="E110" s="11" t="str">
        <f t="shared" si="8"/>
        <v>Nicht</v>
      </c>
    </row>
    <row r="111" spans="1:5" x14ac:dyDescent="0.2">
      <c r="A111" s="10" t="s">
        <v>2162</v>
      </c>
      <c r="B111" s="16" t="s">
        <v>35</v>
      </c>
      <c r="C111" s="11" t="s">
        <v>112</v>
      </c>
      <c r="D111" s="16" t="s">
        <v>2166</v>
      </c>
      <c r="E111" s="11" t="str">
        <f t="shared" si="8"/>
        <v>Nicht</v>
      </c>
    </row>
    <row r="112" spans="1:5" x14ac:dyDescent="0.2">
      <c r="A112" s="10" t="s">
        <v>2163</v>
      </c>
      <c r="B112" s="16" t="s">
        <v>35</v>
      </c>
      <c r="C112" s="11" t="s">
        <v>112</v>
      </c>
      <c r="D112" s="16" t="s">
        <v>2166</v>
      </c>
      <c r="E112" s="11" t="str">
        <f t="shared" si="8"/>
        <v>Nicht</v>
      </c>
    </row>
    <row r="113" spans="1:5" x14ac:dyDescent="0.2">
      <c r="A113" s="10" t="s">
        <v>2164</v>
      </c>
      <c r="B113" s="16" t="s">
        <v>35</v>
      </c>
      <c r="C113" s="11" t="s">
        <v>112</v>
      </c>
      <c r="D113" s="16" t="s">
        <v>2166</v>
      </c>
      <c r="E113" s="11" t="str">
        <f t="shared" si="8"/>
        <v>Nicht</v>
      </c>
    </row>
    <row r="114" spans="1:5" x14ac:dyDescent="0.2">
      <c r="A114" s="12" t="s">
        <v>2165</v>
      </c>
      <c r="B114" s="17" t="s">
        <v>32</v>
      </c>
      <c r="C114" s="13" t="s">
        <v>2166</v>
      </c>
      <c r="D114" s="17" t="s">
        <v>2166</v>
      </c>
      <c r="E114" s="13" t="str">
        <f t="shared" si="8"/>
        <v>Nicht</v>
      </c>
    </row>
    <row r="115" spans="1:5" x14ac:dyDescent="0.2">
      <c r="A115" s="10"/>
      <c r="B115" s="34" t="s">
        <v>2166</v>
      </c>
      <c r="C115" s="37" t="s">
        <v>2166</v>
      </c>
      <c r="D115" s="34" t="s">
        <v>2166</v>
      </c>
    </row>
    <row r="116" spans="1:5" x14ac:dyDescent="0.2">
      <c r="A116" s="10"/>
      <c r="B116" s="34" t="s">
        <v>2166</v>
      </c>
      <c r="C116" s="37" t="s">
        <v>2166</v>
      </c>
      <c r="D116" s="34" t="s">
        <v>2166</v>
      </c>
    </row>
    <row r="117" spans="1:5" x14ac:dyDescent="0.2">
      <c r="A117" s="10"/>
      <c r="B117" s="34" t="s">
        <v>2166</v>
      </c>
      <c r="C117" s="37" t="s">
        <v>2166</v>
      </c>
      <c r="D117" s="34" t="s">
        <v>2166</v>
      </c>
    </row>
    <row r="118" spans="1:5" x14ac:dyDescent="0.2">
      <c r="A118" s="10"/>
      <c r="B118" s="34" t="s">
        <v>2166</v>
      </c>
      <c r="C118" s="37" t="s">
        <v>2166</v>
      </c>
      <c r="D118" s="34" t="s">
        <v>2166</v>
      </c>
    </row>
    <row r="119" spans="1:5" x14ac:dyDescent="0.2">
      <c r="A119" s="10"/>
      <c r="B119" s="34" t="s">
        <v>2166</v>
      </c>
      <c r="C119" s="37" t="s">
        <v>2166</v>
      </c>
      <c r="D119" s="34" t="s">
        <v>2166</v>
      </c>
    </row>
    <row r="120" spans="1:5" x14ac:dyDescent="0.2">
      <c r="A120" s="10"/>
      <c r="B120" s="34" t="s">
        <v>2166</v>
      </c>
      <c r="C120" s="37" t="s">
        <v>2166</v>
      </c>
      <c r="D120" s="34" t="s">
        <v>2166</v>
      </c>
    </row>
    <row r="121" spans="1:5" x14ac:dyDescent="0.2">
      <c r="A121" s="10"/>
      <c r="B121" s="34" t="s">
        <v>2166</v>
      </c>
      <c r="C121" s="37" t="s">
        <v>2166</v>
      </c>
      <c r="D121" s="34" t="s">
        <v>2166</v>
      </c>
    </row>
    <row r="122" spans="1:5" x14ac:dyDescent="0.2">
      <c r="A122" s="10"/>
      <c r="B122" s="34" t="s">
        <v>2166</v>
      </c>
      <c r="C122" s="37" t="s">
        <v>2166</v>
      </c>
      <c r="D122" s="34" t="s">
        <v>2166</v>
      </c>
    </row>
    <row r="123" spans="1:5" x14ac:dyDescent="0.2">
      <c r="A123" s="10"/>
      <c r="B123" s="34" t="s">
        <v>2166</v>
      </c>
      <c r="C123" s="37" t="s">
        <v>2166</v>
      </c>
      <c r="D123" s="34" t="s">
        <v>2166</v>
      </c>
    </row>
    <row r="124" spans="1:5" x14ac:dyDescent="0.2">
      <c r="A124" s="10"/>
      <c r="B124" s="34" t="s">
        <v>2166</v>
      </c>
      <c r="C124" s="37" t="s">
        <v>2166</v>
      </c>
      <c r="D124" s="34" t="s">
        <v>2166</v>
      </c>
    </row>
    <row r="125" spans="1:5" x14ac:dyDescent="0.2">
      <c r="A125" s="10"/>
      <c r="B125" s="34" t="s">
        <v>2166</v>
      </c>
      <c r="C125" s="37" t="s">
        <v>2166</v>
      </c>
      <c r="D125" s="34" t="s">
        <v>2166</v>
      </c>
    </row>
    <row r="126" spans="1:5" x14ac:dyDescent="0.2">
      <c r="A126" s="10"/>
      <c r="B126" s="34" t="s">
        <v>2166</v>
      </c>
      <c r="C126" s="37" t="s">
        <v>2166</v>
      </c>
      <c r="D126" s="34" t="s">
        <v>2166</v>
      </c>
    </row>
    <row r="127" spans="1:5" x14ac:dyDescent="0.2">
      <c r="A127" s="10"/>
      <c r="B127" s="34" t="s">
        <v>2166</v>
      </c>
      <c r="C127" s="37" t="s">
        <v>2166</v>
      </c>
      <c r="D127" s="34" t="s">
        <v>2166</v>
      </c>
    </row>
    <row r="128" spans="1:5" x14ac:dyDescent="0.2">
      <c r="A128" s="10"/>
      <c r="B128" s="34" t="s">
        <v>2166</v>
      </c>
      <c r="C128" s="37" t="s">
        <v>2166</v>
      </c>
      <c r="D128" s="34" t="s">
        <v>2166</v>
      </c>
    </row>
    <row r="129" spans="1:4" x14ac:dyDescent="0.2">
      <c r="A129" s="10"/>
      <c r="B129" s="34" t="s">
        <v>2166</v>
      </c>
      <c r="C129" s="37" t="s">
        <v>2166</v>
      </c>
      <c r="D129" s="34" t="s">
        <v>2166</v>
      </c>
    </row>
    <row r="130" spans="1:4" x14ac:dyDescent="0.2">
      <c r="A130" s="10"/>
      <c r="B130" s="34" t="s">
        <v>2166</v>
      </c>
      <c r="C130" s="37" t="s">
        <v>2166</v>
      </c>
      <c r="D130" s="34" t="s">
        <v>2166</v>
      </c>
    </row>
    <row r="131" spans="1:4" x14ac:dyDescent="0.2">
      <c r="A131" s="10"/>
      <c r="B131" s="34" t="s">
        <v>2166</v>
      </c>
      <c r="C131" s="37" t="s">
        <v>2166</v>
      </c>
      <c r="D131" s="34" t="s">
        <v>2166</v>
      </c>
    </row>
    <row r="132" spans="1:4" x14ac:dyDescent="0.2">
      <c r="A132" s="10"/>
      <c r="B132" s="34" t="s">
        <v>2166</v>
      </c>
      <c r="C132" s="37" t="s">
        <v>2166</v>
      </c>
      <c r="D132" s="34" t="s">
        <v>2166</v>
      </c>
    </row>
    <row r="133" spans="1:4" x14ac:dyDescent="0.2">
      <c r="A133" s="10"/>
      <c r="B133" s="34" t="s">
        <v>2166</v>
      </c>
      <c r="C133" s="37" t="s">
        <v>2166</v>
      </c>
      <c r="D133" s="34" t="s">
        <v>2166</v>
      </c>
    </row>
    <row r="134" spans="1:4" x14ac:dyDescent="0.2">
      <c r="A134" s="10"/>
      <c r="B134" s="34" t="s">
        <v>2166</v>
      </c>
      <c r="C134" s="37" t="s">
        <v>2166</v>
      </c>
      <c r="D134" s="34" t="s">
        <v>2166</v>
      </c>
    </row>
    <row r="135" spans="1:4" x14ac:dyDescent="0.2">
      <c r="A135" s="10"/>
      <c r="B135" s="34" t="s">
        <v>2166</v>
      </c>
      <c r="C135" s="37" t="s">
        <v>2166</v>
      </c>
      <c r="D135" s="34" t="s">
        <v>2166</v>
      </c>
    </row>
    <row r="136" spans="1:4" x14ac:dyDescent="0.2">
      <c r="A136" s="10"/>
      <c r="B136" s="34" t="s">
        <v>2166</v>
      </c>
      <c r="C136" s="37" t="s">
        <v>2166</v>
      </c>
      <c r="D136" s="34" t="s">
        <v>2166</v>
      </c>
    </row>
    <row r="137" spans="1:4" x14ac:dyDescent="0.2">
      <c r="A137" s="10"/>
      <c r="B137" s="34" t="s">
        <v>2166</v>
      </c>
      <c r="C137" s="37" t="s">
        <v>2166</v>
      </c>
      <c r="D137" s="34" t="s">
        <v>2166</v>
      </c>
    </row>
    <row r="138" spans="1:4" x14ac:dyDescent="0.2">
      <c r="A138" s="10"/>
      <c r="B138" s="34" t="s">
        <v>2166</v>
      </c>
      <c r="C138" s="37" t="s">
        <v>2166</v>
      </c>
      <c r="D138" s="34" t="s">
        <v>2166</v>
      </c>
    </row>
    <row r="139" spans="1:4" x14ac:dyDescent="0.2">
      <c r="A139" s="10"/>
      <c r="B139" s="34" t="s">
        <v>2166</v>
      </c>
      <c r="C139" s="37" t="s">
        <v>2166</v>
      </c>
      <c r="D139" s="34" t="s">
        <v>2166</v>
      </c>
    </row>
    <row r="140" spans="1:4" x14ac:dyDescent="0.2">
      <c r="A140" s="10"/>
      <c r="B140" s="34" t="s">
        <v>2166</v>
      </c>
      <c r="C140" s="37" t="s">
        <v>2166</v>
      </c>
      <c r="D140" s="34" t="s">
        <v>2166</v>
      </c>
    </row>
    <row r="141" spans="1:4" x14ac:dyDescent="0.2">
      <c r="A141" s="10"/>
      <c r="B141" s="34" t="s">
        <v>2166</v>
      </c>
      <c r="C141" s="37" t="s">
        <v>2166</v>
      </c>
      <c r="D141" s="34" t="s">
        <v>2166</v>
      </c>
    </row>
    <row r="142" spans="1:4" x14ac:dyDescent="0.2">
      <c r="A142" s="10"/>
      <c r="B142" s="34" t="s">
        <v>2166</v>
      </c>
      <c r="C142" s="37" t="s">
        <v>2166</v>
      </c>
      <c r="D142" s="34" t="s">
        <v>2166</v>
      </c>
    </row>
    <row r="143" spans="1:4" x14ac:dyDescent="0.2">
      <c r="A143" s="10"/>
      <c r="B143" s="34" t="s">
        <v>2166</v>
      </c>
      <c r="C143" s="37" t="s">
        <v>2166</v>
      </c>
      <c r="D143" s="34" t="s">
        <v>2166</v>
      </c>
    </row>
    <row r="144" spans="1:4" x14ac:dyDescent="0.2">
      <c r="A144" s="10"/>
      <c r="B144" s="34" t="s">
        <v>2166</v>
      </c>
      <c r="C144" s="37" t="s">
        <v>2166</v>
      </c>
      <c r="D144" s="34" t="s">
        <v>2166</v>
      </c>
    </row>
    <row r="145" spans="1:4" x14ac:dyDescent="0.2">
      <c r="A145" s="10"/>
      <c r="B145" s="34" t="s">
        <v>2166</v>
      </c>
      <c r="C145" s="37" t="s">
        <v>2166</v>
      </c>
      <c r="D145" s="34" t="s">
        <v>2166</v>
      </c>
    </row>
    <row r="146" spans="1:4" x14ac:dyDescent="0.2">
      <c r="A146" s="10"/>
      <c r="B146" s="34" t="s">
        <v>2166</v>
      </c>
      <c r="C146" s="37" t="s">
        <v>2166</v>
      </c>
      <c r="D146" s="34" t="s">
        <v>2166</v>
      </c>
    </row>
    <row r="147" spans="1:4" x14ac:dyDescent="0.2">
      <c r="A147" s="10"/>
      <c r="B147" s="34" t="s">
        <v>2166</v>
      </c>
      <c r="C147" s="37" t="s">
        <v>2166</v>
      </c>
      <c r="D147" s="34" t="s">
        <v>2166</v>
      </c>
    </row>
    <row r="148" spans="1:4" x14ac:dyDescent="0.2">
      <c r="A148" s="10"/>
      <c r="B148" s="34" t="s">
        <v>2166</v>
      </c>
      <c r="C148" s="37" t="s">
        <v>2166</v>
      </c>
      <c r="D148" s="34" t="s">
        <v>2166</v>
      </c>
    </row>
    <row r="149" spans="1:4" x14ac:dyDescent="0.2">
      <c r="A149" s="10"/>
      <c r="B149" s="34" t="s">
        <v>2166</v>
      </c>
      <c r="C149" s="37" t="s">
        <v>2166</v>
      </c>
      <c r="D149" s="34" t="s">
        <v>2166</v>
      </c>
    </row>
    <row r="150" spans="1:4" x14ac:dyDescent="0.2">
      <c r="A150" s="10"/>
      <c r="B150" s="34" t="s">
        <v>2166</v>
      </c>
      <c r="C150" s="37" t="s">
        <v>2166</v>
      </c>
      <c r="D150" s="34" t="s">
        <v>2166</v>
      </c>
    </row>
    <row r="151" spans="1:4" x14ac:dyDescent="0.2">
      <c r="A151" s="10"/>
      <c r="B151" s="34" t="s">
        <v>2166</v>
      </c>
      <c r="C151" s="37" t="s">
        <v>2166</v>
      </c>
      <c r="D151" s="34" t="s">
        <v>2166</v>
      </c>
    </row>
    <row r="152" spans="1:4" x14ac:dyDescent="0.2">
      <c r="A152" s="10"/>
      <c r="B152" s="34" t="s">
        <v>2166</v>
      </c>
      <c r="C152" s="37" t="s">
        <v>2166</v>
      </c>
      <c r="D152" s="34" t="s">
        <v>2166</v>
      </c>
    </row>
    <row r="153" spans="1:4" x14ac:dyDescent="0.2">
      <c r="A153" s="10"/>
      <c r="B153" s="34" t="s">
        <v>2166</v>
      </c>
      <c r="C153" s="37" t="s">
        <v>2166</v>
      </c>
      <c r="D153" s="34" t="s">
        <v>2166</v>
      </c>
    </row>
    <row r="154" spans="1:4" x14ac:dyDescent="0.2">
      <c r="A154" s="10"/>
      <c r="B154" s="34" t="s">
        <v>2166</v>
      </c>
      <c r="C154" s="37" t="s">
        <v>2166</v>
      </c>
      <c r="D154" s="34" t="s">
        <v>2166</v>
      </c>
    </row>
    <row r="155" spans="1:4" x14ac:dyDescent="0.2">
      <c r="A155" s="10"/>
      <c r="B155" s="34" t="s">
        <v>2166</v>
      </c>
      <c r="C155" s="37" t="s">
        <v>2166</v>
      </c>
      <c r="D155" s="34" t="s">
        <v>2166</v>
      </c>
    </row>
    <row r="156" spans="1:4" x14ac:dyDescent="0.2">
      <c r="A156" s="10"/>
      <c r="B156" s="34" t="s">
        <v>2166</v>
      </c>
      <c r="C156" s="37" t="s">
        <v>2166</v>
      </c>
      <c r="D156" s="34" t="s">
        <v>2166</v>
      </c>
    </row>
    <row r="157" spans="1:4" x14ac:dyDescent="0.2">
      <c r="A157" s="10"/>
      <c r="B157" s="34" t="s">
        <v>2166</v>
      </c>
      <c r="C157" s="37" t="s">
        <v>2166</v>
      </c>
      <c r="D157" s="34" t="s">
        <v>2166</v>
      </c>
    </row>
    <row r="158" spans="1:4" x14ac:dyDescent="0.2">
      <c r="A158" s="10"/>
      <c r="B158" s="34" t="s">
        <v>2166</v>
      </c>
      <c r="C158" s="37" t="s">
        <v>2166</v>
      </c>
      <c r="D158" s="34" t="s">
        <v>2166</v>
      </c>
    </row>
    <row r="159" spans="1:4" x14ac:dyDescent="0.2">
      <c r="A159" s="10"/>
      <c r="B159" s="34" t="s">
        <v>2166</v>
      </c>
      <c r="C159" s="37" t="s">
        <v>2166</v>
      </c>
      <c r="D159" s="34" t="s">
        <v>2166</v>
      </c>
    </row>
    <row r="160" spans="1:4" x14ac:dyDescent="0.2">
      <c r="A160" s="10"/>
      <c r="B160" s="34" t="s">
        <v>2166</v>
      </c>
      <c r="C160" s="37" t="s">
        <v>2166</v>
      </c>
      <c r="D160" s="34" t="s">
        <v>2166</v>
      </c>
    </row>
    <row r="161" spans="1:4" x14ac:dyDescent="0.2">
      <c r="A161" s="10"/>
      <c r="B161" s="34" t="s">
        <v>2166</v>
      </c>
      <c r="C161" s="37" t="s">
        <v>2166</v>
      </c>
      <c r="D161" s="34" t="s">
        <v>2166</v>
      </c>
    </row>
    <row r="162" spans="1:4" x14ac:dyDescent="0.2">
      <c r="A162" s="10"/>
      <c r="B162" s="34" t="s">
        <v>2166</v>
      </c>
      <c r="C162" s="37" t="s">
        <v>2166</v>
      </c>
      <c r="D162" s="34" t="s">
        <v>2166</v>
      </c>
    </row>
    <row r="163" spans="1:4" x14ac:dyDescent="0.2">
      <c r="A163" s="10"/>
      <c r="B163" s="34" t="s">
        <v>2166</v>
      </c>
      <c r="C163" s="37" t="s">
        <v>2166</v>
      </c>
      <c r="D163" s="34" t="s">
        <v>2166</v>
      </c>
    </row>
    <row r="164" spans="1:4" x14ac:dyDescent="0.2">
      <c r="A164" s="10"/>
      <c r="B164" s="34" t="s">
        <v>2166</v>
      </c>
      <c r="C164" s="37" t="s">
        <v>2166</v>
      </c>
      <c r="D164" s="34" t="s">
        <v>2166</v>
      </c>
    </row>
    <row r="165" spans="1:4" x14ac:dyDescent="0.2">
      <c r="A165" s="10"/>
      <c r="B165" s="34" t="s">
        <v>2166</v>
      </c>
      <c r="C165" s="37" t="s">
        <v>2166</v>
      </c>
      <c r="D165" s="34" t="s">
        <v>2166</v>
      </c>
    </row>
    <row r="166" spans="1:4" x14ac:dyDescent="0.2">
      <c r="A166" s="10"/>
      <c r="B166" s="34" t="s">
        <v>2166</v>
      </c>
      <c r="C166" s="37" t="s">
        <v>2166</v>
      </c>
      <c r="D166" s="34" t="s">
        <v>2166</v>
      </c>
    </row>
    <row r="167" spans="1:4" x14ac:dyDescent="0.2">
      <c r="A167" s="10"/>
      <c r="B167" s="34" t="s">
        <v>2166</v>
      </c>
      <c r="C167" s="37" t="s">
        <v>2166</v>
      </c>
      <c r="D167" s="34" t="s">
        <v>2166</v>
      </c>
    </row>
    <row r="168" spans="1:4" x14ac:dyDescent="0.2">
      <c r="A168" s="10"/>
      <c r="B168" s="34" t="s">
        <v>2166</v>
      </c>
      <c r="C168" s="37" t="s">
        <v>2166</v>
      </c>
      <c r="D168" s="34" t="s">
        <v>2166</v>
      </c>
    </row>
    <row r="169" spans="1:4" x14ac:dyDescent="0.2">
      <c r="A169" s="10"/>
      <c r="B169" s="34" t="s">
        <v>2166</v>
      </c>
      <c r="C169" s="37" t="s">
        <v>2166</v>
      </c>
      <c r="D169" s="34" t="s">
        <v>2166</v>
      </c>
    </row>
    <row r="170" spans="1:4" x14ac:dyDescent="0.2">
      <c r="A170" s="10"/>
      <c r="B170" s="34" t="s">
        <v>2166</v>
      </c>
      <c r="C170" s="37" t="s">
        <v>2166</v>
      </c>
      <c r="D170" s="34" t="s">
        <v>2166</v>
      </c>
    </row>
    <row r="171" spans="1:4" x14ac:dyDescent="0.2">
      <c r="A171" s="10"/>
      <c r="B171" s="34" t="s">
        <v>2166</v>
      </c>
      <c r="C171" s="37" t="s">
        <v>2166</v>
      </c>
      <c r="D171" s="34" t="s">
        <v>2166</v>
      </c>
    </row>
    <row r="172" spans="1:4" x14ac:dyDescent="0.2">
      <c r="A172" s="10"/>
      <c r="B172" s="34" t="s">
        <v>2166</v>
      </c>
      <c r="C172" s="37" t="s">
        <v>2166</v>
      </c>
      <c r="D172" s="34" t="s">
        <v>2166</v>
      </c>
    </row>
    <row r="173" spans="1:4" x14ac:dyDescent="0.2">
      <c r="A173" s="10"/>
      <c r="B173" s="34" t="s">
        <v>2166</v>
      </c>
      <c r="C173" s="37" t="s">
        <v>2166</v>
      </c>
      <c r="D173" s="34" t="s">
        <v>2166</v>
      </c>
    </row>
    <row r="174" spans="1:4" x14ac:dyDescent="0.2">
      <c r="A174" s="10"/>
      <c r="B174" s="34" t="s">
        <v>2166</v>
      </c>
      <c r="C174" s="37" t="s">
        <v>2166</v>
      </c>
      <c r="D174" s="34" t="s">
        <v>2166</v>
      </c>
    </row>
    <row r="175" spans="1:4" x14ac:dyDescent="0.2">
      <c r="A175" s="10"/>
      <c r="B175" s="34" t="s">
        <v>2166</v>
      </c>
      <c r="C175" s="37" t="s">
        <v>2166</v>
      </c>
      <c r="D175" s="34" t="s">
        <v>2166</v>
      </c>
    </row>
    <row r="176" spans="1:4" x14ac:dyDescent="0.2">
      <c r="A176" s="10"/>
      <c r="B176" s="34" t="s">
        <v>2166</v>
      </c>
      <c r="C176" s="37" t="s">
        <v>2166</v>
      </c>
      <c r="D176" s="34" t="s">
        <v>2166</v>
      </c>
    </row>
    <row r="177" spans="1:4" x14ac:dyDescent="0.2">
      <c r="A177" s="10"/>
      <c r="B177" s="34" t="s">
        <v>2166</v>
      </c>
      <c r="C177" s="37" t="s">
        <v>2166</v>
      </c>
      <c r="D177" s="34" t="s">
        <v>2166</v>
      </c>
    </row>
    <row r="178" spans="1:4" x14ac:dyDescent="0.2">
      <c r="A178" s="10"/>
      <c r="B178" s="34" t="s">
        <v>2166</v>
      </c>
      <c r="C178" s="37" t="s">
        <v>2166</v>
      </c>
      <c r="D178" s="34" t="s">
        <v>2166</v>
      </c>
    </row>
    <row r="179" spans="1:4" x14ac:dyDescent="0.2">
      <c r="A179" s="10"/>
      <c r="B179" s="34" t="s">
        <v>2166</v>
      </c>
      <c r="C179" s="37" t="s">
        <v>2166</v>
      </c>
      <c r="D179" s="34" t="s">
        <v>2166</v>
      </c>
    </row>
    <row r="180" spans="1:4" x14ac:dyDescent="0.2">
      <c r="A180" s="10"/>
      <c r="B180" s="34" t="s">
        <v>2166</v>
      </c>
      <c r="C180" s="37" t="s">
        <v>2166</v>
      </c>
      <c r="D180" s="34" t="s">
        <v>2166</v>
      </c>
    </row>
    <row r="181" spans="1:4" x14ac:dyDescent="0.2">
      <c r="A181" s="10"/>
      <c r="B181" s="34" t="s">
        <v>2166</v>
      </c>
      <c r="C181" s="37" t="s">
        <v>2166</v>
      </c>
      <c r="D181" s="34" t="s">
        <v>2166</v>
      </c>
    </row>
    <row r="182" spans="1:4" x14ac:dyDescent="0.2">
      <c r="A182" s="10"/>
      <c r="B182" s="34" t="s">
        <v>2166</v>
      </c>
      <c r="C182" s="37" t="s">
        <v>2166</v>
      </c>
      <c r="D182" s="34" t="s">
        <v>2166</v>
      </c>
    </row>
    <row r="183" spans="1:4" x14ac:dyDescent="0.2">
      <c r="A183" s="10"/>
      <c r="B183" s="34" t="s">
        <v>2166</v>
      </c>
      <c r="C183" s="37" t="s">
        <v>2166</v>
      </c>
      <c r="D183" s="34" t="s">
        <v>2166</v>
      </c>
    </row>
    <row r="184" spans="1:4" x14ac:dyDescent="0.2">
      <c r="A184" s="10"/>
      <c r="B184" s="34" t="s">
        <v>2166</v>
      </c>
      <c r="C184" s="37" t="s">
        <v>2166</v>
      </c>
      <c r="D184" s="34" t="s">
        <v>2166</v>
      </c>
    </row>
    <row r="185" spans="1:4" x14ac:dyDescent="0.2">
      <c r="A185" s="10"/>
      <c r="B185" s="34" t="s">
        <v>2166</v>
      </c>
      <c r="C185" s="37" t="s">
        <v>2166</v>
      </c>
      <c r="D185" s="34" t="s">
        <v>2166</v>
      </c>
    </row>
    <row r="186" spans="1:4" x14ac:dyDescent="0.2">
      <c r="A186" s="10"/>
      <c r="B186" s="34" t="s">
        <v>2166</v>
      </c>
      <c r="C186" s="37" t="s">
        <v>2166</v>
      </c>
      <c r="D186" s="34" t="s">
        <v>2166</v>
      </c>
    </row>
    <row r="187" spans="1:4" x14ac:dyDescent="0.2">
      <c r="A187" s="10"/>
      <c r="B187" s="34" t="s">
        <v>2166</v>
      </c>
      <c r="C187" s="37" t="s">
        <v>2166</v>
      </c>
      <c r="D187" s="34" t="s">
        <v>2166</v>
      </c>
    </row>
    <row r="188" spans="1:4" x14ac:dyDescent="0.2">
      <c r="A188" s="10"/>
      <c r="B188" s="34" t="s">
        <v>2166</v>
      </c>
      <c r="C188" s="37" t="s">
        <v>2166</v>
      </c>
      <c r="D188" s="34" t="s">
        <v>2166</v>
      </c>
    </row>
    <row r="189" spans="1:4" x14ac:dyDescent="0.2">
      <c r="A189" s="10"/>
      <c r="B189" s="34" t="s">
        <v>2166</v>
      </c>
      <c r="C189" s="37" t="s">
        <v>2166</v>
      </c>
      <c r="D189" s="34" t="s">
        <v>2166</v>
      </c>
    </row>
    <row r="190" spans="1:4" x14ac:dyDescent="0.2">
      <c r="A190" s="10"/>
      <c r="B190" s="34" t="s">
        <v>2166</v>
      </c>
      <c r="C190" s="37" t="s">
        <v>2166</v>
      </c>
      <c r="D190" s="34" t="s">
        <v>2166</v>
      </c>
    </row>
    <row r="191" spans="1:4" x14ac:dyDescent="0.2">
      <c r="A191" s="10"/>
      <c r="B191" s="34" t="s">
        <v>2166</v>
      </c>
      <c r="C191" s="37" t="s">
        <v>2166</v>
      </c>
      <c r="D191" s="34" t="s">
        <v>2166</v>
      </c>
    </row>
    <row r="192" spans="1:4" x14ac:dyDescent="0.2">
      <c r="A192" s="10"/>
      <c r="B192" s="34" t="s">
        <v>2166</v>
      </c>
      <c r="C192" s="37" t="s">
        <v>2166</v>
      </c>
      <c r="D192" s="34" t="s">
        <v>2166</v>
      </c>
    </row>
    <row r="193" spans="1:4" x14ac:dyDescent="0.2">
      <c r="A193" s="10"/>
      <c r="B193" s="34" t="s">
        <v>2166</v>
      </c>
      <c r="C193" s="37" t="s">
        <v>2166</v>
      </c>
      <c r="D193" s="34" t="s">
        <v>2166</v>
      </c>
    </row>
    <row r="194" spans="1:4" x14ac:dyDescent="0.2">
      <c r="A194" s="10"/>
      <c r="B194" s="34" t="s">
        <v>2166</v>
      </c>
      <c r="C194" s="37" t="s">
        <v>2166</v>
      </c>
      <c r="D194" s="34" t="s">
        <v>2166</v>
      </c>
    </row>
    <row r="195" spans="1:4" x14ac:dyDescent="0.2">
      <c r="A195" s="10"/>
      <c r="B195" s="34" t="s">
        <v>2166</v>
      </c>
      <c r="C195" s="37" t="s">
        <v>2166</v>
      </c>
      <c r="D195" s="34" t="s">
        <v>2166</v>
      </c>
    </row>
    <row r="196" spans="1:4" x14ac:dyDescent="0.2">
      <c r="A196" s="10"/>
      <c r="B196" s="34" t="s">
        <v>2166</v>
      </c>
      <c r="C196" s="37" t="s">
        <v>2166</v>
      </c>
      <c r="D196" s="34" t="s">
        <v>2166</v>
      </c>
    </row>
    <row r="197" spans="1:4" x14ac:dyDescent="0.2">
      <c r="A197" s="10"/>
      <c r="B197" s="34" t="s">
        <v>2166</v>
      </c>
      <c r="C197" s="37" t="s">
        <v>2166</v>
      </c>
      <c r="D197" s="34" t="s">
        <v>2166</v>
      </c>
    </row>
    <row r="198" spans="1:4" x14ac:dyDescent="0.2">
      <c r="A198" s="10"/>
      <c r="B198" s="34" t="s">
        <v>2166</v>
      </c>
      <c r="C198" s="37" t="s">
        <v>2166</v>
      </c>
      <c r="D198" s="34" t="s">
        <v>2166</v>
      </c>
    </row>
    <row r="199" spans="1:4" x14ac:dyDescent="0.2">
      <c r="A199" s="10"/>
      <c r="B199" s="34" t="s">
        <v>2166</v>
      </c>
      <c r="C199" s="37" t="s">
        <v>2166</v>
      </c>
      <c r="D199" s="34" t="s">
        <v>2166</v>
      </c>
    </row>
    <row r="200" spans="1:4" x14ac:dyDescent="0.2">
      <c r="A200" s="10"/>
      <c r="B200" s="34" t="s">
        <v>2166</v>
      </c>
      <c r="C200" s="37" t="s">
        <v>2166</v>
      </c>
      <c r="D200" s="34" t="s">
        <v>2166</v>
      </c>
    </row>
    <row r="201" spans="1:4" x14ac:dyDescent="0.2">
      <c r="A201" s="10"/>
      <c r="B201" s="34" t="s">
        <v>2166</v>
      </c>
      <c r="C201" s="37" t="s">
        <v>2166</v>
      </c>
      <c r="D201" s="34" t="s">
        <v>2166</v>
      </c>
    </row>
    <row r="202" spans="1:4" x14ac:dyDescent="0.2">
      <c r="A202" s="10"/>
      <c r="B202" s="34" t="s">
        <v>2166</v>
      </c>
      <c r="C202" s="37" t="s">
        <v>2166</v>
      </c>
      <c r="D202" s="34" t="s">
        <v>2166</v>
      </c>
    </row>
    <row r="203" spans="1:4" x14ac:dyDescent="0.2">
      <c r="A203" s="10"/>
      <c r="B203" s="34" t="s">
        <v>2166</v>
      </c>
      <c r="C203" s="37" t="s">
        <v>2166</v>
      </c>
      <c r="D203" s="34" t="s">
        <v>2166</v>
      </c>
    </row>
    <row r="204" spans="1:4" x14ac:dyDescent="0.2">
      <c r="A204" s="10"/>
      <c r="B204" s="34" t="s">
        <v>2166</v>
      </c>
      <c r="C204" s="37" t="s">
        <v>2166</v>
      </c>
      <c r="D204" s="34" t="s">
        <v>2166</v>
      </c>
    </row>
    <row r="205" spans="1:4" x14ac:dyDescent="0.2">
      <c r="A205" s="10"/>
      <c r="B205" s="34" t="s">
        <v>2166</v>
      </c>
      <c r="C205" s="37" t="s">
        <v>2166</v>
      </c>
      <c r="D205" s="34" t="s">
        <v>2166</v>
      </c>
    </row>
    <row r="206" spans="1:4" x14ac:dyDescent="0.2">
      <c r="A206" s="10"/>
      <c r="B206" s="34" t="s">
        <v>2166</v>
      </c>
      <c r="C206" s="37" t="s">
        <v>2166</v>
      </c>
      <c r="D206" s="34" t="s">
        <v>2166</v>
      </c>
    </row>
    <row r="207" spans="1:4" x14ac:dyDescent="0.2">
      <c r="A207" s="10"/>
      <c r="B207" s="34" t="s">
        <v>2166</v>
      </c>
      <c r="C207" s="37" t="s">
        <v>2166</v>
      </c>
      <c r="D207" s="34" t="s">
        <v>2166</v>
      </c>
    </row>
    <row r="208" spans="1:4" x14ac:dyDescent="0.2">
      <c r="A208" s="10"/>
      <c r="B208" s="34" t="s">
        <v>2166</v>
      </c>
      <c r="C208" s="37" t="s">
        <v>2166</v>
      </c>
      <c r="D208" s="34" t="s">
        <v>2166</v>
      </c>
    </row>
    <row r="209" spans="1:4" x14ac:dyDescent="0.2">
      <c r="A209" s="10"/>
      <c r="B209" s="34" t="s">
        <v>2166</v>
      </c>
      <c r="C209" s="37" t="s">
        <v>2166</v>
      </c>
      <c r="D209" s="34" t="s">
        <v>2166</v>
      </c>
    </row>
    <row r="210" spans="1:4" x14ac:dyDescent="0.2">
      <c r="A210" s="10"/>
      <c r="B210" s="34" t="s">
        <v>2166</v>
      </c>
      <c r="C210" s="37" t="s">
        <v>2166</v>
      </c>
      <c r="D210" s="34" t="s">
        <v>2166</v>
      </c>
    </row>
    <row r="211" spans="1:4" x14ac:dyDescent="0.2">
      <c r="A211" s="10"/>
      <c r="B211" s="34" t="s">
        <v>2166</v>
      </c>
      <c r="C211" s="37" t="s">
        <v>2166</v>
      </c>
      <c r="D211" s="34" t="s">
        <v>2166</v>
      </c>
    </row>
    <row r="212" spans="1:4" x14ac:dyDescent="0.2">
      <c r="A212" s="10"/>
      <c r="B212" s="34" t="s">
        <v>2166</v>
      </c>
      <c r="C212" s="37" t="s">
        <v>2166</v>
      </c>
      <c r="D212" s="34" t="s">
        <v>2166</v>
      </c>
    </row>
    <row r="213" spans="1:4" x14ac:dyDescent="0.2">
      <c r="A213" s="10"/>
      <c r="B213" s="34" t="s">
        <v>2166</v>
      </c>
      <c r="C213" s="37" t="s">
        <v>2166</v>
      </c>
      <c r="D213" s="34" t="s">
        <v>2166</v>
      </c>
    </row>
    <row r="214" spans="1:4" x14ac:dyDescent="0.2">
      <c r="A214" s="10"/>
      <c r="B214" s="34" t="s">
        <v>2166</v>
      </c>
      <c r="C214" s="37" t="s">
        <v>2166</v>
      </c>
      <c r="D214" s="34" t="s">
        <v>2166</v>
      </c>
    </row>
    <row r="215" spans="1:4" x14ac:dyDescent="0.2">
      <c r="A215" s="10"/>
      <c r="B215" s="34" t="s">
        <v>2166</v>
      </c>
      <c r="C215" s="37" t="s">
        <v>2166</v>
      </c>
      <c r="D215" s="34" t="s">
        <v>2166</v>
      </c>
    </row>
    <row r="216" spans="1:4" x14ac:dyDescent="0.2">
      <c r="A216" s="10"/>
      <c r="B216" s="34" t="s">
        <v>2166</v>
      </c>
      <c r="C216" s="37" t="s">
        <v>2166</v>
      </c>
      <c r="D216" s="34" t="s">
        <v>2166</v>
      </c>
    </row>
    <row r="217" spans="1:4" x14ac:dyDescent="0.2">
      <c r="A217" s="10"/>
      <c r="B217" s="34" t="s">
        <v>2166</v>
      </c>
      <c r="C217" s="37" t="s">
        <v>2166</v>
      </c>
      <c r="D217" s="34" t="s">
        <v>2166</v>
      </c>
    </row>
    <row r="218" spans="1:4" x14ac:dyDescent="0.2">
      <c r="A218" s="10"/>
      <c r="B218" s="34" t="s">
        <v>2166</v>
      </c>
      <c r="C218" s="37" t="s">
        <v>2166</v>
      </c>
      <c r="D218" s="34" t="s">
        <v>2166</v>
      </c>
    </row>
    <row r="219" spans="1:4" x14ac:dyDescent="0.2">
      <c r="A219" s="10"/>
      <c r="B219" s="34" t="s">
        <v>2166</v>
      </c>
      <c r="C219" s="37" t="s">
        <v>2166</v>
      </c>
      <c r="D219" s="34" t="s">
        <v>2166</v>
      </c>
    </row>
    <row r="220" spans="1:4" x14ac:dyDescent="0.2">
      <c r="A220" s="10"/>
      <c r="B220" s="34" t="s">
        <v>2166</v>
      </c>
      <c r="C220" s="37" t="s">
        <v>2166</v>
      </c>
      <c r="D220" s="34" t="s">
        <v>2166</v>
      </c>
    </row>
    <row r="221" spans="1:4" x14ac:dyDescent="0.2">
      <c r="A221" s="10"/>
      <c r="B221" s="34" t="s">
        <v>2166</v>
      </c>
      <c r="C221" s="37" t="s">
        <v>2166</v>
      </c>
      <c r="D221" s="34" t="s">
        <v>2166</v>
      </c>
    </row>
    <row r="222" spans="1:4" x14ac:dyDescent="0.2">
      <c r="A222" s="10"/>
      <c r="B222" s="34" t="s">
        <v>2166</v>
      </c>
      <c r="C222" s="37" t="s">
        <v>2166</v>
      </c>
      <c r="D222" s="34" t="s">
        <v>2166</v>
      </c>
    </row>
    <row r="223" spans="1:4" x14ac:dyDescent="0.2">
      <c r="A223" s="10"/>
      <c r="B223" s="34" t="s">
        <v>2166</v>
      </c>
      <c r="C223" s="37" t="s">
        <v>2166</v>
      </c>
      <c r="D223" s="34" t="s">
        <v>2166</v>
      </c>
    </row>
    <row r="224" spans="1:4" x14ac:dyDescent="0.2">
      <c r="A224" s="10"/>
      <c r="B224" s="34" t="s">
        <v>2166</v>
      </c>
      <c r="C224" s="37" t="s">
        <v>2166</v>
      </c>
      <c r="D224" s="34" t="s">
        <v>2166</v>
      </c>
    </row>
    <row r="225" spans="1:4" x14ac:dyDescent="0.2">
      <c r="A225" s="10"/>
      <c r="B225" s="34" t="s">
        <v>2166</v>
      </c>
      <c r="C225" s="37" t="s">
        <v>2166</v>
      </c>
      <c r="D225" s="34" t="s">
        <v>2166</v>
      </c>
    </row>
    <row r="226" spans="1:4" x14ac:dyDescent="0.2">
      <c r="A226" s="10"/>
      <c r="B226" s="34" t="s">
        <v>2166</v>
      </c>
      <c r="C226" s="37" t="s">
        <v>2166</v>
      </c>
      <c r="D226" s="34" t="s">
        <v>2166</v>
      </c>
    </row>
    <row r="227" spans="1:4" x14ac:dyDescent="0.2">
      <c r="A227" s="10"/>
      <c r="B227" s="34" t="s">
        <v>2166</v>
      </c>
      <c r="C227" s="37" t="s">
        <v>2166</v>
      </c>
      <c r="D227" s="34" t="s">
        <v>2166</v>
      </c>
    </row>
    <row r="228" spans="1:4" x14ac:dyDescent="0.2">
      <c r="A228" s="10"/>
      <c r="B228" s="34" t="s">
        <v>2166</v>
      </c>
      <c r="C228" s="37" t="s">
        <v>2166</v>
      </c>
      <c r="D228" s="34" t="s">
        <v>2166</v>
      </c>
    </row>
    <row r="229" spans="1:4" x14ac:dyDescent="0.2">
      <c r="A229" s="10"/>
      <c r="B229" s="34" t="s">
        <v>2166</v>
      </c>
      <c r="C229" s="37" t="s">
        <v>2166</v>
      </c>
      <c r="D229" s="34" t="s">
        <v>2166</v>
      </c>
    </row>
    <row r="230" spans="1:4" x14ac:dyDescent="0.2">
      <c r="A230" s="10"/>
      <c r="B230" s="34" t="s">
        <v>2166</v>
      </c>
      <c r="C230" s="37" t="s">
        <v>2166</v>
      </c>
      <c r="D230" s="34" t="s">
        <v>2166</v>
      </c>
    </row>
    <row r="231" spans="1:4" x14ac:dyDescent="0.2">
      <c r="A231" s="10"/>
      <c r="B231" s="34" t="s">
        <v>2166</v>
      </c>
      <c r="C231" s="37" t="s">
        <v>2166</v>
      </c>
      <c r="D231" s="34" t="s">
        <v>2166</v>
      </c>
    </row>
    <row r="232" spans="1:4" x14ac:dyDescent="0.2">
      <c r="A232" s="10"/>
      <c r="B232" s="34" t="s">
        <v>2166</v>
      </c>
      <c r="C232" s="37" t="s">
        <v>2166</v>
      </c>
      <c r="D232" s="34" t="s">
        <v>2166</v>
      </c>
    </row>
    <row r="233" spans="1:4" x14ac:dyDescent="0.2">
      <c r="A233" s="10"/>
      <c r="B233" s="34" t="s">
        <v>2166</v>
      </c>
      <c r="C233" s="37" t="s">
        <v>2166</v>
      </c>
      <c r="D233" s="34" t="s">
        <v>2166</v>
      </c>
    </row>
    <row r="234" spans="1:4" x14ac:dyDescent="0.2">
      <c r="A234" s="10"/>
      <c r="B234" s="34" t="s">
        <v>2166</v>
      </c>
      <c r="C234" s="37" t="s">
        <v>2166</v>
      </c>
      <c r="D234" s="34" t="s">
        <v>2166</v>
      </c>
    </row>
    <row r="235" spans="1:4" x14ac:dyDescent="0.2">
      <c r="A235" s="10"/>
      <c r="B235" s="34" t="s">
        <v>2166</v>
      </c>
      <c r="C235" s="37" t="s">
        <v>2166</v>
      </c>
      <c r="D235" s="34" t="s">
        <v>2166</v>
      </c>
    </row>
    <row r="236" spans="1:4" x14ac:dyDescent="0.2">
      <c r="A236" s="10"/>
      <c r="B236" s="34" t="s">
        <v>2166</v>
      </c>
      <c r="C236" s="37" t="s">
        <v>2166</v>
      </c>
      <c r="D236" s="34" t="s">
        <v>2166</v>
      </c>
    </row>
    <row r="237" spans="1:4" x14ac:dyDescent="0.2">
      <c r="A237" s="10"/>
      <c r="B237" s="34" t="s">
        <v>2166</v>
      </c>
      <c r="C237" s="37" t="s">
        <v>2166</v>
      </c>
      <c r="D237" s="34" t="s">
        <v>2166</v>
      </c>
    </row>
    <row r="238" spans="1:4" x14ac:dyDescent="0.2">
      <c r="A238" s="10"/>
      <c r="B238" s="34" t="s">
        <v>2166</v>
      </c>
      <c r="C238" s="37" t="s">
        <v>2166</v>
      </c>
      <c r="D238" s="34" t="s">
        <v>2166</v>
      </c>
    </row>
    <row r="239" spans="1:4" x14ac:dyDescent="0.2">
      <c r="A239" s="10"/>
      <c r="B239" s="34" t="s">
        <v>2166</v>
      </c>
      <c r="C239" s="37" t="s">
        <v>2166</v>
      </c>
      <c r="D239" s="34" t="s">
        <v>2166</v>
      </c>
    </row>
    <row r="240" spans="1:4" x14ac:dyDescent="0.2">
      <c r="A240" s="12"/>
      <c r="B240" s="34" t="s">
        <v>2166</v>
      </c>
      <c r="C240" s="37" t="s">
        <v>2166</v>
      </c>
      <c r="D240" s="34" t="s">
        <v>2166</v>
      </c>
    </row>
    <row r="241" spans="2:4" x14ac:dyDescent="0.2">
      <c r="B241" s="34" t="s">
        <v>2166</v>
      </c>
      <c r="C241" s="37" t="s">
        <v>2166</v>
      </c>
      <c r="D241" s="34" t="s">
        <v>2166</v>
      </c>
    </row>
    <row r="242" spans="2:4" x14ac:dyDescent="0.2">
      <c r="B242" s="34" t="s">
        <v>2166</v>
      </c>
      <c r="C242" s="37" t="s">
        <v>2166</v>
      </c>
      <c r="D242" s="34" t="s">
        <v>2166</v>
      </c>
    </row>
    <row r="243" spans="2:4" x14ac:dyDescent="0.2">
      <c r="B243" s="34" t="s">
        <v>2166</v>
      </c>
      <c r="C243" s="37" t="s">
        <v>2166</v>
      </c>
      <c r="D243" s="34" t="s">
        <v>2166</v>
      </c>
    </row>
    <row r="244" spans="2:4" x14ac:dyDescent="0.2">
      <c r="B244" s="34" t="s">
        <v>2166</v>
      </c>
      <c r="C244" s="37" t="s">
        <v>2166</v>
      </c>
      <c r="D244" s="34" t="s">
        <v>2166</v>
      </c>
    </row>
    <row r="245" spans="2:4" x14ac:dyDescent="0.2">
      <c r="B245" s="34" t="s">
        <v>2166</v>
      </c>
      <c r="C245" s="37" t="s">
        <v>2166</v>
      </c>
      <c r="D245" s="34" t="s">
        <v>2166</v>
      </c>
    </row>
    <row r="246" spans="2:4" x14ac:dyDescent="0.2">
      <c r="B246" s="34" t="s">
        <v>2166</v>
      </c>
      <c r="C246" s="37" t="s">
        <v>2166</v>
      </c>
      <c r="D246" s="34" t="s">
        <v>2166</v>
      </c>
    </row>
    <row r="247" spans="2:4" x14ac:dyDescent="0.2">
      <c r="B247" s="34" t="s">
        <v>2166</v>
      </c>
      <c r="C247" s="37" t="s">
        <v>2166</v>
      </c>
      <c r="D247" s="34" t="s">
        <v>2166</v>
      </c>
    </row>
    <row r="248" spans="2:4" x14ac:dyDescent="0.2">
      <c r="B248" s="34" t="s">
        <v>2166</v>
      </c>
      <c r="C248" s="37" t="s">
        <v>2166</v>
      </c>
      <c r="D248" s="34" t="s">
        <v>2166</v>
      </c>
    </row>
    <row r="249" spans="2:4" x14ac:dyDescent="0.2">
      <c r="B249" s="34" t="s">
        <v>2166</v>
      </c>
      <c r="C249" s="38" t="s">
        <v>2166</v>
      </c>
      <c r="D249" s="34" t="s">
        <v>2166</v>
      </c>
    </row>
    <row r="250" spans="2:4" x14ac:dyDescent="0.2">
      <c r="B250" s="34" t="s">
        <v>2166</v>
      </c>
      <c r="D250" t="s">
        <v>2166</v>
      </c>
    </row>
    <row r="251" spans="2:4" x14ac:dyDescent="0.2">
      <c r="B251" s="34" t="s">
        <v>2166</v>
      </c>
      <c r="D251" t="s">
        <v>2166</v>
      </c>
    </row>
    <row r="252" spans="2:4" x14ac:dyDescent="0.2">
      <c r="B252" s="34" t="s">
        <v>2166</v>
      </c>
      <c r="D252" t="s">
        <v>2166</v>
      </c>
    </row>
    <row r="253" spans="2:4" x14ac:dyDescent="0.2">
      <c r="B253" s="34" t="s">
        <v>2166</v>
      </c>
      <c r="D253" t="s">
        <v>2166</v>
      </c>
    </row>
    <row r="254" spans="2:4" x14ac:dyDescent="0.2">
      <c r="B254" s="34" t="s">
        <v>2166</v>
      </c>
      <c r="D254" t="s">
        <v>2166</v>
      </c>
    </row>
    <row r="255" spans="2:4" x14ac:dyDescent="0.2">
      <c r="B255" s="34" t="s">
        <v>2166</v>
      </c>
      <c r="D255" t="s">
        <v>2166</v>
      </c>
    </row>
    <row r="256" spans="2:4" x14ac:dyDescent="0.2">
      <c r="B256" s="34" t="s">
        <v>2166</v>
      </c>
      <c r="D256" t="s">
        <v>2166</v>
      </c>
    </row>
    <row r="257" spans="2:4" x14ac:dyDescent="0.2">
      <c r="B257" s="34" t="s">
        <v>2166</v>
      </c>
      <c r="D257" t="s">
        <v>2166</v>
      </c>
    </row>
    <row r="258" spans="2:4" x14ac:dyDescent="0.2">
      <c r="B258" s="34" t="s">
        <v>2166</v>
      </c>
      <c r="D258" t="s">
        <v>2166</v>
      </c>
    </row>
    <row r="259" spans="2:4" x14ac:dyDescent="0.2">
      <c r="B259" s="34" t="s">
        <v>2166</v>
      </c>
      <c r="D259" t="s">
        <v>2166</v>
      </c>
    </row>
    <row r="260" spans="2:4" x14ac:dyDescent="0.2">
      <c r="B260" s="34" t="s">
        <v>2166</v>
      </c>
      <c r="D260" t="s">
        <v>2166</v>
      </c>
    </row>
    <row r="261" spans="2:4" x14ac:dyDescent="0.2">
      <c r="B261" s="34" t="s">
        <v>2166</v>
      </c>
      <c r="D261" t="s">
        <v>2166</v>
      </c>
    </row>
    <row r="262" spans="2:4" x14ac:dyDescent="0.2">
      <c r="B262" s="34" t="s">
        <v>2166</v>
      </c>
      <c r="D262" t="s">
        <v>2166</v>
      </c>
    </row>
    <row r="263" spans="2:4" x14ac:dyDescent="0.2">
      <c r="B263" s="34" t="s">
        <v>2166</v>
      </c>
      <c r="D263" t="s">
        <v>2166</v>
      </c>
    </row>
    <row r="264" spans="2:4" x14ac:dyDescent="0.2">
      <c r="B264" s="34" t="s">
        <v>2166</v>
      </c>
      <c r="D264" t="s">
        <v>2166</v>
      </c>
    </row>
    <row r="265" spans="2:4" x14ac:dyDescent="0.2">
      <c r="B265" s="34" t="s">
        <v>2166</v>
      </c>
      <c r="D265" t="s">
        <v>2166</v>
      </c>
    </row>
    <row r="266" spans="2:4" x14ac:dyDescent="0.2">
      <c r="B266" s="34" t="s">
        <v>2166</v>
      </c>
      <c r="D266" t="s">
        <v>2166</v>
      </c>
    </row>
    <row r="267" spans="2:4" x14ac:dyDescent="0.2">
      <c r="B267" s="34" t="s">
        <v>2166</v>
      </c>
      <c r="D267" t="s">
        <v>2166</v>
      </c>
    </row>
    <row r="268" spans="2:4" x14ac:dyDescent="0.2">
      <c r="B268" s="34" t="s">
        <v>2166</v>
      </c>
      <c r="D268" t="s">
        <v>2166</v>
      </c>
    </row>
    <row r="269" spans="2:4" x14ac:dyDescent="0.2">
      <c r="B269" s="34" t="s">
        <v>2166</v>
      </c>
      <c r="D269" t="s">
        <v>2166</v>
      </c>
    </row>
    <row r="270" spans="2:4" x14ac:dyDescent="0.2">
      <c r="B270" s="34" t="s">
        <v>2166</v>
      </c>
      <c r="D270" t="s">
        <v>2166</v>
      </c>
    </row>
    <row r="271" spans="2:4" x14ac:dyDescent="0.2">
      <c r="B271" s="34" t="s">
        <v>2166</v>
      </c>
      <c r="D271" t="s">
        <v>2166</v>
      </c>
    </row>
    <row r="272" spans="2:4" x14ac:dyDescent="0.2">
      <c r="B272" s="34" t="s">
        <v>2166</v>
      </c>
    </row>
    <row r="273" spans="2:2" x14ac:dyDescent="0.2">
      <c r="B273" s="35" t="s">
        <v>2166</v>
      </c>
    </row>
  </sheetData>
  <phoneticPr fontId="16" type="noConversion"/>
  <pageMargins left="0.7" right="0.7" top="0.78740157499999996" bottom="0.78740157499999996" header="0.3" footer="0.3"/>
  <pageSetup paperSize="8"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3E3F7-19F7-494B-8806-6058220721BB}">
  <sheetPr codeName="Tabelle13"/>
  <dimension ref="B4:U6"/>
  <sheetViews>
    <sheetView workbookViewId="0">
      <selection activeCell="S18" sqref="S18"/>
    </sheetView>
  </sheetViews>
  <sheetFormatPr baseColWidth="10" defaultColWidth="8.7109375" defaultRowHeight="12.75" x14ac:dyDescent="0.2"/>
  <cols>
    <col min="2" max="2" width="10.5703125" bestFit="1" customWidth="1"/>
    <col min="3" max="3" width="9.42578125" bestFit="1" customWidth="1"/>
    <col min="4" max="5" width="9.42578125" customWidth="1"/>
    <col min="6" max="6" width="10.5703125" bestFit="1" customWidth="1"/>
    <col min="7" max="7" width="9.42578125" bestFit="1" customWidth="1"/>
    <col min="8" max="9" width="9.42578125" customWidth="1"/>
    <col min="10" max="10" width="10.5703125" bestFit="1" customWidth="1"/>
    <col min="11" max="11" width="9.42578125" bestFit="1" customWidth="1"/>
    <col min="12" max="13" width="9.42578125" customWidth="1"/>
    <col min="14" max="14" width="10.5703125" bestFit="1" customWidth="1"/>
    <col min="15" max="15" width="9.42578125" bestFit="1" customWidth="1"/>
    <col min="16" max="16" width="9.42578125" customWidth="1"/>
    <col min="17" max="17" width="11.5703125" bestFit="1" customWidth="1"/>
    <col min="18" max="18" width="9.42578125" bestFit="1" customWidth="1"/>
    <col min="19" max="19" width="9.42578125" customWidth="1"/>
    <col min="20" max="20" width="11.5703125" bestFit="1" customWidth="1"/>
    <col min="21" max="21" width="9.42578125" bestFit="1" customWidth="1"/>
    <col min="22" max="22" width="9.42578125" customWidth="1"/>
    <col min="23" max="23" width="11.5703125" bestFit="1" customWidth="1"/>
    <col min="24" max="24" width="9.42578125" bestFit="1" customWidth="1"/>
    <col min="25" max="25" width="9.42578125" customWidth="1"/>
    <col min="26" max="26" width="11.5703125" bestFit="1" customWidth="1"/>
    <col min="27" max="27" width="9.42578125" bestFit="1" customWidth="1"/>
    <col min="28" max="28" width="9.42578125" customWidth="1"/>
    <col min="29" max="29" width="11.5703125" bestFit="1" customWidth="1"/>
    <col min="30" max="30" width="9.42578125" bestFit="1" customWidth="1"/>
    <col min="31" max="31" width="9.42578125" customWidth="1"/>
    <col min="32" max="32" width="11.5703125" bestFit="1" customWidth="1"/>
    <col min="33" max="33" width="12.7109375" customWidth="1"/>
    <col min="34" max="34" width="9.42578125" customWidth="1"/>
    <col min="35" max="35" width="11.5703125" bestFit="1" customWidth="1"/>
    <col min="36" max="36" width="9.42578125" bestFit="1" customWidth="1"/>
    <col min="37" max="37" width="9.42578125" customWidth="1"/>
    <col min="38" max="38" width="11.5703125" bestFit="1" customWidth="1"/>
    <col min="39" max="39" width="9.42578125" bestFit="1" customWidth="1"/>
    <col min="40" max="40" width="9.42578125" customWidth="1"/>
    <col min="41" max="41" width="11.5703125" bestFit="1" customWidth="1"/>
    <col min="42" max="42" width="9.42578125" bestFit="1" customWidth="1"/>
  </cols>
  <sheetData>
    <row r="4" spans="2:21" x14ac:dyDescent="0.2">
      <c r="B4" t="s">
        <v>2313</v>
      </c>
      <c r="F4" t="s">
        <v>2314</v>
      </c>
      <c r="J4" t="s">
        <v>2315</v>
      </c>
      <c r="N4" t="s">
        <v>2316</v>
      </c>
      <c r="R4" t="s">
        <v>2317</v>
      </c>
    </row>
    <row r="6" spans="2:21" x14ac:dyDescent="0.2">
      <c r="B6" t="s">
        <v>2318</v>
      </c>
      <c r="C6" t="s">
        <v>2319</v>
      </c>
      <c r="D6" t="s">
        <v>2320</v>
      </c>
      <c r="E6" t="s">
        <v>2321</v>
      </c>
      <c r="F6" t="s">
        <v>2318</v>
      </c>
      <c r="G6" t="s">
        <v>2322</v>
      </c>
      <c r="H6" t="s">
        <v>2320</v>
      </c>
      <c r="I6" t="s">
        <v>2321</v>
      </c>
      <c r="J6" t="s">
        <v>2318</v>
      </c>
      <c r="K6" t="s">
        <v>2322</v>
      </c>
      <c r="L6" t="s">
        <v>2320</v>
      </c>
      <c r="M6" t="s">
        <v>2321</v>
      </c>
      <c r="N6" t="s">
        <v>2318</v>
      </c>
      <c r="O6" t="s">
        <v>2322</v>
      </c>
      <c r="P6" t="s">
        <v>2320</v>
      </c>
      <c r="Q6" t="s">
        <v>2321</v>
      </c>
      <c r="R6" t="s">
        <v>2323</v>
      </c>
      <c r="S6" t="s">
        <v>2324</v>
      </c>
      <c r="T6" t="s">
        <v>2320</v>
      </c>
      <c r="U6" t="s">
        <v>2321</v>
      </c>
    </row>
  </sheetData>
  <phoneticPr fontId="1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15F5D1AAA8E4A344BCECFD2E587F6928" ma:contentTypeVersion="15" ma:contentTypeDescription="Ein neues Dokument erstellen." ma:contentTypeScope="" ma:versionID="ae9f9af2c48b8f0de346991bcc67071e">
  <xsd:schema xmlns:xsd="http://www.w3.org/2001/XMLSchema" xmlns:xs="http://www.w3.org/2001/XMLSchema" xmlns:p="http://schemas.microsoft.com/office/2006/metadata/properties" xmlns:ns2="9d6f984e-060f-4924-8400-7f91251ac80a" xmlns:ns3="455c7aaf-0ca0-4d0f-a138-db5b10b8f317" targetNamespace="http://schemas.microsoft.com/office/2006/metadata/properties" ma:root="true" ma:fieldsID="5a4640af710471e8e677513df3133ac7" ns2:_="" ns3:_="">
    <xsd:import namespace="9d6f984e-060f-4924-8400-7f91251ac80a"/>
    <xsd:import namespace="455c7aaf-0ca0-4d0f-a138-db5b10b8f31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Location" minOccurs="0"/>
                <xsd:element ref="ns2:MediaServiceSearchPropertie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6f984e-060f-4924-8400-7f91251ac80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lcf76f155ced4ddcb4097134ff3c332f" ma:index="14" nillable="true" ma:taxonomy="true" ma:internalName="lcf76f155ced4ddcb4097134ff3c332f" ma:taxonomyFieldName="MediaServiceImageTags" ma:displayName="Bildmarkierungen" ma:readOnly="false" ma:fieldId="{5cf76f15-5ced-4ddc-b409-7134ff3c332f}" ma:taxonomyMulti="true" ma:sspId="5f716d2e-f4a2-44e7-bdc9-1f54f7e3b9d9"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55c7aaf-0ca0-4d0f-a138-db5b10b8f317"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6d74f4c6-253d-4717-a64c-643066c69269}" ma:internalName="TaxCatchAll" ma:showField="CatchAllData" ma:web="455c7aaf-0ca0-4d0f-a138-db5b10b8f31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Freigegeben für -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d6f984e-060f-4924-8400-7f91251ac80a">
      <Terms xmlns="http://schemas.microsoft.com/office/infopath/2007/PartnerControls"/>
    </lcf76f155ced4ddcb4097134ff3c332f>
    <TaxCatchAll xmlns="455c7aaf-0ca0-4d0f-a138-db5b10b8f317" xsi:nil="true"/>
  </documentManagement>
</p:properties>
</file>

<file path=customXml/itemProps1.xml><?xml version="1.0" encoding="utf-8"?>
<ds:datastoreItem xmlns:ds="http://schemas.openxmlformats.org/officeDocument/2006/customXml" ds:itemID="{299B1294-A55A-4F46-9DF7-3EF52B9343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6f984e-060f-4924-8400-7f91251ac80a"/>
    <ds:schemaRef ds:uri="455c7aaf-0ca0-4d0f-a138-db5b10b8f31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733AFC0-A735-4633-857D-87267FDFE38F}">
  <ds:schemaRefs>
    <ds:schemaRef ds:uri="http://schemas.microsoft.com/sharepoint/v3/contenttype/forms"/>
  </ds:schemaRefs>
</ds:datastoreItem>
</file>

<file path=customXml/itemProps3.xml><?xml version="1.0" encoding="utf-8"?>
<ds:datastoreItem xmlns:ds="http://schemas.openxmlformats.org/officeDocument/2006/customXml" ds:itemID="{E8BA6810-6877-4654-9ABA-0E58E2C9CFDE}">
  <ds:schemaRefs>
    <ds:schemaRef ds:uri="http://schemas.microsoft.com/office/2006/metadata/properties"/>
    <ds:schemaRef ds:uri="http://schemas.microsoft.com/office/infopath/2007/PartnerControls"/>
    <ds:schemaRef ds:uri="9d6f984e-060f-4924-8400-7f91251ac80a"/>
    <ds:schemaRef ds:uri="455c7aaf-0ca0-4d0f-a138-db5b10b8f317"/>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4</vt:i4>
      </vt:variant>
    </vt:vector>
  </HeadingPairs>
  <TitlesOfParts>
    <vt:vector size="16" baseType="lpstr">
      <vt:lpstr>Anleitung</vt:lpstr>
      <vt:lpstr>IN_Stammdaten</vt:lpstr>
      <vt:lpstr>IN_Zugliste</vt:lpstr>
      <vt:lpstr>IN_Verknüpfungen</vt:lpstr>
      <vt:lpstr>Laufwege</vt:lpstr>
      <vt:lpstr>Daten_Verknüpfungen</vt:lpstr>
      <vt:lpstr>Berechnung</vt:lpstr>
      <vt:lpstr>Zugfahrten</vt:lpstr>
      <vt:lpstr>Br</vt:lpstr>
      <vt:lpstr>Distanz_Betriebsstellen-Paare</vt:lpstr>
      <vt:lpstr>Ergebnisse</vt:lpstr>
      <vt:lpstr>Distanzen</vt:lpstr>
      <vt:lpstr>Berechnung!Suchkriterien</vt:lpstr>
      <vt:lpstr>Berechnung!Zielbereich</vt:lpstr>
      <vt:lpstr>'Distanz_Betriebsstellen-Paare'!Zielbereich</vt:lpstr>
      <vt:lpstr>Ergebnisse!Zielbereich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Lylly Hernández</dc:creator>
  <cp:keywords/>
  <dc:description/>
  <cp:lastModifiedBy>Rydell Ethan Tauro</cp:lastModifiedBy>
  <cp:revision/>
  <cp:lastPrinted>2025-10-01T13:41:28Z</cp:lastPrinted>
  <dcterms:created xsi:type="dcterms:W3CDTF">2023-06-09T09:40:21Z</dcterms:created>
  <dcterms:modified xsi:type="dcterms:W3CDTF">2025-10-01T14:03:40Z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0x01010015F5D1AAA8E4A344BCECFD2E587F6928</vt:lpwstr>
  </property>
  <property fmtid="{D5CDD505-2E9C-101B-9397-08002B2CF9AE}" pid="3" name="MediaServiceImageTags">
    <vt:lpwstr/>
  </property>
</Properties>
</file>